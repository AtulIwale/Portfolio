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5fbfec538243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b3d7cb78324abf"/>
    <x:sheet xmlns:r="http://schemas.openxmlformats.org/officeDocument/2006/relationships" name="Records" sheetId="2" r:id="R888a1973ff154c01"/>
    <x:sheet xmlns:r="http://schemas.openxmlformats.org/officeDocument/2006/relationships" name="Details" sheetId="3" r:id="R95c466f587d04dce"/>
    <x:sheet xmlns:r="http://schemas.openxmlformats.org/officeDocument/2006/relationships" name="Events" sheetId="4" r:id="R4d710a6fb15b4b3d"/>
    <x:sheet xmlns:r="http://schemas.openxmlformats.org/officeDocument/2006/relationships" name="Masters" sheetId="5" r:id="Rb7e618c3a5f54b27"/>
    <x:sheet xmlns:r="http://schemas.openxmlformats.org/officeDocument/2006/relationships" name="Dictionary" sheetId="6" r:id="Re5cbd44f453e41db"/>
    <x:sheet xmlns:r="http://schemas.openxmlformats.org/officeDocument/2006/relationships" name="Requirements" sheetId="7" r:id="Rd09bc1c3ed134718"/>
    <x:sheet xmlns:r="http://schemas.openxmlformats.org/officeDocument/2006/relationships" name="Implementation" sheetId="8" r:id="R82ebaecd20a9480b"/>
    <x:sheet xmlns:r="http://schemas.openxmlformats.org/officeDocument/2006/relationships" name="Model" sheetId="9" r:id="R2a7b69170df14f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.00;[Red](#,##0.00);–"/>
    <x:numFmt numFmtId="202" formatCode="0.0%"/>
    <x:numFmt numFmtId="203" formatCode="0"/>
    <x:numFmt numFmtId="204" formatCode="0%"/>
    <x:numFmt numFmtId="205" formatCode="#,##0"/>
  </x:numFmts>
  <x:fonts count="3">
    <x:font>
      <x:sz val="11"/>
      <x:name val="Carlito"/>
    </x:font>
    <x:font>
      <x:sz val="11"/>
      <x:color rgb="FF2D465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D4653"/>
      </x:patternFill>
    </x:fill>
    <x:fill>
      <x:patternFill patternType="solid">
        <x:fgColor rgb="FF4F7E8F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201" fontId="1" fillId="0" borderId="0" xfId="0" applyNumberFormat="1" applyFont="1" applyFill="1" applyBorder="1"/>
    <x:xf numFmtId="205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366be09f3d444b" /><Relationship Type="http://schemas.openxmlformats.org/officeDocument/2006/relationships/theme" Target="/xl/theme/theme1.xml" Id="R4be166f7f3124e51" /><Relationship Type="http://schemas.openxmlformats.org/officeDocument/2006/relationships/sharedStrings" Target="/xl/sharedStrings.xml" Id="Rdf9abd80e3a74dd9" /><Relationship Type="http://schemas.openxmlformats.org/officeDocument/2006/relationships/worksheet" Target="/xl/worksheets/sheet1.xml" Id="Rb0b3d7cb78324abf" /><Relationship Type="http://schemas.openxmlformats.org/officeDocument/2006/relationships/worksheet" Target="/xl/worksheets/sheet2.xml" Id="R888a1973ff154c01" /><Relationship Type="http://schemas.openxmlformats.org/officeDocument/2006/relationships/worksheet" Target="/xl/worksheets/sheet3.xml" Id="R95c466f587d04dce" /><Relationship Type="http://schemas.openxmlformats.org/officeDocument/2006/relationships/worksheet" Target="/xl/worksheets/sheet4.xml" Id="R4d710a6fb15b4b3d" /><Relationship Type="http://schemas.openxmlformats.org/officeDocument/2006/relationships/worksheet" Target="/xl/worksheets/sheet5.xml" Id="Rb7e618c3a5f54b27" /><Relationship Type="http://schemas.openxmlformats.org/officeDocument/2006/relationships/worksheet" Target="/xl/worksheets/sheet6.xml" Id="Re5cbd44f453e41db" /><Relationship Type="http://schemas.openxmlformats.org/officeDocument/2006/relationships/worksheet" Target="/xl/worksheets/sheet7.xml" Id="Rd09bc1c3ed134718" /><Relationship Type="http://schemas.openxmlformats.org/officeDocument/2006/relationships/worksheet" Target="/xl/worksheets/sheet8.xml" Id="R82ebaecd20a9480b" /><Relationship Type="http://schemas.openxmlformats.org/officeDocument/2006/relationships/worksheet" Target="/xl/worksheets/sheet9.xml" Id="R2a7b69170df14f26" /></Relationships>
</file>

<file path=xl/tables/table1.xml><?xml version="1.0" encoding="utf-8"?>
<x:table xmlns:x="http://schemas.openxmlformats.org/spreadsheetml/2006/main" id="1" name="RecordsTable" displayName="RecordsTable" ref="A1:U5001" headerRowCount="1" totalsRowCount="0" totalsRowShown="0">
  <x:tableColumns count="21">
    <x:tableColumn id="1" name="record_id"/>
    <x:tableColumn id="2" name="record_date"/>
    <x:tableColumn id="3" name="project_id"/>
    <x:tableColumn id="4" name="type"/>
    <x:tableColumn id="5" name="status"/>
    <x:tableColumn id="6" name="customer_id"/>
    <x:tableColumn id="7" name="unit_id"/>
    <x:tableColumn id="8" name="list_price"/>
    <x:tableColumn id="9" name="discount_pct"/>
    <x:tableColumn id="10" name="response_days"/>
    <x:tableColumn id="11" name="prior_contact_count"/>
    <x:tableColumn id="12" name="financing_required"/>
    <x:tableColumn id="13" name="agreed_price"/>
    <x:tableColumn id="14" name="discount_approval"/>
    <x:tableColumn id="15" name="booking_id"/>
    <x:tableColumn id="16" name="collected_amount"/>
    <x:tableColumn id="17" name="booking_loss"/>
    <x:tableColumn id="18" name="label_available_date"/>
    <x:tableColumn id="19" name="outcome_at_60_days"/>
    <x:tableColumn id="20" name="risk_score"/>
    <x:tableColumn id="21" name="evaluation_spl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sTable" displayName="DetailsTable" ref="A1:F10097" headerRowCount="1" totalsRowCount="0" totalsRowShown="0">
  <x:tableColumns count="6">
    <x:tableColumn id="1" name="detail_id"/>
    <x:tableColumn id="2" name="record_id"/>
    <x:tableColumn id="3" name="installment_no"/>
    <x:tableColumn id="4" name="due_date"/>
    <x:tableColumn id="5" name="scheduled_amount"/>
    <x:tableColumn id="6" name="collected_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sTable" displayName="EventsTable" ref="A1:G5001" headerRowCount="1" totalsRowCount="0" totalsRowShown="0">
  <x:tableColumns count="7">
    <x:tableColumn id="1" name="event_id"/>
    <x:tableColumn id="2" name="record_id"/>
    <x:tableColumn id="3" name="event_date"/>
    <x:tableColumn id="4" name="actor_role"/>
    <x:tableColumn id="5" name="channel"/>
    <x:tableColumn id="6" name="event_type"/>
    <x:tableColumn id="7" name="approval_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stersTable" displayName="MastersTable" ref="A1:D271" headerRowCount="1" totalsRowCount="0" totalsRowShown="0">
  <x:tableColumns count="4">
    <x:tableColumn id="1" name="Master type"/>
    <x:tableColumn id="2" name="Master ID"/>
    <x:tableColumn id="3" name="Name"/>
    <x:tableColumn id="4" name="Attributes (JSON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ionaryTable" displayName="DictionaryTable" ref="A1:F35" headerRowCount="1" totalsRowCount="0" totalsRowShown="0">
  <x:tableColumns count="6">
    <x:tableColumn id="1" name="Sheet"/>
    <x:tableColumn id="2" name="Field"/>
    <x:tableColumn id="3" name="Type"/>
    <x:tableColumn id="4" name="Role"/>
    <x:tableColumn id="5" name="Meaning"/>
    <x:tableColumn id="6" name="Timing / null polic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quirementsTable" displayName="RequirementsTable" ref="A1:D6" headerRowCount="1" totalsRowCount="0" totalsRowShown="0">
  <x:tableColumns count="4">
    <x:tableColumn id="1" name="Requirement"/>
    <x:tableColumn id="2" name="Key concepts"/>
    <x:tableColumn id="3" name="Business rule"/>
    <x:tableColumn id="4" name="Acceptance tes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mplementationTable" displayName="ImplementationTable" ref="A1:H6" headerRowCount="1" totalsRowCount="0" totalsRowShown="0">
  <x:tableColumns count="8">
    <x:tableColumn id="1" name="Phase"/>
    <x:tableColumn id="2" name="Start week"/>
    <x:tableColumn id="3" name="End week"/>
    <x:tableColumn id="4" name="Role"/>
    <x:tableColumn id="5" name="Effort days"/>
    <x:tableColumn id="6" name="Daily rate INR"/>
    <x:tableColumn id="7" name="Cost INR"/>
    <x:tableColumn id="8" name="Exit g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odelTable" displayName="ModelTable" ref="A1:B24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41c0def85641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3c592268d442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9e4dd2328b49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97f18ed13745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5b3753994449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3f4e9365594f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f2d0dafbfa4d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8da3aa540c47c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3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5" customHeight="1">
      <x:c r="A1" s="17" t="str">
        <x:v>Real Estate Sales</x:v>
      </x:c>
      <x:c r="B1" s="17"/>
      <x:c r="C1" s="17"/>
      <x:c r="D1" s="17"/>
      <x:c r="E1" s="17"/>
      <x:c r="F1" s="17"/>
    </x:row>
    <x:row r="2" ht="25" customHeight="1">
      <x:c r="A2" s="17"/>
      <x:c r="B2" s="17"/>
      <x:c r="C2" s="17"/>
      <x:c r="D2" s="17"/>
      <x:c r="E2" s="17"/>
      <x:c r="F2" s="17"/>
    </x:row>
    <x:row r="3">
      <x:c r="A3" s="1"/>
      <x:c r="B3" s="1"/>
      <x:c r="C3" s="1"/>
      <x:c r="D3" s="1"/>
      <x:c r="E3" s="1"/>
      <x:c r="F3" s="1"/>
    </x:row>
    <x:row r="4">
      <x:c r="A4" s="2" t="str">
        <x:v>AEC-DEMO-2026.1 | SYNTHETIC DATA | Currency: INR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>
      <x:c r="A6" s="2" t="str">
        <x:v>One unique unit sales enquiry / booking opportunity.</x:v>
      </x:c>
      <x:c r="B6" s="2"/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>
      <x:c r="A8" s="2" t="str">
        <x:v>Reporting date: 1 March 2025. Records: January–October 2024.</x:v>
      </x:c>
      <x:c r="B8" s="2"/>
      <x:c r="C8" s="2"/>
      <x:c r="D8" s="2"/>
      <x:c r="E8" s="2"/>
      <x:c r="F8" s="2"/>
    </x:row>
    <x:row r="9">
      <x:c r="A9" s="2"/>
      <x:c r="B9" s="2"/>
      <x:c r="C9" s="2"/>
      <x:c r="D9" s="2"/>
      <x:c r="E9" s="2"/>
      <x:c r="F9" s="2"/>
    </x:row>
    <x:row r="10">
      <x:c r="A10" s="2" t="str">
        <x:v>Download once; reuse the same IDs for requirements, implementation, analysis and ML.</x:v>
      </x:c>
      <x:c r="B10" s="2"/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 s="1"/>
      <x:c r="B12" s="1"/>
      <x:c r="C12" s="1"/>
      <x:c r="D12" s="1"/>
      <x:c r="E12" s="1"/>
      <x:c r="F12" s="1"/>
    </x:row>
    <x:row r="13" ht="32" customHeight="1">
      <x:c r="A13" s="19" t="str">
        <x:v>Metric</x:v>
      </x:c>
      <x:c r="B13" s="19" t="str">
        <x:v>Value</x:v>
      </x:c>
      <x:c r="C13" s="1"/>
      <x:c r="D13" s="1"/>
      <x:c r="E13" s="1"/>
      <x:c r="F13" s="1"/>
    </x:row>
    <x:row r="14" ht="32" customHeight="1">
      <x:c r="A14" s="2" t="str">
        <x:v>Primary records</x:v>
      </x:c>
      <x:c r="B14" s="21" t="n">
        <x:f>COUNTA(Records!A2:A5001)</x:f>
        <x:v>5000</x:v>
      </x:c>
      <x:c r="C14" s="1"/>
      <x:c r="D14" s="1"/>
      <x:c r="E14" s="1"/>
      <x:c r="F14" s="1"/>
    </x:row>
    <x:row r="15" ht="32" customHeight="1">
      <x:c r="A15" s="2" t="str">
        <x:v>Agreed consideration</x:v>
      </x:c>
      <x:c r="B15" s="20" t="n">
        <x:f>SUM(Records!M2:M5001)</x:f>
        <x:v>66377482000</x:v>
      </x:c>
      <x:c r="C15" s="1"/>
      <x:c r="D15" s="1"/>
      <x:c r="E15" s="1"/>
      <x:c r="F15" s="1"/>
    </x:row>
    <x:row r="16" ht="32" customHeight="1">
      <x:c r="A16" s="2" t="str">
        <x:v>Median record value</x:v>
      </x:c>
      <x:c r="B16" s="20" t="n">
        <x:f>MEDIAN(Records!M2:M5001)</x:f>
        <x:v>13230000</x:v>
      </x:c>
      <x:c r="C16" s="1"/>
      <x:c r="D16" s="1"/>
      <x:c r="E16" s="1"/>
      <x:c r="F16" s="1"/>
    </x:row>
    <x:row r="17" ht="32" customHeight="1">
      <x:c r="A17" s="2" t="str">
        <x:v>Labelled outcomes</x:v>
      </x:c>
      <x:c r="B17" s="21" t="n">
        <x:f>COUNT(Records!Q2:Q5001)</x:f>
        <x:v>5000</x:v>
      </x:c>
      <x:c r="C17" s="1"/>
      <x:c r="D17" s="1"/>
      <x:c r="E17" s="1"/>
      <x:c r="F17" s="1"/>
    </x:row>
    <x:row r="18" ht="32" customHeight="1">
      <x:c r="A18" s="2" t="str">
        <x:v>Observed events</x:v>
      </x:c>
      <x:c r="B18" s="21" t="n">
        <x:f>SUM(Records!Q2:Q5001)</x:f>
        <x:v>1294</x:v>
      </x:c>
      <x:c r="C18" s="1"/>
      <x:c r="D18" s="1"/>
      <x:c r="E18" s="1"/>
      <x:c r="F18" s="1"/>
    </x:row>
    <x:row r="19" ht="32" customHeight="1">
      <x:c r="A19" s="2" t="str">
        <x:v>Supporting details</x:v>
      </x:c>
      <x:c r="B19" s="21" t="n">
        <x:v>10096</x:v>
      </x:c>
      <x:c r="C19" s="1"/>
      <x:c r="D19" s="1"/>
      <x:c r="E19" s="1"/>
      <x:c r="F19" s="1"/>
    </x:row>
    <x:row r="20" ht="32" customHeight="1">
      <x:c r="A20" s="2" t="str">
        <x:v>Capture events</x:v>
      </x:c>
      <x:c r="B20" s="21" t="n">
        <x:v>5000</x:v>
      </x:c>
      <x:c r="C20" s="1"/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2" t="str">
        <x:v>Property sales.txt, process configuration and sales workflow</x:v>
      </x:c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1"/>
      <x:c r="B26" s="1"/>
      <x:c r="C26" s="1"/>
      <x:c r="D26" s="1"/>
      <x:c r="E26" s="1"/>
      <x:c r="F26" s="1"/>
    </x:row>
    <x:row r="27">
      <x:c r="A27" s="2" t="str">
        <x:v>Demonstration assumptions: simplified taxes, deductions, approval thresholds and planning rates. No real personal data.</x:v>
      </x:c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1"/>
      <x:c r="B29" s="1"/>
      <x:c r="C29" s="1"/>
      <x:c r="D29" s="1"/>
      <x:c r="E29" s="1"/>
      <x:c r="F29" s="1"/>
    </x:row>
    <x:row r="30">
      <x:c r="A30" s="2" t="str">
        <x:v>Read Dictionary for timing and field roles. Model scores are frozen; changing data does not retrain the model.</x:v>
      </x:c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1"/>
      <x:c r="B32" s="1"/>
      <x:c r="C32" s="1"/>
      <x:c r="D32" s="1"/>
      <x:c r="E32" s="1"/>
      <x:c r="F32" s="1"/>
    </x:row>
  </x:sheetData>
  <x:mergeCells>
    <x:mergeCell ref="A1:F2"/>
    <x:mergeCell ref="A4:F5"/>
    <x:mergeCell ref="A6:F7"/>
    <x:mergeCell ref="A8:F9"/>
    <x:mergeCell ref="A10:F11"/>
    <x:mergeCell ref="A24:F25"/>
    <x:mergeCell ref="A27:F28"/>
    <x:mergeCell ref="A30:F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</x:cols>
  <x:sheetData>
    <x:row r="1" ht="42" customHeight="1">
      <x:c r="A1" s="7" t="str">
        <x:v>record_id</x:v>
      </x:c>
      <x:c r="B1" s="7" t="str">
        <x:v>record_date</x:v>
      </x:c>
      <x:c r="C1" s="7" t="str">
        <x:v>project_id</x:v>
      </x:c>
      <x:c r="D1" s="7" t="str">
        <x:v>type</x:v>
      </x:c>
      <x:c r="E1" s="7" t="str">
        <x:v>status</x:v>
      </x:c>
      <x:c r="F1" s="7" t="str">
        <x:v>customer_id</x:v>
      </x:c>
      <x:c r="G1" s="7" t="str">
        <x:v>unit_id</x:v>
      </x:c>
      <x:c r="H1" s="7" t="str">
        <x:v>list_price</x:v>
      </x:c>
      <x:c r="I1" s="7" t="str">
        <x:v>discount_pct</x:v>
      </x:c>
      <x:c r="J1" s="7" t="str">
        <x:v>response_days</x:v>
      </x:c>
      <x:c r="K1" s="7" t="str">
        <x:v>prior_contact_count</x:v>
      </x:c>
      <x:c r="L1" s="7" t="str">
        <x:v>financing_required</x:v>
      </x:c>
      <x:c r="M1" s="7" t="str">
        <x:v>agreed_price</x:v>
      </x:c>
      <x:c r="N1" s="7" t="str">
        <x:v>discount_approval</x:v>
      </x:c>
      <x:c r="O1" s="7" t="str">
        <x:v>booking_id</x:v>
      </x:c>
      <x:c r="P1" s="7" t="str">
        <x:v>collected_amount</x:v>
      </x:c>
      <x:c r="Q1" s="7" t="str">
        <x:v>booking_loss</x:v>
      </x:c>
      <x:c r="R1" s="7" t="str">
        <x:v>label_available_date</x:v>
      </x:c>
      <x:c r="S1" s="7" t="str">
        <x:v>outcome_at_60_days</x:v>
      </x:c>
      <x:c r="T1" s="7" t="str">
        <x:v>risk_score</x:v>
      </x:c>
      <x:c r="U1" s="7" t="str">
        <x:v>evaluation_split</x:v>
      </x:c>
    </x:row>
    <x:row r="2" ht="34" customHeight="1">
      <x:c r="A2" s="4" t="str">
        <x:v>RS-00001</x:v>
      </x:c>
      <x:c r="B2" s="8" t="n">
        <x:v>45292</x:v>
      </x:c>
      <x:c r="C2" s="4" t="str">
        <x:v>PRJ-001</x:v>
      </x:c>
      <x:c r="D2" s="4" t="str">
        <x:v>Villa</x:v>
      </x:c>
      <x:c r="E2" s="4" t="str">
        <x:v>Enquiry</x:v>
      </x:c>
      <x:c r="F2" s="4" t="str">
        <x:v>CUS-00001</x:v>
      </x:c>
      <x:c r="G2" s="4" t="str">
        <x:v>UNIT-00001</x:v>
      </x:c>
      <x:c r="H2" s="9" t="n">
        <x:v>15000000</x:v>
      </x:c>
      <x:c r="I2" s="10" t="n">
        <x:v>0.11</x:v>
      </x:c>
      <x:c r="J2" s="11" t="n">
        <x:v>9</x:v>
      </x:c>
      <x:c r="K2" s="11" t="n">
        <x:v>9</x:v>
      </x:c>
      <x:c r="L2" s="11" t="n">
        <x:v>1</x:v>
      </x:c>
      <x:c r="M2" s="9" t="n">
        <x:f>ROUND(H2*(1-I2),2)</x:f>
        <x:v>13350000</x:v>
      </x:c>
      <x:c r="N2" s="4" t="str">
        <x:v>Sales head</x:v>
      </x:c>
      <x:c r="O2" s="4"/>
      <x:c r="P2" s="9" t="n">
        <x:v>0</x:v>
      </x:c>
      <x:c r="Q2" s="11" t="n">
        <x:v>0</x:v>
      </x:c>
      <x:c r="R2" s="8" t="n">
        <x:v>45352</x:v>
      </x:c>
      <x:c r="S2" s="4" t="str">
        <x:v>Retained</x:v>
      </x:c>
      <x:c r="T2" s="10" t="n">
        <x:v>0.310195</x:v>
      </x:c>
      <x:c r="U2" s="4" t="str">
        <x:v>Train</x:v>
      </x:c>
    </x:row>
    <x:row r="3" ht="34" customHeight="1">
      <x:c r="A3" s="4" t="str">
        <x:v>RS-00002</x:v>
      </x:c>
      <x:c r="B3" s="8" t="n">
        <x:v>45293</x:v>
      </x:c>
      <x:c r="C3" s="4" t="str">
        <x:v>PRJ-002</x:v>
      </x:c>
      <x:c r="D3" s="4" t="str">
        <x:v>Retail</x:v>
      </x:c>
      <x:c r="E3" s="4" t="str">
        <x:v>Agreement signed</x:v>
      </x:c>
      <x:c r="F3" s="4" t="str">
        <x:v>CUS-00002</x:v>
      </x:c>
      <x:c r="G3" s="4" t="str">
        <x:v>UNIT-00002</x:v>
      </x:c>
      <x:c r="H3" s="9" t="n">
        <x:v>20500000</x:v>
      </x:c>
      <x:c r="I3" s="10" t="n">
        <x:v>0.07</x:v>
      </x:c>
      <x:c r="J3" s="11" t="n">
        <x:v>7</x:v>
      </x:c>
      <x:c r="K3" s="11" t="n">
        <x:v>8</x:v>
      </x:c>
      <x:c r="L3" s="11" t="n">
        <x:v>0</x:v>
      </x:c>
      <x:c r="M3" s="9" t="n">
        <x:f>ROUND(H3*(1-I3),2)</x:f>
        <x:v>19065000</x:v>
      </x:c>
      <x:c r="N3" s="4" t="str">
        <x:v>Sales manager</x:v>
      </x:c>
      <x:c r="O3" s="4" t="str">
        <x:v>BOOK-00002</x:v>
      </x:c>
      <x:c r="P3" s="9" t="n">
        <x:v>1906500</x:v>
      </x:c>
      <x:c r="Q3" s="11" t="n">
        <x:v>0</x:v>
      </x:c>
      <x:c r="R3" s="8" t="n">
        <x:v>45353</x:v>
      </x:c>
      <x:c r="S3" s="4" t="str">
        <x:v>Retained</x:v>
      </x:c>
      <x:c r="T3" s="10" t="n">
        <x:v>0.226277</x:v>
      </x:c>
      <x:c r="U3" s="4" t="str">
        <x:v>Train</x:v>
      </x:c>
    </x:row>
    <x:row r="4" ht="34" customHeight="1">
      <x:c r="A4" s="4" t="str">
        <x:v>RS-00003</x:v>
      </x:c>
      <x:c r="B4" s="8" t="n">
        <x:v>45294</x:v>
      </x:c>
      <x:c r="C4" s="4" t="str">
        <x:v>PRJ-003</x:v>
      </x:c>
      <x:c r="D4" s="4" t="str">
        <x:v>Apartment</x:v>
      </x:c>
      <x:c r="E4" s="4" t="str">
        <x:v>Handed over</x:v>
      </x:c>
      <x:c r="F4" s="4" t="str">
        <x:v>CUS-00003</x:v>
      </x:c>
      <x:c r="G4" s="4" t="str">
        <x:v>UNIT-00003</x:v>
      </x:c>
      <x:c r="H4" s="9" t="n">
        <x:v>15600000</x:v>
      </x:c>
      <x:c r="I4" s="10" t="n">
        <x:v>0.05</x:v>
      </x:c>
      <x:c r="J4" s="11" t="n">
        <x:v>1</x:v>
      </x:c>
      <x:c r="K4" s="11" t="n">
        <x:v>9</x:v>
      </x:c>
      <x:c r="L4" s="11" t="n">
        <x:v>0</x:v>
      </x:c>
      <x:c r="M4" s="9" t="n">
        <x:f>ROUND(H4*(1-I4),2)</x:f>
        <x:v>14820000</x:v>
      </x:c>
      <x:c r="N4" s="4" t="str">
        <x:v>Sales manager</x:v>
      </x:c>
      <x:c r="O4" s="4" t="str">
        <x:v>BOOK-00003</x:v>
      </x:c>
      <x:c r="P4" s="9" t="n">
        <x:v>14820000</x:v>
      </x:c>
      <x:c r="Q4" s="11" t="n">
        <x:v>0</x:v>
      </x:c>
      <x:c r="R4" s="8" t="n">
        <x:v>45354</x:v>
      </x:c>
      <x:c r="S4" s="4" t="str">
        <x:v>Retained</x:v>
      </x:c>
      <x:c r="T4" s="10" t="n">
        <x:v>0.204152</x:v>
      </x:c>
      <x:c r="U4" s="4" t="str">
        <x:v>Train</x:v>
      </x:c>
    </x:row>
    <x:row r="5" ht="34" customHeight="1">
      <x:c r="A5" s="4" t="str">
        <x:v>RS-00004</x:v>
      </x:c>
      <x:c r="B5" s="8" t="n">
        <x:v>45295</x:v>
      </x:c>
      <x:c r="C5" s="4" t="str">
        <x:v>PRJ-004</x:v>
      </x:c>
      <x:c r="D5" s="4" t="str">
        <x:v>Villa</x:v>
      </x:c>
      <x:c r="E5" s="4" t="str">
        <x:v>Agreement signed</x:v>
      </x:c>
      <x:c r="F5" s="4" t="str">
        <x:v>CUS-00004</x:v>
      </x:c>
      <x:c r="G5" s="4" t="str">
        <x:v>UNIT-00004</x:v>
      </x:c>
      <x:c r="H5" s="9" t="n">
        <x:v>15900000</x:v>
      </x:c>
      <x:c r="I5" s="10" t="n">
        <x:v>0.03</x:v>
      </x:c>
      <x:c r="J5" s="11" t="n">
        <x:v>4</x:v>
      </x:c>
      <x:c r="K5" s="11" t="n">
        <x:v>0</x:v>
      </x:c>
      <x:c r="L5" s="11" t="n">
        <x:v>0</x:v>
      </x:c>
      <x:c r="M5" s="9" t="n">
        <x:f>ROUND(H5*(1-I5),2)</x:f>
        <x:v>15423000</x:v>
      </x:c>
      <x:c r="N5" s="4" t="str">
        <x:v>Sales manager</x:v>
      </x:c>
      <x:c r="O5" s="4" t="str">
        <x:v>BOOK-00004</x:v>
      </x:c>
      <x:c r="P5" s="9" t="n">
        <x:v>3855750</x:v>
      </x:c>
      <x:c r="Q5" s="11" t="n">
        <x:v>0</x:v>
      </x:c>
      <x:c r="R5" s="8" t="n">
        <x:v>45355</x:v>
      </x:c>
      <x:c r="S5" s="4" t="str">
        <x:v>Retained</x:v>
      </x:c>
      <x:c r="T5" s="10" t="n">
        <x:v>0.298969</x:v>
      </x:c>
      <x:c r="U5" s="4" t="str">
        <x:v>Train</x:v>
      </x:c>
    </x:row>
    <x:row r="6" ht="34" customHeight="1">
      <x:c r="A6" s="4" t="str">
        <x:v>RS-00005</x:v>
      </x:c>
      <x:c r="B6" s="8" t="n">
        <x:v>45296</x:v>
      </x:c>
      <x:c r="C6" s="4" t="str">
        <x:v>PRJ-005</x:v>
      </x:c>
      <x:c r="D6" s="4" t="str">
        <x:v>Villa</x:v>
      </x:c>
      <x:c r="E6" s="4" t="str">
        <x:v>Enquiry</x:v>
      </x:c>
      <x:c r="F6" s="4" t="str">
        <x:v>CUS-00005</x:v>
      </x:c>
      <x:c r="G6" s="4" t="str">
        <x:v>UNIT-00005</x:v>
      </x:c>
      <x:c r="H6" s="9" t="n">
        <x:v>6600000</x:v>
      </x:c>
      <x:c r="I6" s="10" t="n">
        <x:v>0.05</x:v>
      </x:c>
      <x:c r="J6" s="11" t="n">
        <x:v>12</x:v>
      </x:c>
      <x:c r="K6" s="11" t="n">
        <x:v>8</x:v>
      </x:c>
      <x:c r="L6" s="11" t="n">
        <x:v>0</x:v>
      </x:c>
      <x:c r="M6" s="9" t="n">
        <x:f>ROUND(H6*(1-I6),2)</x:f>
        <x:v>6270000</x:v>
      </x:c>
      <x:c r="N6" s="4" t="str">
        <x:v>Sales manager</x:v>
      </x:c>
      <x:c r="O6" s="4"/>
      <x:c r="P6" s="9" t="n">
        <x:v>0</x:v>
      </x:c>
      <x:c r="Q6" s="11" t="n">
        <x:v>1</x:v>
      </x:c>
      <x:c r="R6" s="8" t="n">
        <x:v>45356</x:v>
      </x:c>
      <x:c r="S6" s="4" t="str">
        <x:v>Lost / cancelled</x:v>
      </x:c>
      <x:c r="T6" s="10" t="n">
        <x:v>0.351536</x:v>
      </x:c>
      <x:c r="U6" s="4" t="str">
        <x:v>Train</x:v>
      </x:c>
    </x:row>
    <x:row r="7" ht="34" customHeight="1">
      <x:c r="A7" s="4" t="str">
        <x:v>RS-00006</x:v>
      </x:c>
      <x:c r="B7" s="8" t="n">
        <x:v>45297</x:v>
      </x:c>
      <x:c r="C7" s="4" t="str">
        <x:v>PRJ-006</x:v>
      </x:c>
      <x:c r="D7" s="4" t="str">
        <x:v>Office</x:v>
      </x:c>
      <x:c r="E7" s="4" t="str">
        <x:v>Enquiry</x:v>
      </x:c>
      <x:c r="F7" s="4" t="str">
        <x:v>CUS-00006</x:v>
      </x:c>
      <x:c r="G7" s="4" t="str">
        <x:v>UNIT-00006</x:v>
      </x:c>
      <x:c r="H7" s="9" t="n">
        <x:v>22300000</x:v>
      </x:c>
      <x:c r="I7" s="10" t="n">
        <x:v>0.07</x:v>
      </x:c>
      <x:c r="J7" s="11" t="n">
        <x:v>3</x:v>
      </x:c>
      <x:c r="K7" s="11" t="n">
        <x:v>0</x:v>
      </x:c>
      <x:c r="L7" s="11" t="n">
        <x:v>1</x:v>
      </x:c>
      <x:c r="M7" s="9" t="n">
        <x:f>ROUND(H7*(1-I7),2)</x:f>
        <x:v>20739000</x:v>
      </x:c>
      <x:c r="N7" s="4" t="str">
        <x:v>Sales manager</x:v>
      </x:c>
      <x:c r="O7" s="4"/>
      <x:c r="P7" s="9" t="n">
        <x:v>0</x:v>
      </x:c>
      <x:c r="Q7" s="11" t="n">
        <x:v>0</x:v>
      </x:c>
      <x:c r="R7" s="8" t="n">
        <x:v>45357</x:v>
      </x:c>
      <x:c r="S7" s="4" t="str">
        <x:v>Retained</x:v>
      </x:c>
      <x:c r="T7" s="10" t="n">
        <x:v>0.276923</x:v>
      </x:c>
      <x:c r="U7" s="4" t="str">
        <x:v>Train</x:v>
      </x:c>
    </x:row>
    <x:row r="8" ht="34" customHeight="1">
      <x:c r="A8" s="4" t="str">
        <x:v>RS-00007</x:v>
      </x:c>
      <x:c r="B8" s="8" t="n">
        <x:v>45298</x:v>
      </x:c>
      <x:c r="C8" s="4" t="str">
        <x:v>PRJ-007</x:v>
      </x:c>
      <x:c r="D8" s="4" t="str">
        <x:v>Retail</x:v>
      </x:c>
      <x:c r="E8" s="4" t="str">
        <x:v>Agreement signed</x:v>
      </x:c>
      <x:c r="F8" s="4" t="str">
        <x:v>CUS-00007</x:v>
      </x:c>
      <x:c r="G8" s="4" t="str">
        <x:v>UNIT-00007</x:v>
      </x:c>
      <x:c r="H8" s="9" t="n">
        <x:v>7300000</x:v>
      </x:c>
      <x:c r="I8" s="10" t="n">
        <x:v>0.06</x:v>
      </x:c>
      <x:c r="J8" s="11" t="n">
        <x:v>6</x:v>
      </x:c>
      <x:c r="K8" s="11" t="n">
        <x:v>0</x:v>
      </x:c>
      <x:c r="L8" s="11" t="n">
        <x:v>1</x:v>
      </x:c>
      <x:c r="M8" s="9" t="n">
        <x:f>ROUND(H8*(1-I8),2)</x:f>
        <x:v>6862000</x:v>
      </x:c>
      <x:c r="N8" s="4" t="str">
        <x:v>Sales manager</x:v>
      </x:c>
      <x:c r="O8" s="4" t="str">
        <x:v>BOOK-00007</x:v>
      </x:c>
      <x:c r="P8" s="9" t="n">
        <x:v>6862000</x:v>
      </x:c>
      <x:c r="Q8" s="11" t="n">
        <x:v>0</x:v>
      </x:c>
      <x:c r="R8" s="8" t="n">
        <x:v>45358</x:v>
      </x:c>
      <x:c r="S8" s="4" t="str">
        <x:v>Retained</x:v>
      </x:c>
      <x:c r="T8" s="10" t="n">
        <x:v>0.291946</x:v>
      </x:c>
      <x:c r="U8" s="4" t="str">
        <x:v>Train</x:v>
      </x:c>
    </x:row>
    <x:row r="9" ht="34" customHeight="1">
      <x:c r="A9" s="4" t="str">
        <x:v>RS-00008</x:v>
      </x:c>
      <x:c r="B9" s="8" t="n">
        <x:v>45299</x:v>
      </x:c>
      <x:c r="C9" s="4" t="str">
        <x:v>PRJ-008</x:v>
      </x:c>
      <x:c r="D9" s="4" t="str">
        <x:v>Apartment</x:v>
      </x:c>
      <x:c r="E9" s="4" t="str">
        <x:v>Cancelled</x:v>
      </x:c>
      <x:c r="F9" s="4" t="str">
        <x:v>CUS-00008</x:v>
      </x:c>
      <x:c r="G9" s="4" t="str">
        <x:v>UNIT-00008</x:v>
      </x:c>
      <x:c r="H9" s="9" t="n">
        <x:v>12600000</x:v>
      </x:c>
      <x:c r="I9" s="10" t="n">
        <x:v>0.06</x:v>
      </x:c>
      <x:c r="J9" s="11" t="n">
        <x:v>2</x:v>
      </x:c>
      <x:c r="K9" s="11" t="n">
        <x:v>0</x:v>
      </x:c>
      <x:c r="L9" s="11" t="n">
        <x:v>1</x:v>
      </x:c>
      <x:c r="M9" s="9" t="n">
        <x:f>ROUND(H9*(1-I9),2)</x:f>
        <x:v>11844000</x:v>
      </x:c>
      <x:c r="N9" s="4" t="str">
        <x:v>Sales manager</x:v>
      </x:c>
      <x:c r="O9" s="4"/>
      <x:c r="P9" s="9" t="n">
        <x:v>0</x:v>
      </x:c>
      <x:c r="Q9" s="11" t="n">
        <x:v>1</x:v>
      </x:c>
      <x:c r="R9" s="8" t="n">
        <x:v>45359</x:v>
      </x:c>
      <x:c r="S9" s="4" t="str">
        <x:v>Lost / cancelled</x:v>
      </x:c>
      <x:c r="T9" s="10" t="n">
        <x:v>0.276923</x:v>
      </x:c>
      <x:c r="U9" s="4" t="str">
        <x:v>Train</x:v>
      </x:c>
    </x:row>
    <x:row r="10" ht="34" customHeight="1">
      <x:c r="A10" s="4" t="str">
        <x:v>RS-00009</x:v>
      </x:c>
      <x:c r="B10" s="8" t="n">
        <x:v>45300</x:v>
      </x:c>
      <x:c r="C10" s="4" t="str">
        <x:v>PRJ-009</x:v>
      </x:c>
      <x:c r="D10" s="4" t="str">
        <x:v>Office</x:v>
      </x:c>
      <x:c r="E10" s="4" t="str">
        <x:v>Booked</x:v>
      </x:c>
      <x:c r="F10" s="4" t="str">
        <x:v>CUS-00009</x:v>
      </x:c>
      <x:c r="G10" s="4" t="str">
        <x:v>UNIT-00009</x:v>
      </x:c>
      <x:c r="H10" s="9" t="n">
        <x:v>11800000</x:v>
      </x:c>
      <x:c r="I10" s="10" t="n">
        <x:v>0.12</x:v>
      </x:c>
      <x:c r="J10" s="11" t="n">
        <x:v>3</x:v>
      </x:c>
      <x:c r="K10" s="11" t="n">
        <x:v>2</x:v>
      </x:c>
      <x:c r="L10" s="11" t="n">
        <x:v>1</x:v>
      </x:c>
      <x:c r="M10" s="9" t="n">
        <x:f>ROUND(H10*(1-I10),2)</x:f>
        <x:v>10384000</x:v>
      </x:c>
      <x:c r="N10" s="4" t="str">
        <x:v>Sales head</x:v>
      </x:c>
      <x:c r="O10" s="4" t="str">
        <x:v>BOOK-00009</x:v>
      </x:c>
      <x:c r="P10" s="9" t="n">
        <x:v>10384000</x:v>
      </x:c>
      <x:c r="Q10" s="11" t="n">
        <x:v>0</x:v>
      </x:c>
      <x:c r="R10" s="8" t="n">
        <x:v>45360</x:v>
      </x:c>
      <x:c r="S10" s="4" t="str">
        <x:v>Retained</x:v>
      </x:c>
      <x:c r="T10" s="10" t="n">
        <x:v>0.145833</x:v>
      </x:c>
      <x:c r="U10" s="4" t="str">
        <x:v>Train</x:v>
      </x:c>
    </x:row>
    <x:row r="11" ht="34" customHeight="1">
      <x:c r="A11" s="4" t="str">
        <x:v>RS-00010</x:v>
      </x:c>
      <x:c r="B11" s="8" t="n">
        <x:v>45301</x:v>
      </x:c>
      <x:c r="C11" s="4" t="str">
        <x:v>PRJ-010</x:v>
      </x:c>
      <x:c r="D11" s="4" t="str">
        <x:v>Retail</x:v>
      </x:c>
      <x:c r="E11" s="4" t="str">
        <x:v>Cancelled</x:v>
      </x:c>
      <x:c r="F11" s="4" t="str">
        <x:v>CUS-00010</x:v>
      </x:c>
      <x:c r="G11" s="4" t="str">
        <x:v>UNIT-00010</x:v>
      </x:c>
      <x:c r="H11" s="9" t="n">
        <x:v>15000000</x:v>
      </x:c>
      <x:c r="I11" s="10" t="n">
        <x:v>0.05</x:v>
      </x:c>
      <x:c r="J11" s="11" t="n">
        <x:v>12</x:v>
      </x:c>
      <x:c r="K11" s="11" t="n">
        <x:v>1</x:v>
      </x:c>
      <x:c r="L11" s="11" t="n">
        <x:v>0</x:v>
      </x:c>
      <x:c r="M11" s="9" t="n">
        <x:f>ROUND(H11*(1-I11),2)</x:f>
        <x:v>14250000</x:v>
      </x:c>
      <x:c r="N11" s="4" t="str">
        <x:v>Sales manager</x:v>
      </x:c>
      <x:c r="O11" s="4"/>
      <x:c r="P11" s="9" t="n">
        <x:v>0</x:v>
      </x:c>
      <x:c r="Q11" s="11" t="n">
        <x:v>1</x:v>
      </x:c>
      <x:c r="R11" s="8" t="n">
        <x:v>45361</x:v>
      </x:c>
      <x:c r="S11" s="4" t="str">
        <x:v>Lost / cancelled</x:v>
      </x:c>
      <x:c r="T11" s="10" t="n">
        <x:v>0.351536</x:v>
      </x:c>
      <x:c r="U11" s="4" t="str">
        <x:v>Train</x:v>
      </x:c>
    </x:row>
    <x:row r="12" ht="34" customHeight="1">
      <x:c r="A12" s="4" t="str">
        <x:v>RS-00011</x:v>
      </x:c>
      <x:c r="B12" s="8" t="n">
        <x:v>45302</x:v>
      </x:c>
      <x:c r="C12" s="4" t="str">
        <x:v>PRJ-011</x:v>
      </x:c>
      <x:c r="D12" s="4" t="str">
        <x:v>Office</x:v>
      </x:c>
      <x:c r="E12" s="4" t="str">
        <x:v>Booked</x:v>
      </x:c>
      <x:c r="F12" s="4" t="str">
        <x:v>CUS-00011</x:v>
      </x:c>
      <x:c r="G12" s="4" t="str">
        <x:v>UNIT-00011</x:v>
      </x:c>
      <x:c r="H12" s="9" t="n">
        <x:v>7300000</x:v>
      </x:c>
      <x:c r="I12" s="10" t="n">
        <x:v>0.01</x:v>
      </x:c>
      <x:c r="J12" s="11" t="n">
        <x:v>9</x:v>
      </x:c>
      <x:c r="K12" s="11" t="n">
        <x:v>7</x:v>
      </x:c>
      <x:c r="L12" s="11" t="n">
        <x:v>0</x:v>
      </x:c>
      <x:c r="M12" s="9" t="n">
        <x:f>ROUND(H12*(1-I12),2)</x:f>
        <x:v>7227000</x:v>
      </x:c>
      <x:c r="N12" s="4" t="str">
        <x:v>Sales manager</x:v>
      </x:c>
      <x:c r="O12" s="4" t="str">
        <x:v>BOOK-00011</x:v>
      </x:c>
      <x:c r="P12" s="9" t="n">
        <x:v>7227000</x:v>
      </x:c>
      <x:c r="Q12" s="11" t="n">
        <x:v>0</x:v>
      </x:c>
      <x:c r="R12" s="8" t="n">
        <x:v>45362</x:v>
      </x:c>
      <x:c r="S12" s="4" t="str">
        <x:v>Retained</x:v>
      </x:c>
      <x:c r="T12" s="10" t="n">
        <x:v>0.305556</x:v>
      </x:c>
      <x:c r="U12" s="4" t="str">
        <x:v>Train</x:v>
      </x:c>
    </x:row>
    <x:row r="13" ht="34" customHeight="1">
      <x:c r="A13" s="4" t="str">
        <x:v>RS-00012</x:v>
      </x:c>
      <x:c r="B13" s="8" t="n">
        <x:v>45303</x:v>
      </x:c>
      <x:c r="C13" s="4" t="str">
        <x:v>PRJ-012</x:v>
      </x:c>
      <x:c r="D13" s="4" t="str">
        <x:v>Office</x:v>
      </x:c>
      <x:c r="E13" s="4" t="str">
        <x:v>Enquiry</x:v>
      </x:c>
      <x:c r="F13" s="4" t="str">
        <x:v>CUS-00012</x:v>
      </x:c>
      <x:c r="G13" s="4" t="str">
        <x:v>UNIT-00012</x:v>
      </x:c>
      <x:c r="H13" s="9" t="n">
        <x:v>23900000</x:v>
      </x:c>
      <x:c r="I13" s="10" t="n">
        <x:v>0.06</x:v>
      </x:c>
      <x:c r="J13" s="11" t="n">
        <x:v>12</x:v>
      </x:c>
      <x:c r="K13" s="11" t="n">
        <x:v>4</x:v>
      </x:c>
      <x:c r="L13" s="11" t="n">
        <x:v>1</x:v>
      </x:c>
      <x:c r="M13" s="9" t="n">
        <x:f>ROUND(H13*(1-I13),2)</x:f>
        <x:v>22466000</x:v>
      </x:c>
      <x:c r="N13" s="4" t="str">
        <x:v>Sales manager</x:v>
      </x:c>
      <x:c r="O13" s="4"/>
      <x:c r="P13" s="9" t="n">
        <x:v>0</x:v>
      </x:c>
      <x:c r="Q13" s="11" t="n">
        <x:v>0</x:v>
      </x:c>
      <x:c r="R13" s="8" t="n">
        <x:v>45363</x:v>
      </x:c>
      <x:c r="S13" s="4" t="str">
        <x:v>Retained</x:v>
      </x:c>
      <x:c r="T13" s="10" t="n">
        <x:v>0.351536</x:v>
      </x:c>
      <x:c r="U13" s="4" t="str">
        <x:v>Train</x:v>
      </x:c>
    </x:row>
    <x:row r="14" ht="34" customHeight="1">
      <x:c r="A14" s="4" t="str">
        <x:v>RS-00013</x:v>
      </x:c>
      <x:c r="B14" s="8" t="n">
        <x:v>45304</x:v>
      </x:c>
      <x:c r="C14" s="4" t="str">
        <x:v>PRJ-013</x:v>
      </x:c>
      <x:c r="D14" s="4" t="str">
        <x:v>Retail</x:v>
      </x:c>
      <x:c r="E14" s="4" t="str">
        <x:v>Handed over</x:v>
      </x:c>
      <x:c r="F14" s="4" t="str">
        <x:v>CUS-00013</x:v>
      </x:c>
      <x:c r="G14" s="4" t="str">
        <x:v>UNIT-00013</x:v>
      </x:c>
      <x:c r="H14" s="9" t="n">
        <x:v>6500000</x:v>
      </x:c>
      <x:c r="I14" s="10" t="n">
        <x:v>0.05</x:v>
      </x:c>
      <x:c r="J14" s="11" t="n">
        <x:v>1</x:v>
      </x:c>
      <x:c r="K14" s="11" t="n">
        <x:v>2</x:v>
      </x:c>
      <x:c r="L14" s="11" t="n">
        <x:v>0</x:v>
      </x:c>
      <x:c r="M14" s="9" t="n">
        <x:f>ROUND(H14*(1-I14),2)</x:f>
        <x:v>6175000</x:v>
      </x:c>
      <x:c r="N14" s="4" t="str">
        <x:v>Sales manager</x:v>
      </x:c>
      <x:c r="O14" s="4" t="str">
        <x:v>BOOK-00013</x:v>
      </x:c>
      <x:c r="P14" s="9" t="n">
        <x:v>1543750</x:v>
      </x:c>
      <x:c r="Q14" s="11" t="n">
        <x:v>0</x:v>
      </x:c>
      <x:c r="R14" s="8" t="n">
        <x:v>45364</x:v>
      </x:c>
      <x:c r="S14" s="4" t="str">
        <x:v>Retained</x:v>
      </x:c>
      <x:c r="T14" s="10" t="n">
        <x:v>0.204152</x:v>
      </x:c>
      <x:c r="U14" s="4" t="str">
        <x:v>Train</x:v>
      </x:c>
    </x:row>
    <x:row r="15" ht="34" customHeight="1">
      <x:c r="A15" s="4" t="str">
        <x:v>RS-00014</x:v>
      </x:c>
      <x:c r="B15" s="8" t="n">
        <x:v>45305</x:v>
      </x:c>
      <x:c r="C15" s="4" t="str">
        <x:v>PRJ-014</x:v>
      </x:c>
      <x:c r="D15" s="4" t="str">
        <x:v>Retail</x:v>
      </x:c>
      <x:c r="E15" s="4" t="str">
        <x:v>Reserved</x:v>
      </x:c>
      <x:c r="F15" s="4" t="str">
        <x:v>CUS-00014</x:v>
      </x:c>
      <x:c r="G15" s="4" t="str">
        <x:v>UNIT-00014</x:v>
      </x:c>
      <x:c r="H15" s="9" t="n">
        <x:v>13000000</x:v>
      </x:c>
      <x:c r="I15" s="10" t="n">
        <x:v>0.01</x:v>
      </x:c>
      <x:c r="J15" s="11" t="n">
        <x:v>1</x:v>
      </x:c>
      <x:c r="K15" s="11" t="n">
        <x:v>8</x:v>
      </x:c>
      <x:c r="L15" s="11" t="n">
        <x:v>1</x:v>
      </x:c>
      <x:c r="M15" s="9" t="n">
        <x:f>ROUND(H15*(1-I15),2)</x:f>
        <x:v>12870000</x:v>
      </x:c>
      <x:c r="N15" s="4" t="str">
        <x:v>Sales manager</x:v>
      </x:c>
      <x:c r="O15" s="4"/>
      <x:c r="P15" s="9" t="n">
        <x:v>0</x:v>
      </x:c>
      <x:c r="Q15" s="11" t="n">
        <x:v>0</x:v>
      </x:c>
      <x:c r="R15" s="8" t="n">
        <x:v>45365</x:v>
      </x:c>
      <x:c r="S15" s="4" t="str">
        <x:v>Retained</x:v>
      </x:c>
      <x:c r="T15" s="10" t="n">
        <x:v>0.072165</x:v>
      </x:c>
      <x:c r="U15" s="4" t="str">
        <x:v>Train</x:v>
      </x:c>
    </x:row>
    <x:row r="16" ht="34" customHeight="1">
      <x:c r="A16" s="4" t="str">
        <x:v>RS-00015</x:v>
      </x:c>
      <x:c r="B16" s="8" t="n">
        <x:v>45306</x:v>
      </x:c>
      <x:c r="C16" s="4" t="str">
        <x:v>PRJ-015</x:v>
      </x:c>
      <x:c r="D16" s="4" t="str">
        <x:v>Apartment</x:v>
      </x:c>
      <x:c r="E16" s="4" t="str">
        <x:v>Booked</x:v>
      </x:c>
      <x:c r="F16" s="4" t="str">
        <x:v>CUS-00015</x:v>
      </x:c>
      <x:c r="G16" s="4" t="str">
        <x:v>UNIT-00015</x:v>
      </x:c>
      <x:c r="H16" s="9" t="n">
        <x:v>20200000</x:v>
      </x:c>
      <x:c r="I16" s="10" t="n">
        <x:v>0.01</x:v>
      </x:c>
      <x:c r="J16" s="11" t="n">
        <x:v>12</x:v>
      </x:c>
      <x:c r="K16" s="11" t="n">
        <x:v>5</x:v>
      </x:c>
      <x:c r="L16" s="11" t="n">
        <x:v>1</x:v>
      </x:c>
      <x:c r="M16" s="9" t="n">
        <x:f>ROUND(H16*(1-I16),2)</x:f>
        <x:v>19998000</x:v>
      </x:c>
      <x:c r="N16" s="4" t="str">
        <x:v>Sales manager</x:v>
      </x:c>
      <x:c r="O16" s="4" t="str">
        <x:v>BOOK-00015</x:v>
      </x:c>
      <x:c r="P16" s="9" t="n">
        <x:v>1999800</x:v>
      </x:c>
      <x:c r="Q16" s="11" t="n">
        <x:v>0</x:v>
      </x:c>
      <x:c r="R16" s="8" t="n">
        <x:v>45366</x:v>
      </x:c>
      <x:c r="S16" s="4" t="str">
        <x:v>Retained</x:v>
      </x:c>
      <x:c r="T16" s="10" t="n">
        <x:v>0.254545</x:v>
      </x:c>
      <x:c r="U16" s="4" t="str">
        <x:v>Train</x:v>
      </x:c>
    </x:row>
    <x:row r="17" ht="34" customHeight="1">
      <x:c r="A17" s="4" t="str">
        <x:v>RS-00016</x:v>
      </x:c>
      <x:c r="B17" s="8" t="n">
        <x:v>45307</x:v>
      </x:c>
      <x:c r="C17" s="4" t="str">
        <x:v>PRJ-016</x:v>
      </x:c>
      <x:c r="D17" s="4" t="str">
        <x:v>Retail</x:v>
      </x:c>
      <x:c r="E17" s="4" t="str">
        <x:v>Reserved</x:v>
      </x:c>
      <x:c r="F17" s="4" t="str">
        <x:v>CUS-00016</x:v>
      </x:c>
      <x:c r="G17" s="4" t="str">
        <x:v>UNIT-00016</x:v>
      </x:c>
      <x:c r="H17" s="9" t="n">
        <x:v>7300000</x:v>
      </x:c>
      <x:c r="I17" s="10" t="n">
        <x:v>0.09</x:v>
      </x:c>
      <x:c r="J17" s="11" t="n">
        <x:v>3</x:v>
      </x:c>
      <x:c r="K17" s="11" t="n">
        <x:v>5</x:v>
      </x:c>
      <x:c r="L17" s="11" t="n">
        <x:v>1</x:v>
      </x:c>
      <x:c r="M17" s="9" t="n">
        <x:f>ROUND(H17*(1-I17),2)</x:f>
        <x:v>6643000</x:v>
      </x:c>
      <x:c r="N17" s="4" t="str">
        <x:v>Sales head</x:v>
      </x:c>
      <x:c r="O17" s="4"/>
      <x:c r="P17" s="9" t="n">
        <x:v>0</x:v>
      </x:c>
      <x:c r="Q17" s="11" t="n">
        <x:v>0</x:v>
      </x:c>
      <x:c r="R17" s="8" t="n">
        <x:v>45367</x:v>
      </x:c>
      <x:c r="S17" s="4" t="str">
        <x:v>Retained</x:v>
      </x:c>
      <x:c r="T17" s="10" t="n">
        <x:v>0.145833</x:v>
      </x:c>
      <x:c r="U17" s="4" t="str">
        <x:v>Train</x:v>
      </x:c>
    </x:row>
    <x:row r="18" ht="34" customHeight="1">
      <x:c r="A18" s="4" t="str">
        <x:v>RS-00017</x:v>
      </x:c>
      <x:c r="B18" s="8" t="n">
        <x:v>45308</x:v>
      </x:c>
      <x:c r="C18" s="4" t="str">
        <x:v>PRJ-017</x:v>
      </x:c>
      <x:c r="D18" s="4" t="str">
        <x:v>Villa</x:v>
      </x:c>
      <x:c r="E18" s="4" t="str">
        <x:v>Agreement signed</x:v>
      </x:c>
      <x:c r="F18" s="4" t="str">
        <x:v>CUS-00017</x:v>
      </x:c>
      <x:c r="G18" s="4" t="str">
        <x:v>UNIT-00017</x:v>
      </x:c>
      <x:c r="H18" s="9" t="n">
        <x:v>20600000</x:v>
      </x:c>
      <x:c r="I18" s="10" t="n">
        <x:v>0.09</x:v>
      </x:c>
      <x:c r="J18" s="11" t="n">
        <x:v>6</x:v>
      </x:c>
      <x:c r="K18" s="11" t="n">
        <x:v>2</x:v>
      </x:c>
      <x:c r="L18" s="11" t="n">
        <x:v>0</x:v>
      </x:c>
      <x:c r="M18" s="9" t="n">
        <x:f>ROUND(H18*(1-I18),2)</x:f>
        <x:v>18746000</x:v>
      </x:c>
      <x:c r="N18" s="4" t="str">
        <x:v>Sales head</x:v>
      </x:c>
      <x:c r="O18" s="4" t="str">
        <x:v>BOOK-00017</x:v>
      </x:c>
      <x:c r="P18" s="9" t="n">
        <x:v>9373000</x:v>
      </x:c>
      <x:c r="Q18" s="11" t="n">
        <x:v>0</x:v>
      </x:c>
      <x:c r="R18" s="8" t="n">
        <x:v>45368</x:v>
      </x:c>
      <x:c r="S18" s="4" t="str">
        <x:v>Retained</x:v>
      </x:c>
      <x:c r="T18" s="10" t="n">
        <x:v>0.226277</x:v>
      </x:c>
      <x:c r="U18" s="4" t="str">
        <x:v>Train</x:v>
      </x:c>
    </x:row>
    <x:row r="19" ht="34" customHeight="1">
      <x:c r="A19" s="4" t="str">
        <x:v>RS-00018</x:v>
      </x:c>
      <x:c r="B19" s="8" t="n">
        <x:v>45309</x:v>
      </x:c>
      <x:c r="C19" s="4" t="str">
        <x:v>PRJ-018</x:v>
      </x:c>
      <x:c r="D19" s="4" t="str">
        <x:v>Office</x:v>
      </x:c>
      <x:c r="E19" s="4" t="str">
        <x:v>Cancelled</x:v>
      </x:c>
      <x:c r="F19" s="4" t="str">
        <x:v>CUS-00018</x:v>
      </x:c>
      <x:c r="G19" s="4" t="str">
        <x:v>UNIT-00018</x:v>
      </x:c>
      <x:c r="H19" s="9" t="n">
        <x:v>8200000</x:v>
      </x:c>
      <x:c r="I19" s="10" t="n">
        <x:v>0.02</x:v>
      </x:c>
      <x:c r="J19" s="11" t="n">
        <x:v>8</x:v>
      </x:c>
      <x:c r="K19" s="11" t="n">
        <x:v>3</x:v>
      </x:c>
      <x:c r="L19" s="11" t="n">
        <x:v>1</x:v>
      </x:c>
      <x:c r="M19" s="9" t="n">
        <x:f>ROUND(H19*(1-I19),2)</x:f>
        <x:v>8036000</x:v>
      </x:c>
      <x:c r="N19" s="4" t="str">
        <x:v>Sales manager</x:v>
      </x:c>
      <x:c r="O19" s="4"/>
      <x:c r="P19" s="9" t="n">
        <x:v>0</x:v>
      </x:c>
      <x:c r="Q19" s="11" t="n">
        <x:v>1</x:v>
      </x:c>
      <x:c r="R19" s="8" t="n">
        <x:v>45369</x:v>
      </x:c>
      <x:c r="S19" s="4" t="str">
        <x:v>Lost / cancelled</x:v>
      </x:c>
      <x:c r="T19" s="10" t="n">
        <x:v>0.254545</x:v>
      </x:c>
      <x:c r="U19" s="4" t="str">
        <x:v>Train</x:v>
      </x:c>
    </x:row>
    <x:row r="20" ht="34" customHeight="1">
      <x:c r="A20" s="4" t="str">
        <x:v>RS-00019</x:v>
      </x:c>
      <x:c r="B20" s="8" t="n">
        <x:v>45310</x:v>
      </x:c>
      <x:c r="C20" s="4" t="str">
        <x:v>PRJ-019</x:v>
      </x:c>
      <x:c r="D20" s="4" t="str">
        <x:v>Villa</x:v>
      </x:c>
      <x:c r="E20" s="4" t="str">
        <x:v>Enquiry</x:v>
      </x:c>
      <x:c r="F20" s="4" t="str">
        <x:v>CUS-00019</x:v>
      </x:c>
      <x:c r="G20" s="4" t="str">
        <x:v>UNIT-00019</x:v>
      </x:c>
      <x:c r="H20" s="9" t="n">
        <x:v>3600000</x:v>
      </x:c>
      <x:c r="I20" s="10" t="n">
        <x:v>0.1</x:v>
      </x:c>
      <x:c r="J20" s="11" t="n">
        <x:v>3</x:v>
      </x:c>
      <x:c r="K20" s="11" t="n">
        <x:v>9</x:v>
      </x:c>
      <x:c r="L20" s="11" t="n">
        <x:v>0</x:v>
      </x:c>
      <x:c r="M20" s="9" t="n">
        <x:f>ROUND(H20*(1-I20),2)</x:f>
        <x:v>3240000</x:v>
      </x:c>
      <x:c r="N20" s="4" t="str">
        <x:v>Sales head</x:v>
      </x:c>
      <x:c r="O20" s="4"/>
      <x:c r="P20" s="9" t="n">
        <x:v>0</x:v>
      </x:c>
      <x:c r="Q20" s="11" t="n">
        <x:v>0</x:v>
      </x:c>
      <x:c r="R20" s="8" t="n">
        <x:v>45370</x:v>
      </x:c>
      <x:c r="S20" s="4" t="str">
        <x:v>Retained</x:v>
      </x:c>
      <x:c r="T20" s="10" t="n">
        <x:v>0.145833</x:v>
      </x:c>
      <x:c r="U20" s="4" t="str">
        <x:v>Train</x:v>
      </x:c>
    </x:row>
    <x:row r="21" ht="34" customHeight="1">
      <x:c r="A21" s="4" t="str">
        <x:v>RS-00020</x:v>
      </x:c>
      <x:c r="B21" s="8" t="n">
        <x:v>45311</x:v>
      </x:c>
      <x:c r="C21" s="4" t="str">
        <x:v>PRJ-020</x:v>
      </x:c>
      <x:c r="D21" s="4" t="str">
        <x:v>Apartment</x:v>
      </x:c>
      <x:c r="E21" s="4" t="str">
        <x:v>Reserved</x:v>
      </x:c>
      <x:c r="F21" s="4" t="str">
        <x:v>CUS-00020</x:v>
      </x:c>
      <x:c r="G21" s="4" t="str">
        <x:v>UNIT-00020</x:v>
      </x:c>
      <x:c r="H21" s="9" t="n">
        <x:v>18700000</x:v>
      </x:c>
      <x:c r="I21" s="10" t="n">
        <x:v>0.05</x:v>
      </x:c>
      <x:c r="J21" s="11" t="n">
        <x:v>12</x:v>
      </x:c>
      <x:c r="K21" s="11" t="n">
        <x:v>1</x:v>
      </x:c>
      <x:c r="L21" s="11" t="n">
        <x:v>0</x:v>
      </x:c>
      <x:c r="M21" s="9" t="n">
        <x:f>ROUND(H21*(1-I21),2)</x:f>
        <x:v>17765000</x:v>
      </x:c>
      <x:c r="N21" s="4" t="str">
        <x:v>Sales manager</x:v>
      </x:c>
      <x:c r="O21" s="4"/>
      <x:c r="P21" s="9" t="n">
        <x:v>0</x:v>
      </x:c>
      <x:c r="Q21" s="11" t="n">
        <x:v>0</x:v>
      </x:c>
      <x:c r="R21" s="8" t="n">
        <x:v>45371</x:v>
      </x:c>
      <x:c r="S21" s="4" t="str">
        <x:v>Retained</x:v>
      </x:c>
      <x:c r="T21" s="10" t="n">
        <x:v>0.351536</x:v>
      </x:c>
      <x:c r="U21" s="4" t="str">
        <x:v>Train</x:v>
      </x:c>
    </x:row>
    <x:row r="22" ht="34" customHeight="1">
      <x:c r="A22" s="4" t="str">
        <x:v>RS-00021</x:v>
      </x:c>
      <x:c r="B22" s="8" t="n">
        <x:v>45312</x:v>
      </x:c>
      <x:c r="C22" s="4" t="str">
        <x:v>PRJ-001</x:v>
      </x:c>
      <x:c r="D22" s="4" t="str">
        <x:v>Villa</x:v>
      </x:c>
      <x:c r="E22" s="4" t="str">
        <x:v>Cancelled</x:v>
      </x:c>
      <x:c r="F22" s="4" t="str">
        <x:v>CUS-00021</x:v>
      </x:c>
      <x:c r="G22" s="4" t="str">
        <x:v>UNIT-00021</x:v>
      </x:c>
      <x:c r="H22" s="9" t="n">
        <x:v>20300000</x:v>
      </x:c>
      <x:c r="I22" s="10" t="n">
        <x:v>0.01</x:v>
      </x:c>
      <x:c r="J22" s="11" t="n">
        <x:v>10</x:v>
      </x:c>
      <x:c r="K22" s="11" t="n">
        <x:v>2</x:v>
      </x:c>
      <x:c r="L22" s="11" t="n">
        <x:v>0</x:v>
      </x:c>
      <x:c r="M22" s="9" t="n">
        <x:f>ROUND(H22*(1-I22),2)</x:f>
        <x:v>20097000</x:v>
      </x:c>
      <x:c r="N22" s="4" t="str">
        <x:v>Sales manager</x:v>
      </x:c>
      <x:c r="O22" s="4"/>
      <x:c r="P22" s="9" t="n">
        <x:v>0</x:v>
      </x:c>
      <x:c r="Q22" s="11" t="n">
        <x:v>1</x:v>
      </x:c>
      <x:c r="R22" s="8" t="n">
        <x:v>45372</x:v>
      </x:c>
      <x:c r="S22" s="4" t="str">
        <x:v>Lost / cancelled</x:v>
      </x:c>
      <x:c r="T22" s="10" t="n">
        <x:v>0.305556</x:v>
      </x:c>
      <x:c r="U22" s="4" t="str">
        <x:v>Train</x:v>
      </x:c>
    </x:row>
    <x:row r="23" ht="34" customHeight="1">
      <x:c r="A23" s="4" t="str">
        <x:v>RS-00022</x:v>
      </x:c>
      <x:c r="B23" s="8" t="n">
        <x:v>45313</x:v>
      </x:c>
      <x:c r="C23" s="4" t="str">
        <x:v>PRJ-002</x:v>
      </x:c>
      <x:c r="D23" s="4" t="str">
        <x:v>Villa</x:v>
      </x:c>
      <x:c r="E23" s="4" t="str">
        <x:v>Handed over</x:v>
      </x:c>
      <x:c r="F23" s="4" t="str">
        <x:v>CUS-00022</x:v>
      </x:c>
      <x:c r="G23" s="4" t="str">
        <x:v>UNIT-00022</x:v>
      </x:c>
      <x:c r="H23" s="9" t="n">
        <x:v>18800000</x:v>
      </x:c>
      <x:c r="I23" s="10" t="n">
        <x:v>0.04</x:v>
      </x:c>
      <x:c r="J23" s="11" t="n">
        <x:v>2</x:v>
      </x:c>
      <x:c r="K23" s="11" t="n">
        <x:v>5</x:v>
      </x:c>
      <x:c r="L23" s="11" t="n">
        <x:v>0</x:v>
      </x:c>
      <x:c r="M23" s="9" t="n">
        <x:f>ROUND(H23*(1-I23),2)</x:f>
        <x:v>18048000</x:v>
      </x:c>
      <x:c r="N23" s="4" t="str">
        <x:v>Sales manager</x:v>
      </x:c>
      <x:c r="O23" s="4" t="str">
        <x:v>BOOK-00022</x:v>
      </x:c>
      <x:c r="P23" s="9" t="n">
        <x:v>1804800</x:v>
      </x:c>
      <x:c r="Q23" s="11" t="n">
        <x:v>0</x:v>
      </x:c>
      <x:c r="R23" s="8" t="n">
        <x:v>45373</x:v>
      </x:c>
      <x:c r="S23" s="4" t="str">
        <x:v>Retained</x:v>
      </x:c>
      <x:c r="T23" s="10" t="n">
        <x:v>0.204152</x:v>
      </x:c>
      <x:c r="U23" s="4" t="str">
        <x:v>Train</x:v>
      </x:c>
    </x:row>
    <x:row r="24" ht="34" customHeight="1">
      <x:c r="A24" s="4" t="str">
        <x:v>RS-00023</x:v>
      </x:c>
      <x:c r="B24" s="8" t="n">
        <x:v>45314</x:v>
      </x:c>
      <x:c r="C24" s="4" t="str">
        <x:v>PRJ-003</x:v>
      </x:c>
      <x:c r="D24" s="4" t="str">
        <x:v>Apartment</x:v>
      </x:c>
      <x:c r="E24" s="4" t="str">
        <x:v>Reserved</x:v>
      </x:c>
      <x:c r="F24" s="4" t="str">
        <x:v>CUS-00023</x:v>
      </x:c>
      <x:c r="G24" s="4" t="str">
        <x:v>UNIT-00023</x:v>
      </x:c>
      <x:c r="H24" s="9" t="n">
        <x:v>14100000</x:v>
      </x:c>
      <x:c r="I24" s="10" t="n">
        <x:v>0.05</x:v>
      </x:c>
      <x:c r="J24" s="11" t="n">
        <x:v>6</x:v>
      </x:c>
      <x:c r="K24" s="11" t="n">
        <x:v>1</x:v>
      </x:c>
      <x:c r="L24" s="11" t="n">
        <x:v>1</x:v>
      </x:c>
      <x:c r="M24" s="9" t="n">
        <x:f>ROUND(H24*(1-I24),2)</x:f>
        <x:v>13395000</x:v>
      </x:c>
      <x:c r="N24" s="4" t="str">
        <x:v>Sales manager</x:v>
      </x:c>
      <x:c r="O24" s="4"/>
      <x:c r="P24" s="9" t="n">
        <x:v>0</x:v>
      </x:c>
      <x:c r="Q24" s="11" t="n">
        <x:v>0</x:v>
      </x:c>
      <x:c r="R24" s="8" t="n">
        <x:v>45374</x:v>
      </x:c>
      <x:c r="S24" s="4" t="str">
        <x:v>Retained</x:v>
      </x:c>
      <x:c r="T24" s="10" t="n">
        <x:v>0.291946</x:v>
      </x:c>
      <x:c r="U24" s="4" t="str">
        <x:v>Train</x:v>
      </x:c>
    </x:row>
    <x:row r="25" ht="34" customHeight="1">
      <x:c r="A25" s="4" t="str">
        <x:v>RS-00024</x:v>
      </x:c>
      <x:c r="B25" s="8" t="n">
        <x:v>45315</x:v>
      </x:c>
      <x:c r="C25" s="4" t="str">
        <x:v>PRJ-004</x:v>
      </x:c>
      <x:c r="D25" s="4" t="str">
        <x:v>Retail</x:v>
      </x:c>
      <x:c r="E25" s="4" t="str">
        <x:v>Agreement signed</x:v>
      </x:c>
      <x:c r="F25" s="4" t="str">
        <x:v>CUS-00024</x:v>
      </x:c>
      <x:c r="G25" s="4" t="str">
        <x:v>UNIT-00024</x:v>
      </x:c>
      <x:c r="H25" s="9" t="n">
        <x:v>20000000</x:v>
      </x:c>
      <x:c r="I25" s="10" t="n">
        <x:v>0</x:v>
      </x:c>
      <x:c r="J25" s="11" t="n">
        <x:v>1</x:v>
      </x:c>
      <x:c r="K25" s="11" t="n">
        <x:v>7</x:v>
      </x:c>
      <x:c r="L25" s="11" t="n">
        <x:v>1</x:v>
      </x:c>
      <x:c r="M25" s="9" t="n">
        <x:f>ROUND(H25*(1-I25),2)</x:f>
        <x:v>20000000</x:v>
      </x:c>
      <x:c r="N25" s="4" t="str">
        <x:v>Sales manager</x:v>
      </x:c>
      <x:c r="O25" s="4" t="str">
        <x:v>BOOK-00024</x:v>
      </x:c>
      <x:c r="P25" s="9" t="n">
        <x:v>2000000</x:v>
      </x:c>
      <x:c r="Q25" s="11" t="n">
        <x:v>0</x:v>
      </x:c>
      <x:c r="R25" s="8" t="n">
        <x:v>45375</x:v>
      </x:c>
      <x:c r="S25" s="4" t="str">
        <x:v>Retained</x:v>
      </x:c>
      <x:c r="T25" s="10" t="n">
        <x:v>0.072165</x:v>
      </x:c>
      <x:c r="U25" s="4" t="str">
        <x:v>Train</x:v>
      </x:c>
    </x:row>
    <x:row r="26" ht="34" customHeight="1">
      <x:c r="A26" s="4" t="str">
        <x:v>RS-00025</x:v>
      </x:c>
      <x:c r="B26" s="8" t="n">
        <x:v>45316</x:v>
      </x:c>
      <x:c r="C26" s="4" t="str">
        <x:v>PRJ-005</x:v>
      </x:c>
      <x:c r="D26" s="4" t="str">
        <x:v>Villa</x:v>
      </x:c>
      <x:c r="E26" s="4" t="str">
        <x:v>Enquiry</x:v>
      </x:c>
      <x:c r="F26" s="4" t="str">
        <x:v>CUS-00025</x:v>
      </x:c>
      <x:c r="G26" s="4" t="str">
        <x:v>UNIT-00025</x:v>
      </x:c>
      <x:c r="H26" s="9" t="n">
        <x:v>18200000</x:v>
      </x:c>
      <x:c r="I26" s="10" t="n">
        <x:v>0.09</x:v>
      </x:c>
      <x:c r="J26" s="11" t="n">
        <x:v>3</x:v>
      </x:c>
      <x:c r="K26" s="11" t="n">
        <x:v>0</x:v>
      </x:c>
      <x:c r="L26" s="11" t="n">
        <x:v>0</x:v>
      </x:c>
      <x:c r="M26" s="9" t="n">
        <x:f>ROUND(H26*(1-I26),2)</x:f>
        <x:v>16562000</x:v>
      </x:c>
      <x:c r="N26" s="4" t="str">
        <x:v>Sales head</x:v>
      </x:c>
      <x:c r="O26" s="4"/>
      <x:c r="P26" s="9" t="n">
        <x:v>0</x:v>
      </x:c>
      <x:c r="Q26" s="11" t="n">
        <x:v>0</x:v>
      </x:c>
      <x:c r="R26" s="8" t="n">
        <x:v>45376</x:v>
      </x:c>
      <x:c r="S26" s="4" t="str">
        <x:v>Retained</x:v>
      </x:c>
      <x:c r="T26" s="10" t="n">
        <x:v>0.276923</x:v>
      </x:c>
      <x:c r="U26" s="4" t="str">
        <x:v>Train</x:v>
      </x:c>
    </x:row>
    <x:row r="27" ht="34" customHeight="1">
      <x:c r="A27" s="4" t="str">
        <x:v>RS-00026</x:v>
      </x:c>
      <x:c r="B27" s="8" t="n">
        <x:v>45317</x:v>
      </x:c>
      <x:c r="C27" s="4" t="str">
        <x:v>PRJ-006</x:v>
      </x:c>
      <x:c r="D27" s="4" t="str">
        <x:v>Villa</x:v>
      </x:c>
      <x:c r="E27" s="4" t="str">
        <x:v>Agreement signed</x:v>
      </x:c>
      <x:c r="F27" s="4" t="str">
        <x:v>CUS-00026</x:v>
      </x:c>
      <x:c r="G27" s="4" t="str">
        <x:v>UNIT-00026</x:v>
      </x:c>
      <x:c r="H27" s="9" t="n">
        <x:v>24900000</x:v>
      </x:c>
      <x:c r="I27" s="10" t="n">
        <x:v>0.03</x:v>
      </x:c>
      <x:c r="J27" s="11" t="n">
        <x:v>3</x:v>
      </x:c>
      <x:c r="K27" s="11" t="n">
        <x:v>6</x:v>
      </x:c>
      <x:c r="L27" s="11" t="n">
        <x:v>1</x:v>
      </x:c>
      <x:c r="M27" s="9" t="n">
        <x:f>ROUND(H27*(1-I27),2)</x:f>
        <x:v>24153000</x:v>
      </x:c>
      <x:c r="N27" s="4" t="str">
        <x:v>Sales manager</x:v>
      </x:c>
      <x:c r="O27" s="4" t="str">
        <x:v>BOOK-00026</x:v>
      </x:c>
      <x:c r="P27" s="9" t="n">
        <x:v>6038250</x:v>
      </x:c>
      <x:c r="Q27" s="11" t="n">
        <x:v>0</x:v>
      </x:c>
      <x:c r="R27" s="8" t="n">
        <x:v>45377</x:v>
      </x:c>
      <x:c r="S27" s="4" t="str">
        <x:v>Retained</x:v>
      </x:c>
      <x:c r="T27" s="10" t="n">
        <x:v>0.171717</x:v>
      </x:c>
      <x:c r="U27" s="4" t="str">
        <x:v>Train</x:v>
      </x:c>
    </x:row>
    <x:row r="28" ht="34" customHeight="1">
      <x:c r="A28" s="4" t="str">
        <x:v>RS-00027</x:v>
      </x:c>
      <x:c r="B28" s="8" t="n">
        <x:v>45318</x:v>
      </x:c>
      <x:c r="C28" s="4" t="str">
        <x:v>PRJ-007</x:v>
      </x:c>
      <x:c r="D28" s="4" t="str">
        <x:v>Office</x:v>
      </x:c>
      <x:c r="E28" s="4" t="str">
        <x:v>Agreement signed</x:v>
      </x:c>
      <x:c r="F28" s="4" t="str">
        <x:v>CUS-00027</x:v>
      </x:c>
      <x:c r="G28" s="4" t="str">
        <x:v>UNIT-00027</x:v>
      </x:c>
      <x:c r="H28" s="9" t="n">
        <x:v>22900000</x:v>
      </x:c>
      <x:c r="I28" s="10" t="n">
        <x:v>0.05</x:v>
      </x:c>
      <x:c r="J28" s="11" t="n">
        <x:v>10</x:v>
      </x:c>
      <x:c r="K28" s="11" t="n">
        <x:v>3</x:v>
      </x:c>
      <x:c r="L28" s="11" t="n">
        <x:v>1</x:v>
      </x:c>
      <x:c r="M28" s="9" t="n">
        <x:f>ROUND(H28*(1-I28),2)</x:f>
        <x:v>21755000</x:v>
      </x:c>
      <x:c r="N28" s="4" t="str">
        <x:v>Sales manager</x:v>
      </x:c>
      <x:c r="O28" s="4" t="str">
        <x:v>BOOK-00027</x:v>
      </x:c>
      <x:c r="P28" s="9" t="n">
        <x:v>10877500</x:v>
      </x:c>
      <x:c r="Q28" s="11" t="n">
        <x:v>0</x:v>
      </x:c>
      <x:c r="R28" s="8" t="n">
        <x:v>45378</x:v>
      </x:c>
      <x:c r="S28" s="4" t="str">
        <x:v>Retained</x:v>
      </x:c>
      <x:c r="T28" s="10" t="n">
        <x:v>0.310195</x:v>
      </x:c>
      <x:c r="U28" s="4" t="str">
        <x:v>Train</x:v>
      </x:c>
    </x:row>
    <x:row r="29" ht="34" customHeight="1">
      <x:c r="A29" s="4" t="str">
        <x:v>RS-00028</x:v>
      </x:c>
      <x:c r="B29" s="8" t="n">
        <x:v>45319</x:v>
      </x:c>
      <x:c r="C29" s="4" t="str">
        <x:v>PRJ-008</x:v>
      </x:c>
      <x:c r="D29" s="4" t="str">
        <x:v>Villa</x:v>
      </x:c>
      <x:c r="E29" s="4" t="str">
        <x:v>Reserved</x:v>
      </x:c>
      <x:c r="F29" s="4" t="str">
        <x:v>CUS-00028</x:v>
      </x:c>
      <x:c r="G29" s="4" t="str">
        <x:v>UNIT-00028</x:v>
      </x:c>
      <x:c r="H29" s="9" t="n">
        <x:v>21600000</x:v>
      </x:c>
      <x:c r="I29" s="10" t="n">
        <x:v>0.01</x:v>
      </x:c>
      <x:c r="J29" s="11" t="n">
        <x:v>11</x:v>
      </x:c>
      <x:c r="K29" s="11" t="n">
        <x:v>3</x:v>
      </x:c>
      <x:c r="L29" s="11" t="n">
        <x:v>0</x:v>
      </x:c>
      <x:c r="M29" s="9" t="n">
        <x:f>ROUND(H29*(1-I29),2)</x:f>
        <x:v>21384000</x:v>
      </x:c>
      <x:c r="N29" s="4" t="str">
        <x:v>Sales manager</x:v>
      </x:c>
      <x:c r="O29" s="4"/>
      <x:c r="P29" s="9" t="n">
        <x:v>0</x:v>
      </x:c>
      <x:c r="Q29" s="11" t="n">
        <x:v>0</x:v>
      </x:c>
      <x:c r="R29" s="8" t="n">
        <x:v>45379</x:v>
      </x:c>
      <x:c r="S29" s="4" t="str">
        <x:v>Retained</x:v>
      </x:c>
      <x:c r="T29" s="10" t="n">
        <x:v>0.305556</x:v>
      </x:c>
      <x:c r="U29" s="4" t="str">
        <x:v>Train</x:v>
      </x:c>
    </x:row>
    <x:row r="30" ht="34" customHeight="1">
      <x:c r="A30" s="4" t="str">
        <x:v>RS-00029</x:v>
      </x:c>
      <x:c r="B30" s="8" t="n">
        <x:v>45292</x:v>
      </x:c>
      <x:c r="C30" s="4" t="str">
        <x:v>PRJ-009</x:v>
      </x:c>
      <x:c r="D30" s="4" t="str">
        <x:v>Retail</x:v>
      </x:c>
      <x:c r="E30" s="4" t="str">
        <x:v>Enquiry</x:v>
      </x:c>
      <x:c r="F30" s="4" t="str">
        <x:v>CUS-00029</x:v>
      </x:c>
      <x:c r="G30" s="4" t="str">
        <x:v>UNIT-00029</x:v>
      </x:c>
      <x:c r="H30" s="9" t="n">
        <x:v>22800000</x:v>
      </x:c>
      <x:c r="I30" s="10" t="n">
        <x:v>0.01</x:v>
      </x:c>
      <x:c r="J30" s="11" t="n">
        <x:v>9</x:v>
      </x:c>
      <x:c r="K30" s="11" t="n">
        <x:v>5</x:v>
      </x:c>
      <x:c r="L30" s="11" t="n">
        <x:v>0</x:v>
      </x:c>
      <x:c r="M30" s="9" t="n">
        <x:f>ROUND(H30*(1-I30),2)</x:f>
        <x:v>22572000</x:v>
      </x:c>
      <x:c r="N30" s="4" t="str">
        <x:v>Sales manager</x:v>
      </x:c>
      <x:c r="O30" s="4"/>
      <x:c r="P30" s="9" t="n">
        <x:v>0</x:v>
      </x:c>
      <x:c r="Q30" s="11" t="n">
        <x:v>1</x:v>
      </x:c>
      <x:c r="R30" s="8" t="n">
        <x:v>45352</x:v>
      </x:c>
      <x:c r="S30" s="4" t="str">
        <x:v>Lost / cancelled</x:v>
      </x:c>
      <x:c r="T30" s="10" t="n">
        <x:v>0.305556</x:v>
      </x:c>
      <x:c r="U30" s="4" t="str">
        <x:v>Train</x:v>
      </x:c>
    </x:row>
    <x:row r="31" ht="34" customHeight="1">
      <x:c r="A31" s="4" t="str">
        <x:v>RS-00030</x:v>
      </x:c>
      <x:c r="B31" s="8" t="n">
        <x:v>45293</x:v>
      </x:c>
      <x:c r="C31" s="4" t="str">
        <x:v>PRJ-010</x:v>
      </x:c>
      <x:c r="D31" s="4" t="str">
        <x:v>Villa</x:v>
      </x:c>
      <x:c r="E31" s="4" t="str">
        <x:v>Enquiry</x:v>
      </x:c>
      <x:c r="F31" s="4" t="str">
        <x:v>CUS-00030</x:v>
      </x:c>
      <x:c r="G31" s="4" t="str">
        <x:v>UNIT-00030</x:v>
      </x:c>
      <x:c r="H31" s="9" t="n">
        <x:v>18900000</x:v>
      </x:c>
      <x:c r="I31" s="10" t="n">
        <x:v>0.06</x:v>
      </x:c>
      <x:c r="J31" s="11" t="n">
        <x:v>1</x:v>
      </x:c>
      <x:c r="K31" s="11" t="n">
        <x:v>3</x:v>
      </x:c>
      <x:c r="L31" s="11" t="n">
        <x:v>1</x:v>
      </x:c>
      <x:c r="M31" s="9" t="n">
        <x:f>ROUND(H31*(1-I31),2)</x:f>
        <x:v>17766000</x:v>
      </x:c>
      <x:c r="N31" s="4" t="str">
        <x:v>Sales manager</x:v>
      </x:c>
      <x:c r="O31" s="4"/>
      <x:c r="P31" s="9" t="n">
        <x:v>0</x:v>
      </x:c>
      <x:c r="Q31" s="11" t="n">
        <x:v>1</x:v>
      </x:c>
      <x:c r="R31" s="8" t="n">
        <x:v>45353</x:v>
      </x:c>
      <x:c r="S31" s="4" t="str">
        <x:v>Lost / cancelled</x:v>
      </x:c>
      <x:c r="T31" s="10" t="n">
        <x:v>0.204152</x:v>
      </x:c>
      <x:c r="U31" s="4" t="str">
        <x:v>Train</x:v>
      </x:c>
    </x:row>
    <x:row r="32" ht="34" customHeight="1">
      <x:c r="A32" s="4" t="str">
        <x:v>RS-00031</x:v>
      </x:c>
      <x:c r="B32" s="8" t="n">
        <x:v>45294</x:v>
      </x:c>
      <x:c r="C32" s="4" t="str">
        <x:v>PRJ-011</x:v>
      </x:c>
      <x:c r="D32" s="4" t="str">
        <x:v>Office</x:v>
      </x:c>
      <x:c r="E32" s="4" t="str">
        <x:v>Enquiry</x:v>
      </x:c>
      <x:c r="F32" s="4" t="str">
        <x:v>CUS-00031</x:v>
      </x:c>
      <x:c r="G32" s="4" t="str">
        <x:v>UNIT-00031</x:v>
      </x:c>
      <x:c r="H32" s="9" t="n">
        <x:v>14800000</x:v>
      </x:c>
      <x:c r="I32" s="10" t="n">
        <x:v>0.08</x:v>
      </x:c>
      <x:c r="J32" s="11" t="n">
        <x:v>3</x:v>
      </x:c>
      <x:c r="K32" s="11" t="n">
        <x:v>5</x:v>
      </x:c>
      <x:c r="L32" s="11" t="n">
        <x:v>0</x:v>
      </x:c>
      <x:c r="M32" s="9" t="n">
        <x:f>ROUND(H32*(1-I32),2)</x:f>
        <x:v>13616000</x:v>
      </x:c>
      <x:c r="N32" s="4" t="str">
        <x:v>Sales head</x:v>
      </x:c>
      <x:c r="O32" s="4"/>
      <x:c r="P32" s="9" t="n">
        <x:v>0</x:v>
      </x:c>
      <x:c r="Q32" s="11" t="n">
        <x:v>0</x:v>
      </x:c>
      <x:c r="R32" s="8" t="n">
        <x:v>45354</x:v>
      </x:c>
      <x:c r="S32" s="4" t="str">
        <x:v>Retained</x:v>
      </x:c>
      <x:c r="T32" s="10" t="n">
        <x:v>0.204152</x:v>
      </x:c>
      <x:c r="U32" s="4" t="str">
        <x:v>Train</x:v>
      </x:c>
    </x:row>
    <x:row r="33" ht="34" customHeight="1">
      <x:c r="A33" s="4" t="str">
        <x:v>RS-00032</x:v>
      </x:c>
      <x:c r="B33" s="8" t="n">
        <x:v>45295</x:v>
      </x:c>
      <x:c r="C33" s="4" t="str">
        <x:v>PRJ-012</x:v>
      </x:c>
      <x:c r="D33" s="4" t="str">
        <x:v>Retail</x:v>
      </x:c>
      <x:c r="E33" s="4" t="str">
        <x:v>Cancelled</x:v>
      </x:c>
      <x:c r="F33" s="4" t="str">
        <x:v>CUS-00032</x:v>
      </x:c>
      <x:c r="G33" s="4" t="str">
        <x:v>UNIT-00032</x:v>
      </x:c>
      <x:c r="H33" s="9" t="n">
        <x:v>7200000</x:v>
      </x:c>
      <x:c r="I33" s="10" t="n">
        <x:v>0.11</x:v>
      </x:c>
      <x:c r="J33" s="11" t="n">
        <x:v>10</x:v>
      </x:c>
      <x:c r="K33" s="11" t="n">
        <x:v>3</x:v>
      </x:c>
      <x:c r="L33" s="11" t="n">
        <x:v>0</x:v>
      </x:c>
      <x:c r="M33" s="9" t="n">
        <x:f>ROUND(H33*(1-I33),2)</x:f>
        <x:v>6408000</x:v>
      </x:c>
      <x:c r="N33" s="4" t="str">
        <x:v>Sales head</x:v>
      </x:c>
      <x:c r="O33" s="4"/>
      <x:c r="P33" s="9" t="n">
        <x:v>0</x:v>
      </x:c>
      <x:c r="Q33" s="11" t="n">
        <x:v>1</x:v>
      </x:c>
      <x:c r="R33" s="8" t="n">
        <x:v>45355</x:v>
      </x:c>
      <x:c r="S33" s="4" t="str">
        <x:v>Lost / cancelled</x:v>
      </x:c>
      <x:c r="T33" s="10" t="n">
        <x:v>0.310195</x:v>
      </x:c>
      <x:c r="U33" s="4" t="str">
        <x:v>Train</x:v>
      </x:c>
    </x:row>
    <x:row r="34" ht="34" customHeight="1">
      <x:c r="A34" s="4" t="str">
        <x:v>RS-00033</x:v>
      </x:c>
      <x:c r="B34" s="8" t="n">
        <x:v>45296</x:v>
      </x:c>
      <x:c r="C34" s="4" t="str">
        <x:v>PRJ-013</x:v>
      </x:c>
      <x:c r="D34" s="4" t="str">
        <x:v>Apartment</x:v>
      </x:c>
      <x:c r="E34" s="4" t="str">
        <x:v>Handed over</x:v>
      </x:c>
      <x:c r="F34" s="4" t="str">
        <x:v>CUS-00033</x:v>
      </x:c>
      <x:c r="G34" s="4" t="str">
        <x:v>UNIT-00033</x:v>
      </x:c>
      <x:c r="H34" s="9" t="n">
        <x:v>22500000</x:v>
      </x:c>
      <x:c r="I34" s="10" t="n">
        <x:v>0.08</x:v>
      </x:c>
      <x:c r="J34" s="11" t="n">
        <x:v>11</x:v>
      </x:c>
      <x:c r="K34" s="11" t="n">
        <x:v>5</x:v>
      </x:c>
      <x:c r="L34" s="11" t="n">
        <x:v>0</x:v>
      </x:c>
      <x:c r="M34" s="9" t="n">
        <x:f>ROUND(H34*(1-I34),2)</x:f>
        <x:v>20700000</x:v>
      </x:c>
      <x:c r="N34" s="4" t="str">
        <x:v>Sales head</x:v>
      </x:c>
      <x:c r="O34" s="4" t="str">
        <x:v>BOOK-00033</x:v>
      </x:c>
      <x:c r="P34" s="9" t="n">
        <x:v>20700000</x:v>
      </x:c>
      <x:c r="Q34" s="11" t="n">
        <x:v>0</x:v>
      </x:c>
      <x:c r="R34" s="8" t="n">
        <x:v>45356</x:v>
      </x:c>
      <x:c r="S34" s="4" t="str">
        <x:v>Retained</x:v>
      </x:c>
      <x:c r="T34" s="10" t="n">
        <x:v>0.351536</x:v>
      </x:c>
      <x:c r="U34" s="4" t="str">
        <x:v>Train</x:v>
      </x:c>
    </x:row>
    <x:row r="35" ht="34" customHeight="1">
      <x:c r="A35" s="4" t="str">
        <x:v>RS-00034</x:v>
      </x:c>
      <x:c r="B35" s="8" t="n">
        <x:v>45297</x:v>
      </x:c>
      <x:c r="C35" s="4" t="str">
        <x:v>PRJ-014</x:v>
      </x:c>
      <x:c r="D35" s="4" t="str">
        <x:v>Villa</x:v>
      </x:c>
      <x:c r="E35" s="4" t="str">
        <x:v>Cancelled</x:v>
      </x:c>
      <x:c r="F35" s="4" t="str">
        <x:v>CUS-00034</x:v>
      </x:c>
      <x:c r="G35" s="4" t="str">
        <x:v>UNIT-00034</x:v>
      </x:c>
      <x:c r="H35" s="9" t="n">
        <x:v>13000000</x:v>
      </x:c>
      <x:c r="I35" s="10" t="n">
        <x:v>0</x:v>
      </x:c>
      <x:c r="J35" s="11" t="n">
        <x:v>5</x:v>
      </x:c>
      <x:c r="K35" s="11" t="n">
        <x:v>3</x:v>
      </x:c>
      <x:c r="L35" s="11" t="n">
        <x:v>1</x:v>
      </x:c>
      <x:c r="M35" s="9" t="n">
        <x:f>ROUND(H35*(1-I35),2)</x:f>
        <x:v>13000000</x:v>
      </x:c>
      <x:c r="N35" s="4" t="str">
        <x:v>Sales manager</x:v>
      </x:c>
      <x:c r="O35" s="4"/>
      <x:c r="P35" s="9" t="n">
        <x:v>0</x:v>
      </x:c>
      <x:c r="Q35" s="11" t="n">
        <x:v>1</x:v>
      </x:c>
      <x:c r="R35" s="8" t="n">
        <x:v>45357</x:v>
      </x:c>
      <x:c r="S35" s="4" t="str">
        <x:v>Lost / cancelled</x:v>
      </x:c>
      <x:c r="T35" s="10" t="n">
        <x:v>0.298969</x:v>
      </x:c>
      <x:c r="U35" s="4" t="str">
        <x:v>Train</x:v>
      </x:c>
    </x:row>
    <x:row r="36" ht="34" customHeight="1">
      <x:c r="A36" s="4" t="str">
        <x:v>RS-00035</x:v>
      </x:c>
      <x:c r="B36" s="8" t="n">
        <x:v>45298</x:v>
      </x:c>
      <x:c r="C36" s="4" t="str">
        <x:v>PRJ-015</x:v>
      </x:c>
      <x:c r="D36" s="4" t="str">
        <x:v>Office</x:v>
      </x:c>
      <x:c r="E36" s="4" t="str">
        <x:v>Enquiry</x:v>
      </x:c>
      <x:c r="F36" s="4" t="str">
        <x:v>CUS-00035</x:v>
      </x:c>
      <x:c r="G36" s="4" t="str">
        <x:v>UNIT-00035</x:v>
      </x:c>
      <x:c r="H36" s="9" t="n">
        <x:v>24800000</x:v>
      </x:c>
      <x:c r="I36" s="10" t="n">
        <x:v>0.06</x:v>
      </x:c>
      <x:c r="J36" s="11" t="n">
        <x:v>2</x:v>
      </x:c>
      <x:c r="K36" s="11" t="n">
        <x:v>8</x:v>
      </x:c>
      <x:c r="L36" s="11" t="n">
        <x:v>1</x:v>
      </x:c>
      <x:c r="M36" s="9" t="n">
        <x:f>ROUND(H36*(1-I36),2)</x:f>
        <x:v>23312000</x:v>
      </x:c>
      <x:c r="N36" s="4" t="str">
        <x:v>Sales manager</x:v>
      </x:c>
      <x:c r="O36" s="4"/>
      <x:c r="P36" s="9" t="n">
        <x:v>0</x:v>
      </x:c>
      <x:c r="Q36" s="11" t="n">
        <x:v>1</x:v>
      </x:c>
      <x:c r="R36" s="8" t="n">
        <x:v>45358</x:v>
      </x:c>
      <x:c r="S36" s="4" t="str">
        <x:v>Lost / cancelled</x:v>
      </x:c>
      <x:c r="T36" s="10" t="n">
        <x:v>0.204152</x:v>
      </x:c>
      <x:c r="U36" s="4" t="str">
        <x:v>Train</x:v>
      </x:c>
    </x:row>
    <x:row r="37" ht="34" customHeight="1">
      <x:c r="A37" s="4" t="str">
        <x:v>RS-00036</x:v>
      </x:c>
      <x:c r="B37" s="8" t="n">
        <x:v>45299</x:v>
      </x:c>
      <x:c r="C37" s="4" t="str">
        <x:v>PRJ-016</x:v>
      </x:c>
      <x:c r="D37" s="4" t="str">
        <x:v>Office</x:v>
      </x:c>
      <x:c r="E37" s="4" t="str">
        <x:v>Cancelled</x:v>
      </x:c>
      <x:c r="F37" s="4" t="str">
        <x:v>CUS-00036</x:v>
      </x:c>
      <x:c r="G37" s="4" t="str">
        <x:v>UNIT-00036</x:v>
      </x:c>
      <x:c r="H37" s="9" t="n">
        <x:v>24500000</x:v>
      </x:c>
      <x:c r="I37" s="10" t="n">
        <x:v>0.09</x:v>
      </x:c>
      <x:c r="J37" s="11" t="n">
        <x:v>0</x:v>
      </x:c>
      <x:c r="K37" s="11" t="n">
        <x:v>6</x:v>
      </x:c>
      <x:c r="L37" s="11" t="n">
        <x:v>0</x:v>
      </x:c>
      <x:c r="M37" s="9" t="n">
        <x:f>ROUND(H37*(1-I37),2)</x:f>
        <x:v>22295000</x:v>
      </x:c>
      <x:c r="N37" s="4" t="str">
        <x:v>Sales head</x:v>
      </x:c>
      <x:c r="O37" s="4"/>
      <x:c r="P37" s="9" t="n">
        <x:v>0</x:v>
      </x:c>
      <x:c r="Q37" s="11" t="n">
        <x:v>1</x:v>
      </x:c>
      <x:c r="R37" s="8" t="n">
        <x:v>45359</x:v>
      </x:c>
      <x:c r="S37" s="4" t="str">
        <x:v>Lost / cancelled</x:v>
      </x:c>
      <x:c r="T37" s="10" t="n">
        <x:v>0.145833</x:v>
      </x:c>
      <x:c r="U37" s="4" t="str">
        <x:v>Train</x:v>
      </x:c>
    </x:row>
    <x:row r="38" ht="34" customHeight="1">
      <x:c r="A38" s="4" t="str">
        <x:v>RS-00037</x:v>
      </x:c>
      <x:c r="B38" s="8" t="n">
        <x:v>45300</x:v>
      </x:c>
      <x:c r="C38" s="4" t="str">
        <x:v>PRJ-017</x:v>
      </x:c>
      <x:c r="D38" s="4" t="str">
        <x:v>Office</x:v>
      </x:c>
      <x:c r="E38" s="4" t="str">
        <x:v>Enquiry</x:v>
      </x:c>
      <x:c r="F38" s="4" t="str">
        <x:v>CUS-00037</x:v>
      </x:c>
      <x:c r="G38" s="4" t="str">
        <x:v>UNIT-00037</x:v>
      </x:c>
      <x:c r="H38" s="9" t="n">
        <x:v>25000000</x:v>
      </x:c>
      <x:c r="I38" s="10" t="n">
        <x:v>0.08</x:v>
      </x:c>
      <x:c r="J38" s="11" t="n">
        <x:v>5</x:v>
      </x:c>
      <x:c r="K38" s="11" t="n">
        <x:v>6</x:v>
      </x:c>
      <x:c r="L38" s="11" t="n">
        <x:v>0</x:v>
      </x:c>
      <x:c r="M38" s="9" t="n">
        <x:f>ROUND(H38*(1-I38),2)</x:f>
        <x:v>23000000</x:v>
      </x:c>
      <x:c r="N38" s="4" t="str">
        <x:v>Sales head</x:v>
      </x:c>
      <x:c r="O38" s="4"/>
      <x:c r="P38" s="9" t="n">
        <x:v>0</x:v>
      </x:c>
      <x:c r="Q38" s="11" t="n">
        <x:v>0</x:v>
      </x:c>
      <x:c r="R38" s="8" t="n">
        <x:v>45360</x:v>
      </x:c>
      <x:c r="S38" s="4" t="str">
        <x:v>Retained</x:v>
      </x:c>
      <x:c r="T38" s="10" t="n">
        <x:v>0.226277</x:v>
      </x:c>
      <x:c r="U38" s="4" t="str">
        <x:v>Train</x:v>
      </x:c>
    </x:row>
    <x:row r="39" ht="34" customHeight="1">
      <x:c r="A39" s="4" t="str">
        <x:v>RS-00038</x:v>
      </x:c>
      <x:c r="B39" s="8" t="n">
        <x:v>45301</x:v>
      </x:c>
      <x:c r="C39" s="4" t="str">
        <x:v>PRJ-018</x:v>
      </x:c>
      <x:c r="D39" s="4" t="str">
        <x:v>Apartment</x:v>
      </x:c>
      <x:c r="E39" s="4" t="str">
        <x:v>Enquiry</x:v>
      </x:c>
      <x:c r="F39" s="4" t="str">
        <x:v>CUS-00038</x:v>
      </x:c>
      <x:c r="G39" s="4" t="str">
        <x:v>UNIT-00038</x:v>
      </x:c>
      <x:c r="H39" s="9" t="n">
        <x:v>22400000</x:v>
      </x:c>
      <x:c r="I39" s="10" t="n">
        <x:v>0.02</x:v>
      </x:c>
      <x:c r="J39" s="11" t="n">
        <x:v>6</x:v>
      </x:c>
      <x:c r="K39" s="11" t="n">
        <x:v>0</x:v>
      </x:c>
      <x:c r="L39" s="11" t="n">
        <x:v>0</x:v>
      </x:c>
      <x:c r="M39" s="9" t="n">
        <x:f>ROUND(H39*(1-I39),2)</x:f>
        <x:v>21952000</x:v>
      </x:c>
      <x:c r="N39" s="4" t="str">
        <x:v>Sales manager</x:v>
      </x:c>
      <x:c r="O39" s="4"/>
      <x:c r="P39" s="9" t="n">
        <x:v>0</x:v>
      </x:c>
      <x:c r="Q39" s="11" t="n">
        <x:v>1</x:v>
      </x:c>
      <x:c r="R39" s="8" t="n">
        <x:v>45361</x:v>
      </x:c>
      <x:c r="S39" s="4" t="str">
        <x:v>Lost / cancelled</x:v>
      </x:c>
      <x:c r="T39" s="10" t="n">
        <x:v>0.298969</x:v>
      </x:c>
      <x:c r="U39" s="4" t="str">
        <x:v>Train</x:v>
      </x:c>
    </x:row>
    <x:row r="40" ht="34" customHeight="1">
      <x:c r="A40" s="4" t="str">
        <x:v>RS-00039</x:v>
      </x:c>
      <x:c r="B40" s="8" t="n">
        <x:v>45302</x:v>
      </x:c>
      <x:c r="C40" s="4" t="str">
        <x:v>PRJ-019</x:v>
      </x:c>
      <x:c r="D40" s="4" t="str">
        <x:v>Retail</x:v>
      </x:c>
      <x:c r="E40" s="4" t="str">
        <x:v>Reserved</x:v>
      </x:c>
      <x:c r="F40" s="4" t="str">
        <x:v>CUS-00039</x:v>
      </x:c>
      <x:c r="G40" s="4" t="str">
        <x:v>UNIT-00039</x:v>
      </x:c>
      <x:c r="H40" s="9" t="n">
        <x:v>12100000</x:v>
      </x:c>
      <x:c r="I40" s="10" t="n">
        <x:v>0.01</x:v>
      </x:c>
      <x:c r="J40" s="11" t="n">
        <x:v>3</x:v>
      </x:c>
      <x:c r="K40" s="11" t="n">
        <x:v>8</x:v>
      </x:c>
      <x:c r="L40" s="11" t="n">
        <x:v>0</x:v>
      </x:c>
      <x:c r="M40" s="9" t="n">
        <x:f>ROUND(H40*(1-I40),2)</x:f>
        <x:v>11979000</x:v>
      </x:c>
      <x:c r="N40" s="4" t="str">
        <x:v>Sales manager</x:v>
      </x:c>
      <x:c r="O40" s="4"/>
      <x:c r="P40" s="9" t="n">
        <x:v>0</x:v>
      </x:c>
      <x:c r="Q40" s="11" t="n">
        <x:v>0</x:v>
      </x:c>
      <x:c r="R40" s="8" t="n">
        <x:v>45362</x:v>
      </x:c>
      <x:c r="S40" s="4" t="str">
        <x:v>Retained</x:v>
      </x:c>
      <x:c r="T40" s="10" t="n">
        <x:v>0.171717</x:v>
      </x:c>
      <x:c r="U40" s="4" t="str">
        <x:v>Train</x:v>
      </x:c>
    </x:row>
    <x:row r="41" ht="34" customHeight="1">
      <x:c r="A41" s="4" t="str">
        <x:v>RS-00040</x:v>
      </x:c>
      <x:c r="B41" s="8" t="n">
        <x:v>45303</x:v>
      </x:c>
      <x:c r="C41" s="4" t="str">
        <x:v>PRJ-020</x:v>
      </x:c>
      <x:c r="D41" s="4" t="str">
        <x:v>Retail</x:v>
      </x:c>
      <x:c r="E41" s="4" t="str">
        <x:v>Enquiry</x:v>
      </x:c>
      <x:c r="F41" s="4" t="str">
        <x:v>CUS-00040</x:v>
      </x:c>
      <x:c r="G41" s="4" t="str">
        <x:v>UNIT-00040</x:v>
      </x:c>
      <x:c r="H41" s="9" t="n">
        <x:v>16200000</x:v>
      </x:c>
      <x:c r="I41" s="10" t="n">
        <x:v>0.03</x:v>
      </x:c>
      <x:c r="J41" s="11" t="n">
        <x:v>9</x:v>
      </x:c>
      <x:c r="K41" s="11" t="n">
        <x:v>9</x:v>
      </x:c>
      <x:c r="L41" s="11" t="n">
        <x:v>0</x:v>
      </x:c>
      <x:c r="M41" s="9" t="n">
        <x:f>ROUND(H41*(1-I41),2)</x:f>
        <x:v>15714000</x:v>
      </x:c>
      <x:c r="N41" s="4" t="str">
        <x:v>Sales manager</x:v>
      </x:c>
      <x:c r="O41" s="4"/>
      <x:c r="P41" s="9" t="n">
        <x:v>0</x:v>
      </x:c>
      <x:c r="Q41" s="11" t="n">
        <x:v>0</x:v>
      </x:c>
      <x:c r="R41" s="8" t="n">
        <x:v>45363</x:v>
      </x:c>
      <x:c r="S41" s="4" t="str">
        <x:v>Retained</x:v>
      </x:c>
      <x:c r="T41" s="10" t="n">
        <x:v>0.310195</x:v>
      </x:c>
      <x:c r="U41" s="4" t="str">
        <x:v>Train</x:v>
      </x:c>
    </x:row>
    <x:row r="42" ht="34" customHeight="1">
      <x:c r="A42" s="4" t="str">
        <x:v>RS-00041</x:v>
      </x:c>
      <x:c r="B42" s="8" t="n">
        <x:v>45304</x:v>
      </x:c>
      <x:c r="C42" s="4" t="str">
        <x:v>PRJ-001</x:v>
      </x:c>
      <x:c r="D42" s="4" t="str">
        <x:v>Apartment</x:v>
      </x:c>
      <x:c r="E42" s="4" t="str">
        <x:v>Agreement signed</x:v>
      </x:c>
      <x:c r="F42" s="4" t="str">
        <x:v>CUS-00041</x:v>
      </x:c>
      <x:c r="G42" s="4" t="str">
        <x:v>UNIT-00041</x:v>
      </x:c>
      <x:c r="H42" s="9" t="n">
        <x:v>23500000</x:v>
      </x:c>
      <x:c r="I42" s="10" t="n">
        <x:v>0.12</x:v>
      </x:c>
      <x:c r="J42" s="11" t="n">
        <x:v>2</x:v>
      </x:c>
      <x:c r="K42" s="11" t="n">
        <x:v>1</x:v>
      </x:c>
      <x:c r="L42" s="11" t="n">
        <x:v>1</x:v>
      </x:c>
      <x:c r="M42" s="9" t="n">
        <x:f>ROUND(H42*(1-I42),2)</x:f>
        <x:v>20680000</x:v>
      </x:c>
      <x:c r="N42" s="4" t="str">
        <x:v>Sales head</x:v>
      </x:c>
      <x:c r="O42" s="4" t="str">
        <x:v>BOOK-00041</x:v>
      </x:c>
      <x:c r="P42" s="9" t="n">
        <x:v>5170000</x:v>
      </x:c>
      <x:c r="Q42" s="11" t="n">
        <x:v>0</x:v>
      </x:c>
      <x:c r="R42" s="8" t="n">
        <x:v>45364</x:v>
      </x:c>
      <x:c r="S42" s="4" t="str">
        <x:v>Retained</x:v>
      </x:c>
      <x:c r="T42" s="10" t="n">
        <x:v>0.145833</x:v>
      </x:c>
      <x:c r="U42" s="4" t="str">
        <x:v>Train</x:v>
      </x:c>
    </x:row>
    <x:row r="43" ht="34" customHeight="1">
      <x:c r="A43" s="4" t="str">
        <x:v>RS-00042</x:v>
      </x:c>
      <x:c r="B43" s="8" t="n">
        <x:v>45305</x:v>
      </x:c>
      <x:c r="C43" s="4" t="str">
        <x:v>PRJ-002</x:v>
      </x:c>
      <x:c r="D43" s="4" t="str">
        <x:v>Apartment</x:v>
      </x:c>
      <x:c r="E43" s="4" t="str">
        <x:v>Handed over</x:v>
      </x:c>
      <x:c r="F43" s="4" t="str">
        <x:v>CUS-00042</x:v>
      </x:c>
      <x:c r="G43" s="4" t="str">
        <x:v>UNIT-00042</x:v>
      </x:c>
      <x:c r="H43" s="9" t="n">
        <x:v>7400000</x:v>
      </x:c>
      <x:c r="I43" s="10" t="n">
        <x:v>0.08</x:v>
      </x:c>
      <x:c r="J43" s="11" t="n">
        <x:v>6</x:v>
      </x:c>
      <x:c r="K43" s="11" t="n">
        <x:v>7</x:v>
      </x:c>
      <x:c r="L43" s="11" t="n">
        <x:v>0</x:v>
      </x:c>
      <x:c r="M43" s="9" t="n">
        <x:f>ROUND(H43*(1-I43),2)</x:f>
        <x:v>6808000</x:v>
      </x:c>
      <x:c r="N43" s="4" t="str">
        <x:v>Sales head</x:v>
      </x:c>
      <x:c r="O43" s="4" t="str">
        <x:v>BOOK-00042</x:v>
      </x:c>
      <x:c r="P43" s="9" t="n">
        <x:v>680800</x:v>
      </x:c>
      <x:c r="Q43" s="11" t="n">
        <x:v>0</x:v>
      </x:c>
      <x:c r="R43" s="8" t="n">
        <x:v>45365</x:v>
      </x:c>
      <x:c r="S43" s="4" t="str">
        <x:v>Retained</x:v>
      </x:c>
      <x:c r="T43" s="10" t="n">
        <x:v>0.226277</x:v>
      </x:c>
      <x:c r="U43" s="4" t="str">
        <x:v>Train</x:v>
      </x:c>
    </x:row>
    <x:row r="44" ht="34" customHeight="1">
      <x:c r="A44" s="4" t="str">
        <x:v>RS-00043</x:v>
      </x:c>
      <x:c r="B44" s="8" t="n">
        <x:v>45306</x:v>
      </x:c>
      <x:c r="C44" s="4" t="str">
        <x:v>PRJ-003</x:v>
      </x:c>
      <x:c r="D44" s="4" t="str">
        <x:v>Office</x:v>
      </x:c>
      <x:c r="E44" s="4" t="str">
        <x:v>Handed over</x:v>
      </x:c>
      <x:c r="F44" s="4" t="str">
        <x:v>CUS-00043</x:v>
      </x:c>
      <x:c r="G44" s="4" t="str">
        <x:v>UNIT-00043</x:v>
      </x:c>
      <x:c r="H44" s="9" t="n">
        <x:v>19800000</x:v>
      </x:c>
      <x:c r="I44" s="10" t="n">
        <x:v>0.01</x:v>
      </x:c>
      <x:c r="J44" s="11" t="n">
        <x:v>2</x:v>
      </x:c>
      <x:c r="K44" s="11" t="n">
        <x:v>2</x:v>
      </x:c>
      <x:c r="L44" s="11" t="n">
        <x:v>0</x:v>
      </x:c>
      <x:c r="M44" s="9" t="n">
        <x:f>ROUND(H44*(1-I44),2)</x:f>
        <x:v>19602000</x:v>
      </x:c>
      <x:c r="N44" s="4" t="str">
        <x:v>Sales manager</x:v>
      </x:c>
      <x:c r="O44" s="4" t="str">
        <x:v>BOOK-00043</x:v>
      </x:c>
      <x:c r="P44" s="9" t="n">
        <x:v>19602000</x:v>
      </x:c>
      <x:c r="Q44" s="11" t="n">
        <x:v>0</x:v>
      </x:c>
      <x:c r="R44" s="8" t="n">
        <x:v>45366</x:v>
      </x:c>
      <x:c r="S44" s="4" t="str">
        <x:v>Retained</x:v>
      </x:c>
      <x:c r="T44" s="10" t="n">
        <x:v>0.171717</x:v>
      </x:c>
      <x:c r="U44" s="4" t="str">
        <x:v>Train</x:v>
      </x:c>
    </x:row>
    <x:row r="45" ht="34" customHeight="1">
      <x:c r="A45" s="4" t="str">
        <x:v>RS-00044</x:v>
      </x:c>
      <x:c r="B45" s="8" t="n">
        <x:v>45307</x:v>
      </x:c>
      <x:c r="C45" s="4" t="str">
        <x:v>PRJ-004</x:v>
      </x:c>
      <x:c r="D45" s="4" t="str">
        <x:v>Villa</x:v>
      </x:c>
      <x:c r="E45" s="4" t="str">
        <x:v>Cancelled</x:v>
      </x:c>
      <x:c r="F45" s="4" t="str">
        <x:v>CUS-00044</x:v>
      </x:c>
      <x:c r="G45" s="4" t="str">
        <x:v>UNIT-00044</x:v>
      </x:c>
      <x:c r="H45" s="9" t="n">
        <x:v>24900000</x:v>
      </x:c>
      <x:c r="I45" s="10" t="n">
        <x:v>0.05</x:v>
      </x:c>
      <x:c r="J45" s="11" t="n">
        <x:v>3</x:v>
      </x:c>
      <x:c r="K45" s="11" t="n">
        <x:v>4</x:v>
      </x:c>
      <x:c r="L45" s="11" t="n">
        <x:v>1</x:v>
      </x:c>
      <x:c r="M45" s="9" t="n">
        <x:f>ROUND(H45*(1-I45),2)</x:f>
        <x:v>23655000</x:v>
      </x:c>
      <x:c r="N45" s="4" t="str">
        <x:v>Sales manager</x:v>
      </x:c>
      <x:c r="O45" s="4"/>
      <x:c r="P45" s="9" t="n">
        <x:v>0</x:v>
      </x:c>
      <x:c r="Q45" s="11" t="n">
        <x:v>1</x:v>
      </x:c>
      <x:c r="R45" s="8" t="n">
        <x:v>45367</x:v>
      </x:c>
      <x:c r="S45" s="4" t="str">
        <x:v>Lost / cancelled</x:v>
      </x:c>
      <x:c r="T45" s="10" t="n">
        <x:v>0.204152</x:v>
      </x:c>
      <x:c r="U45" s="4" t="str">
        <x:v>Train</x:v>
      </x:c>
    </x:row>
    <x:row r="46" ht="34" customHeight="1">
      <x:c r="A46" s="4" t="str">
        <x:v>RS-00045</x:v>
      </x:c>
      <x:c r="B46" s="8" t="n">
        <x:v>45308</x:v>
      </x:c>
      <x:c r="C46" s="4" t="str">
        <x:v>PRJ-005</x:v>
      </x:c>
      <x:c r="D46" s="4" t="str">
        <x:v>Retail</x:v>
      </x:c>
      <x:c r="E46" s="4" t="str">
        <x:v>Enquiry</x:v>
      </x:c>
      <x:c r="F46" s="4" t="str">
        <x:v>CUS-00045</x:v>
      </x:c>
      <x:c r="G46" s="4" t="str">
        <x:v>UNIT-00045</x:v>
      </x:c>
      <x:c r="H46" s="9" t="n">
        <x:v>24800000</x:v>
      </x:c>
      <x:c r="I46" s="10" t="n">
        <x:v>0.05</x:v>
      </x:c>
      <x:c r="J46" s="11" t="n">
        <x:v>9</x:v>
      </x:c>
      <x:c r="K46" s="11" t="n">
        <x:v>3</x:v>
      </x:c>
      <x:c r="L46" s="11" t="n">
        <x:v>0</x:v>
      </x:c>
      <x:c r="M46" s="9" t="n">
        <x:f>ROUND(H46*(1-I46),2)</x:f>
        <x:v>23560000</x:v>
      </x:c>
      <x:c r="N46" s="4" t="str">
        <x:v>Sales manager</x:v>
      </x:c>
      <x:c r="O46" s="4"/>
      <x:c r="P46" s="9" t="n">
        <x:v>0</x:v>
      </x:c>
      <x:c r="Q46" s="11" t="n">
        <x:v>0</x:v>
      </x:c>
      <x:c r="R46" s="8" t="n">
        <x:v>45368</x:v>
      </x:c>
      <x:c r="S46" s="4" t="str">
        <x:v>Retained</x:v>
      </x:c>
      <x:c r="T46" s="10" t="n">
        <x:v>0.310195</x:v>
      </x:c>
      <x:c r="U46" s="4" t="str">
        <x:v>Train</x:v>
      </x:c>
    </x:row>
    <x:row r="47" ht="34" customHeight="1">
      <x:c r="A47" s="4" t="str">
        <x:v>RS-00046</x:v>
      </x:c>
      <x:c r="B47" s="8" t="n">
        <x:v>45309</x:v>
      </x:c>
      <x:c r="C47" s="4" t="str">
        <x:v>PRJ-006</x:v>
      </x:c>
      <x:c r="D47" s="4" t="str">
        <x:v>Office</x:v>
      </x:c>
      <x:c r="E47" s="4" t="str">
        <x:v>Cancelled</x:v>
      </x:c>
      <x:c r="F47" s="4" t="str">
        <x:v>CUS-00046</x:v>
      </x:c>
      <x:c r="G47" s="4" t="str">
        <x:v>UNIT-00046</x:v>
      </x:c>
      <x:c r="H47" s="9" t="n">
        <x:v>5700000</x:v>
      </x:c>
      <x:c r="I47" s="10" t="n">
        <x:v>0.11</x:v>
      </x:c>
      <x:c r="J47" s="11" t="n">
        <x:v>5</x:v>
      </x:c>
      <x:c r="K47" s="11" t="n">
        <x:v>5</x:v>
      </x:c>
      <x:c r="L47" s="11" t="n">
        <x:v>0</x:v>
      </x:c>
      <x:c r="M47" s="9" t="n">
        <x:f>ROUND(H47*(1-I47),2)</x:f>
        <x:v>5073000</x:v>
      </x:c>
      <x:c r="N47" s="4" t="str">
        <x:v>Sales head</x:v>
      </x:c>
      <x:c r="O47" s="4"/>
      <x:c r="P47" s="9" t="n">
        <x:v>0</x:v>
      </x:c>
      <x:c r="Q47" s="11" t="n">
        <x:v>1</x:v>
      </x:c>
      <x:c r="R47" s="8" t="n">
        <x:v>45369</x:v>
      </x:c>
      <x:c r="S47" s="4" t="str">
        <x:v>Lost / cancelled</x:v>
      </x:c>
      <x:c r="T47" s="10" t="n">
        <x:v>0.226277</x:v>
      </x:c>
      <x:c r="U47" s="4" t="str">
        <x:v>Train</x:v>
      </x:c>
    </x:row>
    <x:row r="48" ht="34" customHeight="1">
      <x:c r="A48" s="4" t="str">
        <x:v>RS-00047</x:v>
      </x:c>
      <x:c r="B48" s="8" t="n">
        <x:v>45310</x:v>
      </x:c>
      <x:c r="C48" s="4" t="str">
        <x:v>PRJ-007</x:v>
      </x:c>
      <x:c r="D48" s="4" t="str">
        <x:v>Office</x:v>
      </x:c>
      <x:c r="E48" s="4" t="str">
        <x:v>Agreement signed</x:v>
      </x:c>
      <x:c r="F48" s="4" t="str">
        <x:v>CUS-00047</x:v>
      </x:c>
      <x:c r="G48" s="4" t="str">
        <x:v>UNIT-00047</x:v>
      </x:c>
      <x:c r="H48" s="9" t="n">
        <x:v>11600000</x:v>
      </x:c>
      <x:c r="I48" s="10" t="n">
        <x:v>0.02</x:v>
      </x:c>
      <x:c r="J48" s="11" t="n">
        <x:v>11</x:v>
      </x:c>
      <x:c r="K48" s="11" t="n">
        <x:v>10</x:v>
      </x:c>
      <x:c r="L48" s="11" t="n">
        <x:v>1</x:v>
      </x:c>
      <x:c r="M48" s="9" t="n">
        <x:f>ROUND(H48*(1-I48),2)</x:f>
        <x:v>11368000</x:v>
      </x:c>
      <x:c r="N48" s="4" t="str">
        <x:v>Sales manager</x:v>
      </x:c>
      <x:c r="O48" s="4" t="str">
        <x:v>BOOK-00047</x:v>
      </x:c>
      <x:c r="P48" s="9" t="n">
        <x:v>1136800</x:v>
      </x:c>
      <x:c r="Q48" s="11" t="n">
        <x:v>0</x:v>
      </x:c>
      <x:c r="R48" s="8" t="n">
        <x:v>45370</x:v>
      </x:c>
      <x:c r="S48" s="4" t="str">
        <x:v>Retained</x:v>
      </x:c>
      <x:c r="T48" s="10" t="n">
        <x:v>0.254545</x:v>
      </x:c>
      <x:c r="U48" s="4" t="str">
        <x:v>Train</x:v>
      </x:c>
    </x:row>
    <x:row r="49" ht="34" customHeight="1">
      <x:c r="A49" s="4" t="str">
        <x:v>RS-00048</x:v>
      </x:c>
      <x:c r="B49" s="8" t="n">
        <x:v>45311</x:v>
      </x:c>
      <x:c r="C49" s="4" t="str">
        <x:v>PRJ-008</x:v>
      </x:c>
      <x:c r="D49" s="4" t="str">
        <x:v>Office</x:v>
      </x:c>
      <x:c r="E49" s="4" t="str">
        <x:v>Cancelled</x:v>
      </x:c>
      <x:c r="F49" s="4" t="str">
        <x:v>CUS-00048</x:v>
      </x:c>
      <x:c r="G49" s="4" t="str">
        <x:v>UNIT-00048</x:v>
      </x:c>
      <x:c r="H49" s="9" t="n">
        <x:v>18000000</x:v>
      </x:c>
      <x:c r="I49" s="10" t="n">
        <x:v>0.12</x:v>
      </x:c>
      <x:c r="J49" s="11" t="n">
        <x:v>8</x:v>
      </x:c>
      <x:c r="K49" s="11" t="n">
        <x:v>8</x:v>
      </x:c>
      <x:c r="L49" s="11" t="n">
        <x:v>0</x:v>
      </x:c>
      <x:c r="M49" s="9" t="n">
        <x:f>ROUND(H49*(1-I49),2)</x:f>
        <x:v>15840000</x:v>
      </x:c>
      <x:c r="N49" s="4" t="str">
        <x:v>Sales head</x:v>
      </x:c>
      <x:c r="O49" s="4"/>
      <x:c r="P49" s="9" t="n">
        <x:v>0</x:v>
      </x:c>
      <x:c r="Q49" s="11" t="n">
        <x:v>1</x:v>
      </x:c>
      <x:c r="R49" s="8" t="n">
        <x:v>45371</x:v>
      </x:c>
      <x:c r="S49" s="4" t="str">
        <x:v>Lost / cancelled</x:v>
      </x:c>
      <x:c r="T49" s="10" t="n">
        <x:v>0.310195</x:v>
      </x:c>
      <x:c r="U49" s="4" t="str">
        <x:v>Train</x:v>
      </x:c>
    </x:row>
    <x:row r="50" ht="34" customHeight="1">
      <x:c r="A50" s="4" t="str">
        <x:v>RS-00049</x:v>
      </x:c>
      <x:c r="B50" s="8" t="n">
        <x:v>45312</x:v>
      </x:c>
      <x:c r="C50" s="4" t="str">
        <x:v>PRJ-009</x:v>
      </x:c>
      <x:c r="D50" s="4" t="str">
        <x:v>Apartment</x:v>
      </x:c>
      <x:c r="E50" s="4" t="str">
        <x:v>Enquiry</x:v>
      </x:c>
      <x:c r="F50" s="4" t="str">
        <x:v>CUS-00049</x:v>
      </x:c>
      <x:c r="G50" s="4" t="str">
        <x:v>UNIT-00049</x:v>
      </x:c>
      <x:c r="H50" s="9" t="n">
        <x:v>12900000</x:v>
      </x:c>
      <x:c r="I50" s="10" t="n">
        <x:v>0.11</x:v>
      </x:c>
      <x:c r="J50" s="11" t="n">
        <x:v>3</x:v>
      </x:c>
      <x:c r="K50" s="11" t="n">
        <x:v>7</x:v>
      </x:c>
      <x:c r="L50" s="11" t="n">
        <x:v>0</x:v>
      </x:c>
      <x:c r="M50" s="9" t="n">
        <x:f>ROUND(H50*(1-I50),2)</x:f>
        <x:v>11481000</x:v>
      </x:c>
      <x:c r="N50" s="4" t="str">
        <x:v>Sales head</x:v>
      </x:c>
      <x:c r="O50" s="4"/>
      <x:c r="P50" s="9" t="n">
        <x:v>0</x:v>
      </x:c>
      <x:c r="Q50" s="11" t="n">
        <x:v>0</x:v>
      </x:c>
      <x:c r="R50" s="8" t="n">
        <x:v>45372</x:v>
      </x:c>
      <x:c r="S50" s="4" t="str">
        <x:v>Retained</x:v>
      </x:c>
      <x:c r="T50" s="10" t="n">
        <x:v>0.145833</x:v>
      </x:c>
      <x:c r="U50" s="4" t="str">
        <x:v>Train</x:v>
      </x:c>
    </x:row>
    <x:row r="51" ht="34" customHeight="1">
      <x:c r="A51" s="4" t="str">
        <x:v>RS-00050</x:v>
      </x:c>
      <x:c r="B51" s="8" t="n">
        <x:v>45313</x:v>
      </x:c>
      <x:c r="C51" s="4" t="str">
        <x:v>PRJ-010</x:v>
      </x:c>
      <x:c r="D51" s="4" t="str">
        <x:v>Retail</x:v>
      </x:c>
      <x:c r="E51" s="4" t="str">
        <x:v>Enquiry</x:v>
      </x:c>
      <x:c r="F51" s="4" t="str">
        <x:v>CUS-00050</x:v>
      </x:c>
      <x:c r="G51" s="4" t="str">
        <x:v>UNIT-00050</x:v>
      </x:c>
      <x:c r="H51" s="9" t="n">
        <x:v>6100000</x:v>
      </x:c>
      <x:c r="I51" s="10" t="n">
        <x:v>0.02</x:v>
      </x:c>
      <x:c r="J51" s="11" t="n">
        <x:v>6</x:v>
      </x:c>
      <x:c r="K51" s="11" t="n">
        <x:v>3</x:v>
      </x:c>
      <x:c r="L51" s="11" t="n">
        <x:v>0</x:v>
      </x:c>
      <x:c r="M51" s="9" t="n">
        <x:f>ROUND(H51*(1-I51),2)</x:f>
        <x:v>5978000</x:v>
      </x:c>
      <x:c r="N51" s="4" t="str">
        <x:v>Sales manager</x:v>
      </x:c>
      <x:c r="O51" s="4"/>
      <x:c r="P51" s="9" t="n">
        <x:v>0</x:v>
      </x:c>
      <x:c r="Q51" s="11" t="n">
        <x:v>0</x:v>
      </x:c>
      <x:c r="R51" s="8" t="n">
        <x:v>45373</x:v>
      </x:c>
      <x:c r="S51" s="4" t="str">
        <x:v>Retained</x:v>
      </x:c>
      <x:c r="T51" s="10" t="n">
        <x:v>0.298969</x:v>
      </x:c>
      <x:c r="U51" s="4" t="str">
        <x:v>Train</x:v>
      </x:c>
    </x:row>
    <x:row r="52" ht="34" customHeight="1">
      <x:c r="A52" s="4" t="str">
        <x:v>RS-00051</x:v>
      </x:c>
      <x:c r="B52" s="8" t="n">
        <x:v>45314</x:v>
      </x:c>
      <x:c r="C52" s="4" t="str">
        <x:v>PRJ-011</x:v>
      </x:c>
      <x:c r="D52" s="4" t="str">
        <x:v>Retail</x:v>
      </x:c>
      <x:c r="E52" s="4" t="str">
        <x:v>Handed over</x:v>
      </x:c>
      <x:c r="F52" s="4" t="str">
        <x:v>CUS-00051</x:v>
      </x:c>
      <x:c r="G52" s="4" t="str">
        <x:v>UNIT-00051</x:v>
      </x:c>
      <x:c r="H52" s="9" t="n">
        <x:v>11900000</x:v>
      </x:c>
      <x:c r="I52" s="10" t="n">
        <x:v>0.01</x:v>
      </x:c>
      <x:c r="J52" s="11" t="n">
        <x:v>7</x:v>
      </x:c>
      <x:c r="K52" s="11" t="n">
        <x:v>1</x:v>
      </x:c>
      <x:c r="L52" s="11" t="n">
        <x:v>0</x:v>
      </x:c>
      <x:c r="M52" s="9" t="n">
        <x:f>ROUND(H52*(1-I52),2)</x:f>
        <x:v>11781000</x:v>
      </x:c>
      <x:c r="N52" s="4" t="str">
        <x:v>Sales manager</x:v>
      </x:c>
      <x:c r="O52" s="4" t="str">
        <x:v>BOOK-00051</x:v>
      </x:c>
      <x:c r="P52" s="9" t="n">
        <x:v>2945250</x:v>
      </x:c>
      <x:c r="Q52" s="11" t="n">
        <x:v>0</x:v>
      </x:c>
      <x:c r="R52" s="8" t="n">
        <x:v>45374</x:v>
      </x:c>
      <x:c r="S52" s="4" t="str">
        <x:v>Retained</x:v>
      </x:c>
      <x:c r="T52" s="10" t="n">
        <x:v>0.298969</x:v>
      </x:c>
      <x:c r="U52" s="4" t="str">
        <x:v>Train</x:v>
      </x:c>
    </x:row>
    <x:row r="53" ht="34" customHeight="1">
      <x:c r="A53" s="4" t="str">
        <x:v>RS-00052</x:v>
      </x:c>
      <x:c r="B53" s="8" t="n">
        <x:v>45315</x:v>
      </x:c>
      <x:c r="C53" s="4" t="str">
        <x:v>PRJ-012</x:v>
      </x:c>
      <x:c r="D53" s="4" t="str">
        <x:v>Villa</x:v>
      </x:c>
      <x:c r="E53" s="4" t="str">
        <x:v>Agreement signed</x:v>
      </x:c>
      <x:c r="F53" s="4" t="str">
        <x:v>CUS-00052</x:v>
      </x:c>
      <x:c r="G53" s="4" t="str">
        <x:v>UNIT-00052</x:v>
      </x:c>
      <x:c r="H53" s="9" t="n">
        <x:v>9800000</x:v>
      </x:c>
      <x:c r="I53" s="10" t="n">
        <x:v>0.03</x:v>
      </x:c>
      <x:c r="J53" s="11" t="n">
        <x:v>8</x:v>
      </x:c>
      <x:c r="K53" s="11" t="n">
        <x:v>5</x:v>
      </x:c>
      <x:c r="L53" s="11" t="n">
        <x:v>1</x:v>
      </x:c>
      <x:c r="M53" s="9" t="n">
        <x:f>ROUND(H53*(1-I53),2)</x:f>
        <x:v>9506000</x:v>
      </x:c>
      <x:c r="N53" s="4" t="str">
        <x:v>Sales manager</x:v>
      </x:c>
      <x:c r="O53" s="4" t="str">
        <x:v>BOOK-00052</x:v>
      </x:c>
      <x:c r="P53" s="9" t="n">
        <x:v>4753000</x:v>
      </x:c>
      <x:c r="Q53" s="11" t="n">
        <x:v>0</x:v>
      </x:c>
      <x:c r="R53" s="8" t="n">
        <x:v>45375</x:v>
      </x:c>
      <x:c r="S53" s="4" t="str">
        <x:v>Retained</x:v>
      </x:c>
      <x:c r="T53" s="10" t="n">
        <x:v>0.310195</x:v>
      </x:c>
      <x:c r="U53" s="4" t="str">
        <x:v>Train</x:v>
      </x:c>
    </x:row>
    <x:row r="54" ht="34" customHeight="1">
      <x:c r="A54" s="4" t="str">
        <x:v>RS-00053</x:v>
      </x:c>
      <x:c r="B54" s="8" t="n">
        <x:v>45316</x:v>
      </x:c>
      <x:c r="C54" s="4" t="str">
        <x:v>PRJ-013</x:v>
      </x:c>
      <x:c r="D54" s="4" t="str">
        <x:v>Apartment</x:v>
      </x:c>
      <x:c r="E54" s="4" t="str">
        <x:v>Booked</x:v>
      </x:c>
      <x:c r="F54" s="4" t="str">
        <x:v>CUS-00053</x:v>
      </x:c>
      <x:c r="G54" s="4" t="str">
        <x:v>UNIT-00053</x:v>
      </x:c>
      <x:c r="H54" s="9" t="n">
        <x:v>12600000</x:v>
      </x:c>
      <x:c r="I54" s="10" t="n">
        <x:v>0.06</x:v>
      </x:c>
      <x:c r="J54" s="11" t="n">
        <x:v>8</x:v>
      </x:c>
      <x:c r="K54" s="11" t="n">
        <x:v>4</x:v>
      </x:c>
      <x:c r="L54" s="11" t="n">
        <x:v>1</x:v>
      </x:c>
      <x:c r="M54" s="9" t="n">
        <x:f>ROUND(H54*(1-I54),2)</x:f>
        <x:v>11844000</x:v>
      </x:c>
      <x:c r="N54" s="4" t="str">
        <x:v>Sales manager</x:v>
      </x:c>
      <x:c r="O54" s="4" t="str">
        <x:v>BOOK-00053</x:v>
      </x:c>
      <x:c r="P54" s="9" t="n">
        <x:v>11844000</x:v>
      </x:c>
      <x:c r="Q54" s="11" t="n">
        <x:v>0</x:v>
      </x:c>
      <x:c r="R54" s="8" t="n">
        <x:v>45376</x:v>
      </x:c>
      <x:c r="S54" s="4" t="str">
        <x:v>Retained</x:v>
      </x:c>
      <x:c r="T54" s="10" t="n">
        <x:v>0.310195</x:v>
      </x:c>
      <x:c r="U54" s="4" t="str">
        <x:v>Train</x:v>
      </x:c>
    </x:row>
    <x:row r="55" ht="34" customHeight="1">
      <x:c r="A55" s="4" t="str">
        <x:v>RS-00054</x:v>
      </x:c>
      <x:c r="B55" s="8" t="n">
        <x:v>45317</x:v>
      </x:c>
      <x:c r="C55" s="4" t="str">
        <x:v>PRJ-014</x:v>
      </x:c>
      <x:c r="D55" s="4" t="str">
        <x:v>Office</x:v>
      </x:c>
      <x:c r="E55" s="4" t="str">
        <x:v>Booked</x:v>
      </x:c>
      <x:c r="F55" s="4" t="str">
        <x:v>CUS-00054</x:v>
      </x:c>
      <x:c r="G55" s="4" t="str">
        <x:v>UNIT-00054</x:v>
      </x:c>
      <x:c r="H55" s="9" t="n">
        <x:v>20100000</x:v>
      </x:c>
      <x:c r="I55" s="10" t="n">
        <x:v>0.04</x:v>
      </x:c>
      <x:c r="J55" s="11" t="n">
        <x:v>5</x:v>
      </x:c>
      <x:c r="K55" s="11" t="n">
        <x:v>5</x:v>
      </x:c>
      <x:c r="L55" s="11" t="n">
        <x:v>0</x:v>
      </x:c>
      <x:c r="M55" s="9" t="n">
        <x:f>ROUND(H55*(1-I55),2)</x:f>
        <x:v>19296000</x:v>
      </x:c>
      <x:c r="N55" s="4" t="str">
        <x:v>Sales manager</x:v>
      </x:c>
      <x:c r="O55" s="4" t="str">
        <x:v>BOOK-00054</x:v>
      </x:c>
      <x:c r="P55" s="9" t="n">
        <x:v>4824000</x:v>
      </x:c>
      <x:c r="Q55" s="11" t="n">
        <x:v>0</x:v>
      </x:c>
      <x:c r="R55" s="8" t="n">
        <x:v>45377</x:v>
      </x:c>
      <x:c r="S55" s="4" t="str">
        <x:v>Retained</x:v>
      </x:c>
      <x:c r="T55" s="10" t="n">
        <x:v>0.226277</x:v>
      </x:c>
      <x:c r="U55" s="4" t="str">
        <x:v>Train</x:v>
      </x:c>
    </x:row>
    <x:row r="56" ht="34" customHeight="1">
      <x:c r="A56" s="4" t="str">
        <x:v>RS-00055</x:v>
      </x:c>
      <x:c r="B56" s="8" t="n">
        <x:v>45318</x:v>
      </x:c>
      <x:c r="C56" s="4" t="str">
        <x:v>PRJ-015</x:v>
      </x:c>
      <x:c r="D56" s="4" t="str">
        <x:v>Retail</x:v>
      </x:c>
      <x:c r="E56" s="4" t="str">
        <x:v>Agreement signed</x:v>
      </x:c>
      <x:c r="F56" s="4" t="str">
        <x:v>CUS-00055</x:v>
      </x:c>
      <x:c r="G56" s="4" t="str">
        <x:v>UNIT-00055</x:v>
      </x:c>
      <x:c r="H56" s="9" t="n">
        <x:v>19300000</x:v>
      </x:c>
      <x:c r="I56" s="10" t="n">
        <x:v>0.1</x:v>
      </x:c>
      <x:c r="J56" s="11" t="n">
        <x:v>3</x:v>
      </x:c>
      <x:c r="K56" s="11" t="n">
        <x:v>5</x:v>
      </x:c>
      <x:c r="L56" s="11" t="n">
        <x:v>0</x:v>
      </x:c>
      <x:c r="M56" s="9" t="n">
        <x:f>ROUND(H56*(1-I56),2)</x:f>
        <x:v>17370000</x:v>
      </x:c>
      <x:c r="N56" s="4" t="str">
        <x:v>Sales head</x:v>
      </x:c>
      <x:c r="O56" s="4" t="str">
        <x:v>BOOK-00055</x:v>
      </x:c>
      <x:c r="P56" s="9" t="n">
        <x:v>1737000</x:v>
      </x:c>
      <x:c r="Q56" s="11" t="n">
        <x:v>0</x:v>
      </x:c>
      <x:c r="R56" s="8" t="n">
        <x:v>45378</x:v>
      </x:c>
      <x:c r="S56" s="4" t="str">
        <x:v>Retained</x:v>
      </x:c>
      <x:c r="T56" s="10" t="n">
        <x:v>0.145833</x:v>
      </x:c>
      <x:c r="U56" s="4" t="str">
        <x:v>Train</x:v>
      </x:c>
    </x:row>
    <x:row r="57" ht="34" customHeight="1">
      <x:c r="A57" s="4" t="str">
        <x:v>RS-00056</x:v>
      </x:c>
      <x:c r="B57" s="8" t="n">
        <x:v>45319</x:v>
      </x:c>
      <x:c r="C57" s="4" t="str">
        <x:v>PRJ-016</x:v>
      </x:c>
      <x:c r="D57" s="4" t="str">
        <x:v>Retail</x:v>
      </x:c>
      <x:c r="E57" s="4" t="str">
        <x:v>Agreement signed</x:v>
      </x:c>
      <x:c r="F57" s="4" t="str">
        <x:v>CUS-00056</x:v>
      </x:c>
      <x:c r="G57" s="4" t="str">
        <x:v>UNIT-00056</x:v>
      </x:c>
      <x:c r="H57" s="9" t="n">
        <x:v>8100000</x:v>
      </x:c>
      <x:c r="I57" s="10" t="n">
        <x:v>0.09</x:v>
      </x:c>
      <x:c r="J57" s="11" t="n">
        <x:v>1</x:v>
      </x:c>
      <x:c r="K57" s="11" t="n">
        <x:v>2</x:v>
      </x:c>
      <x:c r="L57" s="11" t="n">
        <x:v>1</x:v>
      </x:c>
      <x:c r="M57" s="9" t="n">
        <x:f>ROUND(H57*(1-I57),2)</x:f>
        <x:v>7371000</x:v>
      </x:c>
      <x:c r="N57" s="4" t="str">
        <x:v>Sales head</x:v>
      </x:c>
      <x:c r="O57" s="4" t="str">
        <x:v>BOOK-00056</x:v>
      </x:c>
      <x:c r="P57" s="9" t="n">
        <x:v>3685500</x:v>
      </x:c>
      <x:c r="Q57" s="11" t="n">
        <x:v>0</x:v>
      </x:c>
      <x:c r="R57" s="8" t="n">
        <x:v>45379</x:v>
      </x:c>
      <x:c r="S57" s="4" t="str">
        <x:v>Retained</x:v>
      </x:c>
      <x:c r="T57" s="10" t="n">
        <x:v>0.145833</x:v>
      </x:c>
      <x:c r="U57" s="4" t="str">
        <x:v>Train</x:v>
      </x:c>
    </x:row>
    <x:row r="58" ht="34" customHeight="1">
      <x:c r="A58" s="4" t="str">
        <x:v>RS-00057</x:v>
      </x:c>
      <x:c r="B58" s="8" t="n">
        <x:v>45292</x:v>
      </x:c>
      <x:c r="C58" s="4" t="str">
        <x:v>PRJ-017</x:v>
      </x:c>
      <x:c r="D58" s="4" t="str">
        <x:v>Apartment</x:v>
      </x:c>
      <x:c r="E58" s="4" t="str">
        <x:v>Handed over</x:v>
      </x:c>
      <x:c r="F58" s="4" t="str">
        <x:v>CUS-00057</x:v>
      </x:c>
      <x:c r="G58" s="4" t="str">
        <x:v>UNIT-00057</x:v>
      </x:c>
      <x:c r="H58" s="9" t="n">
        <x:v>4700000</x:v>
      </x:c>
      <x:c r="I58" s="10" t="n">
        <x:v>0.09</x:v>
      </x:c>
      <x:c r="J58" s="11" t="n">
        <x:v>11</x:v>
      </x:c>
      <x:c r="K58" s="11" t="n">
        <x:v>10</x:v>
      </x:c>
      <x:c r="L58" s="11" t="n">
        <x:v>0</x:v>
      </x:c>
      <x:c r="M58" s="9" t="n">
        <x:f>ROUND(H58*(1-I58),2)</x:f>
        <x:v>4277000</x:v>
      </x:c>
      <x:c r="N58" s="4" t="str">
        <x:v>Sales head</x:v>
      </x:c>
      <x:c r="O58" s="4" t="str">
        <x:v>BOOK-00057</x:v>
      </x:c>
      <x:c r="P58" s="9" t="n">
        <x:v>427700</x:v>
      </x:c>
      <x:c r="Q58" s="11" t="n">
        <x:v>0</x:v>
      </x:c>
      <x:c r="R58" s="8" t="n">
        <x:v>45352</x:v>
      </x:c>
      <x:c r="S58" s="4" t="str">
        <x:v>Retained</x:v>
      </x:c>
      <x:c r="T58" s="10" t="n">
        <x:v>0.351536</x:v>
      </x:c>
      <x:c r="U58" s="4" t="str">
        <x:v>Train</x:v>
      </x:c>
    </x:row>
    <x:row r="59" ht="34" customHeight="1">
      <x:c r="A59" s="4" t="str">
        <x:v>RS-00058</x:v>
      </x:c>
      <x:c r="B59" s="8" t="n">
        <x:v>45293</x:v>
      </x:c>
      <x:c r="C59" s="4" t="str">
        <x:v>PRJ-018</x:v>
      </x:c>
      <x:c r="D59" s="4" t="str">
        <x:v>Office</x:v>
      </x:c>
      <x:c r="E59" s="4" t="str">
        <x:v>Booked</x:v>
      </x:c>
      <x:c r="F59" s="4" t="str">
        <x:v>CUS-00058</x:v>
      </x:c>
      <x:c r="G59" s="4" t="str">
        <x:v>UNIT-00058</x:v>
      </x:c>
      <x:c r="H59" s="9" t="n">
        <x:v>10000000</x:v>
      </x:c>
      <x:c r="I59" s="10" t="n">
        <x:v>0.04</x:v>
      </x:c>
      <x:c r="J59" s="11" t="n">
        <x:v>10</x:v>
      </x:c>
      <x:c r="K59" s="11" t="n">
        <x:v>2</x:v>
      </x:c>
      <x:c r="L59" s="11" t="n">
        <x:v>1</x:v>
      </x:c>
      <x:c r="M59" s="9" t="n">
        <x:f>ROUND(H59*(1-I59),2)</x:f>
        <x:v>9600000</x:v>
      </x:c>
      <x:c r="N59" s="4" t="str">
        <x:v>Sales manager</x:v>
      </x:c>
      <x:c r="O59" s="4" t="str">
        <x:v>BOOK-00058</x:v>
      </x:c>
      <x:c r="P59" s="9" t="n">
        <x:v>9600000</x:v>
      </x:c>
      <x:c r="Q59" s="11" t="n">
        <x:v>0</x:v>
      </x:c>
      <x:c r="R59" s="8" t="n">
        <x:v>45353</x:v>
      </x:c>
      <x:c r="S59" s="4" t="str">
        <x:v>Retained</x:v>
      </x:c>
      <x:c r="T59" s="10" t="n">
        <x:v>0.310195</x:v>
      </x:c>
      <x:c r="U59" s="4" t="str">
        <x:v>Train</x:v>
      </x:c>
    </x:row>
    <x:row r="60" ht="34" customHeight="1">
      <x:c r="A60" s="4" t="str">
        <x:v>RS-00059</x:v>
      </x:c>
      <x:c r="B60" s="8" t="n">
        <x:v>45294</x:v>
      </x:c>
      <x:c r="C60" s="4" t="str">
        <x:v>PRJ-019</x:v>
      </x:c>
      <x:c r="D60" s="4" t="str">
        <x:v>Office</x:v>
      </x:c>
      <x:c r="E60" s="4" t="str">
        <x:v>Cancelled</x:v>
      </x:c>
      <x:c r="F60" s="4" t="str">
        <x:v>CUS-00059</x:v>
      </x:c>
      <x:c r="G60" s="4" t="str">
        <x:v>UNIT-00059</x:v>
      </x:c>
      <x:c r="H60" s="9" t="n">
        <x:v>15700000</x:v>
      </x:c>
      <x:c r="I60" s="10" t="n">
        <x:v>0.09</x:v>
      </x:c>
      <x:c r="J60" s="11" t="n">
        <x:v>1</x:v>
      </x:c>
      <x:c r="K60" s="11" t="n">
        <x:v>0</x:v>
      </x:c>
      <x:c r="L60" s="11" t="n">
        <x:v>1</x:v>
      </x:c>
      <x:c r="M60" s="9" t="n">
        <x:f>ROUND(H60*(1-I60),2)</x:f>
        <x:v>14287000</x:v>
      </x:c>
      <x:c r="N60" s="4" t="str">
        <x:v>Sales head</x:v>
      </x:c>
      <x:c r="O60" s="4"/>
      <x:c r="P60" s="9" t="n">
        <x:v>0</x:v>
      </x:c>
      <x:c r="Q60" s="11" t="n">
        <x:v>1</x:v>
      </x:c>
      <x:c r="R60" s="8" t="n">
        <x:v>45354</x:v>
      </x:c>
      <x:c r="S60" s="4" t="str">
        <x:v>Lost / cancelled</x:v>
      </x:c>
      <x:c r="T60" s="10" t="n">
        <x:v>0.276923</x:v>
      </x:c>
      <x:c r="U60" s="4" t="str">
        <x:v>Train</x:v>
      </x:c>
    </x:row>
    <x:row r="61" ht="34" customHeight="1">
      <x:c r="A61" s="4" t="str">
        <x:v>RS-00060</x:v>
      </x:c>
      <x:c r="B61" s="8" t="n">
        <x:v>45295</x:v>
      </x:c>
      <x:c r="C61" s="4" t="str">
        <x:v>PRJ-020</x:v>
      </x:c>
      <x:c r="D61" s="4" t="str">
        <x:v>Retail</x:v>
      </x:c>
      <x:c r="E61" s="4" t="str">
        <x:v>Cancelled</x:v>
      </x:c>
      <x:c r="F61" s="4" t="str">
        <x:v>CUS-00060</x:v>
      </x:c>
      <x:c r="G61" s="4" t="str">
        <x:v>UNIT-00060</x:v>
      </x:c>
      <x:c r="H61" s="9" t="n">
        <x:v>14300000</x:v>
      </x:c>
      <x:c r="I61" s="10" t="n">
        <x:v>0.03</x:v>
      </x:c>
      <x:c r="J61" s="11" t="n">
        <x:v>12</x:v>
      </x:c>
      <x:c r="K61" s="11" t="n">
        <x:v>3</x:v>
      </x:c>
      <x:c r="L61" s="11" t="n">
        <x:v>0</x:v>
      </x:c>
      <x:c r="M61" s="9" t="n">
        <x:f>ROUND(H61*(1-I61),2)</x:f>
        <x:v>13871000</x:v>
      </x:c>
      <x:c r="N61" s="4" t="str">
        <x:v>Sales manager</x:v>
      </x:c>
      <x:c r="O61" s="4"/>
      <x:c r="P61" s="9" t="n">
        <x:v>0</x:v>
      </x:c>
      <x:c r="Q61" s="11" t="n">
        <x:v>1</x:v>
      </x:c>
      <x:c r="R61" s="8" t="n">
        <x:v>45355</x:v>
      </x:c>
      <x:c r="S61" s="4" t="str">
        <x:v>Lost / cancelled</x:v>
      </x:c>
      <x:c r="T61" s="10" t="n">
        <x:v>0.351536</x:v>
      </x:c>
      <x:c r="U61" s="4" t="str">
        <x:v>Train</x:v>
      </x:c>
    </x:row>
    <x:row r="62" ht="34" customHeight="1">
      <x:c r="A62" s="4" t="str">
        <x:v>RS-00061</x:v>
      </x:c>
      <x:c r="B62" s="8" t="n">
        <x:v>45296</x:v>
      </x:c>
      <x:c r="C62" s="4" t="str">
        <x:v>PRJ-001</x:v>
      </x:c>
      <x:c r="D62" s="4" t="str">
        <x:v>Office</x:v>
      </x:c>
      <x:c r="E62" s="4" t="str">
        <x:v>Enquiry</x:v>
      </x:c>
      <x:c r="F62" s="4" t="str">
        <x:v>CUS-00061</x:v>
      </x:c>
      <x:c r="G62" s="4" t="str">
        <x:v>UNIT-00061</x:v>
      </x:c>
      <x:c r="H62" s="9" t="n">
        <x:v>13600000</x:v>
      </x:c>
      <x:c r="I62" s="10" t="n">
        <x:v>0.11</x:v>
      </x:c>
      <x:c r="J62" s="11" t="n">
        <x:v>10</x:v>
      </x:c>
      <x:c r="K62" s="11" t="n">
        <x:v>7</x:v>
      </x:c>
      <x:c r="L62" s="11" t="n">
        <x:v>0</x:v>
      </x:c>
      <x:c r="M62" s="9" t="n">
        <x:f>ROUND(H62*(1-I62),2)</x:f>
        <x:v>12104000</x:v>
      </x:c>
      <x:c r="N62" s="4" t="str">
        <x:v>Sales head</x:v>
      </x:c>
      <x:c r="O62" s="4"/>
      <x:c r="P62" s="9" t="n">
        <x:v>0</x:v>
      </x:c>
      <x:c r="Q62" s="11" t="n">
        <x:v>1</x:v>
      </x:c>
      <x:c r="R62" s="8" t="n">
        <x:v>45356</x:v>
      </x:c>
      <x:c r="S62" s="4" t="str">
        <x:v>Lost / cancelled</x:v>
      </x:c>
      <x:c r="T62" s="10" t="n">
        <x:v>0.310195</x:v>
      </x:c>
      <x:c r="U62" s="4" t="str">
        <x:v>Train</x:v>
      </x:c>
    </x:row>
    <x:row r="63" ht="34" customHeight="1">
      <x:c r="A63" s="4" t="str">
        <x:v>RS-00062</x:v>
      </x:c>
      <x:c r="B63" s="8" t="n">
        <x:v>45297</x:v>
      </x:c>
      <x:c r="C63" s="4" t="str">
        <x:v>PRJ-002</x:v>
      </x:c>
      <x:c r="D63" s="4" t="str">
        <x:v>Villa</x:v>
      </x:c>
      <x:c r="E63" s="4" t="str">
        <x:v>Reserved</x:v>
      </x:c>
      <x:c r="F63" s="4" t="str">
        <x:v>CUS-00062</x:v>
      </x:c>
      <x:c r="G63" s="4" t="str">
        <x:v>UNIT-00062</x:v>
      </x:c>
      <x:c r="H63" s="9" t="n">
        <x:v>13000000</x:v>
      </x:c>
      <x:c r="I63" s="10" t="n">
        <x:v>0</x:v>
      </x:c>
      <x:c r="J63" s="11" t="n">
        <x:v>7</x:v>
      </x:c>
      <x:c r="K63" s="11" t="n">
        <x:v>6</x:v>
      </x:c>
      <x:c r="L63" s="11" t="n">
        <x:v>1</x:v>
      </x:c>
      <x:c r="M63" s="9" t="n">
        <x:f>ROUND(H63*(1-I63),2)</x:f>
        <x:v>13000000</x:v>
      </x:c>
      <x:c r="N63" s="4" t="str">
        <x:v>Sales manager</x:v>
      </x:c>
      <x:c r="O63" s="4"/>
      <x:c r="P63" s="9" t="n">
        <x:v>0</x:v>
      </x:c>
      <x:c r="Q63" s="11" t="n">
        <x:v>0</x:v>
      </x:c>
      <x:c r="R63" s="8" t="n">
        <x:v>45357</x:v>
      </x:c>
      <x:c r="S63" s="4" t="str">
        <x:v>Retained</x:v>
      </x:c>
      <x:c r="T63" s="10" t="n">
        <x:v>0.145299</x:v>
      </x:c>
      <x:c r="U63" s="4" t="str">
        <x:v>Train</x:v>
      </x:c>
    </x:row>
    <x:row r="64" ht="34" customHeight="1">
      <x:c r="A64" s="4" t="str">
        <x:v>RS-00063</x:v>
      </x:c>
      <x:c r="B64" s="8" t="n">
        <x:v>45298</x:v>
      </x:c>
      <x:c r="C64" s="4" t="str">
        <x:v>PRJ-003</x:v>
      </x:c>
      <x:c r="D64" s="4" t="str">
        <x:v>Apartment</x:v>
      </x:c>
      <x:c r="E64" s="4" t="str">
        <x:v>Enquiry</x:v>
      </x:c>
      <x:c r="F64" s="4" t="str">
        <x:v>CUS-00063</x:v>
      </x:c>
      <x:c r="G64" s="4" t="str">
        <x:v>UNIT-00063</x:v>
      </x:c>
      <x:c r="H64" s="9" t="n">
        <x:v>19900000</x:v>
      </x:c>
      <x:c r="I64" s="10" t="n">
        <x:v>0.04</x:v>
      </x:c>
      <x:c r="J64" s="11" t="n">
        <x:v>7</x:v>
      </x:c>
      <x:c r="K64" s="11" t="n">
        <x:v>6</x:v>
      </x:c>
      <x:c r="L64" s="11" t="n">
        <x:v>1</x:v>
      </x:c>
      <x:c r="M64" s="9" t="n">
        <x:f>ROUND(H64*(1-I64),2)</x:f>
        <x:v>19104000</x:v>
      </x:c>
      <x:c r="N64" s="4" t="str">
        <x:v>Sales manager</x:v>
      </x:c>
      <x:c r="O64" s="4"/>
      <x:c r="P64" s="9" t="n">
        <x:v>0</x:v>
      </x:c>
      <x:c r="Q64" s="11" t="n">
        <x:v>0</x:v>
      </x:c>
      <x:c r="R64" s="8" t="n">
        <x:v>45358</x:v>
      </x:c>
      <x:c r="S64" s="4" t="str">
        <x:v>Retained</x:v>
      </x:c>
      <x:c r="T64" s="10" t="n">
        <x:v>0.291946</x:v>
      </x:c>
      <x:c r="U64" s="4" t="str">
        <x:v>Train</x:v>
      </x:c>
    </x:row>
    <x:row r="65" ht="34" customHeight="1">
      <x:c r="A65" s="4" t="str">
        <x:v>RS-00064</x:v>
      </x:c>
      <x:c r="B65" s="8" t="n">
        <x:v>45299</x:v>
      </x:c>
      <x:c r="C65" s="4" t="str">
        <x:v>PRJ-004</x:v>
      </x:c>
      <x:c r="D65" s="4" t="str">
        <x:v>Villa</x:v>
      </x:c>
      <x:c r="E65" s="4" t="str">
        <x:v>Enquiry</x:v>
      </x:c>
      <x:c r="F65" s="4" t="str">
        <x:v>CUS-00064</x:v>
      </x:c>
      <x:c r="G65" s="4" t="str">
        <x:v>UNIT-00064</x:v>
      </x:c>
      <x:c r="H65" s="9" t="n">
        <x:v>24500000</x:v>
      </x:c>
      <x:c r="I65" s="10" t="n">
        <x:v>0.05</x:v>
      </x:c>
      <x:c r="J65" s="11" t="n">
        <x:v>7</x:v>
      </x:c>
      <x:c r="K65" s="11" t="n">
        <x:v>0</x:v>
      </x:c>
      <x:c r="L65" s="11" t="n">
        <x:v>0</x:v>
      </x:c>
      <x:c r="M65" s="9" t="n">
        <x:f>ROUND(H65*(1-I65),2)</x:f>
        <x:v>23275000</x:v>
      </x:c>
      <x:c r="N65" s="4" t="str">
        <x:v>Sales manager</x:v>
      </x:c>
      <x:c r="O65" s="4"/>
      <x:c r="P65" s="9" t="n">
        <x:v>0</x:v>
      </x:c>
      <x:c r="Q65" s="11" t="n">
        <x:v>1</x:v>
      </x:c>
      <x:c r="R65" s="8" t="n">
        <x:v>45359</x:v>
      </x:c>
      <x:c r="S65" s="4" t="str">
        <x:v>Lost / cancelled</x:v>
      </x:c>
      <x:c r="T65" s="10" t="n">
        <x:v>0.226277</x:v>
      </x:c>
      <x:c r="U65" s="4" t="str">
        <x:v>Train</x:v>
      </x:c>
    </x:row>
    <x:row r="66" ht="34" customHeight="1">
      <x:c r="A66" s="4" t="str">
        <x:v>RS-00065</x:v>
      </x:c>
      <x:c r="B66" s="8" t="n">
        <x:v>45300</x:v>
      </x:c>
      <x:c r="C66" s="4" t="str">
        <x:v>PRJ-005</x:v>
      </x:c>
      <x:c r="D66" s="4" t="str">
        <x:v>Apartment</x:v>
      </x:c>
      <x:c r="E66" s="4" t="str">
        <x:v>Handed over</x:v>
      </x:c>
      <x:c r="F66" s="4" t="str">
        <x:v>CUS-00065</x:v>
      </x:c>
      <x:c r="G66" s="4" t="str">
        <x:v>UNIT-00065</x:v>
      </x:c>
      <x:c r="H66" s="9" t="n">
        <x:v>12900000</x:v>
      </x:c>
      <x:c r="I66" s="10" t="n">
        <x:v>0.06</x:v>
      </x:c>
      <x:c r="J66" s="11" t="n">
        <x:v>10</x:v>
      </x:c>
      <x:c r="K66" s="11" t="n">
        <x:v>2</x:v>
      </x:c>
      <x:c r="L66" s="11" t="n">
        <x:v>1</x:v>
      </x:c>
      <x:c r="M66" s="9" t="n">
        <x:f>ROUND(H66*(1-I66),2)</x:f>
        <x:v>12126000</x:v>
      </x:c>
      <x:c r="N66" s="4" t="str">
        <x:v>Sales manager</x:v>
      </x:c>
      <x:c r="O66" s="4" t="str">
        <x:v>BOOK-00065</x:v>
      </x:c>
      <x:c r="P66" s="9" t="n">
        <x:v>6063000</x:v>
      </x:c>
      <x:c r="Q66" s="11" t="n">
        <x:v>0</x:v>
      </x:c>
      <x:c r="R66" s="8" t="n">
        <x:v>45360</x:v>
      </x:c>
      <x:c r="S66" s="4" t="str">
        <x:v>Retained</x:v>
      </x:c>
      <x:c r="T66" s="10" t="n">
        <x:v>0.310195</x:v>
      </x:c>
      <x:c r="U66" s="4" t="str">
        <x:v>Train</x:v>
      </x:c>
    </x:row>
    <x:row r="67" ht="34" customHeight="1">
      <x:c r="A67" s="4" t="str">
        <x:v>RS-00066</x:v>
      </x:c>
      <x:c r="B67" s="8" t="n">
        <x:v>45301</x:v>
      </x:c>
      <x:c r="C67" s="4" t="str">
        <x:v>PRJ-006</x:v>
      </x:c>
      <x:c r="D67" s="4" t="str">
        <x:v>Retail</x:v>
      </x:c>
      <x:c r="E67" s="4" t="str">
        <x:v>Booked</x:v>
      </x:c>
      <x:c r="F67" s="4" t="str">
        <x:v>CUS-00066</x:v>
      </x:c>
      <x:c r="G67" s="4" t="str">
        <x:v>UNIT-00066</x:v>
      </x:c>
      <x:c r="H67" s="9" t="n">
        <x:v>4600000</x:v>
      </x:c>
      <x:c r="I67" s="10" t="n">
        <x:v>0.03</x:v>
      </x:c>
      <x:c r="J67" s="11" t="n">
        <x:v>6</x:v>
      </x:c>
      <x:c r="K67" s="11" t="n">
        <x:v>0</x:v>
      </x:c>
      <x:c r="L67" s="11" t="n">
        <x:v>1</x:v>
      </x:c>
      <x:c r="M67" s="9" t="n">
        <x:f>ROUND(H67*(1-I67),2)</x:f>
        <x:v>4462000</x:v>
      </x:c>
      <x:c r="N67" s="4" t="str">
        <x:v>Sales manager</x:v>
      </x:c>
      <x:c r="O67" s="4" t="str">
        <x:v>BOOK-00066</x:v>
      </x:c>
      <x:c r="P67" s="9" t="n">
        <x:v>2231000</x:v>
      </x:c>
      <x:c r="Q67" s="11" t="n">
        <x:v>0</x:v>
      </x:c>
      <x:c r="R67" s="8" t="n">
        <x:v>45361</x:v>
      </x:c>
      <x:c r="S67" s="4" t="str">
        <x:v>Retained</x:v>
      </x:c>
      <x:c r="T67" s="10" t="n">
        <x:v>0.298969</x:v>
      </x:c>
      <x:c r="U67" s="4" t="str">
        <x:v>Train</x:v>
      </x:c>
    </x:row>
    <x:row r="68" ht="34" customHeight="1">
      <x:c r="A68" s="4" t="str">
        <x:v>RS-00067</x:v>
      </x:c>
      <x:c r="B68" s="8" t="n">
        <x:v>45302</x:v>
      </x:c>
      <x:c r="C68" s="4" t="str">
        <x:v>PRJ-007</x:v>
      </x:c>
      <x:c r="D68" s="4" t="str">
        <x:v>Villa</x:v>
      </x:c>
      <x:c r="E68" s="4" t="str">
        <x:v>Enquiry</x:v>
      </x:c>
      <x:c r="F68" s="4" t="str">
        <x:v>CUS-00067</x:v>
      </x:c>
      <x:c r="G68" s="4" t="str">
        <x:v>UNIT-00067</x:v>
      </x:c>
      <x:c r="H68" s="9" t="n">
        <x:v>17700000</x:v>
      </x:c>
      <x:c r="I68" s="10" t="n">
        <x:v>0.05</x:v>
      </x:c>
      <x:c r="J68" s="11" t="n">
        <x:v>5</x:v>
      </x:c>
      <x:c r="K68" s="11" t="n">
        <x:v>6</x:v>
      </x:c>
      <x:c r="L68" s="11" t="n">
        <x:v>0</x:v>
      </x:c>
      <x:c r="M68" s="9" t="n">
        <x:f>ROUND(H68*(1-I68),2)</x:f>
        <x:v>16815000</x:v>
      </x:c>
      <x:c r="N68" s="4" t="str">
        <x:v>Sales manager</x:v>
      </x:c>
      <x:c r="O68" s="4"/>
      <x:c r="P68" s="9" t="n">
        <x:v>0</x:v>
      </x:c>
      <x:c r="Q68" s="11" t="n">
        <x:v>0</x:v>
      </x:c>
      <x:c r="R68" s="8" t="n">
        <x:v>45362</x:v>
      </x:c>
      <x:c r="S68" s="4" t="str">
        <x:v>Retained</x:v>
      </x:c>
      <x:c r="T68" s="10" t="n">
        <x:v>0.226277</x:v>
      </x:c>
      <x:c r="U68" s="4" t="str">
        <x:v>Train</x:v>
      </x:c>
    </x:row>
    <x:row r="69" ht="34" customHeight="1">
      <x:c r="A69" s="4" t="str">
        <x:v>RS-00068</x:v>
      </x:c>
      <x:c r="B69" s="8" t="n">
        <x:v>45303</x:v>
      </x:c>
      <x:c r="C69" s="4" t="str">
        <x:v>PRJ-008</x:v>
      </x:c>
      <x:c r="D69" s="4" t="str">
        <x:v>Villa</x:v>
      </x:c>
      <x:c r="E69" s="4" t="str">
        <x:v>Cancelled</x:v>
      </x:c>
      <x:c r="F69" s="4" t="str">
        <x:v>CUS-00068</x:v>
      </x:c>
      <x:c r="G69" s="4" t="str">
        <x:v>UNIT-00068</x:v>
      </x:c>
      <x:c r="H69" s="9" t="n">
        <x:v>6500000</x:v>
      </x:c>
      <x:c r="I69" s="10" t="n">
        <x:v>0.05</x:v>
      </x:c>
      <x:c r="J69" s="11" t="n">
        <x:v>12</x:v>
      </x:c>
      <x:c r="K69" s="11" t="n">
        <x:v>5</x:v>
      </x:c>
      <x:c r="L69" s="11" t="n">
        <x:v>0</x:v>
      </x:c>
      <x:c r="M69" s="9" t="n">
        <x:f>ROUND(H69*(1-I69),2)</x:f>
        <x:v>6175000</x:v>
      </x:c>
      <x:c r="N69" s="4" t="str">
        <x:v>Sales manager</x:v>
      </x:c>
      <x:c r="O69" s="4"/>
      <x:c r="P69" s="9" t="n">
        <x:v>0</x:v>
      </x:c>
      <x:c r="Q69" s="11" t="n">
        <x:v>1</x:v>
      </x:c>
      <x:c r="R69" s="8" t="n">
        <x:v>45363</x:v>
      </x:c>
      <x:c r="S69" s="4" t="str">
        <x:v>Lost / cancelled</x:v>
      </x:c>
      <x:c r="T69" s="10" t="n">
        <x:v>0.351536</x:v>
      </x:c>
      <x:c r="U69" s="4" t="str">
        <x:v>Train</x:v>
      </x:c>
    </x:row>
    <x:row r="70" ht="34" customHeight="1">
      <x:c r="A70" s="4" t="str">
        <x:v>RS-00069</x:v>
      </x:c>
      <x:c r="B70" s="8" t="n">
        <x:v>45304</x:v>
      </x:c>
      <x:c r="C70" s="4" t="str">
        <x:v>PRJ-009</x:v>
      </x:c>
      <x:c r="D70" s="4" t="str">
        <x:v>Office</x:v>
      </x:c>
      <x:c r="E70" s="4" t="str">
        <x:v>Handed over</x:v>
      </x:c>
      <x:c r="F70" s="4" t="str">
        <x:v>CUS-00069</x:v>
      </x:c>
      <x:c r="G70" s="4" t="str">
        <x:v>UNIT-00069</x:v>
      </x:c>
      <x:c r="H70" s="9" t="n">
        <x:v>14900000</x:v>
      </x:c>
      <x:c r="I70" s="10" t="n">
        <x:v>0.08</x:v>
      </x:c>
      <x:c r="J70" s="11" t="n">
        <x:v>2</x:v>
      </x:c>
      <x:c r="K70" s="11" t="n">
        <x:v>5</x:v>
      </x:c>
      <x:c r="L70" s="11" t="n">
        <x:v>0</x:v>
      </x:c>
      <x:c r="M70" s="9" t="n">
        <x:f>ROUND(H70*(1-I70),2)</x:f>
        <x:v>13708000</x:v>
      </x:c>
      <x:c r="N70" s="4" t="str">
        <x:v>Sales head</x:v>
      </x:c>
      <x:c r="O70" s="4" t="str">
        <x:v>BOOK-00069</x:v>
      </x:c>
      <x:c r="P70" s="9" t="n">
        <x:v>13708000</x:v>
      </x:c>
      <x:c r="Q70" s="11" t="n">
        <x:v>0</x:v>
      </x:c>
      <x:c r="R70" s="8" t="n">
        <x:v>45364</x:v>
      </x:c>
      <x:c r="S70" s="4" t="str">
        <x:v>Retained</x:v>
      </x:c>
      <x:c r="T70" s="10" t="n">
        <x:v>0.204152</x:v>
      </x:c>
      <x:c r="U70" s="4" t="str">
        <x:v>Train</x:v>
      </x:c>
    </x:row>
    <x:row r="71" ht="34" customHeight="1">
      <x:c r="A71" s="4" t="str">
        <x:v>RS-00070</x:v>
      </x:c>
      <x:c r="B71" s="8" t="n">
        <x:v>45305</x:v>
      </x:c>
      <x:c r="C71" s="4" t="str">
        <x:v>PRJ-010</x:v>
      </x:c>
      <x:c r="D71" s="4" t="str">
        <x:v>Office</x:v>
      </x:c>
      <x:c r="E71" s="4" t="str">
        <x:v>Enquiry</x:v>
      </x:c>
      <x:c r="F71" s="4" t="str">
        <x:v>CUS-00070</x:v>
      </x:c>
      <x:c r="G71" s="4" t="str">
        <x:v>UNIT-00070</x:v>
      </x:c>
      <x:c r="H71" s="9" t="n">
        <x:v>4100000</x:v>
      </x:c>
      <x:c r="I71" s="10" t="n">
        <x:v>0.09</x:v>
      </x:c>
      <x:c r="J71" s="11" t="n">
        <x:v>10</x:v>
      </x:c>
      <x:c r="K71" s="11" t="n">
        <x:v>10</x:v>
      </x:c>
      <x:c r="L71" s="11" t="n">
        <x:v>0</x:v>
      </x:c>
      <x:c r="M71" s="9" t="n">
        <x:f>ROUND(H71*(1-I71),2)</x:f>
        <x:v>3731000</x:v>
      </x:c>
      <x:c r="N71" s="4" t="str">
        <x:v>Sales head</x:v>
      </x:c>
      <x:c r="O71" s="4"/>
      <x:c r="P71" s="9" t="n">
        <x:v>0</x:v>
      </x:c>
      <x:c r="Q71" s="11" t="n">
        <x:v>0</x:v>
      </x:c>
      <x:c r="R71" s="8" t="n">
        <x:v>45365</x:v>
      </x:c>
      <x:c r="S71" s="4" t="str">
        <x:v>Retained</x:v>
      </x:c>
      <x:c r="T71" s="10" t="n">
        <x:v>0.310195</x:v>
      </x:c>
      <x:c r="U71" s="4" t="str">
        <x:v>Train</x:v>
      </x:c>
    </x:row>
    <x:row r="72" ht="34" customHeight="1">
      <x:c r="A72" s="4" t="str">
        <x:v>RS-00071</x:v>
      </x:c>
      <x:c r="B72" s="8" t="n">
        <x:v>45306</x:v>
      </x:c>
      <x:c r="C72" s="4" t="str">
        <x:v>PRJ-011</x:v>
      </x:c>
      <x:c r="D72" s="4" t="str">
        <x:v>Retail</x:v>
      </x:c>
      <x:c r="E72" s="4" t="str">
        <x:v>Enquiry</x:v>
      </x:c>
      <x:c r="F72" s="4" t="str">
        <x:v>CUS-00071</x:v>
      </x:c>
      <x:c r="G72" s="4" t="str">
        <x:v>UNIT-00071</x:v>
      </x:c>
      <x:c r="H72" s="9" t="n">
        <x:v>24500000</x:v>
      </x:c>
      <x:c r="I72" s="10" t="n">
        <x:v>0.07</x:v>
      </x:c>
      <x:c r="J72" s="11" t="n">
        <x:v>3</x:v>
      </x:c>
      <x:c r="K72" s="11" t="n">
        <x:v>9</x:v>
      </x:c>
      <x:c r="L72" s="11" t="n">
        <x:v>1</x:v>
      </x:c>
      <x:c r="M72" s="9" t="n">
        <x:f>ROUND(H72*(1-I72),2)</x:f>
        <x:v>22785000</x:v>
      </x:c>
      <x:c r="N72" s="4" t="str">
        <x:v>Sales manager</x:v>
      </x:c>
      <x:c r="O72" s="4"/>
      <x:c r="P72" s="9" t="n">
        <x:v>0</x:v>
      </x:c>
      <x:c r="Q72" s="11" t="n">
        <x:v>0</x:v>
      </x:c>
      <x:c r="R72" s="8" t="n">
        <x:v>45366</x:v>
      </x:c>
      <x:c r="S72" s="4" t="str">
        <x:v>Retained</x:v>
      </x:c>
      <x:c r="T72" s="10" t="n">
        <x:v>0.204152</x:v>
      </x:c>
      <x:c r="U72" s="4" t="str">
        <x:v>Train</x:v>
      </x:c>
    </x:row>
    <x:row r="73" ht="34" customHeight="1">
      <x:c r="A73" s="4" t="str">
        <x:v>RS-00072</x:v>
      </x:c>
      <x:c r="B73" s="8" t="n">
        <x:v>45307</x:v>
      </x:c>
      <x:c r="C73" s="4" t="str">
        <x:v>PRJ-012</x:v>
      </x:c>
      <x:c r="D73" s="4" t="str">
        <x:v>Retail</x:v>
      </x:c>
      <x:c r="E73" s="4" t="str">
        <x:v>Cancelled</x:v>
      </x:c>
      <x:c r="F73" s="4" t="str">
        <x:v>CUS-00072</x:v>
      </x:c>
      <x:c r="G73" s="4" t="str">
        <x:v>UNIT-00072</x:v>
      </x:c>
      <x:c r="H73" s="9" t="n">
        <x:v>11900000</x:v>
      </x:c>
      <x:c r="I73" s="10" t="n">
        <x:v>0.03</x:v>
      </x:c>
      <x:c r="J73" s="11" t="n">
        <x:v>4</x:v>
      </x:c>
      <x:c r="K73" s="11" t="n">
        <x:v>3</x:v>
      </x:c>
      <x:c r="L73" s="11" t="n">
        <x:v>0</x:v>
      </x:c>
      <x:c r="M73" s="9" t="n">
        <x:f>ROUND(H73*(1-I73),2)</x:f>
        <x:v>11543000</x:v>
      </x:c>
      <x:c r="N73" s="4" t="str">
        <x:v>Sales manager</x:v>
      </x:c>
      <x:c r="O73" s="4"/>
      <x:c r="P73" s="9" t="n">
        <x:v>0</x:v>
      </x:c>
      <x:c r="Q73" s="11" t="n">
        <x:v>1</x:v>
      </x:c>
      <x:c r="R73" s="8" t="n">
        <x:v>45367</x:v>
      </x:c>
      <x:c r="S73" s="4" t="str">
        <x:v>Lost / cancelled</x:v>
      </x:c>
      <x:c r="T73" s="10" t="n">
        <x:v>0.298969</x:v>
      </x:c>
      <x:c r="U73" s="4" t="str">
        <x:v>Train</x:v>
      </x:c>
    </x:row>
    <x:row r="74" ht="34" customHeight="1">
      <x:c r="A74" s="4" t="str">
        <x:v>RS-00073</x:v>
      </x:c>
      <x:c r="B74" s="8" t="n">
        <x:v>45308</x:v>
      </x:c>
      <x:c r="C74" s="4" t="str">
        <x:v>PRJ-013</x:v>
      </x:c>
      <x:c r="D74" s="4" t="str">
        <x:v>Office</x:v>
      </x:c>
      <x:c r="E74" s="4" t="str">
        <x:v>Handed over</x:v>
      </x:c>
      <x:c r="F74" s="4" t="str">
        <x:v>CUS-00073</x:v>
      </x:c>
      <x:c r="G74" s="4" t="str">
        <x:v>UNIT-00073</x:v>
      </x:c>
      <x:c r="H74" s="9" t="n">
        <x:v>6400000</x:v>
      </x:c>
      <x:c r="I74" s="10" t="n">
        <x:v>0.11</x:v>
      </x:c>
      <x:c r="J74" s="11" t="n">
        <x:v>9</x:v>
      </x:c>
      <x:c r="K74" s="11" t="n">
        <x:v>8</x:v>
      </x:c>
      <x:c r="L74" s="11" t="n">
        <x:v>0</x:v>
      </x:c>
      <x:c r="M74" s="9" t="n">
        <x:f>ROUND(H74*(1-I74),2)</x:f>
        <x:v>5696000</x:v>
      </x:c>
      <x:c r="N74" s="4" t="str">
        <x:v>Sales head</x:v>
      </x:c>
      <x:c r="O74" s="4" t="str">
        <x:v>BOOK-00073</x:v>
      </x:c>
      <x:c r="P74" s="9" t="n">
        <x:v>569600</x:v>
      </x:c>
      <x:c r="Q74" s="11" t="n">
        <x:v>0</x:v>
      </x:c>
      <x:c r="R74" s="8" t="n">
        <x:v>45368</x:v>
      </x:c>
      <x:c r="S74" s="4" t="str">
        <x:v>Retained</x:v>
      </x:c>
      <x:c r="T74" s="10" t="n">
        <x:v>0.310195</x:v>
      </x:c>
      <x:c r="U74" s="4" t="str">
        <x:v>Train</x:v>
      </x:c>
    </x:row>
    <x:row r="75" ht="34" customHeight="1">
      <x:c r="A75" s="4" t="str">
        <x:v>RS-00074</x:v>
      </x:c>
      <x:c r="B75" s="8" t="n">
        <x:v>45309</x:v>
      </x:c>
      <x:c r="C75" s="4" t="str">
        <x:v>PRJ-014</x:v>
      </x:c>
      <x:c r="D75" s="4" t="str">
        <x:v>Villa</x:v>
      </x:c>
      <x:c r="E75" s="4" t="str">
        <x:v>Enquiry</x:v>
      </x:c>
      <x:c r="F75" s="4" t="str">
        <x:v>CUS-00074</x:v>
      </x:c>
      <x:c r="G75" s="4" t="str">
        <x:v>UNIT-00074</x:v>
      </x:c>
      <x:c r="H75" s="9" t="n">
        <x:v>18700000</x:v>
      </x:c>
      <x:c r="I75" s="10" t="n">
        <x:v>0.08</x:v>
      </x:c>
      <x:c r="J75" s="11" t="n">
        <x:v>6</x:v>
      </x:c>
      <x:c r="K75" s="11" t="n">
        <x:v>1</x:v>
      </x:c>
      <x:c r="L75" s="11" t="n">
        <x:v>0</x:v>
      </x:c>
      <x:c r="M75" s="9" t="n">
        <x:f>ROUND(H75*(1-I75),2)</x:f>
        <x:v>17204000</x:v>
      </x:c>
      <x:c r="N75" s="4" t="str">
        <x:v>Sales head</x:v>
      </x:c>
      <x:c r="O75" s="4"/>
      <x:c r="P75" s="9" t="n">
        <x:v>0</x:v>
      </x:c>
      <x:c r="Q75" s="11" t="n">
        <x:v>1</x:v>
      </x:c>
      <x:c r="R75" s="8" t="n">
        <x:v>45369</x:v>
      </x:c>
      <x:c r="S75" s="4" t="str">
        <x:v>Lost / cancelled</x:v>
      </x:c>
      <x:c r="T75" s="10" t="n">
        <x:v>0.226277</x:v>
      </x:c>
      <x:c r="U75" s="4" t="str">
        <x:v>Train</x:v>
      </x:c>
    </x:row>
    <x:row r="76" ht="34" customHeight="1">
      <x:c r="A76" s="4" t="str">
        <x:v>RS-00075</x:v>
      </x:c>
      <x:c r="B76" s="8" t="n">
        <x:v>45310</x:v>
      </x:c>
      <x:c r="C76" s="4" t="str">
        <x:v>PRJ-015</x:v>
      </x:c>
      <x:c r="D76" s="4" t="str">
        <x:v>Retail</x:v>
      </x:c>
      <x:c r="E76" s="4" t="str">
        <x:v>Enquiry</x:v>
      </x:c>
      <x:c r="F76" s="4" t="str">
        <x:v>CUS-00075</x:v>
      </x:c>
      <x:c r="G76" s="4" t="str">
        <x:v>UNIT-00075</x:v>
      </x:c>
      <x:c r="H76" s="9" t="n">
        <x:v>11400000</x:v>
      </x:c>
      <x:c r="I76" s="10" t="n">
        <x:v>0.08</x:v>
      </x:c>
      <x:c r="J76" s="11" t="n">
        <x:v>11</x:v>
      </x:c>
      <x:c r="K76" s="11" t="n">
        <x:v>9</x:v>
      </x:c>
      <x:c r="L76" s="11" t="n">
        <x:v>0</x:v>
      </x:c>
      <x:c r="M76" s="9" t="n">
        <x:f>ROUND(H76*(1-I76),2)</x:f>
        <x:v>10488000</x:v>
      </x:c>
      <x:c r="N76" s="4" t="str">
        <x:v>Sales head</x:v>
      </x:c>
      <x:c r="O76" s="4"/>
      <x:c r="P76" s="9" t="n">
        <x:v>0</x:v>
      </x:c>
      <x:c r="Q76" s="11" t="n">
        <x:v>1</x:v>
      </x:c>
      <x:c r="R76" s="8" t="n">
        <x:v>45370</x:v>
      </x:c>
      <x:c r="S76" s="4" t="str">
        <x:v>Lost / cancelled</x:v>
      </x:c>
      <x:c r="T76" s="10" t="n">
        <x:v>0.351536</x:v>
      </x:c>
      <x:c r="U76" s="4" t="str">
        <x:v>Train</x:v>
      </x:c>
    </x:row>
    <x:row r="77" ht="34" customHeight="1">
      <x:c r="A77" s="4" t="str">
        <x:v>RS-00076</x:v>
      </x:c>
      <x:c r="B77" s="8" t="n">
        <x:v>45311</x:v>
      </x:c>
      <x:c r="C77" s="4" t="str">
        <x:v>PRJ-016</x:v>
      </x:c>
      <x:c r="D77" s="4" t="str">
        <x:v>Apartment</x:v>
      </x:c>
      <x:c r="E77" s="4" t="str">
        <x:v>Booked</x:v>
      </x:c>
      <x:c r="F77" s="4" t="str">
        <x:v>CUS-00076</x:v>
      </x:c>
      <x:c r="G77" s="4" t="str">
        <x:v>UNIT-00076</x:v>
      </x:c>
      <x:c r="H77" s="9" t="n">
        <x:v>15700000</x:v>
      </x:c>
      <x:c r="I77" s="10" t="n">
        <x:v>0.02</x:v>
      </x:c>
      <x:c r="J77" s="11" t="n">
        <x:v>0</x:v>
      </x:c>
      <x:c r="K77" s="11" t="n">
        <x:v>8</x:v>
      </x:c>
      <x:c r="L77" s="11" t="n">
        <x:v>0</x:v>
      </x:c>
      <x:c r="M77" s="9" t="n">
        <x:f>ROUND(H77*(1-I77),2)</x:f>
        <x:v>15386000</x:v>
      </x:c>
      <x:c r="N77" s="4" t="str">
        <x:v>Sales manager</x:v>
      </x:c>
      <x:c r="O77" s="4" t="str">
        <x:v>BOOK-00076</x:v>
      </x:c>
      <x:c r="P77" s="9" t="n">
        <x:v>7693000</x:v>
      </x:c>
      <x:c r="Q77" s="11" t="n">
        <x:v>0</x:v>
      </x:c>
      <x:c r="R77" s="8" t="n">
        <x:v>45371</x:v>
      </x:c>
      <x:c r="S77" s="4" t="str">
        <x:v>Retained</x:v>
      </x:c>
      <x:c r="T77" s="10" t="n">
        <x:v>0.072165</x:v>
      </x:c>
      <x:c r="U77" s="4" t="str">
        <x:v>Train</x:v>
      </x:c>
    </x:row>
    <x:row r="78" ht="34" customHeight="1">
      <x:c r="A78" s="4" t="str">
        <x:v>RS-00077</x:v>
      </x:c>
      <x:c r="B78" s="8" t="n">
        <x:v>45312</x:v>
      </x:c>
      <x:c r="C78" s="4" t="str">
        <x:v>PRJ-017</x:v>
      </x:c>
      <x:c r="D78" s="4" t="str">
        <x:v>Retail</x:v>
      </x:c>
      <x:c r="E78" s="4" t="str">
        <x:v>Reserved</x:v>
      </x:c>
      <x:c r="F78" s="4" t="str">
        <x:v>CUS-00077</x:v>
      </x:c>
      <x:c r="G78" s="4" t="str">
        <x:v>UNIT-00077</x:v>
      </x:c>
      <x:c r="H78" s="9" t="n">
        <x:v>13200000</x:v>
      </x:c>
      <x:c r="I78" s="10" t="n">
        <x:v>0.11</x:v>
      </x:c>
      <x:c r="J78" s="11" t="n">
        <x:v>11</x:v>
      </x:c>
      <x:c r="K78" s="11" t="n">
        <x:v>1</x:v>
      </x:c>
      <x:c r="L78" s="11" t="n">
        <x:v>1</x:v>
      </x:c>
      <x:c r="M78" s="9" t="n">
        <x:f>ROUND(H78*(1-I78),2)</x:f>
        <x:v>11748000</x:v>
      </x:c>
      <x:c r="N78" s="4" t="str">
        <x:v>Sales head</x:v>
      </x:c>
      <x:c r="O78" s="4"/>
      <x:c r="P78" s="9" t="n">
        <x:v>0</x:v>
      </x:c>
      <x:c r="Q78" s="11" t="n">
        <x:v>0</x:v>
      </x:c>
      <x:c r="R78" s="8" t="n">
        <x:v>45372</x:v>
      </x:c>
      <x:c r="S78" s="4" t="str">
        <x:v>Retained</x:v>
      </x:c>
      <x:c r="T78" s="10" t="n">
        <x:v>0.351536</x:v>
      </x:c>
      <x:c r="U78" s="4" t="str">
        <x:v>Train</x:v>
      </x:c>
    </x:row>
    <x:row r="79" ht="34" customHeight="1">
      <x:c r="A79" s="4" t="str">
        <x:v>RS-00078</x:v>
      </x:c>
      <x:c r="B79" s="8" t="n">
        <x:v>45313</x:v>
      </x:c>
      <x:c r="C79" s="4" t="str">
        <x:v>PRJ-018</x:v>
      </x:c>
      <x:c r="D79" s="4" t="str">
        <x:v>Retail</x:v>
      </x:c>
      <x:c r="E79" s="4" t="str">
        <x:v>Agreement signed</x:v>
      </x:c>
      <x:c r="F79" s="4" t="str">
        <x:v>CUS-00078</x:v>
      </x:c>
      <x:c r="G79" s="4" t="str">
        <x:v>UNIT-00078</x:v>
      </x:c>
      <x:c r="H79" s="9" t="n">
        <x:v>13900000</x:v>
      </x:c>
      <x:c r="I79" s="10" t="n">
        <x:v>0.09</x:v>
      </x:c>
      <x:c r="J79" s="11" t="n">
        <x:v>2</x:v>
      </x:c>
      <x:c r="K79" s="11" t="n">
        <x:v>9</x:v>
      </x:c>
      <x:c r="L79" s="11" t="n">
        <x:v>0</x:v>
      </x:c>
      <x:c r="M79" s="9" t="n">
        <x:f>ROUND(H79*(1-I79),2)</x:f>
        <x:v>12649000</x:v>
      </x:c>
      <x:c r="N79" s="4" t="str">
        <x:v>Sales head</x:v>
      </x:c>
      <x:c r="O79" s="4" t="str">
        <x:v>BOOK-00078</x:v>
      </x:c>
      <x:c r="P79" s="9" t="n">
        <x:v>6324500</x:v>
      </x:c>
      <x:c r="Q79" s="11" t="n">
        <x:v>0</x:v>
      </x:c>
      <x:c r="R79" s="8" t="n">
        <x:v>45373</x:v>
      </x:c>
      <x:c r="S79" s="4" t="str">
        <x:v>Retained</x:v>
      </x:c>
      <x:c r="T79" s="10" t="n">
        <x:v>0.145833</x:v>
      </x:c>
      <x:c r="U79" s="4" t="str">
        <x:v>Train</x:v>
      </x:c>
    </x:row>
    <x:row r="80" ht="34" customHeight="1">
      <x:c r="A80" s="4" t="str">
        <x:v>RS-00079</x:v>
      </x:c>
      <x:c r="B80" s="8" t="n">
        <x:v>45314</x:v>
      </x:c>
      <x:c r="C80" s="4" t="str">
        <x:v>PRJ-019</x:v>
      </x:c>
      <x:c r="D80" s="4" t="str">
        <x:v>Retail</x:v>
      </x:c>
      <x:c r="E80" s="4" t="str">
        <x:v>Cancelled</x:v>
      </x:c>
      <x:c r="F80" s="4" t="str">
        <x:v>CUS-00079</x:v>
      </x:c>
      <x:c r="G80" s="4" t="str">
        <x:v>UNIT-00079</x:v>
      </x:c>
      <x:c r="H80" s="9" t="n">
        <x:v>15100000</x:v>
      </x:c>
      <x:c r="I80" s="10" t="n">
        <x:v>0.1</x:v>
      </x:c>
      <x:c r="J80" s="11" t="n">
        <x:v>1</x:v>
      </x:c>
      <x:c r="K80" s="11" t="n">
        <x:v>6</x:v>
      </x:c>
      <x:c r="L80" s="11" t="n">
        <x:v>0</x:v>
      </x:c>
      <x:c r="M80" s="9" t="n">
        <x:f>ROUND(H80*(1-I80),2)</x:f>
        <x:v>13590000</x:v>
      </x:c>
      <x:c r="N80" s="4" t="str">
        <x:v>Sales head</x:v>
      </x:c>
      <x:c r="O80" s="4"/>
      <x:c r="P80" s="9" t="n">
        <x:v>0</x:v>
      </x:c>
      <x:c r="Q80" s="11" t="n">
        <x:v>1</x:v>
      </x:c>
      <x:c r="R80" s="8" t="n">
        <x:v>45374</x:v>
      </x:c>
      <x:c r="S80" s="4" t="str">
        <x:v>Lost / cancelled</x:v>
      </x:c>
      <x:c r="T80" s="10" t="n">
        <x:v>0.145833</x:v>
      </x:c>
      <x:c r="U80" s="4" t="str">
        <x:v>Train</x:v>
      </x:c>
    </x:row>
    <x:row r="81" ht="34" customHeight="1">
      <x:c r="A81" s="4" t="str">
        <x:v>RS-00080</x:v>
      </x:c>
      <x:c r="B81" s="8" t="n">
        <x:v>45315</x:v>
      </x:c>
      <x:c r="C81" s="4" t="str">
        <x:v>PRJ-020</x:v>
      </x:c>
      <x:c r="D81" s="4" t="str">
        <x:v>Office</x:v>
      </x:c>
      <x:c r="E81" s="4" t="str">
        <x:v>Cancelled</x:v>
      </x:c>
      <x:c r="F81" s="4" t="str">
        <x:v>CUS-00080</x:v>
      </x:c>
      <x:c r="G81" s="4" t="str">
        <x:v>UNIT-00080</x:v>
      </x:c>
      <x:c r="H81" s="9" t="n">
        <x:v>19100000</x:v>
      </x:c>
      <x:c r="I81" s="10" t="n">
        <x:v>0.11</x:v>
      </x:c>
      <x:c r="J81" s="11" t="n">
        <x:v>1</x:v>
      </x:c>
      <x:c r="K81" s="11" t="n">
        <x:v>6</x:v>
      </x:c>
      <x:c r="L81" s="11" t="n">
        <x:v>0</x:v>
      </x:c>
      <x:c r="M81" s="9" t="n">
        <x:f>ROUND(H81*(1-I81),2)</x:f>
        <x:v>16999000</x:v>
      </x:c>
      <x:c r="N81" s="4" t="str">
        <x:v>Sales head</x:v>
      </x:c>
      <x:c r="O81" s="4"/>
      <x:c r="P81" s="9" t="n">
        <x:v>0</x:v>
      </x:c>
      <x:c r="Q81" s="11" t="n">
        <x:v>1</x:v>
      </x:c>
      <x:c r="R81" s="8" t="n">
        <x:v>45375</x:v>
      </x:c>
      <x:c r="S81" s="4" t="str">
        <x:v>Lost / cancelled</x:v>
      </x:c>
      <x:c r="T81" s="10" t="n">
        <x:v>0.145833</x:v>
      </x:c>
      <x:c r="U81" s="4" t="str">
        <x:v>Train</x:v>
      </x:c>
    </x:row>
    <x:row r="82" ht="34" customHeight="1">
      <x:c r="A82" s="4" t="str">
        <x:v>RS-00081</x:v>
      </x:c>
      <x:c r="B82" s="8" t="n">
        <x:v>45316</x:v>
      </x:c>
      <x:c r="C82" s="4" t="str">
        <x:v>PRJ-001</x:v>
      </x:c>
      <x:c r="D82" s="4" t="str">
        <x:v>Office</x:v>
      </x:c>
      <x:c r="E82" s="4" t="str">
        <x:v>Reserved</x:v>
      </x:c>
      <x:c r="F82" s="4" t="str">
        <x:v>CUS-00081</x:v>
      </x:c>
      <x:c r="G82" s="4" t="str">
        <x:v>UNIT-00081</x:v>
      </x:c>
      <x:c r="H82" s="9" t="n">
        <x:v>18600000</x:v>
      </x:c>
      <x:c r="I82" s="10" t="n">
        <x:v>0.07</x:v>
      </x:c>
      <x:c r="J82" s="11" t="n">
        <x:v>2</x:v>
      </x:c>
      <x:c r="K82" s="11" t="n">
        <x:v>8</x:v>
      </x:c>
      <x:c r="L82" s="11" t="n">
        <x:v>0</x:v>
      </x:c>
      <x:c r="M82" s="9" t="n">
        <x:f>ROUND(H82*(1-I82),2)</x:f>
        <x:v>17298000</x:v>
      </x:c>
      <x:c r="N82" s="4" t="str">
        <x:v>Sales manager</x:v>
      </x:c>
      <x:c r="O82" s="4"/>
      <x:c r="P82" s="9" t="n">
        <x:v>0</x:v>
      </x:c>
      <x:c r="Q82" s="11" t="n">
        <x:v>0</x:v>
      </x:c>
      <x:c r="R82" s="8" t="n">
        <x:v>45376</x:v>
      </x:c>
      <x:c r="S82" s="4" t="str">
        <x:v>Retained</x:v>
      </x:c>
      <x:c r="T82" s="10" t="n">
        <x:v>0.204152</x:v>
      </x:c>
      <x:c r="U82" s="4" t="str">
        <x:v>Train</x:v>
      </x:c>
    </x:row>
    <x:row r="83" ht="34" customHeight="1">
      <x:c r="A83" s="4" t="str">
        <x:v>RS-00082</x:v>
      </x:c>
      <x:c r="B83" s="8" t="n">
        <x:v>45317</x:v>
      </x:c>
      <x:c r="C83" s="4" t="str">
        <x:v>PRJ-002</x:v>
      </x:c>
      <x:c r="D83" s="4" t="str">
        <x:v>Retail</x:v>
      </x:c>
      <x:c r="E83" s="4" t="str">
        <x:v>Handed over</x:v>
      </x:c>
      <x:c r="F83" s="4" t="str">
        <x:v>CUS-00082</x:v>
      </x:c>
      <x:c r="G83" s="4" t="str">
        <x:v>UNIT-00082</x:v>
      </x:c>
      <x:c r="H83" s="9" t="n">
        <x:v>12600000</x:v>
      </x:c>
      <x:c r="I83" s="10" t="n">
        <x:v>0.09</x:v>
      </x:c>
      <x:c r="J83" s="11" t="n">
        <x:v>6</x:v>
      </x:c>
      <x:c r="K83" s="11" t="n">
        <x:v>5</x:v>
      </x:c>
      <x:c r="L83" s="11" t="n">
        <x:v>0</x:v>
      </x:c>
      <x:c r="M83" s="9" t="n">
        <x:f>ROUND(H83*(1-I83),2)</x:f>
        <x:v>11466000</x:v>
      </x:c>
      <x:c r="N83" s="4" t="str">
        <x:v>Sales head</x:v>
      </x:c>
      <x:c r="O83" s="4" t="str">
        <x:v>BOOK-00082</x:v>
      </x:c>
      <x:c r="P83" s="9" t="n">
        <x:v>5733000</x:v>
      </x:c>
      <x:c r="Q83" s="11" t="n">
        <x:v>0</x:v>
      </x:c>
      <x:c r="R83" s="8" t="n">
        <x:v>45377</x:v>
      </x:c>
      <x:c r="S83" s="4" t="str">
        <x:v>Retained</x:v>
      </x:c>
      <x:c r="T83" s="10" t="n">
        <x:v>0.226277</x:v>
      </x:c>
      <x:c r="U83" s="4" t="str">
        <x:v>Train</x:v>
      </x:c>
    </x:row>
    <x:row r="84" ht="34" customHeight="1">
      <x:c r="A84" s="4" t="str">
        <x:v>RS-00083</x:v>
      </x:c>
      <x:c r="B84" s="8" t="n">
        <x:v>45318</x:v>
      </x:c>
      <x:c r="C84" s="4" t="str">
        <x:v>PRJ-003</x:v>
      </x:c>
      <x:c r="D84" s="4" t="str">
        <x:v>Office</x:v>
      </x:c>
      <x:c r="E84" s="4" t="str">
        <x:v>Reserved</x:v>
      </x:c>
      <x:c r="F84" s="4" t="str">
        <x:v>CUS-00083</x:v>
      </x:c>
      <x:c r="G84" s="4" t="str">
        <x:v>UNIT-00083</x:v>
      </x:c>
      <x:c r="H84" s="9" t="n">
        <x:v>17500000</x:v>
      </x:c>
      <x:c r="I84" s="10" t="n">
        <x:v>0.08</x:v>
      </x:c>
      <x:c r="J84" s="11" t="n">
        <x:v>6</x:v>
      </x:c>
      <x:c r="K84" s="11" t="n">
        <x:v>7</x:v>
      </x:c>
      <x:c r="L84" s="11" t="n">
        <x:v>1</x:v>
      </x:c>
      <x:c r="M84" s="9" t="n">
        <x:f>ROUND(H84*(1-I84),2)</x:f>
        <x:v>16100000</x:v>
      </x:c>
      <x:c r="N84" s="4" t="str">
        <x:v>Sales head</x:v>
      </x:c>
      <x:c r="O84" s="4"/>
      <x:c r="P84" s="9" t="n">
        <x:v>0</x:v>
      </x:c>
      <x:c r="Q84" s="11" t="n">
        <x:v>0</x:v>
      </x:c>
      <x:c r="R84" s="8" t="n">
        <x:v>45378</x:v>
      </x:c>
      <x:c r="S84" s="4" t="str">
        <x:v>Retained</x:v>
      </x:c>
      <x:c r="T84" s="10" t="n">
        <x:v>0.291946</x:v>
      </x:c>
      <x:c r="U84" s="4" t="str">
        <x:v>Train</x:v>
      </x:c>
    </x:row>
    <x:row r="85" ht="34" customHeight="1">
      <x:c r="A85" s="4" t="str">
        <x:v>RS-00084</x:v>
      </x:c>
      <x:c r="B85" s="8" t="n">
        <x:v>45319</x:v>
      </x:c>
      <x:c r="C85" s="4" t="str">
        <x:v>PRJ-004</x:v>
      </x:c>
      <x:c r="D85" s="4" t="str">
        <x:v>Villa</x:v>
      </x:c>
      <x:c r="E85" s="4" t="str">
        <x:v>Reserved</x:v>
      </x:c>
      <x:c r="F85" s="4" t="str">
        <x:v>CUS-00084</x:v>
      </x:c>
      <x:c r="G85" s="4" t="str">
        <x:v>UNIT-00084</x:v>
      </x:c>
      <x:c r="H85" s="9" t="n">
        <x:v>15200000</x:v>
      </x:c>
      <x:c r="I85" s="10" t="n">
        <x:v>0.05</x:v>
      </x:c>
      <x:c r="J85" s="11" t="n">
        <x:v>9</x:v>
      </x:c>
      <x:c r="K85" s="11" t="n">
        <x:v>6</x:v>
      </x:c>
      <x:c r="L85" s="11" t="n">
        <x:v>0</x:v>
      </x:c>
      <x:c r="M85" s="9" t="n">
        <x:f>ROUND(H85*(1-I85),2)</x:f>
        <x:v>14440000</x:v>
      </x:c>
      <x:c r="N85" s="4" t="str">
        <x:v>Sales manager</x:v>
      </x:c>
      <x:c r="O85" s="4"/>
      <x:c r="P85" s="9" t="n">
        <x:v>0</x:v>
      </x:c>
      <x:c r="Q85" s="11" t="n">
        <x:v>1</x:v>
      </x:c>
      <x:c r="R85" s="8" t="n">
        <x:v>45379</x:v>
      </x:c>
      <x:c r="S85" s="4" t="str">
        <x:v>Lost / cancelled</x:v>
      </x:c>
      <x:c r="T85" s="10" t="n">
        <x:v>0.310195</x:v>
      </x:c>
      <x:c r="U85" s="4" t="str">
        <x:v>Train</x:v>
      </x:c>
    </x:row>
    <x:row r="86" ht="34" customHeight="1">
      <x:c r="A86" s="4" t="str">
        <x:v>RS-00085</x:v>
      </x:c>
      <x:c r="B86" s="8" t="n">
        <x:v>45292</x:v>
      </x:c>
      <x:c r="C86" s="4" t="str">
        <x:v>PRJ-005</x:v>
      </x:c>
      <x:c r="D86" s="4" t="str">
        <x:v>Villa</x:v>
      </x:c>
      <x:c r="E86" s="4" t="str">
        <x:v>Agreement signed</x:v>
      </x:c>
      <x:c r="F86" s="4" t="str">
        <x:v>CUS-00085</x:v>
      </x:c>
      <x:c r="G86" s="4" t="str">
        <x:v>UNIT-00085</x:v>
      </x:c>
      <x:c r="H86" s="9" t="n">
        <x:v>7900000</x:v>
      </x:c>
      <x:c r="I86" s="10" t="n">
        <x:v>0.05</x:v>
      </x:c>
      <x:c r="J86" s="11" t="n">
        <x:v>8</x:v>
      </x:c>
      <x:c r="K86" s="11" t="n">
        <x:v>6</x:v>
      </x:c>
      <x:c r="L86" s="11" t="n">
        <x:v>0</x:v>
      </x:c>
      <x:c r="M86" s="9" t="n">
        <x:f>ROUND(H86*(1-I86),2)</x:f>
        <x:v>7505000</x:v>
      </x:c>
      <x:c r="N86" s="4" t="str">
        <x:v>Sales manager</x:v>
      </x:c>
      <x:c r="O86" s="4" t="str">
        <x:v>BOOK-00085</x:v>
      </x:c>
      <x:c r="P86" s="9" t="n">
        <x:v>3752500</x:v>
      </x:c>
      <x:c r="Q86" s="11" t="n">
        <x:v>0</x:v>
      </x:c>
      <x:c r="R86" s="8" t="n">
        <x:v>45352</x:v>
      </x:c>
      <x:c r="S86" s="4" t="str">
        <x:v>Retained</x:v>
      </x:c>
      <x:c r="T86" s="10" t="n">
        <x:v>0.310195</x:v>
      </x:c>
      <x:c r="U86" s="4" t="str">
        <x:v>Train</x:v>
      </x:c>
    </x:row>
    <x:row r="87" ht="34" customHeight="1">
      <x:c r="A87" s="4" t="str">
        <x:v>RS-00086</x:v>
      </x:c>
      <x:c r="B87" s="8" t="n">
        <x:v>45293</x:v>
      </x:c>
      <x:c r="C87" s="4" t="str">
        <x:v>PRJ-006</x:v>
      </x:c>
      <x:c r="D87" s="4" t="str">
        <x:v>Villa</x:v>
      </x:c>
      <x:c r="E87" s="4" t="str">
        <x:v>Booked</x:v>
      </x:c>
      <x:c r="F87" s="4" t="str">
        <x:v>CUS-00086</x:v>
      </x:c>
      <x:c r="G87" s="4" t="str">
        <x:v>UNIT-00086</x:v>
      </x:c>
      <x:c r="H87" s="9" t="n">
        <x:v>4500000</x:v>
      </x:c>
      <x:c r="I87" s="10" t="n">
        <x:v>0.09</x:v>
      </x:c>
      <x:c r="J87" s="11" t="n">
        <x:v>12</x:v>
      </x:c>
      <x:c r="K87" s="11" t="n">
        <x:v>8</x:v>
      </x:c>
      <x:c r="L87" s="11" t="n">
        <x:v>1</x:v>
      </x:c>
      <x:c r="M87" s="9" t="n">
        <x:f>ROUND(H87*(1-I87),2)</x:f>
        <x:v>4095000</x:v>
      </x:c>
      <x:c r="N87" s="4" t="str">
        <x:v>Sales head</x:v>
      </x:c>
      <x:c r="O87" s="4" t="str">
        <x:v>BOOK-00086</x:v>
      </x:c>
      <x:c r="P87" s="9" t="n">
        <x:v>409500</x:v>
      </x:c>
      <x:c r="Q87" s="11" t="n">
        <x:v>0</x:v>
      </x:c>
      <x:c r="R87" s="8" t="n">
        <x:v>45353</x:v>
      </x:c>
      <x:c r="S87" s="4" t="str">
        <x:v>Retained</x:v>
      </x:c>
      <x:c r="T87" s="10" t="n">
        <x:v>0.351536</x:v>
      </x:c>
      <x:c r="U87" s="4" t="str">
        <x:v>Train</x:v>
      </x:c>
    </x:row>
    <x:row r="88" ht="34" customHeight="1">
      <x:c r="A88" s="4" t="str">
        <x:v>RS-00087</x:v>
      </x:c>
      <x:c r="B88" s="8" t="n">
        <x:v>45294</x:v>
      </x:c>
      <x:c r="C88" s="4" t="str">
        <x:v>PRJ-007</x:v>
      </x:c>
      <x:c r="D88" s="4" t="str">
        <x:v>Office</x:v>
      </x:c>
      <x:c r="E88" s="4" t="str">
        <x:v>Reserved</x:v>
      </x:c>
      <x:c r="F88" s="4" t="str">
        <x:v>CUS-00087</x:v>
      </x:c>
      <x:c r="G88" s="4" t="str">
        <x:v>UNIT-00087</x:v>
      </x:c>
      <x:c r="H88" s="9" t="n">
        <x:v>17400000</x:v>
      </x:c>
      <x:c r="I88" s="10" t="n">
        <x:v>0.05</x:v>
      </x:c>
      <x:c r="J88" s="11" t="n">
        <x:v>3</x:v>
      </x:c>
      <x:c r="K88" s="11" t="n">
        <x:v>4</x:v>
      </x:c>
      <x:c r="L88" s="11" t="n">
        <x:v>0</x:v>
      </x:c>
      <x:c r="M88" s="9" t="n">
        <x:f>ROUND(H88*(1-I88),2)</x:f>
        <x:v>16530000</x:v>
      </x:c>
      <x:c r="N88" s="4" t="str">
        <x:v>Sales manager</x:v>
      </x:c>
      <x:c r="O88" s="4"/>
      <x:c r="P88" s="9" t="n">
        <x:v>0</x:v>
      </x:c>
      <x:c r="Q88" s="11" t="n">
        <x:v>0</x:v>
      </x:c>
      <x:c r="R88" s="8" t="n">
        <x:v>45354</x:v>
      </x:c>
      <x:c r="S88" s="4" t="str">
        <x:v>Retained</x:v>
      </x:c>
      <x:c r="T88" s="10" t="n">
        <x:v>0.204152</x:v>
      </x:c>
      <x:c r="U88" s="4" t="str">
        <x:v>Train</x:v>
      </x:c>
    </x:row>
    <x:row r="89" ht="34" customHeight="1">
      <x:c r="A89" s="4" t="str">
        <x:v>RS-00088</x:v>
      </x:c>
      <x:c r="B89" s="8" t="n">
        <x:v>45295</x:v>
      </x:c>
      <x:c r="C89" s="4" t="str">
        <x:v>PRJ-008</x:v>
      </x:c>
      <x:c r="D89" s="4" t="str">
        <x:v>Retail</x:v>
      </x:c>
      <x:c r="E89" s="4" t="str">
        <x:v>Agreement signed</x:v>
      </x:c>
      <x:c r="F89" s="4" t="str">
        <x:v>CUS-00088</x:v>
      </x:c>
      <x:c r="G89" s="4" t="str">
        <x:v>UNIT-00088</x:v>
      </x:c>
      <x:c r="H89" s="9" t="n">
        <x:v>14000000</x:v>
      </x:c>
      <x:c r="I89" s="10" t="n">
        <x:v>0.04</x:v>
      </x:c>
      <x:c r="J89" s="11" t="n">
        <x:v>5</x:v>
      </x:c>
      <x:c r="K89" s="11" t="n">
        <x:v>0</x:v>
      </x:c>
      <x:c r="L89" s="11" t="n">
        <x:v>1</x:v>
      </x:c>
      <x:c r="M89" s="9" t="n">
        <x:f>ROUND(H89*(1-I89),2)</x:f>
        <x:v>13440000</x:v>
      </x:c>
      <x:c r="N89" s="4" t="str">
        <x:v>Sales manager</x:v>
      </x:c>
      <x:c r="O89" s="4" t="str">
        <x:v>BOOK-00088</x:v>
      </x:c>
      <x:c r="P89" s="9" t="n">
        <x:v>6720000</x:v>
      </x:c>
      <x:c r="Q89" s="11" t="n">
        <x:v>0</x:v>
      </x:c>
      <x:c r="R89" s="8" t="n">
        <x:v>45355</x:v>
      </x:c>
      <x:c r="S89" s="4" t="str">
        <x:v>Retained</x:v>
      </x:c>
      <x:c r="T89" s="10" t="n">
        <x:v>0.291946</x:v>
      </x:c>
      <x:c r="U89" s="4" t="str">
        <x:v>Train</x:v>
      </x:c>
    </x:row>
    <x:row r="90" ht="34" customHeight="1">
      <x:c r="A90" s="4" t="str">
        <x:v>RS-00089</x:v>
      </x:c>
      <x:c r="B90" s="8" t="n">
        <x:v>45296</x:v>
      </x:c>
      <x:c r="C90" s="4" t="str">
        <x:v>PRJ-009</x:v>
      </x:c>
      <x:c r="D90" s="4" t="str">
        <x:v>Retail</x:v>
      </x:c>
      <x:c r="E90" s="4" t="str">
        <x:v>Enquiry</x:v>
      </x:c>
      <x:c r="F90" s="4" t="str">
        <x:v>CUS-00089</x:v>
      </x:c>
      <x:c r="G90" s="4" t="str">
        <x:v>UNIT-00089</x:v>
      </x:c>
      <x:c r="H90" s="9" t="n">
        <x:v>9400000</x:v>
      </x:c>
      <x:c r="I90" s="10" t="n">
        <x:v>0.03</x:v>
      </x:c>
      <x:c r="J90" s="11" t="n">
        <x:v>4</x:v>
      </x:c>
      <x:c r="K90" s="11" t="n">
        <x:v>10</x:v>
      </x:c>
      <x:c r="L90" s="11" t="n">
        <x:v>0</x:v>
      </x:c>
      <x:c r="M90" s="9" t="n">
        <x:f>ROUND(H90*(1-I90),2)</x:f>
        <x:v>9118000</x:v>
      </x:c>
      <x:c r="N90" s="4" t="str">
        <x:v>Sales manager</x:v>
      </x:c>
      <x:c r="O90" s="4"/>
      <x:c r="P90" s="9" t="n">
        <x:v>0</x:v>
      </x:c>
      <x:c r="Q90" s="11" t="n">
        <x:v>0</x:v>
      </x:c>
      <x:c r="R90" s="8" t="n">
        <x:v>45356</x:v>
      </x:c>
      <x:c r="S90" s="4" t="str">
        <x:v>Retained</x:v>
      </x:c>
      <x:c r="T90" s="10" t="n">
        <x:v>0.145299</x:v>
      </x:c>
      <x:c r="U90" s="4" t="str">
        <x:v>Train</x:v>
      </x:c>
    </x:row>
    <x:row r="91" ht="34" customHeight="1">
      <x:c r="A91" s="4" t="str">
        <x:v>RS-00090</x:v>
      </x:c>
      <x:c r="B91" s="8" t="n">
        <x:v>45297</x:v>
      </x:c>
      <x:c r="C91" s="4" t="str">
        <x:v>PRJ-010</x:v>
      </x:c>
      <x:c r="D91" s="4" t="str">
        <x:v>Office</x:v>
      </x:c>
      <x:c r="E91" s="4" t="str">
        <x:v>Handed over</x:v>
      </x:c>
      <x:c r="F91" s="4" t="str">
        <x:v>CUS-00090</x:v>
      </x:c>
      <x:c r="G91" s="4" t="str">
        <x:v>UNIT-00090</x:v>
      </x:c>
      <x:c r="H91" s="9" t="n">
        <x:v>20500000</x:v>
      </x:c>
      <x:c r="I91" s="10" t="n">
        <x:v>0.08</x:v>
      </x:c>
      <x:c r="J91" s="11" t="n">
        <x:v>8</x:v>
      </x:c>
      <x:c r="K91" s="11" t="n">
        <x:v>10</x:v>
      </x:c>
      <x:c r="L91" s="11" t="n">
        <x:v>0</x:v>
      </x:c>
      <x:c r="M91" s="9" t="n">
        <x:f>ROUND(H91*(1-I91),2)</x:f>
        <x:v>18860000</x:v>
      </x:c>
      <x:c r="N91" s="4" t="str">
        <x:v>Sales head</x:v>
      </x:c>
      <x:c r="O91" s="4" t="str">
        <x:v>BOOK-00090</x:v>
      </x:c>
      <x:c r="P91" s="9" t="n">
        <x:v>18860000</x:v>
      </x:c>
      <x:c r="Q91" s="11" t="n">
        <x:v>0</x:v>
      </x:c>
      <x:c r="R91" s="8" t="n">
        <x:v>45357</x:v>
      </x:c>
      <x:c r="S91" s="4" t="str">
        <x:v>Retained</x:v>
      </x:c>
      <x:c r="T91" s="10" t="n">
        <x:v>0.310195</x:v>
      </x:c>
      <x:c r="U91" s="4" t="str">
        <x:v>Train</x:v>
      </x:c>
    </x:row>
    <x:row r="92" ht="34" customHeight="1">
      <x:c r="A92" s="4" t="str">
        <x:v>RS-00091</x:v>
      </x:c>
      <x:c r="B92" s="8" t="n">
        <x:v>45298</x:v>
      </x:c>
      <x:c r="C92" s="4" t="str">
        <x:v>PRJ-011</x:v>
      </x:c>
      <x:c r="D92" s="4" t="str">
        <x:v>Retail</x:v>
      </x:c>
      <x:c r="E92" s="4" t="str">
        <x:v>Agreement signed</x:v>
      </x:c>
      <x:c r="F92" s="4" t="str">
        <x:v>CUS-00091</x:v>
      </x:c>
      <x:c r="G92" s="4" t="str">
        <x:v>UNIT-00091</x:v>
      </x:c>
      <x:c r="H92" s="9" t="n">
        <x:v>22800000</x:v>
      </x:c>
      <x:c r="I92" s="10" t="n">
        <x:v>0.09</x:v>
      </x:c>
      <x:c r="J92" s="11" t="n">
        <x:v>8</x:v>
      </x:c>
      <x:c r="K92" s="11" t="n">
        <x:v>0</x:v>
      </x:c>
      <x:c r="L92" s="11" t="n">
        <x:v>0</x:v>
      </x:c>
      <x:c r="M92" s="9" t="n">
        <x:f>ROUND(H92*(1-I92),2)</x:f>
        <x:v>20748000</x:v>
      </x:c>
      <x:c r="N92" s="4" t="str">
        <x:v>Sales head</x:v>
      </x:c>
      <x:c r="O92" s="4" t="str">
        <x:v>BOOK-00091</x:v>
      </x:c>
      <x:c r="P92" s="9" t="n">
        <x:v>20748000</x:v>
      </x:c>
      <x:c r="Q92" s="11" t="n">
        <x:v>0</x:v>
      </x:c>
      <x:c r="R92" s="8" t="n">
        <x:v>45358</x:v>
      </x:c>
      <x:c r="S92" s="4" t="str">
        <x:v>Retained</x:v>
      </x:c>
      <x:c r="T92" s="10" t="n">
        <x:v>0.310195</x:v>
      </x:c>
      <x:c r="U92" s="4" t="str">
        <x:v>Train</x:v>
      </x:c>
    </x:row>
    <x:row r="93" ht="34" customHeight="1">
      <x:c r="A93" s="4" t="str">
        <x:v>RS-00092</x:v>
      </x:c>
      <x:c r="B93" s="8" t="n">
        <x:v>45299</x:v>
      </x:c>
      <x:c r="C93" s="4" t="str">
        <x:v>PRJ-012</x:v>
      </x:c>
      <x:c r="D93" s="4" t="str">
        <x:v>Office</x:v>
      </x:c>
      <x:c r="E93" s="4" t="str">
        <x:v>Enquiry</x:v>
      </x:c>
      <x:c r="F93" s="4" t="str">
        <x:v>CUS-00092</x:v>
      </x:c>
      <x:c r="G93" s="4" t="str">
        <x:v>UNIT-00092</x:v>
      </x:c>
      <x:c r="H93" s="9" t="n">
        <x:v>5800000</x:v>
      </x:c>
      <x:c r="I93" s="10" t="n">
        <x:v>0.07</x:v>
      </x:c>
      <x:c r="J93" s="11" t="n">
        <x:v>5</x:v>
      </x:c>
      <x:c r="K93" s="11" t="n">
        <x:v>6</x:v>
      </x:c>
      <x:c r="L93" s="11" t="n">
        <x:v>0</x:v>
      </x:c>
      <x:c r="M93" s="9" t="n">
        <x:f>ROUND(H93*(1-I93),2)</x:f>
        <x:v>5394000</x:v>
      </x:c>
      <x:c r="N93" s="4" t="str">
        <x:v>Sales manager</x:v>
      </x:c>
      <x:c r="O93" s="4"/>
      <x:c r="P93" s="9" t="n">
        <x:v>0</x:v>
      </x:c>
      <x:c r="Q93" s="11" t="n">
        <x:v>0</x:v>
      </x:c>
      <x:c r="R93" s="8" t="n">
        <x:v>45359</x:v>
      </x:c>
      <x:c r="S93" s="4" t="str">
        <x:v>Retained</x:v>
      </x:c>
      <x:c r="T93" s="10" t="n">
        <x:v>0.226277</x:v>
      </x:c>
      <x:c r="U93" s="4" t="str">
        <x:v>Train</x:v>
      </x:c>
    </x:row>
    <x:row r="94" ht="34" customHeight="1">
      <x:c r="A94" s="4" t="str">
        <x:v>RS-00093</x:v>
      </x:c>
      <x:c r="B94" s="8" t="n">
        <x:v>45300</x:v>
      </x:c>
      <x:c r="C94" s="4" t="str">
        <x:v>PRJ-013</x:v>
      </x:c>
      <x:c r="D94" s="4" t="str">
        <x:v>Apartment</x:v>
      </x:c>
      <x:c r="E94" s="4" t="str">
        <x:v>Agreement signed</x:v>
      </x:c>
      <x:c r="F94" s="4" t="str">
        <x:v>CUS-00093</x:v>
      </x:c>
      <x:c r="G94" s="4" t="str">
        <x:v>UNIT-00093</x:v>
      </x:c>
      <x:c r="H94" s="9" t="n">
        <x:v>12500000</x:v>
      </x:c>
      <x:c r="I94" s="10" t="n">
        <x:v>0.12</x:v>
      </x:c>
      <x:c r="J94" s="11" t="n">
        <x:v>2</x:v>
      </x:c>
      <x:c r="K94" s="11" t="n">
        <x:v>9</x:v>
      </x:c>
      <x:c r="L94" s="11" t="n">
        <x:v>1</x:v>
      </x:c>
      <x:c r="M94" s="9" t="n">
        <x:f>ROUND(H94*(1-I94),2)</x:f>
        <x:v>11000000</x:v>
      </x:c>
      <x:c r="N94" s="4" t="str">
        <x:v>Sales head</x:v>
      </x:c>
      <x:c r="O94" s="4" t="str">
        <x:v>BOOK-00093</x:v>
      </x:c>
      <x:c r="P94" s="9" t="n">
        <x:v>2750000</x:v>
      </x:c>
      <x:c r="Q94" s="11" t="n">
        <x:v>0</x:v>
      </x:c>
      <x:c r="R94" s="8" t="n">
        <x:v>45360</x:v>
      </x:c>
      <x:c r="S94" s="4" t="str">
        <x:v>Retained</x:v>
      </x:c>
      <x:c r="T94" s="10" t="n">
        <x:v>0.145833</x:v>
      </x:c>
      <x:c r="U94" s="4" t="str">
        <x:v>Train</x:v>
      </x:c>
    </x:row>
    <x:row r="95" ht="34" customHeight="1">
      <x:c r="A95" s="4" t="str">
        <x:v>RS-00094</x:v>
      </x:c>
      <x:c r="B95" s="8" t="n">
        <x:v>45301</x:v>
      </x:c>
      <x:c r="C95" s="4" t="str">
        <x:v>PRJ-014</x:v>
      </x:c>
      <x:c r="D95" s="4" t="str">
        <x:v>Retail</x:v>
      </x:c>
      <x:c r="E95" s="4" t="str">
        <x:v>Reserved</x:v>
      </x:c>
      <x:c r="F95" s="4" t="str">
        <x:v>CUS-00094</x:v>
      </x:c>
      <x:c r="G95" s="4" t="str">
        <x:v>UNIT-00094</x:v>
      </x:c>
      <x:c r="H95" s="9" t="n">
        <x:v>19800000</x:v>
      </x:c>
      <x:c r="I95" s="10" t="n">
        <x:v>0.06</x:v>
      </x:c>
      <x:c r="J95" s="11" t="n">
        <x:v>8</x:v>
      </x:c>
      <x:c r="K95" s="11" t="n">
        <x:v>3</x:v>
      </x:c>
      <x:c r="L95" s="11" t="n">
        <x:v>0</x:v>
      </x:c>
      <x:c r="M95" s="9" t="n">
        <x:f>ROUND(H95*(1-I95),2)</x:f>
        <x:v>18612000</x:v>
      </x:c>
      <x:c r="N95" s="4" t="str">
        <x:v>Sales manager</x:v>
      </x:c>
      <x:c r="O95" s="4"/>
      <x:c r="P95" s="9" t="n">
        <x:v>0</x:v>
      </x:c>
      <x:c r="Q95" s="11" t="n">
        <x:v>0</x:v>
      </x:c>
      <x:c r="R95" s="8" t="n">
        <x:v>45361</x:v>
      </x:c>
      <x:c r="S95" s="4" t="str">
        <x:v>Retained</x:v>
      </x:c>
      <x:c r="T95" s="10" t="n">
        <x:v>0.310195</x:v>
      </x:c>
      <x:c r="U95" s="4" t="str">
        <x:v>Train</x:v>
      </x:c>
    </x:row>
    <x:row r="96" ht="34" customHeight="1">
      <x:c r="A96" s="4" t="str">
        <x:v>RS-00095</x:v>
      </x:c>
      <x:c r="B96" s="8" t="n">
        <x:v>45302</x:v>
      </x:c>
      <x:c r="C96" s="4" t="str">
        <x:v>PRJ-015</x:v>
      </x:c>
      <x:c r="D96" s="4" t="str">
        <x:v>Villa</x:v>
      </x:c>
      <x:c r="E96" s="4" t="str">
        <x:v>Reserved</x:v>
      </x:c>
      <x:c r="F96" s="4" t="str">
        <x:v>CUS-00095</x:v>
      </x:c>
      <x:c r="G96" s="4" t="str">
        <x:v>UNIT-00095</x:v>
      </x:c>
      <x:c r="H96" s="9" t="n">
        <x:v>13800000</x:v>
      </x:c>
      <x:c r="I96" s="10" t="n">
        <x:v>0</x:v>
      </x:c>
      <x:c r="J96" s="11" t="n">
        <x:v>5</x:v>
      </x:c>
      <x:c r="K96" s="11" t="n">
        <x:v>9</x:v>
      </x:c>
      <x:c r="L96" s="11" t="n">
        <x:v>0</x:v>
      </x:c>
      <x:c r="M96" s="9" t="n">
        <x:f>ROUND(H96*(1-I96),2)</x:f>
        <x:v>13800000</x:v>
      </x:c>
      <x:c r="N96" s="4" t="str">
        <x:v>Sales manager</x:v>
      </x:c>
      <x:c r="O96" s="4"/>
      <x:c r="P96" s="9" t="n">
        <x:v>0</x:v>
      </x:c>
      <x:c r="Q96" s="11" t="n">
        <x:v>0</x:v>
      </x:c>
      <x:c r="R96" s="8" t="n">
        <x:v>45362</x:v>
      </x:c>
      <x:c r="S96" s="4" t="str">
        <x:v>Retained</x:v>
      </x:c>
      <x:c r="T96" s="10" t="n">
        <x:v>0.145299</x:v>
      </x:c>
      <x:c r="U96" s="4" t="str">
        <x:v>Train</x:v>
      </x:c>
    </x:row>
    <x:row r="97" ht="34" customHeight="1">
      <x:c r="A97" s="4" t="str">
        <x:v>RS-00096</x:v>
      </x:c>
      <x:c r="B97" s="8" t="n">
        <x:v>45303</x:v>
      </x:c>
      <x:c r="C97" s="4" t="str">
        <x:v>PRJ-016</x:v>
      </x:c>
      <x:c r="D97" s="4" t="str">
        <x:v>Retail</x:v>
      </x:c>
      <x:c r="E97" s="4" t="str">
        <x:v>Agreement signed</x:v>
      </x:c>
      <x:c r="F97" s="4" t="str">
        <x:v>CUS-00096</x:v>
      </x:c>
      <x:c r="G97" s="4" t="str">
        <x:v>UNIT-00096</x:v>
      </x:c>
      <x:c r="H97" s="9" t="n">
        <x:v>23900000</x:v>
      </x:c>
      <x:c r="I97" s="10" t="n">
        <x:v>0.02</x:v>
      </x:c>
      <x:c r="J97" s="11" t="n">
        <x:v>3</x:v>
      </x:c>
      <x:c r="K97" s="11" t="n">
        <x:v>5</x:v>
      </x:c>
      <x:c r="L97" s="11" t="n">
        <x:v>1</x:v>
      </x:c>
      <x:c r="M97" s="9" t="n">
        <x:f>ROUND(H97*(1-I97),2)</x:f>
        <x:v>23422000</x:v>
      </x:c>
      <x:c r="N97" s="4" t="str">
        <x:v>Sales manager</x:v>
      </x:c>
      <x:c r="O97" s="4" t="str">
        <x:v>BOOK-00096</x:v>
      </x:c>
      <x:c r="P97" s="9" t="n">
        <x:v>2342200</x:v>
      </x:c>
      <x:c r="Q97" s="11" t="n">
        <x:v>0</x:v>
      </x:c>
      <x:c r="R97" s="8" t="n">
        <x:v>45363</x:v>
      </x:c>
      <x:c r="S97" s="4" t="str">
        <x:v>Retained</x:v>
      </x:c>
      <x:c r="T97" s="10" t="n">
        <x:v>0.171717</x:v>
      </x:c>
      <x:c r="U97" s="4" t="str">
        <x:v>Train</x:v>
      </x:c>
    </x:row>
    <x:row r="98" ht="34" customHeight="1">
      <x:c r="A98" s="4" t="str">
        <x:v>RS-00097</x:v>
      </x:c>
      <x:c r="B98" s="8" t="n">
        <x:v>45304</x:v>
      </x:c>
      <x:c r="C98" s="4" t="str">
        <x:v>PRJ-017</x:v>
      </x:c>
      <x:c r="D98" s="4" t="str">
        <x:v>Villa</x:v>
      </x:c>
      <x:c r="E98" s="4" t="str">
        <x:v>Cancelled</x:v>
      </x:c>
      <x:c r="F98" s="4" t="str">
        <x:v>CUS-00097</x:v>
      </x:c>
      <x:c r="G98" s="4" t="str">
        <x:v>UNIT-00097</x:v>
      </x:c>
      <x:c r="H98" s="9" t="n">
        <x:v>20100000</x:v>
      </x:c>
      <x:c r="I98" s="10" t="n">
        <x:v>0.07</x:v>
      </x:c>
      <x:c r="J98" s="11" t="n">
        <x:v>9</x:v>
      </x:c>
      <x:c r="K98" s="11" t="n">
        <x:v>2</x:v>
      </x:c>
      <x:c r="L98" s="11" t="n">
        <x:v>1</x:v>
      </x:c>
      <x:c r="M98" s="9" t="n">
        <x:f>ROUND(H98*(1-I98),2)</x:f>
        <x:v>18693000</x:v>
      </x:c>
      <x:c r="N98" s="4" t="str">
        <x:v>Sales manager</x:v>
      </x:c>
      <x:c r="O98" s="4"/>
      <x:c r="P98" s="9" t="n">
        <x:v>0</x:v>
      </x:c>
      <x:c r="Q98" s="11" t="n">
        <x:v>1</x:v>
      </x:c>
      <x:c r="R98" s="8" t="n">
        <x:v>45364</x:v>
      </x:c>
      <x:c r="S98" s="4" t="str">
        <x:v>Lost / cancelled</x:v>
      </x:c>
      <x:c r="T98" s="10" t="n">
        <x:v>0.310195</x:v>
      </x:c>
      <x:c r="U98" s="4" t="str">
        <x:v>Train</x:v>
      </x:c>
    </x:row>
    <x:row r="99" ht="34" customHeight="1">
      <x:c r="A99" s="4" t="str">
        <x:v>RS-00098</x:v>
      </x:c>
      <x:c r="B99" s="8" t="n">
        <x:v>45305</x:v>
      </x:c>
      <x:c r="C99" s="4" t="str">
        <x:v>PRJ-018</x:v>
      </x:c>
      <x:c r="D99" s="4" t="str">
        <x:v>Office</x:v>
      </x:c>
      <x:c r="E99" s="4" t="str">
        <x:v>Reserved</x:v>
      </x:c>
      <x:c r="F99" s="4" t="str">
        <x:v>CUS-00098</x:v>
      </x:c>
      <x:c r="G99" s="4" t="str">
        <x:v>UNIT-00098</x:v>
      </x:c>
      <x:c r="H99" s="9" t="n">
        <x:v>14500000</x:v>
      </x:c>
      <x:c r="I99" s="10" t="n">
        <x:v>0.03</x:v>
      </x:c>
      <x:c r="J99" s="11" t="n">
        <x:v>4</x:v>
      </x:c>
      <x:c r="K99" s="11" t="n">
        <x:v>7</x:v>
      </x:c>
      <x:c r="L99" s="11" t="n">
        <x:v>0</x:v>
      </x:c>
      <x:c r="M99" s="9" t="n">
        <x:f>ROUND(H99*(1-I99),2)</x:f>
        <x:v>14065000</x:v>
      </x:c>
      <x:c r="N99" s="4" t="str">
        <x:v>Sales manager</x:v>
      </x:c>
      <x:c r="O99" s="4"/>
      <x:c r="P99" s="9" t="n">
        <x:v>0</x:v>
      </x:c>
      <x:c r="Q99" s="11" t="n">
        <x:v>0</x:v>
      </x:c>
      <x:c r="R99" s="8" t="n">
        <x:v>45365</x:v>
      </x:c>
      <x:c r="S99" s="4" t="str">
        <x:v>Retained</x:v>
      </x:c>
      <x:c r="T99" s="10" t="n">
        <x:v>0.145299</x:v>
      </x:c>
      <x:c r="U99" s="4" t="str">
        <x:v>Train</x:v>
      </x:c>
    </x:row>
    <x:row r="100" ht="34" customHeight="1">
      <x:c r="A100" s="4" t="str">
        <x:v>RS-00099</x:v>
      </x:c>
      <x:c r="B100" s="8" t="n">
        <x:v>45306</x:v>
      </x:c>
      <x:c r="C100" s="4" t="str">
        <x:v>PRJ-019</x:v>
      </x:c>
      <x:c r="D100" s="4" t="str">
        <x:v>Villa</x:v>
      </x:c>
      <x:c r="E100" s="4" t="str">
        <x:v>Booked</x:v>
      </x:c>
      <x:c r="F100" s="4" t="str">
        <x:v>CUS-00099</x:v>
      </x:c>
      <x:c r="G100" s="4" t="str">
        <x:v>UNIT-00099</x:v>
      </x:c>
      <x:c r="H100" s="9" t="n">
        <x:v>11300000</x:v>
      </x:c>
      <x:c r="I100" s="10" t="n">
        <x:v>0.08</x:v>
      </x:c>
      <x:c r="J100" s="11" t="n">
        <x:v>9</x:v>
      </x:c>
      <x:c r="K100" s="11" t="n">
        <x:v>3</x:v>
      </x:c>
      <x:c r="L100" s="11" t="n">
        <x:v>0</x:v>
      </x:c>
      <x:c r="M100" s="9" t="n">
        <x:f>ROUND(H100*(1-I100),2)</x:f>
        <x:v>10396000</x:v>
      </x:c>
      <x:c r="N100" s="4" t="str">
        <x:v>Sales head</x:v>
      </x:c>
      <x:c r="O100" s="4" t="str">
        <x:v>BOOK-00099</x:v>
      </x:c>
      <x:c r="P100" s="9" t="n">
        <x:v>5198000</x:v>
      </x:c>
      <x:c r="Q100" s="11" t="n">
        <x:v>0</x:v>
      </x:c>
      <x:c r="R100" s="8" t="n">
        <x:v>45366</x:v>
      </x:c>
      <x:c r="S100" s="4" t="str">
        <x:v>Retained</x:v>
      </x:c>
      <x:c r="T100" s="10" t="n">
        <x:v>0.310195</x:v>
      </x:c>
      <x:c r="U100" s="4" t="str">
        <x:v>Train</x:v>
      </x:c>
    </x:row>
    <x:row r="101" ht="34" customHeight="1">
      <x:c r="A101" s="4" t="str">
        <x:v>RS-00100</x:v>
      </x:c>
      <x:c r="B101" s="8" t="n">
        <x:v>45307</x:v>
      </x:c>
      <x:c r="C101" s="4" t="str">
        <x:v>PRJ-020</x:v>
      </x:c>
      <x:c r="D101" s="4" t="str">
        <x:v>Apartment</x:v>
      </x:c>
      <x:c r="E101" s="4" t="str">
        <x:v>Enquiry</x:v>
      </x:c>
      <x:c r="F101" s="4" t="str">
        <x:v>CUS-00100</x:v>
      </x:c>
      <x:c r="G101" s="4" t="str">
        <x:v>UNIT-00100</x:v>
      </x:c>
      <x:c r="H101" s="9" t="n">
        <x:v>8300000</x:v>
      </x:c>
      <x:c r="I101" s="10" t="n">
        <x:v>0.02</x:v>
      </x:c>
      <x:c r="J101" s="11" t="n">
        <x:v>0</x:v>
      </x:c>
      <x:c r="K101" s="11" t="n">
        <x:v>4</x:v>
      </x:c>
      <x:c r="L101" s="11" t="n">
        <x:v>1</x:v>
      </x:c>
      <x:c r="M101" s="9" t="n">
        <x:f>ROUND(H101*(1-I101),2)</x:f>
        <x:v>8134000</x:v>
      </x:c>
      <x:c r="N101" s="4" t="str">
        <x:v>Sales manager</x:v>
      </x:c>
      <x:c r="O101" s="4"/>
      <x:c r="P101" s="9" t="n">
        <x:v>0</x:v>
      </x:c>
      <x:c r="Q101" s="11" t="n">
        <x:v>0</x:v>
      </x:c>
      <x:c r="R101" s="8" t="n">
        <x:v>45367</x:v>
      </x:c>
      <x:c r="S101" s="4" t="str">
        <x:v>Retained</x:v>
      </x:c>
      <x:c r="T101" s="10" t="n">
        <x:v>0.072165</x:v>
      </x:c>
      <x:c r="U101" s="4" t="str">
        <x:v>Train</x:v>
      </x:c>
    </x:row>
    <x:row r="102" ht="34" customHeight="1">
      <x:c r="A102" s="4" t="str">
        <x:v>RS-00101</x:v>
      </x:c>
      <x:c r="B102" s="8" t="n">
        <x:v>45308</x:v>
      </x:c>
      <x:c r="C102" s="4" t="str">
        <x:v>PRJ-001</x:v>
      </x:c>
      <x:c r="D102" s="4" t="str">
        <x:v>Retail</x:v>
      </x:c>
      <x:c r="E102" s="4" t="str">
        <x:v>Handed over</x:v>
      </x:c>
      <x:c r="F102" s="4" t="str">
        <x:v>CUS-00101</x:v>
      </x:c>
      <x:c r="G102" s="4" t="str">
        <x:v>UNIT-00101</x:v>
      </x:c>
      <x:c r="H102" s="9" t="n">
        <x:v>10200000</x:v>
      </x:c>
      <x:c r="I102" s="10" t="n">
        <x:v>0.12</x:v>
      </x:c>
      <x:c r="J102" s="11" t="n">
        <x:v>8</x:v>
      </x:c>
      <x:c r="K102" s="11" t="n">
        <x:v>7</x:v>
      </x:c>
      <x:c r="L102" s="11" t="n">
        <x:v>0</x:v>
      </x:c>
      <x:c r="M102" s="9" t="n">
        <x:f>ROUND(H102*(1-I102),2)</x:f>
        <x:v>8976000</x:v>
      </x:c>
      <x:c r="N102" s="4" t="str">
        <x:v>Sales head</x:v>
      </x:c>
      <x:c r="O102" s="4" t="str">
        <x:v>BOOK-00101</x:v>
      </x:c>
      <x:c r="P102" s="9" t="n">
        <x:v>2244000</x:v>
      </x:c>
      <x:c r="Q102" s="11" t="n">
        <x:v>0</x:v>
      </x:c>
      <x:c r="R102" s="8" t="n">
        <x:v>45368</x:v>
      </x:c>
      <x:c r="S102" s="4" t="str">
        <x:v>Retained</x:v>
      </x:c>
      <x:c r="T102" s="10" t="n">
        <x:v>0.310195</x:v>
      </x:c>
      <x:c r="U102" s="4" t="str">
        <x:v>Train</x:v>
      </x:c>
    </x:row>
    <x:row r="103" ht="34" customHeight="1">
      <x:c r="A103" s="4" t="str">
        <x:v>RS-00102</x:v>
      </x:c>
      <x:c r="B103" s="8" t="n">
        <x:v>45309</x:v>
      </x:c>
      <x:c r="C103" s="4" t="str">
        <x:v>PRJ-002</x:v>
      </x:c>
      <x:c r="D103" s="4" t="str">
        <x:v>Retail</x:v>
      </x:c>
      <x:c r="E103" s="4" t="str">
        <x:v>Booked</x:v>
      </x:c>
      <x:c r="F103" s="4" t="str">
        <x:v>CUS-00102</x:v>
      </x:c>
      <x:c r="G103" s="4" t="str">
        <x:v>UNIT-00102</x:v>
      </x:c>
      <x:c r="H103" s="9" t="n">
        <x:v>5400000</x:v>
      </x:c>
      <x:c r="I103" s="10" t="n">
        <x:v>0.08</x:v>
      </x:c>
      <x:c r="J103" s="11" t="n">
        <x:v>10</x:v>
      </x:c>
      <x:c r="K103" s="11" t="n">
        <x:v>0</x:v>
      </x:c>
      <x:c r="L103" s="11" t="n">
        <x:v>1</x:v>
      </x:c>
      <x:c r="M103" s="9" t="n">
        <x:f>ROUND(H103*(1-I103),2)</x:f>
        <x:v>4968000</x:v>
      </x:c>
      <x:c r="N103" s="4" t="str">
        <x:v>Sales head</x:v>
      </x:c>
      <x:c r="O103" s="4" t="str">
        <x:v>BOOK-00102</x:v>
      </x:c>
      <x:c r="P103" s="9" t="n">
        <x:v>1242000</x:v>
      </x:c>
      <x:c r="Q103" s="11" t="n">
        <x:v>0</x:v>
      </x:c>
      <x:c r="R103" s="8" t="n">
        <x:v>45369</x:v>
      </x:c>
      <x:c r="S103" s="4" t="str">
        <x:v>Retained</x:v>
      </x:c>
      <x:c r="T103" s="10" t="n">
        <x:v>0.310195</x:v>
      </x:c>
      <x:c r="U103" s="4" t="str">
        <x:v>Train</x:v>
      </x:c>
    </x:row>
    <x:row r="104" ht="34" customHeight="1">
      <x:c r="A104" s="4" t="str">
        <x:v>RS-00103</x:v>
      </x:c>
      <x:c r="B104" s="8" t="n">
        <x:v>45310</x:v>
      </x:c>
      <x:c r="C104" s="4" t="str">
        <x:v>PRJ-003</x:v>
      </x:c>
      <x:c r="D104" s="4" t="str">
        <x:v>Retail</x:v>
      </x:c>
      <x:c r="E104" s="4" t="str">
        <x:v>Enquiry</x:v>
      </x:c>
      <x:c r="F104" s="4" t="str">
        <x:v>CUS-00103</x:v>
      </x:c>
      <x:c r="G104" s="4" t="str">
        <x:v>UNIT-00103</x:v>
      </x:c>
      <x:c r="H104" s="9" t="n">
        <x:v>3900000</x:v>
      </x:c>
      <x:c r="I104" s="10" t="n">
        <x:v>0.01</x:v>
      </x:c>
      <x:c r="J104" s="11" t="n">
        <x:v>7</x:v>
      </x:c>
      <x:c r="K104" s="11" t="n">
        <x:v>1</x:v>
      </x:c>
      <x:c r="L104" s="11" t="n">
        <x:v>0</x:v>
      </x:c>
      <x:c r="M104" s="9" t="n">
        <x:f>ROUND(H104*(1-I104),2)</x:f>
        <x:v>3861000</x:v>
      </x:c>
      <x:c r="N104" s="4" t="str">
        <x:v>Sales manager</x:v>
      </x:c>
      <x:c r="O104" s="4"/>
      <x:c r="P104" s="9" t="n">
        <x:v>0</x:v>
      </x:c>
      <x:c r="Q104" s="11" t="n">
        <x:v>1</x:v>
      </x:c>
      <x:c r="R104" s="8" t="n">
        <x:v>45370</x:v>
      </x:c>
      <x:c r="S104" s="4" t="str">
        <x:v>Lost / cancelled</x:v>
      </x:c>
      <x:c r="T104" s="10" t="n">
        <x:v>0.298969</x:v>
      </x:c>
      <x:c r="U104" s="4" t="str">
        <x:v>Train</x:v>
      </x:c>
    </x:row>
    <x:row r="105" ht="34" customHeight="1">
      <x:c r="A105" s="4" t="str">
        <x:v>RS-00104</x:v>
      </x:c>
      <x:c r="B105" s="8" t="n">
        <x:v>45311</x:v>
      </x:c>
      <x:c r="C105" s="4" t="str">
        <x:v>PRJ-004</x:v>
      </x:c>
      <x:c r="D105" s="4" t="str">
        <x:v>Apartment</x:v>
      </x:c>
      <x:c r="E105" s="4" t="str">
        <x:v>Agreement signed</x:v>
      </x:c>
      <x:c r="F105" s="4" t="str">
        <x:v>CUS-00104</x:v>
      </x:c>
      <x:c r="G105" s="4" t="str">
        <x:v>UNIT-00104</x:v>
      </x:c>
      <x:c r="H105" s="9" t="n">
        <x:v>15100000</x:v>
      </x:c>
      <x:c r="I105" s="10" t="n">
        <x:v>0.08</x:v>
      </x:c>
      <x:c r="J105" s="11" t="n">
        <x:v>12</x:v>
      </x:c>
      <x:c r="K105" s="11" t="n">
        <x:v>4</x:v>
      </x:c>
      <x:c r="L105" s="11" t="n">
        <x:v>0</x:v>
      </x:c>
      <x:c r="M105" s="9" t="n">
        <x:f>ROUND(H105*(1-I105),2)</x:f>
        <x:v>13892000</x:v>
      </x:c>
      <x:c r="N105" s="4" t="str">
        <x:v>Sales head</x:v>
      </x:c>
      <x:c r="O105" s="4" t="str">
        <x:v>BOOK-00104</x:v>
      </x:c>
      <x:c r="P105" s="9" t="n">
        <x:v>13892000</x:v>
      </x:c>
      <x:c r="Q105" s="11" t="n">
        <x:v>0</x:v>
      </x:c>
      <x:c r="R105" s="8" t="n">
        <x:v>45371</x:v>
      </x:c>
      <x:c r="S105" s="4" t="str">
        <x:v>Retained</x:v>
      </x:c>
      <x:c r="T105" s="10" t="n">
        <x:v>0.351536</x:v>
      </x:c>
      <x:c r="U105" s="4" t="str">
        <x:v>Train</x:v>
      </x:c>
    </x:row>
    <x:row r="106" ht="34" customHeight="1">
      <x:c r="A106" s="4" t="str">
        <x:v>RS-00105</x:v>
      </x:c>
      <x:c r="B106" s="8" t="n">
        <x:v>45312</x:v>
      </x:c>
      <x:c r="C106" s="4" t="str">
        <x:v>PRJ-005</x:v>
      </x:c>
      <x:c r="D106" s="4" t="str">
        <x:v>Apartment</x:v>
      </x:c>
      <x:c r="E106" s="4" t="str">
        <x:v>Booked</x:v>
      </x:c>
      <x:c r="F106" s="4" t="str">
        <x:v>CUS-00105</x:v>
      </x:c>
      <x:c r="G106" s="4" t="str">
        <x:v>UNIT-00105</x:v>
      </x:c>
      <x:c r="H106" s="9" t="n">
        <x:v>13100000</x:v>
      </x:c>
      <x:c r="I106" s="10" t="n">
        <x:v>0.1</x:v>
      </x:c>
      <x:c r="J106" s="11" t="n">
        <x:v>7</x:v>
      </x:c>
      <x:c r="K106" s="11" t="n">
        <x:v>5</x:v>
      </x:c>
      <x:c r="L106" s="11" t="n">
        <x:v>1</x:v>
      </x:c>
      <x:c r="M106" s="9" t="n">
        <x:f>ROUND(H106*(1-I106),2)</x:f>
        <x:v>11790000</x:v>
      </x:c>
      <x:c r="N106" s="4" t="str">
        <x:v>Sales head</x:v>
      </x:c>
      <x:c r="O106" s="4" t="str">
        <x:v>BOOK-00105</x:v>
      </x:c>
      <x:c r="P106" s="9" t="n">
        <x:v>5895000</x:v>
      </x:c>
      <x:c r="Q106" s="11" t="n">
        <x:v>0</x:v>
      </x:c>
      <x:c r="R106" s="8" t="n">
        <x:v>45372</x:v>
      </x:c>
      <x:c r="S106" s="4" t="str">
        <x:v>Retained</x:v>
      </x:c>
      <x:c r="T106" s="10" t="n">
        <x:v>0.291946</x:v>
      </x:c>
      <x:c r="U106" s="4" t="str">
        <x:v>Train</x:v>
      </x:c>
    </x:row>
    <x:row r="107" ht="34" customHeight="1">
      <x:c r="A107" s="4" t="str">
        <x:v>RS-00106</x:v>
      </x:c>
      <x:c r="B107" s="8" t="n">
        <x:v>45313</x:v>
      </x:c>
      <x:c r="C107" s="4" t="str">
        <x:v>PRJ-006</x:v>
      </x:c>
      <x:c r="D107" s="4" t="str">
        <x:v>Office</x:v>
      </x:c>
      <x:c r="E107" s="4" t="str">
        <x:v>Cancelled</x:v>
      </x:c>
      <x:c r="F107" s="4" t="str">
        <x:v>CUS-00106</x:v>
      </x:c>
      <x:c r="G107" s="4" t="str">
        <x:v>UNIT-00106</x:v>
      </x:c>
      <x:c r="H107" s="9" t="n">
        <x:v>17600000</x:v>
      </x:c>
      <x:c r="I107" s="10" t="n">
        <x:v>0.05</x:v>
      </x:c>
      <x:c r="J107" s="11" t="n">
        <x:v>8</x:v>
      </x:c>
      <x:c r="K107" s="11" t="n">
        <x:v>6</x:v>
      </x:c>
      <x:c r="L107" s="11" t="n">
        <x:v>1</x:v>
      </x:c>
      <x:c r="M107" s="9" t="n">
        <x:f>ROUND(H107*(1-I107),2)</x:f>
        <x:v>16720000</x:v>
      </x:c>
      <x:c r="N107" s="4" t="str">
        <x:v>Sales manager</x:v>
      </x:c>
      <x:c r="O107" s="4"/>
      <x:c r="P107" s="9" t="n">
        <x:v>0</x:v>
      </x:c>
      <x:c r="Q107" s="11" t="n">
        <x:v>1</x:v>
      </x:c>
      <x:c r="R107" s="8" t="n">
        <x:v>45373</x:v>
      </x:c>
      <x:c r="S107" s="4" t="str">
        <x:v>Lost / cancelled</x:v>
      </x:c>
      <x:c r="T107" s="10" t="n">
        <x:v>0.310195</x:v>
      </x:c>
      <x:c r="U107" s="4" t="str">
        <x:v>Train</x:v>
      </x:c>
    </x:row>
    <x:row r="108" ht="34" customHeight="1">
      <x:c r="A108" s="4" t="str">
        <x:v>RS-00107</x:v>
      </x:c>
      <x:c r="B108" s="8" t="n">
        <x:v>45314</x:v>
      </x:c>
      <x:c r="C108" s="4" t="str">
        <x:v>PRJ-007</x:v>
      </x:c>
      <x:c r="D108" s="4" t="str">
        <x:v>Apartment</x:v>
      </x:c>
      <x:c r="E108" s="4" t="str">
        <x:v>Handed over</x:v>
      </x:c>
      <x:c r="F108" s="4" t="str">
        <x:v>CUS-00107</x:v>
      </x:c>
      <x:c r="G108" s="4" t="str">
        <x:v>UNIT-00107</x:v>
      </x:c>
      <x:c r="H108" s="9" t="n">
        <x:v>20900000</x:v>
      </x:c>
      <x:c r="I108" s="10" t="n">
        <x:v>0.07</x:v>
      </x:c>
      <x:c r="J108" s="11" t="n">
        <x:v>11</x:v>
      </x:c>
      <x:c r="K108" s="11" t="n">
        <x:v>10</x:v>
      </x:c>
      <x:c r="L108" s="11" t="n">
        <x:v>0</x:v>
      </x:c>
      <x:c r="M108" s="9" t="n">
        <x:f>ROUND(H108*(1-I108),2)</x:f>
        <x:v>19437000</x:v>
      </x:c>
      <x:c r="N108" s="4" t="str">
        <x:v>Sales manager</x:v>
      </x:c>
      <x:c r="O108" s="4" t="str">
        <x:v>BOOK-00107</x:v>
      </x:c>
      <x:c r="P108" s="9" t="n">
        <x:v>1943700</x:v>
      </x:c>
      <x:c r="Q108" s="11" t="n">
        <x:v>0</x:v>
      </x:c>
      <x:c r="R108" s="8" t="n">
        <x:v>45374</x:v>
      </x:c>
      <x:c r="S108" s="4" t="str">
        <x:v>Retained</x:v>
      </x:c>
      <x:c r="T108" s="10" t="n">
        <x:v>0.351536</x:v>
      </x:c>
      <x:c r="U108" s="4" t="str">
        <x:v>Train</x:v>
      </x:c>
    </x:row>
    <x:row r="109" ht="34" customHeight="1">
      <x:c r="A109" s="4" t="str">
        <x:v>RS-00108</x:v>
      </x:c>
      <x:c r="B109" s="8" t="n">
        <x:v>45315</x:v>
      </x:c>
      <x:c r="C109" s="4" t="str">
        <x:v>PRJ-008</x:v>
      </x:c>
      <x:c r="D109" s="4" t="str">
        <x:v>Villa</x:v>
      </x:c>
      <x:c r="E109" s="4" t="str">
        <x:v>Enquiry</x:v>
      </x:c>
      <x:c r="F109" s="4" t="str">
        <x:v>CUS-00108</x:v>
      </x:c>
      <x:c r="G109" s="4" t="str">
        <x:v>UNIT-00108</x:v>
      </x:c>
      <x:c r="H109" s="9" t="n">
        <x:v>4600000</x:v>
      </x:c>
      <x:c r="I109" s="10" t="n">
        <x:v>0.1</x:v>
      </x:c>
      <x:c r="J109" s="11" t="n">
        <x:v>11</x:v>
      </x:c>
      <x:c r="K109" s="11" t="n">
        <x:v>7</x:v>
      </x:c>
      <x:c r="L109" s="11" t="n">
        <x:v>0</x:v>
      </x:c>
      <x:c r="M109" s="9" t="n">
        <x:f>ROUND(H109*(1-I109),2)</x:f>
        <x:v>4140000</x:v>
      </x:c>
      <x:c r="N109" s="4" t="str">
        <x:v>Sales head</x:v>
      </x:c>
      <x:c r="O109" s="4"/>
      <x:c r="P109" s="9" t="n">
        <x:v>0</x:v>
      </x:c>
      <x:c r="Q109" s="11" t="n">
        <x:v>0</x:v>
      </x:c>
      <x:c r="R109" s="8" t="n">
        <x:v>45375</x:v>
      </x:c>
      <x:c r="S109" s="4" t="str">
        <x:v>Retained</x:v>
      </x:c>
      <x:c r="T109" s="10" t="n">
        <x:v>0.351536</x:v>
      </x:c>
      <x:c r="U109" s="4" t="str">
        <x:v>Train</x:v>
      </x:c>
    </x:row>
    <x:row r="110" ht="34" customHeight="1">
      <x:c r="A110" s="4" t="str">
        <x:v>RS-00109</x:v>
      </x:c>
      <x:c r="B110" s="8" t="n">
        <x:v>45316</x:v>
      </x:c>
      <x:c r="C110" s="4" t="str">
        <x:v>PRJ-009</x:v>
      </x:c>
      <x:c r="D110" s="4" t="str">
        <x:v>Retail</x:v>
      </x:c>
      <x:c r="E110" s="4" t="str">
        <x:v>Cancelled</x:v>
      </x:c>
      <x:c r="F110" s="4" t="str">
        <x:v>CUS-00109</x:v>
      </x:c>
      <x:c r="G110" s="4" t="str">
        <x:v>UNIT-00109</x:v>
      </x:c>
      <x:c r="H110" s="9" t="n">
        <x:v>22300000</x:v>
      </x:c>
      <x:c r="I110" s="10" t="n">
        <x:v>0</x:v>
      </x:c>
      <x:c r="J110" s="11" t="n">
        <x:v>0</x:v>
      </x:c>
      <x:c r="K110" s="11" t="n">
        <x:v>2</x:v>
      </x:c>
      <x:c r="L110" s="11" t="n">
        <x:v>0</x:v>
      </x:c>
      <x:c r="M110" s="9" t="n">
        <x:f>ROUND(H110*(1-I110),2)</x:f>
        <x:v>22300000</x:v>
      </x:c>
      <x:c r="N110" s="4" t="str">
        <x:v>Sales manager</x:v>
      </x:c>
      <x:c r="O110" s="4"/>
      <x:c r="P110" s="9" t="n">
        <x:v>0</x:v>
      </x:c>
      <x:c r="Q110" s="11" t="n">
        <x:v>1</x:v>
      </x:c>
      <x:c r="R110" s="8" t="n">
        <x:v>45376</x:v>
      </x:c>
      <x:c r="S110" s="4" t="str">
        <x:v>Lost / cancelled</x:v>
      </x:c>
      <x:c r="T110" s="10" t="n">
        <x:v>0.072165</x:v>
      </x:c>
      <x:c r="U110" s="4" t="str">
        <x:v>Train</x:v>
      </x:c>
    </x:row>
    <x:row r="111" ht="34" customHeight="1">
      <x:c r="A111" s="4" t="str">
        <x:v>RS-00110</x:v>
      </x:c>
      <x:c r="B111" s="8" t="n">
        <x:v>45317</x:v>
      </x:c>
      <x:c r="C111" s="4" t="str">
        <x:v>PRJ-010</x:v>
      </x:c>
      <x:c r="D111" s="4" t="str">
        <x:v>Office</x:v>
      </x:c>
      <x:c r="E111" s="4" t="str">
        <x:v>Reserved</x:v>
      </x:c>
      <x:c r="F111" s="4" t="str">
        <x:v>CUS-00110</x:v>
      </x:c>
      <x:c r="G111" s="4" t="str">
        <x:v>UNIT-00110</x:v>
      </x:c>
      <x:c r="H111" s="9" t="n">
        <x:v>15600000</x:v>
      </x:c>
      <x:c r="I111" s="10" t="n">
        <x:v>0.01</x:v>
      </x:c>
      <x:c r="J111" s="11" t="n">
        <x:v>8</x:v>
      </x:c>
      <x:c r="K111" s="11" t="n">
        <x:v>6</x:v>
      </x:c>
      <x:c r="L111" s="11" t="n">
        <x:v>0</x:v>
      </x:c>
      <x:c r="M111" s="9" t="n">
        <x:f>ROUND(H111*(1-I111),2)</x:f>
        <x:v>15444000</x:v>
      </x:c>
      <x:c r="N111" s="4" t="str">
        <x:v>Sales manager</x:v>
      </x:c>
      <x:c r="O111" s="4"/>
      <x:c r="P111" s="9" t="n">
        <x:v>0</x:v>
      </x:c>
      <x:c r="Q111" s="11" t="n">
        <x:v>0</x:v>
      </x:c>
      <x:c r="R111" s="8" t="n">
        <x:v>45377</x:v>
      </x:c>
      <x:c r="S111" s="4" t="str">
        <x:v>Retained</x:v>
      </x:c>
      <x:c r="T111" s="10" t="n">
        <x:v>0.305556</x:v>
      </x:c>
      <x:c r="U111" s="4" t="str">
        <x:v>Train</x:v>
      </x:c>
    </x:row>
    <x:row r="112" ht="34" customHeight="1">
      <x:c r="A112" s="4" t="str">
        <x:v>RS-00111</x:v>
      </x:c>
      <x:c r="B112" s="8" t="n">
        <x:v>45318</x:v>
      </x:c>
      <x:c r="C112" s="4" t="str">
        <x:v>PRJ-011</x:v>
      </x:c>
      <x:c r="D112" s="4" t="str">
        <x:v>Office</x:v>
      </x:c>
      <x:c r="E112" s="4" t="str">
        <x:v>Handed over</x:v>
      </x:c>
      <x:c r="F112" s="4" t="str">
        <x:v>CUS-00111</x:v>
      </x:c>
      <x:c r="G112" s="4" t="str">
        <x:v>UNIT-00111</x:v>
      </x:c>
      <x:c r="H112" s="9" t="n">
        <x:v>14900000</x:v>
      </x:c>
      <x:c r="I112" s="10" t="n">
        <x:v>0.09</x:v>
      </x:c>
      <x:c r="J112" s="11" t="n">
        <x:v>10</x:v>
      </x:c>
      <x:c r="K112" s="11" t="n">
        <x:v>0</x:v>
      </x:c>
      <x:c r="L112" s="11" t="n">
        <x:v>0</x:v>
      </x:c>
      <x:c r="M112" s="9" t="n">
        <x:f>ROUND(H112*(1-I112),2)</x:f>
        <x:v>13559000</x:v>
      </x:c>
      <x:c r="N112" s="4" t="str">
        <x:v>Sales head</x:v>
      </x:c>
      <x:c r="O112" s="4" t="str">
        <x:v>BOOK-00111</x:v>
      </x:c>
      <x:c r="P112" s="9" t="n">
        <x:v>6779500</x:v>
      </x:c>
      <x:c r="Q112" s="11" t="n">
        <x:v>0</x:v>
      </x:c>
      <x:c r="R112" s="8" t="n">
        <x:v>45378</x:v>
      </x:c>
      <x:c r="S112" s="4" t="str">
        <x:v>Retained</x:v>
      </x:c>
      <x:c r="T112" s="10" t="n">
        <x:v>0.310195</x:v>
      </x:c>
      <x:c r="U112" s="4" t="str">
        <x:v>Train</x:v>
      </x:c>
    </x:row>
    <x:row r="113" ht="34" customHeight="1">
      <x:c r="A113" s="4" t="str">
        <x:v>RS-00112</x:v>
      </x:c>
      <x:c r="B113" s="8" t="n">
        <x:v>45319</x:v>
      </x:c>
      <x:c r="C113" s="4" t="str">
        <x:v>PRJ-012</x:v>
      </x:c>
      <x:c r="D113" s="4" t="str">
        <x:v>Office</x:v>
      </x:c>
      <x:c r="E113" s="4" t="str">
        <x:v>Enquiry</x:v>
      </x:c>
      <x:c r="F113" s="4" t="str">
        <x:v>CUS-00112</x:v>
      </x:c>
      <x:c r="G113" s="4" t="str">
        <x:v>UNIT-00112</x:v>
      </x:c>
      <x:c r="H113" s="9" t="n">
        <x:v>17200000</x:v>
      </x:c>
      <x:c r="I113" s="10" t="n">
        <x:v>0.04</x:v>
      </x:c>
      <x:c r="J113" s="11" t="n">
        <x:v>12</x:v>
      </x:c>
      <x:c r="K113" s="11" t="n">
        <x:v>3</x:v>
      </x:c>
      <x:c r="L113" s="11" t="n">
        <x:v>1</x:v>
      </x:c>
      <x:c r="M113" s="9" t="n">
        <x:f>ROUND(H113*(1-I113),2)</x:f>
        <x:v>16512000</x:v>
      </x:c>
      <x:c r="N113" s="4" t="str">
        <x:v>Sales manager</x:v>
      </x:c>
      <x:c r="O113" s="4"/>
      <x:c r="P113" s="9" t="n">
        <x:v>0</x:v>
      </x:c>
      <x:c r="Q113" s="11" t="n">
        <x:v>0</x:v>
      </x:c>
      <x:c r="R113" s="8" t="n">
        <x:v>45379</x:v>
      </x:c>
      <x:c r="S113" s="4" t="str">
        <x:v>Retained</x:v>
      </x:c>
      <x:c r="T113" s="10" t="n">
        <x:v>0.351536</x:v>
      </x:c>
      <x:c r="U113" s="4" t="str">
        <x:v>Train</x:v>
      </x:c>
    </x:row>
    <x:row r="114" ht="34" customHeight="1">
      <x:c r="A114" s="4" t="str">
        <x:v>RS-00113</x:v>
      </x:c>
      <x:c r="B114" s="8" t="n">
        <x:v>45292</x:v>
      </x:c>
      <x:c r="C114" s="4" t="str">
        <x:v>PRJ-013</x:v>
      </x:c>
      <x:c r="D114" s="4" t="str">
        <x:v>Apartment</x:v>
      </x:c>
      <x:c r="E114" s="4" t="str">
        <x:v>Handed over</x:v>
      </x:c>
      <x:c r="F114" s="4" t="str">
        <x:v>CUS-00113</x:v>
      </x:c>
      <x:c r="G114" s="4" t="str">
        <x:v>UNIT-00113</x:v>
      </x:c>
      <x:c r="H114" s="9" t="n">
        <x:v>20100000</x:v>
      </x:c>
      <x:c r="I114" s="10" t="n">
        <x:v>0.1</x:v>
      </x:c>
      <x:c r="J114" s="11" t="n">
        <x:v>0</x:v>
      </x:c>
      <x:c r="K114" s="11" t="n">
        <x:v>3</x:v>
      </x:c>
      <x:c r="L114" s="11" t="n">
        <x:v>1</x:v>
      </x:c>
      <x:c r="M114" s="9" t="n">
        <x:f>ROUND(H114*(1-I114),2)</x:f>
        <x:v>18090000</x:v>
      </x:c>
      <x:c r="N114" s="4" t="str">
        <x:v>Sales head</x:v>
      </x:c>
      <x:c r="O114" s="4" t="str">
        <x:v>BOOK-00113</x:v>
      </x:c>
      <x:c r="P114" s="9" t="n">
        <x:v>18090000</x:v>
      </x:c>
      <x:c r="Q114" s="11" t="n">
        <x:v>0</x:v>
      </x:c>
      <x:c r="R114" s="8" t="n">
        <x:v>45352</x:v>
      </x:c>
      <x:c r="S114" s="4" t="str">
        <x:v>Retained</x:v>
      </x:c>
      <x:c r="T114" s="10" t="n">
        <x:v>0.145833</x:v>
      </x:c>
      <x:c r="U114" s="4" t="str">
        <x:v>Train</x:v>
      </x:c>
    </x:row>
    <x:row r="115" ht="34" customHeight="1">
      <x:c r="A115" s="4" t="str">
        <x:v>RS-00114</x:v>
      </x:c>
      <x:c r="B115" s="8" t="n">
        <x:v>45293</x:v>
      </x:c>
      <x:c r="C115" s="4" t="str">
        <x:v>PRJ-014</x:v>
      </x:c>
      <x:c r="D115" s="4" t="str">
        <x:v>Villa</x:v>
      </x:c>
      <x:c r="E115" s="4" t="str">
        <x:v>Reserved</x:v>
      </x:c>
      <x:c r="F115" s="4" t="str">
        <x:v>CUS-00114</x:v>
      </x:c>
      <x:c r="G115" s="4" t="str">
        <x:v>UNIT-00114</x:v>
      </x:c>
      <x:c r="H115" s="9" t="n">
        <x:v>11100000</x:v>
      </x:c>
      <x:c r="I115" s="10" t="n">
        <x:v>0.05</x:v>
      </x:c>
      <x:c r="J115" s="11" t="n">
        <x:v>5</x:v>
      </x:c>
      <x:c r="K115" s="11" t="n">
        <x:v>3</x:v>
      </x:c>
      <x:c r="L115" s="11" t="n">
        <x:v>0</x:v>
      </x:c>
      <x:c r="M115" s="9" t="n">
        <x:f>ROUND(H115*(1-I115),2)</x:f>
        <x:v>10545000</x:v>
      </x:c>
      <x:c r="N115" s="4" t="str">
        <x:v>Sales manager</x:v>
      </x:c>
      <x:c r="O115" s="4"/>
      <x:c r="P115" s="9" t="n">
        <x:v>0</x:v>
      </x:c>
      <x:c r="Q115" s="11" t="n">
        <x:v>1</x:v>
      </x:c>
      <x:c r="R115" s="8" t="n">
        <x:v>45353</x:v>
      </x:c>
      <x:c r="S115" s="4" t="str">
        <x:v>Lost / cancelled</x:v>
      </x:c>
      <x:c r="T115" s="10" t="n">
        <x:v>0.226277</x:v>
      </x:c>
      <x:c r="U115" s="4" t="str">
        <x:v>Train</x:v>
      </x:c>
    </x:row>
    <x:row r="116" ht="34" customHeight="1">
      <x:c r="A116" s="4" t="str">
        <x:v>RS-00115</x:v>
      </x:c>
      <x:c r="B116" s="8" t="n">
        <x:v>45294</x:v>
      </x:c>
      <x:c r="C116" s="4" t="str">
        <x:v>PRJ-015</x:v>
      </x:c>
      <x:c r="D116" s="4" t="str">
        <x:v>Retail</x:v>
      </x:c>
      <x:c r="E116" s="4" t="str">
        <x:v>Enquiry</x:v>
      </x:c>
      <x:c r="F116" s="4" t="str">
        <x:v>CUS-00115</x:v>
      </x:c>
      <x:c r="G116" s="4" t="str">
        <x:v>UNIT-00115</x:v>
      </x:c>
      <x:c r="H116" s="9" t="n">
        <x:v>5400000</x:v>
      </x:c>
      <x:c r="I116" s="10" t="n">
        <x:v>0.1</x:v>
      </x:c>
      <x:c r="J116" s="11" t="n">
        <x:v>12</x:v>
      </x:c>
      <x:c r="K116" s="11" t="n">
        <x:v>2</x:v>
      </x:c>
      <x:c r="L116" s="11" t="n">
        <x:v>1</x:v>
      </x:c>
      <x:c r="M116" s="9" t="n">
        <x:f>ROUND(H116*(1-I116),2)</x:f>
        <x:v>4860000</x:v>
      </x:c>
      <x:c r="N116" s="4" t="str">
        <x:v>Sales head</x:v>
      </x:c>
      <x:c r="O116" s="4"/>
      <x:c r="P116" s="9" t="n">
        <x:v>0</x:v>
      </x:c>
      <x:c r="Q116" s="11" t="n">
        <x:v>1</x:v>
      </x:c>
      <x:c r="R116" s="8" t="n">
        <x:v>45354</x:v>
      </x:c>
      <x:c r="S116" s="4" t="str">
        <x:v>Lost / cancelled</x:v>
      </x:c>
      <x:c r="T116" s="10" t="n">
        <x:v>0.351536</x:v>
      </x:c>
      <x:c r="U116" s="4" t="str">
        <x:v>Train</x:v>
      </x:c>
    </x:row>
    <x:row r="117" ht="34" customHeight="1">
      <x:c r="A117" s="4" t="str">
        <x:v>RS-00116</x:v>
      </x:c>
      <x:c r="B117" s="8" t="n">
        <x:v>45295</x:v>
      </x:c>
      <x:c r="C117" s="4" t="str">
        <x:v>PRJ-016</x:v>
      </x:c>
      <x:c r="D117" s="4" t="str">
        <x:v>Villa</x:v>
      </x:c>
      <x:c r="E117" s="4" t="str">
        <x:v>Enquiry</x:v>
      </x:c>
      <x:c r="F117" s="4" t="str">
        <x:v>CUS-00116</x:v>
      </x:c>
      <x:c r="G117" s="4" t="str">
        <x:v>UNIT-00116</x:v>
      </x:c>
      <x:c r="H117" s="9" t="n">
        <x:v>19800000</x:v>
      </x:c>
      <x:c r="I117" s="10" t="n">
        <x:v>0.09</x:v>
      </x:c>
      <x:c r="J117" s="11" t="n">
        <x:v>7</x:v>
      </x:c>
      <x:c r="K117" s="11" t="n">
        <x:v>7</x:v>
      </x:c>
      <x:c r="L117" s="11" t="n">
        <x:v>0</x:v>
      </x:c>
      <x:c r="M117" s="9" t="n">
        <x:f>ROUND(H117*(1-I117),2)</x:f>
        <x:v>18018000</x:v>
      </x:c>
      <x:c r="N117" s="4" t="str">
        <x:v>Sales head</x:v>
      </x:c>
      <x:c r="O117" s="4"/>
      <x:c r="P117" s="9" t="n">
        <x:v>0</x:v>
      </x:c>
      <x:c r="Q117" s="11" t="n">
        <x:v>0</x:v>
      </x:c>
      <x:c r="R117" s="8" t="n">
        <x:v>45355</x:v>
      </x:c>
      <x:c r="S117" s="4" t="str">
        <x:v>Retained</x:v>
      </x:c>
      <x:c r="T117" s="10" t="n">
        <x:v>0.226277</x:v>
      </x:c>
      <x:c r="U117" s="4" t="str">
        <x:v>Train</x:v>
      </x:c>
    </x:row>
    <x:row r="118" ht="34" customHeight="1">
      <x:c r="A118" s="4" t="str">
        <x:v>RS-00117</x:v>
      </x:c>
      <x:c r="B118" s="8" t="n">
        <x:v>45296</x:v>
      </x:c>
      <x:c r="C118" s="4" t="str">
        <x:v>PRJ-017</x:v>
      </x:c>
      <x:c r="D118" s="4" t="str">
        <x:v>Retail</x:v>
      </x:c>
      <x:c r="E118" s="4" t="str">
        <x:v>Booked</x:v>
      </x:c>
      <x:c r="F118" s="4" t="str">
        <x:v>CUS-00117</x:v>
      </x:c>
      <x:c r="G118" s="4" t="str">
        <x:v>UNIT-00117</x:v>
      </x:c>
      <x:c r="H118" s="9" t="n">
        <x:v>15000000</x:v>
      </x:c>
      <x:c r="I118" s="10" t="n">
        <x:v>0.09</x:v>
      </x:c>
      <x:c r="J118" s="11" t="n">
        <x:v>12</x:v>
      </x:c>
      <x:c r="K118" s="11" t="n">
        <x:v>3</x:v>
      </x:c>
      <x:c r="L118" s="11" t="n">
        <x:v>1</x:v>
      </x:c>
      <x:c r="M118" s="9" t="n">
        <x:f>ROUND(H118*(1-I118),2)</x:f>
        <x:v>13650000</x:v>
      </x:c>
      <x:c r="N118" s="4" t="str">
        <x:v>Sales head</x:v>
      </x:c>
      <x:c r="O118" s="4" t="str">
        <x:v>BOOK-00117</x:v>
      </x:c>
      <x:c r="P118" s="9" t="n">
        <x:v>6825000</x:v>
      </x:c>
      <x:c r="Q118" s="11" t="n">
        <x:v>0</x:v>
      </x:c>
      <x:c r="R118" s="8" t="n">
        <x:v>45356</x:v>
      </x:c>
      <x:c r="S118" s="4" t="str">
        <x:v>Retained</x:v>
      </x:c>
      <x:c r="T118" s="10" t="n">
        <x:v>0.351536</x:v>
      </x:c>
      <x:c r="U118" s="4" t="str">
        <x:v>Train</x:v>
      </x:c>
    </x:row>
    <x:row r="119" ht="34" customHeight="1">
      <x:c r="A119" s="4" t="str">
        <x:v>RS-00118</x:v>
      </x:c>
      <x:c r="B119" s="8" t="n">
        <x:v>45297</x:v>
      </x:c>
      <x:c r="C119" s="4" t="str">
        <x:v>PRJ-018</x:v>
      </x:c>
      <x:c r="D119" s="4" t="str">
        <x:v>Office</x:v>
      </x:c>
      <x:c r="E119" s="4" t="str">
        <x:v>Reserved</x:v>
      </x:c>
      <x:c r="F119" s="4" t="str">
        <x:v>CUS-00118</x:v>
      </x:c>
      <x:c r="G119" s="4" t="str">
        <x:v>UNIT-00118</x:v>
      </x:c>
      <x:c r="H119" s="9" t="n">
        <x:v>6500000</x:v>
      </x:c>
      <x:c r="I119" s="10" t="n">
        <x:v>0.07</x:v>
      </x:c>
      <x:c r="J119" s="11" t="n">
        <x:v>2</x:v>
      </x:c>
      <x:c r="K119" s="11" t="n">
        <x:v>1</x:v>
      </x:c>
      <x:c r="L119" s="11" t="n">
        <x:v>1</x:v>
      </x:c>
      <x:c r="M119" s="9" t="n">
        <x:f>ROUND(H119*(1-I119),2)</x:f>
        <x:v>6045000</x:v>
      </x:c>
      <x:c r="N119" s="4" t="str">
        <x:v>Sales manager</x:v>
      </x:c>
      <x:c r="O119" s="4"/>
      <x:c r="P119" s="9" t="n">
        <x:v>0</x:v>
      </x:c>
      <x:c r="Q119" s="11" t="n">
        <x:v>0</x:v>
      </x:c>
      <x:c r="R119" s="8" t="n">
        <x:v>45357</x:v>
      </x:c>
      <x:c r="S119" s="4" t="str">
        <x:v>Retained</x:v>
      </x:c>
      <x:c r="T119" s="10" t="n">
        <x:v>0.204152</x:v>
      </x:c>
      <x:c r="U119" s="4" t="str">
        <x:v>Train</x:v>
      </x:c>
    </x:row>
    <x:row r="120" ht="34" customHeight="1">
      <x:c r="A120" s="4" t="str">
        <x:v>RS-00119</x:v>
      </x:c>
      <x:c r="B120" s="8" t="n">
        <x:v>45298</x:v>
      </x:c>
      <x:c r="C120" s="4" t="str">
        <x:v>PRJ-019</x:v>
      </x:c>
      <x:c r="D120" s="4" t="str">
        <x:v>Villa</x:v>
      </x:c>
      <x:c r="E120" s="4" t="str">
        <x:v>Booked</x:v>
      </x:c>
      <x:c r="F120" s="4" t="str">
        <x:v>CUS-00119</x:v>
      </x:c>
      <x:c r="G120" s="4" t="str">
        <x:v>UNIT-00119</x:v>
      </x:c>
      <x:c r="H120" s="9" t="n">
        <x:v>8900000</x:v>
      </x:c>
      <x:c r="I120" s="10" t="n">
        <x:v>0.04</x:v>
      </x:c>
      <x:c r="J120" s="11" t="n">
        <x:v>5</x:v>
      </x:c>
      <x:c r="K120" s="11" t="n">
        <x:v>2</x:v>
      </x:c>
      <x:c r="L120" s="11" t="n">
        <x:v>0</x:v>
      </x:c>
      <x:c r="M120" s="9" t="n">
        <x:f>ROUND(H120*(1-I120),2)</x:f>
        <x:v>8544000</x:v>
      </x:c>
      <x:c r="N120" s="4" t="str">
        <x:v>Sales manager</x:v>
      </x:c>
      <x:c r="O120" s="4" t="str">
        <x:v>BOOK-00119</x:v>
      </x:c>
      <x:c r="P120" s="9" t="n">
        <x:v>8544000</x:v>
      </x:c>
      <x:c r="Q120" s="11" t="n">
        <x:v>0</x:v>
      </x:c>
      <x:c r="R120" s="8" t="n">
        <x:v>45358</x:v>
      </x:c>
      <x:c r="S120" s="4" t="str">
        <x:v>Retained</x:v>
      </x:c>
      <x:c r="T120" s="10" t="n">
        <x:v>0.226277</x:v>
      </x:c>
      <x:c r="U120" s="4" t="str">
        <x:v>Train</x:v>
      </x:c>
    </x:row>
    <x:row r="121" ht="34" customHeight="1">
      <x:c r="A121" s="4" t="str">
        <x:v>RS-00120</x:v>
      </x:c>
      <x:c r="B121" s="8" t="n">
        <x:v>45299</x:v>
      </x:c>
      <x:c r="C121" s="4" t="str">
        <x:v>PRJ-020</x:v>
      </x:c>
      <x:c r="D121" s="4" t="str">
        <x:v>Apartment</x:v>
      </x:c>
      <x:c r="E121" s="4" t="str">
        <x:v>Handed over</x:v>
      </x:c>
      <x:c r="F121" s="4" t="str">
        <x:v>CUS-00120</x:v>
      </x:c>
      <x:c r="G121" s="4" t="str">
        <x:v>UNIT-00120</x:v>
      </x:c>
      <x:c r="H121" s="9" t="n">
        <x:v>4300000</x:v>
      </x:c>
      <x:c r="I121" s="10" t="n">
        <x:v>0.01</x:v>
      </x:c>
      <x:c r="J121" s="11" t="n">
        <x:v>6</x:v>
      </x:c>
      <x:c r="K121" s="11" t="n">
        <x:v>10</x:v>
      </x:c>
      <x:c r="L121" s="11" t="n">
        <x:v>0</x:v>
      </x:c>
      <x:c r="M121" s="9" t="n">
        <x:f>ROUND(H121*(1-I121),2)</x:f>
        <x:v>4257000</x:v>
      </x:c>
      <x:c r="N121" s="4" t="str">
        <x:v>Sales manager</x:v>
      </x:c>
      <x:c r="O121" s="4" t="str">
        <x:v>BOOK-00120</x:v>
      </x:c>
      <x:c r="P121" s="9" t="n">
        <x:v>1064250</x:v>
      </x:c>
      <x:c r="Q121" s="11" t="n">
        <x:v>0</x:v>
      </x:c>
      <x:c r="R121" s="8" t="n">
        <x:v>45359</x:v>
      </x:c>
      <x:c r="S121" s="4" t="str">
        <x:v>Retained</x:v>
      </x:c>
      <x:c r="T121" s="10" t="n">
        <x:v>0.145299</x:v>
      </x:c>
      <x:c r="U121" s="4" t="str">
        <x:v>Train</x:v>
      </x:c>
    </x:row>
    <x:row r="122" ht="34" customHeight="1">
      <x:c r="A122" s="4" t="str">
        <x:v>RS-00121</x:v>
      </x:c>
      <x:c r="B122" s="8" t="n">
        <x:v>45300</x:v>
      </x:c>
      <x:c r="C122" s="4" t="str">
        <x:v>PRJ-001</x:v>
      </x:c>
      <x:c r="D122" s="4" t="str">
        <x:v>Retail</x:v>
      </x:c>
      <x:c r="E122" s="4" t="str">
        <x:v>Reserved</x:v>
      </x:c>
      <x:c r="F122" s="4" t="str">
        <x:v>CUS-00121</x:v>
      </x:c>
      <x:c r="G122" s="4" t="str">
        <x:v>UNIT-00121</x:v>
      </x:c>
      <x:c r="H122" s="9" t="n">
        <x:v>13500000</x:v>
      </x:c>
      <x:c r="I122" s="10" t="n">
        <x:v>0.05</x:v>
      </x:c>
      <x:c r="J122" s="11" t="n">
        <x:v>12</x:v>
      </x:c>
      <x:c r="K122" s="11" t="n">
        <x:v>10</x:v>
      </x:c>
      <x:c r="L122" s="11" t="n">
        <x:v>1</x:v>
      </x:c>
      <x:c r="M122" s="9" t="n">
        <x:f>ROUND(H122*(1-I122),2)</x:f>
        <x:v>12825000</x:v>
      </x:c>
      <x:c r="N122" s="4" t="str">
        <x:v>Sales manager</x:v>
      </x:c>
      <x:c r="O122" s="4"/>
      <x:c r="P122" s="9" t="n">
        <x:v>0</x:v>
      </x:c>
      <x:c r="Q122" s="11" t="n">
        <x:v>1</x:v>
      </x:c>
      <x:c r="R122" s="8" t="n">
        <x:v>45360</x:v>
      </x:c>
      <x:c r="S122" s="4" t="str">
        <x:v>Lost / cancelled</x:v>
      </x:c>
      <x:c r="T122" s="10" t="n">
        <x:v>0.351536</x:v>
      </x:c>
      <x:c r="U122" s="4" t="str">
        <x:v>Train</x:v>
      </x:c>
    </x:row>
    <x:row r="123" ht="34" customHeight="1">
      <x:c r="A123" s="4" t="str">
        <x:v>RS-00122</x:v>
      </x:c>
      <x:c r="B123" s="8" t="n">
        <x:v>45301</x:v>
      </x:c>
      <x:c r="C123" s="4" t="str">
        <x:v>PRJ-002</x:v>
      </x:c>
      <x:c r="D123" s="4" t="str">
        <x:v>Office</x:v>
      </x:c>
      <x:c r="E123" s="4" t="str">
        <x:v>Booked</x:v>
      </x:c>
      <x:c r="F123" s="4" t="str">
        <x:v>CUS-00122</x:v>
      </x:c>
      <x:c r="G123" s="4" t="str">
        <x:v>UNIT-00122</x:v>
      </x:c>
      <x:c r="H123" s="9" t="n">
        <x:v>23100000</x:v>
      </x:c>
      <x:c r="I123" s="10" t="n">
        <x:v>0.02</x:v>
      </x:c>
      <x:c r="J123" s="11" t="n">
        <x:v>0</x:v>
      </x:c>
      <x:c r="K123" s="11" t="n">
        <x:v>3</x:v>
      </x:c>
      <x:c r="L123" s="11" t="n">
        <x:v>1</x:v>
      </x:c>
      <x:c r="M123" s="9" t="n">
        <x:f>ROUND(H123*(1-I123),2)</x:f>
        <x:v>22638000</x:v>
      </x:c>
      <x:c r="N123" s="4" t="str">
        <x:v>Sales manager</x:v>
      </x:c>
      <x:c r="O123" s="4" t="str">
        <x:v>BOOK-00122</x:v>
      </x:c>
      <x:c r="P123" s="9" t="n">
        <x:v>5659500</x:v>
      </x:c>
      <x:c r="Q123" s="11" t="n">
        <x:v>0</x:v>
      </x:c>
      <x:c r="R123" s="8" t="n">
        <x:v>45361</x:v>
      </x:c>
      <x:c r="S123" s="4" t="str">
        <x:v>Retained</x:v>
      </x:c>
      <x:c r="T123" s="10" t="n">
        <x:v>0.072165</x:v>
      </x:c>
      <x:c r="U123" s="4" t="str">
        <x:v>Train</x:v>
      </x:c>
    </x:row>
    <x:row r="124" ht="34" customHeight="1">
      <x:c r="A124" s="4" t="str">
        <x:v>RS-00123</x:v>
      </x:c>
      <x:c r="B124" s="8" t="n">
        <x:v>45302</x:v>
      </x:c>
      <x:c r="C124" s="4" t="str">
        <x:v>PRJ-003</x:v>
      </x:c>
      <x:c r="D124" s="4" t="str">
        <x:v>Office</x:v>
      </x:c>
      <x:c r="E124" s="4" t="str">
        <x:v>Agreement signed</x:v>
      </x:c>
      <x:c r="F124" s="4" t="str">
        <x:v>CUS-00123</x:v>
      </x:c>
      <x:c r="G124" s="4" t="str">
        <x:v>UNIT-00123</x:v>
      </x:c>
      <x:c r="H124" s="9" t="n">
        <x:v>10100000</x:v>
      </x:c>
      <x:c r="I124" s="10" t="n">
        <x:v>0.07</x:v>
      </x:c>
      <x:c r="J124" s="11" t="n">
        <x:v>10</x:v>
      </x:c>
      <x:c r="K124" s="11" t="n">
        <x:v>3</x:v>
      </x:c>
      <x:c r="L124" s="11" t="n">
        <x:v>0</x:v>
      </x:c>
      <x:c r="M124" s="9" t="n">
        <x:f>ROUND(H124*(1-I124),2)</x:f>
        <x:v>9393000</x:v>
      </x:c>
      <x:c r="N124" s="4" t="str">
        <x:v>Sales manager</x:v>
      </x:c>
      <x:c r="O124" s="4" t="str">
        <x:v>BOOK-00123</x:v>
      </x:c>
      <x:c r="P124" s="9" t="n">
        <x:v>9393000</x:v>
      </x:c>
      <x:c r="Q124" s="11" t="n">
        <x:v>0</x:v>
      </x:c>
      <x:c r="R124" s="8" t="n">
        <x:v>45362</x:v>
      </x:c>
      <x:c r="S124" s="4" t="str">
        <x:v>Retained</x:v>
      </x:c>
      <x:c r="T124" s="10" t="n">
        <x:v>0.310195</x:v>
      </x:c>
      <x:c r="U124" s="4" t="str">
        <x:v>Train</x:v>
      </x:c>
    </x:row>
    <x:row r="125" ht="34" customHeight="1">
      <x:c r="A125" s="4" t="str">
        <x:v>RS-00124</x:v>
      </x:c>
      <x:c r="B125" s="8" t="n">
        <x:v>45303</x:v>
      </x:c>
      <x:c r="C125" s="4" t="str">
        <x:v>PRJ-004</x:v>
      </x:c>
      <x:c r="D125" s="4" t="str">
        <x:v>Villa</x:v>
      </x:c>
      <x:c r="E125" s="4" t="str">
        <x:v>Cancelled</x:v>
      </x:c>
      <x:c r="F125" s="4" t="str">
        <x:v>CUS-00124</x:v>
      </x:c>
      <x:c r="G125" s="4" t="str">
        <x:v>UNIT-00124</x:v>
      </x:c>
      <x:c r="H125" s="9" t="n">
        <x:v>19700000</x:v>
      </x:c>
      <x:c r="I125" s="10" t="n">
        <x:v>0.06</x:v>
      </x:c>
      <x:c r="J125" s="11" t="n">
        <x:v>6</x:v>
      </x:c>
      <x:c r="K125" s="11" t="n">
        <x:v>9</x:v>
      </x:c>
      <x:c r="L125" s="11" t="n">
        <x:v>1</x:v>
      </x:c>
      <x:c r="M125" s="9" t="n">
        <x:f>ROUND(H125*(1-I125),2)</x:f>
        <x:v>18518000</x:v>
      </x:c>
      <x:c r="N125" s="4" t="str">
        <x:v>Sales manager</x:v>
      </x:c>
      <x:c r="O125" s="4"/>
      <x:c r="P125" s="9" t="n">
        <x:v>0</x:v>
      </x:c>
      <x:c r="Q125" s="11" t="n">
        <x:v>1</x:v>
      </x:c>
      <x:c r="R125" s="8" t="n">
        <x:v>45363</x:v>
      </x:c>
      <x:c r="S125" s="4" t="str">
        <x:v>Lost / cancelled</x:v>
      </x:c>
      <x:c r="T125" s="10" t="n">
        <x:v>0.291946</x:v>
      </x:c>
      <x:c r="U125" s="4" t="str">
        <x:v>Train</x:v>
      </x:c>
    </x:row>
    <x:row r="126" ht="34" customHeight="1">
      <x:c r="A126" s="4" t="str">
        <x:v>RS-00125</x:v>
      </x:c>
      <x:c r="B126" s="8" t="n">
        <x:v>45304</x:v>
      </x:c>
      <x:c r="C126" s="4" t="str">
        <x:v>PRJ-005</x:v>
      </x:c>
      <x:c r="D126" s="4" t="str">
        <x:v>Villa</x:v>
      </x:c>
      <x:c r="E126" s="4" t="str">
        <x:v>Enquiry</x:v>
      </x:c>
      <x:c r="F126" s="4" t="str">
        <x:v>CUS-00125</x:v>
      </x:c>
      <x:c r="G126" s="4" t="str">
        <x:v>UNIT-00125</x:v>
      </x:c>
      <x:c r="H126" s="9" t="n">
        <x:v>8500000</x:v>
      </x:c>
      <x:c r="I126" s="10" t="n">
        <x:v>0.07</x:v>
      </x:c>
      <x:c r="J126" s="11" t="n">
        <x:v>7</x:v>
      </x:c>
      <x:c r="K126" s="11" t="n">
        <x:v>7</x:v>
      </x:c>
      <x:c r="L126" s="11" t="n">
        <x:v>0</x:v>
      </x:c>
      <x:c r="M126" s="9" t="n">
        <x:f>ROUND(H126*(1-I126),2)</x:f>
        <x:v>7905000</x:v>
      </x:c>
      <x:c r="N126" s="4" t="str">
        <x:v>Sales manager</x:v>
      </x:c>
      <x:c r="O126" s="4"/>
      <x:c r="P126" s="9" t="n">
        <x:v>0</x:v>
      </x:c>
      <x:c r="Q126" s="11" t="n">
        <x:v>0</x:v>
      </x:c>
      <x:c r="R126" s="8" t="n">
        <x:v>45364</x:v>
      </x:c>
      <x:c r="S126" s="4" t="str">
        <x:v>Retained</x:v>
      </x:c>
      <x:c r="T126" s="10" t="n">
        <x:v>0.226277</x:v>
      </x:c>
      <x:c r="U126" s="4" t="str">
        <x:v>Train</x:v>
      </x:c>
    </x:row>
    <x:row r="127" ht="34" customHeight="1">
      <x:c r="A127" s="4" t="str">
        <x:v>RS-00126</x:v>
      </x:c>
      <x:c r="B127" s="8" t="n">
        <x:v>45305</x:v>
      </x:c>
      <x:c r="C127" s="4" t="str">
        <x:v>PRJ-006</x:v>
      </x:c>
      <x:c r="D127" s="4" t="str">
        <x:v>Apartment</x:v>
      </x:c>
      <x:c r="E127" s="4" t="str">
        <x:v>Enquiry</x:v>
      </x:c>
      <x:c r="F127" s="4" t="str">
        <x:v>CUS-00126</x:v>
      </x:c>
      <x:c r="G127" s="4" t="str">
        <x:v>UNIT-00126</x:v>
      </x:c>
      <x:c r="H127" s="9" t="n">
        <x:v>10600000</x:v>
      </x:c>
      <x:c r="I127" s="10" t="n">
        <x:v>0.04</x:v>
      </x:c>
      <x:c r="J127" s="11" t="n">
        <x:v>5</x:v>
      </x:c>
      <x:c r="K127" s="11" t="n">
        <x:v>3</x:v>
      </x:c>
      <x:c r="L127" s="11" t="n">
        <x:v>1</x:v>
      </x:c>
      <x:c r="M127" s="9" t="n">
        <x:f>ROUND(H127*(1-I127),2)</x:f>
        <x:v>10176000</x:v>
      </x:c>
      <x:c r="N127" s="4" t="str">
        <x:v>Sales manager</x:v>
      </x:c>
      <x:c r="O127" s="4"/>
      <x:c r="P127" s="9" t="n">
        <x:v>0</x:v>
      </x:c>
      <x:c r="Q127" s="11" t="n">
        <x:v>1</x:v>
      </x:c>
      <x:c r="R127" s="8" t="n">
        <x:v>45365</x:v>
      </x:c>
      <x:c r="S127" s="4" t="str">
        <x:v>Lost / cancelled</x:v>
      </x:c>
      <x:c r="T127" s="10" t="n">
        <x:v>0.291946</x:v>
      </x:c>
      <x:c r="U127" s="4" t="str">
        <x:v>Train</x:v>
      </x:c>
    </x:row>
    <x:row r="128" ht="34" customHeight="1">
      <x:c r="A128" s="4" t="str">
        <x:v>RS-00127</x:v>
      </x:c>
      <x:c r="B128" s="8" t="n">
        <x:v>45306</x:v>
      </x:c>
      <x:c r="C128" s="4" t="str">
        <x:v>PRJ-007</x:v>
      </x:c>
      <x:c r="D128" s="4" t="str">
        <x:v>Retail</x:v>
      </x:c>
      <x:c r="E128" s="4" t="str">
        <x:v>Enquiry</x:v>
      </x:c>
      <x:c r="F128" s="4" t="str">
        <x:v>CUS-00127</x:v>
      </x:c>
      <x:c r="G128" s="4" t="str">
        <x:v>UNIT-00127</x:v>
      </x:c>
      <x:c r="H128" s="9" t="n">
        <x:v>24300000</x:v>
      </x:c>
      <x:c r="I128" s="10" t="n">
        <x:v>0.1</x:v>
      </x:c>
      <x:c r="J128" s="11" t="n">
        <x:v>0</x:v>
      </x:c>
      <x:c r="K128" s="11" t="n">
        <x:v>2</x:v>
      </x:c>
      <x:c r="L128" s="11" t="n">
        <x:v>1</x:v>
      </x:c>
      <x:c r="M128" s="9" t="n">
        <x:f>ROUND(H128*(1-I128),2)</x:f>
        <x:v>21870000</x:v>
      </x:c>
      <x:c r="N128" s="4" t="str">
        <x:v>Sales head</x:v>
      </x:c>
      <x:c r="O128" s="4"/>
      <x:c r="P128" s="9" t="n">
        <x:v>0</x:v>
      </x:c>
      <x:c r="Q128" s="11" t="n">
        <x:v>0</x:v>
      </x:c>
      <x:c r="R128" s="8" t="n">
        <x:v>45366</x:v>
      </x:c>
      <x:c r="S128" s="4" t="str">
        <x:v>Retained</x:v>
      </x:c>
      <x:c r="T128" s="10" t="n">
        <x:v>0.145833</x:v>
      </x:c>
      <x:c r="U128" s="4" t="str">
        <x:v>Train</x:v>
      </x:c>
    </x:row>
    <x:row r="129" ht="34" customHeight="1">
      <x:c r="A129" s="4" t="str">
        <x:v>RS-00128</x:v>
      </x:c>
      <x:c r="B129" s="8" t="n">
        <x:v>45307</x:v>
      </x:c>
      <x:c r="C129" s="4" t="str">
        <x:v>PRJ-008</x:v>
      </x:c>
      <x:c r="D129" s="4" t="str">
        <x:v>Retail</x:v>
      </x:c>
      <x:c r="E129" s="4" t="str">
        <x:v>Handed over</x:v>
      </x:c>
      <x:c r="F129" s="4" t="str">
        <x:v>CUS-00128</x:v>
      </x:c>
      <x:c r="G129" s="4" t="str">
        <x:v>UNIT-00128</x:v>
      </x:c>
      <x:c r="H129" s="9" t="n">
        <x:v>18400000</x:v>
      </x:c>
      <x:c r="I129" s="10" t="n">
        <x:v>0.01</x:v>
      </x:c>
      <x:c r="J129" s="11" t="n">
        <x:v>3</x:v>
      </x:c>
      <x:c r="K129" s="11" t="n">
        <x:v>9</x:v>
      </x:c>
      <x:c r="L129" s="11" t="n">
        <x:v>1</x:v>
      </x:c>
      <x:c r="M129" s="9" t="n">
        <x:f>ROUND(H129*(1-I129),2)</x:f>
        <x:v>18216000</x:v>
      </x:c>
      <x:c r="N129" s="4" t="str">
        <x:v>Sales manager</x:v>
      </x:c>
      <x:c r="O129" s="4" t="str">
        <x:v>BOOK-00128</x:v>
      </x:c>
      <x:c r="P129" s="9" t="n">
        <x:v>9108000</x:v>
      </x:c>
      <x:c r="Q129" s="11" t="n">
        <x:v>0</x:v>
      </x:c>
      <x:c r="R129" s="8" t="n">
        <x:v>45367</x:v>
      </x:c>
      <x:c r="S129" s="4" t="str">
        <x:v>Retained</x:v>
      </x:c>
      <x:c r="T129" s="10" t="n">
        <x:v>0.171717</x:v>
      </x:c>
      <x:c r="U129" s="4" t="str">
        <x:v>Train</x:v>
      </x:c>
    </x:row>
    <x:row r="130" ht="34" customHeight="1">
      <x:c r="A130" s="4" t="str">
        <x:v>RS-00129</x:v>
      </x:c>
      <x:c r="B130" s="8" t="n">
        <x:v>45308</x:v>
      </x:c>
      <x:c r="C130" s="4" t="str">
        <x:v>PRJ-009</x:v>
      </x:c>
      <x:c r="D130" s="4" t="str">
        <x:v>Retail</x:v>
      </x:c>
      <x:c r="E130" s="4" t="str">
        <x:v>Cancelled</x:v>
      </x:c>
      <x:c r="F130" s="4" t="str">
        <x:v>CUS-00129</x:v>
      </x:c>
      <x:c r="G130" s="4" t="str">
        <x:v>UNIT-00129</x:v>
      </x:c>
      <x:c r="H130" s="9" t="n">
        <x:v>16500000</x:v>
      </x:c>
      <x:c r="I130" s="10" t="n">
        <x:v>0.09</x:v>
      </x:c>
      <x:c r="J130" s="11" t="n">
        <x:v>2</x:v>
      </x:c>
      <x:c r="K130" s="11" t="n">
        <x:v>0</x:v>
      </x:c>
      <x:c r="L130" s="11" t="n">
        <x:v>0</x:v>
      </x:c>
      <x:c r="M130" s="9" t="n">
        <x:f>ROUND(H130*(1-I130),2)</x:f>
        <x:v>15015000</x:v>
      </x:c>
      <x:c r="N130" s="4" t="str">
        <x:v>Sales head</x:v>
      </x:c>
      <x:c r="O130" s="4"/>
      <x:c r="P130" s="9" t="n">
        <x:v>0</x:v>
      </x:c>
      <x:c r="Q130" s="11" t="n">
        <x:v>1</x:v>
      </x:c>
      <x:c r="R130" s="8" t="n">
        <x:v>45368</x:v>
      </x:c>
      <x:c r="S130" s="4" t="str">
        <x:v>Lost / cancelled</x:v>
      </x:c>
      <x:c r="T130" s="10" t="n">
        <x:v>0.276923</x:v>
      </x:c>
      <x:c r="U130" s="4" t="str">
        <x:v>Train</x:v>
      </x:c>
    </x:row>
    <x:row r="131" ht="34" customHeight="1">
      <x:c r="A131" s="4" t="str">
        <x:v>RS-00130</x:v>
      </x:c>
      <x:c r="B131" s="8" t="n">
        <x:v>45309</x:v>
      </x:c>
      <x:c r="C131" s="4" t="str">
        <x:v>PRJ-010</x:v>
      </x:c>
      <x:c r="D131" s="4" t="str">
        <x:v>Retail</x:v>
      </x:c>
      <x:c r="E131" s="4" t="str">
        <x:v>Handed over</x:v>
      </x:c>
      <x:c r="F131" s="4" t="str">
        <x:v>CUS-00130</x:v>
      </x:c>
      <x:c r="G131" s="4" t="str">
        <x:v>UNIT-00130</x:v>
      </x:c>
      <x:c r="H131" s="9" t="n">
        <x:v>20400000</x:v>
      </x:c>
      <x:c r="I131" s="10" t="n">
        <x:v>0.06</x:v>
      </x:c>
      <x:c r="J131" s="11" t="n">
        <x:v>6</x:v>
      </x:c>
      <x:c r="K131" s="11" t="n">
        <x:v>0</x:v>
      </x:c>
      <x:c r="L131" s="11" t="n">
        <x:v>0</x:v>
      </x:c>
      <x:c r="M131" s="9" t="n">
        <x:f>ROUND(H131*(1-I131),2)</x:f>
        <x:v>19176000</x:v>
      </x:c>
      <x:c r="N131" s="4" t="str">
        <x:v>Sales manager</x:v>
      </x:c>
      <x:c r="O131" s="4" t="str">
        <x:v>BOOK-00130</x:v>
      </x:c>
      <x:c r="P131" s="9" t="n">
        <x:v>9588000</x:v>
      </x:c>
      <x:c r="Q131" s="11" t="n">
        <x:v>0</x:v>
      </x:c>
      <x:c r="R131" s="8" t="n">
        <x:v>45369</x:v>
      </x:c>
      <x:c r="S131" s="4" t="str">
        <x:v>Retained</x:v>
      </x:c>
      <x:c r="T131" s="10" t="n">
        <x:v>0.226277</x:v>
      </x:c>
      <x:c r="U131" s="4" t="str">
        <x:v>Train</x:v>
      </x:c>
    </x:row>
    <x:row r="132" ht="34" customHeight="1">
      <x:c r="A132" s="4" t="str">
        <x:v>RS-00131</x:v>
      </x:c>
      <x:c r="B132" s="8" t="n">
        <x:v>45310</x:v>
      </x:c>
      <x:c r="C132" s="4" t="str">
        <x:v>PRJ-011</x:v>
      </x:c>
      <x:c r="D132" s="4" t="str">
        <x:v>Retail</x:v>
      </x:c>
      <x:c r="E132" s="4" t="str">
        <x:v>Agreement signed</x:v>
      </x:c>
      <x:c r="F132" s="4" t="str">
        <x:v>CUS-00131</x:v>
      </x:c>
      <x:c r="G132" s="4" t="str">
        <x:v>UNIT-00131</x:v>
      </x:c>
      <x:c r="H132" s="9" t="n">
        <x:v>8300000</x:v>
      </x:c>
      <x:c r="I132" s="10" t="n">
        <x:v>0.08</x:v>
      </x:c>
      <x:c r="J132" s="11" t="n">
        <x:v>3</x:v>
      </x:c>
      <x:c r="K132" s="11" t="n">
        <x:v>6</x:v>
      </x:c>
      <x:c r="L132" s="11" t="n">
        <x:v>1</x:v>
      </x:c>
      <x:c r="M132" s="9" t="n">
        <x:f>ROUND(H132*(1-I132),2)</x:f>
        <x:v>7636000</x:v>
      </x:c>
      <x:c r="N132" s="4" t="str">
        <x:v>Sales head</x:v>
      </x:c>
      <x:c r="O132" s="4" t="str">
        <x:v>BOOK-00131</x:v>
      </x:c>
      <x:c r="P132" s="9" t="n">
        <x:v>763600</x:v>
      </x:c>
      <x:c r="Q132" s="11" t="n">
        <x:v>0</x:v>
      </x:c>
      <x:c r="R132" s="8" t="n">
        <x:v>45370</x:v>
      </x:c>
      <x:c r="S132" s="4" t="str">
        <x:v>Retained</x:v>
      </x:c>
      <x:c r="T132" s="10" t="n">
        <x:v>0.204152</x:v>
      </x:c>
      <x:c r="U132" s="4" t="str">
        <x:v>Train</x:v>
      </x:c>
    </x:row>
    <x:row r="133" ht="34" customHeight="1">
      <x:c r="A133" s="4" t="str">
        <x:v>RS-00132</x:v>
      </x:c>
      <x:c r="B133" s="8" t="n">
        <x:v>45311</x:v>
      </x:c>
      <x:c r="C133" s="4" t="str">
        <x:v>PRJ-012</x:v>
      </x:c>
      <x:c r="D133" s="4" t="str">
        <x:v>Apartment</x:v>
      </x:c>
      <x:c r="E133" s="4" t="str">
        <x:v>Enquiry</x:v>
      </x:c>
      <x:c r="F133" s="4" t="str">
        <x:v>CUS-00132</x:v>
      </x:c>
      <x:c r="G133" s="4" t="str">
        <x:v>UNIT-00132</x:v>
      </x:c>
      <x:c r="H133" s="9" t="n">
        <x:v>20500000</x:v>
      </x:c>
      <x:c r="I133" s="10" t="n">
        <x:v>0.07</x:v>
      </x:c>
      <x:c r="J133" s="11" t="n">
        <x:v>3</x:v>
      </x:c>
      <x:c r="K133" s="11" t="n">
        <x:v>5</x:v>
      </x:c>
      <x:c r="L133" s="11" t="n">
        <x:v>1</x:v>
      </x:c>
      <x:c r="M133" s="9" t="n">
        <x:f>ROUND(H133*(1-I133),2)</x:f>
        <x:v>19065000</x:v>
      </x:c>
      <x:c r="N133" s="4" t="str">
        <x:v>Sales manager</x:v>
      </x:c>
      <x:c r="O133" s="4"/>
      <x:c r="P133" s="9" t="n">
        <x:v>0</x:v>
      </x:c>
      <x:c r="Q133" s="11" t="n">
        <x:v>0</x:v>
      </x:c>
      <x:c r="R133" s="8" t="n">
        <x:v>45371</x:v>
      </x:c>
      <x:c r="S133" s="4" t="str">
        <x:v>Retained</x:v>
      </x:c>
      <x:c r="T133" s="10" t="n">
        <x:v>0.204152</x:v>
      </x:c>
      <x:c r="U133" s="4" t="str">
        <x:v>Train</x:v>
      </x:c>
    </x:row>
    <x:row r="134" ht="34" customHeight="1">
      <x:c r="A134" s="4" t="str">
        <x:v>RS-00133</x:v>
      </x:c>
      <x:c r="B134" s="8" t="n">
        <x:v>45312</x:v>
      </x:c>
      <x:c r="C134" s="4" t="str">
        <x:v>PRJ-013</x:v>
      </x:c>
      <x:c r="D134" s="4" t="str">
        <x:v>Retail</x:v>
      </x:c>
      <x:c r="E134" s="4" t="str">
        <x:v>Enquiry</x:v>
      </x:c>
      <x:c r="F134" s="4" t="str">
        <x:v>CUS-00133</x:v>
      </x:c>
      <x:c r="G134" s="4" t="str">
        <x:v>UNIT-00133</x:v>
      </x:c>
      <x:c r="H134" s="9" t="n">
        <x:v>5200000</x:v>
      </x:c>
      <x:c r="I134" s="10" t="n">
        <x:v>0.09</x:v>
      </x:c>
      <x:c r="J134" s="11" t="n">
        <x:v>5</x:v>
      </x:c>
      <x:c r="K134" s="11" t="n">
        <x:v>6</x:v>
      </x:c>
      <x:c r="L134" s="11" t="n">
        <x:v>0</x:v>
      </x:c>
      <x:c r="M134" s="9" t="n">
        <x:f>ROUND(H134*(1-I134),2)</x:f>
        <x:v>4732000</x:v>
      </x:c>
      <x:c r="N134" s="4" t="str">
        <x:v>Sales head</x:v>
      </x:c>
      <x:c r="O134" s="4"/>
      <x:c r="P134" s="9" t="n">
        <x:v>0</x:v>
      </x:c>
      <x:c r="Q134" s="11" t="n">
        <x:v>0</x:v>
      </x:c>
      <x:c r="R134" s="8" t="n">
        <x:v>45372</x:v>
      </x:c>
      <x:c r="S134" s="4" t="str">
        <x:v>Retained</x:v>
      </x:c>
      <x:c r="T134" s="10" t="n">
        <x:v>0.226277</x:v>
      </x:c>
      <x:c r="U134" s="4" t="str">
        <x:v>Train</x:v>
      </x:c>
    </x:row>
    <x:row r="135" ht="34" customHeight="1">
      <x:c r="A135" s="4" t="str">
        <x:v>RS-00134</x:v>
      </x:c>
      <x:c r="B135" s="8" t="n">
        <x:v>45313</x:v>
      </x:c>
      <x:c r="C135" s="4" t="str">
        <x:v>PRJ-014</x:v>
      </x:c>
      <x:c r="D135" s="4" t="str">
        <x:v>Villa</x:v>
      </x:c>
      <x:c r="E135" s="4" t="str">
        <x:v>Reserved</x:v>
      </x:c>
      <x:c r="F135" s="4" t="str">
        <x:v>CUS-00134</x:v>
      </x:c>
      <x:c r="G135" s="4" t="str">
        <x:v>UNIT-00134</x:v>
      </x:c>
      <x:c r="H135" s="9" t="n">
        <x:v>11700000</x:v>
      </x:c>
      <x:c r="I135" s="10" t="n">
        <x:v>0.12</x:v>
      </x:c>
      <x:c r="J135" s="11" t="n">
        <x:v>2</x:v>
      </x:c>
      <x:c r="K135" s="11" t="n">
        <x:v>8</x:v>
      </x:c>
      <x:c r="L135" s="11" t="n">
        <x:v>1</x:v>
      </x:c>
      <x:c r="M135" s="9" t="n">
        <x:f>ROUND(H135*(1-I135),2)</x:f>
        <x:v>10296000</x:v>
      </x:c>
      <x:c r="N135" s="4" t="str">
        <x:v>Sales head</x:v>
      </x:c>
      <x:c r="O135" s="4"/>
      <x:c r="P135" s="9" t="n">
        <x:v>0</x:v>
      </x:c>
      <x:c r="Q135" s="11" t="n">
        <x:v>0</x:v>
      </x:c>
      <x:c r="R135" s="8" t="n">
        <x:v>45373</x:v>
      </x:c>
      <x:c r="S135" s="4" t="str">
        <x:v>Retained</x:v>
      </x:c>
      <x:c r="T135" s="10" t="n">
        <x:v>0.145833</x:v>
      </x:c>
      <x:c r="U135" s="4" t="str">
        <x:v>Train</x:v>
      </x:c>
    </x:row>
    <x:row r="136" ht="34" customHeight="1">
      <x:c r="A136" s="4" t="str">
        <x:v>RS-00135</x:v>
      </x:c>
      <x:c r="B136" s="8" t="n">
        <x:v>45314</x:v>
      </x:c>
      <x:c r="C136" s="4" t="str">
        <x:v>PRJ-015</x:v>
      </x:c>
      <x:c r="D136" s="4" t="str">
        <x:v>Retail</x:v>
      </x:c>
      <x:c r="E136" s="4" t="str">
        <x:v>Agreement signed</x:v>
      </x:c>
      <x:c r="F136" s="4" t="str">
        <x:v>CUS-00135</x:v>
      </x:c>
      <x:c r="G136" s="4" t="str">
        <x:v>UNIT-00135</x:v>
      </x:c>
      <x:c r="H136" s="9" t="n">
        <x:v>16900000</x:v>
      </x:c>
      <x:c r="I136" s="10" t="n">
        <x:v>0.02</x:v>
      </x:c>
      <x:c r="J136" s="11" t="n">
        <x:v>6</x:v>
      </x:c>
      <x:c r="K136" s="11" t="n">
        <x:v>10</x:v>
      </x:c>
      <x:c r="L136" s="11" t="n">
        <x:v>1</x:v>
      </x:c>
      <x:c r="M136" s="9" t="n">
        <x:f>ROUND(H136*(1-I136),2)</x:f>
        <x:v>16562000</x:v>
      </x:c>
      <x:c r="N136" s="4" t="str">
        <x:v>Sales manager</x:v>
      </x:c>
      <x:c r="O136" s="4" t="str">
        <x:v>BOOK-00135</x:v>
      </x:c>
      <x:c r="P136" s="9" t="n">
        <x:v>4140500</x:v>
      </x:c>
      <x:c r="Q136" s="11" t="n">
        <x:v>0</x:v>
      </x:c>
      <x:c r="R136" s="8" t="n">
        <x:v>45374</x:v>
      </x:c>
      <x:c r="S136" s="4" t="str">
        <x:v>Retained</x:v>
      </x:c>
      <x:c r="T136" s="10" t="n">
        <x:v>0.145299</x:v>
      </x:c>
      <x:c r="U136" s="4" t="str">
        <x:v>Train</x:v>
      </x:c>
    </x:row>
    <x:row r="137" ht="34" customHeight="1">
      <x:c r="A137" s="4" t="str">
        <x:v>RS-00136</x:v>
      </x:c>
      <x:c r="B137" s="8" t="n">
        <x:v>45315</x:v>
      </x:c>
      <x:c r="C137" s="4" t="str">
        <x:v>PRJ-016</x:v>
      </x:c>
      <x:c r="D137" s="4" t="str">
        <x:v>Office</x:v>
      </x:c>
      <x:c r="E137" s="4" t="str">
        <x:v>Booked</x:v>
      </x:c>
      <x:c r="F137" s="4" t="str">
        <x:v>CUS-00136</x:v>
      </x:c>
      <x:c r="G137" s="4" t="str">
        <x:v>UNIT-00136</x:v>
      </x:c>
      <x:c r="H137" s="9" t="n">
        <x:v>13200000</x:v>
      </x:c>
      <x:c r="I137" s="10" t="n">
        <x:v>0.12</x:v>
      </x:c>
      <x:c r="J137" s="11" t="n">
        <x:v>10</x:v>
      </x:c>
      <x:c r="K137" s="11" t="n">
        <x:v>7</x:v>
      </x:c>
      <x:c r="L137" s="11" t="n">
        <x:v>1</x:v>
      </x:c>
      <x:c r="M137" s="9" t="n">
        <x:f>ROUND(H137*(1-I137),2)</x:f>
        <x:v>11616000</x:v>
      </x:c>
      <x:c r="N137" s="4" t="str">
        <x:v>Sales head</x:v>
      </x:c>
      <x:c r="O137" s="4" t="str">
        <x:v>BOOK-00136</x:v>
      </x:c>
      <x:c r="P137" s="9" t="n">
        <x:v>11616000</x:v>
      </x:c>
      <x:c r="Q137" s="11" t="n">
        <x:v>0</x:v>
      </x:c>
      <x:c r="R137" s="8" t="n">
        <x:v>45375</x:v>
      </x:c>
      <x:c r="S137" s="4" t="str">
        <x:v>Retained</x:v>
      </x:c>
      <x:c r="T137" s="10" t="n">
        <x:v>0.310195</x:v>
      </x:c>
      <x:c r="U137" s="4" t="str">
        <x:v>Train</x:v>
      </x:c>
    </x:row>
    <x:row r="138" ht="34" customHeight="1">
      <x:c r="A138" s="4" t="str">
        <x:v>RS-00137</x:v>
      </x:c>
      <x:c r="B138" s="8" t="n">
        <x:v>45316</x:v>
      </x:c>
      <x:c r="C138" s="4" t="str">
        <x:v>PRJ-017</x:v>
      </x:c>
      <x:c r="D138" s="4" t="str">
        <x:v>Retail</x:v>
      </x:c>
      <x:c r="E138" s="4" t="str">
        <x:v>Agreement signed</x:v>
      </x:c>
      <x:c r="F138" s="4" t="str">
        <x:v>CUS-00137</x:v>
      </x:c>
      <x:c r="G138" s="4" t="str">
        <x:v>UNIT-00137</x:v>
      </x:c>
      <x:c r="H138" s="9" t="n">
        <x:v>15900000</x:v>
      </x:c>
      <x:c r="I138" s="10" t="n">
        <x:v>0.01</x:v>
      </x:c>
      <x:c r="J138" s="11" t="n">
        <x:v>1</x:v>
      </x:c>
      <x:c r="K138" s="11" t="n">
        <x:v>10</x:v>
      </x:c>
      <x:c r="L138" s="11" t="n">
        <x:v>1</x:v>
      </x:c>
      <x:c r="M138" s="9" t="n">
        <x:f>ROUND(H138*(1-I138),2)</x:f>
        <x:v>15741000</x:v>
      </x:c>
      <x:c r="N138" s="4" t="str">
        <x:v>Sales manager</x:v>
      </x:c>
      <x:c r="O138" s="4" t="str">
        <x:v>BOOK-00137</x:v>
      </x:c>
      <x:c r="P138" s="9" t="n">
        <x:v>1574100</x:v>
      </x:c>
      <x:c r="Q138" s="11" t="n">
        <x:v>0</x:v>
      </x:c>
      <x:c r="R138" s="8" t="n">
        <x:v>45376</x:v>
      </x:c>
      <x:c r="S138" s="4" t="str">
        <x:v>Retained</x:v>
      </x:c>
      <x:c r="T138" s="10" t="n">
        <x:v>0.072165</x:v>
      </x:c>
      <x:c r="U138" s="4" t="str">
        <x:v>Train</x:v>
      </x:c>
    </x:row>
    <x:row r="139" ht="34" customHeight="1">
      <x:c r="A139" s="4" t="str">
        <x:v>RS-00138</x:v>
      </x:c>
      <x:c r="B139" s="8" t="n">
        <x:v>45317</x:v>
      </x:c>
      <x:c r="C139" s="4" t="str">
        <x:v>PRJ-018</x:v>
      </x:c>
      <x:c r="D139" s="4" t="str">
        <x:v>Retail</x:v>
      </x:c>
      <x:c r="E139" s="4" t="str">
        <x:v>Handed over</x:v>
      </x:c>
      <x:c r="F139" s="4" t="str">
        <x:v>CUS-00138</x:v>
      </x:c>
      <x:c r="G139" s="4" t="str">
        <x:v>UNIT-00138</x:v>
      </x:c>
      <x:c r="H139" s="9" t="n">
        <x:v>23100000</x:v>
      </x:c>
      <x:c r="I139" s="10" t="n">
        <x:v>0.11</x:v>
      </x:c>
      <x:c r="J139" s="11" t="n">
        <x:v>2</x:v>
      </x:c>
      <x:c r="K139" s="11" t="n">
        <x:v>9</x:v>
      </x:c>
      <x:c r="L139" s="11" t="n">
        <x:v>1</x:v>
      </x:c>
      <x:c r="M139" s="9" t="n">
        <x:f>ROUND(H139*(1-I139),2)</x:f>
        <x:v>20559000</x:v>
      </x:c>
      <x:c r="N139" s="4" t="str">
        <x:v>Sales head</x:v>
      </x:c>
      <x:c r="O139" s="4" t="str">
        <x:v>BOOK-00138</x:v>
      </x:c>
      <x:c r="P139" s="9" t="n">
        <x:v>10279500</x:v>
      </x:c>
      <x:c r="Q139" s="11" t="n">
        <x:v>0</x:v>
      </x:c>
      <x:c r="R139" s="8" t="n">
        <x:v>45377</x:v>
      </x:c>
      <x:c r="S139" s="4" t="str">
        <x:v>Retained</x:v>
      </x:c>
      <x:c r="T139" s="10" t="n">
        <x:v>0.145833</x:v>
      </x:c>
      <x:c r="U139" s="4" t="str">
        <x:v>Train</x:v>
      </x:c>
    </x:row>
    <x:row r="140" ht="34" customHeight="1">
      <x:c r="A140" s="4" t="str">
        <x:v>RS-00139</x:v>
      </x:c>
      <x:c r="B140" s="8" t="n">
        <x:v>45318</x:v>
      </x:c>
      <x:c r="C140" s="4" t="str">
        <x:v>PRJ-019</x:v>
      </x:c>
      <x:c r="D140" s="4" t="str">
        <x:v>Office</x:v>
      </x:c>
      <x:c r="E140" s="4" t="str">
        <x:v>Booked</x:v>
      </x:c>
      <x:c r="F140" s="4" t="str">
        <x:v>CUS-00139</x:v>
      </x:c>
      <x:c r="G140" s="4" t="str">
        <x:v>UNIT-00139</x:v>
      </x:c>
      <x:c r="H140" s="9" t="n">
        <x:v>23600000</x:v>
      </x:c>
      <x:c r="I140" s="10" t="n">
        <x:v>0.05</x:v>
      </x:c>
      <x:c r="J140" s="11" t="n">
        <x:v>5</x:v>
      </x:c>
      <x:c r="K140" s="11" t="n">
        <x:v>10</x:v>
      </x:c>
      <x:c r="L140" s="11" t="n">
        <x:v>0</x:v>
      </x:c>
      <x:c r="M140" s="9" t="n">
        <x:f>ROUND(H140*(1-I140),2)</x:f>
        <x:v>22420000</x:v>
      </x:c>
      <x:c r="N140" s="4" t="str">
        <x:v>Sales manager</x:v>
      </x:c>
      <x:c r="O140" s="4" t="str">
        <x:v>BOOK-00139</x:v>
      </x:c>
      <x:c r="P140" s="9" t="n">
        <x:v>11210000</x:v>
      </x:c>
      <x:c r="Q140" s="11" t="n">
        <x:v>0</x:v>
      </x:c>
      <x:c r="R140" s="8" t="n">
        <x:v>45378</x:v>
      </x:c>
      <x:c r="S140" s="4" t="str">
        <x:v>Retained</x:v>
      </x:c>
      <x:c r="T140" s="10" t="n">
        <x:v>0.226277</x:v>
      </x:c>
      <x:c r="U140" s="4" t="str">
        <x:v>Train</x:v>
      </x:c>
    </x:row>
    <x:row r="141" ht="34" customHeight="1">
      <x:c r="A141" s="4" t="str">
        <x:v>RS-00140</x:v>
      </x:c>
      <x:c r="B141" s="8" t="n">
        <x:v>45319</x:v>
      </x:c>
      <x:c r="C141" s="4" t="str">
        <x:v>PRJ-020</x:v>
      </x:c>
      <x:c r="D141" s="4" t="str">
        <x:v>Retail</x:v>
      </x:c>
      <x:c r="E141" s="4" t="str">
        <x:v>Booked</x:v>
      </x:c>
      <x:c r="F141" s="4" t="str">
        <x:v>CUS-00140</x:v>
      </x:c>
      <x:c r="G141" s="4" t="str">
        <x:v>UNIT-00140</x:v>
      </x:c>
      <x:c r="H141" s="9" t="n">
        <x:v>9600000</x:v>
      </x:c>
      <x:c r="I141" s="10" t="n">
        <x:v>0.02</x:v>
      </x:c>
      <x:c r="J141" s="11" t="n">
        <x:v>2</x:v>
      </x:c>
      <x:c r="K141" s="11" t="n">
        <x:v>0</x:v>
      </x:c>
      <x:c r="L141" s="11" t="n">
        <x:v>1</x:v>
      </x:c>
      <x:c r="M141" s="9" t="n">
        <x:f>ROUND(H141*(1-I141),2)</x:f>
        <x:v>9408000</x:v>
      </x:c>
      <x:c r="N141" s="4" t="str">
        <x:v>Sales manager</x:v>
      </x:c>
      <x:c r="O141" s="4" t="str">
        <x:v>BOOK-00140</x:v>
      </x:c>
      <x:c r="P141" s="9" t="n">
        <x:v>4704000</x:v>
      </x:c>
      <x:c r="Q141" s="11" t="n">
        <x:v>0</x:v>
      </x:c>
      <x:c r="R141" s="8" t="n">
        <x:v>45379</x:v>
      </x:c>
      <x:c r="S141" s="4" t="str">
        <x:v>Retained</x:v>
      </x:c>
      <x:c r="T141" s="10" t="n">
        <x:v>0.276923</x:v>
      </x:c>
      <x:c r="U141" s="4" t="str">
        <x:v>Train</x:v>
      </x:c>
    </x:row>
    <x:row r="142" ht="34" customHeight="1">
      <x:c r="A142" s="4" t="str">
        <x:v>RS-00141</x:v>
      </x:c>
      <x:c r="B142" s="8" t="n">
        <x:v>45292</x:v>
      </x:c>
      <x:c r="C142" s="4" t="str">
        <x:v>PRJ-001</x:v>
      </x:c>
      <x:c r="D142" s="4" t="str">
        <x:v>Retail</x:v>
      </x:c>
      <x:c r="E142" s="4" t="str">
        <x:v>Handed over</x:v>
      </x:c>
      <x:c r="F142" s="4" t="str">
        <x:v>CUS-00141</x:v>
      </x:c>
      <x:c r="G142" s="4" t="str">
        <x:v>UNIT-00141</x:v>
      </x:c>
      <x:c r="H142" s="9" t="n">
        <x:v>11200000</x:v>
      </x:c>
      <x:c r="I142" s="10" t="n">
        <x:v>0.09</x:v>
      </x:c>
      <x:c r="J142" s="11" t="n">
        <x:v>12</x:v>
      </x:c>
      <x:c r="K142" s="11" t="n">
        <x:v>6</x:v>
      </x:c>
      <x:c r="L142" s="11" t="n">
        <x:v>1</x:v>
      </x:c>
      <x:c r="M142" s="9" t="n">
        <x:f>ROUND(H142*(1-I142),2)</x:f>
        <x:v>10192000</x:v>
      </x:c>
      <x:c r="N142" s="4" t="str">
        <x:v>Sales head</x:v>
      </x:c>
      <x:c r="O142" s="4" t="str">
        <x:v>BOOK-00141</x:v>
      </x:c>
      <x:c r="P142" s="9" t="n">
        <x:v>5096000</x:v>
      </x:c>
      <x:c r="Q142" s="11" t="n">
        <x:v>0</x:v>
      </x:c>
      <x:c r="R142" s="8" t="n">
        <x:v>45352</x:v>
      </x:c>
      <x:c r="S142" s="4" t="str">
        <x:v>Retained</x:v>
      </x:c>
      <x:c r="T142" s="10" t="n">
        <x:v>0.351536</x:v>
      </x:c>
      <x:c r="U142" s="4" t="str">
        <x:v>Train</x:v>
      </x:c>
    </x:row>
    <x:row r="143" ht="34" customHeight="1">
      <x:c r="A143" s="4" t="str">
        <x:v>RS-00142</x:v>
      </x:c>
      <x:c r="B143" s="8" t="n">
        <x:v>45293</x:v>
      </x:c>
      <x:c r="C143" s="4" t="str">
        <x:v>PRJ-002</x:v>
      </x:c>
      <x:c r="D143" s="4" t="str">
        <x:v>Apartment</x:v>
      </x:c>
      <x:c r="E143" s="4" t="str">
        <x:v>Reserved</x:v>
      </x:c>
      <x:c r="F143" s="4" t="str">
        <x:v>CUS-00142</x:v>
      </x:c>
      <x:c r="G143" s="4" t="str">
        <x:v>UNIT-00142</x:v>
      </x:c>
      <x:c r="H143" s="9" t="n">
        <x:v>16600000</x:v>
      </x:c>
      <x:c r="I143" s="10" t="n">
        <x:v>0.09</x:v>
      </x:c>
      <x:c r="J143" s="11" t="n">
        <x:v>6</x:v>
      </x:c>
      <x:c r="K143" s="11" t="n">
        <x:v>7</x:v>
      </x:c>
      <x:c r="L143" s="11" t="n">
        <x:v>1</x:v>
      </x:c>
      <x:c r="M143" s="9" t="n">
        <x:f>ROUND(H143*(1-I143),2)</x:f>
        <x:v>15106000</x:v>
      </x:c>
      <x:c r="N143" s="4" t="str">
        <x:v>Sales head</x:v>
      </x:c>
      <x:c r="O143" s="4"/>
      <x:c r="P143" s="9" t="n">
        <x:v>0</x:v>
      </x:c>
      <x:c r="Q143" s="11" t="n">
        <x:v>0</x:v>
      </x:c>
      <x:c r="R143" s="8" t="n">
        <x:v>45353</x:v>
      </x:c>
      <x:c r="S143" s="4" t="str">
        <x:v>Retained</x:v>
      </x:c>
      <x:c r="T143" s="10" t="n">
        <x:v>0.291946</x:v>
      </x:c>
      <x:c r="U143" s="4" t="str">
        <x:v>Train</x:v>
      </x:c>
    </x:row>
    <x:row r="144" ht="34" customHeight="1">
      <x:c r="A144" s="4" t="str">
        <x:v>RS-00143</x:v>
      </x:c>
      <x:c r="B144" s="8" t="n">
        <x:v>45294</x:v>
      </x:c>
      <x:c r="C144" s="4" t="str">
        <x:v>PRJ-003</x:v>
      </x:c>
      <x:c r="D144" s="4" t="str">
        <x:v>Retail</x:v>
      </x:c>
      <x:c r="E144" s="4" t="str">
        <x:v>Enquiry</x:v>
      </x:c>
      <x:c r="F144" s="4" t="str">
        <x:v>CUS-00143</x:v>
      </x:c>
      <x:c r="G144" s="4" t="str">
        <x:v>UNIT-00143</x:v>
      </x:c>
      <x:c r="H144" s="9" t="n">
        <x:v>9100000</x:v>
      </x:c>
      <x:c r="I144" s="10" t="n">
        <x:v>0.01</x:v>
      </x:c>
      <x:c r="J144" s="11" t="n">
        <x:v>6</x:v>
      </x:c>
      <x:c r="K144" s="11" t="n">
        <x:v>4</x:v>
      </x:c>
      <x:c r="L144" s="11" t="n">
        <x:v>1</x:v>
      </x:c>
      <x:c r="M144" s="9" t="n">
        <x:f>ROUND(H144*(1-I144),2)</x:f>
        <x:v>9009000</x:v>
      </x:c>
      <x:c r="N144" s="4" t="str">
        <x:v>Sales manager</x:v>
      </x:c>
      <x:c r="O144" s="4"/>
      <x:c r="P144" s="9" t="n">
        <x:v>0</x:v>
      </x:c>
      <x:c r="Q144" s="11" t="n">
        <x:v>0</x:v>
      </x:c>
      <x:c r="R144" s="8" t="n">
        <x:v>45354</x:v>
      </x:c>
      <x:c r="S144" s="4" t="str">
        <x:v>Retained</x:v>
      </x:c>
      <x:c r="T144" s="10" t="n">
        <x:v>0.298969</x:v>
      </x:c>
      <x:c r="U144" s="4" t="str">
        <x:v>Train</x:v>
      </x:c>
    </x:row>
    <x:row r="145" ht="34" customHeight="1">
      <x:c r="A145" s="4" t="str">
        <x:v>RS-00144</x:v>
      </x:c>
      <x:c r="B145" s="8" t="n">
        <x:v>45295</x:v>
      </x:c>
      <x:c r="C145" s="4" t="str">
        <x:v>PRJ-004</x:v>
      </x:c>
      <x:c r="D145" s="4" t="str">
        <x:v>Apartment</x:v>
      </x:c>
      <x:c r="E145" s="4" t="str">
        <x:v>Enquiry</x:v>
      </x:c>
      <x:c r="F145" s="4" t="str">
        <x:v>CUS-00144</x:v>
      </x:c>
      <x:c r="G145" s="4" t="str">
        <x:v>UNIT-00144</x:v>
      </x:c>
      <x:c r="H145" s="9" t="n">
        <x:v>4900000</x:v>
      </x:c>
      <x:c r="I145" s="10" t="n">
        <x:v>0.08</x:v>
      </x:c>
      <x:c r="J145" s="11" t="n">
        <x:v>3</x:v>
      </x:c>
      <x:c r="K145" s="11" t="n">
        <x:v>5</x:v>
      </x:c>
      <x:c r="L145" s="11" t="n">
        <x:v>1</x:v>
      </x:c>
      <x:c r="M145" s="9" t="n">
        <x:f>ROUND(H145*(1-I145),2)</x:f>
        <x:v>4508000</x:v>
      </x:c>
      <x:c r="N145" s="4" t="str">
        <x:v>Sales head</x:v>
      </x:c>
      <x:c r="O145" s="4"/>
      <x:c r="P145" s="9" t="n">
        <x:v>0</x:v>
      </x:c>
      <x:c r="Q145" s="11" t="n">
        <x:v>1</x:v>
      </x:c>
      <x:c r="R145" s="8" t="n">
        <x:v>45355</x:v>
      </x:c>
      <x:c r="S145" s="4" t="str">
        <x:v>Lost / cancelled</x:v>
      </x:c>
      <x:c r="T145" s="10" t="n">
        <x:v>0.204152</x:v>
      </x:c>
      <x:c r="U145" s="4" t="str">
        <x:v>Train</x:v>
      </x:c>
    </x:row>
    <x:row r="146" ht="34" customHeight="1">
      <x:c r="A146" s="4" t="str">
        <x:v>RS-00145</x:v>
      </x:c>
      <x:c r="B146" s="8" t="n">
        <x:v>45296</x:v>
      </x:c>
      <x:c r="C146" s="4" t="str">
        <x:v>PRJ-005</x:v>
      </x:c>
      <x:c r="D146" s="4" t="str">
        <x:v>Retail</x:v>
      </x:c>
      <x:c r="E146" s="4" t="str">
        <x:v>Cancelled</x:v>
      </x:c>
      <x:c r="F146" s="4" t="str">
        <x:v>CUS-00145</x:v>
      </x:c>
      <x:c r="G146" s="4" t="str">
        <x:v>UNIT-00145</x:v>
      </x:c>
      <x:c r="H146" s="9" t="n">
        <x:v>24900000</x:v>
      </x:c>
      <x:c r="I146" s="10" t="n">
        <x:v>0.09</x:v>
      </x:c>
      <x:c r="J146" s="11" t="n">
        <x:v>7</x:v>
      </x:c>
      <x:c r="K146" s="11" t="n">
        <x:v>4</x:v>
      </x:c>
      <x:c r="L146" s="11" t="n">
        <x:v>0</x:v>
      </x:c>
      <x:c r="M146" s="9" t="n">
        <x:f>ROUND(H146*(1-I146),2)</x:f>
        <x:v>22659000</x:v>
      </x:c>
      <x:c r="N146" s="4" t="str">
        <x:v>Sales head</x:v>
      </x:c>
      <x:c r="O146" s="4"/>
      <x:c r="P146" s="9" t="n">
        <x:v>0</x:v>
      </x:c>
      <x:c r="Q146" s="11" t="n">
        <x:v>1</x:v>
      </x:c>
      <x:c r="R146" s="8" t="n">
        <x:v>45356</x:v>
      </x:c>
      <x:c r="S146" s="4" t="str">
        <x:v>Lost / cancelled</x:v>
      </x:c>
      <x:c r="T146" s="10" t="n">
        <x:v>0.226277</x:v>
      </x:c>
      <x:c r="U146" s="4" t="str">
        <x:v>Train</x:v>
      </x:c>
    </x:row>
    <x:row r="147" ht="34" customHeight="1">
      <x:c r="A147" s="4" t="str">
        <x:v>RS-00146</x:v>
      </x:c>
      <x:c r="B147" s="8" t="n">
        <x:v>45297</x:v>
      </x:c>
      <x:c r="C147" s="4" t="str">
        <x:v>PRJ-006</x:v>
      </x:c>
      <x:c r="D147" s="4" t="str">
        <x:v>Villa</x:v>
      </x:c>
      <x:c r="E147" s="4" t="str">
        <x:v>Cancelled</x:v>
      </x:c>
      <x:c r="F147" s="4" t="str">
        <x:v>CUS-00146</x:v>
      </x:c>
      <x:c r="G147" s="4" t="str">
        <x:v>UNIT-00146</x:v>
      </x:c>
      <x:c r="H147" s="9" t="n">
        <x:v>9800000</x:v>
      </x:c>
      <x:c r="I147" s="10" t="n">
        <x:v>0.09</x:v>
      </x:c>
      <x:c r="J147" s="11" t="n">
        <x:v>2</x:v>
      </x:c>
      <x:c r="K147" s="11" t="n">
        <x:v>2</x:v>
      </x:c>
      <x:c r="L147" s="11" t="n">
        <x:v>1</x:v>
      </x:c>
      <x:c r="M147" s="9" t="n">
        <x:f>ROUND(H147*(1-I147),2)</x:f>
        <x:v>8918000</x:v>
      </x:c>
      <x:c r="N147" s="4" t="str">
        <x:v>Sales head</x:v>
      </x:c>
      <x:c r="O147" s="4"/>
      <x:c r="P147" s="9" t="n">
        <x:v>0</x:v>
      </x:c>
      <x:c r="Q147" s="11" t="n">
        <x:v>1</x:v>
      </x:c>
      <x:c r="R147" s="8" t="n">
        <x:v>45357</x:v>
      </x:c>
      <x:c r="S147" s="4" t="str">
        <x:v>Lost / cancelled</x:v>
      </x:c>
      <x:c r="T147" s="10" t="n">
        <x:v>0.145833</x:v>
      </x:c>
      <x:c r="U147" s="4" t="str">
        <x:v>Train</x:v>
      </x:c>
    </x:row>
    <x:row r="148" ht="34" customHeight="1">
      <x:c r="A148" s="4" t="str">
        <x:v>RS-00147</x:v>
      </x:c>
      <x:c r="B148" s="8" t="n">
        <x:v>45298</x:v>
      </x:c>
      <x:c r="C148" s="4" t="str">
        <x:v>PRJ-007</x:v>
      </x:c>
      <x:c r="D148" s="4" t="str">
        <x:v>Villa</x:v>
      </x:c>
      <x:c r="E148" s="4" t="str">
        <x:v>Cancelled</x:v>
      </x:c>
      <x:c r="F148" s="4" t="str">
        <x:v>CUS-00147</x:v>
      </x:c>
      <x:c r="G148" s="4" t="str">
        <x:v>UNIT-00147</x:v>
      </x:c>
      <x:c r="H148" s="9" t="n">
        <x:v>15900000</x:v>
      </x:c>
      <x:c r="I148" s="10" t="n">
        <x:v>0.04</x:v>
      </x:c>
      <x:c r="J148" s="11" t="n">
        <x:v>8</x:v>
      </x:c>
      <x:c r="K148" s="11" t="n">
        <x:v>9</x:v>
      </x:c>
      <x:c r="L148" s="11" t="n">
        <x:v>1</x:v>
      </x:c>
      <x:c r="M148" s="9" t="n">
        <x:f>ROUND(H148*(1-I148),2)</x:f>
        <x:v>15264000</x:v>
      </x:c>
      <x:c r="N148" s="4" t="str">
        <x:v>Sales manager</x:v>
      </x:c>
      <x:c r="O148" s="4"/>
      <x:c r="P148" s="9" t="n">
        <x:v>0</x:v>
      </x:c>
      <x:c r="Q148" s="11" t="n">
        <x:v>1</x:v>
      </x:c>
      <x:c r="R148" s="8" t="n">
        <x:v>45358</x:v>
      </x:c>
      <x:c r="S148" s="4" t="str">
        <x:v>Lost / cancelled</x:v>
      </x:c>
      <x:c r="T148" s="10" t="n">
        <x:v>0.310195</x:v>
      </x:c>
      <x:c r="U148" s="4" t="str">
        <x:v>Train</x:v>
      </x:c>
    </x:row>
    <x:row r="149" ht="34" customHeight="1">
      <x:c r="A149" s="4" t="str">
        <x:v>RS-00148</x:v>
      </x:c>
      <x:c r="B149" s="8" t="n">
        <x:v>45299</x:v>
      </x:c>
      <x:c r="C149" s="4" t="str">
        <x:v>PRJ-008</x:v>
      </x:c>
      <x:c r="D149" s="4" t="str">
        <x:v>Retail</x:v>
      </x:c>
      <x:c r="E149" s="4" t="str">
        <x:v>Cancelled</x:v>
      </x:c>
      <x:c r="F149" s="4" t="str">
        <x:v>CUS-00148</x:v>
      </x:c>
      <x:c r="G149" s="4" t="str">
        <x:v>UNIT-00148</x:v>
      </x:c>
      <x:c r="H149" s="9" t="n">
        <x:v>13700000</x:v>
      </x:c>
      <x:c r="I149" s="10" t="n">
        <x:v>0.11</x:v>
      </x:c>
      <x:c r="J149" s="11" t="n">
        <x:v>8</x:v>
      </x:c>
      <x:c r="K149" s="11" t="n">
        <x:v>4</x:v>
      </x:c>
      <x:c r="L149" s="11" t="n">
        <x:v>1</x:v>
      </x:c>
      <x:c r="M149" s="9" t="n">
        <x:f>ROUND(H149*(1-I149),2)</x:f>
        <x:v>12193000</x:v>
      </x:c>
      <x:c r="N149" s="4" t="str">
        <x:v>Sales head</x:v>
      </x:c>
      <x:c r="O149" s="4"/>
      <x:c r="P149" s="9" t="n">
        <x:v>0</x:v>
      </x:c>
      <x:c r="Q149" s="11" t="n">
        <x:v>1</x:v>
      </x:c>
      <x:c r="R149" s="8" t="n">
        <x:v>45359</x:v>
      </x:c>
      <x:c r="S149" s="4" t="str">
        <x:v>Lost / cancelled</x:v>
      </x:c>
      <x:c r="T149" s="10" t="n">
        <x:v>0.310195</x:v>
      </x:c>
      <x:c r="U149" s="4" t="str">
        <x:v>Train</x:v>
      </x:c>
    </x:row>
    <x:row r="150" ht="34" customHeight="1">
      <x:c r="A150" s="4" t="str">
        <x:v>RS-00149</x:v>
      </x:c>
      <x:c r="B150" s="8" t="n">
        <x:v>45300</x:v>
      </x:c>
      <x:c r="C150" s="4" t="str">
        <x:v>PRJ-009</x:v>
      </x:c>
      <x:c r="D150" s="4" t="str">
        <x:v>Apartment</x:v>
      </x:c>
      <x:c r="E150" s="4" t="str">
        <x:v>Booked</x:v>
      </x:c>
      <x:c r="F150" s="4" t="str">
        <x:v>CUS-00149</x:v>
      </x:c>
      <x:c r="G150" s="4" t="str">
        <x:v>UNIT-00149</x:v>
      </x:c>
      <x:c r="H150" s="9" t="n">
        <x:v>24200000</x:v>
      </x:c>
      <x:c r="I150" s="10" t="n">
        <x:v>0.01</x:v>
      </x:c>
      <x:c r="J150" s="11" t="n">
        <x:v>4</x:v>
      </x:c>
      <x:c r="K150" s="11" t="n">
        <x:v>8</x:v>
      </x:c>
      <x:c r="L150" s="11" t="n">
        <x:v>0</x:v>
      </x:c>
      <x:c r="M150" s="9" t="n">
        <x:f>ROUND(H150*(1-I150),2)</x:f>
        <x:v>23958000</x:v>
      </x:c>
      <x:c r="N150" s="4" t="str">
        <x:v>Sales manager</x:v>
      </x:c>
      <x:c r="O150" s="4" t="str">
        <x:v>BOOK-00149</x:v>
      </x:c>
      <x:c r="P150" s="9" t="n">
        <x:v>23958000</x:v>
      </x:c>
      <x:c r="Q150" s="11" t="n">
        <x:v>0</x:v>
      </x:c>
      <x:c r="R150" s="8" t="n">
        <x:v>45360</x:v>
      </x:c>
      <x:c r="S150" s="4" t="str">
        <x:v>Retained</x:v>
      </x:c>
      <x:c r="T150" s="10" t="n">
        <x:v>0.145299</x:v>
      </x:c>
      <x:c r="U150" s="4" t="str">
        <x:v>Train</x:v>
      </x:c>
    </x:row>
    <x:row r="151" ht="34" customHeight="1">
      <x:c r="A151" s="4" t="str">
        <x:v>RS-00150</x:v>
      </x:c>
      <x:c r="B151" s="8" t="n">
        <x:v>45301</x:v>
      </x:c>
      <x:c r="C151" s="4" t="str">
        <x:v>PRJ-010</x:v>
      </x:c>
      <x:c r="D151" s="4" t="str">
        <x:v>Office</x:v>
      </x:c>
      <x:c r="E151" s="4" t="str">
        <x:v>Handed over</x:v>
      </x:c>
      <x:c r="F151" s="4" t="str">
        <x:v>CUS-00150</x:v>
      </x:c>
      <x:c r="G151" s="4" t="str">
        <x:v>UNIT-00150</x:v>
      </x:c>
      <x:c r="H151" s="9" t="n">
        <x:v>13700000</x:v>
      </x:c>
      <x:c r="I151" s="10" t="n">
        <x:v>0.09</x:v>
      </x:c>
      <x:c r="J151" s="11" t="n">
        <x:v>7</x:v>
      </x:c>
      <x:c r="K151" s="11" t="n">
        <x:v>3</x:v>
      </x:c>
      <x:c r="L151" s="11" t="n">
        <x:v>0</x:v>
      </x:c>
      <x:c r="M151" s="9" t="n">
        <x:f>ROUND(H151*(1-I151),2)</x:f>
        <x:v>12467000</x:v>
      </x:c>
      <x:c r="N151" s="4" t="str">
        <x:v>Sales head</x:v>
      </x:c>
      <x:c r="O151" s="4" t="str">
        <x:v>BOOK-00150</x:v>
      </x:c>
      <x:c r="P151" s="9" t="n">
        <x:v>6233500</x:v>
      </x:c>
      <x:c r="Q151" s="11" t="n">
        <x:v>0</x:v>
      </x:c>
      <x:c r="R151" s="8" t="n">
        <x:v>45361</x:v>
      </x:c>
      <x:c r="S151" s="4" t="str">
        <x:v>Retained</x:v>
      </x:c>
      <x:c r="T151" s="10" t="n">
        <x:v>0.226277</x:v>
      </x:c>
      <x:c r="U151" s="4" t="str">
        <x:v>Train</x:v>
      </x:c>
    </x:row>
    <x:row r="152" ht="34" customHeight="1">
      <x:c r="A152" s="4" t="str">
        <x:v>RS-00151</x:v>
      </x:c>
      <x:c r="B152" s="8" t="n">
        <x:v>45302</x:v>
      </x:c>
      <x:c r="C152" s="4" t="str">
        <x:v>PRJ-011</x:v>
      </x:c>
      <x:c r="D152" s="4" t="str">
        <x:v>Apartment</x:v>
      </x:c>
      <x:c r="E152" s="4" t="str">
        <x:v>Booked</x:v>
      </x:c>
      <x:c r="F152" s="4" t="str">
        <x:v>CUS-00151</x:v>
      </x:c>
      <x:c r="G152" s="4" t="str">
        <x:v>UNIT-00151</x:v>
      </x:c>
      <x:c r="H152" s="9" t="n">
        <x:v>10500000</x:v>
      </x:c>
      <x:c r="I152" s="10" t="n">
        <x:v>0.02</x:v>
      </x:c>
      <x:c r="J152" s="11" t="n">
        <x:v>11</x:v>
      </x:c>
      <x:c r="K152" s="11" t="n">
        <x:v>2</x:v>
      </x:c>
      <x:c r="L152" s="11" t="n">
        <x:v>0</x:v>
      </x:c>
      <x:c r="M152" s="9" t="n">
        <x:f>ROUND(H152*(1-I152),2)</x:f>
        <x:v>10290000</x:v>
      </x:c>
      <x:c r="N152" s="4" t="str">
        <x:v>Sales manager</x:v>
      </x:c>
      <x:c r="O152" s="4" t="str">
        <x:v>BOOK-00151</x:v>
      </x:c>
      <x:c r="P152" s="9" t="n">
        <x:v>2572500</x:v>
      </x:c>
      <x:c r="Q152" s="11" t="n">
        <x:v>0</x:v>
      </x:c>
      <x:c r="R152" s="8" t="n">
        <x:v>45362</x:v>
      </x:c>
      <x:c r="S152" s="4" t="str">
        <x:v>Retained</x:v>
      </x:c>
      <x:c r="T152" s="10" t="n">
        <x:v>0.305556</x:v>
      </x:c>
      <x:c r="U152" s="4" t="str">
        <x:v>Train</x:v>
      </x:c>
    </x:row>
    <x:row r="153" ht="34" customHeight="1">
      <x:c r="A153" s="4" t="str">
        <x:v>RS-00152</x:v>
      </x:c>
      <x:c r="B153" s="8" t="n">
        <x:v>45303</x:v>
      </x:c>
      <x:c r="C153" s="4" t="str">
        <x:v>PRJ-012</x:v>
      </x:c>
      <x:c r="D153" s="4" t="str">
        <x:v>Office</x:v>
      </x:c>
      <x:c r="E153" s="4" t="str">
        <x:v>Enquiry</x:v>
      </x:c>
      <x:c r="F153" s="4" t="str">
        <x:v>CUS-00152</x:v>
      </x:c>
      <x:c r="G153" s="4" t="str">
        <x:v>UNIT-00152</x:v>
      </x:c>
      <x:c r="H153" s="9" t="n">
        <x:v>22800000</x:v>
      </x:c>
      <x:c r="I153" s="10" t="n">
        <x:v>0.01</x:v>
      </x:c>
      <x:c r="J153" s="11" t="n">
        <x:v>2</x:v>
      </x:c>
      <x:c r="K153" s="11" t="n">
        <x:v>8</x:v>
      </x:c>
      <x:c r="L153" s="11" t="n">
        <x:v>0</x:v>
      </x:c>
      <x:c r="M153" s="9" t="n">
        <x:f>ROUND(H153*(1-I153),2)</x:f>
        <x:v>22572000</x:v>
      </x:c>
      <x:c r="N153" s="4" t="str">
        <x:v>Sales manager</x:v>
      </x:c>
      <x:c r="O153" s="4"/>
      <x:c r="P153" s="9" t="n">
        <x:v>0</x:v>
      </x:c>
      <x:c r="Q153" s="11" t="n">
        <x:v>0</x:v>
      </x:c>
      <x:c r="R153" s="8" t="n">
        <x:v>45363</x:v>
      </x:c>
      <x:c r="S153" s="4" t="str">
        <x:v>Retained</x:v>
      </x:c>
      <x:c r="T153" s="10" t="n">
        <x:v>0.171717</x:v>
      </x:c>
      <x:c r="U153" s="4" t="str">
        <x:v>Train</x:v>
      </x:c>
    </x:row>
    <x:row r="154" ht="34" customHeight="1">
      <x:c r="A154" s="4" t="str">
        <x:v>RS-00153</x:v>
      </x:c>
      <x:c r="B154" s="8" t="n">
        <x:v>45304</x:v>
      </x:c>
      <x:c r="C154" s="4" t="str">
        <x:v>PRJ-013</x:v>
      </x:c>
      <x:c r="D154" s="4" t="str">
        <x:v>Office</x:v>
      </x:c>
      <x:c r="E154" s="4" t="str">
        <x:v>Reserved</x:v>
      </x:c>
      <x:c r="F154" s="4" t="str">
        <x:v>CUS-00153</x:v>
      </x:c>
      <x:c r="G154" s="4" t="str">
        <x:v>UNIT-00153</x:v>
      </x:c>
      <x:c r="H154" s="9" t="n">
        <x:v>10300000</x:v>
      </x:c>
      <x:c r="I154" s="10" t="n">
        <x:v>0.06</x:v>
      </x:c>
      <x:c r="J154" s="11" t="n">
        <x:v>8</x:v>
      </x:c>
      <x:c r="K154" s="11" t="n">
        <x:v>4</x:v>
      </x:c>
      <x:c r="L154" s="11" t="n">
        <x:v>0</x:v>
      </x:c>
      <x:c r="M154" s="9" t="n">
        <x:f>ROUND(H154*(1-I154),2)</x:f>
        <x:v>9682000</x:v>
      </x:c>
      <x:c r="N154" s="4" t="str">
        <x:v>Sales manager</x:v>
      </x:c>
      <x:c r="O154" s="4"/>
      <x:c r="P154" s="9" t="n">
        <x:v>0</x:v>
      </x:c>
      <x:c r="Q154" s="11" t="n">
        <x:v>0</x:v>
      </x:c>
      <x:c r="R154" s="8" t="n">
        <x:v>45364</x:v>
      </x:c>
      <x:c r="S154" s="4" t="str">
        <x:v>Retained</x:v>
      </x:c>
      <x:c r="T154" s="10" t="n">
        <x:v>0.310195</x:v>
      </x:c>
      <x:c r="U154" s="4" t="str">
        <x:v>Train</x:v>
      </x:c>
    </x:row>
    <x:row r="155" ht="34" customHeight="1">
      <x:c r="A155" s="4" t="str">
        <x:v>RS-00154</x:v>
      </x:c>
      <x:c r="B155" s="8" t="n">
        <x:v>45305</x:v>
      </x:c>
      <x:c r="C155" s="4" t="str">
        <x:v>PRJ-014</x:v>
      </x:c>
      <x:c r="D155" s="4" t="str">
        <x:v>Office</x:v>
      </x:c>
      <x:c r="E155" s="4" t="str">
        <x:v>Enquiry</x:v>
      </x:c>
      <x:c r="F155" s="4" t="str">
        <x:v>CUS-00154</x:v>
      </x:c>
      <x:c r="G155" s="4" t="str">
        <x:v>UNIT-00154</x:v>
      </x:c>
      <x:c r="H155" s="9" t="n">
        <x:v>24800000</x:v>
      </x:c>
      <x:c r="I155" s="10" t="n">
        <x:v>0.09</x:v>
      </x:c>
      <x:c r="J155" s="11" t="n">
        <x:v>9</x:v>
      </x:c>
      <x:c r="K155" s="11" t="n">
        <x:v>4</x:v>
      </x:c>
      <x:c r="L155" s="11" t="n">
        <x:v>1</x:v>
      </x:c>
      <x:c r="M155" s="9" t="n">
        <x:f>ROUND(H155*(1-I155),2)</x:f>
        <x:v>22568000</x:v>
      </x:c>
      <x:c r="N155" s="4" t="str">
        <x:v>Sales head</x:v>
      </x:c>
      <x:c r="O155" s="4"/>
      <x:c r="P155" s="9" t="n">
        <x:v>0</x:v>
      </x:c>
      <x:c r="Q155" s="11" t="n">
        <x:v>0</x:v>
      </x:c>
      <x:c r="R155" s="8" t="n">
        <x:v>45365</x:v>
      </x:c>
      <x:c r="S155" s="4" t="str">
        <x:v>Retained</x:v>
      </x:c>
      <x:c r="T155" s="10" t="n">
        <x:v>0.310195</x:v>
      </x:c>
      <x:c r="U155" s="4" t="str">
        <x:v>Train</x:v>
      </x:c>
    </x:row>
    <x:row r="156" ht="34" customHeight="1">
      <x:c r="A156" s="4" t="str">
        <x:v>RS-00155</x:v>
      </x:c>
      <x:c r="B156" s="8" t="n">
        <x:v>45306</x:v>
      </x:c>
      <x:c r="C156" s="4" t="str">
        <x:v>PRJ-015</x:v>
      </x:c>
      <x:c r="D156" s="4" t="str">
        <x:v>Apartment</x:v>
      </x:c>
      <x:c r="E156" s="4" t="str">
        <x:v>Booked</x:v>
      </x:c>
      <x:c r="F156" s="4" t="str">
        <x:v>CUS-00155</x:v>
      </x:c>
      <x:c r="G156" s="4" t="str">
        <x:v>UNIT-00155</x:v>
      </x:c>
      <x:c r="H156" s="9" t="n">
        <x:v>3400000</x:v>
      </x:c>
      <x:c r="I156" s="10" t="n">
        <x:v>0.08</x:v>
      </x:c>
      <x:c r="J156" s="11" t="n">
        <x:v>9</x:v>
      </x:c>
      <x:c r="K156" s="11" t="n">
        <x:v>8</x:v>
      </x:c>
      <x:c r="L156" s="11" t="n">
        <x:v>1</x:v>
      </x:c>
      <x:c r="M156" s="9" t="n">
        <x:f>ROUND(H156*(1-I156),2)</x:f>
        <x:v>3128000</x:v>
      </x:c>
      <x:c r="N156" s="4" t="str">
        <x:v>Sales head</x:v>
      </x:c>
      <x:c r="O156" s="4" t="str">
        <x:v>BOOK-00155</x:v>
      </x:c>
      <x:c r="P156" s="9" t="n">
        <x:v>782000</x:v>
      </x:c>
      <x:c r="Q156" s="11" t="n">
        <x:v>0</x:v>
      </x:c>
      <x:c r="R156" s="8" t="n">
        <x:v>45366</x:v>
      </x:c>
      <x:c r="S156" s="4" t="str">
        <x:v>Retained</x:v>
      </x:c>
      <x:c r="T156" s="10" t="n">
        <x:v>0.310195</x:v>
      </x:c>
      <x:c r="U156" s="4" t="str">
        <x:v>Train</x:v>
      </x:c>
    </x:row>
    <x:row r="157" ht="34" customHeight="1">
      <x:c r="A157" s="4" t="str">
        <x:v>RS-00156</x:v>
      </x:c>
      <x:c r="B157" s="8" t="n">
        <x:v>45307</x:v>
      </x:c>
      <x:c r="C157" s="4" t="str">
        <x:v>PRJ-016</x:v>
      </x:c>
      <x:c r="D157" s="4" t="str">
        <x:v>Villa</x:v>
      </x:c>
      <x:c r="E157" s="4" t="str">
        <x:v>Cancelled</x:v>
      </x:c>
      <x:c r="F157" s="4" t="str">
        <x:v>CUS-00156</x:v>
      </x:c>
      <x:c r="G157" s="4" t="str">
        <x:v>UNIT-00156</x:v>
      </x:c>
      <x:c r="H157" s="9" t="n">
        <x:v>23900000</x:v>
      </x:c>
      <x:c r="I157" s="10" t="n">
        <x:v>0.05</x:v>
      </x:c>
      <x:c r="J157" s="11" t="n">
        <x:v>2</x:v>
      </x:c>
      <x:c r="K157" s="11" t="n">
        <x:v>5</x:v>
      </x:c>
      <x:c r="L157" s="11" t="n">
        <x:v>0</x:v>
      </x:c>
      <x:c r="M157" s="9" t="n">
        <x:f>ROUND(H157*(1-I157),2)</x:f>
        <x:v>22705000</x:v>
      </x:c>
      <x:c r="N157" s="4" t="str">
        <x:v>Sales manager</x:v>
      </x:c>
      <x:c r="O157" s="4"/>
      <x:c r="P157" s="9" t="n">
        <x:v>0</x:v>
      </x:c>
      <x:c r="Q157" s="11" t="n">
        <x:v>1</x:v>
      </x:c>
      <x:c r="R157" s="8" t="n">
        <x:v>45367</x:v>
      </x:c>
      <x:c r="S157" s="4" t="str">
        <x:v>Lost / cancelled</x:v>
      </x:c>
      <x:c r="T157" s="10" t="n">
        <x:v>0.204152</x:v>
      </x:c>
      <x:c r="U157" s="4" t="str">
        <x:v>Train</x:v>
      </x:c>
    </x:row>
    <x:row r="158" ht="34" customHeight="1">
      <x:c r="A158" s="4" t="str">
        <x:v>RS-00157</x:v>
      </x:c>
      <x:c r="B158" s="8" t="n">
        <x:v>45308</x:v>
      </x:c>
      <x:c r="C158" s="4" t="str">
        <x:v>PRJ-017</x:v>
      </x:c>
      <x:c r="D158" s="4" t="str">
        <x:v>Apartment</x:v>
      </x:c>
      <x:c r="E158" s="4" t="str">
        <x:v>Handed over</x:v>
      </x:c>
      <x:c r="F158" s="4" t="str">
        <x:v>CUS-00157</x:v>
      </x:c>
      <x:c r="G158" s="4" t="str">
        <x:v>UNIT-00157</x:v>
      </x:c>
      <x:c r="H158" s="9" t="n">
        <x:v>21300000</x:v>
      </x:c>
      <x:c r="I158" s="10" t="n">
        <x:v>0.02</x:v>
      </x:c>
      <x:c r="J158" s="11" t="n">
        <x:v>0</x:v>
      </x:c>
      <x:c r="K158" s="11" t="n">
        <x:v>10</x:v>
      </x:c>
      <x:c r="L158" s="11" t="n">
        <x:v>0</x:v>
      </x:c>
      <x:c r="M158" s="9" t="n">
        <x:f>ROUND(H158*(1-I158),2)</x:f>
        <x:v>20874000</x:v>
      </x:c>
      <x:c r="N158" s="4" t="str">
        <x:v>Sales manager</x:v>
      </x:c>
      <x:c r="O158" s="4" t="str">
        <x:v>BOOK-00157</x:v>
      </x:c>
      <x:c r="P158" s="9" t="n">
        <x:v>20874000</x:v>
      </x:c>
      <x:c r="Q158" s="11" t="n">
        <x:v>0</x:v>
      </x:c>
      <x:c r="R158" s="8" t="n">
        <x:v>45368</x:v>
      </x:c>
      <x:c r="S158" s="4" t="str">
        <x:v>Retained</x:v>
      </x:c>
      <x:c r="T158" s="10" t="n">
        <x:v>0.072165</x:v>
      </x:c>
      <x:c r="U158" s="4" t="str">
        <x:v>Train</x:v>
      </x:c>
    </x:row>
    <x:row r="159" ht="34" customHeight="1">
      <x:c r="A159" s="4" t="str">
        <x:v>RS-00158</x:v>
      </x:c>
      <x:c r="B159" s="8" t="n">
        <x:v>45309</x:v>
      </x:c>
      <x:c r="C159" s="4" t="str">
        <x:v>PRJ-018</x:v>
      </x:c>
      <x:c r="D159" s="4" t="str">
        <x:v>Retail</x:v>
      </x:c>
      <x:c r="E159" s="4" t="str">
        <x:v>Cancelled</x:v>
      </x:c>
      <x:c r="F159" s="4" t="str">
        <x:v>CUS-00158</x:v>
      </x:c>
      <x:c r="G159" s="4" t="str">
        <x:v>UNIT-00158</x:v>
      </x:c>
      <x:c r="H159" s="9" t="n">
        <x:v>23900000</x:v>
      </x:c>
      <x:c r="I159" s="10" t="n">
        <x:v>0.06</x:v>
      </x:c>
      <x:c r="J159" s="11" t="n">
        <x:v>12</x:v>
      </x:c>
      <x:c r="K159" s="11" t="n">
        <x:v>0</x:v>
      </x:c>
      <x:c r="L159" s="11" t="n">
        <x:v>1</x:v>
      </x:c>
      <x:c r="M159" s="9" t="n">
        <x:f>ROUND(H159*(1-I159),2)</x:f>
        <x:v>22466000</x:v>
      </x:c>
      <x:c r="N159" s="4" t="str">
        <x:v>Sales manager</x:v>
      </x:c>
      <x:c r="O159" s="4"/>
      <x:c r="P159" s="9" t="n">
        <x:v>0</x:v>
      </x:c>
      <x:c r="Q159" s="11" t="n">
        <x:v>1</x:v>
      </x:c>
      <x:c r="R159" s="8" t="n">
        <x:v>45369</x:v>
      </x:c>
      <x:c r="S159" s="4" t="str">
        <x:v>Lost / cancelled</x:v>
      </x:c>
      <x:c r="T159" s="10" t="n">
        <x:v>0.351536</x:v>
      </x:c>
      <x:c r="U159" s="4" t="str">
        <x:v>Train</x:v>
      </x:c>
    </x:row>
    <x:row r="160" ht="34" customHeight="1">
      <x:c r="A160" s="4" t="str">
        <x:v>RS-00159</x:v>
      </x:c>
      <x:c r="B160" s="8" t="n">
        <x:v>45310</x:v>
      </x:c>
      <x:c r="C160" s="4" t="str">
        <x:v>PRJ-019</x:v>
      </x:c>
      <x:c r="D160" s="4" t="str">
        <x:v>Apartment</x:v>
      </x:c>
      <x:c r="E160" s="4" t="str">
        <x:v>Enquiry</x:v>
      </x:c>
      <x:c r="F160" s="4" t="str">
        <x:v>CUS-00159</x:v>
      </x:c>
      <x:c r="G160" s="4" t="str">
        <x:v>UNIT-00159</x:v>
      </x:c>
      <x:c r="H160" s="9" t="n">
        <x:v>14700000</x:v>
      </x:c>
      <x:c r="I160" s="10" t="n">
        <x:v>0.02</x:v>
      </x:c>
      <x:c r="J160" s="11" t="n">
        <x:v>3</x:v>
      </x:c>
      <x:c r="K160" s="11" t="n">
        <x:v>1</x:v>
      </x:c>
      <x:c r="L160" s="11" t="n">
        <x:v>1</x:v>
      </x:c>
      <x:c r="M160" s="9" t="n">
        <x:f>ROUND(H160*(1-I160),2)</x:f>
        <x:v>14406000</x:v>
      </x:c>
      <x:c r="N160" s="4" t="str">
        <x:v>Sales manager</x:v>
      </x:c>
      <x:c r="O160" s="4"/>
      <x:c r="P160" s="9" t="n">
        <x:v>0</x:v>
      </x:c>
      <x:c r="Q160" s="11" t="n">
        <x:v>0</x:v>
      </x:c>
      <x:c r="R160" s="8" t="n">
        <x:v>45370</x:v>
      </x:c>
      <x:c r="S160" s="4" t="str">
        <x:v>Retained</x:v>
      </x:c>
      <x:c r="T160" s="10" t="n">
        <x:v>0.171717</x:v>
      </x:c>
      <x:c r="U160" s="4" t="str">
        <x:v>Train</x:v>
      </x:c>
    </x:row>
    <x:row r="161" ht="34" customHeight="1">
      <x:c r="A161" s="4" t="str">
        <x:v>RS-00160</x:v>
      </x:c>
      <x:c r="B161" s="8" t="n">
        <x:v>45311</x:v>
      </x:c>
      <x:c r="C161" s="4" t="str">
        <x:v>PRJ-020</x:v>
      </x:c>
      <x:c r="D161" s="4" t="str">
        <x:v>Retail</x:v>
      </x:c>
      <x:c r="E161" s="4" t="str">
        <x:v>Reserved</x:v>
      </x:c>
      <x:c r="F161" s="4" t="str">
        <x:v>CUS-00160</x:v>
      </x:c>
      <x:c r="G161" s="4" t="str">
        <x:v>UNIT-00160</x:v>
      </x:c>
      <x:c r="H161" s="9" t="n">
        <x:v>5900000</x:v>
      </x:c>
      <x:c r="I161" s="10" t="n">
        <x:v>0.1</x:v>
      </x:c>
      <x:c r="J161" s="11" t="n">
        <x:v>3</x:v>
      </x:c>
      <x:c r="K161" s="11" t="n">
        <x:v>8</x:v>
      </x:c>
      <x:c r="L161" s="11" t="n">
        <x:v>1</x:v>
      </x:c>
      <x:c r="M161" s="9" t="n">
        <x:f>ROUND(H161*(1-I161),2)</x:f>
        <x:v>5310000</x:v>
      </x:c>
      <x:c r="N161" s="4" t="str">
        <x:v>Sales head</x:v>
      </x:c>
      <x:c r="O161" s="4"/>
      <x:c r="P161" s="9" t="n">
        <x:v>0</x:v>
      </x:c>
      <x:c r="Q161" s="11" t="n">
        <x:v>0</x:v>
      </x:c>
      <x:c r="R161" s="8" t="n">
        <x:v>45371</x:v>
      </x:c>
      <x:c r="S161" s="4" t="str">
        <x:v>Retained</x:v>
      </x:c>
      <x:c r="T161" s="10" t="n">
        <x:v>0.145833</x:v>
      </x:c>
      <x:c r="U161" s="4" t="str">
        <x:v>Train</x:v>
      </x:c>
    </x:row>
    <x:row r="162" ht="34" customHeight="1">
      <x:c r="A162" s="4" t="str">
        <x:v>RS-00161</x:v>
      </x:c>
      <x:c r="B162" s="8" t="n">
        <x:v>45312</x:v>
      </x:c>
      <x:c r="C162" s="4" t="str">
        <x:v>PRJ-001</x:v>
      </x:c>
      <x:c r="D162" s="4" t="str">
        <x:v>Retail</x:v>
      </x:c>
      <x:c r="E162" s="4" t="str">
        <x:v>Reserved</x:v>
      </x:c>
      <x:c r="F162" s="4" t="str">
        <x:v>CUS-00161</x:v>
      </x:c>
      <x:c r="G162" s="4" t="str">
        <x:v>UNIT-00161</x:v>
      </x:c>
      <x:c r="H162" s="9" t="n">
        <x:v>7500000</x:v>
      </x:c>
      <x:c r="I162" s="10" t="n">
        <x:v>0.1</x:v>
      </x:c>
      <x:c r="J162" s="11" t="n">
        <x:v>8</x:v>
      </x:c>
      <x:c r="K162" s="11" t="n">
        <x:v>5</x:v>
      </x:c>
      <x:c r="L162" s="11" t="n">
        <x:v>1</x:v>
      </x:c>
      <x:c r="M162" s="9" t="n">
        <x:f>ROUND(H162*(1-I162),2)</x:f>
        <x:v>6750000</x:v>
      </x:c>
      <x:c r="N162" s="4" t="str">
        <x:v>Sales head</x:v>
      </x:c>
      <x:c r="O162" s="4"/>
      <x:c r="P162" s="9" t="n">
        <x:v>0</x:v>
      </x:c>
      <x:c r="Q162" s="11" t="n">
        <x:v>0</x:v>
      </x:c>
      <x:c r="R162" s="8" t="n">
        <x:v>45372</x:v>
      </x:c>
      <x:c r="S162" s="4" t="str">
        <x:v>Retained</x:v>
      </x:c>
      <x:c r="T162" s="10" t="n">
        <x:v>0.310195</x:v>
      </x:c>
      <x:c r="U162" s="4" t="str">
        <x:v>Train</x:v>
      </x:c>
    </x:row>
    <x:row r="163" ht="34" customHeight="1">
      <x:c r="A163" s="4" t="str">
        <x:v>RS-00162</x:v>
      </x:c>
      <x:c r="B163" s="8" t="n">
        <x:v>45313</x:v>
      </x:c>
      <x:c r="C163" s="4" t="str">
        <x:v>PRJ-002</x:v>
      </x:c>
      <x:c r="D163" s="4" t="str">
        <x:v>Villa</x:v>
      </x:c>
      <x:c r="E163" s="4" t="str">
        <x:v>Booked</x:v>
      </x:c>
      <x:c r="F163" s="4" t="str">
        <x:v>CUS-00162</x:v>
      </x:c>
      <x:c r="G163" s="4" t="str">
        <x:v>UNIT-00162</x:v>
      </x:c>
      <x:c r="H163" s="9" t="n">
        <x:v>8000000</x:v>
      </x:c>
      <x:c r="I163" s="10" t="n">
        <x:v>0.03</x:v>
      </x:c>
      <x:c r="J163" s="11" t="n">
        <x:v>12</x:v>
      </x:c>
      <x:c r="K163" s="11" t="n">
        <x:v>2</x:v>
      </x:c>
      <x:c r="L163" s="11" t="n">
        <x:v>0</x:v>
      </x:c>
      <x:c r="M163" s="9" t="n">
        <x:f>ROUND(H163*(1-I163),2)</x:f>
        <x:v>7760000</x:v>
      </x:c>
      <x:c r="N163" s="4" t="str">
        <x:v>Sales manager</x:v>
      </x:c>
      <x:c r="O163" s="4" t="str">
        <x:v>BOOK-00162</x:v>
      </x:c>
      <x:c r="P163" s="9" t="n">
        <x:v>776000</x:v>
      </x:c>
      <x:c r="Q163" s="11" t="n">
        <x:v>0</x:v>
      </x:c>
      <x:c r="R163" s="8" t="n">
        <x:v>45373</x:v>
      </x:c>
      <x:c r="S163" s="4" t="str">
        <x:v>Retained</x:v>
      </x:c>
      <x:c r="T163" s="10" t="n">
        <x:v>0.351536</x:v>
      </x:c>
      <x:c r="U163" s="4" t="str">
        <x:v>Train</x:v>
      </x:c>
    </x:row>
    <x:row r="164" ht="34" customHeight="1">
      <x:c r="A164" s="4" t="str">
        <x:v>RS-00163</x:v>
      </x:c>
      <x:c r="B164" s="8" t="n">
        <x:v>45314</x:v>
      </x:c>
      <x:c r="C164" s="4" t="str">
        <x:v>PRJ-003</x:v>
      </x:c>
      <x:c r="D164" s="4" t="str">
        <x:v>Retail</x:v>
      </x:c>
      <x:c r="E164" s="4" t="str">
        <x:v>Agreement signed</x:v>
      </x:c>
      <x:c r="F164" s="4" t="str">
        <x:v>CUS-00163</x:v>
      </x:c>
      <x:c r="G164" s="4" t="str">
        <x:v>UNIT-00163</x:v>
      </x:c>
      <x:c r="H164" s="9" t="n">
        <x:v>23300000</x:v>
      </x:c>
      <x:c r="I164" s="10" t="n">
        <x:v>0.04</x:v>
      </x:c>
      <x:c r="J164" s="11" t="n">
        <x:v>10</x:v>
      </x:c>
      <x:c r="K164" s="11" t="n">
        <x:v>2</x:v>
      </x:c>
      <x:c r="L164" s="11" t="n">
        <x:v>0</x:v>
      </x:c>
      <x:c r="M164" s="9" t="n">
        <x:f>ROUND(H164*(1-I164),2)</x:f>
        <x:v>22368000</x:v>
      </x:c>
      <x:c r="N164" s="4" t="str">
        <x:v>Sales manager</x:v>
      </x:c>
      <x:c r="O164" s="4" t="str">
        <x:v>BOOK-00163</x:v>
      </x:c>
      <x:c r="P164" s="9" t="n">
        <x:v>11184000</x:v>
      </x:c>
      <x:c r="Q164" s="11" t="n">
        <x:v>0</x:v>
      </x:c>
      <x:c r="R164" s="8" t="n">
        <x:v>45374</x:v>
      </x:c>
      <x:c r="S164" s="4" t="str">
        <x:v>Retained</x:v>
      </x:c>
      <x:c r="T164" s="10" t="n">
        <x:v>0.310195</x:v>
      </x:c>
      <x:c r="U164" s="4" t="str">
        <x:v>Train</x:v>
      </x:c>
    </x:row>
    <x:row r="165" ht="34" customHeight="1">
      <x:c r="A165" s="4" t="str">
        <x:v>RS-00164</x:v>
      </x:c>
      <x:c r="B165" s="8" t="n">
        <x:v>45315</x:v>
      </x:c>
      <x:c r="C165" s="4" t="str">
        <x:v>PRJ-004</x:v>
      </x:c>
      <x:c r="D165" s="4" t="str">
        <x:v>Apartment</x:v>
      </x:c>
      <x:c r="E165" s="4" t="str">
        <x:v>Handed over</x:v>
      </x:c>
      <x:c r="F165" s="4" t="str">
        <x:v>CUS-00164</x:v>
      </x:c>
      <x:c r="G165" s="4" t="str">
        <x:v>UNIT-00164</x:v>
      </x:c>
      <x:c r="H165" s="9" t="n">
        <x:v>15200000</x:v>
      </x:c>
      <x:c r="I165" s="10" t="n">
        <x:v>0.11</x:v>
      </x:c>
      <x:c r="J165" s="11" t="n">
        <x:v>9</x:v>
      </x:c>
      <x:c r="K165" s="11" t="n">
        <x:v>10</x:v>
      </x:c>
      <x:c r="L165" s="11" t="n">
        <x:v>1</x:v>
      </x:c>
      <x:c r="M165" s="9" t="n">
        <x:f>ROUND(H165*(1-I165),2)</x:f>
        <x:v>13528000</x:v>
      </x:c>
      <x:c r="N165" s="4" t="str">
        <x:v>Sales head</x:v>
      </x:c>
      <x:c r="O165" s="4" t="str">
        <x:v>BOOK-00164</x:v>
      </x:c>
      <x:c r="P165" s="9" t="n">
        <x:v>1352800</x:v>
      </x:c>
      <x:c r="Q165" s="11" t="n">
        <x:v>0</x:v>
      </x:c>
      <x:c r="R165" s="8" t="n">
        <x:v>45375</x:v>
      </x:c>
      <x:c r="S165" s="4" t="str">
        <x:v>Retained</x:v>
      </x:c>
      <x:c r="T165" s="10" t="n">
        <x:v>0.310195</x:v>
      </x:c>
      <x:c r="U165" s="4" t="str">
        <x:v>Train</x:v>
      </x:c>
    </x:row>
    <x:row r="166" ht="34" customHeight="1">
      <x:c r="A166" s="4" t="str">
        <x:v>RS-00165</x:v>
      </x:c>
      <x:c r="B166" s="8" t="n">
        <x:v>45316</x:v>
      </x:c>
      <x:c r="C166" s="4" t="str">
        <x:v>PRJ-005</x:v>
      </x:c>
      <x:c r="D166" s="4" t="str">
        <x:v>Apartment</x:v>
      </x:c>
      <x:c r="E166" s="4" t="str">
        <x:v>Enquiry</x:v>
      </x:c>
      <x:c r="F166" s="4" t="str">
        <x:v>CUS-00165</x:v>
      </x:c>
      <x:c r="G166" s="4" t="str">
        <x:v>UNIT-00165</x:v>
      </x:c>
      <x:c r="H166" s="9" t="n">
        <x:v>3500000</x:v>
      </x:c>
      <x:c r="I166" s="10" t="n">
        <x:v>0.12</x:v>
      </x:c>
      <x:c r="J166" s="11" t="n">
        <x:v>1</x:v>
      </x:c>
      <x:c r="K166" s="11" t="n">
        <x:v>6</x:v>
      </x:c>
      <x:c r="L166" s="11" t="n">
        <x:v>1</x:v>
      </x:c>
      <x:c r="M166" s="9" t="n">
        <x:f>ROUND(H166*(1-I166),2)</x:f>
        <x:v>3080000</x:v>
      </x:c>
      <x:c r="N166" s="4" t="str">
        <x:v>Sales head</x:v>
      </x:c>
      <x:c r="O166" s="4"/>
      <x:c r="P166" s="9" t="n">
        <x:v>0</x:v>
      </x:c>
      <x:c r="Q166" s="11" t="n">
        <x:v>0</x:v>
      </x:c>
      <x:c r="R166" s="8" t="n">
        <x:v>45376</x:v>
      </x:c>
      <x:c r="S166" s="4" t="str">
        <x:v>Retained</x:v>
      </x:c>
      <x:c r="T166" s="10" t="n">
        <x:v>0.145833</x:v>
      </x:c>
      <x:c r="U166" s="4" t="str">
        <x:v>Train</x:v>
      </x:c>
    </x:row>
    <x:row r="167" ht="34" customHeight="1">
      <x:c r="A167" s="4" t="str">
        <x:v>RS-00166</x:v>
      </x:c>
      <x:c r="B167" s="8" t="n">
        <x:v>45317</x:v>
      </x:c>
      <x:c r="C167" s="4" t="str">
        <x:v>PRJ-006</x:v>
      </x:c>
      <x:c r="D167" s="4" t="str">
        <x:v>Villa</x:v>
      </x:c>
      <x:c r="E167" s="4" t="str">
        <x:v>Reserved</x:v>
      </x:c>
      <x:c r="F167" s="4" t="str">
        <x:v>CUS-00166</x:v>
      </x:c>
      <x:c r="G167" s="4" t="str">
        <x:v>UNIT-00166</x:v>
      </x:c>
      <x:c r="H167" s="9" t="n">
        <x:v>16500000</x:v>
      </x:c>
      <x:c r="I167" s="10" t="n">
        <x:v>0.07</x:v>
      </x:c>
      <x:c r="J167" s="11" t="n">
        <x:v>1</x:v>
      </x:c>
      <x:c r="K167" s="11" t="n">
        <x:v>4</x:v>
      </x:c>
      <x:c r="L167" s="11" t="n">
        <x:v>0</x:v>
      </x:c>
      <x:c r="M167" s="9" t="n">
        <x:f>ROUND(H167*(1-I167),2)</x:f>
        <x:v>15345000</x:v>
      </x:c>
      <x:c r="N167" s="4" t="str">
        <x:v>Sales manager</x:v>
      </x:c>
      <x:c r="O167" s="4"/>
      <x:c r="P167" s="9" t="n">
        <x:v>0</x:v>
      </x:c>
      <x:c r="Q167" s="11" t="n">
        <x:v>1</x:v>
      </x:c>
      <x:c r="R167" s="8" t="n">
        <x:v>45377</x:v>
      </x:c>
      <x:c r="S167" s="4" t="str">
        <x:v>Lost / cancelled</x:v>
      </x:c>
      <x:c r="T167" s="10" t="n">
        <x:v>0.204152</x:v>
      </x:c>
      <x:c r="U167" s="4" t="str">
        <x:v>Train</x:v>
      </x:c>
    </x:row>
    <x:row r="168" ht="34" customHeight="1">
      <x:c r="A168" s="4" t="str">
        <x:v>RS-00167</x:v>
      </x:c>
      <x:c r="B168" s="8" t="n">
        <x:v>45318</x:v>
      </x:c>
      <x:c r="C168" s="4" t="str">
        <x:v>PRJ-007</x:v>
      </x:c>
      <x:c r="D168" s="4" t="str">
        <x:v>Villa</x:v>
      </x:c>
      <x:c r="E168" s="4" t="str">
        <x:v>Handed over</x:v>
      </x:c>
      <x:c r="F168" s="4" t="str">
        <x:v>CUS-00167</x:v>
      </x:c>
      <x:c r="G168" s="4" t="str">
        <x:v>UNIT-00167</x:v>
      </x:c>
      <x:c r="H168" s="9" t="n">
        <x:v>24200000</x:v>
      </x:c>
      <x:c r="I168" s="10" t="n">
        <x:v>0.01</x:v>
      </x:c>
      <x:c r="J168" s="11" t="n">
        <x:v>9</x:v>
      </x:c>
      <x:c r="K168" s="11" t="n">
        <x:v>5</x:v>
      </x:c>
      <x:c r="L168" s="11" t="n">
        <x:v>0</x:v>
      </x:c>
      <x:c r="M168" s="9" t="n">
        <x:f>ROUND(H168*(1-I168),2)</x:f>
        <x:v>23958000</x:v>
      </x:c>
      <x:c r="N168" s="4" t="str">
        <x:v>Sales manager</x:v>
      </x:c>
      <x:c r="O168" s="4" t="str">
        <x:v>BOOK-00167</x:v>
      </x:c>
      <x:c r="P168" s="9" t="n">
        <x:v>2395800</x:v>
      </x:c>
      <x:c r="Q168" s="11" t="n">
        <x:v>0</x:v>
      </x:c>
      <x:c r="R168" s="8" t="n">
        <x:v>45378</x:v>
      </x:c>
      <x:c r="S168" s="4" t="str">
        <x:v>Retained</x:v>
      </x:c>
      <x:c r="T168" s="10" t="n">
        <x:v>0.305556</x:v>
      </x:c>
      <x:c r="U168" s="4" t="str">
        <x:v>Train</x:v>
      </x:c>
    </x:row>
    <x:row r="169" ht="34" customHeight="1">
      <x:c r="A169" s="4" t="str">
        <x:v>RS-00168</x:v>
      </x:c>
      <x:c r="B169" s="8" t="n">
        <x:v>45319</x:v>
      </x:c>
      <x:c r="C169" s="4" t="str">
        <x:v>PRJ-008</x:v>
      </x:c>
      <x:c r="D169" s="4" t="str">
        <x:v>Office</x:v>
      </x:c>
      <x:c r="E169" s="4" t="str">
        <x:v>Agreement signed</x:v>
      </x:c>
      <x:c r="F169" s="4" t="str">
        <x:v>CUS-00168</x:v>
      </x:c>
      <x:c r="G169" s="4" t="str">
        <x:v>UNIT-00168</x:v>
      </x:c>
      <x:c r="H169" s="9" t="n">
        <x:v>12700000</x:v>
      </x:c>
      <x:c r="I169" s="10" t="n">
        <x:v>0.01</x:v>
      </x:c>
      <x:c r="J169" s="11" t="n">
        <x:v>11</x:v>
      </x:c>
      <x:c r="K169" s="11" t="n">
        <x:v>0</x:v>
      </x:c>
      <x:c r="L169" s="11" t="n">
        <x:v>1</x:v>
      </x:c>
      <x:c r="M169" s="9" t="n">
        <x:f>ROUND(H169*(1-I169),2)</x:f>
        <x:v>12573000</x:v>
      </x:c>
      <x:c r="N169" s="4" t="str">
        <x:v>Sales manager</x:v>
      </x:c>
      <x:c r="O169" s="4" t="str">
        <x:v>BOOK-00168</x:v>
      </x:c>
      <x:c r="P169" s="9" t="n">
        <x:v>12573000</x:v>
      </x:c>
      <x:c r="Q169" s="11" t="n">
        <x:v>0</x:v>
      </x:c>
      <x:c r="R169" s="8" t="n">
        <x:v>45379</x:v>
      </x:c>
      <x:c r="S169" s="4" t="str">
        <x:v>Retained</x:v>
      </x:c>
      <x:c r="T169" s="10" t="n">
        <x:v>0.254545</x:v>
      </x:c>
      <x:c r="U169" s="4" t="str">
        <x:v>Train</x:v>
      </x:c>
    </x:row>
    <x:row r="170" ht="34" customHeight="1">
      <x:c r="A170" s="4" t="str">
        <x:v>RS-00169</x:v>
      </x:c>
      <x:c r="B170" s="8" t="n">
        <x:v>45292</x:v>
      </x:c>
      <x:c r="C170" s="4" t="str">
        <x:v>PRJ-009</x:v>
      </x:c>
      <x:c r="D170" s="4" t="str">
        <x:v>Villa</x:v>
      </x:c>
      <x:c r="E170" s="4" t="str">
        <x:v>Enquiry</x:v>
      </x:c>
      <x:c r="F170" s="4" t="str">
        <x:v>CUS-00169</x:v>
      </x:c>
      <x:c r="G170" s="4" t="str">
        <x:v>UNIT-00169</x:v>
      </x:c>
      <x:c r="H170" s="9" t="n">
        <x:v>15300000</x:v>
      </x:c>
      <x:c r="I170" s="10" t="n">
        <x:v>0</x:v>
      </x:c>
      <x:c r="J170" s="11" t="n">
        <x:v>2</x:v>
      </x:c>
      <x:c r="K170" s="11" t="n">
        <x:v>8</x:v>
      </x:c>
      <x:c r="L170" s="11" t="n">
        <x:v>1</x:v>
      </x:c>
      <x:c r="M170" s="9" t="n">
        <x:f>ROUND(H170*(1-I170),2)</x:f>
        <x:v>15300000</x:v>
      </x:c>
      <x:c r="N170" s="4" t="str">
        <x:v>Sales manager</x:v>
      </x:c>
      <x:c r="O170" s="4"/>
      <x:c r="P170" s="9" t="n">
        <x:v>0</x:v>
      </x:c>
      <x:c r="Q170" s="11" t="n">
        <x:v>0</x:v>
      </x:c>
      <x:c r="R170" s="8" t="n">
        <x:v>45352</x:v>
      </x:c>
      <x:c r="S170" s="4" t="str">
        <x:v>Retained</x:v>
      </x:c>
      <x:c r="T170" s="10" t="n">
        <x:v>0.171717</x:v>
      </x:c>
      <x:c r="U170" s="4" t="str">
        <x:v>Train</x:v>
      </x:c>
    </x:row>
    <x:row r="171" ht="34" customHeight="1">
      <x:c r="A171" s="4" t="str">
        <x:v>RS-00170</x:v>
      </x:c>
      <x:c r="B171" s="8" t="n">
        <x:v>45293</x:v>
      </x:c>
      <x:c r="C171" s="4" t="str">
        <x:v>PRJ-010</x:v>
      </x:c>
      <x:c r="D171" s="4" t="str">
        <x:v>Retail</x:v>
      </x:c>
      <x:c r="E171" s="4" t="str">
        <x:v>Handed over</x:v>
      </x:c>
      <x:c r="F171" s="4" t="str">
        <x:v>CUS-00170</x:v>
      </x:c>
      <x:c r="G171" s="4" t="str">
        <x:v>UNIT-00170</x:v>
      </x:c>
      <x:c r="H171" s="9" t="n">
        <x:v>22300000</x:v>
      </x:c>
      <x:c r="I171" s="10" t="n">
        <x:v>0.06</x:v>
      </x:c>
      <x:c r="J171" s="11" t="n">
        <x:v>8</x:v>
      </x:c>
      <x:c r="K171" s="11" t="n">
        <x:v>3</x:v>
      </x:c>
      <x:c r="L171" s="11" t="n">
        <x:v>0</x:v>
      </x:c>
      <x:c r="M171" s="9" t="n">
        <x:f>ROUND(H171*(1-I171),2)</x:f>
        <x:v>20962000</x:v>
      </x:c>
      <x:c r="N171" s="4" t="str">
        <x:v>Sales manager</x:v>
      </x:c>
      <x:c r="O171" s="4" t="str">
        <x:v>BOOK-00170</x:v>
      </x:c>
      <x:c r="P171" s="9" t="n">
        <x:v>10481000</x:v>
      </x:c>
      <x:c r="Q171" s="11" t="n">
        <x:v>0</x:v>
      </x:c>
      <x:c r="R171" s="8" t="n">
        <x:v>45353</x:v>
      </x:c>
      <x:c r="S171" s="4" t="str">
        <x:v>Retained</x:v>
      </x:c>
      <x:c r="T171" s="10" t="n">
        <x:v>0.310195</x:v>
      </x:c>
      <x:c r="U171" s="4" t="str">
        <x:v>Train</x:v>
      </x:c>
    </x:row>
    <x:row r="172" ht="34" customHeight="1">
      <x:c r="A172" s="4" t="str">
        <x:v>RS-00171</x:v>
      </x:c>
      <x:c r="B172" s="8" t="n">
        <x:v>45294</x:v>
      </x:c>
      <x:c r="C172" s="4" t="str">
        <x:v>PRJ-011</x:v>
      </x:c>
      <x:c r="D172" s="4" t="str">
        <x:v>Retail</x:v>
      </x:c>
      <x:c r="E172" s="4" t="str">
        <x:v>Enquiry</x:v>
      </x:c>
      <x:c r="F172" s="4" t="str">
        <x:v>CUS-00171</x:v>
      </x:c>
      <x:c r="G172" s="4" t="str">
        <x:v>UNIT-00171</x:v>
      </x:c>
      <x:c r="H172" s="9" t="n">
        <x:v>6000000</x:v>
      </x:c>
      <x:c r="I172" s="10" t="n">
        <x:v>0.01</x:v>
      </x:c>
      <x:c r="J172" s="11" t="n">
        <x:v>10</x:v>
      </x:c>
      <x:c r="K172" s="11" t="n">
        <x:v>2</x:v>
      </x:c>
      <x:c r="L172" s="11" t="n">
        <x:v>0</x:v>
      </x:c>
      <x:c r="M172" s="9" t="n">
        <x:f>ROUND(H172*(1-I172),2)</x:f>
        <x:v>5940000</x:v>
      </x:c>
      <x:c r="N172" s="4" t="str">
        <x:v>Sales manager</x:v>
      </x:c>
      <x:c r="O172" s="4"/>
      <x:c r="P172" s="9" t="n">
        <x:v>0</x:v>
      </x:c>
      <x:c r="Q172" s="11" t="n">
        <x:v>1</x:v>
      </x:c>
      <x:c r="R172" s="8" t="n">
        <x:v>45354</x:v>
      </x:c>
      <x:c r="S172" s="4" t="str">
        <x:v>Lost / cancelled</x:v>
      </x:c>
      <x:c r="T172" s="10" t="n">
        <x:v>0.305556</x:v>
      </x:c>
      <x:c r="U172" s="4" t="str">
        <x:v>Train</x:v>
      </x:c>
    </x:row>
    <x:row r="173" ht="34" customHeight="1">
      <x:c r="A173" s="4" t="str">
        <x:v>RS-00172</x:v>
      </x:c>
      <x:c r="B173" s="8" t="n">
        <x:v>45295</x:v>
      </x:c>
      <x:c r="C173" s="4" t="str">
        <x:v>PRJ-012</x:v>
      </x:c>
      <x:c r="D173" s="4" t="str">
        <x:v>Retail</x:v>
      </x:c>
      <x:c r="E173" s="4" t="str">
        <x:v>Agreement signed</x:v>
      </x:c>
      <x:c r="F173" s="4" t="str">
        <x:v>CUS-00172</x:v>
      </x:c>
      <x:c r="G173" s="4" t="str">
        <x:v>UNIT-00172</x:v>
      </x:c>
      <x:c r="H173" s="9" t="n">
        <x:v>15900000</x:v>
      </x:c>
      <x:c r="I173" s="10" t="n">
        <x:v>0.09</x:v>
      </x:c>
      <x:c r="J173" s="11" t="n">
        <x:v>8</x:v>
      </x:c>
      <x:c r="K173" s="11" t="n">
        <x:v>8</x:v>
      </x:c>
      <x:c r="L173" s="11" t="n">
        <x:v>1</x:v>
      </x:c>
      <x:c r="M173" s="9" t="n">
        <x:f>ROUND(H173*(1-I173),2)</x:f>
        <x:v>14469000</x:v>
      </x:c>
      <x:c r="N173" s="4" t="str">
        <x:v>Sales head</x:v>
      </x:c>
      <x:c r="O173" s="4" t="str">
        <x:v>BOOK-00172</x:v>
      </x:c>
      <x:c r="P173" s="9" t="n">
        <x:v>7234500</x:v>
      </x:c>
      <x:c r="Q173" s="11" t="n">
        <x:v>0</x:v>
      </x:c>
      <x:c r="R173" s="8" t="n">
        <x:v>45355</x:v>
      </x:c>
      <x:c r="S173" s="4" t="str">
        <x:v>Retained</x:v>
      </x:c>
      <x:c r="T173" s="10" t="n">
        <x:v>0.310195</x:v>
      </x:c>
      <x:c r="U173" s="4" t="str">
        <x:v>Train</x:v>
      </x:c>
    </x:row>
    <x:row r="174" ht="34" customHeight="1">
      <x:c r="A174" s="4" t="str">
        <x:v>RS-00173</x:v>
      </x:c>
      <x:c r="B174" s="8" t="n">
        <x:v>45296</x:v>
      </x:c>
      <x:c r="C174" s="4" t="str">
        <x:v>PRJ-013</x:v>
      </x:c>
      <x:c r="D174" s="4" t="str">
        <x:v>Villa</x:v>
      </x:c>
      <x:c r="E174" s="4" t="str">
        <x:v>Handed over</x:v>
      </x:c>
      <x:c r="F174" s="4" t="str">
        <x:v>CUS-00173</x:v>
      </x:c>
      <x:c r="G174" s="4" t="str">
        <x:v>UNIT-00173</x:v>
      </x:c>
      <x:c r="H174" s="9" t="n">
        <x:v>13500000</x:v>
      </x:c>
      <x:c r="I174" s="10" t="n">
        <x:v>0.03</x:v>
      </x:c>
      <x:c r="J174" s="11" t="n">
        <x:v>12</x:v>
      </x:c>
      <x:c r="K174" s="11" t="n">
        <x:v>3</x:v>
      </x:c>
      <x:c r="L174" s="11" t="n">
        <x:v>0</x:v>
      </x:c>
      <x:c r="M174" s="9" t="n">
        <x:f>ROUND(H174*(1-I174),2)</x:f>
        <x:v>13095000</x:v>
      </x:c>
      <x:c r="N174" s="4" t="str">
        <x:v>Sales manager</x:v>
      </x:c>
      <x:c r="O174" s="4" t="str">
        <x:v>BOOK-00173</x:v>
      </x:c>
      <x:c r="P174" s="9" t="n">
        <x:v>1309500</x:v>
      </x:c>
      <x:c r="Q174" s="11" t="n">
        <x:v>0</x:v>
      </x:c>
      <x:c r="R174" s="8" t="n">
        <x:v>45356</x:v>
      </x:c>
      <x:c r="S174" s="4" t="str">
        <x:v>Retained</x:v>
      </x:c>
      <x:c r="T174" s="10" t="n">
        <x:v>0.351536</x:v>
      </x:c>
      <x:c r="U174" s="4" t="str">
        <x:v>Train</x:v>
      </x:c>
    </x:row>
    <x:row r="175" ht="34" customHeight="1">
      <x:c r="A175" s="4" t="str">
        <x:v>RS-00174</x:v>
      </x:c>
      <x:c r="B175" s="8" t="n">
        <x:v>45297</x:v>
      </x:c>
      <x:c r="C175" s="4" t="str">
        <x:v>PRJ-014</x:v>
      </x:c>
      <x:c r="D175" s="4" t="str">
        <x:v>Villa</x:v>
      </x:c>
      <x:c r="E175" s="4" t="str">
        <x:v>Handed over</x:v>
      </x:c>
      <x:c r="F175" s="4" t="str">
        <x:v>CUS-00174</x:v>
      </x:c>
      <x:c r="G175" s="4" t="str">
        <x:v>UNIT-00174</x:v>
      </x:c>
      <x:c r="H175" s="9" t="n">
        <x:v>7600000</x:v>
      </x:c>
      <x:c r="I175" s="10" t="n">
        <x:v>0.11</x:v>
      </x:c>
      <x:c r="J175" s="11" t="n">
        <x:v>11</x:v>
      </x:c>
      <x:c r="K175" s="11" t="n">
        <x:v>0</x:v>
      </x:c>
      <x:c r="L175" s="11" t="n">
        <x:v>0</x:v>
      </x:c>
      <x:c r="M175" s="9" t="n">
        <x:f>ROUND(H175*(1-I175),2)</x:f>
        <x:v>6764000</x:v>
      </x:c>
      <x:c r="N175" s="4" t="str">
        <x:v>Sales head</x:v>
      </x:c>
      <x:c r="O175" s="4" t="str">
        <x:v>BOOK-00174</x:v>
      </x:c>
      <x:c r="P175" s="9" t="n">
        <x:v>1691000</x:v>
      </x:c>
      <x:c r="Q175" s="11" t="n">
        <x:v>0</x:v>
      </x:c>
      <x:c r="R175" s="8" t="n">
        <x:v>45357</x:v>
      </x:c>
      <x:c r="S175" s="4" t="str">
        <x:v>Retained</x:v>
      </x:c>
      <x:c r="T175" s="10" t="n">
        <x:v>0.351536</x:v>
      </x:c>
      <x:c r="U175" s="4" t="str">
        <x:v>Train</x:v>
      </x:c>
    </x:row>
    <x:row r="176" ht="34" customHeight="1">
      <x:c r="A176" s="4" t="str">
        <x:v>RS-00175</x:v>
      </x:c>
      <x:c r="B176" s="8" t="n">
        <x:v>45298</x:v>
      </x:c>
      <x:c r="C176" s="4" t="str">
        <x:v>PRJ-015</x:v>
      </x:c>
      <x:c r="D176" s="4" t="str">
        <x:v>Villa</x:v>
      </x:c>
      <x:c r="E176" s="4" t="str">
        <x:v>Enquiry</x:v>
      </x:c>
      <x:c r="F176" s="4" t="str">
        <x:v>CUS-00175</x:v>
      </x:c>
      <x:c r="G176" s="4" t="str">
        <x:v>UNIT-00175</x:v>
      </x:c>
      <x:c r="H176" s="9" t="n">
        <x:v>7700000</x:v>
      </x:c>
      <x:c r="I176" s="10" t="n">
        <x:v>0.11</x:v>
      </x:c>
      <x:c r="J176" s="11" t="n">
        <x:v>12</x:v>
      </x:c>
      <x:c r="K176" s="11" t="n">
        <x:v>1</x:v>
      </x:c>
      <x:c r="L176" s="11" t="n">
        <x:v>0</x:v>
      </x:c>
      <x:c r="M176" s="9" t="n">
        <x:f>ROUND(H176*(1-I176),2)</x:f>
        <x:v>6853000</x:v>
      </x:c>
      <x:c r="N176" s="4" t="str">
        <x:v>Sales head</x:v>
      </x:c>
      <x:c r="O176" s="4"/>
      <x:c r="P176" s="9" t="n">
        <x:v>0</x:v>
      </x:c>
      <x:c r="Q176" s="11" t="n">
        <x:v>0</x:v>
      </x:c>
      <x:c r="R176" s="8" t="n">
        <x:v>45358</x:v>
      </x:c>
      <x:c r="S176" s="4" t="str">
        <x:v>Retained</x:v>
      </x:c>
      <x:c r="T176" s="10" t="n">
        <x:v>0.351536</x:v>
      </x:c>
      <x:c r="U176" s="4" t="str">
        <x:v>Train</x:v>
      </x:c>
    </x:row>
    <x:row r="177" ht="34" customHeight="1">
      <x:c r="A177" s="4" t="str">
        <x:v>RS-00176</x:v>
      </x:c>
      <x:c r="B177" s="8" t="n">
        <x:v>45299</x:v>
      </x:c>
      <x:c r="C177" s="4" t="str">
        <x:v>PRJ-016</x:v>
      </x:c>
      <x:c r="D177" s="4" t="str">
        <x:v>Villa</x:v>
      </x:c>
      <x:c r="E177" s="4" t="str">
        <x:v>Handed over</x:v>
      </x:c>
      <x:c r="F177" s="4" t="str">
        <x:v>CUS-00176</x:v>
      </x:c>
      <x:c r="G177" s="4" t="str">
        <x:v>UNIT-00176</x:v>
      </x:c>
      <x:c r="H177" s="9" t="n">
        <x:v>5000000</x:v>
      </x:c>
      <x:c r="I177" s="10" t="n">
        <x:v>0.02</x:v>
      </x:c>
      <x:c r="J177" s="11" t="n">
        <x:v>0</x:v>
      </x:c>
      <x:c r="K177" s="11" t="n">
        <x:v>3</x:v>
      </x:c>
      <x:c r="L177" s="11" t="n">
        <x:v>0</x:v>
      </x:c>
      <x:c r="M177" s="9" t="n">
        <x:f>ROUND(H177*(1-I177),2)</x:f>
        <x:v>4900000</x:v>
      </x:c>
      <x:c r="N177" s="4" t="str">
        <x:v>Sales manager</x:v>
      </x:c>
      <x:c r="O177" s="4" t="str">
        <x:v>BOOK-00176</x:v>
      </x:c>
      <x:c r="P177" s="9" t="n">
        <x:v>2450000</x:v>
      </x:c>
      <x:c r="Q177" s="11" t="n">
        <x:v>0</x:v>
      </x:c>
      <x:c r="R177" s="8" t="n">
        <x:v>45359</x:v>
      </x:c>
      <x:c r="S177" s="4" t="str">
        <x:v>Retained</x:v>
      </x:c>
      <x:c r="T177" s="10" t="n">
        <x:v>0.072165</x:v>
      </x:c>
      <x:c r="U177" s="4" t="str">
        <x:v>Train</x:v>
      </x:c>
    </x:row>
    <x:row r="178" ht="34" customHeight="1">
      <x:c r="A178" s="4" t="str">
        <x:v>RS-00177</x:v>
      </x:c>
      <x:c r="B178" s="8" t="n">
        <x:v>45300</x:v>
      </x:c>
      <x:c r="C178" s="4" t="str">
        <x:v>PRJ-017</x:v>
      </x:c>
      <x:c r="D178" s="4" t="str">
        <x:v>Retail</x:v>
      </x:c>
      <x:c r="E178" s="4" t="str">
        <x:v>Agreement signed</x:v>
      </x:c>
      <x:c r="F178" s="4" t="str">
        <x:v>CUS-00177</x:v>
      </x:c>
      <x:c r="G178" s="4" t="str">
        <x:v>UNIT-00177</x:v>
      </x:c>
      <x:c r="H178" s="9" t="n">
        <x:v>4800000</x:v>
      </x:c>
      <x:c r="I178" s="10" t="n">
        <x:v>0.09</x:v>
      </x:c>
      <x:c r="J178" s="11" t="n">
        <x:v>2</x:v>
      </x:c>
      <x:c r="K178" s="11" t="n">
        <x:v>2</x:v>
      </x:c>
      <x:c r="L178" s="11" t="n">
        <x:v>0</x:v>
      </x:c>
      <x:c r="M178" s="9" t="n">
        <x:f>ROUND(H178*(1-I178),2)</x:f>
        <x:v>4368000</x:v>
      </x:c>
      <x:c r="N178" s="4" t="str">
        <x:v>Sales head</x:v>
      </x:c>
      <x:c r="O178" s="4" t="str">
        <x:v>BOOK-00177</x:v>
      </x:c>
      <x:c r="P178" s="9" t="n">
        <x:v>4368000</x:v>
      </x:c>
      <x:c r="Q178" s="11" t="n">
        <x:v>0</x:v>
      </x:c>
      <x:c r="R178" s="8" t="n">
        <x:v>45360</x:v>
      </x:c>
      <x:c r="S178" s="4" t="str">
        <x:v>Retained</x:v>
      </x:c>
      <x:c r="T178" s="10" t="n">
        <x:v>0.145833</x:v>
      </x:c>
      <x:c r="U178" s="4" t="str">
        <x:v>Train</x:v>
      </x:c>
    </x:row>
    <x:row r="179" ht="34" customHeight="1">
      <x:c r="A179" s="4" t="str">
        <x:v>RS-00178</x:v>
      </x:c>
      <x:c r="B179" s="8" t="n">
        <x:v>45301</x:v>
      </x:c>
      <x:c r="C179" s="4" t="str">
        <x:v>PRJ-018</x:v>
      </x:c>
      <x:c r="D179" s="4" t="str">
        <x:v>Retail</x:v>
      </x:c>
      <x:c r="E179" s="4" t="str">
        <x:v>Cancelled</x:v>
      </x:c>
      <x:c r="F179" s="4" t="str">
        <x:v>CUS-00178</x:v>
      </x:c>
      <x:c r="G179" s="4" t="str">
        <x:v>UNIT-00178</x:v>
      </x:c>
      <x:c r="H179" s="9" t="n">
        <x:v>12200000</x:v>
      </x:c>
      <x:c r="I179" s="10" t="n">
        <x:v>0.1</x:v>
      </x:c>
      <x:c r="J179" s="11" t="n">
        <x:v>10</x:v>
      </x:c>
      <x:c r="K179" s="11" t="n">
        <x:v>5</x:v>
      </x:c>
      <x:c r="L179" s="11" t="n">
        <x:v>1</x:v>
      </x:c>
      <x:c r="M179" s="9" t="n">
        <x:f>ROUND(H179*(1-I179),2)</x:f>
        <x:v>10980000</x:v>
      </x:c>
      <x:c r="N179" s="4" t="str">
        <x:v>Sales head</x:v>
      </x:c>
      <x:c r="O179" s="4"/>
      <x:c r="P179" s="9" t="n">
        <x:v>0</x:v>
      </x:c>
      <x:c r="Q179" s="11" t="n">
        <x:v>1</x:v>
      </x:c>
      <x:c r="R179" s="8" t="n">
        <x:v>45361</x:v>
      </x:c>
      <x:c r="S179" s="4" t="str">
        <x:v>Lost / cancelled</x:v>
      </x:c>
      <x:c r="T179" s="10" t="n">
        <x:v>0.310195</x:v>
      </x:c>
      <x:c r="U179" s="4" t="str">
        <x:v>Train</x:v>
      </x:c>
    </x:row>
    <x:row r="180" ht="34" customHeight="1">
      <x:c r="A180" s="4" t="str">
        <x:v>RS-00179</x:v>
      </x:c>
      <x:c r="B180" s="8" t="n">
        <x:v>45302</x:v>
      </x:c>
      <x:c r="C180" s="4" t="str">
        <x:v>PRJ-019</x:v>
      </x:c>
      <x:c r="D180" s="4" t="str">
        <x:v>Apartment</x:v>
      </x:c>
      <x:c r="E180" s="4" t="str">
        <x:v>Handed over</x:v>
      </x:c>
      <x:c r="F180" s="4" t="str">
        <x:v>CUS-00179</x:v>
      </x:c>
      <x:c r="G180" s="4" t="str">
        <x:v>UNIT-00179</x:v>
      </x:c>
      <x:c r="H180" s="9" t="n">
        <x:v>14700000</x:v>
      </x:c>
      <x:c r="I180" s="10" t="n">
        <x:v>0.05</x:v>
      </x:c>
      <x:c r="J180" s="11" t="n">
        <x:v>10</x:v>
      </x:c>
      <x:c r="K180" s="11" t="n">
        <x:v>4</x:v>
      </x:c>
      <x:c r="L180" s="11" t="n">
        <x:v>1</x:v>
      </x:c>
      <x:c r="M180" s="9" t="n">
        <x:f>ROUND(H180*(1-I180),2)</x:f>
        <x:v>13965000</x:v>
      </x:c>
      <x:c r="N180" s="4" t="str">
        <x:v>Sales manager</x:v>
      </x:c>
      <x:c r="O180" s="4" t="str">
        <x:v>BOOK-00179</x:v>
      </x:c>
      <x:c r="P180" s="9" t="n">
        <x:v>6982500</x:v>
      </x:c>
      <x:c r="Q180" s="11" t="n">
        <x:v>0</x:v>
      </x:c>
      <x:c r="R180" s="8" t="n">
        <x:v>45362</x:v>
      </x:c>
      <x:c r="S180" s="4" t="str">
        <x:v>Retained</x:v>
      </x:c>
      <x:c r="T180" s="10" t="n">
        <x:v>0.310195</x:v>
      </x:c>
      <x:c r="U180" s="4" t="str">
        <x:v>Train</x:v>
      </x:c>
    </x:row>
    <x:row r="181" ht="34" customHeight="1">
      <x:c r="A181" s="4" t="str">
        <x:v>RS-00180</x:v>
      </x:c>
      <x:c r="B181" s="8" t="n">
        <x:v>45303</x:v>
      </x:c>
      <x:c r="C181" s="4" t="str">
        <x:v>PRJ-020</x:v>
      </x:c>
      <x:c r="D181" s="4" t="str">
        <x:v>Office</x:v>
      </x:c>
      <x:c r="E181" s="4" t="str">
        <x:v>Enquiry</x:v>
      </x:c>
      <x:c r="F181" s="4" t="str">
        <x:v>CUS-00180</x:v>
      </x:c>
      <x:c r="G181" s="4" t="str">
        <x:v>UNIT-00180</x:v>
      </x:c>
      <x:c r="H181" s="9" t="n">
        <x:v>18900000</x:v>
      </x:c>
      <x:c r="I181" s="10" t="n">
        <x:v>0.11</x:v>
      </x:c>
      <x:c r="J181" s="11" t="n">
        <x:v>5</x:v>
      </x:c>
      <x:c r="K181" s="11" t="n">
        <x:v>7</x:v>
      </x:c>
      <x:c r="L181" s="11" t="n">
        <x:v>0</x:v>
      </x:c>
      <x:c r="M181" s="9" t="n">
        <x:f>ROUND(H181*(1-I181),2)</x:f>
        <x:v>16821000</x:v>
      </x:c>
      <x:c r="N181" s="4" t="str">
        <x:v>Sales head</x:v>
      </x:c>
      <x:c r="O181" s="4"/>
      <x:c r="P181" s="9" t="n">
        <x:v>0</x:v>
      </x:c>
      <x:c r="Q181" s="11" t="n">
        <x:v>1</x:v>
      </x:c>
      <x:c r="R181" s="8" t="n">
        <x:v>45363</x:v>
      </x:c>
      <x:c r="S181" s="4" t="str">
        <x:v>Lost / cancelled</x:v>
      </x:c>
      <x:c r="T181" s="10" t="n">
        <x:v>0.226277</x:v>
      </x:c>
      <x:c r="U181" s="4" t="str">
        <x:v>Train</x:v>
      </x:c>
    </x:row>
    <x:row r="182" ht="34" customHeight="1">
      <x:c r="A182" s="4" t="str">
        <x:v>RS-00181</x:v>
      </x:c>
      <x:c r="B182" s="8" t="n">
        <x:v>45304</x:v>
      </x:c>
      <x:c r="C182" s="4" t="str">
        <x:v>PRJ-001</x:v>
      </x:c>
      <x:c r="D182" s="4" t="str">
        <x:v>Villa</x:v>
      </x:c>
      <x:c r="E182" s="4" t="str">
        <x:v>Handed over</x:v>
      </x:c>
      <x:c r="F182" s="4" t="str">
        <x:v>CUS-00181</x:v>
      </x:c>
      <x:c r="G182" s="4" t="str">
        <x:v>UNIT-00181</x:v>
      </x:c>
      <x:c r="H182" s="9" t="n">
        <x:v>12600000</x:v>
      </x:c>
      <x:c r="I182" s="10" t="n">
        <x:v>0.05</x:v>
      </x:c>
      <x:c r="J182" s="11" t="n">
        <x:v>4</x:v>
      </x:c>
      <x:c r="K182" s="11" t="n">
        <x:v>3</x:v>
      </x:c>
      <x:c r="L182" s="11" t="n">
        <x:v>0</x:v>
      </x:c>
      <x:c r="M182" s="9" t="n">
        <x:f>ROUND(H182*(1-I182),2)</x:f>
        <x:v>11970000</x:v>
      </x:c>
      <x:c r="N182" s="4" t="str">
        <x:v>Sales manager</x:v>
      </x:c>
      <x:c r="O182" s="4" t="str">
        <x:v>BOOK-00181</x:v>
      </x:c>
      <x:c r="P182" s="9" t="n">
        <x:v>11970000</x:v>
      </x:c>
      <x:c r="Q182" s="11" t="n">
        <x:v>0</x:v>
      </x:c>
      <x:c r="R182" s="8" t="n">
        <x:v>45364</x:v>
      </x:c>
      <x:c r="S182" s="4" t="str">
        <x:v>Retained</x:v>
      </x:c>
      <x:c r="T182" s="10" t="n">
        <x:v>0.226277</x:v>
      </x:c>
      <x:c r="U182" s="4" t="str">
        <x:v>Train</x:v>
      </x:c>
    </x:row>
    <x:row r="183" ht="34" customHeight="1">
      <x:c r="A183" s="4" t="str">
        <x:v>RS-00182</x:v>
      </x:c>
      <x:c r="B183" s="8" t="n">
        <x:v>45305</x:v>
      </x:c>
      <x:c r="C183" s="4" t="str">
        <x:v>PRJ-002</x:v>
      </x:c>
      <x:c r="D183" s="4" t="str">
        <x:v>Apartment</x:v>
      </x:c>
      <x:c r="E183" s="4" t="str">
        <x:v>Enquiry</x:v>
      </x:c>
      <x:c r="F183" s="4" t="str">
        <x:v>CUS-00182</x:v>
      </x:c>
      <x:c r="G183" s="4" t="str">
        <x:v>UNIT-00182</x:v>
      </x:c>
      <x:c r="H183" s="9" t="n">
        <x:v>6400000</x:v>
      </x:c>
      <x:c r="I183" s="10" t="n">
        <x:v>0.12</x:v>
      </x:c>
      <x:c r="J183" s="11" t="n">
        <x:v>9</x:v>
      </x:c>
      <x:c r="K183" s="11" t="n">
        <x:v>6</x:v>
      </x:c>
      <x:c r="L183" s="11" t="n">
        <x:v>1</x:v>
      </x:c>
      <x:c r="M183" s="9" t="n">
        <x:f>ROUND(H183*(1-I183),2)</x:f>
        <x:v>5632000</x:v>
      </x:c>
      <x:c r="N183" s="4" t="str">
        <x:v>Sales head</x:v>
      </x:c>
      <x:c r="O183" s="4"/>
      <x:c r="P183" s="9" t="n">
        <x:v>0</x:v>
      </x:c>
      <x:c r="Q183" s="11" t="n">
        <x:v>0</x:v>
      </x:c>
      <x:c r="R183" s="8" t="n">
        <x:v>45365</x:v>
      </x:c>
      <x:c r="S183" s="4" t="str">
        <x:v>Retained</x:v>
      </x:c>
      <x:c r="T183" s="10" t="n">
        <x:v>0.310195</x:v>
      </x:c>
      <x:c r="U183" s="4" t="str">
        <x:v>Train</x:v>
      </x:c>
    </x:row>
    <x:row r="184" ht="34" customHeight="1">
      <x:c r="A184" s="4" t="str">
        <x:v>RS-00183</x:v>
      </x:c>
      <x:c r="B184" s="8" t="n">
        <x:v>45306</x:v>
      </x:c>
      <x:c r="C184" s="4" t="str">
        <x:v>PRJ-003</x:v>
      </x:c>
      <x:c r="D184" s="4" t="str">
        <x:v>Office</x:v>
      </x:c>
      <x:c r="E184" s="4" t="str">
        <x:v>Reserved</x:v>
      </x:c>
      <x:c r="F184" s="4" t="str">
        <x:v>CUS-00183</x:v>
      </x:c>
      <x:c r="G184" s="4" t="str">
        <x:v>UNIT-00183</x:v>
      </x:c>
      <x:c r="H184" s="9" t="n">
        <x:v>20600000</x:v>
      </x:c>
      <x:c r="I184" s="10" t="n">
        <x:v>0</x:v>
      </x:c>
      <x:c r="J184" s="11" t="n">
        <x:v>3</x:v>
      </x:c>
      <x:c r="K184" s="11" t="n">
        <x:v>0</x:v>
      </x:c>
      <x:c r="L184" s="11" t="n">
        <x:v>0</x:v>
      </x:c>
      <x:c r="M184" s="9" t="n">
        <x:f>ROUND(H184*(1-I184),2)</x:f>
        <x:v>20600000</x:v>
      </x:c>
      <x:c r="N184" s="4" t="str">
        <x:v>Sales manager</x:v>
      </x:c>
      <x:c r="O184" s="4"/>
      <x:c r="P184" s="9" t="n">
        <x:v>0</x:v>
      </x:c>
      <x:c r="Q184" s="11" t="n">
        <x:v>0</x:v>
      </x:c>
      <x:c r="R184" s="8" t="n">
        <x:v>45366</x:v>
      </x:c>
      <x:c r="S184" s="4" t="str">
        <x:v>Retained</x:v>
      </x:c>
      <x:c r="T184" s="10" t="n">
        <x:v>0.276923</x:v>
      </x:c>
      <x:c r="U184" s="4" t="str">
        <x:v>Train</x:v>
      </x:c>
    </x:row>
    <x:row r="185" ht="34" customHeight="1">
      <x:c r="A185" s="4" t="str">
        <x:v>RS-00184</x:v>
      </x:c>
      <x:c r="B185" s="8" t="n">
        <x:v>45307</x:v>
      </x:c>
      <x:c r="C185" s="4" t="str">
        <x:v>PRJ-004</x:v>
      </x:c>
      <x:c r="D185" s="4" t="str">
        <x:v>Villa</x:v>
      </x:c>
      <x:c r="E185" s="4" t="str">
        <x:v>Booked</x:v>
      </x:c>
      <x:c r="F185" s="4" t="str">
        <x:v>CUS-00184</x:v>
      </x:c>
      <x:c r="G185" s="4" t="str">
        <x:v>UNIT-00184</x:v>
      </x:c>
      <x:c r="H185" s="9" t="n">
        <x:v>6400000</x:v>
      </x:c>
      <x:c r="I185" s="10" t="n">
        <x:v>0.08</x:v>
      </x:c>
      <x:c r="J185" s="11" t="n">
        <x:v>6</x:v>
      </x:c>
      <x:c r="K185" s="11" t="n">
        <x:v>2</x:v>
      </x:c>
      <x:c r="L185" s="11" t="n">
        <x:v>1</x:v>
      </x:c>
      <x:c r="M185" s="9" t="n">
        <x:f>ROUND(H185*(1-I185),2)</x:f>
        <x:v>5888000</x:v>
      </x:c>
      <x:c r="N185" s="4" t="str">
        <x:v>Sales head</x:v>
      </x:c>
      <x:c r="O185" s="4" t="str">
        <x:v>BOOK-00184</x:v>
      </x:c>
      <x:c r="P185" s="9" t="n">
        <x:v>5888000</x:v>
      </x:c>
      <x:c r="Q185" s="11" t="n">
        <x:v>0</x:v>
      </x:c>
      <x:c r="R185" s="8" t="n">
        <x:v>45367</x:v>
      </x:c>
      <x:c r="S185" s="4" t="str">
        <x:v>Retained</x:v>
      </x:c>
      <x:c r="T185" s="10" t="n">
        <x:v>0.291946</x:v>
      </x:c>
      <x:c r="U185" s="4" t="str">
        <x:v>Train</x:v>
      </x:c>
    </x:row>
    <x:row r="186" ht="34" customHeight="1">
      <x:c r="A186" s="4" t="str">
        <x:v>RS-00185</x:v>
      </x:c>
      <x:c r="B186" s="8" t="n">
        <x:v>45308</x:v>
      </x:c>
      <x:c r="C186" s="4" t="str">
        <x:v>PRJ-005</x:v>
      </x:c>
      <x:c r="D186" s="4" t="str">
        <x:v>Office</x:v>
      </x:c>
      <x:c r="E186" s="4" t="str">
        <x:v>Handed over</x:v>
      </x:c>
      <x:c r="F186" s="4" t="str">
        <x:v>CUS-00185</x:v>
      </x:c>
      <x:c r="G186" s="4" t="str">
        <x:v>UNIT-00185</x:v>
      </x:c>
      <x:c r="H186" s="9" t="n">
        <x:v>21800000</x:v>
      </x:c>
      <x:c r="I186" s="10" t="n">
        <x:v>0.01</x:v>
      </x:c>
      <x:c r="J186" s="11" t="n">
        <x:v>8</x:v>
      </x:c>
      <x:c r="K186" s="11" t="n">
        <x:v>9</x:v>
      </x:c>
      <x:c r="L186" s="11" t="n">
        <x:v>1</x:v>
      </x:c>
      <x:c r="M186" s="9" t="n">
        <x:f>ROUND(H186*(1-I186),2)</x:f>
        <x:v>21582000</x:v>
      </x:c>
      <x:c r="N186" s="4" t="str">
        <x:v>Sales manager</x:v>
      </x:c>
      <x:c r="O186" s="4" t="str">
        <x:v>BOOK-00185</x:v>
      </x:c>
      <x:c r="P186" s="9" t="n">
        <x:v>5395500</x:v>
      </x:c>
      <x:c r="Q186" s="11" t="n">
        <x:v>0</x:v>
      </x:c>
      <x:c r="R186" s="8" t="n">
        <x:v>45368</x:v>
      </x:c>
      <x:c r="S186" s="4" t="str">
        <x:v>Retained</x:v>
      </x:c>
      <x:c r="T186" s="10" t="n">
        <x:v>0.254545</x:v>
      </x:c>
      <x:c r="U186" s="4" t="str">
        <x:v>Train</x:v>
      </x:c>
    </x:row>
    <x:row r="187" ht="34" customHeight="1">
      <x:c r="A187" s="4" t="str">
        <x:v>RS-00186</x:v>
      </x:c>
      <x:c r="B187" s="8" t="n">
        <x:v>45309</x:v>
      </x:c>
      <x:c r="C187" s="4" t="str">
        <x:v>PRJ-006</x:v>
      </x:c>
      <x:c r="D187" s="4" t="str">
        <x:v>Apartment</x:v>
      </x:c>
      <x:c r="E187" s="4" t="str">
        <x:v>Enquiry</x:v>
      </x:c>
      <x:c r="F187" s="4" t="str">
        <x:v>CUS-00186</x:v>
      </x:c>
      <x:c r="G187" s="4" t="str">
        <x:v>UNIT-00186</x:v>
      </x:c>
      <x:c r="H187" s="9" t="n">
        <x:v>18600000</x:v>
      </x:c>
      <x:c r="I187" s="10" t="n">
        <x:v>0.06</x:v>
      </x:c>
      <x:c r="J187" s="11" t="n">
        <x:v>7</x:v>
      </x:c>
      <x:c r="K187" s="11" t="n">
        <x:v>5</x:v>
      </x:c>
      <x:c r="L187" s="11" t="n">
        <x:v>1</x:v>
      </x:c>
      <x:c r="M187" s="9" t="n">
        <x:f>ROUND(H187*(1-I187),2)</x:f>
        <x:v>17484000</x:v>
      </x:c>
      <x:c r="N187" s="4" t="str">
        <x:v>Sales manager</x:v>
      </x:c>
      <x:c r="O187" s="4"/>
      <x:c r="P187" s="9" t="n">
        <x:v>0</x:v>
      </x:c>
      <x:c r="Q187" s="11" t="n">
        <x:v>0</x:v>
      </x:c>
      <x:c r="R187" s="8" t="n">
        <x:v>45369</x:v>
      </x:c>
      <x:c r="S187" s="4" t="str">
        <x:v>Retained</x:v>
      </x:c>
      <x:c r="T187" s="10" t="n">
        <x:v>0.291946</x:v>
      </x:c>
      <x:c r="U187" s="4" t="str">
        <x:v>Train</x:v>
      </x:c>
    </x:row>
    <x:row r="188" ht="34" customHeight="1">
      <x:c r="A188" s="4" t="str">
        <x:v>RS-00187</x:v>
      </x:c>
      <x:c r="B188" s="8" t="n">
        <x:v>45310</x:v>
      </x:c>
      <x:c r="C188" s="4" t="str">
        <x:v>PRJ-007</x:v>
      </x:c>
      <x:c r="D188" s="4" t="str">
        <x:v>Villa</x:v>
      </x:c>
      <x:c r="E188" s="4" t="str">
        <x:v>Reserved</x:v>
      </x:c>
      <x:c r="F188" s="4" t="str">
        <x:v>CUS-00187</x:v>
      </x:c>
      <x:c r="G188" s="4" t="str">
        <x:v>UNIT-00187</x:v>
      </x:c>
      <x:c r="H188" s="9" t="n">
        <x:v>15300000</x:v>
      </x:c>
      <x:c r="I188" s="10" t="n">
        <x:v>0.04</x:v>
      </x:c>
      <x:c r="J188" s="11" t="n">
        <x:v>0</x:v>
      </x:c>
      <x:c r="K188" s="11" t="n">
        <x:v>5</x:v>
      </x:c>
      <x:c r="L188" s="11" t="n">
        <x:v>1</x:v>
      </x:c>
      <x:c r="M188" s="9" t="n">
        <x:f>ROUND(H188*(1-I188),2)</x:f>
        <x:v>14688000</x:v>
      </x:c>
      <x:c r="N188" s="4" t="str">
        <x:v>Sales manager</x:v>
      </x:c>
      <x:c r="O188" s="4"/>
      <x:c r="P188" s="9" t="n">
        <x:v>0</x:v>
      </x:c>
      <x:c r="Q188" s="11" t="n">
        <x:v>0</x:v>
      </x:c>
      <x:c r="R188" s="8" t="n">
        <x:v>45370</x:v>
      </x:c>
      <x:c r="S188" s="4" t="str">
        <x:v>Retained</x:v>
      </x:c>
      <x:c r="T188" s="10" t="n">
        <x:v>0.204152</x:v>
      </x:c>
      <x:c r="U188" s="4" t="str">
        <x:v>Train</x:v>
      </x:c>
    </x:row>
    <x:row r="189" ht="34" customHeight="1">
      <x:c r="A189" s="4" t="str">
        <x:v>RS-00188</x:v>
      </x:c>
      <x:c r="B189" s="8" t="n">
        <x:v>45311</x:v>
      </x:c>
      <x:c r="C189" s="4" t="str">
        <x:v>PRJ-008</x:v>
      </x:c>
      <x:c r="D189" s="4" t="str">
        <x:v>Apartment</x:v>
      </x:c>
      <x:c r="E189" s="4" t="str">
        <x:v>Agreement signed</x:v>
      </x:c>
      <x:c r="F189" s="4" t="str">
        <x:v>CUS-00188</x:v>
      </x:c>
      <x:c r="G189" s="4" t="str">
        <x:v>UNIT-00188</x:v>
      </x:c>
      <x:c r="H189" s="9" t="n">
        <x:v>16100000</x:v>
      </x:c>
      <x:c r="I189" s="10" t="n">
        <x:v>0.03</x:v>
      </x:c>
      <x:c r="J189" s="11" t="n">
        <x:v>12</x:v>
      </x:c>
      <x:c r="K189" s="11" t="n">
        <x:v>3</x:v>
      </x:c>
      <x:c r="L189" s="11" t="n">
        <x:v>1</x:v>
      </x:c>
      <x:c r="M189" s="9" t="n">
        <x:f>ROUND(H189*(1-I189),2)</x:f>
        <x:v>15617000</x:v>
      </x:c>
      <x:c r="N189" s="4" t="str">
        <x:v>Sales manager</x:v>
      </x:c>
      <x:c r="O189" s="4" t="str">
        <x:v>BOOK-00188</x:v>
      </x:c>
      <x:c r="P189" s="9" t="n">
        <x:v>3904250</x:v>
      </x:c>
      <x:c r="Q189" s="11" t="n">
        <x:v>0</x:v>
      </x:c>
      <x:c r="R189" s="8" t="n">
        <x:v>45371</x:v>
      </x:c>
      <x:c r="S189" s="4" t="str">
        <x:v>Retained</x:v>
      </x:c>
      <x:c r="T189" s="10" t="n">
        <x:v>0.351536</x:v>
      </x:c>
      <x:c r="U189" s="4" t="str">
        <x:v>Train</x:v>
      </x:c>
    </x:row>
    <x:row r="190" ht="34" customHeight="1">
      <x:c r="A190" s="4" t="str">
        <x:v>RS-00189</x:v>
      </x:c>
      <x:c r="B190" s="8" t="n">
        <x:v>45312</x:v>
      </x:c>
      <x:c r="C190" s="4" t="str">
        <x:v>PRJ-009</x:v>
      </x:c>
      <x:c r="D190" s="4" t="str">
        <x:v>Retail</x:v>
      </x:c>
      <x:c r="E190" s="4" t="str">
        <x:v>Agreement signed</x:v>
      </x:c>
      <x:c r="F190" s="4" t="str">
        <x:v>CUS-00189</x:v>
      </x:c>
      <x:c r="G190" s="4" t="str">
        <x:v>UNIT-00189</x:v>
      </x:c>
      <x:c r="H190" s="9" t="n">
        <x:v>15000000</x:v>
      </x:c>
      <x:c r="I190" s="10" t="n">
        <x:v>0.01</x:v>
      </x:c>
      <x:c r="J190" s="11" t="n">
        <x:v>7</x:v>
      </x:c>
      <x:c r="K190" s="11" t="n">
        <x:v>4</x:v>
      </x:c>
      <x:c r="L190" s="11" t="n">
        <x:v>0</x:v>
      </x:c>
      <x:c r="M190" s="9" t="n">
        <x:f>ROUND(H190*(1-I190),2)</x:f>
        <x:v>14850000</x:v>
      </x:c>
      <x:c r="N190" s="4" t="str">
        <x:v>Sales manager</x:v>
      </x:c>
      <x:c r="O190" s="4" t="str">
        <x:v>BOOK-00189</x:v>
      </x:c>
      <x:c r="P190" s="9" t="n">
        <x:v>14850000</x:v>
      </x:c>
      <x:c r="Q190" s="11" t="n">
        <x:v>0</x:v>
      </x:c>
      <x:c r="R190" s="8" t="n">
        <x:v>45372</x:v>
      </x:c>
      <x:c r="S190" s="4" t="str">
        <x:v>Retained</x:v>
      </x:c>
      <x:c r="T190" s="10" t="n">
        <x:v>0.298969</x:v>
      </x:c>
      <x:c r="U190" s="4" t="str">
        <x:v>Train</x:v>
      </x:c>
    </x:row>
    <x:row r="191" ht="34" customHeight="1">
      <x:c r="A191" s="4" t="str">
        <x:v>RS-00190</x:v>
      </x:c>
      <x:c r="B191" s="8" t="n">
        <x:v>45313</x:v>
      </x:c>
      <x:c r="C191" s="4" t="str">
        <x:v>PRJ-010</x:v>
      </x:c>
      <x:c r="D191" s="4" t="str">
        <x:v>Retail</x:v>
      </x:c>
      <x:c r="E191" s="4" t="str">
        <x:v>Booked</x:v>
      </x:c>
      <x:c r="F191" s="4" t="str">
        <x:v>CUS-00190</x:v>
      </x:c>
      <x:c r="G191" s="4" t="str">
        <x:v>UNIT-00190</x:v>
      </x:c>
      <x:c r="H191" s="9" t="n">
        <x:v>5300000</x:v>
      </x:c>
      <x:c r="I191" s="10" t="n">
        <x:v>0.1</x:v>
      </x:c>
      <x:c r="J191" s="11" t="n">
        <x:v>1</x:v>
      </x:c>
      <x:c r="K191" s="11" t="n">
        <x:v>9</x:v>
      </x:c>
      <x:c r="L191" s="11" t="n">
        <x:v>0</x:v>
      </x:c>
      <x:c r="M191" s="9" t="n">
        <x:f>ROUND(H191*(1-I191),2)</x:f>
        <x:v>4770000</x:v>
      </x:c>
      <x:c r="N191" s="4" t="str">
        <x:v>Sales head</x:v>
      </x:c>
      <x:c r="O191" s="4" t="str">
        <x:v>BOOK-00190</x:v>
      </x:c>
      <x:c r="P191" s="9" t="n">
        <x:v>1192500</x:v>
      </x:c>
      <x:c r="Q191" s="11" t="n">
        <x:v>0</x:v>
      </x:c>
      <x:c r="R191" s="8" t="n">
        <x:v>45373</x:v>
      </x:c>
      <x:c r="S191" s="4" t="str">
        <x:v>Retained</x:v>
      </x:c>
      <x:c r="T191" s="10" t="n">
        <x:v>0.145833</x:v>
      </x:c>
      <x:c r="U191" s="4" t="str">
        <x:v>Train</x:v>
      </x:c>
    </x:row>
    <x:row r="192" ht="34" customHeight="1">
      <x:c r="A192" s="4" t="str">
        <x:v>RS-00191</x:v>
      </x:c>
      <x:c r="B192" s="8" t="n">
        <x:v>45314</x:v>
      </x:c>
      <x:c r="C192" s="4" t="str">
        <x:v>PRJ-011</x:v>
      </x:c>
      <x:c r="D192" s="4" t="str">
        <x:v>Apartment</x:v>
      </x:c>
      <x:c r="E192" s="4" t="str">
        <x:v>Enquiry</x:v>
      </x:c>
      <x:c r="F192" s="4" t="str">
        <x:v>CUS-00191</x:v>
      </x:c>
      <x:c r="G192" s="4" t="str">
        <x:v>UNIT-00191</x:v>
      </x:c>
      <x:c r="H192" s="9" t="n">
        <x:v>24600000</x:v>
      </x:c>
      <x:c r="I192" s="10" t="n">
        <x:v>0.06</x:v>
      </x:c>
      <x:c r="J192" s="11" t="n">
        <x:v>7</x:v>
      </x:c>
      <x:c r="K192" s="11" t="n">
        <x:v>2</x:v>
      </x:c>
      <x:c r="L192" s="11" t="n">
        <x:v>0</x:v>
      </x:c>
      <x:c r="M192" s="9" t="n">
        <x:f>ROUND(H192*(1-I192),2)</x:f>
        <x:v>23124000</x:v>
      </x:c>
      <x:c r="N192" s="4" t="str">
        <x:v>Sales manager</x:v>
      </x:c>
      <x:c r="O192" s="4"/>
      <x:c r="P192" s="9" t="n">
        <x:v>0</x:v>
      </x:c>
      <x:c r="Q192" s="11" t="n">
        <x:v>0</x:v>
      </x:c>
      <x:c r="R192" s="8" t="n">
        <x:v>45374</x:v>
      </x:c>
      <x:c r="S192" s="4" t="str">
        <x:v>Retained</x:v>
      </x:c>
      <x:c r="T192" s="10" t="n">
        <x:v>0.226277</x:v>
      </x:c>
      <x:c r="U192" s="4" t="str">
        <x:v>Train</x:v>
      </x:c>
    </x:row>
    <x:row r="193" ht="34" customHeight="1">
      <x:c r="A193" s="4" t="str">
        <x:v>RS-00192</x:v>
      </x:c>
      <x:c r="B193" s="8" t="n">
        <x:v>45315</x:v>
      </x:c>
      <x:c r="C193" s="4" t="str">
        <x:v>PRJ-012</x:v>
      </x:c>
      <x:c r="D193" s="4" t="str">
        <x:v>Office</x:v>
      </x:c>
      <x:c r="E193" s="4" t="str">
        <x:v>Enquiry</x:v>
      </x:c>
      <x:c r="F193" s="4" t="str">
        <x:v>CUS-00192</x:v>
      </x:c>
      <x:c r="G193" s="4" t="str">
        <x:v>UNIT-00192</x:v>
      </x:c>
      <x:c r="H193" s="9" t="n">
        <x:v>11200000</x:v>
      </x:c>
      <x:c r="I193" s="10" t="n">
        <x:v>0.12</x:v>
      </x:c>
      <x:c r="J193" s="11" t="n">
        <x:v>8</x:v>
      </x:c>
      <x:c r="K193" s="11" t="n">
        <x:v>1</x:v>
      </x:c>
      <x:c r="L193" s="11" t="n">
        <x:v>1</x:v>
      </x:c>
      <x:c r="M193" s="9" t="n">
        <x:f>ROUND(H193*(1-I193),2)</x:f>
        <x:v>9856000</x:v>
      </x:c>
      <x:c r="N193" s="4" t="str">
        <x:v>Sales head</x:v>
      </x:c>
      <x:c r="O193" s="4"/>
      <x:c r="P193" s="9" t="n">
        <x:v>0</x:v>
      </x:c>
      <x:c r="Q193" s="11" t="n">
        <x:v>1</x:v>
      </x:c>
      <x:c r="R193" s="8" t="n">
        <x:v>45375</x:v>
      </x:c>
      <x:c r="S193" s="4" t="str">
        <x:v>Lost / cancelled</x:v>
      </x:c>
      <x:c r="T193" s="10" t="n">
        <x:v>0.310195</x:v>
      </x:c>
      <x:c r="U193" s="4" t="str">
        <x:v>Train</x:v>
      </x:c>
    </x:row>
    <x:row r="194" ht="34" customHeight="1">
      <x:c r="A194" s="4" t="str">
        <x:v>RS-00193</x:v>
      </x:c>
      <x:c r="B194" s="8" t="n">
        <x:v>45316</x:v>
      </x:c>
      <x:c r="C194" s="4" t="str">
        <x:v>PRJ-013</x:v>
      </x:c>
      <x:c r="D194" s="4" t="str">
        <x:v>Villa</x:v>
      </x:c>
      <x:c r="E194" s="4" t="str">
        <x:v>Agreement signed</x:v>
      </x:c>
      <x:c r="F194" s="4" t="str">
        <x:v>CUS-00193</x:v>
      </x:c>
      <x:c r="G194" s="4" t="str">
        <x:v>UNIT-00193</x:v>
      </x:c>
      <x:c r="H194" s="9" t="n">
        <x:v>23100000</x:v>
      </x:c>
      <x:c r="I194" s="10" t="n">
        <x:v>0.1</x:v>
      </x:c>
      <x:c r="J194" s="11" t="n">
        <x:v>10</x:v>
      </x:c>
      <x:c r="K194" s="11" t="n">
        <x:v>7</x:v>
      </x:c>
      <x:c r="L194" s="11" t="n">
        <x:v>1</x:v>
      </x:c>
      <x:c r="M194" s="9" t="n">
        <x:f>ROUND(H194*(1-I194),2)</x:f>
        <x:v>20790000</x:v>
      </x:c>
      <x:c r="N194" s="4" t="str">
        <x:v>Sales head</x:v>
      </x:c>
      <x:c r="O194" s="4" t="str">
        <x:v>BOOK-00193</x:v>
      </x:c>
      <x:c r="P194" s="9" t="n">
        <x:v>5197500</x:v>
      </x:c>
      <x:c r="Q194" s="11" t="n">
        <x:v>0</x:v>
      </x:c>
      <x:c r="R194" s="8" t="n">
        <x:v>45376</x:v>
      </x:c>
      <x:c r="S194" s="4" t="str">
        <x:v>Retained</x:v>
      </x:c>
      <x:c r="T194" s="10" t="n">
        <x:v>0.310195</x:v>
      </x:c>
      <x:c r="U194" s="4" t="str">
        <x:v>Train</x:v>
      </x:c>
    </x:row>
    <x:row r="195" ht="34" customHeight="1">
      <x:c r="A195" s="4" t="str">
        <x:v>RS-00194</x:v>
      </x:c>
      <x:c r="B195" s="8" t="n">
        <x:v>45317</x:v>
      </x:c>
      <x:c r="C195" s="4" t="str">
        <x:v>PRJ-014</x:v>
      </x:c>
      <x:c r="D195" s="4" t="str">
        <x:v>Retail</x:v>
      </x:c>
      <x:c r="E195" s="4" t="str">
        <x:v>Reserved</x:v>
      </x:c>
      <x:c r="F195" s="4" t="str">
        <x:v>CUS-00194</x:v>
      </x:c>
      <x:c r="G195" s="4" t="str">
        <x:v>UNIT-00194</x:v>
      </x:c>
      <x:c r="H195" s="9" t="n">
        <x:v>20500000</x:v>
      </x:c>
      <x:c r="I195" s="10" t="n">
        <x:v>0.09</x:v>
      </x:c>
      <x:c r="J195" s="11" t="n">
        <x:v>3</x:v>
      </x:c>
      <x:c r="K195" s="11" t="n">
        <x:v>2</x:v>
      </x:c>
      <x:c r="L195" s="11" t="n">
        <x:v>0</x:v>
      </x:c>
      <x:c r="M195" s="9" t="n">
        <x:f>ROUND(H195*(1-I195),2)</x:f>
        <x:v>18655000</x:v>
      </x:c>
      <x:c r="N195" s="4" t="str">
        <x:v>Sales head</x:v>
      </x:c>
      <x:c r="O195" s="4"/>
      <x:c r="P195" s="9" t="n">
        <x:v>0</x:v>
      </x:c>
      <x:c r="Q195" s="11" t="n">
        <x:v>0</x:v>
      </x:c>
      <x:c r="R195" s="8" t="n">
        <x:v>45377</x:v>
      </x:c>
      <x:c r="S195" s="4" t="str">
        <x:v>Retained</x:v>
      </x:c>
      <x:c r="T195" s="10" t="n">
        <x:v>0.145833</x:v>
      </x:c>
      <x:c r="U195" s="4" t="str">
        <x:v>Train</x:v>
      </x:c>
    </x:row>
    <x:row r="196" ht="34" customHeight="1">
      <x:c r="A196" s="4" t="str">
        <x:v>RS-00195</x:v>
      </x:c>
      <x:c r="B196" s="8" t="n">
        <x:v>45318</x:v>
      </x:c>
      <x:c r="C196" s="4" t="str">
        <x:v>PRJ-015</x:v>
      </x:c>
      <x:c r="D196" s="4" t="str">
        <x:v>Apartment</x:v>
      </x:c>
      <x:c r="E196" s="4" t="str">
        <x:v>Booked</x:v>
      </x:c>
      <x:c r="F196" s="4" t="str">
        <x:v>CUS-00195</x:v>
      </x:c>
      <x:c r="G196" s="4" t="str">
        <x:v>UNIT-00195</x:v>
      </x:c>
      <x:c r="H196" s="9" t="n">
        <x:v>21300000</x:v>
      </x:c>
      <x:c r="I196" s="10" t="n">
        <x:v>0.03</x:v>
      </x:c>
      <x:c r="J196" s="11" t="n">
        <x:v>0</x:v>
      </x:c>
      <x:c r="K196" s="11" t="n">
        <x:v>10</x:v>
      </x:c>
      <x:c r="L196" s="11" t="n">
        <x:v>0</x:v>
      </x:c>
      <x:c r="M196" s="9" t="n">
        <x:f>ROUND(H196*(1-I196),2)</x:f>
        <x:v>20661000</x:v>
      </x:c>
      <x:c r="N196" s="4" t="str">
        <x:v>Sales manager</x:v>
      </x:c>
      <x:c r="O196" s="4" t="str">
        <x:v>BOOK-00195</x:v>
      </x:c>
      <x:c r="P196" s="9" t="n">
        <x:v>20661000</x:v>
      </x:c>
      <x:c r="Q196" s="11" t="n">
        <x:v>0</x:v>
      </x:c>
      <x:c r="R196" s="8" t="n">
        <x:v>45378</x:v>
      </x:c>
      <x:c r="S196" s="4" t="str">
        <x:v>Retained</x:v>
      </x:c>
      <x:c r="T196" s="10" t="n">
        <x:v>0.072165</x:v>
      </x:c>
      <x:c r="U196" s="4" t="str">
        <x:v>Train</x:v>
      </x:c>
    </x:row>
    <x:row r="197" ht="34" customHeight="1">
      <x:c r="A197" s="4" t="str">
        <x:v>RS-00196</x:v>
      </x:c>
      <x:c r="B197" s="8" t="n">
        <x:v>45319</x:v>
      </x:c>
      <x:c r="C197" s="4" t="str">
        <x:v>PRJ-016</x:v>
      </x:c>
      <x:c r="D197" s="4" t="str">
        <x:v>Retail</x:v>
      </x:c>
      <x:c r="E197" s="4" t="str">
        <x:v>Cancelled</x:v>
      </x:c>
      <x:c r="F197" s="4" t="str">
        <x:v>CUS-00196</x:v>
      </x:c>
      <x:c r="G197" s="4" t="str">
        <x:v>UNIT-00196</x:v>
      </x:c>
      <x:c r="H197" s="9" t="n">
        <x:v>7100000</x:v>
      </x:c>
      <x:c r="I197" s="10" t="n">
        <x:v>0.09</x:v>
      </x:c>
      <x:c r="J197" s="11" t="n">
        <x:v>9</x:v>
      </x:c>
      <x:c r="K197" s="11" t="n">
        <x:v>6</x:v>
      </x:c>
      <x:c r="L197" s="11" t="n">
        <x:v>0</x:v>
      </x:c>
      <x:c r="M197" s="9" t="n">
        <x:f>ROUND(H197*(1-I197),2)</x:f>
        <x:v>6461000</x:v>
      </x:c>
      <x:c r="N197" s="4" t="str">
        <x:v>Sales head</x:v>
      </x:c>
      <x:c r="O197" s="4"/>
      <x:c r="P197" s="9" t="n">
        <x:v>0</x:v>
      </x:c>
      <x:c r="Q197" s="11" t="n">
        <x:v>1</x:v>
      </x:c>
      <x:c r="R197" s="8" t="n">
        <x:v>45379</x:v>
      </x:c>
      <x:c r="S197" s="4" t="str">
        <x:v>Lost / cancelled</x:v>
      </x:c>
      <x:c r="T197" s="10" t="n">
        <x:v>0.310195</x:v>
      </x:c>
      <x:c r="U197" s="4" t="str">
        <x:v>Train</x:v>
      </x:c>
    </x:row>
    <x:row r="198" ht="34" customHeight="1">
      <x:c r="A198" s="4" t="str">
        <x:v>RS-00197</x:v>
      </x:c>
      <x:c r="B198" s="8" t="n">
        <x:v>45292</x:v>
      </x:c>
      <x:c r="C198" s="4" t="str">
        <x:v>PRJ-017</x:v>
      </x:c>
      <x:c r="D198" s="4" t="str">
        <x:v>Apartment</x:v>
      </x:c>
      <x:c r="E198" s="4" t="str">
        <x:v>Handed over</x:v>
      </x:c>
      <x:c r="F198" s="4" t="str">
        <x:v>CUS-00197</x:v>
      </x:c>
      <x:c r="G198" s="4" t="str">
        <x:v>UNIT-00197</x:v>
      </x:c>
      <x:c r="H198" s="9" t="n">
        <x:v>17400000</x:v>
      </x:c>
      <x:c r="I198" s="10" t="n">
        <x:v>0.11</x:v>
      </x:c>
      <x:c r="J198" s="11" t="n">
        <x:v>7</x:v>
      </x:c>
      <x:c r="K198" s="11" t="n">
        <x:v>0</x:v>
      </x:c>
      <x:c r="L198" s="11" t="n">
        <x:v>1</x:v>
      </x:c>
      <x:c r="M198" s="9" t="n">
        <x:f>ROUND(H198*(1-I198),2)</x:f>
        <x:v>15486000</x:v>
      </x:c>
      <x:c r="N198" s="4" t="str">
        <x:v>Sales head</x:v>
      </x:c>
      <x:c r="O198" s="4" t="str">
        <x:v>BOOK-00197</x:v>
      </x:c>
      <x:c r="P198" s="9" t="n">
        <x:v>15486000</x:v>
      </x:c>
      <x:c r="Q198" s="11" t="n">
        <x:v>0</x:v>
      </x:c>
      <x:c r="R198" s="8" t="n">
        <x:v>45352</x:v>
      </x:c>
      <x:c r="S198" s="4" t="str">
        <x:v>Retained</x:v>
      </x:c>
      <x:c r="T198" s="10" t="n">
        <x:v>0.291946</x:v>
      </x:c>
      <x:c r="U198" s="4" t="str">
        <x:v>Train</x:v>
      </x:c>
    </x:row>
    <x:row r="199" ht="34" customHeight="1">
      <x:c r="A199" s="4" t="str">
        <x:v>RS-00198</x:v>
      </x:c>
      <x:c r="B199" s="8" t="n">
        <x:v>45293</x:v>
      </x:c>
      <x:c r="C199" s="4" t="str">
        <x:v>PRJ-018</x:v>
      </x:c>
      <x:c r="D199" s="4" t="str">
        <x:v>Retail</x:v>
      </x:c>
      <x:c r="E199" s="4" t="str">
        <x:v>Handed over</x:v>
      </x:c>
      <x:c r="F199" s="4" t="str">
        <x:v>CUS-00198</x:v>
      </x:c>
      <x:c r="G199" s="4" t="str">
        <x:v>UNIT-00198</x:v>
      </x:c>
      <x:c r="H199" s="9" t="n">
        <x:v>21700000</x:v>
      </x:c>
      <x:c r="I199" s="10" t="n">
        <x:v>0.07</x:v>
      </x:c>
      <x:c r="J199" s="11" t="n">
        <x:v>4</x:v>
      </x:c>
      <x:c r="K199" s="11" t="n">
        <x:v>5</x:v>
      </x:c>
      <x:c r="L199" s="11" t="n">
        <x:v>0</x:v>
      </x:c>
      <x:c r="M199" s="9" t="n">
        <x:f>ROUND(H199*(1-I199),2)</x:f>
        <x:v>20181000</x:v>
      </x:c>
      <x:c r="N199" s="4" t="str">
        <x:v>Sales manager</x:v>
      </x:c>
      <x:c r="O199" s="4" t="str">
        <x:v>BOOK-00198</x:v>
      </x:c>
      <x:c r="P199" s="9" t="n">
        <x:v>10090500</x:v>
      </x:c>
      <x:c r="Q199" s="11" t="n">
        <x:v>0</x:v>
      </x:c>
      <x:c r="R199" s="8" t="n">
        <x:v>45353</x:v>
      </x:c>
      <x:c r="S199" s="4" t="str">
        <x:v>Retained</x:v>
      </x:c>
      <x:c r="T199" s="10" t="n">
        <x:v>0.226277</x:v>
      </x:c>
      <x:c r="U199" s="4" t="str">
        <x:v>Train</x:v>
      </x:c>
    </x:row>
    <x:row r="200" ht="34" customHeight="1">
      <x:c r="A200" s="4" t="str">
        <x:v>RS-00199</x:v>
      </x:c>
      <x:c r="B200" s="8" t="n">
        <x:v>45294</x:v>
      </x:c>
      <x:c r="C200" s="4" t="str">
        <x:v>PRJ-019</x:v>
      </x:c>
      <x:c r="D200" s="4" t="str">
        <x:v>Villa</x:v>
      </x:c>
      <x:c r="E200" s="4" t="str">
        <x:v>Enquiry</x:v>
      </x:c>
      <x:c r="F200" s="4" t="str">
        <x:v>CUS-00199</x:v>
      </x:c>
      <x:c r="G200" s="4" t="str">
        <x:v>UNIT-00199</x:v>
      </x:c>
      <x:c r="H200" s="9" t="n">
        <x:v>13700000</x:v>
      </x:c>
      <x:c r="I200" s="10" t="n">
        <x:v>0.04</x:v>
      </x:c>
      <x:c r="J200" s="11" t="n">
        <x:v>6</x:v>
      </x:c>
      <x:c r="K200" s="11" t="n">
        <x:v>0</x:v>
      </x:c>
      <x:c r="L200" s="11" t="n">
        <x:v>1</x:v>
      </x:c>
      <x:c r="M200" s="9" t="n">
        <x:f>ROUND(H200*(1-I200),2)</x:f>
        <x:v>13152000</x:v>
      </x:c>
      <x:c r="N200" s="4" t="str">
        <x:v>Sales manager</x:v>
      </x:c>
      <x:c r="O200" s="4"/>
      <x:c r="P200" s="9" t="n">
        <x:v>0</x:v>
      </x:c>
      <x:c r="Q200" s="11" t="n">
        <x:v>0</x:v>
      </x:c>
      <x:c r="R200" s="8" t="n">
        <x:v>45354</x:v>
      </x:c>
      <x:c r="S200" s="4" t="str">
        <x:v>Retained</x:v>
      </x:c>
      <x:c r="T200" s="10" t="n">
        <x:v>0.291946</x:v>
      </x:c>
      <x:c r="U200" s="4" t="str">
        <x:v>Train</x:v>
      </x:c>
    </x:row>
    <x:row r="201" ht="34" customHeight="1">
      <x:c r="A201" s="4" t="str">
        <x:v>RS-00200</x:v>
      </x:c>
      <x:c r="B201" s="8" t="n">
        <x:v>45295</x:v>
      </x:c>
      <x:c r="C201" s="4" t="str">
        <x:v>PRJ-020</x:v>
      </x:c>
      <x:c r="D201" s="4" t="str">
        <x:v>Villa</x:v>
      </x:c>
      <x:c r="E201" s="4" t="str">
        <x:v>Booked</x:v>
      </x:c>
      <x:c r="F201" s="4" t="str">
        <x:v>CUS-00200</x:v>
      </x:c>
      <x:c r="G201" s="4" t="str">
        <x:v>UNIT-00200</x:v>
      </x:c>
      <x:c r="H201" s="9" t="n">
        <x:v>10000000</x:v>
      </x:c>
      <x:c r="I201" s="10" t="n">
        <x:v>0.04</x:v>
      </x:c>
      <x:c r="J201" s="11" t="n">
        <x:v>11</x:v>
      </x:c>
      <x:c r="K201" s="11" t="n">
        <x:v>7</x:v>
      </x:c>
      <x:c r="L201" s="11" t="n">
        <x:v>1</x:v>
      </x:c>
      <x:c r="M201" s="9" t="n">
        <x:f>ROUND(H201*(1-I201),2)</x:f>
        <x:v>9600000</x:v>
      </x:c>
      <x:c r="N201" s="4" t="str">
        <x:v>Sales manager</x:v>
      </x:c>
      <x:c r="O201" s="4" t="str">
        <x:v>BOOK-00200</x:v>
      </x:c>
      <x:c r="P201" s="9" t="n">
        <x:v>960000</x:v>
      </x:c>
      <x:c r="Q201" s="11" t="n">
        <x:v>0</x:v>
      </x:c>
      <x:c r="R201" s="8" t="n">
        <x:v>45355</x:v>
      </x:c>
      <x:c r="S201" s="4" t="str">
        <x:v>Retained</x:v>
      </x:c>
      <x:c r="T201" s="10" t="n">
        <x:v>0.351536</x:v>
      </x:c>
      <x:c r="U201" s="4" t="str">
        <x:v>Train</x:v>
      </x:c>
    </x:row>
    <x:row r="202" ht="34" customHeight="1">
      <x:c r="A202" s="4" t="str">
        <x:v>RS-00201</x:v>
      </x:c>
      <x:c r="B202" s="8" t="n">
        <x:v>45296</x:v>
      </x:c>
      <x:c r="C202" s="4" t="str">
        <x:v>PRJ-001</x:v>
      </x:c>
      <x:c r="D202" s="4" t="str">
        <x:v>Office</x:v>
      </x:c>
      <x:c r="E202" s="4" t="str">
        <x:v>Handed over</x:v>
      </x:c>
      <x:c r="F202" s="4" t="str">
        <x:v>CUS-00201</x:v>
      </x:c>
      <x:c r="G202" s="4" t="str">
        <x:v>UNIT-00201</x:v>
      </x:c>
      <x:c r="H202" s="9" t="n">
        <x:v>19900000</x:v>
      </x:c>
      <x:c r="I202" s="10" t="n">
        <x:v>0.12</x:v>
      </x:c>
      <x:c r="J202" s="11" t="n">
        <x:v>5</x:v>
      </x:c>
      <x:c r="K202" s="11" t="n">
        <x:v>10</x:v>
      </x:c>
      <x:c r="L202" s="11" t="n">
        <x:v>0</x:v>
      </x:c>
      <x:c r="M202" s="9" t="n">
        <x:f>ROUND(H202*(1-I202),2)</x:f>
        <x:v>17512000</x:v>
      </x:c>
      <x:c r="N202" s="4" t="str">
        <x:v>Sales head</x:v>
      </x:c>
      <x:c r="O202" s="4" t="str">
        <x:v>BOOK-00201</x:v>
      </x:c>
      <x:c r="P202" s="9" t="n">
        <x:v>8756000</x:v>
      </x:c>
      <x:c r="Q202" s="11" t="n">
        <x:v>0</x:v>
      </x:c>
      <x:c r="R202" s="8" t="n">
        <x:v>45356</x:v>
      </x:c>
      <x:c r="S202" s="4" t="str">
        <x:v>Retained</x:v>
      </x:c>
      <x:c r="T202" s="10" t="n">
        <x:v>0.226277</x:v>
      </x:c>
      <x:c r="U202" s="4" t="str">
        <x:v>Train</x:v>
      </x:c>
    </x:row>
    <x:row r="203" ht="34" customHeight="1">
      <x:c r="A203" s="4" t="str">
        <x:v>RS-00202</x:v>
      </x:c>
      <x:c r="B203" s="8" t="n">
        <x:v>45297</x:v>
      </x:c>
      <x:c r="C203" s="4" t="str">
        <x:v>PRJ-002</x:v>
      </x:c>
      <x:c r="D203" s="4" t="str">
        <x:v>Office</x:v>
      </x:c>
      <x:c r="E203" s="4" t="str">
        <x:v>Booked</x:v>
      </x:c>
      <x:c r="F203" s="4" t="str">
        <x:v>CUS-00202</x:v>
      </x:c>
      <x:c r="G203" s="4" t="str">
        <x:v>UNIT-00202</x:v>
      </x:c>
      <x:c r="H203" s="9" t="n">
        <x:v>18600000</x:v>
      </x:c>
      <x:c r="I203" s="10" t="n">
        <x:v>0.06</x:v>
      </x:c>
      <x:c r="J203" s="11" t="n">
        <x:v>7</x:v>
      </x:c>
      <x:c r="K203" s="11" t="n">
        <x:v>0</x:v>
      </x:c>
      <x:c r="L203" s="11" t="n">
        <x:v>1</x:v>
      </x:c>
      <x:c r="M203" s="9" t="n">
        <x:f>ROUND(H203*(1-I203),2)</x:f>
        <x:v>17484000</x:v>
      </x:c>
      <x:c r="N203" s="4" t="str">
        <x:v>Sales manager</x:v>
      </x:c>
      <x:c r="O203" s="4" t="str">
        <x:v>BOOK-00202</x:v>
      </x:c>
      <x:c r="P203" s="9" t="n">
        <x:v>4371000</x:v>
      </x:c>
      <x:c r="Q203" s="11" t="n">
        <x:v>0</x:v>
      </x:c>
      <x:c r="R203" s="8" t="n">
        <x:v>45357</x:v>
      </x:c>
      <x:c r="S203" s="4" t="str">
        <x:v>Retained</x:v>
      </x:c>
      <x:c r="T203" s="10" t="n">
        <x:v>0.291946</x:v>
      </x:c>
      <x:c r="U203" s="4" t="str">
        <x:v>Train</x:v>
      </x:c>
    </x:row>
    <x:row r="204" ht="34" customHeight="1">
      <x:c r="A204" s="4" t="str">
        <x:v>RS-00203</x:v>
      </x:c>
      <x:c r="B204" s="8" t="n">
        <x:v>45298</x:v>
      </x:c>
      <x:c r="C204" s="4" t="str">
        <x:v>PRJ-003</x:v>
      </x:c>
      <x:c r="D204" s="4" t="str">
        <x:v>Retail</x:v>
      </x:c>
      <x:c r="E204" s="4" t="str">
        <x:v>Handed over</x:v>
      </x:c>
      <x:c r="F204" s="4" t="str">
        <x:v>CUS-00203</x:v>
      </x:c>
      <x:c r="G204" s="4" t="str">
        <x:v>UNIT-00203</x:v>
      </x:c>
      <x:c r="H204" s="9" t="n">
        <x:v>13700000</x:v>
      </x:c>
      <x:c r="I204" s="10" t="n">
        <x:v>0.02</x:v>
      </x:c>
      <x:c r="J204" s="11" t="n">
        <x:v>10</x:v>
      </x:c>
      <x:c r="K204" s="11" t="n">
        <x:v>7</x:v>
      </x:c>
      <x:c r="L204" s="11" t="n">
        <x:v>0</x:v>
      </x:c>
      <x:c r="M204" s="9" t="n">
        <x:f>ROUND(H204*(1-I204),2)</x:f>
        <x:v>13426000</x:v>
      </x:c>
      <x:c r="N204" s="4" t="str">
        <x:v>Sales manager</x:v>
      </x:c>
      <x:c r="O204" s="4" t="str">
        <x:v>BOOK-00203</x:v>
      </x:c>
      <x:c r="P204" s="9" t="n">
        <x:v>6713000</x:v>
      </x:c>
      <x:c r="Q204" s="11" t="n">
        <x:v>0</x:v>
      </x:c>
      <x:c r="R204" s="8" t="n">
        <x:v>45358</x:v>
      </x:c>
      <x:c r="S204" s="4" t="str">
        <x:v>Retained</x:v>
      </x:c>
      <x:c r="T204" s="10" t="n">
        <x:v>0.305556</x:v>
      </x:c>
      <x:c r="U204" s="4" t="str">
        <x:v>Train</x:v>
      </x:c>
    </x:row>
    <x:row r="205" ht="34" customHeight="1">
      <x:c r="A205" s="4" t="str">
        <x:v>RS-00204</x:v>
      </x:c>
      <x:c r="B205" s="8" t="n">
        <x:v>45299</x:v>
      </x:c>
      <x:c r="C205" s="4" t="str">
        <x:v>PRJ-004</x:v>
      </x:c>
      <x:c r="D205" s="4" t="str">
        <x:v>Retail</x:v>
      </x:c>
      <x:c r="E205" s="4" t="str">
        <x:v>Handed over</x:v>
      </x:c>
      <x:c r="F205" s="4" t="str">
        <x:v>CUS-00204</x:v>
      </x:c>
      <x:c r="G205" s="4" t="str">
        <x:v>UNIT-00204</x:v>
      </x:c>
      <x:c r="H205" s="9" t="n">
        <x:v>10600000</x:v>
      </x:c>
      <x:c r="I205" s="10" t="n">
        <x:v>0.02</x:v>
      </x:c>
      <x:c r="J205" s="11" t="n">
        <x:v>1</x:v>
      </x:c>
      <x:c r="K205" s="11" t="n">
        <x:v>5</x:v>
      </x:c>
      <x:c r="L205" s="11" t="n">
        <x:v>0</x:v>
      </x:c>
      <x:c r="M205" s="9" t="n">
        <x:f>ROUND(H205*(1-I205),2)</x:f>
        <x:v>10388000</x:v>
      </x:c>
      <x:c r="N205" s="4" t="str">
        <x:v>Sales manager</x:v>
      </x:c>
      <x:c r="O205" s="4" t="str">
        <x:v>BOOK-00204</x:v>
      </x:c>
      <x:c r="P205" s="9" t="n">
        <x:v>2597000</x:v>
      </x:c>
      <x:c r="Q205" s="11" t="n">
        <x:v>0</x:v>
      </x:c>
      <x:c r="R205" s="8" t="n">
        <x:v>45359</x:v>
      </x:c>
      <x:c r="S205" s="4" t="str">
        <x:v>Retained</x:v>
      </x:c>
      <x:c r="T205" s="10" t="n">
        <x:v>0.072165</x:v>
      </x:c>
      <x:c r="U205" s="4" t="str">
        <x:v>Train</x:v>
      </x:c>
    </x:row>
    <x:row r="206" ht="34" customHeight="1">
      <x:c r="A206" s="4" t="str">
        <x:v>RS-00205</x:v>
      </x:c>
      <x:c r="B206" s="8" t="n">
        <x:v>45300</x:v>
      </x:c>
      <x:c r="C206" s="4" t="str">
        <x:v>PRJ-005</x:v>
      </x:c>
      <x:c r="D206" s="4" t="str">
        <x:v>Villa</x:v>
      </x:c>
      <x:c r="E206" s="4" t="str">
        <x:v>Cancelled</x:v>
      </x:c>
      <x:c r="F206" s="4" t="str">
        <x:v>CUS-00205</x:v>
      </x:c>
      <x:c r="G206" s="4" t="str">
        <x:v>UNIT-00205</x:v>
      </x:c>
      <x:c r="H206" s="9" t="n">
        <x:v>13500000</x:v>
      </x:c>
      <x:c r="I206" s="10" t="n">
        <x:v>0.04</x:v>
      </x:c>
      <x:c r="J206" s="11" t="n">
        <x:v>5</x:v>
      </x:c>
      <x:c r="K206" s="11" t="n">
        <x:v>8</x:v>
      </x:c>
      <x:c r="L206" s="11" t="n">
        <x:v>0</x:v>
      </x:c>
      <x:c r="M206" s="9" t="n">
        <x:f>ROUND(H206*(1-I206),2)</x:f>
        <x:v>12960000</x:v>
      </x:c>
      <x:c r="N206" s="4" t="str">
        <x:v>Sales manager</x:v>
      </x:c>
      <x:c r="O206" s="4"/>
      <x:c r="P206" s="9" t="n">
        <x:v>0</x:v>
      </x:c>
      <x:c r="Q206" s="11" t="n">
        <x:v>1</x:v>
      </x:c>
      <x:c r="R206" s="8" t="n">
        <x:v>45360</x:v>
      </x:c>
      <x:c r="S206" s="4" t="str">
        <x:v>Lost / cancelled</x:v>
      </x:c>
      <x:c r="T206" s="10" t="n">
        <x:v>0.226277</x:v>
      </x:c>
      <x:c r="U206" s="4" t="str">
        <x:v>Train</x:v>
      </x:c>
    </x:row>
    <x:row r="207" ht="34" customHeight="1">
      <x:c r="A207" s="4" t="str">
        <x:v>RS-00206</x:v>
      </x:c>
      <x:c r="B207" s="8" t="n">
        <x:v>45301</x:v>
      </x:c>
      <x:c r="C207" s="4" t="str">
        <x:v>PRJ-006</x:v>
      </x:c>
      <x:c r="D207" s="4" t="str">
        <x:v>Retail</x:v>
      </x:c>
      <x:c r="E207" s="4" t="str">
        <x:v>Cancelled</x:v>
      </x:c>
      <x:c r="F207" s="4" t="str">
        <x:v>CUS-00206</x:v>
      </x:c>
      <x:c r="G207" s="4" t="str">
        <x:v>UNIT-00206</x:v>
      </x:c>
      <x:c r="H207" s="9" t="n">
        <x:v>22300000</x:v>
      </x:c>
      <x:c r="I207" s="10" t="n">
        <x:v>0.04</x:v>
      </x:c>
      <x:c r="J207" s="11" t="n">
        <x:v>11</x:v>
      </x:c>
      <x:c r="K207" s="11" t="n">
        <x:v>9</x:v>
      </x:c>
      <x:c r="L207" s="11" t="n">
        <x:v>1</x:v>
      </x:c>
      <x:c r="M207" s="9" t="n">
        <x:f>ROUND(H207*(1-I207),2)</x:f>
        <x:v>21408000</x:v>
      </x:c>
      <x:c r="N207" s="4" t="str">
        <x:v>Sales manager</x:v>
      </x:c>
      <x:c r="O207" s="4"/>
      <x:c r="P207" s="9" t="n">
        <x:v>0</x:v>
      </x:c>
      <x:c r="Q207" s="11" t="n">
        <x:v>1</x:v>
      </x:c>
      <x:c r="R207" s="8" t="n">
        <x:v>45361</x:v>
      </x:c>
      <x:c r="S207" s="4" t="str">
        <x:v>Lost / cancelled</x:v>
      </x:c>
      <x:c r="T207" s="10" t="n">
        <x:v>0.351536</x:v>
      </x:c>
      <x:c r="U207" s="4" t="str">
        <x:v>Train</x:v>
      </x:c>
    </x:row>
    <x:row r="208" ht="34" customHeight="1">
      <x:c r="A208" s="4" t="str">
        <x:v>RS-00207</x:v>
      </x:c>
      <x:c r="B208" s="8" t="n">
        <x:v>45302</x:v>
      </x:c>
      <x:c r="C208" s="4" t="str">
        <x:v>PRJ-007</x:v>
      </x:c>
      <x:c r="D208" s="4" t="str">
        <x:v>Retail</x:v>
      </x:c>
      <x:c r="E208" s="4" t="str">
        <x:v>Reserved</x:v>
      </x:c>
      <x:c r="F208" s="4" t="str">
        <x:v>CUS-00207</x:v>
      </x:c>
      <x:c r="G208" s="4" t="str">
        <x:v>UNIT-00207</x:v>
      </x:c>
      <x:c r="H208" s="9" t="n">
        <x:v>17500000</x:v>
      </x:c>
      <x:c r="I208" s="10" t="n">
        <x:v>0.04</x:v>
      </x:c>
      <x:c r="J208" s="11" t="n">
        <x:v>8</x:v>
      </x:c>
      <x:c r="K208" s="11" t="n">
        <x:v>10</x:v>
      </x:c>
      <x:c r="L208" s="11" t="n">
        <x:v>1</x:v>
      </x:c>
      <x:c r="M208" s="9" t="n">
        <x:f>ROUND(H208*(1-I208),2)</x:f>
        <x:v>16800000</x:v>
      </x:c>
      <x:c r="N208" s="4" t="str">
        <x:v>Sales manager</x:v>
      </x:c>
      <x:c r="O208" s="4"/>
      <x:c r="P208" s="9" t="n">
        <x:v>0</x:v>
      </x:c>
      <x:c r="Q208" s="11" t="n">
        <x:v>1</x:v>
      </x:c>
      <x:c r="R208" s="8" t="n">
        <x:v>45362</x:v>
      </x:c>
      <x:c r="S208" s="4" t="str">
        <x:v>Lost / cancelled</x:v>
      </x:c>
      <x:c r="T208" s="10" t="n">
        <x:v>0.310195</x:v>
      </x:c>
      <x:c r="U208" s="4" t="str">
        <x:v>Train</x:v>
      </x:c>
    </x:row>
    <x:row r="209" ht="34" customHeight="1">
      <x:c r="A209" s="4" t="str">
        <x:v>RS-00208</x:v>
      </x:c>
      <x:c r="B209" s="8" t="n">
        <x:v>45303</x:v>
      </x:c>
      <x:c r="C209" s="4" t="str">
        <x:v>PRJ-008</x:v>
      </x:c>
      <x:c r="D209" s="4" t="str">
        <x:v>Apartment</x:v>
      </x:c>
      <x:c r="E209" s="4" t="str">
        <x:v>Enquiry</x:v>
      </x:c>
      <x:c r="F209" s="4" t="str">
        <x:v>CUS-00208</x:v>
      </x:c>
      <x:c r="G209" s="4" t="str">
        <x:v>UNIT-00208</x:v>
      </x:c>
      <x:c r="H209" s="9" t="n">
        <x:v>21700000</x:v>
      </x:c>
      <x:c r="I209" s="10" t="n">
        <x:v>0.01</x:v>
      </x:c>
      <x:c r="J209" s="11" t="n">
        <x:v>10</x:v>
      </x:c>
      <x:c r="K209" s="11" t="n">
        <x:v>9</x:v>
      </x:c>
      <x:c r="L209" s="11" t="n">
        <x:v>0</x:v>
      </x:c>
      <x:c r="M209" s="9" t="n">
        <x:f>ROUND(H209*(1-I209),2)</x:f>
        <x:v>21483000</x:v>
      </x:c>
      <x:c r="N209" s="4" t="str">
        <x:v>Sales manager</x:v>
      </x:c>
      <x:c r="O209" s="4"/>
      <x:c r="P209" s="9" t="n">
        <x:v>0</x:v>
      </x:c>
      <x:c r="Q209" s="11" t="n">
        <x:v>1</x:v>
      </x:c>
      <x:c r="R209" s="8" t="n">
        <x:v>45363</x:v>
      </x:c>
      <x:c r="S209" s="4" t="str">
        <x:v>Lost / cancelled</x:v>
      </x:c>
      <x:c r="T209" s="10" t="n">
        <x:v>0.305556</x:v>
      </x:c>
      <x:c r="U209" s="4" t="str">
        <x:v>Train</x:v>
      </x:c>
    </x:row>
    <x:row r="210" ht="34" customHeight="1">
      <x:c r="A210" s="4" t="str">
        <x:v>RS-00209</x:v>
      </x:c>
      <x:c r="B210" s="8" t="n">
        <x:v>45304</x:v>
      </x:c>
      <x:c r="C210" s="4" t="str">
        <x:v>PRJ-009</x:v>
      </x:c>
      <x:c r="D210" s="4" t="str">
        <x:v>Villa</x:v>
      </x:c>
      <x:c r="E210" s="4" t="str">
        <x:v>Booked</x:v>
      </x:c>
      <x:c r="F210" s="4" t="str">
        <x:v>CUS-00209</x:v>
      </x:c>
      <x:c r="G210" s="4" t="str">
        <x:v>UNIT-00209</x:v>
      </x:c>
      <x:c r="H210" s="9" t="n">
        <x:v>5200000</x:v>
      </x:c>
      <x:c r="I210" s="10" t="n">
        <x:v>0.04</x:v>
      </x:c>
      <x:c r="J210" s="11" t="n">
        <x:v>4</x:v>
      </x:c>
      <x:c r="K210" s="11" t="n">
        <x:v>5</x:v>
      </x:c>
      <x:c r="L210" s="11" t="n">
        <x:v>1</x:v>
      </x:c>
      <x:c r="M210" s="9" t="n">
        <x:f>ROUND(H210*(1-I210),2)</x:f>
        <x:v>4992000</x:v>
      </x:c>
      <x:c r="N210" s="4" t="str">
        <x:v>Sales manager</x:v>
      </x:c>
      <x:c r="O210" s="4" t="str">
        <x:v>BOOK-00209</x:v>
      </x:c>
      <x:c r="P210" s="9" t="n">
        <x:v>2496000</x:v>
      </x:c>
      <x:c r="Q210" s="11" t="n">
        <x:v>0</x:v>
      </x:c>
      <x:c r="R210" s="8" t="n">
        <x:v>45364</x:v>
      </x:c>
      <x:c r="S210" s="4" t="str">
        <x:v>Retained</x:v>
      </x:c>
      <x:c r="T210" s="10" t="n">
        <x:v>0.291946</x:v>
      </x:c>
      <x:c r="U210" s="4" t="str">
        <x:v>Train</x:v>
      </x:c>
    </x:row>
    <x:row r="211" ht="34" customHeight="1">
      <x:c r="A211" s="4" t="str">
        <x:v>RS-00210</x:v>
      </x:c>
      <x:c r="B211" s="8" t="n">
        <x:v>45305</x:v>
      </x:c>
      <x:c r="C211" s="4" t="str">
        <x:v>PRJ-010</x:v>
      </x:c>
      <x:c r="D211" s="4" t="str">
        <x:v>Villa</x:v>
      </x:c>
      <x:c r="E211" s="4" t="str">
        <x:v>Enquiry</x:v>
      </x:c>
      <x:c r="F211" s="4" t="str">
        <x:v>CUS-00210</x:v>
      </x:c>
      <x:c r="G211" s="4" t="str">
        <x:v>UNIT-00210</x:v>
      </x:c>
      <x:c r="H211" s="9" t="n">
        <x:v>9800000</x:v>
      </x:c>
      <x:c r="I211" s="10" t="n">
        <x:v>0.03</x:v>
      </x:c>
      <x:c r="J211" s="11" t="n">
        <x:v>2</x:v>
      </x:c>
      <x:c r="K211" s="11" t="n">
        <x:v>8</x:v>
      </x:c>
      <x:c r="L211" s="11" t="n">
        <x:v>1</x:v>
      </x:c>
      <x:c r="M211" s="9" t="n">
        <x:f>ROUND(H211*(1-I211),2)</x:f>
        <x:v>9506000</x:v>
      </x:c>
      <x:c r="N211" s="4" t="str">
        <x:v>Sales manager</x:v>
      </x:c>
      <x:c r="O211" s="4"/>
      <x:c r="P211" s="9" t="n">
        <x:v>0</x:v>
      </x:c>
      <x:c r="Q211" s="11" t="n">
        <x:v>0</x:v>
      </x:c>
      <x:c r="R211" s="8" t="n">
        <x:v>45365</x:v>
      </x:c>
      <x:c r="S211" s="4" t="str">
        <x:v>Retained</x:v>
      </x:c>
      <x:c r="T211" s="10" t="n">
        <x:v>0.171717</x:v>
      </x:c>
      <x:c r="U211" s="4" t="str">
        <x:v>Train</x:v>
      </x:c>
    </x:row>
    <x:row r="212" ht="34" customHeight="1">
      <x:c r="A212" s="4" t="str">
        <x:v>RS-00211</x:v>
      </x:c>
      <x:c r="B212" s="8" t="n">
        <x:v>45306</x:v>
      </x:c>
      <x:c r="C212" s="4" t="str">
        <x:v>PRJ-011</x:v>
      </x:c>
      <x:c r="D212" s="4" t="str">
        <x:v>Office</x:v>
      </x:c>
      <x:c r="E212" s="4" t="str">
        <x:v>Agreement signed</x:v>
      </x:c>
      <x:c r="F212" s="4" t="str">
        <x:v>CUS-00211</x:v>
      </x:c>
      <x:c r="G212" s="4" t="str">
        <x:v>UNIT-00211</x:v>
      </x:c>
      <x:c r="H212" s="9" t="n">
        <x:v>14500000</x:v>
      </x:c>
      <x:c r="I212" s="10" t="n">
        <x:v>0.11</x:v>
      </x:c>
      <x:c r="J212" s="11" t="n">
        <x:v>12</x:v>
      </x:c>
      <x:c r="K212" s="11" t="n">
        <x:v>5</x:v>
      </x:c>
      <x:c r="L212" s="11" t="n">
        <x:v>1</x:v>
      </x:c>
      <x:c r="M212" s="9" t="n">
        <x:f>ROUND(H212*(1-I212),2)</x:f>
        <x:v>12905000</x:v>
      </x:c>
      <x:c r="N212" s="4" t="str">
        <x:v>Sales head</x:v>
      </x:c>
      <x:c r="O212" s="4" t="str">
        <x:v>BOOK-00211</x:v>
      </x:c>
      <x:c r="P212" s="9" t="n">
        <x:v>1290500</x:v>
      </x:c>
      <x:c r="Q212" s="11" t="n">
        <x:v>0</x:v>
      </x:c>
      <x:c r="R212" s="8" t="n">
        <x:v>45366</x:v>
      </x:c>
      <x:c r="S212" s="4" t="str">
        <x:v>Retained</x:v>
      </x:c>
      <x:c r="T212" s="10" t="n">
        <x:v>0.351536</x:v>
      </x:c>
      <x:c r="U212" s="4" t="str">
        <x:v>Train</x:v>
      </x:c>
    </x:row>
    <x:row r="213" ht="34" customHeight="1">
      <x:c r="A213" s="4" t="str">
        <x:v>RS-00212</x:v>
      </x:c>
      <x:c r="B213" s="8" t="n">
        <x:v>45307</x:v>
      </x:c>
      <x:c r="C213" s="4" t="str">
        <x:v>PRJ-012</x:v>
      </x:c>
      <x:c r="D213" s="4" t="str">
        <x:v>Villa</x:v>
      </x:c>
      <x:c r="E213" s="4" t="str">
        <x:v>Booked</x:v>
      </x:c>
      <x:c r="F213" s="4" t="str">
        <x:v>CUS-00212</x:v>
      </x:c>
      <x:c r="G213" s="4" t="str">
        <x:v>UNIT-00212</x:v>
      </x:c>
      <x:c r="H213" s="9" t="n">
        <x:v>19900000</x:v>
      </x:c>
      <x:c r="I213" s="10" t="n">
        <x:v>0.03</x:v>
      </x:c>
      <x:c r="J213" s="11" t="n">
        <x:v>2</x:v>
      </x:c>
      <x:c r="K213" s="11" t="n">
        <x:v>1</x:v>
      </x:c>
      <x:c r="L213" s="11" t="n">
        <x:v>1</x:v>
      </x:c>
      <x:c r="M213" s="9" t="n">
        <x:f>ROUND(H213*(1-I213),2)</x:f>
        <x:v>19303000</x:v>
      </x:c>
      <x:c r="N213" s="4" t="str">
        <x:v>Sales manager</x:v>
      </x:c>
      <x:c r="O213" s="4" t="str">
        <x:v>BOOK-00212</x:v>
      </x:c>
      <x:c r="P213" s="9" t="n">
        <x:v>19303000</x:v>
      </x:c>
      <x:c r="Q213" s="11" t="n">
        <x:v>0</x:v>
      </x:c>
      <x:c r="R213" s="8" t="n">
        <x:v>45367</x:v>
      </x:c>
      <x:c r="S213" s="4" t="str">
        <x:v>Retained</x:v>
      </x:c>
      <x:c r="T213" s="10" t="n">
        <x:v>0.171717</x:v>
      </x:c>
      <x:c r="U213" s="4" t="str">
        <x:v>Train</x:v>
      </x:c>
    </x:row>
    <x:row r="214" ht="34" customHeight="1">
      <x:c r="A214" s="4" t="str">
        <x:v>RS-00213</x:v>
      </x:c>
      <x:c r="B214" s="8" t="n">
        <x:v>45308</x:v>
      </x:c>
      <x:c r="C214" s="4" t="str">
        <x:v>PRJ-013</x:v>
      </x:c>
      <x:c r="D214" s="4" t="str">
        <x:v>Villa</x:v>
      </x:c>
      <x:c r="E214" s="4" t="str">
        <x:v>Booked</x:v>
      </x:c>
      <x:c r="F214" s="4" t="str">
        <x:v>CUS-00213</x:v>
      </x:c>
      <x:c r="G214" s="4" t="str">
        <x:v>UNIT-00213</x:v>
      </x:c>
      <x:c r="H214" s="9" t="n">
        <x:v>7100000</x:v>
      </x:c>
      <x:c r="I214" s="10" t="n">
        <x:v>0.05</x:v>
      </x:c>
      <x:c r="J214" s="11" t="n">
        <x:v>4</x:v>
      </x:c>
      <x:c r="K214" s="11" t="n">
        <x:v>9</x:v>
      </x:c>
      <x:c r="L214" s="11" t="n">
        <x:v>0</x:v>
      </x:c>
      <x:c r="M214" s="9" t="n">
        <x:f>ROUND(H214*(1-I214),2)</x:f>
        <x:v>6745000</x:v>
      </x:c>
      <x:c r="N214" s="4" t="str">
        <x:v>Sales manager</x:v>
      </x:c>
      <x:c r="O214" s="4" t="str">
        <x:v>BOOK-00213</x:v>
      </x:c>
      <x:c r="P214" s="9" t="n">
        <x:v>1686250</x:v>
      </x:c>
      <x:c r="Q214" s="11" t="n">
        <x:v>0</x:v>
      </x:c>
      <x:c r="R214" s="8" t="n">
        <x:v>45368</x:v>
      </x:c>
      <x:c r="S214" s="4" t="str">
        <x:v>Retained</x:v>
      </x:c>
      <x:c r="T214" s="10" t="n">
        <x:v>0.226277</x:v>
      </x:c>
      <x:c r="U214" s="4" t="str">
        <x:v>Train</x:v>
      </x:c>
    </x:row>
    <x:row r="215" ht="34" customHeight="1">
      <x:c r="A215" s="4" t="str">
        <x:v>RS-00214</x:v>
      </x:c>
      <x:c r="B215" s="8" t="n">
        <x:v>45309</x:v>
      </x:c>
      <x:c r="C215" s="4" t="str">
        <x:v>PRJ-014</x:v>
      </x:c>
      <x:c r="D215" s="4" t="str">
        <x:v>Apartment</x:v>
      </x:c>
      <x:c r="E215" s="4" t="str">
        <x:v>Booked</x:v>
      </x:c>
      <x:c r="F215" s="4" t="str">
        <x:v>CUS-00214</x:v>
      </x:c>
      <x:c r="G215" s="4" t="str">
        <x:v>UNIT-00214</x:v>
      </x:c>
      <x:c r="H215" s="9" t="n">
        <x:v>7900000</x:v>
      </x:c>
      <x:c r="I215" s="10" t="n">
        <x:v>0.03</x:v>
      </x:c>
      <x:c r="J215" s="11" t="n">
        <x:v>3</x:v>
      </x:c>
      <x:c r="K215" s="11" t="n">
        <x:v>7</x:v>
      </x:c>
      <x:c r="L215" s="11" t="n">
        <x:v>0</x:v>
      </x:c>
      <x:c r="M215" s="9" t="n">
        <x:f>ROUND(H215*(1-I215),2)</x:f>
        <x:v>7663000</x:v>
      </x:c>
      <x:c r="N215" s="4" t="str">
        <x:v>Sales manager</x:v>
      </x:c>
      <x:c r="O215" s="4" t="str">
        <x:v>BOOK-00214</x:v>
      </x:c>
      <x:c r="P215" s="9" t="n">
        <x:v>1915750</x:v>
      </x:c>
      <x:c r="Q215" s="11" t="n">
        <x:v>0</x:v>
      </x:c>
      <x:c r="R215" s="8" t="n">
        <x:v>45369</x:v>
      </x:c>
      <x:c r="S215" s="4" t="str">
        <x:v>Retained</x:v>
      </x:c>
      <x:c r="T215" s="10" t="n">
        <x:v>0.171717</x:v>
      </x:c>
      <x:c r="U215" s="4" t="str">
        <x:v>Train</x:v>
      </x:c>
    </x:row>
    <x:row r="216" ht="34" customHeight="1">
      <x:c r="A216" s="4" t="str">
        <x:v>RS-00215</x:v>
      </x:c>
      <x:c r="B216" s="8" t="n">
        <x:v>45310</x:v>
      </x:c>
      <x:c r="C216" s="4" t="str">
        <x:v>PRJ-015</x:v>
      </x:c>
      <x:c r="D216" s="4" t="str">
        <x:v>Retail</x:v>
      </x:c>
      <x:c r="E216" s="4" t="str">
        <x:v>Enquiry</x:v>
      </x:c>
      <x:c r="F216" s="4" t="str">
        <x:v>CUS-00215</x:v>
      </x:c>
      <x:c r="G216" s="4" t="str">
        <x:v>UNIT-00215</x:v>
      </x:c>
      <x:c r="H216" s="9" t="n">
        <x:v>15600000</x:v>
      </x:c>
      <x:c r="I216" s="10" t="n">
        <x:v>0.12</x:v>
      </x:c>
      <x:c r="J216" s="11" t="n">
        <x:v>2</x:v>
      </x:c>
      <x:c r="K216" s="11" t="n">
        <x:v>5</x:v>
      </x:c>
      <x:c r="L216" s="11" t="n">
        <x:v>1</x:v>
      </x:c>
      <x:c r="M216" s="9" t="n">
        <x:f>ROUND(H216*(1-I216),2)</x:f>
        <x:v>13728000</x:v>
      </x:c>
      <x:c r="N216" s="4" t="str">
        <x:v>Sales head</x:v>
      </x:c>
      <x:c r="O216" s="4"/>
      <x:c r="P216" s="9" t="n">
        <x:v>0</x:v>
      </x:c>
      <x:c r="Q216" s="11" t="n">
        <x:v>0</x:v>
      </x:c>
      <x:c r="R216" s="8" t="n">
        <x:v>45370</x:v>
      </x:c>
      <x:c r="S216" s="4" t="str">
        <x:v>Retained</x:v>
      </x:c>
      <x:c r="T216" s="10" t="n">
        <x:v>0.145833</x:v>
      </x:c>
      <x:c r="U216" s="4" t="str">
        <x:v>Train</x:v>
      </x:c>
    </x:row>
    <x:row r="217" ht="34" customHeight="1">
      <x:c r="A217" s="4" t="str">
        <x:v>RS-00216</x:v>
      </x:c>
      <x:c r="B217" s="8" t="n">
        <x:v>45311</x:v>
      </x:c>
      <x:c r="C217" s="4" t="str">
        <x:v>PRJ-016</x:v>
      </x:c>
      <x:c r="D217" s="4" t="str">
        <x:v>Retail</x:v>
      </x:c>
      <x:c r="E217" s="4" t="str">
        <x:v>Booked</x:v>
      </x:c>
      <x:c r="F217" s="4" t="str">
        <x:v>CUS-00216</x:v>
      </x:c>
      <x:c r="G217" s="4" t="str">
        <x:v>UNIT-00216</x:v>
      </x:c>
      <x:c r="H217" s="9" t="n">
        <x:v>5700000</x:v>
      </x:c>
      <x:c r="I217" s="10" t="n">
        <x:v>0.12</x:v>
      </x:c>
      <x:c r="J217" s="11" t="n">
        <x:v>12</x:v>
      </x:c>
      <x:c r="K217" s="11" t="n">
        <x:v>3</x:v>
      </x:c>
      <x:c r="L217" s="11" t="n">
        <x:v>0</x:v>
      </x:c>
      <x:c r="M217" s="9" t="n">
        <x:f>ROUND(H217*(1-I217),2)</x:f>
        <x:v>5016000</x:v>
      </x:c>
      <x:c r="N217" s="4" t="str">
        <x:v>Sales head</x:v>
      </x:c>
      <x:c r="O217" s="4" t="str">
        <x:v>BOOK-00216</x:v>
      </x:c>
      <x:c r="P217" s="9" t="n">
        <x:v>2508000</x:v>
      </x:c>
      <x:c r="Q217" s="11" t="n">
        <x:v>0</x:v>
      </x:c>
      <x:c r="R217" s="8" t="n">
        <x:v>45371</x:v>
      </x:c>
      <x:c r="S217" s="4" t="str">
        <x:v>Retained</x:v>
      </x:c>
      <x:c r="T217" s="10" t="n">
        <x:v>0.351536</x:v>
      </x:c>
      <x:c r="U217" s="4" t="str">
        <x:v>Train</x:v>
      </x:c>
    </x:row>
    <x:row r="218" ht="34" customHeight="1">
      <x:c r="A218" s="4" t="str">
        <x:v>RS-00217</x:v>
      </x:c>
      <x:c r="B218" s="8" t="n">
        <x:v>45312</x:v>
      </x:c>
      <x:c r="C218" s="4" t="str">
        <x:v>PRJ-017</x:v>
      </x:c>
      <x:c r="D218" s="4" t="str">
        <x:v>Villa</x:v>
      </x:c>
      <x:c r="E218" s="4" t="str">
        <x:v>Handed over</x:v>
      </x:c>
      <x:c r="F218" s="4" t="str">
        <x:v>CUS-00217</x:v>
      </x:c>
      <x:c r="G218" s="4" t="str">
        <x:v>UNIT-00217</x:v>
      </x:c>
      <x:c r="H218" s="9" t="n">
        <x:v>14900000</x:v>
      </x:c>
      <x:c r="I218" s="10" t="n">
        <x:v>0.04</x:v>
      </x:c>
      <x:c r="J218" s="11" t="n">
        <x:v>3</x:v>
      </x:c>
      <x:c r="K218" s="11" t="n">
        <x:v>0</x:v>
      </x:c>
      <x:c r="L218" s="11" t="n">
        <x:v>1</x:v>
      </x:c>
      <x:c r="M218" s="9" t="n">
        <x:f>ROUND(H218*(1-I218),2)</x:f>
        <x:v>14304000</x:v>
      </x:c>
      <x:c r="N218" s="4" t="str">
        <x:v>Sales manager</x:v>
      </x:c>
      <x:c r="O218" s="4" t="str">
        <x:v>BOOK-00217</x:v>
      </x:c>
      <x:c r="P218" s="9" t="n">
        <x:v>1430400</x:v>
      </x:c>
      <x:c r="Q218" s="11" t="n">
        <x:v>0</x:v>
      </x:c>
      <x:c r="R218" s="8" t="n">
        <x:v>45372</x:v>
      </x:c>
      <x:c r="S218" s="4" t="str">
        <x:v>Retained</x:v>
      </x:c>
      <x:c r="T218" s="10" t="n">
        <x:v>0.276923</x:v>
      </x:c>
      <x:c r="U218" s="4" t="str">
        <x:v>Train</x:v>
      </x:c>
    </x:row>
    <x:row r="219" ht="34" customHeight="1">
      <x:c r="A219" s="4" t="str">
        <x:v>RS-00218</x:v>
      </x:c>
      <x:c r="B219" s="8" t="n">
        <x:v>45313</x:v>
      </x:c>
      <x:c r="C219" s="4" t="str">
        <x:v>PRJ-018</x:v>
      </x:c>
      <x:c r="D219" s="4" t="str">
        <x:v>Office</x:v>
      </x:c>
      <x:c r="E219" s="4" t="str">
        <x:v>Agreement signed</x:v>
      </x:c>
      <x:c r="F219" s="4" t="str">
        <x:v>CUS-00218</x:v>
      </x:c>
      <x:c r="G219" s="4" t="str">
        <x:v>UNIT-00218</x:v>
      </x:c>
      <x:c r="H219" s="9" t="n">
        <x:v>16200000</x:v>
      </x:c>
      <x:c r="I219" s="10" t="n">
        <x:v>0.12</x:v>
      </x:c>
      <x:c r="J219" s="11" t="n">
        <x:v>8</x:v>
      </x:c>
      <x:c r="K219" s="11" t="n">
        <x:v>0</x:v>
      </x:c>
      <x:c r="L219" s="11" t="n">
        <x:v>0</x:v>
      </x:c>
      <x:c r="M219" s="9" t="n">
        <x:f>ROUND(H219*(1-I219),2)</x:f>
        <x:v>14256000</x:v>
      </x:c>
      <x:c r="N219" s="4" t="str">
        <x:v>Sales head</x:v>
      </x:c>
      <x:c r="O219" s="4" t="str">
        <x:v>BOOK-00218</x:v>
      </x:c>
      <x:c r="P219" s="9" t="n">
        <x:v>3564000</x:v>
      </x:c>
      <x:c r="Q219" s="11" t="n">
        <x:v>0</x:v>
      </x:c>
      <x:c r="R219" s="8" t="n">
        <x:v>45373</x:v>
      </x:c>
      <x:c r="S219" s="4" t="str">
        <x:v>Retained</x:v>
      </x:c>
      <x:c r="T219" s="10" t="n">
        <x:v>0.310195</x:v>
      </x:c>
      <x:c r="U219" s="4" t="str">
        <x:v>Train</x:v>
      </x:c>
    </x:row>
    <x:row r="220" ht="34" customHeight="1">
      <x:c r="A220" s="4" t="str">
        <x:v>RS-00219</x:v>
      </x:c>
      <x:c r="B220" s="8" t="n">
        <x:v>45314</x:v>
      </x:c>
      <x:c r="C220" s="4" t="str">
        <x:v>PRJ-019</x:v>
      </x:c>
      <x:c r="D220" s="4" t="str">
        <x:v>Retail</x:v>
      </x:c>
      <x:c r="E220" s="4" t="str">
        <x:v>Cancelled</x:v>
      </x:c>
      <x:c r="F220" s="4" t="str">
        <x:v>CUS-00219</x:v>
      </x:c>
      <x:c r="G220" s="4" t="str">
        <x:v>UNIT-00219</x:v>
      </x:c>
      <x:c r="H220" s="9" t="n">
        <x:v>7800000</x:v>
      </x:c>
      <x:c r="I220" s="10" t="n">
        <x:v>0.1</x:v>
      </x:c>
      <x:c r="J220" s="11" t="n">
        <x:v>1</x:v>
      </x:c>
      <x:c r="K220" s="11" t="n">
        <x:v>8</x:v>
      </x:c>
      <x:c r="L220" s="11" t="n">
        <x:v>0</x:v>
      </x:c>
      <x:c r="M220" s="9" t="n">
        <x:f>ROUND(H220*(1-I220),2)</x:f>
        <x:v>7020000</x:v>
      </x:c>
      <x:c r="N220" s="4" t="str">
        <x:v>Sales head</x:v>
      </x:c>
      <x:c r="O220" s="4"/>
      <x:c r="P220" s="9" t="n">
        <x:v>0</x:v>
      </x:c>
      <x:c r="Q220" s="11" t="n">
        <x:v>1</x:v>
      </x:c>
      <x:c r="R220" s="8" t="n">
        <x:v>45374</x:v>
      </x:c>
      <x:c r="S220" s="4" t="str">
        <x:v>Lost / cancelled</x:v>
      </x:c>
      <x:c r="T220" s="10" t="n">
        <x:v>0.145833</x:v>
      </x:c>
      <x:c r="U220" s="4" t="str">
        <x:v>Train</x:v>
      </x:c>
    </x:row>
    <x:row r="221" ht="34" customHeight="1">
      <x:c r="A221" s="4" t="str">
        <x:v>RS-00220</x:v>
      </x:c>
      <x:c r="B221" s="8" t="n">
        <x:v>45315</x:v>
      </x:c>
      <x:c r="C221" s="4" t="str">
        <x:v>PRJ-020</x:v>
      </x:c>
      <x:c r="D221" s="4" t="str">
        <x:v>Villa</x:v>
      </x:c>
      <x:c r="E221" s="4" t="str">
        <x:v>Cancelled</x:v>
      </x:c>
      <x:c r="F221" s="4" t="str">
        <x:v>CUS-00220</x:v>
      </x:c>
      <x:c r="G221" s="4" t="str">
        <x:v>UNIT-00220</x:v>
      </x:c>
      <x:c r="H221" s="9" t="n">
        <x:v>22100000</x:v>
      </x:c>
      <x:c r="I221" s="10" t="n">
        <x:v>0.03</x:v>
      </x:c>
      <x:c r="J221" s="11" t="n">
        <x:v>5</x:v>
      </x:c>
      <x:c r="K221" s="11" t="n">
        <x:v>1</x:v>
      </x:c>
      <x:c r="L221" s="11" t="n">
        <x:v>0</x:v>
      </x:c>
      <x:c r="M221" s="9" t="n">
        <x:f>ROUND(H221*(1-I221),2)</x:f>
        <x:v>21437000</x:v>
      </x:c>
      <x:c r="N221" s="4" t="str">
        <x:v>Sales manager</x:v>
      </x:c>
      <x:c r="O221" s="4"/>
      <x:c r="P221" s="9" t="n">
        <x:v>0</x:v>
      </x:c>
      <x:c r="Q221" s="11" t="n">
        <x:v>1</x:v>
      </x:c>
      <x:c r="R221" s="8" t="n">
        <x:v>45375</x:v>
      </x:c>
      <x:c r="S221" s="4" t="str">
        <x:v>Lost / cancelled</x:v>
      </x:c>
      <x:c r="T221" s="10" t="n">
        <x:v>0.298969</x:v>
      </x:c>
      <x:c r="U221" s="4" t="str">
        <x:v>Train</x:v>
      </x:c>
    </x:row>
    <x:row r="222" ht="34" customHeight="1">
      <x:c r="A222" s="4" t="str">
        <x:v>RS-00221</x:v>
      </x:c>
      <x:c r="B222" s="8" t="n">
        <x:v>45316</x:v>
      </x:c>
      <x:c r="C222" s="4" t="str">
        <x:v>PRJ-001</x:v>
      </x:c>
      <x:c r="D222" s="4" t="str">
        <x:v>Villa</x:v>
      </x:c>
      <x:c r="E222" s="4" t="str">
        <x:v>Enquiry</x:v>
      </x:c>
      <x:c r="F222" s="4" t="str">
        <x:v>CUS-00221</x:v>
      </x:c>
      <x:c r="G222" s="4" t="str">
        <x:v>UNIT-00221</x:v>
      </x:c>
      <x:c r="H222" s="9" t="n">
        <x:v>13300000</x:v>
      </x:c>
      <x:c r="I222" s="10" t="n">
        <x:v>0.1</x:v>
      </x:c>
      <x:c r="J222" s="11" t="n">
        <x:v>4</x:v>
      </x:c>
      <x:c r="K222" s="11" t="n">
        <x:v>0</x:v>
      </x:c>
      <x:c r="L222" s="11" t="n">
        <x:v>1</x:v>
      </x:c>
      <x:c r="M222" s="9" t="n">
        <x:f>ROUND(H222*(1-I222),2)</x:f>
        <x:v>11970000</x:v>
      </x:c>
      <x:c r="N222" s="4" t="str">
        <x:v>Sales head</x:v>
      </x:c>
      <x:c r="O222" s="4"/>
      <x:c r="P222" s="9" t="n">
        <x:v>0</x:v>
      </x:c>
      <x:c r="Q222" s="11" t="n">
        <x:v>0</x:v>
      </x:c>
      <x:c r="R222" s="8" t="n">
        <x:v>45376</x:v>
      </x:c>
      <x:c r="S222" s="4" t="str">
        <x:v>Retained</x:v>
      </x:c>
      <x:c r="T222" s="10" t="n">
        <x:v>0.291946</x:v>
      </x:c>
      <x:c r="U222" s="4" t="str">
        <x:v>Train</x:v>
      </x:c>
    </x:row>
    <x:row r="223" ht="34" customHeight="1">
      <x:c r="A223" s="4" t="str">
        <x:v>RS-00222</x:v>
      </x:c>
      <x:c r="B223" s="8" t="n">
        <x:v>45317</x:v>
      </x:c>
      <x:c r="C223" s="4" t="str">
        <x:v>PRJ-002</x:v>
      </x:c>
      <x:c r="D223" s="4" t="str">
        <x:v>Office</x:v>
      </x:c>
      <x:c r="E223" s="4" t="str">
        <x:v>Reserved</x:v>
      </x:c>
      <x:c r="F223" s="4" t="str">
        <x:v>CUS-00222</x:v>
      </x:c>
      <x:c r="G223" s="4" t="str">
        <x:v>UNIT-00222</x:v>
      </x:c>
      <x:c r="H223" s="9" t="n">
        <x:v>22700000</x:v>
      </x:c>
      <x:c r="I223" s="10" t="n">
        <x:v>0.09</x:v>
      </x:c>
      <x:c r="J223" s="11" t="n">
        <x:v>4</x:v>
      </x:c>
      <x:c r="K223" s="11" t="n">
        <x:v>1</x:v>
      </x:c>
      <x:c r="L223" s="11" t="n">
        <x:v>0</x:v>
      </x:c>
      <x:c r="M223" s="9" t="n">
        <x:f>ROUND(H223*(1-I223),2)</x:f>
        <x:v>20657000</x:v>
      </x:c>
      <x:c r="N223" s="4" t="str">
        <x:v>Sales head</x:v>
      </x:c>
      <x:c r="O223" s="4"/>
      <x:c r="P223" s="9" t="n">
        <x:v>0</x:v>
      </x:c>
      <x:c r="Q223" s="11" t="n">
        <x:v>1</x:v>
      </x:c>
      <x:c r="R223" s="8" t="n">
        <x:v>45377</x:v>
      </x:c>
      <x:c r="S223" s="4" t="str">
        <x:v>Lost / cancelled</x:v>
      </x:c>
      <x:c r="T223" s="10" t="n">
        <x:v>0.226277</x:v>
      </x:c>
      <x:c r="U223" s="4" t="str">
        <x:v>Train</x:v>
      </x:c>
    </x:row>
    <x:row r="224" ht="34" customHeight="1">
      <x:c r="A224" s="4" t="str">
        <x:v>RS-00223</x:v>
      </x:c>
      <x:c r="B224" s="8" t="n">
        <x:v>45318</x:v>
      </x:c>
      <x:c r="C224" s="4" t="str">
        <x:v>PRJ-003</x:v>
      </x:c>
      <x:c r="D224" s="4" t="str">
        <x:v>Office</x:v>
      </x:c>
      <x:c r="E224" s="4" t="str">
        <x:v>Cancelled</x:v>
      </x:c>
      <x:c r="F224" s="4" t="str">
        <x:v>CUS-00223</x:v>
      </x:c>
      <x:c r="G224" s="4" t="str">
        <x:v>UNIT-00223</x:v>
      </x:c>
      <x:c r="H224" s="9" t="n">
        <x:v>13000000</x:v>
      </x:c>
      <x:c r="I224" s="10" t="n">
        <x:v>0.04</x:v>
      </x:c>
      <x:c r="J224" s="11" t="n">
        <x:v>4</x:v>
      </x:c>
      <x:c r="K224" s="11" t="n">
        <x:v>1</x:v>
      </x:c>
      <x:c r="L224" s="11" t="n">
        <x:v>0</x:v>
      </x:c>
      <x:c r="M224" s="9" t="n">
        <x:f>ROUND(H224*(1-I224),2)</x:f>
        <x:v>12480000</x:v>
      </x:c>
      <x:c r="N224" s="4" t="str">
        <x:v>Sales manager</x:v>
      </x:c>
      <x:c r="O224" s="4"/>
      <x:c r="P224" s="9" t="n">
        <x:v>0</x:v>
      </x:c>
      <x:c r="Q224" s="11" t="n">
        <x:v>1</x:v>
      </x:c>
      <x:c r="R224" s="8" t="n">
        <x:v>45378</x:v>
      </x:c>
      <x:c r="S224" s="4" t="str">
        <x:v>Lost / cancelled</x:v>
      </x:c>
      <x:c r="T224" s="10" t="n">
        <x:v>0.226277</x:v>
      </x:c>
      <x:c r="U224" s="4" t="str">
        <x:v>Train</x:v>
      </x:c>
    </x:row>
    <x:row r="225" ht="34" customHeight="1">
      <x:c r="A225" s="4" t="str">
        <x:v>RS-00224</x:v>
      </x:c>
      <x:c r="B225" s="8" t="n">
        <x:v>45319</x:v>
      </x:c>
      <x:c r="C225" s="4" t="str">
        <x:v>PRJ-004</x:v>
      </x:c>
      <x:c r="D225" s="4" t="str">
        <x:v>Villa</x:v>
      </x:c>
      <x:c r="E225" s="4" t="str">
        <x:v>Cancelled</x:v>
      </x:c>
      <x:c r="F225" s="4" t="str">
        <x:v>CUS-00224</x:v>
      </x:c>
      <x:c r="G225" s="4" t="str">
        <x:v>UNIT-00224</x:v>
      </x:c>
      <x:c r="H225" s="9" t="n">
        <x:v>8100000</x:v>
      </x:c>
      <x:c r="I225" s="10" t="n">
        <x:v>0.04</x:v>
      </x:c>
      <x:c r="J225" s="11" t="n">
        <x:v>4</x:v>
      </x:c>
      <x:c r="K225" s="11" t="n">
        <x:v>2</x:v>
      </x:c>
      <x:c r="L225" s="11" t="n">
        <x:v>1</x:v>
      </x:c>
      <x:c r="M225" s="9" t="n">
        <x:f>ROUND(H225*(1-I225),2)</x:f>
        <x:v>7776000</x:v>
      </x:c>
      <x:c r="N225" s="4" t="str">
        <x:v>Sales manager</x:v>
      </x:c>
      <x:c r="O225" s="4"/>
      <x:c r="P225" s="9" t="n">
        <x:v>0</x:v>
      </x:c>
      <x:c r="Q225" s="11" t="n">
        <x:v>1</x:v>
      </x:c>
      <x:c r="R225" s="8" t="n">
        <x:v>45379</x:v>
      </x:c>
      <x:c r="S225" s="4" t="str">
        <x:v>Lost / cancelled</x:v>
      </x:c>
      <x:c r="T225" s="10" t="n">
        <x:v>0.291946</x:v>
      </x:c>
      <x:c r="U225" s="4" t="str">
        <x:v>Train</x:v>
      </x:c>
    </x:row>
    <x:row r="226" ht="34" customHeight="1">
      <x:c r="A226" s="4" t="str">
        <x:v>RS-00225</x:v>
      </x:c>
      <x:c r="B226" s="8" t="n">
        <x:v>45292</x:v>
      </x:c>
      <x:c r="C226" s="4" t="str">
        <x:v>PRJ-005</x:v>
      </x:c>
      <x:c r="D226" s="4" t="str">
        <x:v>Office</x:v>
      </x:c>
      <x:c r="E226" s="4" t="str">
        <x:v>Enquiry</x:v>
      </x:c>
      <x:c r="F226" s="4" t="str">
        <x:v>CUS-00225</x:v>
      </x:c>
      <x:c r="G226" s="4" t="str">
        <x:v>UNIT-00225</x:v>
      </x:c>
      <x:c r="H226" s="9" t="n">
        <x:v>9900000</x:v>
      </x:c>
      <x:c r="I226" s="10" t="n">
        <x:v>0.06</x:v>
      </x:c>
      <x:c r="J226" s="11" t="n">
        <x:v>7</x:v>
      </x:c>
      <x:c r="K226" s="11" t="n">
        <x:v>1</x:v>
      </x:c>
      <x:c r="L226" s="11" t="n">
        <x:v>0</x:v>
      </x:c>
      <x:c r="M226" s="9" t="n">
        <x:f>ROUND(H226*(1-I226),2)</x:f>
        <x:v>9306000</x:v>
      </x:c>
      <x:c r="N226" s="4" t="str">
        <x:v>Sales manager</x:v>
      </x:c>
      <x:c r="O226" s="4"/>
      <x:c r="P226" s="9" t="n">
        <x:v>0</x:v>
      </x:c>
      <x:c r="Q226" s="11" t="n">
        <x:v>0</x:v>
      </x:c>
      <x:c r="R226" s="8" t="n">
        <x:v>45352</x:v>
      </x:c>
      <x:c r="S226" s="4" t="str">
        <x:v>Retained</x:v>
      </x:c>
      <x:c r="T226" s="10" t="n">
        <x:v>0.226277</x:v>
      </x:c>
      <x:c r="U226" s="4" t="str">
        <x:v>Train</x:v>
      </x:c>
    </x:row>
    <x:row r="227" ht="34" customHeight="1">
      <x:c r="A227" s="4" t="str">
        <x:v>RS-00226</x:v>
      </x:c>
      <x:c r="B227" s="8" t="n">
        <x:v>45293</x:v>
      </x:c>
      <x:c r="C227" s="4" t="str">
        <x:v>PRJ-006</x:v>
      </x:c>
      <x:c r="D227" s="4" t="str">
        <x:v>Retail</x:v>
      </x:c>
      <x:c r="E227" s="4" t="str">
        <x:v>Handed over</x:v>
      </x:c>
      <x:c r="F227" s="4" t="str">
        <x:v>CUS-00226</x:v>
      </x:c>
      <x:c r="G227" s="4" t="str">
        <x:v>UNIT-00226</x:v>
      </x:c>
      <x:c r="H227" s="9" t="n">
        <x:v>8900000</x:v>
      </x:c>
      <x:c r="I227" s="10" t="n">
        <x:v>0.1</x:v>
      </x:c>
      <x:c r="J227" s="11" t="n">
        <x:v>9</x:v>
      </x:c>
      <x:c r="K227" s="11" t="n">
        <x:v>3</x:v>
      </x:c>
      <x:c r="L227" s="11" t="n">
        <x:v>0</x:v>
      </x:c>
      <x:c r="M227" s="9" t="n">
        <x:f>ROUND(H227*(1-I227),2)</x:f>
        <x:v>8010000</x:v>
      </x:c>
      <x:c r="N227" s="4" t="str">
        <x:v>Sales head</x:v>
      </x:c>
      <x:c r="O227" s="4" t="str">
        <x:v>BOOK-00226</x:v>
      </x:c>
      <x:c r="P227" s="9" t="n">
        <x:v>4005000</x:v>
      </x:c>
      <x:c r="Q227" s="11" t="n">
        <x:v>0</x:v>
      </x:c>
      <x:c r="R227" s="8" t="n">
        <x:v>45353</x:v>
      </x:c>
      <x:c r="S227" s="4" t="str">
        <x:v>Retained</x:v>
      </x:c>
      <x:c r="T227" s="10" t="n">
        <x:v>0.310195</x:v>
      </x:c>
      <x:c r="U227" s="4" t="str">
        <x:v>Train</x:v>
      </x:c>
    </x:row>
    <x:row r="228" ht="34" customHeight="1">
      <x:c r="A228" s="4" t="str">
        <x:v>RS-00227</x:v>
      </x:c>
      <x:c r="B228" s="8" t="n">
        <x:v>45294</x:v>
      </x:c>
      <x:c r="C228" s="4" t="str">
        <x:v>PRJ-007</x:v>
      </x:c>
      <x:c r="D228" s="4" t="str">
        <x:v>Apartment</x:v>
      </x:c>
      <x:c r="E228" s="4" t="str">
        <x:v>Handed over</x:v>
      </x:c>
      <x:c r="F228" s="4" t="str">
        <x:v>CUS-00227</x:v>
      </x:c>
      <x:c r="G228" s="4" t="str">
        <x:v>UNIT-00227</x:v>
      </x:c>
      <x:c r="H228" s="9" t="n">
        <x:v>6700000</x:v>
      </x:c>
      <x:c r="I228" s="10" t="n">
        <x:v>0.06</x:v>
      </x:c>
      <x:c r="J228" s="11" t="n">
        <x:v>12</x:v>
      </x:c>
      <x:c r="K228" s="11" t="n">
        <x:v>0</x:v>
      </x:c>
      <x:c r="L228" s="11" t="n">
        <x:v>1</x:v>
      </x:c>
      <x:c r="M228" s="9" t="n">
        <x:f>ROUND(H228*(1-I228),2)</x:f>
        <x:v>6298000</x:v>
      </x:c>
      <x:c r="N228" s="4" t="str">
        <x:v>Sales manager</x:v>
      </x:c>
      <x:c r="O228" s="4" t="str">
        <x:v>BOOK-00227</x:v>
      </x:c>
      <x:c r="P228" s="9" t="n">
        <x:v>1574500</x:v>
      </x:c>
      <x:c r="Q228" s="11" t="n">
        <x:v>0</x:v>
      </x:c>
      <x:c r="R228" s="8" t="n">
        <x:v>45354</x:v>
      </x:c>
      <x:c r="S228" s="4" t="str">
        <x:v>Retained</x:v>
      </x:c>
      <x:c r="T228" s="10" t="n">
        <x:v>0.351536</x:v>
      </x:c>
      <x:c r="U228" s="4" t="str">
        <x:v>Train</x:v>
      </x:c>
    </x:row>
    <x:row r="229" ht="34" customHeight="1">
      <x:c r="A229" s="4" t="str">
        <x:v>RS-00228</x:v>
      </x:c>
      <x:c r="B229" s="8" t="n">
        <x:v>45295</x:v>
      </x:c>
      <x:c r="C229" s="4" t="str">
        <x:v>PRJ-008</x:v>
      </x:c>
      <x:c r="D229" s="4" t="str">
        <x:v>Villa</x:v>
      </x:c>
      <x:c r="E229" s="4" t="str">
        <x:v>Cancelled</x:v>
      </x:c>
      <x:c r="F229" s="4" t="str">
        <x:v>CUS-00228</x:v>
      </x:c>
      <x:c r="G229" s="4" t="str">
        <x:v>UNIT-00228</x:v>
      </x:c>
      <x:c r="H229" s="9" t="n">
        <x:v>22100000</x:v>
      </x:c>
      <x:c r="I229" s="10" t="n">
        <x:v>0.05</x:v>
      </x:c>
      <x:c r="J229" s="11" t="n">
        <x:v>7</x:v>
      </x:c>
      <x:c r="K229" s="11" t="n">
        <x:v>10</x:v>
      </x:c>
      <x:c r="L229" s="11" t="n">
        <x:v>0</x:v>
      </x:c>
      <x:c r="M229" s="9" t="n">
        <x:f>ROUND(H229*(1-I229),2)</x:f>
        <x:v>20995000</x:v>
      </x:c>
      <x:c r="N229" s="4" t="str">
        <x:v>Sales manager</x:v>
      </x:c>
      <x:c r="O229" s="4"/>
      <x:c r="P229" s="9" t="n">
        <x:v>0</x:v>
      </x:c>
      <x:c r="Q229" s="11" t="n">
        <x:v>1</x:v>
      </x:c>
      <x:c r="R229" s="8" t="n">
        <x:v>45355</x:v>
      </x:c>
      <x:c r="S229" s="4" t="str">
        <x:v>Lost / cancelled</x:v>
      </x:c>
      <x:c r="T229" s="10" t="n">
        <x:v>0.226277</x:v>
      </x:c>
      <x:c r="U229" s="4" t="str">
        <x:v>Train</x:v>
      </x:c>
    </x:row>
    <x:row r="230" ht="34" customHeight="1">
      <x:c r="A230" s="4" t="str">
        <x:v>RS-00229</x:v>
      </x:c>
      <x:c r="B230" s="8" t="n">
        <x:v>45296</x:v>
      </x:c>
      <x:c r="C230" s="4" t="str">
        <x:v>PRJ-009</x:v>
      </x:c>
      <x:c r="D230" s="4" t="str">
        <x:v>Retail</x:v>
      </x:c>
      <x:c r="E230" s="4" t="str">
        <x:v>Booked</x:v>
      </x:c>
      <x:c r="F230" s="4" t="str">
        <x:v>CUS-00229</x:v>
      </x:c>
      <x:c r="G230" s="4" t="str">
        <x:v>UNIT-00229</x:v>
      </x:c>
      <x:c r="H230" s="9" t="n">
        <x:v>18000000</x:v>
      </x:c>
      <x:c r="I230" s="10" t="n">
        <x:v>0.07</x:v>
      </x:c>
      <x:c r="J230" s="11" t="n">
        <x:v>1</x:v>
      </x:c>
      <x:c r="K230" s="11" t="n">
        <x:v>4</x:v>
      </x:c>
      <x:c r="L230" s="11" t="n">
        <x:v>0</x:v>
      </x:c>
      <x:c r="M230" s="9" t="n">
        <x:f>ROUND(H230*(1-I230),2)</x:f>
        <x:v>16740000</x:v>
      </x:c>
      <x:c r="N230" s="4" t="str">
        <x:v>Sales manager</x:v>
      </x:c>
      <x:c r="O230" s="4" t="str">
        <x:v>BOOK-00229</x:v>
      </x:c>
      <x:c r="P230" s="9" t="n">
        <x:v>1674000</x:v>
      </x:c>
      <x:c r="Q230" s="11" t="n">
        <x:v>0</x:v>
      </x:c>
      <x:c r="R230" s="8" t="n">
        <x:v>45356</x:v>
      </x:c>
      <x:c r="S230" s="4" t="str">
        <x:v>Retained</x:v>
      </x:c>
      <x:c r="T230" s="10" t="n">
        <x:v>0.204152</x:v>
      </x:c>
      <x:c r="U230" s="4" t="str">
        <x:v>Train</x:v>
      </x:c>
    </x:row>
    <x:row r="231" ht="34" customHeight="1">
      <x:c r="A231" s="4" t="str">
        <x:v>RS-00230</x:v>
      </x:c>
      <x:c r="B231" s="8" t="n">
        <x:v>45297</x:v>
      </x:c>
      <x:c r="C231" s="4" t="str">
        <x:v>PRJ-010</x:v>
      </x:c>
      <x:c r="D231" s="4" t="str">
        <x:v>Office</x:v>
      </x:c>
      <x:c r="E231" s="4" t="str">
        <x:v>Agreement signed</x:v>
      </x:c>
      <x:c r="F231" s="4" t="str">
        <x:v>CUS-00230</x:v>
      </x:c>
      <x:c r="G231" s="4" t="str">
        <x:v>UNIT-00230</x:v>
      </x:c>
      <x:c r="H231" s="9" t="n">
        <x:v>15400000</x:v>
      </x:c>
      <x:c r="I231" s="10" t="n">
        <x:v>0.11</x:v>
      </x:c>
      <x:c r="J231" s="11" t="n">
        <x:v>0</x:v>
      </x:c>
      <x:c r="K231" s="11" t="n">
        <x:v>10</x:v>
      </x:c>
      <x:c r="L231" s="11" t="n">
        <x:v>1</x:v>
      </x:c>
      <x:c r="M231" s="9" t="n">
        <x:f>ROUND(H231*(1-I231),2)</x:f>
        <x:v>13706000</x:v>
      </x:c>
      <x:c r="N231" s="4" t="str">
        <x:v>Sales head</x:v>
      </x:c>
      <x:c r="O231" s="4" t="str">
        <x:v>BOOK-00230</x:v>
      </x:c>
      <x:c r="P231" s="9" t="n">
        <x:v>6853000</x:v>
      </x:c>
      <x:c r="Q231" s="11" t="n">
        <x:v>0</x:v>
      </x:c>
      <x:c r="R231" s="8" t="n">
        <x:v>45357</x:v>
      </x:c>
      <x:c r="S231" s="4" t="str">
        <x:v>Retained</x:v>
      </x:c>
      <x:c r="T231" s="10" t="n">
        <x:v>0.145833</x:v>
      </x:c>
      <x:c r="U231" s="4" t="str">
        <x:v>Train</x:v>
      </x:c>
    </x:row>
    <x:row r="232" ht="34" customHeight="1">
      <x:c r="A232" s="4" t="str">
        <x:v>RS-00231</x:v>
      </x:c>
      <x:c r="B232" s="8" t="n">
        <x:v>45298</x:v>
      </x:c>
      <x:c r="C232" s="4" t="str">
        <x:v>PRJ-011</x:v>
      </x:c>
      <x:c r="D232" s="4" t="str">
        <x:v>Office</x:v>
      </x:c>
      <x:c r="E232" s="4" t="str">
        <x:v>Reserved</x:v>
      </x:c>
      <x:c r="F232" s="4" t="str">
        <x:v>CUS-00231</x:v>
      </x:c>
      <x:c r="G232" s="4" t="str">
        <x:v>UNIT-00231</x:v>
      </x:c>
      <x:c r="H232" s="9" t="n">
        <x:v>19100000</x:v>
      </x:c>
      <x:c r="I232" s="10" t="n">
        <x:v>0.03</x:v>
      </x:c>
      <x:c r="J232" s="11" t="n">
        <x:v>11</x:v>
      </x:c>
      <x:c r="K232" s="11" t="n">
        <x:v>8</x:v>
      </x:c>
      <x:c r="L232" s="11" t="n">
        <x:v>1</x:v>
      </x:c>
      <x:c r="M232" s="9" t="n">
        <x:f>ROUND(H232*(1-I232),2)</x:f>
        <x:v>18527000</x:v>
      </x:c>
      <x:c r="N232" s="4" t="str">
        <x:v>Sales manager</x:v>
      </x:c>
      <x:c r="O232" s="4"/>
      <x:c r="P232" s="9" t="n">
        <x:v>0</x:v>
      </x:c>
      <x:c r="Q232" s="11" t="n">
        <x:v>1</x:v>
      </x:c>
      <x:c r="R232" s="8" t="n">
        <x:v>45358</x:v>
      </x:c>
      <x:c r="S232" s="4" t="str">
        <x:v>Lost / cancelled</x:v>
      </x:c>
      <x:c r="T232" s="10" t="n">
        <x:v>0.351536</x:v>
      </x:c>
      <x:c r="U232" s="4" t="str">
        <x:v>Train</x:v>
      </x:c>
    </x:row>
    <x:row r="233" ht="34" customHeight="1">
      <x:c r="A233" s="4" t="str">
        <x:v>RS-00232</x:v>
      </x:c>
      <x:c r="B233" s="8" t="n">
        <x:v>45299</x:v>
      </x:c>
      <x:c r="C233" s="4" t="str">
        <x:v>PRJ-012</x:v>
      </x:c>
      <x:c r="D233" s="4" t="str">
        <x:v>Villa</x:v>
      </x:c>
      <x:c r="E233" s="4" t="str">
        <x:v>Booked</x:v>
      </x:c>
      <x:c r="F233" s="4" t="str">
        <x:v>CUS-00232</x:v>
      </x:c>
      <x:c r="G233" s="4" t="str">
        <x:v>UNIT-00232</x:v>
      </x:c>
      <x:c r="H233" s="9" t="n">
        <x:v>15000000</x:v>
      </x:c>
      <x:c r="I233" s="10" t="n">
        <x:v>0</x:v>
      </x:c>
      <x:c r="J233" s="11" t="n">
        <x:v>1</x:v>
      </x:c>
      <x:c r="K233" s="11" t="n">
        <x:v>10</x:v>
      </x:c>
      <x:c r="L233" s="11" t="n">
        <x:v>0</x:v>
      </x:c>
      <x:c r="M233" s="9" t="n">
        <x:f>ROUND(H233*(1-I233),2)</x:f>
        <x:v>15000000</x:v>
      </x:c>
      <x:c r="N233" s="4" t="str">
        <x:v>Sales manager</x:v>
      </x:c>
      <x:c r="O233" s="4" t="str">
        <x:v>BOOK-00232</x:v>
      </x:c>
      <x:c r="P233" s="9" t="n">
        <x:v>7500000</x:v>
      </x:c>
      <x:c r="Q233" s="11" t="n">
        <x:v>0</x:v>
      </x:c>
      <x:c r="R233" s="8" t="n">
        <x:v>45359</x:v>
      </x:c>
      <x:c r="S233" s="4" t="str">
        <x:v>Retained</x:v>
      </x:c>
      <x:c r="T233" s="10" t="n">
        <x:v>0.072165</x:v>
      </x:c>
      <x:c r="U233" s="4" t="str">
        <x:v>Train</x:v>
      </x:c>
    </x:row>
    <x:row r="234" ht="34" customHeight="1">
      <x:c r="A234" s="4" t="str">
        <x:v>RS-00233</x:v>
      </x:c>
      <x:c r="B234" s="8" t="n">
        <x:v>45300</x:v>
      </x:c>
      <x:c r="C234" s="4" t="str">
        <x:v>PRJ-013</x:v>
      </x:c>
      <x:c r="D234" s="4" t="str">
        <x:v>Apartment</x:v>
      </x:c>
      <x:c r="E234" s="4" t="str">
        <x:v>Enquiry</x:v>
      </x:c>
      <x:c r="F234" s="4" t="str">
        <x:v>CUS-00233</x:v>
      </x:c>
      <x:c r="G234" s="4" t="str">
        <x:v>UNIT-00233</x:v>
      </x:c>
      <x:c r="H234" s="9" t="n">
        <x:v>12000000</x:v>
      </x:c>
      <x:c r="I234" s="10" t="n">
        <x:v>0.05</x:v>
      </x:c>
      <x:c r="J234" s="11" t="n">
        <x:v>8</x:v>
      </x:c>
      <x:c r="K234" s="11" t="n">
        <x:v>8</x:v>
      </x:c>
      <x:c r="L234" s="11" t="n">
        <x:v>1</x:v>
      </x:c>
      <x:c r="M234" s="9" t="n">
        <x:f>ROUND(H234*(1-I234),2)</x:f>
        <x:v>11400000</x:v>
      </x:c>
      <x:c r="N234" s="4" t="str">
        <x:v>Sales manager</x:v>
      </x:c>
      <x:c r="O234" s="4"/>
      <x:c r="P234" s="9" t="n">
        <x:v>0</x:v>
      </x:c>
      <x:c r="Q234" s="11" t="n">
        <x:v>0</x:v>
      </x:c>
      <x:c r="R234" s="8" t="n">
        <x:v>45360</x:v>
      </x:c>
      <x:c r="S234" s="4" t="str">
        <x:v>Retained</x:v>
      </x:c>
      <x:c r="T234" s="10" t="n">
        <x:v>0.310195</x:v>
      </x:c>
      <x:c r="U234" s="4" t="str">
        <x:v>Train</x:v>
      </x:c>
    </x:row>
    <x:row r="235" ht="34" customHeight="1">
      <x:c r="A235" s="4" t="str">
        <x:v>RS-00234</x:v>
      </x:c>
      <x:c r="B235" s="8" t="n">
        <x:v>45301</x:v>
      </x:c>
      <x:c r="C235" s="4" t="str">
        <x:v>PRJ-014</x:v>
      </x:c>
      <x:c r="D235" s="4" t="str">
        <x:v>Retail</x:v>
      </x:c>
      <x:c r="E235" s="4" t="str">
        <x:v>Reserved</x:v>
      </x:c>
      <x:c r="F235" s="4" t="str">
        <x:v>CUS-00234</x:v>
      </x:c>
      <x:c r="G235" s="4" t="str">
        <x:v>UNIT-00234</x:v>
      </x:c>
      <x:c r="H235" s="9" t="n">
        <x:v>4000000</x:v>
      </x:c>
      <x:c r="I235" s="10" t="n">
        <x:v>0.01</x:v>
      </x:c>
      <x:c r="J235" s="11" t="n">
        <x:v>9</x:v>
      </x:c>
      <x:c r="K235" s="11" t="n">
        <x:v>3</x:v>
      </x:c>
      <x:c r="L235" s="11" t="n">
        <x:v>0</x:v>
      </x:c>
      <x:c r="M235" s="9" t="n">
        <x:f>ROUND(H235*(1-I235),2)</x:f>
        <x:v>3960000</x:v>
      </x:c>
      <x:c r="N235" s="4" t="str">
        <x:v>Sales manager</x:v>
      </x:c>
      <x:c r="O235" s="4"/>
      <x:c r="P235" s="9" t="n">
        <x:v>0</x:v>
      </x:c>
      <x:c r="Q235" s="11" t="n">
        <x:v>1</x:v>
      </x:c>
      <x:c r="R235" s="8" t="n">
        <x:v>45361</x:v>
      </x:c>
      <x:c r="S235" s="4" t="str">
        <x:v>Lost / cancelled</x:v>
      </x:c>
      <x:c r="T235" s="10" t="n">
        <x:v>0.305556</x:v>
      </x:c>
      <x:c r="U235" s="4" t="str">
        <x:v>Train</x:v>
      </x:c>
    </x:row>
    <x:row r="236" ht="34" customHeight="1">
      <x:c r="A236" s="4" t="str">
        <x:v>RS-00235</x:v>
      </x:c>
      <x:c r="B236" s="8" t="n">
        <x:v>45302</x:v>
      </x:c>
      <x:c r="C236" s="4" t="str">
        <x:v>PRJ-015</x:v>
      </x:c>
      <x:c r="D236" s="4" t="str">
        <x:v>Apartment</x:v>
      </x:c>
      <x:c r="E236" s="4" t="str">
        <x:v>Handed over</x:v>
      </x:c>
      <x:c r="F236" s="4" t="str">
        <x:v>CUS-00235</x:v>
      </x:c>
      <x:c r="G236" s="4" t="str">
        <x:v>UNIT-00235</x:v>
      </x:c>
      <x:c r="H236" s="9" t="n">
        <x:v>19100000</x:v>
      </x:c>
      <x:c r="I236" s="10" t="n">
        <x:v>0.07</x:v>
      </x:c>
      <x:c r="J236" s="11" t="n">
        <x:v>6</x:v>
      </x:c>
      <x:c r="K236" s="11" t="n">
        <x:v>9</x:v>
      </x:c>
      <x:c r="L236" s="11" t="n">
        <x:v>1</x:v>
      </x:c>
      <x:c r="M236" s="9" t="n">
        <x:f>ROUND(H236*(1-I236),2)</x:f>
        <x:v>17763000</x:v>
      </x:c>
      <x:c r="N236" s="4" t="str">
        <x:v>Sales manager</x:v>
      </x:c>
      <x:c r="O236" s="4" t="str">
        <x:v>BOOK-00235</x:v>
      </x:c>
      <x:c r="P236" s="9" t="n">
        <x:v>4440750</x:v>
      </x:c>
      <x:c r="Q236" s="11" t="n">
        <x:v>0</x:v>
      </x:c>
      <x:c r="R236" s="8" t="n">
        <x:v>45362</x:v>
      </x:c>
      <x:c r="S236" s="4" t="str">
        <x:v>Retained</x:v>
      </x:c>
      <x:c r="T236" s="10" t="n">
        <x:v>0.291946</x:v>
      </x:c>
      <x:c r="U236" s="4" t="str">
        <x:v>Train</x:v>
      </x:c>
    </x:row>
    <x:row r="237" ht="34" customHeight="1">
      <x:c r="A237" s="4" t="str">
        <x:v>RS-00236</x:v>
      </x:c>
      <x:c r="B237" s="8" t="n">
        <x:v>45303</x:v>
      </x:c>
      <x:c r="C237" s="4" t="str">
        <x:v>PRJ-016</x:v>
      </x:c>
      <x:c r="D237" s="4" t="str">
        <x:v>Apartment</x:v>
      </x:c>
      <x:c r="E237" s="4" t="str">
        <x:v>Handed over</x:v>
      </x:c>
      <x:c r="F237" s="4" t="str">
        <x:v>CUS-00236</x:v>
      </x:c>
      <x:c r="G237" s="4" t="str">
        <x:v>UNIT-00236</x:v>
      </x:c>
      <x:c r="H237" s="9" t="n">
        <x:v>5300000</x:v>
      </x:c>
      <x:c r="I237" s="10" t="n">
        <x:v>0.09</x:v>
      </x:c>
      <x:c r="J237" s="11" t="n">
        <x:v>3</x:v>
      </x:c>
      <x:c r="K237" s="11" t="n">
        <x:v>4</x:v>
      </x:c>
      <x:c r="L237" s="11" t="n">
        <x:v>1</x:v>
      </x:c>
      <x:c r="M237" s="9" t="n">
        <x:f>ROUND(H237*(1-I237),2)</x:f>
        <x:v>4823000</x:v>
      </x:c>
      <x:c r="N237" s="4" t="str">
        <x:v>Sales head</x:v>
      </x:c>
      <x:c r="O237" s="4" t="str">
        <x:v>BOOK-00236</x:v>
      </x:c>
      <x:c r="P237" s="9" t="n">
        <x:v>1205750</x:v>
      </x:c>
      <x:c r="Q237" s="11" t="n">
        <x:v>0</x:v>
      </x:c>
      <x:c r="R237" s="8" t="n">
        <x:v>45363</x:v>
      </x:c>
      <x:c r="S237" s="4" t="str">
        <x:v>Retained</x:v>
      </x:c>
      <x:c r="T237" s="10" t="n">
        <x:v>0.145833</x:v>
      </x:c>
      <x:c r="U237" s="4" t="str">
        <x:v>Train</x:v>
      </x:c>
    </x:row>
    <x:row r="238" ht="34" customHeight="1">
      <x:c r="A238" s="4" t="str">
        <x:v>RS-00237</x:v>
      </x:c>
      <x:c r="B238" s="8" t="n">
        <x:v>45304</x:v>
      </x:c>
      <x:c r="C238" s="4" t="str">
        <x:v>PRJ-017</x:v>
      </x:c>
      <x:c r="D238" s="4" t="str">
        <x:v>Villa</x:v>
      </x:c>
      <x:c r="E238" s="4" t="str">
        <x:v>Handed over</x:v>
      </x:c>
      <x:c r="F238" s="4" t="str">
        <x:v>CUS-00237</x:v>
      </x:c>
      <x:c r="G238" s="4" t="str">
        <x:v>UNIT-00237</x:v>
      </x:c>
      <x:c r="H238" s="9" t="n">
        <x:v>21300000</x:v>
      </x:c>
      <x:c r="I238" s="10" t="n">
        <x:v>0.08</x:v>
      </x:c>
      <x:c r="J238" s="11" t="n">
        <x:v>3</x:v>
      </x:c>
      <x:c r="K238" s="11" t="n">
        <x:v>4</x:v>
      </x:c>
      <x:c r="L238" s="11" t="n">
        <x:v>1</x:v>
      </x:c>
      <x:c r="M238" s="9" t="n">
        <x:f>ROUND(H238*(1-I238),2)</x:f>
        <x:v>19596000</x:v>
      </x:c>
      <x:c r="N238" s="4" t="str">
        <x:v>Sales head</x:v>
      </x:c>
      <x:c r="O238" s="4" t="str">
        <x:v>BOOK-00237</x:v>
      </x:c>
      <x:c r="P238" s="9" t="n">
        <x:v>4899000</x:v>
      </x:c>
      <x:c r="Q238" s="11" t="n">
        <x:v>0</x:v>
      </x:c>
      <x:c r="R238" s="8" t="n">
        <x:v>45364</x:v>
      </x:c>
      <x:c r="S238" s="4" t="str">
        <x:v>Retained</x:v>
      </x:c>
      <x:c r="T238" s="10" t="n">
        <x:v>0.204152</x:v>
      </x:c>
      <x:c r="U238" s="4" t="str">
        <x:v>Train</x:v>
      </x:c>
    </x:row>
    <x:row r="239" ht="34" customHeight="1">
      <x:c r="A239" s="4" t="str">
        <x:v>RS-00238</x:v>
      </x:c>
      <x:c r="B239" s="8" t="n">
        <x:v>45305</x:v>
      </x:c>
      <x:c r="C239" s="4" t="str">
        <x:v>PRJ-018</x:v>
      </x:c>
      <x:c r="D239" s="4" t="str">
        <x:v>Office</x:v>
      </x:c>
      <x:c r="E239" s="4" t="str">
        <x:v>Cancelled</x:v>
      </x:c>
      <x:c r="F239" s="4" t="str">
        <x:v>CUS-00238</x:v>
      </x:c>
      <x:c r="G239" s="4" t="str">
        <x:v>UNIT-00238</x:v>
      </x:c>
      <x:c r="H239" s="9" t="n">
        <x:v>16200000</x:v>
      </x:c>
      <x:c r="I239" s="10" t="n">
        <x:v>0.05</x:v>
      </x:c>
      <x:c r="J239" s="11" t="n">
        <x:v>8</x:v>
      </x:c>
      <x:c r="K239" s="11" t="n">
        <x:v>9</x:v>
      </x:c>
      <x:c r="L239" s="11" t="n">
        <x:v>1</x:v>
      </x:c>
      <x:c r="M239" s="9" t="n">
        <x:f>ROUND(H239*(1-I239),2)</x:f>
        <x:v>15390000</x:v>
      </x:c>
      <x:c r="N239" s="4" t="str">
        <x:v>Sales manager</x:v>
      </x:c>
      <x:c r="O239" s="4"/>
      <x:c r="P239" s="9" t="n">
        <x:v>0</x:v>
      </x:c>
      <x:c r="Q239" s="11" t="n">
        <x:v>1</x:v>
      </x:c>
      <x:c r="R239" s="8" t="n">
        <x:v>45365</x:v>
      </x:c>
      <x:c r="S239" s="4" t="str">
        <x:v>Lost / cancelled</x:v>
      </x:c>
      <x:c r="T239" s="10" t="n">
        <x:v>0.310195</x:v>
      </x:c>
      <x:c r="U239" s="4" t="str">
        <x:v>Train</x:v>
      </x:c>
    </x:row>
    <x:row r="240" ht="34" customHeight="1">
      <x:c r="A240" s="4" t="str">
        <x:v>RS-00239</x:v>
      </x:c>
      <x:c r="B240" s="8" t="n">
        <x:v>45306</x:v>
      </x:c>
      <x:c r="C240" s="4" t="str">
        <x:v>PRJ-019</x:v>
      </x:c>
      <x:c r="D240" s="4" t="str">
        <x:v>Villa</x:v>
      </x:c>
      <x:c r="E240" s="4" t="str">
        <x:v>Handed over</x:v>
      </x:c>
      <x:c r="F240" s="4" t="str">
        <x:v>CUS-00239</x:v>
      </x:c>
      <x:c r="G240" s="4" t="str">
        <x:v>UNIT-00239</x:v>
      </x:c>
      <x:c r="H240" s="9" t="n">
        <x:v>24300000</x:v>
      </x:c>
      <x:c r="I240" s="10" t="n">
        <x:v>0.04</x:v>
      </x:c>
      <x:c r="J240" s="11" t="n">
        <x:v>2</x:v>
      </x:c>
      <x:c r="K240" s="11" t="n">
        <x:v>7</x:v>
      </x:c>
      <x:c r="L240" s="11" t="n">
        <x:v>0</x:v>
      </x:c>
      <x:c r="M240" s="9" t="n">
        <x:f>ROUND(H240*(1-I240),2)</x:f>
        <x:v>23328000</x:v>
      </x:c>
      <x:c r="N240" s="4" t="str">
        <x:v>Sales manager</x:v>
      </x:c>
      <x:c r="O240" s="4" t="str">
        <x:v>BOOK-00239</x:v>
      </x:c>
      <x:c r="P240" s="9" t="n">
        <x:v>11664000</x:v>
      </x:c>
      <x:c r="Q240" s="11" t="n">
        <x:v>0</x:v>
      </x:c>
      <x:c r="R240" s="8" t="n">
        <x:v>45366</x:v>
      </x:c>
      <x:c r="S240" s="4" t="str">
        <x:v>Retained</x:v>
      </x:c>
      <x:c r="T240" s="10" t="n">
        <x:v>0.204152</x:v>
      </x:c>
      <x:c r="U240" s="4" t="str">
        <x:v>Train</x:v>
      </x:c>
    </x:row>
    <x:row r="241" ht="34" customHeight="1">
      <x:c r="A241" s="4" t="str">
        <x:v>RS-00240</x:v>
      </x:c>
      <x:c r="B241" s="8" t="n">
        <x:v>45307</x:v>
      </x:c>
      <x:c r="C241" s="4" t="str">
        <x:v>PRJ-020</x:v>
      </x:c>
      <x:c r="D241" s="4" t="str">
        <x:v>Apartment</x:v>
      </x:c>
      <x:c r="E241" s="4" t="str">
        <x:v>Handed over</x:v>
      </x:c>
      <x:c r="F241" s="4" t="str">
        <x:v>CUS-00240</x:v>
      </x:c>
      <x:c r="G241" s="4" t="str">
        <x:v>UNIT-00240</x:v>
      </x:c>
      <x:c r="H241" s="9" t="n">
        <x:v>4900000</x:v>
      </x:c>
      <x:c r="I241" s="10" t="n">
        <x:v>0.09</x:v>
      </x:c>
      <x:c r="J241" s="11" t="n">
        <x:v>2</x:v>
      </x:c>
      <x:c r="K241" s="11" t="n">
        <x:v>9</x:v>
      </x:c>
      <x:c r="L241" s="11" t="n">
        <x:v>1</x:v>
      </x:c>
      <x:c r="M241" s="9" t="n">
        <x:f>ROUND(H241*(1-I241),2)</x:f>
        <x:v>4459000</x:v>
      </x:c>
      <x:c r="N241" s="4" t="str">
        <x:v>Sales head</x:v>
      </x:c>
      <x:c r="O241" s="4" t="str">
        <x:v>BOOK-00240</x:v>
      </x:c>
      <x:c r="P241" s="9" t="n">
        <x:v>2229500</x:v>
      </x:c>
      <x:c r="Q241" s="11" t="n">
        <x:v>0</x:v>
      </x:c>
      <x:c r="R241" s="8" t="n">
        <x:v>45367</x:v>
      </x:c>
      <x:c r="S241" s="4" t="str">
        <x:v>Retained</x:v>
      </x:c>
      <x:c r="T241" s="10" t="n">
        <x:v>0.145833</x:v>
      </x:c>
      <x:c r="U241" s="4" t="str">
        <x:v>Train</x:v>
      </x:c>
    </x:row>
    <x:row r="242" ht="34" customHeight="1">
      <x:c r="A242" s="4" t="str">
        <x:v>RS-00241</x:v>
      </x:c>
      <x:c r="B242" s="8" t="n">
        <x:v>45308</x:v>
      </x:c>
      <x:c r="C242" s="4" t="str">
        <x:v>PRJ-001</x:v>
      </x:c>
      <x:c r="D242" s="4" t="str">
        <x:v>Retail</x:v>
      </x:c>
      <x:c r="E242" s="4" t="str">
        <x:v>Agreement signed</x:v>
      </x:c>
      <x:c r="F242" s="4" t="str">
        <x:v>CUS-00241</x:v>
      </x:c>
      <x:c r="G242" s="4" t="str">
        <x:v>UNIT-00241</x:v>
      </x:c>
      <x:c r="H242" s="9" t="n">
        <x:v>22000000</x:v>
      </x:c>
      <x:c r="I242" s="10" t="n">
        <x:v>0.11</x:v>
      </x:c>
      <x:c r="J242" s="11" t="n">
        <x:v>4</x:v>
      </x:c>
      <x:c r="K242" s="11" t="n">
        <x:v>2</x:v>
      </x:c>
      <x:c r="L242" s="11" t="n">
        <x:v>1</x:v>
      </x:c>
      <x:c r="M242" s="9" t="n">
        <x:f>ROUND(H242*(1-I242),2)</x:f>
        <x:v>19580000</x:v>
      </x:c>
      <x:c r="N242" s="4" t="str">
        <x:v>Sales head</x:v>
      </x:c>
      <x:c r="O242" s="4" t="str">
        <x:v>BOOK-00241</x:v>
      </x:c>
      <x:c r="P242" s="9" t="n">
        <x:v>4895000</x:v>
      </x:c>
      <x:c r="Q242" s="11" t="n">
        <x:v>0</x:v>
      </x:c>
      <x:c r="R242" s="8" t="n">
        <x:v>45368</x:v>
      </x:c>
      <x:c r="S242" s="4" t="str">
        <x:v>Retained</x:v>
      </x:c>
      <x:c r="T242" s="10" t="n">
        <x:v>0.291946</x:v>
      </x:c>
      <x:c r="U242" s="4" t="str">
        <x:v>Train</x:v>
      </x:c>
    </x:row>
    <x:row r="243" ht="34" customHeight="1">
      <x:c r="A243" s="4" t="str">
        <x:v>RS-00242</x:v>
      </x:c>
      <x:c r="B243" s="8" t="n">
        <x:v>45309</x:v>
      </x:c>
      <x:c r="C243" s="4" t="str">
        <x:v>PRJ-002</x:v>
      </x:c>
      <x:c r="D243" s="4" t="str">
        <x:v>Villa</x:v>
      </x:c>
      <x:c r="E243" s="4" t="str">
        <x:v>Enquiry</x:v>
      </x:c>
      <x:c r="F243" s="4" t="str">
        <x:v>CUS-00242</x:v>
      </x:c>
      <x:c r="G243" s="4" t="str">
        <x:v>UNIT-00242</x:v>
      </x:c>
      <x:c r="H243" s="9" t="n">
        <x:v>22400000</x:v>
      </x:c>
      <x:c r="I243" s="10" t="n">
        <x:v>0.09</x:v>
      </x:c>
      <x:c r="J243" s="11" t="n">
        <x:v>2</x:v>
      </x:c>
      <x:c r="K243" s="11" t="n">
        <x:v>8</x:v>
      </x:c>
      <x:c r="L243" s="11" t="n">
        <x:v>0</x:v>
      </x:c>
      <x:c r="M243" s="9" t="n">
        <x:f>ROUND(H243*(1-I243),2)</x:f>
        <x:v>20384000</x:v>
      </x:c>
      <x:c r="N243" s="4" t="str">
        <x:v>Sales head</x:v>
      </x:c>
      <x:c r="O243" s="4"/>
      <x:c r="P243" s="9" t="n">
        <x:v>0</x:v>
      </x:c>
      <x:c r="Q243" s="11" t="n">
        <x:v>0</x:v>
      </x:c>
      <x:c r="R243" s="8" t="n">
        <x:v>45369</x:v>
      </x:c>
      <x:c r="S243" s="4" t="str">
        <x:v>Retained</x:v>
      </x:c>
      <x:c r="T243" s="10" t="n">
        <x:v>0.145833</x:v>
      </x:c>
      <x:c r="U243" s="4" t="str">
        <x:v>Train</x:v>
      </x:c>
    </x:row>
    <x:row r="244" ht="34" customHeight="1">
      <x:c r="A244" s="4" t="str">
        <x:v>RS-00243</x:v>
      </x:c>
      <x:c r="B244" s="8" t="n">
        <x:v>45310</x:v>
      </x:c>
      <x:c r="C244" s="4" t="str">
        <x:v>PRJ-003</x:v>
      </x:c>
      <x:c r="D244" s="4" t="str">
        <x:v>Retail</x:v>
      </x:c>
      <x:c r="E244" s="4" t="str">
        <x:v>Booked</x:v>
      </x:c>
      <x:c r="F244" s="4" t="str">
        <x:v>CUS-00243</x:v>
      </x:c>
      <x:c r="G244" s="4" t="str">
        <x:v>UNIT-00243</x:v>
      </x:c>
      <x:c r="H244" s="9" t="n">
        <x:v>20300000</x:v>
      </x:c>
      <x:c r="I244" s="10" t="n">
        <x:v>0.06</x:v>
      </x:c>
      <x:c r="J244" s="11" t="n">
        <x:v>11</x:v>
      </x:c>
      <x:c r="K244" s="11" t="n">
        <x:v>0</x:v>
      </x:c>
      <x:c r="L244" s="11" t="n">
        <x:v>1</x:v>
      </x:c>
      <x:c r="M244" s="9" t="n">
        <x:f>ROUND(H244*(1-I244),2)</x:f>
        <x:v>19082000</x:v>
      </x:c>
      <x:c r="N244" s="4" t="str">
        <x:v>Sales manager</x:v>
      </x:c>
      <x:c r="O244" s="4" t="str">
        <x:v>BOOK-00243</x:v>
      </x:c>
      <x:c r="P244" s="9" t="n">
        <x:v>4770500</x:v>
      </x:c>
      <x:c r="Q244" s="11" t="n">
        <x:v>0</x:v>
      </x:c>
      <x:c r="R244" s="8" t="n">
        <x:v>45370</x:v>
      </x:c>
      <x:c r="S244" s="4" t="str">
        <x:v>Retained</x:v>
      </x:c>
      <x:c r="T244" s="10" t="n">
        <x:v>0.351536</x:v>
      </x:c>
      <x:c r="U244" s="4" t="str">
        <x:v>Train</x:v>
      </x:c>
    </x:row>
    <x:row r="245" ht="34" customHeight="1">
      <x:c r="A245" s="4" t="str">
        <x:v>RS-00244</x:v>
      </x:c>
      <x:c r="B245" s="8" t="n">
        <x:v>45311</x:v>
      </x:c>
      <x:c r="C245" s="4" t="str">
        <x:v>PRJ-004</x:v>
      </x:c>
      <x:c r="D245" s="4" t="str">
        <x:v>Retail</x:v>
      </x:c>
      <x:c r="E245" s="4" t="str">
        <x:v>Enquiry</x:v>
      </x:c>
      <x:c r="F245" s="4" t="str">
        <x:v>CUS-00244</x:v>
      </x:c>
      <x:c r="G245" s="4" t="str">
        <x:v>UNIT-00244</x:v>
      </x:c>
      <x:c r="H245" s="9" t="n">
        <x:v>3100000</x:v>
      </x:c>
      <x:c r="I245" s="10" t="n">
        <x:v>0.02</x:v>
      </x:c>
      <x:c r="J245" s="11" t="n">
        <x:v>8</x:v>
      </x:c>
      <x:c r="K245" s="11" t="n">
        <x:v>4</x:v>
      </x:c>
      <x:c r="L245" s="11" t="n">
        <x:v>0</x:v>
      </x:c>
      <x:c r="M245" s="9" t="n">
        <x:f>ROUND(H245*(1-I245),2)</x:f>
        <x:v>3038000</x:v>
      </x:c>
      <x:c r="N245" s="4" t="str">
        <x:v>Sales manager</x:v>
      </x:c>
      <x:c r="O245" s="4"/>
      <x:c r="P245" s="9" t="n">
        <x:v>0</x:v>
      </x:c>
      <x:c r="Q245" s="11" t="n">
        <x:v>1</x:v>
      </x:c>
      <x:c r="R245" s="8" t="n">
        <x:v>45371</x:v>
      </x:c>
      <x:c r="S245" s="4" t="str">
        <x:v>Lost / cancelled</x:v>
      </x:c>
      <x:c r="T245" s="10" t="n">
        <x:v>0.305556</x:v>
      </x:c>
      <x:c r="U245" s="4" t="str">
        <x:v>Train</x:v>
      </x:c>
    </x:row>
    <x:row r="246" ht="34" customHeight="1">
      <x:c r="A246" s="4" t="str">
        <x:v>RS-00245</x:v>
      </x:c>
      <x:c r="B246" s="8" t="n">
        <x:v>45312</x:v>
      </x:c>
      <x:c r="C246" s="4" t="str">
        <x:v>PRJ-005</x:v>
      </x:c>
      <x:c r="D246" s="4" t="str">
        <x:v>Retail</x:v>
      </x:c>
      <x:c r="E246" s="4" t="str">
        <x:v>Reserved</x:v>
      </x:c>
      <x:c r="F246" s="4" t="str">
        <x:v>CUS-00245</x:v>
      </x:c>
      <x:c r="G246" s="4" t="str">
        <x:v>UNIT-00245</x:v>
      </x:c>
      <x:c r="H246" s="9" t="n">
        <x:v>3300000</x:v>
      </x:c>
      <x:c r="I246" s="10" t="n">
        <x:v>0.03</x:v>
      </x:c>
      <x:c r="J246" s="11" t="n">
        <x:v>5</x:v>
      </x:c>
      <x:c r="K246" s="11" t="n">
        <x:v>3</x:v>
      </x:c>
      <x:c r="L246" s="11" t="n">
        <x:v>0</x:v>
      </x:c>
      <x:c r="M246" s="9" t="n">
        <x:f>ROUND(H246*(1-I246),2)</x:f>
        <x:v>3201000</x:v>
      </x:c>
      <x:c r="N246" s="4" t="str">
        <x:v>Sales manager</x:v>
      </x:c>
      <x:c r="O246" s="4"/>
      <x:c r="P246" s="9" t="n">
        <x:v>0</x:v>
      </x:c>
      <x:c r="Q246" s="11" t="n">
        <x:v>0</x:v>
      </x:c>
      <x:c r="R246" s="8" t="n">
        <x:v>45372</x:v>
      </x:c>
      <x:c r="S246" s="4" t="str">
        <x:v>Retained</x:v>
      </x:c>
      <x:c r="T246" s="10" t="n">
        <x:v>0.298969</x:v>
      </x:c>
      <x:c r="U246" s="4" t="str">
        <x:v>Train</x:v>
      </x:c>
    </x:row>
    <x:row r="247" ht="34" customHeight="1">
      <x:c r="A247" s="4" t="str">
        <x:v>RS-00246</x:v>
      </x:c>
      <x:c r="B247" s="8" t="n">
        <x:v>45313</x:v>
      </x:c>
      <x:c r="C247" s="4" t="str">
        <x:v>PRJ-006</x:v>
      </x:c>
      <x:c r="D247" s="4" t="str">
        <x:v>Retail</x:v>
      </x:c>
      <x:c r="E247" s="4" t="str">
        <x:v>Reserved</x:v>
      </x:c>
      <x:c r="F247" s="4" t="str">
        <x:v>CUS-00246</x:v>
      </x:c>
      <x:c r="G247" s="4" t="str">
        <x:v>UNIT-00246</x:v>
      </x:c>
      <x:c r="H247" s="9" t="n">
        <x:v>5200000</x:v>
      </x:c>
      <x:c r="I247" s="10" t="n">
        <x:v>0.07</x:v>
      </x:c>
      <x:c r="J247" s="11" t="n">
        <x:v>6</x:v>
      </x:c>
      <x:c r="K247" s="11" t="n">
        <x:v>3</x:v>
      </x:c>
      <x:c r="L247" s="11" t="n">
        <x:v>1</x:v>
      </x:c>
      <x:c r="M247" s="9" t="n">
        <x:f>ROUND(H247*(1-I247),2)</x:f>
        <x:v>4836000</x:v>
      </x:c>
      <x:c r="N247" s="4" t="str">
        <x:v>Sales manager</x:v>
      </x:c>
      <x:c r="O247" s="4"/>
      <x:c r="P247" s="9" t="n">
        <x:v>0</x:v>
      </x:c>
      <x:c r="Q247" s="11" t="n">
        <x:v>0</x:v>
      </x:c>
      <x:c r="R247" s="8" t="n">
        <x:v>45373</x:v>
      </x:c>
      <x:c r="S247" s="4" t="str">
        <x:v>Retained</x:v>
      </x:c>
      <x:c r="T247" s="10" t="n">
        <x:v>0.291946</x:v>
      </x:c>
      <x:c r="U247" s="4" t="str">
        <x:v>Train</x:v>
      </x:c>
    </x:row>
    <x:row r="248" ht="34" customHeight="1">
      <x:c r="A248" s="4" t="str">
        <x:v>RS-00247</x:v>
      </x:c>
      <x:c r="B248" s="8" t="n">
        <x:v>45314</x:v>
      </x:c>
      <x:c r="C248" s="4" t="str">
        <x:v>PRJ-007</x:v>
      </x:c>
      <x:c r="D248" s="4" t="str">
        <x:v>Villa</x:v>
      </x:c>
      <x:c r="E248" s="4" t="str">
        <x:v>Reserved</x:v>
      </x:c>
      <x:c r="F248" s="4" t="str">
        <x:v>CUS-00247</x:v>
      </x:c>
      <x:c r="G248" s="4" t="str">
        <x:v>UNIT-00247</x:v>
      </x:c>
      <x:c r="H248" s="9" t="n">
        <x:v>20500000</x:v>
      </x:c>
      <x:c r="I248" s="10" t="n">
        <x:v>0.01</x:v>
      </x:c>
      <x:c r="J248" s="11" t="n">
        <x:v>8</x:v>
      </x:c>
      <x:c r="K248" s="11" t="n">
        <x:v>4</x:v>
      </x:c>
      <x:c r="L248" s="11" t="n">
        <x:v>1</x:v>
      </x:c>
      <x:c r="M248" s="9" t="n">
        <x:f>ROUND(H248*(1-I248),2)</x:f>
        <x:v>20295000</x:v>
      </x:c>
      <x:c r="N248" s="4" t="str">
        <x:v>Sales manager</x:v>
      </x:c>
      <x:c r="O248" s="4"/>
      <x:c r="P248" s="9" t="n">
        <x:v>0</x:v>
      </x:c>
      <x:c r="Q248" s="11" t="n">
        <x:v>1</x:v>
      </x:c>
      <x:c r="R248" s="8" t="n">
        <x:v>45374</x:v>
      </x:c>
      <x:c r="S248" s="4" t="str">
        <x:v>Lost / cancelled</x:v>
      </x:c>
      <x:c r="T248" s="10" t="n">
        <x:v>0.254545</x:v>
      </x:c>
      <x:c r="U248" s="4" t="str">
        <x:v>Train</x:v>
      </x:c>
    </x:row>
    <x:row r="249" ht="34" customHeight="1">
      <x:c r="A249" s="4" t="str">
        <x:v>RS-00248</x:v>
      </x:c>
      <x:c r="B249" s="8" t="n">
        <x:v>45315</x:v>
      </x:c>
      <x:c r="C249" s="4" t="str">
        <x:v>PRJ-008</x:v>
      </x:c>
      <x:c r="D249" s="4" t="str">
        <x:v>Retail</x:v>
      </x:c>
      <x:c r="E249" s="4" t="str">
        <x:v>Reserved</x:v>
      </x:c>
      <x:c r="F249" s="4" t="str">
        <x:v>CUS-00248</x:v>
      </x:c>
      <x:c r="G249" s="4" t="str">
        <x:v>UNIT-00248</x:v>
      </x:c>
      <x:c r="H249" s="9" t="n">
        <x:v>15800000</x:v>
      </x:c>
      <x:c r="I249" s="10" t="n">
        <x:v>0.1</x:v>
      </x:c>
      <x:c r="J249" s="11" t="n">
        <x:v>5</x:v>
      </x:c>
      <x:c r="K249" s="11" t="n">
        <x:v>10</x:v>
      </x:c>
      <x:c r="L249" s="11" t="n">
        <x:v>0</x:v>
      </x:c>
      <x:c r="M249" s="9" t="n">
        <x:f>ROUND(H249*(1-I249),2)</x:f>
        <x:v>14220000</x:v>
      </x:c>
      <x:c r="N249" s="4" t="str">
        <x:v>Sales head</x:v>
      </x:c>
      <x:c r="O249" s="4"/>
      <x:c r="P249" s="9" t="n">
        <x:v>0</x:v>
      </x:c>
      <x:c r="Q249" s="11" t="n">
        <x:v>1</x:v>
      </x:c>
      <x:c r="R249" s="8" t="n">
        <x:v>45375</x:v>
      </x:c>
      <x:c r="S249" s="4" t="str">
        <x:v>Lost / cancelled</x:v>
      </x:c>
      <x:c r="T249" s="10" t="n">
        <x:v>0.226277</x:v>
      </x:c>
      <x:c r="U249" s="4" t="str">
        <x:v>Train</x:v>
      </x:c>
    </x:row>
    <x:row r="250" ht="34" customHeight="1">
      <x:c r="A250" s="4" t="str">
        <x:v>RS-00249</x:v>
      </x:c>
      <x:c r="B250" s="8" t="n">
        <x:v>45316</x:v>
      </x:c>
      <x:c r="C250" s="4" t="str">
        <x:v>PRJ-009</x:v>
      </x:c>
      <x:c r="D250" s="4" t="str">
        <x:v>Villa</x:v>
      </x:c>
      <x:c r="E250" s="4" t="str">
        <x:v>Booked</x:v>
      </x:c>
      <x:c r="F250" s="4" t="str">
        <x:v>CUS-00249</x:v>
      </x:c>
      <x:c r="G250" s="4" t="str">
        <x:v>UNIT-00249</x:v>
      </x:c>
      <x:c r="H250" s="9" t="n">
        <x:v>19300000</x:v>
      </x:c>
      <x:c r="I250" s="10" t="n">
        <x:v>0.1</x:v>
      </x:c>
      <x:c r="J250" s="11" t="n">
        <x:v>10</x:v>
      </x:c>
      <x:c r="K250" s="11" t="n">
        <x:v>3</x:v>
      </x:c>
      <x:c r="L250" s="11" t="n">
        <x:v>1</x:v>
      </x:c>
      <x:c r="M250" s="9" t="n">
        <x:f>ROUND(H250*(1-I250),2)</x:f>
        <x:v>17370000</x:v>
      </x:c>
      <x:c r="N250" s="4" t="str">
        <x:v>Sales head</x:v>
      </x:c>
      <x:c r="O250" s="4" t="str">
        <x:v>BOOK-00249</x:v>
      </x:c>
      <x:c r="P250" s="9" t="n">
        <x:v>17370000</x:v>
      </x:c>
      <x:c r="Q250" s="11" t="n">
        <x:v>0</x:v>
      </x:c>
      <x:c r="R250" s="8" t="n">
        <x:v>45376</x:v>
      </x:c>
      <x:c r="S250" s="4" t="str">
        <x:v>Retained</x:v>
      </x:c>
      <x:c r="T250" s="10" t="n">
        <x:v>0.310195</x:v>
      </x:c>
      <x:c r="U250" s="4" t="str">
        <x:v>Train</x:v>
      </x:c>
    </x:row>
    <x:row r="251" ht="34" customHeight="1">
      <x:c r="A251" s="4" t="str">
        <x:v>RS-00250</x:v>
      </x:c>
      <x:c r="B251" s="8" t="n">
        <x:v>45317</x:v>
      </x:c>
      <x:c r="C251" s="4" t="str">
        <x:v>PRJ-010</x:v>
      </x:c>
      <x:c r="D251" s="4" t="str">
        <x:v>Retail</x:v>
      </x:c>
      <x:c r="E251" s="4" t="str">
        <x:v>Booked</x:v>
      </x:c>
      <x:c r="F251" s="4" t="str">
        <x:v>CUS-00250</x:v>
      </x:c>
      <x:c r="G251" s="4" t="str">
        <x:v>UNIT-00250</x:v>
      </x:c>
      <x:c r="H251" s="9" t="n">
        <x:v>18000000</x:v>
      </x:c>
      <x:c r="I251" s="10" t="n">
        <x:v>0.07</x:v>
      </x:c>
      <x:c r="J251" s="11" t="n">
        <x:v>12</x:v>
      </x:c>
      <x:c r="K251" s="11" t="n">
        <x:v>7</x:v>
      </x:c>
      <x:c r="L251" s="11" t="n">
        <x:v>0</x:v>
      </x:c>
      <x:c r="M251" s="9" t="n">
        <x:f>ROUND(H251*(1-I251),2)</x:f>
        <x:v>16740000</x:v>
      </x:c>
      <x:c r="N251" s="4" t="str">
        <x:v>Sales manager</x:v>
      </x:c>
      <x:c r="O251" s="4" t="str">
        <x:v>BOOK-00250</x:v>
      </x:c>
      <x:c r="P251" s="9" t="n">
        <x:v>16740000</x:v>
      </x:c>
      <x:c r="Q251" s="11" t="n">
        <x:v>0</x:v>
      </x:c>
      <x:c r="R251" s="8" t="n">
        <x:v>45377</x:v>
      </x:c>
      <x:c r="S251" s="4" t="str">
        <x:v>Retained</x:v>
      </x:c>
      <x:c r="T251" s="10" t="n">
        <x:v>0.351536</x:v>
      </x:c>
      <x:c r="U251" s="4" t="str">
        <x:v>Train</x:v>
      </x:c>
    </x:row>
    <x:row r="252" ht="34" customHeight="1">
      <x:c r="A252" s="4" t="str">
        <x:v>RS-00251</x:v>
      </x:c>
      <x:c r="B252" s="8" t="n">
        <x:v>45318</x:v>
      </x:c>
      <x:c r="C252" s="4" t="str">
        <x:v>PRJ-011</x:v>
      </x:c>
      <x:c r="D252" s="4" t="str">
        <x:v>Retail</x:v>
      </x:c>
      <x:c r="E252" s="4" t="str">
        <x:v>Reserved</x:v>
      </x:c>
      <x:c r="F252" s="4" t="str">
        <x:v>CUS-00251</x:v>
      </x:c>
      <x:c r="G252" s="4" t="str">
        <x:v>UNIT-00251</x:v>
      </x:c>
      <x:c r="H252" s="9" t="n">
        <x:v>6000000</x:v>
      </x:c>
      <x:c r="I252" s="10" t="n">
        <x:v>0.04</x:v>
      </x:c>
      <x:c r="J252" s="11" t="n">
        <x:v>12</x:v>
      </x:c>
      <x:c r="K252" s="11" t="n">
        <x:v>1</x:v>
      </x:c>
      <x:c r="L252" s="11" t="n">
        <x:v>1</x:v>
      </x:c>
      <x:c r="M252" s="9" t="n">
        <x:f>ROUND(H252*(1-I252),2)</x:f>
        <x:v>5760000</x:v>
      </x:c>
      <x:c r="N252" s="4" t="str">
        <x:v>Sales manager</x:v>
      </x:c>
      <x:c r="O252" s="4"/>
      <x:c r="P252" s="9" t="n">
        <x:v>0</x:v>
      </x:c>
      <x:c r="Q252" s="11" t="n">
        <x:v>1</x:v>
      </x:c>
      <x:c r="R252" s="8" t="n">
        <x:v>45378</x:v>
      </x:c>
      <x:c r="S252" s="4" t="str">
        <x:v>Lost / cancelled</x:v>
      </x:c>
      <x:c r="T252" s="10" t="n">
        <x:v>0.351536</x:v>
      </x:c>
      <x:c r="U252" s="4" t="str">
        <x:v>Train</x:v>
      </x:c>
    </x:row>
    <x:row r="253" ht="34" customHeight="1">
      <x:c r="A253" s="4" t="str">
        <x:v>RS-00252</x:v>
      </x:c>
      <x:c r="B253" s="8" t="n">
        <x:v>45319</x:v>
      </x:c>
      <x:c r="C253" s="4" t="str">
        <x:v>PRJ-012</x:v>
      </x:c>
      <x:c r="D253" s="4" t="str">
        <x:v>Villa</x:v>
      </x:c>
      <x:c r="E253" s="4" t="str">
        <x:v>Cancelled</x:v>
      </x:c>
      <x:c r="F253" s="4" t="str">
        <x:v>CUS-00252</x:v>
      </x:c>
      <x:c r="G253" s="4" t="str">
        <x:v>UNIT-00252</x:v>
      </x:c>
      <x:c r="H253" s="9" t="n">
        <x:v>20200000</x:v>
      </x:c>
      <x:c r="I253" s="10" t="n">
        <x:v>0.11</x:v>
      </x:c>
      <x:c r="J253" s="11" t="n">
        <x:v>6</x:v>
      </x:c>
      <x:c r="K253" s="11" t="n">
        <x:v>9</x:v>
      </x:c>
      <x:c r="L253" s="11" t="n">
        <x:v>1</x:v>
      </x:c>
      <x:c r="M253" s="9" t="n">
        <x:f>ROUND(H253*(1-I253),2)</x:f>
        <x:v>17978000</x:v>
      </x:c>
      <x:c r="N253" s="4" t="str">
        <x:v>Sales head</x:v>
      </x:c>
      <x:c r="O253" s="4"/>
      <x:c r="P253" s="9" t="n">
        <x:v>0</x:v>
      </x:c>
      <x:c r="Q253" s="11" t="n">
        <x:v>1</x:v>
      </x:c>
      <x:c r="R253" s="8" t="n">
        <x:v>45379</x:v>
      </x:c>
      <x:c r="S253" s="4" t="str">
        <x:v>Lost / cancelled</x:v>
      </x:c>
      <x:c r="T253" s="10" t="n">
        <x:v>0.291946</x:v>
      </x:c>
      <x:c r="U253" s="4" t="str">
        <x:v>Train</x:v>
      </x:c>
    </x:row>
    <x:row r="254" ht="34" customHeight="1">
      <x:c r="A254" s="4" t="str">
        <x:v>RS-00253</x:v>
      </x:c>
      <x:c r="B254" s="8" t="n">
        <x:v>45292</x:v>
      </x:c>
      <x:c r="C254" s="4" t="str">
        <x:v>PRJ-013</x:v>
      </x:c>
      <x:c r="D254" s="4" t="str">
        <x:v>Retail</x:v>
      </x:c>
      <x:c r="E254" s="4" t="str">
        <x:v>Booked</x:v>
      </x:c>
      <x:c r="F254" s="4" t="str">
        <x:v>CUS-00253</x:v>
      </x:c>
      <x:c r="G254" s="4" t="str">
        <x:v>UNIT-00253</x:v>
      </x:c>
      <x:c r="H254" s="9" t="n">
        <x:v>14600000</x:v>
      </x:c>
      <x:c r="I254" s="10" t="n">
        <x:v>0.12</x:v>
      </x:c>
      <x:c r="J254" s="11" t="n">
        <x:v>6</x:v>
      </x:c>
      <x:c r="K254" s="11" t="n">
        <x:v>1</x:v>
      </x:c>
      <x:c r="L254" s="11" t="n">
        <x:v>1</x:v>
      </x:c>
      <x:c r="M254" s="9" t="n">
        <x:f>ROUND(H254*(1-I254),2)</x:f>
        <x:v>12848000</x:v>
      </x:c>
      <x:c r="N254" s="4" t="str">
        <x:v>Sales head</x:v>
      </x:c>
      <x:c r="O254" s="4" t="str">
        <x:v>BOOK-00253</x:v>
      </x:c>
      <x:c r="P254" s="9" t="n">
        <x:v>6424000</x:v>
      </x:c>
      <x:c r="Q254" s="11" t="n">
        <x:v>0</x:v>
      </x:c>
      <x:c r="R254" s="8" t="n">
        <x:v>45352</x:v>
      </x:c>
      <x:c r="S254" s="4" t="str">
        <x:v>Retained</x:v>
      </x:c>
      <x:c r="T254" s="10" t="n">
        <x:v>0.291946</x:v>
      </x:c>
      <x:c r="U254" s="4" t="str">
        <x:v>Train</x:v>
      </x:c>
    </x:row>
    <x:row r="255" ht="34" customHeight="1">
      <x:c r="A255" s="4" t="str">
        <x:v>RS-00254</x:v>
      </x:c>
      <x:c r="B255" s="8" t="n">
        <x:v>45293</x:v>
      </x:c>
      <x:c r="C255" s="4" t="str">
        <x:v>PRJ-014</x:v>
      </x:c>
      <x:c r="D255" s="4" t="str">
        <x:v>Villa</x:v>
      </x:c>
      <x:c r="E255" s="4" t="str">
        <x:v>Agreement signed</x:v>
      </x:c>
      <x:c r="F255" s="4" t="str">
        <x:v>CUS-00254</x:v>
      </x:c>
      <x:c r="G255" s="4" t="str">
        <x:v>UNIT-00254</x:v>
      </x:c>
      <x:c r="H255" s="9" t="n">
        <x:v>19100000</x:v>
      </x:c>
      <x:c r="I255" s="10" t="n">
        <x:v>0.04</x:v>
      </x:c>
      <x:c r="J255" s="11" t="n">
        <x:v>10</x:v>
      </x:c>
      <x:c r="K255" s="11" t="n">
        <x:v>5</x:v>
      </x:c>
      <x:c r="L255" s="11" t="n">
        <x:v>1</x:v>
      </x:c>
      <x:c r="M255" s="9" t="n">
        <x:f>ROUND(H255*(1-I255),2)</x:f>
        <x:v>18336000</x:v>
      </x:c>
      <x:c r="N255" s="4" t="str">
        <x:v>Sales manager</x:v>
      </x:c>
      <x:c r="O255" s="4" t="str">
        <x:v>BOOK-00254</x:v>
      </x:c>
      <x:c r="P255" s="9" t="n">
        <x:v>9168000</x:v>
      </x:c>
      <x:c r="Q255" s="11" t="n">
        <x:v>0</x:v>
      </x:c>
      <x:c r="R255" s="8" t="n">
        <x:v>45353</x:v>
      </x:c>
      <x:c r="S255" s="4" t="str">
        <x:v>Retained</x:v>
      </x:c>
      <x:c r="T255" s="10" t="n">
        <x:v>0.310195</x:v>
      </x:c>
      <x:c r="U255" s="4" t="str">
        <x:v>Train</x:v>
      </x:c>
    </x:row>
    <x:row r="256" ht="34" customHeight="1">
      <x:c r="A256" s="4" t="str">
        <x:v>RS-00255</x:v>
      </x:c>
      <x:c r="B256" s="8" t="n">
        <x:v>45294</x:v>
      </x:c>
      <x:c r="C256" s="4" t="str">
        <x:v>PRJ-015</x:v>
      </x:c>
      <x:c r="D256" s="4" t="str">
        <x:v>Office</x:v>
      </x:c>
      <x:c r="E256" s="4" t="str">
        <x:v>Enquiry</x:v>
      </x:c>
      <x:c r="F256" s="4" t="str">
        <x:v>CUS-00255</x:v>
      </x:c>
      <x:c r="G256" s="4" t="str">
        <x:v>UNIT-00255</x:v>
      </x:c>
      <x:c r="H256" s="9" t="n">
        <x:v>7700000</x:v>
      </x:c>
      <x:c r="I256" s="10" t="n">
        <x:v>0.11</x:v>
      </x:c>
      <x:c r="J256" s="11" t="n">
        <x:v>11</x:v>
      </x:c>
      <x:c r="K256" s="11" t="n">
        <x:v>10</x:v>
      </x:c>
      <x:c r="L256" s="11" t="n">
        <x:v>0</x:v>
      </x:c>
      <x:c r="M256" s="9" t="n">
        <x:f>ROUND(H256*(1-I256),2)</x:f>
        <x:v>6853000</x:v>
      </x:c>
      <x:c r="N256" s="4" t="str">
        <x:v>Sales head</x:v>
      </x:c>
      <x:c r="O256" s="4"/>
      <x:c r="P256" s="9" t="n">
        <x:v>0</x:v>
      </x:c>
      <x:c r="Q256" s="11" t="n">
        <x:v>0</x:v>
      </x:c>
      <x:c r="R256" s="8" t="n">
        <x:v>45354</x:v>
      </x:c>
      <x:c r="S256" s="4" t="str">
        <x:v>Retained</x:v>
      </x:c>
      <x:c r="T256" s="10" t="n">
        <x:v>0.351536</x:v>
      </x:c>
      <x:c r="U256" s="4" t="str">
        <x:v>Train</x:v>
      </x:c>
    </x:row>
    <x:row r="257" ht="34" customHeight="1">
      <x:c r="A257" s="4" t="str">
        <x:v>RS-00256</x:v>
      </x:c>
      <x:c r="B257" s="8" t="n">
        <x:v>45295</x:v>
      </x:c>
      <x:c r="C257" s="4" t="str">
        <x:v>PRJ-016</x:v>
      </x:c>
      <x:c r="D257" s="4" t="str">
        <x:v>Apartment</x:v>
      </x:c>
      <x:c r="E257" s="4" t="str">
        <x:v>Cancelled</x:v>
      </x:c>
      <x:c r="F257" s="4" t="str">
        <x:v>CUS-00256</x:v>
      </x:c>
      <x:c r="G257" s="4" t="str">
        <x:v>UNIT-00256</x:v>
      </x:c>
      <x:c r="H257" s="9" t="n">
        <x:v>4700000</x:v>
      </x:c>
      <x:c r="I257" s="10" t="n">
        <x:v>0.04</x:v>
      </x:c>
      <x:c r="J257" s="11" t="n">
        <x:v>1</x:v>
      </x:c>
      <x:c r="K257" s="11" t="n">
        <x:v>10</x:v>
      </x:c>
      <x:c r="L257" s="11" t="n">
        <x:v>1</x:v>
      </x:c>
      <x:c r="M257" s="9" t="n">
        <x:f>ROUND(H257*(1-I257),2)</x:f>
        <x:v>4512000</x:v>
      </x:c>
      <x:c r="N257" s="4" t="str">
        <x:v>Sales manager</x:v>
      </x:c>
      <x:c r="O257" s="4"/>
      <x:c r="P257" s="9" t="n">
        <x:v>0</x:v>
      </x:c>
      <x:c r="Q257" s="11" t="n">
        <x:v>1</x:v>
      </x:c>
      <x:c r="R257" s="8" t="n">
        <x:v>45355</x:v>
      </x:c>
      <x:c r="S257" s="4" t="str">
        <x:v>Lost / cancelled</x:v>
      </x:c>
      <x:c r="T257" s="10" t="n">
        <x:v>0.204152</x:v>
      </x:c>
      <x:c r="U257" s="4" t="str">
        <x:v>Train</x:v>
      </x:c>
    </x:row>
    <x:row r="258" ht="34" customHeight="1">
      <x:c r="A258" s="4" t="str">
        <x:v>RS-00257</x:v>
      </x:c>
      <x:c r="B258" s="8" t="n">
        <x:v>45296</x:v>
      </x:c>
      <x:c r="C258" s="4" t="str">
        <x:v>PRJ-017</x:v>
      </x:c>
      <x:c r="D258" s="4" t="str">
        <x:v>Office</x:v>
      </x:c>
      <x:c r="E258" s="4" t="str">
        <x:v>Reserved</x:v>
      </x:c>
      <x:c r="F258" s="4" t="str">
        <x:v>CUS-00257</x:v>
      </x:c>
      <x:c r="G258" s="4" t="str">
        <x:v>UNIT-00257</x:v>
      </x:c>
      <x:c r="H258" s="9" t="n">
        <x:v>5000000</x:v>
      </x:c>
      <x:c r="I258" s="10" t="n">
        <x:v>0.1</x:v>
      </x:c>
      <x:c r="J258" s="11" t="n">
        <x:v>1</x:v>
      </x:c>
      <x:c r="K258" s="11" t="n">
        <x:v>6</x:v>
      </x:c>
      <x:c r="L258" s="11" t="n">
        <x:v>0</x:v>
      </x:c>
      <x:c r="M258" s="9" t="n">
        <x:f>ROUND(H258*(1-I258),2)</x:f>
        <x:v>4500000</x:v>
      </x:c>
      <x:c r="N258" s="4" t="str">
        <x:v>Sales head</x:v>
      </x:c>
      <x:c r="O258" s="4"/>
      <x:c r="P258" s="9" t="n">
        <x:v>0</x:v>
      </x:c>
      <x:c r="Q258" s="11" t="n">
        <x:v>0</x:v>
      </x:c>
      <x:c r="R258" s="8" t="n">
        <x:v>45356</x:v>
      </x:c>
      <x:c r="S258" s="4" t="str">
        <x:v>Retained</x:v>
      </x:c>
      <x:c r="T258" s="10" t="n">
        <x:v>0.145833</x:v>
      </x:c>
      <x:c r="U258" s="4" t="str">
        <x:v>Train</x:v>
      </x:c>
    </x:row>
    <x:row r="259" ht="34" customHeight="1">
      <x:c r="A259" s="4" t="str">
        <x:v>RS-00258</x:v>
      </x:c>
      <x:c r="B259" s="8" t="n">
        <x:v>45297</x:v>
      </x:c>
      <x:c r="C259" s="4" t="str">
        <x:v>PRJ-018</x:v>
      </x:c>
      <x:c r="D259" s="4" t="str">
        <x:v>Villa</x:v>
      </x:c>
      <x:c r="E259" s="4" t="str">
        <x:v>Cancelled</x:v>
      </x:c>
      <x:c r="F259" s="4" t="str">
        <x:v>CUS-00258</x:v>
      </x:c>
      <x:c r="G259" s="4" t="str">
        <x:v>UNIT-00258</x:v>
      </x:c>
      <x:c r="H259" s="9" t="n">
        <x:v>6400000</x:v>
      </x:c>
      <x:c r="I259" s="10" t="n">
        <x:v>0.05</x:v>
      </x:c>
      <x:c r="J259" s="11" t="n">
        <x:v>3</x:v>
      </x:c>
      <x:c r="K259" s="11" t="n">
        <x:v>8</x:v>
      </x:c>
      <x:c r="L259" s="11" t="n">
        <x:v>0</x:v>
      </x:c>
      <x:c r="M259" s="9" t="n">
        <x:f>ROUND(H259*(1-I259),2)</x:f>
        <x:v>6080000</x:v>
      </x:c>
      <x:c r="N259" s="4" t="str">
        <x:v>Sales manager</x:v>
      </x:c>
      <x:c r="O259" s="4"/>
      <x:c r="P259" s="9" t="n">
        <x:v>0</x:v>
      </x:c>
      <x:c r="Q259" s="11" t="n">
        <x:v>1</x:v>
      </x:c>
      <x:c r="R259" s="8" t="n">
        <x:v>45357</x:v>
      </x:c>
      <x:c r="S259" s="4" t="str">
        <x:v>Lost / cancelled</x:v>
      </x:c>
      <x:c r="T259" s="10" t="n">
        <x:v>0.204152</x:v>
      </x:c>
      <x:c r="U259" s="4" t="str">
        <x:v>Train</x:v>
      </x:c>
    </x:row>
    <x:row r="260" ht="34" customHeight="1">
      <x:c r="A260" s="4" t="str">
        <x:v>RS-00259</x:v>
      </x:c>
      <x:c r="B260" s="8" t="n">
        <x:v>45298</x:v>
      </x:c>
      <x:c r="C260" s="4" t="str">
        <x:v>PRJ-019</x:v>
      </x:c>
      <x:c r="D260" s="4" t="str">
        <x:v>Office</x:v>
      </x:c>
      <x:c r="E260" s="4" t="str">
        <x:v>Handed over</x:v>
      </x:c>
      <x:c r="F260" s="4" t="str">
        <x:v>CUS-00259</x:v>
      </x:c>
      <x:c r="G260" s="4" t="str">
        <x:v>UNIT-00259</x:v>
      </x:c>
      <x:c r="H260" s="9" t="n">
        <x:v>9000000</x:v>
      </x:c>
      <x:c r="I260" s="10" t="n">
        <x:v>0.04</x:v>
      </x:c>
      <x:c r="J260" s="11" t="n">
        <x:v>8</x:v>
      </x:c>
      <x:c r="K260" s="11" t="n">
        <x:v>2</x:v>
      </x:c>
      <x:c r="L260" s="11" t="n">
        <x:v>0</x:v>
      </x:c>
      <x:c r="M260" s="9" t="n">
        <x:f>ROUND(H260*(1-I260),2)</x:f>
        <x:v>8640000</x:v>
      </x:c>
      <x:c r="N260" s="4" t="str">
        <x:v>Sales manager</x:v>
      </x:c>
      <x:c r="O260" s="4" t="str">
        <x:v>BOOK-00259</x:v>
      </x:c>
      <x:c r="P260" s="9" t="n">
        <x:v>8640000</x:v>
      </x:c>
      <x:c r="Q260" s="11" t="n">
        <x:v>0</x:v>
      </x:c>
      <x:c r="R260" s="8" t="n">
        <x:v>45358</x:v>
      </x:c>
      <x:c r="S260" s="4" t="str">
        <x:v>Retained</x:v>
      </x:c>
      <x:c r="T260" s="10" t="n">
        <x:v>0.310195</x:v>
      </x:c>
      <x:c r="U260" s="4" t="str">
        <x:v>Train</x:v>
      </x:c>
    </x:row>
    <x:row r="261" ht="34" customHeight="1">
      <x:c r="A261" s="4" t="str">
        <x:v>RS-00260</x:v>
      </x:c>
      <x:c r="B261" s="8" t="n">
        <x:v>45299</x:v>
      </x:c>
      <x:c r="C261" s="4" t="str">
        <x:v>PRJ-020</x:v>
      </x:c>
      <x:c r="D261" s="4" t="str">
        <x:v>Office</x:v>
      </x:c>
      <x:c r="E261" s="4" t="str">
        <x:v>Enquiry</x:v>
      </x:c>
      <x:c r="F261" s="4" t="str">
        <x:v>CUS-00260</x:v>
      </x:c>
      <x:c r="G261" s="4" t="str">
        <x:v>UNIT-00260</x:v>
      </x:c>
      <x:c r="H261" s="9" t="n">
        <x:v>3500000</x:v>
      </x:c>
      <x:c r="I261" s="10" t="n">
        <x:v>0.04</x:v>
      </x:c>
      <x:c r="J261" s="11" t="n">
        <x:v>12</x:v>
      </x:c>
      <x:c r="K261" s="11" t="n">
        <x:v>6</x:v>
      </x:c>
      <x:c r="L261" s="11" t="n">
        <x:v>0</x:v>
      </x:c>
      <x:c r="M261" s="9" t="n">
        <x:f>ROUND(H261*(1-I261),2)</x:f>
        <x:v>3360000</x:v>
      </x:c>
      <x:c r="N261" s="4" t="str">
        <x:v>Sales manager</x:v>
      </x:c>
      <x:c r="O261" s="4"/>
      <x:c r="P261" s="9" t="n">
        <x:v>0</x:v>
      </x:c>
      <x:c r="Q261" s="11" t="n">
        <x:v>0</x:v>
      </x:c>
      <x:c r="R261" s="8" t="n">
        <x:v>45359</x:v>
      </x:c>
      <x:c r="S261" s="4" t="str">
        <x:v>Retained</x:v>
      </x:c>
      <x:c r="T261" s="10" t="n">
        <x:v>0.351536</x:v>
      </x:c>
      <x:c r="U261" s="4" t="str">
        <x:v>Train</x:v>
      </x:c>
    </x:row>
    <x:row r="262" ht="34" customHeight="1">
      <x:c r="A262" s="4" t="str">
        <x:v>RS-00261</x:v>
      </x:c>
      <x:c r="B262" s="8" t="n">
        <x:v>45300</x:v>
      </x:c>
      <x:c r="C262" s="4" t="str">
        <x:v>PRJ-001</x:v>
      </x:c>
      <x:c r="D262" s="4" t="str">
        <x:v>Office</x:v>
      </x:c>
      <x:c r="E262" s="4" t="str">
        <x:v>Agreement signed</x:v>
      </x:c>
      <x:c r="F262" s="4" t="str">
        <x:v>CUS-00261</x:v>
      </x:c>
      <x:c r="G262" s="4" t="str">
        <x:v>UNIT-00261</x:v>
      </x:c>
      <x:c r="H262" s="9" t="n">
        <x:v>7200000</x:v>
      </x:c>
      <x:c r="I262" s="10" t="n">
        <x:v>0.08</x:v>
      </x:c>
      <x:c r="J262" s="11" t="n">
        <x:v>7</x:v>
      </x:c>
      <x:c r="K262" s="11" t="n">
        <x:v>8</x:v>
      </x:c>
      <x:c r="L262" s="11" t="n">
        <x:v>1</x:v>
      </x:c>
      <x:c r="M262" s="9" t="n">
        <x:f>ROUND(H262*(1-I262),2)</x:f>
        <x:v>6624000</x:v>
      </x:c>
      <x:c r="N262" s="4" t="str">
        <x:v>Sales head</x:v>
      </x:c>
      <x:c r="O262" s="4" t="str">
        <x:v>BOOK-00261</x:v>
      </x:c>
      <x:c r="P262" s="9" t="n">
        <x:v>1656000</x:v>
      </x:c>
      <x:c r="Q262" s="11" t="n">
        <x:v>0</x:v>
      </x:c>
      <x:c r="R262" s="8" t="n">
        <x:v>45360</x:v>
      </x:c>
      <x:c r="S262" s="4" t="str">
        <x:v>Retained</x:v>
      </x:c>
      <x:c r="T262" s="10" t="n">
        <x:v>0.291946</x:v>
      </x:c>
      <x:c r="U262" s="4" t="str">
        <x:v>Train</x:v>
      </x:c>
    </x:row>
    <x:row r="263" ht="34" customHeight="1">
      <x:c r="A263" s="4" t="str">
        <x:v>RS-00262</x:v>
      </x:c>
      <x:c r="B263" s="8" t="n">
        <x:v>45301</x:v>
      </x:c>
      <x:c r="C263" s="4" t="str">
        <x:v>PRJ-002</x:v>
      </x:c>
      <x:c r="D263" s="4" t="str">
        <x:v>Retail</x:v>
      </x:c>
      <x:c r="E263" s="4" t="str">
        <x:v>Agreement signed</x:v>
      </x:c>
      <x:c r="F263" s="4" t="str">
        <x:v>CUS-00262</x:v>
      </x:c>
      <x:c r="G263" s="4" t="str">
        <x:v>UNIT-00262</x:v>
      </x:c>
      <x:c r="H263" s="9" t="n">
        <x:v>20800000</x:v>
      </x:c>
      <x:c r="I263" s="10" t="n">
        <x:v>0.03</x:v>
      </x:c>
      <x:c r="J263" s="11" t="n">
        <x:v>9</x:v>
      </x:c>
      <x:c r="K263" s="11" t="n">
        <x:v>9</x:v>
      </x:c>
      <x:c r="L263" s="11" t="n">
        <x:v>0</x:v>
      </x:c>
      <x:c r="M263" s="9" t="n">
        <x:f>ROUND(H263*(1-I263),2)</x:f>
        <x:v>20176000</x:v>
      </x:c>
      <x:c r="N263" s="4" t="str">
        <x:v>Sales manager</x:v>
      </x:c>
      <x:c r="O263" s="4" t="str">
        <x:v>BOOK-00262</x:v>
      </x:c>
      <x:c r="P263" s="9" t="n">
        <x:v>5044000</x:v>
      </x:c>
      <x:c r="Q263" s="11" t="n">
        <x:v>0</x:v>
      </x:c>
      <x:c r="R263" s="8" t="n">
        <x:v>45361</x:v>
      </x:c>
      <x:c r="S263" s="4" t="str">
        <x:v>Retained</x:v>
      </x:c>
      <x:c r="T263" s="10" t="n">
        <x:v>0.310195</x:v>
      </x:c>
      <x:c r="U263" s="4" t="str">
        <x:v>Train</x:v>
      </x:c>
    </x:row>
    <x:row r="264" ht="34" customHeight="1">
      <x:c r="A264" s="4" t="str">
        <x:v>RS-00263</x:v>
      </x:c>
      <x:c r="B264" s="8" t="n">
        <x:v>45302</x:v>
      </x:c>
      <x:c r="C264" s="4" t="str">
        <x:v>PRJ-003</x:v>
      </x:c>
      <x:c r="D264" s="4" t="str">
        <x:v>Villa</x:v>
      </x:c>
      <x:c r="E264" s="4" t="str">
        <x:v>Reserved</x:v>
      </x:c>
      <x:c r="F264" s="4" t="str">
        <x:v>CUS-00263</x:v>
      </x:c>
      <x:c r="G264" s="4" t="str">
        <x:v>UNIT-00263</x:v>
      </x:c>
      <x:c r="H264" s="9" t="n">
        <x:v>11100000</x:v>
      </x:c>
      <x:c r="I264" s="10" t="n">
        <x:v>0.09</x:v>
      </x:c>
      <x:c r="J264" s="11" t="n">
        <x:v>0</x:v>
      </x:c>
      <x:c r="K264" s="11" t="n">
        <x:v>9</x:v>
      </x:c>
      <x:c r="L264" s="11" t="n">
        <x:v>1</x:v>
      </x:c>
      <x:c r="M264" s="9" t="n">
        <x:f>ROUND(H264*(1-I264),2)</x:f>
        <x:v>10101000</x:v>
      </x:c>
      <x:c r="N264" s="4" t="str">
        <x:v>Sales head</x:v>
      </x:c>
      <x:c r="O264" s="4"/>
      <x:c r="P264" s="9" t="n">
        <x:v>0</x:v>
      </x:c>
      <x:c r="Q264" s="11" t="n">
        <x:v>0</x:v>
      </x:c>
      <x:c r="R264" s="8" t="n">
        <x:v>45362</x:v>
      </x:c>
      <x:c r="S264" s="4" t="str">
        <x:v>Retained</x:v>
      </x:c>
      <x:c r="T264" s="10" t="n">
        <x:v>0.145833</x:v>
      </x:c>
      <x:c r="U264" s="4" t="str">
        <x:v>Train</x:v>
      </x:c>
    </x:row>
    <x:row r="265" ht="34" customHeight="1">
      <x:c r="A265" s="4" t="str">
        <x:v>RS-00264</x:v>
      </x:c>
      <x:c r="B265" s="8" t="n">
        <x:v>45303</x:v>
      </x:c>
      <x:c r="C265" s="4" t="str">
        <x:v>PRJ-004</x:v>
      </x:c>
      <x:c r="D265" s="4" t="str">
        <x:v>Villa</x:v>
      </x:c>
      <x:c r="E265" s="4" t="str">
        <x:v>Agreement signed</x:v>
      </x:c>
      <x:c r="F265" s="4" t="str">
        <x:v>CUS-00264</x:v>
      </x:c>
      <x:c r="G265" s="4" t="str">
        <x:v>UNIT-00264</x:v>
      </x:c>
      <x:c r="H265" s="9" t="n">
        <x:v>19100000</x:v>
      </x:c>
      <x:c r="I265" s="10" t="n">
        <x:v>0.06</x:v>
      </x:c>
      <x:c r="J265" s="11" t="n">
        <x:v>12</x:v>
      </x:c>
      <x:c r="K265" s="11" t="n">
        <x:v>5</x:v>
      </x:c>
      <x:c r="L265" s="11" t="n">
        <x:v>0</x:v>
      </x:c>
      <x:c r="M265" s="9" t="n">
        <x:f>ROUND(H265*(1-I265),2)</x:f>
        <x:v>17954000</x:v>
      </x:c>
      <x:c r="N265" s="4" t="str">
        <x:v>Sales manager</x:v>
      </x:c>
      <x:c r="O265" s="4" t="str">
        <x:v>BOOK-00264</x:v>
      </x:c>
      <x:c r="P265" s="9" t="n">
        <x:v>17954000</x:v>
      </x:c>
      <x:c r="Q265" s="11" t="n">
        <x:v>0</x:v>
      </x:c>
      <x:c r="R265" s="8" t="n">
        <x:v>45363</x:v>
      </x:c>
      <x:c r="S265" s="4" t="str">
        <x:v>Retained</x:v>
      </x:c>
      <x:c r="T265" s="10" t="n">
        <x:v>0.351536</x:v>
      </x:c>
      <x:c r="U265" s="4" t="str">
        <x:v>Train</x:v>
      </x:c>
    </x:row>
    <x:row r="266" ht="34" customHeight="1">
      <x:c r="A266" s="4" t="str">
        <x:v>RS-00265</x:v>
      </x:c>
      <x:c r="B266" s="8" t="n">
        <x:v>45304</x:v>
      </x:c>
      <x:c r="C266" s="4" t="str">
        <x:v>PRJ-005</x:v>
      </x:c>
      <x:c r="D266" s="4" t="str">
        <x:v>Office</x:v>
      </x:c>
      <x:c r="E266" s="4" t="str">
        <x:v>Reserved</x:v>
      </x:c>
      <x:c r="F266" s="4" t="str">
        <x:v>CUS-00265</x:v>
      </x:c>
      <x:c r="G266" s="4" t="str">
        <x:v>UNIT-00265</x:v>
      </x:c>
      <x:c r="H266" s="9" t="n">
        <x:v>15100000</x:v>
      </x:c>
      <x:c r="I266" s="10" t="n">
        <x:v>0</x:v>
      </x:c>
      <x:c r="J266" s="11" t="n">
        <x:v>8</x:v>
      </x:c>
      <x:c r="K266" s="11" t="n">
        <x:v>7</x:v>
      </x:c>
      <x:c r="L266" s="11" t="n">
        <x:v>0</x:v>
      </x:c>
      <x:c r="M266" s="9" t="n">
        <x:f>ROUND(H266*(1-I266),2)</x:f>
        <x:v>15100000</x:v>
      </x:c>
      <x:c r="N266" s="4" t="str">
        <x:v>Sales manager</x:v>
      </x:c>
      <x:c r="O266" s="4"/>
      <x:c r="P266" s="9" t="n">
        <x:v>0</x:v>
      </x:c>
      <x:c r="Q266" s="11" t="n">
        <x:v>0</x:v>
      </x:c>
      <x:c r="R266" s="8" t="n">
        <x:v>45364</x:v>
      </x:c>
      <x:c r="S266" s="4" t="str">
        <x:v>Retained</x:v>
      </x:c>
      <x:c r="T266" s="10" t="n">
        <x:v>0.305556</x:v>
      </x:c>
      <x:c r="U266" s="4" t="str">
        <x:v>Train</x:v>
      </x:c>
    </x:row>
    <x:row r="267" ht="34" customHeight="1">
      <x:c r="A267" s="4" t="str">
        <x:v>RS-00266</x:v>
      </x:c>
      <x:c r="B267" s="8" t="n">
        <x:v>45305</x:v>
      </x:c>
      <x:c r="C267" s="4" t="str">
        <x:v>PRJ-006</x:v>
      </x:c>
      <x:c r="D267" s="4" t="str">
        <x:v>Office</x:v>
      </x:c>
      <x:c r="E267" s="4" t="str">
        <x:v>Handed over</x:v>
      </x:c>
      <x:c r="F267" s="4" t="str">
        <x:v>CUS-00266</x:v>
      </x:c>
      <x:c r="G267" s="4" t="str">
        <x:v>UNIT-00266</x:v>
      </x:c>
      <x:c r="H267" s="9" t="n">
        <x:v>18800000</x:v>
      </x:c>
      <x:c r="I267" s="10" t="n">
        <x:v>0.02</x:v>
      </x:c>
      <x:c r="J267" s="11" t="n">
        <x:v>9</x:v>
      </x:c>
      <x:c r="K267" s="11" t="n">
        <x:v>10</x:v>
      </x:c>
      <x:c r="L267" s="11" t="n">
        <x:v>0</x:v>
      </x:c>
      <x:c r="M267" s="9" t="n">
        <x:f>ROUND(H267*(1-I267),2)</x:f>
        <x:v>18424000</x:v>
      </x:c>
      <x:c r="N267" s="4" t="str">
        <x:v>Sales manager</x:v>
      </x:c>
      <x:c r="O267" s="4" t="str">
        <x:v>BOOK-00266</x:v>
      </x:c>
      <x:c r="P267" s="9" t="n">
        <x:v>4606000</x:v>
      </x:c>
      <x:c r="Q267" s="11" t="n">
        <x:v>0</x:v>
      </x:c>
      <x:c r="R267" s="8" t="n">
        <x:v>45365</x:v>
      </x:c>
      <x:c r="S267" s="4" t="str">
        <x:v>Retained</x:v>
      </x:c>
      <x:c r="T267" s="10" t="n">
        <x:v>0.305556</x:v>
      </x:c>
      <x:c r="U267" s="4" t="str">
        <x:v>Train</x:v>
      </x:c>
    </x:row>
    <x:row r="268" ht="34" customHeight="1">
      <x:c r="A268" s="4" t="str">
        <x:v>RS-00267</x:v>
      </x:c>
      <x:c r="B268" s="8" t="n">
        <x:v>45306</x:v>
      </x:c>
      <x:c r="C268" s="4" t="str">
        <x:v>PRJ-007</x:v>
      </x:c>
      <x:c r="D268" s="4" t="str">
        <x:v>Apartment</x:v>
      </x:c>
      <x:c r="E268" s="4" t="str">
        <x:v>Booked</x:v>
      </x:c>
      <x:c r="F268" s="4" t="str">
        <x:v>CUS-00267</x:v>
      </x:c>
      <x:c r="G268" s="4" t="str">
        <x:v>UNIT-00267</x:v>
      </x:c>
      <x:c r="H268" s="9" t="n">
        <x:v>21300000</x:v>
      </x:c>
      <x:c r="I268" s="10" t="n">
        <x:v>0</x:v>
      </x:c>
      <x:c r="J268" s="11" t="n">
        <x:v>3</x:v>
      </x:c>
      <x:c r="K268" s="11" t="n">
        <x:v>7</x:v>
      </x:c>
      <x:c r="L268" s="11" t="n">
        <x:v>1</x:v>
      </x:c>
      <x:c r="M268" s="9" t="n">
        <x:f>ROUND(H268*(1-I268),2)</x:f>
        <x:v>21300000</x:v>
      </x:c>
      <x:c r="N268" s="4" t="str">
        <x:v>Sales manager</x:v>
      </x:c>
      <x:c r="O268" s="4" t="str">
        <x:v>BOOK-00267</x:v>
      </x:c>
      <x:c r="P268" s="9" t="n">
        <x:v>2130000</x:v>
      </x:c>
      <x:c r="Q268" s="11" t="n">
        <x:v>0</x:v>
      </x:c>
      <x:c r="R268" s="8" t="n">
        <x:v>45366</x:v>
      </x:c>
      <x:c r="S268" s="4" t="str">
        <x:v>Retained</x:v>
      </x:c>
      <x:c r="T268" s="10" t="n">
        <x:v>0.171717</x:v>
      </x:c>
      <x:c r="U268" s="4" t="str">
        <x:v>Train</x:v>
      </x:c>
    </x:row>
    <x:row r="269" ht="34" customHeight="1">
      <x:c r="A269" s="4" t="str">
        <x:v>RS-00268</x:v>
      </x:c>
      <x:c r="B269" s="8" t="n">
        <x:v>45307</x:v>
      </x:c>
      <x:c r="C269" s="4" t="str">
        <x:v>PRJ-008</x:v>
      </x:c>
      <x:c r="D269" s="4" t="str">
        <x:v>Apartment</x:v>
      </x:c>
      <x:c r="E269" s="4" t="str">
        <x:v>Booked</x:v>
      </x:c>
      <x:c r="F269" s="4" t="str">
        <x:v>CUS-00268</x:v>
      </x:c>
      <x:c r="G269" s="4" t="str">
        <x:v>UNIT-00268</x:v>
      </x:c>
      <x:c r="H269" s="9" t="n">
        <x:v>22100000</x:v>
      </x:c>
      <x:c r="I269" s="10" t="n">
        <x:v>0.1</x:v>
      </x:c>
      <x:c r="J269" s="11" t="n">
        <x:v>9</x:v>
      </x:c>
      <x:c r="K269" s="11" t="n">
        <x:v>2</x:v>
      </x:c>
      <x:c r="L269" s="11" t="n">
        <x:v>0</x:v>
      </x:c>
      <x:c r="M269" s="9" t="n">
        <x:f>ROUND(H269*(1-I269),2)</x:f>
        <x:v>19890000</x:v>
      </x:c>
      <x:c r="N269" s="4" t="str">
        <x:v>Sales head</x:v>
      </x:c>
      <x:c r="O269" s="4" t="str">
        <x:v>BOOK-00268</x:v>
      </x:c>
      <x:c r="P269" s="9" t="n">
        <x:v>4972500</x:v>
      </x:c>
      <x:c r="Q269" s="11" t="n">
        <x:v>0</x:v>
      </x:c>
      <x:c r="R269" s="8" t="n">
        <x:v>45367</x:v>
      </x:c>
      <x:c r="S269" s="4" t="str">
        <x:v>Retained</x:v>
      </x:c>
      <x:c r="T269" s="10" t="n">
        <x:v>0.310195</x:v>
      </x:c>
      <x:c r="U269" s="4" t="str">
        <x:v>Train</x:v>
      </x:c>
    </x:row>
    <x:row r="270" ht="34" customHeight="1">
      <x:c r="A270" s="4" t="str">
        <x:v>RS-00269</x:v>
      </x:c>
      <x:c r="B270" s="8" t="n">
        <x:v>45308</x:v>
      </x:c>
      <x:c r="C270" s="4" t="str">
        <x:v>PRJ-009</x:v>
      </x:c>
      <x:c r="D270" s="4" t="str">
        <x:v>Villa</x:v>
      </x:c>
      <x:c r="E270" s="4" t="str">
        <x:v>Cancelled</x:v>
      </x:c>
      <x:c r="F270" s="4" t="str">
        <x:v>CUS-00269</x:v>
      </x:c>
      <x:c r="G270" s="4" t="str">
        <x:v>UNIT-00269</x:v>
      </x:c>
      <x:c r="H270" s="9" t="n">
        <x:v>23400000</x:v>
      </x:c>
      <x:c r="I270" s="10" t="n">
        <x:v>0.07</x:v>
      </x:c>
      <x:c r="J270" s="11" t="n">
        <x:v>10</x:v>
      </x:c>
      <x:c r="K270" s="11" t="n">
        <x:v>8</x:v>
      </x:c>
      <x:c r="L270" s="11" t="n">
        <x:v>1</x:v>
      </x:c>
      <x:c r="M270" s="9" t="n">
        <x:f>ROUND(H270*(1-I270),2)</x:f>
        <x:v>21762000</x:v>
      </x:c>
      <x:c r="N270" s="4" t="str">
        <x:v>Sales manager</x:v>
      </x:c>
      <x:c r="O270" s="4"/>
      <x:c r="P270" s="9" t="n">
        <x:v>0</x:v>
      </x:c>
      <x:c r="Q270" s="11" t="n">
        <x:v>1</x:v>
      </x:c>
      <x:c r="R270" s="8" t="n">
        <x:v>45368</x:v>
      </x:c>
      <x:c r="S270" s="4" t="str">
        <x:v>Lost / cancelled</x:v>
      </x:c>
      <x:c r="T270" s="10" t="n">
        <x:v>0.310195</x:v>
      </x:c>
      <x:c r="U270" s="4" t="str">
        <x:v>Train</x:v>
      </x:c>
    </x:row>
    <x:row r="271" ht="34" customHeight="1">
      <x:c r="A271" s="4" t="str">
        <x:v>RS-00270</x:v>
      </x:c>
      <x:c r="B271" s="8" t="n">
        <x:v>45309</x:v>
      </x:c>
      <x:c r="C271" s="4" t="str">
        <x:v>PRJ-010</x:v>
      </x:c>
      <x:c r="D271" s="4" t="str">
        <x:v>Villa</x:v>
      </x:c>
      <x:c r="E271" s="4" t="str">
        <x:v>Enquiry</x:v>
      </x:c>
      <x:c r="F271" s="4" t="str">
        <x:v>CUS-00270</x:v>
      </x:c>
      <x:c r="G271" s="4" t="str">
        <x:v>UNIT-00270</x:v>
      </x:c>
      <x:c r="H271" s="9" t="n">
        <x:v>21600000</x:v>
      </x:c>
      <x:c r="I271" s="10" t="n">
        <x:v>0.12</x:v>
      </x:c>
      <x:c r="J271" s="11" t="n">
        <x:v>3</x:v>
      </x:c>
      <x:c r="K271" s="11" t="n">
        <x:v>4</x:v>
      </x:c>
      <x:c r="L271" s="11" t="n">
        <x:v>0</x:v>
      </x:c>
      <x:c r="M271" s="9" t="n">
        <x:f>ROUND(H271*(1-I271),2)</x:f>
        <x:v>19008000</x:v>
      </x:c>
      <x:c r="N271" s="4" t="str">
        <x:v>Sales head</x:v>
      </x:c>
      <x:c r="O271" s="4"/>
      <x:c r="P271" s="9" t="n">
        <x:v>0</x:v>
      </x:c>
      <x:c r="Q271" s="11" t="n">
        <x:v>1</x:v>
      </x:c>
      <x:c r="R271" s="8" t="n">
        <x:v>45369</x:v>
      </x:c>
      <x:c r="S271" s="4" t="str">
        <x:v>Lost / cancelled</x:v>
      </x:c>
      <x:c r="T271" s="10" t="n">
        <x:v>0.145833</x:v>
      </x:c>
      <x:c r="U271" s="4" t="str">
        <x:v>Train</x:v>
      </x:c>
    </x:row>
    <x:row r="272" ht="34" customHeight="1">
      <x:c r="A272" s="4" t="str">
        <x:v>RS-00271</x:v>
      </x:c>
      <x:c r="B272" s="8" t="n">
        <x:v>45310</x:v>
      </x:c>
      <x:c r="C272" s="4" t="str">
        <x:v>PRJ-011</x:v>
      </x:c>
      <x:c r="D272" s="4" t="str">
        <x:v>Apartment</x:v>
      </x:c>
      <x:c r="E272" s="4" t="str">
        <x:v>Reserved</x:v>
      </x:c>
      <x:c r="F272" s="4" t="str">
        <x:v>CUS-00271</x:v>
      </x:c>
      <x:c r="G272" s="4" t="str">
        <x:v>UNIT-00271</x:v>
      </x:c>
      <x:c r="H272" s="9" t="n">
        <x:v>3800000</x:v>
      </x:c>
      <x:c r="I272" s="10" t="n">
        <x:v>0.05</x:v>
      </x:c>
      <x:c r="J272" s="11" t="n">
        <x:v>12</x:v>
      </x:c>
      <x:c r="K272" s="11" t="n">
        <x:v>7</x:v>
      </x:c>
      <x:c r="L272" s="11" t="n">
        <x:v>1</x:v>
      </x:c>
      <x:c r="M272" s="9" t="n">
        <x:f>ROUND(H272*(1-I272),2)</x:f>
        <x:v>3610000</x:v>
      </x:c>
      <x:c r="N272" s="4" t="str">
        <x:v>Sales manager</x:v>
      </x:c>
      <x:c r="O272" s="4"/>
      <x:c r="P272" s="9" t="n">
        <x:v>0</x:v>
      </x:c>
      <x:c r="Q272" s="11" t="n">
        <x:v>1</x:v>
      </x:c>
      <x:c r="R272" s="8" t="n">
        <x:v>45370</x:v>
      </x:c>
      <x:c r="S272" s="4" t="str">
        <x:v>Lost / cancelled</x:v>
      </x:c>
      <x:c r="T272" s="10" t="n">
        <x:v>0.351536</x:v>
      </x:c>
      <x:c r="U272" s="4" t="str">
        <x:v>Train</x:v>
      </x:c>
    </x:row>
    <x:row r="273" ht="34" customHeight="1">
      <x:c r="A273" s="4" t="str">
        <x:v>RS-00272</x:v>
      </x:c>
      <x:c r="B273" s="8" t="n">
        <x:v>45311</x:v>
      </x:c>
      <x:c r="C273" s="4" t="str">
        <x:v>PRJ-012</x:v>
      </x:c>
      <x:c r="D273" s="4" t="str">
        <x:v>Apartment</x:v>
      </x:c>
      <x:c r="E273" s="4" t="str">
        <x:v>Reserved</x:v>
      </x:c>
      <x:c r="F273" s="4" t="str">
        <x:v>CUS-00272</x:v>
      </x:c>
      <x:c r="G273" s="4" t="str">
        <x:v>UNIT-00272</x:v>
      </x:c>
      <x:c r="H273" s="9" t="n">
        <x:v>23000000</x:v>
      </x:c>
      <x:c r="I273" s="10" t="n">
        <x:v>0.02</x:v>
      </x:c>
      <x:c r="J273" s="11" t="n">
        <x:v>0</x:v>
      </x:c>
      <x:c r="K273" s="11" t="n">
        <x:v>4</x:v>
      </x:c>
      <x:c r="L273" s="11" t="n">
        <x:v>1</x:v>
      </x:c>
      <x:c r="M273" s="9" t="n">
        <x:f>ROUND(H273*(1-I273),2)</x:f>
        <x:v>22540000</x:v>
      </x:c>
      <x:c r="N273" s="4" t="str">
        <x:v>Sales manager</x:v>
      </x:c>
      <x:c r="O273" s="4"/>
      <x:c r="P273" s="9" t="n">
        <x:v>0</x:v>
      </x:c>
      <x:c r="Q273" s="11" t="n">
        <x:v>0</x:v>
      </x:c>
      <x:c r="R273" s="8" t="n">
        <x:v>45371</x:v>
      </x:c>
      <x:c r="S273" s="4" t="str">
        <x:v>Retained</x:v>
      </x:c>
      <x:c r="T273" s="10" t="n">
        <x:v>0.072165</x:v>
      </x:c>
      <x:c r="U273" s="4" t="str">
        <x:v>Train</x:v>
      </x:c>
    </x:row>
    <x:row r="274" ht="34" customHeight="1">
      <x:c r="A274" s="4" t="str">
        <x:v>RS-00273</x:v>
      </x:c>
      <x:c r="B274" s="8" t="n">
        <x:v>45312</x:v>
      </x:c>
      <x:c r="C274" s="4" t="str">
        <x:v>PRJ-013</x:v>
      </x:c>
      <x:c r="D274" s="4" t="str">
        <x:v>Villa</x:v>
      </x:c>
      <x:c r="E274" s="4" t="str">
        <x:v>Handed over</x:v>
      </x:c>
      <x:c r="F274" s="4" t="str">
        <x:v>CUS-00273</x:v>
      </x:c>
      <x:c r="G274" s="4" t="str">
        <x:v>UNIT-00273</x:v>
      </x:c>
      <x:c r="H274" s="9" t="n">
        <x:v>13700000</x:v>
      </x:c>
      <x:c r="I274" s="10" t="n">
        <x:v>0.11</x:v>
      </x:c>
      <x:c r="J274" s="11" t="n">
        <x:v>10</x:v>
      </x:c>
      <x:c r="K274" s="11" t="n">
        <x:v>1</x:v>
      </x:c>
      <x:c r="L274" s="11" t="n">
        <x:v>1</x:v>
      </x:c>
      <x:c r="M274" s="9" t="n">
        <x:f>ROUND(H274*(1-I274),2)</x:f>
        <x:v>12193000</x:v>
      </x:c>
      <x:c r="N274" s="4" t="str">
        <x:v>Sales head</x:v>
      </x:c>
      <x:c r="O274" s="4" t="str">
        <x:v>BOOK-00273</x:v>
      </x:c>
      <x:c r="P274" s="9" t="n">
        <x:v>6096500</x:v>
      </x:c>
      <x:c r="Q274" s="11" t="n">
        <x:v>0</x:v>
      </x:c>
      <x:c r="R274" s="8" t="n">
        <x:v>45372</x:v>
      </x:c>
      <x:c r="S274" s="4" t="str">
        <x:v>Retained</x:v>
      </x:c>
      <x:c r="T274" s="10" t="n">
        <x:v>0.310195</x:v>
      </x:c>
      <x:c r="U274" s="4" t="str">
        <x:v>Train</x:v>
      </x:c>
    </x:row>
    <x:row r="275" ht="34" customHeight="1">
      <x:c r="A275" s="4" t="str">
        <x:v>RS-00274</x:v>
      </x:c>
      <x:c r="B275" s="8" t="n">
        <x:v>45313</x:v>
      </x:c>
      <x:c r="C275" s="4" t="str">
        <x:v>PRJ-014</x:v>
      </x:c>
      <x:c r="D275" s="4" t="str">
        <x:v>Retail</x:v>
      </x:c>
      <x:c r="E275" s="4" t="str">
        <x:v>Handed over</x:v>
      </x:c>
      <x:c r="F275" s="4" t="str">
        <x:v>CUS-00274</x:v>
      </x:c>
      <x:c r="G275" s="4" t="str">
        <x:v>UNIT-00274</x:v>
      </x:c>
      <x:c r="H275" s="9" t="n">
        <x:v>18400000</x:v>
      </x:c>
      <x:c r="I275" s="10" t="n">
        <x:v>0.05</x:v>
      </x:c>
      <x:c r="J275" s="11" t="n">
        <x:v>12</x:v>
      </x:c>
      <x:c r="K275" s="11" t="n">
        <x:v>1</x:v>
      </x:c>
      <x:c r="L275" s="11" t="n">
        <x:v>1</x:v>
      </x:c>
      <x:c r="M275" s="9" t="n">
        <x:f>ROUND(H275*(1-I275),2)</x:f>
        <x:v>17480000</x:v>
      </x:c>
      <x:c r="N275" s="4" t="str">
        <x:v>Sales manager</x:v>
      </x:c>
      <x:c r="O275" s="4" t="str">
        <x:v>BOOK-00274</x:v>
      </x:c>
      <x:c r="P275" s="9" t="n">
        <x:v>1748000</x:v>
      </x:c>
      <x:c r="Q275" s="11" t="n">
        <x:v>0</x:v>
      </x:c>
      <x:c r="R275" s="8" t="n">
        <x:v>45373</x:v>
      </x:c>
      <x:c r="S275" s="4" t="str">
        <x:v>Retained</x:v>
      </x:c>
      <x:c r="T275" s="10" t="n">
        <x:v>0.351536</x:v>
      </x:c>
      <x:c r="U275" s="4" t="str">
        <x:v>Train</x:v>
      </x:c>
    </x:row>
    <x:row r="276" ht="34" customHeight="1">
      <x:c r="A276" s="4" t="str">
        <x:v>RS-00275</x:v>
      </x:c>
      <x:c r="B276" s="8" t="n">
        <x:v>45314</x:v>
      </x:c>
      <x:c r="C276" s="4" t="str">
        <x:v>PRJ-015</x:v>
      </x:c>
      <x:c r="D276" s="4" t="str">
        <x:v>Apartment</x:v>
      </x:c>
      <x:c r="E276" s="4" t="str">
        <x:v>Booked</x:v>
      </x:c>
      <x:c r="F276" s="4" t="str">
        <x:v>CUS-00275</x:v>
      </x:c>
      <x:c r="G276" s="4" t="str">
        <x:v>UNIT-00275</x:v>
      </x:c>
      <x:c r="H276" s="9" t="n">
        <x:v>13000000</x:v>
      </x:c>
      <x:c r="I276" s="10" t="n">
        <x:v>0.12</x:v>
      </x:c>
      <x:c r="J276" s="11" t="n">
        <x:v>4</x:v>
      </x:c>
      <x:c r="K276" s="11" t="n">
        <x:v>2</x:v>
      </x:c>
      <x:c r="L276" s="11" t="n">
        <x:v>1</x:v>
      </x:c>
      <x:c r="M276" s="9" t="n">
        <x:f>ROUND(H276*(1-I276),2)</x:f>
        <x:v>11440000</x:v>
      </x:c>
      <x:c r="N276" s="4" t="str">
        <x:v>Sales head</x:v>
      </x:c>
      <x:c r="O276" s="4" t="str">
        <x:v>BOOK-00275</x:v>
      </x:c>
      <x:c r="P276" s="9" t="n">
        <x:v>1144000</x:v>
      </x:c>
      <x:c r="Q276" s="11" t="n">
        <x:v>0</x:v>
      </x:c>
      <x:c r="R276" s="8" t="n">
        <x:v>45374</x:v>
      </x:c>
      <x:c r="S276" s="4" t="str">
        <x:v>Retained</x:v>
      </x:c>
      <x:c r="T276" s="10" t="n">
        <x:v>0.291946</x:v>
      </x:c>
      <x:c r="U276" s="4" t="str">
        <x:v>Train</x:v>
      </x:c>
    </x:row>
    <x:row r="277" ht="34" customHeight="1">
      <x:c r="A277" s="4" t="str">
        <x:v>RS-00276</x:v>
      </x:c>
      <x:c r="B277" s="8" t="n">
        <x:v>45315</x:v>
      </x:c>
      <x:c r="C277" s="4" t="str">
        <x:v>PRJ-016</x:v>
      </x:c>
      <x:c r="D277" s="4" t="str">
        <x:v>Apartment</x:v>
      </x:c>
      <x:c r="E277" s="4" t="str">
        <x:v>Reserved</x:v>
      </x:c>
      <x:c r="F277" s="4" t="str">
        <x:v>CUS-00276</x:v>
      </x:c>
      <x:c r="G277" s="4" t="str">
        <x:v>UNIT-00276</x:v>
      </x:c>
      <x:c r="H277" s="9" t="n">
        <x:v>7500000</x:v>
      </x:c>
      <x:c r="I277" s="10" t="n">
        <x:v>0.05</x:v>
      </x:c>
      <x:c r="J277" s="11" t="n">
        <x:v>9</x:v>
      </x:c>
      <x:c r="K277" s="11" t="n">
        <x:v>7</x:v>
      </x:c>
      <x:c r="L277" s="11" t="n">
        <x:v>0</x:v>
      </x:c>
      <x:c r="M277" s="9" t="n">
        <x:f>ROUND(H277*(1-I277),2)</x:f>
        <x:v>7125000</x:v>
      </x:c>
      <x:c r="N277" s="4" t="str">
        <x:v>Sales manager</x:v>
      </x:c>
      <x:c r="O277" s="4"/>
      <x:c r="P277" s="9" t="n">
        <x:v>0</x:v>
      </x:c>
      <x:c r="Q277" s="11" t="n">
        <x:v>1</x:v>
      </x:c>
      <x:c r="R277" s="8" t="n">
        <x:v>45375</x:v>
      </x:c>
      <x:c r="S277" s="4" t="str">
        <x:v>Lost / cancelled</x:v>
      </x:c>
      <x:c r="T277" s="10" t="n">
        <x:v>0.310195</x:v>
      </x:c>
      <x:c r="U277" s="4" t="str">
        <x:v>Train</x:v>
      </x:c>
    </x:row>
    <x:row r="278" ht="34" customHeight="1">
      <x:c r="A278" s="4" t="str">
        <x:v>RS-00277</x:v>
      </x:c>
      <x:c r="B278" s="8" t="n">
        <x:v>45316</x:v>
      </x:c>
      <x:c r="C278" s="4" t="str">
        <x:v>PRJ-017</x:v>
      </x:c>
      <x:c r="D278" s="4" t="str">
        <x:v>Villa</x:v>
      </x:c>
      <x:c r="E278" s="4" t="str">
        <x:v>Agreement signed</x:v>
      </x:c>
      <x:c r="F278" s="4" t="str">
        <x:v>CUS-00277</x:v>
      </x:c>
      <x:c r="G278" s="4" t="str">
        <x:v>UNIT-00277</x:v>
      </x:c>
      <x:c r="H278" s="9" t="n">
        <x:v>14000000</x:v>
      </x:c>
      <x:c r="I278" s="10" t="n">
        <x:v>0.02</x:v>
      </x:c>
      <x:c r="J278" s="11" t="n">
        <x:v>8</x:v>
      </x:c>
      <x:c r="K278" s="11" t="n">
        <x:v>1</x:v>
      </x:c>
      <x:c r="L278" s="11" t="n">
        <x:v>1</x:v>
      </x:c>
      <x:c r="M278" s="9" t="n">
        <x:f>ROUND(H278*(1-I278),2)</x:f>
        <x:v>13720000</x:v>
      </x:c>
      <x:c r="N278" s="4" t="str">
        <x:v>Sales manager</x:v>
      </x:c>
      <x:c r="O278" s="4" t="str">
        <x:v>BOOK-00277</x:v>
      </x:c>
      <x:c r="P278" s="9" t="n">
        <x:v>1372000</x:v>
      </x:c>
      <x:c r="Q278" s="11" t="n">
        <x:v>0</x:v>
      </x:c>
      <x:c r="R278" s="8" t="n">
        <x:v>45376</x:v>
      </x:c>
      <x:c r="S278" s="4" t="str">
        <x:v>Retained</x:v>
      </x:c>
      <x:c r="T278" s="10" t="n">
        <x:v>0.254545</x:v>
      </x:c>
      <x:c r="U278" s="4" t="str">
        <x:v>Train</x:v>
      </x:c>
    </x:row>
    <x:row r="279" ht="34" customHeight="1">
      <x:c r="A279" s="4" t="str">
        <x:v>RS-00278</x:v>
      </x:c>
      <x:c r="B279" s="8" t="n">
        <x:v>45317</x:v>
      </x:c>
      <x:c r="C279" s="4" t="str">
        <x:v>PRJ-018</x:v>
      </x:c>
      <x:c r="D279" s="4" t="str">
        <x:v>Apartment</x:v>
      </x:c>
      <x:c r="E279" s="4" t="str">
        <x:v>Booked</x:v>
      </x:c>
      <x:c r="F279" s="4" t="str">
        <x:v>CUS-00278</x:v>
      </x:c>
      <x:c r="G279" s="4" t="str">
        <x:v>UNIT-00278</x:v>
      </x:c>
      <x:c r="H279" s="9" t="n">
        <x:v>23600000</x:v>
      </x:c>
      <x:c r="I279" s="10" t="n">
        <x:v>0.1</x:v>
      </x:c>
      <x:c r="J279" s="11" t="n">
        <x:v>0</x:v>
      </x:c>
      <x:c r="K279" s="11" t="n">
        <x:v>10</x:v>
      </x:c>
      <x:c r="L279" s="11" t="n">
        <x:v>0</x:v>
      </x:c>
      <x:c r="M279" s="9" t="n">
        <x:f>ROUND(H279*(1-I279),2)</x:f>
        <x:v>21240000</x:v>
      </x:c>
      <x:c r="N279" s="4" t="str">
        <x:v>Sales head</x:v>
      </x:c>
      <x:c r="O279" s="4" t="str">
        <x:v>BOOK-00278</x:v>
      </x:c>
      <x:c r="P279" s="9" t="n">
        <x:v>21240000</x:v>
      </x:c>
      <x:c r="Q279" s="11" t="n">
        <x:v>0</x:v>
      </x:c>
      <x:c r="R279" s="8" t="n">
        <x:v>45377</x:v>
      </x:c>
      <x:c r="S279" s="4" t="str">
        <x:v>Retained</x:v>
      </x:c>
      <x:c r="T279" s="10" t="n">
        <x:v>0.145833</x:v>
      </x:c>
      <x:c r="U279" s="4" t="str">
        <x:v>Train</x:v>
      </x:c>
    </x:row>
    <x:row r="280" ht="34" customHeight="1">
      <x:c r="A280" s="4" t="str">
        <x:v>RS-00279</x:v>
      </x:c>
      <x:c r="B280" s="8" t="n">
        <x:v>45318</x:v>
      </x:c>
      <x:c r="C280" s="4" t="str">
        <x:v>PRJ-019</x:v>
      </x:c>
      <x:c r="D280" s="4" t="str">
        <x:v>Office</x:v>
      </x:c>
      <x:c r="E280" s="4" t="str">
        <x:v>Booked</x:v>
      </x:c>
      <x:c r="F280" s="4" t="str">
        <x:v>CUS-00279</x:v>
      </x:c>
      <x:c r="G280" s="4" t="str">
        <x:v>UNIT-00279</x:v>
      </x:c>
      <x:c r="H280" s="9" t="n">
        <x:v>14800000</x:v>
      </x:c>
      <x:c r="I280" s="10" t="n">
        <x:v>0.02</x:v>
      </x:c>
      <x:c r="J280" s="11" t="n">
        <x:v>0</x:v>
      </x:c>
      <x:c r="K280" s="11" t="n">
        <x:v>6</x:v>
      </x:c>
      <x:c r="L280" s="11" t="n">
        <x:v>0</x:v>
      </x:c>
      <x:c r="M280" s="9" t="n">
        <x:f>ROUND(H280*(1-I280),2)</x:f>
        <x:v>14504000</x:v>
      </x:c>
      <x:c r="N280" s="4" t="str">
        <x:v>Sales manager</x:v>
      </x:c>
      <x:c r="O280" s="4" t="str">
        <x:v>BOOK-00279</x:v>
      </x:c>
      <x:c r="P280" s="9" t="n">
        <x:v>7252000</x:v>
      </x:c>
      <x:c r="Q280" s="11" t="n">
        <x:v>0</x:v>
      </x:c>
      <x:c r="R280" s="8" t="n">
        <x:v>45378</x:v>
      </x:c>
      <x:c r="S280" s="4" t="str">
        <x:v>Retained</x:v>
      </x:c>
      <x:c r="T280" s="10" t="n">
        <x:v>0.072165</x:v>
      </x:c>
      <x:c r="U280" s="4" t="str">
        <x:v>Train</x:v>
      </x:c>
    </x:row>
    <x:row r="281" ht="34" customHeight="1">
      <x:c r="A281" s="4" t="str">
        <x:v>RS-00280</x:v>
      </x:c>
      <x:c r="B281" s="8" t="n">
        <x:v>45319</x:v>
      </x:c>
      <x:c r="C281" s="4" t="str">
        <x:v>PRJ-020</x:v>
      </x:c>
      <x:c r="D281" s="4" t="str">
        <x:v>Villa</x:v>
      </x:c>
      <x:c r="E281" s="4" t="str">
        <x:v>Reserved</x:v>
      </x:c>
      <x:c r="F281" s="4" t="str">
        <x:v>CUS-00280</x:v>
      </x:c>
      <x:c r="G281" s="4" t="str">
        <x:v>UNIT-00280</x:v>
      </x:c>
      <x:c r="H281" s="9" t="n">
        <x:v>10000000</x:v>
      </x:c>
      <x:c r="I281" s="10" t="n">
        <x:v>0.03</x:v>
      </x:c>
      <x:c r="J281" s="11" t="n">
        <x:v>5</x:v>
      </x:c>
      <x:c r="K281" s="11" t="n">
        <x:v>2</x:v>
      </x:c>
      <x:c r="L281" s="11" t="n">
        <x:v>1</x:v>
      </x:c>
      <x:c r="M281" s="9" t="n">
        <x:f>ROUND(H281*(1-I281),2)</x:f>
        <x:v>9700000</x:v>
      </x:c>
      <x:c r="N281" s="4" t="str">
        <x:v>Sales manager</x:v>
      </x:c>
      <x:c r="O281" s="4"/>
      <x:c r="P281" s="9" t="n">
        <x:v>0</x:v>
      </x:c>
      <x:c r="Q281" s="11" t="n">
        <x:v>0</x:v>
      </x:c>
      <x:c r="R281" s="8" t="n">
        <x:v>45379</x:v>
      </x:c>
      <x:c r="S281" s="4" t="str">
        <x:v>Retained</x:v>
      </x:c>
      <x:c r="T281" s="10" t="n">
        <x:v>0.298969</x:v>
      </x:c>
      <x:c r="U281" s="4" t="str">
        <x:v>Train</x:v>
      </x:c>
    </x:row>
    <x:row r="282" ht="34" customHeight="1">
      <x:c r="A282" s="4" t="str">
        <x:v>RS-00281</x:v>
      </x:c>
      <x:c r="B282" s="8" t="n">
        <x:v>45292</x:v>
      </x:c>
      <x:c r="C282" s="4" t="str">
        <x:v>PRJ-001</x:v>
      </x:c>
      <x:c r="D282" s="4" t="str">
        <x:v>Villa</x:v>
      </x:c>
      <x:c r="E282" s="4" t="str">
        <x:v>Reserved</x:v>
      </x:c>
      <x:c r="F282" s="4" t="str">
        <x:v>CUS-00281</x:v>
      </x:c>
      <x:c r="G282" s="4" t="str">
        <x:v>UNIT-00281</x:v>
      </x:c>
      <x:c r="H282" s="9" t="n">
        <x:v>25000000</x:v>
      </x:c>
      <x:c r="I282" s="10" t="n">
        <x:v>0.02</x:v>
      </x:c>
      <x:c r="J282" s="11" t="n">
        <x:v>8</x:v>
      </x:c>
      <x:c r="K282" s="11" t="n">
        <x:v>3</x:v>
      </x:c>
      <x:c r="L282" s="11" t="n">
        <x:v>0</x:v>
      </x:c>
      <x:c r="M282" s="9" t="n">
        <x:f>ROUND(H282*(1-I282),2)</x:f>
        <x:v>24500000</x:v>
      </x:c>
      <x:c r="N282" s="4" t="str">
        <x:v>Sales manager</x:v>
      </x:c>
      <x:c r="O282" s="4"/>
      <x:c r="P282" s="9" t="n">
        <x:v>0</x:v>
      </x:c>
      <x:c r="Q282" s="11" t="n">
        <x:v>0</x:v>
      </x:c>
      <x:c r="R282" s="8" t="n">
        <x:v>45352</x:v>
      </x:c>
      <x:c r="S282" s="4" t="str">
        <x:v>Retained</x:v>
      </x:c>
      <x:c r="T282" s="10" t="n">
        <x:v>0.305556</x:v>
      </x:c>
      <x:c r="U282" s="4" t="str">
        <x:v>Train</x:v>
      </x:c>
    </x:row>
    <x:row r="283" ht="34" customHeight="1">
      <x:c r="A283" s="4" t="str">
        <x:v>RS-00282</x:v>
      </x:c>
      <x:c r="B283" s="8" t="n">
        <x:v>45293</x:v>
      </x:c>
      <x:c r="C283" s="4" t="str">
        <x:v>PRJ-002</x:v>
      </x:c>
      <x:c r="D283" s="4" t="str">
        <x:v>Apartment</x:v>
      </x:c>
      <x:c r="E283" s="4" t="str">
        <x:v>Cancelled</x:v>
      </x:c>
      <x:c r="F283" s="4" t="str">
        <x:v>CUS-00282</x:v>
      </x:c>
      <x:c r="G283" s="4" t="str">
        <x:v>UNIT-00282</x:v>
      </x:c>
      <x:c r="H283" s="9" t="n">
        <x:v>24200000</x:v>
      </x:c>
      <x:c r="I283" s="10" t="n">
        <x:v>0.1</x:v>
      </x:c>
      <x:c r="J283" s="11" t="n">
        <x:v>9</x:v>
      </x:c>
      <x:c r="K283" s="11" t="n">
        <x:v>8</x:v>
      </x:c>
      <x:c r="L283" s="11" t="n">
        <x:v>0</x:v>
      </x:c>
      <x:c r="M283" s="9" t="n">
        <x:f>ROUND(H283*(1-I283),2)</x:f>
        <x:v>21780000</x:v>
      </x:c>
      <x:c r="N283" s="4" t="str">
        <x:v>Sales head</x:v>
      </x:c>
      <x:c r="O283" s="4"/>
      <x:c r="P283" s="9" t="n">
        <x:v>0</x:v>
      </x:c>
      <x:c r="Q283" s="11" t="n">
        <x:v>1</x:v>
      </x:c>
      <x:c r="R283" s="8" t="n">
        <x:v>45353</x:v>
      </x:c>
      <x:c r="S283" s="4" t="str">
        <x:v>Lost / cancelled</x:v>
      </x:c>
      <x:c r="T283" s="10" t="n">
        <x:v>0.310195</x:v>
      </x:c>
      <x:c r="U283" s="4" t="str">
        <x:v>Train</x:v>
      </x:c>
    </x:row>
    <x:row r="284" ht="34" customHeight="1">
      <x:c r="A284" s="4" t="str">
        <x:v>RS-00283</x:v>
      </x:c>
      <x:c r="B284" s="8" t="n">
        <x:v>45294</x:v>
      </x:c>
      <x:c r="C284" s="4" t="str">
        <x:v>PRJ-003</x:v>
      </x:c>
      <x:c r="D284" s="4" t="str">
        <x:v>Villa</x:v>
      </x:c>
      <x:c r="E284" s="4" t="str">
        <x:v>Agreement signed</x:v>
      </x:c>
      <x:c r="F284" s="4" t="str">
        <x:v>CUS-00283</x:v>
      </x:c>
      <x:c r="G284" s="4" t="str">
        <x:v>UNIT-00283</x:v>
      </x:c>
      <x:c r="H284" s="9" t="n">
        <x:v>21600000</x:v>
      </x:c>
      <x:c r="I284" s="10" t="n">
        <x:v>0.08</x:v>
      </x:c>
      <x:c r="J284" s="11" t="n">
        <x:v>7</x:v>
      </x:c>
      <x:c r="K284" s="11" t="n">
        <x:v>6</x:v>
      </x:c>
      <x:c r="L284" s="11" t="n">
        <x:v>0</x:v>
      </x:c>
      <x:c r="M284" s="9" t="n">
        <x:f>ROUND(H284*(1-I284),2)</x:f>
        <x:v>19872000</x:v>
      </x:c>
      <x:c r="N284" s="4" t="str">
        <x:v>Sales head</x:v>
      </x:c>
      <x:c r="O284" s="4" t="str">
        <x:v>BOOK-00283</x:v>
      </x:c>
      <x:c r="P284" s="9" t="n">
        <x:v>4968000</x:v>
      </x:c>
      <x:c r="Q284" s="11" t="n">
        <x:v>0</x:v>
      </x:c>
      <x:c r="R284" s="8" t="n">
        <x:v>45354</x:v>
      </x:c>
      <x:c r="S284" s="4" t="str">
        <x:v>Retained</x:v>
      </x:c>
      <x:c r="T284" s="10" t="n">
        <x:v>0.226277</x:v>
      </x:c>
      <x:c r="U284" s="4" t="str">
        <x:v>Train</x:v>
      </x:c>
    </x:row>
    <x:row r="285" ht="34" customHeight="1">
      <x:c r="A285" s="4" t="str">
        <x:v>RS-00284</x:v>
      </x:c>
      <x:c r="B285" s="8" t="n">
        <x:v>45295</x:v>
      </x:c>
      <x:c r="C285" s="4" t="str">
        <x:v>PRJ-004</x:v>
      </x:c>
      <x:c r="D285" s="4" t="str">
        <x:v>Office</x:v>
      </x:c>
      <x:c r="E285" s="4" t="str">
        <x:v>Agreement signed</x:v>
      </x:c>
      <x:c r="F285" s="4" t="str">
        <x:v>CUS-00284</x:v>
      </x:c>
      <x:c r="G285" s="4" t="str">
        <x:v>UNIT-00284</x:v>
      </x:c>
      <x:c r="H285" s="9" t="n">
        <x:v>8500000</x:v>
      </x:c>
      <x:c r="I285" s="10" t="n">
        <x:v>0.04</x:v>
      </x:c>
      <x:c r="J285" s="11" t="n">
        <x:v>5</x:v>
      </x:c>
      <x:c r="K285" s="11" t="n">
        <x:v>6</x:v>
      </x:c>
      <x:c r="L285" s="11" t="n">
        <x:v>0</x:v>
      </x:c>
      <x:c r="M285" s="9" t="n">
        <x:f>ROUND(H285*(1-I285),2)</x:f>
        <x:v>8160000</x:v>
      </x:c>
      <x:c r="N285" s="4" t="str">
        <x:v>Sales manager</x:v>
      </x:c>
      <x:c r="O285" s="4" t="str">
        <x:v>BOOK-00284</x:v>
      </x:c>
      <x:c r="P285" s="9" t="n">
        <x:v>2040000</x:v>
      </x:c>
      <x:c r="Q285" s="11" t="n">
        <x:v>0</x:v>
      </x:c>
      <x:c r="R285" s="8" t="n">
        <x:v>45355</x:v>
      </x:c>
      <x:c r="S285" s="4" t="str">
        <x:v>Retained</x:v>
      </x:c>
      <x:c r="T285" s="10" t="n">
        <x:v>0.226277</x:v>
      </x:c>
      <x:c r="U285" s="4" t="str">
        <x:v>Train</x:v>
      </x:c>
    </x:row>
    <x:row r="286" ht="34" customHeight="1">
      <x:c r="A286" s="4" t="str">
        <x:v>RS-00285</x:v>
      </x:c>
      <x:c r="B286" s="8" t="n">
        <x:v>45296</x:v>
      </x:c>
      <x:c r="C286" s="4" t="str">
        <x:v>PRJ-005</x:v>
      </x:c>
      <x:c r="D286" s="4" t="str">
        <x:v>Retail</x:v>
      </x:c>
      <x:c r="E286" s="4" t="str">
        <x:v>Booked</x:v>
      </x:c>
      <x:c r="F286" s="4" t="str">
        <x:v>CUS-00285</x:v>
      </x:c>
      <x:c r="G286" s="4" t="str">
        <x:v>UNIT-00285</x:v>
      </x:c>
      <x:c r="H286" s="9" t="n">
        <x:v>24300000</x:v>
      </x:c>
      <x:c r="I286" s="10" t="n">
        <x:v>0.04</x:v>
      </x:c>
      <x:c r="J286" s="11" t="n">
        <x:v>12</x:v>
      </x:c>
      <x:c r="K286" s="11" t="n">
        <x:v>6</x:v>
      </x:c>
      <x:c r="L286" s="11" t="n">
        <x:v>1</x:v>
      </x:c>
      <x:c r="M286" s="9" t="n">
        <x:f>ROUND(H286*(1-I286),2)</x:f>
        <x:v>23328000</x:v>
      </x:c>
      <x:c r="N286" s="4" t="str">
        <x:v>Sales manager</x:v>
      </x:c>
      <x:c r="O286" s="4" t="str">
        <x:v>BOOK-00285</x:v>
      </x:c>
      <x:c r="P286" s="9" t="n">
        <x:v>5832000</x:v>
      </x:c>
      <x:c r="Q286" s="11" t="n">
        <x:v>0</x:v>
      </x:c>
      <x:c r="R286" s="8" t="n">
        <x:v>45356</x:v>
      </x:c>
      <x:c r="S286" s="4" t="str">
        <x:v>Retained</x:v>
      </x:c>
      <x:c r="T286" s="10" t="n">
        <x:v>0.351536</x:v>
      </x:c>
      <x:c r="U286" s="4" t="str">
        <x:v>Train</x:v>
      </x:c>
    </x:row>
    <x:row r="287" ht="34" customHeight="1">
      <x:c r="A287" s="4" t="str">
        <x:v>RS-00286</x:v>
      </x:c>
      <x:c r="B287" s="8" t="n">
        <x:v>45297</x:v>
      </x:c>
      <x:c r="C287" s="4" t="str">
        <x:v>PRJ-006</x:v>
      </x:c>
      <x:c r="D287" s="4" t="str">
        <x:v>Apartment</x:v>
      </x:c>
      <x:c r="E287" s="4" t="str">
        <x:v>Cancelled</x:v>
      </x:c>
      <x:c r="F287" s="4" t="str">
        <x:v>CUS-00286</x:v>
      </x:c>
      <x:c r="G287" s="4" t="str">
        <x:v>UNIT-00286</x:v>
      </x:c>
      <x:c r="H287" s="9" t="n">
        <x:v>22100000</x:v>
      </x:c>
      <x:c r="I287" s="10" t="n">
        <x:v>0.01</x:v>
      </x:c>
      <x:c r="J287" s="11" t="n">
        <x:v>11</x:v>
      </x:c>
      <x:c r="K287" s="11" t="n">
        <x:v>3</x:v>
      </x:c>
      <x:c r="L287" s="11" t="n">
        <x:v>0</x:v>
      </x:c>
      <x:c r="M287" s="9" t="n">
        <x:f>ROUND(H287*(1-I287),2)</x:f>
        <x:v>21879000</x:v>
      </x:c>
      <x:c r="N287" s="4" t="str">
        <x:v>Sales manager</x:v>
      </x:c>
      <x:c r="O287" s="4"/>
      <x:c r="P287" s="9" t="n">
        <x:v>0</x:v>
      </x:c>
      <x:c r="Q287" s="11" t="n">
        <x:v>1</x:v>
      </x:c>
      <x:c r="R287" s="8" t="n">
        <x:v>45357</x:v>
      </x:c>
      <x:c r="S287" s="4" t="str">
        <x:v>Lost / cancelled</x:v>
      </x:c>
      <x:c r="T287" s="10" t="n">
        <x:v>0.305556</x:v>
      </x:c>
      <x:c r="U287" s="4" t="str">
        <x:v>Train</x:v>
      </x:c>
    </x:row>
    <x:row r="288" ht="34" customHeight="1">
      <x:c r="A288" s="4" t="str">
        <x:v>RS-00287</x:v>
      </x:c>
      <x:c r="B288" s="8" t="n">
        <x:v>45298</x:v>
      </x:c>
      <x:c r="C288" s="4" t="str">
        <x:v>PRJ-007</x:v>
      </x:c>
      <x:c r="D288" s="4" t="str">
        <x:v>Apartment</x:v>
      </x:c>
      <x:c r="E288" s="4" t="str">
        <x:v>Enquiry</x:v>
      </x:c>
      <x:c r="F288" s="4" t="str">
        <x:v>CUS-00287</x:v>
      </x:c>
      <x:c r="G288" s="4" t="str">
        <x:v>UNIT-00287</x:v>
      </x:c>
      <x:c r="H288" s="9" t="n">
        <x:v>24100000</x:v>
      </x:c>
      <x:c r="I288" s="10" t="n">
        <x:v>0.06</x:v>
      </x:c>
      <x:c r="J288" s="11" t="n">
        <x:v>3</x:v>
      </x:c>
      <x:c r="K288" s="11" t="n">
        <x:v>5</x:v>
      </x:c>
      <x:c r="L288" s="11" t="n">
        <x:v>1</x:v>
      </x:c>
      <x:c r="M288" s="9" t="n">
        <x:f>ROUND(H288*(1-I288),2)</x:f>
        <x:v>22654000</x:v>
      </x:c>
      <x:c r="N288" s="4" t="str">
        <x:v>Sales manager</x:v>
      </x:c>
      <x:c r="O288" s="4"/>
      <x:c r="P288" s="9" t="n">
        <x:v>0</x:v>
      </x:c>
      <x:c r="Q288" s="11" t="n">
        <x:v>1</x:v>
      </x:c>
      <x:c r="R288" s="8" t="n">
        <x:v>45358</x:v>
      </x:c>
      <x:c r="S288" s="4" t="str">
        <x:v>Lost / cancelled</x:v>
      </x:c>
      <x:c r="T288" s="10" t="n">
        <x:v>0.204152</x:v>
      </x:c>
      <x:c r="U288" s="4" t="str">
        <x:v>Train</x:v>
      </x:c>
    </x:row>
    <x:row r="289" ht="34" customHeight="1">
      <x:c r="A289" s="4" t="str">
        <x:v>RS-00288</x:v>
      </x:c>
      <x:c r="B289" s="8" t="n">
        <x:v>45299</x:v>
      </x:c>
      <x:c r="C289" s="4" t="str">
        <x:v>PRJ-008</x:v>
      </x:c>
      <x:c r="D289" s="4" t="str">
        <x:v>Apartment</x:v>
      </x:c>
      <x:c r="E289" s="4" t="str">
        <x:v>Agreement signed</x:v>
      </x:c>
      <x:c r="F289" s="4" t="str">
        <x:v>CUS-00288</x:v>
      </x:c>
      <x:c r="G289" s="4" t="str">
        <x:v>UNIT-00288</x:v>
      </x:c>
      <x:c r="H289" s="9" t="n">
        <x:v>17000000</x:v>
      </x:c>
      <x:c r="I289" s="10" t="n">
        <x:v>0.05</x:v>
      </x:c>
      <x:c r="J289" s="11" t="n">
        <x:v>0</x:v>
      </x:c>
      <x:c r="K289" s="11" t="n">
        <x:v>8</x:v>
      </x:c>
      <x:c r="L289" s="11" t="n">
        <x:v>0</x:v>
      </x:c>
      <x:c r="M289" s="9" t="n">
        <x:f>ROUND(H289*(1-I289),2)</x:f>
        <x:v>16150000</x:v>
      </x:c>
      <x:c r="N289" s="4" t="str">
        <x:v>Sales manager</x:v>
      </x:c>
      <x:c r="O289" s="4" t="str">
        <x:v>BOOK-00288</x:v>
      </x:c>
      <x:c r="P289" s="9" t="n">
        <x:v>8075000</x:v>
      </x:c>
      <x:c r="Q289" s="11" t="n">
        <x:v>0</x:v>
      </x:c>
      <x:c r="R289" s="8" t="n">
        <x:v>45359</x:v>
      </x:c>
      <x:c r="S289" s="4" t="str">
        <x:v>Retained</x:v>
      </x:c>
      <x:c r="T289" s="10" t="n">
        <x:v>0.204152</x:v>
      </x:c>
      <x:c r="U289" s="4" t="str">
        <x:v>Train</x:v>
      </x:c>
    </x:row>
    <x:row r="290" ht="34" customHeight="1">
      <x:c r="A290" s="4" t="str">
        <x:v>RS-00289</x:v>
      </x:c>
      <x:c r="B290" s="8" t="n">
        <x:v>45300</x:v>
      </x:c>
      <x:c r="C290" s="4" t="str">
        <x:v>PRJ-009</x:v>
      </x:c>
      <x:c r="D290" s="4" t="str">
        <x:v>Office</x:v>
      </x:c>
      <x:c r="E290" s="4" t="str">
        <x:v>Handed over</x:v>
      </x:c>
      <x:c r="F290" s="4" t="str">
        <x:v>CUS-00289</x:v>
      </x:c>
      <x:c r="G290" s="4" t="str">
        <x:v>UNIT-00289</x:v>
      </x:c>
      <x:c r="H290" s="9" t="n">
        <x:v>20300000</x:v>
      </x:c>
      <x:c r="I290" s="10" t="n">
        <x:v>0.1</x:v>
      </x:c>
      <x:c r="J290" s="11" t="n">
        <x:v>8</x:v>
      </x:c>
      <x:c r="K290" s="11" t="n">
        <x:v>5</x:v>
      </x:c>
      <x:c r="L290" s="11" t="n">
        <x:v>0</x:v>
      </x:c>
      <x:c r="M290" s="9" t="n">
        <x:f>ROUND(H290*(1-I290),2)</x:f>
        <x:v>18270000</x:v>
      </x:c>
      <x:c r="N290" s="4" t="str">
        <x:v>Sales head</x:v>
      </x:c>
      <x:c r="O290" s="4" t="str">
        <x:v>BOOK-00289</x:v>
      </x:c>
      <x:c r="P290" s="9" t="n">
        <x:v>18270000</x:v>
      </x:c>
      <x:c r="Q290" s="11" t="n">
        <x:v>0</x:v>
      </x:c>
      <x:c r="R290" s="8" t="n">
        <x:v>45360</x:v>
      </x:c>
      <x:c r="S290" s="4" t="str">
        <x:v>Retained</x:v>
      </x:c>
      <x:c r="T290" s="10" t="n">
        <x:v>0.310195</x:v>
      </x:c>
      <x:c r="U290" s="4" t="str">
        <x:v>Train</x:v>
      </x:c>
    </x:row>
    <x:row r="291" ht="34" customHeight="1">
      <x:c r="A291" s="4" t="str">
        <x:v>RS-00290</x:v>
      </x:c>
      <x:c r="B291" s="8" t="n">
        <x:v>45301</x:v>
      </x:c>
      <x:c r="C291" s="4" t="str">
        <x:v>PRJ-010</x:v>
      </x:c>
      <x:c r="D291" s="4" t="str">
        <x:v>Villa</x:v>
      </x:c>
      <x:c r="E291" s="4" t="str">
        <x:v>Agreement signed</x:v>
      </x:c>
      <x:c r="F291" s="4" t="str">
        <x:v>CUS-00290</x:v>
      </x:c>
      <x:c r="G291" s="4" t="str">
        <x:v>UNIT-00290</x:v>
      </x:c>
      <x:c r="H291" s="9" t="n">
        <x:v>14500000</x:v>
      </x:c>
      <x:c r="I291" s="10" t="n">
        <x:v>0.03</x:v>
      </x:c>
      <x:c r="J291" s="11" t="n">
        <x:v>7</x:v>
      </x:c>
      <x:c r="K291" s="11" t="n">
        <x:v>3</x:v>
      </x:c>
      <x:c r="L291" s="11" t="n">
        <x:v>1</x:v>
      </x:c>
      <x:c r="M291" s="9" t="n">
        <x:f>ROUND(H291*(1-I291),2)</x:f>
        <x:v>14065000</x:v>
      </x:c>
      <x:c r="N291" s="4" t="str">
        <x:v>Sales manager</x:v>
      </x:c>
      <x:c r="O291" s="4" t="str">
        <x:v>BOOK-00290</x:v>
      </x:c>
      <x:c r="P291" s="9" t="n">
        <x:v>1406500</x:v>
      </x:c>
      <x:c r="Q291" s="11" t="n">
        <x:v>0</x:v>
      </x:c>
      <x:c r="R291" s="8" t="n">
        <x:v>45361</x:v>
      </x:c>
      <x:c r="S291" s="4" t="str">
        <x:v>Retained</x:v>
      </x:c>
      <x:c r="T291" s="10" t="n">
        <x:v>0.298969</x:v>
      </x:c>
      <x:c r="U291" s="4" t="str">
        <x:v>Train</x:v>
      </x:c>
    </x:row>
    <x:row r="292" ht="34" customHeight="1">
      <x:c r="A292" s="4" t="str">
        <x:v>RS-00291</x:v>
      </x:c>
      <x:c r="B292" s="8" t="n">
        <x:v>45302</x:v>
      </x:c>
      <x:c r="C292" s="4" t="str">
        <x:v>PRJ-011</x:v>
      </x:c>
      <x:c r="D292" s="4" t="str">
        <x:v>Apartment</x:v>
      </x:c>
      <x:c r="E292" s="4" t="str">
        <x:v>Agreement signed</x:v>
      </x:c>
      <x:c r="F292" s="4" t="str">
        <x:v>CUS-00291</x:v>
      </x:c>
      <x:c r="G292" s="4" t="str">
        <x:v>UNIT-00291</x:v>
      </x:c>
      <x:c r="H292" s="9" t="n">
        <x:v>22600000</x:v>
      </x:c>
      <x:c r="I292" s="10" t="n">
        <x:v>0.11</x:v>
      </x:c>
      <x:c r="J292" s="11" t="n">
        <x:v>0</x:v>
      </x:c>
      <x:c r="K292" s="11" t="n">
        <x:v>4</x:v>
      </x:c>
      <x:c r="L292" s="11" t="n">
        <x:v>1</x:v>
      </x:c>
      <x:c r="M292" s="9" t="n">
        <x:f>ROUND(H292*(1-I292),2)</x:f>
        <x:v>20114000</x:v>
      </x:c>
      <x:c r="N292" s="4" t="str">
        <x:v>Sales head</x:v>
      </x:c>
      <x:c r="O292" s="4" t="str">
        <x:v>BOOK-00291</x:v>
      </x:c>
      <x:c r="P292" s="9" t="n">
        <x:v>10057000</x:v>
      </x:c>
      <x:c r="Q292" s="11" t="n">
        <x:v>0</x:v>
      </x:c>
      <x:c r="R292" s="8" t="n">
        <x:v>45362</x:v>
      </x:c>
      <x:c r="S292" s="4" t="str">
        <x:v>Retained</x:v>
      </x:c>
      <x:c r="T292" s="10" t="n">
        <x:v>0.145833</x:v>
      </x:c>
      <x:c r="U292" s="4" t="str">
        <x:v>Train</x:v>
      </x:c>
    </x:row>
    <x:row r="293" ht="34" customHeight="1">
      <x:c r="A293" s="4" t="str">
        <x:v>RS-00292</x:v>
      </x:c>
      <x:c r="B293" s="8" t="n">
        <x:v>45303</x:v>
      </x:c>
      <x:c r="C293" s="4" t="str">
        <x:v>PRJ-012</x:v>
      </x:c>
      <x:c r="D293" s="4" t="str">
        <x:v>Retail</x:v>
      </x:c>
      <x:c r="E293" s="4" t="str">
        <x:v>Reserved</x:v>
      </x:c>
      <x:c r="F293" s="4" t="str">
        <x:v>CUS-00292</x:v>
      </x:c>
      <x:c r="G293" s="4" t="str">
        <x:v>UNIT-00292</x:v>
      </x:c>
      <x:c r="H293" s="9" t="n">
        <x:v>10700000</x:v>
      </x:c>
      <x:c r="I293" s="10" t="n">
        <x:v>0.11</x:v>
      </x:c>
      <x:c r="J293" s="11" t="n">
        <x:v>7</x:v>
      </x:c>
      <x:c r="K293" s="11" t="n">
        <x:v>2</x:v>
      </x:c>
      <x:c r="L293" s="11" t="n">
        <x:v>0</x:v>
      </x:c>
      <x:c r="M293" s="9" t="n">
        <x:f>ROUND(H293*(1-I293),2)</x:f>
        <x:v>9523000</x:v>
      </x:c>
      <x:c r="N293" s="4" t="str">
        <x:v>Sales head</x:v>
      </x:c>
      <x:c r="O293" s="4"/>
      <x:c r="P293" s="9" t="n">
        <x:v>0</x:v>
      </x:c>
      <x:c r="Q293" s="11" t="n">
        <x:v>0</x:v>
      </x:c>
      <x:c r="R293" s="8" t="n">
        <x:v>45363</x:v>
      </x:c>
      <x:c r="S293" s="4" t="str">
        <x:v>Retained</x:v>
      </x:c>
      <x:c r="T293" s="10" t="n">
        <x:v>0.226277</x:v>
      </x:c>
      <x:c r="U293" s="4" t="str">
        <x:v>Train</x:v>
      </x:c>
    </x:row>
    <x:row r="294" ht="34" customHeight="1">
      <x:c r="A294" s="4" t="str">
        <x:v>RS-00293</x:v>
      </x:c>
      <x:c r="B294" s="8" t="n">
        <x:v>45304</x:v>
      </x:c>
      <x:c r="C294" s="4" t="str">
        <x:v>PRJ-013</x:v>
      </x:c>
      <x:c r="D294" s="4" t="str">
        <x:v>Office</x:v>
      </x:c>
      <x:c r="E294" s="4" t="str">
        <x:v>Booked</x:v>
      </x:c>
      <x:c r="F294" s="4" t="str">
        <x:v>CUS-00293</x:v>
      </x:c>
      <x:c r="G294" s="4" t="str">
        <x:v>UNIT-00293</x:v>
      </x:c>
      <x:c r="H294" s="9" t="n">
        <x:v>24800000</x:v>
      </x:c>
      <x:c r="I294" s="10" t="n">
        <x:v>0.04</x:v>
      </x:c>
      <x:c r="J294" s="11" t="n">
        <x:v>10</x:v>
      </x:c>
      <x:c r="K294" s="11" t="n">
        <x:v>2</x:v>
      </x:c>
      <x:c r="L294" s="11" t="n">
        <x:v>0</x:v>
      </x:c>
      <x:c r="M294" s="9" t="n">
        <x:f>ROUND(H294*(1-I294),2)</x:f>
        <x:v>23808000</x:v>
      </x:c>
      <x:c r="N294" s="4" t="str">
        <x:v>Sales manager</x:v>
      </x:c>
      <x:c r="O294" s="4" t="str">
        <x:v>BOOK-00293</x:v>
      </x:c>
      <x:c r="P294" s="9" t="n">
        <x:v>23808000</x:v>
      </x:c>
      <x:c r="Q294" s="11" t="n">
        <x:v>0</x:v>
      </x:c>
      <x:c r="R294" s="8" t="n">
        <x:v>45364</x:v>
      </x:c>
      <x:c r="S294" s="4" t="str">
        <x:v>Retained</x:v>
      </x:c>
      <x:c r="T294" s="10" t="n">
        <x:v>0.310195</x:v>
      </x:c>
      <x:c r="U294" s="4" t="str">
        <x:v>Train</x:v>
      </x:c>
    </x:row>
    <x:row r="295" ht="34" customHeight="1">
      <x:c r="A295" s="4" t="str">
        <x:v>RS-00294</x:v>
      </x:c>
      <x:c r="B295" s="8" t="n">
        <x:v>45305</x:v>
      </x:c>
      <x:c r="C295" s="4" t="str">
        <x:v>PRJ-014</x:v>
      </x:c>
      <x:c r="D295" s="4" t="str">
        <x:v>Office</x:v>
      </x:c>
      <x:c r="E295" s="4" t="str">
        <x:v>Enquiry</x:v>
      </x:c>
      <x:c r="F295" s="4" t="str">
        <x:v>CUS-00294</x:v>
      </x:c>
      <x:c r="G295" s="4" t="str">
        <x:v>UNIT-00294</x:v>
      </x:c>
      <x:c r="H295" s="9" t="n">
        <x:v>14600000</x:v>
      </x:c>
      <x:c r="I295" s="10" t="n">
        <x:v>0.01</x:v>
      </x:c>
      <x:c r="J295" s="11" t="n">
        <x:v>9</x:v>
      </x:c>
      <x:c r="K295" s="11" t="n">
        <x:v>9</x:v>
      </x:c>
      <x:c r="L295" s="11" t="n">
        <x:v>0</x:v>
      </x:c>
      <x:c r="M295" s="9" t="n">
        <x:f>ROUND(H295*(1-I295),2)</x:f>
        <x:v>14454000</x:v>
      </x:c>
      <x:c r="N295" s="4" t="str">
        <x:v>Sales manager</x:v>
      </x:c>
      <x:c r="O295" s="4"/>
      <x:c r="P295" s="9" t="n">
        <x:v>0</x:v>
      </x:c>
      <x:c r="Q295" s="11" t="n">
        <x:v>1</x:v>
      </x:c>
      <x:c r="R295" s="8" t="n">
        <x:v>45365</x:v>
      </x:c>
      <x:c r="S295" s="4" t="str">
        <x:v>Lost / cancelled</x:v>
      </x:c>
      <x:c r="T295" s="10" t="n">
        <x:v>0.305556</x:v>
      </x:c>
      <x:c r="U295" s="4" t="str">
        <x:v>Train</x:v>
      </x:c>
    </x:row>
    <x:row r="296" ht="34" customHeight="1">
      <x:c r="A296" s="4" t="str">
        <x:v>RS-00295</x:v>
      </x:c>
      <x:c r="B296" s="8" t="n">
        <x:v>45306</x:v>
      </x:c>
      <x:c r="C296" s="4" t="str">
        <x:v>PRJ-015</x:v>
      </x:c>
      <x:c r="D296" s="4" t="str">
        <x:v>Villa</x:v>
      </x:c>
      <x:c r="E296" s="4" t="str">
        <x:v>Enquiry</x:v>
      </x:c>
      <x:c r="F296" s="4" t="str">
        <x:v>CUS-00295</x:v>
      </x:c>
      <x:c r="G296" s="4" t="str">
        <x:v>UNIT-00295</x:v>
      </x:c>
      <x:c r="H296" s="9" t="n">
        <x:v>15400000</x:v>
      </x:c>
      <x:c r="I296" s="10" t="n">
        <x:v>0.08</x:v>
      </x:c>
      <x:c r="J296" s="11" t="n">
        <x:v>1</x:v>
      </x:c>
      <x:c r="K296" s="11" t="n">
        <x:v>5</x:v>
      </x:c>
      <x:c r="L296" s="11" t="n">
        <x:v>1</x:v>
      </x:c>
      <x:c r="M296" s="9" t="n">
        <x:f>ROUND(H296*(1-I296),2)</x:f>
        <x:v>14168000</x:v>
      </x:c>
      <x:c r="N296" s="4" t="str">
        <x:v>Sales head</x:v>
      </x:c>
      <x:c r="O296" s="4"/>
      <x:c r="P296" s="9" t="n">
        <x:v>0</x:v>
      </x:c>
      <x:c r="Q296" s="11" t="n">
        <x:v>0</x:v>
      </x:c>
      <x:c r="R296" s="8" t="n">
        <x:v>45366</x:v>
      </x:c>
      <x:c r="S296" s="4" t="str">
        <x:v>Retained</x:v>
      </x:c>
      <x:c r="T296" s="10" t="n">
        <x:v>0.204152</x:v>
      </x:c>
      <x:c r="U296" s="4" t="str">
        <x:v>Train</x:v>
      </x:c>
    </x:row>
    <x:row r="297" ht="34" customHeight="1">
      <x:c r="A297" s="4" t="str">
        <x:v>RS-00296</x:v>
      </x:c>
      <x:c r="B297" s="8" t="n">
        <x:v>45307</x:v>
      </x:c>
      <x:c r="C297" s="4" t="str">
        <x:v>PRJ-016</x:v>
      </x:c>
      <x:c r="D297" s="4" t="str">
        <x:v>Apartment</x:v>
      </x:c>
      <x:c r="E297" s="4" t="str">
        <x:v>Handed over</x:v>
      </x:c>
      <x:c r="F297" s="4" t="str">
        <x:v>CUS-00296</x:v>
      </x:c>
      <x:c r="G297" s="4" t="str">
        <x:v>UNIT-00296</x:v>
      </x:c>
      <x:c r="H297" s="9" t="n">
        <x:v>18200000</x:v>
      </x:c>
      <x:c r="I297" s="10" t="n">
        <x:v>0.08</x:v>
      </x:c>
      <x:c r="J297" s="11" t="n">
        <x:v>3</x:v>
      </x:c>
      <x:c r="K297" s="11" t="n">
        <x:v>2</x:v>
      </x:c>
      <x:c r="L297" s="11" t="n">
        <x:v>0</x:v>
      </x:c>
      <x:c r="M297" s="9" t="n">
        <x:f>ROUND(H297*(1-I297),2)</x:f>
        <x:v>16744000</x:v>
      </x:c>
      <x:c r="N297" s="4" t="str">
        <x:v>Sales head</x:v>
      </x:c>
      <x:c r="O297" s="4" t="str">
        <x:v>BOOK-00296</x:v>
      </x:c>
      <x:c r="P297" s="9" t="n">
        <x:v>4186000</x:v>
      </x:c>
      <x:c r="Q297" s="11" t="n">
        <x:v>0</x:v>
      </x:c>
      <x:c r="R297" s="8" t="n">
        <x:v>45367</x:v>
      </x:c>
      <x:c r="S297" s="4" t="str">
        <x:v>Retained</x:v>
      </x:c>
      <x:c r="T297" s="10" t="n">
        <x:v>0.204152</x:v>
      </x:c>
      <x:c r="U297" s="4" t="str">
        <x:v>Train</x:v>
      </x:c>
    </x:row>
    <x:row r="298" ht="34" customHeight="1">
      <x:c r="A298" s="4" t="str">
        <x:v>RS-00297</x:v>
      </x:c>
      <x:c r="B298" s="8" t="n">
        <x:v>45308</x:v>
      </x:c>
      <x:c r="C298" s="4" t="str">
        <x:v>PRJ-017</x:v>
      </x:c>
      <x:c r="D298" s="4" t="str">
        <x:v>Office</x:v>
      </x:c>
      <x:c r="E298" s="4" t="str">
        <x:v>Cancelled</x:v>
      </x:c>
      <x:c r="F298" s="4" t="str">
        <x:v>CUS-00297</x:v>
      </x:c>
      <x:c r="G298" s="4" t="str">
        <x:v>UNIT-00297</x:v>
      </x:c>
      <x:c r="H298" s="9" t="n">
        <x:v>14500000</x:v>
      </x:c>
      <x:c r="I298" s="10" t="n">
        <x:v>0.06</x:v>
      </x:c>
      <x:c r="J298" s="11" t="n">
        <x:v>0</x:v>
      </x:c>
      <x:c r="K298" s="11" t="n">
        <x:v>1</x:v>
      </x:c>
      <x:c r="L298" s="11" t="n">
        <x:v>0</x:v>
      </x:c>
      <x:c r="M298" s="9" t="n">
        <x:f>ROUND(H298*(1-I298),2)</x:f>
        <x:v>13630000</x:v>
      </x:c>
      <x:c r="N298" s="4" t="str">
        <x:v>Sales manager</x:v>
      </x:c>
      <x:c r="O298" s="4"/>
      <x:c r="P298" s="9" t="n">
        <x:v>0</x:v>
      </x:c>
      <x:c r="Q298" s="11" t="n">
        <x:v>1</x:v>
      </x:c>
      <x:c r="R298" s="8" t="n">
        <x:v>45368</x:v>
      </x:c>
      <x:c r="S298" s="4" t="str">
        <x:v>Lost / cancelled</x:v>
      </x:c>
      <x:c r="T298" s="10" t="n">
        <x:v>0.204152</x:v>
      </x:c>
      <x:c r="U298" s="4" t="str">
        <x:v>Train</x:v>
      </x:c>
    </x:row>
    <x:row r="299" ht="34" customHeight="1">
      <x:c r="A299" s="4" t="str">
        <x:v>RS-00298</x:v>
      </x:c>
      <x:c r="B299" s="8" t="n">
        <x:v>45309</x:v>
      </x:c>
      <x:c r="C299" s="4" t="str">
        <x:v>PRJ-018</x:v>
      </x:c>
      <x:c r="D299" s="4" t="str">
        <x:v>Villa</x:v>
      </x:c>
      <x:c r="E299" s="4" t="str">
        <x:v>Handed over</x:v>
      </x:c>
      <x:c r="F299" s="4" t="str">
        <x:v>CUS-00298</x:v>
      </x:c>
      <x:c r="G299" s="4" t="str">
        <x:v>UNIT-00298</x:v>
      </x:c>
      <x:c r="H299" s="9" t="n">
        <x:v>22600000</x:v>
      </x:c>
      <x:c r="I299" s="10" t="n">
        <x:v>0.05</x:v>
      </x:c>
      <x:c r="J299" s="11" t="n">
        <x:v>8</x:v>
      </x:c>
      <x:c r="K299" s="11" t="n">
        <x:v>5</x:v>
      </x:c>
      <x:c r="L299" s="11" t="n">
        <x:v>0</x:v>
      </x:c>
      <x:c r="M299" s="9" t="n">
        <x:f>ROUND(H299*(1-I299),2)</x:f>
        <x:v>21470000</x:v>
      </x:c>
      <x:c r="N299" s="4" t="str">
        <x:v>Sales manager</x:v>
      </x:c>
      <x:c r="O299" s="4" t="str">
        <x:v>BOOK-00298</x:v>
      </x:c>
      <x:c r="P299" s="9" t="n">
        <x:v>2147000</x:v>
      </x:c>
      <x:c r="Q299" s="11" t="n">
        <x:v>0</x:v>
      </x:c>
      <x:c r="R299" s="8" t="n">
        <x:v>45369</x:v>
      </x:c>
      <x:c r="S299" s="4" t="str">
        <x:v>Retained</x:v>
      </x:c>
      <x:c r="T299" s="10" t="n">
        <x:v>0.310195</x:v>
      </x:c>
      <x:c r="U299" s="4" t="str">
        <x:v>Train</x:v>
      </x:c>
    </x:row>
    <x:row r="300" ht="34" customHeight="1">
      <x:c r="A300" s="4" t="str">
        <x:v>RS-00299</x:v>
      </x:c>
      <x:c r="B300" s="8" t="n">
        <x:v>45310</x:v>
      </x:c>
      <x:c r="C300" s="4" t="str">
        <x:v>PRJ-019</x:v>
      </x:c>
      <x:c r="D300" s="4" t="str">
        <x:v>Villa</x:v>
      </x:c>
      <x:c r="E300" s="4" t="str">
        <x:v>Enquiry</x:v>
      </x:c>
      <x:c r="F300" s="4" t="str">
        <x:v>CUS-00299</x:v>
      </x:c>
      <x:c r="G300" s="4" t="str">
        <x:v>UNIT-00299</x:v>
      </x:c>
      <x:c r="H300" s="9" t="n">
        <x:v>18500000</x:v>
      </x:c>
      <x:c r="I300" s="10" t="n">
        <x:v>0.01</x:v>
      </x:c>
      <x:c r="J300" s="11" t="n">
        <x:v>9</x:v>
      </x:c>
      <x:c r="K300" s="11" t="n">
        <x:v>10</x:v>
      </x:c>
      <x:c r="L300" s="11" t="n">
        <x:v>1</x:v>
      </x:c>
      <x:c r="M300" s="9" t="n">
        <x:f>ROUND(H300*(1-I300),2)</x:f>
        <x:v>18315000</x:v>
      </x:c>
      <x:c r="N300" s="4" t="str">
        <x:v>Sales manager</x:v>
      </x:c>
      <x:c r="O300" s="4"/>
      <x:c r="P300" s="9" t="n">
        <x:v>0</x:v>
      </x:c>
      <x:c r="Q300" s="11" t="n">
        <x:v>0</x:v>
      </x:c>
      <x:c r="R300" s="8" t="n">
        <x:v>45370</x:v>
      </x:c>
      <x:c r="S300" s="4" t="str">
        <x:v>Retained</x:v>
      </x:c>
      <x:c r="T300" s="10" t="n">
        <x:v>0.254545</x:v>
      </x:c>
      <x:c r="U300" s="4" t="str">
        <x:v>Train</x:v>
      </x:c>
    </x:row>
    <x:row r="301" ht="34" customHeight="1">
      <x:c r="A301" s="4" t="str">
        <x:v>RS-00300</x:v>
      </x:c>
      <x:c r="B301" s="8" t="n">
        <x:v>45311</x:v>
      </x:c>
      <x:c r="C301" s="4" t="str">
        <x:v>PRJ-020</x:v>
      </x:c>
      <x:c r="D301" s="4" t="str">
        <x:v>Villa</x:v>
      </x:c>
      <x:c r="E301" s="4" t="str">
        <x:v>Booked</x:v>
      </x:c>
      <x:c r="F301" s="4" t="str">
        <x:v>CUS-00300</x:v>
      </x:c>
      <x:c r="G301" s="4" t="str">
        <x:v>UNIT-00300</x:v>
      </x:c>
      <x:c r="H301" s="9" t="n">
        <x:v>3100000</x:v>
      </x:c>
      <x:c r="I301" s="10" t="n">
        <x:v>0.11</x:v>
      </x:c>
      <x:c r="J301" s="11" t="n">
        <x:v>2</x:v>
      </x:c>
      <x:c r="K301" s="11" t="n">
        <x:v>6</x:v>
      </x:c>
      <x:c r="L301" s="11" t="n">
        <x:v>0</x:v>
      </x:c>
      <x:c r="M301" s="9" t="n">
        <x:f>ROUND(H301*(1-I301),2)</x:f>
        <x:v>2759000</x:v>
      </x:c>
      <x:c r="N301" s="4" t="str">
        <x:v>Sales head</x:v>
      </x:c>
      <x:c r="O301" s="4" t="str">
        <x:v>BOOK-00300</x:v>
      </x:c>
      <x:c r="P301" s="9" t="n">
        <x:v>275900</x:v>
      </x:c>
      <x:c r="Q301" s="11" t="n">
        <x:v>0</x:v>
      </x:c>
      <x:c r="R301" s="8" t="n">
        <x:v>45371</x:v>
      </x:c>
      <x:c r="S301" s="4" t="str">
        <x:v>Retained</x:v>
      </x:c>
      <x:c r="T301" s="10" t="n">
        <x:v>0.145833</x:v>
      </x:c>
      <x:c r="U301" s="4" t="str">
        <x:v>Train</x:v>
      </x:c>
    </x:row>
    <x:row r="302" ht="34" customHeight="1">
      <x:c r="A302" s="4" t="str">
        <x:v>RS-00301</x:v>
      </x:c>
      <x:c r="B302" s="8" t="n">
        <x:v>45312</x:v>
      </x:c>
      <x:c r="C302" s="4" t="str">
        <x:v>PRJ-001</x:v>
      </x:c>
      <x:c r="D302" s="4" t="str">
        <x:v>Office</x:v>
      </x:c>
      <x:c r="E302" s="4" t="str">
        <x:v>Booked</x:v>
      </x:c>
      <x:c r="F302" s="4" t="str">
        <x:v>CUS-00301</x:v>
      </x:c>
      <x:c r="G302" s="4" t="str">
        <x:v>UNIT-00301</x:v>
      </x:c>
      <x:c r="H302" s="9" t="n">
        <x:v>7100000</x:v>
      </x:c>
      <x:c r="I302" s="10" t="n">
        <x:v>0.04</x:v>
      </x:c>
      <x:c r="J302" s="11" t="n">
        <x:v>5</x:v>
      </x:c>
      <x:c r="K302" s="11" t="n">
        <x:v>2</x:v>
      </x:c>
      <x:c r="L302" s="11" t="n">
        <x:v>0</x:v>
      </x:c>
      <x:c r="M302" s="9" t="n">
        <x:f>ROUND(H302*(1-I302),2)</x:f>
        <x:v>6816000</x:v>
      </x:c>
      <x:c r="N302" s="4" t="str">
        <x:v>Sales manager</x:v>
      </x:c>
      <x:c r="O302" s="4" t="str">
        <x:v>BOOK-00301</x:v>
      </x:c>
      <x:c r="P302" s="9" t="n">
        <x:v>3408000</x:v>
      </x:c>
      <x:c r="Q302" s="11" t="n">
        <x:v>0</x:v>
      </x:c>
      <x:c r="R302" s="8" t="n">
        <x:v>45372</x:v>
      </x:c>
      <x:c r="S302" s="4" t="str">
        <x:v>Retained</x:v>
      </x:c>
      <x:c r="T302" s="10" t="n">
        <x:v>0.226277</x:v>
      </x:c>
      <x:c r="U302" s="4" t="str">
        <x:v>Train</x:v>
      </x:c>
    </x:row>
    <x:row r="303" ht="34" customHeight="1">
      <x:c r="A303" s="4" t="str">
        <x:v>RS-00302</x:v>
      </x:c>
      <x:c r="B303" s="8" t="n">
        <x:v>45313</x:v>
      </x:c>
      <x:c r="C303" s="4" t="str">
        <x:v>PRJ-002</x:v>
      </x:c>
      <x:c r="D303" s="4" t="str">
        <x:v>Villa</x:v>
      </x:c>
      <x:c r="E303" s="4" t="str">
        <x:v>Cancelled</x:v>
      </x:c>
      <x:c r="F303" s="4" t="str">
        <x:v>CUS-00302</x:v>
      </x:c>
      <x:c r="G303" s="4" t="str">
        <x:v>UNIT-00302</x:v>
      </x:c>
      <x:c r="H303" s="9" t="n">
        <x:v>8800000</x:v>
      </x:c>
      <x:c r="I303" s="10" t="n">
        <x:v>0.11</x:v>
      </x:c>
      <x:c r="J303" s="11" t="n">
        <x:v>12</x:v>
      </x:c>
      <x:c r="K303" s="11" t="n">
        <x:v>0</x:v>
      </x:c>
      <x:c r="L303" s="11" t="n">
        <x:v>1</x:v>
      </x:c>
      <x:c r="M303" s="9" t="n">
        <x:f>ROUND(H303*(1-I303),2)</x:f>
        <x:v>7832000</x:v>
      </x:c>
      <x:c r="N303" s="4" t="str">
        <x:v>Sales head</x:v>
      </x:c>
      <x:c r="O303" s="4"/>
      <x:c r="P303" s="9" t="n">
        <x:v>0</x:v>
      </x:c>
      <x:c r="Q303" s="11" t="n">
        <x:v>1</x:v>
      </x:c>
      <x:c r="R303" s="8" t="n">
        <x:v>45373</x:v>
      </x:c>
      <x:c r="S303" s="4" t="str">
        <x:v>Lost / cancelled</x:v>
      </x:c>
      <x:c r="T303" s="10" t="n">
        <x:v>0.351536</x:v>
      </x:c>
      <x:c r="U303" s="4" t="str">
        <x:v>Train</x:v>
      </x:c>
    </x:row>
    <x:row r="304" ht="34" customHeight="1">
      <x:c r="A304" s="4" t="str">
        <x:v>RS-00303</x:v>
      </x:c>
      <x:c r="B304" s="8" t="n">
        <x:v>45314</x:v>
      </x:c>
      <x:c r="C304" s="4" t="str">
        <x:v>PRJ-003</x:v>
      </x:c>
      <x:c r="D304" s="4" t="str">
        <x:v>Apartment</x:v>
      </x:c>
      <x:c r="E304" s="4" t="str">
        <x:v>Handed over</x:v>
      </x:c>
      <x:c r="F304" s="4" t="str">
        <x:v>CUS-00303</x:v>
      </x:c>
      <x:c r="G304" s="4" t="str">
        <x:v>UNIT-00303</x:v>
      </x:c>
      <x:c r="H304" s="9" t="n">
        <x:v>6700000</x:v>
      </x:c>
      <x:c r="I304" s="10" t="n">
        <x:v>0.08</x:v>
      </x:c>
      <x:c r="J304" s="11" t="n">
        <x:v>1</x:v>
      </x:c>
      <x:c r="K304" s="11" t="n">
        <x:v>9</x:v>
      </x:c>
      <x:c r="L304" s="11" t="n">
        <x:v>1</x:v>
      </x:c>
      <x:c r="M304" s="9" t="n">
        <x:f>ROUND(H304*(1-I304),2)</x:f>
        <x:v>6164000</x:v>
      </x:c>
      <x:c r="N304" s="4" t="str">
        <x:v>Sales head</x:v>
      </x:c>
      <x:c r="O304" s="4" t="str">
        <x:v>BOOK-00303</x:v>
      </x:c>
      <x:c r="P304" s="9" t="n">
        <x:v>616400</x:v>
      </x:c>
      <x:c r="Q304" s="11" t="n">
        <x:v>0</x:v>
      </x:c>
      <x:c r="R304" s="8" t="n">
        <x:v>45374</x:v>
      </x:c>
      <x:c r="S304" s="4" t="str">
        <x:v>Retained</x:v>
      </x:c>
      <x:c r="T304" s="10" t="n">
        <x:v>0.204152</x:v>
      </x:c>
      <x:c r="U304" s="4" t="str">
        <x:v>Train</x:v>
      </x:c>
    </x:row>
    <x:row r="305" ht="34" customHeight="1">
      <x:c r="A305" s="4" t="str">
        <x:v>RS-00304</x:v>
      </x:c>
      <x:c r="B305" s="8" t="n">
        <x:v>45315</x:v>
      </x:c>
      <x:c r="C305" s="4" t="str">
        <x:v>PRJ-004</x:v>
      </x:c>
      <x:c r="D305" s="4" t="str">
        <x:v>Office</x:v>
      </x:c>
      <x:c r="E305" s="4" t="str">
        <x:v>Enquiry</x:v>
      </x:c>
      <x:c r="F305" s="4" t="str">
        <x:v>CUS-00304</x:v>
      </x:c>
      <x:c r="G305" s="4" t="str">
        <x:v>UNIT-00304</x:v>
      </x:c>
      <x:c r="H305" s="9" t="n">
        <x:v>21900000</x:v>
      </x:c>
      <x:c r="I305" s="10" t="n">
        <x:v>0.11</x:v>
      </x:c>
      <x:c r="J305" s="11" t="n">
        <x:v>10</x:v>
      </x:c>
      <x:c r="K305" s="11" t="n">
        <x:v>3</x:v>
      </x:c>
      <x:c r="L305" s="11" t="n">
        <x:v>0</x:v>
      </x:c>
      <x:c r="M305" s="9" t="n">
        <x:f>ROUND(H305*(1-I305),2)</x:f>
        <x:v>19491000</x:v>
      </x:c>
      <x:c r="N305" s="4" t="str">
        <x:v>Sales head</x:v>
      </x:c>
      <x:c r="O305" s="4"/>
      <x:c r="P305" s="9" t="n">
        <x:v>0</x:v>
      </x:c>
      <x:c r="Q305" s="11" t="n">
        <x:v>1</x:v>
      </x:c>
      <x:c r="R305" s="8" t="n">
        <x:v>45375</x:v>
      </x:c>
      <x:c r="S305" s="4" t="str">
        <x:v>Lost / cancelled</x:v>
      </x:c>
      <x:c r="T305" s="10" t="n">
        <x:v>0.310195</x:v>
      </x:c>
      <x:c r="U305" s="4" t="str">
        <x:v>Train</x:v>
      </x:c>
    </x:row>
    <x:row r="306" ht="34" customHeight="1">
      <x:c r="A306" s="4" t="str">
        <x:v>RS-00305</x:v>
      </x:c>
      <x:c r="B306" s="8" t="n">
        <x:v>45316</x:v>
      </x:c>
      <x:c r="C306" s="4" t="str">
        <x:v>PRJ-005</x:v>
      </x:c>
      <x:c r="D306" s="4" t="str">
        <x:v>Villa</x:v>
      </x:c>
      <x:c r="E306" s="4" t="str">
        <x:v>Reserved</x:v>
      </x:c>
      <x:c r="F306" s="4" t="str">
        <x:v>CUS-00305</x:v>
      </x:c>
      <x:c r="G306" s="4" t="str">
        <x:v>UNIT-00305</x:v>
      </x:c>
      <x:c r="H306" s="9" t="n">
        <x:v>14500000</x:v>
      </x:c>
      <x:c r="I306" s="10" t="n">
        <x:v>0.02</x:v>
      </x:c>
      <x:c r="J306" s="11" t="n">
        <x:v>5</x:v>
      </x:c>
      <x:c r="K306" s="11" t="n">
        <x:v>5</x:v>
      </x:c>
      <x:c r="L306" s="11" t="n">
        <x:v>0</x:v>
      </x:c>
      <x:c r="M306" s="9" t="n">
        <x:f>ROUND(H306*(1-I306),2)</x:f>
        <x:v>14210000</x:v>
      </x:c>
      <x:c r="N306" s="4" t="str">
        <x:v>Sales manager</x:v>
      </x:c>
      <x:c r="O306" s="4"/>
      <x:c r="P306" s="9" t="n">
        <x:v>0</x:v>
      </x:c>
      <x:c r="Q306" s="11" t="n">
        <x:v>0</x:v>
      </x:c>
      <x:c r="R306" s="8" t="n">
        <x:v>45376</x:v>
      </x:c>
      <x:c r="S306" s="4" t="str">
        <x:v>Retained</x:v>
      </x:c>
      <x:c r="T306" s="10" t="n">
        <x:v>0.145299</x:v>
      </x:c>
      <x:c r="U306" s="4" t="str">
        <x:v>Train</x:v>
      </x:c>
    </x:row>
    <x:row r="307" ht="34" customHeight="1">
      <x:c r="A307" s="4" t="str">
        <x:v>RS-00306</x:v>
      </x:c>
      <x:c r="B307" s="8" t="n">
        <x:v>45317</x:v>
      </x:c>
      <x:c r="C307" s="4" t="str">
        <x:v>PRJ-006</x:v>
      </x:c>
      <x:c r="D307" s="4" t="str">
        <x:v>Office</x:v>
      </x:c>
      <x:c r="E307" s="4" t="str">
        <x:v>Booked</x:v>
      </x:c>
      <x:c r="F307" s="4" t="str">
        <x:v>CUS-00306</x:v>
      </x:c>
      <x:c r="G307" s="4" t="str">
        <x:v>UNIT-00306</x:v>
      </x:c>
      <x:c r="H307" s="9" t="n">
        <x:v>24800000</x:v>
      </x:c>
      <x:c r="I307" s="10" t="n">
        <x:v>0.02</x:v>
      </x:c>
      <x:c r="J307" s="11" t="n">
        <x:v>6</x:v>
      </x:c>
      <x:c r="K307" s="11" t="n">
        <x:v>9</x:v>
      </x:c>
      <x:c r="L307" s="11" t="n">
        <x:v>1</x:v>
      </x:c>
      <x:c r="M307" s="9" t="n">
        <x:f>ROUND(H307*(1-I307),2)</x:f>
        <x:v>24304000</x:v>
      </x:c>
      <x:c r="N307" s="4" t="str">
        <x:v>Sales manager</x:v>
      </x:c>
      <x:c r="O307" s="4" t="str">
        <x:v>BOOK-00306</x:v>
      </x:c>
      <x:c r="P307" s="9" t="n">
        <x:v>24304000</x:v>
      </x:c>
      <x:c r="Q307" s="11" t="n">
        <x:v>0</x:v>
      </x:c>
      <x:c r="R307" s="8" t="n">
        <x:v>45377</x:v>
      </x:c>
      <x:c r="S307" s="4" t="str">
        <x:v>Retained</x:v>
      </x:c>
      <x:c r="T307" s="10" t="n">
        <x:v>0.145299</x:v>
      </x:c>
      <x:c r="U307" s="4" t="str">
        <x:v>Train</x:v>
      </x:c>
    </x:row>
    <x:row r="308" ht="34" customHeight="1">
      <x:c r="A308" s="4" t="str">
        <x:v>RS-00307</x:v>
      </x:c>
      <x:c r="B308" s="8" t="n">
        <x:v>45318</x:v>
      </x:c>
      <x:c r="C308" s="4" t="str">
        <x:v>PRJ-007</x:v>
      </x:c>
      <x:c r="D308" s="4" t="str">
        <x:v>Villa</x:v>
      </x:c>
      <x:c r="E308" s="4" t="str">
        <x:v>Reserved</x:v>
      </x:c>
      <x:c r="F308" s="4" t="str">
        <x:v>CUS-00307</x:v>
      </x:c>
      <x:c r="G308" s="4" t="str">
        <x:v>UNIT-00307</x:v>
      </x:c>
      <x:c r="H308" s="9" t="n">
        <x:v>5500000</x:v>
      </x:c>
      <x:c r="I308" s="10" t="n">
        <x:v>0.03</x:v>
      </x:c>
      <x:c r="J308" s="11" t="n">
        <x:v>3</x:v>
      </x:c>
      <x:c r="K308" s="11" t="n">
        <x:v>10</x:v>
      </x:c>
      <x:c r="L308" s="11" t="n">
        <x:v>0</x:v>
      </x:c>
      <x:c r="M308" s="9" t="n">
        <x:f>ROUND(H308*(1-I308),2)</x:f>
        <x:v>5335000</x:v>
      </x:c>
      <x:c r="N308" s="4" t="str">
        <x:v>Sales manager</x:v>
      </x:c>
      <x:c r="O308" s="4"/>
      <x:c r="P308" s="9" t="n">
        <x:v>0</x:v>
      </x:c>
      <x:c r="Q308" s="11" t="n">
        <x:v>0</x:v>
      </x:c>
      <x:c r="R308" s="8" t="n">
        <x:v>45378</x:v>
      </x:c>
      <x:c r="S308" s="4" t="str">
        <x:v>Retained</x:v>
      </x:c>
      <x:c r="T308" s="10" t="n">
        <x:v>0.171717</x:v>
      </x:c>
      <x:c r="U308" s="4" t="str">
        <x:v>Train</x:v>
      </x:c>
    </x:row>
    <x:row r="309" ht="34" customHeight="1">
      <x:c r="A309" s="4" t="str">
        <x:v>RS-00308</x:v>
      </x:c>
      <x:c r="B309" s="8" t="n">
        <x:v>45319</x:v>
      </x:c>
      <x:c r="C309" s="4" t="str">
        <x:v>PRJ-008</x:v>
      </x:c>
      <x:c r="D309" s="4" t="str">
        <x:v>Villa</x:v>
      </x:c>
      <x:c r="E309" s="4" t="str">
        <x:v>Booked</x:v>
      </x:c>
      <x:c r="F309" s="4" t="str">
        <x:v>CUS-00308</x:v>
      </x:c>
      <x:c r="G309" s="4" t="str">
        <x:v>UNIT-00308</x:v>
      </x:c>
      <x:c r="H309" s="9" t="n">
        <x:v>5200000</x:v>
      </x:c>
      <x:c r="I309" s="10" t="n">
        <x:v>0.04</x:v>
      </x:c>
      <x:c r="J309" s="11" t="n">
        <x:v>7</x:v>
      </x:c>
      <x:c r="K309" s="11" t="n">
        <x:v>8</x:v>
      </x:c>
      <x:c r="L309" s="11" t="n">
        <x:v>1</x:v>
      </x:c>
      <x:c r="M309" s="9" t="n">
        <x:f>ROUND(H309*(1-I309),2)</x:f>
        <x:v>4992000</x:v>
      </x:c>
      <x:c r="N309" s="4" t="str">
        <x:v>Sales manager</x:v>
      </x:c>
      <x:c r="O309" s="4" t="str">
        <x:v>BOOK-00308</x:v>
      </x:c>
      <x:c r="P309" s="9" t="n">
        <x:v>499200</x:v>
      </x:c>
      <x:c r="Q309" s="11" t="n">
        <x:v>0</x:v>
      </x:c>
      <x:c r="R309" s="8" t="n">
        <x:v>45379</x:v>
      </x:c>
      <x:c r="S309" s="4" t="str">
        <x:v>Retained</x:v>
      </x:c>
      <x:c r="T309" s="10" t="n">
        <x:v>0.291946</x:v>
      </x:c>
      <x:c r="U309" s="4" t="str">
        <x:v>Train</x:v>
      </x:c>
    </x:row>
    <x:row r="310" ht="34" customHeight="1">
      <x:c r="A310" s="4" t="str">
        <x:v>RS-00309</x:v>
      </x:c>
      <x:c r="B310" s="8" t="n">
        <x:v>45292</x:v>
      </x:c>
      <x:c r="C310" s="4" t="str">
        <x:v>PRJ-009</x:v>
      </x:c>
      <x:c r="D310" s="4" t="str">
        <x:v>Retail</x:v>
      </x:c>
      <x:c r="E310" s="4" t="str">
        <x:v>Enquiry</x:v>
      </x:c>
      <x:c r="F310" s="4" t="str">
        <x:v>CUS-00309</x:v>
      </x:c>
      <x:c r="G310" s="4" t="str">
        <x:v>UNIT-00309</x:v>
      </x:c>
      <x:c r="H310" s="9" t="n">
        <x:v>4500000</x:v>
      </x:c>
      <x:c r="I310" s="10" t="n">
        <x:v>0.02</x:v>
      </x:c>
      <x:c r="J310" s="11" t="n">
        <x:v>0</x:v>
      </x:c>
      <x:c r="K310" s="11" t="n">
        <x:v>3</x:v>
      </x:c>
      <x:c r="L310" s="11" t="n">
        <x:v>0</x:v>
      </x:c>
      <x:c r="M310" s="9" t="n">
        <x:f>ROUND(H310*(1-I310),2)</x:f>
        <x:v>4410000</x:v>
      </x:c>
      <x:c r="N310" s="4" t="str">
        <x:v>Sales manager</x:v>
      </x:c>
      <x:c r="O310" s="4"/>
      <x:c r="P310" s="9" t="n">
        <x:v>0</x:v>
      </x:c>
      <x:c r="Q310" s="11" t="n">
        <x:v>0</x:v>
      </x:c>
      <x:c r="R310" s="8" t="n">
        <x:v>45352</x:v>
      </x:c>
      <x:c r="S310" s="4" t="str">
        <x:v>Retained</x:v>
      </x:c>
      <x:c r="T310" s="10" t="n">
        <x:v>0.072165</x:v>
      </x:c>
      <x:c r="U310" s="4" t="str">
        <x:v>Train</x:v>
      </x:c>
    </x:row>
    <x:row r="311" ht="34" customHeight="1">
      <x:c r="A311" s="4" t="str">
        <x:v>RS-00310</x:v>
      </x:c>
      <x:c r="B311" s="8" t="n">
        <x:v>45293</x:v>
      </x:c>
      <x:c r="C311" s="4" t="str">
        <x:v>PRJ-010</x:v>
      </x:c>
      <x:c r="D311" s="4" t="str">
        <x:v>Retail</x:v>
      </x:c>
      <x:c r="E311" s="4" t="str">
        <x:v>Handed over</x:v>
      </x:c>
      <x:c r="F311" s="4" t="str">
        <x:v>CUS-00310</x:v>
      </x:c>
      <x:c r="G311" s="4" t="str">
        <x:v>UNIT-00310</x:v>
      </x:c>
      <x:c r="H311" s="9" t="n">
        <x:v>3900000</x:v>
      </x:c>
      <x:c r="I311" s="10" t="n">
        <x:v>0.11</x:v>
      </x:c>
      <x:c r="J311" s="11" t="n">
        <x:v>9</x:v>
      </x:c>
      <x:c r="K311" s="11" t="n">
        <x:v>2</x:v>
      </x:c>
      <x:c r="L311" s="11" t="n">
        <x:v>0</x:v>
      </x:c>
      <x:c r="M311" s="9" t="n">
        <x:f>ROUND(H311*(1-I311),2)</x:f>
        <x:v>3471000</x:v>
      </x:c>
      <x:c r="N311" s="4" t="str">
        <x:v>Sales head</x:v>
      </x:c>
      <x:c r="O311" s="4" t="str">
        <x:v>BOOK-00310</x:v>
      </x:c>
      <x:c r="P311" s="9" t="n">
        <x:v>1735500</x:v>
      </x:c>
      <x:c r="Q311" s="11" t="n">
        <x:v>0</x:v>
      </x:c>
      <x:c r="R311" s="8" t="n">
        <x:v>45353</x:v>
      </x:c>
      <x:c r="S311" s="4" t="str">
        <x:v>Retained</x:v>
      </x:c>
      <x:c r="T311" s="10" t="n">
        <x:v>0.310195</x:v>
      </x:c>
      <x:c r="U311" s="4" t="str">
        <x:v>Train</x:v>
      </x:c>
    </x:row>
    <x:row r="312" ht="34" customHeight="1">
      <x:c r="A312" s="4" t="str">
        <x:v>RS-00311</x:v>
      </x:c>
      <x:c r="B312" s="8" t="n">
        <x:v>45294</x:v>
      </x:c>
      <x:c r="C312" s="4" t="str">
        <x:v>PRJ-011</x:v>
      </x:c>
      <x:c r="D312" s="4" t="str">
        <x:v>Villa</x:v>
      </x:c>
      <x:c r="E312" s="4" t="str">
        <x:v>Agreement signed</x:v>
      </x:c>
      <x:c r="F312" s="4" t="str">
        <x:v>CUS-00311</x:v>
      </x:c>
      <x:c r="G312" s="4" t="str">
        <x:v>UNIT-00311</x:v>
      </x:c>
      <x:c r="H312" s="9" t="n">
        <x:v>11000000</x:v>
      </x:c>
      <x:c r="I312" s="10" t="n">
        <x:v>0.07</x:v>
      </x:c>
      <x:c r="J312" s="11" t="n">
        <x:v>11</x:v>
      </x:c>
      <x:c r="K312" s="11" t="n">
        <x:v>2</x:v>
      </x:c>
      <x:c r="L312" s="11" t="n">
        <x:v>0</x:v>
      </x:c>
      <x:c r="M312" s="9" t="n">
        <x:f>ROUND(H312*(1-I312),2)</x:f>
        <x:v>10230000</x:v>
      </x:c>
      <x:c r="N312" s="4" t="str">
        <x:v>Sales manager</x:v>
      </x:c>
      <x:c r="O312" s="4" t="str">
        <x:v>BOOK-00311</x:v>
      </x:c>
      <x:c r="P312" s="9" t="n">
        <x:v>5115000</x:v>
      </x:c>
      <x:c r="Q312" s="11" t="n">
        <x:v>0</x:v>
      </x:c>
      <x:c r="R312" s="8" t="n">
        <x:v>45354</x:v>
      </x:c>
      <x:c r="S312" s="4" t="str">
        <x:v>Retained</x:v>
      </x:c>
      <x:c r="T312" s="10" t="n">
        <x:v>0.351536</x:v>
      </x:c>
      <x:c r="U312" s="4" t="str">
        <x:v>Train</x:v>
      </x:c>
    </x:row>
    <x:row r="313" ht="34" customHeight="1">
      <x:c r="A313" s="4" t="str">
        <x:v>RS-00312</x:v>
      </x:c>
      <x:c r="B313" s="8" t="n">
        <x:v>45295</x:v>
      </x:c>
      <x:c r="C313" s="4" t="str">
        <x:v>PRJ-012</x:v>
      </x:c>
      <x:c r="D313" s="4" t="str">
        <x:v>Apartment</x:v>
      </x:c>
      <x:c r="E313" s="4" t="str">
        <x:v>Reserved</x:v>
      </x:c>
      <x:c r="F313" s="4" t="str">
        <x:v>CUS-00312</x:v>
      </x:c>
      <x:c r="G313" s="4" t="str">
        <x:v>UNIT-00312</x:v>
      </x:c>
      <x:c r="H313" s="9" t="n">
        <x:v>15100000</x:v>
      </x:c>
      <x:c r="I313" s="10" t="n">
        <x:v>0.02</x:v>
      </x:c>
      <x:c r="J313" s="11" t="n">
        <x:v>12</x:v>
      </x:c>
      <x:c r="K313" s="11" t="n">
        <x:v>0</x:v>
      </x:c>
      <x:c r="L313" s="11" t="n">
        <x:v>0</x:v>
      </x:c>
      <x:c r="M313" s="9" t="n">
        <x:f>ROUND(H313*(1-I313),2)</x:f>
        <x:v>14798000</x:v>
      </x:c>
      <x:c r="N313" s="4" t="str">
        <x:v>Sales manager</x:v>
      </x:c>
      <x:c r="O313" s="4"/>
      <x:c r="P313" s="9" t="n">
        <x:v>0</x:v>
      </x:c>
      <x:c r="Q313" s="11" t="n">
        <x:v>1</x:v>
      </x:c>
      <x:c r="R313" s="8" t="n">
        <x:v>45355</x:v>
      </x:c>
      <x:c r="S313" s="4" t="str">
        <x:v>Lost / cancelled</x:v>
      </x:c>
      <x:c r="T313" s="10" t="n">
        <x:v>0.305556</x:v>
      </x:c>
      <x:c r="U313" s="4" t="str">
        <x:v>Train</x:v>
      </x:c>
    </x:row>
    <x:row r="314" ht="34" customHeight="1">
      <x:c r="A314" s="4" t="str">
        <x:v>RS-00313</x:v>
      </x:c>
      <x:c r="B314" s="8" t="n">
        <x:v>45296</x:v>
      </x:c>
      <x:c r="C314" s="4" t="str">
        <x:v>PRJ-013</x:v>
      </x:c>
      <x:c r="D314" s="4" t="str">
        <x:v>Retail</x:v>
      </x:c>
      <x:c r="E314" s="4" t="str">
        <x:v>Booked</x:v>
      </x:c>
      <x:c r="F314" s="4" t="str">
        <x:v>CUS-00313</x:v>
      </x:c>
      <x:c r="G314" s="4" t="str">
        <x:v>UNIT-00313</x:v>
      </x:c>
      <x:c r="H314" s="9" t="n">
        <x:v>20100000</x:v>
      </x:c>
      <x:c r="I314" s="10" t="n">
        <x:v>0.11</x:v>
      </x:c>
      <x:c r="J314" s="11" t="n">
        <x:v>0</x:v>
      </x:c>
      <x:c r="K314" s="11" t="n">
        <x:v>8</x:v>
      </x:c>
      <x:c r="L314" s="11" t="n">
        <x:v>1</x:v>
      </x:c>
      <x:c r="M314" s="9" t="n">
        <x:f>ROUND(H314*(1-I314),2)</x:f>
        <x:v>17889000</x:v>
      </x:c>
      <x:c r="N314" s="4" t="str">
        <x:v>Sales head</x:v>
      </x:c>
      <x:c r="O314" s="4" t="str">
        <x:v>BOOK-00313</x:v>
      </x:c>
      <x:c r="P314" s="9" t="n">
        <x:v>4472250</x:v>
      </x:c>
      <x:c r="Q314" s="11" t="n">
        <x:v>0</x:v>
      </x:c>
      <x:c r="R314" s="8" t="n">
        <x:v>45356</x:v>
      </x:c>
      <x:c r="S314" s="4" t="str">
        <x:v>Retained</x:v>
      </x:c>
      <x:c r="T314" s="10" t="n">
        <x:v>0.145833</x:v>
      </x:c>
      <x:c r="U314" s="4" t="str">
        <x:v>Train</x:v>
      </x:c>
    </x:row>
    <x:row r="315" ht="34" customHeight="1">
      <x:c r="A315" s="4" t="str">
        <x:v>RS-00314</x:v>
      </x:c>
      <x:c r="B315" s="8" t="n">
        <x:v>45297</x:v>
      </x:c>
      <x:c r="C315" s="4" t="str">
        <x:v>PRJ-014</x:v>
      </x:c>
      <x:c r="D315" s="4" t="str">
        <x:v>Retail</x:v>
      </x:c>
      <x:c r="E315" s="4" t="str">
        <x:v>Reserved</x:v>
      </x:c>
      <x:c r="F315" s="4" t="str">
        <x:v>CUS-00314</x:v>
      </x:c>
      <x:c r="G315" s="4" t="str">
        <x:v>UNIT-00314</x:v>
      </x:c>
      <x:c r="H315" s="9" t="n">
        <x:v>3100000</x:v>
      </x:c>
      <x:c r="I315" s="10" t="n">
        <x:v>0.04</x:v>
      </x:c>
      <x:c r="J315" s="11" t="n">
        <x:v>8</x:v>
      </x:c>
      <x:c r="K315" s="11" t="n">
        <x:v>2</x:v>
      </x:c>
      <x:c r="L315" s="11" t="n">
        <x:v>1</x:v>
      </x:c>
      <x:c r="M315" s="9" t="n">
        <x:f>ROUND(H315*(1-I315),2)</x:f>
        <x:v>2976000</x:v>
      </x:c>
      <x:c r="N315" s="4" t="str">
        <x:v>Sales manager</x:v>
      </x:c>
      <x:c r="O315" s="4"/>
      <x:c r="P315" s="9" t="n">
        <x:v>0</x:v>
      </x:c>
      <x:c r="Q315" s="11" t="n">
        <x:v>0</x:v>
      </x:c>
      <x:c r="R315" s="8" t="n">
        <x:v>45357</x:v>
      </x:c>
      <x:c r="S315" s="4" t="str">
        <x:v>Retained</x:v>
      </x:c>
      <x:c r="T315" s="10" t="n">
        <x:v>0.310195</x:v>
      </x:c>
      <x:c r="U315" s="4" t="str">
        <x:v>Train</x:v>
      </x:c>
    </x:row>
    <x:row r="316" ht="34" customHeight="1">
      <x:c r="A316" s="4" t="str">
        <x:v>RS-00315</x:v>
      </x:c>
      <x:c r="B316" s="8" t="n">
        <x:v>45298</x:v>
      </x:c>
      <x:c r="C316" s="4" t="str">
        <x:v>PRJ-015</x:v>
      </x:c>
      <x:c r="D316" s="4" t="str">
        <x:v>Apartment</x:v>
      </x:c>
      <x:c r="E316" s="4" t="str">
        <x:v>Reserved</x:v>
      </x:c>
      <x:c r="F316" s="4" t="str">
        <x:v>CUS-00315</x:v>
      </x:c>
      <x:c r="G316" s="4" t="str">
        <x:v>UNIT-00315</x:v>
      </x:c>
      <x:c r="H316" s="9" t="n">
        <x:v>23300000</x:v>
      </x:c>
      <x:c r="I316" s="10" t="n">
        <x:v>0.06</x:v>
      </x:c>
      <x:c r="J316" s="11" t="n">
        <x:v>10</x:v>
      </x:c>
      <x:c r="K316" s="11" t="n">
        <x:v>7</x:v>
      </x:c>
      <x:c r="L316" s="11" t="n">
        <x:v>1</x:v>
      </x:c>
      <x:c r="M316" s="9" t="n">
        <x:f>ROUND(H316*(1-I316),2)</x:f>
        <x:v>21902000</x:v>
      </x:c>
      <x:c r="N316" s="4" t="str">
        <x:v>Sales manager</x:v>
      </x:c>
      <x:c r="O316" s="4"/>
      <x:c r="P316" s="9" t="n">
        <x:v>0</x:v>
      </x:c>
      <x:c r="Q316" s="11" t="n">
        <x:v>0</x:v>
      </x:c>
      <x:c r="R316" s="8" t="n">
        <x:v>45358</x:v>
      </x:c>
      <x:c r="S316" s="4" t="str">
        <x:v>Retained</x:v>
      </x:c>
      <x:c r="T316" s="10" t="n">
        <x:v>0.310195</x:v>
      </x:c>
      <x:c r="U316" s="4" t="str">
        <x:v>Train</x:v>
      </x:c>
    </x:row>
    <x:row r="317" ht="34" customHeight="1">
      <x:c r="A317" s="4" t="str">
        <x:v>RS-00316</x:v>
      </x:c>
      <x:c r="B317" s="8" t="n">
        <x:v>45299</x:v>
      </x:c>
      <x:c r="C317" s="4" t="str">
        <x:v>PRJ-016</x:v>
      </x:c>
      <x:c r="D317" s="4" t="str">
        <x:v>Retail</x:v>
      </x:c>
      <x:c r="E317" s="4" t="str">
        <x:v>Cancelled</x:v>
      </x:c>
      <x:c r="F317" s="4" t="str">
        <x:v>CUS-00316</x:v>
      </x:c>
      <x:c r="G317" s="4" t="str">
        <x:v>UNIT-00316</x:v>
      </x:c>
      <x:c r="H317" s="9" t="n">
        <x:v>23300000</x:v>
      </x:c>
      <x:c r="I317" s="10" t="n">
        <x:v>0.01</x:v>
      </x:c>
      <x:c r="J317" s="11" t="n">
        <x:v>6</x:v>
      </x:c>
      <x:c r="K317" s="11" t="n">
        <x:v>9</x:v>
      </x:c>
      <x:c r="L317" s="11" t="n">
        <x:v>1</x:v>
      </x:c>
      <x:c r="M317" s="9" t="n">
        <x:f>ROUND(H317*(1-I317),2)</x:f>
        <x:v>23067000</x:v>
      </x:c>
      <x:c r="N317" s="4" t="str">
        <x:v>Sales manager</x:v>
      </x:c>
      <x:c r="O317" s="4"/>
      <x:c r="P317" s="9" t="n">
        <x:v>0</x:v>
      </x:c>
      <x:c r="Q317" s="11" t="n">
        <x:v>1</x:v>
      </x:c>
      <x:c r="R317" s="8" t="n">
        <x:v>45359</x:v>
      </x:c>
      <x:c r="S317" s="4" t="str">
        <x:v>Lost / cancelled</x:v>
      </x:c>
      <x:c r="T317" s="10" t="n">
        <x:v>0.145299</x:v>
      </x:c>
      <x:c r="U317" s="4" t="str">
        <x:v>Train</x:v>
      </x:c>
    </x:row>
    <x:row r="318" ht="34" customHeight="1">
      <x:c r="A318" s="4" t="str">
        <x:v>RS-00317</x:v>
      </x:c>
      <x:c r="B318" s="8" t="n">
        <x:v>45300</x:v>
      </x:c>
      <x:c r="C318" s="4" t="str">
        <x:v>PRJ-017</x:v>
      </x:c>
      <x:c r="D318" s="4" t="str">
        <x:v>Retail</x:v>
      </x:c>
      <x:c r="E318" s="4" t="str">
        <x:v>Reserved</x:v>
      </x:c>
      <x:c r="F318" s="4" t="str">
        <x:v>CUS-00317</x:v>
      </x:c>
      <x:c r="G318" s="4" t="str">
        <x:v>UNIT-00317</x:v>
      </x:c>
      <x:c r="H318" s="9" t="n">
        <x:v>16100000</x:v>
      </x:c>
      <x:c r="I318" s="10" t="n">
        <x:v>0.04</x:v>
      </x:c>
      <x:c r="J318" s="11" t="n">
        <x:v>11</x:v>
      </x:c>
      <x:c r="K318" s="11" t="n">
        <x:v>6</x:v>
      </x:c>
      <x:c r="L318" s="11" t="n">
        <x:v>0</x:v>
      </x:c>
      <x:c r="M318" s="9" t="n">
        <x:f>ROUND(H318*(1-I318),2)</x:f>
        <x:v>15456000</x:v>
      </x:c>
      <x:c r="N318" s="4" t="str">
        <x:v>Sales manager</x:v>
      </x:c>
      <x:c r="O318" s="4"/>
      <x:c r="P318" s="9" t="n">
        <x:v>0</x:v>
      </x:c>
      <x:c r="Q318" s="11" t="n">
        <x:v>1</x:v>
      </x:c>
      <x:c r="R318" s="8" t="n">
        <x:v>45360</x:v>
      </x:c>
      <x:c r="S318" s="4" t="str">
        <x:v>Lost / cancelled</x:v>
      </x:c>
      <x:c r="T318" s="10" t="n">
        <x:v>0.351536</x:v>
      </x:c>
      <x:c r="U318" s="4" t="str">
        <x:v>Train</x:v>
      </x:c>
    </x:row>
    <x:row r="319" ht="34" customHeight="1">
      <x:c r="A319" s="4" t="str">
        <x:v>RS-00318</x:v>
      </x:c>
      <x:c r="B319" s="8" t="n">
        <x:v>45301</x:v>
      </x:c>
      <x:c r="C319" s="4" t="str">
        <x:v>PRJ-018</x:v>
      </x:c>
      <x:c r="D319" s="4" t="str">
        <x:v>Villa</x:v>
      </x:c>
      <x:c r="E319" s="4" t="str">
        <x:v>Agreement signed</x:v>
      </x:c>
      <x:c r="F319" s="4" t="str">
        <x:v>CUS-00318</x:v>
      </x:c>
      <x:c r="G319" s="4" t="str">
        <x:v>UNIT-00318</x:v>
      </x:c>
      <x:c r="H319" s="9" t="n">
        <x:v>9200000</x:v>
      </x:c>
      <x:c r="I319" s="10" t="n">
        <x:v>0.08</x:v>
      </x:c>
      <x:c r="J319" s="11" t="n">
        <x:v>12</x:v>
      </x:c>
      <x:c r="K319" s="11" t="n">
        <x:v>1</x:v>
      </x:c>
      <x:c r="L319" s="11" t="n">
        <x:v>0</x:v>
      </x:c>
      <x:c r="M319" s="9" t="n">
        <x:f>ROUND(H319*(1-I319),2)</x:f>
        <x:v>8464000</x:v>
      </x:c>
      <x:c r="N319" s="4" t="str">
        <x:v>Sales head</x:v>
      </x:c>
      <x:c r="O319" s="4" t="str">
        <x:v>BOOK-00318</x:v>
      </x:c>
      <x:c r="P319" s="9" t="n">
        <x:v>8464000</x:v>
      </x:c>
      <x:c r="Q319" s="11" t="n">
        <x:v>0</x:v>
      </x:c>
      <x:c r="R319" s="8" t="n">
        <x:v>45361</x:v>
      </x:c>
      <x:c r="S319" s="4" t="str">
        <x:v>Retained</x:v>
      </x:c>
      <x:c r="T319" s="10" t="n">
        <x:v>0.351536</x:v>
      </x:c>
      <x:c r="U319" s="4" t="str">
        <x:v>Train</x:v>
      </x:c>
    </x:row>
    <x:row r="320" ht="34" customHeight="1">
      <x:c r="A320" s="4" t="str">
        <x:v>RS-00319</x:v>
      </x:c>
      <x:c r="B320" s="8" t="n">
        <x:v>45302</x:v>
      </x:c>
      <x:c r="C320" s="4" t="str">
        <x:v>PRJ-019</x:v>
      </x:c>
      <x:c r="D320" s="4" t="str">
        <x:v>Villa</x:v>
      </x:c>
      <x:c r="E320" s="4" t="str">
        <x:v>Booked</x:v>
      </x:c>
      <x:c r="F320" s="4" t="str">
        <x:v>CUS-00319</x:v>
      </x:c>
      <x:c r="G320" s="4" t="str">
        <x:v>UNIT-00319</x:v>
      </x:c>
      <x:c r="H320" s="9" t="n">
        <x:v>4800000</x:v>
      </x:c>
      <x:c r="I320" s="10" t="n">
        <x:v>0.07</x:v>
      </x:c>
      <x:c r="J320" s="11" t="n">
        <x:v>5</x:v>
      </x:c>
      <x:c r="K320" s="11" t="n">
        <x:v>8</x:v>
      </x:c>
      <x:c r="L320" s="11" t="n">
        <x:v>0</x:v>
      </x:c>
      <x:c r="M320" s="9" t="n">
        <x:f>ROUND(H320*(1-I320),2)</x:f>
        <x:v>4464000</x:v>
      </x:c>
      <x:c r="N320" s="4" t="str">
        <x:v>Sales manager</x:v>
      </x:c>
      <x:c r="O320" s="4" t="str">
        <x:v>BOOK-00319</x:v>
      </x:c>
      <x:c r="P320" s="9" t="n">
        <x:v>446400</x:v>
      </x:c>
      <x:c r="Q320" s="11" t="n">
        <x:v>0</x:v>
      </x:c>
      <x:c r="R320" s="8" t="n">
        <x:v>45362</x:v>
      </x:c>
      <x:c r="S320" s="4" t="str">
        <x:v>Retained</x:v>
      </x:c>
      <x:c r="T320" s="10" t="n">
        <x:v>0.226277</x:v>
      </x:c>
      <x:c r="U320" s="4" t="str">
        <x:v>Train</x:v>
      </x:c>
    </x:row>
    <x:row r="321" ht="34" customHeight="1">
      <x:c r="A321" s="4" t="str">
        <x:v>RS-00320</x:v>
      </x:c>
      <x:c r="B321" s="8" t="n">
        <x:v>45303</x:v>
      </x:c>
      <x:c r="C321" s="4" t="str">
        <x:v>PRJ-020</x:v>
      </x:c>
      <x:c r="D321" s="4" t="str">
        <x:v>Apartment</x:v>
      </x:c>
      <x:c r="E321" s="4" t="str">
        <x:v>Enquiry</x:v>
      </x:c>
      <x:c r="F321" s="4" t="str">
        <x:v>CUS-00320</x:v>
      </x:c>
      <x:c r="G321" s="4" t="str">
        <x:v>UNIT-00320</x:v>
      </x:c>
      <x:c r="H321" s="9" t="n">
        <x:v>21600000</x:v>
      </x:c>
      <x:c r="I321" s="10" t="n">
        <x:v>0.09</x:v>
      </x:c>
      <x:c r="J321" s="11" t="n">
        <x:v>8</x:v>
      </x:c>
      <x:c r="K321" s="11" t="n">
        <x:v>4</x:v>
      </x:c>
      <x:c r="L321" s="11" t="n">
        <x:v>1</x:v>
      </x:c>
      <x:c r="M321" s="9" t="n">
        <x:f>ROUND(H321*(1-I321),2)</x:f>
        <x:v>19656000</x:v>
      </x:c>
      <x:c r="N321" s="4" t="str">
        <x:v>Sales head</x:v>
      </x:c>
      <x:c r="O321" s="4"/>
      <x:c r="P321" s="9" t="n">
        <x:v>0</x:v>
      </x:c>
      <x:c r="Q321" s="11" t="n">
        <x:v>1</x:v>
      </x:c>
      <x:c r="R321" s="8" t="n">
        <x:v>45363</x:v>
      </x:c>
      <x:c r="S321" s="4" t="str">
        <x:v>Lost / cancelled</x:v>
      </x:c>
      <x:c r="T321" s="10" t="n">
        <x:v>0.310195</x:v>
      </x:c>
      <x:c r="U321" s="4" t="str">
        <x:v>Train</x:v>
      </x:c>
    </x:row>
    <x:row r="322" ht="34" customHeight="1">
      <x:c r="A322" s="4" t="str">
        <x:v>RS-00321</x:v>
      </x:c>
      <x:c r="B322" s="8" t="n">
        <x:v>45304</x:v>
      </x:c>
      <x:c r="C322" s="4" t="str">
        <x:v>PRJ-001</x:v>
      </x:c>
      <x:c r="D322" s="4" t="str">
        <x:v>Villa</x:v>
      </x:c>
      <x:c r="E322" s="4" t="str">
        <x:v>Cancelled</x:v>
      </x:c>
      <x:c r="F322" s="4" t="str">
        <x:v>CUS-00321</x:v>
      </x:c>
      <x:c r="G322" s="4" t="str">
        <x:v>UNIT-00321</x:v>
      </x:c>
      <x:c r="H322" s="9" t="n">
        <x:v>18900000</x:v>
      </x:c>
      <x:c r="I322" s="10" t="n">
        <x:v>0.08</x:v>
      </x:c>
      <x:c r="J322" s="11" t="n">
        <x:v>2</x:v>
      </x:c>
      <x:c r="K322" s="11" t="n">
        <x:v>6</x:v>
      </x:c>
      <x:c r="L322" s="11" t="n">
        <x:v>1</x:v>
      </x:c>
      <x:c r="M322" s="9" t="n">
        <x:f>ROUND(H322*(1-I322),2)</x:f>
        <x:v>17388000</x:v>
      </x:c>
      <x:c r="N322" s="4" t="str">
        <x:v>Sales head</x:v>
      </x:c>
      <x:c r="O322" s="4"/>
      <x:c r="P322" s="9" t="n">
        <x:v>0</x:v>
      </x:c>
      <x:c r="Q322" s="11" t="n">
        <x:v>1</x:v>
      </x:c>
      <x:c r="R322" s="8" t="n">
        <x:v>45364</x:v>
      </x:c>
      <x:c r="S322" s="4" t="str">
        <x:v>Lost / cancelled</x:v>
      </x:c>
      <x:c r="T322" s="10" t="n">
        <x:v>0.204152</x:v>
      </x:c>
      <x:c r="U322" s="4" t="str">
        <x:v>Train</x:v>
      </x:c>
    </x:row>
    <x:row r="323" ht="34" customHeight="1">
      <x:c r="A323" s="4" t="str">
        <x:v>RS-00322</x:v>
      </x:c>
      <x:c r="B323" s="8" t="n">
        <x:v>45305</x:v>
      </x:c>
      <x:c r="C323" s="4" t="str">
        <x:v>PRJ-002</x:v>
      </x:c>
      <x:c r="D323" s="4" t="str">
        <x:v>Villa</x:v>
      </x:c>
      <x:c r="E323" s="4" t="str">
        <x:v>Booked</x:v>
      </x:c>
      <x:c r="F323" s="4" t="str">
        <x:v>CUS-00322</x:v>
      </x:c>
      <x:c r="G323" s="4" t="str">
        <x:v>UNIT-00322</x:v>
      </x:c>
      <x:c r="H323" s="9" t="n">
        <x:v>24000000</x:v>
      </x:c>
      <x:c r="I323" s="10" t="n">
        <x:v>0.03</x:v>
      </x:c>
      <x:c r="J323" s="11" t="n">
        <x:v>4</x:v>
      </x:c>
      <x:c r="K323" s="11" t="n">
        <x:v>9</x:v>
      </x:c>
      <x:c r="L323" s="11" t="n">
        <x:v>0</x:v>
      </x:c>
      <x:c r="M323" s="9" t="n">
        <x:f>ROUND(H323*(1-I323),2)</x:f>
        <x:v>23280000</x:v>
      </x:c>
      <x:c r="N323" s="4" t="str">
        <x:v>Sales manager</x:v>
      </x:c>
      <x:c r="O323" s="4" t="str">
        <x:v>BOOK-00322</x:v>
      </x:c>
      <x:c r="P323" s="9" t="n">
        <x:v>11640000</x:v>
      </x:c>
      <x:c r="Q323" s="11" t="n">
        <x:v>0</x:v>
      </x:c>
      <x:c r="R323" s="8" t="n">
        <x:v>45365</x:v>
      </x:c>
      <x:c r="S323" s="4" t="str">
        <x:v>Retained</x:v>
      </x:c>
      <x:c r="T323" s="10" t="n">
        <x:v>0.145299</x:v>
      </x:c>
      <x:c r="U323" s="4" t="str">
        <x:v>Train</x:v>
      </x:c>
    </x:row>
    <x:row r="324" ht="34" customHeight="1">
      <x:c r="A324" s="4" t="str">
        <x:v>RS-00323</x:v>
      </x:c>
      <x:c r="B324" s="8" t="n">
        <x:v>45306</x:v>
      </x:c>
      <x:c r="C324" s="4" t="str">
        <x:v>PRJ-003</x:v>
      </x:c>
      <x:c r="D324" s="4" t="str">
        <x:v>Office</x:v>
      </x:c>
      <x:c r="E324" s="4" t="str">
        <x:v>Agreement signed</x:v>
      </x:c>
      <x:c r="F324" s="4" t="str">
        <x:v>CUS-00323</x:v>
      </x:c>
      <x:c r="G324" s="4" t="str">
        <x:v>UNIT-00323</x:v>
      </x:c>
      <x:c r="H324" s="9" t="n">
        <x:v>19100000</x:v>
      </x:c>
      <x:c r="I324" s="10" t="n">
        <x:v>0.09</x:v>
      </x:c>
      <x:c r="J324" s="11" t="n">
        <x:v>8</x:v>
      </x:c>
      <x:c r="K324" s="11" t="n">
        <x:v>6</x:v>
      </x:c>
      <x:c r="L324" s="11" t="n">
        <x:v>1</x:v>
      </x:c>
      <x:c r="M324" s="9" t="n">
        <x:f>ROUND(H324*(1-I324),2)</x:f>
        <x:v>17381000</x:v>
      </x:c>
      <x:c r="N324" s="4" t="str">
        <x:v>Sales head</x:v>
      </x:c>
      <x:c r="O324" s="4" t="str">
        <x:v>BOOK-00323</x:v>
      </x:c>
      <x:c r="P324" s="9" t="n">
        <x:v>4345250</x:v>
      </x:c>
      <x:c r="Q324" s="11" t="n">
        <x:v>0</x:v>
      </x:c>
      <x:c r="R324" s="8" t="n">
        <x:v>45366</x:v>
      </x:c>
      <x:c r="S324" s="4" t="str">
        <x:v>Retained</x:v>
      </x:c>
      <x:c r="T324" s="10" t="n">
        <x:v>0.310195</x:v>
      </x:c>
      <x:c r="U324" s="4" t="str">
        <x:v>Train</x:v>
      </x:c>
    </x:row>
    <x:row r="325" ht="34" customHeight="1">
      <x:c r="A325" s="4" t="str">
        <x:v>RS-00324</x:v>
      </x:c>
      <x:c r="B325" s="8" t="n">
        <x:v>45307</x:v>
      </x:c>
      <x:c r="C325" s="4" t="str">
        <x:v>PRJ-004</x:v>
      </x:c>
      <x:c r="D325" s="4" t="str">
        <x:v>Villa</x:v>
      </x:c>
      <x:c r="E325" s="4" t="str">
        <x:v>Cancelled</x:v>
      </x:c>
      <x:c r="F325" s="4" t="str">
        <x:v>CUS-00324</x:v>
      </x:c>
      <x:c r="G325" s="4" t="str">
        <x:v>UNIT-00324</x:v>
      </x:c>
      <x:c r="H325" s="9" t="n">
        <x:v>7200000</x:v>
      </x:c>
      <x:c r="I325" s="10" t="n">
        <x:v>0.02</x:v>
      </x:c>
      <x:c r="J325" s="11" t="n">
        <x:v>3</x:v>
      </x:c>
      <x:c r="K325" s="11" t="n">
        <x:v>1</x:v>
      </x:c>
      <x:c r="L325" s="11" t="n">
        <x:v>1</x:v>
      </x:c>
      <x:c r="M325" s="9" t="n">
        <x:f>ROUND(H325*(1-I325),2)</x:f>
        <x:v>7056000</x:v>
      </x:c>
      <x:c r="N325" s="4" t="str">
        <x:v>Sales manager</x:v>
      </x:c>
      <x:c r="O325" s="4"/>
      <x:c r="P325" s="9" t="n">
        <x:v>0</x:v>
      </x:c>
      <x:c r="Q325" s="11" t="n">
        <x:v>1</x:v>
      </x:c>
      <x:c r="R325" s="8" t="n">
        <x:v>45367</x:v>
      </x:c>
      <x:c r="S325" s="4" t="str">
        <x:v>Lost / cancelled</x:v>
      </x:c>
      <x:c r="T325" s="10" t="n">
        <x:v>0.171717</x:v>
      </x:c>
      <x:c r="U325" s="4" t="str">
        <x:v>Train</x:v>
      </x:c>
    </x:row>
    <x:row r="326" ht="34" customHeight="1">
      <x:c r="A326" s="4" t="str">
        <x:v>RS-00325</x:v>
      </x:c>
      <x:c r="B326" s="8" t="n">
        <x:v>45308</x:v>
      </x:c>
      <x:c r="C326" s="4" t="str">
        <x:v>PRJ-005</x:v>
      </x:c>
      <x:c r="D326" s="4" t="str">
        <x:v>Apartment</x:v>
      </x:c>
      <x:c r="E326" s="4" t="str">
        <x:v>Enquiry</x:v>
      </x:c>
      <x:c r="F326" s="4" t="str">
        <x:v>CUS-00325</x:v>
      </x:c>
      <x:c r="G326" s="4" t="str">
        <x:v>UNIT-00325</x:v>
      </x:c>
      <x:c r="H326" s="9" t="n">
        <x:v>18400000</x:v>
      </x:c>
      <x:c r="I326" s="10" t="n">
        <x:v>0.1</x:v>
      </x:c>
      <x:c r="J326" s="11" t="n">
        <x:v>7</x:v>
      </x:c>
      <x:c r="K326" s="11" t="n">
        <x:v>1</x:v>
      </x:c>
      <x:c r="L326" s="11" t="n">
        <x:v>1</x:v>
      </x:c>
      <x:c r="M326" s="9" t="n">
        <x:f>ROUND(H326*(1-I326),2)</x:f>
        <x:v>16560000</x:v>
      </x:c>
      <x:c r="N326" s="4" t="str">
        <x:v>Sales head</x:v>
      </x:c>
      <x:c r="O326" s="4"/>
      <x:c r="P326" s="9" t="n">
        <x:v>0</x:v>
      </x:c>
      <x:c r="Q326" s="11" t="n">
        <x:v>0</x:v>
      </x:c>
      <x:c r="R326" s="8" t="n">
        <x:v>45368</x:v>
      </x:c>
      <x:c r="S326" s="4" t="str">
        <x:v>Retained</x:v>
      </x:c>
      <x:c r="T326" s="10" t="n">
        <x:v>0.291946</x:v>
      </x:c>
      <x:c r="U326" s="4" t="str">
        <x:v>Train</x:v>
      </x:c>
    </x:row>
    <x:row r="327" ht="34" customHeight="1">
      <x:c r="A327" s="4" t="str">
        <x:v>RS-00326</x:v>
      </x:c>
      <x:c r="B327" s="8" t="n">
        <x:v>45309</x:v>
      </x:c>
      <x:c r="C327" s="4" t="str">
        <x:v>PRJ-006</x:v>
      </x:c>
      <x:c r="D327" s="4" t="str">
        <x:v>Villa</x:v>
      </x:c>
      <x:c r="E327" s="4" t="str">
        <x:v>Agreement signed</x:v>
      </x:c>
      <x:c r="F327" s="4" t="str">
        <x:v>CUS-00326</x:v>
      </x:c>
      <x:c r="G327" s="4" t="str">
        <x:v>UNIT-00326</x:v>
      </x:c>
      <x:c r="H327" s="9" t="n">
        <x:v>24700000</x:v>
      </x:c>
      <x:c r="I327" s="10" t="n">
        <x:v>0.06</x:v>
      </x:c>
      <x:c r="J327" s="11" t="n">
        <x:v>2</x:v>
      </x:c>
      <x:c r="K327" s="11" t="n">
        <x:v>3</x:v>
      </x:c>
      <x:c r="L327" s="11" t="n">
        <x:v>1</x:v>
      </x:c>
      <x:c r="M327" s="9" t="n">
        <x:f>ROUND(H327*(1-I327),2)</x:f>
        <x:v>23218000</x:v>
      </x:c>
      <x:c r="N327" s="4" t="str">
        <x:v>Sales manager</x:v>
      </x:c>
      <x:c r="O327" s="4" t="str">
        <x:v>BOOK-00326</x:v>
      </x:c>
      <x:c r="P327" s="9" t="n">
        <x:v>5804500</x:v>
      </x:c>
      <x:c r="Q327" s="11" t="n">
        <x:v>0</x:v>
      </x:c>
      <x:c r="R327" s="8" t="n">
        <x:v>45369</x:v>
      </x:c>
      <x:c r="S327" s="4" t="str">
        <x:v>Retained</x:v>
      </x:c>
      <x:c r="T327" s="10" t="n">
        <x:v>0.204152</x:v>
      </x:c>
      <x:c r="U327" s="4" t="str">
        <x:v>Train</x:v>
      </x:c>
    </x:row>
    <x:row r="328" ht="34" customHeight="1">
      <x:c r="A328" s="4" t="str">
        <x:v>RS-00327</x:v>
      </x:c>
      <x:c r="B328" s="8" t="n">
        <x:v>45310</x:v>
      </x:c>
      <x:c r="C328" s="4" t="str">
        <x:v>PRJ-007</x:v>
      </x:c>
      <x:c r="D328" s="4" t="str">
        <x:v>Office</x:v>
      </x:c>
      <x:c r="E328" s="4" t="str">
        <x:v>Booked</x:v>
      </x:c>
      <x:c r="F328" s="4" t="str">
        <x:v>CUS-00327</x:v>
      </x:c>
      <x:c r="G328" s="4" t="str">
        <x:v>UNIT-00327</x:v>
      </x:c>
      <x:c r="H328" s="9" t="n">
        <x:v>6900000</x:v>
      </x:c>
      <x:c r="I328" s="10" t="n">
        <x:v>0.04</x:v>
      </x:c>
      <x:c r="J328" s="11" t="n">
        <x:v>12</x:v>
      </x:c>
      <x:c r="K328" s="11" t="n">
        <x:v>9</x:v>
      </x:c>
      <x:c r="L328" s="11" t="n">
        <x:v>1</x:v>
      </x:c>
      <x:c r="M328" s="9" t="n">
        <x:f>ROUND(H328*(1-I328),2)</x:f>
        <x:v>6624000</x:v>
      </x:c>
      <x:c r="N328" s="4" t="str">
        <x:v>Sales manager</x:v>
      </x:c>
      <x:c r="O328" s="4" t="str">
        <x:v>BOOK-00327</x:v>
      </x:c>
      <x:c r="P328" s="9" t="n">
        <x:v>3312000</x:v>
      </x:c>
      <x:c r="Q328" s="11" t="n">
        <x:v>0</x:v>
      </x:c>
      <x:c r="R328" s="8" t="n">
        <x:v>45370</x:v>
      </x:c>
      <x:c r="S328" s="4" t="str">
        <x:v>Retained</x:v>
      </x:c>
      <x:c r="T328" s="10" t="n">
        <x:v>0.351536</x:v>
      </x:c>
      <x:c r="U328" s="4" t="str">
        <x:v>Train</x:v>
      </x:c>
    </x:row>
    <x:row r="329" ht="34" customHeight="1">
      <x:c r="A329" s="4" t="str">
        <x:v>RS-00328</x:v>
      </x:c>
      <x:c r="B329" s="8" t="n">
        <x:v>45311</x:v>
      </x:c>
      <x:c r="C329" s="4" t="str">
        <x:v>PRJ-008</x:v>
      </x:c>
      <x:c r="D329" s="4" t="str">
        <x:v>Apartment</x:v>
      </x:c>
      <x:c r="E329" s="4" t="str">
        <x:v>Enquiry</x:v>
      </x:c>
      <x:c r="F329" s="4" t="str">
        <x:v>CUS-00328</x:v>
      </x:c>
      <x:c r="G329" s="4" t="str">
        <x:v>UNIT-00328</x:v>
      </x:c>
      <x:c r="H329" s="9" t="n">
        <x:v>12900000</x:v>
      </x:c>
      <x:c r="I329" s="10" t="n">
        <x:v>0.11</x:v>
      </x:c>
      <x:c r="J329" s="11" t="n">
        <x:v>7</x:v>
      </x:c>
      <x:c r="K329" s="11" t="n">
        <x:v>4</x:v>
      </x:c>
      <x:c r="L329" s="11" t="n">
        <x:v>1</x:v>
      </x:c>
      <x:c r="M329" s="9" t="n">
        <x:f>ROUND(H329*(1-I329),2)</x:f>
        <x:v>11481000</x:v>
      </x:c>
      <x:c r="N329" s="4" t="str">
        <x:v>Sales head</x:v>
      </x:c>
      <x:c r="O329" s="4"/>
      <x:c r="P329" s="9" t="n">
        <x:v>0</x:v>
      </x:c>
      <x:c r="Q329" s="11" t="n">
        <x:v>0</x:v>
      </x:c>
      <x:c r="R329" s="8" t="n">
        <x:v>45371</x:v>
      </x:c>
      <x:c r="S329" s="4" t="str">
        <x:v>Retained</x:v>
      </x:c>
      <x:c r="T329" s="10" t="n">
        <x:v>0.291946</x:v>
      </x:c>
      <x:c r="U329" s="4" t="str">
        <x:v>Train</x:v>
      </x:c>
    </x:row>
    <x:row r="330" ht="34" customHeight="1">
      <x:c r="A330" s="4" t="str">
        <x:v>RS-00329</x:v>
      </x:c>
      <x:c r="B330" s="8" t="n">
        <x:v>45312</x:v>
      </x:c>
      <x:c r="C330" s="4" t="str">
        <x:v>PRJ-009</x:v>
      </x:c>
      <x:c r="D330" s="4" t="str">
        <x:v>Retail</x:v>
      </x:c>
      <x:c r="E330" s="4" t="str">
        <x:v>Agreement signed</x:v>
      </x:c>
      <x:c r="F330" s="4" t="str">
        <x:v>CUS-00329</x:v>
      </x:c>
      <x:c r="G330" s="4" t="str">
        <x:v>UNIT-00329</x:v>
      </x:c>
      <x:c r="H330" s="9" t="n">
        <x:v>8400000</x:v>
      </x:c>
      <x:c r="I330" s="10" t="n">
        <x:v>0.01</x:v>
      </x:c>
      <x:c r="J330" s="11" t="n">
        <x:v>11</x:v>
      </x:c>
      <x:c r="K330" s="11" t="n">
        <x:v>9</x:v>
      </x:c>
      <x:c r="L330" s="11" t="n">
        <x:v>1</x:v>
      </x:c>
      <x:c r="M330" s="9" t="n">
        <x:f>ROUND(H330*(1-I330),2)</x:f>
        <x:v>8316000</x:v>
      </x:c>
      <x:c r="N330" s="4" t="str">
        <x:v>Sales manager</x:v>
      </x:c>
      <x:c r="O330" s="4" t="str">
        <x:v>BOOK-00329</x:v>
      </x:c>
      <x:c r="P330" s="9" t="n">
        <x:v>8316000</x:v>
      </x:c>
      <x:c r="Q330" s="11" t="n">
        <x:v>0</x:v>
      </x:c>
      <x:c r="R330" s="8" t="n">
        <x:v>45372</x:v>
      </x:c>
      <x:c r="S330" s="4" t="str">
        <x:v>Retained</x:v>
      </x:c>
      <x:c r="T330" s="10" t="n">
        <x:v>0.254545</x:v>
      </x:c>
      <x:c r="U330" s="4" t="str">
        <x:v>Train</x:v>
      </x:c>
    </x:row>
    <x:row r="331" ht="34" customHeight="1">
      <x:c r="A331" s="4" t="str">
        <x:v>RS-00330</x:v>
      </x:c>
      <x:c r="B331" s="8" t="n">
        <x:v>45313</x:v>
      </x:c>
      <x:c r="C331" s="4" t="str">
        <x:v>PRJ-010</x:v>
      </x:c>
      <x:c r="D331" s="4" t="str">
        <x:v>Apartment</x:v>
      </x:c>
      <x:c r="E331" s="4" t="str">
        <x:v>Handed over</x:v>
      </x:c>
      <x:c r="F331" s="4" t="str">
        <x:v>CUS-00330</x:v>
      </x:c>
      <x:c r="G331" s="4" t="str">
        <x:v>UNIT-00330</x:v>
      </x:c>
      <x:c r="H331" s="9" t="n">
        <x:v>15700000</x:v>
      </x:c>
      <x:c r="I331" s="10" t="n">
        <x:v>0.08</x:v>
      </x:c>
      <x:c r="J331" s="11" t="n">
        <x:v>5</x:v>
      </x:c>
      <x:c r="K331" s="11" t="n">
        <x:v>4</x:v>
      </x:c>
      <x:c r="L331" s="11" t="n">
        <x:v>1</x:v>
      </x:c>
      <x:c r="M331" s="9" t="n">
        <x:f>ROUND(H331*(1-I331),2)</x:f>
        <x:v>14444000</x:v>
      </x:c>
      <x:c r="N331" s="4" t="str">
        <x:v>Sales head</x:v>
      </x:c>
      <x:c r="O331" s="4" t="str">
        <x:v>BOOK-00330</x:v>
      </x:c>
      <x:c r="P331" s="9" t="n">
        <x:v>1444400</x:v>
      </x:c>
      <x:c r="Q331" s="11" t="n">
        <x:v>0</x:v>
      </x:c>
      <x:c r="R331" s="8" t="n">
        <x:v>45373</x:v>
      </x:c>
      <x:c r="S331" s="4" t="str">
        <x:v>Retained</x:v>
      </x:c>
      <x:c r="T331" s="10" t="n">
        <x:v>0.291946</x:v>
      </x:c>
      <x:c r="U331" s="4" t="str">
        <x:v>Train</x:v>
      </x:c>
    </x:row>
    <x:row r="332" ht="34" customHeight="1">
      <x:c r="A332" s="4" t="str">
        <x:v>RS-00331</x:v>
      </x:c>
      <x:c r="B332" s="8" t="n">
        <x:v>45314</x:v>
      </x:c>
      <x:c r="C332" s="4" t="str">
        <x:v>PRJ-011</x:v>
      </x:c>
      <x:c r="D332" s="4" t="str">
        <x:v>Retail</x:v>
      </x:c>
      <x:c r="E332" s="4" t="str">
        <x:v>Agreement signed</x:v>
      </x:c>
      <x:c r="F332" s="4" t="str">
        <x:v>CUS-00331</x:v>
      </x:c>
      <x:c r="G332" s="4" t="str">
        <x:v>UNIT-00331</x:v>
      </x:c>
      <x:c r="H332" s="9" t="n">
        <x:v>5400000</x:v>
      </x:c>
      <x:c r="I332" s="10" t="n">
        <x:v>0.06</x:v>
      </x:c>
      <x:c r="J332" s="11" t="n">
        <x:v>8</x:v>
      </x:c>
      <x:c r="K332" s="11" t="n">
        <x:v>1</x:v>
      </x:c>
      <x:c r="L332" s="11" t="n">
        <x:v>0</x:v>
      </x:c>
      <x:c r="M332" s="9" t="n">
        <x:f>ROUND(H332*(1-I332),2)</x:f>
        <x:v>5076000</x:v>
      </x:c>
      <x:c r="N332" s="4" t="str">
        <x:v>Sales manager</x:v>
      </x:c>
      <x:c r="O332" s="4" t="str">
        <x:v>BOOK-00331</x:v>
      </x:c>
      <x:c r="P332" s="9" t="n">
        <x:v>5076000</x:v>
      </x:c>
      <x:c r="Q332" s="11" t="n">
        <x:v>0</x:v>
      </x:c>
      <x:c r="R332" s="8" t="n">
        <x:v>45374</x:v>
      </x:c>
      <x:c r="S332" s="4" t="str">
        <x:v>Retained</x:v>
      </x:c>
      <x:c r="T332" s="10" t="n">
        <x:v>0.310195</x:v>
      </x:c>
      <x:c r="U332" s="4" t="str">
        <x:v>Train</x:v>
      </x:c>
    </x:row>
    <x:row r="333" ht="34" customHeight="1">
      <x:c r="A333" s="4" t="str">
        <x:v>RS-00332</x:v>
      </x:c>
      <x:c r="B333" s="8" t="n">
        <x:v>45315</x:v>
      </x:c>
      <x:c r="C333" s="4" t="str">
        <x:v>PRJ-012</x:v>
      </x:c>
      <x:c r="D333" s="4" t="str">
        <x:v>Retail</x:v>
      </x:c>
      <x:c r="E333" s="4" t="str">
        <x:v>Booked</x:v>
      </x:c>
      <x:c r="F333" s="4" t="str">
        <x:v>CUS-00332</x:v>
      </x:c>
      <x:c r="G333" s="4" t="str">
        <x:v>UNIT-00332</x:v>
      </x:c>
      <x:c r="H333" s="9" t="n">
        <x:v>13400000</x:v>
      </x:c>
      <x:c r="I333" s="10" t="n">
        <x:v>0.08</x:v>
      </x:c>
      <x:c r="J333" s="11" t="n">
        <x:v>1</x:v>
      </x:c>
      <x:c r="K333" s="11" t="n">
        <x:v>7</x:v>
      </x:c>
      <x:c r="L333" s="11" t="n">
        <x:v>1</x:v>
      </x:c>
      <x:c r="M333" s="9" t="n">
        <x:f>ROUND(H333*(1-I333),2)</x:f>
        <x:v>12328000</x:v>
      </x:c>
      <x:c r="N333" s="4" t="str">
        <x:v>Sales head</x:v>
      </x:c>
      <x:c r="O333" s="4" t="str">
        <x:v>BOOK-00332</x:v>
      </x:c>
      <x:c r="P333" s="9" t="n">
        <x:v>12328000</x:v>
      </x:c>
      <x:c r="Q333" s="11" t="n">
        <x:v>0</x:v>
      </x:c>
      <x:c r="R333" s="8" t="n">
        <x:v>45375</x:v>
      </x:c>
      <x:c r="S333" s="4" t="str">
        <x:v>Retained</x:v>
      </x:c>
      <x:c r="T333" s="10" t="n">
        <x:v>0.204152</x:v>
      </x:c>
      <x:c r="U333" s="4" t="str">
        <x:v>Train</x:v>
      </x:c>
    </x:row>
    <x:row r="334" ht="34" customHeight="1">
      <x:c r="A334" s="4" t="str">
        <x:v>RS-00333</x:v>
      </x:c>
      <x:c r="B334" s="8" t="n">
        <x:v>45316</x:v>
      </x:c>
      <x:c r="C334" s="4" t="str">
        <x:v>PRJ-013</x:v>
      </x:c>
      <x:c r="D334" s="4" t="str">
        <x:v>Office</x:v>
      </x:c>
      <x:c r="E334" s="4" t="str">
        <x:v>Enquiry</x:v>
      </x:c>
      <x:c r="F334" s="4" t="str">
        <x:v>CUS-00333</x:v>
      </x:c>
      <x:c r="G334" s="4" t="str">
        <x:v>UNIT-00333</x:v>
      </x:c>
      <x:c r="H334" s="9" t="n">
        <x:v>20100000</x:v>
      </x:c>
      <x:c r="I334" s="10" t="n">
        <x:v>0.07</x:v>
      </x:c>
      <x:c r="J334" s="11" t="n">
        <x:v>11</x:v>
      </x:c>
      <x:c r="K334" s="11" t="n">
        <x:v>9</x:v>
      </x:c>
      <x:c r="L334" s="11" t="n">
        <x:v>0</x:v>
      </x:c>
      <x:c r="M334" s="9" t="n">
        <x:f>ROUND(H334*(1-I334),2)</x:f>
        <x:v>18693000</x:v>
      </x:c>
      <x:c r="N334" s="4" t="str">
        <x:v>Sales manager</x:v>
      </x:c>
      <x:c r="O334" s="4"/>
      <x:c r="P334" s="9" t="n">
        <x:v>0</x:v>
      </x:c>
      <x:c r="Q334" s="11" t="n">
        <x:v>1</x:v>
      </x:c>
      <x:c r="R334" s="8" t="n">
        <x:v>45376</x:v>
      </x:c>
      <x:c r="S334" s="4" t="str">
        <x:v>Lost / cancelled</x:v>
      </x:c>
      <x:c r="T334" s="10" t="n">
        <x:v>0.351536</x:v>
      </x:c>
      <x:c r="U334" s="4" t="str">
        <x:v>Train</x:v>
      </x:c>
    </x:row>
    <x:row r="335" ht="34" customHeight="1">
      <x:c r="A335" s="4" t="str">
        <x:v>RS-00334</x:v>
      </x:c>
      <x:c r="B335" s="8" t="n">
        <x:v>45317</x:v>
      </x:c>
      <x:c r="C335" s="4" t="str">
        <x:v>PRJ-014</x:v>
      </x:c>
      <x:c r="D335" s="4" t="str">
        <x:v>Office</x:v>
      </x:c>
      <x:c r="E335" s="4" t="str">
        <x:v>Cancelled</x:v>
      </x:c>
      <x:c r="F335" s="4" t="str">
        <x:v>CUS-00334</x:v>
      </x:c>
      <x:c r="G335" s="4" t="str">
        <x:v>UNIT-00334</x:v>
      </x:c>
      <x:c r="H335" s="9" t="n">
        <x:v>12900000</x:v>
      </x:c>
      <x:c r="I335" s="10" t="n">
        <x:v>0.06</x:v>
      </x:c>
      <x:c r="J335" s="11" t="n">
        <x:v>2</x:v>
      </x:c>
      <x:c r="K335" s="11" t="n">
        <x:v>5</x:v>
      </x:c>
      <x:c r="L335" s="11" t="n">
        <x:v>0</x:v>
      </x:c>
      <x:c r="M335" s="9" t="n">
        <x:f>ROUND(H335*(1-I335),2)</x:f>
        <x:v>12126000</x:v>
      </x:c>
      <x:c r="N335" s="4" t="str">
        <x:v>Sales manager</x:v>
      </x:c>
      <x:c r="O335" s="4"/>
      <x:c r="P335" s="9" t="n">
        <x:v>0</x:v>
      </x:c>
      <x:c r="Q335" s="11" t="n">
        <x:v>1</x:v>
      </x:c>
      <x:c r="R335" s="8" t="n">
        <x:v>45377</x:v>
      </x:c>
      <x:c r="S335" s="4" t="str">
        <x:v>Lost / cancelled</x:v>
      </x:c>
      <x:c r="T335" s="10" t="n">
        <x:v>0.204152</x:v>
      </x:c>
      <x:c r="U335" s="4" t="str">
        <x:v>Train</x:v>
      </x:c>
    </x:row>
    <x:row r="336" ht="34" customHeight="1">
      <x:c r="A336" s="4" t="str">
        <x:v>RS-00335</x:v>
      </x:c>
      <x:c r="B336" s="8" t="n">
        <x:v>45318</x:v>
      </x:c>
      <x:c r="C336" s="4" t="str">
        <x:v>PRJ-015</x:v>
      </x:c>
      <x:c r="D336" s="4" t="str">
        <x:v>Retail</x:v>
      </x:c>
      <x:c r="E336" s="4" t="str">
        <x:v>Handed over</x:v>
      </x:c>
      <x:c r="F336" s="4" t="str">
        <x:v>CUS-00335</x:v>
      </x:c>
      <x:c r="G336" s="4" t="str">
        <x:v>UNIT-00335</x:v>
      </x:c>
      <x:c r="H336" s="9" t="n">
        <x:v>10000000</x:v>
      </x:c>
      <x:c r="I336" s="10" t="n">
        <x:v>0.02</x:v>
      </x:c>
      <x:c r="J336" s="11" t="n">
        <x:v>2</x:v>
      </x:c>
      <x:c r="K336" s="11" t="n">
        <x:v>5</x:v>
      </x:c>
      <x:c r="L336" s="11" t="n">
        <x:v>1</x:v>
      </x:c>
      <x:c r="M336" s="9" t="n">
        <x:f>ROUND(H336*(1-I336),2)</x:f>
        <x:v>9800000</x:v>
      </x:c>
      <x:c r="N336" s="4" t="str">
        <x:v>Sales manager</x:v>
      </x:c>
      <x:c r="O336" s="4" t="str">
        <x:v>BOOK-00335</x:v>
      </x:c>
      <x:c r="P336" s="9" t="n">
        <x:v>980000</x:v>
      </x:c>
      <x:c r="Q336" s="11" t="n">
        <x:v>0</x:v>
      </x:c>
      <x:c r="R336" s="8" t="n">
        <x:v>45378</x:v>
      </x:c>
      <x:c r="S336" s="4" t="str">
        <x:v>Retained</x:v>
      </x:c>
      <x:c r="T336" s="10" t="n">
        <x:v>0.171717</x:v>
      </x:c>
      <x:c r="U336" s="4" t="str">
        <x:v>Train</x:v>
      </x:c>
    </x:row>
    <x:row r="337" ht="34" customHeight="1">
      <x:c r="A337" s="4" t="str">
        <x:v>RS-00336</x:v>
      </x:c>
      <x:c r="B337" s="8" t="n">
        <x:v>45319</x:v>
      </x:c>
      <x:c r="C337" s="4" t="str">
        <x:v>PRJ-016</x:v>
      </x:c>
      <x:c r="D337" s="4" t="str">
        <x:v>Retail</x:v>
      </x:c>
      <x:c r="E337" s="4" t="str">
        <x:v>Booked</x:v>
      </x:c>
      <x:c r="F337" s="4" t="str">
        <x:v>CUS-00336</x:v>
      </x:c>
      <x:c r="G337" s="4" t="str">
        <x:v>UNIT-00336</x:v>
      </x:c>
      <x:c r="H337" s="9" t="n">
        <x:v>13400000</x:v>
      </x:c>
      <x:c r="I337" s="10" t="n">
        <x:v>0.05</x:v>
      </x:c>
      <x:c r="J337" s="11" t="n">
        <x:v>8</x:v>
      </x:c>
      <x:c r="K337" s="11" t="n">
        <x:v>4</x:v>
      </x:c>
      <x:c r="L337" s="11" t="n">
        <x:v>0</x:v>
      </x:c>
      <x:c r="M337" s="9" t="n">
        <x:f>ROUND(H337*(1-I337),2)</x:f>
        <x:v>12730000</x:v>
      </x:c>
      <x:c r="N337" s="4" t="str">
        <x:v>Sales manager</x:v>
      </x:c>
      <x:c r="O337" s="4" t="str">
        <x:v>BOOK-00336</x:v>
      </x:c>
      <x:c r="P337" s="9" t="n">
        <x:v>1273000</x:v>
      </x:c>
      <x:c r="Q337" s="11" t="n">
        <x:v>0</x:v>
      </x:c>
      <x:c r="R337" s="8" t="n">
        <x:v>45379</x:v>
      </x:c>
      <x:c r="S337" s="4" t="str">
        <x:v>Retained</x:v>
      </x:c>
      <x:c r="T337" s="10" t="n">
        <x:v>0.310195</x:v>
      </x:c>
      <x:c r="U337" s="4" t="str">
        <x:v>Train</x:v>
      </x:c>
    </x:row>
    <x:row r="338" ht="34" customHeight="1">
      <x:c r="A338" s="4" t="str">
        <x:v>RS-00337</x:v>
      </x:c>
      <x:c r="B338" s="8" t="n">
        <x:v>45292</x:v>
      </x:c>
      <x:c r="C338" s="4" t="str">
        <x:v>PRJ-017</x:v>
      </x:c>
      <x:c r="D338" s="4" t="str">
        <x:v>Office</x:v>
      </x:c>
      <x:c r="E338" s="4" t="str">
        <x:v>Reserved</x:v>
      </x:c>
      <x:c r="F338" s="4" t="str">
        <x:v>CUS-00337</x:v>
      </x:c>
      <x:c r="G338" s="4" t="str">
        <x:v>UNIT-00337</x:v>
      </x:c>
      <x:c r="H338" s="9" t="n">
        <x:v>14800000</x:v>
      </x:c>
      <x:c r="I338" s="10" t="n">
        <x:v>0.07</x:v>
      </x:c>
      <x:c r="J338" s="11" t="n">
        <x:v>10</x:v>
      </x:c>
      <x:c r="K338" s="11" t="n">
        <x:v>4</x:v>
      </x:c>
      <x:c r="L338" s="11" t="n">
        <x:v>1</x:v>
      </x:c>
      <x:c r="M338" s="9" t="n">
        <x:f>ROUND(H338*(1-I338),2)</x:f>
        <x:v>13764000</x:v>
      </x:c>
      <x:c r="N338" s="4" t="str">
        <x:v>Sales manager</x:v>
      </x:c>
      <x:c r="O338" s="4"/>
      <x:c r="P338" s="9" t="n">
        <x:v>0</x:v>
      </x:c>
      <x:c r="Q338" s="11" t="n">
        <x:v>0</x:v>
      </x:c>
      <x:c r="R338" s="8" t="n">
        <x:v>45352</x:v>
      </x:c>
      <x:c r="S338" s="4" t="str">
        <x:v>Retained</x:v>
      </x:c>
      <x:c r="T338" s="10" t="n">
        <x:v>0.310195</x:v>
      </x:c>
      <x:c r="U338" s="4" t="str">
        <x:v>Train</x:v>
      </x:c>
    </x:row>
    <x:row r="339" ht="34" customHeight="1">
      <x:c r="A339" s="4" t="str">
        <x:v>RS-00338</x:v>
      </x:c>
      <x:c r="B339" s="8" t="n">
        <x:v>45293</x:v>
      </x:c>
      <x:c r="C339" s="4" t="str">
        <x:v>PRJ-018</x:v>
      </x:c>
      <x:c r="D339" s="4" t="str">
        <x:v>Office</x:v>
      </x:c>
      <x:c r="E339" s="4" t="str">
        <x:v>Enquiry</x:v>
      </x:c>
      <x:c r="F339" s="4" t="str">
        <x:v>CUS-00338</x:v>
      </x:c>
      <x:c r="G339" s="4" t="str">
        <x:v>UNIT-00338</x:v>
      </x:c>
      <x:c r="H339" s="9" t="n">
        <x:v>23600000</x:v>
      </x:c>
      <x:c r="I339" s="10" t="n">
        <x:v>0.05</x:v>
      </x:c>
      <x:c r="J339" s="11" t="n">
        <x:v>10</x:v>
      </x:c>
      <x:c r="K339" s="11" t="n">
        <x:v>10</x:v>
      </x:c>
      <x:c r="L339" s="11" t="n">
        <x:v>1</x:v>
      </x:c>
      <x:c r="M339" s="9" t="n">
        <x:f>ROUND(H339*(1-I339),2)</x:f>
        <x:v>22420000</x:v>
      </x:c>
      <x:c r="N339" s="4" t="str">
        <x:v>Sales manager</x:v>
      </x:c>
      <x:c r="O339" s="4"/>
      <x:c r="P339" s="9" t="n">
        <x:v>0</x:v>
      </x:c>
      <x:c r="Q339" s="11" t="n">
        <x:v>0</x:v>
      </x:c>
      <x:c r="R339" s="8" t="n">
        <x:v>45353</x:v>
      </x:c>
      <x:c r="S339" s="4" t="str">
        <x:v>Retained</x:v>
      </x:c>
      <x:c r="T339" s="10" t="n">
        <x:v>0.310195</x:v>
      </x:c>
      <x:c r="U339" s="4" t="str">
        <x:v>Train</x:v>
      </x:c>
    </x:row>
    <x:row r="340" ht="34" customHeight="1">
      <x:c r="A340" s="4" t="str">
        <x:v>RS-00339</x:v>
      </x:c>
      <x:c r="B340" s="8" t="n">
        <x:v>45294</x:v>
      </x:c>
      <x:c r="C340" s="4" t="str">
        <x:v>PRJ-019</x:v>
      </x:c>
      <x:c r="D340" s="4" t="str">
        <x:v>Office</x:v>
      </x:c>
      <x:c r="E340" s="4" t="str">
        <x:v>Handed over</x:v>
      </x:c>
      <x:c r="F340" s="4" t="str">
        <x:v>CUS-00339</x:v>
      </x:c>
      <x:c r="G340" s="4" t="str">
        <x:v>UNIT-00339</x:v>
      </x:c>
      <x:c r="H340" s="9" t="n">
        <x:v>14900000</x:v>
      </x:c>
      <x:c r="I340" s="10" t="n">
        <x:v>0.11</x:v>
      </x:c>
      <x:c r="J340" s="11" t="n">
        <x:v>4</x:v>
      </x:c>
      <x:c r="K340" s="11" t="n">
        <x:v>0</x:v>
      </x:c>
      <x:c r="L340" s="11" t="n">
        <x:v>0</x:v>
      </x:c>
      <x:c r="M340" s="9" t="n">
        <x:f>ROUND(H340*(1-I340),2)</x:f>
        <x:v>13261000</x:v>
      </x:c>
      <x:c r="N340" s="4" t="str">
        <x:v>Sales head</x:v>
      </x:c>
      <x:c r="O340" s="4" t="str">
        <x:v>BOOK-00339</x:v>
      </x:c>
      <x:c r="P340" s="9" t="n">
        <x:v>6630500</x:v>
      </x:c>
      <x:c r="Q340" s="11" t="n">
        <x:v>0</x:v>
      </x:c>
      <x:c r="R340" s="8" t="n">
        <x:v>45354</x:v>
      </x:c>
      <x:c r="S340" s="4" t="str">
        <x:v>Retained</x:v>
      </x:c>
      <x:c r="T340" s="10" t="n">
        <x:v>0.226277</x:v>
      </x:c>
      <x:c r="U340" s="4" t="str">
        <x:v>Train</x:v>
      </x:c>
    </x:row>
    <x:row r="341" ht="34" customHeight="1">
      <x:c r="A341" s="4" t="str">
        <x:v>RS-00340</x:v>
      </x:c>
      <x:c r="B341" s="8" t="n">
        <x:v>45295</x:v>
      </x:c>
      <x:c r="C341" s="4" t="str">
        <x:v>PRJ-020</x:v>
      </x:c>
      <x:c r="D341" s="4" t="str">
        <x:v>Apartment</x:v>
      </x:c>
      <x:c r="E341" s="4" t="str">
        <x:v>Booked</x:v>
      </x:c>
      <x:c r="F341" s="4" t="str">
        <x:v>CUS-00340</x:v>
      </x:c>
      <x:c r="G341" s="4" t="str">
        <x:v>UNIT-00340</x:v>
      </x:c>
      <x:c r="H341" s="9" t="n">
        <x:v>22200000</x:v>
      </x:c>
      <x:c r="I341" s="10" t="n">
        <x:v>0.1</x:v>
      </x:c>
      <x:c r="J341" s="11" t="n">
        <x:v>11</x:v>
      </x:c>
      <x:c r="K341" s="11" t="n">
        <x:v>5</x:v>
      </x:c>
      <x:c r="L341" s="11" t="n">
        <x:v>0</x:v>
      </x:c>
      <x:c r="M341" s="9" t="n">
        <x:f>ROUND(H341*(1-I341),2)</x:f>
        <x:v>19980000</x:v>
      </x:c>
      <x:c r="N341" s="4" t="str">
        <x:v>Sales head</x:v>
      </x:c>
      <x:c r="O341" s="4" t="str">
        <x:v>BOOK-00340</x:v>
      </x:c>
      <x:c r="P341" s="9" t="n">
        <x:v>4995000</x:v>
      </x:c>
      <x:c r="Q341" s="11" t="n">
        <x:v>0</x:v>
      </x:c>
      <x:c r="R341" s="8" t="n">
        <x:v>45355</x:v>
      </x:c>
      <x:c r="S341" s="4" t="str">
        <x:v>Retained</x:v>
      </x:c>
      <x:c r="T341" s="10" t="n">
        <x:v>0.351536</x:v>
      </x:c>
      <x:c r="U341" s="4" t="str">
        <x:v>Train</x:v>
      </x:c>
    </x:row>
    <x:row r="342" ht="34" customHeight="1">
      <x:c r="A342" s="4" t="str">
        <x:v>RS-00341</x:v>
      </x:c>
      <x:c r="B342" s="8" t="n">
        <x:v>45296</x:v>
      </x:c>
      <x:c r="C342" s="4" t="str">
        <x:v>PRJ-001</x:v>
      </x:c>
      <x:c r="D342" s="4" t="str">
        <x:v>Office</x:v>
      </x:c>
      <x:c r="E342" s="4" t="str">
        <x:v>Cancelled</x:v>
      </x:c>
      <x:c r="F342" s="4" t="str">
        <x:v>CUS-00341</x:v>
      </x:c>
      <x:c r="G342" s="4" t="str">
        <x:v>UNIT-00341</x:v>
      </x:c>
      <x:c r="H342" s="9" t="n">
        <x:v>14900000</x:v>
      </x:c>
      <x:c r="I342" s="10" t="n">
        <x:v>0.08</x:v>
      </x:c>
      <x:c r="J342" s="11" t="n">
        <x:v>2</x:v>
      </x:c>
      <x:c r="K342" s="11" t="n">
        <x:v>4</x:v>
      </x:c>
      <x:c r="L342" s="11" t="n">
        <x:v>0</x:v>
      </x:c>
      <x:c r="M342" s="9" t="n">
        <x:f>ROUND(H342*(1-I342),2)</x:f>
        <x:v>13708000</x:v>
      </x:c>
      <x:c r="N342" s="4" t="str">
        <x:v>Sales head</x:v>
      </x:c>
      <x:c r="O342" s="4"/>
      <x:c r="P342" s="9" t="n">
        <x:v>0</x:v>
      </x:c>
      <x:c r="Q342" s="11" t="n">
        <x:v>1</x:v>
      </x:c>
      <x:c r="R342" s="8" t="n">
        <x:v>45356</x:v>
      </x:c>
      <x:c r="S342" s="4" t="str">
        <x:v>Lost / cancelled</x:v>
      </x:c>
      <x:c r="T342" s="10" t="n">
        <x:v>0.204152</x:v>
      </x:c>
      <x:c r="U342" s="4" t="str">
        <x:v>Train</x:v>
      </x:c>
    </x:row>
    <x:row r="343" ht="34" customHeight="1">
      <x:c r="A343" s="4" t="str">
        <x:v>RS-00342</x:v>
      </x:c>
      <x:c r="B343" s="8" t="n">
        <x:v>45297</x:v>
      </x:c>
      <x:c r="C343" s="4" t="str">
        <x:v>PRJ-002</x:v>
      </x:c>
      <x:c r="D343" s="4" t="str">
        <x:v>Office</x:v>
      </x:c>
      <x:c r="E343" s="4" t="str">
        <x:v>Agreement signed</x:v>
      </x:c>
      <x:c r="F343" s="4" t="str">
        <x:v>CUS-00342</x:v>
      </x:c>
      <x:c r="G343" s="4" t="str">
        <x:v>UNIT-00342</x:v>
      </x:c>
      <x:c r="H343" s="9" t="n">
        <x:v>20700000</x:v>
      </x:c>
      <x:c r="I343" s="10" t="n">
        <x:v>0.1</x:v>
      </x:c>
      <x:c r="J343" s="11" t="n">
        <x:v>11</x:v>
      </x:c>
      <x:c r="K343" s="11" t="n">
        <x:v>3</x:v>
      </x:c>
      <x:c r="L343" s="11" t="n">
        <x:v>0</x:v>
      </x:c>
      <x:c r="M343" s="9" t="n">
        <x:f>ROUND(H343*(1-I343),2)</x:f>
        <x:v>18630000</x:v>
      </x:c>
      <x:c r="N343" s="4" t="str">
        <x:v>Sales head</x:v>
      </x:c>
      <x:c r="O343" s="4" t="str">
        <x:v>BOOK-00342</x:v>
      </x:c>
      <x:c r="P343" s="9" t="n">
        <x:v>4657500</x:v>
      </x:c>
      <x:c r="Q343" s="11" t="n">
        <x:v>0</x:v>
      </x:c>
      <x:c r="R343" s="8" t="n">
        <x:v>45357</x:v>
      </x:c>
      <x:c r="S343" s="4" t="str">
        <x:v>Retained</x:v>
      </x:c>
      <x:c r="T343" s="10" t="n">
        <x:v>0.351536</x:v>
      </x:c>
      <x:c r="U343" s="4" t="str">
        <x:v>Train</x:v>
      </x:c>
    </x:row>
    <x:row r="344" ht="34" customHeight="1">
      <x:c r="A344" s="4" t="str">
        <x:v>RS-00343</x:v>
      </x:c>
      <x:c r="B344" s="8" t="n">
        <x:v>45298</x:v>
      </x:c>
      <x:c r="C344" s="4" t="str">
        <x:v>PRJ-003</x:v>
      </x:c>
      <x:c r="D344" s="4" t="str">
        <x:v>Apartment</x:v>
      </x:c>
      <x:c r="E344" s="4" t="str">
        <x:v>Agreement signed</x:v>
      </x:c>
      <x:c r="F344" s="4" t="str">
        <x:v>CUS-00343</x:v>
      </x:c>
      <x:c r="G344" s="4" t="str">
        <x:v>UNIT-00343</x:v>
      </x:c>
      <x:c r="H344" s="9" t="n">
        <x:v>23100000</x:v>
      </x:c>
      <x:c r="I344" s="10" t="n">
        <x:v>0.01</x:v>
      </x:c>
      <x:c r="J344" s="11" t="n">
        <x:v>8</x:v>
      </x:c>
      <x:c r="K344" s="11" t="n">
        <x:v>6</x:v>
      </x:c>
      <x:c r="L344" s="11" t="n">
        <x:v>1</x:v>
      </x:c>
      <x:c r="M344" s="9" t="n">
        <x:f>ROUND(H344*(1-I344),2)</x:f>
        <x:v>22869000</x:v>
      </x:c>
      <x:c r="N344" s="4" t="str">
        <x:v>Sales manager</x:v>
      </x:c>
      <x:c r="O344" s="4" t="str">
        <x:v>BOOK-00343</x:v>
      </x:c>
      <x:c r="P344" s="9" t="n">
        <x:v>2286900</x:v>
      </x:c>
      <x:c r="Q344" s="11" t="n">
        <x:v>0</x:v>
      </x:c>
      <x:c r="R344" s="8" t="n">
        <x:v>45358</x:v>
      </x:c>
      <x:c r="S344" s="4" t="str">
        <x:v>Retained</x:v>
      </x:c>
      <x:c r="T344" s="10" t="n">
        <x:v>0.254545</x:v>
      </x:c>
      <x:c r="U344" s="4" t="str">
        <x:v>Train</x:v>
      </x:c>
    </x:row>
    <x:row r="345" ht="34" customHeight="1">
      <x:c r="A345" s="4" t="str">
        <x:v>RS-00344</x:v>
      </x:c>
      <x:c r="B345" s="8" t="n">
        <x:v>45299</x:v>
      </x:c>
      <x:c r="C345" s="4" t="str">
        <x:v>PRJ-004</x:v>
      </x:c>
      <x:c r="D345" s="4" t="str">
        <x:v>Retail</x:v>
      </x:c>
      <x:c r="E345" s="4" t="str">
        <x:v>Reserved</x:v>
      </x:c>
      <x:c r="F345" s="4" t="str">
        <x:v>CUS-00344</x:v>
      </x:c>
      <x:c r="G345" s="4" t="str">
        <x:v>UNIT-00344</x:v>
      </x:c>
      <x:c r="H345" s="9" t="n">
        <x:v>3200000</x:v>
      </x:c>
      <x:c r="I345" s="10" t="n">
        <x:v>0.08</x:v>
      </x:c>
      <x:c r="J345" s="11" t="n">
        <x:v>2</x:v>
      </x:c>
      <x:c r="K345" s="11" t="n">
        <x:v>0</x:v>
      </x:c>
      <x:c r="L345" s="11" t="n">
        <x:v>1</x:v>
      </x:c>
      <x:c r="M345" s="9" t="n">
        <x:f>ROUND(H345*(1-I345),2)</x:f>
        <x:v>2944000</x:v>
      </x:c>
      <x:c r="N345" s="4" t="str">
        <x:v>Sales head</x:v>
      </x:c>
      <x:c r="O345" s="4"/>
      <x:c r="P345" s="9" t="n">
        <x:v>0</x:v>
      </x:c>
      <x:c r="Q345" s="11" t="n">
        <x:v>0</x:v>
      </x:c>
      <x:c r="R345" s="8" t="n">
        <x:v>45359</x:v>
      </x:c>
      <x:c r="S345" s="4" t="str">
        <x:v>Retained</x:v>
      </x:c>
      <x:c r="T345" s="10" t="n">
        <x:v>0.276923</x:v>
      </x:c>
      <x:c r="U345" s="4" t="str">
        <x:v>Train</x:v>
      </x:c>
    </x:row>
    <x:row r="346" ht="34" customHeight="1">
      <x:c r="A346" s="4" t="str">
        <x:v>RS-00345</x:v>
      </x:c>
      <x:c r="B346" s="8" t="n">
        <x:v>45300</x:v>
      </x:c>
      <x:c r="C346" s="4" t="str">
        <x:v>PRJ-005</x:v>
      </x:c>
      <x:c r="D346" s="4" t="str">
        <x:v>Apartment</x:v>
      </x:c>
      <x:c r="E346" s="4" t="str">
        <x:v>Booked</x:v>
      </x:c>
      <x:c r="F346" s="4" t="str">
        <x:v>CUS-00345</x:v>
      </x:c>
      <x:c r="G346" s="4" t="str">
        <x:v>UNIT-00345</x:v>
      </x:c>
      <x:c r="H346" s="9" t="n">
        <x:v>25000000</x:v>
      </x:c>
      <x:c r="I346" s="10" t="n">
        <x:v>0.1</x:v>
      </x:c>
      <x:c r="J346" s="11" t="n">
        <x:v>12</x:v>
      </x:c>
      <x:c r="K346" s="11" t="n">
        <x:v>6</x:v>
      </x:c>
      <x:c r="L346" s="11" t="n">
        <x:v>1</x:v>
      </x:c>
      <x:c r="M346" s="9" t="n">
        <x:f>ROUND(H346*(1-I346),2)</x:f>
        <x:v>22500000</x:v>
      </x:c>
      <x:c r="N346" s="4" t="str">
        <x:v>Sales head</x:v>
      </x:c>
      <x:c r="O346" s="4" t="str">
        <x:v>BOOK-00345</x:v>
      </x:c>
      <x:c r="P346" s="9" t="n">
        <x:v>22500000</x:v>
      </x:c>
      <x:c r="Q346" s="11" t="n">
        <x:v>0</x:v>
      </x:c>
      <x:c r="R346" s="8" t="n">
        <x:v>45360</x:v>
      </x:c>
      <x:c r="S346" s="4" t="str">
        <x:v>Retained</x:v>
      </x:c>
      <x:c r="T346" s="10" t="n">
        <x:v>0.351536</x:v>
      </x:c>
      <x:c r="U346" s="4" t="str">
        <x:v>Train</x:v>
      </x:c>
    </x:row>
    <x:row r="347" ht="34" customHeight="1">
      <x:c r="A347" s="4" t="str">
        <x:v>RS-00346</x:v>
      </x:c>
      <x:c r="B347" s="8" t="n">
        <x:v>45301</x:v>
      </x:c>
      <x:c r="C347" s="4" t="str">
        <x:v>PRJ-006</x:v>
      </x:c>
      <x:c r="D347" s="4" t="str">
        <x:v>Apartment</x:v>
      </x:c>
      <x:c r="E347" s="4" t="str">
        <x:v>Reserved</x:v>
      </x:c>
      <x:c r="F347" s="4" t="str">
        <x:v>CUS-00346</x:v>
      </x:c>
      <x:c r="G347" s="4" t="str">
        <x:v>UNIT-00346</x:v>
      </x:c>
      <x:c r="H347" s="9" t="n">
        <x:v>8600000</x:v>
      </x:c>
      <x:c r="I347" s="10" t="n">
        <x:v>0.03</x:v>
      </x:c>
      <x:c r="J347" s="11" t="n">
        <x:v>6</x:v>
      </x:c>
      <x:c r="K347" s="11" t="n">
        <x:v>7</x:v>
      </x:c>
      <x:c r="L347" s="11" t="n">
        <x:v>1</x:v>
      </x:c>
      <x:c r="M347" s="9" t="n">
        <x:f>ROUND(H347*(1-I347),2)</x:f>
        <x:v>8342000</x:v>
      </x:c>
      <x:c r="N347" s="4" t="str">
        <x:v>Sales manager</x:v>
      </x:c>
      <x:c r="O347" s="4"/>
      <x:c r="P347" s="9" t="n">
        <x:v>0</x:v>
      </x:c>
      <x:c r="Q347" s="11" t="n">
        <x:v>1</x:v>
      </x:c>
      <x:c r="R347" s="8" t="n">
        <x:v>45361</x:v>
      </x:c>
      <x:c r="S347" s="4" t="str">
        <x:v>Lost / cancelled</x:v>
      </x:c>
      <x:c r="T347" s="10" t="n">
        <x:v>0.145299</x:v>
      </x:c>
      <x:c r="U347" s="4" t="str">
        <x:v>Train</x:v>
      </x:c>
    </x:row>
    <x:row r="348" ht="34" customHeight="1">
      <x:c r="A348" s="4" t="str">
        <x:v>RS-00347</x:v>
      </x:c>
      <x:c r="B348" s="8" t="n">
        <x:v>45302</x:v>
      </x:c>
      <x:c r="C348" s="4" t="str">
        <x:v>PRJ-007</x:v>
      </x:c>
      <x:c r="D348" s="4" t="str">
        <x:v>Apartment</x:v>
      </x:c>
      <x:c r="E348" s="4" t="str">
        <x:v>Agreement signed</x:v>
      </x:c>
      <x:c r="F348" s="4" t="str">
        <x:v>CUS-00347</x:v>
      </x:c>
      <x:c r="G348" s="4" t="str">
        <x:v>UNIT-00347</x:v>
      </x:c>
      <x:c r="H348" s="9" t="n">
        <x:v>22300000</x:v>
      </x:c>
      <x:c r="I348" s="10" t="n">
        <x:v>0.07</x:v>
      </x:c>
      <x:c r="J348" s="11" t="n">
        <x:v>6</x:v>
      </x:c>
      <x:c r="K348" s="11" t="n">
        <x:v>10</x:v>
      </x:c>
      <x:c r="L348" s="11" t="n">
        <x:v>0</x:v>
      </x:c>
      <x:c r="M348" s="9" t="n">
        <x:f>ROUND(H348*(1-I348),2)</x:f>
        <x:v>20739000</x:v>
      </x:c>
      <x:c r="N348" s="4" t="str">
        <x:v>Sales manager</x:v>
      </x:c>
      <x:c r="O348" s="4" t="str">
        <x:v>BOOK-00347</x:v>
      </x:c>
      <x:c r="P348" s="9" t="n">
        <x:v>5184750</x:v>
      </x:c>
      <x:c r="Q348" s="11" t="n">
        <x:v>0</x:v>
      </x:c>
      <x:c r="R348" s="8" t="n">
        <x:v>45362</x:v>
      </x:c>
      <x:c r="S348" s="4" t="str">
        <x:v>Retained</x:v>
      </x:c>
      <x:c r="T348" s="10" t="n">
        <x:v>0.226277</x:v>
      </x:c>
      <x:c r="U348" s="4" t="str">
        <x:v>Train</x:v>
      </x:c>
    </x:row>
    <x:row r="349" ht="34" customHeight="1">
      <x:c r="A349" s="4" t="str">
        <x:v>RS-00348</x:v>
      </x:c>
      <x:c r="B349" s="8" t="n">
        <x:v>45303</x:v>
      </x:c>
      <x:c r="C349" s="4" t="str">
        <x:v>PRJ-008</x:v>
      </x:c>
      <x:c r="D349" s="4" t="str">
        <x:v>Apartment</x:v>
      </x:c>
      <x:c r="E349" s="4" t="str">
        <x:v>Handed over</x:v>
      </x:c>
      <x:c r="F349" s="4" t="str">
        <x:v>CUS-00348</x:v>
      </x:c>
      <x:c r="G349" s="4" t="str">
        <x:v>UNIT-00348</x:v>
      </x:c>
      <x:c r="H349" s="9" t="n">
        <x:v>23800000</x:v>
      </x:c>
      <x:c r="I349" s="10" t="n">
        <x:v>0.05</x:v>
      </x:c>
      <x:c r="J349" s="11" t="n">
        <x:v>4</x:v>
      </x:c>
      <x:c r="K349" s="11" t="n">
        <x:v>10</x:v>
      </x:c>
      <x:c r="L349" s="11" t="n">
        <x:v>1</x:v>
      </x:c>
      <x:c r="M349" s="9" t="n">
        <x:f>ROUND(H349*(1-I349),2)</x:f>
        <x:v>22610000</x:v>
      </x:c>
      <x:c r="N349" s="4" t="str">
        <x:v>Sales manager</x:v>
      </x:c>
      <x:c r="O349" s="4" t="str">
        <x:v>BOOK-00348</x:v>
      </x:c>
      <x:c r="P349" s="9" t="n">
        <x:v>5652500</x:v>
      </x:c>
      <x:c r="Q349" s="11" t="n">
        <x:v>0</x:v>
      </x:c>
      <x:c r="R349" s="8" t="n">
        <x:v>45363</x:v>
      </x:c>
      <x:c r="S349" s="4" t="str">
        <x:v>Retained</x:v>
      </x:c>
      <x:c r="T349" s="10" t="n">
        <x:v>0.291946</x:v>
      </x:c>
      <x:c r="U349" s="4" t="str">
        <x:v>Train</x:v>
      </x:c>
    </x:row>
    <x:row r="350" ht="34" customHeight="1">
      <x:c r="A350" s="4" t="str">
        <x:v>RS-00349</x:v>
      </x:c>
      <x:c r="B350" s="8" t="n">
        <x:v>45304</x:v>
      </x:c>
      <x:c r="C350" s="4" t="str">
        <x:v>PRJ-009</x:v>
      </x:c>
      <x:c r="D350" s="4" t="str">
        <x:v>Office</x:v>
      </x:c>
      <x:c r="E350" s="4" t="str">
        <x:v>Booked</x:v>
      </x:c>
      <x:c r="F350" s="4" t="str">
        <x:v>CUS-00349</x:v>
      </x:c>
      <x:c r="G350" s="4" t="str">
        <x:v>UNIT-00349</x:v>
      </x:c>
      <x:c r="H350" s="9" t="n">
        <x:v>10200000</x:v>
      </x:c>
      <x:c r="I350" s="10" t="n">
        <x:v>0.11</x:v>
      </x:c>
      <x:c r="J350" s="11" t="n">
        <x:v>6</x:v>
      </x:c>
      <x:c r="K350" s="11" t="n">
        <x:v>4</x:v>
      </x:c>
      <x:c r="L350" s="11" t="n">
        <x:v>0</x:v>
      </x:c>
      <x:c r="M350" s="9" t="n">
        <x:f>ROUND(H350*(1-I350),2)</x:f>
        <x:v>9078000</x:v>
      </x:c>
      <x:c r="N350" s="4" t="str">
        <x:v>Sales head</x:v>
      </x:c>
      <x:c r="O350" s="4" t="str">
        <x:v>BOOK-00349</x:v>
      </x:c>
      <x:c r="P350" s="9" t="n">
        <x:v>907800</x:v>
      </x:c>
      <x:c r="Q350" s="11" t="n">
        <x:v>0</x:v>
      </x:c>
      <x:c r="R350" s="8" t="n">
        <x:v>45364</x:v>
      </x:c>
      <x:c r="S350" s="4" t="str">
        <x:v>Retained</x:v>
      </x:c>
      <x:c r="T350" s="10" t="n">
        <x:v>0.226277</x:v>
      </x:c>
      <x:c r="U350" s="4" t="str">
        <x:v>Train</x:v>
      </x:c>
    </x:row>
    <x:row r="351" ht="34" customHeight="1">
      <x:c r="A351" s="4" t="str">
        <x:v>RS-00350</x:v>
      </x:c>
      <x:c r="B351" s="8" t="n">
        <x:v>45305</x:v>
      </x:c>
      <x:c r="C351" s="4" t="str">
        <x:v>PRJ-010</x:v>
      </x:c>
      <x:c r="D351" s="4" t="str">
        <x:v>Apartment</x:v>
      </x:c>
      <x:c r="E351" s="4" t="str">
        <x:v>Handed over</x:v>
      </x:c>
      <x:c r="F351" s="4" t="str">
        <x:v>CUS-00350</x:v>
      </x:c>
      <x:c r="G351" s="4" t="str">
        <x:v>UNIT-00350</x:v>
      </x:c>
      <x:c r="H351" s="9" t="n">
        <x:v>12000000</x:v>
      </x:c>
      <x:c r="I351" s="10" t="n">
        <x:v>0.12</x:v>
      </x:c>
      <x:c r="J351" s="11" t="n">
        <x:v>3</x:v>
      </x:c>
      <x:c r="K351" s="11" t="n">
        <x:v>1</x:v>
      </x:c>
      <x:c r="L351" s="11" t="n">
        <x:v>0</x:v>
      </x:c>
      <x:c r="M351" s="9" t="n">
        <x:f>ROUND(H351*(1-I351),2)</x:f>
        <x:v>10560000</x:v>
      </x:c>
      <x:c r="N351" s="4" t="str">
        <x:v>Sales head</x:v>
      </x:c>
      <x:c r="O351" s="4" t="str">
        <x:v>BOOK-00350</x:v>
      </x:c>
      <x:c r="P351" s="9" t="n">
        <x:v>1056000</x:v>
      </x:c>
      <x:c r="Q351" s="11" t="n">
        <x:v>0</x:v>
      </x:c>
      <x:c r="R351" s="8" t="n">
        <x:v>45365</x:v>
      </x:c>
      <x:c r="S351" s="4" t="str">
        <x:v>Retained</x:v>
      </x:c>
      <x:c r="T351" s="10" t="n">
        <x:v>0.145833</x:v>
      </x:c>
      <x:c r="U351" s="4" t="str">
        <x:v>Train</x:v>
      </x:c>
    </x:row>
    <x:row r="352" ht="34" customHeight="1">
      <x:c r="A352" s="4" t="str">
        <x:v>RS-00351</x:v>
      </x:c>
      <x:c r="B352" s="8" t="n">
        <x:v>45306</x:v>
      </x:c>
      <x:c r="C352" s="4" t="str">
        <x:v>PRJ-011</x:v>
      </x:c>
      <x:c r="D352" s="4" t="str">
        <x:v>Villa</x:v>
      </x:c>
      <x:c r="E352" s="4" t="str">
        <x:v>Booked</x:v>
      </x:c>
      <x:c r="F352" s="4" t="str">
        <x:v>CUS-00351</x:v>
      </x:c>
      <x:c r="G352" s="4" t="str">
        <x:v>UNIT-00351</x:v>
      </x:c>
      <x:c r="H352" s="9" t="n">
        <x:v>10900000</x:v>
      </x:c>
      <x:c r="I352" s="10" t="n">
        <x:v>0.12</x:v>
      </x:c>
      <x:c r="J352" s="11" t="n">
        <x:v>9</x:v>
      </x:c>
      <x:c r="K352" s="11" t="n">
        <x:v>3</x:v>
      </x:c>
      <x:c r="L352" s="11" t="n">
        <x:v>1</x:v>
      </x:c>
      <x:c r="M352" s="9" t="n">
        <x:f>ROUND(H352*(1-I352),2)</x:f>
        <x:v>9592000</x:v>
      </x:c>
      <x:c r="N352" s="4" t="str">
        <x:v>Sales head</x:v>
      </x:c>
      <x:c r="O352" s="4" t="str">
        <x:v>BOOK-00351</x:v>
      </x:c>
      <x:c r="P352" s="9" t="n">
        <x:v>959200</x:v>
      </x:c>
      <x:c r="Q352" s="11" t="n">
        <x:v>0</x:v>
      </x:c>
      <x:c r="R352" s="8" t="n">
        <x:v>45366</x:v>
      </x:c>
      <x:c r="S352" s="4" t="str">
        <x:v>Retained</x:v>
      </x:c>
      <x:c r="T352" s="10" t="n">
        <x:v>0.310195</x:v>
      </x:c>
      <x:c r="U352" s="4" t="str">
        <x:v>Train</x:v>
      </x:c>
    </x:row>
    <x:row r="353" ht="34" customHeight="1">
      <x:c r="A353" s="4" t="str">
        <x:v>RS-00352</x:v>
      </x:c>
      <x:c r="B353" s="8" t="n">
        <x:v>45307</x:v>
      </x:c>
      <x:c r="C353" s="4" t="str">
        <x:v>PRJ-012</x:v>
      </x:c>
      <x:c r="D353" s="4" t="str">
        <x:v>Villa</x:v>
      </x:c>
      <x:c r="E353" s="4" t="str">
        <x:v>Agreement signed</x:v>
      </x:c>
      <x:c r="F353" s="4" t="str">
        <x:v>CUS-00352</x:v>
      </x:c>
      <x:c r="G353" s="4" t="str">
        <x:v>UNIT-00352</x:v>
      </x:c>
      <x:c r="H353" s="9" t="n">
        <x:v>3000000</x:v>
      </x:c>
      <x:c r="I353" s="10" t="n">
        <x:v>0.06</x:v>
      </x:c>
      <x:c r="J353" s="11" t="n">
        <x:v>7</x:v>
      </x:c>
      <x:c r="K353" s="11" t="n">
        <x:v>6</x:v>
      </x:c>
      <x:c r="L353" s="11" t="n">
        <x:v>0</x:v>
      </x:c>
      <x:c r="M353" s="9" t="n">
        <x:f>ROUND(H353*(1-I353),2)</x:f>
        <x:v>2820000</x:v>
      </x:c>
      <x:c r="N353" s="4" t="str">
        <x:v>Sales manager</x:v>
      </x:c>
      <x:c r="O353" s="4" t="str">
        <x:v>BOOK-00352</x:v>
      </x:c>
      <x:c r="P353" s="9" t="n">
        <x:v>282000</x:v>
      </x:c>
      <x:c r="Q353" s="11" t="n">
        <x:v>0</x:v>
      </x:c>
      <x:c r="R353" s="8" t="n">
        <x:v>45367</x:v>
      </x:c>
      <x:c r="S353" s="4" t="str">
        <x:v>Retained</x:v>
      </x:c>
      <x:c r="T353" s="10" t="n">
        <x:v>0.226277</x:v>
      </x:c>
      <x:c r="U353" s="4" t="str">
        <x:v>Train</x:v>
      </x:c>
    </x:row>
    <x:row r="354" ht="34" customHeight="1">
      <x:c r="A354" s="4" t="str">
        <x:v>RS-00353</x:v>
      </x:c>
      <x:c r="B354" s="8" t="n">
        <x:v>45308</x:v>
      </x:c>
      <x:c r="C354" s="4" t="str">
        <x:v>PRJ-013</x:v>
      </x:c>
      <x:c r="D354" s="4" t="str">
        <x:v>Office</x:v>
      </x:c>
      <x:c r="E354" s="4" t="str">
        <x:v>Enquiry</x:v>
      </x:c>
      <x:c r="F354" s="4" t="str">
        <x:v>CUS-00353</x:v>
      </x:c>
      <x:c r="G354" s="4" t="str">
        <x:v>UNIT-00353</x:v>
      </x:c>
      <x:c r="H354" s="9" t="n">
        <x:v>18400000</x:v>
      </x:c>
      <x:c r="I354" s="10" t="n">
        <x:v>0.04</x:v>
      </x:c>
      <x:c r="J354" s="11" t="n">
        <x:v>2</x:v>
      </x:c>
      <x:c r="K354" s="11" t="n">
        <x:v>8</x:v>
      </x:c>
      <x:c r="L354" s="11" t="n">
        <x:v>1</x:v>
      </x:c>
      <x:c r="M354" s="9" t="n">
        <x:f>ROUND(H354*(1-I354),2)</x:f>
        <x:v>17664000</x:v>
      </x:c>
      <x:c r="N354" s="4" t="str">
        <x:v>Sales manager</x:v>
      </x:c>
      <x:c r="O354" s="4"/>
      <x:c r="P354" s="9" t="n">
        <x:v>0</x:v>
      </x:c>
      <x:c r="Q354" s="11" t="n">
        <x:v>0</x:v>
      </x:c>
      <x:c r="R354" s="8" t="n">
        <x:v>45368</x:v>
      </x:c>
      <x:c r="S354" s="4" t="str">
        <x:v>Retained</x:v>
      </x:c>
      <x:c r="T354" s="10" t="n">
        <x:v>0.204152</x:v>
      </x:c>
      <x:c r="U354" s="4" t="str">
        <x:v>Train</x:v>
      </x:c>
    </x:row>
    <x:row r="355" ht="34" customHeight="1">
      <x:c r="A355" s="4" t="str">
        <x:v>RS-00354</x:v>
      </x:c>
      <x:c r="B355" s="8" t="n">
        <x:v>45309</x:v>
      </x:c>
      <x:c r="C355" s="4" t="str">
        <x:v>PRJ-014</x:v>
      </x:c>
      <x:c r="D355" s="4" t="str">
        <x:v>Apartment</x:v>
      </x:c>
      <x:c r="E355" s="4" t="str">
        <x:v>Cancelled</x:v>
      </x:c>
      <x:c r="F355" s="4" t="str">
        <x:v>CUS-00354</x:v>
      </x:c>
      <x:c r="G355" s="4" t="str">
        <x:v>UNIT-00354</x:v>
      </x:c>
      <x:c r="H355" s="9" t="n">
        <x:v>14700000</x:v>
      </x:c>
      <x:c r="I355" s="10" t="n">
        <x:v>0.05</x:v>
      </x:c>
      <x:c r="J355" s="11" t="n">
        <x:v>1</x:v>
      </x:c>
      <x:c r="K355" s="11" t="n">
        <x:v>4</x:v>
      </x:c>
      <x:c r="L355" s="11" t="n">
        <x:v>1</x:v>
      </x:c>
      <x:c r="M355" s="9" t="n">
        <x:f>ROUND(H355*(1-I355),2)</x:f>
        <x:v>13965000</x:v>
      </x:c>
      <x:c r="N355" s="4" t="str">
        <x:v>Sales manager</x:v>
      </x:c>
      <x:c r="O355" s="4"/>
      <x:c r="P355" s="9" t="n">
        <x:v>0</x:v>
      </x:c>
      <x:c r="Q355" s="11" t="n">
        <x:v>1</x:v>
      </x:c>
      <x:c r="R355" s="8" t="n">
        <x:v>45369</x:v>
      </x:c>
      <x:c r="S355" s="4" t="str">
        <x:v>Lost / cancelled</x:v>
      </x:c>
      <x:c r="T355" s="10" t="n">
        <x:v>0.204152</x:v>
      </x:c>
      <x:c r="U355" s="4" t="str">
        <x:v>Train</x:v>
      </x:c>
    </x:row>
    <x:row r="356" ht="34" customHeight="1">
      <x:c r="A356" s="4" t="str">
        <x:v>RS-00355</x:v>
      </x:c>
      <x:c r="B356" s="8" t="n">
        <x:v>45310</x:v>
      </x:c>
      <x:c r="C356" s="4" t="str">
        <x:v>PRJ-015</x:v>
      </x:c>
      <x:c r="D356" s="4" t="str">
        <x:v>Retail</x:v>
      </x:c>
      <x:c r="E356" s="4" t="str">
        <x:v>Agreement signed</x:v>
      </x:c>
      <x:c r="F356" s="4" t="str">
        <x:v>CUS-00355</x:v>
      </x:c>
      <x:c r="G356" s="4" t="str">
        <x:v>UNIT-00355</x:v>
      </x:c>
      <x:c r="H356" s="9" t="n">
        <x:v>22600000</x:v>
      </x:c>
      <x:c r="I356" s="10" t="n">
        <x:v>0</x:v>
      </x:c>
      <x:c r="J356" s="11" t="n">
        <x:v>6</x:v>
      </x:c>
      <x:c r="K356" s="11" t="n">
        <x:v>8</x:v>
      </x:c>
      <x:c r="L356" s="11" t="n">
        <x:v>0</x:v>
      </x:c>
      <x:c r="M356" s="9" t="n">
        <x:f>ROUND(H356*(1-I356),2)</x:f>
        <x:v>22600000</x:v>
      </x:c>
      <x:c r="N356" s="4" t="str">
        <x:v>Sales manager</x:v>
      </x:c>
      <x:c r="O356" s="4" t="str">
        <x:v>BOOK-00355</x:v>
      </x:c>
      <x:c r="P356" s="9" t="n">
        <x:v>22600000</x:v>
      </x:c>
      <x:c r="Q356" s="11" t="n">
        <x:v>0</x:v>
      </x:c>
      <x:c r="R356" s="8" t="n">
        <x:v>45370</x:v>
      </x:c>
      <x:c r="S356" s="4" t="str">
        <x:v>Retained</x:v>
      </x:c>
      <x:c r="T356" s="10" t="n">
        <x:v>0.145299</x:v>
      </x:c>
      <x:c r="U356" s="4" t="str">
        <x:v>Train</x:v>
      </x:c>
    </x:row>
    <x:row r="357" ht="34" customHeight="1">
      <x:c r="A357" s="4" t="str">
        <x:v>RS-00356</x:v>
      </x:c>
      <x:c r="B357" s="8" t="n">
        <x:v>45311</x:v>
      </x:c>
      <x:c r="C357" s="4" t="str">
        <x:v>PRJ-016</x:v>
      </x:c>
      <x:c r="D357" s="4" t="str">
        <x:v>Villa</x:v>
      </x:c>
      <x:c r="E357" s="4" t="str">
        <x:v>Cancelled</x:v>
      </x:c>
      <x:c r="F357" s="4" t="str">
        <x:v>CUS-00356</x:v>
      </x:c>
      <x:c r="G357" s="4" t="str">
        <x:v>UNIT-00356</x:v>
      </x:c>
      <x:c r="H357" s="9" t="n">
        <x:v>21400000</x:v>
      </x:c>
      <x:c r="I357" s="10" t="n">
        <x:v>0.04</x:v>
      </x:c>
      <x:c r="J357" s="11" t="n">
        <x:v>2</x:v>
      </x:c>
      <x:c r="K357" s="11" t="n">
        <x:v>5</x:v>
      </x:c>
      <x:c r="L357" s="11" t="n">
        <x:v>0</x:v>
      </x:c>
      <x:c r="M357" s="9" t="n">
        <x:f>ROUND(H357*(1-I357),2)</x:f>
        <x:v>20544000</x:v>
      </x:c>
      <x:c r="N357" s="4" t="str">
        <x:v>Sales manager</x:v>
      </x:c>
      <x:c r="O357" s="4"/>
      <x:c r="P357" s="9" t="n">
        <x:v>0</x:v>
      </x:c>
      <x:c r="Q357" s="11" t="n">
        <x:v>1</x:v>
      </x:c>
      <x:c r="R357" s="8" t="n">
        <x:v>45371</x:v>
      </x:c>
      <x:c r="S357" s="4" t="str">
        <x:v>Lost / cancelled</x:v>
      </x:c>
      <x:c r="T357" s="10" t="n">
        <x:v>0.204152</x:v>
      </x:c>
      <x:c r="U357" s="4" t="str">
        <x:v>Train</x:v>
      </x:c>
    </x:row>
    <x:row r="358" ht="34" customHeight="1">
      <x:c r="A358" s="4" t="str">
        <x:v>RS-00357</x:v>
      </x:c>
      <x:c r="B358" s="8" t="n">
        <x:v>45312</x:v>
      </x:c>
      <x:c r="C358" s="4" t="str">
        <x:v>PRJ-017</x:v>
      </x:c>
      <x:c r="D358" s="4" t="str">
        <x:v>Villa</x:v>
      </x:c>
      <x:c r="E358" s="4" t="str">
        <x:v>Cancelled</x:v>
      </x:c>
      <x:c r="F358" s="4" t="str">
        <x:v>CUS-00357</x:v>
      </x:c>
      <x:c r="G358" s="4" t="str">
        <x:v>UNIT-00357</x:v>
      </x:c>
      <x:c r="H358" s="9" t="n">
        <x:v>3800000</x:v>
      </x:c>
      <x:c r="I358" s="10" t="n">
        <x:v>0.03</x:v>
      </x:c>
      <x:c r="J358" s="11" t="n">
        <x:v>12</x:v>
      </x:c>
      <x:c r="K358" s="11" t="n">
        <x:v>1</x:v>
      </x:c>
      <x:c r="L358" s="11" t="n">
        <x:v>0</x:v>
      </x:c>
      <x:c r="M358" s="9" t="n">
        <x:f>ROUND(H358*(1-I358),2)</x:f>
        <x:v>3686000</x:v>
      </x:c>
      <x:c r="N358" s="4" t="str">
        <x:v>Sales manager</x:v>
      </x:c>
      <x:c r="O358" s="4"/>
      <x:c r="P358" s="9" t="n">
        <x:v>0</x:v>
      </x:c>
      <x:c r="Q358" s="11" t="n">
        <x:v>1</x:v>
      </x:c>
      <x:c r="R358" s="8" t="n">
        <x:v>45372</x:v>
      </x:c>
      <x:c r="S358" s="4" t="str">
        <x:v>Lost / cancelled</x:v>
      </x:c>
      <x:c r="T358" s="10" t="n">
        <x:v>0.351536</x:v>
      </x:c>
      <x:c r="U358" s="4" t="str">
        <x:v>Train</x:v>
      </x:c>
    </x:row>
    <x:row r="359" ht="34" customHeight="1">
      <x:c r="A359" s="4" t="str">
        <x:v>RS-00358</x:v>
      </x:c>
      <x:c r="B359" s="8" t="n">
        <x:v>45313</x:v>
      </x:c>
      <x:c r="C359" s="4" t="str">
        <x:v>PRJ-018</x:v>
      </x:c>
      <x:c r="D359" s="4" t="str">
        <x:v>Office</x:v>
      </x:c>
      <x:c r="E359" s="4" t="str">
        <x:v>Booked</x:v>
      </x:c>
      <x:c r="F359" s="4" t="str">
        <x:v>CUS-00358</x:v>
      </x:c>
      <x:c r="G359" s="4" t="str">
        <x:v>UNIT-00358</x:v>
      </x:c>
      <x:c r="H359" s="9" t="n">
        <x:v>20900000</x:v>
      </x:c>
      <x:c r="I359" s="10" t="n">
        <x:v>0.1</x:v>
      </x:c>
      <x:c r="J359" s="11" t="n">
        <x:v>8</x:v>
      </x:c>
      <x:c r="K359" s="11" t="n">
        <x:v>2</x:v>
      </x:c>
      <x:c r="L359" s="11" t="n">
        <x:v>0</x:v>
      </x:c>
      <x:c r="M359" s="9" t="n">
        <x:f>ROUND(H359*(1-I359),2)</x:f>
        <x:v>18810000</x:v>
      </x:c>
      <x:c r="N359" s="4" t="str">
        <x:v>Sales head</x:v>
      </x:c>
      <x:c r="O359" s="4" t="str">
        <x:v>BOOK-00358</x:v>
      </x:c>
      <x:c r="P359" s="9" t="n">
        <x:v>9405000</x:v>
      </x:c>
      <x:c r="Q359" s="11" t="n">
        <x:v>0</x:v>
      </x:c>
      <x:c r="R359" s="8" t="n">
        <x:v>45373</x:v>
      </x:c>
      <x:c r="S359" s="4" t="str">
        <x:v>Retained</x:v>
      </x:c>
      <x:c r="T359" s="10" t="n">
        <x:v>0.310195</x:v>
      </x:c>
      <x:c r="U359" s="4" t="str">
        <x:v>Train</x:v>
      </x:c>
    </x:row>
    <x:row r="360" ht="34" customHeight="1">
      <x:c r="A360" s="4" t="str">
        <x:v>RS-00359</x:v>
      </x:c>
      <x:c r="B360" s="8" t="n">
        <x:v>45314</x:v>
      </x:c>
      <x:c r="C360" s="4" t="str">
        <x:v>PRJ-019</x:v>
      </x:c>
      <x:c r="D360" s="4" t="str">
        <x:v>Office</x:v>
      </x:c>
      <x:c r="E360" s="4" t="str">
        <x:v>Reserved</x:v>
      </x:c>
      <x:c r="F360" s="4" t="str">
        <x:v>CUS-00359</x:v>
      </x:c>
      <x:c r="G360" s="4" t="str">
        <x:v>UNIT-00359</x:v>
      </x:c>
      <x:c r="H360" s="9" t="n">
        <x:v>5200000</x:v>
      </x:c>
      <x:c r="I360" s="10" t="n">
        <x:v>0.12</x:v>
      </x:c>
      <x:c r="J360" s="11" t="n">
        <x:v>8</x:v>
      </x:c>
      <x:c r="K360" s="11" t="n">
        <x:v>4</x:v>
      </x:c>
      <x:c r="L360" s="11" t="n">
        <x:v>0</x:v>
      </x:c>
      <x:c r="M360" s="9" t="n">
        <x:f>ROUND(H360*(1-I360),2)</x:f>
        <x:v>4576000</x:v>
      </x:c>
      <x:c r="N360" s="4" t="str">
        <x:v>Sales head</x:v>
      </x:c>
      <x:c r="O360" s="4"/>
      <x:c r="P360" s="9" t="n">
        <x:v>0</x:v>
      </x:c>
      <x:c r="Q360" s="11" t="n">
        <x:v>1</x:v>
      </x:c>
      <x:c r="R360" s="8" t="n">
        <x:v>45374</x:v>
      </x:c>
      <x:c r="S360" s="4" t="str">
        <x:v>Lost / cancelled</x:v>
      </x:c>
      <x:c r="T360" s="10" t="n">
        <x:v>0.310195</x:v>
      </x:c>
      <x:c r="U360" s="4" t="str">
        <x:v>Train</x:v>
      </x:c>
    </x:row>
    <x:row r="361" ht="34" customHeight="1">
      <x:c r="A361" s="4" t="str">
        <x:v>RS-00360</x:v>
      </x:c>
      <x:c r="B361" s="8" t="n">
        <x:v>45315</x:v>
      </x:c>
      <x:c r="C361" s="4" t="str">
        <x:v>PRJ-020</x:v>
      </x:c>
      <x:c r="D361" s="4" t="str">
        <x:v>Office</x:v>
      </x:c>
      <x:c r="E361" s="4" t="str">
        <x:v>Booked</x:v>
      </x:c>
      <x:c r="F361" s="4" t="str">
        <x:v>CUS-00360</x:v>
      </x:c>
      <x:c r="G361" s="4" t="str">
        <x:v>UNIT-00360</x:v>
      </x:c>
      <x:c r="H361" s="9" t="n">
        <x:v>18700000</x:v>
      </x:c>
      <x:c r="I361" s="10" t="n">
        <x:v>0.1</x:v>
      </x:c>
      <x:c r="J361" s="11" t="n">
        <x:v>10</x:v>
      </x:c>
      <x:c r="K361" s="11" t="n">
        <x:v>0</x:v>
      </x:c>
      <x:c r="L361" s="11" t="n">
        <x:v>1</x:v>
      </x:c>
      <x:c r="M361" s="9" t="n">
        <x:f>ROUND(H361*(1-I361),2)</x:f>
        <x:v>16830000</x:v>
      </x:c>
      <x:c r="N361" s="4" t="str">
        <x:v>Sales head</x:v>
      </x:c>
      <x:c r="O361" s="4" t="str">
        <x:v>BOOK-00360</x:v>
      </x:c>
      <x:c r="P361" s="9" t="n">
        <x:v>16830000</x:v>
      </x:c>
      <x:c r="Q361" s="11" t="n">
        <x:v>0</x:v>
      </x:c>
      <x:c r="R361" s="8" t="n">
        <x:v>45375</x:v>
      </x:c>
      <x:c r="S361" s="4" t="str">
        <x:v>Retained</x:v>
      </x:c>
      <x:c r="T361" s="10" t="n">
        <x:v>0.310195</x:v>
      </x:c>
      <x:c r="U361" s="4" t="str">
        <x:v>Train</x:v>
      </x:c>
    </x:row>
    <x:row r="362" ht="34" customHeight="1">
      <x:c r="A362" s="4" t="str">
        <x:v>RS-00361</x:v>
      </x:c>
      <x:c r="B362" s="8" t="n">
        <x:v>45316</x:v>
      </x:c>
      <x:c r="C362" s="4" t="str">
        <x:v>PRJ-001</x:v>
      </x:c>
      <x:c r="D362" s="4" t="str">
        <x:v>Retail</x:v>
      </x:c>
      <x:c r="E362" s="4" t="str">
        <x:v>Reserved</x:v>
      </x:c>
      <x:c r="F362" s="4" t="str">
        <x:v>CUS-00361</x:v>
      </x:c>
      <x:c r="G362" s="4" t="str">
        <x:v>UNIT-00361</x:v>
      </x:c>
      <x:c r="H362" s="9" t="n">
        <x:v>22700000</x:v>
      </x:c>
      <x:c r="I362" s="10" t="n">
        <x:v>0.02</x:v>
      </x:c>
      <x:c r="J362" s="11" t="n">
        <x:v>12</x:v>
      </x:c>
      <x:c r="K362" s="11" t="n">
        <x:v>3</x:v>
      </x:c>
      <x:c r="L362" s="11" t="n">
        <x:v>0</x:v>
      </x:c>
      <x:c r="M362" s="9" t="n">
        <x:f>ROUND(H362*(1-I362),2)</x:f>
        <x:v>22246000</x:v>
      </x:c>
      <x:c r="N362" s="4" t="str">
        <x:v>Sales manager</x:v>
      </x:c>
      <x:c r="O362" s="4"/>
      <x:c r="P362" s="9" t="n">
        <x:v>0</x:v>
      </x:c>
      <x:c r="Q362" s="11" t="n">
        <x:v>1</x:v>
      </x:c>
      <x:c r="R362" s="8" t="n">
        <x:v>45376</x:v>
      </x:c>
      <x:c r="S362" s="4" t="str">
        <x:v>Lost / cancelled</x:v>
      </x:c>
      <x:c r="T362" s="10" t="n">
        <x:v>0.305556</x:v>
      </x:c>
      <x:c r="U362" s="4" t="str">
        <x:v>Train</x:v>
      </x:c>
    </x:row>
    <x:row r="363" ht="34" customHeight="1">
      <x:c r="A363" s="4" t="str">
        <x:v>RS-00362</x:v>
      </x:c>
      <x:c r="B363" s="8" t="n">
        <x:v>45317</x:v>
      </x:c>
      <x:c r="C363" s="4" t="str">
        <x:v>PRJ-002</x:v>
      </x:c>
      <x:c r="D363" s="4" t="str">
        <x:v>Retail</x:v>
      </x:c>
      <x:c r="E363" s="4" t="str">
        <x:v>Agreement signed</x:v>
      </x:c>
      <x:c r="F363" s="4" t="str">
        <x:v>CUS-00362</x:v>
      </x:c>
      <x:c r="G363" s="4" t="str">
        <x:v>UNIT-00362</x:v>
      </x:c>
      <x:c r="H363" s="9" t="n">
        <x:v>16100000</x:v>
      </x:c>
      <x:c r="I363" s="10" t="n">
        <x:v>0.11</x:v>
      </x:c>
      <x:c r="J363" s="11" t="n">
        <x:v>12</x:v>
      </x:c>
      <x:c r="K363" s="11" t="n">
        <x:v>0</x:v>
      </x:c>
      <x:c r="L363" s="11" t="n">
        <x:v>0</x:v>
      </x:c>
      <x:c r="M363" s="9" t="n">
        <x:f>ROUND(H363*(1-I363),2)</x:f>
        <x:v>14329000</x:v>
      </x:c>
      <x:c r="N363" s="4" t="str">
        <x:v>Sales head</x:v>
      </x:c>
      <x:c r="O363" s="4" t="str">
        <x:v>BOOK-00362</x:v>
      </x:c>
      <x:c r="P363" s="9" t="n">
        <x:v>1432900</x:v>
      </x:c>
      <x:c r="Q363" s="11" t="n">
        <x:v>0</x:v>
      </x:c>
      <x:c r="R363" s="8" t="n">
        <x:v>45377</x:v>
      </x:c>
      <x:c r="S363" s="4" t="str">
        <x:v>Retained</x:v>
      </x:c>
      <x:c r="T363" s="10" t="n">
        <x:v>0.351536</x:v>
      </x:c>
      <x:c r="U363" s="4" t="str">
        <x:v>Train</x:v>
      </x:c>
    </x:row>
    <x:row r="364" ht="34" customHeight="1">
      <x:c r="A364" s="4" t="str">
        <x:v>RS-00363</x:v>
      </x:c>
      <x:c r="B364" s="8" t="n">
        <x:v>45318</x:v>
      </x:c>
      <x:c r="C364" s="4" t="str">
        <x:v>PRJ-003</x:v>
      </x:c>
      <x:c r="D364" s="4" t="str">
        <x:v>Villa</x:v>
      </x:c>
      <x:c r="E364" s="4" t="str">
        <x:v>Enquiry</x:v>
      </x:c>
      <x:c r="F364" s="4" t="str">
        <x:v>CUS-00363</x:v>
      </x:c>
      <x:c r="G364" s="4" t="str">
        <x:v>UNIT-00363</x:v>
      </x:c>
      <x:c r="H364" s="9" t="n">
        <x:v>12400000</x:v>
      </x:c>
      <x:c r="I364" s="10" t="n">
        <x:v>0.09</x:v>
      </x:c>
      <x:c r="J364" s="11" t="n">
        <x:v>3</x:v>
      </x:c>
      <x:c r="K364" s="11" t="n">
        <x:v>9</x:v>
      </x:c>
      <x:c r="L364" s="11" t="n">
        <x:v>1</x:v>
      </x:c>
      <x:c r="M364" s="9" t="n">
        <x:f>ROUND(H364*(1-I364),2)</x:f>
        <x:v>11284000</x:v>
      </x:c>
      <x:c r="N364" s="4" t="str">
        <x:v>Sales head</x:v>
      </x:c>
      <x:c r="O364" s="4"/>
      <x:c r="P364" s="9" t="n">
        <x:v>0</x:v>
      </x:c>
      <x:c r="Q364" s="11" t="n">
        <x:v>0</x:v>
      </x:c>
      <x:c r="R364" s="8" t="n">
        <x:v>45378</x:v>
      </x:c>
      <x:c r="S364" s="4" t="str">
        <x:v>Retained</x:v>
      </x:c>
      <x:c r="T364" s="10" t="n">
        <x:v>0.145833</x:v>
      </x:c>
      <x:c r="U364" s="4" t="str">
        <x:v>Train</x:v>
      </x:c>
    </x:row>
    <x:row r="365" ht="34" customHeight="1">
      <x:c r="A365" s="4" t="str">
        <x:v>RS-00364</x:v>
      </x:c>
      <x:c r="B365" s="8" t="n">
        <x:v>45319</x:v>
      </x:c>
      <x:c r="C365" s="4" t="str">
        <x:v>PRJ-004</x:v>
      </x:c>
      <x:c r="D365" s="4" t="str">
        <x:v>Villa</x:v>
      </x:c>
      <x:c r="E365" s="4" t="str">
        <x:v>Enquiry</x:v>
      </x:c>
      <x:c r="F365" s="4" t="str">
        <x:v>CUS-00364</x:v>
      </x:c>
      <x:c r="G365" s="4" t="str">
        <x:v>UNIT-00364</x:v>
      </x:c>
      <x:c r="H365" s="9" t="n">
        <x:v>8700000</x:v>
      </x:c>
      <x:c r="I365" s="10" t="n">
        <x:v>0.03</x:v>
      </x:c>
      <x:c r="J365" s="11" t="n">
        <x:v>6</x:v>
      </x:c>
      <x:c r="K365" s="11" t="n">
        <x:v>10</x:v>
      </x:c>
      <x:c r="L365" s="11" t="n">
        <x:v>1</x:v>
      </x:c>
      <x:c r="M365" s="9" t="n">
        <x:f>ROUND(H365*(1-I365),2)</x:f>
        <x:v>8439000</x:v>
      </x:c>
      <x:c r="N365" s="4" t="str">
        <x:v>Sales manager</x:v>
      </x:c>
      <x:c r="O365" s="4"/>
      <x:c r="P365" s="9" t="n">
        <x:v>0</x:v>
      </x:c>
      <x:c r="Q365" s="11" t="n">
        <x:v>0</x:v>
      </x:c>
      <x:c r="R365" s="8" t="n">
        <x:v>45379</x:v>
      </x:c>
      <x:c r="S365" s="4" t="str">
        <x:v>Retained</x:v>
      </x:c>
      <x:c r="T365" s="10" t="n">
        <x:v>0.145299</x:v>
      </x:c>
      <x:c r="U365" s="4" t="str">
        <x:v>Train</x:v>
      </x:c>
    </x:row>
    <x:row r="366" ht="34" customHeight="1">
      <x:c r="A366" s="4" t="str">
        <x:v>RS-00365</x:v>
      </x:c>
      <x:c r="B366" s="8" t="n">
        <x:v>45292</x:v>
      </x:c>
      <x:c r="C366" s="4" t="str">
        <x:v>PRJ-005</x:v>
      </x:c>
      <x:c r="D366" s="4" t="str">
        <x:v>Villa</x:v>
      </x:c>
      <x:c r="E366" s="4" t="str">
        <x:v>Enquiry</x:v>
      </x:c>
      <x:c r="F366" s="4" t="str">
        <x:v>CUS-00365</x:v>
      </x:c>
      <x:c r="G366" s="4" t="str">
        <x:v>UNIT-00365</x:v>
      </x:c>
      <x:c r="H366" s="9" t="n">
        <x:v>23700000</x:v>
      </x:c>
      <x:c r="I366" s="10" t="n">
        <x:v>0.03</x:v>
      </x:c>
      <x:c r="J366" s="11" t="n">
        <x:v>7</x:v>
      </x:c>
      <x:c r="K366" s="11" t="n">
        <x:v>7</x:v>
      </x:c>
      <x:c r="L366" s="11" t="n">
        <x:v>0</x:v>
      </x:c>
      <x:c r="M366" s="9" t="n">
        <x:f>ROUND(H366*(1-I366),2)</x:f>
        <x:v>22989000</x:v>
      </x:c>
      <x:c r="N366" s="4" t="str">
        <x:v>Sales manager</x:v>
      </x:c>
      <x:c r="O366" s="4"/>
      <x:c r="P366" s="9" t="n">
        <x:v>0</x:v>
      </x:c>
      <x:c r="Q366" s="11" t="n">
        <x:v>0</x:v>
      </x:c>
      <x:c r="R366" s="8" t="n">
        <x:v>45352</x:v>
      </x:c>
      <x:c r="S366" s="4" t="str">
        <x:v>Retained</x:v>
      </x:c>
      <x:c r="T366" s="10" t="n">
        <x:v>0.145299</x:v>
      </x:c>
      <x:c r="U366" s="4" t="str">
        <x:v>Train</x:v>
      </x:c>
    </x:row>
    <x:row r="367" ht="34" customHeight="1">
      <x:c r="A367" s="4" t="str">
        <x:v>RS-00366</x:v>
      </x:c>
      <x:c r="B367" s="8" t="n">
        <x:v>45293</x:v>
      </x:c>
      <x:c r="C367" s="4" t="str">
        <x:v>PRJ-006</x:v>
      </x:c>
      <x:c r="D367" s="4" t="str">
        <x:v>Apartment</x:v>
      </x:c>
      <x:c r="E367" s="4" t="str">
        <x:v>Cancelled</x:v>
      </x:c>
      <x:c r="F367" s="4" t="str">
        <x:v>CUS-00366</x:v>
      </x:c>
      <x:c r="G367" s="4" t="str">
        <x:v>UNIT-00366</x:v>
      </x:c>
      <x:c r="H367" s="9" t="n">
        <x:v>12200000</x:v>
      </x:c>
      <x:c r="I367" s="10" t="n">
        <x:v>0.01</x:v>
      </x:c>
      <x:c r="J367" s="11" t="n">
        <x:v>10</x:v>
      </x:c>
      <x:c r="K367" s="11" t="n">
        <x:v>9</x:v>
      </x:c>
      <x:c r="L367" s="11" t="n">
        <x:v>1</x:v>
      </x:c>
      <x:c r="M367" s="9" t="n">
        <x:f>ROUND(H367*(1-I367),2)</x:f>
        <x:v>12078000</x:v>
      </x:c>
      <x:c r="N367" s="4" t="str">
        <x:v>Sales manager</x:v>
      </x:c>
      <x:c r="O367" s="4"/>
      <x:c r="P367" s="9" t="n">
        <x:v>0</x:v>
      </x:c>
      <x:c r="Q367" s="11" t="n">
        <x:v>1</x:v>
      </x:c>
      <x:c r="R367" s="8" t="n">
        <x:v>45353</x:v>
      </x:c>
      <x:c r="S367" s="4" t="str">
        <x:v>Lost / cancelled</x:v>
      </x:c>
      <x:c r="T367" s="10" t="n">
        <x:v>0.254545</x:v>
      </x:c>
      <x:c r="U367" s="4" t="str">
        <x:v>Train</x:v>
      </x:c>
    </x:row>
    <x:row r="368" ht="34" customHeight="1">
      <x:c r="A368" s="4" t="str">
        <x:v>RS-00367</x:v>
      </x:c>
      <x:c r="B368" s="8" t="n">
        <x:v>45294</x:v>
      </x:c>
      <x:c r="C368" s="4" t="str">
        <x:v>PRJ-007</x:v>
      </x:c>
      <x:c r="D368" s="4" t="str">
        <x:v>Office</x:v>
      </x:c>
      <x:c r="E368" s="4" t="str">
        <x:v>Booked</x:v>
      </x:c>
      <x:c r="F368" s="4" t="str">
        <x:v>CUS-00367</x:v>
      </x:c>
      <x:c r="G368" s="4" t="str">
        <x:v>UNIT-00367</x:v>
      </x:c>
      <x:c r="H368" s="9" t="n">
        <x:v>5800000</x:v>
      </x:c>
      <x:c r="I368" s="10" t="n">
        <x:v>0.08</x:v>
      </x:c>
      <x:c r="J368" s="11" t="n">
        <x:v>10</x:v>
      </x:c>
      <x:c r="K368" s="11" t="n">
        <x:v>6</x:v>
      </x:c>
      <x:c r="L368" s="11" t="n">
        <x:v>0</x:v>
      </x:c>
      <x:c r="M368" s="9" t="n">
        <x:f>ROUND(H368*(1-I368),2)</x:f>
        <x:v>5336000</x:v>
      </x:c>
      <x:c r="N368" s="4" t="str">
        <x:v>Sales head</x:v>
      </x:c>
      <x:c r="O368" s="4" t="str">
        <x:v>BOOK-00367</x:v>
      </x:c>
      <x:c r="P368" s="9" t="n">
        <x:v>2668000</x:v>
      </x:c>
      <x:c r="Q368" s="11" t="n">
        <x:v>0</x:v>
      </x:c>
      <x:c r="R368" s="8" t="n">
        <x:v>45354</x:v>
      </x:c>
      <x:c r="S368" s="4" t="str">
        <x:v>Retained</x:v>
      </x:c>
      <x:c r="T368" s="10" t="n">
        <x:v>0.310195</x:v>
      </x:c>
      <x:c r="U368" s="4" t="str">
        <x:v>Train</x:v>
      </x:c>
    </x:row>
    <x:row r="369" ht="34" customHeight="1">
      <x:c r="A369" s="4" t="str">
        <x:v>RS-00368</x:v>
      </x:c>
      <x:c r="B369" s="8" t="n">
        <x:v>45295</x:v>
      </x:c>
      <x:c r="C369" s="4" t="str">
        <x:v>PRJ-008</x:v>
      </x:c>
      <x:c r="D369" s="4" t="str">
        <x:v>Villa</x:v>
      </x:c>
      <x:c r="E369" s="4" t="str">
        <x:v>Booked</x:v>
      </x:c>
      <x:c r="F369" s="4" t="str">
        <x:v>CUS-00368</x:v>
      </x:c>
      <x:c r="G369" s="4" t="str">
        <x:v>UNIT-00368</x:v>
      </x:c>
      <x:c r="H369" s="9" t="n">
        <x:v>17800000</x:v>
      </x:c>
      <x:c r="I369" s="10" t="n">
        <x:v>0.07</x:v>
      </x:c>
      <x:c r="J369" s="11" t="n">
        <x:v>0</x:v>
      </x:c>
      <x:c r="K369" s="11" t="n">
        <x:v>6</x:v>
      </x:c>
      <x:c r="L369" s="11" t="n">
        <x:v>1</x:v>
      </x:c>
      <x:c r="M369" s="9" t="n">
        <x:f>ROUND(H369*(1-I369),2)</x:f>
        <x:v>16554000</x:v>
      </x:c>
      <x:c r="N369" s="4" t="str">
        <x:v>Sales manager</x:v>
      </x:c>
      <x:c r="O369" s="4" t="str">
        <x:v>BOOK-00368</x:v>
      </x:c>
      <x:c r="P369" s="9" t="n">
        <x:v>8277000</x:v>
      </x:c>
      <x:c r="Q369" s="11" t="n">
        <x:v>0</x:v>
      </x:c>
      <x:c r="R369" s="8" t="n">
        <x:v>45355</x:v>
      </x:c>
      <x:c r="S369" s="4" t="str">
        <x:v>Retained</x:v>
      </x:c>
      <x:c r="T369" s="10" t="n">
        <x:v>0.204152</x:v>
      </x:c>
      <x:c r="U369" s="4" t="str">
        <x:v>Train</x:v>
      </x:c>
    </x:row>
    <x:row r="370" ht="34" customHeight="1">
      <x:c r="A370" s="4" t="str">
        <x:v>RS-00369</x:v>
      </x:c>
      <x:c r="B370" s="8" t="n">
        <x:v>45296</x:v>
      </x:c>
      <x:c r="C370" s="4" t="str">
        <x:v>PRJ-009</x:v>
      </x:c>
      <x:c r="D370" s="4" t="str">
        <x:v>Retail</x:v>
      </x:c>
      <x:c r="E370" s="4" t="str">
        <x:v>Enquiry</x:v>
      </x:c>
      <x:c r="F370" s="4" t="str">
        <x:v>CUS-00369</x:v>
      </x:c>
      <x:c r="G370" s="4" t="str">
        <x:v>UNIT-00369</x:v>
      </x:c>
      <x:c r="H370" s="9" t="n">
        <x:v>18300000</x:v>
      </x:c>
      <x:c r="I370" s="10" t="n">
        <x:v>0.07</x:v>
      </x:c>
      <x:c r="J370" s="11" t="n">
        <x:v>5</x:v>
      </x:c>
      <x:c r="K370" s="11" t="n">
        <x:v>3</x:v>
      </x:c>
      <x:c r="L370" s="11" t="n">
        <x:v>1</x:v>
      </x:c>
      <x:c r="M370" s="9" t="n">
        <x:f>ROUND(H370*(1-I370),2)</x:f>
        <x:v>17019000</x:v>
      </x:c>
      <x:c r="N370" s="4" t="str">
        <x:v>Sales manager</x:v>
      </x:c>
      <x:c r="O370" s="4"/>
      <x:c r="P370" s="9" t="n">
        <x:v>0</x:v>
      </x:c>
      <x:c r="Q370" s="11" t="n">
        <x:v>0</x:v>
      </x:c>
      <x:c r="R370" s="8" t="n">
        <x:v>45356</x:v>
      </x:c>
      <x:c r="S370" s="4" t="str">
        <x:v>Retained</x:v>
      </x:c>
      <x:c r="T370" s="10" t="n">
        <x:v>0.291946</x:v>
      </x:c>
      <x:c r="U370" s="4" t="str">
        <x:v>Train</x:v>
      </x:c>
    </x:row>
    <x:row r="371" ht="34" customHeight="1">
      <x:c r="A371" s="4" t="str">
        <x:v>RS-00370</x:v>
      </x:c>
      <x:c r="B371" s="8" t="n">
        <x:v>45297</x:v>
      </x:c>
      <x:c r="C371" s="4" t="str">
        <x:v>PRJ-010</x:v>
      </x:c>
      <x:c r="D371" s="4" t="str">
        <x:v>Office</x:v>
      </x:c>
      <x:c r="E371" s="4" t="str">
        <x:v>Reserved</x:v>
      </x:c>
      <x:c r="F371" s="4" t="str">
        <x:v>CUS-00370</x:v>
      </x:c>
      <x:c r="G371" s="4" t="str">
        <x:v>UNIT-00370</x:v>
      </x:c>
      <x:c r="H371" s="9" t="n">
        <x:v>8500000</x:v>
      </x:c>
      <x:c r="I371" s="10" t="n">
        <x:v>0.12</x:v>
      </x:c>
      <x:c r="J371" s="11" t="n">
        <x:v>6</x:v>
      </x:c>
      <x:c r="K371" s="11" t="n">
        <x:v>10</x:v>
      </x:c>
      <x:c r="L371" s="11" t="n">
        <x:v>0</x:v>
      </x:c>
      <x:c r="M371" s="9" t="n">
        <x:f>ROUND(H371*(1-I371),2)</x:f>
        <x:v>7480000</x:v>
      </x:c>
      <x:c r="N371" s="4" t="str">
        <x:v>Sales head</x:v>
      </x:c>
      <x:c r="O371" s="4"/>
      <x:c r="P371" s="9" t="n">
        <x:v>0</x:v>
      </x:c>
      <x:c r="Q371" s="11" t="n">
        <x:v>1</x:v>
      </x:c>
      <x:c r="R371" s="8" t="n">
        <x:v>45357</x:v>
      </x:c>
      <x:c r="S371" s="4" t="str">
        <x:v>Lost / cancelled</x:v>
      </x:c>
      <x:c r="T371" s="10" t="n">
        <x:v>0.226277</x:v>
      </x:c>
      <x:c r="U371" s="4" t="str">
        <x:v>Train</x:v>
      </x:c>
    </x:row>
    <x:row r="372" ht="34" customHeight="1">
      <x:c r="A372" s="4" t="str">
        <x:v>RS-00371</x:v>
      </x:c>
      <x:c r="B372" s="8" t="n">
        <x:v>45298</x:v>
      </x:c>
      <x:c r="C372" s="4" t="str">
        <x:v>PRJ-011</x:v>
      </x:c>
      <x:c r="D372" s="4" t="str">
        <x:v>Villa</x:v>
      </x:c>
      <x:c r="E372" s="4" t="str">
        <x:v>Cancelled</x:v>
      </x:c>
      <x:c r="F372" s="4" t="str">
        <x:v>CUS-00371</x:v>
      </x:c>
      <x:c r="G372" s="4" t="str">
        <x:v>UNIT-00371</x:v>
      </x:c>
      <x:c r="H372" s="9" t="n">
        <x:v>20300000</x:v>
      </x:c>
      <x:c r="I372" s="10" t="n">
        <x:v>0.08</x:v>
      </x:c>
      <x:c r="J372" s="11" t="n">
        <x:v>11</x:v>
      </x:c>
      <x:c r="K372" s="11" t="n">
        <x:v>5</x:v>
      </x:c>
      <x:c r="L372" s="11" t="n">
        <x:v>0</x:v>
      </x:c>
      <x:c r="M372" s="9" t="n">
        <x:f>ROUND(H372*(1-I372),2)</x:f>
        <x:v>18676000</x:v>
      </x:c>
      <x:c r="N372" s="4" t="str">
        <x:v>Sales head</x:v>
      </x:c>
      <x:c r="O372" s="4"/>
      <x:c r="P372" s="9" t="n">
        <x:v>0</x:v>
      </x:c>
      <x:c r="Q372" s="11" t="n">
        <x:v>1</x:v>
      </x:c>
      <x:c r="R372" s="8" t="n">
        <x:v>45358</x:v>
      </x:c>
      <x:c r="S372" s="4" t="str">
        <x:v>Lost / cancelled</x:v>
      </x:c>
      <x:c r="T372" s="10" t="n">
        <x:v>0.351536</x:v>
      </x:c>
      <x:c r="U372" s="4" t="str">
        <x:v>Train</x:v>
      </x:c>
    </x:row>
    <x:row r="373" ht="34" customHeight="1">
      <x:c r="A373" s="4" t="str">
        <x:v>RS-00372</x:v>
      </x:c>
      <x:c r="B373" s="8" t="n">
        <x:v>45299</x:v>
      </x:c>
      <x:c r="C373" s="4" t="str">
        <x:v>PRJ-012</x:v>
      </x:c>
      <x:c r="D373" s="4" t="str">
        <x:v>Retail</x:v>
      </x:c>
      <x:c r="E373" s="4" t="str">
        <x:v>Enquiry</x:v>
      </x:c>
      <x:c r="F373" s="4" t="str">
        <x:v>CUS-00372</x:v>
      </x:c>
      <x:c r="G373" s="4" t="str">
        <x:v>UNIT-00372</x:v>
      </x:c>
      <x:c r="H373" s="9" t="n">
        <x:v>10400000</x:v>
      </x:c>
      <x:c r="I373" s="10" t="n">
        <x:v>0</x:v>
      </x:c>
      <x:c r="J373" s="11" t="n">
        <x:v>10</x:v>
      </x:c>
      <x:c r="K373" s="11" t="n">
        <x:v>9</x:v>
      </x:c>
      <x:c r="L373" s="11" t="n">
        <x:v>1</x:v>
      </x:c>
      <x:c r="M373" s="9" t="n">
        <x:f>ROUND(H373*(1-I373),2)</x:f>
        <x:v>10400000</x:v>
      </x:c>
      <x:c r="N373" s="4" t="str">
        <x:v>Sales manager</x:v>
      </x:c>
      <x:c r="O373" s="4"/>
      <x:c r="P373" s="9" t="n">
        <x:v>0</x:v>
      </x:c>
      <x:c r="Q373" s="11" t="n">
        <x:v>1</x:v>
      </x:c>
      <x:c r="R373" s="8" t="n">
        <x:v>45359</x:v>
      </x:c>
      <x:c r="S373" s="4" t="str">
        <x:v>Lost / cancelled</x:v>
      </x:c>
      <x:c r="T373" s="10" t="n">
        <x:v>0.254545</x:v>
      </x:c>
      <x:c r="U373" s="4" t="str">
        <x:v>Train</x:v>
      </x:c>
    </x:row>
    <x:row r="374" ht="34" customHeight="1">
      <x:c r="A374" s="4" t="str">
        <x:v>RS-00373</x:v>
      </x:c>
      <x:c r="B374" s="8" t="n">
        <x:v>45300</x:v>
      </x:c>
      <x:c r="C374" s="4" t="str">
        <x:v>PRJ-013</x:v>
      </x:c>
      <x:c r="D374" s="4" t="str">
        <x:v>Villa</x:v>
      </x:c>
      <x:c r="E374" s="4" t="str">
        <x:v>Enquiry</x:v>
      </x:c>
      <x:c r="F374" s="4" t="str">
        <x:v>CUS-00373</x:v>
      </x:c>
      <x:c r="G374" s="4" t="str">
        <x:v>UNIT-00373</x:v>
      </x:c>
      <x:c r="H374" s="9" t="n">
        <x:v>24700000</x:v>
      </x:c>
      <x:c r="I374" s="10" t="n">
        <x:v>0.03</x:v>
      </x:c>
      <x:c r="J374" s="11" t="n">
        <x:v>12</x:v>
      </x:c>
      <x:c r="K374" s="11" t="n">
        <x:v>0</x:v>
      </x:c>
      <x:c r="L374" s="11" t="n">
        <x:v>1</x:v>
      </x:c>
      <x:c r="M374" s="9" t="n">
        <x:f>ROUND(H374*(1-I374),2)</x:f>
        <x:v>23959000</x:v>
      </x:c>
      <x:c r="N374" s="4" t="str">
        <x:v>Sales manager</x:v>
      </x:c>
      <x:c r="O374" s="4"/>
      <x:c r="P374" s="9" t="n">
        <x:v>0</x:v>
      </x:c>
      <x:c r="Q374" s="11" t="n">
        <x:v>1</x:v>
      </x:c>
      <x:c r="R374" s="8" t="n">
        <x:v>45360</x:v>
      </x:c>
      <x:c r="S374" s="4" t="str">
        <x:v>Lost / cancelled</x:v>
      </x:c>
      <x:c r="T374" s="10" t="n">
        <x:v>0.351536</x:v>
      </x:c>
      <x:c r="U374" s="4" t="str">
        <x:v>Train</x:v>
      </x:c>
    </x:row>
    <x:row r="375" ht="34" customHeight="1">
      <x:c r="A375" s="4" t="str">
        <x:v>RS-00374</x:v>
      </x:c>
      <x:c r="B375" s="8" t="n">
        <x:v>45301</x:v>
      </x:c>
      <x:c r="C375" s="4" t="str">
        <x:v>PRJ-014</x:v>
      </x:c>
      <x:c r="D375" s="4" t="str">
        <x:v>Retail</x:v>
      </x:c>
      <x:c r="E375" s="4" t="str">
        <x:v>Reserved</x:v>
      </x:c>
      <x:c r="F375" s="4" t="str">
        <x:v>CUS-00374</x:v>
      </x:c>
      <x:c r="G375" s="4" t="str">
        <x:v>UNIT-00374</x:v>
      </x:c>
      <x:c r="H375" s="9" t="n">
        <x:v>8600000</x:v>
      </x:c>
      <x:c r="I375" s="10" t="n">
        <x:v>0.06</x:v>
      </x:c>
      <x:c r="J375" s="11" t="n">
        <x:v>7</x:v>
      </x:c>
      <x:c r="K375" s="11" t="n">
        <x:v>5</x:v>
      </x:c>
      <x:c r="L375" s="11" t="n">
        <x:v>1</x:v>
      </x:c>
      <x:c r="M375" s="9" t="n">
        <x:f>ROUND(H375*(1-I375),2)</x:f>
        <x:v>8084000</x:v>
      </x:c>
      <x:c r="N375" s="4" t="str">
        <x:v>Sales manager</x:v>
      </x:c>
      <x:c r="O375" s="4"/>
      <x:c r="P375" s="9" t="n">
        <x:v>0</x:v>
      </x:c>
      <x:c r="Q375" s="11" t="n">
        <x:v>0</x:v>
      </x:c>
      <x:c r="R375" s="8" t="n">
        <x:v>45361</x:v>
      </x:c>
      <x:c r="S375" s="4" t="str">
        <x:v>Retained</x:v>
      </x:c>
      <x:c r="T375" s="10" t="n">
        <x:v>0.291946</x:v>
      </x:c>
      <x:c r="U375" s="4" t="str">
        <x:v>Train</x:v>
      </x:c>
    </x:row>
    <x:row r="376" ht="34" customHeight="1">
      <x:c r="A376" s="4" t="str">
        <x:v>RS-00375</x:v>
      </x:c>
      <x:c r="B376" s="8" t="n">
        <x:v>45302</x:v>
      </x:c>
      <x:c r="C376" s="4" t="str">
        <x:v>PRJ-015</x:v>
      </x:c>
      <x:c r="D376" s="4" t="str">
        <x:v>Office</x:v>
      </x:c>
      <x:c r="E376" s="4" t="str">
        <x:v>Enquiry</x:v>
      </x:c>
      <x:c r="F376" s="4" t="str">
        <x:v>CUS-00375</x:v>
      </x:c>
      <x:c r="G376" s="4" t="str">
        <x:v>UNIT-00375</x:v>
      </x:c>
      <x:c r="H376" s="9" t="n">
        <x:v>9000000</x:v>
      </x:c>
      <x:c r="I376" s="10" t="n">
        <x:v>0.05</x:v>
      </x:c>
      <x:c r="J376" s="11" t="n">
        <x:v>6</x:v>
      </x:c>
      <x:c r="K376" s="11" t="n">
        <x:v>9</x:v>
      </x:c>
      <x:c r="L376" s="11" t="n">
        <x:v>0</x:v>
      </x:c>
      <x:c r="M376" s="9" t="n">
        <x:f>ROUND(H376*(1-I376),2)</x:f>
        <x:v>8550000</x:v>
      </x:c>
      <x:c r="N376" s="4" t="str">
        <x:v>Sales manager</x:v>
      </x:c>
      <x:c r="O376" s="4"/>
      <x:c r="P376" s="9" t="n">
        <x:v>0</x:v>
      </x:c>
      <x:c r="Q376" s="11" t="n">
        <x:v>0</x:v>
      </x:c>
      <x:c r="R376" s="8" t="n">
        <x:v>45362</x:v>
      </x:c>
      <x:c r="S376" s="4" t="str">
        <x:v>Retained</x:v>
      </x:c>
      <x:c r="T376" s="10" t="n">
        <x:v>0.226277</x:v>
      </x:c>
      <x:c r="U376" s="4" t="str">
        <x:v>Train</x:v>
      </x:c>
    </x:row>
    <x:row r="377" ht="34" customHeight="1">
      <x:c r="A377" s="4" t="str">
        <x:v>RS-00376</x:v>
      </x:c>
      <x:c r="B377" s="8" t="n">
        <x:v>45303</x:v>
      </x:c>
      <x:c r="C377" s="4" t="str">
        <x:v>PRJ-016</x:v>
      </x:c>
      <x:c r="D377" s="4" t="str">
        <x:v>Villa</x:v>
      </x:c>
      <x:c r="E377" s="4" t="str">
        <x:v>Enquiry</x:v>
      </x:c>
      <x:c r="F377" s="4" t="str">
        <x:v>CUS-00376</x:v>
      </x:c>
      <x:c r="G377" s="4" t="str">
        <x:v>UNIT-00376</x:v>
      </x:c>
      <x:c r="H377" s="9" t="n">
        <x:v>12700000</x:v>
      </x:c>
      <x:c r="I377" s="10" t="n">
        <x:v>0.07</x:v>
      </x:c>
      <x:c r="J377" s="11" t="n">
        <x:v>2</x:v>
      </x:c>
      <x:c r="K377" s="11" t="n">
        <x:v>1</x:v>
      </x:c>
      <x:c r="L377" s="11" t="n">
        <x:v>0</x:v>
      </x:c>
      <x:c r="M377" s="9" t="n">
        <x:f>ROUND(H377*(1-I377),2)</x:f>
        <x:v>11811000</x:v>
      </x:c>
      <x:c r="N377" s="4" t="str">
        <x:v>Sales manager</x:v>
      </x:c>
      <x:c r="O377" s="4"/>
      <x:c r="P377" s="9" t="n">
        <x:v>0</x:v>
      </x:c>
      <x:c r="Q377" s="11" t="n">
        <x:v>1</x:v>
      </x:c>
      <x:c r="R377" s="8" t="n">
        <x:v>45363</x:v>
      </x:c>
      <x:c r="S377" s="4" t="str">
        <x:v>Lost / cancelled</x:v>
      </x:c>
      <x:c r="T377" s="10" t="n">
        <x:v>0.204152</x:v>
      </x:c>
      <x:c r="U377" s="4" t="str">
        <x:v>Train</x:v>
      </x:c>
    </x:row>
    <x:row r="378" ht="34" customHeight="1">
      <x:c r="A378" s="4" t="str">
        <x:v>RS-00377</x:v>
      </x:c>
      <x:c r="B378" s="8" t="n">
        <x:v>45304</x:v>
      </x:c>
      <x:c r="C378" s="4" t="str">
        <x:v>PRJ-017</x:v>
      </x:c>
      <x:c r="D378" s="4" t="str">
        <x:v>Retail</x:v>
      </x:c>
      <x:c r="E378" s="4" t="str">
        <x:v>Reserved</x:v>
      </x:c>
      <x:c r="F378" s="4" t="str">
        <x:v>CUS-00377</x:v>
      </x:c>
      <x:c r="G378" s="4" t="str">
        <x:v>UNIT-00377</x:v>
      </x:c>
      <x:c r="H378" s="9" t="n">
        <x:v>23000000</x:v>
      </x:c>
      <x:c r="I378" s="10" t="n">
        <x:v>0.07</x:v>
      </x:c>
      <x:c r="J378" s="11" t="n">
        <x:v>7</x:v>
      </x:c>
      <x:c r="K378" s="11" t="n">
        <x:v>4</x:v>
      </x:c>
      <x:c r="L378" s="11" t="n">
        <x:v>1</x:v>
      </x:c>
      <x:c r="M378" s="9" t="n">
        <x:f>ROUND(H378*(1-I378),2)</x:f>
        <x:v>21390000</x:v>
      </x:c>
      <x:c r="N378" s="4" t="str">
        <x:v>Sales manager</x:v>
      </x:c>
      <x:c r="O378" s="4"/>
      <x:c r="P378" s="9" t="n">
        <x:v>0</x:v>
      </x:c>
      <x:c r="Q378" s="11" t="n">
        <x:v>1</x:v>
      </x:c>
      <x:c r="R378" s="8" t="n">
        <x:v>45364</x:v>
      </x:c>
      <x:c r="S378" s="4" t="str">
        <x:v>Lost / cancelled</x:v>
      </x:c>
      <x:c r="T378" s="10" t="n">
        <x:v>0.291946</x:v>
      </x:c>
      <x:c r="U378" s="4" t="str">
        <x:v>Train</x:v>
      </x:c>
    </x:row>
    <x:row r="379" ht="34" customHeight="1">
      <x:c r="A379" s="4" t="str">
        <x:v>RS-00378</x:v>
      </x:c>
      <x:c r="B379" s="8" t="n">
        <x:v>45305</x:v>
      </x:c>
      <x:c r="C379" s="4" t="str">
        <x:v>PRJ-018</x:v>
      </x:c>
      <x:c r="D379" s="4" t="str">
        <x:v>Apartment</x:v>
      </x:c>
      <x:c r="E379" s="4" t="str">
        <x:v>Cancelled</x:v>
      </x:c>
      <x:c r="F379" s="4" t="str">
        <x:v>CUS-00378</x:v>
      </x:c>
      <x:c r="G379" s="4" t="str">
        <x:v>UNIT-00378</x:v>
      </x:c>
      <x:c r="H379" s="9" t="n">
        <x:v>6500000</x:v>
      </x:c>
      <x:c r="I379" s="10" t="n">
        <x:v>0.02</x:v>
      </x:c>
      <x:c r="J379" s="11" t="n">
        <x:v>3</x:v>
      </x:c>
      <x:c r="K379" s="11" t="n">
        <x:v>0</x:v>
      </x:c>
      <x:c r="L379" s="11" t="n">
        <x:v>0</x:v>
      </x:c>
      <x:c r="M379" s="9" t="n">
        <x:f>ROUND(H379*(1-I379),2)</x:f>
        <x:v>6370000</x:v>
      </x:c>
      <x:c r="N379" s="4" t="str">
        <x:v>Sales manager</x:v>
      </x:c>
      <x:c r="O379" s="4"/>
      <x:c r="P379" s="9" t="n">
        <x:v>0</x:v>
      </x:c>
      <x:c r="Q379" s="11" t="n">
        <x:v>1</x:v>
      </x:c>
      <x:c r="R379" s="8" t="n">
        <x:v>45365</x:v>
      </x:c>
      <x:c r="S379" s="4" t="str">
        <x:v>Lost / cancelled</x:v>
      </x:c>
      <x:c r="T379" s="10" t="n">
        <x:v>0.276923</x:v>
      </x:c>
      <x:c r="U379" s="4" t="str">
        <x:v>Train</x:v>
      </x:c>
    </x:row>
    <x:row r="380" ht="34" customHeight="1">
      <x:c r="A380" s="4" t="str">
        <x:v>RS-00379</x:v>
      </x:c>
      <x:c r="B380" s="8" t="n">
        <x:v>45306</x:v>
      </x:c>
      <x:c r="C380" s="4" t="str">
        <x:v>PRJ-019</x:v>
      </x:c>
      <x:c r="D380" s="4" t="str">
        <x:v>Apartment</x:v>
      </x:c>
      <x:c r="E380" s="4" t="str">
        <x:v>Reserved</x:v>
      </x:c>
      <x:c r="F380" s="4" t="str">
        <x:v>CUS-00379</x:v>
      </x:c>
      <x:c r="G380" s="4" t="str">
        <x:v>UNIT-00379</x:v>
      </x:c>
      <x:c r="H380" s="9" t="n">
        <x:v>7300000</x:v>
      </x:c>
      <x:c r="I380" s="10" t="n">
        <x:v>0.01</x:v>
      </x:c>
      <x:c r="J380" s="11" t="n">
        <x:v>3</x:v>
      </x:c>
      <x:c r="K380" s="11" t="n">
        <x:v>10</x:v>
      </x:c>
      <x:c r="L380" s="11" t="n">
        <x:v>0</x:v>
      </x:c>
      <x:c r="M380" s="9" t="n">
        <x:f>ROUND(H380*(1-I380),2)</x:f>
        <x:v>7227000</x:v>
      </x:c>
      <x:c r="N380" s="4" t="str">
        <x:v>Sales manager</x:v>
      </x:c>
      <x:c r="O380" s="4"/>
      <x:c r="P380" s="9" t="n">
        <x:v>0</x:v>
      </x:c>
      <x:c r="Q380" s="11" t="n">
        <x:v>0</x:v>
      </x:c>
      <x:c r="R380" s="8" t="n">
        <x:v>45366</x:v>
      </x:c>
      <x:c r="S380" s="4" t="str">
        <x:v>Retained</x:v>
      </x:c>
      <x:c r="T380" s="10" t="n">
        <x:v>0.171717</x:v>
      </x:c>
      <x:c r="U380" s="4" t="str">
        <x:v>Train</x:v>
      </x:c>
    </x:row>
    <x:row r="381" ht="34" customHeight="1">
      <x:c r="A381" s="4" t="str">
        <x:v>RS-00380</x:v>
      </x:c>
      <x:c r="B381" s="8" t="n">
        <x:v>45307</x:v>
      </x:c>
      <x:c r="C381" s="4" t="str">
        <x:v>PRJ-020</x:v>
      </x:c>
      <x:c r="D381" s="4" t="str">
        <x:v>Retail</x:v>
      </x:c>
      <x:c r="E381" s="4" t="str">
        <x:v>Agreement signed</x:v>
      </x:c>
      <x:c r="F381" s="4" t="str">
        <x:v>CUS-00380</x:v>
      </x:c>
      <x:c r="G381" s="4" t="str">
        <x:v>UNIT-00380</x:v>
      </x:c>
      <x:c r="H381" s="9" t="n">
        <x:v>6700000</x:v>
      </x:c>
      <x:c r="I381" s="10" t="n">
        <x:v>0</x:v>
      </x:c>
      <x:c r="J381" s="11" t="n">
        <x:v>10</x:v>
      </x:c>
      <x:c r="K381" s="11" t="n">
        <x:v>2</x:v>
      </x:c>
      <x:c r="L381" s="11" t="n">
        <x:v>1</x:v>
      </x:c>
      <x:c r="M381" s="9" t="n">
        <x:f>ROUND(H381*(1-I381),2)</x:f>
        <x:v>6700000</x:v>
      </x:c>
      <x:c r="N381" s="4" t="str">
        <x:v>Sales manager</x:v>
      </x:c>
      <x:c r="O381" s="4" t="str">
        <x:v>BOOK-00380</x:v>
      </x:c>
      <x:c r="P381" s="9" t="n">
        <x:v>1675000</x:v>
      </x:c>
      <x:c r="Q381" s="11" t="n">
        <x:v>0</x:v>
      </x:c>
      <x:c r="R381" s="8" t="n">
        <x:v>45367</x:v>
      </x:c>
      <x:c r="S381" s="4" t="str">
        <x:v>Retained</x:v>
      </x:c>
      <x:c r="T381" s="10" t="n">
        <x:v>0.254545</x:v>
      </x:c>
      <x:c r="U381" s="4" t="str">
        <x:v>Train</x:v>
      </x:c>
    </x:row>
    <x:row r="382" ht="34" customHeight="1">
      <x:c r="A382" s="4" t="str">
        <x:v>RS-00381</x:v>
      </x:c>
      <x:c r="B382" s="8" t="n">
        <x:v>45308</x:v>
      </x:c>
      <x:c r="C382" s="4" t="str">
        <x:v>PRJ-001</x:v>
      </x:c>
      <x:c r="D382" s="4" t="str">
        <x:v>Retail</x:v>
      </x:c>
      <x:c r="E382" s="4" t="str">
        <x:v>Cancelled</x:v>
      </x:c>
      <x:c r="F382" s="4" t="str">
        <x:v>CUS-00381</x:v>
      </x:c>
      <x:c r="G382" s="4" t="str">
        <x:v>UNIT-00381</x:v>
      </x:c>
      <x:c r="H382" s="9" t="n">
        <x:v>3100000</x:v>
      </x:c>
      <x:c r="I382" s="10" t="n">
        <x:v>0.09</x:v>
      </x:c>
      <x:c r="J382" s="11" t="n">
        <x:v>5</x:v>
      </x:c>
      <x:c r="K382" s="11" t="n">
        <x:v>9</x:v>
      </x:c>
      <x:c r="L382" s="11" t="n">
        <x:v>1</x:v>
      </x:c>
      <x:c r="M382" s="9" t="n">
        <x:f>ROUND(H382*(1-I382),2)</x:f>
        <x:v>2821000</x:v>
      </x:c>
      <x:c r="N382" s="4" t="str">
        <x:v>Sales head</x:v>
      </x:c>
      <x:c r="O382" s="4"/>
      <x:c r="P382" s="9" t="n">
        <x:v>0</x:v>
      </x:c>
      <x:c r="Q382" s="11" t="n">
        <x:v>1</x:v>
      </x:c>
      <x:c r="R382" s="8" t="n">
        <x:v>45368</x:v>
      </x:c>
      <x:c r="S382" s="4" t="str">
        <x:v>Lost / cancelled</x:v>
      </x:c>
      <x:c r="T382" s="10" t="n">
        <x:v>0.291946</x:v>
      </x:c>
      <x:c r="U382" s="4" t="str">
        <x:v>Train</x:v>
      </x:c>
    </x:row>
    <x:row r="383" ht="34" customHeight="1">
      <x:c r="A383" s="4" t="str">
        <x:v>RS-00382</x:v>
      </x:c>
      <x:c r="B383" s="8" t="n">
        <x:v>45309</x:v>
      </x:c>
      <x:c r="C383" s="4" t="str">
        <x:v>PRJ-002</x:v>
      </x:c>
      <x:c r="D383" s="4" t="str">
        <x:v>Apartment</x:v>
      </x:c>
      <x:c r="E383" s="4" t="str">
        <x:v>Reserved</x:v>
      </x:c>
      <x:c r="F383" s="4" t="str">
        <x:v>CUS-00382</x:v>
      </x:c>
      <x:c r="G383" s="4" t="str">
        <x:v>UNIT-00382</x:v>
      </x:c>
      <x:c r="H383" s="9" t="n">
        <x:v>17500000</x:v>
      </x:c>
      <x:c r="I383" s="10" t="n">
        <x:v>0.08</x:v>
      </x:c>
      <x:c r="J383" s="11" t="n">
        <x:v>9</x:v>
      </x:c>
      <x:c r="K383" s="11" t="n">
        <x:v>7</x:v>
      </x:c>
      <x:c r="L383" s="11" t="n">
        <x:v>1</x:v>
      </x:c>
      <x:c r="M383" s="9" t="n">
        <x:f>ROUND(H383*(1-I383),2)</x:f>
        <x:v>16100000</x:v>
      </x:c>
      <x:c r="N383" s="4" t="str">
        <x:v>Sales head</x:v>
      </x:c>
      <x:c r="O383" s="4"/>
      <x:c r="P383" s="9" t="n">
        <x:v>0</x:v>
      </x:c>
      <x:c r="Q383" s="11" t="n">
        <x:v>0</x:v>
      </x:c>
      <x:c r="R383" s="8" t="n">
        <x:v>45369</x:v>
      </x:c>
      <x:c r="S383" s="4" t="str">
        <x:v>Retained</x:v>
      </x:c>
      <x:c r="T383" s="10" t="n">
        <x:v>0.310195</x:v>
      </x:c>
      <x:c r="U383" s="4" t="str">
        <x:v>Train</x:v>
      </x:c>
    </x:row>
    <x:row r="384" ht="34" customHeight="1">
      <x:c r="A384" s="4" t="str">
        <x:v>RS-00383</x:v>
      </x:c>
      <x:c r="B384" s="8" t="n">
        <x:v>45310</x:v>
      </x:c>
      <x:c r="C384" s="4" t="str">
        <x:v>PRJ-003</x:v>
      </x:c>
      <x:c r="D384" s="4" t="str">
        <x:v>Villa</x:v>
      </x:c>
      <x:c r="E384" s="4" t="str">
        <x:v>Agreement signed</x:v>
      </x:c>
      <x:c r="F384" s="4" t="str">
        <x:v>CUS-00383</x:v>
      </x:c>
      <x:c r="G384" s="4" t="str">
        <x:v>UNIT-00383</x:v>
      </x:c>
      <x:c r="H384" s="9" t="n">
        <x:v>12700000</x:v>
      </x:c>
      <x:c r="I384" s="10" t="n">
        <x:v>0.11</x:v>
      </x:c>
      <x:c r="J384" s="11" t="n">
        <x:v>0</x:v>
      </x:c>
      <x:c r="K384" s="11" t="n">
        <x:v>2</x:v>
      </x:c>
      <x:c r="L384" s="11" t="n">
        <x:v>0</x:v>
      </x:c>
      <x:c r="M384" s="9" t="n">
        <x:f>ROUND(H384*(1-I384),2)</x:f>
        <x:v>11303000</x:v>
      </x:c>
      <x:c r="N384" s="4" t="str">
        <x:v>Sales head</x:v>
      </x:c>
      <x:c r="O384" s="4" t="str">
        <x:v>BOOK-00383</x:v>
      </x:c>
      <x:c r="P384" s="9" t="n">
        <x:v>2825750</x:v>
      </x:c>
      <x:c r="Q384" s="11" t="n">
        <x:v>0</x:v>
      </x:c>
      <x:c r="R384" s="8" t="n">
        <x:v>45370</x:v>
      </x:c>
      <x:c r="S384" s="4" t="str">
        <x:v>Retained</x:v>
      </x:c>
      <x:c r="T384" s="10" t="n">
        <x:v>0.145833</x:v>
      </x:c>
      <x:c r="U384" s="4" t="str">
        <x:v>Train</x:v>
      </x:c>
    </x:row>
    <x:row r="385" ht="34" customHeight="1">
      <x:c r="A385" s="4" t="str">
        <x:v>RS-00384</x:v>
      </x:c>
      <x:c r="B385" s="8" t="n">
        <x:v>45311</x:v>
      </x:c>
      <x:c r="C385" s="4" t="str">
        <x:v>PRJ-004</x:v>
      </x:c>
      <x:c r="D385" s="4" t="str">
        <x:v>Apartment</x:v>
      </x:c>
      <x:c r="E385" s="4" t="str">
        <x:v>Enquiry</x:v>
      </x:c>
      <x:c r="F385" s="4" t="str">
        <x:v>CUS-00384</x:v>
      </x:c>
      <x:c r="G385" s="4" t="str">
        <x:v>UNIT-00384</x:v>
      </x:c>
      <x:c r="H385" s="9" t="n">
        <x:v>10700000</x:v>
      </x:c>
      <x:c r="I385" s="10" t="n">
        <x:v>0.01</x:v>
      </x:c>
      <x:c r="J385" s="11" t="n">
        <x:v>5</x:v>
      </x:c>
      <x:c r="K385" s="11" t="n">
        <x:v>5</x:v>
      </x:c>
      <x:c r="L385" s="11" t="n">
        <x:v>0</x:v>
      </x:c>
      <x:c r="M385" s="9" t="n">
        <x:f>ROUND(H385*(1-I385),2)</x:f>
        <x:v>10593000</x:v>
      </x:c>
      <x:c r="N385" s="4" t="str">
        <x:v>Sales manager</x:v>
      </x:c>
      <x:c r="O385" s="4"/>
      <x:c r="P385" s="9" t="n">
        <x:v>0</x:v>
      </x:c>
      <x:c r="Q385" s="11" t="n">
        <x:v>0</x:v>
      </x:c>
      <x:c r="R385" s="8" t="n">
        <x:v>45371</x:v>
      </x:c>
      <x:c r="S385" s="4" t="str">
        <x:v>Retained</x:v>
      </x:c>
      <x:c r="T385" s="10" t="n">
        <x:v>0.145299</x:v>
      </x:c>
      <x:c r="U385" s="4" t="str">
        <x:v>Train</x:v>
      </x:c>
    </x:row>
    <x:row r="386" ht="34" customHeight="1">
      <x:c r="A386" s="4" t="str">
        <x:v>RS-00385</x:v>
      </x:c>
      <x:c r="B386" s="8" t="n">
        <x:v>45312</x:v>
      </x:c>
      <x:c r="C386" s="4" t="str">
        <x:v>PRJ-005</x:v>
      </x:c>
      <x:c r="D386" s="4" t="str">
        <x:v>Retail</x:v>
      </x:c>
      <x:c r="E386" s="4" t="str">
        <x:v>Reserved</x:v>
      </x:c>
      <x:c r="F386" s="4" t="str">
        <x:v>CUS-00385</x:v>
      </x:c>
      <x:c r="G386" s="4" t="str">
        <x:v>UNIT-00385</x:v>
      </x:c>
      <x:c r="H386" s="9" t="n">
        <x:v>25000000</x:v>
      </x:c>
      <x:c r="I386" s="10" t="n">
        <x:v>0.02</x:v>
      </x:c>
      <x:c r="J386" s="11" t="n">
        <x:v>11</x:v>
      </x:c>
      <x:c r="K386" s="11" t="n">
        <x:v>5</x:v>
      </x:c>
      <x:c r="L386" s="11" t="n">
        <x:v>1</x:v>
      </x:c>
      <x:c r="M386" s="9" t="n">
        <x:f>ROUND(H386*(1-I386),2)</x:f>
        <x:v>24500000</x:v>
      </x:c>
      <x:c r="N386" s="4" t="str">
        <x:v>Sales manager</x:v>
      </x:c>
      <x:c r="O386" s="4"/>
      <x:c r="P386" s="9" t="n">
        <x:v>0</x:v>
      </x:c>
      <x:c r="Q386" s="11" t="n">
        <x:v>0</x:v>
      </x:c>
      <x:c r="R386" s="8" t="n">
        <x:v>45372</x:v>
      </x:c>
      <x:c r="S386" s="4" t="str">
        <x:v>Retained</x:v>
      </x:c>
      <x:c r="T386" s="10" t="n">
        <x:v>0.254545</x:v>
      </x:c>
      <x:c r="U386" s="4" t="str">
        <x:v>Train</x:v>
      </x:c>
    </x:row>
    <x:row r="387" ht="34" customHeight="1">
      <x:c r="A387" s="4" t="str">
        <x:v>RS-00386</x:v>
      </x:c>
      <x:c r="B387" s="8" t="n">
        <x:v>45313</x:v>
      </x:c>
      <x:c r="C387" s="4" t="str">
        <x:v>PRJ-006</x:v>
      </x:c>
      <x:c r="D387" s="4" t="str">
        <x:v>Apartment</x:v>
      </x:c>
      <x:c r="E387" s="4" t="str">
        <x:v>Reserved</x:v>
      </x:c>
      <x:c r="F387" s="4" t="str">
        <x:v>CUS-00386</x:v>
      </x:c>
      <x:c r="G387" s="4" t="str">
        <x:v>UNIT-00386</x:v>
      </x:c>
      <x:c r="H387" s="9" t="n">
        <x:v>8900000</x:v>
      </x:c>
      <x:c r="I387" s="10" t="n">
        <x:v>0.06</x:v>
      </x:c>
      <x:c r="J387" s="11" t="n">
        <x:v>5</x:v>
      </x:c>
      <x:c r="K387" s="11" t="n">
        <x:v>10</x:v>
      </x:c>
      <x:c r="L387" s="11" t="n">
        <x:v>1</x:v>
      </x:c>
      <x:c r="M387" s="9" t="n">
        <x:f>ROUND(H387*(1-I387),2)</x:f>
        <x:v>8366000</x:v>
      </x:c>
      <x:c r="N387" s="4" t="str">
        <x:v>Sales manager</x:v>
      </x:c>
      <x:c r="O387" s="4"/>
      <x:c r="P387" s="9" t="n">
        <x:v>0</x:v>
      </x:c>
      <x:c r="Q387" s="11" t="n">
        <x:v>1</x:v>
      </x:c>
      <x:c r="R387" s="8" t="n">
        <x:v>45373</x:v>
      </x:c>
      <x:c r="S387" s="4" t="str">
        <x:v>Lost / cancelled</x:v>
      </x:c>
      <x:c r="T387" s="10" t="n">
        <x:v>0.291946</x:v>
      </x:c>
      <x:c r="U387" s="4" t="str">
        <x:v>Train</x:v>
      </x:c>
    </x:row>
    <x:row r="388" ht="34" customHeight="1">
      <x:c r="A388" s="4" t="str">
        <x:v>RS-00387</x:v>
      </x:c>
      <x:c r="B388" s="8" t="n">
        <x:v>45314</x:v>
      </x:c>
      <x:c r="C388" s="4" t="str">
        <x:v>PRJ-007</x:v>
      </x:c>
      <x:c r="D388" s="4" t="str">
        <x:v>Retail</x:v>
      </x:c>
      <x:c r="E388" s="4" t="str">
        <x:v>Agreement signed</x:v>
      </x:c>
      <x:c r="F388" s="4" t="str">
        <x:v>CUS-00387</x:v>
      </x:c>
      <x:c r="G388" s="4" t="str">
        <x:v>UNIT-00387</x:v>
      </x:c>
      <x:c r="H388" s="9" t="n">
        <x:v>7500000</x:v>
      </x:c>
      <x:c r="I388" s="10" t="n">
        <x:v>0</x:v>
      </x:c>
      <x:c r="J388" s="11" t="n">
        <x:v>8</x:v>
      </x:c>
      <x:c r="K388" s="11" t="n">
        <x:v>4</x:v>
      </x:c>
      <x:c r="L388" s="11" t="n">
        <x:v>1</x:v>
      </x:c>
      <x:c r="M388" s="9" t="n">
        <x:f>ROUND(H388*(1-I388),2)</x:f>
        <x:v>7500000</x:v>
      </x:c>
      <x:c r="N388" s="4" t="str">
        <x:v>Sales manager</x:v>
      </x:c>
      <x:c r="O388" s="4" t="str">
        <x:v>BOOK-00387</x:v>
      </x:c>
      <x:c r="P388" s="9" t="n">
        <x:v>7500000</x:v>
      </x:c>
      <x:c r="Q388" s="11" t="n">
        <x:v>0</x:v>
      </x:c>
      <x:c r="R388" s="8" t="n">
        <x:v>45374</x:v>
      </x:c>
      <x:c r="S388" s="4" t="str">
        <x:v>Retained</x:v>
      </x:c>
      <x:c r="T388" s="10" t="n">
        <x:v>0.254545</x:v>
      </x:c>
      <x:c r="U388" s="4" t="str">
        <x:v>Train</x:v>
      </x:c>
    </x:row>
    <x:row r="389" ht="34" customHeight="1">
      <x:c r="A389" s="4" t="str">
        <x:v>RS-00388</x:v>
      </x:c>
      <x:c r="B389" s="8" t="n">
        <x:v>45315</x:v>
      </x:c>
      <x:c r="C389" s="4" t="str">
        <x:v>PRJ-008</x:v>
      </x:c>
      <x:c r="D389" s="4" t="str">
        <x:v>Retail</x:v>
      </x:c>
      <x:c r="E389" s="4" t="str">
        <x:v>Booked</x:v>
      </x:c>
      <x:c r="F389" s="4" t="str">
        <x:v>CUS-00388</x:v>
      </x:c>
      <x:c r="G389" s="4" t="str">
        <x:v>UNIT-00388</x:v>
      </x:c>
      <x:c r="H389" s="9" t="n">
        <x:v>11900000</x:v>
      </x:c>
      <x:c r="I389" s="10" t="n">
        <x:v>0.12</x:v>
      </x:c>
      <x:c r="J389" s="11" t="n">
        <x:v>8</x:v>
      </x:c>
      <x:c r="K389" s="11" t="n">
        <x:v>0</x:v>
      </x:c>
      <x:c r="L389" s="11" t="n">
        <x:v>0</x:v>
      </x:c>
      <x:c r="M389" s="9" t="n">
        <x:f>ROUND(H389*(1-I389),2)</x:f>
        <x:v>10472000</x:v>
      </x:c>
      <x:c r="N389" s="4" t="str">
        <x:v>Sales head</x:v>
      </x:c>
      <x:c r="O389" s="4" t="str">
        <x:v>BOOK-00388</x:v>
      </x:c>
      <x:c r="P389" s="9" t="n">
        <x:v>10472000</x:v>
      </x:c>
      <x:c r="Q389" s="11" t="n">
        <x:v>0</x:v>
      </x:c>
      <x:c r="R389" s="8" t="n">
        <x:v>45375</x:v>
      </x:c>
      <x:c r="S389" s="4" t="str">
        <x:v>Retained</x:v>
      </x:c>
      <x:c r="T389" s="10" t="n">
        <x:v>0.310195</x:v>
      </x:c>
      <x:c r="U389" s="4" t="str">
        <x:v>Train</x:v>
      </x:c>
    </x:row>
    <x:row r="390" ht="34" customHeight="1">
      <x:c r="A390" s="4" t="str">
        <x:v>RS-00389</x:v>
      </x:c>
      <x:c r="B390" s="8" t="n">
        <x:v>45316</x:v>
      </x:c>
      <x:c r="C390" s="4" t="str">
        <x:v>PRJ-009</x:v>
      </x:c>
      <x:c r="D390" s="4" t="str">
        <x:v>Retail</x:v>
      </x:c>
      <x:c r="E390" s="4" t="str">
        <x:v>Booked</x:v>
      </x:c>
      <x:c r="F390" s="4" t="str">
        <x:v>CUS-00389</x:v>
      </x:c>
      <x:c r="G390" s="4" t="str">
        <x:v>UNIT-00389</x:v>
      </x:c>
      <x:c r="H390" s="9" t="n">
        <x:v>5700000</x:v>
      </x:c>
      <x:c r="I390" s="10" t="n">
        <x:v>0.06</x:v>
      </x:c>
      <x:c r="J390" s="11" t="n">
        <x:v>2</x:v>
      </x:c>
      <x:c r="K390" s="11" t="n">
        <x:v>3</x:v>
      </x:c>
      <x:c r="L390" s="11" t="n">
        <x:v>1</x:v>
      </x:c>
      <x:c r="M390" s="9" t="n">
        <x:f>ROUND(H390*(1-I390),2)</x:f>
        <x:v>5358000</x:v>
      </x:c>
      <x:c r="N390" s="4" t="str">
        <x:v>Sales manager</x:v>
      </x:c>
      <x:c r="O390" s="4" t="str">
        <x:v>BOOK-00389</x:v>
      </x:c>
      <x:c r="P390" s="9" t="n">
        <x:v>1339500</x:v>
      </x:c>
      <x:c r="Q390" s="11" t="n">
        <x:v>0</x:v>
      </x:c>
      <x:c r="R390" s="8" t="n">
        <x:v>45376</x:v>
      </x:c>
      <x:c r="S390" s="4" t="str">
        <x:v>Retained</x:v>
      </x:c>
      <x:c r="T390" s="10" t="n">
        <x:v>0.204152</x:v>
      </x:c>
      <x:c r="U390" s="4" t="str">
        <x:v>Train</x:v>
      </x:c>
    </x:row>
    <x:row r="391" ht="34" customHeight="1">
      <x:c r="A391" s="4" t="str">
        <x:v>RS-00390</x:v>
      </x:c>
      <x:c r="B391" s="8" t="n">
        <x:v>45317</x:v>
      </x:c>
      <x:c r="C391" s="4" t="str">
        <x:v>PRJ-010</x:v>
      </x:c>
      <x:c r="D391" s="4" t="str">
        <x:v>Villa</x:v>
      </x:c>
      <x:c r="E391" s="4" t="str">
        <x:v>Booked</x:v>
      </x:c>
      <x:c r="F391" s="4" t="str">
        <x:v>CUS-00390</x:v>
      </x:c>
      <x:c r="G391" s="4" t="str">
        <x:v>UNIT-00390</x:v>
      </x:c>
      <x:c r="H391" s="9" t="n">
        <x:v>11800000</x:v>
      </x:c>
      <x:c r="I391" s="10" t="n">
        <x:v>0.03</x:v>
      </x:c>
      <x:c r="J391" s="11" t="n">
        <x:v>6</x:v>
      </x:c>
      <x:c r="K391" s="11" t="n">
        <x:v>9</x:v>
      </x:c>
      <x:c r="L391" s="11" t="n">
        <x:v>0</x:v>
      </x:c>
      <x:c r="M391" s="9" t="n">
        <x:f>ROUND(H391*(1-I391),2)</x:f>
        <x:v>11446000</x:v>
      </x:c>
      <x:c r="N391" s="4" t="str">
        <x:v>Sales manager</x:v>
      </x:c>
      <x:c r="O391" s="4" t="str">
        <x:v>BOOK-00390</x:v>
      </x:c>
      <x:c r="P391" s="9" t="n">
        <x:v>2861500</x:v>
      </x:c>
      <x:c r="Q391" s="11" t="n">
        <x:v>0</x:v>
      </x:c>
      <x:c r="R391" s="8" t="n">
        <x:v>45377</x:v>
      </x:c>
      <x:c r="S391" s="4" t="str">
        <x:v>Retained</x:v>
      </x:c>
      <x:c r="T391" s="10" t="n">
        <x:v>0.145299</x:v>
      </x:c>
      <x:c r="U391" s="4" t="str">
        <x:v>Train</x:v>
      </x:c>
    </x:row>
    <x:row r="392" ht="34" customHeight="1">
      <x:c r="A392" s="4" t="str">
        <x:v>RS-00391</x:v>
      </x:c>
      <x:c r="B392" s="8" t="n">
        <x:v>45318</x:v>
      </x:c>
      <x:c r="C392" s="4" t="str">
        <x:v>PRJ-011</x:v>
      </x:c>
      <x:c r="D392" s="4" t="str">
        <x:v>Office</x:v>
      </x:c>
      <x:c r="E392" s="4" t="str">
        <x:v>Handed over</x:v>
      </x:c>
      <x:c r="F392" s="4" t="str">
        <x:v>CUS-00391</x:v>
      </x:c>
      <x:c r="G392" s="4" t="str">
        <x:v>UNIT-00391</x:v>
      </x:c>
      <x:c r="H392" s="9" t="n">
        <x:v>8000000</x:v>
      </x:c>
      <x:c r="I392" s="10" t="n">
        <x:v>0.09</x:v>
      </x:c>
      <x:c r="J392" s="11" t="n">
        <x:v>6</x:v>
      </x:c>
      <x:c r="K392" s="11" t="n">
        <x:v>9</x:v>
      </x:c>
      <x:c r="L392" s="11" t="n">
        <x:v>0</x:v>
      </x:c>
      <x:c r="M392" s="9" t="n">
        <x:f>ROUND(H392*(1-I392),2)</x:f>
        <x:v>7280000</x:v>
      </x:c>
      <x:c r="N392" s="4" t="str">
        <x:v>Sales head</x:v>
      </x:c>
      <x:c r="O392" s="4" t="str">
        <x:v>BOOK-00391</x:v>
      </x:c>
      <x:c r="P392" s="9" t="n">
        <x:v>728000</x:v>
      </x:c>
      <x:c r="Q392" s="11" t="n">
        <x:v>0</x:v>
      </x:c>
      <x:c r="R392" s="8" t="n">
        <x:v>45378</x:v>
      </x:c>
      <x:c r="S392" s="4" t="str">
        <x:v>Retained</x:v>
      </x:c>
      <x:c r="T392" s="10" t="n">
        <x:v>0.226277</x:v>
      </x:c>
      <x:c r="U392" s="4" t="str">
        <x:v>Train</x:v>
      </x:c>
    </x:row>
    <x:row r="393" ht="34" customHeight="1">
      <x:c r="A393" s="4" t="str">
        <x:v>RS-00392</x:v>
      </x:c>
      <x:c r="B393" s="8" t="n">
        <x:v>45319</x:v>
      </x:c>
      <x:c r="C393" s="4" t="str">
        <x:v>PRJ-012</x:v>
      </x:c>
      <x:c r="D393" s="4" t="str">
        <x:v>Apartment</x:v>
      </x:c>
      <x:c r="E393" s="4" t="str">
        <x:v>Reserved</x:v>
      </x:c>
      <x:c r="F393" s="4" t="str">
        <x:v>CUS-00392</x:v>
      </x:c>
      <x:c r="G393" s="4" t="str">
        <x:v>UNIT-00392</x:v>
      </x:c>
      <x:c r="H393" s="9" t="n">
        <x:v>8000000</x:v>
      </x:c>
      <x:c r="I393" s="10" t="n">
        <x:v>0.07</x:v>
      </x:c>
      <x:c r="J393" s="11" t="n">
        <x:v>1</x:v>
      </x:c>
      <x:c r="K393" s="11" t="n">
        <x:v>3</x:v>
      </x:c>
      <x:c r="L393" s="11" t="n">
        <x:v>1</x:v>
      </x:c>
      <x:c r="M393" s="9" t="n">
        <x:f>ROUND(H393*(1-I393),2)</x:f>
        <x:v>7440000</x:v>
      </x:c>
      <x:c r="N393" s="4" t="str">
        <x:v>Sales manager</x:v>
      </x:c>
      <x:c r="O393" s="4"/>
      <x:c r="P393" s="9" t="n">
        <x:v>0</x:v>
      </x:c>
      <x:c r="Q393" s="11" t="n">
        <x:v>0</x:v>
      </x:c>
      <x:c r="R393" s="8" t="n">
        <x:v>45379</x:v>
      </x:c>
      <x:c r="S393" s="4" t="str">
        <x:v>Retained</x:v>
      </x:c>
      <x:c r="T393" s="10" t="n">
        <x:v>0.204152</x:v>
      </x:c>
      <x:c r="U393" s="4" t="str">
        <x:v>Train</x:v>
      </x:c>
    </x:row>
    <x:row r="394" ht="34" customHeight="1">
      <x:c r="A394" s="4" t="str">
        <x:v>RS-00393</x:v>
      </x:c>
      <x:c r="B394" s="8" t="n">
        <x:v>45292</x:v>
      </x:c>
      <x:c r="C394" s="4" t="str">
        <x:v>PRJ-013</x:v>
      </x:c>
      <x:c r="D394" s="4" t="str">
        <x:v>Retail</x:v>
      </x:c>
      <x:c r="E394" s="4" t="str">
        <x:v>Booked</x:v>
      </x:c>
      <x:c r="F394" s="4" t="str">
        <x:v>CUS-00393</x:v>
      </x:c>
      <x:c r="G394" s="4" t="str">
        <x:v>UNIT-00393</x:v>
      </x:c>
      <x:c r="H394" s="9" t="n">
        <x:v>10600000</x:v>
      </x:c>
      <x:c r="I394" s="10" t="n">
        <x:v>0.09</x:v>
      </x:c>
      <x:c r="J394" s="11" t="n">
        <x:v>12</x:v>
      </x:c>
      <x:c r="K394" s="11" t="n">
        <x:v>2</x:v>
      </x:c>
      <x:c r="L394" s="11" t="n">
        <x:v>0</x:v>
      </x:c>
      <x:c r="M394" s="9" t="n">
        <x:f>ROUND(H394*(1-I394),2)</x:f>
        <x:v>9646000</x:v>
      </x:c>
      <x:c r="N394" s="4" t="str">
        <x:v>Sales head</x:v>
      </x:c>
      <x:c r="O394" s="4" t="str">
        <x:v>BOOK-00393</x:v>
      </x:c>
      <x:c r="P394" s="9" t="n">
        <x:v>9646000</x:v>
      </x:c>
      <x:c r="Q394" s="11" t="n">
        <x:v>0</x:v>
      </x:c>
      <x:c r="R394" s="8" t="n">
        <x:v>45352</x:v>
      </x:c>
      <x:c r="S394" s="4" t="str">
        <x:v>Retained</x:v>
      </x:c>
      <x:c r="T394" s="10" t="n">
        <x:v>0.351536</x:v>
      </x:c>
      <x:c r="U394" s="4" t="str">
        <x:v>Train</x:v>
      </x:c>
    </x:row>
    <x:row r="395" ht="34" customHeight="1">
      <x:c r="A395" s="4" t="str">
        <x:v>RS-00394</x:v>
      </x:c>
      <x:c r="B395" s="8" t="n">
        <x:v>45293</x:v>
      </x:c>
      <x:c r="C395" s="4" t="str">
        <x:v>PRJ-014</x:v>
      </x:c>
      <x:c r="D395" s="4" t="str">
        <x:v>Apartment</x:v>
      </x:c>
      <x:c r="E395" s="4" t="str">
        <x:v>Reserved</x:v>
      </x:c>
      <x:c r="F395" s="4" t="str">
        <x:v>CUS-00394</x:v>
      </x:c>
      <x:c r="G395" s="4" t="str">
        <x:v>UNIT-00394</x:v>
      </x:c>
      <x:c r="H395" s="9" t="n">
        <x:v>19700000</x:v>
      </x:c>
      <x:c r="I395" s="10" t="n">
        <x:v>0.05</x:v>
      </x:c>
      <x:c r="J395" s="11" t="n">
        <x:v>7</x:v>
      </x:c>
      <x:c r="K395" s="11" t="n">
        <x:v>6</x:v>
      </x:c>
      <x:c r="L395" s="11" t="n">
        <x:v>0</x:v>
      </x:c>
      <x:c r="M395" s="9" t="n">
        <x:f>ROUND(H395*(1-I395),2)</x:f>
        <x:v>18715000</x:v>
      </x:c>
      <x:c r="N395" s="4" t="str">
        <x:v>Sales manager</x:v>
      </x:c>
      <x:c r="O395" s="4"/>
      <x:c r="P395" s="9" t="n">
        <x:v>0</x:v>
      </x:c>
      <x:c r="Q395" s="11" t="n">
        <x:v>0</x:v>
      </x:c>
      <x:c r="R395" s="8" t="n">
        <x:v>45353</x:v>
      </x:c>
      <x:c r="S395" s="4" t="str">
        <x:v>Retained</x:v>
      </x:c>
      <x:c r="T395" s="10" t="n">
        <x:v>0.226277</x:v>
      </x:c>
      <x:c r="U395" s="4" t="str">
        <x:v>Train</x:v>
      </x:c>
    </x:row>
    <x:row r="396" ht="34" customHeight="1">
      <x:c r="A396" s="4" t="str">
        <x:v>RS-00395</x:v>
      </x:c>
      <x:c r="B396" s="8" t="n">
        <x:v>45294</x:v>
      </x:c>
      <x:c r="C396" s="4" t="str">
        <x:v>PRJ-015</x:v>
      </x:c>
      <x:c r="D396" s="4" t="str">
        <x:v>Apartment</x:v>
      </x:c>
      <x:c r="E396" s="4" t="str">
        <x:v>Booked</x:v>
      </x:c>
      <x:c r="F396" s="4" t="str">
        <x:v>CUS-00395</x:v>
      </x:c>
      <x:c r="G396" s="4" t="str">
        <x:v>UNIT-00395</x:v>
      </x:c>
      <x:c r="H396" s="9" t="n">
        <x:v>6900000</x:v>
      </x:c>
      <x:c r="I396" s="10" t="n">
        <x:v>0.1</x:v>
      </x:c>
      <x:c r="J396" s="11" t="n">
        <x:v>12</x:v>
      </x:c>
      <x:c r="K396" s="11" t="n">
        <x:v>5</x:v>
      </x:c>
      <x:c r="L396" s="11" t="n">
        <x:v>1</x:v>
      </x:c>
      <x:c r="M396" s="9" t="n">
        <x:f>ROUND(H396*(1-I396),2)</x:f>
        <x:v>6210000</x:v>
      </x:c>
      <x:c r="N396" s="4" t="str">
        <x:v>Sales head</x:v>
      </x:c>
      <x:c r="O396" s="4" t="str">
        <x:v>BOOK-00395</x:v>
      </x:c>
      <x:c r="P396" s="9" t="n">
        <x:v>1552500</x:v>
      </x:c>
      <x:c r="Q396" s="11" t="n">
        <x:v>0</x:v>
      </x:c>
      <x:c r="R396" s="8" t="n">
        <x:v>45354</x:v>
      </x:c>
      <x:c r="S396" s="4" t="str">
        <x:v>Retained</x:v>
      </x:c>
      <x:c r="T396" s="10" t="n">
        <x:v>0.351536</x:v>
      </x:c>
      <x:c r="U396" s="4" t="str">
        <x:v>Train</x:v>
      </x:c>
    </x:row>
    <x:row r="397" ht="34" customHeight="1">
      <x:c r="A397" s="4" t="str">
        <x:v>RS-00396</x:v>
      </x:c>
      <x:c r="B397" s="8" t="n">
        <x:v>45295</x:v>
      </x:c>
      <x:c r="C397" s="4" t="str">
        <x:v>PRJ-016</x:v>
      </x:c>
      <x:c r="D397" s="4" t="str">
        <x:v>Retail</x:v>
      </x:c>
      <x:c r="E397" s="4" t="str">
        <x:v>Reserved</x:v>
      </x:c>
      <x:c r="F397" s="4" t="str">
        <x:v>CUS-00396</x:v>
      </x:c>
      <x:c r="G397" s="4" t="str">
        <x:v>UNIT-00396</x:v>
      </x:c>
      <x:c r="H397" s="9" t="n">
        <x:v>11800000</x:v>
      </x:c>
      <x:c r="I397" s="10" t="n">
        <x:v>0.05</x:v>
      </x:c>
      <x:c r="J397" s="11" t="n">
        <x:v>1</x:v>
      </x:c>
      <x:c r="K397" s="11" t="n">
        <x:v>4</x:v>
      </x:c>
      <x:c r="L397" s="11" t="n">
        <x:v>1</x:v>
      </x:c>
      <x:c r="M397" s="9" t="n">
        <x:f>ROUND(H397*(1-I397),2)</x:f>
        <x:v>11210000</x:v>
      </x:c>
      <x:c r="N397" s="4" t="str">
        <x:v>Sales manager</x:v>
      </x:c>
      <x:c r="O397" s="4"/>
      <x:c r="P397" s="9" t="n">
        <x:v>0</x:v>
      </x:c>
      <x:c r="Q397" s="11" t="n">
        <x:v>0</x:v>
      </x:c>
      <x:c r="R397" s="8" t="n">
        <x:v>45355</x:v>
      </x:c>
      <x:c r="S397" s="4" t="str">
        <x:v>Retained</x:v>
      </x:c>
      <x:c r="T397" s="10" t="n">
        <x:v>0.204152</x:v>
      </x:c>
      <x:c r="U397" s="4" t="str">
        <x:v>Train</x:v>
      </x:c>
    </x:row>
    <x:row r="398" ht="34" customHeight="1">
      <x:c r="A398" s="4" t="str">
        <x:v>RS-00397</x:v>
      </x:c>
      <x:c r="B398" s="8" t="n">
        <x:v>45296</x:v>
      </x:c>
      <x:c r="C398" s="4" t="str">
        <x:v>PRJ-017</x:v>
      </x:c>
      <x:c r="D398" s="4" t="str">
        <x:v>Retail</x:v>
      </x:c>
      <x:c r="E398" s="4" t="str">
        <x:v>Enquiry</x:v>
      </x:c>
      <x:c r="F398" s="4" t="str">
        <x:v>CUS-00397</x:v>
      </x:c>
      <x:c r="G398" s="4" t="str">
        <x:v>UNIT-00397</x:v>
      </x:c>
      <x:c r="H398" s="9" t="n">
        <x:v>9300000</x:v>
      </x:c>
      <x:c r="I398" s="10" t="n">
        <x:v>0.03</x:v>
      </x:c>
      <x:c r="J398" s="11" t="n">
        <x:v>9</x:v>
      </x:c>
      <x:c r="K398" s="11" t="n">
        <x:v>0</x:v>
      </x:c>
      <x:c r="L398" s="11" t="n">
        <x:v>1</x:v>
      </x:c>
      <x:c r="M398" s="9" t="n">
        <x:f>ROUND(H398*(1-I398),2)</x:f>
        <x:v>9021000</x:v>
      </x:c>
      <x:c r="N398" s="4" t="str">
        <x:v>Sales manager</x:v>
      </x:c>
      <x:c r="O398" s="4"/>
      <x:c r="P398" s="9" t="n">
        <x:v>0</x:v>
      </x:c>
      <x:c r="Q398" s="11" t="n">
        <x:v>0</x:v>
      </x:c>
      <x:c r="R398" s="8" t="n">
        <x:v>45356</x:v>
      </x:c>
      <x:c r="S398" s="4" t="str">
        <x:v>Retained</x:v>
      </x:c>
      <x:c r="T398" s="10" t="n">
        <x:v>0.310195</x:v>
      </x:c>
      <x:c r="U398" s="4" t="str">
        <x:v>Train</x:v>
      </x:c>
    </x:row>
    <x:row r="399" ht="34" customHeight="1">
      <x:c r="A399" s="4" t="str">
        <x:v>RS-00398</x:v>
      </x:c>
      <x:c r="B399" s="8" t="n">
        <x:v>45297</x:v>
      </x:c>
      <x:c r="C399" s="4" t="str">
        <x:v>PRJ-018</x:v>
      </x:c>
      <x:c r="D399" s="4" t="str">
        <x:v>Apartment</x:v>
      </x:c>
      <x:c r="E399" s="4" t="str">
        <x:v>Handed over</x:v>
      </x:c>
      <x:c r="F399" s="4" t="str">
        <x:v>CUS-00398</x:v>
      </x:c>
      <x:c r="G399" s="4" t="str">
        <x:v>UNIT-00398</x:v>
      </x:c>
      <x:c r="H399" s="9" t="n">
        <x:v>12900000</x:v>
      </x:c>
      <x:c r="I399" s="10" t="n">
        <x:v>0.04</x:v>
      </x:c>
      <x:c r="J399" s="11" t="n">
        <x:v>9</x:v>
      </x:c>
      <x:c r="K399" s="11" t="n">
        <x:v>3</x:v>
      </x:c>
      <x:c r="L399" s="11" t="n">
        <x:v>1</x:v>
      </x:c>
      <x:c r="M399" s="9" t="n">
        <x:f>ROUND(H399*(1-I399),2)</x:f>
        <x:v>12384000</x:v>
      </x:c>
      <x:c r="N399" s="4" t="str">
        <x:v>Sales manager</x:v>
      </x:c>
      <x:c r="O399" s="4" t="str">
        <x:v>BOOK-00398</x:v>
      </x:c>
      <x:c r="P399" s="9" t="n">
        <x:v>1238400</x:v>
      </x:c>
      <x:c r="Q399" s="11" t="n">
        <x:v>0</x:v>
      </x:c>
      <x:c r="R399" s="8" t="n">
        <x:v>45357</x:v>
      </x:c>
      <x:c r="S399" s="4" t="str">
        <x:v>Retained</x:v>
      </x:c>
      <x:c r="T399" s="10" t="n">
        <x:v>0.310195</x:v>
      </x:c>
      <x:c r="U399" s="4" t="str">
        <x:v>Train</x:v>
      </x:c>
    </x:row>
    <x:row r="400" ht="34" customHeight="1">
      <x:c r="A400" s="4" t="str">
        <x:v>RS-00399</x:v>
      </x:c>
      <x:c r="B400" s="8" t="n">
        <x:v>45298</x:v>
      </x:c>
      <x:c r="C400" s="4" t="str">
        <x:v>PRJ-019</x:v>
      </x:c>
      <x:c r="D400" s="4" t="str">
        <x:v>Retail</x:v>
      </x:c>
      <x:c r="E400" s="4" t="str">
        <x:v>Reserved</x:v>
      </x:c>
      <x:c r="F400" s="4" t="str">
        <x:v>CUS-00399</x:v>
      </x:c>
      <x:c r="G400" s="4" t="str">
        <x:v>UNIT-00399</x:v>
      </x:c>
      <x:c r="H400" s="9" t="n">
        <x:v>18000000</x:v>
      </x:c>
      <x:c r="I400" s="10" t="n">
        <x:v>0.06</x:v>
      </x:c>
      <x:c r="J400" s="11" t="n">
        <x:v>4</x:v>
      </x:c>
      <x:c r="K400" s="11" t="n">
        <x:v>0</x:v>
      </x:c>
      <x:c r="L400" s="11" t="n">
        <x:v>0</x:v>
      </x:c>
      <x:c r="M400" s="9" t="n">
        <x:f>ROUND(H400*(1-I400),2)</x:f>
        <x:v>16920000</x:v>
      </x:c>
      <x:c r="N400" s="4" t="str">
        <x:v>Sales manager</x:v>
      </x:c>
      <x:c r="O400" s="4"/>
      <x:c r="P400" s="9" t="n">
        <x:v>0</x:v>
      </x:c>
      <x:c r="Q400" s="11" t="n">
        <x:v>0</x:v>
      </x:c>
      <x:c r="R400" s="8" t="n">
        <x:v>45358</x:v>
      </x:c>
      <x:c r="S400" s="4" t="str">
        <x:v>Retained</x:v>
      </x:c>
      <x:c r="T400" s="10" t="n">
        <x:v>0.226277</x:v>
      </x:c>
      <x:c r="U400" s="4" t="str">
        <x:v>Train</x:v>
      </x:c>
    </x:row>
    <x:row r="401" ht="34" customHeight="1">
      <x:c r="A401" s="4" t="str">
        <x:v>RS-00400</x:v>
      </x:c>
      <x:c r="B401" s="8" t="n">
        <x:v>45299</x:v>
      </x:c>
      <x:c r="C401" s="4" t="str">
        <x:v>PRJ-020</x:v>
      </x:c>
      <x:c r="D401" s="4" t="str">
        <x:v>Office</x:v>
      </x:c>
      <x:c r="E401" s="4" t="str">
        <x:v>Reserved</x:v>
      </x:c>
      <x:c r="F401" s="4" t="str">
        <x:v>CUS-00400</x:v>
      </x:c>
      <x:c r="G401" s="4" t="str">
        <x:v>UNIT-00400</x:v>
      </x:c>
      <x:c r="H401" s="9" t="n">
        <x:v>23700000</x:v>
      </x:c>
      <x:c r="I401" s="10" t="n">
        <x:v>0.08</x:v>
      </x:c>
      <x:c r="J401" s="11" t="n">
        <x:v>10</x:v>
      </x:c>
      <x:c r="K401" s="11" t="n">
        <x:v>2</x:v>
      </x:c>
      <x:c r="L401" s="11" t="n">
        <x:v>0</x:v>
      </x:c>
      <x:c r="M401" s="9" t="n">
        <x:f>ROUND(H401*(1-I401),2)</x:f>
        <x:v>21804000</x:v>
      </x:c>
      <x:c r="N401" s="4" t="str">
        <x:v>Sales head</x:v>
      </x:c>
      <x:c r="O401" s="4"/>
      <x:c r="P401" s="9" t="n">
        <x:v>0</x:v>
      </x:c>
      <x:c r="Q401" s="11" t="n">
        <x:v>1</x:v>
      </x:c>
      <x:c r="R401" s="8" t="n">
        <x:v>45359</x:v>
      </x:c>
      <x:c r="S401" s="4" t="str">
        <x:v>Lost / cancelled</x:v>
      </x:c>
      <x:c r="T401" s="10" t="n">
        <x:v>0.310195</x:v>
      </x:c>
      <x:c r="U401" s="4" t="str">
        <x:v>Train</x:v>
      </x:c>
    </x:row>
    <x:row r="402" ht="34" customHeight="1">
      <x:c r="A402" s="4" t="str">
        <x:v>RS-00401</x:v>
      </x:c>
      <x:c r="B402" s="8" t="n">
        <x:v>45300</x:v>
      </x:c>
      <x:c r="C402" s="4" t="str">
        <x:v>PRJ-001</x:v>
      </x:c>
      <x:c r="D402" s="4" t="str">
        <x:v>Retail</x:v>
      </x:c>
      <x:c r="E402" s="4" t="str">
        <x:v>Agreement signed</x:v>
      </x:c>
      <x:c r="F402" s="4" t="str">
        <x:v>CUS-00401</x:v>
      </x:c>
      <x:c r="G402" s="4" t="str">
        <x:v>UNIT-00401</x:v>
      </x:c>
      <x:c r="H402" s="9" t="n">
        <x:v>4100000</x:v>
      </x:c>
      <x:c r="I402" s="10" t="n">
        <x:v>0.03</x:v>
      </x:c>
      <x:c r="J402" s="11" t="n">
        <x:v>0</x:v>
      </x:c>
      <x:c r="K402" s="11" t="n">
        <x:v>10</x:v>
      </x:c>
      <x:c r="L402" s="11" t="n">
        <x:v>1</x:v>
      </x:c>
      <x:c r="M402" s="9" t="n">
        <x:f>ROUND(H402*(1-I402),2)</x:f>
        <x:v>3977000</x:v>
      </x:c>
      <x:c r="N402" s="4" t="str">
        <x:v>Sales manager</x:v>
      </x:c>
      <x:c r="O402" s="4" t="str">
        <x:v>BOOK-00401</x:v>
      </x:c>
      <x:c r="P402" s="9" t="n">
        <x:v>397700</x:v>
      </x:c>
      <x:c r="Q402" s="11" t="n">
        <x:v>0</x:v>
      </x:c>
      <x:c r="R402" s="8" t="n">
        <x:v>45360</x:v>
      </x:c>
      <x:c r="S402" s="4" t="str">
        <x:v>Retained</x:v>
      </x:c>
      <x:c r="T402" s="10" t="n">
        <x:v>0.072165</x:v>
      </x:c>
      <x:c r="U402" s="4" t="str">
        <x:v>Train</x:v>
      </x:c>
    </x:row>
    <x:row r="403" ht="34" customHeight="1">
      <x:c r="A403" s="4" t="str">
        <x:v>RS-00402</x:v>
      </x:c>
      <x:c r="B403" s="8" t="n">
        <x:v>45301</x:v>
      </x:c>
      <x:c r="C403" s="4" t="str">
        <x:v>PRJ-002</x:v>
      </x:c>
      <x:c r="D403" s="4" t="str">
        <x:v>Villa</x:v>
      </x:c>
      <x:c r="E403" s="4" t="str">
        <x:v>Cancelled</x:v>
      </x:c>
      <x:c r="F403" s="4" t="str">
        <x:v>CUS-00402</x:v>
      </x:c>
      <x:c r="G403" s="4" t="str">
        <x:v>UNIT-00402</x:v>
      </x:c>
      <x:c r="H403" s="9" t="n">
        <x:v>16600000</x:v>
      </x:c>
      <x:c r="I403" s="10" t="n">
        <x:v>0.07</x:v>
      </x:c>
      <x:c r="J403" s="11" t="n">
        <x:v>10</x:v>
      </x:c>
      <x:c r="K403" s="11" t="n">
        <x:v>2</x:v>
      </x:c>
      <x:c r="L403" s="11" t="n">
        <x:v>1</x:v>
      </x:c>
      <x:c r="M403" s="9" t="n">
        <x:f>ROUND(H403*(1-I403),2)</x:f>
        <x:v>15438000</x:v>
      </x:c>
      <x:c r="N403" s="4" t="str">
        <x:v>Sales manager</x:v>
      </x:c>
      <x:c r="O403" s="4"/>
      <x:c r="P403" s="9" t="n">
        <x:v>0</x:v>
      </x:c>
      <x:c r="Q403" s="11" t="n">
        <x:v>1</x:v>
      </x:c>
      <x:c r="R403" s="8" t="n">
        <x:v>45361</x:v>
      </x:c>
      <x:c r="S403" s="4" t="str">
        <x:v>Lost / cancelled</x:v>
      </x:c>
      <x:c r="T403" s="10" t="n">
        <x:v>0.310195</x:v>
      </x:c>
      <x:c r="U403" s="4" t="str">
        <x:v>Train</x:v>
      </x:c>
    </x:row>
    <x:row r="404" ht="34" customHeight="1">
      <x:c r="A404" s="4" t="str">
        <x:v>RS-00403</x:v>
      </x:c>
      <x:c r="B404" s="8" t="n">
        <x:v>45302</x:v>
      </x:c>
      <x:c r="C404" s="4" t="str">
        <x:v>PRJ-003</x:v>
      </x:c>
      <x:c r="D404" s="4" t="str">
        <x:v>Office</x:v>
      </x:c>
      <x:c r="E404" s="4" t="str">
        <x:v>Enquiry</x:v>
      </x:c>
      <x:c r="F404" s="4" t="str">
        <x:v>CUS-00403</x:v>
      </x:c>
      <x:c r="G404" s="4" t="str">
        <x:v>UNIT-00403</x:v>
      </x:c>
      <x:c r="H404" s="9" t="n">
        <x:v>22000000</x:v>
      </x:c>
      <x:c r="I404" s="10" t="n">
        <x:v>0.07</x:v>
      </x:c>
      <x:c r="J404" s="11" t="n">
        <x:v>7</x:v>
      </x:c>
      <x:c r="K404" s="11" t="n">
        <x:v>2</x:v>
      </x:c>
      <x:c r="L404" s="11" t="n">
        <x:v>0</x:v>
      </x:c>
      <x:c r="M404" s="9" t="n">
        <x:f>ROUND(H404*(1-I404),2)</x:f>
        <x:v>20460000</x:v>
      </x:c>
      <x:c r="N404" s="4" t="str">
        <x:v>Sales manager</x:v>
      </x:c>
      <x:c r="O404" s="4"/>
      <x:c r="P404" s="9" t="n">
        <x:v>0</x:v>
      </x:c>
      <x:c r="Q404" s="11" t="n">
        <x:v>0</x:v>
      </x:c>
      <x:c r="R404" s="8" t="n">
        <x:v>45362</x:v>
      </x:c>
      <x:c r="S404" s="4" t="str">
        <x:v>Retained</x:v>
      </x:c>
      <x:c r="T404" s="10" t="n">
        <x:v>0.226277</x:v>
      </x:c>
      <x:c r="U404" s="4" t="str">
        <x:v>Train</x:v>
      </x:c>
    </x:row>
    <x:row r="405" ht="34" customHeight="1">
      <x:c r="A405" s="4" t="str">
        <x:v>RS-00404</x:v>
      </x:c>
      <x:c r="B405" s="8" t="n">
        <x:v>45303</x:v>
      </x:c>
      <x:c r="C405" s="4" t="str">
        <x:v>PRJ-004</x:v>
      </x:c>
      <x:c r="D405" s="4" t="str">
        <x:v>Retail</x:v>
      </x:c>
      <x:c r="E405" s="4" t="str">
        <x:v>Handed over</x:v>
      </x:c>
      <x:c r="F405" s="4" t="str">
        <x:v>CUS-00404</x:v>
      </x:c>
      <x:c r="G405" s="4" t="str">
        <x:v>UNIT-00404</x:v>
      </x:c>
      <x:c r="H405" s="9" t="n">
        <x:v>14700000</x:v>
      </x:c>
      <x:c r="I405" s="10" t="n">
        <x:v>0.07</x:v>
      </x:c>
      <x:c r="J405" s="11" t="n">
        <x:v>2</x:v>
      </x:c>
      <x:c r="K405" s="11" t="n">
        <x:v>10</x:v>
      </x:c>
      <x:c r="L405" s="11" t="n">
        <x:v>0</x:v>
      </x:c>
      <x:c r="M405" s="9" t="n">
        <x:f>ROUND(H405*(1-I405),2)</x:f>
        <x:v>13671000</x:v>
      </x:c>
      <x:c r="N405" s="4" t="str">
        <x:v>Sales manager</x:v>
      </x:c>
      <x:c r="O405" s="4" t="str">
        <x:v>BOOK-00404</x:v>
      </x:c>
      <x:c r="P405" s="9" t="n">
        <x:v>6835500</x:v>
      </x:c>
      <x:c r="Q405" s="11" t="n">
        <x:v>0</x:v>
      </x:c>
      <x:c r="R405" s="8" t="n">
        <x:v>45363</x:v>
      </x:c>
      <x:c r="S405" s="4" t="str">
        <x:v>Retained</x:v>
      </x:c>
      <x:c r="T405" s="10" t="n">
        <x:v>0.204152</x:v>
      </x:c>
      <x:c r="U405" s="4" t="str">
        <x:v>Train</x:v>
      </x:c>
    </x:row>
    <x:row r="406" ht="34" customHeight="1">
      <x:c r="A406" s="4" t="str">
        <x:v>RS-00405</x:v>
      </x:c>
      <x:c r="B406" s="8" t="n">
        <x:v>45304</x:v>
      </x:c>
      <x:c r="C406" s="4" t="str">
        <x:v>PRJ-005</x:v>
      </x:c>
      <x:c r="D406" s="4" t="str">
        <x:v>Retail</x:v>
      </x:c>
      <x:c r="E406" s="4" t="str">
        <x:v>Booked</x:v>
      </x:c>
      <x:c r="F406" s="4" t="str">
        <x:v>CUS-00405</x:v>
      </x:c>
      <x:c r="G406" s="4" t="str">
        <x:v>UNIT-00405</x:v>
      </x:c>
      <x:c r="H406" s="9" t="n">
        <x:v>12900000</x:v>
      </x:c>
      <x:c r="I406" s="10" t="n">
        <x:v>0.01</x:v>
      </x:c>
      <x:c r="J406" s="11" t="n">
        <x:v>7</x:v>
      </x:c>
      <x:c r="K406" s="11" t="n">
        <x:v>4</x:v>
      </x:c>
      <x:c r="L406" s="11" t="n">
        <x:v>1</x:v>
      </x:c>
      <x:c r="M406" s="9" t="n">
        <x:f>ROUND(H406*(1-I406),2)</x:f>
        <x:v>12771000</x:v>
      </x:c>
      <x:c r="N406" s="4" t="str">
        <x:v>Sales manager</x:v>
      </x:c>
      <x:c r="O406" s="4" t="str">
        <x:v>BOOK-00405</x:v>
      </x:c>
      <x:c r="P406" s="9" t="n">
        <x:v>1277100</x:v>
      </x:c>
      <x:c r="Q406" s="11" t="n">
        <x:v>0</x:v>
      </x:c>
      <x:c r="R406" s="8" t="n">
        <x:v>45364</x:v>
      </x:c>
      <x:c r="S406" s="4" t="str">
        <x:v>Retained</x:v>
      </x:c>
      <x:c r="T406" s="10" t="n">
        <x:v>0.298969</x:v>
      </x:c>
      <x:c r="U406" s="4" t="str">
        <x:v>Train</x:v>
      </x:c>
    </x:row>
    <x:row r="407" ht="34" customHeight="1">
      <x:c r="A407" s="4" t="str">
        <x:v>RS-00406</x:v>
      </x:c>
      <x:c r="B407" s="8" t="n">
        <x:v>45305</x:v>
      </x:c>
      <x:c r="C407" s="4" t="str">
        <x:v>PRJ-006</x:v>
      </x:c>
      <x:c r="D407" s="4" t="str">
        <x:v>Retail</x:v>
      </x:c>
      <x:c r="E407" s="4" t="str">
        <x:v>Agreement signed</x:v>
      </x:c>
      <x:c r="F407" s="4" t="str">
        <x:v>CUS-00406</x:v>
      </x:c>
      <x:c r="G407" s="4" t="str">
        <x:v>UNIT-00406</x:v>
      </x:c>
      <x:c r="H407" s="9" t="n">
        <x:v>3000000</x:v>
      </x:c>
      <x:c r="I407" s="10" t="n">
        <x:v>0.04</x:v>
      </x:c>
      <x:c r="J407" s="11" t="n">
        <x:v>4</x:v>
      </x:c>
      <x:c r="K407" s="11" t="n">
        <x:v>10</x:v>
      </x:c>
      <x:c r="L407" s="11" t="n">
        <x:v>1</x:v>
      </x:c>
      <x:c r="M407" s="9" t="n">
        <x:f>ROUND(H407*(1-I407),2)</x:f>
        <x:v>2880000</x:v>
      </x:c>
      <x:c r="N407" s="4" t="str">
        <x:v>Sales manager</x:v>
      </x:c>
      <x:c r="O407" s="4" t="str">
        <x:v>BOOK-00406</x:v>
      </x:c>
      <x:c r="P407" s="9" t="n">
        <x:v>288000</x:v>
      </x:c>
      <x:c r="Q407" s="11" t="n">
        <x:v>0</x:v>
      </x:c>
      <x:c r="R407" s="8" t="n">
        <x:v>45365</x:v>
      </x:c>
      <x:c r="S407" s="4" t="str">
        <x:v>Retained</x:v>
      </x:c>
      <x:c r="T407" s="10" t="n">
        <x:v>0.291946</x:v>
      </x:c>
      <x:c r="U407" s="4" t="str">
        <x:v>Train</x:v>
      </x:c>
    </x:row>
    <x:row r="408" ht="34" customHeight="1">
      <x:c r="A408" s="4" t="str">
        <x:v>RS-00407</x:v>
      </x:c>
      <x:c r="B408" s="8" t="n">
        <x:v>45306</x:v>
      </x:c>
      <x:c r="C408" s="4" t="str">
        <x:v>PRJ-007</x:v>
      </x:c>
      <x:c r="D408" s="4" t="str">
        <x:v>Villa</x:v>
      </x:c>
      <x:c r="E408" s="4" t="str">
        <x:v>Reserved</x:v>
      </x:c>
      <x:c r="F408" s="4" t="str">
        <x:v>CUS-00407</x:v>
      </x:c>
      <x:c r="G408" s="4" t="str">
        <x:v>UNIT-00407</x:v>
      </x:c>
      <x:c r="H408" s="9" t="n">
        <x:v>10600000</x:v>
      </x:c>
      <x:c r="I408" s="10" t="n">
        <x:v>0.12</x:v>
      </x:c>
      <x:c r="J408" s="11" t="n">
        <x:v>4</x:v>
      </x:c>
      <x:c r="K408" s="11" t="n">
        <x:v>10</x:v>
      </x:c>
      <x:c r="L408" s="11" t="n">
        <x:v>0</x:v>
      </x:c>
      <x:c r="M408" s="9" t="n">
        <x:f>ROUND(H408*(1-I408),2)</x:f>
        <x:v>9328000</x:v>
      </x:c>
      <x:c r="N408" s="4" t="str">
        <x:v>Sales head</x:v>
      </x:c>
      <x:c r="O408" s="4"/>
      <x:c r="P408" s="9" t="n">
        <x:v>0</x:v>
      </x:c>
      <x:c r="Q408" s="11" t="n">
        <x:v>0</x:v>
      </x:c>
      <x:c r="R408" s="8" t="n">
        <x:v>45366</x:v>
      </x:c>
      <x:c r="S408" s="4" t="str">
        <x:v>Retained</x:v>
      </x:c>
      <x:c r="T408" s="10" t="n">
        <x:v>0.226277</x:v>
      </x:c>
      <x:c r="U408" s="4" t="str">
        <x:v>Train</x:v>
      </x:c>
    </x:row>
    <x:row r="409" ht="34" customHeight="1">
      <x:c r="A409" s="4" t="str">
        <x:v>RS-00408</x:v>
      </x:c>
      <x:c r="B409" s="8" t="n">
        <x:v>45307</x:v>
      </x:c>
      <x:c r="C409" s="4" t="str">
        <x:v>PRJ-008</x:v>
      </x:c>
      <x:c r="D409" s="4" t="str">
        <x:v>Retail</x:v>
      </x:c>
      <x:c r="E409" s="4" t="str">
        <x:v>Booked</x:v>
      </x:c>
      <x:c r="F409" s="4" t="str">
        <x:v>CUS-00408</x:v>
      </x:c>
      <x:c r="G409" s="4" t="str">
        <x:v>UNIT-00408</x:v>
      </x:c>
      <x:c r="H409" s="9" t="n">
        <x:v>12100000</x:v>
      </x:c>
      <x:c r="I409" s="10" t="n">
        <x:v>0.04</x:v>
      </x:c>
      <x:c r="J409" s="11" t="n">
        <x:v>10</x:v>
      </x:c>
      <x:c r="K409" s="11" t="n">
        <x:v>2</x:v>
      </x:c>
      <x:c r="L409" s="11" t="n">
        <x:v>1</x:v>
      </x:c>
      <x:c r="M409" s="9" t="n">
        <x:f>ROUND(H409*(1-I409),2)</x:f>
        <x:v>11616000</x:v>
      </x:c>
      <x:c r="N409" s="4" t="str">
        <x:v>Sales manager</x:v>
      </x:c>
      <x:c r="O409" s="4" t="str">
        <x:v>BOOK-00408</x:v>
      </x:c>
      <x:c r="P409" s="9" t="n">
        <x:v>2904000</x:v>
      </x:c>
      <x:c r="Q409" s="11" t="n">
        <x:v>0</x:v>
      </x:c>
      <x:c r="R409" s="8" t="n">
        <x:v>45367</x:v>
      </x:c>
      <x:c r="S409" s="4" t="str">
        <x:v>Retained</x:v>
      </x:c>
      <x:c r="T409" s="10" t="n">
        <x:v>0.310195</x:v>
      </x:c>
      <x:c r="U409" s="4" t="str">
        <x:v>Train</x:v>
      </x:c>
    </x:row>
    <x:row r="410" ht="34" customHeight="1">
      <x:c r="A410" s="4" t="str">
        <x:v>RS-00409</x:v>
      </x:c>
      <x:c r="B410" s="8" t="n">
        <x:v>45308</x:v>
      </x:c>
      <x:c r="C410" s="4" t="str">
        <x:v>PRJ-009</x:v>
      </x:c>
      <x:c r="D410" s="4" t="str">
        <x:v>Retail</x:v>
      </x:c>
      <x:c r="E410" s="4" t="str">
        <x:v>Cancelled</x:v>
      </x:c>
      <x:c r="F410" s="4" t="str">
        <x:v>CUS-00409</x:v>
      </x:c>
      <x:c r="G410" s="4" t="str">
        <x:v>UNIT-00409</x:v>
      </x:c>
      <x:c r="H410" s="9" t="n">
        <x:v>5400000</x:v>
      </x:c>
      <x:c r="I410" s="10" t="n">
        <x:v>0.11</x:v>
      </x:c>
      <x:c r="J410" s="11" t="n">
        <x:v>6</x:v>
      </x:c>
      <x:c r="K410" s="11" t="n">
        <x:v>0</x:v>
      </x:c>
      <x:c r="L410" s="11" t="n">
        <x:v>1</x:v>
      </x:c>
      <x:c r="M410" s="9" t="n">
        <x:f>ROUND(H410*(1-I410),2)</x:f>
        <x:v>4806000</x:v>
      </x:c>
      <x:c r="N410" s="4" t="str">
        <x:v>Sales head</x:v>
      </x:c>
      <x:c r="O410" s="4"/>
      <x:c r="P410" s="9" t="n">
        <x:v>0</x:v>
      </x:c>
      <x:c r="Q410" s="11" t="n">
        <x:v>1</x:v>
      </x:c>
      <x:c r="R410" s="8" t="n">
        <x:v>45368</x:v>
      </x:c>
      <x:c r="S410" s="4" t="str">
        <x:v>Lost / cancelled</x:v>
      </x:c>
      <x:c r="T410" s="10" t="n">
        <x:v>0.291946</x:v>
      </x:c>
      <x:c r="U410" s="4" t="str">
        <x:v>Train</x:v>
      </x:c>
    </x:row>
    <x:row r="411" ht="34" customHeight="1">
      <x:c r="A411" s="4" t="str">
        <x:v>RS-00410</x:v>
      </x:c>
      <x:c r="B411" s="8" t="n">
        <x:v>45309</x:v>
      </x:c>
      <x:c r="C411" s="4" t="str">
        <x:v>PRJ-010</x:v>
      </x:c>
      <x:c r="D411" s="4" t="str">
        <x:v>Villa</x:v>
      </x:c>
      <x:c r="E411" s="4" t="str">
        <x:v>Agreement signed</x:v>
      </x:c>
      <x:c r="F411" s="4" t="str">
        <x:v>CUS-00410</x:v>
      </x:c>
      <x:c r="G411" s="4" t="str">
        <x:v>UNIT-00410</x:v>
      </x:c>
      <x:c r="H411" s="9" t="n">
        <x:v>5200000</x:v>
      </x:c>
      <x:c r="I411" s="10" t="n">
        <x:v>0</x:v>
      </x:c>
      <x:c r="J411" s="11" t="n">
        <x:v>9</x:v>
      </x:c>
      <x:c r="K411" s="11" t="n">
        <x:v>3</x:v>
      </x:c>
      <x:c r="L411" s="11" t="n">
        <x:v>0</x:v>
      </x:c>
      <x:c r="M411" s="9" t="n">
        <x:f>ROUND(H411*(1-I411),2)</x:f>
        <x:v>5200000</x:v>
      </x:c>
      <x:c r="N411" s="4" t="str">
        <x:v>Sales manager</x:v>
      </x:c>
      <x:c r="O411" s="4" t="str">
        <x:v>BOOK-00410</x:v>
      </x:c>
      <x:c r="P411" s="9" t="n">
        <x:v>520000</x:v>
      </x:c>
      <x:c r="Q411" s="11" t="n">
        <x:v>0</x:v>
      </x:c>
      <x:c r="R411" s="8" t="n">
        <x:v>45369</x:v>
      </x:c>
      <x:c r="S411" s="4" t="str">
        <x:v>Retained</x:v>
      </x:c>
      <x:c r="T411" s="10" t="n">
        <x:v>0.305556</x:v>
      </x:c>
      <x:c r="U411" s="4" t="str">
        <x:v>Train</x:v>
      </x:c>
    </x:row>
    <x:row r="412" ht="34" customHeight="1">
      <x:c r="A412" s="4" t="str">
        <x:v>RS-00411</x:v>
      </x:c>
      <x:c r="B412" s="8" t="n">
        <x:v>45310</x:v>
      </x:c>
      <x:c r="C412" s="4" t="str">
        <x:v>PRJ-011</x:v>
      </x:c>
      <x:c r="D412" s="4" t="str">
        <x:v>Office</x:v>
      </x:c>
      <x:c r="E412" s="4" t="str">
        <x:v>Enquiry</x:v>
      </x:c>
      <x:c r="F412" s="4" t="str">
        <x:v>CUS-00411</x:v>
      </x:c>
      <x:c r="G412" s="4" t="str">
        <x:v>UNIT-00411</x:v>
      </x:c>
      <x:c r="H412" s="9" t="n">
        <x:v>17200000</x:v>
      </x:c>
      <x:c r="I412" s="10" t="n">
        <x:v>0.07</x:v>
      </x:c>
      <x:c r="J412" s="11" t="n">
        <x:v>7</x:v>
      </x:c>
      <x:c r="K412" s="11" t="n">
        <x:v>0</x:v>
      </x:c>
      <x:c r="L412" s="11" t="n">
        <x:v>1</x:v>
      </x:c>
      <x:c r="M412" s="9" t="n">
        <x:f>ROUND(H412*(1-I412),2)</x:f>
        <x:v>15996000</x:v>
      </x:c>
      <x:c r="N412" s="4" t="str">
        <x:v>Sales manager</x:v>
      </x:c>
      <x:c r="O412" s="4"/>
      <x:c r="P412" s="9" t="n">
        <x:v>0</x:v>
      </x:c>
      <x:c r="Q412" s="11" t="n">
        <x:v>0</x:v>
      </x:c>
      <x:c r="R412" s="8" t="n">
        <x:v>45370</x:v>
      </x:c>
      <x:c r="S412" s="4" t="str">
        <x:v>Retained</x:v>
      </x:c>
      <x:c r="T412" s="10" t="n">
        <x:v>0.291946</x:v>
      </x:c>
      <x:c r="U412" s="4" t="str">
        <x:v>Train</x:v>
      </x:c>
    </x:row>
    <x:row r="413" ht="34" customHeight="1">
      <x:c r="A413" s="4" t="str">
        <x:v>RS-00412</x:v>
      </x:c>
      <x:c r="B413" s="8" t="n">
        <x:v>45311</x:v>
      </x:c>
      <x:c r="C413" s="4" t="str">
        <x:v>PRJ-012</x:v>
      </x:c>
      <x:c r="D413" s="4" t="str">
        <x:v>Office</x:v>
      </x:c>
      <x:c r="E413" s="4" t="str">
        <x:v>Handed over</x:v>
      </x:c>
      <x:c r="F413" s="4" t="str">
        <x:v>CUS-00412</x:v>
      </x:c>
      <x:c r="G413" s="4" t="str">
        <x:v>UNIT-00412</x:v>
      </x:c>
      <x:c r="H413" s="9" t="n">
        <x:v>16700000</x:v>
      </x:c>
      <x:c r="I413" s="10" t="n">
        <x:v>0.08</x:v>
      </x:c>
      <x:c r="J413" s="11" t="n">
        <x:v>3</x:v>
      </x:c>
      <x:c r="K413" s="11" t="n">
        <x:v>8</x:v>
      </x:c>
      <x:c r="L413" s="11" t="n">
        <x:v>0</x:v>
      </x:c>
      <x:c r="M413" s="9" t="n">
        <x:f>ROUND(H413*(1-I413),2)</x:f>
        <x:v>15364000</x:v>
      </x:c>
      <x:c r="N413" s="4" t="str">
        <x:v>Sales head</x:v>
      </x:c>
      <x:c r="O413" s="4" t="str">
        <x:v>BOOK-00412</x:v>
      </x:c>
      <x:c r="P413" s="9" t="n">
        <x:v>15364000</x:v>
      </x:c>
      <x:c r="Q413" s="11" t="n">
        <x:v>0</x:v>
      </x:c>
      <x:c r="R413" s="8" t="n">
        <x:v>45371</x:v>
      </x:c>
      <x:c r="S413" s="4" t="str">
        <x:v>Retained</x:v>
      </x:c>
      <x:c r="T413" s="10" t="n">
        <x:v>0.204152</x:v>
      </x:c>
      <x:c r="U413" s="4" t="str">
        <x:v>Train</x:v>
      </x:c>
    </x:row>
    <x:row r="414" ht="34" customHeight="1">
      <x:c r="A414" s="4" t="str">
        <x:v>RS-00413</x:v>
      </x:c>
      <x:c r="B414" s="8" t="n">
        <x:v>45312</x:v>
      </x:c>
      <x:c r="C414" s="4" t="str">
        <x:v>PRJ-013</x:v>
      </x:c>
      <x:c r="D414" s="4" t="str">
        <x:v>Retail</x:v>
      </x:c>
      <x:c r="E414" s="4" t="str">
        <x:v>Handed over</x:v>
      </x:c>
      <x:c r="F414" s="4" t="str">
        <x:v>CUS-00413</x:v>
      </x:c>
      <x:c r="G414" s="4" t="str">
        <x:v>UNIT-00413</x:v>
      </x:c>
      <x:c r="H414" s="9" t="n">
        <x:v>8500000</x:v>
      </x:c>
      <x:c r="I414" s="10" t="n">
        <x:v>0.08</x:v>
      </x:c>
      <x:c r="J414" s="11" t="n">
        <x:v>5</x:v>
      </x:c>
      <x:c r="K414" s="11" t="n">
        <x:v>3</x:v>
      </x:c>
      <x:c r="L414" s="11" t="n">
        <x:v>1</x:v>
      </x:c>
      <x:c r="M414" s="9" t="n">
        <x:f>ROUND(H414*(1-I414),2)</x:f>
        <x:v>7820000</x:v>
      </x:c>
      <x:c r="N414" s="4" t="str">
        <x:v>Sales head</x:v>
      </x:c>
      <x:c r="O414" s="4" t="str">
        <x:v>BOOK-00413</x:v>
      </x:c>
      <x:c r="P414" s="9" t="n">
        <x:v>782000</x:v>
      </x:c>
      <x:c r="Q414" s="11" t="n">
        <x:v>0</x:v>
      </x:c>
      <x:c r="R414" s="8" t="n">
        <x:v>45372</x:v>
      </x:c>
      <x:c r="S414" s="4" t="str">
        <x:v>Retained</x:v>
      </x:c>
      <x:c r="T414" s="10" t="n">
        <x:v>0.291946</x:v>
      </x:c>
      <x:c r="U414" s="4" t="str">
        <x:v>Train</x:v>
      </x:c>
    </x:row>
    <x:row r="415" ht="34" customHeight="1">
      <x:c r="A415" s="4" t="str">
        <x:v>RS-00414</x:v>
      </x:c>
      <x:c r="B415" s="8" t="n">
        <x:v>45313</x:v>
      </x:c>
      <x:c r="C415" s="4" t="str">
        <x:v>PRJ-014</x:v>
      </x:c>
      <x:c r="D415" s="4" t="str">
        <x:v>Retail</x:v>
      </x:c>
      <x:c r="E415" s="4" t="str">
        <x:v>Booked</x:v>
      </x:c>
      <x:c r="F415" s="4" t="str">
        <x:v>CUS-00414</x:v>
      </x:c>
      <x:c r="G415" s="4" t="str">
        <x:v>UNIT-00414</x:v>
      </x:c>
      <x:c r="H415" s="9" t="n">
        <x:v>24200000</x:v>
      </x:c>
      <x:c r="I415" s="10" t="n">
        <x:v>0.02</x:v>
      </x:c>
      <x:c r="J415" s="11" t="n">
        <x:v>2</x:v>
      </x:c>
      <x:c r="K415" s="11" t="n">
        <x:v>10</x:v>
      </x:c>
      <x:c r="L415" s="11" t="n">
        <x:v>1</x:v>
      </x:c>
      <x:c r="M415" s="9" t="n">
        <x:f>ROUND(H415*(1-I415),2)</x:f>
        <x:v>23716000</x:v>
      </x:c>
      <x:c r="N415" s="4" t="str">
        <x:v>Sales manager</x:v>
      </x:c>
      <x:c r="O415" s="4" t="str">
        <x:v>BOOK-00414</x:v>
      </x:c>
      <x:c r="P415" s="9" t="n">
        <x:v>11858000</x:v>
      </x:c>
      <x:c r="Q415" s="11" t="n">
        <x:v>0</x:v>
      </x:c>
      <x:c r="R415" s="8" t="n">
        <x:v>45373</x:v>
      </x:c>
      <x:c r="S415" s="4" t="str">
        <x:v>Retained</x:v>
      </x:c>
      <x:c r="T415" s="10" t="n">
        <x:v>0.171717</x:v>
      </x:c>
      <x:c r="U415" s="4" t="str">
        <x:v>Train</x:v>
      </x:c>
    </x:row>
    <x:row r="416" ht="34" customHeight="1">
      <x:c r="A416" s="4" t="str">
        <x:v>RS-00415</x:v>
      </x:c>
      <x:c r="B416" s="8" t="n">
        <x:v>45314</x:v>
      </x:c>
      <x:c r="C416" s="4" t="str">
        <x:v>PRJ-015</x:v>
      </x:c>
      <x:c r="D416" s="4" t="str">
        <x:v>Apartment</x:v>
      </x:c>
      <x:c r="E416" s="4" t="str">
        <x:v>Handed over</x:v>
      </x:c>
      <x:c r="F416" s="4" t="str">
        <x:v>CUS-00415</x:v>
      </x:c>
      <x:c r="G416" s="4" t="str">
        <x:v>UNIT-00415</x:v>
      </x:c>
      <x:c r="H416" s="9" t="n">
        <x:v>23500000</x:v>
      </x:c>
      <x:c r="I416" s="10" t="n">
        <x:v>0.09</x:v>
      </x:c>
      <x:c r="J416" s="11" t="n">
        <x:v>5</x:v>
      </x:c>
      <x:c r="K416" s="11" t="n">
        <x:v>7</x:v>
      </x:c>
      <x:c r="L416" s="11" t="n">
        <x:v>0</x:v>
      </x:c>
      <x:c r="M416" s="9" t="n">
        <x:f>ROUND(H416*(1-I416),2)</x:f>
        <x:v>21385000</x:v>
      </x:c>
      <x:c r="N416" s="4" t="str">
        <x:v>Sales head</x:v>
      </x:c>
      <x:c r="O416" s="4" t="str">
        <x:v>BOOK-00415</x:v>
      </x:c>
      <x:c r="P416" s="9" t="n">
        <x:v>21385000</x:v>
      </x:c>
      <x:c r="Q416" s="11" t="n">
        <x:v>0</x:v>
      </x:c>
      <x:c r="R416" s="8" t="n">
        <x:v>45374</x:v>
      </x:c>
      <x:c r="S416" s="4" t="str">
        <x:v>Retained</x:v>
      </x:c>
      <x:c r="T416" s="10" t="n">
        <x:v>0.226277</x:v>
      </x:c>
      <x:c r="U416" s="4" t="str">
        <x:v>Train</x:v>
      </x:c>
    </x:row>
    <x:row r="417" ht="34" customHeight="1">
      <x:c r="A417" s="4" t="str">
        <x:v>RS-00416</x:v>
      </x:c>
      <x:c r="B417" s="8" t="n">
        <x:v>45315</x:v>
      </x:c>
      <x:c r="C417" s="4" t="str">
        <x:v>PRJ-016</x:v>
      </x:c>
      <x:c r="D417" s="4" t="str">
        <x:v>Retail</x:v>
      </x:c>
      <x:c r="E417" s="4" t="str">
        <x:v>Enquiry</x:v>
      </x:c>
      <x:c r="F417" s="4" t="str">
        <x:v>CUS-00416</x:v>
      </x:c>
      <x:c r="G417" s="4" t="str">
        <x:v>UNIT-00416</x:v>
      </x:c>
      <x:c r="H417" s="9" t="n">
        <x:v>24400000</x:v>
      </x:c>
      <x:c r="I417" s="10" t="n">
        <x:v>0.08</x:v>
      </x:c>
      <x:c r="J417" s="11" t="n">
        <x:v>10</x:v>
      </x:c>
      <x:c r="K417" s="11" t="n">
        <x:v>6</x:v>
      </x:c>
      <x:c r="L417" s="11" t="n">
        <x:v>0</x:v>
      </x:c>
      <x:c r="M417" s="9" t="n">
        <x:f>ROUND(H417*(1-I417),2)</x:f>
        <x:v>22448000</x:v>
      </x:c>
      <x:c r="N417" s="4" t="str">
        <x:v>Sales head</x:v>
      </x:c>
      <x:c r="O417" s="4"/>
      <x:c r="P417" s="9" t="n">
        <x:v>0</x:v>
      </x:c>
      <x:c r="Q417" s="11" t="n">
        <x:v>0</x:v>
      </x:c>
      <x:c r="R417" s="8" t="n">
        <x:v>45375</x:v>
      </x:c>
      <x:c r="S417" s="4" t="str">
        <x:v>Retained</x:v>
      </x:c>
      <x:c r="T417" s="10" t="n">
        <x:v>0.310195</x:v>
      </x:c>
      <x:c r="U417" s="4" t="str">
        <x:v>Train</x:v>
      </x:c>
    </x:row>
    <x:row r="418" ht="34" customHeight="1">
      <x:c r="A418" s="4" t="str">
        <x:v>RS-00417</x:v>
      </x:c>
      <x:c r="B418" s="8" t="n">
        <x:v>45316</x:v>
      </x:c>
      <x:c r="C418" s="4" t="str">
        <x:v>PRJ-017</x:v>
      </x:c>
      <x:c r="D418" s="4" t="str">
        <x:v>Retail</x:v>
      </x:c>
      <x:c r="E418" s="4" t="str">
        <x:v>Enquiry</x:v>
      </x:c>
      <x:c r="F418" s="4" t="str">
        <x:v>CUS-00417</x:v>
      </x:c>
      <x:c r="G418" s="4" t="str">
        <x:v>UNIT-00417</x:v>
      </x:c>
      <x:c r="H418" s="9" t="n">
        <x:v>11600000</x:v>
      </x:c>
      <x:c r="I418" s="10" t="n">
        <x:v>0.07</x:v>
      </x:c>
      <x:c r="J418" s="11" t="n">
        <x:v>12</x:v>
      </x:c>
      <x:c r="K418" s="11" t="n">
        <x:v>6</x:v>
      </x:c>
      <x:c r="L418" s="11" t="n">
        <x:v>0</x:v>
      </x:c>
      <x:c r="M418" s="9" t="n">
        <x:f>ROUND(H418*(1-I418),2)</x:f>
        <x:v>10788000</x:v>
      </x:c>
      <x:c r="N418" s="4" t="str">
        <x:v>Sales manager</x:v>
      </x:c>
      <x:c r="O418" s="4"/>
      <x:c r="P418" s="9" t="n">
        <x:v>0</x:v>
      </x:c>
      <x:c r="Q418" s="11" t="n">
        <x:v>1</x:v>
      </x:c>
      <x:c r="R418" s="8" t="n">
        <x:v>45376</x:v>
      </x:c>
      <x:c r="S418" s="4" t="str">
        <x:v>Lost / cancelled</x:v>
      </x:c>
      <x:c r="T418" s="10" t="n">
        <x:v>0.351536</x:v>
      </x:c>
      <x:c r="U418" s="4" t="str">
        <x:v>Train</x:v>
      </x:c>
    </x:row>
    <x:row r="419" ht="34" customHeight="1">
      <x:c r="A419" s="4" t="str">
        <x:v>RS-00418</x:v>
      </x:c>
      <x:c r="B419" s="8" t="n">
        <x:v>45317</x:v>
      </x:c>
      <x:c r="C419" s="4" t="str">
        <x:v>PRJ-018</x:v>
      </x:c>
      <x:c r="D419" s="4" t="str">
        <x:v>Apartment</x:v>
      </x:c>
      <x:c r="E419" s="4" t="str">
        <x:v>Cancelled</x:v>
      </x:c>
      <x:c r="F419" s="4" t="str">
        <x:v>CUS-00418</x:v>
      </x:c>
      <x:c r="G419" s="4" t="str">
        <x:v>UNIT-00418</x:v>
      </x:c>
      <x:c r="H419" s="9" t="n">
        <x:v>12700000</x:v>
      </x:c>
      <x:c r="I419" s="10" t="n">
        <x:v>0.08</x:v>
      </x:c>
      <x:c r="J419" s="11" t="n">
        <x:v>0</x:v>
      </x:c>
      <x:c r="K419" s="11" t="n">
        <x:v>7</x:v>
      </x:c>
      <x:c r="L419" s="11" t="n">
        <x:v>0</x:v>
      </x:c>
      <x:c r="M419" s="9" t="n">
        <x:f>ROUND(H419*(1-I419),2)</x:f>
        <x:v>11684000</x:v>
      </x:c>
      <x:c r="N419" s="4" t="str">
        <x:v>Sales head</x:v>
      </x:c>
      <x:c r="O419" s="4"/>
      <x:c r="P419" s="9" t="n">
        <x:v>0</x:v>
      </x:c>
      <x:c r="Q419" s="11" t="n">
        <x:v>1</x:v>
      </x:c>
      <x:c r="R419" s="8" t="n">
        <x:v>45377</x:v>
      </x:c>
      <x:c r="S419" s="4" t="str">
        <x:v>Lost / cancelled</x:v>
      </x:c>
      <x:c r="T419" s="10" t="n">
        <x:v>0.204152</x:v>
      </x:c>
      <x:c r="U419" s="4" t="str">
        <x:v>Train</x:v>
      </x:c>
    </x:row>
    <x:row r="420" ht="34" customHeight="1">
      <x:c r="A420" s="4" t="str">
        <x:v>RS-00419</x:v>
      </x:c>
      <x:c r="B420" s="8" t="n">
        <x:v>45318</x:v>
      </x:c>
      <x:c r="C420" s="4" t="str">
        <x:v>PRJ-019</x:v>
      </x:c>
      <x:c r="D420" s="4" t="str">
        <x:v>Apartment</x:v>
      </x:c>
      <x:c r="E420" s="4" t="str">
        <x:v>Cancelled</x:v>
      </x:c>
      <x:c r="F420" s="4" t="str">
        <x:v>CUS-00419</x:v>
      </x:c>
      <x:c r="G420" s="4" t="str">
        <x:v>UNIT-00419</x:v>
      </x:c>
      <x:c r="H420" s="9" t="n">
        <x:v>11000000</x:v>
      </x:c>
      <x:c r="I420" s="10" t="n">
        <x:v>0.09</x:v>
      </x:c>
      <x:c r="J420" s="11" t="n">
        <x:v>0</x:v>
      </x:c>
      <x:c r="K420" s="11" t="n">
        <x:v>4</x:v>
      </x:c>
      <x:c r="L420" s="11" t="n">
        <x:v>0</x:v>
      </x:c>
      <x:c r="M420" s="9" t="n">
        <x:f>ROUND(H420*(1-I420),2)</x:f>
        <x:v>10010000</x:v>
      </x:c>
      <x:c r="N420" s="4" t="str">
        <x:v>Sales head</x:v>
      </x:c>
      <x:c r="O420" s="4"/>
      <x:c r="P420" s="9" t="n">
        <x:v>0</x:v>
      </x:c>
      <x:c r="Q420" s="11" t="n">
        <x:v>1</x:v>
      </x:c>
      <x:c r="R420" s="8" t="n">
        <x:v>45378</x:v>
      </x:c>
      <x:c r="S420" s="4" t="str">
        <x:v>Lost / cancelled</x:v>
      </x:c>
      <x:c r="T420" s="10" t="n">
        <x:v>0.145833</x:v>
      </x:c>
      <x:c r="U420" s="4" t="str">
        <x:v>Train</x:v>
      </x:c>
    </x:row>
    <x:row r="421" ht="34" customHeight="1">
      <x:c r="A421" s="4" t="str">
        <x:v>RS-00420</x:v>
      </x:c>
      <x:c r="B421" s="8" t="n">
        <x:v>45319</x:v>
      </x:c>
      <x:c r="C421" s="4" t="str">
        <x:v>PRJ-020</x:v>
      </x:c>
      <x:c r="D421" s="4" t="str">
        <x:v>Office</x:v>
      </x:c>
      <x:c r="E421" s="4" t="str">
        <x:v>Enquiry</x:v>
      </x:c>
      <x:c r="F421" s="4" t="str">
        <x:v>CUS-00420</x:v>
      </x:c>
      <x:c r="G421" s="4" t="str">
        <x:v>UNIT-00420</x:v>
      </x:c>
      <x:c r="H421" s="9" t="n">
        <x:v>22600000</x:v>
      </x:c>
      <x:c r="I421" s="10" t="n">
        <x:v>0.03</x:v>
      </x:c>
      <x:c r="J421" s="11" t="n">
        <x:v>0</x:v>
      </x:c>
      <x:c r="K421" s="11" t="n">
        <x:v>9</x:v>
      </x:c>
      <x:c r="L421" s="11" t="n">
        <x:v>1</x:v>
      </x:c>
      <x:c r="M421" s="9" t="n">
        <x:f>ROUND(H421*(1-I421),2)</x:f>
        <x:v>21922000</x:v>
      </x:c>
      <x:c r="N421" s="4" t="str">
        <x:v>Sales manager</x:v>
      </x:c>
      <x:c r="O421" s="4"/>
      <x:c r="P421" s="9" t="n">
        <x:v>0</x:v>
      </x:c>
      <x:c r="Q421" s="11" t="n">
        <x:v>0</x:v>
      </x:c>
      <x:c r="R421" s="8" t="n">
        <x:v>45379</x:v>
      </x:c>
      <x:c r="S421" s="4" t="str">
        <x:v>Retained</x:v>
      </x:c>
      <x:c r="T421" s="10" t="n">
        <x:v>0.072165</x:v>
      </x:c>
      <x:c r="U421" s="4" t="str">
        <x:v>Train</x:v>
      </x:c>
    </x:row>
    <x:row r="422" ht="34" customHeight="1">
      <x:c r="A422" s="4" t="str">
        <x:v>RS-00421</x:v>
      </x:c>
      <x:c r="B422" s="8" t="n">
        <x:v>45292</x:v>
      </x:c>
      <x:c r="C422" s="4" t="str">
        <x:v>PRJ-001</x:v>
      </x:c>
      <x:c r="D422" s="4" t="str">
        <x:v>Retail</x:v>
      </x:c>
      <x:c r="E422" s="4" t="str">
        <x:v>Reserved</x:v>
      </x:c>
      <x:c r="F422" s="4" t="str">
        <x:v>CUS-00421</x:v>
      </x:c>
      <x:c r="G422" s="4" t="str">
        <x:v>UNIT-00421</x:v>
      </x:c>
      <x:c r="H422" s="9" t="n">
        <x:v>11700000</x:v>
      </x:c>
      <x:c r="I422" s="10" t="n">
        <x:v>0.01</x:v>
      </x:c>
      <x:c r="J422" s="11" t="n">
        <x:v>12</x:v>
      </x:c>
      <x:c r="K422" s="11" t="n">
        <x:v>10</x:v>
      </x:c>
      <x:c r="L422" s="11" t="n">
        <x:v>1</x:v>
      </x:c>
      <x:c r="M422" s="9" t="n">
        <x:f>ROUND(H422*(1-I422),2)</x:f>
        <x:v>11583000</x:v>
      </x:c>
      <x:c r="N422" s="4" t="str">
        <x:v>Sales manager</x:v>
      </x:c>
      <x:c r="O422" s="4"/>
      <x:c r="P422" s="9" t="n">
        <x:v>0</x:v>
      </x:c>
      <x:c r="Q422" s="11" t="n">
        <x:v>0</x:v>
      </x:c>
      <x:c r="R422" s="8" t="n">
        <x:v>45352</x:v>
      </x:c>
      <x:c r="S422" s="4" t="str">
        <x:v>Retained</x:v>
      </x:c>
      <x:c r="T422" s="10" t="n">
        <x:v>0.254545</x:v>
      </x:c>
      <x:c r="U422" s="4" t="str">
        <x:v>Train</x:v>
      </x:c>
    </x:row>
    <x:row r="423" ht="34" customHeight="1">
      <x:c r="A423" s="4" t="str">
        <x:v>RS-00422</x:v>
      </x:c>
      <x:c r="B423" s="8" t="n">
        <x:v>45293</x:v>
      </x:c>
      <x:c r="C423" s="4" t="str">
        <x:v>PRJ-002</x:v>
      </x:c>
      <x:c r="D423" s="4" t="str">
        <x:v>Retail</x:v>
      </x:c>
      <x:c r="E423" s="4" t="str">
        <x:v>Handed over</x:v>
      </x:c>
      <x:c r="F423" s="4" t="str">
        <x:v>CUS-00422</x:v>
      </x:c>
      <x:c r="G423" s="4" t="str">
        <x:v>UNIT-00422</x:v>
      </x:c>
      <x:c r="H423" s="9" t="n">
        <x:v>12100000</x:v>
      </x:c>
      <x:c r="I423" s="10" t="n">
        <x:v>0.07</x:v>
      </x:c>
      <x:c r="J423" s="11" t="n">
        <x:v>0</x:v>
      </x:c>
      <x:c r="K423" s="11" t="n">
        <x:v>4</x:v>
      </x:c>
      <x:c r="L423" s="11" t="n">
        <x:v>1</x:v>
      </x:c>
      <x:c r="M423" s="9" t="n">
        <x:f>ROUND(H423*(1-I423),2)</x:f>
        <x:v>11253000</x:v>
      </x:c>
      <x:c r="N423" s="4" t="str">
        <x:v>Sales manager</x:v>
      </x:c>
      <x:c r="O423" s="4" t="str">
        <x:v>BOOK-00422</x:v>
      </x:c>
      <x:c r="P423" s="9" t="n">
        <x:v>5626500</x:v>
      </x:c>
      <x:c r="Q423" s="11" t="n">
        <x:v>0</x:v>
      </x:c>
      <x:c r="R423" s="8" t="n">
        <x:v>45353</x:v>
      </x:c>
      <x:c r="S423" s="4" t="str">
        <x:v>Retained</x:v>
      </x:c>
      <x:c r="T423" s="10" t="n">
        <x:v>0.204152</x:v>
      </x:c>
      <x:c r="U423" s="4" t="str">
        <x:v>Train</x:v>
      </x:c>
    </x:row>
    <x:row r="424" ht="34" customHeight="1">
      <x:c r="A424" s="4" t="str">
        <x:v>RS-00423</x:v>
      </x:c>
      <x:c r="B424" s="8" t="n">
        <x:v>45294</x:v>
      </x:c>
      <x:c r="C424" s="4" t="str">
        <x:v>PRJ-003</x:v>
      </x:c>
      <x:c r="D424" s="4" t="str">
        <x:v>Apartment</x:v>
      </x:c>
      <x:c r="E424" s="4" t="str">
        <x:v>Reserved</x:v>
      </x:c>
      <x:c r="F424" s="4" t="str">
        <x:v>CUS-00423</x:v>
      </x:c>
      <x:c r="G424" s="4" t="str">
        <x:v>UNIT-00423</x:v>
      </x:c>
      <x:c r="H424" s="9" t="n">
        <x:v>16900000</x:v>
      </x:c>
      <x:c r="I424" s="10" t="n">
        <x:v>0.06</x:v>
      </x:c>
      <x:c r="J424" s="11" t="n">
        <x:v>3</x:v>
      </x:c>
      <x:c r="K424" s="11" t="n">
        <x:v>2</x:v>
      </x:c>
      <x:c r="L424" s="11" t="n">
        <x:v>1</x:v>
      </x:c>
      <x:c r="M424" s="9" t="n">
        <x:f>ROUND(H424*(1-I424),2)</x:f>
        <x:v>15886000</x:v>
      </x:c>
      <x:c r="N424" s="4" t="str">
        <x:v>Sales manager</x:v>
      </x:c>
      <x:c r="O424" s="4"/>
      <x:c r="P424" s="9" t="n">
        <x:v>0</x:v>
      </x:c>
      <x:c r="Q424" s="11" t="n">
        <x:v>0</x:v>
      </x:c>
      <x:c r="R424" s="8" t="n">
        <x:v>45354</x:v>
      </x:c>
      <x:c r="S424" s="4" t="str">
        <x:v>Retained</x:v>
      </x:c>
      <x:c r="T424" s="10" t="n">
        <x:v>0.204152</x:v>
      </x:c>
      <x:c r="U424" s="4" t="str">
        <x:v>Train</x:v>
      </x:c>
    </x:row>
    <x:row r="425" ht="34" customHeight="1">
      <x:c r="A425" s="4" t="str">
        <x:v>RS-00424</x:v>
      </x:c>
      <x:c r="B425" s="8" t="n">
        <x:v>45295</x:v>
      </x:c>
      <x:c r="C425" s="4" t="str">
        <x:v>PRJ-004</x:v>
      </x:c>
      <x:c r="D425" s="4" t="str">
        <x:v>Retail</x:v>
      </x:c>
      <x:c r="E425" s="4" t="str">
        <x:v>Cancelled</x:v>
      </x:c>
      <x:c r="F425" s="4" t="str">
        <x:v>CUS-00424</x:v>
      </x:c>
      <x:c r="G425" s="4" t="str">
        <x:v>UNIT-00424</x:v>
      </x:c>
      <x:c r="H425" s="9" t="n">
        <x:v>4600000</x:v>
      </x:c>
      <x:c r="I425" s="10" t="n">
        <x:v>0.01</x:v>
      </x:c>
      <x:c r="J425" s="11" t="n">
        <x:v>4</x:v>
      </x:c>
      <x:c r="K425" s="11" t="n">
        <x:v>1</x:v>
      </x:c>
      <x:c r="L425" s="11" t="n">
        <x:v>1</x:v>
      </x:c>
      <x:c r="M425" s="9" t="n">
        <x:f>ROUND(H425*(1-I425),2)</x:f>
        <x:v>4554000</x:v>
      </x:c>
      <x:c r="N425" s="4" t="str">
        <x:v>Sales manager</x:v>
      </x:c>
      <x:c r="O425" s="4"/>
      <x:c r="P425" s="9" t="n">
        <x:v>0</x:v>
      </x:c>
      <x:c r="Q425" s="11" t="n">
        <x:v>1</x:v>
      </x:c>
      <x:c r="R425" s="8" t="n">
        <x:v>45355</x:v>
      </x:c>
      <x:c r="S425" s="4" t="str">
        <x:v>Lost / cancelled</x:v>
      </x:c>
      <x:c r="T425" s="10" t="n">
        <x:v>0.298969</x:v>
      </x:c>
      <x:c r="U425" s="4" t="str">
        <x:v>Train</x:v>
      </x:c>
    </x:row>
    <x:row r="426" ht="34" customHeight="1">
      <x:c r="A426" s="4" t="str">
        <x:v>RS-00425</x:v>
      </x:c>
      <x:c r="B426" s="8" t="n">
        <x:v>45296</x:v>
      </x:c>
      <x:c r="C426" s="4" t="str">
        <x:v>PRJ-005</x:v>
      </x:c>
      <x:c r="D426" s="4" t="str">
        <x:v>Retail</x:v>
      </x:c>
      <x:c r="E426" s="4" t="str">
        <x:v>Booked</x:v>
      </x:c>
      <x:c r="F426" s="4" t="str">
        <x:v>CUS-00425</x:v>
      </x:c>
      <x:c r="G426" s="4" t="str">
        <x:v>UNIT-00425</x:v>
      </x:c>
      <x:c r="H426" s="9" t="n">
        <x:v>13500000</x:v>
      </x:c>
      <x:c r="I426" s="10" t="n">
        <x:v>0.11</x:v>
      </x:c>
      <x:c r="J426" s="11" t="n">
        <x:v>10</x:v>
      </x:c>
      <x:c r="K426" s="11" t="n">
        <x:v>9</x:v>
      </x:c>
      <x:c r="L426" s="11" t="n">
        <x:v>1</x:v>
      </x:c>
      <x:c r="M426" s="9" t="n">
        <x:f>ROUND(H426*(1-I426),2)</x:f>
        <x:v>12015000</x:v>
      </x:c>
      <x:c r="N426" s="4" t="str">
        <x:v>Sales head</x:v>
      </x:c>
      <x:c r="O426" s="4" t="str">
        <x:v>BOOK-00425</x:v>
      </x:c>
      <x:c r="P426" s="9" t="n">
        <x:v>6007500</x:v>
      </x:c>
      <x:c r="Q426" s="11" t="n">
        <x:v>0</x:v>
      </x:c>
      <x:c r="R426" s="8" t="n">
        <x:v>45356</x:v>
      </x:c>
      <x:c r="S426" s="4" t="str">
        <x:v>Retained</x:v>
      </x:c>
      <x:c r="T426" s="10" t="n">
        <x:v>0.310195</x:v>
      </x:c>
      <x:c r="U426" s="4" t="str">
        <x:v>Train</x:v>
      </x:c>
    </x:row>
    <x:row r="427" ht="34" customHeight="1">
      <x:c r="A427" s="4" t="str">
        <x:v>RS-00426</x:v>
      </x:c>
      <x:c r="B427" s="8" t="n">
        <x:v>45297</x:v>
      </x:c>
      <x:c r="C427" s="4" t="str">
        <x:v>PRJ-006</x:v>
      </x:c>
      <x:c r="D427" s="4" t="str">
        <x:v>Retail</x:v>
      </x:c>
      <x:c r="E427" s="4" t="str">
        <x:v>Agreement signed</x:v>
      </x:c>
      <x:c r="F427" s="4" t="str">
        <x:v>CUS-00426</x:v>
      </x:c>
      <x:c r="G427" s="4" t="str">
        <x:v>UNIT-00426</x:v>
      </x:c>
      <x:c r="H427" s="9" t="n">
        <x:v>20200000</x:v>
      </x:c>
      <x:c r="I427" s="10" t="n">
        <x:v>0.1</x:v>
      </x:c>
      <x:c r="J427" s="11" t="n">
        <x:v>0</x:v>
      </x:c>
      <x:c r="K427" s="11" t="n">
        <x:v>0</x:v>
      </x:c>
      <x:c r="L427" s="11" t="n">
        <x:v>1</x:v>
      </x:c>
      <x:c r="M427" s="9" t="n">
        <x:f>ROUND(H427*(1-I427),2)</x:f>
        <x:v>18180000</x:v>
      </x:c>
      <x:c r="N427" s="4" t="str">
        <x:v>Sales head</x:v>
      </x:c>
      <x:c r="O427" s="4" t="str">
        <x:v>BOOK-00426</x:v>
      </x:c>
      <x:c r="P427" s="9" t="n">
        <x:v>1818000</x:v>
      </x:c>
      <x:c r="Q427" s="11" t="n">
        <x:v>0</x:v>
      </x:c>
      <x:c r="R427" s="8" t="n">
        <x:v>45357</x:v>
      </x:c>
      <x:c r="S427" s="4" t="str">
        <x:v>Retained</x:v>
      </x:c>
      <x:c r="T427" s="10" t="n">
        <x:v>0.276923</x:v>
      </x:c>
      <x:c r="U427" s="4" t="str">
        <x:v>Train</x:v>
      </x:c>
    </x:row>
    <x:row r="428" ht="34" customHeight="1">
      <x:c r="A428" s="4" t="str">
        <x:v>RS-00427</x:v>
      </x:c>
      <x:c r="B428" s="8" t="n">
        <x:v>45298</x:v>
      </x:c>
      <x:c r="C428" s="4" t="str">
        <x:v>PRJ-007</x:v>
      </x:c>
      <x:c r="D428" s="4" t="str">
        <x:v>Apartment</x:v>
      </x:c>
      <x:c r="E428" s="4" t="str">
        <x:v>Reserved</x:v>
      </x:c>
      <x:c r="F428" s="4" t="str">
        <x:v>CUS-00427</x:v>
      </x:c>
      <x:c r="G428" s="4" t="str">
        <x:v>UNIT-00427</x:v>
      </x:c>
      <x:c r="H428" s="9" t="n">
        <x:v>17800000</x:v>
      </x:c>
      <x:c r="I428" s="10" t="n">
        <x:v>0.09</x:v>
      </x:c>
      <x:c r="J428" s="11" t="n">
        <x:v>4</x:v>
      </x:c>
      <x:c r="K428" s="11" t="n">
        <x:v>6</x:v>
      </x:c>
      <x:c r="L428" s="11" t="n">
        <x:v>0</x:v>
      </x:c>
      <x:c r="M428" s="9" t="n">
        <x:f>ROUND(H428*(1-I428),2)</x:f>
        <x:v>16198000</x:v>
      </x:c>
      <x:c r="N428" s="4" t="str">
        <x:v>Sales head</x:v>
      </x:c>
      <x:c r="O428" s="4"/>
      <x:c r="P428" s="9" t="n">
        <x:v>0</x:v>
      </x:c>
      <x:c r="Q428" s="11" t="n">
        <x:v>1</x:v>
      </x:c>
      <x:c r="R428" s="8" t="n">
        <x:v>45358</x:v>
      </x:c>
      <x:c r="S428" s="4" t="str">
        <x:v>Lost / cancelled</x:v>
      </x:c>
      <x:c r="T428" s="10" t="n">
        <x:v>0.226277</x:v>
      </x:c>
      <x:c r="U428" s="4" t="str">
        <x:v>Train</x:v>
      </x:c>
    </x:row>
    <x:row r="429" ht="34" customHeight="1">
      <x:c r="A429" s="4" t="str">
        <x:v>RS-00428</x:v>
      </x:c>
      <x:c r="B429" s="8" t="n">
        <x:v>45299</x:v>
      </x:c>
      <x:c r="C429" s="4" t="str">
        <x:v>PRJ-008</x:v>
      </x:c>
      <x:c r="D429" s="4" t="str">
        <x:v>Apartment</x:v>
      </x:c>
      <x:c r="E429" s="4" t="str">
        <x:v>Handed over</x:v>
      </x:c>
      <x:c r="F429" s="4" t="str">
        <x:v>CUS-00428</x:v>
      </x:c>
      <x:c r="G429" s="4" t="str">
        <x:v>UNIT-00428</x:v>
      </x:c>
      <x:c r="H429" s="9" t="n">
        <x:v>8200000</x:v>
      </x:c>
      <x:c r="I429" s="10" t="n">
        <x:v>0.01</x:v>
      </x:c>
      <x:c r="J429" s="11" t="n">
        <x:v>10</x:v>
      </x:c>
      <x:c r="K429" s="11" t="n">
        <x:v>0</x:v>
      </x:c>
      <x:c r="L429" s="11" t="n">
        <x:v>0</x:v>
      </x:c>
      <x:c r="M429" s="9" t="n">
        <x:f>ROUND(H429*(1-I429),2)</x:f>
        <x:v>8118000</x:v>
      </x:c>
      <x:c r="N429" s="4" t="str">
        <x:v>Sales manager</x:v>
      </x:c>
      <x:c r="O429" s="4" t="str">
        <x:v>BOOK-00428</x:v>
      </x:c>
      <x:c r="P429" s="9" t="n">
        <x:v>811800</x:v>
      </x:c>
      <x:c r="Q429" s="11" t="n">
        <x:v>0</x:v>
      </x:c>
      <x:c r="R429" s="8" t="n">
        <x:v>45359</x:v>
      </x:c>
      <x:c r="S429" s="4" t="str">
        <x:v>Retained</x:v>
      </x:c>
      <x:c r="T429" s="10" t="n">
        <x:v>0.305556</x:v>
      </x:c>
      <x:c r="U429" s="4" t="str">
        <x:v>Train</x:v>
      </x:c>
    </x:row>
    <x:row r="430" ht="34" customHeight="1">
      <x:c r="A430" s="4" t="str">
        <x:v>RS-00429</x:v>
      </x:c>
      <x:c r="B430" s="8" t="n">
        <x:v>45300</x:v>
      </x:c>
      <x:c r="C430" s="4" t="str">
        <x:v>PRJ-009</x:v>
      </x:c>
      <x:c r="D430" s="4" t="str">
        <x:v>Apartment</x:v>
      </x:c>
      <x:c r="E430" s="4" t="str">
        <x:v>Enquiry</x:v>
      </x:c>
      <x:c r="F430" s="4" t="str">
        <x:v>CUS-00429</x:v>
      </x:c>
      <x:c r="G430" s="4" t="str">
        <x:v>UNIT-00429</x:v>
      </x:c>
      <x:c r="H430" s="9" t="n">
        <x:v>4500000</x:v>
      </x:c>
      <x:c r="I430" s="10" t="n">
        <x:v>0</x:v>
      </x:c>
      <x:c r="J430" s="11" t="n">
        <x:v>0</x:v>
      </x:c>
      <x:c r="K430" s="11" t="n">
        <x:v>9</x:v>
      </x:c>
      <x:c r="L430" s="11" t="n">
        <x:v>0</x:v>
      </x:c>
      <x:c r="M430" s="9" t="n">
        <x:f>ROUND(H430*(1-I430),2)</x:f>
        <x:v>4500000</x:v>
      </x:c>
      <x:c r="N430" s="4" t="str">
        <x:v>Sales manager</x:v>
      </x:c>
      <x:c r="O430" s="4"/>
      <x:c r="P430" s="9" t="n">
        <x:v>0</x:v>
      </x:c>
      <x:c r="Q430" s="11" t="n">
        <x:v>0</x:v>
      </x:c>
      <x:c r="R430" s="8" t="n">
        <x:v>45360</x:v>
      </x:c>
      <x:c r="S430" s="4" t="str">
        <x:v>Retained</x:v>
      </x:c>
      <x:c r="T430" s="10" t="n">
        <x:v>0.072165</x:v>
      </x:c>
      <x:c r="U430" s="4" t="str">
        <x:v>Train</x:v>
      </x:c>
    </x:row>
    <x:row r="431" ht="34" customHeight="1">
      <x:c r="A431" s="4" t="str">
        <x:v>RS-00430</x:v>
      </x:c>
      <x:c r="B431" s="8" t="n">
        <x:v>45301</x:v>
      </x:c>
      <x:c r="C431" s="4" t="str">
        <x:v>PRJ-010</x:v>
      </x:c>
      <x:c r="D431" s="4" t="str">
        <x:v>Office</x:v>
      </x:c>
      <x:c r="E431" s="4" t="str">
        <x:v>Enquiry</x:v>
      </x:c>
      <x:c r="F431" s="4" t="str">
        <x:v>CUS-00430</x:v>
      </x:c>
      <x:c r="G431" s="4" t="str">
        <x:v>UNIT-00430</x:v>
      </x:c>
      <x:c r="H431" s="9" t="n">
        <x:v>6700000</x:v>
      </x:c>
      <x:c r="I431" s="10" t="n">
        <x:v>0.09</x:v>
      </x:c>
      <x:c r="J431" s="11" t="n">
        <x:v>9</x:v>
      </x:c>
      <x:c r="K431" s="11" t="n">
        <x:v>4</x:v>
      </x:c>
      <x:c r="L431" s="11" t="n">
        <x:v>1</x:v>
      </x:c>
      <x:c r="M431" s="9" t="n">
        <x:f>ROUND(H431*(1-I431),2)</x:f>
        <x:v>6097000</x:v>
      </x:c>
      <x:c r="N431" s="4" t="str">
        <x:v>Sales head</x:v>
      </x:c>
      <x:c r="O431" s="4"/>
      <x:c r="P431" s="9" t="n">
        <x:v>0</x:v>
      </x:c>
      <x:c r="Q431" s="11" t="n">
        <x:v>0</x:v>
      </x:c>
      <x:c r="R431" s="8" t="n">
        <x:v>45361</x:v>
      </x:c>
      <x:c r="S431" s="4" t="str">
        <x:v>Retained</x:v>
      </x:c>
      <x:c r="T431" s="10" t="n">
        <x:v>0.310195</x:v>
      </x:c>
      <x:c r="U431" s="4" t="str">
        <x:v>Train</x:v>
      </x:c>
    </x:row>
    <x:row r="432" ht="34" customHeight="1">
      <x:c r="A432" s="4" t="str">
        <x:v>RS-00431</x:v>
      </x:c>
      <x:c r="B432" s="8" t="n">
        <x:v>45302</x:v>
      </x:c>
      <x:c r="C432" s="4" t="str">
        <x:v>PRJ-011</x:v>
      </x:c>
      <x:c r="D432" s="4" t="str">
        <x:v>Retail</x:v>
      </x:c>
      <x:c r="E432" s="4" t="str">
        <x:v>Reserved</x:v>
      </x:c>
      <x:c r="F432" s="4" t="str">
        <x:v>CUS-00431</x:v>
      </x:c>
      <x:c r="G432" s="4" t="str">
        <x:v>UNIT-00431</x:v>
      </x:c>
      <x:c r="H432" s="9" t="n">
        <x:v>10800000</x:v>
      </x:c>
      <x:c r="I432" s="10" t="n">
        <x:v>0.02</x:v>
      </x:c>
      <x:c r="J432" s="11" t="n">
        <x:v>8</x:v>
      </x:c>
      <x:c r="K432" s="11" t="n">
        <x:v>7</x:v>
      </x:c>
      <x:c r="L432" s="11" t="n">
        <x:v>0</x:v>
      </x:c>
      <x:c r="M432" s="9" t="n">
        <x:f>ROUND(H432*(1-I432),2)</x:f>
        <x:v>10584000</x:v>
      </x:c>
      <x:c r="N432" s="4" t="str">
        <x:v>Sales manager</x:v>
      </x:c>
      <x:c r="O432" s="4"/>
      <x:c r="P432" s="9" t="n">
        <x:v>0</x:v>
      </x:c>
      <x:c r="Q432" s="11" t="n">
        <x:v>0</x:v>
      </x:c>
      <x:c r="R432" s="8" t="n">
        <x:v>45362</x:v>
      </x:c>
      <x:c r="S432" s="4" t="str">
        <x:v>Retained</x:v>
      </x:c>
      <x:c r="T432" s="10" t="n">
        <x:v>0.305556</x:v>
      </x:c>
      <x:c r="U432" s="4" t="str">
        <x:v>Train</x:v>
      </x:c>
    </x:row>
    <x:row r="433" ht="34" customHeight="1">
      <x:c r="A433" s="4" t="str">
        <x:v>RS-00432</x:v>
      </x:c>
      <x:c r="B433" s="8" t="n">
        <x:v>45303</x:v>
      </x:c>
      <x:c r="C433" s="4" t="str">
        <x:v>PRJ-012</x:v>
      </x:c>
      <x:c r="D433" s="4" t="str">
        <x:v>Office</x:v>
      </x:c>
      <x:c r="E433" s="4" t="str">
        <x:v>Handed over</x:v>
      </x:c>
      <x:c r="F433" s="4" t="str">
        <x:v>CUS-00432</x:v>
      </x:c>
      <x:c r="G433" s="4" t="str">
        <x:v>UNIT-00432</x:v>
      </x:c>
      <x:c r="H433" s="9" t="n">
        <x:v>19900000</x:v>
      </x:c>
      <x:c r="I433" s="10" t="n">
        <x:v>0.05</x:v>
      </x:c>
      <x:c r="J433" s="11" t="n">
        <x:v>4</x:v>
      </x:c>
      <x:c r="K433" s="11" t="n">
        <x:v>7</x:v>
      </x:c>
      <x:c r="L433" s="11" t="n">
        <x:v>0</x:v>
      </x:c>
      <x:c r="M433" s="9" t="n">
        <x:f>ROUND(H433*(1-I433),2)</x:f>
        <x:v>18905000</x:v>
      </x:c>
      <x:c r="N433" s="4" t="str">
        <x:v>Sales manager</x:v>
      </x:c>
      <x:c r="O433" s="4" t="str">
        <x:v>BOOK-00432</x:v>
      </x:c>
      <x:c r="P433" s="9" t="n">
        <x:v>1890500</x:v>
      </x:c>
      <x:c r="Q433" s="11" t="n">
        <x:v>0</x:v>
      </x:c>
      <x:c r="R433" s="8" t="n">
        <x:v>45363</x:v>
      </x:c>
      <x:c r="S433" s="4" t="str">
        <x:v>Retained</x:v>
      </x:c>
      <x:c r="T433" s="10" t="n">
        <x:v>0.226277</x:v>
      </x:c>
      <x:c r="U433" s="4" t="str">
        <x:v>Train</x:v>
      </x:c>
    </x:row>
    <x:row r="434" ht="34" customHeight="1">
      <x:c r="A434" s="4" t="str">
        <x:v>RS-00433</x:v>
      </x:c>
      <x:c r="B434" s="8" t="n">
        <x:v>45304</x:v>
      </x:c>
      <x:c r="C434" s="4" t="str">
        <x:v>PRJ-013</x:v>
      </x:c>
      <x:c r="D434" s="4" t="str">
        <x:v>Retail</x:v>
      </x:c>
      <x:c r="E434" s="4" t="str">
        <x:v>Reserved</x:v>
      </x:c>
      <x:c r="F434" s="4" t="str">
        <x:v>CUS-00433</x:v>
      </x:c>
      <x:c r="G434" s="4" t="str">
        <x:v>UNIT-00433</x:v>
      </x:c>
      <x:c r="H434" s="9" t="n">
        <x:v>8400000</x:v>
      </x:c>
      <x:c r="I434" s="10" t="n">
        <x:v>0.01</x:v>
      </x:c>
      <x:c r="J434" s="11" t="n">
        <x:v>8</x:v>
      </x:c>
      <x:c r="K434" s="11" t="n">
        <x:v>4</x:v>
      </x:c>
      <x:c r="L434" s="11" t="n">
        <x:v>0</x:v>
      </x:c>
      <x:c r="M434" s="9" t="n">
        <x:f>ROUND(H434*(1-I434),2)</x:f>
        <x:v>8316000</x:v>
      </x:c>
      <x:c r="N434" s="4" t="str">
        <x:v>Sales manager</x:v>
      </x:c>
      <x:c r="O434" s="4"/>
      <x:c r="P434" s="9" t="n">
        <x:v>0</x:v>
      </x:c>
      <x:c r="Q434" s="11" t="n">
        <x:v>0</x:v>
      </x:c>
      <x:c r="R434" s="8" t="n">
        <x:v>45364</x:v>
      </x:c>
      <x:c r="S434" s="4" t="str">
        <x:v>Retained</x:v>
      </x:c>
      <x:c r="T434" s="10" t="n">
        <x:v>0.305556</x:v>
      </x:c>
      <x:c r="U434" s="4" t="str">
        <x:v>Train</x:v>
      </x:c>
    </x:row>
    <x:row r="435" ht="34" customHeight="1">
      <x:c r="A435" s="4" t="str">
        <x:v>RS-00434</x:v>
      </x:c>
      <x:c r="B435" s="8" t="n">
        <x:v>45305</x:v>
      </x:c>
      <x:c r="C435" s="4" t="str">
        <x:v>PRJ-014</x:v>
      </x:c>
      <x:c r="D435" s="4" t="str">
        <x:v>Retail</x:v>
      </x:c>
      <x:c r="E435" s="4" t="str">
        <x:v>Cancelled</x:v>
      </x:c>
      <x:c r="F435" s="4" t="str">
        <x:v>CUS-00434</x:v>
      </x:c>
      <x:c r="G435" s="4" t="str">
        <x:v>UNIT-00434</x:v>
      </x:c>
      <x:c r="H435" s="9" t="n">
        <x:v>7600000</x:v>
      </x:c>
      <x:c r="I435" s="10" t="n">
        <x:v>0.06</x:v>
      </x:c>
      <x:c r="J435" s="11" t="n">
        <x:v>8</x:v>
      </x:c>
      <x:c r="K435" s="11" t="n">
        <x:v>9</x:v>
      </x:c>
      <x:c r="L435" s="11" t="n">
        <x:v>0</x:v>
      </x:c>
      <x:c r="M435" s="9" t="n">
        <x:f>ROUND(H435*(1-I435),2)</x:f>
        <x:v>7144000</x:v>
      </x:c>
      <x:c r="N435" s="4" t="str">
        <x:v>Sales manager</x:v>
      </x:c>
      <x:c r="O435" s="4"/>
      <x:c r="P435" s="9" t="n">
        <x:v>0</x:v>
      </x:c>
      <x:c r="Q435" s="11" t="n">
        <x:v>1</x:v>
      </x:c>
      <x:c r="R435" s="8" t="n">
        <x:v>45365</x:v>
      </x:c>
      <x:c r="S435" s="4" t="str">
        <x:v>Lost / cancelled</x:v>
      </x:c>
      <x:c r="T435" s="10" t="n">
        <x:v>0.310195</x:v>
      </x:c>
      <x:c r="U435" s="4" t="str">
        <x:v>Train</x:v>
      </x:c>
    </x:row>
    <x:row r="436" ht="34" customHeight="1">
      <x:c r="A436" s="4" t="str">
        <x:v>RS-00435</x:v>
      </x:c>
      <x:c r="B436" s="8" t="n">
        <x:v>45306</x:v>
      </x:c>
      <x:c r="C436" s="4" t="str">
        <x:v>PRJ-015</x:v>
      </x:c>
      <x:c r="D436" s="4" t="str">
        <x:v>Villa</x:v>
      </x:c>
      <x:c r="E436" s="4" t="str">
        <x:v>Handed over</x:v>
      </x:c>
      <x:c r="F436" s="4" t="str">
        <x:v>CUS-00435</x:v>
      </x:c>
      <x:c r="G436" s="4" t="str">
        <x:v>UNIT-00435</x:v>
      </x:c>
      <x:c r="H436" s="9" t="n">
        <x:v>14100000</x:v>
      </x:c>
      <x:c r="I436" s="10" t="n">
        <x:v>0.06</x:v>
      </x:c>
      <x:c r="J436" s="11" t="n">
        <x:v>3</x:v>
      </x:c>
      <x:c r="K436" s="11" t="n">
        <x:v>4</x:v>
      </x:c>
      <x:c r="L436" s="11" t="n">
        <x:v>1</x:v>
      </x:c>
      <x:c r="M436" s="9" t="n">
        <x:f>ROUND(H436*(1-I436),2)</x:f>
        <x:v>13254000</x:v>
      </x:c>
      <x:c r="N436" s="4" t="str">
        <x:v>Sales manager</x:v>
      </x:c>
      <x:c r="O436" s="4" t="str">
        <x:v>BOOK-00435</x:v>
      </x:c>
      <x:c r="P436" s="9" t="n">
        <x:v>13254000</x:v>
      </x:c>
      <x:c r="Q436" s="11" t="n">
        <x:v>0</x:v>
      </x:c>
      <x:c r="R436" s="8" t="n">
        <x:v>45366</x:v>
      </x:c>
      <x:c r="S436" s="4" t="str">
        <x:v>Retained</x:v>
      </x:c>
      <x:c r="T436" s="10" t="n">
        <x:v>0.204152</x:v>
      </x:c>
      <x:c r="U436" s="4" t="str">
        <x:v>Train</x:v>
      </x:c>
    </x:row>
    <x:row r="437" ht="34" customHeight="1">
      <x:c r="A437" s="4" t="str">
        <x:v>RS-00436</x:v>
      </x:c>
      <x:c r="B437" s="8" t="n">
        <x:v>45307</x:v>
      </x:c>
      <x:c r="C437" s="4" t="str">
        <x:v>PRJ-016</x:v>
      </x:c>
      <x:c r="D437" s="4" t="str">
        <x:v>Office</x:v>
      </x:c>
      <x:c r="E437" s="4" t="str">
        <x:v>Handed over</x:v>
      </x:c>
      <x:c r="F437" s="4" t="str">
        <x:v>CUS-00436</x:v>
      </x:c>
      <x:c r="G437" s="4" t="str">
        <x:v>UNIT-00436</x:v>
      </x:c>
      <x:c r="H437" s="9" t="n">
        <x:v>15700000</x:v>
      </x:c>
      <x:c r="I437" s="10" t="n">
        <x:v>0.04</x:v>
      </x:c>
      <x:c r="J437" s="11" t="n">
        <x:v>1</x:v>
      </x:c>
      <x:c r="K437" s="11" t="n">
        <x:v>5</x:v>
      </x:c>
      <x:c r="L437" s="11" t="n">
        <x:v>1</x:v>
      </x:c>
      <x:c r="M437" s="9" t="n">
        <x:f>ROUND(H437*(1-I437),2)</x:f>
        <x:v>15072000</x:v>
      </x:c>
      <x:c r="N437" s="4" t="str">
        <x:v>Sales manager</x:v>
      </x:c>
      <x:c r="O437" s="4" t="str">
        <x:v>BOOK-00436</x:v>
      </x:c>
      <x:c r="P437" s="9" t="n">
        <x:v>3768000</x:v>
      </x:c>
      <x:c r="Q437" s="11" t="n">
        <x:v>0</x:v>
      </x:c>
      <x:c r="R437" s="8" t="n">
        <x:v>45367</x:v>
      </x:c>
      <x:c r="S437" s="4" t="str">
        <x:v>Retained</x:v>
      </x:c>
      <x:c r="T437" s="10" t="n">
        <x:v>0.204152</x:v>
      </x:c>
      <x:c r="U437" s="4" t="str">
        <x:v>Train</x:v>
      </x:c>
    </x:row>
    <x:row r="438" ht="34" customHeight="1">
      <x:c r="A438" s="4" t="str">
        <x:v>RS-00437</x:v>
      </x:c>
      <x:c r="B438" s="8" t="n">
        <x:v>45308</x:v>
      </x:c>
      <x:c r="C438" s="4" t="str">
        <x:v>PRJ-017</x:v>
      </x:c>
      <x:c r="D438" s="4" t="str">
        <x:v>Apartment</x:v>
      </x:c>
      <x:c r="E438" s="4" t="str">
        <x:v>Cancelled</x:v>
      </x:c>
      <x:c r="F438" s="4" t="str">
        <x:v>CUS-00437</x:v>
      </x:c>
      <x:c r="G438" s="4" t="str">
        <x:v>UNIT-00437</x:v>
      </x:c>
      <x:c r="H438" s="9" t="n">
        <x:v>5200000</x:v>
      </x:c>
      <x:c r="I438" s="10" t="n">
        <x:v>0.05</x:v>
      </x:c>
      <x:c r="J438" s="11" t="n">
        <x:v>2</x:v>
      </x:c>
      <x:c r="K438" s="11" t="n">
        <x:v>2</x:v>
      </x:c>
      <x:c r="L438" s="11" t="n">
        <x:v>0</x:v>
      </x:c>
      <x:c r="M438" s="9" t="n">
        <x:f>ROUND(H438*(1-I438),2)</x:f>
        <x:v>4940000</x:v>
      </x:c>
      <x:c r="N438" s="4" t="str">
        <x:v>Sales manager</x:v>
      </x:c>
      <x:c r="O438" s="4"/>
      <x:c r="P438" s="9" t="n">
        <x:v>0</x:v>
      </x:c>
      <x:c r="Q438" s="11" t="n">
        <x:v>1</x:v>
      </x:c>
      <x:c r="R438" s="8" t="n">
        <x:v>45368</x:v>
      </x:c>
      <x:c r="S438" s="4" t="str">
        <x:v>Lost / cancelled</x:v>
      </x:c>
      <x:c r="T438" s="10" t="n">
        <x:v>0.204152</x:v>
      </x:c>
      <x:c r="U438" s="4" t="str">
        <x:v>Train</x:v>
      </x:c>
    </x:row>
    <x:row r="439" ht="34" customHeight="1">
      <x:c r="A439" s="4" t="str">
        <x:v>RS-00438</x:v>
      </x:c>
      <x:c r="B439" s="8" t="n">
        <x:v>45309</x:v>
      </x:c>
      <x:c r="C439" s="4" t="str">
        <x:v>PRJ-018</x:v>
      </x:c>
      <x:c r="D439" s="4" t="str">
        <x:v>Retail</x:v>
      </x:c>
      <x:c r="E439" s="4" t="str">
        <x:v>Booked</x:v>
      </x:c>
      <x:c r="F439" s="4" t="str">
        <x:v>CUS-00438</x:v>
      </x:c>
      <x:c r="G439" s="4" t="str">
        <x:v>UNIT-00438</x:v>
      </x:c>
      <x:c r="H439" s="9" t="n">
        <x:v>24700000</x:v>
      </x:c>
      <x:c r="I439" s="10" t="n">
        <x:v>0.02</x:v>
      </x:c>
      <x:c r="J439" s="11" t="n">
        <x:v>1</x:v>
      </x:c>
      <x:c r="K439" s="11" t="n">
        <x:v>9</x:v>
      </x:c>
      <x:c r="L439" s="11" t="n">
        <x:v>1</x:v>
      </x:c>
      <x:c r="M439" s="9" t="n">
        <x:f>ROUND(H439*(1-I439),2)</x:f>
        <x:v>24206000</x:v>
      </x:c>
      <x:c r="N439" s="4" t="str">
        <x:v>Sales manager</x:v>
      </x:c>
      <x:c r="O439" s="4" t="str">
        <x:v>BOOK-00438</x:v>
      </x:c>
      <x:c r="P439" s="9" t="n">
        <x:v>12103000</x:v>
      </x:c>
      <x:c r="Q439" s="11" t="n">
        <x:v>0</x:v>
      </x:c>
      <x:c r="R439" s="8" t="n">
        <x:v>45369</x:v>
      </x:c>
      <x:c r="S439" s="4" t="str">
        <x:v>Retained</x:v>
      </x:c>
      <x:c r="T439" s="10" t="n">
        <x:v>0.072165</x:v>
      </x:c>
      <x:c r="U439" s="4" t="str">
        <x:v>Train</x:v>
      </x:c>
    </x:row>
    <x:row r="440" ht="34" customHeight="1">
      <x:c r="A440" s="4" t="str">
        <x:v>RS-00439</x:v>
      </x:c>
      <x:c r="B440" s="8" t="n">
        <x:v>45310</x:v>
      </x:c>
      <x:c r="C440" s="4" t="str">
        <x:v>PRJ-019</x:v>
      </x:c>
      <x:c r="D440" s="4" t="str">
        <x:v>Villa</x:v>
      </x:c>
      <x:c r="E440" s="4" t="str">
        <x:v>Reserved</x:v>
      </x:c>
      <x:c r="F440" s="4" t="str">
        <x:v>CUS-00439</x:v>
      </x:c>
      <x:c r="G440" s="4" t="str">
        <x:v>UNIT-00439</x:v>
      </x:c>
      <x:c r="H440" s="9" t="n">
        <x:v>12700000</x:v>
      </x:c>
      <x:c r="I440" s="10" t="n">
        <x:v>0.04</x:v>
      </x:c>
      <x:c r="J440" s="11" t="n">
        <x:v>11</x:v>
      </x:c>
      <x:c r="K440" s="11" t="n">
        <x:v>9</x:v>
      </x:c>
      <x:c r="L440" s="11" t="n">
        <x:v>0</x:v>
      </x:c>
      <x:c r="M440" s="9" t="n">
        <x:f>ROUND(H440*(1-I440),2)</x:f>
        <x:v>12192000</x:v>
      </x:c>
      <x:c r="N440" s="4" t="str">
        <x:v>Sales manager</x:v>
      </x:c>
      <x:c r="O440" s="4"/>
      <x:c r="P440" s="9" t="n">
        <x:v>0</x:v>
      </x:c>
      <x:c r="Q440" s="11" t="n">
        <x:v>0</x:v>
      </x:c>
      <x:c r="R440" s="8" t="n">
        <x:v>45370</x:v>
      </x:c>
      <x:c r="S440" s="4" t="str">
        <x:v>Retained</x:v>
      </x:c>
      <x:c r="T440" s="10" t="n">
        <x:v>0.351536</x:v>
      </x:c>
      <x:c r="U440" s="4" t="str">
        <x:v>Train</x:v>
      </x:c>
    </x:row>
    <x:row r="441" ht="34" customHeight="1">
      <x:c r="A441" s="4" t="str">
        <x:v>RS-00440</x:v>
      </x:c>
      <x:c r="B441" s="8" t="n">
        <x:v>45311</x:v>
      </x:c>
      <x:c r="C441" s="4" t="str">
        <x:v>PRJ-020</x:v>
      </x:c>
      <x:c r="D441" s="4" t="str">
        <x:v>Office</x:v>
      </x:c>
      <x:c r="E441" s="4" t="str">
        <x:v>Booked</x:v>
      </x:c>
      <x:c r="F441" s="4" t="str">
        <x:v>CUS-00440</x:v>
      </x:c>
      <x:c r="G441" s="4" t="str">
        <x:v>UNIT-00440</x:v>
      </x:c>
      <x:c r="H441" s="9" t="n">
        <x:v>22000000</x:v>
      </x:c>
      <x:c r="I441" s="10" t="n">
        <x:v>0.06</x:v>
      </x:c>
      <x:c r="J441" s="11" t="n">
        <x:v>6</x:v>
      </x:c>
      <x:c r="K441" s="11" t="n">
        <x:v>1</x:v>
      </x:c>
      <x:c r="L441" s="11" t="n">
        <x:v>0</x:v>
      </x:c>
      <x:c r="M441" s="9" t="n">
        <x:f>ROUND(H441*(1-I441),2)</x:f>
        <x:v>20680000</x:v>
      </x:c>
      <x:c r="N441" s="4" t="str">
        <x:v>Sales manager</x:v>
      </x:c>
      <x:c r="O441" s="4" t="str">
        <x:v>BOOK-00440</x:v>
      </x:c>
      <x:c r="P441" s="9" t="n">
        <x:v>20680000</x:v>
      </x:c>
      <x:c r="Q441" s="11" t="n">
        <x:v>0</x:v>
      </x:c>
      <x:c r="R441" s="8" t="n">
        <x:v>45371</x:v>
      </x:c>
      <x:c r="S441" s="4" t="str">
        <x:v>Retained</x:v>
      </x:c>
      <x:c r="T441" s="10" t="n">
        <x:v>0.226277</x:v>
      </x:c>
      <x:c r="U441" s="4" t="str">
        <x:v>Train</x:v>
      </x:c>
    </x:row>
    <x:row r="442" ht="34" customHeight="1">
      <x:c r="A442" s="4" t="str">
        <x:v>RS-00441</x:v>
      </x:c>
      <x:c r="B442" s="8" t="n">
        <x:v>45312</x:v>
      </x:c>
      <x:c r="C442" s="4" t="str">
        <x:v>PRJ-001</x:v>
      </x:c>
      <x:c r="D442" s="4" t="str">
        <x:v>Apartment</x:v>
      </x:c>
      <x:c r="E442" s="4" t="str">
        <x:v>Handed over</x:v>
      </x:c>
      <x:c r="F442" s="4" t="str">
        <x:v>CUS-00441</x:v>
      </x:c>
      <x:c r="G442" s="4" t="str">
        <x:v>UNIT-00441</x:v>
      </x:c>
      <x:c r="H442" s="9" t="n">
        <x:v>15700000</x:v>
      </x:c>
      <x:c r="I442" s="10" t="n">
        <x:v>0.09</x:v>
      </x:c>
      <x:c r="J442" s="11" t="n">
        <x:v>8</x:v>
      </x:c>
      <x:c r="K442" s="11" t="n">
        <x:v>3</x:v>
      </x:c>
      <x:c r="L442" s="11" t="n">
        <x:v>0</x:v>
      </x:c>
      <x:c r="M442" s="9" t="n">
        <x:f>ROUND(H442*(1-I442),2)</x:f>
        <x:v>14287000</x:v>
      </x:c>
      <x:c r="N442" s="4" t="str">
        <x:v>Sales head</x:v>
      </x:c>
      <x:c r="O442" s="4" t="str">
        <x:v>BOOK-00441</x:v>
      </x:c>
      <x:c r="P442" s="9" t="n">
        <x:v>7143500</x:v>
      </x:c>
      <x:c r="Q442" s="11" t="n">
        <x:v>0</x:v>
      </x:c>
      <x:c r="R442" s="8" t="n">
        <x:v>45372</x:v>
      </x:c>
      <x:c r="S442" s="4" t="str">
        <x:v>Retained</x:v>
      </x:c>
      <x:c r="T442" s="10" t="n">
        <x:v>0.310195</x:v>
      </x:c>
      <x:c r="U442" s="4" t="str">
        <x:v>Train</x:v>
      </x:c>
    </x:row>
    <x:row r="443" ht="34" customHeight="1">
      <x:c r="A443" s="4" t="str">
        <x:v>RS-00442</x:v>
      </x:c>
      <x:c r="B443" s="8" t="n">
        <x:v>45313</x:v>
      </x:c>
      <x:c r="C443" s="4" t="str">
        <x:v>PRJ-002</x:v>
      </x:c>
      <x:c r="D443" s="4" t="str">
        <x:v>Retail</x:v>
      </x:c>
      <x:c r="E443" s="4" t="str">
        <x:v>Cancelled</x:v>
      </x:c>
      <x:c r="F443" s="4" t="str">
        <x:v>CUS-00442</x:v>
      </x:c>
      <x:c r="G443" s="4" t="str">
        <x:v>UNIT-00442</x:v>
      </x:c>
      <x:c r="H443" s="9" t="n">
        <x:v>7300000</x:v>
      </x:c>
      <x:c r="I443" s="10" t="n">
        <x:v>0.11</x:v>
      </x:c>
      <x:c r="J443" s="11" t="n">
        <x:v>0</x:v>
      </x:c>
      <x:c r="K443" s="11" t="n">
        <x:v>10</x:v>
      </x:c>
      <x:c r="L443" s="11" t="n">
        <x:v>1</x:v>
      </x:c>
      <x:c r="M443" s="9" t="n">
        <x:f>ROUND(H443*(1-I443),2)</x:f>
        <x:v>6497000</x:v>
      </x:c>
      <x:c r="N443" s="4" t="str">
        <x:v>Sales head</x:v>
      </x:c>
      <x:c r="O443" s="4"/>
      <x:c r="P443" s="9" t="n">
        <x:v>0</x:v>
      </x:c>
      <x:c r="Q443" s="11" t="n">
        <x:v>1</x:v>
      </x:c>
      <x:c r="R443" s="8" t="n">
        <x:v>45373</x:v>
      </x:c>
      <x:c r="S443" s="4" t="str">
        <x:v>Lost / cancelled</x:v>
      </x:c>
      <x:c r="T443" s="10" t="n">
        <x:v>0.145833</x:v>
      </x:c>
      <x:c r="U443" s="4" t="str">
        <x:v>Train</x:v>
      </x:c>
    </x:row>
    <x:row r="444" ht="34" customHeight="1">
      <x:c r="A444" s="4" t="str">
        <x:v>RS-00443</x:v>
      </x:c>
      <x:c r="B444" s="8" t="n">
        <x:v>45314</x:v>
      </x:c>
      <x:c r="C444" s="4" t="str">
        <x:v>PRJ-003</x:v>
      </x:c>
      <x:c r="D444" s="4" t="str">
        <x:v>Retail</x:v>
      </x:c>
      <x:c r="E444" s="4" t="str">
        <x:v>Booked</x:v>
      </x:c>
      <x:c r="F444" s="4" t="str">
        <x:v>CUS-00443</x:v>
      </x:c>
      <x:c r="G444" s="4" t="str">
        <x:v>UNIT-00443</x:v>
      </x:c>
      <x:c r="H444" s="9" t="n">
        <x:v>11400000</x:v>
      </x:c>
      <x:c r="I444" s="10" t="n">
        <x:v>0</x:v>
      </x:c>
      <x:c r="J444" s="11" t="n">
        <x:v>0</x:v>
      </x:c>
      <x:c r="K444" s="11" t="n">
        <x:v>1</x:v>
      </x:c>
      <x:c r="L444" s="11" t="n">
        <x:v>0</x:v>
      </x:c>
      <x:c r="M444" s="9" t="n">
        <x:f>ROUND(H444*(1-I444),2)</x:f>
        <x:v>11400000</x:v>
      </x:c>
      <x:c r="N444" s="4" t="str">
        <x:v>Sales manager</x:v>
      </x:c>
      <x:c r="O444" s="4" t="str">
        <x:v>BOOK-00443</x:v>
      </x:c>
      <x:c r="P444" s="9" t="n">
        <x:v>1140000</x:v>
      </x:c>
      <x:c r="Q444" s="11" t="n">
        <x:v>0</x:v>
      </x:c>
      <x:c r="R444" s="8" t="n">
        <x:v>45374</x:v>
      </x:c>
      <x:c r="S444" s="4" t="str">
        <x:v>Retained</x:v>
      </x:c>
      <x:c r="T444" s="10" t="n">
        <x:v>0.072165</x:v>
      </x:c>
      <x:c r="U444" s="4" t="str">
        <x:v>Train</x:v>
      </x:c>
    </x:row>
    <x:row r="445" ht="34" customHeight="1">
      <x:c r="A445" s="4" t="str">
        <x:v>RS-00444</x:v>
      </x:c>
      <x:c r="B445" s="8" t="n">
        <x:v>45315</x:v>
      </x:c>
      <x:c r="C445" s="4" t="str">
        <x:v>PRJ-004</x:v>
      </x:c>
      <x:c r="D445" s="4" t="str">
        <x:v>Villa</x:v>
      </x:c>
      <x:c r="E445" s="4" t="str">
        <x:v>Enquiry</x:v>
      </x:c>
      <x:c r="F445" s="4" t="str">
        <x:v>CUS-00444</x:v>
      </x:c>
      <x:c r="G445" s="4" t="str">
        <x:v>UNIT-00444</x:v>
      </x:c>
      <x:c r="H445" s="9" t="n">
        <x:v>8800000</x:v>
      </x:c>
      <x:c r="I445" s="10" t="n">
        <x:v>0.05</x:v>
      </x:c>
      <x:c r="J445" s="11" t="n">
        <x:v>7</x:v>
      </x:c>
      <x:c r="K445" s="11" t="n">
        <x:v>4</x:v>
      </x:c>
      <x:c r="L445" s="11" t="n">
        <x:v>0</x:v>
      </x:c>
      <x:c r="M445" s="9" t="n">
        <x:f>ROUND(H445*(1-I445),2)</x:f>
        <x:v>8360000</x:v>
      </x:c>
      <x:c r="N445" s="4" t="str">
        <x:v>Sales manager</x:v>
      </x:c>
      <x:c r="O445" s="4"/>
      <x:c r="P445" s="9" t="n">
        <x:v>0</x:v>
      </x:c>
      <x:c r="Q445" s="11" t="n">
        <x:v>1</x:v>
      </x:c>
      <x:c r="R445" s="8" t="n">
        <x:v>45375</x:v>
      </x:c>
      <x:c r="S445" s="4" t="str">
        <x:v>Lost / cancelled</x:v>
      </x:c>
      <x:c r="T445" s="10" t="n">
        <x:v>0.226277</x:v>
      </x:c>
      <x:c r="U445" s="4" t="str">
        <x:v>Train</x:v>
      </x:c>
    </x:row>
    <x:row r="446" ht="34" customHeight="1">
      <x:c r="A446" s="4" t="str">
        <x:v>RS-00445</x:v>
      </x:c>
      <x:c r="B446" s="8" t="n">
        <x:v>45316</x:v>
      </x:c>
      <x:c r="C446" s="4" t="str">
        <x:v>PRJ-005</x:v>
      </x:c>
      <x:c r="D446" s="4" t="str">
        <x:v>Apartment</x:v>
      </x:c>
      <x:c r="E446" s="4" t="str">
        <x:v>Booked</x:v>
      </x:c>
      <x:c r="F446" s="4" t="str">
        <x:v>CUS-00445</x:v>
      </x:c>
      <x:c r="G446" s="4" t="str">
        <x:v>UNIT-00445</x:v>
      </x:c>
      <x:c r="H446" s="9" t="n">
        <x:v>14900000</x:v>
      </x:c>
      <x:c r="I446" s="10" t="n">
        <x:v>0.03</x:v>
      </x:c>
      <x:c r="J446" s="11" t="n">
        <x:v>9</x:v>
      </x:c>
      <x:c r="K446" s="11" t="n">
        <x:v>10</x:v>
      </x:c>
      <x:c r="L446" s="11" t="n">
        <x:v>1</x:v>
      </x:c>
      <x:c r="M446" s="9" t="n">
        <x:f>ROUND(H446*(1-I446),2)</x:f>
        <x:v>14453000</x:v>
      </x:c>
      <x:c r="N446" s="4" t="str">
        <x:v>Sales manager</x:v>
      </x:c>
      <x:c r="O446" s="4" t="str">
        <x:v>BOOK-00445</x:v>
      </x:c>
      <x:c r="P446" s="9" t="n">
        <x:v>14453000</x:v>
      </x:c>
      <x:c r="Q446" s="11" t="n">
        <x:v>0</x:v>
      </x:c>
      <x:c r="R446" s="8" t="n">
        <x:v>45376</x:v>
      </x:c>
      <x:c r="S446" s="4" t="str">
        <x:v>Retained</x:v>
      </x:c>
      <x:c r="T446" s="10" t="n">
        <x:v>0.310195</x:v>
      </x:c>
      <x:c r="U446" s="4" t="str">
        <x:v>Train</x:v>
      </x:c>
    </x:row>
    <x:row r="447" ht="34" customHeight="1">
      <x:c r="A447" s="4" t="str">
        <x:v>RS-00446</x:v>
      </x:c>
      <x:c r="B447" s="8" t="n">
        <x:v>45317</x:v>
      </x:c>
      <x:c r="C447" s="4" t="str">
        <x:v>PRJ-006</x:v>
      </x:c>
      <x:c r="D447" s="4" t="str">
        <x:v>Villa</x:v>
      </x:c>
      <x:c r="E447" s="4" t="str">
        <x:v>Agreement signed</x:v>
      </x:c>
      <x:c r="F447" s="4" t="str">
        <x:v>CUS-00446</x:v>
      </x:c>
      <x:c r="G447" s="4" t="str">
        <x:v>UNIT-00446</x:v>
      </x:c>
      <x:c r="H447" s="9" t="n">
        <x:v>23100000</x:v>
      </x:c>
      <x:c r="I447" s="10" t="n">
        <x:v>0.11</x:v>
      </x:c>
      <x:c r="J447" s="11" t="n">
        <x:v>1</x:v>
      </x:c>
      <x:c r="K447" s="11" t="n">
        <x:v>6</x:v>
      </x:c>
      <x:c r="L447" s="11" t="n">
        <x:v>1</x:v>
      </x:c>
      <x:c r="M447" s="9" t="n">
        <x:f>ROUND(H447*(1-I447),2)</x:f>
        <x:v>20559000</x:v>
      </x:c>
      <x:c r="N447" s="4" t="str">
        <x:v>Sales head</x:v>
      </x:c>
      <x:c r="O447" s="4" t="str">
        <x:v>BOOK-00446</x:v>
      </x:c>
      <x:c r="P447" s="9" t="n">
        <x:v>10279500</x:v>
      </x:c>
      <x:c r="Q447" s="11" t="n">
        <x:v>0</x:v>
      </x:c>
      <x:c r="R447" s="8" t="n">
        <x:v>45377</x:v>
      </x:c>
      <x:c r="S447" s="4" t="str">
        <x:v>Retained</x:v>
      </x:c>
      <x:c r="T447" s="10" t="n">
        <x:v>0.145833</x:v>
      </x:c>
      <x:c r="U447" s="4" t="str">
        <x:v>Train</x:v>
      </x:c>
    </x:row>
    <x:row r="448" ht="34" customHeight="1">
      <x:c r="A448" s="4" t="str">
        <x:v>RS-00447</x:v>
      </x:c>
      <x:c r="B448" s="8" t="n">
        <x:v>45318</x:v>
      </x:c>
      <x:c r="C448" s="4" t="str">
        <x:v>PRJ-007</x:v>
      </x:c>
      <x:c r="D448" s="4" t="str">
        <x:v>Retail</x:v>
      </x:c>
      <x:c r="E448" s="4" t="str">
        <x:v>Agreement signed</x:v>
      </x:c>
      <x:c r="F448" s="4" t="str">
        <x:v>CUS-00447</x:v>
      </x:c>
      <x:c r="G448" s="4" t="str">
        <x:v>UNIT-00447</x:v>
      </x:c>
      <x:c r="H448" s="9" t="n">
        <x:v>3700000</x:v>
      </x:c>
      <x:c r="I448" s="10" t="n">
        <x:v>0.09</x:v>
      </x:c>
      <x:c r="J448" s="11" t="n">
        <x:v>9</x:v>
      </x:c>
      <x:c r="K448" s="11" t="n">
        <x:v>0</x:v>
      </x:c>
      <x:c r="L448" s="11" t="n">
        <x:v>0</x:v>
      </x:c>
      <x:c r="M448" s="9" t="n">
        <x:f>ROUND(H448*(1-I448),2)</x:f>
        <x:v>3367000</x:v>
      </x:c>
      <x:c r="N448" s="4" t="str">
        <x:v>Sales head</x:v>
      </x:c>
      <x:c r="O448" s="4" t="str">
        <x:v>BOOK-00447</x:v>
      </x:c>
      <x:c r="P448" s="9" t="n">
        <x:v>336700</x:v>
      </x:c>
      <x:c r="Q448" s="11" t="n">
        <x:v>0</x:v>
      </x:c>
      <x:c r="R448" s="8" t="n">
        <x:v>45378</x:v>
      </x:c>
      <x:c r="S448" s="4" t="str">
        <x:v>Retained</x:v>
      </x:c>
      <x:c r="T448" s="10" t="n">
        <x:v>0.310195</x:v>
      </x:c>
      <x:c r="U448" s="4" t="str">
        <x:v>Train</x:v>
      </x:c>
    </x:row>
    <x:row r="449" ht="34" customHeight="1">
      <x:c r="A449" s="4" t="str">
        <x:v>RS-00448</x:v>
      </x:c>
      <x:c r="B449" s="8" t="n">
        <x:v>45319</x:v>
      </x:c>
      <x:c r="C449" s="4" t="str">
        <x:v>PRJ-008</x:v>
      </x:c>
      <x:c r="D449" s="4" t="str">
        <x:v>Villa</x:v>
      </x:c>
      <x:c r="E449" s="4" t="str">
        <x:v>Agreement signed</x:v>
      </x:c>
      <x:c r="F449" s="4" t="str">
        <x:v>CUS-00448</x:v>
      </x:c>
      <x:c r="G449" s="4" t="str">
        <x:v>UNIT-00448</x:v>
      </x:c>
      <x:c r="H449" s="9" t="n">
        <x:v>23200000</x:v>
      </x:c>
      <x:c r="I449" s="10" t="n">
        <x:v>0.08</x:v>
      </x:c>
      <x:c r="J449" s="11" t="n">
        <x:v>6</x:v>
      </x:c>
      <x:c r="K449" s="11" t="n">
        <x:v>1</x:v>
      </x:c>
      <x:c r="L449" s="11" t="n">
        <x:v>0</x:v>
      </x:c>
      <x:c r="M449" s="9" t="n">
        <x:f>ROUND(H449*(1-I449),2)</x:f>
        <x:v>21344000</x:v>
      </x:c>
      <x:c r="N449" s="4" t="str">
        <x:v>Sales head</x:v>
      </x:c>
      <x:c r="O449" s="4" t="str">
        <x:v>BOOK-00448</x:v>
      </x:c>
      <x:c r="P449" s="9" t="n">
        <x:v>21344000</x:v>
      </x:c>
      <x:c r="Q449" s="11" t="n">
        <x:v>0</x:v>
      </x:c>
      <x:c r="R449" s="8" t="n">
        <x:v>45379</x:v>
      </x:c>
      <x:c r="S449" s="4" t="str">
        <x:v>Retained</x:v>
      </x:c>
      <x:c r="T449" s="10" t="n">
        <x:v>0.226277</x:v>
      </x:c>
      <x:c r="U449" s="4" t="str">
        <x:v>Train</x:v>
      </x:c>
    </x:row>
    <x:row r="450" ht="34" customHeight="1">
      <x:c r="A450" s="4" t="str">
        <x:v>RS-00449</x:v>
      </x:c>
      <x:c r="B450" s="8" t="n">
        <x:v>45292</x:v>
      </x:c>
      <x:c r="C450" s="4" t="str">
        <x:v>PRJ-009</x:v>
      </x:c>
      <x:c r="D450" s="4" t="str">
        <x:v>Apartment</x:v>
      </x:c>
      <x:c r="E450" s="4" t="str">
        <x:v>Cancelled</x:v>
      </x:c>
      <x:c r="F450" s="4" t="str">
        <x:v>CUS-00449</x:v>
      </x:c>
      <x:c r="G450" s="4" t="str">
        <x:v>UNIT-00449</x:v>
      </x:c>
      <x:c r="H450" s="9" t="n">
        <x:v>6900000</x:v>
      </x:c>
      <x:c r="I450" s="10" t="n">
        <x:v>0.03</x:v>
      </x:c>
      <x:c r="J450" s="11" t="n">
        <x:v>10</x:v>
      </x:c>
      <x:c r="K450" s="11" t="n">
        <x:v>10</x:v>
      </x:c>
      <x:c r="L450" s="11" t="n">
        <x:v>0</x:v>
      </x:c>
      <x:c r="M450" s="9" t="n">
        <x:f>ROUND(H450*(1-I450),2)</x:f>
        <x:v>6693000</x:v>
      </x:c>
      <x:c r="N450" s="4" t="str">
        <x:v>Sales manager</x:v>
      </x:c>
      <x:c r="O450" s="4"/>
      <x:c r="P450" s="9" t="n">
        <x:v>0</x:v>
      </x:c>
      <x:c r="Q450" s="11" t="n">
        <x:v>1</x:v>
      </x:c>
      <x:c r="R450" s="8" t="n">
        <x:v>45352</x:v>
      </x:c>
      <x:c r="S450" s="4" t="str">
        <x:v>Lost / cancelled</x:v>
      </x:c>
      <x:c r="T450" s="10" t="n">
        <x:v>0.310195</x:v>
      </x:c>
      <x:c r="U450" s="4" t="str">
        <x:v>Train</x:v>
      </x:c>
    </x:row>
    <x:row r="451" ht="34" customHeight="1">
      <x:c r="A451" s="4" t="str">
        <x:v>RS-00450</x:v>
      </x:c>
      <x:c r="B451" s="8" t="n">
        <x:v>45293</x:v>
      </x:c>
      <x:c r="C451" s="4" t="str">
        <x:v>PRJ-010</x:v>
      </x:c>
      <x:c r="D451" s="4" t="str">
        <x:v>Villa</x:v>
      </x:c>
      <x:c r="E451" s="4" t="str">
        <x:v>Booked</x:v>
      </x:c>
      <x:c r="F451" s="4" t="str">
        <x:v>CUS-00450</x:v>
      </x:c>
      <x:c r="G451" s="4" t="str">
        <x:v>UNIT-00450</x:v>
      </x:c>
      <x:c r="H451" s="9" t="n">
        <x:v>16200000</x:v>
      </x:c>
      <x:c r="I451" s="10" t="n">
        <x:v>0.01</x:v>
      </x:c>
      <x:c r="J451" s="11" t="n">
        <x:v>1</x:v>
      </x:c>
      <x:c r="K451" s="11" t="n">
        <x:v>6</x:v>
      </x:c>
      <x:c r="L451" s="11" t="n">
        <x:v>1</x:v>
      </x:c>
      <x:c r="M451" s="9" t="n">
        <x:f>ROUND(H451*(1-I451),2)</x:f>
        <x:v>16038000</x:v>
      </x:c>
      <x:c r="N451" s="4" t="str">
        <x:v>Sales manager</x:v>
      </x:c>
      <x:c r="O451" s="4" t="str">
        <x:v>BOOK-00450</x:v>
      </x:c>
      <x:c r="P451" s="9" t="n">
        <x:v>8019000</x:v>
      </x:c>
      <x:c r="Q451" s="11" t="n">
        <x:v>0</x:v>
      </x:c>
      <x:c r="R451" s="8" t="n">
        <x:v>45353</x:v>
      </x:c>
      <x:c r="S451" s="4" t="str">
        <x:v>Retained</x:v>
      </x:c>
      <x:c r="T451" s="10" t="n">
        <x:v>0.072165</x:v>
      </x:c>
      <x:c r="U451" s="4" t="str">
        <x:v>Train</x:v>
      </x:c>
    </x:row>
    <x:row r="452" ht="34" customHeight="1">
      <x:c r="A452" s="4" t="str">
        <x:v>RS-00451</x:v>
      </x:c>
      <x:c r="B452" s="8" t="n">
        <x:v>45294</x:v>
      </x:c>
      <x:c r="C452" s="4" t="str">
        <x:v>PRJ-011</x:v>
      </x:c>
      <x:c r="D452" s="4" t="str">
        <x:v>Apartment</x:v>
      </x:c>
      <x:c r="E452" s="4" t="str">
        <x:v>Agreement signed</x:v>
      </x:c>
      <x:c r="F452" s="4" t="str">
        <x:v>CUS-00451</x:v>
      </x:c>
      <x:c r="G452" s="4" t="str">
        <x:v>UNIT-00451</x:v>
      </x:c>
      <x:c r="H452" s="9" t="n">
        <x:v>20100000</x:v>
      </x:c>
      <x:c r="I452" s="10" t="n">
        <x:v>0.09</x:v>
      </x:c>
      <x:c r="J452" s="11" t="n">
        <x:v>4</x:v>
      </x:c>
      <x:c r="K452" s="11" t="n">
        <x:v>6</x:v>
      </x:c>
      <x:c r="L452" s="11" t="n">
        <x:v>0</x:v>
      </x:c>
      <x:c r="M452" s="9" t="n">
        <x:f>ROUND(H452*(1-I452),2)</x:f>
        <x:v>18291000</x:v>
      </x:c>
      <x:c r="N452" s="4" t="str">
        <x:v>Sales head</x:v>
      </x:c>
      <x:c r="O452" s="4" t="str">
        <x:v>BOOK-00451</x:v>
      </x:c>
      <x:c r="P452" s="9" t="n">
        <x:v>4572750</x:v>
      </x:c>
      <x:c r="Q452" s="11" t="n">
        <x:v>0</x:v>
      </x:c>
      <x:c r="R452" s="8" t="n">
        <x:v>45354</x:v>
      </x:c>
      <x:c r="S452" s="4" t="str">
        <x:v>Retained</x:v>
      </x:c>
      <x:c r="T452" s="10" t="n">
        <x:v>0.226277</x:v>
      </x:c>
      <x:c r="U452" s="4" t="str">
        <x:v>Train</x:v>
      </x:c>
    </x:row>
    <x:row r="453" ht="34" customHeight="1">
      <x:c r="A453" s="4" t="str">
        <x:v>RS-00452</x:v>
      </x:c>
      <x:c r="B453" s="8" t="n">
        <x:v>45295</x:v>
      </x:c>
      <x:c r="C453" s="4" t="str">
        <x:v>PRJ-012</x:v>
      </x:c>
      <x:c r="D453" s="4" t="str">
        <x:v>Villa</x:v>
      </x:c>
      <x:c r="E453" s="4" t="str">
        <x:v>Cancelled</x:v>
      </x:c>
      <x:c r="F453" s="4" t="str">
        <x:v>CUS-00452</x:v>
      </x:c>
      <x:c r="G453" s="4" t="str">
        <x:v>UNIT-00452</x:v>
      </x:c>
      <x:c r="H453" s="9" t="n">
        <x:v>10300000</x:v>
      </x:c>
      <x:c r="I453" s="10" t="n">
        <x:v>0.02</x:v>
      </x:c>
      <x:c r="J453" s="11" t="n">
        <x:v>8</x:v>
      </x:c>
      <x:c r="K453" s="11" t="n">
        <x:v>0</x:v>
      </x:c>
      <x:c r="L453" s="11" t="n">
        <x:v>0</x:v>
      </x:c>
      <x:c r="M453" s="9" t="n">
        <x:f>ROUND(H453*(1-I453),2)</x:f>
        <x:v>10094000</x:v>
      </x:c>
      <x:c r="N453" s="4" t="str">
        <x:v>Sales manager</x:v>
      </x:c>
      <x:c r="O453" s="4"/>
      <x:c r="P453" s="9" t="n">
        <x:v>0</x:v>
      </x:c>
      <x:c r="Q453" s="11" t="n">
        <x:v>1</x:v>
      </x:c>
      <x:c r="R453" s="8" t="n">
        <x:v>45355</x:v>
      </x:c>
      <x:c r="S453" s="4" t="str">
        <x:v>Lost / cancelled</x:v>
      </x:c>
      <x:c r="T453" s="10" t="n">
        <x:v>0.305556</x:v>
      </x:c>
      <x:c r="U453" s="4" t="str">
        <x:v>Train</x:v>
      </x:c>
    </x:row>
    <x:row r="454" ht="34" customHeight="1">
      <x:c r="A454" s="4" t="str">
        <x:v>RS-00453</x:v>
      </x:c>
      <x:c r="B454" s="8" t="n">
        <x:v>45296</x:v>
      </x:c>
      <x:c r="C454" s="4" t="str">
        <x:v>PRJ-013</x:v>
      </x:c>
      <x:c r="D454" s="4" t="str">
        <x:v>Apartment</x:v>
      </x:c>
      <x:c r="E454" s="4" t="str">
        <x:v>Handed over</x:v>
      </x:c>
      <x:c r="F454" s="4" t="str">
        <x:v>CUS-00453</x:v>
      </x:c>
      <x:c r="G454" s="4" t="str">
        <x:v>UNIT-00453</x:v>
      </x:c>
      <x:c r="H454" s="9" t="n">
        <x:v>15200000</x:v>
      </x:c>
      <x:c r="I454" s="10" t="n">
        <x:v>0.04</x:v>
      </x:c>
      <x:c r="J454" s="11" t="n">
        <x:v>7</x:v>
      </x:c>
      <x:c r="K454" s="11" t="n">
        <x:v>0</x:v>
      </x:c>
      <x:c r="L454" s="11" t="n">
        <x:v>0</x:v>
      </x:c>
      <x:c r="M454" s="9" t="n">
        <x:f>ROUND(H454*(1-I454),2)</x:f>
        <x:v>14592000</x:v>
      </x:c>
      <x:c r="N454" s="4" t="str">
        <x:v>Sales manager</x:v>
      </x:c>
      <x:c r="O454" s="4" t="str">
        <x:v>BOOK-00453</x:v>
      </x:c>
      <x:c r="P454" s="9" t="n">
        <x:v>7296000</x:v>
      </x:c>
      <x:c r="Q454" s="11" t="n">
        <x:v>0</x:v>
      </x:c>
      <x:c r="R454" s="8" t="n">
        <x:v>45356</x:v>
      </x:c>
      <x:c r="S454" s="4" t="str">
        <x:v>Retained</x:v>
      </x:c>
      <x:c r="T454" s="10" t="n">
        <x:v>0.226277</x:v>
      </x:c>
      <x:c r="U454" s="4" t="str">
        <x:v>Train</x:v>
      </x:c>
    </x:row>
    <x:row r="455" ht="34" customHeight="1">
      <x:c r="A455" s="4" t="str">
        <x:v>RS-00454</x:v>
      </x:c>
      <x:c r="B455" s="8" t="n">
        <x:v>45297</x:v>
      </x:c>
      <x:c r="C455" s="4" t="str">
        <x:v>PRJ-014</x:v>
      </x:c>
      <x:c r="D455" s="4" t="str">
        <x:v>Villa</x:v>
      </x:c>
      <x:c r="E455" s="4" t="str">
        <x:v>Agreement signed</x:v>
      </x:c>
      <x:c r="F455" s="4" t="str">
        <x:v>CUS-00454</x:v>
      </x:c>
      <x:c r="G455" s="4" t="str">
        <x:v>UNIT-00454</x:v>
      </x:c>
      <x:c r="H455" s="9" t="n">
        <x:v>14500000</x:v>
      </x:c>
      <x:c r="I455" s="10" t="n">
        <x:v>0.06</x:v>
      </x:c>
      <x:c r="J455" s="11" t="n">
        <x:v>6</x:v>
      </x:c>
      <x:c r="K455" s="11" t="n">
        <x:v>5</x:v>
      </x:c>
      <x:c r="L455" s="11" t="n">
        <x:v>1</x:v>
      </x:c>
      <x:c r="M455" s="9" t="n">
        <x:f>ROUND(H455*(1-I455),2)</x:f>
        <x:v>13630000</x:v>
      </x:c>
      <x:c r="N455" s="4" t="str">
        <x:v>Sales manager</x:v>
      </x:c>
      <x:c r="O455" s="4" t="str">
        <x:v>BOOK-00454</x:v>
      </x:c>
      <x:c r="P455" s="9" t="n">
        <x:v>13630000</x:v>
      </x:c>
      <x:c r="Q455" s="11" t="n">
        <x:v>0</x:v>
      </x:c>
      <x:c r="R455" s="8" t="n">
        <x:v>45357</x:v>
      </x:c>
      <x:c r="S455" s="4" t="str">
        <x:v>Retained</x:v>
      </x:c>
      <x:c r="T455" s="10" t="n">
        <x:v>0.291946</x:v>
      </x:c>
      <x:c r="U455" s="4" t="str">
        <x:v>Train</x:v>
      </x:c>
    </x:row>
    <x:row r="456" ht="34" customHeight="1">
      <x:c r="A456" s="4" t="str">
        <x:v>RS-00455</x:v>
      </x:c>
      <x:c r="B456" s="8" t="n">
        <x:v>45298</x:v>
      </x:c>
      <x:c r="C456" s="4" t="str">
        <x:v>PRJ-015</x:v>
      </x:c>
      <x:c r="D456" s="4" t="str">
        <x:v>Apartment</x:v>
      </x:c>
      <x:c r="E456" s="4" t="str">
        <x:v>Reserved</x:v>
      </x:c>
      <x:c r="F456" s="4" t="str">
        <x:v>CUS-00455</x:v>
      </x:c>
      <x:c r="G456" s="4" t="str">
        <x:v>UNIT-00455</x:v>
      </x:c>
      <x:c r="H456" s="9" t="n">
        <x:v>22300000</x:v>
      </x:c>
      <x:c r="I456" s="10" t="n">
        <x:v>0.09</x:v>
      </x:c>
      <x:c r="J456" s="11" t="n">
        <x:v>5</x:v>
      </x:c>
      <x:c r="K456" s="11" t="n">
        <x:v>5</x:v>
      </x:c>
      <x:c r="L456" s="11" t="n">
        <x:v>1</x:v>
      </x:c>
      <x:c r="M456" s="9" t="n">
        <x:f>ROUND(H456*(1-I456),2)</x:f>
        <x:v>20293000</x:v>
      </x:c>
      <x:c r="N456" s="4" t="str">
        <x:v>Sales head</x:v>
      </x:c>
      <x:c r="O456" s="4"/>
      <x:c r="P456" s="9" t="n">
        <x:v>0</x:v>
      </x:c>
      <x:c r="Q456" s="11" t="n">
        <x:v>1</x:v>
      </x:c>
      <x:c r="R456" s="8" t="n">
        <x:v>45358</x:v>
      </x:c>
      <x:c r="S456" s="4" t="str">
        <x:v>Lost / cancelled</x:v>
      </x:c>
      <x:c r="T456" s="10" t="n">
        <x:v>0.291946</x:v>
      </x:c>
      <x:c r="U456" s="4" t="str">
        <x:v>Train</x:v>
      </x:c>
    </x:row>
    <x:row r="457" ht="34" customHeight="1">
      <x:c r="A457" s="4" t="str">
        <x:v>RS-00456</x:v>
      </x:c>
      <x:c r="B457" s="8" t="n">
        <x:v>45299</x:v>
      </x:c>
      <x:c r="C457" s="4" t="str">
        <x:v>PRJ-016</x:v>
      </x:c>
      <x:c r="D457" s="4" t="str">
        <x:v>Retail</x:v>
      </x:c>
      <x:c r="E457" s="4" t="str">
        <x:v>Handed over</x:v>
      </x:c>
      <x:c r="F457" s="4" t="str">
        <x:v>CUS-00456</x:v>
      </x:c>
      <x:c r="G457" s="4" t="str">
        <x:v>UNIT-00456</x:v>
      </x:c>
      <x:c r="H457" s="9" t="n">
        <x:v>21200000</x:v>
      </x:c>
      <x:c r="I457" s="10" t="n">
        <x:v>0.02</x:v>
      </x:c>
      <x:c r="J457" s="11" t="n">
        <x:v>9</x:v>
      </x:c>
      <x:c r="K457" s="11" t="n">
        <x:v>2</x:v>
      </x:c>
      <x:c r="L457" s="11" t="n">
        <x:v>1</x:v>
      </x:c>
      <x:c r="M457" s="9" t="n">
        <x:f>ROUND(H457*(1-I457),2)</x:f>
        <x:v>20776000</x:v>
      </x:c>
      <x:c r="N457" s="4" t="str">
        <x:v>Sales manager</x:v>
      </x:c>
      <x:c r="O457" s="4" t="str">
        <x:v>BOOK-00456</x:v>
      </x:c>
      <x:c r="P457" s="9" t="n">
        <x:v>2077600</x:v>
      </x:c>
      <x:c r="Q457" s="11" t="n">
        <x:v>0</x:v>
      </x:c>
      <x:c r="R457" s="8" t="n">
        <x:v>45359</x:v>
      </x:c>
      <x:c r="S457" s="4" t="str">
        <x:v>Retained</x:v>
      </x:c>
      <x:c r="T457" s="10" t="n">
        <x:v>0.254545</x:v>
      </x:c>
      <x:c r="U457" s="4" t="str">
        <x:v>Train</x:v>
      </x:c>
    </x:row>
    <x:row r="458" ht="34" customHeight="1">
      <x:c r="A458" s="4" t="str">
        <x:v>RS-00457</x:v>
      </x:c>
      <x:c r="B458" s="8" t="n">
        <x:v>45300</x:v>
      </x:c>
      <x:c r="C458" s="4" t="str">
        <x:v>PRJ-017</x:v>
      </x:c>
      <x:c r="D458" s="4" t="str">
        <x:v>Retail</x:v>
      </x:c>
      <x:c r="E458" s="4" t="str">
        <x:v>Cancelled</x:v>
      </x:c>
      <x:c r="F458" s="4" t="str">
        <x:v>CUS-00457</x:v>
      </x:c>
      <x:c r="G458" s="4" t="str">
        <x:v>UNIT-00457</x:v>
      </x:c>
      <x:c r="H458" s="9" t="n">
        <x:v>15000000</x:v>
      </x:c>
      <x:c r="I458" s="10" t="n">
        <x:v>0.1</x:v>
      </x:c>
      <x:c r="J458" s="11" t="n">
        <x:v>1</x:v>
      </x:c>
      <x:c r="K458" s="11" t="n">
        <x:v>10</x:v>
      </x:c>
      <x:c r="L458" s="11" t="n">
        <x:v>1</x:v>
      </x:c>
      <x:c r="M458" s="9" t="n">
        <x:f>ROUND(H458*(1-I458),2)</x:f>
        <x:v>13500000</x:v>
      </x:c>
      <x:c r="N458" s="4" t="str">
        <x:v>Sales head</x:v>
      </x:c>
      <x:c r="O458" s="4"/>
      <x:c r="P458" s="9" t="n">
        <x:v>0</x:v>
      </x:c>
      <x:c r="Q458" s="11" t="n">
        <x:v>1</x:v>
      </x:c>
      <x:c r="R458" s="8" t="n">
        <x:v>45360</x:v>
      </x:c>
      <x:c r="S458" s="4" t="str">
        <x:v>Lost / cancelled</x:v>
      </x:c>
      <x:c r="T458" s="10" t="n">
        <x:v>0.145833</x:v>
      </x:c>
      <x:c r="U458" s="4" t="str">
        <x:v>Train</x:v>
      </x:c>
    </x:row>
    <x:row r="459" ht="34" customHeight="1">
      <x:c r="A459" s="4" t="str">
        <x:v>RS-00458</x:v>
      </x:c>
      <x:c r="B459" s="8" t="n">
        <x:v>45301</x:v>
      </x:c>
      <x:c r="C459" s="4" t="str">
        <x:v>PRJ-018</x:v>
      </x:c>
      <x:c r="D459" s="4" t="str">
        <x:v>Retail</x:v>
      </x:c>
      <x:c r="E459" s="4" t="str">
        <x:v>Cancelled</x:v>
      </x:c>
      <x:c r="F459" s="4" t="str">
        <x:v>CUS-00458</x:v>
      </x:c>
      <x:c r="G459" s="4" t="str">
        <x:v>UNIT-00458</x:v>
      </x:c>
      <x:c r="H459" s="9" t="n">
        <x:v>7900000</x:v>
      </x:c>
      <x:c r="I459" s="10" t="n">
        <x:v>0.02</x:v>
      </x:c>
      <x:c r="J459" s="11" t="n">
        <x:v>4</x:v>
      </x:c>
      <x:c r="K459" s="11" t="n">
        <x:v>1</x:v>
      </x:c>
      <x:c r="L459" s="11" t="n">
        <x:v>1</x:v>
      </x:c>
      <x:c r="M459" s="9" t="n">
        <x:f>ROUND(H459*(1-I459),2)</x:f>
        <x:v>7742000</x:v>
      </x:c>
      <x:c r="N459" s="4" t="str">
        <x:v>Sales manager</x:v>
      </x:c>
      <x:c r="O459" s="4"/>
      <x:c r="P459" s="9" t="n">
        <x:v>0</x:v>
      </x:c>
      <x:c r="Q459" s="11" t="n">
        <x:v>1</x:v>
      </x:c>
      <x:c r="R459" s="8" t="n">
        <x:v>45361</x:v>
      </x:c>
      <x:c r="S459" s="4" t="str">
        <x:v>Lost / cancelled</x:v>
      </x:c>
      <x:c r="T459" s="10" t="n">
        <x:v>0.298969</x:v>
      </x:c>
      <x:c r="U459" s="4" t="str">
        <x:v>Train</x:v>
      </x:c>
    </x:row>
    <x:row r="460" ht="34" customHeight="1">
      <x:c r="A460" s="4" t="str">
        <x:v>RS-00459</x:v>
      </x:c>
      <x:c r="B460" s="8" t="n">
        <x:v>45302</x:v>
      </x:c>
      <x:c r="C460" s="4" t="str">
        <x:v>PRJ-019</x:v>
      </x:c>
      <x:c r="D460" s="4" t="str">
        <x:v>Villa</x:v>
      </x:c>
      <x:c r="E460" s="4" t="str">
        <x:v>Reserved</x:v>
      </x:c>
      <x:c r="F460" s="4" t="str">
        <x:v>CUS-00459</x:v>
      </x:c>
      <x:c r="G460" s="4" t="str">
        <x:v>UNIT-00459</x:v>
      </x:c>
      <x:c r="H460" s="9" t="n">
        <x:v>15400000</x:v>
      </x:c>
      <x:c r="I460" s="10" t="n">
        <x:v>0.07</x:v>
      </x:c>
      <x:c r="J460" s="11" t="n">
        <x:v>6</x:v>
      </x:c>
      <x:c r="K460" s="11" t="n">
        <x:v>8</x:v>
      </x:c>
      <x:c r="L460" s="11" t="n">
        <x:v>0</x:v>
      </x:c>
      <x:c r="M460" s="9" t="n">
        <x:f>ROUND(H460*(1-I460),2)</x:f>
        <x:v>14322000</x:v>
      </x:c>
      <x:c r="N460" s="4" t="str">
        <x:v>Sales manager</x:v>
      </x:c>
      <x:c r="O460" s="4"/>
      <x:c r="P460" s="9" t="n">
        <x:v>0</x:v>
      </x:c>
      <x:c r="Q460" s="11" t="n">
        <x:v>0</x:v>
      </x:c>
      <x:c r="R460" s="8" t="n">
        <x:v>45362</x:v>
      </x:c>
      <x:c r="S460" s="4" t="str">
        <x:v>Retained</x:v>
      </x:c>
      <x:c r="T460" s="10" t="n">
        <x:v>0.226277</x:v>
      </x:c>
      <x:c r="U460" s="4" t="str">
        <x:v>Train</x:v>
      </x:c>
    </x:row>
    <x:row r="461" ht="34" customHeight="1">
      <x:c r="A461" s="4" t="str">
        <x:v>RS-00460</x:v>
      </x:c>
      <x:c r="B461" s="8" t="n">
        <x:v>45303</x:v>
      </x:c>
      <x:c r="C461" s="4" t="str">
        <x:v>PRJ-020</x:v>
      </x:c>
      <x:c r="D461" s="4" t="str">
        <x:v>Retail</x:v>
      </x:c>
      <x:c r="E461" s="4" t="str">
        <x:v>Booked</x:v>
      </x:c>
      <x:c r="F461" s="4" t="str">
        <x:v>CUS-00460</x:v>
      </x:c>
      <x:c r="G461" s="4" t="str">
        <x:v>UNIT-00460</x:v>
      </x:c>
      <x:c r="H461" s="9" t="n">
        <x:v>22800000</x:v>
      </x:c>
      <x:c r="I461" s="10" t="n">
        <x:v>0.01</x:v>
      </x:c>
      <x:c r="J461" s="11" t="n">
        <x:v>4</x:v>
      </x:c>
      <x:c r="K461" s="11" t="n">
        <x:v>6</x:v>
      </x:c>
      <x:c r="L461" s="11" t="n">
        <x:v>1</x:v>
      </x:c>
      <x:c r="M461" s="9" t="n">
        <x:f>ROUND(H461*(1-I461),2)</x:f>
        <x:v>22572000</x:v>
      </x:c>
      <x:c r="N461" s="4" t="str">
        <x:v>Sales manager</x:v>
      </x:c>
      <x:c r="O461" s="4" t="str">
        <x:v>BOOK-00460</x:v>
      </x:c>
      <x:c r="P461" s="9" t="n">
        <x:v>2257200</x:v>
      </x:c>
      <x:c r="Q461" s="11" t="n">
        <x:v>0</x:v>
      </x:c>
      <x:c r="R461" s="8" t="n">
        <x:v>45363</x:v>
      </x:c>
      <x:c r="S461" s="4" t="str">
        <x:v>Retained</x:v>
      </x:c>
      <x:c r="T461" s="10" t="n">
        <x:v>0.145299</x:v>
      </x:c>
      <x:c r="U461" s="4" t="str">
        <x:v>Train</x:v>
      </x:c>
    </x:row>
    <x:row r="462" ht="34" customHeight="1">
      <x:c r="A462" s="4" t="str">
        <x:v>RS-00461</x:v>
      </x:c>
      <x:c r="B462" s="8" t="n">
        <x:v>45304</x:v>
      </x:c>
      <x:c r="C462" s="4" t="str">
        <x:v>PRJ-001</x:v>
      </x:c>
      <x:c r="D462" s="4" t="str">
        <x:v>Office</x:v>
      </x:c>
      <x:c r="E462" s="4" t="str">
        <x:v>Booked</x:v>
      </x:c>
      <x:c r="F462" s="4" t="str">
        <x:v>CUS-00461</x:v>
      </x:c>
      <x:c r="G462" s="4" t="str">
        <x:v>UNIT-00461</x:v>
      </x:c>
      <x:c r="H462" s="9" t="n">
        <x:v>21100000</x:v>
      </x:c>
      <x:c r="I462" s="10" t="n">
        <x:v>0.1</x:v>
      </x:c>
      <x:c r="J462" s="11" t="n">
        <x:v>11</x:v>
      </x:c>
      <x:c r="K462" s="11" t="n">
        <x:v>8</x:v>
      </x:c>
      <x:c r="L462" s="11" t="n">
        <x:v>1</x:v>
      </x:c>
      <x:c r="M462" s="9" t="n">
        <x:f>ROUND(H462*(1-I462),2)</x:f>
        <x:v>18990000</x:v>
      </x:c>
      <x:c r="N462" s="4" t="str">
        <x:v>Sales head</x:v>
      </x:c>
      <x:c r="O462" s="4" t="str">
        <x:v>BOOK-00461</x:v>
      </x:c>
      <x:c r="P462" s="9" t="n">
        <x:v>9495000</x:v>
      </x:c>
      <x:c r="Q462" s="11" t="n">
        <x:v>0</x:v>
      </x:c>
      <x:c r="R462" s="8" t="n">
        <x:v>45364</x:v>
      </x:c>
      <x:c r="S462" s="4" t="str">
        <x:v>Retained</x:v>
      </x:c>
      <x:c r="T462" s="10" t="n">
        <x:v>0.351536</x:v>
      </x:c>
      <x:c r="U462" s="4" t="str">
        <x:v>Train</x:v>
      </x:c>
    </x:row>
    <x:row r="463" ht="34" customHeight="1">
      <x:c r="A463" s="4" t="str">
        <x:v>RS-00462</x:v>
      </x:c>
      <x:c r="B463" s="8" t="n">
        <x:v>45305</x:v>
      </x:c>
      <x:c r="C463" s="4" t="str">
        <x:v>PRJ-002</x:v>
      </x:c>
      <x:c r="D463" s="4" t="str">
        <x:v>Office</x:v>
      </x:c>
      <x:c r="E463" s="4" t="str">
        <x:v>Enquiry</x:v>
      </x:c>
      <x:c r="F463" s="4" t="str">
        <x:v>CUS-00462</x:v>
      </x:c>
      <x:c r="G463" s="4" t="str">
        <x:v>UNIT-00462</x:v>
      </x:c>
      <x:c r="H463" s="9" t="n">
        <x:v>6900000</x:v>
      </x:c>
      <x:c r="I463" s="10" t="n">
        <x:v>0.04</x:v>
      </x:c>
      <x:c r="J463" s="11" t="n">
        <x:v>6</x:v>
      </x:c>
      <x:c r="K463" s="11" t="n">
        <x:v>1</x:v>
      </x:c>
      <x:c r="L463" s="11" t="n">
        <x:v>0</x:v>
      </x:c>
      <x:c r="M463" s="9" t="n">
        <x:f>ROUND(H463*(1-I463),2)</x:f>
        <x:v>6624000</x:v>
      </x:c>
      <x:c r="N463" s="4" t="str">
        <x:v>Sales manager</x:v>
      </x:c>
      <x:c r="O463" s="4"/>
      <x:c r="P463" s="9" t="n">
        <x:v>0</x:v>
      </x:c>
      <x:c r="Q463" s="11" t="n">
        <x:v>1</x:v>
      </x:c>
      <x:c r="R463" s="8" t="n">
        <x:v>45365</x:v>
      </x:c>
      <x:c r="S463" s="4" t="str">
        <x:v>Lost / cancelled</x:v>
      </x:c>
      <x:c r="T463" s="10" t="n">
        <x:v>0.226277</x:v>
      </x:c>
      <x:c r="U463" s="4" t="str">
        <x:v>Train</x:v>
      </x:c>
    </x:row>
    <x:row r="464" ht="34" customHeight="1">
      <x:c r="A464" s="4" t="str">
        <x:v>RS-00463</x:v>
      </x:c>
      <x:c r="B464" s="8" t="n">
        <x:v>45306</x:v>
      </x:c>
      <x:c r="C464" s="4" t="str">
        <x:v>PRJ-003</x:v>
      </x:c>
      <x:c r="D464" s="4" t="str">
        <x:v>Office</x:v>
      </x:c>
      <x:c r="E464" s="4" t="str">
        <x:v>Agreement signed</x:v>
      </x:c>
      <x:c r="F464" s="4" t="str">
        <x:v>CUS-00463</x:v>
      </x:c>
      <x:c r="G464" s="4" t="str">
        <x:v>UNIT-00463</x:v>
      </x:c>
      <x:c r="H464" s="9" t="n">
        <x:v>5000000</x:v>
      </x:c>
      <x:c r="I464" s="10" t="n">
        <x:v>0.08</x:v>
      </x:c>
      <x:c r="J464" s="11" t="n">
        <x:v>0</x:v>
      </x:c>
      <x:c r="K464" s="11" t="n">
        <x:v>4</x:v>
      </x:c>
      <x:c r="L464" s="11" t="n">
        <x:v>0</x:v>
      </x:c>
      <x:c r="M464" s="9" t="n">
        <x:f>ROUND(H464*(1-I464),2)</x:f>
        <x:v>4600000</x:v>
      </x:c>
      <x:c r="N464" s="4" t="str">
        <x:v>Sales head</x:v>
      </x:c>
      <x:c r="O464" s="4" t="str">
        <x:v>BOOK-00463</x:v>
      </x:c>
      <x:c r="P464" s="9" t="n">
        <x:v>460000</x:v>
      </x:c>
      <x:c r="Q464" s="11" t="n">
        <x:v>0</x:v>
      </x:c>
      <x:c r="R464" s="8" t="n">
        <x:v>45366</x:v>
      </x:c>
      <x:c r="S464" s="4" t="str">
        <x:v>Retained</x:v>
      </x:c>
      <x:c r="T464" s="10" t="n">
        <x:v>0.204152</x:v>
      </x:c>
      <x:c r="U464" s="4" t="str">
        <x:v>Train</x:v>
      </x:c>
    </x:row>
    <x:row r="465" ht="34" customHeight="1">
      <x:c r="A465" s="4" t="str">
        <x:v>RS-00464</x:v>
      </x:c>
      <x:c r="B465" s="8" t="n">
        <x:v>45307</x:v>
      </x:c>
      <x:c r="C465" s="4" t="str">
        <x:v>PRJ-004</x:v>
      </x:c>
      <x:c r="D465" s="4" t="str">
        <x:v>Villa</x:v>
      </x:c>
      <x:c r="E465" s="4" t="str">
        <x:v>Cancelled</x:v>
      </x:c>
      <x:c r="F465" s="4" t="str">
        <x:v>CUS-00464</x:v>
      </x:c>
      <x:c r="G465" s="4" t="str">
        <x:v>UNIT-00464</x:v>
      </x:c>
      <x:c r="H465" s="9" t="n">
        <x:v>22300000</x:v>
      </x:c>
      <x:c r="I465" s="10" t="n">
        <x:v>0.02</x:v>
      </x:c>
      <x:c r="J465" s="11" t="n">
        <x:v>3</x:v>
      </x:c>
      <x:c r="K465" s="11" t="n">
        <x:v>8</x:v>
      </x:c>
      <x:c r="L465" s="11" t="n">
        <x:v>0</x:v>
      </x:c>
      <x:c r="M465" s="9" t="n">
        <x:f>ROUND(H465*(1-I465),2)</x:f>
        <x:v>21854000</x:v>
      </x:c>
      <x:c r="N465" s="4" t="str">
        <x:v>Sales manager</x:v>
      </x:c>
      <x:c r="O465" s="4"/>
      <x:c r="P465" s="9" t="n">
        <x:v>0</x:v>
      </x:c>
      <x:c r="Q465" s="11" t="n">
        <x:v>1</x:v>
      </x:c>
      <x:c r="R465" s="8" t="n">
        <x:v>45367</x:v>
      </x:c>
      <x:c r="S465" s="4" t="str">
        <x:v>Lost / cancelled</x:v>
      </x:c>
      <x:c r="T465" s="10" t="n">
        <x:v>0.171717</x:v>
      </x:c>
      <x:c r="U465" s="4" t="str">
        <x:v>Train</x:v>
      </x:c>
    </x:row>
    <x:row r="466" ht="34" customHeight="1">
      <x:c r="A466" s="4" t="str">
        <x:v>RS-00465</x:v>
      </x:c>
      <x:c r="B466" s="8" t="n">
        <x:v>45308</x:v>
      </x:c>
      <x:c r="C466" s="4" t="str">
        <x:v>PRJ-005</x:v>
      </x:c>
      <x:c r="D466" s="4" t="str">
        <x:v>Office</x:v>
      </x:c>
      <x:c r="E466" s="4" t="str">
        <x:v>Handed over</x:v>
      </x:c>
      <x:c r="F466" s="4" t="str">
        <x:v>CUS-00465</x:v>
      </x:c>
      <x:c r="G466" s="4" t="str">
        <x:v>UNIT-00465</x:v>
      </x:c>
      <x:c r="H466" s="9" t="n">
        <x:v>5700000</x:v>
      </x:c>
      <x:c r="I466" s="10" t="n">
        <x:v>0.09</x:v>
      </x:c>
      <x:c r="J466" s="11" t="n">
        <x:v>11</x:v>
      </x:c>
      <x:c r="K466" s="11" t="n">
        <x:v>8</x:v>
      </x:c>
      <x:c r="L466" s="11" t="n">
        <x:v>1</x:v>
      </x:c>
      <x:c r="M466" s="9" t="n">
        <x:f>ROUND(H466*(1-I466),2)</x:f>
        <x:v>5187000</x:v>
      </x:c>
      <x:c r="N466" s="4" t="str">
        <x:v>Sales head</x:v>
      </x:c>
      <x:c r="O466" s="4" t="str">
        <x:v>BOOK-00465</x:v>
      </x:c>
      <x:c r="P466" s="9" t="n">
        <x:v>518700</x:v>
      </x:c>
      <x:c r="Q466" s="11" t="n">
        <x:v>0</x:v>
      </x:c>
      <x:c r="R466" s="8" t="n">
        <x:v>45368</x:v>
      </x:c>
      <x:c r="S466" s="4" t="str">
        <x:v>Retained</x:v>
      </x:c>
      <x:c r="T466" s="10" t="n">
        <x:v>0.351536</x:v>
      </x:c>
      <x:c r="U466" s="4" t="str">
        <x:v>Train</x:v>
      </x:c>
    </x:row>
    <x:row r="467" ht="34" customHeight="1">
      <x:c r="A467" s="4" t="str">
        <x:v>RS-00466</x:v>
      </x:c>
      <x:c r="B467" s="8" t="n">
        <x:v>45309</x:v>
      </x:c>
      <x:c r="C467" s="4" t="str">
        <x:v>PRJ-006</x:v>
      </x:c>
      <x:c r="D467" s="4" t="str">
        <x:v>Apartment</x:v>
      </x:c>
      <x:c r="E467" s="4" t="str">
        <x:v>Reserved</x:v>
      </x:c>
      <x:c r="F467" s="4" t="str">
        <x:v>CUS-00466</x:v>
      </x:c>
      <x:c r="G467" s="4" t="str">
        <x:v>UNIT-00466</x:v>
      </x:c>
      <x:c r="H467" s="9" t="n">
        <x:v>15400000</x:v>
      </x:c>
      <x:c r="I467" s="10" t="n">
        <x:v>0.02</x:v>
      </x:c>
      <x:c r="J467" s="11" t="n">
        <x:v>5</x:v>
      </x:c>
      <x:c r="K467" s="11" t="n">
        <x:v>8</x:v>
      </x:c>
      <x:c r="L467" s="11" t="n">
        <x:v>0</x:v>
      </x:c>
      <x:c r="M467" s="9" t="n">
        <x:f>ROUND(H467*(1-I467),2)</x:f>
        <x:v>15092000</x:v>
      </x:c>
      <x:c r="N467" s="4" t="str">
        <x:v>Sales manager</x:v>
      </x:c>
      <x:c r="O467" s="4"/>
      <x:c r="P467" s="9" t="n">
        <x:v>0</x:v>
      </x:c>
      <x:c r="Q467" s="11" t="n">
        <x:v>0</x:v>
      </x:c>
      <x:c r="R467" s="8" t="n">
        <x:v>45369</x:v>
      </x:c>
      <x:c r="S467" s="4" t="str">
        <x:v>Retained</x:v>
      </x:c>
      <x:c r="T467" s="10" t="n">
        <x:v>0.145299</x:v>
      </x:c>
      <x:c r="U467" s="4" t="str">
        <x:v>Train</x:v>
      </x:c>
    </x:row>
    <x:row r="468" ht="34" customHeight="1">
      <x:c r="A468" s="4" t="str">
        <x:v>RS-00467</x:v>
      </x:c>
      <x:c r="B468" s="8" t="n">
        <x:v>45310</x:v>
      </x:c>
      <x:c r="C468" s="4" t="str">
        <x:v>PRJ-007</x:v>
      </x:c>
      <x:c r="D468" s="4" t="str">
        <x:v>Apartment</x:v>
      </x:c>
      <x:c r="E468" s="4" t="str">
        <x:v>Booked</x:v>
      </x:c>
      <x:c r="F468" s="4" t="str">
        <x:v>CUS-00467</x:v>
      </x:c>
      <x:c r="G468" s="4" t="str">
        <x:v>UNIT-00467</x:v>
      </x:c>
      <x:c r="H468" s="9" t="n">
        <x:v>9800000</x:v>
      </x:c>
      <x:c r="I468" s="10" t="n">
        <x:v>0.09</x:v>
      </x:c>
      <x:c r="J468" s="11" t="n">
        <x:v>7</x:v>
      </x:c>
      <x:c r="K468" s="11" t="n">
        <x:v>4</x:v>
      </x:c>
      <x:c r="L468" s="11" t="n">
        <x:v>1</x:v>
      </x:c>
      <x:c r="M468" s="9" t="n">
        <x:f>ROUND(H468*(1-I468),2)</x:f>
        <x:v>8918000</x:v>
      </x:c>
      <x:c r="N468" s="4" t="str">
        <x:v>Sales head</x:v>
      </x:c>
      <x:c r="O468" s="4" t="str">
        <x:v>BOOK-00467</x:v>
      </x:c>
      <x:c r="P468" s="9" t="n">
        <x:v>8918000</x:v>
      </x:c>
      <x:c r="Q468" s="11" t="n">
        <x:v>0</x:v>
      </x:c>
      <x:c r="R468" s="8" t="n">
        <x:v>45370</x:v>
      </x:c>
      <x:c r="S468" s="4" t="str">
        <x:v>Retained</x:v>
      </x:c>
      <x:c r="T468" s="10" t="n">
        <x:v>0.291946</x:v>
      </x:c>
      <x:c r="U468" s="4" t="str">
        <x:v>Train</x:v>
      </x:c>
    </x:row>
    <x:row r="469" ht="34" customHeight="1">
      <x:c r="A469" s="4" t="str">
        <x:v>RS-00468</x:v>
      </x:c>
      <x:c r="B469" s="8" t="n">
        <x:v>45311</x:v>
      </x:c>
      <x:c r="C469" s="4" t="str">
        <x:v>PRJ-008</x:v>
      </x:c>
      <x:c r="D469" s="4" t="str">
        <x:v>Office</x:v>
      </x:c>
      <x:c r="E469" s="4" t="str">
        <x:v>Booked</x:v>
      </x:c>
      <x:c r="F469" s="4" t="str">
        <x:v>CUS-00468</x:v>
      </x:c>
      <x:c r="G469" s="4" t="str">
        <x:v>UNIT-00468</x:v>
      </x:c>
      <x:c r="H469" s="9" t="n">
        <x:v>22600000</x:v>
      </x:c>
      <x:c r="I469" s="10" t="n">
        <x:v>0.02</x:v>
      </x:c>
      <x:c r="J469" s="11" t="n">
        <x:v>11</x:v>
      </x:c>
      <x:c r="K469" s="11" t="n">
        <x:v>6</x:v>
      </x:c>
      <x:c r="L469" s="11" t="n">
        <x:v>1</x:v>
      </x:c>
      <x:c r="M469" s="9" t="n">
        <x:f>ROUND(H469*(1-I469),2)</x:f>
        <x:v>22148000</x:v>
      </x:c>
      <x:c r="N469" s="4" t="str">
        <x:v>Sales manager</x:v>
      </x:c>
      <x:c r="O469" s="4" t="str">
        <x:v>BOOK-00468</x:v>
      </x:c>
      <x:c r="P469" s="9" t="n">
        <x:v>2214800</x:v>
      </x:c>
      <x:c r="Q469" s="11" t="n">
        <x:v>0</x:v>
      </x:c>
      <x:c r="R469" s="8" t="n">
        <x:v>45371</x:v>
      </x:c>
      <x:c r="S469" s="4" t="str">
        <x:v>Retained</x:v>
      </x:c>
      <x:c r="T469" s="10" t="n">
        <x:v>0.254545</x:v>
      </x:c>
      <x:c r="U469" s="4" t="str">
        <x:v>Train</x:v>
      </x:c>
    </x:row>
    <x:row r="470" ht="34" customHeight="1">
      <x:c r="A470" s="4" t="str">
        <x:v>RS-00469</x:v>
      </x:c>
      <x:c r="B470" s="8" t="n">
        <x:v>45312</x:v>
      </x:c>
      <x:c r="C470" s="4" t="str">
        <x:v>PRJ-009</x:v>
      </x:c>
      <x:c r="D470" s="4" t="str">
        <x:v>Retail</x:v>
      </x:c>
      <x:c r="E470" s="4" t="str">
        <x:v>Handed over</x:v>
      </x:c>
      <x:c r="F470" s="4" t="str">
        <x:v>CUS-00469</x:v>
      </x:c>
      <x:c r="G470" s="4" t="str">
        <x:v>UNIT-00469</x:v>
      </x:c>
      <x:c r="H470" s="9" t="n">
        <x:v>21300000</x:v>
      </x:c>
      <x:c r="I470" s="10" t="n">
        <x:v>0.11</x:v>
      </x:c>
      <x:c r="J470" s="11" t="n">
        <x:v>11</x:v>
      </x:c>
      <x:c r="K470" s="11" t="n">
        <x:v>3</x:v>
      </x:c>
      <x:c r="L470" s="11" t="n">
        <x:v>0</x:v>
      </x:c>
      <x:c r="M470" s="9" t="n">
        <x:f>ROUND(H470*(1-I470),2)</x:f>
        <x:v>18957000</x:v>
      </x:c>
      <x:c r="N470" s="4" t="str">
        <x:v>Sales head</x:v>
      </x:c>
      <x:c r="O470" s="4" t="str">
        <x:v>BOOK-00469</x:v>
      </x:c>
      <x:c r="P470" s="9" t="n">
        <x:v>9478500</x:v>
      </x:c>
      <x:c r="Q470" s="11" t="n">
        <x:v>0</x:v>
      </x:c>
      <x:c r="R470" s="8" t="n">
        <x:v>45372</x:v>
      </x:c>
      <x:c r="S470" s="4" t="str">
        <x:v>Retained</x:v>
      </x:c>
      <x:c r="T470" s="10" t="n">
        <x:v>0.351536</x:v>
      </x:c>
      <x:c r="U470" s="4" t="str">
        <x:v>Train</x:v>
      </x:c>
    </x:row>
    <x:row r="471" ht="34" customHeight="1">
      <x:c r="A471" s="4" t="str">
        <x:v>RS-00470</x:v>
      </x:c>
      <x:c r="B471" s="8" t="n">
        <x:v>45313</x:v>
      </x:c>
      <x:c r="C471" s="4" t="str">
        <x:v>PRJ-010</x:v>
      </x:c>
      <x:c r="D471" s="4" t="str">
        <x:v>Office</x:v>
      </x:c>
      <x:c r="E471" s="4" t="str">
        <x:v>Handed over</x:v>
      </x:c>
      <x:c r="F471" s="4" t="str">
        <x:v>CUS-00470</x:v>
      </x:c>
      <x:c r="G471" s="4" t="str">
        <x:v>UNIT-00470</x:v>
      </x:c>
      <x:c r="H471" s="9" t="n">
        <x:v>23600000</x:v>
      </x:c>
      <x:c r="I471" s="10" t="n">
        <x:v>0.08</x:v>
      </x:c>
      <x:c r="J471" s="11" t="n">
        <x:v>6</x:v>
      </x:c>
      <x:c r="K471" s="11" t="n">
        <x:v>8</x:v>
      </x:c>
      <x:c r="L471" s="11" t="n">
        <x:v>1</x:v>
      </x:c>
      <x:c r="M471" s="9" t="n">
        <x:f>ROUND(H471*(1-I471),2)</x:f>
        <x:v>21712000</x:v>
      </x:c>
      <x:c r="N471" s="4" t="str">
        <x:v>Sales head</x:v>
      </x:c>
      <x:c r="O471" s="4" t="str">
        <x:v>BOOK-00470</x:v>
      </x:c>
      <x:c r="P471" s="9" t="n">
        <x:v>21712000</x:v>
      </x:c>
      <x:c r="Q471" s="11" t="n">
        <x:v>0</x:v>
      </x:c>
      <x:c r="R471" s="8" t="n">
        <x:v>45373</x:v>
      </x:c>
      <x:c r="S471" s="4" t="str">
        <x:v>Retained</x:v>
      </x:c>
      <x:c r="T471" s="10" t="n">
        <x:v>0.291946</x:v>
      </x:c>
      <x:c r="U471" s="4" t="str">
        <x:v>Train</x:v>
      </x:c>
    </x:row>
    <x:row r="472" ht="34" customHeight="1">
      <x:c r="A472" s="4" t="str">
        <x:v>RS-00471</x:v>
      </x:c>
      <x:c r="B472" s="8" t="n">
        <x:v>45314</x:v>
      </x:c>
      <x:c r="C472" s="4" t="str">
        <x:v>PRJ-011</x:v>
      </x:c>
      <x:c r="D472" s="4" t="str">
        <x:v>Retail</x:v>
      </x:c>
      <x:c r="E472" s="4" t="str">
        <x:v>Agreement signed</x:v>
      </x:c>
      <x:c r="F472" s="4" t="str">
        <x:v>CUS-00471</x:v>
      </x:c>
      <x:c r="G472" s="4" t="str">
        <x:v>UNIT-00471</x:v>
      </x:c>
      <x:c r="H472" s="9" t="n">
        <x:v>23900000</x:v>
      </x:c>
      <x:c r="I472" s="10" t="n">
        <x:v>0.03</x:v>
      </x:c>
      <x:c r="J472" s="11" t="n">
        <x:v>8</x:v>
      </x:c>
      <x:c r="K472" s="11" t="n">
        <x:v>1</x:v>
      </x:c>
      <x:c r="L472" s="11" t="n">
        <x:v>0</x:v>
      </x:c>
      <x:c r="M472" s="9" t="n">
        <x:f>ROUND(H472*(1-I472),2)</x:f>
        <x:v>23183000</x:v>
      </x:c>
      <x:c r="N472" s="4" t="str">
        <x:v>Sales manager</x:v>
      </x:c>
      <x:c r="O472" s="4" t="str">
        <x:v>BOOK-00471</x:v>
      </x:c>
      <x:c r="P472" s="9" t="n">
        <x:v>23183000</x:v>
      </x:c>
      <x:c r="Q472" s="11" t="n">
        <x:v>0</x:v>
      </x:c>
      <x:c r="R472" s="8" t="n">
        <x:v>45374</x:v>
      </x:c>
      <x:c r="S472" s="4" t="str">
        <x:v>Retained</x:v>
      </x:c>
      <x:c r="T472" s="10" t="n">
        <x:v>0.310195</x:v>
      </x:c>
      <x:c r="U472" s="4" t="str">
        <x:v>Train</x:v>
      </x:c>
    </x:row>
    <x:row r="473" ht="34" customHeight="1">
      <x:c r="A473" s="4" t="str">
        <x:v>RS-00472</x:v>
      </x:c>
      <x:c r="B473" s="8" t="n">
        <x:v>45315</x:v>
      </x:c>
      <x:c r="C473" s="4" t="str">
        <x:v>PRJ-012</x:v>
      </x:c>
      <x:c r="D473" s="4" t="str">
        <x:v>Villa</x:v>
      </x:c>
      <x:c r="E473" s="4" t="str">
        <x:v>Agreement signed</x:v>
      </x:c>
      <x:c r="F473" s="4" t="str">
        <x:v>CUS-00472</x:v>
      </x:c>
      <x:c r="G473" s="4" t="str">
        <x:v>UNIT-00472</x:v>
      </x:c>
      <x:c r="H473" s="9" t="n">
        <x:v>11300000</x:v>
      </x:c>
      <x:c r="I473" s="10" t="n">
        <x:v>0.06</x:v>
      </x:c>
      <x:c r="J473" s="11" t="n">
        <x:v>4</x:v>
      </x:c>
      <x:c r="K473" s="11" t="n">
        <x:v>3</x:v>
      </x:c>
      <x:c r="L473" s="11" t="n">
        <x:v>1</x:v>
      </x:c>
      <x:c r="M473" s="9" t="n">
        <x:f>ROUND(H473*(1-I473),2)</x:f>
        <x:v>10622000</x:v>
      </x:c>
      <x:c r="N473" s="4" t="str">
        <x:v>Sales manager</x:v>
      </x:c>
      <x:c r="O473" s="4" t="str">
        <x:v>BOOK-00472</x:v>
      </x:c>
      <x:c r="P473" s="9" t="n">
        <x:v>5311000</x:v>
      </x:c>
      <x:c r="Q473" s="11" t="n">
        <x:v>0</x:v>
      </x:c>
      <x:c r="R473" s="8" t="n">
        <x:v>45375</x:v>
      </x:c>
      <x:c r="S473" s="4" t="str">
        <x:v>Retained</x:v>
      </x:c>
      <x:c r="T473" s="10" t="n">
        <x:v>0.291946</x:v>
      </x:c>
      <x:c r="U473" s="4" t="str">
        <x:v>Train</x:v>
      </x:c>
    </x:row>
    <x:row r="474" ht="34" customHeight="1">
      <x:c r="A474" s="4" t="str">
        <x:v>RS-00473</x:v>
      </x:c>
      <x:c r="B474" s="8" t="n">
        <x:v>45316</x:v>
      </x:c>
      <x:c r="C474" s="4" t="str">
        <x:v>PRJ-013</x:v>
      </x:c>
      <x:c r="D474" s="4" t="str">
        <x:v>Villa</x:v>
      </x:c>
      <x:c r="E474" s="4" t="str">
        <x:v>Reserved</x:v>
      </x:c>
      <x:c r="F474" s="4" t="str">
        <x:v>CUS-00473</x:v>
      </x:c>
      <x:c r="G474" s="4" t="str">
        <x:v>UNIT-00473</x:v>
      </x:c>
      <x:c r="H474" s="9" t="n">
        <x:v>22600000</x:v>
      </x:c>
      <x:c r="I474" s="10" t="n">
        <x:v>0.01</x:v>
      </x:c>
      <x:c r="J474" s="11" t="n">
        <x:v>10</x:v>
      </x:c>
      <x:c r="K474" s="11" t="n">
        <x:v>10</x:v>
      </x:c>
      <x:c r="L474" s="11" t="n">
        <x:v>1</x:v>
      </x:c>
      <x:c r="M474" s="9" t="n">
        <x:f>ROUND(H474*(1-I474),2)</x:f>
        <x:v>22374000</x:v>
      </x:c>
      <x:c r="N474" s="4" t="str">
        <x:v>Sales manager</x:v>
      </x:c>
      <x:c r="O474" s="4"/>
      <x:c r="P474" s="9" t="n">
        <x:v>0</x:v>
      </x:c>
      <x:c r="Q474" s="11" t="n">
        <x:v>0</x:v>
      </x:c>
      <x:c r="R474" s="8" t="n">
        <x:v>45376</x:v>
      </x:c>
      <x:c r="S474" s="4" t="str">
        <x:v>Retained</x:v>
      </x:c>
      <x:c r="T474" s="10" t="n">
        <x:v>0.254545</x:v>
      </x:c>
      <x:c r="U474" s="4" t="str">
        <x:v>Train</x:v>
      </x:c>
    </x:row>
    <x:row r="475" ht="34" customHeight="1">
      <x:c r="A475" s="4" t="str">
        <x:v>RS-00474</x:v>
      </x:c>
      <x:c r="B475" s="8" t="n">
        <x:v>45317</x:v>
      </x:c>
      <x:c r="C475" s="4" t="str">
        <x:v>PRJ-014</x:v>
      </x:c>
      <x:c r="D475" s="4" t="str">
        <x:v>Villa</x:v>
      </x:c>
      <x:c r="E475" s="4" t="str">
        <x:v>Agreement signed</x:v>
      </x:c>
      <x:c r="F475" s="4" t="str">
        <x:v>CUS-00474</x:v>
      </x:c>
      <x:c r="G475" s="4" t="str">
        <x:v>UNIT-00474</x:v>
      </x:c>
      <x:c r="H475" s="9" t="n">
        <x:v>6100000</x:v>
      </x:c>
      <x:c r="I475" s="10" t="n">
        <x:v>0.01</x:v>
      </x:c>
      <x:c r="J475" s="11" t="n">
        <x:v>2</x:v>
      </x:c>
      <x:c r="K475" s="11" t="n">
        <x:v>7</x:v>
      </x:c>
      <x:c r="L475" s="11" t="n">
        <x:v>0</x:v>
      </x:c>
      <x:c r="M475" s="9" t="n">
        <x:f>ROUND(H475*(1-I475),2)</x:f>
        <x:v>6039000</x:v>
      </x:c>
      <x:c r="N475" s="4" t="str">
        <x:v>Sales manager</x:v>
      </x:c>
      <x:c r="O475" s="4" t="str">
        <x:v>BOOK-00474</x:v>
      </x:c>
      <x:c r="P475" s="9" t="n">
        <x:v>1509750</x:v>
      </x:c>
      <x:c r="Q475" s="11" t="n">
        <x:v>0</x:v>
      </x:c>
      <x:c r="R475" s="8" t="n">
        <x:v>45377</x:v>
      </x:c>
      <x:c r="S475" s="4" t="str">
        <x:v>Retained</x:v>
      </x:c>
      <x:c r="T475" s="10" t="n">
        <x:v>0.171717</x:v>
      </x:c>
      <x:c r="U475" s="4" t="str">
        <x:v>Train</x:v>
      </x:c>
    </x:row>
    <x:row r="476" ht="34" customHeight="1">
      <x:c r="A476" s="4" t="str">
        <x:v>RS-00475</x:v>
      </x:c>
      <x:c r="B476" s="8" t="n">
        <x:v>45318</x:v>
      </x:c>
      <x:c r="C476" s="4" t="str">
        <x:v>PRJ-015</x:v>
      </x:c>
      <x:c r="D476" s="4" t="str">
        <x:v>Office</x:v>
      </x:c>
      <x:c r="E476" s="4" t="str">
        <x:v>Reserved</x:v>
      </x:c>
      <x:c r="F476" s="4" t="str">
        <x:v>CUS-00475</x:v>
      </x:c>
      <x:c r="G476" s="4" t="str">
        <x:v>UNIT-00475</x:v>
      </x:c>
      <x:c r="H476" s="9" t="n">
        <x:v>23100000</x:v>
      </x:c>
      <x:c r="I476" s="10" t="n">
        <x:v>0.05</x:v>
      </x:c>
      <x:c r="J476" s="11" t="n">
        <x:v>7</x:v>
      </x:c>
      <x:c r="K476" s="11" t="n">
        <x:v>4</x:v>
      </x:c>
      <x:c r="L476" s="11" t="n">
        <x:v>1</x:v>
      </x:c>
      <x:c r="M476" s="9" t="n">
        <x:f>ROUND(H476*(1-I476),2)</x:f>
        <x:v>21945000</x:v>
      </x:c>
      <x:c r="N476" s="4" t="str">
        <x:v>Sales manager</x:v>
      </x:c>
      <x:c r="O476" s="4"/>
      <x:c r="P476" s="9" t="n">
        <x:v>0</x:v>
      </x:c>
      <x:c r="Q476" s="11" t="n">
        <x:v>1</x:v>
      </x:c>
      <x:c r="R476" s="8" t="n">
        <x:v>45378</x:v>
      </x:c>
      <x:c r="S476" s="4" t="str">
        <x:v>Lost / cancelled</x:v>
      </x:c>
      <x:c r="T476" s="10" t="n">
        <x:v>0.291946</x:v>
      </x:c>
      <x:c r="U476" s="4" t="str">
        <x:v>Train</x:v>
      </x:c>
    </x:row>
    <x:row r="477" ht="34" customHeight="1">
      <x:c r="A477" s="4" t="str">
        <x:v>RS-00476</x:v>
      </x:c>
      <x:c r="B477" s="8" t="n">
        <x:v>45319</x:v>
      </x:c>
      <x:c r="C477" s="4" t="str">
        <x:v>PRJ-016</x:v>
      </x:c>
      <x:c r="D477" s="4" t="str">
        <x:v>Office</x:v>
      </x:c>
      <x:c r="E477" s="4" t="str">
        <x:v>Handed over</x:v>
      </x:c>
      <x:c r="F477" s="4" t="str">
        <x:v>CUS-00476</x:v>
      </x:c>
      <x:c r="G477" s="4" t="str">
        <x:v>UNIT-00476</x:v>
      </x:c>
      <x:c r="H477" s="9" t="n">
        <x:v>11000000</x:v>
      </x:c>
      <x:c r="I477" s="10" t="n">
        <x:v>0.09</x:v>
      </x:c>
      <x:c r="J477" s="11" t="n">
        <x:v>10</x:v>
      </x:c>
      <x:c r="K477" s="11" t="n">
        <x:v>9</x:v>
      </x:c>
      <x:c r="L477" s="11" t="n">
        <x:v>0</x:v>
      </x:c>
      <x:c r="M477" s="9" t="n">
        <x:f>ROUND(H477*(1-I477),2)</x:f>
        <x:v>10010000</x:v>
      </x:c>
      <x:c r="N477" s="4" t="str">
        <x:v>Sales head</x:v>
      </x:c>
      <x:c r="O477" s="4" t="str">
        <x:v>BOOK-00476</x:v>
      </x:c>
      <x:c r="P477" s="9" t="n">
        <x:v>5005000</x:v>
      </x:c>
      <x:c r="Q477" s="11" t="n">
        <x:v>0</x:v>
      </x:c>
      <x:c r="R477" s="8" t="n">
        <x:v>45379</x:v>
      </x:c>
      <x:c r="S477" s="4" t="str">
        <x:v>Retained</x:v>
      </x:c>
      <x:c r="T477" s="10" t="n">
        <x:v>0.310195</x:v>
      </x:c>
      <x:c r="U477" s="4" t="str">
        <x:v>Train</x:v>
      </x:c>
    </x:row>
    <x:row r="478" ht="34" customHeight="1">
      <x:c r="A478" s="4" t="str">
        <x:v>RS-00477</x:v>
      </x:c>
      <x:c r="B478" s="8" t="n">
        <x:v>45292</x:v>
      </x:c>
      <x:c r="C478" s="4" t="str">
        <x:v>PRJ-017</x:v>
      </x:c>
      <x:c r="D478" s="4" t="str">
        <x:v>Retail</x:v>
      </x:c>
      <x:c r="E478" s="4" t="str">
        <x:v>Enquiry</x:v>
      </x:c>
      <x:c r="F478" s="4" t="str">
        <x:v>CUS-00477</x:v>
      </x:c>
      <x:c r="G478" s="4" t="str">
        <x:v>UNIT-00477</x:v>
      </x:c>
      <x:c r="H478" s="9" t="n">
        <x:v>7900000</x:v>
      </x:c>
      <x:c r="I478" s="10" t="n">
        <x:v>0.06</x:v>
      </x:c>
      <x:c r="J478" s="11" t="n">
        <x:v>2</x:v>
      </x:c>
      <x:c r="K478" s="11" t="n">
        <x:v>10</x:v>
      </x:c>
      <x:c r="L478" s="11" t="n">
        <x:v>0</x:v>
      </x:c>
      <x:c r="M478" s="9" t="n">
        <x:f>ROUND(H478*(1-I478),2)</x:f>
        <x:v>7426000</x:v>
      </x:c>
      <x:c r="N478" s="4" t="str">
        <x:v>Sales manager</x:v>
      </x:c>
      <x:c r="O478" s="4"/>
      <x:c r="P478" s="9" t="n">
        <x:v>0</x:v>
      </x:c>
      <x:c r="Q478" s="11" t="n">
        <x:v>1</x:v>
      </x:c>
      <x:c r="R478" s="8" t="n">
        <x:v>45352</x:v>
      </x:c>
      <x:c r="S478" s="4" t="str">
        <x:v>Lost / cancelled</x:v>
      </x:c>
      <x:c r="T478" s="10" t="n">
        <x:v>0.204152</x:v>
      </x:c>
      <x:c r="U478" s="4" t="str">
        <x:v>Train</x:v>
      </x:c>
    </x:row>
    <x:row r="479" ht="34" customHeight="1">
      <x:c r="A479" s="4" t="str">
        <x:v>RS-00478</x:v>
      </x:c>
      <x:c r="B479" s="8" t="n">
        <x:v>45293</x:v>
      </x:c>
      <x:c r="C479" s="4" t="str">
        <x:v>PRJ-018</x:v>
      </x:c>
      <x:c r="D479" s="4" t="str">
        <x:v>Villa</x:v>
      </x:c>
      <x:c r="E479" s="4" t="str">
        <x:v>Cancelled</x:v>
      </x:c>
      <x:c r="F479" s="4" t="str">
        <x:v>CUS-00478</x:v>
      </x:c>
      <x:c r="G479" s="4" t="str">
        <x:v>UNIT-00478</x:v>
      </x:c>
      <x:c r="H479" s="9" t="n">
        <x:v>17500000</x:v>
      </x:c>
      <x:c r="I479" s="10" t="n">
        <x:v>0.08</x:v>
      </x:c>
      <x:c r="J479" s="11" t="n">
        <x:v>2</x:v>
      </x:c>
      <x:c r="K479" s="11" t="n">
        <x:v>8</x:v>
      </x:c>
      <x:c r="L479" s="11" t="n">
        <x:v>0</x:v>
      </x:c>
      <x:c r="M479" s="9" t="n">
        <x:f>ROUND(H479*(1-I479),2)</x:f>
        <x:v>16100000</x:v>
      </x:c>
      <x:c r="N479" s="4" t="str">
        <x:v>Sales head</x:v>
      </x:c>
      <x:c r="O479" s="4"/>
      <x:c r="P479" s="9" t="n">
        <x:v>0</x:v>
      </x:c>
      <x:c r="Q479" s="11" t="n">
        <x:v>1</x:v>
      </x:c>
      <x:c r="R479" s="8" t="n">
        <x:v>45353</x:v>
      </x:c>
      <x:c r="S479" s="4" t="str">
        <x:v>Lost / cancelled</x:v>
      </x:c>
      <x:c r="T479" s="10" t="n">
        <x:v>0.204152</x:v>
      </x:c>
      <x:c r="U479" s="4" t="str">
        <x:v>Train</x:v>
      </x:c>
    </x:row>
    <x:row r="480" ht="34" customHeight="1">
      <x:c r="A480" s="4" t="str">
        <x:v>RS-00479</x:v>
      </x:c>
      <x:c r="B480" s="8" t="n">
        <x:v>45294</x:v>
      </x:c>
      <x:c r="C480" s="4" t="str">
        <x:v>PRJ-019</x:v>
      </x:c>
      <x:c r="D480" s="4" t="str">
        <x:v>Office</x:v>
      </x:c>
      <x:c r="E480" s="4" t="str">
        <x:v>Reserved</x:v>
      </x:c>
      <x:c r="F480" s="4" t="str">
        <x:v>CUS-00479</x:v>
      </x:c>
      <x:c r="G480" s="4" t="str">
        <x:v>UNIT-00479</x:v>
      </x:c>
      <x:c r="H480" s="9" t="n">
        <x:v>9100000</x:v>
      </x:c>
      <x:c r="I480" s="10" t="n">
        <x:v>0.11</x:v>
      </x:c>
      <x:c r="J480" s="11" t="n">
        <x:v>9</x:v>
      </x:c>
      <x:c r="K480" s="11" t="n">
        <x:v>6</x:v>
      </x:c>
      <x:c r="L480" s="11" t="n">
        <x:v>0</x:v>
      </x:c>
      <x:c r="M480" s="9" t="n">
        <x:f>ROUND(H480*(1-I480),2)</x:f>
        <x:v>8099000</x:v>
      </x:c>
      <x:c r="N480" s="4" t="str">
        <x:v>Sales head</x:v>
      </x:c>
      <x:c r="O480" s="4"/>
      <x:c r="P480" s="9" t="n">
        <x:v>0</x:v>
      </x:c>
      <x:c r="Q480" s="11" t="n">
        <x:v>1</x:v>
      </x:c>
      <x:c r="R480" s="8" t="n">
        <x:v>45354</x:v>
      </x:c>
      <x:c r="S480" s="4" t="str">
        <x:v>Lost / cancelled</x:v>
      </x:c>
      <x:c r="T480" s="10" t="n">
        <x:v>0.310195</x:v>
      </x:c>
      <x:c r="U480" s="4" t="str">
        <x:v>Train</x:v>
      </x:c>
    </x:row>
    <x:row r="481" ht="34" customHeight="1">
      <x:c r="A481" s="4" t="str">
        <x:v>RS-00480</x:v>
      </x:c>
      <x:c r="B481" s="8" t="n">
        <x:v>45295</x:v>
      </x:c>
      <x:c r="C481" s="4" t="str">
        <x:v>PRJ-020</x:v>
      </x:c>
      <x:c r="D481" s="4" t="str">
        <x:v>Villa</x:v>
      </x:c>
      <x:c r="E481" s="4" t="str">
        <x:v>Reserved</x:v>
      </x:c>
      <x:c r="F481" s="4" t="str">
        <x:v>CUS-00480</x:v>
      </x:c>
      <x:c r="G481" s="4" t="str">
        <x:v>UNIT-00480</x:v>
      </x:c>
      <x:c r="H481" s="9" t="n">
        <x:v>6400000</x:v>
      </x:c>
      <x:c r="I481" s="10" t="n">
        <x:v>0.09</x:v>
      </x:c>
      <x:c r="J481" s="11" t="n">
        <x:v>7</x:v>
      </x:c>
      <x:c r="K481" s="11" t="n">
        <x:v>7</x:v>
      </x:c>
      <x:c r="L481" s="11" t="n">
        <x:v>1</x:v>
      </x:c>
      <x:c r="M481" s="9" t="n">
        <x:f>ROUND(H481*(1-I481),2)</x:f>
        <x:v>5824000</x:v>
      </x:c>
      <x:c r="N481" s="4" t="str">
        <x:v>Sales head</x:v>
      </x:c>
      <x:c r="O481" s="4"/>
      <x:c r="P481" s="9" t="n">
        <x:v>0</x:v>
      </x:c>
      <x:c r="Q481" s="11" t="n">
        <x:v>1</x:v>
      </x:c>
      <x:c r="R481" s="8" t="n">
        <x:v>45355</x:v>
      </x:c>
      <x:c r="S481" s="4" t="str">
        <x:v>Lost / cancelled</x:v>
      </x:c>
      <x:c r="T481" s="10" t="n">
        <x:v>0.291946</x:v>
      </x:c>
      <x:c r="U481" s="4" t="str">
        <x:v>Train</x:v>
      </x:c>
    </x:row>
    <x:row r="482" ht="34" customHeight="1">
      <x:c r="A482" s="4" t="str">
        <x:v>RS-00481</x:v>
      </x:c>
      <x:c r="B482" s="8" t="n">
        <x:v>45296</x:v>
      </x:c>
      <x:c r="C482" s="4" t="str">
        <x:v>PRJ-001</x:v>
      </x:c>
      <x:c r="D482" s="4" t="str">
        <x:v>Apartment</x:v>
      </x:c>
      <x:c r="E482" s="4" t="str">
        <x:v>Enquiry</x:v>
      </x:c>
      <x:c r="F482" s="4" t="str">
        <x:v>CUS-00481</x:v>
      </x:c>
      <x:c r="G482" s="4" t="str">
        <x:v>UNIT-00481</x:v>
      </x:c>
      <x:c r="H482" s="9" t="n">
        <x:v>18100000</x:v>
      </x:c>
      <x:c r="I482" s="10" t="n">
        <x:v>0.09</x:v>
      </x:c>
      <x:c r="J482" s="11" t="n">
        <x:v>8</x:v>
      </x:c>
      <x:c r="K482" s="11" t="n">
        <x:v>10</x:v>
      </x:c>
      <x:c r="L482" s="11" t="n">
        <x:v>0</x:v>
      </x:c>
      <x:c r="M482" s="9" t="n">
        <x:f>ROUND(H482*(1-I482),2)</x:f>
        <x:v>16471000</x:v>
      </x:c>
      <x:c r="N482" s="4" t="str">
        <x:v>Sales head</x:v>
      </x:c>
      <x:c r="O482" s="4"/>
      <x:c r="P482" s="9" t="n">
        <x:v>0</x:v>
      </x:c>
      <x:c r="Q482" s="11" t="n">
        <x:v>0</x:v>
      </x:c>
      <x:c r="R482" s="8" t="n">
        <x:v>45356</x:v>
      </x:c>
      <x:c r="S482" s="4" t="str">
        <x:v>Retained</x:v>
      </x:c>
      <x:c r="T482" s="10" t="n">
        <x:v>0.310195</x:v>
      </x:c>
      <x:c r="U482" s="4" t="str">
        <x:v>Train</x:v>
      </x:c>
    </x:row>
    <x:row r="483" ht="34" customHeight="1">
      <x:c r="A483" s="4" t="str">
        <x:v>RS-00482</x:v>
      </x:c>
      <x:c r="B483" s="8" t="n">
        <x:v>45297</x:v>
      </x:c>
      <x:c r="C483" s="4" t="str">
        <x:v>PRJ-002</x:v>
      </x:c>
      <x:c r="D483" s="4" t="str">
        <x:v>Office</x:v>
      </x:c>
      <x:c r="E483" s="4" t="str">
        <x:v>Cancelled</x:v>
      </x:c>
      <x:c r="F483" s="4" t="str">
        <x:v>CUS-00482</x:v>
      </x:c>
      <x:c r="G483" s="4" t="str">
        <x:v>UNIT-00482</x:v>
      </x:c>
      <x:c r="H483" s="9" t="n">
        <x:v>18400000</x:v>
      </x:c>
      <x:c r="I483" s="10" t="n">
        <x:v>0.09</x:v>
      </x:c>
      <x:c r="J483" s="11" t="n">
        <x:v>8</x:v>
      </x:c>
      <x:c r="K483" s="11" t="n">
        <x:v>4</x:v>
      </x:c>
      <x:c r="L483" s="11" t="n">
        <x:v>1</x:v>
      </x:c>
      <x:c r="M483" s="9" t="n">
        <x:f>ROUND(H483*(1-I483),2)</x:f>
        <x:v>16744000</x:v>
      </x:c>
      <x:c r="N483" s="4" t="str">
        <x:v>Sales head</x:v>
      </x:c>
      <x:c r="O483" s="4"/>
      <x:c r="P483" s="9" t="n">
        <x:v>0</x:v>
      </x:c>
      <x:c r="Q483" s="11" t="n">
        <x:v>1</x:v>
      </x:c>
      <x:c r="R483" s="8" t="n">
        <x:v>45357</x:v>
      </x:c>
      <x:c r="S483" s="4" t="str">
        <x:v>Lost / cancelled</x:v>
      </x:c>
      <x:c r="T483" s="10" t="n">
        <x:v>0.310195</x:v>
      </x:c>
      <x:c r="U483" s="4" t="str">
        <x:v>Train</x:v>
      </x:c>
    </x:row>
    <x:row r="484" ht="34" customHeight="1">
      <x:c r="A484" s="4" t="str">
        <x:v>RS-00483</x:v>
      </x:c>
      <x:c r="B484" s="8" t="n">
        <x:v>45298</x:v>
      </x:c>
      <x:c r="C484" s="4" t="str">
        <x:v>PRJ-003</x:v>
      </x:c>
      <x:c r="D484" s="4" t="str">
        <x:v>Apartment</x:v>
      </x:c>
      <x:c r="E484" s="4" t="str">
        <x:v>Cancelled</x:v>
      </x:c>
      <x:c r="F484" s="4" t="str">
        <x:v>CUS-00483</x:v>
      </x:c>
      <x:c r="G484" s="4" t="str">
        <x:v>UNIT-00483</x:v>
      </x:c>
      <x:c r="H484" s="9" t="n">
        <x:v>11100000</x:v>
      </x:c>
      <x:c r="I484" s="10" t="n">
        <x:v>0.11</x:v>
      </x:c>
      <x:c r="J484" s="11" t="n">
        <x:v>7</x:v>
      </x:c>
      <x:c r="K484" s="11" t="n">
        <x:v>6</x:v>
      </x:c>
      <x:c r="L484" s="11" t="n">
        <x:v>0</x:v>
      </x:c>
      <x:c r="M484" s="9" t="n">
        <x:f>ROUND(H484*(1-I484),2)</x:f>
        <x:v>9879000</x:v>
      </x:c>
      <x:c r="N484" s="4" t="str">
        <x:v>Sales head</x:v>
      </x:c>
      <x:c r="O484" s="4"/>
      <x:c r="P484" s="9" t="n">
        <x:v>0</x:v>
      </x:c>
      <x:c r="Q484" s="11" t="n">
        <x:v>1</x:v>
      </x:c>
      <x:c r="R484" s="8" t="n">
        <x:v>45358</x:v>
      </x:c>
      <x:c r="S484" s="4" t="str">
        <x:v>Lost / cancelled</x:v>
      </x:c>
      <x:c r="T484" s="10" t="n">
        <x:v>0.226277</x:v>
      </x:c>
      <x:c r="U484" s="4" t="str">
        <x:v>Train</x:v>
      </x:c>
    </x:row>
    <x:row r="485" ht="34" customHeight="1">
      <x:c r="A485" s="4" t="str">
        <x:v>RS-00484</x:v>
      </x:c>
      <x:c r="B485" s="8" t="n">
        <x:v>45299</x:v>
      </x:c>
      <x:c r="C485" s="4" t="str">
        <x:v>PRJ-004</x:v>
      </x:c>
      <x:c r="D485" s="4" t="str">
        <x:v>Villa</x:v>
      </x:c>
      <x:c r="E485" s="4" t="str">
        <x:v>Booked</x:v>
      </x:c>
      <x:c r="F485" s="4" t="str">
        <x:v>CUS-00484</x:v>
      </x:c>
      <x:c r="G485" s="4" t="str">
        <x:v>UNIT-00484</x:v>
      </x:c>
      <x:c r="H485" s="9" t="n">
        <x:v>18300000</x:v>
      </x:c>
      <x:c r="I485" s="10" t="n">
        <x:v>0.04</x:v>
      </x:c>
      <x:c r="J485" s="11" t="n">
        <x:v>7</x:v>
      </x:c>
      <x:c r="K485" s="11" t="n">
        <x:v>1</x:v>
      </x:c>
      <x:c r="L485" s="11" t="n">
        <x:v>1</x:v>
      </x:c>
      <x:c r="M485" s="9" t="n">
        <x:f>ROUND(H485*(1-I485),2)</x:f>
        <x:v>17568000</x:v>
      </x:c>
      <x:c r="N485" s="4" t="str">
        <x:v>Sales manager</x:v>
      </x:c>
      <x:c r="O485" s="4" t="str">
        <x:v>BOOK-00484</x:v>
      </x:c>
      <x:c r="P485" s="9" t="n">
        <x:v>8784000</x:v>
      </x:c>
      <x:c r="Q485" s="11" t="n">
        <x:v>0</x:v>
      </x:c>
      <x:c r="R485" s="8" t="n">
        <x:v>45359</x:v>
      </x:c>
      <x:c r="S485" s="4" t="str">
        <x:v>Retained</x:v>
      </x:c>
      <x:c r="T485" s="10" t="n">
        <x:v>0.291946</x:v>
      </x:c>
      <x:c r="U485" s="4" t="str">
        <x:v>Train</x:v>
      </x:c>
    </x:row>
    <x:row r="486" ht="34" customHeight="1">
      <x:c r="A486" s="4" t="str">
        <x:v>RS-00485</x:v>
      </x:c>
      <x:c r="B486" s="8" t="n">
        <x:v>45300</x:v>
      </x:c>
      <x:c r="C486" s="4" t="str">
        <x:v>PRJ-005</x:v>
      </x:c>
      <x:c r="D486" s="4" t="str">
        <x:v>Office</x:v>
      </x:c>
      <x:c r="E486" s="4" t="str">
        <x:v>Booked</x:v>
      </x:c>
      <x:c r="F486" s="4" t="str">
        <x:v>CUS-00485</x:v>
      </x:c>
      <x:c r="G486" s="4" t="str">
        <x:v>UNIT-00485</x:v>
      </x:c>
      <x:c r="H486" s="9" t="n">
        <x:v>19600000</x:v>
      </x:c>
      <x:c r="I486" s="10" t="n">
        <x:v>0.08</x:v>
      </x:c>
      <x:c r="J486" s="11" t="n">
        <x:v>8</x:v>
      </x:c>
      <x:c r="K486" s="11" t="n">
        <x:v>7</x:v>
      </x:c>
      <x:c r="L486" s="11" t="n">
        <x:v>0</x:v>
      </x:c>
      <x:c r="M486" s="9" t="n">
        <x:f>ROUND(H486*(1-I486),2)</x:f>
        <x:v>18032000</x:v>
      </x:c>
      <x:c r="N486" s="4" t="str">
        <x:v>Sales head</x:v>
      </x:c>
      <x:c r="O486" s="4" t="str">
        <x:v>BOOK-00485</x:v>
      </x:c>
      <x:c r="P486" s="9" t="n">
        <x:v>9016000</x:v>
      </x:c>
      <x:c r="Q486" s="11" t="n">
        <x:v>0</x:v>
      </x:c>
      <x:c r="R486" s="8" t="n">
        <x:v>45360</x:v>
      </x:c>
      <x:c r="S486" s="4" t="str">
        <x:v>Retained</x:v>
      </x:c>
      <x:c r="T486" s="10" t="n">
        <x:v>0.310195</x:v>
      </x:c>
      <x:c r="U486" s="4" t="str">
        <x:v>Train</x:v>
      </x:c>
    </x:row>
    <x:row r="487" ht="34" customHeight="1">
      <x:c r="A487" s="4" t="str">
        <x:v>RS-00486</x:v>
      </x:c>
      <x:c r="B487" s="8" t="n">
        <x:v>45301</x:v>
      </x:c>
      <x:c r="C487" s="4" t="str">
        <x:v>PRJ-006</x:v>
      </x:c>
      <x:c r="D487" s="4" t="str">
        <x:v>Office</x:v>
      </x:c>
      <x:c r="E487" s="4" t="str">
        <x:v>Reserved</x:v>
      </x:c>
      <x:c r="F487" s="4" t="str">
        <x:v>CUS-00486</x:v>
      </x:c>
      <x:c r="G487" s="4" t="str">
        <x:v>UNIT-00486</x:v>
      </x:c>
      <x:c r="H487" s="9" t="n">
        <x:v>11700000</x:v>
      </x:c>
      <x:c r="I487" s="10" t="n">
        <x:v>0.08</x:v>
      </x:c>
      <x:c r="J487" s="11" t="n">
        <x:v>2</x:v>
      </x:c>
      <x:c r="K487" s="11" t="n">
        <x:v>5</x:v>
      </x:c>
      <x:c r="L487" s="11" t="n">
        <x:v>1</x:v>
      </x:c>
      <x:c r="M487" s="9" t="n">
        <x:f>ROUND(H487*(1-I487),2)</x:f>
        <x:v>10764000</x:v>
      </x:c>
      <x:c r="N487" s="4" t="str">
        <x:v>Sales head</x:v>
      </x:c>
      <x:c r="O487" s="4"/>
      <x:c r="P487" s="9" t="n">
        <x:v>0</x:v>
      </x:c>
      <x:c r="Q487" s="11" t="n">
        <x:v>0</x:v>
      </x:c>
      <x:c r="R487" s="8" t="n">
        <x:v>45361</x:v>
      </x:c>
      <x:c r="S487" s="4" t="str">
        <x:v>Retained</x:v>
      </x:c>
      <x:c r="T487" s="10" t="n">
        <x:v>0.204152</x:v>
      </x:c>
      <x:c r="U487" s="4" t="str">
        <x:v>Train</x:v>
      </x:c>
    </x:row>
    <x:row r="488" ht="34" customHeight="1">
      <x:c r="A488" s="4" t="str">
        <x:v>RS-00487</x:v>
      </x:c>
      <x:c r="B488" s="8" t="n">
        <x:v>45302</x:v>
      </x:c>
      <x:c r="C488" s="4" t="str">
        <x:v>PRJ-007</x:v>
      </x:c>
      <x:c r="D488" s="4" t="str">
        <x:v>Villa</x:v>
      </x:c>
      <x:c r="E488" s="4" t="str">
        <x:v>Cancelled</x:v>
      </x:c>
      <x:c r="F488" s="4" t="str">
        <x:v>CUS-00487</x:v>
      </x:c>
      <x:c r="G488" s="4" t="str">
        <x:v>UNIT-00487</x:v>
      </x:c>
      <x:c r="H488" s="9" t="n">
        <x:v>20800000</x:v>
      </x:c>
      <x:c r="I488" s="10" t="n">
        <x:v>0.04</x:v>
      </x:c>
      <x:c r="J488" s="11" t="n">
        <x:v>3</x:v>
      </x:c>
      <x:c r="K488" s="11" t="n">
        <x:v>3</x:v>
      </x:c>
      <x:c r="L488" s="11" t="n">
        <x:v>1</x:v>
      </x:c>
      <x:c r="M488" s="9" t="n">
        <x:f>ROUND(H488*(1-I488),2)</x:f>
        <x:v>19968000</x:v>
      </x:c>
      <x:c r="N488" s="4" t="str">
        <x:v>Sales manager</x:v>
      </x:c>
      <x:c r="O488" s="4"/>
      <x:c r="P488" s="9" t="n">
        <x:v>0</x:v>
      </x:c>
      <x:c r="Q488" s="11" t="n">
        <x:v>1</x:v>
      </x:c>
      <x:c r="R488" s="8" t="n">
        <x:v>45362</x:v>
      </x:c>
      <x:c r="S488" s="4" t="str">
        <x:v>Lost / cancelled</x:v>
      </x:c>
      <x:c r="T488" s="10" t="n">
        <x:v>0.204152</x:v>
      </x:c>
      <x:c r="U488" s="4" t="str">
        <x:v>Train</x:v>
      </x:c>
    </x:row>
    <x:row r="489" ht="34" customHeight="1">
      <x:c r="A489" s="4" t="str">
        <x:v>RS-00488</x:v>
      </x:c>
      <x:c r="B489" s="8" t="n">
        <x:v>45303</x:v>
      </x:c>
      <x:c r="C489" s="4" t="str">
        <x:v>PRJ-008</x:v>
      </x:c>
      <x:c r="D489" s="4" t="str">
        <x:v>Apartment</x:v>
      </x:c>
      <x:c r="E489" s="4" t="str">
        <x:v>Reserved</x:v>
      </x:c>
      <x:c r="F489" s="4" t="str">
        <x:v>CUS-00488</x:v>
      </x:c>
      <x:c r="G489" s="4" t="str">
        <x:v>UNIT-00488</x:v>
      </x:c>
      <x:c r="H489" s="9" t="n">
        <x:v>5900000</x:v>
      </x:c>
      <x:c r="I489" s="10" t="n">
        <x:v>0.05</x:v>
      </x:c>
      <x:c r="J489" s="11" t="n">
        <x:v>1</x:v>
      </x:c>
      <x:c r="K489" s="11" t="n">
        <x:v>5</x:v>
      </x:c>
      <x:c r="L489" s="11" t="n">
        <x:v>0</x:v>
      </x:c>
      <x:c r="M489" s="9" t="n">
        <x:f>ROUND(H489*(1-I489),2)</x:f>
        <x:v>5605000</x:v>
      </x:c>
      <x:c r="N489" s="4" t="str">
        <x:v>Sales manager</x:v>
      </x:c>
      <x:c r="O489" s="4"/>
      <x:c r="P489" s="9" t="n">
        <x:v>0</x:v>
      </x:c>
      <x:c r="Q489" s="11" t="n">
        <x:v>0</x:v>
      </x:c>
      <x:c r="R489" s="8" t="n">
        <x:v>45363</x:v>
      </x:c>
      <x:c r="S489" s="4" t="str">
        <x:v>Retained</x:v>
      </x:c>
      <x:c r="T489" s="10" t="n">
        <x:v>0.204152</x:v>
      </x:c>
      <x:c r="U489" s="4" t="str">
        <x:v>Train</x:v>
      </x:c>
    </x:row>
    <x:row r="490" ht="34" customHeight="1">
      <x:c r="A490" s="4" t="str">
        <x:v>RS-00489</x:v>
      </x:c>
      <x:c r="B490" s="8" t="n">
        <x:v>45304</x:v>
      </x:c>
      <x:c r="C490" s="4" t="str">
        <x:v>PRJ-009</x:v>
      </x:c>
      <x:c r="D490" s="4" t="str">
        <x:v>Villa</x:v>
      </x:c>
      <x:c r="E490" s="4" t="str">
        <x:v>Handed over</x:v>
      </x:c>
      <x:c r="F490" s="4" t="str">
        <x:v>CUS-00489</x:v>
      </x:c>
      <x:c r="G490" s="4" t="str">
        <x:v>UNIT-00489</x:v>
      </x:c>
      <x:c r="H490" s="9" t="n">
        <x:v>16600000</x:v>
      </x:c>
      <x:c r="I490" s="10" t="n">
        <x:v>0.1</x:v>
      </x:c>
      <x:c r="J490" s="11" t="n">
        <x:v>4</x:v>
      </x:c>
      <x:c r="K490" s="11" t="n">
        <x:v>5</x:v>
      </x:c>
      <x:c r="L490" s="11" t="n">
        <x:v>1</x:v>
      </x:c>
      <x:c r="M490" s="9" t="n">
        <x:f>ROUND(H490*(1-I490),2)</x:f>
        <x:v>14940000</x:v>
      </x:c>
      <x:c r="N490" s="4" t="str">
        <x:v>Sales head</x:v>
      </x:c>
      <x:c r="O490" s="4" t="str">
        <x:v>BOOK-00489</x:v>
      </x:c>
      <x:c r="P490" s="9" t="n">
        <x:v>14940000</x:v>
      </x:c>
      <x:c r="Q490" s="11" t="n">
        <x:v>0</x:v>
      </x:c>
      <x:c r="R490" s="8" t="n">
        <x:v>45364</x:v>
      </x:c>
      <x:c r="S490" s="4" t="str">
        <x:v>Retained</x:v>
      </x:c>
      <x:c r="T490" s="10" t="n">
        <x:v>0.291946</x:v>
      </x:c>
      <x:c r="U490" s="4" t="str">
        <x:v>Train</x:v>
      </x:c>
    </x:row>
    <x:row r="491" ht="34" customHeight="1">
      <x:c r="A491" s="4" t="str">
        <x:v>RS-00490</x:v>
      </x:c>
      <x:c r="B491" s="8" t="n">
        <x:v>45305</x:v>
      </x:c>
      <x:c r="C491" s="4" t="str">
        <x:v>PRJ-010</x:v>
      </x:c>
      <x:c r="D491" s="4" t="str">
        <x:v>Retail</x:v>
      </x:c>
      <x:c r="E491" s="4" t="str">
        <x:v>Enquiry</x:v>
      </x:c>
      <x:c r="F491" s="4" t="str">
        <x:v>CUS-00490</x:v>
      </x:c>
      <x:c r="G491" s="4" t="str">
        <x:v>UNIT-00490</x:v>
      </x:c>
      <x:c r="H491" s="9" t="n">
        <x:v>8000000</x:v>
      </x:c>
      <x:c r="I491" s="10" t="n">
        <x:v>0.08</x:v>
      </x:c>
      <x:c r="J491" s="11" t="n">
        <x:v>11</x:v>
      </x:c>
      <x:c r="K491" s="11" t="n">
        <x:v>6</x:v>
      </x:c>
      <x:c r="L491" s="11" t="n">
        <x:v>0</x:v>
      </x:c>
      <x:c r="M491" s="9" t="n">
        <x:f>ROUND(H491*(1-I491),2)</x:f>
        <x:v>7360000</x:v>
      </x:c>
      <x:c r="N491" s="4" t="str">
        <x:v>Sales head</x:v>
      </x:c>
      <x:c r="O491" s="4"/>
      <x:c r="P491" s="9" t="n">
        <x:v>0</x:v>
      </x:c>
      <x:c r="Q491" s="11" t="n">
        <x:v>0</x:v>
      </x:c>
      <x:c r="R491" s="8" t="n">
        <x:v>45365</x:v>
      </x:c>
      <x:c r="S491" s="4" t="str">
        <x:v>Retained</x:v>
      </x:c>
      <x:c r="T491" s="10" t="n">
        <x:v>0.351536</x:v>
      </x:c>
      <x:c r="U491" s="4" t="str">
        <x:v>Train</x:v>
      </x:c>
    </x:row>
    <x:row r="492" ht="34" customHeight="1">
      <x:c r="A492" s="4" t="str">
        <x:v>RS-00491</x:v>
      </x:c>
      <x:c r="B492" s="8" t="n">
        <x:v>45306</x:v>
      </x:c>
      <x:c r="C492" s="4" t="str">
        <x:v>PRJ-011</x:v>
      </x:c>
      <x:c r="D492" s="4" t="str">
        <x:v>Apartment</x:v>
      </x:c>
      <x:c r="E492" s="4" t="str">
        <x:v>Booked</x:v>
      </x:c>
      <x:c r="F492" s="4" t="str">
        <x:v>CUS-00491</x:v>
      </x:c>
      <x:c r="G492" s="4" t="str">
        <x:v>UNIT-00491</x:v>
      </x:c>
      <x:c r="H492" s="9" t="n">
        <x:v>8600000</x:v>
      </x:c>
      <x:c r="I492" s="10" t="n">
        <x:v>0.08</x:v>
      </x:c>
      <x:c r="J492" s="11" t="n">
        <x:v>7</x:v>
      </x:c>
      <x:c r="K492" s="11" t="n">
        <x:v>9</x:v>
      </x:c>
      <x:c r="L492" s="11" t="n">
        <x:v>1</x:v>
      </x:c>
      <x:c r="M492" s="9" t="n">
        <x:f>ROUND(H492*(1-I492),2)</x:f>
        <x:v>7912000</x:v>
      </x:c>
      <x:c r="N492" s="4" t="str">
        <x:v>Sales head</x:v>
      </x:c>
      <x:c r="O492" s="4" t="str">
        <x:v>BOOK-00491</x:v>
      </x:c>
      <x:c r="P492" s="9" t="n">
        <x:v>791200</x:v>
      </x:c>
      <x:c r="Q492" s="11" t="n">
        <x:v>0</x:v>
      </x:c>
      <x:c r="R492" s="8" t="n">
        <x:v>45366</x:v>
      </x:c>
      <x:c r="S492" s="4" t="str">
        <x:v>Retained</x:v>
      </x:c>
      <x:c r="T492" s="10" t="n">
        <x:v>0.291946</x:v>
      </x:c>
      <x:c r="U492" s="4" t="str">
        <x:v>Train</x:v>
      </x:c>
    </x:row>
    <x:row r="493" ht="34" customHeight="1">
      <x:c r="A493" s="4" t="str">
        <x:v>RS-00492</x:v>
      </x:c>
      <x:c r="B493" s="8" t="n">
        <x:v>45307</x:v>
      </x:c>
      <x:c r="C493" s="4" t="str">
        <x:v>PRJ-012</x:v>
      </x:c>
      <x:c r="D493" s="4" t="str">
        <x:v>Apartment</x:v>
      </x:c>
      <x:c r="E493" s="4" t="str">
        <x:v>Reserved</x:v>
      </x:c>
      <x:c r="F493" s="4" t="str">
        <x:v>CUS-00492</x:v>
      </x:c>
      <x:c r="G493" s="4" t="str">
        <x:v>UNIT-00492</x:v>
      </x:c>
      <x:c r="H493" s="9" t="n">
        <x:v>7900000</x:v>
      </x:c>
      <x:c r="I493" s="10" t="n">
        <x:v>0</x:v>
      </x:c>
      <x:c r="J493" s="11" t="n">
        <x:v>3</x:v>
      </x:c>
      <x:c r="K493" s="11" t="n">
        <x:v>7</x:v>
      </x:c>
      <x:c r="L493" s="11" t="n">
        <x:v>1</x:v>
      </x:c>
      <x:c r="M493" s="9" t="n">
        <x:f>ROUND(H493*(1-I493),2)</x:f>
        <x:v>7900000</x:v>
      </x:c>
      <x:c r="N493" s="4" t="str">
        <x:v>Sales manager</x:v>
      </x:c>
      <x:c r="O493" s="4"/>
      <x:c r="P493" s="9" t="n">
        <x:v>0</x:v>
      </x:c>
      <x:c r="Q493" s="11" t="n">
        <x:v>0</x:v>
      </x:c>
      <x:c r="R493" s="8" t="n">
        <x:v>45367</x:v>
      </x:c>
      <x:c r="S493" s="4" t="str">
        <x:v>Retained</x:v>
      </x:c>
      <x:c r="T493" s="10" t="n">
        <x:v>0.171717</x:v>
      </x:c>
      <x:c r="U493" s="4" t="str">
        <x:v>Train</x:v>
      </x:c>
    </x:row>
    <x:row r="494" ht="34" customHeight="1">
      <x:c r="A494" s="4" t="str">
        <x:v>RS-00493</x:v>
      </x:c>
      <x:c r="B494" s="8" t="n">
        <x:v>45308</x:v>
      </x:c>
      <x:c r="C494" s="4" t="str">
        <x:v>PRJ-013</x:v>
      </x:c>
      <x:c r="D494" s="4" t="str">
        <x:v>Apartment</x:v>
      </x:c>
      <x:c r="E494" s="4" t="str">
        <x:v>Agreement signed</x:v>
      </x:c>
      <x:c r="F494" s="4" t="str">
        <x:v>CUS-00493</x:v>
      </x:c>
      <x:c r="G494" s="4" t="str">
        <x:v>UNIT-00493</x:v>
      </x:c>
      <x:c r="H494" s="9" t="n">
        <x:v>6000000</x:v>
      </x:c>
      <x:c r="I494" s="10" t="n">
        <x:v>0.08</x:v>
      </x:c>
      <x:c r="J494" s="11" t="n">
        <x:v>10</x:v>
      </x:c>
      <x:c r="K494" s="11" t="n">
        <x:v>2</x:v>
      </x:c>
      <x:c r="L494" s="11" t="n">
        <x:v>1</x:v>
      </x:c>
      <x:c r="M494" s="9" t="n">
        <x:f>ROUND(H494*(1-I494),2)</x:f>
        <x:v>5520000</x:v>
      </x:c>
      <x:c r="N494" s="4" t="str">
        <x:v>Sales head</x:v>
      </x:c>
      <x:c r="O494" s="4" t="str">
        <x:v>BOOK-00493</x:v>
      </x:c>
      <x:c r="P494" s="9" t="n">
        <x:v>1380000</x:v>
      </x:c>
      <x:c r="Q494" s="11" t="n">
        <x:v>0</x:v>
      </x:c>
      <x:c r="R494" s="8" t="n">
        <x:v>45368</x:v>
      </x:c>
      <x:c r="S494" s="4" t="str">
        <x:v>Retained</x:v>
      </x:c>
      <x:c r="T494" s="10" t="n">
        <x:v>0.310195</x:v>
      </x:c>
      <x:c r="U494" s="4" t="str">
        <x:v>Train</x:v>
      </x:c>
    </x:row>
    <x:row r="495" ht="34" customHeight="1">
      <x:c r="A495" s="4" t="str">
        <x:v>RS-00494</x:v>
      </x:c>
      <x:c r="B495" s="8" t="n">
        <x:v>45309</x:v>
      </x:c>
      <x:c r="C495" s="4" t="str">
        <x:v>PRJ-014</x:v>
      </x:c>
      <x:c r="D495" s="4" t="str">
        <x:v>Villa</x:v>
      </x:c>
      <x:c r="E495" s="4" t="str">
        <x:v>Booked</x:v>
      </x:c>
      <x:c r="F495" s="4" t="str">
        <x:v>CUS-00494</x:v>
      </x:c>
      <x:c r="G495" s="4" t="str">
        <x:v>UNIT-00494</x:v>
      </x:c>
      <x:c r="H495" s="9" t="n">
        <x:v>10800000</x:v>
      </x:c>
      <x:c r="I495" s="10" t="n">
        <x:v>0</x:v>
      </x:c>
      <x:c r="J495" s="11" t="n">
        <x:v>9</x:v>
      </x:c>
      <x:c r="K495" s="11" t="n">
        <x:v>0</x:v>
      </x:c>
      <x:c r="L495" s="11" t="n">
        <x:v>0</x:v>
      </x:c>
      <x:c r="M495" s="9" t="n">
        <x:f>ROUND(H495*(1-I495),2)</x:f>
        <x:v>10800000</x:v>
      </x:c>
      <x:c r="N495" s="4" t="str">
        <x:v>Sales manager</x:v>
      </x:c>
      <x:c r="O495" s="4" t="str">
        <x:v>BOOK-00494</x:v>
      </x:c>
      <x:c r="P495" s="9" t="n">
        <x:v>10800000</x:v>
      </x:c>
      <x:c r="Q495" s="11" t="n">
        <x:v>0</x:v>
      </x:c>
      <x:c r="R495" s="8" t="n">
        <x:v>45369</x:v>
      </x:c>
      <x:c r="S495" s="4" t="str">
        <x:v>Retained</x:v>
      </x:c>
      <x:c r="T495" s="10" t="n">
        <x:v>0.305556</x:v>
      </x:c>
      <x:c r="U495" s="4" t="str">
        <x:v>Train</x:v>
      </x:c>
    </x:row>
    <x:row r="496" ht="34" customHeight="1">
      <x:c r="A496" s="4" t="str">
        <x:v>RS-00495</x:v>
      </x:c>
      <x:c r="B496" s="8" t="n">
        <x:v>45310</x:v>
      </x:c>
      <x:c r="C496" s="4" t="str">
        <x:v>PRJ-015</x:v>
      </x:c>
      <x:c r="D496" s="4" t="str">
        <x:v>Retail</x:v>
      </x:c>
      <x:c r="E496" s="4" t="str">
        <x:v>Enquiry</x:v>
      </x:c>
      <x:c r="F496" s="4" t="str">
        <x:v>CUS-00495</x:v>
      </x:c>
      <x:c r="G496" s="4" t="str">
        <x:v>UNIT-00495</x:v>
      </x:c>
      <x:c r="H496" s="9" t="n">
        <x:v>14000000</x:v>
      </x:c>
      <x:c r="I496" s="10" t="n">
        <x:v>0.05</x:v>
      </x:c>
      <x:c r="J496" s="11" t="n">
        <x:v>6</x:v>
      </x:c>
      <x:c r="K496" s="11" t="n">
        <x:v>2</x:v>
      </x:c>
      <x:c r="L496" s="11" t="n">
        <x:v>0</x:v>
      </x:c>
      <x:c r="M496" s="9" t="n">
        <x:f>ROUND(H496*(1-I496),2)</x:f>
        <x:v>13300000</x:v>
      </x:c>
      <x:c r="N496" s="4" t="str">
        <x:v>Sales manager</x:v>
      </x:c>
      <x:c r="O496" s="4"/>
      <x:c r="P496" s="9" t="n">
        <x:v>0</x:v>
      </x:c>
      <x:c r="Q496" s="11" t="n">
        <x:v>0</x:v>
      </x:c>
      <x:c r="R496" s="8" t="n">
        <x:v>45370</x:v>
      </x:c>
      <x:c r="S496" s="4" t="str">
        <x:v>Retained</x:v>
      </x:c>
      <x:c r="T496" s="10" t="n">
        <x:v>0.226277</x:v>
      </x:c>
      <x:c r="U496" s="4" t="str">
        <x:v>Train</x:v>
      </x:c>
    </x:row>
    <x:row r="497" ht="34" customHeight="1">
      <x:c r="A497" s="4" t="str">
        <x:v>RS-00496</x:v>
      </x:c>
      <x:c r="B497" s="8" t="n">
        <x:v>45311</x:v>
      </x:c>
      <x:c r="C497" s="4" t="str">
        <x:v>PRJ-016</x:v>
      </x:c>
      <x:c r="D497" s="4" t="str">
        <x:v>Office</x:v>
      </x:c>
      <x:c r="E497" s="4" t="str">
        <x:v>Reserved</x:v>
      </x:c>
      <x:c r="F497" s="4" t="str">
        <x:v>CUS-00496</x:v>
      </x:c>
      <x:c r="G497" s="4" t="str">
        <x:v>UNIT-00496</x:v>
      </x:c>
      <x:c r="H497" s="9" t="n">
        <x:v>11400000</x:v>
      </x:c>
      <x:c r="I497" s="10" t="n">
        <x:v>0.05</x:v>
      </x:c>
      <x:c r="J497" s="11" t="n">
        <x:v>4</x:v>
      </x:c>
      <x:c r="K497" s="11" t="n">
        <x:v>1</x:v>
      </x:c>
      <x:c r="L497" s="11" t="n">
        <x:v>0</x:v>
      </x:c>
      <x:c r="M497" s="9" t="n">
        <x:f>ROUND(H497*(1-I497),2)</x:f>
        <x:v>10830000</x:v>
      </x:c>
      <x:c r="N497" s="4" t="str">
        <x:v>Sales manager</x:v>
      </x:c>
      <x:c r="O497" s="4"/>
      <x:c r="P497" s="9" t="n">
        <x:v>0</x:v>
      </x:c>
      <x:c r="Q497" s="11" t="n">
        <x:v>1</x:v>
      </x:c>
      <x:c r="R497" s="8" t="n">
        <x:v>45371</x:v>
      </x:c>
      <x:c r="S497" s="4" t="str">
        <x:v>Lost / cancelled</x:v>
      </x:c>
      <x:c r="T497" s="10" t="n">
        <x:v>0.226277</x:v>
      </x:c>
      <x:c r="U497" s="4" t="str">
        <x:v>Train</x:v>
      </x:c>
    </x:row>
    <x:row r="498" ht="34" customHeight="1">
      <x:c r="A498" s="4" t="str">
        <x:v>RS-00497</x:v>
      </x:c>
      <x:c r="B498" s="8" t="n">
        <x:v>45312</x:v>
      </x:c>
      <x:c r="C498" s="4" t="str">
        <x:v>PRJ-017</x:v>
      </x:c>
      <x:c r="D498" s="4" t="str">
        <x:v>Apartment</x:v>
      </x:c>
      <x:c r="E498" s="4" t="str">
        <x:v>Handed over</x:v>
      </x:c>
      <x:c r="F498" s="4" t="str">
        <x:v>CUS-00497</x:v>
      </x:c>
      <x:c r="G498" s="4" t="str">
        <x:v>UNIT-00497</x:v>
      </x:c>
      <x:c r="H498" s="9" t="n">
        <x:v>21900000</x:v>
      </x:c>
      <x:c r="I498" s="10" t="n">
        <x:v>0.05</x:v>
      </x:c>
      <x:c r="J498" s="11" t="n">
        <x:v>4</x:v>
      </x:c>
      <x:c r="K498" s="11" t="n">
        <x:v>8</x:v>
      </x:c>
      <x:c r="L498" s="11" t="n">
        <x:v>0</x:v>
      </x:c>
      <x:c r="M498" s="9" t="n">
        <x:f>ROUND(H498*(1-I498),2)</x:f>
        <x:v>20805000</x:v>
      </x:c>
      <x:c r="N498" s="4" t="str">
        <x:v>Sales manager</x:v>
      </x:c>
      <x:c r="O498" s="4" t="str">
        <x:v>BOOK-00497</x:v>
      </x:c>
      <x:c r="P498" s="9" t="n">
        <x:v>5201250</x:v>
      </x:c>
      <x:c r="Q498" s="11" t="n">
        <x:v>0</x:v>
      </x:c>
      <x:c r="R498" s="8" t="n">
        <x:v>45372</x:v>
      </x:c>
      <x:c r="S498" s="4" t="str">
        <x:v>Retained</x:v>
      </x:c>
      <x:c r="T498" s="10" t="n">
        <x:v>0.226277</x:v>
      </x:c>
      <x:c r="U498" s="4" t="str">
        <x:v>Train</x:v>
      </x:c>
    </x:row>
    <x:row r="499" ht="34" customHeight="1">
      <x:c r="A499" s="4" t="str">
        <x:v>RS-00498</x:v>
      </x:c>
      <x:c r="B499" s="8" t="n">
        <x:v>45313</x:v>
      </x:c>
      <x:c r="C499" s="4" t="str">
        <x:v>PRJ-018</x:v>
      </x:c>
      <x:c r="D499" s="4" t="str">
        <x:v>Retail</x:v>
      </x:c>
      <x:c r="E499" s="4" t="str">
        <x:v>Agreement signed</x:v>
      </x:c>
      <x:c r="F499" s="4" t="str">
        <x:v>CUS-00498</x:v>
      </x:c>
      <x:c r="G499" s="4" t="str">
        <x:v>UNIT-00498</x:v>
      </x:c>
      <x:c r="H499" s="9" t="n">
        <x:v>24100000</x:v>
      </x:c>
      <x:c r="I499" s="10" t="n">
        <x:v>0.07</x:v>
      </x:c>
      <x:c r="J499" s="11" t="n">
        <x:v>5</x:v>
      </x:c>
      <x:c r="K499" s="11" t="n">
        <x:v>5</x:v>
      </x:c>
      <x:c r="L499" s="11" t="n">
        <x:v>0</x:v>
      </x:c>
      <x:c r="M499" s="9" t="n">
        <x:f>ROUND(H499*(1-I499),2)</x:f>
        <x:v>22413000</x:v>
      </x:c>
      <x:c r="N499" s="4" t="str">
        <x:v>Sales manager</x:v>
      </x:c>
      <x:c r="O499" s="4" t="str">
        <x:v>BOOK-00498</x:v>
      </x:c>
      <x:c r="P499" s="9" t="n">
        <x:v>22413000</x:v>
      </x:c>
      <x:c r="Q499" s="11" t="n">
        <x:v>0</x:v>
      </x:c>
      <x:c r="R499" s="8" t="n">
        <x:v>45373</x:v>
      </x:c>
      <x:c r="S499" s="4" t="str">
        <x:v>Retained</x:v>
      </x:c>
      <x:c r="T499" s="10" t="n">
        <x:v>0.226277</x:v>
      </x:c>
      <x:c r="U499" s="4" t="str">
        <x:v>Train</x:v>
      </x:c>
    </x:row>
    <x:row r="500" ht="34" customHeight="1">
      <x:c r="A500" s="4" t="str">
        <x:v>RS-00499</x:v>
      </x:c>
      <x:c r="B500" s="8" t="n">
        <x:v>45314</x:v>
      </x:c>
      <x:c r="C500" s="4" t="str">
        <x:v>PRJ-019</x:v>
      </x:c>
      <x:c r="D500" s="4" t="str">
        <x:v>Retail</x:v>
      </x:c>
      <x:c r="E500" s="4" t="str">
        <x:v>Reserved</x:v>
      </x:c>
      <x:c r="F500" s="4" t="str">
        <x:v>CUS-00499</x:v>
      </x:c>
      <x:c r="G500" s="4" t="str">
        <x:v>UNIT-00499</x:v>
      </x:c>
      <x:c r="H500" s="9" t="n">
        <x:v>5000000</x:v>
      </x:c>
      <x:c r="I500" s="10" t="n">
        <x:v>0.05</x:v>
      </x:c>
      <x:c r="J500" s="11" t="n">
        <x:v>10</x:v>
      </x:c>
      <x:c r="K500" s="11" t="n">
        <x:v>7</x:v>
      </x:c>
      <x:c r="L500" s="11" t="n">
        <x:v>0</x:v>
      </x:c>
      <x:c r="M500" s="9" t="n">
        <x:f>ROUND(H500*(1-I500),2)</x:f>
        <x:v>4750000</x:v>
      </x:c>
      <x:c r="N500" s="4" t="str">
        <x:v>Sales manager</x:v>
      </x:c>
      <x:c r="O500" s="4"/>
      <x:c r="P500" s="9" t="n">
        <x:v>0</x:v>
      </x:c>
      <x:c r="Q500" s="11" t="n">
        <x:v>0</x:v>
      </x:c>
      <x:c r="R500" s="8" t="n">
        <x:v>45374</x:v>
      </x:c>
      <x:c r="S500" s="4" t="str">
        <x:v>Retained</x:v>
      </x:c>
      <x:c r="T500" s="10" t="n">
        <x:v>0.310195</x:v>
      </x:c>
      <x:c r="U500" s="4" t="str">
        <x:v>Train</x:v>
      </x:c>
    </x:row>
    <x:row r="501" ht="34" customHeight="1">
      <x:c r="A501" s="4" t="str">
        <x:v>RS-00500</x:v>
      </x:c>
      <x:c r="B501" s="8" t="n">
        <x:v>45315</x:v>
      </x:c>
      <x:c r="C501" s="4" t="str">
        <x:v>PRJ-020</x:v>
      </x:c>
      <x:c r="D501" s="4" t="str">
        <x:v>Villa</x:v>
      </x:c>
      <x:c r="E501" s="4" t="str">
        <x:v>Booked</x:v>
      </x:c>
      <x:c r="F501" s="4" t="str">
        <x:v>CUS-00500</x:v>
      </x:c>
      <x:c r="G501" s="4" t="str">
        <x:v>UNIT-00500</x:v>
      </x:c>
      <x:c r="H501" s="9" t="n">
        <x:v>11800000</x:v>
      </x:c>
      <x:c r="I501" s="10" t="n">
        <x:v>0.1</x:v>
      </x:c>
      <x:c r="J501" s="11" t="n">
        <x:v>7</x:v>
      </x:c>
      <x:c r="K501" s="11" t="n">
        <x:v>0</x:v>
      </x:c>
      <x:c r="L501" s="11" t="n">
        <x:v>0</x:v>
      </x:c>
      <x:c r="M501" s="9" t="n">
        <x:f>ROUND(H501*(1-I501),2)</x:f>
        <x:v>10620000</x:v>
      </x:c>
      <x:c r="N501" s="4" t="str">
        <x:v>Sales head</x:v>
      </x:c>
      <x:c r="O501" s="4" t="str">
        <x:v>BOOK-00500</x:v>
      </x:c>
      <x:c r="P501" s="9" t="n">
        <x:v>5310000</x:v>
      </x:c>
      <x:c r="Q501" s="11" t="n">
        <x:v>0</x:v>
      </x:c>
      <x:c r="R501" s="8" t="n">
        <x:v>45375</x:v>
      </x:c>
      <x:c r="S501" s="4" t="str">
        <x:v>Retained</x:v>
      </x:c>
      <x:c r="T501" s="10" t="n">
        <x:v>0.226277</x:v>
      </x:c>
      <x:c r="U501" s="4" t="str">
        <x:v>Train</x:v>
      </x:c>
    </x:row>
    <x:row r="502" ht="34" customHeight="1">
      <x:c r="A502" s="4" t="str">
        <x:v>RS-00501</x:v>
      </x:c>
      <x:c r="B502" s="8" t="n">
        <x:v>45347</x:v>
      </x:c>
      <x:c r="C502" s="4" t="str">
        <x:v>PRJ-001</x:v>
      </x:c>
      <x:c r="D502" s="4" t="str">
        <x:v>Villa</x:v>
      </x:c>
      <x:c r="E502" s="4" t="str">
        <x:v>Reserved</x:v>
      </x:c>
      <x:c r="F502" s="4" t="str">
        <x:v>CUS-00501</x:v>
      </x:c>
      <x:c r="G502" s="4" t="str">
        <x:v>UNIT-00501</x:v>
      </x:c>
      <x:c r="H502" s="9" t="n">
        <x:v>11800000</x:v>
      </x:c>
      <x:c r="I502" s="10" t="n">
        <x:v>0.09</x:v>
      </x:c>
      <x:c r="J502" s="11" t="n">
        <x:v>12</x:v>
      </x:c>
      <x:c r="K502" s="11" t="n">
        <x:v>9</x:v>
      </x:c>
      <x:c r="L502" s="11" t="n">
        <x:v>0</x:v>
      </x:c>
      <x:c r="M502" s="9" t="n">
        <x:f>ROUND(H502*(1-I502),2)</x:f>
        <x:v>10738000</x:v>
      </x:c>
      <x:c r="N502" s="4" t="str">
        <x:v>Sales head</x:v>
      </x:c>
      <x:c r="O502" s="4"/>
      <x:c r="P502" s="9" t="n">
        <x:v>0</x:v>
      </x:c>
      <x:c r="Q502" s="11" t="n">
        <x:v>0</x:v>
      </x:c>
      <x:c r="R502" s="8" t="n">
        <x:v>45407</x:v>
      </x:c>
      <x:c r="S502" s="4" t="str">
        <x:v>Retained</x:v>
      </x:c>
      <x:c r="T502" s="10" t="n">
        <x:v>0.351536</x:v>
      </x:c>
      <x:c r="U502" s="4" t="str">
        <x:v>Train</x:v>
      </x:c>
    </x:row>
    <x:row r="503" ht="34" customHeight="1">
      <x:c r="A503" s="4" t="str">
        <x:v>RS-00502</x:v>
      </x:c>
      <x:c r="B503" s="8" t="n">
        <x:v>45348</x:v>
      </x:c>
      <x:c r="C503" s="4" t="str">
        <x:v>PRJ-002</x:v>
      </x:c>
      <x:c r="D503" s="4" t="str">
        <x:v>Villa</x:v>
      </x:c>
      <x:c r="E503" s="4" t="str">
        <x:v>Reserved</x:v>
      </x:c>
      <x:c r="F503" s="4" t="str">
        <x:v>CUS-00502</x:v>
      </x:c>
      <x:c r="G503" s="4" t="str">
        <x:v>UNIT-00502</x:v>
      </x:c>
      <x:c r="H503" s="9" t="n">
        <x:v>17200000</x:v>
      </x:c>
      <x:c r="I503" s="10" t="n">
        <x:v>0.02</x:v>
      </x:c>
      <x:c r="J503" s="11" t="n">
        <x:v>11</x:v>
      </x:c>
      <x:c r="K503" s="11" t="n">
        <x:v>9</x:v>
      </x:c>
      <x:c r="L503" s="11" t="n">
        <x:v>1</x:v>
      </x:c>
      <x:c r="M503" s="9" t="n">
        <x:f>ROUND(H503*(1-I503),2)</x:f>
        <x:v>16856000</x:v>
      </x:c>
      <x:c r="N503" s="4" t="str">
        <x:v>Sales manager</x:v>
      </x:c>
      <x:c r="O503" s="4"/>
      <x:c r="P503" s="9" t="n">
        <x:v>0</x:v>
      </x:c>
      <x:c r="Q503" s="11" t="n">
        <x:v>1</x:v>
      </x:c>
      <x:c r="R503" s="8" t="n">
        <x:v>45408</x:v>
      </x:c>
      <x:c r="S503" s="4" t="str">
        <x:v>Lost / cancelled</x:v>
      </x:c>
      <x:c r="T503" s="10" t="n">
        <x:v>0.254545</x:v>
      </x:c>
      <x:c r="U503" s="4" t="str">
        <x:v>Train</x:v>
      </x:c>
    </x:row>
    <x:row r="504" ht="34" customHeight="1">
      <x:c r="A504" s="4" t="str">
        <x:v>RS-00503</x:v>
      </x:c>
      <x:c r="B504" s="8" t="n">
        <x:v>45349</x:v>
      </x:c>
      <x:c r="C504" s="4" t="str">
        <x:v>PRJ-003</x:v>
      </x:c>
      <x:c r="D504" s="4" t="str">
        <x:v>Villa</x:v>
      </x:c>
      <x:c r="E504" s="4" t="str">
        <x:v>Reserved</x:v>
      </x:c>
      <x:c r="F504" s="4" t="str">
        <x:v>CUS-00503</x:v>
      </x:c>
      <x:c r="G504" s="4" t="str">
        <x:v>UNIT-00503</x:v>
      </x:c>
      <x:c r="H504" s="9" t="n">
        <x:v>11300000</x:v>
      </x:c>
      <x:c r="I504" s="10" t="n">
        <x:v>0.01</x:v>
      </x:c>
      <x:c r="J504" s="11" t="n">
        <x:v>0</x:v>
      </x:c>
      <x:c r="K504" s="11" t="n">
        <x:v>0</x:v>
      </x:c>
      <x:c r="L504" s="11" t="n">
        <x:v>0</x:v>
      </x:c>
      <x:c r="M504" s="9" t="n">
        <x:f>ROUND(H504*(1-I504),2)</x:f>
        <x:v>11187000</x:v>
      </x:c>
      <x:c r="N504" s="4" t="str">
        <x:v>Sales manager</x:v>
      </x:c>
      <x:c r="O504" s="4"/>
      <x:c r="P504" s="9" t="n">
        <x:v>0</x:v>
      </x:c>
      <x:c r="Q504" s="11" t="n">
        <x:v>0</x:v>
      </x:c>
      <x:c r="R504" s="8" t="n">
        <x:v>45409</x:v>
      </x:c>
      <x:c r="S504" s="4" t="str">
        <x:v>Retained</x:v>
      </x:c>
      <x:c r="T504" s="10" t="n">
        <x:v>0.276923</x:v>
      </x:c>
      <x:c r="U504" s="4" t="str">
        <x:v>Train</x:v>
      </x:c>
    </x:row>
    <x:row r="505" ht="34" customHeight="1">
      <x:c r="A505" s="4" t="str">
        <x:v>RS-00504</x:v>
      </x:c>
      <x:c r="B505" s="8" t="n">
        <x:v>45350</x:v>
      </x:c>
      <x:c r="C505" s="4" t="str">
        <x:v>PRJ-004</x:v>
      </x:c>
      <x:c r="D505" s="4" t="str">
        <x:v>Office</x:v>
      </x:c>
      <x:c r="E505" s="4" t="str">
        <x:v>Handed over</x:v>
      </x:c>
      <x:c r="F505" s="4" t="str">
        <x:v>CUS-00504</x:v>
      </x:c>
      <x:c r="G505" s="4" t="str">
        <x:v>UNIT-00504</x:v>
      </x:c>
      <x:c r="H505" s="9" t="n">
        <x:v>23900000</x:v>
      </x:c>
      <x:c r="I505" s="10" t="n">
        <x:v>0.02</x:v>
      </x:c>
      <x:c r="J505" s="11" t="n">
        <x:v>3</x:v>
      </x:c>
      <x:c r="K505" s="11" t="n">
        <x:v>8</x:v>
      </x:c>
      <x:c r="L505" s="11" t="n">
        <x:v>1</x:v>
      </x:c>
      <x:c r="M505" s="9" t="n">
        <x:f>ROUND(H505*(1-I505),2)</x:f>
        <x:v>23422000</x:v>
      </x:c>
      <x:c r="N505" s="4" t="str">
        <x:v>Sales manager</x:v>
      </x:c>
      <x:c r="O505" s="4" t="str">
        <x:v>BOOK-00504</x:v>
      </x:c>
      <x:c r="P505" s="9" t="n">
        <x:v>23422000</x:v>
      </x:c>
      <x:c r="Q505" s="11" t="n">
        <x:v>0</x:v>
      </x:c>
      <x:c r="R505" s="8" t="n">
        <x:v>45410</x:v>
      </x:c>
      <x:c r="S505" s="4" t="str">
        <x:v>Retained</x:v>
      </x:c>
      <x:c r="T505" s="10" t="n">
        <x:v>0.171717</x:v>
      </x:c>
      <x:c r="U505" s="4" t="str">
        <x:v>Train</x:v>
      </x:c>
    </x:row>
    <x:row r="506" ht="34" customHeight="1">
      <x:c r="A506" s="4" t="str">
        <x:v>RS-00505</x:v>
      </x:c>
      <x:c r="B506" s="8" t="n">
        <x:v>45323</x:v>
      </x:c>
      <x:c r="C506" s="4" t="str">
        <x:v>PRJ-005</x:v>
      </x:c>
      <x:c r="D506" s="4" t="str">
        <x:v>Villa</x:v>
      </x:c>
      <x:c r="E506" s="4" t="str">
        <x:v>Handed over</x:v>
      </x:c>
      <x:c r="F506" s="4" t="str">
        <x:v>CUS-00505</x:v>
      </x:c>
      <x:c r="G506" s="4" t="str">
        <x:v>UNIT-00505</x:v>
      </x:c>
      <x:c r="H506" s="9" t="n">
        <x:v>5100000</x:v>
      </x:c>
      <x:c r="I506" s="10" t="n">
        <x:v>0</x:v>
      </x:c>
      <x:c r="J506" s="11" t="n">
        <x:v>4</x:v>
      </x:c>
      <x:c r="K506" s="11" t="n">
        <x:v>2</x:v>
      </x:c>
      <x:c r="L506" s="11" t="n">
        <x:v>0</x:v>
      </x:c>
      <x:c r="M506" s="9" t="n">
        <x:f>ROUND(H506*(1-I506),2)</x:f>
        <x:v>5100000</x:v>
      </x:c>
      <x:c r="N506" s="4" t="str">
        <x:v>Sales manager</x:v>
      </x:c>
      <x:c r="O506" s="4" t="str">
        <x:v>BOOK-00505</x:v>
      </x:c>
      <x:c r="P506" s="9" t="n">
        <x:v>2550000</x:v>
      </x:c>
      <x:c r="Q506" s="11" t="n">
        <x:v>0</x:v>
      </x:c>
      <x:c r="R506" s="8" t="n">
        <x:v>45383</x:v>
      </x:c>
      <x:c r="S506" s="4" t="str">
        <x:v>Retained</x:v>
      </x:c>
      <x:c r="T506" s="10" t="n">
        <x:v>0.298969</x:v>
      </x:c>
      <x:c r="U506" s="4" t="str">
        <x:v>Train</x:v>
      </x:c>
    </x:row>
    <x:row r="507" ht="34" customHeight="1">
      <x:c r="A507" s="4" t="str">
        <x:v>RS-00506</x:v>
      </x:c>
      <x:c r="B507" s="8" t="n">
        <x:v>45324</x:v>
      </x:c>
      <x:c r="C507" s="4" t="str">
        <x:v>PRJ-006</x:v>
      </x:c>
      <x:c r="D507" s="4" t="str">
        <x:v>Apartment</x:v>
      </x:c>
      <x:c r="E507" s="4" t="str">
        <x:v>Reserved</x:v>
      </x:c>
      <x:c r="F507" s="4" t="str">
        <x:v>CUS-00506</x:v>
      </x:c>
      <x:c r="G507" s="4" t="str">
        <x:v>UNIT-00506</x:v>
      </x:c>
      <x:c r="H507" s="9" t="n">
        <x:v>21900000</x:v>
      </x:c>
      <x:c r="I507" s="10" t="n">
        <x:v>0.04</x:v>
      </x:c>
      <x:c r="J507" s="11" t="n">
        <x:v>7</x:v>
      </x:c>
      <x:c r="K507" s="11" t="n">
        <x:v>6</x:v>
      </x:c>
      <x:c r="L507" s="11" t="n">
        <x:v>1</x:v>
      </x:c>
      <x:c r="M507" s="9" t="n">
        <x:f>ROUND(H507*(1-I507),2)</x:f>
        <x:v>21024000</x:v>
      </x:c>
      <x:c r="N507" s="4" t="str">
        <x:v>Sales manager</x:v>
      </x:c>
      <x:c r="O507" s="4"/>
      <x:c r="P507" s="9" t="n">
        <x:v>0</x:v>
      </x:c>
      <x:c r="Q507" s="11" t="n">
        <x:v>0</x:v>
      </x:c>
      <x:c r="R507" s="8" t="n">
        <x:v>45384</x:v>
      </x:c>
      <x:c r="S507" s="4" t="str">
        <x:v>Retained</x:v>
      </x:c>
      <x:c r="T507" s="10" t="n">
        <x:v>0.291946</x:v>
      </x:c>
      <x:c r="U507" s="4" t="str">
        <x:v>Train</x:v>
      </x:c>
    </x:row>
    <x:row r="508" ht="34" customHeight="1">
      <x:c r="A508" s="4" t="str">
        <x:v>RS-00507</x:v>
      </x:c>
      <x:c r="B508" s="8" t="n">
        <x:v>45325</x:v>
      </x:c>
      <x:c r="C508" s="4" t="str">
        <x:v>PRJ-007</x:v>
      </x:c>
      <x:c r="D508" s="4" t="str">
        <x:v>Villa</x:v>
      </x:c>
      <x:c r="E508" s="4" t="str">
        <x:v>Reserved</x:v>
      </x:c>
      <x:c r="F508" s="4" t="str">
        <x:v>CUS-00507</x:v>
      </x:c>
      <x:c r="G508" s="4" t="str">
        <x:v>UNIT-00507</x:v>
      </x:c>
      <x:c r="H508" s="9" t="n">
        <x:v>18300000</x:v>
      </x:c>
      <x:c r="I508" s="10" t="n">
        <x:v>0.11</x:v>
      </x:c>
      <x:c r="J508" s="11" t="n">
        <x:v>3</x:v>
      </x:c>
      <x:c r="K508" s="11" t="n">
        <x:v>7</x:v>
      </x:c>
      <x:c r="L508" s="11" t="n">
        <x:v>0</x:v>
      </x:c>
      <x:c r="M508" s="9" t="n">
        <x:f>ROUND(H508*(1-I508),2)</x:f>
        <x:v>16287000</x:v>
      </x:c>
      <x:c r="N508" s="4" t="str">
        <x:v>Sales head</x:v>
      </x:c>
      <x:c r="O508" s="4"/>
      <x:c r="P508" s="9" t="n">
        <x:v>0</x:v>
      </x:c>
      <x:c r="Q508" s="11" t="n">
        <x:v>0</x:v>
      </x:c>
      <x:c r="R508" s="8" t="n">
        <x:v>45385</x:v>
      </x:c>
      <x:c r="S508" s="4" t="str">
        <x:v>Retained</x:v>
      </x:c>
      <x:c r="T508" s="10" t="n">
        <x:v>0.145833</x:v>
      </x:c>
      <x:c r="U508" s="4" t="str">
        <x:v>Train</x:v>
      </x:c>
    </x:row>
    <x:row r="509" ht="34" customHeight="1">
      <x:c r="A509" s="4" t="str">
        <x:v>RS-00508</x:v>
      </x:c>
      <x:c r="B509" s="8" t="n">
        <x:v>45326</x:v>
      </x:c>
      <x:c r="C509" s="4" t="str">
        <x:v>PRJ-008</x:v>
      </x:c>
      <x:c r="D509" s="4" t="str">
        <x:v>Apartment</x:v>
      </x:c>
      <x:c r="E509" s="4" t="str">
        <x:v>Cancelled</x:v>
      </x:c>
      <x:c r="F509" s="4" t="str">
        <x:v>CUS-00508</x:v>
      </x:c>
      <x:c r="G509" s="4" t="str">
        <x:v>UNIT-00508</x:v>
      </x:c>
      <x:c r="H509" s="9" t="n">
        <x:v>10100000</x:v>
      </x:c>
      <x:c r="I509" s="10" t="n">
        <x:v>0.11</x:v>
      </x:c>
      <x:c r="J509" s="11" t="n">
        <x:v>7</x:v>
      </x:c>
      <x:c r="K509" s="11" t="n">
        <x:v>1</x:v>
      </x:c>
      <x:c r="L509" s="11" t="n">
        <x:v>1</x:v>
      </x:c>
      <x:c r="M509" s="9" t="n">
        <x:f>ROUND(H509*(1-I509),2)</x:f>
        <x:v>8989000</x:v>
      </x:c>
      <x:c r="N509" s="4" t="str">
        <x:v>Sales head</x:v>
      </x:c>
      <x:c r="O509" s="4"/>
      <x:c r="P509" s="9" t="n">
        <x:v>0</x:v>
      </x:c>
      <x:c r="Q509" s="11" t="n">
        <x:v>1</x:v>
      </x:c>
      <x:c r="R509" s="8" t="n">
        <x:v>45386</x:v>
      </x:c>
      <x:c r="S509" s="4" t="str">
        <x:v>Lost / cancelled</x:v>
      </x:c>
      <x:c r="T509" s="10" t="n">
        <x:v>0.291946</x:v>
      </x:c>
      <x:c r="U509" s="4" t="str">
        <x:v>Train</x:v>
      </x:c>
    </x:row>
    <x:row r="510" ht="34" customHeight="1">
      <x:c r="A510" s="4" t="str">
        <x:v>RS-00509</x:v>
      </x:c>
      <x:c r="B510" s="8" t="n">
        <x:v>45327</x:v>
      </x:c>
      <x:c r="C510" s="4" t="str">
        <x:v>PRJ-009</x:v>
      </x:c>
      <x:c r="D510" s="4" t="str">
        <x:v>Retail</x:v>
      </x:c>
      <x:c r="E510" s="4" t="str">
        <x:v>Booked</x:v>
      </x:c>
      <x:c r="F510" s="4" t="str">
        <x:v>CUS-00509</x:v>
      </x:c>
      <x:c r="G510" s="4" t="str">
        <x:v>UNIT-00509</x:v>
      </x:c>
      <x:c r="H510" s="9" t="n">
        <x:v>9300000</x:v>
      </x:c>
      <x:c r="I510" s="10" t="n">
        <x:v>0.04</x:v>
      </x:c>
      <x:c r="J510" s="11" t="n">
        <x:v>11</x:v>
      </x:c>
      <x:c r="K510" s="11" t="n">
        <x:v>5</x:v>
      </x:c>
      <x:c r="L510" s="11" t="n">
        <x:v>1</x:v>
      </x:c>
      <x:c r="M510" s="9" t="n">
        <x:f>ROUND(H510*(1-I510),2)</x:f>
        <x:v>8928000</x:v>
      </x:c>
      <x:c r="N510" s="4" t="str">
        <x:v>Sales manager</x:v>
      </x:c>
      <x:c r="O510" s="4" t="str">
        <x:v>BOOK-00509</x:v>
      </x:c>
      <x:c r="P510" s="9" t="n">
        <x:v>4464000</x:v>
      </x:c>
      <x:c r="Q510" s="11" t="n">
        <x:v>0</x:v>
      </x:c>
      <x:c r="R510" s="8" t="n">
        <x:v>45387</x:v>
      </x:c>
      <x:c r="S510" s="4" t="str">
        <x:v>Retained</x:v>
      </x:c>
      <x:c r="T510" s="10" t="n">
        <x:v>0.351536</x:v>
      </x:c>
      <x:c r="U510" s="4" t="str">
        <x:v>Train</x:v>
      </x:c>
    </x:row>
    <x:row r="511" ht="34" customHeight="1">
      <x:c r="A511" s="4" t="str">
        <x:v>RS-00510</x:v>
      </x:c>
      <x:c r="B511" s="8" t="n">
        <x:v>45328</x:v>
      </x:c>
      <x:c r="C511" s="4" t="str">
        <x:v>PRJ-010</x:v>
      </x:c>
      <x:c r="D511" s="4" t="str">
        <x:v>Office</x:v>
      </x:c>
      <x:c r="E511" s="4" t="str">
        <x:v>Enquiry</x:v>
      </x:c>
      <x:c r="F511" s="4" t="str">
        <x:v>CUS-00510</x:v>
      </x:c>
      <x:c r="G511" s="4" t="str">
        <x:v>UNIT-00510</x:v>
      </x:c>
      <x:c r="H511" s="9" t="n">
        <x:v>24800000</x:v>
      </x:c>
      <x:c r="I511" s="10" t="n">
        <x:v>0.08</x:v>
      </x:c>
      <x:c r="J511" s="11" t="n">
        <x:v>0</x:v>
      </x:c>
      <x:c r="K511" s="11" t="n">
        <x:v>3</x:v>
      </x:c>
      <x:c r="L511" s="11" t="n">
        <x:v>1</x:v>
      </x:c>
      <x:c r="M511" s="9" t="n">
        <x:f>ROUND(H511*(1-I511),2)</x:f>
        <x:v>22816000</x:v>
      </x:c>
      <x:c r="N511" s="4" t="str">
        <x:v>Sales head</x:v>
      </x:c>
      <x:c r="O511" s="4"/>
      <x:c r="P511" s="9" t="n">
        <x:v>0</x:v>
      </x:c>
      <x:c r="Q511" s="11" t="n">
        <x:v>0</x:v>
      </x:c>
      <x:c r="R511" s="8" t="n">
        <x:v>45388</x:v>
      </x:c>
      <x:c r="S511" s="4" t="str">
        <x:v>Retained</x:v>
      </x:c>
      <x:c r="T511" s="10" t="n">
        <x:v>0.204152</x:v>
      </x:c>
      <x:c r="U511" s="4" t="str">
        <x:v>Train</x:v>
      </x:c>
    </x:row>
    <x:row r="512" ht="34" customHeight="1">
      <x:c r="A512" s="4" t="str">
        <x:v>RS-00511</x:v>
      </x:c>
      <x:c r="B512" s="8" t="n">
        <x:v>45329</x:v>
      </x:c>
      <x:c r="C512" s="4" t="str">
        <x:v>PRJ-011</x:v>
      </x:c>
      <x:c r="D512" s="4" t="str">
        <x:v>Office</x:v>
      </x:c>
      <x:c r="E512" s="4" t="str">
        <x:v>Cancelled</x:v>
      </x:c>
      <x:c r="F512" s="4" t="str">
        <x:v>CUS-00511</x:v>
      </x:c>
      <x:c r="G512" s="4" t="str">
        <x:v>UNIT-00511</x:v>
      </x:c>
      <x:c r="H512" s="9" t="n">
        <x:v>4700000</x:v>
      </x:c>
      <x:c r="I512" s="10" t="n">
        <x:v>0.01</x:v>
      </x:c>
      <x:c r="J512" s="11" t="n">
        <x:v>2</x:v>
      </x:c>
      <x:c r="K512" s="11" t="n">
        <x:v>0</x:v>
      </x:c>
      <x:c r="L512" s="11" t="n">
        <x:v>0</x:v>
      </x:c>
      <x:c r="M512" s="9" t="n">
        <x:f>ROUND(H512*(1-I512),2)</x:f>
        <x:v>4653000</x:v>
      </x:c>
      <x:c r="N512" s="4" t="str">
        <x:v>Sales manager</x:v>
      </x:c>
      <x:c r="O512" s="4"/>
      <x:c r="P512" s="9" t="n">
        <x:v>0</x:v>
      </x:c>
      <x:c r="Q512" s="11" t="n">
        <x:v>1</x:v>
      </x:c>
      <x:c r="R512" s="8" t="n">
        <x:v>45389</x:v>
      </x:c>
      <x:c r="S512" s="4" t="str">
        <x:v>Lost / cancelled</x:v>
      </x:c>
      <x:c r="T512" s="10" t="n">
        <x:v>0.276923</x:v>
      </x:c>
      <x:c r="U512" s="4" t="str">
        <x:v>Train</x:v>
      </x:c>
    </x:row>
    <x:row r="513" ht="34" customHeight="1">
      <x:c r="A513" s="4" t="str">
        <x:v>RS-00512</x:v>
      </x:c>
      <x:c r="B513" s="8" t="n">
        <x:v>45330</x:v>
      </x:c>
      <x:c r="C513" s="4" t="str">
        <x:v>PRJ-012</x:v>
      </x:c>
      <x:c r="D513" s="4" t="str">
        <x:v>Retail</x:v>
      </x:c>
      <x:c r="E513" s="4" t="str">
        <x:v>Agreement signed</x:v>
      </x:c>
      <x:c r="F513" s="4" t="str">
        <x:v>CUS-00512</x:v>
      </x:c>
      <x:c r="G513" s="4" t="str">
        <x:v>UNIT-00512</x:v>
      </x:c>
      <x:c r="H513" s="9" t="n">
        <x:v>20600000</x:v>
      </x:c>
      <x:c r="I513" s="10" t="n">
        <x:v>0.09</x:v>
      </x:c>
      <x:c r="J513" s="11" t="n">
        <x:v>8</x:v>
      </x:c>
      <x:c r="K513" s="11" t="n">
        <x:v>5</x:v>
      </x:c>
      <x:c r="L513" s="11" t="n">
        <x:v>1</x:v>
      </x:c>
      <x:c r="M513" s="9" t="n">
        <x:f>ROUND(H513*(1-I513),2)</x:f>
        <x:v>18746000</x:v>
      </x:c>
      <x:c r="N513" s="4" t="str">
        <x:v>Sales head</x:v>
      </x:c>
      <x:c r="O513" s="4" t="str">
        <x:v>BOOK-00512</x:v>
      </x:c>
      <x:c r="P513" s="9" t="n">
        <x:v>9373000</x:v>
      </x:c>
      <x:c r="Q513" s="11" t="n">
        <x:v>0</x:v>
      </x:c>
      <x:c r="R513" s="8" t="n">
        <x:v>45390</x:v>
      </x:c>
      <x:c r="S513" s="4" t="str">
        <x:v>Retained</x:v>
      </x:c>
      <x:c r="T513" s="10" t="n">
        <x:v>0.310195</x:v>
      </x:c>
      <x:c r="U513" s="4" t="str">
        <x:v>Train</x:v>
      </x:c>
    </x:row>
    <x:row r="514" ht="34" customHeight="1">
      <x:c r="A514" s="4" t="str">
        <x:v>RS-00513</x:v>
      </x:c>
      <x:c r="B514" s="8" t="n">
        <x:v>45331</x:v>
      </x:c>
      <x:c r="C514" s="4" t="str">
        <x:v>PRJ-013</x:v>
      </x:c>
      <x:c r="D514" s="4" t="str">
        <x:v>Office</x:v>
      </x:c>
      <x:c r="E514" s="4" t="str">
        <x:v>Cancelled</x:v>
      </x:c>
      <x:c r="F514" s="4" t="str">
        <x:v>CUS-00513</x:v>
      </x:c>
      <x:c r="G514" s="4" t="str">
        <x:v>UNIT-00513</x:v>
      </x:c>
      <x:c r="H514" s="9" t="n">
        <x:v>23100000</x:v>
      </x:c>
      <x:c r="I514" s="10" t="n">
        <x:v>0.11</x:v>
      </x:c>
      <x:c r="J514" s="11" t="n">
        <x:v>4</x:v>
      </x:c>
      <x:c r="K514" s="11" t="n">
        <x:v>1</x:v>
      </x:c>
      <x:c r="L514" s="11" t="n">
        <x:v>1</x:v>
      </x:c>
      <x:c r="M514" s="9" t="n">
        <x:f>ROUND(H514*(1-I514),2)</x:f>
        <x:v>20559000</x:v>
      </x:c>
      <x:c r="N514" s="4" t="str">
        <x:v>Sales head</x:v>
      </x:c>
      <x:c r="O514" s="4"/>
      <x:c r="P514" s="9" t="n">
        <x:v>0</x:v>
      </x:c>
      <x:c r="Q514" s="11" t="n">
        <x:v>1</x:v>
      </x:c>
      <x:c r="R514" s="8" t="n">
        <x:v>45391</x:v>
      </x:c>
      <x:c r="S514" s="4" t="str">
        <x:v>Lost / cancelled</x:v>
      </x:c>
      <x:c r="T514" s="10" t="n">
        <x:v>0.291946</x:v>
      </x:c>
      <x:c r="U514" s="4" t="str">
        <x:v>Train</x:v>
      </x:c>
    </x:row>
    <x:row r="515" ht="34" customHeight="1">
      <x:c r="A515" s="4" t="str">
        <x:v>RS-00514</x:v>
      </x:c>
      <x:c r="B515" s="8" t="n">
        <x:v>45332</x:v>
      </x:c>
      <x:c r="C515" s="4" t="str">
        <x:v>PRJ-014</x:v>
      </x:c>
      <x:c r="D515" s="4" t="str">
        <x:v>Office</x:v>
      </x:c>
      <x:c r="E515" s="4" t="str">
        <x:v>Booked</x:v>
      </x:c>
      <x:c r="F515" s="4" t="str">
        <x:v>CUS-00514</x:v>
      </x:c>
      <x:c r="G515" s="4" t="str">
        <x:v>UNIT-00514</x:v>
      </x:c>
      <x:c r="H515" s="9" t="n">
        <x:v>14800000</x:v>
      </x:c>
      <x:c r="I515" s="10" t="n">
        <x:v>0.04</x:v>
      </x:c>
      <x:c r="J515" s="11" t="n">
        <x:v>3</x:v>
      </x:c>
      <x:c r="K515" s="11" t="n">
        <x:v>5</x:v>
      </x:c>
      <x:c r="L515" s="11" t="n">
        <x:v>1</x:v>
      </x:c>
      <x:c r="M515" s="9" t="n">
        <x:f>ROUND(H515*(1-I515),2)</x:f>
        <x:v>14208000</x:v>
      </x:c>
      <x:c r="N515" s="4" t="str">
        <x:v>Sales manager</x:v>
      </x:c>
      <x:c r="O515" s="4" t="str">
        <x:v>BOOK-00514</x:v>
      </x:c>
      <x:c r="P515" s="9" t="n">
        <x:v>3552000</x:v>
      </x:c>
      <x:c r="Q515" s="11" t="n">
        <x:v>0</x:v>
      </x:c>
      <x:c r="R515" s="8" t="n">
        <x:v>45392</x:v>
      </x:c>
      <x:c r="S515" s="4" t="str">
        <x:v>Retained</x:v>
      </x:c>
      <x:c r="T515" s="10" t="n">
        <x:v>0.204152</x:v>
      </x:c>
      <x:c r="U515" s="4" t="str">
        <x:v>Train</x:v>
      </x:c>
    </x:row>
    <x:row r="516" ht="34" customHeight="1">
      <x:c r="A516" s="4" t="str">
        <x:v>RS-00515</x:v>
      </x:c>
      <x:c r="B516" s="8" t="n">
        <x:v>45333</x:v>
      </x:c>
      <x:c r="C516" s="4" t="str">
        <x:v>PRJ-015</x:v>
      </x:c>
      <x:c r="D516" s="4" t="str">
        <x:v>Villa</x:v>
      </x:c>
      <x:c r="E516" s="4" t="str">
        <x:v>Enquiry</x:v>
      </x:c>
      <x:c r="F516" s="4" t="str">
        <x:v>CUS-00515</x:v>
      </x:c>
      <x:c r="G516" s="4" t="str">
        <x:v>UNIT-00515</x:v>
      </x:c>
      <x:c r="H516" s="9" t="n">
        <x:v>20800000</x:v>
      </x:c>
      <x:c r="I516" s="10" t="n">
        <x:v>0.01</x:v>
      </x:c>
      <x:c r="J516" s="11" t="n">
        <x:v>3</x:v>
      </x:c>
      <x:c r="K516" s="11" t="n">
        <x:v>2</x:v>
      </x:c>
      <x:c r="L516" s="11" t="n">
        <x:v>1</x:v>
      </x:c>
      <x:c r="M516" s="9" t="n">
        <x:f>ROUND(H516*(1-I516),2)</x:f>
        <x:v>20592000</x:v>
      </x:c>
      <x:c r="N516" s="4" t="str">
        <x:v>Sales manager</x:v>
      </x:c>
      <x:c r="O516" s="4"/>
      <x:c r="P516" s="9" t="n">
        <x:v>0</x:v>
      </x:c>
      <x:c r="Q516" s="11" t="n">
        <x:v>0</x:v>
      </x:c>
      <x:c r="R516" s="8" t="n">
        <x:v>45393</x:v>
      </x:c>
      <x:c r="S516" s="4" t="str">
        <x:v>Retained</x:v>
      </x:c>
      <x:c r="T516" s="10" t="n">
        <x:v>0.171717</x:v>
      </x:c>
      <x:c r="U516" s="4" t="str">
        <x:v>Train</x:v>
      </x:c>
    </x:row>
    <x:row r="517" ht="34" customHeight="1">
      <x:c r="A517" s="4" t="str">
        <x:v>RS-00516</x:v>
      </x:c>
      <x:c r="B517" s="8" t="n">
        <x:v>45334</x:v>
      </x:c>
      <x:c r="C517" s="4" t="str">
        <x:v>PRJ-016</x:v>
      </x:c>
      <x:c r="D517" s="4" t="str">
        <x:v>Office</x:v>
      </x:c>
      <x:c r="E517" s="4" t="str">
        <x:v>Reserved</x:v>
      </x:c>
      <x:c r="F517" s="4" t="str">
        <x:v>CUS-00516</x:v>
      </x:c>
      <x:c r="G517" s="4" t="str">
        <x:v>UNIT-00516</x:v>
      </x:c>
      <x:c r="H517" s="9" t="n">
        <x:v>21800000</x:v>
      </x:c>
      <x:c r="I517" s="10" t="n">
        <x:v>0.1</x:v>
      </x:c>
      <x:c r="J517" s="11" t="n">
        <x:v>7</x:v>
      </x:c>
      <x:c r="K517" s="11" t="n">
        <x:v>3</x:v>
      </x:c>
      <x:c r="L517" s="11" t="n">
        <x:v>0</x:v>
      </x:c>
      <x:c r="M517" s="9" t="n">
        <x:f>ROUND(H517*(1-I517),2)</x:f>
        <x:v>19620000</x:v>
      </x:c>
      <x:c r="N517" s="4" t="str">
        <x:v>Sales head</x:v>
      </x:c>
      <x:c r="O517" s="4"/>
      <x:c r="P517" s="9" t="n">
        <x:v>0</x:v>
      </x:c>
      <x:c r="Q517" s="11" t="n">
        <x:v>0</x:v>
      </x:c>
      <x:c r="R517" s="8" t="n">
        <x:v>45394</x:v>
      </x:c>
      <x:c r="S517" s="4" t="str">
        <x:v>Retained</x:v>
      </x:c>
      <x:c r="T517" s="10" t="n">
        <x:v>0.226277</x:v>
      </x:c>
      <x:c r="U517" s="4" t="str">
        <x:v>Train</x:v>
      </x:c>
    </x:row>
    <x:row r="518" ht="34" customHeight="1">
      <x:c r="A518" s="4" t="str">
        <x:v>RS-00517</x:v>
      </x:c>
      <x:c r="B518" s="8" t="n">
        <x:v>45335</x:v>
      </x:c>
      <x:c r="C518" s="4" t="str">
        <x:v>PRJ-017</x:v>
      </x:c>
      <x:c r="D518" s="4" t="str">
        <x:v>Villa</x:v>
      </x:c>
      <x:c r="E518" s="4" t="str">
        <x:v>Booked</x:v>
      </x:c>
      <x:c r="F518" s="4" t="str">
        <x:v>CUS-00517</x:v>
      </x:c>
      <x:c r="G518" s="4" t="str">
        <x:v>UNIT-00517</x:v>
      </x:c>
      <x:c r="H518" s="9" t="n">
        <x:v>20000000</x:v>
      </x:c>
      <x:c r="I518" s="10" t="n">
        <x:v>0.09</x:v>
      </x:c>
      <x:c r="J518" s="11" t="n">
        <x:v>6</x:v>
      </x:c>
      <x:c r="K518" s="11" t="n">
        <x:v>0</x:v>
      </x:c>
      <x:c r="L518" s="11" t="n">
        <x:v>0</x:v>
      </x:c>
      <x:c r="M518" s="9" t="n">
        <x:f>ROUND(H518*(1-I518),2)</x:f>
        <x:v>18200000</x:v>
      </x:c>
      <x:c r="N518" s="4" t="str">
        <x:v>Sales head</x:v>
      </x:c>
      <x:c r="O518" s="4" t="str">
        <x:v>BOOK-00517</x:v>
      </x:c>
      <x:c r="P518" s="9" t="n">
        <x:v>18200000</x:v>
      </x:c>
      <x:c r="Q518" s="11" t="n">
        <x:v>0</x:v>
      </x:c>
      <x:c r="R518" s="8" t="n">
        <x:v>45395</x:v>
      </x:c>
      <x:c r="S518" s="4" t="str">
        <x:v>Retained</x:v>
      </x:c>
      <x:c r="T518" s="10" t="n">
        <x:v>0.226277</x:v>
      </x:c>
      <x:c r="U518" s="4" t="str">
        <x:v>Train</x:v>
      </x:c>
    </x:row>
    <x:row r="519" ht="34" customHeight="1">
      <x:c r="A519" s="4" t="str">
        <x:v>RS-00518</x:v>
      </x:c>
      <x:c r="B519" s="8" t="n">
        <x:v>45336</x:v>
      </x:c>
      <x:c r="C519" s="4" t="str">
        <x:v>PRJ-018</x:v>
      </x:c>
      <x:c r="D519" s="4" t="str">
        <x:v>Villa</x:v>
      </x:c>
      <x:c r="E519" s="4" t="str">
        <x:v>Booked</x:v>
      </x:c>
      <x:c r="F519" s="4" t="str">
        <x:v>CUS-00518</x:v>
      </x:c>
      <x:c r="G519" s="4" t="str">
        <x:v>UNIT-00518</x:v>
      </x:c>
      <x:c r="H519" s="9" t="n">
        <x:v>13100000</x:v>
      </x:c>
      <x:c r="I519" s="10" t="n">
        <x:v>0.09</x:v>
      </x:c>
      <x:c r="J519" s="11" t="n">
        <x:v>8</x:v>
      </x:c>
      <x:c r="K519" s="11" t="n">
        <x:v>4</x:v>
      </x:c>
      <x:c r="L519" s="11" t="n">
        <x:v>1</x:v>
      </x:c>
      <x:c r="M519" s="9" t="n">
        <x:f>ROUND(H519*(1-I519),2)</x:f>
        <x:v>11921000</x:v>
      </x:c>
      <x:c r="N519" s="4" t="str">
        <x:v>Sales head</x:v>
      </x:c>
      <x:c r="O519" s="4" t="str">
        <x:v>BOOK-00518</x:v>
      </x:c>
      <x:c r="P519" s="9" t="n">
        <x:v>11921000</x:v>
      </x:c>
      <x:c r="Q519" s="11" t="n">
        <x:v>0</x:v>
      </x:c>
      <x:c r="R519" s="8" t="n">
        <x:v>45396</x:v>
      </x:c>
      <x:c r="S519" s="4" t="str">
        <x:v>Retained</x:v>
      </x:c>
      <x:c r="T519" s="10" t="n">
        <x:v>0.310195</x:v>
      </x:c>
      <x:c r="U519" s="4" t="str">
        <x:v>Train</x:v>
      </x:c>
    </x:row>
    <x:row r="520" ht="34" customHeight="1">
      <x:c r="A520" s="4" t="str">
        <x:v>RS-00519</x:v>
      </x:c>
      <x:c r="B520" s="8" t="n">
        <x:v>45337</x:v>
      </x:c>
      <x:c r="C520" s="4" t="str">
        <x:v>PRJ-019</x:v>
      </x:c>
      <x:c r="D520" s="4" t="str">
        <x:v>Office</x:v>
      </x:c>
      <x:c r="E520" s="4" t="str">
        <x:v>Handed over</x:v>
      </x:c>
      <x:c r="F520" s="4" t="str">
        <x:v>CUS-00519</x:v>
      </x:c>
      <x:c r="G520" s="4" t="str">
        <x:v>UNIT-00519</x:v>
      </x:c>
      <x:c r="H520" s="9" t="n">
        <x:v>5100000</x:v>
      </x:c>
      <x:c r="I520" s="10" t="n">
        <x:v>0.11</x:v>
      </x:c>
      <x:c r="J520" s="11" t="n">
        <x:v>1</x:v>
      </x:c>
      <x:c r="K520" s="11" t="n">
        <x:v>2</x:v>
      </x:c>
      <x:c r="L520" s="11" t="n">
        <x:v>1</x:v>
      </x:c>
      <x:c r="M520" s="9" t="n">
        <x:f>ROUND(H520*(1-I520),2)</x:f>
        <x:v>4539000</x:v>
      </x:c>
      <x:c r="N520" s="4" t="str">
        <x:v>Sales head</x:v>
      </x:c>
      <x:c r="O520" s="4" t="str">
        <x:v>BOOK-00519</x:v>
      </x:c>
      <x:c r="P520" s="9" t="n">
        <x:v>2269500</x:v>
      </x:c>
      <x:c r="Q520" s="11" t="n">
        <x:v>0</x:v>
      </x:c>
      <x:c r="R520" s="8" t="n">
        <x:v>45397</x:v>
      </x:c>
      <x:c r="S520" s="4" t="str">
        <x:v>Retained</x:v>
      </x:c>
      <x:c r="T520" s="10" t="n">
        <x:v>0.145833</x:v>
      </x:c>
      <x:c r="U520" s="4" t="str">
        <x:v>Train</x:v>
      </x:c>
    </x:row>
    <x:row r="521" ht="34" customHeight="1">
      <x:c r="A521" s="4" t="str">
        <x:v>RS-00520</x:v>
      </x:c>
      <x:c r="B521" s="8" t="n">
        <x:v>45338</x:v>
      </x:c>
      <x:c r="C521" s="4" t="str">
        <x:v>PRJ-020</x:v>
      </x:c>
      <x:c r="D521" s="4" t="str">
        <x:v>Apartment</x:v>
      </x:c>
      <x:c r="E521" s="4" t="str">
        <x:v>Handed over</x:v>
      </x:c>
      <x:c r="F521" s="4" t="str">
        <x:v>CUS-00520</x:v>
      </x:c>
      <x:c r="G521" s="4" t="str">
        <x:v>UNIT-00520</x:v>
      </x:c>
      <x:c r="H521" s="9" t="n">
        <x:v>8400000</x:v>
      </x:c>
      <x:c r="I521" s="10" t="n">
        <x:v>0.06</x:v>
      </x:c>
      <x:c r="J521" s="11" t="n">
        <x:v>6</x:v>
      </x:c>
      <x:c r="K521" s="11" t="n">
        <x:v>9</x:v>
      </x:c>
      <x:c r="L521" s="11" t="n">
        <x:v>0</x:v>
      </x:c>
      <x:c r="M521" s="9" t="n">
        <x:f>ROUND(H521*(1-I521),2)</x:f>
        <x:v>7896000</x:v>
      </x:c>
      <x:c r="N521" s="4" t="str">
        <x:v>Sales manager</x:v>
      </x:c>
      <x:c r="O521" s="4" t="str">
        <x:v>BOOK-00520</x:v>
      </x:c>
      <x:c r="P521" s="9" t="n">
        <x:v>7896000</x:v>
      </x:c>
      <x:c r="Q521" s="11" t="n">
        <x:v>0</x:v>
      </x:c>
      <x:c r="R521" s="8" t="n">
        <x:v>45398</x:v>
      </x:c>
      <x:c r="S521" s="4" t="str">
        <x:v>Retained</x:v>
      </x:c>
      <x:c r="T521" s="10" t="n">
        <x:v>0.226277</x:v>
      </x:c>
      <x:c r="U521" s="4" t="str">
        <x:v>Train</x:v>
      </x:c>
    </x:row>
    <x:row r="522" ht="34" customHeight="1">
      <x:c r="A522" s="4" t="str">
        <x:v>RS-00521</x:v>
      </x:c>
      <x:c r="B522" s="8" t="n">
        <x:v>45339</x:v>
      </x:c>
      <x:c r="C522" s="4" t="str">
        <x:v>PRJ-001</x:v>
      </x:c>
      <x:c r="D522" s="4" t="str">
        <x:v>Retail</x:v>
      </x:c>
      <x:c r="E522" s="4" t="str">
        <x:v>Handed over</x:v>
      </x:c>
      <x:c r="F522" s="4" t="str">
        <x:v>CUS-00521</x:v>
      </x:c>
      <x:c r="G522" s="4" t="str">
        <x:v>UNIT-00521</x:v>
      </x:c>
      <x:c r="H522" s="9" t="n">
        <x:v>9600000</x:v>
      </x:c>
      <x:c r="I522" s="10" t="n">
        <x:v>0.02</x:v>
      </x:c>
      <x:c r="J522" s="11" t="n">
        <x:v>12</x:v>
      </x:c>
      <x:c r="K522" s="11" t="n">
        <x:v>10</x:v>
      </x:c>
      <x:c r="L522" s="11" t="n">
        <x:v>1</x:v>
      </x:c>
      <x:c r="M522" s="9" t="n">
        <x:f>ROUND(H522*(1-I522),2)</x:f>
        <x:v>9408000</x:v>
      </x:c>
      <x:c r="N522" s="4" t="str">
        <x:v>Sales manager</x:v>
      </x:c>
      <x:c r="O522" s="4" t="str">
        <x:v>BOOK-00521</x:v>
      </x:c>
      <x:c r="P522" s="9" t="n">
        <x:v>9408000</x:v>
      </x:c>
      <x:c r="Q522" s="11" t="n">
        <x:v>0</x:v>
      </x:c>
      <x:c r="R522" s="8" t="n">
        <x:v>45399</x:v>
      </x:c>
      <x:c r="S522" s="4" t="str">
        <x:v>Retained</x:v>
      </x:c>
      <x:c r="T522" s="10" t="n">
        <x:v>0.254545</x:v>
      </x:c>
      <x:c r="U522" s="4" t="str">
        <x:v>Train</x:v>
      </x:c>
    </x:row>
    <x:row r="523" ht="34" customHeight="1">
      <x:c r="A523" s="4" t="str">
        <x:v>RS-00522</x:v>
      </x:c>
      <x:c r="B523" s="8" t="n">
        <x:v>45340</x:v>
      </x:c>
      <x:c r="C523" s="4" t="str">
        <x:v>PRJ-002</x:v>
      </x:c>
      <x:c r="D523" s="4" t="str">
        <x:v>Villa</x:v>
      </x:c>
      <x:c r="E523" s="4" t="str">
        <x:v>Reserved</x:v>
      </x:c>
      <x:c r="F523" s="4" t="str">
        <x:v>CUS-00522</x:v>
      </x:c>
      <x:c r="G523" s="4" t="str">
        <x:v>UNIT-00522</x:v>
      </x:c>
      <x:c r="H523" s="9" t="n">
        <x:v>18700000</x:v>
      </x:c>
      <x:c r="I523" s="10" t="n">
        <x:v>0.03</x:v>
      </x:c>
      <x:c r="J523" s="11" t="n">
        <x:v>9</x:v>
      </x:c>
      <x:c r="K523" s="11" t="n">
        <x:v>5</x:v>
      </x:c>
      <x:c r="L523" s="11" t="n">
        <x:v>0</x:v>
      </x:c>
      <x:c r="M523" s="9" t="n">
        <x:f>ROUND(H523*(1-I523),2)</x:f>
        <x:v>18139000</x:v>
      </x:c>
      <x:c r="N523" s="4" t="str">
        <x:v>Sales manager</x:v>
      </x:c>
      <x:c r="O523" s="4"/>
      <x:c r="P523" s="9" t="n">
        <x:v>0</x:v>
      </x:c>
      <x:c r="Q523" s="11" t="n">
        <x:v>0</x:v>
      </x:c>
      <x:c r="R523" s="8" t="n">
        <x:v>45400</x:v>
      </x:c>
      <x:c r="S523" s="4" t="str">
        <x:v>Retained</x:v>
      </x:c>
      <x:c r="T523" s="10" t="n">
        <x:v>0.310195</x:v>
      </x:c>
      <x:c r="U523" s="4" t="str">
        <x:v>Train</x:v>
      </x:c>
    </x:row>
    <x:row r="524" ht="34" customHeight="1">
      <x:c r="A524" s="4" t="str">
        <x:v>RS-00523</x:v>
      </x:c>
      <x:c r="B524" s="8" t="n">
        <x:v>45341</x:v>
      </x:c>
      <x:c r="C524" s="4" t="str">
        <x:v>PRJ-003</x:v>
      </x:c>
      <x:c r="D524" s="4" t="str">
        <x:v>Villa</x:v>
      </x:c>
      <x:c r="E524" s="4" t="str">
        <x:v>Agreement signed</x:v>
      </x:c>
      <x:c r="F524" s="4" t="str">
        <x:v>CUS-00523</x:v>
      </x:c>
      <x:c r="G524" s="4" t="str">
        <x:v>UNIT-00523</x:v>
      </x:c>
      <x:c r="H524" s="9" t="n">
        <x:v>7800000</x:v>
      </x:c>
      <x:c r="I524" s="10" t="n">
        <x:v>0.1</x:v>
      </x:c>
      <x:c r="J524" s="11" t="n">
        <x:v>8</x:v>
      </x:c>
      <x:c r="K524" s="11" t="n">
        <x:v>4</x:v>
      </x:c>
      <x:c r="L524" s="11" t="n">
        <x:v>0</x:v>
      </x:c>
      <x:c r="M524" s="9" t="n">
        <x:f>ROUND(H524*(1-I524),2)</x:f>
        <x:v>7020000</x:v>
      </x:c>
      <x:c r="N524" s="4" t="str">
        <x:v>Sales head</x:v>
      </x:c>
      <x:c r="O524" s="4" t="str">
        <x:v>BOOK-00523</x:v>
      </x:c>
      <x:c r="P524" s="9" t="n">
        <x:v>702000</x:v>
      </x:c>
      <x:c r="Q524" s="11" t="n">
        <x:v>0</x:v>
      </x:c>
      <x:c r="R524" s="8" t="n">
        <x:v>45401</x:v>
      </x:c>
      <x:c r="S524" s="4" t="str">
        <x:v>Retained</x:v>
      </x:c>
      <x:c r="T524" s="10" t="n">
        <x:v>0.310195</x:v>
      </x:c>
      <x:c r="U524" s="4" t="str">
        <x:v>Train</x:v>
      </x:c>
    </x:row>
    <x:row r="525" ht="34" customHeight="1">
      <x:c r="A525" s="4" t="str">
        <x:v>RS-00524</x:v>
      </x:c>
      <x:c r="B525" s="8" t="n">
        <x:v>45342</x:v>
      </x:c>
      <x:c r="C525" s="4" t="str">
        <x:v>PRJ-004</x:v>
      </x:c>
      <x:c r="D525" s="4" t="str">
        <x:v>Retail</x:v>
      </x:c>
      <x:c r="E525" s="4" t="str">
        <x:v>Cancelled</x:v>
      </x:c>
      <x:c r="F525" s="4" t="str">
        <x:v>CUS-00524</x:v>
      </x:c>
      <x:c r="G525" s="4" t="str">
        <x:v>UNIT-00524</x:v>
      </x:c>
      <x:c r="H525" s="9" t="n">
        <x:v>3500000</x:v>
      </x:c>
      <x:c r="I525" s="10" t="n">
        <x:v>0.01</x:v>
      </x:c>
      <x:c r="J525" s="11" t="n">
        <x:v>10</x:v>
      </x:c>
      <x:c r="K525" s="11" t="n">
        <x:v>8</x:v>
      </x:c>
      <x:c r="L525" s="11" t="n">
        <x:v>1</x:v>
      </x:c>
      <x:c r="M525" s="9" t="n">
        <x:f>ROUND(H525*(1-I525),2)</x:f>
        <x:v>3465000</x:v>
      </x:c>
      <x:c r="N525" s="4" t="str">
        <x:v>Sales manager</x:v>
      </x:c>
      <x:c r="O525" s="4"/>
      <x:c r="P525" s="9" t="n">
        <x:v>0</x:v>
      </x:c>
      <x:c r="Q525" s="11" t="n">
        <x:v>1</x:v>
      </x:c>
      <x:c r="R525" s="8" t="n">
        <x:v>45402</x:v>
      </x:c>
      <x:c r="S525" s="4" t="str">
        <x:v>Lost / cancelled</x:v>
      </x:c>
      <x:c r="T525" s="10" t="n">
        <x:v>0.254545</x:v>
      </x:c>
      <x:c r="U525" s="4" t="str">
        <x:v>Train</x:v>
      </x:c>
    </x:row>
    <x:row r="526" ht="34" customHeight="1">
      <x:c r="A526" s="4" t="str">
        <x:v>RS-00525</x:v>
      </x:c>
      <x:c r="B526" s="8" t="n">
        <x:v>45343</x:v>
      </x:c>
      <x:c r="C526" s="4" t="str">
        <x:v>PRJ-005</x:v>
      </x:c>
      <x:c r="D526" s="4" t="str">
        <x:v>Villa</x:v>
      </x:c>
      <x:c r="E526" s="4" t="str">
        <x:v>Enquiry</x:v>
      </x:c>
      <x:c r="F526" s="4" t="str">
        <x:v>CUS-00525</x:v>
      </x:c>
      <x:c r="G526" s="4" t="str">
        <x:v>UNIT-00525</x:v>
      </x:c>
      <x:c r="H526" s="9" t="n">
        <x:v>10600000</x:v>
      </x:c>
      <x:c r="I526" s="10" t="n">
        <x:v>0.08</x:v>
      </x:c>
      <x:c r="J526" s="11" t="n">
        <x:v>12</x:v>
      </x:c>
      <x:c r="K526" s="11" t="n">
        <x:v>7</x:v>
      </x:c>
      <x:c r="L526" s="11" t="n">
        <x:v>1</x:v>
      </x:c>
      <x:c r="M526" s="9" t="n">
        <x:f>ROUND(H526*(1-I526),2)</x:f>
        <x:v>9752000</x:v>
      </x:c>
      <x:c r="N526" s="4" t="str">
        <x:v>Sales head</x:v>
      </x:c>
      <x:c r="O526" s="4"/>
      <x:c r="P526" s="9" t="n">
        <x:v>0</x:v>
      </x:c>
      <x:c r="Q526" s="11" t="n">
        <x:v>0</x:v>
      </x:c>
      <x:c r="R526" s="8" t="n">
        <x:v>45403</x:v>
      </x:c>
      <x:c r="S526" s="4" t="str">
        <x:v>Retained</x:v>
      </x:c>
      <x:c r="T526" s="10" t="n">
        <x:v>0.351536</x:v>
      </x:c>
      <x:c r="U526" s="4" t="str">
        <x:v>Train</x:v>
      </x:c>
    </x:row>
    <x:row r="527" ht="34" customHeight="1">
      <x:c r="A527" s="4" t="str">
        <x:v>RS-00526</x:v>
      </x:c>
      <x:c r="B527" s="8" t="n">
        <x:v>45344</x:v>
      </x:c>
      <x:c r="C527" s="4" t="str">
        <x:v>PRJ-006</x:v>
      </x:c>
      <x:c r="D527" s="4" t="str">
        <x:v>Office</x:v>
      </x:c>
      <x:c r="E527" s="4" t="str">
        <x:v>Cancelled</x:v>
      </x:c>
      <x:c r="F527" s="4" t="str">
        <x:v>CUS-00526</x:v>
      </x:c>
      <x:c r="G527" s="4" t="str">
        <x:v>UNIT-00526</x:v>
      </x:c>
      <x:c r="H527" s="9" t="n">
        <x:v>8200000</x:v>
      </x:c>
      <x:c r="I527" s="10" t="n">
        <x:v>0.01</x:v>
      </x:c>
      <x:c r="J527" s="11" t="n">
        <x:v>2</x:v>
      </x:c>
      <x:c r="K527" s="11" t="n">
        <x:v>7</x:v>
      </x:c>
      <x:c r="L527" s="11" t="n">
        <x:v>1</x:v>
      </x:c>
      <x:c r="M527" s="9" t="n">
        <x:f>ROUND(H527*(1-I527),2)</x:f>
        <x:v>8118000</x:v>
      </x:c>
      <x:c r="N527" s="4" t="str">
        <x:v>Sales manager</x:v>
      </x:c>
      <x:c r="O527" s="4"/>
      <x:c r="P527" s="9" t="n">
        <x:v>0</x:v>
      </x:c>
      <x:c r="Q527" s="11" t="n">
        <x:v>1</x:v>
      </x:c>
      <x:c r="R527" s="8" t="n">
        <x:v>45404</x:v>
      </x:c>
      <x:c r="S527" s="4" t="str">
        <x:v>Lost / cancelled</x:v>
      </x:c>
      <x:c r="T527" s="10" t="n">
        <x:v>0.171717</x:v>
      </x:c>
      <x:c r="U527" s="4" t="str">
        <x:v>Train</x:v>
      </x:c>
    </x:row>
    <x:row r="528" ht="34" customHeight="1">
      <x:c r="A528" s="4" t="str">
        <x:v>RS-00527</x:v>
      </x:c>
      <x:c r="B528" s="8" t="n">
        <x:v>45345</x:v>
      </x:c>
      <x:c r="C528" s="4" t="str">
        <x:v>PRJ-007</x:v>
      </x:c>
      <x:c r="D528" s="4" t="str">
        <x:v>Office</x:v>
      </x:c>
      <x:c r="E528" s="4" t="str">
        <x:v>Booked</x:v>
      </x:c>
      <x:c r="F528" s="4" t="str">
        <x:v>CUS-00527</x:v>
      </x:c>
      <x:c r="G528" s="4" t="str">
        <x:v>UNIT-00527</x:v>
      </x:c>
      <x:c r="H528" s="9" t="n">
        <x:v>11500000</x:v>
      </x:c>
      <x:c r="I528" s="10" t="n">
        <x:v>0.11</x:v>
      </x:c>
      <x:c r="J528" s="11" t="n">
        <x:v>9</x:v>
      </x:c>
      <x:c r="K528" s="11" t="n">
        <x:v>1</x:v>
      </x:c>
      <x:c r="L528" s="11" t="n">
        <x:v>0</x:v>
      </x:c>
      <x:c r="M528" s="9" t="n">
        <x:f>ROUND(H528*(1-I528),2)</x:f>
        <x:v>10235000</x:v>
      </x:c>
      <x:c r="N528" s="4" t="str">
        <x:v>Sales head</x:v>
      </x:c>
      <x:c r="O528" s="4" t="str">
        <x:v>BOOK-00527</x:v>
      </x:c>
      <x:c r="P528" s="9" t="n">
        <x:v>10235000</x:v>
      </x:c>
      <x:c r="Q528" s="11" t="n">
        <x:v>0</x:v>
      </x:c>
      <x:c r="R528" s="8" t="n">
        <x:v>45405</x:v>
      </x:c>
      <x:c r="S528" s="4" t="str">
        <x:v>Retained</x:v>
      </x:c>
      <x:c r="T528" s="10" t="n">
        <x:v>0.310195</x:v>
      </x:c>
      <x:c r="U528" s="4" t="str">
        <x:v>Train</x:v>
      </x:c>
    </x:row>
    <x:row r="529" ht="34" customHeight="1">
      <x:c r="A529" s="4" t="str">
        <x:v>RS-00528</x:v>
      </x:c>
      <x:c r="B529" s="8" t="n">
        <x:v>45346</x:v>
      </x:c>
      <x:c r="C529" s="4" t="str">
        <x:v>PRJ-008</x:v>
      </x:c>
      <x:c r="D529" s="4" t="str">
        <x:v>Apartment</x:v>
      </x:c>
      <x:c r="E529" s="4" t="str">
        <x:v>Reserved</x:v>
      </x:c>
      <x:c r="F529" s="4" t="str">
        <x:v>CUS-00528</x:v>
      </x:c>
      <x:c r="G529" s="4" t="str">
        <x:v>UNIT-00528</x:v>
      </x:c>
      <x:c r="H529" s="9" t="n">
        <x:v>9200000</x:v>
      </x:c>
      <x:c r="I529" s="10" t="n">
        <x:v>0.11</x:v>
      </x:c>
      <x:c r="J529" s="11" t="n">
        <x:v>6</x:v>
      </x:c>
      <x:c r="K529" s="11" t="n">
        <x:v>4</x:v>
      </x:c>
      <x:c r="L529" s="11" t="n">
        <x:v>0</x:v>
      </x:c>
      <x:c r="M529" s="9" t="n">
        <x:f>ROUND(H529*(1-I529),2)</x:f>
        <x:v>8188000</x:v>
      </x:c>
      <x:c r="N529" s="4" t="str">
        <x:v>Sales head</x:v>
      </x:c>
      <x:c r="O529" s="4"/>
      <x:c r="P529" s="9" t="n">
        <x:v>0</x:v>
      </x:c>
      <x:c r="Q529" s="11" t="n">
        <x:v>0</x:v>
      </x:c>
      <x:c r="R529" s="8" t="n">
        <x:v>45406</x:v>
      </x:c>
      <x:c r="S529" s="4" t="str">
        <x:v>Retained</x:v>
      </x:c>
      <x:c r="T529" s="10" t="n">
        <x:v>0.226277</x:v>
      </x:c>
      <x:c r="U529" s="4" t="str">
        <x:v>Train</x:v>
      </x:c>
    </x:row>
    <x:row r="530" ht="34" customHeight="1">
      <x:c r="A530" s="4" t="str">
        <x:v>RS-00529</x:v>
      </x:c>
      <x:c r="B530" s="8" t="n">
        <x:v>45347</x:v>
      </x:c>
      <x:c r="C530" s="4" t="str">
        <x:v>PRJ-009</x:v>
      </x:c>
      <x:c r="D530" s="4" t="str">
        <x:v>Apartment</x:v>
      </x:c>
      <x:c r="E530" s="4" t="str">
        <x:v>Enquiry</x:v>
      </x:c>
      <x:c r="F530" s="4" t="str">
        <x:v>CUS-00529</x:v>
      </x:c>
      <x:c r="G530" s="4" t="str">
        <x:v>UNIT-00529</x:v>
      </x:c>
      <x:c r="H530" s="9" t="n">
        <x:v>10100000</x:v>
      </x:c>
      <x:c r="I530" s="10" t="n">
        <x:v>0.01</x:v>
      </x:c>
      <x:c r="J530" s="11" t="n">
        <x:v>12</x:v>
      </x:c>
      <x:c r="K530" s="11" t="n">
        <x:v>4</x:v>
      </x:c>
      <x:c r="L530" s="11" t="n">
        <x:v>0</x:v>
      </x:c>
      <x:c r="M530" s="9" t="n">
        <x:f>ROUND(H530*(1-I530),2)</x:f>
        <x:v>9999000</x:v>
      </x:c>
      <x:c r="N530" s="4" t="str">
        <x:v>Sales manager</x:v>
      </x:c>
      <x:c r="O530" s="4"/>
      <x:c r="P530" s="9" t="n">
        <x:v>0</x:v>
      </x:c>
      <x:c r="Q530" s="11" t="n">
        <x:v>0</x:v>
      </x:c>
      <x:c r="R530" s="8" t="n">
        <x:v>45407</x:v>
      </x:c>
      <x:c r="S530" s="4" t="str">
        <x:v>Retained</x:v>
      </x:c>
      <x:c r="T530" s="10" t="n">
        <x:v>0.305556</x:v>
      </x:c>
      <x:c r="U530" s="4" t="str">
        <x:v>Train</x:v>
      </x:c>
    </x:row>
    <x:row r="531" ht="34" customHeight="1">
      <x:c r="A531" s="4" t="str">
        <x:v>RS-00530</x:v>
      </x:c>
      <x:c r="B531" s="8" t="n">
        <x:v>45348</x:v>
      </x:c>
      <x:c r="C531" s="4" t="str">
        <x:v>PRJ-010</x:v>
      </x:c>
      <x:c r="D531" s="4" t="str">
        <x:v>Office</x:v>
      </x:c>
      <x:c r="E531" s="4" t="str">
        <x:v>Handed over</x:v>
      </x:c>
      <x:c r="F531" s="4" t="str">
        <x:v>CUS-00530</x:v>
      </x:c>
      <x:c r="G531" s="4" t="str">
        <x:v>UNIT-00530</x:v>
      </x:c>
      <x:c r="H531" s="9" t="n">
        <x:v>15600000</x:v>
      </x:c>
      <x:c r="I531" s="10" t="n">
        <x:v>0.01</x:v>
      </x:c>
      <x:c r="J531" s="11" t="n">
        <x:v>2</x:v>
      </x:c>
      <x:c r="K531" s="11" t="n">
        <x:v>10</x:v>
      </x:c>
      <x:c r="L531" s="11" t="n">
        <x:v>0</x:v>
      </x:c>
      <x:c r="M531" s="9" t="n">
        <x:f>ROUND(H531*(1-I531),2)</x:f>
        <x:v>15444000</x:v>
      </x:c>
      <x:c r="N531" s="4" t="str">
        <x:v>Sales manager</x:v>
      </x:c>
      <x:c r="O531" s="4" t="str">
        <x:v>BOOK-00530</x:v>
      </x:c>
      <x:c r="P531" s="9" t="n">
        <x:v>7722000</x:v>
      </x:c>
      <x:c r="Q531" s="11" t="n">
        <x:v>0</x:v>
      </x:c>
      <x:c r="R531" s="8" t="n">
        <x:v>45408</x:v>
      </x:c>
      <x:c r="S531" s="4" t="str">
        <x:v>Retained</x:v>
      </x:c>
      <x:c r="T531" s="10" t="n">
        <x:v>0.171717</x:v>
      </x:c>
      <x:c r="U531" s="4" t="str">
        <x:v>Train</x:v>
      </x:c>
    </x:row>
    <x:row r="532" ht="34" customHeight="1">
      <x:c r="A532" s="4" t="str">
        <x:v>RS-00531</x:v>
      </x:c>
      <x:c r="B532" s="8" t="n">
        <x:v>45349</x:v>
      </x:c>
      <x:c r="C532" s="4" t="str">
        <x:v>PRJ-011</x:v>
      </x:c>
      <x:c r="D532" s="4" t="str">
        <x:v>Villa</x:v>
      </x:c>
      <x:c r="E532" s="4" t="str">
        <x:v>Handed over</x:v>
      </x:c>
      <x:c r="F532" s="4" t="str">
        <x:v>CUS-00531</x:v>
      </x:c>
      <x:c r="G532" s="4" t="str">
        <x:v>UNIT-00531</x:v>
      </x:c>
      <x:c r="H532" s="9" t="n">
        <x:v>10400000</x:v>
      </x:c>
      <x:c r="I532" s="10" t="n">
        <x:v>0.11</x:v>
      </x:c>
      <x:c r="J532" s="11" t="n">
        <x:v>9</x:v>
      </x:c>
      <x:c r="K532" s="11" t="n">
        <x:v>8</x:v>
      </x:c>
      <x:c r="L532" s="11" t="n">
        <x:v>1</x:v>
      </x:c>
      <x:c r="M532" s="9" t="n">
        <x:f>ROUND(H532*(1-I532),2)</x:f>
        <x:v>9256000</x:v>
      </x:c>
      <x:c r="N532" s="4" t="str">
        <x:v>Sales head</x:v>
      </x:c>
      <x:c r="O532" s="4" t="str">
        <x:v>BOOK-00531</x:v>
      </x:c>
      <x:c r="P532" s="9" t="n">
        <x:v>9256000</x:v>
      </x:c>
      <x:c r="Q532" s="11" t="n">
        <x:v>0</x:v>
      </x:c>
      <x:c r="R532" s="8" t="n">
        <x:v>45409</x:v>
      </x:c>
      <x:c r="S532" s="4" t="str">
        <x:v>Retained</x:v>
      </x:c>
      <x:c r="T532" s="10" t="n">
        <x:v>0.310195</x:v>
      </x:c>
      <x:c r="U532" s="4" t="str">
        <x:v>Train</x:v>
      </x:c>
    </x:row>
    <x:row r="533" ht="34" customHeight="1">
      <x:c r="A533" s="4" t="str">
        <x:v>RS-00532</x:v>
      </x:c>
      <x:c r="B533" s="8" t="n">
        <x:v>45350</x:v>
      </x:c>
      <x:c r="C533" s="4" t="str">
        <x:v>PRJ-012</x:v>
      </x:c>
      <x:c r="D533" s="4" t="str">
        <x:v>Villa</x:v>
      </x:c>
      <x:c r="E533" s="4" t="str">
        <x:v>Reserved</x:v>
      </x:c>
      <x:c r="F533" s="4" t="str">
        <x:v>CUS-00532</x:v>
      </x:c>
      <x:c r="G533" s="4" t="str">
        <x:v>UNIT-00532</x:v>
      </x:c>
      <x:c r="H533" s="9" t="n">
        <x:v>5300000</x:v>
      </x:c>
      <x:c r="I533" s="10" t="n">
        <x:v>0.04</x:v>
      </x:c>
      <x:c r="J533" s="11" t="n">
        <x:v>1</x:v>
      </x:c>
      <x:c r="K533" s="11" t="n">
        <x:v>7</x:v>
      </x:c>
      <x:c r="L533" s="11" t="n">
        <x:v>0</x:v>
      </x:c>
      <x:c r="M533" s="9" t="n">
        <x:f>ROUND(H533*(1-I533),2)</x:f>
        <x:v>5088000</x:v>
      </x:c>
      <x:c r="N533" s="4" t="str">
        <x:v>Sales manager</x:v>
      </x:c>
      <x:c r="O533" s="4"/>
      <x:c r="P533" s="9" t="n">
        <x:v>0</x:v>
      </x:c>
      <x:c r="Q533" s="11" t="n">
        <x:v>0</x:v>
      </x:c>
      <x:c r="R533" s="8" t="n">
        <x:v>45410</x:v>
      </x:c>
      <x:c r="S533" s="4" t="str">
        <x:v>Retained</x:v>
      </x:c>
      <x:c r="T533" s="10" t="n">
        <x:v>0.204152</x:v>
      </x:c>
      <x:c r="U533" s="4" t="str">
        <x:v>Train</x:v>
      </x:c>
    </x:row>
    <x:row r="534" ht="34" customHeight="1">
      <x:c r="A534" s="4" t="str">
        <x:v>RS-00533</x:v>
      </x:c>
      <x:c r="B534" s="8" t="n">
        <x:v>45323</x:v>
      </x:c>
      <x:c r="C534" s="4" t="str">
        <x:v>PRJ-013</x:v>
      </x:c>
      <x:c r="D534" s="4" t="str">
        <x:v>Apartment</x:v>
      </x:c>
      <x:c r="E534" s="4" t="str">
        <x:v>Agreement signed</x:v>
      </x:c>
      <x:c r="F534" s="4" t="str">
        <x:v>CUS-00533</x:v>
      </x:c>
      <x:c r="G534" s="4" t="str">
        <x:v>UNIT-00533</x:v>
      </x:c>
      <x:c r="H534" s="9" t="n">
        <x:v>5200000</x:v>
      </x:c>
      <x:c r="I534" s="10" t="n">
        <x:v>0.12</x:v>
      </x:c>
      <x:c r="J534" s="11" t="n">
        <x:v>7</x:v>
      </x:c>
      <x:c r="K534" s="11" t="n">
        <x:v>5</x:v>
      </x:c>
      <x:c r="L534" s="11" t="n">
        <x:v>1</x:v>
      </x:c>
      <x:c r="M534" s="9" t="n">
        <x:f>ROUND(H534*(1-I534),2)</x:f>
        <x:v>4576000</x:v>
      </x:c>
      <x:c r="N534" s="4" t="str">
        <x:v>Sales head</x:v>
      </x:c>
      <x:c r="O534" s="4" t="str">
        <x:v>BOOK-00533</x:v>
      </x:c>
      <x:c r="P534" s="9" t="n">
        <x:v>4576000</x:v>
      </x:c>
      <x:c r="Q534" s="11" t="n">
        <x:v>0</x:v>
      </x:c>
      <x:c r="R534" s="8" t="n">
        <x:v>45383</x:v>
      </x:c>
      <x:c r="S534" s="4" t="str">
        <x:v>Retained</x:v>
      </x:c>
      <x:c r="T534" s="10" t="n">
        <x:v>0.291946</x:v>
      </x:c>
      <x:c r="U534" s="4" t="str">
        <x:v>Train</x:v>
      </x:c>
    </x:row>
    <x:row r="535" ht="34" customHeight="1">
      <x:c r="A535" s="4" t="str">
        <x:v>RS-00534</x:v>
      </x:c>
      <x:c r="B535" s="8" t="n">
        <x:v>45324</x:v>
      </x:c>
      <x:c r="C535" s="4" t="str">
        <x:v>PRJ-014</x:v>
      </x:c>
      <x:c r="D535" s="4" t="str">
        <x:v>Apartment</x:v>
      </x:c>
      <x:c r="E535" s="4" t="str">
        <x:v>Cancelled</x:v>
      </x:c>
      <x:c r="F535" s="4" t="str">
        <x:v>CUS-00534</x:v>
      </x:c>
      <x:c r="G535" s="4" t="str">
        <x:v>UNIT-00534</x:v>
      </x:c>
      <x:c r="H535" s="9" t="n">
        <x:v>24300000</x:v>
      </x:c>
      <x:c r="I535" s="10" t="n">
        <x:v>0.03</x:v>
      </x:c>
      <x:c r="J535" s="11" t="n">
        <x:v>10</x:v>
      </x:c>
      <x:c r="K535" s="11" t="n">
        <x:v>6</x:v>
      </x:c>
      <x:c r="L535" s="11" t="n">
        <x:v>0</x:v>
      </x:c>
      <x:c r="M535" s="9" t="n">
        <x:f>ROUND(H535*(1-I535),2)</x:f>
        <x:v>23571000</x:v>
      </x:c>
      <x:c r="N535" s="4" t="str">
        <x:v>Sales manager</x:v>
      </x:c>
      <x:c r="O535" s="4"/>
      <x:c r="P535" s="9" t="n">
        <x:v>0</x:v>
      </x:c>
      <x:c r="Q535" s="11" t="n">
        <x:v>1</x:v>
      </x:c>
      <x:c r="R535" s="8" t="n">
        <x:v>45384</x:v>
      </x:c>
      <x:c r="S535" s="4" t="str">
        <x:v>Lost / cancelled</x:v>
      </x:c>
      <x:c r="T535" s="10" t="n">
        <x:v>0.310195</x:v>
      </x:c>
      <x:c r="U535" s="4" t="str">
        <x:v>Train</x:v>
      </x:c>
    </x:row>
    <x:row r="536" ht="34" customHeight="1">
      <x:c r="A536" s="4" t="str">
        <x:v>RS-00535</x:v>
      </x:c>
      <x:c r="B536" s="8" t="n">
        <x:v>45325</x:v>
      </x:c>
      <x:c r="C536" s="4" t="str">
        <x:v>PRJ-015</x:v>
      </x:c>
      <x:c r="D536" s="4" t="str">
        <x:v>Villa</x:v>
      </x:c>
      <x:c r="E536" s="4" t="str">
        <x:v>Agreement signed</x:v>
      </x:c>
      <x:c r="F536" s="4" t="str">
        <x:v>CUS-00535</x:v>
      </x:c>
      <x:c r="G536" s="4" t="str">
        <x:v>UNIT-00535</x:v>
      </x:c>
      <x:c r="H536" s="9" t="n">
        <x:v>14500000</x:v>
      </x:c>
      <x:c r="I536" s="10" t="n">
        <x:v>0.1</x:v>
      </x:c>
      <x:c r="J536" s="11" t="n">
        <x:v>10</x:v>
      </x:c>
      <x:c r="K536" s="11" t="n">
        <x:v>9</x:v>
      </x:c>
      <x:c r="L536" s="11" t="n">
        <x:v>0</x:v>
      </x:c>
      <x:c r="M536" s="9" t="n">
        <x:f>ROUND(H536*(1-I536),2)</x:f>
        <x:v>13050000</x:v>
      </x:c>
      <x:c r="N536" s="4" t="str">
        <x:v>Sales head</x:v>
      </x:c>
      <x:c r="O536" s="4" t="str">
        <x:v>BOOK-00535</x:v>
      </x:c>
      <x:c r="P536" s="9" t="n">
        <x:v>1305000</x:v>
      </x:c>
      <x:c r="Q536" s="11" t="n">
        <x:v>0</x:v>
      </x:c>
      <x:c r="R536" s="8" t="n">
        <x:v>45385</x:v>
      </x:c>
      <x:c r="S536" s="4" t="str">
        <x:v>Retained</x:v>
      </x:c>
      <x:c r="T536" s="10" t="n">
        <x:v>0.310195</x:v>
      </x:c>
      <x:c r="U536" s="4" t="str">
        <x:v>Train</x:v>
      </x:c>
    </x:row>
    <x:row r="537" ht="34" customHeight="1">
      <x:c r="A537" s="4" t="str">
        <x:v>RS-00536</x:v>
      </x:c>
      <x:c r="B537" s="8" t="n">
        <x:v>45326</x:v>
      </x:c>
      <x:c r="C537" s="4" t="str">
        <x:v>PRJ-016</x:v>
      </x:c>
      <x:c r="D537" s="4" t="str">
        <x:v>Villa</x:v>
      </x:c>
      <x:c r="E537" s="4" t="str">
        <x:v>Reserved</x:v>
      </x:c>
      <x:c r="F537" s="4" t="str">
        <x:v>CUS-00536</x:v>
      </x:c>
      <x:c r="G537" s="4" t="str">
        <x:v>UNIT-00536</x:v>
      </x:c>
      <x:c r="H537" s="9" t="n">
        <x:v>4600000</x:v>
      </x:c>
      <x:c r="I537" s="10" t="n">
        <x:v>0.08</x:v>
      </x:c>
      <x:c r="J537" s="11" t="n">
        <x:v>1</x:v>
      </x:c>
      <x:c r="K537" s="11" t="n">
        <x:v>6</x:v>
      </x:c>
      <x:c r="L537" s="11" t="n">
        <x:v>1</x:v>
      </x:c>
      <x:c r="M537" s="9" t="n">
        <x:f>ROUND(H537*(1-I537),2)</x:f>
        <x:v>4232000</x:v>
      </x:c>
      <x:c r="N537" s="4" t="str">
        <x:v>Sales head</x:v>
      </x:c>
      <x:c r="O537" s="4"/>
      <x:c r="P537" s="9" t="n">
        <x:v>0</x:v>
      </x:c>
      <x:c r="Q537" s="11" t="n">
        <x:v>0</x:v>
      </x:c>
      <x:c r="R537" s="8" t="n">
        <x:v>45386</x:v>
      </x:c>
      <x:c r="S537" s="4" t="str">
        <x:v>Retained</x:v>
      </x:c>
      <x:c r="T537" s="10" t="n">
        <x:v>0.204152</x:v>
      </x:c>
      <x:c r="U537" s="4" t="str">
        <x:v>Train</x:v>
      </x:c>
    </x:row>
    <x:row r="538" ht="34" customHeight="1">
      <x:c r="A538" s="4" t="str">
        <x:v>RS-00537</x:v>
      </x:c>
      <x:c r="B538" s="8" t="n">
        <x:v>45327</x:v>
      </x:c>
      <x:c r="C538" s="4" t="str">
        <x:v>PRJ-017</x:v>
      </x:c>
      <x:c r="D538" s="4" t="str">
        <x:v>Villa</x:v>
      </x:c>
      <x:c r="E538" s="4" t="str">
        <x:v>Handed over</x:v>
      </x:c>
      <x:c r="F538" s="4" t="str">
        <x:v>CUS-00537</x:v>
      </x:c>
      <x:c r="G538" s="4" t="str">
        <x:v>UNIT-00537</x:v>
      </x:c>
      <x:c r="H538" s="9" t="n">
        <x:v>8700000</x:v>
      </x:c>
      <x:c r="I538" s="10" t="n">
        <x:v>0.1</x:v>
      </x:c>
      <x:c r="J538" s="11" t="n">
        <x:v>2</x:v>
      </x:c>
      <x:c r="K538" s="11" t="n">
        <x:v>7</x:v>
      </x:c>
      <x:c r="L538" s="11" t="n">
        <x:v>0</x:v>
      </x:c>
      <x:c r="M538" s="9" t="n">
        <x:f>ROUND(H538*(1-I538),2)</x:f>
        <x:v>7830000</x:v>
      </x:c>
      <x:c r="N538" s="4" t="str">
        <x:v>Sales head</x:v>
      </x:c>
      <x:c r="O538" s="4" t="str">
        <x:v>BOOK-00537</x:v>
      </x:c>
      <x:c r="P538" s="9" t="n">
        <x:v>1957500</x:v>
      </x:c>
      <x:c r="Q538" s="11" t="n">
        <x:v>0</x:v>
      </x:c>
      <x:c r="R538" s="8" t="n">
        <x:v>45387</x:v>
      </x:c>
      <x:c r="S538" s="4" t="str">
        <x:v>Retained</x:v>
      </x:c>
      <x:c r="T538" s="10" t="n">
        <x:v>0.145833</x:v>
      </x:c>
      <x:c r="U538" s="4" t="str">
        <x:v>Train</x:v>
      </x:c>
    </x:row>
    <x:row r="539" ht="34" customHeight="1">
      <x:c r="A539" s="4" t="str">
        <x:v>RS-00538</x:v>
      </x:c>
      <x:c r="B539" s="8" t="n">
        <x:v>45328</x:v>
      </x:c>
      <x:c r="C539" s="4" t="str">
        <x:v>PRJ-018</x:v>
      </x:c>
      <x:c r="D539" s="4" t="str">
        <x:v>Retail</x:v>
      </x:c>
      <x:c r="E539" s="4" t="str">
        <x:v>Agreement signed</x:v>
      </x:c>
      <x:c r="F539" s="4" t="str">
        <x:v>CUS-00538</x:v>
      </x:c>
      <x:c r="G539" s="4" t="str">
        <x:v>UNIT-00538</x:v>
      </x:c>
      <x:c r="H539" s="9" t="n">
        <x:v>20000000</x:v>
      </x:c>
      <x:c r="I539" s="10" t="n">
        <x:v>0.1</x:v>
      </x:c>
      <x:c r="J539" s="11" t="n">
        <x:v>8</x:v>
      </x:c>
      <x:c r="K539" s="11" t="n">
        <x:v>0</x:v>
      </x:c>
      <x:c r="L539" s="11" t="n">
        <x:v>0</x:v>
      </x:c>
      <x:c r="M539" s="9" t="n">
        <x:f>ROUND(H539*(1-I539),2)</x:f>
        <x:v>18000000</x:v>
      </x:c>
      <x:c r="N539" s="4" t="str">
        <x:v>Sales head</x:v>
      </x:c>
      <x:c r="O539" s="4" t="str">
        <x:v>BOOK-00538</x:v>
      </x:c>
      <x:c r="P539" s="9" t="n">
        <x:v>4500000</x:v>
      </x:c>
      <x:c r="Q539" s="11" t="n">
        <x:v>0</x:v>
      </x:c>
      <x:c r="R539" s="8" t="n">
        <x:v>45388</x:v>
      </x:c>
      <x:c r="S539" s="4" t="str">
        <x:v>Retained</x:v>
      </x:c>
      <x:c r="T539" s="10" t="n">
        <x:v>0.310195</x:v>
      </x:c>
      <x:c r="U539" s="4" t="str">
        <x:v>Train</x:v>
      </x:c>
    </x:row>
    <x:row r="540" ht="34" customHeight="1">
      <x:c r="A540" s="4" t="str">
        <x:v>RS-00539</x:v>
      </x:c>
      <x:c r="B540" s="8" t="n">
        <x:v>45329</x:v>
      </x:c>
      <x:c r="C540" s="4" t="str">
        <x:v>PRJ-019</x:v>
      </x:c>
      <x:c r="D540" s="4" t="str">
        <x:v>Apartment</x:v>
      </x:c>
      <x:c r="E540" s="4" t="str">
        <x:v>Agreement signed</x:v>
      </x:c>
      <x:c r="F540" s="4" t="str">
        <x:v>CUS-00539</x:v>
      </x:c>
      <x:c r="G540" s="4" t="str">
        <x:v>UNIT-00539</x:v>
      </x:c>
      <x:c r="H540" s="9" t="n">
        <x:v>6300000</x:v>
      </x:c>
      <x:c r="I540" s="10" t="n">
        <x:v>0.09</x:v>
      </x:c>
      <x:c r="J540" s="11" t="n">
        <x:v>0</x:v>
      </x:c>
      <x:c r="K540" s="11" t="n">
        <x:v>8</x:v>
      </x:c>
      <x:c r="L540" s="11" t="n">
        <x:v>0</x:v>
      </x:c>
      <x:c r="M540" s="9" t="n">
        <x:f>ROUND(H540*(1-I540),2)</x:f>
        <x:v>5733000</x:v>
      </x:c>
      <x:c r="N540" s="4" t="str">
        <x:v>Sales head</x:v>
      </x:c>
      <x:c r="O540" s="4" t="str">
        <x:v>BOOK-00539</x:v>
      </x:c>
      <x:c r="P540" s="9" t="n">
        <x:v>2866500</x:v>
      </x:c>
      <x:c r="Q540" s="11" t="n">
        <x:v>0</x:v>
      </x:c>
      <x:c r="R540" s="8" t="n">
        <x:v>45389</x:v>
      </x:c>
      <x:c r="S540" s="4" t="str">
        <x:v>Retained</x:v>
      </x:c>
      <x:c r="T540" s="10" t="n">
        <x:v>0.145833</x:v>
      </x:c>
      <x:c r="U540" s="4" t="str">
        <x:v>Train</x:v>
      </x:c>
    </x:row>
    <x:row r="541" ht="34" customHeight="1">
      <x:c r="A541" s="4" t="str">
        <x:v>RS-00540</x:v>
      </x:c>
      <x:c r="B541" s="8" t="n">
        <x:v>45330</x:v>
      </x:c>
      <x:c r="C541" s="4" t="str">
        <x:v>PRJ-020</x:v>
      </x:c>
      <x:c r="D541" s="4" t="str">
        <x:v>Villa</x:v>
      </x:c>
      <x:c r="E541" s="4" t="str">
        <x:v>Booked</x:v>
      </x:c>
      <x:c r="F541" s="4" t="str">
        <x:v>CUS-00540</x:v>
      </x:c>
      <x:c r="G541" s="4" t="str">
        <x:v>UNIT-00540</x:v>
      </x:c>
      <x:c r="H541" s="9" t="n">
        <x:v>11400000</x:v>
      </x:c>
      <x:c r="I541" s="10" t="n">
        <x:v>0.06</x:v>
      </x:c>
      <x:c r="J541" s="11" t="n">
        <x:v>10</x:v>
      </x:c>
      <x:c r="K541" s="11" t="n">
        <x:v>1</x:v>
      </x:c>
      <x:c r="L541" s="11" t="n">
        <x:v>1</x:v>
      </x:c>
      <x:c r="M541" s="9" t="n">
        <x:f>ROUND(H541*(1-I541),2)</x:f>
        <x:v>10716000</x:v>
      </x:c>
      <x:c r="N541" s="4" t="str">
        <x:v>Sales manager</x:v>
      </x:c>
      <x:c r="O541" s="4" t="str">
        <x:v>BOOK-00540</x:v>
      </x:c>
      <x:c r="P541" s="9" t="n">
        <x:v>5358000</x:v>
      </x:c>
      <x:c r="Q541" s="11" t="n">
        <x:v>0</x:v>
      </x:c>
      <x:c r="R541" s="8" t="n">
        <x:v>45390</x:v>
      </x:c>
      <x:c r="S541" s="4" t="str">
        <x:v>Retained</x:v>
      </x:c>
      <x:c r="T541" s="10" t="n">
        <x:v>0.310195</x:v>
      </x:c>
      <x:c r="U541" s="4" t="str">
        <x:v>Train</x:v>
      </x:c>
    </x:row>
    <x:row r="542" ht="34" customHeight="1">
      <x:c r="A542" s="4" t="str">
        <x:v>RS-00541</x:v>
      </x:c>
      <x:c r="B542" s="8" t="n">
        <x:v>45331</x:v>
      </x:c>
      <x:c r="C542" s="4" t="str">
        <x:v>PRJ-001</x:v>
      </x:c>
      <x:c r="D542" s="4" t="str">
        <x:v>Apartment</x:v>
      </x:c>
      <x:c r="E542" s="4" t="str">
        <x:v>Cancelled</x:v>
      </x:c>
      <x:c r="F542" s="4" t="str">
        <x:v>CUS-00541</x:v>
      </x:c>
      <x:c r="G542" s="4" t="str">
        <x:v>UNIT-00541</x:v>
      </x:c>
      <x:c r="H542" s="9" t="n">
        <x:v>10000000</x:v>
      </x:c>
      <x:c r="I542" s="10" t="n">
        <x:v>0.05</x:v>
      </x:c>
      <x:c r="J542" s="11" t="n">
        <x:v>1</x:v>
      </x:c>
      <x:c r="K542" s="11" t="n">
        <x:v>4</x:v>
      </x:c>
      <x:c r="L542" s="11" t="n">
        <x:v>0</x:v>
      </x:c>
      <x:c r="M542" s="9" t="n">
        <x:f>ROUND(H542*(1-I542),2)</x:f>
        <x:v>9500000</x:v>
      </x:c>
      <x:c r="N542" s="4" t="str">
        <x:v>Sales manager</x:v>
      </x:c>
      <x:c r="O542" s="4"/>
      <x:c r="P542" s="9" t="n">
        <x:v>0</x:v>
      </x:c>
      <x:c r="Q542" s="11" t="n">
        <x:v>1</x:v>
      </x:c>
      <x:c r="R542" s="8" t="n">
        <x:v>45391</x:v>
      </x:c>
      <x:c r="S542" s="4" t="str">
        <x:v>Lost / cancelled</x:v>
      </x:c>
      <x:c r="T542" s="10" t="n">
        <x:v>0.204152</x:v>
      </x:c>
      <x:c r="U542" s="4" t="str">
        <x:v>Train</x:v>
      </x:c>
    </x:row>
    <x:row r="543" ht="34" customHeight="1">
      <x:c r="A543" s="4" t="str">
        <x:v>RS-00542</x:v>
      </x:c>
      <x:c r="B543" s="8" t="n">
        <x:v>45332</x:v>
      </x:c>
      <x:c r="C543" s="4" t="str">
        <x:v>PRJ-002</x:v>
      </x:c>
      <x:c r="D543" s="4" t="str">
        <x:v>Retail</x:v>
      </x:c>
      <x:c r="E543" s="4" t="str">
        <x:v>Enquiry</x:v>
      </x:c>
      <x:c r="F543" s="4" t="str">
        <x:v>CUS-00542</x:v>
      </x:c>
      <x:c r="G543" s="4" t="str">
        <x:v>UNIT-00542</x:v>
      </x:c>
      <x:c r="H543" s="9" t="n">
        <x:v>13900000</x:v>
      </x:c>
      <x:c r="I543" s="10" t="n">
        <x:v>0.02</x:v>
      </x:c>
      <x:c r="J543" s="11" t="n">
        <x:v>0</x:v>
      </x:c>
      <x:c r="K543" s="11" t="n">
        <x:v>4</x:v>
      </x:c>
      <x:c r="L543" s="11" t="n">
        <x:v>1</x:v>
      </x:c>
      <x:c r="M543" s="9" t="n">
        <x:f>ROUND(H543*(1-I543),2)</x:f>
        <x:v>13622000</x:v>
      </x:c>
      <x:c r="N543" s="4" t="str">
        <x:v>Sales manager</x:v>
      </x:c>
      <x:c r="O543" s="4"/>
      <x:c r="P543" s="9" t="n">
        <x:v>0</x:v>
      </x:c>
      <x:c r="Q543" s="11" t="n">
        <x:v>0</x:v>
      </x:c>
      <x:c r="R543" s="8" t="n">
        <x:v>45392</x:v>
      </x:c>
      <x:c r="S543" s="4" t="str">
        <x:v>Retained</x:v>
      </x:c>
      <x:c r="T543" s="10" t="n">
        <x:v>0.072165</x:v>
      </x:c>
      <x:c r="U543" s="4" t="str">
        <x:v>Train</x:v>
      </x:c>
    </x:row>
    <x:row r="544" ht="34" customHeight="1">
      <x:c r="A544" s="4" t="str">
        <x:v>RS-00543</x:v>
      </x:c>
      <x:c r="B544" s="8" t="n">
        <x:v>45333</x:v>
      </x:c>
      <x:c r="C544" s="4" t="str">
        <x:v>PRJ-003</x:v>
      </x:c>
      <x:c r="D544" s="4" t="str">
        <x:v>Retail</x:v>
      </x:c>
      <x:c r="E544" s="4" t="str">
        <x:v>Cancelled</x:v>
      </x:c>
      <x:c r="F544" s="4" t="str">
        <x:v>CUS-00543</x:v>
      </x:c>
      <x:c r="G544" s="4" t="str">
        <x:v>UNIT-00543</x:v>
      </x:c>
      <x:c r="H544" s="9" t="n">
        <x:v>6800000</x:v>
      </x:c>
      <x:c r="I544" s="10" t="n">
        <x:v>0.1</x:v>
      </x:c>
      <x:c r="J544" s="11" t="n">
        <x:v>7</x:v>
      </x:c>
      <x:c r="K544" s="11" t="n">
        <x:v>6</x:v>
      </x:c>
      <x:c r="L544" s="11" t="n">
        <x:v>1</x:v>
      </x:c>
      <x:c r="M544" s="9" t="n">
        <x:f>ROUND(H544*(1-I544),2)</x:f>
        <x:v>6120000</x:v>
      </x:c>
      <x:c r="N544" s="4" t="str">
        <x:v>Sales head</x:v>
      </x:c>
      <x:c r="O544" s="4"/>
      <x:c r="P544" s="9" t="n">
        <x:v>0</x:v>
      </x:c>
      <x:c r="Q544" s="11" t="n">
        <x:v>1</x:v>
      </x:c>
      <x:c r="R544" s="8" t="n">
        <x:v>45393</x:v>
      </x:c>
      <x:c r="S544" s="4" t="str">
        <x:v>Lost / cancelled</x:v>
      </x:c>
      <x:c r="T544" s="10" t="n">
        <x:v>0.291946</x:v>
      </x:c>
      <x:c r="U544" s="4" t="str">
        <x:v>Train</x:v>
      </x:c>
    </x:row>
    <x:row r="545" ht="34" customHeight="1">
      <x:c r="A545" s="4" t="str">
        <x:v>RS-00544</x:v>
      </x:c>
      <x:c r="B545" s="8" t="n">
        <x:v>45334</x:v>
      </x:c>
      <x:c r="C545" s="4" t="str">
        <x:v>PRJ-004</x:v>
      </x:c>
      <x:c r="D545" s="4" t="str">
        <x:v>Apartment</x:v>
      </x:c>
      <x:c r="E545" s="4" t="str">
        <x:v>Enquiry</x:v>
      </x:c>
      <x:c r="F545" s="4" t="str">
        <x:v>CUS-00544</x:v>
      </x:c>
      <x:c r="G545" s="4" t="str">
        <x:v>UNIT-00544</x:v>
      </x:c>
      <x:c r="H545" s="9" t="n">
        <x:v>11900000</x:v>
      </x:c>
      <x:c r="I545" s="10" t="n">
        <x:v>0.12</x:v>
      </x:c>
      <x:c r="J545" s="11" t="n">
        <x:v>9</x:v>
      </x:c>
      <x:c r="K545" s="11" t="n">
        <x:v>8</x:v>
      </x:c>
      <x:c r="L545" s="11" t="n">
        <x:v>0</x:v>
      </x:c>
      <x:c r="M545" s="9" t="n">
        <x:f>ROUND(H545*(1-I545),2)</x:f>
        <x:v>10472000</x:v>
      </x:c>
      <x:c r="N545" s="4" t="str">
        <x:v>Sales head</x:v>
      </x:c>
      <x:c r="O545" s="4"/>
      <x:c r="P545" s="9" t="n">
        <x:v>0</x:v>
      </x:c>
      <x:c r="Q545" s="11" t="n">
        <x:v>1</x:v>
      </x:c>
      <x:c r="R545" s="8" t="n">
        <x:v>45394</x:v>
      </x:c>
      <x:c r="S545" s="4" t="str">
        <x:v>Lost / cancelled</x:v>
      </x:c>
      <x:c r="T545" s="10" t="n">
        <x:v>0.310195</x:v>
      </x:c>
      <x:c r="U545" s="4" t="str">
        <x:v>Train</x:v>
      </x:c>
    </x:row>
    <x:row r="546" ht="34" customHeight="1">
      <x:c r="A546" s="4" t="str">
        <x:v>RS-00545</x:v>
      </x:c>
      <x:c r="B546" s="8" t="n">
        <x:v>45335</x:v>
      </x:c>
      <x:c r="C546" s="4" t="str">
        <x:v>PRJ-005</x:v>
      </x:c>
      <x:c r="D546" s="4" t="str">
        <x:v>Villa</x:v>
      </x:c>
      <x:c r="E546" s="4" t="str">
        <x:v>Handed over</x:v>
      </x:c>
      <x:c r="F546" s="4" t="str">
        <x:v>CUS-00545</x:v>
      </x:c>
      <x:c r="G546" s="4" t="str">
        <x:v>UNIT-00545</x:v>
      </x:c>
      <x:c r="H546" s="9" t="n">
        <x:v>18200000</x:v>
      </x:c>
      <x:c r="I546" s="10" t="n">
        <x:v>0.11</x:v>
      </x:c>
      <x:c r="J546" s="11" t="n">
        <x:v>5</x:v>
      </x:c>
      <x:c r="K546" s="11" t="n">
        <x:v>9</x:v>
      </x:c>
      <x:c r="L546" s="11" t="n">
        <x:v>1</x:v>
      </x:c>
      <x:c r="M546" s="9" t="n">
        <x:f>ROUND(H546*(1-I546),2)</x:f>
        <x:v>16198000</x:v>
      </x:c>
      <x:c r="N546" s="4" t="str">
        <x:v>Sales head</x:v>
      </x:c>
      <x:c r="O546" s="4" t="str">
        <x:v>BOOK-00545</x:v>
      </x:c>
      <x:c r="P546" s="9" t="n">
        <x:v>8099000</x:v>
      </x:c>
      <x:c r="Q546" s="11" t="n">
        <x:v>0</x:v>
      </x:c>
      <x:c r="R546" s="8" t="n">
        <x:v>45395</x:v>
      </x:c>
      <x:c r="S546" s="4" t="str">
        <x:v>Retained</x:v>
      </x:c>
      <x:c r="T546" s="10" t="n">
        <x:v>0.291946</x:v>
      </x:c>
      <x:c r="U546" s="4" t="str">
        <x:v>Train</x:v>
      </x:c>
    </x:row>
    <x:row r="547" ht="34" customHeight="1">
      <x:c r="A547" s="4" t="str">
        <x:v>RS-00546</x:v>
      </x:c>
      <x:c r="B547" s="8" t="n">
        <x:v>45336</x:v>
      </x:c>
      <x:c r="C547" s="4" t="str">
        <x:v>PRJ-006</x:v>
      </x:c>
      <x:c r="D547" s="4" t="str">
        <x:v>Office</x:v>
      </x:c>
      <x:c r="E547" s="4" t="str">
        <x:v>Enquiry</x:v>
      </x:c>
      <x:c r="F547" s="4" t="str">
        <x:v>CUS-00546</x:v>
      </x:c>
      <x:c r="G547" s="4" t="str">
        <x:v>UNIT-00546</x:v>
      </x:c>
      <x:c r="H547" s="9" t="n">
        <x:v>5400000</x:v>
      </x:c>
      <x:c r="I547" s="10" t="n">
        <x:v>0.08</x:v>
      </x:c>
      <x:c r="J547" s="11" t="n">
        <x:v>10</x:v>
      </x:c>
      <x:c r="K547" s="11" t="n">
        <x:v>3</x:v>
      </x:c>
      <x:c r="L547" s="11" t="n">
        <x:v>0</x:v>
      </x:c>
      <x:c r="M547" s="9" t="n">
        <x:f>ROUND(H547*(1-I547),2)</x:f>
        <x:v>4968000</x:v>
      </x:c>
      <x:c r="N547" s="4" t="str">
        <x:v>Sales head</x:v>
      </x:c>
      <x:c r="O547" s="4"/>
      <x:c r="P547" s="9" t="n">
        <x:v>0</x:v>
      </x:c>
      <x:c r="Q547" s="11" t="n">
        <x:v>0</x:v>
      </x:c>
      <x:c r="R547" s="8" t="n">
        <x:v>45396</x:v>
      </x:c>
      <x:c r="S547" s="4" t="str">
        <x:v>Retained</x:v>
      </x:c>
      <x:c r="T547" s="10" t="n">
        <x:v>0.310195</x:v>
      </x:c>
      <x:c r="U547" s="4" t="str">
        <x:v>Train</x:v>
      </x:c>
    </x:row>
    <x:row r="548" ht="34" customHeight="1">
      <x:c r="A548" s="4" t="str">
        <x:v>RS-00547</x:v>
      </x:c>
      <x:c r="B548" s="8" t="n">
        <x:v>45337</x:v>
      </x:c>
      <x:c r="C548" s="4" t="str">
        <x:v>PRJ-007</x:v>
      </x:c>
      <x:c r="D548" s="4" t="str">
        <x:v>Apartment</x:v>
      </x:c>
      <x:c r="E548" s="4" t="str">
        <x:v>Booked</x:v>
      </x:c>
      <x:c r="F548" s="4" t="str">
        <x:v>CUS-00547</x:v>
      </x:c>
      <x:c r="G548" s="4" t="str">
        <x:v>UNIT-00547</x:v>
      </x:c>
      <x:c r="H548" s="9" t="n">
        <x:v>5300000</x:v>
      </x:c>
      <x:c r="I548" s="10" t="n">
        <x:v>0.05</x:v>
      </x:c>
      <x:c r="J548" s="11" t="n">
        <x:v>4</x:v>
      </x:c>
      <x:c r="K548" s="11" t="n">
        <x:v>2</x:v>
      </x:c>
      <x:c r="L548" s="11" t="n">
        <x:v>0</x:v>
      </x:c>
      <x:c r="M548" s="9" t="n">
        <x:f>ROUND(H548*(1-I548),2)</x:f>
        <x:v>5035000</x:v>
      </x:c>
      <x:c r="N548" s="4" t="str">
        <x:v>Sales manager</x:v>
      </x:c>
      <x:c r="O548" s="4" t="str">
        <x:v>BOOK-00547</x:v>
      </x:c>
      <x:c r="P548" s="9" t="n">
        <x:v>2517500</x:v>
      </x:c>
      <x:c r="Q548" s="11" t="n">
        <x:v>0</x:v>
      </x:c>
      <x:c r="R548" s="8" t="n">
        <x:v>45397</x:v>
      </x:c>
      <x:c r="S548" s="4" t="str">
        <x:v>Retained</x:v>
      </x:c>
      <x:c r="T548" s="10" t="n">
        <x:v>0.226277</x:v>
      </x:c>
      <x:c r="U548" s="4" t="str">
        <x:v>Train</x:v>
      </x:c>
    </x:row>
    <x:row r="549" ht="34" customHeight="1">
      <x:c r="A549" s="4" t="str">
        <x:v>RS-00548</x:v>
      </x:c>
      <x:c r="B549" s="8" t="n">
        <x:v>45338</x:v>
      </x:c>
      <x:c r="C549" s="4" t="str">
        <x:v>PRJ-008</x:v>
      </x:c>
      <x:c r="D549" s="4" t="str">
        <x:v>Villa</x:v>
      </x:c>
      <x:c r="E549" s="4" t="str">
        <x:v>Handed over</x:v>
      </x:c>
      <x:c r="F549" s="4" t="str">
        <x:v>CUS-00548</x:v>
      </x:c>
      <x:c r="G549" s="4" t="str">
        <x:v>UNIT-00548</x:v>
      </x:c>
      <x:c r="H549" s="9" t="n">
        <x:v>7700000</x:v>
      </x:c>
      <x:c r="I549" s="10" t="n">
        <x:v>0.11</x:v>
      </x:c>
      <x:c r="J549" s="11" t="n">
        <x:v>12</x:v>
      </x:c>
      <x:c r="K549" s="11" t="n">
        <x:v>4</x:v>
      </x:c>
      <x:c r="L549" s="11" t="n">
        <x:v>1</x:v>
      </x:c>
      <x:c r="M549" s="9" t="n">
        <x:f>ROUND(H549*(1-I549),2)</x:f>
        <x:v>6853000</x:v>
      </x:c>
      <x:c r="N549" s="4" t="str">
        <x:v>Sales head</x:v>
      </x:c>
      <x:c r="O549" s="4" t="str">
        <x:v>BOOK-00548</x:v>
      </x:c>
      <x:c r="P549" s="9" t="n">
        <x:v>6853000</x:v>
      </x:c>
      <x:c r="Q549" s="11" t="n">
        <x:v>0</x:v>
      </x:c>
      <x:c r="R549" s="8" t="n">
        <x:v>45398</x:v>
      </x:c>
      <x:c r="S549" s="4" t="str">
        <x:v>Retained</x:v>
      </x:c>
      <x:c r="T549" s="10" t="n">
        <x:v>0.351536</x:v>
      </x:c>
      <x:c r="U549" s="4" t="str">
        <x:v>Train</x:v>
      </x:c>
    </x:row>
    <x:row r="550" ht="34" customHeight="1">
      <x:c r="A550" s="4" t="str">
        <x:v>RS-00549</x:v>
      </x:c>
      <x:c r="B550" s="8" t="n">
        <x:v>45339</x:v>
      </x:c>
      <x:c r="C550" s="4" t="str">
        <x:v>PRJ-009</x:v>
      </x:c>
      <x:c r="D550" s="4" t="str">
        <x:v>Office</x:v>
      </x:c>
      <x:c r="E550" s="4" t="str">
        <x:v>Cancelled</x:v>
      </x:c>
      <x:c r="F550" s="4" t="str">
        <x:v>CUS-00549</x:v>
      </x:c>
      <x:c r="G550" s="4" t="str">
        <x:v>UNIT-00549</x:v>
      </x:c>
      <x:c r="H550" s="9" t="n">
        <x:v>4700000</x:v>
      </x:c>
      <x:c r="I550" s="10" t="n">
        <x:v>0.11</x:v>
      </x:c>
      <x:c r="J550" s="11" t="n">
        <x:v>6</x:v>
      </x:c>
      <x:c r="K550" s="11" t="n">
        <x:v>1</x:v>
      </x:c>
      <x:c r="L550" s="11" t="n">
        <x:v>0</x:v>
      </x:c>
      <x:c r="M550" s="9" t="n">
        <x:f>ROUND(H550*(1-I550),2)</x:f>
        <x:v>4183000</x:v>
      </x:c>
      <x:c r="N550" s="4" t="str">
        <x:v>Sales head</x:v>
      </x:c>
      <x:c r="O550" s="4"/>
      <x:c r="P550" s="9" t="n">
        <x:v>0</x:v>
      </x:c>
      <x:c r="Q550" s="11" t="n">
        <x:v>1</x:v>
      </x:c>
      <x:c r="R550" s="8" t="n">
        <x:v>45399</x:v>
      </x:c>
      <x:c r="S550" s="4" t="str">
        <x:v>Lost / cancelled</x:v>
      </x:c>
      <x:c r="T550" s="10" t="n">
        <x:v>0.226277</x:v>
      </x:c>
      <x:c r="U550" s="4" t="str">
        <x:v>Train</x:v>
      </x:c>
    </x:row>
    <x:row r="551" ht="34" customHeight="1">
      <x:c r="A551" s="4" t="str">
        <x:v>RS-00550</x:v>
      </x:c>
      <x:c r="B551" s="8" t="n">
        <x:v>45340</x:v>
      </x:c>
      <x:c r="C551" s="4" t="str">
        <x:v>PRJ-010</x:v>
      </x:c>
      <x:c r="D551" s="4" t="str">
        <x:v>Office</x:v>
      </x:c>
      <x:c r="E551" s="4" t="str">
        <x:v>Reserved</x:v>
      </x:c>
      <x:c r="F551" s="4" t="str">
        <x:v>CUS-00550</x:v>
      </x:c>
      <x:c r="G551" s="4" t="str">
        <x:v>UNIT-00550</x:v>
      </x:c>
      <x:c r="H551" s="9" t="n">
        <x:v>15900000</x:v>
      </x:c>
      <x:c r="I551" s="10" t="n">
        <x:v>0.01</x:v>
      </x:c>
      <x:c r="J551" s="11" t="n">
        <x:v>8</x:v>
      </x:c>
      <x:c r="K551" s="11" t="n">
        <x:v>4</x:v>
      </x:c>
      <x:c r="L551" s="11" t="n">
        <x:v>0</x:v>
      </x:c>
      <x:c r="M551" s="9" t="n">
        <x:f>ROUND(H551*(1-I551),2)</x:f>
        <x:v>15741000</x:v>
      </x:c>
      <x:c r="N551" s="4" t="str">
        <x:v>Sales manager</x:v>
      </x:c>
      <x:c r="O551" s="4"/>
      <x:c r="P551" s="9" t="n">
        <x:v>0</x:v>
      </x:c>
      <x:c r="Q551" s="11" t="n">
        <x:v>1</x:v>
      </x:c>
      <x:c r="R551" s="8" t="n">
        <x:v>45400</x:v>
      </x:c>
      <x:c r="S551" s="4" t="str">
        <x:v>Lost / cancelled</x:v>
      </x:c>
      <x:c r="T551" s="10" t="n">
        <x:v>0.305556</x:v>
      </x:c>
      <x:c r="U551" s="4" t="str">
        <x:v>Train</x:v>
      </x:c>
    </x:row>
    <x:row r="552" ht="34" customHeight="1">
      <x:c r="A552" s="4" t="str">
        <x:v>RS-00551</x:v>
      </x:c>
      <x:c r="B552" s="8" t="n">
        <x:v>45341</x:v>
      </x:c>
      <x:c r="C552" s="4" t="str">
        <x:v>PRJ-011</x:v>
      </x:c>
      <x:c r="D552" s="4" t="str">
        <x:v>Office</x:v>
      </x:c>
      <x:c r="E552" s="4" t="str">
        <x:v>Enquiry</x:v>
      </x:c>
      <x:c r="F552" s="4" t="str">
        <x:v>CUS-00551</x:v>
      </x:c>
      <x:c r="G552" s="4" t="str">
        <x:v>UNIT-00551</x:v>
      </x:c>
      <x:c r="H552" s="9" t="n">
        <x:v>4800000</x:v>
      </x:c>
      <x:c r="I552" s="10" t="n">
        <x:v>0.05</x:v>
      </x:c>
      <x:c r="J552" s="11" t="n">
        <x:v>7</x:v>
      </x:c>
      <x:c r="K552" s="11" t="n">
        <x:v>0</x:v>
      </x:c>
      <x:c r="L552" s="11" t="n">
        <x:v>0</x:v>
      </x:c>
      <x:c r="M552" s="9" t="n">
        <x:f>ROUND(H552*(1-I552),2)</x:f>
        <x:v>4560000</x:v>
      </x:c>
      <x:c r="N552" s="4" t="str">
        <x:v>Sales manager</x:v>
      </x:c>
      <x:c r="O552" s="4"/>
      <x:c r="P552" s="9" t="n">
        <x:v>0</x:v>
      </x:c>
      <x:c r="Q552" s="11" t="n">
        <x:v>0</x:v>
      </x:c>
      <x:c r="R552" s="8" t="n">
        <x:v>45401</x:v>
      </x:c>
      <x:c r="S552" s="4" t="str">
        <x:v>Retained</x:v>
      </x:c>
      <x:c r="T552" s="10" t="n">
        <x:v>0.226277</x:v>
      </x:c>
      <x:c r="U552" s="4" t="str">
        <x:v>Train</x:v>
      </x:c>
    </x:row>
    <x:row r="553" ht="34" customHeight="1">
      <x:c r="A553" s="4" t="str">
        <x:v>RS-00552</x:v>
      </x:c>
      <x:c r="B553" s="8" t="n">
        <x:v>45342</x:v>
      </x:c>
      <x:c r="C553" s="4" t="str">
        <x:v>PRJ-012</x:v>
      </x:c>
      <x:c r="D553" s="4" t="str">
        <x:v>Villa</x:v>
      </x:c>
      <x:c r="E553" s="4" t="str">
        <x:v>Handed over</x:v>
      </x:c>
      <x:c r="F553" s="4" t="str">
        <x:v>CUS-00552</x:v>
      </x:c>
      <x:c r="G553" s="4" t="str">
        <x:v>UNIT-00552</x:v>
      </x:c>
      <x:c r="H553" s="9" t="n">
        <x:v>6400000</x:v>
      </x:c>
      <x:c r="I553" s="10" t="n">
        <x:v>0.03</x:v>
      </x:c>
      <x:c r="J553" s="11" t="n">
        <x:v>0</x:v>
      </x:c>
      <x:c r="K553" s="11" t="n">
        <x:v>7</x:v>
      </x:c>
      <x:c r="L553" s="11" t="n">
        <x:v>1</x:v>
      </x:c>
      <x:c r="M553" s="9" t="n">
        <x:f>ROUND(H553*(1-I553),2)</x:f>
        <x:v>6208000</x:v>
      </x:c>
      <x:c r="N553" s="4" t="str">
        <x:v>Sales manager</x:v>
      </x:c>
      <x:c r="O553" s="4" t="str">
        <x:v>BOOK-00552</x:v>
      </x:c>
      <x:c r="P553" s="9" t="n">
        <x:v>6208000</x:v>
      </x:c>
      <x:c r="Q553" s="11" t="n">
        <x:v>0</x:v>
      </x:c>
      <x:c r="R553" s="8" t="n">
        <x:v>45402</x:v>
      </x:c>
      <x:c r="S553" s="4" t="str">
        <x:v>Retained</x:v>
      </x:c>
      <x:c r="T553" s="10" t="n">
        <x:v>0.072165</x:v>
      </x:c>
      <x:c r="U553" s="4" t="str">
        <x:v>Train</x:v>
      </x:c>
    </x:row>
    <x:row r="554" ht="34" customHeight="1">
      <x:c r="A554" s="4" t="str">
        <x:v>RS-00553</x:v>
      </x:c>
      <x:c r="B554" s="8" t="n">
        <x:v>45343</x:v>
      </x:c>
      <x:c r="C554" s="4" t="str">
        <x:v>PRJ-013</x:v>
      </x:c>
      <x:c r="D554" s="4" t="str">
        <x:v>Office</x:v>
      </x:c>
      <x:c r="E554" s="4" t="str">
        <x:v>Enquiry</x:v>
      </x:c>
      <x:c r="F554" s="4" t="str">
        <x:v>CUS-00553</x:v>
      </x:c>
      <x:c r="G554" s="4" t="str">
        <x:v>UNIT-00553</x:v>
      </x:c>
      <x:c r="H554" s="9" t="n">
        <x:v>25000000</x:v>
      </x:c>
      <x:c r="I554" s="10" t="n">
        <x:v>0.05</x:v>
      </x:c>
      <x:c r="J554" s="11" t="n">
        <x:v>8</x:v>
      </x:c>
      <x:c r="K554" s="11" t="n">
        <x:v>6</x:v>
      </x:c>
      <x:c r="L554" s="11" t="n">
        <x:v>0</x:v>
      </x:c>
      <x:c r="M554" s="9" t="n">
        <x:f>ROUND(H554*(1-I554),2)</x:f>
        <x:v>23750000</x:v>
      </x:c>
      <x:c r="N554" s="4" t="str">
        <x:v>Sales manager</x:v>
      </x:c>
      <x:c r="O554" s="4"/>
      <x:c r="P554" s="9" t="n">
        <x:v>0</x:v>
      </x:c>
      <x:c r="Q554" s="11" t="n">
        <x:v>0</x:v>
      </x:c>
      <x:c r="R554" s="8" t="n">
        <x:v>45403</x:v>
      </x:c>
      <x:c r="S554" s="4" t="str">
        <x:v>Retained</x:v>
      </x:c>
      <x:c r="T554" s="10" t="n">
        <x:v>0.310195</x:v>
      </x:c>
      <x:c r="U554" s="4" t="str">
        <x:v>Train</x:v>
      </x:c>
    </x:row>
    <x:row r="555" ht="34" customHeight="1">
      <x:c r="A555" s="4" t="str">
        <x:v>RS-00554</x:v>
      </x:c>
      <x:c r="B555" s="8" t="n">
        <x:v>45344</x:v>
      </x:c>
      <x:c r="C555" s="4" t="str">
        <x:v>PRJ-014</x:v>
      </x:c>
      <x:c r="D555" s="4" t="str">
        <x:v>Villa</x:v>
      </x:c>
      <x:c r="E555" s="4" t="str">
        <x:v>Enquiry</x:v>
      </x:c>
      <x:c r="F555" s="4" t="str">
        <x:v>CUS-00554</x:v>
      </x:c>
      <x:c r="G555" s="4" t="str">
        <x:v>UNIT-00554</x:v>
      </x:c>
      <x:c r="H555" s="9" t="n">
        <x:v>4700000</x:v>
      </x:c>
      <x:c r="I555" s="10" t="n">
        <x:v>0.1</x:v>
      </x:c>
      <x:c r="J555" s="11" t="n">
        <x:v>5</x:v>
      </x:c>
      <x:c r="K555" s="11" t="n">
        <x:v>10</x:v>
      </x:c>
      <x:c r="L555" s="11" t="n">
        <x:v>0</x:v>
      </x:c>
      <x:c r="M555" s="9" t="n">
        <x:f>ROUND(H555*(1-I555),2)</x:f>
        <x:v>4230000</x:v>
      </x:c>
      <x:c r="N555" s="4" t="str">
        <x:v>Sales head</x:v>
      </x:c>
      <x:c r="O555" s="4"/>
      <x:c r="P555" s="9" t="n">
        <x:v>0</x:v>
      </x:c>
      <x:c r="Q555" s="11" t="n">
        <x:v>0</x:v>
      </x:c>
      <x:c r="R555" s="8" t="n">
        <x:v>45404</x:v>
      </x:c>
      <x:c r="S555" s="4" t="str">
        <x:v>Retained</x:v>
      </x:c>
      <x:c r="T555" s="10" t="n">
        <x:v>0.226277</x:v>
      </x:c>
      <x:c r="U555" s="4" t="str">
        <x:v>Train</x:v>
      </x:c>
    </x:row>
    <x:row r="556" ht="34" customHeight="1">
      <x:c r="A556" s="4" t="str">
        <x:v>RS-00555</x:v>
      </x:c>
      <x:c r="B556" s="8" t="n">
        <x:v>45345</x:v>
      </x:c>
      <x:c r="C556" s="4" t="str">
        <x:v>PRJ-015</x:v>
      </x:c>
      <x:c r="D556" s="4" t="str">
        <x:v>Apartment</x:v>
      </x:c>
      <x:c r="E556" s="4" t="str">
        <x:v>Enquiry</x:v>
      </x:c>
      <x:c r="F556" s="4" t="str">
        <x:v>CUS-00555</x:v>
      </x:c>
      <x:c r="G556" s="4" t="str">
        <x:v>UNIT-00555</x:v>
      </x:c>
      <x:c r="H556" s="9" t="n">
        <x:v>22700000</x:v>
      </x:c>
      <x:c r="I556" s="10" t="n">
        <x:v>0.08</x:v>
      </x:c>
      <x:c r="J556" s="11" t="n">
        <x:v>5</x:v>
      </x:c>
      <x:c r="K556" s="11" t="n">
        <x:v>10</x:v>
      </x:c>
      <x:c r="L556" s="11" t="n">
        <x:v>0</x:v>
      </x:c>
      <x:c r="M556" s="9" t="n">
        <x:f>ROUND(H556*(1-I556),2)</x:f>
        <x:v>20884000</x:v>
      </x:c>
      <x:c r="N556" s="4" t="str">
        <x:v>Sales head</x:v>
      </x:c>
      <x:c r="O556" s="4"/>
      <x:c r="P556" s="9" t="n">
        <x:v>0</x:v>
      </x:c>
      <x:c r="Q556" s="11" t="n">
        <x:v>0</x:v>
      </x:c>
      <x:c r="R556" s="8" t="n">
        <x:v>45405</x:v>
      </x:c>
      <x:c r="S556" s="4" t="str">
        <x:v>Retained</x:v>
      </x:c>
      <x:c r="T556" s="10" t="n">
        <x:v>0.226277</x:v>
      </x:c>
      <x:c r="U556" s="4" t="str">
        <x:v>Train</x:v>
      </x:c>
    </x:row>
    <x:row r="557" ht="34" customHeight="1">
      <x:c r="A557" s="4" t="str">
        <x:v>RS-00556</x:v>
      </x:c>
      <x:c r="B557" s="8" t="n">
        <x:v>45346</x:v>
      </x:c>
      <x:c r="C557" s="4" t="str">
        <x:v>PRJ-016</x:v>
      </x:c>
      <x:c r="D557" s="4" t="str">
        <x:v>Retail</x:v>
      </x:c>
      <x:c r="E557" s="4" t="str">
        <x:v>Enquiry</x:v>
      </x:c>
      <x:c r="F557" s="4" t="str">
        <x:v>CUS-00556</x:v>
      </x:c>
      <x:c r="G557" s="4" t="str">
        <x:v>UNIT-00556</x:v>
      </x:c>
      <x:c r="H557" s="9" t="n">
        <x:v>3200000</x:v>
      </x:c>
      <x:c r="I557" s="10" t="n">
        <x:v>0.02</x:v>
      </x:c>
      <x:c r="J557" s="11" t="n">
        <x:v>10</x:v>
      </x:c>
      <x:c r="K557" s="11" t="n">
        <x:v>0</x:v>
      </x:c>
      <x:c r="L557" s="11" t="n">
        <x:v>0</x:v>
      </x:c>
      <x:c r="M557" s="9" t="n">
        <x:f>ROUND(H557*(1-I557),2)</x:f>
        <x:v>3136000</x:v>
      </x:c>
      <x:c r="N557" s="4" t="str">
        <x:v>Sales manager</x:v>
      </x:c>
      <x:c r="O557" s="4"/>
      <x:c r="P557" s="9" t="n">
        <x:v>0</x:v>
      </x:c>
      <x:c r="Q557" s="11" t="n">
        <x:v>0</x:v>
      </x:c>
      <x:c r="R557" s="8" t="n">
        <x:v>45406</x:v>
      </x:c>
      <x:c r="S557" s="4" t="str">
        <x:v>Retained</x:v>
      </x:c>
      <x:c r="T557" s="10" t="n">
        <x:v>0.305556</x:v>
      </x:c>
      <x:c r="U557" s="4" t="str">
        <x:v>Train</x:v>
      </x:c>
    </x:row>
    <x:row r="558" ht="34" customHeight="1">
      <x:c r="A558" s="4" t="str">
        <x:v>RS-00557</x:v>
      </x:c>
      <x:c r="B558" s="8" t="n">
        <x:v>45347</x:v>
      </x:c>
      <x:c r="C558" s="4" t="str">
        <x:v>PRJ-017</x:v>
      </x:c>
      <x:c r="D558" s="4" t="str">
        <x:v>Retail</x:v>
      </x:c>
      <x:c r="E558" s="4" t="str">
        <x:v>Reserved</x:v>
      </x:c>
      <x:c r="F558" s="4" t="str">
        <x:v>CUS-00557</x:v>
      </x:c>
      <x:c r="G558" s="4" t="str">
        <x:v>UNIT-00557</x:v>
      </x:c>
      <x:c r="H558" s="9" t="n">
        <x:v>24500000</x:v>
      </x:c>
      <x:c r="I558" s="10" t="n">
        <x:v>0.11</x:v>
      </x:c>
      <x:c r="J558" s="11" t="n">
        <x:v>11</x:v>
      </x:c>
      <x:c r="K558" s="11" t="n">
        <x:v>10</x:v>
      </x:c>
      <x:c r="L558" s="11" t="n">
        <x:v>1</x:v>
      </x:c>
      <x:c r="M558" s="9" t="n">
        <x:f>ROUND(H558*(1-I558),2)</x:f>
        <x:v>21805000</x:v>
      </x:c>
      <x:c r="N558" s="4" t="str">
        <x:v>Sales head</x:v>
      </x:c>
      <x:c r="O558" s="4"/>
      <x:c r="P558" s="9" t="n">
        <x:v>0</x:v>
      </x:c>
      <x:c r="Q558" s="11" t="n">
        <x:v>0</x:v>
      </x:c>
      <x:c r="R558" s="8" t="n">
        <x:v>45407</x:v>
      </x:c>
      <x:c r="S558" s="4" t="str">
        <x:v>Retained</x:v>
      </x:c>
      <x:c r="T558" s="10" t="n">
        <x:v>0.351536</x:v>
      </x:c>
      <x:c r="U558" s="4" t="str">
        <x:v>Train</x:v>
      </x:c>
    </x:row>
    <x:row r="559" ht="34" customHeight="1">
      <x:c r="A559" s="4" t="str">
        <x:v>RS-00558</x:v>
      </x:c>
      <x:c r="B559" s="8" t="n">
        <x:v>45348</x:v>
      </x:c>
      <x:c r="C559" s="4" t="str">
        <x:v>PRJ-018</x:v>
      </x:c>
      <x:c r="D559" s="4" t="str">
        <x:v>Office</x:v>
      </x:c>
      <x:c r="E559" s="4" t="str">
        <x:v>Booked</x:v>
      </x:c>
      <x:c r="F559" s="4" t="str">
        <x:v>CUS-00558</x:v>
      </x:c>
      <x:c r="G559" s="4" t="str">
        <x:v>UNIT-00558</x:v>
      </x:c>
      <x:c r="H559" s="9" t="n">
        <x:v>20600000</x:v>
      </x:c>
      <x:c r="I559" s="10" t="n">
        <x:v>0.08</x:v>
      </x:c>
      <x:c r="J559" s="11" t="n">
        <x:v>12</x:v>
      </x:c>
      <x:c r="K559" s="11" t="n">
        <x:v>10</x:v>
      </x:c>
      <x:c r="L559" s="11" t="n">
        <x:v>0</x:v>
      </x:c>
      <x:c r="M559" s="9" t="n">
        <x:f>ROUND(H559*(1-I559),2)</x:f>
        <x:v>18952000</x:v>
      </x:c>
      <x:c r="N559" s="4" t="str">
        <x:v>Sales head</x:v>
      </x:c>
      <x:c r="O559" s="4" t="str">
        <x:v>BOOK-00558</x:v>
      </x:c>
      <x:c r="P559" s="9" t="n">
        <x:v>9476000</x:v>
      </x:c>
      <x:c r="Q559" s="11" t="n">
        <x:v>0</x:v>
      </x:c>
      <x:c r="R559" s="8" t="n">
        <x:v>45408</x:v>
      </x:c>
      <x:c r="S559" s="4" t="str">
        <x:v>Retained</x:v>
      </x:c>
      <x:c r="T559" s="10" t="n">
        <x:v>0.351536</x:v>
      </x:c>
      <x:c r="U559" s="4" t="str">
        <x:v>Train</x:v>
      </x:c>
    </x:row>
    <x:row r="560" ht="34" customHeight="1">
      <x:c r="A560" s="4" t="str">
        <x:v>RS-00559</x:v>
      </x:c>
      <x:c r="B560" s="8" t="n">
        <x:v>45349</x:v>
      </x:c>
      <x:c r="C560" s="4" t="str">
        <x:v>PRJ-019</x:v>
      </x:c>
      <x:c r="D560" s="4" t="str">
        <x:v>Retail</x:v>
      </x:c>
      <x:c r="E560" s="4" t="str">
        <x:v>Cancelled</x:v>
      </x:c>
      <x:c r="F560" s="4" t="str">
        <x:v>CUS-00559</x:v>
      </x:c>
      <x:c r="G560" s="4" t="str">
        <x:v>UNIT-00559</x:v>
      </x:c>
      <x:c r="H560" s="9" t="n">
        <x:v>22600000</x:v>
      </x:c>
      <x:c r="I560" s="10" t="n">
        <x:v>0.06</x:v>
      </x:c>
      <x:c r="J560" s="11" t="n">
        <x:v>9</x:v>
      </x:c>
      <x:c r="K560" s="11" t="n">
        <x:v>1</x:v>
      </x:c>
      <x:c r="L560" s="11" t="n">
        <x:v>1</x:v>
      </x:c>
      <x:c r="M560" s="9" t="n">
        <x:f>ROUND(H560*(1-I560),2)</x:f>
        <x:v>21244000</x:v>
      </x:c>
      <x:c r="N560" s="4" t="str">
        <x:v>Sales manager</x:v>
      </x:c>
      <x:c r="O560" s="4"/>
      <x:c r="P560" s="9" t="n">
        <x:v>0</x:v>
      </x:c>
      <x:c r="Q560" s="11" t="n">
        <x:v>1</x:v>
      </x:c>
      <x:c r="R560" s="8" t="n">
        <x:v>45409</x:v>
      </x:c>
      <x:c r="S560" s="4" t="str">
        <x:v>Lost / cancelled</x:v>
      </x:c>
      <x:c r="T560" s="10" t="n">
        <x:v>0.310195</x:v>
      </x:c>
      <x:c r="U560" s="4" t="str">
        <x:v>Train</x:v>
      </x:c>
    </x:row>
    <x:row r="561" ht="34" customHeight="1">
      <x:c r="A561" s="4" t="str">
        <x:v>RS-00560</x:v>
      </x:c>
      <x:c r="B561" s="8" t="n">
        <x:v>45350</x:v>
      </x:c>
      <x:c r="C561" s="4" t="str">
        <x:v>PRJ-020</x:v>
      </x:c>
      <x:c r="D561" s="4" t="str">
        <x:v>Office</x:v>
      </x:c>
      <x:c r="E561" s="4" t="str">
        <x:v>Reserved</x:v>
      </x:c>
      <x:c r="F561" s="4" t="str">
        <x:v>CUS-00560</x:v>
      </x:c>
      <x:c r="G561" s="4" t="str">
        <x:v>UNIT-00560</x:v>
      </x:c>
      <x:c r="H561" s="9" t="n">
        <x:v>6700000</x:v>
      </x:c>
      <x:c r="I561" s="10" t="n">
        <x:v>0.02</x:v>
      </x:c>
      <x:c r="J561" s="11" t="n">
        <x:v>11</x:v>
      </x:c>
      <x:c r="K561" s="11" t="n">
        <x:v>8</x:v>
      </x:c>
      <x:c r="L561" s="11" t="n">
        <x:v>0</x:v>
      </x:c>
      <x:c r="M561" s="9" t="n">
        <x:f>ROUND(H561*(1-I561),2)</x:f>
        <x:v>6566000</x:v>
      </x:c>
      <x:c r="N561" s="4" t="str">
        <x:v>Sales manager</x:v>
      </x:c>
      <x:c r="O561" s="4"/>
      <x:c r="P561" s="9" t="n">
        <x:v>0</x:v>
      </x:c>
      <x:c r="Q561" s="11" t="n">
        <x:v>1</x:v>
      </x:c>
      <x:c r="R561" s="8" t="n">
        <x:v>45410</x:v>
      </x:c>
      <x:c r="S561" s="4" t="str">
        <x:v>Lost / cancelled</x:v>
      </x:c>
      <x:c r="T561" s="10" t="n">
        <x:v>0.305556</x:v>
      </x:c>
      <x:c r="U561" s="4" t="str">
        <x:v>Train</x:v>
      </x:c>
    </x:row>
    <x:row r="562" ht="34" customHeight="1">
      <x:c r="A562" s="4" t="str">
        <x:v>RS-00561</x:v>
      </x:c>
      <x:c r="B562" s="8" t="n">
        <x:v>45323</x:v>
      </x:c>
      <x:c r="C562" s="4" t="str">
        <x:v>PRJ-001</x:v>
      </x:c>
      <x:c r="D562" s="4" t="str">
        <x:v>Villa</x:v>
      </x:c>
      <x:c r="E562" s="4" t="str">
        <x:v>Enquiry</x:v>
      </x:c>
      <x:c r="F562" s="4" t="str">
        <x:v>CUS-00561</x:v>
      </x:c>
      <x:c r="G562" s="4" t="str">
        <x:v>UNIT-00561</x:v>
      </x:c>
      <x:c r="H562" s="9" t="n">
        <x:v>16000000</x:v>
      </x:c>
      <x:c r="I562" s="10" t="n">
        <x:v>0.09</x:v>
      </x:c>
      <x:c r="J562" s="11" t="n">
        <x:v>6</x:v>
      </x:c>
      <x:c r="K562" s="11" t="n">
        <x:v>5</x:v>
      </x:c>
      <x:c r="L562" s="11" t="n">
        <x:v>0</x:v>
      </x:c>
      <x:c r="M562" s="9" t="n">
        <x:f>ROUND(H562*(1-I562),2)</x:f>
        <x:v>14560000</x:v>
      </x:c>
      <x:c r="N562" s="4" t="str">
        <x:v>Sales head</x:v>
      </x:c>
      <x:c r="O562" s="4"/>
      <x:c r="P562" s="9" t="n">
        <x:v>0</x:v>
      </x:c>
      <x:c r="Q562" s="11" t="n">
        <x:v>0</x:v>
      </x:c>
      <x:c r="R562" s="8" t="n">
        <x:v>45383</x:v>
      </x:c>
      <x:c r="S562" s="4" t="str">
        <x:v>Retained</x:v>
      </x:c>
      <x:c r="T562" s="10" t="n">
        <x:v>0.226277</x:v>
      </x:c>
      <x:c r="U562" s="4" t="str">
        <x:v>Train</x:v>
      </x:c>
    </x:row>
    <x:row r="563" ht="34" customHeight="1">
      <x:c r="A563" s="4" t="str">
        <x:v>RS-00562</x:v>
      </x:c>
      <x:c r="B563" s="8" t="n">
        <x:v>45324</x:v>
      </x:c>
      <x:c r="C563" s="4" t="str">
        <x:v>PRJ-002</x:v>
      </x:c>
      <x:c r="D563" s="4" t="str">
        <x:v>Apartment</x:v>
      </x:c>
      <x:c r="E563" s="4" t="str">
        <x:v>Agreement signed</x:v>
      </x:c>
      <x:c r="F563" s="4" t="str">
        <x:v>CUS-00562</x:v>
      </x:c>
      <x:c r="G563" s="4" t="str">
        <x:v>UNIT-00562</x:v>
      </x:c>
      <x:c r="H563" s="9" t="n">
        <x:v>17700000</x:v>
      </x:c>
      <x:c r="I563" s="10" t="n">
        <x:v>0.07</x:v>
      </x:c>
      <x:c r="J563" s="11" t="n">
        <x:v>3</x:v>
      </x:c>
      <x:c r="K563" s="11" t="n">
        <x:v>7</x:v>
      </x:c>
      <x:c r="L563" s="11" t="n">
        <x:v>1</x:v>
      </x:c>
      <x:c r="M563" s="9" t="n">
        <x:f>ROUND(H563*(1-I563),2)</x:f>
        <x:v>16461000</x:v>
      </x:c>
      <x:c r="N563" s="4" t="str">
        <x:v>Sales manager</x:v>
      </x:c>
      <x:c r="O563" s="4" t="str">
        <x:v>BOOK-00562</x:v>
      </x:c>
      <x:c r="P563" s="9" t="n">
        <x:v>16461000</x:v>
      </x:c>
      <x:c r="Q563" s="11" t="n">
        <x:v>0</x:v>
      </x:c>
      <x:c r="R563" s="8" t="n">
        <x:v>45384</x:v>
      </x:c>
      <x:c r="S563" s="4" t="str">
        <x:v>Retained</x:v>
      </x:c>
      <x:c r="T563" s="10" t="n">
        <x:v>0.204152</x:v>
      </x:c>
      <x:c r="U563" s="4" t="str">
        <x:v>Train</x:v>
      </x:c>
    </x:row>
    <x:row r="564" ht="34" customHeight="1">
      <x:c r="A564" s="4" t="str">
        <x:v>RS-00563</x:v>
      </x:c>
      <x:c r="B564" s="8" t="n">
        <x:v>45325</x:v>
      </x:c>
      <x:c r="C564" s="4" t="str">
        <x:v>PRJ-003</x:v>
      </x:c>
      <x:c r="D564" s="4" t="str">
        <x:v>Retail</x:v>
      </x:c>
      <x:c r="E564" s="4" t="str">
        <x:v>Enquiry</x:v>
      </x:c>
      <x:c r="F564" s="4" t="str">
        <x:v>CUS-00563</x:v>
      </x:c>
      <x:c r="G564" s="4" t="str">
        <x:v>UNIT-00563</x:v>
      </x:c>
      <x:c r="H564" s="9" t="n">
        <x:v>23500000</x:v>
      </x:c>
      <x:c r="I564" s="10" t="n">
        <x:v>0.08</x:v>
      </x:c>
      <x:c r="J564" s="11" t="n">
        <x:v>7</x:v>
      </x:c>
      <x:c r="K564" s="11" t="n">
        <x:v>7</x:v>
      </x:c>
      <x:c r="L564" s="11" t="n">
        <x:v>0</x:v>
      </x:c>
      <x:c r="M564" s="9" t="n">
        <x:f>ROUND(H564*(1-I564),2)</x:f>
        <x:v>21620000</x:v>
      </x:c>
      <x:c r="N564" s="4" t="str">
        <x:v>Sales head</x:v>
      </x:c>
      <x:c r="O564" s="4"/>
      <x:c r="P564" s="9" t="n">
        <x:v>0</x:v>
      </x:c>
      <x:c r="Q564" s="11" t="n">
        <x:v>0</x:v>
      </x:c>
      <x:c r="R564" s="8" t="n">
        <x:v>45385</x:v>
      </x:c>
      <x:c r="S564" s="4" t="str">
        <x:v>Retained</x:v>
      </x:c>
      <x:c r="T564" s="10" t="n">
        <x:v>0.226277</x:v>
      </x:c>
      <x:c r="U564" s="4" t="str">
        <x:v>Train</x:v>
      </x:c>
    </x:row>
    <x:row r="565" ht="34" customHeight="1">
      <x:c r="A565" s="4" t="str">
        <x:v>RS-00564</x:v>
      </x:c>
      <x:c r="B565" s="8" t="n">
        <x:v>45326</x:v>
      </x:c>
      <x:c r="C565" s="4" t="str">
        <x:v>PRJ-004</x:v>
      </x:c>
      <x:c r="D565" s="4" t="str">
        <x:v>Villa</x:v>
      </x:c>
      <x:c r="E565" s="4" t="str">
        <x:v>Reserved</x:v>
      </x:c>
      <x:c r="F565" s="4" t="str">
        <x:v>CUS-00564</x:v>
      </x:c>
      <x:c r="G565" s="4" t="str">
        <x:v>UNIT-00564</x:v>
      </x:c>
      <x:c r="H565" s="9" t="n">
        <x:v>11400000</x:v>
      </x:c>
      <x:c r="I565" s="10" t="n">
        <x:v>0.04</x:v>
      </x:c>
      <x:c r="J565" s="11" t="n">
        <x:v>12</x:v>
      </x:c>
      <x:c r="K565" s="11" t="n">
        <x:v>0</x:v>
      </x:c>
      <x:c r="L565" s="11" t="n">
        <x:v>1</x:v>
      </x:c>
      <x:c r="M565" s="9" t="n">
        <x:f>ROUND(H565*(1-I565),2)</x:f>
        <x:v>10944000</x:v>
      </x:c>
      <x:c r="N565" s="4" t="str">
        <x:v>Sales manager</x:v>
      </x:c>
      <x:c r="O565" s="4"/>
      <x:c r="P565" s="9" t="n">
        <x:v>0</x:v>
      </x:c>
      <x:c r="Q565" s="11" t="n">
        <x:v>1</x:v>
      </x:c>
      <x:c r="R565" s="8" t="n">
        <x:v>45386</x:v>
      </x:c>
      <x:c r="S565" s="4" t="str">
        <x:v>Lost / cancelled</x:v>
      </x:c>
      <x:c r="T565" s="10" t="n">
        <x:v>0.351536</x:v>
      </x:c>
      <x:c r="U565" s="4" t="str">
        <x:v>Train</x:v>
      </x:c>
    </x:row>
    <x:row r="566" ht="34" customHeight="1">
      <x:c r="A566" s="4" t="str">
        <x:v>RS-00565</x:v>
      </x:c>
      <x:c r="B566" s="8" t="n">
        <x:v>45327</x:v>
      </x:c>
      <x:c r="C566" s="4" t="str">
        <x:v>PRJ-005</x:v>
      </x:c>
      <x:c r="D566" s="4" t="str">
        <x:v>Apartment</x:v>
      </x:c>
      <x:c r="E566" s="4" t="str">
        <x:v>Handed over</x:v>
      </x:c>
      <x:c r="F566" s="4" t="str">
        <x:v>CUS-00565</x:v>
      </x:c>
      <x:c r="G566" s="4" t="str">
        <x:v>UNIT-00565</x:v>
      </x:c>
      <x:c r="H566" s="9" t="n">
        <x:v>9000000</x:v>
      </x:c>
      <x:c r="I566" s="10" t="n">
        <x:v>0.04</x:v>
      </x:c>
      <x:c r="J566" s="11" t="n">
        <x:v>5</x:v>
      </x:c>
      <x:c r="K566" s="11" t="n">
        <x:v>2</x:v>
      </x:c>
      <x:c r="L566" s="11" t="n">
        <x:v>1</x:v>
      </x:c>
      <x:c r="M566" s="9" t="n">
        <x:f>ROUND(H566*(1-I566),2)</x:f>
        <x:v>8640000</x:v>
      </x:c>
      <x:c r="N566" s="4" t="str">
        <x:v>Sales manager</x:v>
      </x:c>
      <x:c r="O566" s="4" t="str">
        <x:v>BOOK-00565</x:v>
      </x:c>
      <x:c r="P566" s="9" t="n">
        <x:v>4320000</x:v>
      </x:c>
      <x:c r="Q566" s="11" t="n">
        <x:v>0</x:v>
      </x:c>
      <x:c r="R566" s="8" t="n">
        <x:v>45387</x:v>
      </x:c>
      <x:c r="S566" s="4" t="str">
        <x:v>Retained</x:v>
      </x:c>
      <x:c r="T566" s="10" t="n">
        <x:v>0.291946</x:v>
      </x:c>
      <x:c r="U566" s="4" t="str">
        <x:v>Train</x:v>
      </x:c>
    </x:row>
    <x:row r="567" ht="34" customHeight="1">
      <x:c r="A567" s="4" t="str">
        <x:v>RS-00566</x:v>
      </x:c>
      <x:c r="B567" s="8" t="n">
        <x:v>45328</x:v>
      </x:c>
      <x:c r="C567" s="4" t="str">
        <x:v>PRJ-006</x:v>
      </x:c>
      <x:c r="D567" s="4" t="str">
        <x:v>Villa</x:v>
      </x:c>
      <x:c r="E567" s="4" t="str">
        <x:v>Reserved</x:v>
      </x:c>
      <x:c r="F567" s="4" t="str">
        <x:v>CUS-00566</x:v>
      </x:c>
      <x:c r="G567" s="4" t="str">
        <x:v>UNIT-00566</x:v>
      </x:c>
      <x:c r="H567" s="9" t="n">
        <x:v>24300000</x:v>
      </x:c>
      <x:c r="I567" s="10" t="n">
        <x:v>0.05</x:v>
      </x:c>
      <x:c r="J567" s="11" t="n">
        <x:v>7</x:v>
      </x:c>
      <x:c r="K567" s="11" t="n">
        <x:v>5</x:v>
      </x:c>
      <x:c r="L567" s="11" t="n">
        <x:v>1</x:v>
      </x:c>
      <x:c r="M567" s="9" t="n">
        <x:f>ROUND(H567*(1-I567),2)</x:f>
        <x:v>23085000</x:v>
      </x:c>
      <x:c r="N567" s="4" t="str">
        <x:v>Sales manager</x:v>
      </x:c>
      <x:c r="O567" s="4"/>
      <x:c r="P567" s="9" t="n">
        <x:v>0</x:v>
      </x:c>
      <x:c r="Q567" s="11" t="n">
        <x:v>0</x:v>
      </x:c>
      <x:c r="R567" s="8" t="n">
        <x:v>45388</x:v>
      </x:c>
      <x:c r="S567" s="4" t="str">
        <x:v>Retained</x:v>
      </x:c>
      <x:c r="T567" s="10" t="n">
        <x:v>0.291946</x:v>
      </x:c>
      <x:c r="U567" s="4" t="str">
        <x:v>Train</x:v>
      </x:c>
    </x:row>
    <x:row r="568" ht="34" customHeight="1">
      <x:c r="A568" s="4" t="str">
        <x:v>RS-00567</x:v>
      </x:c>
      <x:c r="B568" s="8" t="n">
        <x:v>45329</x:v>
      </x:c>
      <x:c r="C568" s="4" t="str">
        <x:v>PRJ-007</x:v>
      </x:c>
      <x:c r="D568" s="4" t="str">
        <x:v>Villa</x:v>
      </x:c>
      <x:c r="E568" s="4" t="str">
        <x:v>Enquiry</x:v>
      </x:c>
      <x:c r="F568" s="4" t="str">
        <x:v>CUS-00567</x:v>
      </x:c>
      <x:c r="G568" s="4" t="str">
        <x:v>UNIT-00567</x:v>
      </x:c>
      <x:c r="H568" s="9" t="n">
        <x:v>7100000</x:v>
      </x:c>
      <x:c r="I568" s="10" t="n">
        <x:v>0</x:v>
      </x:c>
      <x:c r="J568" s="11" t="n">
        <x:v>4</x:v>
      </x:c>
      <x:c r="K568" s="11" t="n">
        <x:v>8</x:v>
      </x:c>
      <x:c r="L568" s="11" t="n">
        <x:v>0</x:v>
      </x:c>
      <x:c r="M568" s="9" t="n">
        <x:f>ROUND(H568*(1-I568),2)</x:f>
        <x:v>7100000</x:v>
      </x:c>
      <x:c r="N568" s="4" t="str">
        <x:v>Sales manager</x:v>
      </x:c>
      <x:c r="O568" s="4"/>
      <x:c r="P568" s="9" t="n">
        <x:v>0</x:v>
      </x:c>
      <x:c r="Q568" s="11" t="n">
        <x:v>0</x:v>
      </x:c>
      <x:c r="R568" s="8" t="n">
        <x:v>45389</x:v>
      </x:c>
      <x:c r="S568" s="4" t="str">
        <x:v>Retained</x:v>
      </x:c>
      <x:c r="T568" s="10" t="n">
        <x:v>0.145299</x:v>
      </x:c>
      <x:c r="U568" s="4" t="str">
        <x:v>Train</x:v>
      </x:c>
    </x:row>
    <x:row r="569" ht="34" customHeight="1">
      <x:c r="A569" s="4" t="str">
        <x:v>RS-00568</x:v>
      </x:c>
      <x:c r="B569" s="8" t="n">
        <x:v>45330</x:v>
      </x:c>
      <x:c r="C569" s="4" t="str">
        <x:v>PRJ-008</x:v>
      </x:c>
      <x:c r="D569" s="4" t="str">
        <x:v>Retail</x:v>
      </x:c>
      <x:c r="E569" s="4" t="str">
        <x:v>Booked</x:v>
      </x:c>
      <x:c r="F569" s="4" t="str">
        <x:v>CUS-00568</x:v>
      </x:c>
      <x:c r="G569" s="4" t="str">
        <x:v>UNIT-00568</x:v>
      </x:c>
      <x:c r="H569" s="9" t="n">
        <x:v>7400000</x:v>
      </x:c>
      <x:c r="I569" s="10" t="n">
        <x:v>0.07</x:v>
      </x:c>
      <x:c r="J569" s="11" t="n">
        <x:v>12</x:v>
      </x:c>
      <x:c r="K569" s="11" t="n">
        <x:v>7</x:v>
      </x:c>
      <x:c r="L569" s="11" t="n">
        <x:v>0</x:v>
      </x:c>
      <x:c r="M569" s="9" t="n">
        <x:f>ROUND(H569*(1-I569),2)</x:f>
        <x:v>6882000</x:v>
      </x:c>
      <x:c r="N569" s="4" t="str">
        <x:v>Sales manager</x:v>
      </x:c>
      <x:c r="O569" s="4" t="str">
        <x:v>BOOK-00568</x:v>
      </x:c>
      <x:c r="P569" s="9" t="n">
        <x:v>1720500</x:v>
      </x:c>
      <x:c r="Q569" s="11" t="n">
        <x:v>0</x:v>
      </x:c>
      <x:c r="R569" s="8" t="n">
        <x:v>45390</x:v>
      </x:c>
      <x:c r="S569" s="4" t="str">
        <x:v>Retained</x:v>
      </x:c>
      <x:c r="T569" s="10" t="n">
        <x:v>0.351536</x:v>
      </x:c>
      <x:c r="U569" s="4" t="str">
        <x:v>Train</x:v>
      </x:c>
    </x:row>
    <x:row r="570" ht="34" customHeight="1">
      <x:c r="A570" s="4" t="str">
        <x:v>RS-00569</x:v>
      </x:c>
      <x:c r="B570" s="8" t="n">
        <x:v>45331</x:v>
      </x:c>
      <x:c r="C570" s="4" t="str">
        <x:v>PRJ-009</x:v>
      </x:c>
      <x:c r="D570" s="4" t="str">
        <x:v>Apartment</x:v>
      </x:c>
      <x:c r="E570" s="4" t="str">
        <x:v>Cancelled</x:v>
      </x:c>
      <x:c r="F570" s="4" t="str">
        <x:v>CUS-00569</x:v>
      </x:c>
      <x:c r="G570" s="4" t="str">
        <x:v>UNIT-00569</x:v>
      </x:c>
      <x:c r="H570" s="9" t="n">
        <x:v>13700000</x:v>
      </x:c>
      <x:c r="I570" s="10" t="n">
        <x:v>0.07</x:v>
      </x:c>
      <x:c r="J570" s="11" t="n">
        <x:v>2</x:v>
      </x:c>
      <x:c r="K570" s="11" t="n">
        <x:v>0</x:v>
      </x:c>
      <x:c r="L570" s="11" t="n">
        <x:v>0</x:v>
      </x:c>
      <x:c r="M570" s="9" t="n">
        <x:f>ROUND(H570*(1-I570),2)</x:f>
        <x:v>12741000</x:v>
      </x:c>
      <x:c r="N570" s="4" t="str">
        <x:v>Sales manager</x:v>
      </x:c>
      <x:c r="O570" s="4"/>
      <x:c r="P570" s="9" t="n">
        <x:v>0</x:v>
      </x:c>
      <x:c r="Q570" s="11" t="n">
        <x:v>1</x:v>
      </x:c>
      <x:c r="R570" s="8" t="n">
        <x:v>45391</x:v>
      </x:c>
      <x:c r="S570" s="4" t="str">
        <x:v>Lost / cancelled</x:v>
      </x:c>
      <x:c r="T570" s="10" t="n">
        <x:v>0.276923</x:v>
      </x:c>
      <x:c r="U570" s="4" t="str">
        <x:v>Train</x:v>
      </x:c>
    </x:row>
    <x:row r="571" ht="34" customHeight="1">
      <x:c r="A571" s="4" t="str">
        <x:v>RS-00570</x:v>
      </x:c>
      <x:c r="B571" s="8" t="n">
        <x:v>45332</x:v>
      </x:c>
      <x:c r="C571" s="4" t="str">
        <x:v>PRJ-010</x:v>
      </x:c>
      <x:c r="D571" s="4" t="str">
        <x:v>Office</x:v>
      </x:c>
      <x:c r="E571" s="4" t="str">
        <x:v>Booked</x:v>
      </x:c>
      <x:c r="F571" s="4" t="str">
        <x:v>CUS-00570</x:v>
      </x:c>
      <x:c r="G571" s="4" t="str">
        <x:v>UNIT-00570</x:v>
      </x:c>
      <x:c r="H571" s="9" t="n">
        <x:v>23900000</x:v>
      </x:c>
      <x:c r="I571" s="10" t="n">
        <x:v>0.01</x:v>
      </x:c>
      <x:c r="J571" s="11" t="n">
        <x:v>7</x:v>
      </x:c>
      <x:c r="K571" s="11" t="n">
        <x:v>7</x:v>
      </x:c>
      <x:c r="L571" s="11" t="n">
        <x:v>1</x:v>
      </x:c>
      <x:c r="M571" s="9" t="n">
        <x:f>ROUND(H571*(1-I571),2)</x:f>
        <x:v>23661000</x:v>
      </x:c>
      <x:c r="N571" s="4" t="str">
        <x:v>Sales manager</x:v>
      </x:c>
      <x:c r="O571" s="4" t="str">
        <x:v>BOOK-00570</x:v>
      </x:c>
      <x:c r="P571" s="9" t="n">
        <x:v>5915250</x:v>
      </x:c>
      <x:c r="Q571" s="11" t="n">
        <x:v>0</x:v>
      </x:c>
      <x:c r="R571" s="8" t="n">
        <x:v>45392</x:v>
      </x:c>
      <x:c r="S571" s="4" t="str">
        <x:v>Retained</x:v>
      </x:c>
      <x:c r="T571" s="10" t="n">
        <x:v>0.145299</x:v>
      </x:c>
      <x:c r="U571" s="4" t="str">
        <x:v>Train</x:v>
      </x:c>
    </x:row>
    <x:row r="572" ht="34" customHeight="1">
      <x:c r="A572" s="4" t="str">
        <x:v>RS-00571</x:v>
      </x:c>
      <x:c r="B572" s="8" t="n">
        <x:v>45333</x:v>
      </x:c>
      <x:c r="C572" s="4" t="str">
        <x:v>PRJ-011</x:v>
      </x:c>
      <x:c r="D572" s="4" t="str">
        <x:v>Office</x:v>
      </x:c>
      <x:c r="E572" s="4" t="str">
        <x:v>Reserved</x:v>
      </x:c>
      <x:c r="F572" s="4" t="str">
        <x:v>CUS-00571</x:v>
      </x:c>
      <x:c r="G572" s="4" t="str">
        <x:v>UNIT-00571</x:v>
      </x:c>
      <x:c r="H572" s="9" t="n">
        <x:v>17600000</x:v>
      </x:c>
      <x:c r="I572" s="10" t="n">
        <x:v>0.07</x:v>
      </x:c>
      <x:c r="J572" s="11" t="n">
        <x:v>1</x:v>
      </x:c>
      <x:c r="K572" s="11" t="n">
        <x:v>1</x:v>
      </x:c>
      <x:c r="L572" s="11" t="n">
        <x:v>1</x:v>
      </x:c>
      <x:c r="M572" s="9" t="n">
        <x:f>ROUND(H572*(1-I572),2)</x:f>
        <x:v>16368000</x:v>
      </x:c>
      <x:c r="N572" s="4" t="str">
        <x:v>Sales manager</x:v>
      </x:c>
      <x:c r="O572" s="4"/>
      <x:c r="P572" s="9" t="n">
        <x:v>0</x:v>
      </x:c>
      <x:c r="Q572" s="11" t="n">
        <x:v>0</x:v>
      </x:c>
      <x:c r="R572" s="8" t="n">
        <x:v>45393</x:v>
      </x:c>
      <x:c r="S572" s="4" t="str">
        <x:v>Retained</x:v>
      </x:c>
      <x:c r="T572" s="10" t="n">
        <x:v>0.204152</x:v>
      </x:c>
      <x:c r="U572" s="4" t="str">
        <x:v>Train</x:v>
      </x:c>
    </x:row>
    <x:row r="573" ht="34" customHeight="1">
      <x:c r="A573" s="4" t="str">
        <x:v>RS-00572</x:v>
      </x:c>
      <x:c r="B573" s="8" t="n">
        <x:v>45334</x:v>
      </x:c>
      <x:c r="C573" s="4" t="str">
        <x:v>PRJ-012</x:v>
      </x:c>
      <x:c r="D573" s="4" t="str">
        <x:v>Villa</x:v>
      </x:c>
      <x:c r="E573" s="4" t="str">
        <x:v>Handed over</x:v>
      </x:c>
      <x:c r="F573" s="4" t="str">
        <x:v>CUS-00572</x:v>
      </x:c>
      <x:c r="G573" s="4" t="str">
        <x:v>UNIT-00572</x:v>
      </x:c>
      <x:c r="H573" s="9" t="n">
        <x:v>4800000</x:v>
      </x:c>
      <x:c r="I573" s="10" t="n">
        <x:v>0.02</x:v>
      </x:c>
      <x:c r="J573" s="11" t="n">
        <x:v>5</x:v>
      </x:c>
      <x:c r="K573" s="11" t="n">
        <x:v>10</x:v>
      </x:c>
      <x:c r="L573" s="11" t="n">
        <x:v>0</x:v>
      </x:c>
      <x:c r="M573" s="9" t="n">
        <x:f>ROUND(H573*(1-I573),2)</x:f>
        <x:v>4704000</x:v>
      </x:c>
      <x:c r="N573" s="4" t="str">
        <x:v>Sales manager</x:v>
      </x:c>
      <x:c r="O573" s="4" t="str">
        <x:v>BOOK-00572</x:v>
      </x:c>
      <x:c r="P573" s="9" t="n">
        <x:v>2352000</x:v>
      </x:c>
      <x:c r="Q573" s="11" t="n">
        <x:v>0</x:v>
      </x:c>
      <x:c r="R573" s="8" t="n">
        <x:v>45394</x:v>
      </x:c>
      <x:c r="S573" s="4" t="str">
        <x:v>Retained</x:v>
      </x:c>
      <x:c r="T573" s="10" t="n">
        <x:v>0.145299</x:v>
      </x:c>
      <x:c r="U573" s="4" t="str">
        <x:v>Train</x:v>
      </x:c>
    </x:row>
    <x:row r="574" ht="34" customHeight="1">
      <x:c r="A574" s="4" t="str">
        <x:v>RS-00573</x:v>
      </x:c>
      <x:c r="B574" s="8" t="n">
        <x:v>45335</x:v>
      </x:c>
      <x:c r="C574" s="4" t="str">
        <x:v>PRJ-013</x:v>
      </x:c>
      <x:c r="D574" s="4" t="str">
        <x:v>Apartment</x:v>
      </x:c>
      <x:c r="E574" s="4" t="str">
        <x:v>Booked</x:v>
      </x:c>
      <x:c r="F574" s="4" t="str">
        <x:v>CUS-00573</x:v>
      </x:c>
      <x:c r="G574" s="4" t="str">
        <x:v>UNIT-00573</x:v>
      </x:c>
      <x:c r="H574" s="9" t="n">
        <x:v>24000000</x:v>
      </x:c>
      <x:c r="I574" s="10" t="n">
        <x:v>0.02</x:v>
      </x:c>
      <x:c r="J574" s="11" t="n">
        <x:v>9</x:v>
      </x:c>
      <x:c r="K574" s="11" t="n">
        <x:v>4</x:v>
      </x:c>
      <x:c r="L574" s="11" t="n">
        <x:v>1</x:v>
      </x:c>
      <x:c r="M574" s="9" t="n">
        <x:f>ROUND(H574*(1-I574),2)</x:f>
        <x:v>23520000</x:v>
      </x:c>
      <x:c r="N574" s="4" t="str">
        <x:v>Sales manager</x:v>
      </x:c>
      <x:c r="O574" s="4" t="str">
        <x:v>BOOK-00573</x:v>
      </x:c>
      <x:c r="P574" s="9" t="n">
        <x:v>2352000</x:v>
      </x:c>
      <x:c r="Q574" s="11" t="n">
        <x:v>0</x:v>
      </x:c>
      <x:c r="R574" s="8" t="n">
        <x:v>45395</x:v>
      </x:c>
      <x:c r="S574" s="4" t="str">
        <x:v>Retained</x:v>
      </x:c>
      <x:c r="T574" s="10" t="n">
        <x:v>0.254545</x:v>
      </x:c>
      <x:c r="U574" s="4" t="str">
        <x:v>Train</x:v>
      </x:c>
    </x:row>
    <x:row r="575" ht="34" customHeight="1">
      <x:c r="A575" s="4" t="str">
        <x:v>RS-00574</x:v>
      </x:c>
      <x:c r="B575" s="8" t="n">
        <x:v>45336</x:v>
      </x:c>
      <x:c r="C575" s="4" t="str">
        <x:v>PRJ-014</x:v>
      </x:c>
      <x:c r="D575" s="4" t="str">
        <x:v>Villa</x:v>
      </x:c>
      <x:c r="E575" s="4" t="str">
        <x:v>Enquiry</x:v>
      </x:c>
      <x:c r="F575" s="4" t="str">
        <x:v>CUS-00574</x:v>
      </x:c>
      <x:c r="G575" s="4" t="str">
        <x:v>UNIT-00574</x:v>
      </x:c>
      <x:c r="H575" s="9" t="n">
        <x:v>19000000</x:v>
      </x:c>
      <x:c r="I575" s="10" t="n">
        <x:v>0.09</x:v>
      </x:c>
      <x:c r="J575" s="11" t="n">
        <x:v>4</x:v>
      </x:c>
      <x:c r="K575" s="11" t="n">
        <x:v>2</x:v>
      </x:c>
      <x:c r="L575" s="11" t="n">
        <x:v>1</x:v>
      </x:c>
      <x:c r="M575" s="9" t="n">
        <x:f>ROUND(H575*(1-I575),2)</x:f>
        <x:v>17290000</x:v>
      </x:c>
      <x:c r="N575" s="4" t="str">
        <x:v>Sales head</x:v>
      </x:c>
      <x:c r="O575" s="4"/>
      <x:c r="P575" s="9" t="n">
        <x:v>0</x:v>
      </x:c>
      <x:c r="Q575" s="11" t="n">
        <x:v>0</x:v>
      </x:c>
      <x:c r="R575" s="8" t="n">
        <x:v>45396</x:v>
      </x:c>
      <x:c r="S575" s="4" t="str">
        <x:v>Retained</x:v>
      </x:c>
      <x:c r="T575" s="10" t="n">
        <x:v>0.291946</x:v>
      </x:c>
      <x:c r="U575" s="4" t="str">
        <x:v>Train</x:v>
      </x:c>
    </x:row>
    <x:row r="576" ht="34" customHeight="1">
      <x:c r="A576" s="4" t="str">
        <x:v>RS-00575</x:v>
      </x:c>
      <x:c r="B576" s="8" t="n">
        <x:v>45337</x:v>
      </x:c>
      <x:c r="C576" s="4" t="str">
        <x:v>PRJ-015</x:v>
      </x:c>
      <x:c r="D576" s="4" t="str">
        <x:v>Office</x:v>
      </x:c>
      <x:c r="E576" s="4" t="str">
        <x:v>Agreement signed</x:v>
      </x:c>
      <x:c r="F576" s="4" t="str">
        <x:v>CUS-00575</x:v>
      </x:c>
      <x:c r="G576" s="4" t="str">
        <x:v>UNIT-00575</x:v>
      </x:c>
      <x:c r="H576" s="9" t="n">
        <x:v>8900000</x:v>
      </x:c>
      <x:c r="I576" s="10" t="n">
        <x:v>0.08</x:v>
      </x:c>
      <x:c r="J576" s="11" t="n">
        <x:v>6</x:v>
      </x:c>
      <x:c r="K576" s="11" t="n">
        <x:v>7</x:v>
      </x:c>
      <x:c r="L576" s="11" t="n">
        <x:v>0</x:v>
      </x:c>
      <x:c r="M576" s="9" t="n">
        <x:f>ROUND(H576*(1-I576),2)</x:f>
        <x:v>8188000</x:v>
      </x:c>
      <x:c r="N576" s="4" t="str">
        <x:v>Sales head</x:v>
      </x:c>
      <x:c r="O576" s="4" t="str">
        <x:v>BOOK-00575</x:v>
      </x:c>
      <x:c r="P576" s="9" t="n">
        <x:v>818800</x:v>
      </x:c>
      <x:c r="Q576" s="11" t="n">
        <x:v>0</x:v>
      </x:c>
      <x:c r="R576" s="8" t="n">
        <x:v>45397</x:v>
      </x:c>
      <x:c r="S576" s="4" t="str">
        <x:v>Retained</x:v>
      </x:c>
      <x:c r="T576" s="10" t="n">
        <x:v>0.226277</x:v>
      </x:c>
      <x:c r="U576" s="4" t="str">
        <x:v>Train</x:v>
      </x:c>
    </x:row>
    <x:row r="577" ht="34" customHeight="1">
      <x:c r="A577" s="4" t="str">
        <x:v>RS-00576</x:v>
      </x:c>
      <x:c r="B577" s="8" t="n">
        <x:v>45338</x:v>
      </x:c>
      <x:c r="C577" s="4" t="str">
        <x:v>PRJ-016</x:v>
      </x:c>
      <x:c r="D577" s="4" t="str">
        <x:v>Villa</x:v>
      </x:c>
      <x:c r="E577" s="4" t="str">
        <x:v>Handed over</x:v>
      </x:c>
      <x:c r="F577" s="4" t="str">
        <x:v>CUS-00576</x:v>
      </x:c>
      <x:c r="G577" s="4" t="str">
        <x:v>UNIT-00576</x:v>
      </x:c>
      <x:c r="H577" s="9" t="n">
        <x:v>16300000</x:v>
      </x:c>
      <x:c r="I577" s="10" t="n">
        <x:v>0</x:v>
      </x:c>
      <x:c r="J577" s="11" t="n">
        <x:v>3</x:v>
      </x:c>
      <x:c r="K577" s="11" t="n">
        <x:v>9</x:v>
      </x:c>
      <x:c r="L577" s="11" t="n">
        <x:v>0</x:v>
      </x:c>
      <x:c r="M577" s="9" t="n">
        <x:f>ROUND(H577*(1-I577),2)</x:f>
        <x:v>16300000</x:v>
      </x:c>
      <x:c r="N577" s="4" t="str">
        <x:v>Sales manager</x:v>
      </x:c>
      <x:c r="O577" s="4" t="str">
        <x:v>BOOK-00576</x:v>
      </x:c>
      <x:c r="P577" s="9" t="n">
        <x:v>16300000</x:v>
      </x:c>
      <x:c r="Q577" s="11" t="n">
        <x:v>0</x:v>
      </x:c>
      <x:c r="R577" s="8" t="n">
        <x:v>45398</x:v>
      </x:c>
      <x:c r="S577" s="4" t="str">
        <x:v>Retained</x:v>
      </x:c>
      <x:c r="T577" s="10" t="n">
        <x:v>0.171717</x:v>
      </x:c>
      <x:c r="U577" s="4" t="str">
        <x:v>Train</x:v>
      </x:c>
    </x:row>
    <x:row r="578" ht="34" customHeight="1">
      <x:c r="A578" s="4" t="str">
        <x:v>RS-00577</x:v>
      </x:c>
      <x:c r="B578" s="8" t="n">
        <x:v>45339</x:v>
      </x:c>
      <x:c r="C578" s="4" t="str">
        <x:v>PRJ-017</x:v>
      </x:c>
      <x:c r="D578" s="4" t="str">
        <x:v>Office</x:v>
      </x:c>
      <x:c r="E578" s="4" t="str">
        <x:v>Cancelled</x:v>
      </x:c>
      <x:c r="F578" s="4" t="str">
        <x:v>CUS-00577</x:v>
      </x:c>
      <x:c r="G578" s="4" t="str">
        <x:v>UNIT-00577</x:v>
      </x:c>
      <x:c r="H578" s="9" t="n">
        <x:v>14900000</x:v>
      </x:c>
      <x:c r="I578" s="10" t="n">
        <x:v>0.01</x:v>
      </x:c>
      <x:c r="J578" s="11" t="n">
        <x:v>7</x:v>
      </x:c>
      <x:c r="K578" s="11" t="n">
        <x:v>8</x:v>
      </x:c>
      <x:c r="L578" s="11" t="n">
        <x:v>0</x:v>
      </x:c>
      <x:c r="M578" s="9" t="n">
        <x:f>ROUND(H578*(1-I578),2)</x:f>
        <x:v>14751000</x:v>
      </x:c>
      <x:c r="N578" s="4" t="str">
        <x:v>Sales manager</x:v>
      </x:c>
      <x:c r="O578" s="4"/>
      <x:c r="P578" s="9" t="n">
        <x:v>0</x:v>
      </x:c>
      <x:c r="Q578" s="11" t="n">
        <x:v>1</x:v>
      </x:c>
      <x:c r="R578" s="8" t="n">
        <x:v>45399</x:v>
      </x:c>
      <x:c r="S578" s="4" t="str">
        <x:v>Lost / cancelled</x:v>
      </x:c>
      <x:c r="T578" s="10" t="n">
        <x:v>0.145299</x:v>
      </x:c>
      <x:c r="U578" s="4" t="str">
        <x:v>Train</x:v>
      </x:c>
    </x:row>
    <x:row r="579" ht="34" customHeight="1">
      <x:c r="A579" s="4" t="str">
        <x:v>RS-00578</x:v>
      </x:c>
      <x:c r="B579" s="8" t="n">
        <x:v>45340</x:v>
      </x:c>
      <x:c r="C579" s="4" t="str">
        <x:v>PRJ-018</x:v>
      </x:c>
      <x:c r="D579" s="4" t="str">
        <x:v>Apartment</x:v>
      </x:c>
      <x:c r="E579" s="4" t="str">
        <x:v>Cancelled</x:v>
      </x:c>
      <x:c r="F579" s="4" t="str">
        <x:v>CUS-00578</x:v>
      </x:c>
      <x:c r="G579" s="4" t="str">
        <x:v>UNIT-00578</x:v>
      </x:c>
      <x:c r="H579" s="9" t="n">
        <x:v>9000000</x:v>
      </x:c>
      <x:c r="I579" s="10" t="n">
        <x:v>0.08</x:v>
      </x:c>
      <x:c r="J579" s="11" t="n">
        <x:v>2</x:v>
      </x:c>
      <x:c r="K579" s="11" t="n">
        <x:v>5</x:v>
      </x:c>
      <x:c r="L579" s="11" t="n">
        <x:v>0</x:v>
      </x:c>
      <x:c r="M579" s="9" t="n">
        <x:f>ROUND(H579*(1-I579),2)</x:f>
        <x:v>8280000</x:v>
      </x:c>
      <x:c r="N579" s="4" t="str">
        <x:v>Sales head</x:v>
      </x:c>
      <x:c r="O579" s="4"/>
      <x:c r="P579" s="9" t="n">
        <x:v>0</x:v>
      </x:c>
      <x:c r="Q579" s="11" t="n">
        <x:v>1</x:v>
      </x:c>
      <x:c r="R579" s="8" t="n">
        <x:v>45400</x:v>
      </x:c>
      <x:c r="S579" s="4" t="str">
        <x:v>Lost / cancelled</x:v>
      </x:c>
      <x:c r="T579" s="10" t="n">
        <x:v>0.204152</x:v>
      </x:c>
      <x:c r="U579" s="4" t="str">
        <x:v>Train</x:v>
      </x:c>
    </x:row>
    <x:row r="580" ht="34" customHeight="1">
      <x:c r="A580" s="4" t="str">
        <x:v>RS-00579</x:v>
      </x:c>
      <x:c r="B580" s="8" t="n">
        <x:v>45341</x:v>
      </x:c>
      <x:c r="C580" s="4" t="str">
        <x:v>PRJ-019</x:v>
      </x:c>
      <x:c r="D580" s="4" t="str">
        <x:v>Office</x:v>
      </x:c>
      <x:c r="E580" s="4" t="str">
        <x:v>Agreement signed</x:v>
      </x:c>
      <x:c r="F580" s="4" t="str">
        <x:v>CUS-00579</x:v>
      </x:c>
      <x:c r="G580" s="4" t="str">
        <x:v>UNIT-00579</x:v>
      </x:c>
      <x:c r="H580" s="9" t="n">
        <x:v>20100000</x:v>
      </x:c>
      <x:c r="I580" s="10" t="n">
        <x:v>0.05</x:v>
      </x:c>
      <x:c r="J580" s="11" t="n">
        <x:v>10</x:v>
      </x:c>
      <x:c r="K580" s="11" t="n">
        <x:v>8</x:v>
      </x:c>
      <x:c r="L580" s="11" t="n">
        <x:v>0</x:v>
      </x:c>
      <x:c r="M580" s="9" t="n">
        <x:f>ROUND(H580*(1-I580),2)</x:f>
        <x:v>19095000</x:v>
      </x:c>
      <x:c r="N580" s="4" t="str">
        <x:v>Sales manager</x:v>
      </x:c>
      <x:c r="O580" s="4" t="str">
        <x:v>BOOK-00579</x:v>
      </x:c>
      <x:c r="P580" s="9" t="n">
        <x:v>1909500</x:v>
      </x:c>
      <x:c r="Q580" s="11" t="n">
        <x:v>0</x:v>
      </x:c>
      <x:c r="R580" s="8" t="n">
        <x:v>45401</x:v>
      </x:c>
      <x:c r="S580" s="4" t="str">
        <x:v>Retained</x:v>
      </x:c>
      <x:c r="T580" s="10" t="n">
        <x:v>0.310195</x:v>
      </x:c>
      <x:c r="U580" s="4" t="str">
        <x:v>Train</x:v>
      </x:c>
    </x:row>
    <x:row r="581" ht="34" customHeight="1">
      <x:c r="A581" s="4" t="str">
        <x:v>RS-00580</x:v>
      </x:c>
      <x:c r="B581" s="8" t="n">
        <x:v>45342</x:v>
      </x:c>
      <x:c r="C581" s="4" t="str">
        <x:v>PRJ-020</x:v>
      </x:c>
      <x:c r="D581" s="4" t="str">
        <x:v>Retail</x:v>
      </x:c>
      <x:c r="E581" s="4" t="str">
        <x:v>Agreement signed</x:v>
      </x:c>
      <x:c r="F581" s="4" t="str">
        <x:v>CUS-00580</x:v>
      </x:c>
      <x:c r="G581" s="4" t="str">
        <x:v>UNIT-00580</x:v>
      </x:c>
      <x:c r="H581" s="9" t="n">
        <x:v>5300000</x:v>
      </x:c>
      <x:c r="I581" s="10" t="n">
        <x:v>0.03</x:v>
      </x:c>
      <x:c r="J581" s="11" t="n">
        <x:v>7</x:v>
      </x:c>
      <x:c r="K581" s="11" t="n">
        <x:v>10</x:v>
      </x:c>
      <x:c r="L581" s="11" t="n">
        <x:v>0</x:v>
      </x:c>
      <x:c r="M581" s="9" t="n">
        <x:f>ROUND(H581*(1-I581),2)</x:f>
        <x:v>5141000</x:v>
      </x:c>
      <x:c r="N581" s="4" t="str">
        <x:v>Sales manager</x:v>
      </x:c>
      <x:c r="O581" s="4" t="str">
        <x:v>BOOK-00580</x:v>
      </x:c>
      <x:c r="P581" s="9" t="n">
        <x:v>2570500</x:v>
      </x:c>
      <x:c r="Q581" s="11" t="n">
        <x:v>0</x:v>
      </x:c>
      <x:c r="R581" s="8" t="n">
        <x:v>45402</x:v>
      </x:c>
      <x:c r="S581" s="4" t="str">
        <x:v>Retained</x:v>
      </x:c>
      <x:c r="T581" s="10" t="n">
        <x:v>0.145299</x:v>
      </x:c>
      <x:c r="U581" s="4" t="str">
        <x:v>Train</x:v>
      </x:c>
    </x:row>
    <x:row r="582" ht="34" customHeight="1">
      <x:c r="A582" s="4" t="str">
        <x:v>RS-00581</x:v>
      </x:c>
      <x:c r="B582" s="8" t="n">
        <x:v>45343</x:v>
      </x:c>
      <x:c r="C582" s="4" t="str">
        <x:v>PRJ-001</x:v>
      </x:c>
      <x:c r="D582" s="4" t="str">
        <x:v>Villa</x:v>
      </x:c>
      <x:c r="E582" s="4" t="str">
        <x:v>Cancelled</x:v>
      </x:c>
      <x:c r="F582" s="4" t="str">
        <x:v>CUS-00581</x:v>
      </x:c>
      <x:c r="G582" s="4" t="str">
        <x:v>UNIT-00581</x:v>
      </x:c>
      <x:c r="H582" s="9" t="n">
        <x:v>8400000</x:v>
      </x:c>
      <x:c r="I582" s="10" t="n">
        <x:v>0.07</x:v>
      </x:c>
      <x:c r="J582" s="11" t="n">
        <x:v>6</x:v>
      </x:c>
      <x:c r="K582" s="11" t="n">
        <x:v>10</x:v>
      </x:c>
      <x:c r="L582" s="11" t="n">
        <x:v>1</x:v>
      </x:c>
      <x:c r="M582" s="9" t="n">
        <x:f>ROUND(H582*(1-I582),2)</x:f>
        <x:v>7812000</x:v>
      </x:c>
      <x:c r="N582" s="4" t="str">
        <x:v>Sales manager</x:v>
      </x:c>
      <x:c r="O582" s="4"/>
      <x:c r="P582" s="9" t="n">
        <x:v>0</x:v>
      </x:c>
      <x:c r="Q582" s="11" t="n">
        <x:v>1</x:v>
      </x:c>
      <x:c r="R582" s="8" t="n">
        <x:v>45403</x:v>
      </x:c>
      <x:c r="S582" s="4" t="str">
        <x:v>Lost / cancelled</x:v>
      </x:c>
      <x:c r="T582" s="10" t="n">
        <x:v>0.291946</x:v>
      </x:c>
      <x:c r="U582" s="4" t="str">
        <x:v>Train</x:v>
      </x:c>
    </x:row>
    <x:row r="583" ht="34" customHeight="1">
      <x:c r="A583" s="4" t="str">
        <x:v>RS-00582</x:v>
      </x:c>
      <x:c r="B583" s="8" t="n">
        <x:v>45344</x:v>
      </x:c>
      <x:c r="C583" s="4" t="str">
        <x:v>PRJ-002</x:v>
      </x:c>
      <x:c r="D583" s="4" t="str">
        <x:v>Office</x:v>
      </x:c>
      <x:c r="E583" s="4" t="str">
        <x:v>Agreement signed</x:v>
      </x:c>
      <x:c r="F583" s="4" t="str">
        <x:v>CUS-00582</x:v>
      </x:c>
      <x:c r="G583" s="4" t="str">
        <x:v>UNIT-00582</x:v>
      </x:c>
      <x:c r="H583" s="9" t="n">
        <x:v>22800000</x:v>
      </x:c>
      <x:c r="I583" s="10" t="n">
        <x:v>0.03</x:v>
      </x:c>
      <x:c r="J583" s="11" t="n">
        <x:v>3</x:v>
      </x:c>
      <x:c r="K583" s="11" t="n">
        <x:v>10</x:v>
      </x:c>
      <x:c r="L583" s="11" t="n">
        <x:v>0</x:v>
      </x:c>
      <x:c r="M583" s="9" t="n">
        <x:f>ROUND(H583*(1-I583),2)</x:f>
        <x:v>22116000</x:v>
      </x:c>
      <x:c r="N583" s="4" t="str">
        <x:v>Sales manager</x:v>
      </x:c>
      <x:c r="O583" s="4" t="str">
        <x:v>BOOK-00582</x:v>
      </x:c>
      <x:c r="P583" s="9" t="n">
        <x:v>2211600</x:v>
      </x:c>
      <x:c r="Q583" s="11" t="n">
        <x:v>0</x:v>
      </x:c>
      <x:c r="R583" s="8" t="n">
        <x:v>45404</x:v>
      </x:c>
      <x:c r="S583" s="4" t="str">
        <x:v>Retained</x:v>
      </x:c>
      <x:c r="T583" s="10" t="n">
        <x:v>0.171717</x:v>
      </x:c>
      <x:c r="U583" s="4" t="str">
        <x:v>Train</x:v>
      </x:c>
    </x:row>
    <x:row r="584" ht="34" customHeight="1">
      <x:c r="A584" s="4" t="str">
        <x:v>RS-00583</x:v>
      </x:c>
      <x:c r="B584" s="8" t="n">
        <x:v>45345</x:v>
      </x:c>
      <x:c r="C584" s="4" t="str">
        <x:v>PRJ-003</x:v>
      </x:c>
      <x:c r="D584" s="4" t="str">
        <x:v>Office</x:v>
      </x:c>
      <x:c r="E584" s="4" t="str">
        <x:v>Handed over</x:v>
      </x:c>
      <x:c r="F584" s="4" t="str">
        <x:v>CUS-00583</x:v>
      </x:c>
      <x:c r="G584" s="4" t="str">
        <x:v>UNIT-00583</x:v>
      </x:c>
      <x:c r="H584" s="9" t="n">
        <x:v>22700000</x:v>
      </x:c>
      <x:c r="I584" s="10" t="n">
        <x:v>0.1</x:v>
      </x:c>
      <x:c r="J584" s="11" t="n">
        <x:v>0</x:v>
      </x:c>
      <x:c r="K584" s="11" t="n">
        <x:v>0</x:v>
      </x:c>
      <x:c r="L584" s="11" t="n">
        <x:v>0</x:v>
      </x:c>
      <x:c r="M584" s="9" t="n">
        <x:f>ROUND(H584*(1-I584),2)</x:f>
        <x:v>20430000</x:v>
      </x:c>
      <x:c r="N584" s="4" t="str">
        <x:v>Sales head</x:v>
      </x:c>
      <x:c r="O584" s="4" t="str">
        <x:v>BOOK-00583</x:v>
      </x:c>
      <x:c r="P584" s="9" t="n">
        <x:v>10215000</x:v>
      </x:c>
      <x:c r="Q584" s="11" t="n">
        <x:v>0</x:v>
      </x:c>
      <x:c r="R584" s="8" t="n">
        <x:v>45405</x:v>
      </x:c>
      <x:c r="S584" s="4" t="str">
        <x:v>Retained</x:v>
      </x:c>
      <x:c r="T584" s="10" t="n">
        <x:v>0.276923</x:v>
      </x:c>
      <x:c r="U584" s="4" t="str">
        <x:v>Train</x:v>
      </x:c>
    </x:row>
    <x:row r="585" ht="34" customHeight="1">
      <x:c r="A585" s="4" t="str">
        <x:v>RS-00584</x:v>
      </x:c>
      <x:c r="B585" s="8" t="n">
        <x:v>45346</x:v>
      </x:c>
      <x:c r="C585" s="4" t="str">
        <x:v>PRJ-004</x:v>
      </x:c>
      <x:c r="D585" s="4" t="str">
        <x:v>Office</x:v>
      </x:c>
      <x:c r="E585" s="4" t="str">
        <x:v>Cancelled</x:v>
      </x:c>
      <x:c r="F585" s="4" t="str">
        <x:v>CUS-00584</x:v>
      </x:c>
      <x:c r="G585" s="4" t="str">
        <x:v>UNIT-00584</x:v>
      </x:c>
      <x:c r="H585" s="9" t="n">
        <x:v>10600000</x:v>
      </x:c>
      <x:c r="I585" s="10" t="n">
        <x:v>0.06</x:v>
      </x:c>
      <x:c r="J585" s="11" t="n">
        <x:v>8</x:v>
      </x:c>
      <x:c r="K585" s="11" t="n">
        <x:v>9</x:v>
      </x:c>
      <x:c r="L585" s="11" t="n">
        <x:v>1</x:v>
      </x:c>
      <x:c r="M585" s="9" t="n">
        <x:f>ROUND(H585*(1-I585),2)</x:f>
        <x:v>9964000</x:v>
      </x:c>
      <x:c r="N585" s="4" t="str">
        <x:v>Sales manager</x:v>
      </x:c>
      <x:c r="O585" s="4"/>
      <x:c r="P585" s="9" t="n">
        <x:v>0</x:v>
      </x:c>
      <x:c r="Q585" s="11" t="n">
        <x:v>1</x:v>
      </x:c>
      <x:c r="R585" s="8" t="n">
        <x:v>45406</x:v>
      </x:c>
      <x:c r="S585" s="4" t="str">
        <x:v>Lost / cancelled</x:v>
      </x:c>
      <x:c r="T585" s="10" t="n">
        <x:v>0.310195</x:v>
      </x:c>
      <x:c r="U585" s="4" t="str">
        <x:v>Train</x:v>
      </x:c>
    </x:row>
    <x:row r="586" ht="34" customHeight="1">
      <x:c r="A586" s="4" t="str">
        <x:v>RS-00585</x:v>
      </x:c>
      <x:c r="B586" s="8" t="n">
        <x:v>45347</x:v>
      </x:c>
      <x:c r="C586" s="4" t="str">
        <x:v>PRJ-005</x:v>
      </x:c>
      <x:c r="D586" s="4" t="str">
        <x:v>Office</x:v>
      </x:c>
      <x:c r="E586" s="4" t="str">
        <x:v>Enquiry</x:v>
      </x:c>
      <x:c r="F586" s="4" t="str">
        <x:v>CUS-00585</x:v>
      </x:c>
      <x:c r="G586" s="4" t="str">
        <x:v>UNIT-00585</x:v>
      </x:c>
      <x:c r="H586" s="9" t="n">
        <x:v>8800000</x:v>
      </x:c>
      <x:c r="I586" s="10" t="n">
        <x:v>0.01</x:v>
      </x:c>
      <x:c r="J586" s="11" t="n">
        <x:v>4</x:v>
      </x:c>
      <x:c r="K586" s="11" t="n">
        <x:v>6</x:v>
      </x:c>
      <x:c r="L586" s="11" t="n">
        <x:v>1</x:v>
      </x:c>
      <x:c r="M586" s="9" t="n">
        <x:f>ROUND(H586*(1-I586),2)</x:f>
        <x:v>8712000</x:v>
      </x:c>
      <x:c r="N586" s="4" t="str">
        <x:v>Sales manager</x:v>
      </x:c>
      <x:c r="O586" s="4"/>
      <x:c r="P586" s="9" t="n">
        <x:v>0</x:v>
      </x:c>
      <x:c r="Q586" s="11" t="n">
        <x:v>0</x:v>
      </x:c>
      <x:c r="R586" s="8" t="n">
        <x:v>45407</x:v>
      </x:c>
      <x:c r="S586" s="4" t="str">
        <x:v>Retained</x:v>
      </x:c>
      <x:c r="T586" s="10" t="n">
        <x:v>0.145299</x:v>
      </x:c>
      <x:c r="U586" s="4" t="str">
        <x:v>Train</x:v>
      </x:c>
    </x:row>
    <x:row r="587" ht="34" customHeight="1">
      <x:c r="A587" s="4" t="str">
        <x:v>RS-00586</x:v>
      </x:c>
      <x:c r="B587" s="8" t="n">
        <x:v>45348</x:v>
      </x:c>
      <x:c r="C587" s="4" t="str">
        <x:v>PRJ-006</x:v>
      </x:c>
      <x:c r="D587" s="4" t="str">
        <x:v>Villa</x:v>
      </x:c>
      <x:c r="E587" s="4" t="str">
        <x:v>Cancelled</x:v>
      </x:c>
      <x:c r="F587" s="4" t="str">
        <x:v>CUS-00586</x:v>
      </x:c>
      <x:c r="G587" s="4" t="str">
        <x:v>UNIT-00586</x:v>
      </x:c>
      <x:c r="H587" s="9" t="n">
        <x:v>17000000</x:v>
      </x:c>
      <x:c r="I587" s="10" t="n">
        <x:v>0.05</x:v>
      </x:c>
      <x:c r="J587" s="11" t="n">
        <x:v>1</x:v>
      </x:c>
      <x:c r="K587" s="11" t="n">
        <x:v>1</x:v>
      </x:c>
      <x:c r="L587" s="11" t="n">
        <x:v>0</x:v>
      </x:c>
      <x:c r="M587" s="9" t="n">
        <x:f>ROUND(H587*(1-I587),2)</x:f>
        <x:v>16150000</x:v>
      </x:c>
      <x:c r="N587" s="4" t="str">
        <x:v>Sales manager</x:v>
      </x:c>
      <x:c r="O587" s="4"/>
      <x:c r="P587" s="9" t="n">
        <x:v>0</x:v>
      </x:c>
      <x:c r="Q587" s="11" t="n">
        <x:v>1</x:v>
      </x:c>
      <x:c r="R587" s="8" t="n">
        <x:v>45408</x:v>
      </x:c>
      <x:c r="S587" s="4" t="str">
        <x:v>Lost / cancelled</x:v>
      </x:c>
      <x:c r="T587" s="10" t="n">
        <x:v>0.204152</x:v>
      </x:c>
      <x:c r="U587" s="4" t="str">
        <x:v>Train</x:v>
      </x:c>
    </x:row>
    <x:row r="588" ht="34" customHeight="1">
      <x:c r="A588" s="4" t="str">
        <x:v>RS-00587</x:v>
      </x:c>
      <x:c r="B588" s="8" t="n">
        <x:v>45349</x:v>
      </x:c>
      <x:c r="C588" s="4" t="str">
        <x:v>PRJ-007</x:v>
      </x:c>
      <x:c r="D588" s="4" t="str">
        <x:v>Villa</x:v>
      </x:c>
      <x:c r="E588" s="4" t="str">
        <x:v>Booked</x:v>
      </x:c>
      <x:c r="F588" s="4" t="str">
        <x:v>CUS-00587</x:v>
      </x:c>
      <x:c r="G588" s="4" t="str">
        <x:v>UNIT-00587</x:v>
      </x:c>
      <x:c r="H588" s="9" t="n">
        <x:v>20300000</x:v>
      </x:c>
      <x:c r="I588" s="10" t="n">
        <x:v>0.06</x:v>
      </x:c>
      <x:c r="J588" s="11" t="n">
        <x:v>3</x:v>
      </x:c>
      <x:c r="K588" s="11" t="n">
        <x:v>3</x:v>
      </x:c>
      <x:c r="L588" s="11" t="n">
        <x:v>1</x:v>
      </x:c>
      <x:c r="M588" s="9" t="n">
        <x:f>ROUND(H588*(1-I588),2)</x:f>
        <x:v>19082000</x:v>
      </x:c>
      <x:c r="N588" s="4" t="str">
        <x:v>Sales manager</x:v>
      </x:c>
      <x:c r="O588" s="4" t="str">
        <x:v>BOOK-00587</x:v>
      </x:c>
      <x:c r="P588" s="9" t="n">
        <x:v>19082000</x:v>
      </x:c>
      <x:c r="Q588" s="11" t="n">
        <x:v>0</x:v>
      </x:c>
      <x:c r="R588" s="8" t="n">
        <x:v>45409</x:v>
      </x:c>
      <x:c r="S588" s="4" t="str">
        <x:v>Retained</x:v>
      </x:c>
      <x:c r="T588" s="10" t="n">
        <x:v>0.204152</x:v>
      </x:c>
      <x:c r="U588" s="4" t="str">
        <x:v>Train</x:v>
      </x:c>
    </x:row>
    <x:row r="589" ht="34" customHeight="1">
      <x:c r="A589" s="4" t="str">
        <x:v>RS-00588</x:v>
      </x:c>
      <x:c r="B589" s="8" t="n">
        <x:v>45350</x:v>
      </x:c>
      <x:c r="C589" s="4" t="str">
        <x:v>PRJ-008</x:v>
      </x:c>
      <x:c r="D589" s="4" t="str">
        <x:v>Apartment</x:v>
      </x:c>
      <x:c r="E589" s="4" t="str">
        <x:v>Cancelled</x:v>
      </x:c>
      <x:c r="F589" s="4" t="str">
        <x:v>CUS-00588</x:v>
      </x:c>
      <x:c r="G589" s="4" t="str">
        <x:v>UNIT-00588</x:v>
      </x:c>
      <x:c r="H589" s="9" t="n">
        <x:v>24500000</x:v>
      </x:c>
      <x:c r="I589" s="10" t="n">
        <x:v>0.03</x:v>
      </x:c>
      <x:c r="J589" s="11" t="n">
        <x:v>9</x:v>
      </x:c>
      <x:c r="K589" s="11" t="n">
        <x:v>5</x:v>
      </x:c>
      <x:c r="L589" s="11" t="n">
        <x:v>0</x:v>
      </x:c>
      <x:c r="M589" s="9" t="n">
        <x:f>ROUND(H589*(1-I589),2)</x:f>
        <x:v>23765000</x:v>
      </x:c>
      <x:c r="N589" s="4" t="str">
        <x:v>Sales manager</x:v>
      </x:c>
      <x:c r="O589" s="4"/>
      <x:c r="P589" s="9" t="n">
        <x:v>0</x:v>
      </x:c>
      <x:c r="Q589" s="11" t="n">
        <x:v>1</x:v>
      </x:c>
      <x:c r="R589" s="8" t="n">
        <x:v>45410</x:v>
      </x:c>
      <x:c r="S589" s="4" t="str">
        <x:v>Lost / cancelled</x:v>
      </x:c>
      <x:c r="T589" s="10" t="n">
        <x:v>0.310195</x:v>
      </x:c>
      <x:c r="U589" s="4" t="str">
        <x:v>Train</x:v>
      </x:c>
    </x:row>
    <x:row r="590" ht="34" customHeight="1">
      <x:c r="A590" s="4" t="str">
        <x:v>RS-00589</x:v>
      </x:c>
      <x:c r="B590" s="8" t="n">
        <x:v>45323</x:v>
      </x:c>
      <x:c r="C590" s="4" t="str">
        <x:v>PRJ-009</x:v>
      </x:c>
      <x:c r="D590" s="4" t="str">
        <x:v>Villa</x:v>
      </x:c>
      <x:c r="E590" s="4" t="str">
        <x:v>Agreement signed</x:v>
      </x:c>
      <x:c r="F590" s="4" t="str">
        <x:v>CUS-00589</x:v>
      </x:c>
      <x:c r="G590" s="4" t="str">
        <x:v>UNIT-00589</x:v>
      </x:c>
      <x:c r="H590" s="9" t="n">
        <x:v>23600000</x:v>
      </x:c>
      <x:c r="I590" s="10" t="n">
        <x:v>0.04</x:v>
      </x:c>
      <x:c r="J590" s="11" t="n">
        <x:v>7</x:v>
      </x:c>
      <x:c r="K590" s="11" t="n">
        <x:v>9</x:v>
      </x:c>
      <x:c r="L590" s="11" t="n">
        <x:v>1</x:v>
      </x:c>
      <x:c r="M590" s="9" t="n">
        <x:f>ROUND(H590*(1-I590),2)</x:f>
        <x:v>22656000</x:v>
      </x:c>
      <x:c r="N590" s="4" t="str">
        <x:v>Sales manager</x:v>
      </x:c>
      <x:c r="O590" s="4" t="str">
        <x:v>BOOK-00589</x:v>
      </x:c>
      <x:c r="P590" s="9" t="n">
        <x:v>5664000</x:v>
      </x:c>
      <x:c r="Q590" s="11" t="n">
        <x:v>0</x:v>
      </x:c>
      <x:c r="R590" s="8" t="n">
        <x:v>45383</x:v>
      </x:c>
      <x:c r="S590" s="4" t="str">
        <x:v>Retained</x:v>
      </x:c>
      <x:c r="T590" s="10" t="n">
        <x:v>0.291946</x:v>
      </x:c>
      <x:c r="U590" s="4" t="str">
        <x:v>Train</x:v>
      </x:c>
    </x:row>
    <x:row r="591" ht="34" customHeight="1">
      <x:c r="A591" s="4" t="str">
        <x:v>RS-00590</x:v>
      </x:c>
      <x:c r="B591" s="8" t="n">
        <x:v>45324</x:v>
      </x:c>
      <x:c r="C591" s="4" t="str">
        <x:v>PRJ-010</x:v>
      </x:c>
      <x:c r="D591" s="4" t="str">
        <x:v>Retail</x:v>
      </x:c>
      <x:c r="E591" s="4" t="str">
        <x:v>Reserved</x:v>
      </x:c>
      <x:c r="F591" s="4" t="str">
        <x:v>CUS-00590</x:v>
      </x:c>
      <x:c r="G591" s="4" t="str">
        <x:v>UNIT-00590</x:v>
      </x:c>
      <x:c r="H591" s="9" t="n">
        <x:v>18400000</x:v>
      </x:c>
      <x:c r="I591" s="10" t="n">
        <x:v>0.01</x:v>
      </x:c>
      <x:c r="J591" s="11" t="n">
        <x:v>0</x:v>
      </x:c>
      <x:c r="K591" s="11" t="n">
        <x:v>8</x:v>
      </x:c>
      <x:c r="L591" s="11" t="n">
        <x:v>0</x:v>
      </x:c>
      <x:c r="M591" s="9" t="n">
        <x:f>ROUND(H591*(1-I591),2)</x:f>
        <x:v>18216000</x:v>
      </x:c>
      <x:c r="N591" s="4" t="str">
        <x:v>Sales manager</x:v>
      </x:c>
      <x:c r="O591" s="4"/>
      <x:c r="P591" s="9" t="n">
        <x:v>0</x:v>
      </x:c>
      <x:c r="Q591" s="11" t="n">
        <x:v>0</x:v>
      </x:c>
      <x:c r="R591" s="8" t="n">
        <x:v>45384</x:v>
      </x:c>
      <x:c r="S591" s="4" t="str">
        <x:v>Retained</x:v>
      </x:c>
      <x:c r="T591" s="10" t="n">
        <x:v>0.072165</x:v>
      </x:c>
      <x:c r="U591" s="4" t="str">
        <x:v>Train</x:v>
      </x:c>
    </x:row>
    <x:row r="592" ht="34" customHeight="1">
      <x:c r="A592" s="4" t="str">
        <x:v>RS-00591</x:v>
      </x:c>
      <x:c r="B592" s="8" t="n">
        <x:v>45325</x:v>
      </x:c>
      <x:c r="C592" s="4" t="str">
        <x:v>PRJ-011</x:v>
      </x:c>
      <x:c r="D592" s="4" t="str">
        <x:v>Apartment</x:v>
      </x:c>
      <x:c r="E592" s="4" t="str">
        <x:v>Booked</x:v>
      </x:c>
      <x:c r="F592" s="4" t="str">
        <x:v>CUS-00591</x:v>
      </x:c>
      <x:c r="G592" s="4" t="str">
        <x:v>UNIT-00591</x:v>
      </x:c>
      <x:c r="H592" s="9" t="n">
        <x:v>23100000</x:v>
      </x:c>
      <x:c r="I592" s="10" t="n">
        <x:v>0.1</x:v>
      </x:c>
      <x:c r="J592" s="11" t="n">
        <x:v>2</x:v>
      </x:c>
      <x:c r="K592" s="11" t="n">
        <x:v>6</x:v>
      </x:c>
      <x:c r="L592" s="11" t="n">
        <x:v>0</x:v>
      </x:c>
      <x:c r="M592" s="9" t="n">
        <x:f>ROUND(H592*(1-I592),2)</x:f>
        <x:v>20790000</x:v>
      </x:c>
      <x:c r="N592" s="4" t="str">
        <x:v>Sales head</x:v>
      </x:c>
      <x:c r="O592" s="4" t="str">
        <x:v>BOOK-00591</x:v>
      </x:c>
      <x:c r="P592" s="9" t="n">
        <x:v>2079000</x:v>
      </x:c>
      <x:c r="Q592" s="11" t="n">
        <x:v>0</x:v>
      </x:c>
      <x:c r="R592" s="8" t="n">
        <x:v>45385</x:v>
      </x:c>
      <x:c r="S592" s="4" t="str">
        <x:v>Retained</x:v>
      </x:c>
      <x:c r="T592" s="10" t="n">
        <x:v>0.145833</x:v>
      </x:c>
      <x:c r="U592" s="4" t="str">
        <x:v>Train</x:v>
      </x:c>
    </x:row>
    <x:row r="593" ht="34" customHeight="1">
      <x:c r="A593" s="4" t="str">
        <x:v>RS-00592</x:v>
      </x:c>
      <x:c r="B593" s="8" t="n">
        <x:v>45326</x:v>
      </x:c>
      <x:c r="C593" s="4" t="str">
        <x:v>PRJ-012</x:v>
      </x:c>
      <x:c r="D593" s="4" t="str">
        <x:v>Office</x:v>
      </x:c>
      <x:c r="E593" s="4" t="str">
        <x:v>Enquiry</x:v>
      </x:c>
      <x:c r="F593" s="4" t="str">
        <x:v>CUS-00592</x:v>
      </x:c>
      <x:c r="G593" s="4" t="str">
        <x:v>UNIT-00592</x:v>
      </x:c>
      <x:c r="H593" s="9" t="n">
        <x:v>3200000</x:v>
      </x:c>
      <x:c r="I593" s="10" t="n">
        <x:v>0</x:v>
      </x:c>
      <x:c r="J593" s="11" t="n">
        <x:v>11</x:v>
      </x:c>
      <x:c r="K593" s="11" t="n">
        <x:v>5</x:v>
      </x:c>
      <x:c r="L593" s="11" t="n">
        <x:v>0</x:v>
      </x:c>
      <x:c r="M593" s="9" t="n">
        <x:f>ROUND(H593*(1-I593),2)</x:f>
        <x:v>3200000</x:v>
      </x:c>
      <x:c r="N593" s="4" t="str">
        <x:v>Sales manager</x:v>
      </x:c>
      <x:c r="O593" s="4"/>
      <x:c r="P593" s="9" t="n">
        <x:v>0</x:v>
      </x:c>
      <x:c r="Q593" s="11" t="n">
        <x:v>1</x:v>
      </x:c>
      <x:c r="R593" s="8" t="n">
        <x:v>45386</x:v>
      </x:c>
      <x:c r="S593" s="4" t="str">
        <x:v>Lost / cancelled</x:v>
      </x:c>
      <x:c r="T593" s="10" t="n">
        <x:v>0.305556</x:v>
      </x:c>
      <x:c r="U593" s="4" t="str">
        <x:v>Train</x:v>
      </x:c>
    </x:row>
    <x:row r="594" ht="34" customHeight="1">
      <x:c r="A594" s="4" t="str">
        <x:v>RS-00593</x:v>
      </x:c>
      <x:c r="B594" s="8" t="n">
        <x:v>45327</x:v>
      </x:c>
      <x:c r="C594" s="4" t="str">
        <x:v>PRJ-013</x:v>
      </x:c>
      <x:c r="D594" s="4" t="str">
        <x:v>Office</x:v>
      </x:c>
      <x:c r="E594" s="4" t="str">
        <x:v>Reserved</x:v>
      </x:c>
      <x:c r="F594" s="4" t="str">
        <x:v>CUS-00593</x:v>
      </x:c>
      <x:c r="G594" s="4" t="str">
        <x:v>UNIT-00593</x:v>
      </x:c>
      <x:c r="H594" s="9" t="n">
        <x:v>19000000</x:v>
      </x:c>
      <x:c r="I594" s="10" t="n">
        <x:v>0.08</x:v>
      </x:c>
      <x:c r="J594" s="11" t="n">
        <x:v>1</x:v>
      </x:c>
      <x:c r="K594" s="11" t="n">
        <x:v>10</x:v>
      </x:c>
      <x:c r="L594" s="11" t="n">
        <x:v>0</x:v>
      </x:c>
      <x:c r="M594" s="9" t="n">
        <x:f>ROUND(H594*(1-I594),2)</x:f>
        <x:v>17480000</x:v>
      </x:c>
      <x:c r="N594" s="4" t="str">
        <x:v>Sales head</x:v>
      </x:c>
      <x:c r="O594" s="4"/>
      <x:c r="P594" s="9" t="n">
        <x:v>0</x:v>
      </x:c>
      <x:c r="Q594" s="11" t="n">
        <x:v>0</x:v>
      </x:c>
      <x:c r="R594" s="8" t="n">
        <x:v>45387</x:v>
      </x:c>
      <x:c r="S594" s="4" t="str">
        <x:v>Retained</x:v>
      </x:c>
      <x:c r="T594" s="10" t="n">
        <x:v>0.204152</x:v>
      </x:c>
      <x:c r="U594" s="4" t="str">
        <x:v>Train</x:v>
      </x:c>
    </x:row>
    <x:row r="595" ht="34" customHeight="1">
      <x:c r="A595" s="4" t="str">
        <x:v>RS-00594</x:v>
      </x:c>
      <x:c r="B595" s="8" t="n">
        <x:v>45328</x:v>
      </x:c>
      <x:c r="C595" s="4" t="str">
        <x:v>PRJ-014</x:v>
      </x:c>
      <x:c r="D595" s="4" t="str">
        <x:v>Apartment</x:v>
      </x:c>
      <x:c r="E595" s="4" t="str">
        <x:v>Enquiry</x:v>
      </x:c>
      <x:c r="F595" s="4" t="str">
        <x:v>CUS-00594</x:v>
      </x:c>
      <x:c r="G595" s="4" t="str">
        <x:v>UNIT-00594</x:v>
      </x:c>
      <x:c r="H595" s="9" t="n">
        <x:v>6400000</x:v>
      </x:c>
      <x:c r="I595" s="10" t="n">
        <x:v>0.06</x:v>
      </x:c>
      <x:c r="J595" s="11" t="n">
        <x:v>0</x:v>
      </x:c>
      <x:c r="K595" s="11" t="n">
        <x:v>3</x:v>
      </x:c>
      <x:c r="L595" s="11" t="n">
        <x:v>1</x:v>
      </x:c>
      <x:c r="M595" s="9" t="n">
        <x:f>ROUND(H595*(1-I595),2)</x:f>
        <x:v>6016000</x:v>
      </x:c>
      <x:c r="N595" s="4" t="str">
        <x:v>Sales manager</x:v>
      </x:c>
      <x:c r="O595" s="4"/>
      <x:c r="P595" s="9" t="n">
        <x:v>0</x:v>
      </x:c>
      <x:c r="Q595" s="11" t="n">
        <x:v>0</x:v>
      </x:c>
      <x:c r="R595" s="8" t="n">
        <x:v>45388</x:v>
      </x:c>
      <x:c r="S595" s="4" t="str">
        <x:v>Retained</x:v>
      </x:c>
      <x:c r="T595" s="10" t="n">
        <x:v>0.204152</x:v>
      </x:c>
      <x:c r="U595" s="4" t="str">
        <x:v>Train</x:v>
      </x:c>
    </x:row>
    <x:row r="596" ht="34" customHeight="1">
      <x:c r="A596" s="4" t="str">
        <x:v>RS-00595</x:v>
      </x:c>
      <x:c r="B596" s="8" t="n">
        <x:v>45329</x:v>
      </x:c>
      <x:c r="C596" s="4" t="str">
        <x:v>PRJ-015</x:v>
      </x:c>
      <x:c r="D596" s="4" t="str">
        <x:v>Retail</x:v>
      </x:c>
      <x:c r="E596" s="4" t="str">
        <x:v>Booked</x:v>
      </x:c>
      <x:c r="F596" s="4" t="str">
        <x:v>CUS-00595</x:v>
      </x:c>
      <x:c r="G596" s="4" t="str">
        <x:v>UNIT-00595</x:v>
      </x:c>
      <x:c r="H596" s="9" t="n">
        <x:v>12200000</x:v>
      </x:c>
      <x:c r="I596" s="10" t="n">
        <x:v>0.02</x:v>
      </x:c>
      <x:c r="J596" s="11" t="n">
        <x:v>1</x:v>
      </x:c>
      <x:c r="K596" s="11" t="n">
        <x:v>7</x:v>
      </x:c>
      <x:c r="L596" s="11" t="n">
        <x:v>0</x:v>
      </x:c>
      <x:c r="M596" s="9" t="n">
        <x:f>ROUND(H596*(1-I596),2)</x:f>
        <x:v>11956000</x:v>
      </x:c>
      <x:c r="N596" s="4" t="str">
        <x:v>Sales manager</x:v>
      </x:c>
      <x:c r="O596" s="4" t="str">
        <x:v>BOOK-00595</x:v>
      </x:c>
      <x:c r="P596" s="9" t="n">
        <x:v>2989000</x:v>
      </x:c>
      <x:c r="Q596" s="11" t="n">
        <x:v>0</x:v>
      </x:c>
      <x:c r="R596" s="8" t="n">
        <x:v>45389</x:v>
      </x:c>
      <x:c r="S596" s="4" t="str">
        <x:v>Retained</x:v>
      </x:c>
      <x:c r="T596" s="10" t="n">
        <x:v>0.072165</x:v>
      </x:c>
      <x:c r="U596" s="4" t="str">
        <x:v>Train</x:v>
      </x:c>
    </x:row>
    <x:row r="597" ht="34" customHeight="1">
      <x:c r="A597" s="4" t="str">
        <x:v>RS-00596</x:v>
      </x:c>
      <x:c r="B597" s="8" t="n">
        <x:v>45330</x:v>
      </x:c>
      <x:c r="C597" s="4" t="str">
        <x:v>PRJ-016</x:v>
      </x:c>
      <x:c r="D597" s="4" t="str">
        <x:v>Apartment</x:v>
      </x:c>
      <x:c r="E597" s="4" t="str">
        <x:v>Agreement signed</x:v>
      </x:c>
      <x:c r="F597" s="4" t="str">
        <x:v>CUS-00596</x:v>
      </x:c>
      <x:c r="G597" s="4" t="str">
        <x:v>UNIT-00596</x:v>
      </x:c>
      <x:c r="H597" s="9" t="n">
        <x:v>19400000</x:v>
      </x:c>
      <x:c r="I597" s="10" t="n">
        <x:v>0.01</x:v>
      </x:c>
      <x:c r="J597" s="11" t="n">
        <x:v>0</x:v>
      </x:c>
      <x:c r="K597" s="11" t="n">
        <x:v>9</x:v>
      </x:c>
      <x:c r="L597" s="11" t="n">
        <x:v>0</x:v>
      </x:c>
      <x:c r="M597" s="9" t="n">
        <x:f>ROUND(H597*(1-I597),2)</x:f>
        <x:v>19206000</x:v>
      </x:c>
      <x:c r="N597" s="4" t="str">
        <x:v>Sales manager</x:v>
      </x:c>
      <x:c r="O597" s="4" t="str">
        <x:v>BOOK-00596</x:v>
      </x:c>
      <x:c r="P597" s="9" t="n">
        <x:v>4801500</x:v>
      </x:c>
      <x:c r="Q597" s="11" t="n">
        <x:v>0</x:v>
      </x:c>
      <x:c r="R597" s="8" t="n">
        <x:v>45390</x:v>
      </x:c>
      <x:c r="S597" s="4" t="str">
        <x:v>Retained</x:v>
      </x:c>
      <x:c r="T597" s="10" t="n">
        <x:v>0.072165</x:v>
      </x:c>
      <x:c r="U597" s="4" t="str">
        <x:v>Train</x:v>
      </x:c>
    </x:row>
    <x:row r="598" ht="34" customHeight="1">
      <x:c r="A598" s="4" t="str">
        <x:v>RS-00597</x:v>
      </x:c>
      <x:c r="B598" s="8" t="n">
        <x:v>45331</x:v>
      </x:c>
      <x:c r="C598" s="4" t="str">
        <x:v>PRJ-017</x:v>
      </x:c>
      <x:c r="D598" s="4" t="str">
        <x:v>Apartment</x:v>
      </x:c>
      <x:c r="E598" s="4" t="str">
        <x:v>Enquiry</x:v>
      </x:c>
      <x:c r="F598" s="4" t="str">
        <x:v>CUS-00597</x:v>
      </x:c>
      <x:c r="G598" s="4" t="str">
        <x:v>UNIT-00597</x:v>
      </x:c>
      <x:c r="H598" s="9" t="n">
        <x:v>11600000</x:v>
      </x:c>
      <x:c r="I598" s="10" t="n">
        <x:v>0.04</x:v>
      </x:c>
      <x:c r="J598" s="11" t="n">
        <x:v>11</x:v>
      </x:c>
      <x:c r="K598" s="11" t="n">
        <x:v>8</x:v>
      </x:c>
      <x:c r="L598" s="11" t="n">
        <x:v>0</x:v>
      </x:c>
      <x:c r="M598" s="9" t="n">
        <x:f>ROUND(H598*(1-I598),2)</x:f>
        <x:v>11136000</x:v>
      </x:c>
      <x:c r="N598" s="4" t="str">
        <x:v>Sales manager</x:v>
      </x:c>
      <x:c r="O598" s="4"/>
      <x:c r="P598" s="9" t="n">
        <x:v>0</x:v>
      </x:c>
      <x:c r="Q598" s="11" t="n">
        <x:v>0</x:v>
      </x:c>
      <x:c r="R598" s="8" t="n">
        <x:v>45391</x:v>
      </x:c>
      <x:c r="S598" s="4" t="str">
        <x:v>Retained</x:v>
      </x:c>
      <x:c r="T598" s="10" t="n">
        <x:v>0.351536</x:v>
      </x:c>
      <x:c r="U598" s="4" t="str">
        <x:v>Train</x:v>
      </x:c>
    </x:row>
    <x:row r="599" ht="34" customHeight="1">
      <x:c r="A599" s="4" t="str">
        <x:v>RS-00598</x:v>
      </x:c>
      <x:c r="B599" s="8" t="n">
        <x:v>45332</x:v>
      </x:c>
      <x:c r="C599" s="4" t="str">
        <x:v>PRJ-018</x:v>
      </x:c>
      <x:c r="D599" s="4" t="str">
        <x:v>Office</x:v>
      </x:c>
      <x:c r="E599" s="4" t="str">
        <x:v>Handed over</x:v>
      </x:c>
      <x:c r="F599" s="4" t="str">
        <x:v>CUS-00598</x:v>
      </x:c>
      <x:c r="G599" s="4" t="str">
        <x:v>UNIT-00598</x:v>
      </x:c>
      <x:c r="H599" s="9" t="n">
        <x:v>24100000</x:v>
      </x:c>
      <x:c r="I599" s="10" t="n">
        <x:v>0.01</x:v>
      </x:c>
      <x:c r="J599" s="11" t="n">
        <x:v>6</x:v>
      </x:c>
      <x:c r="K599" s="11" t="n">
        <x:v>5</x:v>
      </x:c>
      <x:c r="L599" s="11" t="n">
        <x:v>1</x:v>
      </x:c>
      <x:c r="M599" s="9" t="n">
        <x:f>ROUND(H599*(1-I599),2)</x:f>
        <x:v>23859000</x:v>
      </x:c>
      <x:c r="N599" s="4" t="str">
        <x:v>Sales manager</x:v>
      </x:c>
      <x:c r="O599" s="4" t="str">
        <x:v>BOOK-00598</x:v>
      </x:c>
      <x:c r="P599" s="9" t="n">
        <x:v>2385900</x:v>
      </x:c>
      <x:c r="Q599" s="11" t="n">
        <x:v>0</x:v>
      </x:c>
      <x:c r="R599" s="8" t="n">
        <x:v>45392</x:v>
      </x:c>
      <x:c r="S599" s="4" t="str">
        <x:v>Retained</x:v>
      </x:c>
      <x:c r="T599" s="10" t="n">
        <x:v>0.145299</x:v>
      </x:c>
      <x:c r="U599" s="4" t="str">
        <x:v>Train</x:v>
      </x:c>
    </x:row>
    <x:row r="600" ht="34" customHeight="1">
      <x:c r="A600" s="4" t="str">
        <x:v>RS-00599</x:v>
      </x:c>
      <x:c r="B600" s="8" t="n">
        <x:v>45333</x:v>
      </x:c>
      <x:c r="C600" s="4" t="str">
        <x:v>PRJ-019</x:v>
      </x:c>
      <x:c r="D600" s="4" t="str">
        <x:v>Retail</x:v>
      </x:c>
      <x:c r="E600" s="4" t="str">
        <x:v>Agreement signed</x:v>
      </x:c>
      <x:c r="F600" s="4" t="str">
        <x:v>CUS-00599</x:v>
      </x:c>
      <x:c r="G600" s="4" t="str">
        <x:v>UNIT-00599</x:v>
      </x:c>
      <x:c r="H600" s="9" t="n">
        <x:v>7700000</x:v>
      </x:c>
      <x:c r="I600" s="10" t="n">
        <x:v>0.09</x:v>
      </x:c>
      <x:c r="J600" s="11" t="n">
        <x:v>9</x:v>
      </x:c>
      <x:c r="K600" s="11" t="n">
        <x:v>0</x:v>
      </x:c>
      <x:c r="L600" s="11" t="n">
        <x:v>1</x:v>
      </x:c>
      <x:c r="M600" s="9" t="n">
        <x:f>ROUND(H600*(1-I600),2)</x:f>
        <x:v>7007000</x:v>
      </x:c>
      <x:c r="N600" s="4" t="str">
        <x:v>Sales head</x:v>
      </x:c>
      <x:c r="O600" s="4" t="str">
        <x:v>BOOK-00599</x:v>
      </x:c>
      <x:c r="P600" s="9" t="n">
        <x:v>1751750</x:v>
      </x:c>
      <x:c r="Q600" s="11" t="n">
        <x:v>0</x:v>
      </x:c>
      <x:c r="R600" s="8" t="n">
        <x:v>45393</x:v>
      </x:c>
      <x:c r="S600" s="4" t="str">
        <x:v>Retained</x:v>
      </x:c>
      <x:c r="T600" s="10" t="n">
        <x:v>0.310195</x:v>
      </x:c>
      <x:c r="U600" s="4" t="str">
        <x:v>Train</x:v>
      </x:c>
    </x:row>
    <x:row r="601" ht="34" customHeight="1">
      <x:c r="A601" s="4" t="str">
        <x:v>RS-00600</x:v>
      </x:c>
      <x:c r="B601" s="8" t="n">
        <x:v>45334</x:v>
      </x:c>
      <x:c r="C601" s="4" t="str">
        <x:v>PRJ-020</x:v>
      </x:c>
      <x:c r="D601" s="4" t="str">
        <x:v>Office</x:v>
      </x:c>
      <x:c r="E601" s="4" t="str">
        <x:v>Handed over</x:v>
      </x:c>
      <x:c r="F601" s="4" t="str">
        <x:v>CUS-00600</x:v>
      </x:c>
      <x:c r="G601" s="4" t="str">
        <x:v>UNIT-00600</x:v>
      </x:c>
      <x:c r="H601" s="9" t="n">
        <x:v>5700000</x:v>
      </x:c>
      <x:c r="I601" s="10" t="n">
        <x:v>0.09</x:v>
      </x:c>
      <x:c r="J601" s="11" t="n">
        <x:v>0</x:v>
      </x:c>
      <x:c r="K601" s="11" t="n">
        <x:v>0</x:v>
      </x:c>
      <x:c r="L601" s="11" t="n">
        <x:v>0</x:v>
      </x:c>
      <x:c r="M601" s="9" t="n">
        <x:f>ROUND(H601*(1-I601),2)</x:f>
        <x:v>5187000</x:v>
      </x:c>
      <x:c r="N601" s="4" t="str">
        <x:v>Sales head</x:v>
      </x:c>
      <x:c r="O601" s="4" t="str">
        <x:v>BOOK-00600</x:v>
      </x:c>
      <x:c r="P601" s="9" t="n">
        <x:v>2593500</x:v>
      </x:c>
      <x:c r="Q601" s="11" t="n">
        <x:v>0</x:v>
      </x:c>
      <x:c r="R601" s="8" t="n">
        <x:v>45394</x:v>
      </x:c>
      <x:c r="S601" s="4" t="str">
        <x:v>Retained</x:v>
      </x:c>
      <x:c r="T601" s="10" t="n">
        <x:v>0.276923</x:v>
      </x:c>
      <x:c r="U601" s="4" t="str">
        <x:v>Train</x:v>
      </x:c>
    </x:row>
    <x:row r="602" ht="34" customHeight="1">
      <x:c r="A602" s="4" t="str">
        <x:v>RS-00601</x:v>
      </x:c>
      <x:c r="B602" s="8" t="n">
        <x:v>45335</x:v>
      </x:c>
      <x:c r="C602" s="4" t="str">
        <x:v>PRJ-001</x:v>
      </x:c>
      <x:c r="D602" s="4" t="str">
        <x:v>Retail</x:v>
      </x:c>
      <x:c r="E602" s="4" t="str">
        <x:v>Reserved</x:v>
      </x:c>
      <x:c r="F602" s="4" t="str">
        <x:v>CUS-00601</x:v>
      </x:c>
      <x:c r="G602" s="4" t="str">
        <x:v>UNIT-00601</x:v>
      </x:c>
      <x:c r="H602" s="9" t="n">
        <x:v>15800000</x:v>
      </x:c>
      <x:c r="I602" s="10" t="n">
        <x:v>0.04</x:v>
      </x:c>
      <x:c r="J602" s="11" t="n">
        <x:v>3</x:v>
      </x:c>
      <x:c r="K602" s="11" t="n">
        <x:v>7</x:v>
      </x:c>
      <x:c r="L602" s="11" t="n">
        <x:v>1</x:v>
      </x:c>
      <x:c r="M602" s="9" t="n">
        <x:f>ROUND(H602*(1-I602),2)</x:f>
        <x:v>15168000</x:v>
      </x:c>
      <x:c r="N602" s="4" t="str">
        <x:v>Sales manager</x:v>
      </x:c>
      <x:c r="O602" s="4"/>
      <x:c r="P602" s="9" t="n">
        <x:v>0</x:v>
      </x:c>
      <x:c r="Q602" s="11" t="n">
        <x:v>1</x:v>
      </x:c>
      <x:c r="R602" s="8" t="n">
        <x:v>45395</x:v>
      </x:c>
      <x:c r="S602" s="4" t="str">
        <x:v>Lost / cancelled</x:v>
      </x:c>
      <x:c r="T602" s="10" t="n">
        <x:v>0.204152</x:v>
      </x:c>
      <x:c r="U602" s="4" t="str">
        <x:v>Train</x:v>
      </x:c>
    </x:row>
    <x:row r="603" ht="34" customHeight="1">
      <x:c r="A603" s="4" t="str">
        <x:v>RS-00602</x:v>
      </x:c>
      <x:c r="B603" s="8" t="n">
        <x:v>45336</x:v>
      </x:c>
      <x:c r="C603" s="4" t="str">
        <x:v>PRJ-002</x:v>
      </x:c>
      <x:c r="D603" s="4" t="str">
        <x:v>Retail</x:v>
      </x:c>
      <x:c r="E603" s="4" t="str">
        <x:v>Booked</x:v>
      </x:c>
      <x:c r="F603" s="4" t="str">
        <x:v>CUS-00602</x:v>
      </x:c>
      <x:c r="G603" s="4" t="str">
        <x:v>UNIT-00602</x:v>
      </x:c>
      <x:c r="H603" s="9" t="n">
        <x:v>11300000</x:v>
      </x:c>
      <x:c r="I603" s="10" t="n">
        <x:v>0.04</x:v>
      </x:c>
      <x:c r="J603" s="11" t="n">
        <x:v>12</x:v>
      </x:c>
      <x:c r="K603" s="11" t="n">
        <x:v>2</x:v>
      </x:c>
      <x:c r="L603" s="11" t="n">
        <x:v>1</x:v>
      </x:c>
      <x:c r="M603" s="9" t="n">
        <x:f>ROUND(H603*(1-I603),2)</x:f>
        <x:v>10848000</x:v>
      </x:c>
      <x:c r="N603" s="4" t="str">
        <x:v>Sales manager</x:v>
      </x:c>
      <x:c r="O603" s="4" t="str">
        <x:v>BOOK-00602</x:v>
      </x:c>
      <x:c r="P603" s="9" t="n">
        <x:v>1084800</x:v>
      </x:c>
      <x:c r="Q603" s="11" t="n">
        <x:v>0</x:v>
      </x:c>
      <x:c r="R603" s="8" t="n">
        <x:v>45396</x:v>
      </x:c>
      <x:c r="S603" s="4" t="str">
        <x:v>Retained</x:v>
      </x:c>
      <x:c r="T603" s="10" t="n">
        <x:v>0.351536</x:v>
      </x:c>
      <x:c r="U603" s="4" t="str">
        <x:v>Train</x:v>
      </x:c>
    </x:row>
    <x:row r="604" ht="34" customHeight="1">
      <x:c r="A604" s="4" t="str">
        <x:v>RS-00603</x:v>
      </x:c>
      <x:c r="B604" s="8" t="n">
        <x:v>45337</x:v>
      </x:c>
      <x:c r="C604" s="4" t="str">
        <x:v>PRJ-003</x:v>
      </x:c>
      <x:c r="D604" s="4" t="str">
        <x:v>Apartment</x:v>
      </x:c>
      <x:c r="E604" s="4" t="str">
        <x:v>Reserved</x:v>
      </x:c>
      <x:c r="F604" s="4" t="str">
        <x:v>CUS-00603</x:v>
      </x:c>
      <x:c r="G604" s="4" t="str">
        <x:v>UNIT-00603</x:v>
      </x:c>
      <x:c r="H604" s="9" t="n">
        <x:v>12300000</x:v>
      </x:c>
      <x:c r="I604" s="10" t="n">
        <x:v>0.09</x:v>
      </x:c>
      <x:c r="J604" s="11" t="n">
        <x:v>11</x:v>
      </x:c>
      <x:c r="K604" s="11" t="n">
        <x:v>5</x:v>
      </x:c>
      <x:c r="L604" s="11" t="n">
        <x:v>0</x:v>
      </x:c>
      <x:c r="M604" s="9" t="n">
        <x:f>ROUND(H604*(1-I604),2)</x:f>
        <x:v>11193000</x:v>
      </x:c>
      <x:c r="N604" s="4" t="str">
        <x:v>Sales head</x:v>
      </x:c>
      <x:c r="O604" s="4"/>
      <x:c r="P604" s="9" t="n">
        <x:v>0</x:v>
      </x:c>
      <x:c r="Q604" s="11" t="n">
        <x:v>1</x:v>
      </x:c>
      <x:c r="R604" s="8" t="n">
        <x:v>45397</x:v>
      </x:c>
      <x:c r="S604" s="4" t="str">
        <x:v>Lost / cancelled</x:v>
      </x:c>
      <x:c r="T604" s="10" t="n">
        <x:v>0.351536</x:v>
      </x:c>
      <x:c r="U604" s="4" t="str">
        <x:v>Train</x:v>
      </x:c>
    </x:row>
    <x:row r="605" ht="34" customHeight="1">
      <x:c r="A605" s="4" t="str">
        <x:v>RS-00604</x:v>
      </x:c>
      <x:c r="B605" s="8" t="n">
        <x:v>45338</x:v>
      </x:c>
      <x:c r="C605" s="4" t="str">
        <x:v>PRJ-004</x:v>
      </x:c>
      <x:c r="D605" s="4" t="str">
        <x:v>Office</x:v>
      </x:c>
      <x:c r="E605" s="4" t="str">
        <x:v>Reserved</x:v>
      </x:c>
      <x:c r="F605" s="4" t="str">
        <x:v>CUS-00604</x:v>
      </x:c>
      <x:c r="G605" s="4" t="str">
        <x:v>UNIT-00604</x:v>
      </x:c>
      <x:c r="H605" s="9" t="n">
        <x:v>23700000</x:v>
      </x:c>
      <x:c r="I605" s="10" t="n">
        <x:v>0.02</x:v>
      </x:c>
      <x:c r="J605" s="11" t="n">
        <x:v>2</x:v>
      </x:c>
      <x:c r="K605" s="11" t="n">
        <x:v>1</x:v>
      </x:c>
      <x:c r="L605" s="11" t="n">
        <x:v>0</x:v>
      </x:c>
      <x:c r="M605" s="9" t="n">
        <x:f>ROUND(H605*(1-I605),2)</x:f>
        <x:v>23226000</x:v>
      </x:c>
      <x:c r="N605" s="4" t="str">
        <x:v>Sales manager</x:v>
      </x:c>
      <x:c r="O605" s="4"/>
      <x:c r="P605" s="9" t="n">
        <x:v>0</x:v>
      </x:c>
      <x:c r="Q605" s="11" t="n">
        <x:v>0</x:v>
      </x:c>
      <x:c r="R605" s="8" t="n">
        <x:v>45398</x:v>
      </x:c>
      <x:c r="S605" s="4" t="str">
        <x:v>Retained</x:v>
      </x:c>
      <x:c r="T605" s="10" t="n">
        <x:v>0.171717</x:v>
      </x:c>
      <x:c r="U605" s="4" t="str">
        <x:v>Train</x:v>
      </x:c>
    </x:row>
    <x:row r="606" ht="34" customHeight="1">
      <x:c r="A606" s="4" t="str">
        <x:v>RS-00605</x:v>
      </x:c>
      <x:c r="B606" s="8" t="n">
        <x:v>45339</x:v>
      </x:c>
      <x:c r="C606" s="4" t="str">
        <x:v>PRJ-005</x:v>
      </x:c>
      <x:c r="D606" s="4" t="str">
        <x:v>Apartment</x:v>
      </x:c>
      <x:c r="E606" s="4" t="str">
        <x:v>Handed over</x:v>
      </x:c>
      <x:c r="F606" s="4" t="str">
        <x:v>CUS-00605</x:v>
      </x:c>
      <x:c r="G606" s="4" t="str">
        <x:v>UNIT-00605</x:v>
      </x:c>
      <x:c r="H606" s="9" t="n">
        <x:v>25000000</x:v>
      </x:c>
      <x:c r="I606" s="10" t="n">
        <x:v>0.03</x:v>
      </x:c>
      <x:c r="J606" s="11" t="n">
        <x:v>6</x:v>
      </x:c>
      <x:c r="K606" s="11" t="n">
        <x:v>2</x:v>
      </x:c>
      <x:c r="L606" s="11" t="n">
        <x:v>1</x:v>
      </x:c>
      <x:c r="M606" s="9" t="n">
        <x:f>ROUND(H606*(1-I606),2)</x:f>
        <x:v>24250000</x:v>
      </x:c>
      <x:c r="N606" s="4" t="str">
        <x:v>Sales manager</x:v>
      </x:c>
      <x:c r="O606" s="4" t="str">
        <x:v>BOOK-00605</x:v>
      </x:c>
      <x:c r="P606" s="9" t="n">
        <x:v>6062500</x:v>
      </x:c>
      <x:c r="Q606" s="11" t="n">
        <x:v>0</x:v>
      </x:c>
      <x:c r="R606" s="8" t="n">
        <x:v>45399</x:v>
      </x:c>
      <x:c r="S606" s="4" t="str">
        <x:v>Retained</x:v>
      </x:c>
      <x:c r="T606" s="10" t="n">
        <x:v>0.298969</x:v>
      </x:c>
      <x:c r="U606" s="4" t="str">
        <x:v>Train</x:v>
      </x:c>
    </x:row>
    <x:row r="607" ht="34" customHeight="1">
      <x:c r="A607" s="4" t="str">
        <x:v>RS-00606</x:v>
      </x:c>
      <x:c r="B607" s="8" t="n">
        <x:v>45340</x:v>
      </x:c>
      <x:c r="C607" s="4" t="str">
        <x:v>PRJ-006</x:v>
      </x:c>
      <x:c r="D607" s="4" t="str">
        <x:v>Office</x:v>
      </x:c>
      <x:c r="E607" s="4" t="str">
        <x:v>Booked</x:v>
      </x:c>
      <x:c r="F607" s="4" t="str">
        <x:v>CUS-00606</x:v>
      </x:c>
      <x:c r="G607" s="4" t="str">
        <x:v>UNIT-00606</x:v>
      </x:c>
      <x:c r="H607" s="9" t="n">
        <x:v>23600000</x:v>
      </x:c>
      <x:c r="I607" s="10" t="n">
        <x:v>0.05</x:v>
      </x:c>
      <x:c r="J607" s="11" t="n">
        <x:v>9</x:v>
      </x:c>
      <x:c r="K607" s="11" t="n">
        <x:v>0</x:v>
      </x:c>
      <x:c r="L607" s="11" t="n">
        <x:v>0</x:v>
      </x:c>
      <x:c r="M607" s="9" t="n">
        <x:f>ROUND(H607*(1-I607),2)</x:f>
        <x:v>22420000</x:v>
      </x:c>
      <x:c r="N607" s="4" t="str">
        <x:v>Sales manager</x:v>
      </x:c>
      <x:c r="O607" s="4" t="str">
        <x:v>BOOK-00606</x:v>
      </x:c>
      <x:c r="P607" s="9" t="n">
        <x:v>11210000</x:v>
      </x:c>
      <x:c r="Q607" s="11" t="n">
        <x:v>0</x:v>
      </x:c>
      <x:c r="R607" s="8" t="n">
        <x:v>45400</x:v>
      </x:c>
      <x:c r="S607" s="4" t="str">
        <x:v>Retained</x:v>
      </x:c>
      <x:c r="T607" s="10" t="n">
        <x:v>0.310195</x:v>
      </x:c>
      <x:c r="U607" s="4" t="str">
        <x:v>Train</x:v>
      </x:c>
    </x:row>
    <x:row r="608" ht="34" customHeight="1">
      <x:c r="A608" s="4" t="str">
        <x:v>RS-00607</x:v>
      </x:c>
      <x:c r="B608" s="8" t="n">
        <x:v>45341</x:v>
      </x:c>
      <x:c r="C608" s="4" t="str">
        <x:v>PRJ-007</x:v>
      </x:c>
      <x:c r="D608" s="4" t="str">
        <x:v>Apartment</x:v>
      </x:c>
      <x:c r="E608" s="4" t="str">
        <x:v>Cancelled</x:v>
      </x:c>
      <x:c r="F608" s="4" t="str">
        <x:v>CUS-00607</x:v>
      </x:c>
      <x:c r="G608" s="4" t="str">
        <x:v>UNIT-00607</x:v>
      </x:c>
      <x:c r="H608" s="9" t="n">
        <x:v>15700000</x:v>
      </x:c>
      <x:c r="I608" s="10" t="n">
        <x:v>0</x:v>
      </x:c>
      <x:c r="J608" s="11" t="n">
        <x:v>3</x:v>
      </x:c>
      <x:c r="K608" s="11" t="n">
        <x:v>3</x:v>
      </x:c>
      <x:c r="L608" s="11" t="n">
        <x:v>1</x:v>
      </x:c>
      <x:c r="M608" s="9" t="n">
        <x:f>ROUND(H608*(1-I608),2)</x:f>
        <x:v>15700000</x:v>
      </x:c>
      <x:c r="N608" s="4" t="str">
        <x:v>Sales manager</x:v>
      </x:c>
      <x:c r="O608" s="4"/>
      <x:c r="P608" s="9" t="n">
        <x:v>0</x:v>
      </x:c>
      <x:c r="Q608" s="11" t="n">
        <x:v>1</x:v>
      </x:c>
      <x:c r="R608" s="8" t="n">
        <x:v>45401</x:v>
      </x:c>
      <x:c r="S608" s="4" t="str">
        <x:v>Lost / cancelled</x:v>
      </x:c>
      <x:c r="T608" s="10" t="n">
        <x:v>0.171717</x:v>
      </x:c>
      <x:c r="U608" s="4" t="str">
        <x:v>Train</x:v>
      </x:c>
    </x:row>
    <x:row r="609" ht="34" customHeight="1">
      <x:c r="A609" s="4" t="str">
        <x:v>RS-00608</x:v>
      </x:c>
      <x:c r="B609" s="8" t="n">
        <x:v>45342</x:v>
      </x:c>
      <x:c r="C609" s="4" t="str">
        <x:v>PRJ-008</x:v>
      </x:c>
      <x:c r="D609" s="4" t="str">
        <x:v>Villa</x:v>
      </x:c>
      <x:c r="E609" s="4" t="str">
        <x:v>Reserved</x:v>
      </x:c>
      <x:c r="F609" s="4" t="str">
        <x:v>CUS-00608</x:v>
      </x:c>
      <x:c r="G609" s="4" t="str">
        <x:v>UNIT-00608</x:v>
      </x:c>
      <x:c r="H609" s="9" t="n">
        <x:v>20800000</x:v>
      </x:c>
      <x:c r="I609" s="10" t="n">
        <x:v>0.05</x:v>
      </x:c>
      <x:c r="J609" s="11" t="n">
        <x:v>7</x:v>
      </x:c>
      <x:c r="K609" s="11" t="n">
        <x:v>0</x:v>
      </x:c>
      <x:c r="L609" s="11" t="n">
        <x:v>1</x:v>
      </x:c>
      <x:c r="M609" s="9" t="n">
        <x:f>ROUND(H609*(1-I609),2)</x:f>
        <x:v>19760000</x:v>
      </x:c>
      <x:c r="N609" s="4" t="str">
        <x:v>Sales manager</x:v>
      </x:c>
      <x:c r="O609" s="4"/>
      <x:c r="P609" s="9" t="n">
        <x:v>0</x:v>
      </x:c>
      <x:c r="Q609" s="11" t="n">
        <x:v>1</x:v>
      </x:c>
      <x:c r="R609" s="8" t="n">
        <x:v>45402</x:v>
      </x:c>
      <x:c r="S609" s="4" t="str">
        <x:v>Lost / cancelled</x:v>
      </x:c>
      <x:c r="T609" s="10" t="n">
        <x:v>0.291946</x:v>
      </x:c>
      <x:c r="U609" s="4" t="str">
        <x:v>Train</x:v>
      </x:c>
    </x:row>
    <x:row r="610" ht="34" customHeight="1">
      <x:c r="A610" s="4" t="str">
        <x:v>RS-00609</x:v>
      </x:c>
      <x:c r="B610" s="8" t="n">
        <x:v>45343</x:v>
      </x:c>
      <x:c r="C610" s="4" t="str">
        <x:v>PRJ-009</x:v>
      </x:c>
      <x:c r="D610" s="4" t="str">
        <x:v>Office</x:v>
      </x:c>
      <x:c r="E610" s="4" t="str">
        <x:v>Agreement signed</x:v>
      </x:c>
      <x:c r="F610" s="4" t="str">
        <x:v>CUS-00609</x:v>
      </x:c>
      <x:c r="G610" s="4" t="str">
        <x:v>UNIT-00609</x:v>
      </x:c>
      <x:c r="H610" s="9" t="n">
        <x:v>25000000</x:v>
      </x:c>
      <x:c r="I610" s="10" t="n">
        <x:v>0.05</x:v>
      </x:c>
      <x:c r="J610" s="11" t="n">
        <x:v>0</x:v>
      </x:c>
      <x:c r="K610" s="11" t="n">
        <x:v>6</x:v>
      </x:c>
      <x:c r="L610" s="11" t="n">
        <x:v>0</x:v>
      </x:c>
      <x:c r="M610" s="9" t="n">
        <x:f>ROUND(H610*(1-I610),2)</x:f>
        <x:v>23750000</x:v>
      </x:c>
      <x:c r="N610" s="4" t="str">
        <x:v>Sales manager</x:v>
      </x:c>
      <x:c r="O610" s="4" t="str">
        <x:v>BOOK-00609</x:v>
      </x:c>
      <x:c r="P610" s="9" t="n">
        <x:v>2375000</x:v>
      </x:c>
      <x:c r="Q610" s="11" t="n">
        <x:v>0</x:v>
      </x:c>
      <x:c r="R610" s="8" t="n">
        <x:v>45403</x:v>
      </x:c>
      <x:c r="S610" s="4" t="str">
        <x:v>Retained</x:v>
      </x:c>
      <x:c r="T610" s="10" t="n">
        <x:v>0.204152</x:v>
      </x:c>
      <x:c r="U610" s="4" t="str">
        <x:v>Train</x:v>
      </x:c>
    </x:row>
    <x:row r="611" ht="34" customHeight="1">
      <x:c r="A611" s="4" t="str">
        <x:v>RS-00610</x:v>
      </x:c>
      <x:c r="B611" s="8" t="n">
        <x:v>45344</x:v>
      </x:c>
      <x:c r="C611" s="4" t="str">
        <x:v>PRJ-010</x:v>
      </x:c>
      <x:c r="D611" s="4" t="str">
        <x:v>Office</x:v>
      </x:c>
      <x:c r="E611" s="4" t="str">
        <x:v>Booked</x:v>
      </x:c>
      <x:c r="F611" s="4" t="str">
        <x:v>CUS-00610</x:v>
      </x:c>
      <x:c r="G611" s="4" t="str">
        <x:v>UNIT-00610</x:v>
      </x:c>
      <x:c r="H611" s="9" t="n">
        <x:v>14200000</x:v>
      </x:c>
      <x:c r="I611" s="10" t="n">
        <x:v>0.02</x:v>
      </x:c>
      <x:c r="J611" s="11" t="n">
        <x:v>3</x:v>
      </x:c>
      <x:c r="K611" s="11" t="n">
        <x:v>8</x:v>
      </x:c>
      <x:c r="L611" s="11" t="n">
        <x:v>1</x:v>
      </x:c>
      <x:c r="M611" s="9" t="n">
        <x:f>ROUND(H611*(1-I611),2)</x:f>
        <x:v>13916000</x:v>
      </x:c>
      <x:c r="N611" s="4" t="str">
        <x:v>Sales manager</x:v>
      </x:c>
      <x:c r="O611" s="4" t="str">
        <x:v>BOOK-00610</x:v>
      </x:c>
      <x:c r="P611" s="9" t="n">
        <x:v>1391600</x:v>
      </x:c>
      <x:c r="Q611" s="11" t="n">
        <x:v>0</x:v>
      </x:c>
      <x:c r="R611" s="8" t="n">
        <x:v>45404</x:v>
      </x:c>
      <x:c r="S611" s="4" t="str">
        <x:v>Retained</x:v>
      </x:c>
      <x:c r="T611" s="10" t="n">
        <x:v>0.171717</x:v>
      </x:c>
      <x:c r="U611" s="4" t="str">
        <x:v>Train</x:v>
      </x:c>
    </x:row>
    <x:row r="612" ht="34" customHeight="1">
      <x:c r="A612" s="4" t="str">
        <x:v>RS-00611</x:v>
      </x:c>
      <x:c r="B612" s="8" t="n">
        <x:v>45345</x:v>
      </x:c>
      <x:c r="C612" s="4" t="str">
        <x:v>PRJ-011</x:v>
      </x:c>
      <x:c r="D612" s="4" t="str">
        <x:v>Villa</x:v>
      </x:c>
      <x:c r="E612" s="4" t="str">
        <x:v>Agreement signed</x:v>
      </x:c>
      <x:c r="F612" s="4" t="str">
        <x:v>CUS-00611</x:v>
      </x:c>
      <x:c r="G612" s="4" t="str">
        <x:v>UNIT-00611</x:v>
      </x:c>
      <x:c r="H612" s="9" t="n">
        <x:v>7400000</x:v>
      </x:c>
      <x:c r="I612" s="10" t="n">
        <x:v>0.04</x:v>
      </x:c>
      <x:c r="J612" s="11" t="n">
        <x:v>3</x:v>
      </x:c>
      <x:c r="K612" s="11" t="n">
        <x:v>4</x:v>
      </x:c>
      <x:c r="L612" s="11" t="n">
        <x:v>0</x:v>
      </x:c>
      <x:c r="M612" s="9" t="n">
        <x:f>ROUND(H612*(1-I612),2)</x:f>
        <x:v>7104000</x:v>
      </x:c>
      <x:c r="N612" s="4" t="str">
        <x:v>Sales manager</x:v>
      </x:c>
      <x:c r="O612" s="4" t="str">
        <x:v>BOOK-00611</x:v>
      </x:c>
      <x:c r="P612" s="9" t="n">
        <x:v>3552000</x:v>
      </x:c>
      <x:c r="Q612" s="11" t="n">
        <x:v>0</x:v>
      </x:c>
      <x:c r="R612" s="8" t="n">
        <x:v>45405</x:v>
      </x:c>
      <x:c r="S612" s="4" t="str">
        <x:v>Retained</x:v>
      </x:c>
      <x:c r="T612" s="10" t="n">
        <x:v>0.204152</x:v>
      </x:c>
      <x:c r="U612" s="4" t="str">
        <x:v>Train</x:v>
      </x:c>
    </x:row>
    <x:row r="613" ht="34" customHeight="1">
      <x:c r="A613" s="4" t="str">
        <x:v>RS-00612</x:v>
      </x:c>
      <x:c r="B613" s="8" t="n">
        <x:v>45346</x:v>
      </x:c>
      <x:c r="C613" s="4" t="str">
        <x:v>PRJ-012</x:v>
      </x:c>
      <x:c r="D613" s="4" t="str">
        <x:v>Retail</x:v>
      </x:c>
      <x:c r="E613" s="4" t="str">
        <x:v>Handed over</x:v>
      </x:c>
      <x:c r="F613" s="4" t="str">
        <x:v>CUS-00612</x:v>
      </x:c>
      <x:c r="G613" s="4" t="str">
        <x:v>UNIT-00612</x:v>
      </x:c>
      <x:c r="H613" s="9" t="n">
        <x:v>20400000</x:v>
      </x:c>
      <x:c r="I613" s="10" t="n">
        <x:v>0.01</x:v>
      </x:c>
      <x:c r="J613" s="11" t="n">
        <x:v>2</x:v>
      </x:c>
      <x:c r="K613" s="11" t="n">
        <x:v>3</x:v>
      </x:c>
      <x:c r="L613" s="11" t="n">
        <x:v>0</x:v>
      </x:c>
      <x:c r="M613" s="9" t="n">
        <x:f>ROUND(H613*(1-I613),2)</x:f>
        <x:v>20196000</x:v>
      </x:c>
      <x:c r="N613" s="4" t="str">
        <x:v>Sales manager</x:v>
      </x:c>
      <x:c r="O613" s="4" t="str">
        <x:v>BOOK-00612</x:v>
      </x:c>
      <x:c r="P613" s="9" t="n">
        <x:v>5049000</x:v>
      </x:c>
      <x:c r="Q613" s="11" t="n">
        <x:v>0</x:v>
      </x:c>
      <x:c r="R613" s="8" t="n">
        <x:v>45406</x:v>
      </x:c>
      <x:c r="S613" s="4" t="str">
        <x:v>Retained</x:v>
      </x:c>
      <x:c r="T613" s="10" t="n">
        <x:v>0.171717</x:v>
      </x:c>
      <x:c r="U613" s="4" t="str">
        <x:v>Train</x:v>
      </x:c>
    </x:row>
    <x:row r="614" ht="34" customHeight="1">
      <x:c r="A614" s="4" t="str">
        <x:v>RS-00613</x:v>
      </x:c>
      <x:c r="B614" s="8" t="n">
        <x:v>45347</x:v>
      </x:c>
      <x:c r="C614" s="4" t="str">
        <x:v>PRJ-013</x:v>
      </x:c>
      <x:c r="D614" s="4" t="str">
        <x:v>Apartment</x:v>
      </x:c>
      <x:c r="E614" s="4" t="str">
        <x:v>Booked</x:v>
      </x:c>
      <x:c r="F614" s="4" t="str">
        <x:v>CUS-00613</x:v>
      </x:c>
      <x:c r="G614" s="4" t="str">
        <x:v>UNIT-00613</x:v>
      </x:c>
      <x:c r="H614" s="9" t="n">
        <x:v>8800000</x:v>
      </x:c>
      <x:c r="I614" s="10" t="n">
        <x:v>0.03</x:v>
      </x:c>
      <x:c r="J614" s="11" t="n">
        <x:v>6</x:v>
      </x:c>
      <x:c r="K614" s="11" t="n">
        <x:v>7</x:v>
      </x:c>
      <x:c r="L614" s="11" t="n">
        <x:v>0</x:v>
      </x:c>
      <x:c r="M614" s="9" t="n">
        <x:f>ROUND(H614*(1-I614),2)</x:f>
        <x:v>8536000</x:v>
      </x:c>
      <x:c r="N614" s="4" t="str">
        <x:v>Sales manager</x:v>
      </x:c>
      <x:c r="O614" s="4" t="str">
        <x:v>BOOK-00613</x:v>
      </x:c>
      <x:c r="P614" s="9" t="n">
        <x:v>2134000</x:v>
      </x:c>
      <x:c r="Q614" s="11" t="n">
        <x:v>0</x:v>
      </x:c>
      <x:c r="R614" s="8" t="n">
        <x:v>45407</x:v>
      </x:c>
      <x:c r="S614" s="4" t="str">
        <x:v>Retained</x:v>
      </x:c>
      <x:c r="T614" s="10" t="n">
        <x:v>0.145299</x:v>
      </x:c>
      <x:c r="U614" s="4" t="str">
        <x:v>Train</x:v>
      </x:c>
    </x:row>
    <x:row r="615" ht="34" customHeight="1">
      <x:c r="A615" s="4" t="str">
        <x:v>RS-00614</x:v>
      </x:c>
      <x:c r="B615" s="8" t="n">
        <x:v>45348</x:v>
      </x:c>
      <x:c r="C615" s="4" t="str">
        <x:v>PRJ-014</x:v>
      </x:c>
      <x:c r="D615" s="4" t="str">
        <x:v>Villa</x:v>
      </x:c>
      <x:c r="E615" s="4" t="str">
        <x:v>Cancelled</x:v>
      </x:c>
      <x:c r="F615" s="4" t="str">
        <x:v>CUS-00614</x:v>
      </x:c>
      <x:c r="G615" s="4" t="str">
        <x:v>UNIT-00614</x:v>
      </x:c>
      <x:c r="H615" s="9" t="n">
        <x:v>8100000</x:v>
      </x:c>
      <x:c r="I615" s="10" t="n">
        <x:v>0.08</x:v>
      </x:c>
      <x:c r="J615" s="11" t="n">
        <x:v>9</x:v>
      </x:c>
      <x:c r="K615" s="11" t="n">
        <x:v>2</x:v>
      </x:c>
      <x:c r="L615" s="11" t="n">
        <x:v>1</x:v>
      </x:c>
      <x:c r="M615" s="9" t="n">
        <x:f>ROUND(H615*(1-I615),2)</x:f>
        <x:v>7452000</x:v>
      </x:c>
      <x:c r="N615" s="4" t="str">
        <x:v>Sales head</x:v>
      </x:c>
      <x:c r="O615" s="4"/>
      <x:c r="P615" s="9" t="n">
        <x:v>0</x:v>
      </x:c>
      <x:c r="Q615" s="11" t="n">
        <x:v>1</x:v>
      </x:c>
      <x:c r="R615" s="8" t="n">
        <x:v>45408</x:v>
      </x:c>
      <x:c r="S615" s="4" t="str">
        <x:v>Lost / cancelled</x:v>
      </x:c>
      <x:c r="T615" s="10" t="n">
        <x:v>0.310195</x:v>
      </x:c>
      <x:c r="U615" s="4" t="str">
        <x:v>Train</x:v>
      </x:c>
    </x:row>
    <x:row r="616" ht="34" customHeight="1">
      <x:c r="A616" s="4" t="str">
        <x:v>RS-00615</x:v>
      </x:c>
      <x:c r="B616" s="8" t="n">
        <x:v>45349</x:v>
      </x:c>
      <x:c r="C616" s="4" t="str">
        <x:v>PRJ-015</x:v>
      </x:c>
      <x:c r="D616" s="4" t="str">
        <x:v>Retail</x:v>
      </x:c>
      <x:c r="E616" s="4" t="str">
        <x:v>Agreement signed</x:v>
      </x:c>
      <x:c r="F616" s="4" t="str">
        <x:v>CUS-00615</x:v>
      </x:c>
      <x:c r="G616" s="4" t="str">
        <x:v>UNIT-00615</x:v>
      </x:c>
      <x:c r="H616" s="9" t="n">
        <x:v>6900000</x:v>
      </x:c>
      <x:c r="I616" s="10" t="n">
        <x:v>0.04</x:v>
      </x:c>
      <x:c r="J616" s="11" t="n">
        <x:v>6</x:v>
      </x:c>
      <x:c r="K616" s="11" t="n">
        <x:v>9</x:v>
      </x:c>
      <x:c r="L616" s="11" t="n">
        <x:v>1</x:v>
      </x:c>
      <x:c r="M616" s="9" t="n">
        <x:f>ROUND(H616*(1-I616),2)</x:f>
        <x:v>6624000</x:v>
      </x:c>
      <x:c r="N616" s="4" t="str">
        <x:v>Sales manager</x:v>
      </x:c>
      <x:c r="O616" s="4" t="str">
        <x:v>BOOK-00615</x:v>
      </x:c>
      <x:c r="P616" s="9" t="n">
        <x:v>6624000</x:v>
      </x:c>
      <x:c r="Q616" s="11" t="n">
        <x:v>0</x:v>
      </x:c>
      <x:c r="R616" s="8" t="n">
        <x:v>45409</x:v>
      </x:c>
      <x:c r="S616" s="4" t="str">
        <x:v>Retained</x:v>
      </x:c>
      <x:c r="T616" s="10" t="n">
        <x:v>0.291946</x:v>
      </x:c>
      <x:c r="U616" s="4" t="str">
        <x:v>Train</x:v>
      </x:c>
    </x:row>
    <x:row r="617" ht="34" customHeight="1">
      <x:c r="A617" s="4" t="str">
        <x:v>RS-00616</x:v>
      </x:c>
      <x:c r="B617" s="8" t="n">
        <x:v>45350</x:v>
      </x:c>
      <x:c r="C617" s="4" t="str">
        <x:v>PRJ-016</x:v>
      </x:c>
      <x:c r="D617" s="4" t="str">
        <x:v>Apartment</x:v>
      </x:c>
      <x:c r="E617" s="4" t="str">
        <x:v>Handed over</x:v>
      </x:c>
      <x:c r="F617" s="4" t="str">
        <x:v>CUS-00616</x:v>
      </x:c>
      <x:c r="G617" s="4" t="str">
        <x:v>UNIT-00616</x:v>
      </x:c>
      <x:c r="H617" s="9" t="n">
        <x:v>3800000</x:v>
      </x:c>
      <x:c r="I617" s="10" t="n">
        <x:v>0.1</x:v>
      </x:c>
      <x:c r="J617" s="11" t="n">
        <x:v>11</x:v>
      </x:c>
      <x:c r="K617" s="11" t="n">
        <x:v>8</x:v>
      </x:c>
      <x:c r="L617" s="11" t="n">
        <x:v>1</x:v>
      </x:c>
      <x:c r="M617" s="9" t="n">
        <x:f>ROUND(H617*(1-I617),2)</x:f>
        <x:v>3420000</x:v>
      </x:c>
      <x:c r="N617" s="4" t="str">
        <x:v>Sales head</x:v>
      </x:c>
      <x:c r="O617" s="4" t="str">
        <x:v>BOOK-00616</x:v>
      </x:c>
      <x:c r="P617" s="9" t="n">
        <x:v>855000</x:v>
      </x:c>
      <x:c r="Q617" s="11" t="n">
        <x:v>0</x:v>
      </x:c>
      <x:c r="R617" s="8" t="n">
        <x:v>45410</x:v>
      </x:c>
      <x:c r="S617" s="4" t="str">
        <x:v>Retained</x:v>
      </x:c>
      <x:c r="T617" s="10" t="n">
        <x:v>0.351536</x:v>
      </x:c>
      <x:c r="U617" s="4" t="str">
        <x:v>Train</x:v>
      </x:c>
    </x:row>
    <x:row r="618" ht="34" customHeight="1">
      <x:c r="A618" s="4" t="str">
        <x:v>RS-00617</x:v>
      </x:c>
      <x:c r="B618" s="8" t="n">
        <x:v>45323</x:v>
      </x:c>
      <x:c r="C618" s="4" t="str">
        <x:v>PRJ-017</x:v>
      </x:c>
      <x:c r="D618" s="4" t="str">
        <x:v>Office</x:v>
      </x:c>
      <x:c r="E618" s="4" t="str">
        <x:v>Booked</x:v>
      </x:c>
      <x:c r="F618" s="4" t="str">
        <x:v>CUS-00617</x:v>
      </x:c>
      <x:c r="G618" s="4" t="str">
        <x:v>UNIT-00617</x:v>
      </x:c>
      <x:c r="H618" s="9" t="n">
        <x:v>23600000</x:v>
      </x:c>
      <x:c r="I618" s="10" t="n">
        <x:v>0</x:v>
      </x:c>
      <x:c r="J618" s="11" t="n">
        <x:v>5</x:v>
      </x:c>
      <x:c r="K618" s="11" t="n">
        <x:v>1</x:v>
      </x:c>
      <x:c r="L618" s="11" t="n">
        <x:v>0</x:v>
      </x:c>
      <x:c r="M618" s="9" t="n">
        <x:f>ROUND(H618*(1-I618),2)</x:f>
        <x:v>23600000</x:v>
      </x:c>
      <x:c r="N618" s="4" t="str">
        <x:v>Sales manager</x:v>
      </x:c>
      <x:c r="O618" s="4" t="str">
        <x:v>BOOK-00617</x:v>
      </x:c>
      <x:c r="P618" s="9" t="n">
        <x:v>5900000</x:v>
      </x:c>
      <x:c r="Q618" s="11" t="n">
        <x:v>0</x:v>
      </x:c>
      <x:c r="R618" s="8" t="n">
        <x:v>45383</x:v>
      </x:c>
      <x:c r="S618" s="4" t="str">
        <x:v>Retained</x:v>
      </x:c>
      <x:c r="T618" s="10" t="n">
        <x:v>0.298969</x:v>
      </x:c>
      <x:c r="U618" s="4" t="str">
        <x:v>Train</x:v>
      </x:c>
    </x:row>
    <x:row r="619" ht="34" customHeight="1">
      <x:c r="A619" s="4" t="str">
        <x:v>RS-00618</x:v>
      </x:c>
      <x:c r="B619" s="8" t="n">
        <x:v>45324</x:v>
      </x:c>
      <x:c r="C619" s="4" t="str">
        <x:v>PRJ-018</x:v>
      </x:c>
      <x:c r="D619" s="4" t="str">
        <x:v>Office</x:v>
      </x:c>
      <x:c r="E619" s="4" t="str">
        <x:v>Reserved</x:v>
      </x:c>
      <x:c r="F619" s="4" t="str">
        <x:v>CUS-00618</x:v>
      </x:c>
      <x:c r="G619" s="4" t="str">
        <x:v>UNIT-00618</x:v>
      </x:c>
      <x:c r="H619" s="9" t="n">
        <x:v>5300000</x:v>
      </x:c>
      <x:c r="I619" s="10" t="n">
        <x:v>0.05</x:v>
      </x:c>
      <x:c r="J619" s="11" t="n">
        <x:v>6</x:v>
      </x:c>
      <x:c r="K619" s="11" t="n">
        <x:v>6</x:v>
      </x:c>
      <x:c r="L619" s="11" t="n">
        <x:v>1</x:v>
      </x:c>
      <x:c r="M619" s="9" t="n">
        <x:f>ROUND(H619*(1-I619),2)</x:f>
        <x:v>5035000</x:v>
      </x:c>
      <x:c r="N619" s="4" t="str">
        <x:v>Sales manager</x:v>
      </x:c>
      <x:c r="O619" s="4"/>
      <x:c r="P619" s="9" t="n">
        <x:v>0</x:v>
      </x:c>
      <x:c r="Q619" s="11" t="n">
        <x:v>1</x:v>
      </x:c>
      <x:c r="R619" s="8" t="n">
        <x:v>45384</x:v>
      </x:c>
      <x:c r="S619" s="4" t="str">
        <x:v>Lost / cancelled</x:v>
      </x:c>
      <x:c r="T619" s="10" t="n">
        <x:v>0.291946</x:v>
      </x:c>
      <x:c r="U619" s="4" t="str">
        <x:v>Train</x:v>
      </x:c>
    </x:row>
    <x:row r="620" ht="34" customHeight="1">
      <x:c r="A620" s="4" t="str">
        <x:v>RS-00619</x:v>
      </x:c>
      <x:c r="B620" s="8" t="n">
        <x:v>45325</x:v>
      </x:c>
      <x:c r="C620" s="4" t="str">
        <x:v>PRJ-019</x:v>
      </x:c>
      <x:c r="D620" s="4" t="str">
        <x:v>Retail</x:v>
      </x:c>
      <x:c r="E620" s="4" t="str">
        <x:v>Agreement signed</x:v>
      </x:c>
      <x:c r="F620" s="4" t="str">
        <x:v>CUS-00619</x:v>
      </x:c>
      <x:c r="G620" s="4" t="str">
        <x:v>UNIT-00619</x:v>
      </x:c>
      <x:c r="H620" s="9" t="n">
        <x:v>5100000</x:v>
      </x:c>
      <x:c r="I620" s="10" t="n">
        <x:v>0.06</x:v>
      </x:c>
      <x:c r="J620" s="11" t="n">
        <x:v>12</x:v>
      </x:c>
      <x:c r="K620" s="11" t="n">
        <x:v>7</x:v>
      </x:c>
      <x:c r="L620" s="11" t="n">
        <x:v>1</x:v>
      </x:c>
      <x:c r="M620" s="9" t="n">
        <x:f>ROUND(H620*(1-I620),2)</x:f>
        <x:v>4794000</x:v>
      </x:c>
      <x:c r="N620" s="4" t="str">
        <x:v>Sales manager</x:v>
      </x:c>
      <x:c r="O620" s="4" t="str">
        <x:v>BOOK-00619</x:v>
      </x:c>
      <x:c r="P620" s="9" t="n">
        <x:v>2397000</x:v>
      </x:c>
      <x:c r="Q620" s="11" t="n">
        <x:v>0</x:v>
      </x:c>
      <x:c r="R620" s="8" t="n">
        <x:v>45385</x:v>
      </x:c>
      <x:c r="S620" s="4" t="str">
        <x:v>Retained</x:v>
      </x:c>
      <x:c r="T620" s="10" t="n">
        <x:v>0.351536</x:v>
      </x:c>
      <x:c r="U620" s="4" t="str">
        <x:v>Train</x:v>
      </x:c>
    </x:row>
    <x:row r="621" ht="34" customHeight="1">
      <x:c r="A621" s="4" t="str">
        <x:v>RS-00620</x:v>
      </x:c>
      <x:c r="B621" s="8" t="n">
        <x:v>45326</x:v>
      </x:c>
      <x:c r="C621" s="4" t="str">
        <x:v>PRJ-020</x:v>
      </x:c>
      <x:c r="D621" s="4" t="str">
        <x:v>Villa</x:v>
      </x:c>
      <x:c r="E621" s="4" t="str">
        <x:v>Agreement signed</x:v>
      </x:c>
      <x:c r="F621" s="4" t="str">
        <x:v>CUS-00620</x:v>
      </x:c>
      <x:c r="G621" s="4" t="str">
        <x:v>UNIT-00620</x:v>
      </x:c>
      <x:c r="H621" s="9" t="n">
        <x:v>19800000</x:v>
      </x:c>
      <x:c r="I621" s="10" t="n">
        <x:v>0.12</x:v>
      </x:c>
      <x:c r="J621" s="11" t="n">
        <x:v>5</x:v>
      </x:c>
      <x:c r="K621" s="11" t="n">
        <x:v>6</x:v>
      </x:c>
      <x:c r="L621" s="11" t="n">
        <x:v>1</x:v>
      </x:c>
      <x:c r="M621" s="9" t="n">
        <x:f>ROUND(H621*(1-I621),2)</x:f>
        <x:v>17424000</x:v>
      </x:c>
      <x:c r="N621" s="4" t="str">
        <x:v>Sales head</x:v>
      </x:c>
      <x:c r="O621" s="4" t="str">
        <x:v>BOOK-00620</x:v>
      </x:c>
      <x:c r="P621" s="9" t="n">
        <x:v>8712000</x:v>
      </x:c>
      <x:c r="Q621" s="11" t="n">
        <x:v>0</x:v>
      </x:c>
      <x:c r="R621" s="8" t="n">
        <x:v>45386</x:v>
      </x:c>
      <x:c r="S621" s="4" t="str">
        <x:v>Retained</x:v>
      </x:c>
      <x:c r="T621" s="10" t="n">
        <x:v>0.291946</x:v>
      </x:c>
      <x:c r="U621" s="4" t="str">
        <x:v>Train</x:v>
      </x:c>
    </x:row>
    <x:row r="622" ht="34" customHeight="1">
      <x:c r="A622" s="4" t="str">
        <x:v>RS-00621</x:v>
      </x:c>
      <x:c r="B622" s="8" t="n">
        <x:v>45327</x:v>
      </x:c>
      <x:c r="C622" s="4" t="str">
        <x:v>PRJ-001</x:v>
      </x:c>
      <x:c r="D622" s="4" t="str">
        <x:v>Villa</x:v>
      </x:c>
      <x:c r="E622" s="4" t="str">
        <x:v>Booked</x:v>
      </x:c>
      <x:c r="F622" s="4" t="str">
        <x:v>CUS-00621</x:v>
      </x:c>
      <x:c r="G622" s="4" t="str">
        <x:v>UNIT-00621</x:v>
      </x:c>
      <x:c r="H622" s="9" t="n">
        <x:v>15500000</x:v>
      </x:c>
      <x:c r="I622" s="10" t="n">
        <x:v>0.03</x:v>
      </x:c>
      <x:c r="J622" s="11" t="n">
        <x:v>12</x:v>
      </x:c>
      <x:c r="K622" s="11" t="n">
        <x:v>2</x:v>
      </x:c>
      <x:c r="L622" s="11" t="n">
        <x:v>0</x:v>
      </x:c>
      <x:c r="M622" s="9" t="n">
        <x:f>ROUND(H622*(1-I622),2)</x:f>
        <x:v>15035000</x:v>
      </x:c>
      <x:c r="N622" s="4" t="str">
        <x:v>Sales manager</x:v>
      </x:c>
      <x:c r="O622" s="4" t="str">
        <x:v>BOOK-00621</x:v>
      </x:c>
      <x:c r="P622" s="9" t="n">
        <x:v>1503500</x:v>
      </x:c>
      <x:c r="Q622" s="11" t="n">
        <x:v>0</x:v>
      </x:c>
      <x:c r="R622" s="8" t="n">
        <x:v>45387</x:v>
      </x:c>
      <x:c r="S622" s="4" t="str">
        <x:v>Retained</x:v>
      </x:c>
      <x:c r="T622" s="10" t="n">
        <x:v>0.351536</x:v>
      </x:c>
      <x:c r="U622" s="4" t="str">
        <x:v>Train</x:v>
      </x:c>
    </x:row>
    <x:row r="623" ht="34" customHeight="1">
      <x:c r="A623" s="4" t="str">
        <x:v>RS-00622</x:v>
      </x:c>
      <x:c r="B623" s="8" t="n">
        <x:v>45328</x:v>
      </x:c>
      <x:c r="C623" s="4" t="str">
        <x:v>PRJ-002</x:v>
      </x:c>
      <x:c r="D623" s="4" t="str">
        <x:v>Office</x:v>
      </x:c>
      <x:c r="E623" s="4" t="str">
        <x:v>Enquiry</x:v>
      </x:c>
      <x:c r="F623" s="4" t="str">
        <x:v>CUS-00622</x:v>
      </x:c>
      <x:c r="G623" s="4" t="str">
        <x:v>UNIT-00622</x:v>
      </x:c>
      <x:c r="H623" s="9" t="n">
        <x:v>9100000</x:v>
      </x:c>
      <x:c r="I623" s="10" t="n">
        <x:v>0.04</x:v>
      </x:c>
      <x:c r="J623" s="11" t="n">
        <x:v>11</x:v>
      </x:c>
      <x:c r="K623" s="11" t="n">
        <x:v>10</x:v>
      </x:c>
      <x:c r="L623" s="11" t="n">
        <x:v>0</x:v>
      </x:c>
      <x:c r="M623" s="9" t="n">
        <x:f>ROUND(H623*(1-I623),2)</x:f>
        <x:v>8736000</x:v>
      </x:c>
      <x:c r="N623" s="4" t="str">
        <x:v>Sales manager</x:v>
      </x:c>
      <x:c r="O623" s="4"/>
      <x:c r="P623" s="9" t="n">
        <x:v>0</x:v>
      </x:c>
      <x:c r="Q623" s="11" t="n">
        <x:v>0</x:v>
      </x:c>
      <x:c r="R623" s="8" t="n">
        <x:v>45388</x:v>
      </x:c>
      <x:c r="S623" s="4" t="str">
        <x:v>Retained</x:v>
      </x:c>
      <x:c r="T623" s="10" t="n">
        <x:v>0.351536</x:v>
      </x:c>
      <x:c r="U623" s="4" t="str">
        <x:v>Train</x:v>
      </x:c>
    </x:row>
    <x:row r="624" ht="34" customHeight="1">
      <x:c r="A624" s="4" t="str">
        <x:v>RS-00623</x:v>
      </x:c>
      <x:c r="B624" s="8" t="n">
        <x:v>45329</x:v>
      </x:c>
      <x:c r="C624" s="4" t="str">
        <x:v>PRJ-003</x:v>
      </x:c>
      <x:c r="D624" s="4" t="str">
        <x:v>Retail</x:v>
      </x:c>
      <x:c r="E624" s="4" t="str">
        <x:v>Enquiry</x:v>
      </x:c>
      <x:c r="F624" s="4" t="str">
        <x:v>CUS-00623</x:v>
      </x:c>
      <x:c r="G624" s="4" t="str">
        <x:v>UNIT-00623</x:v>
      </x:c>
      <x:c r="H624" s="9" t="n">
        <x:v>24000000</x:v>
      </x:c>
      <x:c r="I624" s="10" t="n">
        <x:v>0.07</x:v>
      </x:c>
      <x:c r="J624" s="11" t="n">
        <x:v>8</x:v>
      </x:c>
      <x:c r="K624" s="11" t="n">
        <x:v>7</x:v>
      </x:c>
      <x:c r="L624" s="11" t="n">
        <x:v>0</x:v>
      </x:c>
      <x:c r="M624" s="9" t="n">
        <x:f>ROUND(H624*(1-I624),2)</x:f>
        <x:v>22320000</x:v>
      </x:c>
      <x:c r="N624" s="4" t="str">
        <x:v>Sales manager</x:v>
      </x:c>
      <x:c r="O624" s="4"/>
      <x:c r="P624" s="9" t="n">
        <x:v>0</x:v>
      </x:c>
      <x:c r="Q624" s="11" t="n">
        <x:v>0</x:v>
      </x:c>
      <x:c r="R624" s="8" t="n">
        <x:v>45389</x:v>
      </x:c>
      <x:c r="S624" s="4" t="str">
        <x:v>Retained</x:v>
      </x:c>
      <x:c r="T624" s="10" t="n">
        <x:v>0.310195</x:v>
      </x:c>
      <x:c r="U624" s="4" t="str">
        <x:v>Train</x:v>
      </x:c>
    </x:row>
    <x:row r="625" ht="34" customHeight="1">
      <x:c r="A625" s="4" t="str">
        <x:v>RS-00624</x:v>
      </x:c>
      <x:c r="B625" s="8" t="n">
        <x:v>45330</x:v>
      </x:c>
      <x:c r="C625" s="4" t="str">
        <x:v>PRJ-004</x:v>
      </x:c>
      <x:c r="D625" s="4" t="str">
        <x:v>Office</x:v>
      </x:c>
      <x:c r="E625" s="4" t="str">
        <x:v>Agreement signed</x:v>
      </x:c>
      <x:c r="F625" s="4" t="str">
        <x:v>CUS-00624</x:v>
      </x:c>
      <x:c r="G625" s="4" t="str">
        <x:v>UNIT-00624</x:v>
      </x:c>
      <x:c r="H625" s="9" t="n">
        <x:v>10300000</x:v>
      </x:c>
      <x:c r="I625" s="10" t="n">
        <x:v>0.05</x:v>
      </x:c>
      <x:c r="J625" s="11" t="n">
        <x:v>2</x:v>
      </x:c>
      <x:c r="K625" s="11" t="n">
        <x:v>8</x:v>
      </x:c>
      <x:c r="L625" s="11" t="n">
        <x:v>1</x:v>
      </x:c>
      <x:c r="M625" s="9" t="n">
        <x:f>ROUND(H625*(1-I625),2)</x:f>
        <x:v>9785000</x:v>
      </x:c>
      <x:c r="N625" s="4" t="str">
        <x:v>Sales manager</x:v>
      </x:c>
      <x:c r="O625" s="4" t="str">
        <x:v>BOOK-00624</x:v>
      </x:c>
      <x:c r="P625" s="9" t="n">
        <x:v>4892500</x:v>
      </x:c>
      <x:c r="Q625" s="11" t="n">
        <x:v>0</x:v>
      </x:c>
      <x:c r="R625" s="8" t="n">
        <x:v>45390</x:v>
      </x:c>
      <x:c r="S625" s="4" t="str">
        <x:v>Retained</x:v>
      </x:c>
      <x:c r="T625" s="10" t="n">
        <x:v>0.204152</x:v>
      </x:c>
      <x:c r="U625" s="4" t="str">
        <x:v>Train</x:v>
      </x:c>
    </x:row>
    <x:row r="626" ht="34" customHeight="1">
      <x:c r="A626" s="4" t="str">
        <x:v>RS-00625</x:v>
      </x:c>
      <x:c r="B626" s="8" t="n">
        <x:v>45331</x:v>
      </x:c>
      <x:c r="C626" s="4" t="str">
        <x:v>PRJ-005</x:v>
      </x:c>
      <x:c r="D626" s="4" t="str">
        <x:v>Apartment</x:v>
      </x:c>
      <x:c r="E626" s="4" t="str">
        <x:v>Cancelled</x:v>
      </x:c>
      <x:c r="F626" s="4" t="str">
        <x:v>CUS-00625</x:v>
      </x:c>
      <x:c r="G626" s="4" t="str">
        <x:v>UNIT-00625</x:v>
      </x:c>
      <x:c r="H626" s="9" t="n">
        <x:v>22600000</x:v>
      </x:c>
      <x:c r="I626" s="10" t="n">
        <x:v>0.08</x:v>
      </x:c>
      <x:c r="J626" s="11" t="n">
        <x:v>11</x:v>
      </x:c>
      <x:c r="K626" s="11" t="n">
        <x:v>6</x:v>
      </x:c>
      <x:c r="L626" s="11" t="n">
        <x:v>0</x:v>
      </x:c>
      <x:c r="M626" s="9" t="n">
        <x:f>ROUND(H626*(1-I626),2)</x:f>
        <x:v>20792000</x:v>
      </x:c>
      <x:c r="N626" s="4" t="str">
        <x:v>Sales head</x:v>
      </x:c>
      <x:c r="O626" s="4"/>
      <x:c r="P626" s="9" t="n">
        <x:v>0</x:v>
      </x:c>
      <x:c r="Q626" s="11" t="n">
        <x:v>1</x:v>
      </x:c>
      <x:c r="R626" s="8" t="n">
        <x:v>45391</x:v>
      </x:c>
      <x:c r="S626" s="4" t="str">
        <x:v>Lost / cancelled</x:v>
      </x:c>
      <x:c r="T626" s="10" t="n">
        <x:v>0.351536</x:v>
      </x:c>
      <x:c r="U626" s="4" t="str">
        <x:v>Train</x:v>
      </x:c>
    </x:row>
    <x:row r="627" ht="34" customHeight="1">
      <x:c r="A627" s="4" t="str">
        <x:v>RS-00626</x:v>
      </x:c>
      <x:c r="B627" s="8" t="n">
        <x:v>45332</x:v>
      </x:c>
      <x:c r="C627" s="4" t="str">
        <x:v>PRJ-006</x:v>
      </x:c>
      <x:c r="D627" s="4" t="str">
        <x:v>Villa</x:v>
      </x:c>
      <x:c r="E627" s="4" t="str">
        <x:v>Enquiry</x:v>
      </x:c>
      <x:c r="F627" s="4" t="str">
        <x:v>CUS-00626</x:v>
      </x:c>
      <x:c r="G627" s="4" t="str">
        <x:v>UNIT-00626</x:v>
      </x:c>
      <x:c r="H627" s="9" t="n">
        <x:v>3900000</x:v>
      </x:c>
      <x:c r="I627" s="10" t="n">
        <x:v>0.01</x:v>
      </x:c>
      <x:c r="J627" s="11" t="n">
        <x:v>5</x:v>
      </x:c>
      <x:c r="K627" s="11" t="n">
        <x:v>0</x:v>
      </x:c>
      <x:c r="L627" s="11" t="n">
        <x:v>0</x:v>
      </x:c>
      <x:c r="M627" s="9" t="n">
        <x:f>ROUND(H627*(1-I627),2)</x:f>
        <x:v>3861000</x:v>
      </x:c>
      <x:c r="N627" s="4" t="str">
        <x:v>Sales manager</x:v>
      </x:c>
      <x:c r="O627" s="4"/>
      <x:c r="P627" s="9" t="n">
        <x:v>0</x:v>
      </x:c>
      <x:c r="Q627" s="11" t="n">
        <x:v>1</x:v>
      </x:c>
      <x:c r="R627" s="8" t="n">
        <x:v>45392</x:v>
      </x:c>
      <x:c r="S627" s="4" t="str">
        <x:v>Lost / cancelled</x:v>
      </x:c>
      <x:c r="T627" s="10" t="n">
        <x:v>0.298969</x:v>
      </x:c>
      <x:c r="U627" s="4" t="str">
        <x:v>Train</x:v>
      </x:c>
    </x:row>
    <x:row r="628" ht="34" customHeight="1">
      <x:c r="A628" s="4" t="str">
        <x:v>RS-00627</x:v>
      </x:c>
      <x:c r="B628" s="8" t="n">
        <x:v>45333</x:v>
      </x:c>
      <x:c r="C628" s="4" t="str">
        <x:v>PRJ-007</x:v>
      </x:c>
      <x:c r="D628" s="4" t="str">
        <x:v>Apartment</x:v>
      </x:c>
      <x:c r="E628" s="4" t="str">
        <x:v>Enquiry</x:v>
      </x:c>
      <x:c r="F628" s="4" t="str">
        <x:v>CUS-00627</x:v>
      </x:c>
      <x:c r="G628" s="4" t="str">
        <x:v>UNIT-00627</x:v>
      </x:c>
      <x:c r="H628" s="9" t="n">
        <x:v>10800000</x:v>
      </x:c>
      <x:c r="I628" s="10" t="n">
        <x:v>0.05</x:v>
      </x:c>
      <x:c r="J628" s="11" t="n">
        <x:v>5</x:v>
      </x:c>
      <x:c r="K628" s="11" t="n">
        <x:v>4</x:v>
      </x:c>
      <x:c r="L628" s="11" t="n">
        <x:v>1</x:v>
      </x:c>
      <x:c r="M628" s="9" t="n">
        <x:f>ROUND(H628*(1-I628),2)</x:f>
        <x:v>10260000</x:v>
      </x:c>
      <x:c r="N628" s="4" t="str">
        <x:v>Sales manager</x:v>
      </x:c>
      <x:c r="O628" s="4"/>
      <x:c r="P628" s="9" t="n">
        <x:v>0</x:v>
      </x:c>
      <x:c r="Q628" s="11" t="n">
        <x:v>1</x:v>
      </x:c>
      <x:c r="R628" s="8" t="n">
        <x:v>45393</x:v>
      </x:c>
      <x:c r="S628" s="4" t="str">
        <x:v>Lost / cancelled</x:v>
      </x:c>
      <x:c r="T628" s="10" t="n">
        <x:v>0.291946</x:v>
      </x:c>
      <x:c r="U628" s="4" t="str">
        <x:v>Train</x:v>
      </x:c>
    </x:row>
    <x:row r="629" ht="34" customHeight="1">
      <x:c r="A629" s="4" t="str">
        <x:v>RS-00628</x:v>
      </x:c>
      <x:c r="B629" s="8" t="n">
        <x:v>45334</x:v>
      </x:c>
      <x:c r="C629" s="4" t="str">
        <x:v>PRJ-008</x:v>
      </x:c>
      <x:c r="D629" s="4" t="str">
        <x:v>Office</x:v>
      </x:c>
      <x:c r="E629" s="4" t="str">
        <x:v>Reserved</x:v>
      </x:c>
      <x:c r="F629" s="4" t="str">
        <x:v>CUS-00628</x:v>
      </x:c>
      <x:c r="G629" s="4" t="str">
        <x:v>UNIT-00628</x:v>
      </x:c>
      <x:c r="H629" s="9" t="n">
        <x:v>20100000</x:v>
      </x:c>
      <x:c r="I629" s="10" t="n">
        <x:v>0.07</x:v>
      </x:c>
      <x:c r="J629" s="11" t="n">
        <x:v>2</x:v>
      </x:c>
      <x:c r="K629" s="11" t="n">
        <x:v>1</x:v>
      </x:c>
      <x:c r="L629" s="11" t="n">
        <x:v>1</x:v>
      </x:c>
      <x:c r="M629" s="9" t="n">
        <x:f>ROUND(H629*(1-I629),2)</x:f>
        <x:v>18693000</x:v>
      </x:c>
      <x:c r="N629" s="4" t="str">
        <x:v>Sales manager</x:v>
      </x:c>
      <x:c r="O629" s="4"/>
      <x:c r="P629" s="9" t="n">
        <x:v>0</x:v>
      </x:c>
      <x:c r="Q629" s="11" t="n">
        <x:v>1</x:v>
      </x:c>
      <x:c r="R629" s="8" t="n">
        <x:v>45394</x:v>
      </x:c>
      <x:c r="S629" s="4" t="str">
        <x:v>Lost / cancelled</x:v>
      </x:c>
      <x:c r="T629" s="10" t="n">
        <x:v>0.204152</x:v>
      </x:c>
      <x:c r="U629" s="4" t="str">
        <x:v>Train</x:v>
      </x:c>
    </x:row>
    <x:row r="630" ht="34" customHeight="1">
      <x:c r="A630" s="4" t="str">
        <x:v>RS-00629</x:v>
      </x:c>
      <x:c r="B630" s="8" t="n">
        <x:v>45335</x:v>
      </x:c>
      <x:c r="C630" s="4" t="str">
        <x:v>PRJ-009</x:v>
      </x:c>
      <x:c r="D630" s="4" t="str">
        <x:v>Office</x:v>
      </x:c>
      <x:c r="E630" s="4" t="str">
        <x:v>Agreement signed</x:v>
      </x:c>
      <x:c r="F630" s="4" t="str">
        <x:v>CUS-00629</x:v>
      </x:c>
      <x:c r="G630" s="4" t="str">
        <x:v>UNIT-00629</x:v>
      </x:c>
      <x:c r="H630" s="9" t="n">
        <x:v>20100000</x:v>
      </x:c>
      <x:c r="I630" s="10" t="n">
        <x:v>0.04</x:v>
      </x:c>
      <x:c r="J630" s="11" t="n">
        <x:v>3</x:v>
      </x:c>
      <x:c r="K630" s="11" t="n">
        <x:v>4</x:v>
      </x:c>
      <x:c r="L630" s="11" t="n">
        <x:v>0</x:v>
      </x:c>
      <x:c r="M630" s="9" t="n">
        <x:f>ROUND(H630*(1-I630),2)</x:f>
        <x:v>19296000</x:v>
      </x:c>
      <x:c r="N630" s="4" t="str">
        <x:v>Sales manager</x:v>
      </x:c>
      <x:c r="O630" s="4" t="str">
        <x:v>BOOK-00629</x:v>
      </x:c>
      <x:c r="P630" s="9" t="n">
        <x:v>1929600</x:v>
      </x:c>
      <x:c r="Q630" s="11" t="n">
        <x:v>0</x:v>
      </x:c>
      <x:c r="R630" s="8" t="n">
        <x:v>45395</x:v>
      </x:c>
      <x:c r="S630" s="4" t="str">
        <x:v>Retained</x:v>
      </x:c>
      <x:c r="T630" s="10" t="n">
        <x:v>0.204152</x:v>
      </x:c>
      <x:c r="U630" s="4" t="str">
        <x:v>Train</x:v>
      </x:c>
    </x:row>
    <x:row r="631" ht="34" customHeight="1">
      <x:c r="A631" s="4" t="str">
        <x:v>RS-00630</x:v>
      </x:c>
      <x:c r="B631" s="8" t="n">
        <x:v>45336</x:v>
      </x:c>
      <x:c r="C631" s="4" t="str">
        <x:v>PRJ-010</x:v>
      </x:c>
      <x:c r="D631" s="4" t="str">
        <x:v>Villa</x:v>
      </x:c>
      <x:c r="E631" s="4" t="str">
        <x:v>Reserved</x:v>
      </x:c>
      <x:c r="F631" s="4" t="str">
        <x:v>CUS-00630</x:v>
      </x:c>
      <x:c r="G631" s="4" t="str">
        <x:v>UNIT-00630</x:v>
      </x:c>
      <x:c r="H631" s="9" t="n">
        <x:v>21400000</x:v>
      </x:c>
      <x:c r="I631" s="10" t="n">
        <x:v>0.09</x:v>
      </x:c>
      <x:c r="J631" s="11" t="n">
        <x:v>7</x:v>
      </x:c>
      <x:c r="K631" s="11" t="n">
        <x:v>0</x:v>
      </x:c>
      <x:c r="L631" s="11" t="n">
        <x:v>1</x:v>
      </x:c>
      <x:c r="M631" s="9" t="n">
        <x:f>ROUND(H631*(1-I631),2)</x:f>
        <x:v>19474000</x:v>
      </x:c>
      <x:c r="N631" s="4" t="str">
        <x:v>Sales head</x:v>
      </x:c>
      <x:c r="O631" s="4"/>
      <x:c r="P631" s="9" t="n">
        <x:v>0</x:v>
      </x:c>
      <x:c r="Q631" s="11" t="n">
        <x:v>0</x:v>
      </x:c>
      <x:c r="R631" s="8" t="n">
        <x:v>45396</x:v>
      </x:c>
      <x:c r="S631" s="4" t="str">
        <x:v>Retained</x:v>
      </x:c>
      <x:c r="T631" s="10" t="n">
        <x:v>0.291946</x:v>
      </x:c>
      <x:c r="U631" s="4" t="str">
        <x:v>Train</x:v>
      </x:c>
    </x:row>
    <x:row r="632" ht="34" customHeight="1">
      <x:c r="A632" s="4" t="str">
        <x:v>RS-00631</x:v>
      </x:c>
      <x:c r="B632" s="8" t="n">
        <x:v>45337</x:v>
      </x:c>
      <x:c r="C632" s="4" t="str">
        <x:v>PRJ-011</x:v>
      </x:c>
      <x:c r="D632" s="4" t="str">
        <x:v>Villa</x:v>
      </x:c>
      <x:c r="E632" s="4" t="str">
        <x:v>Handed over</x:v>
      </x:c>
      <x:c r="F632" s="4" t="str">
        <x:v>CUS-00631</x:v>
      </x:c>
      <x:c r="G632" s="4" t="str">
        <x:v>UNIT-00631</x:v>
      </x:c>
      <x:c r="H632" s="9" t="n">
        <x:v>20000000</x:v>
      </x:c>
      <x:c r="I632" s="10" t="n">
        <x:v>0.12</x:v>
      </x:c>
      <x:c r="J632" s="11" t="n">
        <x:v>8</x:v>
      </x:c>
      <x:c r="K632" s="11" t="n">
        <x:v>10</x:v>
      </x:c>
      <x:c r="L632" s="11" t="n">
        <x:v>0</x:v>
      </x:c>
      <x:c r="M632" s="9" t="n">
        <x:f>ROUND(H632*(1-I632),2)</x:f>
        <x:v>17600000</x:v>
      </x:c>
      <x:c r="N632" s="4" t="str">
        <x:v>Sales head</x:v>
      </x:c>
      <x:c r="O632" s="4" t="str">
        <x:v>BOOK-00631</x:v>
      </x:c>
      <x:c r="P632" s="9" t="n">
        <x:v>1760000</x:v>
      </x:c>
      <x:c r="Q632" s="11" t="n">
        <x:v>0</x:v>
      </x:c>
      <x:c r="R632" s="8" t="n">
        <x:v>45397</x:v>
      </x:c>
      <x:c r="S632" s="4" t="str">
        <x:v>Retained</x:v>
      </x:c>
      <x:c r="T632" s="10" t="n">
        <x:v>0.310195</x:v>
      </x:c>
      <x:c r="U632" s="4" t="str">
        <x:v>Train</x:v>
      </x:c>
    </x:row>
    <x:row r="633" ht="34" customHeight="1">
      <x:c r="A633" s="4" t="str">
        <x:v>RS-00632</x:v>
      </x:c>
      <x:c r="B633" s="8" t="n">
        <x:v>45338</x:v>
      </x:c>
      <x:c r="C633" s="4" t="str">
        <x:v>PRJ-012</x:v>
      </x:c>
      <x:c r="D633" s="4" t="str">
        <x:v>Villa</x:v>
      </x:c>
      <x:c r="E633" s="4" t="str">
        <x:v>Reserved</x:v>
      </x:c>
      <x:c r="F633" s="4" t="str">
        <x:v>CUS-00632</x:v>
      </x:c>
      <x:c r="G633" s="4" t="str">
        <x:v>UNIT-00632</x:v>
      </x:c>
      <x:c r="H633" s="9" t="n">
        <x:v>9900000</x:v>
      </x:c>
      <x:c r="I633" s="10" t="n">
        <x:v>0.06</x:v>
      </x:c>
      <x:c r="J633" s="11" t="n">
        <x:v>10</x:v>
      </x:c>
      <x:c r="K633" s="11" t="n">
        <x:v>10</x:v>
      </x:c>
      <x:c r="L633" s="11" t="n">
        <x:v>0</x:v>
      </x:c>
      <x:c r="M633" s="9" t="n">
        <x:f>ROUND(H633*(1-I633),2)</x:f>
        <x:v>9306000</x:v>
      </x:c>
      <x:c r="N633" s="4" t="str">
        <x:v>Sales manager</x:v>
      </x:c>
      <x:c r="O633" s="4"/>
      <x:c r="P633" s="9" t="n">
        <x:v>0</x:v>
      </x:c>
      <x:c r="Q633" s="11" t="n">
        <x:v>1</x:v>
      </x:c>
      <x:c r="R633" s="8" t="n">
        <x:v>45398</x:v>
      </x:c>
      <x:c r="S633" s="4" t="str">
        <x:v>Lost / cancelled</x:v>
      </x:c>
      <x:c r="T633" s="10" t="n">
        <x:v>0.310195</x:v>
      </x:c>
      <x:c r="U633" s="4" t="str">
        <x:v>Train</x:v>
      </x:c>
    </x:row>
    <x:row r="634" ht="34" customHeight="1">
      <x:c r="A634" s="4" t="str">
        <x:v>RS-00633</x:v>
      </x:c>
      <x:c r="B634" s="8" t="n">
        <x:v>45339</x:v>
      </x:c>
      <x:c r="C634" s="4" t="str">
        <x:v>PRJ-013</x:v>
      </x:c>
      <x:c r="D634" s="4" t="str">
        <x:v>Apartment</x:v>
      </x:c>
      <x:c r="E634" s="4" t="str">
        <x:v>Handed over</x:v>
      </x:c>
      <x:c r="F634" s="4" t="str">
        <x:v>CUS-00633</x:v>
      </x:c>
      <x:c r="G634" s="4" t="str">
        <x:v>UNIT-00633</x:v>
      </x:c>
      <x:c r="H634" s="9" t="n">
        <x:v>19700000</x:v>
      </x:c>
      <x:c r="I634" s="10" t="n">
        <x:v>0.11</x:v>
      </x:c>
      <x:c r="J634" s="11" t="n">
        <x:v>6</x:v>
      </x:c>
      <x:c r="K634" s="11" t="n">
        <x:v>0</x:v>
      </x:c>
      <x:c r="L634" s="11" t="n">
        <x:v>1</x:v>
      </x:c>
      <x:c r="M634" s="9" t="n">
        <x:f>ROUND(H634*(1-I634),2)</x:f>
        <x:v>17533000</x:v>
      </x:c>
      <x:c r="N634" s="4" t="str">
        <x:v>Sales head</x:v>
      </x:c>
      <x:c r="O634" s="4" t="str">
        <x:v>BOOK-00633</x:v>
      </x:c>
      <x:c r="P634" s="9" t="n">
        <x:v>17533000</x:v>
      </x:c>
      <x:c r="Q634" s="11" t="n">
        <x:v>0</x:v>
      </x:c>
      <x:c r="R634" s="8" t="n">
        <x:v>45399</x:v>
      </x:c>
      <x:c r="S634" s="4" t="str">
        <x:v>Retained</x:v>
      </x:c>
      <x:c r="T634" s="10" t="n">
        <x:v>0.291946</x:v>
      </x:c>
      <x:c r="U634" s="4" t="str">
        <x:v>Train</x:v>
      </x:c>
    </x:row>
    <x:row r="635" ht="34" customHeight="1">
      <x:c r="A635" s="4" t="str">
        <x:v>RS-00634</x:v>
      </x:c>
      <x:c r="B635" s="8" t="n">
        <x:v>45340</x:v>
      </x:c>
      <x:c r="C635" s="4" t="str">
        <x:v>PRJ-014</x:v>
      </x:c>
      <x:c r="D635" s="4" t="str">
        <x:v>Retail</x:v>
      </x:c>
      <x:c r="E635" s="4" t="str">
        <x:v>Cancelled</x:v>
      </x:c>
      <x:c r="F635" s="4" t="str">
        <x:v>CUS-00634</x:v>
      </x:c>
      <x:c r="G635" s="4" t="str">
        <x:v>UNIT-00634</x:v>
      </x:c>
      <x:c r="H635" s="9" t="n">
        <x:v>12400000</x:v>
      </x:c>
      <x:c r="I635" s="10" t="n">
        <x:v>0.01</x:v>
      </x:c>
      <x:c r="J635" s="11" t="n">
        <x:v>2</x:v>
      </x:c>
      <x:c r="K635" s="11" t="n">
        <x:v>0</x:v>
      </x:c>
      <x:c r="L635" s="11" t="n">
        <x:v>0</x:v>
      </x:c>
      <x:c r="M635" s="9" t="n">
        <x:f>ROUND(H635*(1-I635),2)</x:f>
        <x:v>12276000</x:v>
      </x:c>
      <x:c r="N635" s="4" t="str">
        <x:v>Sales manager</x:v>
      </x:c>
      <x:c r="O635" s="4"/>
      <x:c r="P635" s="9" t="n">
        <x:v>0</x:v>
      </x:c>
      <x:c r="Q635" s="11" t="n">
        <x:v>1</x:v>
      </x:c>
      <x:c r="R635" s="8" t="n">
        <x:v>45400</x:v>
      </x:c>
      <x:c r="S635" s="4" t="str">
        <x:v>Lost / cancelled</x:v>
      </x:c>
      <x:c r="T635" s="10" t="n">
        <x:v>0.276923</x:v>
      </x:c>
      <x:c r="U635" s="4" t="str">
        <x:v>Train</x:v>
      </x:c>
    </x:row>
    <x:row r="636" ht="34" customHeight="1">
      <x:c r="A636" s="4" t="str">
        <x:v>RS-00635</x:v>
      </x:c>
      <x:c r="B636" s="8" t="n">
        <x:v>45341</x:v>
      </x:c>
      <x:c r="C636" s="4" t="str">
        <x:v>PRJ-015</x:v>
      </x:c>
      <x:c r="D636" s="4" t="str">
        <x:v>Retail</x:v>
      </x:c>
      <x:c r="E636" s="4" t="str">
        <x:v>Cancelled</x:v>
      </x:c>
      <x:c r="F636" s="4" t="str">
        <x:v>CUS-00635</x:v>
      </x:c>
      <x:c r="G636" s="4" t="str">
        <x:v>UNIT-00635</x:v>
      </x:c>
      <x:c r="H636" s="9" t="n">
        <x:v>15900000</x:v>
      </x:c>
      <x:c r="I636" s="10" t="n">
        <x:v>0.1</x:v>
      </x:c>
      <x:c r="J636" s="11" t="n">
        <x:v>7</x:v>
      </x:c>
      <x:c r="K636" s="11" t="n">
        <x:v>0</x:v>
      </x:c>
      <x:c r="L636" s="11" t="n">
        <x:v>1</x:v>
      </x:c>
      <x:c r="M636" s="9" t="n">
        <x:f>ROUND(H636*(1-I636),2)</x:f>
        <x:v>14310000</x:v>
      </x:c>
      <x:c r="N636" s="4" t="str">
        <x:v>Sales head</x:v>
      </x:c>
      <x:c r="O636" s="4"/>
      <x:c r="P636" s="9" t="n">
        <x:v>0</x:v>
      </x:c>
      <x:c r="Q636" s="11" t="n">
        <x:v>1</x:v>
      </x:c>
      <x:c r="R636" s="8" t="n">
        <x:v>45401</x:v>
      </x:c>
      <x:c r="S636" s="4" t="str">
        <x:v>Lost / cancelled</x:v>
      </x:c>
      <x:c r="T636" s="10" t="n">
        <x:v>0.291946</x:v>
      </x:c>
      <x:c r="U636" s="4" t="str">
        <x:v>Train</x:v>
      </x:c>
    </x:row>
    <x:row r="637" ht="34" customHeight="1">
      <x:c r="A637" s="4" t="str">
        <x:v>RS-00636</x:v>
      </x:c>
      <x:c r="B637" s="8" t="n">
        <x:v>45342</x:v>
      </x:c>
      <x:c r="C637" s="4" t="str">
        <x:v>PRJ-016</x:v>
      </x:c>
      <x:c r="D637" s="4" t="str">
        <x:v>Office</x:v>
      </x:c>
      <x:c r="E637" s="4" t="str">
        <x:v>Handed over</x:v>
      </x:c>
      <x:c r="F637" s="4" t="str">
        <x:v>CUS-00636</x:v>
      </x:c>
      <x:c r="G637" s="4" t="str">
        <x:v>UNIT-00636</x:v>
      </x:c>
      <x:c r="H637" s="9" t="n">
        <x:v>7100000</x:v>
      </x:c>
      <x:c r="I637" s="10" t="n">
        <x:v>0.04</x:v>
      </x:c>
      <x:c r="J637" s="11" t="n">
        <x:v>3</x:v>
      </x:c>
      <x:c r="K637" s="11" t="n">
        <x:v>10</x:v>
      </x:c>
      <x:c r="L637" s="11" t="n">
        <x:v>0</x:v>
      </x:c>
      <x:c r="M637" s="9" t="n">
        <x:f>ROUND(H637*(1-I637),2)</x:f>
        <x:v>6816000</x:v>
      </x:c>
      <x:c r="N637" s="4" t="str">
        <x:v>Sales manager</x:v>
      </x:c>
      <x:c r="O637" s="4" t="str">
        <x:v>BOOK-00636</x:v>
      </x:c>
      <x:c r="P637" s="9" t="n">
        <x:v>681600</x:v>
      </x:c>
      <x:c r="Q637" s="11" t="n">
        <x:v>0</x:v>
      </x:c>
      <x:c r="R637" s="8" t="n">
        <x:v>45402</x:v>
      </x:c>
      <x:c r="S637" s="4" t="str">
        <x:v>Retained</x:v>
      </x:c>
      <x:c r="T637" s="10" t="n">
        <x:v>0.204152</x:v>
      </x:c>
      <x:c r="U637" s="4" t="str">
        <x:v>Train</x:v>
      </x:c>
    </x:row>
    <x:row r="638" ht="34" customHeight="1">
      <x:c r="A638" s="4" t="str">
        <x:v>RS-00637</x:v>
      </x:c>
      <x:c r="B638" s="8" t="n">
        <x:v>45343</x:v>
      </x:c>
      <x:c r="C638" s="4" t="str">
        <x:v>PRJ-017</x:v>
      </x:c>
      <x:c r="D638" s="4" t="str">
        <x:v>Retail</x:v>
      </x:c>
      <x:c r="E638" s="4" t="str">
        <x:v>Booked</x:v>
      </x:c>
      <x:c r="F638" s="4" t="str">
        <x:v>CUS-00637</x:v>
      </x:c>
      <x:c r="G638" s="4" t="str">
        <x:v>UNIT-00637</x:v>
      </x:c>
      <x:c r="H638" s="9" t="n">
        <x:v>5500000</x:v>
      </x:c>
      <x:c r="I638" s="10" t="n">
        <x:v>0</x:v>
      </x:c>
      <x:c r="J638" s="11" t="n">
        <x:v>9</x:v>
      </x:c>
      <x:c r="K638" s="11" t="n">
        <x:v>1</x:v>
      </x:c>
      <x:c r="L638" s="11" t="n">
        <x:v>0</x:v>
      </x:c>
      <x:c r="M638" s="9" t="n">
        <x:f>ROUND(H638*(1-I638),2)</x:f>
        <x:v>5500000</x:v>
      </x:c>
      <x:c r="N638" s="4" t="str">
        <x:v>Sales manager</x:v>
      </x:c>
      <x:c r="O638" s="4" t="str">
        <x:v>BOOK-00637</x:v>
      </x:c>
      <x:c r="P638" s="9" t="n">
        <x:v>2750000</x:v>
      </x:c>
      <x:c r="Q638" s="11" t="n">
        <x:v>0</x:v>
      </x:c>
      <x:c r="R638" s="8" t="n">
        <x:v>45403</x:v>
      </x:c>
      <x:c r="S638" s="4" t="str">
        <x:v>Retained</x:v>
      </x:c>
      <x:c r="T638" s="10" t="n">
        <x:v>0.305556</x:v>
      </x:c>
      <x:c r="U638" s="4" t="str">
        <x:v>Train</x:v>
      </x:c>
    </x:row>
    <x:row r="639" ht="34" customHeight="1">
      <x:c r="A639" s="4" t="str">
        <x:v>RS-00638</x:v>
      </x:c>
      <x:c r="B639" s="8" t="n">
        <x:v>45344</x:v>
      </x:c>
      <x:c r="C639" s="4" t="str">
        <x:v>PRJ-018</x:v>
      </x:c>
      <x:c r="D639" s="4" t="str">
        <x:v>Office</x:v>
      </x:c>
      <x:c r="E639" s="4" t="str">
        <x:v>Booked</x:v>
      </x:c>
      <x:c r="F639" s="4" t="str">
        <x:v>CUS-00638</x:v>
      </x:c>
      <x:c r="G639" s="4" t="str">
        <x:v>UNIT-00638</x:v>
      </x:c>
      <x:c r="H639" s="9" t="n">
        <x:v>11300000</x:v>
      </x:c>
      <x:c r="I639" s="10" t="n">
        <x:v>0.04</x:v>
      </x:c>
      <x:c r="J639" s="11" t="n">
        <x:v>10</x:v>
      </x:c>
      <x:c r="K639" s="11" t="n">
        <x:v>7</x:v>
      </x:c>
      <x:c r="L639" s="11" t="n">
        <x:v>0</x:v>
      </x:c>
      <x:c r="M639" s="9" t="n">
        <x:f>ROUND(H639*(1-I639),2)</x:f>
        <x:v>10848000</x:v>
      </x:c>
      <x:c r="N639" s="4" t="str">
        <x:v>Sales manager</x:v>
      </x:c>
      <x:c r="O639" s="4" t="str">
        <x:v>BOOK-00638</x:v>
      </x:c>
      <x:c r="P639" s="9" t="n">
        <x:v>5424000</x:v>
      </x:c>
      <x:c r="Q639" s="11" t="n">
        <x:v>0</x:v>
      </x:c>
      <x:c r="R639" s="8" t="n">
        <x:v>45404</x:v>
      </x:c>
      <x:c r="S639" s="4" t="str">
        <x:v>Retained</x:v>
      </x:c>
      <x:c r="T639" s="10" t="n">
        <x:v>0.310195</x:v>
      </x:c>
      <x:c r="U639" s="4" t="str">
        <x:v>Train</x:v>
      </x:c>
    </x:row>
    <x:row r="640" ht="34" customHeight="1">
      <x:c r="A640" s="4" t="str">
        <x:v>RS-00639</x:v>
      </x:c>
      <x:c r="B640" s="8" t="n">
        <x:v>45345</x:v>
      </x:c>
      <x:c r="C640" s="4" t="str">
        <x:v>PRJ-019</x:v>
      </x:c>
      <x:c r="D640" s="4" t="str">
        <x:v>Retail</x:v>
      </x:c>
      <x:c r="E640" s="4" t="str">
        <x:v>Handed over</x:v>
      </x:c>
      <x:c r="F640" s="4" t="str">
        <x:v>CUS-00639</x:v>
      </x:c>
      <x:c r="G640" s="4" t="str">
        <x:v>UNIT-00639</x:v>
      </x:c>
      <x:c r="H640" s="9" t="n">
        <x:v>23100000</x:v>
      </x:c>
      <x:c r="I640" s="10" t="n">
        <x:v>0.01</x:v>
      </x:c>
      <x:c r="J640" s="11" t="n">
        <x:v>1</x:v>
      </x:c>
      <x:c r="K640" s="11" t="n">
        <x:v>10</x:v>
      </x:c>
      <x:c r="L640" s="11" t="n">
        <x:v>1</x:v>
      </x:c>
      <x:c r="M640" s="9" t="n">
        <x:f>ROUND(H640*(1-I640),2)</x:f>
        <x:v>22869000</x:v>
      </x:c>
      <x:c r="N640" s="4" t="str">
        <x:v>Sales manager</x:v>
      </x:c>
      <x:c r="O640" s="4" t="str">
        <x:v>BOOK-00639</x:v>
      </x:c>
      <x:c r="P640" s="9" t="n">
        <x:v>2286900</x:v>
      </x:c>
      <x:c r="Q640" s="11" t="n">
        <x:v>0</x:v>
      </x:c>
      <x:c r="R640" s="8" t="n">
        <x:v>45405</x:v>
      </x:c>
      <x:c r="S640" s="4" t="str">
        <x:v>Retained</x:v>
      </x:c>
      <x:c r="T640" s="10" t="n">
        <x:v>0.072165</x:v>
      </x:c>
      <x:c r="U640" s="4" t="str">
        <x:v>Train</x:v>
      </x:c>
    </x:row>
    <x:row r="641" ht="34" customHeight="1">
      <x:c r="A641" s="4" t="str">
        <x:v>RS-00640</x:v>
      </x:c>
      <x:c r="B641" s="8" t="n">
        <x:v>45346</x:v>
      </x:c>
      <x:c r="C641" s="4" t="str">
        <x:v>PRJ-020</x:v>
      </x:c>
      <x:c r="D641" s="4" t="str">
        <x:v>Villa</x:v>
      </x:c>
      <x:c r="E641" s="4" t="str">
        <x:v>Reserved</x:v>
      </x:c>
      <x:c r="F641" s="4" t="str">
        <x:v>CUS-00640</x:v>
      </x:c>
      <x:c r="G641" s="4" t="str">
        <x:v>UNIT-00640</x:v>
      </x:c>
      <x:c r="H641" s="9" t="n">
        <x:v>18300000</x:v>
      </x:c>
      <x:c r="I641" s="10" t="n">
        <x:v>0.03</x:v>
      </x:c>
      <x:c r="J641" s="11" t="n">
        <x:v>11</x:v>
      </x:c>
      <x:c r="K641" s="11" t="n">
        <x:v>1</x:v>
      </x:c>
      <x:c r="L641" s="11" t="n">
        <x:v>0</x:v>
      </x:c>
      <x:c r="M641" s="9" t="n">
        <x:f>ROUND(H641*(1-I641),2)</x:f>
        <x:v>17751000</x:v>
      </x:c>
      <x:c r="N641" s="4" t="str">
        <x:v>Sales manager</x:v>
      </x:c>
      <x:c r="O641" s="4"/>
      <x:c r="P641" s="9" t="n">
        <x:v>0</x:v>
      </x:c>
      <x:c r="Q641" s="11" t="n">
        <x:v>1</x:v>
      </x:c>
      <x:c r="R641" s="8" t="n">
        <x:v>45406</x:v>
      </x:c>
      <x:c r="S641" s="4" t="str">
        <x:v>Lost / cancelled</x:v>
      </x:c>
      <x:c r="T641" s="10" t="n">
        <x:v>0.351536</x:v>
      </x:c>
      <x:c r="U641" s="4" t="str">
        <x:v>Train</x:v>
      </x:c>
    </x:row>
    <x:row r="642" ht="34" customHeight="1">
      <x:c r="A642" s="4" t="str">
        <x:v>RS-00641</x:v>
      </x:c>
      <x:c r="B642" s="8" t="n">
        <x:v>45347</x:v>
      </x:c>
      <x:c r="C642" s="4" t="str">
        <x:v>PRJ-001</x:v>
      </x:c>
      <x:c r="D642" s="4" t="str">
        <x:v>Apartment</x:v>
      </x:c>
      <x:c r="E642" s="4" t="str">
        <x:v>Booked</x:v>
      </x:c>
      <x:c r="F642" s="4" t="str">
        <x:v>CUS-00641</x:v>
      </x:c>
      <x:c r="G642" s="4" t="str">
        <x:v>UNIT-00641</x:v>
      </x:c>
      <x:c r="H642" s="9" t="n">
        <x:v>21800000</x:v>
      </x:c>
      <x:c r="I642" s="10" t="n">
        <x:v>0.11</x:v>
      </x:c>
      <x:c r="J642" s="11" t="n">
        <x:v>7</x:v>
      </x:c>
      <x:c r="K642" s="11" t="n">
        <x:v>4</x:v>
      </x:c>
      <x:c r="L642" s="11" t="n">
        <x:v>1</x:v>
      </x:c>
      <x:c r="M642" s="9" t="n">
        <x:f>ROUND(H642*(1-I642),2)</x:f>
        <x:v>19402000</x:v>
      </x:c>
      <x:c r="N642" s="4" t="str">
        <x:v>Sales head</x:v>
      </x:c>
      <x:c r="O642" s="4" t="str">
        <x:v>BOOK-00641</x:v>
      </x:c>
      <x:c r="P642" s="9" t="n">
        <x:v>4850500</x:v>
      </x:c>
      <x:c r="Q642" s="11" t="n">
        <x:v>0</x:v>
      </x:c>
      <x:c r="R642" s="8" t="n">
        <x:v>45407</x:v>
      </x:c>
      <x:c r="S642" s="4" t="str">
        <x:v>Retained</x:v>
      </x:c>
      <x:c r="T642" s="10" t="n">
        <x:v>0.291946</x:v>
      </x:c>
      <x:c r="U642" s="4" t="str">
        <x:v>Train</x:v>
      </x:c>
    </x:row>
    <x:row r="643" ht="34" customHeight="1">
      <x:c r="A643" s="4" t="str">
        <x:v>RS-00642</x:v>
      </x:c>
      <x:c r="B643" s="8" t="n">
        <x:v>45348</x:v>
      </x:c>
      <x:c r="C643" s="4" t="str">
        <x:v>PRJ-002</x:v>
      </x:c>
      <x:c r="D643" s="4" t="str">
        <x:v>Villa</x:v>
      </x:c>
      <x:c r="E643" s="4" t="str">
        <x:v>Booked</x:v>
      </x:c>
      <x:c r="F643" s="4" t="str">
        <x:v>CUS-00642</x:v>
      </x:c>
      <x:c r="G643" s="4" t="str">
        <x:v>UNIT-00642</x:v>
      </x:c>
      <x:c r="H643" s="9" t="n">
        <x:v>13300000</x:v>
      </x:c>
      <x:c r="I643" s="10" t="n">
        <x:v>0.01</x:v>
      </x:c>
      <x:c r="J643" s="11" t="n">
        <x:v>11</x:v>
      </x:c>
      <x:c r="K643" s="11" t="n">
        <x:v>0</x:v>
      </x:c>
      <x:c r="L643" s="11" t="n">
        <x:v>1</x:v>
      </x:c>
      <x:c r="M643" s="9" t="n">
        <x:f>ROUND(H643*(1-I643),2)</x:f>
        <x:v>13167000</x:v>
      </x:c>
      <x:c r="N643" s="4" t="str">
        <x:v>Sales manager</x:v>
      </x:c>
      <x:c r="O643" s="4" t="str">
        <x:v>BOOK-00642</x:v>
      </x:c>
      <x:c r="P643" s="9" t="n">
        <x:v>3291750</x:v>
      </x:c>
      <x:c r="Q643" s="11" t="n">
        <x:v>0</x:v>
      </x:c>
      <x:c r="R643" s="8" t="n">
        <x:v>45408</x:v>
      </x:c>
      <x:c r="S643" s="4" t="str">
        <x:v>Retained</x:v>
      </x:c>
      <x:c r="T643" s="10" t="n">
        <x:v>0.254545</x:v>
      </x:c>
      <x:c r="U643" s="4" t="str">
        <x:v>Train</x:v>
      </x:c>
    </x:row>
    <x:row r="644" ht="34" customHeight="1">
      <x:c r="A644" s="4" t="str">
        <x:v>RS-00643</x:v>
      </x:c>
      <x:c r="B644" s="8" t="n">
        <x:v>45349</x:v>
      </x:c>
      <x:c r="C644" s="4" t="str">
        <x:v>PRJ-003</x:v>
      </x:c>
      <x:c r="D644" s="4" t="str">
        <x:v>Villa</x:v>
      </x:c>
      <x:c r="E644" s="4" t="str">
        <x:v>Enquiry</x:v>
      </x:c>
      <x:c r="F644" s="4" t="str">
        <x:v>CUS-00643</x:v>
      </x:c>
      <x:c r="G644" s="4" t="str">
        <x:v>UNIT-00643</x:v>
      </x:c>
      <x:c r="H644" s="9" t="n">
        <x:v>3000000</x:v>
      </x:c>
      <x:c r="I644" s="10" t="n">
        <x:v>0.04</x:v>
      </x:c>
      <x:c r="J644" s="11" t="n">
        <x:v>5</x:v>
      </x:c>
      <x:c r="K644" s="11" t="n">
        <x:v>2</x:v>
      </x:c>
      <x:c r="L644" s="11" t="n">
        <x:v>1</x:v>
      </x:c>
      <x:c r="M644" s="9" t="n">
        <x:f>ROUND(H644*(1-I644),2)</x:f>
        <x:v>2880000</x:v>
      </x:c>
      <x:c r="N644" s="4" t="str">
        <x:v>Sales manager</x:v>
      </x:c>
      <x:c r="O644" s="4"/>
      <x:c r="P644" s="9" t="n">
        <x:v>0</x:v>
      </x:c>
      <x:c r="Q644" s="11" t="n">
        <x:v>1</x:v>
      </x:c>
      <x:c r="R644" s="8" t="n">
        <x:v>45409</x:v>
      </x:c>
      <x:c r="S644" s="4" t="str">
        <x:v>Lost / cancelled</x:v>
      </x:c>
      <x:c r="T644" s="10" t="n">
        <x:v>0.291946</x:v>
      </x:c>
      <x:c r="U644" s="4" t="str">
        <x:v>Train</x:v>
      </x:c>
    </x:row>
    <x:row r="645" ht="34" customHeight="1">
      <x:c r="A645" s="4" t="str">
        <x:v>RS-00644</x:v>
      </x:c>
      <x:c r="B645" s="8" t="n">
        <x:v>45350</x:v>
      </x:c>
      <x:c r="C645" s="4" t="str">
        <x:v>PRJ-004</x:v>
      </x:c>
      <x:c r="D645" s="4" t="str">
        <x:v>Retail</x:v>
      </x:c>
      <x:c r="E645" s="4" t="str">
        <x:v>Agreement signed</x:v>
      </x:c>
      <x:c r="F645" s="4" t="str">
        <x:v>CUS-00644</x:v>
      </x:c>
      <x:c r="G645" s="4" t="str">
        <x:v>UNIT-00644</x:v>
      </x:c>
      <x:c r="H645" s="9" t="n">
        <x:v>13800000</x:v>
      </x:c>
      <x:c r="I645" s="10" t="n">
        <x:v>0.1</x:v>
      </x:c>
      <x:c r="J645" s="11" t="n">
        <x:v>10</x:v>
      </x:c>
      <x:c r="K645" s="11" t="n">
        <x:v>8</x:v>
      </x:c>
      <x:c r="L645" s="11" t="n">
        <x:v>0</x:v>
      </x:c>
      <x:c r="M645" s="9" t="n">
        <x:f>ROUND(H645*(1-I645),2)</x:f>
        <x:v>12420000</x:v>
      </x:c>
      <x:c r="N645" s="4" t="str">
        <x:v>Sales head</x:v>
      </x:c>
      <x:c r="O645" s="4" t="str">
        <x:v>BOOK-00644</x:v>
      </x:c>
      <x:c r="P645" s="9" t="n">
        <x:v>6210000</x:v>
      </x:c>
      <x:c r="Q645" s="11" t="n">
        <x:v>0</x:v>
      </x:c>
      <x:c r="R645" s="8" t="n">
        <x:v>45410</x:v>
      </x:c>
      <x:c r="S645" s="4" t="str">
        <x:v>Retained</x:v>
      </x:c>
      <x:c r="T645" s="10" t="n">
        <x:v>0.310195</x:v>
      </x:c>
      <x:c r="U645" s="4" t="str">
        <x:v>Train</x:v>
      </x:c>
    </x:row>
    <x:row r="646" ht="34" customHeight="1">
      <x:c r="A646" s="4" t="str">
        <x:v>RS-00645</x:v>
      </x:c>
      <x:c r="B646" s="8" t="n">
        <x:v>45323</x:v>
      </x:c>
      <x:c r="C646" s="4" t="str">
        <x:v>PRJ-005</x:v>
      </x:c>
      <x:c r="D646" s="4" t="str">
        <x:v>Villa</x:v>
      </x:c>
      <x:c r="E646" s="4" t="str">
        <x:v>Reserved</x:v>
      </x:c>
      <x:c r="F646" s="4" t="str">
        <x:v>CUS-00645</x:v>
      </x:c>
      <x:c r="G646" s="4" t="str">
        <x:v>UNIT-00645</x:v>
      </x:c>
      <x:c r="H646" s="9" t="n">
        <x:v>5400000</x:v>
      </x:c>
      <x:c r="I646" s="10" t="n">
        <x:v>0.07</x:v>
      </x:c>
      <x:c r="J646" s="11" t="n">
        <x:v>9</x:v>
      </x:c>
      <x:c r="K646" s="11" t="n">
        <x:v>8</x:v>
      </x:c>
      <x:c r="L646" s="11" t="n">
        <x:v>0</x:v>
      </x:c>
      <x:c r="M646" s="9" t="n">
        <x:f>ROUND(H646*(1-I646),2)</x:f>
        <x:v>5022000</x:v>
      </x:c>
      <x:c r="N646" s="4" t="str">
        <x:v>Sales manager</x:v>
      </x:c>
      <x:c r="O646" s="4"/>
      <x:c r="P646" s="9" t="n">
        <x:v>0</x:v>
      </x:c>
      <x:c r="Q646" s="11" t="n">
        <x:v>1</x:v>
      </x:c>
      <x:c r="R646" s="8" t="n">
        <x:v>45383</x:v>
      </x:c>
      <x:c r="S646" s="4" t="str">
        <x:v>Lost / cancelled</x:v>
      </x:c>
      <x:c r="T646" s="10" t="n">
        <x:v>0.310195</x:v>
      </x:c>
      <x:c r="U646" s="4" t="str">
        <x:v>Train</x:v>
      </x:c>
    </x:row>
    <x:row r="647" ht="34" customHeight="1">
      <x:c r="A647" s="4" t="str">
        <x:v>RS-00646</x:v>
      </x:c>
      <x:c r="B647" s="8" t="n">
        <x:v>45324</x:v>
      </x:c>
      <x:c r="C647" s="4" t="str">
        <x:v>PRJ-006</x:v>
      </x:c>
      <x:c r="D647" s="4" t="str">
        <x:v>Retail</x:v>
      </x:c>
      <x:c r="E647" s="4" t="str">
        <x:v>Reserved</x:v>
      </x:c>
      <x:c r="F647" s="4" t="str">
        <x:v>CUS-00646</x:v>
      </x:c>
      <x:c r="G647" s="4" t="str">
        <x:v>UNIT-00646</x:v>
      </x:c>
      <x:c r="H647" s="9" t="n">
        <x:v>15900000</x:v>
      </x:c>
      <x:c r="I647" s="10" t="n">
        <x:v>0</x:v>
      </x:c>
      <x:c r="J647" s="11" t="n">
        <x:v>5</x:v>
      </x:c>
      <x:c r="K647" s="11" t="n">
        <x:v>4</x:v>
      </x:c>
      <x:c r="L647" s="11" t="n">
        <x:v>1</x:v>
      </x:c>
      <x:c r="M647" s="9" t="n">
        <x:f>ROUND(H647*(1-I647),2)</x:f>
        <x:v>15900000</x:v>
      </x:c>
      <x:c r="N647" s="4" t="str">
        <x:v>Sales manager</x:v>
      </x:c>
      <x:c r="O647" s="4"/>
      <x:c r="P647" s="9" t="n">
        <x:v>0</x:v>
      </x:c>
      <x:c r="Q647" s="11" t="n">
        <x:v>0</x:v>
      </x:c>
      <x:c r="R647" s="8" t="n">
        <x:v>45384</x:v>
      </x:c>
      <x:c r="S647" s="4" t="str">
        <x:v>Retained</x:v>
      </x:c>
      <x:c r="T647" s="10" t="n">
        <x:v>0.298969</x:v>
      </x:c>
      <x:c r="U647" s="4" t="str">
        <x:v>Train</x:v>
      </x:c>
    </x:row>
    <x:row r="648" ht="34" customHeight="1">
      <x:c r="A648" s="4" t="str">
        <x:v>RS-00647</x:v>
      </x:c>
      <x:c r="B648" s="8" t="n">
        <x:v>45325</x:v>
      </x:c>
      <x:c r="C648" s="4" t="str">
        <x:v>PRJ-007</x:v>
      </x:c>
      <x:c r="D648" s="4" t="str">
        <x:v>Villa</x:v>
      </x:c>
      <x:c r="E648" s="4" t="str">
        <x:v>Cancelled</x:v>
      </x:c>
      <x:c r="F648" s="4" t="str">
        <x:v>CUS-00647</x:v>
      </x:c>
      <x:c r="G648" s="4" t="str">
        <x:v>UNIT-00647</x:v>
      </x:c>
      <x:c r="H648" s="9" t="n">
        <x:v>3400000</x:v>
      </x:c>
      <x:c r="I648" s="10" t="n">
        <x:v>0.08</x:v>
      </x:c>
      <x:c r="J648" s="11" t="n">
        <x:v>12</x:v>
      </x:c>
      <x:c r="K648" s="11" t="n">
        <x:v>3</x:v>
      </x:c>
      <x:c r="L648" s="11" t="n">
        <x:v>1</x:v>
      </x:c>
      <x:c r="M648" s="9" t="n">
        <x:f>ROUND(H648*(1-I648),2)</x:f>
        <x:v>3128000</x:v>
      </x:c>
      <x:c r="N648" s="4" t="str">
        <x:v>Sales head</x:v>
      </x:c>
      <x:c r="O648" s="4"/>
      <x:c r="P648" s="9" t="n">
        <x:v>0</x:v>
      </x:c>
      <x:c r="Q648" s="11" t="n">
        <x:v>1</x:v>
      </x:c>
      <x:c r="R648" s="8" t="n">
        <x:v>45385</x:v>
      </x:c>
      <x:c r="S648" s="4" t="str">
        <x:v>Lost / cancelled</x:v>
      </x:c>
      <x:c r="T648" s="10" t="n">
        <x:v>0.351536</x:v>
      </x:c>
      <x:c r="U648" s="4" t="str">
        <x:v>Train</x:v>
      </x:c>
    </x:row>
    <x:row r="649" ht="34" customHeight="1">
      <x:c r="A649" s="4" t="str">
        <x:v>RS-00648</x:v>
      </x:c>
      <x:c r="B649" s="8" t="n">
        <x:v>45326</x:v>
      </x:c>
      <x:c r="C649" s="4" t="str">
        <x:v>PRJ-008</x:v>
      </x:c>
      <x:c r="D649" s="4" t="str">
        <x:v>Villa</x:v>
      </x:c>
      <x:c r="E649" s="4" t="str">
        <x:v>Enquiry</x:v>
      </x:c>
      <x:c r="F649" s="4" t="str">
        <x:v>CUS-00648</x:v>
      </x:c>
      <x:c r="G649" s="4" t="str">
        <x:v>UNIT-00648</x:v>
      </x:c>
      <x:c r="H649" s="9" t="n">
        <x:v>14000000</x:v>
      </x:c>
      <x:c r="I649" s="10" t="n">
        <x:v>0.09</x:v>
      </x:c>
      <x:c r="J649" s="11" t="n">
        <x:v>8</x:v>
      </x:c>
      <x:c r="K649" s="11" t="n">
        <x:v>10</x:v>
      </x:c>
      <x:c r="L649" s="11" t="n">
        <x:v>1</x:v>
      </x:c>
      <x:c r="M649" s="9" t="n">
        <x:f>ROUND(H649*(1-I649),2)</x:f>
        <x:v>12740000</x:v>
      </x:c>
      <x:c r="N649" s="4" t="str">
        <x:v>Sales head</x:v>
      </x:c>
      <x:c r="O649" s="4"/>
      <x:c r="P649" s="9" t="n">
        <x:v>0</x:v>
      </x:c>
      <x:c r="Q649" s="11" t="n">
        <x:v>0</x:v>
      </x:c>
      <x:c r="R649" s="8" t="n">
        <x:v>45386</x:v>
      </x:c>
      <x:c r="S649" s="4" t="str">
        <x:v>Retained</x:v>
      </x:c>
      <x:c r="T649" s="10" t="n">
        <x:v>0.310195</x:v>
      </x:c>
      <x:c r="U649" s="4" t="str">
        <x:v>Train</x:v>
      </x:c>
    </x:row>
    <x:row r="650" ht="34" customHeight="1">
      <x:c r="A650" s="4" t="str">
        <x:v>RS-00649</x:v>
      </x:c>
      <x:c r="B650" s="8" t="n">
        <x:v>45327</x:v>
      </x:c>
      <x:c r="C650" s="4" t="str">
        <x:v>PRJ-009</x:v>
      </x:c>
      <x:c r="D650" s="4" t="str">
        <x:v>Office</x:v>
      </x:c>
      <x:c r="E650" s="4" t="str">
        <x:v>Cancelled</x:v>
      </x:c>
      <x:c r="F650" s="4" t="str">
        <x:v>CUS-00649</x:v>
      </x:c>
      <x:c r="G650" s="4" t="str">
        <x:v>UNIT-00649</x:v>
      </x:c>
      <x:c r="H650" s="9" t="n">
        <x:v>10000000</x:v>
      </x:c>
      <x:c r="I650" s="10" t="n">
        <x:v>0.06</x:v>
      </x:c>
      <x:c r="J650" s="11" t="n">
        <x:v>6</x:v>
      </x:c>
      <x:c r="K650" s="11" t="n">
        <x:v>3</x:v>
      </x:c>
      <x:c r="L650" s="11" t="n">
        <x:v>0</x:v>
      </x:c>
      <x:c r="M650" s="9" t="n">
        <x:f>ROUND(H650*(1-I650),2)</x:f>
        <x:v>9400000</x:v>
      </x:c>
      <x:c r="N650" s="4" t="str">
        <x:v>Sales manager</x:v>
      </x:c>
      <x:c r="O650" s="4"/>
      <x:c r="P650" s="9" t="n">
        <x:v>0</x:v>
      </x:c>
      <x:c r="Q650" s="11" t="n">
        <x:v>1</x:v>
      </x:c>
      <x:c r="R650" s="8" t="n">
        <x:v>45387</x:v>
      </x:c>
      <x:c r="S650" s="4" t="str">
        <x:v>Lost / cancelled</x:v>
      </x:c>
      <x:c r="T650" s="10" t="n">
        <x:v>0.226277</x:v>
      </x:c>
      <x:c r="U650" s="4" t="str">
        <x:v>Train</x:v>
      </x:c>
    </x:row>
    <x:row r="651" ht="34" customHeight="1">
      <x:c r="A651" s="4" t="str">
        <x:v>RS-00650</x:v>
      </x:c>
      <x:c r="B651" s="8" t="n">
        <x:v>45328</x:v>
      </x:c>
      <x:c r="C651" s="4" t="str">
        <x:v>PRJ-010</x:v>
      </x:c>
      <x:c r="D651" s="4" t="str">
        <x:v>Office</x:v>
      </x:c>
      <x:c r="E651" s="4" t="str">
        <x:v>Booked</x:v>
      </x:c>
      <x:c r="F651" s="4" t="str">
        <x:v>CUS-00650</x:v>
      </x:c>
      <x:c r="G651" s="4" t="str">
        <x:v>UNIT-00650</x:v>
      </x:c>
      <x:c r="H651" s="9" t="n">
        <x:v>18100000</x:v>
      </x:c>
      <x:c r="I651" s="10" t="n">
        <x:v>0.02</x:v>
      </x:c>
      <x:c r="J651" s="11" t="n">
        <x:v>3</x:v>
      </x:c>
      <x:c r="K651" s="11" t="n">
        <x:v>7</x:v>
      </x:c>
      <x:c r="L651" s="11" t="n">
        <x:v>1</x:v>
      </x:c>
      <x:c r="M651" s="9" t="n">
        <x:f>ROUND(H651*(1-I651),2)</x:f>
        <x:v>17738000</x:v>
      </x:c>
      <x:c r="N651" s="4" t="str">
        <x:v>Sales manager</x:v>
      </x:c>
      <x:c r="O651" s="4" t="str">
        <x:v>BOOK-00650</x:v>
      </x:c>
      <x:c r="P651" s="9" t="n">
        <x:v>8869000</x:v>
      </x:c>
      <x:c r="Q651" s="11" t="n">
        <x:v>0</x:v>
      </x:c>
      <x:c r="R651" s="8" t="n">
        <x:v>45388</x:v>
      </x:c>
      <x:c r="S651" s="4" t="str">
        <x:v>Retained</x:v>
      </x:c>
      <x:c r="T651" s="10" t="n">
        <x:v>0.171717</x:v>
      </x:c>
      <x:c r="U651" s="4" t="str">
        <x:v>Train</x:v>
      </x:c>
    </x:row>
    <x:row r="652" ht="34" customHeight="1">
      <x:c r="A652" s="4" t="str">
        <x:v>RS-00651</x:v>
      </x:c>
      <x:c r="B652" s="8" t="n">
        <x:v>45329</x:v>
      </x:c>
      <x:c r="C652" s="4" t="str">
        <x:v>PRJ-011</x:v>
      </x:c>
      <x:c r="D652" s="4" t="str">
        <x:v>Retail</x:v>
      </x:c>
      <x:c r="E652" s="4" t="str">
        <x:v>Handed over</x:v>
      </x:c>
      <x:c r="F652" s="4" t="str">
        <x:v>CUS-00651</x:v>
      </x:c>
      <x:c r="G652" s="4" t="str">
        <x:v>UNIT-00651</x:v>
      </x:c>
      <x:c r="H652" s="9" t="n">
        <x:v>17500000</x:v>
      </x:c>
      <x:c r="I652" s="10" t="n">
        <x:v>0.07</x:v>
      </x:c>
      <x:c r="J652" s="11" t="n">
        <x:v>10</x:v>
      </x:c>
      <x:c r="K652" s="11" t="n">
        <x:v>2</x:v>
      </x:c>
      <x:c r="L652" s="11" t="n">
        <x:v>0</x:v>
      </x:c>
      <x:c r="M652" s="9" t="n">
        <x:f>ROUND(H652*(1-I652),2)</x:f>
        <x:v>16275000</x:v>
      </x:c>
      <x:c r="N652" s="4" t="str">
        <x:v>Sales manager</x:v>
      </x:c>
      <x:c r="O652" s="4" t="str">
        <x:v>BOOK-00651</x:v>
      </x:c>
      <x:c r="P652" s="9" t="n">
        <x:v>4068750</x:v>
      </x:c>
      <x:c r="Q652" s="11" t="n">
        <x:v>0</x:v>
      </x:c>
      <x:c r="R652" s="8" t="n">
        <x:v>45389</x:v>
      </x:c>
      <x:c r="S652" s="4" t="str">
        <x:v>Retained</x:v>
      </x:c>
      <x:c r="T652" s="10" t="n">
        <x:v>0.310195</x:v>
      </x:c>
      <x:c r="U652" s="4" t="str">
        <x:v>Train</x:v>
      </x:c>
    </x:row>
    <x:row r="653" ht="34" customHeight="1">
      <x:c r="A653" s="4" t="str">
        <x:v>RS-00652</x:v>
      </x:c>
      <x:c r="B653" s="8" t="n">
        <x:v>45330</x:v>
      </x:c>
      <x:c r="C653" s="4" t="str">
        <x:v>PRJ-012</x:v>
      </x:c>
      <x:c r="D653" s="4" t="str">
        <x:v>Office</x:v>
      </x:c>
      <x:c r="E653" s="4" t="str">
        <x:v>Cancelled</x:v>
      </x:c>
      <x:c r="F653" s="4" t="str">
        <x:v>CUS-00652</x:v>
      </x:c>
      <x:c r="G653" s="4" t="str">
        <x:v>UNIT-00652</x:v>
      </x:c>
      <x:c r="H653" s="9" t="n">
        <x:v>6100000</x:v>
      </x:c>
      <x:c r="I653" s="10" t="n">
        <x:v>0.07</x:v>
      </x:c>
      <x:c r="J653" s="11" t="n">
        <x:v>6</x:v>
      </x:c>
      <x:c r="K653" s="11" t="n">
        <x:v>3</x:v>
      </x:c>
      <x:c r="L653" s="11" t="n">
        <x:v>0</x:v>
      </x:c>
      <x:c r="M653" s="9" t="n">
        <x:f>ROUND(H653*(1-I653),2)</x:f>
        <x:v>5673000</x:v>
      </x:c>
      <x:c r="N653" s="4" t="str">
        <x:v>Sales manager</x:v>
      </x:c>
      <x:c r="O653" s="4"/>
      <x:c r="P653" s="9" t="n">
        <x:v>0</x:v>
      </x:c>
      <x:c r="Q653" s="11" t="n">
        <x:v>1</x:v>
      </x:c>
      <x:c r="R653" s="8" t="n">
        <x:v>45390</x:v>
      </x:c>
      <x:c r="S653" s="4" t="str">
        <x:v>Lost / cancelled</x:v>
      </x:c>
      <x:c r="T653" s="10" t="n">
        <x:v>0.226277</x:v>
      </x:c>
      <x:c r="U653" s="4" t="str">
        <x:v>Train</x:v>
      </x:c>
    </x:row>
    <x:row r="654" ht="34" customHeight="1">
      <x:c r="A654" s="4" t="str">
        <x:v>RS-00653</x:v>
      </x:c>
      <x:c r="B654" s="8" t="n">
        <x:v>45331</x:v>
      </x:c>
      <x:c r="C654" s="4" t="str">
        <x:v>PRJ-013</x:v>
      </x:c>
      <x:c r="D654" s="4" t="str">
        <x:v>Apartment</x:v>
      </x:c>
      <x:c r="E654" s="4" t="str">
        <x:v>Handed over</x:v>
      </x:c>
      <x:c r="F654" s="4" t="str">
        <x:v>CUS-00653</x:v>
      </x:c>
      <x:c r="G654" s="4" t="str">
        <x:v>UNIT-00653</x:v>
      </x:c>
      <x:c r="H654" s="9" t="n">
        <x:v>18900000</x:v>
      </x:c>
      <x:c r="I654" s="10" t="n">
        <x:v>0.01</x:v>
      </x:c>
      <x:c r="J654" s="11" t="n">
        <x:v>1</x:v>
      </x:c>
      <x:c r="K654" s="11" t="n">
        <x:v>10</x:v>
      </x:c>
      <x:c r="L654" s="11" t="n">
        <x:v>0</x:v>
      </x:c>
      <x:c r="M654" s="9" t="n">
        <x:f>ROUND(H654*(1-I654),2)</x:f>
        <x:v>18711000</x:v>
      </x:c>
      <x:c r="N654" s="4" t="str">
        <x:v>Sales manager</x:v>
      </x:c>
      <x:c r="O654" s="4" t="str">
        <x:v>BOOK-00653</x:v>
      </x:c>
      <x:c r="P654" s="9" t="n">
        <x:v>4677750</x:v>
      </x:c>
      <x:c r="Q654" s="11" t="n">
        <x:v>0</x:v>
      </x:c>
      <x:c r="R654" s="8" t="n">
        <x:v>45391</x:v>
      </x:c>
      <x:c r="S654" s="4" t="str">
        <x:v>Retained</x:v>
      </x:c>
      <x:c r="T654" s="10" t="n">
        <x:v>0.072165</x:v>
      </x:c>
      <x:c r="U654" s="4" t="str">
        <x:v>Train</x:v>
      </x:c>
    </x:row>
    <x:row r="655" ht="34" customHeight="1">
      <x:c r="A655" s="4" t="str">
        <x:v>RS-00654</x:v>
      </x:c>
      <x:c r="B655" s="8" t="n">
        <x:v>45332</x:v>
      </x:c>
      <x:c r="C655" s="4" t="str">
        <x:v>PRJ-014</x:v>
      </x:c>
      <x:c r="D655" s="4" t="str">
        <x:v>Apartment</x:v>
      </x:c>
      <x:c r="E655" s="4" t="str">
        <x:v>Agreement signed</x:v>
      </x:c>
      <x:c r="F655" s="4" t="str">
        <x:v>CUS-00654</x:v>
      </x:c>
      <x:c r="G655" s="4" t="str">
        <x:v>UNIT-00654</x:v>
      </x:c>
      <x:c r="H655" s="9" t="n">
        <x:v>11700000</x:v>
      </x:c>
      <x:c r="I655" s="10" t="n">
        <x:v>0.02</x:v>
      </x:c>
      <x:c r="J655" s="11" t="n">
        <x:v>3</x:v>
      </x:c>
      <x:c r="K655" s="11" t="n">
        <x:v>8</x:v>
      </x:c>
      <x:c r="L655" s="11" t="n">
        <x:v>0</x:v>
      </x:c>
      <x:c r="M655" s="9" t="n">
        <x:f>ROUND(H655*(1-I655),2)</x:f>
        <x:v>11466000</x:v>
      </x:c>
      <x:c r="N655" s="4" t="str">
        <x:v>Sales manager</x:v>
      </x:c>
      <x:c r="O655" s="4" t="str">
        <x:v>BOOK-00654</x:v>
      </x:c>
      <x:c r="P655" s="9" t="n">
        <x:v>5733000</x:v>
      </x:c>
      <x:c r="Q655" s="11" t="n">
        <x:v>0</x:v>
      </x:c>
      <x:c r="R655" s="8" t="n">
        <x:v>45392</x:v>
      </x:c>
      <x:c r="S655" s="4" t="str">
        <x:v>Retained</x:v>
      </x:c>
      <x:c r="T655" s="10" t="n">
        <x:v>0.171717</x:v>
      </x:c>
      <x:c r="U655" s="4" t="str">
        <x:v>Train</x:v>
      </x:c>
    </x:row>
    <x:row r="656" ht="34" customHeight="1">
      <x:c r="A656" s="4" t="str">
        <x:v>RS-00655</x:v>
      </x:c>
      <x:c r="B656" s="8" t="n">
        <x:v>45333</x:v>
      </x:c>
      <x:c r="C656" s="4" t="str">
        <x:v>PRJ-015</x:v>
      </x:c>
      <x:c r="D656" s="4" t="str">
        <x:v>Office</x:v>
      </x:c>
      <x:c r="E656" s="4" t="str">
        <x:v>Reserved</x:v>
      </x:c>
      <x:c r="F656" s="4" t="str">
        <x:v>CUS-00655</x:v>
      </x:c>
      <x:c r="G656" s="4" t="str">
        <x:v>UNIT-00655</x:v>
      </x:c>
      <x:c r="H656" s="9" t="n">
        <x:v>20600000</x:v>
      </x:c>
      <x:c r="I656" s="10" t="n">
        <x:v>0.02</x:v>
      </x:c>
      <x:c r="J656" s="11" t="n">
        <x:v>2</x:v>
      </x:c>
      <x:c r="K656" s="11" t="n">
        <x:v>4</x:v>
      </x:c>
      <x:c r="L656" s="11" t="n">
        <x:v>0</x:v>
      </x:c>
      <x:c r="M656" s="9" t="n">
        <x:f>ROUND(H656*(1-I656),2)</x:f>
        <x:v>20188000</x:v>
      </x:c>
      <x:c r="N656" s="4" t="str">
        <x:v>Sales manager</x:v>
      </x:c>
      <x:c r="O656" s="4"/>
      <x:c r="P656" s="9" t="n">
        <x:v>0</x:v>
      </x:c>
      <x:c r="Q656" s="11" t="n">
        <x:v>0</x:v>
      </x:c>
      <x:c r="R656" s="8" t="n">
        <x:v>45393</x:v>
      </x:c>
      <x:c r="S656" s="4" t="str">
        <x:v>Retained</x:v>
      </x:c>
      <x:c r="T656" s="10" t="n">
        <x:v>0.171717</x:v>
      </x:c>
      <x:c r="U656" s="4" t="str">
        <x:v>Train</x:v>
      </x:c>
    </x:row>
    <x:row r="657" ht="34" customHeight="1">
      <x:c r="A657" s="4" t="str">
        <x:v>RS-00656</x:v>
      </x:c>
      <x:c r="B657" s="8" t="n">
        <x:v>45334</x:v>
      </x:c>
      <x:c r="C657" s="4" t="str">
        <x:v>PRJ-016</x:v>
      </x:c>
      <x:c r="D657" s="4" t="str">
        <x:v>Retail</x:v>
      </x:c>
      <x:c r="E657" s="4" t="str">
        <x:v>Booked</x:v>
      </x:c>
      <x:c r="F657" s="4" t="str">
        <x:v>CUS-00656</x:v>
      </x:c>
      <x:c r="G657" s="4" t="str">
        <x:v>UNIT-00656</x:v>
      </x:c>
      <x:c r="H657" s="9" t="n">
        <x:v>20000000</x:v>
      </x:c>
      <x:c r="I657" s="10" t="n">
        <x:v>0.09</x:v>
      </x:c>
      <x:c r="J657" s="11" t="n">
        <x:v>8</x:v>
      </x:c>
      <x:c r="K657" s="11" t="n">
        <x:v>2</x:v>
      </x:c>
      <x:c r="L657" s="11" t="n">
        <x:v>0</x:v>
      </x:c>
      <x:c r="M657" s="9" t="n">
        <x:f>ROUND(H657*(1-I657),2)</x:f>
        <x:v>18200000</x:v>
      </x:c>
      <x:c r="N657" s="4" t="str">
        <x:v>Sales head</x:v>
      </x:c>
      <x:c r="O657" s="4" t="str">
        <x:v>BOOK-00656</x:v>
      </x:c>
      <x:c r="P657" s="9" t="n">
        <x:v>1820000</x:v>
      </x:c>
      <x:c r="Q657" s="11" t="n">
        <x:v>0</x:v>
      </x:c>
      <x:c r="R657" s="8" t="n">
        <x:v>45394</x:v>
      </x:c>
      <x:c r="S657" s="4" t="str">
        <x:v>Retained</x:v>
      </x:c>
      <x:c r="T657" s="10" t="n">
        <x:v>0.310195</x:v>
      </x:c>
      <x:c r="U657" s="4" t="str">
        <x:v>Train</x:v>
      </x:c>
    </x:row>
    <x:row r="658" ht="34" customHeight="1">
      <x:c r="A658" s="4" t="str">
        <x:v>RS-00657</x:v>
      </x:c>
      <x:c r="B658" s="8" t="n">
        <x:v>45335</x:v>
      </x:c>
      <x:c r="C658" s="4" t="str">
        <x:v>PRJ-017</x:v>
      </x:c>
      <x:c r="D658" s="4" t="str">
        <x:v>Office</x:v>
      </x:c>
      <x:c r="E658" s="4" t="str">
        <x:v>Booked</x:v>
      </x:c>
      <x:c r="F658" s="4" t="str">
        <x:v>CUS-00657</x:v>
      </x:c>
      <x:c r="G658" s="4" t="str">
        <x:v>UNIT-00657</x:v>
      </x:c>
      <x:c r="H658" s="9" t="n">
        <x:v>11300000</x:v>
      </x:c>
      <x:c r="I658" s="10" t="n">
        <x:v>0</x:v>
      </x:c>
      <x:c r="J658" s="11" t="n">
        <x:v>11</x:v>
      </x:c>
      <x:c r="K658" s="11" t="n">
        <x:v>2</x:v>
      </x:c>
      <x:c r="L658" s="11" t="n">
        <x:v>1</x:v>
      </x:c>
      <x:c r="M658" s="9" t="n">
        <x:f>ROUND(H658*(1-I658),2)</x:f>
        <x:v>11300000</x:v>
      </x:c>
      <x:c r="N658" s="4" t="str">
        <x:v>Sales manager</x:v>
      </x:c>
      <x:c r="O658" s="4" t="str">
        <x:v>BOOK-00657</x:v>
      </x:c>
      <x:c r="P658" s="9" t="n">
        <x:v>2825000</x:v>
      </x:c>
      <x:c r="Q658" s="11" t="n">
        <x:v>0</x:v>
      </x:c>
      <x:c r="R658" s="8" t="n">
        <x:v>45395</x:v>
      </x:c>
      <x:c r="S658" s="4" t="str">
        <x:v>Retained</x:v>
      </x:c>
      <x:c r="T658" s="10" t="n">
        <x:v>0.254545</x:v>
      </x:c>
      <x:c r="U658" s="4" t="str">
        <x:v>Train</x:v>
      </x:c>
    </x:row>
    <x:row r="659" ht="34" customHeight="1">
      <x:c r="A659" s="4" t="str">
        <x:v>RS-00658</x:v>
      </x:c>
      <x:c r="B659" s="8" t="n">
        <x:v>45336</x:v>
      </x:c>
      <x:c r="C659" s="4" t="str">
        <x:v>PRJ-018</x:v>
      </x:c>
      <x:c r="D659" s="4" t="str">
        <x:v>Office</x:v>
      </x:c>
      <x:c r="E659" s="4" t="str">
        <x:v>Agreement signed</x:v>
      </x:c>
      <x:c r="F659" s="4" t="str">
        <x:v>CUS-00658</x:v>
      </x:c>
      <x:c r="G659" s="4" t="str">
        <x:v>UNIT-00658</x:v>
      </x:c>
      <x:c r="H659" s="9" t="n">
        <x:v>23200000</x:v>
      </x:c>
      <x:c r="I659" s="10" t="n">
        <x:v>0.1</x:v>
      </x:c>
      <x:c r="J659" s="11" t="n">
        <x:v>8</x:v>
      </x:c>
      <x:c r="K659" s="11" t="n">
        <x:v>9</x:v>
      </x:c>
      <x:c r="L659" s="11" t="n">
        <x:v>1</x:v>
      </x:c>
      <x:c r="M659" s="9" t="n">
        <x:f>ROUND(H659*(1-I659),2)</x:f>
        <x:v>20880000</x:v>
      </x:c>
      <x:c r="N659" s="4" t="str">
        <x:v>Sales head</x:v>
      </x:c>
      <x:c r="O659" s="4" t="str">
        <x:v>BOOK-00658</x:v>
      </x:c>
      <x:c r="P659" s="9" t="n">
        <x:v>2088000</x:v>
      </x:c>
      <x:c r="Q659" s="11" t="n">
        <x:v>0</x:v>
      </x:c>
      <x:c r="R659" s="8" t="n">
        <x:v>45396</x:v>
      </x:c>
      <x:c r="S659" s="4" t="str">
        <x:v>Retained</x:v>
      </x:c>
      <x:c r="T659" s="10" t="n">
        <x:v>0.310195</x:v>
      </x:c>
      <x:c r="U659" s="4" t="str">
        <x:v>Train</x:v>
      </x:c>
    </x:row>
    <x:row r="660" ht="34" customHeight="1">
      <x:c r="A660" s="4" t="str">
        <x:v>RS-00659</x:v>
      </x:c>
      <x:c r="B660" s="8" t="n">
        <x:v>45337</x:v>
      </x:c>
      <x:c r="C660" s="4" t="str">
        <x:v>PRJ-019</x:v>
      </x:c>
      <x:c r="D660" s="4" t="str">
        <x:v>Office</x:v>
      </x:c>
      <x:c r="E660" s="4" t="str">
        <x:v>Reserved</x:v>
      </x:c>
      <x:c r="F660" s="4" t="str">
        <x:v>CUS-00659</x:v>
      </x:c>
      <x:c r="G660" s="4" t="str">
        <x:v>UNIT-00659</x:v>
      </x:c>
      <x:c r="H660" s="9" t="n">
        <x:v>10400000</x:v>
      </x:c>
      <x:c r="I660" s="10" t="n">
        <x:v>0.01</x:v>
      </x:c>
      <x:c r="J660" s="11" t="n">
        <x:v>7</x:v>
      </x:c>
      <x:c r="K660" s="11" t="n">
        <x:v>4</x:v>
      </x:c>
      <x:c r="L660" s="11" t="n">
        <x:v>0</x:v>
      </x:c>
      <x:c r="M660" s="9" t="n">
        <x:f>ROUND(H660*(1-I660),2)</x:f>
        <x:v>10296000</x:v>
      </x:c>
      <x:c r="N660" s="4" t="str">
        <x:v>Sales manager</x:v>
      </x:c>
      <x:c r="O660" s="4"/>
      <x:c r="P660" s="9" t="n">
        <x:v>0</x:v>
      </x:c>
      <x:c r="Q660" s="11" t="n">
        <x:v>1</x:v>
      </x:c>
      <x:c r="R660" s="8" t="n">
        <x:v>45397</x:v>
      </x:c>
      <x:c r="S660" s="4" t="str">
        <x:v>Lost / cancelled</x:v>
      </x:c>
      <x:c r="T660" s="10" t="n">
        <x:v>0.298969</x:v>
      </x:c>
      <x:c r="U660" s="4" t="str">
        <x:v>Train</x:v>
      </x:c>
    </x:row>
    <x:row r="661" ht="34" customHeight="1">
      <x:c r="A661" s="4" t="str">
        <x:v>RS-00660</x:v>
      </x:c>
      <x:c r="B661" s="8" t="n">
        <x:v>45338</x:v>
      </x:c>
      <x:c r="C661" s="4" t="str">
        <x:v>PRJ-020</x:v>
      </x:c>
      <x:c r="D661" s="4" t="str">
        <x:v>Retail</x:v>
      </x:c>
      <x:c r="E661" s="4" t="str">
        <x:v>Agreement signed</x:v>
      </x:c>
      <x:c r="F661" s="4" t="str">
        <x:v>CUS-00660</x:v>
      </x:c>
      <x:c r="G661" s="4" t="str">
        <x:v>UNIT-00660</x:v>
      </x:c>
      <x:c r="H661" s="9" t="n">
        <x:v>12500000</x:v>
      </x:c>
      <x:c r="I661" s="10" t="n">
        <x:v>0.11</x:v>
      </x:c>
      <x:c r="J661" s="11" t="n">
        <x:v>2</x:v>
      </x:c>
      <x:c r="K661" s="11" t="n">
        <x:v>7</x:v>
      </x:c>
      <x:c r="L661" s="11" t="n">
        <x:v>1</x:v>
      </x:c>
      <x:c r="M661" s="9" t="n">
        <x:f>ROUND(H661*(1-I661),2)</x:f>
        <x:v>11125000</x:v>
      </x:c>
      <x:c r="N661" s="4" t="str">
        <x:v>Sales head</x:v>
      </x:c>
      <x:c r="O661" s="4" t="str">
        <x:v>BOOK-00660</x:v>
      </x:c>
      <x:c r="P661" s="9" t="n">
        <x:v>1112500</x:v>
      </x:c>
      <x:c r="Q661" s="11" t="n">
        <x:v>0</x:v>
      </x:c>
      <x:c r="R661" s="8" t="n">
        <x:v>45398</x:v>
      </x:c>
      <x:c r="S661" s="4" t="str">
        <x:v>Retained</x:v>
      </x:c>
      <x:c r="T661" s="10" t="n">
        <x:v>0.145833</x:v>
      </x:c>
      <x:c r="U661" s="4" t="str">
        <x:v>Train</x:v>
      </x:c>
    </x:row>
    <x:row r="662" ht="34" customHeight="1">
      <x:c r="A662" s="4" t="str">
        <x:v>RS-00661</x:v>
      </x:c>
      <x:c r="B662" s="8" t="n">
        <x:v>45339</x:v>
      </x:c>
      <x:c r="C662" s="4" t="str">
        <x:v>PRJ-001</x:v>
      </x:c>
      <x:c r="D662" s="4" t="str">
        <x:v>Retail</x:v>
      </x:c>
      <x:c r="E662" s="4" t="str">
        <x:v>Booked</x:v>
      </x:c>
      <x:c r="F662" s="4" t="str">
        <x:v>CUS-00661</x:v>
      </x:c>
      <x:c r="G662" s="4" t="str">
        <x:v>UNIT-00661</x:v>
      </x:c>
      <x:c r="H662" s="9" t="n">
        <x:v>13600000</x:v>
      </x:c>
      <x:c r="I662" s="10" t="n">
        <x:v>0.08</x:v>
      </x:c>
      <x:c r="J662" s="11" t="n">
        <x:v>4</x:v>
      </x:c>
      <x:c r="K662" s="11" t="n">
        <x:v>7</x:v>
      </x:c>
      <x:c r="L662" s="11" t="n">
        <x:v>0</x:v>
      </x:c>
      <x:c r="M662" s="9" t="n">
        <x:f>ROUND(H662*(1-I662),2)</x:f>
        <x:v>12512000</x:v>
      </x:c>
      <x:c r="N662" s="4" t="str">
        <x:v>Sales head</x:v>
      </x:c>
      <x:c r="O662" s="4" t="str">
        <x:v>BOOK-00661</x:v>
      </x:c>
      <x:c r="P662" s="9" t="n">
        <x:v>3128000</x:v>
      </x:c>
      <x:c r="Q662" s="11" t="n">
        <x:v>0</x:v>
      </x:c>
      <x:c r="R662" s="8" t="n">
        <x:v>45399</x:v>
      </x:c>
      <x:c r="S662" s="4" t="str">
        <x:v>Retained</x:v>
      </x:c>
      <x:c r="T662" s="10" t="n">
        <x:v>0.226277</x:v>
      </x:c>
      <x:c r="U662" s="4" t="str">
        <x:v>Train</x:v>
      </x:c>
    </x:row>
    <x:row r="663" ht="34" customHeight="1">
      <x:c r="A663" s="4" t="str">
        <x:v>RS-00662</x:v>
      </x:c>
      <x:c r="B663" s="8" t="n">
        <x:v>45340</x:v>
      </x:c>
      <x:c r="C663" s="4" t="str">
        <x:v>PRJ-002</x:v>
      </x:c>
      <x:c r="D663" s="4" t="str">
        <x:v>Villa</x:v>
      </x:c>
      <x:c r="E663" s="4" t="str">
        <x:v>Booked</x:v>
      </x:c>
      <x:c r="F663" s="4" t="str">
        <x:v>CUS-00662</x:v>
      </x:c>
      <x:c r="G663" s="4" t="str">
        <x:v>UNIT-00662</x:v>
      </x:c>
      <x:c r="H663" s="9" t="n">
        <x:v>17300000</x:v>
      </x:c>
      <x:c r="I663" s="10" t="n">
        <x:v>0.1</x:v>
      </x:c>
      <x:c r="J663" s="11" t="n">
        <x:v>7</x:v>
      </x:c>
      <x:c r="K663" s="11" t="n">
        <x:v>7</x:v>
      </x:c>
      <x:c r="L663" s="11" t="n">
        <x:v>1</x:v>
      </x:c>
      <x:c r="M663" s="9" t="n">
        <x:f>ROUND(H663*(1-I663),2)</x:f>
        <x:v>15570000</x:v>
      </x:c>
      <x:c r="N663" s="4" t="str">
        <x:v>Sales head</x:v>
      </x:c>
      <x:c r="O663" s="4" t="str">
        <x:v>BOOK-00662</x:v>
      </x:c>
      <x:c r="P663" s="9" t="n">
        <x:v>3892500</x:v>
      </x:c>
      <x:c r="Q663" s="11" t="n">
        <x:v>0</x:v>
      </x:c>
      <x:c r="R663" s="8" t="n">
        <x:v>45400</x:v>
      </x:c>
      <x:c r="S663" s="4" t="str">
        <x:v>Retained</x:v>
      </x:c>
      <x:c r="T663" s="10" t="n">
        <x:v>0.291946</x:v>
      </x:c>
      <x:c r="U663" s="4" t="str">
        <x:v>Train</x:v>
      </x:c>
    </x:row>
    <x:row r="664" ht="34" customHeight="1">
      <x:c r="A664" s="4" t="str">
        <x:v>RS-00663</x:v>
      </x:c>
      <x:c r="B664" s="8" t="n">
        <x:v>45341</x:v>
      </x:c>
      <x:c r="C664" s="4" t="str">
        <x:v>PRJ-003</x:v>
      </x:c>
      <x:c r="D664" s="4" t="str">
        <x:v>Villa</x:v>
      </x:c>
      <x:c r="E664" s="4" t="str">
        <x:v>Handed over</x:v>
      </x:c>
      <x:c r="F664" s="4" t="str">
        <x:v>CUS-00663</x:v>
      </x:c>
      <x:c r="G664" s="4" t="str">
        <x:v>UNIT-00663</x:v>
      </x:c>
      <x:c r="H664" s="9" t="n">
        <x:v>24600000</x:v>
      </x:c>
      <x:c r="I664" s="10" t="n">
        <x:v>0.11</x:v>
      </x:c>
      <x:c r="J664" s="11" t="n">
        <x:v>8</x:v>
      </x:c>
      <x:c r="K664" s="11" t="n">
        <x:v>5</x:v>
      </x:c>
      <x:c r="L664" s="11" t="n">
        <x:v>0</x:v>
      </x:c>
      <x:c r="M664" s="9" t="n">
        <x:f>ROUND(H664*(1-I664),2)</x:f>
        <x:v>21894000</x:v>
      </x:c>
      <x:c r="N664" s="4" t="str">
        <x:v>Sales head</x:v>
      </x:c>
      <x:c r="O664" s="4" t="str">
        <x:v>BOOK-00663</x:v>
      </x:c>
      <x:c r="P664" s="9" t="n">
        <x:v>2189400</x:v>
      </x:c>
      <x:c r="Q664" s="11" t="n">
        <x:v>0</x:v>
      </x:c>
      <x:c r="R664" s="8" t="n">
        <x:v>45401</x:v>
      </x:c>
      <x:c r="S664" s="4" t="str">
        <x:v>Retained</x:v>
      </x:c>
      <x:c r="T664" s="10" t="n">
        <x:v>0.310195</x:v>
      </x:c>
      <x:c r="U664" s="4" t="str">
        <x:v>Train</x:v>
      </x:c>
    </x:row>
    <x:row r="665" ht="34" customHeight="1">
      <x:c r="A665" s="4" t="str">
        <x:v>RS-00664</x:v>
      </x:c>
      <x:c r="B665" s="8" t="n">
        <x:v>45342</x:v>
      </x:c>
      <x:c r="C665" s="4" t="str">
        <x:v>PRJ-004</x:v>
      </x:c>
      <x:c r="D665" s="4" t="str">
        <x:v>Villa</x:v>
      </x:c>
      <x:c r="E665" s="4" t="str">
        <x:v>Handed over</x:v>
      </x:c>
      <x:c r="F665" s="4" t="str">
        <x:v>CUS-00664</x:v>
      </x:c>
      <x:c r="G665" s="4" t="str">
        <x:v>UNIT-00664</x:v>
      </x:c>
      <x:c r="H665" s="9" t="n">
        <x:v>5200000</x:v>
      </x:c>
      <x:c r="I665" s="10" t="n">
        <x:v>0.08</x:v>
      </x:c>
      <x:c r="J665" s="11" t="n">
        <x:v>12</x:v>
      </x:c>
      <x:c r="K665" s="11" t="n">
        <x:v>0</x:v>
      </x:c>
      <x:c r="L665" s="11" t="n">
        <x:v>1</x:v>
      </x:c>
      <x:c r="M665" s="9" t="n">
        <x:f>ROUND(H665*(1-I665),2)</x:f>
        <x:v>4784000</x:v>
      </x:c>
      <x:c r="N665" s="4" t="str">
        <x:v>Sales head</x:v>
      </x:c>
      <x:c r="O665" s="4" t="str">
        <x:v>BOOK-00664</x:v>
      </x:c>
      <x:c r="P665" s="9" t="n">
        <x:v>4784000</x:v>
      </x:c>
      <x:c r="Q665" s="11" t="n">
        <x:v>0</x:v>
      </x:c>
      <x:c r="R665" s="8" t="n">
        <x:v>45402</x:v>
      </x:c>
      <x:c r="S665" s="4" t="str">
        <x:v>Retained</x:v>
      </x:c>
      <x:c r="T665" s="10" t="n">
        <x:v>0.351536</x:v>
      </x:c>
      <x:c r="U665" s="4" t="str">
        <x:v>Train</x:v>
      </x:c>
    </x:row>
    <x:row r="666" ht="34" customHeight="1">
      <x:c r="A666" s="4" t="str">
        <x:v>RS-00665</x:v>
      </x:c>
      <x:c r="B666" s="8" t="n">
        <x:v>45343</x:v>
      </x:c>
      <x:c r="C666" s="4" t="str">
        <x:v>PRJ-005</x:v>
      </x:c>
      <x:c r="D666" s="4" t="str">
        <x:v>Villa</x:v>
      </x:c>
      <x:c r="E666" s="4" t="str">
        <x:v>Reserved</x:v>
      </x:c>
      <x:c r="F666" s="4" t="str">
        <x:v>CUS-00665</x:v>
      </x:c>
      <x:c r="G666" s="4" t="str">
        <x:v>UNIT-00665</x:v>
      </x:c>
      <x:c r="H666" s="9" t="n">
        <x:v>7000000</x:v>
      </x:c>
      <x:c r="I666" s="10" t="n">
        <x:v>0.08</x:v>
      </x:c>
      <x:c r="J666" s="11" t="n">
        <x:v>10</x:v>
      </x:c>
      <x:c r="K666" s="11" t="n">
        <x:v>2</x:v>
      </x:c>
      <x:c r="L666" s="11" t="n">
        <x:v>1</x:v>
      </x:c>
      <x:c r="M666" s="9" t="n">
        <x:f>ROUND(H666*(1-I666),2)</x:f>
        <x:v>6440000</x:v>
      </x:c>
      <x:c r="N666" s="4" t="str">
        <x:v>Sales head</x:v>
      </x:c>
      <x:c r="O666" s="4"/>
      <x:c r="P666" s="9" t="n">
        <x:v>0</x:v>
      </x:c>
      <x:c r="Q666" s="11" t="n">
        <x:v>0</x:v>
      </x:c>
      <x:c r="R666" s="8" t="n">
        <x:v>45403</x:v>
      </x:c>
      <x:c r="S666" s="4" t="str">
        <x:v>Retained</x:v>
      </x:c>
      <x:c r="T666" s="10" t="n">
        <x:v>0.310195</x:v>
      </x:c>
      <x:c r="U666" s="4" t="str">
        <x:v>Train</x:v>
      </x:c>
    </x:row>
    <x:row r="667" ht="34" customHeight="1">
      <x:c r="A667" s="4" t="str">
        <x:v>RS-00666</x:v>
      </x:c>
      <x:c r="B667" s="8" t="n">
        <x:v>45344</x:v>
      </x:c>
      <x:c r="C667" s="4" t="str">
        <x:v>PRJ-006</x:v>
      </x:c>
      <x:c r="D667" s="4" t="str">
        <x:v>Apartment</x:v>
      </x:c>
      <x:c r="E667" s="4" t="str">
        <x:v>Cancelled</x:v>
      </x:c>
      <x:c r="F667" s="4" t="str">
        <x:v>CUS-00666</x:v>
      </x:c>
      <x:c r="G667" s="4" t="str">
        <x:v>UNIT-00666</x:v>
      </x:c>
      <x:c r="H667" s="9" t="n">
        <x:v>16100000</x:v>
      </x:c>
      <x:c r="I667" s="10" t="n">
        <x:v>0.04</x:v>
      </x:c>
      <x:c r="J667" s="11" t="n">
        <x:v>4</x:v>
      </x:c>
      <x:c r="K667" s="11" t="n">
        <x:v>8</x:v>
      </x:c>
      <x:c r="L667" s="11" t="n">
        <x:v>0</x:v>
      </x:c>
      <x:c r="M667" s="9" t="n">
        <x:f>ROUND(H667*(1-I667),2)</x:f>
        <x:v>15456000</x:v>
      </x:c>
      <x:c r="N667" s="4" t="str">
        <x:v>Sales manager</x:v>
      </x:c>
      <x:c r="O667" s="4"/>
      <x:c r="P667" s="9" t="n">
        <x:v>0</x:v>
      </x:c>
      <x:c r="Q667" s="11" t="n">
        <x:v>1</x:v>
      </x:c>
      <x:c r="R667" s="8" t="n">
        <x:v>45404</x:v>
      </x:c>
      <x:c r="S667" s="4" t="str">
        <x:v>Lost / cancelled</x:v>
      </x:c>
      <x:c r="T667" s="10" t="n">
        <x:v>0.226277</x:v>
      </x:c>
      <x:c r="U667" s="4" t="str">
        <x:v>Train</x:v>
      </x:c>
    </x:row>
    <x:row r="668" ht="34" customHeight="1">
      <x:c r="A668" s="4" t="str">
        <x:v>RS-00667</x:v>
      </x:c>
      <x:c r="B668" s="8" t="n">
        <x:v>45345</x:v>
      </x:c>
      <x:c r="C668" s="4" t="str">
        <x:v>PRJ-007</x:v>
      </x:c>
      <x:c r="D668" s="4" t="str">
        <x:v>Retail</x:v>
      </x:c>
      <x:c r="E668" s="4" t="str">
        <x:v>Cancelled</x:v>
      </x:c>
      <x:c r="F668" s="4" t="str">
        <x:v>CUS-00667</x:v>
      </x:c>
      <x:c r="G668" s="4" t="str">
        <x:v>UNIT-00667</x:v>
      </x:c>
      <x:c r="H668" s="9" t="n">
        <x:v>5400000</x:v>
      </x:c>
      <x:c r="I668" s="10" t="n">
        <x:v>0.01</x:v>
      </x:c>
      <x:c r="J668" s="11" t="n">
        <x:v>11</x:v>
      </x:c>
      <x:c r="K668" s="11" t="n">
        <x:v>7</x:v>
      </x:c>
      <x:c r="L668" s="11" t="n">
        <x:v>0</x:v>
      </x:c>
      <x:c r="M668" s="9" t="n">
        <x:f>ROUND(H668*(1-I668),2)</x:f>
        <x:v>5346000</x:v>
      </x:c>
      <x:c r="N668" s="4" t="str">
        <x:v>Sales manager</x:v>
      </x:c>
      <x:c r="O668" s="4"/>
      <x:c r="P668" s="9" t="n">
        <x:v>0</x:v>
      </x:c>
      <x:c r="Q668" s="11" t="n">
        <x:v>1</x:v>
      </x:c>
      <x:c r="R668" s="8" t="n">
        <x:v>45405</x:v>
      </x:c>
      <x:c r="S668" s="4" t="str">
        <x:v>Lost / cancelled</x:v>
      </x:c>
      <x:c r="T668" s="10" t="n">
        <x:v>0.305556</x:v>
      </x:c>
      <x:c r="U668" s="4" t="str">
        <x:v>Train</x:v>
      </x:c>
    </x:row>
    <x:row r="669" ht="34" customHeight="1">
      <x:c r="A669" s="4" t="str">
        <x:v>RS-00668</x:v>
      </x:c>
      <x:c r="B669" s="8" t="n">
        <x:v>45346</x:v>
      </x:c>
      <x:c r="C669" s="4" t="str">
        <x:v>PRJ-008</x:v>
      </x:c>
      <x:c r="D669" s="4" t="str">
        <x:v>Office</x:v>
      </x:c>
      <x:c r="E669" s="4" t="str">
        <x:v>Cancelled</x:v>
      </x:c>
      <x:c r="F669" s="4" t="str">
        <x:v>CUS-00668</x:v>
      </x:c>
      <x:c r="G669" s="4" t="str">
        <x:v>UNIT-00668</x:v>
      </x:c>
      <x:c r="H669" s="9" t="n">
        <x:v>23600000</x:v>
      </x:c>
      <x:c r="I669" s="10" t="n">
        <x:v>0.07</x:v>
      </x:c>
      <x:c r="J669" s="11" t="n">
        <x:v>2</x:v>
      </x:c>
      <x:c r="K669" s="11" t="n">
        <x:v>6</x:v>
      </x:c>
      <x:c r="L669" s="11" t="n">
        <x:v>0</x:v>
      </x:c>
      <x:c r="M669" s="9" t="n">
        <x:f>ROUND(H669*(1-I669),2)</x:f>
        <x:v>21948000</x:v>
      </x:c>
      <x:c r="N669" s="4" t="str">
        <x:v>Sales manager</x:v>
      </x:c>
      <x:c r="O669" s="4"/>
      <x:c r="P669" s="9" t="n">
        <x:v>0</x:v>
      </x:c>
      <x:c r="Q669" s="11" t="n">
        <x:v>1</x:v>
      </x:c>
      <x:c r="R669" s="8" t="n">
        <x:v>45406</x:v>
      </x:c>
      <x:c r="S669" s="4" t="str">
        <x:v>Lost / cancelled</x:v>
      </x:c>
      <x:c r="T669" s="10" t="n">
        <x:v>0.204152</x:v>
      </x:c>
      <x:c r="U669" s="4" t="str">
        <x:v>Train</x:v>
      </x:c>
    </x:row>
    <x:row r="670" ht="34" customHeight="1">
      <x:c r="A670" s="4" t="str">
        <x:v>RS-00669</x:v>
      </x:c>
      <x:c r="B670" s="8" t="n">
        <x:v>45347</x:v>
      </x:c>
      <x:c r="C670" s="4" t="str">
        <x:v>PRJ-009</x:v>
      </x:c>
      <x:c r="D670" s="4" t="str">
        <x:v>Office</x:v>
      </x:c>
      <x:c r="E670" s="4" t="str">
        <x:v>Agreement signed</x:v>
      </x:c>
      <x:c r="F670" s="4" t="str">
        <x:v>CUS-00669</x:v>
      </x:c>
      <x:c r="G670" s="4" t="str">
        <x:v>UNIT-00669</x:v>
      </x:c>
      <x:c r="H670" s="9" t="n">
        <x:v>20900000</x:v>
      </x:c>
      <x:c r="I670" s="10" t="n">
        <x:v>0.05</x:v>
      </x:c>
      <x:c r="J670" s="11" t="n">
        <x:v>3</x:v>
      </x:c>
      <x:c r="K670" s="11" t="n">
        <x:v>4</x:v>
      </x:c>
      <x:c r="L670" s="11" t="n">
        <x:v>0</x:v>
      </x:c>
      <x:c r="M670" s="9" t="n">
        <x:f>ROUND(H670*(1-I670),2)</x:f>
        <x:v>19855000</x:v>
      </x:c>
      <x:c r="N670" s="4" t="str">
        <x:v>Sales manager</x:v>
      </x:c>
      <x:c r="O670" s="4" t="str">
        <x:v>BOOK-00669</x:v>
      </x:c>
      <x:c r="P670" s="9" t="n">
        <x:v>4963750</x:v>
      </x:c>
      <x:c r="Q670" s="11" t="n">
        <x:v>0</x:v>
      </x:c>
      <x:c r="R670" s="8" t="n">
        <x:v>45407</x:v>
      </x:c>
      <x:c r="S670" s="4" t="str">
        <x:v>Retained</x:v>
      </x:c>
      <x:c r="T670" s="10" t="n">
        <x:v>0.204152</x:v>
      </x:c>
      <x:c r="U670" s="4" t="str">
        <x:v>Train</x:v>
      </x:c>
    </x:row>
    <x:row r="671" ht="34" customHeight="1">
      <x:c r="A671" s="4" t="str">
        <x:v>RS-00670</x:v>
      </x:c>
      <x:c r="B671" s="8" t="n">
        <x:v>45348</x:v>
      </x:c>
      <x:c r="C671" s="4" t="str">
        <x:v>PRJ-010</x:v>
      </x:c>
      <x:c r="D671" s="4" t="str">
        <x:v>Villa</x:v>
      </x:c>
      <x:c r="E671" s="4" t="str">
        <x:v>Reserved</x:v>
      </x:c>
      <x:c r="F671" s="4" t="str">
        <x:v>CUS-00670</x:v>
      </x:c>
      <x:c r="G671" s="4" t="str">
        <x:v>UNIT-00670</x:v>
      </x:c>
      <x:c r="H671" s="9" t="n">
        <x:v>22300000</x:v>
      </x:c>
      <x:c r="I671" s="10" t="n">
        <x:v>0.05</x:v>
      </x:c>
      <x:c r="J671" s="11" t="n">
        <x:v>3</x:v>
      </x:c>
      <x:c r="K671" s="11" t="n">
        <x:v>4</x:v>
      </x:c>
      <x:c r="L671" s="11" t="n">
        <x:v>0</x:v>
      </x:c>
      <x:c r="M671" s="9" t="n">
        <x:f>ROUND(H671*(1-I671),2)</x:f>
        <x:v>21185000</x:v>
      </x:c>
      <x:c r="N671" s="4" t="str">
        <x:v>Sales manager</x:v>
      </x:c>
      <x:c r="O671" s="4"/>
      <x:c r="P671" s="9" t="n">
        <x:v>0</x:v>
      </x:c>
      <x:c r="Q671" s="11" t="n">
        <x:v>0</x:v>
      </x:c>
      <x:c r="R671" s="8" t="n">
        <x:v>45408</x:v>
      </x:c>
      <x:c r="S671" s="4" t="str">
        <x:v>Retained</x:v>
      </x:c>
      <x:c r="T671" s="10" t="n">
        <x:v>0.204152</x:v>
      </x:c>
      <x:c r="U671" s="4" t="str">
        <x:v>Train</x:v>
      </x:c>
    </x:row>
    <x:row r="672" ht="34" customHeight="1">
      <x:c r="A672" s="4" t="str">
        <x:v>RS-00671</x:v>
      </x:c>
      <x:c r="B672" s="8" t="n">
        <x:v>45349</x:v>
      </x:c>
      <x:c r="C672" s="4" t="str">
        <x:v>PRJ-011</x:v>
      </x:c>
      <x:c r="D672" s="4" t="str">
        <x:v>Villa</x:v>
      </x:c>
      <x:c r="E672" s="4" t="str">
        <x:v>Reserved</x:v>
      </x:c>
      <x:c r="F672" s="4" t="str">
        <x:v>CUS-00671</x:v>
      </x:c>
      <x:c r="G672" s="4" t="str">
        <x:v>UNIT-00671</x:v>
      </x:c>
      <x:c r="H672" s="9" t="n">
        <x:v>13200000</x:v>
      </x:c>
      <x:c r="I672" s="10" t="n">
        <x:v>0.02</x:v>
      </x:c>
      <x:c r="J672" s="11" t="n">
        <x:v>0</x:v>
      </x:c>
      <x:c r="K672" s="11" t="n">
        <x:v>9</x:v>
      </x:c>
      <x:c r="L672" s="11" t="n">
        <x:v>1</x:v>
      </x:c>
      <x:c r="M672" s="9" t="n">
        <x:f>ROUND(H672*(1-I672),2)</x:f>
        <x:v>12936000</x:v>
      </x:c>
      <x:c r="N672" s="4" t="str">
        <x:v>Sales manager</x:v>
      </x:c>
      <x:c r="O672" s="4"/>
      <x:c r="P672" s="9" t="n">
        <x:v>0</x:v>
      </x:c>
      <x:c r="Q672" s="11" t="n">
        <x:v>0</x:v>
      </x:c>
      <x:c r="R672" s="8" t="n">
        <x:v>45409</x:v>
      </x:c>
      <x:c r="S672" s="4" t="str">
        <x:v>Retained</x:v>
      </x:c>
      <x:c r="T672" s="10" t="n">
        <x:v>0.072165</x:v>
      </x:c>
      <x:c r="U672" s="4" t="str">
        <x:v>Train</x:v>
      </x:c>
    </x:row>
    <x:row r="673" ht="34" customHeight="1">
      <x:c r="A673" s="4" t="str">
        <x:v>RS-00672</x:v>
      </x:c>
      <x:c r="B673" s="8" t="n">
        <x:v>45350</x:v>
      </x:c>
      <x:c r="C673" s="4" t="str">
        <x:v>PRJ-012</x:v>
      </x:c>
      <x:c r="D673" s="4" t="str">
        <x:v>Villa</x:v>
      </x:c>
      <x:c r="E673" s="4" t="str">
        <x:v>Agreement signed</x:v>
      </x:c>
      <x:c r="F673" s="4" t="str">
        <x:v>CUS-00672</x:v>
      </x:c>
      <x:c r="G673" s="4" t="str">
        <x:v>UNIT-00672</x:v>
      </x:c>
      <x:c r="H673" s="9" t="n">
        <x:v>24400000</x:v>
      </x:c>
      <x:c r="I673" s="10" t="n">
        <x:v>0.01</x:v>
      </x:c>
      <x:c r="J673" s="11" t="n">
        <x:v>3</x:v>
      </x:c>
      <x:c r="K673" s="11" t="n">
        <x:v>7</x:v>
      </x:c>
      <x:c r="L673" s="11" t="n">
        <x:v>0</x:v>
      </x:c>
      <x:c r="M673" s="9" t="n">
        <x:f>ROUND(H673*(1-I673),2)</x:f>
        <x:v>24156000</x:v>
      </x:c>
      <x:c r="N673" s="4" t="str">
        <x:v>Sales manager</x:v>
      </x:c>
      <x:c r="O673" s="4" t="str">
        <x:v>BOOK-00672</x:v>
      </x:c>
      <x:c r="P673" s="9" t="n">
        <x:v>24156000</x:v>
      </x:c>
      <x:c r="Q673" s="11" t="n">
        <x:v>0</x:v>
      </x:c>
      <x:c r="R673" s="8" t="n">
        <x:v>45410</x:v>
      </x:c>
      <x:c r="S673" s="4" t="str">
        <x:v>Retained</x:v>
      </x:c>
      <x:c r="T673" s="10" t="n">
        <x:v>0.171717</x:v>
      </x:c>
      <x:c r="U673" s="4" t="str">
        <x:v>Train</x:v>
      </x:c>
    </x:row>
    <x:row r="674" ht="34" customHeight="1">
      <x:c r="A674" s="4" t="str">
        <x:v>RS-00673</x:v>
      </x:c>
      <x:c r="B674" s="8" t="n">
        <x:v>45323</x:v>
      </x:c>
      <x:c r="C674" s="4" t="str">
        <x:v>PRJ-013</x:v>
      </x:c>
      <x:c r="D674" s="4" t="str">
        <x:v>Office</x:v>
      </x:c>
      <x:c r="E674" s="4" t="str">
        <x:v>Reserved</x:v>
      </x:c>
      <x:c r="F674" s="4" t="str">
        <x:v>CUS-00673</x:v>
      </x:c>
      <x:c r="G674" s="4" t="str">
        <x:v>UNIT-00673</x:v>
      </x:c>
      <x:c r="H674" s="9" t="n">
        <x:v>17800000</x:v>
      </x:c>
      <x:c r="I674" s="10" t="n">
        <x:v>0.04</x:v>
      </x:c>
      <x:c r="J674" s="11" t="n">
        <x:v>0</x:v>
      </x:c>
      <x:c r="K674" s="11" t="n">
        <x:v>10</x:v>
      </x:c>
      <x:c r="L674" s="11" t="n">
        <x:v>0</x:v>
      </x:c>
      <x:c r="M674" s="9" t="n">
        <x:f>ROUND(H674*(1-I674),2)</x:f>
        <x:v>17088000</x:v>
      </x:c>
      <x:c r="N674" s="4" t="str">
        <x:v>Sales manager</x:v>
      </x:c>
      <x:c r="O674" s="4"/>
      <x:c r="P674" s="9" t="n">
        <x:v>0</x:v>
      </x:c>
      <x:c r="Q674" s="11" t="n">
        <x:v>0</x:v>
      </x:c>
      <x:c r="R674" s="8" t="n">
        <x:v>45383</x:v>
      </x:c>
      <x:c r="S674" s="4" t="str">
        <x:v>Retained</x:v>
      </x:c>
      <x:c r="T674" s="10" t="n">
        <x:v>0.204152</x:v>
      </x:c>
      <x:c r="U674" s="4" t="str">
        <x:v>Train</x:v>
      </x:c>
    </x:row>
    <x:row r="675" ht="34" customHeight="1">
      <x:c r="A675" s="4" t="str">
        <x:v>RS-00674</x:v>
      </x:c>
      <x:c r="B675" s="8" t="n">
        <x:v>45324</x:v>
      </x:c>
      <x:c r="C675" s="4" t="str">
        <x:v>PRJ-014</x:v>
      </x:c>
      <x:c r="D675" s="4" t="str">
        <x:v>Villa</x:v>
      </x:c>
      <x:c r="E675" s="4" t="str">
        <x:v>Booked</x:v>
      </x:c>
      <x:c r="F675" s="4" t="str">
        <x:v>CUS-00674</x:v>
      </x:c>
      <x:c r="G675" s="4" t="str">
        <x:v>UNIT-00674</x:v>
      </x:c>
      <x:c r="H675" s="9" t="n">
        <x:v>6800000</x:v>
      </x:c>
      <x:c r="I675" s="10" t="n">
        <x:v>0</x:v>
      </x:c>
      <x:c r="J675" s="11" t="n">
        <x:v>12</x:v>
      </x:c>
      <x:c r="K675" s="11" t="n">
        <x:v>4</x:v>
      </x:c>
      <x:c r="L675" s="11" t="n">
        <x:v>0</x:v>
      </x:c>
      <x:c r="M675" s="9" t="n">
        <x:f>ROUND(H675*(1-I675),2)</x:f>
        <x:v>6800000</x:v>
      </x:c>
      <x:c r="N675" s="4" t="str">
        <x:v>Sales manager</x:v>
      </x:c>
      <x:c r="O675" s="4" t="str">
        <x:v>BOOK-00674</x:v>
      </x:c>
      <x:c r="P675" s="9" t="n">
        <x:v>1700000</x:v>
      </x:c>
      <x:c r="Q675" s="11" t="n">
        <x:v>0</x:v>
      </x:c>
      <x:c r="R675" s="8" t="n">
        <x:v>45384</x:v>
      </x:c>
      <x:c r="S675" s="4" t="str">
        <x:v>Retained</x:v>
      </x:c>
      <x:c r="T675" s="10" t="n">
        <x:v>0.305556</x:v>
      </x:c>
      <x:c r="U675" s="4" t="str">
        <x:v>Train</x:v>
      </x:c>
    </x:row>
    <x:row r="676" ht="34" customHeight="1">
      <x:c r="A676" s="4" t="str">
        <x:v>RS-00675</x:v>
      </x:c>
      <x:c r="B676" s="8" t="n">
        <x:v>45325</x:v>
      </x:c>
      <x:c r="C676" s="4" t="str">
        <x:v>PRJ-015</x:v>
      </x:c>
      <x:c r="D676" s="4" t="str">
        <x:v>Office</x:v>
      </x:c>
      <x:c r="E676" s="4" t="str">
        <x:v>Cancelled</x:v>
      </x:c>
      <x:c r="F676" s="4" t="str">
        <x:v>CUS-00675</x:v>
      </x:c>
      <x:c r="G676" s="4" t="str">
        <x:v>UNIT-00675</x:v>
      </x:c>
      <x:c r="H676" s="9" t="n">
        <x:v>17900000</x:v>
      </x:c>
      <x:c r="I676" s="10" t="n">
        <x:v>0.01</x:v>
      </x:c>
      <x:c r="J676" s="11" t="n">
        <x:v>6</x:v>
      </x:c>
      <x:c r="K676" s="11" t="n">
        <x:v>7</x:v>
      </x:c>
      <x:c r="L676" s="11" t="n">
        <x:v>0</x:v>
      </x:c>
      <x:c r="M676" s="9" t="n">
        <x:f>ROUND(H676*(1-I676),2)</x:f>
        <x:v>17721000</x:v>
      </x:c>
      <x:c r="N676" s="4" t="str">
        <x:v>Sales manager</x:v>
      </x:c>
      <x:c r="O676" s="4"/>
      <x:c r="P676" s="9" t="n">
        <x:v>0</x:v>
      </x:c>
      <x:c r="Q676" s="11" t="n">
        <x:v>1</x:v>
      </x:c>
      <x:c r="R676" s="8" t="n">
        <x:v>45385</x:v>
      </x:c>
      <x:c r="S676" s="4" t="str">
        <x:v>Lost / cancelled</x:v>
      </x:c>
      <x:c r="T676" s="10" t="n">
        <x:v>0.145299</x:v>
      </x:c>
      <x:c r="U676" s="4" t="str">
        <x:v>Train</x:v>
      </x:c>
    </x:row>
    <x:row r="677" ht="34" customHeight="1">
      <x:c r="A677" s="4" t="str">
        <x:v>RS-00676</x:v>
      </x:c>
      <x:c r="B677" s="8" t="n">
        <x:v>45326</x:v>
      </x:c>
      <x:c r="C677" s="4" t="str">
        <x:v>PRJ-016</x:v>
      </x:c>
      <x:c r="D677" s="4" t="str">
        <x:v>Apartment</x:v>
      </x:c>
      <x:c r="E677" s="4" t="str">
        <x:v>Cancelled</x:v>
      </x:c>
      <x:c r="F677" s="4" t="str">
        <x:v>CUS-00676</x:v>
      </x:c>
      <x:c r="G677" s="4" t="str">
        <x:v>UNIT-00676</x:v>
      </x:c>
      <x:c r="H677" s="9" t="n">
        <x:v>21900000</x:v>
      </x:c>
      <x:c r="I677" s="10" t="n">
        <x:v>0.06</x:v>
      </x:c>
      <x:c r="J677" s="11" t="n">
        <x:v>7</x:v>
      </x:c>
      <x:c r="K677" s="11" t="n">
        <x:v>0</x:v>
      </x:c>
      <x:c r="L677" s="11" t="n">
        <x:v>1</x:v>
      </x:c>
      <x:c r="M677" s="9" t="n">
        <x:f>ROUND(H677*(1-I677),2)</x:f>
        <x:v>20586000</x:v>
      </x:c>
      <x:c r="N677" s="4" t="str">
        <x:v>Sales manager</x:v>
      </x:c>
      <x:c r="O677" s="4"/>
      <x:c r="P677" s="9" t="n">
        <x:v>0</x:v>
      </x:c>
      <x:c r="Q677" s="11" t="n">
        <x:v>1</x:v>
      </x:c>
      <x:c r="R677" s="8" t="n">
        <x:v>45386</x:v>
      </x:c>
      <x:c r="S677" s="4" t="str">
        <x:v>Lost / cancelled</x:v>
      </x:c>
      <x:c r="T677" s="10" t="n">
        <x:v>0.291946</x:v>
      </x:c>
      <x:c r="U677" s="4" t="str">
        <x:v>Train</x:v>
      </x:c>
    </x:row>
    <x:row r="678" ht="34" customHeight="1">
      <x:c r="A678" s="4" t="str">
        <x:v>RS-00677</x:v>
      </x:c>
      <x:c r="B678" s="8" t="n">
        <x:v>45327</x:v>
      </x:c>
      <x:c r="C678" s="4" t="str">
        <x:v>PRJ-017</x:v>
      </x:c>
      <x:c r="D678" s="4" t="str">
        <x:v>Office</x:v>
      </x:c>
      <x:c r="E678" s="4" t="str">
        <x:v>Cancelled</x:v>
      </x:c>
      <x:c r="F678" s="4" t="str">
        <x:v>CUS-00677</x:v>
      </x:c>
      <x:c r="G678" s="4" t="str">
        <x:v>UNIT-00677</x:v>
      </x:c>
      <x:c r="H678" s="9" t="n">
        <x:v>7300000</x:v>
      </x:c>
      <x:c r="I678" s="10" t="n">
        <x:v>0.07</x:v>
      </x:c>
      <x:c r="J678" s="11" t="n">
        <x:v>5</x:v>
      </x:c>
      <x:c r="K678" s="11" t="n">
        <x:v>1</x:v>
      </x:c>
      <x:c r="L678" s="11" t="n">
        <x:v>1</x:v>
      </x:c>
      <x:c r="M678" s="9" t="n">
        <x:f>ROUND(H678*(1-I678),2)</x:f>
        <x:v>6789000</x:v>
      </x:c>
      <x:c r="N678" s="4" t="str">
        <x:v>Sales manager</x:v>
      </x:c>
      <x:c r="O678" s="4"/>
      <x:c r="P678" s="9" t="n">
        <x:v>0</x:v>
      </x:c>
      <x:c r="Q678" s="11" t="n">
        <x:v>1</x:v>
      </x:c>
      <x:c r="R678" s="8" t="n">
        <x:v>45387</x:v>
      </x:c>
      <x:c r="S678" s="4" t="str">
        <x:v>Lost / cancelled</x:v>
      </x:c>
      <x:c r="T678" s="10" t="n">
        <x:v>0.291946</x:v>
      </x:c>
      <x:c r="U678" s="4" t="str">
        <x:v>Train</x:v>
      </x:c>
    </x:row>
    <x:row r="679" ht="34" customHeight="1">
      <x:c r="A679" s="4" t="str">
        <x:v>RS-00678</x:v>
      </x:c>
      <x:c r="B679" s="8" t="n">
        <x:v>45328</x:v>
      </x:c>
      <x:c r="C679" s="4" t="str">
        <x:v>PRJ-018</x:v>
      </x:c>
      <x:c r="D679" s="4" t="str">
        <x:v>Office</x:v>
      </x:c>
      <x:c r="E679" s="4" t="str">
        <x:v>Handed over</x:v>
      </x:c>
      <x:c r="F679" s="4" t="str">
        <x:v>CUS-00678</x:v>
      </x:c>
      <x:c r="G679" s="4" t="str">
        <x:v>UNIT-00678</x:v>
      </x:c>
      <x:c r="H679" s="9" t="n">
        <x:v>18500000</x:v>
      </x:c>
      <x:c r="I679" s="10" t="n">
        <x:v>0.07</x:v>
      </x:c>
      <x:c r="J679" s="11" t="n">
        <x:v>0</x:v>
      </x:c>
      <x:c r="K679" s="11" t="n">
        <x:v>0</x:v>
      </x:c>
      <x:c r="L679" s="11" t="n">
        <x:v>0</x:v>
      </x:c>
      <x:c r="M679" s="9" t="n">
        <x:f>ROUND(H679*(1-I679),2)</x:f>
        <x:v>17205000</x:v>
      </x:c>
      <x:c r="N679" s="4" t="str">
        <x:v>Sales manager</x:v>
      </x:c>
      <x:c r="O679" s="4" t="str">
        <x:v>BOOK-00678</x:v>
      </x:c>
      <x:c r="P679" s="9" t="n">
        <x:v>1720500</x:v>
      </x:c>
      <x:c r="Q679" s="11" t="n">
        <x:v>0</x:v>
      </x:c>
      <x:c r="R679" s="8" t="n">
        <x:v>45388</x:v>
      </x:c>
      <x:c r="S679" s="4" t="str">
        <x:v>Retained</x:v>
      </x:c>
      <x:c r="T679" s="10" t="n">
        <x:v>0.276923</x:v>
      </x:c>
      <x:c r="U679" s="4" t="str">
        <x:v>Train</x:v>
      </x:c>
    </x:row>
    <x:row r="680" ht="34" customHeight="1">
      <x:c r="A680" s="4" t="str">
        <x:v>RS-00679</x:v>
      </x:c>
      <x:c r="B680" s="8" t="n">
        <x:v>45329</x:v>
      </x:c>
      <x:c r="C680" s="4" t="str">
        <x:v>PRJ-019</x:v>
      </x:c>
      <x:c r="D680" s="4" t="str">
        <x:v>Retail</x:v>
      </x:c>
      <x:c r="E680" s="4" t="str">
        <x:v>Cancelled</x:v>
      </x:c>
      <x:c r="F680" s="4" t="str">
        <x:v>CUS-00679</x:v>
      </x:c>
      <x:c r="G680" s="4" t="str">
        <x:v>UNIT-00679</x:v>
      </x:c>
      <x:c r="H680" s="9" t="n">
        <x:v>13500000</x:v>
      </x:c>
      <x:c r="I680" s="10" t="n">
        <x:v>0.01</x:v>
      </x:c>
      <x:c r="J680" s="11" t="n">
        <x:v>7</x:v>
      </x:c>
      <x:c r="K680" s="11" t="n">
        <x:v>2</x:v>
      </x:c>
      <x:c r="L680" s="11" t="n">
        <x:v>1</x:v>
      </x:c>
      <x:c r="M680" s="9" t="n">
        <x:f>ROUND(H680*(1-I680),2)</x:f>
        <x:v>13365000</x:v>
      </x:c>
      <x:c r="N680" s="4" t="str">
        <x:v>Sales manager</x:v>
      </x:c>
      <x:c r="O680" s="4"/>
      <x:c r="P680" s="9" t="n">
        <x:v>0</x:v>
      </x:c>
      <x:c r="Q680" s="11" t="n">
        <x:v>1</x:v>
      </x:c>
      <x:c r="R680" s="8" t="n">
        <x:v>45389</x:v>
      </x:c>
      <x:c r="S680" s="4" t="str">
        <x:v>Lost / cancelled</x:v>
      </x:c>
      <x:c r="T680" s="10" t="n">
        <x:v>0.298969</x:v>
      </x:c>
      <x:c r="U680" s="4" t="str">
        <x:v>Train</x:v>
      </x:c>
    </x:row>
    <x:row r="681" ht="34" customHeight="1">
      <x:c r="A681" s="4" t="str">
        <x:v>RS-00680</x:v>
      </x:c>
      <x:c r="B681" s="8" t="n">
        <x:v>45330</x:v>
      </x:c>
      <x:c r="C681" s="4" t="str">
        <x:v>PRJ-020</x:v>
      </x:c>
      <x:c r="D681" s="4" t="str">
        <x:v>Villa</x:v>
      </x:c>
      <x:c r="E681" s="4" t="str">
        <x:v>Booked</x:v>
      </x:c>
      <x:c r="F681" s="4" t="str">
        <x:v>CUS-00680</x:v>
      </x:c>
      <x:c r="G681" s="4" t="str">
        <x:v>UNIT-00680</x:v>
      </x:c>
      <x:c r="H681" s="9" t="n">
        <x:v>17700000</x:v>
      </x:c>
      <x:c r="I681" s="10" t="n">
        <x:v>0.06</x:v>
      </x:c>
      <x:c r="J681" s="11" t="n">
        <x:v>12</x:v>
      </x:c>
      <x:c r="K681" s="11" t="n">
        <x:v>0</x:v>
      </x:c>
      <x:c r="L681" s="11" t="n">
        <x:v>0</x:v>
      </x:c>
      <x:c r="M681" s="9" t="n">
        <x:f>ROUND(H681*(1-I681),2)</x:f>
        <x:v>16638000</x:v>
      </x:c>
      <x:c r="N681" s="4" t="str">
        <x:v>Sales manager</x:v>
      </x:c>
      <x:c r="O681" s="4" t="str">
        <x:v>BOOK-00680</x:v>
      </x:c>
      <x:c r="P681" s="9" t="n">
        <x:v>16638000</x:v>
      </x:c>
      <x:c r="Q681" s="11" t="n">
        <x:v>0</x:v>
      </x:c>
      <x:c r="R681" s="8" t="n">
        <x:v>45390</x:v>
      </x:c>
      <x:c r="S681" s="4" t="str">
        <x:v>Retained</x:v>
      </x:c>
      <x:c r="T681" s="10" t="n">
        <x:v>0.351536</x:v>
      </x:c>
      <x:c r="U681" s="4" t="str">
        <x:v>Train</x:v>
      </x:c>
    </x:row>
    <x:row r="682" ht="34" customHeight="1">
      <x:c r="A682" s="4" t="str">
        <x:v>RS-00681</x:v>
      </x:c>
      <x:c r="B682" s="8" t="n">
        <x:v>45331</x:v>
      </x:c>
      <x:c r="C682" s="4" t="str">
        <x:v>PRJ-001</x:v>
      </x:c>
      <x:c r="D682" s="4" t="str">
        <x:v>Retail</x:v>
      </x:c>
      <x:c r="E682" s="4" t="str">
        <x:v>Cancelled</x:v>
      </x:c>
      <x:c r="F682" s="4" t="str">
        <x:v>CUS-00681</x:v>
      </x:c>
      <x:c r="G682" s="4" t="str">
        <x:v>UNIT-00681</x:v>
      </x:c>
      <x:c r="H682" s="9" t="n">
        <x:v>8200000</x:v>
      </x:c>
      <x:c r="I682" s="10" t="n">
        <x:v>0.05</x:v>
      </x:c>
      <x:c r="J682" s="11" t="n">
        <x:v>11</x:v>
      </x:c>
      <x:c r="K682" s="11" t="n">
        <x:v>5</x:v>
      </x:c>
      <x:c r="L682" s="11" t="n">
        <x:v>0</x:v>
      </x:c>
      <x:c r="M682" s="9" t="n">
        <x:f>ROUND(H682*(1-I682),2)</x:f>
        <x:v>7790000</x:v>
      </x:c>
      <x:c r="N682" s="4" t="str">
        <x:v>Sales manager</x:v>
      </x:c>
      <x:c r="O682" s="4"/>
      <x:c r="P682" s="9" t="n">
        <x:v>0</x:v>
      </x:c>
      <x:c r="Q682" s="11" t="n">
        <x:v>1</x:v>
      </x:c>
      <x:c r="R682" s="8" t="n">
        <x:v>45391</x:v>
      </x:c>
      <x:c r="S682" s="4" t="str">
        <x:v>Lost / cancelled</x:v>
      </x:c>
      <x:c r="T682" s="10" t="n">
        <x:v>0.351536</x:v>
      </x:c>
      <x:c r="U682" s="4" t="str">
        <x:v>Train</x:v>
      </x:c>
    </x:row>
    <x:row r="683" ht="34" customHeight="1">
      <x:c r="A683" s="4" t="str">
        <x:v>RS-00682</x:v>
      </x:c>
      <x:c r="B683" s="8" t="n">
        <x:v>45332</x:v>
      </x:c>
      <x:c r="C683" s="4" t="str">
        <x:v>PRJ-002</x:v>
      </x:c>
      <x:c r="D683" s="4" t="str">
        <x:v>Apartment</x:v>
      </x:c>
      <x:c r="E683" s="4" t="str">
        <x:v>Reserved</x:v>
      </x:c>
      <x:c r="F683" s="4" t="str">
        <x:v>CUS-00682</x:v>
      </x:c>
      <x:c r="G683" s="4" t="str">
        <x:v>UNIT-00682</x:v>
      </x:c>
      <x:c r="H683" s="9" t="n">
        <x:v>17100000</x:v>
      </x:c>
      <x:c r="I683" s="10" t="n">
        <x:v>0.06</x:v>
      </x:c>
      <x:c r="J683" s="11" t="n">
        <x:v>12</x:v>
      </x:c>
      <x:c r="K683" s="11" t="n">
        <x:v>7</x:v>
      </x:c>
      <x:c r="L683" s="11" t="n">
        <x:v>1</x:v>
      </x:c>
      <x:c r="M683" s="9" t="n">
        <x:f>ROUND(H683*(1-I683),2)</x:f>
        <x:v>16074000</x:v>
      </x:c>
      <x:c r="N683" s="4" t="str">
        <x:v>Sales manager</x:v>
      </x:c>
      <x:c r="O683" s="4"/>
      <x:c r="P683" s="9" t="n">
        <x:v>0</x:v>
      </x:c>
      <x:c r="Q683" s="11" t="n">
        <x:v>0</x:v>
      </x:c>
      <x:c r="R683" s="8" t="n">
        <x:v>45392</x:v>
      </x:c>
      <x:c r="S683" s="4" t="str">
        <x:v>Retained</x:v>
      </x:c>
      <x:c r="T683" s="10" t="n">
        <x:v>0.351536</x:v>
      </x:c>
      <x:c r="U683" s="4" t="str">
        <x:v>Train</x:v>
      </x:c>
    </x:row>
    <x:row r="684" ht="34" customHeight="1">
      <x:c r="A684" s="4" t="str">
        <x:v>RS-00683</x:v>
      </x:c>
      <x:c r="B684" s="8" t="n">
        <x:v>45333</x:v>
      </x:c>
      <x:c r="C684" s="4" t="str">
        <x:v>PRJ-003</x:v>
      </x:c>
      <x:c r="D684" s="4" t="str">
        <x:v>Apartment</x:v>
      </x:c>
      <x:c r="E684" s="4" t="str">
        <x:v>Booked</x:v>
      </x:c>
      <x:c r="F684" s="4" t="str">
        <x:v>CUS-00683</x:v>
      </x:c>
      <x:c r="G684" s="4" t="str">
        <x:v>UNIT-00683</x:v>
      </x:c>
      <x:c r="H684" s="9" t="n">
        <x:v>12900000</x:v>
      </x:c>
      <x:c r="I684" s="10" t="n">
        <x:v>0.11</x:v>
      </x:c>
      <x:c r="J684" s="11" t="n">
        <x:v>5</x:v>
      </x:c>
      <x:c r="K684" s="11" t="n">
        <x:v>3</x:v>
      </x:c>
      <x:c r="L684" s="11" t="n">
        <x:v>0</x:v>
      </x:c>
      <x:c r="M684" s="9" t="n">
        <x:f>ROUND(H684*(1-I684),2)</x:f>
        <x:v>11481000</x:v>
      </x:c>
      <x:c r="N684" s="4" t="str">
        <x:v>Sales head</x:v>
      </x:c>
      <x:c r="O684" s="4" t="str">
        <x:v>BOOK-00683</x:v>
      </x:c>
      <x:c r="P684" s="9" t="n">
        <x:v>1148100</x:v>
      </x:c>
      <x:c r="Q684" s="11" t="n">
        <x:v>0</x:v>
      </x:c>
      <x:c r="R684" s="8" t="n">
        <x:v>45393</x:v>
      </x:c>
      <x:c r="S684" s="4" t="str">
        <x:v>Retained</x:v>
      </x:c>
      <x:c r="T684" s="10" t="n">
        <x:v>0.226277</x:v>
      </x:c>
      <x:c r="U684" s="4" t="str">
        <x:v>Train</x:v>
      </x:c>
    </x:row>
    <x:row r="685" ht="34" customHeight="1">
      <x:c r="A685" s="4" t="str">
        <x:v>RS-00684</x:v>
      </x:c>
      <x:c r="B685" s="8" t="n">
        <x:v>45334</x:v>
      </x:c>
      <x:c r="C685" s="4" t="str">
        <x:v>PRJ-004</x:v>
      </x:c>
      <x:c r="D685" s="4" t="str">
        <x:v>Retail</x:v>
      </x:c>
      <x:c r="E685" s="4" t="str">
        <x:v>Agreement signed</x:v>
      </x:c>
      <x:c r="F685" s="4" t="str">
        <x:v>CUS-00684</x:v>
      </x:c>
      <x:c r="G685" s="4" t="str">
        <x:v>UNIT-00684</x:v>
      </x:c>
      <x:c r="H685" s="9" t="n">
        <x:v>24400000</x:v>
      </x:c>
      <x:c r="I685" s="10" t="n">
        <x:v>0.11</x:v>
      </x:c>
      <x:c r="J685" s="11" t="n">
        <x:v>7</x:v>
      </x:c>
      <x:c r="K685" s="11" t="n">
        <x:v>2</x:v>
      </x:c>
      <x:c r="L685" s="11" t="n">
        <x:v>1</x:v>
      </x:c>
      <x:c r="M685" s="9" t="n">
        <x:f>ROUND(H685*(1-I685),2)</x:f>
        <x:v>21716000</x:v>
      </x:c>
      <x:c r="N685" s="4" t="str">
        <x:v>Sales head</x:v>
      </x:c>
      <x:c r="O685" s="4" t="str">
        <x:v>BOOK-00684</x:v>
      </x:c>
      <x:c r="P685" s="9" t="n">
        <x:v>10858000</x:v>
      </x:c>
      <x:c r="Q685" s="11" t="n">
        <x:v>0</x:v>
      </x:c>
      <x:c r="R685" s="8" t="n">
        <x:v>45394</x:v>
      </x:c>
      <x:c r="S685" s="4" t="str">
        <x:v>Retained</x:v>
      </x:c>
      <x:c r="T685" s="10" t="n">
        <x:v>0.291946</x:v>
      </x:c>
      <x:c r="U685" s="4" t="str">
        <x:v>Train</x:v>
      </x:c>
    </x:row>
    <x:row r="686" ht="34" customHeight="1">
      <x:c r="A686" s="4" t="str">
        <x:v>RS-00685</x:v>
      </x:c>
      <x:c r="B686" s="8" t="n">
        <x:v>45335</x:v>
      </x:c>
      <x:c r="C686" s="4" t="str">
        <x:v>PRJ-005</x:v>
      </x:c>
      <x:c r="D686" s="4" t="str">
        <x:v>Office</x:v>
      </x:c>
      <x:c r="E686" s="4" t="str">
        <x:v>Reserved</x:v>
      </x:c>
      <x:c r="F686" s="4" t="str">
        <x:v>CUS-00685</x:v>
      </x:c>
      <x:c r="G686" s="4" t="str">
        <x:v>UNIT-00685</x:v>
      </x:c>
      <x:c r="H686" s="9" t="n">
        <x:v>11300000</x:v>
      </x:c>
      <x:c r="I686" s="10" t="n">
        <x:v>0.06</x:v>
      </x:c>
      <x:c r="J686" s="11" t="n">
        <x:v>7</x:v>
      </x:c>
      <x:c r="K686" s="11" t="n">
        <x:v>5</x:v>
      </x:c>
      <x:c r="L686" s="11" t="n">
        <x:v>1</x:v>
      </x:c>
      <x:c r="M686" s="9" t="n">
        <x:f>ROUND(H686*(1-I686),2)</x:f>
        <x:v>10622000</x:v>
      </x:c>
      <x:c r="N686" s="4" t="str">
        <x:v>Sales manager</x:v>
      </x:c>
      <x:c r="O686" s="4"/>
      <x:c r="P686" s="9" t="n">
        <x:v>0</x:v>
      </x:c>
      <x:c r="Q686" s="11" t="n">
        <x:v>1</x:v>
      </x:c>
      <x:c r="R686" s="8" t="n">
        <x:v>45395</x:v>
      </x:c>
      <x:c r="S686" s="4" t="str">
        <x:v>Lost / cancelled</x:v>
      </x:c>
      <x:c r="T686" s="10" t="n">
        <x:v>0.291946</x:v>
      </x:c>
      <x:c r="U686" s="4" t="str">
        <x:v>Train</x:v>
      </x:c>
    </x:row>
    <x:row r="687" ht="34" customHeight="1">
      <x:c r="A687" s="4" t="str">
        <x:v>RS-00686</x:v>
      </x:c>
      <x:c r="B687" s="8" t="n">
        <x:v>45336</x:v>
      </x:c>
      <x:c r="C687" s="4" t="str">
        <x:v>PRJ-006</x:v>
      </x:c>
      <x:c r="D687" s="4" t="str">
        <x:v>Apartment</x:v>
      </x:c>
      <x:c r="E687" s="4" t="str">
        <x:v>Handed over</x:v>
      </x:c>
      <x:c r="F687" s="4" t="str">
        <x:v>CUS-00686</x:v>
      </x:c>
      <x:c r="G687" s="4" t="str">
        <x:v>UNIT-00686</x:v>
      </x:c>
      <x:c r="H687" s="9" t="n">
        <x:v>18500000</x:v>
      </x:c>
      <x:c r="I687" s="10" t="n">
        <x:v>0.06</x:v>
      </x:c>
      <x:c r="J687" s="11" t="n">
        <x:v>12</x:v>
      </x:c>
      <x:c r="K687" s="11" t="n">
        <x:v>10</x:v>
      </x:c>
      <x:c r="L687" s="11" t="n">
        <x:v>1</x:v>
      </x:c>
      <x:c r="M687" s="9" t="n">
        <x:f>ROUND(H687*(1-I687),2)</x:f>
        <x:v>17390000</x:v>
      </x:c>
      <x:c r="N687" s="4" t="str">
        <x:v>Sales manager</x:v>
      </x:c>
      <x:c r="O687" s="4" t="str">
        <x:v>BOOK-00686</x:v>
      </x:c>
      <x:c r="P687" s="9" t="n">
        <x:v>4347500</x:v>
      </x:c>
      <x:c r="Q687" s="11" t="n">
        <x:v>0</x:v>
      </x:c>
      <x:c r="R687" s="8" t="n">
        <x:v>45396</x:v>
      </x:c>
      <x:c r="S687" s="4" t="str">
        <x:v>Retained</x:v>
      </x:c>
      <x:c r="T687" s="10" t="n">
        <x:v>0.351536</x:v>
      </x:c>
      <x:c r="U687" s="4" t="str">
        <x:v>Train</x:v>
      </x:c>
    </x:row>
    <x:row r="688" ht="34" customHeight="1">
      <x:c r="A688" s="4" t="str">
        <x:v>RS-00687</x:v>
      </x:c>
      <x:c r="B688" s="8" t="n">
        <x:v>45337</x:v>
      </x:c>
      <x:c r="C688" s="4" t="str">
        <x:v>PRJ-007</x:v>
      </x:c>
      <x:c r="D688" s="4" t="str">
        <x:v>Villa</x:v>
      </x:c>
      <x:c r="E688" s="4" t="str">
        <x:v>Handed over</x:v>
      </x:c>
      <x:c r="F688" s="4" t="str">
        <x:v>CUS-00687</x:v>
      </x:c>
      <x:c r="G688" s="4" t="str">
        <x:v>UNIT-00687</x:v>
      </x:c>
      <x:c r="H688" s="9" t="n">
        <x:v>9600000</x:v>
      </x:c>
      <x:c r="I688" s="10" t="n">
        <x:v>0.02</x:v>
      </x:c>
      <x:c r="J688" s="11" t="n">
        <x:v>5</x:v>
      </x:c>
      <x:c r="K688" s="11" t="n">
        <x:v>0</x:v>
      </x:c>
      <x:c r="L688" s="11" t="n">
        <x:v>1</x:v>
      </x:c>
      <x:c r="M688" s="9" t="n">
        <x:f>ROUND(H688*(1-I688),2)</x:f>
        <x:v>9408000</x:v>
      </x:c>
      <x:c r="N688" s="4" t="str">
        <x:v>Sales manager</x:v>
      </x:c>
      <x:c r="O688" s="4" t="str">
        <x:v>BOOK-00687</x:v>
      </x:c>
      <x:c r="P688" s="9" t="n">
        <x:v>4704000</x:v>
      </x:c>
      <x:c r="Q688" s="11" t="n">
        <x:v>0</x:v>
      </x:c>
      <x:c r="R688" s="8" t="n">
        <x:v>45397</x:v>
      </x:c>
      <x:c r="S688" s="4" t="str">
        <x:v>Retained</x:v>
      </x:c>
      <x:c r="T688" s="10" t="n">
        <x:v>0.298969</x:v>
      </x:c>
      <x:c r="U688" s="4" t="str">
        <x:v>Train</x:v>
      </x:c>
    </x:row>
    <x:row r="689" ht="34" customHeight="1">
      <x:c r="A689" s="4" t="str">
        <x:v>RS-00688</x:v>
      </x:c>
      <x:c r="B689" s="8" t="n">
        <x:v>45338</x:v>
      </x:c>
      <x:c r="C689" s="4" t="str">
        <x:v>PRJ-008</x:v>
      </x:c>
      <x:c r="D689" s="4" t="str">
        <x:v>Villa</x:v>
      </x:c>
      <x:c r="E689" s="4" t="str">
        <x:v>Booked</x:v>
      </x:c>
      <x:c r="F689" s="4" t="str">
        <x:v>CUS-00688</x:v>
      </x:c>
      <x:c r="G689" s="4" t="str">
        <x:v>UNIT-00688</x:v>
      </x:c>
      <x:c r="H689" s="9" t="n">
        <x:v>14200000</x:v>
      </x:c>
      <x:c r="I689" s="10" t="n">
        <x:v>0.02</x:v>
      </x:c>
      <x:c r="J689" s="11" t="n">
        <x:v>3</x:v>
      </x:c>
      <x:c r="K689" s="11" t="n">
        <x:v>10</x:v>
      </x:c>
      <x:c r="L689" s="11" t="n">
        <x:v>0</x:v>
      </x:c>
      <x:c r="M689" s="9" t="n">
        <x:f>ROUND(H689*(1-I689),2)</x:f>
        <x:v>13916000</x:v>
      </x:c>
      <x:c r="N689" s="4" t="str">
        <x:v>Sales manager</x:v>
      </x:c>
      <x:c r="O689" s="4" t="str">
        <x:v>BOOK-00688</x:v>
      </x:c>
      <x:c r="P689" s="9" t="n">
        <x:v>6958000</x:v>
      </x:c>
      <x:c r="Q689" s="11" t="n">
        <x:v>0</x:v>
      </x:c>
      <x:c r="R689" s="8" t="n">
        <x:v>45398</x:v>
      </x:c>
      <x:c r="S689" s="4" t="str">
        <x:v>Retained</x:v>
      </x:c>
      <x:c r="T689" s="10" t="n">
        <x:v>0.171717</x:v>
      </x:c>
      <x:c r="U689" s="4" t="str">
        <x:v>Train</x:v>
      </x:c>
    </x:row>
    <x:row r="690" ht="34" customHeight="1">
      <x:c r="A690" s="4" t="str">
        <x:v>RS-00689</x:v>
      </x:c>
      <x:c r="B690" s="8" t="n">
        <x:v>45339</x:v>
      </x:c>
      <x:c r="C690" s="4" t="str">
        <x:v>PRJ-009</x:v>
      </x:c>
      <x:c r="D690" s="4" t="str">
        <x:v>Apartment</x:v>
      </x:c>
      <x:c r="E690" s="4" t="str">
        <x:v>Enquiry</x:v>
      </x:c>
      <x:c r="F690" s="4" t="str">
        <x:v>CUS-00689</x:v>
      </x:c>
      <x:c r="G690" s="4" t="str">
        <x:v>UNIT-00689</x:v>
      </x:c>
      <x:c r="H690" s="9" t="n">
        <x:v>6700000</x:v>
      </x:c>
      <x:c r="I690" s="10" t="n">
        <x:v>0.03</x:v>
      </x:c>
      <x:c r="J690" s="11" t="n">
        <x:v>12</x:v>
      </x:c>
      <x:c r="K690" s="11" t="n">
        <x:v>7</x:v>
      </x:c>
      <x:c r="L690" s="11" t="n">
        <x:v>1</x:v>
      </x:c>
      <x:c r="M690" s="9" t="n">
        <x:f>ROUND(H690*(1-I690),2)</x:f>
        <x:v>6499000</x:v>
      </x:c>
      <x:c r="N690" s="4" t="str">
        <x:v>Sales manager</x:v>
      </x:c>
      <x:c r="O690" s="4"/>
      <x:c r="P690" s="9" t="n">
        <x:v>0</x:v>
      </x:c>
      <x:c r="Q690" s="11" t="n">
        <x:v>1</x:v>
      </x:c>
      <x:c r="R690" s="8" t="n">
        <x:v>45399</x:v>
      </x:c>
      <x:c r="S690" s="4" t="str">
        <x:v>Lost / cancelled</x:v>
      </x:c>
      <x:c r="T690" s="10" t="n">
        <x:v>0.351536</x:v>
      </x:c>
      <x:c r="U690" s="4" t="str">
        <x:v>Train</x:v>
      </x:c>
    </x:row>
    <x:row r="691" ht="34" customHeight="1">
      <x:c r="A691" s="4" t="str">
        <x:v>RS-00690</x:v>
      </x:c>
      <x:c r="B691" s="8" t="n">
        <x:v>45340</x:v>
      </x:c>
      <x:c r="C691" s="4" t="str">
        <x:v>PRJ-010</x:v>
      </x:c>
      <x:c r="D691" s="4" t="str">
        <x:v>Office</x:v>
      </x:c>
      <x:c r="E691" s="4" t="str">
        <x:v>Enquiry</x:v>
      </x:c>
      <x:c r="F691" s="4" t="str">
        <x:v>CUS-00690</x:v>
      </x:c>
      <x:c r="G691" s="4" t="str">
        <x:v>UNIT-00690</x:v>
      </x:c>
      <x:c r="H691" s="9" t="n">
        <x:v>12800000</x:v>
      </x:c>
      <x:c r="I691" s="10" t="n">
        <x:v>0</x:v>
      </x:c>
      <x:c r="J691" s="11" t="n">
        <x:v>5</x:v>
      </x:c>
      <x:c r="K691" s="11" t="n">
        <x:v>10</x:v>
      </x:c>
      <x:c r="L691" s="11" t="n">
        <x:v>0</x:v>
      </x:c>
      <x:c r="M691" s="9" t="n">
        <x:f>ROUND(H691*(1-I691),2)</x:f>
        <x:v>12800000</x:v>
      </x:c>
      <x:c r="N691" s="4" t="str">
        <x:v>Sales manager</x:v>
      </x:c>
      <x:c r="O691" s="4"/>
      <x:c r="P691" s="9" t="n">
        <x:v>0</x:v>
      </x:c>
      <x:c r="Q691" s="11" t="n">
        <x:v>0</x:v>
      </x:c>
      <x:c r="R691" s="8" t="n">
        <x:v>45400</x:v>
      </x:c>
      <x:c r="S691" s="4" t="str">
        <x:v>Retained</x:v>
      </x:c>
      <x:c r="T691" s="10" t="n">
        <x:v>0.145299</x:v>
      </x:c>
      <x:c r="U691" s="4" t="str">
        <x:v>Train</x:v>
      </x:c>
    </x:row>
    <x:row r="692" ht="34" customHeight="1">
      <x:c r="A692" s="4" t="str">
        <x:v>RS-00691</x:v>
      </x:c>
      <x:c r="B692" s="8" t="n">
        <x:v>45341</x:v>
      </x:c>
      <x:c r="C692" s="4" t="str">
        <x:v>PRJ-011</x:v>
      </x:c>
      <x:c r="D692" s="4" t="str">
        <x:v>Apartment</x:v>
      </x:c>
      <x:c r="E692" s="4" t="str">
        <x:v>Booked</x:v>
      </x:c>
      <x:c r="F692" s="4" t="str">
        <x:v>CUS-00691</x:v>
      </x:c>
      <x:c r="G692" s="4" t="str">
        <x:v>UNIT-00691</x:v>
      </x:c>
      <x:c r="H692" s="9" t="n">
        <x:v>16800000</x:v>
      </x:c>
      <x:c r="I692" s="10" t="n">
        <x:v>0.09</x:v>
      </x:c>
      <x:c r="J692" s="11" t="n">
        <x:v>6</x:v>
      </x:c>
      <x:c r="K692" s="11" t="n">
        <x:v>10</x:v>
      </x:c>
      <x:c r="L692" s="11" t="n">
        <x:v>1</x:v>
      </x:c>
      <x:c r="M692" s="9" t="n">
        <x:f>ROUND(H692*(1-I692),2)</x:f>
        <x:v>15288000</x:v>
      </x:c>
      <x:c r="N692" s="4" t="str">
        <x:v>Sales head</x:v>
      </x:c>
      <x:c r="O692" s="4" t="str">
        <x:v>BOOK-00691</x:v>
      </x:c>
      <x:c r="P692" s="9" t="n">
        <x:v>15288000</x:v>
      </x:c>
      <x:c r="Q692" s="11" t="n">
        <x:v>0</x:v>
      </x:c>
      <x:c r="R692" s="8" t="n">
        <x:v>45401</x:v>
      </x:c>
      <x:c r="S692" s="4" t="str">
        <x:v>Retained</x:v>
      </x:c>
      <x:c r="T692" s="10" t="n">
        <x:v>0.291946</x:v>
      </x:c>
      <x:c r="U692" s="4" t="str">
        <x:v>Train</x:v>
      </x:c>
    </x:row>
    <x:row r="693" ht="34" customHeight="1">
      <x:c r="A693" s="4" t="str">
        <x:v>RS-00692</x:v>
      </x:c>
      <x:c r="B693" s="8" t="n">
        <x:v>45342</x:v>
      </x:c>
      <x:c r="C693" s="4" t="str">
        <x:v>PRJ-012</x:v>
      </x:c>
      <x:c r="D693" s="4" t="str">
        <x:v>Retail</x:v>
      </x:c>
      <x:c r="E693" s="4" t="str">
        <x:v>Enquiry</x:v>
      </x:c>
      <x:c r="F693" s="4" t="str">
        <x:v>CUS-00692</x:v>
      </x:c>
      <x:c r="G693" s="4" t="str">
        <x:v>UNIT-00692</x:v>
      </x:c>
      <x:c r="H693" s="9" t="n">
        <x:v>12900000</x:v>
      </x:c>
      <x:c r="I693" s="10" t="n">
        <x:v>0.08</x:v>
      </x:c>
      <x:c r="J693" s="11" t="n">
        <x:v>3</x:v>
      </x:c>
      <x:c r="K693" s="11" t="n">
        <x:v>4</x:v>
      </x:c>
      <x:c r="L693" s="11" t="n">
        <x:v>0</x:v>
      </x:c>
      <x:c r="M693" s="9" t="n">
        <x:f>ROUND(H693*(1-I693),2)</x:f>
        <x:v>11868000</x:v>
      </x:c>
      <x:c r="N693" s="4" t="str">
        <x:v>Sales head</x:v>
      </x:c>
      <x:c r="O693" s="4"/>
      <x:c r="P693" s="9" t="n">
        <x:v>0</x:v>
      </x:c>
      <x:c r="Q693" s="11" t="n">
        <x:v>0</x:v>
      </x:c>
      <x:c r="R693" s="8" t="n">
        <x:v>45402</x:v>
      </x:c>
      <x:c r="S693" s="4" t="str">
        <x:v>Retained</x:v>
      </x:c>
      <x:c r="T693" s="10" t="n">
        <x:v>0.204152</x:v>
      </x:c>
      <x:c r="U693" s="4" t="str">
        <x:v>Train</x:v>
      </x:c>
    </x:row>
    <x:row r="694" ht="34" customHeight="1">
      <x:c r="A694" s="4" t="str">
        <x:v>RS-00693</x:v>
      </x:c>
      <x:c r="B694" s="8" t="n">
        <x:v>45343</x:v>
      </x:c>
      <x:c r="C694" s="4" t="str">
        <x:v>PRJ-013</x:v>
      </x:c>
      <x:c r="D694" s="4" t="str">
        <x:v>Apartment</x:v>
      </x:c>
      <x:c r="E694" s="4" t="str">
        <x:v>Reserved</x:v>
      </x:c>
      <x:c r="F694" s="4" t="str">
        <x:v>CUS-00693</x:v>
      </x:c>
      <x:c r="G694" s="4" t="str">
        <x:v>UNIT-00693</x:v>
      </x:c>
      <x:c r="H694" s="9" t="n">
        <x:v>12700000</x:v>
      </x:c>
      <x:c r="I694" s="10" t="n">
        <x:v>0.09</x:v>
      </x:c>
      <x:c r="J694" s="11" t="n">
        <x:v>8</x:v>
      </x:c>
      <x:c r="K694" s="11" t="n">
        <x:v>5</x:v>
      </x:c>
      <x:c r="L694" s="11" t="n">
        <x:v>1</x:v>
      </x:c>
      <x:c r="M694" s="9" t="n">
        <x:f>ROUND(H694*(1-I694),2)</x:f>
        <x:v>11557000</x:v>
      </x:c>
      <x:c r="N694" s="4" t="str">
        <x:v>Sales head</x:v>
      </x:c>
      <x:c r="O694" s="4"/>
      <x:c r="P694" s="9" t="n">
        <x:v>0</x:v>
      </x:c>
      <x:c r="Q694" s="11" t="n">
        <x:v>0</x:v>
      </x:c>
      <x:c r="R694" s="8" t="n">
        <x:v>45403</x:v>
      </x:c>
      <x:c r="S694" s="4" t="str">
        <x:v>Retained</x:v>
      </x:c>
      <x:c r="T694" s="10" t="n">
        <x:v>0.310195</x:v>
      </x:c>
      <x:c r="U694" s="4" t="str">
        <x:v>Train</x:v>
      </x:c>
    </x:row>
    <x:row r="695" ht="34" customHeight="1">
      <x:c r="A695" s="4" t="str">
        <x:v>RS-00694</x:v>
      </x:c>
      <x:c r="B695" s="8" t="n">
        <x:v>45344</x:v>
      </x:c>
      <x:c r="C695" s="4" t="str">
        <x:v>PRJ-014</x:v>
      </x:c>
      <x:c r="D695" s="4" t="str">
        <x:v>Apartment</x:v>
      </x:c>
      <x:c r="E695" s="4" t="str">
        <x:v>Cancelled</x:v>
      </x:c>
      <x:c r="F695" s="4" t="str">
        <x:v>CUS-00694</x:v>
      </x:c>
      <x:c r="G695" s="4" t="str">
        <x:v>UNIT-00694</x:v>
      </x:c>
      <x:c r="H695" s="9" t="n">
        <x:v>7400000</x:v>
      </x:c>
      <x:c r="I695" s="10" t="n">
        <x:v>0.03</x:v>
      </x:c>
      <x:c r="J695" s="11" t="n">
        <x:v>0</x:v>
      </x:c>
      <x:c r="K695" s="11" t="n">
        <x:v>0</x:v>
      </x:c>
      <x:c r="L695" s="11" t="n">
        <x:v>0</x:v>
      </x:c>
      <x:c r="M695" s="9" t="n">
        <x:f>ROUND(H695*(1-I695),2)</x:f>
        <x:v>7178000</x:v>
      </x:c>
      <x:c r="N695" s="4" t="str">
        <x:v>Sales manager</x:v>
      </x:c>
      <x:c r="O695" s="4"/>
      <x:c r="P695" s="9" t="n">
        <x:v>0</x:v>
      </x:c>
      <x:c r="Q695" s="11" t="n">
        <x:v>1</x:v>
      </x:c>
      <x:c r="R695" s="8" t="n">
        <x:v>45404</x:v>
      </x:c>
      <x:c r="S695" s="4" t="str">
        <x:v>Lost / cancelled</x:v>
      </x:c>
      <x:c r="T695" s="10" t="n">
        <x:v>0.276923</x:v>
      </x:c>
      <x:c r="U695" s="4" t="str">
        <x:v>Train</x:v>
      </x:c>
    </x:row>
    <x:row r="696" ht="34" customHeight="1">
      <x:c r="A696" s="4" t="str">
        <x:v>RS-00695</x:v>
      </x:c>
      <x:c r="B696" s="8" t="n">
        <x:v>45345</x:v>
      </x:c>
      <x:c r="C696" s="4" t="str">
        <x:v>PRJ-015</x:v>
      </x:c>
      <x:c r="D696" s="4" t="str">
        <x:v>Apartment</x:v>
      </x:c>
      <x:c r="E696" s="4" t="str">
        <x:v>Reserved</x:v>
      </x:c>
      <x:c r="F696" s="4" t="str">
        <x:v>CUS-00695</x:v>
      </x:c>
      <x:c r="G696" s="4" t="str">
        <x:v>UNIT-00695</x:v>
      </x:c>
      <x:c r="H696" s="9" t="n">
        <x:v>14800000</x:v>
      </x:c>
      <x:c r="I696" s="10" t="n">
        <x:v>0</x:v>
      </x:c>
      <x:c r="J696" s="11" t="n">
        <x:v>4</x:v>
      </x:c>
      <x:c r="K696" s="11" t="n">
        <x:v>2</x:v>
      </x:c>
      <x:c r="L696" s="11" t="n">
        <x:v>1</x:v>
      </x:c>
      <x:c r="M696" s="9" t="n">
        <x:f>ROUND(H696*(1-I696),2)</x:f>
        <x:v>14800000</x:v>
      </x:c>
      <x:c r="N696" s="4" t="str">
        <x:v>Sales manager</x:v>
      </x:c>
      <x:c r="O696" s="4"/>
      <x:c r="P696" s="9" t="n">
        <x:v>0</x:v>
      </x:c>
      <x:c r="Q696" s="11" t="n">
        <x:v>0</x:v>
      </x:c>
      <x:c r="R696" s="8" t="n">
        <x:v>45405</x:v>
      </x:c>
      <x:c r="S696" s="4" t="str">
        <x:v>Retained</x:v>
      </x:c>
      <x:c r="T696" s="10" t="n">
        <x:v>0.298969</x:v>
      </x:c>
      <x:c r="U696" s="4" t="str">
        <x:v>Train</x:v>
      </x:c>
    </x:row>
    <x:row r="697" ht="34" customHeight="1">
      <x:c r="A697" s="4" t="str">
        <x:v>RS-00696</x:v>
      </x:c>
      <x:c r="B697" s="8" t="n">
        <x:v>45346</x:v>
      </x:c>
      <x:c r="C697" s="4" t="str">
        <x:v>PRJ-016</x:v>
      </x:c>
      <x:c r="D697" s="4" t="str">
        <x:v>Retail</x:v>
      </x:c>
      <x:c r="E697" s="4" t="str">
        <x:v>Cancelled</x:v>
      </x:c>
      <x:c r="F697" s="4" t="str">
        <x:v>CUS-00696</x:v>
      </x:c>
      <x:c r="G697" s="4" t="str">
        <x:v>UNIT-00696</x:v>
      </x:c>
      <x:c r="H697" s="9" t="n">
        <x:v>6200000</x:v>
      </x:c>
      <x:c r="I697" s="10" t="n">
        <x:v>0.09</x:v>
      </x:c>
      <x:c r="J697" s="11" t="n">
        <x:v>10</x:v>
      </x:c>
      <x:c r="K697" s="11" t="n">
        <x:v>2</x:v>
      </x:c>
      <x:c r="L697" s="11" t="n">
        <x:v>1</x:v>
      </x:c>
      <x:c r="M697" s="9" t="n">
        <x:f>ROUND(H697*(1-I697),2)</x:f>
        <x:v>5642000</x:v>
      </x:c>
      <x:c r="N697" s="4" t="str">
        <x:v>Sales head</x:v>
      </x:c>
      <x:c r="O697" s="4"/>
      <x:c r="P697" s="9" t="n">
        <x:v>0</x:v>
      </x:c>
      <x:c r="Q697" s="11" t="n">
        <x:v>1</x:v>
      </x:c>
      <x:c r="R697" s="8" t="n">
        <x:v>45406</x:v>
      </x:c>
      <x:c r="S697" s="4" t="str">
        <x:v>Lost / cancelled</x:v>
      </x:c>
      <x:c r="T697" s="10" t="n">
        <x:v>0.310195</x:v>
      </x:c>
      <x:c r="U697" s="4" t="str">
        <x:v>Train</x:v>
      </x:c>
    </x:row>
    <x:row r="698" ht="34" customHeight="1">
      <x:c r="A698" s="4" t="str">
        <x:v>RS-00697</x:v>
      </x:c>
      <x:c r="B698" s="8" t="n">
        <x:v>45347</x:v>
      </x:c>
      <x:c r="C698" s="4" t="str">
        <x:v>PRJ-017</x:v>
      </x:c>
      <x:c r="D698" s="4" t="str">
        <x:v>Retail</x:v>
      </x:c>
      <x:c r="E698" s="4" t="str">
        <x:v>Booked</x:v>
      </x:c>
      <x:c r="F698" s="4" t="str">
        <x:v>CUS-00697</x:v>
      </x:c>
      <x:c r="G698" s="4" t="str">
        <x:v>UNIT-00697</x:v>
      </x:c>
      <x:c r="H698" s="9" t="n">
        <x:v>19000000</x:v>
      </x:c>
      <x:c r="I698" s="10" t="n">
        <x:v>0.06</x:v>
      </x:c>
      <x:c r="J698" s="11" t="n">
        <x:v>1</x:v>
      </x:c>
      <x:c r="K698" s="11" t="n">
        <x:v>7</x:v>
      </x:c>
      <x:c r="L698" s="11" t="n">
        <x:v>1</x:v>
      </x:c>
      <x:c r="M698" s="9" t="n">
        <x:f>ROUND(H698*(1-I698),2)</x:f>
        <x:v>17860000</x:v>
      </x:c>
      <x:c r="N698" s="4" t="str">
        <x:v>Sales manager</x:v>
      </x:c>
      <x:c r="O698" s="4" t="str">
        <x:v>BOOK-00697</x:v>
      </x:c>
      <x:c r="P698" s="9" t="n">
        <x:v>4465000</x:v>
      </x:c>
      <x:c r="Q698" s="11" t="n">
        <x:v>0</x:v>
      </x:c>
      <x:c r="R698" s="8" t="n">
        <x:v>45407</x:v>
      </x:c>
      <x:c r="S698" s="4" t="str">
        <x:v>Retained</x:v>
      </x:c>
      <x:c r="T698" s="10" t="n">
        <x:v>0.204152</x:v>
      </x:c>
      <x:c r="U698" s="4" t="str">
        <x:v>Train</x:v>
      </x:c>
    </x:row>
    <x:row r="699" ht="34" customHeight="1">
      <x:c r="A699" s="4" t="str">
        <x:v>RS-00698</x:v>
      </x:c>
      <x:c r="B699" s="8" t="n">
        <x:v>45348</x:v>
      </x:c>
      <x:c r="C699" s="4" t="str">
        <x:v>PRJ-018</x:v>
      </x:c>
      <x:c r="D699" s="4" t="str">
        <x:v>Office</x:v>
      </x:c>
      <x:c r="E699" s="4" t="str">
        <x:v>Booked</x:v>
      </x:c>
      <x:c r="F699" s="4" t="str">
        <x:v>CUS-00698</x:v>
      </x:c>
      <x:c r="G699" s="4" t="str">
        <x:v>UNIT-00698</x:v>
      </x:c>
      <x:c r="H699" s="9" t="n">
        <x:v>3300000</x:v>
      </x:c>
      <x:c r="I699" s="10" t="n">
        <x:v>0.05</x:v>
      </x:c>
      <x:c r="J699" s="11" t="n">
        <x:v>3</x:v>
      </x:c>
      <x:c r="K699" s="11" t="n">
        <x:v>0</x:v>
      </x:c>
      <x:c r="L699" s="11" t="n">
        <x:v>1</x:v>
      </x:c>
      <x:c r="M699" s="9" t="n">
        <x:f>ROUND(H699*(1-I699),2)</x:f>
        <x:v>3135000</x:v>
      </x:c>
      <x:c r="N699" s="4" t="str">
        <x:v>Sales manager</x:v>
      </x:c>
      <x:c r="O699" s="4" t="str">
        <x:v>BOOK-00698</x:v>
      </x:c>
      <x:c r="P699" s="9" t="n">
        <x:v>313500</x:v>
      </x:c>
      <x:c r="Q699" s="11" t="n">
        <x:v>0</x:v>
      </x:c>
      <x:c r="R699" s="8" t="n">
        <x:v>45408</x:v>
      </x:c>
      <x:c r="S699" s="4" t="str">
        <x:v>Retained</x:v>
      </x:c>
      <x:c r="T699" s="10" t="n">
        <x:v>0.276923</x:v>
      </x:c>
      <x:c r="U699" s="4" t="str">
        <x:v>Train</x:v>
      </x:c>
    </x:row>
    <x:row r="700" ht="34" customHeight="1">
      <x:c r="A700" s="4" t="str">
        <x:v>RS-00699</x:v>
      </x:c>
      <x:c r="B700" s="8" t="n">
        <x:v>45349</x:v>
      </x:c>
      <x:c r="C700" s="4" t="str">
        <x:v>PRJ-019</x:v>
      </x:c>
      <x:c r="D700" s="4" t="str">
        <x:v>Retail</x:v>
      </x:c>
      <x:c r="E700" s="4" t="str">
        <x:v>Reserved</x:v>
      </x:c>
      <x:c r="F700" s="4" t="str">
        <x:v>CUS-00699</x:v>
      </x:c>
      <x:c r="G700" s="4" t="str">
        <x:v>UNIT-00699</x:v>
      </x:c>
      <x:c r="H700" s="9" t="n">
        <x:v>7600000</x:v>
      </x:c>
      <x:c r="I700" s="10" t="n">
        <x:v>0.1</x:v>
      </x:c>
      <x:c r="J700" s="11" t="n">
        <x:v>5</x:v>
      </x:c>
      <x:c r="K700" s="11" t="n">
        <x:v>5</x:v>
      </x:c>
      <x:c r="L700" s="11" t="n">
        <x:v>1</x:v>
      </x:c>
      <x:c r="M700" s="9" t="n">
        <x:f>ROUND(H700*(1-I700),2)</x:f>
        <x:v>6840000</x:v>
      </x:c>
      <x:c r="N700" s="4" t="str">
        <x:v>Sales head</x:v>
      </x:c>
      <x:c r="O700" s="4"/>
      <x:c r="P700" s="9" t="n">
        <x:v>0</x:v>
      </x:c>
      <x:c r="Q700" s="11" t="n">
        <x:v>1</x:v>
      </x:c>
      <x:c r="R700" s="8" t="n">
        <x:v>45409</x:v>
      </x:c>
      <x:c r="S700" s="4" t="str">
        <x:v>Lost / cancelled</x:v>
      </x:c>
      <x:c r="T700" s="10" t="n">
        <x:v>0.291946</x:v>
      </x:c>
      <x:c r="U700" s="4" t="str">
        <x:v>Train</x:v>
      </x:c>
    </x:row>
    <x:row r="701" ht="34" customHeight="1">
      <x:c r="A701" s="4" t="str">
        <x:v>RS-00700</x:v>
      </x:c>
      <x:c r="B701" s="8" t="n">
        <x:v>45350</x:v>
      </x:c>
      <x:c r="C701" s="4" t="str">
        <x:v>PRJ-020</x:v>
      </x:c>
      <x:c r="D701" s="4" t="str">
        <x:v>Villa</x:v>
      </x:c>
      <x:c r="E701" s="4" t="str">
        <x:v>Booked</x:v>
      </x:c>
      <x:c r="F701" s="4" t="str">
        <x:v>CUS-00700</x:v>
      </x:c>
      <x:c r="G701" s="4" t="str">
        <x:v>UNIT-00700</x:v>
      </x:c>
      <x:c r="H701" s="9" t="n">
        <x:v>20400000</x:v>
      </x:c>
      <x:c r="I701" s="10" t="n">
        <x:v>0.1</x:v>
      </x:c>
      <x:c r="J701" s="11" t="n">
        <x:v>3</x:v>
      </x:c>
      <x:c r="K701" s="11" t="n">
        <x:v>8</x:v>
      </x:c>
      <x:c r="L701" s="11" t="n">
        <x:v>0</x:v>
      </x:c>
      <x:c r="M701" s="9" t="n">
        <x:f>ROUND(H701*(1-I701),2)</x:f>
        <x:v>18360000</x:v>
      </x:c>
      <x:c r="N701" s="4" t="str">
        <x:v>Sales head</x:v>
      </x:c>
      <x:c r="O701" s="4" t="str">
        <x:v>BOOK-00700</x:v>
      </x:c>
      <x:c r="P701" s="9" t="n">
        <x:v>18360000</x:v>
      </x:c>
      <x:c r="Q701" s="11" t="n">
        <x:v>0</x:v>
      </x:c>
      <x:c r="R701" s="8" t="n">
        <x:v>45410</x:v>
      </x:c>
      <x:c r="S701" s="4" t="str">
        <x:v>Retained</x:v>
      </x:c>
      <x:c r="T701" s="10" t="n">
        <x:v>0.145833</x:v>
      </x:c>
      <x:c r="U701" s="4" t="str">
        <x:v>Train</x:v>
      </x:c>
    </x:row>
    <x:row r="702" ht="34" customHeight="1">
      <x:c r="A702" s="4" t="str">
        <x:v>RS-00701</x:v>
      </x:c>
      <x:c r="B702" s="8" t="n">
        <x:v>45323</x:v>
      </x:c>
      <x:c r="C702" s="4" t="str">
        <x:v>PRJ-001</x:v>
      </x:c>
      <x:c r="D702" s="4" t="str">
        <x:v>Retail</x:v>
      </x:c>
      <x:c r="E702" s="4" t="str">
        <x:v>Handed over</x:v>
      </x:c>
      <x:c r="F702" s="4" t="str">
        <x:v>CUS-00701</x:v>
      </x:c>
      <x:c r="G702" s="4" t="str">
        <x:v>UNIT-00701</x:v>
      </x:c>
      <x:c r="H702" s="9" t="n">
        <x:v>13900000</x:v>
      </x:c>
      <x:c r="I702" s="10" t="n">
        <x:v>0.06</x:v>
      </x:c>
      <x:c r="J702" s="11" t="n">
        <x:v>5</x:v>
      </x:c>
      <x:c r="K702" s="11" t="n">
        <x:v>10</x:v>
      </x:c>
      <x:c r="L702" s="11" t="n">
        <x:v>1</x:v>
      </x:c>
      <x:c r="M702" s="9" t="n">
        <x:f>ROUND(H702*(1-I702),2)</x:f>
        <x:v>13066000</x:v>
      </x:c>
      <x:c r="N702" s="4" t="str">
        <x:v>Sales manager</x:v>
      </x:c>
      <x:c r="O702" s="4" t="str">
        <x:v>BOOK-00701</x:v>
      </x:c>
      <x:c r="P702" s="9" t="n">
        <x:v>6533000</x:v>
      </x:c>
      <x:c r="Q702" s="11" t="n">
        <x:v>0</x:v>
      </x:c>
      <x:c r="R702" s="8" t="n">
        <x:v>45383</x:v>
      </x:c>
      <x:c r="S702" s="4" t="str">
        <x:v>Retained</x:v>
      </x:c>
      <x:c r="T702" s="10" t="n">
        <x:v>0.291946</x:v>
      </x:c>
      <x:c r="U702" s="4" t="str">
        <x:v>Train</x:v>
      </x:c>
    </x:row>
    <x:row r="703" ht="34" customHeight="1">
      <x:c r="A703" s="4" t="str">
        <x:v>RS-00702</x:v>
      </x:c>
      <x:c r="B703" s="8" t="n">
        <x:v>45324</x:v>
      </x:c>
      <x:c r="C703" s="4" t="str">
        <x:v>PRJ-002</x:v>
      </x:c>
      <x:c r="D703" s="4" t="str">
        <x:v>Villa</x:v>
      </x:c>
      <x:c r="E703" s="4" t="str">
        <x:v>Booked</x:v>
      </x:c>
      <x:c r="F703" s="4" t="str">
        <x:v>CUS-00702</x:v>
      </x:c>
      <x:c r="G703" s="4" t="str">
        <x:v>UNIT-00702</x:v>
      </x:c>
      <x:c r="H703" s="9" t="n">
        <x:v>5100000</x:v>
      </x:c>
      <x:c r="I703" s="10" t="n">
        <x:v>0.12</x:v>
      </x:c>
      <x:c r="J703" s="11" t="n">
        <x:v>6</x:v>
      </x:c>
      <x:c r="K703" s="11" t="n">
        <x:v>0</x:v>
      </x:c>
      <x:c r="L703" s="11" t="n">
        <x:v>0</x:v>
      </x:c>
      <x:c r="M703" s="9" t="n">
        <x:f>ROUND(H703*(1-I703),2)</x:f>
        <x:v>4488000</x:v>
      </x:c>
      <x:c r="N703" s="4" t="str">
        <x:v>Sales head</x:v>
      </x:c>
      <x:c r="O703" s="4" t="str">
        <x:v>BOOK-00702</x:v>
      </x:c>
      <x:c r="P703" s="9" t="n">
        <x:v>448800</x:v>
      </x:c>
      <x:c r="Q703" s="11" t="n">
        <x:v>0</x:v>
      </x:c>
      <x:c r="R703" s="8" t="n">
        <x:v>45384</x:v>
      </x:c>
      <x:c r="S703" s="4" t="str">
        <x:v>Retained</x:v>
      </x:c>
      <x:c r="T703" s="10" t="n">
        <x:v>0.226277</x:v>
      </x:c>
      <x:c r="U703" s="4" t="str">
        <x:v>Train</x:v>
      </x:c>
    </x:row>
    <x:row r="704" ht="34" customHeight="1">
      <x:c r="A704" s="4" t="str">
        <x:v>RS-00703</x:v>
      </x:c>
      <x:c r="B704" s="8" t="n">
        <x:v>45325</x:v>
      </x:c>
      <x:c r="C704" s="4" t="str">
        <x:v>PRJ-003</x:v>
      </x:c>
      <x:c r="D704" s="4" t="str">
        <x:v>Apartment</x:v>
      </x:c>
      <x:c r="E704" s="4" t="str">
        <x:v>Cancelled</x:v>
      </x:c>
      <x:c r="F704" s="4" t="str">
        <x:v>CUS-00703</x:v>
      </x:c>
      <x:c r="G704" s="4" t="str">
        <x:v>UNIT-00703</x:v>
      </x:c>
      <x:c r="H704" s="9" t="n">
        <x:v>17700000</x:v>
      </x:c>
      <x:c r="I704" s="10" t="n">
        <x:v>0.01</x:v>
      </x:c>
      <x:c r="J704" s="11" t="n">
        <x:v>12</x:v>
      </x:c>
      <x:c r="K704" s="11" t="n">
        <x:v>10</x:v>
      </x:c>
      <x:c r="L704" s="11" t="n">
        <x:v>1</x:v>
      </x:c>
      <x:c r="M704" s="9" t="n">
        <x:f>ROUND(H704*(1-I704),2)</x:f>
        <x:v>17523000</x:v>
      </x:c>
      <x:c r="N704" s="4" t="str">
        <x:v>Sales manager</x:v>
      </x:c>
      <x:c r="O704" s="4"/>
      <x:c r="P704" s="9" t="n">
        <x:v>0</x:v>
      </x:c>
      <x:c r="Q704" s="11" t="n">
        <x:v>1</x:v>
      </x:c>
      <x:c r="R704" s="8" t="n">
        <x:v>45385</x:v>
      </x:c>
      <x:c r="S704" s="4" t="str">
        <x:v>Lost / cancelled</x:v>
      </x:c>
      <x:c r="T704" s="10" t="n">
        <x:v>0.254545</x:v>
      </x:c>
      <x:c r="U704" s="4" t="str">
        <x:v>Train</x:v>
      </x:c>
    </x:row>
    <x:row r="705" ht="34" customHeight="1">
      <x:c r="A705" s="4" t="str">
        <x:v>RS-00704</x:v>
      </x:c>
      <x:c r="B705" s="8" t="n">
        <x:v>45326</x:v>
      </x:c>
      <x:c r="C705" s="4" t="str">
        <x:v>PRJ-004</x:v>
      </x:c>
      <x:c r="D705" s="4" t="str">
        <x:v>Retail</x:v>
      </x:c>
      <x:c r="E705" s="4" t="str">
        <x:v>Reserved</x:v>
      </x:c>
      <x:c r="F705" s="4" t="str">
        <x:v>CUS-00704</x:v>
      </x:c>
      <x:c r="G705" s="4" t="str">
        <x:v>UNIT-00704</x:v>
      </x:c>
      <x:c r="H705" s="9" t="n">
        <x:v>22600000</x:v>
      </x:c>
      <x:c r="I705" s="10" t="n">
        <x:v>0.01</x:v>
      </x:c>
      <x:c r="J705" s="11" t="n">
        <x:v>7</x:v>
      </x:c>
      <x:c r="K705" s="11" t="n">
        <x:v>7</x:v>
      </x:c>
      <x:c r="L705" s="11" t="n">
        <x:v>0</x:v>
      </x:c>
      <x:c r="M705" s="9" t="n">
        <x:f>ROUND(H705*(1-I705),2)</x:f>
        <x:v>22374000</x:v>
      </x:c>
      <x:c r="N705" s="4" t="str">
        <x:v>Sales manager</x:v>
      </x:c>
      <x:c r="O705" s="4"/>
      <x:c r="P705" s="9" t="n">
        <x:v>0</x:v>
      </x:c>
      <x:c r="Q705" s="11" t="n">
        <x:v>0</x:v>
      </x:c>
      <x:c r="R705" s="8" t="n">
        <x:v>45386</x:v>
      </x:c>
      <x:c r="S705" s="4" t="str">
        <x:v>Retained</x:v>
      </x:c>
      <x:c r="T705" s="10" t="n">
        <x:v>0.145299</x:v>
      </x:c>
      <x:c r="U705" s="4" t="str">
        <x:v>Train</x:v>
      </x:c>
    </x:row>
    <x:row r="706" ht="34" customHeight="1">
      <x:c r="A706" s="4" t="str">
        <x:v>RS-00705</x:v>
      </x:c>
      <x:c r="B706" s="8" t="n">
        <x:v>45327</x:v>
      </x:c>
      <x:c r="C706" s="4" t="str">
        <x:v>PRJ-005</x:v>
      </x:c>
      <x:c r="D706" s="4" t="str">
        <x:v>Retail</x:v>
      </x:c>
      <x:c r="E706" s="4" t="str">
        <x:v>Enquiry</x:v>
      </x:c>
      <x:c r="F706" s="4" t="str">
        <x:v>CUS-00705</x:v>
      </x:c>
      <x:c r="G706" s="4" t="str">
        <x:v>UNIT-00705</x:v>
      </x:c>
      <x:c r="H706" s="9" t="n">
        <x:v>16300000</x:v>
      </x:c>
      <x:c r="I706" s="10" t="n">
        <x:v>0.04</x:v>
      </x:c>
      <x:c r="J706" s="11" t="n">
        <x:v>12</x:v>
      </x:c>
      <x:c r="K706" s="11" t="n">
        <x:v>6</x:v>
      </x:c>
      <x:c r="L706" s="11" t="n">
        <x:v>0</x:v>
      </x:c>
      <x:c r="M706" s="9" t="n">
        <x:f>ROUND(H706*(1-I706),2)</x:f>
        <x:v>15648000</x:v>
      </x:c>
      <x:c r="N706" s="4" t="str">
        <x:v>Sales manager</x:v>
      </x:c>
      <x:c r="O706" s="4"/>
      <x:c r="P706" s="9" t="n">
        <x:v>0</x:v>
      </x:c>
      <x:c r="Q706" s="11" t="n">
        <x:v>0</x:v>
      </x:c>
      <x:c r="R706" s="8" t="n">
        <x:v>45387</x:v>
      </x:c>
      <x:c r="S706" s="4" t="str">
        <x:v>Retained</x:v>
      </x:c>
      <x:c r="T706" s="10" t="n">
        <x:v>0.351536</x:v>
      </x:c>
      <x:c r="U706" s="4" t="str">
        <x:v>Train</x:v>
      </x:c>
    </x:row>
    <x:row r="707" ht="34" customHeight="1">
      <x:c r="A707" s="4" t="str">
        <x:v>RS-00706</x:v>
      </x:c>
      <x:c r="B707" s="8" t="n">
        <x:v>45328</x:v>
      </x:c>
      <x:c r="C707" s="4" t="str">
        <x:v>PRJ-006</x:v>
      </x:c>
      <x:c r="D707" s="4" t="str">
        <x:v>Apartment</x:v>
      </x:c>
      <x:c r="E707" s="4" t="str">
        <x:v>Handed over</x:v>
      </x:c>
      <x:c r="F707" s="4" t="str">
        <x:v>CUS-00706</x:v>
      </x:c>
      <x:c r="G707" s="4" t="str">
        <x:v>UNIT-00706</x:v>
      </x:c>
      <x:c r="H707" s="9" t="n">
        <x:v>18400000</x:v>
      </x:c>
      <x:c r="I707" s="10" t="n">
        <x:v>0.11</x:v>
      </x:c>
      <x:c r="J707" s="11" t="n">
        <x:v>5</x:v>
      </x:c>
      <x:c r="K707" s="11" t="n">
        <x:v>6</x:v>
      </x:c>
      <x:c r="L707" s="11" t="n">
        <x:v>0</x:v>
      </x:c>
      <x:c r="M707" s="9" t="n">
        <x:f>ROUND(H707*(1-I707),2)</x:f>
        <x:v>16376000</x:v>
      </x:c>
      <x:c r="N707" s="4" t="str">
        <x:v>Sales head</x:v>
      </x:c>
      <x:c r="O707" s="4" t="str">
        <x:v>BOOK-00706</x:v>
      </x:c>
      <x:c r="P707" s="9" t="n">
        <x:v>4094000</x:v>
      </x:c>
      <x:c r="Q707" s="11" t="n">
        <x:v>0</x:v>
      </x:c>
      <x:c r="R707" s="8" t="n">
        <x:v>45388</x:v>
      </x:c>
      <x:c r="S707" s="4" t="str">
        <x:v>Retained</x:v>
      </x:c>
      <x:c r="T707" s="10" t="n">
        <x:v>0.226277</x:v>
      </x:c>
      <x:c r="U707" s="4" t="str">
        <x:v>Train</x:v>
      </x:c>
    </x:row>
    <x:row r="708" ht="34" customHeight="1">
      <x:c r="A708" s="4" t="str">
        <x:v>RS-00707</x:v>
      </x:c>
      <x:c r="B708" s="8" t="n">
        <x:v>45329</x:v>
      </x:c>
      <x:c r="C708" s="4" t="str">
        <x:v>PRJ-007</x:v>
      </x:c>
      <x:c r="D708" s="4" t="str">
        <x:v>Retail</x:v>
      </x:c>
      <x:c r="E708" s="4" t="str">
        <x:v>Reserved</x:v>
      </x:c>
      <x:c r="F708" s="4" t="str">
        <x:v>CUS-00707</x:v>
      </x:c>
      <x:c r="G708" s="4" t="str">
        <x:v>UNIT-00707</x:v>
      </x:c>
      <x:c r="H708" s="9" t="n">
        <x:v>23500000</x:v>
      </x:c>
      <x:c r="I708" s="10" t="n">
        <x:v>0.11</x:v>
      </x:c>
      <x:c r="J708" s="11" t="n">
        <x:v>0</x:v>
      </x:c>
      <x:c r="K708" s="11" t="n">
        <x:v>3</x:v>
      </x:c>
      <x:c r="L708" s="11" t="n">
        <x:v>0</x:v>
      </x:c>
      <x:c r="M708" s="9" t="n">
        <x:f>ROUND(H708*(1-I708),2)</x:f>
        <x:v>20915000</x:v>
      </x:c>
      <x:c r="N708" s="4" t="str">
        <x:v>Sales head</x:v>
      </x:c>
      <x:c r="O708" s="4"/>
      <x:c r="P708" s="9" t="n">
        <x:v>0</x:v>
      </x:c>
      <x:c r="Q708" s="11" t="n">
        <x:v>0</x:v>
      </x:c>
      <x:c r="R708" s="8" t="n">
        <x:v>45389</x:v>
      </x:c>
      <x:c r="S708" s="4" t="str">
        <x:v>Retained</x:v>
      </x:c>
      <x:c r="T708" s="10" t="n">
        <x:v>0.145833</x:v>
      </x:c>
      <x:c r="U708" s="4" t="str">
        <x:v>Train</x:v>
      </x:c>
    </x:row>
    <x:row r="709" ht="34" customHeight="1">
      <x:c r="A709" s="4" t="str">
        <x:v>RS-00708</x:v>
      </x:c>
      <x:c r="B709" s="8" t="n">
        <x:v>45330</x:v>
      </x:c>
      <x:c r="C709" s="4" t="str">
        <x:v>PRJ-008</x:v>
      </x:c>
      <x:c r="D709" s="4" t="str">
        <x:v>Office</x:v>
      </x:c>
      <x:c r="E709" s="4" t="str">
        <x:v>Reserved</x:v>
      </x:c>
      <x:c r="F709" s="4" t="str">
        <x:v>CUS-00708</x:v>
      </x:c>
      <x:c r="G709" s="4" t="str">
        <x:v>UNIT-00708</x:v>
      </x:c>
      <x:c r="H709" s="9" t="n">
        <x:v>20500000</x:v>
      </x:c>
      <x:c r="I709" s="10" t="n">
        <x:v>0.01</x:v>
      </x:c>
      <x:c r="J709" s="11" t="n">
        <x:v>2</x:v>
      </x:c>
      <x:c r="K709" s="11" t="n">
        <x:v>7</x:v>
      </x:c>
      <x:c r="L709" s="11" t="n">
        <x:v>0</x:v>
      </x:c>
      <x:c r="M709" s="9" t="n">
        <x:f>ROUND(H709*(1-I709),2)</x:f>
        <x:v>20295000</x:v>
      </x:c>
      <x:c r="N709" s="4" t="str">
        <x:v>Sales manager</x:v>
      </x:c>
      <x:c r="O709" s="4"/>
      <x:c r="P709" s="9" t="n">
        <x:v>0</x:v>
      </x:c>
      <x:c r="Q709" s="11" t="n">
        <x:v>0</x:v>
      </x:c>
      <x:c r="R709" s="8" t="n">
        <x:v>45390</x:v>
      </x:c>
      <x:c r="S709" s="4" t="str">
        <x:v>Retained</x:v>
      </x:c>
      <x:c r="T709" s="10" t="n">
        <x:v>0.171717</x:v>
      </x:c>
      <x:c r="U709" s="4" t="str">
        <x:v>Train</x:v>
      </x:c>
    </x:row>
    <x:row r="710" ht="34" customHeight="1">
      <x:c r="A710" s="4" t="str">
        <x:v>RS-00709</x:v>
      </x:c>
      <x:c r="B710" s="8" t="n">
        <x:v>45331</x:v>
      </x:c>
      <x:c r="C710" s="4" t="str">
        <x:v>PRJ-009</x:v>
      </x:c>
      <x:c r="D710" s="4" t="str">
        <x:v>Retail</x:v>
      </x:c>
      <x:c r="E710" s="4" t="str">
        <x:v>Agreement signed</x:v>
      </x:c>
      <x:c r="F710" s="4" t="str">
        <x:v>CUS-00709</x:v>
      </x:c>
      <x:c r="G710" s="4" t="str">
        <x:v>UNIT-00709</x:v>
      </x:c>
      <x:c r="H710" s="9" t="n">
        <x:v>12200000</x:v>
      </x:c>
      <x:c r="I710" s="10" t="n">
        <x:v>0.05</x:v>
      </x:c>
      <x:c r="J710" s="11" t="n">
        <x:v>5</x:v>
      </x:c>
      <x:c r="K710" s="11" t="n">
        <x:v>3</x:v>
      </x:c>
      <x:c r="L710" s="11" t="n">
        <x:v>0</x:v>
      </x:c>
      <x:c r="M710" s="9" t="n">
        <x:f>ROUND(H710*(1-I710),2)</x:f>
        <x:v>11590000</x:v>
      </x:c>
      <x:c r="N710" s="4" t="str">
        <x:v>Sales manager</x:v>
      </x:c>
      <x:c r="O710" s="4" t="str">
        <x:v>BOOK-00709</x:v>
      </x:c>
      <x:c r="P710" s="9" t="n">
        <x:v>11590000</x:v>
      </x:c>
      <x:c r="Q710" s="11" t="n">
        <x:v>0</x:v>
      </x:c>
      <x:c r="R710" s="8" t="n">
        <x:v>45391</x:v>
      </x:c>
      <x:c r="S710" s="4" t="str">
        <x:v>Retained</x:v>
      </x:c>
      <x:c r="T710" s="10" t="n">
        <x:v>0.226277</x:v>
      </x:c>
      <x:c r="U710" s="4" t="str">
        <x:v>Train</x:v>
      </x:c>
    </x:row>
    <x:row r="711" ht="34" customHeight="1">
      <x:c r="A711" s="4" t="str">
        <x:v>RS-00710</x:v>
      </x:c>
      <x:c r="B711" s="8" t="n">
        <x:v>45332</x:v>
      </x:c>
      <x:c r="C711" s="4" t="str">
        <x:v>PRJ-010</x:v>
      </x:c>
      <x:c r="D711" s="4" t="str">
        <x:v>Retail</x:v>
      </x:c>
      <x:c r="E711" s="4" t="str">
        <x:v>Cancelled</x:v>
      </x:c>
      <x:c r="F711" s="4" t="str">
        <x:v>CUS-00710</x:v>
      </x:c>
      <x:c r="G711" s="4" t="str">
        <x:v>UNIT-00710</x:v>
      </x:c>
      <x:c r="H711" s="9" t="n">
        <x:v>13300000</x:v>
      </x:c>
      <x:c r="I711" s="10" t="n">
        <x:v>0.08</x:v>
      </x:c>
      <x:c r="J711" s="11" t="n">
        <x:v>2</x:v>
      </x:c>
      <x:c r="K711" s="11" t="n">
        <x:v>8</x:v>
      </x:c>
      <x:c r="L711" s="11" t="n">
        <x:v>0</x:v>
      </x:c>
      <x:c r="M711" s="9" t="n">
        <x:f>ROUND(H711*(1-I711),2)</x:f>
        <x:v>12236000</x:v>
      </x:c>
      <x:c r="N711" s="4" t="str">
        <x:v>Sales head</x:v>
      </x:c>
      <x:c r="O711" s="4"/>
      <x:c r="P711" s="9" t="n">
        <x:v>0</x:v>
      </x:c>
      <x:c r="Q711" s="11" t="n">
        <x:v>1</x:v>
      </x:c>
      <x:c r="R711" s="8" t="n">
        <x:v>45392</x:v>
      </x:c>
      <x:c r="S711" s="4" t="str">
        <x:v>Lost / cancelled</x:v>
      </x:c>
      <x:c r="T711" s="10" t="n">
        <x:v>0.204152</x:v>
      </x:c>
      <x:c r="U711" s="4" t="str">
        <x:v>Train</x:v>
      </x:c>
    </x:row>
    <x:row r="712" ht="34" customHeight="1">
      <x:c r="A712" s="4" t="str">
        <x:v>RS-00711</x:v>
      </x:c>
      <x:c r="B712" s="8" t="n">
        <x:v>45333</x:v>
      </x:c>
      <x:c r="C712" s="4" t="str">
        <x:v>PRJ-011</x:v>
      </x:c>
      <x:c r="D712" s="4" t="str">
        <x:v>Villa</x:v>
      </x:c>
      <x:c r="E712" s="4" t="str">
        <x:v>Handed over</x:v>
      </x:c>
      <x:c r="F712" s="4" t="str">
        <x:v>CUS-00711</x:v>
      </x:c>
      <x:c r="G712" s="4" t="str">
        <x:v>UNIT-00711</x:v>
      </x:c>
      <x:c r="H712" s="9" t="n">
        <x:v>5400000</x:v>
      </x:c>
      <x:c r="I712" s="10" t="n">
        <x:v>0.01</x:v>
      </x:c>
      <x:c r="J712" s="11" t="n">
        <x:v>6</x:v>
      </x:c>
      <x:c r="K712" s="11" t="n">
        <x:v>2</x:v>
      </x:c>
      <x:c r="L712" s="11" t="n">
        <x:v>0</x:v>
      </x:c>
      <x:c r="M712" s="9" t="n">
        <x:f>ROUND(H712*(1-I712),2)</x:f>
        <x:v>5346000</x:v>
      </x:c>
      <x:c r="N712" s="4" t="str">
        <x:v>Sales manager</x:v>
      </x:c>
      <x:c r="O712" s="4" t="str">
        <x:v>BOOK-00711</x:v>
      </x:c>
      <x:c r="P712" s="9" t="n">
        <x:v>534600</x:v>
      </x:c>
      <x:c r="Q712" s="11" t="n">
        <x:v>0</x:v>
      </x:c>
      <x:c r="R712" s="8" t="n">
        <x:v>45393</x:v>
      </x:c>
      <x:c r="S712" s="4" t="str">
        <x:v>Retained</x:v>
      </x:c>
      <x:c r="T712" s="10" t="n">
        <x:v>0.298969</x:v>
      </x:c>
      <x:c r="U712" s="4" t="str">
        <x:v>Train</x:v>
      </x:c>
    </x:row>
    <x:row r="713" ht="34" customHeight="1">
      <x:c r="A713" s="4" t="str">
        <x:v>RS-00712</x:v>
      </x:c>
      <x:c r="B713" s="8" t="n">
        <x:v>45334</x:v>
      </x:c>
      <x:c r="C713" s="4" t="str">
        <x:v>PRJ-012</x:v>
      </x:c>
      <x:c r="D713" s="4" t="str">
        <x:v>Retail</x:v>
      </x:c>
      <x:c r="E713" s="4" t="str">
        <x:v>Booked</x:v>
      </x:c>
      <x:c r="F713" s="4" t="str">
        <x:v>CUS-00712</x:v>
      </x:c>
      <x:c r="G713" s="4" t="str">
        <x:v>UNIT-00712</x:v>
      </x:c>
      <x:c r="H713" s="9" t="n">
        <x:v>11600000</x:v>
      </x:c>
      <x:c r="I713" s="10" t="n">
        <x:v>0.01</x:v>
      </x:c>
      <x:c r="J713" s="11" t="n">
        <x:v>8</x:v>
      </x:c>
      <x:c r="K713" s="11" t="n">
        <x:v>5</x:v>
      </x:c>
      <x:c r="L713" s="11" t="n">
        <x:v>0</x:v>
      </x:c>
      <x:c r="M713" s="9" t="n">
        <x:f>ROUND(H713*(1-I713),2)</x:f>
        <x:v>11484000</x:v>
      </x:c>
      <x:c r="N713" s="4" t="str">
        <x:v>Sales manager</x:v>
      </x:c>
      <x:c r="O713" s="4" t="str">
        <x:v>BOOK-00712</x:v>
      </x:c>
      <x:c r="P713" s="9" t="n">
        <x:v>1148400</x:v>
      </x:c>
      <x:c r="Q713" s="11" t="n">
        <x:v>0</x:v>
      </x:c>
      <x:c r="R713" s="8" t="n">
        <x:v>45394</x:v>
      </x:c>
      <x:c r="S713" s="4" t="str">
        <x:v>Retained</x:v>
      </x:c>
      <x:c r="T713" s="10" t="n">
        <x:v>0.305556</x:v>
      </x:c>
      <x:c r="U713" s="4" t="str">
        <x:v>Train</x:v>
      </x:c>
    </x:row>
    <x:row r="714" ht="34" customHeight="1">
      <x:c r="A714" s="4" t="str">
        <x:v>RS-00713</x:v>
      </x:c>
      <x:c r="B714" s="8" t="n">
        <x:v>45335</x:v>
      </x:c>
      <x:c r="C714" s="4" t="str">
        <x:v>PRJ-013</x:v>
      </x:c>
      <x:c r="D714" s="4" t="str">
        <x:v>Office</x:v>
      </x:c>
      <x:c r="E714" s="4" t="str">
        <x:v>Reserved</x:v>
      </x:c>
      <x:c r="F714" s="4" t="str">
        <x:v>CUS-00713</x:v>
      </x:c>
      <x:c r="G714" s="4" t="str">
        <x:v>UNIT-00713</x:v>
      </x:c>
      <x:c r="H714" s="9" t="n">
        <x:v>22000000</x:v>
      </x:c>
      <x:c r="I714" s="10" t="n">
        <x:v>0.1</x:v>
      </x:c>
      <x:c r="J714" s="11" t="n">
        <x:v>11</x:v>
      </x:c>
      <x:c r="K714" s="11" t="n">
        <x:v>7</x:v>
      </x:c>
      <x:c r="L714" s="11" t="n">
        <x:v>0</x:v>
      </x:c>
      <x:c r="M714" s="9" t="n">
        <x:f>ROUND(H714*(1-I714),2)</x:f>
        <x:v>19800000</x:v>
      </x:c>
      <x:c r="N714" s="4" t="str">
        <x:v>Sales head</x:v>
      </x:c>
      <x:c r="O714" s="4"/>
      <x:c r="P714" s="9" t="n">
        <x:v>0</x:v>
      </x:c>
      <x:c r="Q714" s="11" t="n">
        <x:v>1</x:v>
      </x:c>
      <x:c r="R714" s="8" t="n">
        <x:v>45395</x:v>
      </x:c>
      <x:c r="S714" s="4" t="str">
        <x:v>Lost / cancelled</x:v>
      </x:c>
      <x:c r="T714" s="10" t="n">
        <x:v>0.351536</x:v>
      </x:c>
      <x:c r="U714" s="4" t="str">
        <x:v>Train</x:v>
      </x:c>
    </x:row>
    <x:row r="715" ht="34" customHeight="1">
      <x:c r="A715" s="4" t="str">
        <x:v>RS-00714</x:v>
      </x:c>
      <x:c r="B715" s="8" t="n">
        <x:v>45336</x:v>
      </x:c>
      <x:c r="C715" s="4" t="str">
        <x:v>PRJ-014</x:v>
      </x:c>
      <x:c r="D715" s="4" t="str">
        <x:v>Apartment</x:v>
      </x:c>
      <x:c r="E715" s="4" t="str">
        <x:v>Handed over</x:v>
      </x:c>
      <x:c r="F715" s="4" t="str">
        <x:v>CUS-00714</x:v>
      </x:c>
      <x:c r="G715" s="4" t="str">
        <x:v>UNIT-00714</x:v>
      </x:c>
      <x:c r="H715" s="9" t="n">
        <x:v>18400000</x:v>
      </x:c>
      <x:c r="I715" s="10" t="n">
        <x:v>0.05</x:v>
      </x:c>
      <x:c r="J715" s="11" t="n">
        <x:v>12</x:v>
      </x:c>
      <x:c r="K715" s="11" t="n">
        <x:v>4</x:v>
      </x:c>
      <x:c r="L715" s="11" t="n">
        <x:v>1</x:v>
      </x:c>
      <x:c r="M715" s="9" t="n">
        <x:f>ROUND(H715*(1-I715),2)</x:f>
        <x:v>17480000</x:v>
      </x:c>
      <x:c r="N715" s="4" t="str">
        <x:v>Sales manager</x:v>
      </x:c>
      <x:c r="O715" s="4" t="str">
        <x:v>BOOK-00714</x:v>
      </x:c>
      <x:c r="P715" s="9" t="n">
        <x:v>4370000</x:v>
      </x:c>
      <x:c r="Q715" s="11" t="n">
        <x:v>0</x:v>
      </x:c>
      <x:c r="R715" s="8" t="n">
        <x:v>45396</x:v>
      </x:c>
      <x:c r="S715" s="4" t="str">
        <x:v>Retained</x:v>
      </x:c>
      <x:c r="T715" s="10" t="n">
        <x:v>0.351536</x:v>
      </x:c>
      <x:c r="U715" s="4" t="str">
        <x:v>Train</x:v>
      </x:c>
    </x:row>
    <x:row r="716" ht="34" customHeight="1">
      <x:c r="A716" s="4" t="str">
        <x:v>RS-00715</x:v>
      </x:c>
      <x:c r="B716" s="8" t="n">
        <x:v>45337</x:v>
      </x:c>
      <x:c r="C716" s="4" t="str">
        <x:v>PRJ-015</x:v>
      </x:c>
      <x:c r="D716" s="4" t="str">
        <x:v>Villa</x:v>
      </x:c>
      <x:c r="E716" s="4" t="str">
        <x:v>Agreement signed</x:v>
      </x:c>
      <x:c r="F716" s="4" t="str">
        <x:v>CUS-00715</x:v>
      </x:c>
      <x:c r="G716" s="4" t="str">
        <x:v>UNIT-00715</x:v>
      </x:c>
      <x:c r="H716" s="9" t="n">
        <x:v>7300000</x:v>
      </x:c>
      <x:c r="I716" s="10" t="n">
        <x:v>0.01</x:v>
      </x:c>
      <x:c r="J716" s="11" t="n">
        <x:v>0</x:v>
      </x:c>
      <x:c r="K716" s="11" t="n">
        <x:v>2</x:v>
      </x:c>
      <x:c r="L716" s="11" t="n">
        <x:v>0</x:v>
      </x:c>
      <x:c r="M716" s="9" t="n">
        <x:f>ROUND(H716*(1-I716),2)</x:f>
        <x:v>7227000</x:v>
      </x:c>
      <x:c r="N716" s="4" t="str">
        <x:v>Sales manager</x:v>
      </x:c>
      <x:c r="O716" s="4" t="str">
        <x:v>BOOK-00715</x:v>
      </x:c>
      <x:c r="P716" s="9" t="n">
        <x:v>7227000</x:v>
      </x:c>
      <x:c r="Q716" s="11" t="n">
        <x:v>0</x:v>
      </x:c>
      <x:c r="R716" s="8" t="n">
        <x:v>45397</x:v>
      </x:c>
      <x:c r="S716" s="4" t="str">
        <x:v>Retained</x:v>
      </x:c>
      <x:c r="T716" s="10" t="n">
        <x:v>0.072165</x:v>
      </x:c>
      <x:c r="U716" s="4" t="str">
        <x:v>Train</x:v>
      </x:c>
    </x:row>
    <x:row r="717" ht="34" customHeight="1">
      <x:c r="A717" s="4" t="str">
        <x:v>RS-00716</x:v>
      </x:c>
      <x:c r="B717" s="8" t="n">
        <x:v>45338</x:v>
      </x:c>
      <x:c r="C717" s="4" t="str">
        <x:v>PRJ-016</x:v>
      </x:c>
      <x:c r="D717" s="4" t="str">
        <x:v>Apartment</x:v>
      </x:c>
      <x:c r="E717" s="4" t="str">
        <x:v>Booked</x:v>
      </x:c>
      <x:c r="F717" s="4" t="str">
        <x:v>CUS-00716</x:v>
      </x:c>
      <x:c r="G717" s="4" t="str">
        <x:v>UNIT-00716</x:v>
      </x:c>
      <x:c r="H717" s="9" t="n">
        <x:v>24600000</x:v>
      </x:c>
      <x:c r="I717" s="10" t="n">
        <x:v>0.11</x:v>
      </x:c>
      <x:c r="J717" s="11" t="n">
        <x:v>0</x:v>
      </x:c>
      <x:c r="K717" s="11" t="n">
        <x:v>5</x:v>
      </x:c>
      <x:c r="L717" s="11" t="n">
        <x:v>0</x:v>
      </x:c>
      <x:c r="M717" s="9" t="n">
        <x:f>ROUND(H717*(1-I717),2)</x:f>
        <x:v>21894000</x:v>
      </x:c>
      <x:c r="N717" s="4" t="str">
        <x:v>Sales head</x:v>
      </x:c>
      <x:c r="O717" s="4" t="str">
        <x:v>BOOK-00716</x:v>
      </x:c>
      <x:c r="P717" s="9" t="n">
        <x:v>2189400</x:v>
      </x:c>
      <x:c r="Q717" s="11" t="n">
        <x:v>0</x:v>
      </x:c>
      <x:c r="R717" s="8" t="n">
        <x:v>45398</x:v>
      </x:c>
      <x:c r="S717" s="4" t="str">
        <x:v>Retained</x:v>
      </x:c>
      <x:c r="T717" s="10" t="n">
        <x:v>0.145833</x:v>
      </x:c>
      <x:c r="U717" s="4" t="str">
        <x:v>Train</x:v>
      </x:c>
    </x:row>
    <x:row r="718" ht="34" customHeight="1">
      <x:c r="A718" s="4" t="str">
        <x:v>RS-00717</x:v>
      </x:c>
      <x:c r="B718" s="8" t="n">
        <x:v>45339</x:v>
      </x:c>
      <x:c r="C718" s="4" t="str">
        <x:v>PRJ-017</x:v>
      </x:c>
      <x:c r="D718" s="4" t="str">
        <x:v>Apartment</x:v>
      </x:c>
      <x:c r="E718" s="4" t="str">
        <x:v>Booked</x:v>
      </x:c>
      <x:c r="F718" s="4" t="str">
        <x:v>CUS-00717</x:v>
      </x:c>
      <x:c r="G718" s="4" t="str">
        <x:v>UNIT-00717</x:v>
      </x:c>
      <x:c r="H718" s="9" t="n">
        <x:v>8700000</x:v>
      </x:c>
      <x:c r="I718" s="10" t="n">
        <x:v>0.05</x:v>
      </x:c>
      <x:c r="J718" s="11" t="n">
        <x:v>4</x:v>
      </x:c>
      <x:c r="K718" s="11" t="n">
        <x:v>2</x:v>
      </x:c>
      <x:c r="L718" s="11" t="n">
        <x:v>0</x:v>
      </x:c>
      <x:c r="M718" s="9" t="n">
        <x:f>ROUND(H718*(1-I718),2)</x:f>
        <x:v>8265000</x:v>
      </x:c>
      <x:c r="N718" s="4" t="str">
        <x:v>Sales manager</x:v>
      </x:c>
      <x:c r="O718" s="4" t="str">
        <x:v>BOOK-00717</x:v>
      </x:c>
      <x:c r="P718" s="9" t="n">
        <x:v>826500</x:v>
      </x:c>
      <x:c r="Q718" s="11" t="n">
        <x:v>0</x:v>
      </x:c>
      <x:c r="R718" s="8" t="n">
        <x:v>45399</x:v>
      </x:c>
      <x:c r="S718" s="4" t="str">
        <x:v>Retained</x:v>
      </x:c>
      <x:c r="T718" s="10" t="n">
        <x:v>0.226277</x:v>
      </x:c>
      <x:c r="U718" s="4" t="str">
        <x:v>Train</x:v>
      </x:c>
    </x:row>
    <x:row r="719" ht="34" customHeight="1">
      <x:c r="A719" s="4" t="str">
        <x:v>RS-00718</x:v>
      </x:c>
      <x:c r="B719" s="8" t="n">
        <x:v>45340</x:v>
      </x:c>
      <x:c r="C719" s="4" t="str">
        <x:v>PRJ-018</x:v>
      </x:c>
      <x:c r="D719" s="4" t="str">
        <x:v>Retail</x:v>
      </x:c>
      <x:c r="E719" s="4" t="str">
        <x:v>Enquiry</x:v>
      </x:c>
      <x:c r="F719" s="4" t="str">
        <x:v>CUS-00718</x:v>
      </x:c>
      <x:c r="G719" s="4" t="str">
        <x:v>UNIT-00718</x:v>
      </x:c>
      <x:c r="H719" s="9" t="n">
        <x:v>16400000</x:v>
      </x:c>
      <x:c r="I719" s="10" t="n">
        <x:v>0.08</x:v>
      </x:c>
      <x:c r="J719" s="11" t="n">
        <x:v>5</x:v>
      </x:c>
      <x:c r="K719" s="11" t="n">
        <x:v>10</x:v>
      </x:c>
      <x:c r="L719" s="11" t="n">
        <x:v>0</x:v>
      </x:c>
      <x:c r="M719" s="9" t="n">
        <x:f>ROUND(H719*(1-I719),2)</x:f>
        <x:v>15088000</x:v>
      </x:c>
      <x:c r="N719" s="4" t="str">
        <x:v>Sales head</x:v>
      </x:c>
      <x:c r="O719" s="4"/>
      <x:c r="P719" s="9" t="n">
        <x:v>0</x:v>
      </x:c>
      <x:c r="Q719" s="11" t="n">
        <x:v>0</x:v>
      </x:c>
      <x:c r="R719" s="8" t="n">
        <x:v>45400</x:v>
      </x:c>
      <x:c r="S719" s="4" t="str">
        <x:v>Retained</x:v>
      </x:c>
      <x:c r="T719" s="10" t="n">
        <x:v>0.226277</x:v>
      </x:c>
      <x:c r="U719" s="4" t="str">
        <x:v>Train</x:v>
      </x:c>
    </x:row>
    <x:row r="720" ht="34" customHeight="1">
      <x:c r="A720" s="4" t="str">
        <x:v>RS-00719</x:v>
      </x:c>
      <x:c r="B720" s="8" t="n">
        <x:v>45341</x:v>
      </x:c>
      <x:c r="C720" s="4" t="str">
        <x:v>PRJ-019</x:v>
      </x:c>
      <x:c r="D720" s="4" t="str">
        <x:v>Villa</x:v>
      </x:c>
      <x:c r="E720" s="4" t="str">
        <x:v>Enquiry</x:v>
      </x:c>
      <x:c r="F720" s="4" t="str">
        <x:v>CUS-00719</x:v>
      </x:c>
      <x:c r="G720" s="4" t="str">
        <x:v>UNIT-00719</x:v>
      </x:c>
      <x:c r="H720" s="9" t="n">
        <x:v>9900000</x:v>
      </x:c>
      <x:c r="I720" s="10" t="n">
        <x:v>0.09</x:v>
      </x:c>
      <x:c r="J720" s="11" t="n">
        <x:v>5</x:v>
      </x:c>
      <x:c r="K720" s="11" t="n">
        <x:v>4</x:v>
      </x:c>
      <x:c r="L720" s="11" t="n">
        <x:v>0</x:v>
      </x:c>
      <x:c r="M720" s="9" t="n">
        <x:f>ROUND(H720*(1-I720),2)</x:f>
        <x:v>9009000</x:v>
      </x:c>
      <x:c r="N720" s="4" t="str">
        <x:v>Sales head</x:v>
      </x:c>
      <x:c r="O720" s="4"/>
      <x:c r="P720" s="9" t="n">
        <x:v>0</x:v>
      </x:c>
      <x:c r="Q720" s="11" t="n">
        <x:v>0</x:v>
      </x:c>
      <x:c r="R720" s="8" t="n">
        <x:v>45401</x:v>
      </x:c>
      <x:c r="S720" s="4" t="str">
        <x:v>Retained</x:v>
      </x:c>
      <x:c r="T720" s="10" t="n">
        <x:v>0.226277</x:v>
      </x:c>
      <x:c r="U720" s="4" t="str">
        <x:v>Train</x:v>
      </x:c>
    </x:row>
    <x:row r="721" ht="34" customHeight="1">
      <x:c r="A721" s="4" t="str">
        <x:v>RS-00720</x:v>
      </x:c>
      <x:c r="B721" s="8" t="n">
        <x:v>45342</x:v>
      </x:c>
      <x:c r="C721" s="4" t="str">
        <x:v>PRJ-020</x:v>
      </x:c>
      <x:c r="D721" s="4" t="str">
        <x:v>Office</x:v>
      </x:c>
      <x:c r="E721" s="4" t="str">
        <x:v>Agreement signed</x:v>
      </x:c>
      <x:c r="F721" s="4" t="str">
        <x:v>CUS-00720</x:v>
      </x:c>
      <x:c r="G721" s="4" t="str">
        <x:v>UNIT-00720</x:v>
      </x:c>
      <x:c r="H721" s="9" t="n">
        <x:v>5900000</x:v>
      </x:c>
      <x:c r="I721" s="10" t="n">
        <x:v>0.05</x:v>
      </x:c>
      <x:c r="J721" s="11" t="n">
        <x:v>9</x:v>
      </x:c>
      <x:c r="K721" s="11" t="n">
        <x:v>5</x:v>
      </x:c>
      <x:c r="L721" s="11" t="n">
        <x:v>0</x:v>
      </x:c>
      <x:c r="M721" s="9" t="n">
        <x:f>ROUND(H721*(1-I721),2)</x:f>
        <x:v>5605000</x:v>
      </x:c>
      <x:c r="N721" s="4" t="str">
        <x:v>Sales manager</x:v>
      </x:c>
      <x:c r="O721" s="4" t="str">
        <x:v>BOOK-00720</x:v>
      </x:c>
      <x:c r="P721" s="9" t="n">
        <x:v>560500</x:v>
      </x:c>
      <x:c r="Q721" s="11" t="n">
        <x:v>0</x:v>
      </x:c>
      <x:c r="R721" s="8" t="n">
        <x:v>45402</x:v>
      </x:c>
      <x:c r="S721" s="4" t="str">
        <x:v>Retained</x:v>
      </x:c>
      <x:c r="T721" s="10" t="n">
        <x:v>0.310195</x:v>
      </x:c>
      <x:c r="U721" s="4" t="str">
        <x:v>Train</x:v>
      </x:c>
    </x:row>
    <x:row r="722" ht="34" customHeight="1">
      <x:c r="A722" s="4" t="str">
        <x:v>RS-00721</x:v>
      </x:c>
      <x:c r="B722" s="8" t="n">
        <x:v>45343</x:v>
      </x:c>
      <x:c r="C722" s="4" t="str">
        <x:v>PRJ-001</x:v>
      </x:c>
      <x:c r="D722" s="4" t="str">
        <x:v>Office</x:v>
      </x:c>
      <x:c r="E722" s="4" t="str">
        <x:v>Enquiry</x:v>
      </x:c>
      <x:c r="F722" s="4" t="str">
        <x:v>CUS-00721</x:v>
      </x:c>
      <x:c r="G722" s="4" t="str">
        <x:v>UNIT-00721</x:v>
      </x:c>
      <x:c r="H722" s="9" t="n">
        <x:v>21300000</x:v>
      </x:c>
      <x:c r="I722" s="10" t="n">
        <x:v>0.12</x:v>
      </x:c>
      <x:c r="J722" s="11" t="n">
        <x:v>1</x:v>
      </x:c>
      <x:c r="K722" s="11" t="n">
        <x:v>5</x:v>
      </x:c>
      <x:c r="L722" s="11" t="n">
        <x:v>1</x:v>
      </x:c>
      <x:c r="M722" s="9" t="n">
        <x:f>ROUND(H722*(1-I722),2)</x:f>
        <x:v>18744000</x:v>
      </x:c>
      <x:c r="N722" s="4" t="str">
        <x:v>Sales head</x:v>
      </x:c>
      <x:c r="O722" s="4"/>
      <x:c r="P722" s="9" t="n">
        <x:v>0</x:v>
      </x:c>
      <x:c r="Q722" s="11" t="n">
        <x:v>0</x:v>
      </x:c>
      <x:c r="R722" s="8" t="n">
        <x:v>45403</x:v>
      </x:c>
      <x:c r="S722" s="4" t="str">
        <x:v>Retained</x:v>
      </x:c>
      <x:c r="T722" s="10" t="n">
        <x:v>0.145833</x:v>
      </x:c>
      <x:c r="U722" s="4" t="str">
        <x:v>Train</x:v>
      </x:c>
    </x:row>
    <x:row r="723" ht="34" customHeight="1">
      <x:c r="A723" s="4" t="str">
        <x:v>RS-00722</x:v>
      </x:c>
      <x:c r="B723" s="8" t="n">
        <x:v>45344</x:v>
      </x:c>
      <x:c r="C723" s="4" t="str">
        <x:v>PRJ-002</x:v>
      </x:c>
      <x:c r="D723" s="4" t="str">
        <x:v>Villa</x:v>
      </x:c>
      <x:c r="E723" s="4" t="str">
        <x:v>Enquiry</x:v>
      </x:c>
      <x:c r="F723" s="4" t="str">
        <x:v>CUS-00722</x:v>
      </x:c>
      <x:c r="G723" s="4" t="str">
        <x:v>UNIT-00722</x:v>
      </x:c>
      <x:c r="H723" s="9" t="n">
        <x:v>13400000</x:v>
      </x:c>
      <x:c r="I723" s="10" t="n">
        <x:v>0.11</x:v>
      </x:c>
      <x:c r="J723" s="11" t="n">
        <x:v>0</x:v>
      </x:c>
      <x:c r="K723" s="11" t="n">
        <x:v>4</x:v>
      </x:c>
      <x:c r="L723" s="11" t="n">
        <x:v>1</x:v>
      </x:c>
      <x:c r="M723" s="9" t="n">
        <x:f>ROUND(H723*(1-I723),2)</x:f>
        <x:v>11926000</x:v>
      </x:c>
      <x:c r="N723" s="4" t="str">
        <x:v>Sales head</x:v>
      </x:c>
      <x:c r="O723" s="4"/>
      <x:c r="P723" s="9" t="n">
        <x:v>0</x:v>
      </x:c>
      <x:c r="Q723" s="11" t="n">
        <x:v>0</x:v>
      </x:c>
      <x:c r="R723" s="8" t="n">
        <x:v>45404</x:v>
      </x:c>
      <x:c r="S723" s="4" t="str">
        <x:v>Retained</x:v>
      </x:c>
      <x:c r="T723" s="10" t="n">
        <x:v>0.145833</x:v>
      </x:c>
      <x:c r="U723" s="4" t="str">
        <x:v>Train</x:v>
      </x:c>
    </x:row>
    <x:row r="724" ht="34" customHeight="1">
      <x:c r="A724" s="4" t="str">
        <x:v>RS-00723</x:v>
      </x:c>
      <x:c r="B724" s="8" t="n">
        <x:v>45345</x:v>
      </x:c>
      <x:c r="C724" s="4" t="str">
        <x:v>PRJ-003</x:v>
      </x:c>
      <x:c r="D724" s="4" t="str">
        <x:v>Retail</x:v>
      </x:c>
      <x:c r="E724" s="4" t="str">
        <x:v>Agreement signed</x:v>
      </x:c>
      <x:c r="F724" s="4" t="str">
        <x:v>CUS-00723</x:v>
      </x:c>
      <x:c r="G724" s="4" t="str">
        <x:v>UNIT-00723</x:v>
      </x:c>
      <x:c r="H724" s="9" t="n">
        <x:v>5600000</x:v>
      </x:c>
      <x:c r="I724" s="10" t="n">
        <x:v>0.1</x:v>
      </x:c>
      <x:c r="J724" s="11" t="n">
        <x:v>11</x:v>
      </x:c>
      <x:c r="K724" s="11" t="n">
        <x:v>3</x:v>
      </x:c>
      <x:c r="L724" s="11" t="n">
        <x:v>1</x:v>
      </x:c>
      <x:c r="M724" s="9" t="n">
        <x:f>ROUND(H724*(1-I724),2)</x:f>
        <x:v>5040000</x:v>
      </x:c>
      <x:c r="N724" s="4" t="str">
        <x:v>Sales head</x:v>
      </x:c>
      <x:c r="O724" s="4" t="str">
        <x:v>BOOK-00723</x:v>
      </x:c>
      <x:c r="P724" s="9" t="n">
        <x:v>2520000</x:v>
      </x:c>
      <x:c r="Q724" s="11" t="n">
        <x:v>0</x:v>
      </x:c>
      <x:c r="R724" s="8" t="n">
        <x:v>45405</x:v>
      </x:c>
      <x:c r="S724" s="4" t="str">
        <x:v>Retained</x:v>
      </x:c>
      <x:c r="T724" s="10" t="n">
        <x:v>0.351536</x:v>
      </x:c>
      <x:c r="U724" s="4" t="str">
        <x:v>Train</x:v>
      </x:c>
    </x:row>
    <x:row r="725" ht="34" customHeight="1">
      <x:c r="A725" s="4" t="str">
        <x:v>RS-00724</x:v>
      </x:c>
      <x:c r="B725" s="8" t="n">
        <x:v>45346</x:v>
      </x:c>
      <x:c r="C725" s="4" t="str">
        <x:v>PRJ-004</x:v>
      </x:c>
      <x:c r="D725" s="4" t="str">
        <x:v>Office</x:v>
      </x:c>
      <x:c r="E725" s="4" t="str">
        <x:v>Booked</x:v>
      </x:c>
      <x:c r="F725" s="4" t="str">
        <x:v>CUS-00724</x:v>
      </x:c>
      <x:c r="G725" s="4" t="str">
        <x:v>UNIT-00724</x:v>
      </x:c>
      <x:c r="H725" s="9" t="n">
        <x:v>8700000</x:v>
      </x:c>
      <x:c r="I725" s="10" t="n">
        <x:v>0.01</x:v>
      </x:c>
      <x:c r="J725" s="11" t="n">
        <x:v>0</x:v>
      </x:c>
      <x:c r="K725" s="11" t="n">
        <x:v>10</x:v>
      </x:c>
      <x:c r="L725" s="11" t="n">
        <x:v>1</x:v>
      </x:c>
      <x:c r="M725" s="9" t="n">
        <x:f>ROUND(H725*(1-I725),2)</x:f>
        <x:v>8613000</x:v>
      </x:c>
      <x:c r="N725" s="4" t="str">
        <x:v>Sales manager</x:v>
      </x:c>
      <x:c r="O725" s="4" t="str">
        <x:v>BOOK-00724</x:v>
      </x:c>
      <x:c r="P725" s="9" t="n">
        <x:v>2153250</x:v>
      </x:c>
      <x:c r="Q725" s="11" t="n">
        <x:v>0</x:v>
      </x:c>
      <x:c r="R725" s="8" t="n">
        <x:v>45406</x:v>
      </x:c>
      <x:c r="S725" s="4" t="str">
        <x:v>Retained</x:v>
      </x:c>
      <x:c r="T725" s="10" t="n">
        <x:v>0.072165</x:v>
      </x:c>
      <x:c r="U725" s="4" t="str">
        <x:v>Train</x:v>
      </x:c>
    </x:row>
    <x:row r="726" ht="34" customHeight="1">
      <x:c r="A726" s="4" t="str">
        <x:v>RS-00725</x:v>
      </x:c>
      <x:c r="B726" s="8" t="n">
        <x:v>45347</x:v>
      </x:c>
      <x:c r="C726" s="4" t="str">
        <x:v>PRJ-005</x:v>
      </x:c>
      <x:c r="D726" s="4" t="str">
        <x:v>Office</x:v>
      </x:c>
      <x:c r="E726" s="4" t="str">
        <x:v>Booked</x:v>
      </x:c>
      <x:c r="F726" s="4" t="str">
        <x:v>CUS-00725</x:v>
      </x:c>
      <x:c r="G726" s="4" t="str">
        <x:v>UNIT-00725</x:v>
      </x:c>
      <x:c r="H726" s="9" t="n">
        <x:v>9300000</x:v>
      </x:c>
      <x:c r="I726" s="10" t="n">
        <x:v>0.03</x:v>
      </x:c>
      <x:c r="J726" s="11" t="n">
        <x:v>11</x:v>
      </x:c>
      <x:c r="K726" s="11" t="n">
        <x:v>4</x:v>
      </x:c>
      <x:c r="L726" s="11" t="n">
        <x:v>0</x:v>
      </x:c>
      <x:c r="M726" s="9" t="n">
        <x:f>ROUND(H726*(1-I726),2)</x:f>
        <x:v>9021000</x:v>
      </x:c>
      <x:c r="N726" s="4" t="str">
        <x:v>Sales manager</x:v>
      </x:c>
      <x:c r="O726" s="4" t="str">
        <x:v>BOOK-00725</x:v>
      </x:c>
      <x:c r="P726" s="9" t="n">
        <x:v>4510500</x:v>
      </x:c>
      <x:c r="Q726" s="11" t="n">
        <x:v>0</x:v>
      </x:c>
      <x:c r="R726" s="8" t="n">
        <x:v>45407</x:v>
      </x:c>
      <x:c r="S726" s="4" t="str">
        <x:v>Retained</x:v>
      </x:c>
      <x:c r="T726" s="10" t="n">
        <x:v>0.351536</x:v>
      </x:c>
      <x:c r="U726" s="4" t="str">
        <x:v>Train</x:v>
      </x:c>
    </x:row>
    <x:row r="727" ht="34" customHeight="1">
      <x:c r="A727" s="4" t="str">
        <x:v>RS-00726</x:v>
      </x:c>
      <x:c r="B727" s="8" t="n">
        <x:v>45348</x:v>
      </x:c>
      <x:c r="C727" s="4" t="str">
        <x:v>PRJ-006</x:v>
      </x:c>
      <x:c r="D727" s="4" t="str">
        <x:v>Apartment</x:v>
      </x:c>
      <x:c r="E727" s="4" t="str">
        <x:v>Booked</x:v>
      </x:c>
      <x:c r="F727" s="4" t="str">
        <x:v>CUS-00726</x:v>
      </x:c>
      <x:c r="G727" s="4" t="str">
        <x:v>UNIT-00726</x:v>
      </x:c>
      <x:c r="H727" s="9" t="n">
        <x:v>8900000</x:v>
      </x:c>
      <x:c r="I727" s="10" t="n">
        <x:v>0.09</x:v>
      </x:c>
      <x:c r="J727" s="11" t="n">
        <x:v>6</x:v>
      </x:c>
      <x:c r="K727" s="11" t="n">
        <x:v>6</x:v>
      </x:c>
      <x:c r="L727" s="11" t="n">
        <x:v>1</x:v>
      </x:c>
      <x:c r="M727" s="9" t="n">
        <x:f>ROUND(H727*(1-I727),2)</x:f>
        <x:v>8099000</x:v>
      </x:c>
      <x:c r="N727" s="4" t="str">
        <x:v>Sales head</x:v>
      </x:c>
      <x:c r="O727" s="4" t="str">
        <x:v>BOOK-00726</x:v>
      </x:c>
      <x:c r="P727" s="9" t="n">
        <x:v>8099000</x:v>
      </x:c>
      <x:c r="Q727" s="11" t="n">
        <x:v>0</x:v>
      </x:c>
      <x:c r="R727" s="8" t="n">
        <x:v>45408</x:v>
      </x:c>
      <x:c r="S727" s="4" t="str">
        <x:v>Retained</x:v>
      </x:c>
      <x:c r="T727" s="10" t="n">
        <x:v>0.291946</x:v>
      </x:c>
      <x:c r="U727" s="4" t="str">
        <x:v>Train</x:v>
      </x:c>
    </x:row>
    <x:row r="728" ht="34" customHeight="1">
      <x:c r="A728" s="4" t="str">
        <x:v>RS-00727</x:v>
      </x:c>
      <x:c r="B728" s="8" t="n">
        <x:v>45349</x:v>
      </x:c>
      <x:c r="C728" s="4" t="str">
        <x:v>PRJ-007</x:v>
      </x:c>
      <x:c r="D728" s="4" t="str">
        <x:v>Apartment</x:v>
      </x:c>
      <x:c r="E728" s="4" t="str">
        <x:v>Reserved</x:v>
      </x:c>
      <x:c r="F728" s="4" t="str">
        <x:v>CUS-00727</x:v>
      </x:c>
      <x:c r="G728" s="4" t="str">
        <x:v>UNIT-00727</x:v>
      </x:c>
      <x:c r="H728" s="9" t="n">
        <x:v>15500000</x:v>
      </x:c>
      <x:c r="I728" s="10" t="n">
        <x:v>0</x:v>
      </x:c>
      <x:c r="J728" s="11" t="n">
        <x:v>10</x:v>
      </x:c>
      <x:c r="K728" s="11" t="n">
        <x:v>9</x:v>
      </x:c>
      <x:c r="L728" s="11" t="n">
        <x:v>0</x:v>
      </x:c>
      <x:c r="M728" s="9" t="n">
        <x:f>ROUND(H728*(1-I728),2)</x:f>
        <x:v>15500000</x:v>
      </x:c>
      <x:c r="N728" s="4" t="str">
        <x:v>Sales manager</x:v>
      </x:c>
      <x:c r="O728" s="4"/>
      <x:c r="P728" s="9" t="n">
        <x:v>0</x:v>
      </x:c>
      <x:c r="Q728" s="11" t="n">
        <x:v>0</x:v>
      </x:c>
      <x:c r="R728" s="8" t="n">
        <x:v>45409</x:v>
      </x:c>
      <x:c r="S728" s="4" t="str">
        <x:v>Retained</x:v>
      </x:c>
      <x:c r="T728" s="10" t="n">
        <x:v>0.305556</x:v>
      </x:c>
      <x:c r="U728" s="4" t="str">
        <x:v>Train</x:v>
      </x:c>
    </x:row>
    <x:row r="729" ht="34" customHeight="1">
      <x:c r="A729" s="4" t="str">
        <x:v>RS-00728</x:v>
      </x:c>
      <x:c r="B729" s="8" t="n">
        <x:v>45350</x:v>
      </x:c>
      <x:c r="C729" s="4" t="str">
        <x:v>PRJ-008</x:v>
      </x:c>
      <x:c r="D729" s="4" t="str">
        <x:v>Villa</x:v>
      </x:c>
      <x:c r="E729" s="4" t="str">
        <x:v>Handed over</x:v>
      </x:c>
      <x:c r="F729" s="4" t="str">
        <x:v>CUS-00728</x:v>
      </x:c>
      <x:c r="G729" s="4" t="str">
        <x:v>UNIT-00728</x:v>
      </x:c>
      <x:c r="H729" s="9" t="n">
        <x:v>3600000</x:v>
      </x:c>
      <x:c r="I729" s="10" t="n">
        <x:v>0.11</x:v>
      </x:c>
      <x:c r="J729" s="11" t="n">
        <x:v>2</x:v>
      </x:c>
      <x:c r="K729" s="11" t="n">
        <x:v>9</x:v>
      </x:c>
      <x:c r="L729" s="11" t="n">
        <x:v>1</x:v>
      </x:c>
      <x:c r="M729" s="9" t="n">
        <x:f>ROUND(H729*(1-I729),2)</x:f>
        <x:v>3204000</x:v>
      </x:c>
      <x:c r="N729" s="4" t="str">
        <x:v>Sales head</x:v>
      </x:c>
      <x:c r="O729" s="4" t="str">
        <x:v>BOOK-00728</x:v>
      </x:c>
      <x:c r="P729" s="9" t="n">
        <x:v>1602000</x:v>
      </x:c>
      <x:c r="Q729" s="11" t="n">
        <x:v>0</x:v>
      </x:c>
      <x:c r="R729" s="8" t="n">
        <x:v>45410</x:v>
      </x:c>
      <x:c r="S729" s="4" t="str">
        <x:v>Retained</x:v>
      </x:c>
      <x:c r="T729" s="10" t="n">
        <x:v>0.145833</x:v>
      </x:c>
      <x:c r="U729" s="4" t="str">
        <x:v>Train</x:v>
      </x:c>
    </x:row>
    <x:row r="730" ht="34" customHeight="1">
      <x:c r="A730" s="4" t="str">
        <x:v>RS-00729</x:v>
      </x:c>
      <x:c r="B730" s="8" t="n">
        <x:v>45323</x:v>
      </x:c>
      <x:c r="C730" s="4" t="str">
        <x:v>PRJ-009</x:v>
      </x:c>
      <x:c r="D730" s="4" t="str">
        <x:v>Office</x:v>
      </x:c>
      <x:c r="E730" s="4" t="str">
        <x:v>Enquiry</x:v>
      </x:c>
      <x:c r="F730" s="4" t="str">
        <x:v>CUS-00729</x:v>
      </x:c>
      <x:c r="G730" s="4" t="str">
        <x:v>UNIT-00729</x:v>
      </x:c>
      <x:c r="H730" s="9" t="n">
        <x:v>17000000</x:v>
      </x:c>
      <x:c r="I730" s="10" t="n">
        <x:v>0.07</x:v>
      </x:c>
      <x:c r="J730" s="11" t="n">
        <x:v>8</x:v>
      </x:c>
      <x:c r="K730" s="11" t="n">
        <x:v>10</x:v>
      </x:c>
      <x:c r="L730" s="11" t="n">
        <x:v>0</x:v>
      </x:c>
      <x:c r="M730" s="9" t="n">
        <x:f>ROUND(H730*(1-I730),2)</x:f>
        <x:v>15810000</x:v>
      </x:c>
      <x:c r="N730" s="4" t="str">
        <x:v>Sales manager</x:v>
      </x:c>
      <x:c r="O730" s="4"/>
      <x:c r="P730" s="9" t="n">
        <x:v>0</x:v>
      </x:c>
      <x:c r="Q730" s="11" t="n">
        <x:v>0</x:v>
      </x:c>
      <x:c r="R730" s="8" t="n">
        <x:v>45383</x:v>
      </x:c>
      <x:c r="S730" s="4" t="str">
        <x:v>Retained</x:v>
      </x:c>
      <x:c r="T730" s="10" t="n">
        <x:v>0.310195</x:v>
      </x:c>
      <x:c r="U730" s="4" t="str">
        <x:v>Train</x:v>
      </x:c>
    </x:row>
    <x:row r="731" ht="34" customHeight="1">
      <x:c r="A731" s="4" t="str">
        <x:v>RS-00730</x:v>
      </x:c>
      <x:c r="B731" s="8" t="n">
        <x:v>45324</x:v>
      </x:c>
      <x:c r="C731" s="4" t="str">
        <x:v>PRJ-010</x:v>
      </x:c>
      <x:c r="D731" s="4" t="str">
        <x:v>Apartment</x:v>
      </x:c>
      <x:c r="E731" s="4" t="str">
        <x:v>Reserved</x:v>
      </x:c>
      <x:c r="F731" s="4" t="str">
        <x:v>CUS-00730</x:v>
      </x:c>
      <x:c r="G731" s="4" t="str">
        <x:v>UNIT-00730</x:v>
      </x:c>
      <x:c r="H731" s="9" t="n">
        <x:v>3600000</x:v>
      </x:c>
      <x:c r="I731" s="10" t="n">
        <x:v>0.06</x:v>
      </x:c>
      <x:c r="J731" s="11" t="n">
        <x:v>11</x:v>
      </x:c>
      <x:c r="K731" s="11" t="n">
        <x:v>0</x:v>
      </x:c>
      <x:c r="L731" s="11" t="n">
        <x:v>1</x:v>
      </x:c>
      <x:c r="M731" s="9" t="n">
        <x:f>ROUND(H731*(1-I731),2)</x:f>
        <x:v>3384000</x:v>
      </x:c>
      <x:c r="N731" s="4" t="str">
        <x:v>Sales manager</x:v>
      </x:c>
      <x:c r="O731" s="4"/>
      <x:c r="P731" s="9" t="n">
        <x:v>0</x:v>
      </x:c>
      <x:c r="Q731" s="11" t="n">
        <x:v>1</x:v>
      </x:c>
      <x:c r="R731" s="8" t="n">
        <x:v>45384</x:v>
      </x:c>
      <x:c r="S731" s="4" t="str">
        <x:v>Lost / cancelled</x:v>
      </x:c>
      <x:c r="T731" s="10" t="n">
        <x:v>0.351536</x:v>
      </x:c>
      <x:c r="U731" s="4" t="str">
        <x:v>Train</x:v>
      </x:c>
    </x:row>
    <x:row r="732" ht="34" customHeight="1">
      <x:c r="A732" s="4" t="str">
        <x:v>RS-00731</x:v>
      </x:c>
      <x:c r="B732" s="8" t="n">
        <x:v>45325</x:v>
      </x:c>
      <x:c r="C732" s="4" t="str">
        <x:v>PRJ-011</x:v>
      </x:c>
      <x:c r="D732" s="4" t="str">
        <x:v>Apartment</x:v>
      </x:c>
      <x:c r="E732" s="4" t="str">
        <x:v>Booked</x:v>
      </x:c>
      <x:c r="F732" s="4" t="str">
        <x:v>CUS-00731</x:v>
      </x:c>
      <x:c r="G732" s="4" t="str">
        <x:v>UNIT-00731</x:v>
      </x:c>
      <x:c r="H732" s="9" t="n">
        <x:v>3800000</x:v>
      </x:c>
      <x:c r="I732" s="10" t="n">
        <x:v>0.09</x:v>
      </x:c>
      <x:c r="J732" s="11" t="n">
        <x:v>5</x:v>
      </x:c>
      <x:c r="K732" s="11" t="n">
        <x:v>10</x:v>
      </x:c>
      <x:c r="L732" s="11" t="n">
        <x:v>1</x:v>
      </x:c>
      <x:c r="M732" s="9" t="n">
        <x:f>ROUND(H732*(1-I732),2)</x:f>
        <x:v>3458000</x:v>
      </x:c>
      <x:c r="N732" s="4" t="str">
        <x:v>Sales head</x:v>
      </x:c>
      <x:c r="O732" s="4" t="str">
        <x:v>BOOK-00731</x:v>
      </x:c>
      <x:c r="P732" s="9" t="n">
        <x:v>345800</x:v>
      </x:c>
      <x:c r="Q732" s="11" t="n">
        <x:v>0</x:v>
      </x:c>
      <x:c r="R732" s="8" t="n">
        <x:v>45385</x:v>
      </x:c>
      <x:c r="S732" s="4" t="str">
        <x:v>Retained</x:v>
      </x:c>
      <x:c r="T732" s="10" t="n">
        <x:v>0.291946</x:v>
      </x:c>
      <x:c r="U732" s="4" t="str">
        <x:v>Train</x:v>
      </x:c>
    </x:row>
    <x:row r="733" ht="34" customHeight="1">
      <x:c r="A733" s="4" t="str">
        <x:v>RS-00732</x:v>
      </x:c>
      <x:c r="B733" s="8" t="n">
        <x:v>45326</x:v>
      </x:c>
      <x:c r="C733" s="4" t="str">
        <x:v>PRJ-012</x:v>
      </x:c>
      <x:c r="D733" s="4" t="str">
        <x:v>Apartment</x:v>
      </x:c>
      <x:c r="E733" s="4" t="str">
        <x:v>Agreement signed</x:v>
      </x:c>
      <x:c r="F733" s="4" t="str">
        <x:v>CUS-00732</x:v>
      </x:c>
      <x:c r="G733" s="4" t="str">
        <x:v>UNIT-00732</x:v>
      </x:c>
      <x:c r="H733" s="9" t="n">
        <x:v>7700000</x:v>
      </x:c>
      <x:c r="I733" s="10" t="n">
        <x:v>0.02</x:v>
      </x:c>
      <x:c r="J733" s="11" t="n">
        <x:v>4</x:v>
      </x:c>
      <x:c r="K733" s="11" t="n">
        <x:v>0</x:v>
      </x:c>
      <x:c r="L733" s="11" t="n">
        <x:v>0</x:v>
      </x:c>
      <x:c r="M733" s="9" t="n">
        <x:f>ROUND(H733*(1-I733),2)</x:f>
        <x:v>7546000</x:v>
      </x:c>
      <x:c r="N733" s="4" t="str">
        <x:v>Sales manager</x:v>
      </x:c>
      <x:c r="O733" s="4" t="str">
        <x:v>BOOK-00732</x:v>
      </x:c>
      <x:c r="P733" s="9" t="n">
        <x:v>7546000</x:v>
      </x:c>
      <x:c r="Q733" s="11" t="n">
        <x:v>0</x:v>
      </x:c>
      <x:c r="R733" s="8" t="n">
        <x:v>45386</x:v>
      </x:c>
      <x:c r="S733" s="4" t="str">
        <x:v>Retained</x:v>
      </x:c>
      <x:c r="T733" s="10" t="n">
        <x:v>0.298969</x:v>
      </x:c>
      <x:c r="U733" s="4" t="str">
        <x:v>Train</x:v>
      </x:c>
    </x:row>
    <x:row r="734" ht="34" customHeight="1">
      <x:c r="A734" s="4" t="str">
        <x:v>RS-00733</x:v>
      </x:c>
      <x:c r="B734" s="8" t="n">
        <x:v>45327</x:v>
      </x:c>
      <x:c r="C734" s="4" t="str">
        <x:v>PRJ-013</x:v>
      </x:c>
      <x:c r="D734" s="4" t="str">
        <x:v>Apartment</x:v>
      </x:c>
      <x:c r="E734" s="4" t="str">
        <x:v>Agreement signed</x:v>
      </x:c>
      <x:c r="F734" s="4" t="str">
        <x:v>CUS-00733</x:v>
      </x:c>
      <x:c r="G734" s="4" t="str">
        <x:v>UNIT-00733</x:v>
      </x:c>
      <x:c r="H734" s="9" t="n">
        <x:v>6000000</x:v>
      </x:c>
      <x:c r="I734" s="10" t="n">
        <x:v>0.03</x:v>
      </x:c>
      <x:c r="J734" s="11" t="n">
        <x:v>5</x:v>
      </x:c>
      <x:c r="K734" s="11" t="n">
        <x:v>9</x:v>
      </x:c>
      <x:c r="L734" s="11" t="n">
        <x:v>0</x:v>
      </x:c>
      <x:c r="M734" s="9" t="n">
        <x:f>ROUND(H734*(1-I734),2)</x:f>
        <x:v>5820000</x:v>
      </x:c>
      <x:c r="N734" s="4" t="str">
        <x:v>Sales manager</x:v>
      </x:c>
      <x:c r="O734" s="4" t="str">
        <x:v>BOOK-00733</x:v>
      </x:c>
      <x:c r="P734" s="9" t="n">
        <x:v>582000</x:v>
      </x:c>
      <x:c r="Q734" s="11" t="n">
        <x:v>0</x:v>
      </x:c>
      <x:c r="R734" s="8" t="n">
        <x:v>45387</x:v>
      </x:c>
      <x:c r="S734" s="4" t="str">
        <x:v>Retained</x:v>
      </x:c>
      <x:c r="T734" s="10" t="n">
        <x:v>0.145299</x:v>
      </x:c>
      <x:c r="U734" s="4" t="str">
        <x:v>Train</x:v>
      </x:c>
    </x:row>
    <x:row r="735" ht="34" customHeight="1">
      <x:c r="A735" s="4" t="str">
        <x:v>RS-00734</x:v>
      </x:c>
      <x:c r="B735" s="8" t="n">
        <x:v>45328</x:v>
      </x:c>
      <x:c r="C735" s="4" t="str">
        <x:v>PRJ-014</x:v>
      </x:c>
      <x:c r="D735" s="4" t="str">
        <x:v>Villa</x:v>
      </x:c>
      <x:c r="E735" s="4" t="str">
        <x:v>Agreement signed</x:v>
      </x:c>
      <x:c r="F735" s="4" t="str">
        <x:v>CUS-00734</x:v>
      </x:c>
      <x:c r="G735" s="4" t="str">
        <x:v>UNIT-00734</x:v>
      </x:c>
      <x:c r="H735" s="9" t="n">
        <x:v>17400000</x:v>
      </x:c>
      <x:c r="I735" s="10" t="n">
        <x:v>0.07</x:v>
      </x:c>
      <x:c r="J735" s="11" t="n">
        <x:v>4</x:v>
      </x:c>
      <x:c r="K735" s="11" t="n">
        <x:v>1</x:v>
      </x:c>
      <x:c r="L735" s="11" t="n">
        <x:v>0</x:v>
      </x:c>
      <x:c r="M735" s="9" t="n">
        <x:f>ROUND(H735*(1-I735),2)</x:f>
        <x:v>16182000</x:v>
      </x:c>
      <x:c r="N735" s="4" t="str">
        <x:v>Sales manager</x:v>
      </x:c>
      <x:c r="O735" s="4" t="str">
        <x:v>BOOK-00734</x:v>
      </x:c>
      <x:c r="P735" s="9" t="n">
        <x:v>8091000</x:v>
      </x:c>
      <x:c r="Q735" s="11" t="n">
        <x:v>0</x:v>
      </x:c>
      <x:c r="R735" s="8" t="n">
        <x:v>45388</x:v>
      </x:c>
      <x:c r="S735" s="4" t="str">
        <x:v>Retained</x:v>
      </x:c>
      <x:c r="T735" s="10" t="n">
        <x:v>0.226277</x:v>
      </x:c>
      <x:c r="U735" s="4" t="str">
        <x:v>Train</x:v>
      </x:c>
    </x:row>
    <x:row r="736" ht="34" customHeight="1">
      <x:c r="A736" s="4" t="str">
        <x:v>RS-00735</x:v>
      </x:c>
      <x:c r="B736" s="8" t="n">
        <x:v>45329</x:v>
      </x:c>
      <x:c r="C736" s="4" t="str">
        <x:v>PRJ-015</x:v>
      </x:c>
      <x:c r="D736" s="4" t="str">
        <x:v>Office</x:v>
      </x:c>
      <x:c r="E736" s="4" t="str">
        <x:v>Reserved</x:v>
      </x:c>
      <x:c r="F736" s="4" t="str">
        <x:v>CUS-00735</x:v>
      </x:c>
      <x:c r="G736" s="4" t="str">
        <x:v>UNIT-00735</x:v>
      </x:c>
      <x:c r="H736" s="9" t="n">
        <x:v>22900000</x:v>
      </x:c>
      <x:c r="I736" s="10" t="n">
        <x:v>0</x:v>
      </x:c>
      <x:c r="J736" s="11" t="n">
        <x:v>1</x:v>
      </x:c>
      <x:c r="K736" s="11" t="n">
        <x:v>2</x:v>
      </x:c>
      <x:c r="L736" s="11" t="n">
        <x:v>0</x:v>
      </x:c>
      <x:c r="M736" s="9" t="n">
        <x:f>ROUND(H736*(1-I736),2)</x:f>
        <x:v>22900000</x:v>
      </x:c>
      <x:c r="N736" s="4" t="str">
        <x:v>Sales manager</x:v>
      </x:c>
      <x:c r="O736" s="4"/>
      <x:c r="P736" s="9" t="n">
        <x:v>0</x:v>
      </x:c>
      <x:c r="Q736" s="11" t="n">
        <x:v>0</x:v>
      </x:c>
      <x:c r="R736" s="8" t="n">
        <x:v>45389</x:v>
      </x:c>
      <x:c r="S736" s="4" t="str">
        <x:v>Retained</x:v>
      </x:c>
      <x:c r="T736" s="10" t="n">
        <x:v>0.072165</x:v>
      </x:c>
      <x:c r="U736" s="4" t="str">
        <x:v>Train</x:v>
      </x:c>
    </x:row>
    <x:row r="737" ht="34" customHeight="1">
      <x:c r="A737" s="4" t="str">
        <x:v>RS-00736</x:v>
      </x:c>
      <x:c r="B737" s="8" t="n">
        <x:v>45330</x:v>
      </x:c>
      <x:c r="C737" s="4" t="str">
        <x:v>PRJ-016</x:v>
      </x:c>
      <x:c r="D737" s="4" t="str">
        <x:v>Office</x:v>
      </x:c>
      <x:c r="E737" s="4" t="str">
        <x:v>Cancelled</x:v>
      </x:c>
      <x:c r="F737" s="4" t="str">
        <x:v>CUS-00736</x:v>
      </x:c>
      <x:c r="G737" s="4" t="str">
        <x:v>UNIT-00736</x:v>
      </x:c>
      <x:c r="H737" s="9" t="n">
        <x:v>6200000</x:v>
      </x:c>
      <x:c r="I737" s="10" t="n">
        <x:v>0.06</x:v>
      </x:c>
      <x:c r="J737" s="11" t="n">
        <x:v>6</x:v>
      </x:c>
      <x:c r="K737" s="11" t="n">
        <x:v>2</x:v>
      </x:c>
      <x:c r="L737" s="11" t="n">
        <x:v>1</x:v>
      </x:c>
      <x:c r="M737" s="9" t="n">
        <x:f>ROUND(H737*(1-I737),2)</x:f>
        <x:v>5828000</x:v>
      </x:c>
      <x:c r="N737" s="4" t="str">
        <x:v>Sales manager</x:v>
      </x:c>
      <x:c r="O737" s="4"/>
      <x:c r="P737" s="9" t="n">
        <x:v>0</x:v>
      </x:c>
      <x:c r="Q737" s="11" t="n">
        <x:v>1</x:v>
      </x:c>
      <x:c r="R737" s="8" t="n">
        <x:v>45390</x:v>
      </x:c>
      <x:c r="S737" s="4" t="str">
        <x:v>Lost / cancelled</x:v>
      </x:c>
      <x:c r="T737" s="10" t="n">
        <x:v>0.291946</x:v>
      </x:c>
      <x:c r="U737" s="4" t="str">
        <x:v>Train</x:v>
      </x:c>
    </x:row>
    <x:row r="738" ht="34" customHeight="1">
      <x:c r="A738" s="4" t="str">
        <x:v>RS-00737</x:v>
      </x:c>
      <x:c r="B738" s="8" t="n">
        <x:v>45331</x:v>
      </x:c>
      <x:c r="C738" s="4" t="str">
        <x:v>PRJ-017</x:v>
      </x:c>
      <x:c r="D738" s="4" t="str">
        <x:v>Retail</x:v>
      </x:c>
      <x:c r="E738" s="4" t="str">
        <x:v>Agreement signed</x:v>
      </x:c>
      <x:c r="F738" s="4" t="str">
        <x:v>CUS-00737</x:v>
      </x:c>
      <x:c r="G738" s="4" t="str">
        <x:v>UNIT-00737</x:v>
      </x:c>
      <x:c r="H738" s="9" t="n">
        <x:v>24900000</x:v>
      </x:c>
      <x:c r="I738" s="10" t="n">
        <x:v>0.12</x:v>
      </x:c>
      <x:c r="J738" s="11" t="n">
        <x:v>5</x:v>
      </x:c>
      <x:c r="K738" s="11" t="n">
        <x:v>0</x:v>
      </x:c>
      <x:c r="L738" s="11" t="n">
        <x:v>0</x:v>
      </x:c>
      <x:c r="M738" s="9" t="n">
        <x:f>ROUND(H738*(1-I738),2)</x:f>
        <x:v>21912000</x:v>
      </x:c>
      <x:c r="N738" s="4" t="str">
        <x:v>Sales head</x:v>
      </x:c>
      <x:c r="O738" s="4" t="str">
        <x:v>BOOK-00737</x:v>
      </x:c>
      <x:c r="P738" s="9" t="n">
        <x:v>2191200</x:v>
      </x:c>
      <x:c r="Q738" s="11" t="n">
        <x:v>0</x:v>
      </x:c>
      <x:c r="R738" s="8" t="n">
        <x:v>45391</x:v>
      </x:c>
      <x:c r="S738" s="4" t="str">
        <x:v>Retained</x:v>
      </x:c>
      <x:c r="T738" s="10" t="n">
        <x:v>0.226277</x:v>
      </x:c>
      <x:c r="U738" s="4" t="str">
        <x:v>Train</x:v>
      </x:c>
    </x:row>
    <x:row r="739" ht="34" customHeight="1">
      <x:c r="A739" s="4" t="str">
        <x:v>RS-00738</x:v>
      </x:c>
      <x:c r="B739" s="8" t="n">
        <x:v>45332</x:v>
      </x:c>
      <x:c r="C739" s="4" t="str">
        <x:v>PRJ-018</x:v>
      </x:c>
      <x:c r="D739" s="4" t="str">
        <x:v>Villa</x:v>
      </x:c>
      <x:c r="E739" s="4" t="str">
        <x:v>Enquiry</x:v>
      </x:c>
      <x:c r="F739" s="4" t="str">
        <x:v>CUS-00738</x:v>
      </x:c>
      <x:c r="G739" s="4" t="str">
        <x:v>UNIT-00738</x:v>
      </x:c>
      <x:c r="H739" s="9" t="n">
        <x:v>19200000</x:v>
      </x:c>
      <x:c r="I739" s="10" t="n">
        <x:v>0.07</x:v>
      </x:c>
      <x:c r="J739" s="11" t="n">
        <x:v>11</x:v>
      </x:c>
      <x:c r="K739" s="11" t="n">
        <x:v>7</x:v>
      </x:c>
      <x:c r="L739" s="11" t="n">
        <x:v>0</x:v>
      </x:c>
      <x:c r="M739" s="9" t="n">
        <x:f>ROUND(H739*(1-I739),2)</x:f>
        <x:v>17856000</x:v>
      </x:c>
      <x:c r="N739" s="4" t="str">
        <x:v>Sales manager</x:v>
      </x:c>
      <x:c r="O739" s="4"/>
      <x:c r="P739" s="9" t="n">
        <x:v>0</x:v>
      </x:c>
      <x:c r="Q739" s="11" t="n">
        <x:v>1</x:v>
      </x:c>
      <x:c r="R739" s="8" t="n">
        <x:v>45392</x:v>
      </x:c>
      <x:c r="S739" s="4" t="str">
        <x:v>Lost / cancelled</x:v>
      </x:c>
      <x:c r="T739" s="10" t="n">
        <x:v>0.351536</x:v>
      </x:c>
      <x:c r="U739" s="4" t="str">
        <x:v>Train</x:v>
      </x:c>
    </x:row>
    <x:row r="740" ht="34" customHeight="1">
      <x:c r="A740" s="4" t="str">
        <x:v>RS-00739</x:v>
      </x:c>
      <x:c r="B740" s="8" t="n">
        <x:v>45333</x:v>
      </x:c>
      <x:c r="C740" s="4" t="str">
        <x:v>PRJ-019</x:v>
      </x:c>
      <x:c r="D740" s="4" t="str">
        <x:v>Apartment</x:v>
      </x:c>
      <x:c r="E740" s="4" t="str">
        <x:v>Reserved</x:v>
      </x:c>
      <x:c r="F740" s="4" t="str">
        <x:v>CUS-00739</x:v>
      </x:c>
      <x:c r="G740" s="4" t="str">
        <x:v>UNIT-00739</x:v>
      </x:c>
      <x:c r="H740" s="9" t="n">
        <x:v>6100000</x:v>
      </x:c>
      <x:c r="I740" s="10" t="n">
        <x:v>0.08</x:v>
      </x:c>
      <x:c r="J740" s="11" t="n">
        <x:v>12</x:v>
      </x:c>
      <x:c r="K740" s="11" t="n">
        <x:v>0</x:v>
      </x:c>
      <x:c r="L740" s="11" t="n">
        <x:v>0</x:v>
      </x:c>
      <x:c r="M740" s="9" t="n">
        <x:f>ROUND(H740*(1-I740),2)</x:f>
        <x:v>5612000</x:v>
      </x:c>
      <x:c r="N740" s="4" t="str">
        <x:v>Sales head</x:v>
      </x:c>
      <x:c r="O740" s="4"/>
      <x:c r="P740" s="9" t="n">
        <x:v>0</x:v>
      </x:c>
      <x:c r="Q740" s="11" t="n">
        <x:v>1</x:v>
      </x:c>
      <x:c r="R740" s="8" t="n">
        <x:v>45393</x:v>
      </x:c>
      <x:c r="S740" s="4" t="str">
        <x:v>Lost / cancelled</x:v>
      </x:c>
      <x:c r="T740" s="10" t="n">
        <x:v>0.351536</x:v>
      </x:c>
      <x:c r="U740" s="4" t="str">
        <x:v>Train</x:v>
      </x:c>
    </x:row>
    <x:row r="741" ht="34" customHeight="1">
      <x:c r="A741" s="4" t="str">
        <x:v>RS-00740</x:v>
      </x:c>
      <x:c r="B741" s="8" t="n">
        <x:v>45334</x:v>
      </x:c>
      <x:c r="C741" s="4" t="str">
        <x:v>PRJ-020</x:v>
      </x:c>
      <x:c r="D741" s="4" t="str">
        <x:v>Villa</x:v>
      </x:c>
      <x:c r="E741" s="4" t="str">
        <x:v>Cancelled</x:v>
      </x:c>
      <x:c r="F741" s="4" t="str">
        <x:v>CUS-00740</x:v>
      </x:c>
      <x:c r="G741" s="4" t="str">
        <x:v>UNIT-00740</x:v>
      </x:c>
      <x:c r="H741" s="9" t="n">
        <x:v>7300000</x:v>
      </x:c>
      <x:c r="I741" s="10" t="n">
        <x:v>0.1</x:v>
      </x:c>
      <x:c r="J741" s="11" t="n">
        <x:v>6</x:v>
      </x:c>
      <x:c r="K741" s="11" t="n">
        <x:v>8</x:v>
      </x:c>
      <x:c r="L741" s="11" t="n">
        <x:v>1</x:v>
      </x:c>
      <x:c r="M741" s="9" t="n">
        <x:f>ROUND(H741*(1-I741),2)</x:f>
        <x:v>6570000</x:v>
      </x:c>
      <x:c r="N741" s="4" t="str">
        <x:v>Sales head</x:v>
      </x:c>
      <x:c r="O741" s="4"/>
      <x:c r="P741" s="9" t="n">
        <x:v>0</x:v>
      </x:c>
      <x:c r="Q741" s="11" t="n">
        <x:v>1</x:v>
      </x:c>
      <x:c r="R741" s="8" t="n">
        <x:v>45394</x:v>
      </x:c>
      <x:c r="S741" s="4" t="str">
        <x:v>Lost / cancelled</x:v>
      </x:c>
      <x:c r="T741" s="10" t="n">
        <x:v>0.291946</x:v>
      </x:c>
      <x:c r="U741" s="4" t="str">
        <x:v>Train</x:v>
      </x:c>
    </x:row>
    <x:row r="742" ht="34" customHeight="1">
      <x:c r="A742" s="4" t="str">
        <x:v>RS-00741</x:v>
      </x:c>
      <x:c r="B742" s="8" t="n">
        <x:v>45335</x:v>
      </x:c>
      <x:c r="C742" s="4" t="str">
        <x:v>PRJ-001</x:v>
      </x:c>
      <x:c r="D742" s="4" t="str">
        <x:v>Apartment</x:v>
      </x:c>
      <x:c r="E742" s="4" t="str">
        <x:v>Enquiry</x:v>
      </x:c>
      <x:c r="F742" s="4" t="str">
        <x:v>CUS-00741</x:v>
      </x:c>
      <x:c r="G742" s="4" t="str">
        <x:v>UNIT-00741</x:v>
      </x:c>
      <x:c r="H742" s="9" t="n">
        <x:v>9800000</x:v>
      </x:c>
      <x:c r="I742" s="10" t="n">
        <x:v>0.1</x:v>
      </x:c>
      <x:c r="J742" s="11" t="n">
        <x:v>8</x:v>
      </x:c>
      <x:c r="K742" s="11" t="n">
        <x:v>3</x:v>
      </x:c>
      <x:c r="L742" s="11" t="n">
        <x:v>1</x:v>
      </x:c>
      <x:c r="M742" s="9" t="n">
        <x:f>ROUND(H742*(1-I742),2)</x:f>
        <x:v>8820000</x:v>
      </x:c>
      <x:c r="N742" s="4" t="str">
        <x:v>Sales head</x:v>
      </x:c>
      <x:c r="O742" s="4"/>
      <x:c r="P742" s="9" t="n">
        <x:v>0</x:v>
      </x:c>
      <x:c r="Q742" s="11" t="n">
        <x:v>0</x:v>
      </x:c>
      <x:c r="R742" s="8" t="n">
        <x:v>45395</x:v>
      </x:c>
      <x:c r="S742" s="4" t="str">
        <x:v>Retained</x:v>
      </x:c>
      <x:c r="T742" s="10" t="n">
        <x:v>0.310195</x:v>
      </x:c>
      <x:c r="U742" s="4" t="str">
        <x:v>Train</x:v>
      </x:c>
    </x:row>
    <x:row r="743" ht="34" customHeight="1">
      <x:c r="A743" s="4" t="str">
        <x:v>RS-00742</x:v>
      </x:c>
      <x:c r="B743" s="8" t="n">
        <x:v>45336</x:v>
      </x:c>
      <x:c r="C743" s="4" t="str">
        <x:v>PRJ-002</x:v>
      </x:c>
      <x:c r="D743" s="4" t="str">
        <x:v>Apartment</x:v>
      </x:c>
      <x:c r="E743" s="4" t="str">
        <x:v>Handed over</x:v>
      </x:c>
      <x:c r="F743" s="4" t="str">
        <x:v>CUS-00742</x:v>
      </x:c>
      <x:c r="G743" s="4" t="str">
        <x:v>UNIT-00742</x:v>
      </x:c>
      <x:c r="H743" s="9" t="n">
        <x:v>3600000</x:v>
      </x:c>
      <x:c r="I743" s="10" t="n">
        <x:v>0.1</x:v>
      </x:c>
      <x:c r="J743" s="11" t="n">
        <x:v>8</x:v>
      </x:c>
      <x:c r="K743" s="11" t="n">
        <x:v>2</x:v>
      </x:c>
      <x:c r="L743" s="11" t="n">
        <x:v>0</x:v>
      </x:c>
      <x:c r="M743" s="9" t="n">
        <x:f>ROUND(H743*(1-I743),2)</x:f>
        <x:v>3240000</x:v>
      </x:c>
      <x:c r="N743" s="4" t="str">
        <x:v>Sales head</x:v>
      </x:c>
      <x:c r="O743" s="4" t="str">
        <x:v>BOOK-00742</x:v>
      </x:c>
      <x:c r="P743" s="9" t="n">
        <x:v>1620000</x:v>
      </x:c>
      <x:c r="Q743" s="11" t="n">
        <x:v>0</x:v>
      </x:c>
      <x:c r="R743" s="8" t="n">
        <x:v>45396</x:v>
      </x:c>
      <x:c r="S743" s="4" t="str">
        <x:v>Retained</x:v>
      </x:c>
      <x:c r="T743" s="10" t="n">
        <x:v>0.310195</x:v>
      </x:c>
      <x:c r="U743" s="4" t="str">
        <x:v>Train</x:v>
      </x:c>
    </x:row>
    <x:row r="744" ht="34" customHeight="1">
      <x:c r="A744" s="4" t="str">
        <x:v>RS-00743</x:v>
      </x:c>
      <x:c r="B744" s="8" t="n">
        <x:v>45337</x:v>
      </x:c>
      <x:c r="C744" s="4" t="str">
        <x:v>PRJ-003</x:v>
      </x:c>
      <x:c r="D744" s="4" t="str">
        <x:v>Retail</x:v>
      </x:c>
      <x:c r="E744" s="4" t="str">
        <x:v>Handed over</x:v>
      </x:c>
      <x:c r="F744" s="4" t="str">
        <x:v>CUS-00743</x:v>
      </x:c>
      <x:c r="G744" s="4" t="str">
        <x:v>UNIT-00743</x:v>
      </x:c>
      <x:c r="H744" s="9" t="n">
        <x:v>10000000</x:v>
      </x:c>
      <x:c r="I744" s="10" t="n">
        <x:v>0.04</x:v>
      </x:c>
      <x:c r="J744" s="11" t="n">
        <x:v>12</x:v>
      </x:c>
      <x:c r="K744" s="11" t="n">
        <x:v>4</x:v>
      </x:c>
      <x:c r="L744" s="11" t="n">
        <x:v>1</x:v>
      </x:c>
      <x:c r="M744" s="9" t="n">
        <x:f>ROUND(H744*(1-I744),2)</x:f>
        <x:v>9600000</x:v>
      </x:c>
      <x:c r="N744" s="4" t="str">
        <x:v>Sales manager</x:v>
      </x:c>
      <x:c r="O744" s="4" t="str">
        <x:v>BOOK-00743</x:v>
      </x:c>
      <x:c r="P744" s="9" t="n">
        <x:v>960000</x:v>
      </x:c>
      <x:c r="Q744" s="11" t="n">
        <x:v>0</x:v>
      </x:c>
      <x:c r="R744" s="8" t="n">
        <x:v>45397</x:v>
      </x:c>
      <x:c r="S744" s="4" t="str">
        <x:v>Retained</x:v>
      </x:c>
      <x:c r="T744" s="10" t="n">
        <x:v>0.351536</x:v>
      </x:c>
      <x:c r="U744" s="4" t="str">
        <x:v>Train</x:v>
      </x:c>
    </x:row>
    <x:row r="745" ht="34" customHeight="1">
      <x:c r="A745" s="4" t="str">
        <x:v>RS-00744</x:v>
      </x:c>
      <x:c r="B745" s="8" t="n">
        <x:v>45338</x:v>
      </x:c>
      <x:c r="C745" s="4" t="str">
        <x:v>PRJ-004</x:v>
      </x:c>
      <x:c r="D745" s="4" t="str">
        <x:v>Office</x:v>
      </x:c>
      <x:c r="E745" s="4" t="str">
        <x:v>Reserved</x:v>
      </x:c>
      <x:c r="F745" s="4" t="str">
        <x:v>CUS-00744</x:v>
      </x:c>
      <x:c r="G745" s="4" t="str">
        <x:v>UNIT-00744</x:v>
      </x:c>
      <x:c r="H745" s="9" t="n">
        <x:v>20900000</x:v>
      </x:c>
      <x:c r="I745" s="10" t="n">
        <x:v>0.01</x:v>
      </x:c>
      <x:c r="J745" s="11" t="n">
        <x:v>11</x:v>
      </x:c>
      <x:c r="K745" s="11" t="n">
        <x:v>6</x:v>
      </x:c>
      <x:c r="L745" s="11" t="n">
        <x:v>1</x:v>
      </x:c>
      <x:c r="M745" s="9" t="n">
        <x:f>ROUND(H745*(1-I745),2)</x:f>
        <x:v>20691000</x:v>
      </x:c>
      <x:c r="N745" s="4" t="str">
        <x:v>Sales manager</x:v>
      </x:c>
      <x:c r="O745" s="4"/>
      <x:c r="P745" s="9" t="n">
        <x:v>0</x:v>
      </x:c>
      <x:c r="Q745" s="11" t="n">
        <x:v>0</x:v>
      </x:c>
      <x:c r="R745" s="8" t="n">
        <x:v>45398</x:v>
      </x:c>
      <x:c r="S745" s="4" t="str">
        <x:v>Retained</x:v>
      </x:c>
      <x:c r="T745" s="10" t="n">
        <x:v>0.254545</x:v>
      </x:c>
      <x:c r="U745" s="4" t="str">
        <x:v>Train</x:v>
      </x:c>
    </x:row>
    <x:row r="746" ht="34" customHeight="1">
      <x:c r="A746" s="4" t="str">
        <x:v>RS-00745</x:v>
      </x:c>
      <x:c r="B746" s="8" t="n">
        <x:v>45339</x:v>
      </x:c>
      <x:c r="C746" s="4" t="str">
        <x:v>PRJ-005</x:v>
      </x:c>
      <x:c r="D746" s="4" t="str">
        <x:v>Office</x:v>
      </x:c>
      <x:c r="E746" s="4" t="str">
        <x:v>Booked</x:v>
      </x:c>
      <x:c r="F746" s="4" t="str">
        <x:v>CUS-00745</x:v>
      </x:c>
      <x:c r="G746" s="4" t="str">
        <x:v>UNIT-00745</x:v>
      </x:c>
      <x:c r="H746" s="9" t="n">
        <x:v>22800000</x:v>
      </x:c>
      <x:c r="I746" s="10" t="n">
        <x:v>0.11</x:v>
      </x:c>
      <x:c r="J746" s="11" t="n">
        <x:v>2</x:v>
      </x:c>
      <x:c r="K746" s="11" t="n">
        <x:v>0</x:v>
      </x:c>
      <x:c r="L746" s="11" t="n">
        <x:v>0</x:v>
      </x:c>
      <x:c r="M746" s="9" t="n">
        <x:f>ROUND(H746*(1-I746),2)</x:f>
        <x:v>20292000</x:v>
      </x:c>
      <x:c r="N746" s="4" t="str">
        <x:v>Sales head</x:v>
      </x:c>
      <x:c r="O746" s="4" t="str">
        <x:v>BOOK-00745</x:v>
      </x:c>
      <x:c r="P746" s="9" t="n">
        <x:v>10146000</x:v>
      </x:c>
      <x:c r="Q746" s="11" t="n">
        <x:v>0</x:v>
      </x:c>
      <x:c r="R746" s="8" t="n">
        <x:v>45399</x:v>
      </x:c>
      <x:c r="S746" s="4" t="str">
        <x:v>Retained</x:v>
      </x:c>
      <x:c r="T746" s="10" t="n">
        <x:v>0.276923</x:v>
      </x:c>
      <x:c r="U746" s="4" t="str">
        <x:v>Train</x:v>
      </x:c>
    </x:row>
    <x:row r="747" ht="34" customHeight="1">
      <x:c r="A747" s="4" t="str">
        <x:v>RS-00746</x:v>
      </x:c>
      <x:c r="B747" s="8" t="n">
        <x:v>45340</x:v>
      </x:c>
      <x:c r="C747" s="4" t="str">
        <x:v>PRJ-006</x:v>
      </x:c>
      <x:c r="D747" s="4" t="str">
        <x:v>Retail</x:v>
      </x:c>
      <x:c r="E747" s="4" t="str">
        <x:v>Reserved</x:v>
      </x:c>
      <x:c r="F747" s="4" t="str">
        <x:v>CUS-00746</x:v>
      </x:c>
      <x:c r="G747" s="4" t="str">
        <x:v>UNIT-00746</x:v>
      </x:c>
      <x:c r="H747" s="9" t="n">
        <x:v>17500000</x:v>
      </x:c>
      <x:c r="I747" s="10" t="n">
        <x:v>0.06</x:v>
      </x:c>
      <x:c r="J747" s="11" t="n">
        <x:v>4</x:v>
      </x:c>
      <x:c r="K747" s="11" t="n">
        <x:v>4</x:v>
      </x:c>
      <x:c r="L747" s="11" t="n">
        <x:v>0</x:v>
      </x:c>
      <x:c r="M747" s="9" t="n">
        <x:f>ROUND(H747*(1-I747),2)</x:f>
        <x:v>16450000</x:v>
      </x:c>
      <x:c r="N747" s="4" t="str">
        <x:v>Sales manager</x:v>
      </x:c>
      <x:c r="O747" s="4"/>
      <x:c r="P747" s="9" t="n">
        <x:v>0</x:v>
      </x:c>
      <x:c r="Q747" s="11" t="n">
        <x:v>0</x:v>
      </x:c>
      <x:c r="R747" s="8" t="n">
        <x:v>45400</x:v>
      </x:c>
      <x:c r="S747" s="4" t="str">
        <x:v>Retained</x:v>
      </x:c>
      <x:c r="T747" s="10" t="n">
        <x:v>0.226277</x:v>
      </x:c>
      <x:c r="U747" s="4" t="str">
        <x:v>Train</x:v>
      </x:c>
    </x:row>
    <x:row r="748" ht="34" customHeight="1">
      <x:c r="A748" s="4" t="str">
        <x:v>RS-00747</x:v>
      </x:c>
      <x:c r="B748" s="8" t="n">
        <x:v>45341</x:v>
      </x:c>
      <x:c r="C748" s="4" t="str">
        <x:v>PRJ-007</x:v>
      </x:c>
      <x:c r="D748" s="4" t="str">
        <x:v>Apartment</x:v>
      </x:c>
      <x:c r="E748" s="4" t="str">
        <x:v>Reserved</x:v>
      </x:c>
      <x:c r="F748" s="4" t="str">
        <x:v>CUS-00747</x:v>
      </x:c>
      <x:c r="G748" s="4" t="str">
        <x:v>UNIT-00747</x:v>
      </x:c>
      <x:c r="H748" s="9" t="n">
        <x:v>19400000</x:v>
      </x:c>
      <x:c r="I748" s="10" t="n">
        <x:v>0.04</x:v>
      </x:c>
      <x:c r="J748" s="11" t="n">
        <x:v>11</x:v>
      </x:c>
      <x:c r="K748" s="11" t="n">
        <x:v>9</x:v>
      </x:c>
      <x:c r="L748" s="11" t="n">
        <x:v>1</x:v>
      </x:c>
      <x:c r="M748" s="9" t="n">
        <x:f>ROUND(H748*(1-I748),2)</x:f>
        <x:v>18624000</x:v>
      </x:c>
      <x:c r="N748" s="4" t="str">
        <x:v>Sales manager</x:v>
      </x:c>
      <x:c r="O748" s="4"/>
      <x:c r="P748" s="9" t="n">
        <x:v>0</x:v>
      </x:c>
      <x:c r="Q748" s="11" t="n">
        <x:v>0</x:v>
      </x:c>
      <x:c r="R748" s="8" t="n">
        <x:v>45401</x:v>
      </x:c>
      <x:c r="S748" s="4" t="str">
        <x:v>Retained</x:v>
      </x:c>
      <x:c r="T748" s="10" t="n">
        <x:v>0.351536</x:v>
      </x:c>
      <x:c r="U748" s="4" t="str">
        <x:v>Train</x:v>
      </x:c>
    </x:row>
    <x:row r="749" ht="34" customHeight="1">
      <x:c r="A749" s="4" t="str">
        <x:v>RS-00748</x:v>
      </x:c>
      <x:c r="B749" s="8" t="n">
        <x:v>45342</x:v>
      </x:c>
      <x:c r="C749" s="4" t="str">
        <x:v>PRJ-008</x:v>
      </x:c>
      <x:c r="D749" s="4" t="str">
        <x:v>Retail</x:v>
      </x:c>
      <x:c r="E749" s="4" t="str">
        <x:v>Reserved</x:v>
      </x:c>
      <x:c r="F749" s="4" t="str">
        <x:v>CUS-00748</x:v>
      </x:c>
      <x:c r="G749" s="4" t="str">
        <x:v>UNIT-00748</x:v>
      </x:c>
      <x:c r="H749" s="9" t="n">
        <x:v>8100000</x:v>
      </x:c>
      <x:c r="I749" s="10" t="n">
        <x:v>0.03</x:v>
      </x:c>
      <x:c r="J749" s="11" t="n">
        <x:v>4</x:v>
      </x:c>
      <x:c r="K749" s="11" t="n">
        <x:v>0</x:v>
      </x:c>
      <x:c r="L749" s="11" t="n">
        <x:v>1</x:v>
      </x:c>
      <x:c r="M749" s="9" t="n">
        <x:f>ROUND(H749*(1-I749),2)</x:f>
        <x:v>7857000</x:v>
      </x:c>
      <x:c r="N749" s="4" t="str">
        <x:v>Sales manager</x:v>
      </x:c>
      <x:c r="O749" s="4"/>
      <x:c r="P749" s="9" t="n">
        <x:v>0</x:v>
      </x:c>
      <x:c r="Q749" s="11" t="n">
        <x:v>1</x:v>
      </x:c>
      <x:c r="R749" s="8" t="n">
        <x:v>45402</x:v>
      </x:c>
      <x:c r="S749" s="4" t="str">
        <x:v>Lost / cancelled</x:v>
      </x:c>
      <x:c r="T749" s="10" t="n">
        <x:v>0.298969</x:v>
      </x:c>
      <x:c r="U749" s="4" t="str">
        <x:v>Train</x:v>
      </x:c>
    </x:row>
    <x:row r="750" ht="34" customHeight="1">
      <x:c r="A750" s="4" t="str">
        <x:v>RS-00749</x:v>
      </x:c>
      <x:c r="B750" s="8" t="n">
        <x:v>45343</x:v>
      </x:c>
      <x:c r="C750" s="4" t="str">
        <x:v>PRJ-009</x:v>
      </x:c>
      <x:c r="D750" s="4" t="str">
        <x:v>Office</x:v>
      </x:c>
      <x:c r="E750" s="4" t="str">
        <x:v>Booked</x:v>
      </x:c>
      <x:c r="F750" s="4" t="str">
        <x:v>CUS-00749</x:v>
      </x:c>
      <x:c r="G750" s="4" t="str">
        <x:v>UNIT-00749</x:v>
      </x:c>
      <x:c r="H750" s="9" t="n">
        <x:v>17400000</x:v>
      </x:c>
      <x:c r="I750" s="10" t="n">
        <x:v>0.08</x:v>
      </x:c>
      <x:c r="J750" s="11" t="n">
        <x:v>12</x:v>
      </x:c>
      <x:c r="K750" s="11" t="n">
        <x:v>4</x:v>
      </x:c>
      <x:c r="L750" s="11" t="n">
        <x:v>0</x:v>
      </x:c>
      <x:c r="M750" s="9" t="n">
        <x:f>ROUND(H750*(1-I750),2)</x:f>
        <x:v>16008000</x:v>
      </x:c>
      <x:c r="N750" s="4" t="str">
        <x:v>Sales head</x:v>
      </x:c>
      <x:c r="O750" s="4" t="str">
        <x:v>BOOK-00749</x:v>
      </x:c>
      <x:c r="P750" s="9" t="n">
        <x:v>4002000</x:v>
      </x:c>
      <x:c r="Q750" s="11" t="n">
        <x:v>0</x:v>
      </x:c>
      <x:c r="R750" s="8" t="n">
        <x:v>45403</x:v>
      </x:c>
      <x:c r="S750" s="4" t="str">
        <x:v>Retained</x:v>
      </x:c>
      <x:c r="T750" s="10" t="n">
        <x:v>0.351536</x:v>
      </x:c>
      <x:c r="U750" s="4" t="str">
        <x:v>Train</x:v>
      </x:c>
    </x:row>
    <x:row r="751" ht="34" customHeight="1">
      <x:c r="A751" s="4" t="str">
        <x:v>RS-00750</x:v>
      </x:c>
      <x:c r="B751" s="8" t="n">
        <x:v>45344</x:v>
      </x:c>
      <x:c r="C751" s="4" t="str">
        <x:v>PRJ-010</x:v>
      </x:c>
      <x:c r="D751" s="4" t="str">
        <x:v>Villa</x:v>
      </x:c>
      <x:c r="E751" s="4" t="str">
        <x:v>Handed over</x:v>
      </x:c>
      <x:c r="F751" s="4" t="str">
        <x:v>CUS-00750</x:v>
      </x:c>
      <x:c r="G751" s="4" t="str">
        <x:v>UNIT-00750</x:v>
      </x:c>
      <x:c r="H751" s="9" t="n">
        <x:v>19600000</x:v>
      </x:c>
      <x:c r="I751" s="10" t="n">
        <x:v>0.1</x:v>
      </x:c>
      <x:c r="J751" s="11" t="n">
        <x:v>8</x:v>
      </x:c>
      <x:c r="K751" s="11" t="n">
        <x:v>1</x:v>
      </x:c>
      <x:c r="L751" s="11" t="n">
        <x:v>0</x:v>
      </x:c>
      <x:c r="M751" s="9" t="n">
        <x:f>ROUND(H751*(1-I751),2)</x:f>
        <x:v>17640000</x:v>
      </x:c>
      <x:c r="N751" s="4" t="str">
        <x:v>Sales head</x:v>
      </x:c>
      <x:c r="O751" s="4" t="str">
        <x:v>BOOK-00750</x:v>
      </x:c>
      <x:c r="P751" s="9" t="n">
        <x:v>1764000</x:v>
      </x:c>
      <x:c r="Q751" s="11" t="n">
        <x:v>0</x:v>
      </x:c>
      <x:c r="R751" s="8" t="n">
        <x:v>45404</x:v>
      </x:c>
      <x:c r="S751" s="4" t="str">
        <x:v>Retained</x:v>
      </x:c>
      <x:c r="T751" s="10" t="n">
        <x:v>0.310195</x:v>
      </x:c>
      <x:c r="U751" s="4" t="str">
        <x:v>Train</x:v>
      </x:c>
    </x:row>
    <x:row r="752" ht="34" customHeight="1">
      <x:c r="A752" s="4" t="str">
        <x:v>RS-00751</x:v>
      </x:c>
      <x:c r="B752" s="8" t="n">
        <x:v>45345</x:v>
      </x:c>
      <x:c r="C752" s="4" t="str">
        <x:v>PRJ-011</x:v>
      </x:c>
      <x:c r="D752" s="4" t="str">
        <x:v>Office</x:v>
      </x:c>
      <x:c r="E752" s="4" t="str">
        <x:v>Reserved</x:v>
      </x:c>
      <x:c r="F752" s="4" t="str">
        <x:v>CUS-00751</x:v>
      </x:c>
      <x:c r="G752" s="4" t="str">
        <x:v>UNIT-00751</x:v>
      </x:c>
      <x:c r="H752" s="9" t="n">
        <x:v>12300000</x:v>
      </x:c>
      <x:c r="I752" s="10" t="n">
        <x:v>0.11</x:v>
      </x:c>
      <x:c r="J752" s="11" t="n">
        <x:v>3</x:v>
      </x:c>
      <x:c r="K752" s="11" t="n">
        <x:v>8</x:v>
      </x:c>
      <x:c r="L752" s="11" t="n">
        <x:v>1</x:v>
      </x:c>
      <x:c r="M752" s="9" t="n">
        <x:f>ROUND(H752*(1-I752),2)</x:f>
        <x:v>10947000</x:v>
      </x:c>
      <x:c r="N752" s="4" t="str">
        <x:v>Sales head</x:v>
      </x:c>
      <x:c r="O752" s="4"/>
      <x:c r="P752" s="9" t="n">
        <x:v>0</x:v>
      </x:c>
      <x:c r="Q752" s="11" t="n">
        <x:v>0</x:v>
      </x:c>
      <x:c r="R752" s="8" t="n">
        <x:v>45405</x:v>
      </x:c>
      <x:c r="S752" s="4" t="str">
        <x:v>Retained</x:v>
      </x:c>
      <x:c r="T752" s="10" t="n">
        <x:v>0.145833</x:v>
      </x:c>
      <x:c r="U752" s="4" t="str">
        <x:v>Train</x:v>
      </x:c>
    </x:row>
    <x:row r="753" ht="34" customHeight="1">
      <x:c r="A753" s="4" t="str">
        <x:v>RS-00752</x:v>
      </x:c>
      <x:c r="B753" s="8" t="n">
        <x:v>45346</x:v>
      </x:c>
      <x:c r="C753" s="4" t="str">
        <x:v>PRJ-012</x:v>
      </x:c>
      <x:c r="D753" s="4" t="str">
        <x:v>Villa</x:v>
      </x:c>
      <x:c r="E753" s="4" t="str">
        <x:v>Agreement signed</x:v>
      </x:c>
      <x:c r="F753" s="4" t="str">
        <x:v>CUS-00752</x:v>
      </x:c>
      <x:c r="G753" s="4" t="str">
        <x:v>UNIT-00752</x:v>
      </x:c>
      <x:c r="H753" s="9" t="n">
        <x:v>17000000</x:v>
      </x:c>
      <x:c r="I753" s="10" t="n">
        <x:v>0.08</x:v>
      </x:c>
      <x:c r="J753" s="11" t="n">
        <x:v>9</x:v>
      </x:c>
      <x:c r="K753" s="11" t="n">
        <x:v>0</x:v>
      </x:c>
      <x:c r="L753" s="11" t="n">
        <x:v>1</x:v>
      </x:c>
      <x:c r="M753" s="9" t="n">
        <x:f>ROUND(H753*(1-I753),2)</x:f>
        <x:v>15640000</x:v>
      </x:c>
      <x:c r="N753" s="4" t="str">
        <x:v>Sales head</x:v>
      </x:c>
      <x:c r="O753" s="4" t="str">
        <x:v>BOOK-00752</x:v>
      </x:c>
      <x:c r="P753" s="9" t="n">
        <x:v>7820000</x:v>
      </x:c>
      <x:c r="Q753" s="11" t="n">
        <x:v>0</x:v>
      </x:c>
      <x:c r="R753" s="8" t="n">
        <x:v>45406</x:v>
      </x:c>
      <x:c r="S753" s="4" t="str">
        <x:v>Retained</x:v>
      </x:c>
      <x:c r="T753" s="10" t="n">
        <x:v>0.310195</x:v>
      </x:c>
      <x:c r="U753" s="4" t="str">
        <x:v>Train</x:v>
      </x:c>
    </x:row>
    <x:row r="754" ht="34" customHeight="1">
      <x:c r="A754" s="4" t="str">
        <x:v>RS-00753</x:v>
      </x:c>
      <x:c r="B754" s="8" t="n">
        <x:v>45347</x:v>
      </x:c>
      <x:c r="C754" s="4" t="str">
        <x:v>PRJ-013</x:v>
      </x:c>
      <x:c r="D754" s="4" t="str">
        <x:v>Villa</x:v>
      </x:c>
      <x:c r="E754" s="4" t="str">
        <x:v>Agreement signed</x:v>
      </x:c>
      <x:c r="F754" s="4" t="str">
        <x:v>CUS-00753</x:v>
      </x:c>
      <x:c r="G754" s="4" t="str">
        <x:v>UNIT-00753</x:v>
      </x:c>
      <x:c r="H754" s="9" t="n">
        <x:v>6100000</x:v>
      </x:c>
      <x:c r="I754" s="10" t="n">
        <x:v>0.04</x:v>
      </x:c>
      <x:c r="J754" s="11" t="n">
        <x:v>7</x:v>
      </x:c>
      <x:c r="K754" s="11" t="n">
        <x:v>4</x:v>
      </x:c>
      <x:c r="L754" s="11" t="n">
        <x:v>1</x:v>
      </x:c>
      <x:c r="M754" s="9" t="n">
        <x:f>ROUND(H754*(1-I754),2)</x:f>
        <x:v>5856000</x:v>
      </x:c>
      <x:c r="N754" s="4" t="str">
        <x:v>Sales manager</x:v>
      </x:c>
      <x:c r="O754" s="4" t="str">
        <x:v>BOOK-00753</x:v>
      </x:c>
      <x:c r="P754" s="9" t="n">
        <x:v>5856000</x:v>
      </x:c>
      <x:c r="Q754" s="11" t="n">
        <x:v>0</x:v>
      </x:c>
      <x:c r="R754" s="8" t="n">
        <x:v>45407</x:v>
      </x:c>
      <x:c r="S754" s="4" t="str">
        <x:v>Retained</x:v>
      </x:c>
      <x:c r="T754" s="10" t="n">
        <x:v>0.291946</x:v>
      </x:c>
      <x:c r="U754" s="4" t="str">
        <x:v>Train</x:v>
      </x:c>
    </x:row>
    <x:row r="755" ht="34" customHeight="1">
      <x:c r="A755" s="4" t="str">
        <x:v>RS-00754</x:v>
      </x:c>
      <x:c r="B755" s="8" t="n">
        <x:v>45348</x:v>
      </x:c>
      <x:c r="C755" s="4" t="str">
        <x:v>PRJ-014</x:v>
      </x:c>
      <x:c r="D755" s="4" t="str">
        <x:v>Retail</x:v>
      </x:c>
      <x:c r="E755" s="4" t="str">
        <x:v>Agreement signed</x:v>
      </x:c>
      <x:c r="F755" s="4" t="str">
        <x:v>CUS-00754</x:v>
      </x:c>
      <x:c r="G755" s="4" t="str">
        <x:v>UNIT-00754</x:v>
      </x:c>
      <x:c r="H755" s="9" t="n">
        <x:v>23000000</x:v>
      </x:c>
      <x:c r="I755" s="10" t="n">
        <x:v>0</x:v>
      </x:c>
      <x:c r="J755" s="11" t="n">
        <x:v>10</x:v>
      </x:c>
      <x:c r="K755" s="11" t="n">
        <x:v>2</x:v>
      </x:c>
      <x:c r="L755" s="11" t="n">
        <x:v>0</x:v>
      </x:c>
      <x:c r="M755" s="9" t="n">
        <x:f>ROUND(H755*(1-I755),2)</x:f>
        <x:v>23000000</x:v>
      </x:c>
      <x:c r="N755" s="4" t="str">
        <x:v>Sales manager</x:v>
      </x:c>
      <x:c r="O755" s="4" t="str">
        <x:v>BOOK-00754</x:v>
      </x:c>
      <x:c r="P755" s="9" t="n">
        <x:v>2300000</x:v>
      </x:c>
      <x:c r="Q755" s="11" t="n">
        <x:v>0</x:v>
      </x:c>
      <x:c r="R755" s="8" t="n">
        <x:v>45408</x:v>
      </x:c>
      <x:c r="S755" s="4" t="str">
        <x:v>Retained</x:v>
      </x:c>
      <x:c r="T755" s="10" t="n">
        <x:v>0.305556</x:v>
      </x:c>
      <x:c r="U755" s="4" t="str">
        <x:v>Train</x:v>
      </x:c>
    </x:row>
    <x:row r="756" ht="34" customHeight="1">
      <x:c r="A756" s="4" t="str">
        <x:v>RS-00755</x:v>
      </x:c>
      <x:c r="B756" s="8" t="n">
        <x:v>45349</x:v>
      </x:c>
      <x:c r="C756" s="4" t="str">
        <x:v>PRJ-015</x:v>
      </x:c>
      <x:c r="D756" s="4" t="str">
        <x:v>Office</x:v>
      </x:c>
      <x:c r="E756" s="4" t="str">
        <x:v>Agreement signed</x:v>
      </x:c>
      <x:c r="F756" s="4" t="str">
        <x:v>CUS-00755</x:v>
      </x:c>
      <x:c r="G756" s="4" t="str">
        <x:v>UNIT-00755</x:v>
      </x:c>
      <x:c r="H756" s="9" t="n">
        <x:v>11000000</x:v>
      </x:c>
      <x:c r="I756" s="10" t="n">
        <x:v>0.08</x:v>
      </x:c>
      <x:c r="J756" s="11" t="n">
        <x:v>10</x:v>
      </x:c>
      <x:c r="K756" s="11" t="n">
        <x:v>8</x:v>
      </x:c>
      <x:c r="L756" s="11" t="n">
        <x:v>0</x:v>
      </x:c>
      <x:c r="M756" s="9" t="n">
        <x:f>ROUND(H756*(1-I756),2)</x:f>
        <x:v>10120000</x:v>
      </x:c>
      <x:c r="N756" s="4" t="str">
        <x:v>Sales head</x:v>
      </x:c>
      <x:c r="O756" s="4" t="str">
        <x:v>BOOK-00755</x:v>
      </x:c>
      <x:c r="P756" s="9" t="n">
        <x:v>2530000</x:v>
      </x:c>
      <x:c r="Q756" s="11" t="n">
        <x:v>0</x:v>
      </x:c>
      <x:c r="R756" s="8" t="n">
        <x:v>45409</x:v>
      </x:c>
      <x:c r="S756" s="4" t="str">
        <x:v>Retained</x:v>
      </x:c>
      <x:c r="T756" s="10" t="n">
        <x:v>0.310195</x:v>
      </x:c>
      <x:c r="U756" s="4" t="str">
        <x:v>Train</x:v>
      </x:c>
    </x:row>
    <x:row r="757" ht="34" customHeight="1">
      <x:c r="A757" s="4" t="str">
        <x:v>RS-00756</x:v>
      </x:c>
      <x:c r="B757" s="8" t="n">
        <x:v>45350</x:v>
      </x:c>
      <x:c r="C757" s="4" t="str">
        <x:v>PRJ-016</x:v>
      </x:c>
      <x:c r="D757" s="4" t="str">
        <x:v>Villa</x:v>
      </x:c>
      <x:c r="E757" s="4" t="str">
        <x:v>Handed over</x:v>
      </x:c>
      <x:c r="F757" s="4" t="str">
        <x:v>CUS-00756</x:v>
      </x:c>
      <x:c r="G757" s="4" t="str">
        <x:v>UNIT-00756</x:v>
      </x:c>
      <x:c r="H757" s="9" t="n">
        <x:v>10100000</x:v>
      </x:c>
      <x:c r="I757" s="10" t="n">
        <x:v>0.05</x:v>
      </x:c>
      <x:c r="J757" s="11" t="n">
        <x:v>9</x:v>
      </x:c>
      <x:c r="K757" s="11" t="n">
        <x:v>2</x:v>
      </x:c>
      <x:c r="L757" s="11" t="n">
        <x:v>1</x:v>
      </x:c>
      <x:c r="M757" s="9" t="n">
        <x:f>ROUND(H757*(1-I757),2)</x:f>
        <x:v>9595000</x:v>
      </x:c>
      <x:c r="N757" s="4" t="str">
        <x:v>Sales manager</x:v>
      </x:c>
      <x:c r="O757" s="4" t="str">
        <x:v>BOOK-00756</x:v>
      </x:c>
      <x:c r="P757" s="9" t="n">
        <x:v>959500</x:v>
      </x:c>
      <x:c r="Q757" s="11" t="n">
        <x:v>0</x:v>
      </x:c>
      <x:c r="R757" s="8" t="n">
        <x:v>45410</x:v>
      </x:c>
      <x:c r="S757" s="4" t="str">
        <x:v>Retained</x:v>
      </x:c>
      <x:c r="T757" s="10" t="n">
        <x:v>0.310195</x:v>
      </x:c>
      <x:c r="U757" s="4" t="str">
        <x:v>Train</x:v>
      </x:c>
    </x:row>
    <x:row r="758" ht="34" customHeight="1">
      <x:c r="A758" s="4" t="str">
        <x:v>RS-00757</x:v>
      </x:c>
      <x:c r="B758" s="8" t="n">
        <x:v>45323</x:v>
      </x:c>
      <x:c r="C758" s="4" t="str">
        <x:v>PRJ-017</x:v>
      </x:c>
      <x:c r="D758" s="4" t="str">
        <x:v>Villa</x:v>
      </x:c>
      <x:c r="E758" s="4" t="str">
        <x:v>Cancelled</x:v>
      </x:c>
      <x:c r="F758" s="4" t="str">
        <x:v>CUS-00757</x:v>
      </x:c>
      <x:c r="G758" s="4" t="str">
        <x:v>UNIT-00757</x:v>
      </x:c>
      <x:c r="H758" s="9" t="n">
        <x:v>9000000</x:v>
      </x:c>
      <x:c r="I758" s="10" t="n">
        <x:v>0.01</x:v>
      </x:c>
      <x:c r="J758" s="11" t="n">
        <x:v>11</x:v>
      </x:c>
      <x:c r="K758" s="11" t="n">
        <x:v>2</x:v>
      </x:c>
      <x:c r="L758" s="11" t="n">
        <x:v>0</x:v>
      </x:c>
      <x:c r="M758" s="9" t="n">
        <x:f>ROUND(H758*(1-I758),2)</x:f>
        <x:v>8910000</x:v>
      </x:c>
      <x:c r="N758" s="4" t="str">
        <x:v>Sales manager</x:v>
      </x:c>
      <x:c r="O758" s="4"/>
      <x:c r="P758" s="9" t="n">
        <x:v>0</x:v>
      </x:c>
      <x:c r="Q758" s="11" t="n">
        <x:v>1</x:v>
      </x:c>
      <x:c r="R758" s="8" t="n">
        <x:v>45383</x:v>
      </x:c>
      <x:c r="S758" s="4" t="str">
        <x:v>Lost / cancelled</x:v>
      </x:c>
      <x:c r="T758" s="10" t="n">
        <x:v>0.305556</x:v>
      </x:c>
      <x:c r="U758" s="4" t="str">
        <x:v>Train</x:v>
      </x:c>
    </x:row>
    <x:row r="759" ht="34" customHeight="1">
      <x:c r="A759" s="4" t="str">
        <x:v>RS-00758</x:v>
      </x:c>
      <x:c r="B759" s="8" t="n">
        <x:v>45324</x:v>
      </x:c>
      <x:c r="C759" s="4" t="str">
        <x:v>PRJ-018</x:v>
      </x:c>
      <x:c r="D759" s="4" t="str">
        <x:v>Apartment</x:v>
      </x:c>
      <x:c r="E759" s="4" t="str">
        <x:v>Booked</x:v>
      </x:c>
      <x:c r="F759" s="4" t="str">
        <x:v>CUS-00758</x:v>
      </x:c>
      <x:c r="G759" s="4" t="str">
        <x:v>UNIT-00758</x:v>
      </x:c>
      <x:c r="H759" s="9" t="n">
        <x:v>20600000</x:v>
      </x:c>
      <x:c r="I759" s="10" t="n">
        <x:v>0.02</x:v>
      </x:c>
      <x:c r="J759" s="11" t="n">
        <x:v>8</x:v>
      </x:c>
      <x:c r="K759" s="11" t="n">
        <x:v>9</x:v>
      </x:c>
      <x:c r="L759" s="11" t="n">
        <x:v>0</x:v>
      </x:c>
      <x:c r="M759" s="9" t="n">
        <x:f>ROUND(H759*(1-I759),2)</x:f>
        <x:v>20188000</x:v>
      </x:c>
      <x:c r="N759" s="4" t="str">
        <x:v>Sales manager</x:v>
      </x:c>
      <x:c r="O759" s="4" t="str">
        <x:v>BOOK-00758</x:v>
      </x:c>
      <x:c r="P759" s="9" t="n">
        <x:v>10094000</x:v>
      </x:c>
      <x:c r="Q759" s="11" t="n">
        <x:v>0</x:v>
      </x:c>
      <x:c r="R759" s="8" t="n">
        <x:v>45384</x:v>
      </x:c>
      <x:c r="S759" s="4" t="str">
        <x:v>Retained</x:v>
      </x:c>
      <x:c r="T759" s="10" t="n">
        <x:v>0.305556</x:v>
      </x:c>
      <x:c r="U759" s="4" t="str">
        <x:v>Train</x:v>
      </x:c>
    </x:row>
    <x:row r="760" ht="34" customHeight="1">
      <x:c r="A760" s="4" t="str">
        <x:v>RS-00759</x:v>
      </x:c>
      <x:c r="B760" s="8" t="n">
        <x:v>45325</x:v>
      </x:c>
      <x:c r="C760" s="4" t="str">
        <x:v>PRJ-019</x:v>
      </x:c>
      <x:c r="D760" s="4" t="str">
        <x:v>Apartment</x:v>
      </x:c>
      <x:c r="E760" s="4" t="str">
        <x:v>Handed over</x:v>
      </x:c>
      <x:c r="F760" s="4" t="str">
        <x:v>CUS-00759</x:v>
      </x:c>
      <x:c r="G760" s="4" t="str">
        <x:v>UNIT-00759</x:v>
      </x:c>
      <x:c r="H760" s="9" t="n">
        <x:v>3600000</x:v>
      </x:c>
      <x:c r="I760" s="10" t="n">
        <x:v>0.08</x:v>
      </x:c>
      <x:c r="J760" s="11" t="n">
        <x:v>10</x:v>
      </x:c>
      <x:c r="K760" s="11" t="n">
        <x:v>4</x:v>
      </x:c>
      <x:c r="L760" s="11" t="n">
        <x:v>1</x:v>
      </x:c>
      <x:c r="M760" s="9" t="n">
        <x:f>ROUND(H760*(1-I760),2)</x:f>
        <x:v>3312000</x:v>
      </x:c>
      <x:c r="N760" s="4" t="str">
        <x:v>Sales head</x:v>
      </x:c>
      <x:c r="O760" s="4" t="str">
        <x:v>BOOK-00759</x:v>
      </x:c>
      <x:c r="P760" s="9" t="n">
        <x:v>1656000</x:v>
      </x:c>
      <x:c r="Q760" s="11" t="n">
        <x:v>0</x:v>
      </x:c>
      <x:c r="R760" s="8" t="n">
        <x:v>45385</x:v>
      </x:c>
      <x:c r="S760" s="4" t="str">
        <x:v>Retained</x:v>
      </x:c>
      <x:c r="T760" s="10" t="n">
        <x:v>0.310195</x:v>
      </x:c>
      <x:c r="U760" s="4" t="str">
        <x:v>Train</x:v>
      </x:c>
    </x:row>
    <x:row r="761" ht="34" customHeight="1">
      <x:c r="A761" s="4" t="str">
        <x:v>RS-00760</x:v>
      </x:c>
      <x:c r="B761" s="8" t="n">
        <x:v>45326</x:v>
      </x:c>
      <x:c r="C761" s="4" t="str">
        <x:v>PRJ-020</x:v>
      </x:c>
      <x:c r="D761" s="4" t="str">
        <x:v>Office</x:v>
      </x:c>
      <x:c r="E761" s="4" t="str">
        <x:v>Reserved</x:v>
      </x:c>
      <x:c r="F761" s="4" t="str">
        <x:v>CUS-00760</x:v>
      </x:c>
      <x:c r="G761" s="4" t="str">
        <x:v>UNIT-00760</x:v>
      </x:c>
      <x:c r="H761" s="9" t="n">
        <x:v>24900000</x:v>
      </x:c>
      <x:c r="I761" s="10" t="n">
        <x:v>0.09</x:v>
      </x:c>
      <x:c r="J761" s="11" t="n">
        <x:v>11</x:v>
      </x:c>
      <x:c r="K761" s="11" t="n">
        <x:v>4</x:v>
      </x:c>
      <x:c r="L761" s="11" t="n">
        <x:v>0</x:v>
      </x:c>
      <x:c r="M761" s="9" t="n">
        <x:f>ROUND(H761*(1-I761),2)</x:f>
        <x:v>22659000</x:v>
      </x:c>
      <x:c r="N761" s="4" t="str">
        <x:v>Sales head</x:v>
      </x:c>
      <x:c r="O761" s="4"/>
      <x:c r="P761" s="9" t="n">
        <x:v>0</x:v>
      </x:c>
      <x:c r="Q761" s="11" t="n">
        <x:v>0</x:v>
      </x:c>
      <x:c r="R761" s="8" t="n">
        <x:v>45386</x:v>
      </x:c>
      <x:c r="S761" s="4" t="str">
        <x:v>Retained</x:v>
      </x:c>
      <x:c r="T761" s="10" t="n">
        <x:v>0.351536</x:v>
      </x:c>
      <x:c r="U761" s="4" t="str">
        <x:v>Train</x:v>
      </x:c>
    </x:row>
    <x:row r="762" ht="34" customHeight="1">
      <x:c r="A762" s="4" t="str">
        <x:v>RS-00761</x:v>
      </x:c>
      <x:c r="B762" s="8" t="n">
        <x:v>45327</x:v>
      </x:c>
      <x:c r="C762" s="4" t="str">
        <x:v>PRJ-001</x:v>
      </x:c>
      <x:c r="D762" s="4" t="str">
        <x:v>Villa</x:v>
      </x:c>
      <x:c r="E762" s="4" t="str">
        <x:v>Reserved</x:v>
      </x:c>
      <x:c r="F762" s="4" t="str">
        <x:v>CUS-00761</x:v>
      </x:c>
      <x:c r="G762" s="4" t="str">
        <x:v>UNIT-00761</x:v>
      </x:c>
      <x:c r="H762" s="9" t="n">
        <x:v>22300000</x:v>
      </x:c>
      <x:c r="I762" s="10" t="n">
        <x:v>0.08</x:v>
      </x:c>
      <x:c r="J762" s="11" t="n">
        <x:v>2</x:v>
      </x:c>
      <x:c r="K762" s="11" t="n">
        <x:v>3</x:v>
      </x:c>
      <x:c r="L762" s="11" t="n">
        <x:v>1</x:v>
      </x:c>
      <x:c r="M762" s="9" t="n">
        <x:f>ROUND(H762*(1-I762),2)</x:f>
        <x:v>20516000</x:v>
      </x:c>
      <x:c r="N762" s="4" t="str">
        <x:v>Sales head</x:v>
      </x:c>
      <x:c r="O762" s="4"/>
      <x:c r="P762" s="9" t="n">
        <x:v>0</x:v>
      </x:c>
      <x:c r="Q762" s="11" t="n">
        <x:v>0</x:v>
      </x:c>
      <x:c r="R762" s="8" t="n">
        <x:v>45387</x:v>
      </x:c>
      <x:c r="S762" s="4" t="str">
        <x:v>Retained</x:v>
      </x:c>
      <x:c r="T762" s="10" t="n">
        <x:v>0.204152</x:v>
      </x:c>
      <x:c r="U762" s="4" t="str">
        <x:v>Train</x:v>
      </x:c>
    </x:row>
    <x:row r="763" ht="34" customHeight="1">
      <x:c r="A763" s="4" t="str">
        <x:v>RS-00762</x:v>
      </x:c>
      <x:c r="B763" s="8" t="n">
        <x:v>45328</x:v>
      </x:c>
      <x:c r="C763" s="4" t="str">
        <x:v>PRJ-002</x:v>
      </x:c>
      <x:c r="D763" s="4" t="str">
        <x:v>Office</x:v>
      </x:c>
      <x:c r="E763" s="4" t="str">
        <x:v>Handed over</x:v>
      </x:c>
      <x:c r="F763" s="4" t="str">
        <x:v>CUS-00762</x:v>
      </x:c>
      <x:c r="G763" s="4" t="str">
        <x:v>UNIT-00762</x:v>
      </x:c>
      <x:c r="H763" s="9" t="n">
        <x:v>17300000</x:v>
      </x:c>
      <x:c r="I763" s="10" t="n">
        <x:v>0.06</x:v>
      </x:c>
      <x:c r="J763" s="11" t="n">
        <x:v>2</x:v>
      </x:c>
      <x:c r="K763" s="11" t="n">
        <x:v>4</x:v>
      </x:c>
      <x:c r="L763" s="11" t="n">
        <x:v>1</x:v>
      </x:c>
      <x:c r="M763" s="9" t="n">
        <x:f>ROUND(H763*(1-I763),2)</x:f>
        <x:v>16262000</x:v>
      </x:c>
      <x:c r="N763" s="4" t="str">
        <x:v>Sales manager</x:v>
      </x:c>
      <x:c r="O763" s="4" t="str">
        <x:v>BOOK-00762</x:v>
      </x:c>
      <x:c r="P763" s="9" t="n">
        <x:v>4065500</x:v>
      </x:c>
      <x:c r="Q763" s="11" t="n">
        <x:v>0</x:v>
      </x:c>
      <x:c r="R763" s="8" t="n">
        <x:v>45388</x:v>
      </x:c>
      <x:c r="S763" s="4" t="str">
        <x:v>Retained</x:v>
      </x:c>
      <x:c r="T763" s="10" t="n">
        <x:v>0.204152</x:v>
      </x:c>
      <x:c r="U763" s="4" t="str">
        <x:v>Train</x:v>
      </x:c>
    </x:row>
    <x:row r="764" ht="34" customHeight="1">
      <x:c r="A764" s="4" t="str">
        <x:v>RS-00763</x:v>
      </x:c>
      <x:c r="B764" s="8" t="n">
        <x:v>45329</x:v>
      </x:c>
      <x:c r="C764" s="4" t="str">
        <x:v>PRJ-003</x:v>
      </x:c>
      <x:c r="D764" s="4" t="str">
        <x:v>Retail</x:v>
      </x:c>
      <x:c r="E764" s="4" t="str">
        <x:v>Booked</x:v>
      </x:c>
      <x:c r="F764" s="4" t="str">
        <x:v>CUS-00763</x:v>
      </x:c>
      <x:c r="G764" s="4" t="str">
        <x:v>UNIT-00763</x:v>
      </x:c>
      <x:c r="H764" s="9" t="n">
        <x:v>8300000</x:v>
      </x:c>
      <x:c r="I764" s="10" t="n">
        <x:v>0.05</x:v>
      </x:c>
      <x:c r="J764" s="11" t="n">
        <x:v>6</x:v>
      </x:c>
      <x:c r="K764" s="11" t="n">
        <x:v>10</x:v>
      </x:c>
      <x:c r="L764" s="11" t="n">
        <x:v>1</x:v>
      </x:c>
      <x:c r="M764" s="9" t="n">
        <x:f>ROUND(H764*(1-I764),2)</x:f>
        <x:v>7885000</x:v>
      </x:c>
      <x:c r="N764" s="4" t="str">
        <x:v>Sales manager</x:v>
      </x:c>
      <x:c r="O764" s="4" t="str">
        <x:v>BOOK-00763</x:v>
      </x:c>
      <x:c r="P764" s="9" t="n">
        <x:v>7885000</x:v>
      </x:c>
      <x:c r="Q764" s="11" t="n">
        <x:v>0</x:v>
      </x:c>
      <x:c r="R764" s="8" t="n">
        <x:v>45389</x:v>
      </x:c>
      <x:c r="S764" s="4" t="str">
        <x:v>Retained</x:v>
      </x:c>
      <x:c r="T764" s="10" t="n">
        <x:v>0.291946</x:v>
      </x:c>
      <x:c r="U764" s="4" t="str">
        <x:v>Train</x:v>
      </x:c>
    </x:row>
    <x:row r="765" ht="34" customHeight="1">
      <x:c r="A765" s="4" t="str">
        <x:v>RS-00764</x:v>
      </x:c>
      <x:c r="B765" s="8" t="n">
        <x:v>45330</x:v>
      </x:c>
      <x:c r="C765" s="4" t="str">
        <x:v>PRJ-004</x:v>
      </x:c>
      <x:c r="D765" s="4" t="str">
        <x:v>Villa</x:v>
      </x:c>
      <x:c r="E765" s="4" t="str">
        <x:v>Agreement signed</x:v>
      </x:c>
      <x:c r="F765" s="4" t="str">
        <x:v>CUS-00764</x:v>
      </x:c>
      <x:c r="G765" s="4" t="str">
        <x:v>UNIT-00764</x:v>
      </x:c>
      <x:c r="H765" s="9" t="n">
        <x:v>10700000</x:v>
      </x:c>
      <x:c r="I765" s="10" t="n">
        <x:v>0.09</x:v>
      </x:c>
      <x:c r="J765" s="11" t="n">
        <x:v>6</x:v>
      </x:c>
      <x:c r="K765" s="11" t="n">
        <x:v>10</x:v>
      </x:c>
      <x:c r="L765" s="11" t="n">
        <x:v>0</x:v>
      </x:c>
      <x:c r="M765" s="9" t="n">
        <x:f>ROUND(H765*(1-I765),2)</x:f>
        <x:v>9737000</x:v>
      </x:c>
      <x:c r="N765" s="4" t="str">
        <x:v>Sales head</x:v>
      </x:c>
      <x:c r="O765" s="4" t="str">
        <x:v>BOOK-00764</x:v>
      </x:c>
      <x:c r="P765" s="9" t="n">
        <x:v>973700</x:v>
      </x:c>
      <x:c r="Q765" s="11" t="n">
        <x:v>0</x:v>
      </x:c>
      <x:c r="R765" s="8" t="n">
        <x:v>45390</x:v>
      </x:c>
      <x:c r="S765" s="4" t="str">
        <x:v>Retained</x:v>
      </x:c>
      <x:c r="T765" s="10" t="n">
        <x:v>0.226277</x:v>
      </x:c>
      <x:c r="U765" s="4" t="str">
        <x:v>Train</x:v>
      </x:c>
    </x:row>
    <x:row r="766" ht="34" customHeight="1">
      <x:c r="A766" s="4" t="str">
        <x:v>RS-00765</x:v>
      </x:c>
      <x:c r="B766" s="8" t="n">
        <x:v>45331</x:v>
      </x:c>
      <x:c r="C766" s="4" t="str">
        <x:v>PRJ-005</x:v>
      </x:c>
      <x:c r="D766" s="4" t="str">
        <x:v>Office</x:v>
      </x:c>
      <x:c r="E766" s="4" t="str">
        <x:v>Handed over</x:v>
      </x:c>
      <x:c r="F766" s="4" t="str">
        <x:v>CUS-00765</x:v>
      </x:c>
      <x:c r="G766" s="4" t="str">
        <x:v>UNIT-00765</x:v>
      </x:c>
      <x:c r="H766" s="9" t="n">
        <x:v>7900000</x:v>
      </x:c>
      <x:c r="I766" s="10" t="n">
        <x:v>0.02</x:v>
      </x:c>
      <x:c r="J766" s="11" t="n">
        <x:v>7</x:v>
      </x:c>
      <x:c r="K766" s="11" t="n">
        <x:v>7</x:v>
      </x:c>
      <x:c r="L766" s="11" t="n">
        <x:v>0</x:v>
      </x:c>
      <x:c r="M766" s="9" t="n">
        <x:f>ROUND(H766*(1-I766),2)</x:f>
        <x:v>7742000</x:v>
      </x:c>
      <x:c r="N766" s="4" t="str">
        <x:v>Sales manager</x:v>
      </x:c>
      <x:c r="O766" s="4" t="str">
        <x:v>BOOK-00765</x:v>
      </x:c>
      <x:c r="P766" s="9" t="n">
        <x:v>1935500</x:v>
      </x:c>
      <x:c r="Q766" s="11" t="n">
        <x:v>0</x:v>
      </x:c>
      <x:c r="R766" s="8" t="n">
        <x:v>45391</x:v>
      </x:c>
      <x:c r="S766" s="4" t="str">
        <x:v>Retained</x:v>
      </x:c>
      <x:c r="T766" s="10" t="n">
        <x:v>0.145299</x:v>
      </x:c>
      <x:c r="U766" s="4" t="str">
        <x:v>Train</x:v>
      </x:c>
    </x:row>
    <x:row r="767" ht="34" customHeight="1">
      <x:c r="A767" s="4" t="str">
        <x:v>RS-00766</x:v>
      </x:c>
      <x:c r="B767" s="8" t="n">
        <x:v>45332</x:v>
      </x:c>
      <x:c r="C767" s="4" t="str">
        <x:v>PRJ-006</x:v>
      </x:c>
      <x:c r="D767" s="4" t="str">
        <x:v>Office</x:v>
      </x:c>
      <x:c r="E767" s="4" t="str">
        <x:v>Enquiry</x:v>
      </x:c>
      <x:c r="F767" s="4" t="str">
        <x:v>CUS-00766</x:v>
      </x:c>
      <x:c r="G767" s="4" t="str">
        <x:v>UNIT-00766</x:v>
      </x:c>
      <x:c r="H767" s="9" t="n">
        <x:v>16900000</x:v>
      </x:c>
      <x:c r="I767" s="10" t="n">
        <x:v>0.05</x:v>
      </x:c>
      <x:c r="J767" s="11" t="n">
        <x:v>11</x:v>
      </x:c>
      <x:c r="K767" s="11" t="n">
        <x:v>2</x:v>
      </x:c>
      <x:c r="L767" s="11" t="n">
        <x:v>0</x:v>
      </x:c>
      <x:c r="M767" s="9" t="n">
        <x:f>ROUND(H767*(1-I767),2)</x:f>
        <x:v>16055000</x:v>
      </x:c>
      <x:c r="N767" s="4" t="str">
        <x:v>Sales manager</x:v>
      </x:c>
      <x:c r="O767" s="4"/>
      <x:c r="P767" s="9" t="n">
        <x:v>0</x:v>
      </x:c>
      <x:c r="Q767" s="11" t="n">
        <x:v>1</x:v>
      </x:c>
      <x:c r="R767" s="8" t="n">
        <x:v>45392</x:v>
      </x:c>
      <x:c r="S767" s="4" t="str">
        <x:v>Lost / cancelled</x:v>
      </x:c>
      <x:c r="T767" s="10" t="n">
        <x:v>0.351536</x:v>
      </x:c>
      <x:c r="U767" s="4" t="str">
        <x:v>Train</x:v>
      </x:c>
    </x:row>
    <x:row r="768" ht="34" customHeight="1">
      <x:c r="A768" s="4" t="str">
        <x:v>RS-00767</x:v>
      </x:c>
      <x:c r="B768" s="8" t="n">
        <x:v>45333</x:v>
      </x:c>
      <x:c r="C768" s="4" t="str">
        <x:v>PRJ-007</x:v>
      </x:c>
      <x:c r="D768" s="4" t="str">
        <x:v>Villa</x:v>
      </x:c>
      <x:c r="E768" s="4" t="str">
        <x:v>Cancelled</x:v>
      </x:c>
      <x:c r="F768" s="4" t="str">
        <x:v>CUS-00767</x:v>
      </x:c>
      <x:c r="G768" s="4" t="str">
        <x:v>UNIT-00767</x:v>
      </x:c>
      <x:c r="H768" s="9" t="n">
        <x:v>22600000</x:v>
      </x:c>
      <x:c r="I768" s="10" t="n">
        <x:v>0.02</x:v>
      </x:c>
      <x:c r="J768" s="11" t="n">
        <x:v>12</x:v>
      </x:c>
      <x:c r="K768" s="11" t="n">
        <x:v>1</x:v>
      </x:c>
      <x:c r="L768" s="11" t="n">
        <x:v>1</x:v>
      </x:c>
      <x:c r="M768" s="9" t="n">
        <x:f>ROUND(H768*(1-I768),2)</x:f>
        <x:v>22148000</x:v>
      </x:c>
      <x:c r="N768" s="4" t="str">
        <x:v>Sales manager</x:v>
      </x:c>
      <x:c r="O768" s="4"/>
      <x:c r="P768" s="9" t="n">
        <x:v>0</x:v>
      </x:c>
      <x:c r="Q768" s="11" t="n">
        <x:v>1</x:v>
      </x:c>
      <x:c r="R768" s="8" t="n">
        <x:v>45393</x:v>
      </x:c>
      <x:c r="S768" s="4" t="str">
        <x:v>Lost / cancelled</x:v>
      </x:c>
      <x:c r="T768" s="10" t="n">
        <x:v>0.254545</x:v>
      </x:c>
      <x:c r="U768" s="4" t="str">
        <x:v>Train</x:v>
      </x:c>
    </x:row>
    <x:row r="769" ht="34" customHeight="1">
      <x:c r="A769" s="4" t="str">
        <x:v>RS-00768</x:v>
      </x:c>
      <x:c r="B769" s="8" t="n">
        <x:v>45334</x:v>
      </x:c>
      <x:c r="C769" s="4" t="str">
        <x:v>PRJ-008</x:v>
      </x:c>
      <x:c r="D769" s="4" t="str">
        <x:v>Retail</x:v>
      </x:c>
      <x:c r="E769" s="4" t="str">
        <x:v>Enquiry</x:v>
      </x:c>
      <x:c r="F769" s="4" t="str">
        <x:v>CUS-00768</x:v>
      </x:c>
      <x:c r="G769" s="4" t="str">
        <x:v>UNIT-00768</x:v>
      </x:c>
      <x:c r="H769" s="9" t="n">
        <x:v>6800000</x:v>
      </x:c>
      <x:c r="I769" s="10" t="n">
        <x:v>0.08</x:v>
      </x:c>
      <x:c r="J769" s="11" t="n">
        <x:v>5</x:v>
      </x:c>
      <x:c r="K769" s="11" t="n">
        <x:v>7</x:v>
      </x:c>
      <x:c r="L769" s="11" t="n">
        <x:v>1</x:v>
      </x:c>
      <x:c r="M769" s="9" t="n">
        <x:f>ROUND(H769*(1-I769),2)</x:f>
        <x:v>6256000</x:v>
      </x:c>
      <x:c r="N769" s="4" t="str">
        <x:v>Sales head</x:v>
      </x:c>
      <x:c r="O769" s="4"/>
      <x:c r="P769" s="9" t="n">
        <x:v>0</x:v>
      </x:c>
      <x:c r="Q769" s="11" t="n">
        <x:v>1</x:v>
      </x:c>
      <x:c r="R769" s="8" t="n">
        <x:v>45394</x:v>
      </x:c>
      <x:c r="S769" s="4" t="str">
        <x:v>Lost / cancelled</x:v>
      </x:c>
      <x:c r="T769" s="10" t="n">
        <x:v>0.291946</x:v>
      </x:c>
      <x:c r="U769" s="4" t="str">
        <x:v>Train</x:v>
      </x:c>
    </x:row>
    <x:row r="770" ht="34" customHeight="1">
      <x:c r="A770" s="4" t="str">
        <x:v>RS-00769</x:v>
      </x:c>
      <x:c r="B770" s="8" t="n">
        <x:v>45335</x:v>
      </x:c>
      <x:c r="C770" s="4" t="str">
        <x:v>PRJ-009</x:v>
      </x:c>
      <x:c r="D770" s="4" t="str">
        <x:v>Apartment</x:v>
      </x:c>
      <x:c r="E770" s="4" t="str">
        <x:v>Handed over</x:v>
      </x:c>
      <x:c r="F770" s="4" t="str">
        <x:v>CUS-00769</x:v>
      </x:c>
      <x:c r="G770" s="4" t="str">
        <x:v>UNIT-00769</x:v>
      </x:c>
      <x:c r="H770" s="9" t="n">
        <x:v>9800000</x:v>
      </x:c>
      <x:c r="I770" s="10" t="n">
        <x:v>0.11</x:v>
      </x:c>
      <x:c r="J770" s="11" t="n">
        <x:v>8</x:v>
      </x:c>
      <x:c r="K770" s="11" t="n">
        <x:v>3</x:v>
      </x:c>
      <x:c r="L770" s="11" t="n">
        <x:v>1</x:v>
      </x:c>
      <x:c r="M770" s="9" t="n">
        <x:f>ROUND(H770*(1-I770),2)</x:f>
        <x:v>8722000</x:v>
      </x:c>
      <x:c r="N770" s="4" t="str">
        <x:v>Sales head</x:v>
      </x:c>
      <x:c r="O770" s="4" t="str">
        <x:v>BOOK-00769</x:v>
      </x:c>
      <x:c r="P770" s="9" t="n">
        <x:v>4361000</x:v>
      </x:c>
      <x:c r="Q770" s="11" t="n">
        <x:v>0</x:v>
      </x:c>
      <x:c r="R770" s="8" t="n">
        <x:v>45395</x:v>
      </x:c>
      <x:c r="S770" s="4" t="str">
        <x:v>Retained</x:v>
      </x:c>
      <x:c r="T770" s="10" t="n">
        <x:v>0.310195</x:v>
      </x:c>
      <x:c r="U770" s="4" t="str">
        <x:v>Train</x:v>
      </x:c>
    </x:row>
    <x:row r="771" ht="34" customHeight="1">
      <x:c r="A771" s="4" t="str">
        <x:v>RS-00770</x:v>
      </x:c>
      <x:c r="B771" s="8" t="n">
        <x:v>45336</x:v>
      </x:c>
      <x:c r="C771" s="4" t="str">
        <x:v>PRJ-010</x:v>
      </x:c>
      <x:c r="D771" s="4" t="str">
        <x:v>Apartment</x:v>
      </x:c>
      <x:c r="E771" s="4" t="str">
        <x:v>Reserved</x:v>
      </x:c>
      <x:c r="F771" s="4" t="str">
        <x:v>CUS-00770</x:v>
      </x:c>
      <x:c r="G771" s="4" t="str">
        <x:v>UNIT-00770</x:v>
      </x:c>
      <x:c r="H771" s="9" t="n">
        <x:v>10200000</x:v>
      </x:c>
      <x:c r="I771" s="10" t="n">
        <x:v>0.07</x:v>
      </x:c>
      <x:c r="J771" s="11" t="n">
        <x:v>3</x:v>
      </x:c>
      <x:c r="K771" s="11" t="n">
        <x:v>6</x:v>
      </x:c>
      <x:c r="L771" s="11" t="n">
        <x:v>0</x:v>
      </x:c>
      <x:c r="M771" s="9" t="n">
        <x:f>ROUND(H771*(1-I771),2)</x:f>
        <x:v>9486000</x:v>
      </x:c>
      <x:c r="N771" s="4" t="str">
        <x:v>Sales manager</x:v>
      </x:c>
      <x:c r="O771" s="4"/>
      <x:c r="P771" s="9" t="n">
        <x:v>0</x:v>
      </x:c>
      <x:c r="Q771" s="11" t="n">
        <x:v>0</x:v>
      </x:c>
      <x:c r="R771" s="8" t="n">
        <x:v>45396</x:v>
      </x:c>
      <x:c r="S771" s="4" t="str">
        <x:v>Retained</x:v>
      </x:c>
      <x:c r="T771" s="10" t="n">
        <x:v>0.204152</x:v>
      </x:c>
      <x:c r="U771" s="4" t="str">
        <x:v>Train</x:v>
      </x:c>
    </x:row>
    <x:row r="772" ht="34" customHeight="1">
      <x:c r="A772" s="4" t="str">
        <x:v>RS-00771</x:v>
      </x:c>
      <x:c r="B772" s="8" t="n">
        <x:v>45337</x:v>
      </x:c>
      <x:c r="C772" s="4" t="str">
        <x:v>PRJ-011</x:v>
      </x:c>
      <x:c r="D772" s="4" t="str">
        <x:v>Apartment</x:v>
      </x:c>
      <x:c r="E772" s="4" t="str">
        <x:v>Booked</x:v>
      </x:c>
      <x:c r="F772" s="4" t="str">
        <x:v>CUS-00771</x:v>
      </x:c>
      <x:c r="G772" s="4" t="str">
        <x:v>UNIT-00771</x:v>
      </x:c>
      <x:c r="H772" s="9" t="n">
        <x:v>6500000</x:v>
      </x:c>
      <x:c r="I772" s="10" t="n">
        <x:v>0.07</x:v>
      </x:c>
      <x:c r="J772" s="11" t="n">
        <x:v>2</x:v>
      </x:c>
      <x:c r="K772" s="11" t="n">
        <x:v>2</x:v>
      </x:c>
      <x:c r="L772" s="11" t="n">
        <x:v>0</x:v>
      </x:c>
      <x:c r="M772" s="9" t="n">
        <x:f>ROUND(H772*(1-I772),2)</x:f>
        <x:v>6045000</x:v>
      </x:c>
      <x:c r="N772" s="4" t="str">
        <x:v>Sales manager</x:v>
      </x:c>
      <x:c r="O772" s="4" t="str">
        <x:v>BOOK-00771</x:v>
      </x:c>
      <x:c r="P772" s="9" t="n">
        <x:v>6045000</x:v>
      </x:c>
      <x:c r="Q772" s="11" t="n">
        <x:v>0</x:v>
      </x:c>
      <x:c r="R772" s="8" t="n">
        <x:v>45397</x:v>
      </x:c>
      <x:c r="S772" s="4" t="str">
        <x:v>Retained</x:v>
      </x:c>
      <x:c r="T772" s="10" t="n">
        <x:v>0.204152</x:v>
      </x:c>
      <x:c r="U772" s="4" t="str">
        <x:v>Train</x:v>
      </x:c>
    </x:row>
    <x:row r="773" ht="34" customHeight="1">
      <x:c r="A773" s="4" t="str">
        <x:v>RS-00772</x:v>
      </x:c>
      <x:c r="B773" s="8" t="n">
        <x:v>45338</x:v>
      </x:c>
      <x:c r="C773" s="4" t="str">
        <x:v>PRJ-012</x:v>
      </x:c>
      <x:c r="D773" s="4" t="str">
        <x:v>Retail</x:v>
      </x:c>
      <x:c r="E773" s="4" t="str">
        <x:v>Reserved</x:v>
      </x:c>
      <x:c r="F773" s="4" t="str">
        <x:v>CUS-00772</x:v>
      </x:c>
      <x:c r="G773" s="4" t="str">
        <x:v>UNIT-00772</x:v>
      </x:c>
      <x:c r="H773" s="9" t="n">
        <x:v>21300000</x:v>
      </x:c>
      <x:c r="I773" s="10" t="n">
        <x:v>0.04</x:v>
      </x:c>
      <x:c r="J773" s="11" t="n">
        <x:v>12</x:v>
      </x:c>
      <x:c r="K773" s="11" t="n">
        <x:v>9</x:v>
      </x:c>
      <x:c r="L773" s="11" t="n">
        <x:v>0</x:v>
      </x:c>
      <x:c r="M773" s="9" t="n">
        <x:f>ROUND(H773*(1-I773),2)</x:f>
        <x:v>20448000</x:v>
      </x:c>
      <x:c r="N773" s="4" t="str">
        <x:v>Sales manager</x:v>
      </x:c>
      <x:c r="O773" s="4"/>
      <x:c r="P773" s="9" t="n">
        <x:v>0</x:v>
      </x:c>
      <x:c r="Q773" s="11" t="n">
        <x:v>1</x:v>
      </x:c>
      <x:c r="R773" s="8" t="n">
        <x:v>45398</x:v>
      </x:c>
      <x:c r="S773" s="4" t="str">
        <x:v>Lost / cancelled</x:v>
      </x:c>
      <x:c r="T773" s="10" t="n">
        <x:v>0.351536</x:v>
      </x:c>
      <x:c r="U773" s="4" t="str">
        <x:v>Train</x:v>
      </x:c>
    </x:row>
    <x:row r="774" ht="34" customHeight="1">
      <x:c r="A774" s="4" t="str">
        <x:v>RS-00773</x:v>
      </x:c>
      <x:c r="B774" s="8" t="n">
        <x:v>45339</x:v>
      </x:c>
      <x:c r="C774" s="4" t="str">
        <x:v>PRJ-013</x:v>
      </x:c>
      <x:c r="D774" s="4" t="str">
        <x:v>Villa</x:v>
      </x:c>
      <x:c r="E774" s="4" t="str">
        <x:v>Reserved</x:v>
      </x:c>
      <x:c r="F774" s="4" t="str">
        <x:v>CUS-00773</x:v>
      </x:c>
      <x:c r="G774" s="4" t="str">
        <x:v>UNIT-00773</x:v>
      </x:c>
      <x:c r="H774" s="9" t="n">
        <x:v>19600000</x:v>
      </x:c>
      <x:c r="I774" s="10" t="n">
        <x:v>0.01</x:v>
      </x:c>
      <x:c r="J774" s="11" t="n">
        <x:v>8</x:v>
      </x:c>
      <x:c r="K774" s="11" t="n">
        <x:v>2</x:v>
      </x:c>
      <x:c r="L774" s="11" t="n">
        <x:v>0</x:v>
      </x:c>
      <x:c r="M774" s="9" t="n">
        <x:f>ROUND(H774*(1-I774),2)</x:f>
        <x:v>19404000</x:v>
      </x:c>
      <x:c r="N774" s="4" t="str">
        <x:v>Sales manager</x:v>
      </x:c>
      <x:c r="O774" s="4"/>
      <x:c r="P774" s="9" t="n">
        <x:v>0</x:v>
      </x:c>
      <x:c r="Q774" s="11" t="n">
        <x:v>0</x:v>
      </x:c>
      <x:c r="R774" s="8" t="n">
        <x:v>45399</x:v>
      </x:c>
      <x:c r="S774" s="4" t="str">
        <x:v>Retained</x:v>
      </x:c>
      <x:c r="T774" s="10" t="n">
        <x:v>0.305556</x:v>
      </x:c>
      <x:c r="U774" s="4" t="str">
        <x:v>Train</x:v>
      </x:c>
    </x:row>
    <x:row r="775" ht="34" customHeight="1">
      <x:c r="A775" s="4" t="str">
        <x:v>RS-00774</x:v>
      </x:c>
      <x:c r="B775" s="8" t="n">
        <x:v>45340</x:v>
      </x:c>
      <x:c r="C775" s="4" t="str">
        <x:v>PRJ-014</x:v>
      </x:c>
      <x:c r="D775" s="4" t="str">
        <x:v>Retail</x:v>
      </x:c>
      <x:c r="E775" s="4" t="str">
        <x:v>Enquiry</x:v>
      </x:c>
      <x:c r="F775" s="4" t="str">
        <x:v>CUS-00774</x:v>
      </x:c>
      <x:c r="G775" s="4" t="str">
        <x:v>UNIT-00774</x:v>
      </x:c>
      <x:c r="H775" s="9" t="n">
        <x:v>19600000</x:v>
      </x:c>
      <x:c r="I775" s="10" t="n">
        <x:v>0.11</x:v>
      </x:c>
      <x:c r="J775" s="11" t="n">
        <x:v>10</x:v>
      </x:c>
      <x:c r="K775" s="11" t="n">
        <x:v>9</x:v>
      </x:c>
      <x:c r="L775" s="11" t="n">
        <x:v>0</x:v>
      </x:c>
      <x:c r="M775" s="9" t="n">
        <x:f>ROUND(H775*(1-I775),2)</x:f>
        <x:v>17444000</x:v>
      </x:c>
      <x:c r="N775" s="4" t="str">
        <x:v>Sales head</x:v>
      </x:c>
      <x:c r="O775" s="4"/>
      <x:c r="P775" s="9" t="n">
        <x:v>0</x:v>
      </x:c>
      <x:c r="Q775" s="11" t="n">
        <x:v>0</x:v>
      </x:c>
      <x:c r="R775" s="8" t="n">
        <x:v>45400</x:v>
      </x:c>
      <x:c r="S775" s="4" t="str">
        <x:v>Retained</x:v>
      </x:c>
      <x:c r="T775" s="10" t="n">
        <x:v>0.310195</x:v>
      </x:c>
      <x:c r="U775" s="4" t="str">
        <x:v>Train</x:v>
      </x:c>
    </x:row>
    <x:row r="776" ht="34" customHeight="1">
      <x:c r="A776" s="4" t="str">
        <x:v>RS-00775</x:v>
      </x:c>
      <x:c r="B776" s="8" t="n">
        <x:v>45341</x:v>
      </x:c>
      <x:c r="C776" s="4" t="str">
        <x:v>PRJ-015</x:v>
      </x:c>
      <x:c r="D776" s="4" t="str">
        <x:v>Apartment</x:v>
      </x:c>
      <x:c r="E776" s="4" t="str">
        <x:v>Reserved</x:v>
      </x:c>
      <x:c r="F776" s="4" t="str">
        <x:v>CUS-00775</x:v>
      </x:c>
      <x:c r="G776" s="4" t="str">
        <x:v>UNIT-00775</x:v>
      </x:c>
      <x:c r="H776" s="9" t="n">
        <x:v>21900000</x:v>
      </x:c>
      <x:c r="I776" s="10" t="n">
        <x:v>0.04</x:v>
      </x:c>
      <x:c r="J776" s="11" t="n">
        <x:v>5</x:v>
      </x:c>
      <x:c r="K776" s="11" t="n">
        <x:v>8</x:v>
      </x:c>
      <x:c r="L776" s="11" t="n">
        <x:v>0</x:v>
      </x:c>
      <x:c r="M776" s="9" t="n">
        <x:f>ROUND(H776*(1-I776),2)</x:f>
        <x:v>21024000</x:v>
      </x:c>
      <x:c r="N776" s="4" t="str">
        <x:v>Sales manager</x:v>
      </x:c>
      <x:c r="O776" s="4"/>
      <x:c r="P776" s="9" t="n">
        <x:v>0</x:v>
      </x:c>
      <x:c r="Q776" s="11" t="n">
        <x:v>1</x:v>
      </x:c>
      <x:c r="R776" s="8" t="n">
        <x:v>45401</x:v>
      </x:c>
      <x:c r="S776" s="4" t="str">
        <x:v>Lost / cancelled</x:v>
      </x:c>
      <x:c r="T776" s="10" t="n">
        <x:v>0.226277</x:v>
      </x:c>
      <x:c r="U776" s="4" t="str">
        <x:v>Train</x:v>
      </x:c>
    </x:row>
    <x:row r="777" ht="34" customHeight="1">
      <x:c r="A777" s="4" t="str">
        <x:v>RS-00776</x:v>
      </x:c>
      <x:c r="B777" s="8" t="n">
        <x:v>45342</x:v>
      </x:c>
      <x:c r="C777" s="4" t="str">
        <x:v>PRJ-016</x:v>
      </x:c>
      <x:c r="D777" s="4" t="str">
        <x:v>Office</x:v>
      </x:c>
      <x:c r="E777" s="4" t="str">
        <x:v>Agreement signed</x:v>
      </x:c>
      <x:c r="F777" s="4" t="str">
        <x:v>CUS-00776</x:v>
      </x:c>
      <x:c r="G777" s="4" t="str">
        <x:v>UNIT-00776</x:v>
      </x:c>
      <x:c r="H777" s="9" t="n">
        <x:v>19300000</x:v>
      </x:c>
      <x:c r="I777" s="10" t="n">
        <x:v>0.05</x:v>
      </x:c>
      <x:c r="J777" s="11" t="n">
        <x:v>5</x:v>
      </x:c>
      <x:c r="K777" s="11" t="n">
        <x:v>9</x:v>
      </x:c>
      <x:c r="L777" s="11" t="n">
        <x:v>1</x:v>
      </x:c>
      <x:c r="M777" s="9" t="n">
        <x:f>ROUND(H777*(1-I777),2)</x:f>
        <x:v>18335000</x:v>
      </x:c>
      <x:c r="N777" s="4" t="str">
        <x:v>Sales manager</x:v>
      </x:c>
      <x:c r="O777" s="4" t="str">
        <x:v>BOOK-00776</x:v>
      </x:c>
      <x:c r="P777" s="9" t="n">
        <x:v>4583750</x:v>
      </x:c>
      <x:c r="Q777" s="11" t="n">
        <x:v>0</x:v>
      </x:c>
      <x:c r="R777" s="8" t="n">
        <x:v>45402</x:v>
      </x:c>
      <x:c r="S777" s="4" t="str">
        <x:v>Retained</x:v>
      </x:c>
      <x:c r="T777" s="10" t="n">
        <x:v>0.291946</x:v>
      </x:c>
      <x:c r="U777" s="4" t="str">
        <x:v>Train</x:v>
      </x:c>
    </x:row>
    <x:row r="778" ht="34" customHeight="1">
      <x:c r="A778" s="4" t="str">
        <x:v>RS-00777</x:v>
      </x:c>
      <x:c r="B778" s="8" t="n">
        <x:v>45343</x:v>
      </x:c>
      <x:c r="C778" s="4" t="str">
        <x:v>PRJ-017</x:v>
      </x:c>
      <x:c r="D778" s="4" t="str">
        <x:v>Villa</x:v>
      </x:c>
      <x:c r="E778" s="4" t="str">
        <x:v>Handed over</x:v>
      </x:c>
      <x:c r="F778" s="4" t="str">
        <x:v>CUS-00777</x:v>
      </x:c>
      <x:c r="G778" s="4" t="str">
        <x:v>UNIT-00777</x:v>
      </x:c>
      <x:c r="H778" s="9" t="n">
        <x:v>10200000</x:v>
      </x:c>
      <x:c r="I778" s="10" t="n">
        <x:v>0.04</x:v>
      </x:c>
      <x:c r="J778" s="11" t="n">
        <x:v>4</x:v>
      </x:c>
      <x:c r="K778" s="11" t="n">
        <x:v>3</x:v>
      </x:c>
      <x:c r="L778" s="11" t="n">
        <x:v>0</x:v>
      </x:c>
      <x:c r="M778" s="9" t="n">
        <x:f>ROUND(H778*(1-I778),2)</x:f>
        <x:v>9792000</x:v>
      </x:c>
      <x:c r="N778" s="4" t="str">
        <x:v>Sales manager</x:v>
      </x:c>
      <x:c r="O778" s="4" t="str">
        <x:v>BOOK-00777</x:v>
      </x:c>
      <x:c r="P778" s="9" t="n">
        <x:v>2448000</x:v>
      </x:c>
      <x:c r="Q778" s="11" t="n">
        <x:v>0</x:v>
      </x:c>
      <x:c r="R778" s="8" t="n">
        <x:v>45403</x:v>
      </x:c>
      <x:c r="S778" s="4" t="str">
        <x:v>Retained</x:v>
      </x:c>
      <x:c r="T778" s="10" t="n">
        <x:v>0.226277</x:v>
      </x:c>
      <x:c r="U778" s="4" t="str">
        <x:v>Train</x:v>
      </x:c>
    </x:row>
    <x:row r="779" ht="34" customHeight="1">
      <x:c r="A779" s="4" t="str">
        <x:v>RS-00778</x:v>
      </x:c>
      <x:c r="B779" s="8" t="n">
        <x:v>45344</x:v>
      </x:c>
      <x:c r="C779" s="4" t="str">
        <x:v>PRJ-018</x:v>
      </x:c>
      <x:c r="D779" s="4" t="str">
        <x:v>Office</x:v>
      </x:c>
      <x:c r="E779" s="4" t="str">
        <x:v>Enquiry</x:v>
      </x:c>
      <x:c r="F779" s="4" t="str">
        <x:v>CUS-00778</x:v>
      </x:c>
      <x:c r="G779" s="4" t="str">
        <x:v>UNIT-00778</x:v>
      </x:c>
      <x:c r="H779" s="9" t="n">
        <x:v>21800000</x:v>
      </x:c>
      <x:c r="I779" s="10" t="n">
        <x:v>0.08</x:v>
      </x:c>
      <x:c r="J779" s="11" t="n">
        <x:v>6</x:v>
      </x:c>
      <x:c r="K779" s="11" t="n">
        <x:v>8</x:v>
      </x:c>
      <x:c r="L779" s="11" t="n">
        <x:v>0</x:v>
      </x:c>
      <x:c r="M779" s="9" t="n">
        <x:f>ROUND(H779*(1-I779),2)</x:f>
        <x:v>20056000</x:v>
      </x:c>
      <x:c r="N779" s="4" t="str">
        <x:v>Sales head</x:v>
      </x:c>
      <x:c r="O779" s="4"/>
      <x:c r="P779" s="9" t="n">
        <x:v>0</x:v>
      </x:c>
      <x:c r="Q779" s="11" t="n">
        <x:v>0</x:v>
      </x:c>
      <x:c r="R779" s="8" t="n">
        <x:v>45404</x:v>
      </x:c>
      <x:c r="S779" s="4" t="str">
        <x:v>Retained</x:v>
      </x:c>
      <x:c r="T779" s="10" t="n">
        <x:v>0.226277</x:v>
      </x:c>
      <x:c r="U779" s="4" t="str">
        <x:v>Train</x:v>
      </x:c>
    </x:row>
    <x:row r="780" ht="34" customHeight="1">
      <x:c r="A780" s="4" t="str">
        <x:v>RS-00779</x:v>
      </x:c>
      <x:c r="B780" s="8" t="n">
        <x:v>45345</x:v>
      </x:c>
      <x:c r="C780" s="4" t="str">
        <x:v>PRJ-019</x:v>
      </x:c>
      <x:c r="D780" s="4" t="str">
        <x:v>Villa</x:v>
      </x:c>
      <x:c r="E780" s="4" t="str">
        <x:v>Enquiry</x:v>
      </x:c>
      <x:c r="F780" s="4" t="str">
        <x:v>CUS-00779</x:v>
      </x:c>
      <x:c r="G780" s="4" t="str">
        <x:v>UNIT-00779</x:v>
      </x:c>
      <x:c r="H780" s="9" t="n">
        <x:v>13700000</x:v>
      </x:c>
      <x:c r="I780" s="10" t="n">
        <x:v>0.05</x:v>
      </x:c>
      <x:c r="J780" s="11" t="n">
        <x:v>5</x:v>
      </x:c>
      <x:c r="K780" s="11" t="n">
        <x:v>6</x:v>
      </x:c>
      <x:c r="L780" s="11" t="n">
        <x:v>0</x:v>
      </x:c>
      <x:c r="M780" s="9" t="n">
        <x:f>ROUND(H780*(1-I780),2)</x:f>
        <x:v>13015000</x:v>
      </x:c>
      <x:c r="N780" s="4" t="str">
        <x:v>Sales manager</x:v>
      </x:c>
      <x:c r="O780" s="4"/>
      <x:c r="P780" s="9" t="n">
        <x:v>0</x:v>
      </x:c>
      <x:c r="Q780" s="11" t="n">
        <x:v>0</x:v>
      </x:c>
      <x:c r="R780" s="8" t="n">
        <x:v>45405</x:v>
      </x:c>
      <x:c r="S780" s="4" t="str">
        <x:v>Retained</x:v>
      </x:c>
      <x:c r="T780" s="10" t="n">
        <x:v>0.226277</x:v>
      </x:c>
      <x:c r="U780" s="4" t="str">
        <x:v>Train</x:v>
      </x:c>
    </x:row>
    <x:row r="781" ht="34" customHeight="1">
      <x:c r="A781" s="4" t="str">
        <x:v>RS-00780</x:v>
      </x:c>
      <x:c r="B781" s="8" t="n">
        <x:v>45346</x:v>
      </x:c>
      <x:c r="C781" s="4" t="str">
        <x:v>PRJ-020</x:v>
      </x:c>
      <x:c r="D781" s="4" t="str">
        <x:v>Villa</x:v>
      </x:c>
      <x:c r="E781" s="4" t="str">
        <x:v>Agreement signed</x:v>
      </x:c>
      <x:c r="F781" s="4" t="str">
        <x:v>CUS-00780</x:v>
      </x:c>
      <x:c r="G781" s="4" t="str">
        <x:v>UNIT-00780</x:v>
      </x:c>
      <x:c r="H781" s="9" t="n">
        <x:v>13900000</x:v>
      </x:c>
      <x:c r="I781" s="10" t="n">
        <x:v>0.1</x:v>
      </x:c>
      <x:c r="J781" s="11" t="n">
        <x:v>5</x:v>
      </x:c>
      <x:c r="K781" s="11" t="n">
        <x:v>2</x:v>
      </x:c>
      <x:c r="L781" s="11" t="n">
        <x:v>1</x:v>
      </x:c>
      <x:c r="M781" s="9" t="n">
        <x:f>ROUND(H781*(1-I781),2)</x:f>
        <x:v>12510000</x:v>
      </x:c>
      <x:c r="N781" s="4" t="str">
        <x:v>Sales head</x:v>
      </x:c>
      <x:c r="O781" s="4" t="str">
        <x:v>BOOK-00780</x:v>
      </x:c>
      <x:c r="P781" s="9" t="n">
        <x:v>6255000</x:v>
      </x:c>
      <x:c r="Q781" s="11" t="n">
        <x:v>0</x:v>
      </x:c>
      <x:c r="R781" s="8" t="n">
        <x:v>45406</x:v>
      </x:c>
      <x:c r="S781" s="4" t="str">
        <x:v>Retained</x:v>
      </x:c>
      <x:c r="T781" s="10" t="n">
        <x:v>0.291946</x:v>
      </x:c>
      <x:c r="U781" s="4" t="str">
        <x:v>Train</x:v>
      </x:c>
    </x:row>
    <x:row r="782" ht="34" customHeight="1">
      <x:c r="A782" s="4" t="str">
        <x:v>RS-00781</x:v>
      </x:c>
      <x:c r="B782" s="8" t="n">
        <x:v>45347</x:v>
      </x:c>
      <x:c r="C782" s="4" t="str">
        <x:v>PRJ-001</x:v>
      </x:c>
      <x:c r="D782" s="4" t="str">
        <x:v>Apartment</x:v>
      </x:c>
      <x:c r="E782" s="4" t="str">
        <x:v>Handed over</x:v>
      </x:c>
      <x:c r="F782" s="4" t="str">
        <x:v>CUS-00781</x:v>
      </x:c>
      <x:c r="G782" s="4" t="str">
        <x:v>UNIT-00781</x:v>
      </x:c>
      <x:c r="H782" s="9" t="n">
        <x:v>4800000</x:v>
      </x:c>
      <x:c r="I782" s="10" t="n">
        <x:v>0.08</x:v>
      </x:c>
      <x:c r="J782" s="11" t="n">
        <x:v>6</x:v>
      </x:c>
      <x:c r="K782" s="11" t="n">
        <x:v>10</x:v>
      </x:c>
      <x:c r="L782" s="11" t="n">
        <x:v>1</x:v>
      </x:c>
      <x:c r="M782" s="9" t="n">
        <x:f>ROUND(H782*(1-I782),2)</x:f>
        <x:v>4416000</x:v>
      </x:c>
      <x:c r="N782" s="4" t="str">
        <x:v>Sales head</x:v>
      </x:c>
      <x:c r="O782" s="4" t="str">
        <x:v>BOOK-00781</x:v>
      </x:c>
      <x:c r="P782" s="9" t="n">
        <x:v>1104000</x:v>
      </x:c>
      <x:c r="Q782" s="11" t="n">
        <x:v>0</x:v>
      </x:c>
      <x:c r="R782" s="8" t="n">
        <x:v>45407</x:v>
      </x:c>
      <x:c r="S782" s="4" t="str">
        <x:v>Retained</x:v>
      </x:c>
      <x:c r="T782" s="10" t="n">
        <x:v>0.291946</x:v>
      </x:c>
      <x:c r="U782" s="4" t="str">
        <x:v>Train</x:v>
      </x:c>
    </x:row>
    <x:row r="783" ht="34" customHeight="1">
      <x:c r="A783" s="4" t="str">
        <x:v>RS-00782</x:v>
      </x:c>
      <x:c r="B783" s="8" t="n">
        <x:v>45348</x:v>
      </x:c>
      <x:c r="C783" s="4" t="str">
        <x:v>PRJ-002</x:v>
      </x:c>
      <x:c r="D783" s="4" t="str">
        <x:v>Office</x:v>
      </x:c>
      <x:c r="E783" s="4" t="str">
        <x:v>Cancelled</x:v>
      </x:c>
      <x:c r="F783" s="4" t="str">
        <x:v>CUS-00782</x:v>
      </x:c>
      <x:c r="G783" s="4" t="str">
        <x:v>UNIT-00782</x:v>
      </x:c>
      <x:c r="H783" s="9" t="n">
        <x:v>17900000</x:v>
      </x:c>
      <x:c r="I783" s="10" t="n">
        <x:v>0.08</x:v>
      </x:c>
      <x:c r="J783" s="11" t="n">
        <x:v>3</x:v>
      </x:c>
      <x:c r="K783" s="11" t="n">
        <x:v>9</x:v>
      </x:c>
      <x:c r="L783" s="11" t="n">
        <x:v>1</x:v>
      </x:c>
      <x:c r="M783" s="9" t="n">
        <x:f>ROUND(H783*(1-I783),2)</x:f>
        <x:v>16468000</x:v>
      </x:c>
      <x:c r="N783" s="4" t="str">
        <x:v>Sales head</x:v>
      </x:c>
      <x:c r="O783" s="4"/>
      <x:c r="P783" s="9" t="n">
        <x:v>0</x:v>
      </x:c>
      <x:c r="Q783" s="11" t="n">
        <x:v>1</x:v>
      </x:c>
      <x:c r="R783" s="8" t="n">
        <x:v>45408</x:v>
      </x:c>
      <x:c r="S783" s="4" t="str">
        <x:v>Lost / cancelled</x:v>
      </x:c>
      <x:c r="T783" s="10" t="n">
        <x:v>0.204152</x:v>
      </x:c>
      <x:c r="U783" s="4" t="str">
        <x:v>Train</x:v>
      </x:c>
    </x:row>
    <x:row r="784" ht="34" customHeight="1">
      <x:c r="A784" s="4" t="str">
        <x:v>RS-00783</x:v>
      </x:c>
      <x:c r="B784" s="8" t="n">
        <x:v>45349</x:v>
      </x:c>
      <x:c r="C784" s="4" t="str">
        <x:v>PRJ-003</x:v>
      </x:c>
      <x:c r="D784" s="4" t="str">
        <x:v>Office</x:v>
      </x:c>
      <x:c r="E784" s="4" t="str">
        <x:v>Enquiry</x:v>
      </x:c>
      <x:c r="F784" s="4" t="str">
        <x:v>CUS-00783</x:v>
      </x:c>
      <x:c r="G784" s="4" t="str">
        <x:v>UNIT-00783</x:v>
      </x:c>
      <x:c r="H784" s="9" t="n">
        <x:v>7200000</x:v>
      </x:c>
      <x:c r="I784" s="10" t="n">
        <x:v>0.05</x:v>
      </x:c>
      <x:c r="J784" s="11" t="n">
        <x:v>3</x:v>
      </x:c>
      <x:c r="K784" s="11" t="n">
        <x:v>7</x:v>
      </x:c>
      <x:c r="L784" s="11" t="n">
        <x:v>1</x:v>
      </x:c>
      <x:c r="M784" s="9" t="n">
        <x:f>ROUND(H784*(1-I784),2)</x:f>
        <x:v>6840000</x:v>
      </x:c>
      <x:c r="N784" s="4" t="str">
        <x:v>Sales manager</x:v>
      </x:c>
      <x:c r="O784" s="4"/>
      <x:c r="P784" s="9" t="n">
        <x:v>0</x:v>
      </x:c>
      <x:c r="Q784" s="11" t="n">
        <x:v>0</x:v>
      </x:c>
      <x:c r="R784" s="8" t="n">
        <x:v>45409</x:v>
      </x:c>
      <x:c r="S784" s="4" t="str">
        <x:v>Retained</x:v>
      </x:c>
      <x:c r="T784" s="10" t="n">
        <x:v>0.204152</x:v>
      </x:c>
      <x:c r="U784" s="4" t="str">
        <x:v>Train</x:v>
      </x:c>
    </x:row>
    <x:row r="785" ht="34" customHeight="1">
      <x:c r="A785" s="4" t="str">
        <x:v>RS-00784</x:v>
      </x:c>
      <x:c r="B785" s="8" t="n">
        <x:v>45350</x:v>
      </x:c>
      <x:c r="C785" s="4" t="str">
        <x:v>PRJ-004</x:v>
      </x:c>
      <x:c r="D785" s="4" t="str">
        <x:v>Office</x:v>
      </x:c>
      <x:c r="E785" s="4" t="str">
        <x:v>Reserved</x:v>
      </x:c>
      <x:c r="F785" s="4" t="str">
        <x:v>CUS-00784</x:v>
      </x:c>
      <x:c r="G785" s="4" t="str">
        <x:v>UNIT-00784</x:v>
      </x:c>
      <x:c r="H785" s="9" t="n">
        <x:v>7700000</x:v>
      </x:c>
      <x:c r="I785" s="10" t="n">
        <x:v>0.09</x:v>
      </x:c>
      <x:c r="J785" s="11" t="n">
        <x:v>1</x:v>
      </x:c>
      <x:c r="K785" s="11" t="n">
        <x:v>10</x:v>
      </x:c>
      <x:c r="L785" s="11" t="n">
        <x:v>1</x:v>
      </x:c>
      <x:c r="M785" s="9" t="n">
        <x:f>ROUND(H785*(1-I785),2)</x:f>
        <x:v>7007000</x:v>
      </x:c>
      <x:c r="N785" s="4" t="str">
        <x:v>Sales head</x:v>
      </x:c>
      <x:c r="O785" s="4"/>
      <x:c r="P785" s="9" t="n">
        <x:v>0</x:v>
      </x:c>
      <x:c r="Q785" s="11" t="n">
        <x:v>0</x:v>
      </x:c>
      <x:c r="R785" s="8" t="n">
        <x:v>45410</x:v>
      </x:c>
      <x:c r="S785" s="4" t="str">
        <x:v>Retained</x:v>
      </x:c>
      <x:c r="T785" s="10" t="n">
        <x:v>0.145833</x:v>
      </x:c>
      <x:c r="U785" s="4" t="str">
        <x:v>Train</x:v>
      </x:c>
    </x:row>
    <x:row r="786" ht="34" customHeight="1">
      <x:c r="A786" s="4" t="str">
        <x:v>RS-00785</x:v>
      </x:c>
      <x:c r="B786" s="8" t="n">
        <x:v>45323</x:v>
      </x:c>
      <x:c r="C786" s="4" t="str">
        <x:v>PRJ-005</x:v>
      </x:c>
      <x:c r="D786" s="4" t="str">
        <x:v>Office</x:v>
      </x:c>
      <x:c r="E786" s="4" t="str">
        <x:v>Agreement signed</x:v>
      </x:c>
      <x:c r="F786" s="4" t="str">
        <x:v>CUS-00785</x:v>
      </x:c>
      <x:c r="G786" s="4" t="str">
        <x:v>UNIT-00785</x:v>
      </x:c>
      <x:c r="H786" s="9" t="n">
        <x:v>5800000</x:v>
      </x:c>
      <x:c r="I786" s="10" t="n">
        <x:v>0</x:v>
      </x:c>
      <x:c r="J786" s="11" t="n">
        <x:v>9</x:v>
      </x:c>
      <x:c r="K786" s="11" t="n">
        <x:v>3</x:v>
      </x:c>
      <x:c r="L786" s="11" t="n">
        <x:v>0</x:v>
      </x:c>
      <x:c r="M786" s="9" t="n">
        <x:f>ROUND(H786*(1-I786),2)</x:f>
        <x:v>5800000</x:v>
      </x:c>
      <x:c r="N786" s="4" t="str">
        <x:v>Sales manager</x:v>
      </x:c>
      <x:c r="O786" s="4" t="str">
        <x:v>BOOK-00785</x:v>
      </x:c>
      <x:c r="P786" s="9" t="n">
        <x:v>2900000</x:v>
      </x:c>
      <x:c r="Q786" s="11" t="n">
        <x:v>0</x:v>
      </x:c>
      <x:c r="R786" s="8" t="n">
        <x:v>45383</x:v>
      </x:c>
      <x:c r="S786" s="4" t="str">
        <x:v>Retained</x:v>
      </x:c>
      <x:c r="T786" s="10" t="n">
        <x:v>0.305556</x:v>
      </x:c>
      <x:c r="U786" s="4" t="str">
        <x:v>Train</x:v>
      </x:c>
    </x:row>
    <x:row r="787" ht="34" customHeight="1">
      <x:c r="A787" s="4" t="str">
        <x:v>RS-00786</x:v>
      </x:c>
      <x:c r="B787" s="8" t="n">
        <x:v>45324</x:v>
      </x:c>
      <x:c r="C787" s="4" t="str">
        <x:v>PRJ-006</x:v>
      </x:c>
      <x:c r="D787" s="4" t="str">
        <x:v>Office</x:v>
      </x:c>
      <x:c r="E787" s="4" t="str">
        <x:v>Reserved</x:v>
      </x:c>
      <x:c r="F787" s="4" t="str">
        <x:v>CUS-00786</x:v>
      </x:c>
      <x:c r="G787" s="4" t="str">
        <x:v>UNIT-00786</x:v>
      </x:c>
      <x:c r="H787" s="9" t="n">
        <x:v>15600000</x:v>
      </x:c>
      <x:c r="I787" s="10" t="n">
        <x:v>0.03</x:v>
      </x:c>
      <x:c r="J787" s="11" t="n">
        <x:v>2</x:v>
      </x:c>
      <x:c r="K787" s="11" t="n">
        <x:v>8</x:v>
      </x:c>
      <x:c r="L787" s="11" t="n">
        <x:v>1</x:v>
      </x:c>
      <x:c r="M787" s="9" t="n">
        <x:f>ROUND(H787*(1-I787),2)</x:f>
        <x:v>15132000</x:v>
      </x:c>
      <x:c r="N787" s="4" t="str">
        <x:v>Sales manager</x:v>
      </x:c>
      <x:c r="O787" s="4"/>
      <x:c r="P787" s="9" t="n">
        <x:v>0</x:v>
      </x:c>
      <x:c r="Q787" s="11" t="n">
        <x:v>0</x:v>
      </x:c>
      <x:c r="R787" s="8" t="n">
        <x:v>45384</x:v>
      </x:c>
      <x:c r="S787" s="4" t="str">
        <x:v>Retained</x:v>
      </x:c>
      <x:c r="T787" s="10" t="n">
        <x:v>0.171717</x:v>
      </x:c>
      <x:c r="U787" s="4" t="str">
        <x:v>Train</x:v>
      </x:c>
    </x:row>
    <x:row r="788" ht="34" customHeight="1">
      <x:c r="A788" s="4" t="str">
        <x:v>RS-00787</x:v>
      </x:c>
      <x:c r="B788" s="8" t="n">
        <x:v>45325</x:v>
      </x:c>
      <x:c r="C788" s="4" t="str">
        <x:v>PRJ-007</x:v>
      </x:c>
      <x:c r="D788" s="4" t="str">
        <x:v>Villa</x:v>
      </x:c>
      <x:c r="E788" s="4" t="str">
        <x:v>Handed over</x:v>
      </x:c>
      <x:c r="F788" s="4" t="str">
        <x:v>CUS-00787</x:v>
      </x:c>
      <x:c r="G788" s="4" t="str">
        <x:v>UNIT-00787</x:v>
      </x:c>
      <x:c r="H788" s="9" t="n">
        <x:v>24600000</x:v>
      </x:c>
      <x:c r="I788" s="10" t="n">
        <x:v>0.11</x:v>
      </x:c>
      <x:c r="J788" s="11" t="n">
        <x:v>6</x:v>
      </x:c>
      <x:c r="K788" s="11" t="n">
        <x:v>1</x:v>
      </x:c>
      <x:c r="L788" s="11" t="n">
        <x:v>0</x:v>
      </x:c>
      <x:c r="M788" s="9" t="n">
        <x:f>ROUND(H788*(1-I788),2)</x:f>
        <x:v>21894000</x:v>
      </x:c>
      <x:c r="N788" s="4" t="str">
        <x:v>Sales head</x:v>
      </x:c>
      <x:c r="O788" s="4" t="str">
        <x:v>BOOK-00787</x:v>
      </x:c>
      <x:c r="P788" s="9" t="n">
        <x:v>2189400</x:v>
      </x:c>
      <x:c r="Q788" s="11" t="n">
        <x:v>0</x:v>
      </x:c>
      <x:c r="R788" s="8" t="n">
        <x:v>45385</x:v>
      </x:c>
      <x:c r="S788" s="4" t="str">
        <x:v>Retained</x:v>
      </x:c>
      <x:c r="T788" s="10" t="n">
        <x:v>0.226277</x:v>
      </x:c>
      <x:c r="U788" s="4" t="str">
        <x:v>Train</x:v>
      </x:c>
    </x:row>
    <x:row r="789" ht="34" customHeight="1">
      <x:c r="A789" s="4" t="str">
        <x:v>RS-00788</x:v>
      </x:c>
      <x:c r="B789" s="8" t="n">
        <x:v>45326</x:v>
      </x:c>
      <x:c r="C789" s="4" t="str">
        <x:v>PRJ-008</x:v>
      </x:c>
      <x:c r="D789" s="4" t="str">
        <x:v>Apartment</x:v>
      </x:c>
      <x:c r="E789" s="4" t="str">
        <x:v>Cancelled</x:v>
      </x:c>
      <x:c r="F789" s="4" t="str">
        <x:v>CUS-00788</x:v>
      </x:c>
      <x:c r="G789" s="4" t="str">
        <x:v>UNIT-00788</x:v>
      </x:c>
      <x:c r="H789" s="9" t="n">
        <x:v>11800000</x:v>
      </x:c>
      <x:c r="I789" s="10" t="n">
        <x:v>0.04</x:v>
      </x:c>
      <x:c r="J789" s="11" t="n">
        <x:v>4</x:v>
      </x:c>
      <x:c r="K789" s="11" t="n">
        <x:v>9</x:v>
      </x:c>
      <x:c r="L789" s="11" t="n">
        <x:v>1</x:v>
      </x:c>
      <x:c r="M789" s="9" t="n">
        <x:f>ROUND(H789*(1-I789),2)</x:f>
        <x:v>11328000</x:v>
      </x:c>
      <x:c r="N789" s="4" t="str">
        <x:v>Sales manager</x:v>
      </x:c>
      <x:c r="O789" s="4"/>
      <x:c r="P789" s="9" t="n">
        <x:v>0</x:v>
      </x:c>
      <x:c r="Q789" s="11" t="n">
        <x:v>1</x:v>
      </x:c>
      <x:c r="R789" s="8" t="n">
        <x:v>45386</x:v>
      </x:c>
      <x:c r="S789" s="4" t="str">
        <x:v>Lost / cancelled</x:v>
      </x:c>
      <x:c r="T789" s="10" t="n">
        <x:v>0.291946</x:v>
      </x:c>
      <x:c r="U789" s="4" t="str">
        <x:v>Train</x:v>
      </x:c>
    </x:row>
    <x:row r="790" ht="34" customHeight="1">
      <x:c r="A790" s="4" t="str">
        <x:v>RS-00789</x:v>
      </x:c>
      <x:c r="B790" s="8" t="n">
        <x:v>45327</x:v>
      </x:c>
      <x:c r="C790" s="4" t="str">
        <x:v>PRJ-009</x:v>
      </x:c>
      <x:c r="D790" s="4" t="str">
        <x:v>Office</x:v>
      </x:c>
      <x:c r="E790" s="4" t="str">
        <x:v>Booked</x:v>
      </x:c>
      <x:c r="F790" s="4" t="str">
        <x:v>CUS-00789</x:v>
      </x:c>
      <x:c r="G790" s="4" t="str">
        <x:v>UNIT-00789</x:v>
      </x:c>
      <x:c r="H790" s="9" t="n">
        <x:v>4000000</x:v>
      </x:c>
      <x:c r="I790" s="10" t="n">
        <x:v>0.02</x:v>
      </x:c>
      <x:c r="J790" s="11" t="n">
        <x:v>6</x:v>
      </x:c>
      <x:c r="K790" s="11" t="n">
        <x:v>9</x:v>
      </x:c>
      <x:c r="L790" s="11" t="n">
        <x:v>0</x:v>
      </x:c>
      <x:c r="M790" s="9" t="n">
        <x:f>ROUND(H790*(1-I790),2)</x:f>
        <x:v>3920000</x:v>
      </x:c>
      <x:c r="N790" s="4" t="str">
        <x:v>Sales manager</x:v>
      </x:c>
      <x:c r="O790" s="4" t="str">
        <x:v>BOOK-00789</x:v>
      </x:c>
      <x:c r="P790" s="9" t="n">
        <x:v>980000</x:v>
      </x:c>
      <x:c r="Q790" s="11" t="n">
        <x:v>0</x:v>
      </x:c>
      <x:c r="R790" s="8" t="n">
        <x:v>45387</x:v>
      </x:c>
      <x:c r="S790" s="4" t="str">
        <x:v>Retained</x:v>
      </x:c>
      <x:c r="T790" s="10" t="n">
        <x:v>0.145299</x:v>
      </x:c>
      <x:c r="U790" s="4" t="str">
        <x:v>Train</x:v>
      </x:c>
    </x:row>
    <x:row r="791" ht="34" customHeight="1">
      <x:c r="A791" s="4" t="str">
        <x:v>RS-00790</x:v>
      </x:c>
      <x:c r="B791" s="8" t="n">
        <x:v>45328</x:v>
      </x:c>
      <x:c r="C791" s="4" t="str">
        <x:v>PRJ-010</x:v>
      </x:c>
      <x:c r="D791" s="4" t="str">
        <x:v>Retail</x:v>
      </x:c>
      <x:c r="E791" s="4" t="str">
        <x:v>Agreement signed</x:v>
      </x:c>
      <x:c r="F791" s="4" t="str">
        <x:v>CUS-00790</x:v>
      </x:c>
      <x:c r="G791" s="4" t="str">
        <x:v>UNIT-00790</x:v>
      </x:c>
      <x:c r="H791" s="9" t="n">
        <x:v>15900000</x:v>
      </x:c>
      <x:c r="I791" s="10" t="n">
        <x:v>0.04</x:v>
      </x:c>
      <x:c r="J791" s="11" t="n">
        <x:v>1</x:v>
      </x:c>
      <x:c r="K791" s="11" t="n">
        <x:v>4</x:v>
      </x:c>
      <x:c r="L791" s="11" t="n">
        <x:v>1</x:v>
      </x:c>
      <x:c r="M791" s="9" t="n">
        <x:f>ROUND(H791*(1-I791),2)</x:f>
        <x:v>15264000</x:v>
      </x:c>
      <x:c r="N791" s="4" t="str">
        <x:v>Sales manager</x:v>
      </x:c>
      <x:c r="O791" s="4" t="str">
        <x:v>BOOK-00790</x:v>
      </x:c>
      <x:c r="P791" s="9" t="n">
        <x:v>7632000</x:v>
      </x:c>
      <x:c r="Q791" s="11" t="n">
        <x:v>0</x:v>
      </x:c>
      <x:c r="R791" s="8" t="n">
        <x:v>45388</x:v>
      </x:c>
      <x:c r="S791" s="4" t="str">
        <x:v>Retained</x:v>
      </x:c>
      <x:c r="T791" s="10" t="n">
        <x:v>0.204152</x:v>
      </x:c>
      <x:c r="U791" s="4" t="str">
        <x:v>Train</x:v>
      </x:c>
    </x:row>
    <x:row r="792" ht="34" customHeight="1">
      <x:c r="A792" s="4" t="str">
        <x:v>RS-00791</x:v>
      </x:c>
      <x:c r="B792" s="8" t="n">
        <x:v>45329</x:v>
      </x:c>
      <x:c r="C792" s="4" t="str">
        <x:v>PRJ-011</x:v>
      </x:c>
      <x:c r="D792" s="4" t="str">
        <x:v>Villa</x:v>
      </x:c>
      <x:c r="E792" s="4" t="str">
        <x:v>Cancelled</x:v>
      </x:c>
      <x:c r="F792" s="4" t="str">
        <x:v>CUS-00791</x:v>
      </x:c>
      <x:c r="G792" s="4" t="str">
        <x:v>UNIT-00791</x:v>
      </x:c>
      <x:c r="H792" s="9" t="n">
        <x:v>5800000</x:v>
      </x:c>
      <x:c r="I792" s="10" t="n">
        <x:v>0.07</x:v>
      </x:c>
      <x:c r="J792" s="11" t="n">
        <x:v>7</x:v>
      </x:c>
      <x:c r="K792" s="11" t="n">
        <x:v>0</x:v>
      </x:c>
      <x:c r="L792" s="11" t="n">
        <x:v>0</x:v>
      </x:c>
      <x:c r="M792" s="9" t="n">
        <x:f>ROUND(H792*(1-I792),2)</x:f>
        <x:v>5394000</x:v>
      </x:c>
      <x:c r="N792" s="4" t="str">
        <x:v>Sales manager</x:v>
      </x:c>
      <x:c r="O792" s="4"/>
      <x:c r="P792" s="9" t="n">
        <x:v>0</x:v>
      </x:c>
      <x:c r="Q792" s="11" t="n">
        <x:v>1</x:v>
      </x:c>
      <x:c r="R792" s="8" t="n">
        <x:v>45389</x:v>
      </x:c>
      <x:c r="S792" s="4" t="str">
        <x:v>Lost / cancelled</x:v>
      </x:c>
      <x:c r="T792" s="10" t="n">
        <x:v>0.226277</x:v>
      </x:c>
      <x:c r="U792" s="4" t="str">
        <x:v>Train</x:v>
      </x:c>
    </x:row>
    <x:row r="793" ht="34" customHeight="1">
      <x:c r="A793" s="4" t="str">
        <x:v>RS-00792</x:v>
      </x:c>
      <x:c r="B793" s="8" t="n">
        <x:v>45330</x:v>
      </x:c>
      <x:c r="C793" s="4" t="str">
        <x:v>PRJ-012</x:v>
      </x:c>
      <x:c r="D793" s="4" t="str">
        <x:v>Apartment</x:v>
      </x:c>
      <x:c r="E793" s="4" t="str">
        <x:v>Cancelled</x:v>
      </x:c>
      <x:c r="F793" s="4" t="str">
        <x:v>CUS-00792</x:v>
      </x:c>
      <x:c r="G793" s="4" t="str">
        <x:v>UNIT-00792</x:v>
      </x:c>
      <x:c r="H793" s="9" t="n">
        <x:v>23900000</x:v>
      </x:c>
      <x:c r="I793" s="10" t="n">
        <x:v>0</x:v>
      </x:c>
      <x:c r="J793" s="11" t="n">
        <x:v>2</x:v>
      </x:c>
      <x:c r="K793" s="11" t="n">
        <x:v>1</x:v>
      </x:c>
      <x:c r="L793" s="11" t="n">
        <x:v>0</x:v>
      </x:c>
      <x:c r="M793" s="9" t="n">
        <x:f>ROUND(H793*(1-I793),2)</x:f>
        <x:v>23900000</x:v>
      </x:c>
      <x:c r="N793" s="4" t="str">
        <x:v>Sales manager</x:v>
      </x:c>
      <x:c r="O793" s="4"/>
      <x:c r="P793" s="9" t="n">
        <x:v>0</x:v>
      </x:c>
      <x:c r="Q793" s="11" t="n">
        <x:v>1</x:v>
      </x:c>
      <x:c r="R793" s="8" t="n">
        <x:v>45390</x:v>
      </x:c>
      <x:c r="S793" s="4" t="str">
        <x:v>Lost / cancelled</x:v>
      </x:c>
      <x:c r="T793" s="10" t="n">
        <x:v>0.171717</x:v>
      </x:c>
      <x:c r="U793" s="4" t="str">
        <x:v>Train</x:v>
      </x:c>
    </x:row>
    <x:row r="794" ht="34" customHeight="1">
      <x:c r="A794" s="4" t="str">
        <x:v>RS-00793</x:v>
      </x:c>
      <x:c r="B794" s="8" t="n">
        <x:v>45331</x:v>
      </x:c>
      <x:c r="C794" s="4" t="str">
        <x:v>PRJ-013</x:v>
      </x:c>
      <x:c r="D794" s="4" t="str">
        <x:v>Apartment</x:v>
      </x:c>
      <x:c r="E794" s="4" t="str">
        <x:v>Handed over</x:v>
      </x:c>
      <x:c r="F794" s="4" t="str">
        <x:v>CUS-00793</x:v>
      </x:c>
      <x:c r="G794" s="4" t="str">
        <x:v>UNIT-00793</x:v>
      </x:c>
      <x:c r="H794" s="9" t="n">
        <x:v>13900000</x:v>
      </x:c>
      <x:c r="I794" s="10" t="n">
        <x:v>0.02</x:v>
      </x:c>
      <x:c r="J794" s="11" t="n">
        <x:v>9</x:v>
      </x:c>
      <x:c r="K794" s="11" t="n">
        <x:v>0</x:v>
      </x:c>
      <x:c r="L794" s="11" t="n">
        <x:v>0</x:v>
      </x:c>
      <x:c r="M794" s="9" t="n">
        <x:f>ROUND(H794*(1-I794),2)</x:f>
        <x:v>13622000</x:v>
      </x:c>
      <x:c r="N794" s="4" t="str">
        <x:v>Sales manager</x:v>
      </x:c>
      <x:c r="O794" s="4" t="str">
        <x:v>BOOK-00793</x:v>
      </x:c>
      <x:c r="P794" s="9" t="n">
        <x:v>6811000</x:v>
      </x:c>
      <x:c r="Q794" s="11" t="n">
        <x:v>0</x:v>
      </x:c>
      <x:c r="R794" s="8" t="n">
        <x:v>45391</x:v>
      </x:c>
      <x:c r="S794" s="4" t="str">
        <x:v>Retained</x:v>
      </x:c>
      <x:c r="T794" s="10" t="n">
        <x:v>0.305556</x:v>
      </x:c>
      <x:c r="U794" s="4" t="str">
        <x:v>Train</x:v>
      </x:c>
    </x:row>
    <x:row r="795" ht="34" customHeight="1">
      <x:c r="A795" s="4" t="str">
        <x:v>RS-00794</x:v>
      </x:c>
      <x:c r="B795" s="8" t="n">
        <x:v>45332</x:v>
      </x:c>
      <x:c r="C795" s="4" t="str">
        <x:v>PRJ-014</x:v>
      </x:c>
      <x:c r="D795" s="4" t="str">
        <x:v>Office</x:v>
      </x:c>
      <x:c r="E795" s="4" t="str">
        <x:v>Reserved</x:v>
      </x:c>
      <x:c r="F795" s="4" t="str">
        <x:v>CUS-00794</x:v>
      </x:c>
      <x:c r="G795" s="4" t="str">
        <x:v>UNIT-00794</x:v>
      </x:c>
      <x:c r="H795" s="9" t="n">
        <x:v>15300000</x:v>
      </x:c>
      <x:c r="I795" s="10" t="n">
        <x:v>0.06</x:v>
      </x:c>
      <x:c r="J795" s="11" t="n">
        <x:v>0</x:v>
      </x:c>
      <x:c r="K795" s="11" t="n">
        <x:v>10</x:v>
      </x:c>
      <x:c r="L795" s="11" t="n">
        <x:v>0</x:v>
      </x:c>
      <x:c r="M795" s="9" t="n">
        <x:f>ROUND(H795*(1-I795),2)</x:f>
        <x:v>14382000</x:v>
      </x:c>
      <x:c r="N795" s="4" t="str">
        <x:v>Sales manager</x:v>
      </x:c>
      <x:c r="O795" s="4"/>
      <x:c r="P795" s="9" t="n">
        <x:v>0</x:v>
      </x:c>
      <x:c r="Q795" s="11" t="n">
        <x:v>0</x:v>
      </x:c>
      <x:c r="R795" s="8" t="n">
        <x:v>45392</x:v>
      </x:c>
      <x:c r="S795" s="4" t="str">
        <x:v>Retained</x:v>
      </x:c>
      <x:c r="T795" s="10" t="n">
        <x:v>0.204152</x:v>
      </x:c>
      <x:c r="U795" s="4" t="str">
        <x:v>Train</x:v>
      </x:c>
    </x:row>
    <x:row r="796" ht="34" customHeight="1">
      <x:c r="A796" s="4" t="str">
        <x:v>RS-00795</x:v>
      </x:c>
      <x:c r="B796" s="8" t="n">
        <x:v>45333</x:v>
      </x:c>
      <x:c r="C796" s="4" t="str">
        <x:v>PRJ-015</x:v>
      </x:c>
      <x:c r="D796" s="4" t="str">
        <x:v>Apartment</x:v>
      </x:c>
      <x:c r="E796" s="4" t="str">
        <x:v>Cancelled</x:v>
      </x:c>
      <x:c r="F796" s="4" t="str">
        <x:v>CUS-00795</x:v>
      </x:c>
      <x:c r="G796" s="4" t="str">
        <x:v>UNIT-00795</x:v>
      </x:c>
      <x:c r="H796" s="9" t="n">
        <x:v>12900000</x:v>
      </x:c>
      <x:c r="I796" s="10" t="n">
        <x:v>0.03</x:v>
      </x:c>
      <x:c r="J796" s="11" t="n">
        <x:v>1</x:v>
      </x:c>
      <x:c r="K796" s="11" t="n">
        <x:v>10</x:v>
      </x:c>
      <x:c r="L796" s="11" t="n">
        <x:v>1</x:v>
      </x:c>
      <x:c r="M796" s="9" t="n">
        <x:f>ROUND(H796*(1-I796),2)</x:f>
        <x:v>12513000</x:v>
      </x:c>
      <x:c r="N796" s="4" t="str">
        <x:v>Sales manager</x:v>
      </x:c>
      <x:c r="O796" s="4"/>
      <x:c r="P796" s="9" t="n">
        <x:v>0</x:v>
      </x:c>
      <x:c r="Q796" s="11" t="n">
        <x:v>1</x:v>
      </x:c>
      <x:c r="R796" s="8" t="n">
        <x:v>45393</x:v>
      </x:c>
      <x:c r="S796" s="4" t="str">
        <x:v>Lost / cancelled</x:v>
      </x:c>
      <x:c r="T796" s="10" t="n">
        <x:v>0.072165</x:v>
      </x:c>
      <x:c r="U796" s="4" t="str">
        <x:v>Train</x:v>
      </x:c>
    </x:row>
    <x:row r="797" ht="34" customHeight="1">
      <x:c r="A797" s="4" t="str">
        <x:v>RS-00796</x:v>
      </x:c>
      <x:c r="B797" s="8" t="n">
        <x:v>45334</x:v>
      </x:c>
      <x:c r="C797" s="4" t="str">
        <x:v>PRJ-016</x:v>
      </x:c>
      <x:c r="D797" s="4" t="str">
        <x:v>Villa</x:v>
      </x:c>
      <x:c r="E797" s="4" t="str">
        <x:v>Reserved</x:v>
      </x:c>
      <x:c r="F797" s="4" t="str">
        <x:v>CUS-00796</x:v>
      </x:c>
      <x:c r="G797" s="4" t="str">
        <x:v>UNIT-00796</x:v>
      </x:c>
      <x:c r="H797" s="9" t="n">
        <x:v>17800000</x:v>
      </x:c>
      <x:c r="I797" s="10" t="n">
        <x:v>0.09</x:v>
      </x:c>
      <x:c r="J797" s="11" t="n">
        <x:v>5</x:v>
      </x:c>
      <x:c r="K797" s="11" t="n">
        <x:v>10</x:v>
      </x:c>
      <x:c r="L797" s="11" t="n">
        <x:v>0</x:v>
      </x:c>
      <x:c r="M797" s="9" t="n">
        <x:f>ROUND(H797*(1-I797),2)</x:f>
        <x:v>16198000</x:v>
      </x:c>
      <x:c r="N797" s="4" t="str">
        <x:v>Sales head</x:v>
      </x:c>
      <x:c r="O797" s="4"/>
      <x:c r="P797" s="9" t="n">
        <x:v>0</x:v>
      </x:c>
      <x:c r="Q797" s="11" t="n">
        <x:v>0</x:v>
      </x:c>
      <x:c r="R797" s="8" t="n">
        <x:v>45394</x:v>
      </x:c>
      <x:c r="S797" s="4" t="str">
        <x:v>Retained</x:v>
      </x:c>
      <x:c r="T797" s="10" t="n">
        <x:v>0.226277</x:v>
      </x:c>
      <x:c r="U797" s="4" t="str">
        <x:v>Train</x:v>
      </x:c>
    </x:row>
    <x:row r="798" ht="34" customHeight="1">
      <x:c r="A798" s="4" t="str">
        <x:v>RS-00797</x:v>
      </x:c>
      <x:c r="B798" s="8" t="n">
        <x:v>45335</x:v>
      </x:c>
      <x:c r="C798" s="4" t="str">
        <x:v>PRJ-017</x:v>
      </x:c>
      <x:c r="D798" s="4" t="str">
        <x:v>Villa</x:v>
      </x:c>
      <x:c r="E798" s="4" t="str">
        <x:v>Handed over</x:v>
      </x:c>
      <x:c r="F798" s="4" t="str">
        <x:v>CUS-00797</x:v>
      </x:c>
      <x:c r="G798" s="4" t="str">
        <x:v>UNIT-00797</x:v>
      </x:c>
      <x:c r="H798" s="9" t="n">
        <x:v>3600000</x:v>
      </x:c>
      <x:c r="I798" s="10" t="n">
        <x:v>0.07</x:v>
      </x:c>
      <x:c r="J798" s="11" t="n">
        <x:v>0</x:v>
      </x:c>
      <x:c r="K798" s="11" t="n">
        <x:v>3</x:v>
      </x:c>
      <x:c r="L798" s="11" t="n">
        <x:v>1</x:v>
      </x:c>
      <x:c r="M798" s="9" t="n">
        <x:f>ROUND(H798*(1-I798),2)</x:f>
        <x:v>3348000</x:v>
      </x:c>
      <x:c r="N798" s="4" t="str">
        <x:v>Sales manager</x:v>
      </x:c>
      <x:c r="O798" s="4" t="str">
        <x:v>BOOK-00797</x:v>
      </x:c>
      <x:c r="P798" s="9" t="n">
        <x:v>3348000</x:v>
      </x:c>
      <x:c r="Q798" s="11" t="n">
        <x:v>0</x:v>
      </x:c>
      <x:c r="R798" s="8" t="n">
        <x:v>45395</x:v>
      </x:c>
      <x:c r="S798" s="4" t="str">
        <x:v>Retained</x:v>
      </x:c>
      <x:c r="T798" s="10" t="n">
        <x:v>0.204152</x:v>
      </x:c>
      <x:c r="U798" s="4" t="str">
        <x:v>Train</x:v>
      </x:c>
    </x:row>
    <x:row r="799" ht="34" customHeight="1">
      <x:c r="A799" s="4" t="str">
        <x:v>RS-00798</x:v>
      </x:c>
      <x:c r="B799" s="8" t="n">
        <x:v>45336</x:v>
      </x:c>
      <x:c r="C799" s="4" t="str">
        <x:v>PRJ-018</x:v>
      </x:c>
      <x:c r="D799" s="4" t="str">
        <x:v>Villa</x:v>
      </x:c>
      <x:c r="E799" s="4" t="str">
        <x:v>Agreement signed</x:v>
      </x:c>
      <x:c r="F799" s="4" t="str">
        <x:v>CUS-00798</x:v>
      </x:c>
      <x:c r="G799" s="4" t="str">
        <x:v>UNIT-00798</x:v>
      </x:c>
      <x:c r="H799" s="9" t="n">
        <x:v>7500000</x:v>
      </x:c>
      <x:c r="I799" s="10" t="n">
        <x:v>0.09</x:v>
      </x:c>
      <x:c r="J799" s="11" t="n">
        <x:v>5</x:v>
      </x:c>
      <x:c r="K799" s="11" t="n">
        <x:v>6</x:v>
      </x:c>
      <x:c r="L799" s="11" t="n">
        <x:v>0</x:v>
      </x:c>
      <x:c r="M799" s="9" t="n">
        <x:f>ROUND(H799*(1-I799),2)</x:f>
        <x:v>6825000</x:v>
      </x:c>
      <x:c r="N799" s="4" t="str">
        <x:v>Sales head</x:v>
      </x:c>
      <x:c r="O799" s="4" t="str">
        <x:v>BOOK-00798</x:v>
      </x:c>
      <x:c r="P799" s="9" t="n">
        <x:v>682500</x:v>
      </x:c>
      <x:c r="Q799" s="11" t="n">
        <x:v>0</x:v>
      </x:c>
      <x:c r="R799" s="8" t="n">
        <x:v>45396</x:v>
      </x:c>
      <x:c r="S799" s="4" t="str">
        <x:v>Retained</x:v>
      </x:c>
      <x:c r="T799" s="10" t="n">
        <x:v>0.226277</x:v>
      </x:c>
      <x:c r="U799" s="4" t="str">
        <x:v>Train</x:v>
      </x:c>
    </x:row>
    <x:row r="800" ht="34" customHeight="1">
      <x:c r="A800" s="4" t="str">
        <x:v>RS-00799</x:v>
      </x:c>
      <x:c r="B800" s="8" t="n">
        <x:v>45337</x:v>
      </x:c>
      <x:c r="C800" s="4" t="str">
        <x:v>PRJ-019</x:v>
      </x:c>
      <x:c r="D800" s="4" t="str">
        <x:v>Office</x:v>
      </x:c>
      <x:c r="E800" s="4" t="str">
        <x:v>Enquiry</x:v>
      </x:c>
      <x:c r="F800" s="4" t="str">
        <x:v>CUS-00799</x:v>
      </x:c>
      <x:c r="G800" s="4" t="str">
        <x:v>UNIT-00799</x:v>
      </x:c>
      <x:c r="H800" s="9" t="n">
        <x:v>22000000</x:v>
      </x:c>
      <x:c r="I800" s="10" t="n">
        <x:v>0.1</x:v>
      </x:c>
      <x:c r="J800" s="11" t="n">
        <x:v>3</x:v>
      </x:c>
      <x:c r="K800" s="11" t="n">
        <x:v>6</x:v>
      </x:c>
      <x:c r="L800" s="11" t="n">
        <x:v>1</x:v>
      </x:c>
      <x:c r="M800" s="9" t="n">
        <x:f>ROUND(H800*(1-I800),2)</x:f>
        <x:v>19800000</x:v>
      </x:c>
      <x:c r="N800" s="4" t="str">
        <x:v>Sales head</x:v>
      </x:c>
      <x:c r="O800" s="4"/>
      <x:c r="P800" s="9" t="n">
        <x:v>0</x:v>
      </x:c>
      <x:c r="Q800" s="11" t="n">
        <x:v>1</x:v>
      </x:c>
      <x:c r="R800" s="8" t="n">
        <x:v>45397</x:v>
      </x:c>
      <x:c r="S800" s="4" t="str">
        <x:v>Lost / cancelled</x:v>
      </x:c>
      <x:c r="T800" s="10" t="n">
        <x:v>0.145833</x:v>
      </x:c>
      <x:c r="U800" s="4" t="str">
        <x:v>Train</x:v>
      </x:c>
    </x:row>
    <x:row r="801" ht="34" customHeight="1">
      <x:c r="A801" s="4" t="str">
        <x:v>RS-00800</x:v>
      </x:c>
      <x:c r="B801" s="8" t="n">
        <x:v>45338</x:v>
      </x:c>
      <x:c r="C801" s="4" t="str">
        <x:v>PRJ-020</x:v>
      </x:c>
      <x:c r="D801" s="4" t="str">
        <x:v>Retail</x:v>
      </x:c>
      <x:c r="E801" s="4" t="str">
        <x:v>Handed over</x:v>
      </x:c>
      <x:c r="F801" s="4" t="str">
        <x:v>CUS-00800</x:v>
      </x:c>
      <x:c r="G801" s="4" t="str">
        <x:v>UNIT-00800</x:v>
      </x:c>
      <x:c r="H801" s="9" t="n">
        <x:v>8300000</x:v>
      </x:c>
      <x:c r="I801" s="10" t="n">
        <x:v>0.07</x:v>
      </x:c>
      <x:c r="J801" s="11" t="n">
        <x:v>2</x:v>
      </x:c>
      <x:c r="K801" s="11" t="n">
        <x:v>10</x:v>
      </x:c>
      <x:c r="L801" s="11" t="n">
        <x:v>0</x:v>
      </x:c>
      <x:c r="M801" s="9" t="n">
        <x:f>ROUND(H801*(1-I801),2)</x:f>
        <x:v>7719000</x:v>
      </x:c>
      <x:c r="N801" s="4" t="str">
        <x:v>Sales manager</x:v>
      </x:c>
      <x:c r="O801" s="4" t="str">
        <x:v>BOOK-00800</x:v>
      </x:c>
      <x:c r="P801" s="9" t="n">
        <x:v>771900</x:v>
      </x:c>
      <x:c r="Q801" s="11" t="n">
        <x:v>0</x:v>
      </x:c>
      <x:c r="R801" s="8" t="n">
        <x:v>45398</x:v>
      </x:c>
      <x:c r="S801" s="4" t="str">
        <x:v>Retained</x:v>
      </x:c>
      <x:c r="T801" s="10" t="n">
        <x:v>0.204152</x:v>
      </x:c>
      <x:c r="U801" s="4" t="str">
        <x:v>Train</x:v>
      </x:c>
    </x:row>
    <x:row r="802" ht="34" customHeight="1">
      <x:c r="A802" s="4" t="str">
        <x:v>RS-00801</x:v>
      </x:c>
      <x:c r="B802" s="8" t="n">
        <x:v>45339</x:v>
      </x:c>
      <x:c r="C802" s="4" t="str">
        <x:v>PRJ-001</x:v>
      </x:c>
      <x:c r="D802" s="4" t="str">
        <x:v>Apartment</x:v>
      </x:c>
      <x:c r="E802" s="4" t="str">
        <x:v>Agreement signed</x:v>
      </x:c>
      <x:c r="F802" s="4" t="str">
        <x:v>CUS-00801</x:v>
      </x:c>
      <x:c r="G802" s="4" t="str">
        <x:v>UNIT-00801</x:v>
      </x:c>
      <x:c r="H802" s="9" t="n">
        <x:v>14600000</x:v>
      </x:c>
      <x:c r="I802" s="10" t="n">
        <x:v>0.06</x:v>
      </x:c>
      <x:c r="J802" s="11" t="n">
        <x:v>4</x:v>
      </x:c>
      <x:c r="K802" s="11" t="n">
        <x:v>4</x:v>
      </x:c>
      <x:c r="L802" s="11" t="n">
        <x:v>1</x:v>
      </x:c>
      <x:c r="M802" s="9" t="n">
        <x:f>ROUND(H802*(1-I802),2)</x:f>
        <x:v>13724000</x:v>
      </x:c>
      <x:c r="N802" s="4" t="str">
        <x:v>Sales manager</x:v>
      </x:c>
      <x:c r="O802" s="4" t="str">
        <x:v>BOOK-00801</x:v>
      </x:c>
      <x:c r="P802" s="9" t="n">
        <x:v>3431000</x:v>
      </x:c>
      <x:c r="Q802" s="11" t="n">
        <x:v>0</x:v>
      </x:c>
      <x:c r="R802" s="8" t="n">
        <x:v>45399</x:v>
      </x:c>
      <x:c r="S802" s="4" t="str">
        <x:v>Retained</x:v>
      </x:c>
      <x:c r="T802" s="10" t="n">
        <x:v>0.291946</x:v>
      </x:c>
      <x:c r="U802" s="4" t="str">
        <x:v>Train</x:v>
      </x:c>
    </x:row>
    <x:row r="803" ht="34" customHeight="1">
      <x:c r="A803" s="4" t="str">
        <x:v>RS-00802</x:v>
      </x:c>
      <x:c r="B803" s="8" t="n">
        <x:v>45340</x:v>
      </x:c>
      <x:c r="C803" s="4" t="str">
        <x:v>PRJ-002</x:v>
      </x:c>
      <x:c r="D803" s="4" t="str">
        <x:v>Retail</x:v>
      </x:c>
      <x:c r="E803" s="4" t="str">
        <x:v>Enquiry</x:v>
      </x:c>
      <x:c r="F803" s="4" t="str">
        <x:v>CUS-00802</x:v>
      </x:c>
      <x:c r="G803" s="4" t="str">
        <x:v>UNIT-00802</x:v>
      </x:c>
      <x:c r="H803" s="9" t="n">
        <x:v>18100000</x:v>
      </x:c>
      <x:c r="I803" s="10" t="n">
        <x:v>0.04</x:v>
      </x:c>
      <x:c r="J803" s="11" t="n">
        <x:v>3</x:v>
      </x:c>
      <x:c r="K803" s="11" t="n">
        <x:v>2</x:v>
      </x:c>
      <x:c r="L803" s="11" t="n">
        <x:v>0</x:v>
      </x:c>
      <x:c r="M803" s="9" t="n">
        <x:f>ROUND(H803*(1-I803),2)</x:f>
        <x:v>17376000</x:v>
      </x:c>
      <x:c r="N803" s="4" t="str">
        <x:v>Sales manager</x:v>
      </x:c>
      <x:c r="O803" s="4"/>
      <x:c r="P803" s="9" t="n">
        <x:v>0</x:v>
      </x:c>
      <x:c r="Q803" s="11" t="n">
        <x:v>0</x:v>
      </x:c>
      <x:c r="R803" s="8" t="n">
        <x:v>45400</x:v>
      </x:c>
      <x:c r="S803" s="4" t="str">
        <x:v>Retained</x:v>
      </x:c>
      <x:c r="T803" s="10" t="n">
        <x:v>0.204152</x:v>
      </x:c>
      <x:c r="U803" s="4" t="str">
        <x:v>Train</x:v>
      </x:c>
    </x:row>
    <x:row r="804" ht="34" customHeight="1">
      <x:c r="A804" s="4" t="str">
        <x:v>RS-00803</x:v>
      </x:c>
      <x:c r="B804" s="8" t="n">
        <x:v>45341</x:v>
      </x:c>
      <x:c r="C804" s="4" t="str">
        <x:v>PRJ-003</x:v>
      </x:c>
      <x:c r="D804" s="4" t="str">
        <x:v>Villa</x:v>
      </x:c>
      <x:c r="E804" s="4" t="str">
        <x:v>Cancelled</x:v>
      </x:c>
      <x:c r="F804" s="4" t="str">
        <x:v>CUS-00803</x:v>
      </x:c>
      <x:c r="G804" s="4" t="str">
        <x:v>UNIT-00803</x:v>
      </x:c>
      <x:c r="H804" s="9" t="n">
        <x:v>7400000</x:v>
      </x:c>
      <x:c r="I804" s="10" t="n">
        <x:v>0.01</x:v>
      </x:c>
      <x:c r="J804" s="11" t="n">
        <x:v>8</x:v>
      </x:c>
      <x:c r="K804" s="11" t="n">
        <x:v>2</x:v>
      </x:c>
      <x:c r="L804" s="11" t="n">
        <x:v>1</x:v>
      </x:c>
      <x:c r="M804" s="9" t="n">
        <x:f>ROUND(H804*(1-I804),2)</x:f>
        <x:v>7326000</x:v>
      </x:c>
      <x:c r="N804" s="4" t="str">
        <x:v>Sales manager</x:v>
      </x:c>
      <x:c r="O804" s="4"/>
      <x:c r="P804" s="9" t="n">
        <x:v>0</x:v>
      </x:c>
      <x:c r="Q804" s="11" t="n">
        <x:v>1</x:v>
      </x:c>
      <x:c r="R804" s="8" t="n">
        <x:v>45401</x:v>
      </x:c>
      <x:c r="S804" s="4" t="str">
        <x:v>Lost / cancelled</x:v>
      </x:c>
      <x:c r="T804" s="10" t="n">
        <x:v>0.254545</x:v>
      </x:c>
      <x:c r="U804" s="4" t="str">
        <x:v>Train</x:v>
      </x:c>
    </x:row>
    <x:row r="805" ht="34" customHeight="1">
      <x:c r="A805" s="4" t="str">
        <x:v>RS-00804</x:v>
      </x:c>
      <x:c r="B805" s="8" t="n">
        <x:v>45342</x:v>
      </x:c>
      <x:c r="C805" s="4" t="str">
        <x:v>PRJ-004</x:v>
      </x:c>
      <x:c r="D805" s="4" t="str">
        <x:v>Apartment</x:v>
      </x:c>
      <x:c r="E805" s="4" t="str">
        <x:v>Agreement signed</x:v>
      </x:c>
      <x:c r="F805" s="4" t="str">
        <x:v>CUS-00804</x:v>
      </x:c>
      <x:c r="G805" s="4" t="str">
        <x:v>UNIT-00804</x:v>
      </x:c>
      <x:c r="H805" s="9" t="n">
        <x:v>6000000</x:v>
      </x:c>
      <x:c r="I805" s="10" t="n">
        <x:v>0.07</x:v>
      </x:c>
      <x:c r="J805" s="11" t="n">
        <x:v>0</x:v>
      </x:c>
      <x:c r="K805" s="11" t="n">
        <x:v>9</x:v>
      </x:c>
      <x:c r="L805" s="11" t="n">
        <x:v>0</x:v>
      </x:c>
      <x:c r="M805" s="9" t="n">
        <x:f>ROUND(H805*(1-I805),2)</x:f>
        <x:v>5580000</x:v>
      </x:c>
      <x:c r="N805" s="4" t="str">
        <x:v>Sales manager</x:v>
      </x:c>
      <x:c r="O805" s="4" t="str">
        <x:v>BOOK-00804</x:v>
      </x:c>
      <x:c r="P805" s="9" t="n">
        <x:v>5580000</x:v>
      </x:c>
      <x:c r="Q805" s="11" t="n">
        <x:v>0</x:v>
      </x:c>
      <x:c r="R805" s="8" t="n">
        <x:v>45402</x:v>
      </x:c>
      <x:c r="S805" s="4" t="str">
        <x:v>Retained</x:v>
      </x:c>
      <x:c r="T805" s="10" t="n">
        <x:v>0.204152</x:v>
      </x:c>
      <x:c r="U805" s="4" t="str">
        <x:v>Train</x:v>
      </x:c>
    </x:row>
    <x:row r="806" ht="34" customHeight="1">
      <x:c r="A806" s="4" t="str">
        <x:v>RS-00805</x:v>
      </x:c>
      <x:c r="B806" s="8" t="n">
        <x:v>45343</x:v>
      </x:c>
      <x:c r="C806" s="4" t="str">
        <x:v>PRJ-005</x:v>
      </x:c>
      <x:c r="D806" s="4" t="str">
        <x:v>Office</x:v>
      </x:c>
      <x:c r="E806" s="4" t="str">
        <x:v>Enquiry</x:v>
      </x:c>
      <x:c r="F806" s="4" t="str">
        <x:v>CUS-00805</x:v>
      </x:c>
      <x:c r="G806" s="4" t="str">
        <x:v>UNIT-00805</x:v>
      </x:c>
      <x:c r="H806" s="9" t="n">
        <x:v>20300000</x:v>
      </x:c>
      <x:c r="I806" s="10" t="n">
        <x:v>0.08</x:v>
      </x:c>
      <x:c r="J806" s="11" t="n">
        <x:v>1</x:v>
      </x:c>
      <x:c r="K806" s="11" t="n">
        <x:v>4</x:v>
      </x:c>
      <x:c r="L806" s="11" t="n">
        <x:v>0</x:v>
      </x:c>
      <x:c r="M806" s="9" t="n">
        <x:f>ROUND(H806*(1-I806),2)</x:f>
        <x:v>18676000</x:v>
      </x:c>
      <x:c r="N806" s="4" t="str">
        <x:v>Sales head</x:v>
      </x:c>
      <x:c r="O806" s="4"/>
      <x:c r="P806" s="9" t="n">
        <x:v>0</x:v>
      </x:c>
      <x:c r="Q806" s="11" t="n">
        <x:v>0</x:v>
      </x:c>
      <x:c r="R806" s="8" t="n">
        <x:v>45403</x:v>
      </x:c>
      <x:c r="S806" s="4" t="str">
        <x:v>Retained</x:v>
      </x:c>
      <x:c r="T806" s="10" t="n">
        <x:v>0.204152</x:v>
      </x:c>
      <x:c r="U806" s="4" t="str">
        <x:v>Train</x:v>
      </x:c>
    </x:row>
    <x:row r="807" ht="34" customHeight="1">
      <x:c r="A807" s="4" t="str">
        <x:v>RS-00806</x:v>
      </x:c>
      <x:c r="B807" s="8" t="n">
        <x:v>45344</x:v>
      </x:c>
      <x:c r="C807" s="4" t="str">
        <x:v>PRJ-006</x:v>
      </x:c>
      <x:c r="D807" s="4" t="str">
        <x:v>Retail</x:v>
      </x:c>
      <x:c r="E807" s="4" t="str">
        <x:v>Agreement signed</x:v>
      </x:c>
      <x:c r="F807" s="4" t="str">
        <x:v>CUS-00806</x:v>
      </x:c>
      <x:c r="G807" s="4" t="str">
        <x:v>UNIT-00806</x:v>
      </x:c>
      <x:c r="H807" s="9" t="n">
        <x:v>8600000</x:v>
      </x:c>
      <x:c r="I807" s="10" t="n">
        <x:v>0.1</x:v>
      </x:c>
      <x:c r="J807" s="11" t="n">
        <x:v>10</x:v>
      </x:c>
      <x:c r="K807" s="11" t="n">
        <x:v>8</x:v>
      </x:c>
      <x:c r="L807" s="11" t="n">
        <x:v>1</x:v>
      </x:c>
      <x:c r="M807" s="9" t="n">
        <x:f>ROUND(H807*(1-I807),2)</x:f>
        <x:v>7740000</x:v>
      </x:c>
      <x:c r="N807" s="4" t="str">
        <x:v>Sales head</x:v>
      </x:c>
      <x:c r="O807" s="4" t="str">
        <x:v>BOOK-00806</x:v>
      </x:c>
      <x:c r="P807" s="9" t="n">
        <x:v>7740000</x:v>
      </x:c>
      <x:c r="Q807" s="11" t="n">
        <x:v>0</x:v>
      </x:c>
      <x:c r="R807" s="8" t="n">
        <x:v>45404</x:v>
      </x:c>
      <x:c r="S807" s="4" t="str">
        <x:v>Retained</x:v>
      </x:c>
      <x:c r="T807" s="10" t="n">
        <x:v>0.310195</x:v>
      </x:c>
      <x:c r="U807" s="4" t="str">
        <x:v>Train</x:v>
      </x:c>
    </x:row>
    <x:row r="808" ht="34" customHeight="1">
      <x:c r="A808" s="4" t="str">
        <x:v>RS-00807</x:v>
      </x:c>
      <x:c r="B808" s="8" t="n">
        <x:v>45345</x:v>
      </x:c>
      <x:c r="C808" s="4" t="str">
        <x:v>PRJ-007</x:v>
      </x:c>
      <x:c r="D808" s="4" t="str">
        <x:v>Apartment</x:v>
      </x:c>
      <x:c r="E808" s="4" t="str">
        <x:v>Reserved</x:v>
      </x:c>
      <x:c r="F808" s="4" t="str">
        <x:v>CUS-00807</x:v>
      </x:c>
      <x:c r="G808" s="4" t="str">
        <x:v>UNIT-00807</x:v>
      </x:c>
      <x:c r="H808" s="9" t="n">
        <x:v>16900000</x:v>
      </x:c>
      <x:c r="I808" s="10" t="n">
        <x:v>0.04</x:v>
      </x:c>
      <x:c r="J808" s="11" t="n">
        <x:v>4</x:v>
      </x:c>
      <x:c r="K808" s="11" t="n">
        <x:v>7</x:v>
      </x:c>
      <x:c r="L808" s="11" t="n">
        <x:v>0</x:v>
      </x:c>
      <x:c r="M808" s="9" t="n">
        <x:f>ROUND(H808*(1-I808),2)</x:f>
        <x:v>16224000</x:v>
      </x:c>
      <x:c r="N808" s="4" t="str">
        <x:v>Sales manager</x:v>
      </x:c>
      <x:c r="O808" s="4"/>
      <x:c r="P808" s="9" t="n">
        <x:v>0</x:v>
      </x:c>
      <x:c r="Q808" s="11" t="n">
        <x:v>0</x:v>
      </x:c>
      <x:c r="R808" s="8" t="n">
        <x:v>45405</x:v>
      </x:c>
      <x:c r="S808" s="4" t="str">
        <x:v>Retained</x:v>
      </x:c>
      <x:c r="T808" s="10" t="n">
        <x:v>0.226277</x:v>
      </x:c>
      <x:c r="U808" s="4" t="str">
        <x:v>Train</x:v>
      </x:c>
    </x:row>
    <x:row r="809" ht="34" customHeight="1">
      <x:c r="A809" s="4" t="str">
        <x:v>RS-00808</x:v>
      </x:c>
      <x:c r="B809" s="8" t="n">
        <x:v>45346</x:v>
      </x:c>
      <x:c r="C809" s="4" t="str">
        <x:v>PRJ-008</x:v>
      </x:c>
      <x:c r="D809" s="4" t="str">
        <x:v>Retail</x:v>
      </x:c>
      <x:c r="E809" s="4" t="str">
        <x:v>Agreement signed</x:v>
      </x:c>
      <x:c r="F809" s="4" t="str">
        <x:v>CUS-00808</x:v>
      </x:c>
      <x:c r="G809" s="4" t="str">
        <x:v>UNIT-00808</x:v>
      </x:c>
      <x:c r="H809" s="9" t="n">
        <x:v>11300000</x:v>
      </x:c>
      <x:c r="I809" s="10" t="n">
        <x:v>0.01</x:v>
      </x:c>
      <x:c r="J809" s="11" t="n">
        <x:v>11</x:v>
      </x:c>
      <x:c r="K809" s="11" t="n">
        <x:v>1</x:v>
      </x:c>
      <x:c r="L809" s="11" t="n">
        <x:v>0</x:v>
      </x:c>
      <x:c r="M809" s="9" t="n">
        <x:f>ROUND(H809*(1-I809),2)</x:f>
        <x:v>11187000</x:v>
      </x:c>
      <x:c r="N809" s="4" t="str">
        <x:v>Sales manager</x:v>
      </x:c>
      <x:c r="O809" s="4" t="str">
        <x:v>BOOK-00808</x:v>
      </x:c>
      <x:c r="P809" s="9" t="n">
        <x:v>5593500</x:v>
      </x:c>
      <x:c r="Q809" s="11" t="n">
        <x:v>0</x:v>
      </x:c>
      <x:c r="R809" s="8" t="n">
        <x:v>45406</x:v>
      </x:c>
      <x:c r="S809" s="4" t="str">
        <x:v>Retained</x:v>
      </x:c>
      <x:c r="T809" s="10" t="n">
        <x:v>0.305556</x:v>
      </x:c>
      <x:c r="U809" s="4" t="str">
        <x:v>Train</x:v>
      </x:c>
    </x:row>
    <x:row r="810" ht="34" customHeight="1">
      <x:c r="A810" s="4" t="str">
        <x:v>RS-00809</x:v>
      </x:c>
      <x:c r="B810" s="8" t="n">
        <x:v>45347</x:v>
      </x:c>
      <x:c r="C810" s="4" t="str">
        <x:v>PRJ-009</x:v>
      </x:c>
      <x:c r="D810" s="4" t="str">
        <x:v>Villa</x:v>
      </x:c>
      <x:c r="E810" s="4" t="str">
        <x:v>Cancelled</x:v>
      </x:c>
      <x:c r="F810" s="4" t="str">
        <x:v>CUS-00809</x:v>
      </x:c>
      <x:c r="G810" s="4" t="str">
        <x:v>UNIT-00809</x:v>
      </x:c>
      <x:c r="H810" s="9" t="n">
        <x:v>6500000</x:v>
      </x:c>
      <x:c r="I810" s="10" t="n">
        <x:v>0.06</x:v>
      </x:c>
      <x:c r="J810" s="11" t="n">
        <x:v>5</x:v>
      </x:c>
      <x:c r="K810" s="11" t="n">
        <x:v>2</x:v>
      </x:c>
      <x:c r="L810" s="11" t="n">
        <x:v>1</x:v>
      </x:c>
      <x:c r="M810" s="9" t="n">
        <x:f>ROUND(H810*(1-I810),2)</x:f>
        <x:v>6110000</x:v>
      </x:c>
      <x:c r="N810" s="4" t="str">
        <x:v>Sales manager</x:v>
      </x:c>
      <x:c r="O810" s="4"/>
      <x:c r="P810" s="9" t="n">
        <x:v>0</x:v>
      </x:c>
      <x:c r="Q810" s="11" t="n">
        <x:v>1</x:v>
      </x:c>
      <x:c r="R810" s="8" t="n">
        <x:v>45407</x:v>
      </x:c>
      <x:c r="S810" s="4" t="str">
        <x:v>Lost / cancelled</x:v>
      </x:c>
      <x:c r="T810" s="10" t="n">
        <x:v>0.291946</x:v>
      </x:c>
      <x:c r="U810" s="4" t="str">
        <x:v>Train</x:v>
      </x:c>
    </x:row>
    <x:row r="811" ht="34" customHeight="1">
      <x:c r="A811" s="4" t="str">
        <x:v>RS-00810</x:v>
      </x:c>
      <x:c r="B811" s="8" t="n">
        <x:v>45348</x:v>
      </x:c>
      <x:c r="C811" s="4" t="str">
        <x:v>PRJ-010</x:v>
      </x:c>
      <x:c r="D811" s="4" t="str">
        <x:v>Retail</x:v>
      </x:c>
      <x:c r="E811" s="4" t="str">
        <x:v>Agreement signed</x:v>
      </x:c>
      <x:c r="F811" s="4" t="str">
        <x:v>CUS-00810</x:v>
      </x:c>
      <x:c r="G811" s="4" t="str">
        <x:v>UNIT-00810</x:v>
      </x:c>
      <x:c r="H811" s="9" t="n">
        <x:v>3600000</x:v>
      </x:c>
      <x:c r="I811" s="10" t="n">
        <x:v>0.03</x:v>
      </x:c>
      <x:c r="J811" s="11" t="n">
        <x:v>6</x:v>
      </x:c>
      <x:c r="K811" s="11" t="n">
        <x:v>10</x:v>
      </x:c>
      <x:c r="L811" s="11" t="n">
        <x:v>1</x:v>
      </x:c>
      <x:c r="M811" s="9" t="n">
        <x:f>ROUND(H811*(1-I811),2)</x:f>
        <x:v>3492000</x:v>
      </x:c>
      <x:c r="N811" s="4" t="str">
        <x:v>Sales manager</x:v>
      </x:c>
      <x:c r="O811" s="4" t="str">
        <x:v>BOOK-00810</x:v>
      </x:c>
      <x:c r="P811" s="9" t="n">
        <x:v>873000</x:v>
      </x:c>
      <x:c r="Q811" s="11" t="n">
        <x:v>0</x:v>
      </x:c>
      <x:c r="R811" s="8" t="n">
        <x:v>45408</x:v>
      </x:c>
      <x:c r="S811" s="4" t="str">
        <x:v>Retained</x:v>
      </x:c>
      <x:c r="T811" s="10" t="n">
        <x:v>0.145299</x:v>
      </x:c>
      <x:c r="U811" s="4" t="str">
        <x:v>Train</x:v>
      </x:c>
    </x:row>
    <x:row r="812" ht="34" customHeight="1">
      <x:c r="A812" s="4" t="str">
        <x:v>RS-00811</x:v>
      </x:c>
      <x:c r="B812" s="8" t="n">
        <x:v>45349</x:v>
      </x:c>
      <x:c r="C812" s="4" t="str">
        <x:v>PRJ-011</x:v>
      </x:c>
      <x:c r="D812" s="4" t="str">
        <x:v>Retail</x:v>
      </x:c>
      <x:c r="E812" s="4" t="str">
        <x:v>Handed over</x:v>
      </x:c>
      <x:c r="F812" s="4" t="str">
        <x:v>CUS-00811</x:v>
      </x:c>
      <x:c r="G812" s="4" t="str">
        <x:v>UNIT-00811</x:v>
      </x:c>
      <x:c r="H812" s="9" t="n">
        <x:v>3600000</x:v>
      </x:c>
      <x:c r="I812" s="10" t="n">
        <x:v>0.11</x:v>
      </x:c>
      <x:c r="J812" s="11" t="n">
        <x:v>7</x:v>
      </x:c>
      <x:c r="K812" s="11" t="n">
        <x:v>9</x:v>
      </x:c>
      <x:c r="L812" s="11" t="n">
        <x:v>1</x:v>
      </x:c>
      <x:c r="M812" s="9" t="n">
        <x:f>ROUND(H812*(1-I812),2)</x:f>
        <x:v>3204000</x:v>
      </x:c>
      <x:c r="N812" s="4" t="str">
        <x:v>Sales head</x:v>
      </x:c>
      <x:c r="O812" s="4" t="str">
        <x:v>BOOK-00811</x:v>
      </x:c>
      <x:c r="P812" s="9" t="n">
        <x:v>1602000</x:v>
      </x:c>
      <x:c r="Q812" s="11" t="n">
        <x:v>0</x:v>
      </x:c>
      <x:c r="R812" s="8" t="n">
        <x:v>45409</x:v>
      </x:c>
      <x:c r="S812" s="4" t="str">
        <x:v>Retained</x:v>
      </x:c>
      <x:c r="T812" s="10" t="n">
        <x:v>0.291946</x:v>
      </x:c>
      <x:c r="U812" s="4" t="str">
        <x:v>Train</x:v>
      </x:c>
    </x:row>
    <x:row r="813" ht="34" customHeight="1">
      <x:c r="A813" s="4" t="str">
        <x:v>RS-00812</x:v>
      </x:c>
      <x:c r="B813" s="8" t="n">
        <x:v>45350</x:v>
      </x:c>
      <x:c r="C813" s="4" t="str">
        <x:v>PRJ-012</x:v>
      </x:c>
      <x:c r="D813" s="4" t="str">
        <x:v>Retail</x:v>
      </x:c>
      <x:c r="E813" s="4" t="str">
        <x:v>Agreement signed</x:v>
      </x:c>
      <x:c r="F813" s="4" t="str">
        <x:v>CUS-00812</x:v>
      </x:c>
      <x:c r="G813" s="4" t="str">
        <x:v>UNIT-00812</x:v>
      </x:c>
      <x:c r="H813" s="9" t="n">
        <x:v>12400000</x:v>
      </x:c>
      <x:c r="I813" s="10" t="n">
        <x:v>0.09</x:v>
      </x:c>
      <x:c r="J813" s="11" t="n">
        <x:v>7</x:v>
      </x:c>
      <x:c r="K813" s="11" t="n">
        <x:v>10</x:v>
      </x:c>
      <x:c r="L813" s="11" t="n">
        <x:v>1</x:v>
      </x:c>
      <x:c r="M813" s="9" t="n">
        <x:f>ROUND(H813*(1-I813),2)</x:f>
        <x:v>11284000</x:v>
      </x:c>
      <x:c r="N813" s="4" t="str">
        <x:v>Sales head</x:v>
      </x:c>
      <x:c r="O813" s="4" t="str">
        <x:v>BOOK-00812</x:v>
      </x:c>
      <x:c r="P813" s="9" t="n">
        <x:v>11284000</x:v>
      </x:c>
      <x:c r="Q813" s="11" t="n">
        <x:v>0</x:v>
      </x:c>
      <x:c r="R813" s="8" t="n">
        <x:v>45410</x:v>
      </x:c>
      <x:c r="S813" s="4" t="str">
        <x:v>Retained</x:v>
      </x:c>
      <x:c r="T813" s="10" t="n">
        <x:v>0.291946</x:v>
      </x:c>
      <x:c r="U813" s="4" t="str">
        <x:v>Train</x:v>
      </x:c>
    </x:row>
    <x:row r="814" ht="34" customHeight="1">
      <x:c r="A814" s="4" t="str">
        <x:v>RS-00813</x:v>
      </x:c>
      <x:c r="B814" s="8" t="n">
        <x:v>45323</x:v>
      </x:c>
      <x:c r="C814" s="4" t="str">
        <x:v>PRJ-013</x:v>
      </x:c>
      <x:c r="D814" s="4" t="str">
        <x:v>Villa</x:v>
      </x:c>
      <x:c r="E814" s="4" t="str">
        <x:v>Agreement signed</x:v>
      </x:c>
      <x:c r="F814" s="4" t="str">
        <x:v>CUS-00813</x:v>
      </x:c>
      <x:c r="G814" s="4" t="str">
        <x:v>UNIT-00813</x:v>
      </x:c>
      <x:c r="H814" s="9" t="n">
        <x:v>21800000</x:v>
      </x:c>
      <x:c r="I814" s="10" t="n">
        <x:v>0.02</x:v>
      </x:c>
      <x:c r="J814" s="11" t="n">
        <x:v>7</x:v>
      </x:c>
      <x:c r="K814" s="11" t="n">
        <x:v>5</x:v>
      </x:c>
      <x:c r="L814" s="11" t="n">
        <x:v>1</x:v>
      </x:c>
      <x:c r="M814" s="9" t="n">
        <x:f>ROUND(H814*(1-I814),2)</x:f>
        <x:v>21364000</x:v>
      </x:c>
      <x:c r="N814" s="4" t="str">
        <x:v>Sales manager</x:v>
      </x:c>
      <x:c r="O814" s="4" t="str">
        <x:v>BOOK-00813</x:v>
      </x:c>
      <x:c r="P814" s="9" t="n">
        <x:v>10682000</x:v>
      </x:c>
      <x:c r="Q814" s="11" t="n">
        <x:v>0</x:v>
      </x:c>
      <x:c r="R814" s="8" t="n">
        <x:v>45383</x:v>
      </x:c>
      <x:c r="S814" s="4" t="str">
        <x:v>Retained</x:v>
      </x:c>
      <x:c r="T814" s="10" t="n">
        <x:v>0.145299</x:v>
      </x:c>
      <x:c r="U814" s="4" t="str">
        <x:v>Train</x:v>
      </x:c>
    </x:row>
    <x:row r="815" ht="34" customHeight="1">
      <x:c r="A815" s="4" t="str">
        <x:v>RS-00814</x:v>
      </x:c>
      <x:c r="B815" s="8" t="n">
        <x:v>45324</x:v>
      </x:c>
      <x:c r="C815" s="4" t="str">
        <x:v>PRJ-014</x:v>
      </x:c>
      <x:c r="D815" s="4" t="str">
        <x:v>Office</x:v>
      </x:c>
      <x:c r="E815" s="4" t="str">
        <x:v>Agreement signed</x:v>
      </x:c>
      <x:c r="F815" s="4" t="str">
        <x:v>CUS-00814</x:v>
      </x:c>
      <x:c r="G815" s="4" t="str">
        <x:v>UNIT-00814</x:v>
      </x:c>
      <x:c r="H815" s="9" t="n">
        <x:v>7200000</x:v>
      </x:c>
      <x:c r="I815" s="10" t="n">
        <x:v>0.01</x:v>
      </x:c>
      <x:c r="J815" s="11" t="n">
        <x:v>2</x:v>
      </x:c>
      <x:c r="K815" s="11" t="n">
        <x:v>10</x:v>
      </x:c>
      <x:c r="L815" s="11" t="n">
        <x:v>0</x:v>
      </x:c>
      <x:c r="M815" s="9" t="n">
        <x:f>ROUND(H815*(1-I815),2)</x:f>
        <x:v>7128000</x:v>
      </x:c>
      <x:c r="N815" s="4" t="str">
        <x:v>Sales manager</x:v>
      </x:c>
      <x:c r="O815" s="4" t="str">
        <x:v>BOOK-00814</x:v>
      </x:c>
      <x:c r="P815" s="9" t="n">
        <x:v>7128000</x:v>
      </x:c>
      <x:c r="Q815" s="11" t="n">
        <x:v>0</x:v>
      </x:c>
      <x:c r="R815" s="8" t="n">
        <x:v>45384</x:v>
      </x:c>
      <x:c r="S815" s="4" t="str">
        <x:v>Retained</x:v>
      </x:c>
      <x:c r="T815" s="10" t="n">
        <x:v>0.171717</x:v>
      </x:c>
      <x:c r="U815" s="4" t="str">
        <x:v>Train</x:v>
      </x:c>
    </x:row>
    <x:row r="816" ht="34" customHeight="1">
      <x:c r="A816" s="4" t="str">
        <x:v>RS-00815</x:v>
      </x:c>
      <x:c r="B816" s="8" t="n">
        <x:v>45325</x:v>
      </x:c>
      <x:c r="C816" s="4" t="str">
        <x:v>PRJ-015</x:v>
      </x:c>
      <x:c r="D816" s="4" t="str">
        <x:v>Villa</x:v>
      </x:c>
      <x:c r="E816" s="4" t="str">
        <x:v>Cancelled</x:v>
      </x:c>
      <x:c r="F816" s="4" t="str">
        <x:v>CUS-00815</x:v>
      </x:c>
      <x:c r="G816" s="4" t="str">
        <x:v>UNIT-00815</x:v>
      </x:c>
      <x:c r="H816" s="9" t="n">
        <x:v>9100000</x:v>
      </x:c>
      <x:c r="I816" s="10" t="n">
        <x:v>0.09</x:v>
      </x:c>
      <x:c r="J816" s="11" t="n">
        <x:v>11</x:v>
      </x:c>
      <x:c r="K816" s="11" t="n">
        <x:v>10</x:v>
      </x:c>
      <x:c r="L816" s="11" t="n">
        <x:v>1</x:v>
      </x:c>
      <x:c r="M816" s="9" t="n">
        <x:f>ROUND(H816*(1-I816),2)</x:f>
        <x:v>8281000</x:v>
      </x:c>
      <x:c r="N816" s="4" t="str">
        <x:v>Sales head</x:v>
      </x:c>
      <x:c r="O816" s="4"/>
      <x:c r="P816" s="9" t="n">
        <x:v>0</x:v>
      </x:c>
      <x:c r="Q816" s="11" t="n">
        <x:v>1</x:v>
      </x:c>
      <x:c r="R816" s="8" t="n">
        <x:v>45385</x:v>
      </x:c>
      <x:c r="S816" s="4" t="str">
        <x:v>Lost / cancelled</x:v>
      </x:c>
      <x:c r="T816" s="10" t="n">
        <x:v>0.351536</x:v>
      </x:c>
      <x:c r="U816" s="4" t="str">
        <x:v>Train</x:v>
      </x:c>
    </x:row>
    <x:row r="817" ht="34" customHeight="1">
      <x:c r="A817" s="4" t="str">
        <x:v>RS-00816</x:v>
      </x:c>
      <x:c r="B817" s="8" t="n">
        <x:v>45326</x:v>
      </x:c>
      <x:c r="C817" s="4" t="str">
        <x:v>PRJ-016</x:v>
      </x:c>
      <x:c r="D817" s="4" t="str">
        <x:v>Villa</x:v>
      </x:c>
      <x:c r="E817" s="4" t="str">
        <x:v>Reserved</x:v>
      </x:c>
      <x:c r="F817" s="4" t="str">
        <x:v>CUS-00816</x:v>
      </x:c>
      <x:c r="G817" s="4" t="str">
        <x:v>UNIT-00816</x:v>
      </x:c>
      <x:c r="H817" s="9" t="n">
        <x:v>12300000</x:v>
      </x:c>
      <x:c r="I817" s="10" t="n">
        <x:v>0.07</x:v>
      </x:c>
      <x:c r="J817" s="11" t="n">
        <x:v>3</x:v>
      </x:c>
      <x:c r="K817" s="11" t="n">
        <x:v>2</x:v>
      </x:c>
      <x:c r="L817" s="11" t="n">
        <x:v>0</x:v>
      </x:c>
      <x:c r="M817" s="9" t="n">
        <x:f>ROUND(H817*(1-I817),2)</x:f>
        <x:v>11439000</x:v>
      </x:c>
      <x:c r="N817" s="4" t="str">
        <x:v>Sales manager</x:v>
      </x:c>
      <x:c r="O817" s="4"/>
      <x:c r="P817" s="9" t="n">
        <x:v>0</x:v>
      </x:c>
      <x:c r="Q817" s="11" t="n">
        <x:v>0</x:v>
      </x:c>
      <x:c r="R817" s="8" t="n">
        <x:v>45386</x:v>
      </x:c>
      <x:c r="S817" s="4" t="str">
        <x:v>Retained</x:v>
      </x:c>
      <x:c r="T817" s="10" t="n">
        <x:v>0.204152</x:v>
      </x:c>
      <x:c r="U817" s="4" t="str">
        <x:v>Train</x:v>
      </x:c>
    </x:row>
    <x:row r="818" ht="34" customHeight="1">
      <x:c r="A818" s="4" t="str">
        <x:v>RS-00817</x:v>
      </x:c>
      <x:c r="B818" s="8" t="n">
        <x:v>45327</x:v>
      </x:c>
      <x:c r="C818" s="4" t="str">
        <x:v>PRJ-017</x:v>
      </x:c>
      <x:c r="D818" s="4" t="str">
        <x:v>Apartment</x:v>
      </x:c>
      <x:c r="E818" s="4" t="str">
        <x:v>Enquiry</x:v>
      </x:c>
      <x:c r="F818" s="4" t="str">
        <x:v>CUS-00817</x:v>
      </x:c>
      <x:c r="G818" s="4" t="str">
        <x:v>UNIT-00817</x:v>
      </x:c>
      <x:c r="H818" s="9" t="n">
        <x:v>5700000</x:v>
      </x:c>
      <x:c r="I818" s="10" t="n">
        <x:v>0.1</x:v>
      </x:c>
      <x:c r="J818" s="11" t="n">
        <x:v>10</x:v>
      </x:c>
      <x:c r="K818" s="11" t="n">
        <x:v>1</x:v>
      </x:c>
      <x:c r="L818" s="11" t="n">
        <x:v>0</x:v>
      </x:c>
      <x:c r="M818" s="9" t="n">
        <x:f>ROUND(H818*(1-I818),2)</x:f>
        <x:v>5130000</x:v>
      </x:c>
      <x:c r="N818" s="4" t="str">
        <x:v>Sales head</x:v>
      </x:c>
      <x:c r="O818" s="4"/>
      <x:c r="P818" s="9" t="n">
        <x:v>0</x:v>
      </x:c>
      <x:c r="Q818" s="11" t="n">
        <x:v>1</x:v>
      </x:c>
      <x:c r="R818" s="8" t="n">
        <x:v>45387</x:v>
      </x:c>
      <x:c r="S818" s="4" t="str">
        <x:v>Lost / cancelled</x:v>
      </x:c>
      <x:c r="T818" s="10" t="n">
        <x:v>0.310195</x:v>
      </x:c>
      <x:c r="U818" s="4" t="str">
        <x:v>Train</x:v>
      </x:c>
    </x:row>
    <x:row r="819" ht="34" customHeight="1">
      <x:c r="A819" s="4" t="str">
        <x:v>RS-00818</x:v>
      </x:c>
      <x:c r="B819" s="8" t="n">
        <x:v>45328</x:v>
      </x:c>
      <x:c r="C819" s="4" t="str">
        <x:v>PRJ-018</x:v>
      </x:c>
      <x:c r="D819" s="4" t="str">
        <x:v>Apartment</x:v>
      </x:c>
      <x:c r="E819" s="4" t="str">
        <x:v>Booked</x:v>
      </x:c>
      <x:c r="F819" s="4" t="str">
        <x:v>CUS-00818</x:v>
      </x:c>
      <x:c r="G819" s="4" t="str">
        <x:v>UNIT-00818</x:v>
      </x:c>
      <x:c r="H819" s="9" t="n">
        <x:v>19000000</x:v>
      </x:c>
      <x:c r="I819" s="10" t="n">
        <x:v>0.1</x:v>
      </x:c>
      <x:c r="J819" s="11" t="n">
        <x:v>2</x:v>
      </x:c>
      <x:c r="K819" s="11" t="n">
        <x:v>3</x:v>
      </x:c>
      <x:c r="L819" s="11" t="n">
        <x:v>1</x:v>
      </x:c>
      <x:c r="M819" s="9" t="n">
        <x:f>ROUND(H819*(1-I819),2)</x:f>
        <x:v>17100000</x:v>
      </x:c>
      <x:c r="N819" s="4" t="str">
        <x:v>Sales head</x:v>
      </x:c>
      <x:c r="O819" s="4" t="str">
        <x:v>BOOK-00818</x:v>
      </x:c>
      <x:c r="P819" s="9" t="n">
        <x:v>8550000</x:v>
      </x:c>
      <x:c r="Q819" s="11" t="n">
        <x:v>0</x:v>
      </x:c>
      <x:c r="R819" s="8" t="n">
        <x:v>45388</x:v>
      </x:c>
      <x:c r="S819" s="4" t="str">
        <x:v>Retained</x:v>
      </x:c>
      <x:c r="T819" s="10" t="n">
        <x:v>0.145833</x:v>
      </x:c>
      <x:c r="U819" s="4" t="str">
        <x:v>Train</x:v>
      </x:c>
    </x:row>
    <x:row r="820" ht="34" customHeight="1">
      <x:c r="A820" s="4" t="str">
        <x:v>RS-00819</x:v>
      </x:c>
      <x:c r="B820" s="8" t="n">
        <x:v>45329</x:v>
      </x:c>
      <x:c r="C820" s="4" t="str">
        <x:v>PRJ-019</x:v>
      </x:c>
      <x:c r="D820" s="4" t="str">
        <x:v>Apartment</x:v>
      </x:c>
      <x:c r="E820" s="4" t="str">
        <x:v>Booked</x:v>
      </x:c>
      <x:c r="F820" s="4" t="str">
        <x:v>CUS-00819</x:v>
      </x:c>
      <x:c r="G820" s="4" t="str">
        <x:v>UNIT-00819</x:v>
      </x:c>
      <x:c r="H820" s="9" t="n">
        <x:v>5000000</x:v>
      </x:c>
      <x:c r="I820" s="10" t="n">
        <x:v>0.01</x:v>
      </x:c>
      <x:c r="J820" s="11" t="n">
        <x:v>7</x:v>
      </x:c>
      <x:c r="K820" s="11" t="n">
        <x:v>1</x:v>
      </x:c>
      <x:c r="L820" s="11" t="n">
        <x:v>1</x:v>
      </x:c>
      <x:c r="M820" s="9" t="n">
        <x:f>ROUND(H820*(1-I820),2)</x:f>
        <x:v>4950000</x:v>
      </x:c>
      <x:c r="N820" s="4" t="str">
        <x:v>Sales manager</x:v>
      </x:c>
      <x:c r="O820" s="4" t="str">
        <x:v>BOOK-00819</x:v>
      </x:c>
      <x:c r="P820" s="9" t="n">
        <x:v>495000</x:v>
      </x:c>
      <x:c r="Q820" s="11" t="n">
        <x:v>0</x:v>
      </x:c>
      <x:c r="R820" s="8" t="n">
        <x:v>45389</x:v>
      </x:c>
      <x:c r="S820" s="4" t="str">
        <x:v>Retained</x:v>
      </x:c>
      <x:c r="T820" s="10" t="n">
        <x:v>0.298969</x:v>
      </x:c>
      <x:c r="U820" s="4" t="str">
        <x:v>Train</x:v>
      </x:c>
    </x:row>
    <x:row r="821" ht="34" customHeight="1">
      <x:c r="A821" s="4" t="str">
        <x:v>RS-00820</x:v>
      </x:c>
      <x:c r="B821" s="8" t="n">
        <x:v>45330</x:v>
      </x:c>
      <x:c r="C821" s="4" t="str">
        <x:v>PRJ-020</x:v>
      </x:c>
      <x:c r="D821" s="4" t="str">
        <x:v>Villa</x:v>
      </x:c>
      <x:c r="E821" s="4" t="str">
        <x:v>Cancelled</x:v>
      </x:c>
      <x:c r="F821" s="4" t="str">
        <x:v>CUS-00820</x:v>
      </x:c>
      <x:c r="G821" s="4" t="str">
        <x:v>UNIT-00820</x:v>
      </x:c>
      <x:c r="H821" s="9" t="n">
        <x:v>20900000</x:v>
      </x:c>
      <x:c r="I821" s="10" t="n">
        <x:v>0.01</x:v>
      </x:c>
      <x:c r="J821" s="11" t="n">
        <x:v>10</x:v>
      </x:c>
      <x:c r="K821" s="11" t="n">
        <x:v>10</x:v>
      </x:c>
      <x:c r="L821" s="11" t="n">
        <x:v>0</x:v>
      </x:c>
      <x:c r="M821" s="9" t="n">
        <x:f>ROUND(H821*(1-I821),2)</x:f>
        <x:v>20691000</x:v>
      </x:c>
      <x:c r="N821" s="4" t="str">
        <x:v>Sales manager</x:v>
      </x:c>
      <x:c r="O821" s="4"/>
      <x:c r="P821" s="9" t="n">
        <x:v>0</x:v>
      </x:c>
      <x:c r="Q821" s="11" t="n">
        <x:v>1</x:v>
      </x:c>
      <x:c r="R821" s="8" t="n">
        <x:v>45390</x:v>
      </x:c>
      <x:c r="S821" s="4" t="str">
        <x:v>Lost / cancelled</x:v>
      </x:c>
      <x:c r="T821" s="10" t="n">
        <x:v>0.305556</x:v>
      </x:c>
      <x:c r="U821" s="4" t="str">
        <x:v>Train</x:v>
      </x:c>
    </x:row>
    <x:row r="822" ht="34" customHeight="1">
      <x:c r="A822" s="4" t="str">
        <x:v>RS-00821</x:v>
      </x:c>
      <x:c r="B822" s="8" t="n">
        <x:v>45331</x:v>
      </x:c>
      <x:c r="C822" s="4" t="str">
        <x:v>PRJ-001</x:v>
      </x:c>
      <x:c r="D822" s="4" t="str">
        <x:v>Retail</x:v>
      </x:c>
      <x:c r="E822" s="4" t="str">
        <x:v>Reserved</x:v>
      </x:c>
      <x:c r="F822" s="4" t="str">
        <x:v>CUS-00821</x:v>
      </x:c>
      <x:c r="G822" s="4" t="str">
        <x:v>UNIT-00821</x:v>
      </x:c>
      <x:c r="H822" s="9" t="n">
        <x:v>21900000</x:v>
      </x:c>
      <x:c r="I822" s="10" t="n">
        <x:v>0.1</x:v>
      </x:c>
      <x:c r="J822" s="11" t="n">
        <x:v>7</x:v>
      </x:c>
      <x:c r="K822" s="11" t="n">
        <x:v>3</x:v>
      </x:c>
      <x:c r="L822" s="11" t="n">
        <x:v>1</x:v>
      </x:c>
      <x:c r="M822" s="9" t="n">
        <x:f>ROUND(H822*(1-I822),2)</x:f>
        <x:v>19710000</x:v>
      </x:c>
      <x:c r="N822" s="4" t="str">
        <x:v>Sales head</x:v>
      </x:c>
      <x:c r="O822" s="4"/>
      <x:c r="P822" s="9" t="n">
        <x:v>0</x:v>
      </x:c>
      <x:c r="Q822" s="11" t="n">
        <x:v>1</x:v>
      </x:c>
      <x:c r="R822" s="8" t="n">
        <x:v>45391</x:v>
      </x:c>
      <x:c r="S822" s="4" t="str">
        <x:v>Lost / cancelled</x:v>
      </x:c>
      <x:c r="T822" s="10" t="n">
        <x:v>0.291946</x:v>
      </x:c>
      <x:c r="U822" s="4" t="str">
        <x:v>Train</x:v>
      </x:c>
    </x:row>
    <x:row r="823" ht="34" customHeight="1">
      <x:c r="A823" s="4" t="str">
        <x:v>RS-00822</x:v>
      </x:c>
      <x:c r="B823" s="8" t="n">
        <x:v>45332</x:v>
      </x:c>
      <x:c r="C823" s="4" t="str">
        <x:v>PRJ-002</x:v>
      </x:c>
      <x:c r="D823" s="4" t="str">
        <x:v>Villa</x:v>
      </x:c>
      <x:c r="E823" s="4" t="str">
        <x:v>Reserved</x:v>
      </x:c>
      <x:c r="F823" s="4" t="str">
        <x:v>CUS-00822</x:v>
      </x:c>
      <x:c r="G823" s="4" t="str">
        <x:v>UNIT-00822</x:v>
      </x:c>
      <x:c r="H823" s="9" t="n">
        <x:v>19500000</x:v>
      </x:c>
      <x:c r="I823" s="10" t="n">
        <x:v>0.06</x:v>
      </x:c>
      <x:c r="J823" s="11" t="n">
        <x:v>11</x:v>
      </x:c>
      <x:c r="K823" s="11" t="n">
        <x:v>4</x:v>
      </x:c>
      <x:c r="L823" s="11" t="n">
        <x:v>1</x:v>
      </x:c>
      <x:c r="M823" s="9" t="n">
        <x:f>ROUND(H823*(1-I823),2)</x:f>
        <x:v>18330000</x:v>
      </x:c>
      <x:c r="N823" s="4" t="str">
        <x:v>Sales manager</x:v>
      </x:c>
      <x:c r="O823" s="4"/>
      <x:c r="P823" s="9" t="n">
        <x:v>0</x:v>
      </x:c>
      <x:c r="Q823" s="11" t="n">
        <x:v>1</x:v>
      </x:c>
      <x:c r="R823" s="8" t="n">
        <x:v>45392</x:v>
      </x:c>
      <x:c r="S823" s="4" t="str">
        <x:v>Lost / cancelled</x:v>
      </x:c>
      <x:c r="T823" s="10" t="n">
        <x:v>0.351536</x:v>
      </x:c>
      <x:c r="U823" s="4" t="str">
        <x:v>Train</x:v>
      </x:c>
    </x:row>
    <x:row r="824" ht="34" customHeight="1">
      <x:c r="A824" s="4" t="str">
        <x:v>RS-00823</x:v>
      </x:c>
      <x:c r="B824" s="8" t="n">
        <x:v>45333</x:v>
      </x:c>
      <x:c r="C824" s="4" t="str">
        <x:v>PRJ-003</x:v>
      </x:c>
      <x:c r="D824" s="4" t="str">
        <x:v>Apartment</x:v>
      </x:c>
      <x:c r="E824" s="4" t="str">
        <x:v>Handed over</x:v>
      </x:c>
      <x:c r="F824" s="4" t="str">
        <x:v>CUS-00823</x:v>
      </x:c>
      <x:c r="G824" s="4" t="str">
        <x:v>UNIT-00823</x:v>
      </x:c>
      <x:c r="H824" s="9" t="n">
        <x:v>6800000</x:v>
      </x:c>
      <x:c r="I824" s="10" t="n">
        <x:v>0.08</x:v>
      </x:c>
      <x:c r="J824" s="11" t="n">
        <x:v>12</x:v>
      </x:c>
      <x:c r="K824" s="11" t="n">
        <x:v>2</x:v>
      </x:c>
      <x:c r="L824" s="11" t="n">
        <x:v>1</x:v>
      </x:c>
      <x:c r="M824" s="9" t="n">
        <x:f>ROUND(H824*(1-I824),2)</x:f>
        <x:v>6256000</x:v>
      </x:c>
      <x:c r="N824" s="4" t="str">
        <x:v>Sales head</x:v>
      </x:c>
      <x:c r="O824" s="4" t="str">
        <x:v>BOOK-00823</x:v>
      </x:c>
      <x:c r="P824" s="9" t="n">
        <x:v>3128000</x:v>
      </x:c>
      <x:c r="Q824" s="11" t="n">
        <x:v>0</x:v>
      </x:c>
      <x:c r="R824" s="8" t="n">
        <x:v>45393</x:v>
      </x:c>
      <x:c r="S824" s="4" t="str">
        <x:v>Retained</x:v>
      </x:c>
      <x:c r="T824" s="10" t="n">
        <x:v>0.351536</x:v>
      </x:c>
      <x:c r="U824" s="4" t="str">
        <x:v>Train</x:v>
      </x:c>
    </x:row>
    <x:row r="825" ht="34" customHeight="1">
      <x:c r="A825" s="4" t="str">
        <x:v>RS-00824</x:v>
      </x:c>
      <x:c r="B825" s="8" t="n">
        <x:v>45334</x:v>
      </x:c>
      <x:c r="C825" s="4" t="str">
        <x:v>PRJ-004</x:v>
      </x:c>
      <x:c r="D825" s="4" t="str">
        <x:v>Apartment</x:v>
      </x:c>
      <x:c r="E825" s="4" t="str">
        <x:v>Handed over</x:v>
      </x:c>
      <x:c r="F825" s="4" t="str">
        <x:v>CUS-00824</x:v>
      </x:c>
      <x:c r="G825" s="4" t="str">
        <x:v>UNIT-00824</x:v>
      </x:c>
      <x:c r="H825" s="9" t="n">
        <x:v>7400000</x:v>
      </x:c>
      <x:c r="I825" s="10" t="n">
        <x:v>0.12</x:v>
      </x:c>
      <x:c r="J825" s="11" t="n">
        <x:v>1</x:v>
      </x:c>
      <x:c r="K825" s="11" t="n">
        <x:v>3</x:v>
      </x:c>
      <x:c r="L825" s="11" t="n">
        <x:v>0</x:v>
      </x:c>
      <x:c r="M825" s="9" t="n">
        <x:f>ROUND(H825*(1-I825),2)</x:f>
        <x:v>6512000</x:v>
      </x:c>
      <x:c r="N825" s="4" t="str">
        <x:v>Sales head</x:v>
      </x:c>
      <x:c r="O825" s="4" t="str">
        <x:v>BOOK-00824</x:v>
      </x:c>
      <x:c r="P825" s="9" t="n">
        <x:v>1628000</x:v>
      </x:c>
      <x:c r="Q825" s="11" t="n">
        <x:v>0</x:v>
      </x:c>
      <x:c r="R825" s="8" t="n">
        <x:v>45394</x:v>
      </x:c>
      <x:c r="S825" s="4" t="str">
        <x:v>Retained</x:v>
      </x:c>
      <x:c r="T825" s="10" t="n">
        <x:v>0.145833</x:v>
      </x:c>
      <x:c r="U825" s="4" t="str">
        <x:v>Train</x:v>
      </x:c>
    </x:row>
    <x:row r="826" ht="34" customHeight="1">
      <x:c r="A826" s="4" t="str">
        <x:v>RS-00825</x:v>
      </x:c>
      <x:c r="B826" s="8" t="n">
        <x:v>45335</x:v>
      </x:c>
      <x:c r="C826" s="4" t="str">
        <x:v>PRJ-005</x:v>
      </x:c>
      <x:c r="D826" s="4" t="str">
        <x:v>Office</x:v>
      </x:c>
      <x:c r="E826" s="4" t="str">
        <x:v>Handed over</x:v>
      </x:c>
      <x:c r="F826" s="4" t="str">
        <x:v>CUS-00825</x:v>
      </x:c>
      <x:c r="G826" s="4" t="str">
        <x:v>UNIT-00825</x:v>
      </x:c>
      <x:c r="H826" s="9" t="n">
        <x:v>23100000</x:v>
      </x:c>
      <x:c r="I826" s="10" t="n">
        <x:v>0.08</x:v>
      </x:c>
      <x:c r="J826" s="11" t="n">
        <x:v>2</x:v>
      </x:c>
      <x:c r="K826" s="11" t="n">
        <x:v>1</x:v>
      </x:c>
      <x:c r="L826" s="11" t="n">
        <x:v>1</x:v>
      </x:c>
      <x:c r="M826" s="9" t="n">
        <x:f>ROUND(H826*(1-I826),2)</x:f>
        <x:v>21252000</x:v>
      </x:c>
      <x:c r="N826" s="4" t="str">
        <x:v>Sales head</x:v>
      </x:c>
      <x:c r="O826" s="4" t="str">
        <x:v>BOOK-00825</x:v>
      </x:c>
      <x:c r="P826" s="9" t="n">
        <x:v>10626000</x:v>
      </x:c>
      <x:c r="Q826" s="11" t="n">
        <x:v>0</x:v>
      </x:c>
      <x:c r="R826" s="8" t="n">
        <x:v>45395</x:v>
      </x:c>
      <x:c r="S826" s="4" t="str">
        <x:v>Retained</x:v>
      </x:c>
      <x:c r="T826" s="10" t="n">
        <x:v>0.204152</x:v>
      </x:c>
      <x:c r="U826" s="4" t="str">
        <x:v>Train</x:v>
      </x:c>
    </x:row>
    <x:row r="827" ht="34" customHeight="1">
      <x:c r="A827" s="4" t="str">
        <x:v>RS-00826</x:v>
      </x:c>
      <x:c r="B827" s="8" t="n">
        <x:v>45336</x:v>
      </x:c>
      <x:c r="C827" s="4" t="str">
        <x:v>PRJ-006</x:v>
      </x:c>
      <x:c r="D827" s="4" t="str">
        <x:v>Apartment</x:v>
      </x:c>
      <x:c r="E827" s="4" t="str">
        <x:v>Cancelled</x:v>
      </x:c>
      <x:c r="F827" s="4" t="str">
        <x:v>CUS-00826</x:v>
      </x:c>
      <x:c r="G827" s="4" t="str">
        <x:v>UNIT-00826</x:v>
      </x:c>
      <x:c r="H827" s="9" t="n">
        <x:v>4400000</x:v>
      </x:c>
      <x:c r="I827" s="10" t="n">
        <x:v>0.03</x:v>
      </x:c>
      <x:c r="J827" s="11" t="n">
        <x:v>11</x:v>
      </x:c>
      <x:c r="K827" s="11" t="n">
        <x:v>1</x:v>
      </x:c>
      <x:c r="L827" s="11" t="n">
        <x:v>1</x:v>
      </x:c>
      <x:c r="M827" s="9" t="n">
        <x:f>ROUND(H827*(1-I827),2)</x:f>
        <x:v>4268000</x:v>
      </x:c>
      <x:c r="N827" s="4" t="str">
        <x:v>Sales manager</x:v>
      </x:c>
      <x:c r="O827" s="4"/>
      <x:c r="P827" s="9" t="n">
        <x:v>0</x:v>
      </x:c>
      <x:c r="Q827" s="11" t="n">
        <x:v>1</x:v>
      </x:c>
      <x:c r="R827" s="8" t="n">
        <x:v>45396</x:v>
      </x:c>
      <x:c r="S827" s="4" t="str">
        <x:v>Lost / cancelled</x:v>
      </x:c>
      <x:c r="T827" s="10" t="n">
        <x:v>0.351536</x:v>
      </x:c>
      <x:c r="U827" s="4" t="str">
        <x:v>Train</x:v>
      </x:c>
    </x:row>
    <x:row r="828" ht="34" customHeight="1">
      <x:c r="A828" s="4" t="str">
        <x:v>RS-00827</x:v>
      </x:c>
      <x:c r="B828" s="8" t="n">
        <x:v>45337</x:v>
      </x:c>
      <x:c r="C828" s="4" t="str">
        <x:v>PRJ-007</x:v>
      </x:c>
      <x:c r="D828" s="4" t="str">
        <x:v>Apartment</x:v>
      </x:c>
      <x:c r="E828" s="4" t="str">
        <x:v>Reserved</x:v>
      </x:c>
      <x:c r="F828" s="4" t="str">
        <x:v>CUS-00827</x:v>
      </x:c>
      <x:c r="G828" s="4" t="str">
        <x:v>UNIT-00827</x:v>
      </x:c>
      <x:c r="H828" s="9" t="n">
        <x:v>6700000</x:v>
      </x:c>
      <x:c r="I828" s="10" t="n">
        <x:v>0.03</x:v>
      </x:c>
      <x:c r="J828" s="11" t="n">
        <x:v>7</x:v>
      </x:c>
      <x:c r="K828" s="11" t="n">
        <x:v>0</x:v>
      </x:c>
      <x:c r="L828" s="11" t="n">
        <x:v>0</x:v>
      </x:c>
      <x:c r="M828" s="9" t="n">
        <x:f>ROUND(H828*(1-I828),2)</x:f>
        <x:v>6499000</x:v>
      </x:c>
      <x:c r="N828" s="4" t="str">
        <x:v>Sales manager</x:v>
      </x:c>
      <x:c r="O828" s="4"/>
      <x:c r="P828" s="9" t="n">
        <x:v>0</x:v>
      </x:c>
      <x:c r="Q828" s="11" t="n">
        <x:v>1</x:v>
      </x:c>
      <x:c r="R828" s="8" t="n">
        <x:v>45397</x:v>
      </x:c>
      <x:c r="S828" s="4" t="str">
        <x:v>Lost / cancelled</x:v>
      </x:c>
      <x:c r="T828" s="10" t="n">
        <x:v>0.298969</x:v>
      </x:c>
      <x:c r="U828" s="4" t="str">
        <x:v>Train</x:v>
      </x:c>
    </x:row>
    <x:row r="829" ht="34" customHeight="1">
      <x:c r="A829" s="4" t="str">
        <x:v>RS-00828</x:v>
      </x:c>
      <x:c r="B829" s="8" t="n">
        <x:v>45338</x:v>
      </x:c>
      <x:c r="C829" s="4" t="str">
        <x:v>PRJ-008</x:v>
      </x:c>
      <x:c r="D829" s="4" t="str">
        <x:v>Retail</x:v>
      </x:c>
      <x:c r="E829" s="4" t="str">
        <x:v>Reserved</x:v>
      </x:c>
      <x:c r="F829" s="4" t="str">
        <x:v>CUS-00828</x:v>
      </x:c>
      <x:c r="G829" s="4" t="str">
        <x:v>UNIT-00828</x:v>
      </x:c>
      <x:c r="H829" s="9" t="n">
        <x:v>13500000</x:v>
      </x:c>
      <x:c r="I829" s="10" t="n">
        <x:v>0.02</x:v>
      </x:c>
      <x:c r="J829" s="11" t="n">
        <x:v>2</x:v>
      </x:c>
      <x:c r="K829" s="11" t="n">
        <x:v>3</x:v>
      </x:c>
      <x:c r="L829" s="11" t="n">
        <x:v>0</x:v>
      </x:c>
      <x:c r="M829" s="9" t="n">
        <x:f>ROUND(H829*(1-I829),2)</x:f>
        <x:v>13230000</x:v>
      </x:c>
      <x:c r="N829" s="4" t="str">
        <x:v>Sales manager</x:v>
      </x:c>
      <x:c r="O829" s="4"/>
      <x:c r="P829" s="9" t="n">
        <x:v>0</x:v>
      </x:c>
      <x:c r="Q829" s="11" t="n">
        <x:v>0</x:v>
      </x:c>
      <x:c r="R829" s="8" t="n">
        <x:v>45398</x:v>
      </x:c>
      <x:c r="S829" s="4" t="str">
        <x:v>Retained</x:v>
      </x:c>
      <x:c r="T829" s="10" t="n">
        <x:v>0.171717</x:v>
      </x:c>
      <x:c r="U829" s="4" t="str">
        <x:v>Train</x:v>
      </x:c>
    </x:row>
    <x:row r="830" ht="34" customHeight="1">
      <x:c r="A830" s="4" t="str">
        <x:v>RS-00829</x:v>
      </x:c>
      <x:c r="B830" s="8" t="n">
        <x:v>45339</x:v>
      </x:c>
      <x:c r="C830" s="4" t="str">
        <x:v>PRJ-009</x:v>
      </x:c>
      <x:c r="D830" s="4" t="str">
        <x:v>Office</x:v>
      </x:c>
      <x:c r="E830" s="4" t="str">
        <x:v>Enquiry</x:v>
      </x:c>
      <x:c r="F830" s="4" t="str">
        <x:v>CUS-00829</x:v>
      </x:c>
      <x:c r="G830" s="4" t="str">
        <x:v>UNIT-00829</x:v>
      </x:c>
      <x:c r="H830" s="9" t="n">
        <x:v>22500000</x:v>
      </x:c>
      <x:c r="I830" s="10" t="n">
        <x:v>0.09</x:v>
      </x:c>
      <x:c r="J830" s="11" t="n">
        <x:v>0</x:v>
      </x:c>
      <x:c r="K830" s="11" t="n">
        <x:v>7</x:v>
      </x:c>
      <x:c r="L830" s="11" t="n">
        <x:v>1</x:v>
      </x:c>
      <x:c r="M830" s="9" t="n">
        <x:f>ROUND(H830*(1-I830),2)</x:f>
        <x:v>20475000</x:v>
      </x:c>
      <x:c r="N830" s="4" t="str">
        <x:v>Sales head</x:v>
      </x:c>
      <x:c r="O830" s="4"/>
      <x:c r="P830" s="9" t="n">
        <x:v>0</x:v>
      </x:c>
      <x:c r="Q830" s="11" t="n">
        <x:v>0</x:v>
      </x:c>
      <x:c r="R830" s="8" t="n">
        <x:v>45399</x:v>
      </x:c>
      <x:c r="S830" s="4" t="str">
        <x:v>Retained</x:v>
      </x:c>
      <x:c r="T830" s="10" t="n">
        <x:v>0.145833</x:v>
      </x:c>
      <x:c r="U830" s="4" t="str">
        <x:v>Train</x:v>
      </x:c>
    </x:row>
    <x:row r="831" ht="34" customHeight="1">
      <x:c r="A831" s="4" t="str">
        <x:v>RS-00830</x:v>
      </x:c>
      <x:c r="B831" s="8" t="n">
        <x:v>45340</x:v>
      </x:c>
      <x:c r="C831" s="4" t="str">
        <x:v>PRJ-010</x:v>
      </x:c>
      <x:c r="D831" s="4" t="str">
        <x:v>Retail</x:v>
      </x:c>
      <x:c r="E831" s="4" t="str">
        <x:v>Agreement signed</x:v>
      </x:c>
      <x:c r="F831" s="4" t="str">
        <x:v>CUS-00830</x:v>
      </x:c>
      <x:c r="G831" s="4" t="str">
        <x:v>UNIT-00830</x:v>
      </x:c>
      <x:c r="H831" s="9" t="n">
        <x:v>6500000</x:v>
      </x:c>
      <x:c r="I831" s="10" t="n">
        <x:v>0.1</x:v>
      </x:c>
      <x:c r="J831" s="11" t="n">
        <x:v>2</x:v>
      </x:c>
      <x:c r="K831" s="11" t="n">
        <x:v>4</x:v>
      </x:c>
      <x:c r="L831" s="11" t="n">
        <x:v>1</x:v>
      </x:c>
      <x:c r="M831" s="9" t="n">
        <x:f>ROUND(H831*(1-I831),2)</x:f>
        <x:v>5850000</x:v>
      </x:c>
      <x:c r="N831" s="4" t="str">
        <x:v>Sales head</x:v>
      </x:c>
      <x:c r="O831" s="4" t="str">
        <x:v>BOOK-00830</x:v>
      </x:c>
      <x:c r="P831" s="9" t="n">
        <x:v>2925000</x:v>
      </x:c>
      <x:c r="Q831" s="11" t="n">
        <x:v>0</x:v>
      </x:c>
      <x:c r="R831" s="8" t="n">
        <x:v>45400</x:v>
      </x:c>
      <x:c r="S831" s="4" t="str">
        <x:v>Retained</x:v>
      </x:c>
      <x:c r="T831" s="10" t="n">
        <x:v>0.145833</x:v>
      </x:c>
      <x:c r="U831" s="4" t="str">
        <x:v>Train</x:v>
      </x:c>
    </x:row>
    <x:row r="832" ht="34" customHeight="1">
      <x:c r="A832" s="4" t="str">
        <x:v>RS-00831</x:v>
      </x:c>
      <x:c r="B832" s="8" t="n">
        <x:v>45341</x:v>
      </x:c>
      <x:c r="C832" s="4" t="str">
        <x:v>PRJ-011</x:v>
      </x:c>
      <x:c r="D832" s="4" t="str">
        <x:v>Apartment</x:v>
      </x:c>
      <x:c r="E832" s="4" t="str">
        <x:v>Agreement signed</x:v>
      </x:c>
      <x:c r="F832" s="4" t="str">
        <x:v>CUS-00831</x:v>
      </x:c>
      <x:c r="G832" s="4" t="str">
        <x:v>UNIT-00831</x:v>
      </x:c>
      <x:c r="H832" s="9" t="n">
        <x:v>21200000</x:v>
      </x:c>
      <x:c r="I832" s="10" t="n">
        <x:v>0.04</x:v>
      </x:c>
      <x:c r="J832" s="11" t="n">
        <x:v>6</x:v>
      </x:c>
      <x:c r="K832" s="11" t="n">
        <x:v>1</x:v>
      </x:c>
      <x:c r="L832" s="11" t="n">
        <x:v>0</x:v>
      </x:c>
      <x:c r="M832" s="9" t="n">
        <x:f>ROUND(H832*(1-I832),2)</x:f>
        <x:v>20352000</x:v>
      </x:c>
      <x:c r="N832" s="4" t="str">
        <x:v>Sales manager</x:v>
      </x:c>
      <x:c r="O832" s="4" t="str">
        <x:v>BOOK-00831</x:v>
      </x:c>
      <x:c r="P832" s="9" t="n">
        <x:v>10176000</x:v>
      </x:c>
      <x:c r="Q832" s="11" t="n">
        <x:v>0</x:v>
      </x:c>
      <x:c r="R832" s="8" t="n">
        <x:v>45401</x:v>
      </x:c>
      <x:c r="S832" s="4" t="str">
        <x:v>Retained</x:v>
      </x:c>
      <x:c r="T832" s="10" t="n">
        <x:v>0.226277</x:v>
      </x:c>
      <x:c r="U832" s="4" t="str">
        <x:v>Train</x:v>
      </x:c>
    </x:row>
    <x:row r="833" ht="34" customHeight="1">
      <x:c r="A833" s="4" t="str">
        <x:v>RS-00832</x:v>
      </x:c>
      <x:c r="B833" s="8" t="n">
        <x:v>45342</x:v>
      </x:c>
      <x:c r="C833" s="4" t="str">
        <x:v>PRJ-012</x:v>
      </x:c>
      <x:c r="D833" s="4" t="str">
        <x:v>Apartment</x:v>
      </x:c>
      <x:c r="E833" s="4" t="str">
        <x:v>Cancelled</x:v>
      </x:c>
      <x:c r="F833" s="4" t="str">
        <x:v>CUS-00832</x:v>
      </x:c>
      <x:c r="G833" s="4" t="str">
        <x:v>UNIT-00832</x:v>
      </x:c>
      <x:c r="H833" s="9" t="n">
        <x:v>12500000</x:v>
      </x:c>
      <x:c r="I833" s="10" t="n">
        <x:v>0.07</x:v>
      </x:c>
      <x:c r="J833" s="11" t="n">
        <x:v>0</x:v>
      </x:c>
      <x:c r="K833" s="11" t="n">
        <x:v>10</x:v>
      </x:c>
      <x:c r="L833" s="11" t="n">
        <x:v>0</x:v>
      </x:c>
      <x:c r="M833" s="9" t="n">
        <x:f>ROUND(H833*(1-I833),2)</x:f>
        <x:v>11625000</x:v>
      </x:c>
      <x:c r="N833" s="4" t="str">
        <x:v>Sales manager</x:v>
      </x:c>
      <x:c r="O833" s="4"/>
      <x:c r="P833" s="9" t="n">
        <x:v>0</x:v>
      </x:c>
      <x:c r="Q833" s="11" t="n">
        <x:v>1</x:v>
      </x:c>
      <x:c r="R833" s="8" t="n">
        <x:v>45402</x:v>
      </x:c>
      <x:c r="S833" s="4" t="str">
        <x:v>Lost / cancelled</x:v>
      </x:c>
      <x:c r="T833" s="10" t="n">
        <x:v>0.204152</x:v>
      </x:c>
      <x:c r="U833" s="4" t="str">
        <x:v>Train</x:v>
      </x:c>
    </x:row>
    <x:row r="834" ht="34" customHeight="1">
      <x:c r="A834" s="4" t="str">
        <x:v>RS-00833</x:v>
      </x:c>
      <x:c r="B834" s="8" t="n">
        <x:v>45343</x:v>
      </x:c>
      <x:c r="C834" s="4" t="str">
        <x:v>PRJ-013</x:v>
      </x:c>
      <x:c r="D834" s="4" t="str">
        <x:v>Apartment</x:v>
      </x:c>
      <x:c r="E834" s="4" t="str">
        <x:v>Enquiry</x:v>
      </x:c>
      <x:c r="F834" s="4" t="str">
        <x:v>CUS-00833</x:v>
      </x:c>
      <x:c r="G834" s="4" t="str">
        <x:v>UNIT-00833</x:v>
      </x:c>
      <x:c r="H834" s="9" t="n">
        <x:v>8900000</x:v>
      </x:c>
      <x:c r="I834" s="10" t="n">
        <x:v>0.05</x:v>
      </x:c>
      <x:c r="J834" s="11" t="n">
        <x:v>1</x:v>
      </x:c>
      <x:c r="K834" s="11" t="n">
        <x:v>2</x:v>
      </x:c>
      <x:c r="L834" s="11" t="n">
        <x:v>1</x:v>
      </x:c>
      <x:c r="M834" s="9" t="n">
        <x:f>ROUND(H834*(1-I834),2)</x:f>
        <x:v>8455000</x:v>
      </x:c>
      <x:c r="N834" s="4" t="str">
        <x:v>Sales manager</x:v>
      </x:c>
      <x:c r="O834" s="4"/>
      <x:c r="P834" s="9" t="n">
        <x:v>0</x:v>
      </x:c>
      <x:c r="Q834" s="11" t="n">
        <x:v>0</x:v>
      </x:c>
      <x:c r="R834" s="8" t="n">
        <x:v>45403</x:v>
      </x:c>
      <x:c r="S834" s="4" t="str">
        <x:v>Retained</x:v>
      </x:c>
      <x:c r="T834" s="10" t="n">
        <x:v>0.204152</x:v>
      </x:c>
      <x:c r="U834" s="4" t="str">
        <x:v>Train</x:v>
      </x:c>
    </x:row>
    <x:row r="835" ht="34" customHeight="1">
      <x:c r="A835" s="4" t="str">
        <x:v>RS-00834</x:v>
      </x:c>
      <x:c r="B835" s="8" t="n">
        <x:v>45344</x:v>
      </x:c>
      <x:c r="C835" s="4" t="str">
        <x:v>PRJ-014</x:v>
      </x:c>
      <x:c r="D835" s="4" t="str">
        <x:v>Apartment</x:v>
      </x:c>
      <x:c r="E835" s="4" t="str">
        <x:v>Agreement signed</x:v>
      </x:c>
      <x:c r="F835" s="4" t="str">
        <x:v>CUS-00834</x:v>
      </x:c>
      <x:c r="G835" s="4" t="str">
        <x:v>UNIT-00834</x:v>
      </x:c>
      <x:c r="H835" s="9" t="n">
        <x:v>3600000</x:v>
      </x:c>
      <x:c r="I835" s="10" t="n">
        <x:v>0.03</x:v>
      </x:c>
      <x:c r="J835" s="11" t="n">
        <x:v>1</x:v>
      </x:c>
      <x:c r="K835" s="11" t="n">
        <x:v>3</x:v>
      </x:c>
      <x:c r="L835" s="11" t="n">
        <x:v>1</x:v>
      </x:c>
      <x:c r="M835" s="9" t="n">
        <x:f>ROUND(H835*(1-I835),2)</x:f>
        <x:v>3492000</x:v>
      </x:c>
      <x:c r="N835" s="4" t="str">
        <x:v>Sales manager</x:v>
      </x:c>
      <x:c r="O835" s="4" t="str">
        <x:v>BOOK-00834</x:v>
      </x:c>
      <x:c r="P835" s="9" t="n">
        <x:v>349200</x:v>
      </x:c>
      <x:c r="Q835" s="11" t="n">
        <x:v>0</x:v>
      </x:c>
      <x:c r="R835" s="8" t="n">
        <x:v>45404</x:v>
      </x:c>
      <x:c r="S835" s="4" t="str">
        <x:v>Retained</x:v>
      </x:c>
      <x:c r="T835" s="10" t="n">
        <x:v>0.072165</x:v>
      </x:c>
      <x:c r="U835" s="4" t="str">
        <x:v>Train</x:v>
      </x:c>
    </x:row>
    <x:row r="836" ht="34" customHeight="1">
      <x:c r="A836" s="4" t="str">
        <x:v>RS-00835</x:v>
      </x:c>
      <x:c r="B836" s="8" t="n">
        <x:v>45345</x:v>
      </x:c>
      <x:c r="C836" s="4" t="str">
        <x:v>PRJ-015</x:v>
      </x:c>
      <x:c r="D836" s="4" t="str">
        <x:v>Retail</x:v>
      </x:c>
      <x:c r="E836" s="4" t="str">
        <x:v>Agreement signed</x:v>
      </x:c>
      <x:c r="F836" s="4" t="str">
        <x:v>CUS-00835</x:v>
      </x:c>
      <x:c r="G836" s="4" t="str">
        <x:v>UNIT-00835</x:v>
      </x:c>
      <x:c r="H836" s="9" t="n">
        <x:v>19600000</x:v>
      </x:c>
      <x:c r="I836" s="10" t="n">
        <x:v>0.01</x:v>
      </x:c>
      <x:c r="J836" s="11" t="n">
        <x:v>5</x:v>
      </x:c>
      <x:c r="K836" s="11" t="n">
        <x:v>3</x:v>
      </x:c>
      <x:c r="L836" s="11" t="n">
        <x:v>0</x:v>
      </x:c>
      <x:c r="M836" s="9" t="n">
        <x:f>ROUND(H836*(1-I836),2)</x:f>
        <x:v>19404000</x:v>
      </x:c>
      <x:c r="N836" s="4" t="str">
        <x:v>Sales manager</x:v>
      </x:c>
      <x:c r="O836" s="4" t="str">
        <x:v>BOOK-00835</x:v>
      </x:c>
      <x:c r="P836" s="9" t="n">
        <x:v>9702000</x:v>
      </x:c>
      <x:c r="Q836" s="11" t="n">
        <x:v>0</x:v>
      </x:c>
      <x:c r="R836" s="8" t="n">
        <x:v>45405</x:v>
      </x:c>
      <x:c r="S836" s="4" t="str">
        <x:v>Retained</x:v>
      </x:c>
      <x:c r="T836" s="10" t="n">
        <x:v>0.298969</x:v>
      </x:c>
      <x:c r="U836" s="4" t="str">
        <x:v>Train</x:v>
      </x:c>
    </x:row>
    <x:row r="837" ht="34" customHeight="1">
      <x:c r="A837" s="4" t="str">
        <x:v>RS-00836</x:v>
      </x:c>
      <x:c r="B837" s="8" t="n">
        <x:v>45346</x:v>
      </x:c>
      <x:c r="C837" s="4" t="str">
        <x:v>PRJ-016</x:v>
      </x:c>
      <x:c r="D837" s="4" t="str">
        <x:v>Villa</x:v>
      </x:c>
      <x:c r="E837" s="4" t="str">
        <x:v>Agreement signed</x:v>
      </x:c>
      <x:c r="F837" s="4" t="str">
        <x:v>CUS-00836</x:v>
      </x:c>
      <x:c r="G837" s="4" t="str">
        <x:v>UNIT-00836</x:v>
      </x:c>
      <x:c r="H837" s="9" t="n">
        <x:v>11700000</x:v>
      </x:c>
      <x:c r="I837" s="10" t="n">
        <x:v>0.03</x:v>
      </x:c>
      <x:c r="J837" s="11" t="n">
        <x:v>3</x:v>
      </x:c>
      <x:c r="K837" s="11" t="n">
        <x:v>8</x:v>
      </x:c>
      <x:c r="L837" s="11" t="n">
        <x:v>1</x:v>
      </x:c>
      <x:c r="M837" s="9" t="n">
        <x:f>ROUND(H837*(1-I837),2)</x:f>
        <x:v>11349000</x:v>
      </x:c>
      <x:c r="N837" s="4" t="str">
        <x:v>Sales manager</x:v>
      </x:c>
      <x:c r="O837" s="4" t="str">
        <x:v>BOOK-00836</x:v>
      </x:c>
      <x:c r="P837" s="9" t="n">
        <x:v>5674500</x:v>
      </x:c>
      <x:c r="Q837" s="11" t="n">
        <x:v>0</x:v>
      </x:c>
      <x:c r="R837" s="8" t="n">
        <x:v>45406</x:v>
      </x:c>
      <x:c r="S837" s="4" t="str">
        <x:v>Retained</x:v>
      </x:c>
      <x:c r="T837" s="10" t="n">
        <x:v>0.171717</x:v>
      </x:c>
      <x:c r="U837" s="4" t="str">
        <x:v>Train</x:v>
      </x:c>
    </x:row>
    <x:row r="838" ht="34" customHeight="1">
      <x:c r="A838" s="4" t="str">
        <x:v>RS-00837</x:v>
      </x:c>
      <x:c r="B838" s="8" t="n">
        <x:v>45347</x:v>
      </x:c>
      <x:c r="C838" s="4" t="str">
        <x:v>PRJ-017</x:v>
      </x:c>
      <x:c r="D838" s="4" t="str">
        <x:v>Office</x:v>
      </x:c>
      <x:c r="E838" s="4" t="str">
        <x:v>Handed over</x:v>
      </x:c>
      <x:c r="F838" s="4" t="str">
        <x:v>CUS-00837</x:v>
      </x:c>
      <x:c r="G838" s="4" t="str">
        <x:v>UNIT-00837</x:v>
      </x:c>
      <x:c r="H838" s="9" t="n">
        <x:v>13500000</x:v>
      </x:c>
      <x:c r="I838" s="10" t="n">
        <x:v>0.06</x:v>
      </x:c>
      <x:c r="J838" s="11" t="n">
        <x:v>6</x:v>
      </x:c>
      <x:c r="K838" s="11" t="n">
        <x:v>0</x:v>
      </x:c>
      <x:c r="L838" s="11" t="n">
        <x:v>1</x:v>
      </x:c>
      <x:c r="M838" s="9" t="n">
        <x:f>ROUND(H838*(1-I838),2)</x:f>
        <x:v>12690000</x:v>
      </x:c>
      <x:c r="N838" s="4" t="str">
        <x:v>Sales manager</x:v>
      </x:c>
      <x:c r="O838" s="4" t="str">
        <x:v>BOOK-00837</x:v>
      </x:c>
      <x:c r="P838" s="9" t="n">
        <x:v>12690000</x:v>
      </x:c>
      <x:c r="Q838" s="11" t="n">
        <x:v>0</x:v>
      </x:c>
      <x:c r="R838" s="8" t="n">
        <x:v>45407</x:v>
      </x:c>
      <x:c r="S838" s="4" t="str">
        <x:v>Retained</x:v>
      </x:c>
      <x:c r="T838" s="10" t="n">
        <x:v>0.291946</x:v>
      </x:c>
      <x:c r="U838" s="4" t="str">
        <x:v>Train</x:v>
      </x:c>
    </x:row>
    <x:row r="839" ht="34" customHeight="1">
      <x:c r="A839" s="4" t="str">
        <x:v>RS-00838</x:v>
      </x:c>
      <x:c r="B839" s="8" t="n">
        <x:v>45348</x:v>
      </x:c>
      <x:c r="C839" s="4" t="str">
        <x:v>PRJ-018</x:v>
      </x:c>
      <x:c r="D839" s="4" t="str">
        <x:v>Apartment</x:v>
      </x:c>
      <x:c r="E839" s="4" t="str">
        <x:v>Reserved</x:v>
      </x:c>
      <x:c r="F839" s="4" t="str">
        <x:v>CUS-00838</x:v>
      </x:c>
      <x:c r="G839" s="4" t="str">
        <x:v>UNIT-00838</x:v>
      </x:c>
      <x:c r="H839" s="9" t="n">
        <x:v>19600000</x:v>
      </x:c>
      <x:c r="I839" s="10" t="n">
        <x:v>0.07</x:v>
      </x:c>
      <x:c r="J839" s="11" t="n">
        <x:v>4</x:v>
      </x:c>
      <x:c r="K839" s="11" t="n">
        <x:v>8</x:v>
      </x:c>
      <x:c r="L839" s="11" t="n">
        <x:v>1</x:v>
      </x:c>
      <x:c r="M839" s="9" t="n">
        <x:f>ROUND(H839*(1-I839),2)</x:f>
        <x:v>18228000</x:v>
      </x:c>
      <x:c r="N839" s="4" t="str">
        <x:v>Sales manager</x:v>
      </x:c>
      <x:c r="O839" s="4"/>
      <x:c r="P839" s="9" t="n">
        <x:v>0</x:v>
      </x:c>
      <x:c r="Q839" s="11" t="n">
        <x:v>0</x:v>
      </x:c>
      <x:c r="R839" s="8" t="n">
        <x:v>45408</x:v>
      </x:c>
      <x:c r="S839" s="4" t="str">
        <x:v>Retained</x:v>
      </x:c>
      <x:c r="T839" s="10" t="n">
        <x:v>0.291946</x:v>
      </x:c>
      <x:c r="U839" s="4" t="str">
        <x:v>Train</x:v>
      </x:c>
    </x:row>
    <x:row r="840" ht="34" customHeight="1">
      <x:c r="A840" s="4" t="str">
        <x:v>RS-00839</x:v>
      </x:c>
      <x:c r="B840" s="8" t="n">
        <x:v>45349</x:v>
      </x:c>
      <x:c r="C840" s="4" t="str">
        <x:v>PRJ-019</x:v>
      </x:c>
      <x:c r="D840" s="4" t="str">
        <x:v>Apartment</x:v>
      </x:c>
      <x:c r="E840" s="4" t="str">
        <x:v>Booked</x:v>
      </x:c>
      <x:c r="F840" s="4" t="str">
        <x:v>CUS-00839</x:v>
      </x:c>
      <x:c r="G840" s="4" t="str">
        <x:v>UNIT-00839</x:v>
      </x:c>
      <x:c r="H840" s="9" t="n">
        <x:v>8500000</x:v>
      </x:c>
      <x:c r="I840" s="10" t="n">
        <x:v>0.03</x:v>
      </x:c>
      <x:c r="J840" s="11" t="n">
        <x:v>7</x:v>
      </x:c>
      <x:c r="K840" s="11" t="n">
        <x:v>3</x:v>
      </x:c>
      <x:c r="L840" s="11" t="n">
        <x:v>0</x:v>
      </x:c>
      <x:c r="M840" s="9" t="n">
        <x:f>ROUND(H840*(1-I840),2)</x:f>
        <x:v>8245000</x:v>
      </x:c>
      <x:c r="N840" s="4" t="str">
        <x:v>Sales manager</x:v>
      </x:c>
      <x:c r="O840" s="4" t="str">
        <x:v>BOOK-00839</x:v>
      </x:c>
      <x:c r="P840" s="9" t="n">
        <x:v>8245000</x:v>
      </x:c>
      <x:c r="Q840" s="11" t="n">
        <x:v>0</x:v>
      </x:c>
      <x:c r="R840" s="8" t="n">
        <x:v>45409</x:v>
      </x:c>
      <x:c r="S840" s="4" t="str">
        <x:v>Retained</x:v>
      </x:c>
      <x:c r="T840" s="10" t="n">
        <x:v>0.298969</x:v>
      </x:c>
      <x:c r="U840" s="4" t="str">
        <x:v>Train</x:v>
      </x:c>
    </x:row>
    <x:row r="841" ht="34" customHeight="1">
      <x:c r="A841" s="4" t="str">
        <x:v>RS-00840</x:v>
      </x:c>
      <x:c r="B841" s="8" t="n">
        <x:v>45350</x:v>
      </x:c>
      <x:c r="C841" s="4" t="str">
        <x:v>PRJ-020</x:v>
      </x:c>
      <x:c r="D841" s="4" t="str">
        <x:v>Office</x:v>
      </x:c>
      <x:c r="E841" s="4" t="str">
        <x:v>Agreement signed</x:v>
      </x:c>
      <x:c r="F841" s="4" t="str">
        <x:v>CUS-00840</x:v>
      </x:c>
      <x:c r="G841" s="4" t="str">
        <x:v>UNIT-00840</x:v>
      </x:c>
      <x:c r="H841" s="9" t="n">
        <x:v>5500000</x:v>
      </x:c>
      <x:c r="I841" s="10" t="n">
        <x:v>0.08</x:v>
      </x:c>
      <x:c r="J841" s="11" t="n">
        <x:v>0</x:v>
      </x:c>
      <x:c r="K841" s="11" t="n">
        <x:v>8</x:v>
      </x:c>
      <x:c r="L841" s="11" t="n">
        <x:v>0</x:v>
      </x:c>
      <x:c r="M841" s="9" t="n">
        <x:f>ROUND(H841*(1-I841),2)</x:f>
        <x:v>5060000</x:v>
      </x:c>
      <x:c r="N841" s="4" t="str">
        <x:v>Sales head</x:v>
      </x:c>
      <x:c r="O841" s="4" t="str">
        <x:v>BOOK-00840</x:v>
      </x:c>
      <x:c r="P841" s="9" t="n">
        <x:v>5060000</x:v>
      </x:c>
      <x:c r="Q841" s="11" t="n">
        <x:v>0</x:v>
      </x:c>
      <x:c r="R841" s="8" t="n">
        <x:v>45410</x:v>
      </x:c>
      <x:c r="S841" s="4" t="str">
        <x:v>Retained</x:v>
      </x:c>
      <x:c r="T841" s="10" t="n">
        <x:v>0.204152</x:v>
      </x:c>
      <x:c r="U841" s="4" t="str">
        <x:v>Train</x:v>
      </x:c>
    </x:row>
    <x:row r="842" ht="34" customHeight="1">
      <x:c r="A842" s="4" t="str">
        <x:v>RS-00841</x:v>
      </x:c>
      <x:c r="B842" s="8" t="n">
        <x:v>45323</x:v>
      </x:c>
      <x:c r="C842" s="4" t="str">
        <x:v>PRJ-001</x:v>
      </x:c>
      <x:c r="D842" s="4" t="str">
        <x:v>Office</x:v>
      </x:c>
      <x:c r="E842" s="4" t="str">
        <x:v>Booked</x:v>
      </x:c>
      <x:c r="F842" s="4" t="str">
        <x:v>CUS-00841</x:v>
      </x:c>
      <x:c r="G842" s="4" t="str">
        <x:v>UNIT-00841</x:v>
      </x:c>
      <x:c r="H842" s="9" t="n">
        <x:v>18400000</x:v>
      </x:c>
      <x:c r="I842" s="10" t="n">
        <x:v>0.07</x:v>
      </x:c>
      <x:c r="J842" s="11" t="n">
        <x:v>3</x:v>
      </x:c>
      <x:c r="K842" s="11" t="n">
        <x:v>2</x:v>
      </x:c>
      <x:c r="L842" s="11" t="n">
        <x:v>0</x:v>
      </x:c>
      <x:c r="M842" s="9" t="n">
        <x:f>ROUND(H842*(1-I842),2)</x:f>
        <x:v>17112000</x:v>
      </x:c>
      <x:c r="N842" s="4" t="str">
        <x:v>Sales manager</x:v>
      </x:c>
      <x:c r="O842" s="4" t="str">
        <x:v>BOOK-00841</x:v>
      </x:c>
      <x:c r="P842" s="9" t="n">
        <x:v>1711200</x:v>
      </x:c>
      <x:c r="Q842" s="11" t="n">
        <x:v>0</x:v>
      </x:c>
      <x:c r="R842" s="8" t="n">
        <x:v>45383</x:v>
      </x:c>
      <x:c r="S842" s="4" t="str">
        <x:v>Retained</x:v>
      </x:c>
      <x:c r="T842" s="10" t="n">
        <x:v>0.204152</x:v>
      </x:c>
      <x:c r="U842" s="4" t="str">
        <x:v>Train</x:v>
      </x:c>
    </x:row>
    <x:row r="843" ht="34" customHeight="1">
      <x:c r="A843" s="4" t="str">
        <x:v>RS-00842</x:v>
      </x:c>
      <x:c r="B843" s="8" t="n">
        <x:v>45324</x:v>
      </x:c>
      <x:c r="C843" s="4" t="str">
        <x:v>PRJ-002</x:v>
      </x:c>
      <x:c r="D843" s="4" t="str">
        <x:v>Office</x:v>
      </x:c>
      <x:c r="E843" s="4" t="str">
        <x:v>Reserved</x:v>
      </x:c>
      <x:c r="F843" s="4" t="str">
        <x:v>CUS-00842</x:v>
      </x:c>
      <x:c r="G843" s="4" t="str">
        <x:v>UNIT-00842</x:v>
      </x:c>
      <x:c r="H843" s="9" t="n">
        <x:v>11000000</x:v>
      </x:c>
      <x:c r="I843" s="10" t="n">
        <x:v>0.1</x:v>
      </x:c>
      <x:c r="J843" s="11" t="n">
        <x:v>5</x:v>
      </x:c>
      <x:c r="K843" s="11" t="n">
        <x:v>2</x:v>
      </x:c>
      <x:c r="L843" s="11" t="n">
        <x:v>1</x:v>
      </x:c>
      <x:c r="M843" s="9" t="n">
        <x:f>ROUND(H843*(1-I843),2)</x:f>
        <x:v>9900000</x:v>
      </x:c>
      <x:c r="N843" s="4" t="str">
        <x:v>Sales head</x:v>
      </x:c>
      <x:c r="O843" s="4"/>
      <x:c r="P843" s="9" t="n">
        <x:v>0</x:v>
      </x:c>
      <x:c r="Q843" s="11" t="n">
        <x:v>0</x:v>
      </x:c>
      <x:c r="R843" s="8" t="n">
        <x:v>45384</x:v>
      </x:c>
      <x:c r="S843" s="4" t="str">
        <x:v>Retained</x:v>
      </x:c>
      <x:c r="T843" s="10" t="n">
        <x:v>0.291946</x:v>
      </x:c>
      <x:c r="U843" s="4" t="str">
        <x:v>Train</x:v>
      </x:c>
    </x:row>
    <x:row r="844" ht="34" customHeight="1">
      <x:c r="A844" s="4" t="str">
        <x:v>RS-00843</x:v>
      </x:c>
      <x:c r="B844" s="8" t="n">
        <x:v>45325</x:v>
      </x:c>
      <x:c r="C844" s="4" t="str">
        <x:v>PRJ-003</x:v>
      </x:c>
      <x:c r="D844" s="4" t="str">
        <x:v>Office</x:v>
      </x:c>
      <x:c r="E844" s="4" t="str">
        <x:v>Cancelled</x:v>
      </x:c>
      <x:c r="F844" s="4" t="str">
        <x:v>CUS-00843</x:v>
      </x:c>
      <x:c r="G844" s="4" t="str">
        <x:v>UNIT-00843</x:v>
      </x:c>
      <x:c r="H844" s="9" t="n">
        <x:v>15500000</x:v>
      </x:c>
      <x:c r="I844" s="10" t="n">
        <x:v>0.01</x:v>
      </x:c>
      <x:c r="J844" s="11" t="n">
        <x:v>8</x:v>
      </x:c>
      <x:c r="K844" s="11" t="n">
        <x:v>7</x:v>
      </x:c>
      <x:c r="L844" s="11" t="n">
        <x:v>0</x:v>
      </x:c>
      <x:c r="M844" s="9" t="n">
        <x:f>ROUND(H844*(1-I844),2)</x:f>
        <x:v>15345000</x:v>
      </x:c>
      <x:c r="N844" s="4" t="str">
        <x:v>Sales manager</x:v>
      </x:c>
      <x:c r="O844" s="4"/>
      <x:c r="P844" s="9" t="n">
        <x:v>0</x:v>
      </x:c>
      <x:c r="Q844" s="11" t="n">
        <x:v>1</x:v>
      </x:c>
      <x:c r="R844" s="8" t="n">
        <x:v>45385</x:v>
      </x:c>
      <x:c r="S844" s="4" t="str">
        <x:v>Lost / cancelled</x:v>
      </x:c>
      <x:c r="T844" s="10" t="n">
        <x:v>0.305556</x:v>
      </x:c>
      <x:c r="U844" s="4" t="str">
        <x:v>Train</x:v>
      </x:c>
    </x:row>
    <x:row r="845" ht="34" customHeight="1">
      <x:c r="A845" s="4" t="str">
        <x:v>RS-00844</x:v>
      </x:c>
      <x:c r="B845" s="8" t="n">
        <x:v>45326</x:v>
      </x:c>
      <x:c r="C845" s="4" t="str">
        <x:v>PRJ-004</x:v>
      </x:c>
      <x:c r="D845" s="4" t="str">
        <x:v>Retail</x:v>
      </x:c>
      <x:c r="E845" s="4" t="str">
        <x:v>Cancelled</x:v>
      </x:c>
      <x:c r="F845" s="4" t="str">
        <x:v>CUS-00844</x:v>
      </x:c>
      <x:c r="G845" s="4" t="str">
        <x:v>UNIT-00844</x:v>
      </x:c>
      <x:c r="H845" s="9" t="n">
        <x:v>13300000</x:v>
      </x:c>
      <x:c r="I845" s="10" t="n">
        <x:v>0.05</x:v>
      </x:c>
      <x:c r="J845" s="11" t="n">
        <x:v>2</x:v>
      </x:c>
      <x:c r="K845" s="11" t="n">
        <x:v>1</x:v>
      </x:c>
      <x:c r="L845" s="11" t="n">
        <x:v>1</x:v>
      </x:c>
      <x:c r="M845" s="9" t="n">
        <x:f>ROUND(H845*(1-I845),2)</x:f>
        <x:v>12635000</x:v>
      </x:c>
      <x:c r="N845" s="4" t="str">
        <x:v>Sales manager</x:v>
      </x:c>
      <x:c r="O845" s="4"/>
      <x:c r="P845" s="9" t="n">
        <x:v>0</x:v>
      </x:c>
      <x:c r="Q845" s="11" t="n">
        <x:v>1</x:v>
      </x:c>
      <x:c r="R845" s="8" t="n">
        <x:v>45386</x:v>
      </x:c>
      <x:c r="S845" s="4" t="str">
        <x:v>Lost / cancelled</x:v>
      </x:c>
      <x:c r="T845" s="10" t="n">
        <x:v>0.204152</x:v>
      </x:c>
      <x:c r="U845" s="4" t="str">
        <x:v>Train</x:v>
      </x:c>
    </x:row>
    <x:row r="846" ht="34" customHeight="1">
      <x:c r="A846" s="4" t="str">
        <x:v>RS-00845</x:v>
      </x:c>
      <x:c r="B846" s="8" t="n">
        <x:v>45327</x:v>
      </x:c>
      <x:c r="C846" s="4" t="str">
        <x:v>PRJ-005</x:v>
      </x:c>
      <x:c r="D846" s="4" t="str">
        <x:v>Office</x:v>
      </x:c>
      <x:c r="E846" s="4" t="str">
        <x:v>Booked</x:v>
      </x:c>
      <x:c r="F846" s="4" t="str">
        <x:v>CUS-00845</x:v>
      </x:c>
      <x:c r="G846" s="4" t="str">
        <x:v>UNIT-00845</x:v>
      </x:c>
      <x:c r="H846" s="9" t="n">
        <x:v>3300000</x:v>
      </x:c>
      <x:c r="I846" s="10" t="n">
        <x:v>0.01</x:v>
      </x:c>
      <x:c r="J846" s="11" t="n">
        <x:v>6</x:v>
      </x:c>
      <x:c r="K846" s="11" t="n">
        <x:v>0</x:v>
      </x:c>
      <x:c r="L846" s="11" t="n">
        <x:v>1</x:v>
      </x:c>
      <x:c r="M846" s="9" t="n">
        <x:f>ROUND(H846*(1-I846),2)</x:f>
        <x:v>3267000</x:v>
      </x:c>
      <x:c r="N846" s="4" t="str">
        <x:v>Sales manager</x:v>
      </x:c>
      <x:c r="O846" s="4" t="str">
        <x:v>BOOK-00845</x:v>
      </x:c>
      <x:c r="P846" s="9" t="n">
        <x:v>816750</x:v>
      </x:c>
      <x:c r="Q846" s="11" t="n">
        <x:v>0</x:v>
      </x:c>
      <x:c r="R846" s="8" t="n">
        <x:v>45387</x:v>
      </x:c>
      <x:c r="S846" s="4" t="str">
        <x:v>Retained</x:v>
      </x:c>
      <x:c r="T846" s="10" t="n">
        <x:v>0.298969</x:v>
      </x:c>
      <x:c r="U846" s="4" t="str">
        <x:v>Train</x:v>
      </x:c>
    </x:row>
    <x:row r="847" ht="34" customHeight="1">
      <x:c r="A847" s="4" t="str">
        <x:v>RS-00846</x:v>
      </x:c>
      <x:c r="B847" s="8" t="n">
        <x:v>45328</x:v>
      </x:c>
      <x:c r="C847" s="4" t="str">
        <x:v>PRJ-006</x:v>
      </x:c>
      <x:c r="D847" s="4" t="str">
        <x:v>Villa</x:v>
      </x:c>
      <x:c r="E847" s="4" t="str">
        <x:v>Booked</x:v>
      </x:c>
      <x:c r="F847" s="4" t="str">
        <x:v>CUS-00846</x:v>
      </x:c>
      <x:c r="G847" s="4" t="str">
        <x:v>UNIT-00846</x:v>
      </x:c>
      <x:c r="H847" s="9" t="n">
        <x:v>8300000</x:v>
      </x:c>
      <x:c r="I847" s="10" t="n">
        <x:v>0.06</x:v>
      </x:c>
      <x:c r="J847" s="11" t="n">
        <x:v>0</x:v>
      </x:c>
      <x:c r="K847" s="11" t="n">
        <x:v>10</x:v>
      </x:c>
      <x:c r="L847" s="11" t="n">
        <x:v>1</x:v>
      </x:c>
      <x:c r="M847" s="9" t="n">
        <x:f>ROUND(H847*(1-I847),2)</x:f>
        <x:v>7802000</x:v>
      </x:c>
      <x:c r="N847" s="4" t="str">
        <x:v>Sales manager</x:v>
      </x:c>
      <x:c r="O847" s="4" t="str">
        <x:v>BOOK-00846</x:v>
      </x:c>
      <x:c r="P847" s="9" t="n">
        <x:v>780200</x:v>
      </x:c>
      <x:c r="Q847" s="11" t="n">
        <x:v>0</x:v>
      </x:c>
      <x:c r="R847" s="8" t="n">
        <x:v>45388</x:v>
      </x:c>
      <x:c r="S847" s="4" t="str">
        <x:v>Retained</x:v>
      </x:c>
      <x:c r="T847" s="10" t="n">
        <x:v>0.204152</x:v>
      </x:c>
      <x:c r="U847" s="4" t="str">
        <x:v>Train</x:v>
      </x:c>
    </x:row>
    <x:row r="848" ht="34" customHeight="1">
      <x:c r="A848" s="4" t="str">
        <x:v>RS-00847</x:v>
      </x:c>
      <x:c r="B848" s="8" t="n">
        <x:v>45329</x:v>
      </x:c>
      <x:c r="C848" s="4" t="str">
        <x:v>PRJ-007</x:v>
      </x:c>
      <x:c r="D848" s="4" t="str">
        <x:v>Retail</x:v>
      </x:c>
      <x:c r="E848" s="4" t="str">
        <x:v>Booked</x:v>
      </x:c>
      <x:c r="F848" s="4" t="str">
        <x:v>CUS-00847</x:v>
      </x:c>
      <x:c r="G848" s="4" t="str">
        <x:v>UNIT-00847</x:v>
      </x:c>
      <x:c r="H848" s="9" t="n">
        <x:v>15200000</x:v>
      </x:c>
      <x:c r="I848" s="10" t="n">
        <x:v>0.03</x:v>
      </x:c>
      <x:c r="J848" s="11" t="n">
        <x:v>3</x:v>
      </x:c>
      <x:c r="K848" s="11" t="n">
        <x:v>2</x:v>
      </x:c>
      <x:c r="L848" s="11" t="n">
        <x:v>1</x:v>
      </x:c>
      <x:c r="M848" s="9" t="n">
        <x:f>ROUND(H848*(1-I848),2)</x:f>
        <x:v>14744000</x:v>
      </x:c>
      <x:c r="N848" s="4" t="str">
        <x:v>Sales manager</x:v>
      </x:c>
      <x:c r="O848" s="4" t="str">
        <x:v>BOOK-00847</x:v>
      </x:c>
      <x:c r="P848" s="9" t="n">
        <x:v>3686000</x:v>
      </x:c>
      <x:c r="Q848" s="11" t="n">
        <x:v>0</x:v>
      </x:c>
      <x:c r="R848" s="8" t="n">
        <x:v>45389</x:v>
      </x:c>
      <x:c r="S848" s="4" t="str">
        <x:v>Retained</x:v>
      </x:c>
      <x:c r="T848" s="10" t="n">
        <x:v>0.171717</x:v>
      </x:c>
      <x:c r="U848" s="4" t="str">
        <x:v>Train</x:v>
      </x:c>
    </x:row>
    <x:row r="849" ht="34" customHeight="1">
      <x:c r="A849" s="4" t="str">
        <x:v>RS-00848</x:v>
      </x:c>
      <x:c r="B849" s="8" t="n">
        <x:v>45330</x:v>
      </x:c>
      <x:c r="C849" s="4" t="str">
        <x:v>PRJ-008</x:v>
      </x:c>
      <x:c r="D849" s="4" t="str">
        <x:v>Office</x:v>
      </x:c>
      <x:c r="E849" s="4" t="str">
        <x:v>Handed over</x:v>
      </x:c>
      <x:c r="F849" s="4" t="str">
        <x:v>CUS-00848</x:v>
      </x:c>
      <x:c r="G849" s="4" t="str">
        <x:v>UNIT-00848</x:v>
      </x:c>
      <x:c r="H849" s="9" t="n">
        <x:v>12200000</x:v>
      </x:c>
      <x:c r="I849" s="10" t="n">
        <x:v>0.1</x:v>
      </x:c>
      <x:c r="J849" s="11" t="n">
        <x:v>10</x:v>
      </x:c>
      <x:c r="K849" s="11" t="n">
        <x:v>0</x:v>
      </x:c>
      <x:c r="L849" s="11" t="n">
        <x:v>0</x:v>
      </x:c>
      <x:c r="M849" s="9" t="n">
        <x:f>ROUND(H849*(1-I849),2)</x:f>
        <x:v>10980000</x:v>
      </x:c>
      <x:c r="N849" s="4" t="str">
        <x:v>Sales head</x:v>
      </x:c>
      <x:c r="O849" s="4" t="str">
        <x:v>BOOK-00848</x:v>
      </x:c>
      <x:c r="P849" s="9" t="n">
        <x:v>5490000</x:v>
      </x:c>
      <x:c r="Q849" s="11" t="n">
        <x:v>0</x:v>
      </x:c>
      <x:c r="R849" s="8" t="n">
        <x:v>45390</x:v>
      </x:c>
      <x:c r="S849" s="4" t="str">
        <x:v>Retained</x:v>
      </x:c>
      <x:c r="T849" s="10" t="n">
        <x:v>0.310195</x:v>
      </x:c>
      <x:c r="U849" s="4" t="str">
        <x:v>Train</x:v>
      </x:c>
    </x:row>
    <x:row r="850" ht="34" customHeight="1">
      <x:c r="A850" s="4" t="str">
        <x:v>RS-00849</x:v>
      </x:c>
      <x:c r="B850" s="8" t="n">
        <x:v>45331</x:v>
      </x:c>
      <x:c r="C850" s="4" t="str">
        <x:v>PRJ-009</x:v>
      </x:c>
      <x:c r="D850" s="4" t="str">
        <x:v>Retail</x:v>
      </x:c>
      <x:c r="E850" s="4" t="str">
        <x:v>Agreement signed</x:v>
      </x:c>
      <x:c r="F850" s="4" t="str">
        <x:v>CUS-00849</x:v>
      </x:c>
      <x:c r="G850" s="4" t="str">
        <x:v>UNIT-00849</x:v>
      </x:c>
      <x:c r="H850" s="9" t="n">
        <x:v>12500000</x:v>
      </x:c>
      <x:c r="I850" s="10" t="n">
        <x:v>0.08</x:v>
      </x:c>
      <x:c r="J850" s="11" t="n">
        <x:v>12</x:v>
      </x:c>
      <x:c r="K850" s="11" t="n">
        <x:v>0</x:v>
      </x:c>
      <x:c r="L850" s="11" t="n">
        <x:v>1</x:v>
      </x:c>
      <x:c r="M850" s="9" t="n">
        <x:f>ROUND(H850*(1-I850),2)</x:f>
        <x:v>11500000</x:v>
      </x:c>
      <x:c r="N850" s="4" t="str">
        <x:v>Sales head</x:v>
      </x:c>
      <x:c r="O850" s="4" t="str">
        <x:v>BOOK-00849</x:v>
      </x:c>
      <x:c r="P850" s="9" t="n">
        <x:v>1150000</x:v>
      </x:c>
      <x:c r="Q850" s="11" t="n">
        <x:v>0</x:v>
      </x:c>
      <x:c r="R850" s="8" t="n">
        <x:v>45391</x:v>
      </x:c>
      <x:c r="S850" s="4" t="str">
        <x:v>Retained</x:v>
      </x:c>
      <x:c r="T850" s="10" t="n">
        <x:v>0.351536</x:v>
      </x:c>
      <x:c r="U850" s="4" t="str">
        <x:v>Train</x:v>
      </x:c>
    </x:row>
    <x:row r="851" ht="34" customHeight="1">
      <x:c r="A851" s="4" t="str">
        <x:v>RS-00850</x:v>
      </x:c>
      <x:c r="B851" s="8" t="n">
        <x:v>45332</x:v>
      </x:c>
      <x:c r="C851" s="4" t="str">
        <x:v>PRJ-010</x:v>
      </x:c>
      <x:c r="D851" s="4" t="str">
        <x:v>Office</x:v>
      </x:c>
      <x:c r="E851" s="4" t="str">
        <x:v>Cancelled</x:v>
      </x:c>
      <x:c r="F851" s="4" t="str">
        <x:v>CUS-00850</x:v>
      </x:c>
      <x:c r="G851" s="4" t="str">
        <x:v>UNIT-00850</x:v>
      </x:c>
      <x:c r="H851" s="9" t="n">
        <x:v>3300000</x:v>
      </x:c>
      <x:c r="I851" s="10" t="n">
        <x:v>0.06</x:v>
      </x:c>
      <x:c r="J851" s="11" t="n">
        <x:v>12</x:v>
      </x:c>
      <x:c r="K851" s="11" t="n">
        <x:v>10</x:v>
      </x:c>
      <x:c r="L851" s="11" t="n">
        <x:v>1</x:v>
      </x:c>
      <x:c r="M851" s="9" t="n">
        <x:f>ROUND(H851*(1-I851),2)</x:f>
        <x:v>3102000</x:v>
      </x:c>
      <x:c r="N851" s="4" t="str">
        <x:v>Sales manager</x:v>
      </x:c>
      <x:c r="O851" s="4"/>
      <x:c r="P851" s="9" t="n">
        <x:v>0</x:v>
      </x:c>
      <x:c r="Q851" s="11" t="n">
        <x:v>1</x:v>
      </x:c>
      <x:c r="R851" s="8" t="n">
        <x:v>45392</x:v>
      </x:c>
      <x:c r="S851" s="4" t="str">
        <x:v>Lost / cancelled</x:v>
      </x:c>
      <x:c r="T851" s="10" t="n">
        <x:v>0.351536</x:v>
      </x:c>
      <x:c r="U851" s="4" t="str">
        <x:v>Train</x:v>
      </x:c>
    </x:row>
    <x:row r="852" ht="34" customHeight="1">
      <x:c r="A852" s="4" t="str">
        <x:v>RS-00851</x:v>
      </x:c>
      <x:c r="B852" s="8" t="n">
        <x:v>45333</x:v>
      </x:c>
      <x:c r="C852" s="4" t="str">
        <x:v>PRJ-011</x:v>
      </x:c>
      <x:c r="D852" s="4" t="str">
        <x:v>Office</x:v>
      </x:c>
      <x:c r="E852" s="4" t="str">
        <x:v>Agreement signed</x:v>
      </x:c>
      <x:c r="F852" s="4" t="str">
        <x:v>CUS-00851</x:v>
      </x:c>
      <x:c r="G852" s="4" t="str">
        <x:v>UNIT-00851</x:v>
      </x:c>
      <x:c r="H852" s="9" t="n">
        <x:v>8300000</x:v>
      </x:c>
      <x:c r="I852" s="10" t="n">
        <x:v>0.01</x:v>
      </x:c>
      <x:c r="J852" s="11" t="n">
        <x:v>4</x:v>
      </x:c>
      <x:c r="K852" s="11" t="n">
        <x:v>1</x:v>
      </x:c>
      <x:c r="L852" s="11" t="n">
        <x:v>0</x:v>
      </x:c>
      <x:c r="M852" s="9" t="n">
        <x:f>ROUND(H852*(1-I852),2)</x:f>
        <x:v>8217000</x:v>
      </x:c>
      <x:c r="N852" s="4" t="str">
        <x:v>Sales manager</x:v>
      </x:c>
      <x:c r="O852" s="4" t="str">
        <x:v>BOOK-00851</x:v>
      </x:c>
      <x:c r="P852" s="9" t="n">
        <x:v>4108500</x:v>
      </x:c>
      <x:c r="Q852" s="11" t="n">
        <x:v>0</x:v>
      </x:c>
      <x:c r="R852" s="8" t="n">
        <x:v>45393</x:v>
      </x:c>
      <x:c r="S852" s="4" t="str">
        <x:v>Retained</x:v>
      </x:c>
      <x:c r="T852" s="10" t="n">
        <x:v>0.298969</x:v>
      </x:c>
      <x:c r="U852" s="4" t="str">
        <x:v>Train</x:v>
      </x:c>
    </x:row>
    <x:row r="853" ht="34" customHeight="1">
      <x:c r="A853" s="4" t="str">
        <x:v>RS-00852</x:v>
      </x:c>
      <x:c r="B853" s="8" t="n">
        <x:v>45334</x:v>
      </x:c>
      <x:c r="C853" s="4" t="str">
        <x:v>PRJ-012</x:v>
      </x:c>
      <x:c r="D853" s="4" t="str">
        <x:v>Retail</x:v>
      </x:c>
      <x:c r="E853" s="4" t="str">
        <x:v>Booked</x:v>
      </x:c>
      <x:c r="F853" s="4" t="str">
        <x:v>CUS-00852</x:v>
      </x:c>
      <x:c r="G853" s="4" t="str">
        <x:v>UNIT-00852</x:v>
      </x:c>
      <x:c r="H853" s="9" t="n">
        <x:v>14500000</x:v>
      </x:c>
      <x:c r="I853" s="10" t="n">
        <x:v>0.05</x:v>
      </x:c>
      <x:c r="J853" s="11" t="n">
        <x:v>7</x:v>
      </x:c>
      <x:c r="K853" s="11" t="n">
        <x:v>0</x:v>
      </x:c>
      <x:c r="L853" s="11" t="n">
        <x:v>1</x:v>
      </x:c>
      <x:c r="M853" s="9" t="n">
        <x:f>ROUND(H853*(1-I853),2)</x:f>
        <x:v>13775000</x:v>
      </x:c>
      <x:c r="N853" s="4" t="str">
        <x:v>Sales manager</x:v>
      </x:c>
      <x:c r="O853" s="4" t="str">
        <x:v>BOOK-00852</x:v>
      </x:c>
      <x:c r="P853" s="9" t="n">
        <x:v>13775000</x:v>
      </x:c>
      <x:c r="Q853" s="11" t="n">
        <x:v>0</x:v>
      </x:c>
      <x:c r="R853" s="8" t="n">
        <x:v>45394</x:v>
      </x:c>
      <x:c r="S853" s="4" t="str">
        <x:v>Retained</x:v>
      </x:c>
      <x:c r="T853" s="10" t="n">
        <x:v>0.291946</x:v>
      </x:c>
      <x:c r="U853" s="4" t="str">
        <x:v>Train</x:v>
      </x:c>
    </x:row>
    <x:row r="854" ht="34" customHeight="1">
      <x:c r="A854" s="4" t="str">
        <x:v>RS-00853</x:v>
      </x:c>
      <x:c r="B854" s="8" t="n">
        <x:v>45335</x:v>
      </x:c>
      <x:c r="C854" s="4" t="str">
        <x:v>PRJ-013</x:v>
      </x:c>
      <x:c r="D854" s="4" t="str">
        <x:v>Office</x:v>
      </x:c>
      <x:c r="E854" s="4" t="str">
        <x:v>Reserved</x:v>
      </x:c>
      <x:c r="F854" s="4" t="str">
        <x:v>CUS-00853</x:v>
      </x:c>
      <x:c r="G854" s="4" t="str">
        <x:v>UNIT-00853</x:v>
      </x:c>
      <x:c r="H854" s="9" t="n">
        <x:v>23900000</x:v>
      </x:c>
      <x:c r="I854" s="10" t="n">
        <x:v>0.11</x:v>
      </x:c>
      <x:c r="J854" s="11" t="n">
        <x:v>5</x:v>
      </x:c>
      <x:c r="K854" s="11" t="n">
        <x:v>5</x:v>
      </x:c>
      <x:c r="L854" s="11" t="n">
        <x:v>1</x:v>
      </x:c>
      <x:c r="M854" s="9" t="n">
        <x:f>ROUND(H854*(1-I854),2)</x:f>
        <x:v>21271000</x:v>
      </x:c>
      <x:c r="N854" s="4" t="str">
        <x:v>Sales head</x:v>
      </x:c>
      <x:c r="O854" s="4"/>
      <x:c r="P854" s="9" t="n">
        <x:v>0</x:v>
      </x:c>
      <x:c r="Q854" s="11" t="n">
        <x:v>0</x:v>
      </x:c>
      <x:c r="R854" s="8" t="n">
        <x:v>45395</x:v>
      </x:c>
      <x:c r="S854" s="4" t="str">
        <x:v>Retained</x:v>
      </x:c>
      <x:c r="T854" s="10" t="n">
        <x:v>0.291946</x:v>
      </x:c>
      <x:c r="U854" s="4" t="str">
        <x:v>Train</x:v>
      </x:c>
    </x:row>
    <x:row r="855" ht="34" customHeight="1">
      <x:c r="A855" s="4" t="str">
        <x:v>RS-00854</x:v>
      </x:c>
      <x:c r="B855" s="8" t="n">
        <x:v>45336</x:v>
      </x:c>
      <x:c r="C855" s="4" t="str">
        <x:v>PRJ-014</x:v>
      </x:c>
      <x:c r="D855" s="4" t="str">
        <x:v>Apartment</x:v>
      </x:c>
      <x:c r="E855" s="4" t="str">
        <x:v>Booked</x:v>
      </x:c>
      <x:c r="F855" s="4" t="str">
        <x:v>CUS-00854</x:v>
      </x:c>
      <x:c r="G855" s="4" t="str">
        <x:v>UNIT-00854</x:v>
      </x:c>
      <x:c r="H855" s="9" t="n">
        <x:v>15600000</x:v>
      </x:c>
      <x:c r="I855" s="10" t="n">
        <x:v>0.05</x:v>
      </x:c>
      <x:c r="J855" s="11" t="n">
        <x:v>11</x:v>
      </x:c>
      <x:c r="K855" s="11" t="n">
        <x:v>2</x:v>
      </x:c>
      <x:c r="L855" s="11" t="n">
        <x:v>1</x:v>
      </x:c>
      <x:c r="M855" s="9" t="n">
        <x:f>ROUND(H855*(1-I855),2)</x:f>
        <x:v>14820000</x:v>
      </x:c>
      <x:c r="N855" s="4" t="str">
        <x:v>Sales manager</x:v>
      </x:c>
      <x:c r="O855" s="4" t="str">
        <x:v>BOOK-00854</x:v>
      </x:c>
      <x:c r="P855" s="9" t="n">
        <x:v>14820000</x:v>
      </x:c>
      <x:c r="Q855" s="11" t="n">
        <x:v>0</x:v>
      </x:c>
      <x:c r="R855" s="8" t="n">
        <x:v>45396</x:v>
      </x:c>
      <x:c r="S855" s="4" t="str">
        <x:v>Retained</x:v>
      </x:c>
      <x:c r="T855" s="10" t="n">
        <x:v>0.351536</x:v>
      </x:c>
      <x:c r="U855" s="4" t="str">
        <x:v>Train</x:v>
      </x:c>
    </x:row>
    <x:row r="856" ht="34" customHeight="1">
      <x:c r="A856" s="4" t="str">
        <x:v>RS-00855</x:v>
      </x:c>
      <x:c r="B856" s="8" t="n">
        <x:v>45337</x:v>
      </x:c>
      <x:c r="C856" s="4" t="str">
        <x:v>PRJ-015</x:v>
      </x:c>
      <x:c r="D856" s="4" t="str">
        <x:v>Apartment</x:v>
      </x:c>
      <x:c r="E856" s="4" t="str">
        <x:v>Agreement signed</x:v>
      </x:c>
      <x:c r="F856" s="4" t="str">
        <x:v>CUS-00855</x:v>
      </x:c>
      <x:c r="G856" s="4" t="str">
        <x:v>UNIT-00855</x:v>
      </x:c>
      <x:c r="H856" s="9" t="n">
        <x:v>13300000</x:v>
      </x:c>
      <x:c r="I856" s="10" t="n">
        <x:v>0.07</x:v>
      </x:c>
      <x:c r="J856" s="11" t="n">
        <x:v>0</x:v>
      </x:c>
      <x:c r="K856" s="11" t="n">
        <x:v>1</x:v>
      </x:c>
      <x:c r="L856" s="11" t="n">
        <x:v>1</x:v>
      </x:c>
      <x:c r="M856" s="9" t="n">
        <x:f>ROUND(H856*(1-I856),2)</x:f>
        <x:v>12369000</x:v>
      </x:c>
      <x:c r="N856" s="4" t="str">
        <x:v>Sales manager</x:v>
      </x:c>
      <x:c r="O856" s="4" t="str">
        <x:v>BOOK-00855</x:v>
      </x:c>
      <x:c r="P856" s="9" t="n">
        <x:v>6184500</x:v>
      </x:c>
      <x:c r="Q856" s="11" t="n">
        <x:v>0</x:v>
      </x:c>
      <x:c r="R856" s="8" t="n">
        <x:v>45397</x:v>
      </x:c>
      <x:c r="S856" s="4" t="str">
        <x:v>Retained</x:v>
      </x:c>
      <x:c r="T856" s="10" t="n">
        <x:v>0.204152</x:v>
      </x:c>
      <x:c r="U856" s="4" t="str">
        <x:v>Train</x:v>
      </x:c>
    </x:row>
    <x:row r="857" ht="34" customHeight="1">
      <x:c r="A857" s="4" t="str">
        <x:v>RS-00856</x:v>
      </x:c>
      <x:c r="B857" s="8" t="n">
        <x:v>45338</x:v>
      </x:c>
      <x:c r="C857" s="4" t="str">
        <x:v>PRJ-016</x:v>
      </x:c>
      <x:c r="D857" s="4" t="str">
        <x:v>Retail</x:v>
      </x:c>
      <x:c r="E857" s="4" t="str">
        <x:v>Handed over</x:v>
      </x:c>
      <x:c r="F857" s="4" t="str">
        <x:v>CUS-00856</x:v>
      </x:c>
      <x:c r="G857" s="4" t="str">
        <x:v>UNIT-00856</x:v>
      </x:c>
      <x:c r="H857" s="9" t="n">
        <x:v>15100000</x:v>
      </x:c>
      <x:c r="I857" s="10" t="n">
        <x:v>0.07</x:v>
      </x:c>
      <x:c r="J857" s="11" t="n">
        <x:v>9</x:v>
      </x:c>
      <x:c r="K857" s="11" t="n">
        <x:v>8</x:v>
      </x:c>
      <x:c r="L857" s="11" t="n">
        <x:v>0</x:v>
      </x:c>
      <x:c r="M857" s="9" t="n">
        <x:f>ROUND(H857*(1-I857),2)</x:f>
        <x:v>14043000</x:v>
      </x:c>
      <x:c r="N857" s="4" t="str">
        <x:v>Sales manager</x:v>
      </x:c>
      <x:c r="O857" s="4" t="str">
        <x:v>BOOK-00856</x:v>
      </x:c>
      <x:c r="P857" s="9" t="n">
        <x:v>3510750</x:v>
      </x:c>
      <x:c r="Q857" s="11" t="n">
        <x:v>0</x:v>
      </x:c>
      <x:c r="R857" s="8" t="n">
        <x:v>45398</x:v>
      </x:c>
      <x:c r="S857" s="4" t="str">
        <x:v>Retained</x:v>
      </x:c>
      <x:c r="T857" s="10" t="n">
        <x:v>0.310195</x:v>
      </x:c>
      <x:c r="U857" s="4" t="str">
        <x:v>Train</x:v>
      </x:c>
    </x:row>
    <x:row r="858" ht="34" customHeight="1">
      <x:c r="A858" s="4" t="str">
        <x:v>RS-00857</x:v>
      </x:c>
      <x:c r="B858" s="8" t="n">
        <x:v>45339</x:v>
      </x:c>
      <x:c r="C858" s="4" t="str">
        <x:v>PRJ-017</x:v>
      </x:c>
      <x:c r="D858" s="4" t="str">
        <x:v>Office</x:v>
      </x:c>
      <x:c r="E858" s="4" t="str">
        <x:v>Agreement signed</x:v>
      </x:c>
      <x:c r="F858" s="4" t="str">
        <x:v>CUS-00857</x:v>
      </x:c>
      <x:c r="G858" s="4" t="str">
        <x:v>UNIT-00857</x:v>
      </x:c>
      <x:c r="H858" s="9" t="n">
        <x:v>18700000</x:v>
      </x:c>
      <x:c r="I858" s="10" t="n">
        <x:v>0.01</x:v>
      </x:c>
      <x:c r="J858" s="11" t="n">
        <x:v>9</x:v>
      </x:c>
      <x:c r="K858" s="11" t="n">
        <x:v>6</x:v>
      </x:c>
      <x:c r="L858" s="11" t="n">
        <x:v>0</x:v>
      </x:c>
      <x:c r="M858" s="9" t="n">
        <x:f>ROUND(H858*(1-I858),2)</x:f>
        <x:v>18513000</x:v>
      </x:c>
      <x:c r="N858" s="4" t="str">
        <x:v>Sales manager</x:v>
      </x:c>
      <x:c r="O858" s="4" t="str">
        <x:v>BOOK-00857</x:v>
      </x:c>
      <x:c r="P858" s="9" t="n">
        <x:v>4628250</x:v>
      </x:c>
      <x:c r="Q858" s="11" t="n">
        <x:v>0</x:v>
      </x:c>
      <x:c r="R858" s="8" t="n">
        <x:v>45399</x:v>
      </x:c>
      <x:c r="S858" s="4" t="str">
        <x:v>Retained</x:v>
      </x:c>
      <x:c r="T858" s="10" t="n">
        <x:v>0.305556</x:v>
      </x:c>
      <x:c r="U858" s="4" t="str">
        <x:v>Train</x:v>
      </x:c>
    </x:row>
    <x:row r="859" ht="34" customHeight="1">
      <x:c r="A859" s="4" t="str">
        <x:v>RS-00858</x:v>
      </x:c>
      <x:c r="B859" s="8" t="n">
        <x:v>45340</x:v>
      </x:c>
      <x:c r="C859" s="4" t="str">
        <x:v>PRJ-018</x:v>
      </x:c>
      <x:c r="D859" s="4" t="str">
        <x:v>Apartment</x:v>
      </x:c>
      <x:c r="E859" s="4" t="str">
        <x:v>Booked</x:v>
      </x:c>
      <x:c r="F859" s="4" t="str">
        <x:v>CUS-00858</x:v>
      </x:c>
      <x:c r="G859" s="4" t="str">
        <x:v>UNIT-00858</x:v>
      </x:c>
      <x:c r="H859" s="9" t="n">
        <x:v>16800000</x:v>
      </x:c>
      <x:c r="I859" s="10" t="n">
        <x:v>0.05</x:v>
      </x:c>
      <x:c r="J859" s="11" t="n">
        <x:v>1</x:v>
      </x:c>
      <x:c r="K859" s="11" t="n">
        <x:v>8</x:v>
      </x:c>
      <x:c r="L859" s="11" t="n">
        <x:v>0</x:v>
      </x:c>
      <x:c r="M859" s="9" t="n">
        <x:f>ROUND(H859*(1-I859),2)</x:f>
        <x:v>15960000</x:v>
      </x:c>
      <x:c r="N859" s="4" t="str">
        <x:v>Sales manager</x:v>
      </x:c>
      <x:c r="O859" s="4" t="str">
        <x:v>BOOK-00858</x:v>
      </x:c>
      <x:c r="P859" s="9" t="n">
        <x:v>7980000</x:v>
      </x:c>
      <x:c r="Q859" s="11" t="n">
        <x:v>0</x:v>
      </x:c>
      <x:c r="R859" s="8" t="n">
        <x:v>45400</x:v>
      </x:c>
      <x:c r="S859" s="4" t="str">
        <x:v>Retained</x:v>
      </x:c>
      <x:c r="T859" s="10" t="n">
        <x:v>0.204152</x:v>
      </x:c>
      <x:c r="U859" s="4" t="str">
        <x:v>Train</x:v>
      </x:c>
    </x:row>
    <x:row r="860" ht="34" customHeight="1">
      <x:c r="A860" s="4" t="str">
        <x:v>RS-00859</x:v>
      </x:c>
      <x:c r="B860" s="8" t="n">
        <x:v>45341</x:v>
      </x:c>
      <x:c r="C860" s="4" t="str">
        <x:v>PRJ-019</x:v>
      </x:c>
      <x:c r="D860" s="4" t="str">
        <x:v>Retail</x:v>
      </x:c>
      <x:c r="E860" s="4" t="str">
        <x:v>Agreement signed</x:v>
      </x:c>
      <x:c r="F860" s="4" t="str">
        <x:v>CUS-00859</x:v>
      </x:c>
      <x:c r="G860" s="4" t="str">
        <x:v>UNIT-00859</x:v>
      </x:c>
      <x:c r="H860" s="9" t="n">
        <x:v>25000000</x:v>
      </x:c>
      <x:c r="I860" s="10" t="n">
        <x:v>0.05</x:v>
      </x:c>
      <x:c r="J860" s="11" t="n">
        <x:v>3</x:v>
      </x:c>
      <x:c r="K860" s="11" t="n">
        <x:v>4</x:v>
      </x:c>
      <x:c r="L860" s="11" t="n">
        <x:v>1</x:v>
      </x:c>
      <x:c r="M860" s="9" t="n">
        <x:f>ROUND(H860*(1-I860),2)</x:f>
        <x:v>23750000</x:v>
      </x:c>
      <x:c r="N860" s="4" t="str">
        <x:v>Sales manager</x:v>
      </x:c>
      <x:c r="O860" s="4" t="str">
        <x:v>BOOK-00859</x:v>
      </x:c>
      <x:c r="P860" s="9" t="n">
        <x:v>11875000</x:v>
      </x:c>
      <x:c r="Q860" s="11" t="n">
        <x:v>0</x:v>
      </x:c>
      <x:c r="R860" s="8" t="n">
        <x:v>45401</x:v>
      </x:c>
      <x:c r="S860" s="4" t="str">
        <x:v>Retained</x:v>
      </x:c>
      <x:c r="T860" s="10" t="n">
        <x:v>0.204152</x:v>
      </x:c>
      <x:c r="U860" s="4" t="str">
        <x:v>Train</x:v>
      </x:c>
    </x:row>
    <x:row r="861" ht="34" customHeight="1">
      <x:c r="A861" s="4" t="str">
        <x:v>RS-00860</x:v>
      </x:c>
      <x:c r="B861" s="8" t="n">
        <x:v>45342</x:v>
      </x:c>
      <x:c r="C861" s="4" t="str">
        <x:v>PRJ-020</x:v>
      </x:c>
      <x:c r="D861" s="4" t="str">
        <x:v>Retail</x:v>
      </x:c>
      <x:c r="E861" s="4" t="str">
        <x:v>Handed over</x:v>
      </x:c>
      <x:c r="F861" s="4" t="str">
        <x:v>CUS-00860</x:v>
      </x:c>
      <x:c r="G861" s="4" t="str">
        <x:v>UNIT-00860</x:v>
      </x:c>
      <x:c r="H861" s="9" t="n">
        <x:v>21500000</x:v>
      </x:c>
      <x:c r="I861" s="10" t="n">
        <x:v>0.03</x:v>
      </x:c>
      <x:c r="J861" s="11" t="n">
        <x:v>12</x:v>
      </x:c>
      <x:c r="K861" s="11" t="n">
        <x:v>5</x:v>
      </x:c>
      <x:c r="L861" s="11" t="n">
        <x:v>1</x:v>
      </x:c>
      <x:c r="M861" s="9" t="n">
        <x:f>ROUND(H861*(1-I861),2)</x:f>
        <x:v>20855000</x:v>
      </x:c>
      <x:c r="N861" s="4" t="str">
        <x:v>Sales manager</x:v>
      </x:c>
      <x:c r="O861" s="4" t="str">
        <x:v>BOOK-00860</x:v>
      </x:c>
      <x:c r="P861" s="9" t="n">
        <x:v>10427500</x:v>
      </x:c>
      <x:c r="Q861" s="11" t="n">
        <x:v>0</x:v>
      </x:c>
      <x:c r="R861" s="8" t="n">
        <x:v>45402</x:v>
      </x:c>
      <x:c r="S861" s="4" t="str">
        <x:v>Retained</x:v>
      </x:c>
      <x:c r="T861" s="10" t="n">
        <x:v>0.351536</x:v>
      </x:c>
      <x:c r="U861" s="4" t="str">
        <x:v>Train</x:v>
      </x:c>
    </x:row>
    <x:row r="862" ht="34" customHeight="1">
      <x:c r="A862" s="4" t="str">
        <x:v>RS-00861</x:v>
      </x:c>
      <x:c r="B862" s="8" t="n">
        <x:v>45343</x:v>
      </x:c>
      <x:c r="C862" s="4" t="str">
        <x:v>PRJ-001</x:v>
      </x:c>
      <x:c r="D862" s="4" t="str">
        <x:v>Office</x:v>
      </x:c>
      <x:c r="E862" s="4" t="str">
        <x:v>Reserved</x:v>
      </x:c>
      <x:c r="F862" s="4" t="str">
        <x:v>CUS-00861</x:v>
      </x:c>
      <x:c r="G862" s="4" t="str">
        <x:v>UNIT-00861</x:v>
      </x:c>
      <x:c r="H862" s="9" t="n">
        <x:v>15300000</x:v>
      </x:c>
      <x:c r="I862" s="10" t="n">
        <x:v>0.08</x:v>
      </x:c>
      <x:c r="J862" s="11" t="n">
        <x:v>12</x:v>
      </x:c>
      <x:c r="K862" s="11" t="n">
        <x:v>8</x:v>
      </x:c>
      <x:c r="L862" s="11" t="n">
        <x:v>1</x:v>
      </x:c>
      <x:c r="M862" s="9" t="n">
        <x:f>ROUND(H862*(1-I862),2)</x:f>
        <x:v>14076000</x:v>
      </x:c>
      <x:c r="N862" s="4" t="str">
        <x:v>Sales head</x:v>
      </x:c>
      <x:c r="O862" s="4"/>
      <x:c r="P862" s="9" t="n">
        <x:v>0</x:v>
      </x:c>
      <x:c r="Q862" s="11" t="n">
        <x:v>1</x:v>
      </x:c>
      <x:c r="R862" s="8" t="n">
        <x:v>45403</x:v>
      </x:c>
      <x:c r="S862" s="4" t="str">
        <x:v>Lost / cancelled</x:v>
      </x:c>
      <x:c r="T862" s="10" t="n">
        <x:v>0.351536</x:v>
      </x:c>
      <x:c r="U862" s="4" t="str">
        <x:v>Train</x:v>
      </x:c>
    </x:row>
    <x:row r="863" ht="34" customHeight="1">
      <x:c r="A863" s="4" t="str">
        <x:v>RS-00862</x:v>
      </x:c>
      <x:c r="B863" s="8" t="n">
        <x:v>45344</x:v>
      </x:c>
      <x:c r="C863" s="4" t="str">
        <x:v>PRJ-002</x:v>
      </x:c>
      <x:c r="D863" s="4" t="str">
        <x:v>Retail</x:v>
      </x:c>
      <x:c r="E863" s="4" t="str">
        <x:v>Enquiry</x:v>
      </x:c>
      <x:c r="F863" s="4" t="str">
        <x:v>CUS-00862</x:v>
      </x:c>
      <x:c r="G863" s="4" t="str">
        <x:v>UNIT-00862</x:v>
      </x:c>
      <x:c r="H863" s="9" t="n">
        <x:v>9500000</x:v>
      </x:c>
      <x:c r="I863" s="10" t="n">
        <x:v>0</x:v>
      </x:c>
      <x:c r="J863" s="11" t="n">
        <x:v>10</x:v>
      </x:c>
      <x:c r="K863" s="11" t="n">
        <x:v>8</x:v>
      </x:c>
      <x:c r="L863" s="11" t="n">
        <x:v>0</x:v>
      </x:c>
      <x:c r="M863" s="9" t="n">
        <x:f>ROUND(H863*(1-I863),2)</x:f>
        <x:v>9500000</x:v>
      </x:c>
      <x:c r="N863" s="4" t="str">
        <x:v>Sales manager</x:v>
      </x:c>
      <x:c r="O863" s="4"/>
      <x:c r="P863" s="9" t="n">
        <x:v>0</x:v>
      </x:c>
      <x:c r="Q863" s="11" t="n">
        <x:v>0</x:v>
      </x:c>
      <x:c r="R863" s="8" t="n">
        <x:v>45404</x:v>
      </x:c>
      <x:c r="S863" s="4" t="str">
        <x:v>Retained</x:v>
      </x:c>
      <x:c r="T863" s="10" t="n">
        <x:v>0.305556</x:v>
      </x:c>
      <x:c r="U863" s="4" t="str">
        <x:v>Train</x:v>
      </x:c>
    </x:row>
    <x:row r="864" ht="34" customHeight="1">
      <x:c r="A864" s="4" t="str">
        <x:v>RS-00863</x:v>
      </x:c>
      <x:c r="B864" s="8" t="n">
        <x:v>45345</x:v>
      </x:c>
      <x:c r="C864" s="4" t="str">
        <x:v>PRJ-003</x:v>
      </x:c>
      <x:c r="D864" s="4" t="str">
        <x:v>Apartment</x:v>
      </x:c>
      <x:c r="E864" s="4" t="str">
        <x:v>Booked</x:v>
      </x:c>
      <x:c r="F864" s="4" t="str">
        <x:v>CUS-00863</x:v>
      </x:c>
      <x:c r="G864" s="4" t="str">
        <x:v>UNIT-00863</x:v>
      </x:c>
      <x:c r="H864" s="9" t="n">
        <x:v>23700000</x:v>
      </x:c>
      <x:c r="I864" s="10" t="n">
        <x:v>0</x:v>
      </x:c>
      <x:c r="J864" s="11" t="n">
        <x:v>12</x:v>
      </x:c>
      <x:c r="K864" s="11" t="n">
        <x:v>4</x:v>
      </x:c>
      <x:c r="L864" s="11" t="n">
        <x:v>0</x:v>
      </x:c>
      <x:c r="M864" s="9" t="n">
        <x:f>ROUND(H864*(1-I864),2)</x:f>
        <x:v>23700000</x:v>
      </x:c>
      <x:c r="N864" s="4" t="str">
        <x:v>Sales manager</x:v>
      </x:c>
      <x:c r="O864" s="4" t="str">
        <x:v>BOOK-00863</x:v>
      </x:c>
      <x:c r="P864" s="9" t="n">
        <x:v>5925000</x:v>
      </x:c>
      <x:c r="Q864" s="11" t="n">
        <x:v>0</x:v>
      </x:c>
      <x:c r="R864" s="8" t="n">
        <x:v>45405</x:v>
      </x:c>
      <x:c r="S864" s="4" t="str">
        <x:v>Retained</x:v>
      </x:c>
      <x:c r="T864" s="10" t="n">
        <x:v>0.305556</x:v>
      </x:c>
      <x:c r="U864" s="4" t="str">
        <x:v>Train</x:v>
      </x:c>
    </x:row>
    <x:row r="865" ht="34" customHeight="1">
      <x:c r="A865" s="4" t="str">
        <x:v>RS-00864</x:v>
      </x:c>
      <x:c r="B865" s="8" t="n">
        <x:v>45346</x:v>
      </x:c>
      <x:c r="C865" s="4" t="str">
        <x:v>PRJ-004</x:v>
      </x:c>
      <x:c r="D865" s="4" t="str">
        <x:v>Villa</x:v>
      </x:c>
      <x:c r="E865" s="4" t="str">
        <x:v>Booked</x:v>
      </x:c>
      <x:c r="F865" s="4" t="str">
        <x:v>CUS-00864</x:v>
      </x:c>
      <x:c r="G865" s="4" t="str">
        <x:v>UNIT-00864</x:v>
      </x:c>
      <x:c r="H865" s="9" t="n">
        <x:v>13500000</x:v>
      </x:c>
      <x:c r="I865" s="10" t="n">
        <x:v>0.09</x:v>
      </x:c>
      <x:c r="J865" s="11" t="n">
        <x:v>8</x:v>
      </x:c>
      <x:c r="K865" s="11" t="n">
        <x:v>4</x:v>
      </x:c>
      <x:c r="L865" s="11" t="n">
        <x:v>1</x:v>
      </x:c>
      <x:c r="M865" s="9" t="n">
        <x:f>ROUND(H865*(1-I865),2)</x:f>
        <x:v>12285000</x:v>
      </x:c>
      <x:c r="N865" s="4" t="str">
        <x:v>Sales head</x:v>
      </x:c>
      <x:c r="O865" s="4" t="str">
        <x:v>BOOK-00864</x:v>
      </x:c>
      <x:c r="P865" s="9" t="n">
        <x:v>1228500</x:v>
      </x:c>
      <x:c r="Q865" s="11" t="n">
        <x:v>0</x:v>
      </x:c>
      <x:c r="R865" s="8" t="n">
        <x:v>45406</x:v>
      </x:c>
      <x:c r="S865" s="4" t="str">
        <x:v>Retained</x:v>
      </x:c>
      <x:c r="T865" s="10" t="n">
        <x:v>0.310195</x:v>
      </x:c>
      <x:c r="U865" s="4" t="str">
        <x:v>Train</x:v>
      </x:c>
    </x:row>
    <x:row r="866" ht="34" customHeight="1">
      <x:c r="A866" s="4" t="str">
        <x:v>RS-00865</x:v>
      </x:c>
      <x:c r="B866" s="8" t="n">
        <x:v>45347</x:v>
      </x:c>
      <x:c r="C866" s="4" t="str">
        <x:v>PRJ-005</x:v>
      </x:c>
      <x:c r="D866" s="4" t="str">
        <x:v>Office</x:v>
      </x:c>
      <x:c r="E866" s="4" t="str">
        <x:v>Cancelled</x:v>
      </x:c>
      <x:c r="F866" s="4" t="str">
        <x:v>CUS-00865</x:v>
      </x:c>
      <x:c r="G866" s="4" t="str">
        <x:v>UNIT-00865</x:v>
      </x:c>
      <x:c r="H866" s="9" t="n">
        <x:v>22100000</x:v>
      </x:c>
      <x:c r="I866" s="10" t="n">
        <x:v>0.05</x:v>
      </x:c>
      <x:c r="J866" s="11" t="n">
        <x:v>1</x:v>
      </x:c>
      <x:c r="K866" s="11" t="n">
        <x:v>4</x:v>
      </x:c>
      <x:c r="L866" s="11" t="n">
        <x:v>0</x:v>
      </x:c>
      <x:c r="M866" s="9" t="n">
        <x:f>ROUND(H866*(1-I866),2)</x:f>
        <x:v>20995000</x:v>
      </x:c>
      <x:c r="N866" s="4" t="str">
        <x:v>Sales manager</x:v>
      </x:c>
      <x:c r="O866" s="4"/>
      <x:c r="P866" s="9" t="n">
        <x:v>0</x:v>
      </x:c>
      <x:c r="Q866" s="11" t="n">
        <x:v>1</x:v>
      </x:c>
      <x:c r="R866" s="8" t="n">
        <x:v>45407</x:v>
      </x:c>
      <x:c r="S866" s="4" t="str">
        <x:v>Lost / cancelled</x:v>
      </x:c>
      <x:c r="T866" s="10" t="n">
        <x:v>0.204152</x:v>
      </x:c>
      <x:c r="U866" s="4" t="str">
        <x:v>Train</x:v>
      </x:c>
    </x:row>
    <x:row r="867" ht="34" customHeight="1">
      <x:c r="A867" s="4" t="str">
        <x:v>RS-00866</x:v>
      </x:c>
      <x:c r="B867" s="8" t="n">
        <x:v>45348</x:v>
      </x:c>
      <x:c r="C867" s="4" t="str">
        <x:v>PRJ-006</x:v>
      </x:c>
      <x:c r="D867" s="4" t="str">
        <x:v>Office</x:v>
      </x:c>
      <x:c r="E867" s="4" t="str">
        <x:v>Reserved</x:v>
      </x:c>
      <x:c r="F867" s="4" t="str">
        <x:v>CUS-00866</x:v>
      </x:c>
      <x:c r="G867" s="4" t="str">
        <x:v>UNIT-00866</x:v>
      </x:c>
      <x:c r="H867" s="9" t="n">
        <x:v>3300000</x:v>
      </x:c>
      <x:c r="I867" s="10" t="n">
        <x:v>0.04</x:v>
      </x:c>
      <x:c r="J867" s="11" t="n">
        <x:v>6</x:v>
      </x:c>
      <x:c r="K867" s="11" t="n">
        <x:v>4</x:v>
      </x:c>
      <x:c r="L867" s="11" t="n">
        <x:v>1</x:v>
      </x:c>
      <x:c r="M867" s="9" t="n">
        <x:f>ROUND(H867*(1-I867),2)</x:f>
        <x:v>3168000</x:v>
      </x:c>
      <x:c r="N867" s="4" t="str">
        <x:v>Sales manager</x:v>
      </x:c>
      <x:c r="O867" s="4"/>
      <x:c r="P867" s="9" t="n">
        <x:v>0</x:v>
      </x:c>
      <x:c r="Q867" s="11" t="n">
        <x:v>1</x:v>
      </x:c>
      <x:c r="R867" s="8" t="n">
        <x:v>45408</x:v>
      </x:c>
      <x:c r="S867" s="4" t="str">
        <x:v>Lost / cancelled</x:v>
      </x:c>
      <x:c r="T867" s="10" t="n">
        <x:v>0.291946</x:v>
      </x:c>
      <x:c r="U867" s="4" t="str">
        <x:v>Train</x:v>
      </x:c>
    </x:row>
    <x:row r="868" ht="34" customHeight="1">
      <x:c r="A868" s="4" t="str">
        <x:v>RS-00867</x:v>
      </x:c>
      <x:c r="B868" s="8" t="n">
        <x:v>45349</x:v>
      </x:c>
      <x:c r="C868" s="4" t="str">
        <x:v>PRJ-007</x:v>
      </x:c>
      <x:c r="D868" s="4" t="str">
        <x:v>Apartment</x:v>
      </x:c>
      <x:c r="E868" s="4" t="str">
        <x:v>Enquiry</x:v>
      </x:c>
      <x:c r="F868" s="4" t="str">
        <x:v>CUS-00867</x:v>
      </x:c>
      <x:c r="G868" s="4" t="str">
        <x:v>UNIT-00867</x:v>
      </x:c>
      <x:c r="H868" s="9" t="n">
        <x:v>23600000</x:v>
      </x:c>
      <x:c r="I868" s="10" t="n">
        <x:v>0.04</x:v>
      </x:c>
      <x:c r="J868" s="11" t="n">
        <x:v>11</x:v>
      </x:c>
      <x:c r="K868" s="11" t="n">
        <x:v>4</x:v>
      </x:c>
      <x:c r="L868" s="11" t="n">
        <x:v>1</x:v>
      </x:c>
      <x:c r="M868" s="9" t="n">
        <x:f>ROUND(H868*(1-I868),2)</x:f>
        <x:v>22656000</x:v>
      </x:c>
      <x:c r="N868" s="4" t="str">
        <x:v>Sales manager</x:v>
      </x:c>
      <x:c r="O868" s="4"/>
      <x:c r="P868" s="9" t="n">
        <x:v>0</x:v>
      </x:c>
      <x:c r="Q868" s="11" t="n">
        <x:v>1</x:v>
      </x:c>
      <x:c r="R868" s="8" t="n">
        <x:v>45409</x:v>
      </x:c>
      <x:c r="S868" s="4" t="str">
        <x:v>Lost / cancelled</x:v>
      </x:c>
      <x:c r="T868" s="10" t="n">
        <x:v>0.351536</x:v>
      </x:c>
      <x:c r="U868" s="4" t="str">
        <x:v>Train</x:v>
      </x:c>
    </x:row>
    <x:row r="869" ht="34" customHeight="1">
      <x:c r="A869" s="4" t="str">
        <x:v>RS-00868</x:v>
      </x:c>
      <x:c r="B869" s="8" t="n">
        <x:v>45350</x:v>
      </x:c>
      <x:c r="C869" s="4" t="str">
        <x:v>PRJ-008</x:v>
      </x:c>
      <x:c r="D869" s="4" t="str">
        <x:v>Retail</x:v>
      </x:c>
      <x:c r="E869" s="4" t="str">
        <x:v>Booked</x:v>
      </x:c>
      <x:c r="F869" s="4" t="str">
        <x:v>CUS-00868</x:v>
      </x:c>
      <x:c r="G869" s="4" t="str">
        <x:v>UNIT-00868</x:v>
      </x:c>
      <x:c r="H869" s="9" t="n">
        <x:v>19400000</x:v>
      </x:c>
      <x:c r="I869" s="10" t="n">
        <x:v>0.04</x:v>
      </x:c>
      <x:c r="J869" s="11" t="n">
        <x:v>3</x:v>
      </x:c>
      <x:c r="K869" s="11" t="n">
        <x:v>6</x:v>
      </x:c>
      <x:c r="L869" s="11" t="n">
        <x:v>0</x:v>
      </x:c>
      <x:c r="M869" s="9" t="n">
        <x:f>ROUND(H869*(1-I869),2)</x:f>
        <x:v>18624000</x:v>
      </x:c>
      <x:c r="N869" s="4" t="str">
        <x:v>Sales manager</x:v>
      </x:c>
      <x:c r="O869" s="4" t="str">
        <x:v>BOOK-00868</x:v>
      </x:c>
      <x:c r="P869" s="9" t="n">
        <x:v>1862400</x:v>
      </x:c>
      <x:c r="Q869" s="11" t="n">
        <x:v>0</x:v>
      </x:c>
      <x:c r="R869" s="8" t="n">
        <x:v>45410</x:v>
      </x:c>
      <x:c r="S869" s="4" t="str">
        <x:v>Retained</x:v>
      </x:c>
      <x:c r="T869" s="10" t="n">
        <x:v>0.204152</x:v>
      </x:c>
      <x:c r="U869" s="4" t="str">
        <x:v>Train</x:v>
      </x:c>
    </x:row>
    <x:row r="870" ht="34" customHeight="1">
      <x:c r="A870" s="4" t="str">
        <x:v>RS-00869</x:v>
      </x:c>
      <x:c r="B870" s="8" t="n">
        <x:v>45323</x:v>
      </x:c>
      <x:c r="C870" s="4" t="str">
        <x:v>PRJ-009</x:v>
      </x:c>
      <x:c r="D870" s="4" t="str">
        <x:v>Office</x:v>
      </x:c>
      <x:c r="E870" s="4" t="str">
        <x:v>Enquiry</x:v>
      </x:c>
      <x:c r="F870" s="4" t="str">
        <x:v>CUS-00869</x:v>
      </x:c>
      <x:c r="G870" s="4" t="str">
        <x:v>UNIT-00869</x:v>
      </x:c>
      <x:c r="H870" s="9" t="n">
        <x:v>7900000</x:v>
      </x:c>
      <x:c r="I870" s="10" t="n">
        <x:v>0.07</x:v>
      </x:c>
      <x:c r="J870" s="11" t="n">
        <x:v>0</x:v>
      </x:c>
      <x:c r="K870" s="11" t="n">
        <x:v>7</x:v>
      </x:c>
      <x:c r="L870" s="11" t="n">
        <x:v>1</x:v>
      </x:c>
      <x:c r="M870" s="9" t="n">
        <x:f>ROUND(H870*(1-I870),2)</x:f>
        <x:v>7347000</x:v>
      </x:c>
      <x:c r="N870" s="4" t="str">
        <x:v>Sales manager</x:v>
      </x:c>
      <x:c r="O870" s="4"/>
      <x:c r="P870" s="9" t="n">
        <x:v>0</x:v>
      </x:c>
      <x:c r="Q870" s="11" t="n">
        <x:v>0</x:v>
      </x:c>
      <x:c r="R870" s="8" t="n">
        <x:v>45383</x:v>
      </x:c>
      <x:c r="S870" s="4" t="str">
        <x:v>Retained</x:v>
      </x:c>
      <x:c r="T870" s="10" t="n">
        <x:v>0.204152</x:v>
      </x:c>
      <x:c r="U870" s="4" t="str">
        <x:v>Train</x:v>
      </x:c>
    </x:row>
    <x:row r="871" ht="34" customHeight="1">
      <x:c r="A871" s="4" t="str">
        <x:v>RS-00870</x:v>
      </x:c>
      <x:c r="B871" s="8" t="n">
        <x:v>45324</x:v>
      </x:c>
      <x:c r="C871" s="4" t="str">
        <x:v>PRJ-010</x:v>
      </x:c>
      <x:c r="D871" s="4" t="str">
        <x:v>Apartment</x:v>
      </x:c>
      <x:c r="E871" s="4" t="str">
        <x:v>Booked</x:v>
      </x:c>
      <x:c r="F871" s="4" t="str">
        <x:v>CUS-00870</x:v>
      </x:c>
      <x:c r="G871" s="4" t="str">
        <x:v>UNIT-00870</x:v>
      </x:c>
      <x:c r="H871" s="9" t="n">
        <x:v>23600000</x:v>
      </x:c>
      <x:c r="I871" s="10" t="n">
        <x:v>0.06</x:v>
      </x:c>
      <x:c r="J871" s="11" t="n">
        <x:v>10</x:v>
      </x:c>
      <x:c r="K871" s="11" t="n">
        <x:v>4</x:v>
      </x:c>
      <x:c r="L871" s="11" t="n">
        <x:v>0</x:v>
      </x:c>
      <x:c r="M871" s="9" t="n">
        <x:f>ROUND(H871*(1-I871),2)</x:f>
        <x:v>22184000</x:v>
      </x:c>
      <x:c r="N871" s="4" t="str">
        <x:v>Sales manager</x:v>
      </x:c>
      <x:c r="O871" s="4" t="str">
        <x:v>BOOK-00870</x:v>
      </x:c>
      <x:c r="P871" s="9" t="n">
        <x:v>2218400</x:v>
      </x:c>
      <x:c r="Q871" s="11" t="n">
        <x:v>0</x:v>
      </x:c>
      <x:c r="R871" s="8" t="n">
        <x:v>45384</x:v>
      </x:c>
      <x:c r="S871" s="4" t="str">
        <x:v>Retained</x:v>
      </x:c>
      <x:c r="T871" s="10" t="n">
        <x:v>0.310195</x:v>
      </x:c>
      <x:c r="U871" s="4" t="str">
        <x:v>Train</x:v>
      </x:c>
    </x:row>
    <x:row r="872" ht="34" customHeight="1">
      <x:c r="A872" s="4" t="str">
        <x:v>RS-00871</x:v>
      </x:c>
      <x:c r="B872" s="8" t="n">
        <x:v>45325</x:v>
      </x:c>
      <x:c r="C872" s="4" t="str">
        <x:v>PRJ-011</x:v>
      </x:c>
      <x:c r="D872" s="4" t="str">
        <x:v>Villa</x:v>
      </x:c>
      <x:c r="E872" s="4" t="str">
        <x:v>Reserved</x:v>
      </x:c>
      <x:c r="F872" s="4" t="str">
        <x:v>CUS-00871</x:v>
      </x:c>
      <x:c r="G872" s="4" t="str">
        <x:v>UNIT-00871</x:v>
      </x:c>
      <x:c r="H872" s="9" t="n">
        <x:v>16100000</x:v>
      </x:c>
      <x:c r="I872" s="10" t="n">
        <x:v>0.04</x:v>
      </x:c>
      <x:c r="J872" s="11" t="n">
        <x:v>6</x:v>
      </x:c>
      <x:c r="K872" s="11" t="n">
        <x:v>3</x:v>
      </x:c>
      <x:c r="L872" s="11" t="n">
        <x:v>1</x:v>
      </x:c>
      <x:c r="M872" s="9" t="n">
        <x:f>ROUND(H872*(1-I872),2)</x:f>
        <x:v>15456000</x:v>
      </x:c>
      <x:c r="N872" s="4" t="str">
        <x:v>Sales manager</x:v>
      </x:c>
      <x:c r="O872" s="4"/>
      <x:c r="P872" s="9" t="n">
        <x:v>0</x:v>
      </x:c>
      <x:c r="Q872" s="11" t="n">
        <x:v>0</x:v>
      </x:c>
      <x:c r="R872" s="8" t="n">
        <x:v>45385</x:v>
      </x:c>
      <x:c r="S872" s="4" t="str">
        <x:v>Retained</x:v>
      </x:c>
      <x:c r="T872" s="10" t="n">
        <x:v>0.291946</x:v>
      </x:c>
      <x:c r="U872" s="4" t="str">
        <x:v>Train</x:v>
      </x:c>
    </x:row>
    <x:row r="873" ht="34" customHeight="1">
      <x:c r="A873" s="4" t="str">
        <x:v>RS-00872</x:v>
      </x:c>
      <x:c r="B873" s="8" t="n">
        <x:v>45326</x:v>
      </x:c>
      <x:c r="C873" s="4" t="str">
        <x:v>PRJ-012</x:v>
      </x:c>
      <x:c r="D873" s="4" t="str">
        <x:v>Office</x:v>
      </x:c>
      <x:c r="E873" s="4" t="str">
        <x:v>Booked</x:v>
      </x:c>
      <x:c r="F873" s="4" t="str">
        <x:v>CUS-00872</x:v>
      </x:c>
      <x:c r="G873" s="4" t="str">
        <x:v>UNIT-00872</x:v>
      </x:c>
      <x:c r="H873" s="9" t="n">
        <x:v>15000000</x:v>
      </x:c>
      <x:c r="I873" s="10" t="n">
        <x:v>0.01</x:v>
      </x:c>
      <x:c r="J873" s="11" t="n">
        <x:v>6</x:v>
      </x:c>
      <x:c r="K873" s="11" t="n">
        <x:v>3</x:v>
      </x:c>
      <x:c r="L873" s="11" t="n">
        <x:v>1</x:v>
      </x:c>
      <x:c r="M873" s="9" t="n">
        <x:f>ROUND(H873*(1-I873),2)</x:f>
        <x:v>14850000</x:v>
      </x:c>
      <x:c r="N873" s="4" t="str">
        <x:v>Sales manager</x:v>
      </x:c>
      <x:c r="O873" s="4" t="str">
        <x:v>BOOK-00872</x:v>
      </x:c>
      <x:c r="P873" s="9" t="n">
        <x:v>14850000</x:v>
      </x:c>
      <x:c r="Q873" s="11" t="n">
        <x:v>0</x:v>
      </x:c>
      <x:c r="R873" s="8" t="n">
        <x:v>45386</x:v>
      </x:c>
      <x:c r="S873" s="4" t="str">
        <x:v>Retained</x:v>
      </x:c>
      <x:c r="T873" s="10" t="n">
        <x:v>0.298969</x:v>
      </x:c>
      <x:c r="U873" s="4" t="str">
        <x:v>Train</x:v>
      </x:c>
    </x:row>
    <x:row r="874" ht="34" customHeight="1">
      <x:c r="A874" s="4" t="str">
        <x:v>RS-00873</x:v>
      </x:c>
      <x:c r="B874" s="8" t="n">
        <x:v>45327</x:v>
      </x:c>
      <x:c r="C874" s="4" t="str">
        <x:v>PRJ-013</x:v>
      </x:c>
      <x:c r="D874" s="4" t="str">
        <x:v>Office</x:v>
      </x:c>
      <x:c r="E874" s="4" t="str">
        <x:v>Enquiry</x:v>
      </x:c>
      <x:c r="F874" s="4" t="str">
        <x:v>CUS-00873</x:v>
      </x:c>
      <x:c r="G874" s="4" t="str">
        <x:v>UNIT-00873</x:v>
      </x:c>
      <x:c r="H874" s="9" t="n">
        <x:v>14300000</x:v>
      </x:c>
      <x:c r="I874" s="10" t="n">
        <x:v>0.03</x:v>
      </x:c>
      <x:c r="J874" s="11" t="n">
        <x:v>3</x:v>
      </x:c>
      <x:c r="K874" s="11" t="n">
        <x:v>2</x:v>
      </x:c>
      <x:c r="L874" s="11" t="n">
        <x:v>1</x:v>
      </x:c>
      <x:c r="M874" s="9" t="n">
        <x:f>ROUND(H874*(1-I874),2)</x:f>
        <x:v>13871000</x:v>
      </x:c>
      <x:c r="N874" s="4" t="str">
        <x:v>Sales manager</x:v>
      </x:c>
      <x:c r="O874" s="4"/>
      <x:c r="P874" s="9" t="n">
        <x:v>0</x:v>
      </x:c>
      <x:c r="Q874" s="11" t="n">
        <x:v>0</x:v>
      </x:c>
      <x:c r="R874" s="8" t="n">
        <x:v>45387</x:v>
      </x:c>
      <x:c r="S874" s="4" t="str">
        <x:v>Retained</x:v>
      </x:c>
      <x:c r="T874" s="10" t="n">
        <x:v>0.171717</x:v>
      </x:c>
      <x:c r="U874" s="4" t="str">
        <x:v>Train</x:v>
      </x:c>
    </x:row>
    <x:row r="875" ht="34" customHeight="1">
      <x:c r="A875" s="4" t="str">
        <x:v>RS-00874</x:v>
      </x:c>
      <x:c r="B875" s="8" t="n">
        <x:v>45328</x:v>
      </x:c>
      <x:c r="C875" s="4" t="str">
        <x:v>PRJ-014</x:v>
      </x:c>
      <x:c r="D875" s="4" t="str">
        <x:v>Retail</x:v>
      </x:c>
      <x:c r="E875" s="4" t="str">
        <x:v>Reserved</x:v>
      </x:c>
      <x:c r="F875" s="4" t="str">
        <x:v>CUS-00874</x:v>
      </x:c>
      <x:c r="G875" s="4" t="str">
        <x:v>UNIT-00874</x:v>
      </x:c>
      <x:c r="H875" s="9" t="n">
        <x:v>3600000</x:v>
      </x:c>
      <x:c r="I875" s="10" t="n">
        <x:v>0.1</x:v>
      </x:c>
      <x:c r="J875" s="11" t="n">
        <x:v>5</x:v>
      </x:c>
      <x:c r="K875" s="11" t="n">
        <x:v>9</x:v>
      </x:c>
      <x:c r="L875" s="11" t="n">
        <x:v>1</x:v>
      </x:c>
      <x:c r="M875" s="9" t="n">
        <x:f>ROUND(H875*(1-I875),2)</x:f>
        <x:v>3240000</x:v>
      </x:c>
      <x:c r="N875" s="4" t="str">
        <x:v>Sales head</x:v>
      </x:c>
      <x:c r="O875" s="4"/>
      <x:c r="P875" s="9" t="n">
        <x:v>0</x:v>
      </x:c>
      <x:c r="Q875" s="11" t="n">
        <x:v>0</x:v>
      </x:c>
      <x:c r="R875" s="8" t="n">
        <x:v>45388</x:v>
      </x:c>
      <x:c r="S875" s="4" t="str">
        <x:v>Retained</x:v>
      </x:c>
      <x:c r="T875" s="10" t="n">
        <x:v>0.291946</x:v>
      </x:c>
      <x:c r="U875" s="4" t="str">
        <x:v>Train</x:v>
      </x:c>
    </x:row>
    <x:row r="876" ht="34" customHeight="1">
      <x:c r="A876" s="4" t="str">
        <x:v>RS-00875</x:v>
      </x:c>
      <x:c r="B876" s="8" t="n">
        <x:v>45329</x:v>
      </x:c>
      <x:c r="C876" s="4" t="str">
        <x:v>PRJ-015</x:v>
      </x:c>
      <x:c r="D876" s="4" t="str">
        <x:v>Retail</x:v>
      </x:c>
      <x:c r="E876" s="4" t="str">
        <x:v>Booked</x:v>
      </x:c>
      <x:c r="F876" s="4" t="str">
        <x:v>CUS-00875</x:v>
      </x:c>
      <x:c r="G876" s="4" t="str">
        <x:v>UNIT-00875</x:v>
      </x:c>
      <x:c r="H876" s="9" t="n">
        <x:v>9500000</x:v>
      </x:c>
      <x:c r="I876" s="10" t="n">
        <x:v>0.05</x:v>
      </x:c>
      <x:c r="J876" s="11" t="n">
        <x:v>10</x:v>
      </x:c>
      <x:c r="K876" s="11" t="n">
        <x:v>9</x:v>
      </x:c>
      <x:c r="L876" s="11" t="n">
        <x:v>0</x:v>
      </x:c>
      <x:c r="M876" s="9" t="n">
        <x:f>ROUND(H876*(1-I876),2)</x:f>
        <x:v>9025000</x:v>
      </x:c>
      <x:c r="N876" s="4" t="str">
        <x:v>Sales manager</x:v>
      </x:c>
      <x:c r="O876" s="4" t="str">
        <x:v>BOOK-00875</x:v>
      </x:c>
      <x:c r="P876" s="9" t="n">
        <x:v>9025000</x:v>
      </x:c>
      <x:c r="Q876" s="11" t="n">
        <x:v>0</x:v>
      </x:c>
      <x:c r="R876" s="8" t="n">
        <x:v>45389</x:v>
      </x:c>
      <x:c r="S876" s="4" t="str">
        <x:v>Retained</x:v>
      </x:c>
      <x:c r="T876" s="10" t="n">
        <x:v>0.310195</x:v>
      </x:c>
      <x:c r="U876" s="4" t="str">
        <x:v>Train</x:v>
      </x:c>
    </x:row>
    <x:row r="877" ht="34" customHeight="1">
      <x:c r="A877" s="4" t="str">
        <x:v>RS-00876</x:v>
      </x:c>
      <x:c r="B877" s="8" t="n">
        <x:v>45330</x:v>
      </x:c>
      <x:c r="C877" s="4" t="str">
        <x:v>PRJ-016</x:v>
      </x:c>
      <x:c r="D877" s="4" t="str">
        <x:v>Villa</x:v>
      </x:c>
      <x:c r="E877" s="4" t="str">
        <x:v>Reserved</x:v>
      </x:c>
      <x:c r="F877" s="4" t="str">
        <x:v>CUS-00876</x:v>
      </x:c>
      <x:c r="G877" s="4" t="str">
        <x:v>UNIT-00876</x:v>
      </x:c>
      <x:c r="H877" s="9" t="n">
        <x:v>13100000</x:v>
      </x:c>
      <x:c r="I877" s="10" t="n">
        <x:v>0.08</x:v>
      </x:c>
      <x:c r="J877" s="11" t="n">
        <x:v>2</x:v>
      </x:c>
      <x:c r="K877" s="11" t="n">
        <x:v>1</x:v>
      </x:c>
      <x:c r="L877" s="11" t="n">
        <x:v>1</x:v>
      </x:c>
      <x:c r="M877" s="9" t="n">
        <x:f>ROUND(H877*(1-I877),2)</x:f>
        <x:v>12052000</x:v>
      </x:c>
      <x:c r="N877" s="4" t="str">
        <x:v>Sales head</x:v>
      </x:c>
      <x:c r="O877" s="4"/>
      <x:c r="P877" s="9" t="n">
        <x:v>0</x:v>
      </x:c>
      <x:c r="Q877" s="11" t="n">
        <x:v>0</x:v>
      </x:c>
      <x:c r="R877" s="8" t="n">
        <x:v>45390</x:v>
      </x:c>
      <x:c r="S877" s="4" t="str">
        <x:v>Retained</x:v>
      </x:c>
      <x:c r="T877" s="10" t="n">
        <x:v>0.204152</x:v>
      </x:c>
      <x:c r="U877" s="4" t="str">
        <x:v>Train</x:v>
      </x:c>
    </x:row>
    <x:row r="878" ht="34" customHeight="1">
      <x:c r="A878" s="4" t="str">
        <x:v>RS-00877</x:v>
      </x:c>
      <x:c r="B878" s="8" t="n">
        <x:v>45331</x:v>
      </x:c>
      <x:c r="C878" s="4" t="str">
        <x:v>PRJ-017</x:v>
      </x:c>
      <x:c r="D878" s="4" t="str">
        <x:v>Retail</x:v>
      </x:c>
      <x:c r="E878" s="4" t="str">
        <x:v>Handed over</x:v>
      </x:c>
      <x:c r="F878" s="4" t="str">
        <x:v>CUS-00877</x:v>
      </x:c>
      <x:c r="G878" s="4" t="str">
        <x:v>UNIT-00877</x:v>
      </x:c>
      <x:c r="H878" s="9" t="n">
        <x:v>14500000</x:v>
      </x:c>
      <x:c r="I878" s="10" t="n">
        <x:v>0.03</x:v>
      </x:c>
      <x:c r="J878" s="11" t="n">
        <x:v>9</x:v>
      </x:c>
      <x:c r="K878" s="11" t="n">
        <x:v>3</x:v>
      </x:c>
      <x:c r="L878" s="11" t="n">
        <x:v>1</x:v>
      </x:c>
      <x:c r="M878" s="9" t="n">
        <x:f>ROUND(H878*(1-I878),2)</x:f>
        <x:v>14065000</x:v>
      </x:c>
      <x:c r="N878" s="4" t="str">
        <x:v>Sales manager</x:v>
      </x:c>
      <x:c r="O878" s="4" t="str">
        <x:v>BOOK-00877</x:v>
      </x:c>
      <x:c r="P878" s="9" t="n">
        <x:v>3516250</x:v>
      </x:c>
      <x:c r="Q878" s="11" t="n">
        <x:v>0</x:v>
      </x:c>
      <x:c r="R878" s="8" t="n">
        <x:v>45391</x:v>
      </x:c>
      <x:c r="S878" s="4" t="str">
        <x:v>Retained</x:v>
      </x:c>
      <x:c r="T878" s="10" t="n">
        <x:v>0.310195</x:v>
      </x:c>
      <x:c r="U878" s="4" t="str">
        <x:v>Train</x:v>
      </x:c>
    </x:row>
    <x:row r="879" ht="34" customHeight="1">
      <x:c r="A879" s="4" t="str">
        <x:v>RS-00878</x:v>
      </x:c>
      <x:c r="B879" s="8" t="n">
        <x:v>45332</x:v>
      </x:c>
      <x:c r="C879" s="4" t="str">
        <x:v>PRJ-018</x:v>
      </x:c>
      <x:c r="D879" s="4" t="str">
        <x:v>Villa</x:v>
      </x:c>
      <x:c r="E879" s="4" t="str">
        <x:v>Booked</x:v>
      </x:c>
      <x:c r="F879" s="4" t="str">
        <x:v>CUS-00878</x:v>
      </x:c>
      <x:c r="G879" s="4" t="str">
        <x:v>UNIT-00878</x:v>
      </x:c>
      <x:c r="H879" s="9" t="n">
        <x:v>19400000</x:v>
      </x:c>
      <x:c r="I879" s="10" t="n">
        <x:v>0.09</x:v>
      </x:c>
      <x:c r="J879" s="11" t="n">
        <x:v>10</x:v>
      </x:c>
      <x:c r="K879" s="11" t="n">
        <x:v>7</x:v>
      </x:c>
      <x:c r="L879" s="11" t="n">
        <x:v>0</x:v>
      </x:c>
      <x:c r="M879" s="9" t="n">
        <x:f>ROUND(H879*(1-I879),2)</x:f>
        <x:v>17654000</x:v>
      </x:c>
      <x:c r="N879" s="4" t="str">
        <x:v>Sales head</x:v>
      </x:c>
      <x:c r="O879" s="4" t="str">
        <x:v>BOOK-00878</x:v>
      </x:c>
      <x:c r="P879" s="9" t="n">
        <x:v>17654000</x:v>
      </x:c>
      <x:c r="Q879" s="11" t="n">
        <x:v>0</x:v>
      </x:c>
      <x:c r="R879" s="8" t="n">
        <x:v>45392</x:v>
      </x:c>
      <x:c r="S879" s="4" t="str">
        <x:v>Retained</x:v>
      </x:c>
      <x:c r="T879" s="10" t="n">
        <x:v>0.310195</x:v>
      </x:c>
      <x:c r="U879" s="4" t="str">
        <x:v>Train</x:v>
      </x:c>
    </x:row>
    <x:row r="880" ht="34" customHeight="1">
      <x:c r="A880" s="4" t="str">
        <x:v>RS-00879</x:v>
      </x:c>
      <x:c r="B880" s="8" t="n">
        <x:v>45333</x:v>
      </x:c>
      <x:c r="C880" s="4" t="str">
        <x:v>PRJ-019</x:v>
      </x:c>
      <x:c r="D880" s="4" t="str">
        <x:v>Villa</x:v>
      </x:c>
      <x:c r="E880" s="4" t="str">
        <x:v>Agreement signed</x:v>
      </x:c>
      <x:c r="F880" s="4" t="str">
        <x:v>CUS-00879</x:v>
      </x:c>
      <x:c r="G880" s="4" t="str">
        <x:v>UNIT-00879</x:v>
      </x:c>
      <x:c r="H880" s="9" t="n">
        <x:v>24700000</x:v>
      </x:c>
      <x:c r="I880" s="10" t="n">
        <x:v>0.08</x:v>
      </x:c>
      <x:c r="J880" s="11" t="n">
        <x:v>0</x:v>
      </x:c>
      <x:c r="K880" s="11" t="n">
        <x:v>7</x:v>
      </x:c>
      <x:c r="L880" s="11" t="n">
        <x:v>0</x:v>
      </x:c>
      <x:c r="M880" s="9" t="n">
        <x:f>ROUND(H880*(1-I880),2)</x:f>
        <x:v>22724000</x:v>
      </x:c>
      <x:c r="N880" s="4" t="str">
        <x:v>Sales head</x:v>
      </x:c>
      <x:c r="O880" s="4" t="str">
        <x:v>BOOK-00879</x:v>
      </x:c>
      <x:c r="P880" s="9" t="n">
        <x:v>5681000</x:v>
      </x:c>
      <x:c r="Q880" s="11" t="n">
        <x:v>0</x:v>
      </x:c>
      <x:c r="R880" s="8" t="n">
        <x:v>45393</x:v>
      </x:c>
      <x:c r="S880" s="4" t="str">
        <x:v>Retained</x:v>
      </x:c>
      <x:c r="T880" s="10" t="n">
        <x:v>0.204152</x:v>
      </x:c>
      <x:c r="U880" s="4" t="str">
        <x:v>Train</x:v>
      </x:c>
    </x:row>
    <x:row r="881" ht="34" customHeight="1">
      <x:c r="A881" s="4" t="str">
        <x:v>RS-00880</x:v>
      </x:c>
      <x:c r="B881" s="8" t="n">
        <x:v>45334</x:v>
      </x:c>
      <x:c r="C881" s="4" t="str">
        <x:v>PRJ-020</x:v>
      </x:c>
      <x:c r="D881" s="4" t="str">
        <x:v>Office</x:v>
      </x:c>
      <x:c r="E881" s="4" t="str">
        <x:v>Enquiry</x:v>
      </x:c>
      <x:c r="F881" s="4" t="str">
        <x:v>CUS-00880</x:v>
      </x:c>
      <x:c r="G881" s="4" t="str">
        <x:v>UNIT-00880</x:v>
      </x:c>
      <x:c r="H881" s="9" t="n">
        <x:v>17300000</x:v>
      </x:c>
      <x:c r="I881" s="10" t="n">
        <x:v>0.11</x:v>
      </x:c>
      <x:c r="J881" s="11" t="n">
        <x:v>9</x:v>
      </x:c>
      <x:c r="K881" s="11" t="n">
        <x:v>1</x:v>
      </x:c>
      <x:c r="L881" s="11" t="n">
        <x:v>0</x:v>
      </x:c>
      <x:c r="M881" s="9" t="n">
        <x:f>ROUND(H881*(1-I881),2)</x:f>
        <x:v>15397000</x:v>
      </x:c>
      <x:c r="N881" s="4" t="str">
        <x:v>Sales head</x:v>
      </x:c>
      <x:c r="O881" s="4"/>
      <x:c r="P881" s="9" t="n">
        <x:v>0</x:v>
      </x:c>
      <x:c r="Q881" s="11" t="n">
        <x:v>0</x:v>
      </x:c>
      <x:c r="R881" s="8" t="n">
        <x:v>45394</x:v>
      </x:c>
      <x:c r="S881" s="4" t="str">
        <x:v>Retained</x:v>
      </x:c>
      <x:c r="T881" s="10" t="n">
        <x:v>0.310195</x:v>
      </x:c>
      <x:c r="U881" s="4" t="str">
        <x:v>Train</x:v>
      </x:c>
    </x:row>
    <x:row r="882" ht="34" customHeight="1">
      <x:c r="A882" s="4" t="str">
        <x:v>RS-00881</x:v>
      </x:c>
      <x:c r="B882" s="8" t="n">
        <x:v>45335</x:v>
      </x:c>
      <x:c r="C882" s="4" t="str">
        <x:v>PRJ-001</x:v>
      </x:c>
      <x:c r="D882" s="4" t="str">
        <x:v>Retail</x:v>
      </x:c>
      <x:c r="E882" s="4" t="str">
        <x:v>Agreement signed</x:v>
      </x:c>
      <x:c r="F882" s="4" t="str">
        <x:v>CUS-00881</x:v>
      </x:c>
      <x:c r="G882" s="4" t="str">
        <x:v>UNIT-00881</x:v>
      </x:c>
      <x:c r="H882" s="9" t="n">
        <x:v>13100000</x:v>
      </x:c>
      <x:c r="I882" s="10" t="n">
        <x:v>0.05</x:v>
      </x:c>
      <x:c r="J882" s="11" t="n">
        <x:v>8</x:v>
      </x:c>
      <x:c r="K882" s="11" t="n">
        <x:v>2</x:v>
      </x:c>
      <x:c r="L882" s="11" t="n">
        <x:v>0</x:v>
      </x:c>
      <x:c r="M882" s="9" t="n">
        <x:f>ROUND(H882*(1-I882),2)</x:f>
        <x:v>12445000</x:v>
      </x:c>
      <x:c r="N882" s="4" t="str">
        <x:v>Sales manager</x:v>
      </x:c>
      <x:c r="O882" s="4" t="str">
        <x:v>BOOK-00881</x:v>
      </x:c>
      <x:c r="P882" s="9" t="n">
        <x:v>12445000</x:v>
      </x:c>
      <x:c r="Q882" s="11" t="n">
        <x:v>0</x:v>
      </x:c>
      <x:c r="R882" s="8" t="n">
        <x:v>45395</x:v>
      </x:c>
      <x:c r="S882" s="4" t="str">
        <x:v>Retained</x:v>
      </x:c>
      <x:c r="T882" s="10" t="n">
        <x:v>0.310195</x:v>
      </x:c>
      <x:c r="U882" s="4" t="str">
        <x:v>Train</x:v>
      </x:c>
    </x:row>
    <x:row r="883" ht="34" customHeight="1">
      <x:c r="A883" s="4" t="str">
        <x:v>RS-00882</x:v>
      </x:c>
      <x:c r="B883" s="8" t="n">
        <x:v>45336</x:v>
      </x:c>
      <x:c r="C883" s="4" t="str">
        <x:v>PRJ-002</x:v>
      </x:c>
      <x:c r="D883" s="4" t="str">
        <x:v>Office</x:v>
      </x:c>
      <x:c r="E883" s="4" t="str">
        <x:v>Reserved</x:v>
      </x:c>
      <x:c r="F883" s="4" t="str">
        <x:v>CUS-00882</x:v>
      </x:c>
      <x:c r="G883" s="4" t="str">
        <x:v>UNIT-00882</x:v>
      </x:c>
      <x:c r="H883" s="9" t="n">
        <x:v>3600000</x:v>
      </x:c>
      <x:c r="I883" s="10" t="n">
        <x:v>0.05</x:v>
      </x:c>
      <x:c r="J883" s="11" t="n">
        <x:v>8</x:v>
      </x:c>
      <x:c r="K883" s="11" t="n">
        <x:v>3</x:v>
      </x:c>
      <x:c r="L883" s="11" t="n">
        <x:v>0</x:v>
      </x:c>
      <x:c r="M883" s="9" t="n">
        <x:f>ROUND(H883*(1-I883),2)</x:f>
        <x:v>3420000</x:v>
      </x:c>
      <x:c r="N883" s="4" t="str">
        <x:v>Sales manager</x:v>
      </x:c>
      <x:c r="O883" s="4"/>
      <x:c r="P883" s="9" t="n">
        <x:v>0</x:v>
      </x:c>
      <x:c r="Q883" s="11" t="n">
        <x:v>1</x:v>
      </x:c>
      <x:c r="R883" s="8" t="n">
        <x:v>45396</x:v>
      </x:c>
      <x:c r="S883" s="4" t="str">
        <x:v>Lost / cancelled</x:v>
      </x:c>
      <x:c r="T883" s="10" t="n">
        <x:v>0.310195</x:v>
      </x:c>
      <x:c r="U883" s="4" t="str">
        <x:v>Train</x:v>
      </x:c>
    </x:row>
    <x:row r="884" ht="34" customHeight="1">
      <x:c r="A884" s="4" t="str">
        <x:v>RS-00883</x:v>
      </x:c>
      <x:c r="B884" s="8" t="n">
        <x:v>45337</x:v>
      </x:c>
      <x:c r="C884" s="4" t="str">
        <x:v>PRJ-003</x:v>
      </x:c>
      <x:c r="D884" s="4" t="str">
        <x:v>Apartment</x:v>
      </x:c>
      <x:c r="E884" s="4" t="str">
        <x:v>Reserved</x:v>
      </x:c>
      <x:c r="F884" s="4" t="str">
        <x:v>CUS-00883</x:v>
      </x:c>
      <x:c r="G884" s="4" t="str">
        <x:v>UNIT-00883</x:v>
      </x:c>
      <x:c r="H884" s="9" t="n">
        <x:v>5800000</x:v>
      </x:c>
      <x:c r="I884" s="10" t="n">
        <x:v>0.05</x:v>
      </x:c>
      <x:c r="J884" s="11" t="n">
        <x:v>10</x:v>
      </x:c>
      <x:c r="K884" s="11" t="n">
        <x:v>1</x:v>
      </x:c>
      <x:c r="L884" s="11" t="n">
        <x:v>1</x:v>
      </x:c>
      <x:c r="M884" s="9" t="n">
        <x:f>ROUND(H884*(1-I884),2)</x:f>
        <x:v>5510000</x:v>
      </x:c>
      <x:c r="N884" s="4" t="str">
        <x:v>Sales manager</x:v>
      </x:c>
      <x:c r="O884" s="4"/>
      <x:c r="P884" s="9" t="n">
        <x:v>0</x:v>
      </x:c>
      <x:c r="Q884" s="11" t="n">
        <x:v>1</x:v>
      </x:c>
      <x:c r="R884" s="8" t="n">
        <x:v>45397</x:v>
      </x:c>
      <x:c r="S884" s="4" t="str">
        <x:v>Lost / cancelled</x:v>
      </x:c>
      <x:c r="T884" s="10" t="n">
        <x:v>0.310195</x:v>
      </x:c>
      <x:c r="U884" s="4" t="str">
        <x:v>Train</x:v>
      </x:c>
    </x:row>
    <x:row r="885" ht="34" customHeight="1">
      <x:c r="A885" s="4" t="str">
        <x:v>RS-00884</x:v>
      </x:c>
      <x:c r="B885" s="8" t="n">
        <x:v>45338</x:v>
      </x:c>
      <x:c r="C885" s="4" t="str">
        <x:v>PRJ-004</x:v>
      </x:c>
      <x:c r="D885" s="4" t="str">
        <x:v>Retail</x:v>
      </x:c>
      <x:c r="E885" s="4" t="str">
        <x:v>Reserved</x:v>
      </x:c>
      <x:c r="F885" s="4" t="str">
        <x:v>CUS-00884</x:v>
      </x:c>
      <x:c r="G885" s="4" t="str">
        <x:v>UNIT-00884</x:v>
      </x:c>
      <x:c r="H885" s="9" t="n">
        <x:v>24200000</x:v>
      </x:c>
      <x:c r="I885" s="10" t="n">
        <x:v>0.04</x:v>
      </x:c>
      <x:c r="J885" s="11" t="n">
        <x:v>10</x:v>
      </x:c>
      <x:c r="K885" s="11" t="n">
        <x:v>3</x:v>
      </x:c>
      <x:c r="L885" s="11" t="n">
        <x:v>0</x:v>
      </x:c>
      <x:c r="M885" s="9" t="n">
        <x:f>ROUND(H885*(1-I885),2)</x:f>
        <x:v>23232000</x:v>
      </x:c>
      <x:c r="N885" s="4" t="str">
        <x:v>Sales manager</x:v>
      </x:c>
      <x:c r="O885" s="4"/>
      <x:c r="P885" s="9" t="n">
        <x:v>0</x:v>
      </x:c>
      <x:c r="Q885" s="11" t="n">
        <x:v>0</x:v>
      </x:c>
      <x:c r="R885" s="8" t="n">
        <x:v>45398</x:v>
      </x:c>
      <x:c r="S885" s="4" t="str">
        <x:v>Retained</x:v>
      </x:c>
      <x:c r="T885" s="10" t="n">
        <x:v>0.310195</x:v>
      </x:c>
      <x:c r="U885" s="4" t="str">
        <x:v>Train</x:v>
      </x:c>
    </x:row>
    <x:row r="886" ht="34" customHeight="1">
      <x:c r="A886" s="4" t="str">
        <x:v>RS-00885</x:v>
      </x:c>
      <x:c r="B886" s="8" t="n">
        <x:v>45339</x:v>
      </x:c>
      <x:c r="C886" s="4" t="str">
        <x:v>PRJ-005</x:v>
      </x:c>
      <x:c r="D886" s="4" t="str">
        <x:v>Office</x:v>
      </x:c>
      <x:c r="E886" s="4" t="str">
        <x:v>Handed over</x:v>
      </x:c>
      <x:c r="F886" s="4" t="str">
        <x:v>CUS-00885</x:v>
      </x:c>
      <x:c r="G886" s="4" t="str">
        <x:v>UNIT-00885</x:v>
      </x:c>
      <x:c r="H886" s="9" t="n">
        <x:v>3700000</x:v>
      </x:c>
      <x:c r="I886" s="10" t="n">
        <x:v>0.11</x:v>
      </x:c>
      <x:c r="J886" s="11" t="n">
        <x:v>9</x:v>
      </x:c>
      <x:c r="K886" s="11" t="n">
        <x:v>2</x:v>
      </x:c>
      <x:c r="L886" s="11" t="n">
        <x:v>0</x:v>
      </x:c>
      <x:c r="M886" s="9" t="n">
        <x:f>ROUND(H886*(1-I886),2)</x:f>
        <x:v>3293000</x:v>
      </x:c>
      <x:c r="N886" s="4" t="str">
        <x:v>Sales head</x:v>
      </x:c>
      <x:c r="O886" s="4" t="str">
        <x:v>BOOK-00885</x:v>
      </x:c>
      <x:c r="P886" s="9" t="n">
        <x:v>329300</x:v>
      </x:c>
      <x:c r="Q886" s="11" t="n">
        <x:v>0</x:v>
      </x:c>
      <x:c r="R886" s="8" t="n">
        <x:v>45399</x:v>
      </x:c>
      <x:c r="S886" s="4" t="str">
        <x:v>Retained</x:v>
      </x:c>
      <x:c r="T886" s="10" t="n">
        <x:v>0.310195</x:v>
      </x:c>
      <x:c r="U886" s="4" t="str">
        <x:v>Train</x:v>
      </x:c>
    </x:row>
    <x:row r="887" ht="34" customHeight="1">
      <x:c r="A887" s="4" t="str">
        <x:v>RS-00886</x:v>
      </x:c>
      <x:c r="B887" s="8" t="n">
        <x:v>45340</x:v>
      </x:c>
      <x:c r="C887" s="4" t="str">
        <x:v>PRJ-006</x:v>
      </x:c>
      <x:c r="D887" s="4" t="str">
        <x:v>Apartment</x:v>
      </x:c>
      <x:c r="E887" s="4" t="str">
        <x:v>Cancelled</x:v>
      </x:c>
      <x:c r="F887" s="4" t="str">
        <x:v>CUS-00886</x:v>
      </x:c>
      <x:c r="G887" s="4" t="str">
        <x:v>UNIT-00886</x:v>
      </x:c>
      <x:c r="H887" s="9" t="n">
        <x:v>15700000</x:v>
      </x:c>
      <x:c r="I887" s="10" t="n">
        <x:v>0.03</x:v>
      </x:c>
      <x:c r="J887" s="11" t="n">
        <x:v>9</x:v>
      </x:c>
      <x:c r="K887" s="11" t="n">
        <x:v>8</x:v>
      </x:c>
      <x:c r="L887" s="11" t="n">
        <x:v>1</x:v>
      </x:c>
      <x:c r="M887" s="9" t="n">
        <x:f>ROUND(H887*(1-I887),2)</x:f>
        <x:v>15229000</x:v>
      </x:c>
      <x:c r="N887" s="4" t="str">
        <x:v>Sales manager</x:v>
      </x:c>
      <x:c r="O887" s="4"/>
      <x:c r="P887" s="9" t="n">
        <x:v>0</x:v>
      </x:c>
      <x:c r="Q887" s="11" t="n">
        <x:v>1</x:v>
      </x:c>
      <x:c r="R887" s="8" t="n">
        <x:v>45400</x:v>
      </x:c>
      <x:c r="S887" s="4" t="str">
        <x:v>Lost / cancelled</x:v>
      </x:c>
      <x:c r="T887" s="10" t="n">
        <x:v>0.310195</x:v>
      </x:c>
      <x:c r="U887" s="4" t="str">
        <x:v>Train</x:v>
      </x:c>
    </x:row>
    <x:row r="888" ht="34" customHeight="1">
      <x:c r="A888" s="4" t="str">
        <x:v>RS-00887</x:v>
      </x:c>
      <x:c r="B888" s="8" t="n">
        <x:v>45341</x:v>
      </x:c>
      <x:c r="C888" s="4" t="str">
        <x:v>PRJ-007</x:v>
      </x:c>
      <x:c r="D888" s="4" t="str">
        <x:v>Office</x:v>
      </x:c>
      <x:c r="E888" s="4" t="str">
        <x:v>Agreement signed</x:v>
      </x:c>
      <x:c r="F888" s="4" t="str">
        <x:v>CUS-00887</x:v>
      </x:c>
      <x:c r="G888" s="4" t="str">
        <x:v>UNIT-00887</x:v>
      </x:c>
      <x:c r="H888" s="9" t="n">
        <x:v>17200000</x:v>
      </x:c>
      <x:c r="I888" s="10" t="n">
        <x:v>0.03</x:v>
      </x:c>
      <x:c r="J888" s="11" t="n">
        <x:v>9</x:v>
      </x:c>
      <x:c r="K888" s="11" t="n">
        <x:v>9</x:v>
      </x:c>
      <x:c r="L888" s="11" t="n">
        <x:v>0</x:v>
      </x:c>
      <x:c r="M888" s="9" t="n">
        <x:f>ROUND(H888*(1-I888),2)</x:f>
        <x:v>16684000</x:v>
      </x:c>
      <x:c r="N888" s="4" t="str">
        <x:v>Sales manager</x:v>
      </x:c>
      <x:c r="O888" s="4" t="str">
        <x:v>BOOK-00887</x:v>
      </x:c>
      <x:c r="P888" s="9" t="n">
        <x:v>4171000</x:v>
      </x:c>
      <x:c r="Q888" s="11" t="n">
        <x:v>0</x:v>
      </x:c>
      <x:c r="R888" s="8" t="n">
        <x:v>45401</x:v>
      </x:c>
      <x:c r="S888" s="4" t="str">
        <x:v>Retained</x:v>
      </x:c>
      <x:c r="T888" s="10" t="n">
        <x:v>0.310195</x:v>
      </x:c>
      <x:c r="U888" s="4" t="str">
        <x:v>Train</x:v>
      </x:c>
    </x:row>
    <x:row r="889" ht="34" customHeight="1">
      <x:c r="A889" s="4" t="str">
        <x:v>RS-00888</x:v>
      </x:c>
      <x:c r="B889" s="8" t="n">
        <x:v>45342</x:v>
      </x:c>
      <x:c r="C889" s="4" t="str">
        <x:v>PRJ-008</x:v>
      </x:c>
      <x:c r="D889" s="4" t="str">
        <x:v>Villa</x:v>
      </x:c>
      <x:c r="E889" s="4" t="str">
        <x:v>Enquiry</x:v>
      </x:c>
      <x:c r="F889" s="4" t="str">
        <x:v>CUS-00888</x:v>
      </x:c>
      <x:c r="G889" s="4" t="str">
        <x:v>UNIT-00888</x:v>
      </x:c>
      <x:c r="H889" s="9" t="n">
        <x:v>9400000</x:v>
      </x:c>
      <x:c r="I889" s="10" t="n">
        <x:v>0.07</x:v>
      </x:c>
      <x:c r="J889" s="11" t="n">
        <x:v>6</x:v>
      </x:c>
      <x:c r="K889" s="11" t="n">
        <x:v>5</x:v>
      </x:c>
      <x:c r="L889" s="11" t="n">
        <x:v>1</x:v>
      </x:c>
      <x:c r="M889" s="9" t="n">
        <x:f>ROUND(H889*(1-I889),2)</x:f>
        <x:v>8742000</x:v>
      </x:c>
      <x:c r="N889" s="4" t="str">
        <x:v>Sales manager</x:v>
      </x:c>
      <x:c r="O889" s="4"/>
      <x:c r="P889" s="9" t="n">
        <x:v>0</x:v>
      </x:c>
      <x:c r="Q889" s="11" t="n">
        <x:v>1</x:v>
      </x:c>
      <x:c r="R889" s="8" t="n">
        <x:v>45402</x:v>
      </x:c>
      <x:c r="S889" s="4" t="str">
        <x:v>Lost / cancelled</x:v>
      </x:c>
      <x:c r="T889" s="10" t="n">
        <x:v>0.291946</x:v>
      </x:c>
      <x:c r="U889" s="4" t="str">
        <x:v>Train</x:v>
      </x:c>
    </x:row>
    <x:row r="890" ht="34" customHeight="1">
      <x:c r="A890" s="4" t="str">
        <x:v>RS-00889</x:v>
      </x:c>
      <x:c r="B890" s="8" t="n">
        <x:v>45343</x:v>
      </x:c>
      <x:c r="C890" s="4" t="str">
        <x:v>PRJ-009</x:v>
      </x:c>
      <x:c r="D890" s="4" t="str">
        <x:v>Office</x:v>
      </x:c>
      <x:c r="E890" s="4" t="str">
        <x:v>Agreement signed</x:v>
      </x:c>
      <x:c r="F890" s="4" t="str">
        <x:v>CUS-00889</x:v>
      </x:c>
      <x:c r="G890" s="4" t="str">
        <x:v>UNIT-00889</x:v>
      </x:c>
      <x:c r="H890" s="9" t="n">
        <x:v>14700000</x:v>
      </x:c>
      <x:c r="I890" s="10" t="n">
        <x:v>0.02</x:v>
      </x:c>
      <x:c r="J890" s="11" t="n">
        <x:v>9</x:v>
      </x:c>
      <x:c r="K890" s="11" t="n">
        <x:v>3</x:v>
      </x:c>
      <x:c r="L890" s="11" t="n">
        <x:v>1</x:v>
      </x:c>
      <x:c r="M890" s="9" t="n">
        <x:f>ROUND(H890*(1-I890),2)</x:f>
        <x:v>14406000</x:v>
      </x:c>
      <x:c r="N890" s="4" t="str">
        <x:v>Sales manager</x:v>
      </x:c>
      <x:c r="O890" s="4" t="str">
        <x:v>BOOK-00889</x:v>
      </x:c>
      <x:c r="P890" s="9" t="n">
        <x:v>1440600</x:v>
      </x:c>
      <x:c r="Q890" s="11" t="n">
        <x:v>0</x:v>
      </x:c>
      <x:c r="R890" s="8" t="n">
        <x:v>45403</x:v>
      </x:c>
      <x:c r="S890" s="4" t="str">
        <x:v>Retained</x:v>
      </x:c>
      <x:c r="T890" s="10" t="n">
        <x:v>0.254545</x:v>
      </x:c>
      <x:c r="U890" s="4" t="str">
        <x:v>Train</x:v>
      </x:c>
    </x:row>
    <x:row r="891" ht="34" customHeight="1">
      <x:c r="A891" s="4" t="str">
        <x:v>RS-00890</x:v>
      </x:c>
      <x:c r="B891" s="8" t="n">
        <x:v>45344</x:v>
      </x:c>
      <x:c r="C891" s="4" t="str">
        <x:v>PRJ-010</x:v>
      </x:c>
      <x:c r="D891" s="4" t="str">
        <x:v>Apartment</x:v>
      </x:c>
      <x:c r="E891" s="4" t="str">
        <x:v>Enquiry</x:v>
      </x:c>
      <x:c r="F891" s="4" t="str">
        <x:v>CUS-00890</x:v>
      </x:c>
      <x:c r="G891" s="4" t="str">
        <x:v>UNIT-00890</x:v>
      </x:c>
      <x:c r="H891" s="9" t="n">
        <x:v>3200000</x:v>
      </x:c>
      <x:c r="I891" s="10" t="n">
        <x:v>0.08</x:v>
      </x:c>
      <x:c r="J891" s="11" t="n">
        <x:v>7</x:v>
      </x:c>
      <x:c r="K891" s="11" t="n">
        <x:v>6</x:v>
      </x:c>
      <x:c r="L891" s="11" t="n">
        <x:v>0</x:v>
      </x:c>
      <x:c r="M891" s="9" t="n">
        <x:f>ROUND(H891*(1-I891),2)</x:f>
        <x:v>2944000</x:v>
      </x:c>
      <x:c r="N891" s="4" t="str">
        <x:v>Sales head</x:v>
      </x:c>
      <x:c r="O891" s="4"/>
      <x:c r="P891" s="9" t="n">
        <x:v>0</x:v>
      </x:c>
      <x:c r="Q891" s="11" t="n">
        <x:v>1</x:v>
      </x:c>
      <x:c r="R891" s="8" t="n">
        <x:v>45404</x:v>
      </x:c>
      <x:c r="S891" s="4" t="str">
        <x:v>Lost / cancelled</x:v>
      </x:c>
      <x:c r="T891" s="10" t="n">
        <x:v>0.226277</x:v>
      </x:c>
      <x:c r="U891" s="4" t="str">
        <x:v>Train</x:v>
      </x:c>
    </x:row>
    <x:row r="892" ht="34" customHeight="1">
      <x:c r="A892" s="4" t="str">
        <x:v>RS-00891</x:v>
      </x:c>
      <x:c r="B892" s="8" t="n">
        <x:v>45345</x:v>
      </x:c>
      <x:c r="C892" s="4" t="str">
        <x:v>PRJ-011</x:v>
      </x:c>
      <x:c r="D892" s="4" t="str">
        <x:v>Apartment</x:v>
      </x:c>
      <x:c r="E892" s="4" t="str">
        <x:v>Agreement signed</x:v>
      </x:c>
      <x:c r="F892" s="4" t="str">
        <x:v>CUS-00891</x:v>
      </x:c>
      <x:c r="G892" s="4" t="str">
        <x:v>UNIT-00891</x:v>
      </x:c>
      <x:c r="H892" s="9" t="n">
        <x:v>15300000</x:v>
      </x:c>
      <x:c r="I892" s="10" t="n">
        <x:v>0.02</x:v>
      </x:c>
      <x:c r="J892" s="11" t="n">
        <x:v>4</x:v>
      </x:c>
      <x:c r="K892" s="11" t="n">
        <x:v>0</x:v>
      </x:c>
      <x:c r="L892" s="11" t="n">
        <x:v>1</x:v>
      </x:c>
      <x:c r="M892" s="9" t="n">
        <x:f>ROUND(H892*(1-I892),2)</x:f>
        <x:v>14994000</x:v>
      </x:c>
      <x:c r="N892" s="4" t="str">
        <x:v>Sales manager</x:v>
      </x:c>
      <x:c r="O892" s="4" t="str">
        <x:v>BOOK-00891</x:v>
      </x:c>
      <x:c r="P892" s="9" t="n">
        <x:v>3748500</x:v>
      </x:c>
      <x:c r="Q892" s="11" t="n">
        <x:v>0</x:v>
      </x:c>
      <x:c r="R892" s="8" t="n">
        <x:v>45405</x:v>
      </x:c>
      <x:c r="S892" s="4" t="str">
        <x:v>Retained</x:v>
      </x:c>
      <x:c r="T892" s="10" t="n">
        <x:v>0.298969</x:v>
      </x:c>
      <x:c r="U892" s="4" t="str">
        <x:v>Train</x:v>
      </x:c>
    </x:row>
    <x:row r="893" ht="34" customHeight="1">
      <x:c r="A893" s="4" t="str">
        <x:v>RS-00892</x:v>
      </x:c>
      <x:c r="B893" s="8" t="n">
        <x:v>45346</x:v>
      </x:c>
      <x:c r="C893" s="4" t="str">
        <x:v>PRJ-012</x:v>
      </x:c>
      <x:c r="D893" s="4" t="str">
        <x:v>Villa</x:v>
      </x:c>
      <x:c r="E893" s="4" t="str">
        <x:v>Reserved</x:v>
      </x:c>
      <x:c r="F893" s="4" t="str">
        <x:v>CUS-00892</x:v>
      </x:c>
      <x:c r="G893" s="4" t="str">
        <x:v>UNIT-00892</x:v>
      </x:c>
      <x:c r="H893" s="9" t="n">
        <x:v>14300000</x:v>
      </x:c>
      <x:c r="I893" s="10" t="n">
        <x:v>0.06</x:v>
      </x:c>
      <x:c r="J893" s="11" t="n">
        <x:v>1</x:v>
      </x:c>
      <x:c r="K893" s="11" t="n">
        <x:v>10</x:v>
      </x:c>
      <x:c r="L893" s="11" t="n">
        <x:v>0</x:v>
      </x:c>
      <x:c r="M893" s="9" t="n">
        <x:f>ROUND(H893*(1-I893),2)</x:f>
        <x:v>13442000</x:v>
      </x:c>
      <x:c r="N893" s="4" t="str">
        <x:v>Sales manager</x:v>
      </x:c>
      <x:c r="O893" s="4"/>
      <x:c r="P893" s="9" t="n">
        <x:v>0</x:v>
      </x:c>
      <x:c r="Q893" s="11" t="n">
        <x:v>0</x:v>
      </x:c>
      <x:c r="R893" s="8" t="n">
        <x:v>45406</x:v>
      </x:c>
      <x:c r="S893" s="4" t="str">
        <x:v>Retained</x:v>
      </x:c>
      <x:c r="T893" s="10" t="n">
        <x:v>0.204152</x:v>
      </x:c>
      <x:c r="U893" s="4" t="str">
        <x:v>Train</x:v>
      </x:c>
    </x:row>
    <x:row r="894" ht="34" customHeight="1">
      <x:c r="A894" s="4" t="str">
        <x:v>RS-00893</x:v>
      </x:c>
      <x:c r="B894" s="8" t="n">
        <x:v>45347</x:v>
      </x:c>
      <x:c r="C894" s="4" t="str">
        <x:v>PRJ-013</x:v>
      </x:c>
      <x:c r="D894" s="4" t="str">
        <x:v>Office</x:v>
      </x:c>
      <x:c r="E894" s="4" t="str">
        <x:v>Booked</x:v>
      </x:c>
      <x:c r="F894" s="4" t="str">
        <x:v>CUS-00893</x:v>
      </x:c>
      <x:c r="G894" s="4" t="str">
        <x:v>UNIT-00893</x:v>
      </x:c>
      <x:c r="H894" s="9" t="n">
        <x:v>4900000</x:v>
      </x:c>
      <x:c r="I894" s="10" t="n">
        <x:v>0.01</x:v>
      </x:c>
      <x:c r="J894" s="11" t="n">
        <x:v>6</x:v>
      </x:c>
      <x:c r="K894" s="11" t="n">
        <x:v>5</x:v>
      </x:c>
      <x:c r="L894" s="11" t="n">
        <x:v>1</x:v>
      </x:c>
      <x:c r="M894" s="9" t="n">
        <x:f>ROUND(H894*(1-I894),2)</x:f>
        <x:v>4851000</x:v>
      </x:c>
      <x:c r="N894" s="4" t="str">
        <x:v>Sales manager</x:v>
      </x:c>
      <x:c r="O894" s="4" t="str">
        <x:v>BOOK-00893</x:v>
      </x:c>
      <x:c r="P894" s="9" t="n">
        <x:v>485100</x:v>
      </x:c>
      <x:c r="Q894" s="11" t="n">
        <x:v>0</x:v>
      </x:c>
      <x:c r="R894" s="8" t="n">
        <x:v>45407</x:v>
      </x:c>
      <x:c r="S894" s="4" t="str">
        <x:v>Retained</x:v>
      </x:c>
      <x:c r="T894" s="10" t="n">
        <x:v>0.145299</x:v>
      </x:c>
      <x:c r="U894" s="4" t="str">
        <x:v>Train</x:v>
      </x:c>
    </x:row>
    <x:row r="895" ht="34" customHeight="1">
      <x:c r="A895" s="4" t="str">
        <x:v>RS-00894</x:v>
      </x:c>
      <x:c r="B895" s="8" t="n">
        <x:v>45348</x:v>
      </x:c>
      <x:c r="C895" s="4" t="str">
        <x:v>PRJ-014</x:v>
      </x:c>
      <x:c r="D895" s="4" t="str">
        <x:v>Office</x:v>
      </x:c>
      <x:c r="E895" s="4" t="str">
        <x:v>Enquiry</x:v>
      </x:c>
      <x:c r="F895" s="4" t="str">
        <x:v>CUS-00894</x:v>
      </x:c>
      <x:c r="G895" s="4" t="str">
        <x:v>UNIT-00894</x:v>
      </x:c>
      <x:c r="H895" s="9" t="n">
        <x:v>20000000</x:v>
      </x:c>
      <x:c r="I895" s="10" t="n">
        <x:v>0.1</x:v>
      </x:c>
      <x:c r="J895" s="11" t="n">
        <x:v>7</x:v>
      </x:c>
      <x:c r="K895" s="11" t="n">
        <x:v>7</x:v>
      </x:c>
      <x:c r="L895" s="11" t="n">
        <x:v>1</x:v>
      </x:c>
      <x:c r="M895" s="9" t="n">
        <x:f>ROUND(H895*(1-I895),2)</x:f>
        <x:v>18000000</x:v>
      </x:c>
      <x:c r="N895" s="4" t="str">
        <x:v>Sales head</x:v>
      </x:c>
      <x:c r="O895" s="4"/>
      <x:c r="P895" s="9" t="n">
        <x:v>0</x:v>
      </x:c>
      <x:c r="Q895" s="11" t="n">
        <x:v>1</x:v>
      </x:c>
      <x:c r="R895" s="8" t="n">
        <x:v>45408</x:v>
      </x:c>
      <x:c r="S895" s="4" t="str">
        <x:v>Lost / cancelled</x:v>
      </x:c>
      <x:c r="T895" s="10" t="n">
        <x:v>0.291946</x:v>
      </x:c>
      <x:c r="U895" s="4" t="str">
        <x:v>Train</x:v>
      </x:c>
    </x:row>
    <x:row r="896" ht="34" customHeight="1">
      <x:c r="A896" s="4" t="str">
        <x:v>RS-00895</x:v>
      </x:c>
      <x:c r="B896" s="8" t="n">
        <x:v>45349</x:v>
      </x:c>
      <x:c r="C896" s="4" t="str">
        <x:v>PRJ-015</x:v>
      </x:c>
      <x:c r="D896" s="4" t="str">
        <x:v>Retail</x:v>
      </x:c>
      <x:c r="E896" s="4" t="str">
        <x:v>Enquiry</x:v>
      </x:c>
      <x:c r="F896" s="4" t="str">
        <x:v>CUS-00895</x:v>
      </x:c>
      <x:c r="G896" s="4" t="str">
        <x:v>UNIT-00895</x:v>
      </x:c>
      <x:c r="H896" s="9" t="n">
        <x:v>10400000</x:v>
      </x:c>
      <x:c r="I896" s="10" t="n">
        <x:v>0.03</x:v>
      </x:c>
      <x:c r="J896" s="11" t="n">
        <x:v>3</x:v>
      </x:c>
      <x:c r="K896" s="11" t="n">
        <x:v>2</x:v>
      </x:c>
      <x:c r="L896" s="11" t="n">
        <x:v>0</x:v>
      </x:c>
      <x:c r="M896" s="9" t="n">
        <x:f>ROUND(H896*(1-I896),2)</x:f>
        <x:v>10088000</x:v>
      </x:c>
      <x:c r="N896" s="4" t="str">
        <x:v>Sales manager</x:v>
      </x:c>
      <x:c r="O896" s="4"/>
      <x:c r="P896" s="9" t="n">
        <x:v>0</x:v>
      </x:c>
      <x:c r="Q896" s="11" t="n">
        <x:v>0</x:v>
      </x:c>
      <x:c r="R896" s="8" t="n">
        <x:v>45409</x:v>
      </x:c>
      <x:c r="S896" s="4" t="str">
        <x:v>Retained</x:v>
      </x:c>
      <x:c r="T896" s="10" t="n">
        <x:v>0.171717</x:v>
      </x:c>
      <x:c r="U896" s="4" t="str">
        <x:v>Train</x:v>
      </x:c>
    </x:row>
    <x:row r="897" ht="34" customHeight="1">
      <x:c r="A897" s="4" t="str">
        <x:v>RS-00896</x:v>
      </x:c>
      <x:c r="B897" s="8" t="n">
        <x:v>45350</x:v>
      </x:c>
      <x:c r="C897" s="4" t="str">
        <x:v>PRJ-016</x:v>
      </x:c>
      <x:c r="D897" s="4" t="str">
        <x:v>Office</x:v>
      </x:c>
      <x:c r="E897" s="4" t="str">
        <x:v>Booked</x:v>
      </x:c>
      <x:c r="F897" s="4" t="str">
        <x:v>CUS-00896</x:v>
      </x:c>
      <x:c r="G897" s="4" t="str">
        <x:v>UNIT-00896</x:v>
      </x:c>
      <x:c r="H897" s="9" t="n">
        <x:v>20800000</x:v>
      </x:c>
      <x:c r="I897" s="10" t="n">
        <x:v>0.04</x:v>
      </x:c>
      <x:c r="J897" s="11" t="n">
        <x:v>6</x:v>
      </x:c>
      <x:c r="K897" s="11" t="n">
        <x:v>6</x:v>
      </x:c>
      <x:c r="L897" s="11" t="n">
        <x:v>0</x:v>
      </x:c>
      <x:c r="M897" s="9" t="n">
        <x:f>ROUND(H897*(1-I897),2)</x:f>
        <x:v>19968000</x:v>
      </x:c>
      <x:c r="N897" s="4" t="str">
        <x:v>Sales manager</x:v>
      </x:c>
      <x:c r="O897" s="4" t="str">
        <x:v>BOOK-00896</x:v>
      </x:c>
      <x:c r="P897" s="9" t="n">
        <x:v>19968000</x:v>
      </x:c>
      <x:c r="Q897" s="11" t="n">
        <x:v>0</x:v>
      </x:c>
      <x:c r="R897" s="8" t="n">
        <x:v>45410</x:v>
      </x:c>
      <x:c r="S897" s="4" t="str">
        <x:v>Retained</x:v>
      </x:c>
      <x:c r="T897" s="10" t="n">
        <x:v>0.226277</x:v>
      </x:c>
      <x:c r="U897" s="4" t="str">
        <x:v>Train</x:v>
      </x:c>
    </x:row>
    <x:row r="898" ht="34" customHeight="1">
      <x:c r="A898" s="4" t="str">
        <x:v>RS-00897</x:v>
      </x:c>
      <x:c r="B898" s="8" t="n">
        <x:v>45323</x:v>
      </x:c>
      <x:c r="C898" s="4" t="str">
        <x:v>PRJ-017</x:v>
      </x:c>
      <x:c r="D898" s="4" t="str">
        <x:v>Office</x:v>
      </x:c>
      <x:c r="E898" s="4" t="str">
        <x:v>Enquiry</x:v>
      </x:c>
      <x:c r="F898" s="4" t="str">
        <x:v>CUS-00897</x:v>
      </x:c>
      <x:c r="G898" s="4" t="str">
        <x:v>UNIT-00897</x:v>
      </x:c>
      <x:c r="H898" s="9" t="n">
        <x:v>23400000</x:v>
      </x:c>
      <x:c r="I898" s="10" t="n">
        <x:v>0.07</x:v>
      </x:c>
      <x:c r="J898" s="11" t="n">
        <x:v>7</x:v>
      </x:c>
      <x:c r="K898" s="11" t="n">
        <x:v>4</x:v>
      </x:c>
      <x:c r="L898" s="11" t="n">
        <x:v>1</x:v>
      </x:c>
      <x:c r="M898" s="9" t="n">
        <x:f>ROUND(H898*(1-I898),2)</x:f>
        <x:v>21762000</x:v>
      </x:c>
      <x:c r="N898" s="4" t="str">
        <x:v>Sales manager</x:v>
      </x:c>
      <x:c r="O898" s="4"/>
      <x:c r="P898" s="9" t="n">
        <x:v>0</x:v>
      </x:c>
      <x:c r="Q898" s="11" t="n">
        <x:v>0</x:v>
      </x:c>
      <x:c r="R898" s="8" t="n">
        <x:v>45383</x:v>
      </x:c>
      <x:c r="S898" s="4" t="str">
        <x:v>Retained</x:v>
      </x:c>
      <x:c r="T898" s="10" t="n">
        <x:v>0.291946</x:v>
      </x:c>
      <x:c r="U898" s="4" t="str">
        <x:v>Train</x:v>
      </x:c>
    </x:row>
    <x:row r="899" ht="34" customHeight="1">
      <x:c r="A899" s="4" t="str">
        <x:v>RS-00898</x:v>
      </x:c>
      <x:c r="B899" s="8" t="n">
        <x:v>45324</x:v>
      </x:c>
      <x:c r="C899" s="4" t="str">
        <x:v>PRJ-018</x:v>
      </x:c>
      <x:c r="D899" s="4" t="str">
        <x:v>Office</x:v>
      </x:c>
      <x:c r="E899" s="4" t="str">
        <x:v>Reserved</x:v>
      </x:c>
      <x:c r="F899" s="4" t="str">
        <x:v>CUS-00898</x:v>
      </x:c>
      <x:c r="G899" s="4" t="str">
        <x:v>UNIT-00898</x:v>
      </x:c>
      <x:c r="H899" s="9" t="n">
        <x:v>11900000</x:v>
      </x:c>
      <x:c r="I899" s="10" t="n">
        <x:v>0.09</x:v>
      </x:c>
      <x:c r="J899" s="11" t="n">
        <x:v>2</x:v>
      </x:c>
      <x:c r="K899" s="11" t="n">
        <x:v>9</x:v>
      </x:c>
      <x:c r="L899" s="11" t="n">
        <x:v>0</x:v>
      </x:c>
      <x:c r="M899" s="9" t="n">
        <x:f>ROUND(H899*(1-I899),2)</x:f>
        <x:v>10829000</x:v>
      </x:c>
      <x:c r="N899" s="4" t="str">
        <x:v>Sales head</x:v>
      </x:c>
      <x:c r="O899" s="4"/>
      <x:c r="P899" s="9" t="n">
        <x:v>0</x:v>
      </x:c>
      <x:c r="Q899" s="11" t="n">
        <x:v>0</x:v>
      </x:c>
      <x:c r="R899" s="8" t="n">
        <x:v>45384</x:v>
      </x:c>
      <x:c r="S899" s="4" t="str">
        <x:v>Retained</x:v>
      </x:c>
      <x:c r="T899" s="10" t="n">
        <x:v>0.145833</x:v>
      </x:c>
      <x:c r="U899" s="4" t="str">
        <x:v>Train</x:v>
      </x:c>
    </x:row>
    <x:row r="900" ht="34" customHeight="1">
      <x:c r="A900" s="4" t="str">
        <x:v>RS-00899</x:v>
      </x:c>
      <x:c r="B900" s="8" t="n">
        <x:v>45325</x:v>
      </x:c>
      <x:c r="C900" s="4" t="str">
        <x:v>PRJ-019</x:v>
      </x:c>
      <x:c r="D900" s="4" t="str">
        <x:v>Villa</x:v>
      </x:c>
      <x:c r="E900" s="4" t="str">
        <x:v>Agreement signed</x:v>
      </x:c>
      <x:c r="F900" s="4" t="str">
        <x:v>CUS-00899</x:v>
      </x:c>
      <x:c r="G900" s="4" t="str">
        <x:v>UNIT-00899</x:v>
      </x:c>
      <x:c r="H900" s="9" t="n">
        <x:v>4000000</x:v>
      </x:c>
      <x:c r="I900" s="10" t="n">
        <x:v>0.02</x:v>
      </x:c>
      <x:c r="J900" s="11" t="n">
        <x:v>11</x:v>
      </x:c>
      <x:c r="K900" s="11" t="n">
        <x:v>8</x:v>
      </x:c>
      <x:c r="L900" s="11" t="n">
        <x:v>0</x:v>
      </x:c>
      <x:c r="M900" s="9" t="n">
        <x:f>ROUND(H900*(1-I900),2)</x:f>
        <x:v>3920000</x:v>
      </x:c>
      <x:c r="N900" s="4" t="str">
        <x:v>Sales manager</x:v>
      </x:c>
      <x:c r="O900" s="4" t="str">
        <x:v>BOOK-00899</x:v>
      </x:c>
      <x:c r="P900" s="9" t="n">
        <x:v>980000</x:v>
      </x:c>
      <x:c r="Q900" s="11" t="n">
        <x:v>0</x:v>
      </x:c>
      <x:c r="R900" s="8" t="n">
        <x:v>45385</x:v>
      </x:c>
      <x:c r="S900" s="4" t="str">
        <x:v>Retained</x:v>
      </x:c>
      <x:c r="T900" s="10" t="n">
        <x:v>0.305556</x:v>
      </x:c>
      <x:c r="U900" s="4" t="str">
        <x:v>Train</x:v>
      </x:c>
    </x:row>
    <x:row r="901" ht="34" customHeight="1">
      <x:c r="A901" s="4" t="str">
        <x:v>RS-00900</x:v>
      </x:c>
      <x:c r="B901" s="8" t="n">
        <x:v>45326</x:v>
      </x:c>
      <x:c r="C901" s="4" t="str">
        <x:v>PRJ-020</x:v>
      </x:c>
      <x:c r="D901" s="4" t="str">
        <x:v>Apartment</x:v>
      </x:c>
      <x:c r="E901" s="4" t="str">
        <x:v>Reserved</x:v>
      </x:c>
      <x:c r="F901" s="4" t="str">
        <x:v>CUS-00900</x:v>
      </x:c>
      <x:c r="G901" s="4" t="str">
        <x:v>UNIT-00900</x:v>
      </x:c>
      <x:c r="H901" s="9" t="n">
        <x:v>18600000</x:v>
      </x:c>
      <x:c r="I901" s="10" t="n">
        <x:v>0.07</x:v>
      </x:c>
      <x:c r="J901" s="11" t="n">
        <x:v>2</x:v>
      </x:c>
      <x:c r="K901" s="11" t="n">
        <x:v>5</x:v>
      </x:c>
      <x:c r="L901" s="11" t="n">
        <x:v>0</x:v>
      </x:c>
      <x:c r="M901" s="9" t="n">
        <x:f>ROUND(H901*(1-I901),2)</x:f>
        <x:v>17298000</x:v>
      </x:c>
      <x:c r="N901" s="4" t="str">
        <x:v>Sales manager</x:v>
      </x:c>
      <x:c r="O901" s="4"/>
      <x:c r="P901" s="9" t="n">
        <x:v>0</x:v>
      </x:c>
      <x:c r="Q901" s="11" t="n">
        <x:v>0</x:v>
      </x:c>
      <x:c r="R901" s="8" t="n">
        <x:v>45386</x:v>
      </x:c>
      <x:c r="S901" s="4" t="str">
        <x:v>Retained</x:v>
      </x:c>
      <x:c r="T901" s="10" t="n">
        <x:v>0.204152</x:v>
      </x:c>
      <x:c r="U901" s="4" t="str">
        <x:v>Train</x:v>
      </x:c>
    </x:row>
    <x:row r="902" ht="34" customHeight="1">
      <x:c r="A902" s="4" t="str">
        <x:v>RS-00901</x:v>
      </x:c>
      <x:c r="B902" s="8" t="n">
        <x:v>45327</x:v>
      </x:c>
      <x:c r="C902" s="4" t="str">
        <x:v>PRJ-001</x:v>
      </x:c>
      <x:c r="D902" s="4" t="str">
        <x:v>Villa</x:v>
      </x:c>
      <x:c r="E902" s="4" t="str">
        <x:v>Handed over</x:v>
      </x:c>
      <x:c r="F902" s="4" t="str">
        <x:v>CUS-00901</x:v>
      </x:c>
      <x:c r="G902" s="4" t="str">
        <x:v>UNIT-00901</x:v>
      </x:c>
      <x:c r="H902" s="9" t="n">
        <x:v>11500000</x:v>
      </x:c>
      <x:c r="I902" s="10" t="n">
        <x:v>0.06</x:v>
      </x:c>
      <x:c r="J902" s="11" t="n">
        <x:v>5</x:v>
      </x:c>
      <x:c r="K902" s="11" t="n">
        <x:v>6</x:v>
      </x:c>
      <x:c r="L902" s="11" t="n">
        <x:v>1</x:v>
      </x:c>
      <x:c r="M902" s="9" t="n">
        <x:f>ROUND(H902*(1-I902),2)</x:f>
        <x:v>10810000</x:v>
      </x:c>
      <x:c r="N902" s="4" t="str">
        <x:v>Sales manager</x:v>
      </x:c>
      <x:c r="O902" s="4" t="str">
        <x:v>BOOK-00901</x:v>
      </x:c>
      <x:c r="P902" s="9" t="n">
        <x:v>2702500</x:v>
      </x:c>
      <x:c r="Q902" s="11" t="n">
        <x:v>0</x:v>
      </x:c>
      <x:c r="R902" s="8" t="n">
        <x:v>45387</x:v>
      </x:c>
      <x:c r="S902" s="4" t="str">
        <x:v>Retained</x:v>
      </x:c>
      <x:c r="T902" s="10" t="n">
        <x:v>0.291946</x:v>
      </x:c>
      <x:c r="U902" s="4" t="str">
        <x:v>Train</x:v>
      </x:c>
    </x:row>
    <x:row r="903" ht="34" customHeight="1">
      <x:c r="A903" s="4" t="str">
        <x:v>RS-00902</x:v>
      </x:c>
      <x:c r="B903" s="8" t="n">
        <x:v>45328</x:v>
      </x:c>
      <x:c r="C903" s="4" t="str">
        <x:v>PRJ-002</x:v>
      </x:c>
      <x:c r="D903" s="4" t="str">
        <x:v>Office</x:v>
      </x:c>
      <x:c r="E903" s="4" t="str">
        <x:v>Booked</x:v>
      </x:c>
      <x:c r="F903" s="4" t="str">
        <x:v>CUS-00902</x:v>
      </x:c>
      <x:c r="G903" s="4" t="str">
        <x:v>UNIT-00902</x:v>
      </x:c>
      <x:c r="H903" s="9" t="n">
        <x:v>12500000</x:v>
      </x:c>
      <x:c r="I903" s="10" t="n">
        <x:v>0.11</x:v>
      </x:c>
      <x:c r="J903" s="11" t="n">
        <x:v>11</x:v>
      </x:c>
      <x:c r="K903" s="11" t="n">
        <x:v>4</x:v>
      </x:c>
      <x:c r="L903" s="11" t="n">
        <x:v>0</x:v>
      </x:c>
      <x:c r="M903" s="9" t="n">
        <x:f>ROUND(H903*(1-I903),2)</x:f>
        <x:v>11125000</x:v>
      </x:c>
      <x:c r="N903" s="4" t="str">
        <x:v>Sales head</x:v>
      </x:c>
      <x:c r="O903" s="4" t="str">
        <x:v>BOOK-00902</x:v>
      </x:c>
      <x:c r="P903" s="9" t="n">
        <x:v>2781250</x:v>
      </x:c>
      <x:c r="Q903" s="11" t="n">
        <x:v>0</x:v>
      </x:c>
      <x:c r="R903" s="8" t="n">
        <x:v>45388</x:v>
      </x:c>
      <x:c r="S903" s="4" t="str">
        <x:v>Retained</x:v>
      </x:c>
      <x:c r="T903" s="10" t="n">
        <x:v>0.351536</x:v>
      </x:c>
      <x:c r="U903" s="4" t="str">
        <x:v>Train</x:v>
      </x:c>
    </x:row>
    <x:row r="904" ht="34" customHeight="1">
      <x:c r="A904" s="4" t="str">
        <x:v>RS-00903</x:v>
      </x:c>
      <x:c r="B904" s="8" t="n">
        <x:v>45329</x:v>
      </x:c>
      <x:c r="C904" s="4" t="str">
        <x:v>PRJ-003</x:v>
      </x:c>
      <x:c r="D904" s="4" t="str">
        <x:v>Apartment</x:v>
      </x:c>
      <x:c r="E904" s="4" t="str">
        <x:v>Reserved</x:v>
      </x:c>
      <x:c r="F904" s="4" t="str">
        <x:v>CUS-00903</x:v>
      </x:c>
      <x:c r="G904" s="4" t="str">
        <x:v>UNIT-00903</x:v>
      </x:c>
      <x:c r="H904" s="9" t="n">
        <x:v>4100000</x:v>
      </x:c>
      <x:c r="I904" s="10" t="n">
        <x:v>0.1</x:v>
      </x:c>
      <x:c r="J904" s="11" t="n">
        <x:v>8</x:v>
      </x:c>
      <x:c r="K904" s="11" t="n">
        <x:v>4</x:v>
      </x:c>
      <x:c r="L904" s="11" t="n">
        <x:v>1</x:v>
      </x:c>
      <x:c r="M904" s="9" t="n">
        <x:f>ROUND(H904*(1-I904),2)</x:f>
        <x:v>3690000</x:v>
      </x:c>
      <x:c r="N904" s="4" t="str">
        <x:v>Sales head</x:v>
      </x:c>
      <x:c r="O904" s="4"/>
      <x:c r="P904" s="9" t="n">
        <x:v>0</x:v>
      </x:c>
      <x:c r="Q904" s="11" t="n">
        <x:v>0</x:v>
      </x:c>
      <x:c r="R904" s="8" t="n">
        <x:v>45389</x:v>
      </x:c>
      <x:c r="S904" s="4" t="str">
        <x:v>Retained</x:v>
      </x:c>
      <x:c r="T904" s="10" t="n">
        <x:v>0.310195</x:v>
      </x:c>
      <x:c r="U904" s="4" t="str">
        <x:v>Train</x:v>
      </x:c>
    </x:row>
    <x:row r="905" ht="34" customHeight="1">
      <x:c r="A905" s="4" t="str">
        <x:v>RS-00904</x:v>
      </x:c>
      <x:c r="B905" s="8" t="n">
        <x:v>45330</x:v>
      </x:c>
      <x:c r="C905" s="4" t="str">
        <x:v>PRJ-004</x:v>
      </x:c>
      <x:c r="D905" s="4" t="str">
        <x:v>Office</x:v>
      </x:c>
      <x:c r="E905" s="4" t="str">
        <x:v>Booked</x:v>
      </x:c>
      <x:c r="F905" s="4" t="str">
        <x:v>CUS-00904</x:v>
      </x:c>
      <x:c r="G905" s="4" t="str">
        <x:v>UNIT-00904</x:v>
      </x:c>
      <x:c r="H905" s="9" t="n">
        <x:v>3800000</x:v>
      </x:c>
      <x:c r="I905" s="10" t="n">
        <x:v>0.09</x:v>
      </x:c>
      <x:c r="J905" s="11" t="n">
        <x:v>1</x:v>
      </x:c>
      <x:c r="K905" s="11" t="n">
        <x:v>8</x:v>
      </x:c>
      <x:c r="L905" s="11" t="n">
        <x:v>0</x:v>
      </x:c>
      <x:c r="M905" s="9" t="n">
        <x:f>ROUND(H905*(1-I905),2)</x:f>
        <x:v>3458000</x:v>
      </x:c>
      <x:c r="N905" s="4" t="str">
        <x:v>Sales head</x:v>
      </x:c>
      <x:c r="O905" s="4" t="str">
        <x:v>BOOK-00904</x:v>
      </x:c>
      <x:c r="P905" s="9" t="n">
        <x:v>864500</x:v>
      </x:c>
      <x:c r="Q905" s="11" t="n">
        <x:v>0</x:v>
      </x:c>
      <x:c r="R905" s="8" t="n">
        <x:v>45390</x:v>
      </x:c>
      <x:c r="S905" s="4" t="str">
        <x:v>Retained</x:v>
      </x:c>
      <x:c r="T905" s="10" t="n">
        <x:v>0.145833</x:v>
      </x:c>
      <x:c r="U905" s="4" t="str">
        <x:v>Train</x:v>
      </x:c>
    </x:row>
    <x:row r="906" ht="34" customHeight="1">
      <x:c r="A906" s="4" t="str">
        <x:v>RS-00905</x:v>
      </x:c>
      <x:c r="B906" s="8" t="n">
        <x:v>45331</x:v>
      </x:c>
      <x:c r="C906" s="4" t="str">
        <x:v>PRJ-005</x:v>
      </x:c>
      <x:c r="D906" s="4" t="str">
        <x:v>Apartment</x:v>
      </x:c>
      <x:c r="E906" s="4" t="str">
        <x:v>Cancelled</x:v>
      </x:c>
      <x:c r="F906" s="4" t="str">
        <x:v>CUS-00905</x:v>
      </x:c>
      <x:c r="G906" s="4" t="str">
        <x:v>UNIT-00905</x:v>
      </x:c>
      <x:c r="H906" s="9" t="n">
        <x:v>10400000</x:v>
      </x:c>
      <x:c r="I906" s="10" t="n">
        <x:v>0.08</x:v>
      </x:c>
      <x:c r="J906" s="11" t="n">
        <x:v>11</x:v>
      </x:c>
      <x:c r="K906" s="11" t="n">
        <x:v>8</x:v>
      </x:c>
      <x:c r="L906" s="11" t="n">
        <x:v>0</x:v>
      </x:c>
      <x:c r="M906" s="9" t="n">
        <x:f>ROUND(H906*(1-I906),2)</x:f>
        <x:v>9568000</x:v>
      </x:c>
      <x:c r="N906" s="4" t="str">
        <x:v>Sales head</x:v>
      </x:c>
      <x:c r="O906" s="4"/>
      <x:c r="P906" s="9" t="n">
        <x:v>0</x:v>
      </x:c>
      <x:c r="Q906" s="11" t="n">
        <x:v>1</x:v>
      </x:c>
      <x:c r="R906" s="8" t="n">
        <x:v>45391</x:v>
      </x:c>
      <x:c r="S906" s="4" t="str">
        <x:v>Lost / cancelled</x:v>
      </x:c>
      <x:c r="T906" s="10" t="n">
        <x:v>0.351536</x:v>
      </x:c>
      <x:c r="U906" s="4" t="str">
        <x:v>Train</x:v>
      </x:c>
    </x:row>
    <x:row r="907" ht="34" customHeight="1">
      <x:c r="A907" s="4" t="str">
        <x:v>RS-00906</x:v>
      </x:c>
      <x:c r="B907" s="8" t="n">
        <x:v>45332</x:v>
      </x:c>
      <x:c r="C907" s="4" t="str">
        <x:v>PRJ-006</x:v>
      </x:c>
      <x:c r="D907" s="4" t="str">
        <x:v>Apartment</x:v>
      </x:c>
      <x:c r="E907" s="4" t="str">
        <x:v>Cancelled</x:v>
      </x:c>
      <x:c r="F907" s="4" t="str">
        <x:v>CUS-00906</x:v>
      </x:c>
      <x:c r="G907" s="4" t="str">
        <x:v>UNIT-00906</x:v>
      </x:c>
      <x:c r="H907" s="9" t="n">
        <x:v>21900000</x:v>
      </x:c>
      <x:c r="I907" s="10" t="n">
        <x:v>0.1</x:v>
      </x:c>
      <x:c r="J907" s="11" t="n">
        <x:v>4</x:v>
      </x:c>
      <x:c r="K907" s="11" t="n">
        <x:v>2</x:v>
      </x:c>
      <x:c r="L907" s="11" t="n">
        <x:v>1</x:v>
      </x:c>
      <x:c r="M907" s="9" t="n">
        <x:f>ROUND(H907*(1-I907),2)</x:f>
        <x:v>19710000</x:v>
      </x:c>
      <x:c r="N907" s="4" t="str">
        <x:v>Sales head</x:v>
      </x:c>
      <x:c r="O907" s="4"/>
      <x:c r="P907" s="9" t="n">
        <x:v>0</x:v>
      </x:c>
      <x:c r="Q907" s="11" t="n">
        <x:v>1</x:v>
      </x:c>
      <x:c r="R907" s="8" t="n">
        <x:v>45392</x:v>
      </x:c>
      <x:c r="S907" s="4" t="str">
        <x:v>Lost / cancelled</x:v>
      </x:c>
      <x:c r="T907" s="10" t="n">
        <x:v>0.291946</x:v>
      </x:c>
      <x:c r="U907" s="4" t="str">
        <x:v>Train</x:v>
      </x:c>
    </x:row>
    <x:row r="908" ht="34" customHeight="1">
      <x:c r="A908" s="4" t="str">
        <x:v>RS-00907</x:v>
      </x:c>
      <x:c r="B908" s="8" t="n">
        <x:v>45333</x:v>
      </x:c>
      <x:c r="C908" s="4" t="str">
        <x:v>PRJ-007</x:v>
      </x:c>
      <x:c r="D908" s="4" t="str">
        <x:v>Office</x:v>
      </x:c>
      <x:c r="E908" s="4" t="str">
        <x:v>Reserved</x:v>
      </x:c>
      <x:c r="F908" s="4" t="str">
        <x:v>CUS-00907</x:v>
      </x:c>
      <x:c r="G908" s="4" t="str">
        <x:v>UNIT-00907</x:v>
      </x:c>
      <x:c r="H908" s="9" t="n">
        <x:v>12800000</x:v>
      </x:c>
      <x:c r="I908" s="10" t="n">
        <x:v>0.07</x:v>
      </x:c>
      <x:c r="J908" s="11" t="n">
        <x:v>10</x:v>
      </x:c>
      <x:c r="K908" s="11" t="n">
        <x:v>1</x:v>
      </x:c>
      <x:c r="L908" s="11" t="n">
        <x:v>0</x:v>
      </x:c>
      <x:c r="M908" s="9" t="n">
        <x:f>ROUND(H908*(1-I908),2)</x:f>
        <x:v>11904000</x:v>
      </x:c>
      <x:c r="N908" s="4" t="str">
        <x:v>Sales manager</x:v>
      </x:c>
      <x:c r="O908" s="4"/>
      <x:c r="P908" s="9" t="n">
        <x:v>0</x:v>
      </x:c>
      <x:c r="Q908" s="11" t="n">
        <x:v>1</x:v>
      </x:c>
      <x:c r="R908" s="8" t="n">
        <x:v>45393</x:v>
      </x:c>
      <x:c r="S908" s="4" t="str">
        <x:v>Lost / cancelled</x:v>
      </x:c>
      <x:c r="T908" s="10" t="n">
        <x:v>0.310195</x:v>
      </x:c>
      <x:c r="U908" s="4" t="str">
        <x:v>Train</x:v>
      </x:c>
    </x:row>
    <x:row r="909" ht="34" customHeight="1">
      <x:c r="A909" s="4" t="str">
        <x:v>RS-00908</x:v>
      </x:c>
      <x:c r="B909" s="8" t="n">
        <x:v>45334</x:v>
      </x:c>
      <x:c r="C909" s="4" t="str">
        <x:v>PRJ-008</x:v>
      </x:c>
      <x:c r="D909" s="4" t="str">
        <x:v>Villa</x:v>
      </x:c>
      <x:c r="E909" s="4" t="str">
        <x:v>Cancelled</x:v>
      </x:c>
      <x:c r="F909" s="4" t="str">
        <x:v>CUS-00908</x:v>
      </x:c>
      <x:c r="G909" s="4" t="str">
        <x:v>UNIT-00908</x:v>
      </x:c>
      <x:c r="H909" s="9" t="n">
        <x:v>10800000</x:v>
      </x:c>
      <x:c r="I909" s="10" t="n">
        <x:v>0.07</x:v>
      </x:c>
      <x:c r="J909" s="11" t="n">
        <x:v>5</x:v>
      </x:c>
      <x:c r="K909" s="11" t="n">
        <x:v>6</x:v>
      </x:c>
      <x:c r="L909" s="11" t="n">
        <x:v>1</x:v>
      </x:c>
      <x:c r="M909" s="9" t="n">
        <x:f>ROUND(H909*(1-I909),2)</x:f>
        <x:v>10044000</x:v>
      </x:c>
      <x:c r="N909" s="4" t="str">
        <x:v>Sales manager</x:v>
      </x:c>
      <x:c r="O909" s="4"/>
      <x:c r="P909" s="9" t="n">
        <x:v>0</x:v>
      </x:c>
      <x:c r="Q909" s="11" t="n">
        <x:v>1</x:v>
      </x:c>
      <x:c r="R909" s="8" t="n">
        <x:v>45394</x:v>
      </x:c>
      <x:c r="S909" s="4" t="str">
        <x:v>Lost / cancelled</x:v>
      </x:c>
      <x:c r="T909" s="10" t="n">
        <x:v>0.291946</x:v>
      </x:c>
      <x:c r="U909" s="4" t="str">
        <x:v>Train</x:v>
      </x:c>
    </x:row>
    <x:row r="910" ht="34" customHeight="1">
      <x:c r="A910" s="4" t="str">
        <x:v>RS-00909</x:v>
      </x:c>
      <x:c r="B910" s="8" t="n">
        <x:v>45335</x:v>
      </x:c>
      <x:c r="C910" s="4" t="str">
        <x:v>PRJ-009</x:v>
      </x:c>
      <x:c r="D910" s="4" t="str">
        <x:v>Villa</x:v>
      </x:c>
      <x:c r="E910" s="4" t="str">
        <x:v>Booked</x:v>
      </x:c>
      <x:c r="F910" s="4" t="str">
        <x:v>CUS-00909</x:v>
      </x:c>
      <x:c r="G910" s="4" t="str">
        <x:v>UNIT-00909</x:v>
      </x:c>
      <x:c r="H910" s="9" t="n">
        <x:v>11400000</x:v>
      </x:c>
      <x:c r="I910" s="10" t="n">
        <x:v>0.08</x:v>
      </x:c>
      <x:c r="J910" s="11" t="n">
        <x:v>9</x:v>
      </x:c>
      <x:c r="K910" s="11" t="n">
        <x:v>0</x:v>
      </x:c>
      <x:c r="L910" s="11" t="n">
        <x:v>0</x:v>
      </x:c>
      <x:c r="M910" s="9" t="n">
        <x:f>ROUND(H910*(1-I910),2)</x:f>
        <x:v>10488000</x:v>
      </x:c>
      <x:c r="N910" s="4" t="str">
        <x:v>Sales head</x:v>
      </x:c>
      <x:c r="O910" s="4" t="str">
        <x:v>BOOK-00909</x:v>
      </x:c>
      <x:c r="P910" s="9" t="n">
        <x:v>2622000</x:v>
      </x:c>
      <x:c r="Q910" s="11" t="n">
        <x:v>0</x:v>
      </x:c>
      <x:c r="R910" s="8" t="n">
        <x:v>45395</x:v>
      </x:c>
      <x:c r="S910" s="4" t="str">
        <x:v>Retained</x:v>
      </x:c>
      <x:c r="T910" s="10" t="n">
        <x:v>0.310195</x:v>
      </x:c>
      <x:c r="U910" s="4" t="str">
        <x:v>Train</x:v>
      </x:c>
    </x:row>
    <x:row r="911" ht="34" customHeight="1">
      <x:c r="A911" s="4" t="str">
        <x:v>RS-00910</x:v>
      </x:c>
      <x:c r="B911" s="8" t="n">
        <x:v>45336</x:v>
      </x:c>
      <x:c r="C911" s="4" t="str">
        <x:v>PRJ-010</x:v>
      </x:c>
      <x:c r="D911" s="4" t="str">
        <x:v>Retail</x:v>
      </x:c>
      <x:c r="E911" s="4" t="str">
        <x:v>Handed over</x:v>
      </x:c>
      <x:c r="F911" s="4" t="str">
        <x:v>CUS-00910</x:v>
      </x:c>
      <x:c r="G911" s="4" t="str">
        <x:v>UNIT-00910</x:v>
      </x:c>
      <x:c r="H911" s="9" t="n">
        <x:v>11200000</x:v>
      </x:c>
      <x:c r="I911" s="10" t="n">
        <x:v>0.12</x:v>
      </x:c>
      <x:c r="J911" s="11" t="n">
        <x:v>1</x:v>
      </x:c>
      <x:c r="K911" s="11" t="n">
        <x:v>6</x:v>
      </x:c>
      <x:c r="L911" s="11" t="n">
        <x:v>0</x:v>
      </x:c>
      <x:c r="M911" s="9" t="n">
        <x:f>ROUND(H911*(1-I911),2)</x:f>
        <x:v>9856000</x:v>
      </x:c>
      <x:c r="N911" s="4" t="str">
        <x:v>Sales head</x:v>
      </x:c>
      <x:c r="O911" s="4" t="str">
        <x:v>BOOK-00910</x:v>
      </x:c>
      <x:c r="P911" s="9" t="n">
        <x:v>9856000</x:v>
      </x:c>
      <x:c r="Q911" s="11" t="n">
        <x:v>0</x:v>
      </x:c>
      <x:c r="R911" s="8" t="n">
        <x:v>45396</x:v>
      </x:c>
      <x:c r="S911" s="4" t="str">
        <x:v>Retained</x:v>
      </x:c>
      <x:c r="T911" s="10" t="n">
        <x:v>0.145833</x:v>
      </x:c>
      <x:c r="U911" s="4" t="str">
        <x:v>Train</x:v>
      </x:c>
    </x:row>
    <x:row r="912" ht="34" customHeight="1">
      <x:c r="A912" s="4" t="str">
        <x:v>RS-00911</x:v>
      </x:c>
      <x:c r="B912" s="8" t="n">
        <x:v>45337</x:v>
      </x:c>
      <x:c r="C912" s="4" t="str">
        <x:v>PRJ-011</x:v>
      </x:c>
      <x:c r="D912" s="4" t="str">
        <x:v>Apartment</x:v>
      </x:c>
      <x:c r="E912" s="4" t="str">
        <x:v>Handed over</x:v>
      </x:c>
      <x:c r="F912" s="4" t="str">
        <x:v>CUS-00911</x:v>
      </x:c>
      <x:c r="G912" s="4" t="str">
        <x:v>UNIT-00911</x:v>
      </x:c>
      <x:c r="H912" s="9" t="n">
        <x:v>24800000</x:v>
      </x:c>
      <x:c r="I912" s="10" t="n">
        <x:v>0.05</x:v>
      </x:c>
      <x:c r="J912" s="11" t="n">
        <x:v>8</x:v>
      </x:c>
      <x:c r="K912" s="11" t="n">
        <x:v>8</x:v>
      </x:c>
      <x:c r="L912" s="11" t="n">
        <x:v>0</x:v>
      </x:c>
      <x:c r="M912" s="9" t="n">
        <x:f>ROUND(H912*(1-I912),2)</x:f>
        <x:v>23560000</x:v>
      </x:c>
      <x:c r="N912" s="4" t="str">
        <x:v>Sales manager</x:v>
      </x:c>
      <x:c r="O912" s="4" t="str">
        <x:v>BOOK-00911</x:v>
      </x:c>
      <x:c r="P912" s="9" t="n">
        <x:v>11780000</x:v>
      </x:c>
      <x:c r="Q912" s="11" t="n">
        <x:v>0</x:v>
      </x:c>
      <x:c r="R912" s="8" t="n">
        <x:v>45397</x:v>
      </x:c>
      <x:c r="S912" s="4" t="str">
        <x:v>Retained</x:v>
      </x:c>
      <x:c r="T912" s="10" t="n">
        <x:v>0.310195</x:v>
      </x:c>
      <x:c r="U912" s="4" t="str">
        <x:v>Train</x:v>
      </x:c>
    </x:row>
    <x:row r="913" ht="34" customHeight="1">
      <x:c r="A913" s="4" t="str">
        <x:v>RS-00912</x:v>
      </x:c>
      <x:c r="B913" s="8" t="n">
        <x:v>45338</x:v>
      </x:c>
      <x:c r="C913" s="4" t="str">
        <x:v>PRJ-012</x:v>
      </x:c>
      <x:c r="D913" s="4" t="str">
        <x:v>Apartment</x:v>
      </x:c>
      <x:c r="E913" s="4" t="str">
        <x:v>Handed over</x:v>
      </x:c>
      <x:c r="F913" s="4" t="str">
        <x:v>CUS-00912</x:v>
      </x:c>
      <x:c r="G913" s="4" t="str">
        <x:v>UNIT-00912</x:v>
      </x:c>
      <x:c r="H913" s="9" t="n">
        <x:v>21900000</x:v>
      </x:c>
      <x:c r="I913" s="10" t="n">
        <x:v>0.07</x:v>
      </x:c>
      <x:c r="J913" s="11" t="n">
        <x:v>0</x:v>
      </x:c>
      <x:c r="K913" s="11" t="n">
        <x:v>4</x:v>
      </x:c>
      <x:c r="L913" s="11" t="n">
        <x:v>1</x:v>
      </x:c>
      <x:c r="M913" s="9" t="n">
        <x:f>ROUND(H913*(1-I913),2)</x:f>
        <x:v>20367000</x:v>
      </x:c>
      <x:c r="N913" s="4" t="str">
        <x:v>Sales manager</x:v>
      </x:c>
      <x:c r="O913" s="4" t="str">
        <x:v>BOOK-00912</x:v>
      </x:c>
      <x:c r="P913" s="9" t="n">
        <x:v>2036700</x:v>
      </x:c>
      <x:c r="Q913" s="11" t="n">
        <x:v>0</x:v>
      </x:c>
      <x:c r="R913" s="8" t="n">
        <x:v>45398</x:v>
      </x:c>
      <x:c r="S913" s="4" t="str">
        <x:v>Retained</x:v>
      </x:c>
      <x:c r="T913" s="10" t="n">
        <x:v>0.204152</x:v>
      </x:c>
      <x:c r="U913" s="4" t="str">
        <x:v>Train</x:v>
      </x:c>
    </x:row>
    <x:row r="914" ht="34" customHeight="1">
      <x:c r="A914" s="4" t="str">
        <x:v>RS-00913</x:v>
      </x:c>
      <x:c r="B914" s="8" t="n">
        <x:v>45339</x:v>
      </x:c>
      <x:c r="C914" s="4" t="str">
        <x:v>PRJ-013</x:v>
      </x:c>
      <x:c r="D914" s="4" t="str">
        <x:v>Retail</x:v>
      </x:c>
      <x:c r="E914" s="4" t="str">
        <x:v>Reserved</x:v>
      </x:c>
      <x:c r="F914" s="4" t="str">
        <x:v>CUS-00913</x:v>
      </x:c>
      <x:c r="G914" s="4" t="str">
        <x:v>UNIT-00913</x:v>
      </x:c>
      <x:c r="H914" s="9" t="n">
        <x:v>6700000</x:v>
      </x:c>
      <x:c r="I914" s="10" t="n">
        <x:v>0.1</x:v>
      </x:c>
      <x:c r="J914" s="11" t="n">
        <x:v>2</x:v>
      </x:c>
      <x:c r="K914" s="11" t="n">
        <x:v>10</x:v>
      </x:c>
      <x:c r="L914" s="11" t="n">
        <x:v>0</x:v>
      </x:c>
      <x:c r="M914" s="9" t="n">
        <x:f>ROUND(H914*(1-I914),2)</x:f>
        <x:v>6030000</x:v>
      </x:c>
      <x:c r="N914" s="4" t="str">
        <x:v>Sales head</x:v>
      </x:c>
      <x:c r="O914" s="4"/>
      <x:c r="P914" s="9" t="n">
        <x:v>0</x:v>
      </x:c>
      <x:c r="Q914" s="11" t="n">
        <x:v>0</x:v>
      </x:c>
      <x:c r="R914" s="8" t="n">
        <x:v>45399</x:v>
      </x:c>
      <x:c r="S914" s="4" t="str">
        <x:v>Retained</x:v>
      </x:c>
      <x:c r="T914" s="10" t="n">
        <x:v>0.145833</x:v>
      </x:c>
      <x:c r="U914" s="4" t="str">
        <x:v>Train</x:v>
      </x:c>
    </x:row>
    <x:row r="915" ht="34" customHeight="1">
      <x:c r="A915" s="4" t="str">
        <x:v>RS-00914</x:v>
      </x:c>
      <x:c r="B915" s="8" t="n">
        <x:v>45340</x:v>
      </x:c>
      <x:c r="C915" s="4" t="str">
        <x:v>PRJ-014</x:v>
      </x:c>
      <x:c r="D915" s="4" t="str">
        <x:v>Villa</x:v>
      </x:c>
      <x:c r="E915" s="4" t="str">
        <x:v>Reserved</x:v>
      </x:c>
      <x:c r="F915" s="4" t="str">
        <x:v>CUS-00914</x:v>
      </x:c>
      <x:c r="G915" s="4" t="str">
        <x:v>UNIT-00914</x:v>
      </x:c>
      <x:c r="H915" s="9" t="n">
        <x:v>8200000</x:v>
      </x:c>
      <x:c r="I915" s="10" t="n">
        <x:v>0.02</x:v>
      </x:c>
      <x:c r="J915" s="11" t="n">
        <x:v>8</x:v>
      </x:c>
      <x:c r="K915" s="11" t="n">
        <x:v>9</x:v>
      </x:c>
      <x:c r="L915" s="11" t="n">
        <x:v>0</x:v>
      </x:c>
      <x:c r="M915" s="9" t="n">
        <x:f>ROUND(H915*(1-I915),2)</x:f>
        <x:v>8036000</x:v>
      </x:c>
      <x:c r="N915" s="4" t="str">
        <x:v>Sales manager</x:v>
      </x:c>
      <x:c r="O915" s="4"/>
      <x:c r="P915" s="9" t="n">
        <x:v>0</x:v>
      </x:c>
      <x:c r="Q915" s="11" t="n">
        <x:v>0</x:v>
      </x:c>
      <x:c r="R915" s="8" t="n">
        <x:v>45400</x:v>
      </x:c>
      <x:c r="S915" s="4" t="str">
        <x:v>Retained</x:v>
      </x:c>
      <x:c r="T915" s="10" t="n">
        <x:v>0.305556</x:v>
      </x:c>
      <x:c r="U915" s="4" t="str">
        <x:v>Train</x:v>
      </x:c>
    </x:row>
    <x:row r="916" ht="34" customHeight="1">
      <x:c r="A916" s="4" t="str">
        <x:v>RS-00915</x:v>
      </x:c>
      <x:c r="B916" s="8" t="n">
        <x:v>45341</x:v>
      </x:c>
      <x:c r="C916" s="4" t="str">
        <x:v>PRJ-015</x:v>
      </x:c>
      <x:c r="D916" s="4" t="str">
        <x:v>Villa</x:v>
      </x:c>
      <x:c r="E916" s="4" t="str">
        <x:v>Agreement signed</x:v>
      </x:c>
      <x:c r="F916" s="4" t="str">
        <x:v>CUS-00915</x:v>
      </x:c>
      <x:c r="G916" s="4" t="str">
        <x:v>UNIT-00915</x:v>
      </x:c>
      <x:c r="H916" s="9" t="n">
        <x:v>24900000</x:v>
      </x:c>
      <x:c r="I916" s="10" t="n">
        <x:v>0.11</x:v>
      </x:c>
      <x:c r="J916" s="11" t="n">
        <x:v>1</x:v>
      </x:c>
      <x:c r="K916" s="11" t="n">
        <x:v>2</x:v>
      </x:c>
      <x:c r="L916" s="11" t="n">
        <x:v>0</x:v>
      </x:c>
      <x:c r="M916" s="9" t="n">
        <x:f>ROUND(H916*(1-I916),2)</x:f>
        <x:v>22161000</x:v>
      </x:c>
      <x:c r="N916" s="4" t="str">
        <x:v>Sales head</x:v>
      </x:c>
      <x:c r="O916" s="4" t="str">
        <x:v>BOOK-00915</x:v>
      </x:c>
      <x:c r="P916" s="9" t="n">
        <x:v>22161000</x:v>
      </x:c>
      <x:c r="Q916" s="11" t="n">
        <x:v>0</x:v>
      </x:c>
      <x:c r="R916" s="8" t="n">
        <x:v>45401</x:v>
      </x:c>
      <x:c r="S916" s="4" t="str">
        <x:v>Retained</x:v>
      </x:c>
      <x:c r="T916" s="10" t="n">
        <x:v>0.145833</x:v>
      </x:c>
      <x:c r="U916" s="4" t="str">
        <x:v>Train</x:v>
      </x:c>
    </x:row>
    <x:row r="917" ht="34" customHeight="1">
      <x:c r="A917" s="4" t="str">
        <x:v>RS-00916</x:v>
      </x:c>
      <x:c r="B917" s="8" t="n">
        <x:v>45342</x:v>
      </x:c>
      <x:c r="C917" s="4" t="str">
        <x:v>PRJ-016</x:v>
      </x:c>
      <x:c r="D917" s="4" t="str">
        <x:v>Apartment</x:v>
      </x:c>
      <x:c r="E917" s="4" t="str">
        <x:v>Handed over</x:v>
      </x:c>
      <x:c r="F917" s="4" t="str">
        <x:v>CUS-00916</x:v>
      </x:c>
      <x:c r="G917" s="4" t="str">
        <x:v>UNIT-00916</x:v>
      </x:c>
      <x:c r="H917" s="9" t="n">
        <x:v>3100000</x:v>
      </x:c>
      <x:c r="I917" s="10" t="n">
        <x:v>0.04</x:v>
      </x:c>
      <x:c r="J917" s="11" t="n">
        <x:v>3</x:v>
      </x:c>
      <x:c r="K917" s="11" t="n">
        <x:v>8</x:v>
      </x:c>
      <x:c r="L917" s="11" t="n">
        <x:v>1</x:v>
      </x:c>
      <x:c r="M917" s="9" t="n">
        <x:f>ROUND(H917*(1-I917),2)</x:f>
        <x:v>2976000</x:v>
      </x:c>
      <x:c r="N917" s="4" t="str">
        <x:v>Sales manager</x:v>
      </x:c>
      <x:c r="O917" s="4" t="str">
        <x:v>BOOK-00916</x:v>
      </x:c>
      <x:c r="P917" s="9" t="n">
        <x:v>744000</x:v>
      </x:c>
      <x:c r="Q917" s="11" t="n">
        <x:v>0</x:v>
      </x:c>
      <x:c r="R917" s="8" t="n">
        <x:v>45402</x:v>
      </x:c>
      <x:c r="S917" s="4" t="str">
        <x:v>Retained</x:v>
      </x:c>
      <x:c r="T917" s="10" t="n">
        <x:v>0.204152</x:v>
      </x:c>
      <x:c r="U917" s="4" t="str">
        <x:v>Train</x:v>
      </x:c>
    </x:row>
    <x:row r="918" ht="34" customHeight="1">
      <x:c r="A918" s="4" t="str">
        <x:v>RS-00917</x:v>
      </x:c>
      <x:c r="B918" s="8" t="n">
        <x:v>45343</x:v>
      </x:c>
      <x:c r="C918" s="4" t="str">
        <x:v>PRJ-017</x:v>
      </x:c>
      <x:c r="D918" s="4" t="str">
        <x:v>Apartment</x:v>
      </x:c>
      <x:c r="E918" s="4" t="str">
        <x:v>Agreement signed</x:v>
      </x:c>
      <x:c r="F918" s="4" t="str">
        <x:v>CUS-00917</x:v>
      </x:c>
      <x:c r="G918" s="4" t="str">
        <x:v>UNIT-00917</x:v>
      </x:c>
      <x:c r="H918" s="9" t="n">
        <x:v>13300000</x:v>
      </x:c>
      <x:c r="I918" s="10" t="n">
        <x:v>0.01</x:v>
      </x:c>
      <x:c r="J918" s="11" t="n">
        <x:v>0</x:v>
      </x:c>
      <x:c r="K918" s="11" t="n">
        <x:v>2</x:v>
      </x:c>
      <x:c r="L918" s="11" t="n">
        <x:v>1</x:v>
      </x:c>
      <x:c r="M918" s="9" t="n">
        <x:f>ROUND(H918*(1-I918),2)</x:f>
        <x:v>13167000</x:v>
      </x:c>
      <x:c r="N918" s="4" t="str">
        <x:v>Sales manager</x:v>
      </x:c>
      <x:c r="O918" s="4" t="str">
        <x:v>BOOK-00917</x:v>
      </x:c>
      <x:c r="P918" s="9" t="n">
        <x:v>3291750</x:v>
      </x:c>
      <x:c r="Q918" s="11" t="n">
        <x:v>0</x:v>
      </x:c>
      <x:c r="R918" s="8" t="n">
        <x:v>45403</x:v>
      </x:c>
      <x:c r="S918" s="4" t="str">
        <x:v>Retained</x:v>
      </x:c>
      <x:c r="T918" s="10" t="n">
        <x:v>0.072165</x:v>
      </x:c>
      <x:c r="U918" s="4" t="str">
        <x:v>Train</x:v>
      </x:c>
    </x:row>
    <x:row r="919" ht="34" customHeight="1">
      <x:c r="A919" s="4" t="str">
        <x:v>RS-00918</x:v>
      </x:c>
      <x:c r="B919" s="8" t="n">
        <x:v>45344</x:v>
      </x:c>
      <x:c r="C919" s="4" t="str">
        <x:v>PRJ-018</x:v>
      </x:c>
      <x:c r="D919" s="4" t="str">
        <x:v>Retail</x:v>
      </x:c>
      <x:c r="E919" s="4" t="str">
        <x:v>Handed over</x:v>
      </x:c>
      <x:c r="F919" s="4" t="str">
        <x:v>CUS-00918</x:v>
      </x:c>
      <x:c r="G919" s="4" t="str">
        <x:v>UNIT-00918</x:v>
      </x:c>
      <x:c r="H919" s="9" t="n">
        <x:v>21800000</x:v>
      </x:c>
      <x:c r="I919" s="10" t="n">
        <x:v>0.09</x:v>
      </x:c>
      <x:c r="J919" s="11" t="n">
        <x:v>3</x:v>
      </x:c>
      <x:c r="K919" s="11" t="n">
        <x:v>3</x:v>
      </x:c>
      <x:c r="L919" s="11" t="n">
        <x:v>0</x:v>
      </x:c>
      <x:c r="M919" s="9" t="n">
        <x:f>ROUND(H919*(1-I919),2)</x:f>
        <x:v>19838000</x:v>
      </x:c>
      <x:c r="N919" s="4" t="str">
        <x:v>Sales head</x:v>
      </x:c>
      <x:c r="O919" s="4" t="str">
        <x:v>BOOK-00918</x:v>
      </x:c>
      <x:c r="P919" s="9" t="n">
        <x:v>4959500</x:v>
      </x:c>
      <x:c r="Q919" s="11" t="n">
        <x:v>0</x:v>
      </x:c>
      <x:c r="R919" s="8" t="n">
        <x:v>45404</x:v>
      </x:c>
      <x:c r="S919" s="4" t="str">
        <x:v>Retained</x:v>
      </x:c>
      <x:c r="T919" s="10" t="n">
        <x:v>0.145833</x:v>
      </x:c>
      <x:c r="U919" s="4" t="str">
        <x:v>Train</x:v>
      </x:c>
    </x:row>
    <x:row r="920" ht="34" customHeight="1">
      <x:c r="A920" s="4" t="str">
        <x:v>RS-00919</x:v>
      </x:c>
      <x:c r="B920" s="8" t="n">
        <x:v>45345</x:v>
      </x:c>
      <x:c r="C920" s="4" t="str">
        <x:v>PRJ-019</x:v>
      </x:c>
      <x:c r="D920" s="4" t="str">
        <x:v>Office</x:v>
      </x:c>
      <x:c r="E920" s="4" t="str">
        <x:v>Reserved</x:v>
      </x:c>
      <x:c r="F920" s="4" t="str">
        <x:v>CUS-00919</x:v>
      </x:c>
      <x:c r="G920" s="4" t="str">
        <x:v>UNIT-00919</x:v>
      </x:c>
      <x:c r="H920" s="9" t="n">
        <x:v>10100000</x:v>
      </x:c>
      <x:c r="I920" s="10" t="n">
        <x:v>0.09</x:v>
      </x:c>
      <x:c r="J920" s="11" t="n">
        <x:v>3</x:v>
      </x:c>
      <x:c r="K920" s="11" t="n">
        <x:v>6</x:v>
      </x:c>
      <x:c r="L920" s="11" t="n">
        <x:v>1</x:v>
      </x:c>
      <x:c r="M920" s="9" t="n">
        <x:f>ROUND(H920*(1-I920),2)</x:f>
        <x:v>9191000</x:v>
      </x:c>
      <x:c r="N920" s="4" t="str">
        <x:v>Sales head</x:v>
      </x:c>
      <x:c r="O920" s="4"/>
      <x:c r="P920" s="9" t="n">
        <x:v>0</x:v>
      </x:c>
      <x:c r="Q920" s="11" t="n">
        <x:v>0</x:v>
      </x:c>
      <x:c r="R920" s="8" t="n">
        <x:v>45405</x:v>
      </x:c>
      <x:c r="S920" s="4" t="str">
        <x:v>Retained</x:v>
      </x:c>
      <x:c r="T920" s="10" t="n">
        <x:v>0.145833</x:v>
      </x:c>
      <x:c r="U920" s="4" t="str">
        <x:v>Train</x:v>
      </x:c>
    </x:row>
    <x:row r="921" ht="34" customHeight="1">
      <x:c r="A921" s="4" t="str">
        <x:v>RS-00920</x:v>
      </x:c>
      <x:c r="B921" s="8" t="n">
        <x:v>45346</x:v>
      </x:c>
      <x:c r="C921" s="4" t="str">
        <x:v>PRJ-020</x:v>
      </x:c>
      <x:c r="D921" s="4" t="str">
        <x:v>Retail</x:v>
      </x:c>
      <x:c r="E921" s="4" t="str">
        <x:v>Reserved</x:v>
      </x:c>
      <x:c r="F921" s="4" t="str">
        <x:v>CUS-00920</x:v>
      </x:c>
      <x:c r="G921" s="4" t="str">
        <x:v>UNIT-00920</x:v>
      </x:c>
      <x:c r="H921" s="9" t="n">
        <x:v>16200000</x:v>
      </x:c>
      <x:c r="I921" s="10" t="n">
        <x:v>0.03</x:v>
      </x:c>
      <x:c r="J921" s="11" t="n">
        <x:v>0</x:v>
      </x:c>
      <x:c r="K921" s="11" t="n">
        <x:v>1</x:v>
      </x:c>
      <x:c r="L921" s="11" t="n">
        <x:v>1</x:v>
      </x:c>
      <x:c r="M921" s="9" t="n">
        <x:f>ROUND(H921*(1-I921),2)</x:f>
        <x:v>15714000</x:v>
      </x:c>
      <x:c r="N921" s="4" t="str">
        <x:v>Sales manager</x:v>
      </x:c>
      <x:c r="O921" s="4"/>
      <x:c r="P921" s="9" t="n">
        <x:v>0</x:v>
      </x:c>
      <x:c r="Q921" s="11" t="n">
        <x:v>1</x:v>
      </x:c>
      <x:c r="R921" s="8" t="n">
        <x:v>45406</x:v>
      </x:c>
      <x:c r="S921" s="4" t="str">
        <x:v>Lost / cancelled</x:v>
      </x:c>
      <x:c r="T921" s="10" t="n">
        <x:v>0.072165</x:v>
      </x:c>
      <x:c r="U921" s="4" t="str">
        <x:v>Train</x:v>
      </x:c>
    </x:row>
    <x:row r="922" ht="34" customHeight="1">
      <x:c r="A922" s="4" t="str">
        <x:v>RS-00921</x:v>
      </x:c>
      <x:c r="B922" s="8" t="n">
        <x:v>45347</x:v>
      </x:c>
      <x:c r="C922" s="4" t="str">
        <x:v>PRJ-001</x:v>
      </x:c>
      <x:c r="D922" s="4" t="str">
        <x:v>Office</x:v>
      </x:c>
      <x:c r="E922" s="4" t="str">
        <x:v>Agreement signed</x:v>
      </x:c>
      <x:c r="F922" s="4" t="str">
        <x:v>CUS-00921</x:v>
      </x:c>
      <x:c r="G922" s="4" t="str">
        <x:v>UNIT-00921</x:v>
      </x:c>
      <x:c r="H922" s="9" t="n">
        <x:v>17000000</x:v>
      </x:c>
      <x:c r="I922" s="10" t="n">
        <x:v>0.08</x:v>
      </x:c>
      <x:c r="J922" s="11" t="n">
        <x:v>5</x:v>
      </x:c>
      <x:c r="K922" s="11" t="n">
        <x:v>3</x:v>
      </x:c>
      <x:c r="L922" s="11" t="n">
        <x:v>1</x:v>
      </x:c>
      <x:c r="M922" s="9" t="n">
        <x:f>ROUND(H922*(1-I922),2)</x:f>
        <x:v>15640000</x:v>
      </x:c>
      <x:c r="N922" s="4" t="str">
        <x:v>Sales head</x:v>
      </x:c>
      <x:c r="O922" s="4" t="str">
        <x:v>BOOK-00921</x:v>
      </x:c>
      <x:c r="P922" s="9" t="n">
        <x:v>1564000</x:v>
      </x:c>
      <x:c r="Q922" s="11" t="n">
        <x:v>0</x:v>
      </x:c>
      <x:c r="R922" s="8" t="n">
        <x:v>45407</x:v>
      </x:c>
      <x:c r="S922" s="4" t="str">
        <x:v>Retained</x:v>
      </x:c>
      <x:c r="T922" s="10" t="n">
        <x:v>0.291946</x:v>
      </x:c>
      <x:c r="U922" s="4" t="str">
        <x:v>Train</x:v>
      </x:c>
    </x:row>
    <x:row r="923" ht="34" customHeight="1">
      <x:c r="A923" s="4" t="str">
        <x:v>RS-00922</x:v>
      </x:c>
      <x:c r="B923" s="8" t="n">
        <x:v>45348</x:v>
      </x:c>
      <x:c r="C923" s="4" t="str">
        <x:v>PRJ-002</x:v>
      </x:c>
      <x:c r="D923" s="4" t="str">
        <x:v>Retail</x:v>
      </x:c>
      <x:c r="E923" s="4" t="str">
        <x:v>Enquiry</x:v>
      </x:c>
      <x:c r="F923" s="4" t="str">
        <x:v>CUS-00922</x:v>
      </x:c>
      <x:c r="G923" s="4" t="str">
        <x:v>UNIT-00922</x:v>
      </x:c>
      <x:c r="H923" s="9" t="n">
        <x:v>19300000</x:v>
      </x:c>
      <x:c r="I923" s="10" t="n">
        <x:v>0.09</x:v>
      </x:c>
      <x:c r="J923" s="11" t="n">
        <x:v>1</x:v>
      </x:c>
      <x:c r="K923" s="11" t="n">
        <x:v>3</x:v>
      </x:c>
      <x:c r="L923" s="11" t="n">
        <x:v>1</x:v>
      </x:c>
      <x:c r="M923" s="9" t="n">
        <x:f>ROUND(H923*(1-I923),2)</x:f>
        <x:v>17563000</x:v>
      </x:c>
      <x:c r="N923" s="4" t="str">
        <x:v>Sales head</x:v>
      </x:c>
      <x:c r="O923" s="4"/>
      <x:c r="P923" s="9" t="n">
        <x:v>0</x:v>
      </x:c>
      <x:c r="Q923" s="11" t="n">
        <x:v>0</x:v>
      </x:c>
      <x:c r="R923" s="8" t="n">
        <x:v>45408</x:v>
      </x:c>
      <x:c r="S923" s="4" t="str">
        <x:v>Retained</x:v>
      </x:c>
      <x:c r="T923" s="10" t="n">
        <x:v>0.145833</x:v>
      </x:c>
      <x:c r="U923" s="4" t="str">
        <x:v>Train</x:v>
      </x:c>
    </x:row>
    <x:row r="924" ht="34" customHeight="1">
      <x:c r="A924" s="4" t="str">
        <x:v>RS-00923</x:v>
      </x:c>
      <x:c r="B924" s="8" t="n">
        <x:v>45349</x:v>
      </x:c>
      <x:c r="C924" s="4" t="str">
        <x:v>PRJ-003</x:v>
      </x:c>
      <x:c r="D924" s="4" t="str">
        <x:v>Apartment</x:v>
      </x:c>
      <x:c r="E924" s="4" t="str">
        <x:v>Booked</x:v>
      </x:c>
      <x:c r="F924" s="4" t="str">
        <x:v>CUS-00923</x:v>
      </x:c>
      <x:c r="G924" s="4" t="str">
        <x:v>UNIT-00923</x:v>
      </x:c>
      <x:c r="H924" s="9" t="n">
        <x:v>20100000</x:v>
      </x:c>
      <x:c r="I924" s="10" t="n">
        <x:v>0.07</x:v>
      </x:c>
      <x:c r="J924" s="11" t="n">
        <x:v>4</x:v>
      </x:c>
      <x:c r="K924" s="11" t="n">
        <x:v>1</x:v>
      </x:c>
      <x:c r="L924" s="11" t="n">
        <x:v>1</x:v>
      </x:c>
      <x:c r="M924" s="9" t="n">
        <x:f>ROUND(H924*(1-I924),2)</x:f>
        <x:v>18693000</x:v>
      </x:c>
      <x:c r="N924" s="4" t="str">
        <x:v>Sales manager</x:v>
      </x:c>
      <x:c r="O924" s="4" t="str">
        <x:v>BOOK-00923</x:v>
      </x:c>
      <x:c r="P924" s="9" t="n">
        <x:v>9346500</x:v>
      </x:c>
      <x:c r="Q924" s="11" t="n">
        <x:v>0</x:v>
      </x:c>
      <x:c r="R924" s="8" t="n">
        <x:v>45409</x:v>
      </x:c>
      <x:c r="S924" s="4" t="str">
        <x:v>Retained</x:v>
      </x:c>
      <x:c r="T924" s="10" t="n">
        <x:v>0.291946</x:v>
      </x:c>
      <x:c r="U924" s="4" t="str">
        <x:v>Train</x:v>
      </x:c>
    </x:row>
    <x:row r="925" ht="34" customHeight="1">
      <x:c r="A925" s="4" t="str">
        <x:v>RS-00924</x:v>
      </x:c>
      <x:c r="B925" s="8" t="n">
        <x:v>45350</x:v>
      </x:c>
      <x:c r="C925" s="4" t="str">
        <x:v>PRJ-004</x:v>
      </x:c>
      <x:c r="D925" s="4" t="str">
        <x:v>Villa</x:v>
      </x:c>
      <x:c r="E925" s="4" t="str">
        <x:v>Booked</x:v>
      </x:c>
      <x:c r="F925" s="4" t="str">
        <x:v>CUS-00924</x:v>
      </x:c>
      <x:c r="G925" s="4" t="str">
        <x:v>UNIT-00924</x:v>
      </x:c>
      <x:c r="H925" s="9" t="n">
        <x:v>18400000</x:v>
      </x:c>
      <x:c r="I925" s="10" t="n">
        <x:v>0.04</x:v>
      </x:c>
      <x:c r="J925" s="11" t="n">
        <x:v>0</x:v>
      </x:c>
      <x:c r="K925" s="11" t="n">
        <x:v>4</x:v>
      </x:c>
      <x:c r="L925" s="11" t="n">
        <x:v>1</x:v>
      </x:c>
      <x:c r="M925" s="9" t="n">
        <x:f>ROUND(H925*(1-I925),2)</x:f>
        <x:v>17664000</x:v>
      </x:c>
      <x:c r="N925" s="4" t="str">
        <x:v>Sales manager</x:v>
      </x:c>
      <x:c r="O925" s="4" t="str">
        <x:v>BOOK-00924</x:v>
      </x:c>
      <x:c r="P925" s="9" t="n">
        <x:v>8832000</x:v>
      </x:c>
      <x:c r="Q925" s="11" t="n">
        <x:v>0</x:v>
      </x:c>
      <x:c r="R925" s="8" t="n">
        <x:v>45410</x:v>
      </x:c>
      <x:c r="S925" s="4" t="str">
        <x:v>Retained</x:v>
      </x:c>
      <x:c r="T925" s="10" t="n">
        <x:v>0.204152</x:v>
      </x:c>
      <x:c r="U925" s="4" t="str">
        <x:v>Train</x:v>
      </x:c>
    </x:row>
    <x:row r="926" ht="34" customHeight="1">
      <x:c r="A926" s="4" t="str">
        <x:v>RS-00925</x:v>
      </x:c>
      <x:c r="B926" s="8" t="n">
        <x:v>45323</x:v>
      </x:c>
      <x:c r="C926" s="4" t="str">
        <x:v>PRJ-005</x:v>
      </x:c>
      <x:c r="D926" s="4" t="str">
        <x:v>Villa</x:v>
      </x:c>
      <x:c r="E926" s="4" t="str">
        <x:v>Cancelled</x:v>
      </x:c>
      <x:c r="F926" s="4" t="str">
        <x:v>CUS-00925</x:v>
      </x:c>
      <x:c r="G926" s="4" t="str">
        <x:v>UNIT-00925</x:v>
      </x:c>
      <x:c r="H926" s="9" t="n">
        <x:v>16400000</x:v>
      </x:c>
      <x:c r="I926" s="10" t="n">
        <x:v>0.02</x:v>
      </x:c>
      <x:c r="J926" s="11" t="n">
        <x:v>9</x:v>
      </x:c>
      <x:c r="K926" s="11" t="n">
        <x:v>10</x:v>
      </x:c>
      <x:c r="L926" s="11" t="n">
        <x:v>1</x:v>
      </x:c>
      <x:c r="M926" s="9" t="n">
        <x:f>ROUND(H926*(1-I926),2)</x:f>
        <x:v>16072000</x:v>
      </x:c>
      <x:c r="N926" s="4" t="str">
        <x:v>Sales manager</x:v>
      </x:c>
      <x:c r="O926" s="4"/>
      <x:c r="P926" s="9" t="n">
        <x:v>0</x:v>
      </x:c>
      <x:c r="Q926" s="11" t="n">
        <x:v>1</x:v>
      </x:c>
      <x:c r="R926" s="8" t="n">
        <x:v>45383</x:v>
      </x:c>
      <x:c r="S926" s="4" t="str">
        <x:v>Lost / cancelled</x:v>
      </x:c>
      <x:c r="T926" s="10" t="n">
        <x:v>0.254545</x:v>
      </x:c>
      <x:c r="U926" s="4" t="str">
        <x:v>Train</x:v>
      </x:c>
    </x:row>
    <x:row r="927" ht="34" customHeight="1">
      <x:c r="A927" s="4" t="str">
        <x:v>RS-00926</x:v>
      </x:c>
      <x:c r="B927" s="8" t="n">
        <x:v>45324</x:v>
      </x:c>
      <x:c r="C927" s="4" t="str">
        <x:v>PRJ-006</x:v>
      </x:c>
      <x:c r="D927" s="4" t="str">
        <x:v>Villa</x:v>
      </x:c>
      <x:c r="E927" s="4" t="str">
        <x:v>Handed over</x:v>
      </x:c>
      <x:c r="F927" s="4" t="str">
        <x:v>CUS-00926</x:v>
      </x:c>
      <x:c r="G927" s="4" t="str">
        <x:v>UNIT-00926</x:v>
      </x:c>
      <x:c r="H927" s="9" t="n">
        <x:v>23500000</x:v>
      </x:c>
      <x:c r="I927" s="10" t="n">
        <x:v>0.06</x:v>
      </x:c>
      <x:c r="J927" s="11" t="n">
        <x:v>1</x:v>
      </x:c>
      <x:c r="K927" s="11" t="n">
        <x:v>10</x:v>
      </x:c>
      <x:c r="L927" s="11" t="n">
        <x:v>0</x:v>
      </x:c>
      <x:c r="M927" s="9" t="n">
        <x:f>ROUND(H927*(1-I927),2)</x:f>
        <x:v>22090000</x:v>
      </x:c>
      <x:c r="N927" s="4" t="str">
        <x:v>Sales manager</x:v>
      </x:c>
      <x:c r="O927" s="4" t="str">
        <x:v>BOOK-00926</x:v>
      </x:c>
      <x:c r="P927" s="9" t="n">
        <x:v>2209000</x:v>
      </x:c>
      <x:c r="Q927" s="11" t="n">
        <x:v>0</x:v>
      </x:c>
      <x:c r="R927" s="8" t="n">
        <x:v>45384</x:v>
      </x:c>
      <x:c r="S927" s="4" t="str">
        <x:v>Retained</x:v>
      </x:c>
      <x:c r="T927" s="10" t="n">
        <x:v>0.204152</x:v>
      </x:c>
      <x:c r="U927" s="4" t="str">
        <x:v>Train</x:v>
      </x:c>
    </x:row>
    <x:row r="928" ht="34" customHeight="1">
      <x:c r="A928" s="4" t="str">
        <x:v>RS-00927</x:v>
      </x:c>
      <x:c r="B928" s="8" t="n">
        <x:v>45325</x:v>
      </x:c>
      <x:c r="C928" s="4" t="str">
        <x:v>PRJ-007</x:v>
      </x:c>
      <x:c r="D928" s="4" t="str">
        <x:v>Villa</x:v>
      </x:c>
      <x:c r="E928" s="4" t="str">
        <x:v>Reserved</x:v>
      </x:c>
      <x:c r="F928" s="4" t="str">
        <x:v>CUS-00927</x:v>
      </x:c>
      <x:c r="G928" s="4" t="str">
        <x:v>UNIT-00927</x:v>
      </x:c>
      <x:c r="H928" s="9" t="n">
        <x:v>6500000</x:v>
      </x:c>
      <x:c r="I928" s="10" t="n">
        <x:v>0.03</x:v>
      </x:c>
      <x:c r="J928" s="11" t="n">
        <x:v>1</x:v>
      </x:c>
      <x:c r="K928" s="11" t="n">
        <x:v>4</x:v>
      </x:c>
      <x:c r="L928" s="11" t="n">
        <x:v>1</x:v>
      </x:c>
      <x:c r="M928" s="9" t="n">
        <x:f>ROUND(H928*(1-I928),2)</x:f>
        <x:v>6305000</x:v>
      </x:c>
      <x:c r="N928" s="4" t="str">
        <x:v>Sales manager</x:v>
      </x:c>
      <x:c r="O928" s="4"/>
      <x:c r="P928" s="9" t="n">
        <x:v>0</x:v>
      </x:c>
      <x:c r="Q928" s="11" t="n">
        <x:v>0</x:v>
      </x:c>
      <x:c r="R928" s="8" t="n">
        <x:v>45385</x:v>
      </x:c>
      <x:c r="S928" s="4" t="str">
        <x:v>Retained</x:v>
      </x:c>
      <x:c r="T928" s="10" t="n">
        <x:v>0.072165</x:v>
      </x:c>
      <x:c r="U928" s="4" t="str">
        <x:v>Train</x:v>
      </x:c>
    </x:row>
    <x:row r="929" ht="34" customHeight="1">
      <x:c r="A929" s="4" t="str">
        <x:v>RS-00928</x:v>
      </x:c>
      <x:c r="B929" s="8" t="n">
        <x:v>45326</x:v>
      </x:c>
      <x:c r="C929" s="4" t="str">
        <x:v>PRJ-008</x:v>
      </x:c>
      <x:c r="D929" s="4" t="str">
        <x:v>Retail</x:v>
      </x:c>
      <x:c r="E929" s="4" t="str">
        <x:v>Enquiry</x:v>
      </x:c>
      <x:c r="F929" s="4" t="str">
        <x:v>CUS-00928</x:v>
      </x:c>
      <x:c r="G929" s="4" t="str">
        <x:v>UNIT-00928</x:v>
      </x:c>
      <x:c r="H929" s="9" t="n">
        <x:v>19000000</x:v>
      </x:c>
      <x:c r="I929" s="10" t="n">
        <x:v>0.03</x:v>
      </x:c>
      <x:c r="J929" s="11" t="n">
        <x:v>6</x:v>
      </x:c>
      <x:c r="K929" s="11" t="n">
        <x:v>4</x:v>
      </x:c>
      <x:c r="L929" s="11" t="n">
        <x:v>0</x:v>
      </x:c>
      <x:c r="M929" s="9" t="n">
        <x:f>ROUND(H929*(1-I929),2)</x:f>
        <x:v>18430000</x:v>
      </x:c>
      <x:c r="N929" s="4" t="str">
        <x:v>Sales manager</x:v>
      </x:c>
      <x:c r="O929" s="4"/>
      <x:c r="P929" s="9" t="n">
        <x:v>0</x:v>
      </x:c>
      <x:c r="Q929" s="11" t="n">
        <x:v>1</x:v>
      </x:c>
      <x:c r="R929" s="8" t="n">
        <x:v>45386</x:v>
      </x:c>
      <x:c r="S929" s="4" t="str">
        <x:v>Lost / cancelled</x:v>
      </x:c>
      <x:c r="T929" s="10" t="n">
        <x:v>0.298969</x:v>
      </x:c>
      <x:c r="U929" s="4" t="str">
        <x:v>Train</x:v>
      </x:c>
    </x:row>
    <x:row r="930" ht="34" customHeight="1">
      <x:c r="A930" s="4" t="str">
        <x:v>RS-00929</x:v>
      </x:c>
      <x:c r="B930" s="8" t="n">
        <x:v>45327</x:v>
      </x:c>
      <x:c r="C930" s="4" t="str">
        <x:v>PRJ-009</x:v>
      </x:c>
      <x:c r="D930" s="4" t="str">
        <x:v>Villa</x:v>
      </x:c>
      <x:c r="E930" s="4" t="str">
        <x:v>Cancelled</x:v>
      </x:c>
      <x:c r="F930" s="4" t="str">
        <x:v>CUS-00929</x:v>
      </x:c>
      <x:c r="G930" s="4" t="str">
        <x:v>UNIT-00929</x:v>
      </x:c>
      <x:c r="H930" s="9" t="n">
        <x:v>6200000</x:v>
      </x:c>
      <x:c r="I930" s="10" t="n">
        <x:v>0.11</x:v>
      </x:c>
      <x:c r="J930" s="11" t="n">
        <x:v>0</x:v>
      </x:c>
      <x:c r="K930" s="11" t="n">
        <x:v>6</x:v>
      </x:c>
      <x:c r="L930" s="11" t="n">
        <x:v>1</x:v>
      </x:c>
      <x:c r="M930" s="9" t="n">
        <x:f>ROUND(H930*(1-I930),2)</x:f>
        <x:v>5518000</x:v>
      </x:c>
      <x:c r="N930" s="4" t="str">
        <x:v>Sales head</x:v>
      </x:c>
      <x:c r="O930" s="4"/>
      <x:c r="P930" s="9" t="n">
        <x:v>0</x:v>
      </x:c>
      <x:c r="Q930" s="11" t="n">
        <x:v>1</x:v>
      </x:c>
      <x:c r="R930" s="8" t="n">
        <x:v>45387</x:v>
      </x:c>
      <x:c r="S930" s="4" t="str">
        <x:v>Lost / cancelled</x:v>
      </x:c>
      <x:c r="T930" s="10" t="n">
        <x:v>0.145833</x:v>
      </x:c>
      <x:c r="U930" s="4" t="str">
        <x:v>Train</x:v>
      </x:c>
    </x:row>
    <x:row r="931" ht="34" customHeight="1">
      <x:c r="A931" s="4" t="str">
        <x:v>RS-00930</x:v>
      </x:c>
      <x:c r="B931" s="8" t="n">
        <x:v>45328</x:v>
      </x:c>
      <x:c r="C931" s="4" t="str">
        <x:v>PRJ-010</x:v>
      </x:c>
      <x:c r="D931" s="4" t="str">
        <x:v>Retail</x:v>
      </x:c>
      <x:c r="E931" s="4" t="str">
        <x:v>Agreement signed</x:v>
      </x:c>
      <x:c r="F931" s="4" t="str">
        <x:v>CUS-00930</x:v>
      </x:c>
      <x:c r="G931" s="4" t="str">
        <x:v>UNIT-00930</x:v>
      </x:c>
      <x:c r="H931" s="9" t="n">
        <x:v>22100000</x:v>
      </x:c>
      <x:c r="I931" s="10" t="n">
        <x:v>0.01</x:v>
      </x:c>
      <x:c r="J931" s="11" t="n">
        <x:v>12</x:v>
      </x:c>
      <x:c r="K931" s="11" t="n">
        <x:v>2</x:v>
      </x:c>
      <x:c r="L931" s="11" t="n">
        <x:v>1</x:v>
      </x:c>
      <x:c r="M931" s="9" t="n">
        <x:f>ROUND(H931*(1-I931),2)</x:f>
        <x:v>21879000</x:v>
      </x:c>
      <x:c r="N931" s="4" t="str">
        <x:v>Sales manager</x:v>
      </x:c>
      <x:c r="O931" s="4" t="str">
        <x:v>BOOK-00930</x:v>
      </x:c>
      <x:c r="P931" s="9" t="n">
        <x:v>21879000</x:v>
      </x:c>
      <x:c r="Q931" s="11" t="n">
        <x:v>0</x:v>
      </x:c>
      <x:c r="R931" s="8" t="n">
        <x:v>45388</x:v>
      </x:c>
      <x:c r="S931" s="4" t="str">
        <x:v>Retained</x:v>
      </x:c>
      <x:c r="T931" s="10" t="n">
        <x:v>0.254545</x:v>
      </x:c>
      <x:c r="U931" s="4" t="str">
        <x:v>Train</x:v>
      </x:c>
    </x:row>
    <x:row r="932" ht="34" customHeight="1">
      <x:c r="A932" s="4" t="str">
        <x:v>RS-00931</x:v>
      </x:c>
      <x:c r="B932" s="8" t="n">
        <x:v>45329</x:v>
      </x:c>
      <x:c r="C932" s="4" t="str">
        <x:v>PRJ-011</x:v>
      </x:c>
      <x:c r="D932" s="4" t="str">
        <x:v>Villa</x:v>
      </x:c>
      <x:c r="E932" s="4" t="str">
        <x:v>Reserved</x:v>
      </x:c>
      <x:c r="F932" s="4" t="str">
        <x:v>CUS-00931</x:v>
      </x:c>
      <x:c r="G932" s="4" t="str">
        <x:v>UNIT-00931</x:v>
      </x:c>
      <x:c r="H932" s="9" t="n">
        <x:v>24100000</x:v>
      </x:c>
      <x:c r="I932" s="10" t="n">
        <x:v>0.04</x:v>
      </x:c>
      <x:c r="J932" s="11" t="n">
        <x:v>3</x:v>
      </x:c>
      <x:c r="K932" s="11" t="n">
        <x:v>10</x:v>
      </x:c>
      <x:c r="L932" s="11" t="n">
        <x:v>0</x:v>
      </x:c>
      <x:c r="M932" s="9" t="n">
        <x:f>ROUND(H932*(1-I932),2)</x:f>
        <x:v>23136000</x:v>
      </x:c>
      <x:c r="N932" s="4" t="str">
        <x:v>Sales manager</x:v>
      </x:c>
      <x:c r="O932" s="4"/>
      <x:c r="P932" s="9" t="n">
        <x:v>0</x:v>
      </x:c>
      <x:c r="Q932" s="11" t="n">
        <x:v>0</x:v>
      </x:c>
      <x:c r="R932" s="8" t="n">
        <x:v>45389</x:v>
      </x:c>
      <x:c r="S932" s="4" t="str">
        <x:v>Retained</x:v>
      </x:c>
      <x:c r="T932" s="10" t="n">
        <x:v>0.204152</x:v>
      </x:c>
      <x:c r="U932" s="4" t="str">
        <x:v>Train</x:v>
      </x:c>
    </x:row>
    <x:row r="933" ht="34" customHeight="1">
      <x:c r="A933" s="4" t="str">
        <x:v>RS-00932</x:v>
      </x:c>
      <x:c r="B933" s="8" t="n">
        <x:v>45330</x:v>
      </x:c>
      <x:c r="C933" s="4" t="str">
        <x:v>PRJ-012</x:v>
      </x:c>
      <x:c r="D933" s="4" t="str">
        <x:v>Apartment</x:v>
      </x:c>
      <x:c r="E933" s="4" t="str">
        <x:v>Handed over</x:v>
      </x:c>
      <x:c r="F933" s="4" t="str">
        <x:v>CUS-00932</x:v>
      </x:c>
      <x:c r="G933" s="4" t="str">
        <x:v>UNIT-00932</x:v>
      </x:c>
      <x:c r="H933" s="9" t="n">
        <x:v>7500000</x:v>
      </x:c>
      <x:c r="I933" s="10" t="n">
        <x:v>0.02</x:v>
      </x:c>
      <x:c r="J933" s="11" t="n">
        <x:v>8</x:v>
      </x:c>
      <x:c r="K933" s="11" t="n">
        <x:v>8</x:v>
      </x:c>
      <x:c r="L933" s="11" t="n">
        <x:v>1</x:v>
      </x:c>
      <x:c r="M933" s="9" t="n">
        <x:f>ROUND(H933*(1-I933),2)</x:f>
        <x:v>7350000</x:v>
      </x:c>
      <x:c r="N933" s="4" t="str">
        <x:v>Sales manager</x:v>
      </x:c>
      <x:c r="O933" s="4" t="str">
        <x:v>BOOK-00932</x:v>
      </x:c>
      <x:c r="P933" s="9" t="n">
        <x:v>735000</x:v>
      </x:c>
      <x:c r="Q933" s="11" t="n">
        <x:v>0</x:v>
      </x:c>
      <x:c r="R933" s="8" t="n">
        <x:v>45390</x:v>
      </x:c>
      <x:c r="S933" s="4" t="str">
        <x:v>Retained</x:v>
      </x:c>
      <x:c r="T933" s="10" t="n">
        <x:v>0.254545</x:v>
      </x:c>
      <x:c r="U933" s="4" t="str">
        <x:v>Train</x:v>
      </x:c>
    </x:row>
    <x:row r="934" ht="34" customHeight="1">
      <x:c r="A934" s="4" t="str">
        <x:v>RS-00933</x:v>
      </x:c>
      <x:c r="B934" s="8" t="n">
        <x:v>45331</x:v>
      </x:c>
      <x:c r="C934" s="4" t="str">
        <x:v>PRJ-013</x:v>
      </x:c>
      <x:c r="D934" s="4" t="str">
        <x:v>Retail</x:v>
      </x:c>
      <x:c r="E934" s="4" t="str">
        <x:v>Booked</x:v>
      </x:c>
      <x:c r="F934" s="4" t="str">
        <x:v>CUS-00933</x:v>
      </x:c>
      <x:c r="G934" s="4" t="str">
        <x:v>UNIT-00933</x:v>
      </x:c>
      <x:c r="H934" s="9" t="n">
        <x:v>12100000</x:v>
      </x:c>
      <x:c r="I934" s="10" t="n">
        <x:v>0.06</x:v>
      </x:c>
      <x:c r="J934" s="11" t="n">
        <x:v>8</x:v>
      </x:c>
      <x:c r="K934" s="11" t="n">
        <x:v>1</x:v>
      </x:c>
      <x:c r="L934" s="11" t="n">
        <x:v>1</x:v>
      </x:c>
      <x:c r="M934" s="9" t="n">
        <x:f>ROUND(H934*(1-I934),2)</x:f>
        <x:v>11374000</x:v>
      </x:c>
      <x:c r="N934" s="4" t="str">
        <x:v>Sales manager</x:v>
      </x:c>
      <x:c r="O934" s="4" t="str">
        <x:v>BOOK-00933</x:v>
      </x:c>
      <x:c r="P934" s="9" t="n">
        <x:v>11374000</x:v>
      </x:c>
      <x:c r="Q934" s="11" t="n">
        <x:v>0</x:v>
      </x:c>
      <x:c r="R934" s="8" t="n">
        <x:v>45391</x:v>
      </x:c>
      <x:c r="S934" s="4" t="str">
        <x:v>Retained</x:v>
      </x:c>
      <x:c r="T934" s="10" t="n">
        <x:v>0.310195</x:v>
      </x:c>
      <x:c r="U934" s="4" t="str">
        <x:v>Train</x:v>
      </x:c>
    </x:row>
    <x:row r="935" ht="34" customHeight="1">
      <x:c r="A935" s="4" t="str">
        <x:v>RS-00934</x:v>
      </x:c>
      <x:c r="B935" s="8" t="n">
        <x:v>45332</x:v>
      </x:c>
      <x:c r="C935" s="4" t="str">
        <x:v>PRJ-014</x:v>
      </x:c>
      <x:c r="D935" s="4" t="str">
        <x:v>Retail</x:v>
      </x:c>
      <x:c r="E935" s="4" t="str">
        <x:v>Agreement signed</x:v>
      </x:c>
      <x:c r="F935" s="4" t="str">
        <x:v>CUS-00934</x:v>
      </x:c>
      <x:c r="G935" s="4" t="str">
        <x:v>UNIT-00934</x:v>
      </x:c>
      <x:c r="H935" s="9" t="n">
        <x:v>8800000</x:v>
      </x:c>
      <x:c r="I935" s="10" t="n">
        <x:v>0.07</x:v>
      </x:c>
      <x:c r="J935" s="11" t="n">
        <x:v>4</x:v>
      </x:c>
      <x:c r="K935" s="11" t="n">
        <x:v>2</x:v>
      </x:c>
      <x:c r="L935" s="11" t="n">
        <x:v>1</x:v>
      </x:c>
      <x:c r="M935" s="9" t="n">
        <x:f>ROUND(H935*(1-I935),2)</x:f>
        <x:v>8184000</x:v>
      </x:c>
      <x:c r="N935" s="4" t="str">
        <x:v>Sales manager</x:v>
      </x:c>
      <x:c r="O935" s="4" t="str">
        <x:v>BOOK-00934</x:v>
      </x:c>
      <x:c r="P935" s="9" t="n">
        <x:v>2046000</x:v>
      </x:c>
      <x:c r="Q935" s="11" t="n">
        <x:v>0</x:v>
      </x:c>
      <x:c r="R935" s="8" t="n">
        <x:v>45392</x:v>
      </x:c>
      <x:c r="S935" s="4" t="str">
        <x:v>Retained</x:v>
      </x:c>
      <x:c r="T935" s="10" t="n">
        <x:v>0.291946</x:v>
      </x:c>
      <x:c r="U935" s="4" t="str">
        <x:v>Train</x:v>
      </x:c>
    </x:row>
    <x:row r="936" ht="34" customHeight="1">
      <x:c r="A936" s="4" t="str">
        <x:v>RS-00935</x:v>
      </x:c>
      <x:c r="B936" s="8" t="n">
        <x:v>45333</x:v>
      </x:c>
      <x:c r="C936" s="4" t="str">
        <x:v>PRJ-015</x:v>
      </x:c>
      <x:c r="D936" s="4" t="str">
        <x:v>Villa</x:v>
      </x:c>
      <x:c r="E936" s="4" t="str">
        <x:v>Reserved</x:v>
      </x:c>
      <x:c r="F936" s="4" t="str">
        <x:v>CUS-00935</x:v>
      </x:c>
      <x:c r="G936" s="4" t="str">
        <x:v>UNIT-00935</x:v>
      </x:c>
      <x:c r="H936" s="9" t="n">
        <x:v>6600000</x:v>
      </x:c>
      <x:c r="I936" s="10" t="n">
        <x:v>0.11</x:v>
      </x:c>
      <x:c r="J936" s="11" t="n">
        <x:v>5</x:v>
      </x:c>
      <x:c r="K936" s="11" t="n">
        <x:v>2</x:v>
      </x:c>
      <x:c r="L936" s="11" t="n">
        <x:v>0</x:v>
      </x:c>
      <x:c r="M936" s="9" t="n">
        <x:f>ROUND(H936*(1-I936),2)</x:f>
        <x:v>5874000</x:v>
      </x:c>
      <x:c r="N936" s="4" t="str">
        <x:v>Sales head</x:v>
      </x:c>
      <x:c r="O936" s="4"/>
      <x:c r="P936" s="9" t="n">
        <x:v>0</x:v>
      </x:c>
      <x:c r="Q936" s="11" t="n">
        <x:v>1</x:v>
      </x:c>
      <x:c r="R936" s="8" t="n">
        <x:v>45393</x:v>
      </x:c>
      <x:c r="S936" s="4" t="str">
        <x:v>Lost / cancelled</x:v>
      </x:c>
      <x:c r="T936" s="10" t="n">
        <x:v>0.226277</x:v>
      </x:c>
      <x:c r="U936" s="4" t="str">
        <x:v>Train</x:v>
      </x:c>
    </x:row>
    <x:row r="937" ht="34" customHeight="1">
      <x:c r="A937" s="4" t="str">
        <x:v>RS-00936</x:v>
      </x:c>
      <x:c r="B937" s="8" t="n">
        <x:v>45334</x:v>
      </x:c>
      <x:c r="C937" s="4" t="str">
        <x:v>PRJ-016</x:v>
      </x:c>
      <x:c r="D937" s="4" t="str">
        <x:v>Office</x:v>
      </x:c>
      <x:c r="E937" s="4" t="str">
        <x:v>Cancelled</x:v>
      </x:c>
      <x:c r="F937" s="4" t="str">
        <x:v>CUS-00936</x:v>
      </x:c>
      <x:c r="G937" s="4" t="str">
        <x:v>UNIT-00936</x:v>
      </x:c>
      <x:c r="H937" s="9" t="n">
        <x:v>22300000</x:v>
      </x:c>
      <x:c r="I937" s="10" t="n">
        <x:v>0.06</x:v>
      </x:c>
      <x:c r="J937" s="11" t="n">
        <x:v>8</x:v>
      </x:c>
      <x:c r="K937" s="11" t="n">
        <x:v>5</x:v>
      </x:c>
      <x:c r="L937" s="11" t="n">
        <x:v>0</x:v>
      </x:c>
      <x:c r="M937" s="9" t="n">
        <x:f>ROUND(H937*(1-I937),2)</x:f>
        <x:v>20962000</x:v>
      </x:c>
      <x:c r="N937" s="4" t="str">
        <x:v>Sales manager</x:v>
      </x:c>
      <x:c r="O937" s="4"/>
      <x:c r="P937" s="9" t="n">
        <x:v>0</x:v>
      </x:c>
      <x:c r="Q937" s="11" t="n">
        <x:v>1</x:v>
      </x:c>
      <x:c r="R937" s="8" t="n">
        <x:v>45394</x:v>
      </x:c>
      <x:c r="S937" s="4" t="str">
        <x:v>Lost / cancelled</x:v>
      </x:c>
      <x:c r="T937" s="10" t="n">
        <x:v>0.310195</x:v>
      </x:c>
      <x:c r="U937" s="4" t="str">
        <x:v>Train</x:v>
      </x:c>
    </x:row>
    <x:row r="938" ht="34" customHeight="1">
      <x:c r="A938" s="4" t="str">
        <x:v>RS-00937</x:v>
      </x:c>
      <x:c r="B938" s="8" t="n">
        <x:v>45335</x:v>
      </x:c>
      <x:c r="C938" s="4" t="str">
        <x:v>PRJ-017</x:v>
      </x:c>
      <x:c r="D938" s="4" t="str">
        <x:v>Office</x:v>
      </x:c>
      <x:c r="E938" s="4" t="str">
        <x:v>Reserved</x:v>
      </x:c>
      <x:c r="F938" s="4" t="str">
        <x:v>CUS-00937</x:v>
      </x:c>
      <x:c r="G938" s="4" t="str">
        <x:v>UNIT-00937</x:v>
      </x:c>
      <x:c r="H938" s="9" t="n">
        <x:v>3400000</x:v>
      </x:c>
      <x:c r="I938" s="10" t="n">
        <x:v>0.05</x:v>
      </x:c>
      <x:c r="J938" s="11" t="n">
        <x:v>2</x:v>
      </x:c>
      <x:c r="K938" s="11" t="n">
        <x:v>8</x:v>
      </x:c>
      <x:c r="L938" s="11" t="n">
        <x:v>1</x:v>
      </x:c>
      <x:c r="M938" s="9" t="n">
        <x:f>ROUND(H938*(1-I938),2)</x:f>
        <x:v>3230000</x:v>
      </x:c>
      <x:c r="N938" s="4" t="str">
        <x:v>Sales manager</x:v>
      </x:c>
      <x:c r="O938" s="4"/>
      <x:c r="P938" s="9" t="n">
        <x:v>0</x:v>
      </x:c>
      <x:c r="Q938" s="11" t="n">
        <x:v>0</x:v>
      </x:c>
      <x:c r="R938" s="8" t="n">
        <x:v>45395</x:v>
      </x:c>
      <x:c r="S938" s="4" t="str">
        <x:v>Retained</x:v>
      </x:c>
      <x:c r="T938" s="10" t="n">
        <x:v>0.204152</x:v>
      </x:c>
      <x:c r="U938" s="4" t="str">
        <x:v>Train</x:v>
      </x:c>
    </x:row>
    <x:row r="939" ht="34" customHeight="1">
      <x:c r="A939" s="4" t="str">
        <x:v>RS-00938</x:v>
      </x:c>
      <x:c r="B939" s="8" t="n">
        <x:v>45336</x:v>
      </x:c>
      <x:c r="C939" s="4" t="str">
        <x:v>PRJ-018</x:v>
      </x:c>
      <x:c r="D939" s="4" t="str">
        <x:v>Office</x:v>
      </x:c>
      <x:c r="E939" s="4" t="str">
        <x:v>Booked</x:v>
      </x:c>
      <x:c r="F939" s="4" t="str">
        <x:v>CUS-00938</x:v>
      </x:c>
      <x:c r="G939" s="4" t="str">
        <x:v>UNIT-00938</x:v>
      </x:c>
      <x:c r="H939" s="9" t="n">
        <x:v>16400000</x:v>
      </x:c>
      <x:c r="I939" s="10" t="n">
        <x:v>0.08</x:v>
      </x:c>
      <x:c r="J939" s="11" t="n">
        <x:v>12</x:v>
      </x:c>
      <x:c r="K939" s="11" t="n">
        <x:v>3</x:v>
      </x:c>
      <x:c r="L939" s="11" t="n">
        <x:v>0</x:v>
      </x:c>
      <x:c r="M939" s="9" t="n">
        <x:f>ROUND(H939*(1-I939),2)</x:f>
        <x:v>15088000</x:v>
      </x:c>
      <x:c r="N939" s="4" t="str">
        <x:v>Sales head</x:v>
      </x:c>
      <x:c r="O939" s="4" t="str">
        <x:v>BOOK-00938</x:v>
      </x:c>
      <x:c r="P939" s="9" t="n">
        <x:v>1508800</x:v>
      </x:c>
      <x:c r="Q939" s="11" t="n">
        <x:v>0</x:v>
      </x:c>
      <x:c r="R939" s="8" t="n">
        <x:v>45396</x:v>
      </x:c>
      <x:c r="S939" s="4" t="str">
        <x:v>Retained</x:v>
      </x:c>
      <x:c r="T939" s="10" t="n">
        <x:v>0.351536</x:v>
      </x:c>
      <x:c r="U939" s="4" t="str">
        <x:v>Train</x:v>
      </x:c>
    </x:row>
    <x:row r="940" ht="34" customHeight="1">
      <x:c r="A940" s="4" t="str">
        <x:v>RS-00939</x:v>
      </x:c>
      <x:c r="B940" s="8" t="n">
        <x:v>45337</x:v>
      </x:c>
      <x:c r="C940" s="4" t="str">
        <x:v>PRJ-019</x:v>
      </x:c>
      <x:c r="D940" s="4" t="str">
        <x:v>Retail</x:v>
      </x:c>
      <x:c r="E940" s="4" t="str">
        <x:v>Cancelled</x:v>
      </x:c>
      <x:c r="F940" s="4" t="str">
        <x:v>CUS-00939</x:v>
      </x:c>
      <x:c r="G940" s="4" t="str">
        <x:v>UNIT-00939</x:v>
      </x:c>
      <x:c r="H940" s="9" t="n">
        <x:v>24500000</x:v>
      </x:c>
      <x:c r="I940" s="10" t="n">
        <x:v>0.06</x:v>
      </x:c>
      <x:c r="J940" s="11" t="n">
        <x:v>5</x:v>
      </x:c>
      <x:c r="K940" s="11" t="n">
        <x:v>7</x:v>
      </x:c>
      <x:c r="L940" s="11" t="n">
        <x:v>0</x:v>
      </x:c>
      <x:c r="M940" s="9" t="n">
        <x:f>ROUND(H940*(1-I940),2)</x:f>
        <x:v>23030000</x:v>
      </x:c>
      <x:c r="N940" s="4" t="str">
        <x:v>Sales manager</x:v>
      </x:c>
      <x:c r="O940" s="4"/>
      <x:c r="P940" s="9" t="n">
        <x:v>0</x:v>
      </x:c>
      <x:c r="Q940" s="11" t="n">
        <x:v>1</x:v>
      </x:c>
      <x:c r="R940" s="8" t="n">
        <x:v>45397</x:v>
      </x:c>
      <x:c r="S940" s="4" t="str">
        <x:v>Lost / cancelled</x:v>
      </x:c>
      <x:c r="T940" s="10" t="n">
        <x:v>0.226277</x:v>
      </x:c>
      <x:c r="U940" s="4" t="str">
        <x:v>Train</x:v>
      </x:c>
    </x:row>
    <x:row r="941" ht="34" customHeight="1">
      <x:c r="A941" s="4" t="str">
        <x:v>RS-00940</x:v>
      </x:c>
      <x:c r="B941" s="8" t="n">
        <x:v>45338</x:v>
      </x:c>
      <x:c r="C941" s="4" t="str">
        <x:v>PRJ-020</x:v>
      </x:c>
      <x:c r="D941" s="4" t="str">
        <x:v>Retail</x:v>
      </x:c>
      <x:c r="E941" s="4" t="str">
        <x:v>Booked</x:v>
      </x:c>
      <x:c r="F941" s="4" t="str">
        <x:v>CUS-00940</x:v>
      </x:c>
      <x:c r="G941" s="4" t="str">
        <x:v>UNIT-00940</x:v>
      </x:c>
      <x:c r="H941" s="9" t="n">
        <x:v>5000000</x:v>
      </x:c>
      <x:c r="I941" s="10" t="n">
        <x:v>0.01</x:v>
      </x:c>
      <x:c r="J941" s="11" t="n">
        <x:v>7</x:v>
      </x:c>
      <x:c r="K941" s="11" t="n">
        <x:v>4</x:v>
      </x:c>
      <x:c r="L941" s="11" t="n">
        <x:v>0</x:v>
      </x:c>
      <x:c r="M941" s="9" t="n">
        <x:f>ROUND(H941*(1-I941),2)</x:f>
        <x:v>4950000</x:v>
      </x:c>
      <x:c r="N941" s="4" t="str">
        <x:v>Sales manager</x:v>
      </x:c>
      <x:c r="O941" s="4" t="str">
        <x:v>BOOK-00940</x:v>
      </x:c>
      <x:c r="P941" s="9" t="n">
        <x:v>4950000</x:v>
      </x:c>
      <x:c r="Q941" s="11" t="n">
        <x:v>0</x:v>
      </x:c>
      <x:c r="R941" s="8" t="n">
        <x:v>45398</x:v>
      </x:c>
      <x:c r="S941" s="4" t="str">
        <x:v>Retained</x:v>
      </x:c>
      <x:c r="T941" s="10" t="n">
        <x:v>0.298969</x:v>
      </x:c>
      <x:c r="U941" s="4" t="str">
        <x:v>Train</x:v>
      </x:c>
    </x:row>
    <x:row r="942" ht="34" customHeight="1">
      <x:c r="A942" s="4" t="str">
        <x:v>RS-00941</x:v>
      </x:c>
      <x:c r="B942" s="8" t="n">
        <x:v>45339</x:v>
      </x:c>
      <x:c r="C942" s="4" t="str">
        <x:v>PRJ-001</x:v>
      </x:c>
      <x:c r="D942" s="4" t="str">
        <x:v>Office</x:v>
      </x:c>
      <x:c r="E942" s="4" t="str">
        <x:v>Agreement signed</x:v>
      </x:c>
      <x:c r="F942" s="4" t="str">
        <x:v>CUS-00941</x:v>
      </x:c>
      <x:c r="G942" s="4" t="str">
        <x:v>UNIT-00941</x:v>
      </x:c>
      <x:c r="H942" s="9" t="n">
        <x:v>10600000</x:v>
      </x:c>
      <x:c r="I942" s="10" t="n">
        <x:v>0.06</x:v>
      </x:c>
      <x:c r="J942" s="11" t="n">
        <x:v>5</x:v>
      </x:c>
      <x:c r="K942" s="11" t="n">
        <x:v>1</x:v>
      </x:c>
      <x:c r="L942" s="11" t="n">
        <x:v>1</x:v>
      </x:c>
      <x:c r="M942" s="9" t="n">
        <x:f>ROUND(H942*(1-I942),2)</x:f>
        <x:v>9964000</x:v>
      </x:c>
      <x:c r="N942" s="4" t="str">
        <x:v>Sales manager</x:v>
      </x:c>
      <x:c r="O942" s="4" t="str">
        <x:v>BOOK-00941</x:v>
      </x:c>
      <x:c r="P942" s="9" t="n">
        <x:v>2491000</x:v>
      </x:c>
      <x:c r="Q942" s="11" t="n">
        <x:v>0</x:v>
      </x:c>
      <x:c r="R942" s="8" t="n">
        <x:v>45399</x:v>
      </x:c>
      <x:c r="S942" s="4" t="str">
        <x:v>Retained</x:v>
      </x:c>
      <x:c r="T942" s="10" t="n">
        <x:v>0.291946</x:v>
      </x:c>
      <x:c r="U942" s="4" t="str">
        <x:v>Train</x:v>
      </x:c>
    </x:row>
    <x:row r="943" ht="34" customHeight="1">
      <x:c r="A943" s="4" t="str">
        <x:v>RS-00942</x:v>
      </x:c>
      <x:c r="B943" s="8" t="n">
        <x:v>45340</x:v>
      </x:c>
      <x:c r="C943" s="4" t="str">
        <x:v>PRJ-002</x:v>
      </x:c>
      <x:c r="D943" s="4" t="str">
        <x:v>Villa</x:v>
      </x:c>
      <x:c r="E943" s="4" t="str">
        <x:v>Handed over</x:v>
      </x:c>
      <x:c r="F943" s="4" t="str">
        <x:v>CUS-00942</x:v>
      </x:c>
      <x:c r="G943" s="4" t="str">
        <x:v>UNIT-00942</x:v>
      </x:c>
      <x:c r="H943" s="9" t="n">
        <x:v>11900000</x:v>
      </x:c>
      <x:c r="I943" s="10" t="n">
        <x:v>0.11</x:v>
      </x:c>
      <x:c r="J943" s="11" t="n">
        <x:v>11</x:v>
      </x:c>
      <x:c r="K943" s="11" t="n">
        <x:v>5</x:v>
      </x:c>
      <x:c r="L943" s="11" t="n">
        <x:v>0</x:v>
      </x:c>
      <x:c r="M943" s="9" t="n">
        <x:f>ROUND(H943*(1-I943),2)</x:f>
        <x:v>10591000</x:v>
      </x:c>
      <x:c r="N943" s="4" t="str">
        <x:v>Sales head</x:v>
      </x:c>
      <x:c r="O943" s="4" t="str">
        <x:v>BOOK-00942</x:v>
      </x:c>
      <x:c r="P943" s="9" t="n">
        <x:v>10591000</x:v>
      </x:c>
      <x:c r="Q943" s="11" t="n">
        <x:v>0</x:v>
      </x:c>
      <x:c r="R943" s="8" t="n">
        <x:v>45400</x:v>
      </x:c>
      <x:c r="S943" s="4" t="str">
        <x:v>Retained</x:v>
      </x:c>
      <x:c r="T943" s="10" t="n">
        <x:v>0.351536</x:v>
      </x:c>
      <x:c r="U943" s="4" t="str">
        <x:v>Train</x:v>
      </x:c>
    </x:row>
    <x:row r="944" ht="34" customHeight="1">
      <x:c r="A944" s="4" t="str">
        <x:v>RS-00943</x:v>
      </x:c>
      <x:c r="B944" s="8" t="n">
        <x:v>45341</x:v>
      </x:c>
      <x:c r="C944" s="4" t="str">
        <x:v>PRJ-003</x:v>
      </x:c>
      <x:c r="D944" s="4" t="str">
        <x:v>Office</x:v>
      </x:c>
      <x:c r="E944" s="4" t="str">
        <x:v>Cancelled</x:v>
      </x:c>
      <x:c r="F944" s="4" t="str">
        <x:v>CUS-00943</x:v>
      </x:c>
      <x:c r="G944" s="4" t="str">
        <x:v>UNIT-00943</x:v>
      </x:c>
      <x:c r="H944" s="9" t="n">
        <x:v>13700000</x:v>
      </x:c>
      <x:c r="I944" s="10" t="n">
        <x:v>0.09</x:v>
      </x:c>
      <x:c r="J944" s="11" t="n">
        <x:v>6</x:v>
      </x:c>
      <x:c r="K944" s="11" t="n">
        <x:v>8</x:v>
      </x:c>
      <x:c r="L944" s="11" t="n">
        <x:v>0</x:v>
      </x:c>
      <x:c r="M944" s="9" t="n">
        <x:f>ROUND(H944*(1-I944),2)</x:f>
        <x:v>12467000</x:v>
      </x:c>
      <x:c r="N944" s="4" t="str">
        <x:v>Sales head</x:v>
      </x:c>
      <x:c r="O944" s="4"/>
      <x:c r="P944" s="9" t="n">
        <x:v>0</x:v>
      </x:c>
      <x:c r="Q944" s="11" t="n">
        <x:v>1</x:v>
      </x:c>
      <x:c r="R944" s="8" t="n">
        <x:v>45401</x:v>
      </x:c>
      <x:c r="S944" s="4" t="str">
        <x:v>Lost / cancelled</x:v>
      </x:c>
      <x:c r="T944" s="10" t="n">
        <x:v>0.226277</x:v>
      </x:c>
      <x:c r="U944" s="4" t="str">
        <x:v>Train</x:v>
      </x:c>
    </x:row>
    <x:row r="945" ht="34" customHeight="1">
      <x:c r="A945" s="4" t="str">
        <x:v>RS-00944</x:v>
      </x:c>
      <x:c r="B945" s="8" t="n">
        <x:v>45342</x:v>
      </x:c>
      <x:c r="C945" s="4" t="str">
        <x:v>PRJ-004</x:v>
      </x:c>
      <x:c r="D945" s="4" t="str">
        <x:v>Office</x:v>
      </x:c>
      <x:c r="E945" s="4" t="str">
        <x:v>Enquiry</x:v>
      </x:c>
      <x:c r="F945" s="4" t="str">
        <x:v>CUS-00944</x:v>
      </x:c>
      <x:c r="G945" s="4" t="str">
        <x:v>UNIT-00944</x:v>
      </x:c>
      <x:c r="H945" s="9" t="n">
        <x:v>18900000</x:v>
      </x:c>
      <x:c r="I945" s="10" t="n">
        <x:v>0.08</x:v>
      </x:c>
      <x:c r="J945" s="11" t="n">
        <x:v>5</x:v>
      </x:c>
      <x:c r="K945" s="11" t="n">
        <x:v>6</x:v>
      </x:c>
      <x:c r="L945" s="11" t="n">
        <x:v>1</x:v>
      </x:c>
      <x:c r="M945" s="9" t="n">
        <x:f>ROUND(H945*(1-I945),2)</x:f>
        <x:v>17388000</x:v>
      </x:c>
      <x:c r="N945" s="4" t="str">
        <x:v>Sales head</x:v>
      </x:c>
      <x:c r="O945" s="4"/>
      <x:c r="P945" s="9" t="n">
        <x:v>0</x:v>
      </x:c>
      <x:c r="Q945" s="11" t="n">
        <x:v>0</x:v>
      </x:c>
      <x:c r="R945" s="8" t="n">
        <x:v>45402</x:v>
      </x:c>
      <x:c r="S945" s="4" t="str">
        <x:v>Retained</x:v>
      </x:c>
      <x:c r="T945" s="10" t="n">
        <x:v>0.291946</x:v>
      </x:c>
      <x:c r="U945" s="4" t="str">
        <x:v>Train</x:v>
      </x:c>
    </x:row>
    <x:row r="946" ht="34" customHeight="1">
      <x:c r="A946" s="4" t="str">
        <x:v>RS-00945</x:v>
      </x:c>
      <x:c r="B946" s="8" t="n">
        <x:v>45343</x:v>
      </x:c>
      <x:c r="C946" s="4" t="str">
        <x:v>PRJ-005</x:v>
      </x:c>
      <x:c r="D946" s="4" t="str">
        <x:v>Apartment</x:v>
      </x:c>
      <x:c r="E946" s="4" t="str">
        <x:v>Handed over</x:v>
      </x:c>
      <x:c r="F946" s="4" t="str">
        <x:v>CUS-00945</x:v>
      </x:c>
      <x:c r="G946" s="4" t="str">
        <x:v>UNIT-00945</x:v>
      </x:c>
      <x:c r="H946" s="9" t="n">
        <x:v>20200000</x:v>
      </x:c>
      <x:c r="I946" s="10" t="n">
        <x:v>0</x:v>
      </x:c>
      <x:c r="J946" s="11" t="n">
        <x:v>1</x:v>
      </x:c>
      <x:c r="K946" s="11" t="n">
        <x:v>2</x:v>
      </x:c>
      <x:c r="L946" s="11" t="n">
        <x:v>0</x:v>
      </x:c>
      <x:c r="M946" s="9" t="n">
        <x:f>ROUND(H946*(1-I946),2)</x:f>
        <x:v>20200000</x:v>
      </x:c>
      <x:c r="N946" s="4" t="str">
        <x:v>Sales manager</x:v>
      </x:c>
      <x:c r="O946" s="4" t="str">
        <x:v>BOOK-00945</x:v>
      </x:c>
      <x:c r="P946" s="9" t="n">
        <x:v>20200000</x:v>
      </x:c>
      <x:c r="Q946" s="11" t="n">
        <x:v>0</x:v>
      </x:c>
      <x:c r="R946" s="8" t="n">
        <x:v>45403</x:v>
      </x:c>
      <x:c r="S946" s="4" t="str">
        <x:v>Retained</x:v>
      </x:c>
      <x:c r="T946" s="10" t="n">
        <x:v>0.072165</x:v>
      </x:c>
      <x:c r="U946" s="4" t="str">
        <x:v>Train</x:v>
      </x:c>
    </x:row>
    <x:row r="947" ht="34" customHeight="1">
      <x:c r="A947" s="4" t="str">
        <x:v>RS-00946</x:v>
      </x:c>
      <x:c r="B947" s="8" t="n">
        <x:v>45344</x:v>
      </x:c>
      <x:c r="C947" s="4" t="str">
        <x:v>PRJ-006</x:v>
      </x:c>
      <x:c r="D947" s="4" t="str">
        <x:v>Villa</x:v>
      </x:c>
      <x:c r="E947" s="4" t="str">
        <x:v>Booked</x:v>
      </x:c>
      <x:c r="F947" s="4" t="str">
        <x:v>CUS-00946</x:v>
      </x:c>
      <x:c r="G947" s="4" t="str">
        <x:v>UNIT-00946</x:v>
      </x:c>
      <x:c r="H947" s="9" t="n">
        <x:v>4300000</x:v>
      </x:c>
      <x:c r="I947" s="10" t="n">
        <x:v>0.09</x:v>
      </x:c>
      <x:c r="J947" s="11" t="n">
        <x:v>3</x:v>
      </x:c>
      <x:c r="K947" s="11" t="n">
        <x:v>9</x:v>
      </x:c>
      <x:c r="L947" s="11" t="n">
        <x:v>0</x:v>
      </x:c>
      <x:c r="M947" s="9" t="n">
        <x:f>ROUND(H947*(1-I947),2)</x:f>
        <x:v>3913000</x:v>
      </x:c>
      <x:c r="N947" s="4" t="str">
        <x:v>Sales head</x:v>
      </x:c>
      <x:c r="O947" s="4" t="str">
        <x:v>BOOK-00946</x:v>
      </x:c>
      <x:c r="P947" s="9" t="n">
        <x:v>978250</x:v>
      </x:c>
      <x:c r="Q947" s="11" t="n">
        <x:v>0</x:v>
      </x:c>
      <x:c r="R947" s="8" t="n">
        <x:v>45404</x:v>
      </x:c>
      <x:c r="S947" s="4" t="str">
        <x:v>Retained</x:v>
      </x:c>
      <x:c r="T947" s="10" t="n">
        <x:v>0.145833</x:v>
      </x:c>
      <x:c r="U947" s="4" t="str">
        <x:v>Train</x:v>
      </x:c>
    </x:row>
    <x:row r="948" ht="34" customHeight="1">
      <x:c r="A948" s="4" t="str">
        <x:v>RS-00947</x:v>
      </x:c>
      <x:c r="B948" s="8" t="n">
        <x:v>45345</x:v>
      </x:c>
      <x:c r="C948" s="4" t="str">
        <x:v>PRJ-007</x:v>
      </x:c>
      <x:c r="D948" s="4" t="str">
        <x:v>Villa</x:v>
      </x:c>
      <x:c r="E948" s="4" t="str">
        <x:v>Enquiry</x:v>
      </x:c>
      <x:c r="F948" s="4" t="str">
        <x:v>CUS-00947</x:v>
      </x:c>
      <x:c r="G948" s="4" t="str">
        <x:v>UNIT-00947</x:v>
      </x:c>
      <x:c r="H948" s="9" t="n">
        <x:v>22300000</x:v>
      </x:c>
      <x:c r="I948" s="10" t="n">
        <x:v>0</x:v>
      </x:c>
      <x:c r="J948" s="11" t="n">
        <x:v>8</x:v>
      </x:c>
      <x:c r="K948" s="11" t="n">
        <x:v>0</x:v>
      </x:c>
      <x:c r="L948" s="11" t="n">
        <x:v>0</x:v>
      </x:c>
      <x:c r="M948" s="9" t="n">
        <x:f>ROUND(H948*(1-I948),2)</x:f>
        <x:v>22300000</x:v>
      </x:c>
      <x:c r="N948" s="4" t="str">
        <x:v>Sales manager</x:v>
      </x:c>
      <x:c r="O948" s="4"/>
      <x:c r="P948" s="9" t="n">
        <x:v>0</x:v>
      </x:c>
      <x:c r="Q948" s="11" t="n">
        <x:v>1</x:v>
      </x:c>
      <x:c r="R948" s="8" t="n">
        <x:v>45405</x:v>
      </x:c>
      <x:c r="S948" s="4" t="str">
        <x:v>Lost / cancelled</x:v>
      </x:c>
      <x:c r="T948" s="10" t="n">
        <x:v>0.305556</x:v>
      </x:c>
      <x:c r="U948" s="4" t="str">
        <x:v>Train</x:v>
      </x:c>
    </x:row>
    <x:row r="949" ht="34" customHeight="1">
      <x:c r="A949" s="4" t="str">
        <x:v>RS-00948</x:v>
      </x:c>
      <x:c r="B949" s="8" t="n">
        <x:v>45346</x:v>
      </x:c>
      <x:c r="C949" s="4" t="str">
        <x:v>PRJ-008</x:v>
      </x:c>
      <x:c r="D949" s="4" t="str">
        <x:v>Apartment</x:v>
      </x:c>
      <x:c r="E949" s="4" t="str">
        <x:v>Cancelled</x:v>
      </x:c>
      <x:c r="F949" s="4" t="str">
        <x:v>CUS-00948</x:v>
      </x:c>
      <x:c r="G949" s="4" t="str">
        <x:v>UNIT-00948</x:v>
      </x:c>
      <x:c r="H949" s="9" t="n">
        <x:v>21300000</x:v>
      </x:c>
      <x:c r="I949" s="10" t="n">
        <x:v>0.04</x:v>
      </x:c>
      <x:c r="J949" s="11" t="n">
        <x:v>9</x:v>
      </x:c>
      <x:c r="K949" s="11" t="n">
        <x:v>3</x:v>
      </x:c>
      <x:c r="L949" s="11" t="n">
        <x:v>1</x:v>
      </x:c>
      <x:c r="M949" s="9" t="n">
        <x:f>ROUND(H949*(1-I949),2)</x:f>
        <x:v>20448000</x:v>
      </x:c>
      <x:c r="N949" s="4" t="str">
        <x:v>Sales manager</x:v>
      </x:c>
      <x:c r="O949" s="4"/>
      <x:c r="P949" s="9" t="n">
        <x:v>0</x:v>
      </x:c>
      <x:c r="Q949" s="11" t="n">
        <x:v>1</x:v>
      </x:c>
      <x:c r="R949" s="8" t="n">
        <x:v>45406</x:v>
      </x:c>
      <x:c r="S949" s="4" t="str">
        <x:v>Lost / cancelled</x:v>
      </x:c>
      <x:c r="T949" s="10" t="n">
        <x:v>0.310195</x:v>
      </x:c>
      <x:c r="U949" s="4" t="str">
        <x:v>Train</x:v>
      </x:c>
    </x:row>
    <x:row r="950" ht="34" customHeight="1">
      <x:c r="A950" s="4" t="str">
        <x:v>RS-00949</x:v>
      </x:c>
      <x:c r="B950" s="8" t="n">
        <x:v>45347</x:v>
      </x:c>
      <x:c r="C950" s="4" t="str">
        <x:v>PRJ-009</x:v>
      </x:c>
      <x:c r="D950" s="4" t="str">
        <x:v>Apartment</x:v>
      </x:c>
      <x:c r="E950" s="4" t="str">
        <x:v>Enquiry</x:v>
      </x:c>
      <x:c r="F950" s="4" t="str">
        <x:v>CUS-00949</x:v>
      </x:c>
      <x:c r="G950" s="4" t="str">
        <x:v>UNIT-00949</x:v>
      </x:c>
      <x:c r="H950" s="9" t="n">
        <x:v>17700000</x:v>
      </x:c>
      <x:c r="I950" s="10" t="n">
        <x:v>0.04</x:v>
      </x:c>
      <x:c r="J950" s="11" t="n">
        <x:v>4</x:v>
      </x:c>
      <x:c r="K950" s="11" t="n">
        <x:v>1</x:v>
      </x:c>
      <x:c r="L950" s="11" t="n">
        <x:v>1</x:v>
      </x:c>
      <x:c r="M950" s="9" t="n">
        <x:f>ROUND(H950*(1-I950),2)</x:f>
        <x:v>16992000</x:v>
      </x:c>
      <x:c r="N950" s="4" t="str">
        <x:v>Sales manager</x:v>
      </x:c>
      <x:c r="O950" s="4"/>
      <x:c r="P950" s="9" t="n">
        <x:v>0</x:v>
      </x:c>
      <x:c r="Q950" s="11" t="n">
        <x:v>0</x:v>
      </x:c>
      <x:c r="R950" s="8" t="n">
        <x:v>45407</x:v>
      </x:c>
      <x:c r="S950" s="4" t="str">
        <x:v>Retained</x:v>
      </x:c>
      <x:c r="T950" s="10" t="n">
        <x:v>0.291946</x:v>
      </x:c>
      <x:c r="U950" s="4" t="str">
        <x:v>Train</x:v>
      </x:c>
    </x:row>
    <x:row r="951" ht="34" customHeight="1">
      <x:c r="A951" s="4" t="str">
        <x:v>RS-00950</x:v>
      </x:c>
      <x:c r="B951" s="8" t="n">
        <x:v>45348</x:v>
      </x:c>
      <x:c r="C951" s="4" t="str">
        <x:v>PRJ-010</x:v>
      </x:c>
      <x:c r="D951" s="4" t="str">
        <x:v>Office</x:v>
      </x:c>
      <x:c r="E951" s="4" t="str">
        <x:v>Agreement signed</x:v>
      </x:c>
      <x:c r="F951" s="4" t="str">
        <x:v>CUS-00950</x:v>
      </x:c>
      <x:c r="G951" s="4" t="str">
        <x:v>UNIT-00950</x:v>
      </x:c>
      <x:c r="H951" s="9" t="n">
        <x:v>4000000</x:v>
      </x:c>
      <x:c r="I951" s="10" t="n">
        <x:v>0.02</x:v>
      </x:c>
      <x:c r="J951" s="11" t="n">
        <x:v>4</x:v>
      </x:c>
      <x:c r="K951" s="11" t="n">
        <x:v>4</x:v>
      </x:c>
      <x:c r="L951" s="11" t="n">
        <x:v>0</x:v>
      </x:c>
      <x:c r="M951" s="9" t="n">
        <x:f>ROUND(H951*(1-I951),2)</x:f>
        <x:v>3920000</x:v>
      </x:c>
      <x:c r="N951" s="4" t="str">
        <x:v>Sales manager</x:v>
      </x:c>
      <x:c r="O951" s="4" t="str">
        <x:v>BOOK-00950</x:v>
      </x:c>
      <x:c r="P951" s="9" t="n">
        <x:v>3920000</x:v>
      </x:c>
      <x:c r="Q951" s="11" t="n">
        <x:v>0</x:v>
      </x:c>
      <x:c r="R951" s="8" t="n">
        <x:v>45408</x:v>
      </x:c>
      <x:c r="S951" s="4" t="str">
        <x:v>Retained</x:v>
      </x:c>
      <x:c r="T951" s="10" t="n">
        <x:v>0.298969</x:v>
      </x:c>
      <x:c r="U951" s="4" t="str">
        <x:v>Train</x:v>
      </x:c>
    </x:row>
    <x:row r="952" ht="34" customHeight="1">
      <x:c r="A952" s="4" t="str">
        <x:v>RS-00951</x:v>
      </x:c>
      <x:c r="B952" s="8" t="n">
        <x:v>45349</x:v>
      </x:c>
      <x:c r="C952" s="4" t="str">
        <x:v>PRJ-011</x:v>
      </x:c>
      <x:c r="D952" s="4" t="str">
        <x:v>Apartment</x:v>
      </x:c>
      <x:c r="E952" s="4" t="str">
        <x:v>Booked</x:v>
      </x:c>
      <x:c r="F952" s="4" t="str">
        <x:v>CUS-00951</x:v>
      </x:c>
      <x:c r="G952" s="4" t="str">
        <x:v>UNIT-00951</x:v>
      </x:c>
      <x:c r="H952" s="9" t="n">
        <x:v>21500000</x:v>
      </x:c>
      <x:c r="I952" s="10" t="n">
        <x:v>0.12</x:v>
      </x:c>
      <x:c r="J952" s="11" t="n">
        <x:v>10</x:v>
      </x:c>
      <x:c r="K952" s="11" t="n">
        <x:v>3</x:v>
      </x:c>
      <x:c r="L952" s="11" t="n">
        <x:v>0</x:v>
      </x:c>
      <x:c r="M952" s="9" t="n">
        <x:f>ROUND(H952*(1-I952),2)</x:f>
        <x:v>18920000</x:v>
      </x:c>
      <x:c r="N952" s="4" t="str">
        <x:v>Sales head</x:v>
      </x:c>
      <x:c r="O952" s="4" t="str">
        <x:v>BOOK-00951</x:v>
      </x:c>
      <x:c r="P952" s="9" t="n">
        <x:v>4730000</x:v>
      </x:c>
      <x:c r="Q952" s="11" t="n">
        <x:v>0</x:v>
      </x:c>
      <x:c r="R952" s="8" t="n">
        <x:v>45409</x:v>
      </x:c>
      <x:c r="S952" s="4" t="str">
        <x:v>Retained</x:v>
      </x:c>
      <x:c r="T952" s="10" t="n">
        <x:v>0.310195</x:v>
      </x:c>
      <x:c r="U952" s="4" t="str">
        <x:v>Train</x:v>
      </x:c>
    </x:row>
    <x:row r="953" ht="34" customHeight="1">
      <x:c r="A953" s="4" t="str">
        <x:v>RS-00952</x:v>
      </x:c>
      <x:c r="B953" s="8" t="n">
        <x:v>45350</x:v>
      </x:c>
      <x:c r="C953" s="4" t="str">
        <x:v>PRJ-012</x:v>
      </x:c>
      <x:c r="D953" s="4" t="str">
        <x:v>Villa</x:v>
      </x:c>
      <x:c r="E953" s="4" t="str">
        <x:v>Cancelled</x:v>
      </x:c>
      <x:c r="F953" s="4" t="str">
        <x:v>CUS-00952</x:v>
      </x:c>
      <x:c r="G953" s="4" t="str">
        <x:v>UNIT-00952</x:v>
      </x:c>
      <x:c r="H953" s="9" t="n">
        <x:v>5600000</x:v>
      </x:c>
      <x:c r="I953" s="10" t="n">
        <x:v>0.08</x:v>
      </x:c>
      <x:c r="J953" s="11" t="n">
        <x:v>6</x:v>
      </x:c>
      <x:c r="K953" s="11" t="n">
        <x:v>9</x:v>
      </x:c>
      <x:c r="L953" s="11" t="n">
        <x:v>1</x:v>
      </x:c>
      <x:c r="M953" s="9" t="n">
        <x:f>ROUND(H953*(1-I953),2)</x:f>
        <x:v>5152000</x:v>
      </x:c>
      <x:c r="N953" s="4" t="str">
        <x:v>Sales head</x:v>
      </x:c>
      <x:c r="O953" s="4"/>
      <x:c r="P953" s="9" t="n">
        <x:v>0</x:v>
      </x:c>
      <x:c r="Q953" s="11" t="n">
        <x:v>1</x:v>
      </x:c>
      <x:c r="R953" s="8" t="n">
        <x:v>45410</x:v>
      </x:c>
      <x:c r="S953" s="4" t="str">
        <x:v>Lost / cancelled</x:v>
      </x:c>
      <x:c r="T953" s="10" t="n">
        <x:v>0.291946</x:v>
      </x:c>
      <x:c r="U953" s="4" t="str">
        <x:v>Train</x:v>
      </x:c>
    </x:row>
    <x:row r="954" ht="34" customHeight="1">
      <x:c r="A954" s="4" t="str">
        <x:v>RS-00953</x:v>
      </x:c>
      <x:c r="B954" s="8" t="n">
        <x:v>45323</x:v>
      </x:c>
      <x:c r="C954" s="4" t="str">
        <x:v>PRJ-013</x:v>
      </x:c>
      <x:c r="D954" s="4" t="str">
        <x:v>Villa</x:v>
      </x:c>
      <x:c r="E954" s="4" t="str">
        <x:v>Enquiry</x:v>
      </x:c>
      <x:c r="F954" s="4" t="str">
        <x:v>CUS-00953</x:v>
      </x:c>
      <x:c r="G954" s="4" t="str">
        <x:v>UNIT-00953</x:v>
      </x:c>
      <x:c r="H954" s="9" t="n">
        <x:v>15500000</x:v>
      </x:c>
      <x:c r="I954" s="10" t="n">
        <x:v>0.1</x:v>
      </x:c>
      <x:c r="J954" s="11" t="n">
        <x:v>7</x:v>
      </x:c>
      <x:c r="K954" s="11" t="n">
        <x:v>1</x:v>
      </x:c>
      <x:c r="L954" s="11" t="n">
        <x:v>0</x:v>
      </x:c>
      <x:c r="M954" s="9" t="n">
        <x:f>ROUND(H954*(1-I954),2)</x:f>
        <x:v>13950000</x:v>
      </x:c>
      <x:c r="N954" s="4" t="str">
        <x:v>Sales head</x:v>
      </x:c>
      <x:c r="O954" s="4"/>
      <x:c r="P954" s="9" t="n">
        <x:v>0</x:v>
      </x:c>
      <x:c r="Q954" s="11" t="n">
        <x:v>0</x:v>
      </x:c>
      <x:c r="R954" s="8" t="n">
        <x:v>45383</x:v>
      </x:c>
      <x:c r="S954" s="4" t="str">
        <x:v>Retained</x:v>
      </x:c>
      <x:c r="T954" s="10" t="n">
        <x:v>0.226277</x:v>
      </x:c>
      <x:c r="U954" s="4" t="str">
        <x:v>Train</x:v>
      </x:c>
    </x:row>
    <x:row r="955" ht="34" customHeight="1">
      <x:c r="A955" s="4" t="str">
        <x:v>RS-00954</x:v>
      </x:c>
      <x:c r="B955" s="8" t="n">
        <x:v>45324</x:v>
      </x:c>
      <x:c r="C955" s="4" t="str">
        <x:v>PRJ-014</x:v>
      </x:c>
      <x:c r="D955" s="4" t="str">
        <x:v>Apartment</x:v>
      </x:c>
      <x:c r="E955" s="4" t="str">
        <x:v>Enquiry</x:v>
      </x:c>
      <x:c r="F955" s="4" t="str">
        <x:v>CUS-00954</x:v>
      </x:c>
      <x:c r="G955" s="4" t="str">
        <x:v>UNIT-00954</x:v>
      </x:c>
      <x:c r="H955" s="9" t="n">
        <x:v>22500000</x:v>
      </x:c>
      <x:c r="I955" s="10" t="n">
        <x:v>0</x:v>
      </x:c>
      <x:c r="J955" s="11" t="n">
        <x:v>1</x:v>
      </x:c>
      <x:c r="K955" s="11" t="n">
        <x:v>10</x:v>
      </x:c>
      <x:c r="L955" s="11" t="n">
        <x:v>1</x:v>
      </x:c>
      <x:c r="M955" s="9" t="n">
        <x:f>ROUND(H955*(1-I955),2)</x:f>
        <x:v>22500000</x:v>
      </x:c>
      <x:c r="N955" s="4" t="str">
        <x:v>Sales manager</x:v>
      </x:c>
      <x:c r="O955" s="4"/>
      <x:c r="P955" s="9" t="n">
        <x:v>0</x:v>
      </x:c>
      <x:c r="Q955" s="11" t="n">
        <x:v>0</x:v>
      </x:c>
      <x:c r="R955" s="8" t="n">
        <x:v>45384</x:v>
      </x:c>
      <x:c r="S955" s="4" t="str">
        <x:v>Retained</x:v>
      </x:c>
      <x:c r="T955" s="10" t="n">
        <x:v>0.072165</x:v>
      </x:c>
      <x:c r="U955" s="4" t="str">
        <x:v>Train</x:v>
      </x:c>
    </x:row>
    <x:row r="956" ht="34" customHeight="1">
      <x:c r="A956" s="4" t="str">
        <x:v>RS-00955</x:v>
      </x:c>
      <x:c r="B956" s="8" t="n">
        <x:v>45325</x:v>
      </x:c>
      <x:c r="C956" s="4" t="str">
        <x:v>PRJ-015</x:v>
      </x:c>
      <x:c r="D956" s="4" t="str">
        <x:v>Retail</x:v>
      </x:c>
      <x:c r="E956" s="4" t="str">
        <x:v>Handed over</x:v>
      </x:c>
      <x:c r="F956" s="4" t="str">
        <x:v>CUS-00955</x:v>
      </x:c>
      <x:c r="G956" s="4" t="str">
        <x:v>UNIT-00955</x:v>
      </x:c>
      <x:c r="H956" s="9" t="n">
        <x:v>19400000</x:v>
      </x:c>
      <x:c r="I956" s="10" t="n">
        <x:v>0.03</x:v>
      </x:c>
      <x:c r="J956" s="11" t="n">
        <x:v>11</x:v>
      </x:c>
      <x:c r="K956" s="11" t="n">
        <x:v>2</x:v>
      </x:c>
      <x:c r="L956" s="11" t="n">
        <x:v>0</x:v>
      </x:c>
      <x:c r="M956" s="9" t="n">
        <x:f>ROUND(H956*(1-I956),2)</x:f>
        <x:v>18818000</x:v>
      </x:c>
      <x:c r="N956" s="4" t="str">
        <x:v>Sales manager</x:v>
      </x:c>
      <x:c r="O956" s="4" t="str">
        <x:v>BOOK-00955</x:v>
      </x:c>
      <x:c r="P956" s="9" t="n">
        <x:v>9409000</x:v>
      </x:c>
      <x:c r="Q956" s="11" t="n">
        <x:v>0</x:v>
      </x:c>
      <x:c r="R956" s="8" t="n">
        <x:v>45385</x:v>
      </x:c>
      <x:c r="S956" s="4" t="str">
        <x:v>Retained</x:v>
      </x:c>
      <x:c r="T956" s="10" t="n">
        <x:v>0.351536</x:v>
      </x:c>
      <x:c r="U956" s="4" t="str">
        <x:v>Train</x:v>
      </x:c>
    </x:row>
    <x:row r="957" ht="34" customHeight="1">
      <x:c r="A957" s="4" t="str">
        <x:v>RS-00956</x:v>
      </x:c>
      <x:c r="B957" s="8" t="n">
        <x:v>45326</x:v>
      </x:c>
      <x:c r="C957" s="4" t="str">
        <x:v>PRJ-016</x:v>
      </x:c>
      <x:c r="D957" s="4" t="str">
        <x:v>Apartment</x:v>
      </x:c>
      <x:c r="E957" s="4" t="str">
        <x:v>Agreement signed</x:v>
      </x:c>
      <x:c r="F957" s="4" t="str">
        <x:v>CUS-00956</x:v>
      </x:c>
      <x:c r="G957" s="4" t="str">
        <x:v>UNIT-00956</x:v>
      </x:c>
      <x:c r="H957" s="9" t="n">
        <x:v>12200000</x:v>
      </x:c>
      <x:c r="I957" s="10" t="n">
        <x:v>0.01</x:v>
      </x:c>
      <x:c r="J957" s="11" t="n">
        <x:v>9</x:v>
      </x:c>
      <x:c r="K957" s="11" t="n">
        <x:v>3</x:v>
      </x:c>
      <x:c r="L957" s="11" t="n">
        <x:v>1</x:v>
      </x:c>
      <x:c r="M957" s="9" t="n">
        <x:f>ROUND(H957*(1-I957),2)</x:f>
        <x:v>12078000</x:v>
      </x:c>
      <x:c r="N957" s="4" t="str">
        <x:v>Sales manager</x:v>
      </x:c>
      <x:c r="O957" s="4" t="str">
        <x:v>BOOK-00956</x:v>
      </x:c>
      <x:c r="P957" s="9" t="n">
        <x:v>12078000</x:v>
      </x:c>
      <x:c r="Q957" s="11" t="n">
        <x:v>0</x:v>
      </x:c>
      <x:c r="R957" s="8" t="n">
        <x:v>45386</x:v>
      </x:c>
      <x:c r="S957" s="4" t="str">
        <x:v>Retained</x:v>
      </x:c>
      <x:c r="T957" s="10" t="n">
        <x:v>0.254545</x:v>
      </x:c>
      <x:c r="U957" s="4" t="str">
        <x:v>Train</x:v>
      </x:c>
    </x:row>
    <x:row r="958" ht="34" customHeight="1">
      <x:c r="A958" s="4" t="str">
        <x:v>RS-00957</x:v>
      </x:c>
      <x:c r="B958" s="8" t="n">
        <x:v>45327</x:v>
      </x:c>
      <x:c r="C958" s="4" t="str">
        <x:v>PRJ-017</x:v>
      </x:c>
      <x:c r="D958" s="4" t="str">
        <x:v>Villa</x:v>
      </x:c>
      <x:c r="E958" s="4" t="str">
        <x:v>Cancelled</x:v>
      </x:c>
      <x:c r="F958" s="4" t="str">
        <x:v>CUS-00957</x:v>
      </x:c>
      <x:c r="G958" s="4" t="str">
        <x:v>UNIT-00957</x:v>
      </x:c>
      <x:c r="H958" s="9" t="n">
        <x:v>7500000</x:v>
      </x:c>
      <x:c r="I958" s="10" t="n">
        <x:v>0.09</x:v>
      </x:c>
      <x:c r="J958" s="11" t="n">
        <x:v>11</x:v>
      </x:c>
      <x:c r="K958" s="11" t="n">
        <x:v>8</x:v>
      </x:c>
      <x:c r="L958" s="11" t="n">
        <x:v>0</x:v>
      </x:c>
      <x:c r="M958" s="9" t="n">
        <x:f>ROUND(H958*(1-I958),2)</x:f>
        <x:v>6825000</x:v>
      </x:c>
      <x:c r="N958" s="4" t="str">
        <x:v>Sales head</x:v>
      </x:c>
      <x:c r="O958" s="4"/>
      <x:c r="P958" s="9" t="n">
        <x:v>0</x:v>
      </x:c>
      <x:c r="Q958" s="11" t="n">
        <x:v>1</x:v>
      </x:c>
      <x:c r="R958" s="8" t="n">
        <x:v>45387</x:v>
      </x:c>
      <x:c r="S958" s="4" t="str">
        <x:v>Lost / cancelled</x:v>
      </x:c>
      <x:c r="T958" s="10" t="n">
        <x:v>0.351536</x:v>
      </x:c>
      <x:c r="U958" s="4" t="str">
        <x:v>Train</x:v>
      </x:c>
    </x:row>
    <x:row r="959" ht="34" customHeight="1">
      <x:c r="A959" s="4" t="str">
        <x:v>RS-00958</x:v>
      </x:c>
      <x:c r="B959" s="8" t="n">
        <x:v>45328</x:v>
      </x:c>
      <x:c r="C959" s="4" t="str">
        <x:v>PRJ-018</x:v>
      </x:c>
      <x:c r="D959" s="4" t="str">
        <x:v>Apartment</x:v>
      </x:c>
      <x:c r="E959" s="4" t="str">
        <x:v>Enquiry</x:v>
      </x:c>
      <x:c r="F959" s="4" t="str">
        <x:v>CUS-00958</x:v>
      </x:c>
      <x:c r="G959" s="4" t="str">
        <x:v>UNIT-00958</x:v>
      </x:c>
      <x:c r="H959" s="9" t="n">
        <x:v>14300000</x:v>
      </x:c>
      <x:c r="I959" s="10" t="n">
        <x:v>0.07</x:v>
      </x:c>
      <x:c r="J959" s="11" t="n">
        <x:v>9</x:v>
      </x:c>
      <x:c r="K959" s="11" t="n">
        <x:v>2</x:v>
      </x:c>
      <x:c r="L959" s="11" t="n">
        <x:v>1</x:v>
      </x:c>
      <x:c r="M959" s="9" t="n">
        <x:f>ROUND(H959*(1-I959),2)</x:f>
        <x:v>13299000</x:v>
      </x:c>
      <x:c r="N959" s="4" t="str">
        <x:v>Sales manager</x:v>
      </x:c>
      <x:c r="O959" s="4"/>
      <x:c r="P959" s="9" t="n">
        <x:v>0</x:v>
      </x:c>
      <x:c r="Q959" s="11" t="n">
        <x:v>0</x:v>
      </x:c>
      <x:c r="R959" s="8" t="n">
        <x:v>45388</x:v>
      </x:c>
      <x:c r="S959" s="4" t="str">
        <x:v>Retained</x:v>
      </x:c>
      <x:c r="T959" s="10" t="n">
        <x:v>0.310195</x:v>
      </x:c>
      <x:c r="U959" s="4" t="str">
        <x:v>Train</x:v>
      </x:c>
    </x:row>
    <x:row r="960" ht="34" customHeight="1">
      <x:c r="A960" s="4" t="str">
        <x:v>RS-00959</x:v>
      </x:c>
      <x:c r="B960" s="8" t="n">
        <x:v>45329</x:v>
      </x:c>
      <x:c r="C960" s="4" t="str">
        <x:v>PRJ-019</x:v>
      </x:c>
      <x:c r="D960" s="4" t="str">
        <x:v>Apartment</x:v>
      </x:c>
      <x:c r="E960" s="4" t="str">
        <x:v>Booked</x:v>
      </x:c>
      <x:c r="F960" s="4" t="str">
        <x:v>CUS-00959</x:v>
      </x:c>
      <x:c r="G960" s="4" t="str">
        <x:v>UNIT-00959</x:v>
      </x:c>
      <x:c r="H960" s="9" t="n">
        <x:v>17600000</x:v>
      </x:c>
      <x:c r="I960" s="10" t="n">
        <x:v>0.03</x:v>
      </x:c>
      <x:c r="J960" s="11" t="n">
        <x:v>1</x:v>
      </x:c>
      <x:c r="K960" s="11" t="n">
        <x:v>2</x:v>
      </x:c>
      <x:c r="L960" s="11" t="n">
        <x:v>0</x:v>
      </x:c>
      <x:c r="M960" s="9" t="n">
        <x:f>ROUND(H960*(1-I960),2)</x:f>
        <x:v>17072000</x:v>
      </x:c>
      <x:c r="N960" s="4" t="str">
        <x:v>Sales manager</x:v>
      </x:c>
      <x:c r="O960" s="4" t="str">
        <x:v>BOOK-00959</x:v>
      </x:c>
      <x:c r="P960" s="9" t="n">
        <x:v>1707200</x:v>
      </x:c>
      <x:c r="Q960" s="11" t="n">
        <x:v>0</x:v>
      </x:c>
      <x:c r="R960" s="8" t="n">
        <x:v>45389</x:v>
      </x:c>
      <x:c r="S960" s="4" t="str">
        <x:v>Retained</x:v>
      </x:c>
      <x:c r="T960" s="10" t="n">
        <x:v>0.072165</x:v>
      </x:c>
      <x:c r="U960" s="4" t="str">
        <x:v>Train</x:v>
      </x:c>
    </x:row>
    <x:row r="961" ht="34" customHeight="1">
      <x:c r="A961" s="4" t="str">
        <x:v>RS-00960</x:v>
      </x:c>
      <x:c r="B961" s="8" t="n">
        <x:v>45330</x:v>
      </x:c>
      <x:c r="C961" s="4" t="str">
        <x:v>PRJ-020</x:v>
      </x:c>
      <x:c r="D961" s="4" t="str">
        <x:v>Office</x:v>
      </x:c>
      <x:c r="E961" s="4" t="str">
        <x:v>Enquiry</x:v>
      </x:c>
      <x:c r="F961" s="4" t="str">
        <x:v>CUS-00960</x:v>
      </x:c>
      <x:c r="G961" s="4" t="str">
        <x:v>UNIT-00960</x:v>
      </x:c>
      <x:c r="H961" s="9" t="n">
        <x:v>15300000</x:v>
      </x:c>
      <x:c r="I961" s="10" t="n">
        <x:v>0.07</x:v>
      </x:c>
      <x:c r="J961" s="11" t="n">
        <x:v>8</x:v>
      </x:c>
      <x:c r="K961" s="11" t="n">
        <x:v>5</x:v>
      </x:c>
      <x:c r="L961" s="11" t="n">
        <x:v>1</x:v>
      </x:c>
      <x:c r="M961" s="9" t="n">
        <x:f>ROUND(H961*(1-I961),2)</x:f>
        <x:v>14229000</x:v>
      </x:c>
      <x:c r="N961" s="4" t="str">
        <x:v>Sales manager</x:v>
      </x:c>
      <x:c r="O961" s="4"/>
      <x:c r="P961" s="9" t="n">
        <x:v>0</x:v>
      </x:c>
      <x:c r="Q961" s="11" t="n">
        <x:v>1</x:v>
      </x:c>
      <x:c r="R961" s="8" t="n">
        <x:v>45390</x:v>
      </x:c>
      <x:c r="S961" s="4" t="str">
        <x:v>Lost / cancelled</x:v>
      </x:c>
      <x:c r="T961" s="10" t="n">
        <x:v>0.310195</x:v>
      </x:c>
      <x:c r="U961" s="4" t="str">
        <x:v>Train</x:v>
      </x:c>
    </x:row>
    <x:row r="962" ht="34" customHeight="1">
      <x:c r="A962" s="4" t="str">
        <x:v>RS-00961</x:v>
      </x:c>
      <x:c r="B962" s="8" t="n">
        <x:v>45331</x:v>
      </x:c>
      <x:c r="C962" s="4" t="str">
        <x:v>PRJ-001</x:v>
      </x:c>
      <x:c r="D962" s="4" t="str">
        <x:v>Retail</x:v>
      </x:c>
      <x:c r="E962" s="4" t="str">
        <x:v>Enquiry</x:v>
      </x:c>
      <x:c r="F962" s="4" t="str">
        <x:v>CUS-00961</x:v>
      </x:c>
      <x:c r="G962" s="4" t="str">
        <x:v>UNIT-00961</x:v>
      </x:c>
      <x:c r="H962" s="9" t="n">
        <x:v>14000000</x:v>
      </x:c>
      <x:c r="I962" s="10" t="n">
        <x:v>0.04</x:v>
      </x:c>
      <x:c r="J962" s="11" t="n">
        <x:v>5</x:v>
      </x:c>
      <x:c r="K962" s="11" t="n">
        <x:v>9</x:v>
      </x:c>
      <x:c r="L962" s="11" t="n">
        <x:v>1</x:v>
      </x:c>
      <x:c r="M962" s="9" t="n">
        <x:f>ROUND(H962*(1-I962),2)</x:f>
        <x:v>13440000</x:v>
      </x:c>
      <x:c r="N962" s="4" t="str">
        <x:v>Sales manager</x:v>
      </x:c>
      <x:c r="O962" s="4"/>
      <x:c r="P962" s="9" t="n">
        <x:v>0</x:v>
      </x:c>
      <x:c r="Q962" s="11" t="n">
        <x:v>0</x:v>
      </x:c>
      <x:c r="R962" s="8" t="n">
        <x:v>45391</x:v>
      </x:c>
      <x:c r="S962" s="4" t="str">
        <x:v>Retained</x:v>
      </x:c>
      <x:c r="T962" s="10" t="n">
        <x:v>0.291946</x:v>
      </x:c>
      <x:c r="U962" s="4" t="str">
        <x:v>Train</x:v>
      </x:c>
    </x:row>
    <x:row r="963" ht="34" customHeight="1">
      <x:c r="A963" s="4" t="str">
        <x:v>RS-00962</x:v>
      </x:c>
      <x:c r="B963" s="8" t="n">
        <x:v>45332</x:v>
      </x:c>
      <x:c r="C963" s="4" t="str">
        <x:v>PRJ-002</x:v>
      </x:c>
      <x:c r="D963" s="4" t="str">
        <x:v>Retail</x:v>
      </x:c>
      <x:c r="E963" s="4" t="str">
        <x:v>Handed over</x:v>
      </x:c>
      <x:c r="F963" s="4" t="str">
        <x:v>CUS-00962</x:v>
      </x:c>
      <x:c r="G963" s="4" t="str">
        <x:v>UNIT-00962</x:v>
      </x:c>
      <x:c r="H963" s="9" t="n">
        <x:v>22900000</x:v>
      </x:c>
      <x:c r="I963" s="10" t="n">
        <x:v>0.01</x:v>
      </x:c>
      <x:c r="J963" s="11" t="n">
        <x:v>11</x:v>
      </x:c>
      <x:c r="K963" s="11" t="n">
        <x:v>3</x:v>
      </x:c>
      <x:c r="L963" s="11" t="n">
        <x:v>0</x:v>
      </x:c>
      <x:c r="M963" s="9" t="n">
        <x:f>ROUND(H963*(1-I963),2)</x:f>
        <x:v>22671000</x:v>
      </x:c>
      <x:c r="N963" s="4" t="str">
        <x:v>Sales manager</x:v>
      </x:c>
      <x:c r="O963" s="4" t="str">
        <x:v>BOOK-00962</x:v>
      </x:c>
      <x:c r="P963" s="9" t="n">
        <x:v>2267100</x:v>
      </x:c>
      <x:c r="Q963" s="11" t="n">
        <x:v>0</x:v>
      </x:c>
      <x:c r="R963" s="8" t="n">
        <x:v>45392</x:v>
      </x:c>
      <x:c r="S963" s="4" t="str">
        <x:v>Retained</x:v>
      </x:c>
      <x:c r="T963" s="10" t="n">
        <x:v>0.305556</x:v>
      </x:c>
      <x:c r="U963" s="4" t="str">
        <x:v>Train</x:v>
      </x:c>
    </x:row>
    <x:row r="964" ht="34" customHeight="1">
      <x:c r="A964" s="4" t="str">
        <x:v>RS-00963</x:v>
      </x:c>
      <x:c r="B964" s="8" t="n">
        <x:v>45333</x:v>
      </x:c>
      <x:c r="C964" s="4" t="str">
        <x:v>PRJ-003</x:v>
      </x:c>
      <x:c r="D964" s="4" t="str">
        <x:v>Retail</x:v>
      </x:c>
      <x:c r="E964" s="4" t="str">
        <x:v>Handed over</x:v>
      </x:c>
      <x:c r="F964" s="4" t="str">
        <x:v>CUS-00963</x:v>
      </x:c>
      <x:c r="G964" s="4" t="str">
        <x:v>UNIT-00963</x:v>
      </x:c>
      <x:c r="H964" s="9" t="n">
        <x:v>23800000</x:v>
      </x:c>
      <x:c r="I964" s="10" t="n">
        <x:v>0.12</x:v>
      </x:c>
      <x:c r="J964" s="11" t="n">
        <x:v>7</x:v>
      </x:c>
      <x:c r="K964" s="11" t="n">
        <x:v>7</x:v>
      </x:c>
      <x:c r="L964" s="11" t="n">
        <x:v>0</x:v>
      </x:c>
      <x:c r="M964" s="9" t="n">
        <x:f>ROUND(H964*(1-I964),2)</x:f>
        <x:v>20944000</x:v>
      </x:c>
      <x:c r="N964" s="4" t="str">
        <x:v>Sales head</x:v>
      </x:c>
      <x:c r="O964" s="4" t="str">
        <x:v>BOOK-00963</x:v>
      </x:c>
      <x:c r="P964" s="9" t="n">
        <x:v>10472000</x:v>
      </x:c>
      <x:c r="Q964" s="11" t="n">
        <x:v>0</x:v>
      </x:c>
      <x:c r="R964" s="8" t="n">
        <x:v>45393</x:v>
      </x:c>
      <x:c r="S964" s="4" t="str">
        <x:v>Retained</x:v>
      </x:c>
      <x:c r="T964" s="10" t="n">
        <x:v>0.226277</x:v>
      </x:c>
      <x:c r="U964" s="4" t="str">
        <x:v>Train</x:v>
      </x:c>
    </x:row>
    <x:row r="965" ht="34" customHeight="1">
      <x:c r="A965" s="4" t="str">
        <x:v>RS-00964</x:v>
      </x:c>
      <x:c r="B965" s="8" t="n">
        <x:v>45334</x:v>
      </x:c>
      <x:c r="C965" s="4" t="str">
        <x:v>PRJ-004</x:v>
      </x:c>
      <x:c r="D965" s="4" t="str">
        <x:v>Apartment</x:v>
      </x:c>
      <x:c r="E965" s="4" t="str">
        <x:v>Agreement signed</x:v>
      </x:c>
      <x:c r="F965" s="4" t="str">
        <x:v>CUS-00964</x:v>
      </x:c>
      <x:c r="G965" s="4" t="str">
        <x:v>UNIT-00964</x:v>
      </x:c>
      <x:c r="H965" s="9" t="n">
        <x:v>5600000</x:v>
      </x:c>
      <x:c r="I965" s="10" t="n">
        <x:v>0.11</x:v>
      </x:c>
      <x:c r="J965" s="11" t="n">
        <x:v>10</x:v>
      </x:c>
      <x:c r="K965" s="11" t="n">
        <x:v>8</x:v>
      </x:c>
      <x:c r="L965" s="11" t="n">
        <x:v>1</x:v>
      </x:c>
      <x:c r="M965" s="9" t="n">
        <x:f>ROUND(H965*(1-I965),2)</x:f>
        <x:v>4984000</x:v>
      </x:c>
      <x:c r="N965" s="4" t="str">
        <x:v>Sales head</x:v>
      </x:c>
      <x:c r="O965" s="4" t="str">
        <x:v>BOOK-00964</x:v>
      </x:c>
      <x:c r="P965" s="9" t="n">
        <x:v>4984000</x:v>
      </x:c>
      <x:c r="Q965" s="11" t="n">
        <x:v>0</x:v>
      </x:c>
      <x:c r="R965" s="8" t="n">
        <x:v>45394</x:v>
      </x:c>
      <x:c r="S965" s="4" t="str">
        <x:v>Retained</x:v>
      </x:c>
      <x:c r="T965" s="10" t="n">
        <x:v>0.310195</x:v>
      </x:c>
      <x:c r="U965" s="4" t="str">
        <x:v>Train</x:v>
      </x:c>
    </x:row>
    <x:row r="966" ht="34" customHeight="1">
      <x:c r="A966" s="4" t="str">
        <x:v>RS-00965</x:v>
      </x:c>
      <x:c r="B966" s="8" t="n">
        <x:v>45335</x:v>
      </x:c>
      <x:c r="C966" s="4" t="str">
        <x:v>PRJ-005</x:v>
      </x:c>
      <x:c r="D966" s="4" t="str">
        <x:v>Retail</x:v>
      </x:c>
      <x:c r="E966" s="4" t="str">
        <x:v>Agreement signed</x:v>
      </x:c>
      <x:c r="F966" s="4" t="str">
        <x:v>CUS-00965</x:v>
      </x:c>
      <x:c r="G966" s="4" t="str">
        <x:v>UNIT-00965</x:v>
      </x:c>
      <x:c r="H966" s="9" t="n">
        <x:v>24900000</x:v>
      </x:c>
      <x:c r="I966" s="10" t="n">
        <x:v>0.01</x:v>
      </x:c>
      <x:c r="J966" s="11" t="n">
        <x:v>11</x:v>
      </x:c>
      <x:c r="K966" s="11" t="n">
        <x:v>5</x:v>
      </x:c>
      <x:c r="L966" s="11" t="n">
        <x:v>1</x:v>
      </x:c>
      <x:c r="M966" s="9" t="n">
        <x:f>ROUND(H966*(1-I966),2)</x:f>
        <x:v>24651000</x:v>
      </x:c>
      <x:c r="N966" s="4" t="str">
        <x:v>Sales manager</x:v>
      </x:c>
      <x:c r="O966" s="4" t="str">
        <x:v>BOOK-00965</x:v>
      </x:c>
      <x:c r="P966" s="9" t="n">
        <x:v>24651000</x:v>
      </x:c>
      <x:c r="Q966" s="11" t="n">
        <x:v>0</x:v>
      </x:c>
      <x:c r="R966" s="8" t="n">
        <x:v>45395</x:v>
      </x:c>
      <x:c r="S966" s="4" t="str">
        <x:v>Retained</x:v>
      </x:c>
      <x:c r="T966" s="10" t="n">
        <x:v>0.254545</x:v>
      </x:c>
      <x:c r="U966" s="4" t="str">
        <x:v>Train</x:v>
      </x:c>
    </x:row>
    <x:row r="967" ht="34" customHeight="1">
      <x:c r="A967" s="4" t="str">
        <x:v>RS-00966</x:v>
      </x:c>
      <x:c r="B967" s="8" t="n">
        <x:v>45336</x:v>
      </x:c>
      <x:c r="C967" s="4" t="str">
        <x:v>PRJ-006</x:v>
      </x:c>
      <x:c r="D967" s="4" t="str">
        <x:v>Apartment</x:v>
      </x:c>
      <x:c r="E967" s="4" t="str">
        <x:v>Handed over</x:v>
      </x:c>
      <x:c r="F967" s="4" t="str">
        <x:v>CUS-00966</x:v>
      </x:c>
      <x:c r="G967" s="4" t="str">
        <x:v>UNIT-00966</x:v>
      </x:c>
      <x:c r="H967" s="9" t="n">
        <x:v>12100000</x:v>
      </x:c>
      <x:c r="I967" s="10" t="n">
        <x:v>0.03</x:v>
      </x:c>
      <x:c r="J967" s="11" t="n">
        <x:v>7</x:v>
      </x:c>
      <x:c r="K967" s="11" t="n">
        <x:v>7</x:v>
      </x:c>
      <x:c r="L967" s="11" t="n">
        <x:v>0</x:v>
      </x:c>
      <x:c r="M967" s="9" t="n">
        <x:f>ROUND(H967*(1-I967),2)</x:f>
        <x:v>11737000</x:v>
      </x:c>
      <x:c r="N967" s="4" t="str">
        <x:v>Sales manager</x:v>
      </x:c>
      <x:c r="O967" s="4" t="str">
        <x:v>BOOK-00966</x:v>
      </x:c>
      <x:c r="P967" s="9" t="n">
        <x:v>5868500</x:v>
      </x:c>
      <x:c r="Q967" s="11" t="n">
        <x:v>0</x:v>
      </x:c>
      <x:c r="R967" s="8" t="n">
        <x:v>45396</x:v>
      </x:c>
      <x:c r="S967" s="4" t="str">
        <x:v>Retained</x:v>
      </x:c>
      <x:c r="T967" s="10" t="n">
        <x:v>0.145299</x:v>
      </x:c>
      <x:c r="U967" s="4" t="str">
        <x:v>Train</x:v>
      </x:c>
    </x:row>
    <x:row r="968" ht="34" customHeight="1">
      <x:c r="A968" s="4" t="str">
        <x:v>RS-00967</x:v>
      </x:c>
      <x:c r="B968" s="8" t="n">
        <x:v>45337</x:v>
      </x:c>
      <x:c r="C968" s="4" t="str">
        <x:v>PRJ-007</x:v>
      </x:c>
      <x:c r="D968" s="4" t="str">
        <x:v>Retail</x:v>
      </x:c>
      <x:c r="E968" s="4" t="str">
        <x:v>Reserved</x:v>
      </x:c>
      <x:c r="F968" s="4" t="str">
        <x:v>CUS-00967</x:v>
      </x:c>
      <x:c r="G968" s="4" t="str">
        <x:v>UNIT-00967</x:v>
      </x:c>
      <x:c r="H968" s="9" t="n">
        <x:v>16000000</x:v>
      </x:c>
      <x:c r="I968" s="10" t="n">
        <x:v>0.11</x:v>
      </x:c>
      <x:c r="J968" s="11" t="n">
        <x:v>4</x:v>
      </x:c>
      <x:c r="K968" s="11" t="n">
        <x:v>3</x:v>
      </x:c>
      <x:c r="L968" s="11" t="n">
        <x:v>1</x:v>
      </x:c>
      <x:c r="M968" s="9" t="n">
        <x:f>ROUND(H968*(1-I968),2)</x:f>
        <x:v>14240000</x:v>
      </x:c>
      <x:c r="N968" s="4" t="str">
        <x:v>Sales head</x:v>
      </x:c>
      <x:c r="O968" s="4"/>
      <x:c r="P968" s="9" t="n">
        <x:v>0</x:v>
      </x:c>
      <x:c r="Q968" s="11" t="n">
        <x:v>1</x:v>
      </x:c>
      <x:c r="R968" s="8" t="n">
        <x:v>45397</x:v>
      </x:c>
      <x:c r="S968" s="4" t="str">
        <x:v>Lost / cancelled</x:v>
      </x:c>
      <x:c r="T968" s="10" t="n">
        <x:v>0.291946</x:v>
      </x:c>
      <x:c r="U968" s="4" t="str">
        <x:v>Train</x:v>
      </x:c>
    </x:row>
    <x:row r="969" ht="34" customHeight="1">
      <x:c r="A969" s="4" t="str">
        <x:v>RS-00968</x:v>
      </x:c>
      <x:c r="B969" s="8" t="n">
        <x:v>45338</x:v>
      </x:c>
      <x:c r="C969" s="4" t="str">
        <x:v>PRJ-008</x:v>
      </x:c>
      <x:c r="D969" s="4" t="str">
        <x:v>Office</x:v>
      </x:c>
      <x:c r="E969" s="4" t="str">
        <x:v>Agreement signed</x:v>
      </x:c>
      <x:c r="F969" s="4" t="str">
        <x:v>CUS-00968</x:v>
      </x:c>
      <x:c r="G969" s="4" t="str">
        <x:v>UNIT-00968</x:v>
      </x:c>
      <x:c r="H969" s="9" t="n">
        <x:v>24100000</x:v>
      </x:c>
      <x:c r="I969" s="10" t="n">
        <x:v>0.1</x:v>
      </x:c>
      <x:c r="J969" s="11" t="n">
        <x:v>7</x:v>
      </x:c>
      <x:c r="K969" s="11" t="n">
        <x:v>6</x:v>
      </x:c>
      <x:c r="L969" s="11" t="n">
        <x:v>1</x:v>
      </x:c>
      <x:c r="M969" s="9" t="n">
        <x:f>ROUND(H969*(1-I969),2)</x:f>
        <x:v>21690000</x:v>
      </x:c>
      <x:c r="N969" s="4" t="str">
        <x:v>Sales head</x:v>
      </x:c>
      <x:c r="O969" s="4" t="str">
        <x:v>BOOK-00968</x:v>
      </x:c>
      <x:c r="P969" s="9" t="n">
        <x:v>10845000</x:v>
      </x:c>
      <x:c r="Q969" s="11" t="n">
        <x:v>0</x:v>
      </x:c>
      <x:c r="R969" s="8" t="n">
        <x:v>45398</x:v>
      </x:c>
      <x:c r="S969" s="4" t="str">
        <x:v>Retained</x:v>
      </x:c>
      <x:c r="T969" s="10" t="n">
        <x:v>0.291946</x:v>
      </x:c>
      <x:c r="U969" s="4" t="str">
        <x:v>Train</x:v>
      </x:c>
    </x:row>
    <x:row r="970" ht="34" customHeight="1">
      <x:c r="A970" s="4" t="str">
        <x:v>RS-00969</x:v>
      </x:c>
      <x:c r="B970" s="8" t="n">
        <x:v>45339</x:v>
      </x:c>
      <x:c r="C970" s="4" t="str">
        <x:v>PRJ-009</x:v>
      </x:c>
      <x:c r="D970" s="4" t="str">
        <x:v>Apartment</x:v>
      </x:c>
      <x:c r="E970" s="4" t="str">
        <x:v>Handed over</x:v>
      </x:c>
      <x:c r="F970" s="4" t="str">
        <x:v>CUS-00969</x:v>
      </x:c>
      <x:c r="G970" s="4" t="str">
        <x:v>UNIT-00969</x:v>
      </x:c>
      <x:c r="H970" s="9" t="n">
        <x:v>16600000</x:v>
      </x:c>
      <x:c r="I970" s="10" t="n">
        <x:v>0.03</x:v>
      </x:c>
      <x:c r="J970" s="11" t="n">
        <x:v>11</x:v>
      </x:c>
      <x:c r="K970" s="11" t="n">
        <x:v>3</x:v>
      </x:c>
      <x:c r="L970" s="11" t="n">
        <x:v>1</x:v>
      </x:c>
      <x:c r="M970" s="9" t="n">
        <x:f>ROUND(H970*(1-I970),2)</x:f>
        <x:v>16102000</x:v>
      </x:c>
      <x:c r="N970" s="4" t="str">
        <x:v>Sales manager</x:v>
      </x:c>
      <x:c r="O970" s="4" t="str">
        <x:v>BOOK-00969</x:v>
      </x:c>
      <x:c r="P970" s="9" t="n">
        <x:v>1610200</x:v>
      </x:c>
      <x:c r="Q970" s="11" t="n">
        <x:v>0</x:v>
      </x:c>
      <x:c r="R970" s="8" t="n">
        <x:v>45399</x:v>
      </x:c>
      <x:c r="S970" s="4" t="str">
        <x:v>Retained</x:v>
      </x:c>
      <x:c r="T970" s="10" t="n">
        <x:v>0.351536</x:v>
      </x:c>
      <x:c r="U970" s="4" t="str">
        <x:v>Train</x:v>
      </x:c>
    </x:row>
    <x:row r="971" ht="34" customHeight="1">
      <x:c r="A971" s="4" t="str">
        <x:v>RS-00970</x:v>
      </x:c>
      <x:c r="B971" s="8" t="n">
        <x:v>45340</x:v>
      </x:c>
      <x:c r="C971" s="4" t="str">
        <x:v>PRJ-010</x:v>
      </x:c>
      <x:c r="D971" s="4" t="str">
        <x:v>Office</x:v>
      </x:c>
      <x:c r="E971" s="4" t="str">
        <x:v>Reserved</x:v>
      </x:c>
      <x:c r="F971" s="4" t="str">
        <x:v>CUS-00970</x:v>
      </x:c>
      <x:c r="G971" s="4" t="str">
        <x:v>UNIT-00970</x:v>
      </x:c>
      <x:c r="H971" s="9" t="n">
        <x:v>17600000</x:v>
      </x:c>
      <x:c r="I971" s="10" t="n">
        <x:v>0.08</x:v>
      </x:c>
      <x:c r="J971" s="11" t="n">
        <x:v>6</x:v>
      </x:c>
      <x:c r="K971" s="11" t="n">
        <x:v>5</x:v>
      </x:c>
      <x:c r="L971" s="11" t="n">
        <x:v>1</x:v>
      </x:c>
      <x:c r="M971" s="9" t="n">
        <x:f>ROUND(H971*(1-I971),2)</x:f>
        <x:v>16192000</x:v>
      </x:c>
      <x:c r="N971" s="4" t="str">
        <x:v>Sales head</x:v>
      </x:c>
      <x:c r="O971" s="4"/>
      <x:c r="P971" s="9" t="n">
        <x:v>0</x:v>
      </x:c>
      <x:c r="Q971" s="11" t="n">
        <x:v>0</x:v>
      </x:c>
      <x:c r="R971" s="8" t="n">
        <x:v>45400</x:v>
      </x:c>
      <x:c r="S971" s="4" t="str">
        <x:v>Retained</x:v>
      </x:c>
      <x:c r="T971" s="10" t="n">
        <x:v>0.291946</x:v>
      </x:c>
      <x:c r="U971" s="4" t="str">
        <x:v>Train</x:v>
      </x:c>
    </x:row>
    <x:row r="972" ht="34" customHeight="1">
      <x:c r="A972" s="4" t="str">
        <x:v>RS-00971</x:v>
      </x:c>
      <x:c r="B972" s="8" t="n">
        <x:v>45341</x:v>
      </x:c>
      <x:c r="C972" s="4" t="str">
        <x:v>PRJ-011</x:v>
      </x:c>
      <x:c r="D972" s="4" t="str">
        <x:v>Office</x:v>
      </x:c>
      <x:c r="E972" s="4" t="str">
        <x:v>Reserved</x:v>
      </x:c>
      <x:c r="F972" s="4" t="str">
        <x:v>CUS-00971</x:v>
      </x:c>
      <x:c r="G972" s="4" t="str">
        <x:v>UNIT-00971</x:v>
      </x:c>
      <x:c r="H972" s="9" t="n">
        <x:v>20700000</x:v>
      </x:c>
      <x:c r="I972" s="10" t="n">
        <x:v>0.02</x:v>
      </x:c>
      <x:c r="J972" s="11" t="n">
        <x:v>2</x:v>
      </x:c>
      <x:c r="K972" s="11" t="n">
        <x:v>7</x:v>
      </x:c>
      <x:c r="L972" s="11" t="n">
        <x:v>0</x:v>
      </x:c>
      <x:c r="M972" s="9" t="n">
        <x:f>ROUND(H972*(1-I972),2)</x:f>
        <x:v>20286000</x:v>
      </x:c>
      <x:c r="N972" s="4" t="str">
        <x:v>Sales manager</x:v>
      </x:c>
      <x:c r="O972" s="4"/>
      <x:c r="P972" s="9" t="n">
        <x:v>0</x:v>
      </x:c>
      <x:c r="Q972" s="11" t="n">
        <x:v>0</x:v>
      </x:c>
      <x:c r="R972" s="8" t="n">
        <x:v>45401</x:v>
      </x:c>
      <x:c r="S972" s="4" t="str">
        <x:v>Retained</x:v>
      </x:c>
      <x:c r="T972" s="10" t="n">
        <x:v>0.171717</x:v>
      </x:c>
      <x:c r="U972" s="4" t="str">
        <x:v>Train</x:v>
      </x:c>
    </x:row>
    <x:row r="973" ht="34" customHeight="1">
      <x:c r="A973" s="4" t="str">
        <x:v>RS-00972</x:v>
      </x:c>
      <x:c r="B973" s="8" t="n">
        <x:v>45342</x:v>
      </x:c>
      <x:c r="C973" s="4" t="str">
        <x:v>PRJ-012</x:v>
      </x:c>
      <x:c r="D973" s="4" t="str">
        <x:v>Office</x:v>
      </x:c>
      <x:c r="E973" s="4" t="str">
        <x:v>Reserved</x:v>
      </x:c>
      <x:c r="F973" s="4" t="str">
        <x:v>CUS-00972</x:v>
      </x:c>
      <x:c r="G973" s="4" t="str">
        <x:v>UNIT-00972</x:v>
      </x:c>
      <x:c r="H973" s="9" t="n">
        <x:v>8800000</x:v>
      </x:c>
      <x:c r="I973" s="10" t="n">
        <x:v>0.05</x:v>
      </x:c>
      <x:c r="J973" s="11" t="n">
        <x:v>1</x:v>
      </x:c>
      <x:c r="K973" s="11" t="n">
        <x:v>7</x:v>
      </x:c>
      <x:c r="L973" s="11" t="n">
        <x:v>1</x:v>
      </x:c>
      <x:c r="M973" s="9" t="n">
        <x:f>ROUND(H973*(1-I973),2)</x:f>
        <x:v>8360000</x:v>
      </x:c>
      <x:c r="N973" s="4" t="str">
        <x:v>Sales manager</x:v>
      </x:c>
      <x:c r="O973" s="4"/>
      <x:c r="P973" s="9" t="n">
        <x:v>0</x:v>
      </x:c>
      <x:c r="Q973" s="11" t="n">
        <x:v>0</x:v>
      </x:c>
      <x:c r="R973" s="8" t="n">
        <x:v>45402</x:v>
      </x:c>
      <x:c r="S973" s="4" t="str">
        <x:v>Retained</x:v>
      </x:c>
      <x:c r="T973" s="10" t="n">
        <x:v>0.204152</x:v>
      </x:c>
      <x:c r="U973" s="4" t="str">
        <x:v>Train</x:v>
      </x:c>
    </x:row>
    <x:row r="974" ht="34" customHeight="1">
      <x:c r="A974" s="4" t="str">
        <x:v>RS-00973</x:v>
      </x:c>
      <x:c r="B974" s="8" t="n">
        <x:v>45343</x:v>
      </x:c>
      <x:c r="C974" s="4" t="str">
        <x:v>PRJ-013</x:v>
      </x:c>
      <x:c r="D974" s="4" t="str">
        <x:v>Retail</x:v>
      </x:c>
      <x:c r="E974" s="4" t="str">
        <x:v>Cancelled</x:v>
      </x:c>
      <x:c r="F974" s="4" t="str">
        <x:v>CUS-00973</x:v>
      </x:c>
      <x:c r="G974" s="4" t="str">
        <x:v>UNIT-00973</x:v>
      </x:c>
      <x:c r="H974" s="9" t="n">
        <x:v>15100000</x:v>
      </x:c>
      <x:c r="I974" s="10" t="n">
        <x:v>0.1</x:v>
      </x:c>
      <x:c r="J974" s="11" t="n">
        <x:v>5</x:v>
      </x:c>
      <x:c r="K974" s="11" t="n">
        <x:v>10</x:v>
      </x:c>
      <x:c r="L974" s="11" t="n">
        <x:v>0</x:v>
      </x:c>
      <x:c r="M974" s="9" t="n">
        <x:f>ROUND(H974*(1-I974),2)</x:f>
        <x:v>13590000</x:v>
      </x:c>
      <x:c r="N974" s="4" t="str">
        <x:v>Sales head</x:v>
      </x:c>
      <x:c r="O974" s="4"/>
      <x:c r="P974" s="9" t="n">
        <x:v>0</x:v>
      </x:c>
      <x:c r="Q974" s="11" t="n">
        <x:v>1</x:v>
      </x:c>
      <x:c r="R974" s="8" t="n">
        <x:v>45403</x:v>
      </x:c>
      <x:c r="S974" s="4" t="str">
        <x:v>Lost / cancelled</x:v>
      </x:c>
      <x:c r="T974" s="10" t="n">
        <x:v>0.226277</x:v>
      </x:c>
      <x:c r="U974" s="4" t="str">
        <x:v>Train</x:v>
      </x:c>
    </x:row>
    <x:row r="975" ht="34" customHeight="1">
      <x:c r="A975" s="4" t="str">
        <x:v>RS-00974</x:v>
      </x:c>
      <x:c r="B975" s="8" t="n">
        <x:v>45344</x:v>
      </x:c>
      <x:c r="C975" s="4" t="str">
        <x:v>PRJ-014</x:v>
      </x:c>
      <x:c r="D975" s="4" t="str">
        <x:v>Retail</x:v>
      </x:c>
      <x:c r="E975" s="4" t="str">
        <x:v>Booked</x:v>
      </x:c>
      <x:c r="F975" s="4" t="str">
        <x:v>CUS-00974</x:v>
      </x:c>
      <x:c r="G975" s="4" t="str">
        <x:v>UNIT-00974</x:v>
      </x:c>
      <x:c r="H975" s="9" t="n">
        <x:v>7400000</x:v>
      </x:c>
      <x:c r="I975" s="10" t="n">
        <x:v>0.08</x:v>
      </x:c>
      <x:c r="J975" s="11" t="n">
        <x:v>8</x:v>
      </x:c>
      <x:c r="K975" s="11" t="n">
        <x:v>5</x:v>
      </x:c>
      <x:c r="L975" s="11" t="n">
        <x:v>0</x:v>
      </x:c>
      <x:c r="M975" s="9" t="n">
        <x:f>ROUND(H975*(1-I975),2)</x:f>
        <x:v>6808000</x:v>
      </x:c>
      <x:c r="N975" s="4" t="str">
        <x:v>Sales head</x:v>
      </x:c>
      <x:c r="O975" s="4" t="str">
        <x:v>BOOK-00974</x:v>
      </x:c>
      <x:c r="P975" s="9" t="n">
        <x:v>6808000</x:v>
      </x:c>
      <x:c r="Q975" s="11" t="n">
        <x:v>0</x:v>
      </x:c>
      <x:c r="R975" s="8" t="n">
        <x:v>45404</x:v>
      </x:c>
      <x:c r="S975" s="4" t="str">
        <x:v>Retained</x:v>
      </x:c>
      <x:c r="T975" s="10" t="n">
        <x:v>0.310195</x:v>
      </x:c>
      <x:c r="U975" s="4" t="str">
        <x:v>Train</x:v>
      </x:c>
    </x:row>
    <x:row r="976" ht="34" customHeight="1">
      <x:c r="A976" s="4" t="str">
        <x:v>RS-00975</x:v>
      </x:c>
      <x:c r="B976" s="8" t="n">
        <x:v>45345</x:v>
      </x:c>
      <x:c r="C976" s="4" t="str">
        <x:v>PRJ-015</x:v>
      </x:c>
      <x:c r="D976" s="4" t="str">
        <x:v>Villa</x:v>
      </x:c>
      <x:c r="E976" s="4" t="str">
        <x:v>Handed over</x:v>
      </x:c>
      <x:c r="F976" s="4" t="str">
        <x:v>CUS-00975</x:v>
      </x:c>
      <x:c r="G976" s="4" t="str">
        <x:v>UNIT-00975</x:v>
      </x:c>
      <x:c r="H976" s="9" t="n">
        <x:v>11500000</x:v>
      </x:c>
      <x:c r="I976" s="10" t="n">
        <x:v>0.12</x:v>
      </x:c>
      <x:c r="J976" s="11" t="n">
        <x:v>8</x:v>
      </x:c>
      <x:c r="K976" s="11" t="n">
        <x:v>0</x:v>
      </x:c>
      <x:c r="L976" s="11" t="n">
        <x:v>1</x:v>
      </x:c>
      <x:c r="M976" s="9" t="n">
        <x:f>ROUND(H976*(1-I976),2)</x:f>
        <x:v>10120000</x:v>
      </x:c>
      <x:c r="N976" s="4" t="str">
        <x:v>Sales head</x:v>
      </x:c>
      <x:c r="O976" s="4" t="str">
        <x:v>BOOK-00975</x:v>
      </x:c>
      <x:c r="P976" s="9" t="n">
        <x:v>5060000</x:v>
      </x:c>
      <x:c r="Q976" s="11" t="n">
        <x:v>0</x:v>
      </x:c>
      <x:c r="R976" s="8" t="n">
        <x:v>45405</x:v>
      </x:c>
      <x:c r="S976" s="4" t="str">
        <x:v>Retained</x:v>
      </x:c>
      <x:c r="T976" s="10" t="n">
        <x:v>0.310195</x:v>
      </x:c>
      <x:c r="U976" s="4" t="str">
        <x:v>Train</x:v>
      </x:c>
    </x:row>
    <x:row r="977" ht="34" customHeight="1">
      <x:c r="A977" s="4" t="str">
        <x:v>RS-00976</x:v>
      </x:c>
      <x:c r="B977" s="8" t="n">
        <x:v>45346</x:v>
      </x:c>
      <x:c r="C977" s="4" t="str">
        <x:v>PRJ-016</x:v>
      </x:c>
      <x:c r="D977" s="4" t="str">
        <x:v>Villa</x:v>
      </x:c>
      <x:c r="E977" s="4" t="str">
        <x:v>Handed over</x:v>
      </x:c>
      <x:c r="F977" s="4" t="str">
        <x:v>CUS-00976</x:v>
      </x:c>
      <x:c r="G977" s="4" t="str">
        <x:v>UNIT-00976</x:v>
      </x:c>
      <x:c r="H977" s="9" t="n">
        <x:v>14700000</x:v>
      </x:c>
      <x:c r="I977" s="10" t="n">
        <x:v>0.05</x:v>
      </x:c>
      <x:c r="J977" s="11" t="n">
        <x:v>7</x:v>
      </x:c>
      <x:c r="K977" s="11" t="n">
        <x:v>2</x:v>
      </x:c>
      <x:c r="L977" s="11" t="n">
        <x:v>1</x:v>
      </x:c>
      <x:c r="M977" s="9" t="n">
        <x:f>ROUND(H977*(1-I977),2)</x:f>
        <x:v>13965000</x:v>
      </x:c>
      <x:c r="N977" s="4" t="str">
        <x:v>Sales manager</x:v>
      </x:c>
      <x:c r="O977" s="4" t="str">
        <x:v>BOOK-00976</x:v>
      </x:c>
      <x:c r="P977" s="9" t="n">
        <x:v>6982500</x:v>
      </x:c>
      <x:c r="Q977" s="11" t="n">
        <x:v>0</x:v>
      </x:c>
      <x:c r="R977" s="8" t="n">
        <x:v>45406</x:v>
      </x:c>
      <x:c r="S977" s="4" t="str">
        <x:v>Retained</x:v>
      </x:c>
      <x:c r="T977" s="10" t="n">
        <x:v>0.291946</x:v>
      </x:c>
      <x:c r="U977" s="4" t="str">
        <x:v>Train</x:v>
      </x:c>
    </x:row>
    <x:row r="978" ht="34" customHeight="1">
      <x:c r="A978" s="4" t="str">
        <x:v>RS-00977</x:v>
      </x:c>
      <x:c r="B978" s="8" t="n">
        <x:v>45347</x:v>
      </x:c>
      <x:c r="C978" s="4" t="str">
        <x:v>PRJ-017</x:v>
      </x:c>
      <x:c r="D978" s="4" t="str">
        <x:v>Retail</x:v>
      </x:c>
      <x:c r="E978" s="4" t="str">
        <x:v>Booked</x:v>
      </x:c>
      <x:c r="F978" s="4" t="str">
        <x:v>CUS-00977</x:v>
      </x:c>
      <x:c r="G978" s="4" t="str">
        <x:v>UNIT-00977</x:v>
      </x:c>
      <x:c r="H978" s="9" t="n">
        <x:v>18900000</x:v>
      </x:c>
      <x:c r="I978" s="10" t="n">
        <x:v>0.03</x:v>
      </x:c>
      <x:c r="J978" s="11" t="n">
        <x:v>11</x:v>
      </x:c>
      <x:c r="K978" s="11" t="n">
        <x:v>0</x:v>
      </x:c>
      <x:c r="L978" s="11" t="n">
        <x:v>1</x:v>
      </x:c>
      <x:c r="M978" s="9" t="n">
        <x:f>ROUND(H978*(1-I978),2)</x:f>
        <x:v>18333000</x:v>
      </x:c>
      <x:c r="N978" s="4" t="str">
        <x:v>Sales manager</x:v>
      </x:c>
      <x:c r="O978" s="4" t="str">
        <x:v>BOOK-00977</x:v>
      </x:c>
      <x:c r="P978" s="9" t="n">
        <x:v>1833300</x:v>
      </x:c>
      <x:c r="Q978" s="11" t="n">
        <x:v>0</x:v>
      </x:c>
      <x:c r="R978" s="8" t="n">
        <x:v>45407</x:v>
      </x:c>
      <x:c r="S978" s="4" t="str">
        <x:v>Retained</x:v>
      </x:c>
      <x:c r="T978" s="10" t="n">
        <x:v>0.351536</x:v>
      </x:c>
      <x:c r="U978" s="4" t="str">
        <x:v>Train</x:v>
      </x:c>
    </x:row>
    <x:row r="979" ht="34" customHeight="1">
      <x:c r="A979" s="4" t="str">
        <x:v>RS-00978</x:v>
      </x:c>
      <x:c r="B979" s="8" t="n">
        <x:v>45348</x:v>
      </x:c>
      <x:c r="C979" s="4" t="str">
        <x:v>PRJ-018</x:v>
      </x:c>
      <x:c r="D979" s="4" t="str">
        <x:v>Apartment</x:v>
      </x:c>
      <x:c r="E979" s="4" t="str">
        <x:v>Reserved</x:v>
      </x:c>
      <x:c r="F979" s="4" t="str">
        <x:v>CUS-00978</x:v>
      </x:c>
      <x:c r="G979" s="4" t="str">
        <x:v>UNIT-00978</x:v>
      </x:c>
      <x:c r="H979" s="9" t="n">
        <x:v>11600000</x:v>
      </x:c>
      <x:c r="I979" s="10" t="n">
        <x:v>0.09</x:v>
      </x:c>
      <x:c r="J979" s="11" t="n">
        <x:v>6</x:v>
      </x:c>
      <x:c r="K979" s="11" t="n">
        <x:v>4</x:v>
      </x:c>
      <x:c r="L979" s="11" t="n">
        <x:v>0</x:v>
      </x:c>
      <x:c r="M979" s="9" t="n">
        <x:f>ROUND(H979*(1-I979),2)</x:f>
        <x:v>10556000</x:v>
      </x:c>
      <x:c r="N979" s="4" t="str">
        <x:v>Sales head</x:v>
      </x:c>
      <x:c r="O979" s="4"/>
      <x:c r="P979" s="9" t="n">
        <x:v>0</x:v>
      </x:c>
      <x:c r="Q979" s="11" t="n">
        <x:v>0</x:v>
      </x:c>
      <x:c r="R979" s="8" t="n">
        <x:v>45408</x:v>
      </x:c>
      <x:c r="S979" s="4" t="str">
        <x:v>Retained</x:v>
      </x:c>
      <x:c r="T979" s="10" t="n">
        <x:v>0.226277</x:v>
      </x:c>
      <x:c r="U979" s="4" t="str">
        <x:v>Train</x:v>
      </x:c>
    </x:row>
    <x:row r="980" ht="34" customHeight="1">
      <x:c r="A980" s="4" t="str">
        <x:v>RS-00979</x:v>
      </x:c>
      <x:c r="B980" s="8" t="n">
        <x:v>45349</x:v>
      </x:c>
      <x:c r="C980" s="4" t="str">
        <x:v>PRJ-019</x:v>
      </x:c>
      <x:c r="D980" s="4" t="str">
        <x:v>Retail</x:v>
      </x:c>
      <x:c r="E980" s="4" t="str">
        <x:v>Reserved</x:v>
      </x:c>
      <x:c r="F980" s="4" t="str">
        <x:v>CUS-00979</x:v>
      </x:c>
      <x:c r="G980" s="4" t="str">
        <x:v>UNIT-00979</x:v>
      </x:c>
      <x:c r="H980" s="9" t="n">
        <x:v>21500000</x:v>
      </x:c>
      <x:c r="I980" s="10" t="n">
        <x:v>0.07</x:v>
      </x:c>
      <x:c r="J980" s="11" t="n">
        <x:v>8</x:v>
      </x:c>
      <x:c r="K980" s="11" t="n">
        <x:v>3</x:v>
      </x:c>
      <x:c r="L980" s="11" t="n">
        <x:v>1</x:v>
      </x:c>
      <x:c r="M980" s="9" t="n">
        <x:f>ROUND(H980*(1-I980),2)</x:f>
        <x:v>19995000</x:v>
      </x:c>
      <x:c r="N980" s="4" t="str">
        <x:v>Sales manager</x:v>
      </x:c>
      <x:c r="O980" s="4"/>
      <x:c r="P980" s="9" t="n">
        <x:v>0</x:v>
      </x:c>
      <x:c r="Q980" s="11" t="n">
        <x:v>0</x:v>
      </x:c>
      <x:c r="R980" s="8" t="n">
        <x:v>45409</x:v>
      </x:c>
      <x:c r="S980" s="4" t="str">
        <x:v>Retained</x:v>
      </x:c>
      <x:c r="T980" s="10" t="n">
        <x:v>0.310195</x:v>
      </x:c>
      <x:c r="U980" s="4" t="str">
        <x:v>Train</x:v>
      </x:c>
    </x:row>
    <x:row r="981" ht="34" customHeight="1">
      <x:c r="A981" s="4" t="str">
        <x:v>RS-00980</x:v>
      </x:c>
      <x:c r="B981" s="8" t="n">
        <x:v>45350</x:v>
      </x:c>
      <x:c r="C981" s="4" t="str">
        <x:v>PRJ-020</x:v>
      </x:c>
      <x:c r="D981" s="4" t="str">
        <x:v>Villa</x:v>
      </x:c>
      <x:c r="E981" s="4" t="str">
        <x:v>Enquiry</x:v>
      </x:c>
      <x:c r="F981" s="4" t="str">
        <x:v>CUS-00980</x:v>
      </x:c>
      <x:c r="G981" s="4" t="str">
        <x:v>UNIT-00980</x:v>
      </x:c>
      <x:c r="H981" s="9" t="n">
        <x:v>19200000</x:v>
      </x:c>
      <x:c r="I981" s="10" t="n">
        <x:v>0.04</x:v>
      </x:c>
      <x:c r="J981" s="11" t="n">
        <x:v>5</x:v>
      </x:c>
      <x:c r="K981" s="11" t="n">
        <x:v>4</x:v>
      </x:c>
      <x:c r="L981" s="11" t="n">
        <x:v>0</x:v>
      </x:c>
      <x:c r="M981" s="9" t="n">
        <x:f>ROUND(H981*(1-I981),2)</x:f>
        <x:v>18432000</x:v>
      </x:c>
      <x:c r="N981" s="4" t="str">
        <x:v>Sales manager</x:v>
      </x:c>
      <x:c r="O981" s="4"/>
      <x:c r="P981" s="9" t="n">
        <x:v>0</x:v>
      </x:c>
      <x:c r="Q981" s="11" t="n">
        <x:v>0</x:v>
      </x:c>
      <x:c r="R981" s="8" t="n">
        <x:v>45410</x:v>
      </x:c>
      <x:c r="S981" s="4" t="str">
        <x:v>Retained</x:v>
      </x:c>
      <x:c r="T981" s="10" t="n">
        <x:v>0.226277</x:v>
      </x:c>
      <x:c r="U981" s="4" t="str">
        <x:v>Train</x:v>
      </x:c>
    </x:row>
    <x:row r="982" ht="34" customHeight="1">
      <x:c r="A982" s="4" t="str">
        <x:v>RS-00981</x:v>
      </x:c>
      <x:c r="B982" s="8" t="n">
        <x:v>45323</x:v>
      </x:c>
      <x:c r="C982" s="4" t="str">
        <x:v>PRJ-001</x:v>
      </x:c>
      <x:c r="D982" s="4" t="str">
        <x:v>Villa</x:v>
      </x:c>
      <x:c r="E982" s="4" t="str">
        <x:v>Reserved</x:v>
      </x:c>
      <x:c r="F982" s="4" t="str">
        <x:v>CUS-00981</x:v>
      </x:c>
      <x:c r="G982" s="4" t="str">
        <x:v>UNIT-00981</x:v>
      </x:c>
      <x:c r="H982" s="9" t="n">
        <x:v>15300000</x:v>
      </x:c>
      <x:c r="I982" s="10" t="n">
        <x:v>0.09</x:v>
      </x:c>
      <x:c r="J982" s="11" t="n">
        <x:v>1</x:v>
      </x:c>
      <x:c r="K982" s="11" t="n">
        <x:v>4</x:v>
      </x:c>
      <x:c r="L982" s="11" t="n">
        <x:v>0</x:v>
      </x:c>
      <x:c r="M982" s="9" t="n">
        <x:f>ROUND(H982*(1-I982),2)</x:f>
        <x:v>13923000</x:v>
      </x:c>
      <x:c r="N982" s="4" t="str">
        <x:v>Sales head</x:v>
      </x:c>
      <x:c r="O982" s="4"/>
      <x:c r="P982" s="9" t="n">
        <x:v>0</x:v>
      </x:c>
      <x:c r="Q982" s="11" t="n">
        <x:v>0</x:v>
      </x:c>
      <x:c r="R982" s="8" t="n">
        <x:v>45383</x:v>
      </x:c>
      <x:c r="S982" s="4" t="str">
        <x:v>Retained</x:v>
      </x:c>
      <x:c r="T982" s="10" t="n">
        <x:v>0.145833</x:v>
      </x:c>
      <x:c r="U982" s="4" t="str">
        <x:v>Train</x:v>
      </x:c>
    </x:row>
    <x:row r="983" ht="34" customHeight="1">
      <x:c r="A983" s="4" t="str">
        <x:v>RS-00982</x:v>
      </x:c>
      <x:c r="B983" s="8" t="n">
        <x:v>45324</x:v>
      </x:c>
      <x:c r="C983" s="4" t="str">
        <x:v>PRJ-002</x:v>
      </x:c>
      <x:c r="D983" s="4" t="str">
        <x:v>Apartment</x:v>
      </x:c>
      <x:c r="E983" s="4" t="str">
        <x:v>Enquiry</x:v>
      </x:c>
      <x:c r="F983" s="4" t="str">
        <x:v>CUS-00982</x:v>
      </x:c>
      <x:c r="G983" s="4" t="str">
        <x:v>UNIT-00982</x:v>
      </x:c>
      <x:c r="H983" s="9" t="n">
        <x:v>17700000</x:v>
      </x:c>
      <x:c r="I983" s="10" t="n">
        <x:v>0.08</x:v>
      </x:c>
      <x:c r="J983" s="11" t="n">
        <x:v>10</x:v>
      </x:c>
      <x:c r="K983" s="11" t="n">
        <x:v>1</x:v>
      </x:c>
      <x:c r="L983" s="11" t="n">
        <x:v>1</x:v>
      </x:c>
      <x:c r="M983" s="9" t="n">
        <x:f>ROUND(H983*(1-I983),2)</x:f>
        <x:v>16284000</x:v>
      </x:c>
      <x:c r="N983" s="4" t="str">
        <x:v>Sales head</x:v>
      </x:c>
      <x:c r="O983" s="4"/>
      <x:c r="P983" s="9" t="n">
        <x:v>0</x:v>
      </x:c>
      <x:c r="Q983" s="11" t="n">
        <x:v>1</x:v>
      </x:c>
      <x:c r="R983" s="8" t="n">
        <x:v>45384</x:v>
      </x:c>
      <x:c r="S983" s="4" t="str">
        <x:v>Lost / cancelled</x:v>
      </x:c>
      <x:c r="T983" s="10" t="n">
        <x:v>0.310195</x:v>
      </x:c>
      <x:c r="U983" s="4" t="str">
        <x:v>Train</x:v>
      </x:c>
    </x:row>
    <x:row r="984" ht="34" customHeight="1">
      <x:c r="A984" s="4" t="str">
        <x:v>RS-00983</x:v>
      </x:c>
      <x:c r="B984" s="8" t="n">
        <x:v>45325</x:v>
      </x:c>
      <x:c r="C984" s="4" t="str">
        <x:v>PRJ-003</x:v>
      </x:c>
      <x:c r="D984" s="4" t="str">
        <x:v>Retail</x:v>
      </x:c>
      <x:c r="E984" s="4" t="str">
        <x:v>Agreement signed</x:v>
      </x:c>
      <x:c r="F984" s="4" t="str">
        <x:v>CUS-00983</x:v>
      </x:c>
      <x:c r="G984" s="4" t="str">
        <x:v>UNIT-00983</x:v>
      </x:c>
      <x:c r="H984" s="9" t="n">
        <x:v>4000000</x:v>
      </x:c>
      <x:c r="I984" s="10" t="n">
        <x:v>0.05</x:v>
      </x:c>
      <x:c r="J984" s="11" t="n">
        <x:v>2</x:v>
      </x:c>
      <x:c r="K984" s="11" t="n">
        <x:v>8</x:v>
      </x:c>
      <x:c r="L984" s="11" t="n">
        <x:v>0</x:v>
      </x:c>
      <x:c r="M984" s="9" t="n">
        <x:f>ROUND(H984*(1-I984),2)</x:f>
        <x:v>3800000</x:v>
      </x:c>
      <x:c r="N984" s="4" t="str">
        <x:v>Sales manager</x:v>
      </x:c>
      <x:c r="O984" s="4" t="str">
        <x:v>BOOK-00983</x:v>
      </x:c>
      <x:c r="P984" s="9" t="n">
        <x:v>3800000</x:v>
      </x:c>
      <x:c r="Q984" s="11" t="n">
        <x:v>0</x:v>
      </x:c>
      <x:c r="R984" s="8" t="n">
        <x:v>45385</x:v>
      </x:c>
      <x:c r="S984" s="4" t="str">
        <x:v>Retained</x:v>
      </x:c>
      <x:c r="T984" s="10" t="n">
        <x:v>0.204152</x:v>
      </x:c>
      <x:c r="U984" s="4" t="str">
        <x:v>Train</x:v>
      </x:c>
    </x:row>
    <x:row r="985" ht="34" customHeight="1">
      <x:c r="A985" s="4" t="str">
        <x:v>RS-00984</x:v>
      </x:c>
      <x:c r="B985" s="8" t="n">
        <x:v>45326</x:v>
      </x:c>
      <x:c r="C985" s="4" t="str">
        <x:v>PRJ-004</x:v>
      </x:c>
      <x:c r="D985" s="4" t="str">
        <x:v>Apartment</x:v>
      </x:c>
      <x:c r="E985" s="4" t="str">
        <x:v>Booked</x:v>
      </x:c>
      <x:c r="F985" s="4" t="str">
        <x:v>CUS-00984</x:v>
      </x:c>
      <x:c r="G985" s="4" t="str">
        <x:v>UNIT-00984</x:v>
      </x:c>
      <x:c r="H985" s="9" t="n">
        <x:v>25000000</x:v>
      </x:c>
      <x:c r="I985" s="10" t="n">
        <x:v>0.07</x:v>
      </x:c>
      <x:c r="J985" s="11" t="n">
        <x:v>9</x:v>
      </x:c>
      <x:c r="K985" s="11" t="n">
        <x:v>10</x:v>
      </x:c>
      <x:c r="L985" s="11" t="n">
        <x:v>1</x:v>
      </x:c>
      <x:c r="M985" s="9" t="n">
        <x:f>ROUND(H985*(1-I985),2)</x:f>
        <x:v>23250000</x:v>
      </x:c>
      <x:c r="N985" s="4" t="str">
        <x:v>Sales manager</x:v>
      </x:c>
      <x:c r="O985" s="4" t="str">
        <x:v>BOOK-00984</x:v>
      </x:c>
      <x:c r="P985" s="9" t="n">
        <x:v>11625000</x:v>
      </x:c>
      <x:c r="Q985" s="11" t="n">
        <x:v>0</x:v>
      </x:c>
      <x:c r="R985" s="8" t="n">
        <x:v>45386</x:v>
      </x:c>
      <x:c r="S985" s="4" t="str">
        <x:v>Retained</x:v>
      </x:c>
      <x:c r="T985" s="10" t="n">
        <x:v>0.310195</x:v>
      </x:c>
      <x:c r="U985" s="4" t="str">
        <x:v>Train</x:v>
      </x:c>
    </x:row>
    <x:row r="986" ht="34" customHeight="1">
      <x:c r="A986" s="4" t="str">
        <x:v>RS-00985</x:v>
      </x:c>
      <x:c r="B986" s="8" t="n">
        <x:v>45327</x:v>
      </x:c>
      <x:c r="C986" s="4" t="str">
        <x:v>PRJ-005</x:v>
      </x:c>
      <x:c r="D986" s="4" t="str">
        <x:v>Apartment</x:v>
      </x:c>
      <x:c r="E986" s="4" t="str">
        <x:v>Cancelled</x:v>
      </x:c>
      <x:c r="F986" s="4" t="str">
        <x:v>CUS-00985</x:v>
      </x:c>
      <x:c r="G986" s="4" t="str">
        <x:v>UNIT-00985</x:v>
      </x:c>
      <x:c r="H986" s="9" t="n">
        <x:v>7000000</x:v>
      </x:c>
      <x:c r="I986" s="10" t="n">
        <x:v>0.03</x:v>
      </x:c>
      <x:c r="J986" s="11" t="n">
        <x:v>10</x:v>
      </x:c>
      <x:c r="K986" s="11" t="n">
        <x:v>0</x:v>
      </x:c>
      <x:c r="L986" s="11" t="n">
        <x:v>1</x:v>
      </x:c>
      <x:c r="M986" s="9" t="n">
        <x:f>ROUND(H986*(1-I986),2)</x:f>
        <x:v>6790000</x:v>
      </x:c>
      <x:c r="N986" s="4" t="str">
        <x:v>Sales manager</x:v>
      </x:c>
      <x:c r="O986" s="4"/>
      <x:c r="P986" s="9" t="n">
        <x:v>0</x:v>
      </x:c>
      <x:c r="Q986" s="11" t="n">
        <x:v>1</x:v>
      </x:c>
      <x:c r="R986" s="8" t="n">
        <x:v>45387</x:v>
      </x:c>
      <x:c r="S986" s="4" t="str">
        <x:v>Lost / cancelled</x:v>
      </x:c>
      <x:c r="T986" s="10" t="n">
        <x:v>0.310195</x:v>
      </x:c>
      <x:c r="U986" s="4" t="str">
        <x:v>Train</x:v>
      </x:c>
    </x:row>
    <x:row r="987" ht="34" customHeight="1">
      <x:c r="A987" s="4" t="str">
        <x:v>RS-00986</x:v>
      </x:c>
      <x:c r="B987" s="8" t="n">
        <x:v>45328</x:v>
      </x:c>
      <x:c r="C987" s="4" t="str">
        <x:v>PRJ-006</x:v>
      </x:c>
      <x:c r="D987" s="4" t="str">
        <x:v>Villa</x:v>
      </x:c>
      <x:c r="E987" s="4" t="str">
        <x:v>Enquiry</x:v>
      </x:c>
      <x:c r="F987" s="4" t="str">
        <x:v>CUS-00986</x:v>
      </x:c>
      <x:c r="G987" s="4" t="str">
        <x:v>UNIT-00986</x:v>
      </x:c>
      <x:c r="H987" s="9" t="n">
        <x:v>3900000</x:v>
      </x:c>
      <x:c r="I987" s="10" t="n">
        <x:v>0.11</x:v>
      </x:c>
      <x:c r="J987" s="11" t="n">
        <x:v>8</x:v>
      </x:c>
      <x:c r="K987" s="11" t="n">
        <x:v>2</x:v>
      </x:c>
      <x:c r="L987" s="11" t="n">
        <x:v>1</x:v>
      </x:c>
      <x:c r="M987" s="9" t="n">
        <x:f>ROUND(H987*(1-I987),2)</x:f>
        <x:v>3471000</x:v>
      </x:c>
      <x:c r="N987" s="4" t="str">
        <x:v>Sales head</x:v>
      </x:c>
      <x:c r="O987" s="4"/>
      <x:c r="P987" s="9" t="n">
        <x:v>0</x:v>
      </x:c>
      <x:c r="Q987" s="11" t="n">
        <x:v>0</x:v>
      </x:c>
      <x:c r="R987" s="8" t="n">
        <x:v>45388</x:v>
      </x:c>
      <x:c r="S987" s="4" t="str">
        <x:v>Retained</x:v>
      </x:c>
      <x:c r="T987" s="10" t="n">
        <x:v>0.310195</x:v>
      </x:c>
      <x:c r="U987" s="4" t="str">
        <x:v>Train</x:v>
      </x:c>
    </x:row>
    <x:row r="988" ht="34" customHeight="1">
      <x:c r="A988" s="4" t="str">
        <x:v>RS-00987</x:v>
      </x:c>
      <x:c r="B988" s="8" t="n">
        <x:v>45329</x:v>
      </x:c>
      <x:c r="C988" s="4" t="str">
        <x:v>PRJ-007</x:v>
      </x:c>
      <x:c r="D988" s="4" t="str">
        <x:v>Office</x:v>
      </x:c>
      <x:c r="E988" s="4" t="str">
        <x:v>Reserved</x:v>
      </x:c>
      <x:c r="F988" s="4" t="str">
        <x:v>CUS-00987</x:v>
      </x:c>
      <x:c r="G988" s="4" t="str">
        <x:v>UNIT-00987</x:v>
      </x:c>
      <x:c r="H988" s="9" t="n">
        <x:v>4500000</x:v>
      </x:c>
      <x:c r="I988" s="10" t="n">
        <x:v>0.01</x:v>
      </x:c>
      <x:c r="J988" s="11" t="n">
        <x:v>6</x:v>
      </x:c>
      <x:c r="K988" s="11" t="n">
        <x:v>8</x:v>
      </x:c>
      <x:c r="L988" s="11" t="n">
        <x:v>1</x:v>
      </x:c>
      <x:c r="M988" s="9" t="n">
        <x:f>ROUND(H988*(1-I988),2)</x:f>
        <x:v>4455000</x:v>
      </x:c>
      <x:c r="N988" s="4" t="str">
        <x:v>Sales manager</x:v>
      </x:c>
      <x:c r="O988" s="4"/>
      <x:c r="P988" s="9" t="n">
        <x:v>0</x:v>
      </x:c>
      <x:c r="Q988" s="11" t="n">
        <x:v>0</x:v>
      </x:c>
      <x:c r="R988" s="8" t="n">
        <x:v>45389</x:v>
      </x:c>
      <x:c r="S988" s="4" t="str">
        <x:v>Retained</x:v>
      </x:c>
      <x:c r="T988" s="10" t="n">
        <x:v>0.145299</x:v>
      </x:c>
      <x:c r="U988" s="4" t="str">
        <x:v>Train</x:v>
      </x:c>
    </x:row>
    <x:row r="989" ht="34" customHeight="1">
      <x:c r="A989" s="4" t="str">
        <x:v>RS-00988</x:v>
      </x:c>
      <x:c r="B989" s="8" t="n">
        <x:v>45330</x:v>
      </x:c>
      <x:c r="C989" s="4" t="str">
        <x:v>PRJ-008</x:v>
      </x:c>
      <x:c r="D989" s="4" t="str">
        <x:v>Villa</x:v>
      </x:c>
      <x:c r="E989" s="4" t="str">
        <x:v>Handed over</x:v>
      </x:c>
      <x:c r="F989" s="4" t="str">
        <x:v>CUS-00988</x:v>
      </x:c>
      <x:c r="G989" s="4" t="str">
        <x:v>UNIT-00988</x:v>
      </x:c>
      <x:c r="H989" s="9" t="n">
        <x:v>4300000</x:v>
      </x:c>
      <x:c r="I989" s="10" t="n">
        <x:v>0.04</x:v>
      </x:c>
      <x:c r="J989" s="11" t="n">
        <x:v>8</x:v>
      </x:c>
      <x:c r="K989" s="11" t="n">
        <x:v>6</x:v>
      </x:c>
      <x:c r="L989" s="11" t="n">
        <x:v>1</x:v>
      </x:c>
      <x:c r="M989" s="9" t="n">
        <x:f>ROUND(H989*(1-I989),2)</x:f>
        <x:v>4128000</x:v>
      </x:c>
      <x:c r="N989" s="4" t="str">
        <x:v>Sales manager</x:v>
      </x:c>
      <x:c r="O989" s="4" t="str">
        <x:v>BOOK-00988</x:v>
      </x:c>
      <x:c r="P989" s="9" t="n">
        <x:v>1032000</x:v>
      </x:c>
      <x:c r="Q989" s="11" t="n">
        <x:v>0</x:v>
      </x:c>
      <x:c r="R989" s="8" t="n">
        <x:v>45390</x:v>
      </x:c>
      <x:c r="S989" s="4" t="str">
        <x:v>Retained</x:v>
      </x:c>
      <x:c r="T989" s="10" t="n">
        <x:v>0.310195</x:v>
      </x:c>
      <x:c r="U989" s="4" t="str">
        <x:v>Train</x:v>
      </x:c>
    </x:row>
    <x:row r="990" ht="34" customHeight="1">
      <x:c r="A990" s="4" t="str">
        <x:v>RS-00989</x:v>
      </x:c>
      <x:c r="B990" s="8" t="n">
        <x:v>45331</x:v>
      </x:c>
      <x:c r="C990" s="4" t="str">
        <x:v>PRJ-009</x:v>
      </x:c>
      <x:c r="D990" s="4" t="str">
        <x:v>Villa</x:v>
      </x:c>
      <x:c r="E990" s="4" t="str">
        <x:v>Handed over</x:v>
      </x:c>
      <x:c r="F990" s="4" t="str">
        <x:v>CUS-00989</x:v>
      </x:c>
      <x:c r="G990" s="4" t="str">
        <x:v>UNIT-00989</x:v>
      </x:c>
      <x:c r="H990" s="9" t="n">
        <x:v>22300000</x:v>
      </x:c>
      <x:c r="I990" s="10" t="n">
        <x:v>0.06</x:v>
      </x:c>
      <x:c r="J990" s="11" t="n">
        <x:v>5</x:v>
      </x:c>
      <x:c r="K990" s="11" t="n">
        <x:v>7</x:v>
      </x:c>
      <x:c r="L990" s="11" t="n">
        <x:v>1</x:v>
      </x:c>
      <x:c r="M990" s="9" t="n">
        <x:f>ROUND(H990*(1-I990),2)</x:f>
        <x:v>20962000</x:v>
      </x:c>
      <x:c r="N990" s="4" t="str">
        <x:v>Sales manager</x:v>
      </x:c>
      <x:c r="O990" s="4" t="str">
        <x:v>BOOK-00989</x:v>
      </x:c>
      <x:c r="P990" s="9" t="n">
        <x:v>2096200</x:v>
      </x:c>
      <x:c r="Q990" s="11" t="n">
        <x:v>0</x:v>
      </x:c>
      <x:c r="R990" s="8" t="n">
        <x:v>45391</x:v>
      </x:c>
      <x:c r="S990" s="4" t="str">
        <x:v>Retained</x:v>
      </x:c>
      <x:c r="T990" s="10" t="n">
        <x:v>0.291946</x:v>
      </x:c>
      <x:c r="U990" s="4" t="str">
        <x:v>Train</x:v>
      </x:c>
    </x:row>
    <x:row r="991" ht="34" customHeight="1">
      <x:c r="A991" s="4" t="str">
        <x:v>RS-00990</x:v>
      </x:c>
      <x:c r="B991" s="8" t="n">
        <x:v>45332</x:v>
      </x:c>
      <x:c r="C991" s="4" t="str">
        <x:v>PRJ-010</x:v>
      </x:c>
      <x:c r="D991" s="4" t="str">
        <x:v>Villa</x:v>
      </x:c>
      <x:c r="E991" s="4" t="str">
        <x:v>Booked</x:v>
      </x:c>
      <x:c r="F991" s="4" t="str">
        <x:v>CUS-00990</x:v>
      </x:c>
      <x:c r="G991" s="4" t="str">
        <x:v>UNIT-00990</x:v>
      </x:c>
      <x:c r="H991" s="9" t="n">
        <x:v>24000000</x:v>
      </x:c>
      <x:c r="I991" s="10" t="n">
        <x:v>0.1</x:v>
      </x:c>
      <x:c r="J991" s="11" t="n">
        <x:v>5</x:v>
      </x:c>
      <x:c r="K991" s="11" t="n">
        <x:v>8</x:v>
      </x:c>
      <x:c r="L991" s="11" t="n">
        <x:v>0</x:v>
      </x:c>
      <x:c r="M991" s="9" t="n">
        <x:f>ROUND(H991*(1-I991),2)</x:f>
        <x:v>21600000</x:v>
      </x:c>
      <x:c r="N991" s="4" t="str">
        <x:v>Sales head</x:v>
      </x:c>
      <x:c r="O991" s="4" t="str">
        <x:v>BOOK-00990</x:v>
      </x:c>
      <x:c r="P991" s="9" t="n">
        <x:v>21600000</x:v>
      </x:c>
      <x:c r="Q991" s="11" t="n">
        <x:v>0</x:v>
      </x:c>
      <x:c r="R991" s="8" t="n">
        <x:v>45392</x:v>
      </x:c>
      <x:c r="S991" s="4" t="str">
        <x:v>Retained</x:v>
      </x:c>
      <x:c r="T991" s="10" t="n">
        <x:v>0.226277</x:v>
      </x:c>
      <x:c r="U991" s="4" t="str">
        <x:v>Train</x:v>
      </x:c>
    </x:row>
    <x:row r="992" ht="34" customHeight="1">
      <x:c r="A992" s="4" t="str">
        <x:v>RS-00991</x:v>
      </x:c>
      <x:c r="B992" s="8" t="n">
        <x:v>45333</x:v>
      </x:c>
      <x:c r="C992" s="4" t="str">
        <x:v>PRJ-011</x:v>
      </x:c>
      <x:c r="D992" s="4" t="str">
        <x:v>Villa</x:v>
      </x:c>
      <x:c r="E992" s="4" t="str">
        <x:v>Handed over</x:v>
      </x:c>
      <x:c r="F992" s="4" t="str">
        <x:v>CUS-00991</x:v>
      </x:c>
      <x:c r="G992" s="4" t="str">
        <x:v>UNIT-00991</x:v>
      </x:c>
      <x:c r="H992" s="9" t="n">
        <x:v>6200000</x:v>
      </x:c>
      <x:c r="I992" s="10" t="n">
        <x:v>0.1</x:v>
      </x:c>
      <x:c r="J992" s="11" t="n">
        <x:v>3</x:v>
      </x:c>
      <x:c r="K992" s="11" t="n">
        <x:v>10</x:v>
      </x:c>
      <x:c r="L992" s="11" t="n">
        <x:v>1</x:v>
      </x:c>
      <x:c r="M992" s="9" t="n">
        <x:f>ROUND(H992*(1-I992),2)</x:f>
        <x:v>5580000</x:v>
      </x:c>
      <x:c r="N992" s="4" t="str">
        <x:v>Sales head</x:v>
      </x:c>
      <x:c r="O992" s="4" t="str">
        <x:v>BOOK-00991</x:v>
      </x:c>
      <x:c r="P992" s="9" t="n">
        <x:v>558000</x:v>
      </x:c>
      <x:c r="Q992" s="11" t="n">
        <x:v>0</x:v>
      </x:c>
      <x:c r="R992" s="8" t="n">
        <x:v>45393</x:v>
      </x:c>
      <x:c r="S992" s="4" t="str">
        <x:v>Retained</x:v>
      </x:c>
      <x:c r="T992" s="10" t="n">
        <x:v>0.145833</x:v>
      </x:c>
      <x:c r="U992" s="4" t="str">
        <x:v>Train</x:v>
      </x:c>
    </x:row>
    <x:row r="993" ht="34" customHeight="1">
      <x:c r="A993" s="4" t="str">
        <x:v>RS-00992</x:v>
      </x:c>
      <x:c r="B993" s="8" t="n">
        <x:v>45334</x:v>
      </x:c>
      <x:c r="C993" s="4" t="str">
        <x:v>PRJ-012</x:v>
      </x:c>
      <x:c r="D993" s="4" t="str">
        <x:v>Villa</x:v>
      </x:c>
      <x:c r="E993" s="4" t="str">
        <x:v>Agreement signed</x:v>
      </x:c>
      <x:c r="F993" s="4" t="str">
        <x:v>CUS-00992</x:v>
      </x:c>
      <x:c r="G993" s="4" t="str">
        <x:v>UNIT-00992</x:v>
      </x:c>
      <x:c r="H993" s="9" t="n">
        <x:v>15500000</x:v>
      </x:c>
      <x:c r="I993" s="10" t="n">
        <x:v>0.03</x:v>
      </x:c>
      <x:c r="J993" s="11" t="n">
        <x:v>11</x:v>
      </x:c>
      <x:c r="K993" s="11" t="n">
        <x:v>7</x:v>
      </x:c>
      <x:c r="L993" s="11" t="n">
        <x:v>1</x:v>
      </x:c>
      <x:c r="M993" s="9" t="n">
        <x:f>ROUND(H993*(1-I993),2)</x:f>
        <x:v>15035000</x:v>
      </x:c>
      <x:c r="N993" s="4" t="str">
        <x:v>Sales manager</x:v>
      </x:c>
      <x:c r="O993" s="4" t="str">
        <x:v>BOOK-00992</x:v>
      </x:c>
      <x:c r="P993" s="9" t="n">
        <x:v>3758750</x:v>
      </x:c>
      <x:c r="Q993" s="11" t="n">
        <x:v>0</x:v>
      </x:c>
      <x:c r="R993" s="8" t="n">
        <x:v>45394</x:v>
      </x:c>
      <x:c r="S993" s="4" t="str">
        <x:v>Retained</x:v>
      </x:c>
      <x:c r="T993" s="10" t="n">
        <x:v>0.351536</x:v>
      </x:c>
      <x:c r="U993" s="4" t="str">
        <x:v>Train</x:v>
      </x:c>
    </x:row>
    <x:row r="994" ht="34" customHeight="1">
      <x:c r="A994" s="4" t="str">
        <x:v>RS-00993</x:v>
      </x:c>
      <x:c r="B994" s="8" t="n">
        <x:v>45335</x:v>
      </x:c>
      <x:c r="C994" s="4" t="str">
        <x:v>PRJ-013</x:v>
      </x:c>
      <x:c r="D994" s="4" t="str">
        <x:v>Villa</x:v>
      </x:c>
      <x:c r="E994" s="4" t="str">
        <x:v>Enquiry</x:v>
      </x:c>
      <x:c r="F994" s="4" t="str">
        <x:v>CUS-00993</x:v>
      </x:c>
      <x:c r="G994" s="4" t="str">
        <x:v>UNIT-00993</x:v>
      </x:c>
      <x:c r="H994" s="9" t="n">
        <x:v>23600000</x:v>
      </x:c>
      <x:c r="I994" s="10" t="n">
        <x:v>0.05</x:v>
      </x:c>
      <x:c r="J994" s="11" t="n">
        <x:v>4</x:v>
      </x:c>
      <x:c r="K994" s="11" t="n">
        <x:v>4</x:v>
      </x:c>
      <x:c r="L994" s="11" t="n">
        <x:v>0</x:v>
      </x:c>
      <x:c r="M994" s="9" t="n">
        <x:f>ROUND(H994*(1-I994),2)</x:f>
        <x:v>22420000</x:v>
      </x:c>
      <x:c r="N994" s="4" t="str">
        <x:v>Sales manager</x:v>
      </x:c>
      <x:c r="O994" s="4"/>
      <x:c r="P994" s="9" t="n">
        <x:v>0</x:v>
      </x:c>
      <x:c r="Q994" s="11" t="n">
        <x:v>0</x:v>
      </x:c>
      <x:c r="R994" s="8" t="n">
        <x:v>45395</x:v>
      </x:c>
      <x:c r="S994" s="4" t="str">
        <x:v>Retained</x:v>
      </x:c>
      <x:c r="T994" s="10" t="n">
        <x:v>0.226277</x:v>
      </x:c>
      <x:c r="U994" s="4" t="str">
        <x:v>Train</x:v>
      </x:c>
    </x:row>
    <x:row r="995" ht="34" customHeight="1">
      <x:c r="A995" s="4" t="str">
        <x:v>RS-00994</x:v>
      </x:c>
      <x:c r="B995" s="8" t="n">
        <x:v>45336</x:v>
      </x:c>
      <x:c r="C995" s="4" t="str">
        <x:v>PRJ-014</x:v>
      </x:c>
      <x:c r="D995" s="4" t="str">
        <x:v>Apartment</x:v>
      </x:c>
      <x:c r="E995" s="4" t="str">
        <x:v>Reserved</x:v>
      </x:c>
      <x:c r="F995" s="4" t="str">
        <x:v>CUS-00994</x:v>
      </x:c>
      <x:c r="G995" s="4" t="str">
        <x:v>UNIT-00994</x:v>
      </x:c>
      <x:c r="H995" s="9" t="n">
        <x:v>5000000</x:v>
      </x:c>
      <x:c r="I995" s="10" t="n">
        <x:v>0.1</x:v>
      </x:c>
      <x:c r="J995" s="11" t="n">
        <x:v>6</x:v>
      </x:c>
      <x:c r="K995" s="11" t="n">
        <x:v>0</x:v>
      </x:c>
      <x:c r="L995" s="11" t="n">
        <x:v>1</x:v>
      </x:c>
      <x:c r="M995" s="9" t="n">
        <x:f>ROUND(H995*(1-I995),2)</x:f>
        <x:v>4500000</x:v>
      </x:c>
      <x:c r="N995" s="4" t="str">
        <x:v>Sales head</x:v>
      </x:c>
      <x:c r="O995" s="4"/>
      <x:c r="P995" s="9" t="n">
        <x:v>0</x:v>
      </x:c>
      <x:c r="Q995" s="11" t="n">
        <x:v>1</x:v>
      </x:c>
      <x:c r="R995" s="8" t="n">
        <x:v>45396</x:v>
      </x:c>
      <x:c r="S995" s="4" t="str">
        <x:v>Lost / cancelled</x:v>
      </x:c>
      <x:c r="T995" s="10" t="n">
        <x:v>0.291946</x:v>
      </x:c>
      <x:c r="U995" s="4" t="str">
        <x:v>Train</x:v>
      </x:c>
    </x:row>
    <x:row r="996" ht="34" customHeight="1">
      <x:c r="A996" s="4" t="str">
        <x:v>RS-00995</x:v>
      </x:c>
      <x:c r="B996" s="8" t="n">
        <x:v>45337</x:v>
      </x:c>
      <x:c r="C996" s="4" t="str">
        <x:v>PRJ-015</x:v>
      </x:c>
      <x:c r="D996" s="4" t="str">
        <x:v>Office</x:v>
      </x:c>
      <x:c r="E996" s="4" t="str">
        <x:v>Cancelled</x:v>
      </x:c>
      <x:c r="F996" s="4" t="str">
        <x:v>CUS-00995</x:v>
      </x:c>
      <x:c r="G996" s="4" t="str">
        <x:v>UNIT-00995</x:v>
      </x:c>
      <x:c r="H996" s="9" t="n">
        <x:v>13400000</x:v>
      </x:c>
      <x:c r="I996" s="10" t="n">
        <x:v>0.04</x:v>
      </x:c>
      <x:c r="J996" s="11" t="n">
        <x:v>9</x:v>
      </x:c>
      <x:c r="K996" s="11" t="n">
        <x:v>3</x:v>
      </x:c>
      <x:c r="L996" s="11" t="n">
        <x:v>1</x:v>
      </x:c>
      <x:c r="M996" s="9" t="n">
        <x:f>ROUND(H996*(1-I996),2)</x:f>
        <x:v>12864000</x:v>
      </x:c>
      <x:c r="N996" s="4" t="str">
        <x:v>Sales manager</x:v>
      </x:c>
      <x:c r="O996" s="4"/>
      <x:c r="P996" s="9" t="n">
        <x:v>0</x:v>
      </x:c>
      <x:c r="Q996" s="11" t="n">
        <x:v>1</x:v>
      </x:c>
      <x:c r="R996" s="8" t="n">
        <x:v>45397</x:v>
      </x:c>
      <x:c r="S996" s="4" t="str">
        <x:v>Lost / cancelled</x:v>
      </x:c>
      <x:c r="T996" s="10" t="n">
        <x:v>0.310195</x:v>
      </x:c>
      <x:c r="U996" s="4" t="str">
        <x:v>Train</x:v>
      </x:c>
    </x:row>
    <x:row r="997" ht="34" customHeight="1">
      <x:c r="A997" s="4" t="str">
        <x:v>RS-00996</x:v>
      </x:c>
      <x:c r="B997" s="8" t="n">
        <x:v>45338</x:v>
      </x:c>
      <x:c r="C997" s="4" t="str">
        <x:v>PRJ-016</x:v>
      </x:c>
      <x:c r="D997" s="4" t="str">
        <x:v>Apartment</x:v>
      </x:c>
      <x:c r="E997" s="4" t="str">
        <x:v>Cancelled</x:v>
      </x:c>
      <x:c r="F997" s="4" t="str">
        <x:v>CUS-00996</x:v>
      </x:c>
      <x:c r="G997" s="4" t="str">
        <x:v>UNIT-00996</x:v>
      </x:c>
      <x:c r="H997" s="9" t="n">
        <x:v>14400000</x:v>
      </x:c>
      <x:c r="I997" s="10" t="n">
        <x:v>0.05</x:v>
      </x:c>
      <x:c r="J997" s="11" t="n">
        <x:v>3</x:v>
      </x:c>
      <x:c r="K997" s="11" t="n">
        <x:v>6</x:v>
      </x:c>
      <x:c r="L997" s="11" t="n">
        <x:v>1</x:v>
      </x:c>
      <x:c r="M997" s="9" t="n">
        <x:f>ROUND(H997*(1-I997),2)</x:f>
        <x:v>13680000</x:v>
      </x:c>
      <x:c r="N997" s="4" t="str">
        <x:v>Sales manager</x:v>
      </x:c>
      <x:c r="O997" s="4"/>
      <x:c r="P997" s="9" t="n">
        <x:v>0</x:v>
      </x:c>
      <x:c r="Q997" s="11" t="n">
        <x:v>1</x:v>
      </x:c>
      <x:c r="R997" s="8" t="n">
        <x:v>45398</x:v>
      </x:c>
      <x:c r="S997" s="4" t="str">
        <x:v>Lost / cancelled</x:v>
      </x:c>
      <x:c r="T997" s="10" t="n">
        <x:v>0.204152</x:v>
      </x:c>
      <x:c r="U997" s="4" t="str">
        <x:v>Train</x:v>
      </x:c>
    </x:row>
    <x:row r="998" ht="34" customHeight="1">
      <x:c r="A998" s="4" t="str">
        <x:v>RS-00997</x:v>
      </x:c>
      <x:c r="B998" s="8" t="n">
        <x:v>45339</x:v>
      </x:c>
      <x:c r="C998" s="4" t="str">
        <x:v>PRJ-017</x:v>
      </x:c>
      <x:c r="D998" s="4" t="str">
        <x:v>Office</x:v>
      </x:c>
      <x:c r="E998" s="4" t="str">
        <x:v>Handed over</x:v>
      </x:c>
      <x:c r="F998" s="4" t="str">
        <x:v>CUS-00997</x:v>
      </x:c>
      <x:c r="G998" s="4" t="str">
        <x:v>UNIT-00997</x:v>
      </x:c>
      <x:c r="H998" s="9" t="n">
        <x:v>14700000</x:v>
      </x:c>
      <x:c r="I998" s="10" t="n">
        <x:v>0.02</x:v>
      </x:c>
      <x:c r="J998" s="11" t="n">
        <x:v>2</x:v>
      </x:c>
      <x:c r="K998" s="11" t="n">
        <x:v>9</x:v>
      </x:c>
      <x:c r="L998" s="11" t="n">
        <x:v>1</x:v>
      </x:c>
      <x:c r="M998" s="9" t="n">
        <x:f>ROUND(H998*(1-I998),2)</x:f>
        <x:v>14406000</x:v>
      </x:c>
      <x:c r="N998" s="4" t="str">
        <x:v>Sales manager</x:v>
      </x:c>
      <x:c r="O998" s="4" t="str">
        <x:v>BOOK-00997</x:v>
      </x:c>
      <x:c r="P998" s="9" t="n">
        <x:v>14406000</x:v>
      </x:c>
      <x:c r="Q998" s="11" t="n">
        <x:v>0</x:v>
      </x:c>
      <x:c r="R998" s="8" t="n">
        <x:v>45399</x:v>
      </x:c>
      <x:c r="S998" s="4" t="str">
        <x:v>Retained</x:v>
      </x:c>
      <x:c r="T998" s="10" t="n">
        <x:v>0.171717</x:v>
      </x:c>
      <x:c r="U998" s="4" t="str">
        <x:v>Train</x:v>
      </x:c>
    </x:row>
    <x:row r="999" ht="34" customHeight="1">
      <x:c r="A999" s="4" t="str">
        <x:v>RS-00998</x:v>
      </x:c>
      <x:c r="B999" s="8" t="n">
        <x:v>45340</x:v>
      </x:c>
      <x:c r="C999" s="4" t="str">
        <x:v>PRJ-018</x:v>
      </x:c>
      <x:c r="D999" s="4" t="str">
        <x:v>Retail</x:v>
      </x:c>
      <x:c r="E999" s="4" t="str">
        <x:v>Reserved</x:v>
      </x:c>
      <x:c r="F999" s="4" t="str">
        <x:v>CUS-00998</x:v>
      </x:c>
      <x:c r="G999" s="4" t="str">
        <x:v>UNIT-00998</x:v>
      </x:c>
      <x:c r="H999" s="9" t="n">
        <x:v>7500000</x:v>
      </x:c>
      <x:c r="I999" s="10" t="n">
        <x:v>0.08</x:v>
      </x:c>
      <x:c r="J999" s="11" t="n">
        <x:v>8</x:v>
      </x:c>
      <x:c r="K999" s="11" t="n">
        <x:v>6</x:v>
      </x:c>
      <x:c r="L999" s="11" t="n">
        <x:v>1</x:v>
      </x:c>
      <x:c r="M999" s="9" t="n">
        <x:f>ROUND(H999*(1-I999),2)</x:f>
        <x:v>6900000</x:v>
      </x:c>
      <x:c r="N999" s="4" t="str">
        <x:v>Sales head</x:v>
      </x:c>
      <x:c r="O999" s="4"/>
      <x:c r="P999" s="9" t="n">
        <x:v>0</x:v>
      </x:c>
      <x:c r="Q999" s="11" t="n">
        <x:v>0</x:v>
      </x:c>
      <x:c r="R999" s="8" t="n">
        <x:v>45400</x:v>
      </x:c>
      <x:c r="S999" s="4" t="str">
        <x:v>Retained</x:v>
      </x:c>
      <x:c r="T999" s="10" t="n">
        <x:v>0.310195</x:v>
      </x:c>
      <x:c r="U999" s="4" t="str">
        <x:v>Train</x:v>
      </x:c>
    </x:row>
    <x:row r="1000" ht="34" customHeight="1">
      <x:c r="A1000" s="4" t="str">
        <x:v>RS-00999</x:v>
      </x:c>
      <x:c r="B1000" s="8" t="n">
        <x:v>45341</x:v>
      </x:c>
      <x:c r="C1000" s="4" t="str">
        <x:v>PRJ-019</x:v>
      </x:c>
      <x:c r="D1000" s="4" t="str">
        <x:v>Apartment</x:v>
      </x:c>
      <x:c r="E1000" s="4" t="str">
        <x:v>Cancelled</x:v>
      </x:c>
      <x:c r="F1000" s="4" t="str">
        <x:v>CUS-00999</x:v>
      </x:c>
      <x:c r="G1000" s="4" t="str">
        <x:v>UNIT-00999</x:v>
      </x:c>
      <x:c r="H1000" s="9" t="n">
        <x:v>17800000</x:v>
      </x:c>
      <x:c r="I1000" s="10" t="n">
        <x:v>0.06</x:v>
      </x:c>
      <x:c r="J1000" s="11" t="n">
        <x:v>12</x:v>
      </x:c>
      <x:c r="K1000" s="11" t="n">
        <x:v>6</x:v>
      </x:c>
      <x:c r="L1000" s="11" t="n">
        <x:v>0</x:v>
      </x:c>
      <x:c r="M1000" s="9" t="n">
        <x:f>ROUND(H1000*(1-I1000),2)</x:f>
        <x:v>16732000</x:v>
      </x:c>
      <x:c r="N1000" s="4" t="str">
        <x:v>Sales manager</x:v>
      </x:c>
      <x:c r="O1000" s="4"/>
      <x:c r="P1000" s="9" t="n">
        <x:v>0</x:v>
      </x:c>
      <x:c r="Q1000" s="11" t="n">
        <x:v>1</x:v>
      </x:c>
      <x:c r="R1000" s="8" t="n">
        <x:v>45401</x:v>
      </x:c>
      <x:c r="S1000" s="4" t="str">
        <x:v>Lost / cancelled</x:v>
      </x:c>
      <x:c r="T1000" s="10" t="n">
        <x:v>0.351536</x:v>
      </x:c>
      <x:c r="U1000" s="4" t="str">
        <x:v>Train</x:v>
      </x:c>
    </x:row>
    <x:row r="1001" ht="34" customHeight="1">
      <x:c r="A1001" s="4" t="str">
        <x:v>RS-01000</x:v>
      </x:c>
      <x:c r="B1001" s="8" t="n">
        <x:v>45342</x:v>
      </x:c>
      <x:c r="C1001" s="4" t="str">
        <x:v>PRJ-020</x:v>
      </x:c>
      <x:c r="D1001" s="4" t="str">
        <x:v>Office</x:v>
      </x:c>
      <x:c r="E1001" s="4" t="str">
        <x:v>Booked</x:v>
      </x:c>
      <x:c r="F1001" s="4" t="str">
        <x:v>CUS-01000</x:v>
      </x:c>
      <x:c r="G1001" s="4" t="str">
        <x:v>UNIT-01000</x:v>
      </x:c>
      <x:c r="H1001" s="9" t="n">
        <x:v>20100000</x:v>
      </x:c>
      <x:c r="I1001" s="10" t="n">
        <x:v>0.07</x:v>
      </x:c>
      <x:c r="J1001" s="11" t="n">
        <x:v>5</x:v>
      </x:c>
      <x:c r="K1001" s="11" t="n">
        <x:v>10</x:v>
      </x:c>
      <x:c r="L1001" s="11" t="n">
        <x:v>1</x:v>
      </x:c>
      <x:c r="M1001" s="9" t="n">
        <x:f>ROUND(H1001*(1-I1001),2)</x:f>
        <x:v>18693000</x:v>
      </x:c>
      <x:c r="N1001" s="4" t="str">
        <x:v>Sales manager</x:v>
      </x:c>
      <x:c r="O1001" s="4" t="str">
        <x:v>BOOK-01000</x:v>
      </x:c>
      <x:c r="P1001" s="9" t="n">
        <x:v>1869300</x:v>
      </x:c>
      <x:c r="Q1001" s="11" t="n">
        <x:v>0</x:v>
      </x:c>
      <x:c r="R1001" s="8" t="n">
        <x:v>45402</x:v>
      </x:c>
      <x:c r="S1001" s="4" t="str">
        <x:v>Retained</x:v>
      </x:c>
      <x:c r="T1001" s="10" t="n">
        <x:v>0.291946</x:v>
      </x:c>
      <x:c r="U1001" s="4" t="str">
        <x:v>Train</x:v>
      </x:c>
    </x:row>
    <x:row r="1002" ht="34" customHeight="1">
      <x:c r="A1002" s="4" t="str">
        <x:v>RS-01001</x:v>
      </x:c>
      <x:c r="B1002" s="8" t="n">
        <x:v>45372</x:v>
      </x:c>
      <x:c r="C1002" s="4" t="str">
        <x:v>PRJ-001</x:v>
      </x:c>
      <x:c r="D1002" s="4" t="str">
        <x:v>Villa</x:v>
      </x:c>
      <x:c r="E1002" s="4" t="str">
        <x:v>Reserved</x:v>
      </x:c>
      <x:c r="F1002" s="4" t="str">
        <x:v>CUS-01001</x:v>
      </x:c>
      <x:c r="G1002" s="4" t="str">
        <x:v>UNIT-01001</x:v>
      </x:c>
      <x:c r="H1002" s="9" t="n">
        <x:v>12000000</x:v>
      </x:c>
      <x:c r="I1002" s="10" t="n">
        <x:v>0.01</x:v>
      </x:c>
      <x:c r="J1002" s="11" t="n">
        <x:v>11</x:v>
      </x:c>
      <x:c r="K1002" s="11" t="n">
        <x:v>4</x:v>
      </x:c>
      <x:c r="L1002" s="11" t="n">
        <x:v>0</x:v>
      </x:c>
      <x:c r="M1002" s="9" t="n">
        <x:f>ROUND(H1002*(1-I1002),2)</x:f>
        <x:v>11880000</x:v>
      </x:c>
      <x:c r="N1002" s="4" t="str">
        <x:v>Sales manager</x:v>
      </x:c>
      <x:c r="O1002" s="4"/>
      <x:c r="P1002" s="9" t="n">
        <x:v>0</x:v>
      </x:c>
      <x:c r="Q1002" s="11" t="n">
        <x:v>0</x:v>
      </x:c>
      <x:c r="R1002" s="8" t="n">
        <x:v>45432</x:v>
      </x:c>
      <x:c r="S1002" s="4" t="str">
        <x:v>Retained</x:v>
      </x:c>
      <x:c r="T1002" s="10" t="n">
        <x:v>0.305556</x:v>
      </x:c>
      <x:c r="U1002" s="4" t="str">
        <x:v>Train</x:v>
      </x:c>
    </x:row>
    <x:row r="1003" ht="34" customHeight="1">
      <x:c r="A1003" s="4" t="str">
        <x:v>RS-01002</x:v>
      </x:c>
      <x:c r="B1003" s="8" t="n">
        <x:v>45373</x:v>
      </x:c>
      <x:c r="C1003" s="4" t="str">
        <x:v>PRJ-002</x:v>
      </x:c>
      <x:c r="D1003" s="4" t="str">
        <x:v>Office</x:v>
      </x:c>
      <x:c r="E1003" s="4" t="str">
        <x:v>Cancelled</x:v>
      </x:c>
      <x:c r="F1003" s="4" t="str">
        <x:v>CUS-01002</x:v>
      </x:c>
      <x:c r="G1003" s="4" t="str">
        <x:v>UNIT-01002</x:v>
      </x:c>
      <x:c r="H1003" s="9" t="n">
        <x:v>13800000</x:v>
      </x:c>
      <x:c r="I1003" s="10" t="n">
        <x:v>0.05</x:v>
      </x:c>
      <x:c r="J1003" s="11" t="n">
        <x:v>4</x:v>
      </x:c>
      <x:c r="K1003" s="11" t="n">
        <x:v>6</x:v>
      </x:c>
      <x:c r="L1003" s="11" t="n">
        <x:v>0</x:v>
      </x:c>
      <x:c r="M1003" s="9" t="n">
        <x:f>ROUND(H1003*(1-I1003),2)</x:f>
        <x:v>13110000</x:v>
      </x:c>
      <x:c r="N1003" s="4" t="str">
        <x:v>Sales manager</x:v>
      </x:c>
      <x:c r="O1003" s="4"/>
      <x:c r="P1003" s="9" t="n">
        <x:v>0</x:v>
      </x:c>
      <x:c r="Q1003" s="11" t="n">
        <x:v>1</x:v>
      </x:c>
      <x:c r="R1003" s="8" t="n">
        <x:v>45433</x:v>
      </x:c>
      <x:c r="S1003" s="4" t="str">
        <x:v>Lost / cancelled</x:v>
      </x:c>
      <x:c r="T1003" s="10" t="n">
        <x:v>0.226277</x:v>
      </x:c>
      <x:c r="U1003" s="4" t="str">
        <x:v>Train</x:v>
      </x:c>
    </x:row>
    <x:row r="1004" ht="34" customHeight="1">
      <x:c r="A1004" s="4" t="str">
        <x:v>RS-01003</x:v>
      </x:c>
      <x:c r="B1004" s="8" t="n">
        <x:v>45374</x:v>
      </x:c>
      <x:c r="C1004" s="4" t="str">
        <x:v>PRJ-003</x:v>
      </x:c>
      <x:c r="D1004" s="4" t="str">
        <x:v>Office</x:v>
      </x:c>
      <x:c r="E1004" s="4" t="str">
        <x:v>Handed over</x:v>
      </x:c>
      <x:c r="F1004" s="4" t="str">
        <x:v>CUS-01003</x:v>
      </x:c>
      <x:c r="G1004" s="4" t="str">
        <x:v>UNIT-01003</x:v>
      </x:c>
      <x:c r="H1004" s="9" t="n">
        <x:v>22300000</x:v>
      </x:c>
      <x:c r="I1004" s="10" t="n">
        <x:v>0</x:v>
      </x:c>
      <x:c r="J1004" s="11" t="n">
        <x:v>12</x:v>
      </x:c>
      <x:c r="K1004" s="11" t="n">
        <x:v>6</x:v>
      </x:c>
      <x:c r="L1004" s="11" t="n">
        <x:v>1</x:v>
      </x:c>
      <x:c r="M1004" s="9" t="n">
        <x:f>ROUND(H1004*(1-I1004),2)</x:f>
        <x:v>22300000</x:v>
      </x:c>
      <x:c r="N1004" s="4" t="str">
        <x:v>Sales manager</x:v>
      </x:c>
      <x:c r="O1004" s="4" t="str">
        <x:v>BOOK-01003</x:v>
      </x:c>
      <x:c r="P1004" s="9" t="n">
        <x:v>5575000</x:v>
      </x:c>
      <x:c r="Q1004" s="11" t="n">
        <x:v>0</x:v>
      </x:c>
      <x:c r="R1004" s="8" t="n">
        <x:v>45434</x:v>
      </x:c>
      <x:c r="S1004" s="4" t="str">
        <x:v>Retained</x:v>
      </x:c>
      <x:c r="T1004" s="10" t="n">
        <x:v>0.254545</x:v>
      </x:c>
      <x:c r="U1004" s="4" t="str">
        <x:v>Train</x:v>
      </x:c>
    </x:row>
    <x:row r="1005" ht="34" customHeight="1">
      <x:c r="A1005" s="4" t="str">
        <x:v>RS-01004</x:v>
      </x:c>
      <x:c r="B1005" s="8" t="n">
        <x:v>45375</x:v>
      </x:c>
      <x:c r="C1005" s="4" t="str">
        <x:v>PRJ-004</x:v>
      </x:c>
      <x:c r="D1005" s="4" t="str">
        <x:v>Apartment</x:v>
      </x:c>
      <x:c r="E1005" s="4" t="str">
        <x:v>Reserved</x:v>
      </x:c>
      <x:c r="F1005" s="4" t="str">
        <x:v>CUS-01004</x:v>
      </x:c>
      <x:c r="G1005" s="4" t="str">
        <x:v>UNIT-01004</x:v>
      </x:c>
      <x:c r="H1005" s="9" t="n">
        <x:v>12000000</x:v>
      </x:c>
      <x:c r="I1005" s="10" t="n">
        <x:v>0.1</x:v>
      </x:c>
      <x:c r="J1005" s="11" t="n">
        <x:v>6</x:v>
      </x:c>
      <x:c r="K1005" s="11" t="n">
        <x:v>3</x:v>
      </x:c>
      <x:c r="L1005" s="11" t="n">
        <x:v>1</x:v>
      </x:c>
      <x:c r="M1005" s="9" t="n">
        <x:f>ROUND(H1005*(1-I1005),2)</x:f>
        <x:v>10800000</x:v>
      </x:c>
      <x:c r="N1005" s="4" t="str">
        <x:v>Sales head</x:v>
      </x:c>
      <x:c r="O1005" s="4"/>
      <x:c r="P1005" s="9" t="n">
        <x:v>0</x:v>
      </x:c>
      <x:c r="Q1005" s="11" t="n">
        <x:v>0</x:v>
      </x:c>
      <x:c r="R1005" s="8" t="n">
        <x:v>45435</x:v>
      </x:c>
      <x:c r="S1005" s="4" t="str">
        <x:v>Retained</x:v>
      </x:c>
      <x:c r="T1005" s="10" t="n">
        <x:v>0.291946</x:v>
      </x:c>
      <x:c r="U1005" s="4" t="str">
        <x:v>Train</x:v>
      </x:c>
    </x:row>
    <x:row r="1006" ht="34" customHeight="1">
      <x:c r="A1006" s="4" t="str">
        <x:v>RS-01005</x:v>
      </x:c>
      <x:c r="B1006" s="8" t="n">
        <x:v>45376</x:v>
      </x:c>
      <x:c r="C1006" s="4" t="str">
        <x:v>PRJ-005</x:v>
      </x:c>
      <x:c r="D1006" s="4" t="str">
        <x:v>Office</x:v>
      </x:c>
      <x:c r="E1006" s="4" t="str">
        <x:v>Cancelled</x:v>
      </x:c>
      <x:c r="F1006" s="4" t="str">
        <x:v>CUS-01005</x:v>
      </x:c>
      <x:c r="G1006" s="4" t="str">
        <x:v>UNIT-01005</x:v>
      </x:c>
      <x:c r="H1006" s="9" t="n">
        <x:v>9000000</x:v>
      </x:c>
      <x:c r="I1006" s="10" t="n">
        <x:v>0.06</x:v>
      </x:c>
      <x:c r="J1006" s="11" t="n">
        <x:v>0</x:v>
      </x:c>
      <x:c r="K1006" s="11" t="n">
        <x:v>2</x:v>
      </x:c>
      <x:c r="L1006" s="11" t="n">
        <x:v>0</x:v>
      </x:c>
      <x:c r="M1006" s="9" t="n">
        <x:f>ROUND(H1006*(1-I1006),2)</x:f>
        <x:v>8460000</x:v>
      </x:c>
      <x:c r="N1006" s="4" t="str">
        <x:v>Sales manager</x:v>
      </x:c>
      <x:c r="O1006" s="4"/>
      <x:c r="P1006" s="9" t="n">
        <x:v>0</x:v>
      </x:c>
      <x:c r="Q1006" s="11" t="n">
        <x:v>1</x:v>
      </x:c>
      <x:c r="R1006" s="8" t="n">
        <x:v>45436</x:v>
      </x:c>
      <x:c r="S1006" s="4" t="str">
        <x:v>Lost / cancelled</x:v>
      </x:c>
      <x:c r="T1006" s="10" t="n">
        <x:v>0.204152</x:v>
      </x:c>
      <x:c r="U1006" s="4" t="str">
        <x:v>Train</x:v>
      </x:c>
    </x:row>
    <x:row r="1007" ht="34" customHeight="1">
      <x:c r="A1007" s="4" t="str">
        <x:v>RS-01006</x:v>
      </x:c>
      <x:c r="B1007" s="8" t="n">
        <x:v>45377</x:v>
      </x:c>
      <x:c r="C1007" s="4" t="str">
        <x:v>PRJ-006</x:v>
      </x:c>
      <x:c r="D1007" s="4" t="str">
        <x:v>Apartment</x:v>
      </x:c>
      <x:c r="E1007" s="4" t="str">
        <x:v>Booked</x:v>
      </x:c>
      <x:c r="F1007" s="4" t="str">
        <x:v>CUS-01006</x:v>
      </x:c>
      <x:c r="G1007" s="4" t="str">
        <x:v>UNIT-01006</x:v>
      </x:c>
      <x:c r="H1007" s="9" t="n">
        <x:v>4400000</x:v>
      </x:c>
      <x:c r="I1007" s="10" t="n">
        <x:v>0.09</x:v>
      </x:c>
      <x:c r="J1007" s="11" t="n">
        <x:v>9</x:v>
      </x:c>
      <x:c r="K1007" s="11" t="n">
        <x:v>9</x:v>
      </x:c>
      <x:c r="L1007" s="11" t="n">
        <x:v>0</x:v>
      </x:c>
      <x:c r="M1007" s="9" t="n">
        <x:f>ROUND(H1007*(1-I1007),2)</x:f>
        <x:v>4004000</x:v>
      </x:c>
      <x:c r="N1007" s="4" t="str">
        <x:v>Sales head</x:v>
      </x:c>
      <x:c r="O1007" s="4" t="str">
        <x:v>BOOK-01006</x:v>
      </x:c>
      <x:c r="P1007" s="9" t="n">
        <x:v>400400</x:v>
      </x:c>
      <x:c r="Q1007" s="11" t="n">
        <x:v>0</x:v>
      </x:c>
      <x:c r="R1007" s="8" t="n">
        <x:v>45437</x:v>
      </x:c>
      <x:c r="S1007" s="4" t="str">
        <x:v>Retained</x:v>
      </x:c>
      <x:c r="T1007" s="10" t="n">
        <x:v>0.310195</x:v>
      </x:c>
      <x:c r="U1007" s="4" t="str">
        <x:v>Train</x:v>
      </x:c>
    </x:row>
    <x:row r="1008" ht="34" customHeight="1">
      <x:c r="A1008" s="4" t="str">
        <x:v>RS-01007</x:v>
      </x:c>
      <x:c r="B1008" s="8" t="n">
        <x:v>45378</x:v>
      </x:c>
      <x:c r="C1008" s="4" t="str">
        <x:v>PRJ-007</x:v>
      </x:c>
      <x:c r="D1008" s="4" t="str">
        <x:v>Office</x:v>
      </x:c>
      <x:c r="E1008" s="4" t="str">
        <x:v>Handed over</x:v>
      </x:c>
      <x:c r="F1008" s="4" t="str">
        <x:v>CUS-01007</x:v>
      </x:c>
      <x:c r="G1008" s="4" t="str">
        <x:v>UNIT-01007</x:v>
      </x:c>
      <x:c r="H1008" s="9" t="n">
        <x:v>14600000</x:v>
      </x:c>
      <x:c r="I1008" s="10" t="n">
        <x:v>0.1</x:v>
      </x:c>
      <x:c r="J1008" s="11" t="n">
        <x:v>3</x:v>
      </x:c>
      <x:c r="K1008" s="11" t="n">
        <x:v>4</x:v>
      </x:c>
      <x:c r="L1008" s="11" t="n">
        <x:v>0</x:v>
      </x:c>
      <x:c r="M1008" s="9" t="n">
        <x:f>ROUND(H1008*(1-I1008),2)</x:f>
        <x:v>13140000</x:v>
      </x:c>
      <x:c r="N1008" s="4" t="str">
        <x:v>Sales head</x:v>
      </x:c>
      <x:c r="O1008" s="4" t="str">
        <x:v>BOOK-01007</x:v>
      </x:c>
      <x:c r="P1008" s="9" t="n">
        <x:v>6570000</x:v>
      </x:c>
      <x:c r="Q1008" s="11" t="n">
        <x:v>0</x:v>
      </x:c>
      <x:c r="R1008" s="8" t="n">
        <x:v>45438</x:v>
      </x:c>
      <x:c r="S1008" s="4" t="str">
        <x:v>Retained</x:v>
      </x:c>
      <x:c r="T1008" s="10" t="n">
        <x:v>0.145833</x:v>
      </x:c>
      <x:c r="U1008" s="4" t="str">
        <x:v>Train</x:v>
      </x:c>
    </x:row>
    <x:row r="1009" ht="34" customHeight="1">
      <x:c r="A1009" s="4" t="str">
        <x:v>RS-01008</x:v>
      </x:c>
      <x:c r="B1009" s="8" t="n">
        <x:v>45379</x:v>
      </x:c>
      <x:c r="C1009" s="4" t="str">
        <x:v>PRJ-008</x:v>
      </x:c>
      <x:c r="D1009" s="4" t="str">
        <x:v>Retail</x:v>
      </x:c>
      <x:c r="E1009" s="4" t="str">
        <x:v>Agreement signed</x:v>
      </x:c>
      <x:c r="F1009" s="4" t="str">
        <x:v>CUS-01008</x:v>
      </x:c>
      <x:c r="G1009" s="4" t="str">
        <x:v>UNIT-01008</x:v>
      </x:c>
      <x:c r="H1009" s="9" t="n">
        <x:v>16900000</x:v>
      </x:c>
      <x:c r="I1009" s="10" t="n">
        <x:v>0.07</x:v>
      </x:c>
      <x:c r="J1009" s="11" t="n">
        <x:v>7</x:v>
      </x:c>
      <x:c r="K1009" s="11" t="n">
        <x:v>9</x:v>
      </x:c>
      <x:c r="L1009" s="11" t="n">
        <x:v>1</x:v>
      </x:c>
      <x:c r="M1009" s="9" t="n">
        <x:f>ROUND(H1009*(1-I1009),2)</x:f>
        <x:v>15717000</x:v>
      </x:c>
      <x:c r="N1009" s="4" t="str">
        <x:v>Sales manager</x:v>
      </x:c>
      <x:c r="O1009" s="4" t="str">
        <x:v>BOOK-01008</x:v>
      </x:c>
      <x:c r="P1009" s="9" t="n">
        <x:v>3929250</x:v>
      </x:c>
      <x:c r="Q1009" s="11" t="n">
        <x:v>0</x:v>
      </x:c>
      <x:c r="R1009" s="8" t="n">
        <x:v>45439</x:v>
      </x:c>
      <x:c r="S1009" s="4" t="str">
        <x:v>Retained</x:v>
      </x:c>
      <x:c r="T1009" s="10" t="n">
        <x:v>0.291946</x:v>
      </x:c>
      <x:c r="U1009" s="4" t="str">
        <x:v>Train</x:v>
      </x:c>
    </x:row>
    <x:row r="1010" ht="34" customHeight="1">
      <x:c r="A1010" s="4" t="str">
        <x:v>RS-01009</x:v>
      </x:c>
      <x:c r="B1010" s="8" t="n">
        <x:v>45352</x:v>
      </x:c>
      <x:c r="C1010" s="4" t="str">
        <x:v>PRJ-009</x:v>
      </x:c>
      <x:c r="D1010" s="4" t="str">
        <x:v>Retail</x:v>
      </x:c>
      <x:c r="E1010" s="4" t="str">
        <x:v>Enquiry</x:v>
      </x:c>
      <x:c r="F1010" s="4" t="str">
        <x:v>CUS-01009</x:v>
      </x:c>
      <x:c r="G1010" s="4" t="str">
        <x:v>UNIT-01009</x:v>
      </x:c>
      <x:c r="H1010" s="9" t="n">
        <x:v>12900000</x:v>
      </x:c>
      <x:c r="I1010" s="10" t="n">
        <x:v>0.12</x:v>
      </x:c>
      <x:c r="J1010" s="11" t="n">
        <x:v>6</x:v>
      </x:c>
      <x:c r="K1010" s="11" t="n">
        <x:v>4</x:v>
      </x:c>
      <x:c r="L1010" s="11" t="n">
        <x:v>1</x:v>
      </x:c>
      <x:c r="M1010" s="9" t="n">
        <x:f>ROUND(H1010*(1-I1010),2)</x:f>
        <x:v>11352000</x:v>
      </x:c>
      <x:c r="N1010" s="4" t="str">
        <x:v>Sales head</x:v>
      </x:c>
      <x:c r="O1010" s="4"/>
      <x:c r="P1010" s="9" t="n">
        <x:v>0</x:v>
      </x:c>
      <x:c r="Q1010" s="11" t="n">
        <x:v>0</x:v>
      </x:c>
      <x:c r="R1010" s="8" t="n">
        <x:v>45412</x:v>
      </x:c>
      <x:c r="S1010" s="4" t="str">
        <x:v>Retained</x:v>
      </x:c>
      <x:c r="T1010" s="10" t="n">
        <x:v>0.291946</x:v>
      </x:c>
      <x:c r="U1010" s="4" t="str">
        <x:v>Train</x:v>
      </x:c>
    </x:row>
    <x:row r="1011" ht="34" customHeight="1">
      <x:c r="A1011" s="4" t="str">
        <x:v>RS-01010</x:v>
      </x:c>
      <x:c r="B1011" s="8" t="n">
        <x:v>45353</x:v>
      </x:c>
      <x:c r="C1011" s="4" t="str">
        <x:v>PRJ-010</x:v>
      </x:c>
      <x:c r="D1011" s="4" t="str">
        <x:v>Retail</x:v>
      </x:c>
      <x:c r="E1011" s="4" t="str">
        <x:v>Handed over</x:v>
      </x:c>
      <x:c r="F1011" s="4" t="str">
        <x:v>CUS-01010</x:v>
      </x:c>
      <x:c r="G1011" s="4" t="str">
        <x:v>UNIT-01010</x:v>
      </x:c>
      <x:c r="H1011" s="9" t="n">
        <x:v>10600000</x:v>
      </x:c>
      <x:c r="I1011" s="10" t="n">
        <x:v>0.1</x:v>
      </x:c>
      <x:c r="J1011" s="11" t="n">
        <x:v>3</x:v>
      </x:c>
      <x:c r="K1011" s="11" t="n">
        <x:v>5</x:v>
      </x:c>
      <x:c r="L1011" s="11" t="n">
        <x:v>0</x:v>
      </x:c>
      <x:c r="M1011" s="9" t="n">
        <x:f>ROUND(H1011*(1-I1011),2)</x:f>
        <x:v>9540000</x:v>
      </x:c>
      <x:c r="N1011" s="4" t="str">
        <x:v>Sales head</x:v>
      </x:c>
      <x:c r="O1011" s="4" t="str">
        <x:v>BOOK-01010</x:v>
      </x:c>
      <x:c r="P1011" s="9" t="n">
        <x:v>9540000</x:v>
      </x:c>
      <x:c r="Q1011" s="11" t="n">
        <x:v>0</x:v>
      </x:c>
      <x:c r="R1011" s="8" t="n">
        <x:v>45413</x:v>
      </x:c>
      <x:c r="S1011" s="4" t="str">
        <x:v>Retained</x:v>
      </x:c>
      <x:c r="T1011" s="10" t="n">
        <x:v>0.145833</x:v>
      </x:c>
      <x:c r="U1011" s="4" t="str">
        <x:v>Train</x:v>
      </x:c>
    </x:row>
    <x:row r="1012" ht="34" customHeight="1">
      <x:c r="A1012" s="4" t="str">
        <x:v>RS-01011</x:v>
      </x:c>
      <x:c r="B1012" s="8" t="n">
        <x:v>45354</x:v>
      </x:c>
      <x:c r="C1012" s="4" t="str">
        <x:v>PRJ-011</x:v>
      </x:c>
      <x:c r="D1012" s="4" t="str">
        <x:v>Office</x:v>
      </x:c>
      <x:c r="E1012" s="4" t="str">
        <x:v>Reserved</x:v>
      </x:c>
      <x:c r="F1012" s="4" t="str">
        <x:v>CUS-01011</x:v>
      </x:c>
      <x:c r="G1012" s="4" t="str">
        <x:v>UNIT-01011</x:v>
      </x:c>
      <x:c r="H1012" s="9" t="n">
        <x:v>9100000</x:v>
      </x:c>
      <x:c r="I1012" s="10" t="n">
        <x:v>0</x:v>
      </x:c>
      <x:c r="J1012" s="11" t="n">
        <x:v>1</x:v>
      </x:c>
      <x:c r="K1012" s="11" t="n">
        <x:v>7</x:v>
      </x:c>
      <x:c r="L1012" s="11" t="n">
        <x:v>1</x:v>
      </x:c>
      <x:c r="M1012" s="9" t="n">
        <x:f>ROUND(H1012*(1-I1012),2)</x:f>
        <x:v>9100000</x:v>
      </x:c>
      <x:c r="N1012" s="4" t="str">
        <x:v>Sales manager</x:v>
      </x:c>
      <x:c r="O1012" s="4"/>
      <x:c r="P1012" s="9" t="n">
        <x:v>0</x:v>
      </x:c>
      <x:c r="Q1012" s="11" t="n">
        <x:v>0</x:v>
      </x:c>
      <x:c r="R1012" s="8" t="n">
        <x:v>45414</x:v>
      </x:c>
      <x:c r="S1012" s="4" t="str">
        <x:v>Retained</x:v>
      </x:c>
      <x:c r="T1012" s="10" t="n">
        <x:v>0.072165</x:v>
      </x:c>
      <x:c r="U1012" s="4" t="str">
        <x:v>Train</x:v>
      </x:c>
    </x:row>
    <x:row r="1013" ht="34" customHeight="1">
      <x:c r="A1013" s="4" t="str">
        <x:v>RS-01012</x:v>
      </x:c>
      <x:c r="B1013" s="8" t="n">
        <x:v>45355</x:v>
      </x:c>
      <x:c r="C1013" s="4" t="str">
        <x:v>PRJ-012</x:v>
      </x:c>
      <x:c r="D1013" s="4" t="str">
        <x:v>Retail</x:v>
      </x:c>
      <x:c r="E1013" s="4" t="str">
        <x:v>Agreement signed</x:v>
      </x:c>
      <x:c r="F1013" s="4" t="str">
        <x:v>CUS-01012</x:v>
      </x:c>
      <x:c r="G1013" s="4" t="str">
        <x:v>UNIT-01012</x:v>
      </x:c>
      <x:c r="H1013" s="9" t="n">
        <x:v>21900000</x:v>
      </x:c>
      <x:c r="I1013" s="10" t="n">
        <x:v>0.06</x:v>
      </x:c>
      <x:c r="J1013" s="11" t="n">
        <x:v>10</x:v>
      </x:c>
      <x:c r="K1013" s="11" t="n">
        <x:v>4</x:v>
      </x:c>
      <x:c r="L1013" s="11" t="n">
        <x:v>0</x:v>
      </x:c>
      <x:c r="M1013" s="9" t="n">
        <x:f>ROUND(H1013*(1-I1013),2)</x:f>
        <x:v>20586000</x:v>
      </x:c>
      <x:c r="N1013" s="4" t="str">
        <x:v>Sales manager</x:v>
      </x:c>
      <x:c r="O1013" s="4" t="str">
        <x:v>BOOK-01012</x:v>
      </x:c>
      <x:c r="P1013" s="9" t="n">
        <x:v>20586000</x:v>
      </x:c>
      <x:c r="Q1013" s="11" t="n">
        <x:v>0</x:v>
      </x:c>
      <x:c r="R1013" s="8" t="n">
        <x:v>45415</x:v>
      </x:c>
      <x:c r="S1013" s="4" t="str">
        <x:v>Retained</x:v>
      </x:c>
      <x:c r="T1013" s="10" t="n">
        <x:v>0.310195</x:v>
      </x:c>
      <x:c r="U1013" s="4" t="str">
        <x:v>Train</x:v>
      </x:c>
    </x:row>
    <x:row r="1014" ht="34" customHeight="1">
      <x:c r="A1014" s="4" t="str">
        <x:v>RS-01013</x:v>
      </x:c>
      <x:c r="B1014" s="8" t="n">
        <x:v>45356</x:v>
      </x:c>
      <x:c r="C1014" s="4" t="str">
        <x:v>PRJ-013</x:v>
      </x:c>
      <x:c r="D1014" s="4" t="str">
        <x:v>Apartment</x:v>
      </x:c>
      <x:c r="E1014" s="4" t="str">
        <x:v>Agreement signed</x:v>
      </x:c>
      <x:c r="F1014" s="4" t="str">
        <x:v>CUS-01013</x:v>
      </x:c>
      <x:c r="G1014" s="4" t="str">
        <x:v>UNIT-01013</x:v>
      </x:c>
      <x:c r="H1014" s="9" t="n">
        <x:v>15300000</x:v>
      </x:c>
      <x:c r="I1014" s="10" t="n">
        <x:v>0.12</x:v>
      </x:c>
      <x:c r="J1014" s="11" t="n">
        <x:v>7</x:v>
      </x:c>
      <x:c r="K1014" s="11" t="n">
        <x:v>4</x:v>
      </x:c>
      <x:c r="L1014" s="11" t="n">
        <x:v>0</x:v>
      </x:c>
      <x:c r="M1014" s="9" t="n">
        <x:f>ROUND(H1014*(1-I1014),2)</x:f>
        <x:v>13464000</x:v>
      </x:c>
      <x:c r="N1014" s="4" t="str">
        <x:v>Sales head</x:v>
      </x:c>
      <x:c r="O1014" s="4" t="str">
        <x:v>BOOK-01013</x:v>
      </x:c>
      <x:c r="P1014" s="9" t="n">
        <x:v>3366000</x:v>
      </x:c>
      <x:c r="Q1014" s="11" t="n">
        <x:v>0</x:v>
      </x:c>
      <x:c r="R1014" s="8" t="n">
        <x:v>45416</x:v>
      </x:c>
      <x:c r="S1014" s="4" t="str">
        <x:v>Retained</x:v>
      </x:c>
      <x:c r="T1014" s="10" t="n">
        <x:v>0.226277</x:v>
      </x:c>
      <x:c r="U1014" s="4" t="str">
        <x:v>Train</x:v>
      </x:c>
    </x:row>
    <x:row r="1015" ht="34" customHeight="1">
      <x:c r="A1015" s="4" t="str">
        <x:v>RS-01014</x:v>
      </x:c>
      <x:c r="B1015" s="8" t="n">
        <x:v>45357</x:v>
      </x:c>
      <x:c r="C1015" s="4" t="str">
        <x:v>PRJ-014</x:v>
      </x:c>
      <x:c r="D1015" s="4" t="str">
        <x:v>Office</x:v>
      </x:c>
      <x:c r="E1015" s="4" t="str">
        <x:v>Handed over</x:v>
      </x:c>
      <x:c r="F1015" s="4" t="str">
        <x:v>CUS-01014</x:v>
      </x:c>
      <x:c r="G1015" s="4" t="str">
        <x:v>UNIT-01014</x:v>
      </x:c>
      <x:c r="H1015" s="9" t="n">
        <x:v>19400000</x:v>
      </x:c>
      <x:c r="I1015" s="10" t="n">
        <x:v>0.07</x:v>
      </x:c>
      <x:c r="J1015" s="11" t="n">
        <x:v>12</x:v>
      </x:c>
      <x:c r="K1015" s="11" t="n">
        <x:v>4</x:v>
      </x:c>
      <x:c r="L1015" s="11" t="n">
        <x:v>0</x:v>
      </x:c>
      <x:c r="M1015" s="9" t="n">
        <x:f>ROUND(H1015*(1-I1015),2)</x:f>
        <x:v>18042000</x:v>
      </x:c>
      <x:c r="N1015" s="4" t="str">
        <x:v>Sales manager</x:v>
      </x:c>
      <x:c r="O1015" s="4" t="str">
        <x:v>BOOK-01014</x:v>
      </x:c>
      <x:c r="P1015" s="9" t="n">
        <x:v>4510500</x:v>
      </x:c>
      <x:c r="Q1015" s="11" t="n">
        <x:v>0</x:v>
      </x:c>
      <x:c r="R1015" s="8" t="n">
        <x:v>45417</x:v>
      </x:c>
      <x:c r="S1015" s="4" t="str">
        <x:v>Retained</x:v>
      </x:c>
      <x:c r="T1015" s="10" t="n">
        <x:v>0.351536</x:v>
      </x:c>
      <x:c r="U1015" s="4" t="str">
        <x:v>Train</x:v>
      </x:c>
    </x:row>
    <x:row r="1016" ht="34" customHeight="1">
      <x:c r="A1016" s="4" t="str">
        <x:v>RS-01015</x:v>
      </x:c>
      <x:c r="B1016" s="8" t="n">
        <x:v>45358</x:v>
      </x:c>
      <x:c r="C1016" s="4" t="str">
        <x:v>PRJ-015</x:v>
      </x:c>
      <x:c r="D1016" s="4" t="str">
        <x:v>Office</x:v>
      </x:c>
      <x:c r="E1016" s="4" t="str">
        <x:v>Agreement signed</x:v>
      </x:c>
      <x:c r="F1016" s="4" t="str">
        <x:v>CUS-01015</x:v>
      </x:c>
      <x:c r="G1016" s="4" t="str">
        <x:v>UNIT-01015</x:v>
      </x:c>
      <x:c r="H1016" s="9" t="n">
        <x:v>9900000</x:v>
      </x:c>
      <x:c r="I1016" s="10" t="n">
        <x:v>0.03</x:v>
      </x:c>
      <x:c r="J1016" s="11" t="n">
        <x:v>9</x:v>
      </x:c>
      <x:c r="K1016" s="11" t="n">
        <x:v>4</x:v>
      </x:c>
      <x:c r="L1016" s="11" t="n">
        <x:v>0</x:v>
      </x:c>
      <x:c r="M1016" s="9" t="n">
        <x:f>ROUND(H1016*(1-I1016),2)</x:f>
        <x:v>9603000</x:v>
      </x:c>
      <x:c r="N1016" s="4" t="str">
        <x:v>Sales manager</x:v>
      </x:c>
      <x:c r="O1016" s="4" t="str">
        <x:v>BOOK-01015</x:v>
      </x:c>
      <x:c r="P1016" s="9" t="n">
        <x:v>960300</x:v>
      </x:c>
      <x:c r="Q1016" s="11" t="n">
        <x:v>0</x:v>
      </x:c>
      <x:c r="R1016" s="8" t="n">
        <x:v>45418</x:v>
      </x:c>
      <x:c r="S1016" s="4" t="str">
        <x:v>Retained</x:v>
      </x:c>
      <x:c r="T1016" s="10" t="n">
        <x:v>0.310195</x:v>
      </x:c>
      <x:c r="U1016" s="4" t="str">
        <x:v>Train</x:v>
      </x:c>
    </x:row>
    <x:row r="1017" ht="34" customHeight="1">
      <x:c r="A1017" s="4" t="str">
        <x:v>RS-01016</x:v>
      </x:c>
      <x:c r="B1017" s="8" t="n">
        <x:v>45359</x:v>
      </x:c>
      <x:c r="C1017" s="4" t="str">
        <x:v>PRJ-016</x:v>
      </x:c>
      <x:c r="D1017" s="4" t="str">
        <x:v>Retail</x:v>
      </x:c>
      <x:c r="E1017" s="4" t="str">
        <x:v>Cancelled</x:v>
      </x:c>
      <x:c r="F1017" s="4" t="str">
        <x:v>CUS-01016</x:v>
      </x:c>
      <x:c r="G1017" s="4" t="str">
        <x:v>UNIT-01016</x:v>
      </x:c>
      <x:c r="H1017" s="9" t="n">
        <x:v>17300000</x:v>
      </x:c>
      <x:c r="I1017" s="10" t="n">
        <x:v>0.09</x:v>
      </x:c>
      <x:c r="J1017" s="11" t="n">
        <x:v>8</x:v>
      </x:c>
      <x:c r="K1017" s="11" t="n">
        <x:v>6</x:v>
      </x:c>
      <x:c r="L1017" s="11" t="n">
        <x:v>0</x:v>
      </x:c>
      <x:c r="M1017" s="9" t="n">
        <x:f>ROUND(H1017*(1-I1017),2)</x:f>
        <x:v>15743000</x:v>
      </x:c>
      <x:c r="N1017" s="4" t="str">
        <x:v>Sales head</x:v>
      </x:c>
      <x:c r="O1017" s="4"/>
      <x:c r="P1017" s="9" t="n">
        <x:v>0</x:v>
      </x:c>
      <x:c r="Q1017" s="11" t="n">
        <x:v>1</x:v>
      </x:c>
      <x:c r="R1017" s="8" t="n">
        <x:v>45419</x:v>
      </x:c>
      <x:c r="S1017" s="4" t="str">
        <x:v>Lost / cancelled</x:v>
      </x:c>
      <x:c r="T1017" s="10" t="n">
        <x:v>0.310195</x:v>
      </x:c>
      <x:c r="U1017" s="4" t="str">
        <x:v>Train</x:v>
      </x:c>
    </x:row>
    <x:row r="1018" ht="34" customHeight="1">
      <x:c r="A1018" s="4" t="str">
        <x:v>RS-01017</x:v>
      </x:c>
      <x:c r="B1018" s="8" t="n">
        <x:v>45360</x:v>
      </x:c>
      <x:c r="C1018" s="4" t="str">
        <x:v>PRJ-017</x:v>
      </x:c>
      <x:c r="D1018" s="4" t="str">
        <x:v>Apartment</x:v>
      </x:c>
      <x:c r="E1018" s="4" t="str">
        <x:v>Booked</x:v>
      </x:c>
      <x:c r="F1018" s="4" t="str">
        <x:v>CUS-01017</x:v>
      </x:c>
      <x:c r="G1018" s="4" t="str">
        <x:v>UNIT-01017</x:v>
      </x:c>
      <x:c r="H1018" s="9" t="n">
        <x:v>15600000</x:v>
      </x:c>
      <x:c r="I1018" s="10" t="n">
        <x:v>0</x:v>
      </x:c>
      <x:c r="J1018" s="11" t="n">
        <x:v>3</x:v>
      </x:c>
      <x:c r="K1018" s="11" t="n">
        <x:v>5</x:v>
      </x:c>
      <x:c r="L1018" s="11" t="n">
        <x:v>0</x:v>
      </x:c>
      <x:c r="M1018" s="9" t="n">
        <x:f>ROUND(H1018*(1-I1018),2)</x:f>
        <x:v>15600000</x:v>
      </x:c>
      <x:c r="N1018" s="4" t="str">
        <x:v>Sales manager</x:v>
      </x:c>
      <x:c r="O1018" s="4" t="str">
        <x:v>BOOK-01017</x:v>
      </x:c>
      <x:c r="P1018" s="9" t="n">
        <x:v>3900000</x:v>
      </x:c>
      <x:c r="Q1018" s="11" t="n">
        <x:v>0</x:v>
      </x:c>
      <x:c r="R1018" s="8" t="n">
        <x:v>45420</x:v>
      </x:c>
      <x:c r="S1018" s="4" t="str">
        <x:v>Retained</x:v>
      </x:c>
      <x:c r="T1018" s="10" t="n">
        <x:v>0.171717</x:v>
      </x:c>
      <x:c r="U1018" s="4" t="str">
        <x:v>Train</x:v>
      </x:c>
    </x:row>
    <x:row r="1019" ht="34" customHeight="1">
      <x:c r="A1019" s="4" t="str">
        <x:v>RS-01018</x:v>
      </x:c>
      <x:c r="B1019" s="8" t="n">
        <x:v>45361</x:v>
      </x:c>
      <x:c r="C1019" s="4" t="str">
        <x:v>PRJ-018</x:v>
      </x:c>
      <x:c r="D1019" s="4" t="str">
        <x:v>Apartment</x:v>
      </x:c>
      <x:c r="E1019" s="4" t="str">
        <x:v>Reserved</x:v>
      </x:c>
      <x:c r="F1019" s="4" t="str">
        <x:v>CUS-01018</x:v>
      </x:c>
      <x:c r="G1019" s="4" t="str">
        <x:v>UNIT-01018</x:v>
      </x:c>
      <x:c r="H1019" s="9" t="n">
        <x:v>24400000</x:v>
      </x:c>
      <x:c r="I1019" s="10" t="n">
        <x:v>0.1</x:v>
      </x:c>
      <x:c r="J1019" s="11" t="n">
        <x:v>7</x:v>
      </x:c>
      <x:c r="K1019" s="11" t="n">
        <x:v>2</x:v>
      </x:c>
      <x:c r="L1019" s="11" t="n">
        <x:v>0</x:v>
      </x:c>
      <x:c r="M1019" s="9" t="n">
        <x:f>ROUND(H1019*(1-I1019),2)</x:f>
        <x:v>21960000</x:v>
      </x:c>
      <x:c r="N1019" s="4" t="str">
        <x:v>Sales head</x:v>
      </x:c>
      <x:c r="O1019" s="4"/>
      <x:c r="P1019" s="9" t="n">
        <x:v>0</x:v>
      </x:c>
      <x:c r="Q1019" s="11" t="n">
        <x:v>0</x:v>
      </x:c>
      <x:c r="R1019" s="8" t="n">
        <x:v>45421</x:v>
      </x:c>
      <x:c r="S1019" s="4" t="str">
        <x:v>Retained</x:v>
      </x:c>
      <x:c r="T1019" s="10" t="n">
        <x:v>0.226277</x:v>
      </x:c>
      <x:c r="U1019" s="4" t="str">
        <x:v>Train</x:v>
      </x:c>
    </x:row>
    <x:row r="1020" ht="34" customHeight="1">
      <x:c r="A1020" s="4" t="str">
        <x:v>RS-01019</x:v>
      </x:c>
      <x:c r="B1020" s="8" t="n">
        <x:v>45362</x:v>
      </x:c>
      <x:c r="C1020" s="4" t="str">
        <x:v>PRJ-019</x:v>
      </x:c>
      <x:c r="D1020" s="4" t="str">
        <x:v>Office</x:v>
      </x:c>
      <x:c r="E1020" s="4" t="str">
        <x:v>Enquiry</x:v>
      </x:c>
      <x:c r="F1020" s="4" t="str">
        <x:v>CUS-01019</x:v>
      </x:c>
      <x:c r="G1020" s="4" t="str">
        <x:v>UNIT-01019</x:v>
      </x:c>
      <x:c r="H1020" s="9" t="n">
        <x:v>4300000</x:v>
      </x:c>
      <x:c r="I1020" s="10" t="n">
        <x:v>0.09</x:v>
      </x:c>
      <x:c r="J1020" s="11" t="n">
        <x:v>3</x:v>
      </x:c>
      <x:c r="K1020" s="11" t="n">
        <x:v>4</x:v>
      </x:c>
      <x:c r="L1020" s="11" t="n">
        <x:v>0</x:v>
      </x:c>
      <x:c r="M1020" s="9" t="n">
        <x:f>ROUND(H1020*(1-I1020),2)</x:f>
        <x:v>3913000</x:v>
      </x:c>
      <x:c r="N1020" s="4" t="str">
        <x:v>Sales head</x:v>
      </x:c>
      <x:c r="O1020" s="4"/>
      <x:c r="P1020" s="9" t="n">
        <x:v>0</x:v>
      </x:c>
      <x:c r="Q1020" s="11" t="n">
        <x:v>0</x:v>
      </x:c>
      <x:c r="R1020" s="8" t="n">
        <x:v>45422</x:v>
      </x:c>
      <x:c r="S1020" s="4" t="str">
        <x:v>Retained</x:v>
      </x:c>
      <x:c r="T1020" s="10" t="n">
        <x:v>0.145833</x:v>
      </x:c>
      <x:c r="U1020" s="4" t="str">
        <x:v>Train</x:v>
      </x:c>
    </x:row>
    <x:row r="1021" ht="34" customHeight="1">
      <x:c r="A1021" s="4" t="str">
        <x:v>RS-01020</x:v>
      </x:c>
      <x:c r="B1021" s="8" t="n">
        <x:v>45363</x:v>
      </x:c>
      <x:c r="C1021" s="4" t="str">
        <x:v>PRJ-020</x:v>
      </x:c>
      <x:c r="D1021" s="4" t="str">
        <x:v>Retail</x:v>
      </x:c>
      <x:c r="E1021" s="4" t="str">
        <x:v>Reserved</x:v>
      </x:c>
      <x:c r="F1021" s="4" t="str">
        <x:v>CUS-01020</x:v>
      </x:c>
      <x:c r="G1021" s="4" t="str">
        <x:v>UNIT-01020</x:v>
      </x:c>
      <x:c r="H1021" s="9" t="n">
        <x:v>17800000</x:v>
      </x:c>
      <x:c r="I1021" s="10" t="n">
        <x:v>0.07</x:v>
      </x:c>
      <x:c r="J1021" s="11" t="n">
        <x:v>10</x:v>
      </x:c>
      <x:c r="K1021" s="11" t="n">
        <x:v>0</x:v>
      </x:c>
      <x:c r="L1021" s="11" t="n">
        <x:v>0</x:v>
      </x:c>
      <x:c r="M1021" s="9" t="n">
        <x:f>ROUND(H1021*(1-I1021),2)</x:f>
        <x:v>16554000</x:v>
      </x:c>
      <x:c r="N1021" s="4" t="str">
        <x:v>Sales manager</x:v>
      </x:c>
      <x:c r="O1021" s="4"/>
      <x:c r="P1021" s="9" t="n">
        <x:v>0</x:v>
      </x:c>
      <x:c r="Q1021" s="11" t="n">
        <x:v>1</x:v>
      </x:c>
      <x:c r="R1021" s="8" t="n">
        <x:v>45423</x:v>
      </x:c>
      <x:c r="S1021" s="4" t="str">
        <x:v>Lost / cancelled</x:v>
      </x:c>
      <x:c r="T1021" s="10" t="n">
        <x:v>0.310195</x:v>
      </x:c>
      <x:c r="U1021" s="4" t="str">
        <x:v>Train</x:v>
      </x:c>
    </x:row>
    <x:row r="1022" ht="34" customHeight="1">
      <x:c r="A1022" s="4" t="str">
        <x:v>RS-01021</x:v>
      </x:c>
      <x:c r="B1022" s="8" t="n">
        <x:v>45364</x:v>
      </x:c>
      <x:c r="C1022" s="4" t="str">
        <x:v>PRJ-001</x:v>
      </x:c>
      <x:c r="D1022" s="4" t="str">
        <x:v>Villa</x:v>
      </x:c>
      <x:c r="E1022" s="4" t="str">
        <x:v>Cancelled</x:v>
      </x:c>
      <x:c r="F1022" s="4" t="str">
        <x:v>CUS-01021</x:v>
      </x:c>
      <x:c r="G1022" s="4" t="str">
        <x:v>UNIT-01021</x:v>
      </x:c>
      <x:c r="H1022" s="9" t="n">
        <x:v>5700000</x:v>
      </x:c>
      <x:c r="I1022" s="10" t="n">
        <x:v>0.11</x:v>
      </x:c>
      <x:c r="J1022" s="11" t="n">
        <x:v>10</x:v>
      </x:c>
      <x:c r="K1022" s="11" t="n">
        <x:v>0</x:v>
      </x:c>
      <x:c r="L1022" s="11" t="n">
        <x:v>0</x:v>
      </x:c>
      <x:c r="M1022" s="9" t="n">
        <x:f>ROUND(H1022*(1-I1022),2)</x:f>
        <x:v>5073000</x:v>
      </x:c>
      <x:c r="N1022" s="4" t="str">
        <x:v>Sales head</x:v>
      </x:c>
      <x:c r="O1022" s="4"/>
      <x:c r="P1022" s="9" t="n">
        <x:v>0</x:v>
      </x:c>
      <x:c r="Q1022" s="11" t="n">
        <x:v>1</x:v>
      </x:c>
      <x:c r="R1022" s="8" t="n">
        <x:v>45424</x:v>
      </x:c>
      <x:c r="S1022" s="4" t="str">
        <x:v>Lost / cancelled</x:v>
      </x:c>
      <x:c r="T1022" s="10" t="n">
        <x:v>0.310195</x:v>
      </x:c>
      <x:c r="U1022" s="4" t="str">
        <x:v>Train</x:v>
      </x:c>
    </x:row>
    <x:row r="1023" ht="34" customHeight="1">
      <x:c r="A1023" s="4" t="str">
        <x:v>RS-01022</x:v>
      </x:c>
      <x:c r="B1023" s="8" t="n">
        <x:v>45365</x:v>
      </x:c>
      <x:c r="C1023" s="4" t="str">
        <x:v>PRJ-002</x:v>
      </x:c>
      <x:c r="D1023" s="4" t="str">
        <x:v>Retail</x:v>
      </x:c>
      <x:c r="E1023" s="4" t="str">
        <x:v>Enquiry</x:v>
      </x:c>
      <x:c r="F1023" s="4" t="str">
        <x:v>CUS-01022</x:v>
      </x:c>
      <x:c r="G1023" s="4" t="str">
        <x:v>UNIT-01022</x:v>
      </x:c>
      <x:c r="H1023" s="9" t="n">
        <x:v>19900000</x:v>
      </x:c>
      <x:c r="I1023" s="10" t="n">
        <x:v>0.08</x:v>
      </x:c>
      <x:c r="J1023" s="11" t="n">
        <x:v>3</x:v>
      </x:c>
      <x:c r="K1023" s="11" t="n">
        <x:v>6</x:v>
      </x:c>
      <x:c r="L1023" s="11" t="n">
        <x:v>0</x:v>
      </x:c>
      <x:c r="M1023" s="9" t="n">
        <x:f>ROUND(H1023*(1-I1023),2)</x:f>
        <x:v>18308000</x:v>
      </x:c>
      <x:c r="N1023" s="4" t="str">
        <x:v>Sales head</x:v>
      </x:c>
      <x:c r="O1023" s="4"/>
      <x:c r="P1023" s="9" t="n">
        <x:v>0</x:v>
      </x:c>
      <x:c r="Q1023" s="11" t="n">
        <x:v>0</x:v>
      </x:c>
      <x:c r="R1023" s="8" t="n">
        <x:v>45425</x:v>
      </x:c>
      <x:c r="S1023" s="4" t="str">
        <x:v>Retained</x:v>
      </x:c>
      <x:c r="T1023" s="10" t="n">
        <x:v>0.204152</x:v>
      </x:c>
      <x:c r="U1023" s="4" t="str">
        <x:v>Train</x:v>
      </x:c>
    </x:row>
    <x:row r="1024" ht="34" customHeight="1">
      <x:c r="A1024" s="4" t="str">
        <x:v>RS-01023</x:v>
      </x:c>
      <x:c r="B1024" s="8" t="n">
        <x:v>45366</x:v>
      </x:c>
      <x:c r="C1024" s="4" t="str">
        <x:v>PRJ-003</x:v>
      </x:c>
      <x:c r="D1024" s="4" t="str">
        <x:v>Villa</x:v>
      </x:c>
      <x:c r="E1024" s="4" t="str">
        <x:v>Cancelled</x:v>
      </x:c>
      <x:c r="F1024" s="4" t="str">
        <x:v>CUS-01023</x:v>
      </x:c>
      <x:c r="G1024" s="4" t="str">
        <x:v>UNIT-01023</x:v>
      </x:c>
      <x:c r="H1024" s="9" t="n">
        <x:v>13700000</x:v>
      </x:c>
      <x:c r="I1024" s="10" t="n">
        <x:v>0.12</x:v>
      </x:c>
      <x:c r="J1024" s="11" t="n">
        <x:v>3</x:v>
      </x:c>
      <x:c r="K1024" s="11" t="n">
        <x:v>7</x:v>
      </x:c>
      <x:c r="L1024" s="11" t="n">
        <x:v>0</x:v>
      </x:c>
      <x:c r="M1024" s="9" t="n">
        <x:f>ROUND(H1024*(1-I1024),2)</x:f>
        <x:v>12056000</x:v>
      </x:c>
      <x:c r="N1024" s="4" t="str">
        <x:v>Sales head</x:v>
      </x:c>
      <x:c r="O1024" s="4"/>
      <x:c r="P1024" s="9" t="n">
        <x:v>0</x:v>
      </x:c>
      <x:c r="Q1024" s="11" t="n">
        <x:v>1</x:v>
      </x:c>
      <x:c r="R1024" s="8" t="n">
        <x:v>45426</x:v>
      </x:c>
      <x:c r="S1024" s="4" t="str">
        <x:v>Lost / cancelled</x:v>
      </x:c>
      <x:c r="T1024" s="10" t="n">
        <x:v>0.145833</x:v>
      </x:c>
      <x:c r="U1024" s="4" t="str">
        <x:v>Train</x:v>
      </x:c>
    </x:row>
    <x:row r="1025" ht="34" customHeight="1">
      <x:c r="A1025" s="4" t="str">
        <x:v>RS-01024</x:v>
      </x:c>
      <x:c r="B1025" s="8" t="n">
        <x:v>45367</x:v>
      </x:c>
      <x:c r="C1025" s="4" t="str">
        <x:v>PRJ-004</x:v>
      </x:c>
      <x:c r="D1025" s="4" t="str">
        <x:v>Apartment</x:v>
      </x:c>
      <x:c r="E1025" s="4" t="str">
        <x:v>Cancelled</x:v>
      </x:c>
      <x:c r="F1025" s="4" t="str">
        <x:v>CUS-01024</x:v>
      </x:c>
      <x:c r="G1025" s="4" t="str">
        <x:v>UNIT-01024</x:v>
      </x:c>
      <x:c r="H1025" s="9" t="n">
        <x:v>12300000</x:v>
      </x:c>
      <x:c r="I1025" s="10" t="n">
        <x:v>0.08</x:v>
      </x:c>
      <x:c r="J1025" s="11" t="n">
        <x:v>4</x:v>
      </x:c>
      <x:c r="K1025" s="11" t="n">
        <x:v>9</x:v>
      </x:c>
      <x:c r="L1025" s="11" t="n">
        <x:v>0</x:v>
      </x:c>
      <x:c r="M1025" s="9" t="n">
        <x:f>ROUND(H1025*(1-I1025),2)</x:f>
        <x:v>11316000</x:v>
      </x:c>
      <x:c r="N1025" s="4" t="str">
        <x:v>Sales head</x:v>
      </x:c>
      <x:c r="O1025" s="4"/>
      <x:c r="P1025" s="9" t="n">
        <x:v>0</x:v>
      </x:c>
      <x:c r="Q1025" s="11" t="n">
        <x:v>1</x:v>
      </x:c>
      <x:c r="R1025" s="8" t="n">
        <x:v>45427</x:v>
      </x:c>
      <x:c r="S1025" s="4" t="str">
        <x:v>Lost / cancelled</x:v>
      </x:c>
      <x:c r="T1025" s="10" t="n">
        <x:v>0.226277</x:v>
      </x:c>
      <x:c r="U1025" s="4" t="str">
        <x:v>Train</x:v>
      </x:c>
    </x:row>
    <x:row r="1026" ht="34" customHeight="1">
      <x:c r="A1026" s="4" t="str">
        <x:v>RS-01025</x:v>
      </x:c>
      <x:c r="B1026" s="8" t="n">
        <x:v>45368</x:v>
      </x:c>
      <x:c r="C1026" s="4" t="str">
        <x:v>PRJ-005</x:v>
      </x:c>
      <x:c r="D1026" s="4" t="str">
        <x:v>Villa</x:v>
      </x:c>
      <x:c r="E1026" s="4" t="str">
        <x:v>Handed over</x:v>
      </x:c>
      <x:c r="F1026" s="4" t="str">
        <x:v>CUS-01025</x:v>
      </x:c>
      <x:c r="G1026" s="4" t="str">
        <x:v>UNIT-01025</x:v>
      </x:c>
      <x:c r="H1026" s="9" t="n">
        <x:v>6200000</x:v>
      </x:c>
      <x:c r="I1026" s="10" t="n">
        <x:v>0.05</x:v>
      </x:c>
      <x:c r="J1026" s="11" t="n">
        <x:v>1</x:v>
      </x:c>
      <x:c r="K1026" s="11" t="n">
        <x:v>7</x:v>
      </x:c>
      <x:c r="L1026" s="11" t="n">
        <x:v>1</x:v>
      </x:c>
      <x:c r="M1026" s="9" t="n">
        <x:f>ROUND(H1026*(1-I1026),2)</x:f>
        <x:v>5890000</x:v>
      </x:c>
      <x:c r="N1026" s="4" t="str">
        <x:v>Sales manager</x:v>
      </x:c>
      <x:c r="O1026" s="4" t="str">
        <x:v>BOOK-01025</x:v>
      </x:c>
      <x:c r="P1026" s="9" t="n">
        <x:v>2945000</x:v>
      </x:c>
      <x:c r="Q1026" s="11" t="n">
        <x:v>0</x:v>
      </x:c>
      <x:c r="R1026" s="8" t="n">
        <x:v>45428</x:v>
      </x:c>
      <x:c r="S1026" s="4" t="str">
        <x:v>Retained</x:v>
      </x:c>
      <x:c r="T1026" s="10" t="n">
        <x:v>0.204152</x:v>
      </x:c>
      <x:c r="U1026" s="4" t="str">
        <x:v>Train</x:v>
      </x:c>
    </x:row>
    <x:row r="1027" ht="34" customHeight="1">
      <x:c r="A1027" s="4" t="str">
        <x:v>RS-01026</x:v>
      </x:c>
      <x:c r="B1027" s="8" t="n">
        <x:v>45369</x:v>
      </x:c>
      <x:c r="C1027" s="4" t="str">
        <x:v>PRJ-006</x:v>
      </x:c>
      <x:c r="D1027" s="4" t="str">
        <x:v>Villa</x:v>
      </x:c>
      <x:c r="E1027" s="4" t="str">
        <x:v>Reserved</x:v>
      </x:c>
      <x:c r="F1027" s="4" t="str">
        <x:v>CUS-01026</x:v>
      </x:c>
      <x:c r="G1027" s="4" t="str">
        <x:v>UNIT-01026</x:v>
      </x:c>
      <x:c r="H1027" s="9" t="n">
        <x:v>8200000</x:v>
      </x:c>
      <x:c r="I1027" s="10" t="n">
        <x:v>0.03</x:v>
      </x:c>
      <x:c r="J1027" s="11" t="n">
        <x:v>11</x:v>
      </x:c>
      <x:c r="K1027" s="11" t="n">
        <x:v>6</x:v>
      </x:c>
      <x:c r="L1027" s="11" t="n">
        <x:v>0</x:v>
      </x:c>
      <x:c r="M1027" s="9" t="n">
        <x:f>ROUND(H1027*(1-I1027),2)</x:f>
        <x:v>7954000</x:v>
      </x:c>
      <x:c r="N1027" s="4" t="str">
        <x:v>Sales manager</x:v>
      </x:c>
      <x:c r="O1027" s="4"/>
      <x:c r="P1027" s="9" t="n">
        <x:v>0</x:v>
      </x:c>
      <x:c r="Q1027" s="11" t="n">
        <x:v>1</x:v>
      </x:c>
      <x:c r="R1027" s="8" t="n">
        <x:v>45429</x:v>
      </x:c>
      <x:c r="S1027" s="4" t="str">
        <x:v>Lost / cancelled</x:v>
      </x:c>
      <x:c r="T1027" s="10" t="n">
        <x:v>0.351536</x:v>
      </x:c>
      <x:c r="U1027" s="4" t="str">
        <x:v>Train</x:v>
      </x:c>
    </x:row>
    <x:row r="1028" ht="34" customHeight="1">
      <x:c r="A1028" s="4" t="str">
        <x:v>RS-01027</x:v>
      </x:c>
      <x:c r="B1028" s="8" t="n">
        <x:v>45370</x:v>
      </x:c>
      <x:c r="C1028" s="4" t="str">
        <x:v>PRJ-007</x:v>
      </x:c>
      <x:c r="D1028" s="4" t="str">
        <x:v>Retail</x:v>
      </x:c>
      <x:c r="E1028" s="4" t="str">
        <x:v>Agreement signed</x:v>
      </x:c>
      <x:c r="F1028" s="4" t="str">
        <x:v>CUS-01027</x:v>
      </x:c>
      <x:c r="G1028" s="4" t="str">
        <x:v>UNIT-01027</x:v>
      </x:c>
      <x:c r="H1028" s="9" t="n">
        <x:v>16400000</x:v>
      </x:c>
      <x:c r="I1028" s="10" t="n">
        <x:v>0.02</x:v>
      </x:c>
      <x:c r="J1028" s="11" t="n">
        <x:v>0</x:v>
      </x:c>
      <x:c r="K1028" s="11" t="n">
        <x:v>2</x:v>
      </x:c>
      <x:c r="L1028" s="11" t="n">
        <x:v>0</x:v>
      </x:c>
      <x:c r="M1028" s="9" t="n">
        <x:f>ROUND(H1028*(1-I1028),2)</x:f>
        <x:v>16072000</x:v>
      </x:c>
      <x:c r="N1028" s="4" t="str">
        <x:v>Sales manager</x:v>
      </x:c>
      <x:c r="O1028" s="4" t="str">
        <x:v>BOOK-01027</x:v>
      </x:c>
      <x:c r="P1028" s="9" t="n">
        <x:v>16072000</x:v>
      </x:c>
      <x:c r="Q1028" s="11" t="n">
        <x:v>0</x:v>
      </x:c>
      <x:c r="R1028" s="8" t="n">
        <x:v>45430</x:v>
      </x:c>
      <x:c r="S1028" s="4" t="str">
        <x:v>Retained</x:v>
      </x:c>
      <x:c r="T1028" s="10" t="n">
        <x:v>0.072165</x:v>
      </x:c>
      <x:c r="U1028" s="4" t="str">
        <x:v>Train</x:v>
      </x:c>
    </x:row>
    <x:row r="1029" ht="34" customHeight="1">
      <x:c r="A1029" s="4" t="str">
        <x:v>RS-01028</x:v>
      </x:c>
      <x:c r="B1029" s="8" t="n">
        <x:v>45371</x:v>
      </x:c>
      <x:c r="C1029" s="4" t="str">
        <x:v>PRJ-008</x:v>
      </x:c>
      <x:c r="D1029" s="4" t="str">
        <x:v>Office</x:v>
      </x:c>
      <x:c r="E1029" s="4" t="str">
        <x:v>Cancelled</x:v>
      </x:c>
      <x:c r="F1029" s="4" t="str">
        <x:v>CUS-01028</x:v>
      </x:c>
      <x:c r="G1029" s="4" t="str">
        <x:v>UNIT-01028</x:v>
      </x:c>
      <x:c r="H1029" s="9" t="n">
        <x:v>13600000</x:v>
      </x:c>
      <x:c r="I1029" s="10" t="n">
        <x:v>0.04</x:v>
      </x:c>
      <x:c r="J1029" s="11" t="n">
        <x:v>2</x:v>
      </x:c>
      <x:c r="K1029" s="11" t="n">
        <x:v>9</x:v>
      </x:c>
      <x:c r="L1029" s="11" t="n">
        <x:v>0</x:v>
      </x:c>
      <x:c r="M1029" s="9" t="n">
        <x:f>ROUND(H1029*(1-I1029),2)</x:f>
        <x:v>13056000</x:v>
      </x:c>
      <x:c r="N1029" s="4" t="str">
        <x:v>Sales manager</x:v>
      </x:c>
      <x:c r="O1029" s="4"/>
      <x:c r="P1029" s="9" t="n">
        <x:v>0</x:v>
      </x:c>
      <x:c r="Q1029" s="11" t="n">
        <x:v>1</x:v>
      </x:c>
      <x:c r="R1029" s="8" t="n">
        <x:v>45431</x:v>
      </x:c>
      <x:c r="S1029" s="4" t="str">
        <x:v>Lost / cancelled</x:v>
      </x:c>
      <x:c r="T1029" s="10" t="n">
        <x:v>0.204152</x:v>
      </x:c>
      <x:c r="U1029" s="4" t="str">
        <x:v>Train</x:v>
      </x:c>
    </x:row>
    <x:row r="1030" ht="34" customHeight="1">
      <x:c r="A1030" s="4" t="str">
        <x:v>RS-01029</x:v>
      </x:c>
      <x:c r="B1030" s="8" t="n">
        <x:v>45372</x:v>
      </x:c>
      <x:c r="C1030" s="4" t="str">
        <x:v>PRJ-009</x:v>
      </x:c>
      <x:c r="D1030" s="4" t="str">
        <x:v>Retail</x:v>
      </x:c>
      <x:c r="E1030" s="4" t="str">
        <x:v>Handed over</x:v>
      </x:c>
      <x:c r="F1030" s="4" t="str">
        <x:v>CUS-01029</x:v>
      </x:c>
      <x:c r="G1030" s="4" t="str">
        <x:v>UNIT-01029</x:v>
      </x:c>
      <x:c r="H1030" s="9" t="n">
        <x:v>6900000</x:v>
      </x:c>
      <x:c r="I1030" s="10" t="n">
        <x:v>0.07</x:v>
      </x:c>
      <x:c r="J1030" s="11" t="n">
        <x:v>12</x:v>
      </x:c>
      <x:c r="K1030" s="11" t="n">
        <x:v>1</x:v>
      </x:c>
      <x:c r="L1030" s="11" t="n">
        <x:v>0</x:v>
      </x:c>
      <x:c r="M1030" s="9" t="n">
        <x:f>ROUND(H1030*(1-I1030),2)</x:f>
        <x:v>6417000</x:v>
      </x:c>
      <x:c r="N1030" s="4" t="str">
        <x:v>Sales manager</x:v>
      </x:c>
      <x:c r="O1030" s="4" t="str">
        <x:v>BOOK-01029</x:v>
      </x:c>
      <x:c r="P1030" s="9" t="n">
        <x:v>641700</x:v>
      </x:c>
      <x:c r="Q1030" s="11" t="n">
        <x:v>0</x:v>
      </x:c>
      <x:c r="R1030" s="8" t="n">
        <x:v>45432</x:v>
      </x:c>
      <x:c r="S1030" s="4" t="str">
        <x:v>Retained</x:v>
      </x:c>
      <x:c r="T1030" s="10" t="n">
        <x:v>0.351536</x:v>
      </x:c>
      <x:c r="U1030" s="4" t="str">
        <x:v>Train</x:v>
      </x:c>
    </x:row>
    <x:row r="1031" ht="34" customHeight="1">
      <x:c r="A1031" s="4" t="str">
        <x:v>RS-01030</x:v>
      </x:c>
      <x:c r="B1031" s="8" t="n">
        <x:v>45373</x:v>
      </x:c>
      <x:c r="C1031" s="4" t="str">
        <x:v>PRJ-010</x:v>
      </x:c>
      <x:c r="D1031" s="4" t="str">
        <x:v>Retail</x:v>
      </x:c>
      <x:c r="E1031" s="4" t="str">
        <x:v>Booked</x:v>
      </x:c>
      <x:c r="F1031" s="4" t="str">
        <x:v>CUS-01030</x:v>
      </x:c>
      <x:c r="G1031" s="4" t="str">
        <x:v>UNIT-01030</x:v>
      </x:c>
      <x:c r="H1031" s="9" t="n">
        <x:v>22100000</x:v>
      </x:c>
      <x:c r="I1031" s="10" t="n">
        <x:v>0.01</x:v>
      </x:c>
      <x:c r="J1031" s="11" t="n">
        <x:v>2</x:v>
      </x:c>
      <x:c r="K1031" s="11" t="n">
        <x:v>2</x:v>
      </x:c>
      <x:c r="L1031" s="11" t="n">
        <x:v>1</x:v>
      </x:c>
      <x:c r="M1031" s="9" t="n">
        <x:f>ROUND(H1031*(1-I1031),2)</x:f>
        <x:v>21879000</x:v>
      </x:c>
      <x:c r="N1031" s="4" t="str">
        <x:v>Sales manager</x:v>
      </x:c>
      <x:c r="O1031" s="4" t="str">
        <x:v>BOOK-01030</x:v>
      </x:c>
      <x:c r="P1031" s="9" t="n">
        <x:v>10939500</x:v>
      </x:c>
      <x:c r="Q1031" s="11" t="n">
        <x:v>0</x:v>
      </x:c>
      <x:c r="R1031" s="8" t="n">
        <x:v>45433</x:v>
      </x:c>
      <x:c r="S1031" s="4" t="str">
        <x:v>Retained</x:v>
      </x:c>
      <x:c r="T1031" s="10" t="n">
        <x:v>0.171717</x:v>
      </x:c>
      <x:c r="U1031" s="4" t="str">
        <x:v>Train</x:v>
      </x:c>
    </x:row>
    <x:row r="1032" ht="34" customHeight="1">
      <x:c r="A1032" s="4" t="str">
        <x:v>RS-01031</x:v>
      </x:c>
      <x:c r="B1032" s="8" t="n">
        <x:v>45374</x:v>
      </x:c>
      <x:c r="C1032" s="4" t="str">
        <x:v>PRJ-011</x:v>
      </x:c>
      <x:c r="D1032" s="4" t="str">
        <x:v>Office</x:v>
      </x:c>
      <x:c r="E1032" s="4" t="str">
        <x:v>Reserved</x:v>
      </x:c>
      <x:c r="F1032" s="4" t="str">
        <x:v>CUS-01031</x:v>
      </x:c>
      <x:c r="G1032" s="4" t="str">
        <x:v>UNIT-01031</x:v>
      </x:c>
      <x:c r="H1032" s="9" t="n">
        <x:v>16700000</x:v>
      </x:c>
      <x:c r="I1032" s="10" t="n">
        <x:v>0.06</x:v>
      </x:c>
      <x:c r="J1032" s="11" t="n">
        <x:v>9</x:v>
      </x:c>
      <x:c r="K1032" s="11" t="n">
        <x:v>5</x:v>
      </x:c>
      <x:c r="L1032" s="11" t="n">
        <x:v>1</x:v>
      </x:c>
      <x:c r="M1032" s="9" t="n">
        <x:f>ROUND(H1032*(1-I1032),2)</x:f>
        <x:v>15698000</x:v>
      </x:c>
      <x:c r="N1032" s="4" t="str">
        <x:v>Sales manager</x:v>
      </x:c>
      <x:c r="O1032" s="4"/>
      <x:c r="P1032" s="9" t="n">
        <x:v>0</x:v>
      </x:c>
      <x:c r="Q1032" s="11" t="n">
        <x:v>1</x:v>
      </x:c>
      <x:c r="R1032" s="8" t="n">
        <x:v>45434</x:v>
      </x:c>
      <x:c r="S1032" s="4" t="str">
        <x:v>Lost / cancelled</x:v>
      </x:c>
      <x:c r="T1032" s="10" t="n">
        <x:v>0.310195</x:v>
      </x:c>
      <x:c r="U1032" s="4" t="str">
        <x:v>Train</x:v>
      </x:c>
    </x:row>
    <x:row r="1033" ht="34" customHeight="1">
      <x:c r="A1033" s="4" t="str">
        <x:v>RS-01032</x:v>
      </x:c>
      <x:c r="B1033" s="8" t="n">
        <x:v>45375</x:v>
      </x:c>
      <x:c r="C1033" s="4" t="str">
        <x:v>PRJ-012</x:v>
      </x:c>
      <x:c r="D1033" s="4" t="str">
        <x:v>Office</x:v>
      </x:c>
      <x:c r="E1033" s="4" t="str">
        <x:v>Booked</x:v>
      </x:c>
      <x:c r="F1033" s="4" t="str">
        <x:v>CUS-01032</x:v>
      </x:c>
      <x:c r="G1033" s="4" t="str">
        <x:v>UNIT-01032</x:v>
      </x:c>
      <x:c r="H1033" s="9" t="n">
        <x:v>14300000</x:v>
      </x:c>
      <x:c r="I1033" s="10" t="n">
        <x:v>0.03</x:v>
      </x:c>
      <x:c r="J1033" s="11" t="n">
        <x:v>1</x:v>
      </x:c>
      <x:c r="K1033" s="11" t="n">
        <x:v>10</x:v>
      </x:c>
      <x:c r="L1033" s="11" t="n">
        <x:v>1</x:v>
      </x:c>
      <x:c r="M1033" s="9" t="n">
        <x:f>ROUND(H1033*(1-I1033),2)</x:f>
        <x:v>13871000</x:v>
      </x:c>
      <x:c r="N1033" s="4" t="str">
        <x:v>Sales manager</x:v>
      </x:c>
      <x:c r="O1033" s="4" t="str">
        <x:v>BOOK-01032</x:v>
      </x:c>
      <x:c r="P1033" s="9" t="n">
        <x:v>3467750</x:v>
      </x:c>
      <x:c r="Q1033" s="11" t="n">
        <x:v>0</x:v>
      </x:c>
      <x:c r="R1033" s="8" t="n">
        <x:v>45435</x:v>
      </x:c>
      <x:c r="S1033" s="4" t="str">
        <x:v>Retained</x:v>
      </x:c>
      <x:c r="T1033" s="10" t="n">
        <x:v>0.072165</x:v>
      </x:c>
      <x:c r="U1033" s="4" t="str">
        <x:v>Train</x:v>
      </x:c>
    </x:row>
    <x:row r="1034" ht="34" customHeight="1">
      <x:c r="A1034" s="4" t="str">
        <x:v>RS-01033</x:v>
      </x:c>
      <x:c r="B1034" s="8" t="n">
        <x:v>45376</x:v>
      </x:c>
      <x:c r="C1034" s="4" t="str">
        <x:v>PRJ-013</x:v>
      </x:c>
      <x:c r="D1034" s="4" t="str">
        <x:v>Retail</x:v>
      </x:c>
      <x:c r="E1034" s="4" t="str">
        <x:v>Enquiry</x:v>
      </x:c>
      <x:c r="F1034" s="4" t="str">
        <x:v>CUS-01033</x:v>
      </x:c>
      <x:c r="G1034" s="4" t="str">
        <x:v>UNIT-01033</x:v>
      </x:c>
      <x:c r="H1034" s="9" t="n">
        <x:v>6800000</x:v>
      </x:c>
      <x:c r="I1034" s="10" t="n">
        <x:v>0.11</x:v>
      </x:c>
      <x:c r="J1034" s="11" t="n">
        <x:v>0</x:v>
      </x:c>
      <x:c r="K1034" s="11" t="n">
        <x:v>3</x:v>
      </x:c>
      <x:c r="L1034" s="11" t="n">
        <x:v>0</x:v>
      </x:c>
      <x:c r="M1034" s="9" t="n">
        <x:f>ROUND(H1034*(1-I1034),2)</x:f>
        <x:v>6052000</x:v>
      </x:c>
      <x:c r="N1034" s="4" t="str">
        <x:v>Sales head</x:v>
      </x:c>
      <x:c r="O1034" s="4"/>
      <x:c r="P1034" s="9" t="n">
        <x:v>0</x:v>
      </x:c>
      <x:c r="Q1034" s="11" t="n">
        <x:v>0</x:v>
      </x:c>
      <x:c r="R1034" s="8" t="n">
        <x:v>45436</x:v>
      </x:c>
      <x:c r="S1034" s="4" t="str">
        <x:v>Retained</x:v>
      </x:c>
      <x:c r="T1034" s="10" t="n">
        <x:v>0.145833</x:v>
      </x:c>
      <x:c r="U1034" s="4" t="str">
        <x:v>Train</x:v>
      </x:c>
    </x:row>
    <x:row r="1035" ht="34" customHeight="1">
      <x:c r="A1035" s="4" t="str">
        <x:v>RS-01034</x:v>
      </x:c>
      <x:c r="B1035" s="8" t="n">
        <x:v>45377</x:v>
      </x:c>
      <x:c r="C1035" s="4" t="str">
        <x:v>PRJ-014</x:v>
      </x:c>
      <x:c r="D1035" s="4" t="str">
        <x:v>Office</x:v>
      </x:c>
      <x:c r="E1035" s="4" t="str">
        <x:v>Agreement signed</x:v>
      </x:c>
      <x:c r="F1035" s="4" t="str">
        <x:v>CUS-01034</x:v>
      </x:c>
      <x:c r="G1035" s="4" t="str">
        <x:v>UNIT-01034</x:v>
      </x:c>
      <x:c r="H1035" s="9" t="n">
        <x:v>23300000</x:v>
      </x:c>
      <x:c r="I1035" s="10" t="n">
        <x:v>0.01</x:v>
      </x:c>
      <x:c r="J1035" s="11" t="n">
        <x:v>7</x:v>
      </x:c>
      <x:c r="K1035" s="11" t="n">
        <x:v>5</x:v>
      </x:c>
      <x:c r="L1035" s="11" t="n">
        <x:v>1</x:v>
      </x:c>
      <x:c r="M1035" s="9" t="n">
        <x:f>ROUND(H1035*(1-I1035),2)</x:f>
        <x:v>23067000</x:v>
      </x:c>
      <x:c r="N1035" s="4" t="str">
        <x:v>Sales manager</x:v>
      </x:c>
      <x:c r="O1035" s="4" t="str">
        <x:v>BOOK-01034</x:v>
      </x:c>
      <x:c r="P1035" s="9" t="n">
        <x:v>2306700</x:v>
      </x:c>
      <x:c r="Q1035" s="11" t="n">
        <x:v>0</x:v>
      </x:c>
      <x:c r="R1035" s="8" t="n">
        <x:v>45437</x:v>
      </x:c>
      <x:c r="S1035" s="4" t="str">
        <x:v>Retained</x:v>
      </x:c>
      <x:c r="T1035" s="10" t="n">
        <x:v>0.145299</x:v>
      </x:c>
      <x:c r="U1035" s="4" t="str">
        <x:v>Train</x:v>
      </x:c>
    </x:row>
    <x:row r="1036" ht="34" customHeight="1">
      <x:c r="A1036" s="4" t="str">
        <x:v>RS-01035</x:v>
      </x:c>
      <x:c r="B1036" s="8" t="n">
        <x:v>45378</x:v>
      </x:c>
      <x:c r="C1036" s="4" t="str">
        <x:v>PRJ-015</x:v>
      </x:c>
      <x:c r="D1036" s="4" t="str">
        <x:v>Apartment</x:v>
      </x:c>
      <x:c r="E1036" s="4" t="str">
        <x:v>Cancelled</x:v>
      </x:c>
      <x:c r="F1036" s="4" t="str">
        <x:v>CUS-01035</x:v>
      </x:c>
      <x:c r="G1036" s="4" t="str">
        <x:v>UNIT-01035</x:v>
      </x:c>
      <x:c r="H1036" s="9" t="n">
        <x:v>23700000</x:v>
      </x:c>
      <x:c r="I1036" s="10" t="n">
        <x:v>0.12</x:v>
      </x:c>
      <x:c r="J1036" s="11" t="n">
        <x:v>2</x:v>
      </x:c>
      <x:c r="K1036" s="11" t="n">
        <x:v>7</x:v>
      </x:c>
      <x:c r="L1036" s="11" t="n">
        <x:v>0</x:v>
      </x:c>
      <x:c r="M1036" s="9" t="n">
        <x:f>ROUND(H1036*(1-I1036),2)</x:f>
        <x:v>20856000</x:v>
      </x:c>
      <x:c r="N1036" s="4" t="str">
        <x:v>Sales head</x:v>
      </x:c>
      <x:c r="O1036" s="4"/>
      <x:c r="P1036" s="9" t="n">
        <x:v>0</x:v>
      </x:c>
      <x:c r="Q1036" s="11" t="n">
        <x:v>1</x:v>
      </x:c>
      <x:c r="R1036" s="8" t="n">
        <x:v>45438</x:v>
      </x:c>
      <x:c r="S1036" s="4" t="str">
        <x:v>Lost / cancelled</x:v>
      </x:c>
      <x:c r="T1036" s="10" t="n">
        <x:v>0.145833</x:v>
      </x:c>
      <x:c r="U1036" s="4" t="str">
        <x:v>Train</x:v>
      </x:c>
    </x:row>
    <x:row r="1037" ht="34" customHeight="1">
      <x:c r="A1037" s="4" t="str">
        <x:v>RS-01036</x:v>
      </x:c>
      <x:c r="B1037" s="8" t="n">
        <x:v>45379</x:v>
      </x:c>
      <x:c r="C1037" s="4" t="str">
        <x:v>PRJ-016</x:v>
      </x:c>
      <x:c r="D1037" s="4" t="str">
        <x:v>Office</x:v>
      </x:c>
      <x:c r="E1037" s="4" t="str">
        <x:v>Agreement signed</x:v>
      </x:c>
      <x:c r="F1037" s="4" t="str">
        <x:v>CUS-01036</x:v>
      </x:c>
      <x:c r="G1037" s="4" t="str">
        <x:v>UNIT-01036</x:v>
      </x:c>
      <x:c r="H1037" s="9" t="n">
        <x:v>13200000</x:v>
      </x:c>
      <x:c r="I1037" s="10" t="n">
        <x:v>0.02</x:v>
      </x:c>
      <x:c r="J1037" s="11" t="n">
        <x:v>1</x:v>
      </x:c>
      <x:c r="K1037" s="11" t="n">
        <x:v>3</x:v>
      </x:c>
      <x:c r="L1037" s="11" t="n">
        <x:v>0</x:v>
      </x:c>
      <x:c r="M1037" s="9" t="n">
        <x:f>ROUND(H1037*(1-I1037),2)</x:f>
        <x:v>12936000</x:v>
      </x:c>
      <x:c r="N1037" s="4" t="str">
        <x:v>Sales manager</x:v>
      </x:c>
      <x:c r="O1037" s="4" t="str">
        <x:v>BOOK-01036</x:v>
      </x:c>
      <x:c r="P1037" s="9" t="n">
        <x:v>12936000</x:v>
      </x:c>
      <x:c r="Q1037" s="11" t="n">
        <x:v>0</x:v>
      </x:c>
      <x:c r="R1037" s="8" t="n">
        <x:v>45439</x:v>
      </x:c>
      <x:c r="S1037" s="4" t="str">
        <x:v>Retained</x:v>
      </x:c>
      <x:c r="T1037" s="10" t="n">
        <x:v>0.072165</x:v>
      </x:c>
      <x:c r="U1037" s="4" t="str">
        <x:v>Train</x:v>
      </x:c>
    </x:row>
    <x:row r="1038" ht="34" customHeight="1">
      <x:c r="A1038" s="4" t="str">
        <x:v>RS-01037</x:v>
      </x:c>
      <x:c r="B1038" s="8" t="n">
        <x:v>45352</x:v>
      </x:c>
      <x:c r="C1038" s="4" t="str">
        <x:v>PRJ-017</x:v>
      </x:c>
      <x:c r="D1038" s="4" t="str">
        <x:v>Office</x:v>
      </x:c>
      <x:c r="E1038" s="4" t="str">
        <x:v>Agreement signed</x:v>
      </x:c>
      <x:c r="F1038" s="4" t="str">
        <x:v>CUS-01037</x:v>
      </x:c>
      <x:c r="G1038" s="4" t="str">
        <x:v>UNIT-01037</x:v>
      </x:c>
      <x:c r="H1038" s="9" t="n">
        <x:v>16800000</x:v>
      </x:c>
      <x:c r="I1038" s="10" t="n">
        <x:v>0.07</x:v>
      </x:c>
      <x:c r="J1038" s="11" t="n">
        <x:v>10</x:v>
      </x:c>
      <x:c r="K1038" s="11" t="n">
        <x:v>1</x:v>
      </x:c>
      <x:c r="L1038" s="11" t="n">
        <x:v>1</x:v>
      </x:c>
      <x:c r="M1038" s="9" t="n">
        <x:f>ROUND(H1038*(1-I1038),2)</x:f>
        <x:v>15624000</x:v>
      </x:c>
      <x:c r="N1038" s="4" t="str">
        <x:v>Sales manager</x:v>
      </x:c>
      <x:c r="O1038" s="4" t="str">
        <x:v>BOOK-01037</x:v>
      </x:c>
      <x:c r="P1038" s="9" t="n">
        <x:v>15624000</x:v>
      </x:c>
      <x:c r="Q1038" s="11" t="n">
        <x:v>0</x:v>
      </x:c>
      <x:c r="R1038" s="8" t="n">
        <x:v>45412</x:v>
      </x:c>
      <x:c r="S1038" s="4" t="str">
        <x:v>Retained</x:v>
      </x:c>
      <x:c r="T1038" s="10" t="n">
        <x:v>0.310195</x:v>
      </x:c>
      <x:c r="U1038" s="4" t="str">
        <x:v>Train</x:v>
      </x:c>
    </x:row>
    <x:row r="1039" ht="34" customHeight="1">
      <x:c r="A1039" s="4" t="str">
        <x:v>RS-01038</x:v>
      </x:c>
      <x:c r="B1039" s="8" t="n">
        <x:v>45353</x:v>
      </x:c>
      <x:c r="C1039" s="4" t="str">
        <x:v>PRJ-018</x:v>
      </x:c>
      <x:c r="D1039" s="4" t="str">
        <x:v>Apartment</x:v>
      </x:c>
      <x:c r="E1039" s="4" t="str">
        <x:v>Agreement signed</x:v>
      </x:c>
      <x:c r="F1039" s="4" t="str">
        <x:v>CUS-01038</x:v>
      </x:c>
      <x:c r="G1039" s="4" t="str">
        <x:v>UNIT-01038</x:v>
      </x:c>
      <x:c r="H1039" s="9" t="n">
        <x:v>21900000</x:v>
      </x:c>
      <x:c r="I1039" s="10" t="n">
        <x:v>0.07</x:v>
      </x:c>
      <x:c r="J1039" s="11" t="n">
        <x:v>4</x:v>
      </x:c>
      <x:c r="K1039" s="11" t="n">
        <x:v>1</x:v>
      </x:c>
      <x:c r="L1039" s="11" t="n">
        <x:v>0</x:v>
      </x:c>
      <x:c r="M1039" s="9" t="n">
        <x:f>ROUND(H1039*(1-I1039),2)</x:f>
        <x:v>20367000</x:v>
      </x:c>
      <x:c r="N1039" s="4" t="str">
        <x:v>Sales manager</x:v>
      </x:c>
      <x:c r="O1039" s="4" t="str">
        <x:v>BOOK-01038</x:v>
      </x:c>
      <x:c r="P1039" s="9" t="n">
        <x:v>5091750</x:v>
      </x:c>
      <x:c r="Q1039" s="11" t="n">
        <x:v>0</x:v>
      </x:c>
      <x:c r="R1039" s="8" t="n">
        <x:v>45413</x:v>
      </x:c>
      <x:c r="S1039" s="4" t="str">
        <x:v>Retained</x:v>
      </x:c>
      <x:c r="T1039" s="10" t="n">
        <x:v>0.226277</x:v>
      </x:c>
      <x:c r="U1039" s="4" t="str">
        <x:v>Train</x:v>
      </x:c>
    </x:row>
    <x:row r="1040" ht="34" customHeight="1">
      <x:c r="A1040" s="4" t="str">
        <x:v>RS-01039</x:v>
      </x:c>
      <x:c r="B1040" s="8" t="n">
        <x:v>45354</x:v>
      </x:c>
      <x:c r="C1040" s="4" t="str">
        <x:v>PRJ-019</x:v>
      </x:c>
      <x:c r="D1040" s="4" t="str">
        <x:v>Office</x:v>
      </x:c>
      <x:c r="E1040" s="4" t="str">
        <x:v>Handed over</x:v>
      </x:c>
      <x:c r="F1040" s="4" t="str">
        <x:v>CUS-01039</x:v>
      </x:c>
      <x:c r="G1040" s="4" t="str">
        <x:v>UNIT-01039</x:v>
      </x:c>
      <x:c r="H1040" s="9" t="n">
        <x:v>22200000</x:v>
      </x:c>
      <x:c r="I1040" s="10" t="n">
        <x:v>0.07</x:v>
      </x:c>
      <x:c r="J1040" s="11" t="n">
        <x:v>10</x:v>
      </x:c>
      <x:c r="K1040" s="11" t="n">
        <x:v>1</x:v>
      </x:c>
      <x:c r="L1040" s="11" t="n">
        <x:v>0</x:v>
      </x:c>
      <x:c r="M1040" s="9" t="n">
        <x:f>ROUND(H1040*(1-I1040),2)</x:f>
        <x:v>20646000</x:v>
      </x:c>
      <x:c r="N1040" s="4" t="str">
        <x:v>Sales manager</x:v>
      </x:c>
      <x:c r="O1040" s="4" t="str">
        <x:v>BOOK-01039</x:v>
      </x:c>
      <x:c r="P1040" s="9" t="n">
        <x:v>20646000</x:v>
      </x:c>
      <x:c r="Q1040" s="11" t="n">
        <x:v>0</x:v>
      </x:c>
      <x:c r="R1040" s="8" t="n">
        <x:v>45414</x:v>
      </x:c>
      <x:c r="S1040" s="4" t="str">
        <x:v>Retained</x:v>
      </x:c>
      <x:c r="T1040" s="10" t="n">
        <x:v>0.310195</x:v>
      </x:c>
      <x:c r="U1040" s="4" t="str">
        <x:v>Train</x:v>
      </x:c>
    </x:row>
    <x:row r="1041" ht="34" customHeight="1">
      <x:c r="A1041" s="4" t="str">
        <x:v>RS-01040</x:v>
      </x:c>
      <x:c r="B1041" s="8" t="n">
        <x:v>45355</x:v>
      </x:c>
      <x:c r="C1041" s="4" t="str">
        <x:v>PRJ-020</x:v>
      </x:c>
      <x:c r="D1041" s="4" t="str">
        <x:v>Retail</x:v>
      </x:c>
      <x:c r="E1041" s="4" t="str">
        <x:v>Cancelled</x:v>
      </x:c>
      <x:c r="F1041" s="4" t="str">
        <x:v>CUS-01040</x:v>
      </x:c>
      <x:c r="G1041" s="4" t="str">
        <x:v>UNIT-01040</x:v>
      </x:c>
      <x:c r="H1041" s="9" t="n">
        <x:v>4400000</x:v>
      </x:c>
      <x:c r="I1041" s="10" t="n">
        <x:v>0.08</x:v>
      </x:c>
      <x:c r="J1041" s="11" t="n">
        <x:v>4</x:v>
      </x:c>
      <x:c r="K1041" s="11" t="n">
        <x:v>8</x:v>
      </x:c>
      <x:c r="L1041" s="11" t="n">
        <x:v>0</x:v>
      </x:c>
      <x:c r="M1041" s="9" t="n">
        <x:f>ROUND(H1041*(1-I1041),2)</x:f>
        <x:v>4048000</x:v>
      </x:c>
      <x:c r="N1041" s="4" t="str">
        <x:v>Sales head</x:v>
      </x:c>
      <x:c r="O1041" s="4"/>
      <x:c r="P1041" s="9" t="n">
        <x:v>0</x:v>
      </x:c>
      <x:c r="Q1041" s="11" t="n">
        <x:v>1</x:v>
      </x:c>
      <x:c r="R1041" s="8" t="n">
        <x:v>45415</x:v>
      </x:c>
      <x:c r="S1041" s="4" t="str">
        <x:v>Lost / cancelled</x:v>
      </x:c>
      <x:c r="T1041" s="10" t="n">
        <x:v>0.226277</x:v>
      </x:c>
      <x:c r="U1041" s="4" t="str">
        <x:v>Train</x:v>
      </x:c>
    </x:row>
    <x:row r="1042" ht="34" customHeight="1">
      <x:c r="A1042" s="4" t="str">
        <x:v>RS-01041</x:v>
      </x:c>
      <x:c r="B1042" s="8" t="n">
        <x:v>45356</x:v>
      </x:c>
      <x:c r="C1042" s="4" t="str">
        <x:v>PRJ-001</x:v>
      </x:c>
      <x:c r="D1042" s="4" t="str">
        <x:v>Office</x:v>
      </x:c>
      <x:c r="E1042" s="4" t="str">
        <x:v>Booked</x:v>
      </x:c>
      <x:c r="F1042" s="4" t="str">
        <x:v>CUS-01041</x:v>
      </x:c>
      <x:c r="G1042" s="4" t="str">
        <x:v>UNIT-01041</x:v>
      </x:c>
      <x:c r="H1042" s="9" t="n">
        <x:v>3000000</x:v>
      </x:c>
      <x:c r="I1042" s="10" t="n">
        <x:v>0.02</x:v>
      </x:c>
      <x:c r="J1042" s="11" t="n">
        <x:v>1</x:v>
      </x:c>
      <x:c r="K1042" s="11" t="n">
        <x:v>7</x:v>
      </x:c>
      <x:c r="L1042" s="11" t="n">
        <x:v>0</x:v>
      </x:c>
      <x:c r="M1042" s="9" t="n">
        <x:f>ROUND(H1042*(1-I1042),2)</x:f>
        <x:v>2940000</x:v>
      </x:c>
      <x:c r="N1042" s="4" t="str">
        <x:v>Sales manager</x:v>
      </x:c>
      <x:c r="O1042" s="4" t="str">
        <x:v>BOOK-01041</x:v>
      </x:c>
      <x:c r="P1042" s="9" t="n">
        <x:v>1470000</x:v>
      </x:c>
      <x:c r="Q1042" s="11" t="n">
        <x:v>0</x:v>
      </x:c>
      <x:c r="R1042" s="8" t="n">
        <x:v>45416</x:v>
      </x:c>
      <x:c r="S1042" s="4" t="str">
        <x:v>Retained</x:v>
      </x:c>
      <x:c r="T1042" s="10" t="n">
        <x:v>0.072165</x:v>
      </x:c>
      <x:c r="U1042" s="4" t="str">
        <x:v>Train</x:v>
      </x:c>
    </x:row>
    <x:row r="1043" ht="34" customHeight="1">
      <x:c r="A1043" s="4" t="str">
        <x:v>RS-01042</x:v>
      </x:c>
      <x:c r="B1043" s="8" t="n">
        <x:v>45357</x:v>
      </x:c>
      <x:c r="C1043" s="4" t="str">
        <x:v>PRJ-002</x:v>
      </x:c>
      <x:c r="D1043" s="4" t="str">
        <x:v>Apartment</x:v>
      </x:c>
      <x:c r="E1043" s="4" t="str">
        <x:v>Reserved</x:v>
      </x:c>
      <x:c r="F1043" s="4" t="str">
        <x:v>CUS-01042</x:v>
      </x:c>
      <x:c r="G1043" s="4" t="str">
        <x:v>UNIT-01042</x:v>
      </x:c>
      <x:c r="H1043" s="9" t="n">
        <x:v>14000000</x:v>
      </x:c>
      <x:c r="I1043" s="10" t="n">
        <x:v>0.1</x:v>
      </x:c>
      <x:c r="J1043" s="11" t="n">
        <x:v>8</x:v>
      </x:c>
      <x:c r="K1043" s="11" t="n">
        <x:v>4</x:v>
      </x:c>
      <x:c r="L1043" s="11" t="n">
        <x:v>0</x:v>
      </x:c>
      <x:c r="M1043" s="9" t="n">
        <x:f>ROUND(H1043*(1-I1043),2)</x:f>
        <x:v>12600000</x:v>
      </x:c>
      <x:c r="N1043" s="4" t="str">
        <x:v>Sales head</x:v>
      </x:c>
      <x:c r="O1043" s="4"/>
      <x:c r="P1043" s="9" t="n">
        <x:v>0</x:v>
      </x:c>
      <x:c r="Q1043" s="11" t="n">
        <x:v>1</x:v>
      </x:c>
      <x:c r="R1043" s="8" t="n">
        <x:v>45417</x:v>
      </x:c>
      <x:c r="S1043" s="4" t="str">
        <x:v>Lost / cancelled</x:v>
      </x:c>
      <x:c r="T1043" s="10" t="n">
        <x:v>0.310195</x:v>
      </x:c>
      <x:c r="U1043" s="4" t="str">
        <x:v>Train</x:v>
      </x:c>
    </x:row>
    <x:row r="1044" ht="34" customHeight="1">
      <x:c r="A1044" s="4" t="str">
        <x:v>RS-01043</x:v>
      </x:c>
      <x:c r="B1044" s="8" t="n">
        <x:v>45358</x:v>
      </x:c>
      <x:c r="C1044" s="4" t="str">
        <x:v>PRJ-003</x:v>
      </x:c>
      <x:c r="D1044" s="4" t="str">
        <x:v>Retail</x:v>
      </x:c>
      <x:c r="E1044" s="4" t="str">
        <x:v>Agreement signed</x:v>
      </x:c>
      <x:c r="F1044" s="4" t="str">
        <x:v>CUS-01043</x:v>
      </x:c>
      <x:c r="G1044" s="4" t="str">
        <x:v>UNIT-01043</x:v>
      </x:c>
      <x:c r="H1044" s="9" t="n">
        <x:v>23900000</x:v>
      </x:c>
      <x:c r="I1044" s="10" t="n">
        <x:v>0.08</x:v>
      </x:c>
      <x:c r="J1044" s="11" t="n">
        <x:v>5</x:v>
      </x:c>
      <x:c r="K1044" s="11" t="n">
        <x:v>2</x:v>
      </x:c>
      <x:c r="L1044" s="11" t="n">
        <x:v>1</x:v>
      </x:c>
      <x:c r="M1044" s="9" t="n">
        <x:f>ROUND(H1044*(1-I1044),2)</x:f>
        <x:v>21988000</x:v>
      </x:c>
      <x:c r="N1044" s="4" t="str">
        <x:v>Sales head</x:v>
      </x:c>
      <x:c r="O1044" s="4" t="str">
        <x:v>BOOK-01043</x:v>
      </x:c>
      <x:c r="P1044" s="9" t="n">
        <x:v>10994000</x:v>
      </x:c>
      <x:c r="Q1044" s="11" t="n">
        <x:v>0</x:v>
      </x:c>
      <x:c r="R1044" s="8" t="n">
        <x:v>45418</x:v>
      </x:c>
      <x:c r="S1044" s="4" t="str">
        <x:v>Retained</x:v>
      </x:c>
      <x:c r="T1044" s="10" t="n">
        <x:v>0.291946</x:v>
      </x:c>
      <x:c r="U1044" s="4" t="str">
        <x:v>Train</x:v>
      </x:c>
    </x:row>
    <x:row r="1045" ht="34" customHeight="1">
      <x:c r="A1045" s="4" t="str">
        <x:v>RS-01044</x:v>
      </x:c>
      <x:c r="B1045" s="8" t="n">
        <x:v>45359</x:v>
      </x:c>
      <x:c r="C1045" s="4" t="str">
        <x:v>PRJ-004</x:v>
      </x:c>
      <x:c r="D1045" s="4" t="str">
        <x:v>Apartment</x:v>
      </x:c>
      <x:c r="E1045" s="4" t="str">
        <x:v>Handed over</x:v>
      </x:c>
      <x:c r="F1045" s="4" t="str">
        <x:v>CUS-01044</x:v>
      </x:c>
      <x:c r="G1045" s="4" t="str">
        <x:v>UNIT-01044</x:v>
      </x:c>
      <x:c r="H1045" s="9" t="n">
        <x:v>3800000</x:v>
      </x:c>
      <x:c r="I1045" s="10" t="n">
        <x:v>0.06</x:v>
      </x:c>
      <x:c r="J1045" s="11" t="n">
        <x:v>9</x:v>
      </x:c>
      <x:c r="K1045" s="11" t="n">
        <x:v>0</x:v>
      </x:c>
      <x:c r="L1045" s="11" t="n">
        <x:v>1</x:v>
      </x:c>
      <x:c r="M1045" s="9" t="n">
        <x:f>ROUND(H1045*(1-I1045),2)</x:f>
        <x:v>3572000</x:v>
      </x:c>
      <x:c r="N1045" s="4" t="str">
        <x:v>Sales manager</x:v>
      </x:c>
      <x:c r="O1045" s="4" t="str">
        <x:v>BOOK-01044</x:v>
      </x:c>
      <x:c r="P1045" s="9" t="n">
        <x:v>893000</x:v>
      </x:c>
      <x:c r="Q1045" s="11" t="n">
        <x:v>0</x:v>
      </x:c>
      <x:c r="R1045" s="8" t="n">
        <x:v>45419</x:v>
      </x:c>
      <x:c r="S1045" s="4" t="str">
        <x:v>Retained</x:v>
      </x:c>
      <x:c r="T1045" s="10" t="n">
        <x:v>0.310195</x:v>
      </x:c>
      <x:c r="U1045" s="4" t="str">
        <x:v>Train</x:v>
      </x:c>
    </x:row>
    <x:row r="1046" ht="34" customHeight="1">
      <x:c r="A1046" s="4" t="str">
        <x:v>RS-01045</x:v>
      </x:c>
      <x:c r="B1046" s="8" t="n">
        <x:v>45360</x:v>
      </x:c>
      <x:c r="C1046" s="4" t="str">
        <x:v>PRJ-005</x:v>
      </x:c>
      <x:c r="D1046" s="4" t="str">
        <x:v>Office</x:v>
      </x:c>
      <x:c r="E1046" s="4" t="str">
        <x:v>Reserved</x:v>
      </x:c>
      <x:c r="F1046" s="4" t="str">
        <x:v>CUS-01045</x:v>
      </x:c>
      <x:c r="G1046" s="4" t="str">
        <x:v>UNIT-01045</x:v>
      </x:c>
      <x:c r="H1046" s="9" t="n">
        <x:v>6000000</x:v>
      </x:c>
      <x:c r="I1046" s="10" t="n">
        <x:v>0.01</x:v>
      </x:c>
      <x:c r="J1046" s="11" t="n">
        <x:v>12</x:v>
      </x:c>
      <x:c r="K1046" s="11" t="n">
        <x:v>8</x:v>
      </x:c>
      <x:c r="L1046" s="11" t="n">
        <x:v>0</x:v>
      </x:c>
      <x:c r="M1046" s="9" t="n">
        <x:f>ROUND(H1046*(1-I1046),2)</x:f>
        <x:v>5940000</x:v>
      </x:c>
      <x:c r="N1046" s="4" t="str">
        <x:v>Sales manager</x:v>
      </x:c>
      <x:c r="O1046" s="4"/>
      <x:c r="P1046" s="9" t="n">
        <x:v>0</x:v>
      </x:c>
      <x:c r="Q1046" s="11" t="n">
        <x:v>0</x:v>
      </x:c>
      <x:c r="R1046" s="8" t="n">
        <x:v>45420</x:v>
      </x:c>
      <x:c r="S1046" s="4" t="str">
        <x:v>Retained</x:v>
      </x:c>
      <x:c r="T1046" s="10" t="n">
        <x:v>0.305556</x:v>
      </x:c>
      <x:c r="U1046" s="4" t="str">
        <x:v>Train</x:v>
      </x:c>
    </x:row>
    <x:row r="1047" ht="34" customHeight="1">
      <x:c r="A1047" s="4" t="str">
        <x:v>RS-01046</x:v>
      </x:c>
      <x:c r="B1047" s="8" t="n">
        <x:v>45361</x:v>
      </x:c>
      <x:c r="C1047" s="4" t="str">
        <x:v>PRJ-006</x:v>
      </x:c>
      <x:c r="D1047" s="4" t="str">
        <x:v>Villa</x:v>
      </x:c>
      <x:c r="E1047" s="4" t="str">
        <x:v>Agreement signed</x:v>
      </x:c>
      <x:c r="F1047" s="4" t="str">
        <x:v>CUS-01046</x:v>
      </x:c>
      <x:c r="G1047" s="4" t="str">
        <x:v>UNIT-01046</x:v>
      </x:c>
      <x:c r="H1047" s="9" t="n">
        <x:v>5100000</x:v>
      </x:c>
      <x:c r="I1047" s="10" t="n">
        <x:v>0.09</x:v>
      </x:c>
      <x:c r="J1047" s="11" t="n">
        <x:v>10</x:v>
      </x:c>
      <x:c r="K1047" s="11" t="n">
        <x:v>8</x:v>
      </x:c>
      <x:c r="L1047" s="11" t="n">
        <x:v>0</x:v>
      </x:c>
      <x:c r="M1047" s="9" t="n">
        <x:f>ROUND(H1047*(1-I1047),2)</x:f>
        <x:v>4641000</x:v>
      </x:c>
      <x:c r="N1047" s="4" t="str">
        <x:v>Sales head</x:v>
      </x:c>
      <x:c r="O1047" s="4" t="str">
        <x:v>BOOK-01046</x:v>
      </x:c>
      <x:c r="P1047" s="9" t="n">
        <x:v>464100</x:v>
      </x:c>
      <x:c r="Q1047" s="11" t="n">
        <x:v>0</x:v>
      </x:c>
      <x:c r="R1047" s="8" t="n">
        <x:v>45421</x:v>
      </x:c>
      <x:c r="S1047" s="4" t="str">
        <x:v>Retained</x:v>
      </x:c>
      <x:c r="T1047" s="10" t="n">
        <x:v>0.310195</x:v>
      </x:c>
      <x:c r="U1047" s="4" t="str">
        <x:v>Train</x:v>
      </x:c>
    </x:row>
    <x:row r="1048" ht="34" customHeight="1">
      <x:c r="A1048" s="4" t="str">
        <x:v>RS-01047</x:v>
      </x:c>
      <x:c r="B1048" s="8" t="n">
        <x:v>45362</x:v>
      </x:c>
      <x:c r="C1048" s="4" t="str">
        <x:v>PRJ-007</x:v>
      </x:c>
      <x:c r="D1048" s="4" t="str">
        <x:v>Villa</x:v>
      </x:c>
      <x:c r="E1048" s="4" t="str">
        <x:v>Handed over</x:v>
      </x:c>
      <x:c r="F1048" s="4" t="str">
        <x:v>CUS-01047</x:v>
      </x:c>
      <x:c r="G1048" s="4" t="str">
        <x:v>UNIT-01047</x:v>
      </x:c>
      <x:c r="H1048" s="9" t="n">
        <x:v>10000000</x:v>
      </x:c>
      <x:c r="I1048" s="10" t="n">
        <x:v>0.09</x:v>
      </x:c>
      <x:c r="J1048" s="11" t="n">
        <x:v>3</x:v>
      </x:c>
      <x:c r="K1048" s="11" t="n">
        <x:v>7</x:v>
      </x:c>
      <x:c r="L1048" s="11" t="n">
        <x:v>1</x:v>
      </x:c>
      <x:c r="M1048" s="9" t="n">
        <x:f>ROUND(H1048*(1-I1048),2)</x:f>
        <x:v>9100000</x:v>
      </x:c>
      <x:c r="N1048" s="4" t="str">
        <x:v>Sales head</x:v>
      </x:c>
      <x:c r="O1048" s="4" t="str">
        <x:v>BOOK-01047</x:v>
      </x:c>
      <x:c r="P1048" s="9" t="n">
        <x:v>2275000</x:v>
      </x:c>
      <x:c r="Q1048" s="11" t="n">
        <x:v>0</x:v>
      </x:c>
      <x:c r="R1048" s="8" t="n">
        <x:v>45422</x:v>
      </x:c>
      <x:c r="S1048" s="4" t="str">
        <x:v>Retained</x:v>
      </x:c>
      <x:c r="T1048" s="10" t="n">
        <x:v>0.145833</x:v>
      </x:c>
      <x:c r="U1048" s="4" t="str">
        <x:v>Train</x:v>
      </x:c>
    </x:row>
    <x:row r="1049" ht="34" customHeight="1">
      <x:c r="A1049" s="4" t="str">
        <x:v>RS-01048</x:v>
      </x:c>
      <x:c r="B1049" s="8" t="n">
        <x:v>45363</x:v>
      </x:c>
      <x:c r="C1049" s="4" t="str">
        <x:v>PRJ-008</x:v>
      </x:c>
      <x:c r="D1049" s="4" t="str">
        <x:v>Apartment</x:v>
      </x:c>
      <x:c r="E1049" s="4" t="str">
        <x:v>Handed over</x:v>
      </x:c>
      <x:c r="F1049" s="4" t="str">
        <x:v>CUS-01048</x:v>
      </x:c>
      <x:c r="G1049" s="4" t="str">
        <x:v>UNIT-01048</x:v>
      </x:c>
      <x:c r="H1049" s="9" t="n">
        <x:v>12200000</x:v>
      </x:c>
      <x:c r="I1049" s="10" t="n">
        <x:v>0.06</x:v>
      </x:c>
      <x:c r="J1049" s="11" t="n">
        <x:v>11</x:v>
      </x:c>
      <x:c r="K1049" s="11" t="n">
        <x:v>0</x:v>
      </x:c>
      <x:c r="L1049" s="11" t="n">
        <x:v>1</x:v>
      </x:c>
      <x:c r="M1049" s="9" t="n">
        <x:f>ROUND(H1049*(1-I1049),2)</x:f>
        <x:v>11468000</x:v>
      </x:c>
      <x:c r="N1049" s="4" t="str">
        <x:v>Sales manager</x:v>
      </x:c>
      <x:c r="O1049" s="4" t="str">
        <x:v>BOOK-01048</x:v>
      </x:c>
      <x:c r="P1049" s="9" t="n">
        <x:v>11468000</x:v>
      </x:c>
      <x:c r="Q1049" s="11" t="n">
        <x:v>0</x:v>
      </x:c>
      <x:c r="R1049" s="8" t="n">
        <x:v>45423</x:v>
      </x:c>
      <x:c r="S1049" s="4" t="str">
        <x:v>Retained</x:v>
      </x:c>
      <x:c r="T1049" s="10" t="n">
        <x:v>0.351536</x:v>
      </x:c>
      <x:c r="U1049" s="4" t="str">
        <x:v>Train</x:v>
      </x:c>
    </x:row>
    <x:row r="1050" ht="34" customHeight="1">
      <x:c r="A1050" s="4" t="str">
        <x:v>RS-01049</x:v>
      </x:c>
      <x:c r="B1050" s="8" t="n">
        <x:v>45364</x:v>
      </x:c>
      <x:c r="C1050" s="4" t="str">
        <x:v>PRJ-009</x:v>
      </x:c>
      <x:c r="D1050" s="4" t="str">
        <x:v>Apartment</x:v>
      </x:c>
      <x:c r="E1050" s="4" t="str">
        <x:v>Cancelled</x:v>
      </x:c>
      <x:c r="F1050" s="4" t="str">
        <x:v>CUS-01049</x:v>
      </x:c>
      <x:c r="G1050" s="4" t="str">
        <x:v>UNIT-01049</x:v>
      </x:c>
      <x:c r="H1050" s="9" t="n">
        <x:v>9200000</x:v>
      </x:c>
      <x:c r="I1050" s="10" t="n">
        <x:v>0.12</x:v>
      </x:c>
      <x:c r="J1050" s="11" t="n">
        <x:v>7</x:v>
      </x:c>
      <x:c r="K1050" s="11" t="n">
        <x:v>0</x:v>
      </x:c>
      <x:c r="L1050" s="11" t="n">
        <x:v>1</x:v>
      </x:c>
      <x:c r="M1050" s="9" t="n">
        <x:f>ROUND(H1050*(1-I1050),2)</x:f>
        <x:v>8096000</x:v>
      </x:c>
      <x:c r="N1050" s="4" t="str">
        <x:v>Sales head</x:v>
      </x:c>
      <x:c r="O1050" s="4"/>
      <x:c r="P1050" s="9" t="n">
        <x:v>0</x:v>
      </x:c>
      <x:c r="Q1050" s="11" t="n">
        <x:v>1</x:v>
      </x:c>
      <x:c r="R1050" s="8" t="n">
        <x:v>45424</x:v>
      </x:c>
      <x:c r="S1050" s="4" t="str">
        <x:v>Lost / cancelled</x:v>
      </x:c>
      <x:c r="T1050" s="10" t="n">
        <x:v>0.291946</x:v>
      </x:c>
      <x:c r="U1050" s="4" t="str">
        <x:v>Train</x:v>
      </x:c>
    </x:row>
    <x:row r="1051" ht="34" customHeight="1">
      <x:c r="A1051" s="4" t="str">
        <x:v>RS-01050</x:v>
      </x:c>
      <x:c r="B1051" s="8" t="n">
        <x:v>45365</x:v>
      </x:c>
      <x:c r="C1051" s="4" t="str">
        <x:v>PRJ-010</x:v>
      </x:c>
      <x:c r="D1051" s="4" t="str">
        <x:v>Villa</x:v>
      </x:c>
      <x:c r="E1051" s="4" t="str">
        <x:v>Booked</x:v>
      </x:c>
      <x:c r="F1051" s="4" t="str">
        <x:v>CUS-01050</x:v>
      </x:c>
      <x:c r="G1051" s="4" t="str">
        <x:v>UNIT-01050</x:v>
      </x:c>
      <x:c r="H1051" s="9" t="n">
        <x:v>10100000</x:v>
      </x:c>
      <x:c r="I1051" s="10" t="n">
        <x:v>0.01</x:v>
      </x:c>
      <x:c r="J1051" s="11" t="n">
        <x:v>1</x:v>
      </x:c>
      <x:c r="K1051" s="11" t="n">
        <x:v>9</x:v>
      </x:c>
      <x:c r="L1051" s="11" t="n">
        <x:v>0</x:v>
      </x:c>
      <x:c r="M1051" s="9" t="n">
        <x:f>ROUND(H1051*(1-I1051),2)</x:f>
        <x:v>9999000</x:v>
      </x:c>
      <x:c r="N1051" s="4" t="str">
        <x:v>Sales manager</x:v>
      </x:c>
      <x:c r="O1051" s="4" t="str">
        <x:v>BOOK-01050</x:v>
      </x:c>
      <x:c r="P1051" s="9" t="n">
        <x:v>999900</x:v>
      </x:c>
      <x:c r="Q1051" s="11" t="n">
        <x:v>0</x:v>
      </x:c>
      <x:c r="R1051" s="8" t="n">
        <x:v>45425</x:v>
      </x:c>
      <x:c r="S1051" s="4" t="str">
        <x:v>Retained</x:v>
      </x:c>
      <x:c r="T1051" s="10" t="n">
        <x:v>0.072165</x:v>
      </x:c>
      <x:c r="U1051" s="4" t="str">
        <x:v>Train</x:v>
      </x:c>
    </x:row>
    <x:row r="1052" ht="34" customHeight="1">
      <x:c r="A1052" s="4" t="str">
        <x:v>RS-01051</x:v>
      </x:c>
      <x:c r="B1052" s="8" t="n">
        <x:v>45366</x:v>
      </x:c>
      <x:c r="C1052" s="4" t="str">
        <x:v>PRJ-011</x:v>
      </x:c>
      <x:c r="D1052" s="4" t="str">
        <x:v>Villa</x:v>
      </x:c>
      <x:c r="E1052" s="4" t="str">
        <x:v>Reserved</x:v>
      </x:c>
      <x:c r="F1052" s="4" t="str">
        <x:v>CUS-01051</x:v>
      </x:c>
      <x:c r="G1052" s="4" t="str">
        <x:v>UNIT-01051</x:v>
      </x:c>
      <x:c r="H1052" s="9" t="n">
        <x:v>14200000</x:v>
      </x:c>
      <x:c r="I1052" s="10" t="n">
        <x:v>0.05</x:v>
      </x:c>
      <x:c r="J1052" s="11" t="n">
        <x:v>3</x:v>
      </x:c>
      <x:c r="K1052" s="11" t="n">
        <x:v>10</x:v>
      </x:c>
      <x:c r="L1052" s="11" t="n">
        <x:v>1</x:v>
      </x:c>
      <x:c r="M1052" s="9" t="n">
        <x:f>ROUND(H1052*(1-I1052),2)</x:f>
        <x:v>13490000</x:v>
      </x:c>
      <x:c r="N1052" s="4" t="str">
        <x:v>Sales manager</x:v>
      </x:c>
      <x:c r="O1052" s="4"/>
      <x:c r="P1052" s="9" t="n">
        <x:v>0</x:v>
      </x:c>
      <x:c r="Q1052" s="11" t="n">
        <x:v>0</x:v>
      </x:c>
      <x:c r="R1052" s="8" t="n">
        <x:v>45426</x:v>
      </x:c>
      <x:c r="S1052" s="4" t="str">
        <x:v>Retained</x:v>
      </x:c>
      <x:c r="T1052" s="10" t="n">
        <x:v>0.204152</x:v>
      </x:c>
      <x:c r="U1052" s="4" t="str">
        <x:v>Train</x:v>
      </x:c>
    </x:row>
    <x:row r="1053" ht="34" customHeight="1">
      <x:c r="A1053" s="4" t="str">
        <x:v>RS-01052</x:v>
      </x:c>
      <x:c r="B1053" s="8" t="n">
        <x:v>45367</x:v>
      </x:c>
      <x:c r="C1053" s="4" t="str">
        <x:v>PRJ-012</x:v>
      </x:c>
      <x:c r="D1053" s="4" t="str">
        <x:v>Retail</x:v>
      </x:c>
      <x:c r="E1053" s="4" t="str">
        <x:v>Enquiry</x:v>
      </x:c>
      <x:c r="F1053" s="4" t="str">
        <x:v>CUS-01052</x:v>
      </x:c>
      <x:c r="G1053" s="4" t="str">
        <x:v>UNIT-01052</x:v>
      </x:c>
      <x:c r="H1053" s="9" t="n">
        <x:v>20700000</x:v>
      </x:c>
      <x:c r="I1053" s="10" t="n">
        <x:v>0.11</x:v>
      </x:c>
      <x:c r="J1053" s="11" t="n">
        <x:v>10</x:v>
      </x:c>
      <x:c r="K1053" s="11" t="n">
        <x:v>10</x:v>
      </x:c>
      <x:c r="L1053" s="11" t="n">
        <x:v>1</x:v>
      </x:c>
      <x:c r="M1053" s="9" t="n">
        <x:f>ROUND(H1053*(1-I1053),2)</x:f>
        <x:v>18423000</x:v>
      </x:c>
      <x:c r="N1053" s="4" t="str">
        <x:v>Sales head</x:v>
      </x:c>
      <x:c r="O1053" s="4"/>
      <x:c r="P1053" s="9" t="n">
        <x:v>0</x:v>
      </x:c>
      <x:c r="Q1053" s="11" t="n">
        <x:v>1</x:v>
      </x:c>
      <x:c r="R1053" s="8" t="n">
        <x:v>45427</x:v>
      </x:c>
      <x:c r="S1053" s="4" t="str">
        <x:v>Lost / cancelled</x:v>
      </x:c>
      <x:c r="T1053" s="10" t="n">
        <x:v>0.310195</x:v>
      </x:c>
      <x:c r="U1053" s="4" t="str">
        <x:v>Train</x:v>
      </x:c>
    </x:row>
    <x:row r="1054" ht="34" customHeight="1">
      <x:c r="A1054" s="4" t="str">
        <x:v>RS-01053</x:v>
      </x:c>
      <x:c r="B1054" s="8" t="n">
        <x:v>45368</x:v>
      </x:c>
      <x:c r="C1054" s="4" t="str">
        <x:v>PRJ-013</x:v>
      </x:c>
      <x:c r="D1054" s="4" t="str">
        <x:v>Villa</x:v>
      </x:c>
      <x:c r="E1054" s="4" t="str">
        <x:v>Reserved</x:v>
      </x:c>
      <x:c r="F1054" s="4" t="str">
        <x:v>CUS-01053</x:v>
      </x:c>
      <x:c r="G1054" s="4" t="str">
        <x:v>UNIT-01053</x:v>
      </x:c>
      <x:c r="H1054" s="9" t="n">
        <x:v>6300000</x:v>
      </x:c>
      <x:c r="I1054" s="10" t="n">
        <x:v>0.08</x:v>
      </x:c>
      <x:c r="J1054" s="11" t="n">
        <x:v>12</x:v>
      </x:c>
      <x:c r="K1054" s="11" t="n">
        <x:v>7</x:v>
      </x:c>
      <x:c r="L1054" s="11" t="n">
        <x:v>1</x:v>
      </x:c>
      <x:c r="M1054" s="9" t="n">
        <x:f>ROUND(H1054*(1-I1054),2)</x:f>
        <x:v>5796000</x:v>
      </x:c>
      <x:c r="N1054" s="4" t="str">
        <x:v>Sales head</x:v>
      </x:c>
      <x:c r="O1054" s="4"/>
      <x:c r="P1054" s="9" t="n">
        <x:v>0</x:v>
      </x:c>
      <x:c r="Q1054" s="11" t="n">
        <x:v>0</x:v>
      </x:c>
      <x:c r="R1054" s="8" t="n">
        <x:v>45428</x:v>
      </x:c>
      <x:c r="S1054" s="4" t="str">
        <x:v>Retained</x:v>
      </x:c>
      <x:c r="T1054" s="10" t="n">
        <x:v>0.351536</x:v>
      </x:c>
      <x:c r="U1054" s="4" t="str">
        <x:v>Train</x:v>
      </x:c>
    </x:row>
    <x:row r="1055" ht="34" customHeight="1">
      <x:c r="A1055" s="4" t="str">
        <x:v>RS-01054</x:v>
      </x:c>
      <x:c r="B1055" s="8" t="n">
        <x:v>45369</x:v>
      </x:c>
      <x:c r="C1055" s="4" t="str">
        <x:v>PRJ-014</x:v>
      </x:c>
      <x:c r="D1055" s="4" t="str">
        <x:v>Apartment</x:v>
      </x:c>
      <x:c r="E1055" s="4" t="str">
        <x:v>Agreement signed</x:v>
      </x:c>
      <x:c r="F1055" s="4" t="str">
        <x:v>CUS-01054</x:v>
      </x:c>
      <x:c r="G1055" s="4" t="str">
        <x:v>UNIT-01054</x:v>
      </x:c>
      <x:c r="H1055" s="9" t="n">
        <x:v>18000000</x:v>
      </x:c>
      <x:c r="I1055" s="10" t="n">
        <x:v>0.04</x:v>
      </x:c>
      <x:c r="J1055" s="11" t="n">
        <x:v>11</x:v>
      </x:c>
      <x:c r="K1055" s="11" t="n">
        <x:v>5</x:v>
      </x:c>
      <x:c r="L1055" s="11" t="n">
        <x:v>1</x:v>
      </x:c>
      <x:c r="M1055" s="9" t="n">
        <x:f>ROUND(H1055*(1-I1055),2)</x:f>
        <x:v>17280000</x:v>
      </x:c>
      <x:c r="N1055" s="4" t="str">
        <x:v>Sales manager</x:v>
      </x:c>
      <x:c r="O1055" s="4" t="str">
        <x:v>BOOK-01054</x:v>
      </x:c>
      <x:c r="P1055" s="9" t="n">
        <x:v>17280000</x:v>
      </x:c>
      <x:c r="Q1055" s="11" t="n">
        <x:v>0</x:v>
      </x:c>
      <x:c r="R1055" s="8" t="n">
        <x:v>45429</x:v>
      </x:c>
      <x:c r="S1055" s="4" t="str">
        <x:v>Retained</x:v>
      </x:c>
      <x:c r="T1055" s="10" t="n">
        <x:v>0.351536</x:v>
      </x:c>
      <x:c r="U1055" s="4" t="str">
        <x:v>Train</x:v>
      </x:c>
    </x:row>
    <x:row r="1056" ht="34" customHeight="1">
      <x:c r="A1056" s="4" t="str">
        <x:v>RS-01055</x:v>
      </x:c>
      <x:c r="B1056" s="8" t="n">
        <x:v>45370</x:v>
      </x:c>
      <x:c r="C1056" s="4" t="str">
        <x:v>PRJ-015</x:v>
      </x:c>
      <x:c r="D1056" s="4" t="str">
        <x:v>Villa</x:v>
      </x:c>
      <x:c r="E1056" s="4" t="str">
        <x:v>Agreement signed</x:v>
      </x:c>
      <x:c r="F1056" s="4" t="str">
        <x:v>CUS-01055</x:v>
      </x:c>
      <x:c r="G1056" s="4" t="str">
        <x:v>UNIT-01055</x:v>
      </x:c>
      <x:c r="H1056" s="9" t="n">
        <x:v>15700000</x:v>
      </x:c>
      <x:c r="I1056" s="10" t="n">
        <x:v>0.06</x:v>
      </x:c>
      <x:c r="J1056" s="11" t="n">
        <x:v>10</x:v>
      </x:c>
      <x:c r="K1056" s="11" t="n">
        <x:v>7</x:v>
      </x:c>
      <x:c r="L1056" s="11" t="n">
        <x:v>1</x:v>
      </x:c>
      <x:c r="M1056" s="9" t="n">
        <x:f>ROUND(H1056*(1-I1056),2)</x:f>
        <x:v>14758000</x:v>
      </x:c>
      <x:c r="N1056" s="4" t="str">
        <x:v>Sales manager</x:v>
      </x:c>
      <x:c r="O1056" s="4" t="str">
        <x:v>BOOK-01055</x:v>
      </x:c>
      <x:c r="P1056" s="9" t="n">
        <x:v>14758000</x:v>
      </x:c>
      <x:c r="Q1056" s="11" t="n">
        <x:v>0</x:v>
      </x:c>
      <x:c r="R1056" s="8" t="n">
        <x:v>45430</x:v>
      </x:c>
      <x:c r="S1056" s="4" t="str">
        <x:v>Retained</x:v>
      </x:c>
      <x:c r="T1056" s="10" t="n">
        <x:v>0.310195</x:v>
      </x:c>
      <x:c r="U1056" s="4" t="str">
        <x:v>Train</x:v>
      </x:c>
    </x:row>
    <x:row r="1057" ht="34" customHeight="1">
      <x:c r="A1057" s="4" t="str">
        <x:v>RS-01056</x:v>
      </x:c>
      <x:c r="B1057" s="8" t="n">
        <x:v>45371</x:v>
      </x:c>
      <x:c r="C1057" s="4" t="str">
        <x:v>PRJ-016</x:v>
      </x:c>
      <x:c r="D1057" s="4" t="str">
        <x:v>Apartment</x:v>
      </x:c>
      <x:c r="E1057" s="4" t="str">
        <x:v>Reserved</x:v>
      </x:c>
      <x:c r="F1057" s="4" t="str">
        <x:v>CUS-01056</x:v>
      </x:c>
      <x:c r="G1057" s="4" t="str">
        <x:v>UNIT-01056</x:v>
      </x:c>
      <x:c r="H1057" s="9" t="n">
        <x:v>17700000</x:v>
      </x:c>
      <x:c r="I1057" s="10" t="n">
        <x:v>0</x:v>
      </x:c>
      <x:c r="J1057" s="11" t="n">
        <x:v>3</x:v>
      </x:c>
      <x:c r="K1057" s="11" t="n">
        <x:v>3</x:v>
      </x:c>
      <x:c r="L1057" s="11" t="n">
        <x:v>1</x:v>
      </x:c>
      <x:c r="M1057" s="9" t="n">
        <x:f>ROUND(H1057*(1-I1057),2)</x:f>
        <x:v>17700000</x:v>
      </x:c>
      <x:c r="N1057" s="4" t="str">
        <x:v>Sales manager</x:v>
      </x:c>
      <x:c r="O1057" s="4"/>
      <x:c r="P1057" s="9" t="n">
        <x:v>0</x:v>
      </x:c>
      <x:c r="Q1057" s="11" t="n">
        <x:v>0</x:v>
      </x:c>
      <x:c r="R1057" s="8" t="n">
        <x:v>45431</x:v>
      </x:c>
      <x:c r="S1057" s="4" t="str">
        <x:v>Retained</x:v>
      </x:c>
      <x:c r="T1057" s="10" t="n">
        <x:v>0.171717</x:v>
      </x:c>
      <x:c r="U1057" s="4" t="str">
        <x:v>Train</x:v>
      </x:c>
    </x:row>
    <x:row r="1058" ht="34" customHeight="1">
      <x:c r="A1058" s="4" t="str">
        <x:v>RS-01057</x:v>
      </x:c>
      <x:c r="B1058" s="8" t="n">
        <x:v>45372</x:v>
      </x:c>
      <x:c r="C1058" s="4" t="str">
        <x:v>PRJ-017</x:v>
      </x:c>
      <x:c r="D1058" s="4" t="str">
        <x:v>Office</x:v>
      </x:c>
      <x:c r="E1058" s="4" t="str">
        <x:v>Handed over</x:v>
      </x:c>
      <x:c r="F1058" s="4" t="str">
        <x:v>CUS-01057</x:v>
      </x:c>
      <x:c r="G1058" s="4" t="str">
        <x:v>UNIT-01057</x:v>
      </x:c>
      <x:c r="H1058" s="9" t="n">
        <x:v>13400000</x:v>
      </x:c>
      <x:c r="I1058" s="10" t="n">
        <x:v>0.03</x:v>
      </x:c>
      <x:c r="J1058" s="11" t="n">
        <x:v>0</x:v>
      </x:c>
      <x:c r="K1058" s="11" t="n">
        <x:v>10</x:v>
      </x:c>
      <x:c r="L1058" s="11" t="n">
        <x:v>0</x:v>
      </x:c>
      <x:c r="M1058" s="9" t="n">
        <x:f>ROUND(H1058*(1-I1058),2)</x:f>
        <x:v>12998000</x:v>
      </x:c>
      <x:c r="N1058" s="4" t="str">
        <x:v>Sales manager</x:v>
      </x:c>
      <x:c r="O1058" s="4" t="str">
        <x:v>BOOK-01057</x:v>
      </x:c>
      <x:c r="P1058" s="9" t="n">
        <x:v>12998000</x:v>
      </x:c>
      <x:c r="Q1058" s="11" t="n">
        <x:v>0</x:v>
      </x:c>
      <x:c r="R1058" s="8" t="n">
        <x:v>45432</x:v>
      </x:c>
      <x:c r="S1058" s="4" t="str">
        <x:v>Retained</x:v>
      </x:c>
      <x:c r="T1058" s="10" t="n">
        <x:v>0.072165</x:v>
      </x:c>
      <x:c r="U1058" s="4" t="str">
        <x:v>Train</x:v>
      </x:c>
    </x:row>
    <x:row r="1059" ht="34" customHeight="1">
      <x:c r="A1059" s="4" t="str">
        <x:v>RS-01058</x:v>
      </x:c>
      <x:c r="B1059" s="8" t="n">
        <x:v>45373</x:v>
      </x:c>
      <x:c r="C1059" s="4" t="str">
        <x:v>PRJ-018</x:v>
      </x:c>
      <x:c r="D1059" s="4" t="str">
        <x:v>Office</x:v>
      </x:c>
      <x:c r="E1059" s="4" t="str">
        <x:v>Booked</x:v>
      </x:c>
      <x:c r="F1059" s="4" t="str">
        <x:v>CUS-01058</x:v>
      </x:c>
      <x:c r="G1059" s="4" t="str">
        <x:v>UNIT-01058</x:v>
      </x:c>
      <x:c r="H1059" s="9" t="n">
        <x:v>15700000</x:v>
      </x:c>
      <x:c r="I1059" s="10" t="n">
        <x:v>0.04</x:v>
      </x:c>
      <x:c r="J1059" s="11" t="n">
        <x:v>12</x:v>
      </x:c>
      <x:c r="K1059" s="11" t="n">
        <x:v>4</x:v>
      </x:c>
      <x:c r="L1059" s="11" t="n">
        <x:v>1</x:v>
      </x:c>
      <x:c r="M1059" s="9" t="n">
        <x:f>ROUND(H1059*(1-I1059),2)</x:f>
        <x:v>15072000</x:v>
      </x:c>
      <x:c r="N1059" s="4" t="str">
        <x:v>Sales manager</x:v>
      </x:c>
      <x:c r="O1059" s="4" t="str">
        <x:v>BOOK-01058</x:v>
      </x:c>
      <x:c r="P1059" s="9" t="n">
        <x:v>3768000</x:v>
      </x:c>
      <x:c r="Q1059" s="11" t="n">
        <x:v>0</x:v>
      </x:c>
      <x:c r="R1059" s="8" t="n">
        <x:v>45433</x:v>
      </x:c>
      <x:c r="S1059" s="4" t="str">
        <x:v>Retained</x:v>
      </x:c>
      <x:c r="T1059" s="10" t="n">
        <x:v>0.351536</x:v>
      </x:c>
      <x:c r="U1059" s="4" t="str">
        <x:v>Train</x:v>
      </x:c>
    </x:row>
    <x:row r="1060" ht="34" customHeight="1">
      <x:c r="A1060" s="4" t="str">
        <x:v>RS-01059</x:v>
      </x:c>
      <x:c r="B1060" s="8" t="n">
        <x:v>45374</x:v>
      </x:c>
      <x:c r="C1060" s="4" t="str">
        <x:v>PRJ-019</x:v>
      </x:c>
      <x:c r="D1060" s="4" t="str">
        <x:v>Villa</x:v>
      </x:c>
      <x:c r="E1060" s="4" t="str">
        <x:v>Enquiry</x:v>
      </x:c>
      <x:c r="F1060" s="4" t="str">
        <x:v>CUS-01059</x:v>
      </x:c>
      <x:c r="G1060" s="4" t="str">
        <x:v>UNIT-01059</x:v>
      </x:c>
      <x:c r="H1060" s="9" t="n">
        <x:v>18500000</x:v>
      </x:c>
      <x:c r="I1060" s="10" t="n">
        <x:v>0.02</x:v>
      </x:c>
      <x:c r="J1060" s="11" t="n">
        <x:v>3</x:v>
      </x:c>
      <x:c r="K1060" s="11" t="n">
        <x:v>7</x:v>
      </x:c>
      <x:c r="L1060" s="11" t="n">
        <x:v>0</x:v>
      </x:c>
      <x:c r="M1060" s="9" t="n">
        <x:f>ROUND(H1060*(1-I1060),2)</x:f>
        <x:v>18130000</x:v>
      </x:c>
      <x:c r="N1060" s="4" t="str">
        <x:v>Sales manager</x:v>
      </x:c>
      <x:c r="O1060" s="4"/>
      <x:c r="P1060" s="9" t="n">
        <x:v>0</x:v>
      </x:c>
      <x:c r="Q1060" s="11" t="n">
        <x:v>0</x:v>
      </x:c>
      <x:c r="R1060" s="8" t="n">
        <x:v>45434</x:v>
      </x:c>
      <x:c r="S1060" s="4" t="str">
        <x:v>Retained</x:v>
      </x:c>
      <x:c r="T1060" s="10" t="n">
        <x:v>0.171717</x:v>
      </x:c>
      <x:c r="U1060" s="4" t="str">
        <x:v>Train</x:v>
      </x:c>
    </x:row>
    <x:row r="1061" ht="34" customHeight="1">
      <x:c r="A1061" s="4" t="str">
        <x:v>RS-01060</x:v>
      </x:c>
      <x:c r="B1061" s="8" t="n">
        <x:v>45375</x:v>
      </x:c>
      <x:c r="C1061" s="4" t="str">
        <x:v>PRJ-020</x:v>
      </x:c>
      <x:c r="D1061" s="4" t="str">
        <x:v>Retail</x:v>
      </x:c>
      <x:c r="E1061" s="4" t="str">
        <x:v>Handed over</x:v>
      </x:c>
      <x:c r="F1061" s="4" t="str">
        <x:v>CUS-01060</x:v>
      </x:c>
      <x:c r="G1061" s="4" t="str">
        <x:v>UNIT-01060</x:v>
      </x:c>
      <x:c r="H1061" s="9" t="n">
        <x:v>5200000</x:v>
      </x:c>
      <x:c r="I1061" s="10" t="n">
        <x:v>0.11</x:v>
      </x:c>
      <x:c r="J1061" s="11" t="n">
        <x:v>7</x:v>
      </x:c>
      <x:c r="K1061" s="11" t="n">
        <x:v>1</x:v>
      </x:c>
      <x:c r="L1061" s="11" t="n">
        <x:v>1</x:v>
      </x:c>
      <x:c r="M1061" s="9" t="n">
        <x:f>ROUND(H1061*(1-I1061),2)</x:f>
        <x:v>4628000</x:v>
      </x:c>
      <x:c r="N1061" s="4" t="str">
        <x:v>Sales head</x:v>
      </x:c>
      <x:c r="O1061" s="4" t="str">
        <x:v>BOOK-01060</x:v>
      </x:c>
      <x:c r="P1061" s="9" t="n">
        <x:v>1157000</x:v>
      </x:c>
      <x:c r="Q1061" s="11" t="n">
        <x:v>0</x:v>
      </x:c>
      <x:c r="R1061" s="8" t="n">
        <x:v>45435</x:v>
      </x:c>
      <x:c r="S1061" s="4" t="str">
        <x:v>Retained</x:v>
      </x:c>
      <x:c r="T1061" s="10" t="n">
        <x:v>0.291946</x:v>
      </x:c>
      <x:c r="U1061" s="4" t="str">
        <x:v>Train</x:v>
      </x:c>
    </x:row>
    <x:row r="1062" ht="34" customHeight="1">
      <x:c r="A1062" s="4" t="str">
        <x:v>RS-01061</x:v>
      </x:c>
      <x:c r="B1062" s="8" t="n">
        <x:v>45376</x:v>
      </x:c>
      <x:c r="C1062" s="4" t="str">
        <x:v>PRJ-001</x:v>
      </x:c>
      <x:c r="D1062" s="4" t="str">
        <x:v>Retail</x:v>
      </x:c>
      <x:c r="E1062" s="4" t="str">
        <x:v>Booked</x:v>
      </x:c>
      <x:c r="F1062" s="4" t="str">
        <x:v>CUS-01061</x:v>
      </x:c>
      <x:c r="G1062" s="4" t="str">
        <x:v>UNIT-01061</x:v>
      </x:c>
      <x:c r="H1062" s="9" t="n">
        <x:v>15700000</x:v>
      </x:c>
      <x:c r="I1062" s="10" t="n">
        <x:v>0.04</x:v>
      </x:c>
      <x:c r="J1062" s="11" t="n">
        <x:v>8</x:v>
      </x:c>
      <x:c r="K1062" s="11" t="n">
        <x:v>3</x:v>
      </x:c>
      <x:c r="L1062" s="11" t="n">
        <x:v>0</x:v>
      </x:c>
      <x:c r="M1062" s="9" t="n">
        <x:f>ROUND(H1062*(1-I1062),2)</x:f>
        <x:v>15072000</x:v>
      </x:c>
      <x:c r="N1062" s="4" t="str">
        <x:v>Sales manager</x:v>
      </x:c>
      <x:c r="O1062" s="4" t="str">
        <x:v>BOOK-01061</x:v>
      </x:c>
      <x:c r="P1062" s="9" t="n">
        <x:v>15072000</x:v>
      </x:c>
      <x:c r="Q1062" s="11" t="n">
        <x:v>0</x:v>
      </x:c>
      <x:c r="R1062" s="8" t="n">
        <x:v>45436</x:v>
      </x:c>
      <x:c r="S1062" s="4" t="str">
        <x:v>Retained</x:v>
      </x:c>
      <x:c r="T1062" s="10" t="n">
        <x:v>0.310195</x:v>
      </x:c>
      <x:c r="U1062" s="4" t="str">
        <x:v>Train</x:v>
      </x:c>
    </x:row>
    <x:row r="1063" ht="34" customHeight="1">
      <x:c r="A1063" s="4" t="str">
        <x:v>RS-01062</x:v>
      </x:c>
      <x:c r="B1063" s="8" t="n">
        <x:v>45377</x:v>
      </x:c>
      <x:c r="C1063" s="4" t="str">
        <x:v>PRJ-002</x:v>
      </x:c>
      <x:c r="D1063" s="4" t="str">
        <x:v>Villa</x:v>
      </x:c>
      <x:c r="E1063" s="4" t="str">
        <x:v>Handed over</x:v>
      </x:c>
      <x:c r="F1063" s="4" t="str">
        <x:v>CUS-01062</x:v>
      </x:c>
      <x:c r="G1063" s="4" t="str">
        <x:v>UNIT-01062</x:v>
      </x:c>
      <x:c r="H1063" s="9" t="n">
        <x:v>15400000</x:v>
      </x:c>
      <x:c r="I1063" s="10" t="n">
        <x:v>0.11</x:v>
      </x:c>
      <x:c r="J1063" s="11" t="n">
        <x:v>5</x:v>
      </x:c>
      <x:c r="K1063" s="11" t="n">
        <x:v>8</x:v>
      </x:c>
      <x:c r="L1063" s="11" t="n">
        <x:v>1</x:v>
      </x:c>
      <x:c r="M1063" s="9" t="n">
        <x:f>ROUND(H1063*(1-I1063),2)</x:f>
        <x:v>13706000</x:v>
      </x:c>
      <x:c r="N1063" s="4" t="str">
        <x:v>Sales head</x:v>
      </x:c>
      <x:c r="O1063" s="4" t="str">
        <x:v>BOOK-01062</x:v>
      </x:c>
      <x:c r="P1063" s="9" t="n">
        <x:v>1370600</x:v>
      </x:c>
      <x:c r="Q1063" s="11" t="n">
        <x:v>0</x:v>
      </x:c>
      <x:c r="R1063" s="8" t="n">
        <x:v>45437</x:v>
      </x:c>
      <x:c r="S1063" s="4" t="str">
        <x:v>Retained</x:v>
      </x:c>
      <x:c r="T1063" s="10" t="n">
        <x:v>0.291946</x:v>
      </x:c>
      <x:c r="U1063" s="4" t="str">
        <x:v>Train</x:v>
      </x:c>
    </x:row>
    <x:row r="1064" ht="34" customHeight="1">
      <x:c r="A1064" s="4" t="str">
        <x:v>RS-01063</x:v>
      </x:c>
      <x:c r="B1064" s="8" t="n">
        <x:v>45378</x:v>
      </x:c>
      <x:c r="C1064" s="4" t="str">
        <x:v>PRJ-003</x:v>
      </x:c>
      <x:c r="D1064" s="4" t="str">
        <x:v>Apartment</x:v>
      </x:c>
      <x:c r="E1064" s="4" t="str">
        <x:v>Cancelled</x:v>
      </x:c>
      <x:c r="F1064" s="4" t="str">
        <x:v>CUS-01063</x:v>
      </x:c>
      <x:c r="G1064" s="4" t="str">
        <x:v>UNIT-01063</x:v>
      </x:c>
      <x:c r="H1064" s="9" t="n">
        <x:v>12000000</x:v>
      </x:c>
      <x:c r="I1064" s="10" t="n">
        <x:v>0.1</x:v>
      </x:c>
      <x:c r="J1064" s="11" t="n">
        <x:v>9</x:v>
      </x:c>
      <x:c r="K1064" s="11" t="n">
        <x:v>3</x:v>
      </x:c>
      <x:c r="L1064" s="11" t="n">
        <x:v>1</x:v>
      </x:c>
      <x:c r="M1064" s="9" t="n">
        <x:f>ROUND(H1064*(1-I1064),2)</x:f>
        <x:v>10800000</x:v>
      </x:c>
      <x:c r="N1064" s="4" t="str">
        <x:v>Sales head</x:v>
      </x:c>
      <x:c r="O1064" s="4"/>
      <x:c r="P1064" s="9" t="n">
        <x:v>0</x:v>
      </x:c>
      <x:c r="Q1064" s="11" t="n">
        <x:v>1</x:v>
      </x:c>
      <x:c r="R1064" s="8" t="n">
        <x:v>45438</x:v>
      </x:c>
      <x:c r="S1064" s="4" t="str">
        <x:v>Lost / cancelled</x:v>
      </x:c>
      <x:c r="T1064" s="10" t="n">
        <x:v>0.310195</x:v>
      </x:c>
      <x:c r="U1064" s="4" t="str">
        <x:v>Train</x:v>
      </x:c>
    </x:row>
    <x:row r="1065" ht="34" customHeight="1">
      <x:c r="A1065" s="4" t="str">
        <x:v>RS-01064</x:v>
      </x:c>
      <x:c r="B1065" s="8" t="n">
        <x:v>45379</x:v>
      </x:c>
      <x:c r="C1065" s="4" t="str">
        <x:v>PRJ-004</x:v>
      </x:c>
      <x:c r="D1065" s="4" t="str">
        <x:v>Retail</x:v>
      </x:c>
      <x:c r="E1065" s="4" t="str">
        <x:v>Enquiry</x:v>
      </x:c>
      <x:c r="F1065" s="4" t="str">
        <x:v>CUS-01064</x:v>
      </x:c>
      <x:c r="G1065" s="4" t="str">
        <x:v>UNIT-01064</x:v>
      </x:c>
      <x:c r="H1065" s="9" t="n">
        <x:v>22400000</x:v>
      </x:c>
      <x:c r="I1065" s="10" t="n">
        <x:v>0.02</x:v>
      </x:c>
      <x:c r="J1065" s="11" t="n">
        <x:v>2</x:v>
      </x:c>
      <x:c r="K1065" s="11" t="n">
        <x:v>10</x:v>
      </x:c>
      <x:c r="L1065" s="11" t="n">
        <x:v>0</x:v>
      </x:c>
      <x:c r="M1065" s="9" t="n">
        <x:f>ROUND(H1065*(1-I1065),2)</x:f>
        <x:v>21952000</x:v>
      </x:c>
      <x:c r="N1065" s="4" t="str">
        <x:v>Sales manager</x:v>
      </x:c>
      <x:c r="O1065" s="4"/>
      <x:c r="P1065" s="9" t="n">
        <x:v>0</x:v>
      </x:c>
      <x:c r="Q1065" s="11" t="n">
        <x:v>0</x:v>
      </x:c>
      <x:c r="R1065" s="8" t="n">
        <x:v>45439</x:v>
      </x:c>
      <x:c r="S1065" s="4" t="str">
        <x:v>Retained</x:v>
      </x:c>
      <x:c r="T1065" s="10" t="n">
        <x:v>0.171717</x:v>
      </x:c>
      <x:c r="U1065" s="4" t="str">
        <x:v>Train</x:v>
      </x:c>
    </x:row>
    <x:row r="1066" ht="34" customHeight="1">
      <x:c r="A1066" s="4" t="str">
        <x:v>RS-01065</x:v>
      </x:c>
      <x:c r="B1066" s="8" t="n">
        <x:v>45352</x:v>
      </x:c>
      <x:c r="C1066" s="4" t="str">
        <x:v>PRJ-005</x:v>
      </x:c>
      <x:c r="D1066" s="4" t="str">
        <x:v>Office</x:v>
      </x:c>
      <x:c r="E1066" s="4" t="str">
        <x:v>Agreement signed</x:v>
      </x:c>
      <x:c r="F1066" s="4" t="str">
        <x:v>CUS-01065</x:v>
      </x:c>
      <x:c r="G1066" s="4" t="str">
        <x:v>UNIT-01065</x:v>
      </x:c>
      <x:c r="H1066" s="9" t="n">
        <x:v>6500000</x:v>
      </x:c>
      <x:c r="I1066" s="10" t="n">
        <x:v>0.03</x:v>
      </x:c>
      <x:c r="J1066" s="11" t="n">
        <x:v>0</x:v>
      </x:c>
      <x:c r="K1066" s="11" t="n">
        <x:v>4</x:v>
      </x:c>
      <x:c r="L1066" s="11" t="n">
        <x:v>0</x:v>
      </x:c>
      <x:c r="M1066" s="9" t="n">
        <x:f>ROUND(H1066*(1-I1066),2)</x:f>
        <x:v>6305000</x:v>
      </x:c>
      <x:c r="N1066" s="4" t="str">
        <x:v>Sales manager</x:v>
      </x:c>
      <x:c r="O1066" s="4" t="str">
        <x:v>BOOK-01065</x:v>
      </x:c>
      <x:c r="P1066" s="9" t="n">
        <x:v>6305000</x:v>
      </x:c>
      <x:c r="Q1066" s="11" t="n">
        <x:v>0</x:v>
      </x:c>
      <x:c r="R1066" s="8" t="n">
        <x:v>45412</x:v>
      </x:c>
      <x:c r="S1066" s="4" t="str">
        <x:v>Retained</x:v>
      </x:c>
      <x:c r="T1066" s="10" t="n">
        <x:v>0.072165</x:v>
      </x:c>
      <x:c r="U1066" s="4" t="str">
        <x:v>Train</x:v>
      </x:c>
    </x:row>
    <x:row r="1067" ht="34" customHeight="1">
      <x:c r="A1067" s="4" t="str">
        <x:v>RS-01066</x:v>
      </x:c>
      <x:c r="B1067" s="8" t="n">
        <x:v>45353</x:v>
      </x:c>
      <x:c r="C1067" s="4" t="str">
        <x:v>PRJ-006</x:v>
      </x:c>
      <x:c r="D1067" s="4" t="str">
        <x:v>Retail</x:v>
      </x:c>
      <x:c r="E1067" s="4" t="str">
        <x:v>Enquiry</x:v>
      </x:c>
      <x:c r="F1067" s="4" t="str">
        <x:v>CUS-01066</x:v>
      </x:c>
      <x:c r="G1067" s="4" t="str">
        <x:v>UNIT-01066</x:v>
      </x:c>
      <x:c r="H1067" s="9" t="n">
        <x:v>3400000</x:v>
      </x:c>
      <x:c r="I1067" s="10" t="n">
        <x:v>0.01</x:v>
      </x:c>
      <x:c r="J1067" s="11" t="n">
        <x:v>6</x:v>
      </x:c>
      <x:c r="K1067" s="11" t="n">
        <x:v>6</x:v>
      </x:c>
      <x:c r="L1067" s="11" t="n">
        <x:v>0</x:v>
      </x:c>
      <x:c r="M1067" s="9" t="n">
        <x:f>ROUND(H1067*(1-I1067),2)</x:f>
        <x:v>3366000</x:v>
      </x:c>
      <x:c r="N1067" s="4" t="str">
        <x:v>Sales manager</x:v>
      </x:c>
      <x:c r="O1067" s="4"/>
      <x:c r="P1067" s="9" t="n">
        <x:v>0</x:v>
      </x:c>
      <x:c r="Q1067" s="11" t="n">
        <x:v>0</x:v>
      </x:c>
      <x:c r="R1067" s="8" t="n">
        <x:v>45413</x:v>
      </x:c>
      <x:c r="S1067" s="4" t="str">
        <x:v>Retained</x:v>
      </x:c>
      <x:c r="T1067" s="10" t="n">
        <x:v>0.145299</x:v>
      </x:c>
      <x:c r="U1067" s="4" t="str">
        <x:v>Train</x:v>
      </x:c>
    </x:row>
    <x:row r="1068" ht="34" customHeight="1">
      <x:c r="A1068" s="4" t="str">
        <x:v>RS-01067</x:v>
      </x:c>
      <x:c r="B1068" s="8" t="n">
        <x:v>45354</x:v>
      </x:c>
      <x:c r="C1068" s="4" t="str">
        <x:v>PRJ-007</x:v>
      </x:c>
      <x:c r="D1068" s="4" t="str">
        <x:v>Office</x:v>
      </x:c>
      <x:c r="E1068" s="4" t="str">
        <x:v>Booked</x:v>
      </x:c>
      <x:c r="F1068" s="4" t="str">
        <x:v>CUS-01067</x:v>
      </x:c>
      <x:c r="G1068" s="4" t="str">
        <x:v>UNIT-01067</x:v>
      </x:c>
      <x:c r="H1068" s="9" t="n">
        <x:v>10700000</x:v>
      </x:c>
      <x:c r="I1068" s="10" t="n">
        <x:v>0.09</x:v>
      </x:c>
      <x:c r="J1068" s="11" t="n">
        <x:v>5</x:v>
      </x:c>
      <x:c r="K1068" s="11" t="n">
        <x:v>8</x:v>
      </x:c>
      <x:c r="L1068" s="11" t="n">
        <x:v>1</x:v>
      </x:c>
      <x:c r="M1068" s="9" t="n">
        <x:f>ROUND(H1068*(1-I1068),2)</x:f>
        <x:v>9737000</x:v>
      </x:c>
      <x:c r="N1068" s="4" t="str">
        <x:v>Sales head</x:v>
      </x:c>
      <x:c r="O1068" s="4" t="str">
        <x:v>BOOK-01067</x:v>
      </x:c>
      <x:c r="P1068" s="9" t="n">
        <x:v>4868500</x:v>
      </x:c>
      <x:c r="Q1068" s="11" t="n">
        <x:v>0</x:v>
      </x:c>
      <x:c r="R1068" s="8" t="n">
        <x:v>45414</x:v>
      </x:c>
      <x:c r="S1068" s="4" t="str">
        <x:v>Retained</x:v>
      </x:c>
      <x:c r="T1068" s="10" t="n">
        <x:v>0.291946</x:v>
      </x:c>
      <x:c r="U1068" s="4" t="str">
        <x:v>Train</x:v>
      </x:c>
    </x:row>
    <x:row r="1069" ht="34" customHeight="1">
      <x:c r="A1069" s="4" t="str">
        <x:v>RS-01068</x:v>
      </x:c>
      <x:c r="B1069" s="8" t="n">
        <x:v>45355</x:v>
      </x:c>
      <x:c r="C1069" s="4" t="str">
        <x:v>PRJ-008</x:v>
      </x:c>
      <x:c r="D1069" s="4" t="str">
        <x:v>Retail</x:v>
      </x:c>
      <x:c r="E1069" s="4" t="str">
        <x:v>Booked</x:v>
      </x:c>
      <x:c r="F1069" s="4" t="str">
        <x:v>CUS-01068</x:v>
      </x:c>
      <x:c r="G1069" s="4" t="str">
        <x:v>UNIT-01068</x:v>
      </x:c>
      <x:c r="H1069" s="9" t="n">
        <x:v>18200000</x:v>
      </x:c>
      <x:c r="I1069" s="10" t="n">
        <x:v>0.05</x:v>
      </x:c>
      <x:c r="J1069" s="11" t="n">
        <x:v>5</x:v>
      </x:c>
      <x:c r="K1069" s="11" t="n">
        <x:v>0</x:v>
      </x:c>
      <x:c r="L1069" s="11" t="n">
        <x:v>1</x:v>
      </x:c>
      <x:c r="M1069" s="9" t="n">
        <x:f>ROUND(H1069*(1-I1069),2)</x:f>
        <x:v>17290000</x:v>
      </x:c>
      <x:c r="N1069" s="4" t="str">
        <x:v>Sales manager</x:v>
      </x:c>
      <x:c r="O1069" s="4" t="str">
        <x:v>BOOK-01068</x:v>
      </x:c>
      <x:c r="P1069" s="9" t="n">
        <x:v>17290000</x:v>
      </x:c>
      <x:c r="Q1069" s="11" t="n">
        <x:v>0</x:v>
      </x:c>
      <x:c r="R1069" s="8" t="n">
        <x:v>45415</x:v>
      </x:c>
      <x:c r="S1069" s="4" t="str">
        <x:v>Retained</x:v>
      </x:c>
      <x:c r="T1069" s="10" t="n">
        <x:v>0.291946</x:v>
      </x:c>
      <x:c r="U1069" s="4" t="str">
        <x:v>Train</x:v>
      </x:c>
    </x:row>
    <x:row r="1070" ht="34" customHeight="1">
      <x:c r="A1070" s="4" t="str">
        <x:v>RS-01069</x:v>
      </x:c>
      <x:c r="B1070" s="8" t="n">
        <x:v>45356</x:v>
      </x:c>
      <x:c r="C1070" s="4" t="str">
        <x:v>PRJ-009</x:v>
      </x:c>
      <x:c r="D1070" s="4" t="str">
        <x:v>Apartment</x:v>
      </x:c>
      <x:c r="E1070" s="4" t="str">
        <x:v>Reserved</x:v>
      </x:c>
      <x:c r="F1070" s="4" t="str">
        <x:v>CUS-01069</x:v>
      </x:c>
      <x:c r="G1070" s="4" t="str">
        <x:v>UNIT-01069</x:v>
      </x:c>
      <x:c r="H1070" s="9" t="n">
        <x:v>15800000</x:v>
      </x:c>
      <x:c r="I1070" s="10" t="n">
        <x:v>0.03</x:v>
      </x:c>
      <x:c r="J1070" s="11" t="n">
        <x:v>3</x:v>
      </x:c>
      <x:c r="K1070" s="11" t="n">
        <x:v>5</x:v>
      </x:c>
      <x:c r="L1070" s="11" t="n">
        <x:v>0</x:v>
      </x:c>
      <x:c r="M1070" s="9" t="n">
        <x:f>ROUND(H1070*(1-I1070),2)</x:f>
        <x:v>15326000</x:v>
      </x:c>
      <x:c r="N1070" s="4" t="str">
        <x:v>Sales manager</x:v>
      </x:c>
      <x:c r="O1070" s="4"/>
      <x:c r="P1070" s="9" t="n">
        <x:v>0</x:v>
      </x:c>
      <x:c r="Q1070" s="11" t="n">
        <x:v>0</x:v>
      </x:c>
      <x:c r="R1070" s="8" t="n">
        <x:v>45416</x:v>
      </x:c>
      <x:c r="S1070" s="4" t="str">
        <x:v>Retained</x:v>
      </x:c>
      <x:c r="T1070" s="10" t="n">
        <x:v>0.171717</x:v>
      </x:c>
      <x:c r="U1070" s="4" t="str">
        <x:v>Train</x:v>
      </x:c>
    </x:row>
    <x:row r="1071" ht="34" customHeight="1">
      <x:c r="A1071" s="4" t="str">
        <x:v>RS-01070</x:v>
      </x:c>
      <x:c r="B1071" s="8" t="n">
        <x:v>45357</x:v>
      </x:c>
      <x:c r="C1071" s="4" t="str">
        <x:v>PRJ-010</x:v>
      </x:c>
      <x:c r="D1071" s="4" t="str">
        <x:v>Apartment</x:v>
      </x:c>
      <x:c r="E1071" s="4" t="str">
        <x:v>Reserved</x:v>
      </x:c>
      <x:c r="F1071" s="4" t="str">
        <x:v>CUS-01070</x:v>
      </x:c>
      <x:c r="G1071" s="4" t="str">
        <x:v>UNIT-01070</x:v>
      </x:c>
      <x:c r="H1071" s="9" t="n">
        <x:v>20800000</x:v>
      </x:c>
      <x:c r="I1071" s="10" t="n">
        <x:v>0.05</x:v>
      </x:c>
      <x:c r="J1071" s="11" t="n">
        <x:v>2</x:v>
      </x:c>
      <x:c r="K1071" s="11" t="n">
        <x:v>6</x:v>
      </x:c>
      <x:c r="L1071" s="11" t="n">
        <x:v>0</x:v>
      </x:c>
      <x:c r="M1071" s="9" t="n">
        <x:f>ROUND(H1071*(1-I1071),2)</x:f>
        <x:v>19760000</x:v>
      </x:c>
      <x:c r="N1071" s="4" t="str">
        <x:v>Sales manager</x:v>
      </x:c>
      <x:c r="O1071" s="4"/>
      <x:c r="P1071" s="9" t="n">
        <x:v>0</x:v>
      </x:c>
      <x:c r="Q1071" s="11" t="n">
        <x:v>1</x:v>
      </x:c>
      <x:c r="R1071" s="8" t="n">
        <x:v>45417</x:v>
      </x:c>
      <x:c r="S1071" s="4" t="str">
        <x:v>Lost / cancelled</x:v>
      </x:c>
      <x:c r="T1071" s="10" t="n">
        <x:v>0.204152</x:v>
      </x:c>
      <x:c r="U1071" s="4" t="str">
        <x:v>Train</x:v>
      </x:c>
    </x:row>
    <x:row r="1072" ht="34" customHeight="1">
      <x:c r="A1072" s="4" t="str">
        <x:v>RS-01071</x:v>
      </x:c>
      <x:c r="B1072" s="8" t="n">
        <x:v>45358</x:v>
      </x:c>
      <x:c r="C1072" s="4" t="str">
        <x:v>PRJ-011</x:v>
      </x:c>
      <x:c r="D1072" s="4" t="str">
        <x:v>Retail</x:v>
      </x:c>
      <x:c r="E1072" s="4" t="str">
        <x:v>Cancelled</x:v>
      </x:c>
      <x:c r="F1072" s="4" t="str">
        <x:v>CUS-01071</x:v>
      </x:c>
      <x:c r="G1072" s="4" t="str">
        <x:v>UNIT-01071</x:v>
      </x:c>
      <x:c r="H1072" s="9" t="n">
        <x:v>23800000</x:v>
      </x:c>
      <x:c r="I1072" s="10" t="n">
        <x:v>0.06</x:v>
      </x:c>
      <x:c r="J1072" s="11" t="n">
        <x:v>5</x:v>
      </x:c>
      <x:c r="K1072" s="11" t="n">
        <x:v>10</x:v>
      </x:c>
      <x:c r="L1072" s="11" t="n">
        <x:v>1</x:v>
      </x:c>
      <x:c r="M1072" s="9" t="n">
        <x:f>ROUND(H1072*(1-I1072),2)</x:f>
        <x:v>22372000</x:v>
      </x:c>
      <x:c r="N1072" s="4" t="str">
        <x:v>Sales manager</x:v>
      </x:c>
      <x:c r="O1072" s="4"/>
      <x:c r="P1072" s="9" t="n">
        <x:v>0</x:v>
      </x:c>
      <x:c r="Q1072" s="11" t="n">
        <x:v>1</x:v>
      </x:c>
      <x:c r="R1072" s="8" t="n">
        <x:v>45418</x:v>
      </x:c>
      <x:c r="S1072" s="4" t="str">
        <x:v>Lost / cancelled</x:v>
      </x:c>
      <x:c r="T1072" s="10" t="n">
        <x:v>0.291946</x:v>
      </x:c>
      <x:c r="U1072" s="4" t="str">
        <x:v>Train</x:v>
      </x:c>
    </x:row>
    <x:row r="1073" ht="34" customHeight="1">
      <x:c r="A1073" s="4" t="str">
        <x:v>RS-01072</x:v>
      </x:c>
      <x:c r="B1073" s="8" t="n">
        <x:v>45359</x:v>
      </x:c>
      <x:c r="C1073" s="4" t="str">
        <x:v>PRJ-012</x:v>
      </x:c>
      <x:c r="D1073" s="4" t="str">
        <x:v>Apartment</x:v>
      </x:c>
      <x:c r="E1073" s="4" t="str">
        <x:v>Enquiry</x:v>
      </x:c>
      <x:c r="F1073" s="4" t="str">
        <x:v>CUS-01072</x:v>
      </x:c>
      <x:c r="G1073" s="4" t="str">
        <x:v>UNIT-01072</x:v>
      </x:c>
      <x:c r="H1073" s="9" t="n">
        <x:v>16000000</x:v>
      </x:c>
      <x:c r="I1073" s="10" t="n">
        <x:v>0.07</x:v>
      </x:c>
      <x:c r="J1073" s="11" t="n">
        <x:v>9</x:v>
      </x:c>
      <x:c r="K1073" s="11" t="n">
        <x:v>2</x:v>
      </x:c>
      <x:c r="L1073" s="11" t="n">
        <x:v>1</x:v>
      </x:c>
      <x:c r="M1073" s="9" t="n">
        <x:f>ROUND(H1073*(1-I1073),2)</x:f>
        <x:v>14880000</x:v>
      </x:c>
      <x:c r="N1073" s="4" t="str">
        <x:v>Sales manager</x:v>
      </x:c>
      <x:c r="O1073" s="4"/>
      <x:c r="P1073" s="9" t="n">
        <x:v>0</x:v>
      </x:c>
      <x:c r="Q1073" s="11" t="n">
        <x:v>1</x:v>
      </x:c>
      <x:c r="R1073" s="8" t="n">
        <x:v>45419</x:v>
      </x:c>
      <x:c r="S1073" s="4" t="str">
        <x:v>Lost / cancelled</x:v>
      </x:c>
      <x:c r="T1073" s="10" t="n">
        <x:v>0.310195</x:v>
      </x:c>
      <x:c r="U1073" s="4" t="str">
        <x:v>Train</x:v>
      </x:c>
    </x:row>
    <x:row r="1074" ht="34" customHeight="1">
      <x:c r="A1074" s="4" t="str">
        <x:v>RS-01073</x:v>
      </x:c>
      <x:c r="B1074" s="8" t="n">
        <x:v>45360</x:v>
      </x:c>
      <x:c r="C1074" s="4" t="str">
        <x:v>PRJ-013</x:v>
      </x:c>
      <x:c r="D1074" s="4" t="str">
        <x:v>Retail</x:v>
      </x:c>
      <x:c r="E1074" s="4" t="str">
        <x:v>Reserved</x:v>
      </x:c>
      <x:c r="F1074" s="4" t="str">
        <x:v>CUS-01073</x:v>
      </x:c>
      <x:c r="G1074" s="4" t="str">
        <x:v>UNIT-01073</x:v>
      </x:c>
      <x:c r="H1074" s="9" t="n">
        <x:v>11900000</x:v>
      </x:c>
      <x:c r="I1074" s="10" t="n">
        <x:v>0.07</x:v>
      </x:c>
      <x:c r="J1074" s="11" t="n">
        <x:v>7</x:v>
      </x:c>
      <x:c r="K1074" s="11" t="n">
        <x:v>2</x:v>
      </x:c>
      <x:c r="L1074" s="11" t="n">
        <x:v>1</x:v>
      </x:c>
      <x:c r="M1074" s="9" t="n">
        <x:f>ROUND(H1074*(1-I1074),2)</x:f>
        <x:v>11067000</x:v>
      </x:c>
      <x:c r="N1074" s="4" t="str">
        <x:v>Sales manager</x:v>
      </x:c>
      <x:c r="O1074" s="4"/>
      <x:c r="P1074" s="9" t="n">
        <x:v>0</x:v>
      </x:c>
      <x:c r="Q1074" s="11" t="n">
        <x:v>0</x:v>
      </x:c>
      <x:c r="R1074" s="8" t="n">
        <x:v>45420</x:v>
      </x:c>
      <x:c r="S1074" s="4" t="str">
        <x:v>Retained</x:v>
      </x:c>
      <x:c r="T1074" s="10" t="n">
        <x:v>0.291946</x:v>
      </x:c>
      <x:c r="U1074" s="4" t="str">
        <x:v>Train</x:v>
      </x:c>
    </x:row>
    <x:row r="1075" ht="34" customHeight="1">
      <x:c r="A1075" s="4" t="str">
        <x:v>RS-01074</x:v>
      </x:c>
      <x:c r="B1075" s="8" t="n">
        <x:v>45361</x:v>
      </x:c>
      <x:c r="C1075" s="4" t="str">
        <x:v>PRJ-014</x:v>
      </x:c>
      <x:c r="D1075" s="4" t="str">
        <x:v>Office</x:v>
      </x:c>
      <x:c r="E1075" s="4" t="str">
        <x:v>Reserved</x:v>
      </x:c>
      <x:c r="F1075" s="4" t="str">
        <x:v>CUS-01074</x:v>
      </x:c>
      <x:c r="G1075" s="4" t="str">
        <x:v>UNIT-01074</x:v>
      </x:c>
      <x:c r="H1075" s="9" t="n">
        <x:v>5600000</x:v>
      </x:c>
      <x:c r="I1075" s="10" t="n">
        <x:v>0</x:v>
      </x:c>
      <x:c r="J1075" s="11" t="n">
        <x:v>8</x:v>
      </x:c>
      <x:c r="K1075" s="11" t="n">
        <x:v>5</x:v>
      </x:c>
      <x:c r="L1075" s="11" t="n">
        <x:v>0</x:v>
      </x:c>
      <x:c r="M1075" s="9" t="n">
        <x:f>ROUND(H1075*(1-I1075),2)</x:f>
        <x:v>5600000</x:v>
      </x:c>
      <x:c r="N1075" s="4" t="str">
        <x:v>Sales manager</x:v>
      </x:c>
      <x:c r="O1075" s="4"/>
      <x:c r="P1075" s="9" t="n">
        <x:v>0</x:v>
      </x:c>
      <x:c r="Q1075" s="11" t="n">
        <x:v>1</x:v>
      </x:c>
      <x:c r="R1075" s="8" t="n">
        <x:v>45421</x:v>
      </x:c>
      <x:c r="S1075" s="4" t="str">
        <x:v>Lost / cancelled</x:v>
      </x:c>
      <x:c r="T1075" s="10" t="n">
        <x:v>0.305556</x:v>
      </x:c>
      <x:c r="U1075" s="4" t="str">
        <x:v>Train</x:v>
      </x:c>
    </x:row>
    <x:row r="1076" ht="34" customHeight="1">
      <x:c r="A1076" s="4" t="str">
        <x:v>RS-01075</x:v>
      </x:c>
      <x:c r="B1076" s="8" t="n">
        <x:v>45362</x:v>
      </x:c>
      <x:c r="C1076" s="4" t="str">
        <x:v>PRJ-015</x:v>
      </x:c>
      <x:c r="D1076" s="4" t="str">
        <x:v>Retail</x:v>
      </x:c>
      <x:c r="E1076" s="4" t="str">
        <x:v>Enquiry</x:v>
      </x:c>
      <x:c r="F1076" s="4" t="str">
        <x:v>CUS-01075</x:v>
      </x:c>
      <x:c r="G1076" s="4" t="str">
        <x:v>UNIT-01075</x:v>
      </x:c>
      <x:c r="H1076" s="9" t="n">
        <x:v>16700000</x:v>
      </x:c>
      <x:c r="I1076" s="10" t="n">
        <x:v>0.02</x:v>
      </x:c>
      <x:c r="J1076" s="11" t="n">
        <x:v>12</x:v>
      </x:c>
      <x:c r="K1076" s="11" t="n">
        <x:v>2</x:v>
      </x:c>
      <x:c r="L1076" s="11" t="n">
        <x:v>1</x:v>
      </x:c>
      <x:c r="M1076" s="9" t="n">
        <x:f>ROUND(H1076*(1-I1076),2)</x:f>
        <x:v>16366000</x:v>
      </x:c>
      <x:c r="N1076" s="4" t="str">
        <x:v>Sales manager</x:v>
      </x:c>
      <x:c r="O1076" s="4"/>
      <x:c r="P1076" s="9" t="n">
        <x:v>0</x:v>
      </x:c>
      <x:c r="Q1076" s="11" t="n">
        <x:v>0</x:v>
      </x:c>
      <x:c r="R1076" s="8" t="n">
        <x:v>45422</x:v>
      </x:c>
      <x:c r="S1076" s="4" t="str">
        <x:v>Retained</x:v>
      </x:c>
      <x:c r="T1076" s="10" t="n">
        <x:v>0.254545</x:v>
      </x:c>
      <x:c r="U1076" s="4" t="str">
        <x:v>Train</x:v>
      </x:c>
    </x:row>
    <x:row r="1077" ht="34" customHeight="1">
      <x:c r="A1077" s="4" t="str">
        <x:v>RS-01076</x:v>
      </x:c>
      <x:c r="B1077" s="8" t="n">
        <x:v>45363</x:v>
      </x:c>
      <x:c r="C1077" s="4" t="str">
        <x:v>PRJ-016</x:v>
      </x:c>
      <x:c r="D1077" s="4" t="str">
        <x:v>Villa</x:v>
      </x:c>
      <x:c r="E1077" s="4" t="str">
        <x:v>Enquiry</x:v>
      </x:c>
      <x:c r="F1077" s="4" t="str">
        <x:v>CUS-01076</x:v>
      </x:c>
      <x:c r="G1077" s="4" t="str">
        <x:v>UNIT-01076</x:v>
      </x:c>
      <x:c r="H1077" s="9" t="n">
        <x:v>8300000</x:v>
      </x:c>
      <x:c r="I1077" s="10" t="n">
        <x:v>0.09</x:v>
      </x:c>
      <x:c r="J1077" s="11" t="n">
        <x:v>11</x:v>
      </x:c>
      <x:c r="K1077" s="11" t="n">
        <x:v>6</x:v>
      </x:c>
      <x:c r="L1077" s="11" t="n">
        <x:v>1</x:v>
      </x:c>
      <x:c r="M1077" s="9" t="n">
        <x:f>ROUND(H1077*(1-I1077),2)</x:f>
        <x:v>7553000</x:v>
      </x:c>
      <x:c r="N1077" s="4" t="str">
        <x:v>Sales head</x:v>
      </x:c>
      <x:c r="O1077" s="4"/>
      <x:c r="P1077" s="9" t="n">
        <x:v>0</x:v>
      </x:c>
      <x:c r="Q1077" s="11" t="n">
        <x:v>1</x:v>
      </x:c>
      <x:c r="R1077" s="8" t="n">
        <x:v>45423</x:v>
      </x:c>
      <x:c r="S1077" s="4" t="str">
        <x:v>Lost / cancelled</x:v>
      </x:c>
      <x:c r="T1077" s="10" t="n">
        <x:v>0.351536</x:v>
      </x:c>
      <x:c r="U1077" s="4" t="str">
        <x:v>Train</x:v>
      </x:c>
    </x:row>
    <x:row r="1078" ht="34" customHeight="1">
      <x:c r="A1078" s="4" t="str">
        <x:v>RS-01077</x:v>
      </x:c>
      <x:c r="B1078" s="8" t="n">
        <x:v>45364</x:v>
      </x:c>
      <x:c r="C1078" s="4" t="str">
        <x:v>PRJ-017</x:v>
      </x:c>
      <x:c r="D1078" s="4" t="str">
        <x:v>Office</x:v>
      </x:c>
      <x:c r="E1078" s="4" t="str">
        <x:v>Booked</x:v>
      </x:c>
      <x:c r="F1078" s="4" t="str">
        <x:v>CUS-01077</x:v>
      </x:c>
      <x:c r="G1078" s="4" t="str">
        <x:v>UNIT-01077</x:v>
      </x:c>
      <x:c r="H1078" s="9" t="n">
        <x:v>8600000</x:v>
      </x:c>
      <x:c r="I1078" s="10" t="n">
        <x:v>0.1</x:v>
      </x:c>
      <x:c r="J1078" s="11" t="n">
        <x:v>12</x:v>
      </x:c>
      <x:c r="K1078" s="11" t="n">
        <x:v>1</x:v>
      </x:c>
      <x:c r="L1078" s="11" t="n">
        <x:v>0</x:v>
      </x:c>
      <x:c r="M1078" s="9" t="n">
        <x:f>ROUND(H1078*(1-I1078),2)</x:f>
        <x:v>7740000</x:v>
      </x:c>
      <x:c r="N1078" s="4" t="str">
        <x:v>Sales head</x:v>
      </x:c>
      <x:c r="O1078" s="4" t="str">
        <x:v>BOOK-01077</x:v>
      </x:c>
      <x:c r="P1078" s="9" t="n">
        <x:v>7740000</x:v>
      </x:c>
      <x:c r="Q1078" s="11" t="n">
        <x:v>0</x:v>
      </x:c>
      <x:c r="R1078" s="8" t="n">
        <x:v>45424</x:v>
      </x:c>
      <x:c r="S1078" s="4" t="str">
        <x:v>Retained</x:v>
      </x:c>
      <x:c r="T1078" s="10" t="n">
        <x:v>0.351536</x:v>
      </x:c>
      <x:c r="U1078" s="4" t="str">
        <x:v>Train</x:v>
      </x:c>
    </x:row>
    <x:row r="1079" ht="34" customHeight="1">
      <x:c r="A1079" s="4" t="str">
        <x:v>RS-01078</x:v>
      </x:c>
      <x:c r="B1079" s="8" t="n">
        <x:v>45365</x:v>
      </x:c>
      <x:c r="C1079" s="4" t="str">
        <x:v>PRJ-018</x:v>
      </x:c>
      <x:c r="D1079" s="4" t="str">
        <x:v>Office</x:v>
      </x:c>
      <x:c r="E1079" s="4" t="str">
        <x:v>Cancelled</x:v>
      </x:c>
      <x:c r="F1079" s="4" t="str">
        <x:v>CUS-01078</x:v>
      </x:c>
      <x:c r="G1079" s="4" t="str">
        <x:v>UNIT-01078</x:v>
      </x:c>
      <x:c r="H1079" s="9" t="n">
        <x:v>5900000</x:v>
      </x:c>
      <x:c r="I1079" s="10" t="n">
        <x:v>0.11</x:v>
      </x:c>
      <x:c r="J1079" s="11" t="n">
        <x:v>7</x:v>
      </x:c>
      <x:c r="K1079" s="11" t="n">
        <x:v>1</x:v>
      </x:c>
      <x:c r="L1079" s="11" t="n">
        <x:v>1</x:v>
      </x:c>
      <x:c r="M1079" s="9" t="n">
        <x:f>ROUND(H1079*(1-I1079),2)</x:f>
        <x:v>5251000</x:v>
      </x:c>
      <x:c r="N1079" s="4" t="str">
        <x:v>Sales head</x:v>
      </x:c>
      <x:c r="O1079" s="4"/>
      <x:c r="P1079" s="9" t="n">
        <x:v>0</x:v>
      </x:c>
      <x:c r="Q1079" s="11" t="n">
        <x:v>1</x:v>
      </x:c>
      <x:c r="R1079" s="8" t="n">
        <x:v>45425</x:v>
      </x:c>
      <x:c r="S1079" s="4" t="str">
        <x:v>Lost / cancelled</x:v>
      </x:c>
      <x:c r="T1079" s="10" t="n">
        <x:v>0.291946</x:v>
      </x:c>
      <x:c r="U1079" s="4" t="str">
        <x:v>Train</x:v>
      </x:c>
    </x:row>
    <x:row r="1080" ht="34" customHeight="1">
      <x:c r="A1080" s="4" t="str">
        <x:v>RS-01079</x:v>
      </x:c>
      <x:c r="B1080" s="8" t="n">
        <x:v>45366</x:v>
      </x:c>
      <x:c r="C1080" s="4" t="str">
        <x:v>PRJ-019</x:v>
      </x:c>
      <x:c r="D1080" s="4" t="str">
        <x:v>Retail</x:v>
      </x:c>
      <x:c r="E1080" s="4" t="str">
        <x:v>Handed over</x:v>
      </x:c>
      <x:c r="F1080" s="4" t="str">
        <x:v>CUS-01079</x:v>
      </x:c>
      <x:c r="G1080" s="4" t="str">
        <x:v>UNIT-01079</x:v>
      </x:c>
      <x:c r="H1080" s="9" t="n">
        <x:v>7200000</x:v>
      </x:c>
      <x:c r="I1080" s="10" t="n">
        <x:v>0.02</x:v>
      </x:c>
      <x:c r="J1080" s="11" t="n">
        <x:v>8</x:v>
      </x:c>
      <x:c r="K1080" s="11" t="n">
        <x:v>5</x:v>
      </x:c>
      <x:c r="L1080" s="11" t="n">
        <x:v>1</x:v>
      </x:c>
      <x:c r="M1080" s="9" t="n">
        <x:f>ROUND(H1080*(1-I1080),2)</x:f>
        <x:v>7056000</x:v>
      </x:c>
      <x:c r="N1080" s="4" t="str">
        <x:v>Sales manager</x:v>
      </x:c>
      <x:c r="O1080" s="4" t="str">
        <x:v>BOOK-01079</x:v>
      </x:c>
      <x:c r="P1080" s="9" t="n">
        <x:v>705600</x:v>
      </x:c>
      <x:c r="Q1080" s="11" t="n">
        <x:v>0</x:v>
      </x:c>
      <x:c r="R1080" s="8" t="n">
        <x:v>45426</x:v>
      </x:c>
      <x:c r="S1080" s="4" t="str">
        <x:v>Retained</x:v>
      </x:c>
      <x:c r="T1080" s="10" t="n">
        <x:v>0.254545</x:v>
      </x:c>
      <x:c r="U1080" s="4" t="str">
        <x:v>Train</x:v>
      </x:c>
    </x:row>
    <x:row r="1081" ht="34" customHeight="1">
      <x:c r="A1081" s="4" t="str">
        <x:v>RS-01080</x:v>
      </x:c>
      <x:c r="B1081" s="8" t="n">
        <x:v>45367</x:v>
      </x:c>
      <x:c r="C1081" s="4" t="str">
        <x:v>PRJ-020</x:v>
      </x:c>
      <x:c r="D1081" s="4" t="str">
        <x:v>Villa</x:v>
      </x:c>
      <x:c r="E1081" s="4" t="str">
        <x:v>Reserved</x:v>
      </x:c>
      <x:c r="F1081" s="4" t="str">
        <x:v>CUS-01080</x:v>
      </x:c>
      <x:c r="G1081" s="4" t="str">
        <x:v>UNIT-01080</x:v>
      </x:c>
      <x:c r="H1081" s="9" t="n">
        <x:v>24900000</x:v>
      </x:c>
      <x:c r="I1081" s="10" t="n">
        <x:v>0.04</x:v>
      </x:c>
      <x:c r="J1081" s="11" t="n">
        <x:v>3</x:v>
      </x:c>
      <x:c r="K1081" s="11" t="n">
        <x:v>3</x:v>
      </x:c>
      <x:c r="L1081" s="11" t="n">
        <x:v>1</x:v>
      </x:c>
      <x:c r="M1081" s="9" t="n">
        <x:f>ROUND(H1081*(1-I1081),2)</x:f>
        <x:v>23904000</x:v>
      </x:c>
      <x:c r="N1081" s="4" t="str">
        <x:v>Sales manager</x:v>
      </x:c>
      <x:c r="O1081" s="4"/>
      <x:c r="P1081" s="9" t="n">
        <x:v>0</x:v>
      </x:c>
      <x:c r="Q1081" s="11" t="n">
        <x:v>0</x:v>
      </x:c>
      <x:c r="R1081" s="8" t="n">
        <x:v>45427</x:v>
      </x:c>
      <x:c r="S1081" s="4" t="str">
        <x:v>Retained</x:v>
      </x:c>
      <x:c r="T1081" s="10" t="n">
        <x:v>0.204152</x:v>
      </x:c>
      <x:c r="U1081" s="4" t="str">
        <x:v>Train</x:v>
      </x:c>
    </x:row>
    <x:row r="1082" ht="34" customHeight="1">
      <x:c r="A1082" s="4" t="str">
        <x:v>RS-01081</x:v>
      </x:c>
      <x:c r="B1082" s="8" t="n">
        <x:v>45368</x:v>
      </x:c>
      <x:c r="C1082" s="4" t="str">
        <x:v>PRJ-001</x:v>
      </x:c>
      <x:c r="D1082" s="4" t="str">
        <x:v>Apartment</x:v>
      </x:c>
      <x:c r="E1082" s="4" t="str">
        <x:v>Agreement signed</x:v>
      </x:c>
      <x:c r="F1082" s="4" t="str">
        <x:v>CUS-01081</x:v>
      </x:c>
      <x:c r="G1082" s="4" t="str">
        <x:v>UNIT-01081</x:v>
      </x:c>
      <x:c r="H1082" s="9" t="n">
        <x:v>9300000</x:v>
      </x:c>
      <x:c r="I1082" s="10" t="n">
        <x:v>0.05</x:v>
      </x:c>
      <x:c r="J1082" s="11" t="n">
        <x:v>10</x:v>
      </x:c>
      <x:c r="K1082" s="11" t="n">
        <x:v>10</x:v>
      </x:c>
      <x:c r="L1082" s="11" t="n">
        <x:v>0</x:v>
      </x:c>
      <x:c r="M1082" s="9" t="n">
        <x:f>ROUND(H1082*(1-I1082),2)</x:f>
        <x:v>8835000</x:v>
      </x:c>
      <x:c r="N1082" s="4" t="str">
        <x:v>Sales manager</x:v>
      </x:c>
      <x:c r="O1082" s="4" t="str">
        <x:v>BOOK-01081</x:v>
      </x:c>
      <x:c r="P1082" s="9" t="n">
        <x:v>8835000</x:v>
      </x:c>
      <x:c r="Q1082" s="11" t="n">
        <x:v>0</x:v>
      </x:c>
      <x:c r="R1082" s="8" t="n">
        <x:v>45428</x:v>
      </x:c>
      <x:c r="S1082" s="4" t="str">
        <x:v>Retained</x:v>
      </x:c>
      <x:c r="T1082" s="10" t="n">
        <x:v>0.310195</x:v>
      </x:c>
      <x:c r="U1082" s="4" t="str">
        <x:v>Train</x:v>
      </x:c>
    </x:row>
    <x:row r="1083" ht="34" customHeight="1">
      <x:c r="A1083" s="4" t="str">
        <x:v>RS-01082</x:v>
      </x:c>
      <x:c r="B1083" s="8" t="n">
        <x:v>45369</x:v>
      </x:c>
      <x:c r="C1083" s="4" t="str">
        <x:v>PRJ-002</x:v>
      </x:c>
      <x:c r="D1083" s="4" t="str">
        <x:v>Retail</x:v>
      </x:c>
      <x:c r="E1083" s="4" t="str">
        <x:v>Booked</x:v>
      </x:c>
      <x:c r="F1083" s="4" t="str">
        <x:v>CUS-01082</x:v>
      </x:c>
      <x:c r="G1083" s="4" t="str">
        <x:v>UNIT-01082</x:v>
      </x:c>
      <x:c r="H1083" s="9" t="n">
        <x:v>9700000</x:v>
      </x:c>
      <x:c r="I1083" s="10" t="n">
        <x:v>0.02</x:v>
      </x:c>
      <x:c r="J1083" s="11" t="n">
        <x:v>5</x:v>
      </x:c>
      <x:c r="K1083" s="11" t="n">
        <x:v>10</x:v>
      </x:c>
      <x:c r="L1083" s="11" t="n">
        <x:v>1</x:v>
      </x:c>
      <x:c r="M1083" s="9" t="n">
        <x:f>ROUND(H1083*(1-I1083),2)</x:f>
        <x:v>9506000</x:v>
      </x:c>
      <x:c r="N1083" s="4" t="str">
        <x:v>Sales manager</x:v>
      </x:c>
      <x:c r="O1083" s="4" t="str">
        <x:v>BOOK-01082</x:v>
      </x:c>
      <x:c r="P1083" s="9" t="n">
        <x:v>9506000</x:v>
      </x:c>
      <x:c r="Q1083" s="11" t="n">
        <x:v>0</x:v>
      </x:c>
      <x:c r="R1083" s="8" t="n">
        <x:v>45429</x:v>
      </x:c>
      <x:c r="S1083" s="4" t="str">
        <x:v>Retained</x:v>
      </x:c>
      <x:c r="T1083" s="10" t="n">
        <x:v>0.145299</x:v>
      </x:c>
      <x:c r="U1083" s="4" t="str">
        <x:v>Train</x:v>
      </x:c>
    </x:row>
    <x:row r="1084" ht="34" customHeight="1">
      <x:c r="A1084" s="4" t="str">
        <x:v>RS-01083</x:v>
      </x:c>
      <x:c r="B1084" s="8" t="n">
        <x:v>45370</x:v>
      </x:c>
      <x:c r="C1084" s="4" t="str">
        <x:v>PRJ-003</x:v>
      </x:c>
      <x:c r="D1084" s="4" t="str">
        <x:v>Office</x:v>
      </x:c>
      <x:c r="E1084" s="4" t="str">
        <x:v>Cancelled</x:v>
      </x:c>
      <x:c r="F1084" s="4" t="str">
        <x:v>CUS-01083</x:v>
      </x:c>
      <x:c r="G1084" s="4" t="str">
        <x:v>UNIT-01083</x:v>
      </x:c>
      <x:c r="H1084" s="9" t="n">
        <x:v>9600000</x:v>
      </x:c>
      <x:c r="I1084" s="10" t="n">
        <x:v>0.12</x:v>
      </x:c>
      <x:c r="J1084" s="11" t="n">
        <x:v>4</x:v>
      </x:c>
      <x:c r="K1084" s="11" t="n">
        <x:v>5</x:v>
      </x:c>
      <x:c r="L1084" s="11" t="n">
        <x:v>1</x:v>
      </x:c>
      <x:c r="M1084" s="9" t="n">
        <x:f>ROUND(H1084*(1-I1084),2)</x:f>
        <x:v>8448000</x:v>
      </x:c>
      <x:c r="N1084" s="4" t="str">
        <x:v>Sales head</x:v>
      </x:c>
      <x:c r="O1084" s="4"/>
      <x:c r="P1084" s="9" t="n">
        <x:v>0</x:v>
      </x:c>
      <x:c r="Q1084" s="11" t="n">
        <x:v>1</x:v>
      </x:c>
      <x:c r="R1084" s="8" t="n">
        <x:v>45430</x:v>
      </x:c>
      <x:c r="S1084" s="4" t="str">
        <x:v>Lost / cancelled</x:v>
      </x:c>
      <x:c r="T1084" s="10" t="n">
        <x:v>0.291946</x:v>
      </x:c>
      <x:c r="U1084" s="4" t="str">
        <x:v>Train</x:v>
      </x:c>
    </x:row>
    <x:row r="1085" ht="34" customHeight="1">
      <x:c r="A1085" s="4" t="str">
        <x:v>RS-01084</x:v>
      </x:c>
      <x:c r="B1085" s="8" t="n">
        <x:v>45371</x:v>
      </x:c>
      <x:c r="C1085" s="4" t="str">
        <x:v>PRJ-004</x:v>
      </x:c>
      <x:c r="D1085" s="4" t="str">
        <x:v>Villa</x:v>
      </x:c>
      <x:c r="E1085" s="4" t="str">
        <x:v>Cancelled</x:v>
      </x:c>
      <x:c r="F1085" s="4" t="str">
        <x:v>CUS-01084</x:v>
      </x:c>
      <x:c r="G1085" s="4" t="str">
        <x:v>UNIT-01084</x:v>
      </x:c>
      <x:c r="H1085" s="9" t="n">
        <x:v>6400000</x:v>
      </x:c>
      <x:c r="I1085" s="10" t="n">
        <x:v>0.09</x:v>
      </x:c>
      <x:c r="J1085" s="11" t="n">
        <x:v>9</x:v>
      </x:c>
      <x:c r="K1085" s="11" t="n">
        <x:v>10</x:v>
      </x:c>
      <x:c r="L1085" s="11" t="n">
        <x:v>1</x:v>
      </x:c>
      <x:c r="M1085" s="9" t="n">
        <x:f>ROUND(H1085*(1-I1085),2)</x:f>
        <x:v>5824000</x:v>
      </x:c>
      <x:c r="N1085" s="4" t="str">
        <x:v>Sales head</x:v>
      </x:c>
      <x:c r="O1085" s="4"/>
      <x:c r="P1085" s="9" t="n">
        <x:v>0</x:v>
      </x:c>
      <x:c r="Q1085" s="11" t="n">
        <x:v>1</x:v>
      </x:c>
      <x:c r="R1085" s="8" t="n">
        <x:v>45431</x:v>
      </x:c>
      <x:c r="S1085" s="4" t="str">
        <x:v>Lost / cancelled</x:v>
      </x:c>
      <x:c r="T1085" s="10" t="n">
        <x:v>0.310195</x:v>
      </x:c>
      <x:c r="U1085" s="4" t="str">
        <x:v>Train</x:v>
      </x:c>
    </x:row>
    <x:row r="1086" ht="34" customHeight="1">
      <x:c r="A1086" s="4" t="str">
        <x:v>RS-01085</x:v>
      </x:c>
      <x:c r="B1086" s="8" t="n">
        <x:v>45372</x:v>
      </x:c>
      <x:c r="C1086" s="4" t="str">
        <x:v>PRJ-005</x:v>
      </x:c>
      <x:c r="D1086" s="4" t="str">
        <x:v>Retail</x:v>
      </x:c>
      <x:c r="E1086" s="4" t="str">
        <x:v>Cancelled</x:v>
      </x:c>
      <x:c r="F1086" s="4" t="str">
        <x:v>CUS-01085</x:v>
      </x:c>
      <x:c r="G1086" s="4" t="str">
        <x:v>UNIT-01085</x:v>
      </x:c>
      <x:c r="H1086" s="9" t="n">
        <x:v>12700000</x:v>
      </x:c>
      <x:c r="I1086" s="10" t="n">
        <x:v>0.1</x:v>
      </x:c>
      <x:c r="J1086" s="11" t="n">
        <x:v>5</x:v>
      </x:c>
      <x:c r="K1086" s="11" t="n">
        <x:v>3</x:v>
      </x:c>
      <x:c r="L1086" s="11" t="n">
        <x:v>1</x:v>
      </x:c>
      <x:c r="M1086" s="9" t="n">
        <x:f>ROUND(H1086*(1-I1086),2)</x:f>
        <x:v>11430000</x:v>
      </x:c>
      <x:c r="N1086" s="4" t="str">
        <x:v>Sales head</x:v>
      </x:c>
      <x:c r="O1086" s="4"/>
      <x:c r="P1086" s="9" t="n">
        <x:v>0</x:v>
      </x:c>
      <x:c r="Q1086" s="11" t="n">
        <x:v>1</x:v>
      </x:c>
      <x:c r="R1086" s="8" t="n">
        <x:v>45432</x:v>
      </x:c>
      <x:c r="S1086" s="4" t="str">
        <x:v>Lost / cancelled</x:v>
      </x:c>
      <x:c r="T1086" s="10" t="n">
        <x:v>0.291946</x:v>
      </x:c>
      <x:c r="U1086" s="4" t="str">
        <x:v>Train</x:v>
      </x:c>
    </x:row>
    <x:row r="1087" ht="34" customHeight="1">
      <x:c r="A1087" s="4" t="str">
        <x:v>RS-01086</x:v>
      </x:c>
      <x:c r="B1087" s="8" t="n">
        <x:v>45373</x:v>
      </x:c>
      <x:c r="C1087" s="4" t="str">
        <x:v>PRJ-006</x:v>
      </x:c>
      <x:c r="D1087" s="4" t="str">
        <x:v>Villa</x:v>
      </x:c>
      <x:c r="E1087" s="4" t="str">
        <x:v>Reserved</x:v>
      </x:c>
      <x:c r="F1087" s="4" t="str">
        <x:v>CUS-01086</x:v>
      </x:c>
      <x:c r="G1087" s="4" t="str">
        <x:v>UNIT-01086</x:v>
      </x:c>
      <x:c r="H1087" s="9" t="n">
        <x:v>16000000</x:v>
      </x:c>
      <x:c r="I1087" s="10" t="n">
        <x:v>0.04</x:v>
      </x:c>
      <x:c r="J1087" s="11" t="n">
        <x:v>3</x:v>
      </x:c>
      <x:c r="K1087" s="11" t="n">
        <x:v>6</x:v>
      </x:c>
      <x:c r="L1087" s="11" t="n">
        <x:v>0</x:v>
      </x:c>
      <x:c r="M1087" s="9" t="n">
        <x:f>ROUND(H1087*(1-I1087),2)</x:f>
        <x:v>15360000</x:v>
      </x:c>
      <x:c r="N1087" s="4" t="str">
        <x:v>Sales manager</x:v>
      </x:c>
      <x:c r="O1087" s="4"/>
      <x:c r="P1087" s="9" t="n">
        <x:v>0</x:v>
      </x:c>
      <x:c r="Q1087" s="11" t="n">
        <x:v>0</x:v>
      </x:c>
      <x:c r="R1087" s="8" t="n">
        <x:v>45433</x:v>
      </x:c>
      <x:c r="S1087" s="4" t="str">
        <x:v>Retained</x:v>
      </x:c>
      <x:c r="T1087" s="10" t="n">
        <x:v>0.204152</x:v>
      </x:c>
      <x:c r="U1087" s="4" t="str">
        <x:v>Train</x:v>
      </x:c>
    </x:row>
    <x:row r="1088" ht="34" customHeight="1">
      <x:c r="A1088" s="4" t="str">
        <x:v>RS-01087</x:v>
      </x:c>
      <x:c r="B1088" s="8" t="n">
        <x:v>45374</x:v>
      </x:c>
      <x:c r="C1088" s="4" t="str">
        <x:v>PRJ-007</x:v>
      </x:c>
      <x:c r="D1088" s="4" t="str">
        <x:v>Apartment</x:v>
      </x:c>
      <x:c r="E1088" s="4" t="str">
        <x:v>Agreement signed</x:v>
      </x:c>
      <x:c r="F1088" s="4" t="str">
        <x:v>CUS-01087</x:v>
      </x:c>
      <x:c r="G1088" s="4" t="str">
        <x:v>UNIT-01087</x:v>
      </x:c>
      <x:c r="H1088" s="9" t="n">
        <x:v>4400000</x:v>
      </x:c>
      <x:c r="I1088" s="10" t="n">
        <x:v>0</x:v>
      </x:c>
      <x:c r="J1088" s="11" t="n">
        <x:v>4</x:v>
      </x:c>
      <x:c r="K1088" s="11" t="n">
        <x:v>5</x:v>
      </x:c>
      <x:c r="L1088" s="11" t="n">
        <x:v>1</x:v>
      </x:c>
      <x:c r="M1088" s="9" t="n">
        <x:f>ROUND(H1088*(1-I1088),2)</x:f>
        <x:v>4400000</x:v>
      </x:c>
      <x:c r="N1088" s="4" t="str">
        <x:v>Sales manager</x:v>
      </x:c>
      <x:c r="O1088" s="4" t="str">
        <x:v>BOOK-01087</x:v>
      </x:c>
      <x:c r="P1088" s="9" t="n">
        <x:v>1100000</x:v>
      </x:c>
      <x:c r="Q1088" s="11" t="n">
        <x:v>0</x:v>
      </x:c>
      <x:c r="R1088" s="8" t="n">
        <x:v>45434</x:v>
      </x:c>
      <x:c r="S1088" s="4" t="str">
        <x:v>Retained</x:v>
      </x:c>
      <x:c r="T1088" s="10" t="n">
        <x:v>0.145299</x:v>
      </x:c>
      <x:c r="U1088" s="4" t="str">
        <x:v>Train</x:v>
      </x:c>
    </x:row>
    <x:row r="1089" ht="34" customHeight="1">
      <x:c r="A1089" s="4" t="str">
        <x:v>RS-01088</x:v>
      </x:c>
      <x:c r="B1089" s="8" t="n">
        <x:v>45375</x:v>
      </x:c>
      <x:c r="C1089" s="4" t="str">
        <x:v>PRJ-008</x:v>
      </x:c>
      <x:c r="D1089" s="4" t="str">
        <x:v>Retail</x:v>
      </x:c>
      <x:c r="E1089" s="4" t="str">
        <x:v>Handed over</x:v>
      </x:c>
      <x:c r="F1089" s="4" t="str">
        <x:v>CUS-01088</x:v>
      </x:c>
      <x:c r="G1089" s="4" t="str">
        <x:v>UNIT-01088</x:v>
      </x:c>
      <x:c r="H1089" s="9" t="n">
        <x:v>12600000</x:v>
      </x:c>
      <x:c r="I1089" s="10" t="n">
        <x:v>0.07</x:v>
      </x:c>
      <x:c r="J1089" s="11" t="n">
        <x:v>12</x:v>
      </x:c>
      <x:c r="K1089" s="11" t="n">
        <x:v>10</x:v>
      </x:c>
      <x:c r="L1089" s="11" t="n">
        <x:v>1</x:v>
      </x:c>
      <x:c r="M1089" s="9" t="n">
        <x:f>ROUND(H1089*(1-I1089),2)</x:f>
        <x:v>11718000</x:v>
      </x:c>
      <x:c r="N1089" s="4" t="str">
        <x:v>Sales manager</x:v>
      </x:c>
      <x:c r="O1089" s="4" t="str">
        <x:v>BOOK-01088</x:v>
      </x:c>
      <x:c r="P1089" s="9" t="n">
        <x:v>1171800</x:v>
      </x:c>
      <x:c r="Q1089" s="11" t="n">
        <x:v>0</x:v>
      </x:c>
      <x:c r="R1089" s="8" t="n">
        <x:v>45435</x:v>
      </x:c>
      <x:c r="S1089" s="4" t="str">
        <x:v>Retained</x:v>
      </x:c>
      <x:c r="T1089" s="10" t="n">
        <x:v>0.351536</x:v>
      </x:c>
      <x:c r="U1089" s="4" t="str">
        <x:v>Train</x:v>
      </x:c>
    </x:row>
    <x:row r="1090" ht="34" customHeight="1">
      <x:c r="A1090" s="4" t="str">
        <x:v>RS-01089</x:v>
      </x:c>
      <x:c r="B1090" s="8" t="n">
        <x:v>45376</x:v>
      </x:c>
      <x:c r="C1090" s="4" t="str">
        <x:v>PRJ-009</x:v>
      </x:c>
      <x:c r="D1090" s="4" t="str">
        <x:v>Villa</x:v>
      </x:c>
      <x:c r="E1090" s="4" t="str">
        <x:v>Handed over</x:v>
      </x:c>
      <x:c r="F1090" s="4" t="str">
        <x:v>CUS-01089</x:v>
      </x:c>
      <x:c r="G1090" s="4" t="str">
        <x:v>UNIT-01089</x:v>
      </x:c>
      <x:c r="H1090" s="9" t="n">
        <x:v>22700000</x:v>
      </x:c>
      <x:c r="I1090" s="10" t="n">
        <x:v>0.03</x:v>
      </x:c>
      <x:c r="J1090" s="11" t="n">
        <x:v>4</x:v>
      </x:c>
      <x:c r="K1090" s="11" t="n">
        <x:v>1</x:v>
      </x:c>
      <x:c r="L1090" s="11" t="n">
        <x:v>1</x:v>
      </x:c>
      <x:c r="M1090" s="9" t="n">
        <x:f>ROUND(H1090*(1-I1090),2)</x:f>
        <x:v>22019000</x:v>
      </x:c>
      <x:c r="N1090" s="4" t="str">
        <x:v>Sales manager</x:v>
      </x:c>
      <x:c r="O1090" s="4" t="str">
        <x:v>BOOK-01089</x:v>
      </x:c>
      <x:c r="P1090" s="9" t="n">
        <x:v>2201900</x:v>
      </x:c>
      <x:c r="Q1090" s="11" t="n">
        <x:v>0</x:v>
      </x:c>
      <x:c r="R1090" s="8" t="n">
        <x:v>45436</x:v>
      </x:c>
      <x:c r="S1090" s="4" t="str">
        <x:v>Retained</x:v>
      </x:c>
      <x:c r="T1090" s="10" t="n">
        <x:v>0.298969</x:v>
      </x:c>
      <x:c r="U1090" s="4" t="str">
        <x:v>Train</x:v>
      </x:c>
    </x:row>
    <x:row r="1091" ht="34" customHeight="1">
      <x:c r="A1091" s="4" t="str">
        <x:v>RS-01090</x:v>
      </x:c>
      <x:c r="B1091" s="8" t="n">
        <x:v>45377</x:v>
      </x:c>
      <x:c r="C1091" s="4" t="str">
        <x:v>PRJ-010</x:v>
      </x:c>
      <x:c r="D1091" s="4" t="str">
        <x:v>Retail</x:v>
      </x:c>
      <x:c r="E1091" s="4" t="str">
        <x:v>Handed over</x:v>
      </x:c>
      <x:c r="F1091" s="4" t="str">
        <x:v>CUS-01090</x:v>
      </x:c>
      <x:c r="G1091" s="4" t="str">
        <x:v>UNIT-01090</x:v>
      </x:c>
      <x:c r="H1091" s="9" t="n">
        <x:v>4200000</x:v>
      </x:c>
      <x:c r="I1091" s="10" t="n">
        <x:v>0.05</x:v>
      </x:c>
      <x:c r="J1091" s="11" t="n">
        <x:v>9</x:v>
      </x:c>
      <x:c r="K1091" s="11" t="n">
        <x:v>3</x:v>
      </x:c>
      <x:c r="L1091" s="11" t="n">
        <x:v>0</x:v>
      </x:c>
      <x:c r="M1091" s="9" t="n">
        <x:f>ROUND(H1091*(1-I1091),2)</x:f>
        <x:v>3990000</x:v>
      </x:c>
      <x:c r="N1091" s="4" t="str">
        <x:v>Sales manager</x:v>
      </x:c>
      <x:c r="O1091" s="4" t="str">
        <x:v>BOOK-01090</x:v>
      </x:c>
      <x:c r="P1091" s="9" t="n">
        <x:v>399000</x:v>
      </x:c>
      <x:c r="Q1091" s="11" t="n">
        <x:v>0</x:v>
      </x:c>
      <x:c r="R1091" s="8" t="n">
        <x:v>45437</x:v>
      </x:c>
      <x:c r="S1091" s="4" t="str">
        <x:v>Retained</x:v>
      </x:c>
      <x:c r="T1091" s="10" t="n">
        <x:v>0.310195</x:v>
      </x:c>
      <x:c r="U1091" s="4" t="str">
        <x:v>Train</x:v>
      </x:c>
    </x:row>
    <x:row r="1092" ht="34" customHeight="1">
      <x:c r="A1092" s="4" t="str">
        <x:v>RS-01091</x:v>
      </x:c>
      <x:c r="B1092" s="8" t="n">
        <x:v>45378</x:v>
      </x:c>
      <x:c r="C1092" s="4" t="str">
        <x:v>PRJ-011</x:v>
      </x:c>
      <x:c r="D1092" s="4" t="str">
        <x:v>Villa</x:v>
      </x:c>
      <x:c r="E1092" s="4" t="str">
        <x:v>Enquiry</x:v>
      </x:c>
      <x:c r="F1092" s="4" t="str">
        <x:v>CUS-01091</x:v>
      </x:c>
      <x:c r="G1092" s="4" t="str">
        <x:v>UNIT-01091</x:v>
      </x:c>
      <x:c r="H1092" s="9" t="n">
        <x:v>10900000</x:v>
      </x:c>
      <x:c r="I1092" s="10" t="n">
        <x:v>0.01</x:v>
      </x:c>
      <x:c r="J1092" s="11" t="n">
        <x:v>10</x:v>
      </x:c>
      <x:c r="K1092" s="11" t="n">
        <x:v>6</x:v>
      </x:c>
      <x:c r="L1092" s="11" t="n">
        <x:v>1</x:v>
      </x:c>
      <x:c r="M1092" s="9" t="n">
        <x:f>ROUND(H1092*(1-I1092),2)</x:f>
        <x:v>10791000</x:v>
      </x:c>
      <x:c r="N1092" s="4" t="str">
        <x:v>Sales manager</x:v>
      </x:c>
      <x:c r="O1092" s="4"/>
      <x:c r="P1092" s="9" t="n">
        <x:v>0</x:v>
      </x:c>
      <x:c r="Q1092" s="11" t="n">
        <x:v>1</x:v>
      </x:c>
      <x:c r="R1092" s="8" t="n">
        <x:v>45438</x:v>
      </x:c>
      <x:c r="S1092" s="4" t="str">
        <x:v>Lost / cancelled</x:v>
      </x:c>
      <x:c r="T1092" s="10" t="n">
        <x:v>0.254545</x:v>
      </x:c>
      <x:c r="U1092" s="4" t="str">
        <x:v>Train</x:v>
      </x:c>
    </x:row>
    <x:row r="1093" ht="34" customHeight="1">
      <x:c r="A1093" s="4" t="str">
        <x:v>RS-01092</x:v>
      </x:c>
      <x:c r="B1093" s="8" t="n">
        <x:v>45379</x:v>
      </x:c>
      <x:c r="C1093" s="4" t="str">
        <x:v>PRJ-012</x:v>
      </x:c>
      <x:c r="D1093" s="4" t="str">
        <x:v>Apartment</x:v>
      </x:c>
      <x:c r="E1093" s="4" t="str">
        <x:v>Reserved</x:v>
      </x:c>
      <x:c r="F1093" s="4" t="str">
        <x:v>CUS-01092</x:v>
      </x:c>
      <x:c r="G1093" s="4" t="str">
        <x:v>UNIT-01092</x:v>
      </x:c>
      <x:c r="H1093" s="9" t="n">
        <x:v>12600000</x:v>
      </x:c>
      <x:c r="I1093" s="10" t="n">
        <x:v>0.05</x:v>
      </x:c>
      <x:c r="J1093" s="11" t="n">
        <x:v>12</x:v>
      </x:c>
      <x:c r="K1093" s="11" t="n">
        <x:v>4</x:v>
      </x:c>
      <x:c r="L1093" s="11" t="n">
        <x:v>1</x:v>
      </x:c>
      <x:c r="M1093" s="9" t="n">
        <x:f>ROUND(H1093*(1-I1093),2)</x:f>
        <x:v>11970000</x:v>
      </x:c>
      <x:c r="N1093" s="4" t="str">
        <x:v>Sales manager</x:v>
      </x:c>
      <x:c r="O1093" s="4"/>
      <x:c r="P1093" s="9" t="n">
        <x:v>0</x:v>
      </x:c>
      <x:c r="Q1093" s="11" t="n">
        <x:v>1</x:v>
      </x:c>
      <x:c r="R1093" s="8" t="n">
        <x:v>45439</x:v>
      </x:c>
      <x:c r="S1093" s="4" t="str">
        <x:v>Lost / cancelled</x:v>
      </x:c>
      <x:c r="T1093" s="10" t="n">
        <x:v>0.351536</x:v>
      </x:c>
      <x:c r="U1093" s="4" t="str">
        <x:v>Train</x:v>
      </x:c>
    </x:row>
    <x:row r="1094" ht="34" customHeight="1">
      <x:c r="A1094" s="4" t="str">
        <x:v>RS-01093</x:v>
      </x:c>
      <x:c r="B1094" s="8" t="n">
        <x:v>45352</x:v>
      </x:c>
      <x:c r="C1094" s="4" t="str">
        <x:v>PRJ-013</x:v>
      </x:c>
      <x:c r="D1094" s="4" t="str">
        <x:v>Retail</x:v>
      </x:c>
      <x:c r="E1094" s="4" t="str">
        <x:v>Cancelled</x:v>
      </x:c>
      <x:c r="F1094" s="4" t="str">
        <x:v>CUS-01093</x:v>
      </x:c>
      <x:c r="G1094" s="4" t="str">
        <x:v>UNIT-01093</x:v>
      </x:c>
      <x:c r="H1094" s="9" t="n">
        <x:v>22300000</x:v>
      </x:c>
      <x:c r="I1094" s="10" t="n">
        <x:v>0.12</x:v>
      </x:c>
      <x:c r="J1094" s="11" t="n">
        <x:v>8</x:v>
      </x:c>
      <x:c r="K1094" s="11" t="n">
        <x:v>1</x:v>
      </x:c>
      <x:c r="L1094" s="11" t="n">
        <x:v>0</x:v>
      </x:c>
      <x:c r="M1094" s="9" t="n">
        <x:f>ROUND(H1094*(1-I1094),2)</x:f>
        <x:v>19624000</x:v>
      </x:c>
      <x:c r="N1094" s="4" t="str">
        <x:v>Sales head</x:v>
      </x:c>
      <x:c r="O1094" s="4"/>
      <x:c r="P1094" s="9" t="n">
        <x:v>0</x:v>
      </x:c>
      <x:c r="Q1094" s="11" t="n">
        <x:v>1</x:v>
      </x:c>
      <x:c r="R1094" s="8" t="n">
        <x:v>45412</x:v>
      </x:c>
      <x:c r="S1094" s="4" t="str">
        <x:v>Lost / cancelled</x:v>
      </x:c>
      <x:c r="T1094" s="10" t="n">
        <x:v>0.310195</x:v>
      </x:c>
      <x:c r="U1094" s="4" t="str">
        <x:v>Train</x:v>
      </x:c>
    </x:row>
    <x:row r="1095" ht="34" customHeight="1">
      <x:c r="A1095" s="4" t="str">
        <x:v>RS-01094</x:v>
      </x:c>
      <x:c r="B1095" s="8" t="n">
        <x:v>45353</x:v>
      </x:c>
      <x:c r="C1095" s="4" t="str">
        <x:v>PRJ-014</x:v>
      </x:c>
      <x:c r="D1095" s="4" t="str">
        <x:v>Apartment</x:v>
      </x:c>
      <x:c r="E1095" s="4" t="str">
        <x:v>Handed over</x:v>
      </x:c>
      <x:c r="F1095" s="4" t="str">
        <x:v>CUS-01094</x:v>
      </x:c>
      <x:c r="G1095" s="4" t="str">
        <x:v>UNIT-01094</x:v>
      </x:c>
      <x:c r="H1095" s="9" t="n">
        <x:v>7000000</x:v>
      </x:c>
      <x:c r="I1095" s="10" t="n">
        <x:v>0.07</x:v>
      </x:c>
      <x:c r="J1095" s="11" t="n">
        <x:v>5</x:v>
      </x:c>
      <x:c r="K1095" s="11" t="n">
        <x:v>8</x:v>
      </x:c>
      <x:c r="L1095" s="11" t="n">
        <x:v>0</x:v>
      </x:c>
      <x:c r="M1095" s="9" t="n">
        <x:f>ROUND(H1095*(1-I1095),2)</x:f>
        <x:v>6510000</x:v>
      </x:c>
      <x:c r="N1095" s="4" t="str">
        <x:v>Sales manager</x:v>
      </x:c>
      <x:c r="O1095" s="4" t="str">
        <x:v>BOOK-01094</x:v>
      </x:c>
      <x:c r="P1095" s="9" t="n">
        <x:v>651000</x:v>
      </x:c>
      <x:c r="Q1095" s="11" t="n">
        <x:v>0</x:v>
      </x:c>
      <x:c r="R1095" s="8" t="n">
        <x:v>45413</x:v>
      </x:c>
      <x:c r="S1095" s="4" t="str">
        <x:v>Retained</x:v>
      </x:c>
      <x:c r="T1095" s="10" t="n">
        <x:v>0.226277</x:v>
      </x:c>
      <x:c r="U1095" s="4" t="str">
        <x:v>Train</x:v>
      </x:c>
    </x:row>
    <x:row r="1096" ht="34" customHeight="1">
      <x:c r="A1096" s="4" t="str">
        <x:v>RS-01095</x:v>
      </x:c>
      <x:c r="B1096" s="8" t="n">
        <x:v>45354</x:v>
      </x:c>
      <x:c r="C1096" s="4" t="str">
        <x:v>PRJ-015</x:v>
      </x:c>
      <x:c r="D1096" s="4" t="str">
        <x:v>Office</x:v>
      </x:c>
      <x:c r="E1096" s="4" t="str">
        <x:v>Enquiry</x:v>
      </x:c>
      <x:c r="F1096" s="4" t="str">
        <x:v>CUS-01095</x:v>
      </x:c>
      <x:c r="G1096" s="4" t="str">
        <x:v>UNIT-01095</x:v>
      </x:c>
      <x:c r="H1096" s="9" t="n">
        <x:v>17200000</x:v>
      </x:c>
      <x:c r="I1096" s="10" t="n">
        <x:v>0.01</x:v>
      </x:c>
      <x:c r="J1096" s="11" t="n">
        <x:v>8</x:v>
      </x:c>
      <x:c r="K1096" s="11" t="n">
        <x:v>2</x:v>
      </x:c>
      <x:c r="L1096" s="11" t="n">
        <x:v>1</x:v>
      </x:c>
      <x:c r="M1096" s="9" t="n">
        <x:f>ROUND(H1096*(1-I1096),2)</x:f>
        <x:v>17028000</x:v>
      </x:c>
      <x:c r="N1096" s="4" t="str">
        <x:v>Sales manager</x:v>
      </x:c>
      <x:c r="O1096" s="4"/>
      <x:c r="P1096" s="9" t="n">
        <x:v>0</x:v>
      </x:c>
      <x:c r="Q1096" s="11" t="n">
        <x:v>1</x:v>
      </x:c>
      <x:c r="R1096" s="8" t="n">
        <x:v>45414</x:v>
      </x:c>
      <x:c r="S1096" s="4" t="str">
        <x:v>Lost / cancelled</x:v>
      </x:c>
      <x:c r="T1096" s="10" t="n">
        <x:v>0.254545</x:v>
      </x:c>
      <x:c r="U1096" s="4" t="str">
        <x:v>Train</x:v>
      </x:c>
    </x:row>
    <x:row r="1097" ht="34" customHeight="1">
      <x:c r="A1097" s="4" t="str">
        <x:v>RS-01096</x:v>
      </x:c>
      <x:c r="B1097" s="8" t="n">
        <x:v>45355</x:v>
      </x:c>
      <x:c r="C1097" s="4" t="str">
        <x:v>PRJ-016</x:v>
      </x:c>
      <x:c r="D1097" s="4" t="str">
        <x:v>Office</x:v>
      </x:c>
      <x:c r="E1097" s="4" t="str">
        <x:v>Booked</x:v>
      </x:c>
      <x:c r="F1097" s="4" t="str">
        <x:v>CUS-01096</x:v>
      </x:c>
      <x:c r="G1097" s="4" t="str">
        <x:v>UNIT-01096</x:v>
      </x:c>
      <x:c r="H1097" s="9" t="n">
        <x:v>16800000</x:v>
      </x:c>
      <x:c r="I1097" s="10" t="n">
        <x:v>0.08</x:v>
      </x:c>
      <x:c r="J1097" s="11" t="n">
        <x:v>9</x:v>
      </x:c>
      <x:c r="K1097" s="11" t="n">
        <x:v>0</x:v>
      </x:c>
      <x:c r="L1097" s="11" t="n">
        <x:v>0</x:v>
      </x:c>
      <x:c r="M1097" s="9" t="n">
        <x:f>ROUND(H1097*(1-I1097),2)</x:f>
        <x:v>15456000</x:v>
      </x:c>
      <x:c r="N1097" s="4" t="str">
        <x:v>Sales head</x:v>
      </x:c>
      <x:c r="O1097" s="4" t="str">
        <x:v>BOOK-01096</x:v>
      </x:c>
      <x:c r="P1097" s="9" t="n">
        <x:v>3864000</x:v>
      </x:c>
      <x:c r="Q1097" s="11" t="n">
        <x:v>0</x:v>
      </x:c>
      <x:c r="R1097" s="8" t="n">
        <x:v>45415</x:v>
      </x:c>
      <x:c r="S1097" s="4" t="str">
        <x:v>Retained</x:v>
      </x:c>
      <x:c r="T1097" s="10" t="n">
        <x:v>0.310195</x:v>
      </x:c>
      <x:c r="U1097" s="4" t="str">
        <x:v>Train</x:v>
      </x:c>
    </x:row>
    <x:row r="1098" ht="34" customHeight="1">
      <x:c r="A1098" s="4" t="str">
        <x:v>RS-01097</x:v>
      </x:c>
      <x:c r="B1098" s="8" t="n">
        <x:v>45356</x:v>
      </x:c>
      <x:c r="C1098" s="4" t="str">
        <x:v>PRJ-017</x:v>
      </x:c>
      <x:c r="D1098" s="4" t="str">
        <x:v>Villa</x:v>
      </x:c>
      <x:c r="E1098" s="4" t="str">
        <x:v>Enquiry</x:v>
      </x:c>
      <x:c r="F1098" s="4" t="str">
        <x:v>CUS-01097</x:v>
      </x:c>
      <x:c r="G1098" s="4" t="str">
        <x:v>UNIT-01097</x:v>
      </x:c>
      <x:c r="H1098" s="9" t="n">
        <x:v>23800000</x:v>
      </x:c>
      <x:c r="I1098" s="10" t="n">
        <x:v>0.03</x:v>
      </x:c>
      <x:c r="J1098" s="11" t="n">
        <x:v>2</x:v>
      </x:c>
      <x:c r="K1098" s="11" t="n">
        <x:v>5</x:v>
      </x:c>
      <x:c r="L1098" s="11" t="n">
        <x:v>1</x:v>
      </x:c>
      <x:c r="M1098" s="9" t="n">
        <x:f>ROUND(H1098*(1-I1098),2)</x:f>
        <x:v>23086000</x:v>
      </x:c>
      <x:c r="N1098" s="4" t="str">
        <x:v>Sales manager</x:v>
      </x:c>
      <x:c r="O1098" s="4"/>
      <x:c r="P1098" s="9" t="n">
        <x:v>0</x:v>
      </x:c>
      <x:c r="Q1098" s="11" t="n">
        <x:v>0</x:v>
      </x:c>
      <x:c r="R1098" s="8" t="n">
        <x:v>45416</x:v>
      </x:c>
      <x:c r="S1098" s="4" t="str">
        <x:v>Retained</x:v>
      </x:c>
      <x:c r="T1098" s="10" t="n">
        <x:v>0.171717</x:v>
      </x:c>
      <x:c r="U1098" s="4" t="str">
        <x:v>Train</x:v>
      </x:c>
    </x:row>
    <x:row r="1099" ht="34" customHeight="1">
      <x:c r="A1099" s="4" t="str">
        <x:v>RS-01098</x:v>
      </x:c>
      <x:c r="B1099" s="8" t="n">
        <x:v>45357</x:v>
      </x:c>
      <x:c r="C1099" s="4" t="str">
        <x:v>PRJ-018</x:v>
      </x:c>
      <x:c r="D1099" s="4" t="str">
        <x:v>Apartment</x:v>
      </x:c>
      <x:c r="E1099" s="4" t="str">
        <x:v>Handed over</x:v>
      </x:c>
      <x:c r="F1099" s="4" t="str">
        <x:v>CUS-01098</x:v>
      </x:c>
      <x:c r="G1099" s="4" t="str">
        <x:v>UNIT-01098</x:v>
      </x:c>
      <x:c r="H1099" s="9" t="n">
        <x:v>20000000</x:v>
      </x:c>
      <x:c r="I1099" s="10" t="n">
        <x:v>0.06</x:v>
      </x:c>
      <x:c r="J1099" s="11" t="n">
        <x:v>3</x:v>
      </x:c>
      <x:c r="K1099" s="11" t="n">
        <x:v>8</x:v>
      </x:c>
      <x:c r="L1099" s="11" t="n">
        <x:v>0</x:v>
      </x:c>
      <x:c r="M1099" s="9" t="n">
        <x:f>ROUND(H1099*(1-I1099),2)</x:f>
        <x:v>18800000</x:v>
      </x:c>
      <x:c r="N1099" s="4" t="str">
        <x:v>Sales manager</x:v>
      </x:c>
      <x:c r="O1099" s="4" t="str">
        <x:v>BOOK-01098</x:v>
      </x:c>
      <x:c r="P1099" s="9" t="n">
        <x:v>9400000</x:v>
      </x:c>
      <x:c r="Q1099" s="11" t="n">
        <x:v>0</x:v>
      </x:c>
      <x:c r="R1099" s="8" t="n">
        <x:v>45417</x:v>
      </x:c>
      <x:c r="S1099" s="4" t="str">
        <x:v>Retained</x:v>
      </x:c>
      <x:c r="T1099" s="10" t="n">
        <x:v>0.204152</x:v>
      </x:c>
      <x:c r="U1099" s="4" t="str">
        <x:v>Train</x:v>
      </x:c>
    </x:row>
    <x:row r="1100" ht="34" customHeight="1">
      <x:c r="A1100" s="4" t="str">
        <x:v>RS-01099</x:v>
      </x:c>
      <x:c r="B1100" s="8" t="n">
        <x:v>45358</x:v>
      </x:c>
      <x:c r="C1100" s="4" t="str">
        <x:v>PRJ-019</x:v>
      </x:c>
      <x:c r="D1100" s="4" t="str">
        <x:v>Villa</x:v>
      </x:c>
      <x:c r="E1100" s="4" t="str">
        <x:v>Handed over</x:v>
      </x:c>
      <x:c r="F1100" s="4" t="str">
        <x:v>CUS-01099</x:v>
      </x:c>
      <x:c r="G1100" s="4" t="str">
        <x:v>UNIT-01099</x:v>
      </x:c>
      <x:c r="H1100" s="9" t="n">
        <x:v>23900000</x:v>
      </x:c>
      <x:c r="I1100" s="10" t="n">
        <x:v>0.08</x:v>
      </x:c>
      <x:c r="J1100" s="11" t="n">
        <x:v>10</x:v>
      </x:c>
      <x:c r="K1100" s="11" t="n">
        <x:v>6</x:v>
      </x:c>
      <x:c r="L1100" s="11" t="n">
        <x:v>0</x:v>
      </x:c>
      <x:c r="M1100" s="9" t="n">
        <x:f>ROUND(H1100*(1-I1100),2)</x:f>
        <x:v>21988000</x:v>
      </x:c>
      <x:c r="N1100" s="4" t="str">
        <x:v>Sales head</x:v>
      </x:c>
      <x:c r="O1100" s="4" t="str">
        <x:v>BOOK-01099</x:v>
      </x:c>
      <x:c r="P1100" s="9" t="n">
        <x:v>21988000</x:v>
      </x:c>
      <x:c r="Q1100" s="11" t="n">
        <x:v>0</x:v>
      </x:c>
      <x:c r="R1100" s="8" t="n">
        <x:v>45418</x:v>
      </x:c>
      <x:c r="S1100" s="4" t="str">
        <x:v>Retained</x:v>
      </x:c>
      <x:c r="T1100" s="10" t="n">
        <x:v>0.310195</x:v>
      </x:c>
      <x:c r="U1100" s="4" t="str">
        <x:v>Train</x:v>
      </x:c>
    </x:row>
    <x:row r="1101" ht="34" customHeight="1">
      <x:c r="A1101" s="4" t="str">
        <x:v>RS-01100</x:v>
      </x:c>
      <x:c r="B1101" s="8" t="n">
        <x:v>45359</x:v>
      </x:c>
      <x:c r="C1101" s="4" t="str">
        <x:v>PRJ-020</x:v>
      </x:c>
      <x:c r="D1101" s="4" t="str">
        <x:v>Retail</x:v>
      </x:c>
      <x:c r="E1101" s="4" t="str">
        <x:v>Enquiry</x:v>
      </x:c>
      <x:c r="F1101" s="4" t="str">
        <x:v>CUS-01100</x:v>
      </x:c>
      <x:c r="G1101" s="4" t="str">
        <x:v>UNIT-01100</x:v>
      </x:c>
      <x:c r="H1101" s="9" t="n">
        <x:v>4300000</x:v>
      </x:c>
      <x:c r="I1101" s="10" t="n">
        <x:v>0.02</x:v>
      </x:c>
      <x:c r="J1101" s="11" t="n">
        <x:v>7</x:v>
      </x:c>
      <x:c r="K1101" s="11" t="n">
        <x:v>8</x:v>
      </x:c>
      <x:c r="L1101" s="11" t="n">
        <x:v>1</x:v>
      </x:c>
      <x:c r="M1101" s="9" t="n">
        <x:f>ROUND(H1101*(1-I1101),2)</x:f>
        <x:v>4214000</x:v>
      </x:c>
      <x:c r="N1101" s="4" t="str">
        <x:v>Sales manager</x:v>
      </x:c>
      <x:c r="O1101" s="4"/>
      <x:c r="P1101" s="9" t="n">
        <x:v>0</x:v>
      </x:c>
      <x:c r="Q1101" s="11" t="n">
        <x:v>0</x:v>
      </x:c>
      <x:c r="R1101" s="8" t="n">
        <x:v>45419</x:v>
      </x:c>
      <x:c r="S1101" s="4" t="str">
        <x:v>Retained</x:v>
      </x:c>
      <x:c r="T1101" s="10" t="n">
        <x:v>0.145299</x:v>
      </x:c>
      <x:c r="U1101" s="4" t="str">
        <x:v>Train</x:v>
      </x:c>
    </x:row>
    <x:row r="1102" ht="34" customHeight="1">
      <x:c r="A1102" s="4" t="str">
        <x:v>RS-01101</x:v>
      </x:c>
      <x:c r="B1102" s="8" t="n">
        <x:v>45360</x:v>
      </x:c>
      <x:c r="C1102" s="4" t="str">
        <x:v>PRJ-001</x:v>
      </x:c>
      <x:c r="D1102" s="4" t="str">
        <x:v>Retail</x:v>
      </x:c>
      <x:c r="E1102" s="4" t="str">
        <x:v>Agreement signed</x:v>
      </x:c>
      <x:c r="F1102" s="4" t="str">
        <x:v>CUS-01101</x:v>
      </x:c>
      <x:c r="G1102" s="4" t="str">
        <x:v>UNIT-01101</x:v>
      </x:c>
      <x:c r="H1102" s="9" t="n">
        <x:v>24300000</x:v>
      </x:c>
      <x:c r="I1102" s="10" t="n">
        <x:v>0.01</x:v>
      </x:c>
      <x:c r="J1102" s="11" t="n">
        <x:v>4</x:v>
      </x:c>
      <x:c r="K1102" s="11" t="n">
        <x:v>7</x:v>
      </x:c>
      <x:c r="L1102" s="11" t="n">
        <x:v>0</x:v>
      </x:c>
      <x:c r="M1102" s="9" t="n">
        <x:f>ROUND(H1102*(1-I1102),2)</x:f>
        <x:v>24057000</x:v>
      </x:c>
      <x:c r="N1102" s="4" t="str">
        <x:v>Sales manager</x:v>
      </x:c>
      <x:c r="O1102" s="4" t="str">
        <x:v>BOOK-01101</x:v>
      </x:c>
      <x:c r="P1102" s="9" t="n">
        <x:v>6014250</x:v>
      </x:c>
      <x:c r="Q1102" s="11" t="n">
        <x:v>0</x:v>
      </x:c>
      <x:c r="R1102" s="8" t="n">
        <x:v>45420</x:v>
      </x:c>
      <x:c r="S1102" s="4" t="str">
        <x:v>Retained</x:v>
      </x:c>
      <x:c r="T1102" s="10" t="n">
        <x:v>0.145299</x:v>
      </x:c>
      <x:c r="U1102" s="4" t="str">
        <x:v>Train</x:v>
      </x:c>
    </x:row>
    <x:row r="1103" ht="34" customHeight="1">
      <x:c r="A1103" s="4" t="str">
        <x:v>RS-01102</x:v>
      </x:c>
      <x:c r="B1103" s="8" t="n">
        <x:v>45361</x:v>
      </x:c>
      <x:c r="C1103" s="4" t="str">
        <x:v>PRJ-002</x:v>
      </x:c>
      <x:c r="D1103" s="4" t="str">
        <x:v>Apartment</x:v>
      </x:c>
      <x:c r="E1103" s="4" t="str">
        <x:v>Enquiry</x:v>
      </x:c>
      <x:c r="F1103" s="4" t="str">
        <x:v>CUS-01102</x:v>
      </x:c>
      <x:c r="G1103" s="4" t="str">
        <x:v>UNIT-01102</x:v>
      </x:c>
      <x:c r="H1103" s="9" t="n">
        <x:v>6900000</x:v>
      </x:c>
      <x:c r="I1103" s="10" t="n">
        <x:v>0.09</x:v>
      </x:c>
      <x:c r="J1103" s="11" t="n">
        <x:v>12</x:v>
      </x:c>
      <x:c r="K1103" s="11" t="n">
        <x:v>0</x:v>
      </x:c>
      <x:c r="L1103" s="11" t="n">
        <x:v>0</x:v>
      </x:c>
      <x:c r="M1103" s="9" t="n">
        <x:f>ROUND(H1103*(1-I1103),2)</x:f>
        <x:v>6279000</x:v>
      </x:c>
      <x:c r="N1103" s="4" t="str">
        <x:v>Sales head</x:v>
      </x:c>
      <x:c r="O1103" s="4"/>
      <x:c r="P1103" s="9" t="n">
        <x:v>0</x:v>
      </x:c>
      <x:c r="Q1103" s="11" t="n">
        <x:v>1</x:v>
      </x:c>
      <x:c r="R1103" s="8" t="n">
        <x:v>45421</x:v>
      </x:c>
      <x:c r="S1103" s="4" t="str">
        <x:v>Lost / cancelled</x:v>
      </x:c>
      <x:c r="T1103" s="10" t="n">
        <x:v>0.351536</x:v>
      </x:c>
      <x:c r="U1103" s="4" t="str">
        <x:v>Train</x:v>
      </x:c>
    </x:row>
    <x:row r="1104" ht="34" customHeight="1">
      <x:c r="A1104" s="4" t="str">
        <x:v>RS-01103</x:v>
      </x:c>
      <x:c r="B1104" s="8" t="n">
        <x:v>45362</x:v>
      </x:c>
      <x:c r="C1104" s="4" t="str">
        <x:v>PRJ-003</x:v>
      </x:c>
      <x:c r="D1104" s="4" t="str">
        <x:v>Office</x:v>
      </x:c>
      <x:c r="E1104" s="4" t="str">
        <x:v>Enquiry</x:v>
      </x:c>
      <x:c r="F1104" s="4" t="str">
        <x:v>CUS-01103</x:v>
      </x:c>
      <x:c r="G1104" s="4" t="str">
        <x:v>UNIT-01103</x:v>
      </x:c>
      <x:c r="H1104" s="9" t="n">
        <x:v>20200000</x:v>
      </x:c>
      <x:c r="I1104" s="10" t="n">
        <x:v>0.11</x:v>
      </x:c>
      <x:c r="J1104" s="11" t="n">
        <x:v>5</x:v>
      </x:c>
      <x:c r="K1104" s="11" t="n">
        <x:v>1</x:v>
      </x:c>
      <x:c r="L1104" s="11" t="n">
        <x:v>1</x:v>
      </x:c>
      <x:c r="M1104" s="9" t="n">
        <x:f>ROUND(H1104*(1-I1104),2)</x:f>
        <x:v>17978000</x:v>
      </x:c>
      <x:c r="N1104" s="4" t="str">
        <x:v>Sales head</x:v>
      </x:c>
      <x:c r="O1104" s="4"/>
      <x:c r="P1104" s="9" t="n">
        <x:v>0</x:v>
      </x:c>
      <x:c r="Q1104" s="11" t="n">
        <x:v>0</x:v>
      </x:c>
      <x:c r="R1104" s="8" t="n">
        <x:v>45422</x:v>
      </x:c>
      <x:c r="S1104" s="4" t="str">
        <x:v>Retained</x:v>
      </x:c>
      <x:c r="T1104" s="10" t="n">
        <x:v>0.291946</x:v>
      </x:c>
      <x:c r="U1104" s="4" t="str">
        <x:v>Train</x:v>
      </x:c>
    </x:row>
    <x:row r="1105" ht="34" customHeight="1">
      <x:c r="A1105" s="4" t="str">
        <x:v>RS-01104</x:v>
      </x:c>
      <x:c r="B1105" s="8" t="n">
        <x:v>45363</x:v>
      </x:c>
      <x:c r="C1105" s="4" t="str">
        <x:v>PRJ-004</x:v>
      </x:c>
      <x:c r="D1105" s="4" t="str">
        <x:v>Villa</x:v>
      </x:c>
      <x:c r="E1105" s="4" t="str">
        <x:v>Cancelled</x:v>
      </x:c>
      <x:c r="F1105" s="4" t="str">
        <x:v>CUS-01104</x:v>
      </x:c>
      <x:c r="G1105" s="4" t="str">
        <x:v>UNIT-01104</x:v>
      </x:c>
      <x:c r="H1105" s="9" t="n">
        <x:v>18500000</x:v>
      </x:c>
      <x:c r="I1105" s="10" t="n">
        <x:v>0.06</x:v>
      </x:c>
      <x:c r="J1105" s="11" t="n">
        <x:v>5</x:v>
      </x:c>
      <x:c r="K1105" s="11" t="n">
        <x:v>7</x:v>
      </x:c>
      <x:c r="L1105" s="11" t="n">
        <x:v>0</x:v>
      </x:c>
      <x:c r="M1105" s="9" t="n">
        <x:f>ROUND(H1105*(1-I1105),2)</x:f>
        <x:v>17390000</x:v>
      </x:c>
      <x:c r="N1105" s="4" t="str">
        <x:v>Sales manager</x:v>
      </x:c>
      <x:c r="O1105" s="4"/>
      <x:c r="P1105" s="9" t="n">
        <x:v>0</x:v>
      </x:c>
      <x:c r="Q1105" s="11" t="n">
        <x:v>1</x:v>
      </x:c>
      <x:c r="R1105" s="8" t="n">
        <x:v>45423</x:v>
      </x:c>
      <x:c r="S1105" s="4" t="str">
        <x:v>Lost / cancelled</x:v>
      </x:c>
      <x:c r="T1105" s="10" t="n">
        <x:v>0.226277</x:v>
      </x:c>
      <x:c r="U1105" s="4" t="str">
        <x:v>Train</x:v>
      </x:c>
    </x:row>
    <x:row r="1106" ht="34" customHeight="1">
      <x:c r="A1106" s="4" t="str">
        <x:v>RS-01105</x:v>
      </x:c>
      <x:c r="B1106" s="8" t="n">
        <x:v>45364</x:v>
      </x:c>
      <x:c r="C1106" s="4" t="str">
        <x:v>PRJ-005</x:v>
      </x:c>
      <x:c r="D1106" s="4" t="str">
        <x:v>Villa</x:v>
      </x:c>
      <x:c r="E1106" s="4" t="str">
        <x:v>Booked</x:v>
      </x:c>
      <x:c r="F1106" s="4" t="str">
        <x:v>CUS-01105</x:v>
      </x:c>
      <x:c r="G1106" s="4" t="str">
        <x:v>UNIT-01105</x:v>
      </x:c>
      <x:c r="H1106" s="9" t="n">
        <x:v>6300000</x:v>
      </x:c>
      <x:c r="I1106" s="10" t="n">
        <x:v>0.05</x:v>
      </x:c>
      <x:c r="J1106" s="11" t="n">
        <x:v>5</x:v>
      </x:c>
      <x:c r="K1106" s="11" t="n">
        <x:v>9</x:v>
      </x:c>
      <x:c r="L1106" s="11" t="n">
        <x:v>0</x:v>
      </x:c>
      <x:c r="M1106" s="9" t="n">
        <x:f>ROUND(H1106*(1-I1106),2)</x:f>
        <x:v>5985000</x:v>
      </x:c>
      <x:c r="N1106" s="4" t="str">
        <x:v>Sales manager</x:v>
      </x:c>
      <x:c r="O1106" s="4" t="str">
        <x:v>BOOK-01105</x:v>
      </x:c>
      <x:c r="P1106" s="9" t="n">
        <x:v>2992500</x:v>
      </x:c>
      <x:c r="Q1106" s="11" t="n">
        <x:v>0</x:v>
      </x:c>
      <x:c r="R1106" s="8" t="n">
        <x:v>45424</x:v>
      </x:c>
      <x:c r="S1106" s="4" t="str">
        <x:v>Retained</x:v>
      </x:c>
      <x:c r="T1106" s="10" t="n">
        <x:v>0.226277</x:v>
      </x:c>
      <x:c r="U1106" s="4" t="str">
        <x:v>Train</x:v>
      </x:c>
    </x:row>
    <x:row r="1107" ht="34" customHeight="1">
      <x:c r="A1107" s="4" t="str">
        <x:v>RS-01106</x:v>
      </x:c>
      <x:c r="B1107" s="8" t="n">
        <x:v>45365</x:v>
      </x:c>
      <x:c r="C1107" s="4" t="str">
        <x:v>PRJ-006</x:v>
      </x:c>
      <x:c r="D1107" s="4" t="str">
        <x:v>Retail</x:v>
      </x:c>
      <x:c r="E1107" s="4" t="str">
        <x:v>Handed over</x:v>
      </x:c>
      <x:c r="F1107" s="4" t="str">
        <x:v>CUS-01106</x:v>
      </x:c>
      <x:c r="G1107" s="4" t="str">
        <x:v>UNIT-01106</x:v>
      </x:c>
      <x:c r="H1107" s="9" t="n">
        <x:v>12700000</x:v>
      </x:c>
      <x:c r="I1107" s="10" t="n">
        <x:v>0.04</x:v>
      </x:c>
      <x:c r="J1107" s="11" t="n">
        <x:v>4</x:v>
      </x:c>
      <x:c r="K1107" s="11" t="n">
        <x:v>0</x:v>
      </x:c>
      <x:c r="L1107" s="11" t="n">
        <x:v>0</x:v>
      </x:c>
      <x:c r="M1107" s="9" t="n">
        <x:f>ROUND(H1107*(1-I1107),2)</x:f>
        <x:v>12192000</x:v>
      </x:c>
      <x:c r="N1107" s="4" t="str">
        <x:v>Sales manager</x:v>
      </x:c>
      <x:c r="O1107" s="4" t="str">
        <x:v>BOOK-01106</x:v>
      </x:c>
      <x:c r="P1107" s="9" t="n">
        <x:v>3048000</x:v>
      </x:c>
      <x:c r="Q1107" s="11" t="n">
        <x:v>0</x:v>
      </x:c>
      <x:c r="R1107" s="8" t="n">
        <x:v>45425</x:v>
      </x:c>
      <x:c r="S1107" s="4" t="str">
        <x:v>Retained</x:v>
      </x:c>
      <x:c r="T1107" s="10" t="n">
        <x:v>0.226277</x:v>
      </x:c>
      <x:c r="U1107" s="4" t="str">
        <x:v>Train</x:v>
      </x:c>
    </x:row>
    <x:row r="1108" ht="34" customHeight="1">
      <x:c r="A1108" s="4" t="str">
        <x:v>RS-01107</x:v>
      </x:c>
      <x:c r="B1108" s="8" t="n">
        <x:v>45366</x:v>
      </x:c>
      <x:c r="C1108" s="4" t="str">
        <x:v>PRJ-007</x:v>
      </x:c>
      <x:c r="D1108" s="4" t="str">
        <x:v>Apartment</x:v>
      </x:c>
      <x:c r="E1108" s="4" t="str">
        <x:v>Booked</x:v>
      </x:c>
      <x:c r="F1108" s="4" t="str">
        <x:v>CUS-01107</x:v>
      </x:c>
      <x:c r="G1108" s="4" t="str">
        <x:v>UNIT-01107</x:v>
      </x:c>
      <x:c r="H1108" s="9" t="n">
        <x:v>23400000</x:v>
      </x:c>
      <x:c r="I1108" s="10" t="n">
        <x:v>0.01</x:v>
      </x:c>
      <x:c r="J1108" s="11" t="n">
        <x:v>10</x:v>
      </x:c>
      <x:c r="K1108" s="11" t="n">
        <x:v>5</x:v>
      </x:c>
      <x:c r="L1108" s="11" t="n">
        <x:v>0</x:v>
      </x:c>
      <x:c r="M1108" s="9" t="n">
        <x:f>ROUND(H1108*(1-I1108),2)</x:f>
        <x:v>23166000</x:v>
      </x:c>
      <x:c r="N1108" s="4" t="str">
        <x:v>Sales manager</x:v>
      </x:c>
      <x:c r="O1108" s="4" t="str">
        <x:v>BOOK-01107</x:v>
      </x:c>
      <x:c r="P1108" s="9" t="n">
        <x:v>5791500</x:v>
      </x:c>
      <x:c r="Q1108" s="11" t="n">
        <x:v>0</x:v>
      </x:c>
      <x:c r="R1108" s="8" t="n">
        <x:v>45426</x:v>
      </x:c>
      <x:c r="S1108" s="4" t="str">
        <x:v>Retained</x:v>
      </x:c>
      <x:c r="T1108" s="10" t="n">
        <x:v>0.305556</x:v>
      </x:c>
      <x:c r="U1108" s="4" t="str">
        <x:v>Train</x:v>
      </x:c>
    </x:row>
    <x:row r="1109" ht="34" customHeight="1">
      <x:c r="A1109" s="4" t="str">
        <x:v>RS-01108</x:v>
      </x:c>
      <x:c r="B1109" s="8" t="n">
        <x:v>45367</x:v>
      </x:c>
      <x:c r="C1109" s="4" t="str">
        <x:v>PRJ-008</x:v>
      </x:c>
      <x:c r="D1109" s="4" t="str">
        <x:v>Office</x:v>
      </x:c>
      <x:c r="E1109" s="4" t="str">
        <x:v>Handed over</x:v>
      </x:c>
      <x:c r="F1109" s="4" t="str">
        <x:v>CUS-01108</x:v>
      </x:c>
      <x:c r="G1109" s="4" t="str">
        <x:v>UNIT-01108</x:v>
      </x:c>
      <x:c r="H1109" s="9" t="n">
        <x:v>25000000</x:v>
      </x:c>
      <x:c r="I1109" s="10" t="n">
        <x:v>0.12</x:v>
      </x:c>
      <x:c r="J1109" s="11" t="n">
        <x:v>2</x:v>
      </x:c>
      <x:c r="K1109" s="11" t="n">
        <x:v>7</x:v>
      </x:c>
      <x:c r="L1109" s="11" t="n">
        <x:v>1</x:v>
      </x:c>
      <x:c r="M1109" s="9" t="n">
        <x:f>ROUND(H1109*(1-I1109),2)</x:f>
        <x:v>22000000</x:v>
      </x:c>
      <x:c r="N1109" s="4" t="str">
        <x:v>Sales head</x:v>
      </x:c>
      <x:c r="O1109" s="4" t="str">
        <x:v>BOOK-01108</x:v>
      </x:c>
      <x:c r="P1109" s="9" t="n">
        <x:v>22000000</x:v>
      </x:c>
      <x:c r="Q1109" s="11" t="n">
        <x:v>0</x:v>
      </x:c>
      <x:c r="R1109" s="8" t="n">
        <x:v>45427</x:v>
      </x:c>
      <x:c r="S1109" s="4" t="str">
        <x:v>Retained</x:v>
      </x:c>
      <x:c r="T1109" s="10" t="n">
        <x:v>0.145833</x:v>
      </x:c>
      <x:c r="U1109" s="4" t="str">
        <x:v>Train</x:v>
      </x:c>
    </x:row>
    <x:row r="1110" ht="34" customHeight="1">
      <x:c r="A1110" s="4" t="str">
        <x:v>RS-01109</x:v>
      </x:c>
      <x:c r="B1110" s="8" t="n">
        <x:v>45368</x:v>
      </x:c>
      <x:c r="C1110" s="4" t="str">
        <x:v>PRJ-009</x:v>
      </x:c>
      <x:c r="D1110" s="4" t="str">
        <x:v>Office</x:v>
      </x:c>
      <x:c r="E1110" s="4" t="str">
        <x:v>Handed over</x:v>
      </x:c>
      <x:c r="F1110" s="4" t="str">
        <x:v>CUS-01109</x:v>
      </x:c>
      <x:c r="G1110" s="4" t="str">
        <x:v>UNIT-01109</x:v>
      </x:c>
      <x:c r="H1110" s="9" t="n">
        <x:v>16900000</x:v>
      </x:c>
      <x:c r="I1110" s="10" t="n">
        <x:v>0.08</x:v>
      </x:c>
      <x:c r="J1110" s="11" t="n">
        <x:v>9</x:v>
      </x:c>
      <x:c r="K1110" s="11" t="n">
        <x:v>8</x:v>
      </x:c>
      <x:c r="L1110" s="11" t="n">
        <x:v>0</x:v>
      </x:c>
      <x:c r="M1110" s="9" t="n">
        <x:f>ROUND(H1110*(1-I1110),2)</x:f>
        <x:v>15548000</x:v>
      </x:c>
      <x:c r="N1110" s="4" t="str">
        <x:v>Sales head</x:v>
      </x:c>
      <x:c r="O1110" s="4" t="str">
        <x:v>BOOK-01109</x:v>
      </x:c>
      <x:c r="P1110" s="9" t="n">
        <x:v>15548000</x:v>
      </x:c>
      <x:c r="Q1110" s="11" t="n">
        <x:v>0</x:v>
      </x:c>
      <x:c r="R1110" s="8" t="n">
        <x:v>45428</x:v>
      </x:c>
      <x:c r="S1110" s="4" t="str">
        <x:v>Retained</x:v>
      </x:c>
      <x:c r="T1110" s="10" t="n">
        <x:v>0.310195</x:v>
      </x:c>
      <x:c r="U1110" s="4" t="str">
        <x:v>Train</x:v>
      </x:c>
    </x:row>
    <x:row r="1111" ht="34" customHeight="1">
      <x:c r="A1111" s="4" t="str">
        <x:v>RS-01110</x:v>
      </x:c>
      <x:c r="B1111" s="8" t="n">
        <x:v>45369</x:v>
      </x:c>
      <x:c r="C1111" s="4" t="str">
        <x:v>PRJ-010</x:v>
      </x:c>
      <x:c r="D1111" s="4" t="str">
        <x:v>Villa</x:v>
      </x:c>
      <x:c r="E1111" s="4" t="str">
        <x:v>Reserved</x:v>
      </x:c>
      <x:c r="F1111" s="4" t="str">
        <x:v>CUS-01110</x:v>
      </x:c>
      <x:c r="G1111" s="4" t="str">
        <x:v>UNIT-01110</x:v>
      </x:c>
      <x:c r="H1111" s="9" t="n">
        <x:v>14900000</x:v>
      </x:c>
      <x:c r="I1111" s="10" t="n">
        <x:v>0.04</x:v>
      </x:c>
      <x:c r="J1111" s="11" t="n">
        <x:v>0</x:v>
      </x:c>
      <x:c r="K1111" s="11" t="n">
        <x:v>7</x:v>
      </x:c>
      <x:c r="L1111" s="11" t="n">
        <x:v>1</x:v>
      </x:c>
      <x:c r="M1111" s="9" t="n">
        <x:f>ROUND(H1111*(1-I1111),2)</x:f>
        <x:v>14304000</x:v>
      </x:c>
      <x:c r="N1111" s="4" t="str">
        <x:v>Sales manager</x:v>
      </x:c>
      <x:c r="O1111" s="4"/>
      <x:c r="P1111" s="9" t="n">
        <x:v>0</x:v>
      </x:c>
      <x:c r="Q1111" s="11" t="n">
        <x:v>0</x:v>
      </x:c>
      <x:c r="R1111" s="8" t="n">
        <x:v>45429</x:v>
      </x:c>
      <x:c r="S1111" s="4" t="str">
        <x:v>Retained</x:v>
      </x:c>
      <x:c r="T1111" s="10" t="n">
        <x:v>0.204152</x:v>
      </x:c>
      <x:c r="U1111" s="4" t="str">
        <x:v>Train</x:v>
      </x:c>
    </x:row>
    <x:row r="1112" ht="34" customHeight="1">
      <x:c r="A1112" s="4" t="str">
        <x:v>RS-01111</x:v>
      </x:c>
      <x:c r="B1112" s="8" t="n">
        <x:v>45370</x:v>
      </x:c>
      <x:c r="C1112" s="4" t="str">
        <x:v>PRJ-011</x:v>
      </x:c>
      <x:c r="D1112" s="4" t="str">
        <x:v>Villa</x:v>
      </x:c>
      <x:c r="E1112" s="4" t="str">
        <x:v>Enquiry</x:v>
      </x:c>
      <x:c r="F1112" s="4" t="str">
        <x:v>CUS-01111</x:v>
      </x:c>
      <x:c r="G1112" s="4" t="str">
        <x:v>UNIT-01111</x:v>
      </x:c>
      <x:c r="H1112" s="9" t="n">
        <x:v>12900000</x:v>
      </x:c>
      <x:c r="I1112" s="10" t="n">
        <x:v>0.02</x:v>
      </x:c>
      <x:c r="J1112" s="11" t="n">
        <x:v>1</x:v>
      </x:c>
      <x:c r="K1112" s="11" t="n">
        <x:v>3</x:v>
      </x:c>
      <x:c r="L1112" s="11" t="n">
        <x:v>0</x:v>
      </x:c>
      <x:c r="M1112" s="9" t="n">
        <x:f>ROUND(H1112*(1-I1112),2)</x:f>
        <x:v>12642000</x:v>
      </x:c>
      <x:c r="N1112" s="4" t="str">
        <x:v>Sales manager</x:v>
      </x:c>
      <x:c r="O1112" s="4"/>
      <x:c r="P1112" s="9" t="n">
        <x:v>0</x:v>
      </x:c>
      <x:c r="Q1112" s="11" t="n">
        <x:v>0</x:v>
      </x:c>
      <x:c r="R1112" s="8" t="n">
        <x:v>45430</x:v>
      </x:c>
      <x:c r="S1112" s="4" t="str">
        <x:v>Retained</x:v>
      </x:c>
      <x:c r="T1112" s="10" t="n">
        <x:v>0.072165</x:v>
      </x:c>
      <x:c r="U1112" s="4" t="str">
        <x:v>Train</x:v>
      </x:c>
    </x:row>
    <x:row r="1113" ht="34" customHeight="1">
      <x:c r="A1113" s="4" t="str">
        <x:v>RS-01112</x:v>
      </x:c>
      <x:c r="B1113" s="8" t="n">
        <x:v>45371</x:v>
      </x:c>
      <x:c r="C1113" s="4" t="str">
        <x:v>PRJ-012</x:v>
      </x:c>
      <x:c r="D1113" s="4" t="str">
        <x:v>Apartment</x:v>
      </x:c>
      <x:c r="E1113" s="4" t="str">
        <x:v>Reserved</x:v>
      </x:c>
      <x:c r="F1113" s="4" t="str">
        <x:v>CUS-01112</x:v>
      </x:c>
      <x:c r="G1113" s="4" t="str">
        <x:v>UNIT-01112</x:v>
      </x:c>
      <x:c r="H1113" s="9" t="n">
        <x:v>20600000</x:v>
      </x:c>
      <x:c r="I1113" s="10" t="n">
        <x:v>0.09</x:v>
      </x:c>
      <x:c r="J1113" s="11" t="n">
        <x:v>6</x:v>
      </x:c>
      <x:c r="K1113" s="11" t="n">
        <x:v>10</x:v>
      </x:c>
      <x:c r="L1113" s="11" t="n">
        <x:v>0</x:v>
      </x:c>
      <x:c r="M1113" s="9" t="n">
        <x:f>ROUND(H1113*(1-I1113),2)</x:f>
        <x:v>18746000</x:v>
      </x:c>
      <x:c r="N1113" s="4" t="str">
        <x:v>Sales head</x:v>
      </x:c>
      <x:c r="O1113" s="4"/>
      <x:c r="P1113" s="9" t="n">
        <x:v>0</x:v>
      </x:c>
      <x:c r="Q1113" s="11" t="n">
        <x:v>0</x:v>
      </x:c>
      <x:c r="R1113" s="8" t="n">
        <x:v>45431</x:v>
      </x:c>
      <x:c r="S1113" s="4" t="str">
        <x:v>Retained</x:v>
      </x:c>
      <x:c r="T1113" s="10" t="n">
        <x:v>0.226277</x:v>
      </x:c>
      <x:c r="U1113" s="4" t="str">
        <x:v>Train</x:v>
      </x:c>
    </x:row>
    <x:row r="1114" ht="34" customHeight="1">
      <x:c r="A1114" s="4" t="str">
        <x:v>RS-01113</x:v>
      </x:c>
      <x:c r="B1114" s="8" t="n">
        <x:v>45372</x:v>
      </x:c>
      <x:c r="C1114" s="4" t="str">
        <x:v>PRJ-013</x:v>
      </x:c>
      <x:c r="D1114" s="4" t="str">
        <x:v>Villa</x:v>
      </x:c>
      <x:c r="E1114" s="4" t="str">
        <x:v>Booked</x:v>
      </x:c>
      <x:c r="F1114" s="4" t="str">
        <x:v>CUS-01113</x:v>
      </x:c>
      <x:c r="G1114" s="4" t="str">
        <x:v>UNIT-01113</x:v>
      </x:c>
      <x:c r="H1114" s="9" t="n">
        <x:v>4800000</x:v>
      </x:c>
      <x:c r="I1114" s="10" t="n">
        <x:v>0</x:v>
      </x:c>
      <x:c r="J1114" s="11" t="n">
        <x:v>6</x:v>
      </x:c>
      <x:c r="K1114" s="11" t="n">
        <x:v>2</x:v>
      </x:c>
      <x:c r="L1114" s="11" t="n">
        <x:v>0</x:v>
      </x:c>
      <x:c r="M1114" s="9" t="n">
        <x:f>ROUND(H1114*(1-I1114),2)</x:f>
        <x:v>4800000</x:v>
      </x:c>
      <x:c r="N1114" s="4" t="str">
        <x:v>Sales manager</x:v>
      </x:c>
      <x:c r="O1114" s="4" t="str">
        <x:v>BOOK-01113</x:v>
      </x:c>
      <x:c r="P1114" s="9" t="n">
        <x:v>2400000</x:v>
      </x:c>
      <x:c r="Q1114" s="11" t="n">
        <x:v>0</x:v>
      </x:c>
      <x:c r="R1114" s="8" t="n">
        <x:v>45432</x:v>
      </x:c>
      <x:c r="S1114" s="4" t="str">
        <x:v>Retained</x:v>
      </x:c>
      <x:c r="T1114" s="10" t="n">
        <x:v>0.298969</x:v>
      </x:c>
      <x:c r="U1114" s="4" t="str">
        <x:v>Train</x:v>
      </x:c>
    </x:row>
    <x:row r="1115" ht="34" customHeight="1">
      <x:c r="A1115" s="4" t="str">
        <x:v>RS-01114</x:v>
      </x:c>
      <x:c r="B1115" s="8" t="n">
        <x:v>45373</x:v>
      </x:c>
      <x:c r="C1115" s="4" t="str">
        <x:v>PRJ-014</x:v>
      </x:c>
      <x:c r="D1115" s="4" t="str">
        <x:v>Apartment</x:v>
      </x:c>
      <x:c r="E1115" s="4" t="str">
        <x:v>Cancelled</x:v>
      </x:c>
      <x:c r="F1115" s="4" t="str">
        <x:v>CUS-01114</x:v>
      </x:c>
      <x:c r="G1115" s="4" t="str">
        <x:v>UNIT-01114</x:v>
      </x:c>
      <x:c r="H1115" s="9" t="n">
        <x:v>3700000</x:v>
      </x:c>
      <x:c r="I1115" s="10" t="n">
        <x:v>0.08</x:v>
      </x:c>
      <x:c r="J1115" s="11" t="n">
        <x:v>5</x:v>
      </x:c>
      <x:c r="K1115" s="11" t="n">
        <x:v>10</x:v>
      </x:c>
      <x:c r="L1115" s="11" t="n">
        <x:v>0</x:v>
      </x:c>
      <x:c r="M1115" s="9" t="n">
        <x:f>ROUND(H1115*(1-I1115),2)</x:f>
        <x:v>3404000</x:v>
      </x:c>
      <x:c r="N1115" s="4" t="str">
        <x:v>Sales head</x:v>
      </x:c>
      <x:c r="O1115" s="4"/>
      <x:c r="P1115" s="9" t="n">
        <x:v>0</x:v>
      </x:c>
      <x:c r="Q1115" s="11" t="n">
        <x:v>1</x:v>
      </x:c>
      <x:c r="R1115" s="8" t="n">
        <x:v>45433</x:v>
      </x:c>
      <x:c r="S1115" s="4" t="str">
        <x:v>Lost / cancelled</x:v>
      </x:c>
      <x:c r="T1115" s="10" t="n">
        <x:v>0.226277</x:v>
      </x:c>
      <x:c r="U1115" s="4" t="str">
        <x:v>Train</x:v>
      </x:c>
    </x:row>
    <x:row r="1116" ht="34" customHeight="1">
      <x:c r="A1116" s="4" t="str">
        <x:v>RS-01115</x:v>
      </x:c>
      <x:c r="B1116" s="8" t="n">
        <x:v>45374</x:v>
      </x:c>
      <x:c r="C1116" s="4" t="str">
        <x:v>PRJ-015</x:v>
      </x:c>
      <x:c r="D1116" s="4" t="str">
        <x:v>Villa</x:v>
      </x:c>
      <x:c r="E1116" s="4" t="str">
        <x:v>Enquiry</x:v>
      </x:c>
      <x:c r="F1116" s="4" t="str">
        <x:v>CUS-01115</x:v>
      </x:c>
      <x:c r="G1116" s="4" t="str">
        <x:v>UNIT-01115</x:v>
      </x:c>
      <x:c r="H1116" s="9" t="n">
        <x:v>13200000</x:v>
      </x:c>
      <x:c r="I1116" s="10" t="n">
        <x:v>0.01</x:v>
      </x:c>
      <x:c r="J1116" s="11" t="n">
        <x:v>2</x:v>
      </x:c>
      <x:c r="K1116" s="11" t="n">
        <x:v>3</x:v>
      </x:c>
      <x:c r="L1116" s="11" t="n">
        <x:v>1</x:v>
      </x:c>
      <x:c r="M1116" s="9" t="n">
        <x:f>ROUND(H1116*(1-I1116),2)</x:f>
        <x:v>13068000</x:v>
      </x:c>
      <x:c r="N1116" s="4" t="str">
        <x:v>Sales manager</x:v>
      </x:c>
      <x:c r="O1116" s="4"/>
      <x:c r="P1116" s="9" t="n">
        <x:v>0</x:v>
      </x:c>
      <x:c r="Q1116" s="11" t="n">
        <x:v>0</x:v>
      </x:c>
      <x:c r="R1116" s="8" t="n">
        <x:v>45434</x:v>
      </x:c>
      <x:c r="S1116" s="4" t="str">
        <x:v>Retained</x:v>
      </x:c>
      <x:c r="T1116" s="10" t="n">
        <x:v>0.171717</x:v>
      </x:c>
      <x:c r="U1116" s="4" t="str">
        <x:v>Train</x:v>
      </x:c>
    </x:row>
    <x:row r="1117" ht="34" customHeight="1">
      <x:c r="A1117" s="4" t="str">
        <x:v>RS-01116</x:v>
      </x:c>
      <x:c r="B1117" s="8" t="n">
        <x:v>45375</x:v>
      </x:c>
      <x:c r="C1117" s="4" t="str">
        <x:v>PRJ-016</x:v>
      </x:c>
      <x:c r="D1117" s="4" t="str">
        <x:v>Apartment</x:v>
      </x:c>
      <x:c r="E1117" s="4" t="str">
        <x:v>Booked</x:v>
      </x:c>
      <x:c r="F1117" s="4" t="str">
        <x:v>CUS-01116</x:v>
      </x:c>
      <x:c r="G1117" s="4" t="str">
        <x:v>UNIT-01116</x:v>
      </x:c>
      <x:c r="H1117" s="9" t="n">
        <x:v>4600000</x:v>
      </x:c>
      <x:c r="I1117" s="10" t="n">
        <x:v>0.09</x:v>
      </x:c>
      <x:c r="J1117" s="11" t="n">
        <x:v>11</x:v>
      </x:c>
      <x:c r="K1117" s="11" t="n">
        <x:v>9</x:v>
      </x:c>
      <x:c r="L1117" s="11" t="n">
        <x:v>1</x:v>
      </x:c>
      <x:c r="M1117" s="9" t="n">
        <x:f>ROUND(H1117*(1-I1117),2)</x:f>
        <x:v>4186000</x:v>
      </x:c>
      <x:c r="N1117" s="4" t="str">
        <x:v>Sales head</x:v>
      </x:c>
      <x:c r="O1117" s="4" t="str">
        <x:v>BOOK-01116</x:v>
      </x:c>
      <x:c r="P1117" s="9" t="n">
        <x:v>2093000</x:v>
      </x:c>
      <x:c r="Q1117" s="11" t="n">
        <x:v>0</x:v>
      </x:c>
      <x:c r="R1117" s="8" t="n">
        <x:v>45435</x:v>
      </x:c>
      <x:c r="S1117" s="4" t="str">
        <x:v>Retained</x:v>
      </x:c>
      <x:c r="T1117" s="10" t="n">
        <x:v>0.351536</x:v>
      </x:c>
      <x:c r="U1117" s="4" t="str">
        <x:v>Train</x:v>
      </x:c>
    </x:row>
    <x:row r="1118" ht="34" customHeight="1">
      <x:c r="A1118" s="4" t="str">
        <x:v>RS-01117</x:v>
      </x:c>
      <x:c r="B1118" s="8" t="n">
        <x:v>45376</x:v>
      </x:c>
      <x:c r="C1118" s="4" t="str">
        <x:v>PRJ-017</x:v>
      </x:c>
      <x:c r="D1118" s="4" t="str">
        <x:v>Apartment</x:v>
      </x:c>
      <x:c r="E1118" s="4" t="str">
        <x:v>Handed over</x:v>
      </x:c>
      <x:c r="F1118" s="4" t="str">
        <x:v>CUS-01117</x:v>
      </x:c>
      <x:c r="G1118" s="4" t="str">
        <x:v>UNIT-01117</x:v>
      </x:c>
      <x:c r="H1118" s="9" t="n">
        <x:v>14100000</x:v>
      </x:c>
      <x:c r="I1118" s="10" t="n">
        <x:v>0.1</x:v>
      </x:c>
      <x:c r="J1118" s="11" t="n">
        <x:v>5</x:v>
      </x:c>
      <x:c r="K1118" s="11" t="n">
        <x:v>10</x:v>
      </x:c>
      <x:c r="L1118" s="11" t="n">
        <x:v>0</x:v>
      </x:c>
      <x:c r="M1118" s="9" t="n">
        <x:f>ROUND(H1118*(1-I1118),2)</x:f>
        <x:v>12690000</x:v>
      </x:c>
      <x:c r="N1118" s="4" t="str">
        <x:v>Sales head</x:v>
      </x:c>
      <x:c r="O1118" s="4" t="str">
        <x:v>BOOK-01117</x:v>
      </x:c>
      <x:c r="P1118" s="9" t="n">
        <x:v>3172500</x:v>
      </x:c>
      <x:c r="Q1118" s="11" t="n">
        <x:v>0</x:v>
      </x:c>
      <x:c r="R1118" s="8" t="n">
        <x:v>45436</x:v>
      </x:c>
      <x:c r="S1118" s="4" t="str">
        <x:v>Retained</x:v>
      </x:c>
      <x:c r="T1118" s="10" t="n">
        <x:v>0.226277</x:v>
      </x:c>
      <x:c r="U1118" s="4" t="str">
        <x:v>Train</x:v>
      </x:c>
    </x:row>
    <x:row r="1119" ht="34" customHeight="1">
      <x:c r="A1119" s="4" t="str">
        <x:v>RS-01118</x:v>
      </x:c>
      <x:c r="B1119" s="8" t="n">
        <x:v>45377</x:v>
      </x:c>
      <x:c r="C1119" s="4" t="str">
        <x:v>PRJ-018</x:v>
      </x:c>
      <x:c r="D1119" s="4" t="str">
        <x:v>Retail</x:v>
      </x:c>
      <x:c r="E1119" s="4" t="str">
        <x:v>Cancelled</x:v>
      </x:c>
      <x:c r="F1119" s="4" t="str">
        <x:v>CUS-01118</x:v>
      </x:c>
      <x:c r="G1119" s="4" t="str">
        <x:v>UNIT-01118</x:v>
      </x:c>
      <x:c r="H1119" s="9" t="n">
        <x:v>4100000</x:v>
      </x:c>
      <x:c r="I1119" s="10" t="n">
        <x:v>0.08</x:v>
      </x:c>
      <x:c r="J1119" s="11" t="n">
        <x:v>7</x:v>
      </x:c>
      <x:c r="K1119" s="11" t="n">
        <x:v>4</x:v>
      </x:c>
      <x:c r="L1119" s="11" t="n">
        <x:v>1</x:v>
      </x:c>
      <x:c r="M1119" s="9" t="n">
        <x:f>ROUND(H1119*(1-I1119),2)</x:f>
        <x:v>3772000</x:v>
      </x:c>
      <x:c r="N1119" s="4" t="str">
        <x:v>Sales head</x:v>
      </x:c>
      <x:c r="O1119" s="4"/>
      <x:c r="P1119" s="9" t="n">
        <x:v>0</x:v>
      </x:c>
      <x:c r="Q1119" s="11" t="n">
        <x:v>1</x:v>
      </x:c>
      <x:c r="R1119" s="8" t="n">
        <x:v>45437</x:v>
      </x:c>
      <x:c r="S1119" s="4" t="str">
        <x:v>Lost / cancelled</x:v>
      </x:c>
      <x:c r="T1119" s="10" t="n">
        <x:v>0.291946</x:v>
      </x:c>
      <x:c r="U1119" s="4" t="str">
        <x:v>Train</x:v>
      </x:c>
    </x:row>
    <x:row r="1120" ht="34" customHeight="1">
      <x:c r="A1120" s="4" t="str">
        <x:v>RS-01119</x:v>
      </x:c>
      <x:c r="B1120" s="8" t="n">
        <x:v>45378</x:v>
      </x:c>
      <x:c r="C1120" s="4" t="str">
        <x:v>PRJ-019</x:v>
      </x:c>
      <x:c r="D1120" s="4" t="str">
        <x:v>Apartment</x:v>
      </x:c>
      <x:c r="E1120" s="4" t="str">
        <x:v>Agreement signed</x:v>
      </x:c>
      <x:c r="F1120" s="4" t="str">
        <x:v>CUS-01119</x:v>
      </x:c>
      <x:c r="G1120" s="4" t="str">
        <x:v>UNIT-01119</x:v>
      </x:c>
      <x:c r="H1120" s="9" t="n">
        <x:v>21500000</x:v>
      </x:c>
      <x:c r="I1120" s="10" t="n">
        <x:v>0.11</x:v>
      </x:c>
      <x:c r="J1120" s="11" t="n">
        <x:v>7</x:v>
      </x:c>
      <x:c r="K1120" s="11" t="n">
        <x:v>5</x:v>
      </x:c>
      <x:c r="L1120" s="11" t="n">
        <x:v>0</x:v>
      </x:c>
      <x:c r="M1120" s="9" t="n">
        <x:f>ROUND(H1120*(1-I1120),2)</x:f>
        <x:v>19135000</x:v>
      </x:c>
      <x:c r="N1120" s="4" t="str">
        <x:v>Sales head</x:v>
      </x:c>
      <x:c r="O1120" s="4" t="str">
        <x:v>BOOK-01119</x:v>
      </x:c>
      <x:c r="P1120" s="9" t="n">
        <x:v>4783750</x:v>
      </x:c>
      <x:c r="Q1120" s="11" t="n">
        <x:v>0</x:v>
      </x:c>
      <x:c r="R1120" s="8" t="n">
        <x:v>45438</x:v>
      </x:c>
      <x:c r="S1120" s="4" t="str">
        <x:v>Retained</x:v>
      </x:c>
      <x:c r="T1120" s="10" t="n">
        <x:v>0.226277</x:v>
      </x:c>
      <x:c r="U1120" s="4" t="str">
        <x:v>Train</x:v>
      </x:c>
    </x:row>
    <x:row r="1121" ht="34" customHeight="1">
      <x:c r="A1121" s="4" t="str">
        <x:v>RS-01120</x:v>
      </x:c>
      <x:c r="B1121" s="8" t="n">
        <x:v>45379</x:v>
      </x:c>
      <x:c r="C1121" s="4" t="str">
        <x:v>PRJ-020</x:v>
      </x:c>
      <x:c r="D1121" s="4" t="str">
        <x:v>Apartment</x:v>
      </x:c>
      <x:c r="E1121" s="4" t="str">
        <x:v>Enquiry</x:v>
      </x:c>
      <x:c r="F1121" s="4" t="str">
        <x:v>CUS-01120</x:v>
      </x:c>
      <x:c r="G1121" s="4" t="str">
        <x:v>UNIT-01120</x:v>
      </x:c>
      <x:c r="H1121" s="9" t="n">
        <x:v>17400000</x:v>
      </x:c>
      <x:c r="I1121" s="10" t="n">
        <x:v>0.08</x:v>
      </x:c>
      <x:c r="J1121" s="11" t="n">
        <x:v>1</x:v>
      </x:c>
      <x:c r="K1121" s="11" t="n">
        <x:v>3</x:v>
      </x:c>
      <x:c r="L1121" s="11" t="n">
        <x:v>0</x:v>
      </x:c>
      <x:c r="M1121" s="9" t="n">
        <x:f>ROUND(H1121*(1-I1121),2)</x:f>
        <x:v>16008000</x:v>
      </x:c>
      <x:c r="N1121" s="4" t="str">
        <x:v>Sales head</x:v>
      </x:c>
      <x:c r="O1121" s="4"/>
      <x:c r="P1121" s="9" t="n">
        <x:v>0</x:v>
      </x:c>
      <x:c r="Q1121" s="11" t="n">
        <x:v>0</x:v>
      </x:c>
      <x:c r="R1121" s="8" t="n">
        <x:v>45439</x:v>
      </x:c>
      <x:c r="S1121" s="4" t="str">
        <x:v>Retained</x:v>
      </x:c>
      <x:c r="T1121" s="10" t="n">
        <x:v>0.204152</x:v>
      </x:c>
      <x:c r="U1121" s="4" t="str">
        <x:v>Train</x:v>
      </x:c>
    </x:row>
    <x:row r="1122" ht="34" customHeight="1">
      <x:c r="A1122" s="4" t="str">
        <x:v>RS-01121</x:v>
      </x:c>
      <x:c r="B1122" s="8" t="n">
        <x:v>45352</x:v>
      </x:c>
      <x:c r="C1122" s="4" t="str">
        <x:v>PRJ-001</x:v>
      </x:c>
      <x:c r="D1122" s="4" t="str">
        <x:v>Villa</x:v>
      </x:c>
      <x:c r="E1122" s="4" t="str">
        <x:v>Reserved</x:v>
      </x:c>
      <x:c r="F1122" s="4" t="str">
        <x:v>CUS-01121</x:v>
      </x:c>
      <x:c r="G1122" s="4" t="str">
        <x:v>UNIT-01121</x:v>
      </x:c>
      <x:c r="H1122" s="9" t="n">
        <x:v>16300000</x:v>
      </x:c>
      <x:c r="I1122" s="10" t="n">
        <x:v>0.02</x:v>
      </x:c>
      <x:c r="J1122" s="11" t="n">
        <x:v>11</x:v>
      </x:c>
      <x:c r="K1122" s="11" t="n">
        <x:v>7</x:v>
      </x:c>
      <x:c r="L1122" s="11" t="n">
        <x:v>0</x:v>
      </x:c>
      <x:c r="M1122" s="9" t="n">
        <x:f>ROUND(H1122*(1-I1122),2)</x:f>
        <x:v>15974000</x:v>
      </x:c>
      <x:c r="N1122" s="4" t="str">
        <x:v>Sales manager</x:v>
      </x:c>
      <x:c r="O1122" s="4"/>
      <x:c r="P1122" s="9" t="n">
        <x:v>0</x:v>
      </x:c>
      <x:c r="Q1122" s="11" t="n">
        <x:v>1</x:v>
      </x:c>
      <x:c r="R1122" s="8" t="n">
        <x:v>45412</x:v>
      </x:c>
      <x:c r="S1122" s="4" t="str">
        <x:v>Lost / cancelled</x:v>
      </x:c>
      <x:c r="T1122" s="10" t="n">
        <x:v>0.305556</x:v>
      </x:c>
      <x:c r="U1122" s="4" t="str">
        <x:v>Train</x:v>
      </x:c>
    </x:row>
    <x:row r="1123" ht="34" customHeight="1">
      <x:c r="A1123" s="4" t="str">
        <x:v>RS-01122</x:v>
      </x:c>
      <x:c r="B1123" s="8" t="n">
        <x:v>45353</x:v>
      </x:c>
      <x:c r="C1123" s="4" t="str">
        <x:v>PRJ-002</x:v>
      </x:c>
      <x:c r="D1123" s="4" t="str">
        <x:v>Office</x:v>
      </x:c>
      <x:c r="E1123" s="4" t="str">
        <x:v>Agreement signed</x:v>
      </x:c>
      <x:c r="F1123" s="4" t="str">
        <x:v>CUS-01122</x:v>
      </x:c>
      <x:c r="G1123" s="4" t="str">
        <x:v>UNIT-01122</x:v>
      </x:c>
      <x:c r="H1123" s="9" t="n">
        <x:v>6400000</x:v>
      </x:c>
      <x:c r="I1123" s="10" t="n">
        <x:v>0.12</x:v>
      </x:c>
      <x:c r="J1123" s="11" t="n">
        <x:v>2</x:v>
      </x:c>
      <x:c r="K1123" s="11" t="n">
        <x:v>1</x:v>
      </x:c>
      <x:c r="L1123" s="11" t="n">
        <x:v>1</x:v>
      </x:c>
      <x:c r="M1123" s="9" t="n">
        <x:f>ROUND(H1123*(1-I1123),2)</x:f>
        <x:v>5632000</x:v>
      </x:c>
      <x:c r="N1123" s="4" t="str">
        <x:v>Sales head</x:v>
      </x:c>
      <x:c r="O1123" s="4" t="str">
        <x:v>BOOK-01122</x:v>
      </x:c>
      <x:c r="P1123" s="9" t="n">
        <x:v>5632000</x:v>
      </x:c>
      <x:c r="Q1123" s="11" t="n">
        <x:v>0</x:v>
      </x:c>
      <x:c r="R1123" s="8" t="n">
        <x:v>45413</x:v>
      </x:c>
      <x:c r="S1123" s="4" t="str">
        <x:v>Retained</x:v>
      </x:c>
      <x:c r="T1123" s="10" t="n">
        <x:v>0.145833</x:v>
      </x:c>
      <x:c r="U1123" s="4" t="str">
        <x:v>Train</x:v>
      </x:c>
    </x:row>
    <x:row r="1124" ht="34" customHeight="1">
      <x:c r="A1124" s="4" t="str">
        <x:v>RS-01123</x:v>
      </x:c>
      <x:c r="B1124" s="8" t="n">
        <x:v>45354</x:v>
      </x:c>
      <x:c r="C1124" s="4" t="str">
        <x:v>PRJ-003</x:v>
      </x:c>
      <x:c r="D1124" s="4" t="str">
        <x:v>Villa</x:v>
      </x:c>
      <x:c r="E1124" s="4" t="str">
        <x:v>Cancelled</x:v>
      </x:c>
      <x:c r="F1124" s="4" t="str">
        <x:v>CUS-01123</x:v>
      </x:c>
      <x:c r="G1124" s="4" t="str">
        <x:v>UNIT-01123</x:v>
      </x:c>
      <x:c r="H1124" s="9" t="n">
        <x:v>20500000</x:v>
      </x:c>
      <x:c r="I1124" s="10" t="n">
        <x:v>0.08</x:v>
      </x:c>
      <x:c r="J1124" s="11" t="n">
        <x:v>7</x:v>
      </x:c>
      <x:c r="K1124" s="11" t="n">
        <x:v>10</x:v>
      </x:c>
      <x:c r="L1124" s="11" t="n">
        <x:v>0</x:v>
      </x:c>
      <x:c r="M1124" s="9" t="n">
        <x:f>ROUND(H1124*(1-I1124),2)</x:f>
        <x:v>18860000</x:v>
      </x:c>
      <x:c r="N1124" s="4" t="str">
        <x:v>Sales head</x:v>
      </x:c>
      <x:c r="O1124" s="4"/>
      <x:c r="P1124" s="9" t="n">
        <x:v>0</x:v>
      </x:c>
      <x:c r="Q1124" s="11" t="n">
        <x:v>1</x:v>
      </x:c>
      <x:c r="R1124" s="8" t="n">
        <x:v>45414</x:v>
      </x:c>
      <x:c r="S1124" s="4" t="str">
        <x:v>Lost / cancelled</x:v>
      </x:c>
      <x:c r="T1124" s="10" t="n">
        <x:v>0.226277</x:v>
      </x:c>
      <x:c r="U1124" s="4" t="str">
        <x:v>Train</x:v>
      </x:c>
    </x:row>
    <x:row r="1125" ht="34" customHeight="1">
      <x:c r="A1125" s="4" t="str">
        <x:v>RS-01124</x:v>
      </x:c>
      <x:c r="B1125" s="8" t="n">
        <x:v>45355</x:v>
      </x:c>
      <x:c r="C1125" s="4" t="str">
        <x:v>PRJ-004</x:v>
      </x:c>
      <x:c r="D1125" s="4" t="str">
        <x:v>Villa</x:v>
      </x:c>
      <x:c r="E1125" s="4" t="str">
        <x:v>Handed over</x:v>
      </x:c>
      <x:c r="F1125" s="4" t="str">
        <x:v>CUS-01124</x:v>
      </x:c>
      <x:c r="G1125" s="4" t="str">
        <x:v>UNIT-01124</x:v>
      </x:c>
      <x:c r="H1125" s="9" t="n">
        <x:v>15400000</x:v>
      </x:c>
      <x:c r="I1125" s="10" t="n">
        <x:v>0.11</x:v>
      </x:c>
      <x:c r="J1125" s="11" t="n">
        <x:v>11</x:v>
      </x:c>
      <x:c r="K1125" s="11" t="n">
        <x:v>2</x:v>
      </x:c>
      <x:c r="L1125" s="11" t="n">
        <x:v>1</x:v>
      </x:c>
      <x:c r="M1125" s="9" t="n">
        <x:f>ROUND(H1125*(1-I1125),2)</x:f>
        <x:v>13706000</x:v>
      </x:c>
      <x:c r="N1125" s="4" t="str">
        <x:v>Sales head</x:v>
      </x:c>
      <x:c r="O1125" s="4" t="str">
        <x:v>BOOK-01124</x:v>
      </x:c>
      <x:c r="P1125" s="9" t="n">
        <x:v>13706000</x:v>
      </x:c>
      <x:c r="Q1125" s="11" t="n">
        <x:v>0</x:v>
      </x:c>
      <x:c r="R1125" s="8" t="n">
        <x:v>45415</x:v>
      </x:c>
      <x:c r="S1125" s="4" t="str">
        <x:v>Retained</x:v>
      </x:c>
      <x:c r="T1125" s="10" t="n">
        <x:v>0.351536</x:v>
      </x:c>
      <x:c r="U1125" s="4" t="str">
        <x:v>Train</x:v>
      </x:c>
    </x:row>
    <x:row r="1126" ht="34" customHeight="1">
      <x:c r="A1126" s="4" t="str">
        <x:v>RS-01125</x:v>
      </x:c>
      <x:c r="B1126" s="8" t="n">
        <x:v>45356</x:v>
      </x:c>
      <x:c r="C1126" s="4" t="str">
        <x:v>PRJ-005</x:v>
      </x:c>
      <x:c r="D1126" s="4" t="str">
        <x:v>Office</x:v>
      </x:c>
      <x:c r="E1126" s="4" t="str">
        <x:v>Agreement signed</x:v>
      </x:c>
      <x:c r="F1126" s="4" t="str">
        <x:v>CUS-01125</x:v>
      </x:c>
      <x:c r="G1126" s="4" t="str">
        <x:v>UNIT-01125</x:v>
      </x:c>
      <x:c r="H1126" s="9" t="n">
        <x:v>5900000</x:v>
      </x:c>
      <x:c r="I1126" s="10" t="n">
        <x:v>0.08</x:v>
      </x:c>
      <x:c r="J1126" s="11" t="n">
        <x:v>0</x:v>
      </x:c>
      <x:c r="K1126" s="11" t="n">
        <x:v>3</x:v>
      </x:c>
      <x:c r="L1126" s="11" t="n">
        <x:v>0</x:v>
      </x:c>
      <x:c r="M1126" s="9" t="n">
        <x:f>ROUND(H1126*(1-I1126),2)</x:f>
        <x:v>5428000</x:v>
      </x:c>
      <x:c r="N1126" s="4" t="str">
        <x:v>Sales head</x:v>
      </x:c>
      <x:c r="O1126" s="4" t="str">
        <x:v>BOOK-01125</x:v>
      </x:c>
      <x:c r="P1126" s="9" t="n">
        <x:v>5428000</x:v>
      </x:c>
      <x:c r="Q1126" s="11" t="n">
        <x:v>0</x:v>
      </x:c>
      <x:c r="R1126" s="8" t="n">
        <x:v>45416</x:v>
      </x:c>
      <x:c r="S1126" s="4" t="str">
        <x:v>Retained</x:v>
      </x:c>
      <x:c r="T1126" s="10" t="n">
        <x:v>0.204152</x:v>
      </x:c>
      <x:c r="U1126" s="4" t="str">
        <x:v>Train</x:v>
      </x:c>
    </x:row>
    <x:row r="1127" ht="34" customHeight="1">
      <x:c r="A1127" s="4" t="str">
        <x:v>RS-01126</x:v>
      </x:c>
      <x:c r="B1127" s="8" t="n">
        <x:v>45357</x:v>
      </x:c>
      <x:c r="C1127" s="4" t="str">
        <x:v>PRJ-006</x:v>
      </x:c>
      <x:c r="D1127" s="4" t="str">
        <x:v>Retail</x:v>
      </x:c>
      <x:c r="E1127" s="4" t="str">
        <x:v>Cancelled</x:v>
      </x:c>
      <x:c r="F1127" s="4" t="str">
        <x:v>CUS-01126</x:v>
      </x:c>
      <x:c r="G1127" s="4" t="str">
        <x:v>UNIT-01126</x:v>
      </x:c>
      <x:c r="H1127" s="9" t="n">
        <x:v>19200000</x:v>
      </x:c>
      <x:c r="I1127" s="10" t="n">
        <x:v>0.05</x:v>
      </x:c>
      <x:c r="J1127" s="11" t="n">
        <x:v>5</x:v>
      </x:c>
      <x:c r="K1127" s="11" t="n">
        <x:v>9</x:v>
      </x:c>
      <x:c r="L1127" s="11" t="n">
        <x:v>0</x:v>
      </x:c>
      <x:c r="M1127" s="9" t="n">
        <x:f>ROUND(H1127*(1-I1127),2)</x:f>
        <x:v>18240000</x:v>
      </x:c>
      <x:c r="N1127" s="4" t="str">
        <x:v>Sales manager</x:v>
      </x:c>
      <x:c r="O1127" s="4"/>
      <x:c r="P1127" s="9" t="n">
        <x:v>0</x:v>
      </x:c>
      <x:c r="Q1127" s="11" t="n">
        <x:v>1</x:v>
      </x:c>
      <x:c r="R1127" s="8" t="n">
        <x:v>45417</x:v>
      </x:c>
      <x:c r="S1127" s="4" t="str">
        <x:v>Lost / cancelled</x:v>
      </x:c>
      <x:c r="T1127" s="10" t="n">
        <x:v>0.226277</x:v>
      </x:c>
      <x:c r="U1127" s="4" t="str">
        <x:v>Train</x:v>
      </x:c>
    </x:row>
    <x:row r="1128" ht="34" customHeight="1">
      <x:c r="A1128" s="4" t="str">
        <x:v>RS-01127</x:v>
      </x:c>
      <x:c r="B1128" s="8" t="n">
        <x:v>45358</x:v>
      </x:c>
      <x:c r="C1128" s="4" t="str">
        <x:v>PRJ-007</x:v>
      </x:c>
      <x:c r="D1128" s="4" t="str">
        <x:v>Villa</x:v>
      </x:c>
      <x:c r="E1128" s="4" t="str">
        <x:v>Cancelled</x:v>
      </x:c>
      <x:c r="F1128" s="4" t="str">
        <x:v>CUS-01127</x:v>
      </x:c>
      <x:c r="G1128" s="4" t="str">
        <x:v>UNIT-01127</x:v>
      </x:c>
      <x:c r="H1128" s="9" t="n">
        <x:v>5400000</x:v>
      </x:c>
      <x:c r="I1128" s="10" t="n">
        <x:v>0.03</x:v>
      </x:c>
      <x:c r="J1128" s="11" t="n">
        <x:v>11</x:v>
      </x:c>
      <x:c r="K1128" s="11" t="n">
        <x:v>0</x:v>
      </x:c>
      <x:c r="L1128" s="11" t="n">
        <x:v>1</x:v>
      </x:c>
      <x:c r="M1128" s="9" t="n">
        <x:f>ROUND(H1128*(1-I1128),2)</x:f>
        <x:v>5238000</x:v>
      </x:c>
      <x:c r="N1128" s="4" t="str">
        <x:v>Sales manager</x:v>
      </x:c>
      <x:c r="O1128" s="4"/>
      <x:c r="P1128" s="9" t="n">
        <x:v>0</x:v>
      </x:c>
      <x:c r="Q1128" s="11" t="n">
        <x:v>1</x:v>
      </x:c>
      <x:c r="R1128" s="8" t="n">
        <x:v>45418</x:v>
      </x:c>
      <x:c r="S1128" s="4" t="str">
        <x:v>Lost / cancelled</x:v>
      </x:c>
      <x:c r="T1128" s="10" t="n">
        <x:v>0.351536</x:v>
      </x:c>
      <x:c r="U1128" s="4" t="str">
        <x:v>Train</x:v>
      </x:c>
    </x:row>
    <x:row r="1129" ht="34" customHeight="1">
      <x:c r="A1129" s="4" t="str">
        <x:v>RS-01128</x:v>
      </x:c>
      <x:c r="B1129" s="8" t="n">
        <x:v>45359</x:v>
      </x:c>
      <x:c r="C1129" s="4" t="str">
        <x:v>PRJ-008</x:v>
      </x:c>
      <x:c r="D1129" s="4" t="str">
        <x:v>Apartment</x:v>
      </x:c>
      <x:c r="E1129" s="4" t="str">
        <x:v>Enquiry</x:v>
      </x:c>
      <x:c r="F1129" s="4" t="str">
        <x:v>CUS-01128</x:v>
      </x:c>
      <x:c r="G1129" s="4" t="str">
        <x:v>UNIT-01128</x:v>
      </x:c>
      <x:c r="H1129" s="9" t="n">
        <x:v>22700000</x:v>
      </x:c>
      <x:c r="I1129" s="10" t="n">
        <x:v>0.03</x:v>
      </x:c>
      <x:c r="J1129" s="11" t="n">
        <x:v>8</x:v>
      </x:c>
      <x:c r="K1129" s="11" t="n">
        <x:v>0</x:v>
      </x:c>
      <x:c r="L1129" s="11" t="n">
        <x:v>1</x:v>
      </x:c>
      <x:c r="M1129" s="9" t="n">
        <x:f>ROUND(H1129*(1-I1129),2)</x:f>
        <x:v>22019000</x:v>
      </x:c>
      <x:c r="N1129" s="4" t="str">
        <x:v>Sales manager</x:v>
      </x:c>
      <x:c r="O1129" s="4"/>
      <x:c r="P1129" s="9" t="n">
        <x:v>0</x:v>
      </x:c>
      <x:c r="Q1129" s="11" t="n">
        <x:v>0</x:v>
      </x:c>
      <x:c r="R1129" s="8" t="n">
        <x:v>45419</x:v>
      </x:c>
      <x:c r="S1129" s="4" t="str">
        <x:v>Retained</x:v>
      </x:c>
      <x:c r="T1129" s="10" t="n">
        <x:v>0.310195</x:v>
      </x:c>
      <x:c r="U1129" s="4" t="str">
        <x:v>Train</x:v>
      </x:c>
    </x:row>
    <x:row r="1130" ht="34" customHeight="1">
      <x:c r="A1130" s="4" t="str">
        <x:v>RS-01129</x:v>
      </x:c>
      <x:c r="B1130" s="8" t="n">
        <x:v>45360</x:v>
      </x:c>
      <x:c r="C1130" s="4" t="str">
        <x:v>PRJ-009</x:v>
      </x:c>
      <x:c r="D1130" s="4" t="str">
        <x:v>Retail</x:v>
      </x:c>
      <x:c r="E1130" s="4" t="str">
        <x:v>Enquiry</x:v>
      </x:c>
      <x:c r="F1130" s="4" t="str">
        <x:v>CUS-01129</x:v>
      </x:c>
      <x:c r="G1130" s="4" t="str">
        <x:v>UNIT-01129</x:v>
      </x:c>
      <x:c r="H1130" s="9" t="n">
        <x:v>12900000</x:v>
      </x:c>
      <x:c r="I1130" s="10" t="n">
        <x:v>0.03</x:v>
      </x:c>
      <x:c r="J1130" s="11" t="n">
        <x:v>6</x:v>
      </x:c>
      <x:c r="K1130" s="11" t="n">
        <x:v>7</x:v>
      </x:c>
      <x:c r="L1130" s="11" t="n">
        <x:v>1</x:v>
      </x:c>
      <x:c r="M1130" s="9" t="n">
        <x:f>ROUND(H1130*(1-I1130),2)</x:f>
        <x:v>12513000</x:v>
      </x:c>
      <x:c r="N1130" s="4" t="str">
        <x:v>Sales manager</x:v>
      </x:c>
      <x:c r="O1130" s="4"/>
      <x:c r="P1130" s="9" t="n">
        <x:v>0</x:v>
      </x:c>
      <x:c r="Q1130" s="11" t="n">
        <x:v>0</x:v>
      </x:c>
      <x:c r="R1130" s="8" t="n">
        <x:v>45420</x:v>
      </x:c>
      <x:c r="S1130" s="4" t="str">
        <x:v>Retained</x:v>
      </x:c>
      <x:c r="T1130" s="10" t="n">
        <x:v>0.145299</x:v>
      </x:c>
      <x:c r="U1130" s="4" t="str">
        <x:v>Train</x:v>
      </x:c>
    </x:row>
    <x:row r="1131" ht="34" customHeight="1">
      <x:c r="A1131" s="4" t="str">
        <x:v>RS-01130</x:v>
      </x:c>
      <x:c r="B1131" s="8" t="n">
        <x:v>45361</x:v>
      </x:c>
      <x:c r="C1131" s="4" t="str">
        <x:v>PRJ-010</x:v>
      </x:c>
      <x:c r="D1131" s="4" t="str">
        <x:v>Office</x:v>
      </x:c>
      <x:c r="E1131" s="4" t="str">
        <x:v>Booked</x:v>
      </x:c>
      <x:c r="F1131" s="4" t="str">
        <x:v>CUS-01130</x:v>
      </x:c>
      <x:c r="G1131" s="4" t="str">
        <x:v>UNIT-01130</x:v>
      </x:c>
      <x:c r="H1131" s="9" t="n">
        <x:v>25000000</x:v>
      </x:c>
      <x:c r="I1131" s="10" t="n">
        <x:v>0.03</x:v>
      </x:c>
      <x:c r="J1131" s="11" t="n">
        <x:v>10</x:v>
      </x:c>
      <x:c r="K1131" s="11" t="n">
        <x:v>10</x:v>
      </x:c>
      <x:c r="L1131" s="11" t="n">
        <x:v>0</x:v>
      </x:c>
      <x:c r="M1131" s="9" t="n">
        <x:f>ROUND(H1131*(1-I1131),2)</x:f>
        <x:v>24250000</x:v>
      </x:c>
      <x:c r="N1131" s="4" t="str">
        <x:v>Sales manager</x:v>
      </x:c>
      <x:c r="O1131" s="4" t="str">
        <x:v>BOOK-01130</x:v>
      </x:c>
      <x:c r="P1131" s="9" t="n">
        <x:v>2425000</x:v>
      </x:c>
      <x:c r="Q1131" s="11" t="n">
        <x:v>0</x:v>
      </x:c>
      <x:c r="R1131" s="8" t="n">
        <x:v>45421</x:v>
      </x:c>
      <x:c r="S1131" s="4" t="str">
        <x:v>Retained</x:v>
      </x:c>
      <x:c r="T1131" s="10" t="n">
        <x:v>0.310195</x:v>
      </x:c>
      <x:c r="U1131" s="4" t="str">
        <x:v>Train</x:v>
      </x:c>
    </x:row>
    <x:row r="1132" ht="34" customHeight="1">
      <x:c r="A1132" s="4" t="str">
        <x:v>RS-01131</x:v>
      </x:c>
      <x:c r="B1132" s="8" t="n">
        <x:v>45362</x:v>
      </x:c>
      <x:c r="C1132" s="4" t="str">
        <x:v>PRJ-011</x:v>
      </x:c>
      <x:c r="D1132" s="4" t="str">
        <x:v>Villa</x:v>
      </x:c>
      <x:c r="E1132" s="4" t="str">
        <x:v>Booked</x:v>
      </x:c>
      <x:c r="F1132" s="4" t="str">
        <x:v>CUS-01131</x:v>
      </x:c>
      <x:c r="G1132" s="4" t="str">
        <x:v>UNIT-01131</x:v>
      </x:c>
      <x:c r="H1132" s="9" t="n">
        <x:v>5300000</x:v>
      </x:c>
      <x:c r="I1132" s="10" t="n">
        <x:v>0.07</x:v>
      </x:c>
      <x:c r="J1132" s="11" t="n">
        <x:v>7</x:v>
      </x:c>
      <x:c r="K1132" s="11" t="n">
        <x:v>4</x:v>
      </x:c>
      <x:c r="L1132" s="11" t="n">
        <x:v>0</x:v>
      </x:c>
      <x:c r="M1132" s="9" t="n">
        <x:f>ROUND(H1132*(1-I1132),2)</x:f>
        <x:v>4929000</x:v>
      </x:c>
      <x:c r="N1132" s="4" t="str">
        <x:v>Sales manager</x:v>
      </x:c>
      <x:c r="O1132" s="4" t="str">
        <x:v>BOOK-01131</x:v>
      </x:c>
      <x:c r="P1132" s="9" t="n">
        <x:v>492900</x:v>
      </x:c>
      <x:c r="Q1132" s="11" t="n">
        <x:v>0</x:v>
      </x:c>
      <x:c r="R1132" s="8" t="n">
        <x:v>45422</x:v>
      </x:c>
      <x:c r="S1132" s="4" t="str">
        <x:v>Retained</x:v>
      </x:c>
      <x:c r="T1132" s="10" t="n">
        <x:v>0.226277</x:v>
      </x:c>
      <x:c r="U1132" s="4" t="str">
        <x:v>Train</x:v>
      </x:c>
    </x:row>
    <x:row r="1133" ht="34" customHeight="1">
      <x:c r="A1133" s="4" t="str">
        <x:v>RS-01132</x:v>
      </x:c>
      <x:c r="B1133" s="8" t="n">
        <x:v>45363</x:v>
      </x:c>
      <x:c r="C1133" s="4" t="str">
        <x:v>PRJ-012</x:v>
      </x:c>
      <x:c r="D1133" s="4" t="str">
        <x:v>Villa</x:v>
      </x:c>
      <x:c r="E1133" s="4" t="str">
        <x:v>Reserved</x:v>
      </x:c>
      <x:c r="F1133" s="4" t="str">
        <x:v>CUS-01132</x:v>
      </x:c>
      <x:c r="G1133" s="4" t="str">
        <x:v>UNIT-01132</x:v>
      </x:c>
      <x:c r="H1133" s="9" t="n">
        <x:v>6000000</x:v>
      </x:c>
      <x:c r="I1133" s="10" t="n">
        <x:v>0.04</x:v>
      </x:c>
      <x:c r="J1133" s="11" t="n">
        <x:v>9</x:v>
      </x:c>
      <x:c r="K1133" s="11" t="n">
        <x:v>4</x:v>
      </x:c>
      <x:c r="L1133" s="11" t="n">
        <x:v>1</x:v>
      </x:c>
      <x:c r="M1133" s="9" t="n">
        <x:f>ROUND(H1133*(1-I1133),2)</x:f>
        <x:v>5760000</x:v>
      </x:c>
      <x:c r="N1133" s="4" t="str">
        <x:v>Sales manager</x:v>
      </x:c>
      <x:c r="O1133" s="4"/>
      <x:c r="P1133" s="9" t="n">
        <x:v>0</x:v>
      </x:c>
      <x:c r="Q1133" s="11" t="n">
        <x:v>1</x:v>
      </x:c>
      <x:c r="R1133" s="8" t="n">
        <x:v>45423</x:v>
      </x:c>
      <x:c r="S1133" s="4" t="str">
        <x:v>Lost / cancelled</x:v>
      </x:c>
      <x:c r="T1133" s="10" t="n">
        <x:v>0.310195</x:v>
      </x:c>
      <x:c r="U1133" s="4" t="str">
        <x:v>Train</x:v>
      </x:c>
    </x:row>
    <x:row r="1134" ht="34" customHeight="1">
      <x:c r="A1134" s="4" t="str">
        <x:v>RS-01133</x:v>
      </x:c>
      <x:c r="B1134" s="8" t="n">
        <x:v>45364</x:v>
      </x:c>
      <x:c r="C1134" s="4" t="str">
        <x:v>PRJ-013</x:v>
      </x:c>
      <x:c r="D1134" s="4" t="str">
        <x:v>Office</x:v>
      </x:c>
      <x:c r="E1134" s="4" t="str">
        <x:v>Agreement signed</x:v>
      </x:c>
      <x:c r="F1134" s="4" t="str">
        <x:v>CUS-01133</x:v>
      </x:c>
      <x:c r="G1134" s="4" t="str">
        <x:v>UNIT-01133</x:v>
      </x:c>
      <x:c r="H1134" s="9" t="n">
        <x:v>23300000</x:v>
      </x:c>
      <x:c r="I1134" s="10" t="n">
        <x:v>0.1</x:v>
      </x:c>
      <x:c r="J1134" s="11" t="n">
        <x:v>1</x:v>
      </x:c>
      <x:c r="K1134" s="11" t="n">
        <x:v>4</x:v>
      </x:c>
      <x:c r="L1134" s="11" t="n">
        <x:v>1</x:v>
      </x:c>
      <x:c r="M1134" s="9" t="n">
        <x:f>ROUND(H1134*(1-I1134),2)</x:f>
        <x:v>20970000</x:v>
      </x:c>
      <x:c r="N1134" s="4" t="str">
        <x:v>Sales head</x:v>
      </x:c>
      <x:c r="O1134" s="4" t="str">
        <x:v>BOOK-01133</x:v>
      </x:c>
      <x:c r="P1134" s="9" t="n">
        <x:v>5242500</x:v>
      </x:c>
      <x:c r="Q1134" s="11" t="n">
        <x:v>0</x:v>
      </x:c>
      <x:c r="R1134" s="8" t="n">
        <x:v>45424</x:v>
      </x:c>
      <x:c r="S1134" s="4" t="str">
        <x:v>Retained</x:v>
      </x:c>
      <x:c r="T1134" s="10" t="n">
        <x:v>0.145833</x:v>
      </x:c>
      <x:c r="U1134" s="4" t="str">
        <x:v>Train</x:v>
      </x:c>
    </x:row>
    <x:row r="1135" ht="34" customHeight="1">
      <x:c r="A1135" s="4" t="str">
        <x:v>RS-01134</x:v>
      </x:c>
      <x:c r="B1135" s="8" t="n">
        <x:v>45365</x:v>
      </x:c>
      <x:c r="C1135" s="4" t="str">
        <x:v>PRJ-014</x:v>
      </x:c>
      <x:c r="D1135" s="4" t="str">
        <x:v>Retail</x:v>
      </x:c>
      <x:c r="E1135" s="4" t="str">
        <x:v>Cancelled</x:v>
      </x:c>
      <x:c r="F1135" s="4" t="str">
        <x:v>CUS-01134</x:v>
      </x:c>
      <x:c r="G1135" s="4" t="str">
        <x:v>UNIT-01134</x:v>
      </x:c>
      <x:c r="H1135" s="9" t="n">
        <x:v>7000000</x:v>
      </x:c>
      <x:c r="I1135" s="10" t="n">
        <x:v>0.02</x:v>
      </x:c>
      <x:c r="J1135" s="11" t="n">
        <x:v>8</x:v>
      </x:c>
      <x:c r="K1135" s="11" t="n">
        <x:v>8</x:v>
      </x:c>
      <x:c r="L1135" s="11" t="n">
        <x:v>0</x:v>
      </x:c>
      <x:c r="M1135" s="9" t="n">
        <x:f>ROUND(H1135*(1-I1135),2)</x:f>
        <x:v>6860000</x:v>
      </x:c>
      <x:c r="N1135" s="4" t="str">
        <x:v>Sales manager</x:v>
      </x:c>
      <x:c r="O1135" s="4"/>
      <x:c r="P1135" s="9" t="n">
        <x:v>0</x:v>
      </x:c>
      <x:c r="Q1135" s="11" t="n">
        <x:v>1</x:v>
      </x:c>
      <x:c r="R1135" s="8" t="n">
        <x:v>45425</x:v>
      </x:c>
      <x:c r="S1135" s="4" t="str">
        <x:v>Lost / cancelled</x:v>
      </x:c>
      <x:c r="T1135" s="10" t="n">
        <x:v>0.305556</x:v>
      </x:c>
      <x:c r="U1135" s="4" t="str">
        <x:v>Train</x:v>
      </x:c>
    </x:row>
    <x:row r="1136" ht="34" customHeight="1">
      <x:c r="A1136" s="4" t="str">
        <x:v>RS-01135</x:v>
      </x:c>
      <x:c r="B1136" s="8" t="n">
        <x:v>45366</x:v>
      </x:c>
      <x:c r="C1136" s="4" t="str">
        <x:v>PRJ-015</x:v>
      </x:c>
      <x:c r="D1136" s="4" t="str">
        <x:v>Apartment</x:v>
      </x:c>
      <x:c r="E1136" s="4" t="str">
        <x:v>Handed over</x:v>
      </x:c>
      <x:c r="F1136" s="4" t="str">
        <x:v>CUS-01135</x:v>
      </x:c>
      <x:c r="G1136" s="4" t="str">
        <x:v>UNIT-01135</x:v>
      </x:c>
      <x:c r="H1136" s="9" t="n">
        <x:v>20700000</x:v>
      </x:c>
      <x:c r="I1136" s="10" t="n">
        <x:v>0.12</x:v>
      </x:c>
      <x:c r="J1136" s="11" t="n">
        <x:v>0</x:v>
      </x:c>
      <x:c r="K1136" s="11" t="n">
        <x:v>6</x:v>
      </x:c>
      <x:c r="L1136" s="11" t="n">
        <x:v>0</x:v>
      </x:c>
      <x:c r="M1136" s="9" t="n">
        <x:f>ROUND(H1136*(1-I1136),2)</x:f>
        <x:v>18216000</x:v>
      </x:c>
      <x:c r="N1136" s="4" t="str">
        <x:v>Sales head</x:v>
      </x:c>
      <x:c r="O1136" s="4" t="str">
        <x:v>BOOK-01135</x:v>
      </x:c>
      <x:c r="P1136" s="9" t="n">
        <x:v>4554000</x:v>
      </x:c>
      <x:c r="Q1136" s="11" t="n">
        <x:v>0</x:v>
      </x:c>
      <x:c r="R1136" s="8" t="n">
        <x:v>45426</x:v>
      </x:c>
      <x:c r="S1136" s="4" t="str">
        <x:v>Retained</x:v>
      </x:c>
      <x:c r="T1136" s="10" t="n">
        <x:v>0.145833</x:v>
      </x:c>
      <x:c r="U1136" s="4" t="str">
        <x:v>Train</x:v>
      </x:c>
    </x:row>
    <x:row r="1137" ht="34" customHeight="1">
      <x:c r="A1137" s="4" t="str">
        <x:v>RS-01136</x:v>
      </x:c>
      <x:c r="B1137" s="8" t="n">
        <x:v>45367</x:v>
      </x:c>
      <x:c r="C1137" s="4" t="str">
        <x:v>PRJ-016</x:v>
      </x:c>
      <x:c r="D1137" s="4" t="str">
        <x:v>Retail</x:v>
      </x:c>
      <x:c r="E1137" s="4" t="str">
        <x:v>Enquiry</x:v>
      </x:c>
      <x:c r="F1137" s="4" t="str">
        <x:v>CUS-01136</x:v>
      </x:c>
      <x:c r="G1137" s="4" t="str">
        <x:v>UNIT-01136</x:v>
      </x:c>
      <x:c r="H1137" s="9" t="n">
        <x:v>12600000</x:v>
      </x:c>
      <x:c r="I1137" s="10" t="n">
        <x:v>0.01</x:v>
      </x:c>
      <x:c r="J1137" s="11" t="n">
        <x:v>12</x:v>
      </x:c>
      <x:c r="K1137" s="11" t="n">
        <x:v>7</x:v>
      </x:c>
      <x:c r="L1137" s="11" t="n">
        <x:v>1</x:v>
      </x:c>
      <x:c r="M1137" s="9" t="n">
        <x:f>ROUND(H1137*(1-I1137),2)</x:f>
        <x:v>12474000</x:v>
      </x:c>
      <x:c r="N1137" s="4" t="str">
        <x:v>Sales manager</x:v>
      </x:c>
      <x:c r="O1137" s="4"/>
      <x:c r="P1137" s="9" t="n">
        <x:v>0</x:v>
      </x:c>
      <x:c r="Q1137" s="11" t="n">
        <x:v>1</x:v>
      </x:c>
      <x:c r="R1137" s="8" t="n">
        <x:v>45427</x:v>
      </x:c>
      <x:c r="S1137" s="4" t="str">
        <x:v>Lost / cancelled</x:v>
      </x:c>
      <x:c r="T1137" s="10" t="n">
        <x:v>0.254545</x:v>
      </x:c>
      <x:c r="U1137" s="4" t="str">
        <x:v>Train</x:v>
      </x:c>
    </x:row>
    <x:row r="1138" ht="34" customHeight="1">
      <x:c r="A1138" s="4" t="str">
        <x:v>RS-01137</x:v>
      </x:c>
      <x:c r="B1138" s="8" t="n">
        <x:v>45368</x:v>
      </x:c>
      <x:c r="C1138" s="4" t="str">
        <x:v>PRJ-017</x:v>
      </x:c>
      <x:c r="D1138" s="4" t="str">
        <x:v>Retail</x:v>
      </x:c>
      <x:c r="E1138" s="4" t="str">
        <x:v>Cancelled</x:v>
      </x:c>
      <x:c r="F1138" s="4" t="str">
        <x:v>CUS-01137</x:v>
      </x:c>
      <x:c r="G1138" s="4" t="str">
        <x:v>UNIT-01137</x:v>
      </x:c>
      <x:c r="H1138" s="9" t="n">
        <x:v>18100000</x:v>
      </x:c>
      <x:c r="I1138" s="10" t="n">
        <x:v>0</x:v>
      </x:c>
      <x:c r="J1138" s="11" t="n">
        <x:v>12</x:v>
      </x:c>
      <x:c r="K1138" s="11" t="n">
        <x:v>3</x:v>
      </x:c>
      <x:c r="L1138" s="11" t="n">
        <x:v>1</x:v>
      </x:c>
      <x:c r="M1138" s="9" t="n">
        <x:f>ROUND(H1138*(1-I1138),2)</x:f>
        <x:v>18100000</x:v>
      </x:c>
      <x:c r="N1138" s="4" t="str">
        <x:v>Sales manager</x:v>
      </x:c>
      <x:c r="O1138" s="4"/>
      <x:c r="P1138" s="9" t="n">
        <x:v>0</x:v>
      </x:c>
      <x:c r="Q1138" s="11" t="n">
        <x:v>1</x:v>
      </x:c>
      <x:c r="R1138" s="8" t="n">
        <x:v>45428</x:v>
      </x:c>
      <x:c r="S1138" s="4" t="str">
        <x:v>Lost / cancelled</x:v>
      </x:c>
      <x:c r="T1138" s="10" t="n">
        <x:v>0.254545</x:v>
      </x:c>
      <x:c r="U1138" s="4" t="str">
        <x:v>Train</x:v>
      </x:c>
    </x:row>
    <x:row r="1139" ht="34" customHeight="1">
      <x:c r="A1139" s="4" t="str">
        <x:v>RS-01138</x:v>
      </x:c>
      <x:c r="B1139" s="8" t="n">
        <x:v>45369</x:v>
      </x:c>
      <x:c r="C1139" s="4" t="str">
        <x:v>PRJ-018</x:v>
      </x:c>
      <x:c r="D1139" s="4" t="str">
        <x:v>Office</x:v>
      </x:c>
      <x:c r="E1139" s="4" t="str">
        <x:v>Enquiry</x:v>
      </x:c>
      <x:c r="F1139" s="4" t="str">
        <x:v>CUS-01138</x:v>
      </x:c>
      <x:c r="G1139" s="4" t="str">
        <x:v>UNIT-01138</x:v>
      </x:c>
      <x:c r="H1139" s="9" t="n">
        <x:v>24300000</x:v>
      </x:c>
      <x:c r="I1139" s="10" t="n">
        <x:v>0.12</x:v>
      </x:c>
      <x:c r="J1139" s="11" t="n">
        <x:v>10</x:v>
      </x:c>
      <x:c r="K1139" s="11" t="n">
        <x:v>7</x:v>
      </x:c>
      <x:c r="L1139" s="11" t="n">
        <x:v>0</x:v>
      </x:c>
      <x:c r="M1139" s="9" t="n">
        <x:f>ROUND(H1139*(1-I1139),2)</x:f>
        <x:v>21384000</x:v>
      </x:c>
      <x:c r="N1139" s="4" t="str">
        <x:v>Sales head</x:v>
      </x:c>
      <x:c r="O1139" s="4"/>
      <x:c r="P1139" s="9" t="n">
        <x:v>0</x:v>
      </x:c>
      <x:c r="Q1139" s="11" t="n">
        <x:v>0</x:v>
      </x:c>
      <x:c r="R1139" s="8" t="n">
        <x:v>45429</x:v>
      </x:c>
      <x:c r="S1139" s="4" t="str">
        <x:v>Retained</x:v>
      </x:c>
      <x:c r="T1139" s="10" t="n">
        <x:v>0.310195</x:v>
      </x:c>
      <x:c r="U1139" s="4" t="str">
        <x:v>Train</x:v>
      </x:c>
    </x:row>
    <x:row r="1140" ht="34" customHeight="1">
      <x:c r="A1140" s="4" t="str">
        <x:v>RS-01139</x:v>
      </x:c>
      <x:c r="B1140" s="8" t="n">
        <x:v>45370</x:v>
      </x:c>
      <x:c r="C1140" s="4" t="str">
        <x:v>PRJ-019</x:v>
      </x:c>
      <x:c r="D1140" s="4" t="str">
        <x:v>Apartment</x:v>
      </x:c>
      <x:c r="E1140" s="4" t="str">
        <x:v>Enquiry</x:v>
      </x:c>
      <x:c r="F1140" s="4" t="str">
        <x:v>CUS-01139</x:v>
      </x:c>
      <x:c r="G1140" s="4" t="str">
        <x:v>UNIT-01139</x:v>
      </x:c>
      <x:c r="H1140" s="9" t="n">
        <x:v>5900000</x:v>
      </x:c>
      <x:c r="I1140" s="10" t="n">
        <x:v>0.07</x:v>
      </x:c>
      <x:c r="J1140" s="11" t="n">
        <x:v>6</x:v>
      </x:c>
      <x:c r="K1140" s="11" t="n">
        <x:v>4</x:v>
      </x:c>
      <x:c r="L1140" s="11" t="n">
        <x:v>0</x:v>
      </x:c>
      <x:c r="M1140" s="9" t="n">
        <x:f>ROUND(H1140*(1-I1140),2)</x:f>
        <x:v>5487000</x:v>
      </x:c>
      <x:c r="N1140" s="4" t="str">
        <x:v>Sales manager</x:v>
      </x:c>
      <x:c r="O1140" s="4"/>
      <x:c r="P1140" s="9" t="n">
        <x:v>0</x:v>
      </x:c>
      <x:c r="Q1140" s="11" t="n">
        <x:v>0</x:v>
      </x:c>
      <x:c r="R1140" s="8" t="n">
        <x:v>45430</x:v>
      </x:c>
      <x:c r="S1140" s="4" t="str">
        <x:v>Retained</x:v>
      </x:c>
      <x:c r="T1140" s="10" t="n">
        <x:v>0.226277</x:v>
      </x:c>
      <x:c r="U1140" s="4" t="str">
        <x:v>Train</x:v>
      </x:c>
    </x:row>
    <x:row r="1141" ht="34" customHeight="1">
      <x:c r="A1141" s="4" t="str">
        <x:v>RS-01140</x:v>
      </x:c>
      <x:c r="B1141" s="8" t="n">
        <x:v>45371</x:v>
      </x:c>
      <x:c r="C1141" s="4" t="str">
        <x:v>PRJ-020</x:v>
      </x:c>
      <x:c r="D1141" s="4" t="str">
        <x:v>Retail</x:v>
      </x:c>
      <x:c r="E1141" s="4" t="str">
        <x:v>Booked</x:v>
      </x:c>
      <x:c r="F1141" s="4" t="str">
        <x:v>CUS-01140</x:v>
      </x:c>
      <x:c r="G1141" s="4" t="str">
        <x:v>UNIT-01140</x:v>
      </x:c>
      <x:c r="H1141" s="9" t="n">
        <x:v>13700000</x:v>
      </x:c>
      <x:c r="I1141" s="10" t="n">
        <x:v>0.08</x:v>
      </x:c>
      <x:c r="J1141" s="11" t="n">
        <x:v>5</x:v>
      </x:c>
      <x:c r="K1141" s="11" t="n">
        <x:v>9</x:v>
      </x:c>
      <x:c r="L1141" s="11" t="n">
        <x:v>1</x:v>
      </x:c>
      <x:c r="M1141" s="9" t="n">
        <x:f>ROUND(H1141*(1-I1141),2)</x:f>
        <x:v>12604000</x:v>
      </x:c>
      <x:c r="N1141" s="4" t="str">
        <x:v>Sales head</x:v>
      </x:c>
      <x:c r="O1141" s="4" t="str">
        <x:v>BOOK-01140</x:v>
      </x:c>
      <x:c r="P1141" s="9" t="n">
        <x:v>6302000</x:v>
      </x:c>
      <x:c r="Q1141" s="11" t="n">
        <x:v>0</x:v>
      </x:c>
      <x:c r="R1141" s="8" t="n">
        <x:v>45431</x:v>
      </x:c>
      <x:c r="S1141" s="4" t="str">
        <x:v>Retained</x:v>
      </x:c>
      <x:c r="T1141" s="10" t="n">
        <x:v>0.291946</x:v>
      </x:c>
      <x:c r="U1141" s="4" t="str">
        <x:v>Train</x:v>
      </x:c>
    </x:row>
    <x:row r="1142" ht="34" customHeight="1">
      <x:c r="A1142" s="4" t="str">
        <x:v>RS-01141</x:v>
      </x:c>
      <x:c r="B1142" s="8" t="n">
        <x:v>45372</x:v>
      </x:c>
      <x:c r="C1142" s="4" t="str">
        <x:v>PRJ-001</x:v>
      </x:c>
      <x:c r="D1142" s="4" t="str">
        <x:v>Villa</x:v>
      </x:c>
      <x:c r="E1142" s="4" t="str">
        <x:v>Enquiry</x:v>
      </x:c>
      <x:c r="F1142" s="4" t="str">
        <x:v>CUS-01141</x:v>
      </x:c>
      <x:c r="G1142" s="4" t="str">
        <x:v>UNIT-01141</x:v>
      </x:c>
      <x:c r="H1142" s="9" t="n">
        <x:v>20900000</x:v>
      </x:c>
      <x:c r="I1142" s="10" t="n">
        <x:v>0</x:v>
      </x:c>
      <x:c r="J1142" s="11" t="n">
        <x:v>2</x:v>
      </x:c>
      <x:c r="K1142" s="11" t="n">
        <x:v>6</x:v>
      </x:c>
      <x:c r="L1142" s="11" t="n">
        <x:v>0</x:v>
      </x:c>
      <x:c r="M1142" s="9" t="n">
        <x:f>ROUND(H1142*(1-I1142),2)</x:f>
        <x:v>20900000</x:v>
      </x:c>
      <x:c r="N1142" s="4" t="str">
        <x:v>Sales manager</x:v>
      </x:c>
      <x:c r="O1142" s="4"/>
      <x:c r="P1142" s="9" t="n">
        <x:v>0</x:v>
      </x:c>
      <x:c r="Q1142" s="11" t="n">
        <x:v>1</x:v>
      </x:c>
      <x:c r="R1142" s="8" t="n">
        <x:v>45432</x:v>
      </x:c>
      <x:c r="S1142" s="4" t="str">
        <x:v>Lost / cancelled</x:v>
      </x:c>
      <x:c r="T1142" s="10" t="n">
        <x:v>0.171717</x:v>
      </x:c>
      <x:c r="U1142" s="4" t="str">
        <x:v>Train</x:v>
      </x:c>
    </x:row>
    <x:row r="1143" ht="34" customHeight="1">
      <x:c r="A1143" s="4" t="str">
        <x:v>RS-01142</x:v>
      </x:c>
      <x:c r="B1143" s="8" t="n">
        <x:v>45373</x:v>
      </x:c>
      <x:c r="C1143" s="4" t="str">
        <x:v>PRJ-002</x:v>
      </x:c>
      <x:c r="D1143" s="4" t="str">
        <x:v>Office</x:v>
      </x:c>
      <x:c r="E1143" s="4" t="str">
        <x:v>Enquiry</x:v>
      </x:c>
      <x:c r="F1143" s="4" t="str">
        <x:v>CUS-01142</x:v>
      </x:c>
      <x:c r="G1143" s="4" t="str">
        <x:v>UNIT-01142</x:v>
      </x:c>
      <x:c r="H1143" s="9" t="n">
        <x:v>15800000</x:v>
      </x:c>
      <x:c r="I1143" s="10" t="n">
        <x:v>0.07</x:v>
      </x:c>
      <x:c r="J1143" s="11" t="n">
        <x:v>3</x:v>
      </x:c>
      <x:c r="K1143" s="11" t="n">
        <x:v>4</x:v>
      </x:c>
      <x:c r="L1143" s="11" t="n">
        <x:v>1</x:v>
      </x:c>
      <x:c r="M1143" s="9" t="n">
        <x:f>ROUND(H1143*(1-I1143),2)</x:f>
        <x:v>14694000</x:v>
      </x:c>
      <x:c r="N1143" s="4" t="str">
        <x:v>Sales manager</x:v>
      </x:c>
      <x:c r="O1143" s="4"/>
      <x:c r="P1143" s="9" t="n">
        <x:v>0</x:v>
      </x:c>
      <x:c r="Q1143" s="11" t="n">
        <x:v>0</x:v>
      </x:c>
      <x:c r="R1143" s="8" t="n">
        <x:v>45433</x:v>
      </x:c>
      <x:c r="S1143" s="4" t="str">
        <x:v>Retained</x:v>
      </x:c>
      <x:c r="T1143" s="10" t="n">
        <x:v>0.204152</x:v>
      </x:c>
      <x:c r="U1143" s="4" t="str">
        <x:v>Train</x:v>
      </x:c>
    </x:row>
    <x:row r="1144" ht="34" customHeight="1">
      <x:c r="A1144" s="4" t="str">
        <x:v>RS-01143</x:v>
      </x:c>
      <x:c r="B1144" s="8" t="n">
        <x:v>45374</x:v>
      </x:c>
      <x:c r="C1144" s="4" t="str">
        <x:v>PRJ-003</x:v>
      </x:c>
      <x:c r="D1144" s="4" t="str">
        <x:v>Villa</x:v>
      </x:c>
      <x:c r="E1144" s="4" t="str">
        <x:v>Booked</x:v>
      </x:c>
      <x:c r="F1144" s="4" t="str">
        <x:v>CUS-01143</x:v>
      </x:c>
      <x:c r="G1144" s="4" t="str">
        <x:v>UNIT-01143</x:v>
      </x:c>
      <x:c r="H1144" s="9" t="n">
        <x:v>5100000</x:v>
      </x:c>
      <x:c r="I1144" s="10" t="n">
        <x:v>0.03</x:v>
      </x:c>
      <x:c r="J1144" s="11" t="n">
        <x:v>10</x:v>
      </x:c>
      <x:c r="K1144" s="11" t="n">
        <x:v>2</x:v>
      </x:c>
      <x:c r="L1144" s="11" t="n">
        <x:v>1</x:v>
      </x:c>
      <x:c r="M1144" s="9" t="n">
        <x:f>ROUND(H1144*(1-I1144),2)</x:f>
        <x:v>4947000</x:v>
      </x:c>
      <x:c r="N1144" s="4" t="str">
        <x:v>Sales manager</x:v>
      </x:c>
      <x:c r="O1144" s="4" t="str">
        <x:v>BOOK-01143</x:v>
      </x:c>
      <x:c r="P1144" s="9" t="n">
        <x:v>4947000</x:v>
      </x:c>
      <x:c r="Q1144" s="11" t="n">
        <x:v>0</x:v>
      </x:c>
      <x:c r="R1144" s="8" t="n">
        <x:v>45434</x:v>
      </x:c>
      <x:c r="S1144" s="4" t="str">
        <x:v>Retained</x:v>
      </x:c>
      <x:c r="T1144" s="10" t="n">
        <x:v>0.310195</x:v>
      </x:c>
      <x:c r="U1144" s="4" t="str">
        <x:v>Train</x:v>
      </x:c>
    </x:row>
    <x:row r="1145" ht="34" customHeight="1">
      <x:c r="A1145" s="4" t="str">
        <x:v>RS-01144</x:v>
      </x:c>
      <x:c r="B1145" s="8" t="n">
        <x:v>45375</x:v>
      </x:c>
      <x:c r="C1145" s="4" t="str">
        <x:v>PRJ-004</x:v>
      </x:c>
      <x:c r="D1145" s="4" t="str">
        <x:v>Office</x:v>
      </x:c>
      <x:c r="E1145" s="4" t="str">
        <x:v>Booked</x:v>
      </x:c>
      <x:c r="F1145" s="4" t="str">
        <x:v>CUS-01144</x:v>
      </x:c>
      <x:c r="G1145" s="4" t="str">
        <x:v>UNIT-01144</x:v>
      </x:c>
      <x:c r="H1145" s="9" t="n">
        <x:v>8100000</x:v>
      </x:c>
      <x:c r="I1145" s="10" t="n">
        <x:v>0</x:v>
      </x:c>
      <x:c r="J1145" s="11" t="n">
        <x:v>0</x:v>
      </x:c>
      <x:c r="K1145" s="11" t="n">
        <x:v>7</x:v>
      </x:c>
      <x:c r="L1145" s="11" t="n">
        <x:v>1</x:v>
      </x:c>
      <x:c r="M1145" s="9" t="n">
        <x:f>ROUND(H1145*(1-I1145),2)</x:f>
        <x:v>8100000</x:v>
      </x:c>
      <x:c r="N1145" s="4" t="str">
        <x:v>Sales manager</x:v>
      </x:c>
      <x:c r="O1145" s="4" t="str">
        <x:v>BOOK-01144</x:v>
      </x:c>
      <x:c r="P1145" s="9" t="n">
        <x:v>810000</x:v>
      </x:c>
      <x:c r="Q1145" s="11" t="n">
        <x:v>0</x:v>
      </x:c>
      <x:c r="R1145" s="8" t="n">
        <x:v>45435</x:v>
      </x:c>
      <x:c r="S1145" s="4" t="str">
        <x:v>Retained</x:v>
      </x:c>
      <x:c r="T1145" s="10" t="n">
        <x:v>0.072165</x:v>
      </x:c>
      <x:c r="U1145" s="4" t="str">
        <x:v>Train</x:v>
      </x:c>
    </x:row>
    <x:row r="1146" ht="34" customHeight="1">
      <x:c r="A1146" s="4" t="str">
        <x:v>RS-01145</x:v>
      </x:c>
      <x:c r="B1146" s="8" t="n">
        <x:v>45376</x:v>
      </x:c>
      <x:c r="C1146" s="4" t="str">
        <x:v>PRJ-005</x:v>
      </x:c>
      <x:c r="D1146" s="4" t="str">
        <x:v>Villa</x:v>
      </x:c>
      <x:c r="E1146" s="4" t="str">
        <x:v>Handed over</x:v>
      </x:c>
      <x:c r="F1146" s="4" t="str">
        <x:v>CUS-01145</x:v>
      </x:c>
      <x:c r="G1146" s="4" t="str">
        <x:v>UNIT-01145</x:v>
      </x:c>
      <x:c r="H1146" s="9" t="n">
        <x:v>21700000</x:v>
      </x:c>
      <x:c r="I1146" s="10" t="n">
        <x:v>0.04</x:v>
      </x:c>
      <x:c r="J1146" s="11" t="n">
        <x:v>5</x:v>
      </x:c>
      <x:c r="K1146" s="11" t="n">
        <x:v>3</x:v>
      </x:c>
      <x:c r="L1146" s="11" t="n">
        <x:v>0</x:v>
      </x:c>
      <x:c r="M1146" s="9" t="n">
        <x:f>ROUND(H1146*(1-I1146),2)</x:f>
        <x:v>20832000</x:v>
      </x:c>
      <x:c r="N1146" s="4" t="str">
        <x:v>Sales manager</x:v>
      </x:c>
      <x:c r="O1146" s="4" t="str">
        <x:v>BOOK-01145</x:v>
      </x:c>
      <x:c r="P1146" s="9" t="n">
        <x:v>10416000</x:v>
      </x:c>
      <x:c r="Q1146" s="11" t="n">
        <x:v>0</x:v>
      </x:c>
      <x:c r="R1146" s="8" t="n">
        <x:v>45436</x:v>
      </x:c>
      <x:c r="S1146" s="4" t="str">
        <x:v>Retained</x:v>
      </x:c>
      <x:c r="T1146" s="10" t="n">
        <x:v>0.226277</x:v>
      </x:c>
      <x:c r="U1146" s="4" t="str">
        <x:v>Train</x:v>
      </x:c>
    </x:row>
    <x:row r="1147" ht="34" customHeight="1">
      <x:c r="A1147" s="4" t="str">
        <x:v>RS-01146</x:v>
      </x:c>
      <x:c r="B1147" s="8" t="n">
        <x:v>45377</x:v>
      </x:c>
      <x:c r="C1147" s="4" t="str">
        <x:v>PRJ-006</x:v>
      </x:c>
      <x:c r="D1147" s="4" t="str">
        <x:v>Apartment</x:v>
      </x:c>
      <x:c r="E1147" s="4" t="str">
        <x:v>Enquiry</x:v>
      </x:c>
      <x:c r="F1147" s="4" t="str">
        <x:v>CUS-01146</x:v>
      </x:c>
      <x:c r="G1147" s="4" t="str">
        <x:v>UNIT-01146</x:v>
      </x:c>
      <x:c r="H1147" s="9" t="n">
        <x:v>13200000</x:v>
      </x:c>
      <x:c r="I1147" s="10" t="n">
        <x:v>0.08</x:v>
      </x:c>
      <x:c r="J1147" s="11" t="n">
        <x:v>7</x:v>
      </x:c>
      <x:c r="K1147" s="11" t="n">
        <x:v>10</x:v>
      </x:c>
      <x:c r="L1147" s="11" t="n">
        <x:v>0</x:v>
      </x:c>
      <x:c r="M1147" s="9" t="n">
        <x:f>ROUND(H1147*(1-I1147),2)</x:f>
        <x:v>12144000</x:v>
      </x:c>
      <x:c r="N1147" s="4" t="str">
        <x:v>Sales head</x:v>
      </x:c>
      <x:c r="O1147" s="4"/>
      <x:c r="P1147" s="9" t="n">
        <x:v>0</x:v>
      </x:c>
      <x:c r="Q1147" s="11" t="n">
        <x:v>0</x:v>
      </x:c>
      <x:c r="R1147" s="8" t="n">
        <x:v>45437</x:v>
      </x:c>
      <x:c r="S1147" s="4" t="str">
        <x:v>Retained</x:v>
      </x:c>
      <x:c r="T1147" s="10" t="n">
        <x:v>0.226277</x:v>
      </x:c>
      <x:c r="U1147" s="4" t="str">
        <x:v>Train</x:v>
      </x:c>
    </x:row>
    <x:row r="1148" ht="34" customHeight="1">
      <x:c r="A1148" s="4" t="str">
        <x:v>RS-01147</x:v>
      </x:c>
      <x:c r="B1148" s="8" t="n">
        <x:v>45378</x:v>
      </x:c>
      <x:c r="C1148" s="4" t="str">
        <x:v>PRJ-007</x:v>
      </x:c>
      <x:c r="D1148" s="4" t="str">
        <x:v>Retail</x:v>
      </x:c>
      <x:c r="E1148" s="4" t="str">
        <x:v>Reserved</x:v>
      </x:c>
      <x:c r="F1148" s="4" t="str">
        <x:v>CUS-01147</x:v>
      </x:c>
      <x:c r="G1148" s="4" t="str">
        <x:v>UNIT-01147</x:v>
      </x:c>
      <x:c r="H1148" s="9" t="n">
        <x:v>20300000</x:v>
      </x:c>
      <x:c r="I1148" s="10" t="n">
        <x:v>0.08</x:v>
      </x:c>
      <x:c r="J1148" s="11" t="n">
        <x:v>10</x:v>
      </x:c>
      <x:c r="K1148" s="11" t="n">
        <x:v>8</x:v>
      </x:c>
      <x:c r="L1148" s="11" t="n">
        <x:v>0</x:v>
      </x:c>
      <x:c r="M1148" s="9" t="n">
        <x:f>ROUND(H1148*(1-I1148),2)</x:f>
        <x:v>18676000</x:v>
      </x:c>
      <x:c r="N1148" s="4" t="str">
        <x:v>Sales head</x:v>
      </x:c>
      <x:c r="O1148" s="4"/>
      <x:c r="P1148" s="9" t="n">
        <x:v>0</x:v>
      </x:c>
      <x:c r="Q1148" s="11" t="n">
        <x:v>1</x:v>
      </x:c>
      <x:c r="R1148" s="8" t="n">
        <x:v>45438</x:v>
      </x:c>
      <x:c r="S1148" s="4" t="str">
        <x:v>Lost / cancelled</x:v>
      </x:c>
      <x:c r="T1148" s="10" t="n">
        <x:v>0.310195</x:v>
      </x:c>
      <x:c r="U1148" s="4" t="str">
        <x:v>Train</x:v>
      </x:c>
    </x:row>
    <x:row r="1149" ht="34" customHeight="1">
      <x:c r="A1149" s="4" t="str">
        <x:v>RS-01148</x:v>
      </x:c>
      <x:c r="B1149" s="8" t="n">
        <x:v>45379</x:v>
      </x:c>
      <x:c r="C1149" s="4" t="str">
        <x:v>PRJ-008</x:v>
      </x:c>
      <x:c r="D1149" s="4" t="str">
        <x:v>Villa</x:v>
      </x:c>
      <x:c r="E1149" s="4" t="str">
        <x:v>Agreement signed</x:v>
      </x:c>
      <x:c r="F1149" s="4" t="str">
        <x:v>CUS-01148</x:v>
      </x:c>
      <x:c r="G1149" s="4" t="str">
        <x:v>UNIT-01148</x:v>
      </x:c>
      <x:c r="H1149" s="9" t="n">
        <x:v>15700000</x:v>
      </x:c>
      <x:c r="I1149" s="10" t="n">
        <x:v>0.05</x:v>
      </x:c>
      <x:c r="J1149" s="11" t="n">
        <x:v>12</x:v>
      </x:c>
      <x:c r="K1149" s="11" t="n">
        <x:v>3</x:v>
      </x:c>
      <x:c r="L1149" s="11" t="n">
        <x:v>0</x:v>
      </x:c>
      <x:c r="M1149" s="9" t="n">
        <x:f>ROUND(H1149*(1-I1149),2)</x:f>
        <x:v>14915000</x:v>
      </x:c>
      <x:c r="N1149" s="4" t="str">
        <x:v>Sales manager</x:v>
      </x:c>
      <x:c r="O1149" s="4" t="str">
        <x:v>BOOK-01148</x:v>
      </x:c>
      <x:c r="P1149" s="9" t="n">
        <x:v>7457500</x:v>
      </x:c>
      <x:c r="Q1149" s="11" t="n">
        <x:v>0</x:v>
      </x:c>
      <x:c r="R1149" s="8" t="n">
        <x:v>45439</x:v>
      </x:c>
      <x:c r="S1149" s="4" t="str">
        <x:v>Retained</x:v>
      </x:c>
      <x:c r="T1149" s="10" t="n">
        <x:v>0.351536</x:v>
      </x:c>
      <x:c r="U1149" s="4" t="str">
        <x:v>Train</x:v>
      </x:c>
    </x:row>
    <x:row r="1150" ht="34" customHeight="1">
      <x:c r="A1150" s="4" t="str">
        <x:v>RS-01149</x:v>
      </x:c>
      <x:c r="B1150" s="8" t="n">
        <x:v>45352</x:v>
      </x:c>
      <x:c r="C1150" s="4" t="str">
        <x:v>PRJ-009</x:v>
      </x:c>
      <x:c r="D1150" s="4" t="str">
        <x:v>Office</x:v>
      </x:c>
      <x:c r="E1150" s="4" t="str">
        <x:v>Booked</x:v>
      </x:c>
      <x:c r="F1150" s="4" t="str">
        <x:v>CUS-01149</x:v>
      </x:c>
      <x:c r="G1150" s="4" t="str">
        <x:v>UNIT-01149</x:v>
      </x:c>
      <x:c r="H1150" s="9" t="n">
        <x:v>10900000</x:v>
      </x:c>
      <x:c r="I1150" s="10" t="n">
        <x:v>0.07</x:v>
      </x:c>
      <x:c r="J1150" s="11" t="n">
        <x:v>9</x:v>
      </x:c>
      <x:c r="K1150" s="11" t="n">
        <x:v>9</x:v>
      </x:c>
      <x:c r="L1150" s="11" t="n">
        <x:v>0</x:v>
      </x:c>
      <x:c r="M1150" s="9" t="n">
        <x:f>ROUND(H1150*(1-I1150),2)</x:f>
        <x:v>10137000</x:v>
      </x:c>
      <x:c r="N1150" s="4" t="str">
        <x:v>Sales manager</x:v>
      </x:c>
      <x:c r="O1150" s="4" t="str">
        <x:v>BOOK-01149</x:v>
      </x:c>
      <x:c r="P1150" s="9" t="n">
        <x:v>10137000</x:v>
      </x:c>
      <x:c r="Q1150" s="11" t="n">
        <x:v>0</x:v>
      </x:c>
      <x:c r="R1150" s="8" t="n">
        <x:v>45412</x:v>
      </x:c>
      <x:c r="S1150" s="4" t="str">
        <x:v>Retained</x:v>
      </x:c>
      <x:c r="T1150" s="10" t="n">
        <x:v>0.310195</x:v>
      </x:c>
      <x:c r="U1150" s="4" t="str">
        <x:v>Train</x:v>
      </x:c>
    </x:row>
    <x:row r="1151" ht="34" customHeight="1">
      <x:c r="A1151" s="4" t="str">
        <x:v>RS-01150</x:v>
      </x:c>
      <x:c r="B1151" s="8" t="n">
        <x:v>45353</x:v>
      </x:c>
      <x:c r="C1151" s="4" t="str">
        <x:v>PRJ-010</x:v>
      </x:c>
      <x:c r="D1151" s="4" t="str">
        <x:v>Office</x:v>
      </x:c>
      <x:c r="E1151" s="4" t="str">
        <x:v>Reserved</x:v>
      </x:c>
      <x:c r="F1151" s="4" t="str">
        <x:v>CUS-01150</x:v>
      </x:c>
      <x:c r="G1151" s="4" t="str">
        <x:v>UNIT-01150</x:v>
      </x:c>
      <x:c r="H1151" s="9" t="n">
        <x:v>23300000</x:v>
      </x:c>
      <x:c r="I1151" s="10" t="n">
        <x:v>0.08</x:v>
      </x:c>
      <x:c r="J1151" s="11" t="n">
        <x:v>9</x:v>
      </x:c>
      <x:c r="K1151" s="11" t="n">
        <x:v>4</x:v>
      </x:c>
      <x:c r="L1151" s="11" t="n">
        <x:v>1</x:v>
      </x:c>
      <x:c r="M1151" s="9" t="n">
        <x:f>ROUND(H1151*(1-I1151),2)</x:f>
        <x:v>21436000</x:v>
      </x:c>
      <x:c r="N1151" s="4" t="str">
        <x:v>Sales head</x:v>
      </x:c>
      <x:c r="O1151" s="4"/>
      <x:c r="P1151" s="9" t="n">
        <x:v>0</x:v>
      </x:c>
      <x:c r="Q1151" s="11" t="n">
        <x:v>0</x:v>
      </x:c>
      <x:c r="R1151" s="8" t="n">
        <x:v>45413</x:v>
      </x:c>
      <x:c r="S1151" s="4" t="str">
        <x:v>Retained</x:v>
      </x:c>
      <x:c r="T1151" s="10" t="n">
        <x:v>0.310195</x:v>
      </x:c>
      <x:c r="U1151" s="4" t="str">
        <x:v>Train</x:v>
      </x:c>
    </x:row>
    <x:row r="1152" ht="34" customHeight="1">
      <x:c r="A1152" s="4" t="str">
        <x:v>RS-01151</x:v>
      </x:c>
      <x:c r="B1152" s="8" t="n">
        <x:v>45354</x:v>
      </x:c>
      <x:c r="C1152" s="4" t="str">
        <x:v>PRJ-011</x:v>
      </x:c>
      <x:c r="D1152" s="4" t="str">
        <x:v>Office</x:v>
      </x:c>
      <x:c r="E1152" s="4" t="str">
        <x:v>Booked</x:v>
      </x:c>
      <x:c r="F1152" s="4" t="str">
        <x:v>CUS-01151</x:v>
      </x:c>
      <x:c r="G1152" s="4" t="str">
        <x:v>UNIT-01151</x:v>
      </x:c>
      <x:c r="H1152" s="9" t="n">
        <x:v>20800000</x:v>
      </x:c>
      <x:c r="I1152" s="10" t="n">
        <x:v>0</x:v>
      </x:c>
      <x:c r="J1152" s="11" t="n">
        <x:v>7</x:v>
      </x:c>
      <x:c r="K1152" s="11" t="n">
        <x:v>5</x:v>
      </x:c>
      <x:c r="L1152" s="11" t="n">
        <x:v>0</x:v>
      </x:c>
      <x:c r="M1152" s="9" t="n">
        <x:f>ROUND(H1152*(1-I1152),2)</x:f>
        <x:v>20800000</x:v>
      </x:c>
      <x:c r="N1152" s="4" t="str">
        <x:v>Sales manager</x:v>
      </x:c>
      <x:c r="O1152" s="4" t="str">
        <x:v>BOOK-01151</x:v>
      </x:c>
      <x:c r="P1152" s="9" t="n">
        <x:v>2080000</x:v>
      </x:c>
      <x:c r="Q1152" s="11" t="n">
        <x:v>0</x:v>
      </x:c>
      <x:c r="R1152" s="8" t="n">
        <x:v>45414</x:v>
      </x:c>
      <x:c r="S1152" s="4" t="str">
        <x:v>Retained</x:v>
      </x:c>
      <x:c r="T1152" s="10" t="n">
        <x:v>0.145299</x:v>
      </x:c>
      <x:c r="U1152" s="4" t="str">
        <x:v>Train</x:v>
      </x:c>
    </x:row>
    <x:row r="1153" ht="34" customHeight="1">
      <x:c r="A1153" s="4" t="str">
        <x:v>RS-01152</x:v>
      </x:c>
      <x:c r="B1153" s="8" t="n">
        <x:v>45355</x:v>
      </x:c>
      <x:c r="C1153" s="4" t="str">
        <x:v>PRJ-012</x:v>
      </x:c>
      <x:c r="D1153" s="4" t="str">
        <x:v>Retail</x:v>
      </x:c>
      <x:c r="E1153" s="4" t="str">
        <x:v>Agreement signed</x:v>
      </x:c>
      <x:c r="F1153" s="4" t="str">
        <x:v>CUS-01152</x:v>
      </x:c>
      <x:c r="G1153" s="4" t="str">
        <x:v>UNIT-01152</x:v>
      </x:c>
      <x:c r="H1153" s="9" t="n">
        <x:v>14400000</x:v>
      </x:c>
      <x:c r="I1153" s="10" t="n">
        <x:v>0.09</x:v>
      </x:c>
      <x:c r="J1153" s="11" t="n">
        <x:v>3</x:v>
      </x:c>
      <x:c r="K1153" s="11" t="n">
        <x:v>5</x:v>
      </x:c>
      <x:c r="L1153" s="11" t="n">
        <x:v>1</x:v>
      </x:c>
      <x:c r="M1153" s="9" t="n">
        <x:f>ROUND(H1153*(1-I1153),2)</x:f>
        <x:v>13104000</x:v>
      </x:c>
      <x:c r="N1153" s="4" t="str">
        <x:v>Sales head</x:v>
      </x:c>
      <x:c r="O1153" s="4" t="str">
        <x:v>BOOK-01152</x:v>
      </x:c>
      <x:c r="P1153" s="9" t="n">
        <x:v>3276000</x:v>
      </x:c>
      <x:c r="Q1153" s="11" t="n">
        <x:v>0</x:v>
      </x:c>
      <x:c r="R1153" s="8" t="n">
        <x:v>45415</x:v>
      </x:c>
      <x:c r="S1153" s="4" t="str">
        <x:v>Retained</x:v>
      </x:c>
      <x:c r="T1153" s="10" t="n">
        <x:v>0.145833</x:v>
      </x:c>
      <x:c r="U1153" s="4" t="str">
        <x:v>Train</x:v>
      </x:c>
    </x:row>
    <x:row r="1154" ht="34" customHeight="1">
      <x:c r="A1154" s="4" t="str">
        <x:v>RS-01153</x:v>
      </x:c>
      <x:c r="B1154" s="8" t="n">
        <x:v>45356</x:v>
      </x:c>
      <x:c r="C1154" s="4" t="str">
        <x:v>PRJ-013</x:v>
      </x:c>
      <x:c r="D1154" s="4" t="str">
        <x:v>Office</x:v>
      </x:c>
      <x:c r="E1154" s="4" t="str">
        <x:v>Cancelled</x:v>
      </x:c>
      <x:c r="F1154" s="4" t="str">
        <x:v>CUS-01153</x:v>
      </x:c>
      <x:c r="G1154" s="4" t="str">
        <x:v>UNIT-01153</x:v>
      </x:c>
      <x:c r="H1154" s="9" t="n">
        <x:v>24800000</x:v>
      </x:c>
      <x:c r="I1154" s="10" t="n">
        <x:v>0</x:v>
      </x:c>
      <x:c r="J1154" s="11" t="n">
        <x:v>11</x:v>
      </x:c>
      <x:c r="K1154" s="11" t="n">
        <x:v>3</x:v>
      </x:c>
      <x:c r="L1154" s="11" t="n">
        <x:v>0</x:v>
      </x:c>
      <x:c r="M1154" s="9" t="n">
        <x:f>ROUND(H1154*(1-I1154),2)</x:f>
        <x:v>24800000</x:v>
      </x:c>
      <x:c r="N1154" s="4" t="str">
        <x:v>Sales manager</x:v>
      </x:c>
      <x:c r="O1154" s="4"/>
      <x:c r="P1154" s="9" t="n">
        <x:v>0</x:v>
      </x:c>
      <x:c r="Q1154" s="11" t="n">
        <x:v>1</x:v>
      </x:c>
      <x:c r="R1154" s="8" t="n">
        <x:v>45416</x:v>
      </x:c>
      <x:c r="S1154" s="4" t="str">
        <x:v>Lost / cancelled</x:v>
      </x:c>
      <x:c r="T1154" s="10" t="n">
        <x:v>0.305556</x:v>
      </x:c>
      <x:c r="U1154" s="4" t="str">
        <x:v>Train</x:v>
      </x:c>
    </x:row>
    <x:row r="1155" ht="34" customHeight="1">
      <x:c r="A1155" s="4" t="str">
        <x:v>RS-01154</x:v>
      </x:c>
      <x:c r="B1155" s="8" t="n">
        <x:v>45357</x:v>
      </x:c>
      <x:c r="C1155" s="4" t="str">
        <x:v>PRJ-014</x:v>
      </x:c>
      <x:c r="D1155" s="4" t="str">
        <x:v>Apartment</x:v>
      </x:c>
      <x:c r="E1155" s="4" t="str">
        <x:v>Booked</x:v>
      </x:c>
      <x:c r="F1155" s="4" t="str">
        <x:v>CUS-01154</x:v>
      </x:c>
      <x:c r="G1155" s="4" t="str">
        <x:v>UNIT-01154</x:v>
      </x:c>
      <x:c r="H1155" s="9" t="n">
        <x:v>19900000</x:v>
      </x:c>
      <x:c r="I1155" s="10" t="n">
        <x:v>0.11</x:v>
      </x:c>
      <x:c r="J1155" s="11" t="n">
        <x:v>1</x:v>
      </x:c>
      <x:c r="K1155" s="11" t="n">
        <x:v>5</x:v>
      </x:c>
      <x:c r="L1155" s="11" t="n">
        <x:v>0</x:v>
      </x:c>
      <x:c r="M1155" s="9" t="n">
        <x:f>ROUND(H1155*(1-I1155),2)</x:f>
        <x:v>17711000</x:v>
      </x:c>
      <x:c r="N1155" s="4" t="str">
        <x:v>Sales head</x:v>
      </x:c>
      <x:c r="O1155" s="4" t="str">
        <x:v>BOOK-01154</x:v>
      </x:c>
      <x:c r="P1155" s="9" t="n">
        <x:v>4427750</x:v>
      </x:c>
      <x:c r="Q1155" s="11" t="n">
        <x:v>0</x:v>
      </x:c>
      <x:c r="R1155" s="8" t="n">
        <x:v>45417</x:v>
      </x:c>
      <x:c r="S1155" s="4" t="str">
        <x:v>Retained</x:v>
      </x:c>
      <x:c r="T1155" s="10" t="n">
        <x:v>0.145833</x:v>
      </x:c>
      <x:c r="U1155" s="4" t="str">
        <x:v>Train</x:v>
      </x:c>
    </x:row>
    <x:row r="1156" ht="34" customHeight="1">
      <x:c r="A1156" s="4" t="str">
        <x:v>RS-01155</x:v>
      </x:c>
      <x:c r="B1156" s="8" t="n">
        <x:v>45358</x:v>
      </x:c>
      <x:c r="C1156" s="4" t="str">
        <x:v>PRJ-015</x:v>
      </x:c>
      <x:c r="D1156" s="4" t="str">
        <x:v>Villa</x:v>
      </x:c>
      <x:c r="E1156" s="4" t="str">
        <x:v>Handed over</x:v>
      </x:c>
      <x:c r="F1156" s="4" t="str">
        <x:v>CUS-01155</x:v>
      </x:c>
      <x:c r="G1156" s="4" t="str">
        <x:v>UNIT-01155</x:v>
      </x:c>
      <x:c r="H1156" s="9" t="n">
        <x:v>12200000</x:v>
      </x:c>
      <x:c r="I1156" s="10" t="n">
        <x:v>0.08</x:v>
      </x:c>
      <x:c r="J1156" s="11" t="n">
        <x:v>8</x:v>
      </x:c>
      <x:c r="K1156" s="11" t="n">
        <x:v>1</x:v>
      </x:c>
      <x:c r="L1156" s="11" t="n">
        <x:v>1</x:v>
      </x:c>
      <x:c r="M1156" s="9" t="n">
        <x:f>ROUND(H1156*(1-I1156),2)</x:f>
        <x:v>11224000</x:v>
      </x:c>
      <x:c r="N1156" s="4" t="str">
        <x:v>Sales head</x:v>
      </x:c>
      <x:c r="O1156" s="4" t="str">
        <x:v>BOOK-01155</x:v>
      </x:c>
      <x:c r="P1156" s="9" t="n">
        <x:v>11224000</x:v>
      </x:c>
      <x:c r="Q1156" s="11" t="n">
        <x:v>0</x:v>
      </x:c>
      <x:c r="R1156" s="8" t="n">
        <x:v>45418</x:v>
      </x:c>
      <x:c r="S1156" s="4" t="str">
        <x:v>Retained</x:v>
      </x:c>
      <x:c r="T1156" s="10" t="n">
        <x:v>0.310195</x:v>
      </x:c>
      <x:c r="U1156" s="4" t="str">
        <x:v>Train</x:v>
      </x:c>
    </x:row>
    <x:row r="1157" ht="34" customHeight="1">
      <x:c r="A1157" s="4" t="str">
        <x:v>RS-01156</x:v>
      </x:c>
      <x:c r="B1157" s="8" t="n">
        <x:v>45359</x:v>
      </x:c>
      <x:c r="C1157" s="4" t="str">
        <x:v>PRJ-016</x:v>
      </x:c>
      <x:c r="D1157" s="4" t="str">
        <x:v>Office</x:v>
      </x:c>
      <x:c r="E1157" s="4" t="str">
        <x:v>Enquiry</x:v>
      </x:c>
      <x:c r="F1157" s="4" t="str">
        <x:v>CUS-01156</x:v>
      </x:c>
      <x:c r="G1157" s="4" t="str">
        <x:v>UNIT-01156</x:v>
      </x:c>
      <x:c r="H1157" s="9" t="n">
        <x:v>19300000</x:v>
      </x:c>
      <x:c r="I1157" s="10" t="n">
        <x:v>0.02</x:v>
      </x:c>
      <x:c r="J1157" s="11" t="n">
        <x:v>5</x:v>
      </x:c>
      <x:c r="K1157" s="11" t="n">
        <x:v>0</x:v>
      </x:c>
      <x:c r="L1157" s="11" t="n">
        <x:v>0</x:v>
      </x:c>
      <x:c r="M1157" s="9" t="n">
        <x:f>ROUND(H1157*(1-I1157),2)</x:f>
        <x:v>18914000</x:v>
      </x:c>
      <x:c r="N1157" s="4" t="str">
        <x:v>Sales manager</x:v>
      </x:c>
      <x:c r="O1157" s="4"/>
      <x:c r="P1157" s="9" t="n">
        <x:v>0</x:v>
      </x:c>
      <x:c r="Q1157" s="11" t="n">
        <x:v>0</x:v>
      </x:c>
      <x:c r="R1157" s="8" t="n">
        <x:v>45419</x:v>
      </x:c>
      <x:c r="S1157" s="4" t="str">
        <x:v>Retained</x:v>
      </x:c>
      <x:c r="T1157" s="10" t="n">
        <x:v>0.298969</x:v>
      </x:c>
      <x:c r="U1157" s="4" t="str">
        <x:v>Train</x:v>
      </x:c>
    </x:row>
    <x:row r="1158" ht="34" customHeight="1">
      <x:c r="A1158" s="4" t="str">
        <x:v>RS-01157</x:v>
      </x:c>
      <x:c r="B1158" s="8" t="n">
        <x:v>45360</x:v>
      </x:c>
      <x:c r="C1158" s="4" t="str">
        <x:v>PRJ-017</x:v>
      </x:c>
      <x:c r="D1158" s="4" t="str">
        <x:v>Villa</x:v>
      </x:c>
      <x:c r="E1158" s="4" t="str">
        <x:v>Handed over</x:v>
      </x:c>
      <x:c r="F1158" s="4" t="str">
        <x:v>CUS-01157</x:v>
      </x:c>
      <x:c r="G1158" s="4" t="str">
        <x:v>UNIT-01157</x:v>
      </x:c>
      <x:c r="H1158" s="9" t="n">
        <x:v>6400000</x:v>
      </x:c>
      <x:c r="I1158" s="10" t="n">
        <x:v>0.08</x:v>
      </x:c>
      <x:c r="J1158" s="11" t="n">
        <x:v>7</x:v>
      </x:c>
      <x:c r="K1158" s="11" t="n">
        <x:v>3</x:v>
      </x:c>
      <x:c r="L1158" s="11" t="n">
        <x:v>0</x:v>
      </x:c>
      <x:c r="M1158" s="9" t="n">
        <x:f>ROUND(H1158*(1-I1158),2)</x:f>
        <x:v>5888000</x:v>
      </x:c>
      <x:c r="N1158" s="4" t="str">
        <x:v>Sales head</x:v>
      </x:c>
      <x:c r="O1158" s="4" t="str">
        <x:v>BOOK-01157</x:v>
      </x:c>
      <x:c r="P1158" s="9" t="n">
        <x:v>2944000</x:v>
      </x:c>
      <x:c r="Q1158" s="11" t="n">
        <x:v>0</x:v>
      </x:c>
      <x:c r="R1158" s="8" t="n">
        <x:v>45420</x:v>
      </x:c>
      <x:c r="S1158" s="4" t="str">
        <x:v>Retained</x:v>
      </x:c>
      <x:c r="T1158" s="10" t="n">
        <x:v>0.226277</x:v>
      </x:c>
      <x:c r="U1158" s="4" t="str">
        <x:v>Train</x:v>
      </x:c>
    </x:row>
    <x:row r="1159" ht="34" customHeight="1">
      <x:c r="A1159" s="4" t="str">
        <x:v>RS-01158</x:v>
      </x:c>
      <x:c r="B1159" s="8" t="n">
        <x:v>45361</x:v>
      </x:c>
      <x:c r="C1159" s="4" t="str">
        <x:v>PRJ-018</x:v>
      </x:c>
      <x:c r="D1159" s="4" t="str">
        <x:v>Retail</x:v>
      </x:c>
      <x:c r="E1159" s="4" t="str">
        <x:v>Handed over</x:v>
      </x:c>
      <x:c r="F1159" s="4" t="str">
        <x:v>CUS-01158</x:v>
      </x:c>
      <x:c r="G1159" s="4" t="str">
        <x:v>UNIT-01158</x:v>
      </x:c>
      <x:c r="H1159" s="9" t="n">
        <x:v>6100000</x:v>
      </x:c>
      <x:c r="I1159" s="10" t="n">
        <x:v>0.02</x:v>
      </x:c>
      <x:c r="J1159" s="11" t="n">
        <x:v>10</x:v>
      </x:c>
      <x:c r="K1159" s="11" t="n">
        <x:v>3</x:v>
      </x:c>
      <x:c r="L1159" s="11" t="n">
        <x:v>1</x:v>
      </x:c>
      <x:c r="M1159" s="9" t="n">
        <x:f>ROUND(H1159*(1-I1159),2)</x:f>
        <x:v>5978000</x:v>
      </x:c>
      <x:c r="N1159" s="4" t="str">
        <x:v>Sales manager</x:v>
      </x:c>
      <x:c r="O1159" s="4" t="str">
        <x:v>BOOK-01158</x:v>
      </x:c>
      <x:c r="P1159" s="9" t="n">
        <x:v>597800</x:v>
      </x:c>
      <x:c r="Q1159" s="11" t="n">
        <x:v>0</x:v>
      </x:c>
      <x:c r="R1159" s="8" t="n">
        <x:v>45421</x:v>
      </x:c>
      <x:c r="S1159" s="4" t="str">
        <x:v>Retained</x:v>
      </x:c>
      <x:c r="T1159" s="10" t="n">
        <x:v>0.254545</x:v>
      </x:c>
      <x:c r="U1159" s="4" t="str">
        <x:v>Train</x:v>
      </x:c>
    </x:row>
    <x:row r="1160" ht="34" customHeight="1">
      <x:c r="A1160" s="4" t="str">
        <x:v>RS-01159</x:v>
      </x:c>
      <x:c r="B1160" s="8" t="n">
        <x:v>45362</x:v>
      </x:c>
      <x:c r="C1160" s="4" t="str">
        <x:v>PRJ-019</x:v>
      </x:c>
      <x:c r="D1160" s="4" t="str">
        <x:v>Apartment</x:v>
      </x:c>
      <x:c r="E1160" s="4" t="str">
        <x:v>Cancelled</x:v>
      </x:c>
      <x:c r="F1160" s="4" t="str">
        <x:v>CUS-01159</x:v>
      </x:c>
      <x:c r="G1160" s="4" t="str">
        <x:v>UNIT-01159</x:v>
      </x:c>
      <x:c r="H1160" s="9" t="n">
        <x:v>7800000</x:v>
      </x:c>
      <x:c r="I1160" s="10" t="n">
        <x:v>0.05</x:v>
      </x:c>
      <x:c r="J1160" s="11" t="n">
        <x:v>2</x:v>
      </x:c>
      <x:c r="K1160" s="11" t="n">
        <x:v>8</x:v>
      </x:c>
      <x:c r="L1160" s="11" t="n">
        <x:v>1</x:v>
      </x:c>
      <x:c r="M1160" s="9" t="n">
        <x:f>ROUND(H1160*(1-I1160),2)</x:f>
        <x:v>7410000</x:v>
      </x:c>
      <x:c r="N1160" s="4" t="str">
        <x:v>Sales manager</x:v>
      </x:c>
      <x:c r="O1160" s="4"/>
      <x:c r="P1160" s="9" t="n">
        <x:v>0</x:v>
      </x:c>
      <x:c r="Q1160" s="11" t="n">
        <x:v>1</x:v>
      </x:c>
      <x:c r="R1160" s="8" t="n">
        <x:v>45422</x:v>
      </x:c>
      <x:c r="S1160" s="4" t="str">
        <x:v>Lost / cancelled</x:v>
      </x:c>
      <x:c r="T1160" s="10" t="n">
        <x:v>0.204152</x:v>
      </x:c>
      <x:c r="U1160" s="4" t="str">
        <x:v>Train</x:v>
      </x:c>
    </x:row>
    <x:row r="1161" ht="34" customHeight="1">
      <x:c r="A1161" s="4" t="str">
        <x:v>RS-01160</x:v>
      </x:c>
      <x:c r="B1161" s="8" t="n">
        <x:v>45363</x:v>
      </x:c>
      <x:c r="C1161" s="4" t="str">
        <x:v>PRJ-020</x:v>
      </x:c>
      <x:c r="D1161" s="4" t="str">
        <x:v>Apartment</x:v>
      </x:c>
      <x:c r="E1161" s="4" t="str">
        <x:v>Reserved</x:v>
      </x:c>
      <x:c r="F1161" s="4" t="str">
        <x:v>CUS-01160</x:v>
      </x:c>
      <x:c r="G1161" s="4" t="str">
        <x:v>UNIT-01160</x:v>
      </x:c>
      <x:c r="H1161" s="9" t="n">
        <x:v>24500000</x:v>
      </x:c>
      <x:c r="I1161" s="10" t="n">
        <x:v>0.1</x:v>
      </x:c>
      <x:c r="J1161" s="11" t="n">
        <x:v>6</x:v>
      </x:c>
      <x:c r="K1161" s="11" t="n">
        <x:v>5</x:v>
      </x:c>
      <x:c r="L1161" s="11" t="n">
        <x:v>0</x:v>
      </x:c>
      <x:c r="M1161" s="9" t="n">
        <x:f>ROUND(H1161*(1-I1161),2)</x:f>
        <x:v>22050000</x:v>
      </x:c>
      <x:c r="N1161" s="4" t="str">
        <x:v>Sales head</x:v>
      </x:c>
      <x:c r="O1161" s="4"/>
      <x:c r="P1161" s="9" t="n">
        <x:v>0</x:v>
      </x:c>
      <x:c r="Q1161" s="11" t="n">
        <x:v>0</x:v>
      </x:c>
      <x:c r="R1161" s="8" t="n">
        <x:v>45423</x:v>
      </x:c>
      <x:c r="S1161" s="4" t="str">
        <x:v>Retained</x:v>
      </x:c>
      <x:c r="T1161" s="10" t="n">
        <x:v>0.226277</x:v>
      </x:c>
      <x:c r="U1161" s="4" t="str">
        <x:v>Train</x:v>
      </x:c>
    </x:row>
    <x:row r="1162" ht="34" customHeight="1">
      <x:c r="A1162" s="4" t="str">
        <x:v>RS-01161</x:v>
      </x:c>
      <x:c r="B1162" s="8" t="n">
        <x:v>45364</x:v>
      </x:c>
      <x:c r="C1162" s="4" t="str">
        <x:v>PRJ-001</x:v>
      </x:c>
      <x:c r="D1162" s="4" t="str">
        <x:v>Villa</x:v>
      </x:c>
      <x:c r="E1162" s="4" t="str">
        <x:v>Enquiry</x:v>
      </x:c>
      <x:c r="F1162" s="4" t="str">
        <x:v>CUS-01161</x:v>
      </x:c>
      <x:c r="G1162" s="4" t="str">
        <x:v>UNIT-01161</x:v>
      </x:c>
      <x:c r="H1162" s="9" t="n">
        <x:v>21300000</x:v>
      </x:c>
      <x:c r="I1162" s="10" t="n">
        <x:v>0.04</x:v>
      </x:c>
      <x:c r="J1162" s="11" t="n">
        <x:v>6</x:v>
      </x:c>
      <x:c r="K1162" s="11" t="n">
        <x:v>4</x:v>
      </x:c>
      <x:c r="L1162" s="11" t="n">
        <x:v>1</x:v>
      </x:c>
      <x:c r="M1162" s="9" t="n">
        <x:f>ROUND(H1162*(1-I1162),2)</x:f>
        <x:v>20448000</x:v>
      </x:c>
      <x:c r="N1162" s="4" t="str">
        <x:v>Sales manager</x:v>
      </x:c>
      <x:c r="O1162" s="4"/>
      <x:c r="P1162" s="9" t="n">
        <x:v>0</x:v>
      </x:c>
      <x:c r="Q1162" s="11" t="n">
        <x:v>0</x:v>
      </x:c>
      <x:c r="R1162" s="8" t="n">
        <x:v>45424</x:v>
      </x:c>
      <x:c r="S1162" s="4" t="str">
        <x:v>Retained</x:v>
      </x:c>
      <x:c r="T1162" s="10" t="n">
        <x:v>0.291946</x:v>
      </x:c>
      <x:c r="U1162" s="4" t="str">
        <x:v>Train</x:v>
      </x:c>
    </x:row>
    <x:row r="1163" ht="34" customHeight="1">
      <x:c r="A1163" s="4" t="str">
        <x:v>RS-01162</x:v>
      </x:c>
      <x:c r="B1163" s="8" t="n">
        <x:v>45365</x:v>
      </x:c>
      <x:c r="C1163" s="4" t="str">
        <x:v>PRJ-002</x:v>
      </x:c>
      <x:c r="D1163" s="4" t="str">
        <x:v>Apartment</x:v>
      </x:c>
      <x:c r="E1163" s="4" t="str">
        <x:v>Booked</x:v>
      </x:c>
      <x:c r="F1163" s="4" t="str">
        <x:v>CUS-01162</x:v>
      </x:c>
      <x:c r="G1163" s="4" t="str">
        <x:v>UNIT-01162</x:v>
      </x:c>
      <x:c r="H1163" s="9" t="n">
        <x:v>10000000</x:v>
      </x:c>
      <x:c r="I1163" s="10" t="n">
        <x:v>0.11</x:v>
      </x:c>
      <x:c r="J1163" s="11" t="n">
        <x:v>5</x:v>
      </x:c>
      <x:c r="K1163" s="11" t="n">
        <x:v>2</x:v>
      </x:c>
      <x:c r="L1163" s="11" t="n">
        <x:v>0</x:v>
      </x:c>
      <x:c r="M1163" s="9" t="n">
        <x:f>ROUND(H1163*(1-I1163),2)</x:f>
        <x:v>8900000</x:v>
      </x:c>
      <x:c r="N1163" s="4" t="str">
        <x:v>Sales head</x:v>
      </x:c>
      <x:c r="O1163" s="4" t="str">
        <x:v>BOOK-01162</x:v>
      </x:c>
      <x:c r="P1163" s="9" t="n">
        <x:v>8900000</x:v>
      </x:c>
      <x:c r="Q1163" s="11" t="n">
        <x:v>0</x:v>
      </x:c>
      <x:c r="R1163" s="8" t="n">
        <x:v>45425</x:v>
      </x:c>
      <x:c r="S1163" s="4" t="str">
        <x:v>Retained</x:v>
      </x:c>
      <x:c r="T1163" s="10" t="n">
        <x:v>0.226277</x:v>
      </x:c>
      <x:c r="U1163" s="4" t="str">
        <x:v>Train</x:v>
      </x:c>
    </x:row>
    <x:row r="1164" ht="34" customHeight="1">
      <x:c r="A1164" s="4" t="str">
        <x:v>RS-01163</x:v>
      </x:c>
      <x:c r="B1164" s="8" t="n">
        <x:v>45366</x:v>
      </x:c>
      <x:c r="C1164" s="4" t="str">
        <x:v>PRJ-003</x:v>
      </x:c>
      <x:c r="D1164" s="4" t="str">
        <x:v>Retail</x:v>
      </x:c>
      <x:c r="E1164" s="4" t="str">
        <x:v>Cancelled</x:v>
      </x:c>
      <x:c r="F1164" s="4" t="str">
        <x:v>CUS-01163</x:v>
      </x:c>
      <x:c r="G1164" s="4" t="str">
        <x:v>UNIT-01163</x:v>
      </x:c>
      <x:c r="H1164" s="9" t="n">
        <x:v>12400000</x:v>
      </x:c>
      <x:c r="I1164" s="10" t="n">
        <x:v>0.06</x:v>
      </x:c>
      <x:c r="J1164" s="11" t="n">
        <x:v>2</x:v>
      </x:c>
      <x:c r="K1164" s="11" t="n">
        <x:v>3</x:v>
      </x:c>
      <x:c r="L1164" s="11" t="n">
        <x:v>0</x:v>
      </x:c>
      <x:c r="M1164" s="9" t="n">
        <x:f>ROUND(H1164*(1-I1164),2)</x:f>
        <x:v>11656000</x:v>
      </x:c>
      <x:c r="N1164" s="4" t="str">
        <x:v>Sales manager</x:v>
      </x:c>
      <x:c r="O1164" s="4"/>
      <x:c r="P1164" s="9" t="n">
        <x:v>0</x:v>
      </x:c>
      <x:c r="Q1164" s="11" t="n">
        <x:v>1</x:v>
      </x:c>
      <x:c r="R1164" s="8" t="n">
        <x:v>45426</x:v>
      </x:c>
      <x:c r="S1164" s="4" t="str">
        <x:v>Lost / cancelled</x:v>
      </x:c>
      <x:c r="T1164" s="10" t="n">
        <x:v>0.204152</x:v>
      </x:c>
      <x:c r="U1164" s="4" t="str">
        <x:v>Train</x:v>
      </x:c>
    </x:row>
    <x:row r="1165" ht="34" customHeight="1">
      <x:c r="A1165" s="4" t="str">
        <x:v>RS-01164</x:v>
      </x:c>
      <x:c r="B1165" s="8" t="n">
        <x:v>45367</x:v>
      </x:c>
      <x:c r="C1165" s="4" t="str">
        <x:v>PRJ-004</x:v>
      </x:c>
      <x:c r="D1165" s="4" t="str">
        <x:v>Villa</x:v>
      </x:c>
      <x:c r="E1165" s="4" t="str">
        <x:v>Enquiry</x:v>
      </x:c>
      <x:c r="F1165" s="4" t="str">
        <x:v>CUS-01164</x:v>
      </x:c>
      <x:c r="G1165" s="4" t="str">
        <x:v>UNIT-01164</x:v>
      </x:c>
      <x:c r="H1165" s="9" t="n">
        <x:v>20800000</x:v>
      </x:c>
      <x:c r="I1165" s="10" t="n">
        <x:v>0.03</x:v>
      </x:c>
      <x:c r="J1165" s="11" t="n">
        <x:v>8</x:v>
      </x:c>
      <x:c r="K1165" s="11" t="n">
        <x:v>6</x:v>
      </x:c>
      <x:c r="L1165" s="11" t="n">
        <x:v>0</x:v>
      </x:c>
      <x:c r="M1165" s="9" t="n">
        <x:f>ROUND(H1165*(1-I1165),2)</x:f>
        <x:v>20176000</x:v>
      </x:c>
      <x:c r="N1165" s="4" t="str">
        <x:v>Sales manager</x:v>
      </x:c>
      <x:c r="O1165" s="4"/>
      <x:c r="P1165" s="9" t="n">
        <x:v>0</x:v>
      </x:c>
      <x:c r="Q1165" s="11" t="n">
        <x:v>0</x:v>
      </x:c>
      <x:c r="R1165" s="8" t="n">
        <x:v>45427</x:v>
      </x:c>
      <x:c r="S1165" s="4" t="str">
        <x:v>Retained</x:v>
      </x:c>
      <x:c r="T1165" s="10" t="n">
        <x:v>0.310195</x:v>
      </x:c>
      <x:c r="U1165" s="4" t="str">
        <x:v>Train</x:v>
      </x:c>
    </x:row>
    <x:row r="1166" ht="34" customHeight="1">
      <x:c r="A1166" s="4" t="str">
        <x:v>RS-01165</x:v>
      </x:c>
      <x:c r="B1166" s="8" t="n">
        <x:v>45368</x:v>
      </x:c>
      <x:c r="C1166" s="4" t="str">
        <x:v>PRJ-005</x:v>
      </x:c>
      <x:c r="D1166" s="4" t="str">
        <x:v>Villa</x:v>
      </x:c>
      <x:c r="E1166" s="4" t="str">
        <x:v>Enquiry</x:v>
      </x:c>
      <x:c r="F1166" s="4" t="str">
        <x:v>CUS-01165</x:v>
      </x:c>
      <x:c r="G1166" s="4" t="str">
        <x:v>UNIT-01165</x:v>
      </x:c>
      <x:c r="H1166" s="9" t="n">
        <x:v>12800000</x:v>
      </x:c>
      <x:c r="I1166" s="10" t="n">
        <x:v>0.06</x:v>
      </x:c>
      <x:c r="J1166" s="11" t="n">
        <x:v>0</x:v>
      </x:c>
      <x:c r="K1166" s="11" t="n">
        <x:v>1</x:v>
      </x:c>
      <x:c r="L1166" s="11" t="n">
        <x:v>0</x:v>
      </x:c>
      <x:c r="M1166" s="9" t="n">
        <x:f>ROUND(H1166*(1-I1166),2)</x:f>
        <x:v>12032000</x:v>
      </x:c>
      <x:c r="N1166" s="4" t="str">
        <x:v>Sales manager</x:v>
      </x:c>
      <x:c r="O1166" s="4"/>
      <x:c r="P1166" s="9" t="n">
        <x:v>0</x:v>
      </x:c>
      <x:c r="Q1166" s="11" t="n">
        <x:v>0</x:v>
      </x:c>
      <x:c r="R1166" s="8" t="n">
        <x:v>45428</x:v>
      </x:c>
      <x:c r="S1166" s="4" t="str">
        <x:v>Retained</x:v>
      </x:c>
      <x:c r="T1166" s="10" t="n">
        <x:v>0.204152</x:v>
      </x:c>
      <x:c r="U1166" s="4" t="str">
        <x:v>Train</x:v>
      </x:c>
    </x:row>
    <x:row r="1167" ht="34" customHeight="1">
      <x:c r="A1167" s="4" t="str">
        <x:v>RS-01166</x:v>
      </x:c>
      <x:c r="B1167" s="8" t="n">
        <x:v>45369</x:v>
      </x:c>
      <x:c r="C1167" s="4" t="str">
        <x:v>PRJ-006</x:v>
      </x:c>
      <x:c r="D1167" s="4" t="str">
        <x:v>Villa</x:v>
      </x:c>
      <x:c r="E1167" s="4" t="str">
        <x:v>Agreement signed</x:v>
      </x:c>
      <x:c r="F1167" s="4" t="str">
        <x:v>CUS-01166</x:v>
      </x:c>
      <x:c r="G1167" s="4" t="str">
        <x:v>UNIT-01166</x:v>
      </x:c>
      <x:c r="H1167" s="9" t="n">
        <x:v>13800000</x:v>
      </x:c>
      <x:c r="I1167" s="10" t="n">
        <x:v>0.12</x:v>
      </x:c>
      <x:c r="J1167" s="11" t="n">
        <x:v>12</x:v>
      </x:c>
      <x:c r="K1167" s="11" t="n">
        <x:v>3</x:v>
      </x:c>
      <x:c r="L1167" s="11" t="n">
        <x:v>1</x:v>
      </x:c>
      <x:c r="M1167" s="9" t="n">
        <x:f>ROUND(H1167*(1-I1167),2)</x:f>
        <x:v>12144000</x:v>
      </x:c>
      <x:c r="N1167" s="4" t="str">
        <x:v>Sales head</x:v>
      </x:c>
      <x:c r="O1167" s="4" t="str">
        <x:v>BOOK-01166</x:v>
      </x:c>
      <x:c r="P1167" s="9" t="n">
        <x:v>12144000</x:v>
      </x:c>
      <x:c r="Q1167" s="11" t="n">
        <x:v>0</x:v>
      </x:c>
      <x:c r="R1167" s="8" t="n">
        <x:v>45429</x:v>
      </x:c>
      <x:c r="S1167" s="4" t="str">
        <x:v>Retained</x:v>
      </x:c>
      <x:c r="T1167" s="10" t="n">
        <x:v>0.351536</x:v>
      </x:c>
      <x:c r="U1167" s="4" t="str">
        <x:v>Train</x:v>
      </x:c>
    </x:row>
    <x:row r="1168" ht="34" customHeight="1">
      <x:c r="A1168" s="4" t="str">
        <x:v>RS-01167</x:v>
      </x:c>
      <x:c r="B1168" s="8" t="n">
        <x:v>45370</x:v>
      </x:c>
      <x:c r="C1168" s="4" t="str">
        <x:v>PRJ-007</x:v>
      </x:c>
      <x:c r="D1168" s="4" t="str">
        <x:v>Retail</x:v>
      </x:c>
      <x:c r="E1168" s="4" t="str">
        <x:v>Handed over</x:v>
      </x:c>
      <x:c r="F1168" s="4" t="str">
        <x:v>CUS-01167</x:v>
      </x:c>
      <x:c r="G1168" s="4" t="str">
        <x:v>UNIT-01167</x:v>
      </x:c>
      <x:c r="H1168" s="9" t="n">
        <x:v>14700000</x:v>
      </x:c>
      <x:c r="I1168" s="10" t="n">
        <x:v>0</x:v>
      </x:c>
      <x:c r="J1168" s="11" t="n">
        <x:v>5</x:v>
      </x:c>
      <x:c r="K1168" s="11" t="n">
        <x:v>1</x:v>
      </x:c>
      <x:c r="L1168" s="11" t="n">
        <x:v>1</x:v>
      </x:c>
      <x:c r="M1168" s="9" t="n">
        <x:f>ROUND(H1168*(1-I1168),2)</x:f>
        <x:v>14700000</x:v>
      </x:c>
      <x:c r="N1168" s="4" t="str">
        <x:v>Sales manager</x:v>
      </x:c>
      <x:c r="O1168" s="4" t="str">
        <x:v>BOOK-01167</x:v>
      </x:c>
      <x:c r="P1168" s="9" t="n">
        <x:v>14700000</x:v>
      </x:c>
      <x:c r="Q1168" s="11" t="n">
        <x:v>0</x:v>
      </x:c>
      <x:c r="R1168" s="8" t="n">
        <x:v>45430</x:v>
      </x:c>
      <x:c r="S1168" s="4" t="str">
        <x:v>Retained</x:v>
      </x:c>
      <x:c r="T1168" s="10" t="n">
        <x:v>0.298969</x:v>
      </x:c>
      <x:c r="U1168" s="4" t="str">
        <x:v>Train</x:v>
      </x:c>
    </x:row>
    <x:row r="1169" ht="34" customHeight="1">
      <x:c r="A1169" s="4" t="str">
        <x:v>RS-01168</x:v>
      </x:c>
      <x:c r="B1169" s="8" t="n">
        <x:v>45371</x:v>
      </x:c>
      <x:c r="C1169" s="4" t="str">
        <x:v>PRJ-008</x:v>
      </x:c>
      <x:c r="D1169" s="4" t="str">
        <x:v>Retail</x:v>
      </x:c>
      <x:c r="E1169" s="4" t="str">
        <x:v>Handed over</x:v>
      </x:c>
      <x:c r="F1169" s="4" t="str">
        <x:v>CUS-01168</x:v>
      </x:c>
      <x:c r="G1169" s="4" t="str">
        <x:v>UNIT-01168</x:v>
      </x:c>
      <x:c r="H1169" s="9" t="n">
        <x:v>17200000</x:v>
      </x:c>
      <x:c r="I1169" s="10" t="n">
        <x:v>0.01</x:v>
      </x:c>
      <x:c r="J1169" s="11" t="n">
        <x:v>4</x:v>
      </x:c>
      <x:c r="K1169" s="11" t="n">
        <x:v>2</x:v>
      </x:c>
      <x:c r="L1169" s="11" t="n">
        <x:v>0</x:v>
      </x:c>
      <x:c r="M1169" s="9" t="n">
        <x:f>ROUND(H1169*(1-I1169),2)</x:f>
        <x:v>17028000</x:v>
      </x:c>
      <x:c r="N1169" s="4" t="str">
        <x:v>Sales manager</x:v>
      </x:c>
      <x:c r="O1169" s="4" t="str">
        <x:v>BOOK-01168</x:v>
      </x:c>
      <x:c r="P1169" s="9" t="n">
        <x:v>8514000</x:v>
      </x:c>
      <x:c r="Q1169" s="11" t="n">
        <x:v>0</x:v>
      </x:c>
      <x:c r="R1169" s="8" t="n">
        <x:v>45431</x:v>
      </x:c>
      <x:c r="S1169" s="4" t="str">
        <x:v>Retained</x:v>
      </x:c>
      <x:c r="T1169" s="10" t="n">
        <x:v>0.298969</x:v>
      </x:c>
      <x:c r="U1169" s="4" t="str">
        <x:v>Train</x:v>
      </x:c>
    </x:row>
    <x:row r="1170" ht="34" customHeight="1">
      <x:c r="A1170" s="4" t="str">
        <x:v>RS-01169</x:v>
      </x:c>
      <x:c r="B1170" s="8" t="n">
        <x:v>45372</x:v>
      </x:c>
      <x:c r="C1170" s="4" t="str">
        <x:v>PRJ-009</x:v>
      </x:c>
      <x:c r="D1170" s="4" t="str">
        <x:v>Office</x:v>
      </x:c>
      <x:c r="E1170" s="4" t="str">
        <x:v>Enquiry</x:v>
      </x:c>
      <x:c r="F1170" s="4" t="str">
        <x:v>CUS-01169</x:v>
      </x:c>
      <x:c r="G1170" s="4" t="str">
        <x:v>UNIT-01169</x:v>
      </x:c>
      <x:c r="H1170" s="9" t="n">
        <x:v>6400000</x:v>
      </x:c>
      <x:c r="I1170" s="10" t="n">
        <x:v>0.11</x:v>
      </x:c>
      <x:c r="J1170" s="11" t="n">
        <x:v>10</x:v>
      </x:c>
      <x:c r="K1170" s="11" t="n">
        <x:v>0</x:v>
      </x:c>
      <x:c r="L1170" s="11" t="n">
        <x:v>0</x:v>
      </x:c>
      <x:c r="M1170" s="9" t="n">
        <x:f>ROUND(H1170*(1-I1170),2)</x:f>
        <x:v>5696000</x:v>
      </x:c>
      <x:c r="N1170" s="4" t="str">
        <x:v>Sales head</x:v>
      </x:c>
      <x:c r="O1170" s="4"/>
      <x:c r="P1170" s="9" t="n">
        <x:v>0</x:v>
      </x:c>
      <x:c r="Q1170" s="11" t="n">
        <x:v>0</x:v>
      </x:c>
      <x:c r="R1170" s="8" t="n">
        <x:v>45432</x:v>
      </x:c>
      <x:c r="S1170" s="4" t="str">
        <x:v>Retained</x:v>
      </x:c>
      <x:c r="T1170" s="10" t="n">
        <x:v>0.310195</x:v>
      </x:c>
      <x:c r="U1170" s="4" t="str">
        <x:v>Train</x:v>
      </x:c>
    </x:row>
    <x:row r="1171" ht="34" customHeight="1">
      <x:c r="A1171" s="4" t="str">
        <x:v>RS-01170</x:v>
      </x:c>
      <x:c r="B1171" s="8" t="n">
        <x:v>45373</x:v>
      </x:c>
      <x:c r="C1171" s="4" t="str">
        <x:v>PRJ-010</x:v>
      </x:c>
      <x:c r="D1171" s="4" t="str">
        <x:v>Office</x:v>
      </x:c>
      <x:c r="E1171" s="4" t="str">
        <x:v>Booked</x:v>
      </x:c>
      <x:c r="F1171" s="4" t="str">
        <x:v>CUS-01170</x:v>
      </x:c>
      <x:c r="G1171" s="4" t="str">
        <x:v>UNIT-01170</x:v>
      </x:c>
      <x:c r="H1171" s="9" t="n">
        <x:v>24000000</x:v>
      </x:c>
      <x:c r="I1171" s="10" t="n">
        <x:v>0.05</x:v>
      </x:c>
      <x:c r="J1171" s="11" t="n">
        <x:v>12</x:v>
      </x:c>
      <x:c r="K1171" s="11" t="n">
        <x:v>2</x:v>
      </x:c>
      <x:c r="L1171" s="11" t="n">
        <x:v>1</x:v>
      </x:c>
      <x:c r="M1171" s="9" t="n">
        <x:f>ROUND(H1171*(1-I1171),2)</x:f>
        <x:v>22800000</x:v>
      </x:c>
      <x:c r="N1171" s="4" t="str">
        <x:v>Sales manager</x:v>
      </x:c>
      <x:c r="O1171" s="4" t="str">
        <x:v>BOOK-01170</x:v>
      </x:c>
      <x:c r="P1171" s="9" t="n">
        <x:v>11400000</x:v>
      </x:c>
      <x:c r="Q1171" s="11" t="n">
        <x:v>0</x:v>
      </x:c>
      <x:c r="R1171" s="8" t="n">
        <x:v>45433</x:v>
      </x:c>
      <x:c r="S1171" s="4" t="str">
        <x:v>Retained</x:v>
      </x:c>
      <x:c r="T1171" s="10" t="n">
        <x:v>0.351536</x:v>
      </x:c>
      <x:c r="U1171" s="4" t="str">
        <x:v>Train</x:v>
      </x:c>
    </x:row>
    <x:row r="1172" ht="34" customHeight="1">
      <x:c r="A1172" s="4" t="str">
        <x:v>RS-01171</x:v>
      </x:c>
      <x:c r="B1172" s="8" t="n">
        <x:v>45374</x:v>
      </x:c>
      <x:c r="C1172" s="4" t="str">
        <x:v>PRJ-011</x:v>
      </x:c>
      <x:c r="D1172" s="4" t="str">
        <x:v>Office</x:v>
      </x:c>
      <x:c r="E1172" s="4" t="str">
        <x:v>Enquiry</x:v>
      </x:c>
      <x:c r="F1172" s="4" t="str">
        <x:v>CUS-01171</x:v>
      </x:c>
      <x:c r="G1172" s="4" t="str">
        <x:v>UNIT-01171</x:v>
      </x:c>
      <x:c r="H1172" s="9" t="n">
        <x:v>23200000</x:v>
      </x:c>
      <x:c r="I1172" s="10" t="n">
        <x:v>0.11</x:v>
      </x:c>
      <x:c r="J1172" s="11" t="n">
        <x:v>5</x:v>
      </x:c>
      <x:c r="K1172" s="11" t="n">
        <x:v>0</x:v>
      </x:c>
      <x:c r="L1172" s="11" t="n">
        <x:v>1</x:v>
      </x:c>
      <x:c r="M1172" s="9" t="n">
        <x:f>ROUND(H1172*(1-I1172),2)</x:f>
        <x:v>20648000</x:v>
      </x:c>
      <x:c r="N1172" s="4" t="str">
        <x:v>Sales head</x:v>
      </x:c>
      <x:c r="O1172" s="4"/>
      <x:c r="P1172" s="9" t="n">
        <x:v>0</x:v>
      </x:c>
      <x:c r="Q1172" s="11" t="n">
        <x:v>0</x:v>
      </x:c>
      <x:c r="R1172" s="8" t="n">
        <x:v>45434</x:v>
      </x:c>
      <x:c r="S1172" s="4" t="str">
        <x:v>Retained</x:v>
      </x:c>
      <x:c r="T1172" s="10" t="n">
        <x:v>0.291946</x:v>
      </x:c>
      <x:c r="U1172" s="4" t="str">
        <x:v>Train</x:v>
      </x:c>
    </x:row>
    <x:row r="1173" ht="34" customHeight="1">
      <x:c r="A1173" s="4" t="str">
        <x:v>RS-01172</x:v>
      </x:c>
      <x:c r="B1173" s="8" t="n">
        <x:v>45375</x:v>
      </x:c>
      <x:c r="C1173" s="4" t="str">
        <x:v>PRJ-012</x:v>
      </x:c>
      <x:c r="D1173" s="4" t="str">
        <x:v>Villa</x:v>
      </x:c>
      <x:c r="E1173" s="4" t="str">
        <x:v>Handed over</x:v>
      </x:c>
      <x:c r="F1173" s="4" t="str">
        <x:v>CUS-01172</x:v>
      </x:c>
      <x:c r="G1173" s="4" t="str">
        <x:v>UNIT-01172</x:v>
      </x:c>
      <x:c r="H1173" s="9" t="n">
        <x:v>10200000</x:v>
      </x:c>
      <x:c r="I1173" s="10" t="n">
        <x:v>0.04</x:v>
      </x:c>
      <x:c r="J1173" s="11" t="n">
        <x:v>7</x:v>
      </x:c>
      <x:c r="K1173" s="11" t="n">
        <x:v>10</x:v>
      </x:c>
      <x:c r="L1173" s="11" t="n">
        <x:v>0</x:v>
      </x:c>
      <x:c r="M1173" s="9" t="n">
        <x:f>ROUND(H1173*(1-I1173),2)</x:f>
        <x:v>9792000</x:v>
      </x:c>
      <x:c r="N1173" s="4" t="str">
        <x:v>Sales manager</x:v>
      </x:c>
      <x:c r="O1173" s="4" t="str">
        <x:v>BOOK-01172</x:v>
      </x:c>
      <x:c r="P1173" s="9" t="n">
        <x:v>2448000</x:v>
      </x:c>
      <x:c r="Q1173" s="11" t="n">
        <x:v>0</x:v>
      </x:c>
      <x:c r="R1173" s="8" t="n">
        <x:v>45435</x:v>
      </x:c>
      <x:c r="S1173" s="4" t="str">
        <x:v>Retained</x:v>
      </x:c>
      <x:c r="T1173" s="10" t="n">
        <x:v>0.226277</x:v>
      </x:c>
      <x:c r="U1173" s="4" t="str">
        <x:v>Train</x:v>
      </x:c>
    </x:row>
    <x:row r="1174" ht="34" customHeight="1">
      <x:c r="A1174" s="4" t="str">
        <x:v>RS-01173</x:v>
      </x:c>
      <x:c r="B1174" s="8" t="n">
        <x:v>45376</x:v>
      </x:c>
      <x:c r="C1174" s="4" t="str">
        <x:v>PRJ-013</x:v>
      </x:c>
      <x:c r="D1174" s="4" t="str">
        <x:v>Office</x:v>
      </x:c>
      <x:c r="E1174" s="4" t="str">
        <x:v>Handed over</x:v>
      </x:c>
      <x:c r="F1174" s="4" t="str">
        <x:v>CUS-01173</x:v>
      </x:c>
      <x:c r="G1174" s="4" t="str">
        <x:v>UNIT-01173</x:v>
      </x:c>
      <x:c r="H1174" s="9" t="n">
        <x:v>12000000</x:v>
      </x:c>
      <x:c r="I1174" s="10" t="n">
        <x:v>0.06</x:v>
      </x:c>
      <x:c r="J1174" s="11" t="n">
        <x:v>4</x:v>
      </x:c>
      <x:c r="K1174" s="11" t="n">
        <x:v>10</x:v>
      </x:c>
      <x:c r="L1174" s="11" t="n">
        <x:v>1</x:v>
      </x:c>
      <x:c r="M1174" s="9" t="n">
        <x:f>ROUND(H1174*(1-I1174),2)</x:f>
        <x:v>11280000</x:v>
      </x:c>
      <x:c r="N1174" s="4" t="str">
        <x:v>Sales manager</x:v>
      </x:c>
      <x:c r="O1174" s="4" t="str">
        <x:v>BOOK-01173</x:v>
      </x:c>
      <x:c r="P1174" s="9" t="n">
        <x:v>1128000</x:v>
      </x:c>
      <x:c r="Q1174" s="11" t="n">
        <x:v>0</x:v>
      </x:c>
      <x:c r="R1174" s="8" t="n">
        <x:v>45436</x:v>
      </x:c>
      <x:c r="S1174" s="4" t="str">
        <x:v>Retained</x:v>
      </x:c>
      <x:c r="T1174" s="10" t="n">
        <x:v>0.291946</x:v>
      </x:c>
      <x:c r="U1174" s="4" t="str">
        <x:v>Train</x:v>
      </x:c>
    </x:row>
    <x:row r="1175" ht="34" customHeight="1">
      <x:c r="A1175" s="4" t="str">
        <x:v>RS-01174</x:v>
      </x:c>
      <x:c r="B1175" s="8" t="n">
        <x:v>45377</x:v>
      </x:c>
      <x:c r="C1175" s="4" t="str">
        <x:v>PRJ-014</x:v>
      </x:c>
      <x:c r="D1175" s="4" t="str">
        <x:v>Apartment</x:v>
      </x:c>
      <x:c r="E1175" s="4" t="str">
        <x:v>Handed over</x:v>
      </x:c>
      <x:c r="F1175" s="4" t="str">
        <x:v>CUS-01174</x:v>
      </x:c>
      <x:c r="G1175" s="4" t="str">
        <x:v>UNIT-01174</x:v>
      </x:c>
      <x:c r="H1175" s="9" t="n">
        <x:v>11200000</x:v>
      </x:c>
      <x:c r="I1175" s="10" t="n">
        <x:v>0.1</x:v>
      </x:c>
      <x:c r="J1175" s="11" t="n">
        <x:v>10</x:v>
      </x:c>
      <x:c r="K1175" s="11" t="n">
        <x:v>10</x:v>
      </x:c>
      <x:c r="L1175" s="11" t="n">
        <x:v>1</x:v>
      </x:c>
      <x:c r="M1175" s="9" t="n">
        <x:f>ROUND(H1175*(1-I1175),2)</x:f>
        <x:v>10080000</x:v>
      </x:c>
      <x:c r="N1175" s="4" t="str">
        <x:v>Sales head</x:v>
      </x:c>
      <x:c r="O1175" s="4" t="str">
        <x:v>BOOK-01174</x:v>
      </x:c>
      <x:c r="P1175" s="9" t="n">
        <x:v>10080000</x:v>
      </x:c>
      <x:c r="Q1175" s="11" t="n">
        <x:v>0</x:v>
      </x:c>
      <x:c r="R1175" s="8" t="n">
        <x:v>45437</x:v>
      </x:c>
      <x:c r="S1175" s="4" t="str">
        <x:v>Retained</x:v>
      </x:c>
      <x:c r="T1175" s="10" t="n">
        <x:v>0.310195</x:v>
      </x:c>
      <x:c r="U1175" s="4" t="str">
        <x:v>Train</x:v>
      </x:c>
    </x:row>
    <x:row r="1176" ht="34" customHeight="1">
      <x:c r="A1176" s="4" t="str">
        <x:v>RS-01175</x:v>
      </x:c>
      <x:c r="B1176" s="8" t="n">
        <x:v>45378</x:v>
      </x:c>
      <x:c r="C1176" s="4" t="str">
        <x:v>PRJ-015</x:v>
      </x:c>
      <x:c r="D1176" s="4" t="str">
        <x:v>Retail</x:v>
      </x:c>
      <x:c r="E1176" s="4" t="str">
        <x:v>Booked</x:v>
      </x:c>
      <x:c r="F1176" s="4" t="str">
        <x:v>CUS-01175</x:v>
      </x:c>
      <x:c r="G1176" s="4" t="str">
        <x:v>UNIT-01175</x:v>
      </x:c>
      <x:c r="H1176" s="9" t="n">
        <x:v>11200000</x:v>
      </x:c>
      <x:c r="I1176" s="10" t="n">
        <x:v>0.07</x:v>
      </x:c>
      <x:c r="J1176" s="11" t="n">
        <x:v>7</x:v>
      </x:c>
      <x:c r="K1176" s="11" t="n">
        <x:v>8</x:v>
      </x:c>
      <x:c r="L1176" s="11" t="n">
        <x:v>0</x:v>
      </x:c>
      <x:c r="M1176" s="9" t="n">
        <x:f>ROUND(H1176*(1-I1176),2)</x:f>
        <x:v>10416000</x:v>
      </x:c>
      <x:c r="N1176" s="4" t="str">
        <x:v>Sales manager</x:v>
      </x:c>
      <x:c r="O1176" s="4" t="str">
        <x:v>BOOK-01175</x:v>
      </x:c>
      <x:c r="P1176" s="9" t="n">
        <x:v>5208000</x:v>
      </x:c>
      <x:c r="Q1176" s="11" t="n">
        <x:v>0</x:v>
      </x:c>
      <x:c r="R1176" s="8" t="n">
        <x:v>45438</x:v>
      </x:c>
      <x:c r="S1176" s="4" t="str">
        <x:v>Retained</x:v>
      </x:c>
      <x:c r="T1176" s="10" t="n">
        <x:v>0.226277</x:v>
      </x:c>
      <x:c r="U1176" s="4" t="str">
        <x:v>Train</x:v>
      </x:c>
    </x:row>
    <x:row r="1177" ht="34" customHeight="1">
      <x:c r="A1177" s="4" t="str">
        <x:v>RS-01176</x:v>
      </x:c>
      <x:c r="B1177" s="8" t="n">
        <x:v>45379</x:v>
      </x:c>
      <x:c r="C1177" s="4" t="str">
        <x:v>PRJ-016</x:v>
      </x:c>
      <x:c r="D1177" s="4" t="str">
        <x:v>Villa</x:v>
      </x:c>
      <x:c r="E1177" s="4" t="str">
        <x:v>Booked</x:v>
      </x:c>
      <x:c r="F1177" s="4" t="str">
        <x:v>CUS-01176</x:v>
      </x:c>
      <x:c r="G1177" s="4" t="str">
        <x:v>UNIT-01176</x:v>
      </x:c>
      <x:c r="H1177" s="9" t="n">
        <x:v>23600000</x:v>
      </x:c>
      <x:c r="I1177" s="10" t="n">
        <x:v>0.02</x:v>
      </x:c>
      <x:c r="J1177" s="11" t="n">
        <x:v>0</x:v>
      </x:c>
      <x:c r="K1177" s="11" t="n">
        <x:v>1</x:v>
      </x:c>
      <x:c r="L1177" s="11" t="n">
        <x:v>0</x:v>
      </x:c>
      <x:c r="M1177" s="9" t="n">
        <x:f>ROUND(H1177*(1-I1177),2)</x:f>
        <x:v>23128000</x:v>
      </x:c>
      <x:c r="N1177" s="4" t="str">
        <x:v>Sales manager</x:v>
      </x:c>
      <x:c r="O1177" s="4" t="str">
        <x:v>BOOK-01176</x:v>
      </x:c>
      <x:c r="P1177" s="9" t="n">
        <x:v>5782000</x:v>
      </x:c>
      <x:c r="Q1177" s="11" t="n">
        <x:v>0</x:v>
      </x:c>
      <x:c r="R1177" s="8" t="n">
        <x:v>45439</x:v>
      </x:c>
      <x:c r="S1177" s="4" t="str">
        <x:v>Retained</x:v>
      </x:c>
      <x:c r="T1177" s="10" t="n">
        <x:v>0.072165</x:v>
      </x:c>
      <x:c r="U1177" s="4" t="str">
        <x:v>Train</x:v>
      </x:c>
    </x:row>
    <x:row r="1178" ht="34" customHeight="1">
      <x:c r="A1178" s="4" t="str">
        <x:v>RS-01177</x:v>
      </x:c>
      <x:c r="B1178" s="8" t="n">
        <x:v>45352</x:v>
      </x:c>
      <x:c r="C1178" s="4" t="str">
        <x:v>PRJ-017</x:v>
      </x:c>
      <x:c r="D1178" s="4" t="str">
        <x:v>Villa</x:v>
      </x:c>
      <x:c r="E1178" s="4" t="str">
        <x:v>Handed over</x:v>
      </x:c>
      <x:c r="F1178" s="4" t="str">
        <x:v>CUS-01177</x:v>
      </x:c>
      <x:c r="G1178" s="4" t="str">
        <x:v>UNIT-01177</x:v>
      </x:c>
      <x:c r="H1178" s="9" t="n">
        <x:v>7800000</x:v>
      </x:c>
      <x:c r="I1178" s="10" t="n">
        <x:v>0.01</x:v>
      </x:c>
      <x:c r="J1178" s="11" t="n">
        <x:v>0</x:v>
      </x:c>
      <x:c r="K1178" s="11" t="n">
        <x:v>6</x:v>
      </x:c>
      <x:c r="L1178" s="11" t="n">
        <x:v>1</x:v>
      </x:c>
      <x:c r="M1178" s="9" t="n">
        <x:f>ROUND(H1178*(1-I1178),2)</x:f>
        <x:v>7722000</x:v>
      </x:c>
      <x:c r="N1178" s="4" t="str">
        <x:v>Sales manager</x:v>
      </x:c>
      <x:c r="O1178" s="4" t="str">
        <x:v>BOOK-01177</x:v>
      </x:c>
      <x:c r="P1178" s="9" t="n">
        <x:v>7722000</x:v>
      </x:c>
      <x:c r="Q1178" s="11" t="n">
        <x:v>0</x:v>
      </x:c>
      <x:c r="R1178" s="8" t="n">
        <x:v>45412</x:v>
      </x:c>
      <x:c r="S1178" s="4" t="str">
        <x:v>Retained</x:v>
      </x:c>
      <x:c r="T1178" s="10" t="n">
        <x:v>0.072165</x:v>
      </x:c>
      <x:c r="U1178" s="4" t="str">
        <x:v>Train</x:v>
      </x:c>
    </x:row>
    <x:row r="1179" ht="34" customHeight="1">
      <x:c r="A1179" s="4" t="str">
        <x:v>RS-01178</x:v>
      </x:c>
      <x:c r="B1179" s="8" t="n">
        <x:v>45353</x:v>
      </x:c>
      <x:c r="C1179" s="4" t="str">
        <x:v>PRJ-018</x:v>
      </x:c>
      <x:c r="D1179" s="4" t="str">
        <x:v>Office</x:v>
      </x:c>
      <x:c r="E1179" s="4" t="str">
        <x:v>Booked</x:v>
      </x:c>
      <x:c r="F1179" s="4" t="str">
        <x:v>CUS-01178</x:v>
      </x:c>
      <x:c r="G1179" s="4" t="str">
        <x:v>UNIT-01178</x:v>
      </x:c>
      <x:c r="H1179" s="9" t="n">
        <x:v>11600000</x:v>
      </x:c>
      <x:c r="I1179" s="10" t="n">
        <x:v>0.03</x:v>
      </x:c>
      <x:c r="J1179" s="11" t="n">
        <x:v>10</x:v>
      </x:c>
      <x:c r="K1179" s="11" t="n">
        <x:v>7</x:v>
      </x:c>
      <x:c r="L1179" s="11" t="n">
        <x:v>0</x:v>
      </x:c>
      <x:c r="M1179" s="9" t="n">
        <x:f>ROUND(H1179*(1-I1179),2)</x:f>
        <x:v>11252000</x:v>
      </x:c>
      <x:c r="N1179" s="4" t="str">
        <x:v>Sales manager</x:v>
      </x:c>
      <x:c r="O1179" s="4" t="str">
        <x:v>BOOK-01178</x:v>
      </x:c>
      <x:c r="P1179" s="9" t="n">
        <x:v>2813000</x:v>
      </x:c>
      <x:c r="Q1179" s="11" t="n">
        <x:v>0</x:v>
      </x:c>
      <x:c r="R1179" s="8" t="n">
        <x:v>45413</x:v>
      </x:c>
      <x:c r="S1179" s="4" t="str">
        <x:v>Retained</x:v>
      </x:c>
      <x:c r="T1179" s="10" t="n">
        <x:v>0.310195</x:v>
      </x:c>
      <x:c r="U1179" s="4" t="str">
        <x:v>Train</x:v>
      </x:c>
    </x:row>
    <x:row r="1180" ht="34" customHeight="1">
      <x:c r="A1180" s="4" t="str">
        <x:v>RS-01179</x:v>
      </x:c>
      <x:c r="B1180" s="8" t="n">
        <x:v>45354</x:v>
      </x:c>
      <x:c r="C1180" s="4" t="str">
        <x:v>PRJ-019</x:v>
      </x:c>
      <x:c r="D1180" s="4" t="str">
        <x:v>Apartment</x:v>
      </x:c>
      <x:c r="E1180" s="4" t="str">
        <x:v>Cancelled</x:v>
      </x:c>
      <x:c r="F1180" s="4" t="str">
        <x:v>CUS-01179</x:v>
      </x:c>
      <x:c r="G1180" s="4" t="str">
        <x:v>UNIT-01179</x:v>
      </x:c>
      <x:c r="H1180" s="9" t="n">
        <x:v>12100000</x:v>
      </x:c>
      <x:c r="I1180" s="10" t="n">
        <x:v>0.1</x:v>
      </x:c>
      <x:c r="J1180" s="11" t="n">
        <x:v>11</x:v>
      </x:c>
      <x:c r="K1180" s="11" t="n">
        <x:v>8</x:v>
      </x:c>
      <x:c r="L1180" s="11" t="n">
        <x:v>0</x:v>
      </x:c>
      <x:c r="M1180" s="9" t="n">
        <x:f>ROUND(H1180*(1-I1180),2)</x:f>
        <x:v>10890000</x:v>
      </x:c>
      <x:c r="N1180" s="4" t="str">
        <x:v>Sales head</x:v>
      </x:c>
      <x:c r="O1180" s="4"/>
      <x:c r="P1180" s="9" t="n">
        <x:v>0</x:v>
      </x:c>
      <x:c r="Q1180" s="11" t="n">
        <x:v>1</x:v>
      </x:c>
      <x:c r="R1180" s="8" t="n">
        <x:v>45414</x:v>
      </x:c>
      <x:c r="S1180" s="4" t="str">
        <x:v>Lost / cancelled</x:v>
      </x:c>
      <x:c r="T1180" s="10" t="n">
        <x:v>0.351536</x:v>
      </x:c>
      <x:c r="U1180" s="4" t="str">
        <x:v>Train</x:v>
      </x:c>
    </x:row>
    <x:row r="1181" ht="34" customHeight="1">
      <x:c r="A1181" s="4" t="str">
        <x:v>RS-01180</x:v>
      </x:c>
      <x:c r="B1181" s="8" t="n">
        <x:v>45355</x:v>
      </x:c>
      <x:c r="C1181" s="4" t="str">
        <x:v>PRJ-020</x:v>
      </x:c>
      <x:c r="D1181" s="4" t="str">
        <x:v>Villa</x:v>
      </x:c>
      <x:c r="E1181" s="4" t="str">
        <x:v>Cancelled</x:v>
      </x:c>
      <x:c r="F1181" s="4" t="str">
        <x:v>CUS-01180</x:v>
      </x:c>
      <x:c r="G1181" s="4" t="str">
        <x:v>UNIT-01180</x:v>
      </x:c>
      <x:c r="H1181" s="9" t="n">
        <x:v>16900000</x:v>
      </x:c>
      <x:c r="I1181" s="10" t="n">
        <x:v>0.01</x:v>
      </x:c>
      <x:c r="J1181" s="11" t="n">
        <x:v>6</x:v>
      </x:c>
      <x:c r="K1181" s="11" t="n">
        <x:v>6</x:v>
      </x:c>
      <x:c r="L1181" s="11" t="n">
        <x:v>0</x:v>
      </x:c>
      <x:c r="M1181" s="9" t="n">
        <x:f>ROUND(H1181*(1-I1181),2)</x:f>
        <x:v>16731000</x:v>
      </x:c>
      <x:c r="N1181" s="4" t="str">
        <x:v>Sales manager</x:v>
      </x:c>
      <x:c r="O1181" s="4"/>
      <x:c r="P1181" s="9" t="n">
        <x:v>0</x:v>
      </x:c>
      <x:c r="Q1181" s="11" t="n">
        <x:v>1</x:v>
      </x:c>
      <x:c r="R1181" s="8" t="n">
        <x:v>45415</x:v>
      </x:c>
      <x:c r="S1181" s="4" t="str">
        <x:v>Lost / cancelled</x:v>
      </x:c>
      <x:c r="T1181" s="10" t="n">
        <x:v>0.145299</x:v>
      </x:c>
      <x:c r="U1181" s="4" t="str">
        <x:v>Train</x:v>
      </x:c>
    </x:row>
    <x:row r="1182" ht="34" customHeight="1">
      <x:c r="A1182" s="4" t="str">
        <x:v>RS-01181</x:v>
      </x:c>
      <x:c r="B1182" s="8" t="n">
        <x:v>45356</x:v>
      </x:c>
      <x:c r="C1182" s="4" t="str">
        <x:v>PRJ-001</x:v>
      </x:c>
      <x:c r="D1182" s="4" t="str">
        <x:v>Apartment</x:v>
      </x:c>
      <x:c r="E1182" s="4" t="str">
        <x:v>Cancelled</x:v>
      </x:c>
      <x:c r="F1182" s="4" t="str">
        <x:v>CUS-01181</x:v>
      </x:c>
      <x:c r="G1182" s="4" t="str">
        <x:v>UNIT-01181</x:v>
      </x:c>
      <x:c r="H1182" s="9" t="n">
        <x:v>17100000</x:v>
      </x:c>
      <x:c r="I1182" s="10" t="n">
        <x:v>0.02</x:v>
      </x:c>
      <x:c r="J1182" s="11" t="n">
        <x:v>9</x:v>
      </x:c>
      <x:c r="K1182" s="11" t="n">
        <x:v>4</x:v>
      </x:c>
      <x:c r="L1182" s="11" t="n">
        <x:v>0</x:v>
      </x:c>
      <x:c r="M1182" s="9" t="n">
        <x:f>ROUND(H1182*(1-I1182),2)</x:f>
        <x:v>16758000</x:v>
      </x:c>
      <x:c r="N1182" s="4" t="str">
        <x:v>Sales manager</x:v>
      </x:c>
      <x:c r="O1182" s="4"/>
      <x:c r="P1182" s="9" t="n">
        <x:v>0</x:v>
      </x:c>
      <x:c r="Q1182" s="11" t="n">
        <x:v>1</x:v>
      </x:c>
      <x:c r="R1182" s="8" t="n">
        <x:v>45416</x:v>
      </x:c>
      <x:c r="S1182" s="4" t="str">
        <x:v>Lost / cancelled</x:v>
      </x:c>
      <x:c r="T1182" s="10" t="n">
        <x:v>0.305556</x:v>
      </x:c>
      <x:c r="U1182" s="4" t="str">
        <x:v>Train</x:v>
      </x:c>
    </x:row>
    <x:row r="1183" ht="34" customHeight="1">
      <x:c r="A1183" s="4" t="str">
        <x:v>RS-01182</x:v>
      </x:c>
      <x:c r="B1183" s="8" t="n">
        <x:v>45357</x:v>
      </x:c>
      <x:c r="C1183" s="4" t="str">
        <x:v>PRJ-002</x:v>
      </x:c>
      <x:c r="D1183" s="4" t="str">
        <x:v>Office</x:v>
      </x:c>
      <x:c r="E1183" s="4" t="str">
        <x:v>Agreement signed</x:v>
      </x:c>
      <x:c r="F1183" s="4" t="str">
        <x:v>CUS-01182</x:v>
      </x:c>
      <x:c r="G1183" s="4" t="str">
        <x:v>UNIT-01182</x:v>
      </x:c>
      <x:c r="H1183" s="9" t="n">
        <x:v>7800000</x:v>
      </x:c>
      <x:c r="I1183" s="10" t="n">
        <x:v>0.08</x:v>
      </x:c>
      <x:c r="J1183" s="11" t="n">
        <x:v>7</x:v>
      </x:c>
      <x:c r="K1183" s="11" t="n">
        <x:v>3</x:v>
      </x:c>
      <x:c r="L1183" s="11" t="n">
        <x:v>0</x:v>
      </x:c>
      <x:c r="M1183" s="9" t="n">
        <x:f>ROUND(H1183*(1-I1183),2)</x:f>
        <x:v>7176000</x:v>
      </x:c>
      <x:c r="N1183" s="4" t="str">
        <x:v>Sales head</x:v>
      </x:c>
      <x:c r="O1183" s="4" t="str">
        <x:v>BOOK-01182</x:v>
      </x:c>
      <x:c r="P1183" s="9" t="n">
        <x:v>3588000</x:v>
      </x:c>
      <x:c r="Q1183" s="11" t="n">
        <x:v>0</x:v>
      </x:c>
      <x:c r="R1183" s="8" t="n">
        <x:v>45417</x:v>
      </x:c>
      <x:c r="S1183" s="4" t="str">
        <x:v>Retained</x:v>
      </x:c>
      <x:c r="T1183" s="10" t="n">
        <x:v>0.226277</x:v>
      </x:c>
      <x:c r="U1183" s="4" t="str">
        <x:v>Train</x:v>
      </x:c>
    </x:row>
    <x:row r="1184" ht="34" customHeight="1">
      <x:c r="A1184" s="4" t="str">
        <x:v>RS-01183</x:v>
      </x:c>
      <x:c r="B1184" s="8" t="n">
        <x:v>45358</x:v>
      </x:c>
      <x:c r="C1184" s="4" t="str">
        <x:v>PRJ-003</x:v>
      </x:c>
      <x:c r="D1184" s="4" t="str">
        <x:v>Villa</x:v>
      </x:c>
      <x:c r="E1184" s="4" t="str">
        <x:v>Reserved</x:v>
      </x:c>
      <x:c r="F1184" s="4" t="str">
        <x:v>CUS-01183</x:v>
      </x:c>
      <x:c r="G1184" s="4" t="str">
        <x:v>UNIT-01183</x:v>
      </x:c>
      <x:c r="H1184" s="9" t="n">
        <x:v>16100000</x:v>
      </x:c>
      <x:c r="I1184" s="10" t="n">
        <x:v>0.03</x:v>
      </x:c>
      <x:c r="J1184" s="11" t="n">
        <x:v>4</x:v>
      </x:c>
      <x:c r="K1184" s="11" t="n">
        <x:v>8</x:v>
      </x:c>
      <x:c r="L1184" s="11" t="n">
        <x:v>0</x:v>
      </x:c>
      <x:c r="M1184" s="9" t="n">
        <x:f>ROUND(H1184*(1-I1184),2)</x:f>
        <x:v>15617000</x:v>
      </x:c>
      <x:c r="N1184" s="4" t="str">
        <x:v>Sales manager</x:v>
      </x:c>
      <x:c r="O1184" s="4"/>
      <x:c r="P1184" s="9" t="n">
        <x:v>0</x:v>
      </x:c>
      <x:c r="Q1184" s="11" t="n">
        <x:v>0</x:v>
      </x:c>
      <x:c r="R1184" s="8" t="n">
        <x:v>45418</x:v>
      </x:c>
      <x:c r="S1184" s="4" t="str">
        <x:v>Retained</x:v>
      </x:c>
      <x:c r="T1184" s="10" t="n">
        <x:v>0.145299</x:v>
      </x:c>
      <x:c r="U1184" s="4" t="str">
        <x:v>Train</x:v>
      </x:c>
    </x:row>
    <x:row r="1185" ht="34" customHeight="1">
      <x:c r="A1185" s="4" t="str">
        <x:v>RS-01184</x:v>
      </x:c>
      <x:c r="B1185" s="8" t="n">
        <x:v>45359</x:v>
      </x:c>
      <x:c r="C1185" s="4" t="str">
        <x:v>PRJ-004</x:v>
      </x:c>
      <x:c r="D1185" s="4" t="str">
        <x:v>Apartment</x:v>
      </x:c>
      <x:c r="E1185" s="4" t="str">
        <x:v>Cancelled</x:v>
      </x:c>
      <x:c r="F1185" s="4" t="str">
        <x:v>CUS-01184</x:v>
      </x:c>
      <x:c r="G1185" s="4" t="str">
        <x:v>UNIT-01184</x:v>
      </x:c>
      <x:c r="H1185" s="9" t="n">
        <x:v>10900000</x:v>
      </x:c>
      <x:c r="I1185" s="10" t="n">
        <x:v>0.07</x:v>
      </x:c>
      <x:c r="J1185" s="11" t="n">
        <x:v>5</x:v>
      </x:c>
      <x:c r="K1185" s="11" t="n">
        <x:v>9</x:v>
      </x:c>
      <x:c r="L1185" s="11" t="n">
        <x:v>1</x:v>
      </x:c>
      <x:c r="M1185" s="9" t="n">
        <x:f>ROUND(H1185*(1-I1185),2)</x:f>
        <x:v>10137000</x:v>
      </x:c>
      <x:c r="N1185" s="4" t="str">
        <x:v>Sales manager</x:v>
      </x:c>
      <x:c r="O1185" s="4"/>
      <x:c r="P1185" s="9" t="n">
        <x:v>0</x:v>
      </x:c>
      <x:c r="Q1185" s="11" t="n">
        <x:v>1</x:v>
      </x:c>
      <x:c r="R1185" s="8" t="n">
        <x:v>45419</x:v>
      </x:c>
      <x:c r="S1185" s="4" t="str">
        <x:v>Lost / cancelled</x:v>
      </x:c>
      <x:c r="T1185" s="10" t="n">
        <x:v>0.291946</x:v>
      </x:c>
      <x:c r="U1185" s="4" t="str">
        <x:v>Train</x:v>
      </x:c>
    </x:row>
    <x:row r="1186" ht="34" customHeight="1">
      <x:c r="A1186" s="4" t="str">
        <x:v>RS-01185</x:v>
      </x:c>
      <x:c r="B1186" s="8" t="n">
        <x:v>45360</x:v>
      </x:c>
      <x:c r="C1186" s="4" t="str">
        <x:v>PRJ-005</x:v>
      </x:c>
      <x:c r="D1186" s="4" t="str">
        <x:v>Apartment</x:v>
      </x:c>
      <x:c r="E1186" s="4" t="str">
        <x:v>Reserved</x:v>
      </x:c>
      <x:c r="F1186" s="4" t="str">
        <x:v>CUS-01185</x:v>
      </x:c>
      <x:c r="G1186" s="4" t="str">
        <x:v>UNIT-01185</x:v>
      </x:c>
      <x:c r="H1186" s="9" t="n">
        <x:v>25000000</x:v>
      </x:c>
      <x:c r="I1186" s="10" t="n">
        <x:v>0.06</x:v>
      </x:c>
      <x:c r="J1186" s="11" t="n">
        <x:v>4</x:v>
      </x:c>
      <x:c r="K1186" s="11" t="n">
        <x:v>5</x:v>
      </x:c>
      <x:c r="L1186" s="11" t="n">
        <x:v>1</x:v>
      </x:c>
      <x:c r="M1186" s="9" t="n">
        <x:f>ROUND(H1186*(1-I1186),2)</x:f>
        <x:v>23500000</x:v>
      </x:c>
      <x:c r="N1186" s="4" t="str">
        <x:v>Sales manager</x:v>
      </x:c>
      <x:c r="O1186" s="4"/>
      <x:c r="P1186" s="9" t="n">
        <x:v>0</x:v>
      </x:c>
      <x:c r="Q1186" s="11" t="n">
        <x:v>1</x:v>
      </x:c>
      <x:c r="R1186" s="8" t="n">
        <x:v>45420</x:v>
      </x:c>
      <x:c r="S1186" s="4" t="str">
        <x:v>Lost / cancelled</x:v>
      </x:c>
      <x:c r="T1186" s="10" t="n">
        <x:v>0.291946</x:v>
      </x:c>
      <x:c r="U1186" s="4" t="str">
        <x:v>Train</x:v>
      </x:c>
    </x:row>
    <x:row r="1187" ht="34" customHeight="1">
      <x:c r="A1187" s="4" t="str">
        <x:v>RS-01186</x:v>
      </x:c>
      <x:c r="B1187" s="8" t="n">
        <x:v>45361</x:v>
      </x:c>
      <x:c r="C1187" s="4" t="str">
        <x:v>PRJ-006</x:v>
      </x:c>
      <x:c r="D1187" s="4" t="str">
        <x:v>Apartment</x:v>
      </x:c>
      <x:c r="E1187" s="4" t="str">
        <x:v>Cancelled</x:v>
      </x:c>
      <x:c r="F1187" s="4" t="str">
        <x:v>CUS-01186</x:v>
      </x:c>
      <x:c r="G1187" s="4" t="str">
        <x:v>UNIT-01186</x:v>
      </x:c>
      <x:c r="H1187" s="9" t="n">
        <x:v>16600000</x:v>
      </x:c>
      <x:c r="I1187" s="10" t="n">
        <x:v>0.04</x:v>
      </x:c>
      <x:c r="J1187" s="11" t="n">
        <x:v>10</x:v>
      </x:c>
      <x:c r="K1187" s="11" t="n">
        <x:v>5</x:v>
      </x:c>
      <x:c r="L1187" s="11" t="n">
        <x:v>0</x:v>
      </x:c>
      <x:c r="M1187" s="9" t="n">
        <x:f>ROUND(H1187*(1-I1187),2)</x:f>
        <x:v>15936000</x:v>
      </x:c>
      <x:c r="N1187" s="4" t="str">
        <x:v>Sales manager</x:v>
      </x:c>
      <x:c r="O1187" s="4"/>
      <x:c r="P1187" s="9" t="n">
        <x:v>0</x:v>
      </x:c>
      <x:c r="Q1187" s="11" t="n">
        <x:v>1</x:v>
      </x:c>
      <x:c r="R1187" s="8" t="n">
        <x:v>45421</x:v>
      </x:c>
      <x:c r="S1187" s="4" t="str">
        <x:v>Lost / cancelled</x:v>
      </x:c>
      <x:c r="T1187" s="10" t="n">
        <x:v>0.310195</x:v>
      </x:c>
      <x:c r="U1187" s="4" t="str">
        <x:v>Train</x:v>
      </x:c>
    </x:row>
    <x:row r="1188" ht="34" customHeight="1">
      <x:c r="A1188" s="4" t="str">
        <x:v>RS-01187</x:v>
      </x:c>
      <x:c r="B1188" s="8" t="n">
        <x:v>45362</x:v>
      </x:c>
      <x:c r="C1188" s="4" t="str">
        <x:v>PRJ-007</x:v>
      </x:c>
      <x:c r="D1188" s="4" t="str">
        <x:v>Apartment</x:v>
      </x:c>
      <x:c r="E1188" s="4" t="str">
        <x:v>Handed over</x:v>
      </x:c>
      <x:c r="F1188" s="4" t="str">
        <x:v>CUS-01187</x:v>
      </x:c>
      <x:c r="G1188" s="4" t="str">
        <x:v>UNIT-01187</x:v>
      </x:c>
      <x:c r="H1188" s="9" t="n">
        <x:v>5200000</x:v>
      </x:c>
      <x:c r="I1188" s="10" t="n">
        <x:v>0.09</x:v>
      </x:c>
      <x:c r="J1188" s="11" t="n">
        <x:v>12</x:v>
      </x:c>
      <x:c r="K1188" s="11" t="n">
        <x:v>5</x:v>
      </x:c>
      <x:c r="L1188" s="11" t="n">
        <x:v>0</x:v>
      </x:c>
      <x:c r="M1188" s="9" t="n">
        <x:f>ROUND(H1188*(1-I1188),2)</x:f>
        <x:v>4732000</x:v>
      </x:c>
      <x:c r="N1188" s="4" t="str">
        <x:v>Sales head</x:v>
      </x:c>
      <x:c r="O1188" s="4" t="str">
        <x:v>BOOK-01187</x:v>
      </x:c>
      <x:c r="P1188" s="9" t="n">
        <x:v>1183000</x:v>
      </x:c>
      <x:c r="Q1188" s="11" t="n">
        <x:v>0</x:v>
      </x:c>
      <x:c r="R1188" s="8" t="n">
        <x:v>45422</x:v>
      </x:c>
      <x:c r="S1188" s="4" t="str">
        <x:v>Retained</x:v>
      </x:c>
      <x:c r="T1188" s="10" t="n">
        <x:v>0.351536</x:v>
      </x:c>
      <x:c r="U1188" s="4" t="str">
        <x:v>Train</x:v>
      </x:c>
    </x:row>
    <x:row r="1189" ht="34" customHeight="1">
      <x:c r="A1189" s="4" t="str">
        <x:v>RS-01188</x:v>
      </x:c>
      <x:c r="B1189" s="8" t="n">
        <x:v>45363</x:v>
      </x:c>
      <x:c r="C1189" s="4" t="str">
        <x:v>PRJ-008</x:v>
      </x:c>
      <x:c r="D1189" s="4" t="str">
        <x:v>Retail</x:v>
      </x:c>
      <x:c r="E1189" s="4" t="str">
        <x:v>Cancelled</x:v>
      </x:c>
      <x:c r="F1189" s="4" t="str">
        <x:v>CUS-01188</x:v>
      </x:c>
      <x:c r="G1189" s="4" t="str">
        <x:v>UNIT-01188</x:v>
      </x:c>
      <x:c r="H1189" s="9" t="n">
        <x:v>13500000</x:v>
      </x:c>
      <x:c r="I1189" s="10" t="n">
        <x:v>0.11</x:v>
      </x:c>
      <x:c r="J1189" s="11" t="n">
        <x:v>11</x:v>
      </x:c>
      <x:c r="K1189" s="11" t="n">
        <x:v>10</x:v>
      </x:c>
      <x:c r="L1189" s="11" t="n">
        <x:v>1</x:v>
      </x:c>
      <x:c r="M1189" s="9" t="n">
        <x:f>ROUND(H1189*(1-I1189),2)</x:f>
        <x:v>12015000</x:v>
      </x:c>
      <x:c r="N1189" s="4" t="str">
        <x:v>Sales head</x:v>
      </x:c>
      <x:c r="O1189" s="4"/>
      <x:c r="P1189" s="9" t="n">
        <x:v>0</x:v>
      </x:c>
      <x:c r="Q1189" s="11" t="n">
        <x:v>1</x:v>
      </x:c>
      <x:c r="R1189" s="8" t="n">
        <x:v>45423</x:v>
      </x:c>
      <x:c r="S1189" s="4" t="str">
        <x:v>Lost / cancelled</x:v>
      </x:c>
      <x:c r="T1189" s="10" t="n">
        <x:v>0.351536</x:v>
      </x:c>
      <x:c r="U1189" s="4" t="str">
        <x:v>Train</x:v>
      </x:c>
    </x:row>
    <x:row r="1190" ht="34" customHeight="1">
      <x:c r="A1190" s="4" t="str">
        <x:v>RS-01189</x:v>
      </x:c>
      <x:c r="B1190" s="8" t="n">
        <x:v>45364</x:v>
      </x:c>
      <x:c r="C1190" s="4" t="str">
        <x:v>PRJ-009</x:v>
      </x:c>
      <x:c r="D1190" s="4" t="str">
        <x:v>Apartment</x:v>
      </x:c>
      <x:c r="E1190" s="4" t="str">
        <x:v>Enquiry</x:v>
      </x:c>
      <x:c r="F1190" s="4" t="str">
        <x:v>CUS-01189</x:v>
      </x:c>
      <x:c r="G1190" s="4" t="str">
        <x:v>UNIT-01189</x:v>
      </x:c>
      <x:c r="H1190" s="9" t="n">
        <x:v>10000000</x:v>
      </x:c>
      <x:c r="I1190" s="10" t="n">
        <x:v>0.04</x:v>
      </x:c>
      <x:c r="J1190" s="11" t="n">
        <x:v>3</x:v>
      </x:c>
      <x:c r="K1190" s="11" t="n">
        <x:v>10</x:v>
      </x:c>
      <x:c r="L1190" s="11" t="n">
        <x:v>0</x:v>
      </x:c>
      <x:c r="M1190" s="9" t="n">
        <x:f>ROUND(H1190*(1-I1190),2)</x:f>
        <x:v>9600000</x:v>
      </x:c>
      <x:c r="N1190" s="4" t="str">
        <x:v>Sales manager</x:v>
      </x:c>
      <x:c r="O1190" s="4"/>
      <x:c r="P1190" s="9" t="n">
        <x:v>0</x:v>
      </x:c>
      <x:c r="Q1190" s="11" t="n">
        <x:v>0</x:v>
      </x:c>
      <x:c r="R1190" s="8" t="n">
        <x:v>45424</x:v>
      </x:c>
      <x:c r="S1190" s="4" t="str">
        <x:v>Retained</x:v>
      </x:c>
      <x:c r="T1190" s="10" t="n">
        <x:v>0.204152</x:v>
      </x:c>
      <x:c r="U1190" s="4" t="str">
        <x:v>Train</x:v>
      </x:c>
    </x:row>
    <x:row r="1191" ht="34" customHeight="1">
      <x:c r="A1191" s="4" t="str">
        <x:v>RS-01190</x:v>
      </x:c>
      <x:c r="B1191" s="8" t="n">
        <x:v>45365</x:v>
      </x:c>
      <x:c r="C1191" s="4" t="str">
        <x:v>PRJ-010</x:v>
      </x:c>
      <x:c r="D1191" s="4" t="str">
        <x:v>Office</x:v>
      </x:c>
      <x:c r="E1191" s="4" t="str">
        <x:v>Handed over</x:v>
      </x:c>
      <x:c r="F1191" s="4" t="str">
        <x:v>CUS-01190</x:v>
      </x:c>
      <x:c r="G1191" s="4" t="str">
        <x:v>UNIT-01190</x:v>
      </x:c>
      <x:c r="H1191" s="9" t="n">
        <x:v>5700000</x:v>
      </x:c>
      <x:c r="I1191" s="10" t="n">
        <x:v>0.01</x:v>
      </x:c>
      <x:c r="J1191" s="11" t="n">
        <x:v>2</x:v>
      </x:c>
      <x:c r="K1191" s="11" t="n">
        <x:v>3</x:v>
      </x:c>
      <x:c r="L1191" s="11" t="n">
        <x:v>1</x:v>
      </x:c>
      <x:c r="M1191" s="9" t="n">
        <x:f>ROUND(H1191*(1-I1191),2)</x:f>
        <x:v>5643000</x:v>
      </x:c>
      <x:c r="N1191" s="4" t="str">
        <x:v>Sales manager</x:v>
      </x:c>
      <x:c r="O1191" s="4" t="str">
        <x:v>BOOK-01190</x:v>
      </x:c>
      <x:c r="P1191" s="9" t="n">
        <x:v>1410750</x:v>
      </x:c>
      <x:c r="Q1191" s="11" t="n">
        <x:v>0</x:v>
      </x:c>
      <x:c r="R1191" s="8" t="n">
        <x:v>45425</x:v>
      </x:c>
      <x:c r="S1191" s="4" t="str">
        <x:v>Retained</x:v>
      </x:c>
      <x:c r="T1191" s="10" t="n">
        <x:v>0.171717</x:v>
      </x:c>
      <x:c r="U1191" s="4" t="str">
        <x:v>Train</x:v>
      </x:c>
    </x:row>
    <x:row r="1192" ht="34" customHeight="1">
      <x:c r="A1192" s="4" t="str">
        <x:v>RS-01191</x:v>
      </x:c>
      <x:c r="B1192" s="8" t="n">
        <x:v>45366</x:v>
      </x:c>
      <x:c r="C1192" s="4" t="str">
        <x:v>PRJ-011</x:v>
      </x:c>
      <x:c r="D1192" s="4" t="str">
        <x:v>Villa</x:v>
      </x:c>
      <x:c r="E1192" s="4" t="str">
        <x:v>Cancelled</x:v>
      </x:c>
      <x:c r="F1192" s="4" t="str">
        <x:v>CUS-01191</x:v>
      </x:c>
      <x:c r="G1192" s="4" t="str">
        <x:v>UNIT-01191</x:v>
      </x:c>
      <x:c r="H1192" s="9" t="n">
        <x:v>20800000</x:v>
      </x:c>
      <x:c r="I1192" s="10" t="n">
        <x:v>0.05</x:v>
      </x:c>
      <x:c r="J1192" s="11" t="n">
        <x:v>5</x:v>
      </x:c>
      <x:c r="K1192" s="11" t="n">
        <x:v>8</x:v>
      </x:c>
      <x:c r="L1192" s="11" t="n">
        <x:v>1</x:v>
      </x:c>
      <x:c r="M1192" s="9" t="n">
        <x:f>ROUND(H1192*(1-I1192),2)</x:f>
        <x:v>19760000</x:v>
      </x:c>
      <x:c r="N1192" s="4" t="str">
        <x:v>Sales manager</x:v>
      </x:c>
      <x:c r="O1192" s="4"/>
      <x:c r="P1192" s="9" t="n">
        <x:v>0</x:v>
      </x:c>
      <x:c r="Q1192" s="11" t="n">
        <x:v>1</x:v>
      </x:c>
      <x:c r="R1192" s="8" t="n">
        <x:v>45426</x:v>
      </x:c>
      <x:c r="S1192" s="4" t="str">
        <x:v>Lost / cancelled</x:v>
      </x:c>
      <x:c r="T1192" s="10" t="n">
        <x:v>0.291946</x:v>
      </x:c>
      <x:c r="U1192" s="4" t="str">
        <x:v>Train</x:v>
      </x:c>
    </x:row>
    <x:row r="1193" ht="34" customHeight="1">
      <x:c r="A1193" s="4" t="str">
        <x:v>RS-01192</x:v>
      </x:c>
      <x:c r="B1193" s="8" t="n">
        <x:v>45367</x:v>
      </x:c>
      <x:c r="C1193" s="4" t="str">
        <x:v>PRJ-012</x:v>
      </x:c>
      <x:c r="D1193" s="4" t="str">
        <x:v>Office</x:v>
      </x:c>
      <x:c r="E1193" s="4" t="str">
        <x:v>Agreement signed</x:v>
      </x:c>
      <x:c r="F1193" s="4" t="str">
        <x:v>CUS-01192</x:v>
      </x:c>
      <x:c r="G1193" s="4" t="str">
        <x:v>UNIT-01192</x:v>
      </x:c>
      <x:c r="H1193" s="9" t="n">
        <x:v>6600000</x:v>
      </x:c>
      <x:c r="I1193" s="10" t="n">
        <x:v>0.07</x:v>
      </x:c>
      <x:c r="J1193" s="11" t="n">
        <x:v>9</x:v>
      </x:c>
      <x:c r="K1193" s="11" t="n">
        <x:v>5</x:v>
      </x:c>
      <x:c r="L1193" s="11" t="n">
        <x:v>0</x:v>
      </x:c>
      <x:c r="M1193" s="9" t="n">
        <x:f>ROUND(H1193*(1-I1193),2)</x:f>
        <x:v>6138000</x:v>
      </x:c>
      <x:c r="N1193" s="4" t="str">
        <x:v>Sales manager</x:v>
      </x:c>
      <x:c r="O1193" s="4" t="str">
        <x:v>BOOK-01192</x:v>
      </x:c>
      <x:c r="P1193" s="9" t="n">
        <x:v>1534500</x:v>
      </x:c>
      <x:c r="Q1193" s="11" t="n">
        <x:v>0</x:v>
      </x:c>
      <x:c r="R1193" s="8" t="n">
        <x:v>45427</x:v>
      </x:c>
      <x:c r="S1193" s="4" t="str">
        <x:v>Retained</x:v>
      </x:c>
      <x:c r="T1193" s="10" t="n">
        <x:v>0.310195</x:v>
      </x:c>
      <x:c r="U1193" s="4" t="str">
        <x:v>Train</x:v>
      </x:c>
    </x:row>
    <x:row r="1194" ht="34" customHeight="1">
      <x:c r="A1194" s="4" t="str">
        <x:v>RS-01193</x:v>
      </x:c>
      <x:c r="B1194" s="8" t="n">
        <x:v>45368</x:v>
      </x:c>
      <x:c r="C1194" s="4" t="str">
        <x:v>PRJ-013</x:v>
      </x:c>
      <x:c r="D1194" s="4" t="str">
        <x:v>Office</x:v>
      </x:c>
      <x:c r="E1194" s="4" t="str">
        <x:v>Agreement signed</x:v>
      </x:c>
      <x:c r="F1194" s="4" t="str">
        <x:v>CUS-01193</x:v>
      </x:c>
      <x:c r="G1194" s="4" t="str">
        <x:v>UNIT-01193</x:v>
      </x:c>
      <x:c r="H1194" s="9" t="n">
        <x:v>9300000</x:v>
      </x:c>
      <x:c r="I1194" s="10" t="n">
        <x:v>0.02</x:v>
      </x:c>
      <x:c r="J1194" s="11" t="n">
        <x:v>12</x:v>
      </x:c>
      <x:c r="K1194" s="11" t="n">
        <x:v>3</x:v>
      </x:c>
      <x:c r="L1194" s="11" t="n">
        <x:v>0</x:v>
      </x:c>
      <x:c r="M1194" s="9" t="n">
        <x:f>ROUND(H1194*(1-I1194),2)</x:f>
        <x:v>9114000</x:v>
      </x:c>
      <x:c r="N1194" s="4" t="str">
        <x:v>Sales manager</x:v>
      </x:c>
      <x:c r="O1194" s="4" t="str">
        <x:v>BOOK-01193</x:v>
      </x:c>
      <x:c r="P1194" s="9" t="n">
        <x:v>9114000</x:v>
      </x:c>
      <x:c r="Q1194" s="11" t="n">
        <x:v>0</x:v>
      </x:c>
      <x:c r="R1194" s="8" t="n">
        <x:v>45428</x:v>
      </x:c>
      <x:c r="S1194" s="4" t="str">
        <x:v>Retained</x:v>
      </x:c>
      <x:c r="T1194" s="10" t="n">
        <x:v>0.305556</x:v>
      </x:c>
      <x:c r="U1194" s="4" t="str">
        <x:v>Train</x:v>
      </x:c>
    </x:row>
    <x:row r="1195" ht="34" customHeight="1">
      <x:c r="A1195" s="4" t="str">
        <x:v>RS-01194</x:v>
      </x:c>
      <x:c r="B1195" s="8" t="n">
        <x:v>45369</x:v>
      </x:c>
      <x:c r="C1195" s="4" t="str">
        <x:v>PRJ-014</x:v>
      </x:c>
      <x:c r="D1195" s="4" t="str">
        <x:v>Apartment</x:v>
      </x:c>
      <x:c r="E1195" s="4" t="str">
        <x:v>Handed over</x:v>
      </x:c>
      <x:c r="F1195" s="4" t="str">
        <x:v>CUS-01194</x:v>
      </x:c>
      <x:c r="G1195" s="4" t="str">
        <x:v>UNIT-01194</x:v>
      </x:c>
      <x:c r="H1195" s="9" t="n">
        <x:v>6600000</x:v>
      </x:c>
      <x:c r="I1195" s="10" t="n">
        <x:v>0.04</x:v>
      </x:c>
      <x:c r="J1195" s="11" t="n">
        <x:v>10</x:v>
      </x:c>
      <x:c r="K1195" s="11" t="n">
        <x:v>6</x:v>
      </x:c>
      <x:c r="L1195" s="11" t="n">
        <x:v>1</x:v>
      </x:c>
      <x:c r="M1195" s="9" t="n">
        <x:f>ROUND(H1195*(1-I1195),2)</x:f>
        <x:v>6336000</x:v>
      </x:c>
      <x:c r="N1195" s="4" t="str">
        <x:v>Sales manager</x:v>
      </x:c>
      <x:c r="O1195" s="4" t="str">
        <x:v>BOOK-01194</x:v>
      </x:c>
      <x:c r="P1195" s="9" t="n">
        <x:v>633600</x:v>
      </x:c>
      <x:c r="Q1195" s="11" t="n">
        <x:v>0</x:v>
      </x:c>
      <x:c r="R1195" s="8" t="n">
        <x:v>45429</x:v>
      </x:c>
      <x:c r="S1195" s="4" t="str">
        <x:v>Retained</x:v>
      </x:c>
      <x:c r="T1195" s="10" t="n">
        <x:v>0.310195</x:v>
      </x:c>
      <x:c r="U1195" s="4" t="str">
        <x:v>Train</x:v>
      </x:c>
    </x:row>
    <x:row r="1196" ht="34" customHeight="1">
      <x:c r="A1196" s="4" t="str">
        <x:v>RS-01195</x:v>
      </x:c>
      <x:c r="B1196" s="8" t="n">
        <x:v>45370</x:v>
      </x:c>
      <x:c r="C1196" s="4" t="str">
        <x:v>PRJ-015</x:v>
      </x:c>
      <x:c r="D1196" s="4" t="str">
        <x:v>Villa</x:v>
      </x:c>
      <x:c r="E1196" s="4" t="str">
        <x:v>Enquiry</x:v>
      </x:c>
      <x:c r="F1196" s="4" t="str">
        <x:v>CUS-01195</x:v>
      </x:c>
      <x:c r="G1196" s="4" t="str">
        <x:v>UNIT-01195</x:v>
      </x:c>
      <x:c r="H1196" s="9" t="n">
        <x:v>3200000</x:v>
      </x:c>
      <x:c r="I1196" s="10" t="n">
        <x:v>0.11</x:v>
      </x:c>
      <x:c r="J1196" s="11" t="n">
        <x:v>11</x:v>
      </x:c>
      <x:c r="K1196" s="11" t="n">
        <x:v>4</x:v>
      </x:c>
      <x:c r="L1196" s="11" t="n">
        <x:v>1</x:v>
      </x:c>
      <x:c r="M1196" s="9" t="n">
        <x:f>ROUND(H1196*(1-I1196),2)</x:f>
        <x:v>2848000</x:v>
      </x:c>
      <x:c r="N1196" s="4" t="str">
        <x:v>Sales head</x:v>
      </x:c>
      <x:c r="O1196" s="4"/>
      <x:c r="P1196" s="9" t="n">
        <x:v>0</x:v>
      </x:c>
      <x:c r="Q1196" s="11" t="n">
        <x:v>0</x:v>
      </x:c>
      <x:c r="R1196" s="8" t="n">
        <x:v>45430</x:v>
      </x:c>
      <x:c r="S1196" s="4" t="str">
        <x:v>Retained</x:v>
      </x:c>
      <x:c r="T1196" s="10" t="n">
        <x:v>0.351536</x:v>
      </x:c>
      <x:c r="U1196" s="4" t="str">
        <x:v>Train</x:v>
      </x:c>
    </x:row>
    <x:row r="1197" ht="34" customHeight="1">
      <x:c r="A1197" s="4" t="str">
        <x:v>RS-01196</x:v>
      </x:c>
      <x:c r="B1197" s="8" t="n">
        <x:v>45371</x:v>
      </x:c>
      <x:c r="C1197" s="4" t="str">
        <x:v>PRJ-016</x:v>
      </x:c>
      <x:c r="D1197" s="4" t="str">
        <x:v>Apartment</x:v>
      </x:c>
      <x:c r="E1197" s="4" t="str">
        <x:v>Enquiry</x:v>
      </x:c>
      <x:c r="F1197" s="4" t="str">
        <x:v>CUS-01196</x:v>
      </x:c>
      <x:c r="G1197" s="4" t="str">
        <x:v>UNIT-01196</x:v>
      </x:c>
      <x:c r="H1197" s="9" t="n">
        <x:v>9100000</x:v>
      </x:c>
      <x:c r="I1197" s="10" t="n">
        <x:v>0.03</x:v>
      </x:c>
      <x:c r="J1197" s="11" t="n">
        <x:v>8</x:v>
      </x:c>
      <x:c r="K1197" s="11" t="n">
        <x:v>6</x:v>
      </x:c>
      <x:c r="L1197" s="11" t="n">
        <x:v>1</x:v>
      </x:c>
      <x:c r="M1197" s="9" t="n">
        <x:f>ROUND(H1197*(1-I1197),2)</x:f>
        <x:v>8827000</x:v>
      </x:c>
      <x:c r="N1197" s="4" t="str">
        <x:v>Sales manager</x:v>
      </x:c>
      <x:c r="O1197" s="4"/>
      <x:c r="P1197" s="9" t="n">
        <x:v>0</x:v>
      </x:c>
      <x:c r="Q1197" s="11" t="n">
        <x:v>1</x:v>
      </x:c>
      <x:c r="R1197" s="8" t="n">
        <x:v>45431</x:v>
      </x:c>
      <x:c r="S1197" s="4" t="str">
        <x:v>Lost / cancelled</x:v>
      </x:c>
      <x:c r="T1197" s="10" t="n">
        <x:v>0.310195</x:v>
      </x:c>
      <x:c r="U1197" s="4" t="str">
        <x:v>Train</x:v>
      </x:c>
    </x:row>
    <x:row r="1198" ht="34" customHeight="1">
      <x:c r="A1198" s="4" t="str">
        <x:v>RS-01197</x:v>
      </x:c>
      <x:c r="B1198" s="8" t="n">
        <x:v>45372</x:v>
      </x:c>
      <x:c r="C1198" s="4" t="str">
        <x:v>PRJ-017</x:v>
      </x:c>
      <x:c r="D1198" s="4" t="str">
        <x:v>Office</x:v>
      </x:c>
      <x:c r="E1198" s="4" t="str">
        <x:v>Reserved</x:v>
      </x:c>
      <x:c r="F1198" s="4" t="str">
        <x:v>CUS-01197</x:v>
      </x:c>
      <x:c r="G1198" s="4" t="str">
        <x:v>UNIT-01197</x:v>
      </x:c>
      <x:c r="H1198" s="9" t="n">
        <x:v>21000000</x:v>
      </x:c>
      <x:c r="I1198" s="10" t="n">
        <x:v>0.01</x:v>
      </x:c>
      <x:c r="J1198" s="11" t="n">
        <x:v>11</x:v>
      </x:c>
      <x:c r="K1198" s="11" t="n">
        <x:v>0</x:v>
      </x:c>
      <x:c r="L1198" s="11" t="n">
        <x:v>0</x:v>
      </x:c>
      <x:c r="M1198" s="9" t="n">
        <x:f>ROUND(H1198*(1-I1198),2)</x:f>
        <x:v>20790000</x:v>
      </x:c>
      <x:c r="N1198" s="4" t="str">
        <x:v>Sales manager</x:v>
      </x:c>
      <x:c r="O1198" s="4"/>
      <x:c r="P1198" s="9" t="n">
        <x:v>0</x:v>
      </x:c>
      <x:c r="Q1198" s="11" t="n">
        <x:v>1</x:v>
      </x:c>
      <x:c r="R1198" s="8" t="n">
        <x:v>45432</x:v>
      </x:c>
      <x:c r="S1198" s="4" t="str">
        <x:v>Lost / cancelled</x:v>
      </x:c>
      <x:c r="T1198" s="10" t="n">
        <x:v>0.305556</x:v>
      </x:c>
      <x:c r="U1198" s="4" t="str">
        <x:v>Train</x:v>
      </x:c>
    </x:row>
    <x:row r="1199" ht="34" customHeight="1">
      <x:c r="A1199" s="4" t="str">
        <x:v>RS-01198</x:v>
      </x:c>
      <x:c r="B1199" s="8" t="n">
        <x:v>45373</x:v>
      </x:c>
      <x:c r="C1199" s="4" t="str">
        <x:v>PRJ-018</x:v>
      </x:c>
      <x:c r="D1199" s="4" t="str">
        <x:v>Retail</x:v>
      </x:c>
      <x:c r="E1199" s="4" t="str">
        <x:v>Reserved</x:v>
      </x:c>
      <x:c r="F1199" s="4" t="str">
        <x:v>CUS-01198</x:v>
      </x:c>
      <x:c r="G1199" s="4" t="str">
        <x:v>UNIT-01198</x:v>
      </x:c>
      <x:c r="H1199" s="9" t="n">
        <x:v>14200000</x:v>
      </x:c>
      <x:c r="I1199" s="10" t="n">
        <x:v>0.07</x:v>
      </x:c>
      <x:c r="J1199" s="11" t="n">
        <x:v>5</x:v>
      </x:c>
      <x:c r="K1199" s="11" t="n">
        <x:v>5</x:v>
      </x:c>
      <x:c r="L1199" s="11" t="n">
        <x:v>0</x:v>
      </x:c>
      <x:c r="M1199" s="9" t="n">
        <x:f>ROUND(H1199*(1-I1199),2)</x:f>
        <x:v>13206000</x:v>
      </x:c>
      <x:c r="N1199" s="4" t="str">
        <x:v>Sales manager</x:v>
      </x:c>
      <x:c r="O1199" s="4"/>
      <x:c r="P1199" s="9" t="n">
        <x:v>0</x:v>
      </x:c>
      <x:c r="Q1199" s="11" t="n">
        <x:v>1</x:v>
      </x:c>
      <x:c r="R1199" s="8" t="n">
        <x:v>45433</x:v>
      </x:c>
      <x:c r="S1199" s="4" t="str">
        <x:v>Lost / cancelled</x:v>
      </x:c>
      <x:c r="T1199" s="10" t="n">
        <x:v>0.226277</x:v>
      </x:c>
      <x:c r="U1199" s="4" t="str">
        <x:v>Train</x:v>
      </x:c>
    </x:row>
    <x:row r="1200" ht="34" customHeight="1">
      <x:c r="A1200" s="4" t="str">
        <x:v>RS-01199</x:v>
      </x:c>
      <x:c r="B1200" s="8" t="n">
        <x:v>45374</x:v>
      </x:c>
      <x:c r="C1200" s="4" t="str">
        <x:v>PRJ-019</x:v>
      </x:c>
      <x:c r="D1200" s="4" t="str">
        <x:v>Apartment</x:v>
      </x:c>
      <x:c r="E1200" s="4" t="str">
        <x:v>Booked</x:v>
      </x:c>
      <x:c r="F1200" s="4" t="str">
        <x:v>CUS-01199</x:v>
      </x:c>
      <x:c r="G1200" s="4" t="str">
        <x:v>UNIT-01199</x:v>
      </x:c>
      <x:c r="H1200" s="9" t="n">
        <x:v>23200000</x:v>
      </x:c>
      <x:c r="I1200" s="10" t="n">
        <x:v>0.06</x:v>
      </x:c>
      <x:c r="J1200" s="11" t="n">
        <x:v>1</x:v>
      </x:c>
      <x:c r="K1200" s="11" t="n">
        <x:v>2</x:v>
      </x:c>
      <x:c r="L1200" s="11" t="n">
        <x:v>0</x:v>
      </x:c>
      <x:c r="M1200" s="9" t="n">
        <x:f>ROUND(H1200*(1-I1200),2)</x:f>
        <x:v>21808000</x:v>
      </x:c>
      <x:c r="N1200" s="4" t="str">
        <x:v>Sales manager</x:v>
      </x:c>
      <x:c r="O1200" s="4" t="str">
        <x:v>BOOK-01199</x:v>
      </x:c>
      <x:c r="P1200" s="9" t="n">
        <x:v>10904000</x:v>
      </x:c>
      <x:c r="Q1200" s="11" t="n">
        <x:v>0</x:v>
      </x:c>
      <x:c r="R1200" s="8" t="n">
        <x:v>45434</x:v>
      </x:c>
      <x:c r="S1200" s="4" t="str">
        <x:v>Retained</x:v>
      </x:c>
      <x:c r="T1200" s="10" t="n">
        <x:v>0.204152</x:v>
      </x:c>
      <x:c r="U1200" s="4" t="str">
        <x:v>Train</x:v>
      </x:c>
    </x:row>
    <x:row r="1201" ht="34" customHeight="1">
      <x:c r="A1201" s="4" t="str">
        <x:v>RS-01200</x:v>
      </x:c>
      <x:c r="B1201" s="8" t="n">
        <x:v>45375</x:v>
      </x:c>
      <x:c r="C1201" s="4" t="str">
        <x:v>PRJ-020</x:v>
      </x:c>
      <x:c r="D1201" s="4" t="str">
        <x:v>Villa</x:v>
      </x:c>
      <x:c r="E1201" s="4" t="str">
        <x:v>Reserved</x:v>
      </x:c>
      <x:c r="F1201" s="4" t="str">
        <x:v>CUS-01200</x:v>
      </x:c>
      <x:c r="G1201" s="4" t="str">
        <x:v>UNIT-01200</x:v>
      </x:c>
      <x:c r="H1201" s="9" t="n">
        <x:v>18600000</x:v>
      </x:c>
      <x:c r="I1201" s="10" t="n">
        <x:v>0.02</x:v>
      </x:c>
      <x:c r="J1201" s="11" t="n">
        <x:v>9</x:v>
      </x:c>
      <x:c r="K1201" s="11" t="n">
        <x:v>9</x:v>
      </x:c>
      <x:c r="L1201" s="11" t="n">
        <x:v>1</x:v>
      </x:c>
      <x:c r="M1201" s="9" t="n">
        <x:f>ROUND(H1201*(1-I1201),2)</x:f>
        <x:v>18228000</x:v>
      </x:c>
      <x:c r="N1201" s="4" t="str">
        <x:v>Sales manager</x:v>
      </x:c>
      <x:c r="O1201" s="4"/>
      <x:c r="P1201" s="9" t="n">
        <x:v>0</x:v>
      </x:c>
      <x:c r="Q1201" s="11" t="n">
        <x:v>0</x:v>
      </x:c>
      <x:c r="R1201" s="8" t="n">
        <x:v>45435</x:v>
      </x:c>
      <x:c r="S1201" s="4" t="str">
        <x:v>Retained</x:v>
      </x:c>
      <x:c r="T1201" s="10" t="n">
        <x:v>0.254545</x:v>
      </x:c>
      <x:c r="U1201" s="4" t="str">
        <x:v>Train</x:v>
      </x:c>
    </x:row>
    <x:row r="1202" ht="34" customHeight="1">
      <x:c r="A1202" s="4" t="str">
        <x:v>RS-01201</x:v>
      </x:c>
      <x:c r="B1202" s="8" t="n">
        <x:v>45376</x:v>
      </x:c>
      <x:c r="C1202" s="4" t="str">
        <x:v>PRJ-001</x:v>
      </x:c>
      <x:c r="D1202" s="4" t="str">
        <x:v>Office</x:v>
      </x:c>
      <x:c r="E1202" s="4" t="str">
        <x:v>Cancelled</x:v>
      </x:c>
      <x:c r="F1202" s="4" t="str">
        <x:v>CUS-01201</x:v>
      </x:c>
      <x:c r="G1202" s="4" t="str">
        <x:v>UNIT-01201</x:v>
      </x:c>
      <x:c r="H1202" s="9" t="n">
        <x:v>21000000</x:v>
      </x:c>
      <x:c r="I1202" s="10" t="n">
        <x:v>0.06</x:v>
      </x:c>
      <x:c r="J1202" s="11" t="n">
        <x:v>8</x:v>
      </x:c>
      <x:c r="K1202" s="11" t="n">
        <x:v>7</x:v>
      </x:c>
      <x:c r="L1202" s="11" t="n">
        <x:v>1</x:v>
      </x:c>
      <x:c r="M1202" s="9" t="n">
        <x:f>ROUND(H1202*(1-I1202),2)</x:f>
        <x:v>19740000</x:v>
      </x:c>
      <x:c r="N1202" s="4" t="str">
        <x:v>Sales manager</x:v>
      </x:c>
      <x:c r="O1202" s="4"/>
      <x:c r="P1202" s="9" t="n">
        <x:v>0</x:v>
      </x:c>
      <x:c r="Q1202" s="11" t="n">
        <x:v>1</x:v>
      </x:c>
      <x:c r="R1202" s="8" t="n">
        <x:v>45436</x:v>
      </x:c>
      <x:c r="S1202" s="4" t="str">
        <x:v>Lost / cancelled</x:v>
      </x:c>
      <x:c r="T1202" s="10" t="n">
        <x:v>0.310195</x:v>
      </x:c>
      <x:c r="U1202" s="4" t="str">
        <x:v>Train</x:v>
      </x:c>
    </x:row>
    <x:row r="1203" ht="34" customHeight="1">
      <x:c r="A1203" s="4" t="str">
        <x:v>RS-01202</x:v>
      </x:c>
      <x:c r="B1203" s="8" t="n">
        <x:v>45377</x:v>
      </x:c>
      <x:c r="C1203" s="4" t="str">
        <x:v>PRJ-002</x:v>
      </x:c>
      <x:c r="D1203" s="4" t="str">
        <x:v>Apartment</x:v>
      </x:c>
      <x:c r="E1203" s="4" t="str">
        <x:v>Handed over</x:v>
      </x:c>
      <x:c r="F1203" s="4" t="str">
        <x:v>CUS-01202</x:v>
      </x:c>
      <x:c r="G1203" s="4" t="str">
        <x:v>UNIT-01202</x:v>
      </x:c>
      <x:c r="H1203" s="9" t="n">
        <x:v>6700000</x:v>
      </x:c>
      <x:c r="I1203" s="10" t="n">
        <x:v>0.08</x:v>
      </x:c>
      <x:c r="J1203" s="11" t="n">
        <x:v>11</x:v>
      </x:c>
      <x:c r="K1203" s="11" t="n">
        <x:v>7</x:v>
      </x:c>
      <x:c r="L1203" s="11" t="n">
        <x:v>0</x:v>
      </x:c>
      <x:c r="M1203" s="9" t="n">
        <x:f>ROUND(H1203*(1-I1203),2)</x:f>
        <x:v>6164000</x:v>
      </x:c>
      <x:c r="N1203" s="4" t="str">
        <x:v>Sales head</x:v>
      </x:c>
      <x:c r="O1203" s="4" t="str">
        <x:v>BOOK-01202</x:v>
      </x:c>
      <x:c r="P1203" s="9" t="n">
        <x:v>616400</x:v>
      </x:c>
      <x:c r="Q1203" s="11" t="n">
        <x:v>0</x:v>
      </x:c>
      <x:c r="R1203" s="8" t="n">
        <x:v>45437</x:v>
      </x:c>
      <x:c r="S1203" s="4" t="str">
        <x:v>Retained</x:v>
      </x:c>
      <x:c r="T1203" s="10" t="n">
        <x:v>0.351536</x:v>
      </x:c>
      <x:c r="U1203" s="4" t="str">
        <x:v>Train</x:v>
      </x:c>
    </x:row>
    <x:row r="1204" ht="34" customHeight="1">
      <x:c r="A1204" s="4" t="str">
        <x:v>RS-01203</x:v>
      </x:c>
      <x:c r="B1204" s="8" t="n">
        <x:v>45378</x:v>
      </x:c>
      <x:c r="C1204" s="4" t="str">
        <x:v>PRJ-003</x:v>
      </x:c>
      <x:c r="D1204" s="4" t="str">
        <x:v>Villa</x:v>
      </x:c>
      <x:c r="E1204" s="4" t="str">
        <x:v>Cancelled</x:v>
      </x:c>
      <x:c r="F1204" s="4" t="str">
        <x:v>CUS-01203</x:v>
      </x:c>
      <x:c r="G1204" s="4" t="str">
        <x:v>UNIT-01203</x:v>
      </x:c>
      <x:c r="H1204" s="9" t="n">
        <x:v>7500000</x:v>
      </x:c>
      <x:c r="I1204" s="10" t="n">
        <x:v>0.07</x:v>
      </x:c>
      <x:c r="J1204" s="11" t="n">
        <x:v>4</x:v>
      </x:c>
      <x:c r="K1204" s="11" t="n">
        <x:v>10</x:v>
      </x:c>
      <x:c r="L1204" s="11" t="n">
        <x:v>0</x:v>
      </x:c>
      <x:c r="M1204" s="9" t="n">
        <x:f>ROUND(H1204*(1-I1204),2)</x:f>
        <x:v>6975000</x:v>
      </x:c>
      <x:c r="N1204" s="4" t="str">
        <x:v>Sales manager</x:v>
      </x:c>
      <x:c r="O1204" s="4"/>
      <x:c r="P1204" s="9" t="n">
        <x:v>0</x:v>
      </x:c>
      <x:c r="Q1204" s="11" t="n">
        <x:v>1</x:v>
      </x:c>
      <x:c r="R1204" s="8" t="n">
        <x:v>45438</x:v>
      </x:c>
      <x:c r="S1204" s="4" t="str">
        <x:v>Lost / cancelled</x:v>
      </x:c>
      <x:c r="T1204" s="10" t="n">
        <x:v>0.226277</x:v>
      </x:c>
      <x:c r="U1204" s="4" t="str">
        <x:v>Train</x:v>
      </x:c>
    </x:row>
    <x:row r="1205" ht="34" customHeight="1">
      <x:c r="A1205" s="4" t="str">
        <x:v>RS-01204</x:v>
      </x:c>
      <x:c r="B1205" s="8" t="n">
        <x:v>45379</x:v>
      </x:c>
      <x:c r="C1205" s="4" t="str">
        <x:v>PRJ-004</x:v>
      </x:c>
      <x:c r="D1205" s="4" t="str">
        <x:v>Villa</x:v>
      </x:c>
      <x:c r="E1205" s="4" t="str">
        <x:v>Enquiry</x:v>
      </x:c>
      <x:c r="F1205" s="4" t="str">
        <x:v>CUS-01204</x:v>
      </x:c>
      <x:c r="G1205" s="4" t="str">
        <x:v>UNIT-01204</x:v>
      </x:c>
      <x:c r="H1205" s="9" t="n">
        <x:v>16900000</x:v>
      </x:c>
      <x:c r="I1205" s="10" t="n">
        <x:v>0</x:v>
      </x:c>
      <x:c r="J1205" s="11" t="n">
        <x:v>4</x:v>
      </x:c>
      <x:c r="K1205" s="11" t="n">
        <x:v>4</x:v>
      </x:c>
      <x:c r="L1205" s="11" t="n">
        <x:v>0</x:v>
      </x:c>
      <x:c r="M1205" s="9" t="n">
        <x:f>ROUND(H1205*(1-I1205),2)</x:f>
        <x:v>16900000</x:v>
      </x:c>
      <x:c r="N1205" s="4" t="str">
        <x:v>Sales manager</x:v>
      </x:c>
      <x:c r="O1205" s="4"/>
      <x:c r="P1205" s="9" t="n">
        <x:v>0</x:v>
      </x:c>
      <x:c r="Q1205" s="11" t="n">
        <x:v>0</x:v>
      </x:c>
      <x:c r="R1205" s="8" t="n">
        <x:v>45439</x:v>
      </x:c>
      <x:c r="S1205" s="4" t="str">
        <x:v>Retained</x:v>
      </x:c>
      <x:c r="T1205" s="10" t="n">
        <x:v>0.298969</x:v>
      </x:c>
      <x:c r="U1205" s="4" t="str">
        <x:v>Train</x:v>
      </x:c>
    </x:row>
    <x:row r="1206" ht="34" customHeight="1">
      <x:c r="A1206" s="4" t="str">
        <x:v>RS-01205</x:v>
      </x:c>
      <x:c r="B1206" s="8" t="n">
        <x:v>45352</x:v>
      </x:c>
      <x:c r="C1206" s="4" t="str">
        <x:v>PRJ-005</x:v>
      </x:c>
      <x:c r="D1206" s="4" t="str">
        <x:v>Retail</x:v>
      </x:c>
      <x:c r="E1206" s="4" t="str">
        <x:v>Reserved</x:v>
      </x:c>
      <x:c r="F1206" s="4" t="str">
        <x:v>CUS-01205</x:v>
      </x:c>
      <x:c r="G1206" s="4" t="str">
        <x:v>UNIT-01205</x:v>
      </x:c>
      <x:c r="H1206" s="9" t="n">
        <x:v>7300000</x:v>
      </x:c>
      <x:c r="I1206" s="10" t="n">
        <x:v>0.08</x:v>
      </x:c>
      <x:c r="J1206" s="11" t="n">
        <x:v>2</x:v>
      </x:c>
      <x:c r="K1206" s="11" t="n">
        <x:v>8</x:v>
      </x:c>
      <x:c r="L1206" s="11" t="n">
        <x:v>1</x:v>
      </x:c>
      <x:c r="M1206" s="9" t="n">
        <x:f>ROUND(H1206*(1-I1206),2)</x:f>
        <x:v>6716000</x:v>
      </x:c>
      <x:c r="N1206" s="4" t="str">
        <x:v>Sales head</x:v>
      </x:c>
      <x:c r="O1206" s="4"/>
      <x:c r="P1206" s="9" t="n">
        <x:v>0</x:v>
      </x:c>
      <x:c r="Q1206" s="11" t="n">
        <x:v>0</x:v>
      </x:c>
      <x:c r="R1206" s="8" t="n">
        <x:v>45412</x:v>
      </x:c>
      <x:c r="S1206" s="4" t="str">
        <x:v>Retained</x:v>
      </x:c>
      <x:c r="T1206" s="10" t="n">
        <x:v>0.204152</x:v>
      </x:c>
      <x:c r="U1206" s="4" t="str">
        <x:v>Train</x:v>
      </x:c>
    </x:row>
    <x:row r="1207" ht="34" customHeight="1">
      <x:c r="A1207" s="4" t="str">
        <x:v>RS-01206</x:v>
      </x:c>
      <x:c r="B1207" s="8" t="n">
        <x:v>45353</x:v>
      </x:c>
      <x:c r="C1207" s="4" t="str">
        <x:v>PRJ-006</x:v>
      </x:c>
      <x:c r="D1207" s="4" t="str">
        <x:v>Apartment</x:v>
      </x:c>
      <x:c r="E1207" s="4" t="str">
        <x:v>Reserved</x:v>
      </x:c>
      <x:c r="F1207" s="4" t="str">
        <x:v>CUS-01206</x:v>
      </x:c>
      <x:c r="G1207" s="4" t="str">
        <x:v>UNIT-01206</x:v>
      </x:c>
      <x:c r="H1207" s="9" t="n">
        <x:v>7100000</x:v>
      </x:c>
      <x:c r="I1207" s="10" t="n">
        <x:v>0.06</x:v>
      </x:c>
      <x:c r="J1207" s="11" t="n">
        <x:v>4</x:v>
      </x:c>
      <x:c r="K1207" s="11" t="n">
        <x:v>0</x:v>
      </x:c>
      <x:c r="L1207" s="11" t="n">
        <x:v>0</x:v>
      </x:c>
      <x:c r="M1207" s="9" t="n">
        <x:f>ROUND(H1207*(1-I1207),2)</x:f>
        <x:v>6674000</x:v>
      </x:c>
      <x:c r="N1207" s="4" t="str">
        <x:v>Sales manager</x:v>
      </x:c>
      <x:c r="O1207" s="4"/>
      <x:c r="P1207" s="9" t="n">
        <x:v>0</x:v>
      </x:c>
      <x:c r="Q1207" s="11" t="n">
        <x:v>0</x:v>
      </x:c>
      <x:c r="R1207" s="8" t="n">
        <x:v>45413</x:v>
      </x:c>
      <x:c r="S1207" s="4" t="str">
        <x:v>Retained</x:v>
      </x:c>
      <x:c r="T1207" s="10" t="n">
        <x:v>0.226277</x:v>
      </x:c>
      <x:c r="U1207" s="4" t="str">
        <x:v>Train</x:v>
      </x:c>
    </x:row>
    <x:row r="1208" ht="34" customHeight="1">
      <x:c r="A1208" s="4" t="str">
        <x:v>RS-01207</x:v>
      </x:c>
      <x:c r="B1208" s="8" t="n">
        <x:v>45354</x:v>
      </x:c>
      <x:c r="C1208" s="4" t="str">
        <x:v>PRJ-007</x:v>
      </x:c>
      <x:c r="D1208" s="4" t="str">
        <x:v>Apartment</x:v>
      </x:c>
      <x:c r="E1208" s="4" t="str">
        <x:v>Booked</x:v>
      </x:c>
      <x:c r="F1208" s="4" t="str">
        <x:v>CUS-01207</x:v>
      </x:c>
      <x:c r="G1208" s="4" t="str">
        <x:v>UNIT-01207</x:v>
      </x:c>
      <x:c r="H1208" s="9" t="n">
        <x:v>23100000</x:v>
      </x:c>
      <x:c r="I1208" s="10" t="n">
        <x:v>0</x:v>
      </x:c>
      <x:c r="J1208" s="11" t="n">
        <x:v>10</x:v>
      </x:c>
      <x:c r="K1208" s="11" t="n">
        <x:v>5</x:v>
      </x:c>
      <x:c r="L1208" s="11" t="n">
        <x:v>1</x:v>
      </x:c>
      <x:c r="M1208" s="9" t="n">
        <x:f>ROUND(H1208*(1-I1208),2)</x:f>
        <x:v>23100000</x:v>
      </x:c>
      <x:c r="N1208" s="4" t="str">
        <x:v>Sales manager</x:v>
      </x:c>
      <x:c r="O1208" s="4" t="str">
        <x:v>BOOK-01207</x:v>
      </x:c>
      <x:c r="P1208" s="9" t="n">
        <x:v>11550000</x:v>
      </x:c>
      <x:c r="Q1208" s="11" t="n">
        <x:v>0</x:v>
      </x:c>
      <x:c r="R1208" s="8" t="n">
        <x:v>45414</x:v>
      </x:c>
      <x:c r="S1208" s="4" t="str">
        <x:v>Retained</x:v>
      </x:c>
      <x:c r="T1208" s="10" t="n">
        <x:v>0.254545</x:v>
      </x:c>
      <x:c r="U1208" s="4" t="str">
        <x:v>Train</x:v>
      </x:c>
    </x:row>
    <x:row r="1209" ht="34" customHeight="1">
      <x:c r="A1209" s="4" t="str">
        <x:v>RS-01208</x:v>
      </x:c>
      <x:c r="B1209" s="8" t="n">
        <x:v>45355</x:v>
      </x:c>
      <x:c r="C1209" s="4" t="str">
        <x:v>PRJ-008</x:v>
      </x:c>
      <x:c r="D1209" s="4" t="str">
        <x:v>Retail</x:v>
      </x:c>
      <x:c r="E1209" s="4" t="str">
        <x:v>Agreement signed</x:v>
      </x:c>
      <x:c r="F1209" s="4" t="str">
        <x:v>CUS-01208</x:v>
      </x:c>
      <x:c r="G1209" s="4" t="str">
        <x:v>UNIT-01208</x:v>
      </x:c>
      <x:c r="H1209" s="9" t="n">
        <x:v>4600000</x:v>
      </x:c>
      <x:c r="I1209" s="10" t="n">
        <x:v>0</x:v>
      </x:c>
      <x:c r="J1209" s="11" t="n">
        <x:v>3</x:v>
      </x:c>
      <x:c r="K1209" s="11" t="n">
        <x:v>0</x:v>
      </x:c>
      <x:c r="L1209" s="11" t="n">
        <x:v>0</x:v>
      </x:c>
      <x:c r="M1209" s="9" t="n">
        <x:f>ROUND(H1209*(1-I1209),2)</x:f>
        <x:v>4600000</x:v>
      </x:c>
      <x:c r="N1209" s="4" t="str">
        <x:v>Sales manager</x:v>
      </x:c>
      <x:c r="O1209" s="4" t="str">
        <x:v>BOOK-01208</x:v>
      </x:c>
      <x:c r="P1209" s="9" t="n">
        <x:v>2300000</x:v>
      </x:c>
      <x:c r="Q1209" s="11" t="n">
        <x:v>0</x:v>
      </x:c>
      <x:c r="R1209" s="8" t="n">
        <x:v>45415</x:v>
      </x:c>
      <x:c r="S1209" s="4" t="str">
        <x:v>Retained</x:v>
      </x:c>
      <x:c r="T1209" s="10" t="n">
        <x:v>0.276923</x:v>
      </x:c>
      <x:c r="U1209" s="4" t="str">
        <x:v>Train</x:v>
      </x:c>
    </x:row>
    <x:row r="1210" ht="34" customHeight="1">
      <x:c r="A1210" s="4" t="str">
        <x:v>RS-01209</x:v>
      </x:c>
      <x:c r="B1210" s="8" t="n">
        <x:v>45356</x:v>
      </x:c>
      <x:c r="C1210" s="4" t="str">
        <x:v>PRJ-009</x:v>
      </x:c>
      <x:c r="D1210" s="4" t="str">
        <x:v>Retail</x:v>
      </x:c>
      <x:c r="E1210" s="4" t="str">
        <x:v>Enquiry</x:v>
      </x:c>
      <x:c r="F1210" s="4" t="str">
        <x:v>CUS-01209</x:v>
      </x:c>
      <x:c r="G1210" s="4" t="str">
        <x:v>UNIT-01209</x:v>
      </x:c>
      <x:c r="H1210" s="9" t="n">
        <x:v>4000000</x:v>
      </x:c>
      <x:c r="I1210" s="10" t="n">
        <x:v>0.06</x:v>
      </x:c>
      <x:c r="J1210" s="11" t="n">
        <x:v>9</x:v>
      </x:c>
      <x:c r="K1210" s="11" t="n">
        <x:v>1</x:v>
      </x:c>
      <x:c r="L1210" s="11" t="n">
        <x:v>0</x:v>
      </x:c>
      <x:c r="M1210" s="9" t="n">
        <x:f>ROUND(H1210*(1-I1210),2)</x:f>
        <x:v>3760000</x:v>
      </x:c>
      <x:c r="N1210" s="4" t="str">
        <x:v>Sales manager</x:v>
      </x:c>
      <x:c r="O1210" s="4"/>
      <x:c r="P1210" s="9" t="n">
        <x:v>0</x:v>
      </x:c>
      <x:c r="Q1210" s="11" t="n">
        <x:v>0</x:v>
      </x:c>
      <x:c r="R1210" s="8" t="n">
        <x:v>45416</x:v>
      </x:c>
      <x:c r="S1210" s="4" t="str">
        <x:v>Retained</x:v>
      </x:c>
      <x:c r="T1210" s="10" t="n">
        <x:v>0.310195</x:v>
      </x:c>
      <x:c r="U1210" s="4" t="str">
        <x:v>Train</x:v>
      </x:c>
    </x:row>
    <x:row r="1211" ht="34" customHeight="1">
      <x:c r="A1211" s="4" t="str">
        <x:v>RS-01210</x:v>
      </x:c>
      <x:c r="B1211" s="8" t="n">
        <x:v>45357</x:v>
      </x:c>
      <x:c r="C1211" s="4" t="str">
        <x:v>PRJ-010</x:v>
      </x:c>
      <x:c r="D1211" s="4" t="str">
        <x:v>Office</x:v>
      </x:c>
      <x:c r="E1211" s="4" t="str">
        <x:v>Agreement signed</x:v>
      </x:c>
      <x:c r="F1211" s="4" t="str">
        <x:v>CUS-01210</x:v>
      </x:c>
      <x:c r="G1211" s="4" t="str">
        <x:v>UNIT-01210</x:v>
      </x:c>
      <x:c r="H1211" s="9" t="n">
        <x:v>7200000</x:v>
      </x:c>
      <x:c r="I1211" s="10" t="n">
        <x:v>0.01</x:v>
      </x:c>
      <x:c r="J1211" s="11" t="n">
        <x:v>12</x:v>
      </x:c>
      <x:c r="K1211" s="11" t="n">
        <x:v>4</x:v>
      </x:c>
      <x:c r="L1211" s="11" t="n">
        <x:v>0</x:v>
      </x:c>
      <x:c r="M1211" s="9" t="n">
        <x:f>ROUND(H1211*(1-I1211),2)</x:f>
        <x:v>7128000</x:v>
      </x:c>
      <x:c r="N1211" s="4" t="str">
        <x:v>Sales manager</x:v>
      </x:c>
      <x:c r="O1211" s="4" t="str">
        <x:v>BOOK-01210</x:v>
      </x:c>
      <x:c r="P1211" s="9" t="n">
        <x:v>1782000</x:v>
      </x:c>
      <x:c r="Q1211" s="11" t="n">
        <x:v>0</x:v>
      </x:c>
      <x:c r="R1211" s="8" t="n">
        <x:v>45417</x:v>
      </x:c>
      <x:c r="S1211" s="4" t="str">
        <x:v>Retained</x:v>
      </x:c>
      <x:c r="T1211" s="10" t="n">
        <x:v>0.305556</x:v>
      </x:c>
      <x:c r="U1211" s="4" t="str">
        <x:v>Train</x:v>
      </x:c>
    </x:row>
    <x:row r="1212" ht="34" customHeight="1">
      <x:c r="A1212" s="4" t="str">
        <x:v>RS-01211</x:v>
      </x:c>
      <x:c r="B1212" s="8" t="n">
        <x:v>45358</x:v>
      </x:c>
      <x:c r="C1212" s="4" t="str">
        <x:v>PRJ-011</x:v>
      </x:c>
      <x:c r="D1212" s="4" t="str">
        <x:v>Retail</x:v>
      </x:c>
      <x:c r="E1212" s="4" t="str">
        <x:v>Reserved</x:v>
      </x:c>
      <x:c r="F1212" s="4" t="str">
        <x:v>CUS-01211</x:v>
      </x:c>
      <x:c r="G1212" s="4" t="str">
        <x:v>UNIT-01211</x:v>
      </x:c>
      <x:c r="H1212" s="9" t="n">
        <x:v>22000000</x:v>
      </x:c>
      <x:c r="I1212" s="10" t="n">
        <x:v>0.08</x:v>
      </x:c>
      <x:c r="J1212" s="11" t="n">
        <x:v>8</x:v>
      </x:c>
      <x:c r="K1212" s="11" t="n">
        <x:v>3</x:v>
      </x:c>
      <x:c r="L1212" s="11" t="n">
        <x:v>0</x:v>
      </x:c>
      <x:c r="M1212" s="9" t="n">
        <x:f>ROUND(H1212*(1-I1212),2)</x:f>
        <x:v>20240000</x:v>
      </x:c>
      <x:c r="N1212" s="4" t="str">
        <x:v>Sales head</x:v>
      </x:c>
      <x:c r="O1212" s="4"/>
      <x:c r="P1212" s="9" t="n">
        <x:v>0</x:v>
      </x:c>
      <x:c r="Q1212" s="11" t="n">
        <x:v>0</x:v>
      </x:c>
      <x:c r="R1212" s="8" t="n">
        <x:v>45418</x:v>
      </x:c>
      <x:c r="S1212" s="4" t="str">
        <x:v>Retained</x:v>
      </x:c>
      <x:c r="T1212" s="10" t="n">
        <x:v>0.310195</x:v>
      </x:c>
      <x:c r="U1212" s="4" t="str">
        <x:v>Train</x:v>
      </x:c>
    </x:row>
    <x:row r="1213" ht="34" customHeight="1">
      <x:c r="A1213" s="4" t="str">
        <x:v>RS-01212</x:v>
      </x:c>
      <x:c r="B1213" s="8" t="n">
        <x:v>45359</x:v>
      </x:c>
      <x:c r="C1213" s="4" t="str">
        <x:v>PRJ-012</x:v>
      </x:c>
      <x:c r="D1213" s="4" t="str">
        <x:v>Apartment</x:v>
      </x:c>
      <x:c r="E1213" s="4" t="str">
        <x:v>Booked</x:v>
      </x:c>
      <x:c r="F1213" s="4" t="str">
        <x:v>CUS-01212</x:v>
      </x:c>
      <x:c r="G1213" s="4" t="str">
        <x:v>UNIT-01212</x:v>
      </x:c>
      <x:c r="H1213" s="9" t="n">
        <x:v>7800000</x:v>
      </x:c>
      <x:c r="I1213" s="10" t="n">
        <x:v>0.02</x:v>
      </x:c>
      <x:c r="J1213" s="11" t="n">
        <x:v>10</x:v>
      </x:c>
      <x:c r="K1213" s="11" t="n">
        <x:v>10</x:v>
      </x:c>
      <x:c r="L1213" s="11" t="n">
        <x:v>1</x:v>
      </x:c>
      <x:c r="M1213" s="9" t="n">
        <x:f>ROUND(H1213*(1-I1213),2)</x:f>
        <x:v>7644000</x:v>
      </x:c>
      <x:c r="N1213" s="4" t="str">
        <x:v>Sales manager</x:v>
      </x:c>
      <x:c r="O1213" s="4" t="str">
        <x:v>BOOK-01212</x:v>
      </x:c>
      <x:c r="P1213" s="9" t="n">
        <x:v>1911000</x:v>
      </x:c>
      <x:c r="Q1213" s="11" t="n">
        <x:v>0</x:v>
      </x:c>
      <x:c r="R1213" s="8" t="n">
        <x:v>45419</x:v>
      </x:c>
      <x:c r="S1213" s="4" t="str">
        <x:v>Retained</x:v>
      </x:c>
      <x:c r="T1213" s="10" t="n">
        <x:v>0.254545</x:v>
      </x:c>
      <x:c r="U1213" s="4" t="str">
        <x:v>Train</x:v>
      </x:c>
    </x:row>
    <x:row r="1214" ht="34" customHeight="1">
      <x:c r="A1214" s="4" t="str">
        <x:v>RS-01213</x:v>
      </x:c>
      <x:c r="B1214" s="8" t="n">
        <x:v>45360</x:v>
      </x:c>
      <x:c r="C1214" s="4" t="str">
        <x:v>PRJ-013</x:v>
      </x:c>
      <x:c r="D1214" s="4" t="str">
        <x:v>Office</x:v>
      </x:c>
      <x:c r="E1214" s="4" t="str">
        <x:v>Booked</x:v>
      </x:c>
      <x:c r="F1214" s="4" t="str">
        <x:v>CUS-01213</x:v>
      </x:c>
      <x:c r="G1214" s="4" t="str">
        <x:v>UNIT-01213</x:v>
      </x:c>
      <x:c r="H1214" s="9" t="n">
        <x:v>3400000</x:v>
      </x:c>
      <x:c r="I1214" s="10" t="n">
        <x:v>0.06</x:v>
      </x:c>
      <x:c r="J1214" s="11" t="n">
        <x:v>1</x:v>
      </x:c>
      <x:c r="K1214" s="11" t="n">
        <x:v>7</x:v>
      </x:c>
      <x:c r="L1214" s="11" t="n">
        <x:v>0</x:v>
      </x:c>
      <x:c r="M1214" s="9" t="n">
        <x:f>ROUND(H1214*(1-I1214),2)</x:f>
        <x:v>3196000</x:v>
      </x:c>
      <x:c r="N1214" s="4" t="str">
        <x:v>Sales manager</x:v>
      </x:c>
      <x:c r="O1214" s="4" t="str">
        <x:v>BOOK-01213</x:v>
      </x:c>
      <x:c r="P1214" s="9" t="n">
        <x:v>3196000</x:v>
      </x:c>
      <x:c r="Q1214" s="11" t="n">
        <x:v>0</x:v>
      </x:c>
      <x:c r="R1214" s="8" t="n">
        <x:v>45420</x:v>
      </x:c>
      <x:c r="S1214" s="4" t="str">
        <x:v>Retained</x:v>
      </x:c>
      <x:c r="T1214" s="10" t="n">
        <x:v>0.204152</x:v>
      </x:c>
      <x:c r="U1214" s="4" t="str">
        <x:v>Train</x:v>
      </x:c>
    </x:row>
    <x:row r="1215" ht="34" customHeight="1">
      <x:c r="A1215" s="4" t="str">
        <x:v>RS-01214</x:v>
      </x:c>
      <x:c r="B1215" s="8" t="n">
        <x:v>45361</x:v>
      </x:c>
      <x:c r="C1215" s="4" t="str">
        <x:v>PRJ-014</x:v>
      </x:c>
      <x:c r="D1215" s="4" t="str">
        <x:v>Retail</x:v>
      </x:c>
      <x:c r="E1215" s="4" t="str">
        <x:v>Booked</x:v>
      </x:c>
      <x:c r="F1215" s="4" t="str">
        <x:v>CUS-01214</x:v>
      </x:c>
      <x:c r="G1215" s="4" t="str">
        <x:v>UNIT-01214</x:v>
      </x:c>
      <x:c r="H1215" s="9" t="n">
        <x:v>11200000</x:v>
      </x:c>
      <x:c r="I1215" s="10" t="n">
        <x:v>0.06</x:v>
      </x:c>
      <x:c r="J1215" s="11" t="n">
        <x:v>10</x:v>
      </x:c>
      <x:c r="K1215" s="11" t="n">
        <x:v>8</x:v>
      </x:c>
      <x:c r="L1215" s="11" t="n">
        <x:v>0</x:v>
      </x:c>
      <x:c r="M1215" s="9" t="n">
        <x:f>ROUND(H1215*(1-I1215),2)</x:f>
        <x:v>10528000</x:v>
      </x:c>
      <x:c r="N1215" s="4" t="str">
        <x:v>Sales manager</x:v>
      </x:c>
      <x:c r="O1215" s="4" t="str">
        <x:v>BOOK-01214</x:v>
      </x:c>
      <x:c r="P1215" s="9" t="n">
        <x:v>1052800</x:v>
      </x:c>
      <x:c r="Q1215" s="11" t="n">
        <x:v>0</x:v>
      </x:c>
      <x:c r="R1215" s="8" t="n">
        <x:v>45421</x:v>
      </x:c>
      <x:c r="S1215" s="4" t="str">
        <x:v>Retained</x:v>
      </x:c>
      <x:c r="T1215" s="10" t="n">
        <x:v>0.310195</x:v>
      </x:c>
      <x:c r="U1215" s="4" t="str">
        <x:v>Train</x:v>
      </x:c>
    </x:row>
    <x:row r="1216" ht="34" customHeight="1">
      <x:c r="A1216" s="4" t="str">
        <x:v>RS-01215</x:v>
      </x:c>
      <x:c r="B1216" s="8" t="n">
        <x:v>45362</x:v>
      </x:c>
      <x:c r="C1216" s="4" t="str">
        <x:v>PRJ-015</x:v>
      </x:c>
      <x:c r="D1216" s="4" t="str">
        <x:v>Villa</x:v>
      </x:c>
      <x:c r="E1216" s="4" t="str">
        <x:v>Reserved</x:v>
      </x:c>
      <x:c r="F1216" s="4" t="str">
        <x:v>CUS-01215</x:v>
      </x:c>
      <x:c r="G1216" s="4" t="str">
        <x:v>UNIT-01215</x:v>
      </x:c>
      <x:c r="H1216" s="9" t="n">
        <x:v>14800000</x:v>
      </x:c>
      <x:c r="I1216" s="10" t="n">
        <x:v>0.04</x:v>
      </x:c>
      <x:c r="J1216" s="11" t="n">
        <x:v>5</x:v>
      </x:c>
      <x:c r="K1216" s="11" t="n">
        <x:v>4</x:v>
      </x:c>
      <x:c r="L1216" s="11" t="n">
        <x:v>1</x:v>
      </x:c>
      <x:c r="M1216" s="9" t="n">
        <x:f>ROUND(H1216*(1-I1216),2)</x:f>
        <x:v>14208000</x:v>
      </x:c>
      <x:c r="N1216" s="4" t="str">
        <x:v>Sales manager</x:v>
      </x:c>
      <x:c r="O1216" s="4"/>
      <x:c r="P1216" s="9" t="n">
        <x:v>0</x:v>
      </x:c>
      <x:c r="Q1216" s="11" t="n">
        <x:v>0</x:v>
      </x:c>
      <x:c r="R1216" s="8" t="n">
        <x:v>45422</x:v>
      </x:c>
      <x:c r="S1216" s="4" t="str">
        <x:v>Retained</x:v>
      </x:c>
      <x:c r="T1216" s="10" t="n">
        <x:v>0.291946</x:v>
      </x:c>
      <x:c r="U1216" s="4" t="str">
        <x:v>Train</x:v>
      </x:c>
    </x:row>
    <x:row r="1217" ht="34" customHeight="1">
      <x:c r="A1217" s="4" t="str">
        <x:v>RS-01216</x:v>
      </x:c>
      <x:c r="B1217" s="8" t="n">
        <x:v>45363</x:v>
      </x:c>
      <x:c r="C1217" s="4" t="str">
        <x:v>PRJ-016</x:v>
      </x:c>
      <x:c r="D1217" s="4" t="str">
        <x:v>Office</x:v>
      </x:c>
      <x:c r="E1217" s="4" t="str">
        <x:v>Agreement signed</x:v>
      </x:c>
      <x:c r="F1217" s="4" t="str">
        <x:v>CUS-01216</x:v>
      </x:c>
      <x:c r="G1217" s="4" t="str">
        <x:v>UNIT-01216</x:v>
      </x:c>
      <x:c r="H1217" s="9" t="n">
        <x:v>23300000</x:v>
      </x:c>
      <x:c r="I1217" s="10" t="n">
        <x:v>0.1</x:v>
      </x:c>
      <x:c r="J1217" s="11" t="n">
        <x:v>1</x:v>
      </x:c>
      <x:c r="K1217" s="11" t="n">
        <x:v>7</x:v>
      </x:c>
      <x:c r="L1217" s="11" t="n">
        <x:v>1</x:v>
      </x:c>
      <x:c r="M1217" s="9" t="n">
        <x:f>ROUND(H1217*(1-I1217),2)</x:f>
        <x:v>20970000</x:v>
      </x:c>
      <x:c r="N1217" s="4" t="str">
        <x:v>Sales head</x:v>
      </x:c>
      <x:c r="O1217" s="4" t="str">
        <x:v>BOOK-01216</x:v>
      </x:c>
      <x:c r="P1217" s="9" t="n">
        <x:v>20970000</x:v>
      </x:c>
      <x:c r="Q1217" s="11" t="n">
        <x:v>0</x:v>
      </x:c>
      <x:c r="R1217" s="8" t="n">
        <x:v>45423</x:v>
      </x:c>
      <x:c r="S1217" s="4" t="str">
        <x:v>Retained</x:v>
      </x:c>
      <x:c r="T1217" s="10" t="n">
        <x:v>0.145833</x:v>
      </x:c>
      <x:c r="U1217" s="4" t="str">
        <x:v>Train</x:v>
      </x:c>
    </x:row>
    <x:row r="1218" ht="34" customHeight="1">
      <x:c r="A1218" s="4" t="str">
        <x:v>RS-01217</x:v>
      </x:c>
      <x:c r="B1218" s="8" t="n">
        <x:v>45364</x:v>
      </x:c>
      <x:c r="C1218" s="4" t="str">
        <x:v>PRJ-017</x:v>
      </x:c>
      <x:c r="D1218" s="4" t="str">
        <x:v>Villa</x:v>
      </x:c>
      <x:c r="E1218" s="4" t="str">
        <x:v>Reserved</x:v>
      </x:c>
      <x:c r="F1218" s="4" t="str">
        <x:v>CUS-01217</x:v>
      </x:c>
      <x:c r="G1218" s="4" t="str">
        <x:v>UNIT-01217</x:v>
      </x:c>
      <x:c r="H1218" s="9" t="n">
        <x:v>21300000</x:v>
      </x:c>
      <x:c r="I1218" s="10" t="n">
        <x:v>0.1</x:v>
      </x:c>
      <x:c r="J1218" s="11" t="n">
        <x:v>8</x:v>
      </x:c>
      <x:c r="K1218" s="11" t="n">
        <x:v>1</x:v>
      </x:c>
      <x:c r="L1218" s="11" t="n">
        <x:v>0</x:v>
      </x:c>
      <x:c r="M1218" s="9" t="n">
        <x:f>ROUND(H1218*(1-I1218),2)</x:f>
        <x:v>19170000</x:v>
      </x:c>
      <x:c r="N1218" s="4" t="str">
        <x:v>Sales head</x:v>
      </x:c>
      <x:c r="O1218" s="4"/>
      <x:c r="P1218" s="9" t="n">
        <x:v>0</x:v>
      </x:c>
      <x:c r="Q1218" s="11" t="n">
        <x:v>1</x:v>
      </x:c>
      <x:c r="R1218" s="8" t="n">
        <x:v>45424</x:v>
      </x:c>
      <x:c r="S1218" s="4" t="str">
        <x:v>Lost / cancelled</x:v>
      </x:c>
      <x:c r="T1218" s="10" t="n">
        <x:v>0.310195</x:v>
      </x:c>
      <x:c r="U1218" s="4" t="str">
        <x:v>Train</x:v>
      </x:c>
    </x:row>
    <x:row r="1219" ht="34" customHeight="1">
      <x:c r="A1219" s="4" t="str">
        <x:v>RS-01218</x:v>
      </x:c>
      <x:c r="B1219" s="8" t="n">
        <x:v>45365</x:v>
      </x:c>
      <x:c r="C1219" s="4" t="str">
        <x:v>PRJ-018</x:v>
      </x:c>
      <x:c r="D1219" s="4" t="str">
        <x:v>Apartment</x:v>
      </x:c>
      <x:c r="E1219" s="4" t="str">
        <x:v>Enquiry</x:v>
      </x:c>
      <x:c r="F1219" s="4" t="str">
        <x:v>CUS-01218</x:v>
      </x:c>
      <x:c r="G1219" s="4" t="str">
        <x:v>UNIT-01218</x:v>
      </x:c>
      <x:c r="H1219" s="9" t="n">
        <x:v>21200000</x:v>
      </x:c>
      <x:c r="I1219" s="10" t="n">
        <x:v>0.06</x:v>
      </x:c>
      <x:c r="J1219" s="11" t="n">
        <x:v>8</x:v>
      </x:c>
      <x:c r="K1219" s="11" t="n">
        <x:v>2</x:v>
      </x:c>
      <x:c r="L1219" s="11" t="n">
        <x:v>1</x:v>
      </x:c>
      <x:c r="M1219" s="9" t="n">
        <x:f>ROUND(H1219*(1-I1219),2)</x:f>
        <x:v>19928000</x:v>
      </x:c>
      <x:c r="N1219" s="4" t="str">
        <x:v>Sales manager</x:v>
      </x:c>
      <x:c r="O1219" s="4"/>
      <x:c r="P1219" s="9" t="n">
        <x:v>0</x:v>
      </x:c>
      <x:c r="Q1219" s="11" t="n">
        <x:v>1</x:v>
      </x:c>
      <x:c r="R1219" s="8" t="n">
        <x:v>45425</x:v>
      </x:c>
      <x:c r="S1219" s="4" t="str">
        <x:v>Lost / cancelled</x:v>
      </x:c>
      <x:c r="T1219" s="10" t="n">
        <x:v>0.310195</x:v>
      </x:c>
      <x:c r="U1219" s="4" t="str">
        <x:v>Train</x:v>
      </x:c>
    </x:row>
    <x:row r="1220" ht="34" customHeight="1">
      <x:c r="A1220" s="4" t="str">
        <x:v>RS-01219</x:v>
      </x:c>
      <x:c r="B1220" s="8" t="n">
        <x:v>45366</x:v>
      </x:c>
      <x:c r="C1220" s="4" t="str">
        <x:v>PRJ-019</x:v>
      </x:c>
      <x:c r="D1220" s="4" t="str">
        <x:v>Retail</x:v>
      </x:c>
      <x:c r="E1220" s="4" t="str">
        <x:v>Booked</x:v>
      </x:c>
      <x:c r="F1220" s="4" t="str">
        <x:v>CUS-01219</x:v>
      </x:c>
      <x:c r="G1220" s="4" t="str">
        <x:v>UNIT-01219</x:v>
      </x:c>
      <x:c r="H1220" s="9" t="n">
        <x:v>11700000</x:v>
      </x:c>
      <x:c r="I1220" s="10" t="n">
        <x:v>0.06</x:v>
      </x:c>
      <x:c r="J1220" s="11" t="n">
        <x:v>10</x:v>
      </x:c>
      <x:c r="K1220" s="11" t="n">
        <x:v>6</x:v>
      </x:c>
      <x:c r="L1220" s="11" t="n">
        <x:v>0</x:v>
      </x:c>
      <x:c r="M1220" s="9" t="n">
        <x:f>ROUND(H1220*(1-I1220),2)</x:f>
        <x:v>10998000</x:v>
      </x:c>
      <x:c r="N1220" s="4" t="str">
        <x:v>Sales manager</x:v>
      </x:c>
      <x:c r="O1220" s="4" t="str">
        <x:v>BOOK-01219</x:v>
      </x:c>
      <x:c r="P1220" s="9" t="n">
        <x:v>10998000</x:v>
      </x:c>
      <x:c r="Q1220" s="11" t="n">
        <x:v>0</x:v>
      </x:c>
      <x:c r="R1220" s="8" t="n">
        <x:v>45426</x:v>
      </x:c>
      <x:c r="S1220" s="4" t="str">
        <x:v>Retained</x:v>
      </x:c>
      <x:c r="T1220" s="10" t="n">
        <x:v>0.310195</x:v>
      </x:c>
      <x:c r="U1220" s="4" t="str">
        <x:v>Train</x:v>
      </x:c>
    </x:row>
    <x:row r="1221" ht="34" customHeight="1">
      <x:c r="A1221" s="4" t="str">
        <x:v>RS-01220</x:v>
      </x:c>
      <x:c r="B1221" s="8" t="n">
        <x:v>45367</x:v>
      </x:c>
      <x:c r="C1221" s="4" t="str">
        <x:v>PRJ-020</x:v>
      </x:c>
      <x:c r="D1221" s="4" t="str">
        <x:v>Apartment</x:v>
      </x:c>
      <x:c r="E1221" s="4" t="str">
        <x:v>Agreement signed</x:v>
      </x:c>
      <x:c r="F1221" s="4" t="str">
        <x:v>CUS-01220</x:v>
      </x:c>
      <x:c r="G1221" s="4" t="str">
        <x:v>UNIT-01220</x:v>
      </x:c>
      <x:c r="H1221" s="9" t="n">
        <x:v>20300000</x:v>
      </x:c>
      <x:c r="I1221" s="10" t="n">
        <x:v>0.06</x:v>
      </x:c>
      <x:c r="J1221" s="11" t="n">
        <x:v>10</x:v>
      </x:c>
      <x:c r="K1221" s="11" t="n">
        <x:v>6</x:v>
      </x:c>
      <x:c r="L1221" s="11" t="n">
        <x:v>0</x:v>
      </x:c>
      <x:c r="M1221" s="9" t="n">
        <x:f>ROUND(H1221*(1-I1221),2)</x:f>
        <x:v>19082000</x:v>
      </x:c>
      <x:c r="N1221" s="4" t="str">
        <x:v>Sales manager</x:v>
      </x:c>
      <x:c r="O1221" s="4" t="str">
        <x:v>BOOK-01220</x:v>
      </x:c>
      <x:c r="P1221" s="9" t="n">
        <x:v>1908200</x:v>
      </x:c>
      <x:c r="Q1221" s="11" t="n">
        <x:v>0</x:v>
      </x:c>
      <x:c r="R1221" s="8" t="n">
        <x:v>45427</x:v>
      </x:c>
      <x:c r="S1221" s="4" t="str">
        <x:v>Retained</x:v>
      </x:c>
      <x:c r="T1221" s="10" t="n">
        <x:v>0.310195</x:v>
      </x:c>
      <x:c r="U1221" s="4" t="str">
        <x:v>Train</x:v>
      </x:c>
    </x:row>
    <x:row r="1222" ht="34" customHeight="1">
      <x:c r="A1222" s="4" t="str">
        <x:v>RS-01221</x:v>
      </x:c>
      <x:c r="B1222" s="8" t="n">
        <x:v>45368</x:v>
      </x:c>
      <x:c r="C1222" s="4" t="str">
        <x:v>PRJ-001</x:v>
      </x:c>
      <x:c r="D1222" s="4" t="str">
        <x:v>Villa</x:v>
      </x:c>
      <x:c r="E1222" s="4" t="str">
        <x:v>Enquiry</x:v>
      </x:c>
      <x:c r="F1222" s="4" t="str">
        <x:v>CUS-01221</x:v>
      </x:c>
      <x:c r="G1222" s="4" t="str">
        <x:v>UNIT-01221</x:v>
      </x:c>
      <x:c r="H1222" s="9" t="n">
        <x:v>16200000</x:v>
      </x:c>
      <x:c r="I1222" s="10" t="n">
        <x:v>0.09</x:v>
      </x:c>
      <x:c r="J1222" s="11" t="n">
        <x:v>12</x:v>
      </x:c>
      <x:c r="K1222" s="11" t="n">
        <x:v>7</x:v>
      </x:c>
      <x:c r="L1222" s="11" t="n">
        <x:v>1</x:v>
      </x:c>
      <x:c r="M1222" s="9" t="n">
        <x:f>ROUND(H1222*(1-I1222),2)</x:f>
        <x:v>14742000</x:v>
      </x:c>
      <x:c r="N1222" s="4" t="str">
        <x:v>Sales head</x:v>
      </x:c>
      <x:c r="O1222" s="4"/>
      <x:c r="P1222" s="9" t="n">
        <x:v>0</x:v>
      </x:c>
      <x:c r="Q1222" s="11" t="n">
        <x:v>1</x:v>
      </x:c>
      <x:c r="R1222" s="8" t="n">
        <x:v>45428</x:v>
      </x:c>
      <x:c r="S1222" s="4" t="str">
        <x:v>Lost / cancelled</x:v>
      </x:c>
      <x:c r="T1222" s="10" t="n">
        <x:v>0.351536</x:v>
      </x:c>
      <x:c r="U1222" s="4" t="str">
        <x:v>Train</x:v>
      </x:c>
    </x:row>
    <x:row r="1223" ht="34" customHeight="1">
      <x:c r="A1223" s="4" t="str">
        <x:v>RS-01222</x:v>
      </x:c>
      <x:c r="B1223" s="8" t="n">
        <x:v>45369</x:v>
      </x:c>
      <x:c r="C1223" s="4" t="str">
        <x:v>PRJ-002</x:v>
      </x:c>
      <x:c r="D1223" s="4" t="str">
        <x:v>Retail</x:v>
      </x:c>
      <x:c r="E1223" s="4" t="str">
        <x:v>Cancelled</x:v>
      </x:c>
      <x:c r="F1223" s="4" t="str">
        <x:v>CUS-01222</x:v>
      </x:c>
      <x:c r="G1223" s="4" t="str">
        <x:v>UNIT-01222</x:v>
      </x:c>
      <x:c r="H1223" s="9" t="n">
        <x:v>24800000</x:v>
      </x:c>
      <x:c r="I1223" s="10" t="n">
        <x:v>0.04</x:v>
      </x:c>
      <x:c r="J1223" s="11" t="n">
        <x:v>8</x:v>
      </x:c>
      <x:c r="K1223" s="11" t="n">
        <x:v>9</x:v>
      </x:c>
      <x:c r="L1223" s="11" t="n">
        <x:v>1</x:v>
      </x:c>
      <x:c r="M1223" s="9" t="n">
        <x:f>ROUND(H1223*(1-I1223),2)</x:f>
        <x:v>23808000</x:v>
      </x:c>
      <x:c r="N1223" s="4" t="str">
        <x:v>Sales manager</x:v>
      </x:c>
      <x:c r="O1223" s="4"/>
      <x:c r="P1223" s="9" t="n">
        <x:v>0</x:v>
      </x:c>
      <x:c r="Q1223" s="11" t="n">
        <x:v>1</x:v>
      </x:c>
      <x:c r="R1223" s="8" t="n">
        <x:v>45429</x:v>
      </x:c>
      <x:c r="S1223" s="4" t="str">
        <x:v>Lost / cancelled</x:v>
      </x:c>
      <x:c r="T1223" s="10" t="n">
        <x:v>0.310195</x:v>
      </x:c>
      <x:c r="U1223" s="4" t="str">
        <x:v>Train</x:v>
      </x:c>
    </x:row>
    <x:row r="1224" ht="34" customHeight="1">
      <x:c r="A1224" s="4" t="str">
        <x:v>RS-01223</x:v>
      </x:c>
      <x:c r="B1224" s="8" t="n">
        <x:v>45370</x:v>
      </x:c>
      <x:c r="C1224" s="4" t="str">
        <x:v>PRJ-003</x:v>
      </x:c>
      <x:c r="D1224" s="4" t="str">
        <x:v>Apartment</x:v>
      </x:c>
      <x:c r="E1224" s="4" t="str">
        <x:v>Cancelled</x:v>
      </x:c>
      <x:c r="F1224" s="4" t="str">
        <x:v>CUS-01223</x:v>
      </x:c>
      <x:c r="G1224" s="4" t="str">
        <x:v>UNIT-01223</x:v>
      </x:c>
      <x:c r="H1224" s="9" t="n">
        <x:v>19200000</x:v>
      </x:c>
      <x:c r="I1224" s="10" t="n">
        <x:v>0.03</x:v>
      </x:c>
      <x:c r="J1224" s="11" t="n">
        <x:v>5</x:v>
      </x:c>
      <x:c r="K1224" s="11" t="n">
        <x:v>9</x:v>
      </x:c>
      <x:c r="L1224" s="11" t="n">
        <x:v>1</x:v>
      </x:c>
      <x:c r="M1224" s="9" t="n">
        <x:f>ROUND(H1224*(1-I1224),2)</x:f>
        <x:v>18624000</x:v>
      </x:c>
      <x:c r="N1224" s="4" t="str">
        <x:v>Sales manager</x:v>
      </x:c>
      <x:c r="O1224" s="4"/>
      <x:c r="P1224" s="9" t="n">
        <x:v>0</x:v>
      </x:c>
      <x:c r="Q1224" s="11" t="n">
        <x:v>1</x:v>
      </x:c>
      <x:c r="R1224" s="8" t="n">
        <x:v>45430</x:v>
      </x:c>
      <x:c r="S1224" s="4" t="str">
        <x:v>Lost / cancelled</x:v>
      </x:c>
      <x:c r="T1224" s="10" t="n">
        <x:v>0.145299</x:v>
      </x:c>
      <x:c r="U1224" s="4" t="str">
        <x:v>Train</x:v>
      </x:c>
    </x:row>
    <x:row r="1225" ht="34" customHeight="1">
      <x:c r="A1225" s="4" t="str">
        <x:v>RS-01224</x:v>
      </x:c>
      <x:c r="B1225" s="8" t="n">
        <x:v>45371</x:v>
      </x:c>
      <x:c r="C1225" s="4" t="str">
        <x:v>PRJ-004</x:v>
      </x:c>
      <x:c r="D1225" s="4" t="str">
        <x:v>Office</x:v>
      </x:c>
      <x:c r="E1225" s="4" t="str">
        <x:v>Cancelled</x:v>
      </x:c>
      <x:c r="F1225" s="4" t="str">
        <x:v>CUS-01224</x:v>
      </x:c>
      <x:c r="G1225" s="4" t="str">
        <x:v>UNIT-01224</x:v>
      </x:c>
      <x:c r="H1225" s="9" t="n">
        <x:v>19500000</x:v>
      </x:c>
      <x:c r="I1225" s="10" t="n">
        <x:v>0.07</x:v>
      </x:c>
      <x:c r="J1225" s="11" t="n">
        <x:v>12</x:v>
      </x:c>
      <x:c r="K1225" s="11" t="n">
        <x:v>3</x:v>
      </x:c>
      <x:c r="L1225" s="11" t="n">
        <x:v>0</x:v>
      </x:c>
      <x:c r="M1225" s="9" t="n">
        <x:f>ROUND(H1225*(1-I1225),2)</x:f>
        <x:v>18135000</x:v>
      </x:c>
      <x:c r="N1225" s="4" t="str">
        <x:v>Sales manager</x:v>
      </x:c>
      <x:c r="O1225" s="4"/>
      <x:c r="P1225" s="9" t="n">
        <x:v>0</x:v>
      </x:c>
      <x:c r="Q1225" s="11" t="n">
        <x:v>1</x:v>
      </x:c>
      <x:c r="R1225" s="8" t="n">
        <x:v>45431</x:v>
      </x:c>
      <x:c r="S1225" s="4" t="str">
        <x:v>Lost / cancelled</x:v>
      </x:c>
      <x:c r="T1225" s="10" t="n">
        <x:v>0.351536</x:v>
      </x:c>
      <x:c r="U1225" s="4" t="str">
        <x:v>Train</x:v>
      </x:c>
    </x:row>
    <x:row r="1226" ht="34" customHeight="1">
      <x:c r="A1226" s="4" t="str">
        <x:v>RS-01225</x:v>
      </x:c>
      <x:c r="B1226" s="8" t="n">
        <x:v>45372</x:v>
      </x:c>
      <x:c r="C1226" s="4" t="str">
        <x:v>PRJ-005</x:v>
      </x:c>
      <x:c r="D1226" s="4" t="str">
        <x:v>Office</x:v>
      </x:c>
      <x:c r="E1226" s="4" t="str">
        <x:v>Booked</x:v>
      </x:c>
      <x:c r="F1226" s="4" t="str">
        <x:v>CUS-01225</x:v>
      </x:c>
      <x:c r="G1226" s="4" t="str">
        <x:v>UNIT-01225</x:v>
      </x:c>
      <x:c r="H1226" s="9" t="n">
        <x:v>16300000</x:v>
      </x:c>
      <x:c r="I1226" s="10" t="n">
        <x:v>0.06</x:v>
      </x:c>
      <x:c r="J1226" s="11" t="n">
        <x:v>1</x:v>
      </x:c>
      <x:c r="K1226" s="11" t="n">
        <x:v>8</x:v>
      </x:c>
      <x:c r="L1226" s="11" t="n">
        <x:v>0</x:v>
      </x:c>
      <x:c r="M1226" s="9" t="n">
        <x:f>ROUND(H1226*(1-I1226),2)</x:f>
        <x:v>15322000</x:v>
      </x:c>
      <x:c r="N1226" s="4" t="str">
        <x:v>Sales manager</x:v>
      </x:c>
      <x:c r="O1226" s="4" t="str">
        <x:v>BOOK-01225</x:v>
      </x:c>
      <x:c r="P1226" s="9" t="n">
        <x:v>1532200</x:v>
      </x:c>
      <x:c r="Q1226" s="11" t="n">
        <x:v>0</x:v>
      </x:c>
      <x:c r="R1226" s="8" t="n">
        <x:v>45432</x:v>
      </x:c>
      <x:c r="S1226" s="4" t="str">
        <x:v>Retained</x:v>
      </x:c>
      <x:c r="T1226" s="10" t="n">
        <x:v>0.204152</x:v>
      </x:c>
      <x:c r="U1226" s="4" t="str">
        <x:v>Train</x:v>
      </x:c>
    </x:row>
    <x:row r="1227" ht="34" customHeight="1">
      <x:c r="A1227" s="4" t="str">
        <x:v>RS-01226</x:v>
      </x:c>
      <x:c r="B1227" s="8" t="n">
        <x:v>45373</x:v>
      </x:c>
      <x:c r="C1227" s="4" t="str">
        <x:v>PRJ-006</x:v>
      </x:c>
      <x:c r="D1227" s="4" t="str">
        <x:v>Retail</x:v>
      </x:c>
      <x:c r="E1227" s="4" t="str">
        <x:v>Reserved</x:v>
      </x:c>
      <x:c r="F1227" s="4" t="str">
        <x:v>CUS-01226</x:v>
      </x:c>
      <x:c r="G1227" s="4" t="str">
        <x:v>UNIT-01226</x:v>
      </x:c>
      <x:c r="H1227" s="9" t="n">
        <x:v>11900000</x:v>
      </x:c>
      <x:c r="I1227" s="10" t="n">
        <x:v>0.02</x:v>
      </x:c>
      <x:c r="J1227" s="11" t="n">
        <x:v>10</x:v>
      </x:c>
      <x:c r="K1227" s="11" t="n">
        <x:v>4</x:v>
      </x:c>
      <x:c r="L1227" s="11" t="n">
        <x:v>1</x:v>
      </x:c>
      <x:c r="M1227" s="9" t="n">
        <x:f>ROUND(H1227*(1-I1227),2)</x:f>
        <x:v>11662000</x:v>
      </x:c>
      <x:c r="N1227" s="4" t="str">
        <x:v>Sales manager</x:v>
      </x:c>
      <x:c r="O1227" s="4"/>
      <x:c r="P1227" s="9" t="n">
        <x:v>0</x:v>
      </x:c>
      <x:c r="Q1227" s="11" t="n">
        <x:v>0</x:v>
      </x:c>
      <x:c r="R1227" s="8" t="n">
        <x:v>45433</x:v>
      </x:c>
      <x:c r="S1227" s="4" t="str">
        <x:v>Retained</x:v>
      </x:c>
      <x:c r="T1227" s="10" t="n">
        <x:v>0.254545</x:v>
      </x:c>
      <x:c r="U1227" s="4" t="str">
        <x:v>Train</x:v>
      </x:c>
    </x:row>
    <x:row r="1228" ht="34" customHeight="1">
      <x:c r="A1228" s="4" t="str">
        <x:v>RS-01227</x:v>
      </x:c>
      <x:c r="B1228" s="8" t="n">
        <x:v>45374</x:v>
      </x:c>
      <x:c r="C1228" s="4" t="str">
        <x:v>PRJ-007</x:v>
      </x:c>
      <x:c r="D1228" s="4" t="str">
        <x:v>Office</x:v>
      </x:c>
      <x:c r="E1228" s="4" t="str">
        <x:v>Reserved</x:v>
      </x:c>
      <x:c r="F1228" s="4" t="str">
        <x:v>CUS-01227</x:v>
      </x:c>
      <x:c r="G1228" s="4" t="str">
        <x:v>UNIT-01227</x:v>
      </x:c>
      <x:c r="H1228" s="9" t="n">
        <x:v>19800000</x:v>
      </x:c>
      <x:c r="I1228" s="10" t="n">
        <x:v>0.08</x:v>
      </x:c>
      <x:c r="J1228" s="11" t="n">
        <x:v>1</x:v>
      </x:c>
      <x:c r="K1228" s="11" t="n">
        <x:v>9</x:v>
      </x:c>
      <x:c r="L1228" s="11" t="n">
        <x:v>0</x:v>
      </x:c>
      <x:c r="M1228" s="9" t="n">
        <x:f>ROUND(H1228*(1-I1228),2)</x:f>
        <x:v>18216000</x:v>
      </x:c>
      <x:c r="N1228" s="4" t="str">
        <x:v>Sales head</x:v>
      </x:c>
      <x:c r="O1228" s="4"/>
      <x:c r="P1228" s="9" t="n">
        <x:v>0</x:v>
      </x:c>
      <x:c r="Q1228" s="11" t="n">
        <x:v>0</x:v>
      </x:c>
      <x:c r="R1228" s="8" t="n">
        <x:v>45434</x:v>
      </x:c>
      <x:c r="S1228" s="4" t="str">
        <x:v>Retained</x:v>
      </x:c>
      <x:c r="T1228" s="10" t="n">
        <x:v>0.204152</x:v>
      </x:c>
      <x:c r="U1228" s="4" t="str">
        <x:v>Train</x:v>
      </x:c>
    </x:row>
    <x:row r="1229" ht="34" customHeight="1">
      <x:c r="A1229" s="4" t="str">
        <x:v>RS-01228</x:v>
      </x:c>
      <x:c r="B1229" s="8" t="n">
        <x:v>45375</x:v>
      </x:c>
      <x:c r="C1229" s="4" t="str">
        <x:v>PRJ-008</x:v>
      </x:c>
      <x:c r="D1229" s="4" t="str">
        <x:v>Retail</x:v>
      </x:c>
      <x:c r="E1229" s="4" t="str">
        <x:v>Handed over</x:v>
      </x:c>
      <x:c r="F1229" s="4" t="str">
        <x:v>CUS-01228</x:v>
      </x:c>
      <x:c r="G1229" s="4" t="str">
        <x:v>UNIT-01228</x:v>
      </x:c>
      <x:c r="H1229" s="9" t="n">
        <x:v>22100000</x:v>
      </x:c>
      <x:c r="I1229" s="10" t="n">
        <x:v>0.09</x:v>
      </x:c>
      <x:c r="J1229" s="11" t="n">
        <x:v>0</x:v>
      </x:c>
      <x:c r="K1229" s="11" t="n">
        <x:v>3</x:v>
      </x:c>
      <x:c r="L1229" s="11" t="n">
        <x:v>0</x:v>
      </x:c>
      <x:c r="M1229" s="9" t="n">
        <x:f>ROUND(H1229*(1-I1229),2)</x:f>
        <x:v>20111000</x:v>
      </x:c>
      <x:c r="N1229" s="4" t="str">
        <x:v>Sales head</x:v>
      </x:c>
      <x:c r="O1229" s="4" t="str">
        <x:v>BOOK-01228</x:v>
      </x:c>
      <x:c r="P1229" s="9" t="n">
        <x:v>10055500</x:v>
      </x:c>
      <x:c r="Q1229" s="11" t="n">
        <x:v>0</x:v>
      </x:c>
      <x:c r="R1229" s="8" t="n">
        <x:v>45435</x:v>
      </x:c>
      <x:c r="S1229" s="4" t="str">
        <x:v>Retained</x:v>
      </x:c>
      <x:c r="T1229" s="10" t="n">
        <x:v>0.145833</x:v>
      </x:c>
      <x:c r="U1229" s="4" t="str">
        <x:v>Train</x:v>
      </x:c>
    </x:row>
    <x:row r="1230" ht="34" customHeight="1">
      <x:c r="A1230" s="4" t="str">
        <x:v>RS-01229</x:v>
      </x:c>
      <x:c r="B1230" s="8" t="n">
        <x:v>45376</x:v>
      </x:c>
      <x:c r="C1230" s="4" t="str">
        <x:v>PRJ-009</x:v>
      </x:c>
      <x:c r="D1230" s="4" t="str">
        <x:v>Office</x:v>
      </x:c>
      <x:c r="E1230" s="4" t="str">
        <x:v>Enquiry</x:v>
      </x:c>
      <x:c r="F1230" s="4" t="str">
        <x:v>CUS-01229</x:v>
      </x:c>
      <x:c r="G1230" s="4" t="str">
        <x:v>UNIT-01229</x:v>
      </x:c>
      <x:c r="H1230" s="9" t="n">
        <x:v>10200000</x:v>
      </x:c>
      <x:c r="I1230" s="10" t="n">
        <x:v>0.1</x:v>
      </x:c>
      <x:c r="J1230" s="11" t="n">
        <x:v>9</x:v>
      </x:c>
      <x:c r="K1230" s="11" t="n">
        <x:v>5</x:v>
      </x:c>
      <x:c r="L1230" s="11" t="n">
        <x:v>1</x:v>
      </x:c>
      <x:c r="M1230" s="9" t="n">
        <x:f>ROUND(H1230*(1-I1230),2)</x:f>
        <x:v>9180000</x:v>
      </x:c>
      <x:c r="N1230" s="4" t="str">
        <x:v>Sales head</x:v>
      </x:c>
      <x:c r="O1230" s="4"/>
      <x:c r="P1230" s="9" t="n">
        <x:v>0</x:v>
      </x:c>
      <x:c r="Q1230" s="11" t="n">
        <x:v>1</x:v>
      </x:c>
      <x:c r="R1230" s="8" t="n">
        <x:v>45436</x:v>
      </x:c>
      <x:c r="S1230" s="4" t="str">
        <x:v>Lost / cancelled</x:v>
      </x:c>
      <x:c r="T1230" s="10" t="n">
        <x:v>0.310195</x:v>
      </x:c>
      <x:c r="U1230" s="4" t="str">
        <x:v>Train</x:v>
      </x:c>
    </x:row>
    <x:row r="1231" ht="34" customHeight="1">
      <x:c r="A1231" s="4" t="str">
        <x:v>RS-01230</x:v>
      </x:c>
      <x:c r="B1231" s="8" t="n">
        <x:v>45377</x:v>
      </x:c>
      <x:c r="C1231" s="4" t="str">
        <x:v>PRJ-010</x:v>
      </x:c>
      <x:c r="D1231" s="4" t="str">
        <x:v>Apartment</x:v>
      </x:c>
      <x:c r="E1231" s="4" t="str">
        <x:v>Cancelled</x:v>
      </x:c>
      <x:c r="F1231" s="4" t="str">
        <x:v>CUS-01230</x:v>
      </x:c>
      <x:c r="G1231" s="4" t="str">
        <x:v>UNIT-01230</x:v>
      </x:c>
      <x:c r="H1231" s="9" t="n">
        <x:v>15000000</x:v>
      </x:c>
      <x:c r="I1231" s="10" t="n">
        <x:v>0.03</x:v>
      </x:c>
      <x:c r="J1231" s="11" t="n">
        <x:v>7</x:v>
      </x:c>
      <x:c r="K1231" s="11" t="n">
        <x:v>4</x:v>
      </x:c>
      <x:c r="L1231" s="11" t="n">
        <x:v>0</x:v>
      </x:c>
      <x:c r="M1231" s="9" t="n">
        <x:f>ROUND(H1231*(1-I1231),2)</x:f>
        <x:v>14550000</x:v>
      </x:c>
      <x:c r="N1231" s="4" t="str">
        <x:v>Sales manager</x:v>
      </x:c>
      <x:c r="O1231" s="4"/>
      <x:c r="P1231" s="9" t="n">
        <x:v>0</x:v>
      </x:c>
      <x:c r="Q1231" s="11" t="n">
        <x:v>1</x:v>
      </x:c>
      <x:c r="R1231" s="8" t="n">
        <x:v>45437</x:v>
      </x:c>
      <x:c r="S1231" s="4" t="str">
        <x:v>Lost / cancelled</x:v>
      </x:c>
      <x:c r="T1231" s="10" t="n">
        <x:v>0.298969</x:v>
      </x:c>
      <x:c r="U1231" s="4" t="str">
        <x:v>Train</x:v>
      </x:c>
    </x:row>
    <x:row r="1232" ht="34" customHeight="1">
      <x:c r="A1232" s="4" t="str">
        <x:v>RS-01231</x:v>
      </x:c>
      <x:c r="B1232" s="8" t="n">
        <x:v>45378</x:v>
      </x:c>
      <x:c r="C1232" s="4" t="str">
        <x:v>PRJ-011</x:v>
      </x:c>
      <x:c r="D1232" s="4" t="str">
        <x:v>Office</x:v>
      </x:c>
      <x:c r="E1232" s="4" t="str">
        <x:v>Enquiry</x:v>
      </x:c>
      <x:c r="F1232" s="4" t="str">
        <x:v>CUS-01231</x:v>
      </x:c>
      <x:c r="G1232" s="4" t="str">
        <x:v>UNIT-01231</x:v>
      </x:c>
      <x:c r="H1232" s="9" t="n">
        <x:v>21700000</x:v>
      </x:c>
      <x:c r="I1232" s="10" t="n">
        <x:v>0.02</x:v>
      </x:c>
      <x:c r="J1232" s="11" t="n">
        <x:v>12</x:v>
      </x:c>
      <x:c r="K1232" s="11" t="n">
        <x:v>6</x:v>
      </x:c>
      <x:c r="L1232" s="11" t="n">
        <x:v>0</x:v>
      </x:c>
      <x:c r="M1232" s="9" t="n">
        <x:f>ROUND(H1232*(1-I1232),2)</x:f>
        <x:v>21266000</x:v>
      </x:c>
      <x:c r="N1232" s="4" t="str">
        <x:v>Sales manager</x:v>
      </x:c>
      <x:c r="O1232" s="4"/>
      <x:c r="P1232" s="9" t="n">
        <x:v>0</x:v>
      </x:c>
      <x:c r="Q1232" s="11" t="n">
        <x:v>0</x:v>
      </x:c>
      <x:c r="R1232" s="8" t="n">
        <x:v>45438</x:v>
      </x:c>
      <x:c r="S1232" s="4" t="str">
        <x:v>Retained</x:v>
      </x:c>
      <x:c r="T1232" s="10" t="n">
        <x:v>0.305556</x:v>
      </x:c>
      <x:c r="U1232" s="4" t="str">
        <x:v>Train</x:v>
      </x:c>
    </x:row>
    <x:row r="1233" ht="34" customHeight="1">
      <x:c r="A1233" s="4" t="str">
        <x:v>RS-01232</x:v>
      </x:c>
      <x:c r="B1233" s="8" t="n">
        <x:v>45379</x:v>
      </x:c>
      <x:c r="C1233" s="4" t="str">
        <x:v>PRJ-012</x:v>
      </x:c>
      <x:c r="D1233" s="4" t="str">
        <x:v>Office</x:v>
      </x:c>
      <x:c r="E1233" s="4" t="str">
        <x:v>Cancelled</x:v>
      </x:c>
      <x:c r="F1233" s="4" t="str">
        <x:v>CUS-01232</x:v>
      </x:c>
      <x:c r="G1233" s="4" t="str">
        <x:v>UNIT-01232</x:v>
      </x:c>
      <x:c r="H1233" s="9" t="n">
        <x:v>20100000</x:v>
      </x:c>
      <x:c r="I1233" s="10" t="n">
        <x:v>0.07</x:v>
      </x:c>
      <x:c r="J1233" s="11" t="n">
        <x:v>8</x:v>
      </x:c>
      <x:c r="K1233" s="11" t="n">
        <x:v>5</x:v>
      </x:c>
      <x:c r="L1233" s="11" t="n">
        <x:v>0</x:v>
      </x:c>
      <x:c r="M1233" s="9" t="n">
        <x:f>ROUND(H1233*(1-I1233),2)</x:f>
        <x:v>18693000</x:v>
      </x:c>
      <x:c r="N1233" s="4" t="str">
        <x:v>Sales manager</x:v>
      </x:c>
      <x:c r="O1233" s="4"/>
      <x:c r="P1233" s="9" t="n">
        <x:v>0</x:v>
      </x:c>
      <x:c r="Q1233" s="11" t="n">
        <x:v>1</x:v>
      </x:c>
      <x:c r="R1233" s="8" t="n">
        <x:v>45439</x:v>
      </x:c>
      <x:c r="S1233" s="4" t="str">
        <x:v>Lost / cancelled</x:v>
      </x:c>
      <x:c r="T1233" s="10" t="n">
        <x:v>0.310195</x:v>
      </x:c>
      <x:c r="U1233" s="4" t="str">
        <x:v>Train</x:v>
      </x:c>
    </x:row>
    <x:row r="1234" ht="34" customHeight="1">
      <x:c r="A1234" s="4" t="str">
        <x:v>RS-01233</x:v>
      </x:c>
      <x:c r="B1234" s="8" t="n">
        <x:v>45352</x:v>
      </x:c>
      <x:c r="C1234" s="4" t="str">
        <x:v>PRJ-013</x:v>
      </x:c>
      <x:c r="D1234" s="4" t="str">
        <x:v>Apartment</x:v>
      </x:c>
      <x:c r="E1234" s="4" t="str">
        <x:v>Booked</x:v>
      </x:c>
      <x:c r="F1234" s="4" t="str">
        <x:v>CUS-01233</x:v>
      </x:c>
      <x:c r="G1234" s="4" t="str">
        <x:v>UNIT-01233</x:v>
      </x:c>
      <x:c r="H1234" s="9" t="n">
        <x:v>15200000</x:v>
      </x:c>
      <x:c r="I1234" s="10" t="n">
        <x:v>0.05</x:v>
      </x:c>
      <x:c r="J1234" s="11" t="n">
        <x:v>10</x:v>
      </x:c>
      <x:c r="K1234" s="11" t="n">
        <x:v>6</x:v>
      </x:c>
      <x:c r="L1234" s="11" t="n">
        <x:v>1</x:v>
      </x:c>
      <x:c r="M1234" s="9" t="n">
        <x:f>ROUND(H1234*(1-I1234),2)</x:f>
        <x:v>14440000</x:v>
      </x:c>
      <x:c r="N1234" s="4" t="str">
        <x:v>Sales manager</x:v>
      </x:c>
      <x:c r="O1234" s="4" t="str">
        <x:v>BOOK-01233</x:v>
      </x:c>
      <x:c r="P1234" s="9" t="n">
        <x:v>3610000</x:v>
      </x:c>
      <x:c r="Q1234" s="11" t="n">
        <x:v>0</x:v>
      </x:c>
      <x:c r="R1234" s="8" t="n">
        <x:v>45412</x:v>
      </x:c>
      <x:c r="S1234" s="4" t="str">
        <x:v>Retained</x:v>
      </x:c>
      <x:c r="T1234" s="10" t="n">
        <x:v>0.310195</x:v>
      </x:c>
      <x:c r="U1234" s="4" t="str">
        <x:v>Train</x:v>
      </x:c>
    </x:row>
    <x:row r="1235" ht="34" customHeight="1">
      <x:c r="A1235" s="4" t="str">
        <x:v>RS-01234</x:v>
      </x:c>
      <x:c r="B1235" s="8" t="n">
        <x:v>45353</x:v>
      </x:c>
      <x:c r="C1235" s="4" t="str">
        <x:v>PRJ-014</x:v>
      </x:c>
      <x:c r="D1235" s="4" t="str">
        <x:v>Villa</x:v>
      </x:c>
      <x:c r="E1235" s="4" t="str">
        <x:v>Booked</x:v>
      </x:c>
      <x:c r="F1235" s="4" t="str">
        <x:v>CUS-01234</x:v>
      </x:c>
      <x:c r="G1235" s="4" t="str">
        <x:v>UNIT-01234</x:v>
      </x:c>
      <x:c r="H1235" s="9" t="n">
        <x:v>9000000</x:v>
      </x:c>
      <x:c r="I1235" s="10" t="n">
        <x:v>0.03</x:v>
      </x:c>
      <x:c r="J1235" s="11" t="n">
        <x:v>5</x:v>
      </x:c>
      <x:c r="K1235" s="11" t="n">
        <x:v>6</x:v>
      </x:c>
      <x:c r="L1235" s="11" t="n">
        <x:v>0</x:v>
      </x:c>
      <x:c r="M1235" s="9" t="n">
        <x:f>ROUND(H1235*(1-I1235),2)</x:f>
        <x:v>8730000</x:v>
      </x:c>
      <x:c r="N1235" s="4" t="str">
        <x:v>Sales manager</x:v>
      </x:c>
      <x:c r="O1235" s="4" t="str">
        <x:v>BOOK-01234</x:v>
      </x:c>
      <x:c r="P1235" s="9" t="n">
        <x:v>2182500</x:v>
      </x:c>
      <x:c r="Q1235" s="11" t="n">
        <x:v>0</x:v>
      </x:c>
      <x:c r="R1235" s="8" t="n">
        <x:v>45413</x:v>
      </x:c>
      <x:c r="S1235" s="4" t="str">
        <x:v>Retained</x:v>
      </x:c>
      <x:c r="T1235" s="10" t="n">
        <x:v>0.145299</x:v>
      </x:c>
      <x:c r="U1235" s="4" t="str">
        <x:v>Train</x:v>
      </x:c>
    </x:row>
    <x:row r="1236" ht="34" customHeight="1">
      <x:c r="A1236" s="4" t="str">
        <x:v>RS-01235</x:v>
      </x:c>
      <x:c r="B1236" s="8" t="n">
        <x:v>45354</x:v>
      </x:c>
      <x:c r="C1236" s="4" t="str">
        <x:v>PRJ-015</x:v>
      </x:c>
      <x:c r="D1236" s="4" t="str">
        <x:v>Retail</x:v>
      </x:c>
      <x:c r="E1236" s="4" t="str">
        <x:v>Cancelled</x:v>
      </x:c>
      <x:c r="F1236" s="4" t="str">
        <x:v>CUS-01235</x:v>
      </x:c>
      <x:c r="G1236" s="4" t="str">
        <x:v>UNIT-01235</x:v>
      </x:c>
      <x:c r="H1236" s="9" t="n">
        <x:v>3700000</x:v>
      </x:c>
      <x:c r="I1236" s="10" t="n">
        <x:v>0.12</x:v>
      </x:c>
      <x:c r="J1236" s="11" t="n">
        <x:v>12</x:v>
      </x:c>
      <x:c r="K1236" s="11" t="n">
        <x:v>9</x:v>
      </x:c>
      <x:c r="L1236" s="11" t="n">
        <x:v>1</x:v>
      </x:c>
      <x:c r="M1236" s="9" t="n">
        <x:f>ROUND(H1236*(1-I1236),2)</x:f>
        <x:v>3256000</x:v>
      </x:c>
      <x:c r="N1236" s="4" t="str">
        <x:v>Sales head</x:v>
      </x:c>
      <x:c r="O1236" s="4"/>
      <x:c r="P1236" s="9" t="n">
        <x:v>0</x:v>
      </x:c>
      <x:c r="Q1236" s="11" t="n">
        <x:v>1</x:v>
      </x:c>
      <x:c r="R1236" s="8" t="n">
        <x:v>45414</x:v>
      </x:c>
      <x:c r="S1236" s="4" t="str">
        <x:v>Lost / cancelled</x:v>
      </x:c>
      <x:c r="T1236" s="10" t="n">
        <x:v>0.351536</x:v>
      </x:c>
      <x:c r="U1236" s="4" t="str">
        <x:v>Train</x:v>
      </x:c>
    </x:row>
    <x:row r="1237" ht="34" customHeight="1">
      <x:c r="A1237" s="4" t="str">
        <x:v>RS-01236</x:v>
      </x:c>
      <x:c r="B1237" s="8" t="n">
        <x:v>45355</x:v>
      </x:c>
      <x:c r="C1237" s="4" t="str">
        <x:v>PRJ-016</x:v>
      </x:c>
      <x:c r="D1237" s="4" t="str">
        <x:v>Villa</x:v>
      </x:c>
      <x:c r="E1237" s="4" t="str">
        <x:v>Booked</x:v>
      </x:c>
      <x:c r="F1237" s="4" t="str">
        <x:v>CUS-01236</x:v>
      </x:c>
      <x:c r="G1237" s="4" t="str">
        <x:v>UNIT-01236</x:v>
      </x:c>
      <x:c r="H1237" s="9" t="n">
        <x:v>18300000</x:v>
      </x:c>
      <x:c r="I1237" s="10" t="n">
        <x:v>0.04</x:v>
      </x:c>
      <x:c r="J1237" s="11" t="n">
        <x:v>10</x:v>
      </x:c>
      <x:c r="K1237" s="11" t="n">
        <x:v>8</x:v>
      </x:c>
      <x:c r="L1237" s="11" t="n">
        <x:v>0</x:v>
      </x:c>
      <x:c r="M1237" s="9" t="n">
        <x:f>ROUND(H1237*(1-I1237),2)</x:f>
        <x:v>17568000</x:v>
      </x:c>
      <x:c r="N1237" s="4" t="str">
        <x:v>Sales manager</x:v>
      </x:c>
      <x:c r="O1237" s="4" t="str">
        <x:v>BOOK-01236</x:v>
      </x:c>
      <x:c r="P1237" s="9" t="n">
        <x:v>4392000</x:v>
      </x:c>
      <x:c r="Q1237" s="11" t="n">
        <x:v>0</x:v>
      </x:c>
      <x:c r="R1237" s="8" t="n">
        <x:v>45415</x:v>
      </x:c>
      <x:c r="S1237" s="4" t="str">
        <x:v>Retained</x:v>
      </x:c>
      <x:c r="T1237" s="10" t="n">
        <x:v>0.310195</x:v>
      </x:c>
      <x:c r="U1237" s="4" t="str">
        <x:v>Train</x:v>
      </x:c>
    </x:row>
    <x:row r="1238" ht="34" customHeight="1">
      <x:c r="A1238" s="4" t="str">
        <x:v>RS-01237</x:v>
      </x:c>
      <x:c r="B1238" s="8" t="n">
        <x:v>45356</x:v>
      </x:c>
      <x:c r="C1238" s="4" t="str">
        <x:v>PRJ-017</x:v>
      </x:c>
      <x:c r="D1238" s="4" t="str">
        <x:v>Villa</x:v>
      </x:c>
      <x:c r="E1238" s="4" t="str">
        <x:v>Reserved</x:v>
      </x:c>
      <x:c r="F1238" s="4" t="str">
        <x:v>CUS-01237</x:v>
      </x:c>
      <x:c r="G1238" s="4" t="str">
        <x:v>UNIT-01237</x:v>
      </x:c>
      <x:c r="H1238" s="9" t="n">
        <x:v>10700000</x:v>
      </x:c>
      <x:c r="I1238" s="10" t="n">
        <x:v>0.04</x:v>
      </x:c>
      <x:c r="J1238" s="11" t="n">
        <x:v>10</x:v>
      </x:c>
      <x:c r="K1238" s="11" t="n">
        <x:v>4</x:v>
      </x:c>
      <x:c r="L1238" s="11" t="n">
        <x:v>0</x:v>
      </x:c>
      <x:c r="M1238" s="9" t="n">
        <x:f>ROUND(H1238*(1-I1238),2)</x:f>
        <x:v>10272000</x:v>
      </x:c>
      <x:c r="N1238" s="4" t="str">
        <x:v>Sales manager</x:v>
      </x:c>
      <x:c r="O1238" s="4"/>
      <x:c r="P1238" s="9" t="n">
        <x:v>0</x:v>
      </x:c>
      <x:c r="Q1238" s="11" t="n">
        <x:v>1</x:v>
      </x:c>
      <x:c r="R1238" s="8" t="n">
        <x:v>45416</x:v>
      </x:c>
      <x:c r="S1238" s="4" t="str">
        <x:v>Lost / cancelled</x:v>
      </x:c>
      <x:c r="T1238" s="10" t="n">
        <x:v>0.310195</x:v>
      </x:c>
      <x:c r="U1238" s="4" t="str">
        <x:v>Train</x:v>
      </x:c>
    </x:row>
    <x:row r="1239" ht="34" customHeight="1">
      <x:c r="A1239" s="4" t="str">
        <x:v>RS-01238</x:v>
      </x:c>
      <x:c r="B1239" s="8" t="n">
        <x:v>45357</x:v>
      </x:c>
      <x:c r="C1239" s="4" t="str">
        <x:v>PRJ-018</x:v>
      </x:c>
      <x:c r="D1239" s="4" t="str">
        <x:v>Villa</x:v>
      </x:c>
      <x:c r="E1239" s="4" t="str">
        <x:v>Cancelled</x:v>
      </x:c>
      <x:c r="F1239" s="4" t="str">
        <x:v>CUS-01238</x:v>
      </x:c>
      <x:c r="G1239" s="4" t="str">
        <x:v>UNIT-01238</x:v>
      </x:c>
      <x:c r="H1239" s="9" t="n">
        <x:v>8000000</x:v>
      </x:c>
      <x:c r="I1239" s="10" t="n">
        <x:v>0.05</x:v>
      </x:c>
      <x:c r="J1239" s="11" t="n">
        <x:v>11</x:v>
      </x:c>
      <x:c r="K1239" s="11" t="n">
        <x:v>4</x:v>
      </x:c>
      <x:c r="L1239" s="11" t="n">
        <x:v>0</x:v>
      </x:c>
      <x:c r="M1239" s="9" t="n">
        <x:f>ROUND(H1239*(1-I1239),2)</x:f>
        <x:v>7600000</x:v>
      </x:c>
      <x:c r="N1239" s="4" t="str">
        <x:v>Sales manager</x:v>
      </x:c>
      <x:c r="O1239" s="4"/>
      <x:c r="P1239" s="9" t="n">
        <x:v>0</x:v>
      </x:c>
      <x:c r="Q1239" s="11" t="n">
        <x:v>1</x:v>
      </x:c>
      <x:c r="R1239" s="8" t="n">
        <x:v>45417</x:v>
      </x:c>
      <x:c r="S1239" s="4" t="str">
        <x:v>Lost / cancelled</x:v>
      </x:c>
      <x:c r="T1239" s="10" t="n">
        <x:v>0.351536</x:v>
      </x:c>
      <x:c r="U1239" s="4" t="str">
        <x:v>Train</x:v>
      </x:c>
    </x:row>
    <x:row r="1240" ht="34" customHeight="1">
      <x:c r="A1240" s="4" t="str">
        <x:v>RS-01239</x:v>
      </x:c>
      <x:c r="B1240" s="8" t="n">
        <x:v>45358</x:v>
      </x:c>
      <x:c r="C1240" s="4" t="str">
        <x:v>PRJ-019</x:v>
      </x:c>
      <x:c r="D1240" s="4" t="str">
        <x:v>Apartment</x:v>
      </x:c>
      <x:c r="E1240" s="4" t="str">
        <x:v>Enquiry</x:v>
      </x:c>
      <x:c r="F1240" s="4" t="str">
        <x:v>CUS-01239</x:v>
      </x:c>
      <x:c r="G1240" s="4" t="str">
        <x:v>UNIT-01239</x:v>
      </x:c>
      <x:c r="H1240" s="9" t="n">
        <x:v>5700000</x:v>
      </x:c>
      <x:c r="I1240" s="10" t="n">
        <x:v>0.03</x:v>
      </x:c>
      <x:c r="J1240" s="11" t="n">
        <x:v>9</x:v>
      </x:c>
      <x:c r="K1240" s="11" t="n">
        <x:v>5</x:v>
      </x:c>
      <x:c r="L1240" s="11" t="n">
        <x:v>0</x:v>
      </x:c>
      <x:c r="M1240" s="9" t="n">
        <x:f>ROUND(H1240*(1-I1240),2)</x:f>
        <x:v>5529000</x:v>
      </x:c>
      <x:c r="N1240" s="4" t="str">
        <x:v>Sales manager</x:v>
      </x:c>
      <x:c r="O1240" s="4"/>
      <x:c r="P1240" s="9" t="n">
        <x:v>0</x:v>
      </x:c>
      <x:c r="Q1240" s="11" t="n">
        <x:v>0</x:v>
      </x:c>
      <x:c r="R1240" s="8" t="n">
        <x:v>45418</x:v>
      </x:c>
      <x:c r="S1240" s="4" t="str">
        <x:v>Retained</x:v>
      </x:c>
      <x:c r="T1240" s="10" t="n">
        <x:v>0.310195</x:v>
      </x:c>
      <x:c r="U1240" s="4" t="str">
        <x:v>Train</x:v>
      </x:c>
    </x:row>
    <x:row r="1241" ht="34" customHeight="1">
      <x:c r="A1241" s="4" t="str">
        <x:v>RS-01240</x:v>
      </x:c>
      <x:c r="B1241" s="8" t="n">
        <x:v>45359</x:v>
      </x:c>
      <x:c r="C1241" s="4" t="str">
        <x:v>PRJ-020</x:v>
      </x:c>
      <x:c r="D1241" s="4" t="str">
        <x:v>Office</x:v>
      </x:c>
      <x:c r="E1241" s="4" t="str">
        <x:v>Agreement signed</x:v>
      </x:c>
      <x:c r="F1241" s="4" t="str">
        <x:v>CUS-01240</x:v>
      </x:c>
      <x:c r="G1241" s="4" t="str">
        <x:v>UNIT-01240</x:v>
      </x:c>
      <x:c r="H1241" s="9" t="n">
        <x:v>5500000</x:v>
      </x:c>
      <x:c r="I1241" s="10" t="n">
        <x:v>0.1</x:v>
      </x:c>
      <x:c r="J1241" s="11" t="n">
        <x:v>7</x:v>
      </x:c>
      <x:c r="K1241" s="11" t="n">
        <x:v>0</x:v>
      </x:c>
      <x:c r="L1241" s="11" t="n">
        <x:v>1</x:v>
      </x:c>
      <x:c r="M1241" s="9" t="n">
        <x:f>ROUND(H1241*(1-I1241),2)</x:f>
        <x:v>4950000</x:v>
      </x:c>
      <x:c r="N1241" s="4" t="str">
        <x:v>Sales head</x:v>
      </x:c>
      <x:c r="O1241" s="4" t="str">
        <x:v>BOOK-01240</x:v>
      </x:c>
      <x:c r="P1241" s="9" t="n">
        <x:v>495000</x:v>
      </x:c>
      <x:c r="Q1241" s="11" t="n">
        <x:v>0</x:v>
      </x:c>
      <x:c r="R1241" s="8" t="n">
        <x:v>45419</x:v>
      </x:c>
      <x:c r="S1241" s="4" t="str">
        <x:v>Retained</x:v>
      </x:c>
      <x:c r="T1241" s="10" t="n">
        <x:v>0.291946</x:v>
      </x:c>
      <x:c r="U1241" s="4" t="str">
        <x:v>Train</x:v>
      </x:c>
    </x:row>
    <x:row r="1242" ht="34" customHeight="1">
      <x:c r="A1242" s="4" t="str">
        <x:v>RS-01241</x:v>
      </x:c>
      <x:c r="B1242" s="8" t="n">
        <x:v>45360</x:v>
      </x:c>
      <x:c r="C1242" s="4" t="str">
        <x:v>PRJ-001</x:v>
      </x:c>
      <x:c r="D1242" s="4" t="str">
        <x:v>Retail</x:v>
      </x:c>
      <x:c r="E1242" s="4" t="str">
        <x:v>Agreement signed</x:v>
      </x:c>
      <x:c r="F1242" s="4" t="str">
        <x:v>CUS-01241</x:v>
      </x:c>
      <x:c r="G1242" s="4" t="str">
        <x:v>UNIT-01241</x:v>
      </x:c>
      <x:c r="H1242" s="9" t="n">
        <x:v>5700000</x:v>
      </x:c>
      <x:c r="I1242" s="10" t="n">
        <x:v>0.01</x:v>
      </x:c>
      <x:c r="J1242" s="11" t="n">
        <x:v>10</x:v>
      </x:c>
      <x:c r="K1242" s="11" t="n">
        <x:v>4</x:v>
      </x:c>
      <x:c r="L1242" s="11" t="n">
        <x:v>1</x:v>
      </x:c>
      <x:c r="M1242" s="9" t="n">
        <x:f>ROUND(H1242*(1-I1242),2)</x:f>
        <x:v>5643000</x:v>
      </x:c>
      <x:c r="N1242" s="4" t="str">
        <x:v>Sales manager</x:v>
      </x:c>
      <x:c r="O1242" s="4" t="str">
        <x:v>BOOK-01241</x:v>
      </x:c>
      <x:c r="P1242" s="9" t="n">
        <x:v>564300</x:v>
      </x:c>
      <x:c r="Q1242" s="11" t="n">
        <x:v>0</x:v>
      </x:c>
      <x:c r="R1242" s="8" t="n">
        <x:v>45420</x:v>
      </x:c>
      <x:c r="S1242" s="4" t="str">
        <x:v>Retained</x:v>
      </x:c>
      <x:c r="T1242" s="10" t="n">
        <x:v>0.254545</x:v>
      </x:c>
      <x:c r="U1242" s="4" t="str">
        <x:v>Train</x:v>
      </x:c>
    </x:row>
    <x:row r="1243" ht="34" customHeight="1">
      <x:c r="A1243" s="4" t="str">
        <x:v>RS-01242</x:v>
      </x:c>
      <x:c r="B1243" s="8" t="n">
        <x:v>45361</x:v>
      </x:c>
      <x:c r="C1243" s="4" t="str">
        <x:v>PRJ-002</x:v>
      </x:c>
      <x:c r="D1243" s="4" t="str">
        <x:v>Retail</x:v>
      </x:c>
      <x:c r="E1243" s="4" t="str">
        <x:v>Agreement signed</x:v>
      </x:c>
      <x:c r="F1243" s="4" t="str">
        <x:v>CUS-01242</x:v>
      </x:c>
      <x:c r="G1243" s="4" t="str">
        <x:v>UNIT-01242</x:v>
      </x:c>
      <x:c r="H1243" s="9" t="n">
        <x:v>8300000</x:v>
      </x:c>
      <x:c r="I1243" s="10" t="n">
        <x:v>0.01</x:v>
      </x:c>
      <x:c r="J1243" s="11" t="n">
        <x:v>9</x:v>
      </x:c>
      <x:c r="K1243" s="11" t="n">
        <x:v>7</x:v>
      </x:c>
      <x:c r="L1243" s="11" t="n">
        <x:v>1</x:v>
      </x:c>
      <x:c r="M1243" s="9" t="n">
        <x:f>ROUND(H1243*(1-I1243),2)</x:f>
        <x:v>8217000</x:v>
      </x:c>
      <x:c r="N1243" s="4" t="str">
        <x:v>Sales manager</x:v>
      </x:c>
      <x:c r="O1243" s="4" t="str">
        <x:v>BOOK-01242</x:v>
      </x:c>
      <x:c r="P1243" s="9" t="n">
        <x:v>4108500</x:v>
      </x:c>
      <x:c r="Q1243" s="11" t="n">
        <x:v>0</x:v>
      </x:c>
      <x:c r="R1243" s="8" t="n">
        <x:v>45421</x:v>
      </x:c>
      <x:c r="S1243" s="4" t="str">
        <x:v>Retained</x:v>
      </x:c>
      <x:c r="T1243" s="10" t="n">
        <x:v>0.254545</x:v>
      </x:c>
      <x:c r="U1243" s="4" t="str">
        <x:v>Train</x:v>
      </x:c>
    </x:row>
    <x:row r="1244" ht="34" customHeight="1">
      <x:c r="A1244" s="4" t="str">
        <x:v>RS-01243</x:v>
      </x:c>
      <x:c r="B1244" s="8" t="n">
        <x:v>45362</x:v>
      </x:c>
      <x:c r="C1244" s="4" t="str">
        <x:v>PRJ-003</x:v>
      </x:c>
      <x:c r="D1244" s="4" t="str">
        <x:v>Apartment</x:v>
      </x:c>
      <x:c r="E1244" s="4" t="str">
        <x:v>Booked</x:v>
      </x:c>
      <x:c r="F1244" s="4" t="str">
        <x:v>CUS-01243</x:v>
      </x:c>
      <x:c r="G1244" s="4" t="str">
        <x:v>UNIT-01243</x:v>
      </x:c>
      <x:c r="H1244" s="9" t="n">
        <x:v>12900000</x:v>
      </x:c>
      <x:c r="I1244" s="10" t="n">
        <x:v>0.12</x:v>
      </x:c>
      <x:c r="J1244" s="11" t="n">
        <x:v>8</x:v>
      </x:c>
      <x:c r="K1244" s="11" t="n">
        <x:v>10</x:v>
      </x:c>
      <x:c r="L1244" s="11" t="n">
        <x:v>0</x:v>
      </x:c>
      <x:c r="M1244" s="9" t="n">
        <x:f>ROUND(H1244*(1-I1244),2)</x:f>
        <x:v>11352000</x:v>
      </x:c>
      <x:c r="N1244" s="4" t="str">
        <x:v>Sales head</x:v>
      </x:c>
      <x:c r="O1244" s="4" t="str">
        <x:v>BOOK-01243</x:v>
      </x:c>
      <x:c r="P1244" s="9" t="n">
        <x:v>5676000</x:v>
      </x:c>
      <x:c r="Q1244" s="11" t="n">
        <x:v>0</x:v>
      </x:c>
      <x:c r="R1244" s="8" t="n">
        <x:v>45422</x:v>
      </x:c>
      <x:c r="S1244" s="4" t="str">
        <x:v>Retained</x:v>
      </x:c>
      <x:c r="T1244" s="10" t="n">
        <x:v>0.310195</x:v>
      </x:c>
      <x:c r="U1244" s="4" t="str">
        <x:v>Train</x:v>
      </x:c>
    </x:row>
    <x:row r="1245" ht="34" customHeight="1">
      <x:c r="A1245" s="4" t="str">
        <x:v>RS-01244</x:v>
      </x:c>
      <x:c r="B1245" s="8" t="n">
        <x:v>45363</x:v>
      </x:c>
      <x:c r="C1245" s="4" t="str">
        <x:v>PRJ-004</x:v>
      </x:c>
      <x:c r="D1245" s="4" t="str">
        <x:v>Apartment</x:v>
      </x:c>
      <x:c r="E1245" s="4" t="str">
        <x:v>Enquiry</x:v>
      </x:c>
      <x:c r="F1245" s="4" t="str">
        <x:v>CUS-01244</x:v>
      </x:c>
      <x:c r="G1245" s="4" t="str">
        <x:v>UNIT-01244</x:v>
      </x:c>
      <x:c r="H1245" s="9" t="n">
        <x:v>22800000</x:v>
      </x:c>
      <x:c r="I1245" s="10" t="n">
        <x:v>0.11</x:v>
      </x:c>
      <x:c r="J1245" s="11" t="n">
        <x:v>11</x:v>
      </x:c>
      <x:c r="K1245" s="11" t="n">
        <x:v>7</x:v>
      </x:c>
      <x:c r="L1245" s="11" t="n">
        <x:v>1</x:v>
      </x:c>
      <x:c r="M1245" s="9" t="n">
        <x:f>ROUND(H1245*(1-I1245),2)</x:f>
        <x:v>20292000</x:v>
      </x:c>
      <x:c r="N1245" s="4" t="str">
        <x:v>Sales head</x:v>
      </x:c>
      <x:c r="O1245" s="4"/>
      <x:c r="P1245" s="9" t="n">
        <x:v>0</x:v>
      </x:c>
      <x:c r="Q1245" s="11" t="n">
        <x:v>1</x:v>
      </x:c>
      <x:c r="R1245" s="8" t="n">
        <x:v>45423</x:v>
      </x:c>
      <x:c r="S1245" s="4" t="str">
        <x:v>Lost / cancelled</x:v>
      </x:c>
      <x:c r="T1245" s="10" t="n">
        <x:v>0.351536</x:v>
      </x:c>
      <x:c r="U1245" s="4" t="str">
        <x:v>Train</x:v>
      </x:c>
    </x:row>
    <x:row r="1246" ht="34" customHeight="1">
      <x:c r="A1246" s="4" t="str">
        <x:v>RS-01245</x:v>
      </x:c>
      <x:c r="B1246" s="8" t="n">
        <x:v>45364</x:v>
      </x:c>
      <x:c r="C1246" s="4" t="str">
        <x:v>PRJ-005</x:v>
      </x:c>
      <x:c r="D1246" s="4" t="str">
        <x:v>Apartment</x:v>
      </x:c>
      <x:c r="E1246" s="4" t="str">
        <x:v>Enquiry</x:v>
      </x:c>
      <x:c r="F1246" s="4" t="str">
        <x:v>CUS-01245</x:v>
      </x:c>
      <x:c r="G1246" s="4" t="str">
        <x:v>UNIT-01245</x:v>
      </x:c>
      <x:c r="H1246" s="9" t="n">
        <x:v>3300000</x:v>
      </x:c>
      <x:c r="I1246" s="10" t="n">
        <x:v>0.07</x:v>
      </x:c>
      <x:c r="J1246" s="11" t="n">
        <x:v>10</x:v>
      </x:c>
      <x:c r="K1246" s="11" t="n">
        <x:v>1</x:v>
      </x:c>
      <x:c r="L1246" s="11" t="n">
        <x:v>1</x:v>
      </x:c>
      <x:c r="M1246" s="9" t="n">
        <x:f>ROUND(H1246*(1-I1246),2)</x:f>
        <x:v>3069000</x:v>
      </x:c>
      <x:c r="N1246" s="4" t="str">
        <x:v>Sales manager</x:v>
      </x:c>
      <x:c r="O1246" s="4"/>
      <x:c r="P1246" s="9" t="n">
        <x:v>0</x:v>
      </x:c>
      <x:c r="Q1246" s="11" t="n">
        <x:v>1</x:v>
      </x:c>
      <x:c r="R1246" s="8" t="n">
        <x:v>45424</x:v>
      </x:c>
      <x:c r="S1246" s="4" t="str">
        <x:v>Lost / cancelled</x:v>
      </x:c>
      <x:c r="T1246" s="10" t="n">
        <x:v>0.310195</x:v>
      </x:c>
      <x:c r="U1246" s="4" t="str">
        <x:v>Train</x:v>
      </x:c>
    </x:row>
    <x:row r="1247" ht="34" customHeight="1">
      <x:c r="A1247" s="4" t="str">
        <x:v>RS-01246</x:v>
      </x:c>
      <x:c r="B1247" s="8" t="n">
        <x:v>45365</x:v>
      </x:c>
      <x:c r="C1247" s="4" t="str">
        <x:v>PRJ-006</x:v>
      </x:c>
      <x:c r="D1247" s="4" t="str">
        <x:v>Villa</x:v>
      </x:c>
      <x:c r="E1247" s="4" t="str">
        <x:v>Cancelled</x:v>
      </x:c>
      <x:c r="F1247" s="4" t="str">
        <x:v>CUS-01246</x:v>
      </x:c>
      <x:c r="G1247" s="4" t="str">
        <x:v>UNIT-01246</x:v>
      </x:c>
      <x:c r="H1247" s="9" t="n">
        <x:v>21300000</x:v>
      </x:c>
      <x:c r="I1247" s="10" t="n">
        <x:v>0.1</x:v>
      </x:c>
      <x:c r="J1247" s="11" t="n">
        <x:v>6</x:v>
      </x:c>
      <x:c r="K1247" s="11" t="n">
        <x:v>2</x:v>
      </x:c>
      <x:c r="L1247" s="11" t="n">
        <x:v>1</x:v>
      </x:c>
      <x:c r="M1247" s="9" t="n">
        <x:f>ROUND(H1247*(1-I1247),2)</x:f>
        <x:v>19170000</x:v>
      </x:c>
      <x:c r="N1247" s="4" t="str">
        <x:v>Sales head</x:v>
      </x:c>
      <x:c r="O1247" s="4"/>
      <x:c r="P1247" s="9" t="n">
        <x:v>0</x:v>
      </x:c>
      <x:c r="Q1247" s="11" t="n">
        <x:v>1</x:v>
      </x:c>
      <x:c r="R1247" s="8" t="n">
        <x:v>45425</x:v>
      </x:c>
      <x:c r="S1247" s="4" t="str">
        <x:v>Lost / cancelled</x:v>
      </x:c>
      <x:c r="T1247" s="10" t="n">
        <x:v>0.291946</x:v>
      </x:c>
      <x:c r="U1247" s="4" t="str">
        <x:v>Train</x:v>
      </x:c>
    </x:row>
    <x:row r="1248" ht="34" customHeight="1">
      <x:c r="A1248" s="4" t="str">
        <x:v>RS-01247</x:v>
      </x:c>
      <x:c r="B1248" s="8" t="n">
        <x:v>45366</x:v>
      </x:c>
      <x:c r="C1248" s="4" t="str">
        <x:v>PRJ-007</x:v>
      </x:c>
      <x:c r="D1248" s="4" t="str">
        <x:v>Retail</x:v>
      </x:c>
      <x:c r="E1248" s="4" t="str">
        <x:v>Booked</x:v>
      </x:c>
      <x:c r="F1248" s="4" t="str">
        <x:v>CUS-01247</x:v>
      </x:c>
      <x:c r="G1248" s="4" t="str">
        <x:v>UNIT-01247</x:v>
      </x:c>
      <x:c r="H1248" s="9" t="n">
        <x:v>19400000</x:v>
      </x:c>
      <x:c r="I1248" s="10" t="n">
        <x:v>0.11</x:v>
      </x:c>
      <x:c r="J1248" s="11" t="n">
        <x:v>4</x:v>
      </x:c>
      <x:c r="K1248" s="11" t="n">
        <x:v>9</x:v>
      </x:c>
      <x:c r="L1248" s="11" t="n">
        <x:v>1</x:v>
      </x:c>
      <x:c r="M1248" s="9" t="n">
        <x:f>ROUND(H1248*(1-I1248),2)</x:f>
        <x:v>17266000</x:v>
      </x:c>
      <x:c r="N1248" s="4" t="str">
        <x:v>Sales head</x:v>
      </x:c>
      <x:c r="O1248" s="4" t="str">
        <x:v>BOOK-01247</x:v>
      </x:c>
      <x:c r="P1248" s="9" t="n">
        <x:v>1726600</x:v>
      </x:c>
      <x:c r="Q1248" s="11" t="n">
        <x:v>0</x:v>
      </x:c>
      <x:c r="R1248" s="8" t="n">
        <x:v>45426</x:v>
      </x:c>
      <x:c r="S1248" s="4" t="str">
        <x:v>Retained</x:v>
      </x:c>
      <x:c r="T1248" s="10" t="n">
        <x:v>0.291946</x:v>
      </x:c>
      <x:c r="U1248" s="4" t="str">
        <x:v>Train</x:v>
      </x:c>
    </x:row>
    <x:row r="1249" ht="34" customHeight="1">
      <x:c r="A1249" s="4" t="str">
        <x:v>RS-01248</x:v>
      </x:c>
      <x:c r="B1249" s="8" t="n">
        <x:v>45367</x:v>
      </x:c>
      <x:c r="C1249" s="4" t="str">
        <x:v>PRJ-008</x:v>
      </x:c>
      <x:c r="D1249" s="4" t="str">
        <x:v>Apartment</x:v>
      </x:c>
      <x:c r="E1249" s="4" t="str">
        <x:v>Enquiry</x:v>
      </x:c>
      <x:c r="F1249" s="4" t="str">
        <x:v>CUS-01248</x:v>
      </x:c>
      <x:c r="G1249" s="4" t="str">
        <x:v>UNIT-01248</x:v>
      </x:c>
      <x:c r="H1249" s="9" t="n">
        <x:v>7000000</x:v>
      </x:c>
      <x:c r="I1249" s="10" t="n">
        <x:v>0.03</x:v>
      </x:c>
      <x:c r="J1249" s="11" t="n">
        <x:v>0</x:v>
      </x:c>
      <x:c r="K1249" s="11" t="n">
        <x:v>1</x:v>
      </x:c>
      <x:c r="L1249" s="11" t="n">
        <x:v>1</x:v>
      </x:c>
      <x:c r="M1249" s="9" t="n">
        <x:f>ROUND(H1249*(1-I1249),2)</x:f>
        <x:v>6790000</x:v>
      </x:c>
      <x:c r="N1249" s="4" t="str">
        <x:v>Sales manager</x:v>
      </x:c>
      <x:c r="O1249" s="4"/>
      <x:c r="P1249" s="9" t="n">
        <x:v>0</x:v>
      </x:c>
      <x:c r="Q1249" s="11" t="n">
        <x:v>0</x:v>
      </x:c>
      <x:c r="R1249" s="8" t="n">
        <x:v>45427</x:v>
      </x:c>
      <x:c r="S1249" s="4" t="str">
        <x:v>Retained</x:v>
      </x:c>
      <x:c r="T1249" s="10" t="n">
        <x:v>0.072165</x:v>
      </x:c>
      <x:c r="U1249" s="4" t="str">
        <x:v>Train</x:v>
      </x:c>
    </x:row>
    <x:row r="1250" ht="34" customHeight="1">
      <x:c r="A1250" s="4" t="str">
        <x:v>RS-01249</x:v>
      </x:c>
      <x:c r="B1250" s="8" t="n">
        <x:v>45368</x:v>
      </x:c>
      <x:c r="C1250" s="4" t="str">
        <x:v>PRJ-009</x:v>
      </x:c>
      <x:c r="D1250" s="4" t="str">
        <x:v>Retail</x:v>
      </x:c>
      <x:c r="E1250" s="4" t="str">
        <x:v>Booked</x:v>
      </x:c>
      <x:c r="F1250" s="4" t="str">
        <x:v>CUS-01249</x:v>
      </x:c>
      <x:c r="G1250" s="4" t="str">
        <x:v>UNIT-01249</x:v>
      </x:c>
      <x:c r="H1250" s="9" t="n">
        <x:v>15800000</x:v>
      </x:c>
      <x:c r="I1250" s="10" t="n">
        <x:v>0.08</x:v>
      </x:c>
      <x:c r="J1250" s="11" t="n">
        <x:v>11</x:v>
      </x:c>
      <x:c r="K1250" s="11" t="n">
        <x:v>9</x:v>
      </x:c>
      <x:c r="L1250" s="11" t="n">
        <x:v>0</x:v>
      </x:c>
      <x:c r="M1250" s="9" t="n">
        <x:f>ROUND(H1250*(1-I1250),2)</x:f>
        <x:v>14536000</x:v>
      </x:c>
      <x:c r="N1250" s="4" t="str">
        <x:v>Sales head</x:v>
      </x:c>
      <x:c r="O1250" s="4" t="str">
        <x:v>BOOK-01249</x:v>
      </x:c>
      <x:c r="P1250" s="9" t="n">
        <x:v>3634000</x:v>
      </x:c>
      <x:c r="Q1250" s="11" t="n">
        <x:v>0</x:v>
      </x:c>
      <x:c r="R1250" s="8" t="n">
        <x:v>45428</x:v>
      </x:c>
      <x:c r="S1250" s="4" t="str">
        <x:v>Retained</x:v>
      </x:c>
      <x:c r="T1250" s="10" t="n">
        <x:v>0.351536</x:v>
      </x:c>
      <x:c r="U1250" s="4" t="str">
        <x:v>Train</x:v>
      </x:c>
    </x:row>
    <x:row r="1251" ht="34" customHeight="1">
      <x:c r="A1251" s="4" t="str">
        <x:v>RS-01250</x:v>
      </x:c>
      <x:c r="B1251" s="8" t="n">
        <x:v>45369</x:v>
      </x:c>
      <x:c r="C1251" s="4" t="str">
        <x:v>PRJ-010</x:v>
      </x:c>
      <x:c r="D1251" s="4" t="str">
        <x:v>Villa</x:v>
      </x:c>
      <x:c r="E1251" s="4" t="str">
        <x:v>Handed over</x:v>
      </x:c>
      <x:c r="F1251" s="4" t="str">
        <x:v>CUS-01250</x:v>
      </x:c>
      <x:c r="G1251" s="4" t="str">
        <x:v>UNIT-01250</x:v>
      </x:c>
      <x:c r="H1251" s="9" t="n">
        <x:v>19500000</x:v>
      </x:c>
      <x:c r="I1251" s="10" t="n">
        <x:v>0.09</x:v>
      </x:c>
      <x:c r="J1251" s="11" t="n">
        <x:v>5</x:v>
      </x:c>
      <x:c r="K1251" s="11" t="n">
        <x:v>6</x:v>
      </x:c>
      <x:c r="L1251" s="11" t="n">
        <x:v>0</x:v>
      </x:c>
      <x:c r="M1251" s="9" t="n">
        <x:f>ROUND(H1251*(1-I1251),2)</x:f>
        <x:v>17745000</x:v>
      </x:c>
      <x:c r="N1251" s="4" t="str">
        <x:v>Sales head</x:v>
      </x:c>
      <x:c r="O1251" s="4" t="str">
        <x:v>BOOK-01250</x:v>
      </x:c>
      <x:c r="P1251" s="9" t="n">
        <x:v>1774500</x:v>
      </x:c>
      <x:c r="Q1251" s="11" t="n">
        <x:v>0</x:v>
      </x:c>
      <x:c r="R1251" s="8" t="n">
        <x:v>45429</x:v>
      </x:c>
      <x:c r="S1251" s="4" t="str">
        <x:v>Retained</x:v>
      </x:c>
      <x:c r="T1251" s="10" t="n">
        <x:v>0.226277</x:v>
      </x:c>
      <x:c r="U1251" s="4" t="str">
        <x:v>Train</x:v>
      </x:c>
    </x:row>
    <x:row r="1252" ht="34" customHeight="1">
      <x:c r="A1252" s="4" t="str">
        <x:v>RS-01251</x:v>
      </x:c>
      <x:c r="B1252" s="8" t="n">
        <x:v>45370</x:v>
      </x:c>
      <x:c r="C1252" s="4" t="str">
        <x:v>PRJ-011</x:v>
      </x:c>
      <x:c r="D1252" s="4" t="str">
        <x:v>Office</x:v>
      </x:c>
      <x:c r="E1252" s="4" t="str">
        <x:v>Reserved</x:v>
      </x:c>
      <x:c r="F1252" s="4" t="str">
        <x:v>CUS-01251</x:v>
      </x:c>
      <x:c r="G1252" s="4" t="str">
        <x:v>UNIT-01251</x:v>
      </x:c>
      <x:c r="H1252" s="9" t="n">
        <x:v>18500000</x:v>
      </x:c>
      <x:c r="I1252" s="10" t="n">
        <x:v>0.02</x:v>
      </x:c>
      <x:c r="J1252" s="11" t="n">
        <x:v>9</x:v>
      </x:c>
      <x:c r="K1252" s="11" t="n">
        <x:v>4</x:v>
      </x:c>
      <x:c r="L1252" s="11" t="n">
        <x:v>0</x:v>
      </x:c>
      <x:c r="M1252" s="9" t="n">
        <x:f>ROUND(H1252*(1-I1252),2)</x:f>
        <x:v>18130000</x:v>
      </x:c>
      <x:c r="N1252" s="4" t="str">
        <x:v>Sales manager</x:v>
      </x:c>
      <x:c r="O1252" s="4"/>
      <x:c r="P1252" s="9" t="n">
        <x:v>0</x:v>
      </x:c>
      <x:c r="Q1252" s="11" t="n">
        <x:v>0</x:v>
      </x:c>
      <x:c r="R1252" s="8" t="n">
        <x:v>45430</x:v>
      </x:c>
      <x:c r="S1252" s="4" t="str">
        <x:v>Retained</x:v>
      </x:c>
      <x:c r="T1252" s="10" t="n">
        <x:v>0.305556</x:v>
      </x:c>
      <x:c r="U1252" s="4" t="str">
        <x:v>Train</x:v>
      </x:c>
    </x:row>
    <x:row r="1253" ht="34" customHeight="1">
      <x:c r="A1253" s="4" t="str">
        <x:v>RS-01252</x:v>
      </x:c>
      <x:c r="B1253" s="8" t="n">
        <x:v>45371</x:v>
      </x:c>
      <x:c r="C1253" s="4" t="str">
        <x:v>PRJ-012</x:v>
      </x:c>
      <x:c r="D1253" s="4" t="str">
        <x:v>Office</x:v>
      </x:c>
      <x:c r="E1253" s="4" t="str">
        <x:v>Booked</x:v>
      </x:c>
      <x:c r="F1253" s="4" t="str">
        <x:v>CUS-01252</x:v>
      </x:c>
      <x:c r="G1253" s="4" t="str">
        <x:v>UNIT-01252</x:v>
      </x:c>
      <x:c r="H1253" s="9" t="n">
        <x:v>24200000</x:v>
      </x:c>
      <x:c r="I1253" s="10" t="n">
        <x:v>0.05</x:v>
      </x:c>
      <x:c r="J1253" s="11" t="n">
        <x:v>2</x:v>
      </x:c>
      <x:c r="K1253" s="11" t="n">
        <x:v>0</x:v>
      </x:c>
      <x:c r="L1253" s="11" t="n">
        <x:v>1</x:v>
      </x:c>
      <x:c r="M1253" s="9" t="n">
        <x:f>ROUND(H1253*(1-I1253),2)</x:f>
        <x:v>22990000</x:v>
      </x:c>
      <x:c r="N1253" s="4" t="str">
        <x:v>Sales manager</x:v>
      </x:c>
      <x:c r="O1253" s="4" t="str">
        <x:v>BOOK-01252</x:v>
      </x:c>
      <x:c r="P1253" s="9" t="n">
        <x:v>5747500</x:v>
      </x:c>
      <x:c r="Q1253" s="11" t="n">
        <x:v>0</x:v>
      </x:c>
      <x:c r="R1253" s="8" t="n">
        <x:v>45431</x:v>
      </x:c>
      <x:c r="S1253" s="4" t="str">
        <x:v>Retained</x:v>
      </x:c>
      <x:c r="T1253" s="10" t="n">
        <x:v>0.276923</x:v>
      </x:c>
      <x:c r="U1253" s="4" t="str">
        <x:v>Train</x:v>
      </x:c>
    </x:row>
    <x:row r="1254" ht="34" customHeight="1">
      <x:c r="A1254" s="4" t="str">
        <x:v>RS-01253</x:v>
      </x:c>
      <x:c r="B1254" s="8" t="n">
        <x:v>45372</x:v>
      </x:c>
      <x:c r="C1254" s="4" t="str">
        <x:v>PRJ-013</x:v>
      </x:c>
      <x:c r="D1254" s="4" t="str">
        <x:v>Office</x:v>
      </x:c>
      <x:c r="E1254" s="4" t="str">
        <x:v>Agreement signed</x:v>
      </x:c>
      <x:c r="F1254" s="4" t="str">
        <x:v>CUS-01253</x:v>
      </x:c>
      <x:c r="G1254" s="4" t="str">
        <x:v>UNIT-01253</x:v>
      </x:c>
      <x:c r="H1254" s="9" t="n">
        <x:v>17400000</x:v>
      </x:c>
      <x:c r="I1254" s="10" t="n">
        <x:v>0.1</x:v>
      </x:c>
      <x:c r="J1254" s="11" t="n">
        <x:v>3</x:v>
      </x:c>
      <x:c r="K1254" s="11" t="n">
        <x:v>0</x:v>
      </x:c>
      <x:c r="L1254" s="11" t="n">
        <x:v>0</x:v>
      </x:c>
      <x:c r="M1254" s="9" t="n">
        <x:f>ROUND(H1254*(1-I1254),2)</x:f>
        <x:v>15660000</x:v>
      </x:c>
      <x:c r="N1254" s="4" t="str">
        <x:v>Sales head</x:v>
      </x:c>
      <x:c r="O1254" s="4" t="str">
        <x:v>BOOK-01253</x:v>
      </x:c>
      <x:c r="P1254" s="9" t="n">
        <x:v>3915000</x:v>
      </x:c>
      <x:c r="Q1254" s="11" t="n">
        <x:v>0</x:v>
      </x:c>
      <x:c r="R1254" s="8" t="n">
        <x:v>45432</x:v>
      </x:c>
      <x:c r="S1254" s="4" t="str">
        <x:v>Retained</x:v>
      </x:c>
      <x:c r="T1254" s="10" t="n">
        <x:v>0.276923</x:v>
      </x:c>
      <x:c r="U1254" s="4" t="str">
        <x:v>Train</x:v>
      </x:c>
    </x:row>
    <x:row r="1255" ht="34" customHeight="1">
      <x:c r="A1255" s="4" t="str">
        <x:v>RS-01254</x:v>
      </x:c>
      <x:c r="B1255" s="8" t="n">
        <x:v>45373</x:v>
      </x:c>
      <x:c r="C1255" s="4" t="str">
        <x:v>PRJ-014</x:v>
      </x:c>
      <x:c r="D1255" s="4" t="str">
        <x:v>Villa</x:v>
      </x:c>
      <x:c r="E1255" s="4" t="str">
        <x:v>Booked</x:v>
      </x:c>
      <x:c r="F1255" s="4" t="str">
        <x:v>CUS-01254</x:v>
      </x:c>
      <x:c r="G1255" s="4" t="str">
        <x:v>UNIT-01254</x:v>
      </x:c>
      <x:c r="H1255" s="9" t="n">
        <x:v>7100000</x:v>
      </x:c>
      <x:c r="I1255" s="10" t="n">
        <x:v>0.11</x:v>
      </x:c>
      <x:c r="J1255" s="11" t="n">
        <x:v>1</x:v>
      </x:c>
      <x:c r="K1255" s="11" t="n">
        <x:v>9</x:v>
      </x:c>
      <x:c r="L1255" s="11" t="n">
        <x:v>1</x:v>
      </x:c>
      <x:c r="M1255" s="9" t="n">
        <x:f>ROUND(H1255*(1-I1255),2)</x:f>
        <x:v>6319000</x:v>
      </x:c>
      <x:c r="N1255" s="4" t="str">
        <x:v>Sales head</x:v>
      </x:c>
      <x:c r="O1255" s="4" t="str">
        <x:v>BOOK-01254</x:v>
      </x:c>
      <x:c r="P1255" s="9" t="n">
        <x:v>1579750</x:v>
      </x:c>
      <x:c r="Q1255" s="11" t="n">
        <x:v>0</x:v>
      </x:c>
      <x:c r="R1255" s="8" t="n">
        <x:v>45433</x:v>
      </x:c>
      <x:c r="S1255" s="4" t="str">
        <x:v>Retained</x:v>
      </x:c>
      <x:c r="T1255" s="10" t="n">
        <x:v>0.145833</x:v>
      </x:c>
      <x:c r="U1255" s="4" t="str">
        <x:v>Train</x:v>
      </x:c>
    </x:row>
    <x:row r="1256" ht="34" customHeight="1">
      <x:c r="A1256" s="4" t="str">
        <x:v>RS-01255</x:v>
      </x:c>
      <x:c r="B1256" s="8" t="n">
        <x:v>45374</x:v>
      </x:c>
      <x:c r="C1256" s="4" t="str">
        <x:v>PRJ-015</x:v>
      </x:c>
      <x:c r="D1256" s="4" t="str">
        <x:v>Office</x:v>
      </x:c>
      <x:c r="E1256" s="4" t="str">
        <x:v>Reserved</x:v>
      </x:c>
      <x:c r="F1256" s="4" t="str">
        <x:v>CUS-01255</x:v>
      </x:c>
      <x:c r="G1256" s="4" t="str">
        <x:v>UNIT-01255</x:v>
      </x:c>
      <x:c r="H1256" s="9" t="n">
        <x:v>3300000</x:v>
      </x:c>
      <x:c r="I1256" s="10" t="n">
        <x:v>0.09</x:v>
      </x:c>
      <x:c r="J1256" s="11" t="n">
        <x:v>9</x:v>
      </x:c>
      <x:c r="K1256" s="11" t="n">
        <x:v>8</x:v>
      </x:c>
      <x:c r="L1256" s="11" t="n">
        <x:v>0</x:v>
      </x:c>
      <x:c r="M1256" s="9" t="n">
        <x:f>ROUND(H1256*(1-I1256),2)</x:f>
        <x:v>3003000</x:v>
      </x:c>
      <x:c r="N1256" s="4" t="str">
        <x:v>Sales head</x:v>
      </x:c>
      <x:c r="O1256" s="4"/>
      <x:c r="P1256" s="9" t="n">
        <x:v>0</x:v>
      </x:c>
      <x:c r="Q1256" s="11" t="n">
        <x:v>0</x:v>
      </x:c>
      <x:c r="R1256" s="8" t="n">
        <x:v>45434</x:v>
      </x:c>
      <x:c r="S1256" s="4" t="str">
        <x:v>Retained</x:v>
      </x:c>
      <x:c r="T1256" s="10" t="n">
        <x:v>0.310195</x:v>
      </x:c>
      <x:c r="U1256" s="4" t="str">
        <x:v>Train</x:v>
      </x:c>
    </x:row>
    <x:row r="1257" ht="34" customHeight="1">
      <x:c r="A1257" s="4" t="str">
        <x:v>RS-01256</x:v>
      </x:c>
      <x:c r="B1257" s="8" t="n">
        <x:v>45375</x:v>
      </x:c>
      <x:c r="C1257" s="4" t="str">
        <x:v>PRJ-016</x:v>
      </x:c>
      <x:c r="D1257" s="4" t="str">
        <x:v>Office</x:v>
      </x:c>
      <x:c r="E1257" s="4" t="str">
        <x:v>Cancelled</x:v>
      </x:c>
      <x:c r="F1257" s="4" t="str">
        <x:v>CUS-01256</x:v>
      </x:c>
      <x:c r="G1257" s="4" t="str">
        <x:v>UNIT-01256</x:v>
      </x:c>
      <x:c r="H1257" s="9" t="n">
        <x:v>22400000</x:v>
      </x:c>
      <x:c r="I1257" s="10" t="n">
        <x:v>0.1</x:v>
      </x:c>
      <x:c r="J1257" s="11" t="n">
        <x:v>3</x:v>
      </x:c>
      <x:c r="K1257" s="11" t="n">
        <x:v>7</x:v>
      </x:c>
      <x:c r="L1257" s="11" t="n">
        <x:v>0</x:v>
      </x:c>
      <x:c r="M1257" s="9" t="n">
        <x:f>ROUND(H1257*(1-I1257),2)</x:f>
        <x:v>20160000</x:v>
      </x:c>
      <x:c r="N1257" s="4" t="str">
        <x:v>Sales head</x:v>
      </x:c>
      <x:c r="O1257" s="4"/>
      <x:c r="P1257" s="9" t="n">
        <x:v>0</x:v>
      </x:c>
      <x:c r="Q1257" s="11" t="n">
        <x:v>1</x:v>
      </x:c>
      <x:c r="R1257" s="8" t="n">
        <x:v>45435</x:v>
      </x:c>
      <x:c r="S1257" s="4" t="str">
        <x:v>Lost / cancelled</x:v>
      </x:c>
      <x:c r="T1257" s="10" t="n">
        <x:v>0.145833</x:v>
      </x:c>
      <x:c r="U1257" s="4" t="str">
        <x:v>Train</x:v>
      </x:c>
    </x:row>
    <x:row r="1258" ht="34" customHeight="1">
      <x:c r="A1258" s="4" t="str">
        <x:v>RS-01257</x:v>
      </x:c>
      <x:c r="B1258" s="8" t="n">
        <x:v>45376</x:v>
      </x:c>
      <x:c r="C1258" s="4" t="str">
        <x:v>PRJ-017</x:v>
      </x:c>
      <x:c r="D1258" s="4" t="str">
        <x:v>Villa</x:v>
      </x:c>
      <x:c r="E1258" s="4" t="str">
        <x:v>Reserved</x:v>
      </x:c>
      <x:c r="F1258" s="4" t="str">
        <x:v>CUS-01257</x:v>
      </x:c>
      <x:c r="G1258" s="4" t="str">
        <x:v>UNIT-01257</x:v>
      </x:c>
      <x:c r="H1258" s="9" t="n">
        <x:v>20900000</x:v>
      </x:c>
      <x:c r="I1258" s="10" t="n">
        <x:v>0.02</x:v>
      </x:c>
      <x:c r="J1258" s="11" t="n">
        <x:v>1</x:v>
      </x:c>
      <x:c r="K1258" s="11" t="n">
        <x:v>2</x:v>
      </x:c>
      <x:c r="L1258" s="11" t="n">
        <x:v>0</x:v>
      </x:c>
      <x:c r="M1258" s="9" t="n">
        <x:f>ROUND(H1258*(1-I1258),2)</x:f>
        <x:v>20482000</x:v>
      </x:c>
      <x:c r="N1258" s="4" t="str">
        <x:v>Sales manager</x:v>
      </x:c>
      <x:c r="O1258" s="4"/>
      <x:c r="P1258" s="9" t="n">
        <x:v>0</x:v>
      </x:c>
      <x:c r="Q1258" s="11" t="n">
        <x:v>0</x:v>
      </x:c>
      <x:c r="R1258" s="8" t="n">
        <x:v>45436</x:v>
      </x:c>
      <x:c r="S1258" s="4" t="str">
        <x:v>Retained</x:v>
      </x:c>
      <x:c r="T1258" s="10" t="n">
        <x:v>0.072165</x:v>
      </x:c>
      <x:c r="U1258" s="4" t="str">
        <x:v>Train</x:v>
      </x:c>
    </x:row>
    <x:row r="1259" ht="34" customHeight="1">
      <x:c r="A1259" s="4" t="str">
        <x:v>RS-01258</x:v>
      </x:c>
      <x:c r="B1259" s="8" t="n">
        <x:v>45377</x:v>
      </x:c>
      <x:c r="C1259" s="4" t="str">
        <x:v>PRJ-018</x:v>
      </x:c>
      <x:c r="D1259" s="4" t="str">
        <x:v>Apartment</x:v>
      </x:c>
      <x:c r="E1259" s="4" t="str">
        <x:v>Agreement signed</x:v>
      </x:c>
      <x:c r="F1259" s="4" t="str">
        <x:v>CUS-01258</x:v>
      </x:c>
      <x:c r="G1259" s="4" t="str">
        <x:v>UNIT-01258</x:v>
      </x:c>
      <x:c r="H1259" s="9" t="n">
        <x:v>16100000</x:v>
      </x:c>
      <x:c r="I1259" s="10" t="n">
        <x:v>0.06</x:v>
      </x:c>
      <x:c r="J1259" s="11" t="n">
        <x:v>3</x:v>
      </x:c>
      <x:c r="K1259" s="11" t="n">
        <x:v>1</x:v>
      </x:c>
      <x:c r="L1259" s="11" t="n">
        <x:v>1</x:v>
      </x:c>
      <x:c r="M1259" s="9" t="n">
        <x:f>ROUND(H1259*(1-I1259),2)</x:f>
        <x:v>15134000</x:v>
      </x:c>
      <x:c r="N1259" s="4" t="str">
        <x:v>Sales manager</x:v>
      </x:c>
      <x:c r="O1259" s="4" t="str">
        <x:v>BOOK-01258</x:v>
      </x:c>
      <x:c r="P1259" s="9" t="n">
        <x:v>7567000</x:v>
      </x:c>
      <x:c r="Q1259" s="11" t="n">
        <x:v>0</x:v>
      </x:c>
      <x:c r="R1259" s="8" t="n">
        <x:v>45437</x:v>
      </x:c>
      <x:c r="S1259" s="4" t="str">
        <x:v>Retained</x:v>
      </x:c>
      <x:c r="T1259" s="10" t="n">
        <x:v>0.204152</x:v>
      </x:c>
      <x:c r="U1259" s="4" t="str">
        <x:v>Train</x:v>
      </x:c>
    </x:row>
    <x:row r="1260" ht="34" customHeight="1">
      <x:c r="A1260" s="4" t="str">
        <x:v>RS-01259</x:v>
      </x:c>
      <x:c r="B1260" s="8" t="n">
        <x:v>45378</x:v>
      </x:c>
      <x:c r="C1260" s="4" t="str">
        <x:v>PRJ-019</x:v>
      </x:c>
      <x:c r="D1260" s="4" t="str">
        <x:v>Apartment</x:v>
      </x:c>
      <x:c r="E1260" s="4" t="str">
        <x:v>Handed over</x:v>
      </x:c>
      <x:c r="F1260" s="4" t="str">
        <x:v>CUS-01259</x:v>
      </x:c>
      <x:c r="G1260" s="4" t="str">
        <x:v>UNIT-01259</x:v>
      </x:c>
      <x:c r="H1260" s="9" t="n">
        <x:v>11600000</x:v>
      </x:c>
      <x:c r="I1260" s="10" t="n">
        <x:v>0.1</x:v>
      </x:c>
      <x:c r="J1260" s="11" t="n">
        <x:v>4</x:v>
      </x:c>
      <x:c r="K1260" s="11" t="n">
        <x:v>6</x:v>
      </x:c>
      <x:c r="L1260" s="11" t="n">
        <x:v>1</x:v>
      </x:c>
      <x:c r="M1260" s="9" t="n">
        <x:f>ROUND(H1260*(1-I1260),2)</x:f>
        <x:v>10440000</x:v>
      </x:c>
      <x:c r="N1260" s="4" t="str">
        <x:v>Sales head</x:v>
      </x:c>
      <x:c r="O1260" s="4" t="str">
        <x:v>BOOK-01259</x:v>
      </x:c>
      <x:c r="P1260" s="9" t="n">
        <x:v>1044000</x:v>
      </x:c>
      <x:c r="Q1260" s="11" t="n">
        <x:v>0</x:v>
      </x:c>
      <x:c r="R1260" s="8" t="n">
        <x:v>45438</x:v>
      </x:c>
      <x:c r="S1260" s="4" t="str">
        <x:v>Retained</x:v>
      </x:c>
      <x:c r="T1260" s="10" t="n">
        <x:v>0.291946</x:v>
      </x:c>
      <x:c r="U1260" s="4" t="str">
        <x:v>Train</x:v>
      </x:c>
    </x:row>
    <x:row r="1261" ht="34" customHeight="1">
      <x:c r="A1261" s="4" t="str">
        <x:v>RS-01260</x:v>
      </x:c>
      <x:c r="B1261" s="8" t="n">
        <x:v>45379</x:v>
      </x:c>
      <x:c r="C1261" s="4" t="str">
        <x:v>PRJ-020</x:v>
      </x:c>
      <x:c r="D1261" s="4" t="str">
        <x:v>Office</x:v>
      </x:c>
      <x:c r="E1261" s="4" t="str">
        <x:v>Cancelled</x:v>
      </x:c>
      <x:c r="F1261" s="4" t="str">
        <x:v>CUS-01260</x:v>
      </x:c>
      <x:c r="G1261" s="4" t="str">
        <x:v>UNIT-01260</x:v>
      </x:c>
      <x:c r="H1261" s="9" t="n">
        <x:v>5600000</x:v>
      </x:c>
      <x:c r="I1261" s="10" t="n">
        <x:v>0.02</x:v>
      </x:c>
      <x:c r="J1261" s="11" t="n">
        <x:v>9</x:v>
      </x:c>
      <x:c r="K1261" s="11" t="n">
        <x:v>0</x:v>
      </x:c>
      <x:c r="L1261" s="11" t="n">
        <x:v>1</x:v>
      </x:c>
      <x:c r="M1261" s="9" t="n">
        <x:f>ROUND(H1261*(1-I1261),2)</x:f>
        <x:v>5488000</x:v>
      </x:c>
      <x:c r="N1261" s="4" t="str">
        <x:v>Sales manager</x:v>
      </x:c>
      <x:c r="O1261" s="4"/>
      <x:c r="P1261" s="9" t="n">
        <x:v>0</x:v>
      </x:c>
      <x:c r="Q1261" s="11" t="n">
        <x:v>1</x:v>
      </x:c>
      <x:c r="R1261" s="8" t="n">
        <x:v>45439</x:v>
      </x:c>
      <x:c r="S1261" s="4" t="str">
        <x:v>Lost / cancelled</x:v>
      </x:c>
      <x:c r="T1261" s="10" t="n">
        <x:v>0.254545</x:v>
      </x:c>
      <x:c r="U1261" s="4" t="str">
        <x:v>Train</x:v>
      </x:c>
    </x:row>
    <x:row r="1262" ht="34" customHeight="1">
      <x:c r="A1262" s="4" t="str">
        <x:v>RS-01261</x:v>
      </x:c>
      <x:c r="B1262" s="8" t="n">
        <x:v>45352</x:v>
      </x:c>
      <x:c r="C1262" s="4" t="str">
        <x:v>PRJ-001</x:v>
      </x:c>
      <x:c r="D1262" s="4" t="str">
        <x:v>Retail</x:v>
      </x:c>
      <x:c r="E1262" s="4" t="str">
        <x:v>Enquiry</x:v>
      </x:c>
      <x:c r="F1262" s="4" t="str">
        <x:v>CUS-01261</x:v>
      </x:c>
      <x:c r="G1262" s="4" t="str">
        <x:v>UNIT-01261</x:v>
      </x:c>
      <x:c r="H1262" s="9" t="n">
        <x:v>21100000</x:v>
      </x:c>
      <x:c r="I1262" s="10" t="n">
        <x:v>0.05</x:v>
      </x:c>
      <x:c r="J1262" s="11" t="n">
        <x:v>10</x:v>
      </x:c>
      <x:c r="K1262" s="11" t="n">
        <x:v>8</x:v>
      </x:c>
      <x:c r="L1262" s="11" t="n">
        <x:v>0</x:v>
      </x:c>
      <x:c r="M1262" s="9" t="n">
        <x:f>ROUND(H1262*(1-I1262),2)</x:f>
        <x:v>20045000</x:v>
      </x:c>
      <x:c r="N1262" s="4" t="str">
        <x:v>Sales manager</x:v>
      </x:c>
      <x:c r="O1262" s="4"/>
      <x:c r="P1262" s="9" t="n">
        <x:v>0</x:v>
      </x:c>
      <x:c r="Q1262" s="11" t="n">
        <x:v>0</x:v>
      </x:c>
      <x:c r="R1262" s="8" t="n">
        <x:v>45412</x:v>
      </x:c>
      <x:c r="S1262" s="4" t="str">
        <x:v>Retained</x:v>
      </x:c>
      <x:c r="T1262" s="10" t="n">
        <x:v>0.310195</x:v>
      </x:c>
      <x:c r="U1262" s="4" t="str">
        <x:v>Train</x:v>
      </x:c>
    </x:row>
    <x:row r="1263" ht="34" customHeight="1">
      <x:c r="A1263" s="4" t="str">
        <x:v>RS-01262</x:v>
      </x:c>
      <x:c r="B1263" s="8" t="n">
        <x:v>45353</x:v>
      </x:c>
      <x:c r="C1263" s="4" t="str">
        <x:v>PRJ-002</x:v>
      </x:c>
      <x:c r="D1263" s="4" t="str">
        <x:v>Apartment</x:v>
      </x:c>
      <x:c r="E1263" s="4" t="str">
        <x:v>Handed over</x:v>
      </x:c>
      <x:c r="F1263" s="4" t="str">
        <x:v>CUS-01262</x:v>
      </x:c>
      <x:c r="G1263" s="4" t="str">
        <x:v>UNIT-01262</x:v>
      </x:c>
      <x:c r="H1263" s="9" t="n">
        <x:v>23100000</x:v>
      </x:c>
      <x:c r="I1263" s="10" t="n">
        <x:v>0.04</x:v>
      </x:c>
      <x:c r="J1263" s="11" t="n">
        <x:v>4</x:v>
      </x:c>
      <x:c r="K1263" s="11" t="n">
        <x:v>5</x:v>
      </x:c>
      <x:c r="L1263" s="11" t="n">
        <x:v>0</x:v>
      </x:c>
      <x:c r="M1263" s="9" t="n">
        <x:f>ROUND(H1263*(1-I1263),2)</x:f>
        <x:v>22176000</x:v>
      </x:c>
      <x:c r="N1263" s="4" t="str">
        <x:v>Sales manager</x:v>
      </x:c>
      <x:c r="O1263" s="4" t="str">
        <x:v>BOOK-01262</x:v>
      </x:c>
      <x:c r="P1263" s="9" t="n">
        <x:v>2217600</x:v>
      </x:c>
      <x:c r="Q1263" s="11" t="n">
        <x:v>0</x:v>
      </x:c>
      <x:c r="R1263" s="8" t="n">
        <x:v>45413</x:v>
      </x:c>
      <x:c r="S1263" s="4" t="str">
        <x:v>Retained</x:v>
      </x:c>
      <x:c r="T1263" s="10" t="n">
        <x:v>0.226277</x:v>
      </x:c>
      <x:c r="U1263" s="4" t="str">
        <x:v>Train</x:v>
      </x:c>
    </x:row>
    <x:row r="1264" ht="34" customHeight="1">
      <x:c r="A1264" s="4" t="str">
        <x:v>RS-01263</x:v>
      </x:c>
      <x:c r="B1264" s="8" t="n">
        <x:v>45354</x:v>
      </x:c>
      <x:c r="C1264" s="4" t="str">
        <x:v>PRJ-003</x:v>
      </x:c>
      <x:c r="D1264" s="4" t="str">
        <x:v>Office</x:v>
      </x:c>
      <x:c r="E1264" s="4" t="str">
        <x:v>Reserved</x:v>
      </x:c>
      <x:c r="F1264" s="4" t="str">
        <x:v>CUS-01263</x:v>
      </x:c>
      <x:c r="G1264" s="4" t="str">
        <x:v>UNIT-01263</x:v>
      </x:c>
      <x:c r="H1264" s="9" t="n">
        <x:v>15700000</x:v>
      </x:c>
      <x:c r="I1264" s="10" t="n">
        <x:v>0.01</x:v>
      </x:c>
      <x:c r="J1264" s="11" t="n">
        <x:v>10</x:v>
      </x:c>
      <x:c r="K1264" s="11" t="n">
        <x:v>6</x:v>
      </x:c>
      <x:c r="L1264" s="11" t="n">
        <x:v>0</x:v>
      </x:c>
      <x:c r="M1264" s="9" t="n">
        <x:f>ROUND(H1264*(1-I1264),2)</x:f>
        <x:v>15543000</x:v>
      </x:c>
      <x:c r="N1264" s="4" t="str">
        <x:v>Sales manager</x:v>
      </x:c>
      <x:c r="O1264" s="4"/>
      <x:c r="P1264" s="9" t="n">
        <x:v>0</x:v>
      </x:c>
      <x:c r="Q1264" s="11" t="n">
        <x:v>1</x:v>
      </x:c>
      <x:c r="R1264" s="8" t="n">
        <x:v>45414</x:v>
      </x:c>
      <x:c r="S1264" s="4" t="str">
        <x:v>Lost / cancelled</x:v>
      </x:c>
      <x:c r="T1264" s="10" t="n">
        <x:v>0.305556</x:v>
      </x:c>
      <x:c r="U1264" s="4" t="str">
        <x:v>Train</x:v>
      </x:c>
    </x:row>
    <x:row r="1265" ht="34" customHeight="1">
      <x:c r="A1265" s="4" t="str">
        <x:v>RS-01264</x:v>
      </x:c>
      <x:c r="B1265" s="8" t="n">
        <x:v>45355</x:v>
      </x:c>
      <x:c r="C1265" s="4" t="str">
        <x:v>PRJ-004</x:v>
      </x:c>
      <x:c r="D1265" s="4" t="str">
        <x:v>Office</x:v>
      </x:c>
      <x:c r="E1265" s="4" t="str">
        <x:v>Enquiry</x:v>
      </x:c>
      <x:c r="F1265" s="4" t="str">
        <x:v>CUS-01264</x:v>
      </x:c>
      <x:c r="G1265" s="4" t="str">
        <x:v>UNIT-01264</x:v>
      </x:c>
      <x:c r="H1265" s="9" t="n">
        <x:v>17400000</x:v>
      </x:c>
      <x:c r="I1265" s="10" t="n">
        <x:v>0.07</x:v>
      </x:c>
      <x:c r="J1265" s="11" t="n">
        <x:v>12</x:v>
      </x:c>
      <x:c r="K1265" s="11" t="n">
        <x:v>4</x:v>
      </x:c>
      <x:c r="L1265" s="11" t="n">
        <x:v>1</x:v>
      </x:c>
      <x:c r="M1265" s="9" t="n">
        <x:f>ROUND(H1265*(1-I1265),2)</x:f>
        <x:v>16182000</x:v>
      </x:c>
      <x:c r="N1265" s="4" t="str">
        <x:v>Sales manager</x:v>
      </x:c>
      <x:c r="O1265" s="4"/>
      <x:c r="P1265" s="9" t="n">
        <x:v>0</x:v>
      </x:c>
      <x:c r="Q1265" s="11" t="n">
        <x:v>1</x:v>
      </x:c>
      <x:c r="R1265" s="8" t="n">
        <x:v>45415</x:v>
      </x:c>
      <x:c r="S1265" s="4" t="str">
        <x:v>Lost / cancelled</x:v>
      </x:c>
      <x:c r="T1265" s="10" t="n">
        <x:v>0.351536</x:v>
      </x:c>
      <x:c r="U1265" s="4" t="str">
        <x:v>Train</x:v>
      </x:c>
    </x:row>
    <x:row r="1266" ht="34" customHeight="1">
      <x:c r="A1266" s="4" t="str">
        <x:v>RS-01265</x:v>
      </x:c>
      <x:c r="B1266" s="8" t="n">
        <x:v>45356</x:v>
      </x:c>
      <x:c r="C1266" s="4" t="str">
        <x:v>PRJ-005</x:v>
      </x:c>
      <x:c r="D1266" s="4" t="str">
        <x:v>Apartment</x:v>
      </x:c>
      <x:c r="E1266" s="4" t="str">
        <x:v>Handed over</x:v>
      </x:c>
      <x:c r="F1266" s="4" t="str">
        <x:v>CUS-01265</x:v>
      </x:c>
      <x:c r="G1266" s="4" t="str">
        <x:v>UNIT-01265</x:v>
      </x:c>
      <x:c r="H1266" s="9" t="n">
        <x:v>15400000</x:v>
      </x:c>
      <x:c r="I1266" s="10" t="n">
        <x:v>0.01</x:v>
      </x:c>
      <x:c r="J1266" s="11" t="n">
        <x:v>11</x:v>
      </x:c>
      <x:c r="K1266" s="11" t="n">
        <x:v>9</x:v>
      </x:c>
      <x:c r="L1266" s="11" t="n">
        <x:v>0</x:v>
      </x:c>
      <x:c r="M1266" s="9" t="n">
        <x:f>ROUND(H1266*(1-I1266),2)</x:f>
        <x:v>15246000</x:v>
      </x:c>
      <x:c r="N1266" s="4" t="str">
        <x:v>Sales manager</x:v>
      </x:c>
      <x:c r="O1266" s="4" t="str">
        <x:v>BOOK-01265</x:v>
      </x:c>
      <x:c r="P1266" s="9" t="n">
        <x:v>1524600</x:v>
      </x:c>
      <x:c r="Q1266" s="11" t="n">
        <x:v>0</x:v>
      </x:c>
      <x:c r="R1266" s="8" t="n">
        <x:v>45416</x:v>
      </x:c>
      <x:c r="S1266" s="4" t="str">
        <x:v>Retained</x:v>
      </x:c>
      <x:c r="T1266" s="10" t="n">
        <x:v>0.305556</x:v>
      </x:c>
      <x:c r="U1266" s="4" t="str">
        <x:v>Train</x:v>
      </x:c>
    </x:row>
    <x:row r="1267" ht="34" customHeight="1">
      <x:c r="A1267" s="4" t="str">
        <x:v>RS-01266</x:v>
      </x:c>
      <x:c r="B1267" s="8" t="n">
        <x:v>45357</x:v>
      </x:c>
      <x:c r="C1267" s="4" t="str">
        <x:v>PRJ-006</x:v>
      </x:c>
      <x:c r="D1267" s="4" t="str">
        <x:v>Office</x:v>
      </x:c>
      <x:c r="E1267" s="4" t="str">
        <x:v>Handed over</x:v>
      </x:c>
      <x:c r="F1267" s="4" t="str">
        <x:v>CUS-01266</x:v>
      </x:c>
      <x:c r="G1267" s="4" t="str">
        <x:v>UNIT-01266</x:v>
      </x:c>
      <x:c r="H1267" s="9" t="n">
        <x:v>12500000</x:v>
      </x:c>
      <x:c r="I1267" s="10" t="n">
        <x:v>0.02</x:v>
      </x:c>
      <x:c r="J1267" s="11" t="n">
        <x:v>5</x:v>
      </x:c>
      <x:c r="K1267" s="11" t="n">
        <x:v>0</x:v>
      </x:c>
      <x:c r="L1267" s="11" t="n">
        <x:v>0</x:v>
      </x:c>
      <x:c r="M1267" s="9" t="n">
        <x:f>ROUND(H1267*(1-I1267),2)</x:f>
        <x:v>12250000</x:v>
      </x:c>
      <x:c r="N1267" s="4" t="str">
        <x:v>Sales manager</x:v>
      </x:c>
      <x:c r="O1267" s="4" t="str">
        <x:v>BOOK-01266</x:v>
      </x:c>
      <x:c r="P1267" s="9" t="n">
        <x:v>6125000</x:v>
      </x:c>
      <x:c r="Q1267" s="11" t="n">
        <x:v>0</x:v>
      </x:c>
      <x:c r="R1267" s="8" t="n">
        <x:v>45417</x:v>
      </x:c>
      <x:c r="S1267" s="4" t="str">
        <x:v>Retained</x:v>
      </x:c>
      <x:c r="T1267" s="10" t="n">
        <x:v>0.298969</x:v>
      </x:c>
      <x:c r="U1267" s="4" t="str">
        <x:v>Train</x:v>
      </x:c>
    </x:row>
    <x:row r="1268" ht="34" customHeight="1">
      <x:c r="A1268" s="4" t="str">
        <x:v>RS-01267</x:v>
      </x:c>
      <x:c r="B1268" s="8" t="n">
        <x:v>45358</x:v>
      </x:c>
      <x:c r="C1268" s="4" t="str">
        <x:v>PRJ-007</x:v>
      </x:c>
      <x:c r="D1268" s="4" t="str">
        <x:v>Villa</x:v>
      </x:c>
      <x:c r="E1268" s="4" t="str">
        <x:v>Booked</x:v>
      </x:c>
      <x:c r="F1268" s="4" t="str">
        <x:v>CUS-01267</x:v>
      </x:c>
      <x:c r="G1268" s="4" t="str">
        <x:v>UNIT-01267</x:v>
      </x:c>
      <x:c r="H1268" s="9" t="n">
        <x:v>21900000</x:v>
      </x:c>
      <x:c r="I1268" s="10" t="n">
        <x:v>0.02</x:v>
      </x:c>
      <x:c r="J1268" s="11" t="n">
        <x:v>5</x:v>
      </x:c>
      <x:c r="K1268" s="11" t="n">
        <x:v>6</x:v>
      </x:c>
      <x:c r="L1268" s="11" t="n">
        <x:v>0</x:v>
      </x:c>
      <x:c r="M1268" s="9" t="n">
        <x:f>ROUND(H1268*(1-I1268),2)</x:f>
        <x:v>21462000</x:v>
      </x:c>
      <x:c r="N1268" s="4" t="str">
        <x:v>Sales manager</x:v>
      </x:c>
      <x:c r="O1268" s="4" t="str">
        <x:v>BOOK-01267</x:v>
      </x:c>
      <x:c r="P1268" s="9" t="n">
        <x:v>2146200</x:v>
      </x:c>
      <x:c r="Q1268" s="11" t="n">
        <x:v>0</x:v>
      </x:c>
      <x:c r="R1268" s="8" t="n">
        <x:v>45418</x:v>
      </x:c>
      <x:c r="S1268" s="4" t="str">
        <x:v>Retained</x:v>
      </x:c>
      <x:c r="T1268" s="10" t="n">
        <x:v>0.145299</x:v>
      </x:c>
      <x:c r="U1268" s="4" t="str">
        <x:v>Train</x:v>
      </x:c>
    </x:row>
    <x:row r="1269" ht="34" customHeight="1">
      <x:c r="A1269" s="4" t="str">
        <x:v>RS-01268</x:v>
      </x:c>
      <x:c r="B1269" s="8" t="n">
        <x:v>45359</x:v>
      </x:c>
      <x:c r="C1269" s="4" t="str">
        <x:v>PRJ-008</x:v>
      </x:c>
      <x:c r="D1269" s="4" t="str">
        <x:v>Villa</x:v>
      </x:c>
      <x:c r="E1269" s="4" t="str">
        <x:v>Enquiry</x:v>
      </x:c>
      <x:c r="F1269" s="4" t="str">
        <x:v>CUS-01268</x:v>
      </x:c>
      <x:c r="G1269" s="4" t="str">
        <x:v>UNIT-01268</x:v>
      </x:c>
      <x:c r="H1269" s="9" t="n">
        <x:v>7600000</x:v>
      </x:c>
      <x:c r="I1269" s="10" t="n">
        <x:v>0.06</x:v>
      </x:c>
      <x:c r="J1269" s="11" t="n">
        <x:v>5</x:v>
      </x:c>
      <x:c r="K1269" s="11" t="n">
        <x:v>6</x:v>
      </x:c>
      <x:c r="L1269" s="11" t="n">
        <x:v>0</x:v>
      </x:c>
      <x:c r="M1269" s="9" t="n">
        <x:f>ROUND(H1269*(1-I1269),2)</x:f>
        <x:v>7144000</x:v>
      </x:c>
      <x:c r="N1269" s="4" t="str">
        <x:v>Sales manager</x:v>
      </x:c>
      <x:c r="O1269" s="4"/>
      <x:c r="P1269" s="9" t="n">
        <x:v>0</x:v>
      </x:c>
      <x:c r="Q1269" s="11" t="n">
        <x:v>0</x:v>
      </x:c>
      <x:c r="R1269" s="8" t="n">
        <x:v>45419</x:v>
      </x:c>
      <x:c r="S1269" s="4" t="str">
        <x:v>Retained</x:v>
      </x:c>
      <x:c r="T1269" s="10" t="n">
        <x:v>0.226277</x:v>
      </x:c>
      <x:c r="U1269" s="4" t="str">
        <x:v>Train</x:v>
      </x:c>
    </x:row>
    <x:row r="1270" ht="34" customHeight="1">
      <x:c r="A1270" s="4" t="str">
        <x:v>RS-01269</x:v>
      </x:c>
      <x:c r="B1270" s="8" t="n">
        <x:v>45360</x:v>
      </x:c>
      <x:c r="C1270" s="4" t="str">
        <x:v>PRJ-009</x:v>
      </x:c>
      <x:c r="D1270" s="4" t="str">
        <x:v>Apartment</x:v>
      </x:c>
      <x:c r="E1270" s="4" t="str">
        <x:v>Agreement signed</x:v>
      </x:c>
      <x:c r="F1270" s="4" t="str">
        <x:v>CUS-01269</x:v>
      </x:c>
      <x:c r="G1270" s="4" t="str">
        <x:v>UNIT-01269</x:v>
      </x:c>
      <x:c r="H1270" s="9" t="n">
        <x:v>4800000</x:v>
      </x:c>
      <x:c r="I1270" s="10" t="n">
        <x:v>0.02</x:v>
      </x:c>
      <x:c r="J1270" s="11" t="n">
        <x:v>7</x:v>
      </x:c>
      <x:c r="K1270" s="11" t="n">
        <x:v>7</x:v>
      </x:c>
      <x:c r="L1270" s="11" t="n">
        <x:v>1</x:v>
      </x:c>
      <x:c r="M1270" s="9" t="n">
        <x:f>ROUND(H1270*(1-I1270),2)</x:f>
        <x:v>4704000</x:v>
      </x:c>
      <x:c r="N1270" s="4" t="str">
        <x:v>Sales manager</x:v>
      </x:c>
      <x:c r="O1270" s="4" t="str">
        <x:v>BOOK-01269</x:v>
      </x:c>
      <x:c r="P1270" s="9" t="n">
        <x:v>4704000</x:v>
      </x:c>
      <x:c r="Q1270" s="11" t="n">
        <x:v>0</x:v>
      </x:c>
      <x:c r="R1270" s="8" t="n">
        <x:v>45420</x:v>
      </x:c>
      <x:c r="S1270" s="4" t="str">
        <x:v>Retained</x:v>
      </x:c>
      <x:c r="T1270" s="10" t="n">
        <x:v>0.145299</x:v>
      </x:c>
      <x:c r="U1270" s="4" t="str">
        <x:v>Train</x:v>
      </x:c>
    </x:row>
    <x:row r="1271" ht="34" customHeight="1">
      <x:c r="A1271" s="4" t="str">
        <x:v>RS-01270</x:v>
      </x:c>
      <x:c r="B1271" s="8" t="n">
        <x:v>45361</x:v>
      </x:c>
      <x:c r="C1271" s="4" t="str">
        <x:v>PRJ-010</x:v>
      </x:c>
      <x:c r="D1271" s="4" t="str">
        <x:v>Villa</x:v>
      </x:c>
      <x:c r="E1271" s="4" t="str">
        <x:v>Reserved</x:v>
      </x:c>
      <x:c r="F1271" s="4" t="str">
        <x:v>CUS-01270</x:v>
      </x:c>
      <x:c r="G1271" s="4" t="str">
        <x:v>UNIT-01270</x:v>
      </x:c>
      <x:c r="H1271" s="9" t="n">
        <x:v>14400000</x:v>
      </x:c>
      <x:c r="I1271" s="10" t="n">
        <x:v>0</x:v>
      </x:c>
      <x:c r="J1271" s="11" t="n">
        <x:v>4</x:v>
      </x:c>
      <x:c r="K1271" s="11" t="n">
        <x:v>6</x:v>
      </x:c>
      <x:c r="L1271" s="11" t="n">
        <x:v>0</x:v>
      </x:c>
      <x:c r="M1271" s="9" t="n">
        <x:f>ROUND(H1271*(1-I1271),2)</x:f>
        <x:v>14400000</x:v>
      </x:c>
      <x:c r="N1271" s="4" t="str">
        <x:v>Sales manager</x:v>
      </x:c>
      <x:c r="O1271" s="4"/>
      <x:c r="P1271" s="9" t="n">
        <x:v>0</x:v>
      </x:c>
      <x:c r="Q1271" s="11" t="n">
        <x:v>0</x:v>
      </x:c>
      <x:c r="R1271" s="8" t="n">
        <x:v>45421</x:v>
      </x:c>
      <x:c r="S1271" s="4" t="str">
        <x:v>Retained</x:v>
      </x:c>
      <x:c r="T1271" s="10" t="n">
        <x:v>0.145299</x:v>
      </x:c>
      <x:c r="U1271" s="4" t="str">
        <x:v>Train</x:v>
      </x:c>
    </x:row>
    <x:row r="1272" ht="34" customHeight="1">
      <x:c r="A1272" s="4" t="str">
        <x:v>RS-01271</x:v>
      </x:c>
      <x:c r="B1272" s="8" t="n">
        <x:v>45362</x:v>
      </x:c>
      <x:c r="C1272" s="4" t="str">
        <x:v>PRJ-011</x:v>
      </x:c>
      <x:c r="D1272" s="4" t="str">
        <x:v>Retail</x:v>
      </x:c>
      <x:c r="E1272" s="4" t="str">
        <x:v>Reserved</x:v>
      </x:c>
      <x:c r="F1272" s="4" t="str">
        <x:v>CUS-01271</x:v>
      </x:c>
      <x:c r="G1272" s="4" t="str">
        <x:v>UNIT-01271</x:v>
      </x:c>
      <x:c r="H1272" s="9" t="n">
        <x:v>7100000</x:v>
      </x:c>
      <x:c r="I1272" s="10" t="n">
        <x:v>0.04</x:v>
      </x:c>
      <x:c r="J1272" s="11" t="n">
        <x:v>7</x:v>
      </x:c>
      <x:c r="K1272" s="11" t="n">
        <x:v>10</x:v>
      </x:c>
      <x:c r="L1272" s="11" t="n">
        <x:v>1</x:v>
      </x:c>
      <x:c r="M1272" s="9" t="n">
        <x:f>ROUND(H1272*(1-I1272),2)</x:f>
        <x:v>6816000</x:v>
      </x:c>
      <x:c r="N1272" s="4" t="str">
        <x:v>Sales manager</x:v>
      </x:c>
      <x:c r="O1272" s="4"/>
      <x:c r="P1272" s="9" t="n">
        <x:v>0</x:v>
      </x:c>
      <x:c r="Q1272" s="11" t="n">
        <x:v>0</x:v>
      </x:c>
      <x:c r="R1272" s="8" t="n">
        <x:v>45422</x:v>
      </x:c>
      <x:c r="S1272" s="4" t="str">
        <x:v>Retained</x:v>
      </x:c>
      <x:c r="T1272" s="10" t="n">
        <x:v>0.291946</x:v>
      </x:c>
      <x:c r="U1272" s="4" t="str">
        <x:v>Train</x:v>
      </x:c>
    </x:row>
    <x:row r="1273" ht="34" customHeight="1">
      <x:c r="A1273" s="4" t="str">
        <x:v>RS-01272</x:v>
      </x:c>
      <x:c r="B1273" s="8" t="n">
        <x:v>45363</x:v>
      </x:c>
      <x:c r="C1273" s="4" t="str">
        <x:v>PRJ-012</x:v>
      </x:c>
      <x:c r="D1273" s="4" t="str">
        <x:v>Office</x:v>
      </x:c>
      <x:c r="E1273" s="4" t="str">
        <x:v>Booked</x:v>
      </x:c>
      <x:c r="F1273" s="4" t="str">
        <x:v>CUS-01272</x:v>
      </x:c>
      <x:c r="G1273" s="4" t="str">
        <x:v>UNIT-01272</x:v>
      </x:c>
      <x:c r="H1273" s="9" t="n">
        <x:v>21900000</x:v>
      </x:c>
      <x:c r="I1273" s="10" t="n">
        <x:v>0.02</x:v>
      </x:c>
      <x:c r="J1273" s="11" t="n">
        <x:v>12</x:v>
      </x:c>
      <x:c r="K1273" s="11" t="n">
        <x:v>5</x:v>
      </x:c>
      <x:c r="L1273" s="11" t="n">
        <x:v>1</x:v>
      </x:c>
      <x:c r="M1273" s="9" t="n">
        <x:f>ROUND(H1273*(1-I1273),2)</x:f>
        <x:v>21462000</x:v>
      </x:c>
      <x:c r="N1273" s="4" t="str">
        <x:v>Sales manager</x:v>
      </x:c>
      <x:c r="O1273" s="4" t="str">
        <x:v>BOOK-01272</x:v>
      </x:c>
      <x:c r="P1273" s="9" t="n">
        <x:v>21462000</x:v>
      </x:c>
      <x:c r="Q1273" s="11" t="n">
        <x:v>0</x:v>
      </x:c>
      <x:c r="R1273" s="8" t="n">
        <x:v>45423</x:v>
      </x:c>
      <x:c r="S1273" s="4" t="str">
        <x:v>Retained</x:v>
      </x:c>
      <x:c r="T1273" s="10" t="n">
        <x:v>0.254545</x:v>
      </x:c>
      <x:c r="U1273" s="4" t="str">
        <x:v>Train</x:v>
      </x:c>
    </x:row>
    <x:row r="1274" ht="34" customHeight="1">
      <x:c r="A1274" s="4" t="str">
        <x:v>RS-01273</x:v>
      </x:c>
      <x:c r="B1274" s="8" t="n">
        <x:v>45364</x:v>
      </x:c>
      <x:c r="C1274" s="4" t="str">
        <x:v>PRJ-013</x:v>
      </x:c>
      <x:c r="D1274" s="4" t="str">
        <x:v>Villa</x:v>
      </x:c>
      <x:c r="E1274" s="4" t="str">
        <x:v>Cancelled</x:v>
      </x:c>
      <x:c r="F1274" s="4" t="str">
        <x:v>CUS-01273</x:v>
      </x:c>
      <x:c r="G1274" s="4" t="str">
        <x:v>UNIT-01273</x:v>
      </x:c>
      <x:c r="H1274" s="9" t="n">
        <x:v>9200000</x:v>
      </x:c>
      <x:c r="I1274" s="10" t="n">
        <x:v>0.09</x:v>
      </x:c>
      <x:c r="J1274" s="11" t="n">
        <x:v>8</x:v>
      </x:c>
      <x:c r="K1274" s="11" t="n">
        <x:v>1</x:v>
      </x:c>
      <x:c r="L1274" s="11" t="n">
        <x:v>1</x:v>
      </x:c>
      <x:c r="M1274" s="9" t="n">
        <x:f>ROUND(H1274*(1-I1274),2)</x:f>
        <x:v>8372000</x:v>
      </x:c>
      <x:c r="N1274" s="4" t="str">
        <x:v>Sales head</x:v>
      </x:c>
      <x:c r="O1274" s="4"/>
      <x:c r="P1274" s="9" t="n">
        <x:v>0</x:v>
      </x:c>
      <x:c r="Q1274" s="11" t="n">
        <x:v>1</x:v>
      </x:c>
      <x:c r="R1274" s="8" t="n">
        <x:v>45424</x:v>
      </x:c>
      <x:c r="S1274" s="4" t="str">
        <x:v>Lost / cancelled</x:v>
      </x:c>
      <x:c r="T1274" s="10" t="n">
        <x:v>0.310195</x:v>
      </x:c>
      <x:c r="U1274" s="4" t="str">
        <x:v>Train</x:v>
      </x:c>
    </x:row>
    <x:row r="1275" ht="34" customHeight="1">
      <x:c r="A1275" s="4" t="str">
        <x:v>RS-01274</x:v>
      </x:c>
      <x:c r="B1275" s="8" t="n">
        <x:v>45365</x:v>
      </x:c>
      <x:c r="C1275" s="4" t="str">
        <x:v>PRJ-014</x:v>
      </x:c>
      <x:c r="D1275" s="4" t="str">
        <x:v>Retail</x:v>
      </x:c>
      <x:c r="E1275" s="4" t="str">
        <x:v>Reserved</x:v>
      </x:c>
      <x:c r="F1275" s="4" t="str">
        <x:v>CUS-01274</x:v>
      </x:c>
      <x:c r="G1275" s="4" t="str">
        <x:v>UNIT-01274</x:v>
      </x:c>
      <x:c r="H1275" s="9" t="n">
        <x:v>4500000</x:v>
      </x:c>
      <x:c r="I1275" s="10" t="n">
        <x:v>0.08</x:v>
      </x:c>
      <x:c r="J1275" s="11" t="n">
        <x:v>1</x:v>
      </x:c>
      <x:c r="K1275" s="11" t="n">
        <x:v>9</x:v>
      </x:c>
      <x:c r="L1275" s="11" t="n">
        <x:v>1</x:v>
      </x:c>
      <x:c r="M1275" s="9" t="n">
        <x:f>ROUND(H1275*(1-I1275),2)</x:f>
        <x:v>4140000</x:v>
      </x:c>
      <x:c r="N1275" s="4" t="str">
        <x:v>Sales head</x:v>
      </x:c>
      <x:c r="O1275" s="4"/>
      <x:c r="P1275" s="9" t="n">
        <x:v>0</x:v>
      </x:c>
      <x:c r="Q1275" s="11" t="n">
        <x:v>0</x:v>
      </x:c>
      <x:c r="R1275" s="8" t="n">
        <x:v>45425</x:v>
      </x:c>
      <x:c r="S1275" s="4" t="str">
        <x:v>Retained</x:v>
      </x:c>
      <x:c r="T1275" s="10" t="n">
        <x:v>0.204152</x:v>
      </x:c>
      <x:c r="U1275" s="4" t="str">
        <x:v>Train</x:v>
      </x:c>
    </x:row>
    <x:row r="1276" ht="34" customHeight="1">
      <x:c r="A1276" s="4" t="str">
        <x:v>RS-01275</x:v>
      </x:c>
      <x:c r="B1276" s="8" t="n">
        <x:v>45366</x:v>
      </x:c>
      <x:c r="C1276" s="4" t="str">
        <x:v>PRJ-015</x:v>
      </x:c>
      <x:c r="D1276" s="4" t="str">
        <x:v>Office</x:v>
      </x:c>
      <x:c r="E1276" s="4" t="str">
        <x:v>Booked</x:v>
      </x:c>
      <x:c r="F1276" s="4" t="str">
        <x:v>CUS-01275</x:v>
      </x:c>
      <x:c r="G1276" s="4" t="str">
        <x:v>UNIT-01275</x:v>
      </x:c>
      <x:c r="H1276" s="9" t="n">
        <x:v>21100000</x:v>
      </x:c>
      <x:c r="I1276" s="10" t="n">
        <x:v>0.08</x:v>
      </x:c>
      <x:c r="J1276" s="11" t="n">
        <x:v>9</x:v>
      </x:c>
      <x:c r="K1276" s="11" t="n">
        <x:v>3</x:v>
      </x:c>
      <x:c r="L1276" s="11" t="n">
        <x:v>1</x:v>
      </x:c>
      <x:c r="M1276" s="9" t="n">
        <x:f>ROUND(H1276*(1-I1276),2)</x:f>
        <x:v>19412000</x:v>
      </x:c>
      <x:c r="N1276" s="4" t="str">
        <x:v>Sales head</x:v>
      </x:c>
      <x:c r="O1276" s="4" t="str">
        <x:v>BOOK-01275</x:v>
      </x:c>
      <x:c r="P1276" s="9" t="n">
        <x:v>9706000</x:v>
      </x:c>
      <x:c r="Q1276" s="11" t="n">
        <x:v>0</x:v>
      </x:c>
      <x:c r="R1276" s="8" t="n">
        <x:v>45426</x:v>
      </x:c>
      <x:c r="S1276" s="4" t="str">
        <x:v>Retained</x:v>
      </x:c>
      <x:c r="T1276" s="10" t="n">
        <x:v>0.310195</x:v>
      </x:c>
      <x:c r="U1276" s="4" t="str">
        <x:v>Train</x:v>
      </x:c>
    </x:row>
    <x:row r="1277" ht="34" customHeight="1">
      <x:c r="A1277" s="4" t="str">
        <x:v>RS-01276</x:v>
      </x:c>
      <x:c r="B1277" s="8" t="n">
        <x:v>45367</x:v>
      </x:c>
      <x:c r="C1277" s="4" t="str">
        <x:v>PRJ-016</x:v>
      </x:c>
      <x:c r="D1277" s="4" t="str">
        <x:v>Apartment</x:v>
      </x:c>
      <x:c r="E1277" s="4" t="str">
        <x:v>Booked</x:v>
      </x:c>
      <x:c r="F1277" s="4" t="str">
        <x:v>CUS-01276</x:v>
      </x:c>
      <x:c r="G1277" s="4" t="str">
        <x:v>UNIT-01276</x:v>
      </x:c>
      <x:c r="H1277" s="9" t="n">
        <x:v>10100000</x:v>
      </x:c>
      <x:c r="I1277" s="10" t="n">
        <x:v>0.04</x:v>
      </x:c>
      <x:c r="J1277" s="11" t="n">
        <x:v>6</x:v>
      </x:c>
      <x:c r="K1277" s="11" t="n">
        <x:v>5</x:v>
      </x:c>
      <x:c r="L1277" s="11" t="n">
        <x:v>0</x:v>
      </x:c>
      <x:c r="M1277" s="9" t="n">
        <x:f>ROUND(H1277*(1-I1277),2)</x:f>
        <x:v>9696000</x:v>
      </x:c>
      <x:c r="N1277" s="4" t="str">
        <x:v>Sales manager</x:v>
      </x:c>
      <x:c r="O1277" s="4" t="str">
        <x:v>BOOK-01276</x:v>
      </x:c>
      <x:c r="P1277" s="9" t="n">
        <x:v>9696000</x:v>
      </x:c>
      <x:c r="Q1277" s="11" t="n">
        <x:v>0</x:v>
      </x:c>
      <x:c r="R1277" s="8" t="n">
        <x:v>45427</x:v>
      </x:c>
      <x:c r="S1277" s="4" t="str">
        <x:v>Retained</x:v>
      </x:c>
      <x:c r="T1277" s="10" t="n">
        <x:v>0.226277</x:v>
      </x:c>
      <x:c r="U1277" s="4" t="str">
        <x:v>Train</x:v>
      </x:c>
    </x:row>
    <x:row r="1278" ht="34" customHeight="1">
      <x:c r="A1278" s="4" t="str">
        <x:v>RS-01277</x:v>
      </x:c>
      <x:c r="B1278" s="8" t="n">
        <x:v>45368</x:v>
      </x:c>
      <x:c r="C1278" s="4" t="str">
        <x:v>PRJ-017</x:v>
      </x:c>
      <x:c r="D1278" s="4" t="str">
        <x:v>Retail</x:v>
      </x:c>
      <x:c r="E1278" s="4" t="str">
        <x:v>Cancelled</x:v>
      </x:c>
      <x:c r="F1278" s="4" t="str">
        <x:v>CUS-01277</x:v>
      </x:c>
      <x:c r="G1278" s="4" t="str">
        <x:v>UNIT-01277</x:v>
      </x:c>
      <x:c r="H1278" s="9" t="n">
        <x:v>3300000</x:v>
      </x:c>
      <x:c r="I1278" s="10" t="n">
        <x:v>0.05</x:v>
      </x:c>
      <x:c r="J1278" s="11" t="n">
        <x:v>3</x:v>
      </x:c>
      <x:c r="K1278" s="11" t="n">
        <x:v>0</x:v>
      </x:c>
      <x:c r="L1278" s="11" t="n">
        <x:v>1</x:v>
      </x:c>
      <x:c r="M1278" s="9" t="n">
        <x:f>ROUND(H1278*(1-I1278),2)</x:f>
        <x:v>3135000</x:v>
      </x:c>
      <x:c r="N1278" s="4" t="str">
        <x:v>Sales manager</x:v>
      </x:c>
      <x:c r="O1278" s="4"/>
      <x:c r="P1278" s="9" t="n">
        <x:v>0</x:v>
      </x:c>
      <x:c r="Q1278" s="11" t="n">
        <x:v>1</x:v>
      </x:c>
      <x:c r="R1278" s="8" t="n">
        <x:v>45428</x:v>
      </x:c>
      <x:c r="S1278" s="4" t="str">
        <x:v>Lost / cancelled</x:v>
      </x:c>
      <x:c r="T1278" s="10" t="n">
        <x:v>0.276923</x:v>
      </x:c>
      <x:c r="U1278" s="4" t="str">
        <x:v>Train</x:v>
      </x:c>
    </x:row>
    <x:row r="1279" ht="34" customHeight="1">
      <x:c r="A1279" s="4" t="str">
        <x:v>RS-01278</x:v>
      </x:c>
      <x:c r="B1279" s="8" t="n">
        <x:v>45369</x:v>
      </x:c>
      <x:c r="C1279" s="4" t="str">
        <x:v>PRJ-018</x:v>
      </x:c>
      <x:c r="D1279" s="4" t="str">
        <x:v>Villa</x:v>
      </x:c>
      <x:c r="E1279" s="4" t="str">
        <x:v>Enquiry</x:v>
      </x:c>
      <x:c r="F1279" s="4" t="str">
        <x:v>CUS-01278</x:v>
      </x:c>
      <x:c r="G1279" s="4" t="str">
        <x:v>UNIT-01278</x:v>
      </x:c>
      <x:c r="H1279" s="9" t="n">
        <x:v>13900000</x:v>
      </x:c>
      <x:c r="I1279" s="10" t="n">
        <x:v>0.01</x:v>
      </x:c>
      <x:c r="J1279" s="11" t="n">
        <x:v>6</x:v>
      </x:c>
      <x:c r="K1279" s="11" t="n">
        <x:v>7</x:v>
      </x:c>
      <x:c r="L1279" s="11" t="n">
        <x:v>1</x:v>
      </x:c>
      <x:c r="M1279" s="9" t="n">
        <x:f>ROUND(H1279*(1-I1279),2)</x:f>
        <x:v>13761000</x:v>
      </x:c>
      <x:c r="N1279" s="4" t="str">
        <x:v>Sales manager</x:v>
      </x:c>
      <x:c r="O1279" s="4"/>
      <x:c r="P1279" s="9" t="n">
        <x:v>0</x:v>
      </x:c>
      <x:c r="Q1279" s="11" t="n">
        <x:v>0</x:v>
      </x:c>
      <x:c r="R1279" s="8" t="n">
        <x:v>45429</x:v>
      </x:c>
      <x:c r="S1279" s="4" t="str">
        <x:v>Retained</x:v>
      </x:c>
      <x:c r="T1279" s="10" t="n">
        <x:v>0.145299</x:v>
      </x:c>
      <x:c r="U1279" s="4" t="str">
        <x:v>Train</x:v>
      </x:c>
    </x:row>
    <x:row r="1280" ht="34" customHeight="1">
      <x:c r="A1280" s="4" t="str">
        <x:v>RS-01279</x:v>
      </x:c>
      <x:c r="B1280" s="8" t="n">
        <x:v>45370</x:v>
      </x:c>
      <x:c r="C1280" s="4" t="str">
        <x:v>PRJ-019</x:v>
      </x:c>
      <x:c r="D1280" s="4" t="str">
        <x:v>Office</x:v>
      </x:c>
      <x:c r="E1280" s="4" t="str">
        <x:v>Cancelled</x:v>
      </x:c>
      <x:c r="F1280" s="4" t="str">
        <x:v>CUS-01279</x:v>
      </x:c>
      <x:c r="G1280" s="4" t="str">
        <x:v>UNIT-01279</x:v>
      </x:c>
      <x:c r="H1280" s="9" t="n">
        <x:v>10100000</x:v>
      </x:c>
      <x:c r="I1280" s="10" t="n">
        <x:v>0</x:v>
      </x:c>
      <x:c r="J1280" s="11" t="n">
        <x:v>11</x:v>
      </x:c>
      <x:c r="K1280" s="11" t="n">
        <x:v>6</x:v>
      </x:c>
      <x:c r="L1280" s="11" t="n">
        <x:v>0</x:v>
      </x:c>
      <x:c r="M1280" s="9" t="n">
        <x:f>ROUND(H1280*(1-I1280),2)</x:f>
        <x:v>10100000</x:v>
      </x:c>
      <x:c r="N1280" s="4" t="str">
        <x:v>Sales manager</x:v>
      </x:c>
      <x:c r="O1280" s="4"/>
      <x:c r="P1280" s="9" t="n">
        <x:v>0</x:v>
      </x:c>
      <x:c r="Q1280" s="11" t="n">
        <x:v>1</x:v>
      </x:c>
      <x:c r="R1280" s="8" t="n">
        <x:v>45430</x:v>
      </x:c>
      <x:c r="S1280" s="4" t="str">
        <x:v>Lost / cancelled</x:v>
      </x:c>
      <x:c r="T1280" s="10" t="n">
        <x:v>0.305556</x:v>
      </x:c>
      <x:c r="U1280" s="4" t="str">
        <x:v>Train</x:v>
      </x:c>
    </x:row>
    <x:row r="1281" ht="34" customHeight="1">
      <x:c r="A1281" s="4" t="str">
        <x:v>RS-01280</x:v>
      </x:c>
      <x:c r="B1281" s="8" t="n">
        <x:v>45371</x:v>
      </x:c>
      <x:c r="C1281" s="4" t="str">
        <x:v>PRJ-020</x:v>
      </x:c>
      <x:c r="D1281" s="4" t="str">
        <x:v>Villa</x:v>
      </x:c>
      <x:c r="E1281" s="4" t="str">
        <x:v>Agreement signed</x:v>
      </x:c>
      <x:c r="F1281" s="4" t="str">
        <x:v>CUS-01280</x:v>
      </x:c>
      <x:c r="G1281" s="4" t="str">
        <x:v>UNIT-01280</x:v>
      </x:c>
      <x:c r="H1281" s="9" t="n">
        <x:v>6800000</x:v>
      </x:c>
      <x:c r="I1281" s="10" t="n">
        <x:v>0.09</x:v>
      </x:c>
      <x:c r="J1281" s="11" t="n">
        <x:v>0</x:v>
      </x:c>
      <x:c r="K1281" s="11" t="n">
        <x:v>1</x:v>
      </x:c>
      <x:c r="L1281" s="11" t="n">
        <x:v>0</x:v>
      </x:c>
      <x:c r="M1281" s="9" t="n">
        <x:f>ROUND(H1281*(1-I1281),2)</x:f>
        <x:v>6188000</x:v>
      </x:c>
      <x:c r="N1281" s="4" t="str">
        <x:v>Sales head</x:v>
      </x:c>
      <x:c r="O1281" s="4" t="str">
        <x:v>BOOK-01280</x:v>
      </x:c>
      <x:c r="P1281" s="9" t="n">
        <x:v>3094000</x:v>
      </x:c>
      <x:c r="Q1281" s="11" t="n">
        <x:v>0</x:v>
      </x:c>
      <x:c r="R1281" s="8" t="n">
        <x:v>45431</x:v>
      </x:c>
      <x:c r="S1281" s="4" t="str">
        <x:v>Retained</x:v>
      </x:c>
      <x:c r="T1281" s="10" t="n">
        <x:v>0.145833</x:v>
      </x:c>
      <x:c r="U1281" s="4" t="str">
        <x:v>Train</x:v>
      </x:c>
    </x:row>
    <x:row r="1282" ht="34" customHeight="1">
      <x:c r="A1282" s="4" t="str">
        <x:v>RS-01281</x:v>
      </x:c>
      <x:c r="B1282" s="8" t="n">
        <x:v>45372</x:v>
      </x:c>
      <x:c r="C1282" s="4" t="str">
        <x:v>PRJ-001</x:v>
      </x:c>
      <x:c r="D1282" s="4" t="str">
        <x:v>Office</x:v>
      </x:c>
      <x:c r="E1282" s="4" t="str">
        <x:v>Cancelled</x:v>
      </x:c>
      <x:c r="F1282" s="4" t="str">
        <x:v>CUS-01281</x:v>
      </x:c>
      <x:c r="G1282" s="4" t="str">
        <x:v>UNIT-01281</x:v>
      </x:c>
      <x:c r="H1282" s="9" t="n">
        <x:v>22400000</x:v>
      </x:c>
      <x:c r="I1282" s="10" t="n">
        <x:v>0.08</x:v>
      </x:c>
      <x:c r="J1282" s="11" t="n">
        <x:v>10</x:v>
      </x:c>
      <x:c r="K1282" s="11" t="n">
        <x:v>4</x:v>
      </x:c>
      <x:c r="L1282" s="11" t="n">
        <x:v>0</x:v>
      </x:c>
      <x:c r="M1282" s="9" t="n">
        <x:f>ROUND(H1282*(1-I1282),2)</x:f>
        <x:v>20608000</x:v>
      </x:c>
      <x:c r="N1282" s="4" t="str">
        <x:v>Sales head</x:v>
      </x:c>
      <x:c r="O1282" s="4"/>
      <x:c r="P1282" s="9" t="n">
        <x:v>0</x:v>
      </x:c>
      <x:c r="Q1282" s="11" t="n">
        <x:v>1</x:v>
      </x:c>
      <x:c r="R1282" s="8" t="n">
        <x:v>45432</x:v>
      </x:c>
      <x:c r="S1282" s="4" t="str">
        <x:v>Lost / cancelled</x:v>
      </x:c>
      <x:c r="T1282" s="10" t="n">
        <x:v>0.310195</x:v>
      </x:c>
      <x:c r="U1282" s="4" t="str">
        <x:v>Train</x:v>
      </x:c>
    </x:row>
    <x:row r="1283" ht="34" customHeight="1">
      <x:c r="A1283" s="4" t="str">
        <x:v>RS-01282</x:v>
      </x:c>
      <x:c r="B1283" s="8" t="n">
        <x:v>45373</x:v>
      </x:c>
      <x:c r="C1283" s="4" t="str">
        <x:v>PRJ-002</x:v>
      </x:c>
      <x:c r="D1283" s="4" t="str">
        <x:v>Office</x:v>
      </x:c>
      <x:c r="E1283" s="4" t="str">
        <x:v>Cancelled</x:v>
      </x:c>
      <x:c r="F1283" s="4" t="str">
        <x:v>CUS-01282</x:v>
      </x:c>
      <x:c r="G1283" s="4" t="str">
        <x:v>UNIT-01282</x:v>
      </x:c>
      <x:c r="H1283" s="9" t="n">
        <x:v>11900000</x:v>
      </x:c>
      <x:c r="I1283" s="10" t="n">
        <x:v>0</x:v>
      </x:c>
      <x:c r="J1283" s="11" t="n">
        <x:v>4</x:v>
      </x:c>
      <x:c r="K1283" s="11" t="n">
        <x:v>3</x:v>
      </x:c>
      <x:c r="L1283" s="11" t="n">
        <x:v>1</x:v>
      </x:c>
      <x:c r="M1283" s="9" t="n">
        <x:f>ROUND(H1283*(1-I1283),2)</x:f>
        <x:v>11900000</x:v>
      </x:c>
      <x:c r="N1283" s="4" t="str">
        <x:v>Sales manager</x:v>
      </x:c>
      <x:c r="O1283" s="4"/>
      <x:c r="P1283" s="9" t="n">
        <x:v>0</x:v>
      </x:c>
      <x:c r="Q1283" s="11" t="n">
        <x:v>1</x:v>
      </x:c>
      <x:c r="R1283" s="8" t="n">
        <x:v>45433</x:v>
      </x:c>
      <x:c r="S1283" s="4" t="str">
        <x:v>Lost / cancelled</x:v>
      </x:c>
      <x:c r="T1283" s="10" t="n">
        <x:v>0.298969</x:v>
      </x:c>
      <x:c r="U1283" s="4" t="str">
        <x:v>Train</x:v>
      </x:c>
    </x:row>
    <x:row r="1284" ht="34" customHeight="1">
      <x:c r="A1284" s="4" t="str">
        <x:v>RS-01283</x:v>
      </x:c>
      <x:c r="B1284" s="8" t="n">
        <x:v>45374</x:v>
      </x:c>
      <x:c r="C1284" s="4" t="str">
        <x:v>PRJ-003</x:v>
      </x:c>
      <x:c r="D1284" s="4" t="str">
        <x:v>Villa</x:v>
      </x:c>
      <x:c r="E1284" s="4" t="str">
        <x:v>Agreement signed</x:v>
      </x:c>
      <x:c r="F1284" s="4" t="str">
        <x:v>CUS-01283</x:v>
      </x:c>
      <x:c r="G1284" s="4" t="str">
        <x:v>UNIT-01283</x:v>
      </x:c>
      <x:c r="H1284" s="9" t="n">
        <x:v>19700000</x:v>
      </x:c>
      <x:c r="I1284" s="10" t="n">
        <x:v>0.05</x:v>
      </x:c>
      <x:c r="J1284" s="11" t="n">
        <x:v>10</x:v>
      </x:c>
      <x:c r="K1284" s="11" t="n">
        <x:v>2</x:v>
      </x:c>
      <x:c r="L1284" s="11" t="n">
        <x:v>0</x:v>
      </x:c>
      <x:c r="M1284" s="9" t="n">
        <x:f>ROUND(H1284*(1-I1284),2)</x:f>
        <x:v>18715000</x:v>
      </x:c>
      <x:c r="N1284" s="4" t="str">
        <x:v>Sales manager</x:v>
      </x:c>
      <x:c r="O1284" s="4" t="str">
        <x:v>BOOK-01283</x:v>
      </x:c>
      <x:c r="P1284" s="9" t="n">
        <x:v>1871500</x:v>
      </x:c>
      <x:c r="Q1284" s="11" t="n">
        <x:v>0</x:v>
      </x:c>
      <x:c r="R1284" s="8" t="n">
        <x:v>45434</x:v>
      </x:c>
      <x:c r="S1284" s="4" t="str">
        <x:v>Retained</x:v>
      </x:c>
      <x:c r="T1284" s="10" t="n">
        <x:v>0.310195</x:v>
      </x:c>
      <x:c r="U1284" s="4" t="str">
        <x:v>Train</x:v>
      </x:c>
    </x:row>
    <x:row r="1285" ht="34" customHeight="1">
      <x:c r="A1285" s="4" t="str">
        <x:v>RS-01284</x:v>
      </x:c>
      <x:c r="B1285" s="8" t="n">
        <x:v>45375</x:v>
      </x:c>
      <x:c r="C1285" s="4" t="str">
        <x:v>PRJ-004</x:v>
      </x:c>
      <x:c r="D1285" s="4" t="str">
        <x:v>Retail</x:v>
      </x:c>
      <x:c r="E1285" s="4" t="str">
        <x:v>Enquiry</x:v>
      </x:c>
      <x:c r="F1285" s="4" t="str">
        <x:v>CUS-01284</x:v>
      </x:c>
      <x:c r="G1285" s="4" t="str">
        <x:v>UNIT-01284</x:v>
      </x:c>
      <x:c r="H1285" s="9" t="n">
        <x:v>20200000</x:v>
      </x:c>
      <x:c r="I1285" s="10" t="n">
        <x:v>0.02</x:v>
      </x:c>
      <x:c r="J1285" s="11" t="n">
        <x:v>4</x:v>
      </x:c>
      <x:c r="K1285" s="11" t="n">
        <x:v>3</x:v>
      </x:c>
      <x:c r="L1285" s="11" t="n">
        <x:v>0</x:v>
      </x:c>
      <x:c r="M1285" s="9" t="n">
        <x:f>ROUND(H1285*(1-I1285),2)</x:f>
        <x:v>19796000</x:v>
      </x:c>
      <x:c r="N1285" s="4" t="str">
        <x:v>Sales manager</x:v>
      </x:c>
      <x:c r="O1285" s="4"/>
      <x:c r="P1285" s="9" t="n">
        <x:v>0</x:v>
      </x:c>
      <x:c r="Q1285" s="11" t="n">
        <x:v>0</x:v>
      </x:c>
      <x:c r="R1285" s="8" t="n">
        <x:v>45435</x:v>
      </x:c>
      <x:c r="S1285" s="4" t="str">
        <x:v>Retained</x:v>
      </x:c>
      <x:c r="T1285" s="10" t="n">
        <x:v>0.298969</x:v>
      </x:c>
      <x:c r="U1285" s="4" t="str">
        <x:v>Train</x:v>
      </x:c>
    </x:row>
    <x:row r="1286" ht="34" customHeight="1">
      <x:c r="A1286" s="4" t="str">
        <x:v>RS-01285</x:v>
      </x:c>
      <x:c r="B1286" s="8" t="n">
        <x:v>45376</x:v>
      </x:c>
      <x:c r="C1286" s="4" t="str">
        <x:v>PRJ-005</x:v>
      </x:c>
      <x:c r="D1286" s="4" t="str">
        <x:v>Apartment</x:v>
      </x:c>
      <x:c r="E1286" s="4" t="str">
        <x:v>Agreement signed</x:v>
      </x:c>
      <x:c r="F1286" s="4" t="str">
        <x:v>CUS-01285</x:v>
      </x:c>
      <x:c r="G1286" s="4" t="str">
        <x:v>UNIT-01285</x:v>
      </x:c>
      <x:c r="H1286" s="9" t="n">
        <x:v>21000000</x:v>
      </x:c>
      <x:c r="I1286" s="10" t="n">
        <x:v>0.05</x:v>
      </x:c>
      <x:c r="J1286" s="11" t="n">
        <x:v>7</x:v>
      </x:c>
      <x:c r="K1286" s="11" t="n">
        <x:v>10</x:v>
      </x:c>
      <x:c r="L1286" s="11" t="n">
        <x:v>1</x:v>
      </x:c>
      <x:c r="M1286" s="9" t="n">
        <x:f>ROUND(H1286*(1-I1286),2)</x:f>
        <x:v>19950000</x:v>
      </x:c>
      <x:c r="N1286" s="4" t="str">
        <x:v>Sales manager</x:v>
      </x:c>
      <x:c r="O1286" s="4" t="str">
        <x:v>BOOK-01285</x:v>
      </x:c>
      <x:c r="P1286" s="9" t="n">
        <x:v>9975000</x:v>
      </x:c>
      <x:c r="Q1286" s="11" t="n">
        <x:v>0</x:v>
      </x:c>
      <x:c r="R1286" s="8" t="n">
        <x:v>45436</x:v>
      </x:c>
      <x:c r="S1286" s="4" t="str">
        <x:v>Retained</x:v>
      </x:c>
      <x:c r="T1286" s="10" t="n">
        <x:v>0.291946</x:v>
      </x:c>
      <x:c r="U1286" s="4" t="str">
        <x:v>Train</x:v>
      </x:c>
    </x:row>
    <x:row r="1287" ht="34" customHeight="1">
      <x:c r="A1287" s="4" t="str">
        <x:v>RS-01286</x:v>
      </x:c>
      <x:c r="B1287" s="8" t="n">
        <x:v>45377</x:v>
      </x:c>
      <x:c r="C1287" s="4" t="str">
        <x:v>PRJ-006</x:v>
      </x:c>
      <x:c r="D1287" s="4" t="str">
        <x:v>Retail</x:v>
      </x:c>
      <x:c r="E1287" s="4" t="str">
        <x:v>Handed over</x:v>
      </x:c>
      <x:c r="F1287" s="4" t="str">
        <x:v>CUS-01286</x:v>
      </x:c>
      <x:c r="G1287" s="4" t="str">
        <x:v>UNIT-01286</x:v>
      </x:c>
      <x:c r="H1287" s="9" t="n">
        <x:v>3000000</x:v>
      </x:c>
      <x:c r="I1287" s="10" t="n">
        <x:v>0.11</x:v>
      </x:c>
      <x:c r="J1287" s="11" t="n">
        <x:v>7</x:v>
      </x:c>
      <x:c r="K1287" s="11" t="n">
        <x:v>1</x:v>
      </x:c>
      <x:c r="L1287" s="11" t="n">
        <x:v>1</x:v>
      </x:c>
      <x:c r="M1287" s="9" t="n">
        <x:f>ROUND(H1287*(1-I1287),2)</x:f>
        <x:v>2670000</x:v>
      </x:c>
      <x:c r="N1287" s="4" t="str">
        <x:v>Sales head</x:v>
      </x:c>
      <x:c r="O1287" s="4" t="str">
        <x:v>BOOK-01286</x:v>
      </x:c>
      <x:c r="P1287" s="9" t="n">
        <x:v>1335000</x:v>
      </x:c>
      <x:c r="Q1287" s="11" t="n">
        <x:v>0</x:v>
      </x:c>
      <x:c r="R1287" s="8" t="n">
        <x:v>45437</x:v>
      </x:c>
      <x:c r="S1287" s="4" t="str">
        <x:v>Retained</x:v>
      </x:c>
      <x:c r="T1287" s="10" t="n">
        <x:v>0.291946</x:v>
      </x:c>
      <x:c r="U1287" s="4" t="str">
        <x:v>Train</x:v>
      </x:c>
    </x:row>
    <x:row r="1288" ht="34" customHeight="1">
      <x:c r="A1288" s="4" t="str">
        <x:v>RS-01287</x:v>
      </x:c>
      <x:c r="B1288" s="8" t="n">
        <x:v>45378</x:v>
      </x:c>
      <x:c r="C1288" s="4" t="str">
        <x:v>PRJ-007</x:v>
      </x:c>
      <x:c r="D1288" s="4" t="str">
        <x:v>Villa</x:v>
      </x:c>
      <x:c r="E1288" s="4" t="str">
        <x:v>Handed over</x:v>
      </x:c>
      <x:c r="F1288" s="4" t="str">
        <x:v>CUS-01287</x:v>
      </x:c>
      <x:c r="G1288" s="4" t="str">
        <x:v>UNIT-01287</x:v>
      </x:c>
      <x:c r="H1288" s="9" t="n">
        <x:v>16200000</x:v>
      </x:c>
      <x:c r="I1288" s="10" t="n">
        <x:v>0.1</x:v>
      </x:c>
      <x:c r="J1288" s="11" t="n">
        <x:v>10</x:v>
      </x:c>
      <x:c r="K1288" s="11" t="n">
        <x:v>0</x:v>
      </x:c>
      <x:c r="L1288" s="11" t="n">
        <x:v>0</x:v>
      </x:c>
      <x:c r="M1288" s="9" t="n">
        <x:f>ROUND(H1288*(1-I1288),2)</x:f>
        <x:v>14580000</x:v>
      </x:c>
      <x:c r="N1288" s="4" t="str">
        <x:v>Sales head</x:v>
      </x:c>
      <x:c r="O1288" s="4" t="str">
        <x:v>BOOK-01287</x:v>
      </x:c>
      <x:c r="P1288" s="9" t="n">
        <x:v>3645000</x:v>
      </x:c>
      <x:c r="Q1288" s="11" t="n">
        <x:v>0</x:v>
      </x:c>
      <x:c r="R1288" s="8" t="n">
        <x:v>45438</x:v>
      </x:c>
      <x:c r="S1288" s="4" t="str">
        <x:v>Retained</x:v>
      </x:c>
      <x:c r="T1288" s="10" t="n">
        <x:v>0.310195</x:v>
      </x:c>
      <x:c r="U1288" s="4" t="str">
        <x:v>Train</x:v>
      </x:c>
    </x:row>
    <x:row r="1289" ht="34" customHeight="1">
      <x:c r="A1289" s="4" t="str">
        <x:v>RS-01288</x:v>
      </x:c>
      <x:c r="B1289" s="8" t="n">
        <x:v>45379</x:v>
      </x:c>
      <x:c r="C1289" s="4" t="str">
        <x:v>PRJ-008</x:v>
      </x:c>
      <x:c r="D1289" s="4" t="str">
        <x:v>Retail</x:v>
      </x:c>
      <x:c r="E1289" s="4" t="str">
        <x:v>Handed over</x:v>
      </x:c>
      <x:c r="F1289" s="4" t="str">
        <x:v>CUS-01288</x:v>
      </x:c>
      <x:c r="G1289" s="4" t="str">
        <x:v>UNIT-01288</x:v>
      </x:c>
      <x:c r="H1289" s="9" t="n">
        <x:v>9000000</x:v>
      </x:c>
      <x:c r="I1289" s="10" t="n">
        <x:v>0.05</x:v>
      </x:c>
      <x:c r="J1289" s="11" t="n">
        <x:v>6</x:v>
      </x:c>
      <x:c r="K1289" s="11" t="n">
        <x:v>5</x:v>
      </x:c>
      <x:c r="L1289" s="11" t="n">
        <x:v>1</x:v>
      </x:c>
      <x:c r="M1289" s="9" t="n">
        <x:f>ROUND(H1289*(1-I1289),2)</x:f>
        <x:v>8550000</x:v>
      </x:c>
      <x:c r="N1289" s="4" t="str">
        <x:v>Sales manager</x:v>
      </x:c>
      <x:c r="O1289" s="4" t="str">
        <x:v>BOOK-01288</x:v>
      </x:c>
      <x:c r="P1289" s="9" t="n">
        <x:v>8550000</x:v>
      </x:c>
      <x:c r="Q1289" s="11" t="n">
        <x:v>0</x:v>
      </x:c>
      <x:c r="R1289" s="8" t="n">
        <x:v>45439</x:v>
      </x:c>
      <x:c r="S1289" s="4" t="str">
        <x:v>Retained</x:v>
      </x:c>
      <x:c r="T1289" s="10" t="n">
        <x:v>0.291946</x:v>
      </x:c>
      <x:c r="U1289" s="4" t="str">
        <x:v>Train</x:v>
      </x:c>
    </x:row>
    <x:row r="1290" ht="34" customHeight="1">
      <x:c r="A1290" s="4" t="str">
        <x:v>RS-01289</x:v>
      </x:c>
      <x:c r="B1290" s="8" t="n">
        <x:v>45352</x:v>
      </x:c>
      <x:c r="C1290" s="4" t="str">
        <x:v>PRJ-009</x:v>
      </x:c>
      <x:c r="D1290" s="4" t="str">
        <x:v>Office</x:v>
      </x:c>
      <x:c r="E1290" s="4" t="str">
        <x:v>Booked</x:v>
      </x:c>
      <x:c r="F1290" s="4" t="str">
        <x:v>CUS-01289</x:v>
      </x:c>
      <x:c r="G1290" s="4" t="str">
        <x:v>UNIT-01289</x:v>
      </x:c>
      <x:c r="H1290" s="9" t="n">
        <x:v>6500000</x:v>
      </x:c>
      <x:c r="I1290" s="10" t="n">
        <x:v>0.09</x:v>
      </x:c>
      <x:c r="J1290" s="11" t="n">
        <x:v>10</x:v>
      </x:c>
      <x:c r="K1290" s="11" t="n">
        <x:v>3</x:v>
      </x:c>
      <x:c r="L1290" s="11" t="n">
        <x:v>1</x:v>
      </x:c>
      <x:c r="M1290" s="9" t="n">
        <x:f>ROUND(H1290*(1-I1290),2)</x:f>
        <x:v>5915000</x:v>
      </x:c>
      <x:c r="N1290" s="4" t="str">
        <x:v>Sales head</x:v>
      </x:c>
      <x:c r="O1290" s="4" t="str">
        <x:v>BOOK-01289</x:v>
      </x:c>
      <x:c r="P1290" s="9" t="n">
        <x:v>2957500</x:v>
      </x:c>
      <x:c r="Q1290" s="11" t="n">
        <x:v>0</x:v>
      </x:c>
      <x:c r="R1290" s="8" t="n">
        <x:v>45412</x:v>
      </x:c>
      <x:c r="S1290" s="4" t="str">
        <x:v>Retained</x:v>
      </x:c>
      <x:c r="T1290" s="10" t="n">
        <x:v>0.310195</x:v>
      </x:c>
      <x:c r="U1290" s="4" t="str">
        <x:v>Train</x:v>
      </x:c>
    </x:row>
    <x:row r="1291" ht="34" customHeight="1">
      <x:c r="A1291" s="4" t="str">
        <x:v>RS-01290</x:v>
      </x:c>
      <x:c r="B1291" s="8" t="n">
        <x:v>45353</x:v>
      </x:c>
      <x:c r="C1291" s="4" t="str">
        <x:v>PRJ-010</x:v>
      </x:c>
      <x:c r="D1291" s="4" t="str">
        <x:v>Retail</x:v>
      </x:c>
      <x:c r="E1291" s="4" t="str">
        <x:v>Agreement signed</x:v>
      </x:c>
      <x:c r="F1291" s="4" t="str">
        <x:v>CUS-01290</x:v>
      </x:c>
      <x:c r="G1291" s="4" t="str">
        <x:v>UNIT-01290</x:v>
      </x:c>
      <x:c r="H1291" s="9" t="n">
        <x:v>13200000</x:v>
      </x:c>
      <x:c r="I1291" s="10" t="n">
        <x:v>0</x:v>
      </x:c>
      <x:c r="J1291" s="11" t="n">
        <x:v>4</x:v>
      </x:c>
      <x:c r="K1291" s="11" t="n">
        <x:v>2</x:v>
      </x:c>
      <x:c r="L1291" s="11" t="n">
        <x:v>1</x:v>
      </x:c>
      <x:c r="M1291" s="9" t="n">
        <x:f>ROUND(H1291*(1-I1291),2)</x:f>
        <x:v>13200000</x:v>
      </x:c>
      <x:c r="N1291" s="4" t="str">
        <x:v>Sales manager</x:v>
      </x:c>
      <x:c r="O1291" s="4" t="str">
        <x:v>BOOK-01290</x:v>
      </x:c>
      <x:c r="P1291" s="9" t="n">
        <x:v>6600000</x:v>
      </x:c>
      <x:c r="Q1291" s="11" t="n">
        <x:v>0</x:v>
      </x:c>
      <x:c r="R1291" s="8" t="n">
        <x:v>45413</x:v>
      </x:c>
      <x:c r="S1291" s="4" t="str">
        <x:v>Retained</x:v>
      </x:c>
      <x:c r="T1291" s="10" t="n">
        <x:v>0.298969</x:v>
      </x:c>
      <x:c r="U1291" s="4" t="str">
        <x:v>Train</x:v>
      </x:c>
    </x:row>
    <x:row r="1292" ht="34" customHeight="1">
      <x:c r="A1292" s="4" t="str">
        <x:v>RS-01291</x:v>
      </x:c>
      <x:c r="B1292" s="8" t="n">
        <x:v>45354</x:v>
      </x:c>
      <x:c r="C1292" s="4" t="str">
        <x:v>PRJ-011</x:v>
      </x:c>
      <x:c r="D1292" s="4" t="str">
        <x:v>Apartment</x:v>
      </x:c>
      <x:c r="E1292" s="4" t="str">
        <x:v>Reserved</x:v>
      </x:c>
      <x:c r="F1292" s="4" t="str">
        <x:v>CUS-01291</x:v>
      </x:c>
      <x:c r="G1292" s="4" t="str">
        <x:v>UNIT-01291</x:v>
      </x:c>
      <x:c r="H1292" s="9" t="n">
        <x:v>18900000</x:v>
      </x:c>
      <x:c r="I1292" s="10" t="n">
        <x:v>0.1</x:v>
      </x:c>
      <x:c r="J1292" s="11" t="n">
        <x:v>2</x:v>
      </x:c>
      <x:c r="K1292" s="11" t="n">
        <x:v>1</x:v>
      </x:c>
      <x:c r="L1292" s="11" t="n">
        <x:v>0</x:v>
      </x:c>
      <x:c r="M1292" s="9" t="n">
        <x:f>ROUND(H1292*(1-I1292),2)</x:f>
        <x:v>17010000</x:v>
      </x:c>
      <x:c r="N1292" s="4" t="str">
        <x:v>Sales head</x:v>
      </x:c>
      <x:c r="O1292" s="4"/>
      <x:c r="P1292" s="9" t="n">
        <x:v>0</x:v>
      </x:c>
      <x:c r="Q1292" s="11" t="n">
        <x:v>0</x:v>
      </x:c>
      <x:c r="R1292" s="8" t="n">
        <x:v>45414</x:v>
      </x:c>
      <x:c r="S1292" s="4" t="str">
        <x:v>Retained</x:v>
      </x:c>
      <x:c r="T1292" s="10" t="n">
        <x:v>0.145833</x:v>
      </x:c>
      <x:c r="U1292" s="4" t="str">
        <x:v>Train</x:v>
      </x:c>
    </x:row>
    <x:row r="1293" ht="34" customHeight="1">
      <x:c r="A1293" s="4" t="str">
        <x:v>RS-01292</x:v>
      </x:c>
      <x:c r="B1293" s="8" t="n">
        <x:v>45355</x:v>
      </x:c>
      <x:c r="C1293" s="4" t="str">
        <x:v>PRJ-012</x:v>
      </x:c>
      <x:c r="D1293" s="4" t="str">
        <x:v>Office</x:v>
      </x:c>
      <x:c r="E1293" s="4" t="str">
        <x:v>Reserved</x:v>
      </x:c>
      <x:c r="F1293" s="4" t="str">
        <x:v>CUS-01292</x:v>
      </x:c>
      <x:c r="G1293" s="4" t="str">
        <x:v>UNIT-01292</x:v>
      </x:c>
      <x:c r="H1293" s="9" t="n">
        <x:v>19700000</x:v>
      </x:c>
      <x:c r="I1293" s="10" t="n">
        <x:v>0.07</x:v>
      </x:c>
      <x:c r="J1293" s="11" t="n">
        <x:v>1</x:v>
      </x:c>
      <x:c r="K1293" s="11" t="n">
        <x:v>0</x:v>
      </x:c>
      <x:c r="L1293" s="11" t="n">
        <x:v>1</x:v>
      </x:c>
      <x:c r="M1293" s="9" t="n">
        <x:f>ROUND(H1293*(1-I1293),2)</x:f>
        <x:v>18321000</x:v>
      </x:c>
      <x:c r="N1293" s="4" t="str">
        <x:v>Sales manager</x:v>
      </x:c>
      <x:c r="O1293" s="4"/>
      <x:c r="P1293" s="9" t="n">
        <x:v>0</x:v>
      </x:c>
      <x:c r="Q1293" s="11" t="n">
        <x:v>0</x:v>
      </x:c>
      <x:c r="R1293" s="8" t="n">
        <x:v>45415</x:v>
      </x:c>
      <x:c r="S1293" s="4" t="str">
        <x:v>Retained</x:v>
      </x:c>
      <x:c r="T1293" s="10" t="n">
        <x:v>0.276923</x:v>
      </x:c>
      <x:c r="U1293" s="4" t="str">
        <x:v>Train</x:v>
      </x:c>
    </x:row>
    <x:row r="1294" ht="34" customHeight="1">
      <x:c r="A1294" s="4" t="str">
        <x:v>RS-01293</x:v>
      </x:c>
      <x:c r="B1294" s="8" t="n">
        <x:v>45356</x:v>
      </x:c>
      <x:c r="C1294" s="4" t="str">
        <x:v>PRJ-013</x:v>
      </x:c>
      <x:c r="D1294" s="4" t="str">
        <x:v>Apartment</x:v>
      </x:c>
      <x:c r="E1294" s="4" t="str">
        <x:v>Handed over</x:v>
      </x:c>
      <x:c r="F1294" s="4" t="str">
        <x:v>CUS-01293</x:v>
      </x:c>
      <x:c r="G1294" s="4" t="str">
        <x:v>UNIT-01293</x:v>
      </x:c>
      <x:c r="H1294" s="9" t="n">
        <x:v>3600000</x:v>
      </x:c>
      <x:c r="I1294" s="10" t="n">
        <x:v>0.01</x:v>
      </x:c>
      <x:c r="J1294" s="11" t="n">
        <x:v>10</x:v>
      </x:c>
      <x:c r="K1294" s="11" t="n">
        <x:v>4</x:v>
      </x:c>
      <x:c r="L1294" s="11" t="n">
        <x:v>1</x:v>
      </x:c>
      <x:c r="M1294" s="9" t="n">
        <x:f>ROUND(H1294*(1-I1294),2)</x:f>
        <x:v>3564000</x:v>
      </x:c>
      <x:c r="N1294" s="4" t="str">
        <x:v>Sales manager</x:v>
      </x:c>
      <x:c r="O1294" s="4" t="str">
        <x:v>BOOK-01293</x:v>
      </x:c>
      <x:c r="P1294" s="9" t="n">
        <x:v>3564000</x:v>
      </x:c>
      <x:c r="Q1294" s="11" t="n">
        <x:v>0</x:v>
      </x:c>
      <x:c r="R1294" s="8" t="n">
        <x:v>45416</x:v>
      </x:c>
      <x:c r="S1294" s="4" t="str">
        <x:v>Retained</x:v>
      </x:c>
      <x:c r="T1294" s="10" t="n">
        <x:v>0.254545</x:v>
      </x:c>
      <x:c r="U1294" s="4" t="str">
        <x:v>Train</x:v>
      </x:c>
    </x:row>
    <x:row r="1295" ht="34" customHeight="1">
      <x:c r="A1295" s="4" t="str">
        <x:v>RS-01294</x:v>
      </x:c>
      <x:c r="B1295" s="8" t="n">
        <x:v>45357</x:v>
      </x:c>
      <x:c r="C1295" s="4" t="str">
        <x:v>PRJ-014</x:v>
      </x:c>
      <x:c r="D1295" s="4" t="str">
        <x:v>Apartment</x:v>
      </x:c>
      <x:c r="E1295" s="4" t="str">
        <x:v>Agreement signed</x:v>
      </x:c>
      <x:c r="F1295" s="4" t="str">
        <x:v>CUS-01294</x:v>
      </x:c>
      <x:c r="G1295" s="4" t="str">
        <x:v>UNIT-01294</x:v>
      </x:c>
      <x:c r="H1295" s="9" t="n">
        <x:v>14600000</x:v>
      </x:c>
      <x:c r="I1295" s="10" t="n">
        <x:v>0.04</x:v>
      </x:c>
      <x:c r="J1295" s="11" t="n">
        <x:v>9</x:v>
      </x:c>
      <x:c r="K1295" s="11" t="n">
        <x:v>10</x:v>
      </x:c>
      <x:c r="L1295" s="11" t="n">
        <x:v>1</x:v>
      </x:c>
      <x:c r="M1295" s="9" t="n">
        <x:f>ROUND(H1295*(1-I1295),2)</x:f>
        <x:v>14016000</x:v>
      </x:c>
      <x:c r="N1295" s="4" t="str">
        <x:v>Sales manager</x:v>
      </x:c>
      <x:c r="O1295" s="4" t="str">
        <x:v>BOOK-01294</x:v>
      </x:c>
      <x:c r="P1295" s="9" t="n">
        <x:v>7008000</x:v>
      </x:c>
      <x:c r="Q1295" s="11" t="n">
        <x:v>0</x:v>
      </x:c>
      <x:c r="R1295" s="8" t="n">
        <x:v>45417</x:v>
      </x:c>
      <x:c r="S1295" s="4" t="str">
        <x:v>Retained</x:v>
      </x:c>
      <x:c r="T1295" s="10" t="n">
        <x:v>0.310195</x:v>
      </x:c>
      <x:c r="U1295" s="4" t="str">
        <x:v>Train</x:v>
      </x:c>
    </x:row>
    <x:row r="1296" ht="34" customHeight="1">
      <x:c r="A1296" s="4" t="str">
        <x:v>RS-01295</x:v>
      </x:c>
      <x:c r="B1296" s="8" t="n">
        <x:v>45358</x:v>
      </x:c>
      <x:c r="C1296" s="4" t="str">
        <x:v>PRJ-015</x:v>
      </x:c>
      <x:c r="D1296" s="4" t="str">
        <x:v>Retail</x:v>
      </x:c>
      <x:c r="E1296" s="4" t="str">
        <x:v>Booked</x:v>
      </x:c>
      <x:c r="F1296" s="4" t="str">
        <x:v>CUS-01295</x:v>
      </x:c>
      <x:c r="G1296" s="4" t="str">
        <x:v>UNIT-01295</x:v>
      </x:c>
      <x:c r="H1296" s="9" t="n">
        <x:v>6300000</x:v>
      </x:c>
      <x:c r="I1296" s="10" t="n">
        <x:v>0.07</x:v>
      </x:c>
      <x:c r="J1296" s="11" t="n">
        <x:v>6</x:v>
      </x:c>
      <x:c r="K1296" s="11" t="n">
        <x:v>8</x:v>
      </x:c>
      <x:c r="L1296" s="11" t="n">
        <x:v>1</x:v>
      </x:c>
      <x:c r="M1296" s="9" t="n">
        <x:f>ROUND(H1296*(1-I1296),2)</x:f>
        <x:v>5859000</x:v>
      </x:c>
      <x:c r="N1296" s="4" t="str">
        <x:v>Sales manager</x:v>
      </x:c>
      <x:c r="O1296" s="4" t="str">
        <x:v>BOOK-01295</x:v>
      </x:c>
      <x:c r="P1296" s="9" t="n">
        <x:v>2929500</x:v>
      </x:c>
      <x:c r="Q1296" s="11" t="n">
        <x:v>0</x:v>
      </x:c>
      <x:c r="R1296" s="8" t="n">
        <x:v>45418</x:v>
      </x:c>
      <x:c r="S1296" s="4" t="str">
        <x:v>Retained</x:v>
      </x:c>
      <x:c r="T1296" s="10" t="n">
        <x:v>0.291946</x:v>
      </x:c>
      <x:c r="U1296" s="4" t="str">
        <x:v>Train</x:v>
      </x:c>
    </x:row>
    <x:row r="1297" ht="34" customHeight="1">
      <x:c r="A1297" s="4" t="str">
        <x:v>RS-01296</x:v>
      </x:c>
      <x:c r="B1297" s="8" t="n">
        <x:v>45359</x:v>
      </x:c>
      <x:c r="C1297" s="4" t="str">
        <x:v>PRJ-016</x:v>
      </x:c>
      <x:c r="D1297" s="4" t="str">
        <x:v>Apartment</x:v>
      </x:c>
      <x:c r="E1297" s="4" t="str">
        <x:v>Cancelled</x:v>
      </x:c>
      <x:c r="F1297" s="4" t="str">
        <x:v>CUS-01296</x:v>
      </x:c>
      <x:c r="G1297" s="4" t="str">
        <x:v>UNIT-01296</x:v>
      </x:c>
      <x:c r="H1297" s="9" t="n">
        <x:v>4300000</x:v>
      </x:c>
      <x:c r="I1297" s="10" t="n">
        <x:v>0.09</x:v>
      </x:c>
      <x:c r="J1297" s="11" t="n">
        <x:v>1</x:v>
      </x:c>
      <x:c r="K1297" s="11" t="n">
        <x:v>4</x:v>
      </x:c>
      <x:c r="L1297" s="11" t="n">
        <x:v>1</x:v>
      </x:c>
      <x:c r="M1297" s="9" t="n">
        <x:f>ROUND(H1297*(1-I1297),2)</x:f>
        <x:v>3913000</x:v>
      </x:c>
      <x:c r="N1297" s="4" t="str">
        <x:v>Sales head</x:v>
      </x:c>
      <x:c r="O1297" s="4"/>
      <x:c r="P1297" s="9" t="n">
        <x:v>0</x:v>
      </x:c>
      <x:c r="Q1297" s="11" t="n">
        <x:v>1</x:v>
      </x:c>
      <x:c r="R1297" s="8" t="n">
        <x:v>45419</x:v>
      </x:c>
      <x:c r="S1297" s="4" t="str">
        <x:v>Lost / cancelled</x:v>
      </x:c>
      <x:c r="T1297" s="10" t="n">
        <x:v>0.145833</x:v>
      </x:c>
      <x:c r="U1297" s="4" t="str">
        <x:v>Train</x:v>
      </x:c>
    </x:row>
    <x:row r="1298" ht="34" customHeight="1">
      <x:c r="A1298" s="4" t="str">
        <x:v>RS-01297</x:v>
      </x:c>
      <x:c r="B1298" s="8" t="n">
        <x:v>45360</x:v>
      </x:c>
      <x:c r="C1298" s="4" t="str">
        <x:v>PRJ-017</x:v>
      </x:c>
      <x:c r="D1298" s="4" t="str">
        <x:v>Office</x:v>
      </x:c>
      <x:c r="E1298" s="4" t="str">
        <x:v>Enquiry</x:v>
      </x:c>
      <x:c r="F1298" s="4" t="str">
        <x:v>CUS-01297</x:v>
      </x:c>
      <x:c r="G1298" s="4" t="str">
        <x:v>UNIT-01297</x:v>
      </x:c>
      <x:c r="H1298" s="9" t="n">
        <x:v>23900000</x:v>
      </x:c>
      <x:c r="I1298" s="10" t="n">
        <x:v>0.06</x:v>
      </x:c>
      <x:c r="J1298" s="11" t="n">
        <x:v>11</x:v>
      </x:c>
      <x:c r="K1298" s="11" t="n">
        <x:v>0</x:v>
      </x:c>
      <x:c r="L1298" s="11" t="n">
        <x:v>1</x:v>
      </x:c>
      <x:c r="M1298" s="9" t="n">
        <x:f>ROUND(H1298*(1-I1298),2)</x:f>
        <x:v>22466000</x:v>
      </x:c>
      <x:c r="N1298" s="4" t="str">
        <x:v>Sales manager</x:v>
      </x:c>
      <x:c r="O1298" s="4"/>
      <x:c r="P1298" s="9" t="n">
        <x:v>0</x:v>
      </x:c>
      <x:c r="Q1298" s="11" t="n">
        <x:v>1</x:v>
      </x:c>
      <x:c r="R1298" s="8" t="n">
        <x:v>45420</x:v>
      </x:c>
      <x:c r="S1298" s="4" t="str">
        <x:v>Lost / cancelled</x:v>
      </x:c>
      <x:c r="T1298" s="10" t="n">
        <x:v>0.351536</x:v>
      </x:c>
      <x:c r="U1298" s="4" t="str">
        <x:v>Train</x:v>
      </x:c>
    </x:row>
    <x:row r="1299" ht="34" customHeight="1">
      <x:c r="A1299" s="4" t="str">
        <x:v>RS-01298</x:v>
      </x:c>
      <x:c r="B1299" s="8" t="n">
        <x:v>45361</x:v>
      </x:c>
      <x:c r="C1299" s="4" t="str">
        <x:v>PRJ-018</x:v>
      </x:c>
      <x:c r="D1299" s="4" t="str">
        <x:v>Office</x:v>
      </x:c>
      <x:c r="E1299" s="4" t="str">
        <x:v>Enquiry</x:v>
      </x:c>
      <x:c r="F1299" s="4" t="str">
        <x:v>CUS-01298</x:v>
      </x:c>
      <x:c r="G1299" s="4" t="str">
        <x:v>UNIT-01298</x:v>
      </x:c>
      <x:c r="H1299" s="9" t="n">
        <x:v>4600000</x:v>
      </x:c>
      <x:c r="I1299" s="10" t="n">
        <x:v>0.02</x:v>
      </x:c>
      <x:c r="J1299" s="11" t="n">
        <x:v>5</x:v>
      </x:c>
      <x:c r="K1299" s="11" t="n">
        <x:v>7</x:v>
      </x:c>
      <x:c r="L1299" s="11" t="n">
        <x:v>1</x:v>
      </x:c>
      <x:c r="M1299" s="9" t="n">
        <x:f>ROUND(H1299*(1-I1299),2)</x:f>
        <x:v>4508000</x:v>
      </x:c>
      <x:c r="N1299" s="4" t="str">
        <x:v>Sales manager</x:v>
      </x:c>
      <x:c r="O1299" s="4"/>
      <x:c r="P1299" s="9" t="n">
        <x:v>0</x:v>
      </x:c>
      <x:c r="Q1299" s="11" t="n">
        <x:v>0</x:v>
      </x:c>
      <x:c r="R1299" s="8" t="n">
        <x:v>45421</x:v>
      </x:c>
      <x:c r="S1299" s="4" t="str">
        <x:v>Retained</x:v>
      </x:c>
      <x:c r="T1299" s="10" t="n">
        <x:v>0.145299</x:v>
      </x:c>
      <x:c r="U1299" s="4" t="str">
        <x:v>Train</x:v>
      </x:c>
    </x:row>
    <x:row r="1300" ht="34" customHeight="1">
      <x:c r="A1300" s="4" t="str">
        <x:v>RS-01299</x:v>
      </x:c>
      <x:c r="B1300" s="8" t="n">
        <x:v>45362</x:v>
      </x:c>
      <x:c r="C1300" s="4" t="str">
        <x:v>PRJ-019</x:v>
      </x:c>
      <x:c r="D1300" s="4" t="str">
        <x:v>Apartment</x:v>
      </x:c>
      <x:c r="E1300" s="4" t="str">
        <x:v>Enquiry</x:v>
      </x:c>
      <x:c r="F1300" s="4" t="str">
        <x:v>CUS-01299</x:v>
      </x:c>
      <x:c r="G1300" s="4" t="str">
        <x:v>UNIT-01299</x:v>
      </x:c>
      <x:c r="H1300" s="9" t="n">
        <x:v>7500000</x:v>
      </x:c>
      <x:c r="I1300" s="10" t="n">
        <x:v>0.03</x:v>
      </x:c>
      <x:c r="J1300" s="11" t="n">
        <x:v>6</x:v>
      </x:c>
      <x:c r="K1300" s="11" t="n">
        <x:v>10</x:v>
      </x:c>
      <x:c r="L1300" s="11" t="n">
        <x:v>0</x:v>
      </x:c>
      <x:c r="M1300" s="9" t="n">
        <x:f>ROUND(H1300*(1-I1300),2)</x:f>
        <x:v>7275000</x:v>
      </x:c>
      <x:c r="N1300" s="4" t="str">
        <x:v>Sales manager</x:v>
      </x:c>
      <x:c r="O1300" s="4"/>
      <x:c r="P1300" s="9" t="n">
        <x:v>0</x:v>
      </x:c>
      <x:c r="Q1300" s="11" t="n">
        <x:v>0</x:v>
      </x:c>
      <x:c r="R1300" s="8" t="n">
        <x:v>45422</x:v>
      </x:c>
      <x:c r="S1300" s="4" t="str">
        <x:v>Retained</x:v>
      </x:c>
      <x:c r="T1300" s="10" t="n">
        <x:v>0.145299</x:v>
      </x:c>
      <x:c r="U1300" s="4" t="str">
        <x:v>Train</x:v>
      </x:c>
    </x:row>
    <x:row r="1301" ht="34" customHeight="1">
      <x:c r="A1301" s="4" t="str">
        <x:v>RS-01300</x:v>
      </x:c>
      <x:c r="B1301" s="8" t="n">
        <x:v>45363</x:v>
      </x:c>
      <x:c r="C1301" s="4" t="str">
        <x:v>PRJ-020</x:v>
      </x:c>
      <x:c r="D1301" s="4" t="str">
        <x:v>Office</x:v>
      </x:c>
      <x:c r="E1301" s="4" t="str">
        <x:v>Enquiry</x:v>
      </x:c>
      <x:c r="F1301" s="4" t="str">
        <x:v>CUS-01300</x:v>
      </x:c>
      <x:c r="G1301" s="4" t="str">
        <x:v>UNIT-01300</x:v>
      </x:c>
      <x:c r="H1301" s="9" t="n">
        <x:v>19600000</x:v>
      </x:c>
      <x:c r="I1301" s="10" t="n">
        <x:v>0.12</x:v>
      </x:c>
      <x:c r="J1301" s="11" t="n">
        <x:v>7</x:v>
      </x:c>
      <x:c r="K1301" s="11" t="n">
        <x:v>10</x:v>
      </x:c>
      <x:c r="L1301" s="11" t="n">
        <x:v>1</x:v>
      </x:c>
      <x:c r="M1301" s="9" t="n">
        <x:f>ROUND(H1301*(1-I1301),2)</x:f>
        <x:v>17248000</x:v>
      </x:c>
      <x:c r="N1301" s="4" t="str">
        <x:v>Sales head</x:v>
      </x:c>
      <x:c r="O1301" s="4"/>
      <x:c r="P1301" s="9" t="n">
        <x:v>0</x:v>
      </x:c>
      <x:c r="Q1301" s="11" t="n">
        <x:v>0</x:v>
      </x:c>
      <x:c r="R1301" s="8" t="n">
        <x:v>45423</x:v>
      </x:c>
      <x:c r="S1301" s="4" t="str">
        <x:v>Retained</x:v>
      </x:c>
      <x:c r="T1301" s="10" t="n">
        <x:v>0.291946</x:v>
      </x:c>
      <x:c r="U1301" s="4" t="str">
        <x:v>Train</x:v>
      </x:c>
    </x:row>
    <x:row r="1302" ht="34" customHeight="1">
      <x:c r="A1302" s="4" t="str">
        <x:v>RS-01301</x:v>
      </x:c>
      <x:c r="B1302" s="8" t="n">
        <x:v>45364</x:v>
      </x:c>
      <x:c r="C1302" s="4" t="str">
        <x:v>PRJ-001</x:v>
      </x:c>
      <x:c r="D1302" s="4" t="str">
        <x:v>Apartment</x:v>
      </x:c>
      <x:c r="E1302" s="4" t="str">
        <x:v>Handed over</x:v>
      </x:c>
      <x:c r="F1302" s="4" t="str">
        <x:v>CUS-01301</x:v>
      </x:c>
      <x:c r="G1302" s="4" t="str">
        <x:v>UNIT-01301</x:v>
      </x:c>
      <x:c r="H1302" s="9" t="n">
        <x:v>11400000</x:v>
      </x:c>
      <x:c r="I1302" s="10" t="n">
        <x:v>0.03</x:v>
      </x:c>
      <x:c r="J1302" s="11" t="n">
        <x:v>11</x:v>
      </x:c>
      <x:c r="K1302" s="11" t="n">
        <x:v>1</x:v>
      </x:c>
      <x:c r="L1302" s="11" t="n">
        <x:v>1</x:v>
      </x:c>
      <x:c r="M1302" s="9" t="n">
        <x:f>ROUND(H1302*(1-I1302),2)</x:f>
        <x:v>11058000</x:v>
      </x:c>
      <x:c r="N1302" s="4" t="str">
        <x:v>Sales manager</x:v>
      </x:c>
      <x:c r="O1302" s="4" t="str">
        <x:v>BOOK-01301</x:v>
      </x:c>
      <x:c r="P1302" s="9" t="n">
        <x:v>5529000</x:v>
      </x:c>
      <x:c r="Q1302" s="11" t="n">
        <x:v>0</x:v>
      </x:c>
      <x:c r="R1302" s="8" t="n">
        <x:v>45424</x:v>
      </x:c>
      <x:c r="S1302" s="4" t="str">
        <x:v>Retained</x:v>
      </x:c>
      <x:c r="T1302" s="10" t="n">
        <x:v>0.351536</x:v>
      </x:c>
      <x:c r="U1302" s="4" t="str">
        <x:v>Train</x:v>
      </x:c>
    </x:row>
    <x:row r="1303" ht="34" customHeight="1">
      <x:c r="A1303" s="4" t="str">
        <x:v>RS-01302</x:v>
      </x:c>
      <x:c r="B1303" s="8" t="n">
        <x:v>45365</x:v>
      </x:c>
      <x:c r="C1303" s="4" t="str">
        <x:v>PRJ-002</x:v>
      </x:c>
      <x:c r="D1303" s="4" t="str">
        <x:v>Office</x:v>
      </x:c>
      <x:c r="E1303" s="4" t="str">
        <x:v>Cancelled</x:v>
      </x:c>
      <x:c r="F1303" s="4" t="str">
        <x:v>CUS-01302</x:v>
      </x:c>
      <x:c r="G1303" s="4" t="str">
        <x:v>UNIT-01302</x:v>
      </x:c>
      <x:c r="H1303" s="9" t="n">
        <x:v>21200000</x:v>
      </x:c>
      <x:c r="I1303" s="10" t="n">
        <x:v>0.04</x:v>
      </x:c>
      <x:c r="J1303" s="11" t="n">
        <x:v>10</x:v>
      </x:c>
      <x:c r="K1303" s="11" t="n">
        <x:v>10</x:v>
      </x:c>
      <x:c r="L1303" s="11" t="n">
        <x:v>0</x:v>
      </x:c>
      <x:c r="M1303" s="9" t="n">
        <x:f>ROUND(H1303*(1-I1303),2)</x:f>
        <x:v>20352000</x:v>
      </x:c>
      <x:c r="N1303" s="4" t="str">
        <x:v>Sales manager</x:v>
      </x:c>
      <x:c r="O1303" s="4"/>
      <x:c r="P1303" s="9" t="n">
        <x:v>0</x:v>
      </x:c>
      <x:c r="Q1303" s="11" t="n">
        <x:v>1</x:v>
      </x:c>
      <x:c r="R1303" s="8" t="n">
        <x:v>45425</x:v>
      </x:c>
      <x:c r="S1303" s="4" t="str">
        <x:v>Lost / cancelled</x:v>
      </x:c>
      <x:c r="T1303" s="10" t="n">
        <x:v>0.310195</x:v>
      </x:c>
      <x:c r="U1303" s="4" t="str">
        <x:v>Train</x:v>
      </x:c>
    </x:row>
    <x:row r="1304" ht="34" customHeight="1">
      <x:c r="A1304" s="4" t="str">
        <x:v>RS-01303</x:v>
      </x:c>
      <x:c r="B1304" s="8" t="n">
        <x:v>45366</x:v>
      </x:c>
      <x:c r="C1304" s="4" t="str">
        <x:v>PRJ-003</x:v>
      </x:c>
      <x:c r="D1304" s="4" t="str">
        <x:v>Villa</x:v>
      </x:c>
      <x:c r="E1304" s="4" t="str">
        <x:v>Agreement signed</x:v>
      </x:c>
      <x:c r="F1304" s="4" t="str">
        <x:v>CUS-01303</x:v>
      </x:c>
      <x:c r="G1304" s="4" t="str">
        <x:v>UNIT-01303</x:v>
      </x:c>
      <x:c r="H1304" s="9" t="n">
        <x:v>17400000</x:v>
      </x:c>
      <x:c r="I1304" s="10" t="n">
        <x:v>0.02</x:v>
      </x:c>
      <x:c r="J1304" s="11" t="n">
        <x:v>8</x:v>
      </x:c>
      <x:c r="K1304" s="11" t="n">
        <x:v>9</x:v>
      </x:c>
      <x:c r="L1304" s="11" t="n">
        <x:v>0</x:v>
      </x:c>
      <x:c r="M1304" s="9" t="n">
        <x:f>ROUND(H1304*(1-I1304),2)</x:f>
        <x:v>17052000</x:v>
      </x:c>
      <x:c r="N1304" s="4" t="str">
        <x:v>Sales manager</x:v>
      </x:c>
      <x:c r="O1304" s="4" t="str">
        <x:v>BOOK-01303</x:v>
      </x:c>
      <x:c r="P1304" s="9" t="n">
        <x:v>4263000</x:v>
      </x:c>
      <x:c r="Q1304" s="11" t="n">
        <x:v>0</x:v>
      </x:c>
      <x:c r="R1304" s="8" t="n">
        <x:v>45426</x:v>
      </x:c>
      <x:c r="S1304" s="4" t="str">
        <x:v>Retained</x:v>
      </x:c>
      <x:c r="T1304" s="10" t="n">
        <x:v>0.305556</x:v>
      </x:c>
      <x:c r="U1304" s="4" t="str">
        <x:v>Train</x:v>
      </x:c>
    </x:row>
    <x:row r="1305" ht="34" customHeight="1">
      <x:c r="A1305" s="4" t="str">
        <x:v>RS-01304</x:v>
      </x:c>
      <x:c r="B1305" s="8" t="n">
        <x:v>45367</x:v>
      </x:c>
      <x:c r="C1305" s="4" t="str">
        <x:v>PRJ-004</x:v>
      </x:c>
      <x:c r="D1305" s="4" t="str">
        <x:v>Office</x:v>
      </x:c>
      <x:c r="E1305" s="4" t="str">
        <x:v>Reserved</x:v>
      </x:c>
      <x:c r="F1305" s="4" t="str">
        <x:v>CUS-01304</x:v>
      </x:c>
      <x:c r="G1305" s="4" t="str">
        <x:v>UNIT-01304</x:v>
      </x:c>
      <x:c r="H1305" s="9" t="n">
        <x:v>6800000</x:v>
      </x:c>
      <x:c r="I1305" s="10" t="n">
        <x:v>0.01</x:v>
      </x:c>
      <x:c r="J1305" s="11" t="n">
        <x:v>3</x:v>
      </x:c>
      <x:c r="K1305" s="11" t="n">
        <x:v>2</x:v>
      </x:c>
      <x:c r="L1305" s="11" t="n">
        <x:v>0</x:v>
      </x:c>
      <x:c r="M1305" s="9" t="n">
        <x:f>ROUND(H1305*(1-I1305),2)</x:f>
        <x:v>6732000</x:v>
      </x:c>
      <x:c r="N1305" s="4" t="str">
        <x:v>Sales manager</x:v>
      </x:c>
      <x:c r="O1305" s="4"/>
      <x:c r="P1305" s="9" t="n">
        <x:v>0</x:v>
      </x:c>
      <x:c r="Q1305" s="11" t="n">
        <x:v>0</x:v>
      </x:c>
      <x:c r="R1305" s="8" t="n">
        <x:v>45427</x:v>
      </x:c>
      <x:c r="S1305" s="4" t="str">
        <x:v>Retained</x:v>
      </x:c>
      <x:c r="T1305" s="10" t="n">
        <x:v>0.171717</x:v>
      </x:c>
      <x:c r="U1305" s="4" t="str">
        <x:v>Train</x:v>
      </x:c>
    </x:row>
    <x:row r="1306" ht="34" customHeight="1">
      <x:c r="A1306" s="4" t="str">
        <x:v>RS-01305</x:v>
      </x:c>
      <x:c r="B1306" s="8" t="n">
        <x:v>45368</x:v>
      </x:c>
      <x:c r="C1306" s="4" t="str">
        <x:v>PRJ-005</x:v>
      </x:c>
      <x:c r="D1306" s="4" t="str">
        <x:v>Office</x:v>
      </x:c>
      <x:c r="E1306" s="4" t="str">
        <x:v>Handed over</x:v>
      </x:c>
      <x:c r="F1306" s="4" t="str">
        <x:v>CUS-01305</x:v>
      </x:c>
      <x:c r="G1306" s="4" t="str">
        <x:v>UNIT-01305</x:v>
      </x:c>
      <x:c r="H1306" s="9" t="n">
        <x:v>15400000</x:v>
      </x:c>
      <x:c r="I1306" s="10" t="n">
        <x:v>0.07</x:v>
      </x:c>
      <x:c r="J1306" s="11" t="n">
        <x:v>8</x:v>
      </x:c>
      <x:c r="K1306" s="11" t="n">
        <x:v>5</x:v>
      </x:c>
      <x:c r="L1306" s="11" t="n">
        <x:v>0</x:v>
      </x:c>
      <x:c r="M1306" s="9" t="n">
        <x:f>ROUND(H1306*(1-I1306),2)</x:f>
        <x:v>14322000</x:v>
      </x:c>
      <x:c r="N1306" s="4" t="str">
        <x:v>Sales manager</x:v>
      </x:c>
      <x:c r="O1306" s="4" t="str">
        <x:v>BOOK-01305</x:v>
      </x:c>
      <x:c r="P1306" s="9" t="n">
        <x:v>7161000</x:v>
      </x:c>
      <x:c r="Q1306" s="11" t="n">
        <x:v>0</x:v>
      </x:c>
      <x:c r="R1306" s="8" t="n">
        <x:v>45428</x:v>
      </x:c>
      <x:c r="S1306" s="4" t="str">
        <x:v>Retained</x:v>
      </x:c>
      <x:c r="T1306" s="10" t="n">
        <x:v>0.310195</x:v>
      </x:c>
      <x:c r="U1306" s="4" t="str">
        <x:v>Train</x:v>
      </x:c>
    </x:row>
    <x:row r="1307" ht="34" customHeight="1">
      <x:c r="A1307" s="4" t="str">
        <x:v>RS-01306</x:v>
      </x:c>
      <x:c r="B1307" s="8" t="n">
        <x:v>45369</x:v>
      </x:c>
      <x:c r="C1307" s="4" t="str">
        <x:v>PRJ-006</x:v>
      </x:c>
      <x:c r="D1307" s="4" t="str">
        <x:v>Retail</x:v>
      </x:c>
      <x:c r="E1307" s="4" t="str">
        <x:v>Agreement signed</x:v>
      </x:c>
      <x:c r="F1307" s="4" t="str">
        <x:v>CUS-01306</x:v>
      </x:c>
      <x:c r="G1307" s="4" t="str">
        <x:v>UNIT-01306</x:v>
      </x:c>
      <x:c r="H1307" s="9" t="n">
        <x:v>5300000</x:v>
      </x:c>
      <x:c r="I1307" s="10" t="n">
        <x:v>0.02</x:v>
      </x:c>
      <x:c r="J1307" s="11" t="n">
        <x:v>0</x:v>
      </x:c>
      <x:c r="K1307" s="11" t="n">
        <x:v>3</x:v>
      </x:c>
      <x:c r="L1307" s="11" t="n">
        <x:v>0</x:v>
      </x:c>
      <x:c r="M1307" s="9" t="n">
        <x:f>ROUND(H1307*(1-I1307),2)</x:f>
        <x:v>5194000</x:v>
      </x:c>
      <x:c r="N1307" s="4" t="str">
        <x:v>Sales manager</x:v>
      </x:c>
      <x:c r="O1307" s="4" t="str">
        <x:v>BOOK-01306</x:v>
      </x:c>
      <x:c r="P1307" s="9" t="n">
        <x:v>2597000</x:v>
      </x:c>
      <x:c r="Q1307" s="11" t="n">
        <x:v>0</x:v>
      </x:c>
      <x:c r="R1307" s="8" t="n">
        <x:v>45429</x:v>
      </x:c>
      <x:c r="S1307" s="4" t="str">
        <x:v>Retained</x:v>
      </x:c>
      <x:c r="T1307" s="10" t="n">
        <x:v>0.072165</x:v>
      </x:c>
      <x:c r="U1307" s="4" t="str">
        <x:v>Train</x:v>
      </x:c>
    </x:row>
    <x:row r="1308" ht="34" customHeight="1">
      <x:c r="A1308" s="4" t="str">
        <x:v>RS-01307</x:v>
      </x:c>
      <x:c r="B1308" s="8" t="n">
        <x:v>45370</x:v>
      </x:c>
      <x:c r="C1308" s="4" t="str">
        <x:v>PRJ-007</x:v>
      </x:c>
      <x:c r="D1308" s="4" t="str">
        <x:v>Apartment</x:v>
      </x:c>
      <x:c r="E1308" s="4" t="str">
        <x:v>Reserved</x:v>
      </x:c>
      <x:c r="F1308" s="4" t="str">
        <x:v>CUS-01307</x:v>
      </x:c>
      <x:c r="G1308" s="4" t="str">
        <x:v>UNIT-01307</x:v>
      </x:c>
      <x:c r="H1308" s="9" t="n">
        <x:v>9900000</x:v>
      </x:c>
      <x:c r="I1308" s="10" t="n">
        <x:v>0.1</x:v>
      </x:c>
      <x:c r="J1308" s="11" t="n">
        <x:v>7</x:v>
      </x:c>
      <x:c r="K1308" s="11" t="n">
        <x:v>8</x:v>
      </x:c>
      <x:c r="L1308" s="11" t="n">
        <x:v>1</x:v>
      </x:c>
      <x:c r="M1308" s="9" t="n">
        <x:f>ROUND(H1308*(1-I1308),2)</x:f>
        <x:v>8910000</x:v>
      </x:c>
      <x:c r="N1308" s="4" t="str">
        <x:v>Sales head</x:v>
      </x:c>
      <x:c r="O1308" s="4"/>
      <x:c r="P1308" s="9" t="n">
        <x:v>0</x:v>
      </x:c>
      <x:c r="Q1308" s="11" t="n">
        <x:v>0</x:v>
      </x:c>
      <x:c r="R1308" s="8" t="n">
        <x:v>45430</x:v>
      </x:c>
      <x:c r="S1308" s="4" t="str">
        <x:v>Retained</x:v>
      </x:c>
      <x:c r="T1308" s="10" t="n">
        <x:v>0.291946</x:v>
      </x:c>
      <x:c r="U1308" s="4" t="str">
        <x:v>Train</x:v>
      </x:c>
    </x:row>
    <x:row r="1309" ht="34" customHeight="1">
      <x:c r="A1309" s="4" t="str">
        <x:v>RS-01308</x:v>
      </x:c>
      <x:c r="B1309" s="8" t="n">
        <x:v>45371</x:v>
      </x:c>
      <x:c r="C1309" s="4" t="str">
        <x:v>PRJ-008</x:v>
      </x:c>
      <x:c r="D1309" s="4" t="str">
        <x:v>Apartment</x:v>
      </x:c>
      <x:c r="E1309" s="4" t="str">
        <x:v>Cancelled</x:v>
      </x:c>
      <x:c r="F1309" s="4" t="str">
        <x:v>CUS-01308</x:v>
      </x:c>
      <x:c r="G1309" s="4" t="str">
        <x:v>UNIT-01308</x:v>
      </x:c>
      <x:c r="H1309" s="9" t="n">
        <x:v>7800000</x:v>
      </x:c>
      <x:c r="I1309" s="10" t="n">
        <x:v>0.01</x:v>
      </x:c>
      <x:c r="J1309" s="11" t="n">
        <x:v>5</x:v>
      </x:c>
      <x:c r="K1309" s="11" t="n">
        <x:v>0</x:v>
      </x:c>
      <x:c r="L1309" s="11" t="n">
        <x:v>0</x:v>
      </x:c>
      <x:c r="M1309" s="9" t="n">
        <x:f>ROUND(H1309*(1-I1309),2)</x:f>
        <x:v>7722000</x:v>
      </x:c>
      <x:c r="N1309" s="4" t="str">
        <x:v>Sales manager</x:v>
      </x:c>
      <x:c r="O1309" s="4"/>
      <x:c r="P1309" s="9" t="n">
        <x:v>0</x:v>
      </x:c>
      <x:c r="Q1309" s="11" t="n">
        <x:v>1</x:v>
      </x:c>
      <x:c r="R1309" s="8" t="n">
        <x:v>45431</x:v>
      </x:c>
      <x:c r="S1309" s="4" t="str">
        <x:v>Lost / cancelled</x:v>
      </x:c>
      <x:c r="T1309" s="10" t="n">
        <x:v>0.298969</x:v>
      </x:c>
      <x:c r="U1309" s="4" t="str">
        <x:v>Train</x:v>
      </x:c>
    </x:row>
    <x:row r="1310" ht="34" customHeight="1">
      <x:c r="A1310" s="4" t="str">
        <x:v>RS-01309</x:v>
      </x:c>
      <x:c r="B1310" s="8" t="n">
        <x:v>45372</x:v>
      </x:c>
      <x:c r="C1310" s="4" t="str">
        <x:v>PRJ-009</x:v>
      </x:c>
      <x:c r="D1310" s="4" t="str">
        <x:v>Apartment</x:v>
      </x:c>
      <x:c r="E1310" s="4" t="str">
        <x:v>Reserved</x:v>
      </x:c>
      <x:c r="F1310" s="4" t="str">
        <x:v>CUS-01309</x:v>
      </x:c>
      <x:c r="G1310" s="4" t="str">
        <x:v>UNIT-01309</x:v>
      </x:c>
      <x:c r="H1310" s="9" t="n">
        <x:v>22200000</x:v>
      </x:c>
      <x:c r="I1310" s="10" t="n">
        <x:v>0.04</x:v>
      </x:c>
      <x:c r="J1310" s="11" t="n">
        <x:v>0</x:v>
      </x:c>
      <x:c r="K1310" s="11" t="n">
        <x:v>9</x:v>
      </x:c>
      <x:c r="L1310" s="11" t="n">
        <x:v>1</x:v>
      </x:c>
      <x:c r="M1310" s="9" t="n">
        <x:f>ROUND(H1310*(1-I1310),2)</x:f>
        <x:v>21312000</x:v>
      </x:c>
      <x:c r="N1310" s="4" t="str">
        <x:v>Sales manager</x:v>
      </x:c>
      <x:c r="O1310" s="4"/>
      <x:c r="P1310" s="9" t="n">
        <x:v>0</x:v>
      </x:c>
      <x:c r="Q1310" s="11" t="n">
        <x:v>0</x:v>
      </x:c>
      <x:c r="R1310" s="8" t="n">
        <x:v>45432</x:v>
      </x:c>
      <x:c r="S1310" s="4" t="str">
        <x:v>Retained</x:v>
      </x:c>
      <x:c r="T1310" s="10" t="n">
        <x:v>0.204152</x:v>
      </x:c>
      <x:c r="U1310" s="4" t="str">
        <x:v>Train</x:v>
      </x:c>
    </x:row>
    <x:row r="1311" ht="34" customHeight="1">
      <x:c r="A1311" s="4" t="str">
        <x:v>RS-01310</x:v>
      </x:c>
      <x:c r="B1311" s="8" t="n">
        <x:v>45373</x:v>
      </x:c>
      <x:c r="C1311" s="4" t="str">
        <x:v>PRJ-010</x:v>
      </x:c>
      <x:c r="D1311" s="4" t="str">
        <x:v>Villa</x:v>
      </x:c>
      <x:c r="E1311" s="4" t="str">
        <x:v>Reserved</x:v>
      </x:c>
      <x:c r="F1311" s="4" t="str">
        <x:v>CUS-01310</x:v>
      </x:c>
      <x:c r="G1311" s="4" t="str">
        <x:v>UNIT-01310</x:v>
      </x:c>
      <x:c r="H1311" s="9" t="n">
        <x:v>22300000</x:v>
      </x:c>
      <x:c r="I1311" s="10" t="n">
        <x:v>0.04</x:v>
      </x:c>
      <x:c r="J1311" s="11" t="n">
        <x:v>12</x:v>
      </x:c>
      <x:c r="K1311" s="11" t="n">
        <x:v>2</x:v>
      </x:c>
      <x:c r="L1311" s="11" t="n">
        <x:v>0</x:v>
      </x:c>
      <x:c r="M1311" s="9" t="n">
        <x:f>ROUND(H1311*(1-I1311),2)</x:f>
        <x:v>21408000</x:v>
      </x:c>
      <x:c r="N1311" s="4" t="str">
        <x:v>Sales manager</x:v>
      </x:c>
      <x:c r="O1311" s="4"/>
      <x:c r="P1311" s="9" t="n">
        <x:v>0</x:v>
      </x:c>
      <x:c r="Q1311" s="11" t="n">
        <x:v>1</x:v>
      </x:c>
      <x:c r="R1311" s="8" t="n">
        <x:v>45433</x:v>
      </x:c>
      <x:c r="S1311" s="4" t="str">
        <x:v>Lost / cancelled</x:v>
      </x:c>
      <x:c r="T1311" s="10" t="n">
        <x:v>0.351536</x:v>
      </x:c>
      <x:c r="U1311" s="4" t="str">
        <x:v>Train</x:v>
      </x:c>
    </x:row>
    <x:row r="1312" ht="34" customHeight="1">
      <x:c r="A1312" s="4" t="str">
        <x:v>RS-01311</x:v>
      </x:c>
      <x:c r="B1312" s="8" t="n">
        <x:v>45374</x:v>
      </x:c>
      <x:c r="C1312" s="4" t="str">
        <x:v>PRJ-011</x:v>
      </x:c>
      <x:c r="D1312" s="4" t="str">
        <x:v>Office</x:v>
      </x:c>
      <x:c r="E1312" s="4" t="str">
        <x:v>Handed over</x:v>
      </x:c>
      <x:c r="F1312" s="4" t="str">
        <x:v>CUS-01311</x:v>
      </x:c>
      <x:c r="G1312" s="4" t="str">
        <x:v>UNIT-01311</x:v>
      </x:c>
      <x:c r="H1312" s="9" t="n">
        <x:v>19100000</x:v>
      </x:c>
      <x:c r="I1312" s="10" t="n">
        <x:v>0.07</x:v>
      </x:c>
      <x:c r="J1312" s="11" t="n">
        <x:v>8</x:v>
      </x:c>
      <x:c r="K1312" s="11" t="n">
        <x:v>8</x:v>
      </x:c>
      <x:c r="L1312" s="11" t="n">
        <x:v>0</x:v>
      </x:c>
      <x:c r="M1312" s="9" t="n">
        <x:f>ROUND(H1312*(1-I1312),2)</x:f>
        <x:v>17763000</x:v>
      </x:c>
      <x:c r="N1312" s="4" t="str">
        <x:v>Sales manager</x:v>
      </x:c>
      <x:c r="O1312" s="4" t="str">
        <x:v>BOOK-01311</x:v>
      </x:c>
      <x:c r="P1312" s="9" t="n">
        <x:v>17763000</x:v>
      </x:c>
      <x:c r="Q1312" s="11" t="n">
        <x:v>0</x:v>
      </x:c>
      <x:c r="R1312" s="8" t="n">
        <x:v>45434</x:v>
      </x:c>
      <x:c r="S1312" s="4" t="str">
        <x:v>Retained</x:v>
      </x:c>
      <x:c r="T1312" s="10" t="n">
        <x:v>0.310195</x:v>
      </x:c>
      <x:c r="U1312" s="4" t="str">
        <x:v>Train</x:v>
      </x:c>
    </x:row>
    <x:row r="1313" ht="34" customHeight="1">
      <x:c r="A1313" s="4" t="str">
        <x:v>RS-01312</x:v>
      </x:c>
      <x:c r="B1313" s="8" t="n">
        <x:v>45375</x:v>
      </x:c>
      <x:c r="C1313" s="4" t="str">
        <x:v>PRJ-012</x:v>
      </x:c>
      <x:c r="D1313" s="4" t="str">
        <x:v>Retail</x:v>
      </x:c>
      <x:c r="E1313" s="4" t="str">
        <x:v>Cancelled</x:v>
      </x:c>
      <x:c r="F1313" s="4" t="str">
        <x:v>CUS-01312</x:v>
      </x:c>
      <x:c r="G1313" s="4" t="str">
        <x:v>UNIT-01312</x:v>
      </x:c>
      <x:c r="H1313" s="9" t="n">
        <x:v>6200000</x:v>
      </x:c>
      <x:c r="I1313" s="10" t="n">
        <x:v>0</x:v>
      </x:c>
      <x:c r="J1313" s="11" t="n">
        <x:v>4</x:v>
      </x:c>
      <x:c r="K1313" s="11" t="n">
        <x:v>7</x:v>
      </x:c>
      <x:c r="L1313" s="11" t="n">
        <x:v>0</x:v>
      </x:c>
      <x:c r="M1313" s="9" t="n">
        <x:f>ROUND(H1313*(1-I1313),2)</x:f>
        <x:v>6200000</x:v>
      </x:c>
      <x:c r="N1313" s="4" t="str">
        <x:v>Sales manager</x:v>
      </x:c>
      <x:c r="O1313" s="4"/>
      <x:c r="P1313" s="9" t="n">
        <x:v>0</x:v>
      </x:c>
      <x:c r="Q1313" s="11" t="n">
        <x:v>1</x:v>
      </x:c>
      <x:c r="R1313" s="8" t="n">
        <x:v>45435</x:v>
      </x:c>
      <x:c r="S1313" s="4" t="str">
        <x:v>Lost / cancelled</x:v>
      </x:c>
      <x:c r="T1313" s="10" t="n">
        <x:v>0.145299</x:v>
      </x:c>
      <x:c r="U1313" s="4" t="str">
        <x:v>Train</x:v>
      </x:c>
    </x:row>
    <x:row r="1314" ht="34" customHeight="1">
      <x:c r="A1314" s="4" t="str">
        <x:v>RS-01313</x:v>
      </x:c>
      <x:c r="B1314" s="8" t="n">
        <x:v>45376</x:v>
      </x:c>
      <x:c r="C1314" s="4" t="str">
        <x:v>PRJ-013</x:v>
      </x:c>
      <x:c r="D1314" s="4" t="str">
        <x:v>Retail</x:v>
      </x:c>
      <x:c r="E1314" s="4" t="str">
        <x:v>Cancelled</x:v>
      </x:c>
      <x:c r="F1314" s="4" t="str">
        <x:v>CUS-01313</x:v>
      </x:c>
      <x:c r="G1314" s="4" t="str">
        <x:v>UNIT-01313</x:v>
      </x:c>
      <x:c r="H1314" s="9" t="n">
        <x:v>9400000</x:v>
      </x:c>
      <x:c r="I1314" s="10" t="n">
        <x:v>0.05</x:v>
      </x:c>
      <x:c r="J1314" s="11" t="n">
        <x:v>1</x:v>
      </x:c>
      <x:c r="K1314" s="11" t="n">
        <x:v>6</x:v>
      </x:c>
      <x:c r="L1314" s="11" t="n">
        <x:v>0</x:v>
      </x:c>
      <x:c r="M1314" s="9" t="n">
        <x:f>ROUND(H1314*(1-I1314),2)</x:f>
        <x:v>8930000</x:v>
      </x:c>
      <x:c r="N1314" s="4" t="str">
        <x:v>Sales manager</x:v>
      </x:c>
      <x:c r="O1314" s="4"/>
      <x:c r="P1314" s="9" t="n">
        <x:v>0</x:v>
      </x:c>
      <x:c r="Q1314" s="11" t="n">
        <x:v>1</x:v>
      </x:c>
      <x:c r="R1314" s="8" t="n">
        <x:v>45436</x:v>
      </x:c>
      <x:c r="S1314" s="4" t="str">
        <x:v>Lost / cancelled</x:v>
      </x:c>
      <x:c r="T1314" s="10" t="n">
        <x:v>0.204152</x:v>
      </x:c>
      <x:c r="U1314" s="4" t="str">
        <x:v>Train</x:v>
      </x:c>
    </x:row>
    <x:row r="1315" ht="34" customHeight="1">
      <x:c r="A1315" s="4" t="str">
        <x:v>RS-01314</x:v>
      </x:c>
      <x:c r="B1315" s="8" t="n">
        <x:v>45377</x:v>
      </x:c>
      <x:c r="C1315" s="4" t="str">
        <x:v>PRJ-014</x:v>
      </x:c>
      <x:c r="D1315" s="4" t="str">
        <x:v>Retail</x:v>
      </x:c>
      <x:c r="E1315" s="4" t="str">
        <x:v>Reserved</x:v>
      </x:c>
      <x:c r="F1315" s="4" t="str">
        <x:v>CUS-01314</x:v>
      </x:c>
      <x:c r="G1315" s="4" t="str">
        <x:v>UNIT-01314</x:v>
      </x:c>
      <x:c r="H1315" s="9" t="n">
        <x:v>6200000</x:v>
      </x:c>
      <x:c r="I1315" s="10" t="n">
        <x:v>0.09</x:v>
      </x:c>
      <x:c r="J1315" s="11" t="n">
        <x:v>11</x:v>
      </x:c>
      <x:c r="K1315" s="11" t="n">
        <x:v>1</x:v>
      </x:c>
      <x:c r="L1315" s="11" t="n">
        <x:v>0</x:v>
      </x:c>
      <x:c r="M1315" s="9" t="n">
        <x:f>ROUND(H1315*(1-I1315),2)</x:f>
        <x:v>5642000</x:v>
      </x:c>
      <x:c r="N1315" s="4" t="str">
        <x:v>Sales head</x:v>
      </x:c>
      <x:c r="O1315" s="4"/>
      <x:c r="P1315" s="9" t="n">
        <x:v>0</x:v>
      </x:c>
      <x:c r="Q1315" s="11" t="n">
        <x:v>0</x:v>
      </x:c>
      <x:c r="R1315" s="8" t="n">
        <x:v>45437</x:v>
      </x:c>
      <x:c r="S1315" s="4" t="str">
        <x:v>Retained</x:v>
      </x:c>
      <x:c r="T1315" s="10" t="n">
        <x:v>0.351536</x:v>
      </x:c>
      <x:c r="U1315" s="4" t="str">
        <x:v>Train</x:v>
      </x:c>
    </x:row>
    <x:row r="1316" ht="34" customHeight="1">
      <x:c r="A1316" s="4" t="str">
        <x:v>RS-01315</x:v>
      </x:c>
      <x:c r="B1316" s="8" t="n">
        <x:v>45378</x:v>
      </x:c>
      <x:c r="C1316" s="4" t="str">
        <x:v>PRJ-015</x:v>
      </x:c>
      <x:c r="D1316" s="4" t="str">
        <x:v>Apartment</x:v>
      </x:c>
      <x:c r="E1316" s="4" t="str">
        <x:v>Agreement signed</x:v>
      </x:c>
      <x:c r="F1316" s="4" t="str">
        <x:v>CUS-01315</x:v>
      </x:c>
      <x:c r="G1316" s="4" t="str">
        <x:v>UNIT-01315</x:v>
      </x:c>
      <x:c r="H1316" s="9" t="n">
        <x:v>5200000</x:v>
      </x:c>
      <x:c r="I1316" s="10" t="n">
        <x:v>0</x:v>
      </x:c>
      <x:c r="J1316" s="11" t="n">
        <x:v>1</x:v>
      </x:c>
      <x:c r="K1316" s="11" t="n">
        <x:v>7</x:v>
      </x:c>
      <x:c r="L1316" s="11" t="n">
        <x:v>1</x:v>
      </x:c>
      <x:c r="M1316" s="9" t="n">
        <x:f>ROUND(H1316*(1-I1316),2)</x:f>
        <x:v>5200000</x:v>
      </x:c>
      <x:c r="N1316" s="4" t="str">
        <x:v>Sales manager</x:v>
      </x:c>
      <x:c r="O1316" s="4" t="str">
        <x:v>BOOK-01315</x:v>
      </x:c>
      <x:c r="P1316" s="9" t="n">
        <x:v>1300000</x:v>
      </x:c>
      <x:c r="Q1316" s="11" t="n">
        <x:v>0</x:v>
      </x:c>
      <x:c r="R1316" s="8" t="n">
        <x:v>45438</x:v>
      </x:c>
      <x:c r="S1316" s="4" t="str">
        <x:v>Retained</x:v>
      </x:c>
      <x:c r="T1316" s="10" t="n">
        <x:v>0.072165</x:v>
      </x:c>
      <x:c r="U1316" s="4" t="str">
        <x:v>Train</x:v>
      </x:c>
    </x:row>
    <x:row r="1317" ht="34" customHeight="1">
      <x:c r="A1317" s="4" t="str">
        <x:v>RS-01316</x:v>
      </x:c>
      <x:c r="B1317" s="8" t="n">
        <x:v>45379</x:v>
      </x:c>
      <x:c r="C1317" s="4" t="str">
        <x:v>PRJ-016</x:v>
      </x:c>
      <x:c r="D1317" s="4" t="str">
        <x:v>Retail</x:v>
      </x:c>
      <x:c r="E1317" s="4" t="str">
        <x:v>Enquiry</x:v>
      </x:c>
      <x:c r="F1317" s="4" t="str">
        <x:v>CUS-01316</x:v>
      </x:c>
      <x:c r="G1317" s="4" t="str">
        <x:v>UNIT-01316</x:v>
      </x:c>
      <x:c r="H1317" s="9" t="n">
        <x:v>18000000</x:v>
      </x:c>
      <x:c r="I1317" s="10" t="n">
        <x:v>0.11</x:v>
      </x:c>
      <x:c r="J1317" s="11" t="n">
        <x:v>7</x:v>
      </x:c>
      <x:c r="K1317" s="11" t="n">
        <x:v>2</x:v>
      </x:c>
      <x:c r="L1317" s="11" t="n">
        <x:v>0</x:v>
      </x:c>
      <x:c r="M1317" s="9" t="n">
        <x:f>ROUND(H1317*(1-I1317),2)</x:f>
        <x:v>16020000</x:v>
      </x:c>
      <x:c r="N1317" s="4" t="str">
        <x:v>Sales head</x:v>
      </x:c>
      <x:c r="O1317" s="4"/>
      <x:c r="P1317" s="9" t="n">
        <x:v>0</x:v>
      </x:c>
      <x:c r="Q1317" s="11" t="n">
        <x:v>0</x:v>
      </x:c>
      <x:c r="R1317" s="8" t="n">
        <x:v>45439</x:v>
      </x:c>
      <x:c r="S1317" s="4" t="str">
        <x:v>Retained</x:v>
      </x:c>
      <x:c r="T1317" s="10" t="n">
        <x:v>0.226277</x:v>
      </x:c>
      <x:c r="U1317" s="4" t="str">
        <x:v>Train</x:v>
      </x:c>
    </x:row>
    <x:row r="1318" ht="34" customHeight="1">
      <x:c r="A1318" s="4" t="str">
        <x:v>RS-01317</x:v>
      </x:c>
      <x:c r="B1318" s="8" t="n">
        <x:v>45352</x:v>
      </x:c>
      <x:c r="C1318" s="4" t="str">
        <x:v>PRJ-017</x:v>
      </x:c>
      <x:c r="D1318" s="4" t="str">
        <x:v>Villa</x:v>
      </x:c>
      <x:c r="E1318" s="4" t="str">
        <x:v>Handed over</x:v>
      </x:c>
      <x:c r="F1318" s="4" t="str">
        <x:v>CUS-01317</x:v>
      </x:c>
      <x:c r="G1318" s="4" t="str">
        <x:v>UNIT-01317</x:v>
      </x:c>
      <x:c r="H1318" s="9" t="n">
        <x:v>24000000</x:v>
      </x:c>
      <x:c r="I1318" s="10" t="n">
        <x:v>0.06</x:v>
      </x:c>
      <x:c r="J1318" s="11" t="n">
        <x:v>3</x:v>
      </x:c>
      <x:c r="K1318" s="11" t="n">
        <x:v>4</x:v>
      </x:c>
      <x:c r="L1318" s="11" t="n">
        <x:v>1</x:v>
      </x:c>
      <x:c r="M1318" s="9" t="n">
        <x:f>ROUND(H1318*(1-I1318),2)</x:f>
        <x:v>22560000</x:v>
      </x:c>
      <x:c r="N1318" s="4" t="str">
        <x:v>Sales manager</x:v>
      </x:c>
      <x:c r="O1318" s="4" t="str">
        <x:v>BOOK-01317</x:v>
      </x:c>
      <x:c r="P1318" s="9" t="n">
        <x:v>22560000</x:v>
      </x:c>
      <x:c r="Q1318" s="11" t="n">
        <x:v>0</x:v>
      </x:c>
      <x:c r="R1318" s="8" t="n">
        <x:v>45412</x:v>
      </x:c>
      <x:c r="S1318" s="4" t="str">
        <x:v>Retained</x:v>
      </x:c>
      <x:c r="T1318" s="10" t="n">
        <x:v>0.204152</x:v>
      </x:c>
      <x:c r="U1318" s="4" t="str">
        <x:v>Train</x:v>
      </x:c>
    </x:row>
    <x:row r="1319" ht="34" customHeight="1">
      <x:c r="A1319" s="4" t="str">
        <x:v>RS-01318</x:v>
      </x:c>
      <x:c r="B1319" s="8" t="n">
        <x:v>45353</x:v>
      </x:c>
      <x:c r="C1319" s="4" t="str">
        <x:v>PRJ-018</x:v>
      </x:c>
      <x:c r="D1319" s="4" t="str">
        <x:v>Office</x:v>
      </x:c>
      <x:c r="E1319" s="4" t="str">
        <x:v>Handed over</x:v>
      </x:c>
      <x:c r="F1319" s="4" t="str">
        <x:v>CUS-01318</x:v>
      </x:c>
      <x:c r="G1319" s="4" t="str">
        <x:v>UNIT-01318</x:v>
      </x:c>
      <x:c r="H1319" s="9" t="n">
        <x:v>12000000</x:v>
      </x:c>
      <x:c r="I1319" s="10" t="n">
        <x:v>0.01</x:v>
      </x:c>
      <x:c r="J1319" s="11" t="n">
        <x:v>7</x:v>
      </x:c>
      <x:c r="K1319" s="11" t="n">
        <x:v>1</x:v>
      </x:c>
      <x:c r="L1319" s="11" t="n">
        <x:v>1</x:v>
      </x:c>
      <x:c r="M1319" s="9" t="n">
        <x:f>ROUND(H1319*(1-I1319),2)</x:f>
        <x:v>11880000</x:v>
      </x:c>
      <x:c r="N1319" s="4" t="str">
        <x:v>Sales manager</x:v>
      </x:c>
      <x:c r="O1319" s="4" t="str">
        <x:v>BOOK-01318</x:v>
      </x:c>
      <x:c r="P1319" s="9" t="n">
        <x:v>11880000</x:v>
      </x:c>
      <x:c r="Q1319" s="11" t="n">
        <x:v>0</x:v>
      </x:c>
      <x:c r="R1319" s="8" t="n">
        <x:v>45413</x:v>
      </x:c>
      <x:c r="S1319" s="4" t="str">
        <x:v>Retained</x:v>
      </x:c>
      <x:c r="T1319" s="10" t="n">
        <x:v>0.298969</x:v>
      </x:c>
      <x:c r="U1319" s="4" t="str">
        <x:v>Train</x:v>
      </x:c>
    </x:row>
    <x:row r="1320" ht="34" customHeight="1">
      <x:c r="A1320" s="4" t="str">
        <x:v>RS-01319</x:v>
      </x:c>
      <x:c r="B1320" s="8" t="n">
        <x:v>45354</x:v>
      </x:c>
      <x:c r="C1320" s="4" t="str">
        <x:v>PRJ-019</x:v>
      </x:c>
      <x:c r="D1320" s="4" t="str">
        <x:v>Apartment</x:v>
      </x:c>
      <x:c r="E1320" s="4" t="str">
        <x:v>Reserved</x:v>
      </x:c>
      <x:c r="F1320" s="4" t="str">
        <x:v>CUS-01319</x:v>
      </x:c>
      <x:c r="G1320" s="4" t="str">
        <x:v>UNIT-01319</x:v>
      </x:c>
      <x:c r="H1320" s="9" t="n">
        <x:v>10500000</x:v>
      </x:c>
      <x:c r="I1320" s="10" t="n">
        <x:v>0.03</x:v>
      </x:c>
      <x:c r="J1320" s="11" t="n">
        <x:v>3</x:v>
      </x:c>
      <x:c r="K1320" s="11" t="n">
        <x:v>1</x:v>
      </x:c>
      <x:c r="L1320" s="11" t="n">
        <x:v>1</x:v>
      </x:c>
      <x:c r="M1320" s="9" t="n">
        <x:f>ROUND(H1320*(1-I1320),2)</x:f>
        <x:v>10185000</x:v>
      </x:c>
      <x:c r="N1320" s="4" t="str">
        <x:v>Sales manager</x:v>
      </x:c>
      <x:c r="O1320" s="4"/>
      <x:c r="P1320" s="9" t="n">
        <x:v>0</x:v>
      </x:c>
      <x:c r="Q1320" s="11" t="n">
        <x:v>0</x:v>
      </x:c>
      <x:c r="R1320" s="8" t="n">
        <x:v>45414</x:v>
      </x:c>
      <x:c r="S1320" s="4" t="str">
        <x:v>Retained</x:v>
      </x:c>
      <x:c r="T1320" s="10" t="n">
        <x:v>0.171717</x:v>
      </x:c>
      <x:c r="U1320" s="4" t="str">
        <x:v>Train</x:v>
      </x:c>
    </x:row>
    <x:row r="1321" ht="34" customHeight="1">
      <x:c r="A1321" s="4" t="str">
        <x:v>RS-01320</x:v>
      </x:c>
      <x:c r="B1321" s="8" t="n">
        <x:v>45355</x:v>
      </x:c>
      <x:c r="C1321" s="4" t="str">
        <x:v>PRJ-020</x:v>
      </x:c>
      <x:c r="D1321" s="4" t="str">
        <x:v>Apartment</x:v>
      </x:c>
      <x:c r="E1321" s="4" t="str">
        <x:v>Cancelled</x:v>
      </x:c>
      <x:c r="F1321" s="4" t="str">
        <x:v>CUS-01320</x:v>
      </x:c>
      <x:c r="G1321" s="4" t="str">
        <x:v>UNIT-01320</x:v>
      </x:c>
      <x:c r="H1321" s="9" t="n">
        <x:v>7400000</x:v>
      </x:c>
      <x:c r="I1321" s="10" t="n">
        <x:v>0.1</x:v>
      </x:c>
      <x:c r="J1321" s="11" t="n">
        <x:v>12</x:v>
      </x:c>
      <x:c r="K1321" s="11" t="n">
        <x:v>10</x:v>
      </x:c>
      <x:c r="L1321" s="11" t="n">
        <x:v>0</x:v>
      </x:c>
      <x:c r="M1321" s="9" t="n">
        <x:f>ROUND(H1321*(1-I1321),2)</x:f>
        <x:v>6660000</x:v>
      </x:c>
      <x:c r="N1321" s="4" t="str">
        <x:v>Sales head</x:v>
      </x:c>
      <x:c r="O1321" s="4"/>
      <x:c r="P1321" s="9" t="n">
        <x:v>0</x:v>
      </x:c>
      <x:c r="Q1321" s="11" t="n">
        <x:v>1</x:v>
      </x:c>
      <x:c r="R1321" s="8" t="n">
        <x:v>45415</x:v>
      </x:c>
      <x:c r="S1321" s="4" t="str">
        <x:v>Lost / cancelled</x:v>
      </x:c>
      <x:c r="T1321" s="10" t="n">
        <x:v>0.351536</x:v>
      </x:c>
      <x:c r="U1321" s="4" t="str">
        <x:v>Train</x:v>
      </x:c>
    </x:row>
    <x:row r="1322" ht="34" customHeight="1">
      <x:c r="A1322" s="4" t="str">
        <x:v>RS-01321</x:v>
      </x:c>
      <x:c r="B1322" s="8" t="n">
        <x:v>45356</x:v>
      </x:c>
      <x:c r="C1322" s="4" t="str">
        <x:v>PRJ-001</x:v>
      </x:c>
      <x:c r="D1322" s="4" t="str">
        <x:v>Office</x:v>
      </x:c>
      <x:c r="E1322" s="4" t="str">
        <x:v>Handed over</x:v>
      </x:c>
      <x:c r="F1322" s="4" t="str">
        <x:v>CUS-01321</x:v>
      </x:c>
      <x:c r="G1322" s="4" t="str">
        <x:v>UNIT-01321</x:v>
      </x:c>
      <x:c r="H1322" s="9" t="n">
        <x:v>6400000</x:v>
      </x:c>
      <x:c r="I1322" s="10" t="n">
        <x:v>0.07</x:v>
      </x:c>
      <x:c r="J1322" s="11" t="n">
        <x:v>11</x:v>
      </x:c>
      <x:c r="K1322" s="11" t="n">
        <x:v>1</x:v>
      </x:c>
      <x:c r="L1322" s="11" t="n">
        <x:v>0</x:v>
      </x:c>
      <x:c r="M1322" s="9" t="n">
        <x:f>ROUND(H1322*(1-I1322),2)</x:f>
        <x:v>5952000</x:v>
      </x:c>
      <x:c r="N1322" s="4" t="str">
        <x:v>Sales manager</x:v>
      </x:c>
      <x:c r="O1322" s="4" t="str">
        <x:v>BOOK-01321</x:v>
      </x:c>
      <x:c r="P1322" s="9" t="n">
        <x:v>595200</x:v>
      </x:c>
      <x:c r="Q1322" s="11" t="n">
        <x:v>0</x:v>
      </x:c>
      <x:c r="R1322" s="8" t="n">
        <x:v>45416</x:v>
      </x:c>
      <x:c r="S1322" s="4" t="str">
        <x:v>Retained</x:v>
      </x:c>
      <x:c r="T1322" s="10" t="n">
        <x:v>0.351536</x:v>
      </x:c>
      <x:c r="U1322" s="4" t="str">
        <x:v>Train</x:v>
      </x:c>
    </x:row>
    <x:row r="1323" ht="34" customHeight="1">
      <x:c r="A1323" s="4" t="str">
        <x:v>RS-01322</x:v>
      </x:c>
      <x:c r="B1323" s="8" t="n">
        <x:v>45357</x:v>
      </x:c>
      <x:c r="C1323" s="4" t="str">
        <x:v>PRJ-002</x:v>
      </x:c>
      <x:c r="D1323" s="4" t="str">
        <x:v>Villa</x:v>
      </x:c>
      <x:c r="E1323" s="4" t="str">
        <x:v>Agreement signed</x:v>
      </x:c>
      <x:c r="F1323" s="4" t="str">
        <x:v>CUS-01322</x:v>
      </x:c>
      <x:c r="G1323" s="4" t="str">
        <x:v>UNIT-01322</x:v>
      </x:c>
      <x:c r="H1323" s="9" t="n">
        <x:v>19400000</x:v>
      </x:c>
      <x:c r="I1323" s="10" t="n">
        <x:v>0.02</x:v>
      </x:c>
      <x:c r="J1323" s="11" t="n">
        <x:v>1</x:v>
      </x:c>
      <x:c r="K1323" s="11" t="n">
        <x:v>0</x:v>
      </x:c>
      <x:c r="L1323" s="11" t="n">
        <x:v>0</x:v>
      </x:c>
      <x:c r="M1323" s="9" t="n">
        <x:f>ROUND(H1323*(1-I1323),2)</x:f>
        <x:v>19012000</x:v>
      </x:c>
      <x:c r="N1323" s="4" t="str">
        <x:v>Sales manager</x:v>
      </x:c>
      <x:c r="O1323" s="4" t="str">
        <x:v>BOOK-01322</x:v>
      </x:c>
      <x:c r="P1323" s="9" t="n">
        <x:v>19012000</x:v>
      </x:c>
      <x:c r="Q1323" s="11" t="n">
        <x:v>0</x:v>
      </x:c>
      <x:c r="R1323" s="8" t="n">
        <x:v>45417</x:v>
      </x:c>
      <x:c r="S1323" s="4" t="str">
        <x:v>Retained</x:v>
      </x:c>
      <x:c r="T1323" s="10" t="n">
        <x:v>0.276923</x:v>
      </x:c>
      <x:c r="U1323" s="4" t="str">
        <x:v>Train</x:v>
      </x:c>
    </x:row>
    <x:row r="1324" ht="34" customHeight="1">
      <x:c r="A1324" s="4" t="str">
        <x:v>RS-01323</x:v>
      </x:c>
      <x:c r="B1324" s="8" t="n">
        <x:v>45358</x:v>
      </x:c>
      <x:c r="C1324" s="4" t="str">
        <x:v>PRJ-003</x:v>
      </x:c>
      <x:c r="D1324" s="4" t="str">
        <x:v>Retail</x:v>
      </x:c>
      <x:c r="E1324" s="4" t="str">
        <x:v>Handed over</x:v>
      </x:c>
      <x:c r="F1324" s="4" t="str">
        <x:v>CUS-01323</x:v>
      </x:c>
      <x:c r="G1324" s="4" t="str">
        <x:v>UNIT-01323</x:v>
      </x:c>
      <x:c r="H1324" s="9" t="n">
        <x:v>13700000</x:v>
      </x:c>
      <x:c r="I1324" s="10" t="n">
        <x:v>0.09</x:v>
      </x:c>
      <x:c r="J1324" s="11" t="n">
        <x:v>4</x:v>
      </x:c>
      <x:c r="K1324" s="11" t="n">
        <x:v>3</x:v>
      </x:c>
      <x:c r="L1324" s="11" t="n">
        <x:v>1</x:v>
      </x:c>
      <x:c r="M1324" s="9" t="n">
        <x:f>ROUND(H1324*(1-I1324),2)</x:f>
        <x:v>12467000</x:v>
      </x:c>
      <x:c r="N1324" s="4" t="str">
        <x:v>Sales head</x:v>
      </x:c>
      <x:c r="O1324" s="4" t="str">
        <x:v>BOOK-01323</x:v>
      </x:c>
      <x:c r="P1324" s="9" t="n">
        <x:v>6233500</x:v>
      </x:c>
      <x:c r="Q1324" s="11" t="n">
        <x:v>0</x:v>
      </x:c>
      <x:c r="R1324" s="8" t="n">
        <x:v>45418</x:v>
      </x:c>
      <x:c r="S1324" s="4" t="str">
        <x:v>Retained</x:v>
      </x:c>
      <x:c r="T1324" s="10" t="n">
        <x:v>0.291946</x:v>
      </x:c>
      <x:c r="U1324" s="4" t="str">
        <x:v>Train</x:v>
      </x:c>
    </x:row>
    <x:row r="1325" ht="34" customHeight="1">
      <x:c r="A1325" s="4" t="str">
        <x:v>RS-01324</x:v>
      </x:c>
      <x:c r="B1325" s="8" t="n">
        <x:v>45359</x:v>
      </x:c>
      <x:c r="C1325" s="4" t="str">
        <x:v>PRJ-004</x:v>
      </x:c>
      <x:c r="D1325" s="4" t="str">
        <x:v>Office</x:v>
      </x:c>
      <x:c r="E1325" s="4" t="str">
        <x:v>Booked</x:v>
      </x:c>
      <x:c r="F1325" s="4" t="str">
        <x:v>CUS-01324</x:v>
      </x:c>
      <x:c r="G1325" s="4" t="str">
        <x:v>UNIT-01324</x:v>
      </x:c>
      <x:c r="H1325" s="9" t="n">
        <x:v>16800000</x:v>
      </x:c>
      <x:c r="I1325" s="10" t="n">
        <x:v>0.12</x:v>
      </x:c>
      <x:c r="J1325" s="11" t="n">
        <x:v>2</x:v>
      </x:c>
      <x:c r="K1325" s="11" t="n">
        <x:v>10</x:v>
      </x:c>
      <x:c r="L1325" s="11" t="n">
        <x:v>0</x:v>
      </x:c>
      <x:c r="M1325" s="9" t="n">
        <x:f>ROUND(H1325*(1-I1325),2)</x:f>
        <x:v>14784000</x:v>
      </x:c>
      <x:c r="N1325" s="4" t="str">
        <x:v>Sales head</x:v>
      </x:c>
      <x:c r="O1325" s="4" t="str">
        <x:v>BOOK-01324</x:v>
      </x:c>
      <x:c r="P1325" s="9" t="n">
        <x:v>7392000</x:v>
      </x:c>
      <x:c r="Q1325" s="11" t="n">
        <x:v>0</x:v>
      </x:c>
      <x:c r="R1325" s="8" t="n">
        <x:v>45419</x:v>
      </x:c>
      <x:c r="S1325" s="4" t="str">
        <x:v>Retained</x:v>
      </x:c>
      <x:c r="T1325" s="10" t="n">
        <x:v>0.145833</x:v>
      </x:c>
      <x:c r="U1325" s="4" t="str">
        <x:v>Train</x:v>
      </x:c>
    </x:row>
    <x:row r="1326" ht="34" customHeight="1">
      <x:c r="A1326" s="4" t="str">
        <x:v>RS-01325</x:v>
      </x:c>
      <x:c r="B1326" s="8" t="n">
        <x:v>45360</x:v>
      </x:c>
      <x:c r="C1326" s="4" t="str">
        <x:v>PRJ-005</x:v>
      </x:c>
      <x:c r="D1326" s="4" t="str">
        <x:v>Apartment</x:v>
      </x:c>
      <x:c r="E1326" s="4" t="str">
        <x:v>Enquiry</x:v>
      </x:c>
      <x:c r="F1326" s="4" t="str">
        <x:v>CUS-01325</x:v>
      </x:c>
      <x:c r="G1326" s="4" t="str">
        <x:v>UNIT-01325</x:v>
      </x:c>
      <x:c r="H1326" s="9" t="n">
        <x:v>13000000</x:v>
      </x:c>
      <x:c r="I1326" s="10" t="n">
        <x:v>0.08</x:v>
      </x:c>
      <x:c r="J1326" s="11" t="n">
        <x:v>0</x:v>
      </x:c>
      <x:c r="K1326" s="11" t="n">
        <x:v>4</x:v>
      </x:c>
      <x:c r="L1326" s="11" t="n">
        <x:v>1</x:v>
      </x:c>
      <x:c r="M1326" s="9" t="n">
        <x:f>ROUND(H1326*(1-I1326),2)</x:f>
        <x:v>11960000</x:v>
      </x:c>
      <x:c r="N1326" s="4" t="str">
        <x:v>Sales head</x:v>
      </x:c>
      <x:c r="O1326" s="4"/>
      <x:c r="P1326" s="9" t="n">
        <x:v>0</x:v>
      </x:c>
      <x:c r="Q1326" s="11" t="n">
        <x:v>0</x:v>
      </x:c>
      <x:c r="R1326" s="8" t="n">
        <x:v>45420</x:v>
      </x:c>
      <x:c r="S1326" s="4" t="str">
        <x:v>Retained</x:v>
      </x:c>
      <x:c r="T1326" s="10" t="n">
        <x:v>0.204152</x:v>
      </x:c>
      <x:c r="U1326" s="4" t="str">
        <x:v>Train</x:v>
      </x:c>
    </x:row>
    <x:row r="1327" ht="34" customHeight="1">
      <x:c r="A1327" s="4" t="str">
        <x:v>RS-01326</x:v>
      </x:c>
      <x:c r="B1327" s="8" t="n">
        <x:v>45361</x:v>
      </x:c>
      <x:c r="C1327" s="4" t="str">
        <x:v>PRJ-006</x:v>
      </x:c>
      <x:c r="D1327" s="4" t="str">
        <x:v>Apartment</x:v>
      </x:c>
      <x:c r="E1327" s="4" t="str">
        <x:v>Reserved</x:v>
      </x:c>
      <x:c r="F1327" s="4" t="str">
        <x:v>CUS-01326</x:v>
      </x:c>
      <x:c r="G1327" s="4" t="str">
        <x:v>UNIT-01326</x:v>
      </x:c>
      <x:c r="H1327" s="9" t="n">
        <x:v>11400000</x:v>
      </x:c>
      <x:c r="I1327" s="10" t="n">
        <x:v>0.11</x:v>
      </x:c>
      <x:c r="J1327" s="11" t="n">
        <x:v>8</x:v>
      </x:c>
      <x:c r="K1327" s="11" t="n">
        <x:v>9</x:v>
      </x:c>
      <x:c r="L1327" s="11" t="n">
        <x:v>1</x:v>
      </x:c>
      <x:c r="M1327" s="9" t="n">
        <x:f>ROUND(H1327*(1-I1327),2)</x:f>
        <x:v>10146000</x:v>
      </x:c>
      <x:c r="N1327" s="4" t="str">
        <x:v>Sales head</x:v>
      </x:c>
      <x:c r="O1327" s="4"/>
      <x:c r="P1327" s="9" t="n">
        <x:v>0</x:v>
      </x:c>
      <x:c r="Q1327" s="11" t="n">
        <x:v>1</x:v>
      </x:c>
      <x:c r="R1327" s="8" t="n">
        <x:v>45421</x:v>
      </x:c>
      <x:c r="S1327" s="4" t="str">
        <x:v>Lost / cancelled</x:v>
      </x:c>
      <x:c r="T1327" s="10" t="n">
        <x:v>0.310195</x:v>
      </x:c>
      <x:c r="U1327" s="4" t="str">
        <x:v>Train</x:v>
      </x:c>
    </x:row>
    <x:row r="1328" ht="34" customHeight="1">
      <x:c r="A1328" s="4" t="str">
        <x:v>RS-01327</x:v>
      </x:c>
      <x:c r="B1328" s="8" t="n">
        <x:v>45362</x:v>
      </x:c>
      <x:c r="C1328" s="4" t="str">
        <x:v>PRJ-007</x:v>
      </x:c>
      <x:c r="D1328" s="4" t="str">
        <x:v>Villa</x:v>
      </x:c>
      <x:c r="E1328" s="4" t="str">
        <x:v>Cancelled</x:v>
      </x:c>
      <x:c r="F1328" s="4" t="str">
        <x:v>CUS-01327</x:v>
      </x:c>
      <x:c r="G1328" s="4" t="str">
        <x:v>UNIT-01327</x:v>
      </x:c>
      <x:c r="H1328" s="9" t="n">
        <x:v>21800000</x:v>
      </x:c>
      <x:c r="I1328" s="10" t="n">
        <x:v>0.04</x:v>
      </x:c>
      <x:c r="J1328" s="11" t="n">
        <x:v>0</x:v>
      </x:c>
      <x:c r="K1328" s="11" t="n">
        <x:v>4</x:v>
      </x:c>
      <x:c r="L1328" s="11" t="n">
        <x:v>1</x:v>
      </x:c>
      <x:c r="M1328" s="9" t="n">
        <x:f>ROUND(H1328*(1-I1328),2)</x:f>
        <x:v>20928000</x:v>
      </x:c>
      <x:c r="N1328" s="4" t="str">
        <x:v>Sales manager</x:v>
      </x:c>
      <x:c r="O1328" s="4"/>
      <x:c r="P1328" s="9" t="n">
        <x:v>0</x:v>
      </x:c>
      <x:c r="Q1328" s="11" t="n">
        <x:v>1</x:v>
      </x:c>
      <x:c r="R1328" s="8" t="n">
        <x:v>45422</x:v>
      </x:c>
      <x:c r="S1328" s="4" t="str">
        <x:v>Lost / cancelled</x:v>
      </x:c>
      <x:c r="T1328" s="10" t="n">
        <x:v>0.204152</x:v>
      </x:c>
      <x:c r="U1328" s="4" t="str">
        <x:v>Train</x:v>
      </x:c>
    </x:row>
    <x:row r="1329" ht="34" customHeight="1">
      <x:c r="A1329" s="4" t="str">
        <x:v>RS-01328</x:v>
      </x:c>
      <x:c r="B1329" s="8" t="n">
        <x:v>45363</x:v>
      </x:c>
      <x:c r="C1329" s="4" t="str">
        <x:v>PRJ-008</x:v>
      </x:c>
      <x:c r="D1329" s="4" t="str">
        <x:v>Office</x:v>
      </x:c>
      <x:c r="E1329" s="4" t="str">
        <x:v>Cancelled</x:v>
      </x:c>
      <x:c r="F1329" s="4" t="str">
        <x:v>CUS-01328</x:v>
      </x:c>
      <x:c r="G1329" s="4" t="str">
        <x:v>UNIT-01328</x:v>
      </x:c>
      <x:c r="H1329" s="9" t="n">
        <x:v>10100000</x:v>
      </x:c>
      <x:c r="I1329" s="10" t="n">
        <x:v>0.08</x:v>
      </x:c>
      <x:c r="J1329" s="11" t="n">
        <x:v>7</x:v>
      </x:c>
      <x:c r="K1329" s="11" t="n">
        <x:v>5</x:v>
      </x:c>
      <x:c r="L1329" s="11" t="n">
        <x:v>1</x:v>
      </x:c>
      <x:c r="M1329" s="9" t="n">
        <x:f>ROUND(H1329*(1-I1329),2)</x:f>
        <x:v>9292000</x:v>
      </x:c>
      <x:c r="N1329" s="4" t="str">
        <x:v>Sales head</x:v>
      </x:c>
      <x:c r="O1329" s="4"/>
      <x:c r="P1329" s="9" t="n">
        <x:v>0</x:v>
      </x:c>
      <x:c r="Q1329" s="11" t="n">
        <x:v>1</x:v>
      </x:c>
      <x:c r="R1329" s="8" t="n">
        <x:v>45423</x:v>
      </x:c>
      <x:c r="S1329" s="4" t="str">
        <x:v>Lost / cancelled</x:v>
      </x:c>
      <x:c r="T1329" s="10" t="n">
        <x:v>0.291946</x:v>
      </x:c>
      <x:c r="U1329" s="4" t="str">
        <x:v>Train</x:v>
      </x:c>
    </x:row>
    <x:row r="1330" ht="34" customHeight="1">
      <x:c r="A1330" s="4" t="str">
        <x:v>RS-01329</x:v>
      </x:c>
      <x:c r="B1330" s="8" t="n">
        <x:v>45364</x:v>
      </x:c>
      <x:c r="C1330" s="4" t="str">
        <x:v>PRJ-009</x:v>
      </x:c>
      <x:c r="D1330" s="4" t="str">
        <x:v>Retail</x:v>
      </x:c>
      <x:c r="E1330" s="4" t="str">
        <x:v>Agreement signed</x:v>
      </x:c>
      <x:c r="F1330" s="4" t="str">
        <x:v>CUS-01329</x:v>
      </x:c>
      <x:c r="G1330" s="4" t="str">
        <x:v>UNIT-01329</x:v>
      </x:c>
      <x:c r="H1330" s="9" t="n">
        <x:v>12200000</x:v>
      </x:c>
      <x:c r="I1330" s="10" t="n">
        <x:v>0.02</x:v>
      </x:c>
      <x:c r="J1330" s="11" t="n">
        <x:v>1</x:v>
      </x:c>
      <x:c r="K1330" s="11" t="n">
        <x:v>9</x:v>
      </x:c>
      <x:c r="L1330" s="11" t="n">
        <x:v>1</x:v>
      </x:c>
      <x:c r="M1330" s="9" t="n">
        <x:f>ROUND(H1330*(1-I1330),2)</x:f>
        <x:v>11956000</x:v>
      </x:c>
      <x:c r="N1330" s="4" t="str">
        <x:v>Sales manager</x:v>
      </x:c>
      <x:c r="O1330" s="4" t="str">
        <x:v>BOOK-01329</x:v>
      </x:c>
      <x:c r="P1330" s="9" t="n">
        <x:v>2989000</x:v>
      </x:c>
      <x:c r="Q1330" s="11" t="n">
        <x:v>0</x:v>
      </x:c>
      <x:c r="R1330" s="8" t="n">
        <x:v>45424</x:v>
      </x:c>
      <x:c r="S1330" s="4" t="str">
        <x:v>Retained</x:v>
      </x:c>
      <x:c r="T1330" s="10" t="n">
        <x:v>0.072165</x:v>
      </x:c>
      <x:c r="U1330" s="4" t="str">
        <x:v>Train</x:v>
      </x:c>
    </x:row>
    <x:row r="1331" ht="34" customHeight="1">
      <x:c r="A1331" s="4" t="str">
        <x:v>RS-01330</x:v>
      </x:c>
      <x:c r="B1331" s="8" t="n">
        <x:v>45365</x:v>
      </x:c>
      <x:c r="C1331" s="4" t="str">
        <x:v>PRJ-010</x:v>
      </x:c>
      <x:c r="D1331" s="4" t="str">
        <x:v>Apartment</x:v>
      </x:c>
      <x:c r="E1331" s="4" t="str">
        <x:v>Booked</x:v>
      </x:c>
      <x:c r="F1331" s="4" t="str">
        <x:v>CUS-01330</x:v>
      </x:c>
      <x:c r="G1331" s="4" t="str">
        <x:v>UNIT-01330</x:v>
      </x:c>
      <x:c r="H1331" s="9" t="n">
        <x:v>11400000</x:v>
      </x:c>
      <x:c r="I1331" s="10" t="n">
        <x:v>0.09</x:v>
      </x:c>
      <x:c r="J1331" s="11" t="n">
        <x:v>2</x:v>
      </x:c>
      <x:c r="K1331" s="11" t="n">
        <x:v>8</x:v>
      </x:c>
      <x:c r="L1331" s="11" t="n">
        <x:v>1</x:v>
      </x:c>
      <x:c r="M1331" s="9" t="n">
        <x:f>ROUND(H1331*(1-I1331),2)</x:f>
        <x:v>10374000</x:v>
      </x:c>
      <x:c r="N1331" s="4" t="str">
        <x:v>Sales head</x:v>
      </x:c>
      <x:c r="O1331" s="4" t="str">
        <x:v>BOOK-01330</x:v>
      </x:c>
      <x:c r="P1331" s="9" t="n">
        <x:v>2593500</x:v>
      </x:c>
      <x:c r="Q1331" s="11" t="n">
        <x:v>0</x:v>
      </x:c>
      <x:c r="R1331" s="8" t="n">
        <x:v>45425</x:v>
      </x:c>
      <x:c r="S1331" s="4" t="str">
        <x:v>Retained</x:v>
      </x:c>
      <x:c r="T1331" s="10" t="n">
        <x:v>0.145833</x:v>
      </x:c>
      <x:c r="U1331" s="4" t="str">
        <x:v>Train</x:v>
      </x:c>
    </x:row>
    <x:row r="1332" ht="34" customHeight="1">
      <x:c r="A1332" s="4" t="str">
        <x:v>RS-01331</x:v>
      </x:c>
      <x:c r="B1332" s="8" t="n">
        <x:v>45366</x:v>
      </x:c>
      <x:c r="C1332" s="4" t="str">
        <x:v>PRJ-011</x:v>
      </x:c>
      <x:c r="D1332" s="4" t="str">
        <x:v>Apartment</x:v>
      </x:c>
      <x:c r="E1332" s="4" t="str">
        <x:v>Cancelled</x:v>
      </x:c>
      <x:c r="F1332" s="4" t="str">
        <x:v>CUS-01331</x:v>
      </x:c>
      <x:c r="G1332" s="4" t="str">
        <x:v>UNIT-01331</x:v>
      </x:c>
      <x:c r="H1332" s="9" t="n">
        <x:v>16300000</x:v>
      </x:c>
      <x:c r="I1332" s="10" t="n">
        <x:v>0.1</x:v>
      </x:c>
      <x:c r="J1332" s="11" t="n">
        <x:v>8</x:v>
      </x:c>
      <x:c r="K1332" s="11" t="n">
        <x:v>7</x:v>
      </x:c>
      <x:c r="L1332" s="11" t="n">
        <x:v>0</x:v>
      </x:c>
      <x:c r="M1332" s="9" t="n">
        <x:f>ROUND(H1332*(1-I1332),2)</x:f>
        <x:v>14670000</x:v>
      </x:c>
      <x:c r="N1332" s="4" t="str">
        <x:v>Sales head</x:v>
      </x:c>
      <x:c r="O1332" s="4"/>
      <x:c r="P1332" s="9" t="n">
        <x:v>0</x:v>
      </x:c>
      <x:c r="Q1332" s="11" t="n">
        <x:v>1</x:v>
      </x:c>
      <x:c r="R1332" s="8" t="n">
        <x:v>45426</x:v>
      </x:c>
      <x:c r="S1332" s="4" t="str">
        <x:v>Lost / cancelled</x:v>
      </x:c>
      <x:c r="T1332" s="10" t="n">
        <x:v>0.310195</x:v>
      </x:c>
      <x:c r="U1332" s="4" t="str">
        <x:v>Train</x:v>
      </x:c>
    </x:row>
    <x:row r="1333" ht="34" customHeight="1">
      <x:c r="A1333" s="4" t="str">
        <x:v>RS-01332</x:v>
      </x:c>
      <x:c r="B1333" s="8" t="n">
        <x:v>45367</x:v>
      </x:c>
      <x:c r="C1333" s="4" t="str">
        <x:v>PRJ-012</x:v>
      </x:c>
      <x:c r="D1333" s="4" t="str">
        <x:v>Retail</x:v>
      </x:c>
      <x:c r="E1333" s="4" t="str">
        <x:v>Cancelled</x:v>
      </x:c>
      <x:c r="F1333" s="4" t="str">
        <x:v>CUS-01332</x:v>
      </x:c>
      <x:c r="G1333" s="4" t="str">
        <x:v>UNIT-01332</x:v>
      </x:c>
      <x:c r="H1333" s="9" t="n">
        <x:v>24700000</x:v>
      </x:c>
      <x:c r="I1333" s="10" t="n">
        <x:v>0.03</x:v>
      </x:c>
      <x:c r="J1333" s="11" t="n">
        <x:v>10</x:v>
      </x:c>
      <x:c r="K1333" s="11" t="n">
        <x:v>1</x:v>
      </x:c>
      <x:c r="L1333" s="11" t="n">
        <x:v>0</x:v>
      </x:c>
      <x:c r="M1333" s="9" t="n">
        <x:f>ROUND(H1333*(1-I1333),2)</x:f>
        <x:v>23959000</x:v>
      </x:c>
      <x:c r="N1333" s="4" t="str">
        <x:v>Sales manager</x:v>
      </x:c>
      <x:c r="O1333" s="4"/>
      <x:c r="P1333" s="9" t="n">
        <x:v>0</x:v>
      </x:c>
      <x:c r="Q1333" s="11" t="n">
        <x:v>1</x:v>
      </x:c>
      <x:c r="R1333" s="8" t="n">
        <x:v>45427</x:v>
      </x:c>
      <x:c r="S1333" s="4" t="str">
        <x:v>Lost / cancelled</x:v>
      </x:c>
      <x:c r="T1333" s="10" t="n">
        <x:v>0.310195</x:v>
      </x:c>
      <x:c r="U1333" s="4" t="str">
        <x:v>Train</x:v>
      </x:c>
    </x:row>
    <x:row r="1334" ht="34" customHeight="1">
      <x:c r="A1334" s="4" t="str">
        <x:v>RS-01333</x:v>
      </x:c>
      <x:c r="B1334" s="8" t="n">
        <x:v>45368</x:v>
      </x:c>
      <x:c r="C1334" s="4" t="str">
        <x:v>PRJ-013</x:v>
      </x:c>
      <x:c r="D1334" s="4" t="str">
        <x:v>Retail</x:v>
      </x:c>
      <x:c r="E1334" s="4" t="str">
        <x:v>Reserved</x:v>
      </x:c>
      <x:c r="F1334" s="4" t="str">
        <x:v>CUS-01333</x:v>
      </x:c>
      <x:c r="G1334" s="4" t="str">
        <x:v>UNIT-01333</x:v>
      </x:c>
      <x:c r="H1334" s="9" t="n">
        <x:v>17700000</x:v>
      </x:c>
      <x:c r="I1334" s="10" t="n">
        <x:v>0.1</x:v>
      </x:c>
      <x:c r="J1334" s="11" t="n">
        <x:v>6</x:v>
      </x:c>
      <x:c r="K1334" s="11" t="n">
        <x:v>6</x:v>
      </x:c>
      <x:c r="L1334" s="11" t="n">
        <x:v>1</x:v>
      </x:c>
      <x:c r="M1334" s="9" t="n">
        <x:f>ROUND(H1334*(1-I1334),2)</x:f>
        <x:v>15930000</x:v>
      </x:c>
      <x:c r="N1334" s="4" t="str">
        <x:v>Sales head</x:v>
      </x:c>
      <x:c r="O1334" s="4"/>
      <x:c r="P1334" s="9" t="n">
        <x:v>0</x:v>
      </x:c>
      <x:c r="Q1334" s="11" t="n">
        <x:v>1</x:v>
      </x:c>
      <x:c r="R1334" s="8" t="n">
        <x:v>45428</x:v>
      </x:c>
      <x:c r="S1334" s="4" t="str">
        <x:v>Lost / cancelled</x:v>
      </x:c>
      <x:c r="T1334" s="10" t="n">
        <x:v>0.291946</x:v>
      </x:c>
      <x:c r="U1334" s="4" t="str">
        <x:v>Train</x:v>
      </x:c>
    </x:row>
    <x:row r="1335" ht="34" customHeight="1">
      <x:c r="A1335" s="4" t="str">
        <x:v>RS-01334</x:v>
      </x:c>
      <x:c r="B1335" s="8" t="n">
        <x:v>45369</x:v>
      </x:c>
      <x:c r="C1335" s="4" t="str">
        <x:v>PRJ-014</x:v>
      </x:c>
      <x:c r="D1335" s="4" t="str">
        <x:v>Office</x:v>
      </x:c>
      <x:c r="E1335" s="4" t="str">
        <x:v>Booked</x:v>
      </x:c>
      <x:c r="F1335" s="4" t="str">
        <x:v>CUS-01334</x:v>
      </x:c>
      <x:c r="G1335" s="4" t="str">
        <x:v>UNIT-01334</x:v>
      </x:c>
      <x:c r="H1335" s="9" t="n">
        <x:v>23700000</x:v>
      </x:c>
      <x:c r="I1335" s="10" t="n">
        <x:v>0.05</x:v>
      </x:c>
      <x:c r="J1335" s="11" t="n">
        <x:v>6</x:v>
      </x:c>
      <x:c r="K1335" s="11" t="n">
        <x:v>0</x:v>
      </x:c>
      <x:c r="L1335" s="11" t="n">
        <x:v>1</x:v>
      </x:c>
      <x:c r="M1335" s="9" t="n">
        <x:f>ROUND(H1335*(1-I1335),2)</x:f>
        <x:v>22515000</x:v>
      </x:c>
      <x:c r="N1335" s="4" t="str">
        <x:v>Sales manager</x:v>
      </x:c>
      <x:c r="O1335" s="4" t="str">
        <x:v>BOOK-01334</x:v>
      </x:c>
      <x:c r="P1335" s="9" t="n">
        <x:v>5628750</x:v>
      </x:c>
      <x:c r="Q1335" s="11" t="n">
        <x:v>0</x:v>
      </x:c>
      <x:c r="R1335" s="8" t="n">
        <x:v>45429</x:v>
      </x:c>
      <x:c r="S1335" s="4" t="str">
        <x:v>Retained</x:v>
      </x:c>
      <x:c r="T1335" s="10" t="n">
        <x:v>0.291946</x:v>
      </x:c>
      <x:c r="U1335" s="4" t="str">
        <x:v>Train</x:v>
      </x:c>
    </x:row>
    <x:row r="1336" ht="34" customHeight="1">
      <x:c r="A1336" s="4" t="str">
        <x:v>RS-01335</x:v>
      </x:c>
      <x:c r="B1336" s="8" t="n">
        <x:v>45370</x:v>
      </x:c>
      <x:c r="C1336" s="4" t="str">
        <x:v>PRJ-015</x:v>
      </x:c>
      <x:c r="D1336" s="4" t="str">
        <x:v>Office</x:v>
      </x:c>
      <x:c r="E1336" s="4" t="str">
        <x:v>Handed over</x:v>
      </x:c>
      <x:c r="F1336" s="4" t="str">
        <x:v>CUS-01335</x:v>
      </x:c>
      <x:c r="G1336" s="4" t="str">
        <x:v>UNIT-01335</x:v>
      </x:c>
      <x:c r="H1336" s="9" t="n">
        <x:v>9100000</x:v>
      </x:c>
      <x:c r="I1336" s="10" t="n">
        <x:v>0.11</x:v>
      </x:c>
      <x:c r="J1336" s="11" t="n">
        <x:v>12</x:v>
      </x:c>
      <x:c r="K1336" s="11" t="n">
        <x:v>6</x:v>
      </x:c>
      <x:c r="L1336" s="11" t="n">
        <x:v>1</x:v>
      </x:c>
      <x:c r="M1336" s="9" t="n">
        <x:f>ROUND(H1336*(1-I1336),2)</x:f>
        <x:v>8099000</x:v>
      </x:c>
      <x:c r="N1336" s="4" t="str">
        <x:v>Sales head</x:v>
      </x:c>
      <x:c r="O1336" s="4" t="str">
        <x:v>BOOK-01335</x:v>
      </x:c>
      <x:c r="P1336" s="9" t="n">
        <x:v>8099000</x:v>
      </x:c>
      <x:c r="Q1336" s="11" t="n">
        <x:v>0</x:v>
      </x:c>
      <x:c r="R1336" s="8" t="n">
        <x:v>45430</x:v>
      </x:c>
      <x:c r="S1336" s="4" t="str">
        <x:v>Retained</x:v>
      </x:c>
      <x:c r="T1336" s="10" t="n">
        <x:v>0.351536</x:v>
      </x:c>
      <x:c r="U1336" s="4" t="str">
        <x:v>Train</x:v>
      </x:c>
    </x:row>
    <x:row r="1337" ht="34" customHeight="1">
      <x:c r="A1337" s="4" t="str">
        <x:v>RS-01336</x:v>
      </x:c>
      <x:c r="B1337" s="8" t="n">
        <x:v>45371</x:v>
      </x:c>
      <x:c r="C1337" s="4" t="str">
        <x:v>PRJ-016</x:v>
      </x:c>
      <x:c r="D1337" s="4" t="str">
        <x:v>Villa</x:v>
      </x:c>
      <x:c r="E1337" s="4" t="str">
        <x:v>Cancelled</x:v>
      </x:c>
      <x:c r="F1337" s="4" t="str">
        <x:v>CUS-01336</x:v>
      </x:c>
      <x:c r="G1337" s="4" t="str">
        <x:v>UNIT-01336</x:v>
      </x:c>
      <x:c r="H1337" s="9" t="n">
        <x:v>15900000</x:v>
      </x:c>
      <x:c r="I1337" s="10" t="n">
        <x:v>0.08</x:v>
      </x:c>
      <x:c r="J1337" s="11" t="n">
        <x:v>6</x:v>
      </x:c>
      <x:c r="K1337" s="11" t="n">
        <x:v>1</x:v>
      </x:c>
      <x:c r="L1337" s="11" t="n">
        <x:v>1</x:v>
      </x:c>
      <x:c r="M1337" s="9" t="n">
        <x:f>ROUND(H1337*(1-I1337),2)</x:f>
        <x:v>14628000</x:v>
      </x:c>
      <x:c r="N1337" s="4" t="str">
        <x:v>Sales head</x:v>
      </x:c>
      <x:c r="O1337" s="4"/>
      <x:c r="P1337" s="9" t="n">
        <x:v>0</x:v>
      </x:c>
      <x:c r="Q1337" s="11" t="n">
        <x:v>1</x:v>
      </x:c>
      <x:c r="R1337" s="8" t="n">
        <x:v>45431</x:v>
      </x:c>
      <x:c r="S1337" s="4" t="str">
        <x:v>Lost / cancelled</x:v>
      </x:c>
      <x:c r="T1337" s="10" t="n">
        <x:v>0.291946</x:v>
      </x:c>
      <x:c r="U1337" s="4" t="str">
        <x:v>Train</x:v>
      </x:c>
    </x:row>
    <x:row r="1338" ht="34" customHeight="1">
      <x:c r="A1338" s="4" t="str">
        <x:v>RS-01337</x:v>
      </x:c>
      <x:c r="B1338" s="8" t="n">
        <x:v>45372</x:v>
      </x:c>
      <x:c r="C1338" s="4" t="str">
        <x:v>PRJ-017</x:v>
      </x:c>
      <x:c r="D1338" s="4" t="str">
        <x:v>Villa</x:v>
      </x:c>
      <x:c r="E1338" s="4" t="str">
        <x:v>Reserved</x:v>
      </x:c>
      <x:c r="F1338" s="4" t="str">
        <x:v>CUS-01337</x:v>
      </x:c>
      <x:c r="G1338" s="4" t="str">
        <x:v>UNIT-01337</x:v>
      </x:c>
      <x:c r="H1338" s="9" t="n">
        <x:v>4700000</x:v>
      </x:c>
      <x:c r="I1338" s="10" t="n">
        <x:v>0.12</x:v>
      </x:c>
      <x:c r="J1338" s="11" t="n">
        <x:v>10</x:v>
      </x:c>
      <x:c r="K1338" s="11" t="n">
        <x:v>3</x:v>
      </x:c>
      <x:c r="L1338" s="11" t="n">
        <x:v>0</x:v>
      </x:c>
      <x:c r="M1338" s="9" t="n">
        <x:f>ROUND(H1338*(1-I1338),2)</x:f>
        <x:v>4136000</x:v>
      </x:c>
      <x:c r="N1338" s="4" t="str">
        <x:v>Sales head</x:v>
      </x:c>
      <x:c r="O1338" s="4"/>
      <x:c r="P1338" s="9" t="n">
        <x:v>0</x:v>
      </x:c>
      <x:c r="Q1338" s="11" t="n">
        <x:v>0</x:v>
      </x:c>
      <x:c r="R1338" s="8" t="n">
        <x:v>45432</x:v>
      </x:c>
      <x:c r="S1338" s="4" t="str">
        <x:v>Retained</x:v>
      </x:c>
      <x:c r="T1338" s="10" t="n">
        <x:v>0.310195</x:v>
      </x:c>
      <x:c r="U1338" s="4" t="str">
        <x:v>Train</x:v>
      </x:c>
    </x:row>
    <x:row r="1339" ht="34" customHeight="1">
      <x:c r="A1339" s="4" t="str">
        <x:v>RS-01338</x:v>
      </x:c>
      <x:c r="B1339" s="8" t="n">
        <x:v>45373</x:v>
      </x:c>
      <x:c r="C1339" s="4" t="str">
        <x:v>PRJ-018</x:v>
      </x:c>
      <x:c r="D1339" s="4" t="str">
        <x:v>Office</x:v>
      </x:c>
      <x:c r="E1339" s="4" t="str">
        <x:v>Handed over</x:v>
      </x:c>
      <x:c r="F1339" s="4" t="str">
        <x:v>CUS-01338</x:v>
      </x:c>
      <x:c r="G1339" s="4" t="str">
        <x:v>UNIT-01338</x:v>
      </x:c>
      <x:c r="H1339" s="9" t="n">
        <x:v>5200000</x:v>
      </x:c>
      <x:c r="I1339" s="10" t="n">
        <x:v>0.06</x:v>
      </x:c>
      <x:c r="J1339" s="11" t="n">
        <x:v>2</x:v>
      </x:c>
      <x:c r="K1339" s="11" t="n">
        <x:v>9</x:v>
      </x:c>
      <x:c r="L1339" s="11" t="n">
        <x:v>0</x:v>
      </x:c>
      <x:c r="M1339" s="9" t="n">
        <x:f>ROUND(H1339*(1-I1339),2)</x:f>
        <x:v>4888000</x:v>
      </x:c>
      <x:c r="N1339" s="4" t="str">
        <x:v>Sales manager</x:v>
      </x:c>
      <x:c r="O1339" s="4" t="str">
        <x:v>BOOK-01338</x:v>
      </x:c>
      <x:c r="P1339" s="9" t="n">
        <x:v>4888000</x:v>
      </x:c>
      <x:c r="Q1339" s="11" t="n">
        <x:v>0</x:v>
      </x:c>
      <x:c r="R1339" s="8" t="n">
        <x:v>45433</x:v>
      </x:c>
      <x:c r="S1339" s="4" t="str">
        <x:v>Retained</x:v>
      </x:c>
      <x:c r="T1339" s="10" t="n">
        <x:v>0.204152</x:v>
      </x:c>
      <x:c r="U1339" s="4" t="str">
        <x:v>Train</x:v>
      </x:c>
    </x:row>
    <x:row r="1340" ht="34" customHeight="1">
      <x:c r="A1340" s="4" t="str">
        <x:v>RS-01339</x:v>
      </x:c>
      <x:c r="B1340" s="8" t="n">
        <x:v>45374</x:v>
      </x:c>
      <x:c r="C1340" s="4" t="str">
        <x:v>PRJ-019</x:v>
      </x:c>
      <x:c r="D1340" s="4" t="str">
        <x:v>Apartment</x:v>
      </x:c>
      <x:c r="E1340" s="4" t="str">
        <x:v>Agreement signed</x:v>
      </x:c>
      <x:c r="F1340" s="4" t="str">
        <x:v>CUS-01339</x:v>
      </x:c>
      <x:c r="G1340" s="4" t="str">
        <x:v>UNIT-01339</x:v>
      </x:c>
      <x:c r="H1340" s="9" t="n">
        <x:v>23900000</x:v>
      </x:c>
      <x:c r="I1340" s="10" t="n">
        <x:v>0.07</x:v>
      </x:c>
      <x:c r="J1340" s="11" t="n">
        <x:v>4</x:v>
      </x:c>
      <x:c r="K1340" s="11" t="n">
        <x:v>7</x:v>
      </x:c>
      <x:c r="L1340" s="11" t="n">
        <x:v>1</x:v>
      </x:c>
      <x:c r="M1340" s="9" t="n">
        <x:f>ROUND(H1340*(1-I1340),2)</x:f>
        <x:v>22227000</x:v>
      </x:c>
      <x:c r="N1340" s="4" t="str">
        <x:v>Sales manager</x:v>
      </x:c>
      <x:c r="O1340" s="4" t="str">
        <x:v>BOOK-01339</x:v>
      </x:c>
      <x:c r="P1340" s="9" t="n">
        <x:v>11113500</x:v>
      </x:c>
      <x:c r="Q1340" s="11" t="n">
        <x:v>0</x:v>
      </x:c>
      <x:c r="R1340" s="8" t="n">
        <x:v>45434</x:v>
      </x:c>
      <x:c r="S1340" s="4" t="str">
        <x:v>Retained</x:v>
      </x:c>
      <x:c r="T1340" s="10" t="n">
        <x:v>0.291946</x:v>
      </x:c>
      <x:c r="U1340" s="4" t="str">
        <x:v>Train</x:v>
      </x:c>
    </x:row>
    <x:row r="1341" ht="34" customHeight="1">
      <x:c r="A1341" s="4" t="str">
        <x:v>RS-01340</x:v>
      </x:c>
      <x:c r="B1341" s="8" t="n">
        <x:v>45375</x:v>
      </x:c>
      <x:c r="C1341" s="4" t="str">
        <x:v>PRJ-020</x:v>
      </x:c>
      <x:c r="D1341" s="4" t="str">
        <x:v>Villa</x:v>
      </x:c>
      <x:c r="E1341" s="4" t="str">
        <x:v>Booked</x:v>
      </x:c>
      <x:c r="F1341" s="4" t="str">
        <x:v>CUS-01340</x:v>
      </x:c>
      <x:c r="G1341" s="4" t="str">
        <x:v>UNIT-01340</x:v>
      </x:c>
      <x:c r="H1341" s="9" t="n">
        <x:v>5700000</x:v>
      </x:c>
      <x:c r="I1341" s="10" t="n">
        <x:v>0.03</x:v>
      </x:c>
      <x:c r="J1341" s="11" t="n">
        <x:v>5</x:v>
      </x:c>
      <x:c r="K1341" s="11" t="n">
        <x:v>6</x:v>
      </x:c>
      <x:c r="L1341" s="11" t="n">
        <x:v>1</x:v>
      </x:c>
      <x:c r="M1341" s="9" t="n">
        <x:f>ROUND(H1341*(1-I1341),2)</x:f>
        <x:v>5529000</x:v>
      </x:c>
      <x:c r="N1341" s="4" t="str">
        <x:v>Sales manager</x:v>
      </x:c>
      <x:c r="O1341" s="4" t="str">
        <x:v>BOOK-01340</x:v>
      </x:c>
      <x:c r="P1341" s="9" t="n">
        <x:v>1382250</x:v>
      </x:c>
      <x:c r="Q1341" s="11" t="n">
        <x:v>0</x:v>
      </x:c>
      <x:c r="R1341" s="8" t="n">
        <x:v>45435</x:v>
      </x:c>
      <x:c r="S1341" s="4" t="str">
        <x:v>Retained</x:v>
      </x:c>
      <x:c r="T1341" s="10" t="n">
        <x:v>0.145299</x:v>
      </x:c>
      <x:c r="U1341" s="4" t="str">
        <x:v>Train</x:v>
      </x:c>
    </x:row>
    <x:row r="1342" ht="34" customHeight="1">
      <x:c r="A1342" s="4" t="str">
        <x:v>RS-01341</x:v>
      </x:c>
      <x:c r="B1342" s="8" t="n">
        <x:v>45376</x:v>
      </x:c>
      <x:c r="C1342" s="4" t="str">
        <x:v>PRJ-001</x:v>
      </x:c>
      <x:c r="D1342" s="4" t="str">
        <x:v>Office</x:v>
      </x:c>
      <x:c r="E1342" s="4" t="str">
        <x:v>Agreement signed</x:v>
      </x:c>
      <x:c r="F1342" s="4" t="str">
        <x:v>CUS-01341</x:v>
      </x:c>
      <x:c r="G1342" s="4" t="str">
        <x:v>UNIT-01341</x:v>
      </x:c>
      <x:c r="H1342" s="9" t="n">
        <x:v>11300000</x:v>
      </x:c>
      <x:c r="I1342" s="10" t="n">
        <x:v>0.11</x:v>
      </x:c>
      <x:c r="J1342" s="11" t="n">
        <x:v>7</x:v>
      </x:c>
      <x:c r="K1342" s="11" t="n">
        <x:v>9</x:v>
      </x:c>
      <x:c r="L1342" s="11" t="n">
        <x:v>0</x:v>
      </x:c>
      <x:c r="M1342" s="9" t="n">
        <x:f>ROUND(H1342*(1-I1342),2)</x:f>
        <x:v>10057000</x:v>
      </x:c>
      <x:c r="N1342" s="4" t="str">
        <x:v>Sales head</x:v>
      </x:c>
      <x:c r="O1342" s="4" t="str">
        <x:v>BOOK-01341</x:v>
      </x:c>
      <x:c r="P1342" s="9" t="n">
        <x:v>1005700</x:v>
      </x:c>
      <x:c r="Q1342" s="11" t="n">
        <x:v>0</x:v>
      </x:c>
      <x:c r="R1342" s="8" t="n">
        <x:v>45436</x:v>
      </x:c>
      <x:c r="S1342" s="4" t="str">
        <x:v>Retained</x:v>
      </x:c>
      <x:c r="T1342" s="10" t="n">
        <x:v>0.226277</x:v>
      </x:c>
      <x:c r="U1342" s="4" t="str">
        <x:v>Train</x:v>
      </x:c>
    </x:row>
    <x:row r="1343" ht="34" customHeight="1">
      <x:c r="A1343" s="4" t="str">
        <x:v>RS-01342</x:v>
      </x:c>
      <x:c r="B1343" s="8" t="n">
        <x:v>45377</x:v>
      </x:c>
      <x:c r="C1343" s="4" t="str">
        <x:v>PRJ-002</x:v>
      </x:c>
      <x:c r="D1343" s="4" t="str">
        <x:v>Retail</x:v>
      </x:c>
      <x:c r="E1343" s="4" t="str">
        <x:v>Handed over</x:v>
      </x:c>
      <x:c r="F1343" s="4" t="str">
        <x:v>CUS-01342</x:v>
      </x:c>
      <x:c r="G1343" s="4" t="str">
        <x:v>UNIT-01342</x:v>
      </x:c>
      <x:c r="H1343" s="9" t="n">
        <x:v>25000000</x:v>
      </x:c>
      <x:c r="I1343" s="10" t="n">
        <x:v>0.07</x:v>
      </x:c>
      <x:c r="J1343" s="11" t="n">
        <x:v>4</x:v>
      </x:c>
      <x:c r="K1343" s="11" t="n">
        <x:v>0</x:v>
      </x:c>
      <x:c r="L1343" s="11" t="n">
        <x:v>1</x:v>
      </x:c>
      <x:c r="M1343" s="9" t="n">
        <x:f>ROUND(H1343*(1-I1343),2)</x:f>
        <x:v>23250000</x:v>
      </x:c>
      <x:c r="N1343" s="4" t="str">
        <x:v>Sales manager</x:v>
      </x:c>
      <x:c r="O1343" s="4" t="str">
        <x:v>BOOK-01342</x:v>
      </x:c>
      <x:c r="P1343" s="9" t="n">
        <x:v>2325000</x:v>
      </x:c>
      <x:c r="Q1343" s="11" t="n">
        <x:v>0</x:v>
      </x:c>
      <x:c r="R1343" s="8" t="n">
        <x:v>45437</x:v>
      </x:c>
      <x:c r="S1343" s="4" t="str">
        <x:v>Retained</x:v>
      </x:c>
      <x:c r="T1343" s="10" t="n">
        <x:v>0.291946</x:v>
      </x:c>
      <x:c r="U1343" s="4" t="str">
        <x:v>Train</x:v>
      </x:c>
    </x:row>
    <x:row r="1344" ht="34" customHeight="1">
      <x:c r="A1344" s="4" t="str">
        <x:v>RS-01343</x:v>
      </x:c>
      <x:c r="B1344" s="8" t="n">
        <x:v>45378</x:v>
      </x:c>
      <x:c r="C1344" s="4" t="str">
        <x:v>PRJ-003</x:v>
      </x:c>
      <x:c r="D1344" s="4" t="str">
        <x:v>Office</x:v>
      </x:c>
      <x:c r="E1344" s="4" t="str">
        <x:v>Handed over</x:v>
      </x:c>
      <x:c r="F1344" s="4" t="str">
        <x:v>CUS-01343</x:v>
      </x:c>
      <x:c r="G1344" s="4" t="str">
        <x:v>UNIT-01343</x:v>
      </x:c>
      <x:c r="H1344" s="9" t="n">
        <x:v>16500000</x:v>
      </x:c>
      <x:c r="I1344" s="10" t="n">
        <x:v>0.05</x:v>
      </x:c>
      <x:c r="J1344" s="11" t="n">
        <x:v>5</x:v>
      </x:c>
      <x:c r="K1344" s="11" t="n">
        <x:v>2</x:v>
      </x:c>
      <x:c r="L1344" s="11" t="n">
        <x:v>1</x:v>
      </x:c>
      <x:c r="M1344" s="9" t="n">
        <x:f>ROUND(H1344*(1-I1344),2)</x:f>
        <x:v>15675000</x:v>
      </x:c>
      <x:c r="N1344" s="4" t="str">
        <x:v>Sales manager</x:v>
      </x:c>
      <x:c r="O1344" s="4" t="str">
        <x:v>BOOK-01343</x:v>
      </x:c>
      <x:c r="P1344" s="9" t="n">
        <x:v>15675000</x:v>
      </x:c>
      <x:c r="Q1344" s="11" t="n">
        <x:v>0</x:v>
      </x:c>
      <x:c r="R1344" s="8" t="n">
        <x:v>45438</x:v>
      </x:c>
      <x:c r="S1344" s="4" t="str">
        <x:v>Retained</x:v>
      </x:c>
      <x:c r="T1344" s="10" t="n">
        <x:v>0.291946</x:v>
      </x:c>
      <x:c r="U1344" s="4" t="str">
        <x:v>Train</x:v>
      </x:c>
    </x:row>
    <x:row r="1345" ht="34" customHeight="1">
      <x:c r="A1345" s="4" t="str">
        <x:v>RS-01344</x:v>
      </x:c>
      <x:c r="B1345" s="8" t="n">
        <x:v>45379</x:v>
      </x:c>
      <x:c r="C1345" s="4" t="str">
        <x:v>PRJ-004</x:v>
      </x:c>
      <x:c r="D1345" s="4" t="str">
        <x:v>Apartment</x:v>
      </x:c>
      <x:c r="E1345" s="4" t="str">
        <x:v>Reserved</x:v>
      </x:c>
      <x:c r="F1345" s="4" t="str">
        <x:v>CUS-01344</x:v>
      </x:c>
      <x:c r="G1345" s="4" t="str">
        <x:v>UNIT-01344</x:v>
      </x:c>
      <x:c r="H1345" s="9" t="n">
        <x:v>16200000</x:v>
      </x:c>
      <x:c r="I1345" s="10" t="n">
        <x:v>0.02</x:v>
      </x:c>
      <x:c r="J1345" s="11" t="n">
        <x:v>12</x:v>
      </x:c>
      <x:c r="K1345" s="11" t="n">
        <x:v>7</x:v>
      </x:c>
      <x:c r="L1345" s="11" t="n">
        <x:v>0</x:v>
      </x:c>
      <x:c r="M1345" s="9" t="n">
        <x:f>ROUND(H1345*(1-I1345),2)</x:f>
        <x:v>15876000</x:v>
      </x:c>
      <x:c r="N1345" s="4" t="str">
        <x:v>Sales manager</x:v>
      </x:c>
      <x:c r="O1345" s="4"/>
      <x:c r="P1345" s="9" t="n">
        <x:v>0</x:v>
      </x:c>
      <x:c r="Q1345" s="11" t="n">
        <x:v>0</x:v>
      </x:c>
      <x:c r="R1345" s="8" t="n">
        <x:v>45439</x:v>
      </x:c>
      <x:c r="S1345" s="4" t="str">
        <x:v>Retained</x:v>
      </x:c>
      <x:c r="T1345" s="10" t="n">
        <x:v>0.305556</x:v>
      </x:c>
      <x:c r="U1345" s="4" t="str">
        <x:v>Train</x:v>
      </x:c>
    </x:row>
    <x:row r="1346" ht="34" customHeight="1">
      <x:c r="A1346" s="4" t="str">
        <x:v>RS-01345</x:v>
      </x:c>
      <x:c r="B1346" s="8" t="n">
        <x:v>45352</x:v>
      </x:c>
      <x:c r="C1346" s="4" t="str">
        <x:v>PRJ-005</x:v>
      </x:c>
      <x:c r="D1346" s="4" t="str">
        <x:v>Villa</x:v>
      </x:c>
      <x:c r="E1346" s="4" t="str">
        <x:v>Reserved</x:v>
      </x:c>
      <x:c r="F1346" s="4" t="str">
        <x:v>CUS-01345</x:v>
      </x:c>
      <x:c r="G1346" s="4" t="str">
        <x:v>UNIT-01345</x:v>
      </x:c>
      <x:c r="H1346" s="9" t="n">
        <x:v>24300000</x:v>
      </x:c>
      <x:c r="I1346" s="10" t="n">
        <x:v>0.02</x:v>
      </x:c>
      <x:c r="J1346" s="11" t="n">
        <x:v>2</x:v>
      </x:c>
      <x:c r="K1346" s="11" t="n">
        <x:v>3</x:v>
      </x:c>
      <x:c r="L1346" s="11" t="n">
        <x:v>1</x:v>
      </x:c>
      <x:c r="M1346" s="9" t="n">
        <x:f>ROUND(H1346*(1-I1346),2)</x:f>
        <x:v>23814000</x:v>
      </x:c>
      <x:c r="N1346" s="4" t="str">
        <x:v>Sales manager</x:v>
      </x:c>
      <x:c r="O1346" s="4"/>
      <x:c r="P1346" s="9" t="n">
        <x:v>0</x:v>
      </x:c>
      <x:c r="Q1346" s="11" t="n">
        <x:v>1</x:v>
      </x:c>
      <x:c r="R1346" s="8" t="n">
        <x:v>45412</x:v>
      </x:c>
      <x:c r="S1346" s="4" t="str">
        <x:v>Lost / cancelled</x:v>
      </x:c>
      <x:c r="T1346" s="10" t="n">
        <x:v>0.171717</x:v>
      </x:c>
      <x:c r="U1346" s="4" t="str">
        <x:v>Train</x:v>
      </x:c>
    </x:row>
    <x:row r="1347" ht="34" customHeight="1">
      <x:c r="A1347" s="4" t="str">
        <x:v>RS-01346</x:v>
      </x:c>
      <x:c r="B1347" s="8" t="n">
        <x:v>45353</x:v>
      </x:c>
      <x:c r="C1347" s="4" t="str">
        <x:v>PRJ-006</x:v>
      </x:c>
      <x:c r="D1347" s="4" t="str">
        <x:v>Office</x:v>
      </x:c>
      <x:c r="E1347" s="4" t="str">
        <x:v>Booked</x:v>
      </x:c>
      <x:c r="F1347" s="4" t="str">
        <x:v>CUS-01346</x:v>
      </x:c>
      <x:c r="G1347" s="4" t="str">
        <x:v>UNIT-01346</x:v>
      </x:c>
      <x:c r="H1347" s="9" t="n">
        <x:v>22200000</x:v>
      </x:c>
      <x:c r="I1347" s="10" t="n">
        <x:v>0.04</x:v>
      </x:c>
      <x:c r="J1347" s="11" t="n">
        <x:v>2</x:v>
      </x:c>
      <x:c r="K1347" s="11" t="n">
        <x:v>2</x:v>
      </x:c>
      <x:c r="L1347" s="11" t="n">
        <x:v>0</x:v>
      </x:c>
      <x:c r="M1347" s="9" t="n">
        <x:f>ROUND(H1347*(1-I1347),2)</x:f>
        <x:v>21312000</x:v>
      </x:c>
      <x:c r="N1347" s="4" t="str">
        <x:v>Sales manager</x:v>
      </x:c>
      <x:c r="O1347" s="4" t="str">
        <x:v>BOOK-01346</x:v>
      </x:c>
      <x:c r="P1347" s="9" t="n">
        <x:v>5328000</x:v>
      </x:c>
      <x:c r="Q1347" s="11" t="n">
        <x:v>0</x:v>
      </x:c>
      <x:c r="R1347" s="8" t="n">
        <x:v>45413</x:v>
      </x:c>
      <x:c r="S1347" s="4" t="str">
        <x:v>Retained</x:v>
      </x:c>
      <x:c r="T1347" s="10" t="n">
        <x:v>0.204152</x:v>
      </x:c>
      <x:c r="U1347" s="4" t="str">
        <x:v>Train</x:v>
      </x:c>
    </x:row>
    <x:row r="1348" ht="34" customHeight="1">
      <x:c r="A1348" s="4" t="str">
        <x:v>RS-01347</x:v>
      </x:c>
      <x:c r="B1348" s="8" t="n">
        <x:v>45354</x:v>
      </x:c>
      <x:c r="C1348" s="4" t="str">
        <x:v>PRJ-007</x:v>
      </x:c>
      <x:c r="D1348" s="4" t="str">
        <x:v>Apartment</x:v>
      </x:c>
      <x:c r="E1348" s="4" t="str">
        <x:v>Handed over</x:v>
      </x:c>
      <x:c r="F1348" s="4" t="str">
        <x:v>CUS-01347</x:v>
      </x:c>
      <x:c r="G1348" s="4" t="str">
        <x:v>UNIT-01347</x:v>
      </x:c>
      <x:c r="H1348" s="9" t="n">
        <x:v>12100000</x:v>
      </x:c>
      <x:c r="I1348" s="10" t="n">
        <x:v>0.03</x:v>
      </x:c>
      <x:c r="J1348" s="11" t="n">
        <x:v>10</x:v>
      </x:c>
      <x:c r="K1348" s="11" t="n">
        <x:v>3</x:v>
      </x:c>
      <x:c r="L1348" s="11" t="n">
        <x:v>0</x:v>
      </x:c>
      <x:c r="M1348" s="9" t="n">
        <x:f>ROUND(H1348*(1-I1348),2)</x:f>
        <x:v>11737000</x:v>
      </x:c>
      <x:c r="N1348" s="4" t="str">
        <x:v>Sales manager</x:v>
      </x:c>
      <x:c r="O1348" s="4" t="str">
        <x:v>BOOK-01347</x:v>
      </x:c>
      <x:c r="P1348" s="9" t="n">
        <x:v>11737000</x:v>
      </x:c>
      <x:c r="Q1348" s="11" t="n">
        <x:v>0</x:v>
      </x:c>
      <x:c r="R1348" s="8" t="n">
        <x:v>45414</x:v>
      </x:c>
      <x:c r="S1348" s="4" t="str">
        <x:v>Retained</x:v>
      </x:c>
      <x:c r="T1348" s="10" t="n">
        <x:v>0.310195</x:v>
      </x:c>
      <x:c r="U1348" s="4" t="str">
        <x:v>Train</x:v>
      </x:c>
    </x:row>
    <x:row r="1349" ht="34" customHeight="1">
      <x:c r="A1349" s="4" t="str">
        <x:v>RS-01348</x:v>
      </x:c>
      <x:c r="B1349" s="8" t="n">
        <x:v>45355</x:v>
      </x:c>
      <x:c r="C1349" s="4" t="str">
        <x:v>PRJ-008</x:v>
      </x:c>
      <x:c r="D1349" s="4" t="str">
        <x:v>Villa</x:v>
      </x:c>
      <x:c r="E1349" s="4" t="str">
        <x:v>Booked</x:v>
      </x:c>
      <x:c r="F1349" s="4" t="str">
        <x:v>CUS-01348</x:v>
      </x:c>
      <x:c r="G1349" s="4" t="str">
        <x:v>UNIT-01348</x:v>
      </x:c>
      <x:c r="H1349" s="9" t="n">
        <x:v>4900000</x:v>
      </x:c>
      <x:c r="I1349" s="10" t="n">
        <x:v>0.01</x:v>
      </x:c>
      <x:c r="J1349" s="11" t="n">
        <x:v>7</x:v>
      </x:c>
      <x:c r="K1349" s="11" t="n">
        <x:v>10</x:v>
      </x:c>
      <x:c r="L1349" s="11" t="n">
        <x:v>0</x:v>
      </x:c>
      <x:c r="M1349" s="9" t="n">
        <x:f>ROUND(H1349*(1-I1349),2)</x:f>
        <x:v>4851000</x:v>
      </x:c>
      <x:c r="N1349" s="4" t="str">
        <x:v>Sales manager</x:v>
      </x:c>
      <x:c r="O1349" s="4" t="str">
        <x:v>BOOK-01348</x:v>
      </x:c>
      <x:c r="P1349" s="9" t="n">
        <x:v>4851000</x:v>
      </x:c>
      <x:c r="Q1349" s="11" t="n">
        <x:v>0</x:v>
      </x:c>
      <x:c r="R1349" s="8" t="n">
        <x:v>45415</x:v>
      </x:c>
      <x:c r="S1349" s="4" t="str">
        <x:v>Retained</x:v>
      </x:c>
      <x:c r="T1349" s="10" t="n">
        <x:v>0.145299</x:v>
      </x:c>
      <x:c r="U1349" s="4" t="str">
        <x:v>Train</x:v>
      </x:c>
    </x:row>
    <x:row r="1350" ht="34" customHeight="1">
      <x:c r="A1350" s="4" t="str">
        <x:v>RS-01349</x:v>
      </x:c>
      <x:c r="B1350" s="8" t="n">
        <x:v>45356</x:v>
      </x:c>
      <x:c r="C1350" s="4" t="str">
        <x:v>PRJ-009</x:v>
      </x:c>
      <x:c r="D1350" s="4" t="str">
        <x:v>Villa</x:v>
      </x:c>
      <x:c r="E1350" s="4" t="str">
        <x:v>Reserved</x:v>
      </x:c>
      <x:c r="F1350" s="4" t="str">
        <x:v>CUS-01349</x:v>
      </x:c>
      <x:c r="G1350" s="4" t="str">
        <x:v>UNIT-01349</x:v>
      </x:c>
      <x:c r="H1350" s="9" t="n">
        <x:v>15700000</x:v>
      </x:c>
      <x:c r="I1350" s="10" t="n">
        <x:v>0.09</x:v>
      </x:c>
      <x:c r="J1350" s="11" t="n">
        <x:v>8</x:v>
      </x:c>
      <x:c r="K1350" s="11" t="n">
        <x:v>10</x:v>
      </x:c>
      <x:c r="L1350" s="11" t="n">
        <x:v>0</x:v>
      </x:c>
      <x:c r="M1350" s="9" t="n">
        <x:f>ROUND(H1350*(1-I1350),2)</x:f>
        <x:v>14287000</x:v>
      </x:c>
      <x:c r="N1350" s="4" t="str">
        <x:v>Sales head</x:v>
      </x:c>
      <x:c r="O1350" s="4"/>
      <x:c r="P1350" s="9" t="n">
        <x:v>0</x:v>
      </x:c>
      <x:c r="Q1350" s="11" t="n">
        <x:v>0</x:v>
      </x:c>
      <x:c r="R1350" s="8" t="n">
        <x:v>45416</x:v>
      </x:c>
      <x:c r="S1350" s="4" t="str">
        <x:v>Retained</x:v>
      </x:c>
      <x:c r="T1350" s="10" t="n">
        <x:v>0.310195</x:v>
      </x:c>
      <x:c r="U1350" s="4" t="str">
        <x:v>Train</x:v>
      </x:c>
    </x:row>
    <x:row r="1351" ht="34" customHeight="1">
      <x:c r="A1351" s="4" t="str">
        <x:v>RS-01350</x:v>
      </x:c>
      <x:c r="B1351" s="8" t="n">
        <x:v>45357</x:v>
      </x:c>
      <x:c r="C1351" s="4" t="str">
        <x:v>PRJ-010</x:v>
      </x:c>
      <x:c r="D1351" s="4" t="str">
        <x:v>Retail</x:v>
      </x:c>
      <x:c r="E1351" s="4" t="str">
        <x:v>Booked</x:v>
      </x:c>
      <x:c r="F1351" s="4" t="str">
        <x:v>CUS-01350</x:v>
      </x:c>
      <x:c r="G1351" s="4" t="str">
        <x:v>UNIT-01350</x:v>
      </x:c>
      <x:c r="H1351" s="9" t="n">
        <x:v>19100000</x:v>
      </x:c>
      <x:c r="I1351" s="10" t="n">
        <x:v>0.05</x:v>
      </x:c>
      <x:c r="J1351" s="11" t="n">
        <x:v>8</x:v>
      </x:c>
      <x:c r="K1351" s="11" t="n">
        <x:v>10</x:v>
      </x:c>
      <x:c r="L1351" s="11" t="n">
        <x:v>1</x:v>
      </x:c>
      <x:c r="M1351" s="9" t="n">
        <x:f>ROUND(H1351*(1-I1351),2)</x:f>
        <x:v>18145000</x:v>
      </x:c>
      <x:c r="N1351" s="4" t="str">
        <x:v>Sales manager</x:v>
      </x:c>
      <x:c r="O1351" s="4" t="str">
        <x:v>BOOK-01350</x:v>
      </x:c>
      <x:c r="P1351" s="9" t="n">
        <x:v>4536250</x:v>
      </x:c>
      <x:c r="Q1351" s="11" t="n">
        <x:v>0</x:v>
      </x:c>
      <x:c r="R1351" s="8" t="n">
        <x:v>45417</x:v>
      </x:c>
      <x:c r="S1351" s="4" t="str">
        <x:v>Retained</x:v>
      </x:c>
      <x:c r="T1351" s="10" t="n">
        <x:v>0.310195</x:v>
      </x:c>
      <x:c r="U1351" s="4" t="str">
        <x:v>Train</x:v>
      </x:c>
    </x:row>
    <x:row r="1352" ht="34" customHeight="1">
      <x:c r="A1352" s="4" t="str">
        <x:v>RS-01351</x:v>
      </x:c>
      <x:c r="B1352" s="8" t="n">
        <x:v>45358</x:v>
      </x:c>
      <x:c r="C1352" s="4" t="str">
        <x:v>PRJ-011</x:v>
      </x:c>
      <x:c r="D1352" s="4" t="str">
        <x:v>Retail</x:v>
      </x:c>
      <x:c r="E1352" s="4" t="str">
        <x:v>Enquiry</x:v>
      </x:c>
      <x:c r="F1352" s="4" t="str">
        <x:v>CUS-01351</x:v>
      </x:c>
      <x:c r="G1352" s="4" t="str">
        <x:v>UNIT-01351</x:v>
      </x:c>
      <x:c r="H1352" s="9" t="n">
        <x:v>14500000</x:v>
      </x:c>
      <x:c r="I1352" s="10" t="n">
        <x:v>0.04</x:v>
      </x:c>
      <x:c r="J1352" s="11" t="n">
        <x:v>2</x:v>
      </x:c>
      <x:c r="K1352" s="11" t="n">
        <x:v>0</x:v>
      </x:c>
      <x:c r="L1352" s="11" t="n">
        <x:v>0</x:v>
      </x:c>
      <x:c r="M1352" s="9" t="n">
        <x:f>ROUND(H1352*(1-I1352),2)</x:f>
        <x:v>13920000</x:v>
      </x:c>
      <x:c r="N1352" s="4" t="str">
        <x:v>Sales manager</x:v>
      </x:c>
      <x:c r="O1352" s="4"/>
      <x:c r="P1352" s="9" t="n">
        <x:v>0</x:v>
      </x:c>
      <x:c r="Q1352" s="11" t="n">
        <x:v>0</x:v>
      </x:c>
      <x:c r="R1352" s="8" t="n">
        <x:v>45418</x:v>
      </x:c>
      <x:c r="S1352" s="4" t="str">
        <x:v>Retained</x:v>
      </x:c>
      <x:c r="T1352" s="10" t="n">
        <x:v>0.276923</x:v>
      </x:c>
      <x:c r="U1352" s="4" t="str">
        <x:v>Train</x:v>
      </x:c>
    </x:row>
    <x:row r="1353" ht="34" customHeight="1">
      <x:c r="A1353" s="4" t="str">
        <x:v>RS-01352</x:v>
      </x:c>
      <x:c r="B1353" s="8" t="n">
        <x:v>45359</x:v>
      </x:c>
      <x:c r="C1353" s="4" t="str">
        <x:v>PRJ-012</x:v>
      </x:c>
      <x:c r="D1353" s="4" t="str">
        <x:v>Apartment</x:v>
      </x:c>
      <x:c r="E1353" s="4" t="str">
        <x:v>Enquiry</x:v>
      </x:c>
      <x:c r="F1353" s="4" t="str">
        <x:v>CUS-01352</x:v>
      </x:c>
      <x:c r="G1353" s="4" t="str">
        <x:v>UNIT-01352</x:v>
      </x:c>
      <x:c r="H1353" s="9" t="n">
        <x:v>20000000</x:v>
      </x:c>
      <x:c r="I1353" s="10" t="n">
        <x:v>0.06</x:v>
      </x:c>
      <x:c r="J1353" s="11" t="n">
        <x:v>10</x:v>
      </x:c>
      <x:c r="K1353" s="11" t="n">
        <x:v>10</x:v>
      </x:c>
      <x:c r="L1353" s="11" t="n">
        <x:v>0</x:v>
      </x:c>
      <x:c r="M1353" s="9" t="n">
        <x:f>ROUND(H1353*(1-I1353),2)</x:f>
        <x:v>18800000</x:v>
      </x:c>
      <x:c r="N1353" s="4" t="str">
        <x:v>Sales manager</x:v>
      </x:c>
      <x:c r="O1353" s="4"/>
      <x:c r="P1353" s="9" t="n">
        <x:v>0</x:v>
      </x:c>
      <x:c r="Q1353" s="11" t="n">
        <x:v>0</x:v>
      </x:c>
      <x:c r="R1353" s="8" t="n">
        <x:v>45419</x:v>
      </x:c>
      <x:c r="S1353" s="4" t="str">
        <x:v>Retained</x:v>
      </x:c>
      <x:c r="T1353" s="10" t="n">
        <x:v>0.310195</x:v>
      </x:c>
      <x:c r="U1353" s="4" t="str">
        <x:v>Train</x:v>
      </x:c>
    </x:row>
    <x:row r="1354" ht="34" customHeight="1">
      <x:c r="A1354" s="4" t="str">
        <x:v>RS-01353</x:v>
      </x:c>
      <x:c r="B1354" s="8" t="n">
        <x:v>45360</x:v>
      </x:c>
      <x:c r="C1354" s="4" t="str">
        <x:v>PRJ-013</x:v>
      </x:c>
      <x:c r="D1354" s="4" t="str">
        <x:v>Retail</x:v>
      </x:c>
      <x:c r="E1354" s="4" t="str">
        <x:v>Reserved</x:v>
      </x:c>
      <x:c r="F1354" s="4" t="str">
        <x:v>CUS-01353</x:v>
      </x:c>
      <x:c r="G1354" s="4" t="str">
        <x:v>UNIT-01353</x:v>
      </x:c>
      <x:c r="H1354" s="9" t="n">
        <x:v>17700000</x:v>
      </x:c>
      <x:c r="I1354" s="10" t="n">
        <x:v>0.05</x:v>
      </x:c>
      <x:c r="J1354" s="11" t="n">
        <x:v>5</x:v>
      </x:c>
      <x:c r="K1354" s="11" t="n">
        <x:v>10</x:v>
      </x:c>
      <x:c r="L1354" s="11" t="n">
        <x:v>0</x:v>
      </x:c>
      <x:c r="M1354" s="9" t="n">
        <x:f>ROUND(H1354*(1-I1354),2)</x:f>
        <x:v>16815000</x:v>
      </x:c>
      <x:c r="N1354" s="4" t="str">
        <x:v>Sales manager</x:v>
      </x:c>
      <x:c r="O1354" s="4"/>
      <x:c r="P1354" s="9" t="n">
        <x:v>0</x:v>
      </x:c>
      <x:c r="Q1354" s="11" t="n">
        <x:v>1</x:v>
      </x:c>
      <x:c r="R1354" s="8" t="n">
        <x:v>45420</x:v>
      </x:c>
      <x:c r="S1354" s="4" t="str">
        <x:v>Lost / cancelled</x:v>
      </x:c>
      <x:c r="T1354" s="10" t="n">
        <x:v>0.226277</x:v>
      </x:c>
      <x:c r="U1354" s="4" t="str">
        <x:v>Train</x:v>
      </x:c>
    </x:row>
    <x:row r="1355" ht="34" customHeight="1">
      <x:c r="A1355" s="4" t="str">
        <x:v>RS-01354</x:v>
      </x:c>
      <x:c r="B1355" s="8" t="n">
        <x:v>45361</x:v>
      </x:c>
      <x:c r="C1355" s="4" t="str">
        <x:v>PRJ-014</x:v>
      </x:c>
      <x:c r="D1355" s="4" t="str">
        <x:v>Villa</x:v>
      </x:c>
      <x:c r="E1355" s="4" t="str">
        <x:v>Booked</x:v>
      </x:c>
      <x:c r="F1355" s="4" t="str">
        <x:v>CUS-01354</x:v>
      </x:c>
      <x:c r="G1355" s="4" t="str">
        <x:v>UNIT-01354</x:v>
      </x:c>
      <x:c r="H1355" s="9" t="n">
        <x:v>3700000</x:v>
      </x:c>
      <x:c r="I1355" s="10" t="n">
        <x:v>0.07</x:v>
      </x:c>
      <x:c r="J1355" s="11" t="n">
        <x:v>10</x:v>
      </x:c>
      <x:c r="K1355" s="11" t="n">
        <x:v>4</x:v>
      </x:c>
      <x:c r="L1355" s="11" t="n">
        <x:v>0</x:v>
      </x:c>
      <x:c r="M1355" s="9" t="n">
        <x:f>ROUND(H1355*(1-I1355),2)</x:f>
        <x:v>3441000</x:v>
      </x:c>
      <x:c r="N1355" s="4" t="str">
        <x:v>Sales manager</x:v>
      </x:c>
      <x:c r="O1355" s="4" t="str">
        <x:v>BOOK-01354</x:v>
      </x:c>
      <x:c r="P1355" s="9" t="n">
        <x:v>860250</x:v>
      </x:c>
      <x:c r="Q1355" s="11" t="n">
        <x:v>0</x:v>
      </x:c>
      <x:c r="R1355" s="8" t="n">
        <x:v>45421</x:v>
      </x:c>
      <x:c r="S1355" s="4" t="str">
        <x:v>Retained</x:v>
      </x:c>
      <x:c r="T1355" s="10" t="n">
        <x:v>0.310195</x:v>
      </x:c>
      <x:c r="U1355" s="4" t="str">
        <x:v>Train</x:v>
      </x:c>
    </x:row>
    <x:row r="1356" ht="34" customHeight="1">
      <x:c r="A1356" s="4" t="str">
        <x:v>RS-01355</x:v>
      </x:c>
      <x:c r="B1356" s="8" t="n">
        <x:v>45362</x:v>
      </x:c>
      <x:c r="C1356" s="4" t="str">
        <x:v>PRJ-015</x:v>
      </x:c>
      <x:c r="D1356" s="4" t="str">
        <x:v>Office</x:v>
      </x:c>
      <x:c r="E1356" s="4" t="str">
        <x:v>Handed over</x:v>
      </x:c>
      <x:c r="F1356" s="4" t="str">
        <x:v>CUS-01355</x:v>
      </x:c>
      <x:c r="G1356" s="4" t="str">
        <x:v>UNIT-01355</x:v>
      </x:c>
      <x:c r="H1356" s="9" t="n">
        <x:v>6300000</x:v>
      </x:c>
      <x:c r="I1356" s="10" t="n">
        <x:v>0.03</x:v>
      </x:c>
      <x:c r="J1356" s="11" t="n">
        <x:v>3</x:v>
      </x:c>
      <x:c r="K1356" s="11" t="n">
        <x:v>1</x:v>
      </x:c>
      <x:c r="L1356" s="11" t="n">
        <x:v>0</x:v>
      </x:c>
      <x:c r="M1356" s="9" t="n">
        <x:f>ROUND(H1356*(1-I1356),2)</x:f>
        <x:v>6111000</x:v>
      </x:c>
      <x:c r="N1356" s="4" t="str">
        <x:v>Sales manager</x:v>
      </x:c>
      <x:c r="O1356" s="4" t="str">
        <x:v>BOOK-01355</x:v>
      </x:c>
      <x:c r="P1356" s="9" t="n">
        <x:v>3055500</x:v>
      </x:c>
      <x:c r="Q1356" s="11" t="n">
        <x:v>0</x:v>
      </x:c>
      <x:c r="R1356" s="8" t="n">
        <x:v>45422</x:v>
      </x:c>
      <x:c r="S1356" s="4" t="str">
        <x:v>Retained</x:v>
      </x:c>
      <x:c r="T1356" s="10" t="n">
        <x:v>0.171717</x:v>
      </x:c>
      <x:c r="U1356" s="4" t="str">
        <x:v>Train</x:v>
      </x:c>
    </x:row>
    <x:row r="1357" ht="34" customHeight="1">
      <x:c r="A1357" s="4" t="str">
        <x:v>RS-01356</x:v>
      </x:c>
      <x:c r="B1357" s="8" t="n">
        <x:v>45363</x:v>
      </x:c>
      <x:c r="C1357" s="4" t="str">
        <x:v>PRJ-016</x:v>
      </x:c>
      <x:c r="D1357" s="4" t="str">
        <x:v>Office</x:v>
      </x:c>
      <x:c r="E1357" s="4" t="str">
        <x:v>Cancelled</x:v>
      </x:c>
      <x:c r="F1357" s="4" t="str">
        <x:v>CUS-01356</x:v>
      </x:c>
      <x:c r="G1357" s="4" t="str">
        <x:v>UNIT-01356</x:v>
      </x:c>
      <x:c r="H1357" s="9" t="n">
        <x:v>10800000</x:v>
      </x:c>
      <x:c r="I1357" s="10" t="n">
        <x:v>0.05</x:v>
      </x:c>
      <x:c r="J1357" s="11" t="n">
        <x:v>6</x:v>
      </x:c>
      <x:c r="K1357" s="11" t="n">
        <x:v>5</x:v>
      </x:c>
      <x:c r="L1357" s="11" t="n">
        <x:v>1</x:v>
      </x:c>
      <x:c r="M1357" s="9" t="n">
        <x:f>ROUND(H1357*(1-I1357),2)</x:f>
        <x:v>10260000</x:v>
      </x:c>
      <x:c r="N1357" s="4" t="str">
        <x:v>Sales manager</x:v>
      </x:c>
      <x:c r="O1357" s="4"/>
      <x:c r="P1357" s="9" t="n">
        <x:v>0</x:v>
      </x:c>
      <x:c r="Q1357" s="11" t="n">
        <x:v>1</x:v>
      </x:c>
      <x:c r="R1357" s="8" t="n">
        <x:v>45423</x:v>
      </x:c>
      <x:c r="S1357" s="4" t="str">
        <x:v>Lost / cancelled</x:v>
      </x:c>
      <x:c r="T1357" s="10" t="n">
        <x:v>0.291946</x:v>
      </x:c>
      <x:c r="U1357" s="4" t="str">
        <x:v>Train</x:v>
      </x:c>
    </x:row>
    <x:row r="1358" ht="34" customHeight="1">
      <x:c r="A1358" s="4" t="str">
        <x:v>RS-01357</x:v>
      </x:c>
      <x:c r="B1358" s="8" t="n">
        <x:v>45364</x:v>
      </x:c>
      <x:c r="C1358" s="4" t="str">
        <x:v>PRJ-017</x:v>
      </x:c>
      <x:c r="D1358" s="4" t="str">
        <x:v>Villa</x:v>
      </x:c>
      <x:c r="E1358" s="4" t="str">
        <x:v>Handed over</x:v>
      </x:c>
      <x:c r="F1358" s="4" t="str">
        <x:v>CUS-01357</x:v>
      </x:c>
      <x:c r="G1358" s="4" t="str">
        <x:v>UNIT-01357</x:v>
      </x:c>
      <x:c r="H1358" s="9" t="n">
        <x:v>9600000</x:v>
      </x:c>
      <x:c r="I1358" s="10" t="n">
        <x:v>0.05</x:v>
      </x:c>
      <x:c r="J1358" s="11" t="n">
        <x:v>10</x:v>
      </x:c>
      <x:c r="K1358" s="11" t="n">
        <x:v>8</x:v>
      </x:c>
      <x:c r="L1358" s="11" t="n">
        <x:v>1</x:v>
      </x:c>
      <x:c r="M1358" s="9" t="n">
        <x:f>ROUND(H1358*(1-I1358),2)</x:f>
        <x:v>9120000</x:v>
      </x:c>
      <x:c r="N1358" s="4" t="str">
        <x:v>Sales manager</x:v>
      </x:c>
      <x:c r="O1358" s="4" t="str">
        <x:v>BOOK-01357</x:v>
      </x:c>
      <x:c r="P1358" s="9" t="n">
        <x:v>912000</x:v>
      </x:c>
      <x:c r="Q1358" s="11" t="n">
        <x:v>0</x:v>
      </x:c>
      <x:c r="R1358" s="8" t="n">
        <x:v>45424</x:v>
      </x:c>
      <x:c r="S1358" s="4" t="str">
        <x:v>Retained</x:v>
      </x:c>
      <x:c r="T1358" s="10" t="n">
        <x:v>0.310195</x:v>
      </x:c>
      <x:c r="U1358" s="4" t="str">
        <x:v>Train</x:v>
      </x:c>
    </x:row>
    <x:row r="1359" ht="34" customHeight="1">
      <x:c r="A1359" s="4" t="str">
        <x:v>RS-01358</x:v>
      </x:c>
      <x:c r="B1359" s="8" t="n">
        <x:v>45365</x:v>
      </x:c>
      <x:c r="C1359" s="4" t="str">
        <x:v>PRJ-018</x:v>
      </x:c>
      <x:c r="D1359" s="4" t="str">
        <x:v>Office</x:v>
      </x:c>
      <x:c r="E1359" s="4" t="str">
        <x:v>Booked</x:v>
      </x:c>
      <x:c r="F1359" s="4" t="str">
        <x:v>CUS-01358</x:v>
      </x:c>
      <x:c r="G1359" s="4" t="str">
        <x:v>UNIT-01358</x:v>
      </x:c>
      <x:c r="H1359" s="9" t="n">
        <x:v>14600000</x:v>
      </x:c>
      <x:c r="I1359" s="10" t="n">
        <x:v>0.07</x:v>
      </x:c>
      <x:c r="J1359" s="11" t="n">
        <x:v>3</x:v>
      </x:c>
      <x:c r="K1359" s="11" t="n">
        <x:v>2</x:v>
      </x:c>
      <x:c r="L1359" s="11" t="n">
        <x:v>0</x:v>
      </x:c>
      <x:c r="M1359" s="9" t="n">
        <x:f>ROUND(H1359*(1-I1359),2)</x:f>
        <x:v>13578000</x:v>
      </x:c>
      <x:c r="N1359" s="4" t="str">
        <x:v>Sales manager</x:v>
      </x:c>
      <x:c r="O1359" s="4" t="str">
        <x:v>BOOK-01358</x:v>
      </x:c>
      <x:c r="P1359" s="9" t="n">
        <x:v>6789000</x:v>
      </x:c>
      <x:c r="Q1359" s="11" t="n">
        <x:v>0</x:v>
      </x:c>
      <x:c r="R1359" s="8" t="n">
        <x:v>45425</x:v>
      </x:c>
      <x:c r="S1359" s="4" t="str">
        <x:v>Retained</x:v>
      </x:c>
      <x:c r="T1359" s="10" t="n">
        <x:v>0.204152</x:v>
      </x:c>
      <x:c r="U1359" s="4" t="str">
        <x:v>Train</x:v>
      </x:c>
    </x:row>
    <x:row r="1360" ht="34" customHeight="1">
      <x:c r="A1360" s="4" t="str">
        <x:v>RS-01359</x:v>
      </x:c>
      <x:c r="B1360" s="8" t="n">
        <x:v>45366</x:v>
      </x:c>
      <x:c r="C1360" s="4" t="str">
        <x:v>PRJ-019</x:v>
      </x:c>
      <x:c r="D1360" s="4" t="str">
        <x:v>Office</x:v>
      </x:c>
      <x:c r="E1360" s="4" t="str">
        <x:v>Handed over</x:v>
      </x:c>
      <x:c r="F1360" s="4" t="str">
        <x:v>CUS-01359</x:v>
      </x:c>
      <x:c r="G1360" s="4" t="str">
        <x:v>UNIT-01359</x:v>
      </x:c>
      <x:c r="H1360" s="9" t="n">
        <x:v>17700000</x:v>
      </x:c>
      <x:c r="I1360" s="10" t="n">
        <x:v>0.07</x:v>
      </x:c>
      <x:c r="J1360" s="11" t="n">
        <x:v>11</x:v>
      </x:c>
      <x:c r="K1360" s="11" t="n">
        <x:v>5</x:v>
      </x:c>
      <x:c r="L1360" s="11" t="n">
        <x:v>1</x:v>
      </x:c>
      <x:c r="M1360" s="9" t="n">
        <x:f>ROUND(H1360*(1-I1360),2)</x:f>
        <x:v>16461000</x:v>
      </x:c>
      <x:c r="N1360" s="4" t="str">
        <x:v>Sales manager</x:v>
      </x:c>
      <x:c r="O1360" s="4" t="str">
        <x:v>BOOK-01359</x:v>
      </x:c>
      <x:c r="P1360" s="9" t="n">
        <x:v>8230500</x:v>
      </x:c>
      <x:c r="Q1360" s="11" t="n">
        <x:v>0</x:v>
      </x:c>
      <x:c r="R1360" s="8" t="n">
        <x:v>45426</x:v>
      </x:c>
      <x:c r="S1360" s="4" t="str">
        <x:v>Retained</x:v>
      </x:c>
      <x:c r="T1360" s="10" t="n">
        <x:v>0.351536</x:v>
      </x:c>
      <x:c r="U1360" s="4" t="str">
        <x:v>Train</x:v>
      </x:c>
    </x:row>
    <x:row r="1361" ht="34" customHeight="1">
      <x:c r="A1361" s="4" t="str">
        <x:v>RS-01360</x:v>
      </x:c>
      <x:c r="B1361" s="8" t="n">
        <x:v>45367</x:v>
      </x:c>
      <x:c r="C1361" s="4" t="str">
        <x:v>PRJ-020</x:v>
      </x:c>
      <x:c r="D1361" s="4" t="str">
        <x:v>Apartment</x:v>
      </x:c>
      <x:c r="E1361" s="4" t="str">
        <x:v>Handed over</x:v>
      </x:c>
      <x:c r="F1361" s="4" t="str">
        <x:v>CUS-01360</x:v>
      </x:c>
      <x:c r="G1361" s="4" t="str">
        <x:v>UNIT-01360</x:v>
      </x:c>
      <x:c r="H1361" s="9" t="n">
        <x:v>4900000</x:v>
      </x:c>
      <x:c r="I1361" s="10" t="n">
        <x:v>0.02</x:v>
      </x:c>
      <x:c r="J1361" s="11" t="n">
        <x:v>1</x:v>
      </x:c>
      <x:c r="K1361" s="11" t="n">
        <x:v>1</x:v>
      </x:c>
      <x:c r="L1361" s="11" t="n">
        <x:v>1</x:v>
      </x:c>
      <x:c r="M1361" s="9" t="n">
        <x:f>ROUND(H1361*(1-I1361),2)</x:f>
        <x:v>4802000</x:v>
      </x:c>
      <x:c r="N1361" s="4" t="str">
        <x:v>Sales manager</x:v>
      </x:c>
      <x:c r="O1361" s="4" t="str">
        <x:v>BOOK-01360</x:v>
      </x:c>
      <x:c r="P1361" s="9" t="n">
        <x:v>2401000</x:v>
      </x:c>
      <x:c r="Q1361" s="11" t="n">
        <x:v>0</x:v>
      </x:c>
      <x:c r="R1361" s="8" t="n">
        <x:v>45427</x:v>
      </x:c>
      <x:c r="S1361" s="4" t="str">
        <x:v>Retained</x:v>
      </x:c>
      <x:c r="T1361" s="10" t="n">
        <x:v>0.072165</x:v>
      </x:c>
      <x:c r="U1361" s="4" t="str">
        <x:v>Train</x:v>
      </x:c>
    </x:row>
    <x:row r="1362" ht="34" customHeight="1">
      <x:c r="A1362" s="4" t="str">
        <x:v>RS-01361</x:v>
      </x:c>
      <x:c r="B1362" s="8" t="n">
        <x:v>45368</x:v>
      </x:c>
      <x:c r="C1362" s="4" t="str">
        <x:v>PRJ-001</x:v>
      </x:c>
      <x:c r="D1362" s="4" t="str">
        <x:v>Retail</x:v>
      </x:c>
      <x:c r="E1362" s="4" t="str">
        <x:v>Reserved</x:v>
      </x:c>
      <x:c r="F1362" s="4" t="str">
        <x:v>CUS-01361</x:v>
      </x:c>
      <x:c r="G1362" s="4" t="str">
        <x:v>UNIT-01361</x:v>
      </x:c>
      <x:c r="H1362" s="9" t="n">
        <x:v>15200000</x:v>
      </x:c>
      <x:c r="I1362" s="10" t="n">
        <x:v>0.07</x:v>
      </x:c>
      <x:c r="J1362" s="11" t="n">
        <x:v>2</x:v>
      </x:c>
      <x:c r="K1362" s="11" t="n">
        <x:v>0</x:v>
      </x:c>
      <x:c r="L1362" s="11" t="n">
        <x:v>0</x:v>
      </x:c>
      <x:c r="M1362" s="9" t="n">
        <x:f>ROUND(H1362*(1-I1362),2)</x:f>
        <x:v>14136000</x:v>
      </x:c>
      <x:c r="N1362" s="4" t="str">
        <x:v>Sales manager</x:v>
      </x:c>
      <x:c r="O1362" s="4"/>
      <x:c r="P1362" s="9" t="n">
        <x:v>0</x:v>
      </x:c>
      <x:c r="Q1362" s="11" t="n">
        <x:v>0</x:v>
      </x:c>
      <x:c r="R1362" s="8" t="n">
        <x:v>45428</x:v>
      </x:c>
      <x:c r="S1362" s="4" t="str">
        <x:v>Retained</x:v>
      </x:c>
      <x:c r="T1362" s="10" t="n">
        <x:v>0.276923</x:v>
      </x:c>
      <x:c r="U1362" s="4" t="str">
        <x:v>Train</x:v>
      </x:c>
    </x:row>
    <x:row r="1363" ht="34" customHeight="1">
      <x:c r="A1363" s="4" t="str">
        <x:v>RS-01362</x:v>
      </x:c>
      <x:c r="B1363" s="8" t="n">
        <x:v>45369</x:v>
      </x:c>
      <x:c r="C1363" s="4" t="str">
        <x:v>PRJ-002</x:v>
      </x:c>
      <x:c r="D1363" s="4" t="str">
        <x:v>Office</x:v>
      </x:c>
      <x:c r="E1363" s="4" t="str">
        <x:v>Reserved</x:v>
      </x:c>
      <x:c r="F1363" s="4" t="str">
        <x:v>CUS-01362</x:v>
      </x:c>
      <x:c r="G1363" s="4" t="str">
        <x:v>UNIT-01362</x:v>
      </x:c>
      <x:c r="H1363" s="9" t="n">
        <x:v>3900000</x:v>
      </x:c>
      <x:c r="I1363" s="10" t="n">
        <x:v>0.03</x:v>
      </x:c>
      <x:c r="J1363" s="11" t="n">
        <x:v>1</x:v>
      </x:c>
      <x:c r="K1363" s="11" t="n">
        <x:v>8</x:v>
      </x:c>
      <x:c r="L1363" s="11" t="n">
        <x:v>1</x:v>
      </x:c>
      <x:c r="M1363" s="9" t="n">
        <x:f>ROUND(H1363*(1-I1363),2)</x:f>
        <x:v>3783000</x:v>
      </x:c>
      <x:c r="N1363" s="4" t="str">
        <x:v>Sales manager</x:v>
      </x:c>
      <x:c r="O1363" s="4"/>
      <x:c r="P1363" s="9" t="n">
        <x:v>0</x:v>
      </x:c>
      <x:c r="Q1363" s="11" t="n">
        <x:v>0</x:v>
      </x:c>
      <x:c r="R1363" s="8" t="n">
        <x:v>45429</x:v>
      </x:c>
      <x:c r="S1363" s="4" t="str">
        <x:v>Retained</x:v>
      </x:c>
      <x:c r="T1363" s="10" t="n">
        <x:v>0.072165</x:v>
      </x:c>
      <x:c r="U1363" s="4" t="str">
        <x:v>Train</x:v>
      </x:c>
    </x:row>
    <x:row r="1364" ht="34" customHeight="1">
      <x:c r="A1364" s="4" t="str">
        <x:v>RS-01363</x:v>
      </x:c>
      <x:c r="B1364" s="8" t="n">
        <x:v>45370</x:v>
      </x:c>
      <x:c r="C1364" s="4" t="str">
        <x:v>PRJ-003</x:v>
      </x:c>
      <x:c r="D1364" s="4" t="str">
        <x:v>Apartment</x:v>
      </x:c>
      <x:c r="E1364" s="4" t="str">
        <x:v>Booked</x:v>
      </x:c>
      <x:c r="F1364" s="4" t="str">
        <x:v>CUS-01363</x:v>
      </x:c>
      <x:c r="G1364" s="4" t="str">
        <x:v>UNIT-01363</x:v>
      </x:c>
      <x:c r="H1364" s="9" t="n">
        <x:v>4900000</x:v>
      </x:c>
      <x:c r="I1364" s="10" t="n">
        <x:v>0.06</x:v>
      </x:c>
      <x:c r="J1364" s="11" t="n">
        <x:v>11</x:v>
      </x:c>
      <x:c r="K1364" s="11" t="n">
        <x:v>6</x:v>
      </x:c>
      <x:c r="L1364" s="11" t="n">
        <x:v>0</x:v>
      </x:c>
      <x:c r="M1364" s="9" t="n">
        <x:f>ROUND(H1364*(1-I1364),2)</x:f>
        <x:v>4606000</x:v>
      </x:c>
      <x:c r="N1364" s="4" t="str">
        <x:v>Sales manager</x:v>
      </x:c>
      <x:c r="O1364" s="4" t="str">
        <x:v>BOOK-01363</x:v>
      </x:c>
      <x:c r="P1364" s="9" t="n">
        <x:v>2303000</x:v>
      </x:c>
      <x:c r="Q1364" s="11" t="n">
        <x:v>0</x:v>
      </x:c>
      <x:c r="R1364" s="8" t="n">
        <x:v>45430</x:v>
      </x:c>
      <x:c r="S1364" s="4" t="str">
        <x:v>Retained</x:v>
      </x:c>
      <x:c r="T1364" s="10" t="n">
        <x:v>0.351536</x:v>
      </x:c>
      <x:c r="U1364" s="4" t="str">
        <x:v>Train</x:v>
      </x:c>
    </x:row>
    <x:row r="1365" ht="34" customHeight="1">
      <x:c r="A1365" s="4" t="str">
        <x:v>RS-01364</x:v>
      </x:c>
      <x:c r="B1365" s="8" t="n">
        <x:v>45371</x:v>
      </x:c>
      <x:c r="C1365" s="4" t="str">
        <x:v>PRJ-004</x:v>
      </x:c>
      <x:c r="D1365" s="4" t="str">
        <x:v>Retail</x:v>
      </x:c>
      <x:c r="E1365" s="4" t="str">
        <x:v>Enquiry</x:v>
      </x:c>
      <x:c r="F1365" s="4" t="str">
        <x:v>CUS-01364</x:v>
      </x:c>
      <x:c r="G1365" s="4" t="str">
        <x:v>UNIT-01364</x:v>
      </x:c>
      <x:c r="H1365" s="9" t="n">
        <x:v>4900000</x:v>
      </x:c>
      <x:c r="I1365" s="10" t="n">
        <x:v>0.1</x:v>
      </x:c>
      <x:c r="J1365" s="11" t="n">
        <x:v>8</x:v>
      </x:c>
      <x:c r="K1365" s="11" t="n">
        <x:v>2</x:v>
      </x:c>
      <x:c r="L1365" s="11" t="n">
        <x:v>0</x:v>
      </x:c>
      <x:c r="M1365" s="9" t="n">
        <x:f>ROUND(H1365*(1-I1365),2)</x:f>
        <x:v>4410000</x:v>
      </x:c>
      <x:c r="N1365" s="4" t="str">
        <x:v>Sales head</x:v>
      </x:c>
      <x:c r="O1365" s="4"/>
      <x:c r="P1365" s="9" t="n">
        <x:v>0</x:v>
      </x:c>
      <x:c r="Q1365" s="11" t="n">
        <x:v>0</x:v>
      </x:c>
      <x:c r="R1365" s="8" t="n">
        <x:v>45431</x:v>
      </x:c>
      <x:c r="S1365" s="4" t="str">
        <x:v>Retained</x:v>
      </x:c>
      <x:c r="T1365" s="10" t="n">
        <x:v>0.310195</x:v>
      </x:c>
      <x:c r="U1365" s="4" t="str">
        <x:v>Train</x:v>
      </x:c>
    </x:row>
    <x:row r="1366" ht="34" customHeight="1">
      <x:c r="A1366" s="4" t="str">
        <x:v>RS-01365</x:v>
      </x:c>
      <x:c r="B1366" s="8" t="n">
        <x:v>45372</x:v>
      </x:c>
      <x:c r="C1366" s="4" t="str">
        <x:v>PRJ-005</x:v>
      </x:c>
      <x:c r="D1366" s="4" t="str">
        <x:v>Apartment</x:v>
      </x:c>
      <x:c r="E1366" s="4" t="str">
        <x:v>Cancelled</x:v>
      </x:c>
      <x:c r="F1366" s="4" t="str">
        <x:v>CUS-01365</x:v>
      </x:c>
      <x:c r="G1366" s="4" t="str">
        <x:v>UNIT-01365</x:v>
      </x:c>
      <x:c r="H1366" s="9" t="n">
        <x:v>19600000</x:v>
      </x:c>
      <x:c r="I1366" s="10" t="n">
        <x:v>0.1</x:v>
      </x:c>
      <x:c r="J1366" s="11" t="n">
        <x:v>9</x:v>
      </x:c>
      <x:c r="K1366" s="11" t="n">
        <x:v>6</x:v>
      </x:c>
      <x:c r="L1366" s="11" t="n">
        <x:v>0</x:v>
      </x:c>
      <x:c r="M1366" s="9" t="n">
        <x:f>ROUND(H1366*(1-I1366),2)</x:f>
        <x:v>17640000</x:v>
      </x:c>
      <x:c r="N1366" s="4" t="str">
        <x:v>Sales head</x:v>
      </x:c>
      <x:c r="O1366" s="4"/>
      <x:c r="P1366" s="9" t="n">
        <x:v>0</x:v>
      </x:c>
      <x:c r="Q1366" s="11" t="n">
        <x:v>1</x:v>
      </x:c>
      <x:c r="R1366" s="8" t="n">
        <x:v>45432</x:v>
      </x:c>
      <x:c r="S1366" s="4" t="str">
        <x:v>Lost / cancelled</x:v>
      </x:c>
      <x:c r="T1366" s="10" t="n">
        <x:v>0.310195</x:v>
      </x:c>
      <x:c r="U1366" s="4" t="str">
        <x:v>Train</x:v>
      </x:c>
    </x:row>
    <x:row r="1367" ht="34" customHeight="1">
      <x:c r="A1367" s="4" t="str">
        <x:v>RS-01366</x:v>
      </x:c>
      <x:c r="B1367" s="8" t="n">
        <x:v>45373</x:v>
      </x:c>
      <x:c r="C1367" s="4" t="str">
        <x:v>PRJ-006</x:v>
      </x:c>
      <x:c r="D1367" s="4" t="str">
        <x:v>Retail</x:v>
      </x:c>
      <x:c r="E1367" s="4" t="str">
        <x:v>Enquiry</x:v>
      </x:c>
      <x:c r="F1367" s="4" t="str">
        <x:v>CUS-01366</x:v>
      </x:c>
      <x:c r="G1367" s="4" t="str">
        <x:v>UNIT-01366</x:v>
      </x:c>
      <x:c r="H1367" s="9" t="n">
        <x:v>9200000</x:v>
      </x:c>
      <x:c r="I1367" s="10" t="n">
        <x:v>0.11</x:v>
      </x:c>
      <x:c r="J1367" s="11" t="n">
        <x:v>8</x:v>
      </x:c>
      <x:c r="K1367" s="11" t="n">
        <x:v>10</x:v>
      </x:c>
      <x:c r="L1367" s="11" t="n">
        <x:v>0</x:v>
      </x:c>
      <x:c r="M1367" s="9" t="n">
        <x:f>ROUND(H1367*(1-I1367),2)</x:f>
        <x:v>8188000</x:v>
      </x:c>
      <x:c r="N1367" s="4" t="str">
        <x:v>Sales head</x:v>
      </x:c>
      <x:c r="O1367" s="4"/>
      <x:c r="P1367" s="9" t="n">
        <x:v>0</x:v>
      </x:c>
      <x:c r="Q1367" s="11" t="n">
        <x:v>1</x:v>
      </x:c>
      <x:c r="R1367" s="8" t="n">
        <x:v>45433</x:v>
      </x:c>
      <x:c r="S1367" s="4" t="str">
        <x:v>Lost / cancelled</x:v>
      </x:c>
      <x:c r="T1367" s="10" t="n">
        <x:v>0.310195</x:v>
      </x:c>
      <x:c r="U1367" s="4" t="str">
        <x:v>Train</x:v>
      </x:c>
    </x:row>
    <x:row r="1368" ht="34" customHeight="1">
      <x:c r="A1368" s="4" t="str">
        <x:v>RS-01367</x:v>
      </x:c>
      <x:c r="B1368" s="8" t="n">
        <x:v>45374</x:v>
      </x:c>
      <x:c r="C1368" s="4" t="str">
        <x:v>PRJ-007</x:v>
      </x:c>
      <x:c r="D1368" s="4" t="str">
        <x:v>Apartment</x:v>
      </x:c>
      <x:c r="E1368" s="4" t="str">
        <x:v>Handed over</x:v>
      </x:c>
      <x:c r="F1368" s="4" t="str">
        <x:v>CUS-01367</x:v>
      </x:c>
      <x:c r="G1368" s="4" t="str">
        <x:v>UNIT-01367</x:v>
      </x:c>
      <x:c r="H1368" s="9" t="n">
        <x:v>16600000</x:v>
      </x:c>
      <x:c r="I1368" s="10" t="n">
        <x:v>0.12</x:v>
      </x:c>
      <x:c r="J1368" s="11" t="n">
        <x:v>9</x:v>
      </x:c>
      <x:c r="K1368" s="11" t="n">
        <x:v>7</x:v>
      </x:c>
      <x:c r="L1368" s="11" t="n">
        <x:v>0</x:v>
      </x:c>
      <x:c r="M1368" s="9" t="n">
        <x:f>ROUND(H1368*(1-I1368),2)</x:f>
        <x:v>14608000</x:v>
      </x:c>
      <x:c r="N1368" s="4" t="str">
        <x:v>Sales head</x:v>
      </x:c>
      <x:c r="O1368" s="4" t="str">
        <x:v>BOOK-01367</x:v>
      </x:c>
      <x:c r="P1368" s="9" t="n">
        <x:v>1460800</x:v>
      </x:c>
      <x:c r="Q1368" s="11" t="n">
        <x:v>0</x:v>
      </x:c>
      <x:c r="R1368" s="8" t="n">
        <x:v>45434</x:v>
      </x:c>
      <x:c r="S1368" s="4" t="str">
        <x:v>Retained</x:v>
      </x:c>
      <x:c r="T1368" s="10" t="n">
        <x:v>0.310195</x:v>
      </x:c>
      <x:c r="U1368" s="4" t="str">
        <x:v>Train</x:v>
      </x:c>
    </x:row>
    <x:row r="1369" ht="34" customHeight="1">
      <x:c r="A1369" s="4" t="str">
        <x:v>RS-01368</x:v>
      </x:c>
      <x:c r="B1369" s="8" t="n">
        <x:v>45375</x:v>
      </x:c>
      <x:c r="C1369" s="4" t="str">
        <x:v>PRJ-008</x:v>
      </x:c>
      <x:c r="D1369" s="4" t="str">
        <x:v>Retail</x:v>
      </x:c>
      <x:c r="E1369" s="4" t="str">
        <x:v>Cancelled</x:v>
      </x:c>
      <x:c r="F1369" s="4" t="str">
        <x:v>CUS-01368</x:v>
      </x:c>
      <x:c r="G1369" s="4" t="str">
        <x:v>UNIT-01368</x:v>
      </x:c>
      <x:c r="H1369" s="9" t="n">
        <x:v>19800000</x:v>
      </x:c>
      <x:c r="I1369" s="10" t="n">
        <x:v>0.1</x:v>
      </x:c>
      <x:c r="J1369" s="11" t="n">
        <x:v>11</x:v>
      </x:c>
      <x:c r="K1369" s="11" t="n">
        <x:v>5</x:v>
      </x:c>
      <x:c r="L1369" s="11" t="n">
        <x:v>1</x:v>
      </x:c>
      <x:c r="M1369" s="9" t="n">
        <x:f>ROUND(H1369*(1-I1369),2)</x:f>
        <x:v>17820000</x:v>
      </x:c>
      <x:c r="N1369" s="4" t="str">
        <x:v>Sales head</x:v>
      </x:c>
      <x:c r="O1369" s="4"/>
      <x:c r="P1369" s="9" t="n">
        <x:v>0</x:v>
      </x:c>
      <x:c r="Q1369" s="11" t="n">
        <x:v>1</x:v>
      </x:c>
      <x:c r="R1369" s="8" t="n">
        <x:v>45435</x:v>
      </x:c>
      <x:c r="S1369" s="4" t="str">
        <x:v>Lost / cancelled</x:v>
      </x:c>
      <x:c r="T1369" s="10" t="n">
        <x:v>0.351536</x:v>
      </x:c>
      <x:c r="U1369" s="4" t="str">
        <x:v>Train</x:v>
      </x:c>
    </x:row>
    <x:row r="1370" ht="34" customHeight="1">
      <x:c r="A1370" s="4" t="str">
        <x:v>RS-01369</x:v>
      </x:c>
      <x:c r="B1370" s="8" t="n">
        <x:v>45376</x:v>
      </x:c>
      <x:c r="C1370" s="4" t="str">
        <x:v>PRJ-009</x:v>
      </x:c>
      <x:c r="D1370" s="4" t="str">
        <x:v>Retail</x:v>
      </x:c>
      <x:c r="E1370" s="4" t="str">
        <x:v>Booked</x:v>
      </x:c>
      <x:c r="F1370" s="4" t="str">
        <x:v>CUS-01369</x:v>
      </x:c>
      <x:c r="G1370" s="4" t="str">
        <x:v>UNIT-01369</x:v>
      </x:c>
      <x:c r="H1370" s="9" t="n">
        <x:v>9300000</x:v>
      </x:c>
      <x:c r="I1370" s="10" t="n">
        <x:v>0.09</x:v>
      </x:c>
      <x:c r="J1370" s="11" t="n">
        <x:v>6</x:v>
      </x:c>
      <x:c r="K1370" s="11" t="n">
        <x:v>9</x:v>
      </x:c>
      <x:c r="L1370" s="11" t="n">
        <x:v>1</x:v>
      </x:c>
      <x:c r="M1370" s="9" t="n">
        <x:f>ROUND(H1370*(1-I1370),2)</x:f>
        <x:v>8463000</x:v>
      </x:c>
      <x:c r="N1370" s="4" t="str">
        <x:v>Sales head</x:v>
      </x:c>
      <x:c r="O1370" s="4" t="str">
        <x:v>BOOK-01369</x:v>
      </x:c>
      <x:c r="P1370" s="9" t="n">
        <x:v>846300</x:v>
      </x:c>
      <x:c r="Q1370" s="11" t="n">
        <x:v>0</x:v>
      </x:c>
      <x:c r="R1370" s="8" t="n">
        <x:v>45436</x:v>
      </x:c>
      <x:c r="S1370" s="4" t="str">
        <x:v>Retained</x:v>
      </x:c>
      <x:c r="T1370" s="10" t="n">
        <x:v>0.291946</x:v>
      </x:c>
      <x:c r="U1370" s="4" t="str">
        <x:v>Train</x:v>
      </x:c>
    </x:row>
    <x:row r="1371" ht="34" customHeight="1">
      <x:c r="A1371" s="4" t="str">
        <x:v>RS-01370</x:v>
      </x:c>
      <x:c r="B1371" s="8" t="n">
        <x:v>45377</x:v>
      </x:c>
      <x:c r="C1371" s="4" t="str">
        <x:v>PRJ-010</x:v>
      </x:c>
      <x:c r="D1371" s="4" t="str">
        <x:v>Apartment</x:v>
      </x:c>
      <x:c r="E1371" s="4" t="str">
        <x:v>Booked</x:v>
      </x:c>
      <x:c r="F1371" s="4" t="str">
        <x:v>CUS-01370</x:v>
      </x:c>
      <x:c r="G1371" s="4" t="str">
        <x:v>UNIT-01370</x:v>
      </x:c>
      <x:c r="H1371" s="9" t="n">
        <x:v>7300000</x:v>
      </x:c>
      <x:c r="I1371" s="10" t="n">
        <x:v>0.1</x:v>
      </x:c>
      <x:c r="J1371" s="11" t="n">
        <x:v>9</x:v>
      </x:c>
      <x:c r="K1371" s="11" t="n">
        <x:v>8</x:v>
      </x:c>
      <x:c r="L1371" s="11" t="n">
        <x:v>1</x:v>
      </x:c>
      <x:c r="M1371" s="9" t="n">
        <x:f>ROUND(H1371*(1-I1371),2)</x:f>
        <x:v>6570000</x:v>
      </x:c>
      <x:c r="N1371" s="4" t="str">
        <x:v>Sales head</x:v>
      </x:c>
      <x:c r="O1371" s="4" t="str">
        <x:v>BOOK-01370</x:v>
      </x:c>
      <x:c r="P1371" s="9" t="n">
        <x:v>3285000</x:v>
      </x:c>
      <x:c r="Q1371" s="11" t="n">
        <x:v>0</x:v>
      </x:c>
      <x:c r="R1371" s="8" t="n">
        <x:v>45437</x:v>
      </x:c>
      <x:c r="S1371" s="4" t="str">
        <x:v>Retained</x:v>
      </x:c>
      <x:c r="T1371" s="10" t="n">
        <x:v>0.310195</x:v>
      </x:c>
      <x:c r="U1371" s="4" t="str">
        <x:v>Train</x:v>
      </x:c>
    </x:row>
    <x:row r="1372" ht="34" customHeight="1">
      <x:c r="A1372" s="4" t="str">
        <x:v>RS-01371</x:v>
      </x:c>
      <x:c r="B1372" s="8" t="n">
        <x:v>45378</x:v>
      </x:c>
      <x:c r="C1372" s="4" t="str">
        <x:v>PRJ-011</x:v>
      </x:c>
      <x:c r="D1372" s="4" t="str">
        <x:v>Retail</x:v>
      </x:c>
      <x:c r="E1372" s="4" t="str">
        <x:v>Agreement signed</x:v>
      </x:c>
      <x:c r="F1372" s="4" t="str">
        <x:v>CUS-01371</x:v>
      </x:c>
      <x:c r="G1372" s="4" t="str">
        <x:v>UNIT-01371</x:v>
      </x:c>
      <x:c r="H1372" s="9" t="n">
        <x:v>19900000</x:v>
      </x:c>
      <x:c r="I1372" s="10" t="n">
        <x:v>0.11</x:v>
      </x:c>
      <x:c r="J1372" s="11" t="n">
        <x:v>10</x:v>
      </x:c>
      <x:c r="K1372" s="11" t="n">
        <x:v>10</x:v>
      </x:c>
      <x:c r="L1372" s="11" t="n">
        <x:v>0</x:v>
      </x:c>
      <x:c r="M1372" s="9" t="n">
        <x:f>ROUND(H1372*(1-I1372),2)</x:f>
        <x:v>17711000</x:v>
      </x:c>
      <x:c r="N1372" s="4" t="str">
        <x:v>Sales head</x:v>
      </x:c>
      <x:c r="O1372" s="4" t="str">
        <x:v>BOOK-01371</x:v>
      </x:c>
      <x:c r="P1372" s="9" t="n">
        <x:v>4427750</x:v>
      </x:c>
      <x:c r="Q1372" s="11" t="n">
        <x:v>0</x:v>
      </x:c>
      <x:c r="R1372" s="8" t="n">
        <x:v>45438</x:v>
      </x:c>
      <x:c r="S1372" s="4" t="str">
        <x:v>Retained</x:v>
      </x:c>
      <x:c r="T1372" s="10" t="n">
        <x:v>0.310195</x:v>
      </x:c>
      <x:c r="U1372" s="4" t="str">
        <x:v>Train</x:v>
      </x:c>
    </x:row>
    <x:row r="1373" ht="34" customHeight="1">
      <x:c r="A1373" s="4" t="str">
        <x:v>RS-01372</x:v>
      </x:c>
      <x:c r="B1373" s="8" t="n">
        <x:v>45379</x:v>
      </x:c>
      <x:c r="C1373" s="4" t="str">
        <x:v>PRJ-012</x:v>
      </x:c>
      <x:c r="D1373" s="4" t="str">
        <x:v>Retail</x:v>
      </x:c>
      <x:c r="E1373" s="4" t="str">
        <x:v>Cancelled</x:v>
      </x:c>
      <x:c r="F1373" s="4" t="str">
        <x:v>CUS-01372</x:v>
      </x:c>
      <x:c r="G1373" s="4" t="str">
        <x:v>UNIT-01372</x:v>
      </x:c>
      <x:c r="H1373" s="9" t="n">
        <x:v>20200000</x:v>
      </x:c>
      <x:c r="I1373" s="10" t="n">
        <x:v>0.02</x:v>
      </x:c>
      <x:c r="J1373" s="11" t="n">
        <x:v>4</x:v>
      </x:c>
      <x:c r="K1373" s="11" t="n">
        <x:v>8</x:v>
      </x:c>
      <x:c r="L1373" s="11" t="n">
        <x:v>1</x:v>
      </x:c>
      <x:c r="M1373" s="9" t="n">
        <x:f>ROUND(H1373*(1-I1373),2)</x:f>
        <x:v>19796000</x:v>
      </x:c>
      <x:c r="N1373" s="4" t="str">
        <x:v>Sales manager</x:v>
      </x:c>
      <x:c r="O1373" s="4"/>
      <x:c r="P1373" s="9" t="n">
        <x:v>0</x:v>
      </x:c>
      <x:c r="Q1373" s="11" t="n">
        <x:v>1</x:v>
      </x:c>
      <x:c r="R1373" s="8" t="n">
        <x:v>45439</x:v>
      </x:c>
      <x:c r="S1373" s="4" t="str">
        <x:v>Lost / cancelled</x:v>
      </x:c>
      <x:c r="T1373" s="10" t="n">
        <x:v>0.145299</x:v>
      </x:c>
      <x:c r="U1373" s="4" t="str">
        <x:v>Train</x:v>
      </x:c>
    </x:row>
    <x:row r="1374" ht="34" customHeight="1">
      <x:c r="A1374" s="4" t="str">
        <x:v>RS-01373</x:v>
      </x:c>
      <x:c r="B1374" s="8" t="n">
        <x:v>45352</x:v>
      </x:c>
      <x:c r="C1374" s="4" t="str">
        <x:v>PRJ-013</x:v>
      </x:c>
      <x:c r="D1374" s="4" t="str">
        <x:v>Villa</x:v>
      </x:c>
      <x:c r="E1374" s="4" t="str">
        <x:v>Agreement signed</x:v>
      </x:c>
      <x:c r="F1374" s="4" t="str">
        <x:v>CUS-01373</x:v>
      </x:c>
      <x:c r="G1374" s="4" t="str">
        <x:v>UNIT-01373</x:v>
      </x:c>
      <x:c r="H1374" s="9" t="n">
        <x:v>5700000</x:v>
      </x:c>
      <x:c r="I1374" s="10" t="n">
        <x:v>0.05</x:v>
      </x:c>
      <x:c r="J1374" s="11" t="n">
        <x:v>10</x:v>
      </x:c>
      <x:c r="K1374" s="11" t="n">
        <x:v>10</x:v>
      </x:c>
      <x:c r="L1374" s="11" t="n">
        <x:v>1</x:v>
      </x:c>
      <x:c r="M1374" s="9" t="n">
        <x:f>ROUND(H1374*(1-I1374),2)</x:f>
        <x:v>5415000</x:v>
      </x:c>
      <x:c r="N1374" s="4" t="str">
        <x:v>Sales manager</x:v>
      </x:c>
      <x:c r="O1374" s="4" t="str">
        <x:v>BOOK-01373</x:v>
      </x:c>
      <x:c r="P1374" s="9" t="n">
        <x:v>2707500</x:v>
      </x:c>
      <x:c r="Q1374" s="11" t="n">
        <x:v>0</x:v>
      </x:c>
      <x:c r="R1374" s="8" t="n">
        <x:v>45412</x:v>
      </x:c>
      <x:c r="S1374" s="4" t="str">
        <x:v>Retained</x:v>
      </x:c>
      <x:c r="T1374" s="10" t="n">
        <x:v>0.310195</x:v>
      </x:c>
      <x:c r="U1374" s="4" t="str">
        <x:v>Train</x:v>
      </x:c>
    </x:row>
    <x:row r="1375" ht="34" customHeight="1">
      <x:c r="A1375" s="4" t="str">
        <x:v>RS-01374</x:v>
      </x:c>
      <x:c r="B1375" s="8" t="n">
        <x:v>45353</x:v>
      </x:c>
      <x:c r="C1375" s="4" t="str">
        <x:v>PRJ-014</x:v>
      </x:c>
      <x:c r="D1375" s="4" t="str">
        <x:v>Apartment</x:v>
      </x:c>
      <x:c r="E1375" s="4" t="str">
        <x:v>Reserved</x:v>
      </x:c>
      <x:c r="F1375" s="4" t="str">
        <x:v>CUS-01374</x:v>
      </x:c>
      <x:c r="G1375" s="4" t="str">
        <x:v>UNIT-01374</x:v>
      </x:c>
      <x:c r="H1375" s="9" t="n">
        <x:v>8400000</x:v>
      </x:c>
      <x:c r="I1375" s="10" t="n">
        <x:v>0.1</x:v>
      </x:c>
      <x:c r="J1375" s="11" t="n">
        <x:v>8</x:v>
      </x:c>
      <x:c r="K1375" s="11" t="n">
        <x:v>5</x:v>
      </x:c>
      <x:c r="L1375" s="11" t="n">
        <x:v>1</x:v>
      </x:c>
      <x:c r="M1375" s="9" t="n">
        <x:f>ROUND(H1375*(1-I1375),2)</x:f>
        <x:v>7560000</x:v>
      </x:c>
      <x:c r="N1375" s="4" t="str">
        <x:v>Sales head</x:v>
      </x:c>
      <x:c r="O1375" s="4"/>
      <x:c r="P1375" s="9" t="n">
        <x:v>0</x:v>
      </x:c>
      <x:c r="Q1375" s="11" t="n">
        <x:v>1</x:v>
      </x:c>
      <x:c r="R1375" s="8" t="n">
        <x:v>45413</x:v>
      </x:c>
      <x:c r="S1375" s="4" t="str">
        <x:v>Lost / cancelled</x:v>
      </x:c>
      <x:c r="T1375" s="10" t="n">
        <x:v>0.310195</x:v>
      </x:c>
      <x:c r="U1375" s="4" t="str">
        <x:v>Train</x:v>
      </x:c>
    </x:row>
    <x:row r="1376" ht="34" customHeight="1">
      <x:c r="A1376" s="4" t="str">
        <x:v>RS-01375</x:v>
      </x:c>
      <x:c r="B1376" s="8" t="n">
        <x:v>45354</x:v>
      </x:c>
      <x:c r="C1376" s="4" t="str">
        <x:v>PRJ-015</x:v>
      </x:c>
      <x:c r="D1376" s="4" t="str">
        <x:v>Apartment</x:v>
      </x:c>
      <x:c r="E1376" s="4" t="str">
        <x:v>Booked</x:v>
      </x:c>
      <x:c r="F1376" s="4" t="str">
        <x:v>CUS-01375</x:v>
      </x:c>
      <x:c r="G1376" s="4" t="str">
        <x:v>UNIT-01375</x:v>
      </x:c>
      <x:c r="H1376" s="9" t="n">
        <x:v>15100000</x:v>
      </x:c>
      <x:c r="I1376" s="10" t="n">
        <x:v>0.05</x:v>
      </x:c>
      <x:c r="J1376" s="11" t="n">
        <x:v>11</x:v>
      </x:c>
      <x:c r="K1376" s="11" t="n">
        <x:v>2</x:v>
      </x:c>
      <x:c r="L1376" s="11" t="n">
        <x:v>1</x:v>
      </x:c>
      <x:c r="M1376" s="9" t="n">
        <x:f>ROUND(H1376*(1-I1376),2)</x:f>
        <x:v>14345000</x:v>
      </x:c>
      <x:c r="N1376" s="4" t="str">
        <x:v>Sales manager</x:v>
      </x:c>
      <x:c r="O1376" s="4" t="str">
        <x:v>BOOK-01375</x:v>
      </x:c>
      <x:c r="P1376" s="9" t="n">
        <x:v>14345000</x:v>
      </x:c>
      <x:c r="Q1376" s="11" t="n">
        <x:v>0</x:v>
      </x:c>
      <x:c r="R1376" s="8" t="n">
        <x:v>45414</x:v>
      </x:c>
      <x:c r="S1376" s="4" t="str">
        <x:v>Retained</x:v>
      </x:c>
      <x:c r="T1376" s="10" t="n">
        <x:v>0.351536</x:v>
      </x:c>
      <x:c r="U1376" s="4" t="str">
        <x:v>Train</x:v>
      </x:c>
    </x:row>
    <x:row r="1377" ht="34" customHeight="1">
      <x:c r="A1377" s="4" t="str">
        <x:v>RS-01376</x:v>
      </x:c>
      <x:c r="B1377" s="8" t="n">
        <x:v>45355</x:v>
      </x:c>
      <x:c r="C1377" s="4" t="str">
        <x:v>PRJ-016</x:v>
      </x:c>
      <x:c r="D1377" s="4" t="str">
        <x:v>Retail</x:v>
      </x:c>
      <x:c r="E1377" s="4" t="str">
        <x:v>Booked</x:v>
      </x:c>
      <x:c r="F1377" s="4" t="str">
        <x:v>CUS-01376</x:v>
      </x:c>
      <x:c r="G1377" s="4" t="str">
        <x:v>UNIT-01376</x:v>
      </x:c>
      <x:c r="H1377" s="9" t="n">
        <x:v>13000000</x:v>
      </x:c>
      <x:c r="I1377" s="10" t="n">
        <x:v>0</x:v>
      </x:c>
      <x:c r="J1377" s="11" t="n">
        <x:v>5</x:v>
      </x:c>
      <x:c r="K1377" s="11" t="n">
        <x:v>0</x:v>
      </x:c>
      <x:c r="L1377" s="11" t="n">
        <x:v>0</x:v>
      </x:c>
      <x:c r="M1377" s="9" t="n">
        <x:f>ROUND(H1377*(1-I1377),2)</x:f>
        <x:v>13000000</x:v>
      </x:c>
      <x:c r="N1377" s="4" t="str">
        <x:v>Sales manager</x:v>
      </x:c>
      <x:c r="O1377" s="4" t="str">
        <x:v>BOOK-01376</x:v>
      </x:c>
      <x:c r="P1377" s="9" t="n">
        <x:v>1300000</x:v>
      </x:c>
      <x:c r="Q1377" s="11" t="n">
        <x:v>0</x:v>
      </x:c>
      <x:c r="R1377" s="8" t="n">
        <x:v>45415</x:v>
      </x:c>
      <x:c r="S1377" s="4" t="str">
        <x:v>Retained</x:v>
      </x:c>
      <x:c r="T1377" s="10" t="n">
        <x:v>0.298969</x:v>
      </x:c>
      <x:c r="U1377" s="4" t="str">
        <x:v>Train</x:v>
      </x:c>
    </x:row>
    <x:row r="1378" ht="34" customHeight="1">
      <x:c r="A1378" s="4" t="str">
        <x:v>RS-01377</x:v>
      </x:c>
      <x:c r="B1378" s="8" t="n">
        <x:v>45356</x:v>
      </x:c>
      <x:c r="C1378" s="4" t="str">
        <x:v>PRJ-017</x:v>
      </x:c>
      <x:c r="D1378" s="4" t="str">
        <x:v>Villa</x:v>
      </x:c>
      <x:c r="E1378" s="4" t="str">
        <x:v>Booked</x:v>
      </x:c>
      <x:c r="F1378" s="4" t="str">
        <x:v>CUS-01377</x:v>
      </x:c>
      <x:c r="G1378" s="4" t="str">
        <x:v>UNIT-01377</x:v>
      </x:c>
      <x:c r="H1378" s="9" t="n">
        <x:v>7000000</x:v>
      </x:c>
      <x:c r="I1378" s="10" t="n">
        <x:v>0.1</x:v>
      </x:c>
      <x:c r="J1378" s="11" t="n">
        <x:v>1</x:v>
      </x:c>
      <x:c r="K1378" s="11" t="n">
        <x:v>10</x:v>
      </x:c>
      <x:c r="L1378" s="11" t="n">
        <x:v>1</x:v>
      </x:c>
      <x:c r="M1378" s="9" t="n">
        <x:f>ROUND(H1378*(1-I1378),2)</x:f>
        <x:v>6300000</x:v>
      </x:c>
      <x:c r="N1378" s="4" t="str">
        <x:v>Sales head</x:v>
      </x:c>
      <x:c r="O1378" s="4" t="str">
        <x:v>BOOK-01377</x:v>
      </x:c>
      <x:c r="P1378" s="9" t="n">
        <x:v>6300000</x:v>
      </x:c>
      <x:c r="Q1378" s="11" t="n">
        <x:v>0</x:v>
      </x:c>
      <x:c r="R1378" s="8" t="n">
        <x:v>45416</x:v>
      </x:c>
      <x:c r="S1378" s="4" t="str">
        <x:v>Retained</x:v>
      </x:c>
      <x:c r="T1378" s="10" t="n">
        <x:v>0.145833</x:v>
      </x:c>
      <x:c r="U1378" s="4" t="str">
        <x:v>Train</x:v>
      </x:c>
    </x:row>
    <x:row r="1379" ht="34" customHeight="1">
      <x:c r="A1379" s="4" t="str">
        <x:v>RS-01378</x:v>
      </x:c>
      <x:c r="B1379" s="8" t="n">
        <x:v>45357</x:v>
      </x:c>
      <x:c r="C1379" s="4" t="str">
        <x:v>PRJ-018</x:v>
      </x:c>
      <x:c r="D1379" s="4" t="str">
        <x:v>Office</x:v>
      </x:c>
      <x:c r="E1379" s="4" t="str">
        <x:v>Enquiry</x:v>
      </x:c>
      <x:c r="F1379" s="4" t="str">
        <x:v>CUS-01378</x:v>
      </x:c>
      <x:c r="G1379" s="4" t="str">
        <x:v>UNIT-01378</x:v>
      </x:c>
      <x:c r="H1379" s="9" t="n">
        <x:v>20400000</x:v>
      </x:c>
      <x:c r="I1379" s="10" t="n">
        <x:v>0.02</x:v>
      </x:c>
      <x:c r="J1379" s="11" t="n">
        <x:v>8</x:v>
      </x:c>
      <x:c r="K1379" s="11" t="n">
        <x:v>3</x:v>
      </x:c>
      <x:c r="L1379" s="11" t="n">
        <x:v>0</x:v>
      </x:c>
      <x:c r="M1379" s="9" t="n">
        <x:f>ROUND(H1379*(1-I1379),2)</x:f>
        <x:v>19992000</x:v>
      </x:c>
      <x:c r="N1379" s="4" t="str">
        <x:v>Sales manager</x:v>
      </x:c>
      <x:c r="O1379" s="4"/>
      <x:c r="P1379" s="9" t="n">
        <x:v>0</x:v>
      </x:c>
      <x:c r="Q1379" s="11" t="n">
        <x:v>0</x:v>
      </x:c>
      <x:c r="R1379" s="8" t="n">
        <x:v>45417</x:v>
      </x:c>
      <x:c r="S1379" s="4" t="str">
        <x:v>Retained</x:v>
      </x:c>
      <x:c r="T1379" s="10" t="n">
        <x:v>0.305556</x:v>
      </x:c>
      <x:c r="U1379" s="4" t="str">
        <x:v>Train</x:v>
      </x:c>
    </x:row>
    <x:row r="1380" ht="34" customHeight="1">
      <x:c r="A1380" s="4" t="str">
        <x:v>RS-01379</x:v>
      </x:c>
      <x:c r="B1380" s="8" t="n">
        <x:v>45358</x:v>
      </x:c>
      <x:c r="C1380" s="4" t="str">
        <x:v>PRJ-019</x:v>
      </x:c>
      <x:c r="D1380" s="4" t="str">
        <x:v>Office</x:v>
      </x:c>
      <x:c r="E1380" s="4" t="str">
        <x:v>Cancelled</x:v>
      </x:c>
      <x:c r="F1380" s="4" t="str">
        <x:v>CUS-01379</x:v>
      </x:c>
      <x:c r="G1380" s="4" t="str">
        <x:v>UNIT-01379</x:v>
      </x:c>
      <x:c r="H1380" s="9" t="n">
        <x:v>18200000</x:v>
      </x:c>
      <x:c r="I1380" s="10" t="n">
        <x:v>0.11</x:v>
      </x:c>
      <x:c r="J1380" s="11" t="n">
        <x:v>11</x:v>
      </x:c>
      <x:c r="K1380" s="11" t="n">
        <x:v>6</x:v>
      </x:c>
      <x:c r="L1380" s="11" t="n">
        <x:v>0</x:v>
      </x:c>
      <x:c r="M1380" s="9" t="n">
        <x:f>ROUND(H1380*(1-I1380),2)</x:f>
        <x:v>16198000</x:v>
      </x:c>
      <x:c r="N1380" s="4" t="str">
        <x:v>Sales head</x:v>
      </x:c>
      <x:c r="O1380" s="4"/>
      <x:c r="P1380" s="9" t="n">
        <x:v>0</x:v>
      </x:c>
      <x:c r="Q1380" s="11" t="n">
        <x:v>1</x:v>
      </x:c>
      <x:c r="R1380" s="8" t="n">
        <x:v>45418</x:v>
      </x:c>
      <x:c r="S1380" s="4" t="str">
        <x:v>Lost / cancelled</x:v>
      </x:c>
      <x:c r="T1380" s="10" t="n">
        <x:v>0.351536</x:v>
      </x:c>
      <x:c r="U1380" s="4" t="str">
        <x:v>Train</x:v>
      </x:c>
    </x:row>
    <x:row r="1381" ht="34" customHeight="1">
      <x:c r="A1381" s="4" t="str">
        <x:v>RS-01380</x:v>
      </x:c>
      <x:c r="B1381" s="8" t="n">
        <x:v>45359</x:v>
      </x:c>
      <x:c r="C1381" s="4" t="str">
        <x:v>PRJ-020</x:v>
      </x:c>
      <x:c r="D1381" s="4" t="str">
        <x:v>Retail</x:v>
      </x:c>
      <x:c r="E1381" s="4" t="str">
        <x:v>Agreement signed</x:v>
      </x:c>
      <x:c r="F1381" s="4" t="str">
        <x:v>CUS-01380</x:v>
      </x:c>
      <x:c r="G1381" s="4" t="str">
        <x:v>UNIT-01380</x:v>
      </x:c>
      <x:c r="H1381" s="9" t="n">
        <x:v>3300000</x:v>
      </x:c>
      <x:c r="I1381" s="10" t="n">
        <x:v>0.01</x:v>
      </x:c>
      <x:c r="J1381" s="11" t="n">
        <x:v>1</x:v>
      </x:c>
      <x:c r="K1381" s="11" t="n">
        <x:v>7</x:v>
      </x:c>
      <x:c r="L1381" s="11" t="n">
        <x:v>0</x:v>
      </x:c>
      <x:c r="M1381" s="9" t="n">
        <x:f>ROUND(H1381*(1-I1381),2)</x:f>
        <x:v>3267000</x:v>
      </x:c>
      <x:c r="N1381" s="4" t="str">
        <x:v>Sales manager</x:v>
      </x:c>
      <x:c r="O1381" s="4" t="str">
        <x:v>BOOK-01380</x:v>
      </x:c>
      <x:c r="P1381" s="9" t="n">
        <x:v>1633500</x:v>
      </x:c>
      <x:c r="Q1381" s="11" t="n">
        <x:v>0</x:v>
      </x:c>
      <x:c r="R1381" s="8" t="n">
        <x:v>45419</x:v>
      </x:c>
      <x:c r="S1381" s="4" t="str">
        <x:v>Retained</x:v>
      </x:c>
      <x:c r="T1381" s="10" t="n">
        <x:v>0.072165</x:v>
      </x:c>
      <x:c r="U1381" s="4" t="str">
        <x:v>Train</x:v>
      </x:c>
    </x:row>
    <x:row r="1382" ht="34" customHeight="1">
      <x:c r="A1382" s="4" t="str">
        <x:v>RS-01381</x:v>
      </x:c>
      <x:c r="B1382" s="8" t="n">
        <x:v>45360</x:v>
      </x:c>
      <x:c r="C1382" s="4" t="str">
        <x:v>PRJ-001</x:v>
      </x:c>
      <x:c r="D1382" s="4" t="str">
        <x:v>Retail</x:v>
      </x:c>
      <x:c r="E1382" s="4" t="str">
        <x:v>Reserved</x:v>
      </x:c>
      <x:c r="F1382" s="4" t="str">
        <x:v>CUS-01381</x:v>
      </x:c>
      <x:c r="G1382" s="4" t="str">
        <x:v>UNIT-01381</x:v>
      </x:c>
      <x:c r="H1382" s="9" t="n">
        <x:v>18200000</x:v>
      </x:c>
      <x:c r="I1382" s="10" t="n">
        <x:v>0.07</x:v>
      </x:c>
      <x:c r="J1382" s="11" t="n">
        <x:v>12</x:v>
      </x:c>
      <x:c r="K1382" s="11" t="n">
        <x:v>4</x:v>
      </x:c>
      <x:c r="L1382" s="11" t="n">
        <x:v>1</x:v>
      </x:c>
      <x:c r="M1382" s="9" t="n">
        <x:f>ROUND(H1382*(1-I1382),2)</x:f>
        <x:v>16926000</x:v>
      </x:c>
      <x:c r="N1382" s="4" t="str">
        <x:v>Sales manager</x:v>
      </x:c>
      <x:c r="O1382" s="4"/>
      <x:c r="P1382" s="9" t="n">
        <x:v>0</x:v>
      </x:c>
      <x:c r="Q1382" s="11" t="n">
        <x:v>0</x:v>
      </x:c>
      <x:c r="R1382" s="8" t="n">
        <x:v>45420</x:v>
      </x:c>
      <x:c r="S1382" s="4" t="str">
        <x:v>Retained</x:v>
      </x:c>
      <x:c r="T1382" s="10" t="n">
        <x:v>0.351536</x:v>
      </x:c>
      <x:c r="U1382" s="4" t="str">
        <x:v>Train</x:v>
      </x:c>
    </x:row>
    <x:row r="1383" ht="34" customHeight="1">
      <x:c r="A1383" s="4" t="str">
        <x:v>RS-01382</x:v>
      </x:c>
      <x:c r="B1383" s="8" t="n">
        <x:v>45361</x:v>
      </x:c>
      <x:c r="C1383" s="4" t="str">
        <x:v>PRJ-002</x:v>
      </x:c>
      <x:c r="D1383" s="4" t="str">
        <x:v>Retail</x:v>
      </x:c>
      <x:c r="E1383" s="4" t="str">
        <x:v>Booked</x:v>
      </x:c>
      <x:c r="F1383" s="4" t="str">
        <x:v>CUS-01382</x:v>
      </x:c>
      <x:c r="G1383" s="4" t="str">
        <x:v>UNIT-01382</x:v>
      </x:c>
      <x:c r="H1383" s="9" t="n">
        <x:v>6500000</x:v>
      </x:c>
      <x:c r="I1383" s="10" t="n">
        <x:v>0.07</x:v>
      </x:c>
      <x:c r="J1383" s="11" t="n">
        <x:v>2</x:v>
      </x:c>
      <x:c r="K1383" s="11" t="n">
        <x:v>4</x:v>
      </x:c>
      <x:c r="L1383" s="11" t="n">
        <x:v>0</x:v>
      </x:c>
      <x:c r="M1383" s="9" t="n">
        <x:f>ROUND(H1383*(1-I1383),2)</x:f>
        <x:v>6045000</x:v>
      </x:c>
      <x:c r="N1383" s="4" t="str">
        <x:v>Sales manager</x:v>
      </x:c>
      <x:c r="O1383" s="4" t="str">
        <x:v>BOOK-01382</x:v>
      </x:c>
      <x:c r="P1383" s="9" t="n">
        <x:v>6045000</x:v>
      </x:c>
      <x:c r="Q1383" s="11" t="n">
        <x:v>0</x:v>
      </x:c>
      <x:c r="R1383" s="8" t="n">
        <x:v>45421</x:v>
      </x:c>
      <x:c r="S1383" s="4" t="str">
        <x:v>Retained</x:v>
      </x:c>
      <x:c r="T1383" s="10" t="n">
        <x:v>0.204152</x:v>
      </x:c>
      <x:c r="U1383" s="4" t="str">
        <x:v>Train</x:v>
      </x:c>
    </x:row>
    <x:row r="1384" ht="34" customHeight="1">
      <x:c r="A1384" s="4" t="str">
        <x:v>RS-01383</x:v>
      </x:c>
      <x:c r="B1384" s="8" t="n">
        <x:v>45362</x:v>
      </x:c>
      <x:c r="C1384" s="4" t="str">
        <x:v>PRJ-003</x:v>
      </x:c>
      <x:c r="D1384" s="4" t="str">
        <x:v>Office</x:v>
      </x:c>
      <x:c r="E1384" s="4" t="str">
        <x:v>Enquiry</x:v>
      </x:c>
      <x:c r="F1384" s="4" t="str">
        <x:v>CUS-01383</x:v>
      </x:c>
      <x:c r="G1384" s="4" t="str">
        <x:v>UNIT-01383</x:v>
      </x:c>
      <x:c r="H1384" s="9" t="n">
        <x:v>20300000</x:v>
      </x:c>
      <x:c r="I1384" s="10" t="n">
        <x:v>0.11</x:v>
      </x:c>
      <x:c r="J1384" s="11" t="n">
        <x:v>12</x:v>
      </x:c>
      <x:c r="K1384" s="11" t="n">
        <x:v>8</x:v>
      </x:c>
      <x:c r="L1384" s="11" t="n">
        <x:v>1</x:v>
      </x:c>
      <x:c r="M1384" s="9" t="n">
        <x:f>ROUND(H1384*(1-I1384),2)</x:f>
        <x:v>18067000</x:v>
      </x:c>
      <x:c r="N1384" s="4" t="str">
        <x:v>Sales head</x:v>
      </x:c>
      <x:c r="O1384" s="4"/>
      <x:c r="P1384" s="9" t="n">
        <x:v>0</x:v>
      </x:c>
      <x:c r="Q1384" s="11" t="n">
        <x:v>1</x:v>
      </x:c>
      <x:c r="R1384" s="8" t="n">
        <x:v>45422</x:v>
      </x:c>
      <x:c r="S1384" s="4" t="str">
        <x:v>Lost / cancelled</x:v>
      </x:c>
      <x:c r="T1384" s="10" t="n">
        <x:v>0.351536</x:v>
      </x:c>
      <x:c r="U1384" s="4" t="str">
        <x:v>Train</x:v>
      </x:c>
    </x:row>
    <x:row r="1385" ht="34" customHeight="1">
      <x:c r="A1385" s="4" t="str">
        <x:v>RS-01384</x:v>
      </x:c>
      <x:c r="B1385" s="8" t="n">
        <x:v>45363</x:v>
      </x:c>
      <x:c r="C1385" s="4" t="str">
        <x:v>PRJ-004</x:v>
      </x:c>
      <x:c r="D1385" s="4" t="str">
        <x:v>Apartment</x:v>
      </x:c>
      <x:c r="E1385" s="4" t="str">
        <x:v>Enquiry</x:v>
      </x:c>
      <x:c r="F1385" s="4" t="str">
        <x:v>CUS-01384</x:v>
      </x:c>
      <x:c r="G1385" s="4" t="str">
        <x:v>UNIT-01384</x:v>
      </x:c>
      <x:c r="H1385" s="9" t="n">
        <x:v>4200000</x:v>
      </x:c>
      <x:c r="I1385" s="10" t="n">
        <x:v>0.07</x:v>
      </x:c>
      <x:c r="J1385" s="11" t="n">
        <x:v>6</x:v>
      </x:c>
      <x:c r="K1385" s="11" t="n">
        <x:v>8</x:v>
      </x:c>
      <x:c r="L1385" s="11" t="n">
        <x:v>1</x:v>
      </x:c>
      <x:c r="M1385" s="9" t="n">
        <x:f>ROUND(H1385*(1-I1385),2)</x:f>
        <x:v>3906000</x:v>
      </x:c>
      <x:c r="N1385" s="4" t="str">
        <x:v>Sales manager</x:v>
      </x:c>
      <x:c r="O1385" s="4"/>
      <x:c r="P1385" s="9" t="n">
        <x:v>0</x:v>
      </x:c>
      <x:c r="Q1385" s="11" t="n">
        <x:v>0</x:v>
      </x:c>
      <x:c r="R1385" s="8" t="n">
        <x:v>45423</x:v>
      </x:c>
      <x:c r="S1385" s="4" t="str">
        <x:v>Retained</x:v>
      </x:c>
      <x:c r="T1385" s="10" t="n">
        <x:v>0.291946</x:v>
      </x:c>
      <x:c r="U1385" s="4" t="str">
        <x:v>Train</x:v>
      </x:c>
    </x:row>
    <x:row r="1386" ht="34" customHeight="1">
      <x:c r="A1386" s="4" t="str">
        <x:v>RS-01385</x:v>
      </x:c>
      <x:c r="B1386" s="8" t="n">
        <x:v>45364</x:v>
      </x:c>
      <x:c r="C1386" s="4" t="str">
        <x:v>PRJ-005</x:v>
      </x:c>
      <x:c r="D1386" s="4" t="str">
        <x:v>Retail</x:v>
      </x:c>
      <x:c r="E1386" s="4" t="str">
        <x:v>Cancelled</x:v>
      </x:c>
      <x:c r="F1386" s="4" t="str">
        <x:v>CUS-01385</x:v>
      </x:c>
      <x:c r="G1386" s="4" t="str">
        <x:v>UNIT-01385</x:v>
      </x:c>
      <x:c r="H1386" s="9" t="n">
        <x:v>24700000</x:v>
      </x:c>
      <x:c r="I1386" s="10" t="n">
        <x:v>0.1</x:v>
      </x:c>
      <x:c r="J1386" s="11" t="n">
        <x:v>8</x:v>
      </x:c>
      <x:c r="K1386" s="11" t="n">
        <x:v>8</x:v>
      </x:c>
      <x:c r="L1386" s="11" t="n">
        <x:v>0</x:v>
      </x:c>
      <x:c r="M1386" s="9" t="n">
        <x:f>ROUND(H1386*(1-I1386),2)</x:f>
        <x:v>22230000</x:v>
      </x:c>
      <x:c r="N1386" s="4" t="str">
        <x:v>Sales head</x:v>
      </x:c>
      <x:c r="O1386" s="4"/>
      <x:c r="P1386" s="9" t="n">
        <x:v>0</x:v>
      </x:c>
      <x:c r="Q1386" s="11" t="n">
        <x:v>1</x:v>
      </x:c>
      <x:c r="R1386" s="8" t="n">
        <x:v>45424</x:v>
      </x:c>
      <x:c r="S1386" s="4" t="str">
        <x:v>Lost / cancelled</x:v>
      </x:c>
      <x:c r="T1386" s="10" t="n">
        <x:v>0.310195</x:v>
      </x:c>
      <x:c r="U1386" s="4" t="str">
        <x:v>Train</x:v>
      </x:c>
    </x:row>
    <x:row r="1387" ht="34" customHeight="1">
      <x:c r="A1387" s="4" t="str">
        <x:v>RS-01386</x:v>
      </x:c>
      <x:c r="B1387" s="8" t="n">
        <x:v>45365</x:v>
      </x:c>
      <x:c r="C1387" s="4" t="str">
        <x:v>PRJ-006</x:v>
      </x:c>
      <x:c r="D1387" s="4" t="str">
        <x:v>Retail</x:v>
      </x:c>
      <x:c r="E1387" s="4" t="str">
        <x:v>Booked</x:v>
      </x:c>
      <x:c r="F1387" s="4" t="str">
        <x:v>CUS-01386</x:v>
      </x:c>
      <x:c r="G1387" s="4" t="str">
        <x:v>UNIT-01386</x:v>
      </x:c>
      <x:c r="H1387" s="9" t="n">
        <x:v>4400000</x:v>
      </x:c>
      <x:c r="I1387" s="10" t="n">
        <x:v>0</x:v>
      </x:c>
      <x:c r="J1387" s="11" t="n">
        <x:v>8</x:v>
      </x:c>
      <x:c r="K1387" s="11" t="n">
        <x:v>6</x:v>
      </x:c>
      <x:c r="L1387" s="11" t="n">
        <x:v>1</x:v>
      </x:c>
      <x:c r="M1387" s="9" t="n">
        <x:f>ROUND(H1387*(1-I1387),2)</x:f>
        <x:v>4400000</x:v>
      </x:c>
      <x:c r="N1387" s="4" t="str">
        <x:v>Sales manager</x:v>
      </x:c>
      <x:c r="O1387" s="4" t="str">
        <x:v>BOOK-01386</x:v>
      </x:c>
      <x:c r="P1387" s="9" t="n">
        <x:v>1100000</x:v>
      </x:c>
      <x:c r="Q1387" s="11" t="n">
        <x:v>0</x:v>
      </x:c>
      <x:c r="R1387" s="8" t="n">
        <x:v>45425</x:v>
      </x:c>
      <x:c r="S1387" s="4" t="str">
        <x:v>Retained</x:v>
      </x:c>
      <x:c r="T1387" s="10" t="n">
        <x:v>0.254545</x:v>
      </x:c>
      <x:c r="U1387" s="4" t="str">
        <x:v>Train</x:v>
      </x:c>
    </x:row>
    <x:row r="1388" ht="34" customHeight="1">
      <x:c r="A1388" s="4" t="str">
        <x:v>RS-01387</x:v>
      </x:c>
      <x:c r="B1388" s="8" t="n">
        <x:v>45366</x:v>
      </x:c>
      <x:c r="C1388" s="4" t="str">
        <x:v>PRJ-007</x:v>
      </x:c>
      <x:c r="D1388" s="4" t="str">
        <x:v>Retail</x:v>
      </x:c>
      <x:c r="E1388" s="4" t="str">
        <x:v>Enquiry</x:v>
      </x:c>
      <x:c r="F1388" s="4" t="str">
        <x:v>CUS-01387</x:v>
      </x:c>
      <x:c r="G1388" s="4" t="str">
        <x:v>UNIT-01387</x:v>
      </x:c>
      <x:c r="H1388" s="9" t="n">
        <x:v>9100000</x:v>
      </x:c>
      <x:c r="I1388" s="10" t="n">
        <x:v>0.11</x:v>
      </x:c>
      <x:c r="J1388" s="11" t="n">
        <x:v>7</x:v>
      </x:c>
      <x:c r="K1388" s="11" t="n">
        <x:v>9</x:v>
      </x:c>
      <x:c r="L1388" s="11" t="n">
        <x:v>1</x:v>
      </x:c>
      <x:c r="M1388" s="9" t="n">
        <x:f>ROUND(H1388*(1-I1388),2)</x:f>
        <x:v>8099000</x:v>
      </x:c>
      <x:c r="N1388" s="4" t="str">
        <x:v>Sales head</x:v>
      </x:c>
      <x:c r="O1388" s="4"/>
      <x:c r="P1388" s="9" t="n">
        <x:v>0</x:v>
      </x:c>
      <x:c r="Q1388" s="11" t="n">
        <x:v>1</x:v>
      </x:c>
      <x:c r="R1388" s="8" t="n">
        <x:v>45426</x:v>
      </x:c>
      <x:c r="S1388" s="4" t="str">
        <x:v>Lost / cancelled</x:v>
      </x:c>
      <x:c r="T1388" s="10" t="n">
        <x:v>0.291946</x:v>
      </x:c>
      <x:c r="U1388" s="4" t="str">
        <x:v>Train</x:v>
      </x:c>
    </x:row>
    <x:row r="1389" ht="34" customHeight="1">
      <x:c r="A1389" s="4" t="str">
        <x:v>RS-01388</x:v>
      </x:c>
      <x:c r="B1389" s="8" t="n">
        <x:v>45367</x:v>
      </x:c>
      <x:c r="C1389" s="4" t="str">
        <x:v>PRJ-008</x:v>
      </x:c>
      <x:c r="D1389" s="4" t="str">
        <x:v>Office</x:v>
      </x:c>
      <x:c r="E1389" s="4" t="str">
        <x:v>Enquiry</x:v>
      </x:c>
      <x:c r="F1389" s="4" t="str">
        <x:v>CUS-01388</x:v>
      </x:c>
      <x:c r="G1389" s="4" t="str">
        <x:v>UNIT-01388</x:v>
      </x:c>
      <x:c r="H1389" s="9" t="n">
        <x:v>25000000</x:v>
      </x:c>
      <x:c r="I1389" s="10" t="n">
        <x:v>0.08</x:v>
      </x:c>
      <x:c r="J1389" s="11" t="n">
        <x:v>5</x:v>
      </x:c>
      <x:c r="K1389" s="11" t="n">
        <x:v>9</x:v>
      </x:c>
      <x:c r="L1389" s="11" t="n">
        <x:v>0</x:v>
      </x:c>
      <x:c r="M1389" s="9" t="n">
        <x:f>ROUND(H1389*(1-I1389),2)</x:f>
        <x:v>23000000</x:v>
      </x:c>
      <x:c r="N1389" s="4" t="str">
        <x:v>Sales head</x:v>
      </x:c>
      <x:c r="O1389" s="4"/>
      <x:c r="P1389" s="9" t="n">
        <x:v>0</x:v>
      </x:c>
      <x:c r="Q1389" s="11" t="n">
        <x:v>0</x:v>
      </x:c>
      <x:c r="R1389" s="8" t="n">
        <x:v>45427</x:v>
      </x:c>
      <x:c r="S1389" s="4" t="str">
        <x:v>Retained</x:v>
      </x:c>
      <x:c r="T1389" s="10" t="n">
        <x:v>0.226277</x:v>
      </x:c>
      <x:c r="U1389" s="4" t="str">
        <x:v>Train</x:v>
      </x:c>
    </x:row>
    <x:row r="1390" ht="34" customHeight="1">
      <x:c r="A1390" s="4" t="str">
        <x:v>RS-01389</x:v>
      </x:c>
      <x:c r="B1390" s="8" t="n">
        <x:v>45368</x:v>
      </x:c>
      <x:c r="C1390" s="4" t="str">
        <x:v>PRJ-009</x:v>
      </x:c>
      <x:c r="D1390" s="4" t="str">
        <x:v>Office</x:v>
      </x:c>
      <x:c r="E1390" s="4" t="str">
        <x:v>Enquiry</x:v>
      </x:c>
      <x:c r="F1390" s="4" t="str">
        <x:v>CUS-01389</x:v>
      </x:c>
      <x:c r="G1390" s="4" t="str">
        <x:v>UNIT-01389</x:v>
      </x:c>
      <x:c r="H1390" s="9" t="n">
        <x:v>17400000</x:v>
      </x:c>
      <x:c r="I1390" s="10" t="n">
        <x:v>0.09</x:v>
      </x:c>
      <x:c r="J1390" s="11" t="n">
        <x:v>7</x:v>
      </x:c>
      <x:c r="K1390" s="11" t="n">
        <x:v>1</x:v>
      </x:c>
      <x:c r="L1390" s="11" t="n">
        <x:v>0</x:v>
      </x:c>
      <x:c r="M1390" s="9" t="n">
        <x:f>ROUND(H1390*(1-I1390),2)</x:f>
        <x:v>15834000</x:v>
      </x:c>
      <x:c r="N1390" s="4" t="str">
        <x:v>Sales head</x:v>
      </x:c>
      <x:c r="O1390" s="4"/>
      <x:c r="P1390" s="9" t="n">
        <x:v>0</x:v>
      </x:c>
      <x:c r="Q1390" s="11" t="n">
        <x:v>1</x:v>
      </x:c>
      <x:c r="R1390" s="8" t="n">
        <x:v>45428</x:v>
      </x:c>
      <x:c r="S1390" s="4" t="str">
        <x:v>Lost / cancelled</x:v>
      </x:c>
      <x:c r="T1390" s="10" t="n">
        <x:v>0.226277</x:v>
      </x:c>
      <x:c r="U1390" s="4" t="str">
        <x:v>Train</x:v>
      </x:c>
    </x:row>
    <x:row r="1391" ht="34" customHeight="1">
      <x:c r="A1391" s="4" t="str">
        <x:v>RS-01390</x:v>
      </x:c>
      <x:c r="B1391" s="8" t="n">
        <x:v>45369</x:v>
      </x:c>
      <x:c r="C1391" s="4" t="str">
        <x:v>PRJ-010</x:v>
      </x:c>
      <x:c r="D1391" s="4" t="str">
        <x:v>Office</x:v>
      </x:c>
      <x:c r="E1391" s="4" t="str">
        <x:v>Reserved</x:v>
      </x:c>
      <x:c r="F1391" s="4" t="str">
        <x:v>CUS-01390</x:v>
      </x:c>
      <x:c r="G1391" s="4" t="str">
        <x:v>UNIT-01390</x:v>
      </x:c>
      <x:c r="H1391" s="9" t="n">
        <x:v>19000000</x:v>
      </x:c>
      <x:c r="I1391" s="10" t="n">
        <x:v>0.01</x:v>
      </x:c>
      <x:c r="J1391" s="11" t="n">
        <x:v>3</x:v>
      </x:c>
      <x:c r="K1391" s="11" t="n">
        <x:v>7</x:v>
      </x:c>
      <x:c r="L1391" s="11" t="n">
        <x:v>1</x:v>
      </x:c>
      <x:c r="M1391" s="9" t="n">
        <x:f>ROUND(H1391*(1-I1391),2)</x:f>
        <x:v>18810000</x:v>
      </x:c>
      <x:c r="N1391" s="4" t="str">
        <x:v>Sales manager</x:v>
      </x:c>
      <x:c r="O1391" s="4"/>
      <x:c r="P1391" s="9" t="n">
        <x:v>0</x:v>
      </x:c>
      <x:c r="Q1391" s="11" t="n">
        <x:v>0</x:v>
      </x:c>
      <x:c r="R1391" s="8" t="n">
        <x:v>45429</x:v>
      </x:c>
      <x:c r="S1391" s="4" t="str">
        <x:v>Retained</x:v>
      </x:c>
      <x:c r="T1391" s="10" t="n">
        <x:v>0.171717</x:v>
      </x:c>
      <x:c r="U1391" s="4" t="str">
        <x:v>Train</x:v>
      </x:c>
    </x:row>
    <x:row r="1392" ht="34" customHeight="1">
      <x:c r="A1392" s="4" t="str">
        <x:v>RS-01391</x:v>
      </x:c>
      <x:c r="B1392" s="8" t="n">
        <x:v>45370</x:v>
      </x:c>
      <x:c r="C1392" s="4" t="str">
        <x:v>PRJ-011</x:v>
      </x:c>
      <x:c r="D1392" s="4" t="str">
        <x:v>Villa</x:v>
      </x:c>
      <x:c r="E1392" s="4" t="str">
        <x:v>Booked</x:v>
      </x:c>
      <x:c r="F1392" s="4" t="str">
        <x:v>CUS-01391</x:v>
      </x:c>
      <x:c r="G1392" s="4" t="str">
        <x:v>UNIT-01391</x:v>
      </x:c>
      <x:c r="H1392" s="9" t="n">
        <x:v>24200000</x:v>
      </x:c>
      <x:c r="I1392" s="10" t="n">
        <x:v>0.07</x:v>
      </x:c>
      <x:c r="J1392" s="11" t="n">
        <x:v>6</x:v>
      </x:c>
      <x:c r="K1392" s="11" t="n">
        <x:v>6</x:v>
      </x:c>
      <x:c r="L1392" s="11" t="n">
        <x:v>0</x:v>
      </x:c>
      <x:c r="M1392" s="9" t="n">
        <x:f>ROUND(H1392*(1-I1392),2)</x:f>
        <x:v>22506000</x:v>
      </x:c>
      <x:c r="N1392" s="4" t="str">
        <x:v>Sales manager</x:v>
      </x:c>
      <x:c r="O1392" s="4" t="str">
        <x:v>BOOK-01391</x:v>
      </x:c>
      <x:c r="P1392" s="9" t="n">
        <x:v>2250600</x:v>
      </x:c>
      <x:c r="Q1392" s="11" t="n">
        <x:v>0</x:v>
      </x:c>
      <x:c r="R1392" s="8" t="n">
        <x:v>45430</x:v>
      </x:c>
      <x:c r="S1392" s="4" t="str">
        <x:v>Retained</x:v>
      </x:c>
      <x:c r="T1392" s="10" t="n">
        <x:v>0.226277</x:v>
      </x:c>
      <x:c r="U1392" s="4" t="str">
        <x:v>Train</x:v>
      </x:c>
    </x:row>
    <x:row r="1393" ht="34" customHeight="1">
      <x:c r="A1393" s="4" t="str">
        <x:v>RS-01392</x:v>
      </x:c>
      <x:c r="B1393" s="8" t="n">
        <x:v>45371</x:v>
      </x:c>
      <x:c r="C1393" s="4" t="str">
        <x:v>PRJ-012</x:v>
      </x:c>
      <x:c r="D1393" s="4" t="str">
        <x:v>Retail</x:v>
      </x:c>
      <x:c r="E1393" s="4" t="str">
        <x:v>Reserved</x:v>
      </x:c>
      <x:c r="F1393" s="4" t="str">
        <x:v>CUS-01392</x:v>
      </x:c>
      <x:c r="G1393" s="4" t="str">
        <x:v>UNIT-01392</x:v>
      </x:c>
      <x:c r="H1393" s="9" t="n">
        <x:v>11500000</x:v>
      </x:c>
      <x:c r="I1393" s="10" t="n">
        <x:v>0.04</x:v>
      </x:c>
      <x:c r="J1393" s="11" t="n">
        <x:v>4</x:v>
      </x:c>
      <x:c r="K1393" s="11" t="n">
        <x:v>4</x:v>
      </x:c>
      <x:c r="L1393" s="11" t="n">
        <x:v>1</x:v>
      </x:c>
      <x:c r="M1393" s="9" t="n">
        <x:f>ROUND(H1393*(1-I1393),2)</x:f>
        <x:v>11040000</x:v>
      </x:c>
      <x:c r="N1393" s="4" t="str">
        <x:v>Sales manager</x:v>
      </x:c>
      <x:c r="O1393" s="4"/>
      <x:c r="P1393" s="9" t="n">
        <x:v>0</x:v>
      </x:c>
      <x:c r="Q1393" s="11" t="n">
        <x:v>0</x:v>
      </x:c>
      <x:c r="R1393" s="8" t="n">
        <x:v>45431</x:v>
      </x:c>
      <x:c r="S1393" s="4" t="str">
        <x:v>Retained</x:v>
      </x:c>
      <x:c r="T1393" s="10" t="n">
        <x:v>0.291946</x:v>
      </x:c>
      <x:c r="U1393" s="4" t="str">
        <x:v>Train</x:v>
      </x:c>
    </x:row>
    <x:row r="1394" ht="34" customHeight="1">
      <x:c r="A1394" s="4" t="str">
        <x:v>RS-01393</x:v>
      </x:c>
      <x:c r="B1394" s="8" t="n">
        <x:v>45372</x:v>
      </x:c>
      <x:c r="C1394" s="4" t="str">
        <x:v>PRJ-013</x:v>
      </x:c>
      <x:c r="D1394" s="4" t="str">
        <x:v>Apartment</x:v>
      </x:c>
      <x:c r="E1394" s="4" t="str">
        <x:v>Handed over</x:v>
      </x:c>
      <x:c r="F1394" s="4" t="str">
        <x:v>CUS-01393</x:v>
      </x:c>
      <x:c r="G1394" s="4" t="str">
        <x:v>UNIT-01393</x:v>
      </x:c>
      <x:c r="H1394" s="9" t="n">
        <x:v>23300000</x:v>
      </x:c>
      <x:c r="I1394" s="10" t="n">
        <x:v>0.06</x:v>
      </x:c>
      <x:c r="J1394" s="11" t="n">
        <x:v>7</x:v>
      </x:c>
      <x:c r="K1394" s="11" t="n">
        <x:v>10</x:v>
      </x:c>
      <x:c r="L1394" s="11" t="n">
        <x:v>0</x:v>
      </x:c>
      <x:c r="M1394" s="9" t="n">
        <x:f>ROUND(H1394*(1-I1394),2)</x:f>
        <x:v>21902000</x:v>
      </x:c>
      <x:c r="N1394" s="4" t="str">
        <x:v>Sales manager</x:v>
      </x:c>
      <x:c r="O1394" s="4" t="str">
        <x:v>BOOK-01393</x:v>
      </x:c>
      <x:c r="P1394" s="9" t="n">
        <x:v>10951000</x:v>
      </x:c>
      <x:c r="Q1394" s="11" t="n">
        <x:v>0</x:v>
      </x:c>
      <x:c r="R1394" s="8" t="n">
        <x:v>45432</x:v>
      </x:c>
      <x:c r="S1394" s="4" t="str">
        <x:v>Retained</x:v>
      </x:c>
      <x:c r="T1394" s="10" t="n">
        <x:v>0.226277</x:v>
      </x:c>
      <x:c r="U1394" s="4" t="str">
        <x:v>Train</x:v>
      </x:c>
    </x:row>
    <x:row r="1395" ht="34" customHeight="1">
      <x:c r="A1395" s="4" t="str">
        <x:v>RS-01394</x:v>
      </x:c>
      <x:c r="B1395" s="8" t="n">
        <x:v>45373</x:v>
      </x:c>
      <x:c r="C1395" s="4" t="str">
        <x:v>PRJ-014</x:v>
      </x:c>
      <x:c r="D1395" s="4" t="str">
        <x:v>Retail</x:v>
      </x:c>
      <x:c r="E1395" s="4" t="str">
        <x:v>Reserved</x:v>
      </x:c>
      <x:c r="F1395" s="4" t="str">
        <x:v>CUS-01394</x:v>
      </x:c>
      <x:c r="G1395" s="4" t="str">
        <x:v>UNIT-01394</x:v>
      </x:c>
      <x:c r="H1395" s="9" t="n">
        <x:v>19100000</x:v>
      </x:c>
      <x:c r="I1395" s="10" t="n">
        <x:v>0.05</x:v>
      </x:c>
      <x:c r="J1395" s="11" t="n">
        <x:v>9</x:v>
      </x:c>
      <x:c r="K1395" s="11" t="n">
        <x:v>8</x:v>
      </x:c>
      <x:c r="L1395" s="11" t="n">
        <x:v>0</x:v>
      </x:c>
      <x:c r="M1395" s="9" t="n">
        <x:f>ROUND(H1395*(1-I1395),2)</x:f>
        <x:v>18145000</x:v>
      </x:c>
      <x:c r="N1395" s="4" t="str">
        <x:v>Sales manager</x:v>
      </x:c>
      <x:c r="O1395" s="4"/>
      <x:c r="P1395" s="9" t="n">
        <x:v>0</x:v>
      </x:c>
      <x:c r="Q1395" s="11" t="n">
        <x:v>1</x:v>
      </x:c>
      <x:c r="R1395" s="8" t="n">
        <x:v>45433</x:v>
      </x:c>
      <x:c r="S1395" s="4" t="str">
        <x:v>Lost / cancelled</x:v>
      </x:c>
      <x:c r="T1395" s="10" t="n">
        <x:v>0.310195</x:v>
      </x:c>
      <x:c r="U1395" s="4" t="str">
        <x:v>Train</x:v>
      </x:c>
    </x:row>
    <x:row r="1396" ht="34" customHeight="1">
      <x:c r="A1396" s="4" t="str">
        <x:v>RS-01395</x:v>
      </x:c>
      <x:c r="B1396" s="8" t="n">
        <x:v>45374</x:v>
      </x:c>
      <x:c r="C1396" s="4" t="str">
        <x:v>PRJ-015</x:v>
      </x:c>
      <x:c r="D1396" s="4" t="str">
        <x:v>Retail</x:v>
      </x:c>
      <x:c r="E1396" s="4" t="str">
        <x:v>Reserved</x:v>
      </x:c>
      <x:c r="F1396" s="4" t="str">
        <x:v>CUS-01395</x:v>
      </x:c>
      <x:c r="G1396" s="4" t="str">
        <x:v>UNIT-01395</x:v>
      </x:c>
      <x:c r="H1396" s="9" t="n">
        <x:v>14600000</x:v>
      </x:c>
      <x:c r="I1396" s="10" t="n">
        <x:v>0.03</x:v>
      </x:c>
      <x:c r="J1396" s="11" t="n">
        <x:v>8</x:v>
      </x:c>
      <x:c r="K1396" s="11" t="n">
        <x:v>4</x:v>
      </x:c>
      <x:c r="L1396" s="11" t="n">
        <x:v>0</x:v>
      </x:c>
      <x:c r="M1396" s="9" t="n">
        <x:f>ROUND(H1396*(1-I1396),2)</x:f>
        <x:v>14162000</x:v>
      </x:c>
      <x:c r="N1396" s="4" t="str">
        <x:v>Sales manager</x:v>
      </x:c>
      <x:c r="O1396" s="4"/>
      <x:c r="P1396" s="9" t="n">
        <x:v>0</x:v>
      </x:c>
      <x:c r="Q1396" s="11" t="n">
        <x:v>0</x:v>
      </x:c>
      <x:c r="R1396" s="8" t="n">
        <x:v>45434</x:v>
      </x:c>
      <x:c r="S1396" s="4" t="str">
        <x:v>Retained</x:v>
      </x:c>
      <x:c r="T1396" s="10" t="n">
        <x:v>0.310195</x:v>
      </x:c>
      <x:c r="U1396" s="4" t="str">
        <x:v>Train</x:v>
      </x:c>
    </x:row>
    <x:row r="1397" ht="34" customHeight="1">
      <x:c r="A1397" s="4" t="str">
        <x:v>RS-01396</x:v>
      </x:c>
      <x:c r="B1397" s="8" t="n">
        <x:v>45375</x:v>
      </x:c>
      <x:c r="C1397" s="4" t="str">
        <x:v>PRJ-016</x:v>
      </x:c>
      <x:c r="D1397" s="4" t="str">
        <x:v>Villa</x:v>
      </x:c>
      <x:c r="E1397" s="4" t="str">
        <x:v>Handed over</x:v>
      </x:c>
      <x:c r="F1397" s="4" t="str">
        <x:v>CUS-01396</x:v>
      </x:c>
      <x:c r="G1397" s="4" t="str">
        <x:v>UNIT-01396</x:v>
      </x:c>
      <x:c r="H1397" s="9" t="n">
        <x:v>22700000</x:v>
      </x:c>
      <x:c r="I1397" s="10" t="n">
        <x:v>0.03</x:v>
      </x:c>
      <x:c r="J1397" s="11" t="n">
        <x:v>9</x:v>
      </x:c>
      <x:c r="K1397" s="11" t="n">
        <x:v>5</x:v>
      </x:c>
      <x:c r="L1397" s="11" t="n">
        <x:v>1</x:v>
      </x:c>
      <x:c r="M1397" s="9" t="n">
        <x:f>ROUND(H1397*(1-I1397),2)</x:f>
        <x:v>22019000</x:v>
      </x:c>
      <x:c r="N1397" s="4" t="str">
        <x:v>Sales manager</x:v>
      </x:c>
      <x:c r="O1397" s="4" t="str">
        <x:v>BOOK-01396</x:v>
      </x:c>
      <x:c r="P1397" s="9" t="n">
        <x:v>11009500</x:v>
      </x:c>
      <x:c r="Q1397" s="11" t="n">
        <x:v>0</x:v>
      </x:c>
      <x:c r="R1397" s="8" t="n">
        <x:v>45435</x:v>
      </x:c>
      <x:c r="S1397" s="4" t="str">
        <x:v>Retained</x:v>
      </x:c>
      <x:c r="T1397" s="10" t="n">
        <x:v>0.310195</x:v>
      </x:c>
      <x:c r="U1397" s="4" t="str">
        <x:v>Train</x:v>
      </x:c>
    </x:row>
    <x:row r="1398" ht="34" customHeight="1">
      <x:c r="A1398" s="4" t="str">
        <x:v>RS-01397</x:v>
      </x:c>
      <x:c r="B1398" s="8" t="n">
        <x:v>45376</x:v>
      </x:c>
      <x:c r="C1398" s="4" t="str">
        <x:v>PRJ-017</x:v>
      </x:c>
      <x:c r="D1398" s="4" t="str">
        <x:v>Retail</x:v>
      </x:c>
      <x:c r="E1398" s="4" t="str">
        <x:v>Booked</x:v>
      </x:c>
      <x:c r="F1398" s="4" t="str">
        <x:v>CUS-01397</x:v>
      </x:c>
      <x:c r="G1398" s="4" t="str">
        <x:v>UNIT-01397</x:v>
      </x:c>
      <x:c r="H1398" s="9" t="n">
        <x:v>21300000</x:v>
      </x:c>
      <x:c r="I1398" s="10" t="n">
        <x:v>0.04</x:v>
      </x:c>
      <x:c r="J1398" s="11" t="n">
        <x:v>2</x:v>
      </x:c>
      <x:c r="K1398" s="11" t="n">
        <x:v>8</x:v>
      </x:c>
      <x:c r="L1398" s="11" t="n">
        <x:v>1</x:v>
      </x:c>
      <x:c r="M1398" s="9" t="n">
        <x:f>ROUND(H1398*(1-I1398),2)</x:f>
        <x:v>20448000</x:v>
      </x:c>
      <x:c r="N1398" s="4" t="str">
        <x:v>Sales manager</x:v>
      </x:c>
      <x:c r="O1398" s="4" t="str">
        <x:v>BOOK-01397</x:v>
      </x:c>
      <x:c r="P1398" s="9" t="n">
        <x:v>2044800</x:v>
      </x:c>
      <x:c r="Q1398" s="11" t="n">
        <x:v>0</x:v>
      </x:c>
      <x:c r="R1398" s="8" t="n">
        <x:v>45436</x:v>
      </x:c>
      <x:c r="S1398" s="4" t="str">
        <x:v>Retained</x:v>
      </x:c>
      <x:c r="T1398" s="10" t="n">
        <x:v>0.204152</x:v>
      </x:c>
      <x:c r="U1398" s="4" t="str">
        <x:v>Train</x:v>
      </x:c>
    </x:row>
    <x:row r="1399" ht="34" customHeight="1">
      <x:c r="A1399" s="4" t="str">
        <x:v>RS-01398</x:v>
      </x:c>
      <x:c r="B1399" s="8" t="n">
        <x:v>45377</x:v>
      </x:c>
      <x:c r="C1399" s="4" t="str">
        <x:v>PRJ-018</x:v>
      </x:c>
      <x:c r="D1399" s="4" t="str">
        <x:v>Apartment</x:v>
      </x:c>
      <x:c r="E1399" s="4" t="str">
        <x:v>Cancelled</x:v>
      </x:c>
      <x:c r="F1399" s="4" t="str">
        <x:v>CUS-01398</x:v>
      </x:c>
      <x:c r="G1399" s="4" t="str">
        <x:v>UNIT-01398</x:v>
      </x:c>
      <x:c r="H1399" s="9" t="n">
        <x:v>19300000</x:v>
      </x:c>
      <x:c r="I1399" s="10" t="n">
        <x:v>0.09</x:v>
      </x:c>
      <x:c r="J1399" s="11" t="n">
        <x:v>9</x:v>
      </x:c>
      <x:c r="K1399" s="11" t="n">
        <x:v>0</x:v>
      </x:c>
      <x:c r="L1399" s="11" t="n">
        <x:v>1</x:v>
      </x:c>
      <x:c r="M1399" s="9" t="n">
        <x:f>ROUND(H1399*(1-I1399),2)</x:f>
        <x:v>17563000</x:v>
      </x:c>
      <x:c r="N1399" s="4" t="str">
        <x:v>Sales head</x:v>
      </x:c>
      <x:c r="O1399" s="4"/>
      <x:c r="P1399" s="9" t="n">
        <x:v>0</x:v>
      </x:c>
      <x:c r="Q1399" s="11" t="n">
        <x:v>1</x:v>
      </x:c>
      <x:c r="R1399" s="8" t="n">
        <x:v>45437</x:v>
      </x:c>
      <x:c r="S1399" s="4" t="str">
        <x:v>Lost / cancelled</x:v>
      </x:c>
      <x:c r="T1399" s="10" t="n">
        <x:v>0.310195</x:v>
      </x:c>
      <x:c r="U1399" s="4" t="str">
        <x:v>Train</x:v>
      </x:c>
    </x:row>
    <x:row r="1400" ht="34" customHeight="1">
      <x:c r="A1400" s="4" t="str">
        <x:v>RS-01399</x:v>
      </x:c>
      <x:c r="B1400" s="8" t="n">
        <x:v>45378</x:v>
      </x:c>
      <x:c r="C1400" s="4" t="str">
        <x:v>PRJ-019</x:v>
      </x:c>
      <x:c r="D1400" s="4" t="str">
        <x:v>Villa</x:v>
      </x:c>
      <x:c r="E1400" s="4" t="str">
        <x:v>Agreement signed</x:v>
      </x:c>
      <x:c r="F1400" s="4" t="str">
        <x:v>CUS-01399</x:v>
      </x:c>
      <x:c r="G1400" s="4" t="str">
        <x:v>UNIT-01399</x:v>
      </x:c>
      <x:c r="H1400" s="9" t="n">
        <x:v>25000000</x:v>
      </x:c>
      <x:c r="I1400" s="10" t="n">
        <x:v>0.07</x:v>
      </x:c>
      <x:c r="J1400" s="11" t="n">
        <x:v>0</x:v>
      </x:c>
      <x:c r="K1400" s="11" t="n">
        <x:v>10</x:v>
      </x:c>
      <x:c r="L1400" s="11" t="n">
        <x:v>1</x:v>
      </x:c>
      <x:c r="M1400" s="9" t="n">
        <x:f>ROUND(H1400*(1-I1400),2)</x:f>
        <x:v>23250000</x:v>
      </x:c>
      <x:c r="N1400" s="4" t="str">
        <x:v>Sales manager</x:v>
      </x:c>
      <x:c r="O1400" s="4" t="str">
        <x:v>BOOK-01399</x:v>
      </x:c>
      <x:c r="P1400" s="9" t="n">
        <x:v>23250000</x:v>
      </x:c>
      <x:c r="Q1400" s="11" t="n">
        <x:v>0</x:v>
      </x:c>
      <x:c r="R1400" s="8" t="n">
        <x:v>45438</x:v>
      </x:c>
      <x:c r="S1400" s="4" t="str">
        <x:v>Retained</x:v>
      </x:c>
      <x:c r="T1400" s="10" t="n">
        <x:v>0.204152</x:v>
      </x:c>
      <x:c r="U1400" s="4" t="str">
        <x:v>Train</x:v>
      </x:c>
    </x:row>
    <x:row r="1401" ht="34" customHeight="1">
      <x:c r="A1401" s="4" t="str">
        <x:v>RS-01400</x:v>
      </x:c>
      <x:c r="B1401" s="8" t="n">
        <x:v>45379</x:v>
      </x:c>
      <x:c r="C1401" s="4" t="str">
        <x:v>PRJ-020</x:v>
      </x:c>
      <x:c r="D1401" s="4" t="str">
        <x:v>Villa</x:v>
      </x:c>
      <x:c r="E1401" s="4" t="str">
        <x:v>Agreement signed</x:v>
      </x:c>
      <x:c r="F1401" s="4" t="str">
        <x:v>CUS-01400</x:v>
      </x:c>
      <x:c r="G1401" s="4" t="str">
        <x:v>UNIT-01400</x:v>
      </x:c>
      <x:c r="H1401" s="9" t="n">
        <x:v>3900000</x:v>
      </x:c>
      <x:c r="I1401" s="10" t="n">
        <x:v>0.08</x:v>
      </x:c>
      <x:c r="J1401" s="11" t="n">
        <x:v>5</x:v>
      </x:c>
      <x:c r="K1401" s="11" t="n">
        <x:v>9</x:v>
      </x:c>
      <x:c r="L1401" s="11" t="n">
        <x:v>0</x:v>
      </x:c>
      <x:c r="M1401" s="9" t="n">
        <x:f>ROUND(H1401*(1-I1401),2)</x:f>
        <x:v>3588000</x:v>
      </x:c>
      <x:c r="N1401" s="4" t="str">
        <x:v>Sales head</x:v>
      </x:c>
      <x:c r="O1401" s="4" t="str">
        <x:v>BOOK-01400</x:v>
      </x:c>
      <x:c r="P1401" s="9" t="n">
        <x:v>897000</x:v>
      </x:c>
      <x:c r="Q1401" s="11" t="n">
        <x:v>0</x:v>
      </x:c>
      <x:c r="R1401" s="8" t="n">
        <x:v>45439</x:v>
      </x:c>
      <x:c r="S1401" s="4" t="str">
        <x:v>Retained</x:v>
      </x:c>
      <x:c r="T1401" s="10" t="n">
        <x:v>0.226277</x:v>
      </x:c>
      <x:c r="U1401" s="4" t="str">
        <x:v>Train</x:v>
      </x:c>
    </x:row>
    <x:row r="1402" ht="34" customHeight="1">
      <x:c r="A1402" s="4" t="str">
        <x:v>RS-01401</x:v>
      </x:c>
      <x:c r="B1402" s="8" t="n">
        <x:v>45352</x:v>
      </x:c>
      <x:c r="C1402" s="4" t="str">
        <x:v>PRJ-001</x:v>
      </x:c>
      <x:c r="D1402" s="4" t="str">
        <x:v>Office</x:v>
      </x:c>
      <x:c r="E1402" s="4" t="str">
        <x:v>Booked</x:v>
      </x:c>
      <x:c r="F1402" s="4" t="str">
        <x:v>CUS-01401</x:v>
      </x:c>
      <x:c r="G1402" s="4" t="str">
        <x:v>UNIT-01401</x:v>
      </x:c>
      <x:c r="H1402" s="9" t="n">
        <x:v>12700000</x:v>
      </x:c>
      <x:c r="I1402" s="10" t="n">
        <x:v>0.08</x:v>
      </x:c>
      <x:c r="J1402" s="11" t="n">
        <x:v>1</x:v>
      </x:c>
      <x:c r="K1402" s="11" t="n">
        <x:v>6</x:v>
      </x:c>
      <x:c r="L1402" s="11" t="n">
        <x:v>0</x:v>
      </x:c>
      <x:c r="M1402" s="9" t="n">
        <x:f>ROUND(H1402*(1-I1402),2)</x:f>
        <x:v>11684000</x:v>
      </x:c>
      <x:c r="N1402" s="4" t="str">
        <x:v>Sales head</x:v>
      </x:c>
      <x:c r="O1402" s="4" t="str">
        <x:v>BOOK-01401</x:v>
      </x:c>
      <x:c r="P1402" s="9" t="n">
        <x:v>11684000</x:v>
      </x:c>
      <x:c r="Q1402" s="11" t="n">
        <x:v>0</x:v>
      </x:c>
      <x:c r="R1402" s="8" t="n">
        <x:v>45412</x:v>
      </x:c>
      <x:c r="S1402" s="4" t="str">
        <x:v>Retained</x:v>
      </x:c>
      <x:c r="T1402" s="10" t="n">
        <x:v>0.204152</x:v>
      </x:c>
      <x:c r="U1402" s="4" t="str">
        <x:v>Train</x:v>
      </x:c>
    </x:row>
    <x:row r="1403" ht="34" customHeight="1">
      <x:c r="A1403" s="4" t="str">
        <x:v>RS-01402</x:v>
      </x:c>
      <x:c r="B1403" s="8" t="n">
        <x:v>45353</x:v>
      </x:c>
      <x:c r="C1403" s="4" t="str">
        <x:v>PRJ-002</x:v>
      </x:c>
      <x:c r="D1403" s="4" t="str">
        <x:v>Villa</x:v>
      </x:c>
      <x:c r="E1403" s="4" t="str">
        <x:v>Reserved</x:v>
      </x:c>
      <x:c r="F1403" s="4" t="str">
        <x:v>CUS-01402</x:v>
      </x:c>
      <x:c r="G1403" s="4" t="str">
        <x:v>UNIT-01402</x:v>
      </x:c>
      <x:c r="H1403" s="9" t="n">
        <x:v>14500000</x:v>
      </x:c>
      <x:c r="I1403" s="10" t="n">
        <x:v>0.03</x:v>
      </x:c>
      <x:c r="J1403" s="11" t="n">
        <x:v>6</x:v>
      </x:c>
      <x:c r="K1403" s="11" t="n">
        <x:v>7</x:v>
      </x:c>
      <x:c r="L1403" s="11" t="n">
        <x:v>1</x:v>
      </x:c>
      <x:c r="M1403" s="9" t="n">
        <x:f>ROUND(H1403*(1-I1403),2)</x:f>
        <x:v>14065000</x:v>
      </x:c>
      <x:c r="N1403" s="4" t="str">
        <x:v>Sales manager</x:v>
      </x:c>
      <x:c r="O1403" s="4"/>
      <x:c r="P1403" s="9" t="n">
        <x:v>0</x:v>
      </x:c>
      <x:c r="Q1403" s="11" t="n">
        <x:v>1</x:v>
      </x:c>
      <x:c r="R1403" s="8" t="n">
        <x:v>45413</x:v>
      </x:c>
      <x:c r="S1403" s="4" t="str">
        <x:v>Lost / cancelled</x:v>
      </x:c>
      <x:c r="T1403" s="10" t="n">
        <x:v>0.145299</x:v>
      </x:c>
      <x:c r="U1403" s="4" t="str">
        <x:v>Train</x:v>
      </x:c>
    </x:row>
    <x:row r="1404" ht="34" customHeight="1">
      <x:c r="A1404" s="4" t="str">
        <x:v>RS-01403</x:v>
      </x:c>
      <x:c r="B1404" s="8" t="n">
        <x:v>45354</x:v>
      </x:c>
      <x:c r="C1404" s="4" t="str">
        <x:v>PRJ-003</x:v>
      </x:c>
      <x:c r="D1404" s="4" t="str">
        <x:v>Office</x:v>
      </x:c>
      <x:c r="E1404" s="4" t="str">
        <x:v>Cancelled</x:v>
      </x:c>
      <x:c r="F1404" s="4" t="str">
        <x:v>CUS-01403</x:v>
      </x:c>
      <x:c r="G1404" s="4" t="str">
        <x:v>UNIT-01403</x:v>
      </x:c>
      <x:c r="H1404" s="9" t="n">
        <x:v>6900000</x:v>
      </x:c>
      <x:c r="I1404" s="10" t="n">
        <x:v>0.07</x:v>
      </x:c>
      <x:c r="J1404" s="11" t="n">
        <x:v>12</x:v>
      </x:c>
      <x:c r="K1404" s="11" t="n">
        <x:v>8</x:v>
      </x:c>
      <x:c r="L1404" s="11" t="n">
        <x:v>0</x:v>
      </x:c>
      <x:c r="M1404" s="9" t="n">
        <x:f>ROUND(H1404*(1-I1404),2)</x:f>
        <x:v>6417000</x:v>
      </x:c>
      <x:c r="N1404" s="4" t="str">
        <x:v>Sales manager</x:v>
      </x:c>
      <x:c r="O1404" s="4"/>
      <x:c r="P1404" s="9" t="n">
        <x:v>0</x:v>
      </x:c>
      <x:c r="Q1404" s="11" t="n">
        <x:v>1</x:v>
      </x:c>
      <x:c r="R1404" s="8" t="n">
        <x:v>45414</x:v>
      </x:c>
      <x:c r="S1404" s="4" t="str">
        <x:v>Lost / cancelled</x:v>
      </x:c>
      <x:c r="T1404" s="10" t="n">
        <x:v>0.351536</x:v>
      </x:c>
      <x:c r="U1404" s="4" t="str">
        <x:v>Train</x:v>
      </x:c>
    </x:row>
    <x:row r="1405" ht="34" customHeight="1">
      <x:c r="A1405" s="4" t="str">
        <x:v>RS-01404</x:v>
      </x:c>
      <x:c r="B1405" s="8" t="n">
        <x:v>45355</x:v>
      </x:c>
      <x:c r="C1405" s="4" t="str">
        <x:v>PRJ-004</x:v>
      </x:c>
      <x:c r="D1405" s="4" t="str">
        <x:v>Apartment</x:v>
      </x:c>
      <x:c r="E1405" s="4" t="str">
        <x:v>Booked</x:v>
      </x:c>
      <x:c r="F1405" s="4" t="str">
        <x:v>CUS-01404</x:v>
      </x:c>
      <x:c r="G1405" s="4" t="str">
        <x:v>UNIT-01404</x:v>
      </x:c>
      <x:c r="H1405" s="9" t="n">
        <x:v>15600000</x:v>
      </x:c>
      <x:c r="I1405" s="10" t="n">
        <x:v>0.05</x:v>
      </x:c>
      <x:c r="J1405" s="11" t="n">
        <x:v>1</x:v>
      </x:c>
      <x:c r="K1405" s="11" t="n">
        <x:v>7</x:v>
      </x:c>
      <x:c r="L1405" s="11" t="n">
        <x:v>1</x:v>
      </x:c>
      <x:c r="M1405" s="9" t="n">
        <x:f>ROUND(H1405*(1-I1405),2)</x:f>
        <x:v>14820000</x:v>
      </x:c>
      <x:c r="N1405" s="4" t="str">
        <x:v>Sales manager</x:v>
      </x:c>
      <x:c r="O1405" s="4" t="str">
        <x:v>BOOK-01404</x:v>
      </x:c>
      <x:c r="P1405" s="9" t="n">
        <x:v>7410000</x:v>
      </x:c>
      <x:c r="Q1405" s="11" t="n">
        <x:v>0</x:v>
      </x:c>
      <x:c r="R1405" s="8" t="n">
        <x:v>45415</x:v>
      </x:c>
      <x:c r="S1405" s="4" t="str">
        <x:v>Retained</x:v>
      </x:c>
      <x:c r="T1405" s="10" t="n">
        <x:v>0.204152</x:v>
      </x:c>
      <x:c r="U1405" s="4" t="str">
        <x:v>Train</x:v>
      </x:c>
    </x:row>
    <x:row r="1406" ht="34" customHeight="1">
      <x:c r="A1406" s="4" t="str">
        <x:v>RS-01405</x:v>
      </x:c>
      <x:c r="B1406" s="8" t="n">
        <x:v>45356</x:v>
      </x:c>
      <x:c r="C1406" s="4" t="str">
        <x:v>PRJ-005</x:v>
      </x:c>
      <x:c r="D1406" s="4" t="str">
        <x:v>Apartment</x:v>
      </x:c>
      <x:c r="E1406" s="4" t="str">
        <x:v>Enquiry</x:v>
      </x:c>
      <x:c r="F1406" s="4" t="str">
        <x:v>CUS-01405</x:v>
      </x:c>
      <x:c r="G1406" s="4" t="str">
        <x:v>UNIT-01405</x:v>
      </x:c>
      <x:c r="H1406" s="9" t="n">
        <x:v>22100000</x:v>
      </x:c>
      <x:c r="I1406" s="10" t="n">
        <x:v>0.11</x:v>
      </x:c>
      <x:c r="J1406" s="11" t="n">
        <x:v>6</x:v>
      </x:c>
      <x:c r="K1406" s="11" t="n">
        <x:v>1</x:v>
      </x:c>
      <x:c r="L1406" s="11" t="n">
        <x:v>0</x:v>
      </x:c>
      <x:c r="M1406" s="9" t="n">
        <x:f>ROUND(H1406*(1-I1406),2)</x:f>
        <x:v>19669000</x:v>
      </x:c>
      <x:c r="N1406" s="4" t="str">
        <x:v>Sales head</x:v>
      </x:c>
      <x:c r="O1406" s="4"/>
      <x:c r="P1406" s="9" t="n">
        <x:v>0</x:v>
      </x:c>
      <x:c r="Q1406" s="11" t="n">
        <x:v>0</x:v>
      </x:c>
      <x:c r="R1406" s="8" t="n">
        <x:v>45416</x:v>
      </x:c>
      <x:c r="S1406" s="4" t="str">
        <x:v>Retained</x:v>
      </x:c>
      <x:c r="T1406" s="10" t="n">
        <x:v>0.226277</x:v>
      </x:c>
      <x:c r="U1406" s="4" t="str">
        <x:v>Train</x:v>
      </x:c>
    </x:row>
    <x:row r="1407" ht="34" customHeight="1">
      <x:c r="A1407" s="4" t="str">
        <x:v>RS-01406</x:v>
      </x:c>
      <x:c r="B1407" s="8" t="n">
        <x:v>45357</x:v>
      </x:c>
      <x:c r="C1407" s="4" t="str">
        <x:v>PRJ-006</x:v>
      </x:c>
      <x:c r="D1407" s="4" t="str">
        <x:v>Villa</x:v>
      </x:c>
      <x:c r="E1407" s="4" t="str">
        <x:v>Reserved</x:v>
      </x:c>
      <x:c r="F1407" s="4" t="str">
        <x:v>CUS-01406</x:v>
      </x:c>
      <x:c r="G1407" s="4" t="str">
        <x:v>UNIT-01406</x:v>
      </x:c>
      <x:c r="H1407" s="9" t="n">
        <x:v>13600000</x:v>
      </x:c>
      <x:c r="I1407" s="10" t="n">
        <x:v>0.05</x:v>
      </x:c>
      <x:c r="J1407" s="11" t="n">
        <x:v>2</x:v>
      </x:c>
      <x:c r="K1407" s="11" t="n">
        <x:v>10</x:v>
      </x:c>
      <x:c r="L1407" s="11" t="n">
        <x:v>1</x:v>
      </x:c>
      <x:c r="M1407" s="9" t="n">
        <x:f>ROUND(H1407*(1-I1407),2)</x:f>
        <x:v>12920000</x:v>
      </x:c>
      <x:c r="N1407" s="4" t="str">
        <x:v>Sales manager</x:v>
      </x:c>
      <x:c r="O1407" s="4"/>
      <x:c r="P1407" s="9" t="n">
        <x:v>0</x:v>
      </x:c>
      <x:c r="Q1407" s="11" t="n">
        <x:v>0</x:v>
      </x:c>
      <x:c r="R1407" s="8" t="n">
        <x:v>45417</x:v>
      </x:c>
      <x:c r="S1407" s="4" t="str">
        <x:v>Retained</x:v>
      </x:c>
      <x:c r="T1407" s="10" t="n">
        <x:v>0.204152</x:v>
      </x:c>
      <x:c r="U1407" s="4" t="str">
        <x:v>Train</x:v>
      </x:c>
    </x:row>
    <x:row r="1408" ht="34" customHeight="1">
      <x:c r="A1408" s="4" t="str">
        <x:v>RS-01407</x:v>
      </x:c>
      <x:c r="B1408" s="8" t="n">
        <x:v>45358</x:v>
      </x:c>
      <x:c r="C1408" s="4" t="str">
        <x:v>PRJ-007</x:v>
      </x:c>
      <x:c r="D1408" s="4" t="str">
        <x:v>Apartment</x:v>
      </x:c>
      <x:c r="E1408" s="4" t="str">
        <x:v>Handed over</x:v>
      </x:c>
      <x:c r="F1408" s="4" t="str">
        <x:v>CUS-01407</x:v>
      </x:c>
      <x:c r="G1408" s="4" t="str">
        <x:v>UNIT-01407</x:v>
      </x:c>
      <x:c r="H1408" s="9" t="n">
        <x:v>13400000</x:v>
      </x:c>
      <x:c r="I1408" s="10" t="n">
        <x:v>0</x:v>
      </x:c>
      <x:c r="J1408" s="11" t="n">
        <x:v>5</x:v>
      </x:c>
      <x:c r="K1408" s="11" t="n">
        <x:v>6</x:v>
      </x:c>
      <x:c r="L1408" s="11" t="n">
        <x:v>0</x:v>
      </x:c>
      <x:c r="M1408" s="9" t="n">
        <x:f>ROUND(H1408*(1-I1408),2)</x:f>
        <x:v>13400000</x:v>
      </x:c>
      <x:c r="N1408" s="4" t="str">
        <x:v>Sales manager</x:v>
      </x:c>
      <x:c r="O1408" s="4" t="str">
        <x:v>BOOK-01407</x:v>
      </x:c>
      <x:c r="P1408" s="9" t="n">
        <x:v>3350000</x:v>
      </x:c>
      <x:c r="Q1408" s="11" t="n">
        <x:v>0</x:v>
      </x:c>
      <x:c r="R1408" s="8" t="n">
        <x:v>45418</x:v>
      </x:c>
      <x:c r="S1408" s="4" t="str">
        <x:v>Retained</x:v>
      </x:c>
      <x:c r="T1408" s="10" t="n">
        <x:v>0.145299</x:v>
      </x:c>
      <x:c r="U1408" s="4" t="str">
        <x:v>Train</x:v>
      </x:c>
    </x:row>
    <x:row r="1409" ht="34" customHeight="1">
      <x:c r="A1409" s="4" t="str">
        <x:v>RS-01408</x:v>
      </x:c>
      <x:c r="B1409" s="8" t="n">
        <x:v>45359</x:v>
      </x:c>
      <x:c r="C1409" s="4" t="str">
        <x:v>PRJ-008</x:v>
      </x:c>
      <x:c r="D1409" s="4" t="str">
        <x:v>Office</x:v>
      </x:c>
      <x:c r="E1409" s="4" t="str">
        <x:v>Reserved</x:v>
      </x:c>
      <x:c r="F1409" s="4" t="str">
        <x:v>CUS-01408</x:v>
      </x:c>
      <x:c r="G1409" s="4" t="str">
        <x:v>UNIT-01408</x:v>
      </x:c>
      <x:c r="H1409" s="9" t="n">
        <x:v>23100000</x:v>
      </x:c>
      <x:c r="I1409" s="10" t="n">
        <x:v>0.04</x:v>
      </x:c>
      <x:c r="J1409" s="11" t="n">
        <x:v>9</x:v>
      </x:c>
      <x:c r="K1409" s="11" t="n">
        <x:v>3</x:v>
      </x:c>
      <x:c r="L1409" s="11" t="n">
        <x:v>0</x:v>
      </x:c>
      <x:c r="M1409" s="9" t="n">
        <x:f>ROUND(H1409*(1-I1409),2)</x:f>
        <x:v>22176000</x:v>
      </x:c>
      <x:c r="N1409" s="4" t="str">
        <x:v>Sales manager</x:v>
      </x:c>
      <x:c r="O1409" s="4"/>
      <x:c r="P1409" s="9" t="n">
        <x:v>0</x:v>
      </x:c>
      <x:c r="Q1409" s="11" t="n">
        <x:v>1</x:v>
      </x:c>
      <x:c r="R1409" s="8" t="n">
        <x:v>45419</x:v>
      </x:c>
      <x:c r="S1409" s="4" t="str">
        <x:v>Lost / cancelled</x:v>
      </x:c>
      <x:c r="T1409" s="10" t="n">
        <x:v>0.310195</x:v>
      </x:c>
      <x:c r="U1409" s="4" t="str">
        <x:v>Train</x:v>
      </x:c>
    </x:row>
    <x:row r="1410" ht="34" customHeight="1">
      <x:c r="A1410" s="4" t="str">
        <x:v>RS-01409</x:v>
      </x:c>
      <x:c r="B1410" s="8" t="n">
        <x:v>45360</x:v>
      </x:c>
      <x:c r="C1410" s="4" t="str">
        <x:v>PRJ-009</x:v>
      </x:c>
      <x:c r="D1410" s="4" t="str">
        <x:v>Retail</x:v>
      </x:c>
      <x:c r="E1410" s="4" t="str">
        <x:v>Handed over</x:v>
      </x:c>
      <x:c r="F1410" s="4" t="str">
        <x:v>CUS-01409</x:v>
      </x:c>
      <x:c r="G1410" s="4" t="str">
        <x:v>UNIT-01409</x:v>
      </x:c>
      <x:c r="H1410" s="9" t="n">
        <x:v>12800000</x:v>
      </x:c>
      <x:c r="I1410" s="10" t="n">
        <x:v>0.04</x:v>
      </x:c>
      <x:c r="J1410" s="11" t="n">
        <x:v>5</x:v>
      </x:c>
      <x:c r="K1410" s="11" t="n">
        <x:v>5</x:v>
      </x:c>
      <x:c r="L1410" s="11" t="n">
        <x:v>1</x:v>
      </x:c>
      <x:c r="M1410" s="9" t="n">
        <x:f>ROUND(H1410*(1-I1410),2)</x:f>
        <x:v>12288000</x:v>
      </x:c>
      <x:c r="N1410" s="4" t="str">
        <x:v>Sales manager</x:v>
      </x:c>
      <x:c r="O1410" s="4" t="str">
        <x:v>BOOK-01409</x:v>
      </x:c>
      <x:c r="P1410" s="9" t="n">
        <x:v>12288000</x:v>
      </x:c>
      <x:c r="Q1410" s="11" t="n">
        <x:v>0</x:v>
      </x:c>
      <x:c r="R1410" s="8" t="n">
        <x:v>45420</x:v>
      </x:c>
      <x:c r="S1410" s="4" t="str">
        <x:v>Retained</x:v>
      </x:c>
      <x:c r="T1410" s="10" t="n">
        <x:v>0.291946</x:v>
      </x:c>
      <x:c r="U1410" s="4" t="str">
        <x:v>Train</x:v>
      </x:c>
    </x:row>
    <x:row r="1411" ht="34" customHeight="1">
      <x:c r="A1411" s="4" t="str">
        <x:v>RS-01410</x:v>
      </x:c>
      <x:c r="B1411" s="8" t="n">
        <x:v>45361</x:v>
      </x:c>
      <x:c r="C1411" s="4" t="str">
        <x:v>PRJ-010</x:v>
      </x:c>
      <x:c r="D1411" s="4" t="str">
        <x:v>Retail</x:v>
      </x:c>
      <x:c r="E1411" s="4" t="str">
        <x:v>Handed over</x:v>
      </x:c>
      <x:c r="F1411" s="4" t="str">
        <x:v>CUS-01410</x:v>
      </x:c>
      <x:c r="G1411" s="4" t="str">
        <x:v>UNIT-01410</x:v>
      </x:c>
      <x:c r="H1411" s="9" t="n">
        <x:v>16300000</x:v>
      </x:c>
      <x:c r="I1411" s="10" t="n">
        <x:v>0.04</x:v>
      </x:c>
      <x:c r="J1411" s="11" t="n">
        <x:v>10</x:v>
      </x:c>
      <x:c r="K1411" s="11" t="n">
        <x:v>9</x:v>
      </x:c>
      <x:c r="L1411" s="11" t="n">
        <x:v>0</x:v>
      </x:c>
      <x:c r="M1411" s="9" t="n">
        <x:f>ROUND(H1411*(1-I1411),2)</x:f>
        <x:v>15648000</x:v>
      </x:c>
      <x:c r="N1411" s="4" t="str">
        <x:v>Sales manager</x:v>
      </x:c>
      <x:c r="O1411" s="4" t="str">
        <x:v>BOOK-01410</x:v>
      </x:c>
      <x:c r="P1411" s="9" t="n">
        <x:v>1564800</x:v>
      </x:c>
      <x:c r="Q1411" s="11" t="n">
        <x:v>0</x:v>
      </x:c>
      <x:c r="R1411" s="8" t="n">
        <x:v>45421</x:v>
      </x:c>
      <x:c r="S1411" s="4" t="str">
        <x:v>Retained</x:v>
      </x:c>
      <x:c r="T1411" s="10" t="n">
        <x:v>0.310195</x:v>
      </x:c>
      <x:c r="U1411" s="4" t="str">
        <x:v>Train</x:v>
      </x:c>
    </x:row>
    <x:row r="1412" ht="34" customHeight="1">
      <x:c r="A1412" s="4" t="str">
        <x:v>RS-01411</x:v>
      </x:c>
      <x:c r="B1412" s="8" t="n">
        <x:v>45362</x:v>
      </x:c>
      <x:c r="C1412" s="4" t="str">
        <x:v>PRJ-011</x:v>
      </x:c>
      <x:c r="D1412" s="4" t="str">
        <x:v>Villa</x:v>
      </x:c>
      <x:c r="E1412" s="4" t="str">
        <x:v>Handed over</x:v>
      </x:c>
      <x:c r="F1412" s="4" t="str">
        <x:v>CUS-01411</x:v>
      </x:c>
      <x:c r="G1412" s="4" t="str">
        <x:v>UNIT-01411</x:v>
      </x:c>
      <x:c r="H1412" s="9" t="n">
        <x:v>15500000</x:v>
      </x:c>
      <x:c r="I1412" s="10" t="n">
        <x:v>0.1</x:v>
      </x:c>
      <x:c r="J1412" s="11" t="n">
        <x:v>10</x:v>
      </x:c>
      <x:c r="K1412" s="11" t="n">
        <x:v>0</x:v>
      </x:c>
      <x:c r="L1412" s="11" t="n">
        <x:v>0</x:v>
      </x:c>
      <x:c r="M1412" s="9" t="n">
        <x:f>ROUND(H1412*(1-I1412),2)</x:f>
        <x:v>13950000</x:v>
      </x:c>
      <x:c r="N1412" s="4" t="str">
        <x:v>Sales head</x:v>
      </x:c>
      <x:c r="O1412" s="4" t="str">
        <x:v>BOOK-01411</x:v>
      </x:c>
      <x:c r="P1412" s="9" t="n">
        <x:v>6975000</x:v>
      </x:c>
      <x:c r="Q1412" s="11" t="n">
        <x:v>0</x:v>
      </x:c>
      <x:c r="R1412" s="8" t="n">
        <x:v>45422</x:v>
      </x:c>
      <x:c r="S1412" s="4" t="str">
        <x:v>Retained</x:v>
      </x:c>
      <x:c r="T1412" s="10" t="n">
        <x:v>0.310195</x:v>
      </x:c>
      <x:c r="U1412" s="4" t="str">
        <x:v>Train</x:v>
      </x:c>
    </x:row>
    <x:row r="1413" ht="34" customHeight="1">
      <x:c r="A1413" s="4" t="str">
        <x:v>RS-01412</x:v>
      </x:c>
      <x:c r="B1413" s="8" t="n">
        <x:v>45363</x:v>
      </x:c>
      <x:c r="C1413" s="4" t="str">
        <x:v>PRJ-012</x:v>
      </x:c>
      <x:c r="D1413" s="4" t="str">
        <x:v>Apartment</x:v>
      </x:c>
      <x:c r="E1413" s="4" t="str">
        <x:v>Booked</x:v>
      </x:c>
      <x:c r="F1413" s="4" t="str">
        <x:v>CUS-01412</x:v>
      </x:c>
      <x:c r="G1413" s="4" t="str">
        <x:v>UNIT-01412</x:v>
      </x:c>
      <x:c r="H1413" s="9" t="n">
        <x:v>3200000</x:v>
      </x:c>
      <x:c r="I1413" s="10" t="n">
        <x:v>0.09</x:v>
      </x:c>
      <x:c r="J1413" s="11" t="n">
        <x:v>3</x:v>
      </x:c>
      <x:c r="K1413" s="11" t="n">
        <x:v>0</x:v>
      </x:c>
      <x:c r="L1413" s="11" t="n">
        <x:v>1</x:v>
      </x:c>
      <x:c r="M1413" s="9" t="n">
        <x:f>ROUND(H1413*(1-I1413),2)</x:f>
        <x:v>2912000</x:v>
      </x:c>
      <x:c r="N1413" s="4" t="str">
        <x:v>Sales head</x:v>
      </x:c>
      <x:c r="O1413" s="4" t="str">
        <x:v>BOOK-01412</x:v>
      </x:c>
      <x:c r="P1413" s="9" t="n">
        <x:v>291200</x:v>
      </x:c>
      <x:c r="Q1413" s="11" t="n">
        <x:v>0</x:v>
      </x:c>
      <x:c r="R1413" s="8" t="n">
        <x:v>45423</x:v>
      </x:c>
      <x:c r="S1413" s="4" t="str">
        <x:v>Retained</x:v>
      </x:c>
      <x:c r="T1413" s="10" t="n">
        <x:v>0.276923</x:v>
      </x:c>
      <x:c r="U1413" s="4" t="str">
        <x:v>Train</x:v>
      </x:c>
    </x:row>
    <x:row r="1414" ht="34" customHeight="1">
      <x:c r="A1414" s="4" t="str">
        <x:v>RS-01413</x:v>
      </x:c>
      <x:c r="B1414" s="8" t="n">
        <x:v>45364</x:v>
      </x:c>
      <x:c r="C1414" s="4" t="str">
        <x:v>PRJ-013</x:v>
      </x:c>
      <x:c r="D1414" s="4" t="str">
        <x:v>Apartment</x:v>
      </x:c>
      <x:c r="E1414" s="4" t="str">
        <x:v>Enquiry</x:v>
      </x:c>
      <x:c r="F1414" s="4" t="str">
        <x:v>CUS-01413</x:v>
      </x:c>
      <x:c r="G1414" s="4" t="str">
        <x:v>UNIT-01413</x:v>
      </x:c>
      <x:c r="H1414" s="9" t="n">
        <x:v>6900000</x:v>
      </x:c>
      <x:c r="I1414" s="10" t="n">
        <x:v>0.08</x:v>
      </x:c>
      <x:c r="J1414" s="11" t="n">
        <x:v>7</x:v>
      </x:c>
      <x:c r="K1414" s="11" t="n">
        <x:v>4</x:v>
      </x:c>
      <x:c r="L1414" s="11" t="n">
        <x:v>1</x:v>
      </x:c>
      <x:c r="M1414" s="9" t="n">
        <x:f>ROUND(H1414*(1-I1414),2)</x:f>
        <x:v>6348000</x:v>
      </x:c>
      <x:c r="N1414" s="4" t="str">
        <x:v>Sales head</x:v>
      </x:c>
      <x:c r="O1414" s="4"/>
      <x:c r="P1414" s="9" t="n">
        <x:v>0</x:v>
      </x:c>
      <x:c r="Q1414" s="11" t="n">
        <x:v>0</x:v>
      </x:c>
      <x:c r="R1414" s="8" t="n">
        <x:v>45424</x:v>
      </x:c>
      <x:c r="S1414" s="4" t="str">
        <x:v>Retained</x:v>
      </x:c>
      <x:c r="T1414" s="10" t="n">
        <x:v>0.291946</x:v>
      </x:c>
      <x:c r="U1414" s="4" t="str">
        <x:v>Train</x:v>
      </x:c>
    </x:row>
    <x:row r="1415" ht="34" customHeight="1">
      <x:c r="A1415" s="4" t="str">
        <x:v>RS-01414</x:v>
      </x:c>
      <x:c r="B1415" s="8" t="n">
        <x:v>45365</x:v>
      </x:c>
      <x:c r="C1415" s="4" t="str">
        <x:v>PRJ-014</x:v>
      </x:c>
      <x:c r="D1415" s="4" t="str">
        <x:v>Office</x:v>
      </x:c>
      <x:c r="E1415" s="4" t="str">
        <x:v>Booked</x:v>
      </x:c>
      <x:c r="F1415" s="4" t="str">
        <x:v>CUS-01414</x:v>
      </x:c>
      <x:c r="G1415" s="4" t="str">
        <x:v>UNIT-01414</x:v>
      </x:c>
      <x:c r="H1415" s="9" t="n">
        <x:v>17500000</x:v>
      </x:c>
      <x:c r="I1415" s="10" t="n">
        <x:v>0.07</x:v>
      </x:c>
      <x:c r="J1415" s="11" t="n">
        <x:v>10</x:v>
      </x:c>
      <x:c r="K1415" s="11" t="n">
        <x:v>5</x:v>
      </x:c>
      <x:c r="L1415" s="11" t="n">
        <x:v>1</x:v>
      </x:c>
      <x:c r="M1415" s="9" t="n">
        <x:f>ROUND(H1415*(1-I1415),2)</x:f>
        <x:v>16275000</x:v>
      </x:c>
      <x:c r="N1415" s="4" t="str">
        <x:v>Sales manager</x:v>
      </x:c>
      <x:c r="O1415" s="4" t="str">
        <x:v>BOOK-01414</x:v>
      </x:c>
      <x:c r="P1415" s="9" t="n">
        <x:v>16275000</x:v>
      </x:c>
      <x:c r="Q1415" s="11" t="n">
        <x:v>0</x:v>
      </x:c>
      <x:c r="R1415" s="8" t="n">
        <x:v>45425</x:v>
      </x:c>
      <x:c r="S1415" s="4" t="str">
        <x:v>Retained</x:v>
      </x:c>
      <x:c r="T1415" s="10" t="n">
        <x:v>0.310195</x:v>
      </x:c>
      <x:c r="U1415" s="4" t="str">
        <x:v>Train</x:v>
      </x:c>
    </x:row>
    <x:row r="1416" ht="34" customHeight="1">
      <x:c r="A1416" s="4" t="str">
        <x:v>RS-01415</x:v>
      </x:c>
      <x:c r="B1416" s="8" t="n">
        <x:v>45366</x:v>
      </x:c>
      <x:c r="C1416" s="4" t="str">
        <x:v>PRJ-015</x:v>
      </x:c>
      <x:c r="D1416" s="4" t="str">
        <x:v>Office</x:v>
      </x:c>
      <x:c r="E1416" s="4" t="str">
        <x:v>Cancelled</x:v>
      </x:c>
      <x:c r="F1416" s="4" t="str">
        <x:v>CUS-01415</x:v>
      </x:c>
      <x:c r="G1416" s="4" t="str">
        <x:v>UNIT-01415</x:v>
      </x:c>
      <x:c r="H1416" s="9" t="n">
        <x:v>15000000</x:v>
      </x:c>
      <x:c r="I1416" s="10" t="n">
        <x:v>0</x:v>
      </x:c>
      <x:c r="J1416" s="11" t="n">
        <x:v>11</x:v>
      </x:c>
      <x:c r="K1416" s="11" t="n">
        <x:v>3</x:v>
      </x:c>
      <x:c r="L1416" s="11" t="n">
        <x:v>0</x:v>
      </x:c>
      <x:c r="M1416" s="9" t="n">
        <x:f>ROUND(H1416*(1-I1416),2)</x:f>
        <x:v>15000000</x:v>
      </x:c>
      <x:c r="N1416" s="4" t="str">
        <x:v>Sales manager</x:v>
      </x:c>
      <x:c r="O1416" s="4"/>
      <x:c r="P1416" s="9" t="n">
        <x:v>0</x:v>
      </x:c>
      <x:c r="Q1416" s="11" t="n">
        <x:v>1</x:v>
      </x:c>
      <x:c r="R1416" s="8" t="n">
        <x:v>45426</x:v>
      </x:c>
      <x:c r="S1416" s="4" t="str">
        <x:v>Lost / cancelled</x:v>
      </x:c>
      <x:c r="T1416" s="10" t="n">
        <x:v>0.305556</x:v>
      </x:c>
      <x:c r="U1416" s="4" t="str">
        <x:v>Train</x:v>
      </x:c>
    </x:row>
    <x:row r="1417" ht="34" customHeight="1">
      <x:c r="A1417" s="4" t="str">
        <x:v>RS-01416</x:v>
      </x:c>
      <x:c r="B1417" s="8" t="n">
        <x:v>45367</x:v>
      </x:c>
      <x:c r="C1417" s="4" t="str">
        <x:v>PRJ-016</x:v>
      </x:c>
      <x:c r="D1417" s="4" t="str">
        <x:v>Office</x:v>
      </x:c>
      <x:c r="E1417" s="4" t="str">
        <x:v>Handed over</x:v>
      </x:c>
      <x:c r="F1417" s="4" t="str">
        <x:v>CUS-01416</x:v>
      </x:c>
      <x:c r="G1417" s="4" t="str">
        <x:v>UNIT-01416</x:v>
      </x:c>
      <x:c r="H1417" s="9" t="n">
        <x:v>14800000</x:v>
      </x:c>
      <x:c r="I1417" s="10" t="n">
        <x:v>0</x:v>
      </x:c>
      <x:c r="J1417" s="11" t="n">
        <x:v>8</x:v>
      </x:c>
      <x:c r="K1417" s="11" t="n">
        <x:v>9</x:v>
      </x:c>
      <x:c r="L1417" s="11" t="n">
        <x:v>0</x:v>
      </x:c>
      <x:c r="M1417" s="9" t="n">
        <x:f>ROUND(H1417*(1-I1417),2)</x:f>
        <x:v>14800000</x:v>
      </x:c>
      <x:c r="N1417" s="4" t="str">
        <x:v>Sales manager</x:v>
      </x:c>
      <x:c r="O1417" s="4" t="str">
        <x:v>BOOK-01416</x:v>
      </x:c>
      <x:c r="P1417" s="9" t="n">
        <x:v>7400000</x:v>
      </x:c>
      <x:c r="Q1417" s="11" t="n">
        <x:v>0</x:v>
      </x:c>
      <x:c r="R1417" s="8" t="n">
        <x:v>45427</x:v>
      </x:c>
      <x:c r="S1417" s="4" t="str">
        <x:v>Retained</x:v>
      </x:c>
      <x:c r="T1417" s="10" t="n">
        <x:v>0.305556</x:v>
      </x:c>
      <x:c r="U1417" s="4" t="str">
        <x:v>Train</x:v>
      </x:c>
    </x:row>
    <x:row r="1418" ht="34" customHeight="1">
      <x:c r="A1418" s="4" t="str">
        <x:v>RS-01417</x:v>
      </x:c>
      <x:c r="B1418" s="8" t="n">
        <x:v>45368</x:v>
      </x:c>
      <x:c r="C1418" s="4" t="str">
        <x:v>PRJ-017</x:v>
      </x:c>
      <x:c r="D1418" s="4" t="str">
        <x:v>Office</x:v>
      </x:c>
      <x:c r="E1418" s="4" t="str">
        <x:v>Booked</x:v>
      </x:c>
      <x:c r="F1418" s="4" t="str">
        <x:v>CUS-01417</x:v>
      </x:c>
      <x:c r="G1418" s="4" t="str">
        <x:v>UNIT-01417</x:v>
      </x:c>
      <x:c r="H1418" s="9" t="n">
        <x:v>5100000</x:v>
      </x:c>
      <x:c r="I1418" s="10" t="n">
        <x:v>0.1</x:v>
      </x:c>
      <x:c r="J1418" s="11" t="n">
        <x:v>3</x:v>
      </x:c>
      <x:c r="K1418" s="11" t="n">
        <x:v>9</x:v>
      </x:c>
      <x:c r="L1418" s="11" t="n">
        <x:v>1</x:v>
      </x:c>
      <x:c r="M1418" s="9" t="n">
        <x:f>ROUND(H1418*(1-I1418),2)</x:f>
        <x:v>4590000</x:v>
      </x:c>
      <x:c r="N1418" s="4" t="str">
        <x:v>Sales head</x:v>
      </x:c>
      <x:c r="O1418" s="4" t="str">
        <x:v>BOOK-01417</x:v>
      </x:c>
      <x:c r="P1418" s="9" t="n">
        <x:v>1147500</x:v>
      </x:c>
      <x:c r="Q1418" s="11" t="n">
        <x:v>0</x:v>
      </x:c>
      <x:c r="R1418" s="8" t="n">
        <x:v>45428</x:v>
      </x:c>
      <x:c r="S1418" s="4" t="str">
        <x:v>Retained</x:v>
      </x:c>
      <x:c r="T1418" s="10" t="n">
        <x:v>0.145833</x:v>
      </x:c>
      <x:c r="U1418" s="4" t="str">
        <x:v>Train</x:v>
      </x:c>
    </x:row>
    <x:row r="1419" ht="34" customHeight="1">
      <x:c r="A1419" s="4" t="str">
        <x:v>RS-01418</x:v>
      </x:c>
      <x:c r="B1419" s="8" t="n">
        <x:v>45369</x:v>
      </x:c>
      <x:c r="C1419" s="4" t="str">
        <x:v>PRJ-018</x:v>
      </x:c>
      <x:c r="D1419" s="4" t="str">
        <x:v>Retail</x:v>
      </x:c>
      <x:c r="E1419" s="4" t="str">
        <x:v>Reserved</x:v>
      </x:c>
      <x:c r="F1419" s="4" t="str">
        <x:v>CUS-01418</x:v>
      </x:c>
      <x:c r="G1419" s="4" t="str">
        <x:v>UNIT-01418</x:v>
      </x:c>
      <x:c r="H1419" s="9" t="n">
        <x:v>7900000</x:v>
      </x:c>
      <x:c r="I1419" s="10" t="n">
        <x:v>0.08</x:v>
      </x:c>
      <x:c r="J1419" s="11" t="n">
        <x:v>2</x:v>
      </x:c>
      <x:c r="K1419" s="11" t="n">
        <x:v>0</x:v>
      </x:c>
      <x:c r="L1419" s="11" t="n">
        <x:v>0</x:v>
      </x:c>
      <x:c r="M1419" s="9" t="n">
        <x:f>ROUND(H1419*(1-I1419),2)</x:f>
        <x:v>7268000</x:v>
      </x:c>
      <x:c r="N1419" s="4" t="str">
        <x:v>Sales head</x:v>
      </x:c>
      <x:c r="O1419" s="4"/>
      <x:c r="P1419" s="9" t="n">
        <x:v>0</x:v>
      </x:c>
      <x:c r="Q1419" s="11" t="n">
        <x:v>0</x:v>
      </x:c>
      <x:c r="R1419" s="8" t="n">
        <x:v>45429</x:v>
      </x:c>
      <x:c r="S1419" s="4" t="str">
        <x:v>Retained</x:v>
      </x:c>
      <x:c r="T1419" s="10" t="n">
        <x:v>0.276923</x:v>
      </x:c>
      <x:c r="U1419" s="4" t="str">
        <x:v>Train</x:v>
      </x:c>
    </x:row>
    <x:row r="1420" ht="34" customHeight="1">
      <x:c r="A1420" s="4" t="str">
        <x:v>RS-01419</x:v>
      </x:c>
      <x:c r="B1420" s="8" t="n">
        <x:v>45370</x:v>
      </x:c>
      <x:c r="C1420" s="4" t="str">
        <x:v>PRJ-019</x:v>
      </x:c>
      <x:c r="D1420" s="4" t="str">
        <x:v>Villa</x:v>
      </x:c>
      <x:c r="E1420" s="4" t="str">
        <x:v>Booked</x:v>
      </x:c>
      <x:c r="F1420" s="4" t="str">
        <x:v>CUS-01419</x:v>
      </x:c>
      <x:c r="G1420" s="4" t="str">
        <x:v>UNIT-01419</x:v>
      </x:c>
      <x:c r="H1420" s="9" t="n">
        <x:v>19100000</x:v>
      </x:c>
      <x:c r="I1420" s="10" t="n">
        <x:v>0.11</x:v>
      </x:c>
      <x:c r="J1420" s="11" t="n">
        <x:v>10</x:v>
      </x:c>
      <x:c r="K1420" s="11" t="n">
        <x:v>2</x:v>
      </x:c>
      <x:c r="L1420" s="11" t="n">
        <x:v>0</x:v>
      </x:c>
      <x:c r="M1420" s="9" t="n">
        <x:f>ROUND(H1420*(1-I1420),2)</x:f>
        <x:v>16999000</x:v>
      </x:c>
      <x:c r="N1420" s="4" t="str">
        <x:v>Sales head</x:v>
      </x:c>
      <x:c r="O1420" s="4" t="str">
        <x:v>BOOK-01419</x:v>
      </x:c>
      <x:c r="P1420" s="9" t="n">
        <x:v>4249750</x:v>
      </x:c>
      <x:c r="Q1420" s="11" t="n">
        <x:v>0</x:v>
      </x:c>
      <x:c r="R1420" s="8" t="n">
        <x:v>45430</x:v>
      </x:c>
      <x:c r="S1420" s="4" t="str">
        <x:v>Retained</x:v>
      </x:c>
      <x:c r="T1420" s="10" t="n">
        <x:v>0.310195</x:v>
      </x:c>
      <x:c r="U1420" s="4" t="str">
        <x:v>Train</x:v>
      </x:c>
    </x:row>
    <x:row r="1421" ht="34" customHeight="1">
      <x:c r="A1421" s="4" t="str">
        <x:v>RS-01420</x:v>
      </x:c>
      <x:c r="B1421" s="8" t="n">
        <x:v>45371</x:v>
      </x:c>
      <x:c r="C1421" s="4" t="str">
        <x:v>PRJ-020</x:v>
      </x:c>
      <x:c r="D1421" s="4" t="str">
        <x:v>Retail</x:v>
      </x:c>
      <x:c r="E1421" s="4" t="str">
        <x:v>Agreement signed</x:v>
      </x:c>
      <x:c r="F1421" s="4" t="str">
        <x:v>CUS-01420</x:v>
      </x:c>
      <x:c r="G1421" s="4" t="str">
        <x:v>UNIT-01420</x:v>
      </x:c>
      <x:c r="H1421" s="9" t="n">
        <x:v>15800000</x:v>
      </x:c>
      <x:c r="I1421" s="10" t="n">
        <x:v>0.04</x:v>
      </x:c>
      <x:c r="J1421" s="11" t="n">
        <x:v>6</x:v>
      </x:c>
      <x:c r="K1421" s="11" t="n">
        <x:v>8</x:v>
      </x:c>
      <x:c r="L1421" s="11" t="n">
        <x:v>1</x:v>
      </x:c>
      <x:c r="M1421" s="9" t="n">
        <x:f>ROUND(H1421*(1-I1421),2)</x:f>
        <x:v>15168000</x:v>
      </x:c>
      <x:c r="N1421" s="4" t="str">
        <x:v>Sales manager</x:v>
      </x:c>
      <x:c r="O1421" s="4" t="str">
        <x:v>BOOK-01420</x:v>
      </x:c>
      <x:c r="P1421" s="9" t="n">
        <x:v>3792000</x:v>
      </x:c>
      <x:c r="Q1421" s="11" t="n">
        <x:v>0</x:v>
      </x:c>
      <x:c r="R1421" s="8" t="n">
        <x:v>45431</x:v>
      </x:c>
      <x:c r="S1421" s="4" t="str">
        <x:v>Retained</x:v>
      </x:c>
      <x:c r="T1421" s="10" t="n">
        <x:v>0.291946</x:v>
      </x:c>
      <x:c r="U1421" s="4" t="str">
        <x:v>Train</x:v>
      </x:c>
    </x:row>
    <x:row r="1422" ht="34" customHeight="1">
      <x:c r="A1422" s="4" t="str">
        <x:v>RS-01421</x:v>
      </x:c>
      <x:c r="B1422" s="8" t="n">
        <x:v>45372</x:v>
      </x:c>
      <x:c r="C1422" s="4" t="str">
        <x:v>PRJ-001</x:v>
      </x:c>
      <x:c r="D1422" s="4" t="str">
        <x:v>Office</x:v>
      </x:c>
      <x:c r="E1422" s="4" t="str">
        <x:v>Booked</x:v>
      </x:c>
      <x:c r="F1422" s="4" t="str">
        <x:v>CUS-01421</x:v>
      </x:c>
      <x:c r="G1422" s="4" t="str">
        <x:v>UNIT-01421</x:v>
      </x:c>
      <x:c r="H1422" s="9" t="n">
        <x:v>24800000</x:v>
      </x:c>
      <x:c r="I1422" s="10" t="n">
        <x:v>0.09</x:v>
      </x:c>
      <x:c r="J1422" s="11" t="n">
        <x:v>2</x:v>
      </x:c>
      <x:c r="K1422" s="11" t="n">
        <x:v>10</x:v>
      </x:c>
      <x:c r="L1422" s="11" t="n">
        <x:v>0</x:v>
      </x:c>
      <x:c r="M1422" s="9" t="n">
        <x:f>ROUND(H1422*(1-I1422),2)</x:f>
        <x:v>22568000</x:v>
      </x:c>
      <x:c r="N1422" s="4" t="str">
        <x:v>Sales head</x:v>
      </x:c>
      <x:c r="O1422" s="4" t="str">
        <x:v>BOOK-01421</x:v>
      </x:c>
      <x:c r="P1422" s="9" t="n">
        <x:v>11284000</x:v>
      </x:c>
      <x:c r="Q1422" s="11" t="n">
        <x:v>0</x:v>
      </x:c>
      <x:c r="R1422" s="8" t="n">
        <x:v>45432</x:v>
      </x:c>
      <x:c r="S1422" s="4" t="str">
        <x:v>Retained</x:v>
      </x:c>
      <x:c r="T1422" s="10" t="n">
        <x:v>0.145833</x:v>
      </x:c>
      <x:c r="U1422" s="4" t="str">
        <x:v>Train</x:v>
      </x:c>
    </x:row>
    <x:row r="1423" ht="34" customHeight="1">
      <x:c r="A1423" s="4" t="str">
        <x:v>RS-01422</x:v>
      </x:c>
      <x:c r="B1423" s="8" t="n">
        <x:v>45373</x:v>
      </x:c>
      <x:c r="C1423" s="4" t="str">
        <x:v>PRJ-002</x:v>
      </x:c>
      <x:c r="D1423" s="4" t="str">
        <x:v>Retail</x:v>
      </x:c>
      <x:c r="E1423" s="4" t="str">
        <x:v>Agreement signed</x:v>
      </x:c>
      <x:c r="F1423" s="4" t="str">
        <x:v>CUS-01422</x:v>
      </x:c>
      <x:c r="G1423" s="4" t="str">
        <x:v>UNIT-01422</x:v>
      </x:c>
      <x:c r="H1423" s="9" t="n">
        <x:v>21300000</x:v>
      </x:c>
      <x:c r="I1423" s="10" t="n">
        <x:v>0.11</x:v>
      </x:c>
      <x:c r="J1423" s="11" t="n">
        <x:v>0</x:v>
      </x:c>
      <x:c r="K1423" s="11" t="n">
        <x:v>10</x:v>
      </x:c>
      <x:c r="L1423" s="11" t="n">
        <x:v>1</x:v>
      </x:c>
      <x:c r="M1423" s="9" t="n">
        <x:f>ROUND(H1423*(1-I1423),2)</x:f>
        <x:v>18957000</x:v>
      </x:c>
      <x:c r="N1423" s="4" t="str">
        <x:v>Sales head</x:v>
      </x:c>
      <x:c r="O1423" s="4" t="str">
        <x:v>BOOK-01422</x:v>
      </x:c>
      <x:c r="P1423" s="9" t="n">
        <x:v>1895700</x:v>
      </x:c>
      <x:c r="Q1423" s="11" t="n">
        <x:v>0</x:v>
      </x:c>
      <x:c r="R1423" s="8" t="n">
        <x:v>45433</x:v>
      </x:c>
      <x:c r="S1423" s="4" t="str">
        <x:v>Retained</x:v>
      </x:c>
      <x:c r="T1423" s="10" t="n">
        <x:v>0.145833</x:v>
      </x:c>
      <x:c r="U1423" s="4" t="str">
        <x:v>Train</x:v>
      </x:c>
    </x:row>
    <x:row r="1424" ht="34" customHeight="1">
      <x:c r="A1424" s="4" t="str">
        <x:v>RS-01423</x:v>
      </x:c>
      <x:c r="B1424" s="8" t="n">
        <x:v>45374</x:v>
      </x:c>
      <x:c r="C1424" s="4" t="str">
        <x:v>PRJ-003</x:v>
      </x:c>
      <x:c r="D1424" s="4" t="str">
        <x:v>Office</x:v>
      </x:c>
      <x:c r="E1424" s="4" t="str">
        <x:v>Reserved</x:v>
      </x:c>
      <x:c r="F1424" s="4" t="str">
        <x:v>CUS-01423</x:v>
      </x:c>
      <x:c r="G1424" s="4" t="str">
        <x:v>UNIT-01423</x:v>
      </x:c>
      <x:c r="H1424" s="9" t="n">
        <x:v>15000000</x:v>
      </x:c>
      <x:c r="I1424" s="10" t="n">
        <x:v>0</x:v>
      </x:c>
      <x:c r="J1424" s="11" t="n">
        <x:v>8</x:v>
      </x:c>
      <x:c r="K1424" s="11" t="n">
        <x:v>1</x:v>
      </x:c>
      <x:c r="L1424" s="11" t="n">
        <x:v>1</x:v>
      </x:c>
      <x:c r="M1424" s="9" t="n">
        <x:f>ROUND(H1424*(1-I1424),2)</x:f>
        <x:v>15000000</x:v>
      </x:c>
      <x:c r="N1424" s="4" t="str">
        <x:v>Sales manager</x:v>
      </x:c>
      <x:c r="O1424" s="4"/>
      <x:c r="P1424" s="9" t="n">
        <x:v>0</x:v>
      </x:c>
      <x:c r="Q1424" s="11" t="n">
        <x:v>1</x:v>
      </x:c>
      <x:c r="R1424" s="8" t="n">
        <x:v>45434</x:v>
      </x:c>
      <x:c r="S1424" s="4" t="str">
        <x:v>Lost / cancelled</x:v>
      </x:c>
      <x:c r="T1424" s="10" t="n">
        <x:v>0.254545</x:v>
      </x:c>
      <x:c r="U1424" s="4" t="str">
        <x:v>Train</x:v>
      </x:c>
    </x:row>
    <x:row r="1425" ht="34" customHeight="1">
      <x:c r="A1425" s="4" t="str">
        <x:v>RS-01424</x:v>
      </x:c>
      <x:c r="B1425" s="8" t="n">
        <x:v>45375</x:v>
      </x:c>
      <x:c r="C1425" s="4" t="str">
        <x:v>PRJ-004</x:v>
      </x:c>
      <x:c r="D1425" s="4" t="str">
        <x:v>Office</x:v>
      </x:c>
      <x:c r="E1425" s="4" t="str">
        <x:v>Agreement signed</x:v>
      </x:c>
      <x:c r="F1425" s="4" t="str">
        <x:v>CUS-01424</x:v>
      </x:c>
      <x:c r="G1425" s="4" t="str">
        <x:v>UNIT-01424</x:v>
      </x:c>
      <x:c r="H1425" s="9" t="n">
        <x:v>12500000</x:v>
      </x:c>
      <x:c r="I1425" s="10" t="n">
        <x:v>0.03</x:v>
      </x:c>
      <x:c r="J1425" s="11" t="n">
        <x:v>2</x:v>
      </x:c>
      <x:c r="K1425" s="11" t="n">
        <x:v>1</x:v>
      </x:c>
      <x:c r="L1425" s="11" t="n">
        <x:v>0</x:v>
      </x:c>
      <x:c r="M1425" s="9" t="n">
        <x:f>ROUND(H1425*(1-I1425),2)</x:f>
        <x:v>12125000</x:v>
      </x:c>
      <x:c r="N1425" s="4" t="str">
        <x:v>Sales manager</x:v>
      </x:c>
      <x:c r="O1425" s="4" t="str">
        <x:v>BOOK-01424</x:v>
      </x:c>
      <x:c r="P1425" s="9" t="n">
        <x:v>1212500</x:v>
      </x:c>
      <x:c r="Q1425" s="11" t="n">
        <x:v>0</x:v>
      </x:c>
      <x:c r="R1425" s="8" t="n">
        <x:v>45435</x:v>
      </x:c>
      <x:c r="S1425" s="4" t="str">
        <x:v>Retained</x:v>
      </x:c>
      <x:c r="T1425" s="10" t="n">
        <x:v>0.171717</x:v>
      </x:c>
      <x:c r="U1425" s="4" t="str">
        <x:v>Train</x:v>
      </x:c>
    </x:row>
    <x:row r="1426" ht="34" customHeight="1">
      <x:c r="A1426" s="4" t="str">
        <x:v>RS-01425</x:v>
      </x:c>
      <x:c r="B1426" s="8" t="n">
        <x:v>45376</x:v>
      </x:c>
      <x:c r="C1426" s="4" t="str">
        <x:v>PRJ-005</x:v>
      </x:c>
      <x:c r="D1426" s="4" t="str">
        <x:v>Villa</x:v>
      </x:c>
      <x:c r="E1426" s="4" t="str">
        <x:v>Enquiry</x:v>
      </x:c>
      <x:c r="F1426" s="4" t="str">
        <x:v>CUS-01425</x:v>
      </x:c>
      <x:c r="G1426" s="4" t="str">
        <x:v>UNIT-01425</x:v>
      </x:c>
      <x:c r="H1426" s="9" t="n">
        <x:v>24200000</x:v>
      </x:c>
      <x:c r="I1426" s="10" t="n">
        <x:v>0.11</x:v>
      </x:c>
      <x:c r="J1426" s="11" t="n">
        <x:v>1</x:v>
      </x:c>
      <x:c r="K1426" s="11" t="n">
        <x:v>0</x:v>
      </x:c>
      <x:c r="L1426" s="11" t="n">
        <x:v>1</x:v>
      </x:c>
      <x:c r="M1426" s="9" t="n">
        <x:f>ROUND(H1426*(1-I1426),2)</x:f>
        <x:v>21538000</x:v>
      </x:c>
      <x:c r="N1426" s="4" t="str">
        <x:v>Sales head</x:v>
      </x:c>
      <x:c r="O1426" s="4"/>
      <x:c r="P1426" s="9" t="n">
        <x:v>0</x:v>
      </x:c>
      <x:c r="Q1426" s="11" t="n">
        <x:v>0</x:v>
      </x:c>
      <x:c r="R1426" s="8" t="n">
        <x:v>45436</x:v>
      </x:c>
      <x:c r="S1426" s="4" t="str">
        <x:v>Retained</x:v>
      </x:c>
      <x:c r="T1426" s="10" t="n">
        <x:v>0.276923</x:v>
      </x:c>
      <x:c r="U1426" s="4" t="str">
        <x:v>Train</x:v>
      </x:c>
    </x:row>
    <x:row r="1427" ht="34" customHeight="1">
      <x:c r="A1427" s="4" t="str">
        <x:v>RS-01426</x:v>
      </x:c>
      <x:c r="B1427" s="8" t="n">
        <x:v>45377</x:v>
      </x:c>
      <x:c r="C1427" s="4" t="str">
        <x:v>PRJ-006</x:v>
      </x:c>
      <x:c r="D1427" s="4" t="str">
        <x:v>Retail</x:v>
      </x:c>
      <x:c r="E1427" s="4" t="str">
        <x:v>Reserved</x:v>
      </x:c>
      <x:c r="F1427" s="4" t="str">
        <x:v>CUS-01426</x:v>
      </x:c>
      <x:c r="G1427" s="4" t="str">
        <x:v>UNIT-01426</x:v>
      </x:c>
      <x:c r="H1427" s="9" t="n">
        <x:v>9000000</x:v>
      </x:c>
      <x:c r="I1427" s="10" t="n">
        <x:v>0.02</x:v>
      </x:c>
      <x:c r="J1427" s="11" t="n">
        <x:v>1</x:v>
      </x:c>
      <x:c r="K1427" s="11" t="n">
        <x:v>0</x:v>
      </x:c>
      <x:c r="L1427" s="11" t="n">
        <x:v>0</x:v>
      </x:c>
      <x:c r="M1427" s="9" t="n">
        <x:f>ROUND(H1427*(1-I1427),2)</x:f>
        <x:v>8820000</x:v>
      </x:c>
      <x:c r="N1427" s="4" t="str">
        <x:v>Sales manager</x:v>
      </x:c>
      <x:c r="O1427" s="4"/>
      <x:c r="P1427" s="9" t="n">
        <x:v>0</x:v>
      </x:c>
      <x:c r="Q1427" s="11" t="n">
        <x:v>0</x:v>
      </x:c>
      <x:c r="R1427" s="8" t="n">
        <x:v>45437</x:v>
      </x:c>
      <x:c r="S1427" s="4" t="str">
        <x:v>Retained</x:v>
      </x:c>
      <x:c r="T1427" s="10" t="n">
        <x:v>0.276923</x:v>
      </x:c>
      <x:c r="U1427" s="4" t="str">
        <x:v>Train</x:v>
      </x:c>
    </x:row>
    <x:row r="1428" ht="34" customHeight="1">
      <x:c r="A1428" s="4" t="str">
        <x:v>RS-01427</x:v>
      </x:c>
      <x:c r="B1428" s="8" t="n">
        <x:v>45378</x:v>
      </x:c>
      <x:c r="C1428" s="4" t="str">
        <x:v>PRJ-007</x:v>
      </x:c>
      <x:c r="D1428" s="4" t="str">
        <x:v>Apartment</x:v>
      </x:c>
      <x:c r="E1428" s="4" t="str">
        <x:v>Agreement signed</x:v>
      </x:c>
      <x:c r="F1428" s="4" t="str">
        <x:v>CUS-01427</x:v>
      </x:c>
      <x:c r="G1428" s="4" t="str">
        <x:v>UNIT-01427</x:v>
      </x:c>
      <x:c r="H1428" s="9" t="n">
        <x:v>18400000</x:v>
      </x:c>
      <x:c r="I1428" s="10" t="n">
        <x:v>0.06</x:v>
      </x:c>
      <x:c r="J1428" s="11" t="n">
        <x:v>8</x:v>
      </x:c>
      <x:c r="K1428" s="11" t="n">
        <x:v>4</x:v>
      </x:c>
      <x:c r="L1428" s="11" t="n">
        <x:v>0</x:v>
      </x:c>
      <x:c r="M1428" s="9" t="n">
        <x:f>ROUND(H1428*(1-I1428),2)</x:f>
        <x:v>17296000</x:v>
      </x:c>
      <x:c r="N1428" s="4" t="str">
        <x:v>Sales manager</x:v>
      </x:c>
      <x:c r="O1428" s="4" t="str">
        <x:v>BOOK-01427</x:v>
      </x:c>
      <x:c r="P1428" s="9" t="n">
        <x:v>17296000</x:v>
      </x:c>
      <x:c r="Q1428" s="11" t="n">
        <x:v>0</x:v>
      </x:c>
      <x:c r="R1428" s="8" t="n">
        <x:v>45438</x:v>
      </x:c>
      <x:c r="S1428" s="4" t="str">
        <x:v>Retained</x:v>
      </x:c>
      <x:c r="T1428" s="10" t="n">
        <x:v>0.310195</x:v>
      </x:c>
      <x:c r="U1428" s="4" t="str">
        <x:v>Train</x:v>
      </x:c>
    </x:row>
    <x:row r="1429" ht="34" customHeight="1">
      <x:c r="A1429" s="4" t="str">
        <x:v>RS-01428</x:v>
      </x:c>
      <x:c r="B1429" s="8" t="n">
        <x:v>45379</x:v>
      </x:c>
      <x:c r="C1429" s="4" t="str">
        <x:v>PRJ-008</x:v>
      </x:c>
      <x:c r="D1429" s="4" t="str">
        <x:v>Apartment</x:v>
      </x:c>
      <x:c r="E1429" s="4" t="str">
        <x:v>Enquiry</x:v>
      </x:c>
      <x:c r="F1429" s="4" t="str">
        <x:v>CUS-01428</x:v>
      </x:c>
      <x:c r="G1429" s="4" t="str">
        <x:v>UNIT-01428</x:v>
      </x:c>
      <x:c r="H1429" s="9" t="n">
        <x:v>23300000</x:v>
      </x:c>
      <x:c r="I1429" s="10" t="n">
        <x:v>0.1</x:v>
      </x:c>
      <x:c r="J1429" s="11" t="n">
        <x:v>0</x:v>
      </x:c>
      <x:c r="K1429" s="11" t="n">
        <x:v>6</x:v>
      </x:c>
      <x:c r="L1429" s="11" t="n">
        <x:v>1</x:v>
      </x:c>
      <x:c r="M1429" s="9" t="n">
        <x:f>ROUND(H1429*(1-I1429),2)</x:f>
        <x:v>20970000</x:v>
      </x:c>
      <x:c r="N1429" s="4" t="str">
        <x:v>Sales head</x:v>
      </x:c>
      <x:c r="O1429" s="4"/>
      <x:c r="P1429" s="9" t="n">
        <x:v>0</x:v>
      </x:c>
      <x:c r="Q1429" s="11" t="n">
        <x:v>0</x:v>
      </x:c>
      <x:c r="R1429" s="8" t="n">
        <x:v>45439</x:v>
      </x:c>
      <x:c r="S1429" s="4" t="str">
        <x:v>Retained</x:v>
      </x:c>
      <x:c r="T1429" s="10" t="n">
        <x:v>0.145833</x:v>
      </x:c>
      <x:c r="U1429" s="4" t="str">
        <x:v>Train</x:v>
      </x:c>
    </x:row>
    <x:row r="1430" ht="34" customHeight="1">
      <x:c r="A1430" s="4" t="str">
        <x:v>RS-01429</x:v>
      </x:c>
      <x:c r="B1430" s="8" t="n">
        <x:v>45352</x:v>
      </x:c>
      <x:c r="C1430" s="4" t="str">
        <x:v>PRJ-009</x:v>
      </x:c>
      <x:c r="D1430" s="4" t="str">
        <x:v>Office</x:v>
      </x:c>
      <x:c r="E1430" s="4" t="str">
        <x:v>Handed over</x:v>
      </x:c>
      <x:c r="F1430" s="4" t="str">
        <x:v>CUS-01429</x:v>
      </x:c>
      <x:c r="G1430" s="4" t="str">
        <x:v>UNIT-01429</x:v>
      </x:c>
      <x:c r="H1430" s="9" t="n">
        <x:v>4700000</x:v>
      </x:c>
      <x:c r="I1430" s="10" t="n">
        <x:v>0.06</x:v>
      </x:c>
      <x:c r="J1430" s="11" t="n">
        <x:v>3</x:v>
      </x:c>
      <x:c r="K1430" s="11" t="n">
        <x:v>10</x:v>
      </x:c>
      <x:c r="L1430" s="11" t="n">
        <x:v>0</x:v>
      </x:c>
      <x:c r="M1430" s="9" t="n">
        <x:f>ROUND(H1430*(1-I1430),2)</x:f>
        <x:v>4418000</x:v>
      </x:c>
      <x:c r="N1430" s="4" t="str">
        <x:v>Sales manager</x:v>
      </x:c>
      <x:c r="O1430" s="4" t="str">
        <x:v>BOOK-01429</x:v>
      </x:c>
      <x:c r="P1430" s="9" t="n">
        <x:v>4418000</x:v>
      </x:c>
      <x:c r="Q1430" s="11" t="n">
        <x:v>0</x:v>
      </x:c>
      <x:c r="R1430" s="8" t="n">
        <x:v>45412</x:v>
      </x:c>
      <x:c r="S1430" s="4" t="str">
        <x:v>Retained</x:v>
      </x:c>
      <x:c r="T1430" s="10" t="n">
        <x:v>0.204152</x:v>
      </x:c>
      <x:c r="U1430" s="4" t="str">
        <x:v>Train</x:v>
      </x:c>
    </x:row>
    <x:row r="1431" ht="34" customHeight="1">
      <x:c r="A1431" s="4" t="str">
        <x:v>RS-01430</x:v>
      </x:c>
      <x:c r="B1431" s="8" t="n">
        <x:v>45353</x:v>
      </x:c>
      <x:c r="C1431" s="4" t="str">
        <x:v>PRJ-010</x:v>
      </x:c>
      <x:c r="D1431" s="4" t="str">
        <x:v>Retail</x:v>
      </x:c>
      <x:c r="E1431" s="4" t="str">
        <x:v>Agreement signed</x:v>
      </x:c>
      <x:c r="F1431" s="4" t="str">
        <x:v>CUS-01430</x:v>
      </x:c>
      <x:c r="G1431" s="4" t="str">
        <x:v>UNIT-01430</x:v>
      </x:c>
      <x:c r="H1431" s="9" t="n">
        <x:v>23200000</x:v>
      </x:c>
      <x:c r="I1431" s="10" t="n">
        <x:v>0.06</x:v>
      </x:c>
      <x:c r="J1431" s="11" t="n">
        <x:v>12</x:v>
      </x:c>
      <x:c r="K1431" s="11" t="n">
        <x:v>5</x:v>
      </x:c>
      <x:c r="L1431" s="11" t="n">
        <x:v>0</x:v>
      </x:c>
      <x:c r="M1431" s="9" t="n">
        <x:f>ROUND(H1431*(1-I1431),2)</x:f>
        <x:v>21808000</x:v>
      </x:c>
      <x:c r="N1431" s="4" t="str">
        <x:v>Sales manager</x:v>
      </x:c>
      <x:c r="O1431" s="4" t="str">
        <x:v>BOOK-01430</x:v>
      </x:c>
      <x:c r="P1431" s="9" t="n">
        <x:v>21808000</x:v>
      </x:c>
      <x:c r="Q1431" s="11" t="n">
        <x:v>0</x:v>
      </x:c>
      <x:c r="R1431" s="8" t="n">
        <x:v>45413</x:v>
      </x:c>
      <x:c r="S1431" s="4" t="str">
        <x:v>Retained</x:v>
      </x:c>
      <x:c r="T1431" s="10" t="n">
        <x:v>0.351536</x:v>
      </x:c>
      <x:c r="U1431" s="4" t="str">
        <x:v>Train</x:v>
      </x:c>
    </x:row>
    <x:row r="1432" ht="34" customHeight="1">
      <x:c r="A1432" s="4" t="str">
        <x:v>RS-01431</x:v>
      </x:c>
      <x:c r="B1432" s="8" t="n">
        <x:v>45354</x:v>
      </x:c>
      <x:c r="C1432" s="4" t="str">
        <x:v>PRJ-011</x:v>
      </x:c>
      <x:c r="D1432" s="4" t="str">
        <x:v>Villa</x:v>
      </x:c>
      <x:c r="E1432" s="4" t="str">
        <x:v>Reserved</x:v>
      </x:c>
      <x:c r="F1432" s="4" t="str">
        <x:v>CUS-01431</x:v>
      </x:c>
      <x:c r="G1432" s="4" t="str">
        <x:v>UNIT-01431</x:v>
      </x:c>
      <x:c r="H1432" s="9" t="n">
        <x:v>24800000</x:v>
      </x:c>
      <x:c r="I1432" s="10" t="n">
        <x:v>0.05</x:v>
      </x:c>
      <x:c r="J1432" s="11" t="n">
        <x:v>12</x:v>
      </x:c>
      <x:c r="K1432" s="11" t="n">
        <x:v>0</x:v>
      </x:c>
      <x:c r="L1432" s="11" t="n">
        <x:v>0</x:v>
      </x:c>
      <x:c r="M1432" s="9" t="n">
        <x:f>ROUND(H1432*(1-I1432),2)</x:f>
        <x:v>23560000</x:v>
      </x:c>
      <x:c r="N1432" s="4" t="str">
        <x:v>Sales manager</x:v>
      </x:c>
      <x:c r="O1432" s="4"/>
      <x:c r="P1432" s="9" t="n">
        <x:v>0</x:v>
      </x:c>
      <x:c r="Q1432" s="11" t="n">
        <x:v>1</x:v>
      </x:c>
      <x:c r="R1432" s="8" t="n">
        <x:v>45414</x:v>
      </x:c>
      <x:c r="S1432" s="4" t="str">
        <x:v>Lost / cancelled</x:v>
      </x:c>
      <x:c r="T1432" s="10" t="n">
        <x:v>0.351536</x:v>
      </x:c>
      <x:c r="U1432" s="4" t="str">
        <x:v>Train</x:v>
      </x:c>
    </x:row>
    <x:row r="1433" ht="34" customHeight="1">
      <x:c r="A1433" s="4" t="str">
        <x:v>RS-01432</x:v>
      </x:c>
      <x:c r="B1433" s="8" t="n">
        <x:v>45355</x:v>
      </x:c>
      <x:c r="C1433" s="4" t="str">
        <x:v>PRJ-012</x:v>
      </x:c>
      <x:c r="D1433" s="4" t="str">
        <x:v>Villa</x:v>
      </x:c>
      <x:c r="E1433" s="4" t="str">
        <x:v>Agreement signed</x:v>
      </x:c>
      <x:c r="F1433" s="4" t="str">
        <x:v>CUS-01432</x:v>
      </x:c>
      <x:c r="G1433" s="4" t="str">
        <x:v>UNIT-01432</x:v>
      </x:c>
      <x:c r="H1433" s="9" t="n">
        <x:v>24800000</x:v>
      </x:c>
      <x:c r="I1433" s="10" t="n">
        <x:v>0.05</x:v>
      </x:c>
      <x:c r="J1433" s="11" t="n">
        <x:v>12</x:v>
      </x:c>
      <x:c r="K1433" s="11" t="n">
        <x:v>10</x:v>
      </x:c>
      <x:c r="L1433" s="11" t="n">
        <x:v>1</x:v>
      </x:c>
      <x:c r="M1433" s="9" t="n">
        <x:f>ROUND(H1433*(1-I1433),2)</x:f>
        <x:v>23560000</x:v>
      </x:c>
      <x:c r="N1433" s="4" t="str">
        <x:v>Sales manager</x:v>
      </x:c>
      <x:c r="O1433" s="4" t="str">
        <x:v>BOOK-01432</x:v>
      </x:c>
      <x:c r="P1433" s="9" t="n">
        <x:v>5890000</x:v>
      </x:c>
      <x:c r="Q1433" s="11" t="n">
        <x:v>0</x:v>
      </x:c>
      <x:c r="R1433" s="8" t="n">
        <x:v>45415</x:v>
      </x:c>
      <x:c r="S1433" s="4" t="str">
        <x:v>Retained</x:v>
      </x:c>
      <x:c r="T1433" s="10" t="n">
        <x:v>0.351536</x:v>
      </x:c>
      <x:c r="U1433" s="4" t="str">
        <x:v>Train</x:v>
      </x:c>
    </x:row>
    <x:row r="1434" ht="34" customHeight="1">
      <x:c r="A1434" s="4" t="str">
        <x:v>RS-01433</x:v>
      </x:c>
      <x:c r="B1434" s="8" t="n">
        <x:v>45356</x:v>
      </x:c>
      <x:c r="C1434" s="4" t="str">
        <x:v>PRJ-013</x:v>
      </x:c>
      <x:c r="D1434" s="4" t="str">
        <x:v>Villa</x:v>
      </x:c>
      <x:c r="E1434" s="4" t="str">
        <x:v>Reserved</x:v>
      </x:c>
      <x:c r="F1434" s="4" t="str">
        <x:v>CUS-01433</x:v>
      </x:c>
      <x:c r="G1434" s="4" t="str">
        <x:v>UNIT-01433</x:v>
      </x:c>
      <x:c r="H1434" s="9" t="n">
        <x:v>15800000</x:v>
      </x:c>
      <x:c r="I1434" s="10" t="n">
        <x:v>0.05</x:v>
      </x:c>
      <x:c r="J1434" s="11" t="n">
        <x:v>9</x:v>
      </x:c>
      <x:c r="K1434" s="11" t="n">
        <x:v>9</x:v>
      </x:c>
      <x:c r="L1434" s="11" t="n">
        <x:v>1</x:v>
      </x:c>
      <x:c r="M1434" s="9" t="n">
        <x:f>ROUND(H1434*(1-I1434),2)</x:f>
        <x:v>15010000</x:v>
      </x:c>
      <x:c r="N1434" s="4" t="str">
        <x:v>Sales manager</x:v>
      </x:c>
      <x:c r="O1434" s="4"/>
      <x:c r="P1434" s="9" t="n">
        <x:v>0</x:v>
      </x:c>
      <x:c r="Q1434" s="11" t="n">
        <x:v>1</x:v>
      </x:c>
      <x:c r="R1434" s="8" t="n">
        <x:v>45416</x:v>
      </x:c>
      <x:c r="S1434" s="4" t="str">
        <x:v>Lost / cancelled</x:v>
      </x:c>
      <x:c r="T1434" s="10" t="n">
        <x:v>0.310195</x:v>
      </x:c>
      <x:c r="U1434" s="4" t="str">
        <x:v>Train</x:v>
      </x:c>
    </x:row>
    <x:row r="1435" ht="34" customHeight="1">
      <x:c r="A1435" s="4" t="str">
        <x:v>RS-01434</x:v>
      </x:c>
      <x:c r="B1435" s="8" t="n">
        <x:v>45357</x:v>
      </x:c>
      <x:c r="C1435" s="4" t="str">
        <x:v>PRJ-014</x:v>
      </x:c>
      <x:c r="D1435" s="4" t="str">
        <x:v>Villa</x:v>
      </x:c>
      <x:c r="E1435" s="4" t="str">
        <x:v>Enquiry</x:v>
      </x:c>
      <x:c r="F1435" s="4" t="str">
        <x:v>CUS-01434</x:v>
      </x:c>
      <x:c r="G1435" s="4" t="str">
        <x:v>UNIT-01434</x:v>
      </x:c>
      <x:c r="H1435" s="9" t="n">
        <x:v>16900000</x:v>
      </x:c>
      <x:c r="I1435" s="10" t="n">
        <x:v>0.11</x:v>
      </x:c>
      <x:c r="J1435" s="11" t="n">
        <x:v>2</x:v>
      </x:c>
      <x:c r="K1435" s="11" t="n">
        <x:v>6</x:v>
      </x:c>
      <x:c r="L1435" s="11" t="n">
        <x:v>1</x:v>
      </x:c>
      <x:c r="M1435" s="9" t="n">
        <x:f>ROUND(H1435*(1-I1435),2)</x:f>
        <x:v>15041000</x:v>
      </x:c>
      <x:c r="N1435" s="4" t="str">
        <x:v>Sales head</x:v>
      </x:c>
      <x:c r="O1435" s="4"/>
      <x:c r="P1435" s="9" t="n">
        <x:v>0</x:v>
      </x:c>
      <x:c r="Q1435" s="11" t="n">
        <x:v>0</x:v>
      </x:c>
      <x:c r="R1435" s="8" t="n">
        <x:v>45417</x:v>
      </x:c>
      <x:c r="S1435" s="4" t="str">
        <x:v>Retained</x:v>
      </x:c>
      <x:c r="T1435" s="10" t="n">
        <x:v>0.145833</x:v>
      </x:c>
      <x:c r="U1435" s="4" t="str">
        <x:v>Train</x:v>
      </x:c>
    </x:row>
    <x:row r="1436" ht="34" customHeight="1">
      <x:c r="A1436" s="4" t="str">
        <x:v>RS-01435</x:v>
      </x:c>
      <x:c r="B1436" s="8" t="n">
        <x:v>45358</x:v>
      </x:c>
      <x:c r="C1436" s="4" t="str">
        <x:v>PRJ-015</x:v>
      </x:c>
      <x:c r="D1436" s="4" t="str">
        <x:v>Retail</x:v>
      </x:c>
      <x:c r="E1436" s="4" t="str">
        <x:v>Cancelled</x:v>
      </x:c>
      <x:c r="F1436" s="4" t="str">
        <x:v>CUS-01435</x:v>
      </x:c>
      <x:c r="G1436" s="4" t="str">
        <x:v>UNIT-01435</x:v>
      </x:c>
      <x:c r="H1436" s="9" t="n">
        <x:v>21300000</x:v>
      </x:c>
      <x:c r="I1436" s="10" t="n">
        <x:v>0.12</x:v>
      </x:c>
      <x:c r="J1436" s="11" t="n">
        <x:v>4</x:v>
      </x:c>
      <x:c r="K1436" s="11" t="n">
        <x:v>5</x:v>
      </x:c>
      <x:c r="L1436" s="11" t="n">
        <x:v>0</x:v>
      </x:c>
      <x:c r="M1436" s="9" t="n">
        <x:f>ROUND(H1436*(1-I1436),2)</x:f>
        <x:v>18744000</x:v>
      </x:c>
      <x:c r="N1436" s="4" t="str">
        <x:v>Sales head</x:v>
      </x:c>
      <x:c r="O1436" s="4"/>
      <x:c r="P1436" s="9" t="n">
        <x:v>0</x:v>
      </x:c>
      <x:c r="Q1436" s="11" t="n">
        <x:v>1</x:v>
      </x:c>
      <x:c r="R1436" s="8" t="n">
        <x:v>45418</x:v>
      </x:c>
      <x:c r="S1436" s="4" t="str">
        <x:v>Lost / cancelled</x:v>
      </x:c>
      <x:c r="T1436" s="10" t="n">
        <x:v>0.226277</x:v>
      </x:c>
      <x:c r="U1436" s="4" t="str">
        <x:v>Train</x:v>
      </x:c>
    </x:row>
    <x:row r="1437" ht="34" customHeight="1">
      <x:c r="A1437" s="4" t="str">
        <x:v>RS-01436</x:v>
      </x:c>
      <x:c r="B1437" s="8" t="n">
        <x:v>45359</x:v>
      </x:c>
      <x:c r="C1437" s="4" t="str">
        <x:v>PRJ-016</x:v>
      </x:c>
      <x:c r="D1437" s="4" t="str">
        <x:v>Villa</x:v>
      </x:c>
      <x:c r="E1437" s="4" t="str">
        <x:v>Enquiry</x:v>
      </x:c>
      <x:c r="F1437" s="4" t="str">
        <x:v>CUS-01436</x:v>
      </x:c>
      <x:c r="G1437" s="4" t="str">
        <x:v>UNIT-01436</x:v>
      </x:c>
      <x:c r="H1437" s="9" t="n">
        <x:v>16900000</x:v>
      </x:c>
      <x:c r="I1437" s="10" t="n">
        <x:v>0.02</x:v>
      </x:c>
      <x:c r="J1437" s="11" t="n">
        <x:v>8</x:v>
      </x:c>
      <x:c r="K1437" s="11" t="n">
        <x:v>3</x:v>
      </x:c>
      <x:c r="L1437" s="11" t="n">
        <x:v>0</x:v>
      </x:c>
      <x:c r="M1437" s="9" t="n">
        <x:f>ROUND(H1437*(1-I1437),2)</x:f>
        <x:v>16562000</x:v>
      </x:c>
      <x:c r="N1437" s="4" t="str">
        <x:v>Sales manager</x:v>
      </x:c>
      <x:c r="O1437" s="4"/>
      <x:c r="P1437" s="9" t="n">
        <x:v>0</x:v>
      </x:c>
      <x:c r="Q1437" s="11" t="n">
        <x:v>0</x:v>
      </x:c>
      <x:c r="R1437" s="8" t="n">
        <x:v>45419</x:v>
      </x:c>
      <x:c r="S1437" s="4" t="str">
        <x:v>Retained</x:v>
      </x:c>
      <x:c r="T1437" s="10" t="n">
        <x:v>0.305556</x:v>
      </x:c>
      <x:c r="U1437" s="4" t="str">
        <x:v>Train</x:v>
      </x:c>
    </x:row>
    <x:row r="1438" ht="34" customHeight="1">
      <x:c r="A1438" s="4" t="str">
        <x:v>RS-01437</x:v>
      </x:c>
      <x:c r="B1438" s="8" t="n">
        <x:v>45360</x:v>
      </x:c>
      <x:c r="C1438" s="4" t="str">
        <x:v>PRJ-017</x:v>
      </x:c>
      <x:c r="D1438" s="4" t="str">
        <x:v>Villa</x:v>
      </x:c>
      <x:c r="E1438" s="4" t="str">
        <x:v>Enquiry</x:v>
      </x:c>
      <x:c r="F1438" s="4" t="str">
        <x:v>CUS-01437</x:v>
      </x:c>
      <x:c r="G1438" s="4" t="str">
        <x:v>UNIT-01437</x:v>
      </x:c>
      <x:c r="H1438" s="9" t="n">
        <x:v>5300000</x:v>
      </x:c>
      <x:c r="I1438" s="10" t="n">
        <x:v>0.09</x:v>
      </x:c>
      <x:c r="J1438" s="11" t="n">
        <x:v>3</x:v>
      </x:c>
      <x:c r="K1438" s="11" t="n">
        <x:v>5</x:v>
      </x:c>
      <x:c r="L1438" s="11" t="n">
        <x:v>1</x:v>
      </x:c>
      <x:c r="M1438" s="9" t="n">
        <x:f>ROUND(H1438*(1-I1438),2)</x:f>
        <x:v>4823000</x:v>
      </x:c>
      <x:c r="N1438" s="4" t="str">
        <x:v>Sales head</x:v>
      </x:c>
      <x:c r="O1438" s="4"/>
      <x:c r="P1438" s="9" t="n">
        <x:v>0</x:v>
      </x:c>
      <x:c r="Q1438" s="11" t="n">
        <x:v>0</x:v>
      </x:c>
      <x:c r="R1438" s="8" t="n">
        <x:v>45420</x:v>
      </x:c>
      <x:c r="S1438" s="4" t="str">
        <x:v>Retained</x:v>
      </x:c>
      <x:c r="T1438" s="10" t="n">
        <x:v>0.145833</x:v>
      </x:c>
      <x:c r="U1438" s="4" t="str">
        <x:v>Train</x:v>
      </x:c>
    </x:row>
    <x:row r="1439" ht="34" customHeight="1">
      <x:c r="A1439" s="4" t="str">
        <x:v>RS-01438</x:v>
      </x:c>
      <x:c r="B1439" s="8" t="n">
        <x:v>45361</x:v>
      </x:c>
      <x:c r="C1439" s="4" t="str">
        <x:v>PRJ-018</x:v>
      </x:c>
      <x:c r="D1439" s="4" t="str">
        <x:v>Office</x:v>
      </x:c>
      <x:c r="E1439" s="4" t="str">
        <x:v>Reserved</x:v>
      </x:c>
      <x:c r="F1439" s="4" t="str">
        <x:v>CUS-01438</x:v>
      </x:c>
      <x:c r="G1439" s="4" t="str">
        <x:v>UNIT-01438</x:v>
      </x:c>
      <x:c r="H1439" s="9" t="n">
        <x:v>14700000</x:v>
      </x:c>
      <x:c r="I1439" s="10" t="n">
        <x:v>0.06</x:v>
      </x:c>
      <x:c r="J1439" s="11" t="n">
        <x:v>4</x:v>
      </x:c>
      <x:c r="K1439" s="11" t="n">
        <x:v>9</x:v>
      </x:c>
      <x:c r="L1439" s="11" t="n">
        <x:v>1</x:v>
      </x:c>
      <x:c r="M1439" s="9" t="n">
        <x:f>ROUND(H1439*(1-I1439),2)</x:f>
        <x:v>13818000</x:v>
      </x:c>
      <x:c r="N1439" s="4" t="str">
        <x:v>Sales manager</x:v>
      </x:c>
      <x:c r="O1439" s="4"/>
      <x:c r="P1439" s="9" t="n">
        <x:v>0</x:v>
      </x:c>
      <x:c r="Q1439" s="11" t="n">
        <x:v>0</x:v>
      </x:c>
      <x:c r="R1439" s="8" t="n">
        <x:v>45421</x:v>
      </x:c>
      <x:c r="S1439" s="4" t="str">
        <x:v>Retained</x:v>
      </x:c>
      <x:c r="T1439" s="10" t="n">
        <x:v>0.291946</x:v>
      </x:c>
      <x:c r="U1439" s="4" t="str">
        <x:v>Train</x:v>
      </x:c>
    </x:row>
    <x:row r="1440" ht="34" customHeight="1">
      <x:c r="A1440" s="4" t="str">
        <x:v>RS-01439</x:v>
      </x:c>
      <x:c r="B1440" s="8" t="n">
        <x:v>45362</x:v>
      </x:c>
      <x:c r="C1440" s="4" t="str">
        <x:v>PRJ-019</x:v>
      </x:c>
      <x:c r="D1440" s="4" t="str">
        <x:v>Villa</x:v>
      </x:c>
      <x:c r="E1440" s="4" t="str">
        <x:v>Cancelled</x:v>
      </x:c>
      <x:c r="F1440" s="4" t="str">
        <x:v>CUS-01439</x:v>
      </x:c>
      <x:c r="G1440" s="4" t="str">
        <x:v>UNIT-01439</x:v>
      </x:c>
      <x:c r="H1440" s="9" t="n">
        <x:v>18500000</x:v>
      </x:c>
      <x:c r="I1440" s="10" t="n">
        <x:v>0.11</x:v>
      </x:c>
      <x:c r="J1440" s="11" t="n">
        <x:v>6</x:v>
      </x:c>
      <x:c r="K1440" s="11" t="n">
        <x:v>4</x:v>
      </x:c>
      <x:c r="L1440" s="11" t="n">
        <x:v>0</x:v>
      </x:c>
      <x:c r="M1440" s="9" t="n">
        <x:f>ROUND(H1440*(1-I1440),2)</x:f>
        <x:v>16465000</x:v>
      </x:c>
      <x:c r="N1440" s="4" t="str">
        <x:v>Sales head</x:v>
      </x:c>
      <x:c r="O1440" s="4"/>
      <x:c r="P1440" s="9" t="n">
        <x:v>0</x:v>
      </x:c>
      <x:c r="Q1440" s="11" t="n">
        <x:v>1</x:v>
      </x:c>
      <x:c r="R1440" s="8" t="n">
        <x:v>45422</x:v>
      </x:c>
      <x:c r="S1440" s="4" t="str">
        <x:v>Lost / cancelled</x:v>
      </x:c>
      <x:c r="T1440" s="10" t="n">
        <x:v>0.226277</x:v>
      </x:c>
      <x:c r="U1440" s="4" t="str">
        <x:v>Train</x:v>
      </x:c>
    </x:row>
    <x:row r="1441" ht="34" customHeight="1">
      <x:c r="A1441" s="4" t="str">
        <x:v>RS-01440</x:v>
      </x:c>
      <x:c r="B1441" s="8" t="n">
        <x:v>45363</x:v>
      </x:c>
      <x:c r="C1441" s="4" t="str">
        <x:v>PRJ-020</x:v>
      </x:c>
      <x:c r="D1441" s="4" t="str">
        <x:v>Apartment</x:v>
      </x:c>
      <x:c r="E1441" s="4" t="str">
        <x:v>Booked</x:v>
      </x:c>
      <x:c r="F1441" s="4" t="str">
        <x:v>CUS-01440</x:v>
      </x:c>
      <x:c r="G1441" s="4" t="str">
        <x:v>UNIT-01440</x:v>
      </x:c>
      <x:c r="H1441" s="9" t="n">
        <x:v>19400000</x:v>
      </x:c>
      <x:c r="I1441" s="10" t="n">
        <x:v>0.07</x:v>
      </x:c>
      <x:c r="J1441" s="11" t="n">
        <x:v>5</x:v>
      </x:c>
      <x:c r="K1441" s="11" t="n">
        <x:v>4</x:v>
      </x:c>
      <x:c r="L1441" s="11" t="n">
        <x:v>0</x:v>
      </x:c>
      <x:c r="M1441" s="9" t="n">
        <x:f>ROUND(H1441*(1-I1441),2)</x:f>
        <x:v>18042000</x:v>
      </x:c>
      <x:c r="N1441" s="4" t="str">
        <x:v>Sales manager</x:v>
      </x:c>
      <x:c r="O1441" s="4" t="str">
        <x:v>BOOK-01440</x:v>
      </x:c>
      <x:c r="P1441" s="9" t="n">
        <x:v>9021000</x:v>
      </x:c>
      <x:c r="Q1441" s="11" t="n">
        <x:v>0</x:v>
      </x:c>
      <x:c r="R1441" s="8" t="n">
        <x:v>45423</x:v>
      </x:c>
      <x:c r="S1441" s="4" t="str">
        <x:v>Retained</x:v>
      </x:c>
      <x:c r="T1441" s="10" t="n">
        <x:v>0.226277</x:v>
      </x:c>
      <x:c r="U1441" s="4" t="str">
        <x:v>Train</x:v>
      </x:c>
    </x:row>
    <x:row r="1442" ht="34" customHeight="1">
      <x:c r="A1442" s="4" t="str">
        <x:v>RS-01441</x:v>
      </x:c>
      <x:c r="B1442" s="8" t="n">
        <x:v>45364</x:v>
      </x:c>
      <x:c r="C1442" s="4" t="str">
        <x:v>PRJ-001</x:v>
      </x:c>
      <x:c r="D1442" s="4" t="str">
        <x:v>Office</x:v>
      </x:c>
      <x:c r="E1442" s="4" t="str">
        <x:v>Enquiry</x:v>
      </x:c>
      <x:c r="F1442" s="4" t="str">
        <x:v>CUS-01441</x:v>
      </x:c>
      <x:c r="G1442" s="4" t="str">
        <x:v>UNIT-01441</x:v>
      </x:c>
      <x:c r="H1442" s="9" t="n">
        <x:v>15000000</x:v>
      </x:c>
      <x:c r="I1442" s="10" t="n">
        <x:v>0.05</x:v>
      </x:c>
      <x:c r="J1442" s="11" t="n">
        <x:v>8</x:v>
      </x:c>
      <x:c r="K1442" s="11" t="n">
        <x:v>7</x:v>
      </x:c>
      <x:c r="L1442" s="11" t="n">
        <x:v>0</x:v>
      </x:c>
      <x:c r="M1442" s="9" t="n">
        <x:f>ROUND(H1442*(1-I1442),2)</x:f>
        <x:v>14250000</x:v>
      </x:c>
      <x:c r="N1442" s="4" t="str">
        <x:v>Sales manager</x:v>
      </x:c>
      <x:c r="O1442" s="4"/>
      <x:c r="P1442" s="9" t="n">
        <x:v>0</x:v>
      </x:c>
      <x:c r="Q1442" s="11" t="n">
        <x:v>1</x:v>
      </x:c>
      <x:c r="R1442" s="8" t="n">
        <x:v>45424</x:v>
      </x:c>
      <x:c r="S1442" s="4" t="str">
        <x:v>Lost / cancelled</x:v>
      </x:c>
      <x:c r="T1442" s="10" t="n">
        <x:v>0.310195</x:v>
      </x:c>
      <x:c r="U1442" s="4" t="str">
        <x:v>Train</x:v>
      </x:c>
    </x:row>
    <x:row r="1443" ht="34" customHeight="1">
      <x:c r="A1443" s="4" t="str">
        <x:v>RS-01442</x:v>
      </x:c>
      <x:c r="B1443" s="8" t="n">
        <x:v>45365</x:v>
      </x:c>
      <x:c r="C1443" s="4" t="str">
        <x:v>PRJ-002</x:v>
      </x:c>
      <x:c r="D1443" s="4" t="str">
        <x:v>Villa</x:v>
      </x:c>
      <x:c r="E1443" s="4" t="str">
        <x:v>Booked</x:v>
      </x:c>
      <x:c r="F1443" s="4" t="str">
        <x:v>CUS-01442</x:v>
      </x:c>
      <x:c r="G1443" s="4" t="str">
        <x:v>UNIT-01442</x:v>
      </x:c>
      <x:c r="H1443" s="9" t="n">
        <x:v>24700000</x:v>
      </x:c>
      <x:c r="I1443" s="10" t="n">
        <x:v>0.01</x:v>
      </x:c>
      <x:c r="J1443" s="11" t="n">
        <x:v>11</x:v>
      </x:c>
      <x:c r="K1443" s="11" t="n">
        <x:v>5</x:v>
      </x:c>
      <x:c r="L1443" s="11" t="n">
        <x:v>1</x:v>
      </x:c>
      <x:c r="M1443" s="9" t="n">
        <x:f>ROUND(H1443*(1-I1443),2)</x:f>
        <x:v>24453000</x:v>
      </x:c>
      <x:c r="N1443" s="4" t="str">
        <x:v>Sales manager</x:v>
      </x:c>
      <x:c r="O1443" s="4" t="str">
        <x:v>BOOK-01442</x:v>
      </x:c>
      <x:c r="P1443" s="9" t="n">
        <x:v>2445300</x:v>
      </x:c>
      <x:c r="Q1443" s="11" t="n">
        <x:v>0</x:v>
      </x:c>
      <x:c r="R1443" s="8" t="n">
        <x:v>45425</x:v>
      </x:c>
      <x:c r="S1443" s="4" t="str">
        <x:v>Retained</x:v>
      </x:c>
      <x:c r="T1443" s="10" t="n">
        <x:v>0.254545</x:v>
      </x:c>
      <x:c r="U1443" s="4" t="str">
        <x:v>Train</x:v>
      </x:c>
    </x:row>
    <x:row r="1444" ht="34" customHeight="1">
      <x:c r="A1444" s="4" t="str">
        <x:v>RS-01443</x:v>
      </x:c>
      <x:c r="B1444" s="8" t="n">
        <x:v>45366</x:v>
      </x:c>
      <x:c r="C1444" s="4" t="str">
        <x:v>PRJ-003</x:v>
      </x:c>
      <x:c r="D1444" s="4" t="str">
        <x:v>Office</x:v>
      </x:c>
      <x:c r="E1444" s="4" t="str">
        <x:v>Booked</x:v>
      </x:c>
      <x:c r="F1444" s="4" t="str">
        <x:v>CUS-01443</x:v>
      </x:c>
      <x:c r="G1444" s="4" t="str">
        <x:v>UNIT-01443</x:v>
      </x:c>
      <x:c r="H1444" s="9" t="n">
        <x:v>22500000</x:v>
      </x:c>
      <x:c r="I1444" s="10" t="n">
        <x:v>0</x:v>
      </x:c>
      <x:c r="J1444" s="11" t="n">
        <x:v>8</x:v>
      </x:c>
      <x:c r="K1444" s="11" t="n">
        <x:v>1</x:v>
      </x:c>
      <x:c r="L1444" s="11" t="n">
        <x:v>0</x:v>
      </x:c>
      <x:c r="M1444" s="9" t="n">
        <x:f>ROUND(H1444*(1-I1444),2)</x:f>
        <x:v>22500000</x:v>
      </x:c>
      <x:c r="N1444" s="4" t="str">
        <x:v>Sales manager</x:v>
      </x:c>
      <x:c r="O1444" s="4" t="str">
        <x:v>BOOK-01443</x:v>
      </x:c>
      <x:c r="P1444" s="9" t="n">
        <x:v>5625000</x:v>
      </x:c>
      <x:c r="Q1444" s="11" t="n">
        <x:v>0</x:v>
      </x:c>
      <x:c r="R1444" s="8" t="n">
        <x:v>45426</x:v>
      </x:c>
      <x:c r="S1444" s="4" t="str">
        <x:v>Retained</x:v>
      </x:c>
      <x:c r="T1444" s="10" t="n">
        <x:v>0.305556</x:v>
      </x:c>
      <x:c r="U1444" s="4" t="str">
        <x:v>Train</x:v>
      </x:c>
    </x:row>
    <x:row r="1445" ht="34" customHeight="1">
      <x:c r="A1445" s="4" t="str">
        <x:v>RS-01444</x:v>
      </x:c>
      <x:c r="B1445" s="8" t="n">
        <x:v>45367</x:v>
      </x:c>
      <x:c r="C1445" s="4" t="str">
        <x:v>PRJ-004</x:v>
      </x:c>
      <x:c r="D1445" s="4" t="str">
        <x:v>Villa</x:v>
      </x:c>
      <x:c r="E1445" s="4" t="str">
        <x:v>Agreement signed</x:v>
      </x:c>
      <x:c r="F1445" s="4" t="str">
        <x:v>CUS-01444</x:v>
      </x:c>
      <x:c r="G1445" s="4" t="str">
        <x:v>UNIT-01444</x:v>
      </x:c>
      <x:c r="H1445" s="9" t="n">
        <x:v>3400000</x:v>
      </x:c>
      <x:c r="I1445" s="10" t="n">
        <x:v>0.12</x:v>
      </x:c>
      <x:c r="J1445" s="11" t="n">
        <x:v>2</x:v>
      </x:c>
      <x:c r="K1445" s="11" t="n">
        <x:v>0</x:v>
      </x:c>
      <x:c r="L1445" s="11" t="n">
        <x:v>0</x:v>
      </x:c>
      <x:c r="M1445" s="9" t="n">
        <x:f>ROUND(H1445*(1-I1445),2)</x:f>
        <x:v>2992000</x:v>
      </x:c>
      <x:c r="N1445" s="4" t="str">
        <x:v>Sales head</x:v>
      </x:c>
      <x:c r="O1445" s="4" t="str">
        <x:v>BOOK-01444</x:v>
      </x:c>
      <x:c r="P1445" s="9" t="n">
        <x:v>2992000</x:v>
      </x:c>
      <x:c r="Q1445" s="11" t="n">
        <x:v>0</x:v>
      </x:c>
      <x:c r="R1445" s="8" t="n">
        <x:v>45427</x:v>
      </x:c>
      <x:c r="S1445" s="4" t="str">
        <x:v>Retained</x:v>
      </x:c>
      <x:c r="T1445" s="10" t="n">
        <x:v>0.276923</x:v>
      </x:c>
      <x:c r="U1445" s="4" t="str">
        <x:v>Train</x:v>
      </x:c>
    </x:row>
    <x:row r="1446" ht="34" customHeight="1">
      <x:c r="A1446" s="4" t="str">
        <x:v>RS-01445</x:v>
      </x:c>
      <x:c r="B1446" s="8" t="n">
        <x:v>45368</x:v>
      </x:c>
      <x:c r="C1446" s="4" t="str">
        <x:v>PRJ-005</x:v>
      </x:c>
      <x:c r="D1446" s="4" t="str">
        <x:v>Retail</x:v>
      </x:c>
      <x:c r="E1446" s="4" t="str">
        <x:v>Reserved</x:v>
      </x:c>
      <x:c r="F1446" s="4" t="str">
        <x:v>CUS-01445</x:v>
      </x:c>
      <x:c r="G1446" s="4" t="str">
        <x:v>UNIT-01445</x:v>
      </x:c>
      <x:c r="H1446" s="9" t="n">
        <x:v>12800000</x:v>
      </x:c>
      <x:c r="I1446" s="10" t="n">
        <x:v>0.09</x:v>
      </x:c>
      <x:c r="J1446" s="11" t="n">
        <x:v>10</x:v>
      </x:c>
      <x:c r="K1446" s="11" t="n">
        <x:v>0</x:v>
      </x:c>
      <x:c r="L1446" s="11" t="n">
        <x:v>1</x:v>
      </x:c>
      <x:c r="M1446" s="9" t="n">
        <x:f>ROUND(H1446*(1-I1446),2)</x:f>
        <x:v>11648000</x:v>
      </x:c>
      <x:c r="N1446" s="4" t="str">
        <x:v>Sales head</x:v>
      </x:c>
      <x:c r="O1446" s="4"/>
      <x:c r="P1446" s="9" t="n">
        <x:v>0</x:v>
      </x:c>
      <x:c r="Q1446" s="11" t="n">
        <x:v>1</x:v>
      </x:c>
      <x:c r="R1446" s="8" t="n">
        <x:v>45428</x:v>
      </x:c>
      <x:c r="S1446" s="4" t="str">
        <x:v>Lost / cancelled</x:v>
      </x:c>
      <x:c r="T1446" s="10" t="n">
        <x:v>0.310195</x:v>
      </x:c>
      <x:c r="U1446" s="4" t="str">
        <x:v>Train</x:v>
      </x:c>
    </x:row>
    <x:row r="1447" ht="34" customHeight="1">
      <x:c r="A1447" s="4" t="str">
        <x:v>RS-01446</x:v>
      </x:c>
      <x:c r="B1447" s="8" t="n">
        <x:v>45369</x:v>
      </x:c>
      <x:c r="C1447" s="4" t="str">
        <x:v>PRJ-006</x:v>
      </x:c>
      <x:c r="D1447" s="4" t="str">
        <x:v>Villa</x:v>
      </x:c>
      <x:c r="E1447" s="4" t="str">
        <x:v>Agreement signed</x:v>
      </x:c>
      <x:c r="F1447" s="4" t="str">
        <x:v>CUS-01446</x:v>
      </x:c>
      <x:c r="G1447" s="4" t="str">
        <x:v>UNIT-01446</x:v>
      </x:c>
      <x:c r="H1447" s="9" t="n">
        <x:v>10000000</x:v>
      </x:c>
      <x:c r="I1447" s="10" t="n">
        <x:v>0.05</x:v>
      </x:c>
      <x:c r="J1447" s="11" t="n">
        <x:v>2</x:v>
      </x:c>
      <x:c r="K1447" s="11" t="n">
        <x:v>10</x:v>
      </x:c>
      <x:c r="L1447" s="11" t="n">
        <x:v>0</x:v>
      </x:c>
      <x:c r="M1447" s="9" t="n">
        <x:f>ROUND(H1447*(1-I1447),2)</x:f>
        <x:v>9500000</x:v>
      </x:c>
      <x:c r="N1447" s="4" t="str">
        <x:v>Sales manager</x:v>
      </x:c>
      <x:c r="O1447" s="4" t="str">
        <x:v>BOOK-01446</x:v>
      </x:c>
      <x:c r="P1447" s="9" t="n">
        <x:v>4750000</x:v>
      </x:c>
      <x:c r="Q1447" s="11" t="n">
        <x:v>0</x:v>
      </x:c>
      <x:c r="R1447" s="8" t="n">
        <x:v>45429</x:v>
      </x:c>
      <x:c r="S1447" s="4" t="str">
        <x:v>Retained</x:v>
      </x:c>
      <x:c r="T1447" s="10" t="n">
        <x:v>0.204152</x:v>
      </x:c>
      <x:c r="U1447" s="4" t="str">
        <x:v>Train</x:v>
      </x:c>
    </x:row>
    <x:row r="1448" ht="34" customHeight="1">
      <x:c r="A1448" s="4" t="str">
        <x:v>RS-01447</x:v>
      </x:c>
      <x:c r="B1448" s="8" t="n">
        <x:v>45370</x:v>
      </x:c>
      <x:c r="C1448" s="4" t="str">
        <x:v>PRJ-007</x:v>
      </x:c>
      <x:c r="D1448" s="4" t="str">
        <x:v>Apartment</x:v>
      </x:c>
      <x:c r="E1448" s="4" t="str">
        <x:v>Enquiry</x:v>
      </x:c>
      <x:c r="F1448" s="4" t="str">
        <x:v>CUS-01447</x:v>
      </x:c>
      <x:c r="G1448" s="4" t="str">
        <x:v>UNIT-01447</x:v>
      </x:c>
      <x:c r="H1448" s="9" t="n">
        <x:v>7100000</x:v>
      </x:c>
      <x:c r="I1448" s="10" t="n">
        <x:v>0.12</x:v>
      </x:c>
      <x:c r="J1448" s="11" t="n">
        <x:v>11</x:v>
      </x:c>
      <x:c r="K1448" s="11" t="n">
        <x:v>1</x:v>
      </x:c>
      <x:c r="L1448" s="11" t="n">
        <x:v>1</x:v>
      </x:c>
      <x:c r="M1448" s="9" t="n">
        <x:f>ROUND(H1448*(1-I1448),2)</x:f>
        <x:v>6248000</x:v>
      </x:c>
      <x:c r="N1448" s="4" t="str">
        <x:v>Sales head</x:v>
      </x:c>
      <x:c r="O1448" s="4"/>
      <x:c r="P1448" s="9" t="n">
        <x:v>0</x:v>
      </x:c>
      <x:c r="Q1448" s="11" t="n">
        <x:v>1</x:v>
      </x:c>
      <x:c r="R1448" s="8" t="n">
        <x:v>45430</x:v>
      </x:c>
      <x:c r="S1448" s="4" t="str">
        <x:v>Lost / cancelled</x:v>
      </x:c>
      <x:c r="T1448" s="10" t="n">
        <x:v>0.351536</x:v>
      </x:c>
      <x:c r="U1448" s="4" t="str">
        <x:v>Train</x:v>
      </x:c>
    </x:row>
    <x:row r="1449" ht="34" customHeight="1">
      <x:c r="A1449" s="4" t="str">
        <x:v>RS-01448</x:v>
      </x:c>
      <x:c r="B1449" s="8" t="n">
        <x:v>45371</x:v>
      </x:c>
      <x:c r="C1449" s="4" t="str">
        <x:v>PRJ-008</x:v>
      </x:c>
      <x:c r="D1449" s="4" t="str">
        <x:v>Office</x:v>
      </x:c>
      <x:c r="E1449" s="4" t="str">
        <x:v>Enquiry</x:v>
      </x:c>
      <x:c r="F1449" s="4" t="str">
        <x:v>CUS-01448</x:v>
      </x:c>
      <x:c r="G1449" s="4" t="str">
        <x:v>UNIT-01448</x:v>
      </x:c>
      <x:c r="H1449" s="9" t="n">
        <x:v>10000000</x:v>
      </x:c>
      <x:c r="I1449" s="10" t="n">
        <x:v>0.07</x:v>
      </x:c>
      <x:c r="J1449" s="11" t="n">
        <x:v>11</x:v>
      </x:c>
      <x:c r="K1449" s="11" t="n">
        <x:v>2</x:v>
      </x:c>
      <x:c r="L1449" s="11" t="n">
        <x:v>0</x:v>
      </x:c>
      <x:c r="M1449" s="9" t="n">
        <x:f>ROUND(H1449*(1-I1449),2)</x:f>
        <x:v>9300000</x:v>
      </x:c>
      <x:c r="N1449" s="4" t="str">
        <x:v>Sales manager</x:v>
      </x:c>
      <x:c r="O1449" s="4"/>
      <x:c r="P1449" s="9" t="n">
        <x:v>0</x:v>
      </x:c>
      <x:c r="Q1449" s="11" t="n">
        <x:v>0</x:v>
      </x:c>
      <x:c r="R1449" s="8" t="n">
        <x:v>45431</x:v>
      </x:c>
      <x:c r="S1449" s="4" t="str">
        <x:v>Retained</x:v>
      </x:c>
      <x:c r="T1449" s="10" t="n">
        <x:v>0.351536</x:v>
      </x:c>
      <x:c r="U1449" s="4" t="str">
        <x:v>Train</x:v>
      </x:c>
    </x:row>
    <x:row r="1450" ht="34" customHeight="1">
      <x:c r="A1450" s="4" t="str">
        <x:v>RS-01449</x:v>
      </x:c>
      <x:c r="B1450" s="8" t="n">
        <x:v>45372</x:v>
      </x:c>
      <x:c r="C1450" s="4" t="str">
        <x:v>PRJ-009</x:v>
      </x:c>
      <x:c r="D1450" s="4" t="str">
        <x:v>Apartment</x:v>
      </x:c>
      <x:c r="E1450" s="4" t="str">
        <x:v>Booked</x:v>
      </x:c>
      <x:c r="F1450" s="4" t="str">
        <x:v>CUS-01449</x:v>
      </x:c>
      <x:c r="G1450" s="4" t="str">
        <x:v>UNIT-01449</x:v>
      </x:c>
      <x:c r="H1450" s="9" t="n">
        <x:v>24300000</x:v>
      </x:c>
      <x:c r="I1450" s="10" t="n">
        <x:v>0.09</x:v>
      </x:c>
      <x:c r="J1450" s="11" t="n">
        <x:v>4</x:v>
      </x:c>
      <x:c r="K1450" s="11" t="n">
        <x:v>8</x:v>
      </x:c>
      <x:c r="L1450" s="11" t="n">
        <x:v>1</x:v>
      </x:c>
      <x:c r="M1450" s="9" t="n">
        <x:f>ROUND(H1450*(1-I1450),2)</x:f>
        <x:v>22113000</x:v>
      </x:c>
      <x:c r="N1450" s="4" t="str">
        <x:v>Sales head</x:v>
      </x:c>
      <x:c r="O1450" s="4" t="str">
        <x:v>BOOK-01449</x:v>
      </x:c>
      <x:c r="P1450" s="9" t="n">
        <x:v>22113000</x:v>
      </x:c>
      <x:c r="Q1450" s="11" t="n">
        <x:v>0</x:v>
      </x:c>
      <x:c r="R1450" s="8" t="n">
        <x:v>45432</x:v>
      </x:c>
      <x:c r="S1450" s="4" t="str">
        <x:v>Retained</x:v>
      </x:c>
      <x:c r="T1450" s="10" t="n">
        <x:v>0.291946</x:v>
      </x:c>
      <x:c r="U1450" s="4" t="str">
        <x:v>Train</x:v>
      </x:c>
    </x:row>
    <x:row r="1451" ht="34" customHeight="1">
      <x:c r="A1451" s="4" t="str">
        <x:v>RS-01450</x:v>
      </x:c>
      <x:c r="B1451" s="8" t="n">
        <x:v>45373</x:v>
      </x:c>
      <x:c r="C1451" s="4" t="str">
        <x:v>PRJ-010</x:v>
      </x:c>
      <x:c r="D1451" s="4" t="str">
        <x:v>Apartment</x:v>
      </x:c>
      <x:c r="E1451" s="4" t="str">
        <x:v>Enquiry</x:v>
      </x:c>
      <x:c r="F1451" s="4" t="str">
        <x:v>CUS-01450</x:v>
      </x:c>
      <x:c r="G1451" s="4" t="str">
        <x:v>UNIT-01450</x:v>
      </x:c>
      <x:c r="H1451" s="9" t="n">
        <x:v>14800000</x:v>
      </x:c>
      <x:c r="I1451" s="10" t="n">
        <x:v>0.09</x:v>
      </x:c>
      <x:c r="J1451" s="11" t="n">
        <x:v>12</x:v>
      </x:c>
      <x:c r="K1451" s="11" t="n">
        <x:v>2</x:v>
      </x:c>
      <x:c r="L1451" s="11" t="n">
        <x:v>0</x:v>
      </x:c>
      <x:c r="M1451" s="9" t="n">
        <x:f>ROUND(H1451*(1-I1451),2)</x:f>
        <x:v>13468000</x:v>
      </x:c>
      <x:c r="N1451" s="4" t="str">
        <x:v>Sales head</x:v>
      </x:c>
      <x:c r="O1451" s="4"/>
      <x:c r="P1451" s="9" t="n">
        <x:v>0</x:v>
      </x:c>
      <x:c r="Q1451" s="11" t="n">
        <x:v>1</x:v>
      </x:c>
      <x:c r="R1451" s="8" t="n">
        <x:v>45433</x:v>
      </x:c>
      <x:c r="S1451" s="4" t="str">
        <x:v>Lost / cancelled</x:v>
      </x:c>
      <x:c r="T1451" s="10" t="n">
        <x:v>0.351536</x:v>
      </x:c>
      <x:c r="U1451" s="4" t="str">
        <x:v>Train</x:v>
      </x:c>
    </x:row>
    <x:row r="1452" ht="34" customHeight="1">
      <x:c r="A1452" s="4" t="str">
        <x:v>RS-01451</x:v>
      </x:c>
      <x:c r="B1452" s="8" t="n">
        <x:v>45374</x:v>
      </x:c>
      <x:c r="C1452" s="4" t="str">
        <x:v>PRJ-011</x:v>
      </x:c>
      <x:c r="D1452" s="4" t="str">
        <x:v>Villa</x:v>
      </x:c>
      <x:c r="E1452" s="4" t="str">
        <x:v>Enquiry</x:v>
      </x:c>
      <x:c r="F1452" s="4" t="str">
        <x:v>CUS-01451</x:v>
      </x:c>
      <x:c r="G1452" s="4" t="str">
        <x:v>UNIT-01451</x:v>
      </x:c>
      <x:c r="H1452" s="9" t="n">
        <x:v>17000000</x:v>
      </x:c>
      <x:c r="I1452" s="10" t="n">
        <x:v>0.07</x:v>
      </x:c>
      <x:c r="J1452" s="11" t="n">
        <x:v>4</x:v>
      </x:c>
      <x:c r="K1452" s="11" t="n">
        <x:v>3</x:v>
      </x:c>
      <x:c r="L1452" s="11" t="n">
        <x:v>0</x:v>
      </x:c>
      <x:c r="M1452" s="9" t="n">
        <x:f>ROUND(H1452*(1-I1452),2)</x:f>
        <x:v>15810000</x:v>
      </x:c>
      <x:c r="N1452" s="4" t="str">
        <x:v>Sales manager</x:v>
      </x:c>
      <x:c r="O1452" s="4"/>
      <x:c r="P1452" s="9" t="n">
        <x:v>0</x:v>
      </x:c>
      <x:c r="Q1452" s="11" t="n">
        <x:v>0</x:v>
      </x:c>
      <x:c r="R1452" s="8" t="n">
        <x:v>45434</x:v>
      </x:c>
      <x:c r="S1452" s="4" t="str">
        <x:v>Retained</x:v>
      </x:c>
      <x:c r="T1452" s="10" t="n">
        <x:v>0.226277</x:v>
      </x:c>
      <x:c r="U1452" s="4" t="str">
        <x:v>Train</x:v>
      </x:c>
    </x:row>
    <x:row r="1453" ht="34" customHeight="1">
      <x:c r="A1453" s="4" t="str">
        <x:v>RS-01452</x:v>
      </x:c>
      <x:c r="B1453" s="8" t="n">
        <x:v>45375</x:v>
      </x:c>
      <x:c r="C1453" s="4" t="str">
        <x:v>PRJ-012</x:v>
      </x:c>
      <x:c r="D1453" s="4" t="str">
        <x:v>Office</x:v>
      </x:c>
      <x:c r="E1453" s="4" t="str">
        <x:v>Booked</x:v>
      </x:c>
      <x:c r="F1453" s="4" t="str">
        <x:v>CUS-01452</x:v>
      </x:c>
      <x:c r="G1453" s="4" t="str">
        <x:v>UNIT-01452</x:v>
      </x:c>
      <x:c r="H1453" s="9" t="n">
        <x:v>8400000</x:v>
      </x:c>
      <x:c r="I1453" s="10" t="n">
        <x:v>0.01</x:v>
      </x:c>
      <x:c r="J1453" s="11" t="n">
        <x:v>11</x:v>
      </x:c>
      <x:c r="K1453" s="11" t="n">
        <x:v>1</x:v>
      </x:c>
      <x:c r="L1453" s="11" t="n">
        <x:v>0</x:v>
      </x:c>
      <x:c r="M1453" s="9" t="n">
        <x:f>ROUND(H1453*(1-I1453),2)</x:f>
        <x:v>8316000</x:v>
      </x:c>
      <x:c r="N1453" s="4" t="str">
        <x:v>Sales manager</x:v>
      </x:c>
      <x:c r="O1453" s="4" t="str">
        <x:v>BOOK-01452</x:v>
      </x:c>
      <x:c r="P1453" s="9" t="n">
        <x:v>8316000</x:v>
      </x:c>
      <x:c r="Q1453" s="11" t="n">
        <x:v>0</x:v>
      </x:c>
      <x:c r="R1453" s="8" t="n">
        <x:v>45435</x:v>
      </x:c>
      <x:c r="S1453" s="4" t="str">
        <x:v>Retained</x:v>
      </x:c>
      <x:c r="T1453" s="10" t="n">
        <x:v>0.305556</x:v>
      </x:c>
      <x:c r="U1453" s="4" t="str">
        <x:v>Train</x:v>
      </x:c>
    </x:row>
    <x:row r="1454" ht="34" customHeight="1">
      <x:c r="A1454" s="4" t="str">
        <x:v>RS-01453</x:v>
      </x:c>
      <x:c r="B1454" s="8" t="n">
        <x:v>45376</x:v>
      </x:c>
      <x:c r="C1454" s="4" t="str">
        <x:v>PRJ-013</x:v>
      </x:c>
      <x:c r="D1454" s="4" t="str">
        <x:v>Office</x:v>
      </x:c>
      <x:c r="E1454" s="4" t="str">
        <x:v>Agreement signed</x:v>
      </x:c>
      <x:c r="F1454" s="4" t="str">
        <x:v>CUS-01453</x:v>
      </x:c>
      <x:c r="G1454" s="4" t="str">
        <x:v>UNIT-01453</x:v>
      </x:c>
      <x:c r="H1454" s="9" t="n">
        <x:v>19500000</x:v>
      </x:c>
      <x:c r="I1454" s="10" t="n">
        <x:v>0.06</x:v>
      </x:c>
      <x:c r="J1454" s="11" t="n">
        <x:v>4</x:v>
      </x:c>
      <x:c r="K1454" s="11" t="n">
        <x:v>0</x:v>
      </x:c>
      <x:c r="L1454" s="11" t="n">
        <x:v>1</x:v>
      </x:c>
      <x:c r="M1454" s="9" t="n">
        <x:f>ROUND(H1454*(1-I1454),2)</x:f>
        <x:v>18330000</x:v>
      </x:c>
      <x:c r="N1454" s="4" t="str">
        <x:v>Sales manager</x:v>
      </x:c>
      <x:c r="O1454" s="4" t="str">
        <x:v>BOOK-01453</x:v>
      </x:c>
      <x:c r="P1454" s="9" t="n">
        <x:v>4582500</x:v>
      </x:c>
      <x:c r="Q1454" s="11" t="n">
        <x:v>0</x:v>
      </x:c>
      <x:c r="R1454" s="8" t="n">
        <x:v>45436</x:v>
      </x:c>
      <x:c r="S1454" s="4" t="str">
        <x:v>Retained</x:v>
      </x:c>
      <x:c r="T1454" s="10" t="n">
        <x:v>0.291946</x:v>
      </x:c>
      <x:c r="U1454" s="4" t="str">
        <x:v>Train</x:v>
      </x:c>
    </x:row>
    <x:row r="1455" ht="34" customHeight="1">
      <x:c r="A1455" s="4" t="str">
        <x:v>RS-01454</x:v>
      </x:c>
      <x:c r="B1455" s="8" t="n">
        <x:v>45377</x:v>
      </x:c>
      <x:c r="C1455" s="4" t="str">
        <x:v>PRJ-014</x:v>
      </x:c>
      <x:c r="D1455" s="4" t="str">
        <x:v>Villa</x:v>
      </x:c>
      <x:c r="E1455" s="4" t="str">
        <x:v>Booked</x:v>
      </x:c>
      <x:c r="F1455" s="4" t="str">
        <x:v>CUS-01454</x:v>
      </x:c>
      <x:c r="G1455" s="4" t="str">
        <x:v>UNIT-01454</x:v>
      </x:c>
      <x:c r="H1455" s="9" t="n">
        <x:v>6200000</x:v>
      </x:c>
      <x:c r="I1455" s="10" t="n">
        <x:v>0.03</x:v>
      </x:c>
      <x:c r="J1455" s="11" t="n">
        <x:v>2</x:v>
      </x:c>
      <x:c r="K1455" s="11" t="n">
        <x:v>1</x:v>
      </x:c>
      <x:c r="L1455" s="11" t="n">
        <x:v>0</x:v>
      </x:c>
      <x:c r="M1455" s="9" t="n">
        <x:f>ROUND(H1455*(1-I1455),2)</x:f>
        <x:v>6014000</x:v>
      </x:c>
      <x:c r="N1455" s="4" t="str">
        <x:v>Sales manager</x:v>
      </x:c>
      <x:c r="O1455" s="4" t="str">
        <x:v>BOOK-01454</x:v>
      </x:c>
      <x:c r="P1455" s="9" t="n">
        <x:v>601400</x:v>
      </x:c>
      <x:c r="Q1455" s="11" t="n">
        <x:v>0</x:v>
      </x:c>
      <x:c r="R1455" s="8" t="n">
        <x:v>45437</x:v>
      </x:c>
      <x:c r="S1455" s="4" t="str">
        <x:v>Retained</x:v>
      </x:c>
      <x:c r="T1455" s="10" t="n">
        <x:v>0.171717</x:v>
      </x:c>
      <x:c r="U1455" s="4" t="str">
        <x:v>Train</x:v>
      </x:c>
    </x:row>
    <x:row r="1456" ht="34" customHeight="1">
      <x:c r="A1456" s="4" t="str">
        <x:v>RS-01455</x:v>
      </x:c>
      <x:c r="B1456" s="8" t="n">
        <x:v>45378</x:v>
      </x:c>
      <x:c r="C1456" s="4" t="str">
        <x:v>PRJ-015</x:v>
      </x:c>
      <x:c r="D1456" s="4" t="str">
        <x:v>Apartment</x:v>
      </x:c>
      <x:c r="E1456" s="4" t="str">
        <x:v>Handed over</x:v>
      </x:c>
      <x:c r="F1456" s="4" t="str">
        <x:v>CUS-01455</x:v>
      </x:c>
      <x:c r="G1456" s="4" t="str">
        <x:v>UNIT-01455</x:v>
      </x:c>
      <x:c r="H1456" s="9" t="n">
        <x:v>8900000</x:v>
      </x:c>
      <x:c r="I1456" s="10" t="n">
        <x:v>0.01</x:v>
      </x:c>
      <x:c r="J1456" s="11" t="n">
        <x:v>0</x:v>
      </x:c>
      <x:c r="K1456" s="11" t="n">
        <x:v>5</x:v>
      </x:c>
      <x:c r="L1456" s="11" t="n">
        <x:v>1</x:v>
      </x:c>
      <x:c r="M1456" s="9" t="n">
        <x:f>ROUND(H1456*(1-I1456),2)</x:f>
        <x:v>8811000</x:v>
      </x:c>
      <x:c r="N1456" s="4" t="str">
        <x:v>Sales manager</x:v>
      </x:c>
      <x:c r="O1456" s="4" t="str">
        <x:v>BOOK-01455</x:v>
      </x:c>
      <x:c r="P1456" s="9" t="n">
        <x:v>2202750</x:v>
      </x:c>
      <x:c r="Q1456" s="11" t="n">
        <x:v>0</x:v>
      </x:c>
      <x:c r="R1456" s="8" t="n">
        <x:v>45438</x:v>
      </x:c>
      <x:c r="S1456" s="4" t="str">
        <x:v>Retained</x:v>
      </x:c>
      <x:c r="T1456" s="10" t="n">
        <x:v>0.072165</x:v>
      </x:c>
      <x:c r="U1456" s="4" t="str">
        <x:v>Train</x:v>
      </x:c>
    </x:row>
    <x:row r="1457" ht="34" customHeight="1">
      <x:c r="A1457" s="4" t="str">
        <x:v>RS-01456</x:v>
      </x:c>
      <x:c r="B1457" s="8" t="n">
        <x:v>45379</x:v>
      </x:c>
      <x:c r="C1457" s="4" t="str">
        <x:v>PRJ-016</x:v>
      </x:c>
      <x:c r="D1457" s="4" t="str">
        <x:v>Apartment</x:v>
      </x:c>
      <x:c r="E1457" s="4" t="str">
        <x:v>Reserved</x:v>
      </x:c>
      <x:c r="F1457" s="4" t="str">
        <x:v>CUS-01456</x:v>
      </x:c>
      <x:c r="G1457" s="4" t="str">
        <x:v>UNIT-01456</x:v>
      </x:c>
      <x:c r="H1457" s="9" t="n">
        <x:v>24400000</x:v>
      </x:c>
      <x:c r="I1457" s="10" t="n">
        <x:v>0.09</x:v>
      </x:c>
      <x:c r="J1457" s="11" t="n">
        <x:v>5</x:v>
      </x:c>
      <x:c r="K1457" s="11" t="n">
        <x:v>6</x:v>
      </x:c>
      <x:c r="L1457" s="11" t="n">
        <x:v>1</x:v>
      </x:c>
      <x:c r="M1457" s="9" t="n">
        <x:f>ROUND(H1457*(1-I1457),2)</x:f>
        <x:v>22204000</x:v>
      </x:c>
      <x:c r="N1457" s="4" t="str">
        <x:v>Sales head</x:v>
      </x:c>
      <x:c r="O1457" s="4"/>
      <x:c r="P1457" s="9" t="n">
        <x:v>0</x:v>
      </x:c>
      <x:c r="Q1457" s="11" t="n">
        <x:v>1</x:v>
      </x:c>
      <x:c r="R1457" s="8" t="n">
        <x:v>45439</x:v>
      </x:c>
      <x:c r="S1457" s="4" t="str">
        <x:v>Lost / cancelled</x:v>
      </x:c>
      <x:c r="T1457" s="10" t="n">
        <x:v>0.291946</x:v>
      </x:c>
      <x:c r="U1457" s="4" t="str">
        <x:v>Train</x:v>
      </x:c>
    </x:row>
    <x:row r="1458" ht="34" customHeight="1">
      <x:c r="A1458" s="4" t="str">
        <x:v>RS-01457</x:v>
      </x:c>
      <x:c r="B1458" s="8" t="n">
        <x:v>45352</x:v>
      </x:c>
      <x:c r="C1458" s="4" t="str">
        <x:v>PRJ-017</x:v>
      </x:c>
      <x:c r="D1458" s="4" t="str">
        <x:v>Villa</x:v>
      </x:c>
      <x:c r="E1458" s="4" t="str">
        <x:v>Agreement signed</x:v>
      </x:c>
      <x:c r="F1458" s="4" t="str">
        <x:v>CUS-01457</x:v>
      </x:c>
      <x:c r="G1458" s="4" t="str">
        <x:v>UNIT-01457</x:v>
      </x:c>
      <x:c r="H1458" s="9" t="n">
        <x:v>24600000</x:v>
      </x:c>
      <x:c r="I1458" s="10" t="n">
        <x:v>0.08</x:v>
      </x:c>
      <x:c r="J1458" s="11" t="n">
        <x:v>6</x:v>
      </x:c>
      <x:c r="K1458" s="11" t="n">
        <x:v>7</x:v>
      </x:c>
      <x:c r="L1458" s="11" t="n">
        <x:v>0</x:v>
      </x:c>
      <x:c r="M1458" s="9" t="n">
        <x:f>ROUND(H1458*(1-I1458),2)</x:f>
        <x:v>22632000</x:v>
      </x:c>
      <x:c r="N1458" s="4" t="str">
        <x:v>Sales head</x:v>
      </x:c>
      <x:c r="O1458" s="4" t="str">
        <x:v>BOOK-01457</x:v>
      </x:c>
      <x:c r="P1458" s="9" t="n">
        <x:v>11316000</x:v>
      </x:c>
      <x:c r="Q1458" s="11" t="n">
        <x:v>0</x:v>
      </x:c>
      <x:c r="R1458" s="8" t="n">
        <x:v>45412</x:v>
      </x:c>
      <x:c r="S1458" s="4" t="str">
        <x:v>Retained</x:v>
      </x:c>
      <x:c r="T1458" s="10" t="n">
        <x:v>0.226277</x:v>
      </x:c>
      <x:c r="U1458" s="4" t="str">
        <x:v>Train</x:v>
      </x:c>
    </x:row>
    <x:row r="1459" ht="34" customHeight="1">
      <x:c r="A1459" s="4" t="str">
        <x:v>RS-01458</x:v>
      </x:c>
      <x:c r="B1459" s="8" t="n">
        <x:v>45353</x:v>
      </x:c>
      <x:c r="C1459" s="4" t="str">
        <x:v>PRJ-018</x:v>
      </x:c>
      <x:c r="D1459" s="4" t="str">
        <x:v>Villa</x:v>
      </x:c>
      <x:c r="E1459" s="4" t="str">
        <x:v>Agreement signed</x:v>
      </x:c>
      <x:c r="F1459" s="4" t="str">
        <x:v>CUS-01458</x:v>
      </x:c>
      <x:c r="G1459" s="4" t="str">
        <x:v>UNIT-01458</x:v>
      </x:c>
      <x:c r="H1459" s="9" t="n">
        <x:v>21900000</x:v>
      </x:c>
      <x:c r="I1459" s="10" t="n">
        <x:v>0.01</x:v>
      </x:c>
      <x:c r="J1459" s="11" t="n">
        <x:v>7</x:v>
      </x:c>
      <x:c r="K1459" s="11" t="n">
        <x:v>8</x:v>
      </x:c>
      <x:c r="L1459" s="11" t="n">
        <x:v>0</x:v>
      </x:c>
      <x:c r="M1459" s="9" t="n">
        <x:f>ROUND(H1459*(1-I1459),2)</x:f>
        <x:v>21681000</x:v>
      </x:c>
      <x:c r="N1459" s="4" t="str">
        <x:v>Sales manager</x:v>
      </x:c>
      <x:c r="O1459" s="4" t="str">
        <x:v>BOOK-01458</x:v>
      </x:c>
      <x:c r="P1459" s="9" t="n">
        <x:v>10840500</x:v>
      </x:c>
      <x:c r="Q1459" s="11" t="n">
        <x:v>0</x:v>
      </x:c>
      <x:c r="R1459" s="8" t="n">
        <x:v>45413</x:v>
      </x:c>
      <x:c r="S1459" s="4" t="str">
        <x:v>Retained</x:v>
      </x:c>
      <x:c r="T1459" s="10" t="n">
        <x:v>0.145299</x:v>
      </x:c>
      <x:c r="U1459" s="4" t="str">
        <x:v>Train</x:v>
      </x:c>
    </x:row>
    <x:row r="1460" ht="34" customHeight="1">
      <x:c r="A1460" s="4" t="str">
        <x:v>RS-01459</x:v>
      </x:c>
      <x:c r="B1460" s="8" t="n">
        <x:v>45354</x:v>
      </x:c>
      <x:c r="C1460" s="4" t="str">
        <x:v>PRJ-019</x:v>
      </x:c>
      <x:c r="D1460" s="4" t="str">
        <x:v>Office</x:v>
      </x:c>
      <x:c r="E1460" s="4" t="str">
        <x:v>Reserved</x:v>
      </x:c>
      <x:c r="F1460" s="4" t="str">
        <x:v>CUS-01459</x:v>
      </x:c>
      <x:c r="G1460" s="4" t="str">
        <x:v>UNIT-01459</x:v>
      </x:c>
      <x:c r="H1460" s="9" t="n">
        <x:v>21000000</x:v>
      </x:c>
      <x:c r="I1460" s="10" t="n">
        <x:v>0.06</x:v>
      </x:c>
      <x:c r="J1460" s="11" t="n">
        <x:v>9</x:v>
      </x:c>
      <x:c r="K1460" s="11" t="n">
        <x:v>3</x:v>
      </x:c>
      <x:c r="L1460" s="11" t="n">
        <x:v>0</x:v>
      </x:c>
      <x:c r="M1460" s="9" t="n">
        <x:f>ROUND(H1460*(1-I1460),2)</x:f>
        <x:v>19740000</x:v>
      </x:c>
      <x:c r="N1460" s="4" t="str">
        <x:v>Sales manager</x:v>
      </x:c>
      <x:c r="O1460" s="4"/>
      <x:c r="P1460" s="9" t="n">
        <x:v>0</x:v>
      </x:c>
      <x:c r="Q1460" s="11" t="n">
        <x:v>1</x:v>
      </x:c>
      <x:c r="R1460" s="8" t="n">
        <x:v>45414</x:v>
      </x:c>
      <x:c r="S1460" s="4" t="str">
        <x:v>Lost / cancelled</x:v>
      </x:c>
      <x:c r="T1460" s="10" t="n">
        <x:v>0.310195</x:v>
      </x:c>
      <x:c r="U1460" s="4" t="str">
        <x:v>Train</x:v>
      </x:c>
    </x:row>
    <x:row r="1461" ht="34" customHeight="1">
      <x:c r="A1461" s="4" t="str">
        <x:v>RS-01460</x:v>
      </x:c>
      <x:c r="B1461" s="8" t="n">
        <x:v>45355</x:v>
      </x:c>
      <x:c r="C1461" s="4" t="str">
        <x:v>PRJ-020</x:v>
      </x:c>
      <x:c r="D1461" s="4" t="str">
        <x:v>Villa</x:v>
      </x:c>
      <x:c r="E1461" s="4" t="str">
        <x:v>Reserved</x:v>
      </x:c>
      <x:c r="F1461" s="4" t="str">
        <x:v>CUS-01460</x:v>
      </x:c>
      <x:c r="G1461" s="4" t="str">
        <x:v>UNIT-01460</x:v>
      </x:c>
      <x:c r="H1461" s="9" t="n">
        <x:v>7400000</x:v>
      </x:c>
      <x:c r="I1461" s="10" t="n">
        <x:v>0.06</x:v>
      </x:c>
      <x:c r="J1461" s="11" t="n">
        <x:v>3</x:v>
      </x:c>
      <x:c r="K1461" s="11" t="n">
        <x:v>7</x:v>
      </x:c>
      <x:c r="L1461" s="11" t="n">
        <x:v>0</x:v>
      </x:c>
      <x:c r="M1461" s="9" t="n">
        <x:f>ROUND(H1461*(1-I1461),2)</x:f>
        <x:v>6956000</x:v>
      </x:c>
      <x:c r="N1461" s="4" t="str">
        <x:v>Sales manager</x:v>
      </x:c>
      <x:c r="O1461" s="4"/>
      <x:c r="P1461" s="9" t="n">
        <x:v>0</x:v>
      </x:c>
      <x:c r="Q1461" s="11" t="n">
        <x:v>0</x:v>
      </x:c>
      <x:c r="R1461" s="8" t="n">
        <x:v>45415</x:v>
      </x:c>
      <x:c r="S1461" s="4" t="str">
        <x:v>Retained</x:v>
      </x:c>
      <x:c r="T1461" s="10" t="n">
        <x:v>0.204152</x:v>
      </x:c>
      <x:c r="U1461" s="4" t="str">
        <x:v>Train</x:v>
      </x:c>
    </x:row>
    <x:row r="1462" ht="34" customHeight="1">
      <x:c r="A1462" s="4" t="str">
        <x:v>RS-01461</x:v>
      </x:c>
      <x:c r="B1462" s="8" t="n">
        <x:v>45356</x:v>
      </x:c>
      <x:c r="C1462" s="4" t="str">
        <x:v>PRJ-001</x:v>
      </x:c>
      <x:c r="D1462" s="4" t="str">
        <x:v>Villa</x:v>
      </x:c>
      <x:c r="E1462" s="4" t="str">
        <x:v>Cancelled</x:v>
      </x:c>
      <x:c r="F1462" s="4" t="str">
        <x:v>CUS-01461</x:v>
      </x:c>
      <x:c r="G1462" s="4" t="str">
        <x:v>UNIT-01461</x:v>
      </x:c>
      <x:c r="H1462" s="9" t="n">
        <x:v>6500000</x:v>
      </x:c>
      <x:c r="I1462" s="10" t="n">
        <x:v>0.1</x:v>
      </x:c>
      <x:c r="J1462" s="11" t="n">
        <x:v>7</x:v>
      </x:c>
      <x:c r="K1462" s="11" t="n">
        <x:v>1</x:v>
      </x:c>
      <x:c r="L1462" s="11" t="n">
        <x:v>1</x:v>
      </x:c>
      <x:c r="M1462" s="9" t="n">
        <x:f>ROUND(H1462*(1-I1462),2)</x:f>
        <x:v>5850000</x:v>
      </x:c>
      <x:c r="N1462" s="4" t="str">
        <x:v>Sales head</x:v>
      </x:c>
      <x:c r="O1462" s="4"/>
      <x:c r="P1462" s="9" t="n">
        <x:v>0</x:v>
      </x:c>
      <x:c r="Q1462" s="11" t="n">
        <x:v>1</x:v>
      </x:c>
      <x:c r="R1462" s="8" t="n">
        <x:v>45416</x:v>
      </x:c>
      <x:c r="S1462" s="4" t="str">
        <x:v>Lost / cancelled</x:v>
      </x:c>
      <x:c r="T1462" s="10" t="n">
        <x:v>0.291946</x:v>
      </x:c>
      <x:c r="U1462" s="4" t="str">
        <x:v>Train</x:v>
      </x:c>
    </x:row>
    <x:row r="1463" ht="34" customHeight="1">
      <x:c r="A1463" s="4" t="str">
        <x:v>RS-01462</x:v>
      </x:c>
      <x:c r="B1463" s="8" t="n">
        <x:v>45357</x:v>
      </x:c>
      <x:c r="C1463" s="4" t="str">
        <x:v>PRJ-002</x:v>
      </x:c>
      <x:c r="D1463" s="4" t="str">
        <x:v>Villa</x:v>
      </x:c>
      <x:c r="E1463" s="4" t="str">
        <x:v>Handed over</x:v>
      </x:c>
      <x:c r="F1463" s="4" t="str">
        <x:v>CUS-01462</x:v>
      </x:c>
      <x:c r="G1463" s="4" t="str">
        <x:v>UNIT-01462</x:v>
      </x:c>
      <x:c r="H1463" s="9" t="n">
        <x:v>13300000</x:v>
      </x:c>
      <x:c r="I1463" s="10" t="n">
        <x:v>0.01</x:v>
      </x:c>
      <x:c r="J1463" s="11" t="n">
        <x:v>2</x:v>
      </x:c>
      <x:c r="K1463" s="11" t="n">
        <x:v>0</x:v>
      </x:c>
      <x:c r="L1463" s="11" t="n">
        <x:v>1</x:v>
      </x:c>
      <x:c r="M1463" s="9" t="n">
        <x:f>ROUND(H1463*(1-I1463),2)</x:f>
        <x:v>13167000</x:v>
      </x:c>
      <x:c r="N1463" s="4" t="str">
        <x:v>Sales manager</x:v>
      </x:c>
      <x:c r="O1463" s="4" t="str">
        <x:v>BOOK-01462</x:v>
      </x:c>
      <x:c r="P1463" s="9" t="n">
        <x:v>6583500</x:v>
      </x:c>
      <x:c r="Q1463" s="11" t="n">
        <x:v>0</x:v>
      </x:c>
      <x:c r="R1463" s="8" t="n">
        <x:v>45417</x:v>
      </x:c>
      <x:c r="S1463" s="4" t="str">
        <x:v>Retained</x:v>
      </x:c>
      <x:c r="T1463" s="10" t="n">
        <x:v>0.276923</x:v>
      </x:c>
      <x:c r="U1463" s="4" t="str">
        <x:v>Train</x:v>
      </x:c>
    </x:row>
    <x:row r="1464" ht="34" customHeight="1">
      <x:c r="A1464" s="4" t="str">
        <x:v>RS-01463</x:v>
      </x:c>
      <x:c r="B1464" s="8" t="n">
        <x:v>45358</x:v>
      </x:c>
      <x:c r="C1464" s="4" t="str">
        <x:v>PRJ-003</x:v>
      </x:c>
      <x:c r="D1464" s="4" t="str">
        <x:v>Retail</x:v>
      </x:c>
      <x:c r="E1464" s="4" t="str">
        <x:v>Reserved</x:v>
      </x:c>
      <x:c r="F1464" s="4" t="str">
        <x:v>CUS-01463</x:v>
      </x:c>
      <x:c r="G1464" s="4" t="str">
        <x:v>UNIT-01463</x:v>
      </x:c>
      <x:c r="H1464" s="9" t="n">
        <x:v>22900000</x:v>
      </x:c>
      <x:c r="I1464" s="10" t="n">
        <x:v>0.02</x:v>
      </x:c>
      <x:c r="J1464" s="11" t="n">
        <x:v>11</x:v>
      </x:c>
      <x:c r="K1464" s="11" t="n">
        <x:v>2</x:v>
      </x:c>
      <x:c r="L1464" s="11" t="n">
        <x:v>1</x:v>
      </x:c>
      <x:c r="M1464" s="9" t="n">
        <x:f>ROUND(H1464*(1-I1464),2)</x:f>
        <x:v>22442000</x:v>
      </x:c>
      <x:c r="N1464" s="4" t="str">
        <x:v>Sales manager</x:v>
      </x:c>
      <x:c r="O1464" s="4"/>
      <x:c r="P1464" s="9" t="n">
        <x:v>0</x:v>
      </x:c>
      <x:c r="Q1464" s="11" t="n">
        <x:v>0</x:v>
      </x:c>
      <x:c r="R1464" s="8" t="n">
        <x:v>45418</x:v>
      </x:c>
      <x:c r="S1464" s="4" t="str">
        <x:v>Retained</x:v>
      </x:c>
      <x:c r="T1464" s="10" t="n">
        <x:v>0.254545</x:v>
      </x:c>
      <x:c r="U1464" s="4" t="str">
        <x:v>Train</x:v>
      </x:c>
    </x:row>
    <x:row r="1465" ht="34" customHeight="1">
      <x:c r="A1465" s="4" t="str">
        <x:v>RS-01464</x:v>
      </x:c>
      <x:c r="B1465" s="8" t="n">
        <x:v>45359</x:v>
      </x:c>
      <x:c r="C1465" s="4" t="str">
        <x:v>PRJ-004</x:v>
      </x:c>
      <x:c r="D1465" s="4" t="str">
        <x:v>Retail</x:v>
      </x:c>
      <x:c r="E1465" s="4" t="str">
        <x:v>Reserved</x:v>
      </x:c>
      <x:c r="F1465" s="4" t="str">
        <x:v>CUS-01464</x:v>
      </x:c>
      <x:c r="G1465" s="4" t="str">
        <x:v>UNIT-01464</x:v>
      </x:c>
      <x:c r="H1465" s="9" t="n">
        <x:v>9500000</x:v>
      </x:c>
      <x:c r="I1465" s="10" t="n">
        <x:v>0.1</x:v>
      </x:c>
      <x:c r="J1465" s="11" t="n">
        <x:v>7</x:v>
      </x:c>
      <x:c r="K1465" s="11" t="n">
        <x:v>8</x:v>
      </x:c>
      <x:c r="L1465" s="11" t="n">
        <x:v>1</x:v>
      </x:c>
      <x:c r="M1465" s="9" t="n">
        <x:f>ROUND(H1465*(1-I1465),2)</x:f>
        <x:v>8550000</x:v>
      </x:c>
      <x:c r="N1465" s="4" t="str">
        <x:v>Sales head</x:v>
      </x:c>
      <x:c r="O1465" s="4"/>
      <x:c r="P1465" s="9" t="n">
        <x:v>0</x:v>
      </x:c>
      <x:c r="Q1465" s="11" t="n">
        <x:v>0</x:v>
      </x:c>
      <x:c r="R1465" s="8" t="n">
        <x:v>45419</x:v>
      </x:c>
      <x:c r="S1465" s="4" t="str">
        <x:v>Retained</x:v>
      </x:c>
      <x:c r="T1465" s="10" t="n">
        <x:v>0.291946</x:v>
      </x:c>
      <x:c r="U1465" s="4" t="str">
        <x:v>Train</x:v>
      </x:c>
    </x:row>
    <x:row r="1466" ht="34" customHeight="1">
      <x:c r="A1466" s="4" t="str">
        <x:v>RS-01465</x:v>
      </x:c>
      <x:c r="B1466" s="8" t="n">
        <x:v>45360</x:v>
      </x:c>
      <x:c r="C1466" s="4" t="str">
        <x:v>PRJ-005</x:v>
      </x:c>
      <x:c r="D1466" s="4" t="str">
        <x:v>Apartment</x:v>
      </x:c>
      <x:c r="E1466" s="4" t="str">
        <x:v>Handed over</x:v>
      </x:c>
      <x:c r="F1466" s="4" t="str">
        <x:v>CUS-01465</x:v>
      </x:c>
      <x:c r="G1466" s="4" t="str">
        <x:v>UNIT-01465</x:v>
      </x:c>
      <x:c r="H1466" s="9" t="n">
        <x:v>12000000</x:v>
      </x:c>
      <x:c r="I1466" s="10" t="n">
        <x:v>0.09</x:v>
      </x:c>
      <x:c r="J1466" s="11" t="n">
        <x:v>3</x:v>
      </x:c>
      <x:c r="K1466" s="11" t="n">
        <x:v>4</x:v>
      </x:c>
      <x:c r="L1466" s="11" t="n">
        <x:v>1</x:v>
      </x:c>
      <x:c r="M1466" s="9" t="n">
        <x:f>ROUND(H1466*(1-I1466),2)</x:f>
        <x:v>10920000</x:v>
      </x:c>
      <x:c r="N1466" s="4" t="str">
        <x:v>Sales head</x:v>
      </x:c>
      <x:c r="O1466" s="4" t="str">
        <x:v>BOOK-01465</x:v>
      </x:c>
      <x:c r="P1466" s="9" t="n">
        <x:v>5460000</x:v>
      </x:c>
      <x:c r="Q1466" s="11" t="n">
        <x:v>0</x:v>
      </x:c>
      <x:c r="R1466" s="8" t="n">
        <x:v>45420</x:v>
      </x:c>
      <x:c r="S1466" s="4" t="str">
        <x:v>Retained</x:v>
      </x:c>
      <x:c r="T1466" s="10" t="n">
        <x:v>0.145833</x:v>
      </x:c>
      <x:c r="U1466" s="4" t="str">
        <x:v>Train</x:v>
      </x:c>
    </x:row>
    <x:row r="1467" ht="34" customHeight="1">
      <x:c r="A1467" s="4" t="str">
        <x:v>RS-01466</x:v>
      </x:c>
      <x:c r="B1467" s="8" t="n">
        <x:v>45361</x:v>
      </x:c>
      <x:c r="C1467" s="4" t="str">
        <x:v>PRJ-006</x:v>
      </x:c>
      <x:c r="D1467" s="4" t="str">
        <x:v>Office</x:v>
      </x:c>
      <x:c r="E1467" s="4" t="str">
        <x:v>Enquiry</x:v>
      </x:c>
      <x:c r="F1467" s="4" t="str">
        <x:v>CUS-01466</x:v>
      </x:c>
      <x:c r="G1467" s="4" t="str">
        <x:v>UNIT-01466</x:v>
      </x:c>
      <x:c r="H1467" s="9" t="n">
        <x:v>6300000</x:v>
      </x:c>
      <x:c r="I1467" s="10" t="n">
        <x:v>0</x:v>
      </x:c>
      <x:c r="J1467" s="11" t="n">
        <x:v>2</x:v>
      </x:c>
      <x:c r="K1467" s="11" t="n">
        <x:v>8</x:v>
      </x:c>
      <x:c r="L1467" s="11" t="n">
        <x:v>0</x:v>
      </x:c>
      <x:c r="M1467" s="9" t="n">
        <x:f>ROUND(H1467*(1-I1467),2)</x:f>
        <x:v>6300000</x:v>
      </x:c>
      <x:c r="N1467" s="4" t="str">
        <x:v>Sales manager</x:v>
      </x:c>
      <x:c r="O1467" s="4"/>
      <x:c r="P1467" s="9" t="n">
        <x:v>0</x:v>
      </x:c>
      <x:c r="Q1467" s="11" t="n">
        <x:v>0</x:v>
      </x:c>
      <x:c r="R1467" s="8" t="n">
        <x:v>45421</x:v>
      </x:c>
      <x:c r="S1467" s="4" t="str">
        <x:v>Retained</x:v>
      </x:c>
      <x:c r="T1467" s="10" t="n">
        <x:v>0.171717</x:v>
      </x:c>
      <x:c r="U1467" s="4" t="str">
        <x:v>Train</x:v>
      </x:c>
    </x:row>
    <x:row r="1468" ht="34" customHeight="1">
      <x:c r="A1468" s="4" t="str">
        <x:v>RS-01467</x:v>
      </x:c>
      <x:c r="B1468" s="8" t="n">
        <x:v>45362</x:v>
      </x:c>
      <x:c r="C1468" s="4" t="str">
        <x:v>PRJ-007</x:v>
      </x:c>
      <x:c r="D1468" s="4" t="str">
        <x:v>Office</x:v>
      </x:c>
      <x:c r="E1468" s="4" t="str">
        <x:v>Agreement signed</x:v>
      </x:c>
      <x:c r="F1468" s="4" t="str">
        <x:v>CUS-01467</x:v>
      </x:c>
      <x:c r="G1468" s="4" t="str">
        <x:v>UNIT-01467</x:v>
      </x:c>
      <x:c r="H1468" s="9" t="n">
        <x:v>21000000</x:v>
      </x:c>
      <x:c r="I1468" s="10" t="n">
        <x:v>0.02</x:v>
      </x:c>
      <x:c r="J1468" s="11" t="n">
        <x:v>4</x:v>
      </x:c>
      <x:c r="K1468" s="11" t="n">
        <x:v>2</x:v>
      </x:c>
      <x:c r="L1468" s="11" t="n">
        <x:v>0</x:v>
      </x:c>
      <x:c r="M1468" s="9" t="n">
        <x:f>ROUND(H1468*(1-I1468),2)</x:f>
        <x:v>20580000</x:v>
      </x:c>
      <x:c r="N1468" s="4" t="str">
        <x:v>Sales manager</x:v>
      </x:c>
      <x:c r="O1468" s="4" t="str">
        <x:v>BOOK-01467</x:v>
      </x:c>
      <x:c r="P1468" s="9" t="n">
        <x:v>10290000</x:v>
      </x:c>
      <x:c r="Q1468" s="11" t="n">
        <x:v>0</x:v>
      </x:c>
      <x:c r="R1468" s="8" t="n">
        <x:v>45422</x:v>
      </x:c>
      <x:c r="S1468" s="4" t="str">
        <x:v>Retained</x:v>
      </x:c>
      <x:c r="T1468" s="10" t="n">
        <x:v>0.298969</x:v>
      </x:c>
      <x:c r="U1468" s="4" t="str">
        <x:v>Train</x:v>
      </x:c>
    </x:row>
    <x:row r="1469" ht="34" customHeight="1">
      <x:c r="A1469" s="4" t="str">
        <x:v>RS-01468</x:v>
      </x:c>
      <x:c r="B1469" s="8" t="n">
        <x:v>45363</x:v>
      </x:c>
      <x:c r="C1469" s="4" t="str">
        <x:v>PRJ-008</x:v>
      </x:c>
      <x:c r="D1469" s="4" t="str">
        <x:v>Retail</x:v>
      </x:c>
      <x:c r="E1469" s="4" t="str">
        <x:v>Reserved</x:v>
      </x:c>
      <x:c r="F1469" s="4" t="str">
        <x:v>CUS-01468</x:v>
      </x:c>
      <x:c r="G1469" s="4" t="str">
        <x:v>UNIT-01468</x:v>
      </x:c>
      <x:c r="H1469" s="9" t="n">
        <x:v>8400000</x:v>
      </x:c>
      <x:c r="I1469" s="10" t="n">
        <x:v>0.1</x:v>
      </x:c>
      <x:c r="J1469" s="11" t="n">
        <x:v>0</x:v>
      </x:c>
      <x:c r="K1469" s="11" t="n">
        <x:v>4</x:v>
      </x:c>
      <x:c r="L1469" s="11" t="n">
        <x:v>0</x:v>
      </x:c>
      <x:c r="M1469" s="9" t="n">
        <x:f>ROUND(H1469*(1-I1469),2)</x:f>
        <x:v>7560000</x:v>
      </x:c>
      <x:c r="N1469" s="4" t="str">
        <x:v>Sales head</x:v>
      </x:c>
      <x:c r="O1469" s="4"/>
      <x:c r="P1469" s="9" t="n">
        <x:v>0</x:v>
      </x:c>
      <x:c r="Q1469" s="11" t="n">
        <x:v>0</x:v>
      </x:c>
      <x:c r="R1469" s="8" t="n">
        <x:v>45423</x:v>
      </x:c>
      <x:c r="S1469" s="4" t="str">
        <x:v>Retained</x:v>
      </x:c>
      <x:c r="T1469" s="10" t="n">
        <x:v>0.145833</x:v>
      </x:c>
      <x:c r="U1469" s="4" t="str">
        <x:v>Train</x:v>
      </x:c>
    </x:row>
    <x:row r="1470" ht="34" customHeight="1">
      <x:c r="A1470" s="4" t="str">
        <x:v>RS-01469</x:v>
      </x:c>
      <x:c r="B1470" s="8" t="n">
        <x:v>45364</x:v>
      </x:c>
      <x:c r="C1470" s="4" t="str">
        <x:v>PRJ-009</x:v>
      </x:c>
      <x:c r="D1470" s="4" t="str">
        <x:v>Office</x:v>
      </x:c>
      <x:c r="E1470" s="4" t="str">
        <x:v>Reserved</x:v>
      </x:c>
      <x:c r="F1470" s="4" t="str">
        <x:v>CUS-01469</x:v>
      </x:c>
      <x:c r="G1470" s="4" t="str">
        <x:v>UNIT-01469</x:v>
      </x:c>
      <x:c r="H1470" s="9" t="n">
        <x:v>3300000</x:v>
      </x:c>
      <x:c r="I1470" s="10" t="n">
        <x:v>0.08</x:v>
      </x:c>
      <x:c r="J1470" s="11" t="n">
        <x:v>12</x:v>
      </x:c>
      <x:c r="K1470" s="11" t="n">
        <x:v>9</x:v>
      </x:c>
      <x:c r="L1470" s="11" t="n">
        <x:v>0</x:v>
      </x:c>
      <x:c r="M1470" s="9" t="n">
        <x:f>ROUND(H1470*(1-I1470),2)</x:f>
        <x:v>3036000</x:v>
      </x:c>
      <x:c r="N1470" s="4" t="str">
        <x:v>Sales head</x:v>
      </x:c>
      <x:c r="O1470" s="4"/>
      <x:c r="P1470" s="9" t="n">
        <x:v>0</x:v>
      </x:c>
      <x:c r="Q1470" s="11" t="n">
        <x:v>0</x:v>
      </x:c>
      <x:c r="R1470" s="8" t="n">
        <x:v>45424</x:v>
      </x:c>
      <x:c r="S1470" s="4" t="str">
        <x:v>Retained</x:v>
      </x:c>
      <x:c r="T1470" s="10" t="n">
        <x:v>0.351536</x:v>
      </x:c>
      <x:c r="U1470" s="4" t="str">
        <x:v>Train</x:v>
      </x:c>
    </x:row>
    <x:row r="1471" ht="34" customHeight="1">
      <x:c r="A1471" s="4" t="str">
        <x:v>RS-01470</x:v>
      </x:c>
      <x:c r="B1471" s="8" t="n">
        <x:v>45365</x:v>
      </x:c>
      <x:c r="C1471" s="4" t="str">
        <x:v>PRJ-010</x:v>
      </x:c>
      <x:c r="D1471" s="4" t="str">
        <x:v>Villa</x:v>
      </x:c>
      <x:c r="E1471" s="4" t="str">
        <x:v>Reserved</x:v>
      </x:c>
      <x:c r="F1471" s="4" t="str">
        <x:v>CUS-01470</x:v>
      </x:c>
      <x:c r="G1471" s="4" t="str">
        <x:v>UNIT-01470</x:v>
      </x:c>
      <x:c r="H1471" s="9" t="n">
        <x:v>11500000</x:v>
      </x:c>
      <x:c r="I1471" s="10" t="n">
        <x:v>0.1</x:v>
      </x:c>
      <x:c r="J1471" s="11" t="n">
        <x:v>4</x:v>
      </x:c>
      <x:c r="K1471" s="11" t="n">
        <x:v>10</x:v>
      </x:c>
      <x:c r="L1471" s="11" t="n">
        <x:v>0</x:v>
      </x:c>
      <x:c r="M1471" s="9" t="n">
        <x:f>ROUND(H1471*(1-I1471),2)</x:f>
        <x:v>10350000</x:v>
      </x:c>
      <x:c r="N1471" s="4" t="str">
        <x:v>Sales head</x:v>
      </x:c>
      <x:c r="O1471" s="4"/>
      <x:c r="P1471" s="9" t="n">
        <x:v>0</x:v>
      </x:c>
      <x:c r="Q1471" s="11" t="n">
        <x:v>0</x:v>
      </x:c>
      <x:c r="R1471" s="8" t="n">
        <x:v>45425</x:v>
      </x:c>
      <x:c r="S1471" s="4" t="str">
        <x:v>Retained</x:v>
      </x:c>
      <x:c r="T1471" s="10" t="n">
        <x:v>0.226277</x:v>
      </x:c>
      <x:c r="U1471" s="4" t="str">
        <x:v>Train</x:v>
      </x:c>
    </x:row>
    <x:row r="1472" ht="34" customHeight="1">
      <x:c r="A1472" s="4" t="str">
        <x:v>RS-01471</x:v>
      </x:c>
      <x:c r="B1472" s="8" t="n">
        <x:v>45366</x:v>
      </x:c>
      <x:c r="C1472" s="4" t="str">
        <x:v>PRJ-011</x:v>
      </x:c>
      <x:c r="D1472" s="4" t="str">
        <x:v>Retail</x:v>
      </x:c>
      <x:c r="E1472" s="4" t="str">
        <x:v>Enquiry</x:v>
      </x:c>
      <x:c r="F1472" s="4" t="str">
        <x:v>CUS-01471</x:v>
      </x:c>
      <x:c r="G1472" s="4" t="str">
        <x:v>UNIT-01471</x:v>
      </x:c>
      <x:c r="H1472" s="9" t="n">
        <x:v>17700000</x:v>
      </x:c>
      <x:c r="I1472" s="10" t="n">
        <x:v>0.01</x:v>
      </x:c>
      <x:c r="J1472" s="11" t="n">
        <x:v>0</x:v>
      </x:c>
      <x:c r="K1472" s="11" t="n">
        <x:v>3</x:v>
      </x:c>
      <x:c r="L1472" s="11" t="n">
        <x:v>1</x:v>
      </x:c>
      <x:c r="M1472" s="9" t="n">
        <x:f>ROUND(H1472*(1-I1472),2)</x:f>
        <x:v>17523000</x:v>
      </x:c>
      <x:c r="N1472" s="4" t="str">
        <x:v>Sales manager</x:v>
      </x:c>
      <x:c r="O1472" s="4"/>
      <x:c r="P1472" s="9" t="n">
        <x:v>0</x:v>
      </x:c>
      <x:c r="Q1472" s="11" t="n">
        <x:v>0</x:v>
      </x:c>
      <x:c r="R1472" s="8" t="n">
        <x:v>45426</x:v>
      </x:c>
      <x:c r="S1472" s="4" t="str">
        <x:v>Retained</x:v>
      </x:c>
      <x:c r="T1472" s="10" t="n">
        <x:v>0.072165</x:v>
      </x:c>
      <x:c r="U1472" s="4" t="str">
        <x:v>Train</x:v>
      </x:c>
    </x:row>
    <x:row r="1473" ht="34" customHeight="1">
      <x:c r="A1473" s="4" t="str">
        <x:v>RS-01472</x:v>
      </x:c>
      <x:c r="B1473" s="8" t="n">
        <x:v>45367</x:v>
      </x:c>
      <x:c r="C1473" s="4" t="str">
        <x:v>PRJ-012</x:v>
      </x:c>
      <x:c r="D1473" s="4" t="str">
        <x:v>Retail</x:v>
      </x:c>
      <x:c r="E1473" s="4" t="str">
        <x:v>Handed over</x:v>
      </x:c>
      <x:c r="F1473" s="4" t="str">
        <x:v>CUS-01472</x:v>
      </x:c>
      <x:c r="G1473" s="4" t="str">
        <x:v>UNIT-01472</x:v>
      </x:c>
      <x:c r="H1473" s="9" t="n">
        <x:v>7500000</x:v>
      </x:c>
      <x:c r="I1473" s="10" t="n">
        <x:v>0.05</x:v>
      </x:c>
      <x:c r="J1473" s="11" t="n">
        <x:v>10</x:v>
      </x:c>
      <x:c r="K1473" s="11" t="n">
        <x:v>5</x:v>
      </x:c>
      <x:c r="L1473" s="11" t="n">
        <x:v>1</x:v>
      </x:c>
      <x:c r="M1473" s="9" t="n">
        <x:f>ROUND(H1473*(1-I1473),2)</x:f>
        <x:v>7125000</x:v>
      </x:c>
      <x:c r="N1473" s="4" t="str">
        <x:v>Sales manager</x:v>
      </x:c>
      <x:c r="O1473" s="4" t="str">
        <x:v>BOOK-01472</x:v>
      </x:c>
      <x:c r="P1473" s="9" t="n">
        <x:v>3562500</x:v>
      </x:c>
      <x:c r="Q1473" s="11" t="n">
        <x:v>0</x:v>
      </x:c>
      <x:c r="R1473" s="8" t="n">
        <x:v>45427</x:v>
      </x:c>
      <x:c r="S1473" s="4" t="str">
        <x:v>Retained</x:v>
      </x:c>
      <x:c r="T1473" s="10" t="n">
        <x:v>0.310195</x:v>
      </x:c>
      <x:c r="U1473" s="4" t="str">
        <x:v>Train</x:v>
      </x:c>
    </x:row>
    <x:row r="1474" ht="34" customHeight="1">
      <x:c r="A1474" s="4" t="str">
        <x:v>RS-01473</x:v>
      </x:c>
      <x:c r="B1474" s="8" t="n">
        <x:v>45368</x:v>
      </x:c>
      <x:c r="C1474" s="4" t="str">
        <x:v>PRJ-013</x:v>
      </x:c>
      <x:c r="D1474" s="4" t="str">
        <x:v>Apartment</x:v>
      </x:c>
      <x:c r="E1474" s="4" t="str">
        <x:v>Booked</x:v>
      </x:c>
      <x:c r="F1474" s="4" t="str">
        <x:v>CUS-01473</x:v>
      </x:c>
      <x:c r="G1474" s="4" t="str">
        <x:v>UNIT-01473</x:v>
      </x:c>
      <x:c r="H1474" s="9" t="n">
        <x:v>12200000</x:v>
      </x:c>
      <x:c r="I1474" s="10" t="n">
        <x:v>0.05</x:v>
      </x:c>
      <x:c r="J1474" s="11" t="n">
        <x:v>10</x:v>
      </x:c>
      <x:c r="K1474" s="11" t="n">
        <x:v>5</x:v>
      </x:c>
      <x:c r="L1474" s="11" t="n">
        <x:v>1</x:v>
      </x:c>
      <x:c r="M1474" s="9" t="n">
        <x:f>ROUND(H1474*(1-I1474),2)</x:f>
        <x:v>11590000</x:v>
      </x:c>
      <x:c r="N1474" s="4" t="str">
        <x:v>Sales manager</x:v>
      </x:c>
      <x:c r="O1474" s="4" t="str">
        <x:v>BOOK-01473</x:v>
      </x:c>
      <x:c r="P1474" s="9" t="n">
        <x:v>2897500</x:v>
      </x:c>
      <x:c r="Q1474" s="11" t="n">
        <x:v>0</x:v>
      </x:c>
      <x:c r="R1474" s="8" t="n">
        <x:v>45428</x:v>
      </x:c>
      <x:c r="S1474" s="4" t="str">
        <x:v>Retained</x:v>
      </x:c>
      <x:c r="T1474" s="10" t="n">
        <x:v>0.310195</x:v>
      </x:c>
      <x:c r="U1474" s="4" t="str">
        <x:v>Train</x:v>
      </x:c>
    </x:row>
    <x:row r="1475" ht="34" customHeight="1">
      <x:c r="A1475" s="4" t="str">
        <x:v>RS-01474</x:v>
      </x:c>
      <x:c r="B1475" s="8" t="n">
        <x:v>45369</x:v>
      </x:c>
      <x:c r="C1475" s="4" t="str">
        <x:v>PRJ-014</x:v>
      </x:c>
      <x:c r="D1475" s="4" t="str">
        <x:v>Apartment</x:v>
      </x:c>
      <x:c r="E1475" s="4" t="str">
        <x:v>Cancelled</x:v>
      </x:c>
      <x:c r="F1475" s="4" t="str">
        <x:v>CUS-01474</x:v>
      </x:c>
      <x:c r="G1475" s="4" t="str">
        <x:v>UNIT-01474</x:v>
      </x:c>
      <x:c r="H1475" s="9" t="n">
        <x:v>3300000</x:v>
      </x:c>
      <x:c r="I1475" s="10" t="n">
        <x:v>0.08</x:v>
      </x:c>
      <x:c r="J1475" s="11" t="n">
        <x:v>9</x:v>
      </x:c>
      <x:c r="K1475" s="11" t="n">
        <x:v>2</x:v>
      </x:c>
      <x:c r="L1475" s="11" t="n">
        <x:v>1</x:v>
      </x:c>
      <x:c r="M1475" s="9" t="n">
        <x:f>ROUND(H1475*(1-I1475),2)</x:f>
        <x:v>3036000</x:v>
      </x:c>
      <x:c r="N1475" s="4" t="str">
        <x:v>Sales head</x:v>
      </x:c>
      <x:c r="O1475" s="4"/>
      <x:c r="P1475" s="9" t="n">
        <x:v>0</x:v>
      </x:c>
      <x:c r="Q1475" s="11" t="n">
        <x:v>1</x:v>
      </x:c>
      <x:c r="R1475" s="8" t="n">
        <x:v>45429</x:v>
      </x:c>
      <x:c r="S1475" s="4" t="str">
        <x:v>Lost / cancelled</x:v>
      </x:c>
      <x:c r="T1475" s="10" t="n">
        <x:v>0.310195</x:v>
      </x:c>
      <x:c r="U1475" s="4" t="str">
        <x:v>Train</x:v>
      </x:c>
    </x:row>
    <x:row r="1476" ht="34" customHeight="1">
      <x:c r="A1476" s="4" t="str">
        <x:v>RS-01475</x:v>
      </x:c>
      <x:c r="B1476" s="8" t="n">
        <x:v>45370</x:v>
      </x:c>
      <x:c r="C1476" s="4" t="str">
        <x:v>PRJ-015</x:v>
      </x:c>
      <x:c r="D1476" s="4" t="str">
        <x:v>Villa</x:v>
      </x:c>
      <x:c r="E1476" s="4" t="str">
        <x:v>Reserved</x:v>
      </x:c>
      <x:c r="F1476" s="4" t="str">
        <x:v>CUS-01475</x:v>
      </x:c>
      <x:c r="G1476" s="4" t="str">
        <x:v>UNIT-01475</x:v>
      </x:c>
      <x:c r="H1476" s="9" t="n">
        <x:v>22100000</x:v>
      </x:c>
      <x:c r="I1476" s="10" t="n">
        <x:v>0.11</x:v>
      </x:c>
      <x:c r="J1476" s="11" t="n">
        <x:v>10</x:v>
      </x:c>
      <x:c r="K1476" s="11" t="n">
        <x:v>9</x:v>
      </x:c>
      <x:c r="L1476" s="11" t="n">
        <x:v>1</x:v>
      </x:c>
      <x:c r="M1476" s="9" t="n">
        <x:f>ROUND(H1476*(1-I1476),2)</x:f>
        <x:v>19669000</x:v>
      </x:c>
      <x:c r="N1476" s="4" t="str">
        <x:v>Sales head</x:v>
      </x:c>
      <x:c r="O1476" s="4"/>
      <x:c r="P1476" s="9" t="n">
        <x:v>0</x:v>
      </x:c>
      <x:c r="Q1476" s="11" t="n">
        <x:v>1</x:v>
      </x:c>
      <x:c r="R1476" s="8" t="n">
        <x:v>45430</x:v>
      </x:c>
      <x:c r="S1476" s="4" t="str">
        <x:v>Lost / cancelled</x:v>
      </x:c>
      <x:c r="T1476" s="10" t="n">
        <x:v>0.310195</x:v>
      </x:c>
      <x:c r="U1476" s="4" t="str">
        <x:v>Train</x:v>
      </x:c>
    </x:row>
    <x:row r="1477" ht="34" customHeight="1">
      <x:c r="A1477" s="4" t="str">
        <x:v>RS-01476</x:v>
      </x:c>
      <x:c r="B1477" s="8" t="n">
        <x:v>45371</x:v>
      </x:c>
      <x:c r="C1477" s="4" t="str">
        <x:v>PRJ-016</x:v>
      </x:c>
      <x:c r="D1477" s="4" t="str">
        <x:v>Retail</x:v>
      </x:c>
      <x:c r="E1477" s="4" t="str">
        <x:v>Handed over</x:v>
      </x:c>
      <x:c r="F1477" s="4" t="str">
        <x:v>CUS-01476</x:v>
      </x:c>
      <x:c r="G1477" s="4" t="str">
        <x:v>UNIT-01476</x:v>
      </x:c>
      <x:c r="H1477" s="9" t="n">
        <x:v>8000000</x:v>
      </x:c>
      <x:c r="I1477" s="10" t="n">
        <x:v>0.01</x:v>
      </x:c>
      <x:c r="J1477" s="11" t="n">
        <x:v>8</x:v>
      </x:c>
      <x:c r="K1477" s="11" t="n">
        <x:v>8</x:v>
      </x:c>
      <x:c r="L1477" s="11" t="n">
        <x:v>0</x:v>
      </x:c>
      <x:c r="M1477" s="9" t="n">
        <x:f>ROUND(H1477*(1-I1477),2)</x:f>
        <x:v>7920000</x:v>
      </x:c>
      <x:c r="N1477" s="4" t="str">
        <x:v>Sales manager</x:v>
      </x:c>
      <x:c r="O1477" s="4" t="str">
        <x:v>BOOK-01476</x:v>
      </x:c>
      <x:c r="P1477" s="9" t="n">
        <x:v>7920000</x:v>
      </x:c>
      <x:c r="Q1477" s="11" t="n">
        <x:v>0</x:v>
      </x:c>
      <x:c r="R1477" s="8" t="n">
        <x:v>45431</x:v>
      </x:c>
      <x:c r="S1477" s="4" t="str">
        <x:v>Retained</x:v>
      </x:c>
      <x:c r="T1477" s="10" t="n">
        <x:v>0.305556</x:v>
      </x:c>
      <x:c r="U1477" s="4" t="str">
        <x:v>Train</x:v>
      </x:c>
    </x:row>
    <x:row r="1478" ht="34" customHeight="1">
      <x:c r="A1478" s="4" t="str">
        <x:v>RS-01477</x:v>
      </x:c>
      <x:c r="B1478" s="8" t="n">
        <x:v>45372</x:v>
      </x:c>
      <x:c r="C1478" s="4" t="str">
        <x:v>PRJ-017</x:v>
      </x:c>
      <x:c r="D1478" s="4" t="str">
        <x:v>Retail</x:v>
      </x:c>
      <x:c r="E1478" s="4" t="str">
        <x:v>Booked</x:v>
      </x:c>
      <x:c r="F1478" s="4" t="str">
        <x:v>CUS-01477</x:v>
      </x:c>
      <x:c r="G1478" s="4" t="str">
        <x:v>UNIT-01477</x:v>
      </x:c>
      <x:c r="H1478" s="9" t="n">
        <x:v>17000000</x:v>
      </x:c>
      <x:c r="I1478" s="10" t="n">
        <x:v>0.01</x:v>
      </x:c>
      <x:c r="J1478" s="11" t="n">
        <x:v>12</x:v>
      </x:c>
      <x:c r="K1478" s="11" t="n">
        <x:v>2</x:v>
      </x:c>
      <x:c r="L1478" s="11" t="n">
        <x:v>1</x:v>
      </x:c>
      <x:c r="M1478" s="9" t="n">
        <x:f>ROUND(H1478*(1-I1478),2)</x:f>
        <x:v>16830000</x:v>
      </x:c>
      <x:c r="N1478" s="4" t="str">
        <x:v>Sales manager</x:v>
      </x:c>
      <x:c r="O1478" s="4" t="str">
        <x:v>BOOK-01477</x:v>
      </x:c>
      <x:c r="P1478" s="9" t="n">
        <x:v>4207500</x:v>
      </x:c>
      <x:c r="Q1478" s="11" t="n">
        <x:v>0</x:v>
      </x:c>
      <x:c r="R1478" s="8" t="n">
        <x:v>45432</x:v>
      </x:c>
      <x:c r="S1478" s="4" t="str">
        <x:v>Retained</x:v>
      </x:c>
      <x:c r="T1478" s="10" t="n">
        <x:v>0.254545</x:v>
      </x:c>
      <x:c r="U1478" s="4" t="str">
        <x:v>Train</x:v>
      </x:c>
    </x:row>
    <x:row r="1479" ht="34" customHeight="1">
      <x:c r="A1479" s="4" t="str">
        <x:v>RS-01478</x:v>
      </x:c>
      <x:c r="B1479" s="8" t="n">
        <x:v>45373</x:v>
      </x:c>
      <x:c r="C1479" s="4" t="str">
        <x:v>PRJ-018</x:v>
      </x:c>
      <x:c r="D1479" s="4" t="str">
        <x:v>Villa</x:v>
      </x:c>
      <x:c r="E1479" s="4" t="str">
        <x:v>Booked</x:v>
      </x:c>
      <x:c r="F1479" s="4" t="str">
        <x:v>CUS-01478</x:v>
      </x:c>
      <x:c r="G1479" s="4" t="str">
        <x:v>UNIT-01478</x:v>
      </x:c>
      <x:c r="H1479" s="9" t="n">
        <x:v>22900000</x:v>
      </x:c>
      <x:c r="I1479" s="10" t="n">
        <x:v>0.12</x:v>
      </x:c>
      <x:c r="J1479" s="11" t="n">
        <x:v>4</x:v>
      </x:c>
      <x:c r="K1479" s="11" t="n">
        <x:v>0</x:v>
      </x:c>
      <x:c r="L1479" s="11" t="n">
        <x:v>1</x:v>
      </x:c>
      <x:c r="M1479" s="9" t="n">
        <x:f>ROUND(H1479*(1-I1479),2)</x:f>
        <x:v>20152000</x:v>
      </x:c>
      <x:c r="N1479" s="4" t="str">
        <x:v>Sales head</x:v>
      </x:c>
      <x:c r="O1479" s="4" t="str">
        <x:v>BOOK-01478</x:v>
      </x:c>
      <x:c r="P1479" s="9" t="n">
        <x:v>2015200</x:v>
      </x:c>
      <x:c r="Q1479" s="11" t="n">
        <x:v>0</x:v>
      </x:c>
      <x:c r="R1479" s="8" t="n">
        <x:v>45433</x:v>
      </x:c>
      <x:c r="S1479" s="4" t="str">
        <x:v>Retained</x:v>
      </x:c>
      <x:c r="T1479" s="10" t="n">
        <x:v>0.291946</x:v>
      </x:c>
      <x:c r="U1479" s="4" t="str">
        <x:v>Train</x:v>
      </x:c>
    </x:row>
    <x:row r="1480" ht="34" customHeight="1">
      <x:c r="A1480" s="4" t="str">
        <x:v>RS-01479</x:v>
      </x:c>
      <x:c r="B1480" s="8" t="n">
        <x:v>45374</x:v>
      </x:c>
      <x:c r="C1480" s="4" t="str">
        <x:v>PRJ-019</x:v>
      </x:c>
      <x:c r="D1480" s="4" t="str">
        <x:v>Office</x:v>
      </x:c>
      <x:c r="E1480" s="4" t="str">
        <x:v>Booked</x:v>
      </x:c>
      <x:c r="F1480" s="4" t="str">
        <x:v>CUS-01479</x:v>
      </x:c>
      <x:c r="G1480" s="4" t="str">
        <x:v>UNIT-01479</x:v>
      </x:c>
      <x:c r="H1480" s="9" t="n">
        <x:v>20300000</x:v>
      </x:c>
      <x:c r="I1480" s="10" t="n">
        <x:v>0.02</x:v>
      </x:c>
      <x:c r="J1480" s="11" t="n">
        <x:v>12</x:v>
      </x:c>
      <x:c r="K1480" s="11" t="n">
        <x:v>9</x:v>
      </x:c>
      <x:c r="L1480" s="11" t="n">
        <x:v>1</x:v>
      </x:c>
      <x:c r="M1480" s="9" t="n">
        <x:f>ROUND(H1480*(1-I1480),2)</x:f>
        <x:v>19894000</x:v>
      </x:c>
      <x:c r="N1480" s="4" t="str">
        <x:v>Sales manager</x:v>
      </x:c>
      <x:c r="O1480" s="4" t="str">
        <x:v>BOOK-01479</x:v>
      </x:c>
      <x:c r="P1480" s="9" t="n">
        <x:v>4973500</x:v>
      </x:c>
      <x:c r="Q1480" s="11" t="n">
        <x:v>0</x:v>
      </x:c>
      <x:c r="R1480" s="8" t="n">
        <x:v>45434</x:v>
      </x:c>
      <x:c r="S1480" s="4" t="str">
        <x:v>Retained</x:v>
      </x:c>
      <x:c r="T1480" s="10" t="n">
        <x:v>0.254545</x:v>
      </x:c>
      <x:c r="U1480" s="4" t="str">
        <x:v>Train</x:v>
      </x:c>
    </x:row>
    <x:row r="1481" ht="34" customHeight="1">
      <x:c r="A1481" s="4" t="str">
        <x:v>RS-01480</x:v>
      </x:c>
      <x:c r="B1481" s="8" t="n">
        <x:v>45375</x:v>
      </x:c>
      <x:c r="C1481" s="4" t="str">
        <x:v>PRJ-020</x:v>
      </x:c>
      <x:c r="D1481" s="4" t="str">
        <x:v>Office</x:v>
      </x:c>
      <x:c r="E1481" s="4" t="str">
        <x:v>Cancelled</x:v>
      </x:c>
      <x:c r="F1481" s="4" t="str">
        <x:v>CUS-01480</x:v>
      </x:c>
      <x:c r="G1481" s="4" t="str">
        <x:v>UNIT-01480</x:v>
      </x:c>
      <x:c r="H1481" s="9" t="n">
        <x:v>11500000</x:v>
      </x:c>
      <x:c r="I1481" s="10" t="n">
        <x:v>0.03</x:v>
      </x:c>
      <x:c r="J1481" s="11" t="n">
        <x:v>5</x:v>
      </x:c>
      <x:c r="K1481" s="11" t="n">
        <x:v>4</x:v>
      </x:c>
      <x:c r="L1481" s="11" t="n">
        <x:v>0</x:v>
      </x:c>
      <x:c r="M1481" s="9" t="n">
        <x:f>ROUND(H1481*(1-I1481),2)</x:f>
        <x:v>11155000</x:v>
      </x:c>
      <x:c r="N1481" s="4" t="str">
        <x:v>Sales manager</x:v>
      </x:c>
      <x:c r="O1481" s="4"/>
      <x:c r="P1481" s="9" t="n">
        <x:v>0</x:v>
      </x:c>
      <x:c r="Q1481" s="11" t="n">
        <x:v>1</x:v>
      </x:c>
      <x:c r="R1481" s="8" t="n">
        <x:v>45435</x:v>
      </x:c>
      <x:c r="S1481" s="4" t="str">
        <x:v>Lost / cancelled</x:v>
      </x:c>
      <x:c r="T1481" s="10" t="n">
        <x:v>0.298969</x:v>
      </x:c>
      <x:c r="U1481" s="4" t="str">
        <x:v>Train</x:v>
      </x:c>
    </x:row>
    <x:row r="1482" ht="34" customHeight="1">
      <x:c r="A1482" s="4" t="str">
        <x:v>RS-01481</x:v>
      </x:c>
      <x:c r="B1482" s="8" t="n">
        <x:v>45376</x:v>
      </x:c>
      <x:c r="C1482" s="4" t="str">
        <x:v>PRJ-001</x:v>
      </x:c>
      <x:c r="D1482" s="4" t="str">
        <x:v>Apartment</x:v>
      </x:c>
      <x:c r="E1482" s="4" t="str">
        <x:v>Cancelled</x:v>
      </x:c>
      <x:c r="F1482" s="4" t="str">
        <x:v>CUS-01481</x:v>
      </x:c>
      <x:c r="G1482" s="4" t="str">
        <x:v>UNIT-01481</x:v>
      </x:c>
      <x:c r="H1482" s="9" t="n">
        <x:v>13700000</x:v>
      </x:c>
      <x:c r="I1482" s="10" t="n">
        <x:v>0.08</x:v>
      </x:c>
      <x:c r="J1482" s="11" t="n">
        <x:v>1</x:v>
      </x:c>
      <x:c r="K1482" s="11" t="n">
        <x:v>2</x:v>
      </x:c>
      <x:c r="L1482" s="11" t="n">
        <x:v>1</x:v>
      </x:c>
      <x:c r="M1482" s="9" t="n">
        <x:f>ROUND(H1482*(1-I1482),2)</x:f>
        <x:v>12604000</x:v>
      </x:c>
      <x:c r="N1482" s="4" t="str">
        <x:v>Sales head</x:v>
      </x:c>
      <x:c r="O1482" s="4"/>
      <x:c r="P1482" s="9" t="n">
        <x:v>0</x:v>
      </x:c>
      <x:c r="Q1482" s="11" t="n">
        <x:v>1</x:v>
      </x:c>
      <x:c r="R1482" s="8" t="n">
        <x:v>45436</x:v>
      </x:c>
      <x:c r="S1482" s="4" t="str">
        <x:v>Lost / cancelled</x:v>
      </x:c>
      <x:c r="T1482" s="10" t="n">
        <x:v>0.204152</x:v>
      </x:c>
      <x:c r="U1482" s="4" t="str">
        <x:v>Train</x:v>
      </x:c>
    </x:row>
    <x:row r="1483" ht="34" customHeight="1">
      <x:c r="A1483" s="4" t="str">
        <x:v>RS-01482</x:v>
      </x:c>
      <x:c r="B1483" s="8" t="n">
        <x:v>45377</x:v>
      </x:c>
      <x:c r="C1483" s="4" t="str">
        <x:v>PRJ-002</x:v>
      </x:c>
      <x:c r="D1483" s="4" t="str">
        <x:v>Villa</x:v>
      </x:c>
      <x:c r="E1483" s="4" t="str">
        <x:v>Booked</x:v>
      </x:c>
      <x:c r="F1483" s="4" t="str">
        <x:v>CUS-01482</x:v>
      </x:c>
      <x:c r="G1483" s="4" t="str">
        <x:v>UNIT-01482</x:v>
      </x:c>
      <x:c r="H1483" s="9" t="n">
        <x:v>16900000</x:v>
      </x:c>
      <x:c r="I1483" s="10" t="n">
        <x:v>0.09</x:v>
      </x:c>
      <x:c r="J1483" s="11" t="n">
        <x:v>9</x:v>
      </x:c>
      <x:c r="K1483" s="11" t="n">
        <x:v>4</x:v>
      </x:c>
      <x:c r="L1483" s="11" t="n">
        <x:v>0</x:v>
      </x:c>
      <x:c r="M1483" s="9" t="n">
        <x:f>ROUND(H1483*(1-I1483),2)</x:f>
        <x:v>15379000</x:v>
      </x:c>
      <x:c r="N1483" s="4" t="str">
        <x:v>Sales head</x:v>
      </x:c>
      <x:c r="O1483" s="4" t="str">
        <x:v>BOOK-01482</x:v>
      </x:c>
      <x:c r="P1483" s="9" t="n">
        <x:v>1537900</x:v>
      </x:c>
      <x:c r="Q1483" s="11" t="n">
        <x:v>0</x:v>
      </x:c>
      <x:c r="R1483" s="8" t="n">
        <x:v>45437</x:v>
      </x:c>
      <x:c r="S1483" s="4" t="str">
        <x:v>Retained</x:v>
      </x:c>
      <x:c r="T1483" s="10" t="n">
        <x:v>0.310195</x:v>
      </x:c>
      <x:c r="U1483" s="4" t="str">
        <x:v>Train</x:v>
      </x:c>
    </x:row>
    <x:row r="1484" ht="34" customHeight="1">
      <x:c r="A1484" s="4" t="str">
        <x:v>RS-01483</x:v>
      </x:c>
      <x:c r="B1484" s="8" t="n">
        <x:v>45378</x:v>
      </x:c>
      <x:c r="C1484" s="4" t="str">
        <x:v>PRJ-003</x:v>
      </x:c>
      <x:c r="D1484" s="4" t="str">
        <x:v>Office</x:v>
      </x:c>
      <x:c r="E1484" s="4" t="str">
        <x:v>Booked</x:v>
      </x:c>
      <x:c r="F1484" s="4" t="str">
        <x:v>CUS-01483</x:v>
      </x:c>
      <x:c r="G1484" s="4" t="str">
        <x:v>UNIT-01483</x:v>
      </x:c>
      <x:c r="H1484" s="9" t="n">
        <x:v>15800000</x:v>
      </x:c>
      <x:c r="I1484" s="10" t="n">
        <x:v>0.06</x:v>
      </x:c>
      <x:c r="J1484" s="11" t="n">
        <x:v>6</x:v>
      </x:c>
      <x:c r="K1484" s="11" t="n">
        <x:v>3</x:v>
      </x:c>
      <x:c r="L1484" s="11" t="n">
        <x:v>1</x:v>
      </x:c>
      <x:c r="M1484" s="9" t="n">
        <x:f>ROUND(H1484*(1-I1484),2)</x:f>
        <x:v>14852000</x:v>
      </x:c>
      <x:c r="N1484" s="4" t="str">
        <x:v>Sales manager</x:v>
      </x:c>
      <x:c r="O1484" s="4" t="str">
        <x:v>BOOK-01483</x:v>
      </x:c>
      <x:c r="P1484" s="9" t="n">
        <x:v>1485200</x:v>
      </x:c>
      <x:c r="Q1484" s="11" t="n">
        <x:v>0</x:v>
      </x:c>
      <x:c r="R1484" s="8" t="n">
        <x:v>45438</x:v>
      </x:c>
      <x:c r="S1484" s="4" t="str">
        <x:v>Retained</x:v>
      </x:c>
      <x:c r="T1484" s="10" t="n">
        <x:v>0.291946</x:v>
      </x:c>
      <x:c r="U1484" s="4" t="str">
        <x:v>Train</x:v>
      </x:c>
    </x:row>
    <x:row r="1485" ht="34" customHeight="1">
      <x:c r="A1485" s="4" t="str">
        <x:v>RS-01484</x:v>
      </x:c>
      <x:c r="B1485" s="8" t="n">
        <x:v>45379</x:v>
      </x:c>
      <x:c r="C1485" s="4" t="str">
        <x:v>PRJ-004</x:v>
      </x:c>
      <x:c r="D1485" s="4" t="str">
        <x:v>Apartment</x:v>
      </x:c>
      <x:c r="E1485" s="4" t="str">
        <x:v>Enquiry</x:v>
      </x:c>
      <x:c r="F1485" s="4" t="str">
        <x:v>CUS-01484</x:v>
      </x:c>
      <x:c r="G1485" s="4" t="str">
        <x:v>UNIT-01484</x:v>
      </x:c>
      <x:c r="H1485" s="9" t="n">
        <x:v>5700000</x:v>
      </x:c>
      <x:c r="I1485" s="10" t="n">
        <x:v>0.09</x:v>
      </x:c>
      <x:c r="J1485" s="11" t="n">
        <x:v>11</x:v>
      </x:c>
      <x:c r="K1485" s="11" t="n">
        <x:v>0</x:v>
      </x:c>
      <x:c r="L1485" s="11" t="n">
        <x:v>0</x:v>
      </x:c>
      <x:c r="M1485" s="9" t="n">
        <x:f>ROUND(H1485*(1-I1485),2)</x:f>
        <x:v>5187000</x:v>
      </x:c>
      <x:c r="N1485" s="4" t="str">
        <x:v>Sales head</x:v>
      </x:c>
      <x:c r="O1485" s="4"/>
      <x:c r="P1485" s="9" t="n">
        <x:v>0</x:v>
      </x:c>
      <x:c r="Q1485" s="11" t="n">
        <x:v>1</x:v>
      </x:c>
      <x:c r="R1485" s="8" t="n">
        <x:v>45439</x:v>
      </x:c>
      <x:c r="S1485" s="4" t="str">
        <x:v>Lost / cancelled</x:v>
      </x:c>
      <x:c r="T1485" s="10" t="n">
        <x:v>0.351536</x:v>
      </x:c>
      <x:c r="U1485" s="4" t="str">
        <x:v>Train</x:v>
      </x:c>
    </x:row>
    <x:row r="1486" ht="34" customHeight="1">
      <x:c r="A1486" s="4" t="str">
        <x:v>RS-01485</x:v>
      </x:c>
      <x:c r="B1486" s="8" t="n">
        <x:v>45352</x:v>
      </x:c>
      <x:c r="C1486" s="4" t="str">
        <x:v>PRJ-005</x:v>
      </x:c>
      <x:c r="D1486" s="4" t="str">
        <x:v>Office</x:v>
      </x:c>
      <x:c r="E1486" s="4" t="str">
        <x:v>Agreement signed</x:v>
      </x:c>
      <x:c r="F1486" s="4" t="str">
        <x:v>CUS-01485</x:v>
      </x:c>
      <x:c r="G1486" s="4" t="str">
        <x:v>UNIT-01485</x:v>
      </x:c>
      <x:c r="H1486" s="9" t="n">
        <x:v>21400000</x:v>
      </x:c>
      <x:c r="I1486" s="10" t="n">
        <x:v>0.03</x:v>
      </x:c>
      <x:c r="J1486" s="11" t="n">
        <x:v>4</x:v>
      </x:c>
      <x:c r="K1486" s="11" t="n">
        <x:v>0</x:v>
      </x:c>
      <x:c r="L1486" s="11" t="n">
        <x:v>0</x:v>
      </x:c>
      <x:c r="M1486" s="9" t="n">
        <x:f>ROUND(H1486*(1-I1486),2)</x:f>
        <x:v>20758000</x:v>
      </x:c>
      <x:c r="N1486" s="4" t="str">
        <x:v>Sales manager</x:v>
      </x:c>
      <x:c r="O1486" s="4" t="str">
        <x:v>BOOK-01485</x:v>
      </x:c>
      <x:c r="P1486" s="9" t="n">
        <x:v>10379000</x:v>
      </x:c>
      <x:c r="Q1486" s="11" t="n">
        <x:v>0</x:v>
      </x:c>
      <x:c r="R1486" s="8" t="n">
        <x:v>45412</x:v>
      </x:c>
      <x:c r="S1486" s="4" t="str">
        <x:v>Retained</x:v>
      </x:c>
      <x:c r="T1486" s="10" t="n">
        <x:v>0.298969</x:v>
      </x:c>
      <x:c r="U1486" s="4" t="str">
        <x:v>Train</x:v>
      </x:c>
    </x:row>
    <x:row r="1487" ht="34" customHeight="1">
      <x:c r="A1487" s="4" t="str">
        <x:v>RS-01486</x:v>
      </x:c>
      <x:c r="B1487" s="8" t="n">
        <x:v>45353</x:v>
      </x:c>
      <x:c r="C1487" s="4" t="str">
        <x:v>PRJ-006</x:v>
      </x:c>
      <x:c r="D1487" s="4" t="str">
        <x:v>Retail</x:v>
      </x:c>
      <x:c r="E1487" s="4" t="str">
        <x:v>Enquiry</x:v>
      </x:c>
      <x:c r="F1487" s="4" t="str">
        <x:v>CUS-01486</x:v>
      </x:c>
      <x:c r="G1487" s="4" t="str">
        <x:v>UNIT-01486</x:v>
      </x:c>
      <x:c r="H1487" s="9" t="n">
        <x:v>4700000</x:v>
      </x:c>
      <x:c r="I1487" s="10" t="n">
        <x:v>0.08</x:v>
      </x:c>
      <x:c r="J1487" s="11" t="n">
        <x:v>6</x:v>
      </x:c>
      <x:c r="K1487" s="11" t="n">
        <x:v>10</x:v>
      </x:c>
      <x:c r="L1487" s="11" t="n">
        <x:v>0</x:v>
      </x:c>
      <x:c r="M1487" s="9" t="n">
        <x:f>ROUND(H1487*(1-I1487),2)</x:f>
        <x:v>4324000</x:v>
      </x:c>
      <x:c r="N1487" s="4" t="str">
        <x:v>Sales head</x:v>
      </x:c>
      <x:c r="O1487" s="4"/>
      <x:c r="P1487" s="9" t="n">
        <x:v>0</x:v>
      </x:c>
      <x:c r="Q1487" s="11" t="n">
        <x:v>0</x:v>
      </x:c>
      <x:c r="R1487" s="8" t="n">
        <x:v>45413</x:v>
      </x:c>
      <x:c r="S1487" s="4" t="str">
        <x:v>Retained</x:v>
      </x:c>
      <x:c r="T1487" s="10" t="n">
        <x:v>0.226277</x:v>
      </x:c>
      <x:c r="U1487" s="4" t="str">
        <x:v>Train</x:v>
      </x:c>
    </x:row>
    <x:row r="1488" ht="34" customHeight="1">
      <x:c r="A1488" s="4" t="str">
        <x:v>RS-01487</x:v>
      </x:c>
      <x:c r="B1488" s="8" t="n">
        <x:v>45354</x:v>
      </x:c>
      <x:c r="C1488" s="4" t="str">
        <x:v>PRJ-007</x:v>
      </x:c>
      <x:c r="D1488" s="4" t="str">
        <x:v>Villa</x:v>
      </x:c>
      <x:c r="E1488" s="4" t="str">
        <x:v>Booked</x:v>
      </x:c>
      <x:c r="F1488" s="4" t="str">
        <x:v>CUS-01487</x:v>
      </x:c>
      <x:c r="G1488" s="4" t="str">
        <x:v>UNIT-01487</x:v>
      </x:c>
      <x:c r="H1488" s="9" t="n">
        <x:v>22300000</x:v>
      </x:c>
      <x:c r="I1488" s="10" t="n">
        <x:v>0.11</x:v>
      </x:c>
      <x:c r="J1488" s="11" t="n">
        <x:v>12</x:v>
      </x:c>
      <x:c r="K1488" s="11" t="n">
        <x:v>9</x:v>
      </x:c>
      <x:c r="L1488" s="11" t="n">
        <x:v>0</x:v>
      </x:c>
      <x:c r="M1488" s="9" t="n">
        <x:f>ROUND(H1488*(1-I1488),2)</x:f>
        <x:v>19847000</x:v>
      </x:c>
      <x:c r="N1488" s="4" t="str">
        <x:v>Sales head</x:v>
      </x:c>
      <x:c r="O1488" s="4" t="str">
        <x:v>BOOK-01487</x:v>
      </x:c>
      <x:c r="P1488" s="9" t="n">
        <x:v>4961750</x:v>
      </x:c>
      <x:c r="Q1488" s="11" t="n">
        <x:v>0</x:v>
      </x:c>
      <x:c r="R1488" s="8" t="n">
        <x:v>45414</x:v>
      </x:c>
      <x:c r="S1488" s="4" t="str">
        <x:v>Retained</x:v>
      </x:c>
      <x:c r="T1488" s="10" t="n">
        <x:v>0.351536</x:v>
      </x:c>
      <x:c r="U1488" s="4" t="str">
        <x:v>Train</x:v>
      </x:c>
    </x:row>
    <x:row r="1489" ht="34" customHeight="1">
      <x:c r="A1489" s="4" t="str">
        <x:v>RS-01488</x:v>
      </x:c>
      <x:c r="B1489" s="8" t="n">
        <x:v>45355</x:v>
      </x:c>
      <x:c r="C1489" s="4" t="str">
        <x:v>PRJ-008</x:v>
      </x:c>
      <x:c r="D1489" s="4" t="str">
        <x:v>Retail</x:v>
      </x:c>
      <x:c r="E1489" s="4" t="str">
        <x:v>Handed over</x:v>
      </x:c>
      <x:c r="F1489" s="4" t="str">
        <x:v>CUS-01488</x:v>
      </x:c>
      <x:c r="G1489" s="4" t="str">
        <x:v>UNIT-01488</x:v>
      </x:c>
      <x:c r="H1489" s="9" t="n">
        <x:v>11300000</x:v>
      </x:c>
      <x:c r="I1489" s="10" t="n">
        <x:v>0.02</x:v>
      </x:c>
      <x:c r="J1489" s="11" t="n">
        <x:v>6</x:v>
      </x:c>
      <x:c r="K1489" s="11" t="n">
        <x:v>10</x:v>
      </x:c>
      <x:c r="L1489" s="11" t="n">
        <x:v>0</x:v>
      </x:c>
      <x:c r="M1489" s="9" t="n">
        <x:f>ROUND(H1489*(1-I1489),2)</x:f>
        <x:v>11074000</x:v>
      </x:c>
      <x:c r="N1489" s="4" t="str">
        <x:v>Sales manager</x:v>
      </x:c>
      <x:c r="O1489" s="4" t="str">
        <x:v>BOOK-01488</x:v>
      </x:c>
      <x:c r="P1489" s="9" t="n">
        <x:v>2768500</x:v>
      </x:c>
      <x:c r="Q1489" s="11" t="n">
        <x:v>0</x:v>
      </x:c>
      <x:c r="R1489" s="8" t="n">
        <x:v>45415</x:v>
      </x:c>
      <x:c r="S1489" s="4" t="str">
        <x:v>Retained</x:v>
      </x:c>
      <x:c r="T1489" s="10" t="n">
        <x:v>0.145299</x:v>
      </x:c>
      <x:c r="U1489" s="4" t="str">
        <x:v>Train</x:v>
      </x:c>
    </x:row>
    <x:row r="1490" ht="34" customHeight="1">
      <x:c r="A1490" s="4" t="str">
        <x:v>RS-01489</x:v>
      </x:c>
      <x:c r="B1490" s="8" t="n">
        <x:v>45356</x:v>
      </x:c>
      <x:c r="C1490" s="4" t="str">
        <x:v>PRJ-009</x:v>
      </x:c>
      <x:c r="D1490" s="4" t="str">
        <x:v>Apartment</x:v>
      </x:c>
      <x:c r="E1490" s="4" t="str">
        <x:v>Handed over</x:v>
      </x:c>
      <x:c r="F1490" s="4" t="str">
        <x:v>CUS-01489</x:v>
      </x:c>
      <x:c r="G1490" s="4" t="str">
        <x:v>UNIT-01489</x:v>
      </x:c>
      <x:c r="H1490" s="9" t="n">
        <x:v>4300000</x:v>
      </x:c>
      <x:c r="I1490" s="10" t="n">
        <x:v>0.11</x:v>
      </x:c>
      <x:c r="J1490" s="11" t="n">
        <x:v>0</x:v>
      </x:c>
      <x:c r="K1490" s="11" t="n">
        <x:v>7</x:v>
      </x:c>
      <x:c r="L1490" s="11" t="n">
        <x:v>1</x:v>
      </x:c>
      <x:c r="M1490" s="9" t="n">
        <x:f>ROUND(H1490*(1-I1490),2)</x:f>
        <x:v>3827000</x:v>
      </x:c>
      <x:c r="N1490" s="4" t="str">
        <x:v>Sales head</x:v>
      </x:c>
      <x:c r="O1490" s="4" t="str">
        <x:v>BOOK-01489</x:v>
      </x:c>
      <x:c r="P1490" s="9" t="n">
        <x:v>382700</x:v>
      </x:c>
      <x:c r="Q1490" s="11" t="n">
        <x:v>0</x:v>
      </x:c>
      <x:c r="R1490" s="8" t="n">
        <x:v>45416</x:v>
      </x:c>
      <x:c r="S1490" s="4" t="str">
        <x:v>Retained</x:v>
      </x:c>
      <x:c r="T1490" s="10" t="n">
        <x:v>0.145833</x:v>
      </x:c>
      <x:c r="U1490" s="4" t="str">
        <x:v>Train</x:v>
      </x:c>
    </x:row>
    <x:row r="1491" ht="34" customHeight="1">
      <x:c r="A1491" s="4" t="str">
        <x:v>RS-01490</x:v>
      </x:c>
      <x:c r="B1491" s="8" t="n">
        <x:v>45357</x:v>
      </x:c>
      <x:c r="C1491" s="4" t="str">
        <x:v>PRJ-010</x:v>
      </x:c>
      <x:c r="D1491" s="4" t="str">
        <x:v>Office</x:v>
      </x:c>
      <x:c r="E1491" s="4" t="str">
        <x:v>Enquiry</x:v>
      </x:c>
      <x:c r="F1491" s="4" t="str">
        <x:v>CUS-01490</x:v>
      </x:c>
      <x:c r="G1491" s="4" t="str">
        <x:v>UNIT-01490</x:v>
      </x:c>
      <x:c r="H1491" s="9" t="n">
        <x:v>7700000</x:v>
      </x:c>
      <x:c r="I1491" s="10" t="n">
        <x:v>0.11</x:v>
      </x:c>
      <x:c r="J1491" s="11" t="n">
        <x:v>7</x:v>
      </x:c>
      <x:c r="K1491" s="11" t="n">
        <x:v>8</x:v>
      </x:c>
      <x:c r="L1491" s="11" t="n">
        <x:v>0</x:v>
      </x:c>
      <x:c r="M1491" s="9" t="n">
        <x:f>ROUND(H1491*(1-I1491),2)</x:f>
        <x:v>6853000</x:v>
      </x:c>
      <x:c r="N1491" s="4" t="str">
        <x:v>Sales head</x:v>
      </x:c>
      <x:c r="O1491" s="4"/>
      <x:c r="P1491" s="9" t="n">
        <x:v>0</x:v>
      </x:c>
      <x:c r="Q1491" s="11" t="n">
        <x:v>0</x:v>
      </x:c>
      <x:c r="R1491" s="8" t="n">
        <x:v>45417</x:v>
      </x:c>
      <x:c r="S1491" s="4" t="str">
        <x:v>Retained</x:v>
      </x:c>
      <x:c r="T1491" s="10" t="n">
        <x:v>0.226277</x:v>
      </x:c>
      <x:c r="U1491" s="4" t="str">
        <x:v>Train</x:v>
      </x:c>
    </x:row>
    <x:row r="1492" ht="34" customHeight="1">
      <x:c r="A1492" s="4" t="str">
        <x:v>RS-01491</x:v>
      </x:c>
      <x:c r="B1492" s="8" t="n">
        <x:v>45358</x:v>
      </x:c>
      <x:c r="C1492" s="4" t="str">
        <x:v>PRJ-011</x:v>
      </x:c>
      <x:c r="D1492" s="4" t="str">
        <x:v>Villa</x:v>
      </x:c>
      <x:c r="E1492" s="4" t="str">
        <x:v>Cancelled</x:v>
      </x:c>
      <x:c r="F1492" s="4" t="str">
        <x:v>CUS-01491</x:v>
      </x:c>
      <x:c r="G1492" s="4" t="str">
        <x:v>UNIT-01491</x:v>
      </x:c>
      <x:c r="H1492" s="9" t="n">
        <x:v>10600000</x:v>
      </x:c>
      <x:c r="I1492" s="10" t="n">
        <x:v>0.04</x:v>
      </x:c>
      <x:c r="J1492" s="11" t="n">
        <x:v>11</x:v>
      </x:c>
      <x:c r="K1492" s="11" t="n">
        <x:v>5</x:v>
      </x:c>
      <x:c r="L1492" s="11" t="n">
        <x:v>0</x:v>
      </x:c>
      <x:c r="M1492" s="9" t="n">
        <x:f>ROUND(H1492*(1-I1492),2)</x:f>
        <x:v>10176000</x:v>
      </x:c>
      <x:c r="N1492" s="4" t="str">
        <x:v>Sales manager</x:v>
      </x:c>
      <x:c r="O1492" s="4"/>
      <x:c r="P1492" s="9" t="n">
        <x:v>0</x:v>
      </x:c>
      <x:c r="Q1492" s="11" t="n">
        <x:v>1</x:v>
      </x:c>
      <x:c r="R1492" s="8" t="n">
        <x:v>45418</x:v>
      </x:c>
      <x:c r="S1492" s="4" t="str">
        <x:v>Lost / cancelled</x:v>
      </x:c>
      <x:c r="T1492" s="10" t="n">
        <x:v>0.351536</x:v>
      </x:c>
      <x:c r="U1492" s="4" t="str">
        <x:v>Train</x:v>
      </x:c>
    </x:row>
    <x:row r="1493" ht="34" customHeight="1">
      <x:c r="A1493" s="4" t="str">
        <x:v>RS-01492</x:v>
      </x:c>
      <x:c r="B1493" s="8" t="n">
        <x:v>45359</x:v>
      </x:c>
      <x:c r="C1493" s="4" t="str">
        <x:v>PRJ-012</x:v>
      </x:c>
      <x:c r="D1493" s="4" t="str">
        <x:v>Retail</x:v>
      </x:c>
      <x:c r="E1493" s="4" t="str">
        <x:v>Handed over</x:v>
      </x:c>
      <x:c r="F1493" s="4" t="str">
        <x:v>CUS-01492</x:v>
      </x:c>
      <x:c r="G1493" s="4" t="str">
        <x:v>UNIT-01492</x:v>
      </x:c>
      <x:c r="H1493" s="9" t="n">
        <x:v>16000000</x:v>
      </x:c>
      <x:c r="I1493" s="10" t="n">
        <x:v>0.06</x:v>
      </x:c>
      <x:c r="J1493" s="11" t="n">
        <x:v>10</x:v>
      </x:c>
      <x:c r="K1493" s="11" t="n">
        <x:v>8</x:v>
      </x:c>
      <x:c r="L1493" s="11" t="n">
        <x:v>0</x:v>
      </x:c>
      <x:c r="M1493" s="9" t="n">
        <x:f>ROUND(H1493*(1-I1493),2)</x:f>
        <x:v>15040000</x:v>
      </x:c>
      <x:c r="N1493" s="4" t="str">
        <x:v>Sales manager</x:v>
      </x:c>
      <x:c r="O1493" s="4" t="str">
        <x:v>BOOK-01492</x:v>
      </x:c>
      <x:c r="P1493" s="9" t="n">
        <x:v>7520000</x:v>
      </x:c>
      <x:c r="Q1493" s="11" t="n">
        <x:v>0</x:v>
      </x:c>
      <x:c r="R1493" s="8" t="n">
        <x:v>45419</x:v>
      </x:c>
      <x:c r="S1493" s="4" t="str">
        <x:v>Retained</x:v>
      </x:c>
      <x:c r="T1493" s="10" t="n">
        <x:v>0.310195</x:v>
      </x:c>
      <x:c r="U1493" s="4" t="str">
        <x:v>Train</x:v>
      </x:c>
    </x:row>
    <x:row r="1494" ht="34" customHeight="1">
      <x:c r="A1494" s="4" t="str">
        <x:v>RS-01493</x:v>
      </x:c>
      <x:c r="B1494" s="8" t="n">
        <x:v>45360</x:v>
      </x:c>
      <x:c r="C1494" s="4" t="str">
        <x:v>PRJ-013</x:v>
      </x:c>
      <x:c r="D1494" s="4" t="str">
        <x:v>Villa</x:v>
      </x:c>
      <x:c r="E1494" s="4" t="str">
        <x:v>Reserved</x:v>
      </x:c>
      <x:c r="F1494" s="4" t="str">
        <x:v>CUS-01493</x:v>
      </x:c>
      <x:c r="G1494" s="4" t="str">
        <x:v>UNIT-01493</x:v>
      </x:c>
      <x:c r="H1494" s="9" t="n">
        <x:v>9700000</x:v>
      </x:c>
      <x:c r="I1494" s="10" t="n">
        <x:v>0.09</x:v>
      </x:c>
      <x:c r="J1494" s="11" t="n">
        <x:v>2</x:v>
      </x:c>
      <x:c r="K1494" s="11" t="n">
        <x:v>3</x:v>
      </x:c>
      <x:c r="L1494" s="11" t="n">
        <x:v>1</x:v>
      </x:c>
      <x:c r="M1494" s="9" t="n">
        <x:f>ROUND(H1494*(1-I1494),2)</x:f>
        <x:v>8827000</x:v>
      </x:c>
      <x:c r="N1494" s="4" t="str">
        <x:v>Sales head</x:v>
      </x:c>
      <x:c r="O1494" s="4"/>
      <x:c r="P1494" s="9" t="n">
        <x:v>0</x:v>
      </x:c>
      <x:c r="Q1494" s="11" t="n">
        <x:v>1</x:v>
      </x:c>
      <x:c r="R1494" s="8" t="n">
        <x:v>45420</x:v>
      </x:c>
      <x:c r="S1494" s="4" t="str">
        <x:v>Lost / cancelled</x:v>
      </x:c>
      <x:c r="T1494" s="10" t="n">
        <x:v>0.145833</x:v>
      </x:c>
      <x:c r="U1494" s="4" t="str">
        <x:v>Train</x:v>
      </x:c>
    </x:row>
    <x:row r="1495" ht="34" customHeight="1">
      <x:c r="A1495" s="4" t="str">
        <x:v>RS-01494</x:v>
      </x:c>
      <x:c r="B1495" s="8" t="n">
        <x:v>45361</x:v>
      </x:c>
      <x:c r="C1495" s="4" t="str">
        <x:v>PRJ-014</x:v>
      </x:c>
      <x:c r="D1495" s="4" t="str">
        <x:v>Retail</x:v>
      </x:c>
      <x:c r="E1495" s="4" t="str">
        <x:v>Booked</x:v>
      </x:c>
      <x:c r="F1495" s="4" t="str">
        <x:v>CUS-01494</x:v>
      </x:c>
      <x:c r="G1495" s="4" t="str">
        <x:v>UNIT-01494</x:v>
      </x:c>
      <x:c r="H1495" s="9" t="n">
        <x:v>5400000</x:v>
      </x:c>
      <x:c r="I1495" s="10" t="n">
        <x:v>0.04</x:v>
      </x:c>
      <x:c r="J1495" s="11" t="n">
        <x:v>1</x:v>
      </x:c>
      <x:c r="K1495" s="11" t="n">
        <x:v>8</x:v>
      </x:c>
      <x:c r="L1495" s="11" t="n">
        <x:v>0</x:v>
      </x:c>
      <x:c r="M1495" s="9" t="n">
        <x:f>ROUND(H1495*(1-I1495),2)</x:f>
        <x:v>5184000</x:v>
      </x:c>
      <x:c r="N1495" s="4" t="str">
        <x:v>Sales manager</x:v>
      </x:c>
      <x:c r="O1495" s="4" t="str">
        <x:v>BOOK-01494</x:v>
      </x:c>
      <x:c r="P1495" s="9" t="n">
        <x:v>2592000</x:v>
      </x:c>
      <x:c r="Q1495" s="11" t="n">
        <x:v>0</x:v>
      </x:c>
      <x:c r="R1495" s="8" t="n">
        <x:v>45421</x:v>
      </x:c>
      <x:c r="S1495" s="4" t="str">
        <x:v>Retained</x:v>
      </x:c>
      <x:c r="T1495" s="10" t="n">
        <x:v>0.204152</x:v>
      </x:c>
      <x:c r="U1495" s="4" t="str">
        <x:v>Train</x:v>
      </x:c>
    </x:row>
    <x:row r="1496" ht="34" customHeight="1">
      <x:c r="A1496" s="4" t="str">
        <x:v>RS-01495</x:v>
      </x:c>
      <x:c r="B1496" s="8" t="n">
        <x:v>45362</x:v>
      </x:c>
      <x:c r="C1496" s="4" t="str">
        <x:v>PRJ-015</x:v>
      </x:c>
      <x:c r="D1496" s="4" t="str">
        <x:v>Apartment</x:v>
      </x:c>
      <x:c r="E1496" s="4" t="str">
        <x:v>Reserved</x:v>
      </x:c>
      <x:c r="F1496" s="4" t="str">
        <x:v>CUS-01495</x:v>
      </x:c>
      <x:c r="G1496" s="4" t="str">
        <x:v>UNIT-01495</x:v>
      </x:c>
      <x:c r="H1496" s="9" t="n">
        <x:v>7300000</x:v>
      </x:c>
      <x:c r="I1496" s="10" t="n">
        <x:v>0.01</x:v>
      </x:c>
      <x:c r="J1496" s="11" t="n">
        <x:v>2</x:v>
      </x:c>
      <x:c r="K1496" s="11" t="n">
        <x:v>2</x:v>
      </x:c>
      <x:c r="L1496" s="11" t="n">
        <x:v>0</x:v>
      </x:c>
      <x:c r="M1496" s="9" t="n">
        <x:f>ROUND(H1496*(1-I1496),2)</x:f>
        <x:v>7227000</x:v>
      </x:c>
      <x:c r="N1496" s="4" t="str">
        <x:v>Sales manager</x:v>
      </x:c>
      <x:c r="O1496" s="4"/>
      <x:c r="P1496" s="9" t="n">
        <x:v>0</x:v>
      </x:c>
      <x:c r="Q1496" s="11" t="n">
        <x:v>0</x:v>
      </x:c>
      <x:c r="R1496" s="8" t="n">
        <x:v>45422</x:v>
      </x:c>
      <x:c r="S1496" s="4" t="str">
        <x:v>Retained</x:v>
      </x:c>
      <x:c r="T1496" s="10" t="n">
        <x:v>0.171717</x:v>
      </x:c>
      <x:c r="U1496" s="4" t="str">
        <x:v>Train</x:v>
      </x:c>
    </x:row>
    <x:row r="1497" ht="34" customHeight="1">
      <x:c r="A1497" s="4" t="str">
        <x:v>RS-01496</x:v>
      </x:c>
      <x:c r="B1497" s="8" t="n">
        <x:v>45363</x:v>
      </x:c>
      <x:c r="C1497" s="4" t="str">
        <x:v>PRJ-016</x:v>
      </x:c>
      <x:c r="D1497" s="4" t="str">
        <x:v>Office</x:v>
      </x:c>
      <x:c r="E1497" s="4" t="str">
        <x:v>Reserved</x:v>
      </x:c>
      <x:c r="F1497" s="4" t="str">
        <x:v>CUS-01496</x:v>
      </x:c>
      <x:c r="G1497" s="4" t="str">
        <x:v>UNIT-01496</x:v>
      </x:c>
      <x:c r="H1497" s="9" t="n">
        <x:v>21000000</x:v>
      </x:c>
      <x:c r="I1497" s="10" t="n">
        <x:v>0.09</x:v>
      </x:c>
      <x:c r="J1497" s="11" t="n">
        <x:v>4</x:v>
      </x:c>
      <x:c r="K1497" s="11" t="n">
        <x:v>8</x:v>
      </x:c>
      <x:c r="L1497" s="11" t="n">
        <x:v>1</x:v>
      </x:c>
      <x:c r="M1497" s="9" t="n">
        <x:f>ROUND(H1497*(1-I1497),2)</x:f>
        <x:v>19110000</x:v>
      </x:c>
      <x:c r="N1497" s="4" t="str">
        <x:v>Sales head</x:v>
      </x:c>
      <x:c r="O1497" s="4"/>
      <x:c r="P1497" s="9" t="n">
        <x:v>0</x:v>
      </x:c>
      <x:c r="Q1497" s="11" t="n">
        <x:v>1</x:v>
      </x:c>
      <x:c r="R1497" s="8" t="n">
        <x:v>45423</x:v>
      </x:c>
      <x:c r="S1497" s="4" t="str">
        <x:v>Lost / cancelled</x:v>
      </x:c>
      <x:c r="T1497" s="10" t="n">
        <x:v>0.291946</x:v>
      </x:c>
      <x:c r="U1497" s="4" t="str">
        <x:v>Train</x:v>
      </x:c>
    </x:row>
    <x:row r="1498" ht="34" customHeight="1">
      <x:c r="A1498" s="4" t="str">
        <x:v>RS-01497</x:v>
      </x:c>
      <x:c r="B1498" s="8" t="n">
        <x:v>45364</x:v>
      </x:c>
      <x:c r="C1498" s="4" t="str">
        <x:v>PRJ-017</x:v>
      </x:c>
      <x:c r="D1498" s="4" t="str">
        <x:v>Villa</x:v>
      </x:c>
      <x:c r="E1498" s="4" t="str">
        <x:v>Agreement signed</x:v>
      </x:c>
      <x:c r="F1498" s="4" t="str">
        <x:v>CUS-01497</x:v>
      </x:c>
      <x:c r="G1498" s="4" t="str">
        <x:v>UNIT-01497</x:v>
      </x:c>
      <x:c r="H1498" s="9" t="n">
        <x:v>19200000</x:v>
      </x:c>
      <x:c r="I1498" s="10" t="n">
        <x:v>0.08</x:v>
      </x:c>
      <x:c r="J1498" s="11" t="n">
        <x:v>1</x:v>
      </x:c>
      <x:c r="K1498" s="11" t="n">
        <x:v>5</x:v>
      </x:c>
      <x:c r="L1498" s="11" t="n">
        <x:v>1</x:v>
      </x:c>
      <x:c r="M1498" s="9" t="n">
        <x:f>ROUND(H1498*(1-I1498),2)</x:f>
        <x:v>17664000</x:v>
      </x:c>
      <x:c r="N1498" s="4" t="str">
        <x:v>Sales head</x:v>
      </x:c>
      <x:c r="O1498" s="4" t="str">
        <x:v>BOOK-01497</x:v>
      </x:c>
      <x:c r="P1498" s="9" t="n">
        <x:v>4416000</x:v>
      </x:c>
      <x:c r="Q1498" s="11" t="n">
        <x:v>0</x:v>
      </x:c>
      <x:c r="R1498" s="8" t="n">
        <x:v>45424</x:v>
      </x:c>
      <x:c r="S1498" s="4" t="str">
        <x:v>Retained</x:v>
      </x:c>
      <x:c r="T1498" s="10" t="n">
        <x:v>0.204152</x:v>
      </x:c>
      <x:c r="U1498" s="4" t="str">
        <x:v>Train</x:v>
      </x:c>
    </x:row>
    <x:row r="1499" ht="34" customHeight="1">
      <x:c r="A1499" s="4" t="str">
        <x:v>RS-01498</x:v>
      </x:c>
      <x:c r="B1499" s="8" t="n">
        <x:v>45365</x:v>
      </x:c>
      <x:c r="C1499" s="4" t="str">
        <x:v>PRJ-018</x:v>
      </x:c>
      <x:c r="D1499" s="4" t="str">
        <x:v>Apartment</x:v>
      </x:c>
      <x:c r="E1499" s="4" t="str">
        <x:v>Booked</x:v>
      </x:c>
      <x:c r="F1499" s="4" t="str">
        <x:v>CUS-01498</x:v>
      </x:c>
      <x:c r="G1499" s="4" t="str">
        <x:v>UNIT-01498</x:v>
      </x:c>
      <x:c r="H1499" s="9" t="n">
        <x:v>19800000</x:v>
      </x:c>
      <x:c r="I1499" s="10" t="n">
        <x:v>0.02</x:v>
      </x:c>
      <x:c r="J1499" s="11" t="n">
        <x:v>9</x:v>
      </x:c>
      <x:c r="K1499" s="11" t="n">
        <x:v>5</x:v>
      </x:c>
      <x:c r="L1499" s="11" t="n">
        <x:v>1</x:v>
      </x:c>
      <x:c r="M1499" s="9" t="n">
        <x:f>ROUND(H1499*(1-I1499),2)</x:f>
        <x:v>19404000</x:v>
      </x:c>
      <x:c r="N1499" s="4" t="str">
        <x:v>Sales manager</x:v>
      </x:c>
      <x:c r="O1499" s="4" t="str">
        <x:v>BOOK-01498</x:v>
      </x:c>
      <x:c r="P1499" s="9" t="n">
        <x:v>4851000</x:v>
      </x:c>
      <x:c r="Q1499" s="11" t="n">
        <x:v>0</x:v>
      </x:c>
      <x:c r="R1499" s="8" t="n">
        <x:v>45425</x:v>
      </x:c>
      <x:c r="S1499" s="4" t="str">
        <x:v>Retained</x:v>
      </x:c>
      <x:c r="T1499" s="10" t="n">
        <x:v>0.254545</x:v>
      </x:c>
      <x:c r="U1499" s="4" t="str">
        <x:v>Train</x:v>
      </x:c>
    </x:row>
    <x:row r="1500" ht="34" customHeight="1">
      <x:c r="A1500" s="4" t="str">
        <x:v>RS-01499</x:v>
      </x:c>
      <x:c r="B1500" s="8" t="n">
        <x:v>45366</x:v>
      </x:c>
      <x:c r="C1500" s="4" t="str">
        <x:v>PRJ-019</x:v>
      </x:c>
      <x:c r="D1500" s="4" t="str">
        <x:v>Villa</x:v>
      </x:c>
      <x:c r="E1500" s="4" t="str">
        <x:v>Handed over</x:v>
      </x:c>
      <x:c r="F1500" s="4" t="str">
        <x:v>CUS-01499</x:v>
      </x:c>
      <x:c r="G1500" s="4" t="str">
        <x:v>UNIT-01499</x:v>
      </x:c>
      <x:c r="H1500" s="9" t="n">
        <x:v>12000000</x:v>
      </x:c>
      <x:c r="I1500" s="10" t="n">
        <x:v>0.07</x:v>
      </x:c>
      <x:c r="J1500" s="11" t="n">
        <x:v>0</x:v>
      </x:c>
      <x:c r="K1500" s="11" t="n">
        <x:v>4</x:v>
      </x:c>
      <x:c r="L1500" s="11" t="n">
        <x:v>1</x:v>
      </x:c>
      <x:c r="M1500" s="9" t="n">
        <x:f>ROUND(H1500*(1-I1500),2)</x:f>
        <x:v>11160000</x:v>
      </x:c>
      <x:c r="N1500" s="4" t="str">
        <x:v>Sales manager</x:v>
      </x:c>
      <x:c r="O1500" s="4" t="str">
        <x:v>BOOK-01499</x:v>
      </x:c>
      <x:c r="P1500" s="9" t="n">
        <x:v>1116000</x:v>
      </x:c>
      <x:c r="Q1500" s="11" t="n">
        <x:v>0</x:v>
      </x:c>
      <x:c r="R1500" s="8" t="n">
        <x:v>45426</x:v>
      </x:c>
      <x:c r="S1500" s="4" t="str">
        <x:v>Retained</x:v>
      </x:c>
      <x:c r="T1500" s="10" t="n">
        <x:v>0.204152</x:v>
      </x:c>
      <x:c r="U1500" s="4" t="str">
        <x:v>Train</x:v>
      </x:c>
    </x:row>
    <x:row r="1501" ht="34" customHeight="1">
      <x:c r="A1501" s="4" t="str">
        <x:v>RS-01500</x:v>
      </x:c>
      <x:c r="B1501" s="8" t="n">
        <x:v>45367</x:v>
      </x:c>
      <x:c r="C1501" s="4" t="str">
        <x:v>PRJ-020</x:v>
      </x:c>
      <x:c r="D1501" s="4" t="str">
        <x:v>Villa</x:v>
      </x:c>
      <x:c r="E1501" s="4" t="str">
        <x:v>Reserved</x:v>
      </x:c>
      <x:c r="F1501" s="4" t="str">
        <x:v>CUS-01500</x:v>
      </x:c>
      <x:c r="G1501" s="4" t="str">
        <x:v>UNIT-01500</x:v>
      </x:c>
      <x:c r="H1501" s="9" t="n">
        <x:v>13100000</x:v>
      </x:c>
      <x:c r="I1501" s="10" t="n">
        <x:v>0</x:v>
      </x:c>
      <x:c r="J1501" s="11" t="n">
        <x:v>7</x:v>
      </x:c>
      <x:c r="K1501" s="11" t="n">
        <x:v>2</x:v>
      </x:c>
      <x:c r="L1501" s="11" t="n">
        <x:v>0</x:v>
      </x:c>
      <x:c r="M1501" s="9" t="n">
        <x:f>ROUND(H1501*(1-I1501),2)</x:f>
        <x:v>13100000</x:v>
      </x:c>
      <x:c r="N1501" s="4" t="str">
        <x:v>Sales manager</x:v>
      </x:c>
      <x:c r="O1501" s="4"/>
      <x:c r="P1501" s="9" t="n">
        <x:v>0</x:v>
      </x:c>
      <x:c r="Q1501" s="11" t="n">
        <x:v>0</x:v>
      </x:c>
      <x:c r="R1501" s="8" t="n">
        <x:v>45427</x:v>
      </x:c>
      <x:c r="S1501" s="4" t="str">
        <x:v>Retained</x:v>
      </x:c>
      <x:c r="T1501" s="10" t="n">
        <x:v>0.298969</x:v>
      </x:c>
      <x:c r="U1501" s="4" t="str">
        <x:v>Train</x:v>
      </x:c>
    </x:row>
    <x:row r="1502" ht="34" customHeight="1">
      <x:c r="A1502" s="4" t="str">
        <x:v>RS-01501</x:v>
      </x:c>
      <x:c r="B1502" s="8" t="n">
        <x:v>45399</x:v>
      </x:c>
      <x:c r="C1502" s="4" t="str">
        <x:v>PRJ-001</x:v>
      </x:c>
      <x:c r="D1502" s="4" t="str">
        <x:v>Retail</x:v>
      </x:c>
      <x:c r="E1502" s="4" t="str">
        <x:v>Handed over</x:v>
      </x:c>
      <x:c r="F1502" s="4" t="str">
        <x:v>CUS-01501</x:v>
      </x:c>
      <x:c r="G1502" s="4" t="str">
        <x:v>UNIT-01501</x:v>
      </x:c>
      <x:c r="H1502" s="9" t="n">
        <x:v>6300000</x:v>
      </x:c>
      <x:c r="I1502" s="10" t="n">
        <x:v>0.1</x:v>
      </x:c>
      <x:c r="J1502" s="11" t="n">
        <x:v>0</x:v>
      </x:c>
      <x:c r="K1502" s="11" t="n">
        <x:v>10</x:v>
      </x:c>
      <x:c r="L1502" s="11" t="n">
        <x:v>1</x:v>
      </x:c>
      <x:c r="M1502" s="9" t="n">
        <x:f>ROUND(H1502*(1-I1502),2)</x:f>
        <x:v>5670000</x:v>
      </x:c>
      <x:c r="N1502" s="4" t="str">
        <x:v>Sales head</x:v>
      </x:c>
      <x:c r="O1502" s="4" t="str">
        <x:v>BOOK-01501</x:v>
      </x:c>
      <x:c r="P1502" s="9" t="n">
        <x:v>5670000</x:v>
      </x:c>
      <x:c r="Q1502" s="11" t="n">
        <x:v>0</x:v>
      </x:c>
      <x:c r="R1502" s="8" t="n">
        <x:v>45459</x:v>
      </x:c>
      <x:c r="S1502" s="4" t="str">
        <x:v>Retained</x:v>
      </x:c>
      <x:c r="T1502" s="10" t="n">
        <x:v>0.145833</x:v>
      </x:c>
      <x:c r="U1502" s="4" t="str">
        <x:v>Train</x:v>
      </x:c>
    </x:row>
    <x:row r="1503" ht="34" customHeight="1">
      <x:c r="A1503" s="4" t="str">
        <x:v>RS-01502</x:v>
      </x:c>
      <x:c r="B1503" s="8" t="n">
        <x:v>45400</x:v>
      </x:c>
      <x:c r="C1503" s="4" t="str">
        <x:v>PRJ-002</x:v>
      </x:c>
      <x:c r="D1503" s="4" t="str">
        <x:v>Office</x:v>
      </x:c>
      <x:c r="E1503" s="4" t="str">
        <x:v>Enquiry</x:v>
      </x:c>
      <x:c r="F1503" s="4" t="str">
        <x:v>CUS-01502</x:v>
      </x:c>
      <x:c r="G1503" s="4" t="str">
        <x:v>UNIT-01502</x:v>
      </x:c>
      <x:c r="H1503" s="9" t="n">
        <x:v>24300000</x:v>
      </x:c>
      <x:c r="I1503" s="10" t="n">
        <x:v>0.03</x:v>
      </x:c>
      <x:c r="J1503" s="11" t="n">
        <x:v>0</x:v>
      </x:c>
      <x:c r="K1503" s="11" t="n">
        <x:v>8</x:v>
      </x:c>
      <x:c r="L1503" s="11" t="n">
        <x:v>0</x:v>
      </x:c>
      <x:c r="M1503" s="9" t="n">
        <x:f>ROUND(H1503*(1-I1503),2)</x:f>
        <x:v>23571000</x:v>
      </x:c>
      <x:c r="N1503" s="4" t="str">
        <x:v>Sales manager</x:v>
      </x:c>
      <x:c r="O1503" s="4"/>
      <x:c r="P1503" s="9" t="n">
        <x:v>0</x:v>
      </x:c>
      <x:c r="Q1503" s="11" t="n">
        <x:v>0</x:v>
      </x:c>
      <x:c r="R1503" s="8" t="n">
        <x:v>45460</x:v>
      </x:c>
      <x:c r="S1503" s="4" t="str">
        <x:v>Retained</x:v>
      </x:c>
      <x:c r="T1503" s="10" t="n">
        <x:v>0.072165</x:v>
      </x:c>
      <x:c r="U1503" s="4" t="str">
        <x:v>Train</x:v>
      </x:c>
    </x:row>
    <x:row r="1504" ht="34" customHeight="1">
      <x:c r="A1504" s="4" t="str">
        <x:v>RS-01503</x:v>
      </x:c>
      <x:c r="B1504" s="8" t="n">
        <x:v>45401</x:v>
      </x:c>
      <x:c r="C1504" s="4" t="str">
        <x:v>PRJ-003</x:v>
      </x:c>
      <x:c r="D1504" s="4" t="str">
        <x:v>Villa</x:v>
      </x:c>
      <x:c r="E1504" s="4" t="str">
        <x:v>Agreement signed</x:v>
      </x:c>
      <x:c r="F1504" s="4" t="str">
        <x:v>CUS-01503</x:v>
      </x:c>
      <x:c r="G1504" s="4" t="str">
        <x:v>UNIT-01503</x:v>
      </x:c>
      <x:c r="H1504" s="9" t="n">
        <x:v>3800000</x:v>
      </x:c>
      <x:c r="I1504" s="10" t="n">
        <x:v>0.02</x:v>
      </x:c>
      <x:c r="J1504" s="11" t="n">
        <x:v>12</x:v>
      </x:c>
      <x:c r="K1504" s="11" t="n">
        <x:v>1</x:v>
      </x:c>
      <x:c r="L1504" s="11" t="n">
        <x:v>1</x:v>
      </x:c>
      <x:c r="M1504" s="9" t="n">
        <x:f>ROUND(H1504*(1-I1504),2)</x:f>
        <x:v>3724000</x:v>
      </x:c>
      <x:c r="N1504" s="4" t="str">
        <x:v>Sales manager</x:v>
      </x:c>
      <x:c r="O1504" s="4" t="str">
        <x:v>BOOK-01503</x:v>
      </x:c>
      <x:c r="P1504" s="9" t="n">
        <x:v>372400</x:v>
      </x:c>
      <x:c r="Q1504" s="11" t="n">
        <x:v>0</x:v>
      </x:c>
      <x:c r="R1504" s="8" t="n">
        <x:v>45461</x:v>
      </x:c>
      <x:c r="S1504" s="4" t="str">
        <x:v>Retained</x:v>
      </x:c>
      <x:c r="T1504" s="10" t="n">
        <x:v>0.254545</x:v>
      </x:c>
      <x:c r="U1504" s="4" t="str">
        <x:v>Train</x:v>
      </x:c>
    </x:row>
    <x:row r="1505" ht="34" customHeight="1">
      <x:c r="A1505" s="4" t="str">
        <x:v>RS-01504</x:v>
      </x:c>
      <x:c r="B1505" s="8" t="n">
        <x:v>45402</x:v>
      </x:c>
      <x:c r="C1505" s="4" t="str">
        <x:v>PRJ-004</x:v>
      </x:c>
      <x:c r="D1505" s="4" t="str">
        <x:v>Retail</x:v>
      </x:c>
      <x:c r="E1505" s="4" t="str">
        <x:v>Booked</x:v>
      </x:c>
      <x:c r="F1505" s="4" t="str">
        <x:v>CUS-01504</x:v>
      </x:c>
      <x:c r="G1505" s="4" t="str">
        <x:v>UNIT-01504</x:v>
      </x:c>
      <x:c r="H1505" s="9" t="n">
        <x:v>16300000</x:v>
      </x:c>
      <x:c r="I1505" s="10" t="n">
        <x:v>0.07</x:v>
      </x:c>
      <x:c r="J1505" s="11" t="n">
        <x:v>2</x:v>
      </x:c>
      <x:c r="K1505" s="11" t="n">
        <x:v>7</x:v>
      </x:c>
      <x:c r="L1505" s="11" t="n">
        <x:v>1</x:v>
      </x:c>
      <x:c r="M1505" s="9" t="n">
        <x:f>ROUND(H1505*(1-I1505),2)</x:f>
        <x:v>15159000</x:v>
      </x:c>
      <x:c r="N1505" s="4" t="str">
        <x:v>Sales manager</x:v>
      </x:c>
      <x:c r="O1505" s="4" t="str">
        <x:v>BOOK-01504</x:v>
      </x:c>
      <x:c r="P1505" s="9" t="n">
        <x:v>7579500</x:v>
      </x:c>
      <x:c r="Q1505" s="11" t="n">
        <x:v>0</x:v>
      </x:c>
      <x:c r="R1505" s="8" t="n">
        <x:v>45462</x:v>
      </x:c>
      <x:c r="S1505" s="4" t="str">
        <x:v>Retained</x:v>
      </x:c>
      <x:c r="T1505" s="10" t="n">
        <x:v>0.204152</x:v>
      </x:c>
      <x:c r="U1505" s="4" t="str">
        <x:v>Train</x:v>
      </x:c>
    </x:row>
    <x:row r="1506" ht="34" customHeight="1">
      <x:c r="A1506" s="4" t="str">
        <x:v>RS-01505</x:v>
      </x:c>
      <x:c r="B1506" s="8" t="n">
        <x:v>45403</x:v>
      </x:c>
      <x:c r="C1506" s="4" t="str">
        <x:v>PRJ-005</x:v>
      </x:c>
      <x:c r="D1506" s="4" t="str">
        <x:v>Apartment</x:v>
      </x:c>
      <x:c r="E1506" s="4" t="str">
        <x:v>Agreement signed</x:v>
      </x:c>
      <x:c r="F1506" s="4" t="str">
        <x:v>CUS-01505</x:v>
      </x:c>
      <x:c r="G1506" s="4" t="str">
        <x:v>UNIT-01505</x:v>
      </x:c>
      <x:c r="H1506" s="9" t="n">
        <x:v>9300000</x:v>
      </x:c>
      <x:c r="I1506" s="10" t="n">
        <x:v>0.09</x:v>
      </x:c>
      <x:c r="J1506" s="11" t="n">
        <x:v>10</x:v>
      </x:c>
      <x:c r="K1506" s="11" t="n">
        <x:v>7</x:v>
      </x:c>
      <x:c r="L1506" s="11" t="n">
        <x:v>1</x:v>
      </x:c>
      <x:c r="M1506" s="9" t="n">
        <x:f>ROUND(H1506*(1-I1506),2)</x:f>
        <x:v>8463000</x:v>
      </x:c>
      <x:c r="N1506" s="4" t="str">
        <x:v>Sales head</x:v>
      </x:c>
      <x:c r="O1506" s="4" t="str">
        <x:v>BOOK-01505</x:v>
      </x:c>
      <x:c r="P1506" s="9" t="n">
        <x:v>846300</x:v>
      </x:c>
      <x:c r="Q1506" s="11" t="n">
        <x:v>0</x:v>
      </x:c>
      <x:c r="R1506" s="8" t="n">
        <x:v>45463</x:v>
      </x:c>
      <x:c r="S1506" s="4" t="str">
        <x:v>Retained</x:v>
      </x:c>
      <x:c r="T1506" s="10" t="n">
        <x:v>0.310195</x:v>
      </x:c>
      <x:c r="U1506" s="4" t="str">
        <x:v>Train</x:v>
      </x:c>
    </x:row>
    <x:row r="1507" ht="34" customHeight="1">
      <x:c r="A1507" s="4" t="str">
        <x:v>RS-01506</x:v>
      </x:c>
      <x:c r="B1507" s="8" t="n">
        <x:v>45404</x:v>
      </x:c>
      <x:c r="C1507" s="4" t="str">
        <x:v>PRJ-006</x:v>
      </x:c>
      <x:c r="D1507" s="4" t="str">
        <x:v>Retail</x:v>
      </x:c>
      <x:c r="E1507" s="4" t="str">
        <x:v>Cancelled</x:v>
      </x:c>
      <x:c r="F1507" s="4" t="str">
        <x:v>CUS-01506</x:v>
      </x:c>
      <x:c r="G1507" s="4" t="str">
        <x:v>UNIT-01506</x:v>
      </x:c>
      <x:c r="H1507" s="9" t="n">
        <x:v>23600000</x:v>
      </x:c>
      <x:c r="I1507" s="10" t="n">
        <x:v>0.11</x:v>
      </x:c>
      <x:c r="J1507" s="11" t="n">
        <x:v>11</x:v>
      </x:c>
      <x:c r="K1507" s="11" t="n">
        <x:v>5</x:v>
      </x:c>
      <x:c r="L1507" s="11" t="n">
        <x:v>0</x:v>
      </x:c>
      <x:c r="M1507" s="9" t="n">
        <x:f>ROUND(H1507*(1-I1507),2)</x:f>
        <x:v>21004000</x:v>
      </x:c>
      <x:c r="N1507" s="4" t="str">
        <x:v>Sales head</x:v>
      </x:c>
      <x:c r="O1507" s="4"/>
      <x:c r="P1507" s="9" t="n">
        <x:v>0</x:v>
      </x:c>
      <x:c r="Q1507" s="11" t="n">
        <x:v>1</x:v>
      </x:c>
      <x:c r="R1507" s="8" t="n">
        <x:v>45464</x:v>
      </x:c>
      <x:c r="S1507" s="4" t="str">
        <x:v>Lost / cancelled</x:v>
      </x:c>
      <x:c r="T1507" s="10" t="n">
        <x:v>0.351536</x:v>
      </x:c>
      <x:c r="U1507" s="4" t="str">
        <x:v>Train</x:v>
      </x:c>
    </x:row>
    <x:row r="1508" ht="34" customHeight="1">
      <x:c r="A1508" s="4" t="str">
        <x:v>RS-01507</x:v>
      </x:c>
      <x:c r="B1508" s="8" t="n">
        <x:v>45405</x:v>
      </x:c>
      <x:c r="C1508" s="4" t="str">
        <x:v>PRJ-007</x:v>
      </x:c>
      <x:c r="D1508" s="4" t="str">
        <x:v>Villa</x:v>
      </x:c>
      <x:c r="E1508" s="4" t="str">
        <x:v>Reserved</x:v>
      </x:c>
      <x:c r="F1508" s="4" t="str">
        <x:v>CUS-01507</x:v>
      </x:c>
      <x:c r="G1508" s="4" t="str">
        <x:v>UNIT-01507</x:v>
      </x:c>
      <x:c r="H1508" s="9" t="n">
        <x:v>10100000</x:v>
      </x:c>
      <x:c r="I1508" s="10" t="n">
        <x:v>0.02</x:v>
      </x:c>
      <x:c r="J1508" s="11" t="n">
        <x:v>6</x:v>
      </x:c>
      <x:c r="K1508" s="11" t="n">
        <x:v>0</x:v>
      </x:c>
      <x:c r="L1508" s="11" t="n">
        <x:v>0</x:v>
      </x:c>
      <x:c r="M1508" s="9" t="n">
        <x:f>ROUND(H1508*(1-I1508),2)</x:f>
        <x:v>9898000</x:v>
      </x:c>
      <x:c r="N1508" s="4" t="str">
        <x:v>Sales manager</x:v>
      </x:c>
      <x:c r="O1508" s="4"/>
      <x:c r="P1508" s="9" t="n">
        <x:v>0</x:v>
      </x:c>
      <x:c r="Q1508" s="11" t="n">
        <x:v>0</x:v>
      </x:c>
      <x:c r="R1508" s="8" t="n">
        <x:v>45465</x:v>
      </x:c>
      <x:c r="S1508" s="4" t="str">
        <x:v>Retained</x:v>
      </x:c>
      <x:c r="T1508" s="10" t="n">
        <x:v>0.298969</x:v>
      </x:c>
      <x:c r="U1508" s="4" t="str">
        <x:v>Train</x:v>
      </x:c>
    </x:row>
    <x:row r="1509" ht="34" customHeight="1">
      <x:c r="A1509" s="4" t="str">
        <x:v>RS-01508</x:v>
      </x:c>
      <x:c r="B1509" s="8" t="n">
        <x:v>45406</x:v>
      </x:c>
      <x:c r="C1509" s="4" t="str">
        <x:v>PRJ-008</x:v>
      </x:c>
      <x:c r="D1509" s="4" t="str">
        <x:v>Office</x:v>
      </x:c>
      <x:c r="E1509" s="4" t="str">
        <x:v>Cancelled</x:v>
      </x:c>
      <x:c r="F1509" s="4" t="str">
        <x:v>CUS-01508</x:v>
      </x:c>
      <x:c r="G1509" s="4" t="str">
        <x:v>UNIT-01508</x:v>
      </x:c>
      <x:c r="H1509" s="9" t="n">
        <x:v>7200000</x:v>
      </x:c>
      <x:c r="I1509" s="10" t="n">
        <x:v>0.09</x:v>
      </x:c>
      <x:c r="J1509" s="11" t="n">
        <x:v>11</x:v>
      </x:c>
      <x:c r="K1509" s="11" t="n">
        <x:v>2</x:v>
      </x:c>
      <x:c r="L1509" s="11" t="n">
        <x:v>1</x:v>
      </x:c>
      <x:c r="M1509" s="9" t="n">
        <x:f>ROUND(H1509*(1-I1509),2)</x:f>
        <x:v>6552000</x:v>
      </x:c>
      <x:c r="N1509" s="4" t="str">
        <x:v>Sales head</x:v>
      </x:c>
      <x:c r="O1509" s="4"/>
      <x:c r="P1509" s="9" t="n">
        <x:v>0</x:v>
      </x:c>
      <x:c r="Q1509" s="11" t="n">
        <x:v>1</x:v>
      </x:c>
      <x:c r="R1509" s="8" t="n">
        <x:v>45466</x:v>
      </x:c>
      <x:c r="S1509" s="4" t="str">
        <x:v>Lost / cancelled</x:v>
      </x:c>
      <x:c r="T1509" s="10" t="n">
        <x:v>0.351536</x:v>
      </x:c>
      <x:c r="U1509" s="4" t="str">
        <x:v>Train</x:v>
      </x:c>
    </x:row>
    <x:row r="1510" ht="34" customHeight="1">
      <x:c r="A1510" s="4" t="str">
        <x:v>RS-01509</x:v>
      </x:c>
      <x:c r="B1510" s="8" t="n">
        <x:v>45407</x:v>
      </x:c>
      <x:c r="C1510" s="4" t="str">
        <x:v>PRJ-009</x:v>
      </x:c>
      <x:c r="D1510" s="4" t="str">
        <x:v>Retail</x:v>
      </x:c>
      <x:c r="E1510" s="4" t="str">
        <x:v>Reserved</x:v>
      </x:c>
      <x:c r="F1510" s="4" t="str">
        <x:v>CUS-01509</x:v>
      </x:c>
      <x:c r="G1510" s="4" t="str">
        <x:v>UNIT-01509</x:v>
      </x:c>
      <x:c r="H1510" s="9" t="n">
        <x:v>11500000</x:v>
      </x:c>
      <x:c r="I1510" s="10" t="n">
        <x:v>0.03</x:v>
      </x:c>
      <x:c r="J1510" s="11" t="n">
        <x:v>4</x:v>
      </x:c>
      <x:c r="K1510" s="11" t="n">
        <x:v>0</x:v>
      </x:c>
      <x:c r="L1510" s="11" t="n">
        <x:v>1</x:v>
      </x:c>
      <x:c r="M1510" s="9" t="n">
        <x:f>ROUND(H1510*(1-I1510),2)</x:f>
        <x:v>11155000</x:v>
      </x:c>
      <x:c r="N1510" s="4" t="str">
        <x:v>Sales manager</x:v>
      </x:c>
      <x:c r="O1510" s="4"/>
      <x:c r="P1510" s="9" t="n">
        <x:v>0</x:v>
      </x:c>
      <x:c r="Q1510" s="11" t="n">
        <x:v>0</x:v>
      </x:c>
      <x:c r="R1510" s="8" t="n">
        <x:v>45467</x:v>
      </x:c>
      <x:c r="S1510" s="4" t="str">
        <x:v>Retained</x:v>
      </x:c>
      <x:c r="T1510" s="10" t="n">
        <x:v>0.298969</x:v>
      </x:c>
      <x:c r="U1510" s="4" t="str">
        <x:v>Train</x:v>
      </x:c>
    </x:row>
    <x:row r="1511" ht="34" customHeight="1">
      <x:c r="A1511" s="4" t="str">
        <x:v>RS-01510</x:v>
      </x:c>
      <x:c r="B1511" s="8" t="n">
        <x:v>45408</x:v>
      </x:c>
      <x:c r="C1511" s="4" t="str">
        <x:v>PRJ-010</x:v>
      </x:c>
      <x:c r="D1511" s="4" t="str">
        <x:v>Retail</x:v>
      </x:c>
      <x:c r="E1511" s="4" t="str">
        <x:v>Enquiry</x:v>
      </x:c>
      <x:c r="F1511" s="4" t="str">
        <x:v>CUS-01510</x:v>
      </x:c>
      <x:c r="G1511" s="4" t="str">
        <x:v>UNIT-01510</x:v>
      </x:c>
      <x:c r="H1511" s="9" t="n">
        <x:v>23400000</x:v>
      </x:c>
      <x:c r="I1511" s="10" t="n">
        <x:v>0.1</x:v>
      </x:c>
      <x:c r="J1511" s="11" t="n">
        <x:v>8</x:v>
      </x:c>
      <x:c r="K1511" s="11" t="n">
        <x:v>7</x:v>
      </x:c>
      <x:c r="L1511" s="11" t="n">
        <x:v>0</x:v>
      </x:c>
      <x:c r="M1511" s="9" t="n">
        <x:f>ROUND(H1511*(1-I1511),2)</x:f>
        <x:v>21060000</x:v>
      </x:c>
      <x:c r="N1511" s="4" t="str">
        <x:v>Sales head</x:v>
      </x:c>
      <x:c r="O1511" s="4"/>
      <x:c r="P1511" s="9" t="n">
        <x:v>0</x:v>
      </x:c>
      <x:c r="Q1511" s="11" t="n">
        <x:v>1</x:v>
      </x:c>
      <x:c r="R1511" s="8" t="n">
        <x:v>45468</x:v>
      </x:c>
      <x:c r="S1511" s="4" t="str">
        <x:v>Lost / cancelled</x:v>
      </x:c>
      <x:c r="T1511" s="10" t="n">
        <x:v>0.310195</x:v>
      </x:c>
      <x:c r="U1511" s="4" t="str">
        <x:v>Train</x:v>
      </x:c>
    </x:row>
    <x:row r="1512" ht="34" customHeight="1">
      <x:c r="A1512" s="4" t="str">
        <x:v>RS-01511</x:v>
      </x:c>
      <x:c r="B1512" s="8" t="n">
        <x:v>45409</x:v>
      </x:c>
      <x:c r="C1512" s="4" t="str">
        <x:v>PRJ-011</x:v>
      </x:c>
      <x:c r="D1512" s="4" t="str">
        <x:v>Office</x:v>
      </x:c>
      <x:c r="E1512" s="4" t="str">
        <x:v>Reserved</x:v>
      </x:c>
      <x:c r="F1512" s="4" t="str">
        <x:v>CUS-01511</x:v>
      </x:c>
      <x:c r="G1512" s="4" t="str">
        <x:v>UNIT-01511</x:v>
      </x:c>
      <x:c r="H1512" s="9" t="n">
        <x:v>5800000</x:v>
      </x:c>
      <x:c r="I1512" s="10" t="n">
        <x:v>0.01</x:v>
      </x:c>
      <x:c r="J1512" s="11" t="n">
        <x:v>0</x:v>
      </x:c>
      <x:c r="K1512" s="11" t="n">
        <x:v>3</x:v>
      </x:c>
      <x:c r="L1512" s="11" t="n">
        <x:v>1</x:v>
      </x:c>
      <x:c r="M1512" s="9" t="n">
        <x:f>ROUND(H1512*(1-I1512),2)</x:f>
        <x:v>5742000</x:v>
      </x:c>
      <x:c r="N1512" s="4" t="str">
        <x:v>Sales manager</x:v>
      </x:c>
      <x:c r="O1512" s="4"/>
      <x:c r="P1512" s="9" t="n">
        <x:v>0</x:v>
      </x:c>
      <x:c r="Q1512" s="11" t="n">
        <x:v>0</x:v>
      </x:c>
      <x:c r="R1512" s="8" t="n">
        <x:v>45469</x:v>
      </x:c>
      <x:c r="S1512" s="4" t="str">
        <x:v>Retained</x:v>
      </x:c>
      <x:c r="T1512" s="10" t="n">
        <x:v>0.072165</x:v>
      </x:c>
      <x:c r="U1512" s="4" t="str">
        <x:v>Train</x:v>
      </x:c>
    </x:row>
    <x:row r="1513" ht="34" customHeight="1">
      <x:c r="A1513" s="4" t="str">
        <x:v>RS-01512</x:v>
      </x:c>
      <x:c r="B1513" s="8" t="n">
        <x:v>45410</x:v>
      </x:c>
      <x:c r="C1513" s="4" t="str">
        <x:v>PRJ-012</x:v>
      </x:c>
      <x:c r="D1513" s="4" t="str">
        <x:v>Villa</x:v>
      </x:c>
      <x:c r="E1513" s="4" t="str">
        <x:v>Cancelled</x:v>
      </x:c>
      <x:c r="F1513" s="4" t="str">
        <x:v>CUS-01512</x:v>
      </x:c>
      <x:c r="G1513" s="4" t="str">
        <x:v>UNIT-01512</x:v>
      </x:c>
      <x:c r="H1513" s="9" t="n">
        <x:v>18700000</x:v>
      </x:c>
      <x:c r="I1513" s="10" t="n">
        <x:v>0.1</x:v>
      </x:c>
      <x:c r="J1513" s="11" t="n">
        <x:v>1</x:v>
      </x:c>
      <x:c r="K1513" s="11" t="n">
        <x:v>9</x:v>
      </x:c>
      <x:c r="L1513" s="11" t="n">
        <x:v>1</x:v>
      </x:c>
      <x:c r="M1513" s="9" t="n">
        <x:f>ROUND(H1513*(1-I1513),2)</x:f>
        <x:v>16830000</x:v>
      </x:c>
      <x:c r="N1513" s="4" t="str">
        <x:v>Sales head</x:v>
      </x:c>
      <x:c r="O1513" s="4"/>
      <x:c r="P1513" s="9" t="n">
        <x:v>0</x:v>
      </x:c>
      <x:c r="Q1513" s="11" t="n">
        <x:v>1</x:v>
      </x:c>
      <x:c r="R1513" s="8" t="n">
        <x:v>45470</x:v>
      </x:c>
      <x:c r="S1513" s="4" t="str">
        <x:v>Lost / cancelled</x:v>
      </x:c>
      <x:c r="T1513" s="10" t="n">
        <x:v>0.145833</x:v>
      </x:c>
      <x:c r="U1513" s="4" t="str">
        <x:v>Train</x:v>
      </x:c>
    </x:row>
    <x:row r="1514" ht="34" customHeight="1">
      <x:c r="A1514" s="4" t="str">
        <x:v>RS-01513</x:v>
      </x:c>
      <x:c r="B1514" s="8" t="n">
        <x:v>45383</x:v>
      </x:c>
      <x:c r="C1514" s="4" t="str">
        <x:v>PRJ-013</x:v>
      </x:c>
      <x:c r="D1514" s="4" t="str">
        <x:v>Retail</x:v>
      </x:c>
      <x:c r="E1514" s="4" t="str">
        <x:v>Cancelled</x:v>
      </x:c>
      <x:c r="F1514" s="4" t="str">
        <x:v>CUS-01513</x:v>
      </x:c>
      <x:c r="G1514" s="4" t="str">
        <x:v>UNIT-01513</x:v>
      </x:c>
      <x:c r="H1514" s="9" t="n">
        <x:v>17300000</x:v>
      </x:c>
      <x:c r="I1514" s="10" t="n">
        <x:v>0.02</x:v>
      </x:c>
      <x:c r="J1514" s="11" t="n">
        <x:v>7</x:v>
      </x:c>
      <x:c r="K1514" s="11" t="n">
        <x:v>2</x:v>
      </x:c>
      <x:c r="L1514" s="11" t="n">
        <x:v>0</x:v>
      </x:c>
      <x:c r="M1514" s="9" t="n">
        <x:f>ROUND(H1514*(1-I1514),2)</x:f>
        <x:v>16954000</x:v>
      </x:c>
      <x:c r="N1514" s="4" t="str">
        <x:v>Sales manager</x:v>
      </x:c>
      <x:c r="O1514" s="4"/>
      <x:c r="P1514" s="9" t="n">
        <x:v>0</x:v>
      </x:c>
      <x:c r="Q1514" s="11" t="n">
        <x:v>1</x:v>
      </x:c>
      <x:c r="R1514" s="8" t="n">
        <x:v>45443</x:v>
      </x:c>
      <x:c r="S1514" s="4" t="str">
        <x:v>Lost / cancelled</x:v>
      </x:c>
      <x:c r="T1514" s="10" t="n">
        <x:v>0.298969</x:v>
      </x:c>
      <x:c r="U1514" s="4" t="str">
        <x:v>Train</x:v>
      </x:c>
    </x:row>
    <x:row r="1515" ht="34" customHeight="1">
      <x:c r="A1515" s="4" t="str">
        <x:v>RS-01514</x:v>
      </x:c>
      <x:c r="B1515" s="8" t="n">
        <x:v>45384</x:v>
      </x:c>
      <x:c r="C1515" s="4" t="str">
        <x:v>PRJ-014</x:v>
      </x:c>
      <x:c r="D1515" s="4" t="str">
        <x:v>Villa</x:v>
      </x:c>
      <x:c r="E1515" s="4" t="str">
        <x:v>Cancelled</x:v>
      </x:c>
      <x:c r="F1515" s="4" t="str">
        <x:v>CUS-01514</x:v>
      </x:c>
      <x:c r="G1515" s="4" t="str">
        <x:v>UNIT-01514</x:v>
      </x:c>
      <x:c r="H1515" s="9" t="n">
        <x:v>23400000</x:v>
      </x:c>
      <x:c r="I1515" s="10" t="n">
        <x:v>0.04</x:v>
      </x:c>
      <x:c r="J1515" s="11" t="n">
        <x:v>1</x:v>
      </x:c>
      <x:c r="K1515" s="11" t="n">
        <x:v>4</x:v>
      </x:c>
      <x:c r="L1515" s="11" t="n">
        <x:v>0</x:v>
      </x:c>
      <x:c r="M1515" s="9" t="n">
        <x:f>ROUND(H1515*(1-I1515),2)</x:f>
        <x:v>22464000</x:v>
      </x:c>
      <x:c r="N1515" s="4" t="str">
        <x:v>Sales manager</x:v>
      </x:c>
      <x:c r="O1515" s="4"/>
      <x:c r="P1515" s="9" t="n">
        <x:v>0</x:v>
      </x:c>
      <x:c r="Q1515" s="11" t="n">
        <x:v>1</x:v>
      </x:c>
      <x:c r="R1515" s="8" t="n">
        <x:v>45444</x:v>
      </x:c>
      <x:c r="S1515" s="4" t="str">
        <x:v>Lost / cancelled</x:v>
      </x:c>
      <x:c r="T1515" s="10" t="n">
        <x:v>0.204152</x:v>
      </x:c>
      <x:c r="U1515" s="4" t="str">
        <x:v>Train</x:v>
      </x:c>
    </x:row>
    <x:row r="1516" ht="34" customHeight="1">
      <x:c r="A1516" s="4" t="str">
        <x:v>RS-01515</x:v>
      </x:c>
      <x:c r="B1516" s="8" t="n">
        <x:v>45385</x:v>
      </x:c>
      <x:c r="C1516" s="4" t="str">
        <x:v>PRJ-015</x:v>
      </x:c>
      <x:c r="D1516" s="4" t="str">
        <x:v>Apartment</x:v>
      </x:c>
      <x:c r="E1516" s="4" t="str">
        <x:v>Enquiry</x:v>
      </x:c>
      <x:c r="F1516" s="4" t="str">
        <x:v>CUS-01515</x:v>
      </x:c>
      <x:c r="G1516" s="4" t="str">
        <x:v>UNIT-01515</x:v>
      </x:c>
      <x:c r="H1516" s="9" t="n">
        <x:v>9400000</x:v>
      </x:c>
      <x:c r="I1516" s="10" t="n">
        <x:v>0.06</x:v>
      </x:c>
      <x:c r="J1516" s="11" t="n">
        <x:v>3</x:v>
      </x:c>
      <x:c r="K1516" s="11" t="n">
        <x:v>8</x:v>
      </x:c>
      <x:c r="L1516" s="11" t="n">
        <x:v>1</x:v>
      </x:c>
      <x:c r="M1516" s="9" t="n">
        <x:f>ROUND(H1516*(1-I1516),2)</x:f>
        <x:v>8836000</x:v>
      </x:c>
      <x:c r="N1516" s="4" t="str">
        <x:v>Sales manager</x:v>
      </x:c>
      <x:c r="O1516" s="4"/>
      <x:c r="P1516" s="9" t="n">
        <x:v>0</x:v>
      </x:c>
      <x:c r="Q1516" s="11" t="n">
        <x:v>0</x:v>
      </x:c>
      <x:c r="R1516" s="8" t="n">
        <x:v>45445</x:v>
      </x:c>
      <x:c r="S1516" s="4" t="str">
        <x:v>Retained</x:v>
      </x:c>
      <x:c r="T1516" s="10" t="n">
        <x:v>0.204152</x:v>
      </x:c>
      <x:c r="U1516" s="4" t="str">
        <x:v>Train</x:v>
      </x:c>
    </x:row>
    <x:row r="1517" ht="34" customHeight="1">
      <x:c r="A1517" s="4" t="str">
        <x:v>RS-01516</x:v>
      </x:c>
      <x:c r="B1517" s="8" t="n">
        <x:v>45386</x:v>
      </x:c>
      <x:c r="C1517" s="4" t="str">
        <x:v>PRJ-016</x:v>
      </x:c>
      <x:c r="D1517" s="4" t="str">
        <x:v>Apartment</x:v>
      </x:c>
      <x:c r="E1517" s="4" t="str">
        <x:v>Enquiry</x:v>
      </x:c>
      <x:c r="F1517" s="4" t="str">
        <x:v>CUS-01516</x:v>
      </x:c>
      <x:c r="G1517" s="4" t="str">
        <x:v>UNIT-01516</x:v>
      </x:c>
      <x:c r="H1517" s="9" t="n">
        <x:v>13000000</x:v>
      </x:c>
      <x:c r="I1517" s="10" t="n">
        <x:v>0.06</x:v>
      </x:c>
      <x:c r="J1517" s="11" t="n">
        <x:v>0</x:v>
      </x:c>
      <x:c r="K1517" s="11" t="n">
        <x:v>10</x:v>
      </x:c>
      <x:c r="L1517" s="11" t="n">
        <x:v>0</x:v>
      </x:c>
      <x:c r="M1517" s="9" t="n">
        <x:f>ROUND(H1517*(1-I1517),2)</x:f>
        <x:v>12220000</x:v>
      </x:c>
      <x:c r="N1517" s="4" t="str">
        <x:v>Sales manager</x:v>
      </x:c>
      <x:c r="O1517" s="4"/>
      <x:c r="P1517" s="9" t="n">
        <x:v>0</x:v>
      </x:c>
      <x:c r="Q1517" s="11" t="n">
        <x:v>0</x:v>
      </x:c>
      <x:c r="R1517" s="8" t="n">
        <x:v>45446</x:v>
      </x:c>
      <x:c r="S1517" s="4" t="str">
        <x:v>Retained</x:v>
      </x:c>
      <x:c r="T1517" s="10" t="n">
        <x:v>0.204152</x:v>
      </x:c>
      <x:c r="U1517" s="4" t="str">
        <x:v>Train</x:v>
      </x:c>
    </x:row>
    <x:row r="1518" ht="34" customHeight="1">
      <x:c r="A1518" s="4" t="str">
        <x:v>RS-01517</x:v>
      </x:c>
      <x:c r="B1518" s="8" t="n">
        <x:v>45387</x:v>
      </x:c>
      <x:c r="C1518" s="4" t="str">
        <x:v>PRJ-017</x:v>
      </x:c>
      <x:c r="D1518" s="4" t="str">
        <x:v>Apartment</x:v>
      </x:c>
      <x:c r="E1518" s="4" t="str">
        <x:v>Enquiry</x:v>
      </x:c>
      <x:c r="F1518" s="4" t="str">
        <x:v>CUS-01517</x:v>
      </x:c>
      <x:c r="G1518" s="4" t="str">
        <x:v>UNIT-01517</x:v>
      </x:c>
      <x:c r="H1518" s="9" t="n">
        <x:v>9300000</x:v>
      </x:c>
      <x:c r="I1518" s="10" t="n">
        <x:v>0.11</x:v>
      </x:c>
      <x:c r="J1518" s="11" t="n">
        <x:v>0</x:v>
      </x:c>
      <x:c r="K1518" s="11" t="n">
        <x:v>10</x:v>
      </x:c>
      <x:c r="L1518" s="11" t="n">
        <x:v>1</x:v>
      </x:c>
      <x:c r="M1518" s="9" t="n">
        <x:f>ROUND(H1518*(1-I1518),2)</x:f>
        <x:v>8277000</x:v>
      </x:c>
      <x:c r="N1518" s="4" t="str">
        <x:v>Sales head</x:v>
      </x:c>
      <x:c r="O1518" s="4"/>
      <x:c r="P1518" s="9" t="n">
        <x:v>0</x:v>
      </x:c>
      <x:c r="Q1518" s="11" t="n">
        <x:v>0</x:v>
      </x:c>
      <x:c r="R1518" s="8" t="n">
        <x:v>45447</x:v>
      </x:c>
      <x:c r="S1518" s="4" t="str">
        <x:v>Retained</x:v>
      </x:c>
      <x:c r="T1518" s="10" t="n">
        <x:v>0.145833</x:v>
      </x:c>
      <x:c r="U1518" s="4" t="str">
        <x:v>Train</x:v>
      </x:c>
    </x:row>
    <x:row r="1519" ht="34" customHeight="1">
      <x:c r="A1519" s="4" t="str">
        <x:v>RS-01518</x:v>
      </x:c>
      <x:c r="B1519" s="8" t="n">
        <x:v>45388</x:v>
      </x:c>
      <x:c r="C1519" s="4" t="str">
        <x:v>PRJ-018</x:v>
      </x:c>
      <x:c r="D1519" s="4" t="str">
        <x:v>Apartment</x:v>
      </x:c>
      <x:c r="E1519" s="4" t="str">
        <x:v>Booked</x:v>
      </x:c>
      <x:c r="F1519" s="4" t="str">
        <x:v>CUS-01518</x:v>
      </x:c>
      <x:c r="G1519" s="4" t="str">
        <x:v>UNIT-01518</x:v>
      </x:c>
      <x:c r="H1519" s="9" t="n">
        <x:v>15700000</x:v>
      </x:c>
      <x:c r="I1519" s="10" t="n">
        <x:v>0.09</x:v>
      </x:c>
      <x:c r="J1519" s="11" t="n">
        <x:v>4</x:v>
      </x:c>
      <x:c r="K1519" s="11" t="n">
        <x:v>6</x:v>
      </x:c>
      <x:c r="L1519" s="11" t="n">
        <x:v>1</x:v>
      </x:c>
      <x:c r="M1519" s="9" t="n">
        <x:f>ROUND(H1519*(1-I1519),2)</x:f>
        <x:v>14287000</x:v>
      </x:c>
      <x:c r="N1519" s="4" t="str">
        <x:v>Sales head</x:v>
      </x:c>
      <x:c r="O1519" s="4" t="str">
        <x:v>BOOK-01518</x:v>
      </x:c>
      <x:c r="P1519" s="9" t="n">
        <x:v>7143500</x:v>
      </x:c>
      <x:c r="Q1519" s="11" t="n">
        <x:v>0</x:v>
      </x:c>
      <x:c r="R1519" s="8" t="n">
        <x:v>45448</x:v>
      </x:c>
      <x:c r="S1519" s="4" t="str">
        <x:v>Retained</x:v>
      </x:c>
      <x:c r="T1519" s="10" t="n">
        <x:v>0.291946</x:v>
      </x:c>
      <x:c r="U1519" s="4" t="str">
        <x:v>Train</x:v>
      </x:c>
    </x:row>
    <x:row r="1520" ht="34" customHeight="1">
      <x:c r="A1520" s="4" t="str">
        <x:v>RS-01519</x:v>
      </x:c>
      <x:c r="B1520" s="8" t="n">
        <x:v>45389</x:v>
      </x:c>
      <x:c r="C1520" s="4" t="str">
        <x:v>PRJ-019</x:v>
      </x:c>
      <x:c r="D1520" s="4" t="str">
        <x:v>Office</x:v>
      </x:c>
      <x:c r="E1520" s="4" t="str">
        <x:v>Agreement signed</x:v>
      </x:c>
      <x:c r="F1520" s="4" t="str">
        <x:v>CUS-01519</x:v>
      </x:c>
      <x:c r="G1520" s="4" t="str">
        <x:v>UNIT-01519</x:v>
      </x:c>
      <x:c r="H1520" s="9" t="n">
        <x:v>21800000</x:v>
      </x:c>
      <x:c r="I1520" s="10" t="n">
        <x:v>0.03</x:v>
      </x:c>
      <x:c r="J1520" s="11" t="n">
        <x:v>0</x:v>
      </x:c>
      <x:c r="K1520" s="11" t="n">
        <x:v>1</x:v>
      </x:c>
      <x:c r="L1520" s="11" t="n">
        <x:v>1</x:v>
      </x:c>
      <x:c r="M1520" s="9" t="n">
        <x:f>ROUND(H1520*(1-I1520),2)</x:f>
        <x:v>21146000</x:v>
      </x:c>
      <x:c r="N1520" s="4" t="str">
        <x:v>Sales manager</x:v>
      </x:c>
      <x:c r="O1520" s="4" t="str">
        <x:v>BOOK-01519</x:v>
      </x:c>
      <x:c r="P1520" s="9" t="n">
        <x:v>10573000</x:v>
      </x:c>
      <x:c r="Q1520" s="11" t="n">
        <x:v>0</x:v>
      </x:c>
      <x:c r="R1520" s="8" t="n">
        <x:v>45449</x:v>
      </x:c>
      <x:c r="S1520" s="4" t="str">
        <x:v>Retained</x:v>
      </x:c>
      <x:c r="T1520" s="10" t="n">
        <x:v>0.072165</x:v>
      </x:c>
      <x:c r="U1520" s="4" t="str">
        <x:v>Train</x:v>
      </x:c>
    </x:row>
    <x:row r="1521" ht="34" customHeight="1">
      <x:c r="A1521" s="4" t="str">
        <x:v>RS-01520</x:v>
      </x:c>
      <x:c r="B1521" s="8" t="n">
        <x:v>45390</x:v>
      </x:c>
      <x:c r="C1521" s="4" t="str">
        <x:v>PRJ-020</x:v>
      </x:c>
      <x:c r="D1521" s="4" t="str">
        <x:v>Office</x:v>
      </x:c>
      <x:c r="E1521" s="4" t="str">
        <x:v>Agreement signed</x:v>
      </x:c>
      <x:c r="F1521" s="4" t="str">
        <x:v>CUS-01520</x:v>
      </x:c>
      <x:c r="G1521" s="4" t="str">
        <x:v>UNIT-01520</x:v>
      </x:c>
      <x:c r="H1521" s="9" t="n">
        <x:v>23600000</x:v>
      </x:c>
      <x:c r="I1521" s="10" t="n">
        <x:v>0.05</x:v>
      </x:c>
      <x:c r="J1521" s="11" t="n">
        <x:v>12</x:v>
      </x:c>
      <x:c r="K1521" s="11" t="n">
        <x:v>10</x:v>
      </x:c>
      <x:c r="L1521" s="11" t="n">
        <x:v>0</x:v>
      </x:c>
      <x:c r="M1521" s="9" t="n">
        <x:f>ROUND(H1521*(1-I1521),2)</x:f>
        <x:v>22420000</x:v>
      </x:c>
      <x:c r="N1521" s="4" t="str">
        <x:v>Sales manager</x:v>
      </x:c>
      <x:c r="O1521" s="4" t="str">
        <x:v>BOOK-01520</x:v>
      </x:c>
      <x:c r="P1521" s="9" t="n">
        <x:v>22420000</x:v>
      </x:c>
      <x:c r="Q1521" s="11" t="n">
        <x:v>0</x:v>
      </x:c>
      <x:c r="R1521" s="8" t="n">
        <x:v>45450</x:v>
      </x:c>
      <x:c r="S1521" s="4" t="str">
        <x:v>Retained</x:v>
      </x:c>
      <x:c r="T1521" s="10" t="n">
        <x:v>0.351536</x:v>
      </x:c>
      <x:c r="U1521" s="4" t="str">
        <x:v>Train</x:v>
      </x:c>
    </x:row>
    <x:row r="1522" ht="34" customHeight="1">
      <x:c r="A1522" s="4" t="str">
        <x:v>RS-01521</x:v>
      </x:c>
      <x:c r="B1522" s="8" t="n">
        <x:v>45391</x:v>
      </x:c>
      <x:c r="C1522" s="4" t="str">
        <x:v>PRJ-001</x:v>
      </x:c>
      <x:c r="D1522" s="4" t="str">
        <x:v>Retail</x:v>
      </x:c>
      <x:c r="E1522" s="4" t="str">
        <x:v>Enquiry</x:v>
      </x:c>
      <x:c r="F1522" s="4" t="str">
        <x:v>CUS-01521</x:v>
      </x:c>
      <x:c r="G1522" s="4" t="str">
        <x:v>UNIT-01521</x:v>
      </x:c>
      <x:c r="H1522" s="9" t="n">
        <x:v>17600000</x:v>
      </x:c>
      <x:c r="I1522" s="10" t="n">
        <x:v>0.12</x:v>
      </x:c>
      <x:c r="J1522" s="11" t="n">
        <x:v>8</x:v>
      </x:c>
      <x:c r="K1522" s="11" t="n">
        <x:v>4</x:v>
      </x:c>
      <x:c r="L1522" s="11" t="n">
        <x:v>1</x:v>
      </x:c>
      <x:c r="M1522" s="9" t="n">
        <x:f>ROUND(H1522*(1-I1522),2)</x:f>
        <x:v>15488000</x:v>
      </x:c>
      <x:c r="N1522" s="4" t="str">
        <x:v>Sales head</x:v>
      </x:c>
      <x:c r="O1522" s="4"/>
      <x:c r="P1522" s="9" t="n">
        <x:v>0</x:v>
      </x:c>
      <x:c r="Q1522" s="11" t="n">
        <x:v>1</x:v>
      </x:c>
      <x:c r="R1522" s="8" t="n">
        <x:v>45451</x:v>
      </x:c>
      <x:c r="S1522" s="4" t="str">
        <x:v>Lost / cancelled</x:v>
      </x:c>
      <x:c r="T1522" s="10" t="n">
        <x:v>0.310195</x:v>
      </x:c>
      <x:c r="U1522" s="4" t="str">
        <x:v>Train</x:v>
      </x:c>
    </x:row>
    <x:row r="1523" ht="34" customHeight="1">
      <x:c r="A1523" s="4" t="str">
        <x:v>RS-01522</x:v>
      </x:c>
      <x:c r="B1523" s="8" t="n">
        <x:v>45392</x:v>
      </x:c>
      <x:c r="C1523" s="4" t="str">
        <x:v>PRJ-002</x:v>
      </x:c>
      <x:c r="D1523" s="4" t="str">
        <x:v>Villa</x:v>
      </x:c>
      <x:c r="E1523" s="4" t="str">
        <x:v>Booked</x:v>
      </x:c>
      <x:c r="F1523" s="4" t="str">
        <x:v>CUS-01522</x:v>
      </x:c>
      <x:c r="G1523" s="4" t="str">
        <x:v>UNIT-01522</x:v>
      </x:c>
      <x:c r="H1523" s="9" t="n">
        <x:v>23600000</x:v>
      </x:c>
      <x:c r="I1523" s="10" t="n">
        <x:v>0.04</x:v>
      </x:c>
      <x:c r="J1523" s="11" t="n">
        <x:v>6</x:v>
      </x:c>
      <x:c r="K1523" s="11" t="n">
        <x:v>6</x:v>
      </x:c>
      <x:c r="L1523" s="11" t="n">
        <x:v>0</x:v>
      </x:c>
      <x:c r="M1523" s="9" t="n">
        <x:f>ROUND(H1523*(1-I1523),2)</x:f>
        <x:v>22656000</x:v>
      </x:c>
      <x:c r="N1523" s="4" t="str">
        <x:v>Sales manager</x:v>
      </x:c>
      <x:c r="O1523" s="4" t="str">
        <x:v>BOOK-01522</x:v>
      </x:c>
      <x:c r="P1523" s="9" t="n">
        <x:v>22656000</x:v>
      </x:c>
      <x:c r="Q1523" s="11" t="n">
        <x:v>0</x:v>
      </x:c>
      <x:c r="R1523" s="8" t="n">
        <x:v>45452</x:v>
      </x:c>
      <x:c r="S1523" s="4" t="str">
        <x:v>Retained</x:v>
      </x:c>
      <x:c r="T1523" s="10" t="n">
        <x:v>0.226277</x:v>
      </x:c>
      <x:c r="U1523" s="4" t="str">
        <x:v>Train</x:v>
      </x:c>
    </x:row>
    <x:row r="1524" ht="34" customHeight="1">
      <x:c r="A1524" s="4" t="str">
        <x:v>RS-01523</x:v>
      </x:c>
      <x:c r="B1524" s="8" t="n">
        <x:v>45393</x:v>
      </x:c>
      <x:c r="C1524" s="4" t="str">
        <x:v>PRJ-003</x:v>
      </x:c>
      <x:c r="D1524" s="4" t="str">
        <x:v>Villa</x:v>
      </x:c>
      <x:c r="E1524" s="4" t="str">
        <x:v>Reserved</x:v>
      </x:c>
      <x:c r="F1524" s="4" t="str">
        <x:v>CUS-01523</x:v>
      </x:c>
      <x:c r="G1524" s="4" t="str">
        <x:v>UNIT-01523</x:v>
      </x:c>
      <x:c r="H1524" s="9" t="n">
        <x:v>3900000</x:v>
      </x:c>
      <x:c r="I1524" s="10" t="n">
        <x:v>0.06</x:v>
      </x:c>
      <x:c r="J1524" s="11" t="n">
        <x:v>12</x:v>
      </x:c>
      <x:c r="K1524" s="11" t="n">
        <x:v>1</x:v>
      </x:c>
      <x:c r="L1524" s="11" t="n">
        <x:v>0</x:v>
      </x:c>
      <x:c r="M1524" s="9" t="n">
        <x:f>ROUND(H1524*(1-I1524),2)</x:f>
        <x:v>3666000</x:v>
      </x:c>
      <x:c r="N1524" s="4" t="str">
        <x:v>Sales manager</x:v>
      </x:c>
      <x:c r="O1524" s="4"/>
      <x:c r="P1524" s="9" t="n">
        <x:v>0</x:v>
      </x:c>
      <x:c r="Q1524" s="11" t="n">
        <x:v>1</x:v>
      </x:c>
      <x:c r="R1524" s="8" t="n">
        <x:v>45453</x:v>
      </x:c>
      <x:c r="S1524" s="4" t="str">
        <x:v>Lost / cancelled</x:v>
      </x:c>
      <x:c r="T1524" s="10" t="n">
        <x:v>0.351536</x:v>
      </x:c>
      <x:c r="U1524" s="4" t="str">
        <x:v>Train</x:v>
      </x:c>
    </x:row>
    <x:row r="1525" ht="34" customHeight="1">
      <x:c r="A1525" s="4" t="str">
        <x:v>RS-01524</x:v>
      </x:c>
      <x:c r="B1525" s="8" t="n">
        <x:v>45394</x:v>
      </x:c>
      <x:c r="C1525" s="4" t="str">
        <x:v>PRJ-004</x:v>
      </x:c>
      <x:c r="D1525" s="4" t="str">
        <x:v>Apartment</x:v>
      </x:c>
      <x:c r="E1525" s="4" t="str">
        <x:v>Cancelled</x:v>
      </x:c>
      <x:c r="F1525" s="4" t="str">
        <x:v>CUS-01524</x:v>
      </x:c>
      <x:c r="G1525" s="4" t="str">
        <x:v>UNIT-01524</x:v>
      </x:c>
      <x:c r="H1525" s="9" t="n">
        <x:v>10300000</x:v>
      </x:c>
      <x:c r="I1525" s="10" t="n">
        <x:v>0.01</x:v>
      </x:c>
      <x:c r="J1525" s="11" t="n">
        <x:v>1</x:v>
      </x:c>
      <x:c r="K1525" s="11" t="n">
        <x:v>8</x:v>
      </x:c>
      <x:c r="L1525" s="11" t="n">
        <x:v>0</x:v>
      </x:c>
      <x:c r="M1525" s="9" t="n">
        <x:f>ROUND(H1525*(1-I1525),2)</x:f>
        <x:v>10197000</x:v>
      </x:c>
      <x:c r="N1525" s="4" t="str">
        <x:v>Sales manager</x:v>
      </x:c>
      <x:c r="O1525" s="4"/>
      <x:c r="P1525" s="9" t="n">
        <x:v>0</x:v>
      </x:c>
      <x:c r="Q1525" s="11" t="n">
        <x:v>1</x:v>
      </x:c>
      <x:c r="R1525" s="8" t="n">
        <x:v>45454</x:v>
      </x:c>
      <x:c r="S1525" s="4" t="str">
        <x:v>Lost / cancelled</x:v>
      </x:c>
      <x:c r="T1525" s="10" t="n">
        <x:v>0.072165</x:v>
      </x:c>
      <x:c r="U1525" s="4" t="str">
        <x:v>Train</x:v>
      </x:c>
    </x:row>
    <x:row r="1526" ht="34" customHeight="1">
      <x:c r="A1526" s="4" t="str">
        <x:v>RS-01525</x:v>
      </x:c>
      <x:c r="B1526" s="8" t="n">
        <x:v>45395</x:v>
      </x:c>
      <x:c r="C1526" s="4" t="str">
        <x:v>PRJ-005</x:v>
      </x:c>
      <x:c r="D1526" s="4" t="str">
        <x:v>Retail</x:v>
      </x:c>
      <x:c r="E1526" s="4" t="str">
        <x:v>Enquiry</x:v>
      </x:c>
      <x:c r="F1526" s="4" t="str">
        <x:v>CUS-01525</x:v>
      </x:c>
      <x:c r="G1526" s="4" t="str">
        <x:v>UNIT-01525</x:v>
      </x:c>
      <x:c r="H1526" s="9" t="n">
        <x:v>17100000</x:v>
      </x:c>
      <x:c r="I1526" s="10" t="n">
        <x:v>0.02</x:v>
      </x:c>
      <x:c r="J1526" s="11" t="n">
        <x:v>1</x:v>
      </x:c>
      <x:c r="K1526" s="11" t="n">
        <x:v>0</x:v>
      </x:c>
      <x:c r="L1526" s="11" t="n">
        <x:v>0</x:v>
      </x:c>
      <x:c r="M1526" s="9" t="n">
        <x:f>ROUND(H1526*(1-I1526),2)</x:f>
        <x:v>16758000</x:v>
      </x:c>
      <x:c r="N1526" s="4" t="str">
        <x:v>Sales manager</x:v>
      </x:c>
      <x:c r="O1526" s="4"/>
      <x:c r="P1526" s="9" t="n">
        <x:v>0</x:v>
      </x:c>
      <x:c r="Q1526" s="11" t="n">
        <x:v>0</x:v>
      </x:c>
      <x:c r="R1526" s="8" t="n">
        <x:v>45455</x:v>
      </x:c>
      <x:c r="S1526" s="4" t="str">
        <x:v>Retained</x:v>
      </x:c>
      <x:c r="T1526" s="10" t="n">
        <x:v>0.276923</x:v>
      </x:c>
      <x:c r="U1526" s="4" t="str">
        <x:v>Train</x:v>
      </x:c>
    </x:row>
    <x:row r="1527" ht="34" customHeight="1">
      <x:c r="A1527" s="4" t="str">
        <x:v>RS-01526</x:v>
      </x:c>
      <x:c r="B1527" s="8" t="n">
        <x:v>45396</x:v>
      </x:c>
      <x:c r="C1527" s="4" t="str">
        <x:v>PRJ-006</x:v>
      </x:c>
      <x:c r="D1527" s="4" t="str">
        <x:v>Apartment</x:v>
      </x:c>
      <x:c r="E1527" s="4" t="str">
        <x:v>Agreement signed</x:v>
      </x:c>
      <x:c r="F1527" s="4" t="str">
        <x:v>CUS-01526</x:v>
      </x:c>
      <x:c r="G1527" s="4" t="str">
        <x:v>UNIT-01526</x:v>
      </x:c>
      <x:c r="H1527" s="9" t="n">
        <x:v>15300000</x:v>
      </x:c>
      <x:c r="I1527" s="10" t="n">
        <x:v>0.02</x:v>
      </x:c>
      <x:c r="J1527" s="11" t="n">
        <x:v>11</x:v>
      </x:c>
      <x:c r="K1527" s="11" t="n">
        <x:v>0</x:v>
      </x:c>
      <x:c r="L1527" s="11" t="n">
        <x:v>1</x:v>
      </x:c>
      <x:c r="M1527" s="9" t="n">
        <x:f>ROUND(H1527*(1-I1527),2)</x:f>
        <x:v>14994000</x:v>
      </x:c>
      <x:c r="N1527" s="4" t="str">
        <x:v>Sales manager</x:v>
      </x:c>
      <x:c r="O1527" s="4" t="str">
        <x:v>BOOK-01526</x:v>
      </x:c>
      <x:c r="P1527" s="9" t="n">
        <x:v>14994000</x:v>
      </x:c>
      <x:c r="Q1527" s="11" t="n">
        <x:v>0</x:v>
      </x:c>
      <x:c r="R1527" s="8" t="n">
        <x:v>45456</x:v>
      </x:c>
      <x:c r="S1527" s="4" t="str">
        <x:v>Retained</x:v>
      </x:c>
      <x:c r="T1527" s="10" t="n">
        <x:v>0.254545</x:v>
      </x:c>
      <x:c r="U1527" s="4" t="str">
        <x:v>Train</x:v>
      </x:c>
    </x:row>
    <x:row r="1528" ht="34" customHeight="1">
      <x:c r="A1528" s="4" t="str">
        <x:v>RS-01527</x:v>
      </x:c>
      <x:c r="B1528" s="8" t="n">
        <x:v>45397</x:v>
      </x:c>
      <x:c r="C1528" s="4" t="str">
        <x:v>PRJ-007</x:v>
      </x:c>
      <x:c r="D1528" s="4" t="str">
        <x:v>Office</x:v>
      </x:c>
      <x:c r="E1528" s="4" t="str">
        <x:v>Handed over</x:v>
      </x:c>
      <x:c r="F1528" s="4" t="str">
        <x:v>CUS-01527</x:v>
      </x:c>
      <x:c r="G1528" s="4" t="str">
        <x:v>UNIT-01527</x:v>
      </x:c>
      <x:c r="H1528" s="9" t="n">
        <x:v>20900000</x:v>
      </x:c>
      <x:c r="I1528" s="10" t="n">
        <x:v>0.02</x:v>
      </x:c>
      <x:c r="J1528" s="11" t="n">
        <x:v>4</x:v>
      </x:c>
      <x:c r="K1528" s="11" t="n">
        <x:v>9</x:v>
      </x:c>
      <x:c r="L1528" s="11" t="n">
        <x:v>1</x:v>
      </x:c>
      <x:c r="M1528" s="9" t="n">
        <x:f>ROUND(H1528*(1-I1528),2)</x:f>
        <x:v>20482000</x:v>
      </x:c>
      <x:c r="N1528" s="4" t="str">
        <x:v>Sales manager</x:v>
      </x:c>
      <x:c r="O1528" s="4" t="str">
        <x:v>BOOK-01527</x:v>
      </x:c>
      <x:c r="P1528" s="9" t="n">
        <x:v>5120500</x:v>
      </x:c>
      <x:c r="Q1528" s="11" t="n">
        <x:v>0</x:v>
      </x:c>
      <x:c r="R1528" s="8" t="n">
        <x:v>45457</x:v>
      </x:c>
      <x:c r="S1528" s="4" t="str">
        <x:v>Retained</x:v>
      </x:c>
      <x:c r="T1528" s="10" t="n">
        <x:v>0.145299</x:v>
      </x:c>
      <x:c r="U1528" s="4" t="str">
        <x:v>Train</x:v>
      </x:c>
    </x:row>
    <x:row r="1529" ht="34" customHeight="1">
      <x:c r="A1529" s="4" t="str">
        <x:v>RS-01528</x:v>
      </x:c>
      <x:c r="B1529" s="8" t="n">
        <x:v>45398</x:v>
      </x:c>
      <x:c r="C1529" s="4" t="str">
        <x:v>PRJ-008</x:v>
      </x:c>
      <x:c r="D1529" s="4" t="str">
        <x:v>Retail</x:v>
      </x:c>
      <x:c r="E1529" s="4" t="str">
        <x:v>Cancelled</x:v>
      </x:c>
      <x:c r="F1529" s="4" t="str">
        <x:v>CUS-01528</x:v>
      </x:c>
      <x:c r="G1529" s="4" t="str">
        <x:v>UNIT-01528</x:v>
      </x:c>
      <x:c r="H1529" s="9" t="n">
        <x:v>18600000</x:v>
      </x:c>
      <x:c r="I1529" s="10" t="n">
        <x:v>0.09</x:v>
      </x:c>
      <x:c r="J1529" s="11" t="n">
        <x:v>3</x:v>
      </x:c>
      <x:c r="K1529" s="11" t="n">
        <x:v>8</x:v>
      </x:c>
      <x:c r="L1529" s="11" t="n">
        <x:v>1</x:v>
      </x:c>
      <x:c r="M1529" s="9" t="n">
        <x:f>ROUND(H1529*(1-I1529),2)</x:f>
        <x:v>16926000</x:v>
      </x:c>
      <x:c r="N1529" s="4" t="str">
        <x:v>Sales head</x:v>
      </x:c>
      <x:c r="O1529" s="4"/>
      <x:c r="P1529" s="9" t="n">
        <x:v>0</x:v>
      </x:c>
      <x:c r="Q1529" s="11" t="n">
        <x:v>1</x:v>
      </x:c>
      <x:c r="R1529" s="8" t="n">
        <x:v>45458</x:v>
      </x:c>
      <x:c r="S1529" s="4" t="str">
        <x:v>Lost / cancelled</x:v>
      </x:c>
      <x:c r="T1529" s="10" t="n">
        <x:v>0.145833</x:v>
      </x:c>
      <x:c r="U1529" s="4" t="str">
        <x:v>Train</x:v>
      </x:c>
    </x:row>
    <x:row r="1530" ht="34" customHeight="1">
      <x:c r="A1530" s="4" t="str">
        <x:v>RS-01529</x:v>
      </x:c>
      <x:c r="B1530" s="8" t="n">
        <x:v>45399</x:v>
      </x:c>
      <x:c r="C1530" s="4" t="str">
        <x:v>PRJ-009</x:v>
      </x:c>
      <x:c r="D1530" s="4" t="str">
        <x:v>Apartment</x:v>
      </x:c>
      <x:c r="E1530" s="4" t="str">
        <x:v>Handed over</x:v>
      </x:c>
      <x:c r="F1530" s="4" t="str">
        <x:v>CUS-01529</x:v>
      </x:c>
      <x:c r="G1530" s="4" t="str">
        <x:v>UNIT-01529</x:v>
      </x:c>
      <x:c r="H1530" s="9" t="n">
        <x:v>11800000</x:v>
      </x:c>
      <x:c r="I1530" s="10" t="n">
        <x:v>0.05</x:v>
      </x:c>
      <x:c r="J1530" s="11" t="n">
        <x:v>9</x:v>
      </x:c>
      <x:c r="K1530" s="11" t="n">
        <x:v>7</x:v>
      </x:c>
      <x:c r="L1530" s="11" t="n">
        <x:v>0</x:v>
      </x:c>
      <x:c r="M1530" s="9" t="n">
        <x:f>ROUND(H1530*(1-I1530),2)</x:f>
        <x:v>11210000</x:v>
      </x:c>
      <x:c r="N1530" s="4" t="str">
        <x:v>Sales manager</x:v>
      </x:c>
      <x:c r="O1530" s="4" t="str">
        <x:v>BOOK-01529</x:v>
      </x:c>
      <x:c r="P1530" s="9" t="n">
        <x:v>11210000</x:v>
      </x:c>
      <x:c r="Q1530" s="11" t="n">
        <x:v>0</x:v>
      </x:c>
      <x:c r="R1530" s="8" t="n">
        <x:v>45459</x:v>
      </x:c>
      <x:c r="S1530" s="4" t="str">
        <x:v>Retained</x:v>
      </x:c>
      <x:c r="T1530" s="10" t="n">
        <x:v>0.310195</x:v>
      </x:c>
      <x:c r="U1530" s="4" t="str">
        <x:v>Train</x:v>
      </x:c>
    </x:row>
    <x:row r="1531" ht="34" customHeight="1">
      <x:c r="A1531" s="4" t="str">
        <x:v>RS-01530</x:v>
      </x:c>
      <x:c r="B1531" s="8" t="n">
        <x:v>45400</x:v>
      </x:c>
      <x:c r="C1531" s="4" t="str">
        <x:v>PRJ-010</x:v>
      </x:c>
      <x:c r="D1531" s="4" t="str">
        <x:v>Office</x:v>
      </x:c>
      <x:c r="E1531" s="4" t="str">
        <x:v>Handed over</x:v>
      </x:c>
      <x:c r="F1531" s="4" t="str">
        <x:v>CUS-01530</x:v>
      </x:c>
      <x:c r="G1531" s="4" t="str">
        <x:v>UNIT-01530</x:v>
      </x:c>
      <x:c r="H1531" s="9" t="n">
        <x:v>4100000</x:v>
      </x:c>
      <x:c r="I1531" s="10" t="n">
        <x:v>0.12</x:v>
      </x:c>
      <x:c r="J1531" s="11" t="n">
        <x:v>6</x:v>
      </x:c>
      <x:c r="K1531" s="11" t="n">
        <x:v>9</x:v>
      </x:c>
      <x:c r="L1531" s="11" t="n">
        <x:v>1</x:v>
      </x:c>
      <x:c r="M1531" s="9" t="n">
        <x:f>ROUND(H1531*(1-I1531),2)</x:f>
        <x:v>3608000</x:v>
      </x:c>
      <x:c r="N1531" s="4" t="str">
        <x:v>Sales head</x:v>
      </x:c>
      <x:c r="O1531" s="4" t="str">
        <x:v>BOOK-01530</x:v>
      </x:c>
      <x:c r="P1531" s="9" t="n">
        <x:v>360800</x:v>
      </x:c>
      <x:c r="Q1531" s="11" t="n">
        <x:v>0</x:v>
      </x:c>
      <x:c r="R1531" s="8" t="n">
        <x:v>45460</x:v>
      </x:c>
      <x:c r="S1531" s="4" t="str">
        <x:v>Retained</x:v>
      </x:c>
      <x:c r="T1531" s="10" t="n">
        <x:v>0.291946</x:v>
      </x:c>
      <x:c r="U1531" s="4" t="str">
        <x:v>Train</x:v>
      </x:c>
    </x:row>
    <x:row r="1532" ht="34" customHeight="1">
      <x:c r="A1532" s="4" t="str">
        <x:v>RS-01531</x:v>
      </x:c>
      <x:c r="B1532" s="8" t="n">
        <x:v>45401</x:v>
      </x:c>
      <x:c r="C1532" s="4" t="str">
        <x:v>PRJ-011</x:v>
      </x:c>
      <x:c r="D1532" s="4" t="str">
        <x:v>Retail</x:v>
      </x:c>
      <x:c r="E1532" s="4" t="str">
        <x:v>Enquiry</x:v>
      </x:c>
      <x:c r="F1532" s="4" t="str">
        <x:v>CUS-01531</x:v>
      </x:c>
      <x:c r="G1532" s="4" t="str">
        <x:v>UNIT-01531</x:v>
      </x:c>
      <x:c r="H1532" s="9" t="n">
        <x:v>13600000</x:v>
      </x:c>
      <x:c r="I1532" s="10" t="n">
        <x:v>0.06</x:v>
      </x:c>
      <x:c r="J1532" s="11" t="n">
        <x:v>7</x:v>
      </x:c>
      <x:c r="K1532" s="11" t="n">
        <x:v>5</x:v>
      </x:c>
      <x:c r="L1532" s="11" t="n">
        <x:v>1</x:v>
      </x:c>
      <x:c r="M1532" s="9" t="n">
        <x:f>ROUND(H1532*(1-I1532),2)</x:f>
        <x:v>12784000</x:v>
      </x:c>
      <x:c r="N1532" s="4" t="str">
        <x:v>Sales manager</x:v>
      </x:c>
      <x:c r="O1532" s="4"/>
      <x:c r="P1532" s="9" t="n">
        <x:v>0</x:v>
      </x:c>
      <x:c r="Q1532" s="11" t="n">
        <x:v>1</x:v>
      </x:c>
      <x:c r="R1532" s="8" t="n">
        <x:v>45461</x:v>
      </x:c>
      <x:c r="S1532" s="4" t="str">
        <x:v>Lost / cancelled</x:v>
      </x:c>
      <x:c r="T1532" s="10" t="n">
        <x:v>0.291946</x:v>
      </x:c>
      <x:c r="U1532" s="4" t="str">
        <x:v>Train</x:v>
      </x:c>
    </x:row>
    <x:row r="1533" ht="34" customHeight="1">
      <x:c r="A1533" s="4" t="str">
        <x:v>RS-01532</x:v>
      </x:c>
      <x:c r="B1533" s="8" t="n">
        <x:v>45402</x:v>
      </x:c>
      <x:c r="C1533" s="4" t="str">
        <x:v>PRJ-012</x:v>
      </x:c>
      <x:c r="D1533" s="4" t="str">
        <x:v>Villa</x:v>
      </x:c>
      <x:c r="E1533" s="4" t="str">
        <x:v>Handed over</x:v>
      </x:c>
      <x:c r="F1533" s="4" t="str">
        <x:v>CUS-01532</x:v>
      </x:c>
      <x:c r="G1533" s="4" t="str">
        <x:v>UNIT-01532</x:v>
      </x:c>
      <x:c r="H1533" s="9" t="n">
        <x:v>16700000</x:v>
      </x:c>
      <x:c r="I1533" s="10" t="n">
        <x:v>0.04</x:v>
      </x:c>
      <x:c r="J1533" s="11" t="n">
        <x:v>4</x:v>
      </x:c>
      <x:c r="K1533" s="11" t="n">
        <x:v>10</x:v>
      </x:c>
      <x:c r="L1533" s="11" t="n">
        <x:v>1</x:v>
      </x:c>
      <x:c r="M1533" s="9" t="n">
        <x:f>ROUND(H1533*(1-I1533),2)</x:f>
        <x:v>16032000</x:v>
      </x:c>
      <x:c r="N1533" s="4" t="str">
        <x:v>Sales manager</x:v>
      </x:c>
      <x:c r="O1533" s="4" t="str">
        <x:v>BOOK-01532</x:v>
      </x:c>
      <x:c r="P1533" s="9" t="n">
        <x:v>16032000</x:v>
      </x:c>
      <x:c r="Q1533" s="11" t="n">
        <x:v>0</x:v>
      </x:c>
      <x:c r="R1533" s="8" t="n">
        <x:v>45462</x:v>
      </x:c>
      <x:c r="S1533" s="4" t="str">
        <x:v>Retained</x:v>
      </x:c>
      <x:c r="T1533" s="10" t="n">
        <x:v>0.291946</x:v>
      </x:c>
      <x:c r="U1533" s="4" t="str">
        <x:v>Train</x:v>
      </x:c>
    </x:row>
    <x:row r="1534" ht="34" customHeight="1">
      <x:c r="A1534" s="4" t="str">
        <x:v>RS-01533</x:v>
      </x:c>
      <x:c r="B1534" s="8" t="n">
        <x:v>45403</x:v>
      </x:c>
      <x:c r="C1534" s="4" t="str">
        <x:v>PRJ-013</x:v>
      </x:c>
      <x:c r="D1534" s="4" t="str">
        <x:v>Retail</x:v>
      </x:c>
      <x:c r="E1534" s="4" t="str">
        <x:v>Reserved</x:v>
      </x:c>
      <x:c r="F1534" s="4" t="str">
        <x:v>CUS-01533</x:v>
      </x:c>
      <x:c r="G1534" s="4" t="str">
        <x:v>UNIT-01533</x:v>
      </x:c>
      <x:c r="H1534" s="9" t="n">
        <x:v>22600000</x:v>
      </x:c>
      <x:c r="I1534" s="10" t="n">
        <x:v>0.06</x:v>
      </x:c>
      <x:c r="J1534" s="11" t="n">
        <x:v>4</x:v>
      </x:c>
      <x:c r="K1534" s="11" t="n">
        <x:v>4</x:v>
      </x:c>
      <x:c r="L1534" s="11" t="n">
        <x:v>1</x:v>
      </x:c>
      <x:c r="M1534" s="9" t="n">
        <x:f>ROUND(H1534*(1-I1534),2)</x:f>
        <x:v>21244000</x:v>
      </x:c>
      <x:c r="N1534" s="4" t="str">
        <x:v>Sales manager</x:v>
      </x:c>
      <x:c r="O1534" s="4"/>
      <x:c r="P1534" s="9" t="n">
        <x:v>0</x:v>
      </x:c>
      <x:c r="Q1534" s="11" t="n">
        <x:v>0</x:v>
      </x:c>
      <x:c r="R1534" s="8" t="n">
        <x:v>45463</x:v>
      </x:c>
      <x:c r="S1534" s="4" t="str">
        <x:v>Retained</x:v>
      </x:c>
      <x:c r="T1534" s="10" t="n">
        <x:v>0.291946</x:v>
      </x:c>
      <x:c r="U1534" s="4" t="str">
        <x:v>Train</x:v>
      </x:c>
    </x:row>
    <x:row r="1535" ht="34" customHeight="1">
      <x:c r="A1535" s="4" t="str">
        <x:v>RS-01534</x:v>
      </x:c>
      <x:c r="B1535" s="8" t="n">
        <x:v>45404</x:v>
      </x:c>
      <x:c r="C1535" s="4" t="str">
        <x:v>PRJ-014</x:v>
      </x:c>
      <x:c r="D1535" s="4" t="str">
        <x:v>Office</x:v>
      </x:c>
      <x:c r="E1535" s="4" t="str">
        <x:v>Reserved</x:v>
      </x:c>
      <x:c r="F1535" s="4" t="str">
        <x:v>CUS-01534</x:v>
      </x:c>
      <x:c r="G1535" s="4" t="str">
        <x:v>UNIT-01534</x:v>
      </x:c>
      <x:c r="H1535" s="9" t="n">
        <x:v>5200000</x:v>
      </x:c>
      <x:c r="I1535" s="10" t="n">
        <x:v>0.08</x:v>
      </x:c>
      <x:c r="J1535" s="11" t="n">
        <x:v>3</x:v>
      </x:c>
      <x:c r="K1535" s="11" t="n">
        <x:v>7</x:v>
      </x:c>
      <x:c r="L1535" s="11" t="n">
        <x:v>1</x:v>
      </x:c>
      <x:c r="M1535" s="9" t="n">
        <x:f>ROUND(H1535*(1-I1535),2)</x:f>
        <x:v>4784000</x:v>
      </x:c>
      <x:c r="N1535" s="4" t="str">
        <x:v>Sales head</x:v>
      </x:c>
      <x:c r="O1535" s="4"/>
      <x:c r="P1535" s="9" t="n">
        <x:v>0</x:v>
      </x:c>
      <x:c r="Q1535" s="11" t="n">
        <x:v>0</x:v>
      </x:c>
      <x:c r="R1535" s="8" t="n">
        <x:v>45464</x:v>
      </x:c>
      <x:c r="S1535" s="4" t="str">
        <x:v>Retained</x:v>
      </x:c>
      <x:c r="T1535" s="10" t="n">
        <x:v>0.204152</x:v>
      </x:c>
      <x:c r="U1535" s="4" t="str">
        <x:v>Train</x:v>
      </x:c>
    </x:row>
    <x:row r="1536" ht="34" customHeight="1">
      <x:c r="A1536" s="4" t="str">
        <x:v>RS-01535</x:v>
      </x:c>
      <x:c r="B1536" s="8" t="n">
        <x:v>45405</x:v>
      </x:c>
      <x:c r="C1536" s="4" t="str">
        <x:v>PRJ-015</x:v>
      </x:c>
      <x:c r="D1536" s="4" t="str">
        <x:v>Office</x:v>
      </x:c>
      <x:c r="E1536" s="4" t="str">
        <x:v>Handed over</x:v>
      </x:c>
      <x:c r="F1536" s="4" t="str">
        <x:v>CUS-01535</x:v>
      </x:c>
      <x:c r="G1536" s="4" t="str">
        <x:v>UNIT-01535</x:v>
      </x:c>
      <x:c r="H1536" s="9" t="n">
        <x:v>4200000</x:v>
      </x:c>
      <x:c r="I1536" s="10" t="n">
        <x:v>0.11</x:v>
      </x:c>
      <x:c r="J1536" s="11" t="n">
        <x:v>9</x:v>
      </x:c>
      <x:c r="K1536" s="11" t="n">
        <x:v>1</x:v>
      </x:c>
      <x:c r="L1536" s="11" t="n">
        <x:v>0</x:v>
      </x:c>
      <x:c r="M1536" s="9" t="n">
        <x:f>ROUND(H1536*(1-I1536),2)</x:f>
        <x:v>3738000</x:v>
      </x:c>
      <x:c r="N1536" s="4" t="str">
        <x:v>Sales head</x:v>
      </x:c>
      <x:c r="O1536" s="4" t="str">
        <x:v>BOOK-01535</x:v>
      </x:c>
      <x:c r="P1536" s="9" t="n">
        <x:v>373800</x:v>
      </x:c>
      <x:c r="Q1536" s="11" t="n">
        <x:v>0</x:v>
      </x:c>
      <x:c r="R1536" s="8" t="n">
        <x:v>45465</x:v>
      </x:c>
      <x:c r="S1536" s="4" t="str">
        <x:v>Retained</x:v>
      </x:c>
      <x:c r="T1536" s="10" t="n">
        <x:v>0.310195</x:v>
      </x:c>
      <x:c r="U1536" s="4" t="str">
        <x:v>Train</x:v>
      </x:c>
    </x:row>
    <x:row r="1537" ht="34" customHeight="1">
      <x:c r="A1537" s="4" t="str">
        <x:v>RS-01536</x:v>
      </x:c>
      <x:c r="B1537" s="8" t="n">
        <x:v>45406</x:v>
      </x:c>
      <x:c r="C1537" s="4" t="str">
        <x:v>PRJ-016</x:v>
      </x:c>
      <x:c r="D1537" s="4" t="str">
        <x:v>Villa</x:v>
      </x:c>
      <x:c r="E1537" s="4" t="str">
        <x:v>Booked</x:v>
      </x:c>
      <x:c r="F1537" s="4" t="str">
        <x:v>CUS-01536</x:v>
      </x:c>
      <x:c r="G1537" s="4" t="str">
        <x:v>UNIT-01536</x:v>
      </x:c>
      <x:c r="H1537" s="9" t="n">
        <x:v>9900000</x:v>
      </x:c>
      <x:c r="I1537" s="10" t="n">
        <x:v>0.02</x:v>
      </x:c>
      <x:c r="J1537" s="11" t="n">
        <x:v>7</x:v>
      </x:c>
      <x:c r="K1537" s="11" t="n">
        <x:v>6</x:v>
      </x:c>
      <x:c r="L1537" s="11" t="n">
        <x:v>1</x:v>
      </x:c>
      <x:c r="M1537" s="9" t="n">
        <x:f>ROUND(H1537*(1-I1537),2)</x:f>
        <x:v>9702000</x:v>
      </x:c>
      <x:c r="N1537" s="4" t="str">
        <x:v>Sales manager</x:v>
      </x:c>
      <x:c r="O1537" s="4" t="str">
        <x:v>BOOK-01536</x:v>
      </x:c>
      <x:c r="P1537" s="9" t="n">
        <x:v>9702000</x:v>
      </x:c>
      <x:c r="Q1537" s="11" t="n">
        <x:v>0</x:v>
      </x:c>
      <x:c r="R1537" s="8" t="n">
        <x:v>45466</x:v>
      </x:c>
      <x:c r="S1537" s="4" t="str">
        <x:v>Retained</x:v>
      </x:c>
      <x:c r="T1537" s="10" t="n">
        <x:v>0.145299</x:v>
      </x:c>
      <x:c r="U1537" s="4" t="str">
        <x:v>Train</x:v>
      </x:c>
    </x:row>
    <x:row r="1538" ht="34" customHeight="1">
      <x:c r="A1538" s="4" t="str">
        <x:v>RS-01537</x:v>
      </x:c>
      <x:c r="B1538" s="8" t="n">
        <x:v>45407</x:v>
      </x:c>
      <x:c r="C1538" s="4" t="str">
        <x:v>PRJ-017</x:v>
      </x:c>
      <x:c r="D1538" s="4" t="str">
        <x:v>Villa</x:v>
      </x:c>
      <x:c r="E1538" s="4" t="str">
        <x:v>Enquiry</x:v>
      </x:c>
      <x:c r="F1538" s="4" t="str">
        <x:v>CUS-01537</x:v>
      </x:c>
      <x:c r="G1538" s="4" t="str">
        <x:v>UNIT-01537</x:v>
      </x:c>
      <x:c r="H1538" s="9" t="n">
        <x:v>5100000</x:v>
      </x:c>
      <x:c r="I1538" s="10" t="n">
        <x:v>0.07</x:v>
      </x:c>
      <x:c r="J1538" s="11" t="n">
        <x:v>7</x:v>
      </x:c>
      <x:c r="K1538" s="11" t="n">
        <x:v>8</x:v>
      </x:c>
      <x:c r="L1538" s="11" t="n">
        <x:v>0</x:v>
      </x:c>
      <x:c r="M1538" s="9" t="n">
        <x:f>ROUND(H1538*(1-I1538),2)</x:f>
        <x:v>4743000</x:v>
      </x:c>
      <x:c r="N1538" s="4" t="str">
        <x:v>Sales manager</x:v>
      </x:c>
      <x:c r="O1538" s="4"/>
      <x:c r="P1538" s="9" t="n">
        <x:v>0</x:v>
      </x:c>
      <x:c r="Q1538" s="11" t="n">
        <x:v>1</x:v>
      </x:c>
      <x:c r="R1538" s="8" t="n">
        <x:v>45467</x:v>
      </x:c>
      <x:c r="S1538" s="4" t="str">
        <x:v>Lost / cancelled</x:v>
      </x:c>
      <x:c r="T1538" s="10" t="n">
        <x:v>0.226277</x:v>
      </x:c>
      <x:c r="U1538" s="4" t="str">
        <x:v>Train</x:v>
      </x:c>
    </x:row>
    <x:row r="1539" ht="34" customHeight="1">
      <x:c r="A1539" s="4" t="str">
        <x:v>RS-01538</x:v>
      </x:c>
      <x:c r="B1539" s="8" t="n">
        <x:v>45408</x:v>
      </x:c>
      <x:c r="C1539" s="4" t="str">
        <x:v>PRJ-018</x:v>
      </x:c>
      <x:c r="D1539" s="4" t="str">
        <x:v>Office</x:v>
      </x:c>
      <x:c r="E1539" s="4" t="str">
        <x:v>Reserved</x:v>
      </x:c>
      <x:c r="F1539" s="4" t="str">
        <x:v>CUS-01538</x:v>
      </x:c>
      <x:c r="G1539" s="4" t="str">
        <x:v>UNIT-01538</x:v>
      </x:c>
      <x:c r="H1539" s="9" t="n">
        <x:v>10600000</x:v>
      </x:c>
      <x:c r="I1539" s="10" t="n">
        <x:v>0.05</x:v>
      </x:c>
      <x:c r="J1539" s="11" t="n">
        <x:v>0</x:v>
      </x:c>
      <x:c r="K1539" s="11" t="n">
        <x:v>4</x:v>
      </x:c>
      <x:c r="L1539" s="11" t="n">
        <x:v>1</x:v>
      </x:c>
      <x:c r="M1539" s="9" t="n">
        <x:f>ROUND(H1539*(1-I1539),2)</x:f>
        <x:v>10070000</x:v>
      </x:c>
      <x:c r="N1539" s="4" t="str">
        <x:v>Sales manager</x:v>
      </x:c>
      <x:c r="O1539" s="4"/>
      <x:c r="P1539" s="9" t="n">
        <x:v>0</x:v>
      </x:c>
      <x:c r="Q1539" s="11" t="n">
        <x:v>0</x:v>
      </x:c>
      <x:c r="R1539" s="8" t="n">
        <x:v>45468</x:v>
      </x:c>
      <x:c r="S1539" s="4" t="str">
        <x:v>Retained</x:v>
      </x:c>
      <x:c r="T1539" s="10" t="n">
        <x:v>0.204152</x:v>
      </x:c>
      <x:c r="U1539" s="4" t="str">
        <x:v>Train</x:v>
      </x:c>
    </x:row>
    <x:row r="1540" ht="34" customHeight="1">
      <x:c r="A1540" s="4" t="str">
        <x:v>RS-01539</x:v>
      </x:c>
      <x:c r="B1540" s="8" t="n">
        <x:v>45409</x:v>
      </x:c>
      <x:c r="C1540" s="4" t="str">
        <x:v>PRJ-019</x:v>
      </x:c>
      <x:c r="D1540" s="4" t="str">
        <x:v>Office</x:v>
      </x:c>
      <x:c r="E1540" s="4" t="str">
        <x:v>Enquiry</x:v>
      </x:c>
      <x:c r="F1540" s="4" t="str">
        <x:v>CUS-01539</x:v>
      </x:c>
      <x:c r="G1540" s="4" t="str">
        <x:v>UNIT-01539</x:v>
      </x:c>
      <x:c r="H1540" s="9" t="n">
        <x:v>7100000</x:v>
      </x:c>
      <x:c r="I1540" s="10" t="n">
        <x:v>0.07</x:v>
      </x:c>
      <x:c r="J1540" s="11" t="n">
        <x:v>1</x:v>
      </x:c>
      <x:c r="K1540" s="11" t="n">
        <x:v>3</x:v>
      </x:c>
      <x:c r="L1540" s="11" t="n">
        <x:v>1</x:v>
      </x:c>
      <x:c r="M1540" s="9" t="n">
        <x:f>ROUND(H1540*(1-I1540),2)</x:f>
        <x:v>6603000</x:v>
      </x:c>
      <x:c r="N1540" s="4" t="str">
        <x:v>Sales manager</x:v>
      </x:c>
      <x:c r="O1540" s="4"/>
      <x:c r="P1540" s="9" t="n">
        <x:v>0</x:v>
      </x:c>
      <x:c r="Q1540" s="11" t="n">
        <x:v>0</x:v>
      </x:c>
      <x:c r="R1540" s="8" t="n">
        <x:v>45469</x:v>
      </x:c>
      <x:c r="S1540" s="4" t="str">
        <x:v>Retained</x:v>
      </x:c>
      <x:c r="T1540" s="10" t="n">
        <x:v>0.204152</x:v>
      </x:c>
      <x:c r="U1540" s="4" t="str">
        <x:v>Train</x:v>
      </x:c>
    </x:row>
    <x:row r="1541" ht="34" customHeight="1">
      <x:c r="A1541" s="4" t="str">
        <x:v>RS-01540</x:v>
      </x:c>
      <x:c r="B1541" s="8" t="n">
        <x:v>45410</x:v>
      </x:c>
      <x:c r="C1541" s="4" t="str">
        <x:v>PRJ-020</x:v>
      </x:c>
      <x:c r="D1541" s="4" t="str">
        <x:v>Office</x:v>
      </x:c>
      <x:c r="E1541" s="4" t="str">
        <x:v>Booked</x:v>
      </x:c>
      <x:c r="F1541" s="4" t="str">
        <x:v>CUS-01540</x:v>
      </x:c>
      <x:c r="G1541" s="4" t="str">
        <x:v>UNIT-01540</x:v>
      </x:c>
      <x:c r="H1541" s="9" t="n">
        <x:v>5400000</x:v>
      </x:c>
      <x:c r="I1541" s="10" t="n">
        <x:v>0.1</x:v>
      </x:c>
      <x:c r="J1541" s="11" t="n">
        <x:v>12</x:v>
      </x:c>
      <x:c r="K1541" s="11" t="n">
        <x:v>9</x:v>
      </x:c>
      <x:c r="L1541" s="11" t="n">
        <x:v>1</x:v>
      </x:c>
      <x:c r="M1541" s="9" t="n">
        <x:f>ROUND(H1541*(1-I1541),2)</x:f>
        <x:v>4860000</x:v>
      </x:c>
      <x:c r="N1541" s="4" t="str">
        <x:v>Sales head</x:v>
      </x:c>
      <x:c r="O1541" s="4" t="str">
        <x:v>BOOK-01540</x:v>
      </x:c>
      <x:c r="P1541" s="9" t="n">
        <x:v>1215000</x:v>
      </x:c>
      <x:c r="Q1541" s="11" t="n">
        <x:v>0</x:v>
      </x:c>
      <x:c r="R1541" s="8" t="n">
        <x:v>45470</x:v>
      </x:c>
      <x:c r="S1541" s="4" t="str">
        <x:v>Retained</x:v>
      </x:c>
      <x:c r="T1541" s="10" t="n">
        <x:v>0.351536</x:v>
      </x:c>
      <x:c r="U1541" s="4" t="str">
        <x:v>Train</x:v>
      </x:c>
    </x:row>
    <x:row r="1542" ht="34" customHeight="1">
      <x:c r="A1542" s="4" t="str">
        <x:v>RS-01541</x:v>
      </x:c>
      <x:c r="B1542" s="8" t="n">
        <x:v>45383</x:v>
      </x:c>
      <x:c r="C1542" s="4" t="str">
        <x:v>PRJ-001</x:v>
      </x:c>
      <x:c r="D1542" s="4" t="str">
        <x:v>Apartment</x:v>
      </x:c>
      <x:c r="E1542" s="4" t="str">
        <x:v>Booked</x:v>
      </x:c>
      <x:c r="F1542" s="4" t="str">
        <x:v>CUS-01541</x:v>
      </x:c>
      <x:c r="G1542" s="4" t="str">
        <x:v>UNIT-01541</x:v>
      </x:c>
      <x:c r="H1542" s="9" t="n">
        <x:v>21600000</x:v>
      </x:c>
      <x:c r="I1542" s="10" t="n">
        <x:v>0.02</x:v>
      </x:c>
      <x:c r="J1542" s="11" t="n">
        <x:v>9</x:v>
      </x:c>
      <x:c r="K1542" s="11" t="n">
        <x:v>6</x:v>
      </x:c>
      <x:c r="L1542" s="11" t="n">
        <x:v>1</x:v>
      </x:c>
      <x:c r="M1542" s="9" t="n">
        <x:f>ROUND(H1542*(1-I1542),2)</x:f>
        <x:v>21168000</x:v>
      </x:c>
      <x:c r="N1542" s="4" t="str">
        <x:v>Sales manager</x:v>
      </x:c>
      <x:c r="O1542" s="4" t="str">
        <x:v>BOOK-01541</x:v>
      </x:c>
      <x:c r="P1542" s="9" t="n">
        <x:v>5292000</x:v>
      </x:c>
      <x:c r="Q1542" s="11" t="n">
        <x:v>0</x:v>
      </x:c>
      <x:c r="R1542" s="8" t="n">
        <x:v>45443</x:v>
      </x:c>
      <x:c r="S1542" s="4" t="str">
        <x:v>Retained</x:v>
      </x:c>
      <x:c r="T1542" s="10" t="n">
        <x:v>0.254545</x:v>
      </x:c>
      <x:c r="U1542" s="4" t="str">
        <x:v>Train</x:v>
      </x:c>
    </x:row>
    <x:row r="1543" ht="34" customHeight="1">
      <x:c r="A1543" s="4" t="str">
        <x:v>RS-01542</x:v>
      </x:c>
      <x:c r="B1543" s="8" t="n">
        <x:v>45384</x:v>
      </x:c>
      <x:c r="C1543" s="4" t="str">
        <x:v>PRJ-002</x:v>
      </x:c>
      <x:c r="D1543" s="4" t="str">
        <x:v>Retail</x:v>
      </x:c>
      <x:c r="E1543" s="4" t="str">
        <x:v>Handed over</x:v>
      </x:c>
      <x:c r="F1543" s="4" t="str">
        <x:v>CUS-01542</x:v>
      </x:c>
      <x:c r="G1543" s="4" t="str">
        <x:v>UNIT-01542</x:v>
      </x:c>
      <x:c r="H1543" s="9" t="n">
        <x:v>19300000</x:v>
      </x:c>
      <x:c r="I1543" s="10" t="n">
        <x:v>0.03</x:v>
      </x:c>
      <x:c r="J1543" s="11" t="n">
        <x:v>5</x:v>
      </x:c>
      <x:c r="K1543" s="11" t="n">
        <x:v>0</x:v>
      </x:c>
      <x:c r="L1543" s="11" t="n">
        <x:v>1</x:v>
      </x:c>
      <x:c r="M1543" s="9" t="n">
        <x:f>ROUND(H1543*(1-I1543),2)</x:f>
        <x:v>18721000</x:v>
      </x:c>
      <x:c r="N1543" s="4" t="str">
        <x:v>Sales manager</x:v>
      </x:c>
      <x:c r="O1543" s="4" t="str">
        <x:v>BOOK-01542</x:v>
      </x:c>
      <x:c r="P1543" s="9" t="n">
        <x:v>18721000</x:v>
      </x:c>
      <x:c r="Q1543" s="11" t="n">
        <x:v>0</x:v>
      </x:c>
      <x:c r="R1543" s="8" t="n">
        <x:v>45444</x:v>
      </x:c>
      <x:c r="S1543" s="4" t="str">
        <x:v>Retained</x:v>
      </x:c>
      <x:c r="T1543" s="10" t="n">
        <x:v>0.298969</x:v>
      </x:c>
      <x:c r="U1543" s="4" t="str">
        <x:v>Train</x:v>
      </x:c>
    </x:row>
    <x:row r="1544" ht="34" customHeight="1">
      <x:c r="A1544" s="4" t="str">
        <x:v>RS-01543</x:v>
      </x:c>
      <x:c r="B1544" s="8" t="n">
        <x:v>45385</x:v>
      </x:c>
      <x:c r="C1544" s="4" t="str">
        <x:v>PRJ-003</x:v>
      </x:c>
      <x:c r="D1544" s="4" t="str">
        <x:v>Retail</x:v>
      </x:c>
      <x:c r="E1544" s="4" t="str">
        <x:v>Enquiry</x:v>
      </x:c>
      <x:c r="F1544" s="4" t="str">
        <x:v>CUS-01543</x:v>
      </x:c>
      <x:c r="G1544" s="4" t="str">
        <x:v>UNIT-01543</x:v>
      </x:c>
      <x:c r="H1544" s="9" t="n">
        <x:v>9300000</x:v>
      </x:c>
      <x:c r="I1544" s="10" t="n">
        <x:v>0.08</x:v>
      </x:c>
      <x:c r="J1544" s="11" t="n">
        <x:v>9</x:v>
      </x:c>
      <x:c r="K1544" s="11" t="n">
        <x:v>3</x:v>
      </x:c>
      <x:c r="L1544" s="11" t="n">
        <x:v>0</x:v>
      </x:c>
      <x:c r="M1544" s="9" t="n">
        <x:f>ROUND(H1544*(1-I1544),2)</x:f>
        <x:v>8556000</x:v>
      </x:c>
      <x:c r="N1544" s="4" t="str">
        <x:v>Sales head</x:v>
      </x:c>
      <x:c r="O1544" s="4"/>
      <x:c r="P1544" s="9" t="n">
        <x:v>0</x:v>
      </x:c>
      <x:c r="Q1544" s="11" t="n">
        <x:v>0</x:v>
      </x:c>
      <x:c r="R1544" s="8" t="n">
        <x:v>45445</x:v>
      </x:c>
      <x:c r="S1544" s="4" t="str">
        <x:v>Retained</x:v>
      </x:c>
      <x:c r="T1544" s="10" t="n">
        <x:v>0.310195</x:v>
      </x:c>
      <x:c r="U1544" s="4" t="str">
        <x:v>Train</x:v>
      </x:c>
    </x:row>
    <x:row r="1545" ht="34" customHeight="1">
      <x:c r="A1545" s="4" t="str">
        <x:v>RS-01544</x:v>
      </x:c>
      <x:c r="B1545" s="8" t="n">
        <x:v>45386</x:v>
      </x:c>
      <x:c r="C1545" s="4" t="str">
        <x:v>PRJ-004</x:v>
      </x:c>
      <x:c r="D1545" s="4" t="str">
        <x:v>Retail</x:v>
      </x:c>
      <x:c r="E1545" s="4" t="str">
        <x:v>Agreement signed</x:v>
      </x:c>
      <x:c r="F1545" s="4" t="str">
        <x:v>CUS-01544</x:v>
      </x:c>
      <x:c r="G1545" s="4" t="str">
        <x:v>UNIT-01544</x:v>
      </x:c>
      <x:c r="H1545" s="9" t="n">
        <x:v>10900000</x:v>
      </x:c>
      <x:c r="I1545" s="10" t="n">
        <x:v>0.11</x:v>
      </x:c>
      <x:c r="J1545" s="11" t="n">
        <x:v>5</x:v>
      </x:c>
      <x:c r="K1545" s="11" t="n">
        <x:v>8</x:v>
      </x:c>
      <x:c r="L1545" s="11" t="n">
        <x:v>1</x:v>
      </x:c>
      <x:c r="M1545" s="9" t="n">
        <x:f>ROUND(H1545*(1-I1545),2)</x:f>
        <x:v>9701000</x:v>
      </x:c>
      <x:c r="N1545" s="4" t="str">
        <x:v>Sales head</x:v>
      </x:c>
      <x:c r="O1545" s="4" t="str">
        <x:v>BOOK-01544</x:v>
      </x:c>
      <x:c r="P1545" s="9" t="n">
        <x:v>4850500</x:v>
      </x:c>
      <x:c r="Q1545" s="11" t="n">
        <x:v>0</x:v>
      </x:c>
      <x:c r="R1545" s="8" t="n">
        <x:v>45446</x:v>
      </x:c>
      <x:c r="S1545" s="4" t="str">
        <x:v>Retained</x:v>
      </x:c>
      <x:c r="T1545" s="10" t="n">
        <x:v>0.291946</x:v>
      </x:c>
      <x:c r="U1545" s="4" t="str">
        <x:v>Train</x:v>
      </x:c>
    </x:row>
    <x:row r="1546" ht="34" customHeight="1">
      <x:c r="A1546" s="4" t="str">
        <x:v>RS-01545</x:v>
      </x:c>
      <x:c r="B1546" s="8" t="n">
        <x:v>45387</x:v>
      </x:c>
      <x:c r="C1546" s="4" t="str">
        <x:v>PRJ-005</x:v>
      </x:c>
      <x:c r="D1546" s="4" t="str">
        <x:v>Apartment</x:v>
      </x:c>
      <x:c r="E1546" s="4" t="str">
        <x:v>Enquiry</x:v>
      </x:c>
      <x:c r="F1546" s="4" t="str">
        <x:v>CUS-01545</x:v>
      </x:c>
      <x:c r="G1546" s="4" t="str">
        <x:v>UNIT-01545</x:v>
      </x:c>
      <x:c r="H1546" s="9" t="n">
        <x:v>5700000</x:v>
      </x:c>
      <x:c r="I1546" s="10" t="n">
        <x:v>0.09</x:v>
      </x:c>
      <x:c r="J1546" s="11" t="n">
        <x:v>2</x:v>
      </x:c>
      <x:c r="K1546" s="11" t="n">
        <x:v>5</x:v>
      </x:c>
      <x:c r="L1546" s="11" t="n">
        <x:v>1</x:v>
      </x:c>
      <x:c r="M1546" s="9" t="n">
        <x:f>ROUND(H1546*(1-I1546),2)</x:f>
        <x:v>5187000</x:v>
      </x:c>
      <x:c r="N1546" s="4" t="str">
        <x:v>Sales head</x:v>
      </x:c>
      <x:c r="O1546" s="4"/>
      <x:c r="P1546" s="9" t="n">
        <x:v>0</x:v>
      </x:c>
      <x:c r="Q1546" s="11" t="n">
        <x:v>0</x:v>
      </x:c>
      <x:c r="R1546" s="8" t="n">
        <x:v>45447</x:v>
      </x:c>
      <x:c r="S1546" s="4" t="str">
        <x:v>Retained</x:v>
      </x:c>
      <x:c r="T1546" s="10" t="n">
        <x:v>0.145833</x:v>
      </x:c>
      <x:c r="U1546" s="4" t="str">
        <x:v>Train</x:v>
      </x:c>
    </x:row>
    <x:row r="1547" ht="34" customHeight="1">
      <x:c r="A1547" s="4" t="str">
        <x:v>RS-01546</x:v>
      </x:c>
      <x:c r="B1547" s="8" t="n">
        <x:v>45388</x:v>
      </x:c>
      <x:c r="C1547" s="4" t="str">
        <x:v>PRJ-006</x:v>
      </x:c>
      <x:c r="D1547" s="4" t="str">
        <x:v>Apartment</x:v>
      </x:c>
      <x:c r="E1547" s="4" t="str">
        <x:v>Cancelled</x:v>
      </x:c>
      <x:c r="F1547" s="4" t="str">
        <x:v>CUS-01546</x:v>
      </x:c>
      <x:c r="G1547" s="4" t="str">
        <x:v>UNIT-01546</x:v>
      </x:c>
      <x:c r="H1547" s="9" t="n">
        <x:v>13100000</x:v>
      </x:c>
      <x:c r="I1547" s="10" t="n">
        <x:v>0.04</x:v>
      </x:c>
      <x:c r="J1547" s="11" t="n">
        <x:v>4</x:v>
      </x:c>
      <x:c r="K1547" s="11" t="n">
        <x:v>5</x:v>
      </x:c>
      <x:c r="L1547" s="11" t="n">
        <x:v>0</x:v>
      </x:c>
      <x:c r="M1547" s="9" t="n">
        <x:f>ROUND(H1547*(1-I1547),2)</x:f>
        <x:v>12576000</x:v>
      </x:c>
      <x:c r="N1547" s="4" t="str">
        <x:v>Sales manager</x:v>
      </x:c>
      <x:c r="O1547" s="4"/>
      <x:c r="P1547" s="9" t="n">
        <x:v>0</x:v>
      </x:c>
      <x:c r="Q1547" s="11" t="n">
        <x:v>1</x:v>
      </x:c>
      <x:c r="R1547" s="8" t="n">
        <x:v>45448</x:v>
      </x:c>
      <x:c r="S1547" s="4" t="str">
        <x:v>Lost / cancelled</x:v>
      </x:c>
      <x:c r="T1547" s="10" t="n">
        <x:v>0.226277</x:v>
      </x:c>
      <x:c r="U1547" s="4" t="str">
        <x:v>Train</x:v>
      </x:c>
    </x:row>
    <x:row r="1548" ht="34" customHeight="1">
      <x:c r="A1548" s="4" t="str">
        <x:v>RS-01547</x:v>
      </x:c>
      <x:c r="B1548" s="8" t="n">
        <x:v>45389</x:v>
      </x:c>
      <x:c r="C1548" s="4" t="str">
        <x:v>PRJ-007</x:v>
      </x:c>
      <x:c r="D1548" s="4" t="str">
        <x:v>Retail</x:v>
      </x:c>
      <x:c r="E1548" s="4" t="str">
        <x:v>Reserved</x:v>
      </x:c>
      <x:c r="F1548" s="4" t="str">
        <x:v>CUS-01547</x:v>
      </x:c>
      <x:c r="G1548" s="4" t="str">
        <x:v>UNIT-01547</x:v>
      </x:c>
      <x:c r="H1548" s="9" t="n">
        <x:v>12800000</x:v>
      </x:c>
      <x:c r="I1548" s="10" t="n">
        <x:v>0.04</x:v>
      </x:c>
      <x:c r="J1548" s="11" t="n">
        <x:v>2</x:v>
      </x:c>
      <x:c r="K1548" s="11" t="n">
        <x:v>5</x:v>
      </x:c>
      <x:c r="L1548" s="11" t="n">
        <x:v>0</x:v>
      </x:c>
      <x:c r="M1548" s="9" t="n">
        <x:f>ROUND(H1548*(1-I1548),2)</x:f>
        <x:v>12288000</x:v>
      </x:c>
      <x:c r="N1548" s="4" t="str">
        <x:v>Sales manager</x:v>
      </x:c>
      <x:c r="O1548" s="4"/>
      <x:c r="P1548" s="9" t="n">
        <x:v>0</x:v>
      </x:c>
      <x:c r="Q1548" s="11" t="n">
        <x:v>0</x:v>
      </x:c>
      <x:c r="R1548" s="8" t="n">
        <x:v>45449</x:v>
      </x:c>
      <x:c r="S1548" s="4" t="str">
        <x:v>Retained</x:v>
      </x:c>
      <x:c r="T1548" s="10" t="n">
        <x:v>0.204152</x:v>
      </x:c>
      <x:c r="U1548" s="4" t="str">
        <x:v>Train</x:v>
      </x:c>
    </x:row>
    <x:row r="1549" ht="34" customHeight="1">
      <x:c r="A1549" s="4" t="str">
        <x:v>RS-01548</x:v>
      </x:c>
      <x:c r="B1549" s="8" t="n">
        <x:v>45390</x:v>
      </x:c>
      <x:c r="C1549" s="4" t="str">
        <x:v>PRJ-008</x:v>
      </x:c>
      <x:c r="D1549" s="4" t="str">
        <x:v>Apartment</x:v>
      </x:c>
      <x:c r="E1549" s="4" t="str">
        <x:v>Reserved</x:v>
      </x:c>
      <x:c r="F1549" s="4" t="str">
        <x:v>CUS-01548</x:v>
      </x:c>
      <x:c r="G1549" s="4" t="str">
        <x:v>UNIT-01548</x:v>
      </x:c>
      <x:c r="H1549" s="9" t="n">
        <x:v>21900000</x:v>
      </x:c>
      <x:c r="I1549" s="10" t="n">
        <x:v>0.05</x:v>
      </x:c>
      <x:c r="J1549" s="11" t="n">
        <x:v>0</x:v>
      </x:c>
      <x:c r="K1549" s="11" t="n">
        <x:v>1</x:v>
      </x:c>
      <x:c r="L1549" s="11" t="n">
        <x:v>1</x:v>
      </x:c>
      <x:c r="M1549" s="9" t="n">
        <x:f>ROUND(H1549*(1-I1549),2)</x:f>
        <x:v>20805000</x:v>
      </x:c>
      <x:c r="N1549" s="4" t="str">
        <x:v>Sales manager</x:v>
      </x:c>
      <x:c r="O1549" s="4"/>
      <x:c r="P1549" s="9" t="n">
        <x:v>0</x:v>
      </x:c>
      <x:c r="Q1549" s="11" t="n">
        <x:v>1</x:v>
      </x:c>
      <x:c r="R1549" s="8" t="n">
        <x:v>45450</x:v>
      </x:c>
      <x:c r="S1549" s="4" t="str">
        <x:v>Lost / cancelled</x:v>
      </x:c>
      <x:c r="T1549" s="10" t="n">
        <x:v>0.204152</x:v>
      </x:c>
      <x:c r="U1549" s="4" t="str">
        <x:v>Train</x:v>
      </x:c>
    </x:row>
    <x:row r="1550" ht="34" customHeight="1">
      <x:c r="A1550" s="4" t="str">
        <x:v>RS-01549</x:v>
      </x:c>
      <x:c r="B1550" s="8" t="n">
        <x:v>45391</x:v>
      </x:c>
      <x:c r="C1550" s="4" t="str">
        <x:v>PRJ-009</x:v>
      </x:c>
      <x:c r="D1550" s="4" t="str">
        <x:v>Office</x:v>
      </x:c>
      <x:c r="E1550" s="4" t="str">
        <x:v>Handed over</x:v>
      </x:c>
      <x:c r="F1550" s="4" t="str">
        <x:v>CUS-01549</x:v>
      </x:c>
      <x:c r="G1550" s="4" t="str">
        <x:v>UNIT-01549</x:v>
      </x:c>
      <x:c r="H1550" s="9" t="n">
        <x:v>19500000</x:v>
      </x:c>
      <x:c r="I1550" s="10" t="n">
        <x:v>0.09</x:v>
      </x:c>
      <x:c r="J1550" s="11" t="n">
        <x:v>5</x:v>
      </x:c>
      <x:c r="K1550" s="11" t="n">
        <x:v>0</x:v>
      </x:c>
      <x:c r="L1550" s="11" t="n">
        <x:v>1</x:v>
      </x:c>
      <x:c r="M1550" s="9" t="n">
        <x:f>ROUND(H1550*(1-I1550),2)</x:f>
        <x:v>17745000</x:v>
      </x:c>
      <x:c r="N1550" s="4" t="str">
        <x:v>Sales head</x:v>
      </x:c>
      <x:c r="O1550" s="4" t="str">
        <x:v>BOOK-01549</x:v>
      </x:c>
      <x:c r="P1550" s="9" t="n">
        <x:v>4436250</x:v>
      </x:c>
      <x:c r="Q1550" s="11" t="n">
        <x:v>0</x:v>
      </x:c>
      <x:c r="R1550" s="8" t="n">
        <x:v>45451</x:v>
      </x:c>
      <x:c r="S1550" s="4" t="str">
        <x:v>Retained</x:v>
      </x:c>
      <x:c r="T1550" s="10" t="n">
        <x:v>0.291946</x:v>
      </x:c>
      <x:c r="U1550" s="4" t="str">
        <x:v>Train</x:v>
      </x:c>
    </x:row>
    <x:row r="1551" ht="34" customHeight="1">
      <x:c r="A1551" s="4" t="str">
        <x:v>RS-01550</x:v>
      </x:c>
      <x:c r="B1551" s="8" t="n">
        <x:v>45392</x:v>
      </x:c>
      <x:c r="C1551" s="4" t="str">
        <x:v>PRJ-010</x:v>
      </x:c>
      <x:c r="D1551" s="4" t="str">
        <x:v>Retail</x:v>
      </x:c>
      <x:c r="E1551" s="4" t="str">
        <x:v>Handed over</x:v>
      </x:c>
      <x:c r="F1551" s="4" t="str">
        <x:v>CUS-01550</x:v>
      </x:c>
      <x:c r="G1551" s="4" t="str">
        <x:v>UNIT-01550</x:v>
      </x:c>
      <x:c r="H1551" s="9" t="n">
        <x:v>14800000</x:v>
      </x:c>
      <x:c r="I1551" s="10" t="n">
        <x:v>0.06</x:v>
      </x:c>
      <x:c r="J1551" s="11" t="n">
        <x:v>7</x:v>
      </x:c>
      <x:c r="K1551" s="11" t="n">
        <x:v>6</x:v>
      </x:c>
      <x:c r="L1551" s="11" t="n">
        <x:v>0</x:v>
      </x:c>
      <x:c r="M1551" s="9" t="n">
        <x:f>ROUND(H1551*(1-I1551),2)</x:f>
        <x:v>13912000</x:v>
      </x:c>
      <x:c r="N1551" s="4" t="str">
        <x:v>Sales manager</x:v>
      </x:c>
      <x:c r="O1551" s="4" t="str">
        <x:v>BOOK-01550</x:v>
      </x:c>
      <x:c r="P1551" s="9" t="n">
        <x:v>1391200</x:v>
      </x:c>
      <x:c r="Q1551" s="11" t="n">
        <x:v>0</x:v>
      </x:c>
      <x:c r="R1551" s="8" t="n">
        <x:v>45452</x:v>
      </x:c>
      <x:c r="S1551" s="4" t="str">
        <x:v>Retained</x:v>
      </x:c>
      <x:c r="T1551" s="10" t="n">
        <x:v>0.226277</x:v>
      </x:c>
      <x:c r="U1551" s="4" t="str">
        <x:v>Train</x:v>
      </x:c>
    </x:row>
    <x:row r="1552" ht="34" customHeight="1">
      <x:c r="A1552" s="4" t="str">
        <x:v>RS-01551</x:v>
      </x:c>
      <x:c r="B1552" s="8" t="n">
        <x:v>45393</x:v>
      </x:c>
      <x:c r="C1552" s="4" t="str">
        <x:v>PRJ-011</x:v>
      </x:c>
      <x:c r="D1552" s="4" t="str">
        <x:v>Retail</x:v>
      </x:c>
      <x:c r="E1552" s="4" t="str">
        <x:v>Reserved</x:v>
      </x:c>
      <x:c r="F1552" s="4" t="str">
        <x:v>CUS-01551</x:v>
      </x:c>
      <x:c r="G1552" s="4" t="str">
        <x:v>UNIT-01551</x:v>
      </x:c>
      <x:c r="H1552" s="9" t="n">
        <x:v>3800000</x:v>
      </x:c>
      <x:c r="I1552" s="10" t="n">
        <x:v>0.05</x:v>
      </x:c>
      <x:c r="J1552" s="11" t="n">
        <x:v>3</x:v>
      </x:c>
      <x:c r="K1552" s="11" t="n">
        <x:v>6</x:v>
      </x:c>
      <x:c r="L1552" s="11" t="n">
        <x:v>1</x:v>
      </x:c>
      <x:c r="M1552" s="9" t="n">
        <x:f>ROUND(H1552*(1-I1552),2)</x:f>
        <x:v>3610000</x:v>
      </x:c>
      <x:c r="N1552" s="4" t="str">
        <x:v>Sales manager</x:v>
      </x:c>
      <x:c r="O1552" s="4"/>
      <x:c r="P1552" s="9" t="n">
        <x:v>0</x:v>
      </x:c>
      <x:c r="Q1552" s="11" t="n">
        <x:v>0</x:v>
      </x:c>
      <x:c r="R1552" s="8" t="n">
        <x:v>45453</x:v>
      </x:c>
      <x:c r="S1552" s="4" t="str">
        <x:v>Retained</x:v>
      </x:c>
      <x:c r="T1552" s="10" t="n">
        <x:v>0.204152</x:v>
      </x:c>
      <x:c r="U1552" s="4" t="str">
        <x:v>Train</x:v>
      </x:c>
    </x:row>
    <x:row r="1553" ht="34" customHeight="1">
      <x:c r="A1553" s="4" t="str">
        <x:v>RS-01552</x:v>
      </x:c>
      <x:c r="B1553" s="8" t="n">
        <x:v>45394</x:v>
      </x:c>
      <x:c r="C1553" s="4" t="str">
        <x:v>PRJ-012</x:v>
      </x:c>
      <x:c r="D1553" s="4" t="str">
        <x:v>Retail</x:v>
      </x:c>
      <x:c r="E1553" s="4" t="str">
        <x:v>Booked</x:v>
      </x:c>
      <x:c r="F1553" s="4" t="str">
        <x:v>CUS-01552</x:v>
      </x:c>
      <x:c r="G1553" s="4" t="str">
        <x:v>UNIT-01552</x:v>
      </x:c>
      <x:c r="H1553" s="9" t="n">
        <x:v>17900000</x:v>
      </x:c>
      <x:c r="I1553" s="10" t="n">
        <x:v>0.02</x:v>
      </x:c>
      <x:c r="J1553" s="11" t="n">
        <x:v>1</x:v>
      </x:c>
      <x:c r="K1553" s="11" t="n">
        <x:v>6</x:v>
      </x:c>
      <x:c r="L1553" s="11" t="n">
        <x:v>0</x:v>
      </x:c>
      <x:c r="M1553" s="9" t="n">
        <x:f>ROUND(H1553*(1-I1553),2)</x:f>
        <x:v>17542000</x:v>
      </x:c>
      <x:c r="N1553" s="4" t="str">
        <x:v>Sales manager</x:v>
      </x:c>
      <x:c r="O1553" s="4" t="str">
        <x:v>BOOK-01552</x:v>
      </x:c>
      <x:c r="P1553" s="9" t="n">
        <x:v>4385500</x:v>
      </x:c>
      <x:c r="Q1553" s="11" t="n">
        <x:v>0</x:v>
      </x:c>
      <x:c r="R1553" s="8" t="n">
        <x:v>45454</x:v>
      </x:c>
      <x:c r="S1553" s="4" t="str">
        <x:v>Retained</x:v>
      </x:c>
      <x:c r="T1553" s="10" t="n">
        <x:v>0.072165</x:v>
      </x:c>
      <x:c r="U1553" s="4" t="str">
        <x:v>Train</x:v>
      </x:c>
    </x:row>
    <x:row r="1554" ht="34" customHeight="1">
      <x:c r="A1554" s="4" t="str">
        <x:v>RS-01553</x:v>
      </x:c>
      <x:c r="B1554" s="8" t="n">
        <x:v>45395</x:v>
      </x:c>
      <x:c r="C1554" s="4" t="str">
        <x:v>PRJ-013</x:v>
      </x:c>
      <x:c r="D1554" s="4" t="str">
        <x:v>Office</x:v>
      </x:c>
      <x:c r="E1554" s="4" t="str">
        <x:v>Enquiry</x:v>
      </x:c>
      <x:c r="F1554" s="4" t="str">
        <x:v>CUS-01553</x:v>
      </x:c>
      <x:c r="G1554" s="4" t="str">
        <x:v>UNIT-01553</x:v>
      </x:c>
      <x:c r="H1554" s="9" t="n">
        <x:v>17200000</x:v>
      </x:c>
      <x:c r="I1554" s="10" t="n">
        <x:v>0.1</x:v>
      </x:c>
      <x:c r="J1554" s="11" t="n">
        <x:v>0</x:v>
      </x:c>
      <x:c r="K1554" s="11" t="n">
        <x:v>7</x:v>
      </x:c>
      <x:c r="L1554" s="11" t="n">
        <x:v>1</x:v>
      </x:c>
      <x:c r="M1554" s="9" t="n">
        <x:f>ROUND(H1554*(1-I1554),2)</x:f>
        <x:v>15480000</x:v>
      </x:c>
      <x:c r="N1554" s="4" t="str">
        <x:v>Sales head</x:v>
      </x:c>
      <x:c r="O1554" s="4"/>
      <x:c r="P1554" s="9" t="n">
        <x:v>0</x:v>
      </x:c>
      <x:c r="Q1554" s="11" t="n">
        <x:v>0</x:v>
      </x:c>
      <x:c r="R1554" s="8" t="n">
        <x:v>45455</x:v>
      </x:c>
      <x:c r="S1554" s="4" t="str">
        <x:v>Retained</x:v>
      </x:c>
      <x:c r="T1554" s="10" t="n">
        <x:v>0.145833</x:v>
      </x:c>
      <x:c r="U1554" s="4" t="str">
        <x:v>Train</x:v>
      </x:c>
    </x:row>
    <x:row r="1555" ht="34" customHeight="1">
      <x:c r="A1555" s="4" t="str">
        <x:v>RS-01554</x:v>
      </x:c>
      <x:c r="B1555" s="8" t="n">
        <x:v>45396</x:v>
      </x:c>
      <x:c r="C1555" s="4" t="str">
        <x:v>PRJ-014</x:v>
      </x:c>
      <x:c r="D1555" s="4" t="str">
        <x:v>Apartment</x:v>
      </x:c>
      <x:c r="E1555" s="4" t="str">
        <x:v>Enquiry</x:v>
      </x:c>
      <x:c r="F1555" s="4" t="str">
        <x:v>CUS-01554</x:v>
      </x:c>
      <x:c r="G1555" s="4" t="str">
        <x:v>UNIT-01554</x:v>
      </x:c>
      <x:c r="H1555" s="9" t="n">
        <x:v>19200000</x:v>
      </x:c>
      <x:c r="I1555" s="10" t="n">
        <x:v>0.02</x:v>
      </x:c>
      <x:c r="J1555" s="11" t="n">
        <x:v>10</x:v>
      </x:c>
      <x:c r="K1555" s="11" t="n">
        <x:v>7</x:v>
      </x:c>
      <x:c r="L1555" s="11" t="n">
        <x:v>1</x:v>
      </x:c>
      <x:c r="M1555" s="9" t="n">
        <x:f>ROUND(H1555*(1-I1555),2)</x:f>
        <x:v>18816000</x:v>
      </x:c>
      <x:c r="N1555" s="4" t="str">
        <x:v>Sales manager</x:v>
      </x:c>
      <x:c r="O1555" s="4"/>
      <x:c r="P1555" s="9" t="n">
        <x:v>0</x:v>
      </x:c>
      <x:c r="Q1555" s="11" t="n">
        <x:v>0</x:v>
      </x:c>
      <x:c r="R1555" s="8" t="n">
        <x:v>45456</x:v>
      </x:c>
      <x:c r="S1555" s="4" t="str">
        <x:v>Retained</x:v>
      </x:c>
      <x:c r="T1555" s="10" t="n">
        <x:v>0.254545</x:v>
      </x:c>
      <x:c r="U1555" s="4" t="str">
        <x:v>Train</x:v>
      </x:c>
    </x:row>
    <x:row r="1556" ht="34" customHeight="1">
      <x:c r="A1556" s="4" t="str">
        <x:v>RS-01555</x:v>
      </x:c>
      <x:c r="B1556" s="8" t="n">
        <x:v>45397</x:v>
      </x:c>
      <x:c r="C1556" s="4" t="str">
        <x:v>PRJ-015</x:v>
      </x:c>
      <x:c r="D1556" s="4" t="str">
        <x:v>Apartment</x:v>
      </x:c>
      <x:c r="E1556" s="4" t="str">
        <x:v>Cancelled</x:v>
      </x:c>
      <x:c r="F1556" s="4" t="str">
        <x:v>CUS-01555</x:v>
      </x:c>
      <x:c r="G1556" s="4" t="str">
        <x:v>UNIT-01555</x:v>
      </x:c>
      <x:c r="H1556" s="9" t="n">
        <x:v>17400000</x:v>
      </x:c>
      <x:c r="I1556" s="10" t="n">
        <x:v>0.02</x:v>
      </x:c>
      <x:c r="J1556" s="11" t="n">
        <x:v>9</x:v>
      </x:c>
      <x:c r="K1556" s="11" t="n">
        <x:v>1</x:v>
      </x:c>
      <x:c r="L1556" s="11" t="n">
        <x:v>0</x:v>
      </x:c>
      <x:c r="M1556" s="9" t="n">
        <x:f>ROUND(H1556*(1-I1556),2)</x:f>
        <x:v>17052000</x:v>
      </x:c>
      <x:c r="N1556" s="4" t="str">
        <x:v>Sales manager</x:v>
      </x:c>
      <x:c r="O1556" s="4"/>
      <x:c r="P1556" s="9" t="n">
        <x:v>0</x:v>
      </x:c>
      <x:c r="Q1556" s="11" t="n">
        <x:v>1</x:v>
      </x:c>
      <x:c r="R1556" s="8" t="n">
        <x:v>45457</x:v>
      </x:c>
      <x:c r="S1556" s="4" t="str">
        <x:v>Lost / cancelled</x:v>
      </x:c>
      <x:c r="T1556" s="10" t="n">
        <x:v>0.305556</x:v>
      </x:c>
      <x:c r="U1556" s="4" t="str">
        <x:v>Train</x:v>
      </x:c>
    </x:row>
    <x:row r="1557" ht="34" customHeight="1">
      <x:c r="A1557" s="4" t="str">
        <x:v>RS-01556</x:v>
      </x:c>
      <x:c r="B1557" s="8" t="n">
        <x:v>45398</x:v>
      </x:c>
      <x:c r="C1557" s="4" t="str">
        <x:v>PRJ-016</x:v>
      </x:c>
      <x:c r="D1557" s="4" t="str">
        <x:v>Villa</x:v>
      </x:c>
      <x:c r="E1557" s="4" t="str">
        <x:v>Agreement signed</x:v>
      </x:c>
      <x:c r="F1557" s="4" t="str">
        <x:v>CUS-01556</x:v>
      </x:c>
      <x:c r="G1557" s="4" t="str">
        <x:v>UNIT-01556</x:v>
      </x:c>
      <x:c r="H1557" s="9" t="n">
        <x:v>15900000</x:v>
      </x:c>
      <x:c r="I1557" s="10" t="n">
        <x:v>0.05</x:v>
      </x:c>
      <x:c r="J1557" s="11" t="n">
        <x:v>10</x:v>
      </x:c>
      <x:c r="K1557" s="11" t="n">
        <x:v>0</x:v>
      </x:c>
      <x:c r="L1557" s="11" t="n">
        <x:v>1</x:v>
      </x:c>
      <x:c r="M1557" s="9" t="n">
        <x:f>ROUND(H1557*(1-I1557),2)</x:f>
        <x:v>15105000</x:v>
      </x:c>
      <x:c r="N1557" s="4" t="str">
        <x:v>Sales manager</x:v>
      </x:c>
      <x:c r="O1557" s="4" t="str">
        <x:v>BOOK-01556</x:v>
      </x:c>
      <x:c r="P1557" s="9" t="n">
        <x:v>3776250</x:v>
      </x:c>
      <x:c r="Q1557" s="11" t="n">
        <x:v>0</x:v>
      </x:c>
      <x:c r="R1557" s="8" t="n">
        <x:v>45458</x:v>
      </x:c>
      <x:c r="S1557" s="4" t="str">
        <x:v>Retained</x:v>
      </x:c>
      <x:c r="T1557" s="10" t="n">
        <x:v>0.310195</x:v>
      </x:c>
      <x:c r="U1557" s="4" t="str">
        <x:v>Train</x:v>
      </x:c>
    </x:row>
    <x:row r="1558" ht="34" customHeight="1">
      <x:c r="A1558" s="4" t="str">
        <x:v>RS-01557</x:v>
      </x:c>
      <x:c r="B1558" s="8" t="n">
        <x:v>45399</x:v>
      </x:c>
      <x:c r="C1558" s="4" t="str">
        <x:v>PRJ-017</x:v>
      </x:c>
      <x:c r="D1558" s="4" t="str">
        <x:v>Retail</x:v>
      </x:c>
      <x:c r="E1558" s="4" t="str">
        <x:v>Booked</x:v>
      </x:c>
      <x:c r="F1558" s="4" t="str">
        <x:v>CUS-01557</x:v>
      </x:c>
      <x:c r="G1558" s="4" t="str">
        <x:v>UNIT-01557</x:v>
      </x:c>
      <x:c r="H1558" s="9" t="n">
        <x:v>16900000</x:v>
      </x:c>
      <x:c r="I1558" s="10" t="n">
        <x:v>0.02</x:v>
      </x:c>
      <x:c r="J1558" s="11" t="n">
        <x:v>3</x:v>
      </x:c>
      <x:c r="K1558" s="11" t="n">
        <x:v>4</x:v>
      </x:c>
      <x:c r="L1558" s="11" t="n">
        <x:v>0</x:v>
      </x:c>
      <x:c r="M1558" s="9" t="n">
        <x:f>ROUND(H1558*(1-I1558),2)</x:f>
        <x:v>16562000</x:v>
      </x:c>
      <x:c r="N1558" s="4" t="str">
        <x:v>Sales manager</x:v>
      </x:c>
      <x:c r="O1558" s="4" t="str">
        <x:v>BOOK-01557</x:v>
      </x:c>
      <x:c r="P1558" s="9" t="n">
        <x:v>4140500</x:v>
      </x:c>
      <x:c r="Q1558" s="11" t="n">
        <x:v>0</x:v>
      </x:c>
      <x:c r="R1558" s="8" t="n">
        <x:v>45459</x:v>
      </x:c>
      <x:c r="S1558" s="4" t="str">
        <x:v>Retained</x:v>
      </x:c>
      <x:c r="T1558" s="10" t="n">
        <x:v>0.171717</x:v>
      </x:c>
      <x:c r="U1558" s="4" t="str">
        <x:v>Train</x:v>
      </x:c>
    </x:row>
    <x:row r="1559" ht="34" customHeight="1">
      <x:c r="A1559" s="4" t="str">
        <x:v>RS-01558</x:v>
      </x:c>
      <x:c r="B1559" s="8" t="n">
        <x:v>45400</x:v>
      </x:c>
      <x:c r="C1559" s="4" t="str">
        <x:v>PRJ-018</x:v>
      </x:c>
      <x:c r="D1559" s="4" t="str">
        <x:v>Office</x:v>
      </x:c>
      <x:c r="E1559" s="4" t="str">
        <x:v>Agreement signed</x:v>
      </x:c>
      <x:c r="F1559" s="4" t="str">
        <x:v>CUS-01558</x:v>
      </x:c>
      <x:c r="G1559" s="4" t="str">
        <x:v>UNIT-01558</x:v>
      </x:c>
      <x:c r="H1559" s="9" t="n">
        <x:v>21700000</x:v>
      </x:c>
      <x:c r="I1559" s="10" t="n">
        <x:v>0.12</x:v>
      </x:c>
      <x:c r="J1559" s="11" t="n">
        <x:v>12</x:v>
      </x:c>
      <x:c r="K1559" s="11" t="n">
        <x:v>1</x:v>
      </x:c>
      <x:c r="L1559" s="11" t="n">
        <x:v>0</x:v>
      </x:c>
      <x:c r="M1559" s="9" t="n">
        <x:f>ROUND(H1559*(1-I1559),2)</x:f>
        <x:v>19096000</x:v>
      </x:c>
      <x:c r="N1559" s="4" t="str">
        <x:v>Sales head</x:v>
      </x:c>
      <x:c r="O1559" s="4" t="str">
        <x:v>BOOK-01558</x:v>
      </x:c>
      <x:c r="P1559" s="9" t="n">
        <x:v>9548000</x:v>
      </x:c>
      <x:c r="Q1559" s="11" t="n">
        <x:v>0</x:v>
      </x:c>
      <x:c r="R1559" s="8" t="n">
        <x:v>45460</x:v>
      </x:c>
      <x:c r="S1559" s="4" t="str">
        <x:v>Retained</x:v>
      </x:c>
      <x:c r="T1559" s="10" t="n">
        <x:v>0.351536</x:v>
      </x:c>
      <x:c r="U1559" s="4" t="str">
        <x:v>Train</x:v>
      </x:c>
    </x:row>
    <x:row r="1560" ht="34" customHeight="1">
      <x:c r="A1560" s="4" t="str">
        <x:v>RS-01559</x:v>
      </x:c>
      <x:c r="B1560" s="8" t="n">
        <x:v>45401</x:v>
      </x:c>
      <x:c r="C1560" s="4" t="str">
        <x:v>PRJ-019</x:v>
      </x:c>
      <x:c r="D1560" s="4" t="str">
        <x:v>Retail</x:v>
      </x:c>
      <x:c r="E1560" s="4" t="str">
        <x:v>Enquiry</x:v>
      </x:c>
      <x:c r="F1560" s="4" t="str">
        <x:v>CUS-01559</x:v>
      </x:c>
      <x:c r="G1560" s="4" t="str">
        <x:v>UNIT-01559</x:v>
      </x:c>
      <x:c r="H1560" s="9" t="n">
        <x:v>8100000</x:v>
      </x:c>
      <x:c r="I1560" s="10" t="n">
        <x:v>0.07</x:v>
      </x:c>
      <x:c r="J1560" s="11" t="n">
        <x:v>12</x:v>
      </x:c>
      <x:c r="K1560" s="11" t="n">
        <x:v>7</x:v>
      </x:c>
      <x:c r="L1560" s="11" t="n">
        <x:v>1</x:v>
      </x:c>
      <x:c r="M1560" s="9" t="n">
        <x:f>ROUND(H1560*(1-I1560),2)</x:f>
        <x:v>7533000</x:v>
      </x:c>
      <x:c r="N1560" s="4" t="str">
        <x:v>Sales manager</x:v>
      </x:c>
      <x:c r="O1560" s="4"/>
      <x:c r="P1560" s="9" t="n">
        <x:v>0</x:v>
      </x:c>
      <x:c r="Q1560" s="11" t="n">
        <x:v>0</x:v>
      </x:c>
      <x:c r="R1560" s="8" t="n">
        <x:v>45461</x:v>
      </x:c>
      <x:c r="S1560" s="4" t="str">
        <x:v>Retained</x:v>
      </x:c>
      <x:c r="T1560" s="10" t="n">
        <x:v>0.351536</x:v>
      </x:c>
      <x:c r="U1560" s="4" t="str">
        <x:v>Train</x:v>
      </x:c>
    </x:row>
    <x:row r="1561" ht="34" customHeight="1">
      <x:c r="A1561" s="4" t="str">
        <x:v>RS-01560</x:v>
      </x:c>
      <x:c r="B1561" s="8" t="n">
        <x:v>45402</x:v>
      </x:c>
      <x:c r="C1561" s="4" t="str">
        <x:v>PRJ-020</x:v>
      </x:c>
      <x:c r="D1561" s="4" t="str">
        <x:v>Villa</x:v>
      </x:c>
      <x:c r="E1561" s="4" t="str">
        <x:v>Booked</x:v>
      </x:c>
      <x:c r="F1561" s="4" t="str">
        <x:v>CUS-01560</x:v>
      </x:c>
      <x:c r="G1561" s="4" t="str">
        <x:v>UNIT-01560</x:v>
      </x:c>
      <x:c r="H1561" s="9" t="n">
        <x:v>6700000</x:v>
      </x:c>
      <x:c r="I1561" s="10" t="n">
        <x:v>0.11</x:v>
      </x:c>
      <x:c r="J1561" s="11" t="n">
        <x:v>8</x:v>
      </x:c>
      <x:c r="K1561" s="11" t="n">
        <x:v>10</x:v>
      </x:c>
      <x:c r="L1561" s="11" t="n">
        <x:v>0</x:v>
      </x:c>
      <x:c r="M1561" s="9" t="n">
        <x:f>ROUND(H1561*(1-I1561),2)</x:f>
        <x:v>5963000</x:v>
      </x:c>
      <x:c r="N1561" s="4" t="str">
        <x:v>Sales head</x:v>
      </x:c>
      <x:c r="O1561" s="4" t="str">
        <x:v>BOOK-01560</x:v>
      </x:c>
      <x:c r="P1561" s="9" t="n">
        <x:v>5963000</x:v>
      </x:c>
      <x:c r="Q1561" s="11" t="n">
        <x:v>0</x:v>
      </x:c>
      <x:c r="R1561" s="8" t="n">
        <x:v>45462</x:v>
      </x:c>
      <x:c r="S1561" s="4" t="str">
        <x:v>Retained</x:v>
      </x:c>
      <x:c r="T1561" s="10" t="n">
        <x:v>0.310195</x:v>
      </x:c>
      <x:c r="U1561" s="4" t="str">
        <x:v>Train</x:v>
      </x:c>
    </x:row>
    <x:row r="1562" ht="34" customHeight="1">
      <x:c r="A1562" s="4" t="str">
        <x:v>RS-01561</x:v>
      </x:c>
      <x:c r="B1562" s="8" t="n">
        <x:v>45403</x:v>
      </x:c>
      <x:c r="C1562" s="4" t="str">
        <x:v>PRJ-001</x:v>
      </x:c>
      <x:c r="D1562" s="4" t="str">
        <x:v>Apartment</x:v>
      </x:c>
      <x:c r="E1562" s="4" t="str">
        <x:v>Cancelled</x:v>
      </x:c>
      <x:c r="F1562" s="4" t="str">
        <x:v>CUS-01561</x:v>
      </x:c>
      <x:c r="G1562" s="4" t="str">
        <x:v>UNIT-01561</x:v>
      </x:c>
      <x:c r="H1562" s="9" t="n">
        <x:v>23300000</x:v>
      </x:c>
      <x:c r="I1562" s="10" t="n">
        <x:v>0</x:v>
      </x:c>
      <x:c r="J1562" s="11" t="n">
        <x:v>5</x:v>
      </x:c>
      <x:c r="K1562" s="11" t="n">
        <x:v>9</x:v>
      </x:c>
      <x:c r="L1562" s="11" t="n">
        <x:v>0</x:v>
      </x:c>
      <x:c r="M1562" s="9" t="n">
        <x:f>ROUND(H1562*(1-I1562),2)</x:f>
        <x:v>23300000</x:v>
      </x:c>
      <x:c r="N1562" s="4" t="str">
        <x:v>Sales manager</x:v>
      </x:c>
      <x:c r="O1562" s="4"/>
      <x:c r="P1562" s="9" t="n">
        <x:v>0</x:v>
      </x:c>
      <x:c r="Q1562" s="11" t="n">
        <x:v>1</x:v>
      </x:c>
      <x:c r="R1562" s="8" t="n">
        <x:v>45463</x:v>
      </x:c>
      <x:c r="S1562" s="4" t="str">
        <x:v>Lost / cancelled</x:v>
      </x:c>
      <x:c r="T1562" s="10" t="n">
        <x:v>0.145299</x:v>
      </x:c>
      <x:c r="U1562" s="4" t="str">
        <x:v>Train</x:v>
      </x:c>
    </x:row>
    <x:row r="1563" ht="34" customHeight="1">
      <x:c r="A1563" s="4" t="str">
        <x:v>RS-01562</x:v>
      </x:c>
      <x:c r="B1563" s="8" t="n">
        <x:v>45404</x:v>
      </x:c>
      <x:c r="C1563" s="4" t="str">
        <x:v>PRJ-002</x:v>
      </x:c>
      <x:c r="D1563" s="4" t="str">
        <x:v>Retail</x:v>
      </x:c>
      <x:c r="E1563" s="4" t="str">
        <x:v>Booked</x:v>
      </x:c>
      <x:c r="F1563" s="4" t="str">
        <x:v>CUS-01562</x:v>
      </x:c>
      <x:c r="G1563" s="4" t="str">
        <x:v>UNIT-01562</x:v>
      </x:c>
      <x:c r="H1563" s="9" t="n">
        <x:v>6000000</x:v>
      </x:c>
      <x:c r="I1563" s="10" t="n">
        <x:v>0.05</x:v>
      </x:c>
      <x:c r="J1563" s="11" t="n">
        <x:v>2</x:v>
      </x:c>
      <x:c r="K1563" s="11" t="n">
        <x:v>4</x:v>
      </x:c>
      <x:c r="L1563" s="11" t="n">
        <x:v>1</x:v>
      </x:c>
      <x:c r="M1563" s="9" t="n">
        <x:f>ROUND(H1563*(1-I1563),2)</x:f>
        <x:v>5700000</x:v>
      </x:c>
      <x:c r="N1563" s="4" t="str">
        <x:v>Sales manager</x:v>
      </x:c>
      <x:c r="O1563" s="4" t="str">
        <x:v>BOOK-01562</x:v>
      </x:c>
      <x:c r="P1563" s="9" t="n">
        <x:v>5700000</x:v>
      </x:c>
      <x:c r="Q1563" s="11" t="n">
        <x:v>0</x:v>
      </x:c>
      <x:c r="R1563" s="8" t="n">
        <x:v>45464</x:v>
      </x:c>
      <x:c r="S1563" s="4" t="str">
        <x:v>Retained</x:v>
      </x:c>
      <x:c r="T1563" s="10" t="n">
        <x:v>0.204152</x:v>
      </x:c>
      <x:c r="U1563" s="4" t="str">
        <x:v>Train</x:v>
      </x:c>
    </x:row>
    <x:row r="1564" ht="34" customHeight="1">
      <x:c r="A1564" s="4" t="str">
        <x:v>RS-01563</x:v>
      </x:c>
      <x:c r="B1564" s="8" t="n">
        <x:v>45405</x:v>
      </x:c>
      <x:c r="C1564" s="4" t="str">
        <x:v>PRJ-003</x:v>
      </x:c>
      <x:c r="D1564" s="4" t="str">
        <x:v>Villa</x:v>
      </x:c>
      <x:c r="E1564" s="4" t="str">
        <x:v>Cancelled</x:v>
      </x:c>
      <x:c r="F1564" s="4" t="str">
        <x:v>CUS-01563</x:v>
      </x:c>
      <x:c r="G1564" s="4" t="str">
        <x:v>UNIT-01563</x:v>
      </x:c>
      <x:c r="H1564" s="9" t="n">
        <x:v>14100000</x:v>
      </x:c>
      <x:c r="I1564" s="10" t="n">
        <x:v>0.12</x:v>
      </x:c>
      <x:c r="J1564" s="11" t="n">
        <x:v>7</x:v>
      </x:c>
      <x:c r="K1564" s="11" t="n">
        <x:v>10</x:v>
      </x:c>
      <x:c r="L1564" s="11" t="n">
        <x:v>1</x:v>
      </x:c>
      <x:c r="M1564" s="9" t="n">
        <x:f>ROUND(H1564*(1-I1564),2)</x:f>
        <x:v>12408000</x:v>
      </x:c>
      <x:c r="N1564" s="4" t="str">
        <x:v>Sales head</x:v>
      </x:c>
      <x:c r="O1564" s="4"/>
      <x:c r="P1564" s="9" t="n">
        <x:v>0</x:v>
      </x:c>
      <x:c r="Q1564" s="11" t="n">
        <x:v>1</x:v>
      </x:c>
      <x:c r="R1564" s="8" t="n">
        <x:v>45465</x:v>
      </x:c>
      <x:c r="S1564" s="4" t="str">
        <x:v>Lost / cancelled</x:v>
      </x:c>
      <x:c r="T1564" s="10" t="n">
        <x:v>0.291946</x:v>
      </x:c>
      <x:c r="U1564" s="4" t="str">
        <x:v>Train</x:v>
      </x:c>
    </x:row>
    <x:row r="1565" ht="34" customHeight="1">
      <x:c r="A1565" s="4" t="str">
        <x:v>RS-01564</x:v>
      </x:c>
      <x:c r="B1565" s="8" t="n">
        <x:v>45406</x:v>
      </x:c>
      <x:c r="C1565" s="4" t="str">
        <x:v>PRJ-004</x:v>
      </x:c>
      <x:c r="D1565" s="4" t="str">
        <x:v>Apartment</x:v>
      </x:c>
      <x:c r="E1565" s="4" t="str">
        <x:v>Enquiry</x:v>
      </x:c>
      <x:c r="F1565" s="4" t="str">
        <x:v>CUS-01564</x:v>
      </x:c>
      <x:c r="G1565" s="4" t="str">
        <x:v>UNIT-01564</x:v>
      </x:c>
      <x:c r="H1565" s="9" t="n">
        <x:v>24300000</x:v>
      </x:c>
      <x:c r="I1565" s="10" t="n">
        <x:v>0</x:v>
      </x:c>
      <x:c r="J1565" s="11" t="n">
        <x:v>5</x:v>
      </x:c>
      <x:c r="K1565" s="11" t="n">
        <x:v>9</x:v>
      </x:c>
      <x:c r="L1565" s="11" t="n">
        <x:v>0</x:v>
      </x:c>
      <x:c r="M1565" s="9" t="n">
        <x:f>ROUND(H1565*(1-I1565),2)</x:f>
        <x:v>24300000</x:v>
      </x:c>
      <x:c r="N1565" s="4" t="str">
        <x:v>Sales manager</x:v>
      </x:c>
      <x:c r="O1565" s="4"/>
      <x:c r="P1565" s="9" t="n">
        <x:v>0</x:v>
      </x:c>
      <x:c r="Q1565" s="11" t="n">
        <x:v>0</x:v>
      </x:c>
      <x:c r="R1565" s="8" t="n">
        <x:v>45466</x:v>
      </x:c>
      <x:c r="S1565" s="4" t="str">
        <x:v>Retained</x:v>
      </x:c>
      <x:c r="T1565" s="10" t="n">
        <x:v>0.145299</x:v>
      </x:c>
      <x:c r="U1565" s="4" t="str">
        <x:v>Train</x:v>
      </x:c>
    </x:row>
    <x:row r="1566" ht="34" customHeight="1">
      <x:c r="A1566" s="4" t="str">
        <x:v>RS-01565</x:v>
      </x:c>
      <x:c r="B1566" s="8" t="n">
        <x:v>45407</x:v>
      </x:c>
      <x:c r="C1566" s="4" t="str">
        <x:v>PRJ-005</x:v>
      </x:c>
      <x:c r="D1566" s="4" t="str">
        <x:v>Retail</x:v>
      </x:c>
      <x:c r="E1566" s="4" t="str">
        <x:v>Enquiry</x:v>
      </x:c>
      <x:c r="F1566" s="4" t="str">
        <x:v>CUS-01565</x:v>
      </x:c>
      <x:c r="G1566" s="4" t="str">
        <x:v>UNIT-01565</x:v>
      </x:c>
      <x:c r="H1566" s="9" t="n">
        <x:v>17300000</x:v>
      </x:c>
      <x:c r="I1566" s="10" t="n">
        <x:v>0</x:v>
      </x:c>
      <x:c r="J1566" s="11" t="n">
        <x:v>12</x:v>
      </x:c>
      <x:c r="K1566" s="11" t="n">
        <x:v>10</x:v>
      </x:c>
      <x:c r="L1566" s="11" t="n">
        <x:v>1</x:v>
      </x:c>
      <x:c r="M1566" s="9" t="n">
        <x:f>ROUND(H1566*(1-I1566),2)</x:f>
        <x:v>17300000</x:v>
      </x:c>
      <x:c r="N1566" s="4" t="str">
        <x:v>Sales manager</x:v>
      </x:c>
      <x:c r="O1566" s="4"/>
      <x:c r="P1566" s="9" t="n">
        <x:v>0</x:v>
      </x:c>
      <x:c r="Q1566" s="11" t="n">
        <x:v>1</x:v>
      </x:c>
      <x:c r="R1566" s="8" t="n">
        <x:v>45467</x:v>
      </x:c>
      <x:c r="S1566" s="4" t="str">
        <x:v>Lost / cancelled</x:v>
      </x:c>
      <x:c r="T1566" s="10" t="n">
        <x:v>0.254545</x:v>
      </x:c>
      <x:c r="U1566" s="4" t="str">
        <x:v>Train</x:v>
      </x:c>
    </x:row>
    <x:row r="1567" ht="34" customHeight="1">
      <x:c r="A1567" s="4" t="str">
        <x:v>RS-01566</x:v>
      </x:c>
      <x:c r="B1567" s="8" t="n">
        <x:v>45408</x:v>
      </x:c>
      <x:c r="C1567" s="4" t="str">
        <x:v>PRJ-006</x:v>
      </x:c>
      <x:c r="D1567" s="4" t="str">
        <x:v>Villa</x:v>
      </x:c>
      <x:c r="E1567" s="4" t="str">
        <x:v>Enquiry</x:v>
      </x:c>
      <x:c r="F1567" s="4" t="str">
        <x:v>CUS-01566</x:v>
      </x:c>
      <x:c r="G1567" s="4" t="str">
        <x:v>UNIT-01566</x:v>
      </x:c>
      <x:c r="H1567" s="9" t="n">
        <x:v>5300000</x:v>
      </x:c>
      <x:c r="I1567" s="10" t="n">
        <x:v>0.05</x:v>
      </x:c>
      <x:c r="J1567" s="11" t="n">
        <x:v>7</x:v>
      </x:c>
      <x:c r="K1567" s="11" t="n">
        <x:v>8</x:v>
      </x:c>
      <x:c r="L1567" s="11" t="n">
        <x:v>0</x:v>
      </x:c>
      <x:c r="M1567" s="9" t="n">
        <x:f>ROUND(H1567*(1-I1567),2)</x:f>
        <x:v>5035000</x:v>
      </x:c>
      <x:c r="N1567" s="4" t="str">
        <x:v>Sales manager</x:v>
      </x:c>
      <x:c r="O1567" s="4"/>
      <x:c r="P1567" s="9" t="n">
        <x:v>0</x:v>
      </x:c>
      <x:c r="Q1567" s="11" t="n">
        <x:v>0</x:v>
      </x:c>
      <x:c r="R1567" s="8" t="n">
        <x:v>45468</x:v>
      </x:c>
      <x:c r="S1567" s="4" t="str">
        <x:v>Retained</x:v>
      </x:c>
      <x:c r="T1567" s="10" t="n">
        <x:v>0.226277</x:v>
      </x:c>
      <x:c r="U1567" s="4" t="str">
        <x:v>Train</x:v>
      </x:c>
    </x:row>
    <x:row r="1568" ht="34" customHeight="1">
      <x:c r="A1568" s="4" t="str">
        <x:v>RS-01567</x:v>
      </x:c>
      <x:c r="B1568" s="8" t="n">
        <x:v>45409</x:v>
      </x:c>
      <x:c r="C1568" s="4" t="str">
        <x:v>PRJ-007</x:v>
      </x:c>
      <x:c r="D1568" s="4" t="str">
        <x:v>Retail</x:v>
      </x:c>
      <x:c r="E1568" s="4" t="str">
        <x:v>Reserved</x:v>
      </x:c>
      <x:c r="F1568" s="4" t="str">
        <x:v>CUS-01567</x:v>
      </x:c>
      <x:c r="G1568" s="4" t="str">
        <x:v>UNIT-01567</x:v>
      </x:c>
      <x:c r="H1568" s="9" t="n">
        <x:v>18200000</x:v>
      </x:c>
      <x:c r="I1568" s="10" t="n">
        <x:v>0.03</x:v>
      </x:c>
      <x:c r="J1568" s="11" t="n">
        <x:v>6</x:v>
      </x:c>
      <x:c r="K1568" s="11" t="n">
        <x:v>8</x:v>
      </x:c>
      <x:c r="L1568" s="11" t="n">
        <x:v>1</x:v>
      </x:c>
      <x:c r="M1568" s="9" t="n">
        <x:f>ROUND(H1568*(1-I1568),2)</x:f>
        <x:v>17654000</x:v>
      </x:c>
      <x:c r="N1568" s="4" t="str">
        <x:v>Sales manager</x:v>
      </x:c>
      <x:c r="O1568" s="4"/>
      <x:c r="P1568" s="9" t="n">
        <x:v>0</x:v>
      </x:c>
      <x:c r="Q1568" s="11" t="n">
        <x:v>0</x:v>
      </x:c>
      <x:c r="R1568" s="8" t="n">
        <x:v>45469</x:v>
      </x:c>
      <x:c r="S1568" s="4" t="str">
        <x:v>Retained</x:v>
      </x:c>
      <x:c r="T1568" s="10" t="n">
        <x:v>0.145299</x:v>
      </x:c>
      <x:c r="U1568" s="4" t="str">
        <x:v>Train</x:v>
      </x:c>
    </x:row>
    <x:row r="1569" ht="34" customHeight="1">
      <x:c r="A1569" s="4" t="str">
        <x:v>RS-01568</x:v>
      </x:c>
      <x:c r="B1569" s="8" t="n">
        <x:v>45410</x:v>
      </x:c>
      <x:c r="C1569" s="4" t="str">
        <x:v>PRJ-008</x:v>
      </x:c>
      <x:c r="D1569" s="4" t="str">
        <x:v>Retail</x:v>
      </x:c>
      <x:c r="E1569" s="4" t="str">
        <x:v>Reserved</x:v>
      </x:c>
      <x:c r="F1569" s="4" t="str">
        <x:v>CUS-01568</x:v>
      </x:c>
      <x:c r="G1569" s="4" t="str">
        <x:v>UNIT-01568</x:v>
      </x:c>
      <x:c r="H1569" s="9" t="n">
        <x:v>22400000</x:v>
      </x:c>
      <x:c r="I1569" s="10" t="n">
        <x:v>0.03</x:v>
      </x:c>
      <x:c r="J1569" s="11" t="n">
        <x:v>8</x:v>
      </x:c>
      <x:c r="K1569" s="11" t="n">
        <x:v>5</x:v>
      </x:c>
      <x:c r="L1569" s="11" t="n">
        <x:v>0</x:v>
      </x:c>
      <x:c r="M1569" s="9" t="n">
        <x:f>ROUND(H1569*(1-I1569),2)</x:f>
        <x:v>21728000</x:v>
      </x:c>
      <x:c r="N1569" s="4" t="str">
        <x:v>Sales manager</x:v>
      </x:c>
      <x:c r="O1569" s="4"/>
      <x:c r="P1569" s="9" t="n">
        <x:v>0</x:v>
      </x:c>
      <x:c r="Q1569" s="11" t="n">
        <x:v>1</x:v>
      </x:c>
      <x:c r="R1569" s="8" t="n">
        <x:v>45470</x:v>
      </x:c>
      <x:c r="S1569" s="4" t="str">
        <x:v>Lost / cancelled</x:v>
      </x:c>
      <x:c r="T1569" s="10" t="n">
        <x:v>0.310195</x:v>
      </x:c>
      <x:c r="U1569" s="4" t="str">
        <x:v>Train</x:v>
      </x:c>
    </x:row>
    <x:row r="1570" ht="34" customHeight="1">
      <x:c r="A1570" s="4" t="str">
        <x:v>RS-01569</x:v>
      </x:c>
      <x:c r="B1570" s="8" t="n">
        <x:v>45383</x:v>
      </x:c>
      <x:c r="C1570" s="4" t="str">
        <x:v>PRJ-009</x:v>
      </x:c>
      <x:c r="D1570" s="4" t="str">
        <x:v>Office</x:v>
      </x:c>
      <x:c r="E1570" s="4" t="str">
        <x:v>Handed over</x:v>
      </x:c>
      <x:c r="F1570" s="4" t="str">
        <x:v>CUS-01569</x:v>
      </x:c>
      <x:c r="G1570" s="4" t="str">
        <x:v>UNIT-01569</x:v>
      </x:c>
      <x:c r="H1570" s="9" t="n">
        <x:v>8200000</x:v>
      </x:c>
      <x:c r="I1570" s="10" t="n">
        <x:v>0.01</x:v>
      </x:c>
      <x:c r="J1570" s="11" t="n">
        <x:v>12</x:v>
      </x:c>
      <x:c r="K1570" s="11" t="n">
        <x:v>10</x:v>
      </x:c>
      <x:c r="L1570" s="11" t="n">
        <x:v>1</x:v>
      </x:c>
      <x:c r="M1570" s="9" t="n">
        <x:f>ROUND(H1570*(1-I1570),2)</x:f>
        <x:v>8118000</x:v>
      </x:c>
      <x:c r="N1570" s="4" t="str">
        <x:v>Sales manager</x:v>
      </x:c>
      <x:c r="O1570" s="4" t="str">
        <x:v>BOOK-01569</x:v>
      </x:c>
      <x:c r="P1570" s="9" t="n">
        <x:v>2029500</x:v>
      </x:c>
      <x:c r="Q1570" s="11" t="n">
        <x:v>0</x:v>
      </x:c>
      <x:c r="R1570" s="8" t="n">
        <x:v>45443</x:v>
      </x:c>
      <x:c r="S1570" s="4" t="str">
        <x:v>Retained</x:v>
      </x:c>
      <x:c r="T1570" s="10" t="n">
        <x:v>0.254545</x:v>
      </x:c>
      <x:c r="U1570" s="4" t="str">
        <x:v>Train</x:v>
      </x:c>
    </x:row>
    <x:row r="1571" ht="34" customHeight="1">
      <x:c r="A1571" s="4" t="str">
        <x:v>RS-01570</x:v>
      </x:c>
      <x:c r="B1571" s="8" t="n">
        <x:v>45384</x:v>
      </x:c>
      <x:c r="C1571" s="4" t="str">
        <x:v>PRJ-010</x:v>
      </x:c>
      <x:c r="D1571" s="4" t="str">
        <x:v>Retail</x:v>
      </x:c>
      <x:c r="E1571" s="4" t="str">
        <x:v>Reserved</x:v>
      </x:c>
      <x:c r="F1571" s="4" t="str">
        <x:v>CUS-01570</x:v>
      </x:c>
      <x:c r="G1571" s="4" t="str">
        <x:v>UNIT-01570</x:v>
      </x:c>
      <x:c r="H1571" s="9" t="n">
        <x:v>24600000</x:v>
      </x:c>
      <x:c r="I1571" s="10" t="n">
        <x:v>0.1</x:v>
      </x:c>
      <x:c r="J1571" s="11" t="n">
        <x:v>9</x:v>
      </x:c>
      <x:c r="K1571" s="11" t="n">
        <x:v>1</x:v>
      </x:c>
      <x:c r="L1571" s="11" t="n">
        <x:v>0</x:v>
      </x:c>
      <x:c r="M1571" s="9" t="n">
        <x:f>ROUND(H1571*(1-I1571),2)</x:f>
        <x:v>22140000</x:v>
      </x:c>
      <x:c r="N1571" s="4" t="str">
        <x:v>Sales head</x:v>
      </x:c>
      <x:c r="O1571" s="4"/>
      <x:c r="P1571" s="9" t="n">
        <x:v>0</x:v>
      </x:c>
      <x:c r="Q1571" s="11" t="n">
        <x:v>0</x:v>
      </x:c>
      <x:c r="R1571" s="8" t="n">
        <x:v>45444</x:v>
      </x:c>
      <x:c r="S1571" s="4" t="str">
        <x:v>Retained</x:v>
      </x:c>
      <x:c r="T1571" s="10" t="n">
        <x:v>0.310195</x:v>
      </x:c>
      <x:c r="U1571" s="4" t="str">
        <x:v>Train</x:v>
      </x:c>
    </x:row>
    <x:row r="1572" ht="34" customHeight="1">
      <x:c r="A1572" s="4" t="str">
        <x:v>RS-01571</x:v>
      </x:c>
      <x:c r="B1572" s="8" t="n">
        <x:v>45385</x:v>
      </x:c>
      <x:c r="C1572" s="4" t="str">
        <x:v>PRJ-011</x:v>
      </x:c>
      <x:c r="D1572" s="4" t="str">
        <x:v>Villa</x:v>
      </x:c>
      <x:c r="E1572" s="4" t="str">
        <x:v>Agreement signed</x:v>
      </x:c>
      <x:c r="F1572" s="4" t="str">
        <x:v>CUS-01571</x:v>
      </x:c>
      <x:c r="G1572" s="4" t="str">
        <x:v>UNIT-01571</x:v>
      </x:c>
      <x:c r="H1572" s="9" t="n">
        <x:v>22300000</x:v>
      </x:c>
      <x:c r="I1572" s="10" t="n">
        <x:v>0.07</x:v>
      </x:c>
      <x:c r="J1572" s="11" t="n">
        <x:v>10</x:v>
      </x:c>
      <x:c r="K1572" s="11" t="n">
        <x:v>4</x:v>
      </x:c>
      <x:c r="L1572" s="11" t="n">
        <x:v>1</x:v>
      </x:c>
      <x:c r="M1572" s="9" t="n">
        <x:f>ROUND(H1572*(1-I1572),2)</x:f>
        <x:v>20739000</x:v>
      </x:c>
      <x:c r="N1572" s="4" t="str">
        <x:v>Sales manager</x:v>
      </x:c>
      <x:c r="O1572" s="4" t="str">
        <x:v>BOOK-01571</x:v>
      </x:c>
      <x:c r="P1572" s="9" t="n">
        <x:v>2073900</x:v>
      </x:c>
      <x:c r="Q1572" s="11" t="n">
        <x:v>0</x:v>
      </x:c>
      <x:c r="R1572" s="8" t="n">
        <x:v>45445</x:v>
      </x:c>
      <x:c r="S1572" s="4" t="str">
        <x:v>Retained</x:v>
      </x:c>
      <x:c r="T1572" s="10" t="n">
        <x:v>0.310195</x:v>
      </x:c>
      <x:c r="U1572" s="4" t="str">
        <x:v>Train</x:v>
      </x:c>
    </x:row>
    <x:row r="1573" ht="34" customHeight="1">
      <x:c r="A1573" s="4" t="str">
        <x:v>RS-01572</x:v>
      </x:c>
      <x:c r="B1573" s="8" t="n">
        <x:v>45386</x:v>
      </x:c>
      <x:c r="C1573" s="4" t="str">
        <x:v>PRJ-012</x:v>
      </x:c>
      <x:c r="D1573" s="4" t="str">
        <x:v>Retail</x:v>
      </x:c>
      <x:c r="E1573" s="4" t="str">
        <x:v>Agreement signed</x:v>
      </x:c>
      <x:c r="F1573" s="4" t="str">
        <x:v>CUS-01572</x:v>
      </x:c>
      <x:c r="G1573" s="4" t="str">
        <x:v>UNIT-01572</x:v>
      </x:c>
      <x:c r="H1573" s="9" t="n">
        <x:v>11700000</x:v>
      </x:c>
      <x:c r="I1573" s="10" t="n">
        <x:v>0.05</x:v>
      </x:c>
      <x:c r="J1573" s="11" t="n">
        <x:v>9</x:v>
      </x:c>
      <x:c r="K1573" s="11" t="n">
        <x:v>4</x:v>
      </x:c>
      <x:c r="L1573" s="11" t="n">
        <x:v>0</x:v>
      </x:c>
      <x:c r="M1573" s="9" t="n">
        <x:f>ROUND(H1573*(1-I1573),2)</x:f>
        <x:v>11115000</x:v>
      </x:c>
      <x:c r="N1573" s="4" t="str">
        <x:v>Sales manager</x:v>
      </x:c>
      <x:c r="O1573" s="4" t="str">
        <x:v>BOOK-01572</x:v>
      </x:c>
      <x:c r="P1573" s="9" t="n">
        <x:v>1111500</x:v>
      </x:c>
      <x:c r="Q1573" s="11" t="n">
        <x:v>0</x:v>
      </x:c>
      <x:c r="R1573" s="8" t="n">
        <x:v>45446</x:v>
      </x:c>
      <x:c r="S1573" s="4" t="str">
        <x:v>Retained</x:v>
      </x:c>
      <x:c r="T1573" s="10" t="n">
        <x:v>0.310195</x:v>
      </x:c>
      <x:c r="U1573" s="4" t="str">
        <x:v>Train</x:v>
      </x:c>
    </x:row>
    <x:row r="1574" ht="34" customHeight="1">
      <x:c r="A1574" s="4" t="str">
        <x:v>RS-01573</x:v>
      </x:c>
      <x:c r="B1574" s="8" t="n">
        <x:v>45387</x:v>
      </x:c>
      <x:c r="C1574" s="4" t="str">
        <x:v>PRJ-013</x:v>
      </x:c>
      <x:c r="D1574" s="4" t="str">
        <x:v>Office</x:v>
      </x:c>
      <x:c r="E1574" s="4" t="str">
        <x:v>Enquiry</x:v>
      </x:c>
      <x:c r="F1574" s="4" t="str">
        <x:v>CUS-01573</x:v>
      </x:c>
      <x:c r="G1574" s="4" t="str">
        <x:v>UNIT-01573</x:v>
      </x:c>
      <x:c r="H1574" s="9" t="n">
        <x:v>5100000</x:v>
      </x:c>
      <x:c r="I1574" s="10" t="n">
        <x:v>0.05</x:v>
      </x:c>
      <x:c r="J1574" s="11" t="n">
        <x:v>9</x:v>
      </x:c>
      <x:c r="K1574" s="11" t="n">
        <x:v>1</x:v>
      </x:c>
      <x:c r="L1574" s="11" t="n">
        <x:v>0</x:v>
      </x:c>
      <x:c r="M1574" s="9" t="n">
        <x:f>ROUND(H1574*(1-I1574),2)</x:f>
        <x:v>4845000</x:v>
      </x:c>
      <x:c r="N1574" s="4" t="str">
        <x:v>Sales manager</x:v>
      </x:c>
      <x:c r="O1574" s="4"/>
      <x:c r="P1574" s="9" t="n">
        <x:v>0</x:v>
      </x:c>
      <x:c r="Q1574" s="11" t="n">
        <x:v>0</x:v>
      </x:c>
      <x:c r="R1574" s="8" t="n">
        <x:v>45447</x:v>
      </x:c>
      <x:c r="S1574" s="4" t="str">
        <x:v>Retained</x:v>
      </x:c>
      <x:c r="T1574" s="10" t="n">
        <x:v>0.310195</x:v>
      </x:c>
      <x:c r="U1574" s="4" t="str">
        <x:v>Train</x:v>
      </x:c>
    </x:row>
    <x:row r="1575" ht="34" customHeight="1">
      <x:c r="A1575" s="4" t="str">
        <x:v>RS-01574</x:v>
      </x:c>
      <x:c r="B1575" s="8" t="n">
        <x:v>45388</x:v>
      </x:c>
      <x:c r="C1575" s="4" t="str">
        <x:v>PRJ-014</x:v>
      </x:c>
      <x:c r="D1575" s="4" t="str">
        <x:v>Villa</x:v>
      </x:c>
      <x:c r="E1575" s="4" t="str">
        <x:v>Agreement signed</x:v>
      </x:c>
      <x:c r="F1575" s="4" t="str">
        <x:v>CUS-01574</x:v>
      </x:c>
      <x:c r="G1575" s="4" t="str">
        <x:v>UNIT-01574</x:v>
      </x:c>
      <x:c r="H1575" s="9" t="n">
        <x:v>21600000</x:v>
      </x:c>
      <x:c r="I1575" s="10" t="n">
        <x:v>0.05</x:v>
      </x:c>
      <x:c r="J1575" s="11" t="n">
        <x:v>9</x:v>
      </x:c>
      <x:c r="K1575" s="11" t="n">
        <x:v>3</x:v>
      </x:c>
      <x:c r="L1575" s="11" t="n">
        <x:v>1</x:v>
      </x:c>
      <x:c r="M1575" s="9" t="n">
        <x:f>ROUND(H1575*(1-I1575),2)</x:f>
        <x:v>20520000</x:v>
      </x:c>
      <x:c r="N1575" s="4" t="str">
        <x:v>Sales manager</x:v>
      </x:c>
      <x:c r="O1575" s="4" t="str">
        <x:v>BOOK-01574</x:v>
      </x:c>
      <x:c r="P1575" s="9" t="n">
        <x:v>10260000</x:v>
      </x:c>
      <x:c r="Q1575" s="11" t="n">
        <x:v>0</x:v>
      </x:c>
      <x:c r="R1575" s="8" t="n">
        <x:v>45448</x:v>
      </x:c>
      <x:c r="S1575" s="4" t="str">
        <x:v>Retained</x:v>
      </x:c>
      <x:c r="T1575" s="10" t="n">
        <x:v>0.310195</x:v>
      </x:c>
      <x:c r="U1575" s="4" t="str">
        <x:v>Train</x:v>
      </x:c>
    </x:row>
    <x:row r="1576" ht="34" customHeight="1">
      <x:c r="A1576" s="4" t="str">
        <x:v>RS-01575</x:v>
      </x:c>
      <x:c r="B1576" s="8" t="n">
        <x:v>45389</x:v>
      </x:c>
      <x:c r="C1576" s="4" t="str">
        <x:v>PRJ-015</x:v>
      </x:c>
      <x:c r="D1576" s="4" t="str">
        <x:v>Villa</x:v>
      </x:c>
      <x:c r="E1576" s="4" t="str">
        <x:v>Booked</x:v>
      </x:c>
      <x:c r="F1576" s="4" t="str">
        <x:v>CUS-01575</x:v>
      </x:c>
      <x:c r="G1576" s="4" t="str">
        <x:v>UNIT-01575</x:v>
      </x:c>
      <x:c r="H1576" s="9" t="n">
        <x:v>11300000</x:v>
      </x:c>
      <x:c r="I1576" s="10" t="n">
        <x:v>0.1</x:v>
      </x:c>
      <x:c r="J1576" s="11" t="n">
        <x:v>8</x:v>
      </x:c>
      <x:c r="K1576" s="11" t="n">
        <x:v>1</x:v>
      </x:c>
      <x:c r="L1576" s="11" t="n">
        <x:v>1</x:v>
      </x:c>
      <x:c r="M1576" s="9" t="n">
        <x:f>ROUND(H1576*(1-I1576),2)</x:f>
        <x:v>10170000</x:v>
      </x:c>
      <x:c r="N1576" s="4" t="str">
        <x:v>Sales head</x:v>
      </x:c>
      <x:c r="O1576" s="4" t="str">
        <x:v>BOOK-01575</x:v>
      </x:c>
      <x:c r="P1576" s="9" t="n">
        <x:v>2542500</x:v>
      </x:c>
      <x:c r="Q1576" s="11" t="n">
        <x:v>0</x:v>
      </x:c>
      <x:c r="R1576" s="8" t="n">
        <x:v>45449</x:v>
      </x:c>
      <x:c r="S1576" s="4" t="str">
        <x:v>Retained</x:v>
      </x:c>
      <x:c r="T1576" s="10" t="n">
        <x:v>0.310195</x:v>
      </x:c>
      <x:c r="U1576" s="4" t="str">
        <x:v>Train</x:v>
      </x:c>
    </x:row>
    <x:row r="1577" ht="34" customHeight="1">
      <x:c r="A1577" s="4" t="str">
        <x:v>RS-01576</x:v>
      </x:c>
      <x:c r="B1577" s="8" t="n">
        <x:v>45390</x:v>
      </x:c>
      <x:c r="C1577" s="4" t="str">
        <x:v>PRJ-016</x:v>
      </x:c>
      <x:c r="D1577" s="4" t="str">
        <x:v>Office</x:v>
      </x:c>
      <x:c r="E1577" s="4" t="str">
        <x:v>Agreement signed</x:v>
      </x:c>
      <x:c r="F1577" s="4" t="str">
        <x:v>CUS-01576</x:v>
      </x:c>
      <x:c r="G1577" s="4" t="str">
        <x:v>UNIT-01576</x:v>
      </x:c>
      <x:c r="H1577" s="9" t="n">
        <x:v>20800000</x:v>
      </x:c>
      <x:c r="I1577" s="10" t="n">
        <x:v>0.1</x:v>
      </x:c>
      <x:c r="J1577" s="11" t="n">
        <x:v>6</x:v>
      </x:c>
      <x:c r="K1577" s="11" t="n">
        <x:v>10</x:v>
      </x:c>
      <x:c r="L1577" s="11" t="n">
        <x:v>1</x:v>
      </x:c>
      <x:c r="M1577" s="9" t="n">
        <x:f>ROUND(H1577*(1-I1577),2)</x:f>
        <x:v>18720000</x:v>
      </x:c>
      <x:c r="N1577" s="4" t="str">
        <x:v>Sales head</x:v>
      </x:c>
      <x:c r="O1577" s="4" t="str">
        <x:v>BOOK-01576</x:v>
      </x:c>
      <x:c r="P1577" s="9" t="n">
        <x:v>18720000</x:v>
      </x:c>
      <x:c r="Q1577" s="11" t="n">
        <x:v>0</x:v>
      </x:c>
      <x:c r="R1577" s="8" t="n">
        <x:v>45450</x:v>
      </x:c>
      <x:c r="S1577" s="4" t="str">
        <x:v>Retained</x:v>
      </x:c>
      <x:c r="T1577" s="10" t="n">
        <x:v>0.291946</x:v>
      </x:c>
      <x:c r="U1577" s="4" t="str">
        <x:v>Train</x:v>
      </x:c>
    </x:row>
    <x:row r="1578" ht="34" customHeight="1">
      <x:c r="A1578" s="4" t="str">
        <x:v>RS-01577</x:v>
      </x:c>
      <x:c r="B1578" s="8" t="n">
        <x:v>45391</x:v>
      </x:c>
      <x:c r="C1578" s="4" t="str">
        <x:v>PRJ-017</x:v>
      </x:c>
      <x:c r="D1578" s="4" t="str">
        <x:v>Retail</x:v>
      </x:c>
      <x:c r="E1578" s="4" t="str">
        <x:v>Enquiry</x:v>
      </x:c>
      <x:c r="F1578" s="4" t="str">
        <x:v>CUS-01577</x:v>
      </x:c>
      <x:c r="G1578" s="4" t="str">
        <x:v>UNIT-01577</x:v>
      </x:c>
      <x:c r="H1578" s="9" t="n">
        <x:v>5600000</x:v>
      </x:c>
      <x:c r="I1578" s="10" t="n">
        <x:v>0.06</x:v>
      </x:c>
      <x:c r="J1578" s="11" t="n">
        <x:v>5</x:v>
      </x:c>
      <x:c r="K1578" s="11" t="n">
        <x:v>4</x:v>
      </x:c>
      <x:c r="L1578" s="11" t="n">
        <x:v>1</x:v>
      </x:c>
      <x:c r="M1578" s="9" t="n">
        <x:f>ROUND(H1578*(1-I1578),2)</x:f>
        <x:v>5264000</x:v>
      </x:c>
      <x:c r="N1578" s="4" t="str">
        <x:v>Sales manager</x:v>
      </x:c>
      <x:c r="O1578" s="4"/>
      <x:c r="P1578" s="9" t="n">
        <x:v>0</x:v>
      </x:c>
      <x:c r="Q1578" s="11" t="n">
        <x:v>0</x:v>
      </x:c>
      <x:c r="R1578" s="8" t="n">
        <x:v>45451</x:v>
      </x:c>
      <x:c r="S1578" s="4" t="str">
        <x:v>Retained</x:v>
      </x:c>
      <x:c r="T1578" s="10" t="n">
        <x:v>0.291946</x:v>
      </x:c>
      <x:c r="U1578" s="4" t="str">
        <x:v>Train</x:v>
      </x:c>
    </x:row>
    <x:row r="1579" ht="34" customHeight="1">
      <x:c r="A1579" s="4" t="str">
        <x:v>RS-01578</x:v>
      </x:c>
      <x:c r="B1579" s="8" t="n">
        <x:v>45392</x:v>
      </x:c>
      <x:c r="C1579" s="4" t="str">
        <x:v>PRJ-018</x:v>
      </x:c>
      <x:c r="D1579" s="4" t="str">
        <x:v>Villa</x:v>
      </x:c>
      <x:c r="E1579" s="4" t="str">
        <x:v>Handed over</x:v>
      </x:c>
      <x:c r="F1579" s="4" t="str">
        <x:v>CUS-01578</x:v>
      </x:c>
      <x:c r="G1579" s="4" t="str">
        <x:v>UNIT-01578</x:v>
      </x:c>
      <x:c r="H1579" s="9" t="n">
        <x:v>9100000</x:v>
      </x:c>
      <x:c r="I1579" s="10" t="n">
        <x:v>0.04</x:v>
      </x:c>
      <x:c r="J1579" s="11" t="n">
        <x:v>2</x:v>
      </x:c>
      <x:c r="K1579" s="11" t="n">
        <x:v>4</x:v>
      </x:c>
      <x:c r="L1579" s="11" t="n">
        <x:v>0</x:v>
      </x:c>
      <x:c r="M1579" s="9" t="n">
        <x:f>ROUND(H1579*(1-I1579),2)</x:f>
        <x:v>8736000</x:v>
      </x:c>
      <x:c r="N1579" s="4" t="str">
        <x:v>Sales manager</x:v>
      </x:c>
      <x:c r="O1579" s="4" t="str">
        <x:v>BOOK-01578</x:v>
      </x:c>
      <x:c r="P1579" s="9" t="n">
        <x:v>8736000</x:v>
      </x:c>
      <x:c r="Q1579" s="11" t="n">
        <x:v>0</x:v>
      </x:c>
      <x:c r="R1579" s="8" t="n">
        <x:v>45452</x:v>
      </x:c>
      <x:c r="S1579" s="4" t="str">
        <x:v>Retained</x:v>
      </x:c>
      <x:c r="T1579" s="10" t="n">
        <x:v>0.204152</x:v>
      </x:c>
      <x:c r="U1579" s="4" t="str">
        <x:v>Train</x:v>
      </x:c>
    </x:row>
    <x:row r="1580" ht="34" customHeight="1">
      <x:c r="A1580" s="4" t="str">
        <x:v>RS-01579</x:v>
      </x:c>
      <x:c r="B1580" s="8" t="n">
        <x:v>45393</x:v>
      </x:c>
      <x:c r="C1580" s="4" t="str">
        <x:v>PRJ-019</x:v>
      </x:c>
      <x:c r="D1580" s="4" t="str">
        <x:v>Office</x:v>
      </x:c>
      <x:c r="E1580" s="4" t="str">
        <x:v>Enquiry</x:v>
      </x:c>
      <x:c r="F1580" s="4" t="str">
        <x:v>CUS-01579</x:v>
      </x:c>
      <x:c r="G1580" s="4" t="str">
        <x:v>UNIT-01579</x:v>
      </x:c>
      <x:c r="H1580" s="9" t="n">
        <x:v>24500000</x:v>
      </x:c>
      <x:c r="I1580" s="10" t="n">
        <x:v>0.06</x:v>
      </x:c>
      <x:c r="J1580" s="11" t="n">
        <x:v>6</x:v>
      </x:c>
      <x:c r="K1580" s="11" t="n">
        <x:v>2</x:v>
      </x:c>
      <x:c r="L1580" s="11" t="n">
        <x:v>1</x:v>
      </x:c>
      <x:c r="M1580" s="9" t="n">
        <x:f>ROUND(H1580*(1-I1580),2)</x:f>
        <x:v>23030000</x:v>
      </x:c>
      <x:c r="N1580" s="4" t="str">
        <x:v>Sales manager</x:v>
      </x:c>
      <x:c r="O1580" s="4"/>
      <x:c r="P1580" s="9" t="n">
        <x:v>0</x:v>
      </x:c>
      <x:c r="Q1580" s="11" t="n">
        <x:v>0</x:v>
      </x:c>
      <x:c r="R1580" s="8" t="n">
        <x:v>45453</x:v>
      </x:c>
      <x:c r="S1580" s="4" t="str">
        <x:v>Retained</x:v>
      </x:c>
      <x:c r="T1580" s="10" t="n">
        <x:v>0.291946</x:v>
      </x:c>
      <x:c r="U1580" s="4" t="str">
        <x:v>Train</x:v>
      </x:c>
    </x:row>
    <x:row r="1581" ht="34" customHeight="1">
      <x:c r="A1581" s="4" t="str">
        <x:v>RS-01580</x:v>
      </x:c>
      <x:c r="B1581" s="8" t="n">
        <x:v>45394</x:v>
      </x:c>
      <x:c r="C1581" s="4" t="str">
        <x:v>PRJ-020</x:v>
      </x:c>
      <x:c r="D1581" s="4" t="str">
        <x:v>Retail</x:v>
      </x:c>
      <x:c r="E1581" s="4" t="str">
        <x:v>Enquiry</x:v>
      </x:c>
      <x:c r="F1581" s="4" t="str">
        <x:v>CUS-01580</x:v>
      </x:c>
      <x:c r="G1581" s="4" t="str">
        <x:v>UNIT-01580</x:v>
      </x:c>
      <x:c r="H1581" s="9" t="n">
        <x:v>8600000</x:v>
      </x:c>
      <x:c r="I1581" s="10" t="n">
        <x:v>0.02</x:v>
      </x:c>
      <x:c r="J1581" s="11" t="n">
        <x:v>2</x:v>
      </x:c>
      <x:c r="K1581" s="11" t="n">
        <x:v>4</x:v>
      </x:c>
      <x:c r="L1581" s="11" t="n">
        <x:v>1</x:v>
      </x:c>
      <x:c r="M1581" s="9" t="n">
        <x:f>ROUND(H1581*(1-I1581),2)</x:f>
        <x:v>8428000</x:v>
      </x:c>
      <x:c r="N1581" s="4" t="str">
        <x:v>Sales manager</x:v>
      </x:c>
      <x:c r="O1581" s="4"/>
      <x:c r="P1581" s="9" t="n">
        <x:v>0</x:v>
      </x:c>
      <x:c r="Q1581" s="11" t="n">
        <x:v>0</x:v>
      </x:c>
      <x:c r="R1581" s="8" t="n">
        <x:v>45454</x:v>
      </x:c>
      <x:c r="S1581" s="4" t="str">
        <x:v>Retained</x:v>
      </x:c>
      <x:c r="T1581" s="10" t="n">
        <x:v>0.171717</x:v>
      </x:c>
      <x:c r="U1581" s="4" t="str">
        <x:v>Train</x:v>
      </x:c>
    </x:row>
    <x:row r="1582" ht="34" customHeight="1">
      <x:c r="A1582" s="4" t="str">
        <x:v>RS-01581</x:v>
      </x:c>
      <x:c r="B1582" s="8" t="n">
        <x:v>45395</x:v>
      </x:c>
      <x:c r="C1582" s="4" t="str">
        <x:v>PRJ-001</x:v>
      </x:c>
      <x:c r="D1582" s="4" t="str">
        <x:v>Villa</x:v>
      </x:c>
      <x:c r="E1582" s="4" t="str">
        <x:v>Cancelled</x:v>
      </x:c>
      <x:c r="F1582" s="4" t="str">
        <x:v>CUS-01581</x:v>
      </x:c>
      <x:c r="G1582" s="4" t="str">
        <x:v>UNIT-01581</x:v>
      </x:c>
      <x:c r="H1582" s="9" t="n">
        <x:v>6600000</x:v>
      </x:c>
      <x:c r="I1582" s="10" t="n">
        <x:v>0.11</x:v>
      </x:c>
      <x:c r="J1582" s="11" t="n">
        <x:v>1</x:v>
      </x:c>
      <x:c r="K1582" s="11" t="n">
        <x:v>0</x:v>
      </x:c>
      <x:c r="L1582" s="11" t="n">
        <x:v>1</x:v>
      </x:c>
      <x:c r="M1582" s="9" t="n">
        <x:f>ROUND(H1582*(1-I1582),2)</x:f>
        <x:v>5874000</x:v>
      </x:c>
      <x:c r="N1582" s="4" t="str">
        <x:v>Sales head</x:v>
      </x:c>
      <x:c r="O1582" s="4"/>
      <x:c r="P1582" s="9" t="n">
        <x:v>0</x:v>
      </x:c>
      <x:c r="Q1582" s="11" t="n">
        <x:v>1</x:v>
      </x:c>
      <x:c r="R1582" s="8" t="n">
        <x:v>45455</x:v>
      </x:c>
      <x:c r="S1582" s="4" t="str">
        <x:v>Lost / cancelled</x:v>
      </x:c>
      <x:c r="T1582" s="10" t="n">
        <x:v>0.276923</x:v>
      </x:c>
      <x:c r="U1582" s="4" t="str">
        <x:v>Train</x:v>
      </x:c>
    </x:row>
    <x:row r="1583" ht="34" customHeight="1">
      <x:c r="A1583" s="4" t="str">
        <x:v>RS-01582</x:v>
      </x:c>
      <x:c r="B1583" s="8" t="n">
        <x:v>45396</x:v>
      </x:c>
      <x:c r="C1583" s="4" t="str">
        <x:v>PRJ-002</x:v>
      </x:c>
      <x:c r="D1583" s="4" t="str">
        <x:v>Retail</x:v>
      </x:c>
      <x:c r="E1583" s="4" t="str">
        <x:v>Booked</x:v>
      </x:c>
      <x:c r="F1583" s="4" t="str">
        <x:v>CUS-01582</x:v>
      </x:c>
      <x:c r="G1583" s="4" t="str">
        <x:v>UNIT-01582</x:v>
      </x:c>
      <x:c r="H1583" s="9" t="n">
        <x:v>8300000</x:v>
      </x:c>
      <x:c r="I1583" s="10" t="n">
        <x:v>0.04</x:v>
      </x:c>
      <x:c r="J1583" s="11" t="n">
        <x:v>4</x:v>
      </x:c>
      <x:c r="K1583" s="11" t="n">
        <x:v>4</x:v>
      </x:c>
      <x:c r="L1583" s="11" t="n">
        <x:v>0</x:v>
      </x:c>
      <x:c r="M1583" s="9" t="n">
        <x:f>ROUND(H1583*(1-I1583),2)</x:f>
        <x:v>7968000</x:v>
      </x:c>
      <x:c r="N1583" s="4" t="str">
        <x:v>Sales manager</x:v>
      </x:c>
      <x:c r="O1583" s="4" t="str">
        <x:v>BOOK-01582</x:v>
      </x:c>
      <x:c r="P1583" s="9" t="n">
        <x:v>7968000</x:v>
      </x:c>
      <x:c r="Q1583" s="11" t="n">
        <x:v>0</x:v>
      </x:c>
      <x:c r="R1583" s="8" t="n">
        <x:v>45456</x:v>
      </x:c>
      <x:c r="S1583" s="4" t="str">
        <x:v>Retained</x:v>
      </x:c>
      <x:c r="T1583" s="10" t="n">
        <x:v>0.226277</x:v>
      </x:c>
      <x:c r="U1583" s="4" t="str">
        <x:v>Train</x:v>
      </x:c>
    </x:row>
    <x:row r="1584" ht="34" customHeight="1">
      <x:c r="A1584" s="4" t="str">
        <x:v>RS-01583</x:v>
      </x:c>
      <x:c r="B1584" s="8" t="n">
        <x:v>45397</x:v>
      </x:c>
      <x:c r="C1584" s="4" t="str">
        <x:v>PRJ-003</x:v>
      </x:c>
      <x:c r="D1584" s="4" t="str">
        <x:v>Apartment</x:v>
      </x:c>
      <x:c r="E1584" s="4" t="str">
        <x:v>Agreement signed</x:v>
      </x:c>
      <x:c r="F1584" s="4" t="str">
        <x:v>CUS-01583</x:v>
      </x:c>
      <x:c r="G1584" s="4" t="str">
        <x:v>UNIT-01583</x:v>
      </x:c>
      <x:c r="H1584" s="9" t="n">
        <x:v>14000000</x:v>
      </x:c>
      <x:c r="I1584" s="10" t="n">
        <x:v>0.09</x:v>
      </x:c>
      <x:c r="J1584" s="11" t="n">
        <x:v>0</x:v>
      </x:c>
      <x:c r="K1584" s="11" t="n">
        <x:v>3</x:v>
      </x:c>
      <x:c r="L1584" s="11" t="n">
        <x:v>1</x:v>
      </x:c>
      <x:c r="M1584" s="9" t="n">
        <x:f>ROUND(H1584*(1-I1584),2)</x:f>
        <x:v>12740000</x:v>
      </x:c>
      <x:c r="N1584" s="4" t="str">
        <x:v>Sales head</x:v>
      </x:c>
      <x:c r="O1584" s="4" t="str">
        <x:v>BOOK-01583</x:v>
      </x:c>
      <x:c r="P1584" s="9" t="n">
        <x:v>12740000</x:v>
      </x:c>
      <x:c r="Q1584" s="11" t="n">
        <x:v>0</x:v>
      </x:c>
      <x:c r="R1584" s="8" t="n">
        <x:v>45457</x:v>
      </x:c>
      <x:c r="S1584" s="4" t="str">
        <x:v>Retained</x:v>
      </x:c>
      <x:c r="T1584" s="10" t="n">
        <x:v>0.145833</x:v>
      </x:c>
      <x:c r="U1584" s="4" t="str">
        <x:v>Train</x:v>
      </x:c>
    </x:row>
    <x:row r="1585" ht="34" customHeight="1">
      <x:c r="A1585" s="4" t="str">
        <x:v>RS-01584</x:v>
      </x:c>
      <x:c r="B1585" s="8" t="n">
        <x:v>45398</x:v>
      </x:c>
      <x:c r="C1585" s="4" t="str">
        <x:v>PRJ-004</x:v>
      </x:c>
      <x:c r="D1585" s="4" t="str">
        <x:v>Apartment</x:v>
      </x:c>
      <x:c r="E1585" s="4" t="str">
        <x:v>Cancelled</x:v>
      </x:c>
      <x:c r="F1585" s="4" t="str">
        <x:v>CUS-01584</x:v>
      </x:c>
      <x:c r="G1585" s="4" t="str">
        <x:v>UNIT-01584</x:v>
      </x:c>
      <x:c r="H1585" s="9" t="n">
        <x:v>23500000</x:v>
      </x:c>
      <x:c r="I1585" s="10" t="n">
        <x:v>0.07</x:v>
      </x:c>
      <x:c r="J1585" s="11" t="n">
        <x:v>8</x:v>
      </x:c>
      <x:c r="K1585" s="11" t="n">
        <x:v>5</x:v>
      </x:c>
      <x:c r="L1585" s="11" t="n">
        <x:v>1</x:v>
      </x:c>
      <x:c r="M1585" s="9" t="n">
        <x:f>ROUND(H1585*(1-I1585),2)</x:f>
        <x:v>21855000</x:v>
      </x:c>
      <x:c r="N1585" s="4" t="str">
        <x:v>Sales manager</x:v>
      </x:c>
      <x:c r="O1585" s="4"/>
      <x:c r="P1585" s="9" t="n">
        <x:v>0</x:v>
      </x:c>
      <x:c r="Q1585" s="11" t="n">
        <x:v>1</x:v>
      </x:c>
      <x:c r="R1585" s="8" t="n">
        <x:v>45458</x:v>
      </x:c>
      <x:c r="S1585" s="4" t="str">
        <x:v>Lost / cancelled</x:v>
      </x:c>
      <x:c r="T1585" s="10" t="n">
        <x:v>0.310195</x:v>
      </x:c>
      <x:c r="U1585" s="4" t="str">
        <x:v>Train</x:v>
      </x:c>
    </x:row>
    <x:row r="1586" ht="34" customHeight="1">
      <x:c r="A1586" s="4" t="str">
        <x:v>RS-01585</x:v>
      </x:c>
      <x:c r="B1586" s="8" t="n">
        <x:v>45399</x:v>
      </x:c>
      <x:c r="C1586" s="4" t="str">
        <x:v>PRJ-005</x:v>
      </x:c>
      <x:c r="D1586" s="4" t="str">
        <x:v>Office</x:v>
      </x:c>
      <x:c r="E1586" s="4" t="str">
        <x:v>Reserved</x:v>
      </x:c>
      <x:c r="F1586" s="4" t="str">
        <x:v>CUS-01585</x:v>
      </x:c>
      <x:c r="G1586" s="4" t="str">
        <x:v>UNIT-01585</x:v>
      </x:c>
      <x:c r="H1586" s="9" t="n">
        <x:v>15900000</x:v>
      </x:c>
      <x:c r="I1586" s="10" t="n">
        <x:v>0</x:v>
      </x:c>
      <x:c r="J1586" s="11" t="n">
        <x:v>7</x:v>
      </x:c>
      <x:c r="K1586" s="11" t="n">
        <x:v>7</x:v>
      </x:c>
      <x:c r="L1586" s="11" t="n">
        <x:v>1</x:v>
      </x:c>
      <x:c r="M1586" s="9" t="n">
        <x:f>ROUND(H1586*(1-I1586),2)</x:f>
        <x:v>15900000</x:v>
      </x:c>
      <x:c r="N1586" s="4" t="str">
        <x:v>Sales manager</x:v>
      </x:c>
      <x:c r="O1586" s="4"/>
      <x:c r="P1586" s="9" t="n">
        <x:v>0</x:v>
      </x:c>
      <x:c r="Q1586" s="11" t="n">
        <x:v>0</x:v>
      </x:c>
      <x:c r="R1586" s="8" t="n">
        <x:v>45459</x:v>
      </x:c>
      <x:c r="S1586" s="4" t="str">
        <x:v>Retained</x:v>
      </x:c>
      <x:c r="T1586" s="10" t="n">
        <x:v>0.145299</x:v>
      </x:c>
      <x:c r="U1586" s="4" t="str">
        <x:v>Train</x:v>
      </x:c>
    </x:row>
    <x:row r="1587" ht="34" customHeight="1">
      <x:c r="A1587" s="4" t="str">
        <x:v>RS-01586</x:v>
      </x:c>
      <x:c r="B1587" s="8" t="n">
        <x:v>45400</x:v>
      </x:c>
      <x:c r="C1587" s="4" t="str">
        <x:v>PRJ-006</x:v>
      </x:c>
      <x:c r="D1587" s="4" t="str">
        <x:v>Retail</x:v>
      </x:c>
      <x:c r="E1587" s="4" t="str">
        <x:v>Handed over</x:v>
      </x:c>
      <x:c r="F1587" s="4" t="str">
        <x:v>CUS-01586</x:v>
      </x:c>
      <x:c r="G1587" s="4" t="str">
        <x:v>UNIT-01586</x:v>
      </x:c>
      <x:c r="H1587" s="9" t="n">
        <x:v>3100000</x:v>
      </x:c>
      <x:c r="I1587" s="10" t="n">
        <x:v>0.07</x:v>
      </x:c>
      <x:c r="J1587" s="11" t="n">
        <x:v>12</x:v>
      </x:c>
      <x:c r="K1587" s="11" t="n">
        <x:v>7</x:v>
      </x:c>
      <x:c r="L1587" s="11" t="n">
        <x:v>0</x:v>
      </x:c>
      <x:c r="M1587" s="9" t="n">
        <x:f>ROUND(H1587*(1-I1587),2)</x:f>
        <x:v>2883000</x:v>
      </x:c>
      <x:c r="N1587" s="4" t="str">
        <x:v>Sales manager</x:v>
      </x:c>
      <x:c r="O1587" s="4" t="str">
        <x:v>BOOK-01586</x:v>
      </x:c>
      <x:c r="P1587" s="9" t="n">
        <x:v>2883000</x:v>
      </x:c>
      <x:c r="Q1587" s="11" t="n">
        <x:v>0</x:v>
      </x:c>
      <x:c r="R1587" s="8" t="n">
        <x:v>45460</x:v>
      </x:c>
      <x:c r="S1587" s="4" t="str">
        <x:v>Retained</x:v>
      </x:c>
      <x:c r="T1587" s="10" t="n">
        <x:v>0.351536</x:v>
      </x:c>
      <x:c r="U1587" s="4" t="str">
        <x:v>Train</x:v>
      </x:c>
    </x:row>
    <x:row r="1588" ht="34" customHeight="1">
      <x:c r="A1588" s="4" t="str">
        <x:v>RS-01587</x:v>
      </x:c>
      <x:c r="B1588" s="8" t="n">
        <x:v>45401</x:v>
      </x:c>
      <x:c r="C1588" s="4" t="str">
        <x:v>PRJ-007</x:v>
      </x:c>
      <x:c r="D1588" s="4" t="str">
        <x:v>Office</x:v>
      </x:c>
      <x:c r="E1588" s="4" t="str">
        <x:v>Handed over</x:v>
      </x:c>
      <x:c r="F1588" s="4" t="str">
        <x:v>CUS-01587</x:v>
      </x:c>
      <x:c r="G1588" s="4" t="str">
        <x:v>UNIT-01587</x:v>
      </x:c>
      <x:c r="H1588" s="9" t="n">
        <x:v>21100000</x:v>
      </x:c>
      <x:c r="I1588" s="10" t="n">
        <x:v>0.04</x:v>
      </x:c>
      <x:c r="J1588" s="11" t="n">
        <x:v>7</x:v>
      </x:c>
      <x:c r="K1588" s="11" t="n">
        <x:v>1</x:v>
      </x:c>
      <x:c r="L1588" s="11" t="n">
        <x:v>0</x:v>
      </x:c>
      <x:c r="M1588" s="9" t="n">
        <x:f>ROUND(H1588*(1-I1588),2)</x:f>
        <x:v>20256000</x:v>
      </x:c>
      <x:c r="N1588" s="4" t="str">
        <x:v>Sales manager</x:v>
      </x:c>
      <x:c r="O1588" s="4" t="str">
        <x:v>BOOK-01587</x:v>
      </x:c>
      <x:c r="P1588" s="9" t="n">
        <x:v>20256000</x:v>
      </x:c>
      <x:c r="Q1588" s="11" t="n">
        <x:v>0</x:v>
      </x:c>
      <x:c r="R1588" s="8" t="n">
        <x:v>45461</x:v>
      </x:c>
      <x:c r="S1588" s="4" t="str">
        <x:v>Retained</x:v>
      </x:c>
      <x:c r="T1588" s="10" t="n">
        <x:v>0.226277</x:v>
      </x:c>
      <x:c r="U1588" s="4" t="str">
        <x:v>Train</x:v>
      </x:c>
    </x:row>
    <x:row r="1589" ht="34" customHeight="1">
      <x:c r="A1589" s="4" t="str">
        <x:v>RS-01588</x:v>
      </x:c>
      <x:c r="B1589" s="8" t="n">
        <x:v>45402</x:v>
      </x:c>
      <x:c r="C1589" s="4" t="str">
        <x:v>PRJ-008</x:v>
      </x:c>
      <x:c r="D1589" s="4" t="str">
        <x:v>Office</x:v>
      </x:c>
      <x:c r="E1589" s="4" t="str">
        <x:v>Booked</x:v>
      </x:c>
      <x:c r="F1589" s="4" t="str">
        <x:v>CUS-01588</x:v>
      </x:c>
      <x:c r="G1589" s="4" t="str">
        <x:v>UNIT-01588</x:v>
      </x:c>
      <x:c r="H1589" s="9" t="n">
        <x:v>15500000</x:v>
      </x:c>
      <x:c r="I1589" s="10" t="n">
        <x:v>0.12</x:v>
      </x:c>
      <x:c r="J1589" s="11" t="n">
        <x:v>8</x:v>
      </x:c>
      <x:c r="K1589" s="11" t="n">
        <x:v>4</x:v>
      </x:c>
      <x:c r="L1589" s="11" t="n">
        <x:v>0</x:v>
      </x:c>
      <x:c r="M1589" s="9" t="n">
        <x:f>ROUND(H1589*(1-I1589),2)</x:f>
        <x:v>13640000</x:v>
      </x:c>
      <x:c r="N1589" s="4" t="str">
        <x:v>Sales head</x:v>
      </x:c>
      <x:c r="O1589" s="4" t="str">
        <x:v>BOOK-01588</x:v>
      </x:c>
      <x:c r="P1589" s="9" t="n">
        <x:v>1364000</x:v>
      </x:c>
      <x:c r="Q1589" s="11" t="n">
        <x:v>0</x:v>
      </x:c>
      <x:c r="R1589" s="8" t="n">
        <x:v>45462</x:v>
      </x:c>
      <x:c r="S1589" s="4" t="str">
        <x:v>Retained</x:v>
      </x:c>
      <x:c r="T1589" s="10" t="n">
        <x:v>0.310195</x:v>
      </x:c>
      <x:c r="U1589" s="4" t="str">
        <x:v>Train</x:v>
      </x:c>
    </x:row>
    <x:row r="1590" ht="34" customHeight="1">
      <x:c r="A1590" s="4" t="str">
        <x:v>RS-01589</x:v>
      </x:c>
      <x:c r="B1590" s="8" t="n">
        <x:v>45403</x:v>
      </x:c>
      <x:c r="C1590" s="4" t="str">
        <x:v>PRJ-009</x:v>
      </x:c>
      <x:c r="D1590" s="4" t="str">
        <x:v>Retail</x:v>
      </x:c>
      <x:c r="E1590" s="4" t="str">
        <x:v>Booked</x:v>
      </x:c>
      <x:c r="F1590" s="4" t="str">
        <x:v>CUS-01589</x:v>
      </x:c>
      <x:c r="G1590" s="4" t="str">
        <x:v>UNIT-01589</x:v>
      </x:c>
      <x:c r="H1590" s="9" t="n">
        <x:v>3200000</x:v>
      </x:c>
      <x:c r="I1590" s="10" t="n">
        <x:v>0.05</x:v>
      </x:c>
      <x:c r="J1590" s="11" t="n">
        <x:v>8</x:v>
      </x:c>
      <x:c r="K1590" s="11" t="n">
        <x:v>8</x:v>
      </x:c>
      <x:c r="L1590" s="11" t="n">
        <x:v>0</x:v>
      </x:c>
      <x:c r="M1590" s="9" t="n">
        <x:f>ROUND(H1590*(1-I1590),2)</x:f>
        <x:v>3040000</x:v>
      </x:c>
      <x:c r="N1590" s="4" t="str">
        <x:v>Sales manager</x:v>
      </x:c>
      <x:c r="O1590" s="4" t="str">
        <x:v>BOOK-01589</x:v>
      </x:c>
      <x:c r="P1590" s="9" t="n">
        <x:v>1520000</x:v>
      </x:c>
      <x:c r="Q1590" s="11" t="n">
        <x:v>0</x:v>
      </x:c>
      <x:c r="R1590" s="8" t="n">
        <x:v>45463</x:v>
      </x:c>
      <x:c r="S1590" s="4" t="str">
        <x:v>Retained</x:v>
      </x:c>
      <x:c r="T1590" s="10" t="n">
        <x:v>0.310195</x:v>
      </x:c>
      <x:c r="U1590" s="4" t="str">
        <x:v>Train</x:v>
      </x:c>
    </x:row>
    <x:row r="1591" ht="34" customHeight="1">
      <x:c r="A1591" s="4" t="str">
        <x:v>RS-01590</x:v>
      </x:c>
      <x:c r="B1591" s="8" t="n">
        <x:v>45404</x:v>
      </x:c>
      <x:c r="C1591" s="4" t="str">
        <x:v>PRJ-010</x:v>
      </x:c>
      <x:c r="D1591" s="4" t="str">
        <x:v>Apartment</x:v>
      </x:c>
      <x:c r="E1591" s="4" t="str">
        <x:v>Cancelled</x:v>
      </x:c>
      <x:c r="F1591" s="4" t="str">
        <x:v>CUS-01590</x:v>
      </x:c>
      <x:c r="G1591" s="4" t="str">
        <x:v>UNIT-01590</x:v>
      </x:c>
      <x:c r="H1591" s="9" t="n">
        <x:v>24200000</x:v>
      </x:c>
      <x:c r="I1591" s="10" t="n">
        <x:v>0.03</x:v>
      </x:c>
      <x:c r="J1591" s="11" t="n">
        <x:v>12</x:v>
      </x:c>
      <x:c r="K1591" s="11" t="n">
        <x:v>10</x:v>
      </x:c>
      <x:c r="L1591" s="11" t="n">
        <x:v>1</x:v>
      </x:c>
      <x:c r="M1591" s="9" t="n">
        <x:f>ROUND(H1591*(1-I1591),2)</x:f>
        <x:v>23474000</x:v>
      </x:c>
      <x:c r="N1591" s="4" t="str">
        <x:v>Sales manager</x:v>
      </x:c>
      <x:c r="O1591" s="4"/>
      <x:c r="P1591" s="9" t="n">
        <x:v>0</x:v>
      </x:c>
      <x:c r="Q1591" s="11" t="n">
        <x:v>1</x:v>
      </x:c>
      <x:c r="R1591" s="8" t="n">
        <x:v>45464</x:v>
      </x:c>
      <x:c r="S1591" s="4" t="str">
        <x:v>Lost / cancelled</x:v>
      </x:c>
      <x:c r="T1591" s="10" t="n">
        <x:v>0.351536</x:v>
      </x:c>
      <x:c r="U1591" s="4" t="str">
        <x:v>Train</x:v>
      </x:c>
    </x:row>
    <x:row r="1592" ht="34" customHeight="1">
      <x:c r="A1592" s="4" t="str">
        <x:v>RS-01591</x:v>
      </x:c>
      <x:c r="B1592" s="8" t="n">
        <x:v>45405</x:v>
      </x:c>
      <x:c r="C1592" s="4" t="str">
        <x:v>PRJ-011</x:v>
      </x:c>
      <x:c r="D1592" s="4" t="str">
        <x:v>Villa</x:v>
      </x:c>
      <x:c r="E1592" s="4" t="str">
        <x:v>Cancelled</x:v>
      </x:c>
      <x:c r="F1592" s="4" t="str">
        <x:v>CUS-01591</x:v>
      </x:c>
      <x:c r="G1592" s="4" t="str">
        <x:v>UNIT-01591</x:v>
      </x:c>
      <x:c r="H1592" s="9" t="n">
        <x:v>17900000</x:v>
      </x:c>
      <x:c r="I1592" s="10" t="n">
        <x:v>0.02</x:v>
      </x:c>
      <x:c r="J1592" s="11" t="n">
        <x:v>2</x:v>
      </x:c>
      <x:c r="K1592" s="11" t="n">
        <x:v>10</x:v>
      </x:c>
      <x:c r="L1592" s="11" t="n">
        <x:v>1</x:v>
      </x:c>
      <x:c r="M1592" s="9" t="n">
        <x:f>ROUND(H1592*(1-I1592),2)</x:f>
        <x:v>17542000</x:v>
      </x:c>
      <x:c r="N1592" s="4" t="str">
        <x:v>Sales manager</x:v>
      </x:c>
      <x:c r="O1592" s="4"/>
      <x:c r="P1592" s="9" t="n">
        <x:v>0</x:v>
      </x:c>
      <x:c r="Q1592" s="11" t="n">
        <x:v>1</x:v>
      </x:c>
      <x:c r="R1592" s="8" t="n">
        <x:v>45465</x:v>
      </x:c>
      <x:c r="S1592" s="4" t="str">
        <x:v>Lost / cancelled</x:v>
      </x:c>
      <x:c r="T1592" s="10" t="n">
        <x:v>0.171717</x:v>
      </x:c>
      <x:c r="U1592" s="4" t="str">
        <x:v>Train</x:v>
      </x:c>
    </x:row>
    <x:row r="1593" ht="34" customHeight="1">
      <x:c r="A1593" s="4" t="str">
        <x:v>RS-01592</x:v>
      </x:c>
      <x:c r="B1593" s="8" t="n">
        <x:v>45406</x:v>
      </x:c>
      <x:c r="C1593" s="4" t="str">
        <x:v>PRJ-012</x:v>
      </x:c>
      <x:c r="D1593" s="4" t="str">
        <x:v>Office</x:v>
      </x:c>
      <x:c r="E1593" s="4" t="str">
        <x:v>Agreement signed</x:v>
      </x:c>
      <x:c r="F1593" s="4" t="str">
        <x:v>CUS-01592</x:v>
      </x:c>
      <x:c r="G1593" s="4" t="str">
        <x:v>UNIT-01592</x:v>
      </x:c>
      <x:c r="H1593" s="9" t="n">
        <x:v>20900000</x:v>
      </x:c>
      <x:c r="I1593" s="10" t="n">
        <x:v>0.06</x:v>
      </x:c>
      <x:c r="J1593" s="11" t="n">
        <x:v>1</x:v>
      </x:c>
      <x:c r="K1593" s="11" t="n">
        <x:v>9</x:v>
      </x:c>
      <x:c r="L1593" s="11" t="n">
        <x:v>0</x:v>
      </x:c>
      <x:c r="M1593" s="9" t="n">
        <x:f>ROUND(H1593*(1-I1593),2)</x:f>
        <x:v>19646000</x:v>
      </x:c>
      <x:c r="N1593" s="4" t="str">
        <x:v>Sales manager</x:v>
      </x:c>
      <x:c r="O1593" s="4" t="str">
        <x:v>BOOK-01592</x:v>
      </x:c>
      <x:c r="P1593" s="9" t="n">
        <x:v>4911500</x:v>
      </x:c>
      <x:c r="Q1593" s="11" t="n">
        <x:v>0</x:v>
      </x:c>
      <x:c r="R1593" s="8" t="n">
        <x:v>45466</x:v>
      </x:c>
      <x:c r="S1593" s="4" t="str">
        <x:v>Retained</x:v>
      </x:c>
      <x:c r="T1593" s="10" t="n">
        <x:v>0.204152</x:v>
      </x:c>
      <x:c r="U1593" s="4" t="str">
        <x:v>Train</x:v>
      </x:c>
    </x:row>
    <x:row r="1594" ht="34" customHeight="1">
      <x:c r="A1594" s="4" t="str">
        <x:v>RS-01593</x:v>
      </x:c>
      <x:c r="B1594" s="8" t="n">
        <x:v>45407</x:v>
      </x:c>
      <x:c r="C1594" s="4" t="str">
        <x:v>PRJ-013</x:v>
      </x:c>
      <x:c r="D1594" s="4" t="str">
        <x:v>Apartment</x:v>
      </x:c>
      <x:c r="E1594" s="4" t="str">
        <x:v>Reserved</x:v>
      </x:c>
      <x:c r="F1594" s="4" t="str">
        <x:v>CUS-01593</x:v>
      </x:c>
      <x:c r="G1594" s="4" t="str">
        <x:v>UNIT-01593</x:v>
      </x:c>
      <x:c r="H1594" s="9" t="n">
        <x:v>11900000</x:v>
      </x:c>
      <x:c r="I1594" s="10" t="n">
        <x:v>0.11</x:v>
      </x:c>
      <x:c r="J1594" s="11" t="n">
        <x:v>8</x:v>
      </x:c>
      <x:c r="K1594" s="11" t="n">
        <x:v>1</x:v>
      </x:c>
      <x:c r="L1594" s="11" t="n">
        <x:v>0</x:v>
      </x:c>
      <x:c r="M1594" s="9" t="n">
        <x:f>ROUND(H1594*(1-I1594),2)</x:f>
        <x:v>10591000</x:v>
      </x:c>
      <x:c r="N1594" s="4" t="str">
        <x:v>Sales head</x:v>
      </x:c>
      <x:c r="O1594" s="4"/>
      <x:c r="P1594" s="9" t="n">
        <x:v>0</x:v>
      </x:c>
      <x:c r="Q1594" s="11" t="n">
        <x:v>0</x:v>
      </x:c>
      <x:c r="R1594" s="8" t="n">
        <x:v>45467</x:v>
      </x:c>
      <x:c r="S1594" s="4" t="str">
        <x:v>Retained</x:v>
      </x:c>
      <x:c r="T1594" s="10" t="n">
        <x:v>0.310195</x:v>
      </x:c>
      <x:c r="U1594" s="4" t="str">
        <x:v>Train</x:v>
      </x:c>
    </x:row>
    <x:row r="1595" ht="34" customHeight="1">
      <x:c r="A1595" s="4" t="str">
        <x:v>RS-01594</x:v>
      </x:c>
      <x:c r="B1595" s="8" t="n">
        <x:v>45408</x:v>
      </x:c>
      <x:c r="C1595" s="4" t="str">
        <x:v>PRJ-014</x:v>
      </x:c>
      <x:c r="D1595" s="4" t="str">
        <x:v>Retail</x:v>
      </x:c>
      <x:c r="E1595" s="4" t="str">
        <x:v>Enquiry</x:v>
      </x:c>
      <x:c r="F1595" s="4" t="str">
        <x:v>CUS-01594</x:v>
      </x:c>
      <x:c r="G1595" s="4" t="str">
        <x:v>UNIT-01594</x:v>
      </x:c>
      <x:c r="H1595" s="9" t="n">
        <x:v>8000000</x:v>
      </x:c>
      <x:c r="I1595" s="10" t="n">
        <x:v>0.07</x:v>
      </x:c>
      <x:c r="J1595" s="11" t="n">
        <x:v>5</x:v>
      </x:c>
      <x:c r="K1595" s="11" t="n">
        <x:v>4</x:v>
      </x:c>
      <x:c r="L1595" s="11" t="n">
        <x:v>1</x:v>
      </x:c>
      <x:c r="M1595" s="9" t="n">
        <x:f>ROUND(H1595*(1-I1595),2)</x:f>
        <x:v>7440000</x:v>
      </x:c>
      <x:c r="N1595" s="4" t="str">
        <x:v>Sales manager</x:v>
      </x:c>
      <x:c r="O1595" s="4"/>
      <x:c r="P1595" s="9" t="n">
        <x:v>0</x:v>
      </x:c>
      <x:c r="Q1595" s="11" t="n">
        <x:v>0</x:v>
      </x:c>
      <x:c r="R1595" s="8" t="n">
        <x:v>45468</x:v>
      </x:c>
      <x:c r="S1595" s="4" t="str">
        <x:v>Retained</x:v>
      </x:c>
      <x:c r="T1595" s="10" t="n">
        <x:v>0.291946</x:v>
      </x:c>
      <x:c r="U1595" s="4" t="str">
        <x:v>Train</x:v>
      </x:c>
    </x:row>
    <x:row r="1596" ht="34" customHeight="1">
      <x:c r="A1596" s="4" t="str">
        <x:v>RS-01595</x:v>
      </x:c>
      <x:c r="B1596" s="8" t="n">
        <x:v>45409</x:v>
      </x:c>
      <x:c r="C1596" s="4" t="str">
        <x:v>PRJ-015</x:v>
      </x:c>
      <x:c r="D1596" s="4" t="str">
        <x:v>Office</x:v>
      </x:c>
      <x:c r="E1596" s="4" t="str">
        <x:v>Enquiry</x:v>
      </x:c>
      <x:c r="F1596" s="4" t="str">
        <x:v>CUS-01595</x:v>
      </x:c>
      <x:c r="G1596" s="4" t="str">
        <x:v>UNIT-01595</x:v>
      </x:c>
      <x:c r="H1596" s="9" t="n">
        <x:v>17400000</x:v>
      </x:c>
      <x:c r="I1596" s="10" t="n">
        <x:v>0</x:v>
      </x:c>
      <x:c r="J1596" s="11" t="n">
        <x:v>2</x:v>
      </x:c>
      <x:c r="K1596" s="11" t="n">
        <x:v>5</x:v>
      </x:c>
      <x:c r="L1596" s="11" t="n">
        <x:v>1</x:v>
      </x:c>
      <x:c r="M1596" s="9" t="n">
        <x:f>ROUND(H1596*(1-I1596),2)</x:f>
        <x:v>17400000</x:v>
      </x:c>
      <x:c r="N1596" s="4" t="str">
        <x:v>Sales manager</x:v>
      </x:c>
      <x:c r="O1596" s="4"/>
      <x:c r="P1596" s="9" t="n">
        <x:v>0</x:v>
      </x:c>
      <x:c r="Q1596" s="11" t="n">
        <x:v>0</x:v>
      </x:c>
      <x:c r="R1596" s="8" t="n">
        <x:v>45469</x:v>
      </x:c>
      <x:c r="S1596" s="4" t="str">
        <x:v>Retained</x:v>
      </x:c>
      <x:c r="T1596" s="10" t="n">
        <x:v>0.171717</x:v>
      </x:c>
      <x:c r="U1596" s="4" t="str">
        <x:v>Train</x:v>
      </x:c>
    </x:row>
    <x:row r="1597" ht="34" customHeight="1">
      <x:c r="A1597" s="4" t="str">
        <x:v>RS-01596</x:v>
      </x:c>
      <x:c r="B1597" s="8" t="n">
        <x:v>45410</x:v>
      </x:c>
      <x:c r="C1597" s="4" t="str">
        <x:v>PRJ-016</x:v>
      </x:c>
      <x:c r="D1597" s="4" t="str">
        <x:v>Apartment</x:v>
      </x:c>
      <x:c r="E1597" s="4" t="str">
        <x:v>Handed over</x:v>
      </x:c>
      <x:c r="F1597" s="4" t="str">
        <x:v>CUS-01596</x:v>
      </x:c>
      <x:c r="G1597" s="4" t="str">
        <x:v>UNIT-01596</x:v>
      </x:c>
      <x:c r="H1597" s="9" t="n">
        <x:v>6100000</x:v>
      </x:c>
      <x:c r="I1597" s="10" t="n">
        <x:v>0.12</x:v>
      </x:c>
      <x:c r="J1597" s="11" t="n">
        <x:v>0</x:v>
      </x:c>
      <x:c r="K1597" s="11" t="n">
        <x:v>6</x:v>
      </x:c>
      <x:c r="L1597" s="11" t="n">
        <x:v>1</x:v>
      </x:c>
      <x:c r="M1597" s="9" t="n">
        <x:f>ROUND(H1597*(1-I1597),2)</x:f>
        <x:v>5368000</x:v>
      </x:c>
      <x:c r="N1597" s="4" t="str">
        <x:v>Sales head</x:v>
      </x:c>
      <x:c r="O1597" s="4" t="str">
        <x:v>BOOK-01596</x:v>
      </x:c>
      <x:c r="P1597" s="9" t="n">
        <x:v>5368000</x:v>
      </x:c>
      <x:c r="Q1597" s="11" t="n">
        <x:v>0</x:v>
      </x:c>
      <x:c r="R1597" s="8" t="n">
        <x:v>45470</x:v>
      </x:c>
      <x:c r="S1597" s="4" t="str">
        <x:v>Retained</x:v>
      </x:c>
      <x:c r="T1597" s="10" t="n">
        <x:v>0.145833</x:v>
      </x:c>
      <x:c r="U1597" s="4" t="str">
        <x:v>Train</x:v>
      </x:c>
    </x:row>
    <x:row r="1598" ht="34" customHeight="1">
      <x:c r="A1598" s="4" t="str">
        <x:v>RS-01597</x:v>
      </x:c>
      <x:c r="B1598" s="8" t="n">
        <x:v>45383</x:v>
      </x:c>
      <x:c r="C1598" s="4" t="str">
        <x:v>PRJ-017</x:v>
      </x:c>
      <x:c r="D1598" s="4" t="str">
        <x:v>Apartment</x:v>
      </x:c>
      <x:c r="E1598" s="4" t="str">
        <x:v>Agreement signed</x:v>
      </x:c>
      <x:c r="F1598" s="4" t="str">
        <x:v>CUS-01597</x:v>
      </x:c>
      <x:c r="G1598" s="4" t="str">
        <x:v>UNIT-01597</x:v>
      </x:c>
      <x:c r="H1598" s="9" t="n">
        <x:v>19400000</x:v>
      </x:c>
      <x:c r="I1598" s="10" t="n">
        <x:v>0.03</x:v>
      </x:c>
      <x:c r="J1598" s="11" t="n">
        <x:v>6</x:v>
      </x:c>
      <x:c r="K1598" s="11" t="n">
        <x:v>3</x:v>
      </x:c>
      <x:c r="L1598" s="11" t="n">
        <x:v>0</x:v>
      </x:c>
      <x:c r="M1598" s="9" t="n">
        <x:f>ROUND(H1598*(1-I1598),2)</x:f>
        <x:v>18818000</x:v>
      </x:c>
      <x:c r="N1598" s="4" t="str">
        <x:v>Sales manager</x:v>
      </x:c>
      <x:c r="O1598" s="4" t="str">
        <x:v>BOOK-01597</x:v>
      </x:c>
      <x:c r="P1598" s="9" t="n">
        <x:v>9409000</x:v>
      </x:c>
      <x:c r="Q1598" s="11" t="n">
        <x:v>0</x:v>
      </x:c>
      <x:c r="R1598" s="8" t="n">
        <x:v>45443</x:v>
      </x:c>
      <x:c r="S1598" s="4" t="str">
        <x:v>Retained</x:v>
      </x:c>
      <x:c r="T1598" s="10" t="n">
        <x:v>0.298969</x:v>
      </x:c>
      <x:c r="U1598" s="4" t="str">
        <x:v>Train</x:v>
      </x:c>
    </x:row>
    <x:row r="1599" ht="34" customHeight="1">
      <x:c r="A1599" s="4" t="str">
        <x:v>RS-01598</x:v>
      </x:c>
      <x:c r="B1599" s="8" t="n">
        <x:v>45384</x:v>
      </x:c>
      <x:c r="C1599" s="4" t="str">
        <x:v>PRJ-018</x:v>
      </x:c>
      <x:c r="D1599" s="4" t="str">
        <x:v>Apartment</x:v>
      </x:c>
      <x:c r="E1599" s="4" t="str">
        <x:v>Agreement signed</x:v>
      </x:c>
      <x:c r="F1599" s="4" t="str">
        <x:v>CUS-01598</x:v>
      </x:c>
      <x:c r="G1599" s="4" t="str">
        <x:v>UNIT-01598</x:v>
      </x:c>
      <x:c r="H1599" s="9" t="n">
        <x:v>10700000</x:v>
      </x:c>
      <x:c r="I1599" s="10" t="n">
        <x:v>0.05</x:v>
      </x:c>
      <x:c r="J1599" s="11" t="n">
        <x:v>11</x:v>
      </x:c>
      <x:c r="K1599" s="11" t="n">
        <x:v>2</x:v>
      </x:c>
      <x:c r="L1599" s="11" t="n">
        <x:v>0</x:v>
      </x:c>
      <x:c r="M1599" s="9" t="n">
        <x:f>ROUND(H1599*(1-I1599),2)</x:f>
        <x:v>10165000</x:v>
      </x:c>
      <x:c r="N1599" s="4" t="str">
        <x:v>Sales manager</x:v>
      </x:c>
      <x:c r="O1599" s="4" t="str">
        <x:v>BOOK-01598</x:v>
      </x:c>
      <x:c r="P1599" s="9" t="n">
        <x:v>2541250</x:v>
      </x:c>
      <x:c r="Q1599" s="11" t="n">
        <x:v>0</x:v>
      </x:c>
      <x:c r="R1599" s="8" t="n">
        <x:v>45444</x:v>
      </x:c>
      <x:c r="S1599" s="4" t="str">
        <x:v>Retained</x:v>
      </x:c>
      <x:c r="T1599" s="10" t="n">
        <x:v>0.351536</x:v>
      </x:c>
      <x:c r="U1599" s="4" t="str">
        <x:v>Train</x:v>
      </x:c>
    </x:row>
    <x:row r="1600" ht="34" customHeight="1">
      <x:c r="A1600" s="4" t="str">
        <x:v>RS-01599</x:v>
      </x:c>
      <x:c r="B1600" s="8" t="n">
        <x:v>45385</x:v>
      </x:c>
      <x:c r="C1600" s="4" t="str">
        <x:v>PRJ-019</x:v>
      </x:c>
      <x:c r="D1600" s="4" t="str">
        <x:v>Apartment</x:v>
      </x:c>
      <x:c r="E1600" s="4" t="str">
        <x:v>Enquiry</x:v>
      </x:c>
      <x:c r="F1600" s="4" t="str">
        <x:v>CUS-01599</x:v>
      </x:c>
      <x:c r="G1600" s="4" t="str">
        <x:v>UNIT-01599</x:v>
      </x:c>
      <x:c r="H1600" s="9" t="n">
        <x:v>25000000</x:v>
      </x:c>
      <x:c r="I1600" s="10" t="n">
        <x:v>0.01</x:v>
      </x:c>
      <x:c r="J1600" s="11" t="n">
        <x:v>0</x:v>
      </x:c>
      <x:c r="K1600" s="11" t="n">
        <x:v>8</x:v>
      </x:c>
      <x:c r="L1600" s="11" t="n">
        <x:v>0</x:v>
      </x:c>
      <x:c r="M1600" s="9" t="n">
        <x:f>ROUND(H1600*(1-I1600),2)</x:f>
        <x:v>24750000</x:v>
      </x:c>
      <x:c r="N1600" s="4" t="str">
        <x:v>Sales manager</x:v>
      </x:c>
      <x:c r="O1600" s="4"/>
      <x:c r="P1600" s="9" t="n">
        <x:v>0</x:v>
      </x:c>
      <x:c r="Q1600" s="11" t="n">
        <x:v>0</x:v>
      </x:c>
      <x:c r="R1600" s="8" t="n">
        <x:v>45445</x:v>
      </x:c>
      <x:c r="S1600" s="4" t="str">
        <x:v>Retained</x:v>
      </x:c>
      <x:c r="T1600" s="10" t="n">
        <x:v>0.072165</x:v>
      </x:c>
      <x:c r="U1600" s="4" t="str">
        <x:v>Train</x:v>
      </x:c>
    </x:row>
    <x:row r="1601" ht="34" customHeight="1">
      <x:c r="A1601" s="4" t="str">
        <x:v>RS-01600</x:v>
      </x:c>
      <x:c r="B1601" s="8" t="n">
        <x:v>45386</x:v>
      </x:c>
      <x:c r="C1601" s="4" t="str">
        <x:v>PRJ-020</x:v>
      </x:c>
      <x:c r="D1601" s="4" t="str">
        <x:v>Villa</x:v>
      </x:c>
      <x:c r="E1601" s="4" t="str">
        <x:v>Booked</x:v>
      </x:c>
      <x:c r="F1601" s="4" t="str">
        <x:v>CUS-01600</x:v>
      </x:c>
      <x:c r="G1601" s="4" t="str">
        <x:v>UNIT-01600</x:v>
      </x:c>
      <x:c r="H1601" s="9" t="n">
        <x:v>9200000</x:v>
      </x:c>
      <x:c r="I1601" s="10" t="n">
        <x:v>0.07</x:v>
      </x:c>
      <x:c r="J1601" s="11" t="n">
        <x:v>9</x:v>
      </x:c>
      <x:c r="K1601" s="11" t="n">
        <x:v>2</x:v>
      </x:c>
      <x:c r="L1601" s="11" t="n">
        <x:v>1</x:v>
      </x:c>
      <x:c r="M1601" s="9" t="n">
        <x:f>ROUND(H1601*(1-I1601),2)</x:f>
        <x:v>8556000</x:v>
      </x:c>
      <x:c r="N1601" s="4" t="str">
        <x:v>Sales manager</x:v>
      </x:c>
      <x:c r="O1601" s="4" t="str">
        <x:v>BOOK-01600</x:v>
      </x:c>
      <x:c r="P1601" s="9" t="n">
        <x:v>2139000</x:v>
      </x:c>
      <x:c r="Q1601" s="11" t="n">
        <x:v>0</x:v>
      </x:c>
      <x:c r="R1601" s="8" t="n">
        <x:v>45446</x:v>
      </x:c>
      <x:c r="S1601" s="4" t="str">
        <x:v>Retained</x:v>
      </x:c>
      <x:c r="T1601" s="10" t="n">
        <x:v>0.310195</x:v>
      </x:c>
      <x:c r="U1601" s="4" t="str">
        <x:v>Train</x:v>
      </x:c>
    </x:row>
    <x:row r="1602" ht="34" customHeight="1">
      <x:c r="A1602" s="4" t="str">
        <x:v>RS-01601</x:v>
      </x:c>
      <x:c r="B1602" s="8" t="n">
        <x:v>45387</x:v>
      </x:c>
      <x:c r="C1602" s="4" t="str">
        <x:v>PRJ-001</x:v>
      </x:c>
      <x:c r="D1602" s="4" t="str">
        <x:v>Apartment</x:v>
      </x:c>
      <x:c r="E1602" s="4" t="str">
        <x:v>Handed over</x:v>
      </x:c>
      <x:c r="F1602" s="4" t="str">
        <x:v>CUS-01601</x:v>
      </x:c>
      <x:c r="G1602" s="4" t="str">
        <x:v>UNIT-01601</x:v>
      </x:c>
      <x:c r="H1602" s="9" t="n">
        <x:v>5000000</x:v>
      </x:c>
      <x:c r="I1602" s="10" t="n">
        <x:v>0.04</x:v>
      </x:c>
      <x:c r="J1602" s="11" t="n">
        <x:v>3</x:v>
      </x:c>
      <x:c r="K1602" s="11" t="n">
        <x:v>7</x:v>
      </x:c>
      <x:c r="L1602" s="11" t="n">
        <x:v>1</x:v>
      </x:c>
      <x:c r="M1602" s="9" t="n">
        <x:f>ROUND(H1602*(1-I1602),2)</x:f>
        <x:v>4800000</x:v>
      </x:c>
      <x:c r="N1602" s="4" t="str">
        <x:v>Sales manager</x:v>
      </x:c>
      <x:c r="O1602" s="4" t="str">
        <x:v>BOOK-01601</x:v>
      </x:c>
      <x:c r="P1602" s="9" t="n">
        <x:v>2400000</x:v>
      </x:c>
      <x:c r="Q1602" s="11" t="n">
        <x:v>0</x:v>
      </x:c>
      <x:c r="R1602" s="8" t="n">
        <x:v>45447</x:v>
      </x:c>
      <x:c r="S1602" s="4" t="str">
        <x:v>Retained</x:v>
      </x:c>
      <x:c r="T1602" s="10" t="n">
        <x:v>0.204152</x:v>
      </x:c>
      <x:c r="U1602" s="4" t="str">
        <x:v>Train</x:v>
      </x:c>
    </x:row>
    <x:row r="1603" ht="34" customHeight="1">
      <x:c r="A1603" s="4" t="str">
        <x:v>RS-01602</x:v>
      </x:c>
      <x:c r="B1603" s="8" t="n">
        <x:v>45388</x:v>
      </x:c>
      <x:c r="C1603" s="4" t="str">
        <x:v>PRJ-002</x:v>
      </x:c>
      <x:c r="D1603" s="4" t="str">
        <x:v>Apartment</x:v>
      </x:c>
      <x:c r="E1603" s="4" t="str">
        <x:v>Enquiry</x:v>
      </x:c>
      <x:c r="F1603" s="4" t="str">
        <x:v>CUS-01602</x:v>
      </x:c>
      <x:c r="G1603" s="4" t="str">
        <x:v>UNIT-01602</x:v>
      </x:c>
      <x:c r="H1603" s="9" t="n">
        <x:v>10700000</x:v>
      </x:c>
      <x:c r="I1603" s="10" t="n">
        <x:v>0.11</x:v>
      </x:c>
      <x:c r="J1603" s="11" t="n">
        <x:v>0</x:v>
      </x:c>
      <x:c r="K1603" s="11" t="n">
        <x:v>1</x:v>
      </x:c>
      <x:c r="L1603" s="11" t="n">
        <x:v>0</x:v>
      </x:c>
      <x:c r="M1603" s="9" t="n">
        <x:f>ROUND(H1603*(1-I1603),2)</x:f>
        <x:v>9523000</x:v>
      </x:c>
      <x:c r="N1603" s="4" t="str">
        <x:v>Sales head</x:v>
      </x:c>
      <x:c r="O1603" s="4"/>
      <x:c r="P1603" s="9" t="n">
        <x:v>0</x:v>
      </x:c>
      <x:c r="Q1603" s="11" t="n">
        <x:v>0</x:v>
      </x:c>
      <x:c r="R1603" s="8" t="n">
        <x:v>45448</x:v>
      </x:c>
      <x:c r="S1603" s="4" t="str">
        <x:v>Retained</x:v>
      </x:c>
      <x:c r="T1603" s="10" t="n">
        <x:v>0.145833</x:v>
      </x:c>
      <x:c r="U1603" s="4" t="str">
        <x:v>Train</x:v>
      </x:c>
    </x:row>
    <x:row r="1604" ht="34" customHeight="1">
      <x:c r="A1604" s="4" t="str">
        <x:v>RS-01603</x:v>
      </x:c>
      <x:c r="B1604" s="8" t="n">
        <x:v>45389</x:v>
      </x:c>
      <x:c r="C1604" s="4" t="str">
        <x:v>PRJ-003</x:v>
      </x:c>
      <x:c r="D1604" s="4" t="str">
        <x:v>Apartment</x:v>
      </x:c>
      <x:c r="E1604" s="4" t="str">
        <x:v>Reserved</x:v>
      </x:c>
      <x:c r="F1604" s="4" t="str">
        <x:v>CUS-01603</x:v>
      </x:c>
      <x:c r="G1604" s="4" t="str">
        <x:v>UNIT-01603</x:v>
      </x:c>
      <x:c r="H1604" s="9" t="n">
        <x:v>17900000</x:v>
      </x:c>
      <x:c r="I1604" s="10" t="n">
        <x:v>0.12</x:v>
      </x:c>
      <x:c r="J1604" s="11" t="n">
        <x:v>2</x:v>
      </x:c>
      <x:c r="K1604" s="11" t="n">
        <x:v>9</x:v>
      </x:c>
      <x:c r="L1604" s="11" t="n">
        <x:v>0</x:v>
      </x:c>
      <x:c r="M1604" s="9" t="n">
        <x:f>ROUND(H1604*(1-I1604),2)</x:f>
        <x:v>15752000</x:v>
      </x:c>
      <x:c r="N1604" s="4" t="str">
        <x:v>Sales head</x:v>
      </x:c>
      <x:c r="O1604" s="4"/>
      <x:c r="P1604" s="9" t="n">
        <x:v>0</x:v>
      </x:c>
      <x:c r="Q1604" s="11" t="n">
        <x:v>0</x:v>
      </x:c>
      <x:c r="R1604" s="8" t="n">
        <x:v>45449</x:v>
      </x:c>
      <x:c r="S1604" s="4" t="str">
        <x:v>Retained</x:v>
      </x:c>
      <x:c r="T1604" s="10" t="n">
        <x:v>0.145833</x:v>
      </x:c>
      <x:c r="U1604" s="4" t="str">
        <x:v>Train</x:v>
      </x:c>
    </x:row>
    <x:row r="1605" ht="34" customHeight="1">
      <x:c r="A1605" s="4" t="str">
        <x:v>RS-01604</x:v>
      </x:c>
      <x:c r="B1605" s="8" t="n">
        <x:v>45390</x:v>
      </x:c>
      <x:c r="C1605" s="4" t="str">
        <x:v>PRJ-004</x:v>
      </x:c>
      <x:c r="D1605" s="4" t="str">
        <x:v>Office</x:v>
      </x:c>
      <x:c r="E1605" s="4" t="str">
        <x:v>Handed over</x:v>
      </x:c>
      <x:c r="F1605" s="4" t="str">
        <x:v>CUS-01604</x:v>
      </x:c>
      <x:c r="G1605" s="4" t="str">
        <x:v>UNIT-01604</x:v>
      </x:c>
      <x:c r="H1605" s="9" t="n">
        <x:v>8400000</x:v>
      </x:c>
      <x:c r="I1605" s="10" t="n">
        <x:v>0.01</x:v>
      </x:c>
      <x:c r="J1605" s="11" t="n">
        <x:v>9</x:v>
      </x:c>
      <x:c r="K1605" s="11" t="n">
        <x:v>9</x:v>
      </x:c>
      <x:c r="L1605" s="11" t="n">
        <x:v>1</x:v>
      </x:c>
      <x:c r="M1605" s="9" t="n">
        <x:f>ROUND(H1605*(1-I1605),2)</x:f>
        <x:v>8316000</x:v>
      </x:c>
      <x:c r="N1605" s="4" t="str">
        <x:v>Sales manager</x:v>
      </x:c>
      <x:c r="O1605" s="4" t="str">
        <x:v>BOOK-01604</x:v>
      </x:c>
      <x:c r="P1605" s="9" t="n">
        <x:v>2079000</x:v>
      </x:c>
      <x:c r="Q1605" s="11" t="n">
        <x:v>0</x:v>
      </x:c>
      <x:c r="R1605" s="8" t="n">
        <x:v>45450</x:v>
      </x:c>
      <x:c r="S1605" s="4" t="str">
        <x:v>Retained</x:v>
      </x:c>
      <x:c r="T1605" s="10" t="n">
        <x:v>0.254545</x:v>
      </x:c>
      <x:c r="U1605" s="4" t="str">
        <x:v>Train</x:v>
      </x:c>
    </x:row>
    <x:row r="1606" ht="34" customHeight="1">
      <x:c r="A1606" s="4" t="str">
        <x:v>RS-01605</x:v>
      </x:c>
      <x:c r="B1606" s="8" t="n">
        <x:v>45391</x:v>
      </x:c>
      <x:c r="C1606" s="4" t="str">
        <x:v>PRJ-005</x:v>
      </x:c>
      <x:c r="D1606" s="4" t="str">
        <x:v>Office</x:v>
      </x:c>
      <x:c r="E1606" s="4" t="str">
        <x:v>Enquiry</x:v>
      </x:c>
      <x:c r="F1606" s="4" t="str">
        <x:v>CUS-01605</x:v>
      </x:c>
      <x:c r="G1606" s="4" t="str">
        <x:v>UNIT-01605</x:v>
      </x:c>
      <x:c r="H1606" s="9" t="n">
        <x:v>23400000</x:v>
      </x:c>
      <x:c r="I1606" s="10" t="n">
        <x:v>0.1</x:v>
      </x:c>
      <x:c r="J1606" s="11" t="n">
        <x:v>0</x:v>
      </x:c>
      <x:c r="K1606" s="11" t="n">
        <x:v>0</x:v>
      </x:c>
      <x:c r="L1606" s="11" t="n">
        <x:v>0</x:v>
      </x:c>
      <x:c r="M1606" s="9" t="n">
        <x:f>ROUND(H1606*(1-I1606),2)</x:f>
        <x:v>21060000</x:v>
      </x:c>
      <x:c r="N1606" s="4" t="str">
        <x:v>Sales head</x:v>
      </x:c>
      <x:c r="O1606" s="4"/>
      <x:c r="P1606" s="9" t="n">
        <x:v>0</x:v>
      </x:c>
      <x:c r="Q1606" s="11" t="n">
        <x:v>0</x:v>
      </x:c>
      <x:c r="R1606" s="8" t="n">
        <x:v>45451</x:v>
      </x:c>
      <x:c r="S1606" s="4" t="str">
        <x:v>Retained</x:v>
      </x:c>
      <x:c r="T1606" s="10" t="n">
        <x:v>0.276923</x:v>
      </x:c>
      <x:c r="U1606" s="4" t="str">
        <x:v>Train</x:v>
      </x:c>
    </x:row>
    <x:row r="1607" ht="34" customHeight="1">
      <x:c r="A1607" s="4" t="str">
        <x:v>RS-01606</x:v>
      </x:c>
      <x:c r="B1607" s="8" t="n">
        <x:v>45392</x:v>
      </x:c>
      <x:c r="C1607" s="4" t="str">
        <x:v>PRJ-006</x:v>
      </x:c>
      <x:c r="D1607" s="4" t="str">
        <x:v>Apartment</x:v>
      </x:c>
      <x:c r="E1607" s="4" t="str">
        <x:v>Handed over</x:v>
      </x:c>
      <x:c r="F1607" s="4" t="str">
        <x:v>CUS-01606</x:v>
      </x:c>
      <x:c r="G1607" s="4" t="str">
        <x:v>UNIT-01606</x:v>
      </x:c>
      <x:c r="H1607" s="9" t="n">
        <x:v>5200000</x:v>
      </x:c>
      <x:c r="I1607" s="10" t="n">
        <x:v>0.05</x:v>
      </x:c>
      <x:c r="J1607" s="11" t="n">
        <x:v>5</x:v>
      </x:c>
      <x:c r="K1607" s="11" t="n">
        <x:v>9</x:v>
      </x:c>
      <x:c r="L1607" s="11" t="n">
        <x:v>1</x:v>
      </x:c>
      <x:c r="M1607" s="9" t="n">
        <x:f>ROUND(H1607*(1-I1607),2)</x:f>
        <x:v>4940000</x:v>
      </x:c>
      <x:c r="N1607" s="4" t="str">
        <x:v>Sales manager</x:v>
      </x:c>
      <x:c r="O1607" s="4" t="str">
        <x:v>BOOK-01606</x:v>
      </x:c>
      <x:c r="P1607" s="9" t="n">
        <x:v>1235000</x:v>
      </x:c>
      <x:c r="Q1607" s="11" t="n">
        <x:v>0</x:v>
      </x:c>
      <x:c r="R1607" s="8" t="n">
        <x:v>45452</x:v>
      </x:c>
      <x:c r="S1607" s="4" t="str">
        <x:v>Retained</x:v>
      </x:c>
      <x:c r="T1607" s="10" t="n">
        <x:v>0.291946</x:v>
      </x:c>
      <x:c r="U1607" s="4" t="str">
        <x:v>Train</x:v>
      </x:c>
    </x:row>
    <x:row r="1608" ht="34" customHeight="1">
      <x:c r="A1608" s="4" t="str">
        <x:v>RS-01607</x:v>
      </x:c>
      <x:c r="B1608" s="8" t="n">
        <x:v>45393</x:v>
      </x:c>
      <x:c r="C1608" s="4" t="str">
        <x:v>PRJ-007</x:v>
      </x:c>
      <x:c r="D1608" s="4" t="str">
        <x:v>Villa</x:v>
      </x:c>
      <x:c r="E1608" s="4" t="str">
        <x:v>Agreement signed</x:v>
      </x:c>
      <x:c r="F1608" s="4" t="str">
        <x:v>CUS-01607</x:v>
      </x:c>
      <x:c r="G1608" s="4" t="str">
        <x:v>UNIT-01607</x:v>
      </x:c>
      <x:c r="H1608" s="9" t="n">
        <x:v>19800000</x:v>
      </x:c>
      <x:c r="I1608" s="10" t="n">
        <x:v>0.07</x:v>
      </x:c>
      <x:c r="J1608" s="11" t="n">
        <x:v>9</x:v>
      </x:c>
      <x:c r="K1608" s="11" t="n">
        <x:v>0</x:v>
      </x:c>
      <x:c r="L1608" s="11" t="n">
        <x:v>0</x:v>
      </x:c>
      <x:c r="M1608" s="9" t="n">
        <x:f>ROUND(H1608*(1-I1608),2)</x:f>
        <x:v>18414000</x:v>
      </x:c>
      <x:c r="N1608" s="4" t="str">
        <x:v>Sales manager</x:v>
      </x:c>
      <x:c r="O1608" s="4" t="str">
        <x:v>BOOK-01607</x:v>
      </x:c>
      <x:c r="P1608" s="9" t="n">
        <x:v>9207000</x:v>
      </x:c>
      <x:c r="Q1608" s="11" t="n">
        <x:v>0</x:v>
      </x:c>
      <x:c r="R1608" s="8" t="n">
        <x:v>45453</x:v>
      </x:c>
      <x:c r="S1608" s="4" t="str">
        <x:v>Retained</x:v>
      </x:c>
      <x:c r="T1608" s="10" t="n">
        <x:v>0.310195</x:v>
      </x:c>
      <x:c r="U1608" s="4" t="str">
        <x:v>Train</x:v>
      </x:c>
    </x:row>
    <x:row r="1609" ht="34" customHeight="1">
      <x:c r="A1609" s="4" t="str">
        <x:v>RS-01608</x:v>
      </x:c>
      <x:c r="B1609" s="8" t="n">
        <x:v>45394</x:v>
      </x:c>
      <x:c r="C1609" s="4" t="str">
        <x:v>PRJ-008</x:v>
      </x:c>
      <x:c r="D1609" s="4" t="str">
        <x:v>Apartment</x:v>
      </x:c>
      <x:c r="E1609" s="4" t="str">
        <x:v>Enquiry</x:v>
      </x:c>
      <x:c r="F1609" s="4" t="str">
        <x:v>CUS-01608</x:v>
      </x:c>
      <x:c r="G1609" s="4" t="str">
        <x:v>UNIT-01608</x:v>
      </x:c>
      <x:c r="H1609" s="9" t="n">
        <x:v>13900000</x:v>
      </x:c>
      <x:c r="I1609" s="10" t="n">
        <x:v>0.04</x:v>
      </x:c>
      <x:c r="J1609" s="11" t="n">
        <x:v>12</x:v>
      </x:c>
      <x:c r="K1609" s="11" t="n">
        <x:v>8</x:v>
      </x:c>
      <x:c r="L1609" s="11" t="n">
        <x:v>1</x:v>
      </x:c>
      <x:c r="M1609" s="9" t="n">
        <x:f>ROUND(H1609*(1-I1609),2)</x:f>
        <x:v>13344000</x:v>
      </x:c>
      <x:c r="N1609" s="4" t="str">
        <x:v>Sales manager</x:v>
      </x:c>
      <x:c r="O1609" s="4"/>
      <x:c r="P1609" s="9" t="n">
        <x:v>0</x:v>
      </x:c>
      <x:c r="Q1609" s="11" t="n">
        <x:v>1</x:v>
      </x:c>
      <x:c r="R1609" s="8" t="n">
        <x:v>45454</x:v>
      </x:c>
      <x:c r="S1609" s="4" t="str">
        <x:v>Lost / cancelled</x:v>
      </x:c>
      <x:c r="T1609" s="10" t="n">
        <x:v>0.351536</x:v>
      </x:c>
      <x:c r="U1609" s="4" t="str">
        <x:v>Train</x:v>
      </x:c>
    </x:row>
    <x:row r="1610" ht="34" customHeight="1">
      <x:c r="A1610" s="4" t="str">
        <x:v>RS-01609</x:v>
      </x:c>
      <x:c r="B1610" s="8" t="n">
        <x:v>45395</x:v>
      </x:c>
      <x:c r="C1610" s="4" t="str">
        <x:v>PRJ-009</x:v>
      </x:c>
      <x:c r="D1610" s="4" t="str">
        <x:v>Villa</x:v>
      </x:c>
      <x:c r="E1610" s="4" t="str">
        <x:v>Agreement signed</x:v>
      </x:c>
      <x:c r="F1610" s="4" t="str">
        <x:v>CUS-01609</x:v>
      </x:c>
      <x:c r="G1610" s="4" t="str">
        <x:v>UNIT-01609</x:v>
      </x:c>
      <x:c r="H1610" s="9" t="n">
        <x:v>17900000</x:v>
      </x:c>
      <x:c r="I1610" s="10" t="n">
        <x:v>0.11</x:v>
      </x:c>
      <x:c r="J1610" s="11" t="n">
        <x:v>10</x:v>
      </x:c>
      <x:c r="K1610" s="11" t="n">
        <x:v>5</x:v>
      </x:c>
      <x:c r="L1610" s="11" t="n">
        <x:v>1</x:v>
      </x:c>
      <x:c r="M1610" s="9" t="n">
        <x:f>ROUND(H1610*(1-I1610),2)</x:f>
        <x:v>15931000</x:v>
      </x:c>
      <x:c r="N1610" s="4" t="str">
        <x:v>Sales head</x:v>
      </x:c>
      <x:c r="O1610" s="4" t="str">
        <x:v>BOOK-01609</x:v>
      </x:c>
      <x:c r="P1610" s="9" t="n">
        <x:v>7965500</x:v>
      </x:c>
      <x:c r="Q1610" s="11" t="n">
        <x:v>0</x:v>
      </x:c>
      <x:c r="R1610" s="8" t="n">
        <x:v>45455</x:v>
      </x:c>
      <x:c r="S1610" s="4" t="str">
        <x:v>Retained</x:v>
      </x:c>
      <x:c r="T1610" s="10" t="n">
        <x:v>0.310195</x:v>
      </x:c>
      <x:c r="U1610" s="4" t="str">
        <x:v>Train</x:v>
      </x:c>
    </x:row>
    <x:row r="1611" ht="34" customHeight="1">
      <x:c r="A1611" s="4" t="str">
        <x:v>RS-01610</x:v>
      </x:c>
      <x:c r="B1611" s="8" t="n">
        <x:v>45396</x:v>
      </x:c>
      <x:c r="C1611" s="4" t="str">
        <x:v>PRJ-010</x:v>
      </x:c>
      <x:c r="D1611" s="4" t="str">
        <x:v>Office</x:v>
      </x:c>
      <x:c r="E1611" s="4" t="str">
        <x:v>Agreement signed</x:v>
      </x:c>
      <x:c r="F1611" s="4" t="str">
        <x:v>CUS-01610</x:v>
      </x:c>
      <x:c r="G1611" s="4" t="str">
        <x:v>UNIT-01610</x:v>
      </x:c>
      <x:c r="H1611" s="9" t="n">
        <x:v>23100000</x:v>
      </x:c>
      <x:c r="I1611" s="10" t="n">
        <x:v>0.02</x:v>
      </x:c>
      <x:c r="J1611" s="11" t="n">
        <x:v>5</x:v>
      </x:c>
      <x:c r="K1611" s="11" t="n">
        <x:v>4</x:v>
      </x:c>
      <x:c r="L1611" s="11" t="n">
        <x:v>0</x:v>
      </x:c>
      <x:c r="M1611" s="9" t="n">
        <x:f>ROUND(H1611*(1-I1611),2)</x:f>
        <x:v>22638000</x:v>
      </x:c>
      <x:c r="N1611" s="4" t="str">
        <x:v>Sales manager</x:v>
      </x:c>
      <x:c r="O1611" s="4" t="str">
        <x:v>BOOK-01610</x:v>
      </x:c>
      <x:c r="P1611" s="9" t="n">
        <x:v>2263800</x:v>
      </x:c>
      <x:c r="Q1611" s="11" t="n">
        <x:v>0</x:v>
      </x:c>
      <x:c r="R1611" s="8" t="n">
        <x:v>45456</x:v>
      </x:c>
      <x:c r="S1611" s="4" t="str">
        <x:v>Retained</x:v>
      </x:c>
      <x:c r="T1611" s="10" t="n">
        <x:v>0.298969</x:v>
      </x:c>
      <x:c r="U1611" s="4" t="str">
        <x:v>Train</x:v>
      </x:c>
    </x:row>
    <x:row r="1612" ht="34" customHeight="1">
      <x:c r="A1612" s="4" t="str">
        <x:v>RS-01611</x:v>
      </x:c>
      <x:c r="B1612" s="8" t="n">
        <x:v>45397</x:v>
      </x:c>
      <x:c r="C1612" s="4" t="str">
        <x:v>PRJ-011</x:v>
      </x:c>
      <x:c r="D1612" s="4" t="str">
        <x:v>Villa</x:v>
      </x:c>
      <x:c r="E1612" s="4" t="str">
        <x:v>Handed over</x:v>
      </x:c>
      <x:c r="F1612" s="4" t="str">
        <x:v>CUS-01611</x:v>
      </x:c>
      <x:c r="G1612" s="4" t="str">
        <x:v>UNIT-01611</x:v>
      </x:c>
      <x:c r="H1612" s="9" t="n">
        <x:v>9200000</x:v>
      </x:c>
      <x:c r="I1612" s="10" t="n">
        <x:v>0.09</x:v>
      </x:c>
      <x:c r="J1612" s="11" t="n">
        <x:v>1</x:v>
      </x:c>
      <x:c r="K1612" s="11" t="n">
        <x:v>8</x:v>
      </x:c>
      <x:c r="L1612" s="11" t="n">
        <x:v>1</x:v>
      </x:c>
      <x:c r="M1612" s="9" t="n">
        <x:f>ROUND(H1612*(1-I1612),2)</x:f>
        <x:v>8372000</x:v>
      </x:c>
      <x:c r="N1612" s="4" t="str">
        <x:v>Sales head</x:v>
      </x:c>
      <x:c r="O1612" s="4" t="str">
        <x:v>BOOK-01611</x:v>
      </x:c>
      <x:c r="P1612" s="9" t="n">
        <x:v>4186000</x:v>
      </x:c>
      <x:c r="Q1612" s="11" t="n">
        <x:v>0</x:v>
      </x:c>
      <x:c r="R1612" s="8" t="n">
        <x:v>45457</x:v>
      </x:c>
      <x:c r="S1612" s="4" t="str">
        <x:v>Retained</x:v>
      </x:c>
      <x:c r="T1612" s="10" t="n">
        <x:v>0.145833</x:v>
      </x:c>
      <x:c r="U1612" s="4" t="str">
        <x:v>Train</x:v>
      </x:c>
    </x:row>
    <x:row r="1613" ht="34" customHeight="1">
      <x:c r="A1613" s="4" t="str">
        <x:v>RS-01612</x:v>
      </x:c>
      <x:c r="B1613" s="8" t="n">
        <x:v>45398</x:v>
      </x:c>
      <x:c r="C1613" s="4" t="str">
        <x:v>PRJ-012</x:v>
      </x:c>
      <x:c r="D1613" s="4" t="str">
        <x:v>Office</x:v>
      </x:c>
      <x:c r="E1613" s="4" t="str">
        <x:v>Booked</x:v>
      </x:c>
      <x:c r="F1613" s="4" t="str">
        <x:v>CUS-01612</x:v>
      </x:c>
      <x:c r="G1613" s="4" t="str">
        <x:v>UNIT-01612</x:v>
      </x:c>
      <x:c r="H1613" s="9" t="n">
        <x:v>12200000</x:v>
      </x:c>
      <x:c r="I1613" s="10" t="n">
        <x:v>0.06</x:v>
      </x:c>
      <x:c r="J1613" s="11" t="n">
        <x:v>11</x:v>
      </x:c>
      <x:c r="K1613" s="11" t="n">
        <x:v>6</x:v>
      </x:c>
      <x:c r="L1613" s="11" t="n">
        <x:v>0</x:v>
      </x:c>
      <x:c r="M1613" s="9" t="n">
        <x:f>ROUND(H1613*(1-I1613),2)</x:f>
        <x:v>11468000</x:v>
      </x:c>
      <x:c r="N1613" s="4" t="str">
        <x:v>Sales manager</x:v>
      </x:c>
      <x:c r="O1613" s="4" t="str">
        <x:v>BOOK-01612</x:v>
      </x:c>
      <x:c r="P1613" s="9" t="n">
        <x:v>2867000</x:v>
      </x:c>
      <x:c r="Q1613" s="11" t="n">
        <x:v>0</x:v>
      </x:c>
      <x:c r="R1613" s="8" t="n">
        <x:v>45458</x:v>
      </x:c>
      <x:c r="S1613" s="4" t="str">
        <x:v>Retained</x:v>
      </x:c>
      <x:c r="T1613" s="10" t="n">
        <x:v>0.351536</x:v>
      </x:c>
      <x:c r="U1613" s="4" t="str">
        <x:v>Train</x:v>
      </x:c>
    </x:row>
    <x:row r="1614" ht="34" customHeight="1">
      <x:c r="A1614" s="4" t="str">
        <x:v>RS-01613</x:v>
      </x:c>
      <x:c r="B1614" s="8" t="n">
        <x:v>45399</x:v>
      </x:c>
      <x:c r="C1614" s="4" t="str">
        <x:v>PRJ-013</x:v>
      </x:c>
      <x:c r="D1614" s="4" t="str">
        <x:v>Retail</x:v>
      </x:c>
      <x:c r="E1614" s="4" t="str">
        <x:v>Enquiry</x:v>
      </x:c>
      <x:c r="F1614" s="4" t="str">
        <x:v>CUS-01613</x:v>
      </x:c>
      <x:c r="G1614" s="4" t="str">
        <x:v>UNIT-01613</x:v>
      </x:c>
      <x:c r="H1614" s="9" t="n">
        <x:v>13100000</x:v>
      </x:c>
      <x:c r="I1614" s="10" t="n">
        <x:v>0.05</x:v>
      </x:c>
      <x:c r="J1614" s="11" t="n">
        <x:v>6</x:v>
      </x:c>
      <x:c r="K1614" s="11" t="n">
        <x:v>2</x:v>
      </x:c>
      <x:c r="L1614" s="11" t="n">
        <x:v>0</x:v>
      </x:c>
      <x:c r="M1614" s="9" t="n">
        <x:f>ROUND(H1614*(1-I1614),2)</x:f>
        <x:v>12445000</x:v>
      </x:c>
      <x:c r="N1614" s="4" t="str">
        <x:v>Sales manager</x:v>
      </x:c>
      <x:c r="O1614" s="4"/>
      <x:c r="P1614" s="9" t="n">
        <x:v>0</x:v>
      </x:c>
      <x:c r="Q1614" s="11" t="n">
        <x:v>0</x:v>
      </x:c>
      <x:c r="R1614" s="8" t="n">
        <x:v>45459</x:v>
      </x:c>
      <x:c r="S1614" s="4" t="str">
        <x:v>Retained</x:v>
      </x:c>
      <x:c r="T1614" s="10" t="n">
        <x:v>0.226277</x:v>
      </x:c>
      <x:c r="U1614" s="4" t="str">
        <x:v>Train</x:v>
      </x:c>
    </x:row>
    <x:row r="1615" ht="34" customHeight="1">
      <x:c r="A1615" s="4" t="str">
        <x:v>RS-01614</x:v>
      </x:c>
      <x:c r="B1615" s="8" t="n">
        <x:v>45400</x:v>
      </x:c>
      <x:c r="C1615" s="4" t="str">
        <x:v>PRJ-014</x:v>
      </x:c>
      <x:c r="D1615" s="4" t="str">
        <x:v>Villa</x:v>
      </x:c>
      <x:c r="E1615" s="4" t="str">
        <x:v>Enquiry</x:v>
      </x:c>
      <x:c r="F1615" s="4" t="str">
        <x:v>CUS-01614</x:v>
      </x:c>
      <x:c r="G1615" s="4" t="str">
        <x:v>UNIT-01614</x:v>
      </x:c>
      <x:c r="H1615" s="9" t="n">
        <x:v>22800000</x:v>
      </x:c>
      <x:c r="I1615" s="10" t="n">
        <x:v>0.02</x:v>
      </x:c>
      <x:c r="J1615" s="11" t="n">
        <x:v>12</x:v>
      </x:c>
      <x:c r="K1615" s="11" t="n">
        <x:v>3</x:v>
      </x:c>
      <x:c r="L1615" s="11" t="n">
        <x:v>0</x:v>
      </x:c>
      <x:c r="M1615" s="9" t="n">
        <x:f>ROUND(H1615*(1-I1615),2)</x:f>
        <x:v>22344000</x:v>
      </x:c>
      <x:c r="N1615" s="4" t="str">
        <x:v>Sales manager</x:v>
      </x:c>
      <x:c r="O1615" s="4"/>
      <x:c r="P1615" s="9" t="n">
        <x:v>0</x:v>
      </x:c>
      <x:c r="Q1615" s="11" t="n">
        <x:v>1</x:v>
      </x:c>
      <x:c r="R1615" s="8" t="n">
        <x:v>45460</x:v>
      </x:c>
      <x:c r="S1615" s="4" t="str">
        <x:v>Lost / cancelled</x:v>
      </x:c>
      <x:c r="T1615" s="10" t="n">
        <x:v>0.305556</x:v>
      </x:c>
      <x:c r="U1615" s="4" t="str">
        <x:v>Train</x:v>
      </x:c>
    </x:row>
    <x:row r="1616" ht="34" customHeight="1">
      <x:c r="A1616" s="4" t="str">
        <x:v>RS-01615</x:v>
      </x:c>
      <x:c r="B1616" s="8" t="n">
        <x:v>45401</x:v>
      </x:c>
      <x:c r="C1616" s="4" t="str">
        <x:v>PRJ-015</x:v>
      </x:c>
      <x:c r="D1616" s="4" t="str">
        <x:v>Villa</x:v>
      </x:c>
      <x:c r="E1616" s="4" t="str">
        <x:v>Booked</x:v>
      </x:c>
      <x:c r="F1616" s="4" t="str">
        <x:v>CUS-01615</x:v>
      </x:c>
      <x:c r="G1616" s="4" t="str">
        <x:v>UNIT-01615</x:v>
      </x:c>
      <x:c r="H1616" s="9" t="n">
        <x:v>14500000</x:v>
      </x:c>
      <x:c r="I1616" s="10" t="n">
        <x:v>0.1</x:v>
      </x:c>
      <x:c r="J1616" s="11" t="n">
        <x:v>9</x:v>
      </x:c>
      <x:c r="K1616" s="11" t="n">
        <x:v>10</x:v>
      </x:c>
      <x:c r="L1616" s="11" t="n">
        <x:v>1</x:v>
      </x:c>
      <x:c r="M1616" s="9" t="n">
        <x:f>ROUND(H1616*(1-I1616),2)</x:f>
        <x:v>13050000</x:v>
      </x:c>
      <x:c r="N1616" s="4" t="str">
        <x:v>Sales head</x:v>
      </x:c>
      <x:c r="O1616" s="4" t="str">
        <x:v>BOOK-01615</x:v>
      </x:c>
      <x:c r="P1616" s="9" t="n">
        <x:v>13050000</x:v>
      </x:c>
      <x:c r="Q1616" s="11" t="n">
        <x:v>0</x:v>
      </x:c>
      <x:c r="R1616" s="8" t="n">
        <x:v>45461</x:v>
      </x:c>
      <x:c r="S1616" s="4" t="str">
        <x:v>Retained</x:v>
      </x:c>
      <x:c r="T1616" s="10" t="n">
        <x:v>0.310195</x:v>
      </x:c>
      <x:c r="U1616" s="4" t="str">
        <x:v>Train</x:v>
      </x:c>
    </x:row>
    <x:row r="1617" ht="34" customHeight="1">
      <x:c r="A1617" s="4" t="str">
        <x:v>RS-01616</x:v>
      </x:c>
      <x:c r="B1617" s="8" t="n">
        <x:v>45402</x:v>
      </x:c>
      <x:c r="C1617" s="4" t="str">
        <x:v>PRJ-016</x:v>
      </x:c>
      <x:c r="D1617" s="4" t="str">
        <x:v>Villa</x:v>
      </x:c>
      <x:c r="E1617" s="4" t="str">
        <x:v>Booked</x:v>
      </x:c>
      <x:c r="F1617" s="4" t="str">
        <x:v>CUS-01616</x:v>
      </x:c>
      <x:c r="G1617" s="4" t="str">
        <x:v>UNIT-01616</x:v>
      </x:c>
      <x:c r="H1617" s="9" t="n">
        <x:v>14100000</x:v>
      </x:c>
      <x:c r="I1617" s="10" t="n">
        <x:v>0.02</x:v>
      </x:c>
      <x:c r="J1617" s="11" t="n">
        <x:v>12</x:v>
      </x:c>
      <x:c r="K1617" s="11" t="n">
        <x:v>9</x:v>
      </x:c>
      <x:c r="L1617" s="11" t="n">
        <x:v>0</x:v>
      </x:c>
      <x:c r="M1617" s="9" t="n">
        <x:f>ROUND(H1617*(1-I1617),2)</x:f>
        <x:v>13818000</x:v>
      </x:c>
      <x:c r="N1617" s="4" t="str">
        <x:v>Sales manager</x:v>
      </x:c>
      <x:c r="O1617" s="4" t="str">
        <x:v>BOOK-01616</x:v>
      </x:c>
      <x:c r="P1617" s="9" t="n">
        <x:v>13818000</x:v>
      </x:c>
      <x:c r="Q1617" s="11" t="n">
        <x:v>0</x:v>
      </x:c>
      <x:c r="R1617" s="8" t="n">
        <x:v>45462</x:v>
      </x:c>
      <x:c r="S1617" s="4" t="str">
        <x:v>Retained</x:v>
      </x:c>
      <x:c r="T1617" s="10" t="n">
        <x:v>0.305556</x:v>
      </x:c>
      <x:c r="U1617" s="4" t="str">
        <x:v>Train</x:v>
      </x:c>
    </x:row>
    <x:row r="1618" ht="34" customHeight="1">
      <x:c r="A1618" s="4" t="str">
        <x:v>RS-01617</x:v>
      </x:c>
      <x:c r="B1618" s="8" t="n">
        <x:v>45403</x:v>
      </x:c>
      <x:c r="C1618" s="4" t="str">
        <x:v>PRJ-017</x:v>
      </x:c>
      <x:c r="D1618" s="4" t="str">
        <x:v>Office</x:v>
      </x:c>
      <x:c r="E1618" s="4" t="str">
        <x:v>Enquiry</x:v>
      </x:c>
      <x:c r="F1618" s="4" t="str">
        <x:v>CUS-01617</x:v>
      </x:c>
      <x:c r="G1618" s="4" t="str">
        <x:v>UNIT-01617</x:v>
      </x:c>
      <x:c r="H1618" s="9" t="n">
        <x:v>18400000</x:v>
      </x:c>
      <x:c r="I1618" s="10" t="n">
        <x:v>0.03</x:v>
      </x:c>
      <x:c r="J1618" s="11" t="n">
        <x:v>4</x:v>
      </x:c>
      <x:c r="K1618" s="11" t="n">
        <x:v>5</x:v>
      </x:c>
      <x:c r="L1618" s="11" t="n">
        <x:v>0</x:v>
      </x:c>
      <x:c r="M1618" s="9" t="n">
        <x:f>ROUND(H1618*(1-I1618),2)</x:f>
        <x:v>17848000</x:v>
      </x:c>
      <x:c r="N1618" s="4" t="str">
        <x:v>Sales manager</x:v>
      </x:c>
      <x:c r="O1618" s="4"/>
      <x:c r="P1618" s="9" t="n">
        <x:v>0</x:v>
      </x:c>
      <x:c r="Q1618" s="11" t="n">
        <x:v>0</x:v>
      </x:c>
      <x:c r="R1618" s="8" t="n">
        <x:v>45463</x:v>
      </x:c>
      <x:c r="S1618" s="4" t="str">
        <x:v>Retained</x:v>
      </x:c>
      <x:c r="T1618" s="10" t="n">
        <x:v>0.145299</x:v>
      </x:c>
      <x:c r="U1618" s="4" t="str">
        <x:v>Train</x:v>
      </x:c>
    </x:row>
    <x:row r="1619" ht="34" customHeight="1">
      <x:c r="A1619" s="4" t="str">
        <x:v>RS-01618</x:v>
      </x:c>
      <x:c r="B1619" s="8" t="n">
        <x:v>45404</x:v>
      </x:c>
      <x:c r="C1619" s="4" t="str">
        <x:v>PRJ-018</x:v>
      </x:c>
      <x:c r="D1619" s="4" t="str">
        <x:v>Villa</x:v>
      </x:c>
      <x:c r="E1619" s="4" t="str">
        <x:v>Reserved</x:v>
      </x:c>
      <x:c r="F1619" s="4" t="str">
        <x:v>CUS-01618</x:v>
      </x:c>
      <x:c r="G1619" s="4" t="str">
        <x:v>UNIT-01618</x:v>
      </x:c>
      <x:c r="H1619" s="9" t="n">
        <x:v>14200000</x:v>
      </x:c>
      <x:c r="I1619" s="10" t="n">
        <x:v>0.03</x:v>
      </x:c>
      <x:c r="J1619" s="11" t="n">
        <x:v>0</x:v>
      </x:c>
      <x:c r="K1619" s="11" t="n">
        <x:v>8</x:v>
      </x:c>
      <x:c r="L1619" s="11" t="n">
        <x:v>1</x:v>
      </x:c>
      <x:c r="M1619" s="9" t="n">
        <x:f>ROUND(H1619*(1-I1619),2)</x:f>
        <x:v>13774000</x:v>
      </x:c>
      <x:c r="N1619" s="4" t="str">
        <x:v>Sales manager</x:v>
      </x:c>
      <x:c r="O1619" s="4"/>
      <x:c r="P1619" s="9" t="n">
        <x:v>0</x:v>
      </x:c>
      <x:c r="Q1619" s="11" t="n">
        <x:v>0</x:v>
      </x:c>
      <x:c r="R1619" s="8" t="n">
        <x:v>45464</x:v>
      </x:c>
      <x:c r="S1619" s="4" t="str">
        <x:v>Retained</x:v>
      </x:c>
      <x:c r="T1619" s="10" t="n">
        <x:v>0.072165</x:v>
      </x:c>
      <x:c r="U1619" s="4" t="str">
        <x:v>Train</x:v>
      </x:c>
    </x:row>
    <x:row r="1620" ht="34" customHeight="1">
      <x:c r="A1620" s="4" t="str">
        <x:v>RS-01619</x:v>
      </x:c>
      <x:c r="B1620" s="8" t="n">
        <x:v>45405</x:v>
      </x:c>
      <x:c r="C1620" s="4" t="str">
        <x:v>PRJ-019</x:v>
      </x:c>
      <x:c r="D1620" s="4" t="str">
        <x:v>Villa</x:v>
      </x:c>
      <x:c r="E1620" s="4" t="str">
        <x:v>Reserved</x:v>
      </x:c>
      <x:c r="F1620" s="4" t="str">
        <x:v>CUS-01619</x:v>
      </x:c>
      <x:c r="G1620" s="4" t="str">
        <x:v>UNIT-01619</x:v>
      </x:c>
      <x:c r="H1620" s="9" t="n">
        <x:v>10000000</x:v>
      </x:c>
      <x:c r="I1620" s="10" t="n">
        <x:v>0.11</x:v>
      </x:c>
      <x:c r="J1620" s="11" t="n">
        <x:v>7</x:v>
      </x:c>
      <x:c r="K1620" s="11" t="n">
        <x:v>7</x:v>
      </x:c>
      <x:c r="L1620" s="11" t="n">
        <x:v>1</x:v>
      </x:c>
      <x:c r="M1620" s="9" t="n">
        <x:f>ROUND(H1620*(1-I1620),2)</x:f>
        <x:v>8900000</x:v>
      </x:c>
      <x:c r="N1620" s="4" t="str">
        <x:v>Sales head</x:v>
      </x:c>
      <x:c r="O1620" s="4"/>
      <x:c r="P1620" s="9" t="n">
        <x:v>0</x:v>
      </x:c>
      <x:c r="Q1620" s="11" t="n">
        <x:v>0</x:v>
      </x:c>
      <x:c r="R1620" s="8" t="n">
        <x:v>45465</x:v>
      </x:c>
      <x:c r="S1620" s="4" t="str">
        <x:v>Retained</x:v>
      </x:c>
      <x:c r="T1620" s="10" t="n">
        <x:v>0.291946</x:v>
      </x:c>
      <x:c r="U1620" s="4" t="str">
        <x:v>Train</x:v>
      </x:c>
    </x:row>
    <x:row r="1621" ht="34" customHeight="1">
      <x:c r="A1621" s="4" t="str">
        <x:v>RS-01620</x:v>
      </x:c>
      <x:c r="B1621" s="8" t="n">
        <x:v>45406</x:v>
      </x:c>
      <x:c r="C1621" s="4" t="str">
        <x:v>PRJ-020</x:v>
      </x:c>
      <x:c r="D1621" s="4" t="str">
        <x:v>Apartment</x:v>
      </x:c>
      <x:c r="E1621" s="4" t="str">
        <x:v>Booked</x:v>
      </x:c>
      <x:c r="F1621" s="4" t="str">
        <x:v>CUS-01620</x:v>
      </x:c>
      <x:c r="G1621" s="4" t="str">
        <x:v>UNIT-01620</x:v>
      </x:c>
      <x:c r="H1621" s="9" t="n">
        <x:v>18400000</x:v>
      </x:c>
      <x:c r="I1621" s="10" t="n">
        <x:v>0.05</x:v>
      </x:c>
      <x:c r="J1621" s="11" t="n">
        <x:v>6</x:v>
      </x:c>
      <x:c r="K1621" s="11" t="n">
        <x:v>3</x:v>
      </x:c>
      <x:c r="L1621" s="11" t="n">
        <x:v>1</x:v>
      </x:c>
      <x:c r="M1621" s="9" t="n">
        <x:f>ROUND(H1621*(1-I1621),2)</x:f>
        <x:v>17480000</x:v>
      </x:c>
      <x:c r="N1621" s="4" t="str">
        <x:v>Sales manager</x:v>
      </x:c>
      <x:c r="O1621" s="4" t="str">
        <x:v>BOOK-01620</x:v>
      </x:c>
      <x:c r="P1621" s="9" t="n">
        <x:v>8740000</x:v>
      </x:c>
      <x:c r="Q1621" s="11" t="n">
        <x:v>0</x:v>
      </x:c>
      <x:c r="R1621" s="8" t="n">
        <x:v>45466</x:v>
      </x:c>
      <x:c r="S1621" s="4" t="str">
        <x:v>Retained</x:v>
      </x:c>
      <x:c r="T1621" s="10" t="n">
        <x:v>0.291946</x:v>
      </x:c>
      <x:c r="U1621" s="4" t="str">
        <x:v>Train</x:v>
      </x:c>
    </x:row>
    <x:row r="1622" ht="34" customHeight="1">
      <x:c r="A1622" s="4" t="str">
        <x:v>RS-01621</x:v>
      </x:c>
      <x:c r="B1622" s="8" t="n">
        <x:v>45407</x:v>
      </x:c>
      <x:c r="C1622" s="4" t="str">
        <x:v>PRJ-001</x:v>
      </x:c>
      <x:c r="D1622" s="4" t="str">
        <x:v>Apartment</x:v>
      </x:c>
      <x:c r="E1622" s="4" t="str">
        <x:v>Cancelled</x:v>
      </x:c>
      <x:c r="F1622" s="4" t="str">
        <x:v>CUS-01621</x:v>
      </x:c>
      <x:c r="G1622" s="4" t="str">
        <x:v>UNIT-01621</x:v>
      </x:c>
      <x:c r="H1622" s="9" t="n">
        <x:v>17100000</x:v>
      </x:c>
      <x:c r="I1622" s="10" t="n">
        <x:v>0.11</x:v>
      </x:c>
      <x:c r="J1622" s="11" t="n">
        <x:v>5</x:v>
      </x:c>
      <x:c r="K1622" s="11" t="n">
        <x:v>4</x:v>
      </x:c>
      <x:c r="L1622" s="11" t="n">
        <x:v>1</x:v>
      </x:c>
      <x:c r="M1622" s="9" t="n">
        <x:f>ROUND(H1622*(1-I1622),2)</x:f>
        <x:v>15219000</x:v>
      </x:c>
      <x:c r="N1622" s="4" t="str">
        <x:v>Sales head</x:v>
      </x:c>
      <x:c r="O1622" s="4"/>
      <x:c r="P1622" s="9" t="n">
        <x:v>0</x:v>
      </x:c>
      <x:c r="Q1622" s="11" t="n">
        <x:v>1</x:v>
      </x:c>
      <x:c r="R1622" s="8" t="n">
        <x:v>45467</x:v>
      </x:c>
      <x:c r="S1622" s="4" t="str">
        <x:v>Lost / cancelled</x:v>
      </x:c>
      <x:c r="T1622" s="10" t="n">
        <x:v>0.291946</x:v>
      </x:c>
      <x:c r="U1622" s="4" t="str">
        <x:v>Train</x:v>
      </x:c>
    </x:row>
    <x:row r="1623" ht="34" customHeight="1">
      <x:c r="A1623" s="4" t="str">
        <x:v>RS-01622</x:v>
      </x:c>
      <x:c r="B1623" s="8" t="n">
        <x:v>45408</x:v>
      </x:c>
      <x:c r="C1623" s="4" t="str">
        <x:v>PRJ-002</x:v>
      </x:c>
      <x:c r="D1623" s="4" t="str">
        <x:v>Villa</x:v>
      </x:c>
      <x:c r="E1623" s="4" t="str">
        <x:v>Booked</x:v>
      </x:c>
      <x:c r="F1623" s="4" t="str">
        <x:v>CUS-01622</x:v>
      </x:c>
      <x:c r="G1623" s="4" t="str">
        <x:v>UNIT-01622</x:v>
      </x:c>
      <x:c r="H1623" s="9" t="n">
        <x:v>17100000</x:v>
      </x:c>
      <x:c r="I1623" s="10" t="n">
        <x:v>0.11</x:v>
      </x:c>
      <x:c r="J1623" s="11" t="n">
        <x:v>0</x:v>
      </x:c>
      <x:c r="K1623" s="11" t="n">
        <x:v>1</x:v>
      </x:c>
      <x:c r="L1623" s="11" t="n">
        <x:v>0</x:v>
      </x:c>
      <x:c r="M1623" s="9" t="n">
        <x:f>ROUND(H1623*(1-I1623),2)</x:f>
        <x:v>15219000</x:v>
      </x:c>
      <x:c r="N1623" s="4" t="str">
        <x:v>Sales head</x:v>
      </x:c>
      <x:c r="O1623" s="4" t="str">
        <x:v>BOOK-01622</x:v>
      </x:c>
      <x:c r="P1623" s="9" t="n">
        <x:v>1521900</x:v>
      </x:c>
      <x:c r="Q1623" s="11" t="n">
        <x:v>0</x:v>
      </x:c>
      <x:c r="R1623" s="8" t="n">
        <x:v>45468</x:v>
      </x:c>
      <x:c r="S1623" s="4" t="str">
        <x:v>Retained</x:v>
      </x:c>
      <x:c r="T1623" s="10" t="n">
        <x:v>0.145833</x:v>
      </x:c>
      <x:c r="U1623" s="4" t="str">
        <x:v>Train</x:v>
      </x:c>
    </x:row>
    <x:row r="1624" ht="34" customHeight="1">
      <x:c r="A1624" s="4" t="str">
        <x:v>RS-01623</x:v>
      </x:c>
      <x:c r="B1624" s="8" t="n">
        <x:v>45409</x:v>
      </x:c>
      <x:c r="C1624" s="4" t="str">
        <x:v>PRJ-003</x:v>
      </x:c>
      <x:c r="D1624" s="4" t="str">
        <x:v>Apartment</x:v>
      </x:c>
      <x:c r="E1624" s="4" t="str">
        <x:v>Cancelled</x:v>
      </x:c>
      <x:c r="F1624" s="4" t="str">
        <x:v>CUS-01623</x:v>
      </x:c>
      <x:c r="G1624" s="4" t="str">
        <x:v>UNIT-01623</x:v>
      </x:c>
      <x:c r="H1624" s="9" t="n">
        <x:v>21200000</x:v>
      </x:c>
      <x:c r="I1624" s="10" t="n">
        <x:v>0.01</x:v>
      </x:c>
      <x:c r="J1624" s="11" t="n">
        <x:v>2</x:v>
      </x:c>
      <x:c r="K1624" s="11" t="n">
        <x:v>1</x:v>
      </x:c>
      <x:c r="L1624" s="11" t="n">
        <x:v>1</x:v>
      </x:c>
      <x:c r="M1624" s="9" t="n">
        <x:f>ROUND(H1624*(1-I1624),2)</x:f>
        <x:v>20988000</x:v>
      </x:c>
      <x:c r="N1624" s="4" t="str">
        <x:v>Sales manager</x:v>
      </x:c>
      <x:c r="O1624" s="4"/>
      <x:c r="P1624" s="9" t="n">
        <x:v>0</x:v>
      </x:c>
      <x:c r="Q1624" s="11" t="n">
        <x:v>1</x:v>
      </x:c>
      <x:c r="R1624" s="8" t="n">
        <x:v>45469</x:v>
      </x:c>
      <x:c r="S1624" s="4" t="str">
        <x:v>Lost / cancelled</x:v>
      </x:c>
      <x:c r="T1624" s="10" t="n">
        <x:v>0.171717</x:v>
      </x:c>
      <x:c r="U1624" s="4" t="str">
        <x:v>Train</x:v>
      </x:c>
    </x:row>
    <x:row r="1625" ht="34" customHeight="1">
      <x:c r="A1625" s="4" t="str">
        <x:v>RS-01624</x:v>
      </x:c>
      <x:c r="B1625" s="8" t="n">
        <x:v>45410</x:v>
      </x:c>
      <x:c r="C1625" s="4" t="str">
        <x:v>PRJ-004</x:v>
      </x:c>
      <x:c r="D1625" s="4" t="str">
        <x:v>Villa</x:v>
      </x:c>
      <x:c r="E1625" s="4" t="str">
        <x:v>Agreement signed</x:v>
      </x:c>
      <x:c r="F1625" s="4" t="str">
        <x:v>CUS-01624</x:v>
      </x:c>
      <x:c r="G1625" s="4" t="str">
        <x:v>UNIT-01624</x:v>
      </x:c>
      <x:c r="H1625" s="9" t="n">
        <x:v>3900000</x:v>
      </x:c>
      <x:c r="I1625" s="10" t="n">
        <x:v>0.1</x:v>
      </x:c>
      <x:c r="J1625" s="11" t="n">
        <x:v>5</x:v>
      </x:c>
      <x:c r="K1625" s="11" t="n">
        <x:v>2</x:v>
      </x:c>
      <x:c r="L1625" s="11" t="n">
        <x:v>1</x:v>
      </x:c>
      <x:c r="M1625" s="9" t="n">
        <x:f>ROUND(H1625*(1-I1625),2)</x:f>
        <x:v>3510000</x:v>
      </x:c>
      <x:c r="N1625" s="4" t="str">
        <x:v>Sales head</x:v>
      </x:c>
      <x:c r="O1625" s="4" t="str">
        <x:v>BOOK-01624</x:v>
      </x:c>
      <x:c r="P1625" s="9" t="n">
        <x:v>3510000</x:v>
      </x:c>
      <x:c r="Q1625" s="11" t="n">
        <x:v>0</x:v>
      </x:c>
      <x:c r="R1625" s="8" t="n">
        <x:v>45470</x:v>
      </x:c>
      <x:c r="S1625" s="4" t="str">
        <x:v>Retained</x:v>
      </x:c>
      <x:c r="T1625" s="10" t="n">
        <x:v>0.291946</x:v>
      </x:c>
      <x:c r="U1625" s="4" t="str">
        <x:v>Train</x:v>
      </x:c>
    </x:row>
    <x:row r="1626" ht="34" customHeight="1">
      <x:c r="A1626" s="4" t="str">
        <x:v>RS-01625</x:v>
      </x:c>
      <x:c r="B1626" s="8" t="n">
        <x:v>45383</x:v>
      </x:c>
      <x:c r="C1626" s="4" t="str">
        <x:v>PRJ-005</x:v>
      </x:c>
      <x:c r="D1626" s="4" t="str">
        <x:v>Office</x:v>
      </x:c>
      <x:c r="E1626" s="4" t="str">
        <x:v>Handed over</x:v>
      </x:c>
      <x:c r="F1626" s="4" t="str">
        <x:v>CUS-01625</x:v>
      </x:c>
      <x:c r="G1626" s="4" t="str">
        <x:v>UNIT-01625</x:v>
      </x:c>
      <x:c r="H1626" s="9" t="n">
        <x:v>5500000</x:v>
      </x:c>
      <x:c r="I1626" s="10" t="n">
        <x:v>0.01</x:v>
      </x:c>
      <x:c r="J1626" s="11" t="n">
        <x:v>3</x:v>
      </x:c>
      <x:c r="K1626" s="11" t="n">
        <x:v>0</x:v>
      </x:c>
      <x:c r="L1626" s="11" t="n">
        <x:v>0</x:v>
      </x:c>
      <x:c r="M1626" s="9" t="n">
        <x:f>ROUND(H1626*(1-I1626),2)</x:f>
        <x:v>5445000</x:v>
      </x:c>
      <x:c r="N1626" s="4" t="str">
        <x:v>Sales manager</x:v>
      </x:c>
      <x:c r="O1626" s="4" t="str">
        <x:v>BOOK-01625</x:v>
      </x:c>
      <x:c r="P1626" s="9" t="n">
        <x:v>2722500</x:v>
      </x:c>
      <x:c r="Q1626" s="11" t="n">
        <x:v>0</x:v>
      </x:c>
      <x:c r="R1626" s="8" t="n">
        <x:v>45443</x:v>
      </x:c>
      <x:c r="S1626" s="4" t="str">
        <x:v>Retained</x:v>
      </x:c>
      <x:c r="T1626" s="10" t="n">
        <x:v>0.276923</x:v>
      </x:c>
      <x:c r="U1626" s="4" t="str">
        <x:v>Train</x:v>
      </x:c>
    </x:row>
    <x:row r="1627" ht="34" customHeight="1">
      <x:c r="A1627" s="4" t="str">
        <x:v>RS-01626</x:v>
      </x:c>
      <x:c r="B1627" s="8" t="n">
        <x:v>45384</x:v>
      </x:c>
      <x:c r="C1627" s="4" t="str">
        <x:v>PRJ-006</x:v>
      </x:c>
      <x:c r="D1627" s="4" t="str">
        <x:v>Office</x:v>
      </x:c>
      <x:c r="E1627" s="4" t="str">
        <x:v>Cancelled</x:v>
      </x:c>
      <x:c r="F1627" s="4" t="str">
        <x:v>CUS-01626</x:v>
      </x:c>
      <x:c r="G1627" s="4" t="str">
        <x:v>UNIT-01626</x:v>
      </x:c>
      <x:c r="H1627" s="9" t="n">
        <x:v>8800000</x:v>
      </x:c>
      <x:c r="I1627" s="10" t="n">
        <x:v>0.06</x:v>
      </x:c>
      <x:c r="J1627" s="11" t="n">
        <x:v>3</x:v>
      </x:c>
      <x:c r="K1627" s="11" t="n">
        <x:v>9</x:v>
      </x:c>
      <x:c r="L1627" s="11" t="n">
        <x:v>0</x:v>
      </x:c>
      <x:c r="M1627" s="9" t="n">
        <x:f>ROUND(H1627*(1-I1627),2)</x:f>
        <x:v>8272000</x:v>
      </x:c>
      <x:c r="N1627" s="4" t="str">
        <x:v>Sales manager</x:v>
      </x:c>
      <x:c r="O1627" s="4"/>
      <x:c r="P1627" s="9" t="n">
        <x:v>0</x:v>
      </x:c>
      <x:c r="Q1627" s="11" t="n">
        <x:v>1</x:v>
      </x:c>
      <x:c r="R1627" s="8" t="n">
        <x:v>45444</x:v>
      </x:c>
      <x:c r="S1627" s="4" t="str">
        <x:v>Lost / cancelled</x:v>
      </x:c>
      <x:c r="T1627" s="10" t="n">
        <x:v>0.204152</x:v>
      </x:c>
      <x:c r="U1627" s="4" t="str">
        <x:v>Train</x:v>
      </x:c>
    </x:row>
    <x:row r="1628" ht="34" customHeight="1">
      <x:c r="A1628" s="4" t="str">
        <x:v>RS-01627</x:v>
      </x:c>
      <x:c r="B1628" s="8" t="n">
        <x:v>45385</x:v>
      </x:c>
      <x:c r="C1628" s="4" t="str">
        <x:v>PRJ-007</x:v>
      </x:c>
      <x:c r="D1628" s="4" t="str">
        <x:v>Villa</x:v>
      </x:c>
      <x:c r="E1628" s="4" t="str">
        <x:v>Agreement signed</x:v>
      </x:c>
      <x:c r="F1628" s="4" t="str">
        <x:v>CUS-01627</x:v>
      </x:c>
      <x:c r="G1628" s="4" t="str">
        <x:v>UNIT-01627</x:v>
      </x:c>
      <x:c r="H1628" s="9" t="n">
        <x:v>10100000</x:v>
      </x:c>
      <x:c r="I1628" s="10" t="n">
        <x:v>0.12</x:v>
      </x:c>
      <x:c r="J1628" s="11" t="n">
        <x:v>1</x:v>
      </x:c>
      <x:c r="K1628" s="11" t="n">
        <x:v>1</x:v>
      </x:c>
      <x:c r="L1628" s="11" t="n">
        <x:v>0</x:v>
      </x:c>
      <x:c r="M1628" s="9" t="n">
        <x:f>ROUND(H1628*(1-I1628),2)</x:f>
        <x:v>8888000</x:v>
      </x:c>
      <x:c r="N1628" s="4" t="str">
        <x:v>Sales head</x:v>
      </x:c>
      <x:c r="O1628" s="4" t="str">
        <x:v>BOOK-01627</x:v>
      </x:c>
      <x:c r="P1628" s="9" t="n">
        <x:v>4444000</x:v>
      </x:c>
      <x:c r="Q1628" s="11" t="n">
        <x:v>0</x:v>
      </x:c>
      <x:c r="R1628" s="8" t="n">
        <x:v>45445</x:v>
      </x:c>
      <x:c r="S1628" s="4" t="str">
        <x:v>Retained</x:v>
      </x:c>
      <x:c r="T1628" s="10" t="n">
        <x:v>0.145833</x:v>
      </x:c>
      <x:c r="U1628" s="4" t="str">
        <x:v>Train</x:v>
      </x:c>
    </x:row>
    <x:row r="1629" ht="34" customHeight="1">
      <x:c r="A1629" s="4" t="str">
        <x:v>RS-01628</x:v>
      </x:c>
      <x:c r="B1629" s="8" t="n">
        <x:v>45386</x:v>
      </x:c>
      <x:c r="C1629" s="4" t="str">
        <x:v>PRJ-008</x:v>
      </x:c>
      <x:c r="D1629" s="4" t="str">
        <x:v>Office</x:v>
      </x:c>
      <x:c r="E1629" s="4" t="str">
        <x:v>Booked</x:v>
      </x:c>
      <x:c r="F1629" s="4" t="str">
        <x:v>CUS-01628</x:v>
      </x:c>
      <x:c r="G1629" s="4" t="str">
        <x:v>UNIT-01628</x:v>
      </x:c>
      <x:c r="H1629" s="9" t="n">
        <x:v>20300000</x:v>
      </x:c>
      <x:c r="I1629" s="10" t="n">
        <x:v>0.05</x:v>
      </x:c>
      <x:c r="J1629" s="11" t="n">
        <x:v>5</x:v>
      </x:c>
      <x:c r="K1629" s="11" t="n">
        <x:v>2</x:v>
      </x:c>
      <x:c r="L1629" s="11" t="n">
        <x:v>0</x:v>
      </x:c>
      <x:c r="M1629" s="9" t="n">
        <x:f>ROUND(H1629*(1-I1629),2)</x:f>
        <x:v>19285000</x:v>
      </x:c>
      <x:c r="N1629" s="4" t="str">
        <x:v>Sales manager</x:v>
      </x:c>
      <x:c r="O1629" s="4" t="str">
        <x:v>BOOK-01628</x:v>
      </x:c>
      <x:c r="P1629" s="9" t="n">
        <x:v>19285000</x:v>
      </x:c>
      <x:c r="Q1629" s="11" t="n">
        <x:v>0</x:v>
      </x:c>
      <x:c r="R1629" s="8" t="n">
        <x:v>45446</x:v>
      </x:c>
      <x:c r="S1629" s="4" t="str">
        <x:v>Retained</x:v>
      </x:c>
      <x:c r="T1629" s="10" t="n">
        <x:v>0.226277</x:v>
      </x:c>
      <x:c r="U1629" s="4" t="str">
        <x:v>Train</x:v>
      </x:c>
    </x:row>
    <x:row r="1630" ht="34" customHeight="1">
      <x:c r="A1630" s="4" t="str">
        <x:v>RS-01629</x:v>
      </x:c>
      <x:c r="B1630" s="8" t="n">
        <x:v>45387</x:v>
      </x:c>
      <x:c r="C1630" s="4" t="str">
        <x:v>PRJ-009</x:v>
      </x:c>
      <x:c r="D1630" s="4" t="str">
        <x:v>Apartment</x:v>
      </x:c>
      <x:c r="E1630" s="4" t="str">
        <x:v>Handed over</x:v>
      </x:c>
      <x:c r="F1630" s="4" t="str">
        <x:v>CUS-01629</x:v>
      </x:c>
      <x:c r="G1630" s="4" t="str">
        <x:v>UNIT-01629</x:v>
      </x:c>
      <x:c r="H1630" s="9" t="n">
        <x:v>4500000</x:v>
      </x:c>
      <x:c r="I1630" s="10" t="n">
        <x:v>0.05</x:v>
      </x:c>
      <x:c r="J1630" s="11" t="n">
        <x:v>4</x:v>
      </x:c>
      <x:c r="K1630" s="11" t="n">
        <x:v>6</x:v>
      </x:c>
      <x:c r="L1630" s="11" t="n">
        <x:v>0</x:v>
      </x:c>
      <x:c r="M1630" s="9" t="n">
        <x:f>ROUND(H1630*(1-I1630),2)</x:f>
        <x:v>4275000</x:v>
      </x:c>
      <x:c r="N1630" s="4" t="str">
        <x:v>Sales manager</x:v>
      </x:c>
      <x:c r="O1630" s="4" t="str">
        <x:v>BOOK-01629</x:v>
      </x:c>
      <x:c r="P1630" s="9" t="n">
        <x:v>1068750</x:v>
      </x:c>
      <x:c r="Q1630" s="11" t="n">
        <x:v>0</x:v>
      </x:c>
      <x:c r="R1630" s="8" t="n">
        <x:v>45447</x:v>
      </x:c>
      <x:c r="S1630" s="4" t="str">
        <x:v>Retained</x:v>
      </x:c>
      <x:c r="T1630" s="10" t="n">
        <x:v>0.226277</x:v>
      </x:c>
      <x:c r="U1630" s="4" t="str">
        <x:v>Train</x:v>
      </x:c>
    </x:row>
    <x:row r="1631" ht="34" customHeight="1">
      <x:c r="A1631" s="4" t="str">
        <x:v>RS-01630</x:v>
      </x:c>
      <x:c r="B1631" s="8" t="n">
        <x:v>45388</x:v>
      </x:c>
      <x:c r="C1631" s="4" t="str">
        <x:v>PRJ-010</x:v>
      </x:c>
      <x:c r="D1631" s="4" t="str">
        <x:v>Apartment</x:v>
      </x:c>
      <x:c r="E1631" s="4" t="str">
        <x:v>Cancelled</x:v>
      </x:c>
      <x:c r="F1631" s="4" t="str">
        <x:v>CUS-01630</x:v>
      </x:c>
      <x:c r="G1631" s="4" t="str">
        <x:v>UNIT-01630</x:v>
      </x:c>
      <x:c r="H1631" s="9" t="n">
        <x:v>10600000</x:v>
      </x:c>
      <x:c r="I1631" s="10" t="n">
        <x:v>0.12</x:v>
      </x:c>
      <x:c r="J1631" s="11" t="n">
        <x:v>0</x:v>
      </x:c>
      <x:c r="K1631" s="11" t="n">
        <x:v>6</x:v>
      </x:c>
      <x:c r="L1631" s="11" t="n">
        <x:v>0</x:v>
      </x:c>
      <x:c r="M1631" s="9" t="n">
        <x:f>ROUND(H1631*(1-I1631),2)</x:f>
        <x:v>9328000</x:v>
      </x:c>
      <x:c r="N1631" s="4" t="str">
        <x:v>Sales head</x:v>
      </x:c>
      <x:c r="O1631" s="4"/>
      <x:c r="P1631" s="9" t="n">
        <x:v>0</x:v>
      </x:c>
      <x:c r="Q1631" s="11" t="n">
        <x:v>1</x:v>
      </x:c>
      <x:c r="R1631" s="8" t="n">
        <x:v>45448</x:v>
      </x:c>
      <x:c r="S1631" s="4" t="str">
        <x:v>Lost / cancelled</x:v>
      </x:c>
      <x:c r="T1631" s="10" t="n">
        <x:v>0.145833</x:v>
      </x:c>
      <x:c r="U1631" s="4" t="str">
        <x:v>Train</x:v>
      </x:c>
    </x:row>
    <x:row r="1632" ht="34" customHeight="1">
      <x:c r="A1632" s="4" t="str">
        <x:v>RS-01631</x:v>
      </x:c>
      <x:c r="B1632" s="8" t="n">
        <x:v>45389</x:v>
      </x:c>
      <x:c r="C1632" s="4" t="str">
        <x:v>PRJ-011</x:v>
      </x:c>
      <x:c r="D1632" s="4" t="str">
        <x:v>Villa</x:v>
      </x:c>
      <x:c r="E1632" s="4" t="str">
        <x:v>Booked</x:v>
      </x:c>
      <x:c r="F1632" s="4" t="str">
        <x:v>CUS-01631</x:v>
      </x:c>
      <x:c r="G1632" s="4" t="str">
        <x:v>UNIT-01631</x:v>
      </x:c>
      <x:c r="H1632" s="9" t="n">
        <x:v>14800000</x:v>
      </x:c>
      <x:c r="I1632" s="10" t="n">
        <x:v>0.04</x:v>
      </x:c>
      <x:c r="J1632" s="11" t="n">
        <x:v>7</x:v>
      </x:c>
      <x:c r="K1632" s="11" t="n">
        <x:v>1</x:v>
      </x:c>
      <x:c r="L1632" s="11" t="n">
        <x:v>0</x:v>
      </x:c>
      <x:c r="M1632" s="9" t="n">
        <x:f>ROUND(H1632*(1-I1632),2)</x:f>
        <x:v>14208000</x:v>
      </x:c>
      <x:c r="N1632" s="4" t="str">
        <x:v>Sales manager</x:v>
      </x:c>
      <x:c r="O1632" s="4" t="str">
        <x:v>BOOK-01631</x:v>
      </x:c>
      <x:c r="P1632" s="9" t="n">
        <x:v>3552000</x:v>
      </x:c>
      <x:c r="Q1632" s="11" t="n">
        <x:v>0</x:v>
      </x:c>
      <x:c r="R1632" s="8" t="n">
        <x:v>45449</x:v>
      </x:c>
      <x:c r="S1632" s="4" t="str">
        <x:v>Retained</x:v>
      </x:c>
      <x:c r="T1632" s="10" t="n">
        <x:v>0.226277</x:v>
      </x:c>
      <x:c r="U1632" s="4" t="str">
        <x:v>Train</x:v>
      </x:c>
    </x:row>
    <x:row r="1633" ht="34" customHeight="1">
      <x:c r="A1633" s="4" t="str">
        <x:v>RS-01632</x:v>
      </x:c>
      <x:c r="B1633" s="8" t="n">
        <x:v>45390</x:v>
      </x:c>
      <x:c r="C1633" s="4" t="str">
        <x:v>PRJ-012</x:v>
      </x:c>
      <x:c r="D1633" s="4" t="str">
        <x:v>Apartment</x:v>
      </x:c>
      <x:c r="E1633" s="4" t="str">
        <x:v>Reserved</x:v>
      </x:c>
      <x:c r="F1633" s="4" t="str">
        <x:v>CUS-01632</x:v>
      </x:c>
      <x:c r="G1633" s="4" t="str">
        <x:v>UNIT-01632</x:v>
      </x:c>
      <x:c r="H1633" s="9" t="n">
        <x:v>17600000</x:v>
      </x:c>
      <x:c r="I1633" s="10" t="n">
        <x:v>0.07</x:v>
      </x:c>
      <x:c r="J1633" s="11" t="n">
        <x:v>6</x:v>
      </x:c>
      <x:c r="K1633" s="11" t="n">
        <x:v>8</x:v>
      </x:c>
      <x:c r="L1633" s="11" t="n">
        <x:v>1</x:v>
      </x:c>
      <x:c r="M1633" s="9" t="n">
        <x:f>ROUND(H1633*(1-I1633),2)</x:f>
        <x:v>16368000</x:v>
      </x:c>
      <x:c r="N1633" s="4" t="str">
        <x:v>Sales manager</x:v>
      </x:c>
      <x:c r="O1633" s="4"/>
      <x:c r="P1633" s="9" t="n">
        <x:v>0</x:v>
      </x:c>
      <x:c r="Q1633" s="11" t="n">
        <x:v>1</x:v>
      </x:c>
      <x:c r="R1633" s="8" t="n">
        <x:v>45450</x:v>
      </x:c>
      <x:c r="S1633" s="4" t="str">
        <x:v>Lost / cancelled</x:v>
      </x:c>
      <x:c r="T1633" s="10" t="n">
        <x:v>0.291946</x:v>
      </x:c>
      <x:c r="U1633" s="4" t="str">
        <x:v>Train</x:v>
      </x:c>
    </x:row>
    <x:row r="1634" ht="34" customHeight="1">
      <x:c r="A1634" s="4" t="str">
        <x:v>RS-01633</x:v>
      </x:c>
      <x:c r="B1634" s="8" t="n">
        <x:v>45391</x:v>
      </x:c>
      <x:c r="C1634" s="4" t="str">
        <x:v>PRJ-013</x:v>
      </x:c>
      <x:c r="D1634" s="4" t="str">
        <x:v>Apartment</x:v>
      </x:c>
      <x:c r="E1634" s="4" t="str">
        <x:v>Cancelled</x:v>
      </x:c>
      <x:c r="F1634" s="4" t="str">
        <x:v>CUS-01633</x:v>
      </x:c>
      <x:c r="G1634" s="4" t="str">
        <x:v>UNIT-01633</x:v>
      </x:c>
      <x:c r="H1634" s="9" t="n">
        <x:v>9100000</x:v>
      </x:c>
      <x:c r="I1634" s="10" t="n">
        <x:v>0.09</x:v>
      </x:c>
      <x:c r="J1634" s="11" t="n">
        <x:v>8</x:v>
      </x:c>
      <x:c r="K1634" s="11" t="n">
        <x:v>0</x:v>
      </x:c>
      <x:c r="L1634" s="11" t="n">
        <x:v>0</x:v>
      </x:c>
      <x:c r="M1634" s="9" t="n">
        <x:f>ROUND(H1634*(1-I1634),2)</x:f>
        <x:v>8281000</x:v>
      </x:c>
      <x:c r="N1634" s="4" t="str">
        <x:v>Sales head</x:v>
      </x:c>
      <x:c r="O1634" s="4"/>
      <x:c r="P1634" s="9" t="n">
        <x:v>0</x:v>
      </x:c>
      <x:c r="Q1634" s="11" t="n">
        <x:v>1</x:v>
      </x:c>
      <x:c r="R1634" s="8" t="n">
        <x:v>45451</x:v>
      </x:c>
      <x:c r="S1634" s="4" t="str">
        <x:v>Lost / cancelled</x:v>
      </x:c>
      <x:c r="T1634" s="10" t="n">
        <x:v>0.310195</x:v>
      </x:c>
      <x:c r="U1634" s="4" t="str">
        <x:v>Train</x:v>
      </x:c>
    </x:row>
    <x:row r="1635" ht="34" customHeight="1">
      <x:c r="A1635" s="4" t="str">
        <x:v>RS-01634</x:v>
      </x:c>
      <x:c r="B1635" s="8" t="n">
        <x:v>45392</x:v>
      </x:c>
      <x:c r="C1635" s="4" t="str">
        <x:v>PRJ-014</x:v>
      </x:c>
      <x:c r="D1635" s="4" t="str">
        <x:v>Retail</x:v>
      </x:c>
      <x:c r="E1635" s="4" t="str">
        <x:v>Cancelled</x:v>
      </x:c>
      <x:c r="F1635" s="4" t="str">
        <x:v>CUS-01634</x:v>
      </x:c>
      <x:c r="G1635" s="4" t="str">
        <x:v>UNIT-01634</x:v>
      </x:c>
      <x:c r="H1635" s="9" t="n">
        <x:v>15600000</x:v>
      </x:c>
      <x:c r="I1635" s="10" t="n">
        <x:v>0.01</x:v>
      </x:c>
      <x:c r="J1635" s="11" t="n">
        <x:v>11</x:v>
      </x:c>
      <x:c r="K1635" s="11" t="n">
        <x:v>1</x:v>
      </x:c>
      <x:c r="L1635" s="11" t="n">
        <x:v>1</x:v>
      </x:c>
      <x:c r="M1635" s="9" t="n">
        <x:f>ROUND(H1635*(1-I1635),2)</x:f>
        <x:v>15444000</x:v>
      </x:c>
      <x:c r="N1635" s="4" t="str">
        <x:v>Sales manager</x:v>
      </x:c>
      <x:c r="O1635" s="4"/>
      <x:c r="P1635" s="9" t="n">
        <x:v>0</x:v>
      </x:c>
      <x:c r="Q1635" s="11" t="n">
        <x:v>1</x:v>
      </x:c>
      <x:c r="R1635" s="8" t="n">
        <x:v>45452</x:v>
      </x:c>
      <x:c r="S1635" s="4" t="str">
        <x:v>Lost / cancelled</x:v>
      </x:c>
      <x:c r="T1635" s="10" t="n">
        <x:v>0.254545</x:v>
      </x:c>
      <x:c r="U1635" s="4" t="str">
        <x:v>Train</x:v>
      </x:c>
    </x:row>
    <x:row r="1636" ht="34" customHeight="1">
      <x:c r="A1636" s="4" t="str">
        <x:v>RS-01635</x:v>
      </x:c>
      <x:c r="B1636" s="8" t="n">
        <x:v>45393</x:v>
      </x:c>
      <x:c r="C1636" s="4" t="str">
        <x:v>PRJ-015</x:v>
      </x:c>
      <x:c r="D1636" s="4" t="str">
        <x:v>Apartment</x:v>
      </x:c>
      <x:c r="E1636" s="4" t="str">
        <x:v>Cancelled</x:v>
      </x:c>
      <x:c r="F1636" s="4" t="str">
        <x:v>CUS-01635</x:v>
      </x:c>
      <x:c r="G1636" s="4" t="str">
        <x:v>UNIT-01635</x:v>
      </x:c>
      <x:c r="H1636" s="9" t="n">
        <x:v>24100000</x:v>
      </x:c>
      <x:c r="I1636" s="10" t="n">
        <x:v>0.07</x:v>
      </x:c>
      <x:c r="J1636" s="11" t="n">
        <x:v>7</x:v>
      </x:c>
      <x:c r="K1636" s="11" t="n">
        <x:v>2</x:v>
      </x:c>
      <x:c r="L1636" s="11" t="n">
        <x:v>1</x:v>
      </x:c>
      <x:c r="M1636" s="9" t="n">
        <x:f>ROUND(H1636*(1-I1636),2)</x:f>
        <x:v>22413000</x:v>
      </x:c>
      <x:c r="N1636" s="4" t="str">
        <x:v>Sales manager</x:v>
      </x:c>
      <x:c r="O1636" s="4"/>
      <x:c r="P1636" s="9" t="n">
        <x:v>0</x:v>
      </x:c>
      <x:c r="Q1636" s="11" t="n">
        <x:v>1</x:v>
      </x:c>
      <x:c r="R1636" s="8" t="n">
        <x:v>45453</x:v>
      </x:c>
      <x:c r="S1636" s="4" t="str">
        <x:v>Lost / cancelled</x:v>
      </x:c>
      <x:c r="T1636" s="10" t="n">
        <x:v>0.291946</x:v>
      </x:c>
      <x:c r="U1636" s="4" t="str">
        <x:v>Train</x:v>
      </x:c>
    </x:row>
    <x:row r="1637" ht="34" customHeight="1">
      <x:c r="A1637" s="4" t="str">
        <x:v>RS-01636</x:v>
      </x:c>
      <x:c r="B1637" s="8" t="n">
        <x:v>45394</x:v>
      </x:c>
      <x:c r="C1637" s="4" t="str">
        <x:v>PRJ-016</x:v>
      </x:c>
      <x:c r="D1637" s="4" t="str">
        <x:v>Office</x:v>
      </x:c>
      <x:c r="E1637" s="4" t="str">
        <x:v>Booked</x:v>
      </x:c>
      <x:c r="F1637" s="4" t="str">
        <x:v>CUS-01636</x:v>
      </x:c>
      <x:c r="G1637" s="4" t="str">
        <x:v>UNIT-01636</x:v>
      </x:c>
      <x:c r="H1637" s="9" t="n">
        <x:v>9900000</x:v>
      </x:c>
      <x:c r="I1637" s="10" t="n">
        <x:v>0.04</x:v>
      </x:c>
      <x:c r="J1637" s="11" t="n">
        <x:v>7</x:v>
      </x:c>
      <x:c r="K1637" s="11" t="n">
        <x:v>3</x:v>
      </x:c>
      <x:c r="L1637" s="11" t="n">
        <x:v>1</x:v>
      </x:c>
      <x:c r="M1637" s="9" t="n">
        <x:f>ROUND(H1637*(1-I1637),2)</x:f>
        <x:v>9504000</x:v>
      </x:c>
      <x:c r="N1637" s="4" t="str">
        <x:v>Sales manager</x:v>
      </x:c>
      <x:c r="O1637" s="4" t="str">
        <x:v>BOOK-01636</x:v>
      </x:c>
      <x:c r="P1637" s="9" t="n">
        <x:v>4752000</x:v>
      </x:c>
      <x:c r="Q1637" s="11" t="n">
        <x:v>0</x:v>
      </x:c>
      <x:c r="R1637" s="8" t="n">
        <x:v>45454</x:v>
      </x:c>
      <x:c r="S1637" s="4" t="str">
        <x:v>Retained</x:v>
      </x:c>
      <x:c r="T1637" s="10" t="n">
        <x:v>0.291946</x:v>
      </x:c>
      <x:c r="U1637" s="4" t="str">
        <x:v>Train</x:v>
      </x:c>
    </x:row>
    <x:row r="1638" ht="34" customHeight="1">
      <x:c r="A1638" s="4" t="str">
        <x:v>RS-01637</x:v>
      </x:c>
      <x:c r="B1638" s="8" t="n">
        <x:v>45395</x:v>
      </x:c>
      <x:c r="C1638" s="4" t="str">
        <x:v>PRJ-017</x:v>
      </x:c>
      <x:c r="D1638" s="4" t="str">
        <x:v>Office</x:v>
      </x:c>
      <x:c r="E1638" s="4" t="str">
        <x:v>Reserved</x:v>
      </x:c>
      <x:c r="F1638" s="4" t="str">
        <x:v>CUS-01637</x:v>
      </x:c>
      <x:c r="G1638" s="4" t="str">
        <x:v>UNIT-01637</x:v>
      </x:c>
      <x:c r="H1638" s="9" t="n">
        <x:v>6800000</x:v>
      </x:c>
      <x:c r="I1638" s="10" t="n">
        <x:v>0.04</x:v>
      </x:c>
      <x:c r="J1638" s="11" t="n">
        <x:v>5</x:v>
      </x:c>
      <x:c r="K1638" s="11" t="n">
        <x:v>9</x:v>
      </x:c>
      <x:c r="L1638" s="11" t="n">
        <x:v>0</x:v>
      </x:c>
      <x:c r="M1638" s="9" t="n">
        <x:f>ROUND(H1638*(1-I1638),2)</x:f>
        <x:v>6528000</x:v>
      </x:c>
      <x:c r="N1638" s="4" t="str">
        <x:v>Sales manager</x:v>
      </x:c>
      <x:c r="O1638" s="4"/>
      <x:c r="P1638" s="9" t="n">
        <x:v>0</x:v>
      </x:c>
      <x:c r="Q1638" s="11" t="n">
        <x:v>0</x:v>
      </x:c>
      <x:c r="R1638" s="8" t="n">
        <x:v>45455</x:v>
      </x:c>
      <x:c r="S1638" s="4" t="str">
        <x:v>Retained</x:v>
      </x:c>
      <x:c r="T1638" s="10" t="n">
        <x:v>0.226277</x:v>
      </x:c>
      <x:c r="U1638" s="4" t="str">
        <x:v>Train</x:v>
      </x:c>
    </x:row>
    <x:row r="1639" ht="34" customHeight="1">
      <x:c r="A1639" s="4" t="str">
        <x:v>RS-01638</x:v>
      </x:c>
      <x:c r="B1639" s="8" t="n">
        <x:v>45396</x:v>
      </x:c>
      <x:c r="C1639" s="4" t="str">
        <x:v>PRJ-018</x:v>
      </x:c>
      <x:c r="D1639" s="4" t="str">
        <x:v>Office</x:v>
      </x:c>
      <x:c r="E1639" s="4" t="str">
        <x:v>Booked</x:v>
      </x:c>
      <x:c r="F1639" s="4" t="str">
        <x:v>CUS-01638</x:v>
      </x:c>
      <x:c r="G1639" s="4" t="str">
        <x:v>UNIT-01638</x:v>
      </x:c>
      <x:c r="H1639" s="9" t="n">
        <x:v>15700000</x:v>
      </x:c>
      <x:c r="I1639" s="10" t="n">
        <x:v>0.03</x:v>
      </x:c>
      <x:c r="J1639" s="11" t="n">
        <x:v>5</x:v>
      </x:c>
      <x:c r="K1639" s="11" t="n">
        <x:v>7</x:v>
      </x:c>
      <x:c r="L1639" s="11" t="n">
        <x:v>0</x:v>
      </x:c>
      <x:c r="M1639" s="9" t="n">
        <x:f>ROUND(H1639*(1-I1639),2)</x:f>
        <x:v>15229000</x:v>
      </x:c>
      <x:c r="N1639" s="4" t="str">
        <x:v>Sales manager</x:v>
      </x:c>
      <x:c r="O1639" s="4" t="str">
        <x:v>BOOK-01638</x:v>
      </x:c>
      <x:c r="P1639" s="9" t="n">
        <x:v>3807250</x:v>
      </x:c>
      <x:c r="Q1639" s="11" t="n">
        <x:v>0</x:v>
      </x:c>
      <x:c r="R1639" s="8" t="n">
        <x:v>45456</x:v>
      </x:c>
      <x:c r="S1639" s="4" t="str">
        <x:v>Retained</x:v>
      </x:c>
      <x:c r="T1639" s="10" t="n">
        <x:v>0.145299</x:v>
      </x:c>
      <x:c r="U1639" s="4" t="str">
        <x:v>Train</x:v>
      </x:c>
    </x:row>
    <x:row r="1640" ht="34" customHeight="1">
      <x:c r="A1640" s="4" t="str">
        <x:v>RS-01639</x:v>
      </x:c>
      <x:c r="B1640" s="8" t="n">
        <x:v>45397</x:v>
      </x:c>
      <x:c r="C1640" s="4" t="str">
        <x:v>PRJ-019</x:v>
      </x:c>
      <x:c r="D1640" s="4" t="str">
        <x:v>Office</x:v>
      </x:c>
      <x:c r="E1640" s="4" t="str">
        <x:v>Booked</x:v>
      </x:c>
      <x:c r="F1640" s="4" t="str">
        <x:v>CUS-01639</x:v>
      </x:c>
      <x:c r="G1640" s="4" t="str">
        <x:v>UNIT-01639</x:v>
      </x:c>
      <x:c r="H1640" s="9" t="n">
        <x:v>3700000</x:v>
      </x:c>
      <x:c r="I1640" s="10" t="n">
        <x:v>0.05</x:v>
      </x:c>
      <x:c r="J1640" s="11" t="n">
        <x:v>8</x:v>
      </x:c>
      <x:c r="K1640" s="11" t="n">
        <x:v>1</x:v>
      </x:c>
      <x:c r="L1640" s="11" t="n">
        <x:v>1</x:v>
      </x:c>
      <x:c r="M1640" s="9" t="n">
        <x:f>ROUND(H1640*(1-I1640),2)</x:f>
        <x:v>3515000</x:v>
      </x:c>
      <x:c r="N1640" s="4" t="str">
        <x:v>Sales manager</x:v>
      </x:c>
      <x:c r="O1640" s="4" t="str">
        <x:v>BOOK-01639</x:v>
      </x:c>
      <x:c r="P1640" s="9" t="n">
        <x:v>878750</x:v>
      </x:c>
      <x:c r="Q1640" s="11" t="n">
        <x:v>0</x:v>
      </x:c>
      <x:c r="R1640" s="8" t="n">
        <x:v>45457</x:v>
      </x:c>
      <x:c r="S1640" s="4" t="str">
        <x:v>Retained</x:v>
      </x:c>
      <x:c r="T1640" s="10" t="n">
        <x:v>0.310195</x:v>
      </x:c>
      <x:c r="U1640" s="4" t="str">
        <x:v>Train</x:v>
      </x:c>
    </x:row>
    <x:row r="1641" ht="34" customHeight="1">
      <x:c r="A1641" s="4" t="str">
        <x:v>RS-01640</x:v>
      </x:c>
      <x:c r="B1641" s="8" t="n">
        <x:v>45398</x:v>
      </x:c>
      <x:c r="C1641" s="4" t="str">
        <x:v>PRJ-020</x:v>
      </x:c>
      <x:c r="D1641" s="4" t="str">
        <x:v>Office</x:v>
      </x:c>
      <x:c r="E1641" s="4" t="str">
        <x:v>Booked</x:v>
      </x:c>
      <x:c r="F1641" s="4" t="str">
        <x:v>CUS-01640</x:v>
      </x:c>
      <x:c r="G1641" s="4" t="str">
        <x:v>UNIT-01640</x:v>
      </x:c>
      <x:c r="H1641" s="9" t="n">
        <x:v>3700000</x:v>
      </x:c>
      <x:c r="I1641" s="10" t="n">
        <x:v>0.05</x:v>
      </x:c>
      <x:c r="J1641" s="11" t="n">
        <x:v>4</x:v>
      </x:c>
      <x:c r="K1641" s="11" t="n">
        <x:v>8</x:v>
      </x:c>
      <x:c r="L1641" s="11" t="n">
        <x:v>0</x:v>
      </x:c>
      <x:c r="M1641" s="9" t="n">
        <x:f>ROUND(H1641*(1-I1641),2)</x:f>
        <x:v>3515000</x:v>
      </x:c>
      <x:c r="N1641" s="4" t="str">
        <x:v>Sales manager</x:v>
      </x:c>
      <x:c r="O1641" s="4" t="str">
        <x:v>BOOK-01640</x:v>
      </x:c>
      <x:c r="P1641" s="9" t="n">
        <x:v>1757500</x:v>
      </x:c>
      <x:c r="Q1641" s="11" t="n">
        <x:v>0</x:v>
      </x:c>
      <x:c r="R1641" s="8" t="n">
        <x:v>45458</x:v>
      </x:c>
      <x:c r="S1641" s="4" t="str">
        <x:v>Retained</x:v>
      </x:c>
      <x:c r="T1641" s="10" t="n">
        <x:v>0.226277</x:v>
      </x:c>
      <x:c r="U1641" s="4" t="str">
        <x:v>Train</x:v>
      </x:c>
    </x:row>
    <x:row r="1642" ht="34" customHeight="1">
      <x:c r="A1642" s="4" t="str">
        <x:v>RS-01641</x:v>
      </x:c>
      <x:c r="B1642" s="8" t="n">
        <x:v>45399</x:v>
      </x:c>
      <x:c r="C1642" s="4" t="str">
        <x:v>PRJ-001</x:v>
      </x:c>
      <x:c r="D1642" s="4" t="str">
        <x:v>Office</x:v>
      </x:c>
      <x:c r="E1642" s="4" t="str">
        <x:v>Enquiry</x:v>
      </x:c>
      <x:c r="F1642" s="4" t="str">
        <x:v>CUS-01641</x:v>
      </x:c>
      <x:c r="G1642" s="4" t="str">
        <x:v>UNIT-01641</x:v>
      </x:c>
      <x:c r="H1642" s="9" t="n">
        <x:v>11600000</x:v>
      </x:c>
      <x:c r="I1642" s="10" t="n">
        <x:v>0.11</x:v>
      </x:c>
      <x:c r="J1642" s="11" t="n">
        <x:v>7</x:v>
      </x:c>
      <x:c r="K1642" s="11" t="n">
        <x:v>2</x:v>
      </x:c>
      <x:c r="L1642" s="11" t="n">
        <x:v>1</x:v>
      </x:c>
      <x:c r="M1642" s="9" t="n">
        <x:f>ROUND(H1642*(1-I1642),2)</x:f>
        <x:v>10324000</x:v>
      </x:c>
      <x:c r="N1642" s="4" t="str">
        <x:v>Sales head</x:v>
      </x:c>
      <x:c r="O1642" s="4"/>
      <x:c r="P1642" s="9" t="n">
        <x:v>0</x:v>
      </x:c>
      <x:c r="Q1642" s="11" t="n">
        <x:v>1</x:v>
      </x:c>
      <x:c r="R1642" s="8" t="n">
        <x:v>45459</x:v>
      </x:c>
      <x:c r="S1642" s="4" t="str">
        <x:v>Lost / cancelled</x:v>
      </x:c>
      <x:c r="T1642" s="10" t="n">
        <x:v>0.291946</x:v>
      </x:c>
      <x:c r="U1642" s="4" t="str">
        <x:v>Train</x:v>
      </x:c>
    </x:row>
    <x:row r="1643" ht="34" customHeight="1">
      <x:c r="A1643" s="4" t="str">
        <x:v>RS-01642</x:v>
      </x:c>
      <x:c r="B1643" s="8" t="n">
        <x:v>45400</x:v>
      </x:c>
      <x:c r="C1643" s="4" t="str">
        <x:v>PRJ-002</x:v>
      </x:c>
      <x:c r="D1643" s="4" t="str">
        <x:v>Apartment</x:v>
      </x:c>
      <x:c r="E1643" s="4" t="str">
        <x:v>Booked</x:v>
      </x:c>
      <x:c r="F1643" s="4" t="str">
        <x:v>CUS-01642</x:v>
      </x:c>
      <x:c r="G1643" s="4" t="str">
        <x:v>UNIT-01642</x:v>
      </x:c>
      <x:c r="H1643" s="9" t="n">
        <x:v>7300000</x:v>
      </x:c>
      <x:c r="I1643" s="10" t="n">
        <x:v>0</x:v>
      </x:c>
      <x:c r="J1643" s="11" t="n">
        <x:v>9</x:v>
      </x:c>
      <x:c r="K1643" s="11" t="n">
        <x:v>0</x:v>
      </x:c>
      <x:c r="L1643" s="11" t="n">
        <x:v>0</x:v>
      </x:c>
      <x:c r="M1643" s="9" t="n">
        <x:f>ROUND(H1643*(1-I1643),2)</x:f>
        <x:v>7300000</x:v>
      </x:c>
      <x:c r="N1643" s="4" t="str">
        <x:v>Sales manager</x:v>
      </x:c>
      <x:c r="O1643" s="4" t="str">
        <x:v>BOOK-01642</x:v>
      </x:c>
      <x:c r="P1643" s="9" t="n">
        <x:v>1825000</x:v>
      </x:c>
      <x:c r="Q1643" s="11" t="n">
        <x:v>0</x:v>
      </x:c>
      <x:c r="R1643" s="8" t="n">
        <x:v>45460</x:v>
      </x:c>
      <x:c r="S1643" s="4" t="str">
        <x:v>Retained</x:v>
      </x:c>
      <x:c r="T1643" s="10" t="n">
        <x:v>0.305556</x:v>
      </x:c>
      <x:c r="U1643" s="4" t="str">
        <x:v>Train</x:v>
      </x:c>
    </x:row>
    <x:row r="1644" ht="34" customHeight="1">
      <x:c r="A1644" s="4" t="str">
        <x:v>RS-01643</x:v>
      </x:c>
      <x:c r="B1644" s="8" t="n">
        <x:v>45401</x:v>
      </x:c>
      <x:c r="C1644" s="4" t="str">
        <x:v>PRJ-003</x:v>
      </x:c>
      <x:c r="D1644" s="4" t="str">
        <x:v>Apartment</x:v>
      </x:c>
      <x:c r="E1644" s="4" t="str">
        <x:v>Cancelled</x:v>
      </x:c>
      <x:c r="F1644" s="4" t="str">
        <x:v>CUS-01643</x:v>
      </x:c>
      <x:c r="G1644" s="4" t="str">
        <x:v>UNIT-01643</x:v>
      </x:c>
      <x:c r="H1644" s="9" t="n">
        <x:v>21400000</x:v>
      </x:c>
      <x:c r="I1644" s="10" t="n">
        <x:v>0.1</x:v>
      </x:c>
      <x:c r="J1644" s="11" t="n">
        <x:v>3</x:v>
      </x:c>
      <x:c r="K1644" s="11" t="n">
        <x:v>2</x:v>
      </x:c>
      <x:c r="L1644" s="11" t="n">
        <x:v>1</x:v>
      </x:c>
      <x:c r="M1644" s="9" t="n">
        <x:f>ROUND(H1644*(1-I1644),2)</x:f>
        <x:v>19260000</x:v>
      </x:c>
      <x:c r="N1644" s="4" t="str">
        <x:v>Sales head</x:v>
      </x:c>
      <x:c r="O1644" s="4"/>
      <x:c r="P1644" s="9" t="n">
        <x:v>0</x:v>
      </x:c>
      <x:c r="Q1644" s="11" t="n">
        <x:v>1</x:v>
      </x:c>
      <x:c r="R1644" s="8" t="n">
        <x:v>45461</x:v>
      </x:c>
      <x:c r="S1644" s="4" t="str">
        <x:v>Lost / cancelled</x:v>
      </x:c>
      <x:c r="T1644" s="10" t="n">
        <x:v>0.145833</x:v>
      </x:c>
      <x:c r="U1644" s="4" t="str">
        <x:v>Train</x:v>
      </x:c>
    </x:row>
    <x:row r="1645" ht="34" customHeight="1">
      <x:c r="A1645" s="4" t="str">
        <x:v>RS-01644</x:v>
      </x:c>
      <x:c r="B1645" s="8" t="n">
        <x:v>45402</x:v>
      </x:c>
      <x:c r="C1645" s="4" t="str">
        <x:v>PRJ-004</x:v>
      </x:c>
      <x:c r="D1645" s="4" t="str">
        <x:v>Office</x:v>
      </x:c>
      <x:c r="E1645" s="4" t="str">
        <x:v>Booked</x:v>
      </x:c>
      <x:c r="F1645" s="4" t="str">
        <x:v>CUS-01644</x:v>
      </x:c>
      <x:c r="G1645" s="4" t="str">
        <x:v>UNIT-01644</x:v>
      </x:c>
      <x:c r="H1645" s="9" t="n">
        <x:v>13900000</x:v>
      </x:c>
      <x:c r="I1645" s="10" t="n">
        <x:v>0.05</x:v>
      </x:c>
      <x:c r="J1645" s="11" t="n">
        <x:v>1</x:v>
      </x:c>
      <x:c r="K1645" s="11" t="n">
        <x:v>3</x:v>
      </x:c>
      <x:c r="L1645" s="11" t="n">
        <x:v>1</x:v>
      </x:c>
      <x:c r="M1645" s="9" t="n">
        <x:f>ROUND(H1645*(1-I1645),2)</x:f>
        <x:v>13205000</x:v>
      </x:c>
      <x:c r="N1645" s="4" t="str">
        <x:v>Sales manager</x:v>
      </x:c>
      <x:c r="O1645" s="4" t="str">
        <x:v>BOOK-01644</x:v>
      </x:c>
      <x:c r="P1645" s="9" t="n">
        <x:v>13205000</x:v>
      </x:c>
      <x:c r="Q1645" s="11" t="n">
        <x:v>0</x:v>
      </x:c>
      <x:c r="R1645" s="8" t="n">
        <x:v>45462</x:v>
      </x:c>
      <x:c r="S1645" s="4" t="str">
        <x:v>Retained</x:v>
      </x:c>
      <x:c r="T1645" s="10" t="n">
        <x:v>0.204152</x:v>
      </x:c>
      <x:c r="U1645" s="4" t="str">
        <x:v>Train</x:v>
      </x:c>
    </x:row>
    <x:row r="1646" ht="34" customHeight="1">
      <x:c r="A1646" s="4" t="str">
        <x:v>RS-01645</x:v>
      </x:c>
      <x:c r="B1646" s="8" t="n">
        <x:v>45403</x:v>
      </x:c>
      <x:c r="C1646" s="4" t="str">
        <x:v>PRJ-005</x:v>
      </x:c>
      <x:c r="D1646" s="4" t="str">
        <x:v>Apartment</x:v>
      </x:c>
      <x:c r="E1646" s="4" t="str">
        <x:v>Cancelled</x:v>
      </x:c>
      <x:c r="F1646" s="4" t="str">
        <x:v>CUS-01645</x:v>
      </x:c>
      <x:c r="G1646" s="4" t="str">
        <x:v>UNIT-01645</x:v>
      </x:c>
      <x:c r="H1646" s="9" t="n">
        <x:v>3900000</x:v>
      </x:c>
      <x:c r="I1646" s="10" t="n">
        <x:v>0.02</x:v>
      </x:c>
      <x:c r="J1646" s="11" t="n">
        <x:v>12</x:v>
      </x:c>
      <x:c r="K1646" s="11" t="n">
        <x:v>4</x:v>
      </x:c>
      <x:c r="L1646" s="11" t="n">
        <x:v>1</x:v>
      </x:c>
      <x:c r="M1646" s="9" t="n">
        <x:f>ROUND(H1646*(1-I1646),2)</x:f>
        <x:v>3822000</x:v>
      </x:c>
      <x:c r="N1646" s="4" t="str">
        <x:v>Sales manager</x:v>
      </x:c>
      <x:c r="O1646" s="4"/>
      <x:c r="P1646" s="9" t="n">
        <x:v>0</x:v>
      </x:c>
      <x:c r="Q1646" s="11" t="n">
        <x:v>1</x:v>
      </x:c>
      <x:c r="R1646" s="8" t="n">
        <x:v>45463</x:v>
      </x:c>
      <x:c r="S1646" s="4" t="str">
        <x:v>Lost / cancelled</x:v>
      </x:c>
      <x:c r="T1646" s="10" t="n">
        <x:v>0.254545</x:v>
      </x:c>
      <x:c r="U1646" s="4" t="str">
        <x:v>Train</x:v>
      </x:c>
    </x:row>
    <x:row r="1647" ht="34" customHeight="1">
      <x:c r="A1647" s="4" t="str">
        <x:v>RS-01646</x:v>
      </x:c>
      <x:c r="B1647" s="8" t="n">
        <x:v>45404</x:v>
      </x:c>
      <x:c r="C1647" s="4" t="str">
        <x:v>PRJ-006</x:v>
      </x:c>
      <x:c r="D1647" s="4" t="str">
        <x:v>Apartment</x:v>
      </x:c>
      <x:c r="E1647" s="4" t="str">
        <x:v>Handed over</x:v>
      </x:c>
      <x:c r="F1647" s="4" t="str">
        <x:v>CUS-01646</x:v>
      </x:c>
      <x:c r="G1647" s="4" t="str">
        <x:v>UNIT-01646</x:v>
      </x:c>
      <x:c r="H1647" s="9" t="n">
        <x:v>6200000</x:v>
      </x:c>
      <x:c r="I1647" s="10" t="n">
        <x:v>0.01</x:v>
      </x:c>
      <x:c r="J1647" s="11" t="n">
        <x:v>7</x:v>
      </x:c>
      <x:c r="K1647" s="11" t="n">
        <x:v>8</x:v>
      </x:c>
      <x:c r="L1647" s="11" t="n">
        <x:v>1</x:v>
      </x:c>
      <x:c r="M1647" s="9" t="n">
        <x:f>ROUND(H1647*(1-I1647),2)</x:f>
        <x:v>6138000</x:v>
      </x:c>
      <x:c r="N1647" s="4" t="str">
        <x:v>Sales manager</x:v>
      </x:c>
      <x:c r="O1647" s="4" t="str">
        <x:v>BOOK-01646</x:v>
      </x:c>
      <x:c r="P1647" s="9" t="n">
        <x:v>6138000</x:v>
      </x:c>
      <x:c r="Q1647" s="11" t="n">
        <x:v>0</x:v>
      </x:c>
      <x:c r="R1647" s="8" t="n">
        <x:v>45464</x:v>
      </x:c>
      <x:c r="S1647" s="4" t="str">
        <x:v>Retained</x:v>
      </x:c>
      <x:c r="T1647" s="10" t="n">
        <x:v>0.145299</x:v>
      </x:c>
      <x:c r="U1647" s="4" t="str">
        <x:v>Train</x:v>
      </x:c>
    </x:row>
    <x:row r="1648" ht="34" customHeight="1">
      <x:c r="A1648" s="4" t="str">
        <x:v>RS-01647</x:v>
      </x:c>
      <x:c r="B1648" s="8" t="n">
        <x:v>45405</x:v>
      </x:c>
      <x:c r="C1648" s="4" t="str">
        <x:v>PRJ-007</x:v>
      </x:c>
      <x:c r="D1648" s="4" t="str">
        <x:v>Apartment</x:v>
      </x:c>
      <x:c r="E1648" s="4" t="str">
        <x:v>Cancelled</x:v>
      </x:c>
      <x:c r="F1648" s="4" t="str">
        <x:v>CUS-01647</x:v>
      </x:c>
      <x:c r="G1648" s="4" t="str">
        <x:v>UNIT-01647</x:v>
      </x:c>
      <x:c r="H1648" s="9" t="n">
        <x:v>24400000</x:v>
      </x:c>
      <x:c r="I1648" s="10" t="n">
        <x:v>0.03</x:v>
      </x:c>
      <x:c r="J1648" s="11" t="n">
        <x:v>4</x:v>
      </x:c>
      <x:c r="K1648" s="11" t="n">
        <x:v>1</x:v>
      </x:c>
      <x:c r="L1648" s="11" t="n">
        <x:v>0</x:v>
      </x:c>
      <x:c r="M1648" s="9" t="n">
        <x:f>ROUND(H1648*(1-I1648),2)</x:f>
        <x:v>23668000</x:v>
      </x:c>
      <x:c r="N1648" s="4" t="str">
        <x:v>Sales manager</x:v>
      </x:c>
      <x:c r="O1648" s="4"/>
      <x:c r="P1648" s="9" t="n">
        <x:v>0</x:v>
      </x:c>
      <x:c r="Q1648" s="11" t="n">
        <x:v>1</x:v>
      </x:c>
      <x:c r="R1648" s="8" t="n">
        <x:v>45465</x:v>
      </x:c>
      <x:c r="S1648" s="4" t="str">
        <x:v>Lost / cancelled</x:v>
      </x:c>
      <x:c r="T1648" s="10" t="n">
        <x:v>0.298969</x:v>
      </x:c>
      <x:c r="U1648" s="4" t="str">
        <x:v>Train</x:v>
      </x:c>
    </x:row>
    <x:row r="1649" ht="34" customHeight="1">
      <x:c r="A1649" s="4" t="str">
        <x:v>RS-01648</x:v>
      </x:c>
      <x:c r="B1649" s="8" t="n">
        <x:v>45406</x:v>
      </x:c>
      <x:c r="C1649" s="4" t="str">
        <x:v>PRJ-008</x:v>
      </x:c>
      <x:c r="D1649" s="4" t="str">
        <x:v>Villa</x:v>
      </x:c>
      <x:c r="E1649" s="4" t="str">
        <x:v>Cancelled</x:v>
      </x:c>
      <x:c r="F1649" s="4" t="str">
        <x:v>CUS-01648</x:v>
      </x:c>
      <x:c r="G1649" s="4" t="str">
        <x:v>UNIT-01648</x:v>
      </x:c>
      <x:c r="H1649" s="9" t="n">
        <x:v>8900000</x:v>
      </x:c>
      <x:c r="I1649" s="10" t="n">
        <x:v>0.09</x:v>
      </x:c>
      <x:c r="J1649" s="11" t="n">
        <x:v>11</x:v>
      </x:c>
      <x:c r="K1649" s="11" t="n">
        <x:v>1</x:v>
      </x:c>
      <x:c r="L1649" s="11" t="n">
        <x:v>0</x:v>
      </x:c>
      <x:c r="M1649" s="9" t="n">
        <x:f>ROUND(H1649*(1-I1649),2)</x:f>
        <x:v>8099000</x:v>
      </x:c>
      <x:c r="N1649" s="4" t="str">
        <x:v>Sales head</x:v>
      </x:c>
      <x:c r="O1649" s="4"/>
      <x:c r="P1649" s="9" t="n">
        <x:v>0</x:v>
      </x:c>
      <x:c r="Q1649" s="11" t="n">
        <x:v>1</x:v>
      </x:c>
      <x:c r="R1649" s="8" t="n">
        <x:v>45466</x:v>
      </x:c>
      <x:c r="S1649" s="4" t="str">
        <x:v>Lost / cancelled</x:v>
      </x:c>
      <x:c r="T1649" s="10" t="n">
        <x:v>0.351536</x:v>
      </x:c>
      <x:c r="U1649" s="4" t="str">
        <x:v>Train</x:v>
      </x:c>
    </x:row>
    <x:row r="1650" ht="34" customHeight="1">
      <x:c r="A1650" s="4" t="str">
        <x:v>RS-01649</x:v>
      </x:c>
      <x:c r="B1650" s="8" t="n">
        <x:v>45407</x:v>
      </x:c>
      <x:c r="C1650" s="4" t="str">
        <x:v>PRJ-009</x:v>
      </x:c>
      <x:c r="D1650" s="4" t="str">
        <x:v>Villa</x:v>
      </x:c>
      <x:c r="E1650" s="4" t="str">
        <x:v>Enquiry</x:v>
      </x:c>
      <x:c r="F1650" s="4" t="str">
        <x:v>CUS-01649</x:v>
      </x:c>
      <x:c r="G1650" s="4" t="str">
        <x:v>UNIT-01649</x:v>
      </x:c>
      <x:c r="H1650" s="9" t="n">
        <x:v>15000000</x:v>
      </x:c>
      <x:c r="I1650" s="10" t="n">
        <x:v>0.1</x:v>
      </x:c>
      <x:c r="J1650" s="11" t="n">
        <x:v>3</x:v>
      </x:c>
      <x:c r="K1650" s="11" t="n">
        <x:v>4</x:v>
      </x:c>
      <x:c r="L1650" s="11" t="n">
        <x:v>0</x:v>
      </x:c>
      <x:c r="M1650" s="9" t="n">
        <x:f>ROUND(H1650*(1-I1650),2)</x:f>
        <x:v>13500000</x:v>
      </x:c>
      <x:c r="N1650" s="4" t="str">
        <x:v>Sales head</x:v>
      </x:c>
      <x:c r="O1650" s="4"/>
      <x:c r="P1650" s="9" t="n">
        <x:v>0</x:v>
      </x:c>
      <x:c r="Q1650" s="11" t="n">
        <x:v>0</x:v>
      </x:c>
      <x:c r="R1650" s="8" t="n">
        <x:v>45467</x:v>
      </x:c>
      <x:c r="S1650" s="4" t="str">
        <x:v>Retained</x:v>
      </x:c>
      <x:c r="T1650" s="10" t="n">
        <x:v>0.145833</x:v>
      </x:c>
      <x:c r="U1650" s="4" t="str">
        <x:v>Train</x:v>
      </x:c>
    </x:row>
    <x:row r="1651" ht="34" customHeight="1">
      <x:c r="A1651" s="4" t="str">
        <x:v>RS-01650</x:v>
      </x:c>
      <x:c r="B1651" s="8" t="n">
        <x:v>45408</x:v>
      </x:c>
      <x:c r="C1651" s="4" t="str">
        <x:v>PRJ-010</x:v>
      </x:c>
      <x:c r="D1651" s="4" t="str">
        <x:v>Office</x:v>
      </x:c>
      <x:c r="E1651" s="4" t="str">
        <x:v>Cancelled</x:v>
      </x:c>
      <x:c r="F1651" s="4" t="str">
        <x:v>CUS-01650</x:v>
      </x:c>
      <x:c r="G1651" s="4" t="str">
        <x:v>UNIT-01650</x:v>
      </x:c>
      <x:c r="H1651" s="9" t="n">
        <x:v>7700000</x:v>
      </x:c>
      <x:c r="I1651" s="10" t="n">
        <x:v>0.11</x:v>
      </x:c>
      <x:c r="J1651" s="11" t="n">
        <x:v>4</x:v>
      </x:c>
      <x:c r="K1651" s="11" t="n">
        <x:v>1</x:v>
      </x:c>
      <x:c r="L1651" s="11" t="n">
        <x:v>0</x:v>
      </x:c>
      <x:c r="M1651" s="9" t="n">
        <x:f>ROUND(H1651*(1-I1651),2)</x:f>
        <x:v>6853000</x:v>
      </x:c>
      <x:c r="N1651" s="4" t="str">
        <x:v>Sales head</x:v>
      </x:c>
      <x:c r="O1651" s="4"/>
      <x:c r="P1651" s="9" t="n">
        <x:v>0</x:v>
      </x:c>
      <x:c r="Q1651" s="11" t="n">
        <x:v>1</x:v>
      </x:c>
      <x:c r="R1651" s="8" t="n">
        <x:v>45468</x:v>
      </x:c>
      <x:c r="S1651" s="4" t="str">
        <x:v>Lost / cancelled</x:v>
      </x:c>
      <x:c r="T1651" s="10" t="n">
        <x:v>0.226277</x:v>
      </x:c>
      <x:c r="U1651" s="4" t="str">
        <x:v>Train</x:v>
      </x:c>
    </x:row>
    <x:row r="1652" ht="34" customHeight="1">
      <x:c r="A1652" s="4" t="str">
        <x:v>RS-01651</x:v>
      </x:c>
      <x:c r="B1652" s="8" t="n">
        <x:v>45409</x:v>
      </x:c>
      <x:c r="C1652" s="4" t="str">
        <x:v>PRJ-011</x:v>
      </x:c>
      <x:c r="D1652" s="4" t="str">
        <x:v>Office</x:v>
      </x:c>
      <x:c r="E1652" s="4" t="str">
        <x:v>Booked</x:v>
      </x:c>
      <x:c r="F1652" s="4" t="str">
        <x:v>CUS-01651</x:v>
      </x:c>
      <x:c r="G1652" s="4" t="str">
        <x:v>UNIT-01651</x:v>
      </x:c>
      <x:c r="H1652" s="9" t="n">
        <x:v>9600000</x:v>
      </x:c>
      <x:c r="I1652" s="10" t="n">
        <x:v>0.12</x:v>
      </x:c>
      <x:c r="J1652" s="11" t="n">
        <x:v>7</x:v>
      </x:c>
      <x:c r="K1652" s="11" t="n">
        <x:v>3</x:v>
      </x:c>
      <x:c r="L1652" s="11" t="n">
        <x:v>0</x:v>
      </x:c>
      <x:c r="M1652" s="9" t="n">
        <x:f>ROUND(H1652*(1-I1652),2)</x:f>
        <x:v>8448000</x:v>
      </x:c>
      <x:c r="N1652" s="4" t="str">
        <x:v>Sales head</x:v>
      </x:c>
      <x:c r="O1652" s="4" t="str">
        <x:v>BOOK-01651</x:v>
      </x:c>
      <x:c r="P1652" s="9" t="n">
        <x:v>4224000</x:v>
      </x:c>
      <x:c r="Q1652" s="11" t="n">
        <x:v>0</x:v>
      </x:c>
      <x:c r="R1652" s="8" t="n">
        <x:v>45469</x:v>
      </x:c>
      <x:c r="S1652" s="4" t="str">
        <x:v>Retained</x:v>
      </x:c>
      <x:c r="T1652" s="10" t="n">
        <x:v>0.226277</x:v>
      </x:c>
      <x:c r="U1652" s="4" t="str">
        <x:v>Train</x:v>
      </x:c>
    </x:row>
    <x:row r="1653" ht="34" customHeight="1">
      <x:c r="A1653" s="4" t="str">
        <x:v>RS-01652</x:v>
      </x:c>
      <x:c r="B1653" s="8" t="n">
        <x:v>45410</x:v>
      </x:c>
      <x:c r="C1653" s="4" t="str">
        <x:v>PRJ-012</x:v>
      </x:c>
      <x:c r="D1653" s="4" t="str">
        <x:v>Retail</x:v>
      </x:c>
      <x:c r="E1653" s="4" t="str">
        <x:v>Agreement signed</x:v>
      </x:c>
      <x:c r="F1653" s="4" t="str">
        <x:v>CUS-01652</x:v>
      </x:c>
      <x:c r="G1653" s="4" t="str">
        <x:v>UNIT-01652</x:v>
      </x:c>
      <x:c r="H1653" s="9" t="n">
        <x:v>7800000</x:v>
      </x:c>
      <x:c r="I1653" s="10" t="n">
        <x:v>0.1</x:v>
      </x:c>
      <x:c r="J1653" s="11" t="n">
        <x:v>7</x:v>
      </x:c>
      <x:c r="K1653" s="11" t="n">
        <x:v>4</x:v>
      </x:c>
      <x:c r="L1653" s="11" t="n">
        <x:v>1</x:v>
      </x:c>
      <x:c r="M1653" s="9" t="n">
        <x:f>ROUND(H1653*(1-I1653),2)</x:f>
        <x:v>7020000</x:v>
      </x:c>
      <x:c r="N1653" s="4" t="str">
        <x:v>Sales head</x:v>
      </x:c>
      <x:c r="O1653" s="4" t="str">
        <x:v>BOOK-01652</x:v>
      </x:c>
      <x:c r="P1653" s="9" t="n">
        <x:v>3510000</x:v>
      </x:c>
      <x:c r="Q1653" s="11" t="n">
        <x:v>0</x:v>
      </x:c>
      <x:c r="R1653" s="8" t="n">
        <x:v>45470</x:v>
      </x:c>
      <x:c r="S1653" s="4" t="str">
        <x:v>Retained</x:v>
      </x:c>
      <x:c r="T1653" s="10" t="n">
        <x:v>0.291946</x:v>
      </x:c>
      <x:c r="U1653" s="4" t="str">
        <x:v>Train</x:v>
      </x:c>
    </x:row>
    <x:row r="1654" ht="34" customHeight="1">
      <x:c r="A1654" s="4" t="str">
        <x:v>RS-01653</x:v>
      </x:c>
      <x:c r="B1654" s="8" t="n">
        <x:v>45383</x:v>
      </x:c>
      <x:c r="C1654" s="4" t="str">
        <x:v>PRJ-013</x:v>
      </x:c>
      <x:c r="D1654" s="4" t="str">
        <x:v>Villa</x:v>
      </x:c>
      <x:c r="E1654" s="4" t="str">
        <x:v>Agreement signed</x:v>
      </x:c>
      <x:c r="F1654" s="4" t="str">
        <x:v>CUS-01653</x:v>
      </x:c>
      <x:c r="G1654" s="4" t="str">
        <x:v>UNIT-01653</x:v>
      </x:c>
      <x:c r="H1654" s="9" t="n">
        <x:v>9800000</x:v>
      </x:c>
      <x:c r="I1654" s="10" t="n">
        <x:v>0.07</x:v>
      </x:c>
      <x:c r="J1654" s="11" t="n">
        <x:v>2</x:v>
      </x:c>
      <x:c r="K1654" s="11" t="n">
        <x:v>4</x:v>
      </x:c>
      <x:c r="L1654" s="11" t="n">
        <x:v>1</x:v>
      </x:c>
      <x:c r="M1654" s="9" t="n">
        <x:f>ROUND(H1654*(1-I1654),2)</x:f>
        <x:v>9114000</x:v>
      </x:c>
      <x:c r="N1654" s="4" t="str">
        <x:v>Sales manager</x:v>
      </x:c>
      <x:c r="O1654" s="4" t="str">
        <x:v>BOOK-01653</x:v>
      </x:c>
      <x:c r="P1654" s="9" t="n">
        <x:v>4557000</x:v>
      </x:c>
      <x:c r="Q1654" s="11" t="n">
        <x:v>0</x:v>
      </x:c>
      <x:c r="R1654" s="8" t="n">
        <x:v>45443</x:v>
      </x:c>
      <x:c r="S1654" s="4" t="str">
        <x:v>Retained</x:v>
      </x:c>
      <x:c r="T1654" s="10" t="n">
        <x:v>0.204152</x:v>
      </x:c>
      <x:c r="U1654" s="4" t="str">
        <x:v>Train</x:v>
      </x:c>
    </x:row>
    <x:row r="1655" ht="34" customHeight="1">
      <x:c r="A1655" s="4" t="str">
        <x:v>RS-01654</x:v>
      </x:c>
      <x:c r="B1655" s="8" t="n">
        <x:v>45384</x:v>
      </x:c>
      <x:c r="C1655" s="4" t="str">
        <x:v>PRJ-014</x:v>
      </x:c>
      <x:c r="D1655" s="4" t="str">
        <x:v>Villa</x:v>
      </x:c>
      <x:c r="E1655" s="4" t="str">
        <x:v>Booked</x:v>
      </x:c>
      <x:c r="F1655" s="4" t="str">
        <x:v>CUS-01654</x:v>
      </x:c>
      <x:c r="G1655" s="4" t="str">
        <x:v>UNIT-01654</x:v>
      </x:c>
      <x:c r="H1655" s="9" t="n">
        <x:v>19000000</x:v>
      </x:c>
      <x:c r="I1655" s="10" t="n">
        <x:v>0.1</x:v>
      </x:c>
      <x:c r="J1655" s="11" t="n">
        <x:v>12</x:v>
      </x:c>
      <x:c r="K1655" s="11" t="n">
        <x:v>9</x:v>
      </x:c>
      <x:c r="L1655" s="11" t="n">
        <x:v>1</x:v>
      </x:c>
      <x:c r="M1655" s="9" t="n">
        <x:f>ROUND(H1655*(1-I1655),2)</x:f>
        <x:v>17100000</x:v>
      </x:c>
      <x:c r="N1655" s="4" t="str">
        <x:v>Sales head</x:v>
      </x:c>
      <x:c r="O1655" s="4" t="str">
        <x:v>BOOK-01654</x:v>
      </x:c>
      <x:c r="P1655" s="9" t="n">
        <x:v>4275000</x:v>
      </x:c>
      <x:c r="Q1655" s="11" t="n">
        <x:v>0</x:v>
      </x:c>
      <x:c r="R1655" s="8" t="n">
        <x:v>45444</x:v>
      </x:c>
      <x:c r="S1655" s="4" t="str">
        <x:v>Retained</x:v>
      </x:c>
      <x:c r="T1655" s="10" t="n">
        <x:v>0.351536</x:v>
      </x:c>
      <x:c r="U1655" s="4" t="str">
        <x:v>Train</x:v>
      </x:c>
    </x:row>
    <x:row r="1656" ht="34" customHeight="1">
      <x:c r="A1656" s="4" t="str">
        <x:v>RS-01655</x:v>
      </x:c>
      <x:c r="B1656" s="8" t="n">
        <x:v>45385</x:v>
      </x:c>
      <x:c r="C1656" s="4" t="str">
        <x:v>PRJ-015</x:v>
      </x:c>
      <x:c r="D1656" s="4" t="str">
        <x:v>Retail</x:v>
      </x:c>
      <x:c r="E1656" s="4" t="str">
        <x:v>Enquiry</x:v>
      </x:c>
      <x:c r="F1656" s="4" t="str">
        <x:v>CUS-01655</x:v>
      </x:c>
      <x:c r="G1656" s="4" t="str">
        <x:v>UNIT-01655</x:v>
      </x:c>
      <x:c r="H1656" s="9" t="n">
        <x:v>10400000</x:v>
      </x:c>
      <x:c r="I1656" s="10" t="n">
        <x:v>0.11</x:v>
      </x:c>
      <x:c r="J1656" s="11" t="n">
        <x:v>2</x:v>
      </x:c>
      <x:c r="K1656" s="11" t="n">
        <x:v>5</x:v>
      </x:c>
      <x:c r="L1656" s="11" t="n">
        <x:v>0</x:v>
      </x:c>
      <x:c r="M1656" s="9" t="n">
        <x:f>ROUND(H1656*(1-I1656),2)</x:f>
        <x:v>9256000</x:v>
      </x:c>
      <x:c r="N1656" s="4" t="str">
        <x:v>Sales head</x:v>
      </x:c>
      <x:c r="O1656" s="4"/>
      <x:c r="P1656" s="9" t="n">
        <x:v>0</x:v>
      </x:c>
      <x:c r="Q1656" s="11" t="n">
        <x:v>1</x:v>
      </x:c>
      <x:c r="R1656" s="8" t="n">
        <x:v>45445</x:v>
      </x:c>
      <x:c r="S1656" s="4" t="str">
        <x:v>Lost / cancelled</x:v>
      </x:c>
      <x:c r="T1656" s="10" t="n">
        <x:v>0.145833</x:v>
      </x:c>
      <x:c r="U1656" s="4" t="str">
        <x:v>Train</x:v>
      </x:c>
    </x:row>
    <x:row r="1657" ht="34" customHeight="1">
      <x:c r="A1657" s="4" t="str">
        <x:v>RS-01656</x:v>
      </x:c>
      <x:c r="B1657" s="8" t="n">
        <x:v>45386</x:v>
      </x:c>
      <x:c r="C1657" s="4" t="str">
        <x:v>PRJ-016</x:v>
      </x:c>
      <x:c r="D1657" s="4" t="str">
        <x:v>Apartment</x:v>
      </x:c>
      <x:c r="E1657" s="4" t="str">
        <x:v>Agreement signed</x:v>
      </x:c>
      <x:c r="F1657" s="4" t="str">
        <x:v>CUS-01656</x:v>
      </x:c>
      <x:c r="G1657" s="4" t="str">
        <x:v>UNIT-01656</x:v>
      </x:c>
      <x:c r="H1657" s="9" t="n">
        <x:v>8800000</x:v>
      </x:c>
      <x:c r="I1657" s="10" t="n">
        <x:v>0.01</x:v>
      </x:c>
      <x:c r="J1657" s="11" t="n">
        <x:v>12</x:v>
      </x:c>
      <x:c r="K1657" s="11" t="n">
        <x:v>8</x:v>
      </x:c>
      <x:c r="L1657" s="11" t="n">
        <x:v>0</x:v>
      </x:c>
      <x:c r="M1657" s="9" t="n">
        <x:f>ROUND(H1657*(1-I1657),2)</x:f>
        <x:v>8712000</x:v>
      </x:c>
      <x:c r="N1657" s="4" t="str">
        <x:v>Sales manager</x:v>
      </x:c>
      <x:c r="O1657" s="4" t="str">
        <x:v>BOOK-01656</x:v>
      </x:c>
      <x:c r="P1657" s="9" t="n">
        <x:v>871200</x:v>
      </x:c>
      <x:c r="Q1657" s="11" t="n">
        <x:v>0</x:v>
      </x:c>
      <x:c r="R1657" s="8" t="n">
        <x:v>45446</x:v>
      </x:c>
      <x:c r="S1657" s="4" t="str">
        <x:v>Retained</x:v>
      </x:c>
      <x:c r="T1657" s="10" t="n">
        <x:v>0.305556</x:v>
      </x:c>
      <x:c r="U1657" s="4" t="str">
        <x:v>Train</x:v>
      </x:c>
    </x:row>
    <x:row r="1658" ht="34" customHeight="1">
      <x:c r="A1658" s="4" t="str">
        <x:v>RS-01657</x:v>
      </x:c>
      <x:c r="B1658" s="8" t="n">
        <x:v>45387</x:v>
      </x:c>
      <x:c r="C1658" s="4" t="str">
        <x:v>PRJ-017</x:v>
      </x:c>
      <x:c r="D1658" s="4" t="str">
        <x:v>Villa</x:v>
      </x:c>
      <x:c r="E1658" s="4" t="str">
        <x:v>Reserved</x:v>
      </x:c>
      <x:c r="F1658" s="4" t="str">
        <x:v>CUS-01657</x:v>
      </x:c>
      <x:c r="G1658" s="4" t="str">
        <x:v>UNIT-01657</x:v>
      </x:c>
      <x:c r="H1658" s="9" t="n">
        <x:v>23300000</x:v>
      </x:c>
      <x:c r="I1658" s="10" t="n">
        <x:v>0.11</x:v>
      </x:c>
      <x:c r="J1658" s="11" t="n">
        <x:v>5</x:v>
      </x:c>
      <x:c r="K1658" s="11" t="n">
        <x:v>0</x:v>
      </x:c>
      <x:c r="L1658" s="11" t="n">
        <x:v>1</x:v>
      </x:c>
      <x:c r="M1658" s="9" t="n">
        <x:f>ROUND(H1658*(1-I1658),2)</x:f>
        <x:v>20737000</x:v>
      </x:c>
      <x:c r="N1658" s="4" t="str">
        <x:v>Sales head</x:v>
      </x:c>
      <x:c r="O1658" s="4"/>
      <x:c r="P1658" s="9" t="n">
        <x:v>0</x:v>
      </x:c>
      <x:c r="Q1658" s="11" t="n">
        <x:v>0</x:v>
      </x:c>
      <x:c r="R1658" s="8" t="n">
        <x:v>45447</x:v>
      </x:c>
      <x:c r="S1658" s="4" t="str">
        <x:v>Retained</x:v>
      </x:c>
      <x:c r="T1658" s="10" t="n">
        <x:v>0.291946</x:v>
      </x:c>
      <x:c r="U1658" s="4" t="str">
        <x:v>Train</x:v>
      </x:c>
    </x:row>
    <x:row r="1659" ht="34" customHeight="1">
      <x:c r="A1659" s="4" t="str">
        <x:v>RS-01658</x:v>
      </x:c>
      <x:c r="B1659" s="8" t="n">
        <x:v>45388</x:v>
      </x:c>
      <x:c r="C1659" s="4" t="str">
        <x:v>PRJ-018</x:v>
      </x:c>
      <x:c r="D1659" s="4" t="str">
        <x:v>Apartment</x:v>
      </x:c>
      <x:c r="E1659" s="4" t="str">
        <x:v>Enquiry</x:v>
      </x:c>
      <x:c r="F1659" s="4" t="str">
        <x:v>CUS-01658</x:v>
      </x:c>
      <x:c r="G1659" s="4" t="str">
        <x:v>UNIT-01658</x:v>
      </x:c>
      <x:c r="H1659" s="9" t="n">
        <x:v>3000000</x:v>
      </x:c>
      <x:c r="I1659" s="10" t="n">
        <x:v>0.01</x:v>
      </x:c>
      <x:c r="J1659" s="11" t="n">
        <x:v>5</x:v>
      </x:c>
      <x:c r="K1659" s="11" t="n">
        <x:v>9</x:v>
      </x:c>
      <x:c r="L1659" s="11" t="n">
        <x:v>0</x:v>
      </x:c>
      <x:c r="M1659" s="9" t="n">
        <x:f>ROUND(H1659*(1-I1659),2)</x:f>
        <x:v>2970000</x:v>
      </x:c>
      <x:c r="N1659" s="4" t="str">
        <x:v>Sales manager</x:v>
      </x:c>
      <x:c r="O1659" s="4"/>
      <x:c r="P1659" s="9" t="n">
        <x:v>0</x:v>
      </x:c>
      <x:c r="Q1659" s="11" t="n">
        <x:v>0</x:v>
      </x:c>
      <x:c r="R1659" s="8" t="n">
        <x:v>45448</x:v>
      </x:c>
      <x:c r="S1659" s="4" t="str">
        <x:v>Retained</x:v>
      </x:c>
      <x:c r="T1659" s="10" t="n">
        <x:v>0.145299</x:v>
      </x:c>
      <x:c r="U1659" s="4" t="str">
        <x:v>Train</x:v>
      </x:c>
    </x:row>
    <x:row r="1660" ht="34" customHeight="1">
      <x:c r="A1660" s="4" t="str">
        <x:v>RS-01659</x:v>
      </x:c>
      <x:c r="B1660" s="8" t="n">
        <x:v>45389</x:v>
      </x:c>
      <x:c r="C1660" s="4" t="str">
        <x:v>PRJ-019</x:v>
      </x:c>
      <x:c r="D1660" s="4" t="str">
        <x:v>Retail</x:v>
      </x:c>
      <x:c r="E1660" s="4" t="str">
        <x:v>Booked</x:v>
      </x:c>
      <x:c r="F1660" s="4" t="str">
        <x:v>CUS-01659</x:v>
      </x:c>
      <x:c r="G1660" s="4" t="str">
        <x:v>UNIT-01659</x:v>
      </x:c>
      <x:c r="H1660" s="9" t="n">
        <x:v>15100000</x:v>
      </x:c>
      <x:c r="I1660" s="10" t="n">
        <x:v>0.04</x:v>
      </x:c>
      <x:c r="J1660" s="11" t="n">
        <x:v>11</x:v>
      </x:c>
      <x:c r="K1660" s="11" t="n">
        <x:v>5</x:v>
      </x:c>
      <x:c r="L1660" s="11" t="n">
        <x:v>0</x:v>
      </x:c>
      <x:c r="M1660" s="9" t="n">
        <x:f>ROUND(H1660*(1-I1660),2)</x:f>
        <x:v>14496000</x:v>
      </x:c>
      <x:c r="N1660" s="4" t="str">
        <x:v>Sales manager</x:v>
      </x:c>
      <x:c r="O1660" s="4" t="str">
        <x:v>BOOK-01659</x:v>
      </x:c>
      <x:c r="P1660" s="9" t="n">
        <x:v>1449600</x:v>
      </x:c>
      <x:c r="Q1660" s="11" t="n">
        <x:v>0</x:v>
      </x:c>
      <x:c r="R1660" s="8" t="n">
        <x:v>45449</x:v>
      </x:c>
      <x:c r="S1660" s="4" t="str">
        <x:v>Retained</x:v>
      </x:c>
      <x:c r="T1660" s="10" t="n">
        <x:v>0.351536</x:v>
      </x:c>
      <x:c r="U1660" s="4" t="str">
        <x:v>Train</x:v>
      </x:c>
    </x:row>
    <x:row r="1661" ht="34" customHeight="1">
      <x:c r="A1661" s="4" t="str">
        <x:v>RS-01660</x:v>
      </x:c>
      <x:c r="B1661" s="8" t="n">
        <x:v>45390</x:v>
      </x:c>
      <x:c r="C1661" s="4" t="str">
        <x:v>PRJ-020</x:v>
      </x:c>
      <x:c r="D1661" s="4" t="str">
        <x:v>Apartment</x:v>
      </x:c>
      <x:c r="E1661" s="4" t="str">
        <x:v>Cancelled</x:v>
      </x:c>
      <x:c r="F1661" s="4" t="str">
        <x:v>CUS-01660</x:v>
      </x:c>
      <x:c r="G1661" s="4" t="str">
        <x:v>UNIT-01660</x:v>
      </x:c>
      <x:c r="H1661" s="9" t="n">
        <x:v>8000000</x:v>
      </x:c>
      <x:c r="I1661" s="10" t="n">
        <x:v>0.08</x:v>
      </x:c>
      <x:c r="J1661" s="11" t="n">
        <x:v>5</x:v>
      </x:c>
      <x:c r="K1661" s="11" t="n">
        <x:v>1</x:v>
      </x:c>
      <x:c r="L1661" s="11" t="n">
        <x:v>1</x:v>
      </x:c>
      <x:c r="M1661" s="9" t="n">
        <x:f>ROUND(H1661*(1-I1661),2)</x:f>
        <x:v>7360000</x:v>
      </x:c>
      <x:c r="N1661" s="4" t="str">
        <x:v>Sales head</x:v>
      </x:c>
      <x:c r="O1661" s="4"/>
      <x:c r="P1661" s="9" t="n">
        <x:v>0</x:v>
      </x:c>
      <x:c r="Q1661" s="11" t="n">
        <x:v>1</x:v>
      </x:c>
      <x:c r="R1661" s="8" t="n">
        <x:v>45450</x:v>
      </x:c>
      <x:c r="S1661" s="4" t="str">
        <x:v>Lost / cancelled</x:v>
      </x:c>
      <x:c r="T1661" s="10" t="n">
        <x:v>0.291946</x:v>
      </x:c>
      <x:c r="U1661" s="4" t="str">
        <x:v>Train</x:v>
      </x:c>
    </x:row>
    <x:row r="1662" ht="34" customHeight="1">
      <x:c r="A1662" s="4" t="str">
        <x:v>RS-01661</x:v>
      </x:c>
      <x:c r="B1662" s="8" t="n">
        <x:v>45391</x:v>
      </x:c>
      <x:c r="C1662" s="4" t="str">
        <x:v>PRJ-001</x:v>
      </x:c>
      <x:c r="D1662" s="4" t="str">
        <x:v>Retail</x:v>
      </x:c>
      <x:c r="E1662" s="4" t="str">
        <x:v>Cancelled</x:v>
      </x:c>
      <x:c r="F1662" s="4" t="str">
        <x:v>CUS-01661</x:v>
      </x:c>
      <x:c r="G1662" s="4" t="str">
        <x:v>UNIT-01661</x:v>
      </x:c>
      <x:c r="H1662" s="9" t="n">
        <x:v>12300000</x:v>
      </x:c>
      <x:c r="I1662" s="10" t="n">
        <x:v>0.01</x:v>
      </x:c>
      <x:c r="J1662" s="11" t="n">
        <x:v>5</x:v>
      </x:c>
      <x:c r="K1662" s="11" t="n">
        <x:v>1</x:v>
      </x:c>
      <x:c r="L1662" s="11" t="n">
        <x:v>1</x:v>
      </x:c>
      <x:c r="M1662" s="9" t="n">
        <x:f>ROUND(H1662*(1-I1662),2)</x:f>
        <x:v>12177000</x:v>
      </x:c>
      <x:c r="N1662" s="4" t="str">
        <x:v>Sales manager</x:v>
      </x:c>
      <x:c r="O1662" s="4"/>
      <x:c r="P1662" s="9" t="n">
        <x:v>0</x:v>
      </x:c>
      <x:c r="Q1662" s="11" t="n">
        <x:v>1</x:v>
      </x:c>
      <x:c r="R1662" s="8" t="n">
        <x:v>45451</x:v>
      </x:c>
      <x:c r="S1662" s="4" t="str">
        <x:v>Lost / cancelled</x:v>
      </x:c>
      <x:c r="T1662" s="10" t="n">
        <x:v>0.298969</x:v>
      </x:c>
      <x:c r="U1662" s="4" t="str">
        <x:v>Train</x:v>
      </x:c>
    </x:row>
    <x:row r="1663" ht="34" customHeight="1">
      <x:c r="A1663" s="4" t="str">
        <x:v>RS-01662</x:v>
      </x:c>
      <x:c r="B1663" s="8" t="n">
        <x:v>45392</x:v>
      </x:c>
      <x:c r="C1663" s="4" t="str">
        <x:v>PRJ-002</x:v>
      </x:c>
      <x:c r="D1663" s="4" t="str">
        <x:v>Office</x:v>
      </x:c>
      <x:c r="E1663" s="4" t="str">
        <x:v>Handed over</x:v>
      </x:c>
      <x:c r="F1663" s="4" t="str">
        <x:v>CUS-01662</x:v>
      </x:c>
      <x:c r="G1663" s="4" t="str">
        <x:v>UNIT-01662</x:v>
      </x:c>
      <x:c r="H1663" s="9" t="n">
        <x:v>9600000</x:v>
      </x:c>
      <x:c r="I1663" s="10" t="n">
        <x:v>0.08</x:v>
      </x:c>
      <x:c r="J1663" s="11" t="n">
        <x:v>11</x:v>
      </x:c>
      <x:c r="K1663" s="11" t="n">
        <x:v>6</x:v>
      </x:c>
      <x:c r="L1663" s="11" t="n">
        <x:v>0</x:v>
      </x:c>
      <x:c r="M1663" s="9" t="n">
        <x:f>ROUND(H1663*(1-I1663),2)</x:f>
        <x:v>8832000</x:v>
      </x:c>
      <x:c r="N1663" s="4" t="str">
        <x:v>Sales head</x:v>
      </x:c>
      <x:c r="O1663" s="4" t="str">
        <x:v>BOOK-01662</x:v>
      </x:c>
      <x:c r="P1663" s="9" t="n">
        <x:v>4416000</x:v>
      </x:c>
      <x:c r="Q1663" s="11" t="n">
        <x:v>0</x:v>
      </x:c>
      <x:c r="R1663" s="8" t="n">
        <x:v>45452</x:v>
      </x:c>
      <x:c r="S1663" s="4" t="str">
        <x:v>Retained</x:v>
      </x:c>
      <x:c r="T1663" s="10" t="n">
        <x:v>0.351536</x:v>
      </x:c>
      <x:c r="U1663" s="4" t="str">
        <x:v>Train</x:v>
      </x:c>
    </x:row>
    <x:row r="1664" ht="34" customHeight="1">
      <x:c r="A1664" s="4" t="str">
        <x:v>RS-01663</x:v>
      </x:c>
      <x:c r="B1664" s="8" t="n">
        <x:v>45393</x:v>
      </x:c>
      <x:c r="C1664" s="4" t="str">
        <x:v>PRJ-003</x:v>
      </x:c>
      <x:c r="D1664" s="4" t="str">
        <x:v>Office</x:v>
      </x:c>
      <x:c r="E1664" s="4" t="str">
        <x:v>Handed over</x:v>
      </x:c>
      <x:c r="F1664" s="4" t="str">
        <x:v>CUS-01663</x:v>
      </x:c>
      <x:c r="G1664" s="4" t="str">
        <x:v>UNIT-01663</x:v>
      </x:c>
      <x:c r="H1664" s="9" t="n">
        <x:v>11100000</x:v>
      </x:c>
      <x:c r="I1664" s="10" t="n">
        <x:v>0.08</x:v>
      </x:c>
      <x:c r="J1664" s="11" t="n">
        <x:v>12</x:v>
      </x:c>
      <x:c r="K1664" s="11" t="n">
        <x:v>2</x:v>
      </x:c>
      <x:c r="L1664" s="11" t="n">
        <x:v>1</x:v>
      </x:c>
      <x:c r="M1664" s="9" t="n">
        <x:f>ROUND(H1664*(1-I1664),2)</x:f>
        <x:v>10212000</x:v>
      </x:c>
      <x:c r="N1664" s="4" t="str">
        <x:v>Sales head</x:v>
      </x:c>
      <x:c r="O1664" s="4" t="str">
        <x:v>BOOK-01663</x:v>
      </x:c>
      <x:c r="P1664" s="9" t="n">
        <x:v>10212000</x:v>
      </x:c>
      <x:c r="Q1664" s="11" t="n">
        <x:v>0</x:v>
      </x:c>
      <x:c r="R1664" s="8" t="n">
        <x:v>45453</x:v>
      </x:c>
      <x:c r="S1664" s="4" t="str">
        <x:v>Retained</x:v>
      </x:c>
      <x:c r="T1664" s="10" t="n">
        <x:v>0.351536</x:v>
      </x:c>
      <x:c r="U1664" s="4" t="str">
        <x:v>Train</x:v>
      </x:c>
    </x:row>
    <x:row r="1665" ht="34" customHeight="1">
      <x:c r="A1665" s="4" t="str">
        <x:v>RS-01664</x:v>
      </x:c>
      <x:c r="B1665" s="8" t="n">
        <x:v>45394</x:v>
      </x:c>
      <x:c r="C1665" s="4" t="str">
        <x:v>PRJ-004</x:v>
      </x:c>
      <x:c r="D1665" s="4" t="str">
        <x:v>Office</x:v>
      </x:c>
      <x:c r="E1665" s="4" t="str">
        <x:v>Cancelled</x:v>
      </x:c>
      <x:c r="F1665" s="4" t="str">
        <x:v>CUS-01664</x:v>
      </x:c>
      <x:c r="G1665" s="4" t="str">
        <x:v>UNIT-01664</x:v>
      </x:c>
      <x:c r="H1665" s="9" t="n">
        <x:v>7200000</x:v>
      </x:c>
      <x:c r="I1665" s="10" t="n">
        <x:v>0.09</x:v>
      </x:c>
      <x:c r="J1665" s="11" t="n">
        <x:v>8</x:v>
      </x:c>
      <x:c r="K1665" s="11" t="n">
        <x:v>6</x:v>
      </x:c>
      <x:c r="L1665" s="11" t="n">
        <x:v>1</x:v>
      </x:c>
      <x:c r="M1665" s="9" t="n">
        <x:f>ROUND(H1665*(1-I1665),2)</x:f>
        <x:v>6552000</x:v>
      </x:c>
      <x:c r="N1665" s="4" t="str">
        <x:v>Sales head</x:v>
      </x:c>
      <x:c r="O1665" s="4"/>
      <x:c r="P1665" s="9" t="n">
        <x:v>0</x:v>
      </x:c>
      <x:c r="Q1665" s="11" t="n">
        <x:v>1</x:v>
      </x:c>
      <x:c r="R1665" s="8" t="n">
        <x:v>45454</x:v>
      </x:c>
      <x:c r="S1665" s="4" t="str">
        <x:v>Lost / cancelled</x:v>
      </x:c>
      <x:c r="T1665" s="10" t="n">
        <x:v>0.310195</x:v>
      </x:c>
      <x:c r="U1665" s="4" t="str">
        <x:v>Train</x:v>
      </x:c>
    </x:row>
    <x:row r="1666" ht="34" customHeight="1">
      <x:c r="A1666" s="4" t="str">
        <x:v>RS-01665</x:v>
      </x:c>
      <x:c r="B1666" s="8" t="n">
        <x:v>45395</x:v>
      </x:c>
      <x:c r="C1666" s="4" t="str">
        <x:v>PRJ-005</x:v>
      </x:c>
      <x:c r="D1666" s="4" t="str">
        <x:v>Office</x:v>
      </x:c>
      <x:c r="E1666" s="4" t="str">
        <x:v>Handed over</x:v>
      </x:c>
      <x:c r="F1666" s="4" t="str">
        <x:v>CUS-01665</x:v>
      </x:c>
      <x:c r="G1666" s="4" t="str">
        <x:v>UNIT-01665</x:v>
      </x:c>
      <x:c r="H1666" s="9" t="n">
        <x:v>5200000</x:v>
      </x:c>
      <x:c r="I1666" s="10" t="n">
        <x:v>0.05</x:v>
      </x:c>
      <x:c r="J1666" s="11" t="n">
        <x:v>12</x:v>
      </x:c>
      <x:c r="K1666" s="11" t="n">
        <x:v>8</x:v>
      </x:c>
      <x:c r="L1666" s="11" t="n">
        <x:v>1</x:v>
      </x:c>
      <x:c r="M1666" s="9" t="n">
        <x:f>ROUND(H1666*(1-I1666),2)</x:f>
        <x:v>4940000</x:v>
      </x:c>
      <x:c r="N1666" s="4" t="str">
        <x:v>Sales manager</x:v>
      </x:c>
      <x:c r="O1666" s="4" t="str">
        <x:v>BOOK-01665</x:v>
      </x:c>
      <x:c r="P1666" s="9" t="n">
        <x:v>2470000</x:v>
      </x:c>
      <x:c r="Q1666" s="11" t="n">
        <x:v>0</x:v>
      </x:c>
      <x:c r="R1666" s="8" t="n">
        <x:v>45455</x:v>
      </x:c>
      <x:c r="S1666" s="4" t="str">
        <x:v>Retained</x:v>
      </x:c>
      <x:c r="T1666" s="10" t="n">
        <x:v>0.351536</x:v>
      </x:c>
      <x:c r="U1666" s="4" t="str">
        <x:v>Train</x:v>
      </x:c>
    </x:row>
    <x:row r="1667" ht="34" customHeight="1">
      <x:c r="A1667" s="4" t="str">
        <x:v>RS-01666</x:v>
      </x:c>
      <x:c r="B1667" s="8" t="n">
        <x:v>45396</x:v>
      </x:c>
      <x:c r="C1667" s="4" t="str">
        <x:v>PRJ-006</x:v>
      </x:c>
      <x:c r="D1667" s="4" t="str">
        <x:v>Office</x:v>
      </x:c>
      <x:c r="E1667" s="4" t="str">
        <x:v>Booked</x:v>
      </x:c>
      <x:c r="F1667" s="4" t="str">
        <x:v>CUS-01666</x:v>
      </x:c>
      <x:c r="G1667" s="4" t="str">
        <x:v>UNIT-01666</x:v>
      </x:c>
      <x:c r="H1667" s="9" t="n">
        <x:v>23500000</x:v>
      </x:c>
      <x:c r="I1667" s="10" t="n">
        <x:v>0.06</x:v>
      </x:c>
      <x:c r="J1667" s="11" t="n">
        <x:v>3</x:v>
      </x:c>
      <x:c r="K1667" s="11" t="n">
        <x:v>6</x:v>
      </x:c>
      <x:c r="L1667" s="11" t="n">
        <x:v>1</x:v>
      </x:c>
      <x:c r="M1667" s="9" t="n">
        <x:f>ROUND(H1667*(1-I1667),2)</x:f>
        <x:v>22090000</x:v>
      </x:c>
      <x:c r="N1667" s="4" t="str">
        <x:v>Sales manager</x:v>
      </x:c>
      <x:c r="O1667" s="4" t="str">
        <x:v>BOOK-01666</x:v>
      </x:c>
      <x:c r="P1667" s="9" t="n">
        <x:v>22090000</x:v>
      </x:c>
      <x:c r="Q1667" s="11" t="n">
        <x:v>0</x:v>
      </x:c>
      <x:c r="R1667" s="8" t="n">
        <x:v>45456</x:v>
      </x:c>
      <x:c r="S1667" s="4" t="str">
        <x:v>Retained</x:v>
      </x:c>
      <x:c r="T1667" s="10" t="n">
        <x:v>0.204152</x:v>
      </x:c>
      <x:c r="U1667" s="4" t="str">
        <x:v>Train</x:v>
      </x:c>
    </x:row>
    <x:row r="1668" ht="34" customHeight="1">
      <x:c r="A1668" s="4" t="str">
        <x:v>RS-01667</x:v>
      </x:c>
      <x:c r="B1668" s="8" t="n">
        <x:v>45397</x:v>
      </x:c>
      <x:c r="C1668" s="4" t="str">
        <x:v>PRJ-007</x:v>
      </x:c>
      <x:c r="D1668" s="4" t="str">
        <x:v>Villa</x:v>
      </x:c>
      <x:c r="E1668" s="4" t="str">
        <x:v>Reserved</x:v>
      </x:c>
      <x:c r="F1668" s="4" t="str">
        <x:v>CUS-01667</x:v>
      </x:c>
      <x:c r="G1668" s="4" t="str">
        <x:v>UNIT-01667</x:v>
      </x:c>
      <x:c r="H1668" s="9" t="n">
        <x:v>4200000</x:v>
      </x:c>
      <x:c r="I1668" s="10" t="n">
        <x:v>0.08</x:v>
      </x:c>
      <x:c r="J1668" s="11" t="n">
        <x:v>5</x:v>
      </x:c>
      <x:c r="K1668" s="11" t="n">
        <x:v>7</x:v>
      </x:c>
      <x:c r="L1668" s="11" t="n">
        <x:v>0</x:v>
      </x:c>
      <x:c r="M1668" s="9" t="n">
        <x:f>ROUND(H1668*(1-I1668),2)</x:f>
        <x:v>3864000</x:v>
      </x:c>
      <x:c r="N1668" s="4" t="str">
        <x:v>Sales head</x:v>
      </x:c>
      <x:c r="O1668" s="4"/>
      <x:c r="P1668" s="9" t="n">
        <x:v>0</x:v>
      </x:c>
      <x:c r="Q1668" s="11" t="n">
        <x:v>0</x:v>
      </x:c>
      <x:c r="R1668" s="8" t="n">
        <x:v>45457</x:v>
      </x:c>
      <x:c r="S1668" s="4" t="str">
        <x:v>Retained</x:v>
      </x:c>
      <x:c r="T1668" s="10" t="n">
        <x:v>0.226277</x:v>
      </x:c>
      <x:c r="U1668" s="4" t="str">
        <x:v>Train</x:v>
      </x:c>
    </x:row>
    <x:row r="1669" ht="34" customHeight="1">
      <x:c r="A1669" s="4" t="str">
        <x:v>RS-01668</x:v>
      </x:c>
      <x:c r="B1669" s="8" t="n">
        <x:v>45398</x:v>
      </x:c>
      <x:c r="C1669" s="4" t="str">
        <x:v>PRJ-008</x:v>
      </x:c>
      <x:c r="D1669" s="4" t="str">
        <x:v>Apartment</x:v>
      </x:c>
      <x:c r="E1669" s="4" t="str">
        <x:v>Handed over</x:v>
      </x:c>
      <x:c r="F1669" s="4" t="str">
        <x:v>CUS-01668</x:v>
      </x:c>
      <x:c r="G1669" s="4" t="str">
        <x:v>UNIT-01668</x:v>
      </x:c>
      <x:c r="H1669" s="9" t="n">
        <x:v>20700000</x:v>
      </x:c>
      <x:c r="I1669" s="10" t="n">
        <x:v>0.05</x:v>
      </x:c>
      <x:c r="J1669" s="11" t="n">
        <x:v>1</x:v>
      </x:c>
      <x:c r="K1669" s="11" t="n">
        <x:v>7</x:v>
      </x:c>
      <x:c r="L1669" s="11" t="n">
        <x:v>1</x:v>
      </x:c>
      <x:c r="M1669" s="9" t="n">
        <x:f>ROUND(H1669*(1-I1669),2)</x:f>
        <x:v>19665000</x:v>
      </x:c>
      <x:c r="N1669" s="4" t="str">
        <x:v>Sales manager</x:v>
      </x:c>
      <x:c r="O1669" s="4" t="str">
        <x:v>BOOK-01668</x:v>
      </x:c>
      <x:c r="P1669" s="9" t="n">
        <x:v>19665000</x:v>
      </x:c>
      <x:c r="Q1669" s="11" t="n">
        <x:v>0</x:v>
      </x:c>
      <x:c r="R1669" s="8" t="n">
        <x:v>45458</x:v>
      </x:c>
      <x:c r="S1669" s="4" t="str">
        <x:v>Retained</x:v>
      </x:c>
      <x:c r="T1669" s="10" t="n">
        <x:v>0.204152</x:v>
      </x:c>
      <x:c r="U1669" s="4" t="str">
        <x:v>Train</x:v>
      </x:c>
    </x:row>
    <x:row r="1670" ht="34" customHeight="1">
      <x:c r="A1670" s="4" t="str">
        <x:v>RS-01669</x:v>
      </x:c>
      <x:c r="B1670" s="8" t="n">
        <x:v>45399</x:v>
      </x:c>
      <x:c r="C1670" s="4" t="str">
        <x:v>PRJ-009</x:v>
      </x:c>
      <x:c r="D1670" s="4" t="str">
        <x:v>Office</x:v>
      </x:c>
      <x:c r="E1670" s="4" t="str">
        <x:v>Enquiry</x:v>
      </x:c>
      <x:c r="F1670" s="4" t="str">
        <x:v>CUS-01669</x:v>
      </x:c>
      <x:c r="G1670" s="4" t="str">
        <x:v>UNIT-01669</x:v>
      </x:c>
      <x:c r="H1670" s="9" t="n">
        <x:v>10000000</x:v>
      </x:c>
      <x:c r="I1670" s="10" t="n">
        <x:v>0.05</x:v>
      </x:c>
      <x:c r="J1670" s="11" t="n">
        <x:v>0</x:v>
      </x:c>
      <x:c r="K1670" s="11" t="n">
        <x:v>1</x:v>
      </x:c>
      <x:c r="L1670" s="11" t="n">
        <x:v>1</x:v>
      </x:c>
      <x:c r="M1670" s="9" t="n">
        <x:f>ROUND(H1670*(1-I1670),2)</x:f>
        <x:v>9500000</x:v>
      </x:c>
      <x:c r="N1670" s="4" t="str">
        <x:v>Sales manager</x:v>
      </x:c>
      <x:c r="O1670" s="4"/>
      <x:c r="P1670" s="9" t="n">
        <x:v>0</x:v>
      </x:c>
      <x:c r="Q1670" s="11" t="n">
        <x:v>0</x:v>
      </x:c>
      <x:c r="R1670" s="8" t="n">
        <x:v>45459</x:v>
      </x:c>
      <x:c r="S1670" s="4" t="str">
        <x:v>Retained</x:v>
      </x:c>
      <x:c r="T1670" s="10" t="n">
        <x:v>0.204152</x:v>
      </x:c>
      <x:c r="U1670" s="4" t="str">
        <x:v>Train</x:v>
      </x:c>
    </x:row>
    <x:row r="1671" ht="34" customHeight="1">
      <x:c r="A1671" s="4" t="str">
        <x:v>RS-01670</x:v>
      </x:c>
      <x:c r="B1671" s="8" t="n">
        <x:v>45400</x:v>
      </x:c>
      <x:c r="C1671" s="4" t="str">
        <x:v>PRJ-010</x:v>
      </x:c>
      <x:c r="D1671" s="4" t="str">
        <x:v>Office</x:v>
      </x:c>
      <x:c r="E1671" s="4" t="str">
        <x:v>Booked</x:v>
      </x:c>
      <x:c r="F1671" s="4" t="str">
        <x:v>CUS-01670</x:v>
      </x:c>
      <x:c r="G1671" s="4" t="str">
        <x:v>UNIT-01670</x:v>
      </x:c>
      <x:c r="H1671" s="9" t="n">
        <x:v>19500000</x:v>
      </x:c>
      <x:c r="I1671" s="10" t="n">
        <x:v>0.08</x:v>
      </x:c>
      <x:c r="J1671" s="11" t="n">
        <x:v>5</x:v>
      </x:c>
      <x:c r="K1671" s="11" t="n">
        <x:v>5</x:v>
      </x:c>
      <x:c r="L1671" s="11" t="n">
        <x:v>1</x:v>
      </x:c>
      <x:c r="M1671" s="9" t="n">
        <x:f>ROUND(H1671*(1-I1671),2)</x:f>
        <x:v>17940000</x:v>
      </x:c>
      <x:c r="N1671" s="4" t="str">
        <x:v>Sales head</x:v>
      </x:c>
      <x:c r="O1671" s="4" t="str">
        <x:v>BOOK-01670</x:v>
      </x:c>
      <x:c r="P1671" s="9" t="n">
        <x:v>4485000</x:v>
      </x:c>
      <x:c r="Q1671" s="11" t="n">
        <x:v>0</x:v>
      </x:c>
      <x:c r="R1671" s="8" t="n">
        <x:v>45460</x:v>
      </x:c>
      <x:c r="S1671" s="4" t="str">
        <x:v>Retained</x:v>
      </x:c>
      <x:c r="T1671" s="10" t="n">
        <x:v>0.291946</x:v>
      </x:c>
      <x:c r="U1671" s="4" t="str">
        <x:v>Train</x:v>
      </x:c>
    </x:row>
    <x:row r="1672" ht="34" customHeight="1">
      <x:c r="A1672" s="4" t="str">
        <x:v>RS-01671</x:v>
      </x:c>
      <x:c r="B1672" s="8" t="n">
        <x:v>45401</x:v>
      </x:c>
      <x:c r="C1672" s="4" t="str">
        <x:v>PRJ-011</x:v>
      </x:c>
      <x:c r="D1672" s="4" t="str">
        <x:v>Villa</x:v>
      </x:c>
      <x:c r="E1672" s="4" t="str">
        <x:v>Reserved</x:v>
      </x:c>
      <x:c r="F1672" s="4" t="str">
        <x:v>CUS-01671</x:v>
      </x:c>
      <x:c r="G1672" s="4" t="str">
        <x:v>UNIT-01671</x:v>
      </x:c>
      <x:c r="H1672" s="9" t="n">
        <x:v>23300000</x:v>
      </x:c>
      <x:c r="I1672" s="10" t="n">
        <x:v>0.03</x:v>
      </x:c>
      <x:c r="J1672" s="11" t="n">
        <x:v>10</x:v>
      </x:c>
      <x:c r="K1672" s="11" t="n">
        <x:v>5</x:v>
      </x:c>
      <x:c r="L1672" s="11" t="n">
        <x:v>0</x:v>
      </x:c>
      <x:c r="M1672" s="9" t="n">
        <x:f>ROUND(H1672*(1-I1672),2)</x:f>
        <x:v>22601000</x:v>
      </x:c>
      <x:c r="N1672" s="4" t="str">
        <x:v>Sales manager</x:v>
      </x:c>
      <x:c r="O1672" s="4"/>
      <x:c r="P1672" s="9" t="n">
        <x:v>0</x:v>
      </x:c>
      <x:c r="Q1672" s="11" t="n">
        <x:v>1</x:v>
      </x:c>
      <x:c r="R1672" s="8" t="n">
        <x:v>45461</x:v>
      </x:c>
      <x:c r="S1672" s="4" t="str">
        <x:v>Lost / cancelled</x:v>
      </x:c>
      <x:c r="T1672" s="10" t="n">
        <x:v>0.310195</x:v>
      </x:c>
      <x:c r="U1672" s="4" t="str">
        <x:v>Train</x:v>
      </x:c>
    </x:row>
    <x:row r="1673" ht="34" customHeight="1">
      <x:c r="A1673" s="4" t="str">
        <x:v>RS-01672</x:v>
      </x:c>
      <x:c r="B1673" s="8" t="n">
        <x:v>45402</x:v>
      </x:c>
      <x:c r="C1673" s="4" t="str">
        <x:v>PRJ-012</x:v>
      </x:c>
      <x:c r="D1673" s="4" t="str">
        <x:v>Retail</x:v>
      </x:c>
      <x:c r="E1673" s="4" t="str">
        <x:v>Cancelled</x:v>
      </x:c>
      <x:c r="F1673" s="4" t="str">
        <x:v>CUS-01672</x:v>
      </x:c>
      <x:c r="G1673" s="4" t="str">
        <x:v>UNIT-01672</x:v>
      </x:c>
      <x:c r="H1673" s="9" t="n">
        <x:v>17000000</x:v>
      </x:c>
      <x:c r="I1673" s="10" t="n">
        <x:v>0.03</x:v>
      </x:c>
      <x:c r="J1673" s="11" t="n">
        <x:v>6</x:v>
      </x:c>
      <x:c r="K1673" s="11" t="n">
        <x:v>2</x:v>
      </x:c>
      <x:c r="L1673" s="11" t="n">
        <x:v>1</x:v>
      </x:c>
      <x:c r="M1673" s="9" t="n">
        <x:f>ROUND(H1673*(1-I1673),2)</x:f>
        <x:v>16490000</x:v>
      </x:c>
      <x:c r="N1673" s="4" t="str">
        <x:v>Sales manager</x:v>
      </x:c>
      <x:c r="O1673" s="4"/>
      <x:c r="P1673" s="9" t="n">
        <x:v>0</x:v>
      </x:c>
      <x:c r="Q1673" s="11" t="n">
        <x:v>1</x:v>
      </x:c>
      <x:c r="R1673" s="8" t="n">
        <x:v>45462</x:v>
      </x:c>
      <x:c r="S1673" s="4" t="str">
        <x:v>Lost / cancelled</x:v>
      </x:c>
      <x:c r="T1673" s="10" t="n">
        <x:v>0.298969</x:v>
      </x:c>
      <x:c r="U1673" s="4" t="str">
        <x:v>Train</x:v>
      </x:c>
    </x:row>
    <x:row r="1674" ht="34" customHeight="1">
      <x:c r="A1674" s="4" t="str">
        <x:v>RS-01673</x:v>
      </x:c>
      <x:c r="B1674" s="8" t="n">
        <x:v>45403</x:v>
      </x:c>
      <x:c r="C1674" s="4" t="str">
        <x:v>PRJ-013</x:v>
      </x:c>
      <x:c r="D1674" s="4" t="str">
        <x:v>Villa</x:v>
      </x:c>
      <x:c r="E1674" s="4" t="str">
        <x:v>Cancelled</x:v>
      </x:c>
      <x:c r="F1674" s="4" t="str">
        <x:v>CUS-01673</x:v>
      </x:c>
      <x:c r="G1674" s="4" t="str">
        <x:v>UNIT-01673</x:v>
      </x:c>
      <x:c r="H1674" s="9" t="n">
        <x:v>16000000</x:v>
      </x:c>
      <x:c r="I1674" s="10" t="n">
        <x:v>0.08</x:v>
      </x:c>
      <x:c r="J1674" s="11" t="n">
        <x:v>9</x:v>
      </x:c>
      <x:c r="K1674" s="11" t="n">
        <x:v>6</x:v>
      </x:c>
      <x:c r="L1674" s="11" t="n">
        <x:v>1</x:v>
      </x:c>
      <x:c r="M1674" s="9" t="n">
        <x:f>ROUND(H1674*(1-I1674),2)</x:f>
        <x:v>14720000</x:v>
      </x:c>
      <x:c r="N1674" s="4" t="str">
        <x:v>Sales head</x:v>
      </x:c>
      <x:c r="O1674" s="4"/>
      <x:c r="P1674" s="9" t="n">
        <x:v>0</x:v>
      </x:c>
      <x:c r="Q1674" s="11" t="n">
        <x:v>1</x:v>
      </x:c>
      <x:c r="R1674" s="8" t="n">
        <x:v>45463</x:v>
      </x:c>
      <x:c r="S1674" s="4" t="str">
        <x:v>Lost / cancelled</x:v>
      </x:c>
      <x:c r="T1674" s="10" t="n">
        <x:v>0.310195</x:v>
      </x:c>
      <x:c r="U1674" s="4" t="str">
        <x:v>Train</x:v>
      </x:c>
    </x:row>
    <x:row r="1675" ht="34" customHeight="1">
      <x:c r="A1675" s="4" t="str">
        <x:v>RS-01674</x:v>
      </x:c>
      <x:c r="B1675" s="8" t="n">
        <x:v>45404</x:v>
      </x:c>
      <x:c r="C1675" s="4" t="str">
        <x:v>PRJ-014</x:v>
      </x:c>
      <x:c r="D1675" s="4" t="str">
        <x:v>Apartment</x:v>
      </x:c>
      <x:c r="E1675" s="4" t="str">
        <x:v>Cancelled</x:v>
      </x:c>
      <x:c r="F1675" s="4" t="str">
        <x:v>CUS-01674</x:v>
      </x:c>
      <x:c r="G1675" s="4" t="str">
        <x:v>UNIT-01674</x:v>
      </x:c>
      <x:c r="H1675" s="9" t="n">
        <x:v>5100000</x:v>
      </x:c>
      <x:c r="I1675" s="10" t="n">
        <x:v>0.01</x:v>
      </x:c>
      <x:c r="J1675" s="11" t="n">
        <x:v>6</x:v>
      </x:c>
      <x:c r="K1675" s="11" t="n">
        <x:v>10</x:v>
      </x:c>
      <x:c r="L1675" s="11" t="n">
        <x:v>0</x:v>
      </x:c>
      <x:c r="M1675" s="9" t="n">
        <x:f>ROUND(H1675*(1-I1675),2)</x:f>
        <x:v>5049000</x:v>
      </x:c>
      <x:c r="N1675" s="4" t="str">
        <x:v>Sales manager</x:v>
      </x:c>
      <x:c r="O1675" s="4"/>
      <x:c r="P1675" s="9" t="n">
        <x:v>0</x:v>
      </x:c>
      <x:c r="Q1675" s="11" t="n">
        <x:v>1</x:v>
      </x:c>
      <x:c r="R1675" s="8" t="n">
        <x:v>45464</x:v>
      </x:c>
      <x:c r="S1675" s="4" t="str">
        <x:v>Lost / cancelled</x:v>
      </x:c>
      <x:c r="T1675" s="10" t="n">
        <x:v>0.145299</x:v>
      </x:c>
      <x:c r="U1675" s="4" t="str">
        <x:v>Train</x:v>
      </x:c>
    </x:row>
    <x:row r="1676" ht="34" customHeight="1">
      <x:c r="A1676" s="4" t="str">
        <x:v>RS-01675</x:v>
      </x:c>
      <x:c r="B1676" s="8" t="n">
        <x:v>45405</x:v>
      </x:c>
      <x:c r="C1676" s="4" t="str">
        <x:v>PRJ-015</x:v>
      </x:c>
      <x:c r="D1676" s="4" t="str">
        <x:v>Retail</x:v>
      </x:c>
      <x:c r="E1676" s="4" t="str">
        <x:v>Agreement signed</x:v>
      </x:c>
      <x:c r="F1676" s="4" t="str">
        <x:v>CUS-01675</x:v>
      </x:c>
      <x:c r="G1676" s="4" t="str">
        <x:v>UNIT-01675</x:v>
      </x:c>
      <x:c r="H1676" s="9" t="n">
        <x:v>22100000</x:v>
      </x:c>
      <x:c r="I1676" s="10" t="n">
        <x:v>0.1</x:v>
      </x:c>
      <x:c r="J1676" s="11" t="n">
        <x:v>6</x:v>
      </x:c>
      <x:c r="K1676" s="11" t="n">
        <x:v>10</x:v>
      </x:c>
      <x:c r="L1676" s="11" t="n">
        <x:v>1</x:v>
      </x:c>
      <x:c r="M1676" s="9" t="n">
        <x:f>ROUND(H1676*(1-I1676),2)</x:f>
        <x:v>19890000</x:v>
      </x:c>
      <x:c r="N1676" s="4" t="str">
        <x:v>Sales head</x:v>
      </x:c>
      <x:c r="O1676" s="4" t="str">
        <x:v>BOOK-01675</x:v>
      </x:c>
      <x:c r="P1676" s="9" t="n">
        <x:v>9945000</x:v>
      </x:c>
      <x:c r="Q1676" s="11" t="n">
        <x:v>0</x:v>
      </x:c>
      <x:c r="R1676" s="8" t="n">
        <x:v>45465</x:v>
      </x:c>
      <x:c r="S1676" s="4" t="str">
        <x:v>Retained</x:v>
      </x:c>
      <x:c r="T1676" s="10" t="n">
        <x:v>0.291946</x:v>
      </x:c>
      <x:c r="U1676" s="4" t="str">
        <x:v>Train</x:v>
      </x:c>
    </x:row>
    <x:row r="1677" ht="34" customHeight="1">
      <x:c r="A1677" s="4" t="str">
        <x:v>RS-01676</x:v>
      </x:c>
      <x:c r="B1677" s="8" t="n">
        <x:v>45406</x:v>
      </x:c>
      <x:c r="C1677" s="4" t="str">
        <x:v>PRJ-016</x:v>
      </x:c>
      <x:c r="D1677" s="4" t="str">
        <x:v>Retail</x:v>
      </x:c>
      <x:c r="E1677" s="4" t="str">
        <x:v>Handed over</x:v>
      </x:c>
      <x:c r="F1677" s="4" t="str">
        <x:v>CUS-01676</x:v>
      </x:c>
      <x:c r="G1677" s="4" t="str">
        <x:v>UNIT-01676</x:v>
      </x:c>
      <x:c r="H1677" s="9" t="n">
        <x:v>11100000</x:v>
      </x:c>
      <x:c r="I1677" s="10" t="n">
        <x:v>0</x:v>
      </x:c>
      <x:c r="J1677" s="11" t="n">
        <x:v>11</x:v>
      </x:c>
      <x:c r="K1677" s="11" t="n">
        <x:v>6</x:v>
      </x:c>
      <x:c r="L1677" s="11" t="n">
        <x:v>0</x:v>
      </x:c>
      <x:c r="M1677" s="9" t="n">
        <x:f>ROUND(H1677*(1-I1677),2)</x:f>
        <x:v>11100000</x:v>
      </x:c>
      <x:c r="N1677" s="4" t="str">
        <x:v>Sales manager</x:v>
      </x:c>
      <x:c r="O1677" s="4" t="str">
        <x:v>BOOK-01676</x:v>
      </x:c>
      <x:c r="P1677" s="9" t="n">
        <x:v>2775000</x:v>
      </x:c>
      <x:c r="Q1677" s="11" t="n">
        <x:v>0</x:v>
      </x:c>
      <x:c r="R1677" s="8" t="n">
        <x:v>45466</x:v>
      </x:c>
      <x:c r="S1677" s="4" t="str">
        <x:v>Retained</x:v>
      </x:c>
      <x:c r="T1677" s="10" t="n">
        <x:v>0.305556</x:v>
      </x:c>
      <x:c r="U1677" s="4" t="str">
        <x:v>Train</x:v>
      </x:c>
    </x:row>
    <x:row r="1678" ht="34" customHeight="1">
      <x:c r="A1678" s="4" t="str">
        <x:v>RS-01677</x:v>
      </x:c>
      <x:c r="B1678" s="8" t="n">
        <x:v>45407</x:v>
      </x:c>
      <x:c r="C1678" s="4" t="str">
        <x:v>PRJ-017</x:v>
      </x:c>
      <x:c r="D1678" s="4" t="str">
        <x:v>Office</x:v>
      </x:c>
      <x:c r="E1678" s="4" t="str">
        <x:v>Agreement signed</x:v>
      </x:c>
      <x:c r="F1678" s="4" t="str">
        <x:v>CUS-01677</x:v>
      </x:c>
      <x:c r="G1678" s="4" t="str">
        <x:v>UNIT-01677</x:v>
      </x:c>
      <x:c r="H1678" s="9" t="n">
        <x:v>21200000</x:v>
      </x:c>
      <x:c r="I1678" s="10" t="n">
        <x:v>0.09</x:v>
      </x:c>
      <x:c r="J1678" s="11" t="n">
        <x:v>9</x:v>
      </x:c>
      <x:c r="K1678" s="11" t="n">
        <x:v>10</x:v>
      </x:c>
      <x:c r="L1678" s="11" t="n">
        <x:v>1</x:v>
      </x:c>
      <x:c r="M1678" s="9" t="n">
        <x:f>ROUND(H1678*(1-I1678),2)</x:f>
        <x:v>19292000</x:v>
      </x:c>
      <x:c r="N1678" s="4" t="str">
        <x:v>Sales head</x:v>
      </x:c>
      <x:c r="O1678" s="4" t="str">
        <x:v>BOOK-01677</x:v>
      </x:c>
      <x:c r="P1678" s="9" t="n">
        <x:v>1929200</x:v>
      </x:c>
      <x:c r="Q1678" s="11" t="n">
        <x:v>0</x:v>
      </x:c>
      <x:c r="R1678" s="8" t="n">
        <x:v>45467</x:v>
      </x:c>
      <x:c r="S1678" s="4" t="str">
        <x:v>Retained</x:v>
      </x:c>
      <x:c r="T1678" s="10" t="n">
        <x:v>0.310195</x:v>
      </x:c>
      <x:c r="U1678" s="4" t="str">
        <x:v>Train</x:v>
      </x:c>
    </x:row>
    <x:row r="1679" ht="34" customHeight="1">
      <x:c r="A1679" s="4" t="str">
        <x:v>RS-01678</x:v>
      </x:c>
      <x:c r="B1679" s="8" t="n">
        <x:v>45408</x:v>
      </x:c>
      <x:c r="C1679" s="4" t="str">
        <x:v>PRJ-018</x:v>
      </x:c>
      <x:c r="D1679" s="4" t="str">
        <x:v>Office</x:v>
      </x:c>
      <x:c r="E1679" s="4" t="str">
        <x:v>Enquiry</x:v>
      </x:c>
      <x:c r="F1679" s="4" t="str">
        <x:v>CUS-01678</x:v>
      </x:c>
      <x:c r="G1679" s="4" t="str">
        <x:v>UNIT-01678</x:v>
      </x:c>
      <x:c r="H1679" s="9" t="n">
        <x:v>23900000</x:v>
      </x:c>
      <x:c r="I1679" s="10" t="n">
        <x:v>0.07</x:v>
      </x:c>
      <x:c r="J1679" s="11" t="n">
        <x:v>0</x:v>
      </x:c>
      <x:c r="K1679" s="11" t="n">
        <x:v>0</x:v>
      </x:c>
      <x:c r="L1679" s="11" t="n">
        <x:v>1</x:v>
      </x:c>
      <x:c r="M1679" s="9" t="n">
        <x:f>ROUND(H1679*(1-I1679),2)</x:f>
        <x:v>22227000</x:v>
      </x:c>
      <x:c r="N1679" s="4" t="str">
        <x:v>Sales manager</x:v>
      </x:c>
      <x:c r="O1679" s="4"/>
      <x:c r="P1679" s="9" t="n">
        <x:v>0</x:v>
      </x:c>
      <x:c r="Q1679" s="11" t="n">
        <x:v>0</x:v>
      </x:c>
      <x:c r="R1679" s="8" t="n">
        <x:v>45468</x:v>
      </x:c>
      <x:c r="S1679" s="4" t="str">
        <x:v>Retained</x:v>
      </x:c>
      <x:c r="T1679" s="10" t="n">
        <x:v>0.276923</x:v>
      </x:c>
      <x:c r="U1679" s="4" t="str">
        <x:v>Train</x:v>
      </x:c>
    </x:row>
    <x:row r="1680" ht="34" customHeight="1">
      <x:c r="A1680" s="4" t="str">
        <x:v>RS-01679</x:v>
      </x:c>
      <x:c r="B1680" s="8" t="n">
        <x:v>45409</x:v>
      </x:c>
      <x:c r="C1680" s="4" t="str">
        <x:v>PRJ-019</x:v>
      </x:c>
      <x:c r="D1680" s="4" t="str">
        <x:v>Apartment</x:v>
      </x:c>
      <x:c r="E1680" s="4" t="str">
        <x:v>Reserved</x:v>
      </x:c>
      <x:c r="F1680" s="4" t="str">
        <x:v>CUS-01679</x:v>
      </x:c>
      <x:c r="G1680" s="4" t="str">
        <x:v>UNIT-01679</x:v>
      </x:c>
      <x:c r="H1680" s="9" t="n">
        <x:v>6400000</x:v>
      </x:c>
      <x:c r="I1680" s="10" t="n">
        <x:v>0.1</x:v>
      </x:c>
      <x:c r="J1680" s="11" t="n">
        <x:v>10</x:v>
      </x:c>
      <x:c r="K1680" s="11" t="n">
        <x:v>4</x:v>
      </x:c>
      <x:c r="L1680" s="11" t="n">
        <x:v>1</x:v>
      </x:c>
      <x:c r="M1680" s="9" t="n">
        <x:f>ROUND(H1680*(1-I1680),2)</x:f>
        <x:v>5760000</x:v>
      </x:c>
      <x:c r="N1680" s="4" t="str">
        <x:v>Sales head</x:v>
      </x:c>
      <x:c r="O1680" s="4"/>
      <x:c r="P1680" s="9" t="n">
        <x:v>0</x:v>
      </x:c>
      <x:c r="Q1680" s="11" t="n">
        <x:v>1</x:v>
      </x:c>
      <x:c r="R1680" s="8" t="n">
        <x:v>45469</x:v>
      </x:c>
      <x:c r="S1680" s="4" t="str">
        <x:v>Lost / cancelled</x:v>
      </x:c>
      <x:c r="T1680" s="10" t="n">
        <x:v>0.310195</x:v>
      </x:c>
      <x:c r="U1680" s="4" t="str">
        <x:v>Train</x:v>
      </x:c>
    </x:row>
    <x:row r="1681" ht="34" customHeight="1">
      <x:c r="A1681" s="4" t="str">
        <x:v>RS-01680</x:v>
      </x:c>
      <x:c r="B1681" s="8" t="n">
        <x:v>45410</x:v>
      </x:c>
      <x:c r="C1681" s="4" t="str">
        <x:v>PRJ-020</x:v>
      </x:c>
      <x:c r="D1681" s="4" t="str">
        <x:v>Office</x:v>
      </x:c>
      <x:c r="E1681" s="4" t="str">
        <x:v>Reserved</x:v>
      </x:c>
      <x:c r="F1681" s="4" t="str">
        <x:v>CUS-01680</x:v>
      </x:c>
      <x:c r="G1681" s="4" t="str">
        <x:v>UNIT-01680</x:v>
      </x:c>
      <x:c r="H1681" s="9" t="n">
        <x:v>19100000</x:v>
      </x:c>
      <x:c r="I1681" s="10" t="n">
        <x:v>0.05</x:v>
      </x:c>
      <x:c r="J1681" s="11" t="n">
        <x:v>12</x:v>
      </x:c>
      <x:c r="K1681" s="11" t="n">
        <x:v>4</x:v>
      </x:c>
      <x:c r="L1681" s="11" t="n">
        <x:v>0</x:v>
      </x:c>
      <x:c r="M1681" s="9" t="n">
        <x:f>ROUND(H1681*(1-I1681),2)</x:f>
        <x:v>18145000</x:v>
      </x:c>
      <x:c r="N1681" s="4" t="str">
        <x:v>Sales manager</x:v>
      </x:c>
      <x:c r="O1681" s="4"/>
      <x:c r="P1681" s="9" t="n">
        <x:v>0</x:v>
      </x:c>
      <x:c r="Q1681" s="11" t="n">
        <x:v>1</x:v>
      </x:c>
      <x:c r="R1681" s="8" t="n">
        <x:v>45470</x:v>
      </x:c>
      <x:c r="S1681" s="4" t="str">
        <x:v>Lost / cancelled</x:v>
      </x:c>
      <x:c r="T1681" s="10" t="n">
        <x:v>0.351536</x:v>
      </x:c>
      <x:c r="U1681" s="4" t="str">
        <x:v>Train</x:v>
      </x:c>
    </x:row>
    <x:row r="1682" ht="34" customHeight="1">
      <x:c r="A1682" s="4" t="str">
        <x:v>RS-01681</x:v>
      </x:c>
      <x:c r="B1682" s="8" t="n">
        <x:v>45383</x:v>
      </x:c>
      <x:c r="C1682" s="4" t="str">
        <x:v>PRJ-001</x:v>
      </x:c>
      <x:c r="D1682" s="4" t="str">
        <x:v>Apartment</x:v>
      </x:c>
      <x:c r="E1682" s="4" t="str">
        <x:v>Agreement signed</x:v>
      </x:c>
      <x:c r="F1682" s="4" t="str">
        <x:v>CUS-01681</x:v>
      </x:c>
      <x:c r="G1682" s="4" t="str">
        <x:v>UNIT-01681</x:v>
      </x:c>
      <x:c r="H1682" s="9" t="n">
        <x:v>3900000</x:v>
      </x:c>
      <x:c r="I1682" s="10" t="n">
        <x:v>0.06</x:v>
      </x:c>
      <x:c r="J1682" s="11" t="n">
        <x:v>7</x:v>
      </x:c>
      <x:c r="K1682" s="11" t="n">
        <x:v>6</x:v>
      </x:c>
      <x:c r="L1682" s="11" t="n">
        <x:v>0</x:v>
      </x:c>
      <x:c r="M1682" s="9" t="n">
        <x:f>ROUND(H1682*(1-I1682),2)</x:f>
        <x:v>3666000</x:v>
      </x:c>
      <x:c r="N1682" s="4" t="str">
        <x:v>Sales manager</x:v>
      </x:c>
      <x:c r="O1682" s="4" t="str">
        <x:v>BOOK-01681</x:v>
      </x:c>
      <x:c r="P1682" s="9" t="n">
        <x:v>1833000</x:v>
      </x:c>
      <x:c r="Q1682" s="11" t="n">
        <x:v>0</x:v>
      </x:c>
      <x:c r="R1682" s="8" t="n">
        <x:v>45443</x:v>
      </x:c>
      <x:c r="S1682" s="4" t="str">
        <x:v>Retained</x:v>
      </x:c>
      <x:c r="T1682" s="10" t="n">
        <x:v>0.226277</x:v>
      </x:c>
      <x:c r="U1682" s="4" t="str">
        <x:v>Train</x:v>
      </x:c>
    </x:row>
    <x:row r="1683" ht="34" customHeight="1">
      <x:c r="A1683" s="4" t="str">
        <x:v>RS-01682</x:v>
      </x:c>
      <x:c r="B1683" s="8" t="n">
        <x:v>45384</x:v>
      </x:c>
      <x:c r="C1683" s="4" t="str">
        <x:v>PRJ-002</x:v>
      </x:c>
      <x:c r="D1683" s="4" t="str">
        <x:v>Office</x:v>
      </x:c>
      <x:c r="E1683" s="4" t="str">
        <x:v>Enquiry</x:v>
      </x:c>
      <x:c r="F1683" s="4" t="str">
        <x:v>CUS-01682</x:v>
      </x:c>
      <x:c r="G1683" s="4" t="str">
        <x:v>UNIT-01682</x:v>
      </x:c>
      <x:c r="H1683" s="9" t="n">
        <x:v>21000000</x:v>
      </x:c>
      <x:c r="I1683" s="10" t="n">
        <x:v>0.12</x:v>
      </x:c>
      <x:c r="J1683" s="11" t="n">
        <x:v>5</x:v>
      </x:c>
      <x:c r="K1683" s="11" t="n">
        <x:v>6</x:v>
      </x:c>
      <x:c r="L1683" s="11" t="n">
        <x:v>1</x:v>
      </x:c>
      <x:c r="M1683" s="9" t="n">
        <x:f>ROUND(H1683*(1-I1683),2)</x:f>
        <x:v>18480000</x:v>
      </x:c>
      <x:c r="N1683" s="4" t="str">
        <x:v>Sales head</x:v>
      </x:c>
      <x:c r="O1683" s="4"/>
      <x:c r="P1683" s="9" t="n">
        <x:v>0</x:v>
      </x:c>
      <x:c r="Q1683" s="11" t="n">
        <x:v>0</x:v>
      </x:c>
      <x:c r="R1683" s="8" t="n">
        <x:v>45444</x:v>
      </x:c>
      <x:c r="S1683" s="4" t="str">
        <x:v>Retained</x:v>
      </x:c>
      <x:c r="T1683" s="10" t="n">
        <x:v>0.291946</x:v>
      </x:c>
      <x:c r="U1683" s="4" t="str">
        <x:v>Train</x:v>
      </x:c>
    </x:row>
    <x:row r="1684" ht="34" customHeight="1">
      <x:c r="A1684" s="4" t="str">
        <x:v>RS-01683</x:v>
      </x:c>
      <x:c r="B1684" s="8" t="n">
        <x:v>45385</x:v>
      </x:c>
      <x:c r="C1684" s="4" t="str">
        <x:v>PRJ-003</x:v>
      </x:c>
      <x:c r="D1684" s="4" t="str">
        <x:v>Villa</x:v>
      </x:c>
      <x:c r="E1684" s="4" t="str">
        <x:v>Handed over</x:v>
      </x:c>
      <x:c r="F1684" s="4" t="str">
        <x:v>CUS-01683</x:v>
      </x:c>
      <x:c r="G1684" s="4" t="str">
        <x:v>UNIT-01683</x:v>
      </x:c>
      <x:c r="H1684" s="9" t="n">
        <x:v>14800000</x:v>
      </x:c>
      <x:c r="I1684" s="10" t="n">
        <x:v>0.11</x:v>
      </x:c>
      <x:c r="J1684" s="11" t="n">
        <x:v>3</x:v>
      </x:c>
      <x:c r="K1684" s="11" t="n">
        <x:v>2</x:v>
      </x:c>
      <x:c r="L1684" s="11" t="n">
        <x:v>0</x:v>
      </x:c>
      <x:c r="M1684" s="9" t="n">
        <x:f>ROUND(H1684*(1-I1684),2)</x:f>
        <x:v>13172000</x:v>
      </x:c>
      <x:c r="N1684" s="4" t="str">
        <x:v>Sales head</x:v>
      </x:c>
      <x:c r="O1684" s="4" t="str">
        <x:v>BOOK-01683</x:v>
      </x:c>
      <x:c r="P1684" s="9" t="n">
        <x:v>1317200</x:v>
      </x:c>
      <x:c r="Q1684" s="11" t="n">
        <x:v>0</x:v>
      </x:c>
      <x:c r="R1684" s="8" t="n">
        <x:v>45445</x:v>
      </x:c>
      <x:c r="S1684" s="4" t="str">
        <x:v>Retained</x:v>
      </x:c>
      <x:c r="T1684" s="10" t="n">
        <x:v>0.145833</x:v>
      </x:c>
      <x:c r="U1684" s="4" t="str">
        <x:v>Train</x:v>
      </x:c>
    </x:row>
    <x:row r="1685" ht="34" customHeight="1">
      <x:c r="A1685" s="4" t="str">
        <x:v>RS-01684</x:v>
      </x:c>
      <x:c r="B1685" s="8" t="n">
        <x:v>45386</x:v>
      </x:c>
      <x:c r="C1685" s="4" t="str">
        <x:v>PRJ-004</x:v>
      </x:c>
      <x:c r="D1685" s="4" t="str">
        <x:v>Villa</x:v>
      </x:c>
      <x:c r="E1685" s="4" t="str">
        <x:v>Handed over</x:v>
      </x:c>
      <x:c r="F1685" s="4" t="str">
        <x:v>CUS-01684</x:v>
      </x:c>
      <x:c r="G1685" s="4" t="str">
        <x:v>UNIT-01684</x:v>
      </x:c>
      <x:c r="H1685" s="9" t="n">
        <x:v>7200000</x:v>
      </x:c>
      <x:c r="I1685" s="10" t="n">
        <x:v>0.04</x:v>
      </x:c>
      <x:c r="J1685" s="11" t="n">
        <x:v>5</x:v>
      </x:c>
      <x:c r="K1685" s="11" t="n">
        <x:v>6</x:v>
      </x:c>
      <x:c r="L1685" s="11" t="n">
        <x:v>1</x:v>
      </x:c>
      <x:c r="M1685" s="9" t="n">
        <x:f>ROUND(H1685*(1-I1685),2)</x:f>
        <x:v>6912000</x:v>
      </x:c>
      <x:c r="N1685" s="4" t="str">
        <x:v>Sales manager</x:v>
      </x:c>
      <x:c r="O1685" s="4" t="str">
        <x:v>BOOK-01684</x:v>
      </x:c>
      <x:c r="P1685" s="9" t="n">
        <x:v>1728000</x:v>
      </x:c>
      <x:c r="Q1685" s="11" t="n">
        <x:v>0</x:v>
      </x:c>
      <x:c r="R1685" s="8" t="n">
        <x:v>45446</x:v>
      </x:c>
      <x:c r="S1685" s="4" t="str">
        <x:v>Retained</x:v>
      </x:c>
      <x:c r="T1685" s="10" t="n">
        <x:v>0.291946</x:v>
      </x:c>
      <x:c r="U1685" s="4" t="str">
        <x:v>Train</x:v>
      </x:c>
    </x:row>
    <x:row r="1686" ht="34" customHeight="1">
      <x:c r="A1686" s="4" t="str">
        <x:v>RS-01685</x:v>
      </x:c>
      <x:c r="B1686" s="8" t="n">
        <x:v>45387</x:v>
      </x:c>
      <x:c r="C1686" s="4" t="str">
        <x:v>PRJ-005</x:v>
      </x:c>
      <x:c r="D1686" s="4" t="str">
        <x:v>Office</x:v>
      </x:c>
      <x:c r="E1686" s="4" t="str">
        <x:v>Handed over</x:v>
      </x:c>
      <x:c r="F1686" s="4" t="str">
        <x:v>CUS-01685</x:v>
      </x:c>
      <x:c r="G1686" s="4" t="str">
        <x:v>UNIT-01685</x:v>
      </x:c>
      <x:c r="H1686" s="9" t="n">
        <x:v>21100000</x:v>
      </x:c>
      <x:c r="I1686" s="10" t="n">
        <x:v>0.04</x:v>
      </x:c>
      <x:c r="J1686" s="11" t="n">
        <x:v>11</x:v>
      </x:c>
      <x:c r="K1686" s="11" t="n">
        <x:v>1</x:v>
      </x:c>
      <x:c r="L1686" s="11" t="n">
        <x:v>1</x:v>
      </x:c>
      <x:c r="M1686" s="9" t="n">
        <x:f>ROUND(H1686*(1-I1686),2)</x:f>
        <x:v>20256000</x:v>
      </x:c>
      <x:c r="N1686" s="4" t="str">
        <x:v>Sales manager</x:v>
      </x:c>
      <x:c r="O1686" s="4" t="str">
        <x:v>BOOK-01685</x:v>
      </x:c>
      <x:c r="P1686" s="9" t="n">
        <x:v>10128000</x:v>
      </x:c>
      <x:c r="Q1686" s="11" t="n">
        <x:v>0</x:v>
      </x:c>
      <x:c r="R1686" s="8" t="n">
        <x:v>45447</x:v>
      </x:c>
      <x:c r="S1686" s="4" t="str">
        <x:v>Retained</x:v>
      </x:c>
      <x:c r="T1686" s="10" t="n">
        <x:v>0.351536</x:v>
      </x:c>
      <x:c r="U1686" s="4" t="str">
        <x:v>Train</x:v>
      </x:c>
    </x:row>
    <x:row r="1687" ht="34" customHeight="1">
      <x:c r="A1687" s="4" t="str">
        <x:v>RS-01686</x:v>
      </x:c>
      <x:c r="B1687" s="8" t="n">
        <x:v>45388</x:v>
      </x:c>
      <x:c r="C1687" s="4" t="str">
        <x:v>PRJ-006</x:v>
      </x:c>
      <x:c r="D1687" s="4" t="str">
        <x:v>Villa</x:v>
      </x:c>
      <x:c r="E1687" s="4" t="str">
        <x:v>Enquiry</x:v>
      </x:c>
      <x:c r="F1687" s="4" t="str">
        <x:v>CUS-01686</x:v>
      </x:c>
      <x:c r="G1687" s="4" t="str">
        <x:v>UNIT-01686</x:v>
      </x:c>
      <x:c r="H1687" s="9" t="n">
        <x:v>6500000</x:v>
      </x:c>
      <x:c r="I1687" s="10" t="n">
        <x:v>0.03</x:v>
      </x:c>
      <x:c r="J1687" s="11" t="n">
        <x:v>10</x:v>
      </x:c>
      <x:c r="K1687" s="11" t="n">
        <x:v>4</x:v>
      </x:c>
      <x:c r="L1687" s="11" t="n">
        <x:v>1</x:v>
      </x:c>
      <x:c r="M1687" s="9" t="n">
        <x:f>ROUND(H1687*(1-I1687),2)</x:f>
        <x:v>6305000</x:v>
      </x:c>
      <x:c r="N1687" s="4" t="str">
        <x:v>Sales manager</x:v>
      </x:c>
      <x:c r="O1687" s="4"/>
      <x:c r="P1687" s="9" t="n">
        <x:v>0</x:v>
      </x:c>
      <x:c r="Q1687" s="11" t="n">
        <x:v>1</x:v>
      </x:c>
      <x:c r="R1687" s="8" t="n">
        <x:v>45448</x:v>
      </x:c>
      <x:c r="S1687" s="4" t="str">
        <x:v>Lost / cancelled</x:v>
      </x:c>
      <x:c r="T1687" s="10" t="n">
        <x:v>0.310195</x:v>
      </x:c>
      <x:c r="U1687" s="4" t="str">
        <x:v>Train</x:v>
      </x:c>
    </x:row>
    <x:row r="1688" ht="34" customHeight="1">
      <x:c r="A1688" s="4" t="str">
        <x:v>RS-01687</x:v>
      </x:c>
      <x:c r="B1688" s="8" t="n">
        <x:v>45389</x:v>
      </x:c>
      <x:c r="C1688" s="4" t="str">
        <x:v>PRJ-007</x:v>
      </x:c>
      <x:c r="D1688" s="4" t="str">
        <x:v>Retail</x:v>
      </x:c>
      <x:c r="E1688" s="4" t="str">
        <x:v>Handed over</x:v>
      </x:c>
      <x:c r="F1688" s="4" t="str">
        <x:v>CUS-01687</x:v>
      </x:c>
      <x:c r="G1688" s="4" t="str">
        <x:v>UNIT-01687</x:v>
      </x:c>
      <x:c r="H1688" s="9" t="n">
        <x:v>15400000</x:v>
      </x:c>
      <x:c r="I1688" s="10" t="n">
        <x:v>0.03</x:v>
      </x:c>
      <x:c r="J1688" s="11" t="n">
        <x:v>0</x:v>
      </x:c>
      <x:c r="K1688" s="11" t="n">
        <x:v>9</x:v>
      </x:c>
      <x:c r="L1688" s="11" t="n">
        <x:v>1</x:v>
      </x:c>
      <x:c r="M1688" s="9" t="n">
        <x:f>ROUND(H1688*(1-I1688),2)</x:f>
        <x:v>14938000</x:v>
      </x:c>
      <x:c r="N1688" s="4" t="str">
        <x:v>Sales manager</x:v>
      </x:c>
      <x:c r="O1688" s="4" t="str">
        <x:v>BOOK-01687</x:v>
      </x:c>
      <x:c r="P1688" s="9" t="n">
        <x:v>3734500</x:v>
      </x:c>
      <x:c r="Q1688" s="11" t="n">
        <x:v>0</x:v>
      </x:c>
      <x:c r="R1688" s="8" t="n">
        <x:v>45449</x:v>
      </x:c>
      <x:c r="S1688" s="4" t="str">
        <x:v>Retained</x:v>
      </x:c>
      <x:c r="T1688" s="10" t="n">
        <x:v>0.072165</x:v>
      </x:c>
      <x:c r="U1688" s="4" t="str">
        <x:v>Train</x:v>
      </x:c>
    </x:row>
    <x:row r="1689" ht="34" customHeight="1">
      <x:c r="A1689" s="4" t="str">
        <x:v>RS-01688</x:v>
      </x:c>
      <x:c r="B1689" s="8" t="n">
        <x:v>45390</x:v>
      </x:c>
      <x:c r="C1689" s="4" t="str">
        <x:v>PRJ-008</x:v>
      </x:c>
      <x:c r="D1689" s="4" t="str">
        <x:v>Villa</x:v>
      </x:c>
      <x:c r="E1689" s="4" t="str">
        <x:v>Cancelled</x:v>
      </x:c>
      <x:c r="F1689" s="4" t="str">
        <x:v>CUS-01688</x:v>
      </x:c>
      <x:c r="G1689" s="4" t="str">
        <x:v>UNIT-01688</x:v>
      </x:c>
      <x:c r="H1689" s="9" t="n">
        <x:v>9600000</x:v>
      </x:c>
      <x:c r="I1689" s="10" t="n">
        <x:v>0.11</x:v>
      </x:c>
      <x:c r="J1689" s="11" t="n">
        <x:v>5</x:v>
      </x:c>
      <x:c r="K1689" s="11" t="n">
        <x:v>10</x:v>
      </x:c>
      <x:c r="L1689" s="11" t="n">
        <x:v>1</x:v>
      </x:c>
      <x:c r="M1689" s="9" t="n">
        <x:f>ROUND(H1689*(1-I1689),2)</x:f>
        <x:v>8544000</x:v>
      </x:c>
      <x:c r="N1689" s="4" t="str">
        <x:v>Sales head</x:v>
      </x:c>
      <x:c r="O1689" s="4"/>
      <x:c r="P1689" s="9" t="n">
        <x:v>0</x:v>
      </x:c>
      <x:c r="Q1689" s="11" t="n">
        <x:v>1</x:v>
      </x:c>
      <x:c r="R1689" s="8" t="n">
        <x:v>45450</x:v>
      </x:c>
      <x:c r="S1689" s="4" t="str">
        <x:v>Lost / cancelled</x:v>
      </x:c>
      <x:c r="T1689" s="10" t="n">
        <x:v>0.291946</x:v>
      </x:c>
      <x:c r="U1689" s="4" t="str">
        <x:v>Train</x:v>
      </x:c>
    </x:row>
    <x:row r="1690" ht="34" customHeight="1">
      <x:c r="A1690" s="4" t="str">
        <x:v>RS-01689</x:v>
      </x:c>
      <x:c r="B1690" s="8" t="n">
        <x:v>45391</x:v>
      </x:c>
      <x:c r="C1690" s="4" t="str">
        <x:v>PRJ-009</x:v>
      </x:c>
      <x:c r="D1690" s="4" t="str">
        <x:v>Office</x:v>
      </x:c>
      <x:c r="E1690" s="4" t="str">
        <x:v>Agreement signed</x:v>
      </x:c>
      <x:c r="F1690" s="4" t="str">
        <x:v>CUS-01689</x:v>
      </x:c>
      <x:c r="G1690" s="4" t="str">
        <x:v>UNIT-01689</x:v>
      </x:c>
      <x:c r="H1690" s="9" t="n">
        <x:v>8900000</x:v>
      </x:c>
      <x:c r="I1690" s="10" t="n">
        <x:v>0.08</x:v>
      </x:c>
      <x:c r="J1690" s="11" t="n">
        <x:v>4</x:v>
      </x:c>
      <x:c r="K1690" s="11" t="n">
        <x:v>8</x:v>
      </x:c>
      <x:c r="L1690" s="11" t="n">
        <x:v>1</x:v>
      </x:c>
      <x:c r="M1690" s="9" t="n">
        <x:f>ROUND(H1690*(1-I1690),2)</x:f>
        <x:v>8188000</x:v>
      </x:c>
      <x:c r="N1690" s="4" t="str">
        <x:v>Sales head</x:v>
      </x:c>
      <x:c r="O1690" s="4" t="str">
        <x:v>BOOK-01689</x:v>
      </x:c>
      <x:c r="P1690" s="9" t="n">
        <x:v>818800</x:v>
      </x:c>
      <x:c r="Q1690" s="11" t="n">
        <x:v>0</x:v>
      </x:c>
      <x:c r="R1690" s="8" t="n">
        <x:v>45451</x:v>
      </x:c>
      <x:c r="S1690" s="4" t="str">
        <x:v>Retained</x:v>
      </x:c>
      <x:c r="T1690" s="10" t="n">
        <x:v>0.291946</x:v>
      </x:c>
      <x:c r="U1690" s="4" t="str">
        <x:v>Train</x:v>
      </x:c>
    </x:row>
    <x:row r="1691" ht="34" customHeight="1">
      <x:c r="A1691" s="4" t="str">
        <x:v>RS-01690</x:v>
      </x:c>
      <x:c r="B1691" s="8" t="n">
        <x:v>45392</x:v>
      </x:c>
      <x:c r="C1691" s="4" t="str">
        <x:v>PRJ-010</x:v>
      </x:c>
      <x:c r="D1691" s="4" t="str">
        <x:v>Apartment</x:v>
      </x:c>
      <x:c r="E1691" s="4" t="str">
        <x:v>Handed over</x:v>
      </x:c>
      <x:c r="F1691" s="4" t="str">
        <x:v>CUS-01690</x:v>
      </x:c>
      <x:c r="G1691" s="4" t="str">
        <x:v>UNIT-01690</x:v>
      </x:c>
      <x:c r="H1691" s="9" t="n">
        <x:v>9700000</x:v>
      </x:c>
      <x:c r="I1691" s="10" t="n">
        <x:v>0.11</x:v>
      </x:c>
      <x:c r="J1691" s="11" t="n">
        <x:v>4</x:v>
      </x:c>
      <x:c r="K1691" s="11" t="n">
        <x:v>1</x:v>
      </x:c>
      <x:c r="L1691" s="11" t="n">
        <x:v>1</x:v>
      </x:c>
      <x:c r="M1691" s="9" t="n">
        <x:f>ROUND(H1691*(1-I1691),2)</x:f>
        <x:v>8633000</x:v>
      </x:c>
      <x:c r="N1691" s="4" t="str">
        <x:v>Sales head</x:v>
      </x:c>
      <x:c r="O1691" s="4" t="str">
        <x:v>BOOK-01690</x:v>
      </x:c>
      <x:c r="P1691" s="9" t="n">
        <x:v>8633000</x:v>
      </x:c>
      <x:c r="Q1691" s="11" t="n">
        <x:v>0</x:v>
      </x:c>
      <x:c r="R1691" s="8" t="n">
        <x:v>45452</x:v>
      </x:c>
      <x:c r="S1691" s="4" t="str">
        <x:v>Retained</x:v>
      </x:c>
      <x:c r="T1691" s="10" t="n">
        <x:v>0.291946</x:v>
      </x:c>
      <x:c r="U1691" s="4" t="str">
        <x:v>Train</x:v>
      </x:c>
    </x:row>
    <x:row r="1692" ht="34" customHeight="1">
      <x:c r="A1692" s="4" t="str">
        <x:v>RS-01691</x:v>
      </x:c>
      <x:c r="B1692" s="8" t="n">
        <x:v>45393</x:v>
      </x:c>
      <x:c r="C1692" s="4" t="str">
        <x:v>PRJ-011</x:v>
      </x:c>
      <x:c r="D1692" s="4" t="str">
        <x:v>Office</x:v>
      </x:c>
      <x:c r="E1692" s="4" t="str">
        <x:v>Reserved</x:v>
      </x:c>
      <x:c r="F1692" s="4" t="str">
        <x:v>CUS-01691</x:v>
      </x:c>
      <x:c r="G1692" s="4" t="str">
        <x:v>UNIT-01691</x:v>
      </x:c>
      <x:c r="H1692" s="9" t="n">
        <x:v>15500000</x:v>
      </x:c>
      <x:c r="I1692" s="10" t="n">
        <x:v>0.08</x:v>
      </x:c>
      <x:c r="J1692" s="11" t="n">
        <x:v>0</x:v>
      </x:c>
      <x:c r="K1692" s="11" t="n">
        <x:v>5</x:v>
      </x:c>
      <x:c r="L1692" s="11" t="n">
        <x:v>1</x:v>
      </x:c>
      <x:c r="M1692" s="9" t="n">
        <x:f>ROUND(H1692*(1-I1692),2)</x:f>
        <x:v>14260000</x:v>
      </x:c>
      <x:c r="N1692" s="4" t="str">
        <x:v>Sales head</x:v>
      </x:c>
      <x:c r="O1692" s="4"/>
      <x:c r="P1692" s="9" t="n">
        <x:v>0</x:v>
      </x:c>
      <x:c r="Q1692" s="11" t="n">
        <x:v>0</x:v>
      </x:c>
      <x:c r="R1692" s="8" t="n">
        <x:v>45453</x:v>
      </x:c>
      <x:c r="S1692" s="4" t="str">
        <x:v>Retained</x:v>
      </x:c>
      <x:c r="T1692" s="10" t="n">
        <x:v>0.204152</x:v>
      </x:c>
      <x:c r="U1692" s="4" t="str">
        <x:v>Train</x:v>
      </x:c>
    </x:row>
    <x:row r="1693" ht="34" customHeight="1">
      <x:c r="A1693" s="4" t="str">
        <x:v>RS-01692</x:v>
      </x:c>
      <x:c r="B1693" s="8" t="n">
        <x:v>45394</x:v>
      </x:c>
      <x:c r="C1693" s="4" t="str">
        <x:v>PRJ-012</x:v>
      </x:c>
      <x:c r="D1693" s="4" t="str">
        <x:v>Villa</x:v>
      </x:c>
      <x:c r="E1693" s="4" t="str">
        <x:v>Reserved</x:v>
      </x:c>
      <x:c r="F1693" s="4" t="str">
        <x:v>CUS-01692</x:v>
      </x:c>
      <x:c r="G1693" s="4" t="str">
        <x:v>UNIT-01692</x:v>
      </x:c>
      <x:c r="H1693" s="9" t="n">
        <x:v>23000000</x:v>
      </x:c>
      <x:c r="I1693" s="10" t="n">
        <x:v>0</x:v>
      </x:c>
      <x:c r="J1693" s="11" t="n">
        <x:v>6</x:v>
      </x:c>
      <x:c r="K1693" s="11" t="n">
        <x:v>4</x:v>
      </x:c>
      <x:c r="L1693" s="11" t="n">
        <x:v>0</x:v>
      </x:c>
      <x:c r="M1693" s="9" t="n">
        <x:f>ROUND(H1693*(1-I1693),2)</x:f>
        <x:v>23000000</x:v>
      </x:c>
      <x:c r="N1693" s="4" t="str">
        <x:v>Sales manager</x:v>
      </x:c>
      <x:c r="O1693" s="4"/>
      <x:c r="P1693" s="9" t="n">
        <x:v>0</x:v>
      </x:c>
      <x:c r="Q1693" s="11" t="n">
        <x:v>1</x:v>
      </x:c>
      <x:c r="R1693" s="8" t="n">
        <x:v>45454</x:v>
      </x:c>
      <x:c r="S1693" s="4" t="str">
        <x:v>Lost / cancelled</x:v>
      </x:c>
      <x:c r="T1693" s="10" t="n">
        <x:v>0.298969</x:v>
      </x:c>
      <x:c r="U1693" s="4" t="str">
        <x:v>Train</x:v>
      </x:c>
    </x:row>
    <x:row r="1694" ht="34" customHeight="1">
      <x:c r="A1694" s="4" t="str">
        <x:v>RS-01693</x:v>
      </x:c>
      <x:c r="B1694" s="8" t="n">
        <x:v>45395</x:v>
      </x:c>
      <x:c r="C1694" s="4" t="str">
        <x:v>PRJ-013</x:v>
      </x:c>
      <x:c r="D1694" s="4" t="str">
        <x:v>Retail</x:v>
      </x:c>
      <x:c r="E1694" s="4" t="str">
        <x:v>Enquiry</x:v>
      </x:c>
      <x:c r="F1694" s="4" t="str">
        <x:v>CUS-01693</x:v>
      </x:c>
      <x:c r="G1694" s="4" t="str">
        <x:v>UNIT-01693</x:v>
      </x:c>
      <x:c r="H1694" s="9" t="n">
        <x:v>16300000</x:v>
      </x:c>
      <x:c r="I1694" s="10" t="n">
        <x:v>0.08</x:v>
      </x:c>
      <x:c r="J1694" s="11" t="n">
        <x:v>3</x:v>
      </x:c>
      <x:c r="K1694" s="11" t="n">
        <x:v>6</x:v>
      </x:c>
      <x:c r="L1694" s="11" t="n">
        <x:v>0</x:v>
      </x:c>
      <x:c r="M1694" s="9" t="n">
        <x:f>ROUND(H1694*(1-I1694),2)</x:f>
        <x:v>14996000</x:v>
      </x:c>
      <x:c r="N1694" s="4" t="str">
        <x:v>Sales head</x:v>
      </x:c>
      <x:c r="O1694" s="4"/>
      <x:c r="P1694" s="9" t="n">
        <x:v>0</x:v>
      </x:c>
      <x:c r="Q1694" s="11" t="n">
        <x:v>0</x:v>
      </x:c>
      <x:c r="R1694" s="8" t="n">
        <x:v>45455</x:v>
      </x:c>
      <x:c r="S1694" s="4" t="str">
        <x:v>Retained</x:v>
      </x:c>
      <x:c r="T1694" s="10" t="n">
        <x:v>0.204152</x:v>
      </x:c>
      <x:c r="U1694" s="4" t="str">
        <x:v>Train</x:v>
      </x:c>
    </x:row>
    <x:row r="1695" ht="34" customHeight="1">
      <x:c r="A1695" s="4" t="str">
        <x:v>RS-01694</x:v>
      </x:c>
      <x:c r="B1695" s="8" t="n">
        <x:v>45396</x:v>
      </x:c>
      <x:c r="C1695" s="4" t="str">
        <x:v>PRJ-014</x:v>
      </x:c>
      <x:c r="D1695" s="4" t="str">
        <x:v>Office</x:v>
      </x:c>
      <x:c r="E1695" s="4" t="str">
        <x:v>Reserved</x:v>
      </x:c>
      <x:c r="F1695" s="4" t="str">
        <x:v>CUS-01694</x:v>
      </x:c>
      <x:c r="G1695" s="4" t="str">
        <x:v>UNIT-01694</x:v>
      </x:c>
      <x:c r="H1695" s="9" t="n">
        <x:v>11000000</x:v>
      </x:c>
      <x:c r="I1695" s="10" t="n">
        <x:v>0.04</x:v>
      </x:c>
      <x:c r="J1695" s="11" t="n">
        <x:v>1</x:v>
      </x:c>
      <x:c r="K1695" s="11" t="n">
        <x:v>6</x:v>
      </x:c>
      <x:c r="L1695" s="11" t="n">
        <x:v>0</x:v>
      </x:c>
      <x:c r="M1695" s="9" t="n">
        <x:f>ROUND(H1695*(1-I1695),2)</x:f>
        <x:v>10560000</x:v>
      </x:c>
      <x:c r="N1695" s="4" t="str">
        <x:v>Sales manager</x:v>
      </x:c>
      <x:c r="O1695" s="4"/>
      <x:c r="P1695" s="9" t="n">
        <x:v>0</x:v>
      </x:c>
      <x:c r="Q1695" s="11" t="n">
        <x:v>0</x:v>
      </x:c>
      <x:c r="R1695" s="8" t="n">
        <x:v>45456</x:v>
      </x:c>
      <x:c r="S1695" s="4" t="str">
        <x:v>Retained</x:v>
      </x:c>
      <x:c r="T1695" s="10" t="n">
        <x:v>0.204152</x:v>
      </x:c>
      <x:c r="U1695" s="4" t="str">
        <x:v>Train</x:v>
      </x:c>
    </x:row>
    <x:row r="1696" ht="34" customHeight="1">
      <x:c r="A1696" s="4" t="str">
        <x:v>RS-01695</x:v>
      </x:c>
      <x:c r="B1696" s="8" t="n">
        <x:v>45397</x:v>
      </x:c>
      <x:c r="C1696" s="4" t="str">
        <x:v>PRJ-015</x:v>
      </x:c>
      <x:c r="D1696" s="4" t="str">
        <x:v>Office</x:v>
      </x:c>
      <x:c r="E1696" s="4" t="str">
        <x:v>Booked</x:v>
      </x:c>
      <x:c r="F1696" s="4" t="str">
        <x:v>CUS-01695</x:v>
      </x:c>
      <x:c r="G1696" s="4" t="str">
        <x:v>UNIT-01695</x:v>
      </x:c>
      <x:c r="H1696" s="9" t="n">
        <x:v>23500000</x:v>
      </x:c>
      <x:c r="I1696" s="10" t="n">
        <x:v>0.02</x:v>
      </x:c>
      <x:c r="J1696" s="11" t="n">
        <x:v>11</x:v>
      </x:c>
      <x:c r="K1696" s="11" t="n">
        <x:v>3</x:v>
      </x:c>
      <x:c r="L1696" s="11" t="n">
        <x:v>1</x:v>
      </x:c>
      <x:c r="M1696" s="9" t="n">
        <x:f>ROUND(H1696*(1-I1696),2)</x:f>
        <x:v>23030000</x:v>
      </x:c>
      <x:c r="N1696" s="4" t="str">
        <x:v>Sales manager</x:v>
      </x:c>
      <x:c r="O1696" s="4" t="str">
        <x:v>BOOK-01695</x:v>
      </x:c>
      <x:c r="P1696" s="9" t="n">
        <x:v>5757500</x:v>
      </x:c>
      <x:c r="Q1696" s="11" t="n">
        <x:v>0</x:v>
      </x:c>
      <x:c r="R1696" s="8" t="n">
        <x:v>45457</x:v>
      </x:c>
      <x:c r="S1696" s="4" t="str">
        <x:v>Retained</x:v>
      </x:c>
      <x:c r="T1696" s="10" t="n">
        <x:v>0.254545</x:v>
      </x:c>
      <x:c r="U1696" s="4" t="str">
        <x:v>Train</x:v>
      </x:c>
    </x:row>
    <x:row r="1697" ht="34" customHeight="1">
      <x:c r="A1697" s="4" t="str">
        <x:v>RS-01696</x:v>
      </x:c>
      <x:c r="B1697" s="8" t="n">
        <x:v>45398</x:v>
      </x:c>
      <x:c r="C1697" s="4" t="str">
        <x:v>PRJ-016</x:v>
      </x:c>
      <x:c r="D1697" s="4" t="str">
        <x:v>Apartment</x:v>
      </x:c>
      <x:c r="E1697" s="4" t="str">
        <x:v>Reserved</x:v>
      </x:c>
      <x:c r="F1697" s="4" t="str">
        <x:v>CUS-01696</x:v>
      </x:c>
      <x:c r="G1697" s="4" t="str">
        <x:v>UNIT-01696</x:v>
      </x:c>
      <x:c r="H1697" s="9" t="n">
        <x:v>7400000</x:v>
      </x:c>
      <x:c r="I1697" s="10" t="n">
        <x:v>0.11</x:v>
      </x:c>
      <x:c r="J1697" s="11" t="n">
        <x:v>1</x:v>
      </x:c>
      <x:c r="K1697" s="11" t="n">
        <x:v>9</x:v>
      </x:c>
      <x:c r="L1697" s="11" t="n">
        <x:v>0</x:v>
      </x:c>
      <x:c r="M1697" s="9" t="n">
        <x:f>ROUND(H1697*(1-I1697),2)</x:f>
        <x:v>6586000</x:v>
      </x:c>
      <x:c r="N1697" s="4" t="str">
        <x:v>Sales head</x:v>
      </x:c>
      <x:c r="O1697" s="4"/>
      <x:c r="P1697" s="9" t="n">
        <x:v>0</x:v>
      </x:c>
      <x:c r="Q1697" s="11" t="n">
        <x:v>0</x:v>
      </x:c>
      <x:c r="R1697" s="8" t="n">
        <x:v>45458</x:v>
      </x:c>
      <x:c r="S1697" s="4" t="str">
        <x:v>Retained</x:v>
      </x:c>
      <x:c r="T1697" s="10" t="n">
        <x:v>0.145833</x:v>
      </x:c>
      <x:c r="U1697" s="4" t="str">
        <x:v>Train</x:v>
      </x:c>
    </x:row>
    <x:row r="1698" ht="34" customHeight="1">
      <x:c r="A1698" s="4" t="str">
        <x:v>RS-01697</x:v>
      </x:c>
      <x:c r="B1698" s="8" t="n">
        <x:v>45399</x:v>
      </x:c>
      <x:c r="C1698" s="4" t="str">
        <x:v>PRJ-017</x:v>
      </x:c>
      <x:c r="D1698" s="4" t="str">
        <x:v>Retail</x:v>
      </x:c>
      <x:c r="E1698" s="4" t="str">
        <x:v>Booked</x:v>
      </x:c>
      <x:c r="F1698" s="4" t="str">
        <x:v>CUS-01697</x:v>
      </x:c>
      <x:c r="G1698" s="4" t="str">
        <x:v>UNIT-01697</x:v>
      </x:c>
      <x:c r="H1698" s="9" t="n">
        <x:v>3200000</x:v>
      </x:c>
      <x:c r="I1698" s="10" t="n">
        <x:v>0.12</x:v>
      </x:c>
      <x:c r="J1698" s="11" t="n">
        <x:v>4</x:v>
      </x:c>
      <x:c r="K1698" s="11" t="n">
        <x:v>8</x:v>
      </x:c>
      <x:c r="L1698" s="11" t="n">
        <x:v>0</x:v>
      </x:c>
      <x:c r="M1698" s="9" t="n">
        <x:f>ROUND(H1698*(1-I1698),2)</x:f>
        <x:v>2816000</x:v>
      </x:c>
      <x:c r="N1698" s="4" t="str">
        <x:v>Sales head</x:v>
      </x:c>
      <x:c r="O1698" s="4" t="str">
        <x:v>BOOK-01697</x:v>
      </x:c>
      <x:c r="P1698" s="9" t="n">
        <x:v>2816000</x:v>
      </x:c>
      <x:c r="Q1698" s="11" t="n">
        <x:v>0</x:v>
      </x:c>
      <x:c r="R1698" s="8" t="n">
        <x:v>45459</x:v>
      </x:c>
      <x:c r="S1698" s="4" t="str">
        <x:v>Retained</x:v>
      </x:c>
      <x:c r="T1698" s="10" t="n">
        <x:v>0.226277</x:v>
      </x:c>
      <x:c r="U1698" s="4" t="str">
        <x:v>Train</x:v>
      </x:c>
    </x:row>
    <x:row r="1699" ht="34" customHeight="1">
      <x:c r="A1699" s="4" t="str">
        <x:v>RS-01698</x:v>
      </x:c>
      <x:c r="B1699" s="8" t="n">
        <x:v>45400</x:v>
      </x:c>
      <x:c r="C1699" s="4" t="str">
        <x:v>PRJ-018</x:v>
      </x:c>
      <x:c r="D1699" s="4" t="str">
        <x:v>Retail</x:v>
      </x:c>
      <x:c r="E1699" s="4" t="str">
        <x:v>Enquiry</x:v>
      </x:c>
      <x:c r="F1699" s="4" t="str">
        <x:v>CUS-01698</x:v>
      </x:c>
      <x:c r="G1699" s="4" t="str">
        <x:v>UNIT-01698</x:v>
      </x:c>
      <x:c r="H1699" s="9" t="n">
        <x:v>16000000</x:v>
      </x:c>
      <x:c r="I1699" s="10" t="n">
        <x:v>0.04</x:v>
      </x:c>
      <x:c r="J1699" s="11" t="n">
        <x:v>0</x:v>
      </x:c>
      <x:c r="K1699" s="11" t="n">
        <x:v>1</x:v>
      </x:c>
      <x:c r="L1699" s="11" t="n">
        <x:v>1</x:v>
      </x:c>
      <x:c r="M1699" s="9" t="n">
        <x:f>ROUND(H1699*(1-I1699),2)</x:f>
        <x:v>15360000</x:v>
      </x:c>
      <x:c r="N1699" s="4" t="str">
        <x:v>Sales manager</x:v>
      </x:c>
      <x:c r="O1699" s="4"/>
      <x:c r="P1699" s="9" t="n">
        <x:v>0</x:v>
      </x:c>
      <x:c r="Q1699" s="11" t="n">
        <x:v>0</x:v>
      </x:c>
      <x:c r="R1699" s="8" t="n">
        <x:v>45460</x:v>
      </x:c>
      <x:c r="S1699" s="4" t="str">
        <x:v>Retained</x:v>
      </x:c>
      <x:c r="T1699" s="10" t="n">
        <x:v>0.204152</x:v>
      </x:c>
      <x:c r="U1699" s="4" t="str">
        <x:v>Train</x:v>
      </x:c>
    </x:row>
    <x:row r="1700" ht="34" customHeight="1">
      <x:c r="A1700" s="4" t="str">
        <x:v>RS-01699</x:v>
      </x:c>
      <x:c r="B1700" s="8" t="n">
        <x:v>45401</x:v>
      </x:c>
      <x:c r="C1700" s="4" t="str">
        <x:v>PRJ-019</x:v>
      </x:c>
      <x:c r="D1700" s="4" t="str">
        <x:v>Retail</x:v>
      </x:c>
      <x:c r="E1700" s="4" t="str">
        <x:v>Agreement signed</x:v>
      </x:c>
      <x:c r="F1700" s="4" t="str">
        <x:v>CUS-01699</x:v>
      </x:c>
      <x:c r="G1700" s="4" t="str">
        <x:v>UNIT-01699</x:v>
      </x:c>
      <x:c r="H1700" s="9" t="n">
        <x:v>8000000</x:v>
      </x:c>
      <x:c r="I1700" s="10" t="n">
        <x:v>0.04</x:v>
      </x:c>
      <x:c r="J1700" s="11" t="n">
        <x:v>4</x:v>
      </x:c>
      <x:c r="K1700" s="11" t="n">
        <x:v>3</x:v>
      </x:c>
      <x:c r="L1700" s="11" t="n">
        <x:v>0</x:v>
      </x:c>
      <x:c r="M1700" s="9" t="n">
        <x:f>ROUND(H1700*(1-I1700),2)</x:f>
        <x:v>7680000</x:v>
      </x:c>
      <x:c r="N1700" s="4" t="str">
        <x:v>Sales manager</x:v>
      </x:c>
      <x:c r="O1700" s="4" t="str">
        <x:v>BOOK-01699</x:v>
      </x:c>
      <x:c r="P1700" s="9" t="n">
        <x:v>768000</x:v>
      </x:c>
      <x:c r="Q1700" s="11" t="n">
        <x:v>0</x:v>
      </x:c>
      <x:c r="R1700" s="8" t="n">
        <x:v>45461</x:v>
      </x:c>
      <x:c r="S1700" s="4" t="str">
        <x:v>Retained</x:v>
      </x:c>
      <x:c r="T1700" s="10" t="n">
        <x:v>0.226277</x:v>
      </x:c>
      <x:c r="U1700" s="4" t="str">
        <x:v>Train</x:v>
      </x:c>
    </x:row>
    <x:row r="1701" ht="34" customHeight="1">
      <x:c r="A1701" s="4" t="str">
        <x:v>RS-01700</x:v>
      </x:c>
      <x:c r="B1701" s="8" t="n">
        <x:v>45402</x:v>
      </x:c>
      <x:c r="C1701" s="4" t="str">
        <x:v>PRJ-020</x:v>
      </x:c>
      <x:c r="D1701" s="4" t="str">
        <x:v>Retail</x:v>
      </x:c>
      <x:c r="E1701" s="4" t="str">
        <x:v>Handed over</x:v>
      </x:c>
      <x:c r="F1701" s="4" t="str">
        <x:v>CUS-01700</x:v>
      </x:c>
      <x:c r="G1701" s="4" t="str">
        <x:v>UNIT-01700</x:v>
      </x:c>
      <x:c r="H1701" s="9" t="n">
        <x:v>10100000</x:v>
      </x:c>
      <x:c r="I1701" s="10" t="n">
        <x:v>0.02</x:v>
      </x:c>
      <x:c r="J1701" s="11" t="n">
        <x:v>8</x:v>
      </x:c>
      <x:c r="K1701" s="11" t="n">
        <x:v>6</x:v>
      </x:c>
      <x:c r="L1701" s="11" t="n">
        <x:v>0</x:v>
      </x:c>
      <x:c r="M1701" s="9" t="n">
        <x:f>ROUND(H1701*(1-I1701),2)</x:f>
        <x:v>9898000</x:v>
      </x:c>
      <x:c r="N1701" s="4" t="str">
        <x:v>Sales manager</x:v>
      </x:c>
      <x:c r="O1701" s="4" t="str">
        <x:v>BOOK-01700</x:v>
      </x:c>
      <x:c r="P1701" s="9" t="n">
        <x:v>4949000</x:v>
      </x:c>
      <x:c r="Q1701" s="11" t="n">
        <x:v>0</x:v>
      </x:c>
      <x:c r="R1701" s="8" t="n">
        <x:v>45462</x:v>
      </x:c>
      <x:c r="S1701" s="4" t="str">
        <x:v>Retained</x:v>
      </x:c>
      <x:c r="T1701" s="10" t="n">
        <x:v>0.305556</x:v>
      </x:c>
      <x:c r="U1701" s="4" t="str">
        <x:v>Train</x:v>
      </x:c>
    </x:row>
    <x:row r="1702" ht="34" customHeight="1">
      <x:c r="A1702" s="4" t="str">
        <x:v>RS-01701</x:v>
      </x:c>
      <x:c r="B1702" s="8" t="n">
        <x:v>45403</x:v>
      </x:c>
      <x:c r="C1702" s="4" t="str">
        <x:v>PRJ-001</x:v>
      </x:c>
      <x:c r="D1702" s="4" t="str">
        <x:v>Villa</x:v>
      </x:c>
      <x:c r="E1702" s="4" t="str">
        <x:v>Agreement signed</x:v>
      </x:c>
      <x:c r="F1702" s="4" t="str">
        <x:v>CUS-01701</x:v>
      </x:c>
      <x:c r="G1702" s="4" t="str">
        <x:v>UNIT-01701</x:v>
      </x:c>
      <x:c r="H1702" s="9" t="n">
        <x:v>13300000</x:v>
      </x:c>
      <x:c r="I1702" s="10" t="n">
        <x:v>0.06</x:v>
      </x:c>
      <x:c r="J1702" s="11" t="n">
        <x:v>3</x:v>
      </x:c>
      <x:c r="K1702" s="11" t="n">
        <x:v>8</x:v>
      </x:c>
      <x:c r="L1702" s="11" t="n">
        <x:v>1</x:v>
      </x:c>
      <x:c r="M1702" s="9" t="n">
        <x:f>ROUND(H1702*(1-I1702),2)</x:f>
        <x:v>12502000</x:v>
      </x:c>
      <x:c r="N1702" s="4" t="str">
        <x:v>Sales manager</x:v>
      </x:c>
      <x:c r="O1702" s="4" t="str">
        <x:v>BOOK-01701</x:v>
      </x:c>
      <x:c r="P1702" s="9" t="n">
        <x:v>6251000</x:v>
      </x:c>
      <x:c r="Q1702" s="11" t="n">
        <x:v>0</x:v>
      </x:c>
      <x:c r="R1702" s="8" t="n">
        <x:v>45463</x:v>
      </x:c>
      <x:c r="S1702" s="4" t="str">
        <x:v>Retained</x:v>
      </x:c>
      <x:c r="T1702" s="10" t="n">
        <x:v>0.204152</x:v>
      </x:c>
      <x:c r="U1702" s="4" t="str">
        <x:v>Train</x:v>
      </x:c>
    </x:row>
    <x:row r="1703" ht="34" customHeight="1">
      <x:c r="A1703" s="4" t="str">
        <x:v>RS-01702</x:v>
      </x:c>
      <x:c r="B1703" s="8" t="n">
        <x:v>45404</x:v>
      </x:c>
      <x:c r="C1703" s="4" t="str">
        <x:v>PRJ-002</x:v>
      </x:c>
      <x:c r="D1703" s="4" t="str">
        <x:v>Apartment</x:v>
      </x:c>
      <x:c r="E1703" s="4" t="str">
        <x:v>Cancelled</x:v>
      </x:c>
      <x:c r="F1703" s="4" t="str">
        <x:v>CUS-01702</x:v>
      </x:c>
      <x:c r="G1703" s="4" t="str">
        <x:v>UNIT-01702</x:v>
      </x:c>
      <x:c r="H1703" s="9" t="n">
        <x:v>20900000</x:v>
      </x:c>
      <x:c r="I1703" s="10" t="n">
        <x:v>0.05</x:v>
      </x:c>
      <x:c r="J1703" s="11" t="n">
        <x:v>8</x:v>
      </x:c>
      <x:c r="K1703" s="11" t="n">
        <x:v>0</x:v>
      </x:c>
      <x:c r="L1703" s="11" t="n">
        <x:v>1</x:v>
      </x:c>
      <x:c r="M1703" s="9" t="n">
        <x:f>ROUND(H1703*(1-I1703),2)</x:f>
        <x:v>19855000</x:v>
      </x:c>
      <x:c r="N1703" s="4" t="str">
        <x:v>Sales manager</x:v>
      </x:c>
      <x:c r="O1703" s="4"/>
      <x:c r="P1703" s="9" t="n">
        <x:v>0</x:v>
      </x:c>
      <x:c r="Q1703" s="11" t="n">
        <x:v>1</x:v>
      </x:c>
      <x:c r="R1703" s="8" t="n">
        <x:v>45464</x:v>
      </x:c>
      <x:c r="S1703" s="4" t="str">
        <x:v>Lost / cancelled</x:v>
      </x:c>
      <x:c r="T1703" s="10" t="n">
        <x:v>0.310195</x:v>
      </x:c>
      <x:c r="U1703" s="4" t="str">
        <x:v>Train</x:v>
      </x:c>
    </x:row>
    <x:row r="1704" ht="34" customHeight="1">
      <x:c r="A1704" s="4" t="str">
        <x:v>RS-01703</x:v>
      </x:c>
      <x:c r="B1704" s="8" t="n">
        <x:v>45405</x:v>
      </x:c>
      <x:c r="C1704" s="4" t="str">
        <x:v>PRJ-003</x:v>
      </x:c>
      <x:c r="D1704" s="4" t="str">
        <x:v>Apartment</x:v>
      </x:c>
      <x:c r="E1704" s="4" t="str">
        <x:v>Booked</x:v>
      </x:c>
      <x:c r="F1704" s="4" t="str">
        <x:v>CUS-01703</x:v>
      </x:c>
      <x:c r="G1704" s="4" t="str">
        <x:v>UNIT-01703</x:v>
      </x:c>
      <x:c r="H1704" s="9" t="n">
        <x:v>10900000</x:v>
      </x:c>
      <x:c r="I1704" s="10" t="n">
        <x:v>0.05</x:v>
      </x:c>
      <x:c r="J1704" s="11" t="n">
        <x:v>0</x:v>
      </x:c>
      <x:c r="K1704" s="11" t="n">
        <x:v>7</x:v>
      </x:c>
      <x:c r="L1704" s="11" t="n">
        <x:v>1</x:v>
      </x:c>
      <x:c r="M1704" s="9" t="n">
        <x:f>ROUND(H1704*(1-I1704),2)</x:f>
        <x:v>10355000</x:v>
      </x:c>
      <x:c r="N1704" s="4" t="str">
        <x:v>Sales manager</x:v>
      </x:c>
      <x:c r="O1704" s="4" t="str">
        <x:v>BOOK-01703</x:v>
      </x:c>
      <x:c r="P1704" s="9" t="n">
        <x:v>10355000</x:v>
      </x:c>
      <x:c r="Q1704" s="11" t="n">
        <x:v>0</x:v>
      </x:c>
      <x:c r="R1704" s="8" t="n">
        <x:v>45465</x:v>
      </x:c>
      <x:c r="S1704" s="4" t="str">
        <x:v>Retained</x:v>
      </x:c>
      <x:c r="T1704" s="10" t="n">
        <x:v>0.204152</x:v>
      </x:c>
      <x:c r="U1704" s="4" t="str">
        <x:v>Train</x:v>
      </x:c>
    </x:row>
    <x:row r="1705" ht="34" customHeight="1">
      <x:c r="A1705" s="4" t="str">
        <x:v>RS-01704</x:v>
      </x:c>
      <x:c r="B1705" s="8" t="n">
        <x:v>45406</x:v>
      </x:c>
      <x:c r="C1705" s="4" t="str">
        <x:v>PRJ-004</x:v>
      </x:c>
      <x:c r="D1705" s="4" t="str">
        <x:v>Retail</x:v>
      </x:c>
      <x:c r="E1705" s="4" t="str">
        <x:v>Booked</x:v>
      </x:c>
      <x:c r="F1705" s="4" t="str">
        <x:v>CUS-01704</x:v>
      </x:c>
      <x:c r="G1705" s="4" t="str">
        <x:v>UNIT-01704</x:v>
      </x:c>
      <x:c r="H1705" s="9" t="n">
        <x:v>17900000</x:v>
      </x:c>
      <x:c r="I1705" s="10" t="n">
        <x:v>0</x:v>
      </x:c>
      <x:c r="J1705" s="11" t="n">
        <x:v>12</x:v>
      </x:c>
      <x:c r="K1705" s="11" t="n">
        <x:v>1</x:v>
      </x:c>
      <x:c r="L1705" s="11" t="n">
        <x:v>0</x:v>
      </x:c>
      <x:c r="M1705" s="9" t="n">
        <x:f>ROUND(H1705*(1-I1705),2)</x:f>
        <x:v>17900000</x:v>
      </x:c>
      <x:c r="N1705" s="4" t="str">
        <x:v>Sales manager</x:v>
      </x:c>
      <x:c r="O1705" s="4" t="str">
        <x:v>BOOK-01704</x:v>
      </x:c>
      <x:c r="P1705" s="9" t="n">
        <x:v>17900000</x:v>
      </x:c>
      <x:c r="Q1705" s="11" t="n">
        <x:v>0</x:v>
      </x:c>
      <x:c r="R1705" s="8" t="n">
        <x:v>45466</x:v>
      </x:c>
      <x:c r="S1705" s="4" t="str">
        <x:v>Retained</x:v>
      </x:c>
      <x:c r="T1705" s="10" t="n">
        <x:v>0.305556</x:v>
      </x:c>
      <x:c r="U1705" s="4" t="str">
        <x:v>Train</x:v>
      </x:c>
    </x:row>
    <x:row r="1706" ht="34" customHeight="1">
      <x:c r="A1706" s="4" t="str">
        <x:v>RS-01705</x:v>
      </x:c>
      <x:c r="B1706" s="8" t="n">
        <x:v>45407</x:v>
      </x:c>
      <x:c r="C1706" s="4" t="str">
        <x:v>PRJ-005</x:v>
      </x:c>
      <x:c r="D1706" s="4" t="str">
        <x:v>Villa</x:v>
      </x:c>
      <x:c r="E1706" s="4" t="str">
        <x:v>Agreement signed</x:v>
      </x:c>
      <x:c r="F1706" s="4" t="str">
        <x:v>CUS-01705</x:v>
      </x:c>
      <x:c r="G1706" s="4" t="str">
        <x:v>UNIT-01705</x:v>
      </x:c>
      <x:c r="H1706" s="9" t="n">
        <x:v>24200000</x:v>
      </x:c>
      <x:c r="I1706" s="10" t="n">
        <x:v>0.06</x:v>
      </x:c>
      <x:c r="J1706" s="11" t="n">
        <x:v>5</x:v>
      </x:c>
      <x:c r="K1706" s="11" t="n">
        <x:v>1</x:v>
      </x:c>
      <x:c r="L1706" s="11" t="n">
        <x:v>0</x:v>
      </x:c>
      <x:c r="M1706" s="9" t="n">
        <x:f>ROUND(H1706*(1-I1706),2)</x:f>
        <x:v>22748000</x:v>
      </x:c>
      <x:c r="N1706" s="4" t="str">
        <x:v>Sales manager</x:v>
      </x:c>
      <x:c r="O1706" s="4" t="str">
        <x:v>BOOK-01705</x:v>
      </x:c>
      <x:c r="P1706" s="9" t="n">
        <x:v>2274800</x:v>
      </x:c>
      <x:c r="Q1706" s="11" t="n">
        <x:v>0</x:v>
      </x:c>
      <x:c r="R1706" s="8" t="n">
        <x:v>45467</x:v>
      </x:c>
      <x:c r="S1706" s="4" t="str">
        <x:v>Retained</x:v>
      </x:c>
      <x:c r="T1706" s="10" t="n">
        <x:v>0.226277</x:v>
      </x:c>
      <x:c r="U1706" s="4" t="str">
        <x:v>Train</x:v>
      </x:c>
    </x:row>
    <x:row r="1707" ht="34" customHeight="1">
      <x:c r="A1707" s="4" t="str">
        <x:v>RS-01706</x:v>
      </x:c>
      <x:c r="B1707" s="8" t="n">
        <x:v>45408</x:v>
      </x:c>
      <x:c r="C1707" s="4" t="str">
        <x:v>PRJ-006</x:v>
      </x:c>
      <x:c r="D1707" s="4" t="str">
        <x:v>Office</x:v>
      </x:c>
      <x:c r="E1707" s="4" t="str">
        <x:v>Handed over</x:v>
      </x:c>
      <x:c r="F1707" s="4" t="str">
        <x:v>CUS-01706</x:v>
      </x:c>
      <x:c r="G1707" s="4" t="str">
        <x:v>UNIT-01706</x:v>
      </x:c>
      <x:c r="H1707" s="9" t="n">
        <x:v>13900000</x:v>
      </x:c>
      <x:c r="I1707" s="10" t="n">
        <x:v>0.03</x:v>
      </x:c>
      <x:c r="J1707" s="11" t="n">
        <x:v>10</x:v>
      </x:c>
      <x:c r="K1707" s="11" t="n">
        <x:v>1</x:v>
      </x:c>
      <x:c r="L1707" s="11" t="n">
        <x:v>0</x:v>
      </x:c>
      <x:c r="M1707" s="9" t="n">
        <x:f>ROUND(H1707*(1-I1707),2)</x:f>
        <x:v>13483000</x:v>
      </x:c>
      <x:c r="N1707" s="4" t="str">
        <x:v>Sales manager</x:v>
      </x:c>
      <x:c r="O1707" s="4" t="str">
        <x:v>BOOK-01706</x:v>
      </x:c>
      <x:c r="P1707" s="9" t="n">
        <x:v>13483000</x:v>
      </x:c>
      <x:c r="Q1707" s="11" t="n">
        <x:v>0</x:v>
      </x:c>
      <x:c r="R1707" s="8" t="n">
        <x:v>45468</x:v>
      </x:c>
      <x:c r="S1707" s="4" t="str">
        <x:v>Retained</x:v>
      </x:c>
      <x:c r="T1707" s="10" t="n">
        <x:v>0.310195</x:v>
      </x:c>
      <x:c r="U1707" s="4" t="str">
        <x:v>Train</x:v>
      </x:c>
    </x:row>
    <x:row r="1708" ht="34" customHeight="1">
      <x:c r="A1708" s="4" t="str">
        <x:v>RS-01707</x:v>
      </x:c>
      <x:c r="B1708" s="8" t="n">
        <x:v>45409</x:v>
      </x:c>
      <x:c r="C1708" s="4" t="str">
        <x:v>PRJ-007</x:v>
      </x:c>
      <x:c r="D1708" s="4" t="str">
        <x:v>Apartment</x:v>
      </x:c>
      <x:c r="E1708" s="4" t="str">
        <x:v>Handed over</x:v>
      </x:c>
      <x:c r="F1708" s="4" t="str">
        <x:v>CUS-01707</x:v>
      </x:c>
      <x:c r="G1708" s="4" t="str">
        <x:v>UNIT-01707</x:v>
      </x:c>
      <x:c r="H1708" s="9" t="n">
        <x:v>17800000</x:v>
      </x:c>
      <x:c r="I1708" s="10" t="n">
        <x:v>0.09</x:v>
      </x:c>
      <x:c r="J1708" s="11" t="n">
        <x:v>11</x:v>
      </x:c>
      <x:c r="K1708" s="11" t="n">
        <x:v>0</x:v>
      </x:c>
      <x:c r="L1708" s="11" t="n">
        <x:v>0</x:v>
      </x:c>
      <x:c r="M1708" s="9" t="n">
        <x:f>ROUND(H1708*(1-I1708),2)</x:f>
        <x:v>16198000</x:v>
      </x:c>
      <x:c r="N1708" s="4" t="str">
        <x:v>Sales head</x:v>
      </x:c>
      <x:c r="O1708" s="4" t="str">
        <x:v>BOOK-01707</x:v>
      </x:c>
      <x:c r="P1708" s="9" t="n">
        <x:v>4049500</x:v>
      </x:c>
      <x:c r="Q1708" s="11" t="n">
        <x:v>0</x:v>
      </x:c>
      <x:c r="R1708" s="8" t="n">
        <x:v>45469</x:v>
      </x:c>
      <x:c r="S1708" s="4" t="str">
        <x:v>Retained</x:v>
      </x:c>
      <x:c r="T1708" s="10" t="n">
        <x:v>0.351536</x:v>
      </x:c>
      <x:c r="U1708" s="4" t="str">
        <x:v>Train</x:v>
      </x:c>
    </x:row>
    <x:row r="1709" ht="34" customHeight="1">
      <x:c r="A1709" s="4" t="str">
        <x:v>RS-01708</x:v>
      </x:c>
      <x:c r="B1709" s="8" t="n">
        <x:v>45410</x:v>
      </x:c>
      <x:c r="C1709" s="4" t="str">
        <x:v>PRJ-008</x:v>
      </x:c>
      <x:c r="D1709" s="4" t="str">
        <x:v>Apartment</x:v>
      </x:c>
      <x:c r="E1709" s="4" t="str">
        <x:v>Booked</x:v>
      </x:c>
      <x:c r="F1709" s="4" t="str">
        <x:v>CUS-01708</x:v>
      </x:c>
      <x:c r="G1709" s="4" t="str">
        <x:v>UNIT-01708</x:v>
      </x:c>
      <x:c r="H1709" s="9" t="n">
        <x:v>19900000</x:v>
      </x:c>
      <x:c r="I1709" s="10" t="n">
        <x:v>0.09</x:v>
      </x:c>
      <x:c r="J1709" s="11" t="n">
        <x:v>10</x:v>
      </x:c>
      <x:c r="K1709" s="11" t="n">
        <x:v>0</x:v>
      </x:c>
      <x:c r="L1709" s="11" t="n">
        <x:v>1</x:v>
      </x:c>
      <x:c r="M1709" s="9" t="n">
        <x:f>ROUND(H1709*(1-I1709),2)</x:f>
        <x:v>18109000</x:v>
      </x:c>
      <x:c r="N1709" s="4" t="str">
        <x:v>Sales head</x:v>
      </x:c>
      <x:c r="O1709" s="4" t="str">
        <x:v>BOOK-01708</x:v>
      </x:c>
      <x:c r="P1709" s="9" t="n">
        <x:v>18109000</x:v>
      </x:c>
      <x:c r="Q1709" s="11" t="n">
        <x:v>0</x:v>
      </x:c>
      <x:c r="R1709" s="8" t="n">
        <x:v>45470</x:v>
      </x:c>
      <x:c r="S1709" s="4" t="str">
        <x:v>Retained</x:v>
      </x:c>
      <x:c r="T1709" s="10" t="n">
        <x:v>0.310195</x:v>
      </x:c>
      <x:c r="U1709" s="4" t="str">
        <x:v>Train</x:v>
      </x:c>
    </x:row>
    <x:row r="1710" ht="34" customHeight="1">
      <x:c r="A1710" s="4" t="str">
        <x:v>RS-01709</x:v>
      </x:c>
      <x:c r="B1710" s="8" t="n">
        <x:v>45383</x:v>
      </x:c>
      <x:c r="C1710" s="4" t="str">
        <x:v>PRJ-009</x:v>
      </x:c>
      <x:c r="D1710" s="4" t="str">
        <x:v>Apartment</x:v>
      </x:c>
      <x:c r="E1710" s="4" t="str">
        <x:v>Agreement signed</x:v>
      </x:c>
      <x:c r="F1710" s="4" t="str">
        <x:v>CUS-01709</x:v>
      </x:c>
      <x:c r="G1710" s="4" t="str">
        <x:v>UNIT-01709</x:v>
      </x:c>
      <x:c r="H1710" s="9" t="n">
        <x:v>6800000</x:v>
      </x:c>
      <x:c r="I1710" s="10" t="n">
        <x:v>0.11</x:v>
      </x:c>
      <x:c r="J1710" s="11" t="n">
        <x:v>8</x:v>
      </x:c>
      <x:c r="K1710" s="11" t="n">
        <x:v>5</x:v>
      </x:c>
      <x:c r="L1710" s="11" t="n">
        <x:v>0</x:v>
      </x:c>
      <x:c r="M1710" s="9" t="n">
        <x:f>ROUND(H1710*(1-I1710),2)</x:f>
        <x:v>6052000</x:v>
      </x:c>
      <x:c r="N1710" s="4" t="str">
        <x:v>Sales head</x:v>
      </x:c>
      <x:c r="O1710" s="4" t="str">
        <x:v>BOOK-01709</x:v>
      </x:c>
      <x:c r="P1710" s="9" t="n">
        <x:v>1513000</x:v>
      </x:c>
      <x:c r="Q1710" s="11" t="n">
        <x:v>0</x:v>
      </x:c>
      <x:c r="R1710" s="8" t="n">
        <x:v>45443</x:v>
      </x:c>
      <x:c r="S1710" s="4" t="str">
        <x:v>Retained</x:v>
      </x:c>
      <x:c r="T1710" s="10" t="n">
        <x:v>0.310195</x:v>
      </x:c>
      <x:c r="U1710" s="4" t="str">
        <x:v>Train</x:v>
      </x:c>
    </x:row>
    <x:row r="1711" ht="34" customHeight="1">
      <x:c r="A1711" s="4" t="str">
        <x:v>RS-01710</x:v>
      </x:c>
      <x:c r="B1711" s="8" t="n">
        <x:v>45384</x:v>
      </x:c>
      <x:c r="C1711" s="4" t="str">
        <x:v>PRJ-010</x:v>
      </x:c>
      <x:c r="D1711" s="4" t="str">
        <x:v>Office</x:v>
      </x:c>
      <x:c r="E1711" s="4" t="str">
        <x:v>Cancelled</x:v>
      </x:c>
      <x:c r="F1711" s="4" t="str">
        <x:v>CUS-01710</x:v>
      </x:c>
      <x:c r="G1711" s="4" t="str">
        <x:v>UNIT-01710</x:v>
      </x:c>
      <x:c r="H1711" s="9" t="n">
        <x:v>16200000</x:v>
      </x:c>
      <x:c r="I1711" s="10" t="n">
        <x:v>0.05</x:v>
      </x:c>
      <x:c r="J1711" s="11" t="n">
        <x:v>4</x:v>
      </x:c>
      <x:c r="K1711" s="11" t="n">
        <x:v>10</x:v>
      </x:c>
      <x:c r="L1711" s="11" t="n">
        <x:v>1</x:v>
      </x:c>
      <x:c r="M1711" s="9" t="n">
        <x:f>ROUND(H1711*(1-I1711),2)</x:f>
        <x:v>15390000</x:v>
      </x:c>
      <x:c r="N1711" s="4" t="str">
        <x:v>Sales manager</x:v>
      </x:c>
      <x:c r="O1711" s="4"/>
      <x:c r="P1711" s="9" t="n">
        <x:v>0</x:v>
      </x:c>
      <x:c r="Q1711" s="11" t="n">
        <x:v>1</x:v>
      </x:c>
      <x:c r="R1711" s="8" t="n">
        <x:v>45444</x:v>
      </x:c>
      <x:c r="S1711" s="4" t="str">
        <x:v>Lost / cancelled</x:v>
      </x:c>
      <x:c r="T1711" s="10" t="n">
        <x:v>0.291946</x:v>
      </x:c>
      <x:c r="U1711" s="4" t="str">
        <x:v>Train</x:v>
      </x:c>
    </x:row>
    <x:row r="1712" ht="34" customHeight="1">
      <x:c r="A1712" s="4" t="str">
        <x:v>RS-01711</x:v>
      </x:c>
      <x:c r="B1712" s="8" t="n">
        <x:v>45385</x:v>
      </x:c>
      <x:c r="C1712" s="4" t="str">
        <x:v>PRJ-011</x:v>
      </x:c>
      <x:c r="D1712" s="4" t="str">
        <x:v>Apartment</x:v>
      </x:c>
      <x:c r="E1712" s="4" t="str">
        <x:v>Enquiry</x:v>
      </x:c>
      <x:c r="F1712" s="4" t="str">
        <x:v>CUS-01711</x:v>
      </x:c>
      <x:c r="G1712" s="4" t="str">
        <x:v>UNIT-01711</x:v>
      </x:c>
      <x:c r="H1712" s="9" t="n">
        <x:v>19400000</x:v>
      </x:c>
      <x:c r="I1712" s="10" t="n">
        <x:v>0.03</x:v>
      </x:c>
      <x:c r="J1712" s="11" t="n">
        <x:v>8</x:v>
      </x:c>
      <x:c r="K1712" s="11" t="n">
        <x:v>5</x:v>
      </x:c>
      <x:c r="L1712" s="11" t="n">
        <x:v>0</x:v>
      </x:c>
      <x:c r="M1712" s="9" t="n">
        <x:f>ROUND(H1712*(1-I1712),2)</x:f>
        <x:v>18818000</x:v>
      </x:c>
      <x:c r="N1712" s="4" t="str">
        <x:v>Sales manager</x:v>
      </x:c>
      <x:c r="O1712" s="4"/>
      <x:c r="P1712" s="9" t="n">
        <x:v>0</x:v>
      </x:c>
      <x:c r="Q1712" s="11" t="n">
        <x:v>1</x:v>
      </x:c>
      <x:c r="R1712" s="8" t="n">
        <x:v>45445</x:v>
      </x:c>
      <x:c r="S1712" s="4" t="str">
        <x:v>Lost / cancelled</x:v>
      </x:c>
      <x:c r="T1712" s="10" t="n">
        <x:v>0.310195</x:v>
      </x:c>
      <x:c r="U1712" s="4" t="str">
        <x:v>Train</x:v>
      </x:c>
    </x:row>
    <x:row r="1713" ht="34" customHeight="1">
      <x:c r="A1713" s="4" t="str">
        <x:v>RS-01712</x:v>
      </x:c>
      <x:c r="B1713" s="8" t="n">
        <x:v>45386</x:v>
      </x:c>
      <x:c r="C1713" s="4" t="str">
        <x:v>PRJ-012</x:v>
      </x:c>
      <x:c r="D1713" s="4" t="str">
        <x:v>Villa</x:v>
      </x:c>
      <x:c r="E1713" s="4" t="str">
        <x:v>Enquiry</x:v>
      </x:c>
      <x:c r="F1713" s="4" t="str">
        <x:v>CUS-01712</x:v>
      </x:c>
      <x:c r="G1713" s="4" t="str">
        <x:v>UNIT-01712</x:v>
      </x:c>
      <x:c r="H1713" s="9" t="n">
        <x:v>17900000</x:v>
      </x:c>
      <x:c r="I1713" s="10" t="n">
        <x:v>0.11</x:v>
      </x:c>
      <x:c r="J1713" s="11" t="n">
        <x:v>1</x:v>
      </x:c>
      <x:c r="K1713" s="11" t="n">
        <x:v>5</x:v>
      </x:c>
      <x:c r="L1713" s="11" t="n">
        <x:v>0</x:v>
      </x:c>
      <x:c r="M1713" s="9" t="n">
        <x:f>ROUND(H1713*(1-I1713),2)</x:f>
        <x:v>15931000</x:v>
      </x:c>
      <x:c r="N1713" s="4" t="str">
        <x:v>Sales head</x:v>
      </x:c>
      <x:c r="O1713" s="4"/>
      <x:c r="P1713" s="9" t="n">
        <x:v>0</x:v>
      </x:c>
      <x:c r="Q1713" s="11" t="n">
        <x:v>0</x:v>
      </x:c>
      <x:c r="R1713" s="8" t="n">
        <x:v>45446</x:v>
      </x:c>
      <x:c r="S1713" s="4" t="str">
        <x:v>Retained</x:v>
      </x:c>
      <x:c r="T1713" s="10" t="n">
        <x:v>0.145833</x:v>
      </x:c>
      <x:c r="U1713" s="4" t="str">
        <x:v>Train</x:v>
      </x:c>
    </x:row>
    <x:row r="1714" ht="34" customHeight="1">
      <x:c r="A1714" s="4" t="str">
        <x:v>RS-01713</x:v>
      </x:c>
      <x:c r="B1714" s="8" t="n">
        <x:v>45387</x:v>
      </x:c>
      <x:c r="C1714" s="4" t="str">
        <x:v>PRJ-013</x:v>
      </x:c>
      <x:c r="D1714" s="4" t="str">
        <x:v>Apartment</x:v>
      </x:c>
      <x:c r="E1714" s="4" t="str">
        <x:v>Agreement signed</x:v>
      </x:c>
      <x:c r="F1714" s="4" t="str">
        <x:v>CUS-01713</x:v>
      </x:c>
      <x:c r="G1714" s="4" t="str">
        <x:v>UNIT-01713</x:v>
      </x:c>
      <x:c r="H1714" s="9" t="n">
        <x:v>23900000</x:v>
      </x:c>
      <x:c r="I1714" s="10" t="n">
        <x:v>0.09</x:v>
      </x:c>
      <x:c r="J1714" s="11" t="n">
        <x:v>0</x:v>
      </x:c>
      <x:c r="K1714" s="11" t="n">
        <x:v>0</x:v>
      </x:c>
      <x:c r="L1714" s="11" t="n">
        <x:v>0</x:v>
      </x:c>
      <x:c r="M1714" s="9" t="n">
        <x:f>ROUND(H1714*(1-I1714),2)</x:f>
        <x:v>21749000</x:v>
      </x:c>
      <x:c r="N1714" s="4" t="str">
        <x:v>Sales head</x:v>
      </x:c>
      <x:c r="O1714" s="4" t="str">
        <x:v>BOOK-01713</x:v>
      </x:c>
      <x:c r="P1714" s="9" t="n">
        <x:v>21749000</x:v>
      </x:c>
      <x:c r="Q1714" s="11" t="n">
        <x:v>0</x:v>
      </x:c>
      <x:c r="R1714" s="8" t="n">
        <x:v>45447</x:v>
      </x:c>
      <x:c r="S1714" s="4" t="str">
        <x:v>Retained</x:v>
      </x:c>
      <x:c r="T1714" s="10" t="n">
        <x:v>0.276923</x:v>
      </x:c>
      <x:c r="U1714" s="4" t="str">
        <x:v>Train</x:v>
      </x:c>
    </x:row>
    <x:row r="1715" ht="34" customHeight="1">
      <x:c r="A1715" s="4" t="str">
        <x:v>RS-01714</x:v>
      </x:c>
      <x:c r="B1715" s="8" t="n">
        <x:v>45388</x:v>
      </x:c>
      <x:c r="C1715" s="4" t="str">
        <x:v>PRJ-014</x:v>
      </x:c>
      <x:c r="D1715" s="4" t="str">
        <x:v>Apartment</x:v>
      </x:c>
      <x:c r="E1715" s="4" t="str">
        <x:v>Handed over</x:v>
      </x:c>
      <x:c r="F1715" s="4" t="str">
        <x:v>CUS-01714</x:v>
      </x:c>
      <x:c r="G1715" s="4" t="str">
        <x:v>UNIT-01714</x:v>
      </x:c>
      <x:c r="H1715" s="9" t="n">
        <x:v>7300000</x:v>
      </x:c>
      <x:c r="I1715" s="10" t="n">
        <x:v>0.11</x:v>
      </x:c>
      <x:c r="J1715" s="11" t="n">
        <x:v>3</x:v>
      </x:c>
      <x:c r="K1715" s="11" t="n">
        <x:v>0</x:v>
      </x:c>
      <x:c r="L1715" s="11" t="n">
        <x:v>1</x:v>
      </x:c>
      <x:c r="M1715" s="9" t="n">
        <x:f>ROUND(H1715*(1-I1715),2)</x:f>
        <x:v>6497000</x:v>
      </x:c>
      <x:c r="N1715" s="4" t="str">
        <x:v>Sales head</x:v>
      </x:c>
      <x:c r="O1715" s="4" t="str">
        <x:v>BOOK-01714</x:v>
      </x:c>
      <x:c r="P1715" s="9" t="n">
        <x:v>1624250</x:v>
      </x:c>
      <x:c r="Q1715" s="11" t="n">
        <x:v>0</x:v>
      </x:c>
      <x:c r="R1715" s="8" t="n">
        <x:v>45448</x:v>
      </x:c>
      <x:c r="S1715" s="4" t="str">
        <x:v>Retained</x:v>
      </x:c>
      <x:c r="T1715" s="10" t="n">
        <x:v>0.276923</x:v>
      </x:c>
      <x:c r="U1715" s="4" t="str">
        <x:v>Train</x:v>
      </x:c>
    </x:row>
    <x:row r="1716" ht="34" customHeight="1">
      <x:c r="A1716" s="4" t="str">
        <x:v>RS-01715</x:v>
      </x:c>
      <x:c r="B1716" s="8" t="n">
        <x:v>45389</x:v>
      </x:c>
      <x:c r="C1716" s="4" t="str">
        <x:v>PRJ-015</x:v>
      </x:c>
      <x:c r="D1716" s="4" t="str">
        <x:v>Villa</x:v>
      </x:c>
      <x:c r="E1716" s="4" t="str">
        <x:v>Handed over</x:v>
      </x:c>
      <x:c r="F1716" s="4" t="str">
        <x:v>CUS-01715</x:v>
      </x:c>
      <x:c r="G1716" s="4" t="str">
        <x:v>UNIT-01715</x:v>
      </x:c>
      <x:c r="H1716" s="9" t="n">
        <x:v>23900000</x:v>
      </x:c>
      <x:c r="I1716" s="10" t="n">
        <x:v>0.03</x:v>
      </x:c>
      <x:c r="J1716" s="11" t="n">
        <x:v>9</x:v>
      </x:c>
      <x:c r="K1716" s="11" t="n">
        <x:v>9</x:v>
      </x:c>
      <x:c r="L1716" s="11" t="n">
        <x:v>1</x:v>
      </x:c>
      <x:c r="M1716" s="9" t="n">
        <x:f>ROUND(H1716*(1-I1716),2)</x:f>
        <x:v>23183000</x:v>
      </x:c>
      <x:c r="N1716" s="4" t="str">
        <x:v>Sales manager</x:v>
      </x:c>
      <x:c r="O1716" s="4" t="str">
        <x:v>BOOK-01715</x:v>
      </x:c>
      <x:c r="P1716" s="9" t="n">
        <x:v>5795750</x:v>
      </x:c>
      <x:c r="Q1716" s="11" t="n">
        <x:v>0</x:v>
      </x:c>
      <x:c r="R1716" s="8" t="n">
        <x:v>45449</x:v>
      </x:c>
      <x:c r="S1716" s="4" t="str">
        <x:v>Retained</x:v>
      </x:c>
      <x:c r="T1716" s="10" t="n">
        <x:v>0.310195</x:v>
      </x:c>
      <x:c r="U1716" s="4" t="str">
        <x:v>Train</x:v>
      </x:c>
    </x:row>
    <x:row r="1717" ht="34" customHeight="1">
      <x:c r="A1717" s="4" t="str">
        <x:v>RS-01716</x:v>
      </x:c>
      <x:c r="B1717" s="8" t="n">
        <x:v>45390</x:v>
      </x:c>
      <x:c r="C1717" s="4" t="str">
        <x:v>PRJ-016</x:v>
      </x:c>
      <x:c r="D1717" s="4" t="str">
        <x:v>Apartment</x:v>
      </x:c>
      <x:c r="E1717" s="4" t="str">
        <x:v>Booked</x:v>
      </x:c>
      <x:c r="F1717" s="4" t="str">
        <x:v>CUS-01716</x:v>
      </x:c>
      <x:c r="G1717" s="4" t="str">
        <x:v>UNIT-01716</x:v>
      </x:c>
      <x:c r="H1717" s="9" t="n">
        <x:v>7500000</x:v>
      </x:c>
      <x:c r="I1717" s="10" t="n">
        <x:v>0.08</x:v>
      </x:c>
      <x:c r="J1717" s="11" t="n">
        <x:v>11</x:v>
      </x:c>
      <x:c r="K1717" s="11" t="n">
        <x:v>3</x:v>
      </x:c>
      <x:c r="L1717" s="11" t="n">
        <x:v>1</x:v>
      </x:c>
      <x:c r="M1717" s="9" t="n">
        <x:f>ROUND(H1717*(1-I1717),2)</x:f>
        <x:v>6900000</x:v>
      </x:c>
      <x:c r="N1717" s="4" t="str">
        <x:v>Sales head</x:v>
      </x:c>
      <x:c r="O1717" s="4" t="str">
        <x:v>BOOK-01716</x:v>
      </x:c>
      <x:c r="P1717" s="9" t="n">
        <x:v>1725000</x:v>
      </x:c>
      <x:c r="Q1717" s="11" t="n">
        <x:v>0</x:v>
      </x:c>
      <x:c r="R1717" s="8" t="n">
        <x:v>45450</x:v>
      </x:c>
      <x:c r="S1717" s="4" t="str">
        <x:v>Retained</x:v>
      </x:c>
      <x:c r="T1717" s="10" t="n">
        <x:v>0.351536</x:v>
      </x:c>
      <x:c r="U1717" s="4" t="str">
        <x:v>Train</x:v>
      </x:c>
    </x:row>
    <x:row r="1718" ht="34" customHeight="1">
      <x:c r="A1718" s="4" t="str">
        <x:v>RS-01717</x:v>
      </x:c>
      <x:c r="B1718" s="8" t="n">
        <x:v>45391</x:v>
      </x:c>
      <x:c r="C1718" s="4" t="str">
        <x:v>PRJ-017</x:v>
      </x:c>
      <x:c r="D1718" s="4" t="str">
        <x:v>Apartment</x:v>
      </x:c>
      <x:c r="E1718" s="4" t="str">
        <x:v>Enquiry</x:v>
      </x:c>
      <x:c r="F1718" s="4" t="str">
        <x:v>CUS-01717</x:v>
      </x:c>
      <x:c r="G1718" s="4" t="str">
        <x:v>UNIT-01717</x:v>
      </x:c>
      <x:c r="H1718" s="9" t="n">
        <x:v>7500000</x:v>
      </x:c>
      <x:c r="I1718" s="10" t="n">
        <x:v>0.02</x:v>
      </x:c>
      <x:c r="J1718" s="11" t="n">
        <x:v>2</x:v>
      </x:c>
      <x:c r="K1718" s="11" t="n">
        <x:v>0</x:v>
      </x:c>
      <x:c r="L1718" s="11" t="n">
        <x:v>1</x:v>
      </x:c>
      <x:c r="M1718" s="9" t="n">
        <x:f>ROUND(H1718*(1-I1718),2)</x:f>
        <x:v>7350000</x:v>
      </x:c>
      <x:c r="N1718" s="4" t="str">
        <x:v>Sales manager</x:v>
      </x:c>
      <x:c r="O1718" s="4"/>
      <x:c r="P1718" s="9" t="n">
        <x:v>0</x:v>
      </x:c>
      <x:c r="Q1718" s="11" t="n">
        <x:v>0</x:v>
      </x:c>
      <x:c r="R1718" s="8" t="n">
        <x:v>45451</x:v>
      </x:c>
      <x:c r="S1718" s="4" t="str">
        <x:v>Retained</x:v>
      </x:c>
      <x:c r="T1718" s="10" t="n">
        <x:v>0.276923</x:v>
      </x:c>
      <x:c r="U1718" s="4" t="str">
        <x:v>Train</x:v>
      </x:c>
    </x:row>
    <x:row r="1719" ht="34" customHeight="1">
      <x:c r="A1719" s="4" t="str">
        <x:v>RS-01718</x:v>
      </x:c>
      <x:c r="B1719" s="8" t="n">
        <x:v>45392</x:v>
      </x:c>
      <x:c r="C1719" s="4" t="str">
        <x:v>PRJ-018</x:v>
      </x:c>
      <x:c r="D1719" s="4" t="str">
        <x:v>Office</x:v>
      </x:c>
      <x:c r="E1719" s="4" t="str">
        <x:v>Reserved</x:v>
      </x:c>
      <x:c r="F1719" s="4" t="str">
        <x:v>CUS-01718</x:v>
      </x:c>
      <x:c r="G1719" s="4" t="str">
        <x:v>UNIT-01718</x:v>
      </x:c>
      <x:c r="H1719" s="9" t="n">
        <x:v>19700000</x:v>
      </x:c>
      <x:c r="I1719" s="10" t="n">
        <x:v>0.05</x:v>
      </x:c>
      <x:c r="J1719" s="11" t="n">
        <x:v>8</x:v>
      </x:c>
      <x:c r="K1719" s="11" t="n">
        <x:v>10</x:v>
      </x:c>
      <x:c r="L1719" s="11" t="n">
        <x:v>0</x:v>
      </x:c>
      <x:c r="M1719" s="9" t="n">
        <x:f>ROUND(H1719*(1-I1719),2)</x:f>
        <x:v>18715000</x:v>
      </x:c>
      <x:c r="N1719" s="4" t="str">
        <x:v>Sales manager</x:v>
      </x:c>
      <x:c r="O1719" s="4"/>
      <x:c r="P1719" s="9" t="n">
        <x:v>0</x:v>
      </x:c>
      <x:c r="Q1719" s="11" t="n">
        <x:v>0</x:v>
      </x:c>
      <x:c r="R1719" s="8" t="n">
        <x:v>45452</x:v>
      </x:c>
      <x:c r="S1719" s="4" t="str">
        <x:v>Retained</x:v>
      </x:c>
      <x:c r="T1719" s="10" t="n">
        <x:v>0.310195</x:v>
      </x:c>
      <x:c r="U1719" s="4" t="str">
        <x:v>Train</x:v>
      </x:c>
    </x:row>
    <x:row r="1720" ht="34" customHeight="1">
      <x:c r="A1720" s="4" t="str">
        <x:v>RS-01719</x:v>
      </x:c>
      <x:c r="B1720" s="8" t="n">
        <x:v>45393</x:v>
      </x:c>
      <x:c r="C1720" s="4" t="str">
        <x:v>PRJ-019</x:v>
      </x:c>
      <x:c r="D1720" s="4" t="str">
        <x:v>Villa</x:v>
      </x:c>
      <x:c r="E1720" s="4" t="str">
        <x:v>Agreement signed</x:v>
      </x:c>
      <x:c r="F1720" s="4" t="str">
        <x:v>CUS-01719</x:v>
      </x:c>
      <x:c r="G1720" s="4" t="str">
        <x:v>UNIT-01719</x:v>
      </x:c>
      <x:c r="H1720" s="9" t="n">
        <x:v>4600000</x:v>
      </x:c>
      <x:c r="I1720" s="10" t="n">
        <x:v>0.05</x:v>
      </x:c>
      <x:c r="J1720" s="11" t="n">
        <x:v>10</x:v>
      </x:c>
      <x:c r="K1720" s="11" t="n">
        <x:v>8</x:v>
      </x:c>
      <x:c r="L1720" s="11" t="n">
        <x:v>1</x:v>
      </x:c>
      <x:c r="M1720" s="9" t="n">
        <x:f>ROUND(H1720*(1-I1720),2)</x:f>
        <x:v>4370000</x:v>
      </x:c>
      <x:c r="N1720" s="4" t="str">
        <x:v>Sales manager</x:v>
      </x:c>
      <x:c r="O1720" s="4" t="str">
        <x:v>BOOK-01719</x:v>
      </x:c>
      <x:c r="P1720" s="9" t="n">
        <x:v>437000</x:v>
      </x:c>
      <x:c r="Q1720" s="11" t="n">
        <x:v>0</x:v>
      </x:c>
      <x:c r="R1720" s="8" t="n">
        <x:v>45453</x:v>
      </x:c>
      <x:c r="S1720" s="4" t="str">
        <x:v>Retained</x:v>
      </x:c>
      <x:c r="T1720" s="10" t="n">
        <x:v>0.310195</x:v>
      </x:c>
      <x:c r="U1720" s="4" t="str">
        <x:v>Train</x:v>
      </x:c>
    </x:row>
    <x:row r="1721" ht="34" customHeight="1">
      <x:c r="A1721" s="4" t="str">
        <x:v>RS-01720</x:v>
      </x:c>
      <x:c r="B1721" s="8" t="n">
        <x:v>45394</x:v>
      </x:c>
      <x:c r="C1721" s="4" t="str">
        <x:v>PRJ-020</x:v>
      </x:c>
      <x:c r="D1721" s="4" t="str">
        <x:v>Apartment</x:v>
      </x:c>
      <x:c r="E1721" s="4" t="str">
        <x:v>Agreement signed</x:v>
      </x:c>
      <x:c r="F1721" s="4" t="str">
        <x:v>CUS-01720</x:v>
      </x:c>
      <x:c r="G1721" s="4" t="str">
        <x:v>UNIT-01720</x:v>
      </x:c>
      <x:c r="H1721" s="9" t="n">
        <x:v>12200000</x:v>
      </x:c>
      <x:c r="I1721" s="10" t="n">
        <x:v>0.03</x:v>
      </x:c>
      <x:c r="J1721" s="11" t="n">
        <x:v>2</x:v>
      </x:c>
      <x:c r="K1721" s="11" t="n">
        <x:v>0</x:v>
      </x:c>
      <x:c r="L1721" s="11" t="n">
        <x:v>1</x:v>
      </x:c>
      <x:c r="M1721" s="9" t="n">
        <x:f>ROUND(H1721*(1-I1721),2)</x:f>
        <x:v>11834000</x:v>
      </x:c>
      <x:c r="N1721" s="4" t="str">
        <x:v>Sales manager</x:v>
      </x:c>
      <x:c r="O1721" s="4" t="str">
        <x:v>BOOK-01720</x:v>
      </x:c>
      <x:c r="P1721" s="9" t="n">
        <x:v>5917000</x:v>
      </x:c>
      <x:c r="Q1721" s="11" t="n">
        <x:v>0</x:v>
      </x:c>
      <x:c r="R1721" s="8" t="n">
        <x:v>45454</x:v>
      </x:c>
      <x:c r="S1721" s="4" t="str">
        <x:v>Retained</x:v>
      </x:c>
      <x:c r="T1721" s="10" t="n">
        <x:v>0.276923</x:v>
      </x:c>
      <x:c r="U1721" s="4" t="str">
        <x:v>Train</x:v>
      </x:c>
    </x:row>
    <x:row r="1722" ht="34" customHeight="1">
      <x:c r="A1722" s="4" t="str">
        <x:v>RS-01721</x:v>
      </x:c>
      <x:c r="B1722" s="8" t="n">
        <x:v>45395</x:v>
      </x:c>
      <x:c r="C1722" s="4" t="str">
        <x:v>PRJ-001</x:v>
      </x:c>
      <x:c r="D1722" s="4" t="str">
        <x:v>Office</x:v>
      </x:c>
      <x:c r="E1722" s="4" t="str">
        <x:v>Booked</x:v>
      </x:c>
      <x:c r="F1722" s="4" t="str">
        <x:v>CUS-01721</x:v>
      </x:c>
      <x:c r="G1722" s="4" t="str">
        <x:v>UNIT-01721</x:v>
      </x:c>
      <x:c r="H1722" s="9" t="n">
        <x:v>7700000</x:v>
      </x:c>
      <x:c r="I1722" s="10" t="n">
        <x:v>0.03</x:v>
      </x:c>
      <x:c r="J1722" s="11" t="n">
        <x:v>8</x:v>
      </x:c>
      <x:c r="K1722" s="11" t="n">
        <x:v>7</x:v>
      </x:c>
      <x:c r="L1722" s="11" t="n">
        <x:v>1</x:v>
      </x:c>
      <x:c r="M1722" s="9" t="n">
        <x:f>ROUND(H1722*(1-I1722),2)</x:f>
        <x:v>7469000</x:v>
      </x:c>
      <x:c r="N1722" s="4" t="str">
        <x:v>Sales manager</x:v>
      </x:c>
      <x:c r="O1722" s="4" t="str">
        <x:v>BOOK-01721</x:v>
      </x:c>
      <x:c r="P1722" s="9" t="n">
        <x:v>1867250</x:v>
      </x:c>
      <x:c r="Q1722" s="11" t="n">
        <x:v>0</x:v>
      </x:c>
      <x:c r="R1722" s="8" t="n">
        <x:v>45455</x:v>
      </x:c>
      <x:c r="S1722" s="4" t="str">
        <x:v>Retained</x:v>
      </x:c>
      <x:c r="T1722" s="10" t="n">
        <x:v>0.310195</x:v>
      </x:c>
      <x:c r="U1722" s="4" t="str">
        <x:v>Train</x:v>
      </x:c>
    </x:row>
    <x:row r="1723" ht="34" customHeight="1">
      <x:c r="A1723" s="4" t="str">
        <x:v>RS-01722</x:v>
      </x:c>
      <x:c r="B1723" s="8" t="n">
        <x:v>45396</x:v>
      </x:c>
      <x:c r="C1723" s="4" t="str">
        <x:v>PRJ-002</x:v>
      </x:c>
      <x:c r="D1723" s="4" t="str">
        <x:v>Office</x:v>
      </x:c>
      <x:c r="E1723" s="4" t="str">
        <x:v>Enquiry</x:v>
      </x:c>
      <x:c r="F1723" s="4" t="str">
        <x:v>CUS-01722</x:v>
      </x:c>
      <x:c r="G1723" s="4" t="str">
        <x:v>UNIT-01722</x:v>
      </x:c>
      <x:c r="H1723" s="9" t="n">
        <x:v>5200000</x:v>
      </x:c>
      <x:c r="I1723" s="10" t="n">
        <x:v>0.1</x:v>
      </x:c>
      <x:c r="J1723" s="11" t="n">
        <x:v>3</x:v>
      </x:c>
      <x:c r="K1723" s="11" t="n">
        <x:v>9</x:v>
      </x:c>
      <x:c r="L1723" s="11" t="n">
        <x:v>1</x:v>
      </x:c>
      <x:c r="M1723" s="9" t="n">
        <x:f>ROUND(H1723*(1-I1723),2)</x:f>
        <x:v>4680000</x:v>
      </x:c>
      <x:c r="N1723" s="4" t="str">
        <x:v>Sales head</x:v>
      </x:c>
      <x:c r="O1723" s="4"/>
      <x:c r="P1723" s="9" t="n">
        <x:v>0</x:v>
      </x:c>
      <x:c r="Q1723" s="11" t="n">
        <x:v>1</x:v>
      </x:c>
      <x:c r="R1723" s="8" t="n">
        <x:v>45456</x:v>
      </x:c>
      <x:c r="S1723" s="4" t="str">
        <x:v>Lost / cancelled</x:v>
      </x:c>
      <x:c r="T1723" s="10" t="n">
        <x:v>0.145833</x:v>
      </x:c>
      <x:c r="U1723" s="4" t="str">
        <x:v>Train</x:v>
      </x:c>
    </x:row>
    <x:row r="1724" ht="34" customHeight="1">
      <x:c r="A1724" s="4" t="str">
        <x:v>RS-01723</x:v>
      </x:c>
      <x:c r="B1724" s="8" t="n">
        <x:v>45397</x:v>
      </x:c>
      <x:c r="C1724" s="4" t="str">
        <x:v>PRJ-003</x:v>
      </x:c>
      <x:c r="D1724" s="4" t="str">
        <x:v>Apartment</x:v>
      </x:c>
      <x:c r="E1724" s="4" t="str">
        <x:v>Handed over</x:v>
      </x:c>
      <x:c r="F1724" s="4" t="str">
        <x:v>CUS-01723</x:v>
      </x:c>
      <x:c r="G1724" s="4" t="str">
        <x:v>UNIT-01723</x:v>
      </x:c>
      <x:c r="H1724" s="9" t="n">
        <x:v>24500000</x:v>
      </x:c>
      <x:c r="I1724" s="10" t="n">
        <x:v>0.07</x:v>
      </x:c>
      <x:c r="J1724" s="11" t="n">
        <x:v>8</x:v>
      </x:c>
      <x:c r="K1724" s="11" t="n">
        <x:v>3</x:v>
      </x:c>
      <x:c r="L1724" s="11" t="n">
        <x:v>0</x:v>
      </x:c>
      <x:c r="M1724" s="9" t="n">
        <x:f>ROUND(H1724*(1-I1724),2)</x:f>
        <x:v>22785000</x:v>
      </x:c>
      <x:c r="N1724" s="4" t="str">
        <x:v>Sales manager</x:v>
      </x:c>
      <x:c r="O1724" s="4" t="str">
        <x:v>BOOK-01723</x:v>
      </x:c>
      <x:c r="P1724" s="9" t="n">
        <x:v>11392500</x:v>
      </x:c>
      <x:c r="Q1724" s="11" t="n">
        <x:v>0</x:v>
      </x:c>
      <x:c r="R1724" s="8" t="n">
        <x:v>45457</x:v>
      </x:c>
      <x:c r="S1724" s="4" t="str">
        <x:v>Retained</x:v>
      </x:c>
      <x:c r="T1724" s="10" t="n">
        <x:v>0.310195</x:v>
      </x:c>
      <x:c r="U1724" s="4" t="str">
        <x:v>Train</x:v>
      </x:c>
    </x:row>
    <x:row r="1725" ht="34" customHeight="1">
      <x:c r="A1725" s="4" t="str">
        <x:v>RS-01724</x:v>
      </x:c>
      <x:c r="B1725" s="8" t="n">
        <x:v>45398</x:v>
      </x:c>
      <x:c r="C1725" s="4" t="str">
        <x:v>PRJ-004</x:v>
      </x:c>
      <x:c r="D1725" s="4" t="str">
        <x:v>Office</x:v>
      </x:c>
      <x:c r="E1725" s="4" t="str">
        <x:v>Handed over</x:v>
      </x:c>
      <x:c r="F1725" s="4" t="str">
        <x:v>CUS-01724</x:v>
      </x:c>
      <x:c r="G1725" s="4" t="str">
        <x:v>UNIT-01724</x:v>
      </x:c>
      <x:c r="H1725" s="9" t="n">
        <x:v>21500000</x:v>
      </x:c>
      <x:c r="I1725" s="10" t="n">
        <x:v>0.08</x:v>
      </x:c>
      <x:c r="J1725" s="11" t="n">
        <x:v>2</x:v>
      </x:c>
      <x:c r="K1725" s="11" t="n">
        <x:v>5</x:v>
      </x:c>
      <x:c r="L1725" s="11" t="n">
        <x:v>1</x:v>
      </x:c>
      <x:c r="M1725" s="9" t="n">
        <x:f>ROUND(H1725*(1-I1725),2)</x:f>
        <x:v>19780000</x:v>
      </x:c>
      <x:c r="N1725" s="4" t="str">
        <x:v>Sales head</x:v>
      </x:c>
      <x:c r="O1725" s="4" t="str">
        <x:v>BOOK-01724</x:v>
      </x:c>
      <x:c r="P1725" s="9" t="n">
        <x:v>4945000</x:v>
      </x:c>
      <x:c r="Q1725" s="11" t="n">
        <x:v>0</x:v>
      </x:c>
      <x:c r="R1725" s="8" t="n">
        <x:v>45458</x:v>
      </x:c>
      <x:c r="S1725" s="4" t="str">
        <x:v>Retained</x:v>
      </x:c>
      <x:c r="T1725" s="10" t="n">
        <x:v>0.204152</x:v>
      </x:c>
      <x:c r="U1725" s="4" t="str">
        <x:v>Train</x:v>
      </x:c>
    </x:row>
    <x:row r="1726" ht="34" customHeight="1">
      <x:c r="A1726" s="4" t="str">
        <x:v>RS-01725</x:v>
      </x:c>
      <x:c r="B1726" s="8" t="n">
        <x:v>45399</x:v>
      </x:c>
      <x:c r="C1726" s="4" t="str">
        <x:v>PRJ-005</x:v>
      </x:c>
      <x:c r="D1726" s="4" t="str">
        <x:v>Apartment</x:v>
      </x:c>
      <x:c r="E1726" s="4" t="str">
        <x:v>Cancelled</x:v>
      </x:c>
      <x:c r="F1726" s="4" t="str">
        <x:v>CUS-01725</x:v>
      </x:c>
      <x:c r="G1726" s="4" t="str">
        <x:v>UNIT-01725</x:v>
      </x:c>
      <x:c r="H1726" s="9" t="n">
        <x:v>4100000</x:v>
      </x:c>
      <x:c r="I1726" s="10" t="n">
        <x:v>0.09</x:v>
      </x:c>
      <x:c r="J1726" s="11" t="n">
        <x:v>10</x:v>
      </x:c>
      <x:c r="K1726" s="11" t="n">
        <x:v>2</x:v>
      </x:c>
      <x:c r="L1726" s="11" t="n">
        <x:v>0</x:v>
      </x:c>
      <x:c r="M1726" s="9" t="n">
        <x:f>ROUND(H1726*(1-I1726),2)</x:f>
        <x:v>3731000</x:v>
      </x:c>
      <x:c r="N1726" s="4" t="str">
        <x:v>Sales head</x:v>
      </x:c>
      <x:c r="O1726" s="4"/>
      <x:c r="P1726" s="9" t="n">
        <x:v>0</x:v>
      </x:c>
      <x:c r="Q1726" s="11" t="n">
        <x:v>1</x:v>
      </x:c>
      <x:c r="R1726" s="8" t="n">
        <x:v>45459</x:v>
      </x:c>
      <x:c r="S1726" s="4" t="str">
        <x:v>Lost / cancelled</x:v>
      </x:c>
      <x:c r="T1726" s="10" t="n">
        <x:v>0.310195</x:v>
      </x:c>
      <x:c r="U1726" s="4" t="str">
        <x:v>Train</x:v>
      </x:c>
    </x:row>
    <x:row r="1727" ht="34" customHeight="1">
      <x:c r="A1727" s="4" t="str">
        <x:v>RS-01726</x:v>
      </x:c>
      <x:c r="B1727" s="8" t="n">
        <x:v>45400</x:v>
      </x:c>
      <x:c r="C1727" s="4" t="str">
        <x:v>PRJ-006</x:v>
      </x:c>
      <x:c r="D1727" s="4" t="str">
        <x:v>Villa</x:v>
      </x:c>
      <x:c r="E1727" s="4" t="str">
        <x:v>Handed over</x:v>
      </x:c>
      <x:c r="F1727" s="4" t="str">
        <x:v>CUS-01726</x:v>
      </x:c>
      <x:c r="G1727" s="4" t="str">
        <x:v>UNIT-01726</x:v>
      </x:c>
      <x:c r="H1727" s="9" t="n">
        <x:v>14500000</x:v>
      </x:c>
      <x:c r="I1727" s="10" t="n">
        <x:v>0.06</x:v>
      </x:c>
      <x:c r="J1727" s="11" t="n">
        <x:v>5</x:v>
      </x:c>
      <x:c r="K1727" s="11" t="n">
        <x:v>0</x:v>
      </x:c>
      <x:c r="L1727" s="11" t="n">
        <x:v>0</x:v>
      </x:c>
      <x:c r="M1727" s="9" t="n">
        <x:f>ROUND(H1727*(1-I1727),2)</x:f>
        <x:v>13630000</x:v>
      </x:c>
      <x:c r="N1727" s="4" t="str">
        <x:v>Sales manager</x:v>
      </x:c>
      <x:c r="O1727" s="4" t="str">
        <x:v>BOOK-01726</x:v>
      </x:c>
      <x:c r="P1727" s="9" t="n">
        <x:v>3407500</x:v>
      </x:c>
      <x:c r="Q1727" s="11" t="n">
        <x:v>0</x:v>
      </x:c>
      <x:c r="R1727" s="8" t="n">
        <x:v>45460</x:v>
      </x:c>
      <x:c r="S1727" s="4" t="str">
        <x:v>Retained</x:v>
      </x:c>
      <x:c r="T1727" s="10" t="n">
        <x:v>0.226277</x:v>
      </x:c>
      <x:c r="U1727" s="4" t="str">
        <x:v>Train</x:v>
      </x:c>
    </x:row>
    <x:row r="1728" ht="34" customHeight="1">
      <x:c r="A1728" s="4" t="str">
        <x:v>RS-01727</x:v>
      </x:c>
      <x:c r="B1728" s="8" t="n">
        <x:v>45401</x:v>
      </x:c>
      <x:c r="C1728" s="4" t="str">
        <x:v>PRJ-007</x:v>
      </x:c>
      <x:c r="D1728" s="4" t="str">
        <x:v>Retail</x:v>
      </x:c>
      <x:c r="E1728" s="4" t="str">
        <x:v>Enquiry</x:v>
      </x:c>
      <x:c r="F1728" s="4" t="str">
        <x:v>CUS-01727</x:v>
      </x:c>
      <x:c r="G1728" s="4" t="str">
        <x:v>UNIT-01727</x:v>
      </x:c>
      <x:c r="H1728" s="9" t="n">
        <x:v>12500000</x:v>
      </x:c>
      <x:c r="I1728" s="10" t="n">
        <x:v>0.09</x:v>
      </x:c>
      <x:c r="J1728" s="11" t="n">
        <x:v>8</x:v>
      </x:c>
      <x:c r="K1728" s="11" t="n">
        <x:v>3</x:v>
      </x:c>
      <x:c r="L1728" s="11" t="n">
        <x:v>1</x:v>
      </x:c>
      <x:c r="M1728" s="9" t="n">
        <x:f>ROUND(H1728*(1-I1728),2)</x:f>
        <x:v>11375000</x:v>
      </x:c>
      <x:c r="N1728" s="4" t="str">
        <x:v>Sales head</x:v>
      </x:c>
      <x:c r="O1728" s="4"/>
      <x:c r="P1728" s="9" t="n">
        <x:v>0</x:v>
      </x:c>
      <x:c r="Q1728" s="11" t="n">
        <x:v>1</x:v>
      </x:c>
      <x:c r="R1728" s="8" t="n">
        <x:v>45461</x:v>
      </x:c>
      <x:c r="S1728" s="4" t="str">
        <x:v>Lost / cancelled</x:v>
      </x:c>
      <x:c r="T1728" s="10" t="n">
        <x:v>0.310195</x:v>
      </x:c>
      <x:c r="U1728" s="4" t="str">
        <x:v>Train</x:v>
      </x:c>
    </x:row>
    <x:row r="1729" ht="34" customHeight="1">
      <x:c r="A1729" s="4" t="str">
        <x:v>RS-01728</x:v>
      </x:c>
      <x:c r="B1729" s="8" t="n">
        <x:v>45402</x:v>
      </x:c>
      <x:c r="C1729" s="4" t="str">
        <x:v>PRJ-008</x:v>
      </x:c>
      <x:c r="D1729" s="4" t="str">
        <x:v>Villa</x:v>
      </x:c>
      <x:c r="E1729" s="4" t="str">
        <x:v>Agreement signed</x:v>
      </x:c>
      <x:c r="F1729" s="4" t="str">
        <x:v>CUS-01728</x:v>
      </x:c>
      <x:c r="G1729" s="4" t="str">
        <x:v>UNIT-01728</x:v>
      </x:c>
      <x:c r="H1729" s="9" t="n">
        <x:v>19100000</x:v>
      </x:c>
      <x:c r="I1729" s="10" t="n">
        <x:v>0.02</x:v>
      </x:c>
      <x:c r="J1729" s="11" t="n">
        <x:v>12</x:v>
      </x:c>
      <x:c r="K1729" s="11" t="n">
        <x:v>9</x:v>
      </x:c>
      <x:c r="L1729" s="11" t="n">
        <x:v>1</x:v>
      </x:c>
      <x:c r="M1729" s="9" t="n">
        <x:f>ROUND(H1729*(1-I1729),2)</x:f>
        <x:v>18718000</x:v>
      </x:c>
      <x:c r="N1729" s="4" t="str">
        <x:v>Sales manager</x:v>
      </x:c>
      <x:c r="O1729" s="4" t="str">
        <x:v>BOOK-01728</x:v>
      </x:c>
      <x:c r="P1729" s="9" t="n">
        <x:v>9359000</x:v>
      </x:c>
      <x:c r="Q1729" s="11" t="n">
        <x:v>0</x:v>
      </x:c>
      <x:c r="R1729" s="8" t="n">
        <x:v>45462</x:v>
      </x:c>
      <x:c r="S1729" s="4" t="str">
        <x:v>Retained</x:v>
      </x:c>
      <x:c r="T1729" s="10" t="n">
        <x:v>0.254545</x:v>
      </x:c>
      <x:c r="U1729" s="4" t="str">
        <x:v>Train</x:v>
      </x:c>
    </x:row>
    <x:row r="1730" ht="34" customHeight="1">
      <x:c r="A1730" s="4" t="str">
        <x:v>RS-01729</x:v>
      </x:c>
      <x:c r="B1730" s="8" t="n">
        <x:v>45403</x:v>
      </x:c>
      <x:c r="C1730" s="4" t="str">
        <x:v>PRJ-009</x:v>
      </x:c>
      <x:c r="D1730" s="4" t="str">
        <x:v>Office</x:v>
      </x:c>
      <x:c r="E1730" s="4" t="str">
        <x:v>Cancelled</x:v>
      </x:c>
      <x:c r="F1730" s="4" t="str">
        <x:v>CUS-01729</x:v>
      </x:c>
      <x:c r="G1730" s="4" t="str">
        <x:v>UNIT-01729</x:v>
      </x:c>
      <x:c r="H1730" s="9" t="n">
        <x:v>13000000</x:v>
      </x:c>
      <x:c r="I1730" s="10" t="n">
        <x:v>0</x:v>
      </x:c>
      <x:c r="J1730" s="11" t="n">
        <x:v>7</x:v>
      </x:c>
      <x:c r="K1730" s="11" t="n">
        <x:v>9</x:v>
      </x:c>
      <x:c r="L1730" s="11" t="n">
        <x:v>1</x:v>
      </x:c>
      <x:c r="M1730" s="9" t="n">
        <x:f>ROUND(H1730*(1-I1730),2)</x:f>
        <x:v>13000000</x:v>
      </x:c>
      <x:c r="N1730" s="4" t="str">
        <x:v>Sales manager</x:v>
      </x:c>
      <x:c r="O1730" s="4"/>
      <x:c r="P1730" s="9" t="n">
        <x:v>0</x:v>
      </x:c>
      <x:c r="Q1730" s="11" t="n">
        <x:v>1</x:v>
      </x:c>
      <x:c r="R1730" s="8" t="n">
        <x:v>45463</x:v>
      </x:c>
      <x:c r="S1730" s="4" t="str">
        <x:v>Lost / cancelled</x:v>
      </x:c>
      <x:c r="T1730" s="10" t="n">
        <x:v>0.145299</x:v>
      </x:c>
      <x:c r="U1730" s="4" t="str">
        <x:v>Train</x:v>
      </x:c>
    </x:row>
    <x:row r="1731" ht="34" customHeight="1">
      <x:c r="A1731" s="4" t="str">
        <x:v>RS-01730</x:v>
      </x:c>
      <x:c r="B1731" s="8" t="n">
        <x:v>45404</x:v>
      </x:c>
      <x:c r="C1731" s="4" t="str">
        <x:v>PRJ-010</x:v>
      </x:c>
      <x:c r="D1731" s="4" t="str">
        <x:v>Office</x:v>
      </x:c>
      <x:c r="E1731" s="4" t="str">
        <x:v>Enquiry</x:v>
      </x:c>
      <x:c r="F1731" s="4" t="str">
        <x:v>CUS-01730</x:v>
      </x:c>
      <x:c r="G1731" s="4" t="str">
        <x:v>UNIT-01730</x:v>
      </x:c>
      <x:c r="H1731" s="9" t="n">
        <x:v>14400000</x:v>
      </x:c>
      <x:c r="I1731" s="10" t="n">
        <x:v>0.07</x:v>
      </x:c>
      <x:c r="J1731" s="11" t="n">
        <x:v>1</x:v>
      </x:c>
      <x:c r="K1731" s="11" t="n">
        <x:v>3</x:v>
      </x:c>
      <x:c r="L1731" s="11" t="n">
        <x:v>0</x:v>
      </x:c>
      <x:c r="M1731" s="9" t="n">
        <x:f>ROUND(H1731*(1-I1731),2)</x:f>
        <x:v>13392000</x:v>
      </x:c>
      <x:c r="N1731" s="4" t="str">
        <x:v>Sales manager</x:v>
      </x:c>
      <x:c r="O1731" s="4"/>
      <x:c r="P1731" s="9" t="n">
        <x:v>0</x:v>
      </x:c>
      <x:c r="Q1731" s="11" t="n">
        <x:v>0</x:v>
      </x:c>
      <x:c r="R1731" s="8" t="n">
        <x:v>45464</x:v>
      </x:c>
      <x:c r="S1731" s="4" t="str">
        <x:v>Retained</x:v>
      </x:c>
      <x:c r="T1731" s="10" t="n">
        <x:v>0.204152</x:v>
      </x:c>
      <x:c r="U1731" s="4" t="str">
        <x:v>Train</x:v>
      </x:c>
    </x:row>
    <x:row r="1732" ht="34" customHeight="1">
      <x:c r="A1732" s="4" t="str">
        <x:v>RS-01731</x:v>
      </x:c>
      <x:c r="B1732" s="8" t="n">
        <x:v>45405</x:v>
      </x:c>
      <x:c r="C1732" s="4" t="str">
        <x:v>PRJ-011</x:v>
      </x:c>
      <x:c r="D1732" s="4" t="str">
        <x:v>Villa</x:v>
      </x:c>
      <x:c r="E1732" s="4" t="str">
        <x:v>Handed over</x:v>
      </x:c>
      <x:c r="F1732" s="4" t="str">
        <x:v>CUS-01731</x:v>
      </x:c>
      <x:c r="G1732" s="4" t="str">
        <x:v>UNIT-01731</x:v>
      </x:c>
      <x:c r="H1732" s="9" t="n">
        <x:v>13700000</x:v>
      </x:c>
      <x:c r="I1732" s="10" t="n">
        <x:v>0.03</x:v>
      </x:c>
      <x:c r="J1732" s="11" t="n">
        <x:v>4</x:v>
      </x:c>
      <x:c r="K1732" s="11" t="n">
        <x:v>10</x:v>
      </x:c>
      <x:c r="L1732" s="11" t="n">
        <x:v>0</x:v>
      </x:c>
      <x:c r="M1732" s="9" t="n">
        <x:f>ROUND(H1732*(1-I1732),2)</x:f>
        <x:v>13289000</x:v>
      </x:c>
      <x:c r="N1732" s="4" t="str">
        <x:v>Sales manager</x:v>
      </x:c>
      <x:c r="O1732" s="4" t="str">
        <x:v>BOOK-01731</x:v>
      </x:c>
      <x:c r="P1732" s="9" t="n">
        <x:v>6644500</x:v>
      </x:c>
      <x:c r="Q1732" s="11" t="n">
        <x:v>0</x:v>
      </x:c>
      <x:c r="R1732" s="8" t="n">
        <x:v>45465</x:v>
      </x:c>
      <x:c r="S1732" s="4" t="str">
        <x:v>Retained</x:v>
      </x:c>
      <x:c r="T1732" s="10" t="n">
        <x:v>0.145299</x:v>
      </x:c>
      <x:c r="U1732" s="4" t="str">
        <x:v>Train</x:v>
      </x:c>
    </x:row>
    <x:row r="1733" ht="34" customHeight="1">
      <x:c r="A1733" s="4" t="str">
        <x:v>RS-01732</x:v>
      </x:c>
      <x:c r="B1733" s="8" t="n">
        <x:v>45406</x:v>
      </x:c>
      <x:c r="C1733" s="4" t="str">
        <x:v>PRJ-012</x:v>
      </x:c>
      <x:c r="D1733" s="4" t="str">
        <x:v>Apartment</x:v>
      </x:c>
      <x:c r="E1733" s="4" t="str">
        <x:v>Agreement signed</x:v>
      </x:c>
      <x:c r="F1733" s="4" t="str">
        <x:v>CUS-01732</x:v>
      </x:c>
      <x:c r="G1733" s="4" t="str">
        <x:v>UNIT-01732</x:v>
      </x:c>
      <x:c r="H1733" s="9" t="n">
        <x:v>24100000</x:v>
      </x:c>
      <x:c r="I1733" s="10" t="n">
        <x:v>0.12</x:v>
      </x:c>
      <x:c r="J1733" s="11" t="n">
        <x:v>7</x:v>
      </x:c>
      <x:c r="K1733" s="11" t="n">
        <x:v>6</x:v>
      </x:c>
      <x:c r="L1733" s="11" t="n">
        <x:v>1</x:v>
      </x:c>
      <x:c r="M1733" s="9" t="n">
        <x:f>ROUND(H1733*(1-I1733),2)</x:f>
        <x:v>21208000</x:v>
      </x:c>
      <x:c r="N1733" s="4" t="str">
        <x:v>Sales head</x:v>
      </x:c>
      <x:c r="O1733" s="4" t="str">
        <x:v>BOOK-01732</x:v>
      </x:c>
      <x:c r="P1733" s="9" t="n">
        <x:v>21208000</x:v>
      </x:c>
      <x:c r="Q1733" s="11" t="n">
        <x:v>0</x:v>
      </x:c>
      <x:c r="R1733" s="8" t="n">
        <x:v>45466</x:v>
      </x:c>
      <x:c r="S1733" s="4" t="str">
        <x:v>Retained</x:v>
      </x:c>
      <x:c r="T1733" s="10" t="n">
        <x:v>0.291946</x:v>
      </x:c>
      <x:c r="U1733" s="4" t="str">
        <x:v>Train</x:v>
      </x:c>
    </x:row>
    <x:row r="1734" ht="34" customHeight="1">
      <x:c r="A1734" s="4" t="str">
        <x:v>RS-01733</x:v>
      </x:c>
      <x:c r="B1734" s="8" t="n">
        <x:v>45407</x:v>
      </x:c>
      <x:c r="C1734" s="4" t="str">
        <x:v>PRJ-013</x:v>
      </x:c>
      <x:c r="D1734" s="4" t="str">
        <x:v>Apartment</x:v>
      </x:c>
      <x:c r="E1734" s="4" t="str">
        <x:v>Handed over</x:v>
      </x:c>
      <x:c r="F1734" s="4" t="str">
        <x:v>CUS-01733</x:v>
      </x:c>
      <x:c r="G1734" s="4" t="str">
        <x:v>UNIT-01733</x:v>
      </x:c>
      <x:c r="H1734" s="9" t="n">
        <x:v>14900000</x:v>
      </x:c>
      <x:c r="I1734" s="10" t="n">
        <x:v>0.11</x:v>
      </x:c>
      <x:c r="J1734" s="11" t="n">
        <x:v>11</x:v>
      </x:c>
      <x:c r="K1734" s="11" t="n">
        <x:v>10</x:v>
      </x:c>
      <x:c r="L1734" s="11" t="n">
        <x:v>0</x:v>
      </x:c>
      <x:c r="M1734" s="9" t="n">
        <x:f>ROUND(H1734*(1-I1734),2)</x:f>
        <x:v>13261000</x:v>
      </x:c>
      <x:c r="N1734" s="4" t="str">
        <x:v>Sales head</x:v>
      </x:c>
      <x:c r="O1734" s="4" t="str">
        <x:v>BOOK-01733</x:v>
      </x:c>
      <x:c r="P1734" s="9" t="n">
        <x:v>6630500</x:v>
      </x:c>
      <x:c r="Q1734" s="11" t="n">
        <x:v>0</x:v>
      </x:c>
      <x:c r="R1734" s="8" t="n">
        <x:v>45467</x:v>
      </x:c>
      <x:c r="S1734" s="4" t="str">
        <x:v>Retained</x:v>
      </x:c>
      <x:c r="T1734" s="10" t="n">
        <x:v>0.351536</x:v>
      </x:c>
      <x:c r="U1734" s="4" t="str">
        <x:v>Train</x:v>
      </x:c>
    </x:row>
    <x:row r="1735" ht="34" customHeight="1">
      <x:c r="A1735" s="4" t="str">
        <x:v>RS-01734</x:v>
      </x:c>
      <x:c r="B1735" s="8" t="n">
        <x:v>45408</x:v>
      </x:c>
      <x:c r="C1735" s="4" t="str">
        <x:v>PRJ-014</x:v>
      </x:c>
      <x:c r="D1735" s="4" t="str">
        <x:v>Office</x:v>
      </x:c>
      <x:c r="E1735" s="4" t="str">
        <x:v>Reserved</x:v>
      </x:c>
      <x:c r="F1735" s="4" t="str">
        <x:v>CUS-01734</x:v>
      </x:c>
      <x:c r="G1735" s="4" t="str">
        <x:v>UNIT-01734</x:v>
      </x:c>
      <x:c r="H1735" s="9" t="n">
        <x:v>6600000</x:v>
      </x:c>
      <x:c r="I1735" s="10" t="n">
        <x:v>0.1</x:v>
      </x:c>
      <x:c r="J1735" s="11" t="n">
        <x:v>10</x:v>
      </x:c>
      <x:c r="K1735" s="11" t="n">
        <x:v>4</x:v>
      </x:c>
      <x:c r="L1735" s="11" t="n">
        <x:v>1</x:v>
      </x:c>
      <x:c r="M1735" s="9" t="n">
        <x:f>ROUND(H1735*(1-I1735),2)</x:f>
        <x:v>5940000</x:v>
      </x:c>
      <x:c r="N1735" s="4" t="str">
        <x:v>Sales head</x:v>
      </x:c>
      <x:c r="O1735" s="4"/>
      <x:c r="P1735" s="9" t="n">
        <x:v>0</x:v>
      </x:c>
      <x:c r="Q1735" s="11" t="n">
        <x:v>1</x:v>
      </x:c>
      <x:c r="R1735" s="8" t="n">
        <x:v>45468</x:v>
      </x:c>
      <x:c r="S1735" s="4" t="str">
        <x:v>Lost / cancelled</x:v>
      </x:c>
      <x:c r="T1735" s="10" t="n">
        <x:v>0.310195</x:v>
      </x:c>
      <x:c r="U1735" s="4" t="str">
        <x:v>Train</x:v>
      </x:c>
    </x:row>
    <x:row r="1736" ht="34" customHeight="1">
      <x:c r="A1736" s="4" t="str">
        <x:v>RS-01735</x:v>
      </x:c>
      <x:c r="B1736" s="8" t="n">
        <x:v>45409</x:v>
      </x:c>
      <x:c r="C1736" s="4" t="str">
        <x:v>PRJ-015</x:v>
      </x:c>
      <x:c r="D1736" s="4" t="str">
        <x:v>Retail</x:v>
      </x:c>
      <x:c r="E1736" s="4" t="str">
        <x:v>Cancelled</x:v>
      </x:c>
      <x:c r="F1736" s="4" t="str">
        <x:v>CUS-01735</x:v>
      </x:c>
      <x:c r="G1736" s="4" t="str">
        <x:v>UNIT-01735</x:v>
      </x:c>
      <x:c r="H1736" s="9" t="n">
        <x:v>7300000</x:v>
      </x:c>
      <x:c r="I1736" s="10" t="n">
        <x:v>0.01</x:v>
      </x:c>
      <x:c r="J1736" s="11" t="n">
        <x:v>0</x:v>
      </x:c>
      <x:c r="K1736" s="11" t="n">
        <x:v>2</x:v>
      </x:c>
      <x:c r="L1736" s="11" t="n">
        <x:v>1</x:v>
      </x:c>
      <x:c r="M1736" s="9" t="n">
        <x:f>ROUND(H1736*(1-I1736),2)</x:f>
        <x:v>7227000</x:v>
      </x:c>
      <x:c r="N1736" s="4" t="str">
        <x:v>Sales manager</x:v>
      </x:c>
      <x:c r="O1736" s="4"/>
      <x:c r="P1736" s="9" t="n">
        <x:v>0</x:v>
      </x:c>
      <x:c r="Q1736" s="11" t="n">
        <x:v>1</x:v>
      </x:c>
      <x:c r="R1736" s="8" t="n">
        <x:v>45469</x:v>
      </x:c>
      <x:c r="S1736" s="4" t="str">
        <x:v>Lost / cancelled</x:v>
      </x:c>
      <x:c r="T1736" s="10" t="n">
        <x:v>0.072165</x:v>
      </x:c>
      <x:c r="U1736" s="4" t="str">
        <x:v>Train</x:v>
      </x:c>
    </x:row>
    <x:row r="1737" ht="34" customHeight="1">
      <x:c r="A1737" s="4" t="str">
        <x:v>RS-01736</x:v>
      </x:c>
      <x:c r="B1737" s="8" t="n">
        <x:v>45410</x:v>
      </x:c>
      <x:c r="C1737" s="4" t="str">
        <x:v>PRJ-016</x:v>
      </x:c>
      <x:c r="D1737" s="4" t="str">
        <x:v>Villa</x:v>
      </x:c>
      <x:c r="E1737" s="4" t="str">
        <x:v>Booked</x:v>
      </x:c>
      <x:c r="F1737" s="4" t="str">
        <x:v>CUS-01736</x:v>
      </x:c>
      <x:c r="G1737" s="4" t="str">
        <x:v>UNIT-01736</x:v>
      </x:c>
      <x:c r="H1737" s="9" t="n">
        <x:v>18100000</x:v>
      </x:c>
      <x:c r="I1737" s="10" t="n">
        <x:v>0.02</x:v>
      </x:c>
      <x:c r="J1737" s="11" t="n">
        <x:v>10</x:v>
      </x:c>
      <x:c r="K1737" s="11" t="n">
        <x:v>8</x:v>
      </x:c>
      <x:c r="L1737" s="11" t="n">
        <x:v>1</x:v>
      </x:c>
      <x:c r="M1737" s="9" t="n">
        <x:f>ROUND(H1737*(1-I1737),2)</x:f>
        <x:v>17738000</x:v>
      </x:c>
      <x:c r="N1737" s="4" t="str">
        <x:v>Sales manager</x:v>
      </x:c>
      <x:c r="O1737" s="4" t="str">
        <x:v>BOOK-01736</x:v>
      </x:c>
      <x:c r="P1737" s="9" t="n">
        <x:v>4434500</x:v>
      </x:c>
      <x:c r="Q1737" s="11" t="n">
        <x:v>0</x:v>
      </x:c>
      <x:c r="R1737" s="8" t="n">
        <x:v>45470</x:v>
      </x:c>
      <x:c r="S1737" s="4" t="str">
        <x:v>Retained</x:v>
      </x:c>
      <x:c r="T1737" s="10" t="n">
        <x:v>0.254545</x:v>
      </x:c>
      <x:c r="U1737" s="4" t="str">
        <x:v>Train</x:v>
      </x:c>
    </x:row>
    <x:row r="1738" ht="34" customHeight="1">
      <x:c r="A1738" s="4" t="str">
        <x:v>RS-01737</x:v>
      </x:c>
      <x:c r="B1738" s="8" t="n">
        <x:v>45383</x:v>
      </x:c>
      <x:c r="C1738" s="4" t="str">
        <x:v>PRJ-017</x:v>
      </x:c>
      <x:c r="D1738" s="4" t="str">
        <x:v>Villa</x:v>
      </x:c>
      <x:c r="E1738" s="4" t="str">
        <x:v>Cancelled</x:v>
      </x:c>
      <x:c r="F1738" s="4" t="str">
        <x:v>CUS-01737</x:v>
      </x:c>
      <x:c r="G1738" s="4" t="str">
        <x:v>UNIT-01737</x:v>
      </x:c>
      <x:c r="H1738" s="9" t="n">
        <x:v>11400000</x:v>
      </x:c>
      <x:c r="I1738" s="10" t="n">
        <x:v>0.01</x:v>
      </x:c>
      <x:c r="J1738" s="11" t="n">
        <x:v>0</x:v>
      </x:c>
      <x:c r="K1738" s="11" t="n">
        <x:v>0</x:v>
      </x:c>
      <x:c r="L1738" s="11" t="n">
        <x:v>0</x:v>
      </x:c>
      <x:c r="M1738" s="9" t="n">
        <x:f>ROUND(H1738*(1-I1738),2)</x:f>
        <x:v>11286000</x:v>
      </x:c>
      <x:c r="N1738" s="4" t="str">
        <x:v>Sales manager</x:v>
      </x:c>
      <x:c r="O1738" s="4"/>
      <x:c r="P1738" s="9" t="n">
        <x:v>0</x:v>
      </x:c>
      <x:c r="Q1738" s="11" t="n">
        <x:v>1</x:v>
      </x:c>
      <x:c r="R1738" s="8" t="n">
        <x:v>45443</x:v>
      </x:c>
      <x:c r="S1738" s="4" t="str">
        <x:v>Lost / cancelled</x:v>
      </x:c>
      <x:c r="T1738" s="10" t="n">
        <x:v>0.276923</x:v>
      </x:c>
      <x:c r="U1738" s="4" t="str">
        <x:v>Train</x:v>
      </x:c>
    </x:row>
    <x:row r="1739" ht="34" customHeight="1">
      <x:c r="A1739" s="4" t="str">
        <x:v>RS-01738</x:v>
      </x:c>
      <x:c r="B1739" s="8" t="n">
        <x:v>45384</x:v>
      </x:c>
      <x:c r="C1739" s="4" t="str">
        <x:v>PRJ-018</x:v>
      </x:c>
      <x:c r="D1739" s="4" t="str">
        <x:v>Office</x:v>
      </x:c>
      <x:c r="E1739" s="4" t="str">
        <x:v>Agreement signed</x:v>
      </x:c>
      <x:c r="F1739" s="4" t="str">
        <x:v>CUS-01738</x:v>
      </x:c>
      <x:c r="G1739" s="4" t="str">
        <x:v>UNIT-01738</x:v>
      </x:c>
      <x:c r="H1739" s="9" t="n">
        <x:v>8200000</x:v>
      </x:c>
      <x:c r="I1739" s="10" t="n">
        <x:v>0</x:v>
      </x:c>
      <x:c r="J1739" s="11" t="n">
        <x:v>8</x:v>
      </x:c>
      <x:c r="K1739" s="11" t="n">
        <x:v>1</x:v>
      </x:c>
      <x:c r="L1739" s="11" t="n">
        <x:v>1</x:v>
      </x:c>
      <x:c r="M1739" s="9" t="n">
        <x:f>ROUND(H1739*(1-I1739),2)</x:f>
        <x:v>8200000</x:v>
      </x:c>
      <x:c r="N1739" s="4" t="str">
        <x:v>Sales manager</x:v>
      </x:c>
      <x:c r="O1739" s="4" t="str">
        <x:v>BOOK-01738</x:v>
      </x:c>
      <x:c r="P1739" s="9" t="n">
        <x:v>2050000</x:v>
      </x:c>
      <x:c r="Q1739" s="11" t="n">
        <x:v>0</x:v>
      </x:c>
      <x:c r="R1739" s="8" t="n">
        <x:v>45444</x:v>
      </x:c>
      <x:c r="S1739" s="4" t="str">
        <x:v>Retained</x:v>
      </x:c>
      <x:c r="T1739" s="10" t="n">
        <x:v>0.254545</x:v>
      </x:c>
      <x:c r="U1739" s="4" t="str">
        <x:v>Train</x:v>
      </x:c>
    </x:row>
    <x:row r="1740" ht="34" customHeight="1">
      <x:c r="A1740" s="4" t="str">
        <x:v>RS-01739</x:v>
      </x:c>
      <x:c r="B1740" s="8" t="n">
        <x:v>45385</x:v>
      </x:c>
      <x:c r="C1740" s="4" t="str">
        <x:v>PRJ-019</x:v>
      </x:c>
      <x:c r="D1740" s="4" t="str">
        <x:v>Villa</x:v>
      </x:c>
      <x:c r="E1740" s="4" t="str">
        <x:v>Enquiry</x:v>
      </x:c>
      <x:c r="F1740" s="4" t="str">
        <x:v>CUS-01739</x:v>
      </x:c>
      <x:c r="G1740" s="4" t="str">
        <x:v>UNIT-01739</x:v>
      </x:c>
      <x:c r="H1740" s="9" t="n">
        <x:v>8300000</x:v>
      </x:c>
      <x:c r="I1740" s="10" t="n">
        <x:v>0.11</x:v>
      </x:c>
      <x:c r="J1740" s="11" t="n">
        <x:v>6</x:v>
      </x:c>
      <x:c r="K1740" s="11" t="n">
        <x:v>5</x:v>
      </x:c>
      <x:c r="L1740" s="11" t="n">
        <x:v>0</x:v>
      </x:c>
      <x:c r="M1740" s="9" t="n">
        <x:f>ROUND(H1740*(1-I1740),2)</x:f>
        <x:v>7387000</x:v>
      </x:c>
      <x:c r="N1740" s="4" t="str">
        <x:v>Sales head</x:v>
      </x:c>
      <x:c r="O1740" s="4"/>
      <x:c r="P1740" s="9" t="n">
        <x:v>0</x:v>
      </x:c>
      <x:c r="Q1740" s="11" t="n">
        <x:v>0</x:v>
      </x:c>
      <x:c r="R1740" s="8" t="n">
        <x:v>45445</x:v>
      </x:c>
      <x:c r="S1740" s="4" t="str">
        <x:v>Retained</x:v>
      </x:c>
      <x:c r="T1740" s="10" t="n">
        <x:v>0.226277</x:v>
      </x:c>
      <x:c r="U1740" s="4" t="str">
        <x:v>Train</x:v>
      </x:c>
    </x:row>
    <x:row r="1741" ht="34" customHeight="1">
      <x:c r="A1741" s="4" t="str">
        <x:v>RS-01740</x:v>
      </x:c>
      <x:c r="B1741" s="8" t="n">
        <x:v>45386</x:v>
      </x:c>
      <x:c r="C1741" s="4" t="str">
        <x:v>PRJ-020</x:v>
      </x:c>
      <x:c r="D1741" s="4" t="str">
        <x:v>Villa</x:v>
      </x:c>
      <x:c r="E1741" s="4" t="str">
        <x:v>Agreement signed</x:v>
      </x:c>
      <x:c r="F1741" s="4" t="str">
        <x:v>CUS-01740</x:v>
      </x:c>
      <x:c r="G1741" s="4" t="str">
        <x:v>UNIT-01740</x:v>
      </x:c>
      <x:c r="H1741" s="9" t="n">
        <x:v>6800000</x:v>
      </x:c>
      <x:c r="I1741" s="10" t="n">
        <x:v>0.1</x:v>
      </x:c>
      <x:c r="J1741" s="11" t="n">
        <x:v>4</x:v>
      </x:c>
      <x:c r="K1741" s="11" t="n">
        <x:v>6</x:v>
      </x:c>
      <x:c r="L1741" s="11" t="n">
        <x:v>1</x:v>
      </x:c>
      <x:c r="M1741" s="9" t="n">
        <x:f>ROUND(H1741*(1-I1741),2)</x:f>
        <x:v>6120000</x:v>
      </x:c>
      <x:c r="N1741" s="4" t="str">
        <x:v>Sales head</x:v>
      </x:c>
      <x:c r="O1741" s="4" t="str">
        <x:v>BOOK-01740</x:v>
      </x:c>
      <x:c r="P1741" s="9" t="n">
        <x:v>3060000</x:v>
      </x:c>
      <x:c r="Q1741" s="11" t="n">
        <x:v>0</x:v>
      </x:c>
      <x:c r="R1741" s="8" t="n">
        <x:v>45446</x:v>
      </x:c>
      <x:c r="S1741" s="4" t="str">
        <x:v>Retained</x:v>
      </x:c>
      <x:c r="T1741" s="10" t="n">
        <x:v>0.291946</x:v>
      </x:c>
      <x:c r="U1741" s="4" t="str">
        <x:v>Train</x:v>
      </x:c>
    </x:row>
    <x:row r="1742" ht="34" customHeight="1">
      <x:c r="A1742" s="4" t="str">
        <x:v>RS-01741</x:v>
      </x:c>
      <x:c r="B1742" s="8" t="n">
        <x:v>45387</x:v>
      </x:c>
      <x:c r="C1742" s="4" t="str">
        <x:v>PRJ-001</x:v>
      </x:c>
      <x:c r="D1742" s="4" t="str">
        <x:v>Villa</x:v>
      </x:c>
      <x:c r="E1742" s="4" t="str">
        <x:v>Reserved</x:v>
      </x:c>
      <x:c r="F1742" s="4" t="str">
        <x:v>CUS-01741</x:v>
      </x:c>
      <x:c r="G1742" s="4" t="str">
        <x:v>UNIT-01741</x:v>
      </x:c>
      <x:c r="H1742" s="9" t="n">
        <x:v>13000000</x:v>
      </x:c>
      <x:c r="I1742" s="10" t="n">
        <x:v>0.09</x:v>
      </x:c>
      <x:c r="J1742" s="11" t="n">
        <x:v>4</x:v>
      </x:c>
      <x:c r="K1742" s="11" t="n">
        <x:v>9</x:v>
      </x:c>
      <x:c r="L1742" s="11" t="n">
        <x:v>1</x:v>
      </x:c>
      <x:c r="M1742" s="9" t="n">
        <x:f>ROUND(H1742*(1-I1742),2)</x:f>
        <x:v>11830000</x:v>
      </x:c>
      <x:c r="N1742" s="4" t="str">
        <x:v>Sales head</x:v>
      </x:c>
      <x:c r="O1742" s="4"/>
      <x:c r="P1742" s="9" t="n">
        <x:v>0</x:v>
      </x:c>
      <x:c r="Q1742" s="11" t="n">
        <x:v>1</x:v>
      </x:c>
      <x:c r="R1742" s="8" t="n">
        <x:v>45447</x:v>
      </x:c>
      <x:c r="S1742" s="4" t="str">
        <x:v>Lost / cancelled</x:v>
      </x:c>
      <x:c r="T1742" s="10" t="n">
        <x:v>0.291946</x:v>
      </x:c>
      <x:c r="U1742" s="4" t="str">
        <x:v>Train</x:v>
      </x:c>
    </x:row>
    <x:row r="1743" ht="34" customHeight="1">
      <x:c r="A1743" s="4" t="str">
        <x:v>RS-01742</x:v>
      </x:c>
      <x:c r="B1743" s="8" t="n">
        <x:v>45388</x:v>
      </x:c>
      <x:c r="C1743" s="4" t="str">
        <x:v>PRJ-002</x:v>
      </x:c>
      <x:c r="D1743" s="4" t="str">
        <x:v>Office</x:v>
      </x:c>
      <x:c r="E1743" s="4" t="str">
        <x:v>Reserved</x:v>
      </x:c>
      <x:c r="F1743" s="4" t="str">
        <x:v>CUS-01742</x:v>
      </x:c>
      <x:c r="G1743" s="4" t="str">
        <x:v>UNIT-01742</x:v>
      </x:c>
      <x:c r="H1743" s="9" t="n">
        <x:v>15100000</x:v>
      </x:c>
      <x:c r="I1743" s="10" t="n">
        <x:v>0.06</x:v>
      </x:c>
      <x:c r="J1743" s="11" t="n">
        <x:v>8</x:v>
      </x:c>
      <x:c r="K1743" s="11" t="n">
        <x:v>6</x:v>
      </x:c>
      <x:c r="L1743" s="11" t="n">
        <x:v>0</x:v>
      </x:c>
      <x:c r="M1743" s="9" t="n">
        <x:f>ROUND(H1743*(1-I1743),2)</x:f>
        <x:v>14194000</x:v>
      </x:c>
      <x:c r="N1743" s="4" t="str">
        <x:v>Sales manager</x:v>
      </x:c>
      <x:c r="O1743" s="4"/>
      <x:c r="P1743" s="9" t="n">
        <x:v>0</x:v>
      </x:c>
      <x:c r="Q1743" s="11" t="n">
        <x:v>0</x:v>
      </x:c>
      <x:c r="R1743" s="8" t="n">
        <x:v>45448</x:v>
      </x:c>
      <x:c r="S1743" s="4" t="str">
        <x:v>Retained</x:v>
      </x:c>
      <x:c r="T1743" s="10" t="n">
        <x:v>0.310195</x:v>
      </x:c>
      <x:c r="U1743" s="4" t="str">
        <x:v>Train</x:v>
      </x:c>
    </x:row>
    <x:row r="1744" ht="34" customHeight="1">
      <x:c r="A1744" s="4" t="str">
        <x:v>RS-01743</x:v>
      </x:c>
      <x:c r="B1744" s="8" t="n">
        <x:v>45389</x:v>
      </x:c>
      <x:c r="C1744" s="4" t="str">
        <x:v>PRJ-003</x:v>
      </x:c>
      <x:c r="D1744" s="4" t="str">
        <x:v>Office</x:v>
      </x:c>
      <x:c r="E1744" s="4" t="str">
        <x:v>Handed over</x:v>
      </x:c>
      <x:c r="F1744" s="4" t="str">
        <x:v>CUS-01743</x:v>
      </x:c>
      <x:c r="G1744" s="4" t="str">
        <x:v>UNIT-01743</x:v>
      </x:c>
      <x:c r="H1744" s="9" t="n">
        <x:v>7000000</x:v>
      </x:c>
      <x:c r="I1744" s="10" t="n">
        <x:v>0.01</x:v>
      </x:c>
      <x:c r="J1744" s="11" t="n">
        <x:v>10</x:v>
      </x:c>
      <x:c r="K1744" s="11" t="n">
        <x:v>1</x:v>
      </x:c>
      <x:c r="L1744" s="11" t="n">
        <x:v>1</x:v>
      </x:c>
      <x:c r="M1744" s="9" t="n">
        <x:f>ROUND(H1744*(1-I1744),2)</x:f>
        <x:v>6930000</x:v>
      </x:c>
      <x:c r="N1744" s="4" t="str">
        <x:v>Sales manager</x:v>
      </x:c>
      <x:c r="O1744" s="4" t="str">
        <x:v>BOOK-01743</x:v>
      </x:c>
      <x:c r="P1744" s="9" t="n">
        <x:v>3465000</x:v>
      </x:c>
      <x:c r="Q1744" s="11" t="n">
        <x:v>0</x:v>
      </x:c>
      <x:c r="R1744" s="8" t="n">
        <x:v>45449</x:v>
      </x:c>
      <x:c r="S1744" s="4" t="str">
        <x:v>Retained</x:v>
      </x:c>
      <x:c r="T1744" s="10" t="n">
        <x:v>0.254545</x:v>
      </x:c>
      <x:c r="U1744" s="4" t="str">
        <x:v>Train</x:v>
      </x:c>
    </x:row>
    <x:row r="1745" ht="34" customHeight="1">
      <x:c r="A1745" s="4" t="str">
        <x:v>RS-01744</x:v>
      </x:c>
      <x:c r="B1745" s="8" t="n">
        <x:v>45390</x:v>
      </x:c>
      <x:c r="C1745" s="4" t="str">
        <x:v>PRJ-004</x:v>
      </x:c>
      <x:c r="D1745" s="4" t="str">
        <x:v>Villa</x:v>
      </x:c>
      <x:c r="E1745" s="4" t="str">
        <x:v>Agreement signed</x:v>
      </x:c>
      <x:c r="F1745" s="4" t="str">
        <x:v>CUS-01744</x:v>
      </x:c>
      <x:c r="G1745" s="4" t="str">
        <x:v>UNIT-01744</x:v>
      </x:c>
      <x:c r="H1745" s="9" t="n">
        <x:v>15200000</x:v>
      </x:c>
      <x:c r="I1745" s="10" t="n">
        <x:v>0</x:v>
      </x:c>
      <x:c r="J1745" s="11" t="n">
        <x:v>4</x:v>
      </x:c>
      <x:c r="K1745" s="11" t="n">
        <x:v>7</x:v>
      </x:c>
      <x:c r="L1745" s="11" t="n">
        <x:v>0</x:v>
      </x:c>
      <x:c r="M1745" s="9" t="n">
        <x:f>ROUND(H1745*(1-I1745),2)</x:f>
        <x:v>15200000</x:v>
      </x:c>
      <x:c r="N1745" s="4" t="str">
        <x:v>Sales manager</x:v>
      </x:c>
      <x:c r="O1745" s="4" t="str">
        <x:v>BOOK-01744</x:v>
      </x:c>
      <x:c r="P1745" s="9" t="n">
        <x:v>7600000</x:v>
      </x:c>
      <x:c r="Q1745" s="11" t="n">
        <x:v>0</x:v>
      </x:c>
      <x:c r="R1745" s="8" t="n">
        <x:v>45450</x:v>
      </x:c>
      <x:c r="S1745" s="4" t="str">
        <x:v>Retained</x:v>
      </x:c>
      <x:c r="T1745" s="10" t="n">
        <x:v>0.145299</x:v>
      </x:c>
      <x:c r="U1745" s="4" t="str">
        <x:v>Train</x:v>
      </x:c>
    </x:row>
    <x:row r="1746" ht="34" customHeight="1">
      <x:c r="A1746" s="4" t="str">
        <x:v>RS-01745</x:v>
      </x:c>
      <x:c r="B1746" s="8" t="n">
        <x:v>45391</x:v>
      </x:c>
      <x:c r="C1746" s="4" t="str">
        <x:v>PRJ-005</x:v>
      </x:c>
      <x:c r="D1746" s="4" t="str">
        <x:v>Retail</x:v>
      </x:c>
      <x:c r="E1746" s="4" t="str">
        <x:v>Booked</x:v>
      </x:c>
      <x:c r="F1746" s="4" t="str">
        <x:v>CUS-01745</x:v>
      </x:c>
      <x:c r="G1746" s="4" t="str">
        <x:v>UNIT-01745</x:v>
      </x:c>
      <x:c r="H1746" s="9" t="n">
        <x:v>10300000</x:v>
      </x:c>
      <x:c r="I1746" s="10" t="n">
        <x:v>0.07</x:v>
      </x:c>
      <x:c r="J1746" s="11" t="n">
        <x:v>4</x:v>
      </x:c>
      <x:c r="K1746" s="11" t="n">
        <x:v>0</x:v>
      </x:c>
      <x:c r="L1746" s="11" t="n">
        <x:v>1</x:v>
      </x:c>
      <x:c r="M1746" s="9" t="n">
        <x:f>ROUND(H1746*(1-I1746),2)</x:f>
        <x:v>9579000</x:v>
      </x:c>
      <x:c r="N1746" s="4" t="str">
        <x:v>Sales manager</x:v>
      </x:c>
      <x:c r="O1746" s="4" t="str">
        <x:v>BOOK-01745</x:v>
      </x:c>
      <x:c r="P1746" s="9" t="n">
        <x:v>9579000</x:v>
      </x:c>
      <x:c r="Q1746" s="11" t="n">
        <x:v>0</x:v>
      </x:c>
      <x:c r="R1746" s="8" t="n">
        <x:v>45451</x:v>
      </x:c>
      <x:c r="S1746" s="4" t="str">
        <x:v>Retained</x:v>
      </x:c>
      <x:c r="T1746" s="10" t="n">
        <x:v>0.291946</x:v>
      </x:c>
      <x:c r="U1746" s="4" t="str">
        <x:v>Train</x:v>
      </x:c>
    </x:row>
    <x:row r="1747" ht="34" customHeight="1">
      <x:c r="A1747" s="4" t="str">
        <x:v>RS-01746</x:v>
      </x:c>
      <x:c r="B1747" s="8" t="n">
        <x:v>45392</x:v>
      </x:c>
      <x:c r="C1747" s="4" t="str">
        <x:v>PRJ-006</x:v>
      </x:c>
      <x:c r="D1747" s="4" t="str">
        <x:v>Villa</x:v>
      </x:c>
      <x:c r="E1747" s="4" t="str">
        <x:v>Cancelled</x:v>
      </x:c>
      <x:c r="F1747" s="4" t="str">
        <x:v>CUS-01746</x:v>
      </x:c>
      <x:c r="G1747" s="4" t="str">
        <x:v>UNIT-01746</x:v>
      </x:c>
      <x:c r="H1747" s="9" t="n">
        <x:v>21800000</x:v>
      </x:c>
      <x:c r="I1747" s="10" t="n">
        <x:v>0.05</x:v>
      </x:c>
      <x:c r="J1747" s="11" t="n">
        <x:v>5</x:v>
      </x:c>
      <x:c r="K1747" s="11" t="n">
        <x:v>7</x:v>
      </x:c>
      <x:c r="L1747" s="11" t="n">
        <x:v>0</x:v>
      </x:c>
      <x:c r="M1747" s="9" t="n">
        <x:f>ROUND(H1747*(1-I1747),2)</x:f>
        <x:v>20710000</x:v>
      </x:c>
      <x:c r="N1747" s="4" t="str">
        <x:v>Sales manager</x:v>
      </x:c>
      <x:c r="O1747" s="4"/>
      <x:c r="P1747" s="9" t="n">
        <x:v>0</x:v>
      </x:c>
      <x:c r="Q1747" s="11" t="n">
        <x:v>1</x:v>
      </x:c>
      <x:c r="R1747" s="8" t="n">
        <x:v>45452</x:v>
      </x:c>
      <x:c r="S1747" s="4" t="str">
        <x:v>Lost / cancelled</x:v>
      </x:c>
      <x:c r="T1747" s="10" t="n">
        <x:v>0.226277</x:v>
      </x:c>
      <x:c r="U1747" s="4" t="str">
        <x:v>Train</x:v>
      </x:c>
    </x:row>
    <x:row r="1748" ht="34" customHeight="1">
      <x:c r="A1748" s="4" t="str">
        <x:v>RS-01747</x:v>
      </x:c>
      <x:c r="B1748" s="8" t="n">
        <x:v>45393</x:v>
      </x:c>
      <x:c r="C1748" s="4" t="str">
        <x:v>PRJ-007</x:v>
      </x:c>
      <x:c r="D1748" s="4" t="str">
        <x:v>Apartment</x:v>
      </x:c>
      <x:c r="E1748" s="4" t="str">
        <x:v>Handed over</x:v>
      </x:c>
      <x:c r="F1748" s="4" t="str">
        <x:v>CUS-01747</x:v>
      </x:c>
      <x:c r="G1748" s="4" t="str">
        <x:v>UNIT-01747</x:v>
      </x:c>
      <x:c r="H1748" s="9" t="n">
        <x:v>7400000</x:v>
      </x:c>
      <x:c r="I1748" s="10" t="n">
        <x:v>0.04</x:v>
      </x:c>
      <x:c r="J1748" s="11" t="n">
        <x:v>4</x:v>
      </x:c>
      <x:c r="K1748" s="11" t="n">
        <x:v>7</x:v>
      </x:c>
      <x:c r="L1748" s="11" t="n">
        <x:v>1</x:v>
      </x:c>
      <x:c r="M1748" s="9" t="n">
        <x:f>ROUND(H1748*(1-I1748),2)</x:f>
        <x:v>7104000</x:v>
      </x:c>
      <x:c r="N1748" s="4" t="str">
        <x:v>Sales manager</x:v>
      </x:c>
      <x:c r="O1748" s="4" t="str">
        <x:v>BOOK-01747</x:v>
      </x:c>
      <x:c r="P1748" s="9" t="n">
        <x:v>7104000</x:v>
      </x:c>
      <x:c r="Q1748" s="11" t="n">
        <x:v>0</x:v>
      </x:c>
      <x:c r="R1748" s="8" t="n">
        <x:v>45453</x:v>
      </x:c>
      <x:c r="S1748" s="4" t="str">
        <x:v>Retained</x:v>
      </x:c>
      <x:c r="T1748" s="10" t="n">
        <x:v>0.291946</x:v>
      </x:c>
      <x:c r="U1748" s="4" t="str">
        <x:v>Train</x:v>
      </x:c>
    </x:row>
    <x:row r="1749" ht="34" customHeight="1">
      <x:c r="A1749" s="4" t="str">
        <x:v>RS-01748</x:v>
      </x:c>
      <x:c r="B1749" s="8" t="n">
        <x:v>45394</x:v>
      </x:c>
      <x:c r="C1749" s="4" t="str">
        <x:v>PRJ-008</x:v>
      </x:c>
      <x:c r="D1749" s="4" t="str">
        <x:v>Retail</x:v>
      </x:c>
      <x:c r="E1749" s="4" t="str">
        <x:v>Enquiry</x:v>
      </x:c>
      <x:c r="F1749" s="4" t="str">
        <x:v>CUS-01748</x:v>
      </x:c>
      <x:c r="G1749" s="4" t="str">
        <x:v>UNIT-01748</x:v>
      </x:c>
      <x:c r="H1749" s="9" t="n">
        <x:v>5100000</x:v>
      </x:c>
      <x:c r="I1749" s="10" t="n">
        <x:v>0.06</x:v>
      </x:c>
      <x:c r="J1749" s="11" t="n">
        <x:v>1</x:v>
      </x:c>
      <x:c r="K1749" s="11" t="n">
        <x:v>2</x:v>
      </x:c>
      <x:c r="L1749" s="11" t="n">
        <x:v>0</x:v>
      </x:c>
      <x:c r="M1749" s="9" t="n">
        <x:f>ROUND(H1749*(1-I1749),2)</x:f>
        <x:v>4794000</x:v>
      </x:c>
      <x:c r="N1749" s="4" t="str">
        <x:v>Sales manager</x:v>
      </x:c>
      <x:c r="O1749" s="4"/>
      <x:c r="P1749" s="9" t="n">
        <x:v>0</x:v>
      </x:c>
      <x:c r="Q1749" s="11" t="n">
        <x:v>0</x:v>
      </x:c>
      <x:c r="R1749" s="8" t="n">
        <x:v>45454</x:v>
      </x:c>
      <x:c r="S1749" s="4" t="str">
        <x:v>Retained</x:v>
      </x:c>
      <x:c r="T1749" s="10" t="n">
        <x:v>0.204152</x:v>
      </x:c>
      <x:c r="U1749" s="4" t="str">
        <x:v>Train</x:v>
      </x:c>
    </x:row>
    <x:row r="1750" ht="34" customHeight="1">
      <x:c r="A1750" s="4" t="str">
        <x:v>RS-01749</x:v>
      </x:c>
      <x:c r="B1750" s="8" t="n">
        <x:v>45395</x:v>
      </x:c>
      <x:c r="C1750" s="4" t="str">
        <x:v>PRJ-009</x:v>
      </x:c>
      <x:c r="D1750" s="4" t="str">
        <x:v>Office</x:v>
      </x:c>
      <x:c r="E1750" s="4" t="str">
        <x:v>Cancelled</x:v>
      </x:c>
      <x:c r="F1750" s="4" t="str">
        <x:v>CUS-01749</x:v>
      </x:c>
      <x:c r="G1750" s="4" t="str">
        <x:v>UNIT-01749</x:v>
      </x:c>
      <x:c r="H1750" s="9" t="n">
        <x:v>24200000</x:v>
      </x:c>
      <x:c r="I1750" s="10" t="n">
        <x:v>0.02</x:v>
      </x:c>
      <x:c r="J1750" s="11" t="n">
        <x:v>9</x:v>
      </x:c>
      <x:c r="K1750" s="11" t="n">
        <x:v>10</x:v>
      </x:c>
      <x:c r="L1750" s="11" t="n">
        <x:v>0</x:v>
      </x:c>
      <x:c r="M1750" s="9" t="n">
        <x:f>ROUND(H1750*(1-I1750),2)</x:f>
        <x:v>23716000</x:v>
      </x:c>
      <x:c r="N1750" s="4" t="str">
        <x:v>Sales manager</x:v>
      </x:c>
      <x:c r="O1750" s="4"/>
      <x:c r="P1750" s="9" t="n">
        <x:v>0</x:v>
      </x:c>
      <x:c r="Q1750" s="11" t="n">
        <x:v>1</x:v>
      </x:c>
      <x:c r="R1750" s="8" t="n">
        <x:v>45455</x:v>
      </x:c>
      <x:c r="S1750" s="4" t="str">
        <x:v>Lost / cancelled</x:v>
      </x:c>
      <x:c r="T1750" s="10" t="n">
        <x:v>0.305556</x:v>
      </x:c>
      <x:c r="U1750" s="4" t="str">
        <x:v>Train</x:v>
      </x:c>
    </x:row>
    <x:row r="1751" ht="34" customHeight="1">
      <x:c r="A1751" s="4" t="str">
        <x:v>RS-01750</x:v>
      </x:c>
      <x:c r="B1751" s="8" t="n">
        <x:v>45396</x:v>
      </x:c>
      <x:c r="C1751" s="4" t="str">
        <x:v>PRJ-010</x:v>
      </x:c>
      <x:c r="D1751" s="4" t="str">
        <x:v>Retail</x:v>
      </x:c>
      <x:c r="E1751" s="4" t="str">
        <x:v>Cancelled</x:v>
      </x:c>
      <x:c r="F1751" s="4" t="str">
        <x:v>CUS-01750</x:v>
      </x:c>
      <x:c r="G1751" s="4" t="str">
        <x:v>UNIT-01750</x:v>
      </x:c>
      <x:c r="H1751" s="9" t="n">
        <x:v>15800000</x:v>
      </x:c>
      <x:c r="I1751" s="10" t="n">
        <x:v>0.04</x:v>
      </x:c>
      <x:c r="J1751" s="11" t="n">
        <x:v>12</x:v>
      </x:c>
      <x:c r="K1751" s="11" t="n">
        <x:v>3</x:v>
      </x:c>
      <x:c r="L1751" s="11" t="n">
        <x:v>1</x:v>
      </x:c>
      <x:c r="M1751" s="9" t="n">
        <x:f>ROUND(H1751*(1-I1751),2)</x:f>
        <x:v>15168000</x:v>
      </x:c>
      <x:c r="N1751" s="4" t="str">
        <x:v>Sales manager</x:v>
      </x:c>
      <x:c r="O1751" s="4"/>
      <x:c r="P1751" s="9" t="n">
        <x:v>0</x:v>
      </x:c>
      <x:c r="Q1751" s="11" t="n">
        <x:v>1</x:v>
      </x:c>
      <x:c r="R1751" s="8" t="n">
        <x:v>45456</x:v>
      </x:c>
      <x:c r="S1751" s="4" t="str">
        <x:v>Lost / cancelled</x:v>
      </x:c>
      <x:c r="T1751" s="10" t="n">
        <x:v>0.351536</x:v>
      </x:c>
      <x:c r="U1751" s="4" t="str">
        <x:v>Train</x:v>
      </x:c>
    </x:row>
    <x:row r="1752" ht="34" customHeight="1">
      <x:c r="A1752" s="4" t="str">
        <x:v>RS-01751</x:v>
      </x:c>
      <x:c r="B1752" s="8" t="n">
        <x:v>45397</x:v>
      </x:c>
      <x:c r="C1752" s="4" t="str">
        <x:v>PRJ-011</x:v>
      </x:c>
      <x:c r="D1752" s="4" t="str">
        <x:v>Villa</x:v>
      </x:c>
      <x:c r="E1752" s="4" t="str">
        <x:v>Booked</x:v>
      </x:c>
      <x:c r="F1752" s="4" t="str">
        <x:v>CUS-01751</x:v>
      </x:c>
      <x:c r="G1752" s="4" t="str">
        <x:v>UNIT-01751</x:v>
      </x:c>
      <x:c r="H1752" s="9" t="n">
        <x:v>3800000</x:v>
      </x:c>
      <x:c r="I1752" s="10" t="n">
        <x:v>0.05</x:v>
      </x:c>
      <x:c r="J1752" s="11" t="n">
        <x:v>10</x:v>
      </x:c>
      <x:c r="K1752" s="11" t="n">
        <x:v>8</x:v>
      </x:c>
      <x:c r="L1752" s="11" t="n">
        <x:v>1</x:v>
      </x:c>
      <x:c r="M1752" s="9" t="n">
        <x:f>ROUND(H1752*(1-I1752),2)</x:f>
        <x:v>3610000</x:v>
      </x:c>
      <x:c r="N1752" s="4" t="str">
        <x:v>Sales manager</x:v>
      </x:c>
      <x:c r="O1752" s="4" t="str">
        <x:v>BOOK-01751</x:v>
      </x:c>
      <x:c r="P1752" s="9" t="n">
        <x:v>902500</x:v>
      </x:c>
      <x:c r="Q1752" s="11" t="n">
        <x:v>0</x:v>
      </x:c>
      <x:c r="R1752" s="8" t="n">
        <x:v>45457</x:v>
      </x:c>
      <x:c r="S1752" s="4" t="str">
        <x:v>Retained</x:v>
      </x:c>
      <x:c r="T1752" s="10" t="n">
        <x:v>0.310195</x:v>
      </x:c>
      <x:c r="U1752" s="4" t="str">
        <x:v>Train</x:v>
      </x:c>
    </x:row>
    <x:row r="1753" ht="34" customHeight="1">
      <x:c r="A1753" s="4" t="str">
        <x:v>RS-01752</x:v>
      </x:c>
      <x:c r="B1753" s="8" t="n">
        <x:v>45398</x:v>
      </x:c>
      <x:c r="C1753" s="4" t="str">
        <x:v>PRJ-012</x:v>
      </x:c>
      <x:c r="D1753" s="4" t="str">
        <x:v>Villa</x:v>
      </x:c>
      <x:c r="E1753" s="4" t="str">
        <x:v>Enquiry</x:v>
      </x:c>
      <x:c r="F1753" s="4" t="str">
        <x:v>CUS-01752</x:v>
      </x:c>
      <x:c r="G1753" s="4" t="str">
        <x:v>UNIT-01752</x:v>
      </x:c>
      <x:c r="H1753" s="9" t="n">
        <x:v>11400000</x:v>
      </x:c>
      <x:c r="I1753" s="10" t="n">
        <x:v>0.02</x:v>
      </x:c>
      <x:c r="J1753" s="11" t="n">
        <x:v>12</x:v>
      </x:c>
      <x:c r="K1753" s="11" t="n">
        <x:v>7</x:v>
      </x:c>
      <x:c r="L1753" s="11" t="n">
        <x:v>0</x:v>
      </x:c>
      <x:c r="M1753" s="9" t="n">
        <x:f>ROUND(H1753*(1-I1753),2)</x:f>
        <x:v>11172000</x:v>
      </x:c>
      <x:c r="N1753" s="4" t="str">
        <x:v>Sales manager</x:v>
      </x:c>
      <x:c r="O1753" s="4"/>
      <x:c r="P1753" s="9" t="n">
        <x:v>0</x:v>
      </x:c>
      <x:c r="Q1753" s="11" t="n">
        <x:v>0</x:v>
      </x:c>
      <x:c r="R1753" s="8" t="n">
        <x:v>45458</x:v>
      </x:c>
      <x:c r="S1753" s="4" t="str">
        <x:v>Retained</x:v>
      </x:c>
      <x:c r="T1753" s="10" t="n">
        <x:v>0.305556</x:v>
      </x:c>
      <x:c r="U1753" s="4" t="str">
        <x:v>Train</x:v>
      </x:c>
    </x:row>
    <x:row r="1754" ht="34" customHeight="1">
      <x:c r="A1754" s="4" t="str">
        <x:v>RS-01753</x:v>
      </x:c>
      <x:c r="B1754" s="8" t="n">
        <x:v>45399</x:v>
      </x:c>
      <x:c r="C1754" s="4" t="str">
        <x:v>PRJ-013</x:v>
      </x:c>
      <x:c r="D1754" s="4" t="str">
        <x:v>Retail</x:v>
      </x:c>
      <x:c r="E1754" s="4" t="str">
        <x:v>Cancelled</x:v>
      </x:c>
      <x:c r="F1754" s="4" t="str">
        <x:v>CUS-01753</x:v>
      </x:c>
      <x:c r="G1754" s="4" t="str">
        <x:v>UNIT-01753</x:v>
      </x:c>
      <x:c r="H1754" s="9" t="n">
        <x:v>19600000</x:v>
      </x:c>
      <x:c r="I1754" s="10" t="n">
        <x:v>0.11</x:v>
      </x:c>
      <x:c r="J1754" s="11" t="n">
        <x:v>6</x:v>
      </x:c>
      <x:c r="K1754" s="11" t="n">
        <x:v>7</x:v>
      </x:c>
      <x:c r="L1754" s="11" t="n">
        <x:v>1</x:v>
      </x:c>
      <x:c r="M1754" s="9" t="n">
        <x:f>ROUND(H1754*(1-I1754),2)</x:f>
        <x:v>17444000</x:v>
      </x:c>
      <x:c r="N1754" s="4" t="str">
        <x:v>Sales head</x:v>
      </x:c>
      <x:c r="O1754" s="4"/>
      <x:c r="P1754" s="9" t="n">
        <x:v>0</x:v>
      </x:c>
      <x:c r="Q1754" s="11" t="n">
        <x:v>1</x:v>
      </x:c>
      <x:c r="R1754" s="8" t="n">
        <x:v>45459</x:v>
      </x:c>
      <x:c r="S1754" s="4" t="str">
        <x:v>Lost / cancelled</x:v>
      </x:c>
      <x:c r="T1754" s="10" t="n">
        <x:v>0.291946</x:v>
      </x:c>
      <x:c r="U1754" s="4" t="str">
        <x:v>Train</x:v>
      </x:c>
    </x:row>
    <x:row r="1755" ht="34" customHeight="1">
      <x:c r="A1755" s="4" t="str">
        <x:v>RS-01754</x:v>
      </x:c>
      <x:c r="B1755" s="8" t="n">
        <x:v>45400</x:v>
      </x:c>
      <x:c r="C1755" s="4" t="str">
        <x:v>PRJ-014</x:v>
      </x:c>
      <x:c r="D1755" s="4" t="str">
        <x:v>Villa</x:v>
      </x:c>
      <x:c r="E1755" s="4" t="str">
        <x:v>Booked</x:v>
      </x:c>
      <x:c r="F1755" s="4" t="str">
        <x:v>CUS-01754</x:v>
      </x:c>
      <x:c r="G1755" s="4" t="str">
        <x:v>UNIT-01754</x:v>
      </x:c>
      <x:c r="H1755" s="9" t="n">
        <x:v>15800000</x:v>
      </x:c>
      <x:c r="I1755" s="10" t="n">
        <x:v>0.06</x:v>
      </x:c>
      <x:c r="J1755" s="11" t="n">
        <x:v>11</x:v>
      </x:c>
      <x:c r="K1755" s="11" t="n">
        <x:v>7</x:v>
      </x:c>
      <x:c r="L1755" s="11" t="n">
        <x:v>0</x:v>
      </x:c>
      <x:c r="M1755" s="9" t="n">
        <x:f>ROUND(H1755*(1-I1755),2)</x:f>
        <x:v>14852000</x:v>
      </x:c>
      <x:c r="N1755" s="4" t="str">
        <x:v>Sales manager</x:v>
      </x:c>
      <x:c r="O1755" s="4" t="str">
        <x:v>BOOK-01754</x:v>
      </x:c>
      <x:c r="P1755" s="9" t="n">
        <x:v>1485200</x:v>
      </x:c>
      <x:c r="Q1755" s="11" t="n">
        <x:v>0</x:v>
      </x:c>
      <x:c r="R1755" s="8" t="n">
        <x:v>45460</x:v>
      </x:c>
      <x:c r="S1755" s="4" t="str">
        <x:v>Retained</x:v>
      </x:c>
      <x:c r="T1755" s="10" t="n">
        <x:v>0.351536</x:v>
      </x:c>
      <x:c r="U1755" s="4" t="str">
        <x:v>Train</x:v>
      </x:c>
    </x:row>
    <x:row r="1756" ht="34" customHeight="1">
      <x:c r="A1756" s="4" t="str">
        <x:v>RS-01755</x:v>
      </x:c>
      <x:c r="B1756" s="8" t="n">
        <x:v>45401</x:v>
      </x:c>
      <x:c r="C1756" s="4" t="str">
        <x:v>PRJ-015</x:v>
      </x:c>
      <x:c r="D1756" s="4" t="str">
        <x:v>Villa</x:v>
      </x:c>
      <x:c r="E1756" s="4" t="str">
        <x:v>Agreement signed</x:v>
      </x:c>
      <x:c r="F1756" s="4" t="str">
        <x:v>CUS-01755</x:v>
      </x:c>
      <x:c r="G1756" s="4" t="str">
        <x:v>UNIT-01755</x:v>
      </x:c>
      <x:c r="H1756" s="9" t="n">
        <x:v>19900000</x:v>
      </x:c>
      <x:c r="I1756" s="10" t="n">
        <x:v>0.02</x:v>
      </x:c>
      <x:c r="J1756" s="11" t="n">
        <x:v>9</x:v>
      </x:c>
      <x:c r="K1756" s="11" t="n">
        <x:v>1</x:v>
      </x:c>
      <x:c r="L1756" s="11" t="n">
        <x:v>1</x:v>
      </x:c>
      <x:c r="M1756" s="9" t="n">
        <x:f>ROUND(H1756*(1-I1756),2)</x:f>
        <x:v>19502000</x:v>
      </x:c>
      <x:c r="N1756" s="4" t="str">
        <x:v>Sales manager</x:v>
      </x:c>
      <x:c r="O1756" s="4" t="str">
        <x:v>BOOK-01755</x:v>
      </x:c>
      <x:c r="P1756" s="9" t="n">
        <x:v>1950200</x:v>
      </x:c>
      <x:c r="Q1756" s="11" t="n">
        <x:v>0</x:v>
      </x:c>
      <x:c r="R1756" s="8" t="n">
        <x:v>45461</x:v>
      </x:c>
      <x:c r="S1756" s="4" t="str">
        <x:v>Retained</x:v>
      </x:c>
      <x:c r="T1756" s="10" t="n">
        <x:v>0.254545</x:v>
      </x:c>
      <x:c r="U1756" s="4" t="str">
        <x:v>Train</x:v>
      </x:c>
    </x:row>
    <x:row r="1757" ht="34" customHeight="1">
      <x:c r="A1757" s="4" t="str">
        <x:v>RS-01756</x:v>
      </x:c>
      <x:c r="B1757" s="8" t="n">
        <x:v>45402</x:v>
      </x:c>
      <x:c r="C1757" s="4" t="str">
        <x:v>PRJ-016</x:v>
      </x:c>
      <x:c r="D1757" s="4" t="str">
        <x:v>Retail</x:v>
      </x:c>
      <x:c r="E1757" s="4" t="str">
        <x:v>Cancelled</x:v>
      </x:c>
      <x:c r="F1757" s="4" t="str">
        <x:v>CUS-01756</x:v>
      </x:c>
      <x:c r="G1757" s="4" t="str">
        <x:v>UNIT-01756</x:v>
      </x:c>
      <x:c r="H1757" s="9" t="n">
        <x:v>9000000</x:v>
      </x:c>
      <x:c r="I1757" s="10" t="n">
        <x:v>0.03</x:v>
      </x:c>
      <x:c r="J1757" s="11" t="n">
        <x:v>2</x:v>
      </x:c>
      <x:c r="K1757" s="11" t="n">
        <x:v>8</x:v>
      </x:c>
      <x:c r="L1757" s="11" t="n">
        <x:v>1</x:v>
      </x:c>
      <x:c r="M1757" s="9" t="n">
        <x:f>ROUND(H1757*(1-I1757),2)</x:f>
        <x:v>8730000</x:v>
      </x:c>
      <x:c r="N1757" s="4" t="str">
        <x:v>Sales manager</x:v>
      </x:c>
      <x:c r="O1757" s="4"/>
      <x:c r="P1757" s="9" t="n">
        <x:v>0</x:v>
      </x:c>
      <x:c r="Q1757" s="11" t="n">
        <x:v>1</x:v>
      </x:c>
      <x:c r="R1757" s="8" t="n">
        <x:v>45462</x:v>
      </x:c>
      <x:c r="S1757" s="4" t="str">
        <x:v>Lost / cancelled</x:v>
      </x:c>
      <x:c r="T1757" s="10" t="n">
        <x:v>0.171717</x:v>
      </x:c>
      <x:c r="U1757" s="4" t="str">
        <x:v>Train</x:v>
      </x:c>
    </x:row>
    <x:row r="1758" ht="34" customHeight="1">
      <x:c r="A1758" s="4" t="str">
        <x:v>RS-01757</x:v>
      </x:c>
      <x:c r="B1758" s="8" t="n">
        <x:v>45403</x:v>
      </x:c>
      <x:c r="C1758" s="4" t="str">
        <x:v>PRJ-017</x:v>
      </x:c>
      <x:c r="D1758" s="4" t="str">
        <x:v>Villa</x:v>
      </x:c>
      <x:c r="E1758" s="4" t="str">
        <x:v>Agreement signed</x:v>
      </x:c>
      <x:c r="F1758" s="4" t="str">
        <x:v>CUS-01757</x:v>
      </x:c>
      <x:c r="G1758" s="4" t="str">
        <x:v>UNIT-01757</x:v>
      </x:c>
      <x:c r="H1758" s="9" t="n">
        <x:v>5400000</x:v>
      </x:c>
      <x:c r="I1758" s="10" t="n">
        <x:v>0.02</x:v>
      </x:c>
      <x:c r="J1758" s="11" t="n">
        <x:v>7</x:v>
      </x:c>
      <x:c r="K1758" s="11" t="n">
        <x:v>4</x:v>
      </x:c>
      <x:c r="L1758" s="11" t="n">
        <x:v>1</x:v>
      </x:c>
      <x:c r="M1758" s="9" t="n">
        <x:f>ROUND(H1758*(1-I1758),2)</x:f>
        <x:v>5292000</x:v>
      </x:c>
      <x:c r="N1758" s="4" t="str">
        <x:v>Sales manager</x:v>
      </x:c>
      <x:c r="O1758" s="4" t="str">
        <x:v>BOOK-01757</x:v>
      </x:c>
      <x:c r="P1758" s="9" t="n">
        <x:v>1323000</x:v>
      </x:c>
      <x:c r="Q1758" s="11" t="n">
        <x:v>0</x:v>
      </x:c>
      <x:c r="R1758" s="8" t="n">
        <x:v>45463</x:v>
      </x:c>
      <x:c r="S1758" s="4" t="str">
        <x:v>Retained</x:v>
      </x:c>
      <x:c r="T1758" s="10" t="n">
        <x:v>0.298969</x:v>
      </x:c>
      <x:c r="U1758" s="4" t="str">
        <x:v>Train</x:v>
      </x:c>
    </x:row>
    <x:row r="1759" ht="34" customHeight="1">
      <x:c r="A1759" s="4" t="str">
        <x:v>RS-01758</x:v>
      </x:c>
      <x:c r="B1759" s="8" t="n">
        <x:v>45404</x:v>
      </x:c>
      <x:c r="C1759" s="4" t="str">
        <x:v>PRJ-018</x:v>
      </x:c>
      <x:c r="D1759" s="4" t="str">
        <x:v>Apartment</x:v>
      </x:c>
      <x:c r="E1759" s="4" t="str">
        <x:v>Reserved</x:v>
      </x:c>
      <x:c r="F1759" s="4" t="str">
        <x:v>CUS-01758</x:v>
      </x:c>
      <x:c r="G1759" s="4" t="str">
        <x:v>UNIT-01758</x:v>
      </x:c>
      <x:c r="H1759" s="9" t="n">
        <x:v>20800000</x:v>
      </x:c>
      <x:c r="I1759" s="10" t="n">
        <x:v>0.06</x:v>
      </x:c>
      <x:c r="J1759" s="11" t="n">
        <x:v>9</x:v>
      </x:c>
      <x:c r="K1759" s="11" t="n">
        <x:v>8</x:v>
      </x:c>
      <x:c r="L1759" s="11" t="n">
        <x:v>0</x:v>
      </x:c>
      <x:c r="M1759" s="9" t="n">
        <x:f>ROUND(H1759*(1-I1759),2)</x:f>
        <x:v>19552000</x:v>
      </x:c>
      <x:c r="N1759" s="4" t="str">
        <x:v>Sales manager</x:v>
      </x:c>
      <x:c r="O1759" s="4"/>
      <x:c r="P1759" s="9" t="n">
        <x:v>0</x:v>
      </x:c>
      <x:c r="Q1759" s="11" t="n">
        <x:v>1</x:v>
      </x:c>
      <x:c r="R1759" s="8" t="n">
        <x:v>45464</x:v>
      </x:c>
      <x:c r="S1759" s="4" t="str">
        <x:v>Lost / cancelled</x:v>
      </x:c>
      <x:c r="T1759" s="10" t="n">
        <x:v>0.310195</x:v>
      </x:c>
      <x:c r="U1759" s="4" t="str">
        <x:v>Train</x:v>
      </x:c>
    </x:row>
    <x:row r="1760" ht="34" customHeight="1">
      <x:c r="A1760" s="4" t="str">
        <x:v>RS-01759</x:v>
      </x:c>
      <x:c r="B1760" s="8" t="n">
        <x:v>45405</x:v>
      </x:c>
      <x:c r="C1760" s="4" t="str">
        <x:v>PRJ-019</x:v>
      </x:c>
      <x:c r="D1760" s="4" t="str">
        <x:v>Apartment</x:v>
      </x:c>
      <x:c r="E1760" s="4" t="str">
        <x:v>Reserved</x:v>
      </x:c>
      <x:c r="F1760" s="4" t="str">
        <x:v>CUS-01759</x:v>
      </x:c>
      <x:c r="G1760" s="4" t="str">
        <x:v>UNIT-01759</x:v>
      </x:c>
      <x:c r="H1760" s="9" t="n">
        <x:v>20200000</x:v>
      </x:c>
      <x:c r="I1760" s="10" t="n">
        <x:v>0.05</x:v>
      </x:c>
      <x:c r="J1760" s="11" t="n">
        <x:v>10</x:v>
      </x:c>
      <x:c r="K1760" s="11" t="n">
        <x:v>9</x:v>
      </x:c>
      <x:c r="L1760" s="11" t="n">
        <x:v>1</x:v>
      </x:c>
      <x:c r="M1760" s="9" t="n">
        <x:f>ROUND(H1760*(1-I1760),2)</x:f>
        <x:v>19190000</x:v>
      </x:c>
      <x:c r="N1760" s="4" t="str">
        <x:v>Sales manager</x:v>
      </x:c>
      <x:c r="O1760" s="4"/>
      <x:c r="P1760" s="9" t="n">
        <x:v>0</x:v>
      </x:c>
      <x:c r="Q1760" s="11" t="n">
        <x:v>0</x:v>
      </x:c>
      <x:c r="R1760" s="8" t="n">
        <x:v>45465</x:v>
      </x:c>
      <x:c r="S1760" s="4" t="str">
        <x:v>Retained</x:v>
      </x:c>
      <x:c r="T1760" s="10" t="n">
        <x:v>0.310195</x:v>
      </x:c>
      <x:c r="U1760" s="4" t="str">
        <x:v>Train</x:v>
      </x:c>
    </x:row>
    <x:row r="1761" ht="34" customHeight="1">
      <x:c r="A1761" s="4" t="str">
        <x:v>RS-01760</x:v>
      </x:c>
      <x:c r="B1761" s="8" t="n">
        <x:v>45406</x:v>
      </x:c>
      <x:c r="C1761" s="4" t="str">
        <x:v>PRJ-020</x:v>
      </x:c>
      <x:c r="D1761" s="4" t="str">
        <x:v>Office</x:v>
      </x:c>
      <x:c r="E1761" s="4" t="str">
        <x:v>Handed over</x:v>
      </x:c>
      <x:c r="F1761" s="4" t="str">
        <x:v>CUS-01760</x:v>
      </x:c>
      <x:c r="G1761" s="4" t="str">
        <x:v>UNIT-01760</x:v>
      </x:c>
      <x:c r="H1761" s="9" t="n">
        <x:v>10400000</x:v>
      </x:c>
      <x:c r="I1761" s="10" t="n">
        <x:v>0.02</x:v>
      </x:c>
      <x:c r="J1761" s="11" t="n">
        <x:v>11</x:v>
      </x:c>
      <x:c r="K1761" s="11" t="n">
        <x:v>6</x:v>
      </x:c>
      <x:c r="L1761" s="11" t="n">
        <x:v>1</x:v>
      </x:c>
      <x:c r="M1761" s="9" t="n">
        <x:f>ROUND(H1761*(1-I1761),2)</x:f>
        <x:v>10192000</x:v>
      </x:c>
      <x:c r="N1761" s="4" t="str">
        <x:v>Sales manager</x:v>
      </x:c>
      <x:c r="O1761" s="4" t="str">
        <x:v>BOOK-01760</x:v>
      </x:c>
      <x:c r="P1761" s="9" t="n">
        <x:v>1019200</x:v>
      </x:c>
      <x:c r="Q1761" s="11" t="n">
        <x:v>0</x:v>
      </x:c>
      <x:c r="R1761" s="8" t="n">
        <x:v>45466</x:v>
      </x:c>
      <x:c r="S1761" s="4" t="str">
        <x:v>Retained</x:v>
      </x:c>
      <x:c r="T1761" s="10" t="n">
        <x:v>0.254545</x:v>
      </x:c>
      <x:c r="U1761" s="4" t="str">
        <x:v>Train</x:v>
      </x:c>
    </x:row>
    <x:row r="1762" ht="34" customHeight="1">
      <x:c r="A1762" s="4" t="str">
        <x:v>RS-01761</x:v>
      </x:c>
      <x:c r="B1762" s="8" t="n">
        <x:v>45407</x:v>
      </x:c>
      <x:c r="C1762" s="4" t="str">
        <x:v>PRJ-001</x:v>
      </x:c>
      <x:c r="D1762" s="4" t="str">
        <x:v>Villa</x:v>
      </x:c>
      <x:c r="E1762" s="4" t="str">
        <x:v>Cancelled</x:v>
      </x:c>
      <x:c r="F1762" s="4" t="str">
        <x:v>CUS-01761</x:v>
      </x:c>
      <x:c r="G1762" s="4" t="str">
        <x:v>UNIT-01761</x:v>
      </x:c>
      <x:c r="H1762" s="9" t="n">
        <x:v>11600000</x:v>
      </x:c>
      <x:c r="I1762" s="10" t="n">
        <x:v>0.02</x:v>
      </x:c>
      <x:c r="J1762" s="11" t="n">
        <x:v>2</x:v>
      </x:c>
      <x:c r="K1762" s="11" t="n">
        <x:v>5</x:v>
      </x:c>
      <x:c r="L1762" s="11" t="n">
        <x:v>1</x:v>
      </x:c>
      <x:c r="M1762" s="9" t="n">
        <x:f>ROUND(H1762*(1-I1762),2)</x:f>
        <x:v>11368000</x:v>
      </x:c>
      <x:c r="N1762" s="4" t="str">
        <x:v>Sales manager</x:v>
      </x:c>
      <x:c r="O1762" s="4"/>
      <x:c r="P1762" s="9" t="n">
        <x:v>0</x:v>
      </x:c>
      <x:c r="Q1762" s="11" t="n">
        <x:v>1</x:v>
      </x:c>
      <x:c r="R1762" s="8" t="n">
        <x:v>45467</x:v>
      </x:c>
      <x:c r="S1762" s="4" t="str">
        <x:v>Lost / cancelled</x:v>
      </x:c>
      <x:c r="T1762" s="10" t="n">
        <x:v>0.171717</x:v>
      </x:c>
      <x:c r="U1762" s="4" t="str">
        <x:v>Train</x:v>
      </x:c>
    </x:row>
    <x:row r="1763" ht="34" customHeight="1">
      <x:c r="A1763" s="4" t="str">
        <x:v>RS-01762</x:v>
      </x:c>
      <x:c r="B1763" s="8" t="n">
        <x:v>45408</x:v>
      </x:c>
      <x:c r="C1763" s="4" t="str">
        <x:v>PRJ-002</x:v>
      </x:c>
      <x:c r="D1763" s="4" t="str">
        <x:v>Office</x:v>
      </x:c>
      <x:c r="E1763" s="4" t="str">
        <x:v>Enquiry</x:v>
      </x:c>
      <x:c r="F1763" s="4" t="str">
        <x:v>CUS-01762</x:v>
      </x:c>
      <x:c r="G1763" s="4" t="str">
        <x:v>UNIT-01762</x:v>
      </x:c>
      <x:c r="H1763" s="9" t="n">
        <x:v>5500000</x:v>
      </x:c>
      <x:c r="I1763" s="10" t="n">
        <x:v>0.1</x:v>
      </x:c>
      <x:c r="J1763" s="11" t="n">
        <x:v>6</x:v>
      </x:c>
      <x:c r="K1763" s="11" t="n">
        <x:v>6</x:v>
      </x:c>
      <x:c r="L1763" s="11" t="n">
        <x:v>1</x:v>
      </x:c>
      <x:c r="M1763" s="9" t="n">
        <x:f>ROUND(H1763*(1-I1763),2)</x:f>
        <x:v>4950000</x:v>
      </x:c>
      <x:c r="N1763" s="4" t="str">
        <x:v>Sales head</x:v>
      </x:c>
      <x:c r="O1763" s="4"/>
      <x:c r="P1763" s="9" t="n">
        <x:v>0</x:v>
      </x:c>
      <x:c r="Q1763" s="11" t="n">
        <x:v>0</x:v>
      </x:c>
      <x:c r="R1763" s="8" t="n">
        <x:v>45468</x:v>
      </x:c>
      <x:c r="S1763" s="4" t="str">
        <x:v>Retained</x:v>
      </x:c>
      <x:c r="T1763" s="10" t="n">
        <x:v>0.291946</x:v>
      </x:c>
      <x:c r="U1763" s="4" t="str">
        <x:v>Train</x:v>
      </x:c>
    </x:row>
    <x:row r="1764" ht="34" customHeight="1">
      <x:c r="A1764" s="4" t="str">
        <x:v>RS-01763</x:v>
      </x:c>
      <x:c r="B1764" s="8" t="n">
        <x:v>45409</x:v>
      </x:c>
      <x:c r="C1764" s="4" t="str">
        <x:v>PRJ-003</x:v>
      </x:c>
      <x:c r="D1764" s="4" t="str">
        <x:v>Villa</x:v>
      </x:c>
      <x:c r="E1764" s="4" t="str">
        <x:v>Enquiry</x:v>
      </x:c>
      <x:c r="F1764" s="4" t="str">
        <x:v>CUS-01763</x:v>
      </x:c>
      <x:c r="G1764" s="4" t="str">
        <x:v>UNIT-01763</x:v>
      </x:c>
      <x:c r="H1764" s="9" t="n">
        <x:v>14800000</x:v>
      </x:c>
      <x:c r="I1764" s="10" t="n">
        <x:v>0.04</x:v>
      </x:c>
      <x:c r="J1764" s="11" t="n">
        <x:v>7</x:v>
      </x:c>
      <x:c r="K1764" s="11" t="n">
        <x:v>8</x:v>
      </x:c>
      <x:c r="L1764" s="11" t="n">
        <x:v>0</x:v>
      </x:c>
      <x:c r="M1764" s="9" t="n">
        <x:f>ROUND(H1764*(1-I1764),2)</x:f>
        <x:v>14208000</x:v>
      </x:c>
      <x:c r="N1764" s="4" t="str">
        <x:v>Sales manager</x:v>
      </x:c>
      <x:c r="O1764" s="4"/>
      <x:c r="P1764" s="9" t="n">
        <x:v>0</x:v>
      </x:c>
      <x:c r="Q1764" s="11" t="n">
        <x:v>0</x:v>
      </x:c>
      <x:c r="R1764" s="8" t="n">
        <x:v>45469</x:v>
      </x:c>
      <x:c r="S1764" s="4" t="str">
        <x:v>Retained</x:v>
      </x:c>
      <x:c r="T1764" s="10" t="n">
        <x:v>0.226277</x:v>
      </x:c>
      <x:c r="U1764" s="4" t="str">
        <x:v>Train</x:v>
      </x:c>
    </x:row>
    <x:row r="1765" ht="34" customHeight="1">
      <x:c r="A1765" s="4" t="str">
        <x:v>RS-01764</x:v>
      </x:c>
      <x:c r="B1765" s="8" t="n">
        <x:v>45410</x:v>
      </x:c>
      <x:c r="C1765" s="4" t="str">
        <x:v>PRJ-004</x:v>
      </x:c>
      <x:c r="D1765" s="4" t="str">
        <x:v>Apartment</x:v>
      </x:c>
      <x:c r="E1765" s="4" t="str">
        <x:v>Booked</x:v>
      </x:c>
      <x:c r="F1765" s="4" t="str">
        <x:v>CUS-01764</x:v>
      </x:c>
      <x:c r="G1765" s="4" t="str">
        <x:v>UNIT-01764</x:v>
      </x:c>
      <x:c r="H1765" s="9" t="n">
        <x:v>17200000</x:v>
      </x:c>
      <x:c r="I1765" s="10" t="n">
        <x:v>0.04</x:v>
      </x:c>
      <x:c r="J1765" s="11" t="n">
        <x:v>9</x:v>
      </x:c>
      <x:c r="K1765" s="11" t="n">
        <x:v>4</x:v>
      </x:c>
      <x:c r="L1765" s="11" t="n">
        <x:v>0</x:v>
      </x:c>
      <x:c r="M1765" s="9" t="n">
        <x:f>ROUND(H1765*(1-I1765),2)</x:f>
        <x:v>16512000</x:v>
      </x:c>
      <x:c r="N1765" s="4" t="str">
        <x:v>Sales manager</x:v>
      </x:c>
      <x:c r="O1765" s="4" t="str">
        <x:v>BOOK-01764</x:v>
      </x:c>
      <x:c r="P1765" s="9" t="n">
        <x:v>1651200</x:v>
      </x:c>
      <x:c r="Q1765" s="11" t="n">
        <x:v>0</x:v>
      </x:c>
      <x:c r="R1765" s="8" t="n">
        <x:v>45470</x:v>
      </x:c>
      <x:c r="S1765" s="4" t="str">
        <x:v>Retained</x:v>
      </x:c>
      <x:c r="T1765" s="10" t="n">
        <x:v>0.310195</x:v>
      </x:c>
      <x:c r="U1765" s="4" t="str">
        <x:v>Train</x:v>
      </x:c>
    </x:row>
    <x:row r="1766" ht="34" customHeight="1">
      <x:c r="A1766" s="4" t="str">
        <x:v>RS-01765</x:v>
      </x:c>
      <x:c r="B1766" s="8" t="n">
        <x:v>45383</x:v>
      </x:c>
      <x:c r="C1766" s="4" t="str">
        <x:v>PRJ-005</x:v>
      </x:c>
      <x:c r="D1766" s="4" t="str">
        <x:v>Retail</x:v>
      </x:c>
      <x:c r="E1766" s="4" t="str">
        <x:v>Agreement signed</x:v>
      </x:c>
      <x:c r="F1766" s="4" t="str">
        <x:v>CUS-01765</x:v>
      </x:c>
      <x:c r="G1766" s="4" t="str">
        <x:v>UNIT-01765</x:v>
      </x:c>
      <x:c r="H1766" s="9" t="n">
        <x:v>7800000</x:v>
      </x:c>
      <x:c r="I1766" s="10" t="n">
        <x:v>0.08</x:v>
      </x:c>
      <x:c r="J1766" s="11" t="n">
        <x:v>12</x:v>
      </x:c>
      <x:c r="K1766" s="11" t="n">
        <x:v>10</x:v>
      </x:c>
      <x:c r="L1766" s="11" t="n">
        <x:v>0</x:v>
      </x:c>
      <x:c r="M1766" s="9" t="n">
        <x:f>ROUND(H1766*(1-I1766),2)</x:f>
        <x:v>7176000</x:v>
      </x:c>
      <x:c r="N1766" s="4" t="str">
        <x:v>Sales head</x:v>
      </x:c>
      <x:c r="O1766" s="4" t="str">
        <x:v>BOOK-01765</x:v>
      </x:c>
      <x:c r="P1766" s="9" t="n">
        <x:v>717600</x:v>
      </x:c>
      <x:c r="Q1766" s="11" t="n">
        <x:v>0</x:v>
      </x:c>
      <x:c r="R1766" s="8" t="n">
        <x:v>45443</x:v>
      </x:c>
      <x:c r="S1766" s="4" t="str">
        <x:v>Retained</x:v>
      </x:c>
      <x:c r="T1766" s="10" t="n">
        <x:v>0.351536</x:v>
      </x:c>
      <x:c r="U1766" s="4" t="str">
        <x:v>Train</x:v>
      </x:c>
    </x:row>
    <x:row r="1767" ht="34" customHeight="1">
      <x:c r="A1767" s="4" t="str">
        <x:v>RS-01766</x:v>
      </x:c>
      <x:c r="B1767" s="8" t="n">
        <x:v>45384</x:v>
      </x:c>
      <x:c r="C1767" s="4" t="str">
        <x:v>PRJ-006</x:v>
      </x:c>
      <x:c r="D1767" s="4" t="str">
        <x:v>Apartment</x:v>
      </x:c>
      <x:c r="E1767" s="4" t="str">
        <x:v>Enquiry</x:v>
      </x:c>
      <x:c r="F1767" s="4" t="str">
        <x:v>CUS-01766</x:v>
      </x:c>
      <x:c r="G1767" s="4" t="str">
        <x:v>UNIT-01766</x:v>
      </x:c>
      <x:c r="H1767" s="9" t="n">
        <x:v>23700000</x:v>
      </x:c>
      <x:c r="I1767" s="10" t="n">
        <x:v>0.01</x:v>
      </x:c>
      <x:c r="J1767" s="11" t="n">
        <x:v>10</x:v>
      </x:c>
      <x:c r="K1767" s="11" t="n">
        <x:v>8</x:v>
      </x:c>
      <x:c r="L1767" s="11" t="n">
        <x:v>1</x:v>
      </x:c>
      <x:c r="M1767" s="9" t="n">
        <x:f>ROUND(H1767*(1-I1767),2)</x:f>
        <x:v>23463000</x:v>
      </x:c>
      <x:c r="N1767" s="4" t="str">
        <x:v>Sales manager</x:v>
      </x:c>
      <x:c r="O1767" s="4"/>
      <x:c r="P1767" s="9" t="n">
        <x:v>0</x:v>
      </x:c>
      <x:c r="Q1767" s="11" t="n">
        <x:v>0</x:v>
      </x:c>
      <x:c r="R1767" s="8" t="n">
        <x:v>45444</x:v>
      </x:c>
      <x:c r="S1767" s="4" t="str">
        <x:v>Retained</x:v>
      </x:c>
      <x:c r="T1767" s="10" t="n">
        <x:v>0.254545</x:v>
      </x:c>
      <x:c r="U1767" s="4" t="str">
        <x:v>Train</x:v>
      </x:c>
    </x:row>
    <x:row r="1768" ht="34" customHeight="1">
      <x:c r="A1768" s="4" t="str">
        <x:v>RS-01767</x:v>
      </x:c>
      <x:c r="B1768" s="8" t="n">
        <x:v>45385</x:v>
      </x:c>
      <x:c r="C1768" s="4" t="str">
        <x:v>PRJ-007</x:v>
      </x:c>
      <x:c r="D1768" s="4" t="str">
        <x:v>Office</x:v>
      </x:c>
      <x:c r="E1768" s="4" t="str">
        <x:v>Handed over</x:v>
      </x:c>
      <x:c r="F1768" s="4" t="str">
        <x:v>CUS-01767</x:v>
      </x:c>
      <x:c r="G1768" s="4" t="str">
        <x:v>UNIT-01767</x:v>
      </x:c>
      <x:c r="H1768" s="9" t="n">
        <x:v>16200000</x:v>
      </x:c>
      <x:c r="I1768" s="10" t="n">
        <x:v>0.02</x:v>
      </x:c>
      <x:c r="J1768" s="11" t="n">
        <x:v>8</x:v>
      </x:c>
      <x:c r="K1768" s="11" t="n">
        <x:v>2</x:v>
      </x:c>
      <x:c r="L1768" s="11" t="n">
        <x:v>1</x:v>
      </x:c>
      <x:c r="M1768" s="9" t="n">
        <x:f>ROUND(H1768*(1-I1768),2)</x:f>
        <x:v>15876000</x:v>
      </x:c>
      <x:c r="N1768" s="4" t="str">
        <x:v>Sales manager</x:v>
      </x:c>
      <x:c r="O1768" s="4" t="str">
        <x:v>BOOK-01767</x:v>
      </x:c>
      <x:c r="P1768" s="9" t="n">
        <x:v>15876000</x:v>
      </x:c>
      <x:c r="Q1768" s="11" t="n">
        <x:v>0</x:v>
      </x:c>
      <x:c r="R1768" s="8" t="n">
        <x:v>45445</x:v>
      </x:c>
      <x:c r="S1768" s="4" t="str">
        <x:v>Retained</x:v>
      </x:c>
      <x:c r="T1768" s="10" t="n">
        <x:v>0.254545</x:v>
      </x:c>
      <x:c r="U1768" s="4" t="str">
        <x:v>Train</x:v>
      </x:c>
    </x:row>
    <x:row r="1769" ht="34" customHeight="1">
      <x:c r="A1769" s="4" t="str">
        <x:v>RS-01768</x:v>
      </x:c>
      <x:c r="B1769" s="8" t="n">
        <x:v>45386</x:v>
      </x:c>
      <x:c r="C1769" s="4" t="str">
        <x:v>PRJ-008</x:v>
      </x:c>
      <x:c r="D1769" s="4" t="str">
        <x:v>Apartment</x:v>
      </x:c>
      <x:c r="E1769" s="4" t="str">
        <x:v>Booked</x:v>
      </x:c>
      <x:c r="F1769" s="4" t="str">
        <x:v>CUS-01768</x:v>
      </x:c>
      <x:c r="G1769" s="4" t="str">
        <x:v>UNIT-01768</x:v>
      </x:c>
      <x:c r="H1769" s="9" t="n">
        <x:v>22600000</x:v>
      </x:c>
      <x:c r="I1769" s="10" t="n">
        <x:v>0.1</x:v>
      </x:c>
      <x:c r="J1769" s="11" t="n">
        <x:v>5</x:v>
      </x:c>
      <x:c r="K1769" s="11" t="n">
        <x:v>4</x:v>
      </x:c>
      <x:c r="L1769" s="11" t="n">
        <x:v>1</x:v>
      </x:c>
      <x:c r="M1769" s="9" t="n">
        <x:f>ROUND(H1769*(1-I1769),2)</x:f>
        <x:v>20340000</x:v>
      </x:c>
      <x:c r="N1769" s="4" t="str">
        <x:v>Sales head</x:v>
      </x:c>
      <x:c r="O1769" s="4" t="str">
        <x:v>BOOK-01768</x:v>
      </x:c>
      <x:c r="P1769" s="9" t="n">
        <x:v>20340000</x:v>
      </x:c>
      <x:c r="Q1769" s="11" t="n">
        <x:v>0</x:v>
      </x:c>
      <x:c r="R1769" s="8" t="n">
        <x:v>45446</x:v>
      </x:c>
      <x:c r="S1769" s="4" t="str">
        <x:v>Retained</x:v>
      </x:c>
      <x:c r="T1769" s="10" t="n">
        <x:v>0.291946</x:v>
      </x:c>
      <x:c r="U1769" s="4" t="str">
        <x:v>Train</x:v>
      </x:c>
    </x:row>
    <x:row r="1770" ht="34" customHeight="1">
      <x:c r="A1770" s="4" t="str">
        <x:v>RS-01769</x:v>
      </x:c>
      <x:c r="B1770" s="8" t="n">
        <x:v>45387</x:v>
      </x:c>
      <x:c r="C1770" s="4" t="str">
        <x:v>PRJ-009</x:v>
      </x:c>
      <x:c r="D1770" s="4" t="str">
        <x:v>Retail</x:v>
      </x:c>
      <x:c r="E1770" s="4" t="str">
        <x:v>Enquiry</x:v>
      </x:c>
      <x:c r="F1770" s="4" t="str">
        <x:v>CUS-01769</x:v>
      </x:c>
      <x:c r="G1770" s="4" t="str">
        <x:v>UNIT-01769</x:v>
      </x:c>
      <x:c r="H1770" s="9" t="n">
        <x:v>15000000</x:v>
      </x:c>
      <x:c r="I1770" s="10" t="n">
        <x:v>0.02</x:v>
      </x:c>
      <x:c r="J1770" s="11" t="n">
        <x:v>5</x:v>
      </x:c>
      <x:c r="K1770" s="11" t="n">
        <x:v>9</x:v>
      </x:c>
      <x:c r="L1770" s="11" t="n">
        <x:v>1</x:v>
      </x:c>
      <x:c r="M1770" s="9" t="n">
        <x:f>ROUND(H1770*(1-I1770),2)</x:f>
        <x:v>14700000</x:v>
      </x:c>
      <x:c r="N1770" s="4" t="str">
        <x:v>Sales manager</x:v>
      </x:c>
      <x:c r="O1770" s="4"/>
      <x:c r="P1770" s="9" t="n">
        <x:v>0</x:v>
      </x:c>
      <x:c r="Q1770" s="11" t="n">
        <x:v>0</x:v>
      </x:c>
      <x:c r="R1770" s="8" t="n">
        <x:v>45447</x:v>
      </x:c>
      <x:c r="S1770" s="4" t="str">
        <x:v>Retained</x:v>
      </x:c>
      <x:c r="T1770" s="10" t="n">
        <x:v>0.145299</x:v>
      </x:c>
      <x:c r="U1770" s="4" t="str">
        <x:v>Train</x:v>
      </x:c>
    </x:row>
    <x:row r="1771" ht="34" customHeight="1">
      <x:c r="A1771" s="4" t="str">
        <x:v>RS-01770</x:v>
      </x:c>
      <x:c r="B1771" s="8" t="n">
        <x:v>45388</x:v>
      </x:c>
      <x:c r="C1771" s="4" t="str">
        <x:v>PRJ-010</x:v>
      </x:c>
      <x:c r="D1771" s="4" t="str">
        <x:v>Apartment</x:v>
      </x:c>
      <x:c r="E1771" s="4" t="str">
        <x:v>Enquiry</x:v>
      </x:c>
      <x:c r="F1771" s="4" t="str">
        <x:v>CUS-01770</x:v>
      </x:c>
      <x:c r="G1771" s="4" t="str">
        <x:v>UNIT-01770</x:v>
      </x:c>
      <x:c r="H1771" s="9" t="n">
        <x:v>11900000</x:v>
      </x:c>
      <x:c r="I1771" s="10" t="n">
        <x:v>0.03</x:v>
      </x:c>
      <x:c r="J1771" s="11" t="n">
        <x:v>4</x:v>
      </x:c>
      <x:c r="K1771" s="11" t="n">
        <x:v>10</x:v>
      </x:c>
      <x:c r="L1771" s="11" t="n">
        <x:v>0</x:v>
      </x:c>
      <x:c r="M1771" s="9" t="n">
        <x:f>ROUND(H1771*(1-I1771),2)</x:f>
        <x:v>11543000</x:v>
      </x:c>
      <x:c r="N1771" s="4" t="str">
        <x:v>Sales manager</x:v>
      </x:c>
      <x:c r="O1771" s="4"/>
      <x:c r="P1771" s="9" t="n">
        <x:v>0</x:v>
      </x:c>
      <x:c r="Q1771" s="11" t="n">
        <x:v>0</x:v>
      </x:c>
      <x:c r="R1771" s="8" t="n">
        <x:v>45448</x:v>
      </x:c>
      <x:c r="S1771" s="4" t="str">
        <x:v>Retained</x:v>
      </x:c>
      <x:c r="T1771" s="10" t="n">
        <x:v>0.145299</x:v>
      </x:c>
      <x:c r="U1771" s="4" t="str">
        <x:v>Train</x:v>
      </x:c>
    </x:row>
    <x:row r="1772" ht="34" customHeight="1">
      <x:c r="A1772" s="4" t="str">
        <x:v>RS-01771</x:v>
      </x:c>
      <x:c r="B1772" s="8" t="n">
        <x:v>45389</x:v>
      </x:c>
      <x:c r="C1772" s="4" t="str">
        <x:v>PRJ-011</x:v>
      </x:c>
      <x:c r="D1772" s="4" t="str">
        <x:v>Retail</x:v>
      </x:c>
      <x:c r="E1772" s="4" t="str">
        <x:v>Enquiry</x:v>
      </x:c>
      <x:c r="F1772" s="4" t="str">
        <x:v>CUS-01771</x:v>
      </x:c>
      <x:c r="G1772" s="4" t="str">
        <x:v>UNIT-01771</x:v>
      </x:c>
      <x:c r="H1772" s="9" t="n">
        <x:v>14800000</x:v>
      </x:c>
      <x:c r="I1772" s="10" t="n">
        <x:v>0.03</x:v>
      </x:c>
      <x:c r="J1772" s="11" t="n">
        <x:v>8</x:v>
      </x:c>
      <x:c r="K1772" s="11" t="n">
        <x:v>1</x:v>
      </x:c>
      <x:c r="L1772" s="11" t="n">
        <x:v>1</x:v>
      </x:c>
      <x:c r="M1772" s="9" t="n">
        <x:f>ROUND(H1772*(1-I1772),2)</x:f>
        <x:v>14356000</x:v>
      </x:c>
      <x:c r="N1772" s="4" t="str">
        <x:v>Sales manager</x:v>
      </x:c>
      <x:c r="O1772" s="4"/>
      <x:c r="P1772" s="9" t="n">
        <x:v>0</x:v>
      </x:c>
      <x:c r="Q1772" s="11" t="n">
        <x:v>0</x:v>
      </x:c>
      <x:c r="R1772" s="8" t="n">
        <x:v>45449</x:v>
      </x:c>
      <x:c r="S1772" s="4" t="str">
        <x:v>Retained</x:v>
      </x:c>
      <x:c r="T1772" s="10" t="n">
        <x:v>0.310195</x:v>
      </x:c>
      <x:c r="U1772" s="4" t="str">
        <x:v>Train</x:v>
      </x:c>
    </x:row>
    <x:row r="1773" ht="34" customHeight="1">
      <x:c r="A1773" s="4" t="str">
        <x:v>RS-01772</x:v>
      </x:c>
      <x:c r="B1773" s="8" t="n">
        <x:v>45390</x:v>
      </x:c>
      <x:c r="C1773" s="4" t="str">
        <x:v>PRJ-012</x:v>
      </x:c>
      <x:c r="D1773" s="4" t="str">
        <x:v>Retail</x:v>
      </x:c>
      <x:c r="E1773" s="4" t="str">
        <x:v>Agreement signed</x:v>
      </x:c>
      <x:c r="F1773" s="4" t="str">
        <x:v>CUS-01772</x:v>
      </x:c>
      <x:c r="G1773" s="4" t="str">
        <x:v>UNIT-01772</x:v>
      </x:c>
      <x:c r="H1773" s="9" t="n">
        <x:v>16800000</x:v>
      </x:c>
      <x:c r="I1773" s="10" t="n">
        <x:v>0.11</x:v>
      </x:c>
      <x:c r="J1773" s="11" t="n">
        <x:v>1</x:v>
      </x:c>
      <x:c r="K1773" s="11" t="n">
        <x:v>4</x:v>
      </x:c>
      <x:c r="L1773" s="11" t="n">
        <x:v>1</x:v>
      </x:c>
      <x:c r="M1773" s="9" t="n">
        <x:f>ROUND(H1773*(1-I1773),2)</x:f>
        <x:v>14952000</x:v>
      </x:c>
      <x:c r="N1773" s="4" t="str">
        <x:v>Sales head</x:v>
      </x:c>
      <x:c r="O1773" s="4" t="str">
        <x:v>BOOK-01772</x:v>
      </x:c>
      <x:c r="P1773" s="9" t="n">
        <x:v>14952000</x:v>
      </x:c>
      <x:c r="Q1773" s="11" t="n">
        <x:v>0</x:v>
      </x:c>
      <x:c r="R1773" s="8" t="n">
        <x:v>45450</x:v>
      </x:c>
      <x:c r="S1773" s="4" t="str">
        <x:v>Retained</x:v>
      </x:c>
      <x:c r="T1773" s="10" t="n">
        <x:v>0.145833</x:v>
      </x:c>
      <x:c r="U1773" s="4" t="str">
        <x:v>Train</x:v>
      </x:c>
    </x:row>
    <x:row r="1774" ht="34" customHeight="1">
      <x:c r="A1774" s="4" t="str">
        <x:v>RS-01773</x:v>
      </x:c>
      <x:c r="B1774" s="8" t="n">
        <x:v>45391</x:v>
      </x:c>
      <x:c r="C1774" s="4" t="str">
        <x:v>PRJ-013</x:v>
      </x:c>
      <x:c r="D1774" s="4" t="str">
        <x:v>Apartment</x:v>
      </x:c>
      <x:c r="E1774" s="4" t="str">
        <x:v>Handed over</x:v>
      </x:c>
      <x:c r="F1774" s="4" t="str">
        <x:v>CUS-01773</x:v>
      </x:c>
      <x:c r="G1774" s="4" t="str">
        <x:v>UNIT-01773</x:v>
      </x:c>
      <x:c r="H1774" s="9" t="n">
        <x:v>16000000</x:v>
      </x:c>
      <x:c r="I1774" s="10" t="n">
        <x:v>0.11</x:v>
      </x:c>
      <x:c r="J1774" s="11" t="n">
        <x:v>7</x:v>
      </x:c>
      <x:c r="K1774" s="11" t="n">
        <x:v>7</x:v>
      </x:c>
      <x:c r="L1774" s="11" t="n">
        <x:v>1</x:v>
      </x:c>
      <x:c r="M1774" s="9" t="n">
        <x:f>ROUND(H1774*(1-I1774),2)</x:f>
        <x:v>14240000</x:v>
      </x:c>
      <x:c r="N1774" s="4" t="str">
        <x:v>Sales head</x:v>
      </x:c>
      <x:c r="O1774" s="4" t="str">
        <x:v>BOOK-01773</x:v>
      </x:c>
      <x:c r="P1774" s="9" t="n">
        <x:v>1424000</x:v>
      </x:c>
      <x:c r="Q1774" s="11" t="n">
        <x:v>0</x:v>
      </x:c>
      <x:c r="R1774" s="8" t="n">
        <x:v>45451</x:v>
      </x:c>
      <x:c r="S1774" s="4" t="str">
        <x:v>Retained</x:v>
      </x:c>
      <x:c r="T1774" s="10" t="n">
        <x:v>0.291946</x:v>
      </x:c>
      <x:c r="U1774" s="4" t="str">
        <x:v>Train</x:v>
      </x:c>
    </x:row>
    <x:row r="1775" ht="34" customHeight="1">
      <x:c r="A1775" s="4" t="str">
        <x:v>RS-01774</x:v>
      </x:c>
      <x:c r="B1775" s="8" t="n">
        <x:v>45392</x:v>
      </x:c>
      <x:c r="C1775" s="4" t="str">
        <x:v>PRJ-014</x:v>
      </x:c>
      <x:c r="D1775" s="4" t="str">
        <x:v>Office</x:v>
      </x:c>
      <x:c r="E1775" s="4" t="str">
        <x:v>Booked</x:v>
      </x:c>
      <x:c r="F1775" s="4" t="str">
        <x:v>CUS-01774</x:v>
      </x:c>
      <x:c r="G1775" s="4" t="str">
        <x:v>UNIT-01774</x:v>
      </x:c>
      <x:c r="H1775" s="9" t="n">
        <x:v>15000000</x:v>
      </x:c>
      <x:c r="I1775" s="10" t="n">
        <x:v>0.1</x:v>
      </x:c>
      <x:c r="J1775" s="11" t="n">
        <x:v>4</x:v>
      </x:c>
      <x:c r="K1775" s="11" t="n">
        <x:v>7</x:v>
      </x:c>
      <x:c r="L1775" s="11" t="n">
        <x:v>0</x:v>
      </x:c>
      <x:c r="M1775" s="9" t="n">
        <x:f>ROUND(H1775*(1-I1775),2)</x:f>
        <x:v>13500000</x:v>
      </x:c>
      <x:c r="N1775" s="4" t="str">
        <x:v>Sales head</x:v>
      </x:c>
      <x:c r="O1775" s="4" t="str">
        <x:v>BOOK-01774</x:v>
      </x:c>
      <x:c r="P1775" s="9" t="n">
        <x:v>3375000</x:v>
      </x:c>
      <x:c r="Q1775" s="11" t="n">
        <x:v>0</x:v>
      </x:c>
      <x:c r="R1775" s="8" t="n">
        <x:v>45452</x:v>
      </x:c>
      <x:c r="S1775" s="4" t="str">
        <x:v>Retained</x:v>
      </x:c>
      <x:c r="T1775" s="10" t="n">
        <x:v>0.226277</x:v>
      </x:c>
      <x:c r="U1775" s="4" t="str">
        <x:v>Train</x:v>
      </x:c>
    </x:row>
    <x:row r="1776" ht="34" customHeight="1">
      <x:c r="A1776" s="4" t="str">
        <x:v>RS-01775</x:v>
      </x:c>
      <x:c r="B1776" s="8" t="n">
        <x:v>45393</x:v>
      </x:c>
      <x:c r="C1776" s="4" t="str">
        <x:v>PRJ-015</x:v>
      </x:c>
      <x:c r="D1776" s="4" t="str">
        <x:v>Apartment</x:v>
      </x:c>
      <x:c r="E1776" s="4" t="str">
        <x:v>Enquiry</x:v>
      </x:c>
      <x:c r="F1776" s="4" t="str">
        <x:v>CUS-01775</x:v>
      </x:c>
      <x:c r="G1776" s="4" t="str">
        <x:v>UNIT-01775</x:v>
      </x:c>
      <x:c r="H1776" s="9" t="n">
        <x:v>12900000</x:v>
      </x:c>
      <x:c r="I1776" s="10" t="n">
        <x:v>0.09</x:v>
      </x:c>
      <x:c r="J1776" s="11" t="n">
        <x:v>1</x:v>
      </x:c>
      <x:c r="K1776" s="11" t="n">
        <x:v>3</x:v>
      </x:c>
      <x:c r="L1776" s="11" t="n">
        <x:v>0</x:v>
      </x:c>
      <x:c r="M1776" s="9" t="n">
        <x:f>ROUND(H1776*(1-I1776),2)</x:f>
        <x:v>11739000</x:v>
      </x:c>
      <x:c r="N1776" s="4" t="str">
        <x:v>Sales head</x:v>
      </x:c>
      <x:c r="O1776" s="4"/>
      <x:c r="P1776" s="9" t="n">
        <x:v>0</x:v>
      </x:c>
      <x:c r="Q1776" s="11" t="n">
        <x:v>0</x:v>
      </x:c>
      <x:c r="R1776" s="8" t="n">
        <x:v>45453</x:v>
      </x:c>
      <x:c r="S1776" s="4" t="str">
        <x:v>Retained</x:v>
      </x:c>
      <x:c r="T1776" s="10" t="n">
        <x:v>0.145833</x:v>
      </x:c>
      <x:c r="U1776" s="4" t="str">
        <x:v>Train</x:v>
      </x:c>
    </x:row>
    <x:row r="1777" ht="34" customHeight="1">
      <x:c r="A1777" s="4" t="str">
        <x:v>RS-01776</x:v>
      </x:c>
      <x:c r="B1777" s="8" t="n">
        <x:v>45394</x:v>
      </x:c>
      <x:c r="C1777" s="4" t="str">
        <x:v>PRJ-016</x:v>
      </x:c>
      <x:c r="D1777" s="4" t="str">
        <x:v>Office</x:v>
      </x:c>
      <x:c r="E1777" s="4" t="str">
        <x:v>Agreement signed</x:v>
      </x:c>
      <x:c r="F1777" s="4" t="str">
        <x:v>CUS-01776</x:v>
      </x:c>
      <x:c r="G1777" s="4" t="str">
        <x:v>UNIT-01776</x:v>
      </x:c>
      <x:c r="H1777" s="9" t="n">
        <x:v>23700000</x:v>
      </x:c>
      <x:c r="I1777" s="10" t="n">
        <x:v>0.01</x:v>
      </x:c>
      <x:c r="J1777" s="11" t="n">
        <x:v>9</x:v>
      </x:c>
      <x:c r="K1777" s="11" t="n">
        <x:v>7</x:v>
      </x:c>
      <x:c r="L1777" s="11" t="n">
        <x:v>1</x:v>
      </x:c>
      <x:c r="M1777" s="9" t="n">
        <x:f>ROUND(H1777*(1-I1777),2)</x:f>
        <x:v>23463000</x:v>
      </x:c>
      <x:c r="N1777" s="4" t="str">
        <x:v>Sales manager</x:v>
      </x:c>
      <x:c r="O1777" s="4" t="str">
        <x:v>BOOK-01776</x:v>
      </x:c>
      <x:c r="P1777" s="9" t="n">
        <x:v>23463000</x:v>
      </x:c>
      <x:c r="Q1777" s="11" t="n">
        <x:v>0</x:v>
      </x:c>
      <x:c r="R1777" s="8" t="n">
        <x:v>45454</x:v>
      </x:c>
      <x:c r="S1777" s="4" t="str">
        <x:v>Retained</x:v>
      </x:c>
      <x:c r="T1777" s="10" t="n">
        <x:v>0.254545</x:v>
      </x:c>
      <x:c r="U1777" s="4" t="str">
        <x:v>Train</x:v>
      </x:c>
    </x:row>
    <x:row r="1778" ht="34" customHeight="1">
      <x:c r="A1778" s="4" t="str">
        <x:v>RS-01777</x:v>
      </x:c>
      <x:c r="B1778" s="8" t="n">
        <x:v>45395</x:v>
      </x:c>
      <x:c r="C1778" s="4" t="str">
        <x:v>PRJ-017</x:v>
      </x:c>
      <x:c r="D1778" s="4" t="str">
        <x:v>Villa</x:v>
      </x:c>
      <x:c r="E1778" s="4" t="str">
        <x:v>Booked</x:v>
      </x:c>
      <x:c r="F1778" s="4" t="str">
        <x:v>CUS-01777</x:v>
      </x:c>
      <x:c r="G1778" s="4" t="str">
        <x:v>UNIT-01777</x:v>
      </x:c>
      <x:c r="H1778" s="9" t="n">
        <x:v>8900000</x:v>
      </x:c>
      <x:c r="I1778" s="10" t="n">
        <x:v>0.05</x:v>
      </x:c>
      <x:c r="J1778" s="11" t="n">
        <x:v>0</x:v>
      </x:c>
      <x:c r="K1778" s="11" t="n">
        <x:v>7</x:v>
      </x:c>
      <x:c r="L1778" s="11" t="n">
        <x:v>0</x:v>
      </x:c>
      <x:c r="M1778" s="9" t="n">
        <x:f>ROUND(H1778*(1-I1778),2)</x:f>
        <x:v>8455000</x:v>
      </x:c>
      <x:c r="N1778" s="4" t="str">
        <x:v>Sales manager</x:v>
      </x:c>
      <x:c r="O1778" s="4" t="str">
        <x:v>BOOK-01777</x:v>
      </x:c>
      <x:c r="P1778" s="9" t="n">
        <x:v>2113750</x:v>
      </x:c>
      <x:c r="Q1778" s="11" t="n">
        <x:v>0</x:v>
      </x:c>
      <x:c r="R1778" s="8" t="n">
        <x:v>45455</x:v>
      </x:c>
      <x:c r="S1778" s="4" t="str">
        <x:v>Retained</x:v>
      </x:c>
      <x:c r="T1778" s="10" t="n">
        <x:v>0.204152</x:v>
      </x:c>
      <x:c r="U1778" s="4" t="str">
        <x:v>Train</x:v>
      </x:c>
    </x:row>
    <x:row r="1779" ht="34" customHeight="1">
      <x:c r="A1779" s="4" t="str">
        <x:v>RS-01778</x:v>
      </x:c>
      <x:c r="B1779" s="8" t="n">
        <x:v>45396</x:v>
      </x:c>
      <x:c r="C1779" s="4" t="str">
        <x:v>PRJ-018</x:v>
      </x:c>
      <x:c r="D1779" s="4" t="str">
        <x:v>Office</x:v>
      </x:c>
      <x:c r="E1779" s="4" t="str">
        <x:v>Cancelled</x:v>
      </x:c>
      <x:c r="F1779" s="4" t="str">
        <x:v>CUS-01778</x:v>
      </x:c>
      <x:c r="G1779" s="4" t="str">
        <x:v>UNIT-01778</x:v>
      </x:c>
      <x:c r="H1779" s="9" t="n">
        <x:v>20900000</x:v>
      </x:c>
      <x:c r="I1779" s="10" t="n">
        <x:v>0.11</x:v>
      </x:c>
      <x:c r="J1779" s="11" t="n">
        <x:v>12</x:v>
      </x:c>
      <x:c r="K1779" s="11" t="n">
        <x:v>1</x:v>
      </x:c>
      <x:c r="L1779" s="11" t="n">
        <x:v>0</x:v>
      </x:c>
      <x:c r="M1779" s="9" t="n">
        <x:f>ROUND(H1779*(1-I1779),2)</x:f>
        <x:v>18601000</x:v>
      </x:c>
      <x:c r="N1779" s="4" t="str">
        <x:v>Sales head</x:v>
      </x:c>
      <x:c r="O1779" s="4"/>
      <x:c r="P1779" s="9" t="n">
        <x:v>0</x:v>
      </x:c>
      <x:c r="Q1779" s="11" t="n">
        <x:v>1</x:v>
      </x:c>
      <x:c r="R1779" s="8" t="n">
        <x:v>45456</x:v>
      </x:c>
      <x:c r="S1779" s="4" t="str">
        <x:v>Lost / cancelled</x:v>
      </x:c>
      <x:c r="T1779" s="10" t="n">
        <x:v>0.351536</x:v>
      </x:c>
      <x:c r="U1779" s="4" t="str">
        <x:v>Train</x:v>
      </x:c>
    </x:row>
    <x:row r="1780" ht="34" customHeight="1">
      <x:c r="A1780" s="4" t="str">
        <x:v>RS-01779</x:v>
      </x:c>
      <x:c r="B1780" s="8" t="n">
        <x:v>45397</x:v>
      </x:c>
      <x:c r="C1780" s="4" t="str">
        <x:v>PRJ-019</x:v>
      </x:c>
      <x:c r="D1780" s="4" t="str">
        <x:v>Villa</x:v>
      </x:c>
      <x:c r="E1780" s="4" t="str">
        <x:v>Agreement signed</x:v>
      </x:c>
      <x:c r="F1780" s="4" t="str">
        <x:v>CUS-01779</x:v>
      </x:c>
      <x:c r="G1780" s="4" t="str">
        <x:v>UNIT-01779</x:v>
      </x:c>
      <x:c r="H1780" s="9" t="n">
        <x:v>19400000</x:v>
      </x:c>
      <x:c r="I1780" s="10" t="n">
        <x:v>0.1</x:v>
      </x:c>
      <x:c r="J1780" s="11" t="n">
        <x:v>0</x:v>
      </x:c>
      <x:c r="K1780" s="11" t="n">
        <x:v>10</x:v>
      </x:c>
      <x:c r="L1780" s="11" t="n">
        <x:v>0</x:v>
      </x:c>
      <x:c r="M1780" s="9" t="n">
        <x:f>ROUND(H1780*(1-I1780),2)</x:f>
        <x:v>17460000</x:v>
      </x:c>
      <x:c r="N1780" s="4" t="str">
        <x:v>Sales head</x:v>
      </x:c>
      <x:c r="O1780" s="4" t="str">
        <x:v>BOOK-01779</x:v>
      </x:c>
      <x:c r="P1780" s="9" t="n">
        <x:v>4365000</x:v>
      </x:c>
      <x:c r="Q1780" s="11" t="n">
        <x:v>0</x:v>
      </x:c>
      <x:c r="R1780" s="8" t="n">
        <x:v>45457</x:v>
      </x:c>
      <x:c r="S1780" s="4" t="str">
        <x:v>Retained</x:v>
      </x:c>
      <x:c r="T1780" s="10" t="n">
        <x:v>0.145833</x:v>
      </x:c>
      <x:c r="U1780" s="4" t="str">
        <x:v>Train</x:v>
      </x:c>
    </x:row>
    <x:row r="1781" ht="34" customHeight="1">
      <x:c r="A1781" s="4" t="str">
        <x:v>RS-01780</x:v>
      </x:c>
      <x:c r="B1781" s="8" t="n">
        <x:v>45398</x:v>
      </x:c>
      <x:c r="C1781" s="4" t="str">
        <x:v>PRJ-020</x:v>
      </x:c>
      <x:c r="D1781" s="4" t="str">
        <x:v>Office</x:v>
      </x:c>
      <x:c r="E1781" s="4" t="str">
        <x:v>Handed over</x:v>
      </x:c>
      <x:c r="F1781" s="4" t="str">
        <x:v>CUS-01780</x:v>
      </x:c>
      <x:c r="G1781" s="4" t="str">
        <x:v>UNIT-01780</x:v>
      </x:c>
      <x:c r="H1781" s="9" t="n">
        <x:v>19000000</x:v>
      </x:c>
      <x:c r="I1781" s="10" t="n">
        <x:v>0.03</x:v>
      </x:c>
      <x:c r="J1781" s="11" t="n">
        <x:v>3</x:v>
      </x:c>
      <x:c r="K1781" s="11" t="n">
        <x:v>9</x:v>
      </x:c>
      <x:c r="L1781" s="11" t="n">
        <x:v>0</x:v>
      </x:c>
      <x:c r="M1781" s="9" t="n">
        <x:f>ROUND(H1781*(1-I1781),2)</x:f>
        <x:v>18430000</x:v>
      </x:c>
      <x:c r="N1781" s="4" t="str">
        <x:v>Sales manager</x:v>
      </x:c>
      <x:c r="O1781" s="4" t="str">
        <x:v>BOOK-01780</x:v>
      </x:c>
      <x:c r="P1781" s="9" t="n">
        <x:v>18430000</x:v>
      </x:c>
      <x:c r="Q1781" s="11" t="n">
        <x:v>0</x:v>
      </x:c>
      <x:c r="R1781" s="8" t="n">
        <x:v>45458</x:v>
      </x:c>
      <x:c r="S1781" s="4" t="str">
        <x:v>Retained</x:v>
      </x:c>
      <x:c r="T1781" s="10" t="n">
        <x:v>0.171717</x:v>
      </x:c>
      <x:c r="U1781" s="4" t="str">
        <x:v>Train</x:v>
      </x:c>
    </x:row>
    <x:row r="1782" ht="34" customHeight="1">
      <x:c r="A1782" s="4" t="str">
        <x:v>RS-01781</x:v>
      </x:c>
      <x:c r="B1782" s="8" t="n">
        <x:v>45399</x:v>
      </x:c>
      <x:c r="C1782" s="4" t="str">
        <x:v>PRJ-001</x:v>
      </x:c>
      <x:c r="D1782" s="4" t="str">
        <x:v>Office</x:v>
      </x:c>
      <x:c r="E1782" s="4" t="str">
        <x:v>Handed over</x:v>
      </x:c>
      <x:c r="F1782" s="4" t="str">
        <x:v>CUS-01781</x:v>
      </x:c>
      <x:c r="G1782" s="4" t="str">
        <x:v>UNIT-01781</x:v>
      </x:c>
      <x:c r="H1782" s="9" t="n">
        <x:v>23600000</x:v>
      </x:c>
      <x:c r="I1782" s="10" t="n">
        <x:v>0.05</x:v>
      </x:c>
      <x:c r="J1782" s="11" t="n">
        <x:v>7</x:v>
      </x:c>
      <x:c r="K1782" s="11" t="n">
        <x:v>5</x:v>
      </x:c>
      <x:c r="L1782" s="11" t="n">
        <x:v>1</x:v>
      </x:c>
      <x:c r="M1782" s="9" t="n">
        <x:f>ROUND(H1782*(1-I1782),2)</x:f>
        <x:v>22420000</x:v>
      </x:c>
      <x:c r="N1782" s="4" t="str">
        <x:v>Sales manager</x:v>
      </x:c>
      <x:c r="O1782" s="4" t="str">
        <x:v>BOOK-01781</x:v>
      </x:c>
      <x:c r="P1782" s="9" t="n">
        <x:v>2242000</x:v>
      </x:c>
      <x:c r="Q1782" s="11" t="n">
        <x:v>0</x:v>
      </x:c>
      <x:c r="R1782" s="8" t="n">
        <x:v>45459</x:v>
      </x:c>
      <x:c r="S1782" s="4" t="str">
        <x:v>Retained</x:v>
      </x:c>
      <x:c r="T1782" s="10" t="n">
        <x:v>0.291946</x:v>
      </x:c>
      <x:c r="U1782" s="4" t="str">
        <x:v>Train</x:v>
      </x:c>
    </x:row>
    <x:row r="1783" ht="34" customHeight="1">
      <x:c r="A1783" s="4" t="str">
        <x:v>RS-01782</x:v>
      </x:c>
      <x:c r="B1783" s="8" t="n">
        <x:v>45400</x:v>
      </x:c>
      <x:c r="C1783" s="4" t="str">
        <x:v>PRJ-002</x:v>
      </x:c>
      <x:c r="D1783" s="4" t="str">
        <x:v>Apartment</x:v>
      </x:c>
      <x:c r="E1783" s="4" t="str">
        <x:v>Booked</x:v>
      </x:c>
      <x:c r="F1783" s="4" t="str">
        <x:v>CUS-01782</x:v>
      </x:c>
      <x:c r="G1783" s="4" t="str">
        <x:v>UNIT-01782</x:v>
      </x:c>
      <x:c r="H1783" s="9" t="n">
        <x:v>17800000</x:v>
      </x:c>
      <x:c r="I1783" s="10" t="n">
        <x:v>0.03</x:v>
      </x:c>
      <x:c r="J1783" s="11" t="n">
        <x:v>2</x:v>
      </x:c>
      <x:c r="K1783" s="11" t="n">
        <x:v>4</x:v>
      </x:c>
      <x:c r="L1783" s="11" t="n">
        <x:v>0</x:v>
      </x:c>
      <x:c r="M1783" s="9" t="n">
        <x:f>ROUND(H1783*(1-I1783),2)</x:f>
        <x:v>17266000</x:v>
      </x:c>
      <x:c r="N1783" s="4" t="str">
        <x:v>Sales manager</x:v>
      </x:c>
      <x:c r="O1783" s="4" t="str">
        <x:v>BOOK-01782</x:v>
      </x:c>
      <x:c r="P1783" s="9" t="n">
        <x:v>17266000</x:v>
      </x:c>
      <x:c r="Q1783" s="11" t="n">
        <x:v>0</x:v>
      </x:c>
      <x:c r="R1783" s="8" t="n">
        <x:v>45460</x:v>
      </x:c>
      <x:c r="S1783" s="4" t="str">
        <x:v>Retained</x:v>
      </x:c>
      <x:c r="T1783" s="10" t="n">
        <x:v>0.171717</x:v>
      </x:c>
      <x:c r="U1783" s="4" t="str">
        <x:v>Train</x:v>
      </x:c>
    </x:row>
    <x:row r="1784" ht="34" customHeight="1">
      <x:c r="A1784" s="4" t="str">
        <x:v>RS-01783</x:v>
      </x:c>
      <x:c r="B1784" s="8" t="n">
        <x:v>45401</x:v>
      </x:c>
      <x:c r="C1784" s="4" t="str">
        <x:v>PRJ-003</x:v>
      </x:c>
      <x:c r="D1784" s="4" t="str">
        <x:v>Villa</x:v>
      </x:c>
      <x:c r="E1784" s="4" t="str">
        <x:v>Handed over</x:v>
      </x:c>
      <x:c r="F1784" s="4" t="str">
        <x:v>CUS-01783</x:v>
      </x:c>
      <x:c r="G1784" s="4" t="str">
        <x:v>UNIT-01783</x:v>
      </x:c>
      <x:c r="H1784" s="9" t="n">
        <x:v>11300000</x:v>
      </x:c>
      <x:c r="I1784" s="10" t="n">
        <x:v>0.01</x:v>
      </x:c>
      <x:c r="J1784" s="11" t="n">
        <x:v>7</x:v>
      </x:c>
      <x:c r="K1784" s="11" t="n">
        <x:v>8</x:v>
      </x:c>
      <x:c r="L1784" s="11" t="n">
        <x:v>1</x:v>
      </x:c>
      <x:c r="M1784" s="9" t="n">
        <x:f>ROUND(H1784*(1-I1784),2)</x:f>
        <x:v>11187000</x:v>
      </x:c>
      <x:c r="N1784" s="4" t="str">
        <x:v>Sales manager</x:v>
      </x:c>
      <x:c r="O1784" s="4" t="str">
        <x:v>BOOK-01783</x:v>
      </x:c>
      <x:c r="P1784" s="9" t="n">
        <x:v>1118700</x:v>
      </x:c>
      <x:c r="Q1784" s="11" t="n">
        <x:v>0</x:v>
      </x:c>
      <x:c r="R1784" s="8" t="n">
        <x:v>45461</x:v>
      </x:c>
      <x:c r="S1784" s="4" t="str">
        <x:v>Retained</x:v>
      </x:c>
      <x:c r="T1784" s="10" t="n">
        <x:v>0.145299</x:v>
      </x:c>
      <x:c r="U1784" s="4" t="str">
        <x:v>Train</x:v>
      </x:c>
    </x:row>
    <x:row r="1785" ht="34" customHeight="1">
      <x:c r="A1785" s="4" t="str">
        <x:v>RS-01784</x:v>
      </x:c>
      <x:c r="B1785" s="8" t="n">
        <x:v>45402</x:v>
      </x:c>
      <x:c r="C1785" s="4" t="str">
        <x:v>PRJ-004</x:v>
      </x:c>
      <x:c r="D1785" s="4" t="str">
        <x:v>Office</x:v>
      </x:c>
      <x:c r="E1785" s="4" t="str">
        <x:v>Reserved</x:v>
      </x:c>
      <x:c r="F1785" s="4" t="str">
        <x:v>CUS-01784</x:v>
      </x:c>
      <x:c r="G1785" s="4" t="str">
        <x:v>UNIT-01784</x:v>
      </x:c>
      <x:c r="H1785" s="9" t="n">
        <x:v>17500000</x:v>
      </x:c>
      <x:c r="I1785" s="10" t="n">
        <x:v>0.04</x:v>
      </x:c>
      <x:c r="J1785" s="11" t="n">
        <x:v>12</x:v>
      </x:c>
      <x:c r="K1785" s="11" t="n">
        <x:v>3</x:v>
      </x:c>
      <x:c r="L1785" s="11" t="n">
        <x:v>0</x:v>
      </x:c>
      <x:c r="M1785" s="9" t="n">
        <x:f>ROUND(H1785*(1-I1785),2)</x:f>
        <x:v>16800000</x:v>
      </x:c>
      <x:c r="N1785" s="4" t="str">
        <x:v>Sales manager</x:v>
      </x:c>
      <x:c r="O1785" s="4"/>
      <x:c r="P1785" s="9" t="n">
        <x:v>0</x:v>
      </x:c>
      <x:c r="Q1785" s="11" t="n">
        <x:v>0</x:v>
      </x:c>
      <x:c r="R1785" s="8" t="n">
        <x:v>45462</x:v>
      </x:c>
      <x:c r="S1785" s="4" t="str">
        <x:v>Retained</x:v>
      </x:c>
      <x:c r="T1785" s="10" t="n">
        <x:v>0.351536</x:v>
      </x:c>
      <x:c r="U1785" s="4" t="str">
        <x:v>Train</x:v>
      </x:c>
    </x:row>
    <x:row r="1786" ht="34" customHeight="1">
      <x:c r="A1786" s="4" t="str">
        <x:v>RS-01785</x:v>
      </x:c>
      <x:c r="B1786" s="8" t="n">
        <x:v>45403</x:v>
      </x:c>
      <x:c r="C1786" s="4" t="str">
        <x:v>PRJ-005</x:v>
      </x:c>
      <x:c r="D1786" s="4" t="str">
        <x:v>Villa</x:v>
      </x:c>
      <x:c r="E1786" s="4" t="str">
        <x:v>Reserved</x:v>
      </x:c>
      <x:c r="F1786" s="4" t="str">
        <x:v>CUS-01785</x:v>
      </x:c>
      <x:c r="G1786" s="4" t="str">
        <x:v>UNIT-01785</x:v>
      </x:c>
      <x:c r="H1786" s="9" t="n">
        <x:v>24100000</x:v>
      </x:c>
      <x:c r="I1786" s="10" t="n">
        <x:v>0.07</x:v>
      </x:c>
      <x:c r="J1786" s="11" t="n">
        <x:v>2</x:v>
      </x:c>
      <x:c r="K1786" s="11" t="n">
        <x:v>4</x:v>
      </x:c>
      <x:c r="L1786" s="11" t="n">
        <x:v>0</x:v>
      </x:c>
      <x:c r="M1786" s="9" t="n">
        <x:f>ROUND(H1786*(1-I1786),2)</x:f>
        <x:v>22413000</x:v>
      </x:c>
      <x:c r="N1786" s="4" t="str">
        <x:v>Sales manager</x:v>
      </x:c>
      <x:c r="O1786" s="4"/>
      <x:c r="P1786" s="9" t="n">
        <x:v>0</x:v>
      </x:c>
      <x:c r="Q1786" s="11" t="n">
        <x:v>0</x:v>
      </x:c>
      <x:c r="R1786" s="8" t="n">
        <x:v>45463</x:v>
      </x:c>
      <x:c r="S1786" s="4" t="str">
        <x:v>Retained</x:v>
      </x:c>
      <x:c r="T1786" s="10" t="n">
        <x:v>0.204152</x:v>
      </x:c>
      <x:c r="U1786" s="4" t="str">
        <x:v>Train</x:v>
      </x:c>
    </x:row>
    <x:row r="1787" ht="34" customHeight="1">
      <x:c r="A1787" s="4" t="str">
        <x:v>RS-01786</x:v>
      </x:c>
      <x:c r="B1787" s="8" t="n">
        <x:v>45404</x:v>
      </x:c>
      <x:c r="C1787" s="4" t="str">
        <x:v>PRJ-006</x:v>
      </x:c>
      <x:c r="D1787" s="4" t="str">
        <x:v>Villa</x:v>
      </x:c>
      <x:c r="E1787" s="4" t="str">
        <x:v>Reserved</x:v>
      </x:c>
      <x:c r="F1787" s="4" t="str">
        <x:v>CUS-01786</x:v>
      </x:c>
      <x:c r="G1787" s="4" t="str">
        <x:v>UNIT-01786</x:v>
      </x:c>
      <x:c r="H1787" s="9" t="n">
        <x:v>7000000</x:v>
      </x:c>
      <x:c r="I1787" s="10" t="n">
        <x:v>0.05</x:v>
      </x:c>
      <x:c r="J1787" s="11" t="n">
        <x:v>8</x:v>
      </x:c>
      <x:c r="K1787" s="11" t="n">
        <x:v>5</x:v>
      </x:c>
      <x:c r="L1787" s="11" t="n">
        <x:v>1</x:v>
      </x:c>
      <x:c r="M1787" s="9" t="n">
        <x:f>ROUND(H1787*(1-I1787),2)</x:f>
        <x:v>6650000</x:v>
      </x:c>
      <x:c r="N1787" s="4" t="str">
        <x:v>Sales manager</x:v>
      </x:c>
      <x:c r="O1787" s="4"/>
      <x:c r="P1787" s="9" t="n">
        <x:v>0</x:v>
      </x:c>
      <x:c r="Q1787" s="11" t="n">
        <x:v>0</x:v>
      </x:c>
      <x:c r="R1787" s="8" t="n">
        <x:v>45464</x:v>
      </x:c>
      <x:c r="S1787" s="4" t="str">
        <x:v>Retained</x:v>
      </x:c>
      <x:c r="T1787" s="10" t="n">
        <x:v>0.310195</x:v>
      </x:c>
      <x:c r="U1787" s="4" t="str">
        <x:v>Train</x:v>
      </x:c>
    </x:row>
    <x:row r="1788" ht="34" customHeight="1">
      <x:c r="A1788" s="4" t="str">
        <x:v>RS-01787</x:v>
      </x:c>
      <x:c r="B1788" s="8" t="n">
        <x:v>45405</x:v>
      </x:c>
      <x:c r="C1788" s="4" t="str">
        <x:v>PRJ-007</x:v>
      </x:c>
      <x:c r="D1788" s="4" t="str">
        <x:v>Retail</x:v>
      </x:c>
      <x:c r="E1788" s="4" t="str">
        <x:v>Enquiry</x:v>
      </x:c>
      <x:c r="F1788" s="4" t="str">
        <x:v>CUS-01787</x:v>
      </x:c>
      <x:c r="G1788" s="4" t="str">
        <x:v>UNIT-01787</x:v>
      </x:c>
      <x:c r="H1788" s="9" t="n">
        <x:v>20200000</x:v>
      </x:c>
      <x:c r="I1788" s="10" t="n">
        <x:v>0.05</x:v>
      </x:c>
      <x:c r="J1788" s="11" t="n">
        <x:v>5</x:v>
      </x:c>
      <x:c r="K1788" s="11" t="n">
        <x:v>7</x:v>
      </x:c>
      <x:c r="L1788" s="11" t="n">
        <x:v>1</x:v>
      </x:c>
      <x:c r="M1788" s="9" t="n">
        <x:f>ROUND(H1788*(1-I1788),2)</x:f>
        <x:v>19190000</x:v>
      </x:c>
      <x:c r="N1788" s="4" t="str">
        <x:v>Sales manager</x:v>
      </x:c>
      <x:c r="O1788" s="4"/>
      <x:c r="P1788" s="9" t="n">
        <x:v>0</x:v>
      </x:c>
      <x:c r="Q1788" s="11" t="n">
        <x:v>0</x:v>
      </x:c>
      <x:c r="R1788" s="8" t="n">
        <x:v>45465</x:v>
      </x:c>
      <x:c r="S1788" s="4" t="str">
        <x:v>Retained</x:v>
      </x:c>
      <x:c r="T1788" s="10" t="n">
        <x:v>0.291946</x:v>
      </x:c>
      <x:c r="U1788" s="4" t="str">
        <x:v>Train</x:v>
      </x:c>
    </x:row>
    <x:row r="1789" ht="34" customHeight="1">
      <x:c r="A1789" s="4" t="str">
        <x:v>RS-01788</x:v>
      </x:c>
      <x:c r="B1789" s="8" t="n">
        <x:v>45406</x:v>
      </x:c>
      <x:c r="C1789" s="4" t="str">
        <x:v>PRJ-008</x:v>
      </x:c>
      <x:c r="D1789" s="4" t="str">
        <x:v>Retail</x:v>
      </x:c>
      <x:c r="E1789" s="4" t="str">
        <x:v>Reserved</x:v>
      </x:c>
      <x:c r="F1789" s="4" t="str">
        <x:v>CUS-01788</x:v>
      </x:c>
      <x:c r="G1789" s="4" t="str">
        <x:v>UNIT-01788</x:v>
      </x:c>
      <x:c r="H1789" s="9" t="n">
        <x:v>5600000</x:v>
      </x:c>
      <x:c r="I1789" s="10" t="n">
        <x:v>0.01</x:v>
      </x:c>
      <x:c r="J1789" s="11" t="n">
        <x:v>1</x:v>
      </x:c>
      <x:c r="K1789" s="11" t="n">
        <x:v>3</x:v>
      </x:c>
      <x:c r="L1789" s="11" t="n">
        <x:v>1</x:v>
      </x:c>
      <x:c r="M1789" s="9" t="n">
        <x:f>ROUND(H1789*(1-I1789),2)</x:f>
        <x:v>5544000</x:v>
      </x:c>
      <x:c r="N1789" s="4" t="str">
        <x:v>Sales manager</x:v>
      </x:c>
      <x:c r="O1789" s="4"/>
      <x:c r="P1789" s="9" t="n">
        <x:v>0</x:v>
      </x:c>
      <x:c r="Q1789" s="11" t="n">
        <x:v>0</x:v>
      </x:c>
      <x:c r="R1789" s="8" t="n">
        <x:v>45466</x:v>
      </x:c>
      <x:c r="S1789" s="4" t="str">
        <x:v>Retained</x:v>
      </x:c>
      <x:c r="T1789" s="10" t="n">
        <x:v>0.072165</x:v>
      </x:c>
      <x:c r="U1789" s="4" t="str">
        <x:v>Train</x:v>
      </x:c>
    </x:row>
    <x:row r="1790" ht="34" customHeight="1">
      <x:c r="A1790" s="4" t="str">
        <x:v>RS-01789</x:v>
      </x:c>
      <x:c r="B1790" s="8" t="n">
        <x:v>45407</x:v>
      </x:c>
      <x:c r="C1790" s="4" t="str">
        <x:v>PRJ-009</x:v>
      </x:c>
      <x:c r="D1790" s="4" t="str">
        <x:v>Villa</x:v>
      </x:c>
      <x:c r="E1790" s="4" t="str">
        <x:v>Enquiry</x:v>
      </x:c>
      <x:c r="F1790" s="4" t="str">
        <x:v>CUS-01789</x:v>
      </x:c>
      <x:c r="G1790" s="4" t="str">
        <x:v>UNIT-01789</x:v>
      </x:c>
      <x:c r="H1790" s="9" t="n">
        <x:v>14800000</x:v>
      </x:c>
      <x:c r="I1790" s="10" t="n">
        <x:v>0.02</x:v>
      </x:c>
      <x:c r="J1790" s="11" t="n">
        <x:v>7</x:v>
      </x:c>
      <x:c r="K1790" s="11" t="n">
        <x:v>6</x:v>
      </x:c>
      <x:c r="L1790" s="11" t="n">
        <x:v>0</x:v>
      </x:c>
      <x:c r="M1790" s="9" t="n">
        <x:f>ROUND(H1790*(1-I1790),2)</x:f>
        <x:v>14504000</x:v>
      </x:c>
      <x:c r="N1790" s="4" t="str">
        <x:v>Sales manager</x:v>
      </x:c>
      <x:c r="O1790" s="4"/>
      <x:c r="P1790" s="9" t="n">
        <x:v>0</x:v>
      </x:c>
      <x:c r="Q1790" s="11" t="n">
        <x:v>0</x:v>
      </x:c>
      <x:c r="R1790" s="8" t="n">
        <x:v>45467</x:v>
      </x:c>
      <x:c r="S1790" s="4" t="str">
        <x:v>Retained</x:v>
      </x:c>
      <x:c r="T1790" s="10" t="n">
        <x:v>0.145299</x:v>
      </x:c>
      <x:c r="U1790" s="4" t="str">
        <x:v>Train</x:v>
      </x:c>
    </x:row>
    <x:row r="1791" ht="34" customHeight="1">
      <x:c r="A1791" s="4" t="str">
        <x:v>RS-01790</x:v>
      </x:c>
      <x:c r="B1791" s="8" t="n">
        <x:v>45408</x:v>
      </x:c>
      <x:c r="C1791" s="4" t="str">
        <x:v>PRJ-010</x:v>
      </x:c>
      <x:c r="D1791" s="4" t="str">
        <x:v>Villa</x:v>
      </x:c>
      <x:c r="E1791" s="4" t="str">
        <x:v>Handed over</x:v>
      </x:c>
      <x:c r="F1791" s="4" t="str">
        <x:v>CUS-01790</x:v>
      </x:c>
      <x:c r="G1791" s="4" t="str">
        <x:v>UNIT-01790</x:v>
      </x:c>
      <x:c r="H1791" s="9" t="n">
        <x:v>21900000</x:v>
      </x:c>
      <x:c r="I1791" s="10" t="n">
        <x:v>0.08</x:v>
      </x:c>
      <x:c r="J1791" s="11" t="n">
        <x:v>11</x:v>
      </x:c>
      <x:c r="K1791" s="11" t="n">
        <x:v>0</x:v>
      </x:c>
      <x:c r="L1791" s="11" t="n">
        <x:v>0</x:v>
      </x:c>
      <x:c r="M1791" s="9" t="n">
        <x:f>ROUND(H1791*(1-I1791),2)</x:f>
        <x:v>20148000</x:v>
      </x:c>
      <x:c r="N1791" s="4" t="str">
        <x:v>Sales head</x:v>
      </x:c>
      <x:c r="O1791" s="4" t="str">
        <x:v>BOOK-01790</x:v>
      </x:c>
      <x:c r="P1791" s="9" t="n">
        <x:v>5037000</x:v>
      </x:c>
      <x:c r="Q1791" s="11" t="n">
        <x:v>0</x:v>
      </x:c>
      <x:c r="R1791" s="8" t="n">
        <x:v>45468</x:v>
      </x:c>
      <x:c r="S1791" s="4" t="str">
        <x:v>Retained</x:v>
      </x:c>
      <x:c r="T1791" s="10" t="n">
        <x:v>0.351536</x:v>
      </x:c>
      <x:c r="U1791" s="4" t="str">
        <x:v>Train</x:v>
      </x:c>
    </x:row>
    <x:row r="1792" ht="34" customHeight="1">
      <x:c r="A1792" s="4" t="str">
        <x:v>RS-01791</x:v>
      </x:c>
      <x:c r="B1792" s="8" t="n">
        <x:v>45409</x:v>
      </x:c>
      <x:c r="C1792" s="4" t="str">
        <x:v>PRJ-011</x:v>
      </x:c>
      <x:c r="D1792" s="4" t="str">
        <x:v>Office</x:v>
      </x:c>
      <x:c r="E1792" s="4" t="str">
        <x:v>Cancelled</x:v>
      </x:c>
      <x:c r="F1792" s="4" t="str">
        <x:v>CUS-01791</x:v>
      </x:c>
      <x:c r="G1792" s="4" t="str">
        <x:v>UNIT-01791</x:v>
      </x:c>
      <x:c r="H1792" s="9" t="n">
        <x:v>9500000</x:v>
      </x:c>
      <x:c r="I1792" s="10" t="n">
        <x:v>0.04</x:v>
      </x:c>
      <x:c r="J1792" s="11" t="n">
        <x:v>2</x:v>
      </x:c>
      <x:c r="K1792" s="11" t="n">
        <x:v>0</x:v>
      </x:c>
      <x:c r="L1792" s="11" t="n">
        <x:v>0</x:v>
      </x:c>
      <x:c r="M1792" s="9" t="n">
        <x:f>ROUND(H1792*(1-I1792),2)</x:f>
        <x:v>9120000</x:v>
      </x:c>
      <x:c r="N1792" s="4" t="str">
        <x:v>Sales manager</x:v>
      </x:c>
      <x:c r="O1792" s="4"/>
      <x:c r="P1792" s="9" t="n">
        <x:v>0</x:v>
      </x:c>
      <x:c r="Q1792" s="11" t="n">
        <x:v>1</x:v>
      </x:c>
      <x:c r="R1792" s="8" t="n">
        <x:v>45469</x:v>
      </x:c>
      <x:c r="S1792" s="4" t="str">
        <x:v>Lost / cancelled</x:v>
      </x:c>
      <x:c r="T1792" s="10" t="n">
        <x:v>0.276923</x:v>
      </x:c>
      <x:c r="U1792" s="4" t="str">
        <x:v>Train</x:v>
      </x:c>
    </x:row>
    <x:row r="1793" ht="34" customHeight="1">
      <x:c r="A1793" s="4" t="str">
        <x:v>RS-01792</x:v>
      </x:c>
      <x:c r="B1793" s="8" t="n">
        <x:v>45410</x:v>
      </x:c>
      <x:c r="C1793" s="4" t="str">
        <x:v>PRJ-012</x:v>
      </x:c>
      <x:c r="D1793" s="4" t="str">
        <x:v>Retail</x:v>
      </x:c>
      <x:c r="E1793" s="4" t="str">
        <x:v>Cancelled</x:v>
      </x:c>
      <x:c r="F1793" s="4" t="str">
        <x:v>CUS-01792</x:v>
      </x:c>
      <x:c r="G1793" s="4" t="str">
        <x:v>UNIT-01792</x:v>
      </x:c>
      <x:c r="H1793" s="9" t="n">
        <x:v>13000000</x:v>
      </x:c>
      <x:c r="I1793" s="10" t="n">
        <x:v>0.08</x:v>
      </x:c>
      <x:c r="J1793" s="11" t="n">
        <x:v>3</x:v>
      </x:c>
      <x:c r="K1793" s="11" t="n">
        <x:v>0</x:v>
      </x:c>
      <x:c r="L1793" s="11" t="n">
        <x:v>1</x:v>
      </x:c>
      <x:c r="M1793" s="9" t="n">
        <x:f>ROUND(H1793*(1-I1793),2)</x:f>
        <x:v>11960000</x:v>
      </x:c>
      <x:c r="N1793" s="4" t="str">
        <x:v>Sales head</x:v>
      </x:c>
      <x:c r="O1793" s="4"/>
      <x:c r="P1793" s="9" t="n">
        <x:v>0</x:v>
      </x:c>
      <x:c r="Q1793" s="11" t="n">
        <x:v>1</x:v>
      </x:c>
      <x:c r="R1793" s="8" t="n">
        <x:v>45470</x:v>
      </x:c>
      <x:c r="S1793" s="4" t="str">
        <x:v>Lost / cancelled</x:v>
      </x:c>
      <x:c r="T1793" s="10" t="n">
        <x:v>0.276923</x:v>
      </x:c>
      <x:c r="U1793" s="4" t="str">
        <x:v>Train</x:v>
      </x:c>
    </x:row>
    <x:row r="1794" ht="34" customHeight="1">
      <x:c r="A1794" s="4" t="str">
        <x:v>RS-01793</x:v>
      </x:c>
      <x:c r="B1794" s="8" t="n">
        <x:v>45383</x:v>
      </x:c>
      <x:c r="C1794" s="4" t="str">
        <x:v>PRJ-013</x:v>
      </x:c>
      <x:c r="D1794" s="4" t="str">
        <x:v>Villa</x:v>
      </x:c>
      <x:c r="E1794" s="4" t="str">
        <x:v>Booked</x:v>
      </x:c>
      <x:c r="F1794" s="4" t="str">
        <x:v>CUS-01793</x:v>
      </x:c>
      <x:c r="G1794" s="4" t="str">
        <x:v>UNIT-01793</x:v>
      </x:c>
      <x:c r="H1794" s="9" t="n">
        <x:v>3500000</x:v>
      </x:c>
      <x:c r="I1794" s="10" t="n">
        <x:v>0.03</x:v>
      </x:c>
      <x:c r="J1794" s="11" t="n">
        <x:v>9</x:v>
      </x:c>
      <x:c r="K1794" s="11" t="n">
        <x:v>0</x:v>
      </x:c>
      <x:c r="L1794" s="11" t="n">
        <x:v>1</x:v>
      </x:c>
      <x:c r="M1794" s="9" t="n">
        <x:f>ROUND(H1794*(1-I1794),2)</x:f>
        <x:v>3395000</x:v>
      </x:c>
      <x:c r="N1794" s="4" t="str">
        <x:v>Sales manager</x:v>
      </x:c>
      <x:c r="O1794" s="4" t="str">
        <x:v>BOOK-01793</x:v>
      </x:c>
      <x:c r="P1794" s="9" t="n">
        <x:v>1697500</x:v>
      </x:c>
      <x:c r="Q1794" s="11" t="n">
        <x:v>0</x:v>
      </x:c>
      <x:c r="R1794" s="8" t="n">
        <x:v>45443</x:v>
      </x:c>
      <x:c r="S1794" s="4" t="str">
        <x:v>Retained</x:v>
      </x:c>
      <x:c r="T1794" s="10" t="n">
        <x:v>0.310195</x:v>
      </x:c>
      <x:c r="U1794" s="4" t="str">
        <x:v>Train</x:v>
      </x:c>
    </x:row>
    <x:row r="1795" ht="34" customHeight="1">
      <x:c r="A1795" s="4" t="str">
        <x:v>RS-01794</x:v>
      </x:c>
      <x:c r="B1795" s="8" t="n">
        <x:v>45384</x:v>
      </x:c>
      <x:c r="C1795" s="4" t="str">
        <x:v>PRJ-014</x:v>
      </x:c>
      <x:c r="D1795" s="4" t="str">
        <x:v>Apartment</x:v>
      </x:c>
      <x:c r="E1795" s="4" t="str">
        <x:v>Enquiry</x:v>
      </x:c>
      <x:c r="F1795" s="4" t="str">
        <x:v>CUS-01794</x:v>
      </x:c>
      <x:c r="G1795" s="4" t="str">
        <x:v>UNIT-01794</x:v>
      </x:c>
      <x:c r="H1795" s="9" t="n">
        <x:v>23400000</x:v>
      </x:c>
      <x:c r="I1795" s="10" t="n">
        <x:v>0.04</x:v>
      </x:c>
      <x:c r="J1795" s="11" t="n">
        <x:v>12</x:v>
      </x:c>
      <x:c r="K1795" s="11" t="n">
        <x:v>8</x:v>
      </x:c>
      <x:c r="L1795" s="11" t="n">
        <x:v>1</x:v>
      </x:c>
      <x:c r="M1795" s="9" t="n">
        <x:f>ROUND(H1795*(1-I1795),2)</x:f>
        <x:v>22464000</x:v>
      </x:c>
      <x:c r="N1795" s="4" t="str">
        <x:v>Sales manager</x:v>
      </x:c>
      <x:c r="O1795" s="4"/>
      <x:c r="P1795" s="9" t="n">
        <x:v>0</x:v>
      </x:c>
      <x:c r="Q1795" s="11" t="n">
        <x:v>1</x:v>
      </x:c>
      <x:c r="R1795" s="8" t="n">
        <x:v>45444</x:v>
      </x:c>
      <x:c r="S1795" s="4" t="str">
        <x:v>Lost / cancelled</x:v>
      </x:c>
      <x:c r="T1795" s="10" t="n">
        <x:v>0.351536</x:v>
      </x:c>
      <x:c r="U1795" s="4" t="str">
        <x:v>Train</x:v>
      </x:c>
    </x:row>
    <x:row r="1796" ht="34" customHeight="1">
      <x:c r="A1796" s="4" t="str">
        <x:v>RS-01795</x:v>
      </x:c>
      <x:c r="B1796" s="8" t="n">
        <x:v>45385</x:v>
      </x:c>
      <x:c r="C1796" s="4" t="str">
        <x:v>PRJ-015</x:v>
      </x:c>
      <x:c r="D1796" s="4" t="str">
        <x:v>Office</x:v>
      </x:c>
      <x:c r="E1796" s="4" t="str">
        <x:v>Handed over</x:v>
      </x:c>
      <x:c r="F1796" s="4" t="str">
        <x:v>CUS-01795</x:v>
      </x:c>
      <x:c r="G1796" s="4" t="str">
        <x:v>UNIT-01795</x:v>
      </x:c>
      <x:c r="H1796" s="9" t="n">
        <x:v>18200000</x:v>
      </x:c>
      <x:c r="I1796" s="10" t="n">
        <x:v>0.07</x:v>
      </x:c>
      <x:c r="J1796" s="11" t="n">
        <x:v>7</x:v>
      </x:c>
      <x:c r="K1796" s="11" t="n">
        <x:v>2</x:v>
      </x:c>
      <x:c r="L1796" s="11" t="n">
        <x:v>0</x:v>
      </x:c>
      <x:c r="M1796" s="9" t="n">
        <x:f>ROUND(H1796*(1-I1796),2)</x:f>
        <x:v>16926000</x:v>
      </x:c>
      <x:c r="N1796" s="4" t="str">
        <x:v>Sales manager</x:v>
      </x:c>
      <x:c r="O1796" s="4" t="str">
        <x:v>BOOK-01795</x:v>
      </x:c>
      <x:c r="P1796" s="9" t="n">
        <x:v>1692600</x:v>
      </x:c>
      <x:c r="Q1796" s="11" t="n">
        <x:v>0</x:v>
      </x:c>
      <x:c r="R1796" s="8" t="n">
        <x:v>45445</x:v>
      </x:c>
      <x:c r="S1796" s="4" t="str">
        <x:v>Retained</x:v>
      </x:c>
      <x:c r="T1796" s="10" t="n">
        <x:v>0.226277</x:v>
      </x:c>
      <x:c r="U1796" s="4" t="str">
        <x:v>Train</x:v>
      </x:c>
    </x:row>
    <x:row r="1797" ht="34" customHeight="1">
      <x:c r="A1797" s="4" t="str">
        <x:v>RS-01796</x:v>
      </x:c>
      <x:c r="B1797" s="8" t="n">
        <x:v>45386</x:v>
      </x:c>
      <x:c r="C1797" s="4" t="str">
        <x:v>PRJ-016</x:v>
      </x:c>
      <x:c r="D1797" s="4" t="str">
        <x:v>Villa</x:v>
      </x:c>
      <x:c r="E1797" s="4" t="str">
        <x:v>Cancelled</x:v>
      </x:c>
      <x:c r="F1797" s="4" t="str">
        <x:v>CUS-01796</x:v>
      </x:c>
      <x:c r="G1797" s="4" t="str">
        <x:v>UNIT-01796</x:v>
      </x:c>
      <x:c r="H1797" s="9" t="n">
        <x:v>20200000</x:v>
      </x:c>
      <x:c r="I1797" s="10" t="n">
        <x:v>0.06</x:v>
      </x:c>
      <x:c r="J1797" s="11" t="n">
        <x:v>8</x:v>
      </x:c>
      <x:c r="K1797" s="11" t="n">
        <x:v>3</x:v>
      </x:c>
      <x:c r="L1797" s="11" t="n">
        <x:v>1</x:v>
      </x:c>
      <x:c r="M1797" s="9" t="n">
        <x:f>ROUND(H1797*(1-I1797),2)</x:f>
        <x:v>18988000</x:v>
      </x:c>
      <x:c r="N1797" s="4" t="str">
        <x:v>Sales manager</x:v>
      </x:c>
      <x:c r="O1797" s="4"/>
      <x:c r="P1797" s="9" t="n">
        <x:v>0</x:v>
      </x:c>
      <x:c r="Q1797" s="11" t="n">
        <x:v>1</x:v>
      </x:c>
      <x:c r="R1797" s="8" t="n">
        <x:v>45446</x:v>
      </x:c>
      <x:c r="S1797" s="4" t="str">
        <x:v>Lost / cancelled</x:v>
      </x:c>
      <x:c r="T1797" s="10" t="n">
        <x:v>0.310195</x:v>
      </x:c>
      <x:c r="U1797" s="4" t="str">
        <x:v>Train</x:v>
      </x:c>
    </x:row>
    <x:row r="1798" ht="34" customHeight="1">
      <x:c r="A1798" s="4" t="str">
        <x:v>RS-01797</x:v>
      </x:c>
      <x:c r="B1798" s="8" t="n">
        <x:v>45387</x:v>
      </x:c>
      <x:c r="C1798" s="4" t="str">
        <x:v>PRJ-017</x:v>
      </x:c>
      <x:c r="D1798" s="4" t="str">
        <x:v>Villa</x:v>
      </x:c>
      <x:c r="E1798" s="4" t="str">
        <x:v>Agreement signed</x:v>
      </x:c>
      <x:c r="F1798" s="4" t="str">
        <x:v>CUS-01797</x:v>
      </x:c>
      <x:c r="G1798" s="4" t="str">
        <x:v>UNIT-01797</x:v>
      </x:c>
      <x:c r="H1798" s="9" t="n">
        <x:v>6100000</x:v>
      </x:c>
      <x:c r="I1798" s="10" t="n">
        <x:v>0.1</x:v>
      </x:c>
      <x:c r="J1798" s="11" t="n">
        <x:v>1</x:v>
      </x:c>
      <x:c r="K1798" s="11" t="n">
        <x:v>0</x:v>
      </x:c>
      <x:c r="L1798" s="11" t="n">
        <x:v>1</x:v>
      </x:c>
      <x:c r="M1798" s="9" t="n">
        <x:f>ROUND(H1798*(1-I1798),2)</x:f>
        <x:v>5490000</x:v>
      </x:c>
      <x:c r="N1798" s="4" t="str">
        <x:v>Sales head</x:v>
      </x:c>
      <x:c r="O1798" s="4" t="str">
        <x:v>BOOK-01797</x:v>
      </x:c>
      <x:c r="P1798" s="9" t="n">
        <x:v>549000</x:v>
      </x:c>
      <x:c r="Q1798" s="11" t="n">
        <x:v>0</x:v>
      </x:c>
      <x:c r="R1798" s="8" t="n">
        <x:v>45447</x:v>
      </x:c>
      <x:c r="S1798" s="4" t="str">
        <x:v>Retained</x:v>
      </x:c>
      <x:c r="T1798" s="10" t="n">
        <x:v>0.276923</x:v>
      </x:c>
      <x:c r="U1798" s="4" t="str">
        <x:v>Train</x:v>
      </x:c>
    </x:row>
    <x:row r="1799" ht="34" customHeight="1">
      <x:c r="A1799" s="4" t="str">
        <x:v>RS-01798</x:v>
      </x:c>
      <x:c r="B1799" s="8" t="n">
        <x:v>45388</x:v>
      </x:c>
      <x:c r="C1799" s="4" t="str">
        <x:v>PRJ-018</x:v>
      </x:c>
      <x:c r="D1799" s="4" t="str">
        <x:v>Office</x:v>
      </x:c>
      <x:c r="E1799" s="4" t="str">
        <x:v>Agreement signed</x:v>
      </x:c>
      <x:c r="F1799" s="4" t="str">
        <x:v>CUS-01798</x:v>
      </x:c>
      <x:c r="G1799" s="4" t="str">
        <x:v>UNIT-01798</x:v>
      </x:c>
      <x:c r="H1799" s="9" t="n">
        <x:v>15500000</x:v>
      </x:c>
      <x:c r="I1799" s="10" t="n">
        <x:v>0.02</x:v>
      </x:c>
      <x:c r="J1799" s="11" t="n">
        <x:v>2</x:v>
      </x:c>
      <x:c r="K1799" s="11" t="n">
        <x:v>4</x:v>
      </x:c>
      <x:c r="L1799" s="11" t="n">
        <x:v>0</x:v>
      </x:c>
      <x:c r="M1799" s="9" t="n">
        <x:f>ROUND(H1799*(1-I1799),2)</x:f>
        <x:v>15190000</x:v>
      </x:c>
      <x:c r="N1799" s="4" t="str">
        <x:v>Sales manager</x:v>
      </x:c>
      <x:c r="O1799" s="4" t="str">
        <x:v>BOOK-01798</x:v>
      </x:c>
      <x:c r="P1799" s="9" t="n">
        <x:v>3797500</x:v>
      </x:c>
      <x:c r="Q1799" s="11" t="n">
        <x:v>0</x:v>
      </x:c>
      <x:c r="R1799" s="8" t="n">
        <x:v>45448</x:v>
      </x:c>
      <x:c r="S1799" s="4" t="str">
        <x:v>Retained</x:v>
      </x:c>
      <x:c r="T1799" s="10" t="n">
        <x:v>0.171717</x:v>
      </x:c>
      <x:c r="U1799" s="4" t="str">
        <x:v>Train</x:v>
      </x:c>
    </x:row>
    <x:row r="1800" ht="34" customHeight="1">
      <x:c r="A1800" s="4" t="str">
        <x:v>RS-01799</x:v>
      </x:c>
      <x:c r="B1800" s="8" t="n">
        <x:v>45389</x:v>
      </x:c>
      <x:c r="C1800" s="4" t="str">
        <x:v>PRJ-019</x:v>
      </x:c>
      <x:c r="D1800" s="4" t="str">
        <x:v>Office</x:v>
      </x:c>
      <x:c r="E1800" s="4" t="str">
        <x:v>Cancelled</x:v>
      </x:c>
      <x:c r="F1800" s="4" t="str">
        <x:v>CUS-01799</x:v>
      </x:c>
      <x:c r="G1800" s="4" t="str">
        <x:v>UNIT-01799</x:v>
      </x:c>
      <x:c r="H1800" s="9" t="n">
        <x:v>19000000</x:v>
      </x:c>
      <x:c r="I1800" s="10" t="n">
        <x:v>0</x:v>
      </x:c>
      <x:c r="J1800" s="11" t="n">
        <x:v>2</x:v>
      </x:c>
      <x:c r="K1800" s="11" t="n">
        <x:v>1</x:v>
      </x:c>
      <x:c r="L1800" s="11" t="n">
        <x:v>1</x:v>
      </x:c>
      <x:c r="M1800" s="9" t="n">
        <x:f>ROUND(H1800*(1-I1800),2)</x:f>
        <x:v>19000000</x:v>
      </x:c>
      <x:c r="N1800" s="4" t="str">
        <x:v>Sales manager</x:v>
      </x:c>
      <x:c r="O1800" s="4"/>
      <x:c r="P1800" s="9" t="n">
        <x:v>0</x:v>
      </x:c>
      <x:c r="Q1800" s="11" t="n">
        <x:v>1</x:v>
      </x:c>
      <x:c r="R1800" s="8" t="n">
        <x:v>45449</x:v>
      </x:c>
      <x:c r="S1800" s="4" t="str">
        <x:v>Lost / cancelled</x:v>
      </x:c>
      <x:c r="T1800" s="10" t="n">
        <x:v>0.171717</x:v>
      </x:c>
      <x:c r="U1800" s="4" t="str">
        <x:v>Train</x:v>
      </x:c>
    </x:row>
    <x:row r="1801" ht="34" customHeight="1">
      <x:c r="A1801" s="4" t="str">
        <x:v>RS-01800</x:v>
      </x:c>
      <x:c r="B1801" s="8" t="n">
        <x:v>45390</x:v>
      </x:c>
      <x:c r="C1801" s="4" t="str">
        <x:v>PRJ-020</x:v>
      </x:c>
      <x:c r="D1801" s="4" t="str">
        <x:v>Office</x:v>
      </x:c>
      <x:c r="E1801" s="4" t="str">
        <x:v>Enquiry</x:v>
      </x:c>
      <x:c r="F1801" s="4" t="str">
        <x:v>CUS-01800</x:v>
      </x:c>
      <x:c r="G1801" s="4" t="str">
        <x:v>UNIT-01800</x:v>
      </x:c>
      <x:c r="H1801" s="9" t="n">
        <x:v>13900000</x:v>
      </x:c>
      <x:c r="I1801" s="10" t="n">
        <x:v>0.02</x:v>
      </x:c>
      <x:c r="J1801" s="11" t="n">
        <x:v>7</x:v>
      </x:c>
      <x:c r="K1801" s="11" t="n">
        <x:v>5</x:v>
      </x:c>
      <x:c r="L1801" s="11" t="n">
        <x:v>0</x:v>
      </x:c>
      <x:c r="M1801" s="9" t="n">
        <x:f>ROUND(H1801*(1-I1801),2)</x:f>
        <x:v>13622000</x:v>
      </x:c>
      <x:c r="N1801" s="4" t="str">
        <x:v>Sales manager</x:v>
      </x:c>
      <x:c r="O1801" s="4"/>
      <x:c r="P1801" s="9" t="n">
        <x:v>0</x:v>
      </x:c>
      <x:c r="Q1801" s="11" t="n">
        <x:v>0</x:v>
      </x:c>
      <x:c r="R1801" s="8" t="n">
        <x:v>45450</x:v>
      </x:c>
      <x:c r="S1801" s="4" t="str">
        <x:v>Retained</x:v>
      </x:c>
      <x:c r="T1801" s="10" t="n">
        <x:v>0.145299</x:v>
      </x:c>
      <x:c r="U1801" s="4" t="str">
        <x:v>Train</x:v>
      </x:c>
    </x:row>
    <x:row r="1802" ht="34" customHeight="1">
      <x:c r="A1802" s="4" t="str">
        <x:v>RS-01801</x:v>
      </x:c>
      <x:c r="B1802" s="8" t="n">
        <x:v>45391</x:v>
      </x:c>
      <x:c r="C1802" s="4" t="str">
        <x:v>PRJ-001</x:v>
      </x:c>
      <x:c r="D1802" s="4" t="str">
        <x:v>Retail</x:v>
      </x:c>
      <x:c r="E1802" s="4" t="str">
        <x:v>Booked</x:v>
      </x:c>
      <x:c r="F1802" s="4" t="str">
        <x:v>CUS-01801</x:v>
      </x:c>
      <x:c r="G1802" s="4" t="str">
        <x:v>UNIT-01801</x:v>
      </x:c>
      <x:c r="H1802" s="9" t="n">
        <x:v>23500000</x:v>
      </x:c>
      <x:c r="I1802" s="10" t="n">
        <x:v>0.01</x:v>
      </x:c>
      <x:c r="J1802" s="11" t="n">
        <x:v>12</x:v>
      </x:c>
      <x:c r="K1802" s="11" t="n">
        <x:v>4</x:v>
      </x:c>
      <x:c r="L1802" s="11" t="n">
        <x:v>0</x:v>
      </x:c>
      <x:c r="M1802" s="9" t="n">
        <x:f>ROUND(H1802*(1-I1802),2)</x:f>
        <x:v>23265000</x:v>
      </x:c>
      <x:c r="N1802" s="4" t="str">
        <x:v>Sales manager</x:v>
      </x:c>
      <x:c r="O1802" s="4" t="str">
        <x:v>BOOK-01801</x:v>
      </x:c>
      <x:c r="P1802" s="9" t="n">
        <x:v>11632500</x:v>
      </x:c>
      <x:c r="Q1802" s="11" t="n">
        <x:v>0</x:v>
      </x:c>
      <x:c r="R1802" s="8" t="n">
        <x:v>45451</x:v>
      </x:c>
      <x:c r="S1802" s="4" t="str">
        <x:v>Retained</x:v>
      </x:c>
      <x:c r="T1802" s="10" t="n">
        <x:v>0.305556</x:v>
      </x:c>
      <x:c r="U1802" s="4" t="str">
        <x:v>Train</x:v>
      </x:c>
    </x:row>
    <x:row r="1803" ht="34" customHeight="1">
      <x:c r="A1803" s="4" t="str">
        <x:v>RS-01802</x:v>
      </x:c>
      <x:c r="B1803" s="8" t="n">
        <x:v>45392</x:v>
      </x:c>
      <x:c r="C1803" s="4" t="str">
        <x:v>PRJ-002</x:v>
      </x:c>
      <x:c r="D1803" s="4" t="str">
        <x:v>Apartment</x:v>
      </x:c>
      <x:c r="E1803" s="4" t="str">
        <x:v>Enquiry</x:v>
      </x:c>
      <x:c r="F1803" s="4" t="str">
        <x:v>CUS-01802</x:v>
      </x:c>
      <x:c r="G1803" s="4" t="str">
        <x:v>UNIT-01802</x:v>
      </x:c>
      <x:c r="H1803" s="9" t="n">
        <x:v>24400000</x:v>
      </x:c>
      <x:c r="I1803" s="10" t="n">
        <x:v>0.02</x:v>
      </x:c>
      <x:c r="J1803" s="11" t="n">
        <x:v>10</x:v>
      </x:c>
      <x:c r="K1803" s="11" t="n">
        <x:v>2</x:v>
      </x:c>
      <x:c r="L1803" s="11" t="n">
        <x:v>1</x:v>
      </x:c>
      <x:c r="M1803" s="9" t="n">
        <x:f>ROUND(H1803*(1-I1803),2)</x:f>
        <x:v>23912000</x:v>
      </x:c>
      <x:c r="N1803" s="4" t="str">
        <x:v>Sales manager</x:v>
      </x:c>
      <x:c r="O1803" s="4"/>
      <x:c r="P1803" s="9" t="n">
        <x:v>0</x:v>
      </x:c>
      <x:c r="Q1803" s="11" t="n">
        <x:v>0</x:v>
      </x:c>
      <x:c r="R1803" s="8" t="n">
        <x:v>45452</x:v>
      </x:c>
      <x:c r="S1803" s="4" t="str">
        <x:v>Retained</x:v>
      </x:c>
      <x:c r="T1803" s="10" t="n">
        <x:v>0.254545</x:v>
      </x:c>
      <x:c r="U1803" s="4" t="str">
        <x:v>Train</x:v>
      </x:c>
    </x:row>
    <x:row r="1804" ht="34" customHeight="1">
      <x:c r="A1804" s="4" t="str">
        <x:v>RS-01803</x:v>
      </x:c>
      <x:c r="B1804" s="8" t="n">
        <x:v>45393</x:v>
      </x:c>
      <x:c r="C1804" s="4" t="str">
        <x:v>PRJ-003</x:v>
      </x:c>
      <x:c r="D1804" s="4" t="str">
        <x:v>Retail</x:v>
      </x:c>
      <x:c r="E1804" s="4" t="str">
        <x:v>Enquiry</x:v>
      </x:c>
      <x:c r="F1804" s="4" t="str">
        <x:v>CUS-01803</x:v>
      </x:c>
      <x:c r="G1804" s="4" t="str">
        <x:v>UNIT-01803</x:v>
      </x:c>
      <x:c r="H1804" s="9" t="n">
        <x:v>19000000</x:v>
      </x:c>
      <x:c r="I1804" s="10" t="n">
        <x:v>0.07</x:v>
      </x:c>
      <x:c r="J1804" s="11" t="n">
        <x:v>1</x:v>
      </x:c>
      <x:c r="K1804" s="11" t="n">
        <x:v>4</x:v>
      </x:c>
      <x:c r="L1804" s="11" t="n">
        <x:v>1</x:v>
      </x:c>
      <x:c r="M1804" s="9" t="n">
        <x:f>ROUND(H1804*(1-I1804),2)</x:f>
        <x:v>17670000</x:v>
      </x:c>
      <x:c r="N1804" s="4" t="str">
        <x:v>Sales manager</x:v>
      </x:c>
      <x:c r="O1804" s="4"/>
      <x:c r="P1804" s="9" t="n">
        <x:v>0</x:v>
      </x:c>
      <x:c r="Q1804" s="11" t="n">
        <x:v>0</x:v>
      </x:c>
      <x:c r="R1804" s="8" t="n">
        <x:v>45453</x:v>
      </x:c>
      <x:c r="S1804" s="4" t="str">
        <x:v>Retained</x:v>
      </x:c>
      <x:c r="T1804" s="10" t="n">
        <x:v>0.204152</x:v>
      </x:c>
      <x:c r="U1804" s="4" t="str">
        <x:v>Train</x:v>
      </x:c>
    </x:row>
    <x:row r="1805" ht="34" customHeight="1">
      <x:c r="A1805" s="4" t="str">
        <x:v>RS-01804</x:v>
      </x:c>
      <x:c r="B1805" s="8" t="n">
        <x:v>45394</x:v>
      </x:c>
      <x:c r="C1805" s="4" t="str">
        <x:v>PRJ-004</x:v>
      </x:c>
      <x:c r="D1805" s="4" t="str">
        <x:v>Villa</x:v>
      </x:c>
      <x:c r="E1805" s="4" t="str">
        <x:v>Booked</x:v>
      </x:c>
      <x:c r="F1805" s="4" t="str">
        <x:v>CUS-01804</x:v>
      </x:c>
      <x:c r="G1805" s="4" t="str">
        <x:v>UNIT-01804</x:v>
      </x:c>
      <x:c r="H1805" s="9" t="n">
        <x:v>20100000</x:v>
      </x:c>
      <x:c r="I1805" s="10" t="n">
        <x:v>0.09</x:v>
      </x:c>
      <x:c r="J1805" s="11" t="n">
        <x:v>11</x:v>
      </x:c>
      <x:c r="K1805" s="11" t="n">
        <x:v>1</x:v>
      </x:c>
      <x:c r="L1805" s="11" t="n">
        <x:v>0</x:v>
      </x:c>
      <x:c r="M1805" s="9" t="n">
        <x:f>ROUND(H1805*(1-I1805),2)</x:f>
        <x:v>18291000</x:v>
      </x:c>
      <x:c r="N1805" s="4" t="str">
        <x:v>Sales head</x:v>
      </x:c>
      <x:c r="O1805" s="4" t="str">
        <x:v>BOOK-01804</x:v>
      </x:c>
      <x:c r="P1805" s="9" t="n">
        <x:v>4572750</x:v>
      </x:c>
      <x:c r="Q1805" s="11" t="n">
        <x:v>0</x:v>
      </x:c>
      <x:c r="R1805" s="8" t="n">
        <x:v>45454</x:v>
      </x:c>
      <x:c r="S1805" s="4" t="str">
        <x:v>Retained</x:v>
      </x:c>
      <x:c r="T1805" s="10" t="n">
        <x:v>0.351536</x:v>
      </x:c>
      <x:c r="U1805" s="4" t="str">
        <x:v>Train</x:v>
      </x:c>
    </x:row>
    <x:row r="1806" ht="34" customHeight="1">
      <x:c r="A1806" s="4" t="str">
        <x:v>RS-01805</x:v>
      </x:c>
      <x:c r="B1806" s="8" t="n">
        <x:v>45395</x:v>
      </x:c>
      <x:c r="C1806" s="4" t="str">
        <x:v>PRJ-005</x:v>
      </x:c>
      <x:c r="D1806" s="4" t="str">
        <x:v>Villa</x:v>
      </x:c>
      <x:c r="E1806" s="4" t="str">
        <x:v>Reserved</x:v>
      </x:c>
      <x:c r="F1806" s="4" t="str">
        <x:v>CUS-01805</x:v>
      </x:c>
      <x:c r="G1806" s="4" t="str">
        <x:v>UNIT-01805</x:v>
      </x:c>
      <x:c r="H1806" s="9" t="n">
        <x:v>11900000</x:v>
      </x:c>
      <x:c r="I1806" s="10" t="n">
        <x:v>0.04</x:v>
      </x:c>
      <x:c r="J1806" s="11" t="n">
        <x:v>9</x:v>
      </x:c>
      <x:c r="K1806" s="11" t="n">
        <x:v>1</x:v>
      </x:c>
      <x:c r="L1806" s="11" t="n">
        <x:v>1</x:v>
      </x:c>
      <x:c r="M1806" s="9" t="n">
        <x:f>ROUND(H1806*(1-I1806),2)</x:f>
        <x:v>11424000</x:v>
      </x:c>
      <x:c r="N1806" s="4" t="str">
        <x:v>Sales manager</x:v>
      </x:c>
      <x:c r="O1806" s="4"/>
      <x:c r="P1806" s="9" t="n">
        <x:v>0</x:v>
      </x:c>
      <x:c r="Q1806" s="11" t="n">
        <x:v>0</x:v>
      </x:c>
      <x:c r="R1806" s="8" t="n">
        <x:v>45455</x:v>
      </x:c>
      <x:c r="S1806" s="4" t="str">
        <x:v>Retained</x:v>
      </x:c>
      <x:c r="T1806" s="10" t="n">
        <x:v>0.310195</x:v>
      </x:c>
      <x:c r="U1806" s="4" t="str">
        <x:v>Train</x:v>
      </x:c>
    </x:row>
    <x:row r="1807" ht="34" customHeight="1">
      <x:c r="A1807" s="4" t="str">
        <x:v>RS-01806</x:v>
      </x:c>
      <x:c r="B1807" s="8" t="n">
        <x:v>45396</x:v>
      </x:c>
      <x:c r="C1807" s="4" t="str">
        <x:v>PRJ-006</x:v>
      </x:c>
      <x:c r="D1807" s="4" t="str">
        <x:v>Villa</x:v>
      </x:c>
      <x:c r="E1807" s="4" t="str">
        <x:v>Enquiry</x:v>
      </x:c>
      <x:c r="F1807" s="4" t="str">
        <x:v>CUS-01806</x:v>
      </x:c>
      <x:c r="G1807" s="4" t="str">
        <x:v>UNIT-01806</x:v>
      </x:c>
      <x:c r="H1807" s="9" t="n">
        <x:v>24100000</x:v>
      </x:c>
      <x:c r="I1807" s="10" t="n">
        <x:v>0.05</x:v>
      </x:c>
      <x:c r="J1807" s="11" t="n">
        <x:v>12</x:v>
      </x:c>
      <x:c r="K1807" s="11" t="n">
        <x:v>9</x:v>
      </x:c>
      <x:c r="L1807" s="11" t="n">
        <x:v>1</x:v>
      </x:c>
      <x:c r="M1807" s="9" t="n">
        <x:f>ROUND(H1807*(1-I1807),2)</x:f>
        <x:v>22895000</x:v>
      </x:c>
      <x:c r="N1807" s="4" t="str">
        <x:v>Sales manager</x:v>
      </x:c>
      <x:c r="O1807" s="4"/>
      <x:c r="P1807" s="9" t="n">
        <x:v>0</x:v>
      </x:c>
      <x:c r="Q1807" s="11" t="n">
        <x:v>0</x:v>
      </x:c>
      <x:c r="R1807" s="8" t="n">
        <x:v>45456</x:v>
      </x:c>
      <x:c r="S1807" s="4" t="str">
        <x:v>Retained</x:v>
      </x:c>
      <x:c r="T1807" s="10" t="n">
        <x:v>0.351536</x:v>
      </x:c>
      <x:c r="U1807" s="4" t="str">
        <x:v>Train</x:v>
      </x:c>
    </x:row>
    <x:row r="1808" ht="34" customHeight="1">
      <x:c r="A1808" s="4" t="str">
        <x:v>RS-01807</x:v>
      </x:c>
      <x:c r="B1808" s="8" t="n">
        <x:v>45397</x:v>
      </x:c>
      <x:c r="C1808" s="4" t="str">
        <x:v>PRJ-007</x:v>
      </x:c>
      <x:c r="D1808" s="4" t="str">
        <x:v>Office</x:v>
      </x:c>
      <x:c r="E1808" s="4" t="str">
        <x:v>Agreement signed</x:v>
      </x:c>
      <x:c r="F1808" s="4" t="str">
        <x:v>CUS-01807</x:v>
      </x:c>
      <x:c r="G1808" s="4" t="str">
        <x:v>UNIT-01807</x:v>
      </x:c>
      <x:c r="H1808" s="9" t="n">
        <x:v>7500000</x:v>
      </x:c>
      <x:c r="I1808" s="10" t="n">
        <x:v>0.09</x:v>
      </x:c>
      <x:c r="J1808" s="11" t="n">
        <x:v>9</x:v>
      </x:c>
      <x:c r="K1808" s="11" t="n">
        <x:v>3</x:v>
      </x:c>
      <x:c r="L1808" s="11" t="n">
        <x:v>0</x:v>
      </x:c>
      <x:c r="M1808" s="9" t="n">
        <x:f>ROUND(H1808*(1-I1808),2)</x:f>
        <x:v>6825000</x:v>
      </x:c>
      <x:c r="N1808" s="4" t="str">
        <x:v>Sales head</x:v>
      </x:c>
      <x:c r="O1808" s="4" t="str">
        <x:v>BOOK-01807</x:v>
      </x:c>
      <x:c r="P1808" s="9" t="n">
        <x:v>1706250</x:v>
      </x:c>
      <x:c r="Q1808" s="11" t="n">
        <x:v>0</x:v>
      </x:c>
      <x:c r="R1808" s="8" t="n">
        <x:v>45457</x:v>
      </x:c>
      <x:c r="S1808" s="4" t="str">
        <x:v>Retained</x:v>
      </x:c>
      <x:c r="T1808" s="10" t="n">
        <x:v>0.310195</x:v>
      </x:c>
      <x:c r="U1808" s="4" t="str">
        <x:v>Train</x:v>
      </x:c>
    </x:row>
    <x:row r="1809" ht="34" customHeight="1">
      <x:c r="A1809" s="4" t="str">
        <x:v>RS-01808</x:v>
      </x:c>
      <x:c r="B1809" s="8" t="n">
        <x:v>45398</x:v>
      </x:c>
      <x:c r="C1809" s="4" t="str">
        <x:v>PRJ-008</x:v>
      </x:c>
      <x:c r="D1809" s="4" t="str">
        <x:v>Villa</x:v>
      </x:c>
      <x:c r="E1809" s="4" t="str">
        <x:v>Booked</x:v>
      </x:c>
      <x:c r="F1809" s="4" t="str">
        <x:v>CUS-01808</x:v>
      </x:c>
      <x:c r="G1809" s="4" t="str">
        <x:v>UNIT-01808</x:v>
      </x:c>
      <x:c r="H1809" s="9" t="n">
        <x:v>13800000</x:v>
      </x:c>
      <x:c r="I1809" s="10" t="n">
        <x:v>0.07</x:v>
      </x:c>
      <x:c r="J1809" s="11" t="n">
        <x:v>3</x:v>
      </x:c>
      <x:c r="K1809" s="11" t="n">
        <x:v>1</x:v>
      </x:c>
      <x:c r="L1809" s="11" t="n">
        <x:v>1</x:v>
      </x:c>
      <x:c r="M1809" s="9" t="n">
        <x:f>ROUND(H1809*(1-I1809),2)</x:f>
        <x:v>12834000</x:v>
      </x:c>
      <x:c r="N1809" s="4" t="str">
        <x:v>Sales manager</x:v>
      </x:c>
      <x:c r="O1809" s="4" t="str">
        <x:v>BOOK-01808</x:v>
      </x:c>
      <x:c r="P1809" s="9" t="n">
        <x:v>3208500</x:v>
      </x:c>
      <x:c r="Q1809" s="11" t="n">
        <x:v>0</x:v>
      </x:c>
      <x:c r="R1809" s="8" t="n">
        <x:v>45458</x:v>
      </x:c>
      <x:c r="S1809" s="4" t="str">
        <x:v>Retained</x:v>
      </x:c>
      <x:c r="T1809" s="10" t="n">
        <x:v>0.204152</x:v>
      </x:c>
      <x:c r="U1809" s="4" t="str">
        <x:v>Train</x:v>
      </x:c>
    </x:row>
    <x:row r="1810" ht="34" customHeight="1">
      <x:c r="A1810" s="4" t="str">
        <x:v>RS-01809</x:v>
      </x:c>
      <x:c r="B1810" s="8" t="n">
        <x:v>45399</x:v>
      </x:c>
      <x:c r="C1810" s="4" t="str">
        <x:v>PRJ-009</x:v>
      </x:c>
      <x:c r="D1810" s="4" t="str">
        <x:v>Villa</x:v>
      </x:c>
      <x:c r="E1810" s="4" t="str">
        <x:v>Agreement signed</x:v>
      </x:c>
      <x:c r="F1810" s="4" t="str">
        <x:v>CUS-01809</x:v>
      </x:c>
      <x:c r="G1810" s="4" t="str">
        <x:v>UNIT-01809</x:v>
      </x:c>
      <x:c r="H1810" s="9" t="n">
        <x:v>8700000</x:v>
      </x:c>
      <x:c r="I1810" s="10" t="n">
        <x:v>0.01</x:v>
      </x:c>
      <x:c r="J1810" s="11" t="n">
        <x:v>6</x:v>
      </x:c>
      <x:c r="K1810" s="11" t="n">
        <x:v>9</x:v>
      </x:c>
      <x:c r="L1810" s="11" t="n">
        <x:v>0</x:v>
      </x:c>
      <x:c r="M1810" s="9" t="n">
        <x:f>ROUND(H1810*(1-I1810),2)</x:f>
        <x:v>8613000</x:v>
      </x:c>
      <x:c r="N1810" s="4" t="str">
        <x:v>Sales manager</x:v>
      </x:c>
      <x:c r="O1810" s="4" t="str">
        <x:v>BOOK-01809</x:v>
      </x:c>
      <x:c r="P1810" s="9" t="n">
        <x:v>2153250</x:v>
      </x:c>
      <x:c r="Q1810" s="11" t="n">
        <x:v>0</x:v>
      </x:c>
      <x:c r="R1810" s="8" t="n">
        <x:v>45459</x:v>
      </x:c>
      <x:c r="S1810" s="4" t="str">
        <x:v>Retained</x:v>
      </x:c>
      <x:c r="T1810" s="10" t="n">
        <x:v>0.145299</x:v>
      </x:c>
      <x:c r="U1810" s="4" t="str">
        <x:v>Train</x:v>
      </x:c>
    </x:row>
    <x:row r="1811" ht="34" customHeight="1">
      <x:c r="A1811" s="4" t="str">
        <x:v>RS-01810</x:v>
      </x:c>
      <x:c r="B1811" s="8" t="n">
        <x:v>45400</x:v>
      </x:c>
      <x:c r="C1811" s="4" t="str">
        <x:v>PRJ-010</x:v>
      </x:c>
      <x:c r="D1811" s="4" t="str">
        <x:v>Retail</x:v>
      </x:c>
      <x:c r="E1811" s="4" t="str">
        <x:v>Reserved</x:v>
      </x:c>
      <x:c r="F1811" s="4" t="str">
        <x:v>CUS-01810</x:v>
      </x:c>
      <x:c r="G1811" s="4" t="str">
        <x:v>UNIT-01810</x:v>
      </x:c>
      <x:c r="H1811" s="9" t="n">
        <x:v>13200000</x:v>
      </x:c>
      <x:c r="I1811" s="10" t="n">
        <x:v>0.06</x:v>
      </x:c>
      <x:c r="J1811" s="11" t="n">
        <x:v>5</x:v>
      </x:c>
      <x:c r="K1811" s="11" t="n">
        <x:v>9</x:v>
      </x:c>
      <x:c r="L1811" s="11" t="n">
        <x:v>1</x:v>
      </x:c>
      <x:c r="M1811" s="9" t="n">
        <x:f>ROUND(H1811*(1-I1811),2)</x:f>
        <x:v>12408000</x:v>
      </x:c>
      <x:c r="N1811" s="4" t="str">
        <x:v>Sales manager</x:v>
      </x:c>
      <x:c r="O1811" s="4"/>
      <x:c r="P1811" s="9" t="n">
        <x:v>0</x:v>
      </x:c>
      <x:c r="Q1811" s="11" t="n">
        <x:v>0</x:v>
      </x:c>
      <x:c r="R1811" s="8" t="n">
        <x:v>45460</x:v>
      </x:c>
      <x:c r="S1811" s="4" t="str">
        <x:v>Retained</x:v>
      </x:c>
      <x:c r="T1811" s="10" t="n">
        <x:v>0.291946</x:v>
      </x:c>
      <x:c r="U1811" s="4" t="str">
        <x:v>Train</x:v>
      </x:c>
    </x:row>
    <x:row r="1812" ht="34" customHeight="1">
      <x:c r="A1812" s="4" t="str">
        <x:v>RS-01811</x:v>
      </x:c>
      <x:c r="B1812" s="8" t="n">
        <x:v>45401</x:v>
      </x:c>
      <x:c r="C1812" s="4" t="str">
        <x:v>PRJ-011</x:v>
      </x:c>
      <x:c r="D1812" s="4" t="str">
        <x:v>Apartment</x:v>
      </x:c>
      <x:c r="E1812" s="4" t="str">
        <x:v>Enquiry</x:v>
      </x:c>
      <x:c r="F1812" s="4" t="str">
        <x:v>CUS-01811</x:v>
      </x:c>
      <x:c r="G1812" s="4" t="str">
        <x:v>UNIT-01811</x:v>
      </x:c>
      <x:c r="H1812" s="9" t="n">
        <x:v>14400000</x:v>
      </x:c>
      <x:c r="I1812" s="10" t="n">
        <x:v>0.09</x:v>
      </x:c>
      <x:c r="J1812" s="11" t="n">
        <x:v>3</x:v>
      </x:c>
      <x:c r="K1812" s="11" t="n">
        <x:v>10</x:v>
      </x:c>
      <x:c r="L1812" s="11" t="n">
        <x:v>1</x:v>
      </x:c>
      <x:c r="M1812" s="9" t="n">
        <x:f>ROUND(H1812*(1-I1812),2)</x:f>
        <x:v>13104000</x:v>
      </x:c>
      <x:c r="N1812" s="4" t="str">
        <x:v>Sales head</x:v>
      </x:c>
      <x:c r="O1812" s="4"/>
      <x:c r="P1812" s="9" t="n">
        <x:v>0</x:v>
      </x:c>
      <x:c r="Q1812" s="11" t="n">
        <x:v>0</x:v>
      </x:c>
      <x:c r="R1812" s="8" t="n">
        <x:v>45461</x:v>
      </x:c>
      <x:c r="S1812" s="4" t="str">
        <x:v>Retained</x:v>
      </x:c>
      <x:c r="T1812" s="10" t="n">
        <x:v>0.145833</x:v>
      </x:c>
      <x:c r="U1812" s="4" t="str">
        <x:v>Train</x:v>
      </x:c>
    </x:row>
    <x:row r="1813" ht="34" customHeight="1">
      <x:c r="A1813" s="4" t="str">
        <x:v>RS-01812</x:v>
      </x:c>
      <x:c r="B1813" s="8" t="n">
        <x:v>45402</x:v>
      </x:c>
      <x:c r="C1813" s="4" t="str">
        <x:v>PRJ-012</x:v>
      </x:c>
      <x:c r="D1813" s="4" t="str">
        <x:v>Apartment</x:v>
      </x:c>
      <x:c r="E1813" s="4" t="str">
        <x:v>Cancelled</x:v>
      </x:c>
      <x:c r="F1813" s="4" t="str">
        <x:v>CUS-01812</x:v>
      </x:c>
      <x:c r="G1813" s="4" t="str">
        <x:v>UNIT-01812</x:v>
      </x:c>
      <x:c r="H1813" s="9" t="n">
        <x:v>11400000</x:v>
      </x:c>
      <x:c r="I1813" s="10" t="n">
        <x:v>0.05</x:v>
      </x:c>
      <x:c r="J1813" s="11" t="n">
        <x:v>4</x:v>
      </x:c>
      <x:c r="K1813" s="11" t="n">
        <x:v>3</x:v>
      </x:c>
      <x:c r="L1813" s="11" t="n">
        <x:v>1</x:v>
      </x:c>
      <x:c r="M1813" s="9" t="n">
        <x:f>ROUND(H1813*(1-I1813),2)</x:f>
        <x:v>10830000</x:v>
      </x:c>
      <x:c r="N1813" s="4" t="str">
        <x:v>Sales manager</x:v>
      </x:c>
      <x:c r="O1813" s="4"/>
      <x:c r="P1813" s="9" t="n">
        <x:v>0</x:v>
      </x:c>
      <x:c r="Q1813" s="11" t="n">
        <x:v>1</x:v>
      </x:c>
      <x:c r="R1813" s="8" t="n">
        <x:v>45462</x:v>
      </x:c>
      <x:c r="S1813" s="4" t="str">
        <x:v>Lost / cancelled</x:v>
      </x:c>
      <x:c r="T1813" s="10" t="n">
        <x:v>0.291946</x:v>
      </x:c>
      <x:c r="U1813" s="4" t="str">
        <x:v>Train</x:v>
      </x:c>
    </x:row>
    <x:row r="1814" ht="34" customHeight="1">
      <x:c r="A1814" s="4" t="str">
        <x:v>RS-01813</x:v>
      </x:c>
      <x:c r="B1814" s="8" t="n">
        <x:v>45403</x:v>
      </x:c>
      <x:c r="C1814" s="4" t="str">
        <x:v>PRJ-013</x:v>
      </x:c>
      <x:c r="D1814" s="4" t="str">
        <x:v>Villa</x:v>
      </x:c>
      <x:c r="E1814" s="4" t="str">
        <x:v>Booked</x:v>
      </x:c>
      <x:c r="F1814" s="4" t="str">
        <x:v>CUS-01813</x:v>
      </x:c>
      <x:c r="G1814" s="4" t="str">
        <x:v>UNIT-01813</x:v>
      </x:c>
      <x:c r="H1814" s="9" t="n">
        <x:v>16000000</x:v>
      </x:c>
      <x:c r="I1814" s="10" t="n">
        <x:v>0.08</x:v>
      </x:c>
      <x:c r="J1814" s="11" t="n">
        <x:v>10</x:v>
      </x:c>
      <x:c r="K1814" s="11" t="n">
        <x:v>0</x:v>
      </x:c>
      <x:c r="L1814" s="11" t="n">
        <x:v>0</x:v>
      </x:c>
      <x:c r="M1814" s="9" t="n">
        <x:f>ROUND(H1814*(1-I1814),2)</x:f>
        <x:v>14720000</x:v>
      </x:c>
      <x:c r="N1814" s="4" t="str">
        <x:v>Sales head</x:v>
      </x:c>
      <x:c r="O1814" s="4" t="str">
        <x:v>BOOK-01813</x:v>
      </x:c>
      <x:c r="P1814" s="9" t="n">
        <x:v>1472000</x:v>
      </x:c>
      <x:c r="Q1814" s="11" t="n">
        <x:v>0</x:v>
      </x:c>
      <x:c r="R1814" s="8" t="n">
        <x:v>45463</x:v>
      </x:c>
      <x:c r="S1814" s="4" t="str">
        <x:v>Retained</x:v>
      </x:c>
      <x:c r="T1814" s="10" t="n">
        <x:v>0.310195</x:v>
      </x:c>
      <x:c r="U1814" s="4" t="str">
        <x:v>Train</x:v>
      </x:c>
    </x:row>
    <x:row r="1815" ht="34" customHeight="1">
      <x:c r="A1815" s="4" t="str">
        <x:v>RS-01814</x:v>
      </x:c>
      <x:c r="B1815" s="8" t="n">
        <x:v>45404</x:v>
      </x:c>
      <x:c r="C1815" s="4" t="str">
        <x:v>PRJ-014</x:v>
      </x:c>
      <x:c r="D1815" s="4" t="str">
        <x:v>Office</x:v>
      </x:c>
      <x:c r="E1815" s="4" t="str">
        <x:v>Cancelled</x:v>
      </x:c>
      <x:c r="F1815" s="4" t="str">
        <x:v>CUS-01814</x:v>
      </x:c>
      <x:c r="G1815" s="4" t="str">
        <x:v>UNIT-01814</x:v>
      </x:c>
      <x:c r="H1815" s="9" t="n">
        <x:v>4100000</x:v>
      </x:c>
      <x:c r="I1815" s="10" t="n">
        <x:v>0.11</x:v>
      </x:c>
      <x:c r="J1815" s="11" t="n">
        <x:v>9</x:v>
      </x:c>
      <x:c r="K1815" s="11" t="n">
        <x:v>0</x:v>
      </x:c>
      <x:c r="L1815" s="11" t="n">
        <x:v>0</x:v>
      </x:c>
      <x:c r="M1815" s="9" t="n">
        <x:f>ROUND(H1815*(1-I1815),2)</x:f>
        <x:v>3649000</x:v>
      </x:c>
      <x:c r="N1815" s="4" t="str">
        <x:v>Sales head</x:v>
      </x:c>
      <x:c r="O1815" s="4"/>
      <x:c r="P1815" s="9" t="n">
        <x:v>0</x:v>
      </x:c>
      <x:c r="Q1815" s="11" t="n">
        <x:v>1</x:v>
      </x:c>
      <x:c r="R1815" s="8" t="n">
        <x:v>45464</x:v>
      </x:c>
      <x:c r="S1815" s="4" t="str">
        <x:v>Lost / cancelled</x:v>
      </x:c>
      <x:c r="T1815" s="10" t="n">
        <x:v>0.310195</x:v>
      </x:c>
      <x:c r="U1815" s="4" t="str">
        <x:v>Train</x:v>
      </x:c>
    </x:row>
    <x:row r="1816" ht="34" customHeight="1">
      <x:c r="A1816" s="4" t="str">
        <x:v>RS-01815</x:v>
      </x:c>
      <x:c r="B1816" s="8" t="n">
        <x:v>45405</x:v>
      </x:c>
      <x:c r="C1816" s="4" t="str">
        <x:v>PRJ-015</x:v>
      </x:c>
      <x:c r="D1816" s="4" t="str">
        <x:v>Villa</x:v>
      </x:c>
      <x:c r="E1816" s="4" t="str">
        <x:v>Reserved</x:v>
      </x:c>
      <x:c r="F1816" s="4" t="str">
        <x:v>CUS-01815</x:v>
      </x:c>
      <x:c r="G1816" s="4" t="str">
        <x:v>UNIT-01815</x:v>
      </x:c>
      <x:c r="H1816" s="9" t="n">
        <x:v>23000000</x:v>
      </x:c>
      <x:c r="I1816" s="10" t="n">
        <x:v>0.01</x:v>
      </x:c>
      <x:c r="J1816" s="11" t="n">
        <x:v>12</x:v>
      </x:c>
      <x:c r="K1816" s="11" t="n">
        <x:v>0</x:v>
      </x:c>
      <x:c r="L1816" s="11" t="n">
        <x:v>1</x:v>
      </x:c>
      <x:c r="M1816" s="9" t="n">
        <x:f>ROUND(H1816*(1-I1816),2)</x:f>
        <x:v>22770000</x:v>
      </x:c>
      <x:c r="N1816" s="4" t="str">
        <x:v>Sales manager</x:v>
      </x:c>
      <x:c r="O1816" s="4"/>
      <x:c r="P1816" s="9" t="n">
        <x:v>0</x:v>
      </x:c>
      <x:c r="Q1816" s="11" t="n">
        <x:v>1</x:v>
      </x:c>
      <x:c r="R1816" s="8" t="n">
        <x:v>45465</x:v>
      </x:c>
      <x:c r="S1816" s="4" t="str">
        <x:v>Lost / cancelled</x:v>
      </x:c>
      <x:c r="T1816" s="10" t="n">
        <x:v>0.254545</x:v>
      </x:c>
      <x:c r="U1816" s="4" t="str">
        <x:v>Train</x:v>
      </x:c>
    </x:row>
    <x:row r="1817" ht="34" customHeight="1">
      <x:c r="A1817" s="4" t="str">
        <x:v>RS-01816</x:v>
      </x:c>
      <x:c r="B1817" s="8" t="n">
        <x:v>45406</x:v>
      </x:c>
      <x:c r="C1817" s="4" t="str">
        <x:v>PRJ-016</x:v>
      </x:c>
      <x:c r="D1817" s="4" t="str">
        <x:v>Apartment</x:v>
      </x:c>
      <x:c r="E1817" s="4" t="str">
        <x:v>Cancelled</x:v>
      </x:c>
      <x:c r="F1817" s="4" t="str">
        <x:v>CUS-01816</x:v>
      </x:c>
      <x:c r="G1817" s="4" t="str">
        <x:v>UNIT-01816</x:v>
      </x:c>
      <x:c r="H1817" s="9" t="n">
        <x:v>14200000</x:v>
      </x:c>
      <x:c r="I1817" s="10" t="n">
        <x:v>0.09</x:v>
      </x:c>
      <x:c r="J1817" s="11" t="n">
        <x:v>10</x:v>
      </x:c>
      <x:c r="K1817" s="11" t="n">
        <x:v>5</x:v>
      </x:c>
      <x:c r="L1817" s="11" t="n">
        <x:v>0</x:v>
      </x:c>
      <x:c r="M1817" s="9" t="n">
        <x:f>ROUND(H1817*(1-I1817),2)</x:f>
        <x:v>12922000</x:v>
      </x:c>
      <x:c r="N1817" s="4" t="str">
        <x:v>Sales head</x:v>
      </x:c>
      <x:c r="O1817" s="4"/>
      <x:c r="P1817" s="9" t="n">
        <x:v>0</x:v>
      </x:c>
      <x:c r="Q1817" s="11" t="n">
        <x:v>1</x:v>
      </x:c>
      <x:c r="R1817" s="8" t="n">
        <x:v>45466</x:v>
      </x:c>
      <x:c r="S1817" s="4" t="str">
        <x:v>Lost / cancelled</x:v>
      </x:c>
      <x:c r="T1817" s="10" t="n">
        <x:v>0.310195</x:v>
      </x:c>
      <x:c r="U1817" s="4" t="str">
        <x:v>Train</x:v>
      </x:c>
    </x:row>
    <x:row r="1818" ht="34" customHeight="1">
      <x:c r="A1818" s="4" t="str">
        <x:v>RS-01817</x:v>
      </x:c>
      <x:c r="B1818" s="8" t="n">
        <x:v>45407</x:v>
      </x:c>
      <x:c r="C1818" s="4" t="str">
        <x:v>PRJ-017</x:v>
      </x:c>
      <x:c r="D1818" s="4" t="str">
        <x:v>Villa</x:v>
      </x:c>
      <x:c r="E1818" s="4" t="str">
        <x:v>Enquiry</x:v>
      </x:c>
      <x:c r="F1818" s="4" t="str">
        <x:v>CUS-01817</x:v>
      </x:c>
      <x:c r="G1818" s="4" t="str">
        <x:v>UNIT-01817</x:v>
      </x:c>
      <x:c r="H1818" s="9" t="n">
        <x:v>23100000</x:v>
      </x:c>
      <x:c r="I1818" s="10" t="n">
        <x:v>0.05</x:v>
      </x:c>
      <x:c r="J1818" s="11" t="n">
        <x:v>7</x:v>
      </x:c>
      <x:c r="K1818" s="11" t="n">
        <x:v>5</x:v>
      </x:c>
      <x:c r="L1818" s="11" t="n">
        <x:v>1</x:v>
      </x:c>
      <x:c r="M1818" s="9" t="n">
        <x:f>ROUND(H1818*(1-I1818),2)</x:f>
        <x:v>21945000</x:v>
      </x:c>
      <x:c r="N1818" s="4" t="str">
        <x:v>Sales manager</x:v>
      </x:c>
      <x:c r="O1818" s="4"/>
      <x:c r="P1818" s="9" t="n">
        <x:v>0</x:v>
      </x:c>
      <x:c r="Q1818" s="11" t="n">
        <x:v>1</x:v>
      </x:c>
      <x:c r="R1818" s="8" t="n">
        <x:v>45467</x:v>
      </x:c>
      <x:c r="S1818" s="4" t="str">
        <x:v>Lost / cancelled</x:v>
      </x:c>
      <x:c r="T1818" s="10" t="n">
        <x:v>0.291946</x:v>
      </x:c>
      <x:c r="U1818" s="4" t="str">
        <x:v>Train</x:v>
      </x:c>
    </x:row>
    <x:row r="1819" ht="34" customHeight="1">
      <x:c r="A1819" s="4" t="str">
        <x:v>RS-01818</x:v>
      </x:c>
      <x:c r="B1819" s="8" t="n">
        <x:v>45408</x:v>
      </x:c>
      <x:c r="C1819" s="4" t="str">
        <x:v>PRJ-018</x:v>
      </x:c>
      <x:c r="D1819" s="4" t="str">
        <x:v>Office</x:v>
      </x:c>
      <x:c r="E1819" s="4" t="str">
        <x:v>Agreement signed</x:v>
      </x:c>
      <x:c r="F1819" s="4" t="str">
        <x:v>CUS-01818</x:v>
      </x:c>
      <x:c r="G1819" s="4" t="str">
        <x:v>UNIT-01818</x:v>
      </x:c>
      <x:c r="H1819" s="9" t="n">
        <x:v>17700000</x:v>
      </x:c>
      <x:c r="I1819" s="10" t="n">
        <x:v>0.01</x:v>
      </x:c>
      <x:c r="J1819" s="11" t="n">
        <x:v>5</x:v>
      </x:c>
      <x:c r="K1819" s="11" t="n">
        <x:v>8</x:v>
      </x:c>
      <x:c r="L1819" s="11" t="n">
        <x:v>1</x:v>
      </x:c>
      <x:c r="M1819" s="9" t="n">
        <x:f>ROUND(H1819*(1-I1819),2)</x:f>
        <x:v>17523000</x:v>
      </x:c>
      <x:c r="N1819" s="4" t="str">
        <x:v>Sales manager</x:v>
      </x:c>
      <x:c r="O1819" s="4" t="str">
        <x:v>BOOK-01818</x:v>
      </x:c>
      <x:c r="P1819" s="9" t="n">
        <x:v>17523000</x:v>
      </x:c>
      <x:c r="Q1819" s="11" t="n">
        <x:v>0</x:v>
      </x:c>
      <x:c r="R1819" s="8" t="n">
        <x:v>45468</x:v>
      </x:c>
      <x:c r="S1819" s="4" t="str">
        <x:v>Retained</x:v>
      </x:c>
      <x:c r="T1819" s="10" t="n">
        <x:v>0.145299</x:v>
      </x:c>
      <x:c r="U1819" s="4" t="str">
        <x:v>Train</x:v>
      </x:c>
    </x:row>
    <x:row r="1820" ht="34" customHeight="1">
      <x:c r="A1820" s="4" t="str">
        <x:v>RS-01819</x:v>
      </x:c>
      <x:c r="B1820" s="8" t="n">
        <x:v>45409</x:v>
      </x:c>
      <x:c r="C1820" s="4" t="str">
        <x:v>PRJ-019</x:v>
      </x:c>
      <x:c r="D1820" s="4" t="str">
        <x:v>Office</x:v>
      </x:c>
      <x:c r="E1820" s="4" t="str">
        <x:v>Agreement signed</x:v>
      </x:c>
      <x:c r="F1820" s="4" t="str">
        <x:v>CUS-01819</x:v>
      </x:c>
      <x:c r="G1820" s="4" t="str">
        <x:v>UNIT-01819</x:v>
      </x:c>
      <x:c r="H1820" s="9" t="n">
        <x:v>5100000</x:v>
      </x:c>
      <x:c r="I1820" s="10" t="n">
        <x:v>0.05</x:v>
      </x:c>
      <x:c r="J1820" s="11" t="n">
        <x:v>3</x:v>
      </x:c>
      <x:c r="K1820" s="11" t="n">
        <x:v>4</x:v>
      </x:c>
      <x:c r="L1820" s="11" t="n">
        <x:v>1</x:v>
      </x:c>
      <x:c r="M1820" s="9" t="n">
        <x:f>ROUND(H1820*(1-I1820),2)</x:f>
        <x:v>4845000</x:v>
      </x:c>
      <x:c r="N1820" s="4" t="str">
        <x:v>Sales manager</x:v>
      </x:c>
      <x:c r="O1820" s="4" t="str">
        <x:v>BOOK-01819</x:v>
      </x:c>
      <x:c r="P1820" s="9" t="n">
        <x:v>2422500</x:v>
      </x:c>
      <x:c r="Q1820" s="11" t="n">
        <x:v>0</x:v>
      </x:c>
      <x:c r="R1820" s="8" t="n">
        <x:v>45469</x:v>
      </x:c>
      <x:c r="S1820" s="4" t="str">
        <x:v>Retained</x:v>
      </x:c>
      <x:c r="T1820" s="10" t="n">
        <x:v>0.204152</x:v>
      </x:c>
      <x:c r="U1820" s="4" t="str">
        <x:v>Train</x:v>
      </x:c>
    </x:row>
    <x:row r="1821" ht="34" customHeight="1">
      <x:c r="A1821" s="4" t="str">
        <x:v>RS-01820</x:v>
      </x:c>
      <x:c r="B1821" s="8" t="n">
        <x:v>45410</x:v>
      </x:c>
      <x:c r="C1821" s="4" t="str">
        <x:v>PRJ-020</x:v>
      </x:c>
      <x:c r="D1821" s="4" t="str">
        <x:v>Villa</x:v>
      </x:c>
      <x:c r="E1821" s="4" t="str">
        <x:v>Agreement signed</x:v>
      </x:c>
      <x:c r="F1821" s="4" t="str">
        <x:v>CUS-01820</x:v>
      </x:c>
      <x:c r="G1821" s="4" t="str">
        <x:v>UNIT-01820</x:v>
      </x:c>
      <x:c r="H1821" s="9" t="n">
        <x:v>24100000</x:v>
      </x:c>
      <x:c r="I1821" s="10" t="n">
        <x:v>0.08</x:v>
      </x:c>
      <x:c r="J1821" s="11" t="n">
        <x:v>7</x:v>
      </x:c>
      <x:c r="K1821" s="11" t="n">
        <x:v>6</x:v>
      </x:c>
      <x:c r="L1821" s="11" t="n">
        <x:v>1</x:v>
      </x:c>
      <x:c r="M1821" s="9" t="n">
        <x:f>ROUND(H1821*(1-I1821),2)</x:f>
        <x:v>22172000</x:v>
      </x:c>
      <x:c r="N1821" s="4" t="str">
        <x:v>Sales head</x:v>
      </x:c>
      <x:c r="O1821" s="4" t="str">
        <x:v>BOOK-01820</x:v>
      </x:c>
      <x:c r="P1821" s="9" t="n">
        <x:v>22172000</x:v>
      </x:c>
      <x:c r="Q1821" s="11" t="n">
        <x:v>0</x:v>
      </x:c>
      <x:c r="R1821" s="8" t="n">
        <x:v>45470</x:v>
      </x:c>
      <x:c r="S1821" s="4" t="str">
        <x:v>Retained</x:v>
      </x:c>
      <x:c r="T1821" s="10" t="n">
        <x:v>0.291946</x:v>
      </x:c>
      <x:c r="U1821" s="4" t="str">
        <x:v>Train</x:v>
      </x:c>
    </x:row>
    <x:row r="1822" ht="34" customHeight="1">
      <x:c r="A1822" s="4" t="str">
        <x:v>RS-01821</x:v>
      </x:c>
      <x:c r="B1822" s="8" t="n">
        <x:v>45383</x:v>
      </x:c>
      <x:c r="C1822" s="4" t="str">
        <x:v>PRJ-001</x:v>
      </x:c>
      <x:c r="D1822" s="4" t="str">
        <x:v>Office</x:v>
      </x:c>
      <x:c r="E1822" s="4" t="str">
        <x:v>Handed over</x:v>
      </x:c>
      <x:c r="F1822" s="4" t="str">
        <x:v>CUS-01821</x:v>
      </x:c>
      <x:c r="G1822" s="4" t="str">
        <x:v>UNIT-01821</x:v>
      </x:c>
      <x:c r="H1822" s="9" t="n">
        <x:v>6700000</x:v>
      </x:c>
      <x:c r="I1822" s="10" t="n">
        <x:v>0.03</x:v>
      </x:c>
      <x:c r="J1822" s="11" t="n">
        <x:v>4</x:v>
      </x:c>
      <x:c r="K1822" s="11" t="n">
        <x:v>7</x:v>
      </x:c>
      <x:c r="L1822" s="11" t="n">
        <x:v>1</x:v>
      </x:c>
      <x:c r="M1822" s="9" t="n">
        <x:f>ROUND(H1822*(1-I1822),2)</x:f>
        <x:v>6499000</x:v>
      </x:c>
      <x:c r="N1822" s="4" t="str">
        <x:v>Sales manager</x:v>
      </x:c>
      <x:c r="O1822" s="4" t="str">
        <x:v>BOOK-01821</x:v>
      </x:c>
      <x:c r="P1822" s="9" t="n">
        <x:v>1624750</x:v>
      </x:c>
      <x:c r="Q1822" s="11" t="n">
        <x:v>0</x:v>
      </x:c>
      <x:c r="R1822" s="8" t="n">
        <x:v>45443</x:v>
      </x:c>
      <x:c r="S1822" s="4" t="str">
        <x:v>Retained</x:v>
      </x:c>
      <x:c r="T1822" s="10" t="n">
        <x:v>0.145299</x:v>
      </x:c>
      <x:c r="U1822" s="4" t="str">
        <x:v>Train</x:v>
      </x:c>
    </x:row>
    <x:row r="1823" ht="34" customHeight="1">
      <x:c r="A1823" s="4" t="str">
        <x:v>RS-01822</x:v>
      </x:c>
      <x:c r="B1823" s="8" t="n">
        <x:v>45384</x:v>
      </x:c>
      <x:c r="C1823" s="4" t="str">
        <x:v>PRJ-002</x:v>
      </x:c>
      <x:c r="D1823" s="4" t="str">
        <x:v>Retail</x:v>
      </x:c>
      <x:c r="E1823" s="4" t="str">
        <x:v>Enquiry</x:v>
      </x:c>
      <x:c r="F1823" s="4" t="str">
        <x:v>CUS-01822</x:v>
      </x:c>
      <x:c r="G1823" s="4" t="str">
        <x:v>UNIT-01822</x:v>
      </x:c>
      <x:c r="H1823" s="9" t="n">
        <x:v>8300000</x:v>
      </x:c>
      <x:c r="I1823" s="10" t="n">
        <x:v>0.1</x:v>
      </x:c>
      <x:c r="J1823" s="11" t="n">
        <x:v>4</x:v>
      </x:c>
      <x:c r="K1823" s="11" t="n">
        <x:v>6</x:v>
      </x:c>
      <x:c r="L1823" s="11" t="n">
        <x:v>0</x:v>
      </x:c>
      <x:c r="M1823" s="9" t="n">
        <x:f>ROUND(H1823*(1-I1823),2)</x:f>
        <x:v>7470000</x:v>
      </x:c>
      <x:c r="N1823" s="4" t="str">
        <x:v>Sales head</x:v>
      </x:c>
      <x:c r="O1823" s="4"/>
      <x:c r="P1823" s="9" t="n">
        <x:v>0</x:v>
      </x:c>
      <x:c r="Q1823" s="11" t="n">
        <x:v>0</x:v>
      </x:c>
      <x:c r="R1823" s="8" t="n">
        <x:v>45444</x:v>
      </x:c>
      <x:c r="S1823" s="4" t="str">
        <x:v>Retained</x:v>
      </x:c>
      <x:c r="T1823" s="10" t="n">
        <x:v>0.226277</x:v>
      </x:c>
      <x:c r="U1823" s="4" t="str">
        <x:v>Train</x:v>
      </x:c>
    </x:row>
    <x:row r="1824" ht="34" customHeight="1">
      <x:c r="A1824" s="4" t="str">
        <x:v>RS-01823</x:v>
      </x:c>
      <x:c r="B1824" s="8" t="n">
        <x:v>45385</x:v>
      </x:c>
      <x:c r="C1824" s="4" t="str">
        <x:v>PRJ-003</x:v>
      </x:c>
      <x:c r="D1824" s="4" t="str">
        <x:v>Villa</x:v>
      </x:c>
      <x:c r="E1824" s="4" t="str">
        <x:v>Cancelled</x:v>
      </x:c>
      <x:c r="F1824" s="4" t="str">
        <x:v>CUS-01823</x:v>
      </x:c>
      <x:c r="G1824" s="4" t="str">
        <x:v>UNIT-01823</x:v>
      </x:c>
      <x:c r="H1824" s="9" t="n">
        <x:v>9000000</x:v>
      </x:c>
      <x:c r="I1824" s="10" t="n">
        <x:v>0.04</x:v>
      </x:c>
      <x:c r="J1824" s="11" t="n">
        <x:v>5</x:v>
      </x:c>
      <x:c r="K1824" s="11" t="n">
        <x:v>8</x:v>
      </x:c>
      <x:c r="L1824" s="11" t="n">
        <x:v>0</x:v>
      </x:c>
      <x:c r="M1824" s="9" t="n">
        <x:f>ROUND(H1824*(1-I1824),2)</x:f>
        <x:v>8640000</x:v>
      </x:c>
      <x:c r="N1824" s="4" t="str">
        <x:v>Sales manager</x:v>
      </x:c>
      <x:c r="O1824" s="4"/>
      <x:c r="P1824" s="9" t="n">
        <x:v>0</x:v>
      </x:c>
      <x:c r="Q1824" s="11" t="n">
        <x:v>1</x:v>
      </x:c>
      <x:c r="R1824" s="8" t="n">
        <x:v>45445</x:v>
      </x:c>
      <x:c r="S1824" s="4" t="str">
        <x:v>Lost / cancelled</x:v>
      </x:c>
      <x:c r="T1824" s="10" t="n">
        <x:v>0.226277</x:v>
      </x:c>
      <x:c r="U1824" s="4" t="str">
        <x:v>Train</x:v>
      </x:c>
    </x:row>
    <x:row r="1825" ht="34" customHeight="1">
      <x:c r="A1825" s="4" t="str">
        <x:v>RS-01824</x:v>
      </x:c>
      <x:c r="B1825" s="8" t="n">
        <x:v>45386</x:v>
      </x:c>
      <x:c r="C1825" s="4" t="str">
        <x:v>PRJ-004</x:v>
      </x:c>
      <x:c r="D1825" s="4" t="str">
        <x:v>Apartment</x:v>
      </x:c>
      <x:c r="E1825" s="4" t="str">
        <x:v>Booked</x:v>
      </x:c>
      <x:c r="F1825" s="4" t="str">
        <x:v>CUS-01824</x:v>
      </x:c>
      <x:c r="G1825" s="4" t="str">
        <x:v>UNIT-01824</x:v>
      </x:c>
      <x:c r="H1825" s="9" t="n">
        <x:v>4500000</x:v>
      </x:c>
      <x:c r="I1825" s="10" t="n">
        <x:v>0.03</x:v>
      </x:c>
      <x:c r="J1825" s="11" t="n">
        <x:v>6</x:v>
      </x:c>
      <x:c r="K1825" s="11" t="n">
        <x:v>5</x:v>
      </x:c>
      <x:c r="L1825" s="11" t="n">
        <x:v>0</x:v>
      </x:c>
      <x:c r="M1825" s="9" t="n">
        <x:f>ROUND(H1825*(1-I1825),2)</x:f>
        <x:v>4365000</x:v>
      </x:c>
      <x:c r="N1825" s="4" t="str">
        <x:v>Sales manager</x:v>
      </x:c>
      <x:c r="O1825" s="4" t="str">
        <x:v>BOOK-01824</x:v>
      </x:c>
      <x:c r="P1825" s="9" t="n">
        <x:v>436500</x:v>
      </x:c>
      <x:c r="Q1825" s="11" t="n">
        <x:v>0</x:v>
      </x:c>
      <x:c r="R1825" s="8" t="n">
        <x:v>45446</x:v>
      </x:c>
      <x:c r="S1825" s="4" t="str">
        <x:v>Retained</x:v>
      </x:c>
      <x:c r="T1825" s="10" t="n">
        <x:v>0.145299</x:v>
      </x:c>
      <x:c r="U1825" s="4" t="str">
        <x:v>Train</x:v>
      </x:c>
    </x:row>
    <x:row r="1826" ht="34" customHeight="1">
      <x:c r="A1826" s="4" t="str">
        <x:v>RS-01825</x:v>
      </x:c>
      <x:c r="B1826" s="8" t="n">
        <x:v>45387</x:v>
      </x:c>
      <x:c r="C1826" s="4" t="str">
        <x:v>PRJ-005</x:v>
      </x:c>
      <x:c r="D1826" s="4" t="str">
        <x:v>Villa</x:v>
      </x:c>
      <x:c r="E1826" s="4" t="str">
        <x:v>Agreement signed</x:v>
      </x:c>
      <x:c r="F1826" s="4" t="str">
        <x:v>CUS-01825</x:v>
      </x:c>
      <x:c r="G1826" s="4" t="str">
        <x:v>UNIT-01825</x:v>
      </x:c>
      <x:c r="H1826" s="9" t="n">
        <x:v>8800000</x:v>
      </x:c>
      <x:c r="I1826" s="10" t="n">
        <x:v>0.1</x:v>
      </x:c>
      <x:c r="J1826" s="11" t="n">
        <x:v>8</x:v>
      </x:c>
      <x:c r="K1826" s="11" t="n">
        <x:v>5</x:v>
      </x:c>
      <x:c r="L1826" s="11" t="n">
        <x:v>0</x:v>
      </x:c>
      <x:c r="M1826" s="9" t="n">
        <x:f>ROUND(H1826*(1-I1826),2)</x:f>
        <x:v>7920000</x:v>
      </x:c>
      <x:c r="N1826" s="4" t="str">
        <x:v>Sales head</x:v>
      </x:c>
      <x:c r="O1826" s="4" t="str">
        <x:v>BOOK-01825</x:v>
      </x:c>
      <x:c r="P1826" s="9" t="n">
        <x:v>792000</x:v>
      </x:c>
      <x:c r="Q1826" s="11" t="n">
        <x:v>0</x:v>
      </x:c>
      <x:c r="R1826" s="8" t="n">
        <x:v>45447</x:v>
      </x:c>
      <x:c r="S1826" s="4" t="str">
        <x:v>Retained</x:v>
      </x:c>
      <x:c r="T1826" s="10" t="n">
        <x:v>0.310195</x:v>
      </x:c>
      <x:c r="U1826" s="4" t="str">
        <x:v>Train</x:v>
      </x:c>
    </x:row>
    <x:row r="1827" ht="34" customHeight="1">
      <x:c r="A1827" s="4" t="str">
        <x:v>RS-01826</x:v>
      </x:c>
      <x:c r="B1827" s="8" t="n">
        <x:v>45388</x:v>
      </x:c>
      <x:c r="C1827" s="4" t="str">
        <x:v>PRJ-006</x:v>
      </x:c>
      <x:c r="D1827" s="4" t="str">
        <x:v>Apartment</x:v>
      </x:c>
      <x:c r="E1827" s="4" t="str">
        <x:v>Handed over</x:v>
      </x:c>
      <x:c r="F1827" s="4" t="str">
        <x:v>CUS-01826</x:v>
      </x:c>
      <x:c r="G1827" s="4" t="str">
        <x:v>UNIT-01826</x:v>
      </x:c>
      <x:c r="H1827" s="9" t="n">
        <x:v>13400000</x:v>
      </x:c>
      <x:c r="I1827" s="10" t="n">
        <x:v>0.01</x:v>
      </x:c>
      <x:c r="J1827" s="11" t="n">
        <x:v>12</x:v>
      </x:c>
      <x:c r="K1827" s="11" t="n">
        <x:v>7</x:v>
      </x:c>
      <x:c r="L1827" s="11" t="n">
        <x:v>0</x:v>
      </x:c>
      <x:c r="M1827" s="9" t="n">
        <x:f>ROUND(H1827*(1-I1827),2)</x:f>
        <x:v>13266000</x:v>
      </x:c>
      <x:c r="N1827" s="4" t="str">
        <x:v>Sales manager</x:v>
      </x:c>
      <x:c r="O1827" s="4" t="str">
        <x:v>BOOK-01826</x:v>
      </x:c>
      <x:c r="P1827" s="9" t="n">
        <x:v>6633000</x:v>
      </x:c>
      <x:c r="Q1827" s="11" t="n">
        <x:v>0</x:v>
      </x:c>
      <x:c r="R1827" s="8" t="n">
        <x:v>45448</x:v>
      </x:c>
      <x:c r="S1827" s="4" t="str">
        <x:v>Retained</x:v>
      </x:c>
      <x:c r="T1827" s="10" t="n">
        <x:v>0.305556</x:v>
      </x:c>
      <x:c r="U1827" s="4" t="str">
        <x:v>Train</x:v>
      </x:c>
    </x:row>
    <x:row r="1828" ht="34" customHeight="1">
      <x:c r="A1828" s="4" t="str">
        <x:v>RS-01827</x:v>
      </x:c>
      <x:c r="B1828" s="8" t="n">
        <x:v>45389</x:v>
      </x:c>
      <x:c r="C1828" s="4" t="str">
        <x:v>PRJ-007</x:v>
      </x:c>
      <x:c r="D1828" s="4" t="str">
        <x:v>Villa</x:v>
      </x:c>
      <x:c r="E1828" s="4" t="str">
        <x:v>Handed over</x:v>
      </x:c>
      <x:c r="F1828" s="4" t="str">
        <x:v>CUS-01827</x:v>
      </x:c>
      <x:c r="G1828" s="4" t="str">
        <x:v>UNIT-01827</x:v>
      </x:c>
      <x:c r="H1828" s="9" t="n">
        <x:v>6900000</x:v>
      </x:c>
      <x:c r="I1828" s="10" t="n">
        <x:v>0.11</x:v>
      </x:c>
      <x:c r="J1828" s="11" t="n">
        <x:v>1</x:v>
      </x:c>
      <x:c r="K1828" s="11" t="n">
        <x:v>10</x:v>
      </x:c>
      <x:c r="L1828" s="11" t="n">
        <x:v>1</x:v>
      </x:c>
      <x:c r="M1828" s="9" t="n">
        <x:f>ROUND(H1828*(1-I1828),2)</x:f>
        <x:v>6141000</x:v>
      </x:c>
      <x:c r="N1828" s="4" t="str">
        <x:v>Sales head</x:v>
      </x:c>
      <x:c r="O1828" s="4" t="str">
        <x:v>BOOK-01827</x:v>
      </x:c>
      <x:c r="P1828" s="9" t="n">
        <x:v>1535250</x:v>
      </x:c>
      <x:c r="Q1828" s="11" t="n">
        <x:v>0</x:v>
      </x:c>
      <x:c r="R1828" s="8" t="n">
        <x:v>45449</x:v>
      </x:c>
      <x:c r="S1828" s="4" t="str">
        <x:v>Retained</x:v>
      </x:c>
      <x:c r="T1828" s="10" t="n">
        <x:v>0.145833</x:v>
      </x:c>
      <x:c r="U1828" s="4" t="str">
        <x:v>Train</x:v>
      </x:c>
    </x:row>
    <x:row r="1829" ht="34" customHeight="1">
      <x:c r="A1829" s="4" t="str">
        <x:v>RS-01828</x:v>
      </x:c>
      <x:c r="B1829" s="8" t="n">
        <x:v>45390</x:v>
      </x:c>
      <x:c r="C1829" s="4" t="str">
        <x:v>PRJ-008</x:v>
      </x:c>
      <x:c r="D1829" s="4" t="str">
        <x:v>Office</x:v>
      </x:c>
      <x:c r="E1829" s="4" t="str">
        <x:v>Reserved</x:v>
      </x:c>
      <x:c r="F1829" s="4" t="str">
        <x:v>CUS-01828</x:v>
      </x:c>
      <x:c r="G1829" s="4" t="str">
        <x:v>UNIT-01828</x:v>
      </x:c>
      <x:c r="H1829" s="9" t="n">
        <x:v>6300000</x:v>
      </x:c>
      <x:c r="I1829" s="10" t="n">
        <x:v>0.12</x:v>
      </x:c>
      <x:c r="J1829" s="11" t="n">
        <x:v>12</x:v>
      </x:c>
      <x:c r="K1829" s="11" t="n">
        <x:v>10</x:v>
      </x:c>
      <x:c r="L1829" s="11" t="n">
        <x:v>1</x:v>
      </x:c>
      <x:c r="M1829" s="9" t="n">
        <x:f>ROUND(H1829*(1-I1829),2)</x:f>
        <x:v>5544000</x:v>
      </x:c>
      <x:c r="N1829" s="4" t="str">
        <x:v>Sales head</x:v>
      </x:c>
      <x:c r="O1829" s="4"/>
      <x:c r="P1829" s="9" t="n">
        <x:v>0</x:v>
      </x:c>
      <x:c r="Q1829" s="11" t="n">
        <x:v>0</x:v>
      </x:c>
      <x:c r="R1829" s="8" t="n">
        <x:v>45450</x:v>
      </x:c>
      <x:c r="S1829" s="4" t="str">
        <x:v>Retained</x:v>
      </x:c>
      <x:c r="T1829" s="10" t="n">
        <x:v>0.351536</x:v>
      </x:c>
      <x:c r="U1829" s="4" t="str">
        <x:v>Train</x:v>
      </x:c>
    </x:row>
    <x:row r="1830" ht="34" customHeight="1">
      <x:c r="A1830" s="4" t="str">
        <x:v>RS-01829</x:v>
      </x:c>
      <x:c r="B1830" s="8" t="n">
        <x:v>45391</x:v>
      </x:c>
      <x:c r="C1830" s="4" t="str">
        <x:v>PRJ-009</x:v>
      </x:c>
      <x:c r="D1830" s="4" t="str">
        <x:v>Apartment</x:v>
      </x:c>
      <x:c r="E1830" s="4" t="str">
        <x:v>Enquiry</x:v>
      </x:c>
      <x:c r="F1830" s="4" t="str">
        <x:v>CUS-01829</x:v>
      </x:c>
      <x:c r="G1830" s="4" t="str">
        <x:v>UNIT-01829</x:v>
      </x:c>
      <x:c r="H1830" s="9" t="n">
        <x:v>14900000</x:v>
      </x:c>
      <x:c r="I1830" s="10" t="n">
        <x:v>0.11</x:v>
      </x:c>
      <x:c r="J1830" s="11" t="n">
        <x:v>12</x:v>
      </x:c>
      <x:c r="K1830" s="11" t="n">
        <x:v>0</x:v>
      </x:c>
      <x:c r="L1830" s="11" t="n">
        <x:v>0</x:v>
      </x:c>
      <x:c r="M1830" s="9" t="n">
        <x:f>ROUND(H1830*(1-I1830),2)</x:f>
        <x:v>13261000</x:v>
      </x:c>
      <x:c r="N1830" s="4" t="str">
        <x:v>Sales head</x:v>
      </x:c>
      <x:c r="O1830" s="4"/>
      <x:c r="P1830" s="9" t="n">
        <x:v>0</x:v>
      </x:c>
      <x:c r="Q1830" s="11" t="n">
        <x:v>1</x:v>
      </x:c>
      <x:c r="R1830" s="8" t="n">
        <x:v>45451</x:v>
      </x:c>
      <x:c r="S1830" s="4" t="str">
        <x:v>Lost / cancelled</x:v>
      </x:c>
      <x:c r="T1830" s="10" t="n">
        <x:v>0.351536</x:v>
      </x:c>
      <x:c r="U1830" s="4" t="str">
        <x:v>Train</x:v>
      </x:c>
    </x:row>
    <x:row r="1831" ht="34" customHeight="1">
      <x:c r="A1831" s="4" t="str">
        <x:v>RS-01830</x:v>
      </x:c>
      <x:c r="B1831" s="8" t="n">
        <x:v>45392</x:v>
      </x:c>
      <x:c r="C1831" s="4" t="str">
        <x:v>PRJ-010</x:v>
      </x:c>
      <x:c r="D1831" s="4" t="str">
        <x:v>Retail</x:v>
      </x:c>
      <x:c r="E1831" s="4" t="str">
        <x:v>Cancelled</x:v>
      </x:c>
      <x:c r="F1831" s="4" t="str">
        <x:v>CUS-01830</x:v>
      </x:c>
      <x:c r="G1831" s="4" t="str">
        <x:v>UNIT-01830</x:v>
      </x:c>
      <x:c r="H1831" s="9" t="n">
        <x:v>21700000</x:v>
      </x:c>
      <x:c r="I1831" s="10" t="n">
        <x:v>0.08</x:v>
      </x:c>
      <x:c r="J1831" s="11" t="n">
        <x:v>2</x:v>
      </x:c>
      <x:c r="K1831" s="11" t="n">
        <x:v>9</x:v>
      </x:c>
      <x:c r="L1831" s="11" t="n">
        <x:v>1</x:v>
      </x:c>
      <x:c r="M1831" s="9" t="n">
        <x:f>ROUND(H1831*(1-I1831),2)</x:f>
        <x:v>19964000</x:v>
      </x:c>
      <x:c r="N1831" s="4" t="str">
        <x:v>Sales head</x:v>
      </x:c>
      <x:c r="O1831" s="4"/>
      <x:c r="P1831" s="9" t="n">
        <x:v>0</x:v>
      </x:c>
      <x:c r="Q1831" s="11" t="n">
        <x:v>1</x:v>
      </x:c>
      <x:c r="R1831" s="8" t="n">
        <x:v>45452</x:v>
      </x:c>
      <x:c r="S1831" s="4" t="str">
        <x:v>Lost / cancelled</x:v>
      </x:c>
      <x:c r="T1831" s="10" t="n">
        <x:v>0.204152</x:v>
      </x:c>
      <x:c r="U1831" s="4" t="str">
        <x:v>Train</x:v>
      </x:c>
    </x:row>
    <x:row r="1832" ht="34" customHeight="1">
      <x:c r="A1832" s="4" t="str">
        <x:v>RS-01831</x:v>
      </x:c>
      <x:c r="B1832" s="8" t="n">
        <x:v>45393</x:v>
      </x:c>
      <x:c r="C1832" s="4" t="str">
        <x:v>PRJ-011</x:v>
      </x:c>
      <x:c r="D1832" s="4" t="str">
        <x:v>Office</x:v>
      </x:c>
      <x:c r="E1832" s="4" t="str">
        <x:v>Booked</x:v>
      </x:c>
      <x:c r="F1832" s="4" t="str">
        <x:v>CUS-01831</x:v>
      </x:c>
      <x:c r="G1832" s="4" t="str">
        <x:v>UNIT-01831</x:v>
      </x:c>
      <x:c r="H1832" s="9" t="n">
        <x:v>10200000</x:v>
      </x:c>
      <x:c r="I1832" s="10" t="n">
        <x:v>0.01</x:v>
      </x:c>
      <x:c r="J1832" s="11" t="n">
        <x:v>5</x:v>
      </x:c>
      <x:c r="K1832" s="11" t="n">
        <x:v>7</x:v>
      </x:c>
      <x:c r="L1832" s="11" t="n">
        <x:v>0</x:v>
      </x:c>
      <x:c r="M1832" s="9" t="n">
        <x:f>ROUND(H1832*(1-I1832),2)</x:f>
        <x:v>10098000</x:v>
      </x:c>
      <x:c r="N1832" s="4" t="str">
        <x:v>Sales manager</x:v>
      </x:c>
      <x:c r="O1832" s="4" t="str">
        <x:v>BOOK-01831</x:v>
      </x:c>
      <x:c r="P1832" s="9" t="n">
        <x:v>1009800</x:v>
      </x:c>
      <x:c r="Q1832" s="11" t="n">
        <x:v>0</x:v>
      </x:c>
      <x:c r="R1832" s="8" t="n">
        <x:v>45453</x:v>
      </x:c>
      <x:c r="S1832" s="4" t="str">
        <x:v>Retained</x:v>
      </x:c>
      <x:c r="T1832" s="10" t="n">
        <x:v>0.145299</x:v>
      </x:c>
      <x:c r="U1832" s="4" t="str">
        <x:v>Train</x:v>
      </x:c>
    </x:row>
    <x:row r="1833" ht="34" customHeight="1">
      <x:c r="A1833" s="4" t="str">
        <x:v>RS-01832</x:v>
      </x:c>
      <x:c r="B1833" s="8" t="n">
        <x:v>45394</x:v>
      </x:c>
      <x:c r="C1833" s="4" t="str">
        <x:v>PRJ-012</x:v>
      </x:c>
      <x:c r="D1833" s="4" t="str">
        <x:v>Apartment</x:v>
      </x:c>
      <x:c r="E1833" s="4" t="str">
        <x:v>Agreement signed</x:v>
      </x:c>
      <x:c r="F1833" s="4" t="str">
        <x:v>CUS-01832</x:v>
      </x:c>
      <x:c r="G1833" s="4" t="str">
        <x:v>UNIT-01832</x:v>
      </x:c>
      <x:c r="H1833" s="9" t="n">
        <x:v>7400000</x:v>
      </x:c>
      <x:c r="I1833" s="10" t="n">
        <x:v>0.06</x:v>
      </x:c>
      <x:c r="J1833" s="11" t="n">
        <x:v>9</x:v>
      </x:c>
      <x:c r="K1833" s="11" t="n">
        <x:v>2</x:v>
      </x:c>
      <x:c r="L1833" s="11" t="n">
        <x:v>1</x:v>
      </x:c>
      <x:c r="M1833" s="9" t="n">
        <x:f>ROUND(H1833*(1-I1833),2)</x:f>
        <x:v>6956000</x:v>
      </x:c>
      <x:c r="N1833" s="4" t="str">
        <x:v>Sales manager</x:v>
      </x:c>
      <x:c r="O1833" s="4" t="str">
        <x:v>BOOK-01832</x:v>
      </x:c>
      <x:c r="P1833" s="9" t="n">
        <x:v>3478000</x:v>
      </x:c>
      <x:c r="Q1833" s="11" t="n">
        <x:v>0</x:v>
      </x:c>
      <x:c r="R1833" s="8" t="n">
        <x:v>45454</x:v>
      </x:c>
      <x:c r="S1833" s="4" t="str">
        <x:v>Retained</x:v>
      </x:c>
      <x:c r="T1833" s="10" t="n">
        <x:v>0.310195</x:v>
      </x:c>
      <x:c r="U1833" s="4" t="str">
        <x:v>Train</x:v>
      </x:c>
    </x:row>
    <x:row r="1834" ht="34" customHeight="1">
      <x:c r="A1834" s="4" t="str">
        <x:v>RS-01833</x:v>
      </x:c>
      <x:c r="B1834" s="8" t="n">
        <x:v>45395</x:v>
      </x:c>
      <x:c r="C1834" s="4" t="str">
        <x:v>PRJ-013</x:v>
      </x:c>
      <x:c r="D1834" s="4" t="str">
        <x:v>Apartment</x:v>
      </x:c>
      <x:c r="E1834" s="4" t="str">
        <x:v>Handed over</x:v>
      </x:c>
      <x:c r="F1834" s="4" t="str">
        <x:v>CUS-01833</x:v>
      </x:c>
      <x:c r="G1834" s="4" t="str">
        <x:v>UNIT-01833</x:v>
      </x:c>
      <x:c r="H1834" s="9" t="n">
        <x:v>20400000</x:v>
      </x:c>
      <x:c r="I1834" s="10" t="n">
        <x:v>0.06</x:v>
      </x:c>
      <x:c r="J1834" s="11" t="n">
        <x:v>0</x:v>
      </x:c>
      <x:c r="K1834" s="11" t="n">
        <x:v>4</x:v>
      </x:c>
      <x:c r="L1834" s="11" t="n">
        <x:v>1</x:v>
      </x:c>
      <x:c r="M1834" s="9" t="n">
        <x:f>ROUND(H1834*(1-I1834),2)</x:f>
        <x:v>19176000</x:v>
      </x:c>
      <x:c r="N1834" s="4" t="str">
        <x:v>Sales manager</x:v>
      </x:c>
      <x:c r="O1834" s="4" t="str">
        <x:v>BOOK-01833</x:v>
      </x:c>
      <x:c r="P1834" s="9" t="n">
        <x:v>1917600</x:v>
      </x:c>
      <x:c r="Q1834" s="11" t="n">
        <x:v>0</x:v>
      </x:c>
      <x:c r="R1834" s="8" t="n">
        <x:v>45455</x:v>
      </x:c>
      <x:c r="S1834" s="4" t="str">
        <x:v>Retained</x:v>
      </x:c>
      <x:c r="T1834" s="10" t="n">
        <x:v>0.204152</x:v>
      </x:c>
      <x:c r="U1834" s="4" t="str">
        <x:v>Train</x:v>
      </x:c>
    </x:row>
    <x:row r="1835" ht="34" customHeight="1">
      <x:c r="A1835" s="4" t="str">
        <x:v>RS-01834</x:v>
      </x:c>
      <x:c r="B1835" s="8" t="n">
        <x:v>45396</x:v>
      </x:c>
      <x:c r="C1835" s="4" t="str">
        <x:v>PRJ-014</x:v>
      </x:c>
      <x:c r="D1835" s="4" t="str">
        <x:v>Apartment</x:v>
      </x:c>
      <x:c r="E1835" s="4" t="str">
        <x:v>Handed over</x:v>
      </x:c>
      <x:c r="F1835" s="4" t="str">
        <x:v>CUS-01834</x:v>
      </x:c>
      <x:c r="G1835" s="4" t="str">
        <x:v>UNIT-01834</x:v>
      </x:c>
      <x:c r="H1835" s="9" t="n">
        <x:v>19000000</x:v>
      </x:c>
      <x:c r="I1835" s="10" t="n">
        <x:v>0.03</x:v>
      </x:c>
      <x:c r="J1835" s="11" t="n">
        <x:v>3</x:v>
      </x:c>
      <x:c r="K1835" s="11" t="n">
        <x:v>6</x:v>
      </x:c>
      <x:c r="L1835" s="11" t="n">
        <x:v>0</x:v>
      </x:c>
      <x:c r="M1835" s="9" t="n">
        <x:f>ROUND(H1835*(1-I1835),2)</x:f>
        <x:v>18430000</x:v>
      </x:c>
      <x:c r="N1835" s="4" t="str">
        <x:v>Sales manager</x:v>
      </x:c>
      <x:c r="O1835" s="4" t="str">
        <x:v>BOOK-01834</x:v>
      </x:c>
      <x:c r="P1835" s="9" t="n">
        <x:v>18430000</x:v>
      </x:c>
      <x:c r="Q1835" s="11" t="n">
        <x:v>0</x:v>
      </x:c>
      <x:c r="R1835" s="8" t="n">
        <x:v>45456</x:v>
      </x:c>
      <x:c r="S1835" s="4" t="str">
        <x:v>Retained</x:v>
      </x:c>
      <x:c r="T1835" s="10" t="n">
        <x:v>0.171717</x:v>
      </x:c>
      <x:c r="U1835" s="4" t="str">
        <x:v>Train</x:v>
      </x:c>
    </x:row>
    <x:row r="1836" ht="34" customHeight="1">
      <x:c r="A1836" s="4" t="str">
        <x:v>RS-01835</x:v>
      </x:c>
      <x:c r="B1836" s="8" t="n">
        <x:v>45397</x:v>
      </x:c>
      <x:c r="C1836" s="4" t="str">
        <x:v>PRJ-015</x:v>
      </x:c>
      <x:c r="D1836" s="4" t="str">
        <x:v>Retail</x:v>
      </x:c>
      <x:c r="E1836" s="4" t="str">
        <x:v>Handed over</x:v>
      </x:c>
      <x:c r="F1836" s="4" t="str">
        <x:v>CUS-01835</x:v>
      </x:c>
      <x:c r="G1836" s="4" t="str">
        <x:v>UNIT-01835</x:v>
      </x:c>
      <x:c r="H1836" s="9" t="n">
        <x:v>7200000</x:v>
      </x:c>
      <x:c r="I1836" s="10" t="n">
        <x:v>0.1</x:v>
      </x:c>
      <x:c r="J1836" s="11" t="n">
        <x:v>4</x:v>
      </x:c>
      <x:c r="K1836" s="11" t="n">
        <x:v>2</x:v>
      </x:c>
      <x:c r="L1836" s="11" t="n">
        <x:v>0</x:v>
      </x:c>
      <x:c r="M1836" s="9" t="n">
        <x:f>ROUND(H1836*(1-I1836),2)</x:f>
        <x:v>6480000</x:v>
      </x:c>
      <x:c r="N1836" s="4" t="str">
        <x:v>Sales head</x:v>
      </x:c>
      <x:c r="O1836" s="4" t="str">
        <x:v>BOOK-01835</x:v>
      </x:c>
      <x:c r="P1836" s="9" t="n">
        <x:v>6480000</x:v>
      </x:c>
      <x:c r="Q1836" s="11" t="n">
        <x:v>0</x:v>
      </x:c>
      <x:c r="R1836" s="8" t="n">
        <x:v>45457</x:v>
      </x:c>
      <x:c r="S1836" s="4" t="str">
        <x:v>Retained</x:v>
      </x:c>
      <x:c r="T1836" s="10" t="n">
        <x:v>0.226277</x:v>
      </x:c>
      <x:c r="U1836" s="4" t="str">
        <x:v>Train</x:v>
      </x:c>
    </x:row>
    <x:row r="1837" ht="34" customHeight="1">
      <x:c r="A1837" s="4" t="str">
        <x:v>RS-01836</x:v>
      </x:c>
      <x:c r="B1837" s="8" t="n">
        <x:v>45398</x:v>
      </x:c>
      <x:c r="C1837" s="4" t="str">
        <x:v>PRJ-016</x:v>
      </x:c>
      <x:c r="D1837" s="4" t="str">
        <x:v>Villa</x:v>
      </x:c>
      <x:c r="E1837" s="4" t="str">
        <x:v>Cancelled</x:v>
      </x:c>
      <x:c r="F1837" s="4" t="str">
        <x:v>CUS-01836</x:v>
      </x:c>
      <x:c r="G1837" s="4" t="str">
        <x:v>UNIT-01836</x:v>
      </x:c>
      <x:c r="H1837" s="9" t="n">
        <x:v>5900000</x:v>
      </x:c>
      <x:c r="I1837" s="10" t="n">
        <x:v>0.05</x:v>
      </x:c>
      <x:c r="J1837" s="11" t="n">
        <x:v>8</x:v>
      </x:c>
      <x:c r="K1837" s="11" t="n">
        <x:v>3</x:v>
      </x:c>
      <x:c r="L1837" s="11" t="n">
        <x:v>0</x:v>
      </x:c>
      <x:c r="M1837" s="9" t="n">
        <x:f>ROUND(H1837*(1-I1837),2)</x:f>
        <x:v>5605000</x:v>
      </x:c>
      <x:c r="N1837" s="4" t="str">
        <x:v>Sales manager</x:v>
      </x:c>
      <x:c r="O1837" s="4"/>
      <x:c r="P1837" s="9" t="n">
        <x:v>0</x:v>
      </x:c>
      <x:c r="Q1837" s="11" t="n">
        <x:v>1</x:v>
      </x:c>
      <x:c r="R1837" s="8" t="n">
        <x:v>45458</x:v>
      </x:c>
      <x:c r="S1837" s="4" t="str">
        <x:v>Lost / cancelled</x:v>
      </x:c>
      <x:c r="T1837" s="10" t="n">
        <x:v>0.310195</x:v>
      </x:c>
      <x:c r="U1837" s="4" t="str">
        <x:v>Train</x:v>
      </x:c>
    </x:row>
    <x:row r="1838" ht="34" customHeight="1">
      <x:c r="A1838" s="4" t="str">
        <x:v>RS-01837</x:v>
      </x:c>
      <x:c r="B1838" s="8" t="n">
        <x:v>45399</x:v>
      </x:c>
      <x:c r="C1838" s="4" t="str">
        <x:v>PRJ-017</x:v>
      </x:c>
      <x:c r="D1838" s="4" t="str">
        <x:v>Retail</x:v>
      </x:c>
      <x:c r="E1838" s="4" t="str">
        <x:v>Booked</x:v>
      </x:c>
      <x:c r="F1838" s="4" t="str">
        <x:v>CUS-01837</x:v>
      </x:c>
      <x:c r="G1838" s="4" t="str">
        <x:v>UNIT-01837</x:v>
      </x:c>
      <x:c r="H1838" s="9" t="n">
        <x:v>17400000</x:v>
      </x:c>
      <x:c r="I1838" s="10" t="n">
        <x:v>0.09</x:v>
      </x:c>
      <x:c r="J1838" s="11" t="n">
        <x:v>3</x:v>
      </x:c>
      <x:c r="K1838" s="11" t="n">
        <x:v>2</x:v>
      </x:c>
      <x:c r="L1838" s="11" t="n">
        <x:v>1</x:v>
      </x:c>
      <x:c r="M1838" s="9" t="n">
        <x:f>ROUND(H1838*(1-I1838),2)</x:f>
        <x:v>15834000</x:v>
      </x:c>
      <x:c r="N1838" s="4" t="str">
        <x:v>Sales head</x:v>
      </x:c>
      <x:c r="O1838" s="4" t="str">
        <x:v>BOOK-01837</x:v>
      </x:c>
      <x:c r="P1838" s="9" t="n">
        <x:v>15834000</x:v>
      </x:c>
      <x:c r="Q1838" s="11" t="n">
        <x:v>0</x:v>
      </x:c>
      <x:c r="R1838" s="8" t="n">
        <x:v>45459</x:v>
      </x:c>
      <x:c r="S1838" s="4" t="str">
        <x:v>Retained</x:v>
      </x:c>
      <x:c r="T1838" s="10" t="n">
        <x:v>0.145833</x:v>
      </x:c>
      <x:c r="U1838" s="4" t="str">
        <x:v>Train</x:v>
      </x:c>
    </x:row>
    <x:row r="1839" ht="34" customHeight="1">
      <x:c r="A1839" s="4" t="str">
        <x:v>RS-01838</x:v>
      </x:c>
      <x:c r="B1839" s="8" t="n">
        <x:v>45400</x:v>
      </x:c>
      <x:c r="C1839" s="4" t="str">
        <x:v>PRJ-018</x:v>
      </x:c>
      <x:c r="D1839" s="4" t="str">
        <x:v>Villa</x:v>
      </x:c>
      <x:c r="E1839" s="4" t="str">
        <x:v>Booked</x:v>
      </x:c>
      <x:c r="F1839" s="4" t="str">
        <x:v>CUS-01838</x:v>
      </x:c>
      <x:c r="G1839" s="4" t="str">
        <x:v>UNIT-01838</x:v>
      </x:c>
      <x:c r="H1839" s="9" t="n">
        <x:v>18400000</x:v>
      </x:c>
      <x:c r="I1839" s="10" t="n">
        <x:v>0</x:v>
      </x:c>
      <x:c r="J1839" s="11" t="n">
        <x:v>1</x:v>
      </x:c>
      <x:c r="K1839" s="11" t="n">
        <x:v>6</x:v>
      </x:c>
      <x:c r="L1839" s="11" t="n">
        <x:v>0</x:v>
      </x:c>
      <x:c r="M1839" s="9" t="n">
        <x:f>ROUND(H1839*(1-I1839),2)</x:f>
        <x:v>18400000</x:v>
      </x:c>
      <x:c r="N1839" s="4" t="str">
        <x:v>Sales manager</x:v>
      </x:c>
      <x:c r="O1839" s="4" t="str">
        <x:v>BOOK-01838</x:v>
      </x:c>
      <x:c r="P1839" s="9" t="n">
        <x:v>18400000</x:v>
      </x:c>
      <x:c r="Q1839" s="11" t="n">
        <x:v>0</x:v>
      </x:c>
      <x:c r="R1839" s="8" t="n">
        <x:v>45460</x:v>
      </x:c>
      <x:c r="S1839" s="4" t="str">
        <x:v>Retained</x:v>
      </x:c>
      <x:c r="T1839" s="10" t="n">
        <x:v>0.072165</x:v>
      </x:c>
      <x:c r="U1839" s="4" t="str">
        <x:v>Train</x:v>
      </x:c>
    </x:row>
    <x:row r="1840" ht="34" customHeight="1">
      <x:c r="A1840" s="4" t="str">
        <x:v>RS-01839</x:v>
      </x:c>
      <x:c r="B1840" s="8" t="n">
        <x:v>45401</x:v>
      </x:c>
      <x:c r="C1840" s="4" t="str">
        <x:v>PRJ-019</x:v>
      </x:c>
      <x:c r="D1840" s="4" t="str">
        <x:v>Retail</x:v>
      </x:c>
      <x:c r="E1840" s="4" t="str">
        <x:v>Handed over</x:v>
      </x:c>
      <x:c r="F1840" s="4" t="str">
        <x:v>CUS-01839</x:v>
      </x:c>
      <x:c r="G1840" s="4" t="str">
        <x:v>UNIT-01839</x:v>
      </x:c>
      <x:c r="H1840" s="9" t="n">
        <x:v>9200000</x:v>
      </x:c>
      <x:c r="I1840" s="10" t="n">
        <x:v>0.11</x:v>
      </x:c>
      <x:c r="J1840" s="11" t="n">
        <x:v>11</x:v>
      </x:c>
      <x:c r="K1840" s="11" t="n">
        <x:v>8</x:v>
      </x:c>
      <x:c r="L1840" s="11" t="n">
        <x:v>0</x:v>
      </x:c>
      <x:c r="M1840" s="9" t="n">
        <x:f>ROUND(H1840*(1-I1840),2)</x:f>
        <x:v>8188000</x:v>
      </x:c>
      <x:c r="N1840" s="4" t="str">
        <x:v>Sales head</x:v>
      </x:c>
      <x:c r="O1840" s="4" t="str">
        <x:v>BOOK-01839</x:v>
      </x:c>
      <x:c r="P1840" s="9" t="n">
        <x:v>818800</x:v>
      </x:c>
      <x:c r="Q1840" s="11" t="n">
        <x:v>0</x:v>
      </x:c>
      <x:c r="R1840" s="8" t="n">
        <x:v>45461</x:v>
      </x:c>
      <x:c r="S1840" s="4" t="str">
        <x:v>Retained</x:v>
      </x:c>
      <x:c r="T1840" s="10" t="n">
        <x:v>0.351536</x:v>
      </x:c>
      <x:c r="U1840" s="4" t="str">
        <x:v>Train</x:v>
      </x:c>
    </x:row>
    <x:row r="1841" ht="34" customHeight="1">
      <x:c r="A1841" s="4" t="str">
        <x:v>RS-01840</x:v>
      </x:c>
      <x:c r="B1841" s="8" t="n">
        <x:v>45402</x:v>
      </x:c>
      <x:c r="C1841" s="4" t="str">
        <x:v>PRJ-020</x:v>
      </x:c>
      <x:c r="D1841" s="4" t="str">
        <x:v>Office</x:v>
      </x:c>
      <x:c r="E1841" s="4" t="str">
        <x:v>Agreement signed</x:v>
      </x:c>
      <x:c r="F1841" s="4" t="str">
        <x:v>CUS-01840</x:v>
      </x:c>
      <x:c r="G1841" s="4" t="str">
        <x:v>UNIT-01840</x:v>
      </x:c>
      <x:c r="H1841" s="9" t="n">
        <x:v>11300000</x:v>
      </x:c>
      <x:c r="I1841" s="10" t="n">
        <x:v>0.02</x:v>
      </x:c>
      <x:c r="J1841" s="11" t="n">
        <x:v>6</x:v>
      </x:c>
      <x:c r="K1841" s="11" t="n">
        <x:v>4</x:v>
      </x:c>
      <x:c r="L1841" s="11" t="n">
        <x:v>0</x:v>
      </x:c>
      <x:c r="M1841" s="9" t="n">
        <x:f>ROUND(H1841*(1-I1841),2)</x:f>
        <x:v>11074000</x:v>
      </x:c>
      <x:c r="N1841" s="4" t="str">
        <x:v>Sales manager</x:v>
      </x:c>
      <x:c r="O1841" s="4" t="str">
        <x:v>BOOK-01840</x:v>
      </x:c>
      <x:c r="P1841" s="9" t="n">
        <x:v>2768500</x:v>
      </x:c>
      <x:c r="Q1841" s="11" t="n">
        <x:v>0</x:v>
      </x:c>
      <x:c r="R1841" s="8" t="n">
        <x:v>45462</x:v>
      </x:c>
      <x:c r="S1841" s="4" t="str">
        <x:v>Retained</x:v>
      </x:c>
      <x:c r="T1841" s="10" t="n">
        <x:v>0.298969</x:v>
      </x:c>
      <x:c r="U1841" s="4" t="str">
        <x:v>Train</x:v>
      </x:c>
    </x:row>
    <x:row r="1842" ht="34" customHeight="1">
      <x:c r="A1842" s="4" t="str">
        <x:v>RS-01841</x:v>
      </x:c>
      <x:c r="B1842" s="8" t="n">
        <x:v>45403</x:v>
      </x:c>
      <x:c r="C1842" s="4" t="str">
        <x:v>PRJ-001</x:v>
      </x:c>
      <x:c r="D1842" s="4" t="str">
        <x:v>Office</x:v>
      </x:c>
      <x:c r="E1842" s="4" t="str">
        <x:v>Booked</x:v>
      </x:c>
      <x:c r="F1842" s="4" t="str">
        <x:v>CUS-01841</x:v>
      </x:c>
      <x:c r="G1842" s="4" t="str">
        <x:v>UNIT-01841</x:v>
      </x:c>
      <x:c r="H1842" s="9" t="n">
        <x:v>15800000</x:v>
      </x:c>
      <x:c r="I1842" s="10" t="n">
        <x:v>0.01</x:v>
      </x:c>
      <x:c r="J1842" s="11" t="n">
        <x:v>5</x:v>
      </x:c>
      <x:c r="K1842" s="11" t="n">
        <x:v>10</x:v>
      </x:c>
      <x:c r="L1842" s="11" t="n">
        <x:v>0</x:v>
      </x:c>
      <x:c r="M1842" s="9" t="n">
        <x:f>ROUND(H1842*(1-I1842),2)</x:f>
        <x:v>15642000</x:v>
      </x:c>
      <x:c r="N1842" s="4" t="str">
        <x:v>Sales manager</x:v>
      </x:c>
      <x:c r="O1842" s="4" t="str">
        <x:v>BOOK-01841</x:v>
      </x:c>
      <x:c r="P1842" s="9" t="n">
        <x:v>15642000</x:v>
      </x:c>
      <x:c r="Q1842" s="11" t="n">
        <x:v>0</x:v>
      </x:c>
      <x:c r="R1842" s="8" t="n">
        <x:v>45463</x:v>
      </x:c>
      <x:c r="S1842" s="4" t="str">
        <x:v>Retained</x:v>
      </x:c>
      <x:c r="T1842" s="10" t="n">
        <x:v>0.145299</x:v>
      </x:c>
      <x:c r="U1842" s="4" t="str">
        <x:v>Train</x:v>
      </x:c>
    </x:row>
    <x:row r="1843" ht="34" customHeight="1">
      <x:c r="A1843" s="4" t="str">
        <x:v>RS-01842</x:v>
      </x:c>
      <x:c r="B1843" s="8" t="n">
        <x:v>45404</x:v>
      </x:c>
      <x:c r="C1843" s="4" t="str">
        <x:v>PRJ-002</x:v>
      </x:c>
      <x:c r="D1843" s="4" t="str">
        <x:v>Retail</x:v>
      </x:c>
      <x:c r="E1843" s="4" t="str">
        <x:v>Booked</x:v>
      </x:c>
      <x:c r="F1843" s="4" t="str">
        <x:v>CUS-01842</x:v>
      </x:c>
      <x:c r="G1843" s="4" t="str">
        <x:v>UNIT-01842</x:v>
      </x:c>
      <x:c r="H1843" s="9" t="n">
        <x:v>14500000</x:v>
      </x:c>
      <x:c r="I1843" s="10" t="n">
        <x:v>0.02</x:v>
      </x:c>
      <x:c r="J1843" s="11" t="n">
        <x:v>10</x:v>
      </x:c>
      <x:c r="K1843" s="11" t="n">
        <x:v>1</x:v>
      </x:c>
      <x:c r="L1843" s="11" t="n">
        <x:v>0</x:v>
      </x:c>
      <x:c r="M1843" s="9" t="n">
        <x:f>ROUND(H1843*(1-I1843),2)</x:f>
        <x:v>14210000</x:v>
      </x:c>
      <x:c r="N1843" s="4" t="str">
        <x:v>Sales manager</x:v>
      </x:c>
      <x:c r="O1843" s="4" t="str">
        <x:v>BOOK-01842</x:v>
      </x:c>
      <x:c r="P1843" s="9" t="n">
        <x:v>14210000</x:v>
      </x:c>
      <x:c r="Q1843" s="11" t="n">
        <x:v>0</x:v>
      </x:c>
      <x:c r="R1843" s="8" t="n">
        <x:v>45464</x:v>
      </x:c>
      <x:c r="S1843" s="4" t="str">
        <x:v>Retained</x:v>
      </x:c>
      <x:c r="T1843" s="10" t="n">
        <x:v>0.305556</x:v>
      </x:c>
      <x:c r="U1843" s="4" t="str">
        <x:v>Train</x:v>
      </x:c>
    </x:row>
    <x:row r="1844" ht="34" customHeight="1">
      <x:c r="A1844" s="4" t="str">
        <x:v>RS-01843</x:v>
      </x:c>
      <x:c r="B1844" s="8" t="n">
        <x:v>45405</x:v>
      </x:c>
      <x:c r="C1844" s="4" t="str">
        <x:v>PRJ-003</x:v>
      </x:c>
      <x:c r="D1844" s="4" t="str">
        <x:v>Villa</x:v>
      </x:c>
      <x:c r="E1844" s="4" t="str">
        <x:v>Booked</x:v>
      </x:c>
      <x:c r="F1844" s="4" t="str">
        <x:v>CUS-01843</x:v>
      </x:c>
      <x:c r="G1844" s="4" t="str">
        <x:v>UNIT-01843</x:v>
      </x:c>
      <x:c r="H1844" s="9" t="n">
        <x:v>19900000</x:v>
      </x:c>
      <x:c r="I1844" s="10" t="n">
        <x:v>0.11</x:v>
      </x:c>
      <x:c r="J1844" s="11" t="n">
        <x:v>8</x:v>
      </x:c>
      <x:c r="K1844" s="11" t="n">
        <x:v>5</x:v>
      </x:c>
      <x:c r="L1844" s="11" t="n">
        <x:v>0</x:v>
      </x:c>
      <x:c r="M1844" s="9" t="n">
        <x:f>ROUND(H1844*(1-I1844),2)</x:f>
        <x:v>17711000</x:v>
      </x:c>
      <x:c r="N1844" s="4" t="str">
        <x:v>Sales head</x:v>
      </x:c>
      <x:c r="O1844" s="4" t="str">
        <x:v>BOOK-01843</x:v>
      </x:c>
      <x:c r="P1844" s="9" t="n">
        <x:v>17711000</x:v>
      </x:c>
      <x:c r="Q1844" s="11" t="n">
        <x:v>0</x:v>
      </x:c>
      <x:c r="R1844" s="8" t="n">
        <x:v>45465</x:v>
      </x:c>
      <x:c r="S1844" s="4" t="str">
        <x:v>Retained</x:v>
      </x:c>
      <x:c r="T1844" s="10" t="n">
        <x:v>0.310195</x:v>
      </x:c>
      <x:c r="U1844" s="4" t="str">
        <x:v>Train</x:v>
      </x:c>
    </x:row>
    <x:row r="1845" ht="34" customHeight="1">
      <x:c r="A1845" s="4" t="str">
        <x:v>RS-01844</x:v>
      </x:c>
      <x:c r="B1845" s="8" t="n">
        <x:v>45406</x:v>
      </x:c>
      <x:c r="C1845" s="4" t="str">
        <x:v>PRJ-004</x:v>
      </x:c>
      <x:c r="D1845" s="4" t="str">
        <x:v>Office</x:v>
      </x:c>
      <x:c r="E1845" s="4" t="str">
        <x:v>Enquiry</x:v>
      </x:c>
      <x:c r="F1845" s="4" t="str">
        <x:v>CUS-01844</x:v>
      </x:c>
      <x:c r="G1845" s="4" t="str">
        <x:v>UNIT-01844</x:v>
      </x:c>
      <x:c r="H1845" s="9" t="n">
        <x:v>12500000</x:v>
      </x:c>
      <x:c r="I1845" s="10" t="n">
        <x:v>0.09</x:v>
      </x:c>
      <x:c r="J1845" s="11" t="n">
        <x:v>9</x:v>
      </x:c>
      <x:c r="K1845" s="11" t="n">
        <x:v>9</x:v>
      </x:c>
      <x:c r="L1845" s="11" t="n">
        <x:v>0</x:v>
      </x:c>
      <x:c r="M1845" s="9" t="n">
        <x:f>ROUND(H1845*(1-I1845),2)</x:f>
        <x:v>11375000</x:v>
      </x:c>
      <x:c r="N1845" s="4" t="str">
        <x:v>Sales head</x:v>
      </x:c>
      <x:c r="O1845" s="4"/>
      <x:c r="P1845" s="9" t="n">
        <x:v>0</x:v>
      </x:c>
      <x:c r="Q1845" s="11" t="n">
        <x:v>1</x:v>
      </x:c>
      <x:c r="R1845" s="8" t="n">
        <x:v>45466</x:v>
      </x:c>
      <x:c r="S1845" s="4" t="str">
        <x:v>Lost / cancelled</x:v>
      </x:c>
      <x:c r="T1845" s="10" t="n">
        <x:v>0.310195</x:v>
      </x:c>
      <x:c r="U1845" s="4" t="str">
        <x:v>Train</x:v>
      </x:c>
    </x:row>
    <x:row r="1846" ht="34" customHeight="1">
      <x:c r="A1846" s="4" t="str">
        <x:v>RS-01845</x:v>
      </x:c>
      <x:c r="B1846" s="8" t="n">
        <x:v>45407</x:v>
      </x:c>
      <x:c r="C1846" s="4" t="str">
        <x:v>PRJ-005</x:v>
      </x:c>
      <x:c r="D1846" s="4" t="str">
        <x:v>Office</x:v>
      </x:c>
      <x:c r="E1846" s="4" t="str">
        <x:v>Handed over</x:v>
      </x:c>
      <x:c r="F1846" s="4" t="str">
        <x:v>CUS-01845</x:v>
      </x:c>
      <x:c r="G1846" s="4" t="str">
        <x:v>UNIT-01845</x:v>
      </x:c>
      <x:c r="H1846" s="9" t="n">
        <x:v>24600000</x:v>
      </x:c>
      <x:c r="I1846" s="10" t="n">
        <x:v>0.11</x:v>
      </x:c>
      <x:c r="J1846" s="11" t="n">
        <x:v>7</x:v>
      </x:c>
      <x:c r="K1846" s="11" t="n">
        <x:v>1</x:v>
      </x:c>
      <x:c r="L1846" s="11" t="n">
        <x:v>1</x:v>
      </x:c>
      <x:c r="M1846" s="9" t="n">
        <x:f>ROUND(H1846*(1-I1846),2)</x:f>
        <x:v>21894000</x:v>
      </x:c>
      <x:c r="N1846" s="4" t="str">
        <x:v>Sales head</x:v>
      </x:c>
      <x:c r="O1846" s="4" t="str">
        <x:v>BOOK-01845</x:v>
      </x:c>
      <x:c r="P1846" s="9" t="n">
        <x:v>10947000</x:v>
      </x:c>
      <x:c r="Q1846" s="11" t="n">
        <x:v>0</x:v>
      </x:c>
      <x:c r="R1846" s="8" t="n">
        <x:v>45467</x:v>
      </x:c>
      <x:c r="S1846" s="4" t="str">
        <x:v>Retained</x:v>
      </x:c>
      <x:c r="T1846" s="10" t="n">
        <x:v>0.291946</x:v>
      </x:c>
      <x:c r="U1846" s="4" t="str">
        <x:v>Train</x:v>
      </x:c>
    </x:row>
    <x:row r="1847" ht="34" customHeight="1">
      <x:c r="A1847" s="4" t="str">
        <x:v>RS-01846</x:v>
      </x:c>
      <x:c r="B1847" s="8" t="n">
        <x:v>45408</x:v>
      </x:c>
      <x:c r="C1847" s="4" t="str">
        <x:v>PRJ-006</x:v>
      </x:c>
      <x:c r="D1847" s="4" t="str">
        <x:v>Office</x:v>
      </x:c>
      <x:c r="E1847" s="4" t="str">
        <x:v>Agreement signed</x:v>
      </x:c>
      <x:c r="F1847" s="4" t="str">
        <x:v>CUS-01846</x:v>
      </x:c>
      <x:c r="G1847" s="4" t="str">
        <x:v>UNIT-01846</x:v>
      </x:c>
      <x:c r="H1847" s="9" t="n">
        <x:v>13900000</x:v>
      </x:c>
      <x:c r="I1847" s="10" t="n">
        <x:v>0.1</x:v>
      </x:c>
      <x:c r="J1847" s="11" t="n">
        <x:v>11</x:v>
      </x:c>
      <x:c r="K1847" s="11" t="n">
        <x:v>3</x:v>
      </x:c>
      <x:c r="L1847" s="11" t="n">
        <x:v>0</x:v>
      </x:c>
      <x:c r="M1847" s="9" t="n">
        <x:f>ROUND(H1847*(1-I1847),2)</x:f>
        <x:v>12510000</x:v>
      </x:c>
      <x:c r="N1847" s="4" t="str">
        <x:v>Sales head</x:v>
      </x:c>
      <x:c r="O1847" s="4" t="str">
        <x:v>BOOK-01846</x:v>
      </x:c>
      <x:c r="P1847" s="9" t="n">
        <x:v>3127500</x:v>
      </x:c>
      <x:c r="Q1847" s="11" t="n">
        <x:v>0</x:v>
      </x:c>
      <x:c r="R1847" s="8" t="n">
        <x:v>45468</x:v>
      </x:c>
      <x:c r="S1847" s="4" t="str">
        <x:v>Retained</x:v>
      </x:c>
      <x:c r="T1847" s="10" t="n">
        <x:v>0.351536</x:v>
      </x:c>
      <x:c r="U1847" s="4" t="str">
        <x:v>Train</x:v>
      </x:c>
    </x:row>
    <x:row r="1848" ht="34" customHeight="1">
      <x:c r="A1848" s="4" t="str">
        <x:v>RS-01847</x:v>
      </x:c>
      <x:c r="B1848" s="8" t="n">
        <x:v>45409</x:v>
      </x:c>
      <x:c r="C1848" s="4" t="str">
        <x:v>PRJ-007</x:v>
      </x:c>
      <x:c r="D1848" s="4" t="str">
        <x:v>Office</x:v>
      </x:c>
      <x:c r="E1848" s="4" t="str">
        <x:v>Handed over</x:v>
      </x:c>
      <x:c r="F1848" s="4" t="str">
        <x:v>CUS-01847</x:v>
      </x:c>
      <x:c r="G1848" s="4" t="str">
        <x:v>UNIT-01847</x:v>
      </x:c>
      <x:c r="H1848" s="9" t="n">
        <x:v>23400000</x:v>
      </x:c>
      <x:c r="I1848" s="10" t="n">
        <x:v>0.08</x:v>
      </x:c>
      <x:c r="J1848" s="11" t="n">
        <x:v>1</x:v>
      </x:c>
      <x:c r="K1848" s="11" t="n">
        <x:v>9</x:v>
      </x:c>
      <x:c r="L1848" s="11" t="n">
        <x:v>1</x:v>
      </x:c>
      <x:c r="M1848" s="9" t="n">
        <x:f>ROUND(H1848*(1-I1848),2)</x:f>
        <x:v>21528000</x:v>
      </x:c>
      <x:c r="N1848" s="4" t="str">
        <x:v>Sales head</x:v>
      </x:c>
      <x:c r="O1848" s="4" t="str">
        <x:v>BOOK-01847</x:v>
      </x:c>
      <x:c r="P1848" s="9" t="n">
        <x:v>2152800</x:v>
      </x:c>
      <x:c r="Q1848" s="11" t="n">
        <x:v>0</x:v>
      </x:c>
      <x:c r="R1848" s="8" t="n">
        <x:v>45469</x:v>
      </x:c>
      <x:c r="S1848" s="4" t="str">
        <x:v>Retained</x:v>
      </x:c>
      <x:c r="T1848" s="10" t="n">
        <x:v>0.204152</x:v>
      </x:c>
      <x:c r="U1848" s="4" t="str">
        <x:v>Train</x:v>
      </x:c>
    </x:row>
    <x:row r="1849" ht="34" customHeight="1">
      <x:c r="A1849" s="4" t="str">
        <x:v>RS-01848</x:v>
      </x:c>
      <x:c r="B1849" s="8" t="n">
        <x:v>45410</x:v>
      </x:c>
      <x:c r="C1849" s="4" t="str">
        <x:v>PRJ-008</x:v>
      </x:c>
      <x:c r="D1849" s="4" t="str">
        <x:v>Apartment</x:v>
      </x:c>
      <x:c r="E1849" s="4" t="str">
        <x:v>Enquiry</x:v>
      </x:c>
      <x:c r="F1849" s="4" t="str">
        <x:v>CUS-01848</x:v>
      </x:c>
      <x:c r="G1849" s="4" t="str">
        <x:v>UNIT-01848</x:v>
      </x:c>
      <x:c r="H1849" s="9" t="n">
        <x:v>7700000</x:v>
      </x:c>
      <x:c r="I1849" s="10" t="n">
        <x:v>0.03</x:v>
      </x:c>
      <x:c r="J1849" s="11" t="n">
        <x:v>2</x:v>
      </x:c>
      <x:c r="K1849" s="11" t="n">
        <x:v>1</x:v>
      </x:c>
      <x:c r="L1849" s="11" t="n">
        <x:v>0</x:v>
      </x:c>
      <x:c r="M1849" s="9" t="n">
        <x:f>ROUND(H1849*(1-I1849),2)</x:f>
        <x:v>7469000</x:v>
      </x:c>
      <x:c r="N1849" s="4" t="str">
        <x:v>Sales manager</x:v>
      </x:c>
      <x:c r="O1849" s="4"/>
      <x:c r="P1849" s="9" t="n">
        <x:v>0</x:v>
      </x:c>
      <x:c r="Q1849" s="11" t="n">
        <x:v>0</x:v>
      </x:c>
      <x:c r="R1849" s="8" t="n">
        <x:v>45470</x:v>
      </x:c>
      <x:c r="S1849" s="4" t="str">
        <x:v>Retained</x:v>
      </x:c>
      <x:c r="T1849" s="10" t="n">
        <x:v>0.171717</x:v>
      </x:c>
      <x:c r="U1849" s="4" t="str">
        <x:v>Train</x:v>
      </x:c>
    </x:row>
    <x:row r="1850" ht="34" customHeight="1">
      <x:c r="A1850" s="4" t="str">
        <x:v>RS-01849</x:v>
      </x:c>
      <x:c r="B1850" s="8" t="n">
        <x:v>45383</x:v>
      </x:c>
      <x:c r="C1850" s="4" t="str">
        <x:v>PRJ-009</x:v>
      </x:c>
      <x:c r="D1850" s="4" t="str">
        <x:v>Office</x:v>
      </x:c>
      <x:c r="E1850" s="4" t="str">
        <x:v>Cancelled</x:v>
      </x:c>
      <x:c r="F1850" s="4" t="str">
        <x:v>CUS-01849</x:v>
      </x:c>
      <x:c r="G1850" s="4" t="str">
        <x:v>UNIT-01849</x:v>
      </x:c>
      <x:c r="H1850" s="9" t="n">
        <x:v>16200000</x:v>
      </x:c>
      <x:c r="I1850" s="10" t="n">
        <x:v>0.06</x:v>
      </x:c>
      <x:c r="J1850" s="11" t="n">
        <x:v>8</x:v>
      </x:c>
      <x:c r="K1850" s="11" t="n">
        <x:v>3</x:v>
      </x:c>
      <x:c r="L1850" s="11" t="n">
        <x:v>0</x:v>
      </x:c>
      <x:c r="M1850" s="9" t="n">
        <x:f>ROUND(H1850*(1-I1850),2)</x:f>
        <x:v>15228000</x:v>
      </x:c>
      <x:c r="N1850" s="4" t="str">
        <x:v>Sales manager</x:v>
      </x:c>
      <x:c r="O1850" s="4"/>
      <x:c r="P1850" s="9" t="n">
        <x:v>0</x:v>
      </x:c>
      <x:c r="Q1850" s="11" t="n">
        <x:v>1</x:v>
      </x:c>
      <x:c r="R1850" s="8" t="n">
        <x:v>45443</x:v>
      </x:c>
      <x:c r="S1850" s="4" t="str">
        <x:v>Lost / cancelled</x:v>
      </x:c>
      <x:c r="T1850" s="10" t="n">
        <x:v>0.310195</x:v>
      </x:c>
      <x:c r="U1850" s="4" t="str">
        <x:v>Train</x:v>
      </x:c>
    </x:row>
    <x:row r="1851" ht="34" customHeight="1">
      <x:c r="A1851" s="4" t="str">
        <x:v>RS-01850</x:v>
      </x:c>
      <x:c r="B1851" s="8" t="n">
        <x:v>45384</x:v>
      </x:c>
      <x:c r="C1851" s="4" t="str">
        <x:v>PRJ-010</x:v>
      </x:c>
      <x:c r="D1851" s="4" t="str">
        <x:v>Villa</x:v>
      </x:c>
      <x:c r="E1851" s="4" t="str">
        <x:v>Booked</x:v>
      </x:c>
      <x:c r="F1851" s="4" t="str">
        <x:v>CUS-01850</x:v>
      </x:c>
      <x:c r="G1851" s="4" t="str">
        <x:v>UNIT-01850</x:v>
      </x:c>
      <x:c r="H1851" s="9" t="n">
        <x:v>6600000</x:v>
      </x:c>
      <x:c r="I1851" s="10" t="n">
        <x:v>0.06</x:v>
      </x:c>
      <x:c r="J1851" s="11" t="n">
        <x:v>4</x:v>
      </x:c>
      <x:c r="K1851" s="11" t="n">
        <x:v>7</x:v>
      </x:c>
      <x:c r="L1851" s="11" t="n">
        <x:v>0</x:v>
      </x:c>
      <x:c r="M1851" s="9" t="n">
        <x:f>ROUND(H1851*(1-I1851),2)</x:f>
        <x:v>6204000</x:v>
      </x:c>
      <x:c r="N1851" s="4" t="str">
        <x:v>Sales manager</x:v>
      </x:c>
      <x:c r="O1851" s="4" t="str">
        <x:v>BOOK-01850</x:v>
      </x:c>
      <x:c r="P1851" s="9" t="n">
        <x:v>3102000</x:v>
      </x:c>
      <x:c r="Q1851" s="11" t="n">
        <x:v>0</x:v>
      </x:c>
      <x:c r="R1851" s="8" t="n">
        <x:v>45444</x:v>
      </x:c>
      <x:c r="S1851" s="4" t="str">
        <x:v>Retained</x:v>
      </x:c>
      <x:c r="T1851" s="10" t="n">
        <x:v>0.226277</x:v>
      </x:c>
      <x:c r="U1851" s="4" t="str">
        <x:v>Train</x:v>
      </x:c>
    </x:row>
    <x:row r="1852" ht="34" customHeight="1">
      <x:c r="A1852" s="4" t="str">
        <x:v>RS-01851</x:v>
      </x:c>
      <x:c r="B1852" s="8" t="n">
        <x:v>45385</x:v>
      </x:c>
      <x:c r="C1852" s="4" t="str">
        <x:v>PRJ-011</x:v>
      </x:c>
      <x:c r="D1852" s="4" t="str">
        <x:v>Retail</x:v>
      </x:c>
      <x:c r="E1852" s="4" t="str">
        <x:v>Enquiry</x:v>
      </x:c>
      <x:c r="F1852" s="4" t="str">
        <x:v>CUS-01851</x:v>
      </x:c>
      <x:c r="G1852" s="4" t="str">
        <x:v>UNIT-01851</x:v>
      </x:c>
      <x:c r="H1852" s="9" t="n">
        <x:v>17800000</x:v>
      </x:c>
      <x:c r="I1852" s="10" t="n">
        <x:v>0.03</x:v>
      </x:c>
      <x:c r="J1852" s="11" t="n">
        <x:v>1</x:v>
      </x:c>
      <x:c r="K1852" s="11" t="n">
        <x:v>2</x:v>
      </x:c>
      <x:c r="L1852" s="11" t="n">
        <x:v>0</x:v>
      </x:c>
      <x:c r="M1852" s="9" t="n">
        <x:f>ROUND(H1852*(1-I1852),2)</x:f>
        <x:v>17266000</x:v>
      </x:c>
      <x:c r="N1852" s="4" t="str">
        <x:v>Sales manager</x:v>
      </x:c>
      <x:c r="O1852" s="4"/>
      <x:c r="P1852" s="9" t="n">
        <x:v>0</x:v>
      </x:c>
      <x:c r="Q1852" s="11" t="n">
        <x:v>1</x:v>
      </x:c>
      <x:c r="R1852" s="8" t="n">
        <x:v>45445</x:v>
      </x:c>
      <x:c r="S1852" s="4" t="str">
        <x:v>Lost / cancelled</x:v>
      </x:c>
      <x:c r="T1852" s="10" t="n">
        <x:v>0.072165</x:v>
      </x:c>
      <x:c r="U1852" s="4" t="str">
        <x:v>Train</x:v>
      </x:c>
    </x:row>
    <x:row r="1853" ht="34" customHeight="1">
      <x:c r="A1853" s="4" t="str">
        <x:v>RS-01852</x:v>
      </x:c>
      <x:c r="B1853" s="8" t="n">
        <x:v>45386</x:v>
      </x:c>
      <x:c r="C1853" s="4" t="str">
        <x:v>PRJ-012</x:v>
      </x:c>
      <x:c r="D1853" s="4" t="str">
        <x:v>Villa</x:v>
      </x:c>
      <x:c r="E1853" s="4" t="str">
        <x:v>Cancelled</x:v>
      </x:c>
      <x:c r="F1853" s="4" t="str">
        <x:v>CUS-01852</x:v>
      </x:c>
      <x:c r="G1853" s="4" t="str">
        <x:v>UNIT-01852</x:v>
      </x:c>
      <x:c r="H1853" s="9" t="n">
        <x:v>24700000</x:v>
      </x:c>
      <x:c r="I1853" s="10" t="n">
        <x:v>0.11</x:v>
      </x:c>
      <x:c r="J1853" s="11" t="n">
        <x:v>9</x:v>
      </x:c>
      <x:c r="K1853" s="11" t="n">
        <x:v>6</x:v>
      </x:c>
      <x:c r="L1853" s="11" t="n">
        <x:v>1</x:v>
      </x:c>
      <x:c r="M1853" s="9" t="n">
        <x:f>ROUND(H1853*(1-I1853),2)</x:f>
        <x:v>21983000</x:v>
      </x:c>
      <x:c r="N1853" s="4" t="str">
        <x:v>Sales head</x:v>
      </x:c>
      <x:c r="O1853" s="4"/>
      <x:c r="P1853" s="9" t="n">
        <x:v>0</x:v>
      </x:c>
      <x:c r="Q1853" s="11" t="n">
        <x:v>1</x:v>
      </x:c>
      <x:c r="R1853" s="8" t="n">
        <x:v>45446</x:v>
      </x:c>
      <x:c r="S1853" s="4" t="str">
        <x:v>Lost / cancelled</x:v>
      </x:c>
      <x:c r="T1853" s="10" t="n">
        <x:v>0.310195</x:v>
      </x:c>
      <x:c r="U1853" s="4" t="str">
        <x:v>Train</x:v>
      </x:c>
    </x:row>
    <x:row r="1854" ht="34" customHeight="1">
      <x:c r="A1854" s="4" t="str">
        <x:v>RS-01853</x:v>
      </x:c>
      <x:c r="B1854" s="8" t="n">
        <x:v>45387</x:v>
      </x:c>
      <x:c r="C1854" s="4" t="str">
        <x:v>PRJ-013</x:v>
      </x:c>
      <x:c r="D1854" s="4" t="str">
        <x:v>Villa</x:v>
      </x:c>
      <x:c r="E1854" s="4" t="str">
        <x:v>Cancelled</x:v>
      </x:c>
      <x:c r="F1854" s="4" t="str">
        <x:v>CUS-01853</x:v>
      </x:c>
      <x:c r="G1854" s="4" t="str">
        <x:v>UNIT-01853</x:v>
      </x:c>
      <x:c r="H1854" s="9" t="n">
        <x:v>5000000</x:v>
      </x:c>
      <x:c r="I1854" s="10" t="n">
        <x:v>0.02</x:v>
      </x:c>
      <x:c r="J1854" s="11" t="n">
        <x:v>6</x:v>
      </x:c>
      <x:c r="K1854" s="11" t="n">
        <x:v>2</x:v>
      </x:c>
      <x:c r="L1854" s="11" t="n">
        <x:v>0</x:v>
      </x:c>
      <x:c r="M1854" s="9" t="n">
        <x:f>ROUND(H1854*(1-I1854),2)</x:f>
        <x:v>4900000</x:v>
      </x:c>
      <x:c r="N1854" s="4" t="str">
        <x:v>Sales manager</x:v>
      </x:c>
      <x:c r="O1854" s="4"/>
      <x:c r="P1854" s="9" t="n">
        <x:v>0</x:v>
      </x:c>
      <x:c r="Q1854" s="11" t="n">
        <x:v>1</x:v>
      </x:c>
      <x:c r="R1854" s="8" t="n">
        <x:v>45447</x:v>
      </x:c>
      <x:c r="S1854" s="4" t="str">
        <x:v>Lost / cancelled</x:v>
      </x:c>
      <x:c r="T1854" s="10" t="n">
        <x:v>0.298969</x:v>
      </x:c>
      <x:c r="U1854" s="4" t="str">
        <x:v>Train</x:v>
      </x:c>
    </x:row>
    <x:row r="1855" ht="34" customHeight="1">
      <x:c r="A1855" s="4" t="str">
        <x:v>RS-01854</x:v>
      </x:c>
      <x:c r="B1855" s="8" t="n">
        <x:v>45388</x:v>
      </x:c>
      <x:c r="C1855" s="4" t="str">
        <x:v>PRJ-014</x:v>
      </x:c>
      <x:c r="D1855" s="4" t="str">
        <x:v>Villa</x:v>
      </x:c>
      <x:c r="E1855" s="4" t="str">
        <x:v>Handed over</x:v>
      </x:c>
      <x:c r="F1855" s="4" t="str">
        <x:v>CUS-01854</x:v>
      </x:c>
      <x:c r="G1855" s="4" t="str">
        <x:v>UNIT-01854</x:v>
      </x:c>
      <x:c r="H1855" s="9" t="n">
        <x:v>10900000</x:v>
      </x:c>
      <x:c r="I1855" s="10" t="n">
        <x:v>0.12</x:v>
      </x:c>
      <x:c r="J1855" s="11" t="n">
        <x:v>11</x:v>
      </x:c>
      <x:c r="K1855" s="11" t="n">
        <x:v>0</x:v>
      </x:c>
      <x:c r="L1855" s="11" t="n">
        <x:v>1</x:v>
      </x:c>
      <x:c r="M1855" s="9" t="n">
        <x:f>ROUND(H1855*(1-I1855),2)</x:f>
        <x:v>9592000</x:v>
      </x:c>
      <x:c r="N1855" s="4" t="str">
        <x:v>Sales head</x:v>
      </x:c>
      <x:c r="O1855" s="4" t="str">
        <x:v>BOOK-01854</x:v>
      </x:c>
      <x:c r="P1855" s="9" t="n">
        <x:v>4796000</x:v>
      </x:c>
      <x:c r="Q1855" s="11" t="n">
        <x:v>0</x:v>
      </x:c>
      <x:c r="R1855" s="8" t="n">
        <x:v>45448</x:v>
      </x:c>
      <x:c r="S1855" s="4" t="str">
        <x:v>Retained</x:v>
      </x:c>
      <x:c r="T1855" s="10" t="n">
        <x:v>0.351536</x:v>
      </x:c>
      <x:c r="U1855" s="4" t="str">
        <x:v>Train</x:v>
      </x:c>
    </x:row>
    <x:row r="1856" ht="34" customHeight="1">
      <x:c r="A1856" s="4" t="str">
        <x:v>RS-01855</x:v>
      </x:c>
      <x:c r="B1856" s="8" t="n">
        <x:v>45389</x:v>
      </x:c>
      <x:c r="C1856" s="4" t="str">
        <x:v>PRJ-015</x:v>
      </x:c>
      <x:c r="D1856" s="4" t="str">
        <x:v>Office</x:v>
      </x:c>
      <x:c r="E1856" s="4" t="str">
        <x:v>Reserved</x:v>
      </x:c>
      <x:c r="F1856" s="4" t="str">
        <x:v>CUS-01855</x:v>
      </x:c>
      <x:c r="G1856" s="4" t="str">
        <x:v>UNIT-01855</x:v>
      </x:c>
      <x:c r="H1856" s="9" t="n">
        <x:v>9000000</x:v>
      </x:c>
      <x:c r="I1856" s="10" t="n">
        <x:v>0.02</x:v>
      </x:c>
      <x:c r="J1856" s="11" t="n">
        <x:v>4</x:v>
      </x:c>
      <x:c r="K1856" s="11" t="n">
        <x:v>4</x:v>
      </x:c>
      <x:c r="L1856" s="11" t="n">
        <x:v>0</x:v>
      </x:c>
      <x:c r="M1856" s="9" t="n">
        <x:f>ROUND(H1856*(1-I1856),2)</x:f>
        <x:v>8820000</x:v>
      </x:c>
      <x:c r="N1856" s="4" t="str">
        <x:v>Sales manager</x:v>
      </x:c>
      <x:c r="O1856" s="4"/>
      <x:c r="P1856" s="9" t="n">
        <x:v>0</x:v>
      </x:c>
      <x:c r="Q1856" s="11" t="n">
        <x:v>0</x:v>
      </x:c>
      <x:c r="R1856" s="8" t="n">
        <x:v>45449</x:v>
      </x:c>
      <x:c r="S1856" s="4" t="str">
        <x:v>Retained</x:v>
      </x:c>
      <x:c r="T1856" s="10" t="n">
        <x:v>0.298969</x:v>
      </x:c>
      <x:c r="U1856" s="4" t="str">
        <x:v>Train</x:v>
      </x:c>
    </x:row>
    <x:row r="1857" ht="34" customHeight="1">
      <x:c r="A1857" s="4" t="str">
        <x:v>RS-01856</x:v>
      </x:c>
      <x:c r="B1857" s="8" t="n">
        <x:v>45390</x:v>
      </x:c>
      <x:c r="C1857" s="4" t="str">
        <x:v>PRJ-016</x:v>
      </x:c>
      <x:c r="D1857" s="4" t="str">
        <x:v>Office</x:v>
      </x:c>
      <x:c r="E1857" s="4" t="str">
        <x:v>Handed over</x:v>
      </x:c>
      <x:c r="F1857" s="4" t="str">
        <x:v>CUS-01856</x:v>
      </x:c>
      <x:c r="G1857" s="4" t="str">
        <x:v>UNIT-01856</x:v>
      </x:c>
      <x:c r="H1857" s="9" t="n">
        <x:v>22200000</x:v>
      </x:c>
      <x:c r="I1857" s="10" t="n">
        <x:v>0.12</x:v>
      </x:c>
      <x:c r="J1857" s="11" t="n">
        <x:v>6</x:v>
      </x:c>
      <x:c r="K1857" s="11" t="n">
        <x:v>8</x:v>
      </x:c>
      <x:c r="L1857" s="11" t="n">
        <x:v>0</x:v>
      </x:c>
      <x:c r="M1857" s="9" t="n">
        <x:f>ROUND(H1857*(1-I1857),2)</x:f>
        <x:v>19536000</x:v>
      </x:c>
      <x:c r="N1857" s="4" t="str">
        <x:v>Sales head</x:v>
      </x:c>
      <x:c r="O1857" s="4" t="str">
        <x:v>BOOK-01856</x:v>
      </x:c>
      <x:c r="P1857" s="9" t="n">
        <x:v>19536000</x:v>
      </x:c>
      <x:c r="Q1857" s="11" t="n">
        <x:v>0</x:v>
      </x:c>
      <x:c r="R1857" s="8" t="n">
        <x:v>45450</x:v>
      </x:c>
      <x:c r="S1857" s="4" t="str">
        <x:v>Retained</x:v>
      </x:c>
      <x:c r="T1857" s="10" t="n">
        <x:v>0.226277</x:v>
      </x:c>
      <x:c r="U1857" s="4" t="str">
        <x:v>Train</x:v>
      </x:c>
    </x:row>
    <x:row r="1858" ht="34" customHeight="1">
      <x:c r="A1858" s="4" t="str">
        <x:v>RS-01857</x:v>
      </x:c>
      <x:c r="B1858" s="8" t="n">
        <x:v>45391</x:v>
      </x:c>
      <x:c r="C1858" s="4" t="str">
        <x:v>PRJ-017</x:v>
      </x:c>
      <x:c r="D1858" s="4" t="str">
        <x:v>Office</x:v>
      </x:c>
      <x:c r="E1858" s="4" t="str">
        <x:v>Booked</x:v>
      </x:c>
      <x:c r="F1858" s="4" t="str">
        <x:v>CUS-01857</x:v>
      </x:c>
      <x:c r="G1858" s="4" t="str">
        <x:v>UNIT-01857</x:v>
      </x:c>
      <x:c r="H1858" s="9" t="n">
        <x:v>17400000</x:v>
      </x:c>
      <x:c r="I1858" s="10" t="n">
        <x:v>0.11</x:v>
      </x:c>
      <x:c r="J1858" s="11" t="n">
        <x:v>1</x:v>
      </x:c>
      <x:c r="K1858" s="11" t="n">
        <x:v>8</x:v>
      </x:c>
      <x:c r="L1858" s="11" t="n">
        <x:v>0</x:v>
      </x:c>
      <x:c r="M1858" s="9" t="n">
        <x:f>ROUND(H1858*(1-I1858),2)</x:f>
        <x:v>15486000</x:v>
      </x:c>
      <x:c r="N1858" s="4" t="str">
        <x:v>Sales head</x:v>
      </x:c>
      <x:c r="O1858" s="4" t="str">
        <x:v>BOOK-01857</x:v>
      </x:c>
      <x:c r="P1858" s="9" t="n">
        <x:v>3871500</x:v>
      </x:c>
      <x:c r="Q1858" s="11" t="n">
        <x:v>0</x:v>
      </x:c>
      <x:c r="R1858" s="8" t="n">
        <x:v>45451</x:v>
      </x:c>
      <x:c r="S1858" s="4" t="str">
        <x:v>Retained</x:v>
      </x:c>
      <x:c r="T1858" s="10" t="n">
        <x:v>0.145833</x:v>
      </x:c>
      <x:c r="U1858" s="4" t="str">
        <x:v>Train</x:v>
      </x:c>
    </x:row>
    <x:row r="1859" ht="34" customHeight="1">
      <x:c r="A1859" s="4" t="str">
        <x:v>RS-01858</x:v>
      </x:c>
      <x:c r="B1859" s="8" t="n">
        <x:v>45392</x:v>
      </x:c>
      <x:c r="C1859" s="4" t="str">
        <x:v>PRJ-018</x:v>
      </x:c>
      <x:c r="D1859" s="4" t="str">
        <x:v>Office</x:v>
      </x:c>
      <x:c r="E1859" s="4" t="str">
        <x:v>Handed over</x:v>
      </x:c>
      <x:c r="F1859" s="4" t="str">
        <x:v>CUS-01858</x:v>
      </x:c>
      <x:c r="G1859" s="4" t="str">
        <x:v>UNIT-01858</x:v>
      </x:c>
      <x:c r="H1859" s="9" t="n">
        <x:v>23900000</x:v>
      </x:c>
      <x:c r="I1859" s="10" t="n">
        <x:v>0.04</x:v>
      </x:c>
      <x:c r="J1859" s="11" t="n">
        <x:v>4</x:v>
      </x:c>
      <x:c r="K1859" s="11" t="n">
        <x:v>9</x:v>
      </x:c>
      <x:c r="L1859" s="11" t="n">
        <x:v>0</x:v>
      </x:c>
      <x:c r="M1859" s="9" t="n">
        <x:f>ROUND(H1859*(1-I1859),2)</x:f>
        <x:v>22944000</x:v>
      </x:c>
      <x:c r="N1859" s="4" t="str">
        <x:v>Sales manager</x:v>
      </x:c>
      <x:c r="O1859" s="4" t="str">
        <x:v>BOOK-01858</x:v>
      </x:c>
      <x:c r="P1859" s="9" t="n">
        <x:v>2294400</x:v>
      </x:c>
      <x:c r="Q1859" s="11" t="n">
        <x:v>0</x:v>
      </x:c>
      <x:c r="R1859" s="8" t="n">
        <x:v>45452</x:v>
      </x:c>
      <x:c r="S1859" s="4" t="str">
        <x:v>Retained</x:v>
      </x:c>
      <x:c r="T1859" s="10" t="n">
        <x:v>0.226277</x:v>
      </x:c>
      <x:c r="U1859" s="4" t="str">
        <x:v>Train</x:v>
      </x:c>
    </x:row>
    <x:row r="1860" ht="34" customHeight="1">
      <x:c r="A1860" s="4" t="str">
        <x:v>RS-01859</x:v>
      </x:c>
      <x:c r="B1860" s="8" t="n">
        <x:v>45393</x:v>
      </x:c>
      <x:c r="C1860" s="4" t="str">
        <x:v>PRJ-019</x:v>
      </x:c>
      <x:c r="D1860" s="4" t="str">
        <x:v>Villa</x:v>
      </x:c>
      <x:c r="E1860" s="4" t="str">
        <x:v>Booked</x:v>
      </x:c>
      <x:c r="F1860" s="4" t="str">
        <x:v>CUS-01859</x:v>
      </x:c>
      <x:c r="G1860" s="4" t="str">
        <x:v>UNIT-01859</x:v>
      </x:c>
      <x:c r="H1860" s="9" t="n">
        <x:v>13000000</x:v>
      </x:c>
      <x:c r="I1860" s="10" t="n">
        <x:v>0.12</x:v>
      </x:c>
      <x:c r="J1860" s="11" t="n">
        <x:v>6</x:v>
      </x:c>
      <x:c r="K1860" s="11" t="n">
        <x:v>6</x:v>
      </x:c>
      <x:c r="L1860" s="11" t="n">
        <x:v>0</x:v>
      </x:c>
      <x:c r="M1860" s="9" t="n">
        <x:f>ROUND(H1860*(1-I1860),2)</x:f>
        <x:v>11440000</x:v>
      </x:c>
      <x:c r="N1860" s="4" t="str">
        <x:v>Sales head</x:v>
      </x:c>
      <x:c r="O1860" s="4" t="str">
        <x:v>BOOK-01859</x:v>
      </x:c>
      <x:c r="P1860" s="9" t="n">
        <x:v>5720000</x:v>
      </x:c>
      <x:c r="Q1860" s="11" t="n">
        <x:v>0</x:v>
      </x:c>
      <x:c r="R1860" s="8" t="n">
        <x:v>45453</x:v>
      </x:c>
      <x:c r="S1860" s="4" t="str">
        <x:v>Retained</x:v>
      </x:c>
      <x:c r="T1860" s="10" t="n">
        <x:v>0.226277</x:v>
      </x:c>
      <x:c r="U1860" s="4" t="str">
        <x:v>Train</x:v>
      </x:c>
    </x:row>
    <x:row r="1861" ht="34" customHeight="1">
      <x:c r="A1861" s="4" t="str">
        <x:v>RS-01860</x:v>
      </x:c>
      <x:c r="B1861" s="8" t="n">
        <x:v>45394</x:v>
      </x:c>
      <x:c r="C1861" s="4" t="str">
        <x:v>PRJ-020</x:v>
      </x:c>
      <x:c r="D1861" s="4" t="str">
        <x:v>Retail</x:v>
      </x:c>
      <x:c r="E1861" s="4" t="str">
        <x:v>Agreement signed</x:v>
      </x:c>
      <x:c r="F1861" s="4" t="str">
        <x:v>CUS-01860</x:v>
      </x:c>
      <x:c r="G1861" s="4" t="str">
        <x:v>UNIT-01860</x:v>
      </x:c>
      <x:c r="H1861" s="9" t="n">
        <x:v>3400000</x:v>
      </x:c>
      <x:c r="I1861" s="10" t="n">
        <x:v>0.08</x:v>
      </x:c>
      <x:c r="J1861" s="11" t="n">
        <x:v>8</x:v>
      </x:c>
      <x:c r="K1861" s="11" t="n">
        <x:v>6</x:v>
      </x:c>
      <x:c r="L1861" s="11" t="n">
        <x:v>1</x:v>
      </x:c>
      <x:c r="M1861" s="9" t="n">
        <x:f>ROUND(H1861*(1-I1861),2)</x:f>
        <x:v>3128000</x:v>
      </x:c>
      <x:c r="N1861" s="4" t="str">
        <x:v>Sales head</x:v>
      </x:c>
      <x:c r="O1861" s="4" t="str">
        <x:v>BOOK-01860</x:v>
      </x:c>
      <x:c r="P1861" s="9" t="n">
        <x:v>1564000</x:v>
      </x:c>
      <x:c r="Q1861" s="11" t="n">
        <x:v>0</x:v>
      </x:c>
      <x:c r="R1861" s="8" t="n">
        <x:v>45454</x:v>
      </x:c>
      <x:c r="S1861" s="4" t="str">
        <x:v>Retained</x:v>
      </x:c>
      <x:c r="T1861" s="10" t="n">
        <x:v>0.310195</x:v>
      </x:c>
      <x:c r="U1861" s="4" t="str">
        <x:v>Train</x:v>
      </x:c>
    </x:row>
    <x:row r="1862" ht="34" customHeight="1">
      <x:c r="A1862" s="4" t="str">
        <x:v>RS-01861</x:v>
      </x:c>
      <x:c r="B1862" s="8" t="n">
        <x:v>45395</x:v>
      </x:c>
      <x:c r="C1862" s="4" t="str">
        <x:v>PRJ-001</x:v>
      </x:c>
      <x:c r="D1862" s="4" t="str">
        <x:v>Apartment</x:v>
      </x:c>
      <x:c r="E1862" s="4" t="str">
        <x:v>Agreement signed</x:v>
      </x:c>
      <x:c r="F1862" s="4" t="str">
        <x:v>CUS-01861</x:v>
      </x:c>
      <x:c r="G1862" s="4" t="str">
        <x:v>UNIT-01861</x:v>
      </x:c>
      <x:c r="H1862" s="9" t="n">
        <x:v>15900000</x:v>
      </x:c>
      <x:c r="I1862" s="10" t="n">
        <x:v>0.05</x:v>
      </x:c>
      <x:c r="J1862" s="11" t="n">
        <x:v>10</x:v>
      </x:c>
      <x:c r="K1862" s="11" t="n">
        <x:v>7</x:v>
      </x:c>
      <x:c r="L1862" s="11" t="n">
        <x:v>1</x:v>
      </x:c>
      <x:c r="M1862" s="9" t="n">
        <x:f>ROUND(H1862*(1-I1862),2)</x:f>
        <x:v>15105000</x:v>
      </x:c>
      <x:c r="N1862" s="4" t="str">
        <x:v>Sales manager</x:v>
      </x:c>
      <x:c r="O1862" s="4" t="str">
        <x:v>BOOK-01861</x:v>
      </x:c>
      <x:c r="P1862" s="9" t="n">
        <x:v>3776250</x:v>
      </x:c>
      <x:c r="Q1862" s="11" t="n">
        <x:v>0</x:v>
      </x:c>
      <x:c r="R1862" s="8" t="n">
        <x:v>45455</x:v>
      </x:c>
      <x:c r="S1862" s="4" t="str">
        <x:v>Retained</x:v>
      </x:c>
      <x:c r="T1862" s="10" t="n">
        <x:v>0.310195</x:v>
      </x:c>
      <x:c r="U1862" s="4" t="str">
        <x:v>Train</x:v>
      </x:c>
    </x:row>
    <x:row r="1863" ht="34" customHeight="1">
      <x:c r="A1863" s="4" t="str">
        <x:v>RS-01862</x:v>
      </x:c>
      <x:c r="B1863" s="8" t="n">
        <x:v>45396</x:v>
      </x:c>
      <x:c r="C1863" s="4" t="str">
        <x:v>PRJ-002</x:v>
      </x:c>
      <x:c r="D1863" s="4" t="str">
        <x:v>Apartment</x:v>
      </x:c>
      <x:c r="E1863" s="4" t="str">
        <x:v>Agreement signed</x:v>
      </x:c>
      <x:c r="F1863" s="4" t="str">
        <x:v>CUS-01862</x:v>
      </x:c>
      <x:c r="G1863" s="4" t="str">
        <x:v>UNIT-01862</x:v>
      </x:c>
      <x:c r="H1863" s="9" t="n">
        <x:v>10800000</x:v>
      </x:c>
      <x:c r="I1863" s="10" t="n">
        <x:v>0.03</x:v>
      </x:c>
      <x:c r="J1863" s="11" t="n">
        <x:v>9</x:v>
      </x:c>
      <x:c r="K1863" s="11" t="n">
        <x:v>3</x:v>
      </x:c>
      <x:c r="L1863" s="11" t="n">
        <x:v>0</x:v>
      </x:c>
      <x:c r="M1863" s="9" t="n">
        <x:f>ROUND(H1863*(1-I1863),2)</x:f>
        <x:v>10476000</x:v>
      </x:c>
      <x:c r="N1863" s="4" t="str">
        <x:v>Sales manager</x:v>
      </x:c>
      <x:c r="O1863" s="4" t="str">
        <x:v>BOOK-01862</x:v>
      </x:c>
      <x:c r="P1863" s="9" t="n">
        <x:v>5238000</x:v>
      </x:c>
      <x:c r="Q1863" s="11" t="n">
        <x:v>0</x:v>
      </x:c>
      <x:c r="R1863" s="8" t="n">
        <x:v>45456</x:v>
      </x:c>
      <x:c r="S1863" s="4" t="str">
        <x:v>Retained</x:v>
      </x:c>
      <x:c r="T1863" s="10" t="n">
        <x:v>0.310195</x:v>
      </x:c>
      <x:c r="U1863" s="4" t="str">
        <x:v>Train</x:v>
      </x:c>
    </x:row>
    <x:row r="1864" ht="34" customHeight="1">
      <x:c r="A1864" s="4" t="str">
        <x:v>RS-01863</x:v>
      </x:c>
      <x:c r="B1864" s="8" t="n">
        <x:v>45397</x:v>
      </x:c>
      <x:c r="C1864" s="4" t="str">
        <x:v>PRJ-003</x:v>
      </x:c>
      <x:c r="D1864" s="4" t="str">
        <x:v>Office</x:v>
      </x:c>
      <x:c r="E1864" s="4" t="str">
        <x:v>Agreement signed</x:v>
      </x:c>
      <x:c r="F1864" s="4" t="str">
        <x:v>CUS-01863</x:v>
      </x:c>
      <x:c r="G1864" s="4" t="str">
        <x:v>UNIT-01863</x:v>
      </x:c>
      <x:c r="H1864" s="9" t="n">
        <x:v>17200000</x:v>
      </x:c>
      <x:c r="I1864" s="10" t="n">
        <x:v>0.1</x:v>
      </x:c>
      <x:c r="J1864" s="11" t="n">
        <x:v>1</x:v>
      </x:c>
      <x:c r="K1864" s="11" t="n">
        <x:v>10</x:v>
      </x:c>
      <x:c r="L1864" s="11" t="n">
        <x:v>1</x:v>
      </x:c>
      <x:c r="M1864" s="9" t="n">
        <x:f>ROUND(H1864*(1-I1864),2)</x:f>
        <x:v>15480000</x:v>
      </x:c>
      <x:c r="N1864" s="4" t="str">
        <x:v>Sales head</x:v>
      </x:c>
      <x:c r="O1864" s="4" t="str">
        <x:v>BOOK-01863</x:v>
      </x:c>
      <x:c r="P1864" s="9" t="n">
        <x:v>3870000</x:v>
      </x:c>
      <x:c r="Q1864" s="11" t="n">
        <x:v>0</x:v>
      </x:c>
      <x:c r="R1864" s="8" t="n">
        <x:v>45457</x:v>
      </x:c>
      <x:c r="S1864" s="4" t="str">
        <x:v>Retained</x:v>
      </x:c>
      <x:c r="T1864" s="10" t="n">
        <x:v>0.145833</x:v>
      </x:c>
      <x:c r="U1864" s="4" t="str">
        <x:v>Train</x:v>
      </x:c>
    </x:row>
    <x:row r="1865" ht="34" customHeight="1">
      <x:c r="A1865" s="4" t="str">
        <x:v>RS-01864</x:v>
      </x:c>
      <x:c r="B1865" s="8" t="n">
        <x:v>45398</x:v>
      </x:c>
      <x:c r="C1865" s="4" t="str">
        <x:v>PRJ-004</x:v>
      </x:c>
      <x:c r="D1865" s="4" t="str">
        <x:v>Apartment</x:v>
      </x:c>
      <x:c r="E1865" s="4" t="str">
        <x:v>Reserved</x:v>
      </x:c>
      <x:c r="F1865" s="4" t="str">
        <x:v>CUS-01864</x:v>
      </x:c>
      <x:c r="G1865" s="4" t="str">
        <x:v>UNIT-01864</x:v>
      </x:c>
      <x:c r="H1865" s="9" t="n">
        <x:v>16800000</x:v>
      </x:c>
      <x:c r="I1865" s="10" t="n">
        <x:v>0.08</x:v>
      </x:c>
      <x:c r="J1865" s="11" t="n">
        <x:v>11</x:v>
      </x:c>
      <x:c r="K1865" s="11" t="n">
        <x:v>6</x:v>
      </x:c>
      <x:c r="L1865" s="11" t="n">
        <x:v>1</x:v>
      </x:c>
      <x:c r="M1865" s="9" t="n">
        <x:f>ROUND(H1865*(1-I1865),2)</x:f>
        <x:v>15456000</x:v>
      </x:c>
      <x:c r="N1865" s="4" t="str">
        <x:v>Sales head</x:v>
      </x:c>
      <x:c r="O1865" s="4"/>
      <x:c r="P1865" s="9" t="n">
        <x:v>0</x:v>
      </x:c>
      <x:c r="Q1865" s="11" t="n">
        <x:v>1</x:v>
      </x:c>
      <x:c r="R1865" s="8" t="n">
        <x:v>45458</x:v>
      </x:c>
      <x:c r="S1865" s="4" t="str">
        <x:v>Lost / cancelled</x:v>
      </x:c>
      <x:c r="T1865" s="10" t="n">
        <x:v>0.351536</x:v>
      </x:c>
      <x:c r="U1865" s="4" t="str">
        <x:v>Train</x:v>
      </x:c>
    </x:row>
    <x:row r="1866" ht="34" customHeight="1">
      <x:c r="A1866" s="4" t="str">
        <x:v>RS-01865</x:v>
      </x:c>
      <x:c r="B1866" s="8" t="n">
        <x:v>45399</x:v>
      </x:c>
      <x:c r="C1866" s="4" t="str">
        <x:v>PRJ-005</x:v>
      </x:c>
      <x:c r="D1866" s="4" t="str">
        <x:v>Retail</x:v>
      </x:c>
      <x:c r="E1866" s="4" t="str">
        <x:v>Handed over</x:v>
      </x:c>
      <x:c r="F1866" s="4" t="str">
        <x:v>CUS-01865</x:v>
      </x:c>
      <x:c r="G1866" s="4" t="str">
        <x:v>UNIT-01865</x:v>
      </x:c>
      <x:c r="H1866" s="9" t="n">
        <x:v>7200000</x:v>
      </x:c>
      <x:c r="I1866" s="10" t="n">
        <x:v>0.02</x:v>
      </x:c>
      <x:c r="J1866" s="11" t="n">
        <x:v>1</x:v>
      </x:c>
      <x:c r="K1866" s="11" t="n">
        <x:v>1</x:v>
      </x:c>
      <x:c r="L1866" s="11" t="n">
        <x:v>0</x:v>
      </x:c>
      <x:c r="M1866" s="9" t="n">
        <x:f>ROUND(H1866*(1-I1866),2)</x:f>
        <x:v>7056000</x:v>
      </x:c>
      <x:c r="N1866" s="4" t="str">
        <x:v>Sales manager</x:v>
      </x:c>
      <x:c r="O1866" s="4" t="str">
        <x:v>BOOK-01865</x:v>
      </x:c>
      <x:c r="P1866" s="9" t="n">
        <x:v>705600</x:v>
      </x:c>
      <x:c r="Q1866" s="11" t="n">
        <x:v>0</x:v>
      </x:c>
      <x:c r="R1866" s="8" t="n">
        <x:v>45459</x:v>
      </x:c>
      <x:c r="S1866" s="4" t="str">
        <x:v>Retained</x:v>
      </x:c>
      <x:c r="T1866" s="10" t="n">
        <x:v>0.072165</x:v>
      </x:c>
      <x:c r="U1866" s="4" t="str">
        <x:v>Train</x:v>
      </x:c>
    </x:row>
    <x:row r="1867" ht="34" customHeight="1">
      <x:c r="A1867" s="4" t="str">
        <x:v>RS-01866</x:v>
      </x:c>
      <x:c r="B1867" s="8" t="n">
        <x:v>45400</x:v>
      </x:c>
      <x:c r="C1867" s="4" t="str">
        <x:v>PRJ-006</x:v>
      </x:c>
      <x:c r="D1867" s="4" t="str">
        <x:v>Office</x:v>
      </x:c>
      <x:c r="E1867" s="4" t="str">
        <x:v>Agreement signed</x:v>
      </x:c>
      <x:c r="F1867" s="4" t="str">
        <x:v>CUS-01866</x:v>
      </x:c>
      <x:c r="G1867" s="4" t="str">
        <x:v>UNIT-01866</x:v>
      </x:c>
      <x:c r="H1867" s="9" t="n">
        <x:v>22500000</x:v>
      </x:c>
      <x:c r="I1867" s="10" t="n">
        <x:v>0.04</x:v>
      </x:c>
      <x:c r="J1867" s="11" t="n">
        <x:v>10</x:v>
      </x:c>
      <x:c r="K1867" s="11" t="n">
        <x:v>2</x:v>
      </x:c>
      <x:c r="L1867" s="11" t="n">
        <x:v>1</x:v>
      </x:c>
      <x:c r="M1867" s="9" t="n">
        <x:f>ROUND(H1867*(1-I1867),2)</x:f>
        <x:v>21600000</x:v>
      </x:c>
      <x:c r="N1867" s="4" t="str">
        <x:v>Sales manager</x:v>
      </x:c>
      <x:c r="O1867" s="4" t="str">
        <x:v>BOOK-01866</x:v>
      </x:c>
      <x:c r="P1867" s="9" t="n">
        <x:v>5400000</x:v>
      </x:c>
      <x:c r="Q1867" s="11" t="n">
        <x:v>0</x:v>
      </x:c>
      <x:c r="R1867" s="8" t="n">
        <x:v>45460</x:v>
      </x:c>
      <x:c r="S1867" s="4" t="str">
        <x:v>Retained</x:v>
      </x:c>
      <x:c r="T1867" s="10" t="n">
        <x:v>0.310195</x:v>
      </x:c>
      <x:c r="U1867" s="4" t="str">
        <x:v>Train</x:v>
      </x:c>
    </x:row>
    <x:row r="1868" ht="34" customHeight="1">
      <x:c r="A1868" s="4" t="str">
        <x:v>RS-01867</x:v>
      </x:c>
      <x:c r="B1868" s="8" t="n">
        <x:v>45401</x:v>
      </x:c>
      <x:c r="C1868" s="4" t="str">
        <x:v>PRJ-007</x:v>
      </x:c>
      <x:c r="D1868" s="4" t="str">
        <x:v>Office</x:v>
      </x:c>
      <x:c r="E1868" s="4" t="str">
        <x:v>Enquiry</x:v>
      </x:c>
      <x:c r="F1868" s="4" t="str">
        <x:v>CUS-01867</x:v>
      </x:c>
      <x:c r="G1868" s="4" t="str">
        <x:v>UNIT-01867</x:v>
      </x:c>
      <x:c r="H1868" s="9" t="n">
        <x:v>19500000</x:v>
      </x:c>
      <x:c r="I1868" s="10" t="n">
        <x:v>0.11</x:v>
      </x:c>
      <x:c r="J1868" s="11" t="n">
        <x:v>2</x:v>
      </x:c>
      <x:c r="K1868" s="11" t="n">
        <x:v>1</x:v>
      </x:c>
      <x:c r="L1868" s="11" t="n">
        <x:v>0</x:v>
      </x:c>
      <x:c r="M1868" s="9" t="n">
        <x:f>ROUND(H1868*(1-I1868),2)</x:f>
        <x:v>17355000</x:v>
      </x:c>
      <x:c r="N1868" s="4" t="str">
        <x:v>Sales head</x:v>
      </x:c>
      <x:c r="O1868" s="4"/>
      <x:c r="P1868" s="9" t="n">
        <x:v>0</x:v>
      </x:c>
      <x:c r="Q1868" s="11" t="n">
        <x:v>0</x:v>
      </x:c>
      <x:c r="R1868" s="8" t="n">
        <x:v>45461</x:v>
      </x:c>
      <x:c r="S1868" s="4" t="str">
        <x:v>Retained</x:v>
      </x:c>
      <x:c r="T1868" s="10" t="n">
        <x:v>0.145833</x:v>
      </x:c>
      <x:c r="U1868" s="4" t="str">
        <x:v>Train</x:v>
      </x:c>
    </x:row>
    <x:row r="1869" ht="34" customHeight="1">
      <x:c r="A1869" s="4" t="str">
        <x:v>RS-01868</x:v>
      </x:c>
      <x:c r="B1869" s="8" t="n">
        <x:v>45402</x:v>
      </x:c>
      <x:c r="C1869" s="4" t="str">
        <x:v>PRJ-008</x:v>
      </x:c>
      <x:c r="D1869" s="4" t="str">
        <x:v>Retail</x:v>
      </x:c>
      <x:c r="E1869" s="4" t="str">
        <x:v>Agreement signed</x:v>
      </x:c>
      <x:c r="F1869" s="4" t="str">
        <x:v>CUS-01868</x:v>
      </x:c>
      <x:c r="G1869" s="4" t="str">
        <x:v>UNIT-01868</x:v>
      </x:c>
      <x:c r="H1869" s="9" t="n">
        <x:v>16000000</x:v>
      </x:c>
      <x:c r="I1869" s="10" t="n">
        <x:v>0.08</x:v>
      </x:c>
      <x:c r="J1869" s="11" t="n">
        <x:v>4</x:v>
      </x:c>
      <x:c r="K1869" s="11" t="n">
        <x:v>6</x:v>
      </x:c>
      <x:c r="L1869" s="11" t="n">
        <x:v>1</x:v>
      </x:c>
      <x:c r="M1869" s="9" t="n">
        <x:f>ROUND(H1869*(1-I1869),2)</x:f>
        <x:v>14720000</x:v>
      </x:c>
      <x:c r="N1869" s="4" t="str">
        <x:v>Sales head</x:v>
      </x:c>
      <x:c r="O1869" s="4" t="str">
        <x:v>BOOK-01868</x:v>
      </x:c>
      <x:c r="P1869" s="9" t="n">
        <x:v>3680000</x:v>
      </x:c>
      <x:c r="Q1869" s="11" t="n">
        <x:v>0</x:v>
      </x:c>
      <x:c r="R1869" s="8" t="n">
        <x:v>45462</x:v>
      </x:c>
      <x:c r="S1869" s="4" t="str">
        <x:v>Retained</x:v>
      </x:c>
      <x:c r="T1869" s="10" t="n">
        <x:v>0.291946</x:v>
      </x:c>
      <x:c r="U1869" s="4" t="str">
        <x:v>Train</x:v>
      </x:c>
    </x:row>
    <x:row r="1870" ht="34" customHeight="1">
      <x:c r="A1870" s="4" t="str">
        <x:v>RS-01869</x:v>
      </x:c>
      <x:c r="B1870" s="8" t="n">
        <x:v>45403</x:v>
      </x:c>
      <x:c r="C1870" s="4" t="str">
        <x:v>PRJ-009</x:v>
      </x:c>
      <x:c r="D1870" s="4" t="str">
        <x:v>Apartment</x:v>
      </x:c>
      <x:c r="E1870" s="4" t="str">
        <x:v>Booked</x:v>
      </x:c>
      <x:c r="F1870" s="4" t="str">
        <x:v>CUS-01869</x:v>
      </x:c>
      <x:c r="G1870" s="4" t="str">
        <x:v>UNIT-01869</x:v>
      </x:c>
      <x:c r="H1870" s="9" t="n">
        <x:v>8900000</x:v>
      </x:c>
      <x:c r="I1870" s="10" t="n">
        <x:v>0.05</x:v>
      </x:c>
      <x:c r="J1870" s="11" t="n">
        <x:v>0</x:v>
      </x:c>
      <x:c r="K1870" s="11" t="n">
        <x:v>1</x:v>
      </x:c>
      <x:c r="L1870" s="11" t="n">
        <x:v>1</x:v>
      </x:c>
      <x:c r="M1870" s="9" t="n">
        <x:f>ROUND(H1870*(1-I1870),2)</x:f>
        <x:v>8455000</x:v>
      </x:c>
      <x:c r="N1870" s="4" t="str">
        <x:v>Sales manager</x:v>
      </x:c>
      <x:c r="O1870" s="4" t="str">
        <x:v>BOOK-01869</x:v>
      </x:c>
      <x:c r="P1870" s="9" t="n">
        <x:v>2113750</x:v>
      </x:c>
      <x:c r="Q1870" s="11" t="n">
        <x:v>0</x:v>
      </x:c>
      <x:c r="R1870" s="8" t="n">
        <x:v>45463</x:v>
      </x:c>
      <x:c r="S1870" s="4" t="str">
        <x:v>Retained</x:v>
      </x:c>
      <x:c r="T1870" s="10" t="n">
        <x:v>0.204152</x:v>
      </x:c>
      <x:c r="U1870" s="4" t="str">
        <x:v>Train</x:v>
      </x:c>
    </x:row>
    <x:row r="1871" ht="34" customHeight="1">
      <x:c r="A1871" s="4" t="str">
        <x:v>RS-01870</x:v>
      </x:c>
      <x:c r="B1871" s="8" t="n">
        <x:v>45404</x:v>
      </x:c>
      <x:c r="C1871" s="4" t="str">
        <x:v>PRJ-010</x:v>
      </x:c>
      <x:c r="D1871" s="4" t="str">
        <x:v>Office</x:v>
      </x:c>
      <x:c r="E1871" s="4" t="str">
        <x:v>Reserved</x:v>
      </x:c>
      <x:c r="F1871" s="4" t="str">
        <x:v>CUS-01870</x:v>
      </x:c>
      <x:c r="G1871" s="4" t="str">
        <x:v>UNIT-01870</x:v>
      </x:c>
      <x:c r="H1871" s="9" t="n">
        <x:v>3600000</x:v>
      </x:c>
      <x:c r="I1871" s="10" t="n">
        <x:v>0.11</x:v>
      </x:c>
      <x:c r="J1871" s="11" t="n">
        <x:v>7</x:v>
      </x:c>
      <x:c r="K1871" s="11" t="n">
        <x:v>8</x:v>
      </x:c>
      <x:c r="L1871" s="11" t="n">
        <x:v>1</x:v>
      </x:c>
      <x:c r="M1871" s="9" t="n">
        <x:f>ROUND(H1871*(1-I1871),2)</x:f>
        <x:v>3204000</x:v>
      </x:c>
      <x:c r="N1871" s="4" t="str">
        <x:v>Sales head</x:v>
      </x:c>
      <x:c r="O1871" s="4"/>
      <x:c r="P1871" s="9" t="n">
        <x:v>0</x:v>
      </x:c>
      <x:c r="Q1871" s="11" t="n">
        <x:v>0</x:v>
      </x:c>
      <x:c r="R1871" s="8" t="n">
        <x:v>45464</x:v>
      </x:c>
      <x:c r="S1871" s="4" t="str">
        <x:v>Retained</x:v>
      </x:c>
      <x:c r="T1871" s="10" t="n">
        <x:v>0.291946</x:v>
      </x:c>
      <x:c r="U1871" s="4" t="str">
        <x:v>Train</x:v>
      </x:c>
    </x:row>
    <x:row r="1872" ht="34" customHeight="1">
      <x:c r="A1872" s="4" t="str">
        <x:v>RS-01871</x:v>
      </x:c>
      <x:c r="B1872" s="8" t="n">
        <x:v>45405</x:v>
      </x:c>
      <x:c r="C1872" s="4" t="str">
        <x:v>PRJ-011</x:v>
      </x:c>
      <x:c r="D1872" s="4" t="str">
        <x:v>Apartment</x:v>
      </x:c>
      <x:c r="E1872" s="4" t="str">
        <x:v>Booked</x:v>
      </x:c>
      <x:c r="F1872" s="4" t="str">
        <x:v>CUS-01871</x:v>
      </x:c>
      <x:c r="G1872" s="4" t="str">
        <x:v>UNIT-01871</x:v>
      </x:c>
      <x:c r="H1872" s="9" t="n">
        <x:v>7200000</x:v>
      </x:c>
      <x:c r="I1872" s="10" t="n">
        <x:v>0.11</x:v>
      </x:c>
      <x:c r="J1872" s="11" t="n">
        <x:v>2</x:v>
      </x:c>
      <x:c r="K1872" s="11" t="n">
        <x:v>4</x:v>
      </x:c>
      <x:c r="L1872" s="11" t="n">
        <x:v>1</x:v>
      </x:c>
      <x:c r="M1872" s="9" t="n">
        <x:f>ROUND(H1872*(1-I1872),2)</x:f>
        <x:v>6408000</x:v>
      </x:c>
      <x:c r="N1872" s="4" t="str">
        <x:v>Sales head</x:v>
      </x:c>
      <x:c r="O1872" s="4" t="str">
        <x:v>BOOK-01871</x:v>
      </x:c>
      <x:c r="P1872" s="9" t="n">
        <x:v>1602000</x:v>
      </x:c>
      <x:c r="Q1872" s="11" t="n">
        <x:v>0</x:v>
      </x:c>
      <x:c r="R1872" s="8" t="n">
        <x:v>45465</x:v>
      </x:c>
      <x:c r="S1872" s="4" t="str">
        <x:v>Retained</x:v>
      </x:c>
      <x:c r="T1872" s="10" t="n">
        <x:v>0.145833</x:v>
      </x:c>
      <x:c r="U1872" s="4" t="str">
        <x:v>Train</x:v>
      </x:c>
    </x:row>
    <x:row r="1873" ht="34" customHeight="1">
      <x:c r="A1873" s="4" t="str">
        <x:v>RS-01872</x:v>
      </x:c>
      <x:c r="B1873" s="8" t="n">
        <x:v>45406</x:v>
      </x:c>
      <x:c r="C1873" s="4" t="str">
        <x:v>PRJ-012</x:v>
      </x:c>
      <x:c r="D1873" s="4" t="str">
        <x:v>Office</x:v>
      </x:c>
      <x:c r="E1873" s="4" t="str">
        <x:v>Reserved</x:v>
      </x:c>
      <x:c r="F1873" s="4" t="str">
        <x:v>CUS-01872</x:v>
      </x:c>
      <x:c r="G1873" s="4" t="str">
        <x:v>UNIT-01872</x:v>
      </x:c>
      <x:c r="H1873" s="9" t="n">
        <x:v>3300000</x:v>
      </x:c>
      <x:c r="I1873" s="10" t="n">
        <x:v>0.04</x:v>
      </x:c>
      <x:c r="J1873" s="11" t="n">
        <x:v>11</x:v>
      </x:c>
      <x:c r="K1873" s="11" t="n">
        <x:v>9</x:v>
      </x:c>
      <x:c r="L1873" s="11" t="n">
        <x:v>1</x:v>
      </x:c>
      <x:c r="M1873" s="9" t="n">
        <x:f>ROUND(H1873*(1-I1873),2)</x:f>
        <x:v>3168000</x:v>
      </x:c>
      <x:c r="N1873" s="4" t="str">
        <x:v>Sales manager</x:v>
      </x:c>
      <x:c r="O1873" s="4"/>
      <x:c r="P1873" s="9" t="n">
        <x:v>0</x:v>
      </x:c>
      <x:c r="Q1873" s="11" t="n">
        <x:v>0</x:v>
      </x:c>
      <x:c r="R1873" s="8" t="n">
        <x:v>45466</x:v>
      </x:c>
      <x:c r="S1873" s="4" t="str">
        <x:v>Retained</x:v>
      </x:c>
      <x:c r="T1873" s="10" t="n">
        <x:v>0.351536</x:v>
      </x:c>
      <x:c r="U1873" s="4" t="str">
        <x:v>Train</x:v>
      </x:c>
    </x:row>
    <x:row r="1874" ht="34" customHeight="1">
      <x:c r="A1874" s="4" t="str">
        <x:v>RS-01873</x:v>
      </x:c>
      <x:c r="B1874" s="8" t="n">
        <x:v>45407</x:v>
      </x:c>
      <x:c r="C1874" s="4" t="str">
        <x:v>PRJ-013</x:v>
      </x:c>
      <x:c r="D1874" s="4" t="str">
        <x:v>Retail</x:v>
      </x:c>
      <x:c r="E1874" s="4" t="str">
        <x:v>Enquiry</x:v>
      </x:c>
      <x:c r="F1874" s="4" t="str">
        <x:v>CUS-01873</x:v>
      </x:c>
      <x:c r="G1874" s="4" t="str">
        <x:v>UNIT-01873</x:v>
      </x:c>
      <x:c r="H1874" s="9" t="n">
        <x:v>17900000</x:v>
      </x:c>
      <x:c r="I1874" s="10" t="n">
        <x:v>0.06</x:v>
      </x:c>
      <x:c r="J1874" s="11" t="n">
        <x:v>12</x:v>
      </x:c>
      <x:c r="K1874" s="11" t="n">
        <x:v>7</x:v>
      </x:c>
      <x:c r="L1874" s="11" t="n">
        <x:v>0</x:v>
      </x:c>
      <x:c r="M1874" s="9" t="n">
        <x:f>ROUND(H1874*(1-I1874),2)</x:f>
        <x:v>16826000</x:v>
      </x:c>
      <x:c r="N1874" s="4" t="str">
        <x:v>Sales manager</x:v>
      </x:c>
      <x:c r="O1874" s="4"/>
      <x:c r="P1874" s="9" t="n">
        <x:v>0</x:v>
      </x:c>
      <x:c r="Q1874" s="11" t="n">
        <x:v>1</x:v>
      </x:c>
      <x:c r="R1874" s="8" t="n">
        <x:v>45467</x:v>
      </x:c>
      <x:c r="S1874" s="4" t="str">
        <x:v>Lost / cancelled</x:v>
      </x:c>
      <x:c r="T1874" s="10" t="n">
        <x:v>0.351536</x:v>
      </x:c>
      <x:c r="U1874" s="4" t="str">
        <x:v>Train</x:v>
      </x:c>
    </x:row>
    <x:row r="1875" ht="34" customHeight="1">
      <x:c r="A1875" s="4" t="str">
        <x:v>RS-01874</x:v>
      </x:c>
      <x:c r="B1875" s="8" t="n">
        <x:v>45408</x:v>
      </x:c>
      <x:c r="C1875" s="4" t="str">
        <x:v>PRJ-014</x:v>
      </x:c>
      <x:c r="D1875" s="4" t="str">
        <x:v>Retail</x:v>
      </x:c>
      <x:c r="E1875" s="4" t="str">
        <x:v>Booked</x:v>
      </x:c>
      <x:c r="F1875" s="4" t="str">
        <x:v>CUS-01874</x:v>
      </x:c>
      <x:c r="G1875" s="4" t="str">
        <x:v>UNIT-01874</x:v>
      </x:c>
      <x:c r="H1875" s="9" t="n">
        <x:v>9200000</x:v>
      </x:c>
      <x:c r="I1875" s="10" t="n">
        <x:v>0.08</x:v>
      </x:c>
      <x:c r="J1875" s="11" t="n">
        <x:v>6</x:v>
      </x:c>
      <x:c r="K1875" s="11" t="n">
        <x:v>7</x:v>
      </x:c>
      <x:c r="L1875" s="11" t="n">
        <x:v>0</x:v>
      </x:c>
      <x:c r="M1875" s="9" t="n">
        <x:f>ROUND(H1875*(1-I1875),2)</x:f>
        <x:v>8464000</x:v>
      </x:c>
      <x:c r="N1875" s="4" t="str">
        <x:v>Sales head</x:v>
      </x:c>
      <x:c r="O1875" s="4" t="str">
        <x:v>BOOK-01874</x:v>
      </x:c>
      <x:c r="P1875" s="9" t="n">
        <x:v>8464000</x:v>
      </x:c>
      <x:c r="Q1875" s="11" t="n">
        <x:v>0</x:v>
      </x:c>
      <x:c r="R1875" s="8" t="n">
        <x:v>45468</x:v>
      </x:c>
      <x:c r="S1875" s="4" t="str">
        <x:v>Retained</x:v>
      </x:c>
      <x:c r="T1875" s="10" t="n">
        <x:v>0.226277</x:v>
      </x:c>
      <x:c r="U1875" s="4" t="str">
        <x:v>Train</x:v>
      </x:c>
    </x:row>
    <x:row r="1876" ht="34" customHeight="1">
      <x:c r="A1876" s="4" t="str">
        <x:v>RS-01875</x:v>
      </x:c>
      <x:c r="B1876" s="8" t="n">
        <x:v>45409</x:v>
      </x:c>
      <x:c r="C1876" s="4" t="str">
        <x:v>PRJ-015</x:v>
      </x:c>
      <x:c r="D1876" s="4" t="str">
        <x:v>Office</x:v>
      </x:c>
      <x:c r="E1876" s="4" t="str">
        <x:v>Cancelled</x:v>
      </x:c>
      <x:c r="F1876" s="4" t="str">
        <x:v>CUS-01875</x:v>
      </x:c>
      <x:c r="G1876" s="4" t="str">
        <x:v>UNIT-01875</x:v>
      </x:c>
      <x:c r="H1876" s="9" t="n">
        <x:v>21600000</x:v>
      </x:c>
      <x:c r="I1876" s="10" t="n">
        <x:v>0.05</x:v>
      </x:c>
      <x:c r="J1876" s="11" t="n">
        <x:v>0</x:v>
      </x:c>
      <x:c r="K1876" s="11" t="n">
        <x:v>4</x:v>
      </x:c>
      <x:c r="L1876" s="11" t="n">
        <x:v>0</x:v>
      </x:c>
      <x:c r="M1876" s="9" t="n">
        <x:f>ROUND(H1876*(1-I1876),2)</x:f>
        <x:v>20520000</x:v>
      </x:c>
      <x:c r="N1876" s="4" t="str">
        <x:v>Sales manager</x:v>
      </x:c>
      <x:c r="O1876" s="4"/>
      <x:c r="P1876" s="9" t="n">
        <x:v>0</x:v>
      </x:c>
      <x:c r="Q1876" s="11" t="n">
        <x:v>1</x:v>
      </x:c>
      <x:c r="R1876" s="8" t="n">
        <x:v>45469</x:v>
      </x:c>
      <x:c r="S1876" s="4" t="str">
        <x:v>Lost / cancelled</x:v>
      </x:c>
      <x:c r="T1876" s="10" t="n">
        <x:v>0.204152</x:v>
      </x:c>
      <x:c r="U1876" s="4" t="str">
        <x:v>Train</x:v>
      </x:c>
    </x:row>
    <x:row r="1877" ht="34" customHeight="1">
      <x:c r="A1877" s="4" t="str">
        <x:v>RS-01876</x:v>
      </x:c>
      <x:c r="B1877" s="8" t="n">
        <x:v>45410</x:v>
      </x:c>
      <x:c r="C1877" s="4" t="str">
        <x:v>PRJ-016</x:v>
      </x:c>
      <x:c r="D1877" s="4" t="str">
        <x:v>Villa</x:v>
      </x:c>
      <x:c r="E1877" s="4" t="str">
        <x:v>Booked</x:v>
      </x:c>
      <x:c r="F1877" s="4" t="str">
        <x:v>CUS-01876</x:v>
      </x:c>
      <x:c r="G1877" s="4" t="str">
        <x:v>UNIT-01876</x:v>
      </x:c>
      <x:c r="H1877" s="9" t="n">
        <x:v>11300000</x:v>
      </x:c>
      <x:c r="I1877" s="10" t="n">
        <x:v>0.07</x:v>
      </x:c>
      <x:c r="J1877" s="11" t="n">
        <x:v>2</x:v>
      </x:c>
      <x:c r="K1877" s="11" t="n">
        <x:v>1</x:v>
      </x:c>
      <x:c r="L1877" s="11" t="n">
        <x:v>0</x:v>
      </x:c>
      <x:c r="M1877" s="9" t="n">
        <x:f>ROUND(H1877*(1-I1877),2)</x:f>
        <x:v>10509000</x:v>
      </x:c>
      <x:c r="N1877" s="4" t="str">
        <x:v>Sales manager</x:v>
      </x:c>
      <x:c r="O1877" s="4" t="str">
        <x:v>BOOK-01876</x:v>
      </x:c>
      <x:c r="P1877" s="9" t="n">
        <x:v>1050900</x:v>
      </x:c>
      <x:c r="Q1877" s="11" t="n">
        <x:v>0</x:v>
      </x:c>
      <x:c r="R1877" s="8" t="n">
        <x:v>45470</x:v>
      </x:c>
      <x:c r="S1877" s="4" t="str">
        <x:v>Retained</x:v>
      </x:c>
      <x:c r="T1877" s="10" t="n">
        <x:v>0.204152</x:v>
      </x:c>
      <x:c r="U1877" s="4" t="str">
        <x:v>Train</x:v>
      </x:c>
    </x:row>
    <x:row r="1878" ht="34" customHeight="1">
      <x:c r="A1878" s="4" t="str">
        <x:v>RS-01877</x:v>
      </x:c>
      <x:c r="B1878" s="8" t="n">
        <x:v>45383</x:v>
      </x:c>
      <x:c r="C1878" s="4" t="str">
        <x:v>PRJ-017</x:v>
      </x:c>
      <x:c r="D1878" s="4" t="str">
        <x:v>Villa</x:v>
      </x:c>
      <x:c r="E1878" s="4" t="str">
        <x:v>Booked</x:v>
      </x:c>
      <x:c r="F1878" s="4" t="str">
        <x:v>CUS-01877</x:v>
      </x:c>
      <x:c r="G1878" s="4" t="str">
        <x:v>UNIT-01877</x:v>
      </x:c>
      <x:c r="H1878" s="9" t="n">
        <x:v>16100000</x:v>
      </x:c>
      <x:c r="I1878" s="10" t="n">
        <x:v>0</x:v>
      </x:c>
      <x:c r="J1878" s="11" t="n">
        <x:v>5</x:v>
      </x:c>
      <x:c r="K1878" s="11" t="n">
        <x:v>5</x:v>
      </x:c>
      <x:c r="L1878" s="11" t="n">
        <x:v>0</x:v>
      </x:c>
      <x:c r="M1878" s="9" t="n">
        <x:f>ROUND(H1878*(1-I1878),2)</x:f>
        <x:v>16100000</x:v>
      </x:c>
      <x:c r="N1878" s="4" t="str">
        <x:v>Sales manager</x:v>
      </x:c>
      <x:c r="O1878" s="4" t="str">
        <x:v>BOOK-01877</x:v>
      </x:c>
      <x:c r="P1878" s="9" t="n">
        <x:v>8050000</x:v>
      </x:c>
      <x:c r="Q1878" s="11" t="n">
        <x:v>0</x:v>
      </x:c>
      <x:c r="R1878" s="8" t="n">
        <x:v>45443</x:v>
      </x:c>
      <x:c r="S1878" s="4" t="str">
        <x:v>Retained</x:v>
      </x:c>
      <x:c r="T1878" s="10" t="n">
        <x:v>0.145299</x:v>
      </x:c>
      <x:c r="U1878" s="4" t="str">
        <x:v>Train</x:v>
      </x:c>
    </x:row>
    <x:row r="1879" ht="34" customHeight="1">
      <x:c r="A1879" s="4" t="str">
        <x:v>RS-01878</x:v>
      </x:c>
      <x:c r="B1879" s="8" t="n">
        <x:v>45384</x:v>
      </x:c>
      <x:c r="C1879" s="4" t="str">
        <x:v>PRJ-018</x:v>
      </x:c>
      <x:c r="D1879" s="4" t="str">
        <x:v>Apartment</x:v>
      </x:c>
      <x:c r="E1879" s="4" t="str">
        <x:v>Cancelled</x:v>
      </x:c>
      <x:c r="F1879" s="4" t="str">
        <x:v>CUS-01878</x:v>
      </x:c>
      <x:c r="G1879" s="4" t="str">
        <x:v>UNIT-01878</x:v>
      </x:c>
      <x:c r="H1879" s="9" t="n">
        <x:v>15400000</x:v>
      </x:c>
      <x:c r="I1879" s="10" t="n">
        <x:v>0.07</x:v>
      </x:c>
      <x:c r="J1879" s="11" t="n">
        <x:v>8</x:v>
      </x:c>
      <x:c r="K1879" s="11" t="n">
        <x:v>9</x:v>
      </x:c>
      <x:c r="L1879" s="11" t="n">
        <x:v>1</x:v>
      </x:c>
      <x:c r="M1879" s="9" t="n">
        <x:f>ROUND(H1879*(1-I1879),2)</x:f>
        <x:v>14322000</x:v>
      </x:c>
      <x:c r="N1879" s="4" t="str">
        <x:v>Sales manager</x:v>
      </x:c>
      <x:c r="O1879" s="4"/>
      <x:c r="P1879" s="9" t="n">
        <x:v>0</x:v>
      </x:c>
      <x:c r="Q1879" s="11" t="n">
        <x:v>1</x:v>
      </x:c>
      <x:c r="R1879" s="8" t="n">
        <x:v>45444</x:v>
      </x:c>
      <x:c r="S1879" s="4" t="str">
        <x:v>Lost / cancelled</x:v>
      </x:c>
      <x:c r="T1879" s="10" t="n">
        <x:v>0.310195</x:v>
      </x:c>
      <x:c r="U1879" s="4" t="str">
        <x:v>Train</x:v>
      </x:c>
    </x:row>
    <x:row r="1880" ht="34" customHeight="1">
      <x:c r="A1880" s="4" t="str">
        <x:v>RS-01879</x:v>
      </x:c>
      <x:c r="B1880" s="8" t="n">
        <x:v>45385</x:v>
      </x:c>
      <x:c r="C1880" s="4" t="str">
        <x:v>PRJ-019</x:v>
      </x:c>
      <x:c r="D1880" s="4" t="str">
        <x:v>Villa</x:v>
      </x:c>
      <x:c r="E1880" s="4" t="str">
        <x:v>Agreement signed</x:v>
      </x:c>
      <x:c r="F1880" s="4" t="str">
        <x:v>CUS-01879</x:v>
      </x:c>
      <x:c r="G1880" s="4" t="str">
        <x:v>UNIT-01879</x:v>
      </x:c>
      <x:c r="H1880" s="9" t="n">
        <x:v>17500000</x:v>
      </x:c>
      <x:c r="I1880" s="10" t="n">
        <x:v>0.01</x:v>
      </x:c>
      <x:c r="J1880" s="11" t="n">
        <x:v>11</x:v>
      </x:c>
      <x:c r="K1880" s="11" t="n">
        <x:v>4</x:v>
      </x:c>
      <x:c r="L1880" s="11" t="n">
        <x:v>0</x:v>
      </x:c>
      <x:c r="M1880" s="9" t="n">
        <x:f>ROUND(H1880*(1-I1880),2)</x:f>
        <x:v>17325000</x:v>
      </x:c>
      <x:c r="N1880" s="4" t="str">
        <x:v>Sales manager</x:v>
      </x:c>
      <x:c r="O1880" s="4" t="str">
        <x:v>BOOK-01879</x:v>
      </x:c>
      <x:c r="P1880" s="9" t="n">
        <x:v>8662500</x:v>
      </x:c>
      <x:c r="Q1880" s="11" t="n">
        <x:v>0</x:v>
      </x:c>
      <x:c r="R1880" s="8" t="n">
        <x:v>45445</x:v>
      </x:c>
      <x:c r="S1880" s="4" t="str">
        <x:v>Retained</x:v>
      </x:c>
      <x:c r="T1880" s="10" t="n">
        <x:v>0.305556</x:v>
      </x:c>
      <x:c r="U1880" s="4" t="str">
        <x:v>Train</x:v>
      </x:c>
    </x:row>
    <x:row r="1881" ht="34" customHeight="1">
      <x:c r="A1881" s="4" t="str">
        <x:v>RS-01880</x:v>
      </x:c>
      <x:c r="B1881" s="8" t="n">
        <x:v>45386</x:v>
      </x:c>
      <x:c r="C1881" s="4" t="str">
        <x:v>PRJ-020</x:v>
      </x:c>
      <x:c r="D1881" s="4" t="str">
        <x:v>Villa</x:v>
      </x:c>
      <x:c r="E1881" s="4" t="str">
        <x:v>Agreement signed</x:v>
      </x:c>
      <x:c r="F1881" s="4" t="str">
        <x:v>CUS-01880</x:v>
      </x:c>
      <x:c r="G1881" s="4" t="str">
        <x:v>UNIT-01880</x:v>
      </x:c>
      <x:c r="H1881" s="9" t="n">
        <x:v>5200000</x:v>
      </x:c>
      <x:c r="I1881" s="10" t="n">
        <x:v>0.05</x:v>
      </x:c>
      <x:c r="J1881" s="11" t="n">
        <x:v>7</x:v>
      </x:c>
      <x:c r="K1881" s="11" t="n">
        <x:v>8</x:v>
      </x:c>
      <x:c r="L1881" s="11" t="n">
        <x:v>1</x:v>
      </x:c>
      <x:c r="M1881" s="9" t="n">
        <x:f>ROUND(H1881*(1-I1881),2)</x:f>
        <x:v>4940000</x:v>
      </x:c>
      <x:c r="N1881" s="4" t="str">
        <x:v>Sales manager</x:v>
      </x:c>
      <x:c r="O1881" s="4" t="str">
        <x:v>BOOK-01880</x:v>
      </x:c>
      <x:c r="P1881" s="9" t="n">
        <x:v>494000</x:v>
      </x:c>
      <x:c r="Q1881" s="11" t="n">
        <x:v>0</x:v>
      </x:c>
      <x:c r="R1881" s="8" t="n">
        <x:v>45446</x:v>
      </x:c>
      <x:c r="S1881" s="4" t="str">
        <x:v>Retained</x:v>
      </x:c>
      <x:c r="T1881" s="10" t="n">
        <x:v>0.291946</x:v>
      </x:c>
      <x:c r="U1881" s="4" t="str">
        <x:v>Train</x:v>
      </x:c>
    </x:row>
    <x:row r="1882" ht="34" customHeight="1">
      <x:c r="A1882" s="4" t="str">
        <x:v>RS-01881</x:v>
      </x:c>
      <x:c r="B1882" s="8" t="n">
        <x:v>45387</x:v>
      </x:c>
      <x:c r="C1882" s="4" t="str">
        <x:v>PRJ-001</x:v>
      </x:c>
      <x:c r="D1882" s="4" t="str">
        <x:v>Retail</x:v>
      </x:c>
      <x:c r="E1882" s="4" t="str">
        <x:v>Handed over</x:v>
      </x:c>
      <x:c r="F1882" s="4" t="str">
        <x:v>CUS-01881</x:v>
      </x:c>
      <x:c r="G1882" s="4" t="str">
        <x:v>UNIT-01881</x:v>
      </x:c>
      <x:c r="H1882" s="9" t="n">
        <x:v>19800000</x:v>
      </x:c>
      <x:c r="I1882" s="10" t="n">
        <x:v>0.05</x:v>
      </x:c>
      <x:c r="J1882" s="11" t="n">
        <x:v>11</x:v>
      </x:c>
      <x:c r="K1882" s="11" t="n">
        <x:v>7</x:v>
      </x:c>
      <x:c r="L1882" s="11" t="n">
        <x:v>1</x:v>
      </x:c>
      <x:c r="M1882" s="9" t="n">
        <x:f>ROUND(H1882*(1-I1882),2)</x:f>
        <x:v>18810000</x:v>
      </x:c>
      <x:c r="N1882" s="4" t="str">
        <x:v>Sales manager</x:v>
      </x:c>
      <x:c r="O1882" s="4" t="str">
        <x:v>BOOK-01881</x:v>
      </x:c>
      <x:c r="P1882" s="9" t="n">
        <x:v>9405000</x:v>
      </x:c>
      <x:c r="Q1882" s="11" t="n">
        <x:v>0</x:v>
      </x:c>
      <x:c r="R1882" s="8" t="n">
        <x:v>45447</x:v>
      </x:c>
      <x:c r="S1882" s="4" t="str">
        <x:v>Retained</x:v>
      </x:c>
      <x:c r="T1882" s="10" t="n">
        <x:v>0.351536</x:v>
      </x:c>
      <x:c r="U1882" s="4" t="str">
        <x:v>Train</x:v>
      </x:c>
    </x:row>
    <x:row r="1883" ht="34" customHeight="1">
      <x:c r="A1883" s="4" t="str">
        <x:v>RS-01882</x:v>
      </x:c>
      <x:c r="B1883" s="8" t="n">
        <x:v>45388</x:v>
      </x:c>
      <x:c r="C1883" s="4" t="str">
        <x:v>PRJ-002</x:v>
      </x:c>
      <x:c r="D1883" s="4" t="str">
        <x:v>Office</x:v>
      </x:c>
      <x:c r="E1883" s="4" t="str">
        <x:v>Enquiry</x:v>
      </x:c>
      <x:c r="F1883" s="4" t="str">
        <x:v>CUS-01882</x:v>
      </x:c>
      <x:c r="G1883" s="4" t="str">
        <x:v>UNIT-01882</x:v>
      </x:c>
      <x:c r="H1883" s="9" t="n">
        <x:v>15900000</x:v>
      </x:c>
      <x:c r="I1883" s="10" t="n">
        <x:v>0.08</x:v>
      </x:c>
      <x:c r="J1883" s="11" t="n">
        <x:v>4</x:v>
      </x:c>
      <x:c r="K1883" s="11" t="n">
        <x:v>10</x:v>
      </x:c>
      <x:c r="L1883" s="11" t="n">
        <x:v>1</x:v>
      </x:c>
      <x:c r="M1883" s="9" t="n">
        <x:f>ROUND(H1883*(1-I1883),2)</x:f>
        <x:v>14628000</x:v>
      </x:c>
      <x:c r="N1883" s="4" t="str">
        <x:v>Sales head</x:v>
      </x:c>
      <x:c r="O1883" s="4"/>
      <x:c r="P1883" s="9" t="n">
        <x:v>0</x:v>
      </x:c>
      <x:c r="Q1883" s="11" t="n">
        <x:v>1</x:v>
      </x:c>
      <x:c r="R1883" s="8" t="n">
        <x:v>45448</x:v>
      </x:c>
      <x:c r="S1883" s="4" t="str">
        <x:v>Lost / cancelled</x:v>
      </x:c>
      <x:c r="T1883" s="10" t="n">
        <x:v>0.291946</x:v>
      </x:c>
      <x:c r="U1883" s="4" t="str">
        <x:v>Train</x:v>
      </x:c>
    </x:row>
    <x:row r="1884" ht="34" customHeight="1">
      <x:c r="A1884" s="4" t="str">
        <x:v>RS-01883</x:v>
      </x:c>
      <x:c r="B1884" s="8" t="n">
        <x:v>45389</x:v>
      </x:c>
      <x:c r="C1884" s="4" t="str">
        <x:v>PRJ-003</x:v>
      </x:c>
      <x:c r="D1884" s="4" t="str">
        <x:v>Villa</x:v>
      </x:c>
      <x:c r="E1884" s="4" t="str">
        <x:v>Reserved</x:v>
      </x:c>
      <x:c r="F1884" s="4" t="str">
        <x:v>CUS-01883</x:v>
      </x:c>
      <x:c r="G1884" s="4" t="str">
        <x:v>UNIT-01883</x:v>
      </x:c>
      <x:c r="H1884" s="9" t="n">
        <x:v>4100000</x:v>
      </x:c>
      <x:c r="I1884" s="10" t="n">
        <x:v>0.02</x:v>
      </x:c>
      <x:c r="J1884" s="11" t="n">
        <x:v>0</x:v>
      </x:c>
      <x:c r="K1884" s="11" t="n">
        <x:v>0</x:v>
      </x:c>
      <x:c r="L1884" s="11" t="n">
        <x:v>0</x:v>
      </x:c>
      <x:c r="M1884" s="9" t="n">
        <x:f>ROUND(H1884*(1-I1884),2)</x:f>
        <x:v>4018000</x:v>
      </x:c>
      <x:c r="N1884" s="4" t="str">
        <x:v>Sales manager</x:v>
      </x:c>
      <x:c r="O1884" s="4"/>
      <x:c r="P1884" s="9" t="n">
        <x:v>0</x:v>
      </x:c>
      <x:c r="Q1884" s="11" t="n">
        <x:v>0</x:v>
      </x:c>
      <x:c r="R1884" s="8" t="n">
        <x:v>45449</x:v>
      </x:c>
      <x:c r="S1884" s="4" t="str">
        <x:v>Retained</x:v>
      </x:c>
      <x:c r="T1884" s="10" t="n">
        <x:v>0.276923</x:v>
      </x:c>
      <x:c r="U1884" s="4" t="str">
        <x:v>Train</x:v>
      </x:c>
    </x:row>
    <x:row r="1885" ht="34" customHeight="1">
      <x:c r="A1885" s="4" t="str">
        <x:v>RS-01884</x:v>
      </x:c>
      <x:c r="B1885" s="8" t="n">
        <x:v>45390</x:v>
      </x:c>
      <x:c r="C1885" s="4" t="str">
        <x:v>PRJ-004</x:v>
      </x:c>
      <x:c r="D1885" s="4" t="str">
        <x:v>Apartment</x:v>
      </x:c>
      <x:c r="E1885" s="4" t="str">
        <x:v>Reserved</x:v>
      </x:c>
      <x:c r="F1885" s="4" t="str">
        <x:v>CUS-01884</x:v>
      </x:c>
      <x:c r="G1885" s="4" t="str">
        <x:v>UNIT-01884</x:v>
      </x:c>
      <x:c r="H1885" s="9" t="n">
        <x:v>13800000</x:v>
      </x:c>
      <x:c r="I1885" s="10" t="n">
        <x:v>0</x:v>
      </x:c>
      <x:c r="J1885" s="11" t="n">
        <x:v>9</x:v>
      </x:c>
      <x:c r="K1885" s="11" t="n">
        <x:v>0</x:v>
      </x:c>
      <x:c r="L1885" s="11" t="n">
        <x:v>1</x:v>
      </x:c>
      <x:c r="M1885" s="9" t="n">
        <x:f>ROUND(H1885*(1-I1885),2)</x:f>
        <x:v>13800000</x:v>
      </x:c>
      <x:c r="N1885" s="4" t="str">
        <x:v>Sales manager</x:v>
      </x:c>
      <x:c r="O1885" s="4"/>
      <x:c r="P1885" s="9" t="n">
        <x:v>0</x:v>
      </x:c>
      <x:c r="Q1885" s="11" t="n">
        <x:v>1</x:v>
      </x:c>
      <x:c r="R1885" s="8" t="n">
        <x:v>45450</x:v>
      </x:c>
      <x:c r="S1885" s="4" t="str">
        <x:v>Lost / cancelled</x:v>
      </x:c>
      <x:c r="T1885" s="10" t="n">
        <x:v>0.254545</x:v>
      </x:c>
      <x:c r="U1885" s="4" t="str">
        <x:v>Train</x:v>
      </x:c>
    </x:row>
    <x:row r="1886" ht="34" customHeight="1">
      <x:c r="A1886" s="4" t="str">
        <x:v>RS-01885</x:v>
      </x:c>
      <x:c r="B1886" s="8" t="n">
        <x:v>45391</x:v>
      </x:c>
      <x:c r="C1886" s="4" t="str">
        <x:v>PRJ-005</x:v>
      </x:c>
      <x:c r="D1886" s="4" t="str">
        <x:v>Apartment</x:v>
      </x:c>
      <x:c r="E1886" s="4" t="str">
        <x:v>Reserved</x:v>
      </x:c>
      <x:c r="F1886" s="4" t="str">
        <x:v>CUS-01885</x:v>
      </x:c>
      <x:c r="G1886" s="4" t="str">
        <x:v>UNIT-01885</x:v>
      </x:c>
      <x:c r="H1886" s="9" t="n">
        <x:v>4600000</x:v>
      </x:c>
      <x:c r="I1886" s="10" t="n">
        <x:v>0.04</x:v>
      </x:c>
      <x:c r="J1886" s="11" t="n">
        <x:v>0</x:v>
      </x:c>
      <x:c r="K1886" s="11" t="n">
        <x:v>8</x:v>
      </x:c>
      <x:c r="L1886" s="11" t="n">
        <x:v>1</x:v>
      </x:c>
      <x:c r="M1886" s="9" t="n">
        <x:f>ROUND(H1886*(1-I1886),2)</x:f>
        <x:v>4416000</x:v>
      </x:c>
      <x:c r="N1886" s="4" t="str">
        <x:v>Sales manager</x:v>
      </x:c>
      <x:c r="O1886" s="4"/>
      <x:c r="P1886" s="9" t="n">
        <x:v>0</x:v>
      </x:c>
      <x:c r="Q1886" s="11" t="n">
        <x:v>0</x:v>
      </x:c>
      <x:c r="R1886" s="8" t="n">
        <x:v>45451</x:v>
      </x:c>
      <x:c r="S1886" s="4" t="str">
        <x:v>Retained</x:v>
      </x:c>
      <x:c r="T1886" s="10" t="n">
        <x:v>0.204152</x:v>
      </x:c>
      <x:c r="U1886" s="4" t="str">
        <x:v>Train</x:v>
      </x:c>
    </x:row>
    <x:row r="1887" ht="34" customHeight="1">
      <x:c r="A1887" s="4" t="str">
        <x:v>RS-01886</x:v>
      </x:c>
      <x:c r="B1887" s="8" t="n">
        <x:v>45392</x:v>
      </x:c>
      <x:c r="C1887" s="4" t="str">
        <x:v>PRJ-006</x:v>
      </x:c>
      <x:c r="D1887" s="4" t="str">
        <x:v>Retail</x:v>
      </x:c>
      <x:c r="E1887" s="4" t="str">
        <x:v>Handed over</x:v>
      </x:c>
      <x:c r="F1887" s="4" t="str">
        <x:v>CUS-01886</x:v>
      </x:c>
      <x:c r="G1887" s="4" t="str">
        <x:v>UNIT-01886</x:v>
      </x:c>
      <x:c r="H1887" s="9" t="n">
        <x:v>25000000</x:v>
      </x:c>
      <x:c r="I1887" s="10" t="n">
        <x:v>0.08</x:v>
      </x:c>
      <x:c r="J1887" s="11" t="n">
        <x:v>2</x:v>
      </x:c>
      <x:c r="K1887" s="11" t="n">
        <x:v>2</x:v>
      </x:c>
      <x:c r="L1887" s="11" t="n">
        <x:v>0</x:v>
      </x:c>
      <x:c r="M1887" s="9" t="n">
        <x:f>ROUND(H1887*(1-I1887),2)</x:f>
        <x:v>23000000</x:v>
      </x:c>
      <x:c r="N1887" s="4" t="str">
        <x:v>Sales head</x:v>
      </x:c>
      <x:c r="O1887" s="4" t="str">
        <x:v>BOOK-01886</x:v>
      </x:c>
      <x:c r="P1887" s="9" t="n">
        <x:v>23000000</x:v>
      </x:c>
      <x:c r="Q1887" s="11" t="n">
        <x:v>0</x:v>
      </x:c>
      <x:c r="R1887" s="8" t="n">
        <x:v>45452</x:v>
      </x:c>
      <x:c r="S1887" s="4" t="str">
        <x:v>Retained</x:v>
      </x:c>
      <x:c r="T1887" s="10" t="n">
        <x:v>0.204152</x:v>
      </x:c>
      <x:c r="U1887" s="4" t="str">
        <x:v>Train</x:v>
      </x:c>
    </x:row>
    <x:row r="1888" ht="34" customHeight="1">
      <x:c r="A1888" s="4" t="str">
        <x:v>RS-01887</x:v>
      </x:c>
      <x:c r="B1888" s="8" t="n">
        <x:v>45393</x:v>
      </x:c>
      <x:c r="C1888" s="4" t="str">
        <x:v>PRJ-007</x:v>
      </x:c>
      <x:c r="D1888" s="4" t="str">
        <x:v>Retail</x:v>
      </x:c>
      <x:c r="E1888" s="4" t="str">
        <x:v>Booked</x:v>
      </x:c>
      <x:c r="F1888" s="4" t="str">
        <x:v>CUS-01887</x:v>
      </x:c>
      <x:c r="G1888" s="4" t="str">
        <x:v>UNIT-01887</x:v>
      </x:c>
      <x:c r="H1888" s="9" t="n">
        <x:v>16500000</x:v>
      </x:c>
      <x:c r="I1888" s="10" t="n">
        <x:v>0</x:v>
      </x:c>
      <x:c r="J1888" s="11" t="n">
        <x:v>11</x:v>
      </x:c>
      <x:c r="K1888" s="11" t="n">
        <x:v>3</x:v>
      </x:c>
      <x:c r="L1888" s="11" t="n">
        <x:v>1</x:v>
      </x:c>
      <x:c r="M1888" s="9" t="n">
        <x:f>ROUND(H1888*(1-I1888),2)</x:f>
        <x:v>16500000</x:v>
      </x:c>
      <x:c r="N1888" s="4" t="str">
        <x:v>Sales manager</x:v>
      </x:c>
      <x:c r="O1888" s="4" t="str">
        <x:v>BOOK-01887</x:v>
      </x:c>
      <x:c r="P1888" s="9" t="n">
        <x:v>8250000</x:v>
      </x:c>
      <x:c r="Q1888" s="11" t="n">
        <x:v>0</x:v>
      </x:c>
      <x:c r="R1888" s="8" t="n">
        <x:v>45453</x:v>
      </x:c>
      <x:c r="S1888" s="4" t="str">
        <x:v>Retained</x:v>
      </x:c>
      <x:c r="T1888" s="10" t="n">
        <x:v>0.254545</x:v>
      </x:c>
      <x:c r="U1888" s="4" t="str">
        <x:v>Train</x:v>
      </x:c>
    </x:row>
    <x:row r="1889" ht="34" customHeight="1">
      <x:c r="A1889" s="4" t="str">
        <x:v>RS-01888</x:v>
      </x:c>
      <x:c r="B1889" s="8" t="n">
        <x:v>45394</x:v>
      </x:c>
      <x:c r="C1889" s="4" t="str">
        <x:v>PRJ-008</x:v>
      </x:c>
      <x:c r="D1889" s="4" t="str">
        <x:v>Office</x:v>
      </x:c>
      <x:c r="E1889" s="4" t="str">
        <x:v>Cancelled</x:v>
      </x:c>
      <x:c r="F1889" s="4" t="str">
        <x:v>CUS-01888</x:v>
      </x:c>
      <x:c r="G1889" s="4" t="str">
        <x:v>UNIT-01888</x:v>
      </x:c>
      <x:c r="H1889" s="9" t="n">
        <x:v>24100000</x:v>
      </x:c>
      <x:c r="I1889" s="10" t="n">
        <x:v>0</x:v>
      </x:c>
      <x:c r="J1889" s="11" t="n">
        <x:v>2</x:v>
      </x:c>
      <x:c r="K1889" s="11" t="n">
        <x:v>1</x:v>
      </x:c>
      <x:c r="L1889" s="11" t="n">
        <x:v>0</x:v>
      </x:c>
      <x:c r="M1889" s="9" t="n">
        <x:f>ROUND(H1889*(1-I1889),2)</x:f>
        <x:v>24100000</x:v>
      </x:c>
      <x:c r="N1889" s="4" t="str">
        <x:v>Sales manager</x:v>
      </x:c>
      <x:c r="O1889" s="4"/>
      <x:c r="P1889" s="9" t="n">
        <x:v>0</x:v>
      </x:c>
      <x:c r="Q1889" s="11" t="n">
        <x:v>1</x:v>
      </x:c>
      <x:c r="R1889" s="8" t="n">
        <x:v>45454</x:v>
      </x:c>
      <x:c r="S1889" s="4" t="str">
        <x:v>Lost / cancelled</x:v>
      </x:c>
      <x:c r="T1889" s="10" t="n">
        <x:v>0.171717</x:v>
      </x:c>
      <x:c r="U1889" s="4" t="str">
        <x:v>Train</x:v>
      </x:c>
    </x:row>
    <x:row r="1890" ht="34" customHeight="1">
      <x:c r="A1890" s="4" t="str">
        <x:v>RS-01889</x:v>
      </x:c>
      <x:c r="B1890" s="8" t="n">
        <x:v>45395</x:v>
      </x:c>
      <x:c r="C1890" s="4" t="str">
        <x:v>PRJ-009</x:v>
      </x:c>
      <x:c r="D1890" s="4" t="str">
        <x:v>Retail</x:v>
      </x:c>
      <x:c r="E1890" s="4" t="str">
        <x:v>Booked</x:v>
      </x:c>
      <x:c r="F1890" s="4" t="str">
        <x:v>CUS-01889</x:v>
      </x:c>
      <x:c r="G1890" s="4" t="str">
        <x:v>UNIT-01889</x:v>
      </x:c>
      <x:c r="H1890" s="9" t="n">
        <x:v>18700000</x:v>
      </x:c>
      <x:c r="I1890" s="10" t="n">
        <x:v>0.02</x:v>
      </x:c>
      <x:c r="J1890" s="11" t="n">
        <x:v>11</x:v>
      </x:c>
      <x:c r="K1890" s="11" t="n">
        <x:v>10</x:v>
      </x:c>
      <x:c r="L1890" s="11" t="n">
        <x:v>1</x:v>
      </x:c>
      <x:c r="M1890" s="9" t="n">
        <x:f>ROUND(H1890*(1-I1890),2)</x:f>
        <x:v>18326000</x:v>
      </x:c>
      <x:c r="N1890" s="4" t="str">
        <x:v>Sales manager</x:v>
      </x:c>
      <x:c r="O1890" s="4" t="str">
        <x:v>BOOK-01889</x:v>
      </x:c>
      <x:c r="P1890" s="9" t="n">
        <x:v>9163000</x:v>
      </x:c>
      <x:c r="Q1890" s="11" t="n">
        <x:v>0</x:v>
      </x:c>
      <x:c r="R1890" s="8" t="n">
        <x:v>45455</x:v>
      </x:c>
      <x:c r="S1890" s="4" t="str">
        <x:v>Retained</x:v>
      </x:c>
      <x:c r="T1890" s="10" t="n">
        <x:v>0.254545</x:v>
      </x:c>
      <x:c r="U1890" s="4" t="str">
        <x:v>Train</x:v>
      </x:c>
    </x:row>
    <x:row r="1891" ht="34" customHeight="1">
      <x:c r="A1891" s="4" t="str">
        <x:v>RS-01890</x:v>
      </x:c>
      <x:c r="B1891" s="8" t="n">
        <x:v>45396</x:v>
      </x:c>
      <x:c r="C1891" s="4" t="str">
        <x:v>PRJ-010</x:v>
      </x:c>
      <x:c r="D1891" s="4" t="str">
        <x:v>Office</x:v>
      </x:c>
      <x:c r="E1891" s="4" t="str">
        <x:v>Enquiry</x:v>
      </x:c>
      <x:c r="F1891" s="4" t="str">
        <x:v>CUS-01890</x:v>
      </x:c>
      <x:c r="G1891" s="4" t="str">
        <x:v>UNIT-01890</x:v>
      </x:c>
      <x:c r="H1891" s="9" t="n">
        <x:v>10100000</x:v>
      </x:c>
      <x:c r="I1891" s="10" t="n">
        <x:v>0.12</x:v>
      </x:c>
      <x:c r="J1891" s="11" t="n">
        <x:v>1</x:v>
      </x:c>
      <x:c r="K1891" s="11" t="n">
        <x:v>1</x:v>
      </x:c>
      <x:c r="L1891" s="11" t="n">
        <x:v>1</x:v>
      </x:c>
      <x:c r="M1891" s="9" t="n">
        <x:f>ROUND(H1891*(1-I1891),2)</x:f>
        <x:v>8888000</x:v>
      </x:c>
      <x:c r="N1891" s="4" t="str">
        <x:v>Sales head</x:v>
      </x:c>
      <x:c r="O1891" s="4"/>
      <x:c r="P1891" s="9" t="n">
        <x:v>0</x:v>
      </x:c>
      <x:c r="Q1891" s="11" t="n">
        <x:v>0</x:v>
      </x:c>
      <x:c r="R1891" s="8" t="n">
        <x:v>45456</x:v>
      </x:c>
      <x:c r="S1891" s="4" t="str">
        <x:v>Retained</x:v>
      </x:c>
      <x:c r="T1891" s="10" t="n">
        <x:v>0.145833</x:v>
      </x:c>
      <x:c r="U1891" s="4" t="str">
        <x:v>Train</x:v>
      </x:c>
    </x:row>
    <x:row r="1892" ht="34" customHeight="1">
      <x:c r="A1892" s="4" t="str">
        <x:v>RS-01891</x:v>
      </x:c>
      <x:c r="B1892" s="8" t="n">
        <x:v>45397</x:v>
      </x:c>
      <x:c r="C1892" s="4" t="str">
        <x:v>PRJ-011</x:v>
      </x:c>
      <x:c r="D1892" s="4" t="str">
        <x:v>Villa</x:v>
      </x:c>
      <x:c r="E1892" s="4" t="str">
        <x:v>Reserved</x:v>
      </x:c>
      <x:c r="F1892" s="4" t="str">
        <x:v>CUS-01891</x:v>
      </x:c>
      <x:c r="G1892" s="4" t="str">
        <x:v>UNIT-01891</x:v>
      </x:c>
      <x:c r="H1892" s="9" t="n">
        <x:v>16600000</x:v>
      </x:c>
      <x:c r="I1892" s="10" t="n">
        <x:v>0.09</x:v>
      </x:c>
      <x:c r="J1892" s="11" t="n">
        <x:v>0</x:v>
      </x:c>
      <x:c r="K1892" s="11" t="n">
        <x:v>10</x:v>
      </x:c>
      <x:c r="L1892" s="11" t="n">
        <x:v>1</x:v>
      </x:c>
      <x:c r="M1892" s="9" t="n">
        <x:f>ROUND(H1892*(1-I1892),2)</x:f>
        <x:v>15106000</x:v>
      </x:c>
      <x:c r="N1892" s="4" t="str">
        <x:v>Sales head</x:v>
      </x:c>
      <x:c r="O1892" s="4"/>
      <x:c r="P1892" s="9" t="n">
        <x:v>0</x:v>
      </x:c>
      <x:c r="Q1892" s="11" t="n">
        <x:v>0</x:v>
      </x:c>
      <x:c r="R1892" s="8" t="n">
        <x:v>45457</x:v>
      </x:c>
      <x:c r="S1892" s="4" t="str">
        <x:v>Retained</x:v>
      </x:c>
      <x:c r="T1892" s="10" t="n">
        <x:v>0.145833</x:v>
      </x:c>
      <x:c r="U1892" s="4" t="str">
        <x:v>Train</x:v>
      </x:c>
    </x:row>
    <x:row r="1893" ht="34" customHeight="1">
      <x:c r="A1893" s="4" t="str">
        <x:v>RS-01892</x:v>
      </x:c>
      <x:c r="B1893" s="8" t="n">
        <x:v>45398</x:v>
      </x:c>
      <x:c r="C1893" s="4" t="str">
        <x:v>PRJ-012</x:v>
      </x:c>
      <x:c r="D1893" s="4" t="str">
        <x:v>Office</x:v>
      </x:c>
      <x:c r="E1893" s="4" t="str">
        <x:v>Reserved</x:v>
      </x:c>
      <x:c r="F1893" s="4" t="str">
        <x:v>CUS-01892</x:v>
      </x:c>
      <x:c r="G1893" s="4" t="str">
        <x:v>UNIT-01892</x:v>
      </x:c>
      <x:c r="H1893" s="9" t="n">
        <x:v>24000000</x:v>
      </x:c>
      <x:c r="I1893" s="10" t="n">
        <x:v>0</x:v>
      </x:c>
      <x:c r="J1893" s="11" t="n">
        <x:v>4</x:v>
      </x:c>
      <x:c r="K1893" s="11" t="n">
        <x:v>5</x:v>
      </x:c>
      <x:c r="L1893" s="11" t="n">
        <x:v>1</x:v>
      </x:c>
      <x:c r="M1893" s="9" t="n">
        <x:f>ROUND(H1893*(1-I1893),2)</x:f>
        <x:v>24000000</x:v>
      </x:c>
      <x:c r="N1893" s="4" t="str">
        <x:v>Sales manager</x:v>
      </x:c>
      <x:c r="O1893" s="4"/>
      <x:c r="P1893" s="9" t="n">
        <x:v>0</x:v>
      </x:c>
      <x:c r="Q1893" s="11" t="n">
        <x:v>0</x:v>
      </x:c>
      <x:c r="R1893" s="8" t="n">
        <x:v>45458</x:v>
      </x:c>
      <x:c r="S1893" s="4" t="str">
        <x:v>Retained</x:v>
      </x:c>
      <x:c r="T1893" s="10" t="n">
        <x:v>0.145299</x:v>
      </x:c>
      <x:c r="U1893" s="4" t="str">
        <x:v>Train</x:v>
      </x:c>
    </x:row>
    <x:row r="1894" ht="34" customHeight="1">
      <x:c r="A1894" s="4" t="str">
        <x:v>RS-01893</x:v>
      </x:c>
      <x:c r="B1894" s="8" t="n">
        <x:v>45399</x:v>
      </x:c>
      <x:c r="C1894" s="4" t="str">
        <x:v>PRJ-013</x:v>
      </x:c>
      <x:c r="D1894" s="4" t="str">
        <x:v>Retail</x:v>
      </x:c>
      <x:c r="E1894" s="4" t="str">
        <x:v>Enquiry</x:v>
      </x:c>
      <x:c r="F1894" s="4" t="str">
        <x:v>CUS-01893</x:v>
      </x:c>
      <x:c r="G1894" s="4" t="str">
        <x:v>UNIT-01893</x:v>
      </x:c>
      <x:c r="H1894" s="9" t="n">
        <x:v>14300000</x:v>
      </x:c>
      <x:c r="I1894" s="10" t="n">
        <x:v>0.04</x:v>
      </x:c>
      <x:c r="J1894" s="11" t="n">
        <x:v>4</x:v>
      </x:c>
      <x:c r="K1894" s="11" t="n">
        <x:v>3</x:v>
      </x:c>
      <x:c r="L1894" s="11" t="n">
        <x:v>1</x:v>
      </x:c>
      <x:c r="M1894" s="9" t="n">
        <x:f>ROUND(H1894*(1-I1894),2)</x:f>
        <x:v>13728000</x:v>
      </x:c>
      <x:c r="N1894" s="4" t="str">
        <x:v>Sales manager</x:v>
      </x:c>
      <x:c r="O1894" s="4"/>
      <x:c r="P1894" s="9" t="n">
        <x:v>0</x:v>
      </x:c>
      <x:c r="Q1894" s="11" t="n">
        <x:v>0</x:v>
      </x:c>
      <x:c r="R1894" s="8" t="n">
        <x:v>45459</x:v>
      </x:c>
      <x:c r="S1894" s="4" t="str">
        <x:v>Retained</x:v>
      </x:c>
      <x:c r="T1894" s="10" t="n">
        <x:v>0.291946</x:v>
      </x:c>
      <x:c r="U1894" s="4" t="str">
        <x:v>Train</x:v>
      </x:c>
    </x:row>
    <x:row r="1895" ht="34" customHeight="1">
      <x:c r="A1895" s="4" t="str">
        <x:v>RS-01894</x:v>
      </x:c>
      <x:c r="B1895" s="8" t="n">
        <x:v>45400</x:v>
      </x:c>
      <x:c r="C1895" s="4" t="str">
        <x:v>PRJ-014</x:v>
      </x:c>
      <x:c r="D1895" s="4" t="str">
        <x:v>Apartment</x:v>
      </x:c>
      <x:c r="E1895" s="4" t="str">
        <x:v>Handed over</x:v>
      </x:c>
      <x:c r="F1895" s="4" t="str">
        <x:v>CUS-01894</x:v>
      </x:c>
      <x:c r="G1895" s="4" t="str">
        <x:v>UNIT-01894</x:v>
      </x:c>
      <x:c r="H1895" s="9" t="n">
        <x:v>21100000</x:v>
      </x:c>
      <x:c r="I1895" s="10" t="n">
        <x:v>0.02</x:v>
      </x:c>
      <x:c r="J1895" s="11" t="n">
        <x:v>9</x:v>
      </x:c>
      <x:c r="K1895" s="11" t="n">
        <x:v>7</x:v>
      </x:c>
      <x:c r="L1895" s="11" t="n">
        <x:v>0</x:v>
      </x:c>
      <x:c r="M1895" s="9" t="n">
        <x:f>ROUND(H1895*(1-I1895),2)</x:f>
        <x:v>20678000</x:v>
      </x:c>
      <x:c r="N1895" s="4" t="str">
        <x:v>Sales manager</x:v>
      </x:c>
      <x:c r="O1895" s="4" t="str">
        <x:v>BOOK-01894</x:v>
      </x:c>
      <x:c r="P1895" s="9" t="n">
        <x:v>2067800</x:v>
      </x:c>
      <x:c r="Q1895" s="11" t="n">
        <x:v>0</x:v>
      </x:c>
      <x:c r="R1895" s="8" t="n">
        <x:v>45460</x:v>
      </x:c>
      <x:c r="S1895" s="4" t="str">
        <x:v>Retained</x:v>
      </x:c>
      <x:c r="T1895" s="10" t="n">
        <x:v>0.305556</x:v>
      </x:c>
      <x:c r="U1895" s="4" t="str">
        <x:v>Train</x:v>
      </x:c>
    </x:row>
    <x:row r="1896" ht="34" customHeight="1">
      <x:c r="A1896" s="4" t="str">
        <x:v>RS-01895</x:v>
      </x:c>
      <x:c r="B1896" s="8" t="n">
        <x:v>45401</x:v>
      </x:c>
      <x:c r="C1896" s="4" t="str">
        <x:v>PRJ-015</x:v>
      </x:c>
      <x:c r="D1896" s="4" t="str">
        <x:v>Villa</x:v>
      </x:c>
      <x:c r="E1896" s="4" t="str">
        <x:v>Agreement signed</x:v>
      </x:c>
      <x:c r="F1896" s="4" t="str">
        <x:v>CUS-01895</x:v>
      </x:c>
      <x:c r="G1896" s="4" t="str">
        <x:v>UNIT-01895</x:v>
      </x:c>
      <x:c r="H1896" s="9" t="n">
        <x:v>18400000</x:v>
      </x:c>
      <x:c r="I1896" s="10" t="n">
        <x:v>0.07</x:v>
      </x:c>
      <x:c r="J1896" s="11" t="n">
        <x:v>7</x:v>
      </x:c>
      <x:c r="K1896" s="11" t="n">
        <x:v>3</x:v>
      </x:c>
      <x:c r="L1896" s="11" t="n">
        <x:v>0</x:v>
      </x:c>
      <x:c r="M1896" s="9" t="n">
        <x:f>ROUND(H1896*(1-I1896),2)</x:f>
        <x:v>17112000</x:v>
      </x:c>
      <x:c r="N1896" s="4" t="str">
        <x:v>Sales manager</x:v>
      </x:c>
      <x:c r="O1896" s="4" t="str">
        <x:v>BOOK-01895</x:v>
      </x:c>
      <x:c r="P1896" s="9" t="n">
        <x:v>8556000</x:v>
      </x:c>
      <x:c r="Q1896" s="11" t="n">
        <x:v>0</x:v>
      </x:c>
      <x:c r="R1896" s="8" t="n">
        <x:v>45461</x:v>
      </x:c>
      <x:c r="S1896" s="4" t="str">
        <x:v>Retained</x:v>
      </x:c>
      <x:c r="T1896" s="10" t="n">
        <x:v>0.226277</x:v>
      </x:c>
      <x:c r="U1896" s="4" t="str">
        <x:v>Train</x:v>
      </x:c>
    </x:row>
    <x:row r="1897" ht="34" customHeight="1">
      <x:c r="A1897" s="4" t="str">
        <x:v>RS-01896</x:v>
      </x:c>
      <x:c r="B1897" s="8" t="n">
        <x:v>45402</x:v>
      </x:c>
      <x:c r="C1897" s="4" t="str">
        <x:v>PRJ-016</x:v>
      </x:c>
      <x:c r="D1897" s="4" t="str">
        <x:v>Villa</x:v>
      </x:c>
      <x:c r="E1897" s="4" t="str">
        <x:v>Reserved</x:v>
      </x:c>
      <x:c r="F1897" s="4" t="str">
        <x:v>CUS-01896</x:v>
      </x:c>
      <x:c r="G1897" s="4" t="str">
        <x:v>UNIT-01896</x:v>
      </x:c>
      <x:c r="H1897" s="9" t="n">
        <x:v>19100000</x:v>
      </x:c>
      <x:c r="I1897" s="10" t="n">
        <x:v>0.1</x:v>
      </x:c>
      <x:c r="J1897" s="11" t="n">
        <x:v>11</x:v>
      </x:c>
      <x:c r="K1897" s="11" t="n">
        <x:v>7</x:v>
      </x:c>
      <x:c r="L1897" s="11" t="n">
        <x:v>0</x:v>
      </x:c>
      <x:c r="M1897" s="9" t="n">
        <x:f>ROUND(H1897*(1-I1897),2)</x:f>
        <x:v>17190000</x:v>
      </x:c>
      <x:c r="N1897" s="4" t="str">
        <x:v>Sales head</x:v>
      </x:c>
      <x:c r="O1897" s="4"/>
      <x:c r="P1897" s="9" t="n">
        <x:v>0</x:v>
      </x:c>
      <x:c r="Q1897" s="11" t="n">
        <x:v>1</x:v>
      </x:c>
      <x:c r="R1897" s="8" t="n">
        <x:v>45462</x:v>
      </x:c>
      <x:c r="S1897" s="4" t="str">
        <x:v>Lost / cancelled</x:v>
      </x:c>
      <x:c r="T1897" s="10" t="n">
        <x:v>0.351536</x:v>
      </x:c>
      <x:c r="U1897" s="4" t="str">
        <x:v>Train</x:v>
      </x:c>
    </x:row>
    <x:row r="1898" ht="34" customHeight="1">
      <x:c r="A1898" s="4" t="str">
        <x:v>RS-01897</x:v>
      </x:c>
      <x:c r="B1898" s="8" t="n">
        <x:v>45403</x:v>
      </x:c>
      <x:c r="C1898" s="4" t="str">
        <x:v>PRJ-017</x:v>
      </x:c>
      <x:c r="D1898" s="4" t="str">
        <x:v>Retail</x:v>
      </x:c>
      <x:c r="E1898" s="4" t="str">
        <x:v>Enquiry</x:v>
      </x:c>
      <x:c r="F1898" s="4" t="str">
        <x:v>CUS-01897</x:v>
      </x:c>
      <x:c r="G1898" s="4" t="str">
        <x:v>UNIT-01897</x:v>
      </x:c>
      <x:c r="H1898" s="9" t="n">
        <x:v>9000000</x:v>
      </x:c>
      <x:c r="I1898" s="10" t="n">
        <x:v>0.04</x:v>
      </x:c>
      <x:c r="J1898" s="11" t="n">
        <x:v>6</x:v>
      </x:c>
      <x:c r="K1898" s="11" t="n">
        <x:v>0</x:v>
      </x:c>
      <x:c r="L1898" s="11" t="n">
        <x:v>1</x:v>
      </x:c>
      <x:c r="M1898" s="9" t="n">
        <x:f>ROUND(H1898*(1-I1898),2)</x:f>
        <x:v>8640000</x:v>
      </x:c>
      <x:c r="N1898" s="4" t="str">
        <x:v>Sales manager</x:v>
      </x:c>
      <x:c r="O1898" s="4"/>
      <x:c r="P1898" s="9" t="n">
        <x:v>0</x:v>
      </x:c>
      <x:c r="Q1898" s="11" t="n">
        <x:v>0</x:v>
      </x:c>
      <x:c r="R1898" s="8" t="n">
        <x:v>45463</x:v>
      </x:c>
      <x:c r="S1898" s="4" t="str">
        <x:v>Retained</x:v>
      </x:c>
      <x:c r="T1898" s="10" t="n">
        <x:v>0.291946</x:v>
      </x:c>
      <x:c r="U1898" s="4" t="str">
        <x:v>Train</x:v>
      </x:c>
    </x:row>
    <x:row r="1899" ht="34" customHeight="1">
      <x:c r="A1899" s="4" t="str">
        <x:v>RS-01898</x:v>
      </x:c>
      <x:c r="B1899" s="8" t="n">
        <x:v>45404</x:v>
      </x:c>
      <x:c r="C1899" s="4" t="str">
        <x:v>PRJ-018</x:v>
      </x:c>
      <x:c r="D1899" s="4" t="str">
        <x:v>Office</x:v>
      </x:c>
      <x:c r="E1899" s="4" t="str">
        <x:v>Agreement signed</x:v>
      </x:c>
      <x:c r="F1899" s="4" t="str">
        <x:v>CUS-01898</x:v>
      </x:c>
      <x:c r="G1899" s="4" t="str">
        <x:v>UNIT-01898</x:v>
      </x:c>
      <x:c r="H1899" s="9" t="n">
        <x:v>6100000</x:v>
      </x:c>
      <x:c r="I1899" s="10" t="n">
        <x:v>0.06</x:v>
      </x:c>
      <x:c r="J1899" s="11" t="n">
        <x:v>2</x:v>
      </x:c>
      <x:c r="K1899" s="11" t="n">
        <x:v>7</x:v>
      </x:c>
      <x:c r="L1899" s="11" t="n">
        <x:v>1</x:v>
      </x:c>
      <x:c r="M1899" s="9" t="n">
        <x:f>ROUND(H1899*(1-I1899),2)</x:f>
        <x:v>5734000</x:v>
      </x:c>
      <x:c r="N1899" s="4" t="str">
        <x:v>Sales manager</x:v>
      </x:c>
      <x:c r="O1899" s="4" t="str">
        <x:v>BOOK-01898</x:v>
      </x:c>
      <x:c r="P1899" s="9" t="n">
        <x:v>1433500</x:v>
      </x:c>
      <x:c r="Q1899" s="11" t="n">
        <x:v>0</x:v>
      </x:c>
      <x:c r="R1899" s="8" t="n">
        <x:v>45464</x:v>
      </x:c>
      <x:c r="S1899" s="4" t="str">
        <x:v>Retained</x:v>
      </x:c>
      <x:c r="T1899" s="10" t="n">
        <x:v>0.204152</x:v>
      </x:c>
      <x:c r="U1899" s="4" t="str">
        <x:v>Train</x:v>
      </x:c>
    </x:row>
    <x:row r="1900" ht="34" customHeight="1">
      <x:c r="A1900" s="4" t="str">
        <x:v>RS-01899</x:v>
      </x:c>
      <x:c r="B1900" s="8" t="n">
        <x:v>45405</x:v>
      </x:c>
      <x:c r="C1900" s="4" t="str">
        <x:v>PRJ-019</x:v>
      </x:c>
      <x:c r="D1900" s="4" t="str">
        <x:v>Office</x:v>
      </x:c>
      <x:c r="E1900" s="4" t="str">
        <x:v>Enquiry</x:v>
      </x:c>
      <x:c r="F1900" s="4" t="str">
        <x:v>CUS-01899</x:v>
      </x:c>
      <x:c r="G1900" s="4" t="str">
        <x:v>UNIT-01899</x:v>
      </x:c>
      <x:c r="H1900" s="9" t="n">
        <x:v>9800000</x:v>
      </x:c>
      <x:c r="I1900" s="10" t="n">
        <x:v>0.01</x:v>
      </x:c>
      <x:c r="J1900" s="11" t="n">
        <x:v>1</x:v>
      </x:c>
      <x:c r="K1900" s="11" t="n">
        <x:v>9</x:v>
      </x:c>
      <x:c r="L1900" s="11" t="n">
        <x:v>0</x:v>
      </x:c>
      <x:c r="M1900" s="9" t="n">
        <x:f>ROUND(H1900*(1-I1900),2)</x:f>
        <x:v>9702000</x:v>
      </x:c>
      <x:c r="N1900" s="4" t="str">
        <x:v>Sales manager</x:v>
      </x:c>
      <x:c r="O1900" s="4"/>
      <x:c r="P1900" s="9" t="n">
        <x:v>0</x:v>
      </x:c>
      <x:c r="Q1900" s="11" t="n">
        <x:v>0</x:v>
      </x:c>
      <x:c r="R1900" s="8" t="n">
        <x:v>45465</x:v>
      </x:c>
      <x:c r="S1900" s="4" t="str">
        <x:v>Retained</x:v>
      </x:c>
      <x:c r="T1900" s="10" t="n">
        <x:v>0.072165</x:v>
      </x:c>
      <x:c r="U1900" s="4" t="str">
        <x:v>Train</x:v>
      </x:c>
    </x:row>
    <x:row r="1901" ht="34" customHeight="1">
      <x:c r="A1901" s="4" t="str">
        <x:v>RS-01900</x:v>
      </x:c>
      <x:c r="B1901" s="8" t="n">
        <x:v>45406</x:v>
      </x:c>
      <x:c r="C1901" s="4" t="str">
        <x:v>PRJ-020</x:v>
      </x:c>
      <x:c r="D1901" s="4" t="str">
        <x:v>Office</x:v>
      </x:c>
      <x:c r="E1901" s="4" t="str">
        <x:v>Enquiry</x:v>
      </x:c>
      <x:c r="F1901" s="4" t="str">
        <x:v>CUS-01900</x:v>
      </x:c>
      <x:c r="G1901" s="4" t="str">
        <x:v>UNIT-01900</x:v>
      </x:c>
      <x:c r="H1901" s="9" t="n">
        <x:v>19300000</x:v>
      </x:c>
      <x:c r="I1901" s="10" t="n">
        <x:v>0.09</x:v>
      </x:c>
      <x:c r="J1901" s="11" t="n">
        <x:v>1</x:v>
      </x:c>
      <x:c r="K1901" s="11" t="n">
        <x:v>2</x:v>
      </x:c>
      <x:c r="L1901" s="11" t="n">
        <x:v>0</x:v>
      </x:c>
      <x:c r="M1901" s="9" t="n">
        <x:f>ROUND(H1901*(1-I1901),2)</x:f>
        <x:v>17563000</x:v>
      </x:c>
      <x:c r="N1901" s="4" t="str">
        <x:v>Sales head</x:v>
      </x:c>
      <x:c r="O1901" s="4"/>
      <x:c r="P1901" s="9" t="n">
        <x:v>0</x:v>
      </x:c>
      <x:c r="Q1901" s="11" t="n">
        <x:v>0</x:v>
      </x:c>
      <x:c r="R1901" s="8" t="n">
        <x:v>45466</x:v>
      </x:c>
      <x:c r="S1901" s="4" t="str">
        <x:v>Retained</x:v>
      </x:c>
      <x:c r="T1901" s="10" t="n">
        <x:v>0.145833</x:v>
      </x:c>
      <x:c r="U1901" s="4" t="str">
        <x:v>Train</x:v>
      </x:c>
    </x:row>
    <x:row r="1902" ht="34" customHeight="1">
      <x:c r="A1902" s="4" t="str">
        <x:v>RS-01901</x:v>
      </x:c>
      <x:c r="B1902" s="8" t="n">
        <x:v>45407</x:v>
      </x:c>
      <x:c r="C1902" s="4" t="str">
        <x:v>PRJ-001</x:v>
      </x:c>
      <x:c r="D1902" s="4" t="str">
        <x:v>Villa</x:v>
      </x:c>
      <x:c r="E1902" s="4" t="str">
        <x:v>Reserved</x:v>
      </x:c>
      <x:c r="F1902" s="4" t="str">
        <x:v>CUS-01901</x:v>
      </x:c>
      <x:c r="G1902" s="4" t="str">
        <x:v>UNIT-01901</x:v>
      </x:c>
      <x:c r="H1902" s="9" t="n">
        <x:v>22000000</x:v>
      </x:c>
      <x:c r="I1902" s="10" t="n">
        <x:v>0.05</x:v>
      </x:c>
      <x:c r="J1902" s="11" t="n">
        <x:v>6</x:v>
      </x:c>
      <x:c r="K1902" s="11" t="n">
        <x:v>9</x:v>
      </x:c>
      <x:c r="L1902" s="11" t="n">
        <x:v>1</x:v>
      </x:c>
      <x:c r="M1902" s="9" t="n">
        <x:f>ROUND(H1902*(1-I1902),2)</x:f>
        <x:v>20900000</x:v>
      </x:c>
      <x:c r="N1902" s="4" t="str">
        <x:v>Sales manager</x:v>
      </x:c>
      <x:c r="O1902" s="4"/>
      <x:c r="P1902" s="9" t="n">
        <x:v>0</x:v>
      </x:c>
      <x:c r="Q1902" s="11" t="n">
        <x:v>0</x:v>
      </x:c>
      <x:c r="R1902" s="8" t="n">
        <x:v>45467</x:v>
      </x:c>
      <x:c r="S1902" s="4" t="str">
        <x:v>Retained</x:v>
      </x:c>
      <x:c r="T1902" s="10" t="n">
        <x:v>0.291946</x:v>
      </x:c>
      <x:c r="U1902" s="4" t="str">
        <x:v>Train</x:v>
      </x:c>
    </x:row>
    <x:row r="1903" ht="34" customHeight="1">
      <x:c r="A1903" s="4" t="str">
        <x:v>RS-01902</x:v>
      </x:c>
      <x:c r="B1903" s="8" t="n">
        <x:v>45408</x:v>
      </x:c>
      <x:c r="C1903" s="4" t="str">
        <x:v>PRJ-002</x:v>
      </x:c>
      <x:c r="D1903" s="4" t="str">
        <x:v>Apartment</x:v>
      </x:c>
      <x:c r="E1903" s="4" t="str">
        <x:v>Reserved</x:v>
      </x:c>
      <x:c r="F1903" s="4" t="str">
        <x:v>CUS-01902</x:v>
      </x:c>
      <x:c r="G1903" s="4" t="str">
        <x:v>UNIT-01902</x:v>
      </x:c>
      <x:c r="H1903" s="9" t="n">
        <x:v>19700000</x:v>
      </x:c>
      <x:c r="I1903" s="10" t="n">
        <x:v>0.03</x:v>
      </x:c>
      <x:c r="J1903" s="11" t="n">
        <x:v>0</x:v>
      </x:c>
      <x:c r="K1903" s="11" t="n">
        <x:v>3</x:v>
      </x:c>
      <x:c r="L1903" s="11" t="n">
        <x:v>0</x:v>
      </x:c>
      <x:c r="M1903" s="9" t="n">
        <x:f>ROUND(H1903*(1-I1903),2)</x:f>
        <x:v>19109000</x:v>
      </x:c>
      <x:c r="N1903" s="4" t="str">
        <x:v>Sales manager</x:v>
      </x:c>
      <x:c r="O1903" s="4"/>
      <x:c r="P1903" s="9" t="n">
        <x:v>0</x:v>
      </x:c>
      <x:c r="Q1903" s="11" t="n">
        <x:v>0</x:v>
      </x:c>
      <x:c r="R1903" s="8" t="n">
        <x:v>45468</x:v>
      </x:c>
      <x:c r="S1903" s="4" t="str">
        <x:v>Retained</x:v>
      </x:c>
      <x:c r="T1903" s="10" t="n">
        <x:v>0.072165</x:v>
      </x:c>
      <x:c r="U1903" s="4" t="str">
        <x:v>Train</x:v>
      </x:c>
    </x:row>
    <x:row r="1904" ht="34" customHeight="1">
      <x:c r="A1904" s="4" t="str">
        <x:v>RS-01903</x:v>
      </x:c>
      <x:c r="B1904" s="8" t="n">
        <x:v>45409</x:v>
      </x:c>
      <x:c r="C1904" s="4" t="str">
        <x:v>PRJ-003</x:v>
      </x:c>
      <x:c r="D1904" s="4" t="str">
        <x:v>Retail</x:v>
      </x:c>
      <x:c r="E1904" s="4" t="str">
        <x:v>Handed over</x:v>
      </x:c>
      <x:c r="F1904" s="4" t="str">
        <x:v>CUS-01903</x:v>
      </x:c>
      <x:c r="G1904" s="4" t="str">
        <x:v>UNIT-01903</x:v>
      </x:c>
      <x:c r="H1904" s="9" t="n">
        <x:v>9200000</x:v>
      </x:c>
      <x:c r="I1904" s="10" t="n">
        <x:v>0.06</x:v>
      </x:c>
      <x:c r="J1904" s="11" t="n">
        <x:v>10</x:v>
      </x:c>
      <x:c r="K1904" s="11" t="n">
        <x:v>4</x:v>
      </x:c>
      <x:c r="L1904" s="11" t="n">
        <x:v>1</x:v>
      </x:c>
      <x:c r="M1904" s="9" t="n">
        <x:f>ROUND(H1904*(1-I1904),2)</x:f>
        <x:v>8648000</x:v>
      </x:c>
      <x:c r="N1904" s="4" t="str">
        <x:v>Sales manager</x:v>
      </x:c>
      <x:c r="O1904" s="4" t="str">
        <x:v>BOOK-01903</x:v>
      </x:c>
      <x:c r="P1904" s="9" t="n">
        <x:v>2162000</x:v>
      </x:c>
      <x:c r="Q1904" s="11" t="n">
        <x:v>0</x:v>
      </x:c>
      <x:c r="R1904" s="8" t="n">
        <x:v>45469</x:v>
      </x:c>
      <x:c r="S1904" s="4" t="str">
        <x:v>Retained</x:v>
      </x:c>
      <x:c r="T1904" s="10" t="n">
        <x:v>0.310195</x:v>
      </x:c>
      <x:c r="U1904" s="4" t="str">
        <x:v>Train</x:v>
      </x:c>
    </x:row>
    <x:row r="1905" ht="34" customHeight="1">
      <x:c r="A1905" s="4" t="str">
        <x:v>RS-01904</x:v>
      </x:c>
      <x:c r="B1905" s="8" t="n">
        <x:v>45410</x:v>
      </x:c>
      <x:c r="C1905" s="4" t="str">
        <x:v>PRJ-004</x:v>
      </x:c>
      <x:c r="D1905" s="4" t="str">
        <x:v>Retail</x:v>
      </x:c>
      <x:c r="E1905" s="4" t="str">
        <x:v>Reserved</x:v>
      </x:c>
      <x:c r="F1905" s="4" t="str">
        <x:v>CUS-01904</x:v>
      </x:c>
      <x:c r="G1905" s="4" t="str">
        <x:v>UNIT-01904</x:v>
      </x:c>
      <x:c r="H1905" s="9" t="n">
        <x:v>23600000</x:v>
      </x:c>
      <x:c r="I1905" s="10" t="n">
        <x:v>0.06</x:v>
      </x:c>
      <x:c r="J1905" s="11" t="n">
        <x:v>6</x:v>
      </x:c>
      <x:c r="K1905" s="11" t="n">
        <x:v>1</x:v>
      </x:c>
      <x:c r="L1905" s="11" t="n">
        <x:v>1</x:v>
      </x:c>
      <x:c r="M1905" s="9" t="n">
        <x:f>ROUND(H1905*(1-I1905),2)</x:f>
        <x:v>22184000</x:v>
      </x:c>
      <x:c r="N1905" s="4" t="str">
        <x:v>Sales manager</x:v>
      </x:c>
      <x:c r="O1905" s="4"/>
      <x:c r="P1905" s="9" t="n">
        <x:v>0</x:v>
      </x:c>
      <x:c r="Q1905" s="11" t="n">
        <x:v>1</x:v>
      </x:c>
      <x:c r="R1905" s="8" t="n">
        <x:v>45470</x:v>
      </x:c>
      <x:c r="S1905" s="4" t="str">
        <x:v>Lost / cancelled</x:v>
      </x:c>
      <x:c r="T1905" s="10" t="n">
        <x:v>0.291946</x:v>
      </x:c>
      <x:c r="U1905" s="4" t="str">
        <x:v>Train</x:v>
      </x:c>
    </x:row>
    <x:row r="1906" ht="34" customHeight="1">
      <x:c r="A1906" s="4" t="str">
        <x:v>RS-01905</x:v>
      </x:c>
      <x:c r="B1906" s="8" t="n">
        <x:v>45383</x:v>
      </x:c>
      <x:c r="C1906" s="4" t="str">
        <x:v>PRJ-005</x:v>
      </x:c>
      <x:c r="D1906" s="4" t="str">
        <x:v>Apartment</x:v>
      </x:c>
      <x:c r="E1906" s="4" t="str">
        <x:v>Reserved</x:v>
      </x:c>
      <x:c r="F1906" s="4" t="str">
        <x:v>CUS-01905</x:v>
      </x:c>
      <x:c r="G1906" s="4" t="str">
        <x:v>UNIT-01905</x:v>
      </x:c>
      <x:c r="H1906" s="9" t="n">
        <x:v>22600000</x:v>
      </x:c>
      <x:c r="I1906" s="10" t="n">
        <x:v>0.05</x:v>
      </x:c>
      <x:c r="J1906" s="11" t="n">
        <x:v>12</x:v>
      </x:c>
      <x:c r="K1906" s="11" t="n">
        <x:v>6</x:v>
      </x:c>
      <x:c r="L1906" s="11" t="n">
        <x:v>0</x:v>
      </x:c>
      <x:c r="M1906" s="9" t="n">
        <x:f>ROUND(H1906*(1-I1906),2)</x:f>
        <x:v>21470000</x:v>
      </x:c>
      <x:c r="N1906" s="4" t="str">
        <x:v>Sales manager</x:v>
      </x:c>
      <x:c r="O1906" s="4"/>
      <x:c r="P1906" s="9" t="n">
        <x:v>0</x:v>
      </x:c>
      <x:c r="Q1906" s="11" t="n">
        <x:v>1</x:v>
      </x:c>
      <x:c r="R1906" s="8" t="n">
        <x:v>45443</x:v>
      </x:c>
      <x:c r="S1906" s="4" t="str">
        <x:v>Lost / cancelled</x:v>
      </x:c>
      <x:c r="T1906" s="10" t="n">
        <x:v>0.351536</x:v>
      </x:c>
      <x:c r="U1906" s="4" t="str">
        <x:v>Train</x:v>
      </x:c>
    </x:row>
    <x:row r="1907" ht="34" customHeight="1">
      <x:c r="A1907" s="4" t="str">
        <x:v>RS-01906</x:v>
      </x:c>
      <x:c r="B1907" s="8" t="n">
        <x:v>45384</x:v>
      </x:c>
      <x:c r="C1907" s="4" t="str">
        <x:v>PRJ-006</x:v>
      </x:c>
      <x:c r="D1907" s="4" t="str">
        <x:v>Office</x:v>
      </x:c>
      <x:c r="E1907" s="4" t="str">
        <x:v>Enquiry</x:v>
      </x:c>
      <x:c r="F1907" s="4" t="str">
        <x:v>CUS-01906</x:v>
      </x:c>
      <x:c r="G1907" s="4" t="str">
        <x:v>UNIT-01906</x:v>
      </x:c>
      <x:c r="H1907" s="9" t="n">
        <x:v>22400000</x:v>
      </x:c>
      <x:c r="I1907" s="10" t="n">
        <x:v>0.07</x:v>
      </x:c>
      <x:c r="J1907" s="11" t="n">
        <x:v>2</x:v>
      </x:c>
      <x:c r="K1907" s="11" t="n">
        <x:v>4</x:v>
      </x:c>
      <x:c r="L1907" s="11" t="n">
        <x:v>0</x:v>
      </x:c>
      <x:c r="M1907" s="9" t="n">
        <x:f>ROUND(H1907*(1-I1907),2)</x:f>
        <x:v>20832000</x:v>
      </x:c>
      <x:c r="N1907" s="4" t="str">
        <x:v>Sales manager</x:v>
      </x:c>
      <x:c r="O1907" s="4"/>
      <x:c r="P1907" s="9" t="n">
        <x:v>0</x:v>
      </x:c>
      <x:c r="Q1907" s="11" t="n">
        <x:v>1</x:v>
      </x:c>
      <x:c r="R1907" s="8" t="n">
        <x:v>45444</x:v>
      </x:c>
      <x:c r="S1907" s="4" t="str">
        <x:v>Lost / cancelled</x:v>
      </x:c>
      <x:c r="T1907" s="10" t="n">
        <x:v>0.204152</x:v>
      </x:c>
      <x:c r="U1907" s="4" t="str">
        <x:v>Train</x:v>
      </x:c>
    </x:row>
    <x:row r="1908" ht="34" customHeight="1">
      <x:c r="A1908" s="4" t="str">
        <x:v>RS-01907</x:v>
      </x:c>
      <x:c r="B1908" s="8" t="n">
        <x:v>45385</x:v>
      </x:c>
      <x:c r="C1908" s="4" t="str">
        <x:v>PRJ-007</x:v>
      </x:c>
      <x:c r="D1908" s="4" t="str">
        <x:v>Office</x:v>
      </x:c>
      <x:c r="E1908" s="4" t="str">
        <x:v>Enquiry</x:v>
      </x:c>
      <x:c r="F1908" s="4" t="str">
        <x:v>CUS-01907</x:v>
      </x:c>
      <x:c r="G1908" s="4" t="str">
        <x:v>UNIT-01907</x:v>
      </x:c>
      <x:c r="H1908" s="9" t="n">
        <x:v>17800000</x:v>
      </x:c>
      <x:c r="I1908" s="10" t="n">
        <x:v>0.08</x:v>
      </x:c>
      <x:c r="J1908" s="11" t="n">
        <x:v>3</x:v>
      </x:c>
      <x:c r="K1908" s="11" t="n">
        <x:v>2</x:v>
      </x:c>
      <x:c r="L1908" s="11" t="n">
        <x:v>0</x:v>
      </x:c>
      <x:c r="M1908" s="9" t="n">
        <x:f>ROUND(H1908*(1-I1908),2)</x:f>
        <x:v>16376000</x:v>
      </x:c>
      <x:c r="N1908" s="4" t="str">
        <x:v>Sales head</x:v>
      </x:c>
      <x:c r="O1908" s="4"/>
      <x:c r="P1908" s="9" t="n">
        <x:v>0</x:v>
      </x:c>
      <x:c r="Q1908" s="11" t="n">
        <x:v>0</x:v>
      </x:c>
      <x:c r="R1908" s="8" t="n">
        <x:v>45445</x:v>
      </x:c>
      <x:c r="S1908" s="4" t="str">
        <x:v>Retained</x:v>
      </x:c>
      <x:c r="T1908" s="10" t="n">
        <x:v>0.204152</x:v>
      </x:c>
      <x:c r="U1908" s="4" t="str">
        <x:v>Train</x:v>
      </x:c>
    </x:row>
    <x:row r="1909" ht="34" customHeight="1">
      <x:c r="A1909" s="4" t="str">
        <x:v>RS-01908</x:v>
      </x:c>
      <x:c r="B1909" s="8" t="n">
        <x:v>45386</x:v>
      </x:c>
      <x:c r="C1909" s="4" t="str">
        <x:v>PRJ-008</x:v>
      </x:c>
      <x:c r="D1909" s="4" t="str">
        <x:v>Office</x:v>
      </x:c>
      <x:c r="E1909" s="4" t="str">
        <x:v>Enquiry</x:v>
      </x:c>
      <x:c r="F1909" s="4" t="str">
        <x:v>CUS-01908</x:v>
      </x:c>
      <x:c r="G1909" s="4" t="str">
        <x:v>UNIT-01908</x:v>
      </x:c>
      <x:c r="H1909" s="9" t="n">
        <x:v>8800000</x:v>
      </x:c>
      <x:c r="I1909" s="10" t="n">
        <x:v>0.05</x:v>
      </x:c>
      <x:c r="J1909" s="11" t="n">
        <x:v>10</x:v>
      </x:c>
      <x:c r="K1909" s="11" t="n">
        <x:v>10</x:v>
      </x:c>
      <x:c r="L1909" s="11" t="n">
        <x:v>1</x:v>
      </x:c>
      <x:c r="M1909" s="9" t="n">
        <x:f>ROUND(H1909*(1-I1909),2)</x:f>
        <x:v>8360000</x:v>
      </x:c>
      <x:c r="N1909" s="4" t="str">
        <x:v>Sales manager</x:v>
      </x:c>
      <x:c r="O1909" s="4"/>
      <x:c r="P1909" s="9" t="n">
        <x:v>0</x:v>
      </x:c>
      <x:c r="Q1909" s="11" t="n">
        <x:v>0</x:v>
      </x:c>
      <x:c r="R1909" s="8" t="n">
        <x:v>45446</x:v>
      </x:c>
      <x:c r="S1909" s="4" t="str">
        <x:v>Retained</x:v>
      </x:c>
      <x:c r="T1909" s="10" t="n">
        <x:v>0.310195</x:v>
      </x:c>
      <x:c r="U1909" s="4" t="str">
        <x:v>Train</x:v>
      </x:c>
    </x:row>
    <x:row r="1910" ht="34" customHeight="1">
      <x:c r="A1910" s="4" t="str">
        <x:v>RS-01909</x:v>
      </x:c>
      <x:c r="B1910" s="8" t="n">
        <x:v>45387</x:v>
      </x:c>
      <x:c r="C1910" s="4" t="str">
        <x:v>PRJ-009</x:v>
      </x:c>
      <x:c r="D1910" s="4" t="str">
        <x:v>Villa</x:v>
      </x:c>
      <x:c r="E1910" s="4" t="str">
        <x:v>Agreement signed</x:v>
      </x:c>
      <x:c r="F1910" s="4" t="str">
        <x:v>CUS-01909</x:v>
      </x:c>
      <x:c r="G1910" s="4" t="str">
        <x:v>UNIT-01909</x:v>
      </x:c>
      <x:c r="H1910" s="9" t="n">
        <x:v>4600000</x:v>
      </x:c>
      <x:c r="I1910" s="10" t="n">
        <x:v>0.1</x:v>
      </x:c>
      <x:c r="J1910" s="11" t="n">
        <x:v>5</x:v>
      </x:c>
      <x:c r="K1910" s="11" t="n">
        <x:v>9</x:v>
      </x:c>
      <x:c r="L1910" s="11" t="n">
        <x:v>1</x:v>
      </x:c>
      <x:c r="M1910" s="9" t="n">
        <x:f>ROUND(H1910*(1-I1910),2)</x:f>
        <x:v>4140000</x:v>
      </x:c>
      <x:c r="N1910" s="4" t="str">
        <x:v>Sales head</x:v>
      </x:c>
      <x:c r="O1910" s="4" t="str">
        <x:v>BOOK-01909</x:v>
      </x:c>
      <x:c r="P1910" s="9" t="n">
        <x:v>2070000</x:v>
      </x:c>
      <x:c r="Q1910" s="11" t="n">
        <x:v>0</x:v>
      </x:c>
      <x:c r="R1910" s="8" t="n">
        <x:v>45447</x:v>
      </x:c>
      <x:c r="S1910" s="4" t="str">
        <x:v>Retained</x:v>
      </x:c>
      <x:c r="T1910" s="10" t="n">
        <x:v>0.291946</x:v>
      </x:c>
      <x:c r="U1910" s="4" t="str">
        <x:v>Train</x:v>
      </x:c>
    </x:row>
    <x:row r="1911" ht="34" customHeight="1">
      <x:c r="A1911" s="4" t="str">
        <x:v>RS-01910</x:v>
      </x:c>
      <x:c r="B1911" s="8" t="n">
        <x:v>45388</x:v>
      </x:c>
      <x:c r="C1911" s="4" t="str">
        <x:v>PRJ-010</x:v>
      </x:c>
      <x:c r="D1911" s="4" t="str">
        <x:v>Apartment</x:v>
      </x:c>
      <x:c r="E1911" s="4" t="str">
        <x:v>Booked</x:v>
      </x:c>
      <x:c r="F1911" s="4" t="str">
        <x:v>CUS-01910</x:v>
      </x:c>
      <x:c r="G1911" s="4" t="str">
        <x:v>UNIT-01910</x:v>
      </x:c>
      <x:c r="H1911" s="9" t="n">
        <x:v>24900000</x:v>
      </x:c>
      <x:c r="I1911" s="10" t="n">
        <x:v>0.01</x:v>
      </x:c>
      <x:c r="J1911" s="11" t="n">
        <x:v>8</x:v>
      </x:c>
      <x:c r="K1911" s="11" t="n">
        <x:v>8</x:v>
      </x:c>
      <x:c r="L1911" s="11" t="n">
        <x:v>1</x:v>
      </x:c>
      <x:c r="M1911" s="9" t="n">
        <x:f>ROUND(H1911*(1-I1911),2)</x:f>
        <x:v>24651000</x:v>
      </x:c>
      <x:c r="N1911" s="4" t="str">
        <x:v>Sales manager</x:v>
      </x:c>
      <x:c r="O1911" s="4" t="str">
        <x:v>BOOK-01910</x:v>
      </x:c>
      <x:c r="P1911" s="9" t="n">
        <x:v>24651000</x:v>
      </x:c>
      <x:c r="Q1911" s="11" t="n">
        <x:v>0</x:v>
      </x:c>
      <x:c r="R1911" s="8" t="n">
        <x:v>45448</x:v>
      </x:c>
      <x:c r="S1911" s="4" t="str">
        <x:v>Retained</x:v>
      </x:c>
      <x:c r="T1911" s="10" t="n">
        <x:v>0.254545</x:v>
      </x:c>
      <x:c r="U1911" s="4" t="str">
        <x:v>Train</x:v>
      </x:c>
    </x:row>
    <x:row r="1912" ht="34" customHeight="1">
      <x:c r="A1912" s="4" t="str">
        <x:v>RS-01911</x:v>
      </x:c>
      <x:c r="B1912" s="8" t="n">
        <x:v>45389</x:v>
      </x:c>
      <x:c r="C1912" s="4" t="str">
        <x:v>PRJ-011</x:v>
      </x:c>
      <x:c r="D1912" s="4" t="str">
        <x:v>Apartment</x:v>
      </x:c>
      <x:c r="E1912" s="4" t="str">
        <x:v>Agreement signed</x:v>
      </x:c>
      <x:c r="F1912" s="4" t="str">
        <x:v>CUS-01911</x:v>
      </x:c>
      <x:c r="G1912" s="4" t="str">
        <x:v>UNIT-01911</x:v>
      </x:c>
      <x:c r="H1912" s="9" t="n">
        <x:v>11600000</x:v>
      </x:c>
      <x:c r="I1912" s="10" t="n">
        <x:v>0.05</x:v>
      </x:c>
      <x:c r="J1912" s="11" t="n">
        <x:v>3</x:v>
      </x:c>
      <x:c r="K1912" s="11" t="n">
        <x:v>2</x:v>
      </x:c>
      <x:c r="L1912" s="11" t="n">
        <x:v>1</x:v>
      </x:c>
      <x:c r="M1912" s="9" t="n">
        <x:f>ROUND(H1912*(1-I1912),2)</x:f>
        <x:v>11020000</x:v>
      </x:c>
      <x:c r="N1912" s="4" t="str">
        <x:v>Sales manager</x:v>
      </x:c>
      <x:c r="O1912" s="4" t="str">
        <x:v>BOOK-01911</x:v>
      </x:c>
      <x:c r="P1912" s="9" t="n">
        <x:v>5510000</x:v>
      </x:c>
      <x:c r="Q1912" s="11" t="n">
        <x:v>0</x:v>
      </x:c>
      <x:c r="R1912" s="8" t="n">
        <x:v>45449</x:v>
      </x:c>
      <x:c r="S1912" s="4" t="str">
        <x:v>Retained</x:v>
      </x:c>
      <x:c r="T1912" s="10" t="n">
        <x:v>0.204152</x:v>
      </x:c>
      <x:c r="U1912" s="4" t="str">
        <x:v>Train</x:v>
      </x:c>
    </x:row>
    <x:row r="1913" ht="34" customHeight="1">
      <x:c r="A1913" s="4" t="str">
        <x:v>RS-01912</x:v>
      </x:c>
      <x:c r="B1913" s="8" t="n">
        <x:v>45390</x:v>
      </x:c>
      <x:c r="C1913" s="4" t="str">
        <x:v>PRJ-012</x:v>
      </x:c>
      <x:c r="D1913" s="4" t="str">
        <x:v>Apartment</x:v>
      </x:c>
      <x:c r="E1913" s="4" t="str">
        <x:v>Booked</x:v>
      </x:c>
      <x:c r="F1913" s="4" t="str">
        <x:v>CUS-01912</x:v>
      </x:c>
      <x:c r="G1913" s="4" t="str">
        <x:v>UNIT-01912</x:v>
      </x:c>
      <x:c r="H1913" s="9" t="n">
        <x:v>16500000</x:v>
      </x:c>
      <x:c r="I1913" s="10" t="n">
        <x:v>0</x:v>
      </x:c>
      <x:c r="J1913" s="11" t="n">
        <x:v>9</x:v>
      </x:c>
      <x:c r="K1913" s="11" t="n">
        <x:v>8</x:v>
      </x:c>
      <x:c r="L1913" s="11" t="n">
        <x:v>0</x:v>
      </x:c>
      <x:c r="M1913" s="9" t="n">
        <x:f>ROUND(H1913*(1-I1913),2)</x:f>
        <x:v>16500000</x:v>
      </x:c>
      <x:c r="N1913" s="4" t="str">
        <x:v>Sales manager</x:v>
      </x:c>
      <x:c r="O1913" s="4" t="str">
        <x:v>BOOK-01912</x:v>
      </x:c>
      <x:c r="P1913" s="9" t="n">
        <x:v>1650000</x:v>
      </x:c>
      <x:c r="Q1913" s="11" t="n">
        <x:v>0</x:v>
      </x:c>
      <x:c r="R1913" s="8" t="n">
        <x:v>45450</x:v>
      </x:c>
      <x:c r="S1913" s="4" t="str">
        <x:v>Retained</x:v>
      </x:c>
      <x:c r="T1913" s="10" t="n">
        <x:v>0.305556</x:v>
      </x:c>
      <x:c r="U1913" s="4" t="str">
        <x:v>Train</x:v>
      </x:c>
    </x:row>
    <x:row r="1914" ht="34" customHeight="1">
      <x:c r="A1914" s="4" t="str">
        <x:v>RS-01913</x:v>
      </x:c>
      <x:c r="B1914" s="8" t="n">
        <x:v>45391</x:v>
      </x:c>
      <x:c r="C1914" s="4" t="str">
        <x:v>PRJ-013</x:v>
      </x:c>
      <x:c r="D1914" s="4" t="str">
        <x:v>Retail</x:v>
      </x:c>
      <x:c r="E1914" s="4" t="str">
        <x:v>Agreement signed</x:v>
      </x:c>
      <x:c r="F1914" s="4" t="str">
        <x:v>CUS-01913</x:v>
      </x:c>
      <x:c r="G1914" s="4" t="str">
        <x:v>UNIT-01913</x:v>
      </x:c>
      <x:c r="H1914" s="9" t="n">
        <x:v>12200000</x:v>
      </x:c>
      <x:c r="I1914" s="10" t="n">
        <x:v>0.11</x:v>
      </x:c>
      <x:c r="J1914" s="11" t="n">
        <x:v>6</x:v>
      </x:c>
      <x:c r="K1914" s="11" t="n">
        <x:v>9</x:v>
      </x:c>
      <x:c r="L1914" s="11" t="n">
        <x:v>0</x:v>
      </x:c>
      <x:c r="M1914" s="9" t="n">
        <x:f>ROUND(H1914*(1-I1914),2)</x:f>
        <x:v>10858000</x:v>
      </x:c>
      <x:c r="N1914" s="4" t="str">
        <x:v>Sales head</x:v>
      </x:c>
      <x:c r="O1914" s="4" t="str">
        <x:v>BOOK-01913</x:v>
      </x:c>
      <x:c r="P1914" s="9" t="n">
        <x:v>10858000</x:v>
      </x:c>
      <x:c r="Q1914" s="11" t="n">
        <x:v>0</x:v>
      </x:c>
      <x:c r="R1914" s="8" t="n">
        <x:v>45451</x:v>
      </x:c>
      <x:c r="S1914" s="4" t="str">
        <x:v>Retained</x:v>
      </x:c>
      <x:c r="T1914" s="10" t="n">
        <x:v>0.226277</x:v>
      </x:c>
      <x:c r="U1914" s="4" t="str">
        <x:v>Train</x:v>
      </x:c>
    </x:row>
    <x:row r="1915" ht="34" customHeight="1">
      <x:c r="A1915" s="4" t="str">
        <x:v>RS-01914</x:v>
      </x:c>
      <x:c r="B1915" s="8" t="n">
        <x:v>45392</x:v>
      </x:c>
      <x:c r="C1915" s="4" t="str">
        <x:v>PRJ-014</x:v>
      </x:c>
      <x:c r="D1915" s="4" t="str">
        <x:v>Office</x:v>
      </x:c>
      <x:c r="E1915" s="4" t="str">
        <x:v>Handed over</x:v>
      </x:c>
      <x:c r="F1915" s="4" t="str">
        <x:v>CUS-01914</x:v>
      </x:c>
      <x:c r="G1915" s="4" t="str">
        <x:v>UNIT-01914</x:v>
      </x:c>
      <x:c r="H1915" s="9" t="n">
        <x:v>6200000</x:v>
      </x:c>
      <x:c r="I1915" s="10" t="n">
        <x:v>0.09</x:v>
      </x:c>
      <x:c r="J1915" s="11" t="n">
        <x:v>9</x:v>
      </x:c>
      <x:c r="K1915" s="11" t="n">
        <x:v>10</x:v>
      </x:c>
      <x:c r="L1915" s="11" t="n">
        <x:v>1</x:v>
      </x:c>
      <x:c r="M1915" s="9" t="n">
        <x:f>ROUND(H1915*(1-I1915),2)</x:f>
        <x:v>5642000</x:v>
      </x:c>
      <x:c r="N1915" s="4" t="str">
        <x:v>Sales head</x:v>
      </x:c>
      <x:c r="O1915" s="4" t="str">
        <x:v>BOOK-01914</x:v>
      </x:c>
      <x:c r="P1915" s="9" t="n">
        <x:v>5642000</x:v>
      </x:c>
      <x:c r="Q1915" s="11" t="n">
        <x:v>0</x:v>
      </x:c>
      <x:c r="R1915" s="8" t="n">
        <x:v>45452</x:v>
      </x:c>
      <x:c r="S1915" s="4" t="str">
        <x:v>Retained</x:v>
      </x:c>
      <x:c r="T1915" s="10" t="n">
        <x:v>0.310195</x:v>
      </x:c>
      <x:c r="U1915" s="4" t="str">
        <x:v>Train</x:v>
      </x:c>
    </x:row>
    <x:row r="1916" ht="34" customHeight="1">
      <x:c r="A1916" s="4" t="str">
        <x:v>RS-01915</x:v>
      </x:c>
      <x:c r="B1916" s="8" t="n">
        <x:v>45393</x:v>
      </x:c>
      <x:c r="C1916" s="4" t="str">
        <x:v>PRJ-015</x:v>
      </x:c>
      <x:c r="D1916" s="4" t="str">
        <x:v>Villa</x:v>
      </x:c>
      <x:c r="E1916" s="4" t="str">
        <x:v>Enquiry</x:v>
      </x:c>
      <x:c r="F1916" s="4" t="str">
        <x:v>CUS-01915</x:v>
      </x:c>
      <x:c r="G1916" s="4" t="str">
        <x:v>UNIT-01915</x:v>
      </x:c>
      <x:c r="H1916" s="9" t="n">
        <x:v>3000000</x:v>
      </x:c>
      <x:c r="I1916" s="10" t="n">
        <x:v>0.12</x:v>
      </x:c>
      <x:c r="J1916" s="11" t="n">
        <x:v>2</x:v>
      </x:c>
      <x:c r="K1916" s="11" t="n">
        <x:v>5</x:v>
      </x:c>
      <x:c r="L1916" s="11" t="n">
        <x:v>0</x:v>
      </x:c>
      <x:c r="M1916" s="9" t="n">
        <x:f>ROUND(H1916*(1-I1916),2)</x:f>
        <x:v>2640000</x:v>
      </x:c>
      <x:c r="N1916" s="4" t="str">
        <x:v>Sales head</x:v>
      </x:c>
      <x:c r="O1916" s="4"/>
      <x:c r="P1916" s="9" t="n">
        <x:v>0</x:v>
      </x:c>
      <x:c r="Q1916" s="11" t="n">
        <x:v>0</x:v>
      </x:c>
      <x:c r="R1916" s="8" t="n">
        <x:v>45453</x:v>
      </x:c>
      <x:c r="S1916" s="4" t="str">
        <x:v>Retained</x:v>
      </x:c>
      <x:c r="T1916" s="10" t="n">
        <x:v>0.145833</x:v>
      </x:c>
      <x:c r="U1916" s="4" t="str">
        <x:v>Train</x:v>
      </x:c>
    </x:row>
    <x:row r="1917" ht="34" customHeight="1">
      <x:c r="A1917" s="4" t="str">
        <x:v>RS-01916</x:v>
      </x:c>
      <x:c r="B1917" s="8" t="n">
        <x:v>45394</x:v>
      </x:c>
      <x:c r="C1917" s="4" t="str">
        <x:v>PRJ-016</x:v>
      </x:c>
      <x:c r="D1917" s="4" t="str">
        <x:v>Villa</x:v>
      </x:c>
      <x:c r="E1917" s="4" t="str">
        <x:v>Cancelled</x:v>
      </x:c>
      <x:c r="F1917" s="4" t="str">
        <x:v>CUS-01916</x:v>
      </x:c>
      <x:c r="G1917" s="4" t="str">
        <x:v>UNIT-01916</x:v>
      </x:c>
      <x:c r="H1917" s="9" t="n">
        <x:v>22600000</x:v>
      </x:c>
      <x:c r="I1917" s="10" t="n">
        <x:v>0.04</x:v>
      </x:c>
      <x:c r="J1917" s="11" t="n">
        <x:v>8</x:v>
      </x:c>
      <x:c r="K1917" s="11" t="n">
        <x:v>6</x:v>
      </x:c>
      <x:c r="L1917" s="11" t="n">
        <x:v>1</x:v>
      </x:c>
      <x:c r="M1917" s="9" t="n">
        <x:f>ROUND(H1917*(1-I1917),2)</x:f>
        <x:v>21696000</x:v>
      </x:c>
      <x:c r="N1917" s="4" t="str">
        <x:v>Sales manager</x:v>
      </x:c>
      <x:c r="O1917" s="4"/>
      <x:c r="P1917" s="9" t="n">
        <x:v>0</x:v>
      </x:c>
      <x:c r="Q1917" s="11" t="n">
        <x:v>1</x:v>
      </x:c>
      <x:c r="R1917" s="8" t="n">
        <x:v>45454</x:v>
      </x:c>
      <x:c r="S1917" s="4" t="str">
        <x:v>Lost / cancelled</x:v>
      </x:c>
      <x:c r="T1917" s="10" t="n">
        <x:v>0.310195</x:v>
      </x:c>
      <x:c r="U1917" s="4" t="str">
        <x:v>Train</x:v>
      </x:c>
    </x:row>
    <x:row r="1918" ht="34" customHeight="1">
      <x:c r="A1918" s="4" t="str">
        <x:v>RS-01917</x:v>
      </x:c>
      <x:c r="B1918" s="8" t="n">
        <x:v>45395</x:v>
      </x:c>
      <x:c r="C1918" s="4" t="str">
        <x:v>PRJ-017</x:v>
      </x:c>
      <x:c r="D1918" s="4" t="str">
        <x:v>Villa</x:v>
      </x:c>
      <x:c r="E1918" s="4" t="str">
        <x:v>Handed over</x:v>
      </x:c>
      <x:c r="F1918" s="4" t="str">
        <x:v>CUS-01917</x:v>
      </x:c>
      <x:c r="G1918" s="4" t="str">
        <x:v>UNIT-01917</x:v>
      </x:c>
      <x:c r="H1918" s="9" t="n">
        <x:v>16700000</x:v>
      </x:c>
      <x:c r="I1918" s="10" t="n">
        <x:v>0.11</x:v>
      </x:c>
      <x:c r="J1918" s="11" t="n">
        <x:v>3</x:v>
      </x:c>
      <x:c r="K1918" s="11" t="n">
        <x:v>8</x:v>
      </x:c>
      <x:c r="L1918" s="11" t="n">
        <x:v>0</x:v>
      </x:c>
      <x:c r="M1918" s="9" t="n">
        <x:f>ROUND(H1918*(1-I1918),2)</x:f>
        <x:v>14863000</x:v>
      </x:c>
      <x:c r="N1918" s="4" t="str">
        <x:v>Sales head</x:v>
      </x:c>
      <x:c r="O1918" s="4" t="str">
        <x:v>BOOK-01917</x:v>
      </x:c>
      <x:c r="P1918" s="9" t="n">
        <x:v>14863000</x:v>
      </x:c>
      <x:c r="Q1918" s="11" t="n">
        <x:v>0</x:v>
      </x:c>
      <x:c r="R1918" s="8" t="n">
        <x:v>45455</x:v>
      </x:c>
      <x:c r="S1918" s="4" t="str">
        <x:v>Retained</x:v>
      </x:c>
      <x:c r="T1918" s="10" t="n">
        <x:v>0.145833</x:v>
      </x:c>
      <x:c r="U1918" s="4" t="str">
        <x:v>Train</x:v>
      </x:c>
    </x:row>
    <x:row r="1919" ht="34" customHeight="1">
      <x:c r="A1919" s="4" t="str">
        <x:v>RS-01918</x:v>
      </x:c>
      <x:c r="B1919" s="8" t="n">
        <x:v>45396</x:v>
      </x:c>
      <x:c r="C1919" s="4" t="str">
        <x:v>PRJ-018</x:v>
      </x:c>
      <x:c r="D1919" s="4" t="str">
        <x:v>Villa</x:v>
      </x:c>
      <x:c r="E1919" s="4" t="str">
        <x:v>Cancelled</x:v>
      </x:c>
      <x:c r="F1919" s="4" t="str">
        <x:v>CUS-01918</x:v>
      </x:c>
      <x:c r="G1919" s="4" t="str">
        <x:v>UNIT-01918</x:v>
      </x:c>
      <x:c r="H1919" s="9" t="n">
        <x:v>9100000</x:v>
      </x:c>
      <x:c r="I1919" s="10" t="n">
        <x:v>0.11</x:v>
      </x:c>
      <x:c r="J1919" s="11" t="n">
        <x:v>12</x:v>
      </x:c>
      <x:c r="K1919" s="11" t="n">
        <x:v>1</x:v>
      </x:c>
      <x:c r="L1919" s="11" t="n">
        <x:v>0</x:v>
      </x:c>
      <x:c r="M1919" s="9" t="n">
        <x:f>ROUND(H1919*(1-I1919),2)</x:f>
        <x:v>8099000</x:v>
      </x:c>
      <x:c r="N1919" s="4" t="str">
        <x:v>Sales head</x:v>
      </x:c>
      <x:c r="O1919" s="4"/>
      <x:c r="P1919" s="9" t="n">
        <x:v>0</x:v>
      </x:c>
      <x:c r="Q1919" s="11" t="n">
        <x:v>1</x:v>
      </x:c>
      <x:c r="R1919" s="8" t="n">
        <x:v>45456</x:v>
      </x:c>
      <x:c r="S1919" s="4" t="str">
        <x:v>Lost / cancelled</x:v>
      </x:c>
      <x:c r="T1919" s="10" t="n">
        <x:v>0.351536</x:v>
      </x:c>
      <x:c r="U1919" s="4" t="str">
        <x:v>Train</x:v>
      </x:c>
    </x:row>
    <x:row r="1920" ht="34" customHeight="1">
      <x:c r="A1920" s="4" t="str">
        <x:v>RS-01919</x:v>
      </x:c>
      <x:c r="B1920" s="8" t="n">
        <x:v>45397</x:v>
      </x:c>
      <x:c r="C1920" s="4" t="str">
        <x:v>PRJ-019</x:v>
      </x:c>
      <x:c r="D1920" s="4" t="str">
        <x:v>Retail</x:v>
      </x:c>
      <x:c r="E1920" s="4" t="str">
        <x:v>Cancelled</x:v>
      </x:c>
      <x:c r="F1920" s="4" t="str">
        <x:v>CUS-01919</x:v>
      </x:c>
      <x:c r="G1920" s="4" t="str">
        <x:v>UNIT-01919</x:v>
      </x:c>
      <x:c r="H1920" s="9" t="n">
        <x:v>5500000</x:v>
      </x:c>
      <x:c r="I1920" s="10" t="n">
        <x:v>0.04</x:v>
      </x:c>
      <x:c r="J1920" s="11" t="n">
        <x:v>1</x:v>
      </x:c>
      <x:c r="K1920" s="11" t="n">
        <x:v>4</x:v>
      </x:c>
      <x:c r="L1920" s="11" t="n">
        <x:v>0</x:v>
      </x:c>
      <x:c r="M1920" s="9" t="n">
        <x:f>ROUND(H1920*(1-I1920),2)</x:f>
        <x:v>5280000</x:v>
      </x:c>
      <x:c r="N1920" s="4" t="str">
        <x:v>Sales manager</x:v>
      </x:c>
      <x:c r="O1920" s="4"/>
      <x:c r="P1920" s="9" t="n">
        <x:v>0</x:v>
      </x:c>
      <x:c r="Q1920" s="11" t="n">
        <x:v>1</x:v>
      </x:c>
      <x:c r="R1920" s="8" t="n">
        <x:v>45457</x:v>
      </x:c>
      <x:c r="S1920" s="4" t="str">
        <x:v>Lost / cancelled</x:v>
      </x:c>
      <x:c r="T1920" s="10" t="n">
        <x:v>0.204152</x:v>
      </x:c>
      <x:c r="U1920" s="4" t="str">
        <x:v>Train</x:v>
      </x:c>
    </x:row>
    <x:row r="1921" ht="34" customHeight="1">
      <x:c r="A1921" s="4" t="str">
        <x:v>RS-01920</x:v>
      </x:c>
      <x:c r="B1921" s="8" t="n">
        <x:v>45398</x:v>
      </x:c>
      <x:c r="C1921" s="4" t="str">
        <x:v>PRJ-020</x:v>
      </x:c>
      <x:c r="D1921" s="4" t="str">
        <x:v>Retail</x:v>
      </x:c>
      <x:c r="E1921" s="4" t="str">
        <x:v>Handed over</x:v>
      </x:c>
      <x:c r="F1921" s="4" t="str">
        <x:v>CUS-01920</x:v>
      </x:c>
      <x:c r="G1921" s="4" t="str">
        <x:v>UNIT-01920</x:v>
      </x:c>
      <x:c r="H1921" s="9" t="n">
        <x:v>13900000</x:v>
      </x:c>
      <x:c r="I1921" s="10" t="n">
        <x:v>0</x:v>
      </x:c>
      <x:c r="J1921" s="11" t="n">
        <x:v>7</x:v>
      </x:c>
      <x:c r="K1921" s="11" t="n">
        <x:v>2</x:v>
      </x:c>
      <x:c r="L1921" s="11" t="n">
        <x:v>1</x:v>
      </x:c>
      <x:c r="M1921" s="9" t="n">
        <x:f>ROUND(H1921*(1-I1921),2)</x:f>
        <x:v>13900000</x:v>
      </x:c>
      <x:c r="N1921" s="4" t="str">
        <x:v>Sales manager</x:v>
      </x:c>
      <x:c r="O1921" s="4" t="str">
        <x:v>BOOK-01920</x:v>
      </x:c>
      <x:c r="P1921" s="9" t="n">
        <x:v>1390000</x:v>
      </x:c>
      <x:c r="Q1921" s="11" t="n">
        <x:v>0</x:v>
      </x:c>
      <x:c r="R1921" s="8" t="n">
        <x:v>45458</x:v>
      </x:c>
      <x:c r="S1921" s="4" t="str">
        <x:v>Retained</x:v>
      </x:c>
      <x:c r="T1921" s="10" t="n">
        <x:v>0.298969</x:v>
      </x:c>
      <x:c r="U1921" s="4" t="str">
        <x:v>Train</x:v>
      </x:c>
    </x:row>
    <x:row r="1922" ht="34" customHeight="1">
      <x:c r="A1922" s="4" t="str">
        <x:v>RS-01921</x:v>
      </x:c>
      <x:c r="B1922" s="8" t="n">
        <x:v>45399</x:v>
      </x:c>
      <x:c r="C1922" s="4" t="str">
        <x:v>PRJ-001</x:v>
      </x:c>
      <x:c r="D1922" s="4" t="str">
        <x:v>Apartment</x:v>
      </x:c>
      <x:c r="E1922" s="4" t="str">
        <x:v>Booked</x:v>
      </x:c>
      <x:c r="F1922" s="4" t="str">
        <x:v>CUS-01921</x:v>
      </x:c>
      <x:c r="G1922" s="4" t="str">
        <x:v>UNIT-01921</x:v>
      </x:c>
      <x:c r="H1922" s="9" t="n">
        <x:v>6600000</x:v>
      </x:c>
      <x:c r="I1922" s="10" t="n">
        <x:v>0.06</x:v>
      </x:c>
      <x:c r="J1922" s="11" t="n">
        <x:v>12</x:v>
      </x:c>
      <x:c r="K1922" s="11" t="n">
        <x:v>6</x:v>
      </x:c>
      <x:c r="L1922" s="11" t="n">
        <x:v>1</x:v>
      </x:c>
      <x:c r="M1922" s="9" t="n">
        <x:f>ROUND(H1922*(1-I1922),2)</x:f>
        <x:v>6204000</x:v>
      </x:c>
      <x:c r="N1922" s="4" t="str">
        <x:v>Sales manager</x:v>
      </x:c>
      <x:c r="O1922" s="4" t="str">
        <x:v>BOOK-01921</x:v>
      </x:c>
      <x:c r="P1922" s="9" t="n">
        <x:v>1551000</x:v>
      </x:c>
      <x:c r="Q1922" s="11" t="n">
        <x:v>0</x:v>
      </x:c>
      <x:c r="R1922" s="8" t="n">
        <x:v>45459</x:v>
      </x:c>
      <x:c r="S1922" s="4" t="str">
        <x:v>Retained</x:v>
      </x:c>
      <x:c r="T1922" s="10" t="n">
        <x:v>0.351536</x:v>
      </x:c>
      <x:c r="U1922" s="4" t="str">
        <x:v>Train</x:v>
      </x:c>
    </x:row>
    <x:row r="1923" ht="34" customHeight="1">
      <x:c r="A1923" s="4" t="str">
        <x:v>RS-01922</x:v>
      </x:c>
      <x:c r="B1923" s="8" t="n">
        <x:v>45400</x:v>
      </x:c>
      <x:c r="C1923" s="4" t="str">
        <x:v>PRJ-002</x:v>
      </x:c>
      <x:c r="D1923" s="4" t="str">
        <x:v>Villa</x:v>
      </x:c>
      <x:c r="E1923" s="4" t="str">
        <x:v>Handed over</x:v>
      </x:c>
      <x:c r="F1923" s="4" t="str">
        <x:v>CUS-01922</x:v>
      </x:c>
      <x:c r="G1923" s="4" t="str">
        <x:v>UNIT-01922</x:v>
      </x:c>
      <x:c r="H1923" s="9" t="n">
        <x:v>23100000</x:v>
      </x:c>
      <x:c r="I1923" s="10" t="n">
        <x:v>0.05</x:v>
      </x:c>
      <x:c r="J1923" s="11" t="n">
        <x:v>8</x:v>
      </x:c>
      <x:c r="K1923" s="11" t="n">
        <x:v>9</x:v>
      </x:c>
      <x:c r="L1923" s="11" t="n">
        <x:v>0</x:v>
      </x:c>
      <x:c r="M1923" s="9" t="n">
        <x:f>ROUND(H1923*(1-I1923),2)</x:f>
        <x:v>21945000</x:v>
      </x:c>
      <x:c r="N1923" s="4" t="str">
        <x:v>Sales manager</x:v>
      </x:c>
      <x:c r="O1923" s="4" t="str">
        <x:v>BOOK-01922</x:v>
      </x:c>
      <x:c r="P1923" s="9" t="n">
        <x:v>5486250</x:v>
      </x:c>
      <x:c r="Q1923" s="11" t="n">
        <x:v>0</x:v>
      </x:c>
      <x:c r="R1923" s="8" t="n">
        <x:v>45460</x:v>
      </x:c>
      <x:c r="S1923" s="4" t="str">
        <x:v>Retained</x:v>
      </x:c>
      <x:c r="T1923" s="10" t="n">
        <x:v>0.310195</x:v>
      </x:c>
      <x:c r="U1923" s="4" t="str">
        <x:v>Train</x:v>
      </x:c>
    </x:row>
    <x:row r="1924" ht="34" customHeight="1">
      <x:c r="A1924" s="4" t="str">
        <x:v>RS-01923</x:v>
      </x:c>
      <x:c r="B1924" s="8" t="n">
        <x:v>45401</x:v>
      </x:c>
      <x:c r="C1924" s="4" t="str">
        <x:v>PRJ-003</x:v>
      </x:c>
      <x:c r="D1924" s="4" t="str">
        <x:v>Apartment</x:v>
      </x:c>
      <x:c r="E1924" s="4" t="str">
        <x:v>Reserved</x:v>
      </x:c>
      <x:c r="F1924" s="4" t="str">
        <x:v>CUS-01923</x:v>
      </x:c>
      <x:c r="G1924" s="4" t="str">
        <x:v>UNIT-01923</x:v>
      </x:c>
      <x:c r="H1924" s="9" t="n">
        <x:v>8700000</x:v>
      </x:c>
      <x:c r="I1924" s="10" t="n">
        <x:v>0.01</x:v>
      </x:c>
      <x:c r="J1924" s="11" t="n">
        <x:v>2</x:v>
      </x:c>
      <x:c r="K1924" s="11" t="n">
        <x:v>7</x:v>
      </x:c>
      <x:c r="L1924" s="11" t="n">
        <x:v>0</x:v>
      </x:c>
      <x:c r="M1924" s="9" t="n">
        <x:f>ROUND(H1924*(1-I1924),2)</x:f>
        <x:v>8613000</x:v>
      </x:c>
      <x:c r="N1924" s="4" t="str">
        <x:v>Sales manager</x:v>
      </x:c>
      <x:c r="O1924" s="4"/>
      <x:c r="P1924" s="9" t="n">
        <x:v>0</x:v>
      </x:c>
      <x:c r="Q1924" s="11" t="n">
        <x:v>0</x:v>
      </x:c>
      <x:c r="R1924" s="8" t="n">
        <x:v>45461</x:v>
      </x:c>
      <x:c r="S1924" s="4" t="str">
        <x:v>Retained</x:v>
      </x:c>
      <x:c r="T1924" s="10" t="n">
        <x:v>0.171717</x:v>
      </x:c>
      <x:c r="U1924" s="4" t="str">
        <x:v>Train</x:v>
      </x:c>
    </x:row>
    <x:row r="1925" ht="34" customHeight="1">
      <x:c r="A1925" s="4" t="str">
        <x:v>RS-01924</x:v>
      </x:c>
      <x:c r="B1925" s="8" t="n">
        <x:v>45402</x:v>
      </x:c>
      <x:c r="C1925" s="4" t="str">
        <x:v>PRJ-004</x:v>
      </x:c>
      <x:c r="D1925" s="4" t="str">
        <x:v>Villa</x:v>
      </x:c>
      <x:c r="E1925" s="4" t="str">
        <x:v>Enquiry</x:v>
      </x:c>
      <x:c r="F1925" s="4" t="str">
        <x:v>CUS-01924</x:v>
      </x:c>
      <x:c r="G1925" s="4" t="str">
        <x:v>UNIT-01924</x:v>
      </x:c>
      <x:c r="H1925" s="9" t="n">
        <x:v>22000000</x:v>
      </x:c>
      <x:c r="I1925" s="10" t="n">
        <x:v>0.03</x:v>
      </x:c>
      <x:c r="J1925" s="11" t="n">
        <x:v>0</x:v>
      </x:c>
      <x:c r="K1925" s="11" t="n">
        <x:v>1</x:v>
      </x:c>
      <x:c r="L1925" s="11" t="n">
        <x:v>1</x:v>
      </x:c>
      <x:c r="M1925" s="9" t="n">
        <x:f>ROUND(H1925*(1-I1925),2)</x:f>
        <x:v>21340000</x:v>
      </x:c>
      <x:c r="N1925" s="4" t="str">
        <x:v>Sales manager</x:v>
      </x:c>
      <x:c r="O1925" s="4"/>
      <x:c r="P1925" s="9" t="n">
        <x:v>0</x:v>
      </x:c>
      <x:c r="Q1925" s="11" t="n">
        <x:v>0</x:v>
      </x:c>
      <x:c r="R1925" s="8" t="n">
        <x:v>45462</x:v>
      </x:c>
      <x:c r="S1925" s="4" t="str">
        <x:v>Retained</x:v>
      </x:c>
      <x:c r="T1925" s="10" t="n">
        <x:v>0.072165</x:v>
      </x:c>
      <x:c r="U1925" s="4" t="str">
        <x:v>Train</x:v>
      </x:c>
    </x:row>
    <x:row r="1926" ht="34" customHeight="1">
      <x:c r="A1926" s="4" t="str">
        <x:v>RS-01925</x:v>
      </x:c>
      <x:c r="B1926" s="8" t="n">
        <x:v>45403</x:v>
      </x:c>
      <x:c r="C1926" s="4" t="str">
        <x:v>PRJ-005</x:v>
      </x:c>
      <x:c r="D1926" s="4" t="str">
        <x:v>Office</x:v>
      </x:c>
      <x:c r="E1926" s="4" t="str">
        <x:v>Reserved</x:v>
      </x:c>
      <x:c r="F1926" s="4" t="str">
        <x:v>CUS-01925</x:v>
      </x:c>
      <x:c r="G1926" s="4" t="str">
        <x:v>UNIT-01925</x:v>
      </x:c>
      <x:c r="H1926" s="9" t="n">
        <x:v>13600000</x:v>
      </x:c>
      <x:c r="I1926" s="10" t="n">
        <x:v>0.03</x:v>
      </x:c>
      <x:c r="J1926" s="11" t="n">
        <x:v>1</x:v>
      </x:c>
      <x:c r="K1926" s="11" t="n">
        <x:v>7</x:v>
      </x:c>
      <x:c r="L1926" s="11" t="n">
        <x:v>1</x:v>
      </x:c>
      <x:c r="M1926" s="9" t="n">
        <x:f>ROUND(H1926*(1-I1926),2)</x:f>
        <x:v>13192000</x:v>
      </x:c>
      <x:c r="N1926" s="4" t="str">
        <x:v>Sales manager</x:v>
      </x:c>
      <x:c r="O1926" s="4"/>
      <x:c r="P1926" s="9" t="n">
        <x:v>0</x:v>
      </x:c>
      <x:c r="Q1926" s="11" t="n">
        <x:v>0</x:v>
      </x:c>
      <x:c r="R1926" s="8" t="n">
        <x:v>45463</x:v>
      </x:c>
      <x:c r="S1926" s="4" t="str">
        <x:v>Retained</x:v>
      </x:c>
      <x:c r="T1926" s="10" t="n">
        <x:v>0.072165</x:v>
      </x:c>
      <x:c r="U1926" s="4" t="str">
        <x:v>Train</x:v>
      </x:c>
    </x:row>
    <x:row r="1927" ht="34" customHeight="1">
      <x:c r="A1927" s="4" t="str">
        <x:v>RS-01926</x:v>
      </x:c>
      <x:c r="B1927" s="8" t="n">
        <x:v>45404</x:v>
      </x:c>
      <x:c r="C1927" s="4" t="str">
        <x:v>PRJ-006</x:v>
      </x:c>
      <x:c r="D1927" s="4" t="str">
        <x:v>Office</x:v>
      </x:c>
      <x:c r="E1927" s="4" t="str">
        <x:v>Agreement signed</x:v>
      </x:c>
      <x:c r="F1927" s="4" t="str">
        <x:v>CUS-01926</x:v>
      </x:c>
      <x:c r="G1927" s="4" t="str">
        <x:v>UNIT-01926</x:v>
      </x:c>
      <x:c r="H1927" s="9" t="n">
        <x:v>3900000</x:v>
      </x:c>
      <x:c r="I1927" s="10" t="n">
        <x:v>0.02</x:v>
      </x:c>
      <x:c r="J1927" s="11" t="n">
        <x:v>5</x:v>
      </x:c>
      <x:c r="K1927" s="11" t="n">
        <x:v>4</x:v>
      </x:c>
      <x:c r="L1927" s="11" t="n">
        <x:v>0</x:v>
      </x:c>
      <x:c r="M1927" s="9" t="n">
        <x:f>ROUND(H1927*(1-I1927),2)</x:f>
        <x:v>3822000</x:v>
      </x:c>
      <x:c r="N1927" s="4" t="str">
        <x:v>Sales manager</x:v>
      </x:c>
      <x:c r="O1927" s="4" t="str">
        <x:v>BOOK-01926</x:v>
      </x:c>
      <x:c r="P1927" s="9" t="n">
        <x:v>382200</x:v>
      </x:c>
      <x:c r="Q1927" s="11" t="n">
        <x:v>0</x:v>
      </x:c>
      <x:c r="R1927" s="8" t="n">
        <x:v>45464</x:v>
      </x:c>
      <x:c r="S1927" s="4" t="str">
        <x:v>Retained</x:v>
      </x:c>
      <x:c r="T1927" s="10" t="n">
        <x:v>0.298969</x:v>
      </x:c>
      <x:c r="U1927" s="4" t="str">
        <x:v>Train</x:v>
      </x:c>
    </x:row>
    <x:row r="1928" ht="34" customHeight="1">
      <x:c r="A1928" s="4" t="str">
        <x:v>RS-01927</x:v>
      </x:c>
      <x:c r="B1928" s="8" t="n">
        <x:v>45405</x:v>
      </x:c>
      <x:c r="C1928" s="4" t="str">
        <x:v>PRJ-007</x:v>
      </x:c>
      <x:c r="D1928" s="4" t="str">
        <x:v>Retail</x:v>
      </x:c>
      <x:c r="E1928" s="4" t="str">
        <x:v>Agreement signed</x:v>
      </x:c>
      <x:c r="F1928" s="4" t="str">
        <x:v>CUS-01927</x:v>
      </x:c>
      <x:c r="G1928" s="4" t="str">
        <x:v>UNIT-01927</x:v>
      </x:c>
      <x:c r="H1928" s="9" t="n">
        <x:v>16500000</x:v>
      </x:c>
      <x:c r="I1928" s="10" t="n">
        <x:v>0.11</x:v>
      </x:c>
      <x:c r="J1928" s="11" t="n">
        <x:v>7</x:v>
      </x:c>
      <x:c r="K1928" s="11" t="n">
        <x:v>3</x:v>
      </x:c>
      <x:c r="L1928" s="11" t="n">
        <x:v>1</x:v>
      </x:c>
      <x:c r="M1928" s="9" t="n">
        <x:f>ROUND(H1928*(1-I1928),2)</x:f>
        <x:v>14685000</x:v>
      </x:c>
      <x:c r="N1928" s="4" t="str">
        <x:v>Sales head</x:v>
      </x:c>
      <x:c r="O1928" s="4" t="str">
        <x:v>BOOK-01927</x:v>
      </x:c>
      <x:c r="P1928" s="9" t="n">
        <x:v>1468500</x:v>
      </x:c>
      <x:c r="Q1928" s="11" t="n">
        <x:v>0</x:v>
      </x:c>
      <x:c r="R1928" s="8" t="n">
        <x:v>45465</x:v>
      </x:c>
      <x:c r="S1928" s="4" t="str">
        <x:v>Retained</x:v>
      </x:c>
      <x:c r="T1928" s="10" t="n">
        <x:v>0.291946</x:v>
      </x:c>
      <x:c r="U1928" s="4" t="str">
        <x:v>Train</x:v>
      </x:c>
    </x:row>
    <x:row r="1929" ht="34" customHeight="1">
      <x:c r="A1929" s="4" t="str">
        <x:v>RS-01928</x:v>
      </x:c>
      <x:c r="B1929" s="8" t="n">
        <x:v>45406</x:v>
      </x:c>
      <x:c r="C1929" s="4" t="str">
        <x:v>PRJ-008</x:v>
      </x:c>
      <x:c r="D1929" s="4" t="str">
        <x:v>Retail</x:v>
      </x:c>
      <x:c r="E1929" s="4" t="str">
        <x:v>Enquiry</x:v>
      </x:c>
      <x:c r="F1929" s="4" t="str">
        <x:v>CUS-01928</x:v>
      </x:c>
      <x:c r="G1929" s="4" t="str">
        <x:v>UNIT-01928</x:v>
      </x:c>
      <x:c r="H1929" s="9" t="n">
        <x:v>23500000</x:v>
      </x:c>
      <x:c r="I1929" s="10" t="n">
        <x:v>0.05</x:v>
      </x:c>
      <x:c r="J1929" s="11" t="n">
        <x:v>1</x:v>
      </x:c>
      <x:c r="K1929" s="11" t="n">
        <x:v>8</x:v>
      </x:c>
      <x:c r="L1929" s="11" t="n">
        <x:v>1</x:v>
      </x:c>
      <x:c r="M1929" s="9" t="n">
        <x:f>ROUND(H1929*(1-I1929),2)</x:f>
        <x:v>22325000</x:v>
      </x:c>
      <x:c r="N1929" s="4" t="str">
        <x:v>Sales manager</x:v>
      </x:c>
      <x:c r="O1929" s="4"/>
      <x:c r="P1929" s="9" t="n">
        <x:v>0</x:v>
      </x:c>
      <x:c r="Q1929" s="11" t="n">
        <x:v>0</x:v>
      </x:c>
      <x:c r="R1929" s="8" t="n">
        <x:v>45466</x:v>
      </x:c>
      <x:c r="S1929" s="4" t="str">
        <x:v>Retained</x:v>
      </x:c>
      <x:c r="T1929" s="10" t="n">
        <x:v>0.204152</x:v>
      </x:c>
      <x:c r="U1929" s="4" t="str">
        <x:v>Train</x:v>
      </x:c>
    </x:row>
    <x:row r="1930" ht="34" customHeight="1">
      <x:c r="A1930" s="4" t="str">
        <x:v>RS-01929</x:v>
      </x:c>
      <x:c r="B1930" s="8" t="n">
        <x:v>45407</x:v>
      </x:c>
      <x:c r="C1930" s="4" t="str">
        <x:v>PRJ-009</x:v>
      </x:c>
      <x:c r="D1930" s="4" t="str">
        <x:v>Office</x:v>
      </x:c>
      <x:c r="E1930" s="4" t="str">
        <x:v>Handed over</x:v>
      </x:c>
      <x:c r="F1930" s="4" t="str">
        <x:v>CUS-01929</x:v>
      </x:c>
      <x:c r="G1930" s="4" t="str">
        <x:v>UNIT-01929</x:v>
      </x:c>
      <x:c r="H1930" s="9" t="n">
        <x:v>19000000</x:v>
      </x:c>
      <x:c r="I1930" s="10" t="n">
        <x:v>0.1</x:v>
      </x:c>
      <x:c r="J1930" s="11" t="n">
        <x:v>2</x:v>
      </x:c>
      <x:c r="K1930" s="11" t="n">
        <x:v>0</x:v>
      </x:c>
      <x:c r="L1930" s="11" t="n">
        <x:v>1</x:v>
      </x:c>
      <x:c r="M1930" s="9" t="n">
        <x:f>ROUND(H1930*(1-I1930),2)</x:f>
        <x:v>17100000</x:v>
      </x:c>
      <x:c r="N1930" s="4" t="str">
        <x:v>Sales head</x:v>
      </x:c>
      <x:c r="O1930" s="4" t="str">
        <x:v>BOOK-01929</x:v>
      </x:c>
      <x:c r="P1930" s="9" t="n">
        <x:v>4275000</x:v>
      </x:c>
      <x:c r="Q1930" s="11" t="n">
        <x:v>0</x:v>
      </x:c>
      <x:c r="R1930" s="8" t="n">
        <x:v>45467</x:v>
      </x:c>
      <x:c r="S1930" s="4" t="str">
        <x:v>Retained</x:v>
      </x:c>
      <x:c r="T1930" s="10" t="n">
        <x:v>0.276923</x:v>
      </x:c>
      <x:c r="U1930" s="4" t="str">
        <x:v>Train</x:v>
      </x:c>
    </x:row>
    <x:row r="1931" ht="34" customHeight="1">
      <x:c r="A1931" s="4" t="str">
        <x:v>RS-01930</x:v>
      </x:c>
      <x:c r="B1931" s="8" t="n">
        <x:v>45408</x:v>
      </x:c>
      <x:c r="C1931" s="4" t="str">
        <x:v>PRJ-010</x:v>
      </x:c>
      <x:c r="D1931" s="4" t="str">
        <x:v>Apartment</x:v>
      </x:c>
      <x:c r="E1931" s="4" t="str">
        <x:v>Handed over</x:v>
      </x:c>
      <x:c r="F1931" s="4" t="str">
        <x:v>CUS-01930</x:v>
      </x:c>
      <x:c r="G1931" s="4" t="str">
        <x:v>UNIT-01930</x:v>
      </x:c>
      <x:c r="H1931" s="9" t="n">
        <x:v>15100000</x:v>
      </x:c>
      <x:c r="I1931" s="10" t="n">
        <x:v>0.1</x:v>
      </x:c>
      <x:c r="J1931" s="11" t="n">
        <x:v>10</x:v>
      </x:c>
      <x:c r="K1931" s="11" t="n">
        <x:v>9</x:v>
      </x:c>
      <x:c r="L1931" s="11" t="n">
        <x:v>0</x:v>
      </x:c>
      <x:c r="M1931" s="9" t="n">
        <x:f>ROUND(H1931*(1-I1931),2)</x:f>
        <x:v>13590000</x:v>
      </x:c>
      <x:c r="N1931" s="4" t="str">
        <x:v>Sales head</x:v>
      </x:c>
      <x:c r="O1931" s="4" t="str">
        <x:v>BOOK-01930</x:v>
      </x:c>
      <x:c r="P1931" s="9" t="n">
        <x:v>3397500</x:v>
      </x:c>
      <x:c r="Q1931" s="11" t="n">
        <x:v>0</x:v>
      </x:c>
      <x:c r="R1931" s="8" t="n">
        <x:v>45468</x:v>
      </x:c>
      <x:c r="S1931" s="4" t="str">
        <x:v>Retained</x:v>
      </x:c>
      <x:c r="T1931" s="10" t="n">
        <x:v>0.310195</x:v>
      </x:c>
      <x:c r="U1931" s="4" t="str">
        <x:v>Train</x:v>
      </x:c>
    </x:row>
    <x:row r="1932" ht="34" customHeight="1">
      <x:c r="A1932" s="4" t="str">
        <x:v>RS-01931</x:v>
      </x:c>
      <x:c r="B1932" s="8" t="n">
        <x:v>45409</x:v>
      </x:c>
      <x:c r="C1932" s="4" t="str">
        <x:v>PRJ-011</x:v>
      </x:c>
      <x:c r="D1932" s="4" t="str">
        <x:v>Retail</x:v>
      </x:c>
      <x:c r="E1932" s="4" t="str">
        <x:v>Reserved</x:v>
      </x:c>
      <x:c r="F1932" s="4" t="str">
        <x:v>CUS-01931</x:v>
      </x:c>
      <x:c r="G1932" s="4" t="str">
        <x:v>UNIT-01931</x:v>
      </x:c>
      <x:c r="H1932" s="9" t="n">
        <x:v>21600000</x:v>
      </x:c>
      <x:c r="I1932" s="10" t="n">
        <x:v>0.01</x:v>
      </x:c>
      <x:c r="J1932" s="11" t="n">
        <x:v>5</x:v>
      </x:c>
      <x:c r="K1932" s="11" t="n">
        <x:v>5</x:v>
      </x:c>
      <x:c r="L1932" s="11" t="n">
        <x:v>1</x:v>
      </x:c>
      <x:c r="M1932" s="9" t="n">
        <x:f>ROUND(H1932*(1-I1932),2)</x:f>
        <x:v>21384000</x:v>
      </x:c>
      <x:c r="N1932" s="4" t="str">
        <x:v>Sales manager</x:v>
      </x:c>
      <x:c r="O1932" s="4"/>
      <x:c r="P1932" s="9" t="n">
        <x:v>0</x:v>
      </x:c>
      <x:c r="Q1932" s="11" t="n">
        <x:v>0</x:v>
      </x:c>
      <x:c r="R1932" s="8" t="n">
        <x:v>45469</x:v>
      </x:c>
      <x:c r="S1932" s="4" t="str">
        <x:v>Retained</x:v>
      </x:c>
      <x:c r="T1932" s="10" t="n">
        <x:v>0.145299</x:v>
      </x:c>
      <x:c r="U1932" s="4" t="str">
        <x:v>Train</x:v>
      </x:c>
    </x:row>
    <x:row r="1933" ht="34" customHeight="1">
      <x:c r="A1933" s="4" t="str">
        <x:v>RS-01932</x:v>
      </x:c>
      <x:c r="B1933" s="8" t="n">
        <x:v>45410</x:v>
      </x:c>
      <x:c r="C1933" s="4" t="str">
        <x:v>PRJ-012</x:v>
      </x:c>
      <x:c r="D1933" s="4" t="str">
        <x:v>Apartment</x:v>
      </x:c>
      <x:c r="E1933" s="4" t="str">
        <x:v>Cancelled</x:v>
      </x:c>
      <x:c r="F1933" s="4" t="str">
        <x:v>CUS-01932</x:v>
      </x:c>
      <x:c r="G1933" s="4" t="str">
        <x:v>UNIT-01932</x:v>
      </x:c>
      <x:c r="H1933" s="9" t="n">
        <x:v>23500000</x:v>
      </x:c>
      <x:c r="I1933" s="10" t="n">
        <x:v>0.11</x:v>
      </x:c>
      <x:c r="J1933" s="11" t="n">
        <x:v>11</x:v>
      </x:c>
      <x:c r="K1933" s="11" t="n">
        <x:v>10</x:v>
      </x:c>
      <x:c r="L1933" s="11" t="n">
        <x:v>0</x:v>
      </x:c>
      <x:c r="M1933" s="9" t="n">
        <x:f>ROUND(H1933*(1-I1933),2)</x:f>
        <x:v>20915000</x:v>
      </x:c>
      <x:c r="N1933" s="4" t="str">
        <x:v>Sales head</x:v>
      </x:c>
      <x:c r="O1933" s="4"/>
      <x:c r="P1933" s="9" t="n">
        <x:v>0</x:v>
      </x:c>
      <x:c r="Q1933" s="11" t="n">
        <x:v>1</x:v>
      </x:c>
      <x:c r="R1933" s="8" t="n">
        <x:v>45470</x:v>
      </x:c>
      <x:c r="S1933" s="4" t="str">
        <x:v>Lost / cancelled</x:v>
      </x:c>
      <x:c r="T1933" s="10" t="n">
        <x:v>0.351536</x:v>
      </x:c>
      <x:c r="U1933" s="4" t="str">
        <x:v>Train</x:v>
      </x:c>
    </x:row>
    <x:row r="1934" ht="34" customHeight="1">
      <x:c r="A1934" s="4" t="str">
        <x:v>RS-01933</x:v>
      </x:c>
      <x:c r="B1934" s="8" t="n">
        <x:v>45383</x:v>
      </x:c>
      <x:c r="C1934" s="4" t="str">
        <x:v>PRJ-013</x:v>
      </x:c>
      <x:c r="D1934" s="4" t="str">
        <x:v>Retail</x:v>
      </x:c>
      <x:c r="E1934" s="4" t="str">
        <x:v>Handed over</x:v>
      </x:c>
      <x:c r="F1934" s="4" t="str">
        <x:v>CUS-01933</x:v>
      </x:c>
      <x:c r="G1934" s="4" t="str">
        <x:v>UNIT-01933</x:v>
      </x:c>
      <x:c r="H1934" s="9" t="n">
        <x:v>23200000</x:v>
      </x:c>
      <x:c r="I1934" s="10" t="n">
        <x:v>0.09</x:v>
      </x:c>
      <x:c r="J1934" s="11" t="n">
        <x:v>12</x:v>
      </x:c>
      <x:c r="K1934" s="11" t="n">
        <x:v>7</x:v>
      </x:c>
      <x:c r="L1934" s="11" t="n">
        <x:v>1</x:v>
      </x:c>
      <x:c r="M1934" s="9" t="n">
        <x:f>ROUND(H1934*(1-I1934),2)</x:f>
        <x:v>21112000</x:v>
      </x:c>
      <x:c r="N1934" s="4" t="str">
        <x:v>Sales head</x:v>
      </x:c>
      <x:c r="O1934" s="4" t="str">
        <x:v>BOOK-01933</x:v>
      </x:c>
      <x:c r="P1934" s="9" t="n">
        <x:v>2111200</x:v>
      </x:c>
      <x:c r="Q1934" s="11" t="n">
        <x:v>0</x:v>
      </x:c>
      <x:c r="R1934" s="8" t="n">
        <x:v>45443</x:v>
      </x:c>
      <x:c r="S1934" s="4" t="str">
        <x:v>Retained</x:v>
      </x:c>
      <x:c r="T1934" s="10" t="n">
        <x:v>0.351536</x:v>
      </x:c>
      <x:c r="U1934" s="4" t="str">
        <x:v>Train</x:v>
      </x:c>
    </x:row>
    <x:row r="1935" ht="34" customHeight="1">
      <x:c r="A1935" s="4" t="str">
        <x:v>RS-01934</x:v>
      </x:c>
      <x:c r="B1935" s="8" t="n">
        <x:v>45384</x:v>
      </x:c>
      <x:c r="C1935" s="4" t="str">
        <x:v>PRJ-014</x:v>
      </x:c>
      <x:c r="D1935" s="4" t="str">
        <x:v>Villa</x:v>
      </x:c>
      <x:c r="E1935" s="4" t="str">
        <x:v>Cancelled</x:v>
      </x:c>
      <x:c r="F1935" s="4" t="str">
        <x:v>CUS-01934</x:v>
      </x:c>
      <x:c r="G1935" s="4" t="str">
        <x:v>UNIT-01934</x:v>
      </x:c>
      <x:c r="H1935" s="9" t="n">
        <x:v>15900000</x:v>
      </x:c>
      <x:c r="I1935" s="10" t="n">
        <x:v>0.03</x:v>
      </x:c>
      <x:c r="J1935" s="11" t="n">
        <x:v>2</x:v>
      </x:c>
      <x:c r="K1935" s="11" t="n">
        <x:v>5</x:v>
      </x:c>
      <x:c r="L1935" s="11" t="n">
        <x:v>1</x:v>
      </x:c>
      <x:c r="M1935" s="9" t="n">
        <x:f>ROUND(H1935*(1-I1935),2)</x:f>
        <x:v>15423000</x:v>
      </x:c>
      <x:c r="N1935" s="4" t="str">
        <x:v>Sales manager</x:v>
      </x:c>
      <x:c r="O1935" s="4"/>
      <x:c r="P1935" s="9" t="n">
        <x:v>0</x:v>
      </x:c>
      <x:c r="Q1935" s="11" t="n">
        <x:v>1</x:v>
      </x:c>
      <x:c r="R1935" s="8" t="n">
        <x:v>45444</x:v>
      </x:c>
      <x:c r="S1935" s="4" t="str">
        <x:v>Lost / cancelled</x:v>
      </x:c>
      <x:c r="T1935" s="10" t="n">
        <x:v>0.171717</x:v>
      </x:c>
      <x:c r="U1935" s="4" t="str">
        <x:v>Train</x:v>
      </x:c>
    </x:row>
    <x:row r="1936" ht="34" customHeight="1">
      <x:c r="A1936" s="4" t="str">
        <x:v>RS-01935</x:v>
      </x:c>
      <x:c r="B1936" s="8" t="n">
        <x:v>45385</x:v>
      </x:c>
      <x:c r="C1936" s="4" t="str">
        <x:v>PRJ-015</x:v>
      </x:c>
      <x:c r="D1936" s="4" t="str">
        <x:v>Villa</x:v>
      </x:c>
      <x:c r="E1936" s="4" t="str">
        <x:v>Reserved</x:v>
      </x:c>
      <x:c r="F1936" s="4" t="str">
        <x:v>CUS-01935</x:v>
      </x:c>
      <x:c r="G1936" s="4" t="str">
        <x:v>UNIT-01935</x:v>
      </x:c>
      <x:c r="H1936" s="9" t="n">
        <x:v>3900000</x:v>
      </x:c>
      <x:c r="I1936" s="10" t="n">
        <x:v>0.12</x:v>
      </x:c>
      <x:c r="J1936" s="11" t="n">
        <x:v>8</x:v>
      </x:c>
      <x:c r="K1936" s="11" t="n">
        <x:v>1</x:v>
      </x:c>
      <x:c r="L1936" s="11" t="n">
        <x:v>0</x:v>
      </x:c>
      <x:c r="M1936" s="9" t="n">
        <x:f>ROUND(H1936*(1-I1936),2)</x:f>
        <x:v>3432000</x:v>
      </x:c>
      <x:c r="N1936" s="4" t="str">
        <x:v>Sales head</x:v>
      </x:c>
      <x:c r="O1936" s="4"/>
      <x:c r="P1936" s="9" t="n">
        <x:v>0</x:v>
      </x:c>
      <x:c r="Q1936" s="11" t="n">
        <x:v>0</x:v>
      </x:c>
      <x:c r="R1936" s="8" t="n">
        <x:v>45445</x:v>
      </x:c>
      <x:c r="S1936" s="4" t="str">
        <x:v>Retained</x:v>
      </x:c>
      <x:c r="T1936" s="10" t="n">
        <x:v>0.310195</x:v>
      </x:c>
      <x:c r="U1936" s="4" t="str">
        <x:v>Train</x:v>
      </x:c>
    </x:row>
    <x:row r="1937" ht="34" customHeight="1">
      <x:c r="A1937" s="4" t="str">
        <x:v>RS-01936</x:v>
      </x:c>
      <x:c r="B1937" s="8" t="n">
        <x:v>45386</x:v>
      </x:c>
      <x:c r="C1937" s="4" t="str">
        <x:v>PRJ-016</x:v>
      </x:c>
      <x:c r="D1937" s="4" t="str">
        <x:v>Retail</x:v>
      </x:c>
      <x:c r="E1937" s="4" t="str">
        <x:v>Booked</x:v>
      </x:c>
      <x:c r="F1937" s="4" t="str">
        <x:v>CUS-01936</x:v>
      </x:c>
      <x:c r="G1937" s="4" t="str">
        <x:v>UNIT-01936</x:v>
      </x:c>
      <x:c r="H1937" s="9" t="n">
        <x:v>5100000</x:v>
      </x:c>
      <x:c r="I1937" s="10" t="n">
        <x:v>0.07</x:v>
      </x:c>
      <x:c r="J1937" s="11" t="n">
        <x:v>1</x:v>
      </x:c>
      <x:c r="K1937" s="11" t="n">
        <x:v>5</x:v>
      </x:c>
      <x:c r="L1937" s="11" t="n">
        <x:v>0</x:v>
      </x:c>
      <x:c r="M1937" s="9" t="n">
        <x:f>ROUND(H1937*(1-I1937),2)</x:f>
        <x:v>4743000</x:v>
      </x:c>
      <x:c r="N1937" s="4" t="str">
        <x:v>Sales manager</x:v>
      </x:c>
      <x:c r="O1937" s="4" t="str">
        <x:v>BOOK-01936</x:v>
      </x:c>
      <x:c r="P1937" s="9" t="n">
        <x:v>4743000</x:v>
      </x:c>
      <x:c r="Q1937" s="11" t="n">
        <x:v>0</x:v>
      </x:c>
      <x:c r="R1937" s="8" t="n">
        <x:v>45446</x:v>
      </x:c>
      <x:c r="S1937" s="4" t="str">
        <x:v>Retained</x:v>
      </x:c>
      <x:c r="T1937" s="10" t="n">
        <x:v>0.204152</x:v>
      </x:c>
      <x:c r="U1937" s="4" t="str">
        <x:v>Train</x:v>
      </x:c>
    </x:row>
    <x:row r="1938" ht="34" customHeight="1">
      <x:c r="A1938" s="4" t="str">
        <x:v>RS-01937</x:v>
      </x:c>
      <x:c r="B1938" s="8" t="n">
        <x:v>45387</x:v>
      </x:c>
      <x:c r="C1938" s="4" t="str">
        <x:v>PRJ-017</x:v>
      </x:c>
      <x:c r="D1938" s="4" t="str">
        <x:v>Villa</x:v>
      </x:c>
      <x:c r="E1938" s="4" t="str">
        <x:v>Booked</x:v>
      </x:c>
      <x:c r="F1938" s="4" t="str">
        <x:v>CUS-01937</x:v>
      </x:c>
      <x:c r="G1938" s="4" t="str">
        <x:v>UNIT-01937</x:v>
      </x:c>
      <x:c r="H1938" s="9" t="n">
        <x:v>15100000</x:v>
      </x:c>
      <x:c r="I1938" s="10" t="n">
        <x:v>0.1</x:v>
      </x:c>
      <x:c r="J1938" s="11" t="n">
        <x:v>11</x:v>
      </x:c>
      <x:c r="K1938" s="11" t="n">
        <x:v>8</x:v>
      </x:c>
      <x:c r="L1938" s="11" t="n">
        <x:v>0</x:v>
      </x:c>
      <x:c r="M1938" s="9" t="n">
        <x:f>ROUND(H1938*(1-I1938),2)</x:f>
        <x:v>13590000</x:v>
      </x:c>
      <x:c r="N1938" s="4" t="str">
        <x:v>Sales head</x:v>
      </x:c>
      <x:c r="O1938" s="4" t="str">
        <x:v>BOOK-01937</x:v>
      </x:c>
      <x:c r="P1938" s="9" t="n">
        <x:v>6795000</x:v>
      </x:c>
      <x:c r="Q1938" s="11" t="n">
        <x:v>0</x:v>
      </x:c>
      <x:c r="R1938" s="8" t="n">
        <x:v>45447</x:v>
      </x:c>
      <x:c r="S1938" s="4" t="str">
        <x:v>Retained</x:v>
      </x:c>
      <x:c r="T1938" s="10" t="n">
        <x:v>0.351536</x:v>
      </x:c>
      <x:c r="U1938" s="4" t="str">
        <x:v>Train</x:v>
      </x:c>
    </x:row>
    <x:row r="1939" ht="34" customHeight="1">
      <x:c r="A1939" s="4" t="str">
        <x:v>RS-01938</x:v>
      </x:c>
      <x:c r="B1939" s="8" t="n">
        <x:v>45388</x:v>
      </x:c>
      <x:c r="C1939" s="4" t="str">
        <x:v>PRJ-018</x:v>
      </x:c>
      <x:c r="D1939" s="4" t="str">
        <x:v>Office</x:v>
      </x:c>
      <x:c r="E1939" s="4" t="str">
        <x:v>Reserved</x:v>
      </x:c>
      <x:c r="F1939" s="4" t="str">
        <x:v>CUS-01938</x:v>
      </x:c>
      <x:c r="G1939" s="4" t="str">
        <x:v>UNIT-01938</x:v>
      </x:c>
      <x:c r="H1939" s="9" t="n">
        <x:v>12600000</x:v>
      </x:c>
      <x:c r="I1939" s="10" t="n">
        <x:v>0.07</x:v>
      </x:c>
      <x:c r="J1939" s="11" t="n">
        <x:v>0</x:v>
      </x:c>
      <x:c r="K1939" s="11" t="n">
        <x:v>8</x:v>
      </x:c>
      <x:c r="L1939" s="11" t="n">
        <x:v>1</x:v>
      </x:c>
      <x:c r="M1939" s="9" t="n">
        <x:f>ROUND(H1939*(1-I1939),2)</x:f>
        <x:v>11718000</x:v>
      </x:c>
      <x:c r="N1939" s="4" t="str">
        <x:v>Sales manager</x:v>
      </x:c>
      <x:c r="O1939" s="4"/>
      <x:c r="P1939" s="9" t="n">
        <x:v>0</x:v>
      </x:c>
      <x:c r="Q1939" s="11" t="n">
        <x:v>0</x:v>
      </x:c>
      <x:c r="R1939" s="8" t="n">
        <x:v>45448</x:v>
      </x:c>
      <x:c r="S1939" s="4" t="str">
        <x:v>Retained</x:v>
      </x:c>
      <x:c r="T1939" s="10" t="n">
        <x:v>0.204152</x:v>
      </x:c>
      <x:c r="U1939" s="4" t="str">
        <x:v>Train</x:v>
      </x:c>
    </x:row>
    <x:row r="1940" ht="34" customHeight="1">
      <x:c r="A1940" s="4" t="str">
        <x:v>RS-01939</x:v>
      </x:c>
      <x:c r="B1940" s="8" t="n">
        <x:v>45389</x:v>
      </x:c>
      <x:c r="C1940" s="4" t="str">
        <x:v>PRJ-019</x:v>
      </x:c>
      <x:c r="D1940" s="4" t="str">
        <x:v>Office</x:v>
      </x:c>
      <x:c r="E1940" s="4" t="str">
        <x:v>Booked</x:v>
      </x:c>
      <x:c r="F1940" s="4" t="str">
        <x:v>CUS-01939</x:v>
      </x:c>
      <x:c r="G1940" s="4" t="str">
        <x:v>UNIT-01939</x:v>
      </x:c>
      <x:c r="H1940" s="9" t="n">
        <x:v>5400000</x:v>
      </x:c>
      <x:c r="I1940" s="10" t="n">
        <x:v>0.05</x:v>
      </x:c>
      <x:c r="J1940" s="11" t="n">
        <x:v>1</x:v>
      </x:c>
      <x:c r="K1940" s="11" t="n">
        <x:v>8</x:v>
      </x:c>
      <x:c r="L1940" s="11" t="n">
        <x:v>0</x:v>
      </x:c>
      <x:c r="M1940" s="9" t="n">
        <x:f>ROUND(H1940*(1-I1940),2)</x:f>
        <x:v>5130000</x:v>
      </x:c>
      <x:c r="N1940" s="4" t="str">
        <x:v>Sales manager</x:v>
      </x:c>
      <x:c r="O1940" s="4" t="str">
        <x:v>BOOK-01939</x:v>
      </x:c>
      <x:c r="P1940" s="9" t="n">
        <x:v>513000</x:v>
      </x:c>
      <x:c r="Q1940" s="11" t="n">
        <x:v>0</x:v>
      </x:c>
      <x:c r="R1940" s="8" t="n">
        <x:v>45449</x:v>
      </x:c>
      <x:c r="S1940" s="4" t="str">
        <x:v>Retained</x:v>
      </x:c>
      <x:c r="T1940" s="10" t="n">
        <x:v>0.204152</x:v>
      </x:c>
      <x:c r="U1940" s="4" t="str">
        <x:v>Train</x:v>
      </x:c>
    </x:row>
    <x:row r="1941" ht="34" customHeight="1">
      <x:c r="A1941" s="4" t="str">
        <x:v>RS-01940</x:v>
      </x:c>
      <x:c r="B1941" s="8" t="n">
        <x:v>45390</x:v>
      </x:c>
      <x:c r="C1941" s="4" t="str">
        <x:v>PRJ-020</x:v>
      </x:c>
      <x:c r="D1941" s="4" t="str">
        <x:v>Apartment</x:v>
      </x:c>
      <x:c r="E1941" s="4" t="str">
        <x:v>Agreement signed</x:v>
      </x:c>
      <x:c r="F1941" s="4" t="str">
        <x:v>CUS-01940</x:v>
      </x:c>
      <x:c r="G1941" s="4" t="str">
        <x:v>UNIT-01940</x:v>
      </x:c>
      <x:c r="H1941" s="9" t="n">
        <x:v>19800000</x:v>
      </x:c>
      <x:c r="I1941" s="10" t="n">
        <x:v>0.09</x:v>
      </x:c>
      <x:c r="J1941" s="11" t="n">
        <x:v>12</x:v>
      </x:c>
      <x:c r="K1941" s="11" t="n">
        <x:v>4</x:v>
      </x:c>
      <x:c r="L1941" s="11" t="n">
        <x:v>0</x:v>
      </x:c>
      <x:c r="M1941" s="9" t="n">
        <x:f>ROUND(H1941*(1-I1941),2)</x:f>
        <x:v>18018000</x:v>
      </x:c>
      <x:c r="N1941" s="4" t="str">
        <x:v>Sales head</x:v>
      </x:c>
      <x:c r="O1941" s="4" t="str">
        <x:v>BOOK-01940</x:v>
      </x:c>
      <x:c r="P1941" s="9" t="n">
        <x:v>1801800</x:v>
      </x:c>
      <x:c r="Q1941" s="11" t="n">
        <x:v>0</x:v>
      </x:c>
      <x:c r="R1941" s="8" t="n">
        <x:v>45450</x:v>
      </x:c>
      <x:c r="S1941" s="4" t="str">
        <x:v>Retained</x:v>
      </x:c>
      <x:c r="T1941" s="10" t="n">
        <x:v>0.351536</x:v>
      </x:c>
      <x:c r="U1941" s="4" t="str">
        <x:v>Train</x:v>
      </x:c>
    </x:row>
    <x:row r="1942" ht="34" customHeight="1">
      <x:c r="A1942" s="4" t="str">
        <x:v>RS-01941</x:v>
      </x:c>
      <x:c r="B1942" s="8" t="n">
        <x:v>45391</x:v>
      </x:c>
      <x:c r="C1942" s="4" t="str">
        <x:v>PRJ-001</x:v>
      </x:c>
      <x:c r="D1942" s="4" t="str">
        <x:v>Office</x:v>
      </x:c>
      <x:c r="E1942" s="4" t="str">
        <x:v>Agreement signed</x:v>
      </x:c>
      <x:c r="F1942" s="4" t="str">
        <x:v>CUS-01941</x:v>
      </x:c>
      <x:c r="G1942" s="4" t="str">
        <x:v>UNIT-01941</x:v>
      </x:c>
      <x:c r="H1942" s="9" t="n">
        <x:v>22200000</x:v>
      </x:c>
      <x:c r="I1942" s="10" t="n">
        <x:v>0.01</x:v>
      </x:c>
      <x:c r="J1942" s="11" t="n">
        <x:v>1</x:v>
      </x:c>
      <x:c r="K1942" s="11" t="n">
        <x:v>8</x:v>
      </x:c>
      <x:c r="L1942" s="11" t="n">
        <x:v>0</x:v>
      </x:c>
      <x:c r="M1942" s="9" t="n">
        <x:f>ROUND(H1942*(1-I1942),2)</x:f>
        <x:v>21978000</x:v>
      </x:c>
      <x:c r="N1942" s="4" t="str">
        <x:v>Sales manager</x:v>
      </x:c>
      <x:c r="O1942" s="4" t="str">
        <x:v>BOOK-01941</x:v>
      </x:c>
      <x:c r="P1942" s="9" t="n">
        <x:v>5494500</x:v>
      </x:c>
      <x:c r="Q1942" s="11" t="n">
        <x:v>0</x:v>
      </x:c>
      <x:c r="R1942" s="8" t="n">
        <x:v>45451</x:v>
      </x:c>
      <x:c r="S1942" s="4" t="str">
        <x:v>Retained</x:v>
      </x:c>
      <x:c r="T1942" s="10" t="n">
        <x:v>0.072165</x:v>
      </x:c>
      <x:c r="U1942" s="4" t="str">
        <x:v>Train</x:v>
      </x:c>
    </x:row>
    <x:row r="1943" ht="34" customHeight="1">
      <x:c r="A1943" s="4" t="str">
        <x:v>RS-01942</x:v>
      </x:c>
      <x:c r="B1943" s="8" t="n">
        <x:v>45392</x:v>
      </x:c>
      <x:c r="C1943" s="4" t="str">
        <x:v>PRJ-002</x:v>
      </x:c>
      <x:c r="D1943" s="4" t="str">
        <x:v>Retail</x:v>
      </x:c>
      <x:c r="E1943" s="4" t="str">
        <x:v>Cancelled</x:v>
      </x:c>
      <x:c r="F1943" s="4" t="str">
        <x:v>CUS-01942</x:v>
      </x:c>
      <x:c r="G1943" s="4" t="str">
        <x:v>UNIT-01942</x:v>
      </x:c>
      <x:c r="H1943" s="9" t="n">
        <x:v>15800000</x:v>
      </x:c>
      <x:c r="I1943" s="10" t="n">
        <x:v>0.11</x:v>
      </x:c>
      <x:c r="J1943" s="11" t="n">
        <x:v>11</x:v>
      </x:c>
      <x:c r="K1943" s="11" t="n">
        <x:v>1</x:v>
      </x:c>
      <x:c r="L1943" s="11" t="n">
        <x:v>1</x:v>
      </x:c>
      <x:c r="M1943" s="9" t="n">
        <x:f>ROUND(H1943*(1-I1943),2)</x:f>
        <x:v>14062000</x:v>
      </x:c>
      <x:c r="N1943" s="4" t="str">
        <x:v>Sales head</x:v>
      </x:c>
      <x:c r="O1943" s="4"/>
      <x:c r="P1943" s="9" t="n">
        <x:v>0</x:v>
      </x:c>
      <x:c r="Q1943" s="11" t="n">
        <x:v>1</x:v>
      </x:c>
      <x:c r="R1943" s="8" t="n">
        <x:v>45452</x:v>
      </x:c>
      <x:c r="S1943" s="4" t="str">
        <x:v>Lost / cancelled</x:v>
      </x:c>
      <x:c r="T1943" s="10" t="n">
        <x:v>0.351536</x:v>
      </x:c>
      <x:c r="U1943" s="4" t="str">
        <x:v>Train</x:v>
      </x:c>
    </x:row>
    <x:row r="1944" ht="34" customHeight="1">
      <x:c r="A1944" s="4" t="str">
        <x:v>RS-01943</x:v>
      </x:c>
      <x:c r="B1944" s="8" t="n">
        <x:v>45393</x:v>
      </x:c>
      <x:c r="C1944" s="4" t="str">
        <x:v>PRJ-003</x:v>
      </x:c>
      <x:c r="D1944" s="4" t="str">
        <x:v>Retail</x:v>
      </x:c>
      <x:c r="E1944" s="4" t="str">
        <x:v>Cancelled</x:v>
      </x:c>
      <x:c r="F1944" s="4" t="str">
        <x:v>CUS-01943</x:v>
      </x:c>
      <x:c r="G1944" s="4" t="str">
        <x:v>UNIT-01943</x:v>
      </x:c>
      <x:c r="H1944" s="9" t="n">
        <x:v>20200000</x:v>
      </x:c>
      <x:c r="I1944" s="10" t="n">
        <x:v>0.1</x:v>
      </x:c>
      <x:c r="J1944" s="11" t="n">
        <x:v>7</x:v>
      </x:c>
      <x:c r="K1944" s="11" t="n">
        <x:v>3</x:v>
      </x:c>
      <x:c r="L1944" s="11" t="n">
        <x:v>0</x:v>
      </x:c>
      <x:c r="M1944" s="9" t="n">
        <x:f>ROUND(H1944*(1-I1944),2)</x:f>
        <x:v>18180000</x:v>
      </x:c>
      <x:c r="N1944" s="4" t="str">
        <x:v>Sales head</x:v>
      </x:c>
      <x:c r="O1944" s="4"/>
      <x:c r="P1944" s="9" t="n">
        <x:v>0</x:v>
      </x:c>
      <x:c r="Q1944" s="11" t="n">
        <x:v>1</x:v>
      </x:c>
      <x:c r="R1944" s="8" t="n">
        <x:v>45453</x:v>
      </x:c>
      <x:c r="S1944" s="4" t="str">
        <x:v>Lost / cancelled</x:v>
      </x:c>
      <x:c r="T1944" s="10" t="n">
        <x:v>0.226277</x:v>
      </x:c>
      <x:c r="U1944" s="4" t="str">
        <x:v>Train</x:v>
      </x:c>
    </x:row>
    <x:row r="1945" ht="34" customHeight="1">
      <x:c r="A1945" s="4" t="str">
        <x:v>RS-01944</x:v>
      </x:c>
      <x:c r="B1945" s="8" t="n">
        <x:v>45394</x:v>
      </x:c>
      <x:c r="C1945" s="4" t="str">
        <x:v>PRJ-004</x:v>
      </x:c>
      <x:c r="D1945" s="4" t="str">
        <x:v>Villa</x:v>
      </x:c>
      <x:c r="E1945" s="4" t="str">
        <x:v>Handed over</x:v>
      </x:c>
      <x:c r="F1945" s="4" t="str">
        <x:v>CUS-01944</x:v>
      </x:c>
      <x:c r="G1945" s="4" t="str">
        <x:v>UNIT-01944</x:v>
      </x:c>
      <x:c r="H1945" s="9" t="n">
        <x:v>22500000</x:v>
      </x:c>
      <x:c r="I1945" s="10" t="n">
        <x:v>0.07</x:v>
      </x:c>
      <x:c r="J1945" s="11" t="n">
        <x:v>5</x:v>
      </x:c>
      <x:c r="K1945" s="11" t="n">
        <x:v>3</x:v>
      </x:c>
      <x:c r="L1945" s="11" t="n">
        <x:v>0</x:v>
      </x:c>
      <x:c r="M1945" s="9" t="n">
        <x:f>ROUND(H1945*(1-I1945),2)</x:f>
        <x:v>20925000</x:v>
      </x:c>
      <x:c r="N1945" s="4" t="str">
        <x:v>Sales manager</x:v>
      </x:c>
      <x:c r="O1945" s="4" t="str">
        <x:v>BOOK-01944</x:v>
      </x:c>
      <x:c r="P1945" s="9" t="n">
        <x:v>2092500</x:v>
      </x:c>
      <x:c r="Q1945" s="11" t="n">
        <x:v>0</x:v>
      </x:c>
      <x:c r="R1945" s="8" t="n">
        <x:v>45454</x:v>
      </x:c>
      <x:c r="S1945" s="4" t="str">
        <x:v>Retained</x:v>
      </x:c>
      <x:c r="T1945" s="10" t="n">
        <x:v>0.226277</x:v>
      </x:c>
      <x:c r="U1945" s="4" t="str">
        <x:v>Train</x:v>
      </x:c>
    </x:row>
    <x:row r="1946" ht="34" customHeight="1">
      <x:c r="A1946" s="4" t="str">
        <x:v>RS-01945</x:v>
      </x:c>
      <x:c r="B1946" s="8" t="n">
        <x:v>45395</x:v>
      </x:c>
      <x:c r="C1946" s="4" t="str">
        <x:v>PRJ-005</x:v>
      </x:c>
      <x:c r="D1946" s="4" t="str">
        <x:v>Apartment</x:v>
      </x:c>
      <x:c r="E1946" s="4" t="str">
        <x:v>Handed over</x:v>
      </x:c>
      <x:c r="F1946" s="4" t="str">
        <x:v>CUS-01945</x:v>
      </x:c>
      <x:c r="G1946" s="4" t="str">
        <x:v>UNIT-01945</x:v>
      </x:c>
      <x:c r="H1946" s="9" t="n">
        <x:v>20600000</x:v>
      </x:c>
      <x:c r="I1946" s="10" t="n">
        <x:v>0.03</x:v>
      </x:c>
      <x:c r="J1946" s="11" t="n">
        <x:v>6</x:v>
      </x:c>
      <x:c r="K1946" s="11" t="n">
        <x:v>7</x:v>
      </x:c>
      <x:c r="L1946" s="11" t="n">
        <x:v>1</x:v>
      </x:c>
      <x:c r="M1946" s="9" t="n">
        <x:f>ROUND(H1946*(1-I1946),2)</x:f>
        <x:v>19982000</x:v>
      </x:c>
      <x:c r="N1946" s="4" t="str">
        <x:v>Sales manager</x:v>
      </x:c>
      <x:c r="O1946" s="4" t="str">
        <x:v>BOOK-01945</x:v>
      </x:c>
      <x:c r="P1946" s="9" t="n">
        <x:v>1998200</x:v>
      </x:c>
      <x:c r="Q1946" s="11" t="n">
        <x:v>0</x:v>
      </x:c>
      <x:c r="R1946" s="8" t="n">
        <x:v>45455</x:v>
      </x:c>
      <x:c r="S1946" s="4" t="str">
        <x:v>Retained</x:v>
      </x:c>
      <x:c r="T1946" s="10" t="n">
        <x:v>0.145299</x:v>
      </x:c>
      <x:c r="U1946" s="4" t="str">
        <x:v>Train</x:v>
      </x:c>
    </x:row>
    <x:row r="1947" ht="34" customHeight="1">
      <x:c r="A1947" s="4" t="str">
        <x:v>RS-01946</x:v>
      </x:c>
      <x:c r="B1947" s="8" t="n">
        <x:v>45396</x:v>
      </x:c>
      <x:c r="C1947" s="4" t="str">
        <x:v>PRJ-006</x:v>
      </x:c>
      <x:c r="D1947" s="4" t="str">
        <x:v>Apartment</x:v>
      </x:c>
      <x:c r="E1947" s="4" t="str">
        <x:v>Enquiry</x:v>
      </x:c>
      <x:c r="F1947" s="4" t="str">
        <x:v>CUS-01946</x:v>
      </x:c>
      <x:c r="G1947" s="4" t="str">
        <x:v>UNIT-01946</x:v>
      </x:c>
      <x:c r="H1947" s="9" t="n">
        <x:v>22300000</x:v>
      </x:c>
      <x:c r="I1947" s="10" t="n">
        <x:v>0.04</x:v>
      </x:c>
      <x:c r="J1947" s="11" t="n">
        <x:v>8</x:v>
      </x:c>
      <x:c r="K1947" s="11" t="n">
        <x:v>10</x:v>
      </x:c>
      <x:c r="L1947" s="11" t="n">
        <x:v>0</x:v>
      </x:c>
      <x:c r="M1947" s="9" t="n">
        <x:f>ROUND(H1947*(1-I1947),2)</x:f>
        <x:v>21408000</x:v>
      </x:c>
      <x:c r="N1947" s="4" t="str">
        <x:v>Sales manager</x:v>
      </x:c>
      <x:c r="O1947" s="4"/>
      <x:c r="P1947" s="9" t="n">
        <x:v>0</x:v>
      </x:c>
      <x:c r="Q1947" s="11" t="n">
        <x:v>0</x:v>
      </x:c>
      <x:c r="R1947" s="8" t="n">
        <x:v>45456</x:v>
      </x:c>
      <x:c r="S1947" s="4" t="str">
        <x:v>Retained</x:v>
      </x:c>
      <x:c r="T1947" s="10" t="n">
        <x:v>0.310195</x:v>
      </x:c>
      <x:c r="U1947" s="4" t="str">
        <x:v>Train</x:v>
      </x:c>
    </x:row>
    <x:row r="1948" ht="34" customHeight="1">
      <x:c r="A1948" s="4" t="str">
        <x:v>RS-01947</x:v>
      </x:c>
      <x:c r="B1948" s="8" t="n">
        <x:v>45397</x:v>
      </x:c>
      <x:c r="C1948" s="4" t="str">
        <x:v>PRJ-007</x:v>
      </x:c>
      <x:c r="D1948" s="4" t="str">
        <x:v>Apartment</x:v>
      </x:c>
      <x:c r="E1948" s="4" t="str">
        <x:v>Handed over</x:v>
      </x:c>
      <x:c r="F1948" s="4" t="str">
        <x:v>CUS-01947</x:v>
      </x:c>
      <x:c r="G1948" s="4" t="str">
        <x:v>UNIT-01947</x:v>
      </x:c>
      <x:c r="H1948" s="9" t="n">
        <x:v>4300000</x:v>
      </x:c>
      <x:c r="I1948" s="10" t="n">
        <x:v>0.1</x:v>
      </x:c>
      <x:c r="J1948" s="11" t="n">
        <x:v>3</x:v>
      </x:c>
      <x:c r="K1948" s="11" t="n">
        <x:v>8</x:v>
      </x:c>
      <x:c r="L1948" s="11" t="n">
        <x:v>1</x:v>
      </x:c>
      <x:c r="M1948" s="9" t="n">
        <x:f>ROUND(H1948*(1-I1948),2)</x:f>
        <x:v>3870000</x:v>
      </x:c>
      <x:c r="N1948" s="4" t="str">
        <x:v>Sales head</x:v>
      </x:c>
      <x:c r="O1948" s="4" t="str">
        <x:v>BOOK-01947</x:v>
      </x:c>
      <x:c r="P1948" s="9" t="n">
        <x:v>387000</x:v>
      </x:c>
      <x:c r="Q1948" s="11" t="n">
        <x:v>0</x:v>
      </x:c>
      <x:c r="R1948" s="8" t="n">
        <x:v>45457</x:v>
      </x:c>
      <x:c r="S1948" s="4" t="str">
        <x:v>Retained</x:v>
      </x:c>
      <x:c r="T1948" s="10" t="n">
        <x:v>0.145833</x:v>
      </x:c>
      <x:c r="U1948" s="4" t="str">
        <x:v>Train</x:v>
      </x:c>
    </x:row>
    <x:row r="1949" ht="34" customHeight="1">
      <x:c r="A1949" s="4" t="str">
        <x:v>RS-01948</x:v>
      </x:c>
      <x:c r="B1949" s="8" t="n">
        <x:v>45398</x:v>
      </x:c>
      <x:c r="C1949" s="4" t="str">
        <x:v>PRJ-008</x:v>
      </x:c>
      <x:c r="D1949" s="4" t="str">
        <x:v>Office</x:v>
      </x:c>
      <x:c r="E1949" s="4" t="str">
        <x:v>Cancelled</x:v>
      </x:c>
      <x:c r="F1949" s="4" t="str">
        <x:v>CUS-01948</x:v>
      </x:c>
      <x:c r="G1949" s="4" t="str">
        <x:v>UNIT-01948</x:v>
      </x:c>
      <x:c r="H1949" s="9" t="n">
        <x:v>19300000</x:v>
      </x:c>
      <x:c r="I1949" s="10" t="n">
        <x:v>0.09</x:v>
      </x:c>
      <x:c r="J1949" s="11" t="n">
        <x:v>9</x:v>
      </x:c>
      <x:c r="K1949" s="11" t="n">
        <x:v>3</x:v>
      </x:c>
      <x:c r="L1949" s="11" t="n">
        <x:v>0</x:v>
      </x:c>
      <x:c r="M1949" s="9" t="n">
        <x:f>ROUND(H1949*(1-I1949),2)</x:f>
        <x:v>17563000</x:v>
      </x:c>
      <x:c r="N1949" s="4" t="str">
        <x:v>Sales head</x:v>
      </x:c>
      <x:c r="O1949" s="4"/>
      <x:c r="P1949" s="9" t="n">
        <x:v>0</x:v>
      </x:c>
      <x:c r="Q1949" s="11" t="n">
        <x:v>1</x:v>
      </x:c>
      <x:c r="R1949" s="8" t="n">
        <x:v>45458</x:v>
      </x:c>
      <x:c r="S1949" s="4" t="str">
        <x:v>Lost / cancelled</x:v>
      </x:c>
      <x:c r="T1949" s="10" t="n">
        <x:v>0.310195</x:v>
      </x:c>
      <x:c r="U1949" s="4" t="str">
        <x:v>Train</x:v>
      </x:c>
    </x:row>
    <x:row r="1950" ht="34" customHeight="1">
      <x:c r="A1950" s="4" t="str">
        <x:v>RS-01949</x:v>
      </x:c>
      <x:c r="B1950" s="8" t="n">
        <x:v>45399</x:v>
      </x:c>
      <x:c r="C1950" s="4" t="str">
        <x:v>PRJ-009</x:v>
      </x:c>
      <x:c r="D1950" s="4" t="str">
        <x:v>Retail</x:v>
      </x:c>
      <x:c r="E1950" s="4" t="str">
        <x:v>Enquiry</x:v>
      </x:c>
      <x:c r="F1950" s="4" t="str">
        <x:v>CUS-01949</x:v>
      </x:c>
      <x:c r="G1950" s="4" t="str">
        <x:v>UNIT-01949</x:v>
      </x:c>
      <x:c r="H1950" s="9" t="n">
        <x:v>24900000</x:v>
      </x:c>
      <x:c r="I1950" s="10" t="n">
        <x:v>0.11</x:v>
      </x:c>
      <x:c r="J1950" s="11" t="n">
        <x:v>1</x:v>
      </x:c>
      <x:c r="K1950" s="11" t="n">
        <x:v>4</x:v>
      </x:c>
      <x:c r="L1950" s="11" t="n">
        <x:v>0</x:v>
      </x:c>
      <x:c r="M1950" s="9" t="n">
        <x:f>ROUND(H1950*(1-I1950),2)</x:f>
        <x:v>22161000</x:v>
      </x:c>
      <x:c r="N1950" s="4" t="str">
        <x:v>Sales head</x:v>
      </x:c>
      <x:c r="O1950" s="4"/>
      <x:c r="P1950" s="9" t="n">
        <x:v>0</x:v>
      </x:c>
      <x:c r="Q1950" s="11" t="n">
        <x:v>0</x:v>
      </x:c>
      <x:c r="R1950" s="8" t="n">
        <x:v>45459</x:v>
      </x:c>
      <x:c r="S1950" s="4" t="str">
        <x:v>Retained</x:v>
      </x:c>
      <x:c r="T1950" s="10" t="n">
        <x:v>0.145833</x:v>
      </x:c>
      <x:c r="U1950" s="4" t="str">
        <x:v>Train</x:v>
      </x:c>
    </x:row>
    <x:row r="1951" ht="34" customHeight="1">
      <x:c r="A1951" s="4" t="str">
        <x:v>RS-01950</x:v>
      </x:c>
      <x:c r="B1951" s="8" t="n">
        <x:v>45400</x:v>
      </x:c>
      <x:c r="C1951" s="4" t="str">
        <x:v>PRJ-010</x:v>
      </x:c>
      <x:c r="D1951" s="4" t="str">
        <x:v>Office</x:v>
      </x:c>
      <x:c r="E1951" s="4" t="str">
        <x:v>Handed over</x:v>
      </x:c>
      <x:c r="F1951" s="4" t="str">
        <x:v>CUS-01950</x:v>
      </x:c>
      <x:c r="G1951" s="4" t="str">
        <x:v>UNIT-01950</x:v>
      </x:c>
      <x:c r="H1951" s="9" t="n">
        <x:v>10800000</x:v>
      </x:c>
      <x:c r="I1951" s="10" t="n">
        <x:v>0.02</x:v>
      </x:c>
      <x:c r="J1951" s="11" t="n">
        <x:v>11</x:v>
      </x:c>
      <x:c r="K1951" s="11" t="n">
        <x:v>5</x:v>
      </x:c>
      <x:c r="L1951" s="11" t="n">
        <x:v>0</x:v>
      </x:c>
      <x:c r="M1951" s="9" t="n">
        <x:f>ROUND(H1951*(1-I1951),2)</x:f>
        <x:v>10584000</x:v>
      </x:c>
      <x:c r="N1951" s="4" t="str">
        <x:v>Sales manager</x:v>
      </x:c>
      <x:c r="O1951" s="4" t="str">
        <x:v>BOOK-01950</x:v>
      </x:c>
      <x:c r="P1951" s="9" t="n">
        <x:v>1058400</x:v>
      </x:c>
      <x:c r="Q1951" s="11" t="n">
        <x:v>0</x:v>
      </x:c>
      <x:c r="R1951" s="8" t="n">
        <x:v>45460</x:v>
      </x:c>
      <x:c r="S1951" s="4" t="str">
        <x:v>Retained</x:v>
      </x:c>
      <x:c r="T1951" s="10" t="n">
        <x:v>0.305556</x:v>
      </x:c>
      <x:c r="U1951" s="4" t="str">
        <x:v>Train</x:v>
      </x:c>
    </x:row>
    <x:row r="1952" ht="34" customHeight="1">
      <x:c r="A1952" s="4" t="str">
        <x:v>RS-01951</x:v>
      </x:c>
      <x:c r="B1952" s="8" t="n">
        <x:v>45401</x:v>
      </x:c>
      <x:c r="C1952" s="4" t="str">
        <x:v>PRJ-011</x:v>
      </x:c>
      <x:c r="D1952" s="4" t="str">
        <x:v>Retail</x:v>
      </x:c>
      <x:c r="E1952" s="4" t="str">
        <x:v>Cancelled</x:v>
      </x:c>
      <x:c r="F1952" s="4" t="str">
        <x:v>CUS-01951</x:v>
      </x:c>
      <x:c r="G1952" s="4" t="str">
        <x:v>UNIT-01951</x:v>
      </x:c>
      <x:c r="H1952" s="9" t="n">
        <x:v>18200000</x:v>
      </x:c>
      <x:c r="I1952" s="10" t="n">
        <x:v>0.07</x:v>
      </x:c>
      <x:c r="J1952" s="11" t="n">
        <x:v>12</x:v>
      </x:c>
      <x:c r="K1952" s="11" t="n">
        <x:v>1</x:v>
      </x:c>
      <x:c r="L1952" s="11" t="n">
        <x:v>1</x:v>
      </x:c>
      <x:c r="M1952" s="9" t="n">
        <x:f>ROUND(H1952*(1-I1952),2)</x:f>
        <x:v>16926000</x:v>
      </x:c>
      <x:c r="N1952" s="4" t="str">
        <x:v>Sales manager</x:v>
      </x:c>
      <x:c r="O1952" s="4"/>
      <x:c r="P1952" s="9" t="n">
        <x:v>0</x:v>
      </x:c>
      <x:c r="Q1952" s="11" t="n">
        <x:v>1</x:v>
      </x:c>
      <x:c r="R1952" s="8" t="n">
        <x:v>45461</x:v>
      </x:c>
      <x:c r="S1952" s="4" t="str">
        <x:v>Lost / cancelled</x:v>
      </x:c>
      <x:c r="T1952" s="10" t="n">
        <x:v>0.351536</x:v>
      </x:c>
      <x:c r="U1952" s="4" t="str">
        <x:v>Train</x:v>
      </x:c>
    </x:row>
    <x:row r="1953" ht="34" customHeight="1">
      <x:c r="A1953" s="4" t="str">
        <x:v>RS-01952</x:v>
      </x:c>
      <x:c r="B1953" s="8" t="n">
        <x:v>45402</x:v>
      </x:c>
      <x:c r="C1953" s="4" t="str">
        <x:v>PRJ-012</x:v>
      </x:c>
      <x:c r="D1953" s="4" t="str">
        <x:v>Retail</x:v>
      </x:c>
      <x:c r="E1953" s="4" t="str">
        <x:v>Booked</x:v>
      </x:c>
      <x:c r="F1953" s="4" t="str">
        <x:v>CUS-01952</x:v>
      </x:c>
      <x:c r="G1953" s="4" t="str">
        <x:v>UNIT-01952</x:v>
      </x:c>
      <x:c r="H1953" s="9" t="n">
        <x:v>4200000</x:v>
      </x:c>
      <x:c r="I1953" s="10" t="n">
        <x:v>0.02</x:v>
      </x:c>
      <x:c r="J1953" s="11" t="n">
        <x:v>2</x:v>
      </x:c>
      <x:c r="K1953" s="11" t="n">
        <x:v>7</x:v>
      </x:c>
      <x:c r="L1953" s="11" t="n">
        <x:v>1</x:v>
      </x:c>
      <x:c r="M1953" s="9" t="n">
        <x:f>ROUND(H1953*(1-I1953),2)</x:f>
        <x:v>4116000</x:v>
      </x:c>
      <x:c r="N1953" s="4" t="str">
        <x:v>Sales manager</x:v>
      </x:c>
      <x:c r="O1953" s="4" t="str">
        <x:v>BOOK-01952</x:v>
      </x:c>
      <x:c r="P1953" s="9" t="n">
        <x:v>4116000</x:v>
      </x:c>
      <x:c r="Q1953" s="11" t="n">
        <x:v>0</x:v>
      </x:c>
      <x:c r="R1953" s="8" t="n">
        <x:v>45462</x:v>
      </x:c>
      <x:c r="S1953" s="4" t="str">
        <x:v>Retained</x:v>
      </x:c>
      <x:c r="T1953" s="10" t="n">
        <x:v>0.171717</x:v>
      </x:c>
      <x:c r="U1953" s="4" t="str">
        <x:v>Train</x:v>
      </x:c>
    </x:row>
    <x:row r="1954" ht="34" customHeight="1">
      <x:c r="A1954" s="4" t="str">
        <x:v>RS-01953</x:v>
      </x:c>
      <x:c r="B1954" s="8" t="n">
        <x:v>45403</x:v>
      </x:c>
      <x:c r="C1954" s="4" t="str">
        <x:v>PRJ-013</x:v>
      </x:c>
      <x:c r="D1954" s="4" t="str">
        <x:v>Apartment</x:v>
      </x:c>
      <x:c r="E1954" s="4" t="str">
        <x:v>Enquiry</x:v>
      </x:c>
      <x:c r="F1954" s="4" t="str">
        <x:v>CUS-01953</x:v>
      </x:c>
      <x:c r="G1954" s="4" t="str">
        <x:v>UNIT-01953</x:v>
      </x:c>
      <x:c r="H1954" s="9" t="n">
        <x:v>13300000</x:v>
      </x:c>
      <x:c r="I1954" s="10" t="n">
        <x:v>0.07</x:v>
      </x:c>
      <x:c r="J1954" s="11" t="n">
        <x:v>10</x:v>
      </x:c>
      <x:c r="K1954" s="11" t="n">
        <x:v>8</x:v>
      </x:c>
      <x:c r="L1954" s="11" t="n">
        <x:v>1</x:v>
      </x:c>
      <x:c r="M1954" s="9" t="n">
        <x:f>ROUND(H1954*(1-I1954),2)</x:f>
        <x:v>12369000</x:v>
      </x:c>
      <x:c r="N1954" s="4" t="str">
        <x:v>Sales manager</x:v>
      </x:c>
      <x:c r="O1954" s="4"/>
      <x:c r="P1954" s="9" t="n">
        <x:v>0</x:v>
      </x:c>
      <x:c r="Q1954" s="11" t="n">
        <x:v>1</x:v>
      </x:c>
      <x:c r="R1954" s="8" t="n">
        <x:v>45463</x:v>
      </x:c>
      <x:c r="S1954" s="4" t="str">
        <x:v>Lost / cancelled</x:v>
      </x:c>
      <x:c r="T1954" s="10" t="n">
        <x:v>0.310195</x:v>
      </x:c>
      <x:c r="U1954" s="4" t="str">
        <x:v>Train</x:v>
      </x:c>
    </x:row>
    <x:row r="1955" ht="34" customHeight="1">
      <x:c r="A1955" s="4" t="str">
        <x:v>RS-01954</x:v>
      </x:c>
      <x:c r="B1955" s="8" t="n">
        <x:v>45404</x:v>
      </x:c>
      <x:c r="C1955" s="4" t="str">
        <x:v>PRJ-014</x:v>
      </x:c>
      <x:c r="D1955" s="4" t="str">
        <x:v>Retail</x:v>
      </x:c>
      <x:c r="E1955" s="4" t="str">
        <x:v>Handed over</x:v>
      </x:c>
      <x:c r="F1955" s="4" t="str">
        <x:v>CUS-01954</x:v>
      </x:c>
      <x:c r="G1955" s="4" t="str">
        <x:v>UNIT-01954</x:v>
      </x:c>
      <x:c r="H1955" s="9" t="n">
        <x:v>5800000</x:v>
      </x:c>
      <x:c r="I1955" s="10" t="n">
        <x:v>0.06</x:v>
      </x:c>
      <x:c r="J1955" s="11" t="n">
        <x:v>1</x:v>
      </x:c>
      <x:c r="K1955" s="11" t="n">
        <x:v>10</x:v>
      </x:c>
      <x:c r="L1955" s="11" t="n">
        <x:v>1</x:v>
      </x:c>
      <x:c r="M1955" s="9" t="n">
        <x:f>ROUND(H1955*(1-I1955),2)</x:f>
        <x:v>5452000</x:v>
      </x:c>
      <x:c r="N1955" s="4" t="str">
        <x:v>Sales manager</x:v>
      </x:c>
      <x:c r="O1955" s="4" t="str">
        <x:v>BOOK-01954</x:v>
      </x:c>
      <x:c r="P1955" s="9" t="n">
        <x:v>1363000</x:v>
      </x:c>
      <x:c r="Q1955" s="11" t="n">
        <x:v>0</x:v>
      </x:c>
      <x:c r="R1955" s="8" t="n">
        <x:v>45464</x:v>
      </x:c>
      <x:c r="S1955" s="4" t="str">
        <x:v>Retained</x:v>
      </x:c>
      <x:c r="T1955" s="10" t="n">
        <x:v>0.204152</x:v>
      </x:c>
      <x:c r="U1955" s="4" t="str">
        <x:v>Train</x:v>
      </x:c>
    </x:row>
    <x:row r="1956" ht="34" customHeight="1">
      <x:c r="A1956" s="4" t="str">
        <x:v>RS-01955</x:v>
      </x:c>
      <x:c r="B1956" s="8" t="n">
        <x:v>45405</x:v>
      </x:c>
      <x:c r="C1956" s="4" t="str">
        <x:v>PRJ-015</x:v>
      </x:c>
      <x:c r="D1956" s="4" t="str">
        <x:v>Apartment</x:v>
      </x:c>
      <x:c r="E1956" s="4" t="str">
        <x:v>Cancelled</x:v>
      </x:c>
      <x:c r="F1956" s="4" t="str">
        <x:v>CUS-01955</x:v>
      </x:c>
      <x:c r="G1956" s="4" t="str">
        <x:v>UNIT-01955</x:v>
      </x:c>
      <x:c r="H1956" s="9" t="n">
        <x:v>10000000</x:v>
      </x:c>
      <x:c r="I1956" s="10" t="n">
        <x:v>0.04</x:v>
      </x:c>
      <x:c r="J1956" s="11" t="n">
        <x:v>10</x:v>
      </x:c>
      <x:c r="K1956" s="11" t="n">
        <x:v>6</x:v>
      </x:c>
      <x:c r="L1956" s="11" t="n">
        <x:v>0</x:v>
      </x:c>
      <x:c r="M1956" s="9" t="n">
        <x:f>ROUND(H1956*(1-I1956),2)</x:f>
        <x:v>9600000</x:v>
      </x:c>
      <x:c r="N1956" s="4" t="str">
        <x:v>Sales manager</x:v>
      </x:c>
      <x:c r="O1956" s="4"/>
      <x:c r="P1956" s="9" t="n">
        <x:v>0</x:v>
      </x:c>
      <x:c r="Q1956" s="11" t="n">
        <x:v>1</x:v>
      </x:c>
      <x:c r="R1956" s="8" t="n">
        <x:v>45465</x:v>
      </x:c>
      <x:c r="S1956" s="4" t="str">
        <x:v>Lost / cancelled</x:v>
      </x:c>
      <x:c r="T1956" s="10" t="n">
        <x:v>0.310195</x:v>
      </x:c>
      <x:c r="U1956" s="4" t="str">
        <x:v>Train</x:v>
      </x:c>
    </x:row>
    <x:row r="1957" ht="34" customHeight="1">
      <x:c r="A1957" s="4" t="str">
        <x:v>RS-01956</x:v>
      </x:c>
      <x:c r="B1957" s="8" t="n">
        <x:v>45406</x:v>
      </x:c>
      <x:c r="C1957" s="4" t="str">
        <x:v>PRJ-016</x:v>
      </x:c>
      <x:c r="D1957" s="4" t="str">
        <x:v>Apartment</x:v>
      </x:c>
      <x:c r="E1957" s="4" t="str">
        <x:v>Cancelled</x:v>
      </x:c>
      <x:c r="F1957" s="4" t="str">
        <x:v>CUS-01956</x:v>
      </x:c>
      <x:c r="G1957" s="4" t="str">
        <x:v>UNIT-01956</x:v>
      </x:c>
      <x:c r="H1957" s="9" t="n">
        <x:v>14800000</x:v>
      </x:c>
      <x:c r="I1957" s="10" t="n">
        <x:v>0.11</x:v>
      </x:c>
      <x:c r="J1957" s="11" t="n">
        <x:v>12</x:v>
      </x:c>
      <x:c r="K1957" s="11" t="n">
        <x:v>7</x:v>
      </x:c>
      <x:c r="L1957" s="11" t="n">
        <x:v>1</x:v>
      </x:c>
      <x:c r="M1957" s="9" t="n">
        <x:f>ROUND(H1957*(1-I1957),2)</x:f>
        <x:v>13172000</x:v>
      </x:c>
      <x:c r="N1957" s="4" t="str">
        <x:v>Sales head</x:v>
      </x:c>
      <x:c r="O1957" s="4"/>
      <x:c r="P1957" s="9" t="n">
        <x:v>0</x:v>
      </x:c>
      <x:c r="Q1957" s="11" t="n">
        <x:v>1</x:v>
      </x:c>
      <x:c r="R1957" s="8" t="n">
        <x:v>45466</x:v>
      </x:c>
      <x:c r="S1957" s="4" t="str">
        <x:v>Lost / cancelled</x:v>
      </x:c>
      <x:c r="T1957" s="10" t="n">
        <x:v>0.351536</x:v>
      </x:c>
      <x:c r="U1957" s="4" t="str">
        <x:v>Train</x:v>
      </x:c>
    </x:row>
    <x:row r="1958" ht="34" customHeight="1">
      <x:c r="A1958" s="4" t="str">
        <x:v>RS-01957</x:v>
      </x:c>
      <x:c r="B1958" s="8" t="n">
        <x:v>45407</x:v>
      </x:c>
      <x:c r="C1958" s="4" t="str">
        <x:v>PRJ-017</x:v>
      </x:c>
      <x:c r="D1958" s="4" t="str">
        <x:v>Villa</x:v>
      </x:c>
      <x:c r="E1958" s="4" t="str">
        <x:v>Booked</x:v>
      </x:c>
      <x:c r="F1958" s="4" t="str">
        <x:v>CUS-01957</x:v>
      </x:c>
      <x:c r="G1958" s="4" t="str">
        <x:v>UNIT-01957</x:v>
      </x:c>
      <x:c r="H1958" s="9" t="n">
        <x:v>7100000</x:v>
      </x:c>
      <x:c r="I1958" s="10" t="n">
        <x:v>0.11</x:v>
      </x:c>
      <x:c r="J1958" s="11" t="n">
        <x:v>10</x:v>
      </x:c>
      <x:c r="K1958" s="11" t="n">
        <x:v>8</x:v>
      </x:c>
      <x:c r="L1958" s="11" t="n">
        <x:v>0</x:v>
      </x:c>
      <x:c r="M1958" s="9" t="n">
        <x:f>ROUND(H1958*(1-I1958),2)</x:f>
        <x:v>6319000</x:v>
      </x:c>
      <x:c r="N1958" s="4" t="str">
        <x:v>Sales head</x:v>
      </x:c>
      <x:c r="O1958" s="4" t="str">
        <x:v>BOOK-01957</x:v>
      </x:c>
      <x:c r="P1958" s="9" t="n">
        <x:v>6319000</x:v>
      </x:c>
      <x:c r="Q1958" s="11" t="n">
        <x:v>0</x:v>
      </x:c>
      <x:c r="R1958" s="8" t="n">
        <x:v>45467</x:v>
      </x:c>
      <x:c r="S1958" s="4" t="str">
        <x:v>Retained</x:v>
      </x:c>
      <x:c r="T1958" s="10" t="n">
        <x:v>0.310195</x:v>
      </x:c>
      <x:c r="U1958" s="4" t="str">
        <x:v>Train</x:v>
      </x:c>
    </x:row>
    <x:row r="1959" ht="34" customHeight="1">
      <x:c r="A1959" s="4" t="str">
        <x:v>RS-01958</x:v>
      </x:c>
      <x:c r="B1959" s="8" t="n">
        <x:v>45408</x:v>
      </x:c>
      <x:c r="C1959" s="4" t="str">
        <x:v>PRJ-018</x:v>
      </x:c>
      <x:c r="D1959" s="4" t="str">
        <x:v>Office</x:v>
      </x:c>
      <x:c r="E1959" s="4" t="str">
        <x:v>Handed over</x:v>
      </x:c>
      <x:c r="F1959" s="4" t="str">
        <x:v>CUS-01958</x:v>
      </x:c>
      <x:c r="G1959" s="4" t="str">
        <x:v>UNIT-01958</x:v>
      </x:c>
      <x:c r="H1959" s="9" t="n">
        <x:v>15100000</x:v>
      </x:c>
      <x:c r="I1959" s="10" t="n">
        <x:v>0.12</x:v>
      </x:c>
      <x:c r="J1959" s="11" t="n">
        <x:v>7</x:v>
      </x:c>
      <x:c r="K1959" s="11" t="n">
        <x:v>6</x:v>
      </x:c>
      <x:c r="L1959" s="11" t="n">
        <x:v>1</x:v>
      </x:c>
      <x:c r="M1959" s="9" t="n">
        <x:f>ROUND(H1959*(1-I1959),2)</x:f>
        <x:v>13288000</x:v>
      </x:c>
      <x:c r="N1959" s="4" t="str">
        <x:v>Sales head</x:v>
      </x:c>
      <x:c r="O1959" s="4" t="str">
        <x:v>BOOK-01958</x:v>
      </x:c>
      <x:c r="P1959" s="9" t="n">
        <x:v>6644000</x:v>
      </x:c>
      <x:c r="Q1959" s="11" t="n">
        <x:v>0</x:v>
      </x:c>
      <x:c r="R1959" s="8" t="n">
        <x:v>45468</x:v>
      </x:c>
      <x:c r="S1959" s="4" t="str">
        <x:v>Retained</x:v>
      </x:c>
      <x:c r="T1959" s="10" t="n">
        <x:v>0.291946</x:v>
      </x:c>
      <x:c r="U1959" s="4" t="str">
        <x:v>Train</x:v>
      </x:c>
    </x:row>
    <x:row r="1960" ht="34" customHeight="1">
      <x:c r="A1960" s="4" t="str">
        <x:v>RS-01959</x:v>
      </x:c>
      <x:c r="B1960" s="8" t="n">
        <x:v>45409</x:v>
      </x:c>
      <x:c r="C1960" s="4" t="str">
        <x:v>PRJ-019</x:v>
      </x:c>
      <x:c r="D1960" s="4" t="str">
        <x:v>Office</x:v>
      </x:c>
      <x:c r="E1960" s="4" t="str">
        <x:v>Booked</x:v>
      </x:c>
      <x:c r="F1960" s="4" t="str">
        <x:v>CUS-01959</x:v>
      </x:c>
      <x:c r="G1960" s="4" t="str">
        <x:v>UNIT-01959</x:v>
      </x:c>
      <x:c r="H1960" s="9" t="n">
        <x:v>11100000</x:v>
      </x:c>
      <x:c r="I1960" s="10" t="n">
        <x:v>0.07</x:v>
      </x:c>
      <x:c r="J1960" s="11" t="n">
        <x:v>12</x:v>
      </x:c>
      <x:c r="K1960" s="11" t="n">
        <x:v>3</x:v>
      </x:c>
      <x:c r="L1960" s="11" t="n">
        <x:v>0</x:v>
      </x:c>
      <x:c r="M1960" s="9" t="n">
        <x:f>ROUND(H1960*(1-I1960),2)</x:f>
        <x:v>10323000</x:v>
      </x:c>
      <x:c r="N1960" s="4" t="str">
        <x:v>Sales manager</x:v>
      </x:c>
      <x:c r="O1960" s="4" t="str">
        <x:v>BOOK-01959</x:v>
      </x:c>
      <x:c r="P1960" s="9" t="n">
        <x:v>5161500</x:v>
      </x:c>
      <x:c r="Q1960" s="11" t="n">
        <x:v>0</x:v>
      </x:c>
      <x:c r="R1960" s="8" t="n">
        <x:v>45469</x:v>
      </x:c>
      <x:c r="S1960" s="4" t="str">
        <x:v>Retained</x:v>
      </x:c>
      <x:c r="T1960" s="10" t="n">
        <x:v>0.351536</x:v>
      </x:c>
      <x:c r="U1960" s="4" t="str">
        <x:v>Train</x:v>
      </x:c>
    </x:row>
    <x:row r="1961" ht="34" customHeight="1">
      <x:c r="A1961" s="4" t="str">
        <x:v>RS-01960</x:v>
      </x:c>
      <x:c r="B1961" s="8" t="n">
        <x:v>45410</x:v>
      </x:c>
      <x:c r="C1961" s="4" t="str">
        <x:v>PRJ-020</x:v>
      </x:c>
      <x:c r="D1961" s="4" t="str">
        <x:v>Office</x:v>
      </x:c>
      <x:c r="E1961" s="4" t="str">
        <x:v>Booked</x:v>
      </x:c>
      <x:c r="F1961" s="4" t="str">
        <x:v>CUS-01960</x:v>
      </x:c>
      <x:c r="G1961" s="4" t="str">
        <x:v>UNIT-01960</x:v>
      </x:c>
      <x:c r="H1961" s="9" t="n">
        <x:v>11400000</x:v>
      </x:c>
      <x:c r="I1961" s="10" t="n">
        <x:v>0.08</x:v>
      </x:c>
      <x:c r="J1961" s="11" t="n">
        <x:v>9</x:v>
      </x:c>
      <x:c r="K1961" s="11" t="n">
        <x:v>5</x:v>
      </x:c>
      <x:c r="L1961" s="11" t="n">
        <x:v>1</x:v>
      </x:c>
      <x:c r="M1961" s="9" t="n">
        <x:f>ROUND(H1961*(1-I1961),2)</x:f>
        <x:v>10488000</x:v>
      </x:c>
      <x:c r="N1961" s="4" t="str">
        <x:v>Sales head</x:v>
      </x:c>
      <x:c r="O1961" s="4" t="str">
        <x:v>BOOK-01960</x:v>
      </x:c>
      <x:c r="P1961" s="9" t="n">
        <x:v>1048800</x:v>
      </x:c>
      <x:c r="Q1961" s="11" t="n">
        <x:v>0</x:v>
      </x:c>
      <x:c r="R1961" s="8" t="n">
        <x:v>45470</x:v>
      </x:c>
      <x:c r="S1961" s="4" t="str">
        <x:v>Retained</x:v>
      </x:c>
      <x:c r="T1961" s="10" t="n">
        <x:v>0.310195</x:v>
      </x:c>
      <x:c r="U1961" s="4" t="str">
        <x:v>Train</x:v>
      </x:c>
    </x:row>
    <x:row r="1962" ht="34" customHeight="1">
      <x:c r="A1962" s="4" t="str">
        <x:v>RS-01961</x:v>
      </x:c>
      <x:c r="B1962" s="8" t="n">
        <x:v>45383</x:v>
      </x:c>
      <x:c r="C1962" s="4" t="str">
        <x:v>PRJ-001</x:v>
      </x:c>
      <x:c r="D1962" s="4" t="str">
        <x:v>Retail</x:v>
      </x:c>
      <x:c r="E1962" s="4" t="str">
        <x:v>Booked</x:v>
      </x:c>
      <x:c r="F1962" s="4" t="str">
        <x:v>CUS-01961</x:v>
      </x:c>
      <x:c r="G1962" s="4" t="str">
        <x:v>UNIT-01961</x:v>
      </x:c>
      <x:c r="H1962" s="9" t="n">
        <x:v>21600000</x:v>
      </x:c>
      <x:c r="I1962" s="10" t="n">
        <x:v>0</x:v>
      </x:c>
      <x:c r="J1962" s="11" t="n">
        <x:v>6</x:v>
      </x:c>
      <x:c r="K1962" s="11" t="n">
        <x:v>0</x:v>
      </x:c>
      <x:c r="L1962" s="11" t="n">
        <x:v>1</x:v>
      </x:c>
      <x:c r="M1962" s="9" t="n">
        <x:f>ROUND(H1962*(1-I1962),2)</x:f>
        <x:v>21600000</x:v>
      </x:c>
      <x:c r="N1962" s="4" t="str">
        <x:v>Sales manager</x:v>
      </x:c>
      <x:c r="O1962" s="4" t="str">
        <x:v>BOOK-01961</x:v>
      </x:c>
      <x:c r="P1962" s="9" t="n">
        <x:v>2160000</x:v>
      </x:c>
      <x:c r="Q1962" s="11" t="n">
        <x:v>0</x:v>
      </x:c>
      <x:c r="R1962" s="8" t="n">
        <x:v>45443</x:v>
      </x:c>
      <x:c r="S1962" s="4" t="str">
        <x:v>Retained</x:v>
      </x:c>
      <x:c r="T1962" s="10" t="n">
        <x:v>0.298969</x:v>
      </x:c>
      <x:c r="U1962" s="4" t="str">
        <x:v>Train</x:v>
      </x:c>
    </x:row>
    <x:row r="1963" ht="34" customHeight="1">
      <x:c r="A1963" s="4" t="str">
        <x:v>RS-01962</x:v>
      </x:c>
      <x:c r="B1963" s="8" t="n">
        <x:v>45384</x:v>
      </x:c>
      <x:c r="C1963" s="4" t="str">
        <x:v>PRJ-002</x:v>
      </x:c>
      <x:c r="D1963" s="4" t="str">
        <x:v>Villa</x:v>
      </x:c>
      <x:c r="E1963" s="4" t="str">
        <x:v>Reserved</x:v>
      </x:c>
      <x:c r="F1963" s="4" t="str">
        <x:v>CUS-01962</x:v>
      </x:c>
      <x:c r="G1963" s="4" t="str">
        <x:v>UNIT-01962</x:v>
      </x:c>
      <x:c r="H1963" s="9" t="n">
        <x:v>22700000</x:v>
      </x:c>
      <x:c r="I1963" s="10" t="n">
        <x:v>0.04</x:v>
      </x:c>
      <x:c r="J1963" s="11" t="n">
        <x:v>2</x:v>
      </x:c>
      <x:c r="K1963" s="11" t="n">
        <x:v>9</x:v>
      </x:c>
      <x:c r="L1963" s="11" t="n">
        <x:v>1</x:v>
      </x:c>
      <x:c r="M1963" s="9" t="n">
        <x:f>ROUND(H1963*(1-I1963),2)</x:f>
        <x:v>21792000</x:v>
      </x:c>
      <x:c r="N1963" s="4" t="str">
        <x:v>Sales manager</x:v>
      </x:c>
      <x:c r="O1963" s="4"/>
      <x:c r="P1963" s="9" t="n">
        <x:v>0</x:v>
      </x:c>
      <x:c r="Q1963" s="11" t="n">
        <x:v>0</x:v>
      </x:c>
      <x:c r="R1963" s="8" t="n">
        <x:v>45444</x:v>
      </x:c>
      <x:c r="S1963" s="4" t="str">
        <x:v>Retained</x:v>
      </x:c>
      <x:c r="T1963" s="10" t="n">
        <x:v>0.204152</x:v>
      </x:c>
      <x:c r="U1963" s="4" t="str">
        <x:v>Train</x:v>
      </x:c>
    </x:row>
    <x:row r="1964" ht="34" customHeight="1">
      <x:c r="A1964" s="4" t="str">
        <x:v>RS-01963</x:v>
      </x:c>
      <x:c r="B1964" s="8" t="n">
        <x:v>45385</x:v>
      </x:c>
      <x:c r="C1964" s="4" t="str">
        <x:v>PRJ-003</x:v>
      </x:c>
      <x:c r="D1964" s="4" t="str">
        <x:v>Office</x:v>
      </x:c>
      <x:c r="E1964" s="4" t="str">
        <x:v>Booked</x:v>
      </x:c>
      <x:c r="F1964" s="4" t="str">
        <x:v>CUS-01963</x:v>
      </x:c>
      <x:c r="G1964" s="4" t="str">
        <x:v>UNIT-01963</x:v>
      </x:c>
      <x:c r="H1964" s="9" t="n">
        <x:v>14100000</x:v>
      </x:c>
      <x:c r="I1964" s="10" t="n">
        <x:v>0.12</x:v>
      </x:c>
      <x:c r="J1964" s="11" t="n">
        <x:v>8</x:v>
      </x:c>
      <x:c r="K1964" s="11" t="n">
        <x:v>7</x:v>
      </x:c>
      <x:c r="L1964" s="11" t="n">
        <x:v>0</x:v>
      </x:c>
      <x:c r="M1964" s="9" t="n">
        <x:f>ROUND(H1964*(1-I1964),2)</x:f>
        <x:v>12408000</x:v>
      </x:c>
      <x:c r="N1964" s="4" t="str">
        <x:v>Sales head</x:v>
      </x:c>
      <x:c r="O1964" s="4" t="str">
        <x:v>BOOK-01963</x:v>
      </x:c>
      <x:c r="P1964" s="9" t="n">
        <x:v>6204000</x:v>
      </x:c>
      <x:c r="Q1964" s="11" t="n">
        <x:v>0</x:v>
      </x:c>
      <x:c r="R1964" s="8" t="n">
        <x:v>45445</x:v>
      </x:c>
      <x:c r="S1964" s="4" t="str">
        <x:v>Retained</x:v>
      </x:c>
      <x:c r="T1964" s="10" t="n">
        <x:v>0.310195</x:v>
      </x:c>
      <x:c r="U1964" s="4" t="str">
        <x:v>Train</x:v>
      </x:c>
    </x:row>
    <x:row r="1965" ht="34" customHeight="1">
      <x:c r="A1965" s="4" t="str">
        <x:v>RS-01964</x:v>
      </x:c>
      <x:c r="B1965" s="8" t="n">
        <x:v>45386</x:v>
      </x:c>
      <x:c r="C1965" s="4" t="str">
        <x:v>PRJ-004</x:v>
      </x:c>
      <x:c r="D1965" s="4" t="str">
        <x:v>Villa</x:v>
      </x:c>
      <x:c r="E1965" s="4" t="str">
        <x:v>Enquiry</x:v>
      </x:c>
      <x:c r="F1965" s="4" t="str">
        <x:v>CUS-01964</x:v>
      </x:c>
      <x:c r="G1965" s="4" t="str">
        <x:v>UNIT-01964</x:v>
      </x:c>
      <x:c r="H1965" s="9" t="n">
        <x:v>19800000</x:v>
      </x:c>
      <x:c r="I1965" s="10" t="n">
        <x:v>0.04</x:v>
      </x:c>
      <x:c r="J1965" s="11" t="n">
        <x:v>8</x:v>
      </x:c>
      <x:c r="K1965" s="11" t="n">
        <x:v>8</x:v>
      </x:c>
      <x:c r="L1965" s="11" t="n">
        <x:v>1</x:v>
      </x:c>
      <x:c r="M1965" s="9" t="n">
        <x:f>ROUND(H1965*(1-I1965),2)</x:f>
        <x:v>19008000</x:v>
      </x:c>
      <x:c r="N1965" s="4" t="str">
        <x:v>Sales manager</x:v>
      </x:c>
      <x:c r="O1965" s="4"/>
      <x:c r="P1965" s="9" t="n">
        <x:v>0</x:v>
      </x:c>
      <x:c r="Q1965" s="11" t="n">
        <x:v>1</x:v>
      </x:c>
      <x:c r="R1965" s="8" t="n">
        <x:v>45446</x:v>
      </x:c>
      <x:c r="S1965" s="4" t="str">
        <x:v>Lost / cancelled</x:v>
      </x:c>
      <x:c r="T1965" s="10" t="n">
        <x:v>0.310195</x:v>
      </x:c>
      <x:c r="U1965" s="4" t="str">
        <x:v>Train</x:v>
      </x:c>
    </x:row>
    <x:row r="1966" ht="34" customHeight="1">
      <x:c r="A1966" s="4" t="str">
        <x:v>RS-01965</x:v>
      </x:c>
      <x:c r="B1966" s="8" t="n">
        <x:v>45387</x:v>
      </x:c>
      <x:c r="C1966" s="4" t="str">
        <x:v>PRJ-005</x:v>
      </x:c>
      <x:c r="D1966" s="4" t="str">
        <x:v>Villa</x:v>
      </x:c>
      <x:c r="E1966" s="4" t="str">
        <x:v>Handed over</x:v>
      </x:c>
      <x:c r="F1966" s="4" t="str">
        <x:v>CUS-01965</x:v>
      </x:c>
      <x:c r="G1966" s="4" t="str">
        <x:v>UNIT-01965</x:v>
      </x:c>
      <x:c r="H1966" s="9" t="n">
        <x:v>15000000</x:v>
      </x:c>
      <x:c r="I1966" s="10" t="n">
        <x:v>0</x:v>
      </x:c>
      <x:c r="J1966" s="11" t="n">
        <x:v>5</x:v>
      </x:c>
      <x:c r="K1966" s="11" t="n">
        <x:v>5</x:v>
      </x:c>
      <x:c r="L1966" s="11" t="n">
        <x:v>1</x:v>
      </x:c>
      <x:c r="M1966" s="9" t="n">
        <x:f>ROUND(H1966*(1-I1966),2)</x:f>
        <x:v>15000000</x:v>
      </x:c>
      <x:c r="N1966" s="4" t="str">
        <x:v>Sales manager</x:v>
      </x:c>
      <x:c r="O1966" s="4" t="str">
        <x:v>BOOK-01965</x:v>
      </x:c>
      <x:c r="P1966" s="9" t="n">
        <x:v>3750000</x:v>
      </x:c>
      <x:c r="Q1966" s="11" t="n">
        <x:v>0</x:v>
      </x:c>
      <x:c r="R1966" s="8" t="n">
        <x:v>45447</x:v>
      </x:c>
      <x:c r="S1966" s="4" t="str">
        <x:v>Retained</x:v>
      </x:c>
      <x:c r="T1966" s="10" t="n">
        <x:v>0.145299</x:v>
      </x:c>
      <x:c r="U1966" s="4" t="str">
        <x:v>Train</x:v>
      </x:c>
    </x:row>
    <x:row r="1967" ht="34" customHeight="1">
      <x:c r="A1967" s="4" t="str">
        <x:v>RS-01966</x:v>
      </x:c>
      <x:c r="B1967" s="8" t="n">
        <x:v>45388</x:v>
      </x:c>
      <x:c r="C1967" s="4" t="str">
        <x:v>PRJ-006</x:v>
      </x:c>
      <x:c r="D1967" s="4" t="str">
        <x:v>Villa</x:v>
      </x:c>
      <x:c r="E1967" s="4" t="str">
        <x:v>Handed over</x:v>
      </x:c>
      <x:c r="F1967" s="4" t="str">
        <x:v>CUS-01966</x:v>
      </x:c>
      <x:c r="G1967" s="4" t="str">
        <x:v>UNIT-01966</x:v>
      </x:c>
      <x:c r="H1967" s="9" t="n">
        <x:v>23500000</x:v>
      </x:c>
      <x:c r="I1967" s="10" t="n">
        <x:v>0.06</x:v>
      </x:c>
      <x:c r="J1967" s="11" t="n">
        <x:v>4</x:v>
      </x:c>
      <x:c r="K1967" s="11" t="n">
        <x:v>4</x:v>
      </x:c>
      <x:c r="L1967" s="11" t="n">
        <x:v>1</x:v>
      </x:c>
      <x:c r="M1967" s="9" t="n">
        <x:f>ROUND(H1967*(1-I1967),2)</x:f>
        <x:v>22090000</x:v>
      </x:c>
      <x:c r="N1967" s="4" t="str">
        <x:v>Sales manager</x:v>
      </x:c>
      <x:c r="O1967" s="4" t="str">
        <x:v>BOOK-01966</x:v>
      </x:c>
      <x:c r="P1967" s="9" t="n">
        <x:v>5522500</x:v>
      </x:c>
      <x:c r="Q1967" s="11" t="n">
        <x:v>0</x:v>
      </x:c>
      <x:c r="R1967" s="8" t="n">
        <x:v>45448</x:v>
      </x:c>
      <x:c r="S1967" s="4" t="str">
        <x:v>Retained</x:v>
      </x:c>
      <x:c r="T1967" s="10" t="n">
        <x:v>0.291946</x:v>
      </x:c>
      <x:c r="U1967" s="4" t="str">
        <x:v>Train</x:v>
      </x:c>
    </x:row>
    <x:row r="1968" ht="34" customHeight="1">
      <x:c r="A1968" s="4" t="str">
        <x:v>RS-01967</x:v>
      </x:c>
      <x:c r="B1968" s="8" t="n">
        <x:v>45389</x:v>
      </x:c>
      <x:c r="C1968" s="4" t="str">
        <x:v>PRJ-007</x:v>
      </x:c>
      <x:c r="D1968" s="4" t="str">
        <x:v>Apartment</x:v>
      </x:c>
      <x:c r="E1968" s="4" t="str">
        <x:v>Reserved</x:v>
      </x:c>
      <x:c r="F1968" s="4" t="str">
        <x:v>CUS-01967</x:v>
      </x:c>
      <x:c r="G1968" s="4" t="str">
        <x:v>UNIT-01967</x:v>
      </x:c>
      <x:c r="H1968" s="9" t="n">
        <x:v>6300000</x:v>
      </x:c>
      <x:c r="I1968" s="10" t="n">
        <x:v>0.11</x:v>
      </x:c>
      <x:c r="J1968" s="11" t="n">
        <x:v>4</x:v>
      </x:c>
      <x:c r="K1968" s="11" t="n">
        <x:v>7</x:v>
      </x:c>
      <x:c r="L1968" s="11" t="n">
        <x:v>0</x:v>
      </x:c>
      <x:c r="M1968" s="9" t="n">
        <x:f>ROUND(H1968*(1-I1968),2)</x:f>
        <x:v>5607000</x:v>
      </x:c>
      <x:c r="N1968" s="4" t="str">
        <x:v>Sales head</x:v>
      </x:c>
      <x:c r="O1968" s="4"/>
      <x:c r="P1968" s="9" t="n">
        <x:v>0</x:v>
      </x:c>
      <x:c r="Q1968" s="11" t="n">
        <x:v>0</x:v>
      </x:c>
      <x:c r="R1968" s="8" t="n">
        <x:v>45449</x:v>
      </x:c>
      <x:c r="S1968" s="4" t="str">
        <x:v>Retained</x:v>
      </x:c>
      <x:c r="T1968" s="10" t="n">
        <x:v>0.226277</x:v>
      </x:c>
      <x:c r="U1968" s="4" t="str">
        <x:v>Train</x:v>
      </x:c>
    </x:row>
    <x:row r="1969" ht="34" customHeight="1">
      <x:c r="A1969" s="4" t="str">
        <x:v>RS-01968</x:v>
      </x:c>
      <x:c r="B1969" s="8" t="n">
        <x:v>45390</x:v>
      </x:c>
      <x:c r="C1969" s="4" t="str">
        <x:v>PRJ-008</x:v>
      </x:c>
      <x:c r="D1969" s="4" t="str">
        <x:v>Apartment</x:v>
      </x:c>
      <x:c r="E1969" s="4" t="str">
        <x:v>Handed over</x:v>
      </x:c>
      <x:c r="F1969" s="4" t="str">
        <x:v>CUS-01968</x:v>
      </x:c>
      <x:c r="G1969" s="4" t="str">
        <x:v>UNIT-01968</x:v>
      </x:c>
      <x:c r="H1969" s="9" t="n">
        <x:v>10700000</x:v>
      </x:c>
      <x:c r="I1969" s="10" t="n">
        <x:v>0.05</x:v>
      </x:c>
      <x:c r="J1969" s="11" t="n">
        <x:v>3</x:v>
      </x:c>
      <x:c r="K1969" s="11" t="n">
        <x:v>5</x:v>
      </x:c>
      <x:c r="L1969" s="11" t="n">
        <x:v>1</x:v>
      </x:c>
      <x:c r="M1969" s="9" t="n">
        <x:f>ROUND(H1969*(1-I1969),2)</x:f>
        <x:v>10165000</x:v>
      </x:c>
      <x:c r="N1969" s="4" t="str">
        <x:v>Sales manager</x:v>
      </x:c>
      <x:c r="O1969" s="4" t="str">
        <x:v>BOOK-01968</x:v>
      </x:c>
      <x:c r="P1969" s="9" t="n">
        <x:v>5082500</x:v>
      </x:c>
      <x:c r="Q1969" s="11" t="n">
        <x:v>0</x:v>
      </x:c>
      <x:c r="R1969" s="8" t="n">
        <x:v>45450</x:v>
      </x:c>
      <x:c r="S1969" s="4" t="str">
        <x:v>Retained</x:v>
      </x:c>
      <x:c r="T1969" s="10" t="n">
        <x:v>0.204152</x:v>
      </x:c>
      <x:c r="U1969" s="4" t="str">
        <x:v>Train</x:v>
      </x:c>
    </x:row>
    <x:row r="1970" ht="34" customHeight="1">
      <x:c r="A1970" s="4" t="str">
        <x:v>RS-01969</x:v>
      </x:c>
      <x:c r="B1970" s="8" t="n">
        <x:v>45391</x:v>
      </x:c>
      <x:c r="C1970" s="4" t="str">
        <x:v>PRJ-009</x:v>
      </x:c>
      <x:c r="D1970" s="4" t="str">
        <x:v>Retail</x:v>
      </x:c>
      <x:c r="E1970" s="4" t="str">
        <x:v>Handed over</x:v>
      </x:c>
      <x:c r="F1970" s="4" t="str">
        <x:v>CUS-01969</x:v>
      </x:c>
      <x:c r="G1970" s="4" t="str">
        <x:v>UNIT-01969</x:v>
      </x:c>
      <x:c r="H1970" s="9" t="n">
        <x:v>10700000</x:v>
      </x:c>
      <x:c r="I1970" s="10" t="n">
        <x:v>0.06</x:v>
      </x:c>
      <x:c r="J1970" s="11" t="n">
        <x:v>7</x:v>
      </x:c>
      <x:c r="K1970" s="11" t="n">
        <x:v>8</x:v>
      </x:c>
      <x:c r="L1970" s="11" t="n">
        <x:v>0</x:v>
      </x:c>
      <x:c r="M1970" s="9" t="n">
        <x:f>ROUND(H1970*(1-I1970),2)</x:f>
        <x:v>10058000</x:v>
      </x:c>
      <x:c r="N1970" s="4" t="str">
        <x:v>Sales manager</x:v>
      </x:c>
      <x:c r="O1970" s="4" t="str">
        <x:v>BOOK-01969</x:v>
      </x:c>
      <x:c r="P1970" s="9" t="n">
        <x:v>10058000</x:v>
      </x:c>
      <x:c r="Q1970" s="11" t="n">
        <x:v>0</x:v>
      </x:c>
      <x:c r="R1970" s="8" t="n">
        <x:v>45451</x:v>
      </x:c>
      <x:c r="S1970" s="4" t="str">
        <x:v>Retained</x:v>
      </x:c>
      <x:c r="T1970" s="10" t="n">
        <x:v>0.226277</x:v>
      </x:c>
      <x:c r="U1970" s="4" t="str">
        <x:v>Train</x:v>
      </x:c>
    </x:row>
    <x:row r="1971" ht="34" customHeight="1">
      <x:c r="A1971" s="4" t="str">
        <x:v>RS-01970</x:v>
      </x:c>
      <x:c r="B1971" s="8" t="n">
        <x:v>45392</x:v>
      </x:c>
      <x:c r="C1971" s="4" t="str">
        <x:v>PRJ-010</x:v>
      </x:c>
      <x:c r="D1971" s="4" t="str">
        <x:v>Retail</x:v>
      </x:c>
      <x:c r="E1971" s="4" t="str">
        <x:v>Reserved</x:v>
      </x:c>
      <x:c r="F1971" s="4" t="str">
        <x:v>CUS-01970</x:v>
      </x:c>
      <x:c r="G1971" s="4" t="str">
        <x:v>UNIT-01970</x:v>
      </x:c>
      <x:c r="H1971" s="9" t="n">
        <x:v>23100000</x:v>
      </x:c>
      <x:c r="I1971" s="10" t="n">
        <x:v>0.05</x:v>
      </x:c>
      <x:c r="J1971" s="11" t="n">
        <x:v>11</x:v>
      </x:c>
      <x:c r="K1971" s="11" t="n">
        <x:v>2</x:v>
      </x:c>
      <x:c r="L1971" s="11" t="n">
        <x:v>1</x:v>
      </x:c>
      <x:c r="M1971" s="9" t="n">
        <x:f>ROUND(H1971*(1-I1971),2)</x:f>
        <x:v>21945000</x:v>
      </x:c>
      <x:c r="N1971" s="4" t="str">
        <x:v>Sales manager</x:v>
      </x:c>
      <x:c r="O1971" s="4"/>
      <x:c r="P1971" s="9" t="n">
        <x:v>0</x:v>
      </x:c>
      <x:c r="Q1971" s="11" t="n">
        <x:v>1</x:v>
      </x:c>
      <x:c r="R1971" s="8" t="n">
        <x:v>45452</x:v>
      </x:c>
      <x:c r="S1971" s="4" t="str">
        <x:v>Lost / cancelled</x:v>
      </x:c>
      <x:c r="T1971" s="10" t="n">
        <x:v>0.351536</x:v>
      </x:c>
      <x:c r="U1971" s="4" t="str">
        <x:v>Train</x:v>
      </x:c>
    </x:row>
    <x:row r="1972" ht="34" customHeight="1">
      <x:c r="A1972" s="4" t="str">
        <x:v>RS-01971</x:v>
      </x:c>
      <x:c r="B1972" s="8" t="n">
        <x:v>45393</x:v>
      </x:c>
      <x:c r="C1972" s="4" t="str">
        <x:v>PRJ-011</x:v>
      </x:c>
      <x:c r="D1972" s="4" t="str">
        <x:v>Apartment</x:v>
      </x:c>
      <x:c r="E1972" s="4" t="str">
        <x:v>Cancelled</x:v>
      </x:c>
      <x:c r="F1972" s="4" t="str">
        <x:v>CUS-01971</x:v>
      </x:c>
      <x:c r="G1972" s="4" t="str">
        <x:v>UNIT-01971</x:v>
      </x:c>
      <x:c r="H1972" s="9" t="n">
        <x:v>20500000</x:v>
      </x:c>
      <x:c r="I1972" s="10" t="n">
        <x:v>0.01</x:v>
      </x:c>
      <x:c r="J1972" s="11" t="n">
        <x:v>4</x:v>
      </x:c>
      <x:c r="K1972" s="11" t="n">
        <x:v>2</x:v>
      </x:c>
      <x:c r="L1972" s="11" t="n">
        <x:v>0</x:v>
      </x:c>
      <x:c r="M1972" s="9" t="n">
        <x:f>ROUND(H1972*(1-I1972),2)</x:f>
        <x:v>20295000</x:v>
      </x:c>
      <x:c r="N1972" s="4" t="str">
        <x:v>Sales manager</x:v>
      </x:c>
      <x:c r="O1972" s="4"/>
      <x:c r="P1972" s="9" t="n">
        <x:v>0</x:v>
      </x:c>
      <x:c r="Q1972" s="11" t="n">
        <x:v>1</x:v>
      </x:c>
      <x:c r="R1972" s="8" t="n">
        <x:v>45453</x:v>
      </x:c>
      <x:c r="S1972" s="4" t="str">
        <x:v>Lost / cancelled</x:v>
      </x:c>
      <x:c r="T1972" s="10" t="n">
        <x:v>0.298969</x:v>
      </x:c>
      <x:c r="U1972" s="4" t="str">
        <x:v>Train</x:v>
      </x:c>
    </x:row>
    <x:row r="1973" ht="34" customHeight="1">
      <x:c r="A1973" s="4" t="str">
        <x:v>RS-01972</x:v>
      </x:c>
      <x:c r="B1973" s="8" t="n">
        <x:v>45394</x:v>
      </x:c>
      <x:c r="C1973" s="4" t="str">
        <x:v>PRJ-012</x:v>
      </x:c>
      <x:c r="D1973" s="4" t="str">
        <x:v>Retail</x:v>
      </x:c>
      <x:c r="E1973" s="4" t="str">
        <x:v>Cancelled</x:v>
      </x:c>
      <x:c r="F1973" s="4" t="str">
        <x:v>CUS-01972</x:v>
      </x:c>
      <x:c r="G1973" s="4" t="str">
        <x:v>UNIT-01972</x:v>
      </x:c>
      <x:c r="H1973" s="9" t="n">
        <x:v>4000000</x:v>
      </x:c>
      <x:c r="I1973" s="10" t="n">
        <x:v>0.01</x:v>
      </x:c>
      <x:c r="J1973" s="11" t="n">
        <x:v>4</x:v>
      </x:c>
      <x:c r="K1973" s="11" t="n">
        <x:v>0</x:v>
      </x:c>
      <x:c r="L1973" s="11" t="n">
        <x:v>0</x:v>
      </x:c>
      <x:c r="M1973" s="9" t="n">
        <x:f>ROUND(H1973*(1-I1973),2)</x:f>
        <x:v>3960000</x:v>
      </x:c>
      <x:c r="N1973" s="4" t="str">
        <x:v>Sales manager</x:v>
      </x:c>
      <x:c r="O1973" s="4"/>
      <x:c r="P1973" s="9" t="n">
        <x:v>0</x:v>
      </x:c>
      <x:c r="Q1973" s="11" t="n">
        <x:v>1</x:v>
      </x:c>
      <x:c r="R1973" s="8" t="n">
        <x:v>45454</x:v>
      </x:c>
      <x:c r="S1973" s="4" t="str">
        <x:v>Lost / cancelled</x:v>
      </x:c>
      <x:c r="T1973" s="10" t="n">
        <x:v>0.298969</x:v>
      </x:c>
      <x:c r="U1973" s="4" t="str">
        <x:v>Train</x:v>
      </x:c>
    </x:row>
    <x:row r="1974" ht="34" customHeight="1">
      <x:c r="A1974" s="4" t="str">
        <x:v>RS-01973</x:v>
      </x:c>
      <x:c r="B1974" s="8" t="n">
        <x:v>45395</x:v>
      </x:c>
      <x:c r="C1974" s="4" t="str">
        <x:v>PRJ-013</x:v>
      </x:c>
      <x:c r="D1974" s="4" t="str">
        <x:v>Office</x:v>
      </x:c>
      <x:c r="E1974" s="4" t="str">
        <x:v>Agreement signed</x:v>
      </x:c>
      <x:c r="F1974" s="4" t="str">
        <x:v>CUS-01973</x:v>
      </x:c>
      <x:c r="G1974" s="4" t="str">
        <x:v>UNIT-01973</x:v>
      </x:c>
      <x:c r="H1974" s="9" t="n">
        <x:v>22300000</x:v>
      </x:c>
      <x:c r="I1974" s="10" t="n">
        <x:v>0.04</x:v>
      </x:c>
      <x:c r="J1974" s="11" t="n">
        <x:v>8</x:v>
      </x:c>
      <x:c r="K1974" s="11" t="n">
        <x:v>8</x:v>
      </x:c>
      <x:c r="L1974" s="11" t="n">
        <x:v>0</x:v>
      </x:c>
      <x:c r="M1974" s="9" t="n">
        <x:f>ROUND(H1974*(1-I1974),2)</x:f>
        <x:v>21408000</x:v>
      </x:c>
      <x:c r="N1974" s="4" t="str">
        <x:v>Sales manager</x:v>
      </x:c>
      <x:c r="O1974" s="4" t="str">
        <x:v>BOOK-01973</x:v>
      </x:c>
      <x:c r="P1974" s="9" t="n">
        <x:v>5352000</x:v>
      </x:c>
      <x:c r="Q1974" s="11" t="n">
        <x:v>0</x:v>
      </x:c>
      <x:c r="R1974" s="8" t="n">
        <x:v>45455</x:v>
      </x:c>
      <x:c r="S1974" s="4" t="str">
        <x:v>Retained</x:v>
      </x:c>
      <x:c r="T1974" s="10" t="n">
        <x:v>0.310195</x:v>
      </x:c>
      <x:c r="U1974" s="4" t="str">
        <x:v>Train</x:v>
      </x:c>
    </x:row>
    <x:row r="1975" ht="34" customHeight="1">
      <x:c r="A1975" s="4" t="str">
        <x:v>RS-01974</x:v>
      </x:c>
      <x:c r="B1975" s="8" t="n">
        <x:v>45396</x:v>
      </x:c>
      <x:c r="C1975" s="4" t="str">
        <x:v>PRJ-014</x:v>
      </x:c>
      <x:c r="D1975" s="4" t="str">
        <x:v>Apartment</x:v>
      </x:c>
      <x:c r="E1975" s="4" t="str">
        <x:v>Cancelled</x:v>
      </x:c>
      <x:c r="F1975" s="4" t="str">
        <x:v>CUS-01974</x:v>
      </x:c>
      <x:c r="G1975" s="4" t="str">
        <x:v>UNIT-01974</x:v>
      </x:c>
      <x:c r="H1975" s="9" t="n">
        <x:v>21400000</x:v>
      </x:c>
      <x:c r="I1975" s="10" t="n">
        <x:v>0.1</x:v>
      </x:c>
      <x:c r="J1975" s="11" t="n">
        <x:v>4</x:v>
      </x:c>
      <x:c r="K1975" s="11" t="n">
        <x:v>6</x:v>
      </x:c>
      <x:c r="L1975" s="11" t="n">
        <x:v>1</x:v>
      </x:c>
      <x:c r="M1975" s="9" t="n">
        <x:f>ROUND(H1975*(1-I1975),2)</x:f>
        <x:v>19260000</x:v>
      </x:c>
      <x:c r="N1975" s="4" t="str">
        <x:v>Sales head</x:v>
      </x:c>
      <x:c r="O1975" s="4"/>
      <x:c r="P1975" s="9" t="n">
        <x:v>0</x:v>
      </x:c>
      <x:c r="Q1975" s="11" t="n">
        <x:v>1</x:v>
      </x:c>
      <x:c r="R1975" s="8" t="n">
        <x:v>45456</x:v>
      </x:c>
      <x:c r="S1975" s="4" t="str">
        <x:v>Lost / cancelled</x:v>
      </x:c>
      <x:c r="T1975" s="10" t="n">
        <x:v>0.291946</x:v>
      </x:c>
      <x:c r="U1975" s="4" t="str">
        <x:v>Train</x:v>
      </x:c>
    </x:row>
    <x:row r="1976" ht="34" customHeight="1">
      <x:c r="A1976" s="4" t="str">
        <x:v>RS-01975</x:v>
      </x:c>
      <x:c r="B1976" s="8" t="n">
        <x:v>45397</x:v>
      </x:c>
      <x:c r="C1976" s="4" t="str">
        <x:v>PRJ-015</x:v>
      </x:c>
      <x:c r="D1976" s="4" t="str">
        <x:v>Office</x:v>
      </x:c>
      <x:c r="E1976" s="4" t="str">
        <x:v>Enquiry</x:v>
      </x:c>
      <x:c r="F1976" s="4" t="str">
        <x:v>CUS-01975</x:v>
      </x:c>
      <x:c r="G1976" s="4" t="str">
        <x:v>UNIT-01975</x:v>
      </x:c>
      <x:c r="H1976" s="9" t="n">
        <x:v>13100000</x:v>
      </x:c>
      <x:c r="I1976" s="10" t="n">
        <x:v>0.05</x:v>
      </x:c>
      <x:c r="J1976" s="11" t="n">
        <x:v>1</x:v>
      </x:c>
      <x:c r="K1976" s="11" t="n">
        <x:v>9</x:v>
      </x:c>
      <x:c r="L1976" s="11" t="n">
        <x:v>1</x:v>
      </x:c>
      <x:c r="M1976" s="9" t="n">
        <x:f>ROUND(H1976*(1-I1976),2)</x:f>
        <x:v>12445000</x:v>
      </x:c>
      <x:c r="N1976" s="4" t="str">
        <x:v>Sales manager</x:v>
      </x:c>
      <x:c r="O1976" s="4"/>
      <x:c r="P1976" s="9" t="n">
        <x:v>0</x:v>
      </x:c>
      <x:c r="Q1976" s="11" t="n">
        <x:v>0</x:v>
      </x:c>
      <x:c r="R1976" s="8" t="n">
        <x:v>45457</x:v>
      </x:c>
      <x:c r="S1976" s="4" t="str">
        <x:v>Retained</x:v>
      </x:c>
      <x:c r="T1976" s="10" t="n">
        <x:v>0.204152</x:v>
      </x:c>
      <x:c r="U1976" s="4" t="str">
        <x:v>Train</x:v>
      </x:c>
    </x:row>
    <x:row r="1977" ht="34" customHeight="1">
      <x:c r="A1977" s="4" t="str">
        <x:v>RS-01976</x:v>
      </x:c>
      <x:c r="B1977" s="8" t="n">
        <x:v>45398</x:v>
      </x:c>
      <x:c r="C1977" s="4" t="str">
        <x:v>PRJ-016</x:v>
      </x:c>
      <x:c r="D1977" s="4" t="str">
        <x:v>Office</x:v>
      </x:c>
      <x:c r="E1977" s="4" t="str">
        <x:v>Handed over</x:v>
      </x:c>
      <x:c r="F1977" s="4" t="str">
        <x:v>CUS-01976</x:v>
      </x:c>
      <x:c r="G1977" s="4" t="str">
        <x:v>UNIT-01976</x:v>
      </x:c>
      <x:c r="H1977" s="9" t="n">
        <x:v>12400000</x:v>
      </x:c>
      <x:c r="I1977" s="10" t="n">
        <x:v>0</x:v>
      </x:c>
      <x:c r="J1977" s="11" t="n">
        <x:v>10</x:v>
      </x:c>
      <x:c r="K1977" s="11" t="n">
        <x:v>2</x:v>
      </x:c>
      <x:c r="L1977" s="11" t="n">
        <x:v>1</x:v>
      </x:c>
      <x:c r="M1977" s="9" t="n">
        <x:f>ROUND(H1977*(1-I1977),2)</x:f>
        <x:v>12400000</x:v>
      </x:c>
      <x:c r="N1977" s="4" t="str">
        <x:v>Sales manager</x:v>
      </x:c>
      <x:c r="O1977" s="4" t="str">
        <x:v>BOOK-01976</x:v>
      </x:c>
      <x:c r="P1977" s="9" t="n">
        <x:v>1240000</x:v>
      </x:c>
      <x:c r="Q1977" s="11" t="n">
        <x:v>0</x:v>
      </x:c>
      <x:c r="R1977" s="8" t="n">
        <x:v>45458</x:v>
      </x:c>
      <x:c r="S1977" s="4" t="str">
        <x:v>Retained</x:v>
      </x:c>
      <x:c r="T1977" s="10" t="n">
        <x:v>0.254545</x:v>
      </x:c>
      <x:c r="U1977" s="4" t="str">
        <x:v>Train</x:v>
      </x:c>
    </x:row>
    <x:row r="1978" ht="34" customHeight="1">
      <x:c r="A1978" s="4" t="str">
        <x:v>RS-01977</x:v>
      </x:c>
      <x:c r="B1978" s="8" t="n">
        <x:v>45399</x:v>
      </x:c>
      <x:c r="C1978" s="4" t="str">
        <x:v>PRJ-017</x:v>
      </x:c>
      <x:c r="D1978" s="4" t="str">
        <x:v>Retail</x:v>
      </x:c>
      <x:c r="E1978" s="4" t="str">
        <x:v>Handed over</x:v>
      </x:c>
      <x:c r="F1978" s="4" t="str">
        <x:v>CUS-01977</x:v>
      </x:c>
      <x:c r="G1978" s="4" t="str">
        <x:v>UNIT-01977</x:v>
      </x:c>
      <x:c r="H1978" s="9" t="n">
        <x:v>14400000</x:v>
      </x:c>
      <x:c r="I1978" s="10" t="n">
        <x:v>0.1</x:v>
      </x:c>
      <x:c r="J1978" s="11" t="n">
        <x:v>3</x:v>
      </x:c>
      <x:c r="K1978" s="11" t="n">
        <x:v>5</x:v>
      </x:c>
      <x:c r="L1978" s="11" t="n">
        <x:v>0</x:v>
      </x:c>
      <x:c r="M1978" s="9" t="n">
        <x:f>ROUND(H1978*(1-I1978),2)</x:f>
        <x:v>12960000</x:v>
      </x:c>
      <x:c r="N1978" s="4" t="str">
        <x:v>Sales head</x:v>
      </x:c>
      <x:c r="O1978" s="4" t="str">
        <x:v>BOOK-01977</x:v>
      </x:c>
      <x:c r="P1978" s="9" t="n">
        <x:v>6480000</x:v>
      </x:c>
      <x:c r="Q1978" s="11" t="n">
        <x:v>0</x:v>
      </x:c>
      <x:c r="R1978" s="8" t="n">
        <x:v>45459</x:v>
      </x:c>
      <x:c r="S1978" s="4" t="str">
        <x:v>Retained</x:v>
      </x:c>
      <x:c r="T1978" s="10" t="n">
        <x:v>0.145833</x:v>
      </x:c>
      <x:c r="U1978" s="4" t="str">
        <x:v>Train</x:v>
      </x:c>
    </x:row>
    <x:row r="1979" ht="34" customHeight="1">
      <x:c r="A1979" s="4" t="str">
        <x:v>RS-01978</x:v>
      </x:c>
      <x:c r="B1979" s="8" t="n">
        <x:v>45400</x:v>
      </x:c>
      <x:c r="C1979" s="4" t="str">
        <x:v>PRJ-018</x:v>
      </x:c>
      <x:c r="D1979" s="4" t="str">
        <x:v>Apartment</x:v>
      </x:c>
      <x:c r="E1979" s="4" t="str">
        <x:v>Reserved</x:v>
      </x:c>
      <x:c r="F1979" s="4" t="str">
        <x:v>CUS-01978</x:v>
      </x:c>
      <x:c r="G1979" s="4" t="str">
        <x:v>UNIT-01978</x:v>
      </x:c>
      <x:c r="H1979" s="9" t="n">
        <x:v>22200000</x:v>
      </x:c>
      <x:c r="I1979" s="10" t="n">
        <x:v>0.05</x:v>
      </x:c>
      <x:c r="J1979" s="11" t="n">
        <x:v>5</x:v>
      </x:c>
      <x:c r="K1979" s="11" t="n">
        <x:v>2</x:v>
      </x:c>
      <x:c r="L1979" s="11" t="n">
        <x:v>0</x:v>
      </x:c>
      <x:c r="M1979" s="9" t="n">
        <x:f>ROUND(H1979*(1-I1979),2)</x:f>
        <x:v>21090000</x:v>
      </x:c>
      <x:c r="N1979" s="4" t="str">
        <x:v>Sales manager</x:v>
      </x:c>
      <x:c r="O1979" s="4"/>
      <x:c r="P1979" s="9" t="n">
        <x:v>0</x:v>
      </x:c>
      <x:c r="Q1979" s="11" t="n">
        <x:v>0</x:v>
      </x:c>
      <x:c r="R1979" s="8" t="n">
        <x:v>45460</x:v>
      </x:c>
      <x:c r="S1979" s="4" t="str">
        <x:v>Retained</x:v>
      </x:c>
      <x:c r="T1979" s="10" t="n">
        <x:v>0.226277</x:v>
      </x:c>
      <x:c r="U1979" s="4" t="str">
        <x:v>Train</x:v>
      </x:c>
    </x:row>
    <x:row r="1980" ht="34" customHeight="1">
      <x:c r="A1980" s="4" t="str">
        <x:v>RS-01979</x:v>
      </x:c>
      <x:c r="B1980" s="8" t="n">
        <x:v>45401</x:v>
      </x:c>
      <x:c r="C1980" s="4" t="str">
        <x:v>PRJ-019</x:v>
      </x:c>
      <x:c r="D1980" s="4" t="str">
        <x:v>Office</x:v>
      </x:c>
      <x:c r="E1980" s="4" t="str">
        <x:v>Handed over</x:v>
      </x:c>
      <x:c r="F1980" s="4" t="str">
        <x:v>CUS-01979</x:v>
      </x:c>
      <x:c r="G1980" s="4" t="str">
        <x:v>UNIT-01979</x:v>
      </x:c>
      <x:c r="H1980" s="9" t="n">
        <x:v>15700000</x:v>
      </x:c>
      <x:c r="I1980" s="10" t="n">
        <x:v>0.05</x:v>
      </x:c>
      <x:c r="J1980" s="11" t="n">
        <x:v>7</x:v>
      </x:c>
      <x:c r="K1980" s="11" t="n">
        <x:v>5</x:v>
      </x:c>
      <x:c r="L1980" s="11" t="n">
        <x:v>1</x:v>
      </x:c>
      <x:c r="M1980" s="9" t="n">
        <x:f>ROUND(H1980*(1-I1980),2)</x:f>
        <x:v>14915000</x:v>
      </x:c>
      <x:c r="N1980" s="4" t="str">
        <x:v>Sales manager</x:v>
      </x:c>
      <x:c r="O1980" s="4" t="str">
        <x:v>BOOK-01979</x:v>
      </x:c>
      <x:c r="P1980" s="9" t="n">
        <x:v>7457500</x:v>
      </x:c>
      <x:c r="Q1980" s="11" t="n">
        <x:v>0</x:v>
      </x:c>
      <x:c r="R1980" s="8" t="n">
        <x:v>45461</x:v>
      </x:c>
      <x:c r="S1980" s="4" t="str">
        <x:v>Retained</x:v>
      </x:c>
      <x:c r="T1980" s="10" t="n">
        <x:v>0.291946</x:v>
      </x:c>
      <x:c r="U1980" s="4" t="str">
        <x:v>Train</x:v>
      </x:c>
    </x:row>
    <x:row r="1981" ht="34" customHeight="1">
      <x:c r="A1981" s="4" t="str">
        <x:v>RS-01980</x:v>
      </x:c>
      <x:c r="B1981" s="8" t="n">
        <x:v>45402</x:v>
      </x:c>
      <x:c r="C1981" s="4" t="str">
        <x:v>PRJ-020</x:v>
      </x:c>
      <x:c r="D1981" s="4" t="str">
        <x:v>Villa</x:v>
      </x:c>
      <x:c r="E1981" s="4" t="str">
        <x:v>Enquiry</x:v>
      </x:c>
      <x:c r="F1981" s="4" t="str">
        <x:v>CUS-01980</x:v>
      </x:c>
      <x:c r="G1981" s="4" t="str">
        <x:v>UNIT-01980</x:v>
      </x:c>
      <x:c r="H1981" s="9" t="n">
        <x:v>11700000</x:v>
      </x:c>
      <x:c r="I1981" s="10" t="n">
        <x:v>0.1</x:v>
      </x:c>
      <x:c r="J1981" s="11" t="n">
        <x:v>1</x:v>
      </x:c>
      <x:c r="K1981" s="11" t="n">
        <x:v>0</x:v>
      </x:c>
      <x:c r="L1981" s="11" t="n">
        <x:v>0</x:v>
      </x:c>
      <x:c r="M1981" s="9" t="n">
        <x:f>ROUND(H1981*(1-I1981),2)</x:f>
        <x:v>10530000</x:v>
      </x:c>
      <x:c r="N1981" s="4" t="str">
        <x:v>Sales head</x:v>
      </x:c>
      <x:c r="O1981" s="4"/>
      <x:c r="P1981" s="9" t="n">
        <x:v>0</x:v>
      </x:c>
      <x:c r="Q1981" s="11" t="n">
        <x:v>0</x:v>
      </x:c>
      <x:c r="R1981" s="8" t="n">
        <x:v>45462</x:v>
      </x:c>
      <x:c r="S1981" s="4" t="str">
        <x:v>Retained</x:v>
      </x:c>
      <x:c r="T1981" s="10" t="n">
        <x:v>0.276923</x:v>
      </x:c>
      <x:c r="U1981" s="4" t="str">
        <x:v>Train</x:v>
      </x:c>
    </x:row>
    <x:row r="1982" ht="34" customHeight="1">
      <x:c r="A1982" s="4" t="str">
        <x:v>RS-01981</x:v>
      </x:c>
      <x:c r="B1982" s="8" t="n">
        <x:v>45403</x:v>
      </x:c>
      <x:c r="C1982" s="4" t="str">
        <x:v>PRJ-001</x:v>
      </x:c>
      <x:c r="D1982" s="4" t="str">
        <x:v>Office</x:v>
      </x:c>
      <x:c r="E1982" s="4" t="str">
        <x:v>Handed over</x:v>
      </x:c>
      <x:c r="F1982" s="4" t="str">
        <x:v>CUS-01981</x:v>
      </x:c>
      <x:c r="G1982" s="4" t="str">
        <x:v>UNIT-01981</x:v>
      </x:c>
      <x:c r="H1982" s="9" t="n">
        <x:v>15100000</x:v>
      </x:c>
      <x:c r="I1982" s="10" t="n">
        <x:v>0.12</x:v>
      </x:c>
      <x:c r="J1982" s="11" t="n">
        <x:v>11</x:v>
      </x:c>
      <x:c r="K1982" s="11" t="n">
        <x:v>1</x:v>
      </x:c>
      <x:c r="L1982" s="11" t="n">
        <x:v>0</x:v>
      </x:c>
      <x:c r="M1982" s="9" t="n">
        <x:f>ROUND(H1982*(1-I1982),2)</x:f>
        <x:v>13288000</x:v>
      </x:c>
      <x:c r="N1982" s="4" t="str">
        <x:v>Sales head</x:v>
      </x:c>
      <x:c r="O1982" s="4" t="str">
        <x:v>BOOK-01981</x:v>
      </x:c>
      <x:c r="P1982" s="9" t="n">
        <x:v>6644000</x:v>
      </x:c>
      <x:c r="Q1982" s="11" t="n">
        <x:v>0</x:v>
      </x:c>
      <x:c r="R1982" s="8" t="n">
        <x:v>45463</x:v>
      </x:c>
      <x:c r="S1982" s="4" t="str">
        <x:v>Retained</x:v>
      </x:c>
      <x:c r="T1982" s="10" t="n">
        <x:v>0.351536</x:v>
      </x:c>
      <x:c r="U1982" s="4" t="str">
        <x:v>Train</x:v>
      </x:c>
    </x:row>
    <x:row r="1983" ht="34" customHeight="1">
      <x:c r="A1983" s="4" t="str">
        <x:v>RS-01982</x:v>
      </x:c>
      <x:c r="B1983" s="8" t="n">
        <x:v>45404</x:v>
      </x:c>
      <x:c r="C1983" s="4" t="str">
        <x:v>PRJ-002</x:v>
      </x:c>
      <x:c r="D1983" s="4" t="str">
        <x:v>Apartment</x:v>
      </x:c>
      <x:c r="E1983" s="4" t="str">
        <x:v>Cancelled</x:v>
      </x:c>
      <x:c r="F1983" s="4" t="str">
        <x:v>CUS-01982</x:v>
      </x:c>
      <x:c r="G1983" s="4" t="str">
        <x:v>UNIT-01982</x:v>
      </x:c>
      <x:c r="H1983" s="9" t="n">
        <x:v>15100000</x:v>
      </x:c>
      <x:c r="I1983" s="10" t="n">
        <x:v>0.04</x:v>
      </x:c>
      <x:c r="J1983" s="11" t="n">
        <x:v>7</x:v>
      </x:c>
      <x:c r="K1983" s="11" t="n">
        <x:v>7</x:v>
      </x:c>
      <x:c r="L1983" s="11" t="n">
        <x:v>1</x:v>
      </x:c>
      <x:c r="M1983" s="9" t="n">
        <x:f>ROUND(H1983*(1-I1983),2)</x:f>
        <x:v>14496000</x:v>
      </x:c>
      <x:c r="N1983" s="4" t="str">
        <x:v>Sales manager</x:v>
      </x:c>
      <x:c r="O1983" s="4"/>
      <x:c r="P1983" s="9" t="n">
        <x:v>0</x:v>
      </x:c>
      <x:c r="Q1983" s="11" t="n">
        <x:v>1</x:v>
      </x:c>
      <x:c r="R1983" s="8" t="n">
        <x:v>45464</x:v>
      </x:c>
      <x:c r="S1983" s="4" t="str">
        <x:v>Lost / cancelled</x:v>
      </x:c>
      <x:c r="T1983" s="10" t="n">
        <x:v>0.291946</x:v>
      </x:c>
      <x:c r="U1983" s="4" t="str">
        <x:v>Train</x:v>
      </x:c>
    </x:row>
    <x:row r="1984" ht="34" customHeight="1">
      <x:c r="A1984" s="4" t="str">
        <x:v>RS-01983</x:v>
      </x:c>
      <x:c r="B1984" s="8" t="n">
        <x:v>45405</x:v>
      </x:c>
      <x:c r="C1984" s="4" t="str">
        <x:v>PRJ-003</x:v>
      </x:c>
      <x:c r="D1984" s="4" t="str">
        <x:v>Apartment</x:v>
      </x:c>
      <x:c r="E1984" s="4" t="str">
        <x:v>Handed over</x:v>
      </x:c>
      <x:c r="F1984" s="4" t="str">
        <x:v>CUS-01983</x:v>
      </x:c>
      <x:c r="G1984" s="4" t="str">
        <x:v>UNIT-01983</x:v>
      </x:c>
      <x:c r="H1984" s="9" t="n">
        <x:v>11000000</x:v>
      </x:c>
      <x:c r="I1984" s="10" t="n">
        <x:v>0.06</x:v>
      </x:c>
      <x:c r="J1984" s="11" t="n">
        <x:v>10</x:v>
      </x:c>
      <x:c r="K1984" s="11" t="n">
        <x:v>0</x:v>
      </x:c>
      <x:c r="L1984" s="11" t="n">
        <x:v>0</x:v>
      </x:c>
      <x:c r="M1984" s="9" t="n">
        <x:f>ROUND(H1984*(1-I1984),2)</x:f>
        <x:v>10340000</x:v>
      </x:c>
      <x:c r="N1984" s="4" t="str">
        <x:v>Sales manager</x:v>
      </x:c>
      <x:c r="O1984" s="4" t="str">
        <x:v>BOOK-01983</x:v>
      </x:c>
      <x:c r="P1984" s="9" t="n">
        <x:v>1034000</x:v>
      </x:c>
      <x:c r="Q1984" s="11" t="n">
        <x:v>0</x:v>
      </x:c>
      <x:c r="R1984" s="8" t="n">
        <x:v>45465</x:v>
      </x:c>
      <x:c r="S1984" s="4" t="str">
        <x:v>Retained</x:v>
      </x:c>
      <x:c r="T1984" s="10" t="n">
        <x:v>0.310195</x:v>
      </x:c>
      <x:c r="U1984" s="4" t="str">
        <x:v>Train</x:v>
      </x:c>
    </x:row>
    <x:row r="1985" ht="34" customHeight="1">
      <x:c r="A1985" s="4" t="str">
        <x:v>RS-01984</x:v>
      </x:c>
      <x:c r="B1985" s="8" t="n">
        <x:v>45406</x:v>
      </x:c>
      <x:c r="C1985" s="4" t="str">
        <x:v>PRJ-004</x:v>
      </x:c>
      <x:c r="D1985" s="4" t="str">
        <x:v>Villa</x:v>
      </x:c>
      <x:c r="E1985" s="4" t="str">
        <x:v>Booked</x:v>
      </x:c>
      <x:c r="F1985" s="4" t="str">
        <x:v>CUS-01984</x:v>
      </x:c>
      <x:c r="G1985" s="4" t="str">
        <x:v>UNIT-01984</x:v>
      </x:c>
      <x:c r="H1985" s="9" t="n">
        <x:v>5100000</x:v>
      </x:c>
      <x:c r="I1985" s="10" t="n">
        <x:v>0.1</x:v>
      </x:c>
      <x:c r="J1985" s="11" t="n">
        <x:v>12</x:v>
      </x:c>
      <x:c r="K1985" s="11" t="n">
        <x:v>4</x:v>
      </x:c>
      <x:c r="L1985" s="11" t="n">
        <x:v>1</x:v>
      </x:c>
      <x:c r="M1985" s="9" t="n">
        <x:f>ROUND(H1985*(1-I1985),2)</x:f>
        <x:v>4590000</x:v>
      </x:c>
      <x:c r="N1985" s="4" t="str">
        <x:v>Sales head</x:v>
      </x:c>
      <x:c r="O1985" s="4" t="str">
        <x:v>BOOK-01984</x:v>
      </x:c>
      <x:c r="P1985" s="9" t="n">
        <x:v>459000</x:v>
      </x:c>
      <x:c r="Q1985" s="11" t="n">
        <x:v>0</x:v>
      </x:c>
      <x:c r="R1985" s="8" t="n">
        <x:v>45466</x:v>
      </x:c>
      <x:c r="S1985" s="4" t="str">
        <x:v>Retained</x:v>
      </x:c>
      <x:c r="T1985" s="10" t="n">
        <x:v>0.351536</x:v>
      </x:c>
      <x:c r="U1985" s="4" t="str">
        <x:v>Train</x:v>
      </x:c>
    </x:row>
    <x:row r="1986" ht="34" customHeight="1">
      <x:c r="A1986" s="4" t="str">
        <x:v>RS-01985</x:v>
      </x:c>
      <x:c r="B1986" s="8" t="n">
        <x:v>45407</x:v>
      </x:c>
      <x:c r="C1986" s="4" t="str">
        <x:v>PRJ-005</x:v>
      </x:c>
      <x:c r="D1986" s="4" t="str">
        <x:v>Apartment</x:v>
      </x:c>
      <x:c r="E1986" s="4" t="str">
        <x:v>Enquiry</x:v>
      </x:c>
      <x:c r="F1986" s="4" t="str">
        <x:v>CUS-01985</x:v>
      </x:c>
      <x:c r="G1986" s="4" t="str">
        <x:v>UNIT-01985</x:v>
      </x:c>
      <x:c r="H1986" s="9" t="n">
        <x:v>7800000</x:v>
      </x:c>
      <x:c r="I1986" s="10" t="n">
        <x:v>0.05</x:v>
      </x:c>
      <x:c r="J1986" s="11" t="n">
        <x:v>5</x:v>
      </x:c>
      <x:c r="K1986" s="11" t="n">
        <x:v>1</x:v>
      </x:c>
      <x:c r="L1986" s="11" t="n">
        <x:v>0</x:v>
      </x:c>
      <x:c r="M1986" s="9" t="n">
        <x:f>ROUND(H1986*(1-I1986),2)</x:f>
        <x:v>7410000</x:v>
      </x:c>
      <x:c r="N1986" s="4" t="str">
        <x:v>Sales manager</x:v>
      </x:c>
      <x:c r="O1986" s="4"/>
      <x:c r="P1986" s="9" t="n">
        <x:v>0</x:v>
      </x:c>
      <x:c r="Q1986" s="11" t="n">
        <x:v>0</x:v>
      </x:c>
      <x:c r="R1986" s="8" t="n">
        <x:v>45467</x:v>
      </x:c>
      <x:c r="S1986" s="4" t="str">
        <x:v>Retained</x:v>
      </x:c>
      <x:c r="T1986" s="10" t="n">
        <x:v>0.226277</x:v>
      </x:c>
      <x:c r="U1986" s="4" t="str">
        <x:v>Train</x:v>
      </x:c>
    </x:row>
    <x:row r="1987" ht="34" customHeight="1">
      <x:c r="A1987" s="4" t="str">
        <x:v>RS-01986</x:v>
      </x:c>
      <x:c r="B1987" s="8" t="n">
        <x:v>45408</x:v>
      </x:c>
      <x:c r="C1987" s="4" t="str">
        <x:v>PRJ-006</x:v>
      </x:c>
      <x:c r="D1987" s="4" t="str">
        <x:v>Office</x:v>
      </x:c>
      <x:c r="E1987" s="4" t="str">
        <x:v>Reserved</x:v>
      </x:c>
      <x:c r="F1987" s="4" t="str">
        <x:v>CUS-01986</x:v>
      </x:c>
      <x:c r="G1987" s="4" t="str">
        <x:v>UNIT-01986</x:v>
      </x:c>
      <x:c r="H1987" s="9" t="n">
        <x:v>8800000</x:v>
      </x:c>
      <x:c r="I1987" s="10" t="n">
        <x:v>0.06</x:v>
      </x:c>
      <x:c r="J1987" s="11" t="n">
        <x:v>0</x:v>
      </x:c>
      <x:c r="K1987" s="11" t="n">
        <x:v>4</x:v>
      </x:c>
      <x:c r="L1987" s="11" t="n">
        <x:v>1</x:v>
      </x:c>
      <x:c r="M1987" s="9" t="n">
        <x:f>ROUND(H1987*(1-I1987),2)</x:f>
        <x:v>8272000</x:v>
      </x:c>
      <x:c r="N1987" s="4" t="str">
        <x:v>Sales manager</x:v>
      </x:c>
      <x:c r="O1987" s="4"/>
      <x:c r="P1987" s="9" t="n">
        <x:v>0</x:v>
      </x:c>
      <x:c r="Q1987" s="11" t="n">
        <x:v>0</x:v>
      </x:c>
      <x:c r="R1987" s="8" t="n">
        <x:v>45468</x:v>
      </x:c>
      <x:c r="S1987" s="4" t="str">
        <x:v>Retained</x:v>
      </x:c>
      <x:c r="T1987" s="10" t="n">
        <x:v>0.204152</x:v>
      </x:c>
      <x:c r="U1987" s="4" t="str">
        <x:v>Train</x:v>
      </x:c>
    </x:row>
    <x:row r="1988" ht="34" customHeight="1">
      <x:c r="A1988" s="4" t="str">
        <x:v>RS-01987</x:v>
      </x:c>
      <x:c r="B1988" s="8" t="n">
        <x:v>45409</x:v>
      </x:c>
      <x:c r="C1988" s="4" t="str">
        <x:v>PRJ-007</x:v>
      </x:c>
      <x:c r="D1988" s="4" t="str">
        <x:v>Retail</x:v>
      </x:c>
      <x:c r="E1988" s="4" t="str">
        <x:v>Handed over</x:v>
      </x:c>
      <x:c r="F1988" s="4" t="str">
        <x:v>CUS-01987</x:v>
      </x:c>
      <x:c r="G1988" s="4" t="str">
        <x:v>UNIT-01987</x:v>
      </x:c>
      <x:c r="H1988" s="9" t="n">
        <x:v>9000000</x:v>
      </x:c>
      <x:c r="I1988" s="10" t="n">
        <x:v>0.03</x:v>
      </x:c>
      <x:c r="J1988" s="11" t="n">
        <x:v>6</x:v>
      </x:c>
      <x:c r="K1988" s="11" t="n">
        <x:v>1</x:v>
      </x:c>
      <x:c r="L1988" s="11" t="n">
        <x:v>0</x:v>
      </x:c>
      <x:c r="M1988" s="9" t="n">
        <x:f>ROUND(H1988*(1-I1988),2)</x:f>
        <x:v>8730000</x:v>
      </x:c>
      <x:c r="N1988" s="4" t="str">
        <x:v>Sales manager</x:v>
      </x:c>
      <x:c r="O1988" s="4" t="str">
        <x:v>BOOK-01987</x:v>
      </x:c>
      <x:c r="P1988" s="9" t="n">
        <x:v>8730000</x:v>
      </x:c>
      <x:c r="Q1988" s="11" t="n">
        <x:v>0</x:v>
      </x:c>
      <x:c r="R1988" s="8" t="n">
        <x:v>45469</x:v>
      </x:c>
      <x:c r="S1988" s="4" t="str">
        <x:v>Retained</x:v>
      </x:c>
      <x:c r="T1988" s="10" t="n">
        <x:v>0.298969</x:v>
      </x:c>
      <x:c r="U1988" s="4" t="str">
        <x:v>Train</x:v>
      </x:c>
    </x:row>
    <x:row r="1989" ht="34" customHeight="1">
      <x:c r="A1989" s="4" t="str">
        <x:v>RS-01988</x:v>
      </x:c>
      <x:c r="B1989" s="8" t="n">
        <x:v>45410</x:v>
      </x:c>
      <x:c r="C1989" s="4" t="str">
        <x:v>PRJ-008</x:v>
      </x:c>
      <x:c r="D1989" s="4" t="str">
        <x:v>Retail</x:v>
      </x:c>
      <x:c r="E1989" s="4" t="str">
        <x:v>Cancelled</x:v>
      </x:c>
      <x:c r="F1989" s="4" t="str">
        <x:v>CUS-01988</x:v>
      </x:c>
      <x:c r="G1989" s="4" t="str">
        <x:v>UNIT-01988</x:v>
      </x:c>
      <x:c r="H1989" s="9" t="n">
        <x:v>17100000</x:v>
      </x:c>
      <x:c r="I1989" s="10" t="n">
        <x:v>0.07</x:v>
      </x:c>
      <x:c r="J1989" s="11" t="n">
        <x:v>12</x:v>
      </x:c>
      <x:c r="K1989" s="11" t="n">
        <x:v>10</x:v>
      </x:c>
      <x:c r="L1989" s="11" t="n">
        <x:v>1</x:v>
      </x:c>
      <x:c r="M1989" s="9" t="n">
        <x:f>ROUND(H1989*(1-I1989),2)</x:f>
        <x:v>15903000</x:v>
      </x:c>
      <x:c r="N1989" s="4" t="str">
        <x:v>Sales manager</x:v>
      </x:c>
      <x:c r="O1989" s="4"/>
      <x:c r="P1989" s="9" t="n">
        <x:v>0</x:v>
      </x:c>
      <x:c r="Q1989" s="11" t="n">
        <x:v>1</x:v>
      </x:c>
      <x:c r="R1989" s="8" t="n">
        <x:v>45470</x:v>
      </x:c>
      <x:c r="S1989" s="4" t="str">
        <x:v>Lost / cancelled</x:v>
      </x:c>
      <x:c r="T1989" s="10" t="n">
        <x:v>0.351536</x:v>
      </x:c>
      <x:c r="U1989" s="4" t="str">
        <x:v>Train</x:v>
      </x:c>
    </x:row>
    <x:row r="1990" ht="34" customHeight="1">
      <x:c r="A1990" s="4" t="str">
        <x:v>RS-01989</x:v>
      </x:c>
      <x:c r="B1990" s="8" t="n">
        <x:v>45383</x:v>
      </x:c>
      <x:c r="C1990" s="4" t="str">
        <x:v>PRJ-009</x:v>
      </x:c>
      <x:c r="D1990" s="4" t="str">
        <x:v>Villa</x:v>
      </x:c>
      <x:c r="E1990" s="4" t="str">
        <x:v>Booked</x:v>
      </x:c>
      <x:c r="F1990" s="4" t="str">
        <x:v>CUS-01989</x:v>
      </x:c>
      <x:c r="G1990" s="4" t="str">
        <x:v>UNIT-01989</x:v>
      </x:c>
      <x:c r="H1990" s="9" t="n">
        <x:v>20200000</x:v>
      </x:c>
      <x:c r="I1990" s="10" t="n">
        <x:v>0.09</x:v>
      </x:c>
      <x:c r="J1990" s="11" t="n">
        <x:v>9</x:v>
      </x:c>
      <x:c r="K1990" s="11" t="n">
        <x:v>9</x:v>
      </x:c>
      <x:c r="L1990" s="11" t="n">
        <x:v>1</x:v>
      </x:c>
      <x:c r="M1990" s="9" t="n">
        <x:f>ROUND(H1990*(1-I1990),2)</x:f>
        <x:v>18382000</x:v>
      </x:c>
      <x:c r="N1990" s="4" t="str">
        <x:v>Sales head</x:v>
      </x:c>
      <x:c r="O1990" s="4" t="str">
        <x:v>BOOK-01989</x:v>
      </x:c>
      <x:c r="P1990" s="9" t="n">
        <x:v>4595500</x:v>
      </x:c>
      <x:c r="Q1990" s="11" t="n">
        <x:v>0</x:v>
      </x:c>
      <x:c r="R1990" s="8" t="n">
        <x:v>45443</x:v>
      </x:c>
      <x:c r="S1990" s="4" t="str">
        <x:v>Retained</x:v>
      </x:c>
      <x:c r="T1990" s="10" t="n">
        <x:v>0.310195</x:v>
      </x:c>
      <x:c r="U1990" s="4" t="str">
        <x:v>Train</x:v>
      </x:c>
    </x:row>
    <x:row r="1991" ht="34" customHeight="1">
      <x:c r="A1991" s="4" t="str">
        <x:v>RS-01990</x:v>
      </x:c>
      <x:c r="B1991" s="8" t="n">
        <x:v>45384</x:v>
      </x:c>
      <x:c r="C1991" s="4" t="str">
        <x:v>PRJ-010</x:v>
      </x:c>
      <x:c r="D1991" s="4" t="str">
        <x:v>Apartment</x:v>
      </x:c>
      <x:c r="E1991" s="4" t="str">
        <x:v>Booked</x:v>
      </x:c>
      <x:c r="F1991" s="4" t="str">
        <x:v>CUS-01990</x:v>
      </x:c>
      <x:c r="G1991" s="4" t="str">
        <x:v>UNIT-01990</x:v>
      </x:c>
      <x:c r="H1991" s="9" t="n">
        <x:v>12000000</x:v>
      </x:c>
      <x:c r="I1991" s="10" t="n">
        <x:v>0.09</x:v>
      </x:c>
      <x:c r="J1991" s="11" t="n">
        <x:v>11</x:v>
      </x:c>
      <x:c r="K1991" s="11" t="n">
        <x:v>2</x:v>
      </x:c>
      <x:c r="L1991" s="11" t="n">
        <x:v>1</x:v>
      </x:c>
      <x:c r="M1991" s="9" t="n">
        <x:f>ROUND(H1991*(1-I1991),2)</x:f>
        <x:v>10920000</x:v>
      </x:c>
      <x:c r="N1991" s="4" t="str">
        <x:v>Sales head</x:v>
      </x:c>
      <x:c r="O1991" s="4" t="str">
        <x:v>BOOK-01990</x:v>
      </x:c>
      <x:c r="P1991" s="9" t="n">
        <x:v>10920000</x:v>
      </x:c>
      <x:c r="Q1991" s="11" t="n">
        <x:v>0</x:v>
      </x:c>
      <x:c r="R1991" s="8" t="n">
        <x:v>45444</x:v>
      </x:c>
      <x:c r="S1991" s="4" t="str">
        <x:v>Retained</x:v>
      </x:c>
      <x:c r="T1991" s="10" t="n">
        <x:v>0.351536</x:v>
      </x:c>
      <x:c r="U1991" s="4" t="str">
        <x:v>Train</x:v>
      </x:c>
    </x:row>
    <x:row r="1992" ht="34" customHeight="1">
      <x:c r="A1992" s="4" t="str">
        <x:v>RS-01991</x:v>
      </x:c>
      <x:c r="B1992" s="8" t="n">
        <x:v>45385</x:v>
      </x:c>
      <x:c r="C1992" s="4" t="str">
        <x:v>PRJ-011</x:v>
      </x:c>
      <x:c r="D1992" s="4" t="str">
        <x:v>Apartment</x:v>
      </x:c>
      <x:c r="E1992" s="4" t="str">
        <x:v>Reserved</x:v>
      </x:c>
      <x:c r="F1992" s="4" t="str">
        <x:v>CUS-01991</x:v>
      </x:c>
      <x:c r="G1992" s="4" t="str">
        <x:v>UNIT-01991</x:v>
      </x:c>
      <x:c r="H1992" s="9" t="n">
        <x:v>17400000</x:v>
      </x:c>
      <x:c r="I1992" s="10" t="n">
        <x:v>0.02</x:v>
      </x:c>
      <x:c r="J1992" s="11" t="n">
        <x:v>2</x:v>
      </x:c>
      <x:c r="K1992" s="11" t="n">
        <x:v>6</x:v>
      </x:c>
      <x:c r="L1992" s="11" t="n">
        <x:v>0</x:v>
      </x:c>
      <x:c r="M1992" s="9" t="n">
        <x:f>ROUND(H1992*(1-I1992),2)</x:f>
        <x:v>17052000</x:v>
      </x:c>
      <x:c r="N1992" s="4" t="str">
        <x:v>Sales manager</x:v>
      </x:c>
      <x:c r="O1992" s="4"/>
      <x:c r="P1992" s="9" t="n">
        <x:v>0</x:v>
      </x:c>
      <x:c r="Q1992" s="11" t="n">
        <x:v>0</x:v>
      </x:c>
      <x:c r="R1992" s="8" t="n">
        <x:v>45445</x:v>
      </x:c>
      <x:c r="S1992" s="4" t="str">
        <x:v>Retained</x:v>
      </x:c>
      <x:c r="T1992" s="10" t="n">
        <x:v>0.171717</x:v>
      </x:c>
      <x:c r="U1992" s="4" t="str">
        <x:v>Train</x:v>
      </x:c>
    </x:row>
    <x:row r="1993" ht="34" customHeight="1">
      <x:c r="A1993" s="4" t="str">
        <x:v>RS-01992</x:v>
      </x:c>
      <x:c r="B1993" s="8" t="n">
        <x:v>45386</x:v>
      </x:c>
      <x:c r="C1993" s="4" t="str">
        <x:v>PRJ-012</x:v>
      </x:c>
      <x:c r="D1993" s="4" t="str">
        <x:v>Office</x:v>
      </x:c>
      <x:c r="E1993" s="4" t="str">
        <x:v>Reserved</x:v>
      </x:c>
      <x:c r="F1993" s="4" t="str">
        <x:v>CUS-01992</x:v>
      </x:c>
      <x:c r="G1993" s="4" t="str">
        <x:v>UNIT-01992</x:v>
      </x:c>
      <x:c r="H1993" s="9" t="n">
        <x:v>8100000</x:v>
      </x:c>
      <x:c r="I1993" s="10" t="n">
        <x:v>0</x:v>
      </x:c>
      <x:c r="J1993" s="11" t="n">
        <x:v>8</x:v>
      </x:c>
      <x:c r="K1993" s="11" t="n">
        <x:v>9</x:v>
      </x:c>
      <x:c r="L1993" s="11" t="n">
        <x:v>1</x:v>
      </x:c>
      <x:c r="M1993" s="9" t="n">
        <x:f>ROUND(H1993*(1-I1993),2)</x:f>
        <x:v>8100000</x:v>
      </x:c>
      <x:c r="N1993" s="4" t="str">
        <x:v>Sales manager</x:v>
      </x:c>
      <x:c r="O1993" s="4"/>
      <x:c r="P1993" s="9" t="n">
        <x:v>0</x:v>
      </x:c>
      <x:c r="Q1993" s="11" t="n">
        <x:v>1</x:v>
      </x:c>
      <x:c r="R1993" s="8" t="n">
        <x:v>45446</x:v>
      </x:c>
      <x:c r="S1993" s="4" t="str">
        <x:v>Lost / cancelled</x:v>
      </x:c>
      <x:c r="T1993" s="10" t="n">
        <x:v>0.254545</x:v>
      </x:c>
      <x:c r="U1993" s="4" t="str">
        <x:v>Train</x:v>
      </x:c>
    </x:row>
    <x:row r="1994" ht="34" customHeight="1">
      <x:c r="A1994" s="4" t="str">
        <x:v>RS-01993</x:v>
      </x:c>
      <x:c r="B1994" s="8" t="n">
        <x:v>45387</x:v>
      </x:c>
      <x:c r="C1994" s="4" t="str">
        <x:v>PRJ-013</x:v>
      </x:c>
      <x:c r="D1994" s="4" t="str">
        <x:v>Retail</x:v>
      </x:c>
      <x:c r="E1994" s="4" t="str">
        <x:v>Handed over</x:v>
      </x:c>
      <x:c r="F1994" s="4" t="str">
        <x:v>CUS-01993</x:v>
      </x:c>
      <x:c r="G1994" s="4" t="str">
        <x:v>UNIT-01993</x:v>
      </x:c>
      <x:c r="H1994" s="9" t="n">
        <x:v>7800000</x:v>
      </x:c>
      <x:c r="I1994" s="10" t="n">
        <x:v>0.06</x:v>
      </x:c>
      <x:c r="J1994" s="11" t="n">
        <x:v>11</x:v>
      </x:c>
      <x:c r="K1994" s="11" t="n">
        <x:v>2</x:v>
      </x:c>
      <x:c r="L1994" s="11" t="n">
        <x:v>1</x:v>
      </x:c>
      <x:c r="M1994" s="9" t="n">
        <x:f>ROUND(H1994*(1-I1994),2)</x:f>
        <x:v>7332000</x:v>
      </x:c>
      <x:c r="N1994" s="4" t="str">
        <x:v>Sales manager</x:v>
      </x:c>
      <x:c r="O1994" s="4" t="str">
        <x:v>BOOK-01993</x:v>
      </x:c>
      <x:c r="P1994" s="9" t="n">
        <x:v>7332000</x:v>
      </x:c>
      <x:c r="Q1994" s="11" t="n">
        <x:v>0</x:v>
      </x:c>
      <x:c r="R1994" s="8" t="n">
        <x:v>45447</x:v>
      </x:c>
      <x:c r="S1994" s="4" t="str">
        <x:v>Retained</x:v>
      </x:c>
      <x:c r="T1994" s="10" t="n">
        <x:v>0.351536</x:v>
      </x:c>
      <x:c r="U1994" s="4" t="str">
        <x:v>Train</x:v>
      </x:c>
    </x:row>
    <x:row r="1995" ht="34" customHeight="1">
      <x:c r="A1995" s="4" t="str">
        <x:v>RS-01994</x:v>
      </x:c>
      <x:c r="B1995" s="8" t="n">
        <x:v>45388</x:v>
      </x:c>
      <x:c r="C1995" s="4" t="str">
        <x:v>PRJ-014</x:v>
      </x:c>
      <x:c r="D1995" s="4" t="str">
        <x:v>Retail</x:v>
      </x:c>
      <x:c r="E1995" s="4" t="str">
        <x:v>Enquiry</x:v>
      </x:c>
      <x:c r="F1995" s="4" t="str">
        <x:v>CUS-01994</x:v>
      </x:c>
      <x:c r="G1995" s="4" t="str">
        <x:v>UNIT-01994</x:v>
      </x:c>
      <x:c r="H1995" s="9" t="n">
        <x:v>18900000</x:v>
      </x:c>
      <x:c r="I1995" s="10" t="n">
        <x:v>0.02</x:v>
      </x:c>
      <x:c r="J1995" s="11" t="n">
        <x:v>1</x:v>
      </x:c>
      <x:c r="K1995" s="11" t="n">
        <x:v>3</x:v>
      </x:c>
      <x:c r="L1995" s="11" t="n">
        <x:v>1</x:v>
      </x:c>
      <x:c r="M1995" s="9" t="n">
        <x:f>ROUND(H1995*(1-I1995),2)</x:f>
        <x:v>18522000</x:v>
      </x:c>
      <x:c r="N1995" s="4" t="str">
        <x:v>Sales manager</x:v>
      </x:c>
      <x:c r="O1995" s="4"/>
      <x:c r="P1995" s="9" t="n">
        <x:v>0</x:v>
      </x:c>
      <x:c r="Q1995" s="11" t="n">
        <x:v>0</x:v>
      </x:c>
      <x:c r="R1995" s="8" t="n">
        <x:v>45448</x:v>
      </x:c>
      <x:c r="S1995" s="4" t="str">
        <x:v>Retained</x:v>
      </x:c>
      <x:c r="T1995" s="10" t="n">
        <x:v>0.072165</x:v>
      </x:c>
      <x:c r="U1995" s="4" t="str">
        <x:v>Train</x:v>
      </x:c>
    </x:row>
    <x:row r="1996" ht="34" customHeight="1">
      <x:c r="A1996" s="4" t="str">
        <x:v>RS-01995</x:v>
      </x:c>
      <x:c r="B1996" s="8" t="n">
        <x:v>45389</x:v>
      </x:c>
      <x:c r="C1996" s="4" t="str">
        <x:v>PRJ-015</x:v>
      </x:c>
      <x:c r="D1996" s="4" t="str">
        <x:v>Retail</x:v>
      </x:c>
      <x:c r="E1996" s="4" t="str">
        <x:v>Handed over</x:v>
      </x:c>
      <x:c r="F1996" s="4" t="str">
        <x:v>CUS-01995</x:v>
      </x:c>
      <x:c r="G1996" s="4" t="str">
        <x:v>UNIT-01995</x:v>
      </x:c>
      <x:c r="H1996" s="9" t="n">
        <x:v>13600000</x:v>
      </x:c>
      <x:c r="I1996" s="10" t="n">
        <x:v>0.03</x:v>
      </x:c>
      <x:c r="J1996" s="11" t="n">
        <x:v>11</x:v>
      </x:c>
      <x:c r="K1996" s="11" t="n">
        <x:v>6</x:v>
      </x:c>
      <x:c r="L1996" s="11" t="n">
        <x:v>1</x:v>
      </x:c>
      <x:c r="M1996" s="9" t="n">
        <x:f>ROUND(H1996*(1-I1996),2)</x:f>
        <x:v>13192000</x:v>
      </x:c>
      <x:c r="N1996" s="4" t="str">
        <x:v>Sales manager</x:v>
      </x:c>
      <x:c r="O1996" s="4" t="str">
        <x:v>BOOK-01995</x:v>
      </x:c>
      <x:c r="P1996" s="9" t="n">
        <x:v>3298000</x:v>
      </x:c>
      <x:c r="Q1996" s="11" t="n">
        <x:v>0</x:v>
      </x:c>
      <x:c r="R1996" s="8" t="n">
        <x:v>45449</x:v>
      </x:c>
      <x:c r="S1996" s="4" t="str">
        <x:v>Retained</x:v>
      </x:c>
      <x:c r="T1996" s="10" t="n">
        <x:v>0.351536</x:v>
      </x:c>
      <x:c r="U1996" s="4" t="str">
        <x:v>Train</x:v>
      </x:c>
    </x:row>
    <x:row r="1997" ht="34" customHeight="1">
      <x:c r="A1997" s="4" t="str">
        <x:v>RS-01996</x:v>
      </x:c>
      <x:c r="B1997" s="8" t="n">
        <x:v>45390</x:v>
      </x:c>
      <x:c r="C1997" s="4" t="str">
        <x:v>PRJ-016</x:v>
      </x:c>
      <x:c r="D1997" s="4" t="str">
        <x:v>Office</x:v>
      </x:c>
      <x:c r="E1997" s="4" t="str">
        <x:v>Reserved</x:v>
      </x:c>
      <x:c r="F1997" s="4" t="str">
        <x:v>CUS-01996</x:v>
      </x:c>
      <x:c r="G1997" s="4" t="str">
        <x:v>UNIT-01996</x:v>
      </x:c>
      <x:c r="H1997" s="9" t="n">
        <x:v>9200000</x:v>
      </x:c>
      <x:c r="I1997" s="10" t="n">
        <x:v>0.02</x:v>
      </x:c>
      <x:c r="J1997" s="11" t="n">
        <x:v>11</x:v>
      </x:c>
      <x:c r="K1997" s="11" t="n">
        <x:v>7</x:v>
      </x:c>
      <x:c r="L1997" s="11" t="n">
        <x:v>1</x:v>
      </x:c>
      <x:c r="M1997" s="9" t="n">
        <x:f>ROUND(H1997*(1-I1997),2)</x:f>
        <x:v>9016000</x:v>
      </x:c>
      <x:c r="N1997" s="4" t="str">
        <x:v>Sales manager</x:v>
      </x:c>
      <x:c r="O1997" s="4"/>
      <x:c r="P1997" s="9" t="n">
        <x:v>0</x:v>
      </x:c>
      <x:c r="Q1997" s="11" t="n">
        <x:v>1</x:v>
      </x:c>
      <x:c r="R1997" s="8" t="n">
        <x:v>45450</x:v>
      </x:c>
      <x:c r="S1997" s="4" t="str">
        <x:v>Lost / cancelled</x:v>
      </x:c>
      <x:c r="T1997" s="10" t="n">
        <x:v>0.254545</x:v>
      </x:c>
      <x:c r="U1997" s="4" t="str">
        <x:v>Train</x:v>
      </x:c>
    </x:row>
    <x:row r="1998" ht="34" customHeight="1">
      <x:c r="A1998" s="4" t="str">
        <x:v>RS-01997</x:v>
      </x:c>
      <x:c r="B1998" s="8" t="n">
        <x:v>45391</x:v>
      </x:c>
      <x:c r="C1998" s="4" t="str">
        <x:v>PRJ-017</x:v>
      </x:c>
      <x:c r="D1998" s="4" t="str">
        <x:v>Villa</x:v>
      </x:c>
      <x:c r="E1998" s="4" t="str">
        <x:v>Enquiry</x:v>
      </x:c>
      <x:c r="F1998" s="4" t="str">
        <x:v>CUS-01997</x:v>
      </x:c>
      <x:c r="G1998" s="4" t="str">
        <x:v>UNIT-01997</x:v>
      </x:c>
      <x:c r="H1998" s="9" t="n">
        <x:v>16500000</x:v>
      </x:c>
      <x:c r="I1998" s="10" t="n">
        <x:v>0.01</x:v>
      </x:c>
      <x:c r="J1998" s="11" t="n">
        <x:v>11</x:v>
      </x:c>
      <x:c r="K1998" s="11" t="n">
        <x:v>0</x:v>
      </x:c>
      <x:c r="L1998" s="11" t="n">
        <x:v>0</x:v>
      </x:c>
      <x:c r="M1998" s="9" t="n">
        <x:f>ROUND(H1998*(1-I1998),2)</x:f>
        <x:v>16335000</x:v>
      </x:c>
      <x:c r="N1998" s="4" t="str">
        <x:v>Sales manager</x:v>
      </x:c>
      <x:c r="O1998" s="4"/>
      <x:c r="P1998" s="9" t="n">
        <x:v>0</x:v>
      </x:c>
      <x:c r="Q1998" s="11" t="n">
        <x:v>0</x:v>
      </x:c>
      <x:c r="R1998" s="8" t="n">
        <x:v>45451</x:v>
      </x:c>
      <x:c r="S1998" s="4" t="str">
        <x:v>Retained</x:v>
      </x:c>
      <x:c r="T1998" s="10" t="n">
        <x:v>0.305556</x:v>
      </x:c>
      <x:c r="U1998" s="4" t="str">
        <x:v>Train</x:v>
      </x:c>
    </x:row>
    <x:row r="1999" ht="34" customHeight="1">
      <x:c r="A1999" s="4" t="str">
        <x:v>RS-01998</x:v>
      </x:c>
      <x:c r="B1999" s="8" t="n">
        <x:v>45392</x:v>
      </x:c>
      <x:c r="C1999" s="4" t="str">
        <x:v>PRJ-018</x:v>
      </x:c>
      <x:c r="D1999" s="4" t="str">
        <x:v>Office</x:v>
      </x:c>
      <x:c r="E1999" s="4" t="str">
        <x:v>Agreement signed</x:v>
      </x:c>
      <x:c r="F1999" s="4" t="str">
        <x:v>CUS-01998</x:v>
      </x:c>
      <x:c r="G1999" s="4" t="str">
        <x:v>UNIT-01998</x:v>
      </x:c>
      <x:c r="H1999" s="9" t="n">
        <x:v>9000000</x:v>
      </x:c>
      <x:c r="I1999" s="10" t="n">
        <x:v>0.02</x:v>
      </x:c>
      <x:c r="J1999" s="11" t="n">
        <x:v>1</x:v>
      </x:c>
      <x:c r="K1999" s="11" t="n">
        <x:v>6</x:v>
      </x:c>
      <x:c r="L1999" s="11" t="n">
        <x:v>0</x:v>
      </x:c>
      <x:c r="M1999" s="9" t="n">
        <x:f>ROUND(H1999*(1-I1999),2)</x:f>
        <x:v>8820000</x:v>
      </x:c>
      <x:c r="N1999" s="4" t="str">
        <x:v>Sales manager</x:v>
      </x:c>
      <x:c r="O1999" s="4" t="str">
        <x:v>BOOK-01998</x:v>
      </x:c>
      <x:c r="P1999" s="9" t="n">
        <x:v>882000</x:v>
      </x:c>
      <x:c r="Q1999" s="11" t="n">
        <x:v>0</x:v>
      </x:c>
      <x:c r="R1999" s="8" t="n">
        <x:v>45452</x:v>
      </x:c>
      <x:c r="S1999" s="4" t="str">
        <x:v>Retained</x:v>
      </x:c>
      <x:c r="T1999" s="10" t="n">
        <x:v>0.072165</x:v>
      </x:c>
      <x:c r="U1999" s="4" t="str">
        <x:v>Train</x:v>
      </x:c>
    </x:row>
    <x:row r="2000" ht="34" customHeight="1">
      <x:c r="A2000" s="4" t="str">
        <x:v>RS-01999</x:v>
      </x:c>
      <x:c r="B2000" s="8" t="n">
        <x:v>45393</x:v>
      </x:c>
      <x:c r="C2000" s="4" t="str">
        <x:v>PRJ-019</x:v>
      </x:c>
      <x:c r="D2000" s="4" t="str">
        <x:v>Office</x:v>
      </x:c>
      <x:c r="E2000" s="4" t="str">
        <x:v>Handed over</x:v>
      </x:c>
      <x:c r="F2000" s="4" t="str">
        <x:v>CUS-01999</x:v>
      </x:c>
      <x:c r="G2000" s="4" t="str">
        <x:v>UNIT-01999</x:v>
      </x:c>
      <x:c r="H2000" s="9" t="n">
        <x:v>5400000</x:v>
      </x:c>
      <x:c r="I2000" s="10" t="n">
        <x:v>0.03</x:v>
      </x:c>
      <x:c r="J2000" s="11" t="n">
        <x:v>6</x:v>
      </x:c>
      <x:c r="K2000" s="11" t="n">
        <x:v>6</x:v>
      </x:c>
      <x:c r="L2000" s="11" t="n">
        <x:v>1</x:v>
      </x:c>
      <x:c r="M2000" s="9" t="n">
        <x:f>ROUND(H2000*(1-I2000),2)</x:f>
        <x:v>5238000</x:v>
      </x:c>
      <x:c r="N2000" s="4" t="str">
        <x:v>Sales manager</x:v>
      </x:c>
      <x:c r="O2000" s="4" t="str">
        <x:v>BOOK-01999</x:v>
      </x:c>
      <x:c r="P2000" s="9" t="n">
        <x:v>1309500</x:v>
      </x:c>
      <x:c r="Q2000" s="11" t="n">
        <x:v>0</x:v>
      </x:c>
      <x:c r="R2000" s="8" t="n">
        <x:v>45453</x:v>
      </x:c>
      <x:c r="S2000" s="4" t="str">
        <x:v>Retained</x:v>
      </x:c>
      <x:c r="T2000" s="10" t="n">
        <x:v>0.145299</x:v>
      </x:c>
      <x:c r="U2000" s="4" t="str">
        <x:v>Train</x:v>
      </x:c>
    </x:row>
    <x:row r="2001" ht="34" customHeight="1">
      <x:c r="A2001" s="4" t="str">
        <x:v>RS-02000</x:v>
      </x:c>
      <x:c r="B2001" s="8" t="n">
        <x:v>45394</x:v>
      </x:c>
      <x:c r="C2001" s="4" t="str">
        <x:v>PRJ-020</x:v>
      </x:c>
      <x:c r="D2001" s="4" t="str">
        <x:v>Retail</x:v>
      </x:c>
      <x:c r="E2001" s="4" t="str">
        <x:v>Enquiry</x:v>
      </x:c>
      <x:c r="F2001" s="4" t="str">
        <x:v>CUS-02000</x:v>
      </x:c>
      <x:c r="G2001" s="4" t="str">
        <x:v>UNIT-02000</x:v>
      </x:c>
      <x:c r="H2001" s="9" t="n">
        <x:v>6000000</x:v>
      </x:c>
      <x:c r="I2001" s="10" t="n">
        <x:v>0.04</x:v>
      </x:c>
      <x:c r="J2001" s="11" t="n">
        <x:v>1</x:v>
      </x:c>
      <x:c r="K2001" s="11" t="n">
        <x:v>2</x:v>
      </x:c>
      <x:c r="L2001" s="11" t="n">
        <x:v>1</x:v>
      </x:c>
      <x:c r="M2001" s="9" t="n">
        <x:f>ROUND(H2001*(1-I2001),2)</x:f>
        <x:v>5760000</x:v>
      </x:c>
      <x:c r="N2001" s="4" t="str">
        <x:v>Sales manager</x:v>
      </x:c>
      <x:c r="O2001" s="4"/>
      <x:c r="P2001" s="9" t="n">
        <x:v>0</x:v>
      </x:c>
      <x:c r="Q2001" s="11" t="n">
        <x:v>0</x:v>
      </x:c>
      <x:c r="R2001" s="8" t="n">
        <x:v>45454</x:v>
      </x:c>
      <x:c r="S2001" s="4" t="str">
        <x:v>Retained</x:v>
      </x:c>
      <x:c r="T2001" s="10" t="n">
        <x:v>0.204152</x:v>
      </x:c>
      <x:c r="U2001" s="4" t="str">
        <x:v>Train</x:v>
      </x:c>
    </x:row>
    <x:row r="2002" ht="34" customHeight="1">
      <x:c r="A2002" s="4" t="str">
        <x:v>RS-02001</x:v>
      </x:c>
      <x:c r="B2002" s="8" t="n">
        <x:v>45425</x:v>
      </x:c>
      <x:c r="C2002" s="4" t="str">
        <x:v>PRJ-001</x:v>
      </x:c>
      <x:c r="D2002" s="4" t="str">
        <x:v>Retail</x:v>
      </x:c>
      <x:c r="E2002" s="4" t="str">
        <x:v>Reserved</x:v>
      </x:c>
      <x:c r="F2002" s="4" t="str">
        <x:v>CUS-02001</x:v>
      </x:c>
      <x:c r="G2002" s="4" t="str">
        <x:v>UNIT-02001</x:v>
      </x:c>
      <x:c r="H2002" s="9" t="n">
        <x:v>6600000</x:v>
      </x:c>
      <x:c r="I2002" s="10" t="n">
        <x:v>0.06</x:v>
      </x:c>
      <x:c r="J2002" s="11" t="n">
        <x:v>11</x:v>
      </x:c>
      <x:c r="K2002" s="11" t="n">
        <x:v>5</x:v>
      </x:c>
      <x:c r="L2002" s="11" t="n">
        <x:v>0</x:v>
      </x:c>
      <x:c r="M2002" s="9" t="n">
        <x:f>ROUND(H2002*(1-I2002),2)</x:f>
        <x:v>6204000</x:v>
      </x:c>
      <x:c r="N2002" s="4" t="str">
        <x:v>Sales manager</x:v>
      </x:c>
      <x:c r="O2002" s="4"/>
      <x:c r="P2002" s="9" t="n">
        <x:v>0</x:v>
      </x:c>
      <x:c r="Q2002" s="11" t="n">
        <x:v>0</x:v>
      </x:c>
      <x:c r="R2002" s="8" t="n">
        <x:v>45485</x:v>
      </x:c>
      <x:c r="S2002" s="4" t="str">
        <x:v>Retained</x:v>
      </x:c>
      <x:c r="T2002" s="10" t="n">
        <x:v>0.351536</x:v>
      </x:c>
      <x:c r="U2002" s="4" t="str">
        <x:v>Train</x:v>
      </x:c>
    </x:row>
    <x:row r="2003" ht="34" customHeight="1">
      <x:c r="A2003" s="4" t="str">
        <x:v>RS-02002</x:v>
      </x:c>
      <x:c r="B2003" s="8" t="n">
        <x:v>45426</x:v>
      </x:c>
      <x:c r="C2003" s="4" t="str">
        <x:v>PRJ-002</x:v>
      </x:c>
      <x:c r="D2003" s="4" t="str">
        <x:v>Apartment</x:v>
      </x:c>
      <x:c r="E2003" s="4" t="str">
        <x:v>Agreement signed</x:v>
      </x:c>
      <x:c r="F2003" s="4" t="str">
        <x:v>CUS-02002</x:v>
      </x:c>
      <x:c r="G2003" s="4" t="str">
        <x:v>UNIT-02002</x:v>
      </x:c>
      <x:c r="H2003" s="9" t="n">
        <x:v>5800000</x:v>
      </x:c>
      <x:c r="I2003" s="10" t="n">
        <x:v>0.06</x:v>
      </x:c>
      <x:c r="J2003" s="11" t="n">
        <x:v>5</x:v>
      </x:c>
      <x:c r="K2003" s="11" t="n">
        <x:v>6</x:v>
      </x:c>
      <x:c r="L2003" s="11" t="n">
        <x:v>0</x:v>
      </x:c>
      <x:c r="M2003" s="9" t="n">
        <x:f>ROUND(H2003*(1-I2003),2)</x:f>
        <x:v>5452000</x:v>
      </x:c>
      <x:c r="N2003" s="4" t="str">
        <x:v>Sales manager</x:v>
      </x:c>
      <x:c r="O2003" s="4" t="str">
        <x:v>BOOK-02002</x:v>
      </x:c>
      <x:c r="P2003" s="9" t="n">
        <x:v>1363000</x:v>
      </x:c>
      <x:c r="Q2003" s="11" t="n">
        <x:v>0</x:v>
      </x:c>
      <x:c r="R2003" s="8" t="n">
        <x:v>45486</x:v>
      </x:c>
      <x:c r="S2003" s="4" t="str">
        <x:v>Retained</x:v>
      </x:c>
      <x:c r="T2003" s="10" t="n">
        <x:v>0.226277</x:v>
      </x:c>
      <x:c r="U2003" s="4" t="str">
        <x:v>Train</x:v>
      </x:c>
    </x:row>
    <x:row r="2004" ht="34" customHeight="1">
      <x:c r="A2004" s="4" t="str">
        <x:v>RS-02003</x:v>
      </x:c>
      <x:c r="B2004" s="8" t="n">
        <x:v>45427</x:v>
      </x:c>
      <x:c r="C2004" s="4" t="str">
        <x:v>PRJ-003</x:v>
      </x:c>
      <x:c r="D2004" s="4" t="str">
        <x:v>Apartment</x:v>
      </x:c>
      <x:c r="E2004" s="4" t="str">
        <x:v>Reserved</x:v>
      </x:c>
      <x:c r="F2004" s="4" t="str">
        <x:v>CUS-02003</x:v>
      </x:c>
      <x:c r="G2004" s="4" t="str">
        <x:v>UNIT-02003</x:v>
      </x:c>
      <x:c r="H2004" s="9" t="n">
        <x:v>12900000</x:v>
      </x:c>
      <x:c r="I2004" s="10" t="n">
        <x:v>0.04</x:v>
      </x:c>
      <x:c r="J2004" s="11" t="n">
        <x:v>9</x:v>
      </x:c>
      <x:c r="K2004" s="11" t="n">
        <x:v>6</x:v>
      </x:c>
      <x:c r="L2004" s="11" t="n">
        <x:v>0</x:v>
      </x:c>
      <x:c r="M2004" s="9" t="n">
        <x:f>ROUND(H2004*(1-I2004),2)</x:f>
        <x:v>12384000</x:v>
      </x:c>
      <x:c r="N2004" s="4" t="str">
        <x:v>Sales manager</x:v>
      </x:c>
      <x:c r="O2004" s="4"/>
      <x:c r="P2004" s="9" t="n">
        <x:v>0</x:v>
      </x:c>
      <x:c r="Q2004" s="11" t="n">
        <x:v>0</x:v>
      </x:c>
      <x:c r="R2004" s="8" t="n">
        <x:v>45487</x:v>
      </x:c>
      <x:c r="S2004" s="4" t="str">
        <x:v>Retained</x:v>
      </x:c>
      <x:c r="T2004" s="10" t="n">
        <x:v>0.310195</x:v>
      </x:c>
      <x:c r="U2004" s="4" t="str">
        <x:v>Train</x:v>
      </x:c>
    </x:row>
    <x:row r="2005" ht="34" customHeight="1">
      <x:c r="A2005" s="4" t="str">
        <x:v>RS-02004</x:v>
      </x:c>
      <x:c r="B2005" s="8" t="n">
        <x:v>45428</x:v>
      </x:c>
      <x:c r="C2005" s="4" t="str">
        <x:v>PRJ-004</x:v>
      </x:c>
      <x:c r="D2005" s="4" t="str">
        <x:v>Apartment</x:v>
      </x:c>
      <x:c r="E2005" s="4" t="str">
        <x:v>Agreement signed</x:v>
      </x:c>
      <x:c r="F2005" s="4" t="str">
        <x:v>CUS-02004</x:v>
      </x:c>
      <x:c r="G2005" s="4" t="str">
        <x:v>UNIT-02004</x:v>
      </x:c>
      <x:c r="H2005" s="9" t="n">
        <x:v>18800000</x:v>
      </x:c>
      <x:c r="I2005" s="10" t="n">
        <x:v>0.11</x:v>
      </x:c>
      <x:c r="J2005" s="11" t="n">
        <x:v>4</x:v>
      </x:c>
      <x:c r="K2005" s="11" t="n">
        <x:v>1</x:v>
      </x:c>
      <x:c r="L2005" s="11" t="n">
        <x:v>1</x:v>
      </x:c>
      <x:c r="M2005" s="9" t="n">
        <x:f>ROUND(H2005*(1-I2005),2)</x:f>
        <x:v>16732000</x:v>
      </x:c>
      <x:c r="N2005" s="4" t="str">
        <x:v>Sales head</x:v>
      </x:c>
      <x:c r="O2005" s="4" t="str">
        <x:v>BOOK-02004</x:v>
      </x:c>
      <x:c r="P2005" s="9" t="n">
        <x:v>4183000</x:v>
      </x:c>
      <x:c r="Q2005" s="11" t="n">
        <x:v>0</x:v>
      </x:c>
      <x:c r="R2005" s="8" t="n">
        <x:v>45488</x:v>
      </x:c>
      <x:c r="S2005" s="4" t="str">
        <x:v>Retained</x:v>
      </x:c>
      <x:c r="T2005" s="10" t="n">
        <x:v>0.291946</x:v>
      </x:c>
      <x:c r="U2005" s="4" t="str">
        <x:v>Train</x:v>
      </x:c>
    </x:row>
    <x:row r="2006" ht="34" customHeight="1">
      <x:c r="A2006" s="4" t="str">
        <x:v>RS-02005</x:v>
      </x:c>
      <x:c r="B2006" s="8" t="n">
        <x:v>45429</x:v>
      </x:c>
      <x:c r="C2006" s="4" t="str">
        <x:v>PRJ-005</x:v>
      </x:c>
      <x:c r="D2006" s="4" t="str">
        <x:v>Apartment</x:v>
      </x:c>
      <x:c r="E2006" s="4" t="str">
        <x:v>Reserved</x:v>
      </x:c>
      <x:c r="F2006" s="4" t="str">
        <x:v>CUS-02005</x:v>
      </x:c>
      <x:c r="G2006" s="4" t="str">
        <x:v>UNIT-02005</x:v>
      </x:c>
      <x:c r="H2006" s="9" t="n">
        <x:v>3700000</x:v>
      </x:c>
      <x:c r="I2006" s="10" t="n">
        <x:v>0.03</x:v>
      </x:c>
      <x:c r="J2006" s="11" t="n">
        <x:v>1</x:v>
      </x:c>
      <x:c r="K2006" s="11" t="n">
        <x:v>8</x:v>
      </x:c>
      <x:c r="L2006" s="11" t="n">
        <x:v>0</x:v>
      </x:c>
      <x:c r="M2006" s="9" t="n">
        <x:f>ROUND(H2006*(1-I2006),2)</x:f>
        <x:v>3589000</x:v>
      </x:c>
      <x:c r="N2006" s="4" t="str">
        <x:v>Sales manager</x:v>
      </x:c>
      <x:c r="O2006" s="4"/>
      <x:c r="P2006" s="9" t="n">
        <x:v>0</x:v>
      </x:c>
      <x:c r="Q2006" s="11" t="n">
        <x:v>0</x:v>
      </x:c>
      <x:c r="R2006" s="8" t="n">
        <x:v>45489</x:v>
      </x:c>
      <x:c r="S2006" s="4" t="str">
        <x:v>Retained</x:v>
      </x:c>
      <x:c r="T2006" s="10" t="n">
        <x:v>0.072165</x:v>
      </x:c>
      <x:c r="U2006" s="4" t="str">
        <x:v>Train</x:v>
      </x:c>
    </x:row>
    <x:row r="2007" ht="34" customHeight="1">
      <x:c r="A2007" s="4" t="str">
        <x:v>RS-02006</x:v>
      </x:c>
      <x:c r="B2007" s="8" t="n">
        <x:v>45430</x:v>
      </x:c>
      <x:c r="C2007" s="4" t="str">
        <x:v>PRJ-006</x:v>
      </x:c>
      <x:c r="D2007" s="4" t="str">
        <x:v>Apartment</x:v>
      </x:c>
      <x:c r="E2007" s="4" t="str">
        <x:v>Handed over</x:v>
      </x:c>
      <x:c r="F2007" s="4" t="str">
        <x:v>CUS-02006</x:v>
      </x:c>
      <x:c r="G2007" s="4" t="str">
        <x:v>UNIT-02006</x:v>
      </x:c>
      <x:c r="H2007" s="9" t="n">
        <x:v>15900000</x:v>
      </x:c>
      <x:c r="I2007" s="10" t="n">
        <x:v>0.04</x:v>
      </x:c>
      <x:c r="J2007" s="11" t="n">
        <x:v>3</x:v>
      </x:c>
      <x:c r="K2007" s="11" t="n">
        <x:v>5</x:v>
      </x:c>
      <x:c r="L2007" s="11" t="n">
        <x:v>1</x:v>
      </x:c>
      <x:c r="M2007" s="9" t="n">
        <x:f>ROUND(H2007*(1-I2007),2)</x:f>
        <x:v>15264000</x:v>
      </x:c>
      <x:c r="N2007" s="4" t="str">
        <x:v>Sales manager</x:v>
      </x:c>
      <x:c r="O2007" s="4" t="str">
        <x:v>BOOK-02006</x:v>
      </x:c>
      <x:c r="P2007" s="9" t="n">
        <x:v>3816000</x:v>
      </x:c>
      <x:c r="Q2007" s="11" t="n">
        <x:v>0</x:v>
      </x:c>
      <x:c r="R2007" s="8" t="n">
        <x:v>45490</x:v>
      </x:c>
      <x:c r="S2007" s="4" t="str">
        <x:v>Retained</x:v>
      </x:c>
      <x:c r="T2007" s="10" t="n">
        <x:v>0.204152</x:v>
      </x:c>
      <x:c r="U2007" s="4" t="str">
        <x:v>Train</x:v>
      </x:c>
    </x:row>
    <x:row r="2008" ht="34" customHeight="1">
      <x:c r="A2008" s="4" t="str">
        <x:v>RS-02007</x:v>
      </x:c>
      <x:c r="B2008" s="8" t="n">
        <x:v>45431</x:v>
      </x:c>
      <x:c r="C2008" s="4" t="str">
        <x:v>PRJ-007</x:v>
      </x:c>
      <x:c r="D2008" s="4" t="str">
        <x:v>Retail</x:v>
      </x:c>
      <x:c r="E2008" s="4" t="str">
        <x:v>Booked</x:v>
      </x:c>
      <x:c r="F2008" s="4" t="str">
        <x:v>CUS-02007</x:v>
      </x:c>
      <x:c r="G2008" s="4" t="str">
        <x:v>UNIT-02007</x:v>
      </x:c>
      <x:c r="H2008" s="9" t="n">
        <x:v>7700000</x:v>
      </x:c>
      <x:c r="I2008" s="10" t="n">
        <x:v>0.06</x:v>
      </x:c>
      <x:c r="J2008" s="11" t="n">
        <x:v>4</x:v>
      </x:c>
      <x:c r="K2008" s="11" t="n">
        <x:v>10</x:v>
      </x:c>
      <x:c r="L2008" s="11" t="n">
        <x:v>1</x:v>
      </x:c>
      <x:c r="M2008" s="9" t="n">
        <x:f>ROUND(H2008*(1-I2008),2)</x:f>
        <x:v>7238000</x:v>
      </x:c>
      <x:c r="N2008" s="4" t="str">
        <x:v>Sales manager</x:v>
      </x:c>
      <x:c r="O2008" s="4" t="str">
        <x:v>BOOK-02007</x:v>
      </x:c>
      <x:c r="P2008" s="9" t="n">
        <x:v>3619000</x:v>
      </x:c>
      <x:c r="Q2008" s="11" t="n">
        <x:v>0</x:v>
      </x:c>
      <x:c r="R2008" s="8" t="n">
        <x:v>45491</x:v>
      </x:c>
      <x:c r="S2008" s="4" t="str">
        <x:v>Retained</x:v>
      </x:c>
      <x:c r="T2008" s="10" t="n">
        <x:v>0.291946</x:v>
      </x:c>
      <x:c r="U2008" s="4" t="str">
        <x:v>Train</x:v>
      </x:c>
    </x:row>
    <x:row r="2009" ht="34" customHeight="1">
      <x:c r="A2009" s="4" t="str">
        <x:v>RS-02008</x:v>
      </x:c>
      <x:c r="B2009" s="8" t="n">
        <x:v>45432</x:v>
      </x:c>
      <x:c r="C2009" s="4" t="str">
        <x:v>PRJ-008</x:v>
      </x:c>
      <x:c r="D2009" s="4" t="str">
        <x:v>Office</x:v>
      </x:c>
      <x:c r="E2009" s="4" t="str">
        <x:v>Handed over</x:v>
      </x:c>
      <x:c r="F2009" s="4" t="str">
        <x:v>CUS-02008</x:v>
      </x:c>
      <x:c r="G2009" s="4" t="str">
        <x:v>UNIT-02008</x:v>
      </x:c>
      <x:c r="H2009" s="9" t="n">
        <x:v>15900000</x:v>
      </x:c>
      <x:c r="I2009" s="10" t="n">
        <x:v>0.07</x:v>
      </x:c>
      <x:c r="J2009" s="11" t="n">
        <x:v>11</x:v>
      </x:c>
      <x:c r="K2009" s="11" t="n">
        <x:v>2</x:v>
      </x:c>
      <x:c r="L2009" s="11" t="n">
        <x:v>1</x:v>
      </x:c>
      <x:c r="M2009" s="9" t="n">
        <x:f>ROUND(H2009*(1-I2009),2)</x:f>
        <x:v>14787000</x:v>
      </x:c>
      <x:c r="N2009" s="4" t="str">
        <x:v>Sales manager</x:v>
      </x:c>
      <x:c r="O2009" s="4" t="str">
        <x:v>BOOK-02008</x:v>
      </x:c>
      <x:c r="P2009" s="9" t="n">
        <x:v>7393500</x:v>
      </x:c>
      <x:c r="Q2009" s="11" t="n">
        <x:v>0</x:v>
      </x:c>
      <x:c r="R2009" s="8" t="n">
        <x:v>45492</x:v>
      </x:c>
      <x:c r="S2009" s="4" t="str">
        <x:v>Retained</x:v>
      </x:c>
      <x:c r="T2009" s="10" t="n">
        <x:v>0.351536</x:v>
      </x:c>
      <x:c r="U2009" s="4" t="str">
        <x:v>Train</x:v>
      </x:c>
    </x:row>
    <x:row r="2010" ht="34" customHeight="1">
      <x:c r="A2010" s="4" t="str">
        <x:v>RS-02009</x:v>
      </x:c>
      <x:c r="B2010" s="8" t="n">
        <x:v>45433</x:v>
      </x:c>
      <x:c r="C2010" s="4" t="str">
        <x:v>PRJ-009</x:v>
      </x:c>
      <x:c r="D2010" s="4" t="str">
        <x:v>Office</x:v>
      </x:c>
      <x:c r="E2010" s="4" t="str">
        <x:v>Agreement signed</x:v>
      </x:c>
      <x:c r="F2010" s="4" t="str">
        <x:v>CUS-02009</x:v>
      </x:c>
      <x:c r="G2010" s="4" t="str">
        <x:v>UNIT-02009</x:v>
      </x:c>
      <x:c r="H2010" s="9" t="n">
        <x:v>11700000</x:v>
      </x:c>
      <x:c r="I2010" s="10" t="n">
        <x:v>0.04</x:v>
      </x:c>
      <x:c r="J2010" s="11" t="n">
        <x:v>12</x:v>
      </x:c>
      <x:c r="K2010" s="11" t="n">
        <x:v>2</x:v>
      </x:c>
      <x:c r="L2010" s="11" t="n">
        <x:v>0</x:v>
      </x:c>
      <x:c r="M2010" s="9" t="n">
        <x:f>ROUND(H2010*(1-I2010),2)</x:f>
        <x:v>11232000</x:v>
      </x:c>
      <x:c r="N2010" s="4" t="str">
        <x:v>Sales manager</x:v>
      </x:c>
      <x:c r="O2010" s="4" t="str">
        <x:v>BOOK-02009</x:v>
      </x:c>
      <x:c r="P2010" s="9" t="n">
        <x:v>2808000</x:v>
      </x:c>
      <x:c r="Q2010" s="11" t="n">
        <x:v>0</x:v>
      </x:c>
      <x:c r="R2010" s="8" t="n">
        <x:v>45493</x:v>
      </x:c>
      <x:c r="S2010" s="4" t="str">
        <x:v>Retained</x:v>
      </x:c>
      <x:c r="T2010" s="10" t="n">
        <x:v>0.351536</x:v>
      </x:c>
      <x:c r="U2010" s="4" t="str">
        <x:v>Train</x:v>
      </x:c>
    </x:row>
    <x:row r="2011" ht="34" customHeight="1">
      <x:c r="A2011" s="4" t="str">
        <x:v>RS-02010</x:v>
      </x:c>
      <x:c r="B2011" s="8" t="n">
        <x:v>45434</x:v>
      </x:c>
      <x:c r="C2011" s="4" t="str">
        <x:v>PRJ-010</x:v>
      </x:c>
      <x:c r="D2011" s="4" t="str">
        <x:v>Retail</x:v>
      </x:c>
      <x:c r="E2011" s="4" t="str">
        <x:v>Booked</x:v>
      </x:c>
      <x:c r="F2011" s="4" t="str">
        <x:v>CUS-02010</x:v>
      </x:c>
      <x:c r="G2011" s="4" t="str">
        <x:v>UNIT-02010</x:v>
      </x:c>
      <x:c r="H2011" s="9" t="n">
        <x:v>5800000</x:v>
      </x:c>
      <x:c r="I2011" s="10" t="n">
        <x:v>0.09</x:v>
      </x:c>
      <x:c r="J2011" s="11" t="n">
        <x:v>2</x:v>
      </x:c>
      <x:c r="K2011" s="11" t="n">
        <x:v>6</x:v>
      </x:c>
      <x:c r="L2011" s="11" t="n">
        <x:v>1</x:v>
      </x:c>
      <x:c r="M2011" s="9" t="n">
        <x:f>ROUND(H2011*(1-I2011),2)</x:f>
        <x:v>5278000</x:v>
      </x:c>
      <x:c r="N2011" s="4" t="str">
        <x:v>Sales head</x:v>
      </x:c>
      <x:c r="O2011" s="4" t="str">
        <x:v>BOOK-02010</x:v>
      </x:c>
      <x:c r="P2011" s="9" t="n">
        <x:v>1319500</x:v>
      </x:c>
      <x:c r="Q2011" s="11" t="n">
        <x:v>0</x:v>
      </x:c>
      <x:c r="R2011" s="8" t="n">
        <x:v>45494</x:v>
      </x:c>
      <x:c r="S2011" s="4" t="str">
        <x:v>Retained</x:v>
      </x:c>
      <x:c r="T2011" s="10" t="n">
        <x:v>0.145833</x:v>
      </x:c>
      <x:c r="U2011" s="4" t="str">
        <x:v>Train</x:v>
      </x:c>
    </x:row>
    <x:row r="2012" ht="34" customHeight="1">
      <x:c r="A2012" s="4" t="str">
        <x:v>RS-02011</x:v>
      </x:c>
      <x:c r="B2012" s="8" t="n">
        <x:v>45435</x:v>
      </x:c>
      <x:c r="C2012" s="4" t="str">
        <x:v>PRJ-011</x:v>
      </x:c>
      <x:c r="D2012" s="4" t="str">
        <x:v>Retail</x:v>
      </x:c>
      <x:c r="E2012" s="4" t="str">
        <x:v>Booked</x:v>
      </x:c>
      <x:c r="F2012" s="4" t="str">
        <x:v>CUS-02011</x:v>
      </x:c>
      <x:c r="G2012" s="4" t="str">
        <x:v>UNIT-02011</x:v>
      </x:c>
      <x:c r="H2012" s="9" t="n">
        <x:v>17700000</x:v>
      </x:c>
      <x:c r="I2012" s="10" t="n">
        <x:v>0.08</x:v>
      </x:c>
      <x:c r="J2012" s="11" t="n">
        <x:v>12</x:v>
      </x:c>
      <x:c r="K2012" s="11" t="n">
        <x:v>4</x:v>
      </x:c>
      <x:c r="L2012" s="11" t="n">
        <x:v>0</x:v>
      </x:c>
      <x:c r="M2012" s="9" t="n">
        <x:f>ROUND(H2012*(1-I2012),2)</x:f>
        <x:v>16284000</x:v>
      </x:c>
      <x:c r="N2012" s="4" t="str">
        <x:v>Sales head</x:v>
      </x:c>
      <x:c r="O2012" s="4" t="str">
        <x:v>BOOK-02011</x:v>
      </x:c>
      <x:c r="P2012" s="9" t="n">
        <x:v>4071000</x:v>
      </x:c>
      <x:c r="Q2012" s="11" t="n">
        <x:v>0</x:v>
      </x:c>
      <x:c r="R2012" s="8" t="n">
        <x:v>45495</x:v>
      </x:c>
      <x:c r="S2012" s="4" t="str">
        <x:v>Retained</x:v>
      </x:c>
      <x:c r="T2012" s="10" t="n">
        <x:v>0.351536</x:v>
      </x:c>
      <x:c r="U2012" s="4" t="str">
        <x:v>Train</x:v>
      </x:c>
    </x:row>
    <x:row r="2013" ht="34" customHeight="1">
      <x:c r="A2013" s="4" t="str">
        <x:v>RS-02012</x:v>
      </x:c>
      <x:c r="B2013" s="8" t="n">
        <x:v>45436</x:v>
      </x:c>
      <x:c r="C2013" s="4" t="str">
        <x:v>PRJ-012</x:v>
      </x:c>
      <x:c r="D2013" s="4" t="str">
        <x:v>Retail</x:v>
      </x:c>
      <x:c r="E2013" s="4" t="str">
        <x:v>Cancelled</x:v>
      </x:c>
      <x:c r="F2013" s="4" t="str">
        <x:v>CUS-02012</x:v>
      </x:c>
      <x:c r="G2013" s="4" t="str">
        <x:v>UNIT-02012</x:v>
      </x:c>
      <x:c r="H2013" s="9" t="n">
        <x:v>7800000</x:v>
      </x:c>
      <x:c r="I2013" s="10" t="n">
        <x:v>0.08</x:v>
      </x:c>
      <x:c r="J2013" s="11" t="n">
        <x:v>8</x:v>
      </x:c>
      <x:c r="K2013" s="11" t="n">
        <x:v>0</x:v>
      </x:c>
      <x:c r="L2013" s="11" t="n">
        <x:v>1</x:v>
      </x:c>
      <x:c r="M2013" s="9" t="n">
        <x:f>ROUND(H2013*(1-I2013),2)</x:f>
        <x:v>7176000</x:v>
      </x:c>
      <x:c r="N2013" s="4" t="str">
        <x:v>Sales head</x:v>
      </x:c>
      <x:c r="O2013" s="4"/>
      <x:c r="P2013" s="9" t="n">
        <x:v>0</x:v>
      </x:c>
      <x:c r="Q2013" s="11" t="n">
        <x:v>1</x:v>
      </x:c>
      <x:c r="R2013" s="8" t="n">
        <x:v>45496</x:v>
      </x:c>
      <x:c r="S2013" s="4" t="str">
        <x:v>Lost / cancelled</x:v>
      </x:c>
      <x:c r="T2013" s="10" t="n">
        <x:v>0.310195</x:v>
      </x:c>
      <x:c r="U2013" s="4" t="str">
        <x:v>Train</x:v>
      </x:c>
    </x:row>
    <x:row r="2014" ht="34" customHeight="1">
      <x:c r="A2014" s="4" t="str">
        <x:v>RS-02013</x:v>
      </x:c>
      <x:c r="B2014" s="8" t="n">
        <x:v>45437</x:v>
      </x:c>
      <x:c r="C2014" s="4" t="str">
        <x:v>PRJ-013</x:v>
      </x:c>
      <x:c r="D2014" s="4" t="str">
        <x:v>Office</x:v>
      </x:c>
      <x:c r="E2014" s="4" t="str">
        <x:v>Agreement signed</x:v>
      </x:c>
      <x:c r="F2014" s="4" t="str">
        <x:v>CUS-02013</x:v>
      </x:c>
      <x:c r="G2014" s="4" t="str">
        <x:v>UNIT-02013</x:v>
      </x:c>
      <x:c r="H2014" s="9" t="n">
        <x:v>24400000</x:v>
      </x:c>
      <x:c r="I2014" s="10" t="n">
        <x:v>0.01</x:v>
      </x:c>
      <x:c r="J2014" s="11" t="n">
        <x:v>10</x:v>
      </x:c>
      <x:c r="K2014" s="11" t="n">
        <x:v>1</x:v>
      </x:c>
      <x:c r="L2014" s="11" t="n">
        <x:v>0</x:v>
      </x:c>
      <x:c r="M2014" s="9" t="n">
        <x:f>ROUND(H2014*(1-I2014),2)</x:f>
        <x:v>24156000</x:v>
      </x:c>
      <x:c r="N2014" s="4" t="str">
        <x:v>Sales manager</x:v>
      </x:c>
      <x:c r="O2014" s="4" t="str">
        <x:v>BOOK-02013</x:v>
      </x:c>
      <x:c r="P2014" s="9" t="n">
        <x:v>12078000</x:v>
      </x:c>
      <x:c r="Q2014" s="11" t="n">
        <x:v>0</x:v>
      </x:c>
      <x:c r="R2014" s="8" t="n">
        <x:v>45497</x:v>
      </x:c>
      <x:c r="S2014" s="4" t="str">
        <x:v>Retained</x:v>
      </x:c>
      <x:c r="T2014" s="10" t="n">
        <x:v>0.305556</x:v>
      </x:c>
      <x:c r="U2014" s="4" t="str">
        <x:v>Train</x:v>
      </x:c>
    </x:row>
    <x:row r="2015" ht="34" customHeight="1">
      <x:c r="A2015" s="4" t="str">
        <x:v>RS-02014</x:v>
      </x:c>
      <x:c r="B2015" s="8" t="n">
        <x:v>45438</x:v>
      </x:c>
      <x:c r="C2015" s="4" t="str">
        <x:v>PRJ-014</x:v>
      </x:c>
      <x:c r="D2015" s="4" t="str">
        <x:v>Apartment</x:v>
      </x:c>
      <x:c r="E2015" s="4" t="str">
        <x:v>Agreement signed</x:v>
      </x:c>
      <x:c r="F2015" s="4" t="str">
        <x:v>CUS-02014</x:v>
      </x:c>
      <x:c r="G2015" s="4" t="str">
        <x:v>UNIT-02014</x:v>
      </x:c>
      <x:c r="H2015" s="9" t="n">
        <x:v>19000000</x:v>
      </x:c>
      <x:c r="I2015" s="10" t="n">
        <x:v>0.11</x:v>
      </x:c>
      <x:c r="J2015" s="11" t="n">
        <x:v>9</x:v>
      </x:c>
      <x:c r="K2015" s="11" t="n">
        <x:v>7</x:v>
      </x:c>
      <x:c r="L2015" s="11" t="n">
        <x:v>1</x:v>
      </x:c>
      <x:c r="M2015" s="9" t="n">
        <x:f>ROUND(H2015*(1-I2015),2)</x:f>
        <x:v>16910000</x:v>
      </x:c>
      <x:c r="N2015" s="4" t="str">
        <x:v>Sales head</x:v>
      </x:c>
      <x:c r="O2015" s="4" t="str">
        <x:v>BOOK-02014</x:v>
      </x:c>
      <x:c r="P2015" s="9" t="n">
        <x:v>4227500</x:v>
      </x:c>
      <x:c r="Q2015" s="11" t="n">
        <x:v>0</x:v>
      </x:c>
      <x:c r="R2015" s="8" t="n">
        <x:v>45498</x:v>
      </x:c>
      <x:c r="S2015" s="4" t="str">
        <x:v>Retained</x:v>
      </x:c>
      <x:c r="T2015" s="10" t="n">
        <x:v>0.310195</x:v>
      </x:c>
      <x:c r="U2015" s="4" t="str">
        <x:v>Train</x:v>
      </x:c>
    </x:row>
    <x:row r="2016" ht="34" customHeight="1">
      <x:c r="A2016" s="4" t="str">
        <x:v>RS-02015</x:v>
      </x:c>
      <x:c r="B2016" s="8" t="n">
        <x:v>45439</x:v>
      </x:c>
      <x:c r="C2016" s="4" t="str">
        <x:v>PRJ-015</x:v>
      </x:c>
      <x:c r="D2016" s="4" t="str">
        <x:v>Retail</x:v>
      </x:c>
      <x:c r="E2016" s="4" t="str">
        <x:v>Enquiry</x:v>
      </x:c>
      <x:c r="F2016" s="4" t="str">
        <x:v>CUS-02015</x:v>
      </x:c>
      <x:c r="G2016" s="4" t="str">
        <x:v>UNIT-02015</x:v>
      </x:c>
      <x:c r="H2016" s="9" t="n">
        <x:v>11200000</x:v>
      </x:c>
      <x:c r="I2016" s="10" t="n">
        <x:v>0</x:v>
      </x:c>
      <x:c r="J2016" s="11" t="n">
        <x:v>2</x:v>
      </x:c>
      <x:c r="K2016" s="11" t="n">
        <x:v>9</x:v>
      </x:c>
      <x:c r="L2016" s="11" t="n">
        <x:v>1</x:v>
      </x:c>
      <x:c r="M2016" s="9" t="n">
        <x:f>ROUND(H2016*(1-I2016),2)</x:f>
        <x:v>11200000</x:v>
      </x:c>
      <x:c r="N2016" s="4" t="str">
        <x:v>Sales manager</x:v>
      </x:c>
      <x:c r="O2016" s="4"/>
      <x:c r="P2016" s="9" t="n">
        <x:v>0</x:v>
      </x:c>
      <x:c r="Q2016" s="11" t="n">
        <x:v>0</x:v>
      </x:c>
      <x:c r="R2016" s="8" t="n">
        <x:v>45499</x:v>
      </x:c>
      <x:c r="S2016" s="4" t="str">
        <x:v>Retained</x:v>
      </x:c>
      <x:c r="T2016" s="10" t="n">
        <x:v>0.171717</x:v>
      </x:c>
      <x:c r="U2016" s="4" t="str">
        <x:v>Train</x:v>
      </x:c>
    </x:row>
    <x:row r="2017" ht="34" customHeight="1">
      <x:c r="A2017" s="4" t="str">
        <x:v>RS-02016</x:v>
      </x:c>
      <x:c r="B2017" s="8" t="n">
        <x:v>45440</x:v>
      </x:c>
      <x:c r="C2017" s="4" t="str">
        <x:v>PRJ-016</x:v>
      </x:c>
      <x:c r="D2017" s="4" t="str">
        <x:v>Villa</x:v>
      </x:c>
      <x:c r="E2017" s="4" t="str">
        <x:v>Enquiry</x:v>
      </x:c>
      <x:c r="F2017" s="4" t="str">
        <x:v>CUS-02016</x:v>
      </x:c>
      <x:c r="G2017" s="4" t="str">
        <x:v>UNIT-02016</x:v>
      </x:c>
      <x:c r="H2017" s="9" t="n">
        <x:v>16700000</x:v>
      </x:c>
      <x:c r="I2017" s="10" t="n">
        <x:v>0.05</x:v>
      </x:c>
      <x:c r="J2017" s="11" t="n">
        <x:v>6</x:v>
      </x:c>
      <x:c r="K2017" s="11" t="n">
        <x:v>7</x:v>
      </x:c>
      <x:c r="L2017" s="11" t="n">
        <x:v>0</x:v>
      </x:c>
      <x:c r="M2017" s="9" t="n">
        <x:f>ROUND(H2017*(1-I2017),2)</x:f>
        <x:v>15865000</x:v>
      </x:c>
      <x:c r="N2017" s="4" t="str">
        <x:v>Sales manager</x:v>
      </x:c>
      <x:c r="O2017" s="4"/>
      <x:c r="P2017" s="9" t="n">
        <x:v>0</x:v>
      </x:c>
      <x:c r="Q2017" s="11" t="n">
        <x:v>0</x:v>
      </x:c>
      <x:c r="R2017" s="8" t="n">
        <x:v>45500</x:v>
      </x:c>
      <x:c r="S2017" s="4" t="str">
        <x:v>Retained</x:v>
      </x:c>
      <x:c r="T2017" s="10" t="n">
        <x:v>0.226277</x:v>
      </x:c>
      <x:c r="U2017" s="4" t="str">
        <x:v>Train</x:v>
      </x:c>
    </x:row>
    <x:row r="2018" ht="34" customHeight="1">
      <x:c r="A2018" s="4" t="str">
        <x:v>RS-02017</x:v>
      </x:c>
      <x:c r="B2018" s="8" t="n">
        <x:v>45413</x:v>
      </x:c>
      <x:c r="C2018" s="4" t="str">
        <x:v>PRJ-017</x:v>
      </x:c>
      <x:c r="D2018" s="4" t="str">
        <x:v>Apartment</x:v>
      </x:c>
      <x:c r="E2018" s="4" t="str">
        <x:v>Agreement signed</x:v>
      </x:c>
      <x:c r="F2018" s="4" t="str">
        <x:v>CUS-02017</x:v>
      </x:c>
      <x:c r="G2018" s="4" t="str">
        <x:v>UNIT-02017</x:v>
      </x:c>
      <x:c r="H2018" s="9" t="n">
        <x:v>9300000</x:v>
      </x:c>
      <x:c r="I2018" s="10" t="n">
        <x:v>0.1</x:v>
      </x:c>
      <x:c r="J2018" s="11" t="n">
        <x:v>0</x:v>
      </x:c>
      <x:c r="K2018" s="11" t="n">
        <x:v>7</x:v>
      </x:c>
      <x:c r="L2018" s="11" t="n">
        <x:v>1</x:v>
      </x:c>
      <x:c r="M2018" s="9" t="n">
        <x:f>ROUND(H2018*(1-I2018),2)</x:f>
        <x:v>8370000</x:v>
      </x:c>
      <x:c r="N2018" s="4" t="str">
        <x:v>Sales head</x:v>
      </x:c>
      <x:c r="O2018" s="4" t="str">
        <x:v>BOOK-02017</x:v>
      </x:c>
      <x:c r="P2018" s="9" t="n">
        <x:v>4185000</x:v>
      </x:c>
      <x:c r="Q2018" s="11" t="n">
        <x:v>0</x:v>
      </x:c>
      <x:c r="R2018" s="8" t="n">
        <x:v>45473</x:v>
      </x:c>
      <x:c r="S2018" s="4" t="str">
        <x:v>Retained</x:v>
      </x:c>
      <x:c r="T2018" s="10" t="n">
        <x:v>0.145833</x:v>
      </x:c>
      <x:c r="U2018" s="4" t="str">
        <x:v>Train</x:v>
      </x:c>
    </x:row>
    <x:row r="2019" ht="34" customHeight="1">
      <x:c r="A2019" s="4" t="str">
        <x:v>RS-02018</x:v>
      </x:c>
      <x:c r="B2019" s="8" t="n">
        <x:v>45414</x:v>
      </x:c>
      <x:c r="C2019" s="4" t="str">
        <x:v>PRJ-018</x:v>
      </x:c>
      <x:c r="D2019" s="4" t="str">
        <x:v>Apartment</x:v>
      </x:c>
      <x:c r="E2019" s="4" t="str">
        <x:v>Enquiry</x:v>
      </x:c>
      <x:c r="F2019" s="4" t="str">
        <x:v>CUS-02018</x:v>
      </x:c>
      <x:c r="G2019" s="4" t="str">
        <x:v>UNIT-02018</x:v>
      </x:c>
      <x:c r="H2019" s="9" t="n">
        <x:v>13300000</x:v>
      </x:c>
      <x:c r="I2019" s="10" t="n">
        <x:v>0.04</x:v>
      </x:c>
      <x:c r="J2019" s="11" t="n">
        <x:v>10</x:v>
      </x:c>
      <x:c r="K2019" s="11" t="n">
        <x:v>0</x:v>
      </x:c>
      <x:c r="L2019" s="11" t="n">
        <x:v>1</x:v>
      </x:c>
      <x:c r="M2019" s="9" t="n">
        <x:f>ROUND(H2019*(1-I2019),2)</x:f>
        <x:v>12768000</x:v>
      </x:c>
      <x:c r="N2019" s="4" t="str">
        <x:v>Sales manager</x:v>
      </x:c>
      <x:c r="O2019" s="4"/>
      <x:c r="P2019" s="9" t="n">
        <x:v>0</x:v>
      </x:c>
      <x:c r="Q2019" s="11" t="n">
        <x:v>1</x:v>
      </x:c>
      <x:c r="R2019" s="8" t="n">
        <x:v>45474</x:v>
      </x:c>
      <x:c r="S2019" s="4" t="str">
        <x:v>Lost / cancelled</x:v>
      </x:c>
      <x:c r="T2019" s="10" t="n">
        <x:v>0.310195</x:v>
      </x:c>
      <x:c r="U2019" s="4" t="str">
        <x:v>Train</x:v>
      </x:c>
    </x:row>
    <x:row r="2020" ht="34" customHeight="1">
      <x:c r="A2020" s="4" t="str">
        <x:v>RS-02019</x:v>
      </x:c>
      <x:c r="B2020" s="8" t="n">
        <x:v>45415</x:v>
      </x:c>
      <x:c r="C2020" s="4" t="str">
        <x:v>PRJ-019</x:v>
      </x:c>
      <x:c r="D2020" s="4" t="str">
        <x:v>Apartment</x:v>
      </x:c>
      <x:c r="E2020" s="4" t="str">
        <x:v>Enquiry</x:v>
      </x:c>
      <x:c r="F2020" s="4" t="str">
        <x:v>CUS-02019</x:v>
      </x:c>
      <x:c r="G2020" s="4" t="str">
        <x:v>UNIT-02019</x:v>
      </x:c>
      <x:c r="H2020" s="9" t="n">
        <x:v>20100000</x:v>
      </x:c>
      <x:c r="I2020" s="10" t="n">
        <x:v>0.11</x:v>
      </x:c>
      <x:c r="J2020" s="11" t="n">
        <x:v>5</x:v>
      </x:c>
      <x:c r="K2020" s="11" t="n">
        <x:v>3</x:v>
      </x:c>
      <x:c r="L2020" s="11" t="n">
        <x:v>0</x:v>
      </x:c>
      <x:c r="M2020" s="9" t="n">
        <x:f>ROUND(H2020*(1-I2020),2)</x:f>
        <x:v>17889000</x:v>
      </x:c>
      <x:c r="N2020" s="4" t="str">
        <x:v>Sales head</x:v>
      </x:c>
      <x:c r="O2020" s="4"/>
      <x:c r="P2020" s="9" t="n">
        <x:v>0</x:v>
      </x:c>
      <x:c r="Q2020" s="11" t="n">
        <x:v>0</x:v>
      </x:c>
      <x:c r="R2020" s="8" t="n">
        <x:v>45475</x:v>
      </x:c>
      <x:c r="S2020" s="4" t="str">
        <x:v>Retained</x:v>
      </x:c>
      <x:c r="T2020" s="10" t="n">
        <x:v>0.226277</x:v>
      </x:c>
      <x:c r="U2020" s="4" t="str">
        <x:v>Train</x:v>
      </x:c>
    </x:row>
    <x:row r="2021" ht="34" customHeight="1">
      <x:c r="A2021" s="4" t="str">
        <x:v>RS-02020</x:v>
      </x:c>
      <x:c r="B2021" s="8" t="n">
        <x:v>45416</x:v>
      </x:c>
      <x:c r="C2021" s="4" t="str">
        <x:v>PRJ-020</x:v>
      </x:c>
      <x:c r="D2021" s="4" t="str">
        <x:v>Apartment</x:v>
      </x:c>
      <x:c r="E2021" s="4" t="str">
        <x:v>Handed over</x:v>
      </x:c>
      <x:c r="F2021" s="4" t="str">
        <x:v>CUS-02020</x:v>
      </x:c>
      <x:c r="G2021" s="4" t="str">
        <x:v>UNIT-02020</x:v>
      </x:c>
      <x:c r="H2021" s="9" t="n">
        <x:v>21400000</x:v>
      </x:c>
      <x:c r="I2021" s="10" t="n">
        <x:v>0.06</x:v>
      </x:c>
      <x:c r="J2021" s="11" t="n">
        <x:v>4</x:v>
      </x:c>
      <x:c r="K2021" s="11" t="n">
        <x:v>7</x:v>
      </x:c>
      <x:c r="L2021" s="11" t="n">
        <x:v>1</x:v>
      </x:c>
      <x:c r="M2021" s="9" t="n">
        <x:f>ROUND(H2021*(1-I2021),2)</x:f>
        <x:v>20116000</x:v>
      </x:c>
      <x:c r="N2021" s="4" t="str">
        <x:v>Sales manager</x:v>
      </x:c>
      <x:c r="O2021" s="4" t="str">
        <x:v>BOOK-02020</x:v>
      </x:c>
      <x:c r="P2021" s="9" t="n">
        <x:v>2011600</x:v>
      </x:c>
      <x:c r="Q2021" s="11" t="n">
        <x:v>0</x:v>
      </x:c>
      <x:c r="R2021" s="8" t="n">
        <x:v>45476</x:v>
      </x:c>
      <x:c r="S2021" s="4" t="str">
        <x:v>Retained</x:v>
      </x:c>
      <x:c r="T2021" s="10" t="n">
        <x:v>0.291946</x:v>
      </x:c>
      <x:c r="U2021" s="4" t="str">
        <x:v>Train</x:v>
      </x:c>
    </x:row>
    <x:row r="2022" ht="34" customHeight="1">
      <x:c r="A2022" s="4" t="str">
        <x:v>RS-02021</x:v>
      </x:c>
      <x:c r="B2022" s="8" t="n">
        <x:v>45417</x:v>
      </x:c>
      <x:c r="C2022" s="4" t="str">
        <x:v>PRJ-001</x:v>
      </x:c>
      <x:c r="D2022" s="4" t="str">
        <x:v>Apartment</x:v>
      </x:c>
      <x:c r="E2022" s="4" t="str">
        <x:v>Agreement signed</x:v>
      </x:c>
      <x:c r="F2022" s="4" t="str">
        <x:v>CUS-02021</x:v>
      </x:c>
      <x:c r="G2022" s="4" t="str">
        <x:v>UNIT-02021</x:v>
      </x:c>
      <x:c r="H2022" s="9" t="n">
        <x:v>20900000</x:v>
      </x:c>
      <x:c r="I2022" s="10" t="n">
        <x:v>0.1</x:v>
      </x:c>
      <x:c r="J2022" s="11" t="n">
        <x:v>9</x:v>
      </x:c>
      <x:c r="K2022" s="11" t="n">
        <x:v>10</x:v>
      </x:c>
      <x:c r="L2022" s="11" t="n">
        <x:v>1</x:v>
      </x:c>
      <x:c r="M2022" s="9" t="n">
        <x:f>ROUND(H2022*(1-I2022),2)</x:f>
        <x:v>18810000</x:v>
      </x:c>
      <x:c r="N2022" s="4" t="str">
        <x:v>Sales head</x:v>
      </x:c>
      <x:c r="O2022" s="4" t="str">
        <x:v>BOOK-02021</x:v>
      </x:c>
      <x:c r="P2022" s="9" t="n">
        <x:v>18810000</x:v>
      </x:c>
      <x:c r="Q2022" s="11" t="n">
        <x:v>0</x:v>
      </x:c>
      <x:c r="R2022" s="8" t="n">
        <x:v>45477</x:v>
      </x:c>
      <x:c r="S2022" s="4" t="str">
        <x:v>Retained</x:v>
      </x:c>
      <x:c r="T2022" s="10" t="n">
        <x:v>0.310195</x:v>
      </x:c>
      <x:c r="U2022" s="4" t="str">
        <x:v>Train</x:v>
      </x:c>
    </x:row>
    <x:row r="2023" ht="34" customHeight="1">
      <x:c r="A2023" s="4" t="str">
        <x:v>RS-02022</x:v>
      </x:c>
      <x:c r="B2023" s="8" t="n">
        <x:v>45418</x:v>
      </x:c>
      <x:c r="C2023" s="4" t="str">
        <x:v>PRJ-002</x:v>
      </x:c>
      <x:c r="D2023" s="4" t="str">
        <x:v>Office</x:v>
      </x:c>
      <x:c r="E2023" s="4" t="str">
        <x:v>Enquiry</x:v>
      </x:c>
      <x:c r="F2023" s="4" t="str">
        <x:v>CUS-02022</x:v>
      </x:c>
      <x:c r="G2023" s="4" t="str">
        <x:v>UNIT-02022</x:v>
      </x:c>
      <x:c r="H2023" s="9" t="n">
        <x:v>17800000</x:v>
      </x:c>
      <x:c r="I2023" s="10" t="n">
        <x:v>0.01</x:v>
      </x:c>
      <x:c r="J2023" s="11" t="n">
        <x:v>9</x:v>
      </x:c>
      <x:c r="K2023" s="11" t="n">
        <x:v>6</x:v>
      </x:c>
      <x:c r="L2023" s="11" t="n">
        <x:v>1</x:v>
      </x:c>
      <x:c r="M2023" s="9" t="n">
        <x:f>ROUND(H2023*(1-I2023),2)</x:f>
        <x:v>17622000</x:v>
      </x:c>
      <x:c r="N2023" s="4" t="str">
        <x:v>Sales manager</x:v>
      </x:c>
      <x:c r="O2023" s="4"/>
      <x:c r="P2023" s="9" t="n">
        <x:v>0</x:v>
      </x:c>
      <x:c r="Q2023" s="11" t="n">
        <x:v>1</x:v>
      </x:c>
      <x:c r="R2023" s="8" t="n">
        <x:v>45478</x:v>
      </x:c>
      <x:c r="S2023" s="4" t="str">
        <x:v>Lost / cancelled</x:v>
      </x:c>
      <x:c r="T2023" s="10" t="n">
        <x:v>0.254545</x:v>
      </x:c>
      <x:c r="U2023" s="4" t="str">
        <x:v>Train</x:v>
      </x:c>
    </x:row>
    <x:row r="2024" ht="34" customHeight="1">
      <x:c r="A2024" s="4" t="str">
        <x:v>RS-02023</x:v>
      </x:c>
      <x:c r="B2024" s="8" t="n">
        <x:v>45419</x:v>
      </x:c>
      <x:c r="C2024" s="4" t="str">
        <x:v>PRJ-003</x:v>
      </x:c>
      <x:c r="D2024" s="4" t="str">
        <x:v>Office</x:v>
      </x:c>
      <x:c r="E2024" s="4" t="str">
        <x:v>Reserved</x:v>
      </x:c>
      <x:c r="F2024" s="4" t="str">
        <x:v>CUS-02023</x:v>
      </x:c>
      <x:c r="G2024" s="4" t="str">
        <x:v>UNIT-02023</x:v>
      </x:c>
      <x:c r="H2024" s="9" t="n">
        <x:v>11700000</x:v>
      </x:c>
      <x:c r="I2024" s="10" t="n">
        <x:v>0.07</x:v>
      </x:c>
      <x:c r="J2024" s="11" t="n">
        <x:v>0</x:v>
      </x:c>
      <x:c r="K2024" s="11" t="n">
        <x:v>8</x:v>
      </x:c>
      <x:c r="L2024" s="11" t="n">
        <x:v>0</x:v>
      </x:c>
      <x:c r="M2024" s="9" t="n">
        <x:f>ROUND(H2024*(1-I2024),2)</x:f>
        <x:v>10881000</x:v>
      </x:c>
      <x:c r="N2024" s="4" t="str">
        <x:v>Sales manager</x:v>
      </x:c>
      <x:c r="O2024" s="4"/>
      <x:c r="P2024" s="9" t="n">
        <x:v>0</x:v>
      </x:c>
      <x:c r="Q2024" s="11" t="n">
        <x:v>0</x:v>
      </x:c>
      <x:c r="R2024" s="8" t="n">
        <x:v>45479</x:v>
      </x:c>
      <x:c r="S2024" s="4" t="str">
        <x:v>Retained</x:v>
      </x:c>
      <x:c r="T2024" s="10" t="n">
        <x:v>0.204152</x:v>
      </x:c>
      <x:c r="U2024" s="4" t="str">
        <x:v>Train</x:v>
      </x:c>
    </x:row>
    <x:row r="2025" ht="34" customHeight="1">
      <x:c r="A2025" s="4" t="str">
        <x:v>RS-02024</x:v>
      </x:c>
      <x:c r="B2025" s="8" t="n">
        <x:v>45420</x:v>
      </x:c>
      <x:c r="C2025" s="4" t="str">
        <x:v>PRJ-004</x:v>
      </x:c>
      <x:c r="D2025" s="4" t="str">
        <x:v>Office</x:v>
      </x:c>
      <x:c r="E2025" s="4" t="str">
        <x:v>Handed over</x:v>
      </x:c>
      <x:c r="F2025" s="4" t="str">
        <x:v>CUS-02024</x:v>
      </x:c>
      <x:c r="G2025" s="4" t="str">
        <x:v>UNIT-02024</x:v>
      </x:c>
      <x:c r="H2025" s="9" t="n">
        <x:v>11100000</x:v>
      </x:c>
      <x:c r="I2025" s="10" t="n">
        <x:v>0.07</x:v>
      </x:c>
      <x:c r="J2025" s="11" t="n">
        <x:v>11</x:v>
      </x:c>
      <x:c r="K2025" s="11" t="n">
        <x:v>6</x:v>
      </x:c>
      <x:c r="L2025" s="11" t="n">
        <x:v>1</x:v>
      </x:c>
      <x:c r="M2025" s="9" t="n">
        <x:f>ROUND(H2025*(1-I2025),2)</x:f>
        <x:v>10323000</x:v>
      </x:c>
      <x:c r="N2025" s="4" t="str">
        <x:v>Sales manager</x:v>
      </x:c>
      <x:c r="O2025" s="4" t="str">
        <x:v>BOOK-02024</x:v>
      </x:c>
      <x:c r="P2025" s="9" t="n">
        <x:v>5161500</x:v>
      </x:c>
      <x:c r="Q2025" s="11" t="n">
        <x:v>0</x:v>
      </x:c>
      <x:c r="R2025" s="8" t="n">
        <x:v>45480</x:v>
      </x:c>
      <x:c r="S2025" s="4" t="str">
        <x:v>Retained</x:v>
      </x:c>
      <x:c r="T2025" s="10" t="n">
        <x:v>0.351536</x:v>
      </x:c>
      <x:c r="U2025" s="4" t="str">
        <x:v>Train</x:v>
      </x:c>
    </x:row>
    <x:row r="2026" ht="34" customHeight="1">
      <x:c r="A2026" s="4" t="str">
        <x:v>RS-02025</x:v>
      </x:c>
      <x:c r="B2026" s="8" t="n">
        <x:v>45421</x:v>
      </x:c>
      <x:c r="C2026" s="4" t="str">
        <x:v>PRJ-005</x:v>
      </x:c>
      <x:c r="D2026" s="4" t="str">
        <x:v>Apartment</x:v>
      </x:c>
      <x:c r="E2026" s="4" t="str">
        <x:v>Agreement signed</x:v>
      </x:c>
      <x:c r="F2026" s="4" t="str">
        <x:v>CUS-02025</x:v>
      </x:c>
      <x:c r="G2026" s="4" t="str">
        <x:v>UNIT-02025</x:v>
      </x:c>
      <x:c r="H2026" s="9" t="n">
        <x:v>23100000</x:v>
      </x:c>
      <x:c r="I2026" s="10" t="n">
        <x:v>0.12</x:v>
      </x:c>
      <x:c r="J2026" s="11" t="n">
        <x:v>5</x:v>
      </x:c>
      <x:c r="K2026" s="11" t="n">
        <x:v>0</x:v>
      </x:c>
      <x:c r="L2026" s="11" t="n">
        <x:v>0</x:v>
      </x:c>
      <x:c r="M2026" s="9" t="n">
        <x:f>ROUND(H2026*(1-I2026),2)</x:f>
        <x:v>20328000</x:v>
      </x:c>
      <x:c r="N2026" s="4" t="str">
        <x:v>Sales head</x:v>
      </x:c>
      <x:c r="O2026" s="4" t="str">
        <x:v>BOOK-02025</x:v>
      </x:c>
      <x:c r="P2026" s="9" t="n">
        <x:v>20328000</x:v>
      </x:c>
      <x:c r="Q2026" s="11" t="n">
        <x:v>0</x:v>
      </x:c>
      <x:c r="R2026" s="8" t="n">
        <x:v>45481</x:v>
      </x:c>
      <x:c r="S2026" s="4" t="str">
        <x:v>Retained</x:v>
      </x:c>
      <x:c r="T2026" s="10" t="n">
        <x:v>0.226277</x:v>
      </x:c>
      <x:c r="U2026" s="4" t="str">
        <x:v>Train</x:v>
      </x:c>
    </x:row>
    <x:row r="2027" ht="34" customHeight="1">
      <x:c r="A2027" s="4" t="str">
        <x:v>RS-02026</x:v>
      </x:c>
      <x:c r="B2027" s="8" t="n">
        <x:v>45422</x:v>
      </x:c>
      <x:c r="C2027" s="4" t="str">
        <x:v>PRJ-006</x:v>
      </x:c>
      <x:c r="D2027" s="4" t="str">
        <x:v>Villa</x:v>
      </x:c>
      <x:c r="E2027" s="4" t="str">
        <x:v>Enquiry</x:v>
      </x:c>
      <x:c r="F2027" s="4" t="str">
        <x:v>CUS-02026</x:v>
      </x:c>
      <x:c r="G2027" s="4" t="str">
        <x:v>UNIT-02026</x:v>
      </x:c>
      <x:c r="H2027" s="9" t="n">
        <x:v>15600000</x:v>
      </x:c>
      <x:c r="I2027" s="10" t="n">
        <x:v>0.09</x:v>
      </x:c>
      <x:c r="J2027" s="11" t="n">
        <x:v>4</x:v>
      </x:c>
      <x:c r="K2027" s="11" t="n">
        <x:v>9</x:v>
      </x:c>
      <x:c r="L2027" s="11" t="n">
        <x:v>0</x:v>
      </x:c>
      <x:c r="M2027" s="9" t="n">
        <x:f>ROUND(H2027*(1-I2027),2)</x:f>
        <x:v>14196000</x:v>
      </x:c>
      <x:c r="N2027" s="4" t="str">
        <x:v>Sales head</x:v>
      </x:c>
      <x:c r="O2027" s="4"/>
      <x:c r="P2027" s="9" t="n">
        <x:v>0</x:v>
      </x:c>
      <x:c r="Q2027" s="11" t="n">
        <x:v>0</x:v>
      </x:c>
      <x:c r="R2027" s="8" t="n">
        <x:v>45482</x:v>
      </x:c>
      <x:c r="S2027" s="4" t="str">
        <x:v>Retained</x:v>
      </x:c>
      <x:c r="T2027" s="10" t="n">
        <x:v>0.226277</x:v>
      </x:c>
      <x:c r="U2027" s="4" t="str">
        <x:v>Train</x:v>
      </x:c>
    </x:row>
    <x:row r="2028" ht="34" customHeight="1">
      <x:c r="A2028" s="4" t="str">
        <x:v>RS-02027</x:v>
      </x:c>
      <x:c r="B2028" s="8" t="n">
        <x:v>45423</x:v>
      </x:c>
      <x:c r="C2028" s="4" t="str">
        <x:v>PRJ-007</x:v>
      </x:c>
      <x:c r="D2028" s="4" t="str">
        <x:v>Office</x:v>
      </x:c>
      <x:c r="E2028" s="4" t="str">
        <x:v>Agreement signed</x:v>
      </x:c>
      <x:c r="F2028" s="4" t="str">
        <x:v>CUS-02027</x:v>
      </x:c>
      <x:c r="G2028" s="4" t="str">
        <x:v>UNIT-02027</x:v>
      </x:c>
      <x:c r="H2028" s="9" t="n">
        <x:v>10600000</x:v>
      </x:c>
      <x:c r="I2028" s="10" t="n">
        <x:v>0.06</x:v>
      </x:c>
      <x:c r="J2028" s="11" t="n">
        <x:v>1</x:v>
      </x:c>
      <x:c r="K2028" s="11" t="n">
        <x:v>1</x:v>
      </x:c>
      <x:c r="L2028" s="11" t="n">
        <x:v>0</x:v>
      </x:c>
      <x:c r="M2028" s="9" t="n">
        <x:f>ROUND(H2028*(1-I2028),2)</x:f>
        <x:v>9964000</x:v>
      </x:c>
      <x:c r="N2028" s="4" t="str">
        <x:v>Sales manager</x:v>
      </x:c>
      <x:c r="O2028" s="4" t="str">
        <x:v>BOOK-02027</x:v>
      </x:c>
      <x:c r="P2028" s="9" t="n">
        <x:v>996400</x:v>
      </x:c>
      <x:c r="Q2028" s="11" t="n">
        <x:v>0</x:v>
      </x:c>
      <x:c r="R2028" s="8" t="n">
        <x:v>45483</x:v>
      </x:c>
      <x:c r="S2028" s="4" t="str">
        <x:v>Retained</x:v>
      </x:c>
      <x:c r="T2028" s="10" t="n">
        <x:v>0.204152</x:v>
      </x:c>
      <x:c r="U2028" s="4" t="str">
        <x:v>Train</x:v>
      </x:c>
    </x:row>
    <x:row r="2029" ht="34" customHeight="1">
      <x:c r="A2029" s="4" t="str">
        <x:v>RS-02028</x:v>
      </x:c>
      <x:c r="B2029" s="8" t="n">
        <x:v>45424</x:v>
      </x:c>
      <x:c r="C2029" s="4" t="str">
        <x:v>PRJ-008</x:v>
      </x:c>
      <x:c r="D2029" s="4" t="str">
        <x:v>Apartment</x:v>
      </x:c>
      <x:c r="E2029" s="4" t="str">
        <x:v>Enquiry</x:v>
      </x:c>
      <x:c r="F2029" s="4" t="str">
        <x:v>CUS-02028</x:v>
      </x:c>
      <x:c r="G2029" s="4" t="str">
        <x:v>UNIT-02028</x:v>
      </x:c>
      <x:c r="H2029" s="9" t="n">
        <x:v>14300000</x:v>
      </x:c>
      <x:c r="I2029" s="10" t="n">
        <x:v>0.11</x:v>
      </x:c>
      <x:c r="J2029" s="11" t="n">
        <x:v>2</x:v>
      </x:c>
      <x:c r="K2029" s="11" t="n">
        <x:v>9</x:v>
      </x:c>
      <x:c r="L2029" s="11" t="n">
        <x:v>0</x:v>
      </x:c>
      <x:c r="M2029" s="9" t="n">
        <x:f>ROUND(H2029*(1-I2029),2)</x:f>
        <x:v>12727000</x:v>
      </x:c>
      <x:c r="N2029" s="4" t="str">
        <x:v>Sales head</x:v>
      </x:c>
      <x:c r="O2029" s="4"/>
      <x:c r="P2029" s="9" t="n">
        <x:v>0</x:v>
      </x:c>
      <x:c r="Q2029" s="11" t="n">
        <x:v>0</x:v>
      </x:c>
      <x:c r="R2029" s="8" t="n">
        <x:v>45484</x:v>
      </x:c>
      <x:c r="S2029" s="4" t="str">
        <x:v>Retained</x:v>
      </x:c>
      <x:c r="T2029" s="10" t="n">
        <x:v>0.145833</x:v>
      </x:c>
      <x:c r="U2029" s="4" t="str">
        <x:v>Train</x:v>
      </x:c>
    </x:row>
    <x:row r="2030" ht="34" customHeight="1">
      <x:c r="A2030" s="4" t="str">
        <x:v>RS-02029</x:v>
      </x:c>
      <x:c r="B2030" s="8" t="n">
        <x:v>45425</x:v>
      </x:c>
      <x:c r="C2030" s="4" t="str">
        <x:v>PRJ-009</x:v>
      </x:c>
      <x:c r="D2030" s="4" t="str">
        <x:v>Apartment</x:v>
      </x:c>
      <x:c r="E2030" s="4" t="str">
        <x:v>Enquiry</x:v>
      </x:c>
      <x:c r="F2030" s="4" t="str">
        <x:v>CUS-02029</x:v>
      </x:c>
      <x:c r="G2030" s="4" t="str">
        <x:v>UNIT-02029</x:v>
      </x:c>
      <x:c r="H2030" s="9" t="n">
        <x:v>4000000</x:v>
      </x:c>
      <x:c r="I2030" s="10" t="n">
        <x:v>0.06</x:v>
      </x:c>
      <x:c r="J2030" s="11" t="n">
        <x:v>8</x:v>
      </x:c>
      <x:c r="K2030" s="11" t="n">
        <x:v>0</x:v>
      </x:c>
      <x:c r="L2030" s="11" t="n">
        <x:v>1</x:v>
      </x:c>
      <x:c r="M2030" s="9" t="n">
        <x:f>ROUND(H2030*(1-I2030),2)</x:f>
        <x:v>3760000</x:v>
      </x:c>
      <x:c r="N2030" s="4" t="str">
        <x:v>Sales manager</x:v>
      </x:c>
      <x:c r="O2030" s="4"/>
      <x:c r="P2030" s="9" t="n">
        <x:v>0</x:v>
      </x:c>
      <x:c r="Q2030" s="11" t="n">
        <x:v>1</x:v>
      </x:c>
      <x:c r="R2030" s="8" t="n">
        <x:v>45485</x:v>
      </x:c>
      <x:c r="S2030" s="4" t="str">
        <x:v>Lost / cancelled</x:v>
      </x:c>
      <x:c r="T2030" s="10" t="n">
        <x:v>0.310195</x:v>
      </x:c>
      <x:c r="U2030" s="4" t="str">
        <x:v>Train</x:v>
      </x:c>
    </x:row>
    <x:row r="2031" ht="34" customHeight="1">
      <x:c r="A2031" s="4" t="str">
        <x:v>RS-02030</x:v>
      </x:c>
      <x:c r="B2031" s="8" t="n">
        <x:v>45426</x:v>
      </x:c>
      <x:c r="C2031" s="4" t="str">
        <x:v>PRJ-010</x:v>
      </x:c>
      <x:c r="D2031" s="4" t="str">
        <x:v>Apartment</x:v>
      </x:c>
      <x:c r="E2031" s="4" t="str">
        <x:v>Booked</x:v>
      </x:c>
      <x:c r="F2031" s="4" t="str">
        <x:v>CUS-02030</x:v>
      </x:c>
      <x:c r="G2031" s="4" t="str">
        <x:v>UNIT-02030</x:v>
      </x:c>
      <x:c r="H2031" s="9" t="n">
        <x:v>23200000</x:v>
      </x:c>
      <x:c r="I2031" s="10" t="n">
        <x:v>0.07</x:v>
      </x:c>
      <x:c r="J2031" s="11" t="n">
        <x:v>12</x:v>
      </x:c>
      <x:c r="K2031" s="11" t="n">
        <x:v>8</x:v>
      </x:c>
      <x:c r="L2031" s="11" t="n">
        <x:v>1</x:v>
      </x:c>
      <x:c r="M2031" s="9" t="n">
        <x:f>ROUND(H2031*(1-I2031),2)</x:f>
        <x:v>21576000</x:v>
      </x:c>
      <x:c r="N2031" s="4" t="str">
        <x:v>Sales manager</x:v>
      </x:c>
      <x:c r="O2031" s="4" t="str">
        <x:v>BOOK-02030</x:v>
      </x:c>
      <x:c r="P2031" s="9" t="n">
        <x:v>21576000</x:v>
      </x:c>
      <x:c r="Q2031" s="11" t="n">
        <x:v>0</x:v>
      </x:c>
      <x:c r="R2031" s="8" t="n">
        <x:v>45486</x:v>
      </x:c>
      <x:c r="S2031" s="4" t="str">
        <x:v>Retained</x:v>
      </x:c>
      <x:c r="T2031" s="10" t="n">
        <x:v>0.351536</x:v>
      </x:c>
      <x:c r="U2031" s="4" t="str">
        <x:v>Train</x:v>
      </x:c>
    </x:row>
    <x:row r="2032" ht="34" customHeight="1">
      <x:c r="A2032" s="4" t="str">
        <x:v>RS-02031</x:v>
      </x:c>
      <x:c r="B2032" s="8" t="n">
        <x:v>45427</x:v>
      </x:c>
      <x:c r="C2032" s="4" t="str">
        <x:v>PRJ-011</x:v>
      </x:c>
      <x:c r="D2032" s="4" t="str">
        <x:v>Apartment</x:v>
      </x:c>
      <x:c r="E2032" s="4" t="str">
        <x:v>Booked</x:v>
      </x:c>
      <x:c r="F2032" s="4" t="str">
        <x:v>CUS-02031</x:v>
      </x:c>
      <x:c r="G2032" s="4" t="str">
        <x:v>UNIT-02031</x:v>
      </x:c>
      <x:c r="H2032" s="9" t="n">
        <x:v>21400000</x:v>
      </x:c>
      <x:c r="I2032" s="10" t="n">
        <x:v>0.03</x:v>
      </x:c>
      <x:c r="J2032" s="11" t="n">
        <x:v>4</x:v>
      </x:c>
      <x:c r="K2032" s="11" t="n">
        <x:v>5</x:v>
      </x:c>
      <x:c r="L2032" s="11" t="n">
        <x:v>0</x:v>
      </x:c>
      <x:c r="M2032" s="9" t="n">
        <x:f>ROUND(H2032*(1-I2032),2)</x:f>
        <x:v>20758000</x:v>
      </x:c>
      <x:c r="N2032" s="4" t="str">
        <x:v>Sales manager</x:v>
      </x:c>
      <x:c r="O2032" s="4" t="str">
        <x:v>BOOK-02031</x:v>
      </x:c>
      <x:c r="P2032" s="9" t="n">
        <x:v>5189500</x:v>
      </x:c>
      <x:c r="Q2032" s="11" t="n">
        <x:v>0</x:v>
      </x:c>
      <x:c r="R2032" s="8" t="n">
        <x:v>45487</x:v>
      </x:c>
      <x:c r="S2032" s="4" t="str">
        <x:v>Retained</x:v>
      </x:c>
      <x:c r="T2032" s="10" t="n">
        <x:v>0.145299</x:v>
      </x:c>
      <x:c r="U2032" s="4" t="str">
        <x:v>Train</x:v>
      </x:c>
    </x:row>
    <x:row r="2033" ht="34" customHeight="1">
      <x:c r="A2033" s="4" t="str">
        <x:v>RS-02032</x:v>
      </x:c>
      <x:c r="B2033" s="8" t="n">
        <x:v>45428</x:v>
      </x:c>
      <x:c r="C2033" s="4" t="str">
        <x:v>PRJ-012</x:v>
      </x:c>
      <x:c r="D2033" s="4" t="str">
        <x:v>Villa</x:v>
      </x:c>
      <x:c r="E2033" s="4" t="str">
        <x:v>Booked</x:v>
      </x:c>
      <x:c r="F2033" s="4" t="str">
        <x:v>CUS-02032</x:v>
      </x:c>
      <x:c r="G2033" s="4" t="str">
        <x:v>UNIT-02032</x:v>
      </x:c>
      <x:c r="H2033" s="9" t="n">
        <x:v>23900000</x:v>
      </x:c>
      <x:c r="I2033" s="10" t="n">
        <x:v>0.11</x:v>
      </x:c>
      <x:c r="J2033" s="11" t="n">
        <x:v>1</x:v>
      </x:c>
      <x:c r="K2033" s="11" t="n">
        <x:v>4</x:v>
      </x:c>
      <x:c r="L2033" s="11" t="n">
        <x:v>0</x:v>
      </x:c>
      <x:c r="M2033" s="9" t="n">
        <x:f>ROUND(H2033*(1-I2033),2)</x:f>
        <x:v>21271000</x:v>
      </x:c>
      <x:c r="N2033" s="4" t="str">
        <x:v>Sales head</x:v>
      </x:c>
      <x:c r="O2033" s="4" t="str">
        <x:v>BOOK-02032</x:v>
      </x:c>
      <x:c r="P2033" s="9" t="n">
        <x:v>5317750</x:v>
      </x:c>
      <x:c r="Q2033" s="11" t="n">
        <x:v>0</x:v>
      </x:c>
      <x:c r="R2033" s="8" t="n">
        <x:v>45488</x:v>
      </x:c>
      <x:c r="S2033" s="4" t="str">
        <x:v>Retained</x:v>
      </x:c>
      <x:c r="T2033" s="10" t="n">
        <x:v>0.145833</x:v>
      </x:c>
      <x:c r="U2033" s="4" t="str">
        <x:v>Train</x:v>
      </x:c>
    </x:row>
    <x:row r="2034" ht="34" customHeight="1">
      <x:c r="A2034" s="4" t="str">
        <x:v>RS-02033</x:v>
      </x:c>
      <x:c r="B2034" s="8" t="n">
        <x:v>45429</x:v>
      </x:c>
      <x:c r="C2034" s="4" t="str">
        <x:v>PRJ-013</x:v>
      </x:c>
      <x:c r="D2034" s="4" t="str">
        <x:v>Villa</x:v>
      </x:c>
      <x:c r="E2034" s="4" t="str">
        <x:v>Handed over</x:v>
      </x:c>
      <x:c r="F2034" s="4" t="str">
        <x:v>CUS-02033</x:v>
      </x:c>
      <x:c r="G2034" s="4" t="str">
        <x:v>UNIT-02033</x:v>
      </x:c>
      <x:c r="H2034" s="9" t="n">
        <x:v>18200000</x:v>
      </x:c>
      <x:c r="I2034" s="10" t="n">
        <x:v>0.02</x:v>
      </x:c>
      <x:c r="J2034" s="11" t="n">
        <x:v>2</x:v>
      </x:c>
      <x:c r="K2034" s="11" t="n">
        <x:v>10</x:v>
      </x:c>
      <x:c r="L2034" s="11" t="n">
        <x:v>0</x:v>
      </x:c>
      <x:c r="M2034" s="9" t="n">
        <x:f>ROUND(H2034*(1-I2034),2)</x:f>
        <x:v>17836000</x:v>
      </x:c>
      <x:c r="N2034" s="4" t="str">
        <x:v>Sales manager</x:v>
      </x:c>
      <x:c r="O2034" s="4" t="str">
        <x:v>BOOK-02033</x:v>
      </x:c>
      <x:c r="P2034" s="9" t="n">
        <x:v>4459000</x:v>
      </x:c>
      <x:c r="Q2034" s="11" t="n">
        <x:v>0</x:v>
      </x:c>
      <x:c r="R2034" s="8" t="n">
        <x:v>45489</x:v>
      </x:c>
      <x:c r="S2034" s="4" t="str">
        <x:v>Retained</x:v>
      </x:c>
      <x:c r="T2034" s="10" t="n">
        <x:v>0.171717</x:v>
      </x:c>
      <x:c r="U2034" s="4" t="str">
        <x:v>Train</x:v>
      </x:c>
    </x:row>
    <x:row r="2035" ht="34" customHeight="1">
      <x:c r="A2035" s="4" t="str">
        <x:v>RS-02034</x:v>
      </x:c>
      <x:c r="B2035" s="8" t="n">
        <x:v>45430</x:v>
      </x:c>
      <x:c r="C2035" s="4" t="str">
        <x:v>PRJ-014</x:v>
      </x:c>
      <x:c r="D2035" s="4" t="str">
        <x:v>Apartment</x:v>
      </x:c>
      <x:c r="E2035" s="4" t="str">
        <x:v>Agreement signed</x:v>
      </x:c>
      <x:c r="F2035" s="4" t="str">
        <x:v>CUS-02034</x:v>
      </x:c>
      <x:c r="G2035" s="4" t="str">
        <x:v>UNIT-02034</x:v>
      </x:c>
      <x:c r="H2035" s="9" t="n">
        <x:v>10200000</x:v>
      </x:c>
      <x:c r="I2035" s="10" t="n">
        <x:v>0.07</x:v>
      </x:c>
      <x:c r="J2035" s="11" t="n">
        <x:v>12</x:v>
      </x:c>
      <x:c r="K2035" s="11" t="n">
        <x:v>8</x:v>
      </x:c>
      <x:c r="L2035" s="11" t="n">
        <x:v>1</x:v>
      </x:c>
      <x:c r="M2035" s="9" t="n">
        <x:f>ROUND(H2035*(1-I2035),2)</x:f>
        <x:v>9486000</x:v>
      </x:c>
      <x:c r="N2035" s="4" t="str">
        <x:v>Sales manager</x:v>
      </x:c>
      <x:c r="O2035" s="4" t="str">
        <x:v>BOOK-02034</x:v>
      </x:c>
      <x:c r="P2035" s="9" t="n">
        <x:v>4743000</x:v>
      </x:c>
      <x:c r="Q2035" s="11" t="n">
        <x:v>0</x:v>
      </x:c>
      <x:c r="R2035" s="8" t="n">
        <x:v>45490</x:v>
      </x:c>
      <x:c r="S2035" s="4" t="str">
        <x:v>Retained</x:v>
      </x:c>
      <x:c r="T2035" s="10" t="n">
        <x:v>0.351536</x:v>
      </x:c>
      <x:c r="U2035" s="4" t="str">
        <x:v>Train</x:v>
      </x:c>
    </x:row>
    <x:row r="2036" ht="34" customHeight="1">
      <x:c r="A2036" s="4" t="str">
        <x:v>RS-02035</x:v>
      </x:c>
      <x:c r="B2036" s="8" t="n">
        <x:v>45431</x:v>
      </x:c>
      <x:c r="C2036" s="4" t="str">
        <x:v>PRJ-015</x:v>
      </x:c>
      <x:c r="D2036" s="4" t="str">
        <x:v>Apartment</x:v>
      </x:c>
      <x:c r="E2036" s="4" t="str">
        <x:v>Reserved</x:v>
      </x:c>
      <x:c r="F2036" s="4" t="str">
        <x:v>CUS-02035</x:v>
      </x:c>
      <x:c r="G2036" s="4" t="str">
        <x:v>UNIT-02035</x:v>
      </x:c>
      <x:c r="H2036" s="9" t="n">
        <x:v>18000000</x:v>
      </x:c>
      <x:c r="I2036" s="10" t="n">
        <x:v>0.07</x:v>
      </x:c>
      <x:c r="J2036" s="11" t="n">
        <x:v>1</x:v>
      </x:c>
      <x:c r="K2036" s="11" t="n">
        <x:v>9</x:v>
      </x:c>
      <x:c r="L2036" s="11" t="n">
        <x:v>1</x:v>
      </x:c>
      <x:c r="M2036" s="9" t="n">
        <x:f>ROUND(H2036*(1-I2036),2)</x:f>
        <x:v>16740000</x:v>
      </x:c>
      <x:c r="N2036" s="4" t="str">
        <x:v>Sales manager</x:v>
      </x:c>
      <x:c r="O2036" s="4"/>
      <x:c r="P2036" s="9" t="n">
        <x:v>0</x:v>
      </x:c>
      <x:c r="Q2036" s="11" t="n">
        <x:v>0</x:v>
      </x:c>
      <x:c r="R2036" s="8" t="n">
        <x:v>45491</x:v>
      </x:c>
      <x:c r="S2036" s="4" t="str">
        <x:v>Retained</x:v>
      </x:c>
      <x:c r="T2036" s="10" t="n">
        <x:v>0.204152</x:v>
      </x:c>
      <x:c r="U2036" s="4" t="str">
        <x:v>Train</x:v>
      </x:c>
    </x:row>
    <x:row r="2037" ht="34" customHeight="1">
      <x:c r="A2037" s="4" t="str">
        <x:v>RS-02036</x:v>
      </x:c>
      <x:c r="B2037" s="8" t="n">
        <x:v>45432</x:v>
      </x:c>
      <x:c r="C2037" s="4" t="str">
        <x:v>PRJ-016</x:v>
      </x:c>
      <x:c r="D2037" s="4" t="str">
        <x:v>Retail</x:v>
      </x:c>
      <x:c r="E2037" s="4" t="str">
        <x:v>Enquiry</x:v>
      </x:c>
      <x:c r="F2037" s="4" t="str">
        <x:v>CUS-02036</x:v>
      </x:c>
      <x:c r="G2037" s="4" t="str">
        <x:v>UNIT-02036</x:v>
      </x:c>
      <x:c r="H2037" s="9" t="n">
        <x:v>15300000</x:v>
      </x:c>
      <x:c r="I2037" s="10" t="n">
        <x:v>0.03</x:v>
      </x:c>
      <x:c r="J2037" s="11" t="n">
        <x:v>7</x:v>
      </x:c>
      <x:c r="K2037" s="11" t="n">
        <x:v>3</x:v>
      </x:c>
      <x:c r="L2037" s="11" t="n">
        <x:v>0</x:v>
      </x:c>
      <x:c r="M2037" s="9" t="n">
        <x:f>ROUND(H2037*(1-I2037),2)</x:f>
        <x:v>14841000</x:v>
      </x:c>
      <x:c r="N2037" s="4" t="str">
        <x:v>Sales manager</x:v>
      </x:c>
      <x:c r="O2037" s="4"/>
      <x:c r="P2037" s="9" t="n">
        <x:v>0</x:v>
      </x:c>
      <x:c r="Q2037" s="11" t="n">
        <x:v>0</x:v>
      </x:c>
      <x:c r="R2037" s="8" t="n">
        <x:v>45492</x:v>
      </x:c>
      <x:c r="S2037" s="4" t="str">
        <x:v>Retained</x:v>
      </x:c>
      <x:c r="T2037" s="10" t="n">
        <x:v>0.298969</x:v>
      </x:c>
      <x:c r="U2037" s="4" t="str">
        <x:v>Train</x:v>
      </x:c>
    </x:row>
    <x:row r="2038" ht="34" customHeight="1">
      <x:c r="A2038" s="4" t="str">
        <x:v>RS-02037</x:v>
      </x:c>
      <x:c r="B2038" s="8" t="n">
        <x:v>45433</x:v>
      </x:c>
      <x:c r="C2038" s="4" t="str">
        <x:v>PRJ-017</x:v>
      </x:c>
      <x:c r="D2038" s="4" t="str">
        <x:v>Retail</x:v>
      </x:c>
      <x:c r="E2038" s="4" t="str">
        <x:v>Reserved</x:v>
      </x:c>
      <x:c r="F2038" s="4" t="str">
        <x:v>CUS-02037</x:v>
      </x:c>
      <x:c r="G2038" s="4" t="str">
        <x:v>UNIT-02037</x:v>
      </x:c>
      <x:c r="H2038" s="9" t="n">
        <x:v>12400000</x:v>
      </x:c>
      <x:c r="I2038" s="10" t="n">
        <x:v>0.12</x:v>
      </x:c>
      <x:c r="J2038" s="11" t="n">
        <x:v>6</x:v>
      </x:c>
      <x:c r="K2038" s="11" t="n">
        <x:v>0</x:v>
      </x:c>
      <x:c r="L2038" s="11" t="n">
        <x:v>0</x:v>
      </x:c>
      <x:c r="M2038" s="9" t="n">
        <x:f>ROUND(H2038*(1-I2038),2)</x:f>
        <x:v>10912000</x:v>
      </x:c>
      <x:c r="N2038" s="4" t="str">
        <x:v>Sales head</x:v>
      </x:c>
      <x:c r="O2038" s="4"/>
      <x:c r="P2038" s="9" t="n">
        <x:v>0</x:v>
      </x:c>
      <x:c r="Q2038" s="11" t="n">
        <x:v>1</x:v>
      </x:c>
      <x:c r="R2038" s="8" t="n">
        <x:v>45493</x:v>
      </x:c>
      <x:c r="S2038" s="4" t="str">
        <x:v>Lost / cancelled</x:v>
      </x:c>
      <x:c r="T2038" s="10" t="n">
        <x:v>0.226277</x:v>
      </x:c>
      <x:c r="U2038" s="4" t="str">
        <x:v>Train</x:v>
      </x:c>
    </x:row>
    <x:row r="2039" ht="34" customHeight="1">
      <x:c r="A2039" s="4" t="str">
        <x:v>RS-02038</x:v>
      </x:c>
      <x:c r="B2039" s="8" t="n">
        <x:v>45434</x:v>
      </x:c>
      <x:c r="C2039" s="4" t="str">
        <x:v>PRJ-018</x:v>
      </x:c>
      <x:c r="D2039" s="4" t="str">
        <x:v>Villa</x:v>
      </x:c>
      <x:c r="E2039" s="4" t="str">
        <x:v>Booked</x:v>
      </x:c>
      <x:c r="F2039" s="4" t="str">
        <x:v>CUS-02038</x:v>
      </x:c>
      <x:c r="G2039" s="4" t="str">
        <x:v>UNIT-02038</x:v>
      </x:c>
      <x:c r="H2039" s="9" t="n">
        <x:v>8600000</x:v>
      </x:c>
      <x:c r="I2039" s="10" t="n">
        <x:v>0.11</x:v>
      </x:c>
      <x:c r="J2039" s="11" t="n">
        <x:v>7</x:v>
      </x:c>
      <x:c r="K2039" s="11" t="n">
        <x:v>8</x:v>
      </x:c>
      <x:c r="L2039" s="11" t="n">
        <x:v>1</x:v>
      </x:c>
      <x:c r="M2039" s="9" t="n">
        <x:f>ROUND(H2039*(1-I2039),2)</x:f>
        <x:v>7654000</x:v>
      </x:c>
      <x:c r="N2039" s="4" t="str">
        <x:v>Sales head</x:v>
      </x:c>
      <x:c r="O2039" s="4" t="str">
        <x:v>BOOK-02038</x:v>
      </x:c>
      <x:c r="P2039" s="9" t="n">
        <x:v>765400</x:v>
      </x:c>
      <x:c r="Q2039" s="11" t="n">
        <x:v>0</x:v>
      </x:c>
      <x:c r="R2039" s="8" t="n">
        <x:v>45494</x:v>
      </x:c>
      <x:c r="S2039" s="4" t="str">
        <x:v>Retained</x:v>
      </x:c>
      <x:c r="T2039" s="10" t="n">
        <x:v>0.291946</x:v>
      </x:c>
      <x:c r="U2039" s="4" t="str">
        <x:v>Train</x:v>
      </x:c>
    </x:row>
    <x:row r="2040" ht="34" customHeight="1">
      <x:c r="A2040" s="4" t="str">
        <x:v>RS-02039</x:v>
      </x:c>
      <x:c r="B2040" s="8" t="n">
        <x:v>45435</x:v>
      </x:c>
      <x:c r="C2040" s="4" t="str">
        <x:v>PRJ-019</x:v>
      </x:c>
      <x:c r="D2040" s="4" t="str">
        <x:v>Apartment</x:v>
      </x:c>
      <x:c r="E2040" s="4" t="str">
        <x:v>Cancelled</x:v>
      </x:c>
      <x:c r="F2040" s="4" t="str">
        <x:v>CUS-02039</x:v>
      </x:c>
      <x:c r="G2040" s="4" t="str">
        <x:v>UNIT-02039</x:v>
      </x:c>
      <x:c r="H2040" s="9" t="n">
        <x:v>5400000</x:v>
      </x:c>
      <x:c r="I2040" s="10" t="n">
        <x:v>0.08</x:v>
      </x:c>
      <x:c r="J2040" s="11" t="n">
        <x:v>1</x:v>
      </x:c>
      <x:c r="K2040" s="11" t="n">
        <x:v>10</x:v>
      </x:c>
      <x:c r="L2040" s="11" t="n">
        <x:v>0</x:v>
      </x:c>
      <x:c r="M2040" s="9" t="n">
        <x:f>ROUND(H2040*(1-I2040),2)</x:f>
        <x:v>4968000</x:v>
      </x:c>
      <x:c r="N2040" s="4" t="str">
        <x:v>Sales head</x:v>
      </x:c>
      <x:c r="O2040" s="4"/>
      <x:c r="P2040" s="9" t="n">
        <x:v>0</x:v>
      </x:c>
      <x:c r="Q2040" s="11" t="n">
        <x:v>1</x:v>
      </x:c>
      <x:c r="R2040" s="8" t="n">
        <x:v>45495</x:v>
      </x:c>
      <x:c r="S2040" s="4" t="str">
        <x:v>Lost / cancelled</x:v>
      </x:c>
      <x:c r="T2040" s="10" t="n">
        <x:v>0.204152</x:v>
      </x:c>
      <x:c r="U2040" s="4" t="str">
        <x:v>Train</x:v>
      </x:c>
    </x:row>
    <x:row r="2041" ht="34" customHeight="1">
      <x:c r="A2041" s="4" t="str">
        <x:v>RS-02040</x:v>
      </x:c>
      <x:c r="B2041" s="8" t="n">
        <x:v>45436</x:v>
      </x:c>
      <x:c r="C2041" s="4" t="str">
        <x:v>PRJ-020</x:v>
      </x:c>
      <x:c r="D2041" s="4" t="str">
        <x:v>Apartment</x:v>
      </x:c>
      <x:c r="E2041" s="4" t="str">
        <x:v>Booked</x:v>
      </x:c>
      <x:c r="F2041" s="4" t="str">
        <x:v>CUS-02040</x:v>
      </x:c>
      <x:c r="G2041" s="4" t="str">
        <x:v>UNIT-02040</x:v>
      </x:c>
      <x:c r="H2041" s="9" t="n">
        <x:v>3500000</x:v>
      </x:c>
      <x:c r="I2041" s="10" t="n">
        <x:v>0.12</x:v>
      </x:c>
      <x:c r="J2041" s="11" t="n">
        <x:v>5</x:v>
      </x:c>
      <x:c r="K2041" s="11" t="n">
        <x:v>6</x:v>
      </x:c>
      <x:c r="L2041" s="11" t="n">
        <x:v>1</x:v>
      </x:c>
      <x:c r="M2041" s="9" t="n">
        <x:f>ROUND(H2041*(1-I2041),2)</x:f>
        <x:v>3080000</x:v>
      </x:c>
      <x:c r="N2041" s="4" t="str">
        <x:v>Sales head</x:v>
      </x:c>
      <x:c r="O2041" s="4" t="str">
        <x:v>BOOK-02040</x:v>
      </x:c>
      <x:c r="P2041" s="9" t="n">
        <x:v>1540000</x:v>
      </x:c>
      <x:c r="Q2041" s="11" t="n">
        <x:v>0</x:v>
      </x:c>
      <x:c r="R2041" s="8" t="n">
        <x:v>45496</x:v>
      </x:c>
      <x:c r="S2041" s="4" t="str">
        <x:v>Retained</x:v>
      </x:c>
      <x:c r="T2041" s="10" t="n">
        <x:v>0.291946</x:v>
      </x:c>
      <x:c r="U2041" s="4" t="str">
        <x:v>Train</x:v>
      </x:c>
    </x:row>
    <x:row r="2042" ht="34" customHeight="1">
      <x:c r="A2042" s="4" t="str">
        <x:v>RS-02041</x:v>
      </x:c>
      <x:c r="B2042" s="8" t="n">
        <x:v>45437</x:v>
      </x:c>
      <x:c r="C2042" s="4" t="str">
        <x:v>PRJ-001</x:v>
      </x:c>
      <x:c r="D2042" s="4" t="str">
        <x:v>Office</x:v>
      </x:c>
      <x:c r="E2042" s="4" t="str">
        <x:v>Booked</x:v>
      </x:c>
      <x:c r="F2042" s="4" t="str">
        <x:v>CUS-02041</x:v>
      </x:c>
      <x:c r="G2042" s="4" t="str">
        <x:v>UNIT-02041</x:v>
      </x:c>
      <x:c r="H2042" s="9" t="n">
        <x:v>12700000</x:v>
      </x:c>
      <x:c r="I2042" s="10" t="n">
        <x:v>0.08</x:v>
      </x:c>
      <x:c r="J2042" s="11" t="n">
        <x:v>5</x:v>
      </x:c>
      <x:c r="K2042" s="11" t="n">
        <x:v>7</x:v>
      </x:c>
      <x:c r="L2042" s="11" t="n">
        <x:v>1</x:v>
      </x:c>
      <x:c r="M2042" s="9" t="n">
        <x:f>ROUND(H2042*(1-I2042),2)</x:f>
        <x:v>11684000</x:v>
      </x:c>
      <x:c r="N2042" s="4" t="str">
        <x:v>Sales head</x:v>
      </x:c>
      <x:c r="O2042" s="4" t="str">
        <x:v>BOOK-02041</x:v>
      </x:c>
      <x:c r="P2042" s="9" t="n">
        <x:v>11684000</x:v>
      </x:c>
      <x:c r="Q2042" s="11" t="n">
        <x:v>0</x:v>
      </x:c>
      <x:c r="R2042" s="8" t="n">
        <x:v>45497</x:v>
      </x:c>
      <x:c r="S2042" s="4" t="str">
        <x:v>Retained</x:v>
      </x:c>
      <x:c r="T2042" s="10" t="n">
        <x:v>0.291946</x:v>
      </x:c>
      <x:c r="U2042" s="4" t="str">
        <x:v>Train</x:v>
      </x:c>
    </x:row>
    <x:row r="2043" ht="34" customHeight="1">
      <x:c r="A2043" s="4" t="str">
        <x:v>RS-02042</x:v>
      </x:c>
      <x:c r="B2043" s="8" t="n">
        <x:v>45438</x:v>
      </x:c>
      <x:c r="C2043" s="4" t="str">
        <x:v>PRJ-002</x:v>
      </x:c>
      <x:c r="D2043" s="4" t="str">
        <x:v>Apartment</x:v>
      </x:c>
      <x:c r="E2043" s="4" t="str">
        <x:v>Reserved</x:v>
      </x:c>
      <x:c r="F2043" s="4" t="str">
        <x:v>CUS-02042</x:v>
      </x:c>
      <x:c r="G2043" s="4" t="str">
        <x:v>UNIT-02042</x:v>
      </x:c>
      <x:c r="H2043" s="9" t="n">
        <x:v>23500000</x:v>
      </x:c>
      <x:c r="I2043" s="10" t="n">
        <x:v>0.11</x:v>
      </x:c>
      <x:c r="J2043" s="11" t="n">
        <x:v>3</x:v>
      </x:c>
      <x:c r="K2043" s="11" t="n">
        <x:v>5</x:v>
      </x:c>
      <x:c r="L2043" s="11" t="n">
        <x:v>1</x:v>
      </x:c>
      <x:c r="M2043" s="9" t="n">
        <x:f>ROUND(H2043*(1-I2043),2)</x:f>
        <x:v>20915000</x:v>
      </x:c>
      <x:c r="N2043" s="4" t="str">
        <x:v>Sales head</x:v>
      </x:c>
      <x:c r="O2043" s="4"/>
      <x:c r="P2043" s="9" t="n">
        <x:v>0</x:v>
      </x:c>
      <x:c r="Q2043" s="11" t="n">
        <x:v>1</x:v>
      </x:c>
      <x:c r="R2043" s="8" t="n">
        <x:v>45498</x:v>
      </x:c>
      <x:c r="S2043" s="4" t="str">
        <x:v>Lost / cancelled</x:v>
      </x:c>
      <x:c r="T2043" s="10" t="n">
        <x:v>0.145833</x:v>
      </x:c>
      <x:c r="U2043" s="4" t="str">
        <x:v>Train</x:v>
      </x:c>
    </x:row>
    <x:row r="2044" ht="34" customHeight="1">
      <x:c r="A2044" s="4" t="str">
        <x:v>RS-02043</x:v>
      </x:c>
      <x:c r="B2044" s="8" t="n">
        <x:v>45439</x:v>
      </x:c>
      <x:c r="C2044" s="4" t="str">
        <x:v>PRJ-003</x:v>
      </x:c>
      <x:c r="D2044" s="4" t="str">
        <x:v>Retail</x:v>
      </x:c>
      <x:c r="E2044" s="4" t="str">
        <x:v>Booked</x:v>
      </x:c>
      <x:c r="F2044" s="4" t="str">
        <x:v>CUS-02043</x:v>
      </x:c>
      <x:c r="G2044" s="4" t="str">
        <x:v>UNIT-02043</x:v>
      </x:c>
      <x:c r="H2044" s="9" t="n">
        <x:v>12000000</x:v>
      </x:c>
      <x:c r="I2044" s="10" t="n">
        <x:v>0.03</x:v>
      </x:c>
      <x:c r="J2044" s="11" t="n">
        <x:v>7</x:v>
      </x:c>
      <x:c r="K2044" s="11" t="n">
        <x:v>7</x:v>
      </x:c>
      <x:c r="L2044" s="11" t="n">
        <x:v>0</x:v>
      </x:c>
      <x:c r="M2044" s="9" t="n">
        <x:f>ROUND(H2044*(1-I2044),2)</x:f>
        <x:v>11640000</x:v>
      </x:c>
      <x:c r="N2044" s="4" t="str">
        <x:v>Sales manager</x:v>
      </x:c>
      <x:c r="O2044" s="4" t="str">
        <x:v>BOOK-02043</x:v>
      </x:c>
      <x:c r="P2044" s="9" t="n">
        <x:v>1164000</x:v>
      </x:c>
      <x:c r="Q2044" s="11" t="n">
        <x:v>0</x:v>
      </x:c>
      <x:c r="R2044" s="8" t="n">
        <x:v>45499</x:v>
      </x:c>
      <x:c r="S2044" s="4" t="str">
        <x:v>Retained</x:v>
      </x:c>
      <x:c r="T2044" s="10" t="n">
        <x:v>0.145299</x:v>
      </x:c>
      <x:c r="U2044" s="4" t="str">
        <x:v>Train</x:v>
      </x:c>
    </x:row>
    <x:row r="2045" ht="34" customHeight="1">
      <x:c r="A2045" s="4" t="str">
        <x:v>RS-02044</x:v>
      </x:c>
      <x:c r="B2045" s="8" t="n">
        <x:v>45440</x:v>
      </x:c>
      <x:c r="C2045" s="4" t="str">
        <x:v>PRJ-004</x:v>
      </x:c>
      <x:c r="D2045" s="4" t="str">
        <x:v>Apartment</x:v>
      </x:c>
      <x:c r="E2045" s="4" t="str">
        <x:v>Enquiry</x:v>
      </x:c>
      <x:c r="F2045" s="4" t="str">
        <x:v>CUS-02044</x:v>
      </x:c>
      <x:c r="G2045" s="4" t="str">
        <x:v>UNIT-02044</x:v>
      </x:c>
      <x:c r="H2045" s="9" t="n">
        <x:v>16700000</x:v>
      </x:c>
      <x:c r="I2045" s="10" t="n">
        <x:v>0.02</x:v>
      </x:c>
      <x:c r="J2045" s="11" t="n">
        <x:v>6</x:v>
      </x:c>
      <x:c r="K2045" s="11" t="n">
        <x:v>10</x:v>
      </x:c>
      <x:c r="L2045" s="11" t="n">
        <x:v>0</x:v>
      </x:c>
      <x:c r="M2045" s="9" t="n">
        <x:f>ROUND(H2045*(1-I2045),2)</x:f>
        <x:v>16366000</x:v>
      </x:c>
      <x:c r="N2045" s="4" t="str">
        <x:v>Sales manager</x:v>
      </x:c>
      <x:c r="O2045" s="4"/>
      <x:c r="P2045" s="9" t="n">
        <x:v>0</x:v>
      </x:c>
      <x:c r="Q2045" s="11" t="n">
        <x:v>1</x:v>
      </x:c>
      <x:c r="R2045" s="8" t="n">
        <x:v>45500</x:v>
      </x:c>
      <x:c r="S2045" s="4" t="str">
        <x:v>Lost / cancelled</x:v>
      </x:c>
      <x:c r="T2045" s="10" t="n">
        <x:v>0.145299</x:v>
      </x:c>
      <x:c r="U2045" s="4" t="str">
        <x:v>Train</x:v>
      </x:c>
    </x:row>
    <x:row r="2046" ht="34" customHeight="1">
      <x:c r="A2046" s="4" t="str">
        <x:v>RS-02045</x:v>
      </x:c>
      <x:c r="B2046" s="8" t="n">
        <x:v>45413</x:v>
      </x:c>
      <x:c r="C2046" s="4" t="str">
        <x:v>PRJ-005</x:v>
      </x:c>
      <x:c r="D2046" s="4" t="str">
        <x:v>Apartment</x:v>
      </x:c>
      <x:c r="E2046" s="4" t="str">
        <x:v>Reserved</x:v>
      </x:c>
      <x:c r="F2046" s="4" t="str">
        <x:v>CUS-02045</x:v>
      </x:c>
      <x:c r="G2046" s="4" t="str">
        <x:v>UNIT-02045</x:v>
      </x:c>
      <x:c r="H2046" s="9" t="n">
        <x:v>11900000</x:v>
      </x:c>
      <x:c r="I2046" s="10" t="n">
        <x:v>0.03</x:v>
      </x:c>
      <x:c r="J2046" s="11" t="n">
        <x:v>1</x:v>
      </x:c>
      <x:c r="K2046" s="11" t="n">
        <x:v>1</x:v>
      </x:c>
      <x:c r="L2046" s="11" t="n">
        <x:v>1</x:v>
      </x:c>
      <x:c r="M2046" s="9" t="n">
        <x:f>ROUND(H2046*(1-I2046),2)</x:f>
        <x:v>11543000</x:v>
      </x:c>
      <x:c r="N2046" s="4" t="str">
        <x:v>Sales manager</x:v>
      </x:c>
      <x:c r="O2046" s="4"/>
      <x:c r="P2046" s="9" t="n">
        <x:v>0</x:v>
      </x:c>
      <x:c r="Q2046" s="11" t="n">
        <x:v>0</x:v>
      </x:c>
      <x:c r="R2046" s="8" t="n">
        <x:v>45473</x:v>
      </x:c>
      <x:c r="S2046" s="4" t="str">
        <x:v>Retained</x:v>
      </x:c>
      <x:c r="T2046" s="10" t="n">
        <x:v>0.072165</x:v>
      </x:c>
      <x:c r="U2046" s="4" t="str">
        <x:v>Train</x:v>
      </x:c>
    </x:row>
    <x:row r="2047" ht="34" customHeight="1">
      <x:c r="A2047" s="4" t="str">
        <x:v>RS-02046</x:v>
      </x:c>
      <x:c r="B2047" s="8" t="n">
        <x:v>45414</x:v>
      </x:c>
      <x:c r="C2047" s="4" t="str">
        <x:v>PRJ-006</x:v>
      </x:c>
      <x:c r="D2047" s="4" t="str">
        <x:v>Apartment</x:v>
      </x:c>
      <x:c r="E2047" s="4" t="str">
        <x:v>Reserved</x:v>
      </x:c>
      <x:c r="F2047" s="4" t="str">
        <x:v>CUS-02046</x:v>
      </x:c>
      <x:c r="G2047" s="4" t="str">
        <x:v>UNIT-02046</x:v>
      </x:c>
      <x:c r="H2047" s="9" t="n">
        <x:v>3500000</x:v>
      </x:c>
      <x:c r="I2047" s="10" t="n">
        <x:v>0.06</x:v>
      </x:c>
      <x:c r="J2047" s="11" t="n">
        <x:v>12</x:v>
      </x:c>
      <x:c r="K2047" s="11" t="n">
        <x:v>6</x:v>
      </x:c>
      <x:c r="L2047" s="11" t="n">
        <x:v>0</x:v>
      </x:c>
      <x:c r="M2047" s="9" t="n">
        <x:f>ROUND(H2047*(1-I2047),2)</x:f>
        <x:v>3290000</x:v>
      </x:c>
      <x:c r="N2047" s="4" t="str">
        <x:v>Sales manager</x:v>
      </x:c>
      <x:c r="O2047" s="4"/>
      <x:c r="P2047" s="9" t="n">
        <x:v>0</x:v>
      </x:c>
      <x:c r="Q2047" s="11" t="n">
        <x:v>0</x:v>
      </x:c>
      <x:c r="R2047" s="8" t="n">
        <x:v>45474</x:v>
      </x:c>
      <x:c r="S2047" s="4" t="str">
        <x:v>Retained</x:v>
      </x:c>
      <x:c r="T2047" s="10" t="n">
        <x:v>0.351536</x:v>
      </x:c>
      <x:c r="U2047" s="4" t="str">
        <x:v>Train</x:v>
      </x:c>
    </x:row>
    <x:row r="2048" ht="34" customHeight="1">
      <x:c r="A2048" s="4" t="str">
        <x:v>RS-02047</x:v>
      </x:c>
      <x:c r="B2048" s="8" t="n">
        <x:v>45415</x:v>
      </x:c>
      <x:c r="C2048" s="4" t="str">
        <x:v>PRJ-007</x:v>
      </x:c>
      <x:c r="D2048" s="4" t="str">
        <x:v>Retail</x:v>
      </x:c>
      <x:c r="E2048" s="4" t="str">
        <x:v>Booked</x:v>
      </x:c>
      <x:c r="F2048" s="4" t="str">
        <x:v>CUS-02047</x:v>
      </x:c>
      <x:c r="G2048" s="4" t="str">
        <x:v>UNIT-02047</x:v>
      </x:c>
      <x:c r="H2048" s="9" t="n">
        <x:v>5200000</x:v>
      </x:c>
      <x:c r="I2048" s="10" t="n">
        <x:v>0.03</x:v>
      </x:c>
      <x:c r="J2048" s="11" t="n">
        <x:v>2</x:v>
      </x:c>
      <x:c r="K2048" s="11" t="n">
        <x:v>2</x:v>
      </x:c>
      <x:c r="L2048" s="11" t="n">
        <x:v>1</x:v>
      </x:c>
      <x:c r="M2048" s="9" t="n">
        <x:f>ROUND(H2048*(1-I2048),2)</x:f>
        <x:v>5044000</x:v>
      </x:c>
      <x:c r="N2048" s="4" t="str">
        <x:v>Sales manager</x:v>
      </x:c>
      <x:c r="O2048" s="4" t="str">
        <x:v>BOOK-02047</x:v>
      </x:c>
      <x:c r="P2048" s="9" t="n">
        <x:v>5044000</x:v>
      </x:c>
      <x:c r="Q2048" s="11" t="n">
        <x:v>0</x:v>
      </x:c>
      <x:c r="R2048" s="8" t="n">
        <x:v>45475</x:v>
      </x:c>
      <x:c r="S2048" s="4" t="str">
        <x:v>Retained</x:v>
      </x:c>
      <x:c r="T2048" s="10" t="n">
        <x:v>0.171717</x:v>
      </x:c>
      <x:c r="U2048" s="4" t="str">
        <x:v>Train</x:v>
      </x:c>
    </x:row>
    <x:row r="2049" ht="34" customHeight="1">
      <x:c r="A2049" s="4" t="str">
        <x:v>RS-02048</x:v>
      </x:c>
      <x:c r="B2049" s="8" t="n">
        <x:v>45416</x:v>
      </x:c>
      <x:c r="C2049" s="4" t="str">
        <x:v>PRJ-008</x:v>
      </x:c>
      <x:c r="D2049" s="4" t="str">
        <x:v>Office</x:v>
      </x:c>
      <x:c r="E2049" s="4" t="str">
        <x:v>Enquiry</x:v>
      </x:c>
      <x:c r="F2049" s="4" t="str">
        <x:v>CUS-02048</x:v>
      </x:c>
      <x:c r="G2049" s="4" t="str">
        <x:v>UNIT-02048</x:v>
      </x:c>
      <x:c r="H2049" s="9" t="n">
        <x:v>14800000</x:v>
      </x:c>
      <x:c r="I2049" s="10" t="n">
        <x:v>0.07</x:v>
      </x:c>
      <x:c r="J2049" s="11" t="n">
        <x:v>5</x:v>
      </x:c>
      <x:c r="K2049" s="11" t="n">
        <x:v>7</x:v>
      </x:c>
      <x:c r="L2049" s="11" t="n">
        <x:v>0</x:v>
      </x:c>
      <x:c r="M2049" s="9" t="n">
        <x:f>ROUND(H2049*(1-I2049),2)</x:f>
        <x:v>13764000</x:v>
      </x:c>
      <x:c r="N2049" s="4" t="str">
        <x:v>Sales manager</x:v>
      </x:c>
      <x:c r="O2049" s="4"/>
      <x:c r="P2049" s="9" t="n">
        <x:v>0</x:v>
      </x:c>
      <x:c r="Q2049" s="11" t="n">
        <x:v>0</x:v>
      </x:c>
      <x:c r="R2049" s="8" t="n">
        <x:v>45476</x:v>
      </x:c>
      <x:c r="S2049" s="4" t="str">
        <x:v>Retained</x:v>
      </x:c>
      <x:c r="T2049" s="10" t="n">
        <x:v>0.226277</x:v>
      </x:c>
      <x:c r="U2049" s="4" t="str">
        <x:v>Train</x:v>
      </x:c>
    </x:row>
    <x:row r="2050" ht="34" customHeight="1">
      <x:c r="A2050" s="4" t="str">
        <x:v>RS-02049</x:v>
      </x:c>
      <x:c r="B2050" s="8" t="n">
        <x:v>45417</x:v>
      </x:c>
      <x:c r="C2050" s="4" t="str">
        <x:v>PRJ-009</x:v>
      </x:c>
      <x:c r="D2050" s="4" t="str">
        <x:v>Office</x:v>
      </x:c>
      <x:c r="E2050" s="4" t="str">
        <x:v>Booked</x:v>
      </x:c>
      <x:c r="F2050" s="4" t="str">
        <x:v>CUS-02049</x:v>
      </x:c>
      <x:c r="G2050" s="4" t="str">
        <x:v>UNIT-02049</x:v>
      </x:c>
      <x:c r="H2050" s="9" t="n">
        <x:v>22600000</x:v>
      </x:c>
      <x:c r="I2050" s="10" t="n">
        <x:v>0.01</x:v>
      </x:c>
      <x:c r="J2050" s="11" t="n">
        <x:v>2</x:v>
      </x:c>
      <x:c r="K2050" s="11" t="n">
        <x:v>2</x:v>
      </x:c>
      <x:c r="L2050" s="11" t="n">
        <x:v>1</x:v>
      </x:c>
      <x:c r="M2050" s="9" t="n">
        <x:f>ROUND(H2050*(1-I2050),2)</x:f>
        <x:v>22374000</x:v>
      </x:c>
      <x:c r="N2050" s="4" t="str">
        <x:v>Sales manager</x:v>
      </x:c>
      <x:c r="O2050" s="4" t="str">
        <x:v>BOOK-02049</x:v>
      </x:c>
      <x:c r="P2050" s="9" t="n">
        <x:v>2237400</x:v>
      </x:c>
      <x:c r="Q2050" s="11" t="n">
        <x:v>0</x:v>
      </x:c>
      <x:c r="R2050" s="8" t="n">
        <x:v>45477</x:v>
      </x:c>
      <x:c r="S2050" s="4" t="str">
        <x:v>Retained</x:v>
      </x:c>
      <x:c r="T2050" s="10" t="n">
        <x:v>0.171717</x:v>
      </x:c>
      <x:c r="U2050" s="4" t="str">
        <x:v>Train</x:v>
      </x:c>
    </x:row>
    <x:row r="2051" ht="34" customHeight="1">
      <x:c r="A2051" s="4" t="str">
        <x:v>RS-02050</x:v>
      </x:c>
      <x:c r="B2051" s="8" t="n">
        <x:v>45418</x:v>
      </x:c>
      <x:c r="C2051" s="4" t="str">
        <x:v>PRJ-010</x:v>
      </x:c>
      <x:c r="D2051" s="4" t="str">
        <x:v>Retail</x:v>
      </x:c>
      <x:c r="E2051" s="4" t="str">
        <x:v>Cancelled</x:v>
      </x:c>
      <x:c r="F2051" s="4" t="str">
        <x:v>CUS-02050</x:v>
      </x:c>
      <x:c r="G2051" s="4" t="str">
        <x:v>UNIT-02050</x:v>
      </x:c>
      <x:c r="H2051" s="9" t="n">
        <x:v>23500000</x:v>
      </x:c>
      <x:c r="I2051" s="10" t="n">
        <x:v>0.04</x:v>
      </x:c>
      <x:c r="J2051" s="11" t="n">
        <x:v>8</x:v>
      </x:c>
      <x:c r="K2051" s="11" t="n">
        <x:v>6</x:v>
      </x:c>
      <x:c r="L2051" s="11" t="n">
        <x:v>0</x:v>
      </x:c>
      <x:c r="M2051" s="9" t="n">
        <x:f>ROUND(H2051*(1-I2051),2)</x:f>
        <x:v>22560000</x:v>
      </x:c>
      <x:c r="N2051" s="4" t="str">
        <x:v>Sales manager</x:v>
      </x:c>
      <x:c r="O2051" s="4"/>
      <x:c r="P2051" s="9" t="n">
        <x:v>0</x:v>
      </x:c>
      <x:c r="Q2051" s="11" t="n">
        <x:v>1</x:v>
      </x:c>
      <x:c r="R2051" s="8" t="n">
        <x:v>45478</x:v>
      </x:c>
      <x:c r="S2051" s="4" t="str">
        <x:v>Lost / cancelled</x:v>
      </x:c>
      <x:c r="T2051" s="10" t="n">
        <x:v>0.310195</x:v>
      </x:c>
      <x:c r="U2051" s="4" t="str">
        <x:v>Train</x:v>
      </x:c>
    </x:row>
    <x:row r="2052" ht="34" customHeight="1">
      <x:c r="A2052" s="4" t="str">
        <x:v>RS-02051</x:v>
      </x:c>
      <x:c r="B2052" s="8" t="n">
        <x:v>45419</x:v>
      </x:c>
      <x:c r="C2052" s="4" t="str">
        <x:v>PRJ-011</x:v>
      </x:c>
      <x:c r="D2052" s="4" t="str">
        <x:v>Retail</x:v>
      </x:c>
      <x:c r="E2052" s="4" t="str">
        <x:v>Booked</x:v>
      </x:c>
      <x:c r="F2052" s="4" t="str">
        <x:v>CUS-02051</x:v>
      </x:c>
      <x:c r="G2052" s="4" t="str">
        <x:v>UNIT-02051</x:v>
      </x:c>
      <x:c r="H2052" s="9" t="n">
        <x:v>16000000</x:v>
      </x:c>
      <x:c r="I2052" s="10" t="n">
        <x:v>0.08</x:v>
      </x:c>
      <x:c r="J2052" s="11" t="n">
        <x:v>2</x:v>
      </x:c>
      <x:c r="K2052" s="11" t="n">
        <x:v>6</x:v>
      </x:c>
      <x:c r="L2052" s="11" t="n">
        <x:v>1</x:v>
      </x:c>
      <x:c r="M2052" s="9" t="n">
        <x:f>ROUND(H2052*(1-I2052),2)</x:f>
        <x:v>14720000</x:v>
      </x:c>
      <x:c r="N2052" s="4" t="str">
        <x:v>Sales head</x:v>
      </x:c>
      <x:c r="O2052" s="4" t="str">
        <x:v>BOOK-02051</x:v>
      </x:c>
      <x:c r="P2052" s="9" t="n">
        <x:v>14720000</x:v>
      </x:c>
      <x:c r="Q2052" s="11" t="n">
        <x:v>0</x:v>
      </x:c>
      <x:c r="R2052" s="8" t="n">
        <x:v>45479</x:v>
      </x:c>
      <x:c r="S2052" s="4" t="str">
        <x:v>Retained</x:v>
      </x:c>
      <x:c r="T2052" s="10" t="n">
        <x:v>0.204152</x:v>
      </x:c>
      <x:c r="U2052" s="4" t="str">
        <x:v>Train</x:v>
      </x:c>
    </x:row>
    <x:row r="2053" ht="34" customHeight="1">
      <x:c r="A2053" s="4" t="str">
        <x:v>RS-02052</x:v>
      </x:c>
      <x:c r="B2053" s="8" t="n">
        <x:v>45420</x:v>
      </x:c>
      <x:c r="C2053" s="4" t="str">
        <x:v>PRJ-012</x:v>
      </x:c>
      <x:c r="D2053" s="4" t="str">
        <x:v>Retail</x:v>
      </x:c>
      <x:c r="E2053" s="4" t="str">
        <x:v>Reserved</x:v>
      </x:c>
      <x:c r="F2053" s="4" t="str">
        <x:v>CUS-02052</x:v>
      </x:c>
      <x:c r="G2053" s="4" t="str">
        <x:v>UNIT-02052</x:v>
      </x:c>
      <x:c r="H2053" s="9" t="n">
        <x:v>15100000</x:v>
      </x:c>
      <x:c r="I2053" s="10" t="n">
        <x:v>0</x:v>
      </x:c>
      <x:c r="J2053" s="11" t="n">
        <x:v>6</x:v>
      </x:c>
      <x:c r="K2053" s="11" t="n">
        <x:v>8</x:v>
      </x:c>
      <x:c r="L2053" s="11" t="n">
        <x:v>1</x:v>
      </x:c>
      <x:c r="M2053" s="9" t="n">
        <x:f>ROUND(H2053*(1-I2053),2)</x:f>
        <x:v>15100000</x:v>
      </x:c>
      <x:c r="N2053" s="4" t="str">
        <x:v>Sales manager</x:v>
      </x:c>
      <x:c r="O2053" s="4"/>
      <x:c r="P2053" s="9" t="n">
        <x:v>0</x:v>
      </x:c>
      <x:c r="Q2053" s="11" t="n">
        <x:v>0</x:v>
      </x:c>
      <x:c r="R2053" s="8" t="n">
        <x:v>45480</x:v>
      </x:c>
      <x:c r="S2053" s="4" t="str">
        <x:v>Retained</x:v>
      </x:c>
      <x:c r="T2053" s="10" t="n">
        <x:v>0.145299</x:v>
      </x:c>
      <x:c r="U2053" s="4" t="str">
        <x:v>Train</x:v>
      </x:c>
    </x:row>
    <x:row r="2054" ht="34" customHeight="1">
      <x:c r="A2054" s="4" t="str">
        <x:v>RS-02053</x:v>
      </x:c>
      <x:c r="B2054" s="8" t="n">
        <x:v>45421</x:v>
      </x:c>
      <x:c r="C2054" s="4" t="str">
        <x:v>PRJ-013</x:v>
      </x:c>
      <x:c r="D2054" s="4" t="str">
        <x:v>Apartment</x:v>
      </x:c>
      <x:c r="E2054" s="4" t="str">
        <x:v>Enquiry</x:v>
      </x:c>
      <x:c r="F2054" s="4" t="str">
        <x:v>CUS-02053</x:v>
      </x:c>
      <x:c r="G2054" s="4" t="str">
        <x:v>UNIT-02053</x:v>
      </x:c>
      <x:c r="H2054" s="9" t="n">
        <x:v>13700000</x:v>
      </x:c>
      <x:c r="I2054" s="10" t="n">
        <x:v>0.04</x:v>
      </x:c>
      <x:c r="J2054" s="11" t="n">
        <x:v>8</x:v>
      </x:c>
      <x:c r="K2054" s="11" t="n">
        <x:v>1</x:v>
      </x:c>
      <x:c r="L2054" s="11" t="n">
        <x:v>0</x:v>
      </x:c>
      <x:c r="M2054" s="9" t="n">
        <x:f>ROUND(H2054*(1-I2054),2)</x:f>
        <x:v>13152000</x:v>
      </x:c>
      <x:c r="N2054" s="4" t="str">
        <x:v>Sales manager</x:v>
      </x:c>
      <x:c r="O2054" s="4"/>
      <x:c r="P2054" s="9" t="n">
        <x:v>0</x:v>
      </x:c>
      <x:c r="Q2054" s="11" t="n">
        <x:v>0</x:v>
      </x:c>
      <x:c r="R2054" s="8" t="n">
        <x:v>45481</x:v>
      </x:c>
      <x:c r="S2054" s="4" t="str">
        <x:v>Retained</x:v>
      </x:c>
      <x:c r="T2054" s="10" t="n">
        <x:v>0.310195</x:v>
      </x:c>
      <x:c r="U2054" s="4" t="str">
        <x:v>Train</x:v>
      </x:c>
    </x:row>
    <x:row r="2055" ht="34" customHeight="1">
      <x:c r="A2055" s="4" t="str">
        <x:v>RS-02054</x:v>
      </x:c>
      <x:c r="B2055" s="8" t="n">
        <x:v>45422</x:v>
      </x:c>
      <x:c r="C2055" s="4" t="str">
        <x:v>PRJ-014</x:v>
      </x:c>
      <x:c r="D2055" s="4" t="str">
        <x:v>Apartment</x:v>
      </x:c>
      <x:c r="E2055" s="4" t="str">
        <x:v>Enquiry</x:v>
      </x:c>
      <x:c r="F2055" s="4" t="str">
        <x:v>CUS-02054</x:v>
      </x:c>
      <x:c r="G2055" s="4" t="str">
        <x:v>UNIT-02054</x:v>
      </x:c>
      <x:c r="H2055" s="9" t="n">
        <x:v>22600000</x:v>
      </x:c>
      <x:c r="I2055" s="10" t="n">
        <x:v>0.1</x:v>
      </x:c>
      <x:c r="J2055" s="11" t="n">
        <x:v>12</x:v>
      </x:c>
      <x:c r="K2055" s="11" t="n">
        <x:v>9</x:v>
      </x:c>
      <x:c r="L2055" s="11" t="n">
        <x:v>0</x:v>
      </x:c>
      <x:c r="M2055" s="9" t="n">
        <x:f>ROUND(H2055*(1-I2055),2)</x:f>
        <x:v>20340000</x:v>
      </x:c>
      <x:c r="N2055" s="4" t="str">
        <x:v>Sales head</x:v>
      </x:c>
      <x:c r="O2055" s="4"/>
      <x:c r="P2055" s="9" t="n">
        <x:v>0</x:v>
      </x:c>
      <x:c r="Q2055" s="11" t="n">
        <x:v>1</x:v>
      </x:c>
      <x:c r="R2055" s="8" t="n">
        <x:v>45482</x:v>
      </x:c>
      <x:c r="S2055" s="4" t="str">
        <x:v>Lost / cancelled</x:v>
      </x:c>
      <x:c r="T2055" s="10" t="n">
        <x:v>0.351536</x:v>
      </x:c>
      <x:c r="U2055" s="4" t="str">
        <x:v>Train</x:v>
      </x:c>
    </x:row>
    <x:row r="2056" ht="34" customHeight="1">
      <x:c r="A2056" s="4" t="str">
        <x:v>RS-02055</x:v>
      </x:c>
      <x:c r="B2056" s="8" t="n">
        <x:v>45423</x:v>
      </x:c>
      <x:c r="C2056" s="4" t="str">
        <x:v>PRJ-015</x:v>
      </x:c>
      <x:c r="D2056" s="4" t="str">
        <x:v>Villa</x:v>
      </x:c>
      <x:c r="E2056" s="4" t="str">
        <x:v>Enquiry</x:v>
      </x:c>
      <x:c r="F2056" s="4" t="str">
        <x:v>CUS-02055</x:v>
      </x:c>
      <x:c r="G2056" s="4" t="str">
        <x:v>UNIT-02055</x:v>
      </x:c>
      <x:c r="H2056" s="9" t="n">
        <x:v>7600000</x:v>
      </x:c>
      <x:c r="I2056" s="10" t="n">
        <x:v>0.06</x:v>
      </x:c>
      <x:c r="J2056" s="11" t="n">
        <x:v>5</x:v>
      </x:c>
      <x:c r="K2056" s="11" t="n">
        <x:v>3</x:v>
      </x:c>
      <x:c r="L2056" s="11" t="n">
        <x:v>0</x:v>
      </x:c>
      <x:c r="M2056" s="9" t="n">
        <x:f>ROUND(H2056*(1-I2056),2)</x:f>
        <x:v>7144000</x:v>
      </x:c>
      <x:c r="N2056" s="4" t="str">
        <x:v>Sales manager</x:v>
      </x:c>
      <x:c r="O2056" s="4"/>
      <x:c r="P2056" s="9" t="n">
        <x:v>0</x:v>
      </x:c>
      <x:c r="Q2056" s="11" t="n">
        <x:v>0</x:v>
      </x:c>
      <x:c r="R2056" s="8" t="n">
        <x:v>45483</x:v>
      </x:c>
      <x:c r="S2056" s="4" t="str">
        <x:v>Retained</x:v>
      </x:c>
      <x:c r="T2056" s="10" t="n">
        <x:v>0.226277</x:v>
      </x:c>
      <x:c r="U2056" s="4" t="str">
        <x:v>Train</x:v>
      </x:c>
    </x:row>
    <x:row r="2057" ht="34" customHeight="1">
      <x:c r="A2057" s="4" t="str">
        <x:v>RS-02056</x:v>
      </x:c>
      <x:c r="B2057" s="8" t="n">
        <x:v>45424</x:v>
      </x:c>
      <x:c r="C2057" s="4" t="str">
        <x:v>PRJ-016</x:v>
      </x:c>
      <x:c r="D2057" s="4" t="str">
        <x:v>Villa</x:v>
      </x:c>
      <x:c r="E2057" s="4" t="str">
        <x:v>Agreement signed</x:v>
      </x:c>
      <x:c r="F2057" s="4" t="str">
        <x:v>CUS-02056</x:v>
      </x:c>
      <x:c r="G2057" s="4" t="str">
        <x:v>UNIT-02056</x:v>
      </x:c>
      <x:c r="H2057" s="9" t="n">
        <x:v>21700000</x:v>
      </x:c>
      <x:c r="I2057" s="10" t="n">
        <x:v>0.09</x:v>
      </x:c>
      <x:c r="J2057" s="11" t="n">
        <x:v>9</x:v>
      </x:c>
      <x:c r="K2057" s="11" t="n">
        <x:v>8</x:v>
      </x:c>
      <x:c r="L2057" s="11" t="n">
        <x:v>0</x:v>
      </x:c>
      <x:c r="M2057" s="9" t="n">
        <x:f>ROUND(H2057*(1-I2057),2)</x:f>
        <x:v>19747000</x:v>
      </x:c>
      <x:c r="N2057" s="4" t="str">
        <x:v>Sales head</x:v>
      </x:c>
      <x:c r="O2057" s="4" t="str">
        <x:v>BOOK-02056</x:v>
      </x:c>
      <x:c r="P2057" s="9" t="n">
        <x:v>4936750</x:v>
      </x:c>
      <x:c r="Q2057" s="11" t="n">
        <x:v>0</x:v>
      </x:c>
      <x:c r="R2057" s="8" t="n">
        <x:v>45484</x:v>
      </x:c>
      <x:c r="S2057" s="4" t="str">
        <x:v>Retained</x:v>
      </x:c>
      <x:c r="T2057" s="10" t="n">
        <x:v>0.310195</x:v>
      </x:c>
      <x:c r="U2057" s="4" t="str">
        <x:v>Train</x:v>
      </x:c>
    </x:row>
    <x:row r="2058" ht="34" customHeight="1">
      <x:c r="A2058" s="4" t="str">
        <x:v>RS-02057</x:v>
      </x:c>
      <x:c r="B2058" s="8" t="n">
        <x:v>45425</x:v>
      </x:c>
      <x:c r="C2058" s="4" t="str">
        <x:v>PRJ-017</x:v>
      </x:c>
      <x:c r="D2058" s="4" t="str">
        <x:v>Apartment</x:v>
      </x:c>
      <x:c r="E2058" s="4" t="str">
        <x:v>Handed over</x:v>
      </x:c>
      <x:c r="F2058" s="4" t="str">
        <x:v>CUS-02057</x:v>
      </x:c>
      <x:c r="G2058" s="4" t="str">
        <x:v>UNIT-02057</x:v>
      </x:c>
      <x:c r="H2058" s="9" t="n">
        <x:v>7500000</x:v>
      </x:c>
      <x:c r="I2058" s="10" t="n">
        <x:v>0.05</x:v>
      </x:c>
      <x:c r="J2058" s="11" t="n">
        <x:v>1</x:v>
      </x:c>
      <x:c r="K2058" s="11" t="n">
        <x:v>5</x:v>
      </x:c>
      <x:c r="L2058" s="11" t="n">
        <x:v>1</x:v>
      </x:c>
      <x:c r="M2058" s="9" t="n">
        <x:f>ROUND(H2058*(1-I2058),2)</x:f>
        <x:v>7125000</x:v>
      </x:c>
      <x:c r="N2058" s="4" t="str">
        <x:v>Sales manager</x:v>
      </x:c>
      <x:c r="O2058" s="4" t="str">
        <x:v>BOOK-02057</x:v>
      </x:c>
      <x:c r="P2058" s="9" t="n">
        <x:v>712500</x:v>
      </x:c>
      <x:c r="Q2058" s="11" t="n">
        <x:v>0</x:v>
      </x:c>
      <x:c r="R2058" s="8" t="n">
        <x:v>45485</x:v>
      </x:c>
      <x:c r="S2058" s="4" t="str">
        <x:v>Retained</x:v>
      </x:c>
      <x:c r="T2058" s="10" t="n">
        <x:v>0.204152</x:v>
      </x:c>
      <x:c r="U2058" s="4" t="str">
        <x:v>Train</x:v>
      </x:c>
    </x:row>
    <x:row r="2059" ht="34" customHeight="1">
      <x:c r="A2059" s="4" t="str">
        <x:v>RS-02058</x:v>
      </x:c>
      <x:c r="B2059" s="8" t="n">
        <x:v>45426</x:v>
      </x:c>
      <x:c r="C2059" s="4" t="str">
        <x:v>PRJ-018</x:v>
      </x:c>
      <x:c r="D2059" s="4" t="str">
        <x:v>Retail</x:v>
      </x:c>
      <x:c r="E2059" s="4" t="str">
        <x:v>Handed over</x:v>
      </x:c>
      <x:c r="F2059" s="4" t="str">
        <x:v>CUS-02058</x:v>
      </x:c>
      <x:c r="G2059" s="4" t="str">
        <x:v>UNIT-02058</x:v>
      </x:c>
      <x:c r="H2059" s="9" t="n">
        <x:v>13800000</x:v>
      </x:c>
      <x:c r="I2059" s="10" t="n">
        <x:v>0.03</x:v>
      </x:c>
      <x:c r="J2059" s="11" t="n">
        <x:v>6</x:v>
      </x:c>
      <x:c r="K2059" s="11" t="n">
        <x:v>1</x:v>
      </x:c>
      <x:c r="L2059" s="11" t="n">
        <x:v>0</x:v>
      </x:c>
      <x:c r="M2059" s="9" t="n">
        <x:f>ROUND(H2059*(1-I2059),2)</x:f>
        <x:v>13386000</x:v>
      </x:c>
      <x:c r="N2059" s="4" t="str">
        <x:v>Sales manager</x:v>
      </x:c>
      <x:c r="O2059" s="4" t="str">
        <x:v>BOOK-02058</x:v>
      </x:c>
      <x:c r="P2059" s="9" t="n">
        <x:v>3346500</x:v>
      </x:c>
      <x:c r="Q2059" s="11" t="n">
        <x:v>0</x:v>
      </x:c>
      <x:c r="R2059" s="8" t="n">
        <x:v>45486</x:v>
      </x:c>
      <x:c r="S2059" s="4" t="str">
        <x:v>Retained</x:v>
      </x:c>
      <x:c r="T2059" s="10" t="n">
        <x:v>0.298969</x:v>
      </x:c>
      <x:c r="U2059" s="4" t="str">
        <x:v>Train</x:v>
      </x:c>
    </x:row>
    <x:row r="2060" ht="34" customHeight="1">
      <x:c r="A2060" s="4" t="str">
        <x:v>RS-02059</x:v>
      </x:c>
      <x:c r="B2060" s="8" t="n">
        <x:v>45427</x:v>
      </x:c>
      <x:c r="C2060" s="4" t="str">
        <x:v>PRJ-019</x:v>
      </x:c>
      <x:c r="D2060" s="4" t="str">
        <x:v>Office</x:v>
      </x:c>
      <x:c r="E2060" s="4" t="str">
        <x:v>Cancelled</x:v>
      </x:c>
      <x:c r="F2060" s="4" t="str">
        <x:v>CUS-02059</x:v>
      </x:c>
      <x:c r="G2060" s="4" t="str">
        <x:v>UNIT-02059</x:v>
      </x:c>
      <x:c r="H2060" s="9" t="n">
        <x:v>23300000</x:v>
      </x:c>
      <x:c r="I2060" s="10" t="n">
        <x:v>0.08</x:v>
      </x:c>
      <x:c r="J2060" s="11" t="n">
        <x:v>7</x:v>
      </x:c>
      <x:c r="K2060" s="11" t="n">
        <x:v>2</x:v>
      </x:c>
      <x:c r="L2060" s="11" t="n">
        <x:v>1</x:v>
      </x:c>
      <x:c r="M2060" s="9" t="n">
        <x:f>ROUND(H2060*(1-I2060),2)</x:f>
        <x:v>21436000</x:v>
      </x:c>
      <x:c r="N2060" s="4" t="str">
        <x:v>Sales head</x:v>
      </x:c>
      <x:c r="O2060" s="4"/>
      <x:c r="P2060" s="9" t="n">
        <x:v>0</x:v>
      </x:c>
      <x:c r="Q2060" s="11" t="n">
        <x:v>1</x:v>
      </x:c>
      <x:c r="R2060" s="8" t="n">
        <x:v>45487</x:v>
      </x:c>
      <x:c r="S2060" s="4" t="str">
        <x:v>Lost / cancelled</x:v>
      </x:c>
      <x:c r="T2060" s="10" t="n">
        <x:v>0.291946</x:v>
      </x:c>
      <x:c r="U2060" s="4" t="str">
        <x:v>Train</x:v>
      </x:c>
    </x:row>
    <x:row r="2061" ht="34" customHeight="1">
      <x:c r="A2061" s="4" t="str">
        <x:v>RS-02060</x:v>
      </x:c>
      <x:c r="B2061" s="8" t="n">
        <x:v>45428</x:v>
      </x:c>
      <x:c r="C2061" s="4" t="str">
        <x:v>PRJ-020</x:v>
      </x:c>
      <x:c r="D2061" s="4" t="str">
        <x:v>Apartment</x:v>
      </x:c>
      <x:c r="E2061" s="4" t="str">
        <x:v>Enquiry</x:v>
      </x:c>
      <x:c r="F2061" s="4" t="str">
        <x:v>CUS-02060</x:v>
      </x:c>
      <x:c r="G2061" s="4" t="str">
        <x:v>UNIT-02060</x:v>
      </x:c>
      <x:c r="H2061" s="9" t="n">
        <x:v>17800000</x:v>
      </x:c>
      <x:c r="I2061" s="10" t="n">
        <x:v>0.09</x:v>
      </x:c>
      <x:c r="J2061" s="11" t="n">
        <x:v>4</x:v>
      </x:c>
      <x:c r="K2061" s="11" t="n">
        <x:v>3</x:v>
      </x:c>
      <x:c r="L2061" s="11" t="n">
        <x:v>1</x:v>
      </x:c>
      <x:c r="M2061" s="9" t="n">
        <x:f>ROUND(H2061*(1-I2061),2)</x:f>
        <x:v>16198000</x:v>
      </x:c>
      <x:c r="N2061" s="4" t="str">
        <x:v>Sales head</x:v>
      </x:c>
      <x:c r="O2061" s="4"/>
      <x:c r="P2061" s="9" t="n">
        <x:v>0</x:v>
      </x:c>
      <x:c r="Q2061" s="11" t="n">
        <x:v>1</x:v>
      </x:c>
      <x:c r="R2061" s="8" t="n">
        <x:v>45488</x:v>
      </x:c>
      <x:c r="S2061" s="4" t="str">
        <x:v>Lost / cancelled</x:v>
      </x:c>
      <x:c r="T2061" s="10" t="n">
        <x:v>0.291946</x:v>
      </x:c>
      <x:c r="U2061" s="4" t="str">
        <x:v>Train</x:v>
      </x:c>
    </x:row>
    <x:row r="2062" ht="34" customHeight="1">
      <x:c r="A2062" s="4" t="str">
        <x:v>RS-02061</x:v>
      </x:c>
      <x:c r="B2062" s="8" t="n">
        <x:v>45429</x:v>
      </x:c>
      <x:c r="C2062" s="4" t="str">
        <x:v>PRJ-001</x:v>
      </x:c>
      <x:c r="D2062" s="4" t="str">
        <x:v>Office</x:v>
      </x:c>
      <x:c r="E2062" s="4" t="str">
        <x:v>Booked</x:v>
      </x:c>
      <x:c r="F2062" s="4" t="str">
        <x:v>CUS-02061</x:v>
      </x:c>
      <x:c r="G2062" s="4" t="str">
        <x:v>UNIT-02061</x:v>
      </x:c>
      <x:c r="H2062" s="9" t="n">
        <x:v>6200000</x:v>
      </x:c>
      <x:c r="I2062" s="10" t="n">
        <x:v>0.04</x:v>
      </x:c>
      <x:c r="J2062" s="11" t="n">
        <x:v>6</x:v>
      </x:c>
      <x:c r="K2062" s="11" t="n">
        <x:v>1</x:v>
      </x:c>
      <x:c r="L2062" s="11" t="n">
        <x:v>1</x:v>
      </x:c>
      <x:c r="M2062" s="9" t="n">
        <x:f>ROUND(H2062*(1-I2062),2)</x:f>
        <x:v>5952000</x:v>
      </x:c>
      <x:c r="N2062" s="4" t="str">
        <x:v>Sales manager</x:v>
      </x:c>
      <x:c r="O2062" s="4" t="str">
        <x:v>BOOK-02061</x:v>
      </x:c>
      <x:c r="P2062" s="9" t="n">
        <x:v>5952000</x:v>
      </x:c>
      <x:c r="Q2062" s="11" t="n">
        <x:v>0</x:v>
      </x:c>
      <x:c r="R2062" s="8" t="n">
        <x:v>45489</x:v>
      </x:c>
      <x:c r="S2062" s="4" t="str">
        <x:v>Retained</x:v>
      </x:c>
      <x:c r="T2062" s="10" t="n">
        <x:v>0.291946</x:v>
      </x:c>
      <x:c r="U2062" s="4" t="str">
        <x:v>Train</x:v>
      </x:c>
    </x:row>
    <x:row r="2063" ht="34" customHeight="1">
      <x:c r="A2063" s="4" t="str">
        <x:v>RS-02062</x:v>
      </x:c>
      <x:c r="B2063" s="8" t="n">
        <x:v>45430</x:v>
      </x:c>
      <x:c r="C2063" s="4" t="str">
        <x:v>PRJ-002</x:v>
      </x:c>
      <x:c r="D2063" s="4" t="str">
        <x:v>Retail</x:v>
      </x:c>
      <x:c r="E2063" s="4" t="str">
        <x:v>Booked</x:v>
      </x:c>
      <x:c r="F2063" s="4" t="str">
        <x:v>CUS-02062</x:v>
      </x:c>
      <x:c r="G2063" s="4" t="str">
        <x:v>UNIT-02062</x:v>
      </x:c>
      <x:c r="H2063" s="9" t="n">
        <x:v>23500000</x:v>
      </x:c>
      <x:c r="I2063" s="10" t="n">
        <x:v>0.01</x:v>
      </x:c>
      <x:c r="J2063" s="11" t="n">
        <x:v>12</x:v>
      </x:c>
      <x:c r="K2063" s="11" t="n">
        <x:v>6</x:v>
      </x:c>
      <x:c r="L2063" s="11" t="n">
        <x:v>1</x:v>
      </x:c>
      <x:c r="M2063" s="9" t="n">
        <x:f>ROUND(H2063*(1-I2063),2)</x:f>
        <x:v>23265000</x:v>
      </x:c>
      <x:c r="N2063" s="4" t="str">
        <x:v>Sales manager</x:v>
      </x:c>
      <x:c r="O2063" s="4" t="str">
        <x:v>BOOK-02062</x:v>
      </x:c>
      <x:c r="P2063" s="9" t="n">
        <x:v>23265000</x:v>
      </x:c>
      <x:c r="Q2063" s="11" t="n">
        <x:v>0</x:v>
      </x:c>
      <x:c r="R2063" s="8" t="n">
        <x:v>45490</x:v>
      </x:c>
      <x:c r="S2063" s="4" t="str">
        <x:v>Retained</x:v>
      </x:c>
      <x:c r="T2063" s="10" t="n">
        <x:v>0.254545</x:v>
      </x:c>
      <x:c r="U2063" s="4" t="str">
        <x:v>Train</x:v>
      </x:c>
    </x:row>
    <x:row r="2064" ht="34" customHeight="1">
      <x:c r="A2064" s="4" t="str">
        <x:v>RS-02063</x:v>
      </x:c>
      <x:c r="B2064" s="8" t="n">
        <x:v>45431</x:v>
      </x:c>
      <x:c r="C2064" s="4" t="str">
        <x:v>PRJ-003</x:v>
      </x:c>
      <x:c r="D2064" s="4" t="str">
        <x:v>Retail</x:v>
      </x:c>
      <x:c r="E2064" s="4" t="str">
        <x:v>Reserved</x:v>
      </x:c>
      <x:c r="F2064" s="4" t="str">
        <x:v>CUS-02063</x:v>
      </x:c>
      <x:c r="G2064" s="4" t="str">
        <x:v>UNIT-02063</x:v>
      </x:c>
      <x:c r="H2064" s="9" t="n">
        <x:v>5400000</x:v>
      </x:c>
      <x:c r="I2064" s="10" t="n">
        <x:v>0.05</x:v>
      </x:c>
      <x:c r="J2064" s="11" t="n">
        <x:v>8</x:v>
      </x:c>
      <x:c r="K2064" s="11" t="n">
        <x:v>3</x:v>
      </x:c>
      <x:c r="L2064" s="11" t="n">
        <x:v>1</x:v>
      </x:c>
      <x:c r="M2064" s="9" t="n">
        <x:f>ROUND(H2064*(1-I2064),2)</x:f>
        <x:v>5130000</x:v>
      </x:c>
      <x:c r="N2064" s="4" t="str">
        <x:v>Sales manager</x:v>
      </x:c>
      <x:c r="O2064" s="4"/>
      <x:c r="P2064" s="9" t="n">
        <x:v>0</x:v>
      </x:c>
      <x:c r="Q2064" s="11" t="n">
        <x:v>0</x:v>
      </x:c>
      <x:c r="R2064" s="8" t="n">
        <x:v>45491</x:v>
      </x:c>
      <x:c r="S2064" s="4" t="str">
        <x:v>Retained</x:v>
      </x:c>
      <x:c r="T2064" s="10" t="n">
        <x:v>0.310195</x:v>
      </x:c>
      <x:c r="U2064" s="4" t="str">
        <x:v>Train</x:v>
      </x:c>
    </x:row>
    <x:row r="2065" ht="34" customHeight="1">
      <x:c r="A2065" s="4" t="str">
        <x:v>RS-02064</x:v>
      </x:c>
      <x:c r="B2065" s="8" t="n">
        <x:v>45432</x:v>
      </x:c>
      <x:c r="C2065" s="4" t="str">
        <x:v>PRJ-004</x:v>
      </x:c>
      <x:c r="D2065" s="4" t="str">
        <x:v>Villa</x:v>
      </x:c>
      <x:c r="E2065" s="4" t="str">
        <x:v>Handed over</x:v>
      </x:c>
      <x:c r="F2065" s="4" t="str">
        <x:v>CUS-02064</x:v>
      </x:c>
      <x:c r="G2065" s="4" t="str">
        <x:v>UNIT-02064</x:v>
      </x:c>
      <x:c r="H2065" s="9" t="n">
        <x:v>11000000</x:v>
      </x:c>
      <x:c r="I2065" s="10" t="n">
        <x:v>0.04</x:v>
      </x:c>
      <x:c r="J2065" s="11" t="n">
        <x:v>2</x:v>
      </x:c>
      <x:c r="K2065" s="11" t="n">
        <x:v>0</x:v>
      </x:c>
      <x:c r="L2065" s="11" t="n">
        <x:v>0</x:v>
      </x:c>
      <x:c r="M2065" s="9" t="n">
        <x:f>ROUND(H2065*(1-I2065),2)</x:f>
        <x:v>10560000</x:v>
      </x:c>
      <x:c r="N2065" s="4" t="str">
        <x:v>Sales manager</x:v>
      </x:c>
      <x:c r="O2065" s="4" t="str">
        <x:v>BOOK-02064</x:v>
      </x:c>
      <x:c r="P2065" s="9" t="n">
        <x:v>1056000</x:v>
      </x:c>
      <x:c r="Q2065" s="11" t="n">
        <x:v>0</x:v>
      </x:c>
      <x:c r="R2065" s="8" t="n">
        <x:v>45492</x:v>
      </x:c>
      <x:c r="S2065" s="4" t="str">
        <x:v>Retained</x:v>
      </x:c>
      <x:c r="T2065" s="10" t="n">
        <x:v>0.276923</x:v>
      </x:c>
      <x:c r="U2065" s="4" t="str">
        <x:v>Train</x:v>
      </x:c>
    </x:row>
    <x:row r="2066" ht="34" customHeight="1">
      <x:c r="A2066" s="4" t="str">
        <x:v>RS-02065</x:v>
      </x:c>
      <x:c r="B2066" s="8" t="n">
        <x:v>45433</x:v>
      </x:c>
      <x:c r="C2066" s="4" t="str">
        <x:v>PRJ-005</x:v>
      </x:c>
      <x:c r="D2066" s="4" t="str">
        <x:v>Apartment</x:v>
      </x:c>
      <x:c r="E2066" s="4" t="str">
        <x:v>Agreement signed</x:v>
      </x:c>
      <x:c r="F2066" s="4" t="str">
        <x:v>CUS-02065</x:v>
      </x:c>
      <x:c r="G2066" s="4" t="str">
        <x:v>UNIT-02065</x:v>
      </x:c>
      <x:c r="H2066" s="9" t="n">
        <x:v>7000000</x:v>
      </x:c>
      <x:c r="I2066" s="10" t="n">
        <x:v>0.07</x:v>
      </x:c>
      <x:c r="J2066" s="11" t="n">
        <x:v>0</x:v>
      </x:c>
      <x:c r="K2066" s="11" t="n">
        <x:v>7</x:v>
      </x:c>
      <x:c r="L2066" s="11" t="n">
        <x:v>0</x:v>
      </x:c>
      <x:c r="M2066" s="9" t="n">
        <x:f>ROUND(H2066*(1-I2066),2)</x:f>
        <x:v>6510000</x:v>
      </x:c>
      <x:c r="N2066" s="4" t="str">
        <x:v>Sales manager</x:v>
      </x:c>
      <x:c r="O2066" s="4" t="str">
        <x:v>BOOK-02065</x:v>
      </x:c>
      <x:c r="P2066" s="9" t="n">
        <x:v>6510000</x:v>
      </x:c>
      <x:c r="Q2066" s="11" t="n">
        <x:v>0</x:v>
      </x:c>
      <x:c r="R2066" s="8" t="n">
        <x:v>45493</x:v>
      </x:c>
      <x:c r="S2066" s="4" t="str">
        <x:v>Retained</x:v>
      </x:c>
      <x:c r="T2066" s="10" t="n">
        <x:v>0.204152</x:v>
      </x:c>
      <x:c r="U2066" s="4" t="str">
        <x:v>Train</x:v>
      </x:c>
    </x:row>
    <x:row r="2067" ht="34" customHeight="1">
      <x:c r="A2067" s="4" t="str">
        <x:v>RS-02066</x:v>
      </x:c>
      <x:c r="B2067" s="8" t="n">
        <x:v>45434</x:v>
      </x:c>
      <x:c r="C2067" s="4" t="str">
        <x:v>PRJ-006</x:v>
      </x:c>
      <x:c r="D2067" s="4" t="str">
        <x:v>Villa</x:v>
      </x:c>
      <x:c r="E2067" s="4" t="str">
        <x:v>Reserved</x:v>
      </x:c>
      <x:c r="F2067" s="4" t="str">
        <x:v>CUS-02066</x:v>
      </x:c>
      <x:c r="G2067" s="4" t="str">
        <x:v>UNIT-02066</x:v>
      </x:c>
      <x:c r="H2067" s="9" t="n">
        <x:v>3400000</x:v>
      </x:c>
      <x:c r="I2067" s="10" t="n">
        <x:v>0.07</x:v>
      </x:c>
      <x:c r="J2067" s="11" t="n">
        <x:v>8</x:v>
      </x:c>
      <x:c r="K2067" s="11" t="n">
        <x:v>5</x:v>
      </x:c>
      <x:c r="L2067" s="11" t="n">
        <x:v>0</x:v>
      </x:c>
      <x:c r="M2067" s="9" t="n">
        <x:f>ROUND(H2067*(1-I2067),2)</x:f>
        <x:v>3162000</x:v>
      </x:c>
      <x:c r="N2067" s="4" t="str">
        <x:v>Sales manager</x:v>
      </x:c>
      <x:c r="O2067" s="4"/>
      <x:c r="P2067" s="9" t="n">
        <x:v>0</x:v>
      </x:c>
      <x:c r="Q2067" s="11" t="n">
        <x:v>1</x:v>
      </x:c>
      <x:c r="R2067" s="8" t="n">
        <x:v>45494</x:v>
      </x:c>
      <x:c r="S2067" s="4" t="str">
        <x:v>Lost / cancelled</x:v>
      </x:c>
      <x:c r="T2067" s="10" t="n">
        <x:v>0.310195</x:v>
      </x:c>
      <x:c r="U2067" s="4" t="str">
        <x:v>Train</x:v>
      </x:c>
    </x:row>
    <x:row r="2068" ht="34" customHeight="1">
      <x:c r="A2068" s="4" t="str">
        <x:v>RS-02067</x:v>
      </x:c>
      <x:c r="B2068" s="8" t="n">
        <x:v>45435</x:v>
      </x:c>
      <x:c r="C2068" s="4" t="str">
        <x:v>PRJ-007</x:v>
      </x:c>
      <x:c r="D2068" s="4" t="str">
        <x:v>Villa</x:v>
      </x:c>
      <x:c r="E2068" s="4" t="str">
        <x:v>Enquiry</x:v>
      </x:c>
      <x:c r="F2068" s="4" t="str">
        <x:v>CUS-02067</x:v>
      </x:c>
      <x:c r="G2068" s="4" t="str">
        <x:v>UNIT-02067</x:v>
      </x:c>
      <x:c r="H2068" s="9" t="n">
        <x:v>14500000</x:v>
      </x:c>
      <x:c r="I2068" s="10" t="n">
        <x:v>0.05</x:v>
      </x:c>
      <x:c r="J2068" s="11" t="n">
        <x:v>5</x:v>
      </x:c>
      <x:c r="K2068" s="11" t="n">
        <x:v>10</x:v>
      </x:c>
      <x:c r="L2068" s="11" t="n">
        <x:v>0</x:v>
      </x:c>
      <x:c r="M2068" s="9" t="n">
        <x:f>ROUND(H2068*(1-I2068),2)</x:f>
        <x:v>13775000</x:v>
      </x:c>
      <x:c r="N2068" s="4" t="str">
        <x:v>Sales manager</x:v>
      </x:c>
      <x:c r="O2068" s="4"/>
      <x:c r="P2068" s="9" t="n">
        <x:v>0</x:v>
      </x:c>
      <x:c r="Q2068" s="11" t="n">
        <x:v>0</x:v>
      </x:c>
      <x:c r="R2068" s="8" t="n">
        <x:v>45495</x:v>
      </x:c>
      <x:c r="S2068" s="4" t="str">
        <x:v>Retained</x:v>
      </x:c>
      <x:c r="T2068" s="10" t="n">
        <x:v>0.226277</x:v>
      </x:c>
      <x:c r="U2068" s="4" t="str">
        <x:v>Train</x:v>
      </x:c>
    </x:row>
    <x:row r="2069" ht="34" customHeight="1">
      <x:c r="A2069" s="4" t="str">
        <x:v>RS-02068</x:v>
      </x:c>
      <x:c r="B2069" s="8" t="n">
        <x:v>45436</x:v>
      </x:c>
      <x:c r="C2069" s="4" t="str">
        <x:v>PRJ-008</x:v>
      </x:c>
      <x:c r="D2069" s="4" t="str">
        <x:v>Retail</x:v>
      </x:c>
      <x:c r="E2069" s="4" t="str">
        <x:v>Cancelled</x:v>
      </x:c>
      <x:c r="F2069" s="4" t="str">
        <x:v>CUS-02068</x:v>
      </x:c>
      <x:c r="G2069" s="4" t="str">
        <x:v>UNIT-02068</x:v>
      </x:c>
      <x:c r="H2069" s="9" t="n">
        <x:v>14100000</x:v>
      </x:c>
      <x:c r="I2069" s="10" t="n">
        <x:v>0.1</x:v>
      </x:c>
      <x:c r="J2069" s="11" t="n">
        <x:v>4</x:v>
      </x:c>
      <x:c r="K2069" s="11" t="n">
        <x:v>6</x:v>
      </x:c>
      <x:c r="L2069" s="11" t="n">
        <x:v>1</x:v>
      </x:c>
      <x:c r="M2069" s="9" t="n">
        <x:f>ROUND(H2069*(1-I2069),2)</x:f>
        <x:v>12690000</x:v>
      </x:c>
      <x:c r="N2069" s="4" t="str">
        <x:v>Sales head</x:v>
      </x:c>
      <x:c r="O2069" s="4"/>
      <x:c r="P2069" s="9" t="n">
        <x:v>0</x:v>
      </x:c>
      <x:c r="Q2069" s="11" t="n">
        <x:v>1</x:v>
      </x:c>
      <x:c r="R2069" s="8" t="n">
        <x:v>45496</x:v>
      </x:c>
      <x:c r="S2069" s="4" t="str">
        <x:v>Lost / cancelled</x:v>
      </x:c>
      <x:c r="T2069" s="10" t="n">
        <x:v>0.291946</x:v>
      </x:c>
      <x:c r="U2069" s="4" t="str">
        <x:v>Train</x:v>
      </x:c>
    </x:row>
    <x:row r="2070" ht="34" customHeight="1">
      <x:c r="A2070" s="4" t="str">
        <x:v>RS-02069</x:v>
      </x:c>
      <x:c r="B2070" s="8" t="n">
        <x:v>45437</x:v>
      </x:c>
      <x:c r="C2070" s="4" t="str">
        <x:v>PRJ-009</x:v>
      </x:c>
      <x:c r="D2070" s="4" t="str">
        <x:v>Apartment</x:v>
      </x:c>
      <x:c r="E2070" s="4" t="str">
        <x:v>Agreement signed</x:v>
      </x:c>
      <x:c r="F2070" s="4" t="str">
        <x:v>CUS-02069</x:v>
      </x:c>
      <x:c r="G2070" s="4" t="str">
        <x:v>UNIT-02069</x:v>
      </x:c>
      <x:c r="H2070" s="9" t="n">
        <x:v>8200000</x:v>
      </x:c>
      <x:c r="I2070" s="10" t="n">
        <x:v>0.01</x:v>
      </x:c>
      <x:c r="J2070" s="11" t="n">
        <x:v>6</x:v>
      </x:c>
      <x:c r="K2070" s="11" t="n">
        <x:v>3</x:v>
      </x:c>
      <x:c r="L2070" s="11" t="n">
        <x:v>0</x:v>
      </x:c>
      <x:c r="M2070" s="9" t="n">
        <x:f>ROUND(H2070*(1-I2070),2)</x:f>
        <x:v>8118000</x:v>
      </x:c>
      <x:c r="N2070" s="4" t="str">
        <x:v>Sales manager</x:v>
      </x:c>
      <x:c r="O2070" s="4" t="str">
        <x:v>BOOK-02069</x:v>
      </x:c>
      <x:c r="P2070" s="9" t="n">
        <x:v>2029500</x:v>
      </x:c>
      <x:c r="Q2070" s="11" t="n">
        <x:v>0</x:v>
      </x:c>
      <x:c r="R2070" s="8" t="n">
        <x:v>45497</x:v>
      </x:c>
      <x:c r="S2070" s="4" t="str">
        <x:v>Retained</x:v>
      </x:c>
      <x:c r="T2070" s="10" t="n">
        <x:v>0.298969</x:v>
      </x:c>
      <x:c r="U2070" s="4" t="str">
        <x:v>Train</x:v>
      </x:c>
    </x:row>
    <x:row r="2071" ht="34" customHeight="1">
      <x:c r="A2071" s="4" t="str">
        <x:v>RS-02070</x:v>
      </x:c>
      <x:c r="B2071" s="8" t="n">
        <x:v>45438</x:v>
      </x:c>
      <x:c r="C2071" s="4" t="str">
        <x:v>PRJ-010</x:v>
      </x:c>
      <x:c r="D2071" s="4" t="str">
        <x:v>Office</x:v>
      </x:c>
      <x:c r="E2071" s="4" t="str">
        <x:v>Reserved</x:v>
      </x:c>
      <x:c r="F2071" s="4" t="str">
        <x:v>CUS-02070</x:v>
      </x:c>
      <x:c r="G2071" s="4" t="str">
        <x:v>UNIT-02070</x:v>
      </x:c>
      <x:c r="H2071" s="9" t="n">
        <x:v>11300000</x:v>
      </x:c>
      <x:c r="I2071" s="10" t="n">
        <x:v>0.11</x:v>
      </x:c>
      <x:c r="J2071" s="11" t="n">
        <x:v>7</x:v>
      </x:c>
      <x:c r="K2071" s="11" t="n">
        <x:v>9</x:v>
      </x:c>
      <x:c r="L2071" s="11" t="n">
        <x:v>0</x:v>
      </x:c>
      <x:c r="M2071" s="9" t="n">
        <x:f>ROUND(H2071*(1-I2071),2)</x:f>
        <x:v>10057000</x:v>
      </x:c>
      <x:c r="N2071" s="4" t="str">
        <x:v>Sales head</x:v>
      </x:c>
      <x:c r="O2071" s="4"/>
      <x:c r="P2071" s="9" t="n">
        <x:v>0</x:v>
      </x:c>
      <x:c r="Q2071" s="11" t="n">
        <x:v>0</x:v>
      </x:c>
      <x:c r="R2071" s="8" t="n">
        <x:v>45498</x:v>
      </x:c>
      <x:c r="S2071" s="4" t="str">
        <x:v>Retained</x:v>
      </x:c>
      <x:c r="T2071" s="10" t="n">
        <x:v>0.226277</x:v>
      </x:c>
      <x:c r="U2071" s="4" t="str">
        <x:v>Train</x:v>
      </x:c>
    </x:row>
    <x:row r="2072" ht="34" customHeight="1">
      <x:c r="A2072" s="4" t="str">
        <x:v>RS-02071</x:v>
      </x:c>
      <x:c r="B2072" s="8" t="n">
        <x:v>45439</x:v>
      </x:c>
      <x:c r="C2072" s="4" t="str">
        <x:v>PRJ-011</x:v>
      </x:c>
      <x:c r="D2072" s="4" t="str">
        <x:v>Villa</x:v>
      </x:c>
      <x:c r="E2072" s="4" t="str">
        <x:v>Enquiry</x:v>
      </x:c>
      <x:c r="F2072" s="4" t="str">
        <x:v>CUS-02071</x:v>
      </x:c>
      <x:c r="G2072" s="4" t="str">
        <x:v>UNIT-02071</x:v>
      </x:c>
      <x:c r="H2072" s="9" t="n">
        <x:v>8000000</x:v>
      </x:c>
      <x:c r="I2072" s="10" t="n">
        <x:v>0.07</x:v>
      </x:c>
      <x:c r="J2072" s="11" t="n">
        <x:v>1</x:v>
      </x:c>
      <x:c r="K2072" s="11" t="n">
        <x:v>7</x:v>
      </x:c>
      <x:c r="L2072" s="11" t="n">
        <x:v>1</x:v>
      </x:c>
      <x:c r="M2072" s="9" t="n">
        <x:f>ROUND(H2072*(1-I2072),2)</x:f>
        <x:v>7440000</x:v>
      </x:c>
      <x:c r="N2072" s="4" t="str">
        <x:v>Sales manager</x:v>
      </x:c>
      <x:c r="O2072" s="4"/>
      <x:c r="P2072" s="9" t="n">
        <x:v>0</x:v>
      </x:c>
      <x:c r="Q2072" s="11" t="n">
        <x:v>0</x:v>
      </x:c>
      <x:c r="R2072" s="8" t="n">
        <x:v>45499</x:v>
      </x:c>
      <x:c r="S2072" s="4" t="str">
        <x:v>Retained</x:v>
      </x:c>
      <x:c r="T2072" s="10" t="n">
        <x:v>0.204152</x:v>
      </x:c>
      <x:c r="U2072" s="4" t="str">
        <x:v>Train</x:v>
      </x:c>
    </x:row>
    <x:row r="2073" ht="34" customHeight="1">
      <x:c r="A2073" s="4" t="str">
        <x:v>RS-02072</x:v>
      </x:c>
      <x:c r="B2073" s="8" t="n">
        <x:v>45440</x:v>
      </x:c>
      <x:c r="C2073" s="4" t="str">
        <x:v>PRJ-012</x:v>
      </x:c>
      <x:c r="D2073" s="4" t="str">
        <x:v>Apartment</x:v>
      </x:c>
      <x:c r="E2073" s="4" t="str">
        <x:v>Booked</x:v>
      </x:c>
      <x:c r="F2073" s="4" t="str">
        <x:v>CUS-02072</x:v>
      </x:c>
      <x:c r="G2073" s="4" t="str">
        <x:v>UNIT-02072</x:v>
      </x:c>
      <x:c r="H2073" s="9" t="n">
        <x:v>6800000</x:v>
      </x:c>
      <x:c r="I2073" s="10" t="n">
        <x:v>0.11</x:v>
      </x:c>
      <x:c r="J2073" s="11" t="n">
        <x:v>2</x:v>
      </x:c>
      <x:c r="K2073" s="11" t="n">
        <x:v>7</x:v>
      </x:c>
      <x:c r="L2073" s="11" t="n">
        <x:v>0</x:v>
      </x:c>
      <x:c r="M2073" s="9" t="n">
        <x:f>ROUND(H2073*(1-I2073),2)</x:f>
        <x:v>6052000</x:v>
      </x:c>
      <x:c r="N2073" s="4" t="str">
        <x:v>Sales head</x:v>
      </x:c>
      <x:c r="O2073" s="4" t="str">
        <x:v>BOOK-02072</x:v>
      </x:c>
      <x:c r="P2073" s="9" t="n">
        <x:v>3026000</x:v>
      </x:c>
      <x:c r="Q2073" s="11" t="n">
        <x:v>0</x:v>
      </x:c>
      <x:c r="R2073" s="8" t="n">
        <x:v>45500</x:v>
      </x:c>
      <x:c r="S2073" s="4" t="str">
        <x:v>Retained</x:v>
      </x:c>
      <x:c r="T2073" s="10" t="n">
        <x:v>0.145833</x:v>
      </x:c>
      <x:c r="U2073" s="4" t="str">
        <x:v>Train</x:v>
      </x:c>
    </x:row>
    <x:row r="2074" ht="34" customHeight="1">
      <x:c r="A2074" s="4" t="str">
        <x:v>RS-02073</x:v>
      </x:c>
      <x:c r="B2074" s="8" t="n">
        <x:v>45413</x:v>
      </x:c>
      <x:c r="C2074" s="4" t="str">
        <x:v>PRJ-013</x:v>
      </x:c>
      <x:c r="D2074" s="4" t="str">
        <x:v>Office</x:v>
      </x:c>
      <x:c r="E2074" s="4" t="str">
        <x:v>Cancelled</x:v>
      </x:c>
      <x:c r="F2074" s="4" t="str">
        <x:v>CUS-02073</x:v>
      </x:c>
      <x:c r="G2074" s="4" t="str">
        <x:v>UNIT-02073</x:v>
      </x:c>
      <x:c r="H2074" s="9" t="n">
        <x:v>9700000</x:v>
      </x:c>
      <x:c r="I2074" s="10" t="n">
        <x:v>0.04</x:v>
      </x:c>
      <x:c r="J2074" s="11" t="n">
        <x:v>11</x:v>
      </x:c>
      <x:c r="K2074" s="11" t="n">
        <x:v>8</x:v>
      </x:c>
      <x:c r="L2074" s="11" t="n">
        <x:v>1</x:v>
      </x:c>
      <x:c r="M2074" s="9" t="n">
        <x:f>ROUND(H2074*(1-I2074),2)</x:f>
        <x:v>9312000</x:v>
      </x:c>
      <x:c r="N2074" s="4" t="str">
        <x:v>Sales manager</x:v>
      </x:c>
      <x:c r="O2074" s="4"/>
      <x:c r="P2074" s="9" t="n">
        <x:v>0</x:v>
      </x:c>
      <x:c r="Q2074" s="11" t="n">
        <x:v>1</x:v>
      </x:c>
      <x:c r="R2074" s="8" t="n">
        <x:v>45473</x:v>
      </x:c>
      <x:c r="S2074" s="4" t="str">
        <x:v>Lost / cancelled</x:v>
      </x:c>
      <x:c r="T2074" s="10" t="n">
        <x:v>0.351536</x:v>
      </x:c>
      <x:c r="U2074" s="4" t="str">
        <x:v>Train</x:v>
      </x:c>
    </x:row>
    <x:row r="2075" ht="34" customHeight="1">
      <x:c r="A2075" s="4" t="str">
        <x:v>RS-02074</x:v>
      </x:c>
      <x:c r="B2075" s="8" t="n">
        <x:v>45414</x:v>
      </x:c>
      <x:c r="C2075" s="4" t="str">
        <x:v>PRJ-014</x:v>
      </x:c>
      <x:c r="D2075" s="4" t="str">
        <x:v>Apartment</x:v>
      </x:c>
      <x:c r="E2075" s="4" t="str">
        <x:v>Reserved</x:v>
      </x:c>
      <x:c r="F2075" s="4" t="str">
        <x:v>CUS-02074</x:v>
      </x:c>
      <x:c r="G2075" s="4" t="str">
        <x:v>UNIT-02074</x:v>
      </x:c>
      <x:c r="H2075" s="9" t="n">
        <x:v>12000000</x:v>
      </x:c>
      <x:c r="I2075" s="10" t="n">
        <x:v>0.09</x:v>
      </x:c>
      <x:c r="J2075" s="11" t="n">
        <x:v>0</x:v>
      </x:c>
      <x:c r="K2075" s="11" t="n">
        <x:v>7</x:v>
      </x:c>
      <x:c r="L2075" s="11" t="n">
        <x:v>0</x:v>
      </x:c>
      <x:c r="M2075" s="9" t="n">
        <x:f>ROUND(H2075*(1-I2075),2)</x:f>
        <x:v>10920000</x:v>
      </x:c>
      <x:c r="N2075" s="4" t="str">
        <x:v>Sales head</x:v>
      </x:c>
      <x:c r="O2075" s="4"/>
      <x:c r="P2075" s="9" t="n">
        <x:v>0</x:v>
      </x:c>
      <x:c r="Q2075" s="11" t="n">
        <x:v>0</x:v>
      </x:c>
      <x:c r="R2075" s="8" t="n">
        <x:v>45474</x:v>
      </x:c>
      <x:c r="S2075" s="4" t="str">
        <x:v>Retained</x:v>
      </x:c>
      <x:c r="T2075" s="10" t="n">
        <x:v>0.145833</x:v>
      </x:c>
      <x:c r="U2075" s="4" t="str">
        <x:v>Train</x:v>
      </x:c>
    </x:row>
    <x:row r="2076" ht="34" customHeight="1">
      <x:c r="A2076" s="4" t="str">
        <x:v>RS-02075</x:v>
      </x:c>
      <x:c r="B2076" s="8" t="n">
        <x:v>45415</x:v>
      </x:c>
      <x:c r="C2076" s="4" t="str">
        <x:v>PRJ-015</x:v>
      </x:c>
      <x:c r="D2076" s="4" t="str">
        <x:v>Office</x:v>
      </x:c>
      <x:c r="E2076" s="4" t="str">
        <x:v>Enquiry</x:v>
      </x:c>
      <x:c r="F2076" s="4" t="str">
        <x:v>CUS-02075</x:v>
      </x:c>
      <x:c r="G2076" s="4" t="str">
        <x:v>UNIT-02075</x:v>
      </x:c>
      <x:c r="H2076" s="9" t="n">
        <x:v>4200000</x:v>
      </x:c>
      <x:c r="I2076" s="10" t="n">
        <x:v>0.04</x:v>
      </x:c>
      <x:c r="J2076" s="11" t="n">
        <x:v>9</x:v>
      </x:c>
      <x:c r="K2076" s="11" t="n">
        <x:v>4</x:v>
      </x:c>
      <x:c r="L2076" s="11" t="n">
        <x:v>0</x:v>
      </x:c>
      <x:c r="M2076" s="9" t="n">
        <x:f>ROUND(H2076*(1-I2076),2)</x:f>
        <x:v>4032000</x:v>
      </x:c>
      <x:c r="N2076" s="4" t="str">
        <x:v>Sales manager</x:v>
      </x:c>
      <x:c r="O2076" s="4"/>
      <x:c r="P2076" s="9" t="n">
        <x:v>0</x:v>
      </x:c>
      <x:c r="Q2076" s="11" t="n">
        <x:v>0</x:v>
      </x:c>
      <x:c r="R2076" s="8" t="n">
        <x:v>45475</x:v>
      </x:c>
      <x:c r="S2076" s="4" t="str">
        <x:v>Retained</x:v>
      </x:c>
      <x:c r="T2076" s="10" t="n">
        <x:v>0.310195</x:v>
      </x:c>
      <x:c r="U2076" s="4" t="str">
        <x:v>Train</x:v>
      </x:c>
    </x:row>
    <x:row r="2077" ht="34" customHeight="1">
      <x:c r="A2077" s="4" t="str">
        <x:v>RS-02076</x:v>
      </x:c>
      <x:c r="B2077" s="8" t="n">
        <x:v>45416</x:v>
      </x:c>
      <x:c r="C2077" s="4" t="str">
        <x:v>PRJ-016</x:v>
      </x:c>
      <x:c r="D2077" s="4" t="str">
        <x:v>Apartment</x:v>
      </x:c>
      <x:c r="E2077" s="4" t="str">
        <x:v>Reserved</x:v>
      </x:c>
      <x:c r="F2077" s="4" t="str">
        <x:v>CUS-02076</x:v>
      </x:c>
      <x:c r="G2077" s="4" t="str">
        <x:v>UNIT-02076</x:v>
      </x:c>
      <x:c r="H2077" s="9" t="n">
        <x:v>22700000</x:v>
      </x:c>
      <x:c r="I2077" s="10" t="n">
        <x:v>0.11</x:v>
      </x:c>
      <x:c r="J2077" s="11" t="n">
        <x:v>3</x:v>
      </x:c>
      <x:c r="K2077" s="11" t="n">
        <x:v>3</x:v>
      </x:c>
      <x:c r="L2077" s="11" t="n">
        <x:v>0</x:v>
      </x:c>
      <x:c r="M2077" s="9" t="n">
        <x:f>ROUND(H2077*(1-I2077),2)</x:f>
        <x:v>20203000</x:v>
      </x:c>
      <x:c r="N2077" s="4" t="str">
        <x:v>Sales head</x:v>
      </x:c>
      <x:c r="O2077" s="4"/>
      <x:c r="P2077" s="9" t="n">
        <x:v>0</x:v>
      </x:c>
      <x:c r="Q2077" s="11" t="n">
        <x:v>0</x:v>
      </x:c>
      <x:c r="R2077" s="8" t="n">
        <x:v>45476</x:v>
      </x:c>
      <x:c r="S2077" s="4" t="str">
        <x:v>Retained</x:v>
      </x:c>
      <x:c r="T2077" s="10" t="n">
        <x:v>0.145833</x:v>
      </x:c>
      <x:c r="U2077" s="4" t="str">
        <x:v>Train</x:v>
      </x:c>
    </x:row>
    <x:row r="2078" ht="34" customHeight="1">
      <x:c r="A2078" s="4" t="str">
        <x:v>RS-02077</x:v>
      </x:c>
      <x:c r="B2078" s="8" t="n">
        <x:v>45417</x:v>
      </x:c>
      <x:c r="C2078" s="4" t="str">
        <x:v>PRJ-017</x:v>
      </x:c>
      <x:c r="D2078" s="4" t="str">
        <x:v>Office</x:v>
      </x:c>
      <x:c r="E2078" s="4" t="str">
        <x:v>Cancelled</x:v>
      </x:c>
      <x:c r="F2078" s="4" t="str">
        <x:v>CUS-02077</x:v>
      </x:c>
      <x:c r="G2078" s="4" t="str">
        <x:v>UNIT-02077</x:v>
      </x:c>
      <x:c r="H2078" s="9" t="n">
        <x:v>23000000</x:v>
      </x:c>
      <x:c r="I2078" s="10" t="n">
        <x:v>0.09</x:v>
      </x:c>
      <x:c r="J2078" s="11" t="n">
        <x:v>0</x:v>
      </x:c>
      <x:c r="K2078" s="11" t="n">
        <x:v>4</x:v>
      </x:c>
      <x:c r="L2078" s="11" t="n">
        <x:v>1</x:v>
      </x:c>
      <x:c r="M2078" s="9" t="n">
        <x:f>ROUND(H2078*(1-I2078),2)</x:f>
        <x:v>20930000</x:v>
      </x:c>
      <x:c r="N2078" s="4" t="str">
        <x:v>Sales head</x:v>
      </x:c>
      <x:c r="O2078" s="4"/>
      <x:c r="P2078" s="9" t="n">
        <x:v>0</x:v>
      </x:c>
      <x:c r="Q2078" s="11" t="n">
        <x:v>1</x:v>
      </x:c>
      <x:c r="R2078" s="8" t="n">
        <x:v>45477</x:v>
      </x:c>
      <x:c r="S2078" s="4" t="str">
        <x:v>Lost / cancelled</x:v>
      </x:c>
      <x:c r="T2078" s="10" t="n">
        <x:v>0.145833</x:v>
      </x:c>
      <x:c r="U2078" s="4" t="str">
        <x:v>Train</x:v>
      </x:c>
    </x:row>
    <x:row r="2079" ht="34" customHeight="1">
      <x:c r="A2079" s="4" t="str">
        <x:v>RS-02078</x:v>
      </x:c>
      <x:c r="B2079" s="8" t="n">
        <x:v>45418</x:v>
      </x:c>
      <x:c r="C2079" s="4" t="str">
        <x:v>PRJ-018</x:v>
      </x:c>
      <x:c r="D2079" s="4" t="str">
        <x:v>Villa</x:v>
      </x:c>
      <x:c r="E2079" s="4" t="str">
        <x:v>Reserved</x:v>
      </x:c>
      <x:c r="F2079" s="4" t="str">
        <x:v>CUS-02078</x:v>
      </x:c>
      <x:c r="G2079" s="4" t="str">
        <x:v>UNIT-02078</x:v>
      </x:c>
      <x:c r="H2079" s="9" t="n">
        <x:v>21300000</x:v>
      </x:c>
      <x:c r="I2079" s="10" t="n">
        <x:v>0.07</x:v>
      </x:c>
      <x:c r="J2079" s="11" t="n">
        <x:v>5</x:v>
      </x:c>
      <x:c r="K2079" s="11" t="n">
        <x:v>5</x:v>
      </x:c>
      <x:c r="L2079" s="11" t="n">
        <x:v>1</x:v>
      </x:c>
      <x:c r="M2079" s="9" t="n">
        <x:f>ROUND(H2079*(1-I2079),2)</x:f>
        <x:v>19809000</x:v>
      </x:c>
      <x:c r="N2079" s="4" t="str">
        <x:v>Sales manager</x:v>
      </x:c>
      <x:c r="O2079" s="4"/>
      <x:c r="P2079" s="9" t="n">
        <x:v>0</x:v>
      </x:c>
      <x:c r="Q2079" s="11" t="n">
        <x:v>0</x:v>
      </x:c>
      <x:c r="R2079" s="8" t="n">
        <x:v>45478</x:v>
      </x:c>
      <x:c r="S2079" s="4" t="str">
        <x:v>Retained</x:v>
      </x:c>
      <x:c r="T2079" s="10" t="n">
        <x:v>0.291946</x:v>
      </x:c>
      <x:c r="U2079" s="4" t="str">
        <x:v>Train</x:v>
      </x:c>
    </x:row>
    <x:row r="2080" ht="34" customHeight="1">
      <x:c r="A2080" s="4" t="str">
        <x:v>RS-02079</x:v>
      </x:c>
      <x:c r="B2080" s="8" t="n">
        <x:v>45419</x:v>
      </x:c>
      <x:c r="C2080" s="4" t="str">
        <x:v>PRJ-019</x:v>
      </x:c>
      <x:c r="D2080" s="4" t="str">
        <x:v>Apartment</x:v>
      </x:c>
      <x:c r="E2080" s="4" t="str">
        <x:v>Booked</x:v>
      </x:c>
      <x:c r="F2080" s="4" t="str">
        <x:v>CUS-02079</x:v>
      </x:c>
      <x:c r="G2080" s="4" t="str">
        <x:v>UNIT-02079</x:v>
      </x:c>
      <x:c r="H2080" s="9" t="n">
        <x:v>20100000</x:v>
      </x:c>
      <x:c r="I2080" s="10" t="n">
        <x:v>0.08</x:v>
      </x:c>
      <x:c r="J2080" s="11" t="n">
        <x:v>11</x:v>
      </x:c>
      <x:c r="K2080" s="11" t="n">
        <x:v>8</x:v>
      </x:c>
      <x:c r="L2080" s="11" t="n">
        <x:v>1</x:v>
      </x:c>
      <x:c r="M2080" s="9" t="n">
        <x:f>ROUND(H2080*(1-I2080),2)</x:f>
        <x:v>18492000</x:v>
      </x:c>
      <x:c r="N2080" s="4" t="str">
        <x:v>Sales head</x:v>
      </x:c>
      <x:c r="O2080" s="4" t="str">
        <x:v>BOOK-02079</x:v>
      </x:c>
      <x:c r="P2080" s="9" t="n">
        <x:v>9246000</x:v>
      </x:c>
      <x:c r="Q2080" s="11" t="n">
        <x:v>0</x:v>
      </x:c>
      <x:c r="R2080" s="8" t="n">
        <x:v>45479</x:v>
      </x:c>
      <x:c r="S2080" s="4" t="str">
        <x:v>Retained</x:v>
      </x:c>
      <x:c r="T2080" s="10" t="n">
        <x:v>0.351536</x:v>
      </x:c>
      <x:c r="U2080" s="4" t="str">
        <x:v>Train</x:v>
      </x:c>
    </x:row>
    <x:row r="2081" ht="34" customHeight="1">
      <x:c r="A2081" s="4" t="str">
        <x:v>RS-02080</x:v>
      </x:c>
      <x:c r="B2081" s="8" t="n">
        <x:v>45420</x:v>
      </x:c>
      <x:c r="C2081" s="4" t="str">
        <x:v>PRJ-020</x:v>
      </x:c>
      <x:c r="D2081" s="4" t="str">
        <x:v>Villa</x:v>
      </x:c>
      <x:c r="E2081" s="4" t="str">
        <x:v>Reserved</x:v>
      </x:c>
      <x:c r="F2081" s="4" t="str">
        <x:v>CUS-02080</x:v>
      </x:c>
      <x:c r="G2081" s="4" t="str">
        <x:v>UNIT-02080</x:v>
      </x:c>
      <x:c r="H2081" s="9" t="n">
        <x:v>15400000</x:v>
      </x:c>
      <x:c r="I2081" s="10" t="n">
        <x:v>0</x:v>
      </x:c>
      <x:c r="J2081" s="11" t="n">
        <x:v>1</x:v>
      </x:c>
      <x:c r="K2081" s="11" t="n">
        <x:v>9</x:v>
      </x:c>
      <x:c r="L2081" s="11" t="n">
        <x:v>1</x:v>
      </x:c>
      <x:c r="M2081" s="9" t="n">
        <x:f>ROUND(H2081*(1-I2081),2)</x:f>
        <x:v>15400000</x:v>
      </x:c>
      <x:c r="N2081" s="4" t="str">
        <x:v>Sales manager</x:v>
      </x:c>
      <x:c r="O2081" s="4"/>
      <x:c r="P2081" s="9" t="n">
        <x:v>0</x:v>
      </x:c>
      <x:c r="Q2081" s="11" t="n">
        <x:v>0</x:v>
      </x:c>
      <x:c r="R2081" s="8" t="n">
        <x:v>45480</x:v>
      </x:c>
      <x:c r="S2081" s="4" t="str">
        <x:v>Retained</x:v>
      </x:c>
      <x:c r="T2081" s="10" t="n">
        <x:v>0.072165</x:v>
      </x:c>
      <x:c r="U2081" s="4" t="str">
        <x:v>Train</x:v>
      </x:c>
    </x:row>
    <x:row r="2082" ht="34" customHeight="1">
      <x:c r="A2082" s="4" t="str">
        <x:v>RS-02081</x:v>
      </x:c>
      <x:c r="B2082" s="8" t="n">
        <x:v>45421</x:v>
      </x:c>
      <x:c r="C2082" s="4" t="str">
        <x:v>PRJ-001</x:v>
      </x:c>
      <x:c r="D2082" s="4" t="str">
        <x:v>Apartment</x:v>
      </x:c>
      <x:c r="E2082" s="4" t="str">
        <x:v>Agreement signed</x:v>
      </x:c>
      <x:c r="F2082" s="4" t="str">
        <x:v>CUS-02081</x:v>
      </x:c>
      <x:c r="G2082" s="4" t="str">
        <x:v>UNIT-02081</x:v>
      </x:c>
      <x:c r="H2082" s="9" t="n">
        <x:v>5400000</x:v>
      </x:c>
      <x:c r="I2082" s="10" t="n">
        <x:v>0.02</x:v>
      </x:c>
      <x:c r="J2082" s="11" t="n">
        <x:v>2</x:v>
      </x:c>
      <x:c r="K2082" s="11" t="n">
        <x:v>0</x:v>
      </x:c>
      <x:c r="L2082" s="11" t="n">
        <x:v>0</x:v>
      </x:c>
      <x:c r="M2082" s="9" t="n">
        <x:f>ROUND(H2082*(1-I2082),2)</x:f>
        <x:v>5292000</x:v>
      </x:c>
      <x:c r="N2082" s="4" t="str">
        <x:v>Sales manager</x:v>
      </x:c>
      <x:c r="O2082" s="4" t="str">
        <x:v>BOOK-02081</x:v>
      </x:c>
      <x:c r="P2082" s="9" t="n">
        <x:v>529200</x:v>
      </x:c>
      <x:c r="Q2082" s="11" t="n">
        <x:v>0</x:v>
      </x:c>
      <x:c r="R2082" s="8" t="n">
        <x:v>45481</x:v>
      </x:c>
      <x:c r="S2082" s="4" t="str">
        <x:v>Retained</x:v>
      </x:c>
      <x:c r="T2082" s="10" t="n">
        <x:v>0.276923</x:v>
      </x:c>
      <x:c r="U2082" s="4" t="str">
        <x:v>Train</x:v>
      </x:c>
    </x:row>
    <x:row r="2083" ht="34" customHeight="1">
      <x:c r="A2083" s="4" t="str">
        <x:v>RS-02082</x:v>
      </x:c>
      <x:c r="B2083" s="8" t="n">
        <x:v>45422</x:v>
      </x:c>
      <x:c r="C2083" s="4" t="str">
        <x:v>PRJ-002</x:v>
      </x:c>
      <x:c r="D2083" s="4" t="str">
        <x:v>Office</x:v>
      </x:c>
      <x:c r="E2083" s="4" t="str">
        <x:v>Booked</x:v>
      </x:c>
      <x:c r="F2083" s="4" t="str">
        <x:v>CUS-02082</x:v>
      </x:c>
      <x:c r="G2083" s="4" t="str">
        <x:v>UNIT-02082</x:v>
      </x:c>
      <x:c r="H2083" s="9" t="n">
        <x:v>14900000</x:v>
      </x:c>
      <x:c r="I2083" s="10" t="n">
        <x:v>0.07</x:v>
      </x:c>
      <x:c r="J2083" s="11" t="n">
        <x:v>2</x:v>
      </x:c>
      <x:c r="K2083" s="11" t="n">
        <x:v>3</x:v>
      </x:c>
      <x:c r="L2083" s="11" t="n">
        <x:v>0</x:v>
      </x:c>
      <x:c r="M2083" s="9" t="n">
        <x:f>ROUND(H2083*(1-I2083),2)</x:f>
        <x:v>13857000</x:v>
      </x:c>
      <x:c r="N2083" s="4" t="str">
        <x:v>Sales manager</x:v>
      </x:c>
      <x:c r="O2083" s="4" t="str">
        <x:v>BOOK-02082</x:v>
      </x:c>
      <x:c r="P2083" s="9" t="n">
        <x:v>1385700</x:v>
      </x:c>
      <x:c r="Q2083" s="11" t="n">
        <x:v>0</x:v>
      </x:c>
      <x:c r="R2083" s="8" t="n">
        <x:v>45482</x:v>
      </x:c>
      <x:c r="S2083" s="4" t="str">
        <x:v>Retained</x:v>
      </x:c>
      <x:c r="T2083" s="10" t="n">
        <x:v>0.204152</x:v>
      </x:c>
      <x:c r="U2083" s="4" t="str">
        <x:v>Train</x:v>
      </x:c>
    </x:row>
    <x:row r="2084" ht="34" customHeight="1">
      <x:c r="A2084" s="4" t="str">
        <x:v>RS-02083</x:v>
      </x:c>
      <x:c r="B2084" s="8" t="n">
        <x:v>45423</x:v>
      </x:c>
      <x:c r="C2084" s="4" t="str">
        <x:v>PRJ-003</x:v>
      </x:c>
      <x:c r="D2084" s="4" t="str">
        <x:v>Villa</x:v>
      </x:c>
      <x:c r="E2084" s="4" t="str">
        <x:v>Handed over</x:v>
      </x:c>
      <x:c r="F2084" s="4" t="str">
        <x:v>CUS-02083</x:v>
      </x:c>
      <x:c r="G2084" s="4" t="str">
        <x:v>UNIT-02083</x:v>
      </x:c>
      <x:c r="H2084" s="9" t="n">
        <x:v>15000000</x:v>
      </x:c>
      <x:c r="I2084" s="10" t="n">
        <x:v>0.07</x:v>
      </x:c>
      <x:c r="J2084" s="11" t="n">
        <x:v>3</x:v>
      </x:c>
      <x:c r="K2084" s="11" t="n">
        <x:v>3</x:v>
      </x:c>
      <x:c r="L2084" s="11" t="n">
        <x:v>1</x:v>
      </x:c>
      <x:c r="M2084" s="9" t="n">
        <x:f>ROUND(H2084*(1-I2084),2)</x:f>
        <x:v>13950000</x:v>
      </x:c>
      <x:c r="N2084" s="4" t="str">
        <x:v>Sales manager</x:v>
      </x:c>
      <x:c r="O2084" s="4" t="str">
        <x:v>BOOK-02083</x:v>
      </x:c>
      <x:c r="P2084" s="9" t="n">
        <x:v>1395000</x:v>
      </x:c>
      <x:c r="Q2084" s="11" t="n">
        <x:v>0</x:v>
      </x:c>
      <x:c r="R2084" s="8" t="n">
        <x:v>45483</x:v>
      </x:c>
      <x:c r="S2084" s="4" t="str">
        <x:v>Retained</x:v>
      </x:c>
      <x:c r="T2084" s="10" t="n">
        <x:v>0.204152</x:v>
      </x:c>
      <x:c r="U2084" s="4" t="str">
        <x:v>Train</x:v>
      </x:c>
    </x:row>
    <x:row r="2085" ht="34" customHeight="1">
      <x:c r="A2085" s="4" t="str">
        <x:v>RS-02084</x:v>
      </x:c>
      <x:c r="B2085" s="8" t="n">
        <x:v>45424</x:v>
      </x:c>
      <x:c r="C2085" s="4" t="str">
        <x:v>PRJ-004</x:v>
      </x:c>
      <x:c r="D2085" s="4" t="str">
        <x:v>Retail</x:v>
      </x:c>
      <x:c r="E2085" s="4" t="str">
        <x:v>Enquiry</x:v>
      </x:c>
      <x:c r="F2085" s="4" t="str">
        <x:v>CUS-02084</x:v>
      </x:c>
      <x:c r="G2085" s="4" t="str">
        <x:v>UNIT-02084</x:v>
      </x:c>
      <x:c r="H2085" s="9" t="n">
        <x:v>20200000</x:v>
      </x:c>
      <x:c r="I2085" s="10" t="n">
        <x:v>0.11</x:v>
      </x:c>
      <x:c r="J2085" s="11" t="n">
        <x:v>3</x:v>
      </x:c>
      <x:c r="K2085" s="11" t="n">
        <x:v>5</x:v>
      </x:c>
      <x:c r="L2085" s="11" t="n">
        <x:v>0</x:v>
      </x:c>
      <x:c r="M2085" s="9" t="n">
        <x:f>ROUND(H2085*(1-I2085),2)</x:f>
        <x:v>17978000</x:v>
      </x:c>
      <x:c r="N2085" s="4" t="str">
        <x:v>Sales head</x:v>
      </x:c>
      <x:c r="O2085" s="4"/>
      <x:c r="P2085" s="9" t="n">
        <x:v>0</x:v>
      </x:c>
      <x:c r="Q2085" s="11" t="n">
        <x:v>0</x:v>
      </x:c>
      <x:c r="R2085" s="8" t="n">
        <x:v>45484</x:v>
      </x:c>
      <x:c r="S2085" s="4" t="str">
        <x:v>Retained</x:v>
      </x:c>
      <x:c r="T2085" s="10" t="n">
        <x:v>0.145833</x:v>
      </x:c>
      <x:c r="U2085" s="4" t="str">
        <x:v>Train</x:v>
      </x:c>
    </x:row>
    <x:row r="2086" ht="34" customHeight="1">
      <x:c r="A2086" s="4" t="str">
        <x:v>RS-02085</x:v>
      </x:c>
      <x:c r="B2086" s="8" t="n">
        <x:v>45425</x:v>
      </x:c>
      <x:c r="C2086" s="4" t="str">
        <x:v>PRJ-005</x:v>
      </x:c>
      <x:c r="D2086" s="4" t="str">
        <x:v>Retail</x:v>
      </x:c>
      <x:c r="E2086" s="4" t="str">
        <x:v>Enquiry</x:v>
      </x:c>
      <x:c r="F2086" s="4" t="str">
        <x:v>CUS-02085</x:v>
      </x:c>
      <x:c r="G2086" s="4" t="str">
        <x:v>UNIT-02085</x:v>
      </x:c>
      <x:c r="H2086" s="9" t="n">
        <x:v>24800000</x:v>
      </x:c>
      <x:c r="I2086" s="10" t="n">
        <x:v>0.01</x:v>
      </x:c>
      <x:c r="J2086" s="11" t="n">
        <x:v>11</x:v>
      </x:c>
      <x:c r="K2086" s="11" t="n">
        <x:v>4</x:v>
      </x:c>
      <x:c r="L2086" s="11" t="n">
        <x:v>0</x:v>
      </x:c>
      <x:c r="M2086" s="9" t="n">
        <x:f>ROUND(H2086*(1-I2086),2)</x:f>
        <x:v>24552000</x:v>
      </x:c>
      <x:c r="N2086" s="4" t="str">
        <x:v>Sales manager</x:v>
      </x:c>
      <x:c r="O2086" s="4"/>
      <x:c r="P2086" s="9" t="n">
        <x:v>0</x:v>
      </x:c>
      <x:c r="Q2086" s="11" t="n">
        <x:v>1</x:v>
      </x:c>
      <x:c r="R2086" s="8" t="n">
        <x:v>45485</x:v>
      </x:c>
      <x:c r="S2086" s="4" t="str">
        <x:v>Lost / cancelled</x:v>
      </x:c>
      <x:c r="T2086" s="10" t="n">
        <x:v>0.305556</x:v>
      </x:c>
      <x:c r="U2086" s="4" t="str">
        <x:v>Train</x:v>
      </x:c>
    </x:row>
    <x:row r="2087" ht="34" customHeight="1">
      <x:c r="A2087" s="4" t="str">
        <x:v>RS-02086</x:v>
      </x:c>
      <x:c r="B2087" s="8" t="n">
        <x:v>45426</x:v>
      </x:c>
      <x:c r="C2087" s="4" t="str">
        <x:v>PRJ-006</x:v>
      </x:c>
      <x:c r="D2087" s="4" t="str">
        <x:v>Villa</x:v>
      </x:c>
      <x:c r="E2087" s="4" t="str">
        <x:v>Cancelled</x:v>
      </x:c>
      <x:c r="F2087" s="4" t="str">
        <x:v>CUS-02086</x:v>
      </x:c>
      <x:c r="G2087" s="4" t="str">
        <x:v>UNIT-02086</x:v>
      </x:c>
      <x:c r="H2087" s="9" t="n">
        <x:v>14400000</x:v>
      </x:c>
      <x:c r="I2087" s="10" t="n">
        <x:v>0.03</x:v>
      </x:c>
      <x:c r="J2087" s="11" t="n">
        <x:v>3</x:v>
      </x:c>
      <x:c r="K2087" s="11" t="n">
        <x:v>0</x:v>
      </x:c>
      <x:c r="L2087" s="11" t="n">
        <x:v>1</x:v>
      </x:c>
      <x:c r="M2087" s="9" t="n">
        <x:f>ROUND(H2087*(1-I2087),2)</x:f>
        <x:v>13968000</x:v>
      </x:c>
      <x:c r="N2087" s="4" t="str">
        <x:v>Sales manager</x:v>
      </x:c>
      <x:c r="O2087" s="4"/>
      <x:c r="P2087" s="9" t="n">
        <x:v>0</x:v>
      </x:c>
      <x:c r="Q2087" s="11" t="n">
        <x:v>1</x:v>
      </x:c>
      <x:c r="R2087" s="8" t="n">
        <x:v>45486</x:v>
      </x:c>
      <x:c r="S2087" s="4" t="str">
        <x:v>Lost / cancelled</x:v>
      </x:c>
      <x:c r="T2087" s="10" t="n">
        <x:v>0.276923</x:v>
      </x:c>
      <x:c r="U2087" s="4" t="str">
        <x:v>Train</x:v>
      </x:c>
    </x:row>
    <x:row r="2088" ht="34" customHeight="1">
      <x:c r="A2088" s="4" t="str">
        <x:v>RS-02087</x:v>
      </x:c>
      <x:c r="B2088" s="8" t="n">
        <x:v>45427</x:v>
      </x:c>
      <x:c r="C2088" s="4" t="str">
        <x:v>PRJ-007</x:v>
      </x:c>
      <x:c r="D2088" s="4" t="str">
        <x:v>Office</x:v>
      </x:c>
      <x:c r="E2088" s="4" t="str">
        <x:v>Cancelled</x:v>
      </x:c>
      <x:c r="F2088" s="4" t="str">
        <x:v>CUS-02087</x:v>
      </x:c>
      <x:c r="G2088" s="4" t="str">
        <x:v>UNIT-02087</x:v>
      </x:c>
      <x:c r="H2088" s="9" t="n">
        <x:v>17500000</x:v>
      </x:c>
      <x:c r="I2088" s="10" t="n">
        <x:v>0.11</x:v>
      </x:c>
      <x:c r="J2088" s="11" t="n">
        <x:v>11</x:v>
      </x:c>
      <x:c r="K2088" s="11" t="n">
        <x:v>0</x:v>
      </x:c>
      <x:c r="L2088" s="11" t="n">
        <x:v>1</x:v>
      </x:c>
      <x:c r="M2088" s="9" t="n">
        <x:f>ROUND(H2088*(1-I2088),2)</x:f>
        <x:v>15575000</x:v>
      </x:c>
      <x:c r="N2088" s="4" t="str">
        <x:v>Sales head</x:v>
      </x:c>
      <x:c r="O2088" s="4"/>
      <x:c r="P2088" s="9" t="n">
        <x:v>0</x:v>
      </x:c>
      <x:c r="Q2088" s="11" t="n">
        <x:v>1</x:v>
      </x:c>
      <x:c r="R2088" s="8" t="n">
        <x:v>45487</x:v>
      </x:c>
      <x:c r="S2088" s="4" t="str">
        <x:v>Lost / cancelled</x:v>
      </x:c>
      <x:c r="T2088" s="10" t="n">
        <x:v>0.351536</x:v>
      </x:c>
      <x:c r="U2088" s="4" t="str">
        <x:v>Train</x:v>
      </x:c>
    </x:row>
    <x:row r="2089" ht="34" customHeight="1">
      <x:c r="A2089" s="4" t="str">
        <x:v>RS-02088</x:v>
      </x:c>
      <x:c r="B2089" s="8" t="n">
        <x:v>45428</x:v>
      </x:c>
      <x:c r="C2089" s="4" t="str">
        <x:v>PRJ-008</x:v>
      </x:c>
      <x:c r="D2089" s="4" t="str">
        <x:v>Villa</x:v>
      </x:c>
      <x:c r="E2089" s="4" t="str">
        <x:v>Enquiry</x:v>
      </x:c>
      <x:c r="F2089" s="4" t="str">
        <x:v>CUS-02088</x:v>
      </x:c>
      <x:c r="G2089" s="4" t="str">
        <x:v>UNIT-02088</x:v>
      </x:c>
      <x:c r="H2089" s="9" t="n">
        <x:v>17900000</x:v>
      </x:c>
      <x:c r="I2089" s="10" t="n">
        <x:v>0.02</x:v>
      </x:c>
      <x:c r="J2089" s="11" t="n">
        <x:v>12</x:v>
      </x:c>
      <x:c r="K2089" s="11" t="n">
        <x:v>3</x:v>
      </x:c>
      <x:c r="L2089" s="11" t="n">
        <x:v>1</x:v>
      </x:c>
      <x:c r="M2089" s="9" t="n">
        <x:f>ROUND(H2089*(1-I2089),2)</x:f>
        <x:v>17542000</x:v>
      </x:c>
      <x:c r="N2089" s="4" t="str">
        <x:v>Sales manager</x:v>
      </x:c>
      <x:c r="O2089" s="4"/>
      <x:c r="P2089" s="9" t="n">
        <x:v>0</x:v>
      </x:c>
      <x:c r="Q2089" s="11" t="n">
        <x:v>0</x:v>
      </x:c>
      <x:c r="R2089" s="8" t="n">
        <x:v>45488</x:v>
      </x:c>
      <x:c r="S2089" s="4" t="str">
        <x:v>Retained</x:v>
      </x:c>
      <x:c r="T2089" s="10" t="n">
        <x:v>0.254545</x:v>
      </x:c>
      <x:c r="U2089" s="4" t="str">
        <x:v>Train</x:v>
      </x:c>
    </x:row>
    <x:row r="2090" ht="34" customHeight="1">
      <x:c r="A2090" s="4" t="str">
        <x:v>RS-02089</x:v>
      </x:c>
      <x:c r="B2090" s="8" t="n">
        <x:v>45429</x:v>
      </x:c>
      <x:c r="C2090" s="4" t="str">
        <x:v>PRJ-009</x:v>
      </x:c>
      <x:c r="D2090" s="4" t="str">
        <x:v>Villa</x:v>
      </x:c>
      <x:c r="E2090" s="4" t="str">
        <x:v>Handed over</x:v>
      </x:c>
      <x:c r="F2090" s="4" t="str">
        <x:v>CUS-02089</x:v>
      </x:c>
      <x:c r="G2090" s="4" t="str">
        <x:v>UNIT-02089</x:v>
      </x:c>
      <x:c r="H2090" s="9" t="n">
        <x:v>10500000</x:v>
      </x:c>
      <x:c r="I2090" s="10" t="n">
        <x:v>0.03</x:v>
      </x:c>
      <x:c r="J2090" s="11" t="n">
        <x:v>10</x:v>
      </x:c>
      <x:c r="K2090" s="11" t="n">
        <x:v>6</x:v>
      </x:c>
      <x:c r="L2090" s="11" t="n">
        <x:v>1</x:v>
      </x:c>
      <x:c r="M2090" s="9" t="n">
        <x:f>ROUND(H2090*(1-I2090),2)</x:f>
        <x:v>10185000</x:v>
      </x:c>
      <x:c r="N2090" s="4" t="str">
        <x:v>Sales manager</x:v>
      </x:c>
      <x:c r="O2090" s="4" t="str">
        <x:v>BOOK-02089</x:v>
      </x:c>
      <x:c r="P2090" s="9" t="n">
        <x:v>1018500</x:v>
      </x:c>
      <x:c r="Q2090" s="11" t="n">
        <x:v>0</x:v>
      </x:c>
      <x:c r="R2090" s="8" t="n">
        <x:v>45489</x:v>
      </x:c>
      <x:c r="S2090" s="4" t="str">
        <x:v>Retained</x:v>
      </x:c>
      <x:c r="T2090" s="10" t="n">
        <x:v>0.310195</x:v>
      </x:c>
      <x:c r="U2090" s="4" t="str">
        <x:v>Train</x:v>
      </x:c>
    </x:row>
    <x:row r="2091" ht="34" customHeight="1">
      <x:c r="A2091" s="4" t="str">
        <x:v>RS-02090</x:v>
      </x:c>
      <x:c r="B2091" s="8" t="n">
        <x:v>45430</x:v>
      </x:c>
      <x:c r="C2091" s="4" t="str">
        <x:v>PRJ-010</x:v>
      </x:c>
      <x:c r="D2091" s="4" t="str">
        <x:v>Retail</x:v>
      </x:c>
      <x:c r="E2091" s="4" t="str">
        <x:v>Reserved</x:v>
      </x:c>
      <x:c r="F2091" s="4" t="str">
        <x:v>CUS-02090</x:v>
      </x:c>
      <x:c r="G2091" s="4" t="str">
        <x:v>UNIT-02090</x:v>
      </x:c>
      <x:c r="H2091" s="9" t="n">
        <x:v>23700000</x:v>
      </x:c>
      <x:c r="I2091" s="10" t="n">
        <x:v>0.1</x:v>
      </x:c>
      <x:c r="J2091" s="11" t="n">
        <x:v>3</x:v>
      </x:c>
      <x:c r="K2091" s="11" t="n">
        <x:v>7</x:v>
      </x:c>
      <x:c r="L2091" s="11" t="n">
        <x:v>1</x:v>
      </x:c>
      <x:c r="M2091" s="9" t="n">
        <x:f>ROUND(H2091*(1-I2091),2)</x:f>
        <x:v>21330000</x:v>
      </x:c>
      <x:c r="N2091" s="4" t="str">
        <x:v>Sales head</x:v>
      </x:c>
      <x:c r="O2091" s="4"/>
      <x:c r="P2091" s="9" t="n">
        <x:v>0</x:v>
      </x:c>
      <x:c r="Q2091" s="11" t="n">
        <x:v>0</x:v>
      </x:c>
      <x:c r="R2091" s="8" t="n">
        <x:v>45490</x:v>
      </x:c>
      <x:c r="S2091" s="4" t="str">
        <x:v>Retained</x:v>
      </x:c>
      <x:c r="T2091" s="10" t="n">
        <x:v>0.145833</x:v>
      </x:c>
      <x:c r="U2091" s="4" t="str">
        <x:v>Train</x:v>
      </x:c>
    </x:row>
    <x:row r="2092" ht="34" customHeight="1">
      <x:c r="A2092" s="4" t="str">
        <x:v>RS-02091</x:v>
      </x:c>
      <x:c r="B2092" s="8" t="n">
        <x:v>45431</x:v>
      </x:c>
      <x:c r="C2092" s="4" t="str">
        <x:v>PRJ-011</x:v>
      </x:c>
      <x:c r="D2092" s="4" t="str">
        <x:v>Retail</x:v>
      </x:c>
      <x:c r="E2092" s="4" t="str">
        <x:v>Cancelled</x:v>
      </x:c>
      <x:c r="F2092" s="4" t="str">
        <x:v>CUS-02091</x:v>
      </x:c>
      <x:c r="G2092" s="4" t="str">
        <x:v>UNIT-02091</x:v>
      </x:c>
      <x:c r="H2092" s="9" t="n">
        <x:v>19200000</x:v>
      </x:c>
      <x:c r="I2092" s="10" t="n">
        <x:v>0.09</x:v>
      </x:c>
      <x:c r="J2092" s="11" t="n">
        <x:v>11</x:v>
      </x:c>
      <x:c r="K2092" s="11" t="n">
        <x:v>8</x:v>
      </x:c>
      <x:c r="L2092" s="11" t="n">
        <x:v>0</x:v>
      </x:c>
      <x:c r="M2092" s="9" t="n">
        <x:f>ROUND(H2092*(1-I2092),2)</x:f>
        <x:v>17472000</x:v>
      </x:c>
      <x:c r="N2092" s="4" t="str">
        <x:v>Sales head</x:v>
      </x:c>
      <x:c r="O2092" s="4"/>
      <x:c r="P2092" s="9" t="n">
        <x:v>0</x:v>
      </x:c>
      <x:c r="Q2092" s="11" t="n">
        <x:v>1</x:v>
      </x:c>
      <x:c r="R2092" s="8" t="n">
        <x:v>45491</x:v>
      </x:c>
      <x:c r="S2092" s="4" t="str">
        <x:v>Lost / cancelled</x:v>
      </x:c>
      <x:c r="T2092" s="10" t="n">
        <x:v>0.351536</x:v>
      </x:c>
      <x:c r="U2092" s="4" t="str">
        <x:v>Train</x:v>
      </x:c>
    </x:row>
    <x:row r="2093" ht="34" customHeight="1">
      <x:c r="A2093" s="4" t="str">
        <x:v>RS-02092</x:v>
      </x:c>
      <x:c r="B2093" s="8" t="n">
        <x:v>45432</x:v>
      </x:c>
      <x:c r="C2093" s="4" t="str">
        <x:v>PRJ-012</x:v>
      </x:c>
      <x:c r="D2093" s="4" t="str">
        <x:v>Apartment</x:v>
      </x:c>
      <x:c r="E2093" s="4" t="str">
        <x:v>Reserved</x:v>
      </x:c>
      <x:c r="F2093" s="4" t="str">
        <x:v>CUS-02092</x:v>
      </x:c>
      <x:c r="G2093" s="4" t="str">
        <x:v>UNIT-02092</x:v>
      </x:c>
      <x:c r="H2093" s="9" t="n">
        <x:v>18700000</x:v>
      </x:c>
      <x:c r="I2093" s="10" t="n">
        <x:v>0.03</x:v>
      </x:c>
      <x:c r="J2093" s="11" t="n">
        <x:v>11</x:v>
      </x:c>
      <x:c r="K2093" s="11" t="n">
        <x:v>7</x:v>
      </x:c>
      <x:c r="L2093" s="11" t="n">
        <x:v>1</x:v>
      </x:c>
      <x:c r="M2093" s="9" t="n">
        <x:f>ROUND(H2093*(1-I2093),2)</x:f>
        <x:v>18139000</x:v>
      </x:c>
      <x:c r="N2093" s="4" t="str">
        <x:v>Sales manager</x:v>
      </x:c>
      <x:c r="O2093" s="4"/>
      <x:c r="P2093" s="9" t="n">
        <x:v>0</x:v>
      </x:c>
      <x:c r="Q2093" s="11" t="n">
        <x:v>0</x:v>
      </x:c>
      <x:c r="R2093" s="8" t="n">
        <x:v>45492</x:v>
      </x:c>
      <x:c r="S2093" s="4" t="str">
        <x:v>Retained</x:v>
      </x:c>
      <x:c r="T2093" s="10" t="n">
        <x:v>0.351536</x:v>
      </x:c>
      <x:c r="U2093" s="4" t="str">
        <x:v>Train</x:v>
      </x:c>
    </x:row>
    <x:row r="2094" ht="34" customHeight="1">
      <x:c r="A2094" s="4" t="str">
        <x:v>RS-02093</x:v>
      </x:c>
      <x:c r="B2094" s="8" t="n">
        <x:v>45433</x:v>
      </x:c>
      <x:c r="C2094" s="4" t="str">
        <x:v>PRJ-013</x:v>
      </x:c>
      <x:c r="D2094" s="4" t="str">
        <x:v>Villa</x:v>
      </x:c>
      <x:c r="E2094" s="4" t="str">
        <x:v>Booked</x:v>
      </x:c>
      <x:c r="F2094" s="4" t="str">
        <x:v>CUS-02093</x:v>
      </x:c>
      <x:c r="G2094" s="4" t="str">
        <x:v>UNIT-02093</x:v>
      </x:c>
      <x:c r="H2094" s="9" t="n">
        <x:v>21200000</x:v>
      </x:c>
      <x:c r="I2094" s="10" t="n">
        <x:v>0.1</x:v>
      </x:c>
      <x:c r="J2094" s="11" t="n">
        <x:v>7</x:v>
      </x:c>
      <x:c r="K2094" s="11" t="n">
        <x:v>7</x:v>
      </x:c>
      <x:c r="L2094" s="11" t="n">
        <x:v>1</x:v>
      </x:c>
      <x:c r="M2094" s="9" t="n">
        <x:f>ROUND(H2094*(1-I2094),2)</x:f>
        <x:v>19080000</x:v>
      </x:c>
      <x:c r="N2094" s="4" t="str">
        <x:v>Sales head</x:v>
      </x:c>
      <x:c r="O2094" s="4" t="str">
        <x:v>BOOK-02093</x:v>
      </x:c>
      <x:c r="P2094" s="9" t="n">
        <x:v>1908000</x:v>
      </x:c>
      <x:c r="Q2094" s="11" t="n">
        <x:v>0</x:v>
      </x:c>
      <x:c r="R2094" s="8" t="n">
        <x:v>45493</x:v>
      </x:c>
      <x:c r="S2094" s="4" t="str">
        <x:v>Retained</x:v>
      </x:c>
      <x:c r="T2094" s="10" t="n">
        <x:v>0.291946</x:v>
      </x:c>
      <x:c r="U2094" s="4" t="str">
        <x:v>Train</x:v>
      </x:c>
    </x:row>
    <x:row r="2095" ht="34" customHeight="1">
      <x:c r="A2095" s="4" t="str">
        <x:v>RS-02094</x:v>
      </x:c>
      <x:c r="B2095" s="8" t="n">
        <x:v>45434</x:v>
      </x:c>
      <x:c r="C2095" s="4" t="str">
        <x:v>PRJ-014</x:v>
      </x:c>
      <x:c r="D2095" s="4" t="str">
        <x:v>Retail</x:v>
      </x:c>
      <x:c r="E2095" s="4" t="str">
        <x:v>Enquiry</x:v>
      </x:c>
      <x:c r="F2095" s="4" t="str">
        <x:v>CUS-02094</x:v>
      </x:c>
      <x:c r="G2095" s="4" t="str">
        <x:v>UNIT-02094</x:v>
      </x:c>
      <x:c r="H2095" s="9" t="n">
        <x:v>12200000</x:v>
      </x:c>
      <x:c r="I2095" s="10" t="n">
        <x:v>0.03</x:v>
      </x:c>
      <x:c r="J2095" s="11" t="n">
        <x:v>10</x:v>
      </x:c>
      <x:c r="K2095" s="11" t="n">
        <x:v>7</x:v>
      </x:c>
      <x:c r="L2095" s="11" t="n">
        <x:v>0</x:v>
      </x:c>
      <x:c r="M2095" s="9" t="n">
        <x:f>ROUND(H2095*(1-I2095),2)</x:f>
        <x:v>11834000</x:v>
      </x:c>
      <x:c r="N2095" s="4" t="str">
        <x:v>Sales manager</x:v>
      </x:c>
      <x:c r="O2095" s="4"/>
      <x:c r="P2095" s="9" t="n">
        <x:v>0</x:v>
      </x:c>
      <x:c r="Q2095" s="11" t="n">
        <x:v>0</x:v>
      </x:c>
      <x:c r="R2095" s="8" t="n">
        <x:v>45494</x:v>
      </x:c>
      <x:c r="S2095" s="4" t="str">
        <x:v>Retained</x:v>
      </x:c>
      <x:c r="T2095" s="10" t="n">
        <x:v>0.310195</x:v>
      </x:c>
      <x:c r="U2095" s="4" t="str">
        <x:v>Train</x:v>
      </x:c>
    </x:row>
    <x:row r="2096" ht="34" customHeight="1">
      <x:c r="A2096" s="4" t="str">
        <x:v>RS-02095</x:v>
      </x:c>
      <x:c r="B2096" s="8" t="n">
        <x:v>45435</x:v>
      </x:c>
      <x:c r="C2096" s="4" t="str">
        <x:v>PRJ-015</x:v>
      </x:c>
      <x:c r="D2096" s="4" t="str">
        <x:v>Office</x:v>
      </x:c>
      <x:c r="E2096" s="4" t="str">
        <x:v>Handed over</x:v>
      </x:c>
      <x:c r="F2096" s="4" t="str">
        <x:v>CUS-02095</x:v>
      </x:c>
      <x:c r="G2096" s="4" t="str">
        <x:v>UNIT-02095</x:v>
      </x:c>
      <x:c r="H2096" s="9" t="n">
        <x:v>14900000</x:v>
      </x:c>
      <x:c r="I2096" s="10" t="n">
        <x:v>0.03</x:v>
      </x:c>
      <x:c r="J2096" s="11" t="n">
        <x:v>8</x:v>
      </x:c>
      <x:c r="K2096" s="11" t="n">
        <x:v>5</x:v>
      </x:c>
      <x:c r="L2096" s="11" t="n">
        <x:v>1</x:v>
      </x:c>
      <x:c r="M2096" s="9" t="n">
        <x:f>ROUND(H2096*(1-I2096),2)</x:f>
        <x:v>14453000</x:v>
      </x:c>
      <x:c r="N2096" s="4" t="str">
        <x:v>Sales manager</x:v>
      </x:c>
      <x:c r="O2096" s="4" t="str">
        <x:v>BOOK-02095</x:v>
      </x:c>
      <x:c r="P2096" s="9" t="n">
        <x:v>14453000</x:v>
      </x:c>
      <x:c r="Q2096" s="11" t="n">
        <x:v>0</x:v>
      </x:c>
      <x:c r="R2096" s="8" t="n">
        <x:v>45495</x:v>
      </x:c>
      <x:c r="S2096" s="4" t="str">
        <x:v>Retained</x:v>
      </x:c>
      <x:c r="T2096" s="10" t="n">
        <x:v>0.310195</x:v>
      </x:c>
      <x:c r="U2096" s="4" t="str">
        <x:v>Train</x:v>
      </x:c>
    </x:row>
    <x:row r="2097" ht="34" customHeight="1">
      <x:c r="A2097" s="4" t="str">
        <x:v>RS-02096</x:v>
      </x:c>
      <x:c r="B2097" s="8" t="n">
        <x:v>45436</x:v>
      </x:c>
      <x:c r="C2097" s="4" t="str">
        <x:v>PRJ-016</x:v>
      </x:c>
      <x:c r="D2097" s="4" t="str">
        <x:v>Villa</x:v>
      </x:c>
      <x:c r="E2097" s="4" t="str">
        <x:v>Handed over</x:v>
      </x:c>
      <x:c r="F2097" s="4" t="str">
        <x:v>CUS-02096</x:v>
      </x:c>
      <x:c r="G2097" s="4" t="str">
        <x:v>UNIT-02096</x:v>
      </x:c>
      <x:c r="H2097" s="9" t="n">
        <x:v>17800000</x:v>
      </x:c>
      <x:c r="I2097" s="10" t="n">
        <x:v>0.06</x:v>
      </x:c>
      <x:c r="J2097" s="11" t="n">
        <x:v>2</x:v>
      </x:c>
      <x:c r="K2097" s="11" t="n">
        <x:v>5</x:v>
      </x:c>
      <x:c r="L2097" s="11" t="n">
        <x:v>1</x:v>
      </x:c>
      <x:c r="M2097" s="9" t="n">
        <x:f>ROUND(H2097*(1-I2097),2)</x:f>
        <x:v>16732000</x:v>
      </x:c>
      <x:c r="N2097" s="4" t="str">
        <x:v>Sales manager</x:v>
      </x:c>
      <x:c r="O2097" s="4" t="str">
        <x:v>BOOK-02096</x:v>
      </x:c>
      <x:c r="P2097" s="9" t="n">
        <x:v>8366000</x:v>
      </x:c>
      <x:c r="Q2097" s="11" t="n">
        <x:v>0</x:v>
      </x:c>
      <x:c r="R2097" s="8" t="n">
        <x:v>45496</x:v>
      </x:c>
      <x:c r="S2097" s="4" t="str">
        <x:v>Retained</x:v>
      </x:c>
      <x:c r="T2097" s="10" t="n">
        <x:v>0.204152</x:v>
      </x:c>
      <x:c r="U2097" s="4" t="str">
        <x:v>Train</x:v>
      </x:c>
    </x:row>
    <x:row r="2098" ht="34" customHeight="1">
      <x:c r="A2098" s="4" t="str">
        <x:v>RS-02097</x:v>
      </x:c>
      <x:c r="B2098" s="8" t="n">
        <x:v>45437</x:v>
      </x:c>
      <x:c r="C2098" s="4" t="str">
        <x:v>PRJ-017</x:v>
      </x:c>
      <x:c r="D2098" s="4" t="str">
        <x:v>Villa</x:v>
      </x:c>
      <x:c r="E2098" s="4" t="str">
        <x:v>Agreement signed</x:v>
      </x:c>
      <x:c r="F2098" s="4" t="str">
        <x:v>CUS-02097</x:v>
      </x:c>
      <x:c r="G2098" s="4" t="str">
        <x:v>UNIT-02097</x:v>
      </x:c>
      <x:c r="H2098" s="9" t="n">
        <x:v>18700000</x:v>
      </x:c>
      <x:c r="I2098" s="10" t="n">
        <x:v>0.1</x:v>
      </x:c>
      <x:c r="J2098" s="11" t="n">
        <x:v>6</x:v>
      </x:c>
      <x:c r="K2098" s="11" t="n">
        <x:v>3</x:v>
      </x:c>
      <x:c r="L2098" s="11" t="n">
        <x:v>0</x:v>
      </x:c>
      <x:c r="M2098" s="9" t="n">
        <x:f>ROUND(H2098*(1-I2098),2)</x:f>
        <x:v>16830000</x:v>
      </x:c>
      <x:c r="N2098" s="4" t="str">
        <x:v>Sales head</x:v>
      </x:c>
      <x:c r="O2098" s="4" t="str">
        <x:v>BOOK-02097</x:v>
      </x:c>
      <x:c r="P2098" s="9" t="n">
        <x:v>16830000</x:v>
      </x:c>
      <x:c r="Q2098" s="11" t="n">
        <x:v>0</x:v>
      </x:c>
      <x:c r="R2098" s="8" t="n">
        <x:v>45497</x:v>
      </x:c>
      <x:c r="S2098" s="4" t="str">
        <x:v>Retained</x:v>
      </x:c>
      <x:c r="T2098" s="10" t="n">
        <x:v>0.226277</x:v>
      </x:c>
      <x:c r="U2098" s="4" t="str">
        <x:v>Train</x:v>
      </x:c>
    </x:row>
    <x:row r="2099" ht="34" customHeight="1">
      <x:c r="A2099" s="4" t="str">
        <x:v>RS-02098</x:v>
      </x:c>
      <x:c r="B2099" s="8" t="n">
        <x:v>45438</x:v>
      </x:c>
      <x:c r="C2099" s="4" t="str">
        <x:v>PRJ-018</x:v>
      </x:c>
      <x:c r="D2099" s="4" t="str">
        <x:v>Villa</x:v>
      </x:c>
      <x:c r="E2099" s="4" t="str">
        <x:v>Reserved</x:v>
      </x:c>
      <x:c r="F2099" s="4" t="str">
        <x:v>CUS-02098</x:v>
      </x:c>
      <x:c r="G2099" s="4" t="str">
        <x:v>UNIT-02098</x:v>
      </x:c>
      <x:c r="H2099" s="9" t="n">
        <x:v>13700000</x:v>
      </x:c>
      <x:c r="I2099" s="10" t="n">
        <x:v>0.03</x:v>
      </x:c>
      <x:c r="J2099" s="11" t="n">
        <x:v>7</x:v>
      </x:c>
      <x:c r="K2099" s="11" t="n">
        <x:v>9</x:v>
      </x:c>
      <x:c r="L2099" s="11" t="n">
        <x:v>0</x:v>
      </x:c>
      <x:c r="M2099" s="9" t="n">
        <x:f>ROUND(H2099*(1-I2099),2)</x:f>
        <x:v>13289000</x:v>
      </x:c>
      <x:c r="N2099" s="4" t="str">
        <x:v>Sales manager</x:v>
      </x:c>
      <x:c r="O2099" s="4"/>
      <x:c r="P2099" s="9" t="n">
        <x:v>0</x:v>
      </x:c>
      <x:c r="Q2099" s="11" t="n">
        <x:v>1</x:v>
      </x:c>
      <x:c r="R2099" s="8" t="n">
        <x:v>45498</x:v>
      </x:c>
      <x:c r="S2099" s="4" t="str">
        <x:v>Lost / cancelled</x:v>
      </x:c>
      <x:c r="T2099" s="10" t="n">
        <x:v>0.145299</x:v>
      </x:c>
      <x:c r="U2099" s="4" t="str">
        <x:v>Train</x:v>
      </x:c>
    </x:row>
    <x:row r="2100" ht="34" customHeight="1">
      <x:c r="A2100" s="4" t="str">
        <x:v>RS-02099</x:v>
      </x:c>
      <x:c r="B2100" s="8" t="n">
        <x:v>45439</x:v>
      </x:c>
      <x:c r="C2100" s="4" t="str">
        <x:v>PRJ-019</x:v>
      </x:c>
      <x:c r="D2100" s="4" t="str">
        <x:v>Apartment</x:v>
      </x:c>
      <x:c r="E2100" s="4" t="str">
        <x:v>Agreement signed</x:v>
      </x:c>
      <x:c r="F2100" s="4" t="str">
        <x:v>CUS-02099</x:v>
      </x:c>
      <x:c r="G2100" s="4" t="str">
        <x:v>UNIT-02099</x:v>
      </x:c>
      <x:c r="H2100" s="9" t="n">
        <x:v>24400000</x:v>
      </x:c>
      <x:c r="I2100" s="10" t="n">
        <x:v>0.09</x:v>
      </x:c>
      <x:c r="J2100" s="11" t="n">
        <x:v>1</x:v>
      </x:c>
      <x:c r="K2100" s="11" t="n">
        <x:v>0</x:v>
      </x:c>
      <x:c r="L2100" s="11" t="n">
        <x:v>0</x:v>
      </x:c>
      <x:c r="M2100" s="9" t="n">
        <x:f>ROUND(H2100*(1-I2100),2)</x:f>
        <x:v>22204000</x:v>
      </x:c>
      <x:c r="N2100" s="4" t="str">
        <x:v>Sales head</x:v>
      </x:c>
      <x:c r="O2100" s="4" t="str">
        <x:v>BOOK-02099</x:v>
      </x:c>
      <x:c r="P2100" s="9" t="n">
        <x:v>22204000</x:v>
      </x:c>
      <x:c r="Q2100" s="11" t="n">
        <x:v>0</x:v>
      </x:c>
      <x:c r="R2100" s="8" t="n">
        <x:v>45499</x:v>
      </x:c>
      <x:c r="S2100" s="4" t="str">
        <x:v>Retained</x:v>
      </x:c>
      <x:c r="T2100" s="10" t="n">
        <x:v>0.276923</x:v>
      </x:c>
      <x:c r="U2100" s="4" t="str">
        <x:v>Train</x:v>
      </x:c>
    </x:row>
    <x:row r="2101" ht="34" customHeight="1">
      <x:c r="A2101" s="4" t="str">
        <x:v>RS-02100</x:v>
      </x:c>
      <x:c r="B2101" s="8" t="n">
        <x:v>45440</x:v>
      </x:c>
      <x:c r="C2101" s="4" t="str">
        <x:v>PRJ-020</x:v>
      </x:c>
      <x:c r="D2101" s="4" t="str">
        <x:v>Retail</x:v>
      </x:c>
      <x:c r="E2101" s="4" t="str">
        <x:v>Agreement signed</x:v>
      </x:c>
      <x:c r="F2101" s="4" t="str">
        <x:v>CUS-02100</x:v>
      </x:c>
      <x:c r="G2101" s="4" t="str">
        <x:v>UNIT-02100</x:v>
      </x:c>
      <x:c r="H2101" s="9" t="n">
        <x:v>15600000</x:v>
      </x:c>
      <x:c r="I2101" s="10" t="n">
        <x:v>0.01</x:v>
      </x:c>
      <x:c r="J2101" s="11" t="n">
        <x:v>11</x:v>
      </x:c>
      <x:c r="K2101" s="11" t="n">
        <x:v>3</x:v>
      </x:c>
      <x:c r="L2101" s="11" t="n">
        <x:v>1</x:v>
      </x:c>
      <x:c r="M2101" s="9" t="n">
        <x:f>ROUND(H2101*(1-I2101),2)</x:f>
        <x:v>15444000</x:v>
      </x:c>
      <x:c r="N2101" s="4" t="str">
        <x:v>Sales manager</x:v>
      </x:c>
      <x:c r="O2101" s="4" t="str">
        <x:v>BOOK-02100</x:v>
      </x:c>
      <x:c r="P2101" s="9" t="n">
        <x:v>1544400</x:v>
      </x:c>
      <x:c r="Q2101" s="11" t="n">
        <x:v>0</x:v>
      </x:c>
      <x:c r="R2101" s="8" t="n">
        <x:v>45500</x:v>
      </x:c>
      <x:c r="S2101" s="4" t="str">
        <x:v>Retained</x:v>
      </x:c>
      <x:c r="T2101" s="10" t="n">
        <x:v>0.254545</x:v>
      </x:c>
      <x:c r="U2101" s="4" t="str">
        <x:v>Train</x:v>
      </x:c>
    </x:row>
    <x:row r="2102" ht="34" customHeight="1">
      <x:c r="A2102" s="4" t="str">
        <x:v>RS-02101</x:v>
      </x:c>
      <x:c r="B2102" s="8" t="n">
        <x:v>45413</x:v>
      </x:c>
      <x:c r="C2102" s="4" t="str">
        <x:v>PRJ-001</x:v>
      </x:c>
      <x:c r="D2102" s="4" t="str">
        <x:v>Apartment</x:v>
      </x:c>
      <x:c r="E2102" s="4" t="str">
        <x:v>Cancelled</x:v>
      </x:c>
      <x:c r="F2102" s="4" t="str">
        <x:v>CUS-02101</x:v>
      </x:c>
      <x:c r="G2102" s="4" t="str">
        <x:v>UNIT-02101</x:v>
      </x:c>
      <x:c r="H2102" s="9" t="n">
        <x:v>13400000</x:v>
      </x:c>
      <x:c r="I2102" s="10" t="n">
        <x:v>0.02</x:v>
      </x:c>
      <x:c r="J2102" s="11" t="n">
        <x:v>1</x:v>
      </x:c>
      <x:c r="K2102" s="11" t="n">
        <x:v>3</x:v>
      </x:c>
      <x:c r="L2102" s="11" t="n">
        <x:v>0</x:v>
      </x:c>
      <x:c r="M2102" s="9" t="n">
        <x:f>ROUND(H2102*(1-I2102),2)</x:f>
        <x:v>13132000</x:v>
      </x:c>
      <x:c r="N2102" s="4" t="str">
        <x:v>Sales manager</x:v>
      </x:c>
      <x:c r="O2102" s="4"/>
      <x:c r="P2102" s="9" t="n">
        <x:v>0</x:v>
      </x:c>
      <x:c r="Q2102" s="11" t="n">
        <x:v>1</x:v>
      </x:c>
      <x:c r="R2102" s="8" t="n">
        <x:v>45473</x:v>
      </x:c>
      <x:c r="S2102" s="4" t="str">
        <x:v>Lost / cancelled</x:v>
      </x:c>
      <x:c r="T2102" s="10" t="n">
        <x:v>0.072165</x:v>
      </x:c>
      <x:c r="U2102" s="4" t="str">
        <x:v>Train</x:v>
      </x:c>
    </x:row>
    <x:row r="2103" ht="34" customHeight="1">
      <x:c r="A2103" s="4" t="str">
        <x:v>RS-02102</x:v>
      </x:c>
      <x:c r="B2103" s="8" t="n">
        <x:v>45414</x:v>
      </x:c>
      <x:c r="C2103" s="4" t="str">
        <x:v>PRJ-002</x:v>
      </x:c>
      <x:c r="D2103" s="4" t="str">
        <x:v>Office</x:v>
      </x:c>
      <x:c r="E2103" s="4" t="str">
        <x:v>Reserved</x:v>
      </x:c>
      <x:c r="F2103" s="4" t="str">
        <x:v>CUS-02102</x:v>
      </x:c>
      <x:c r="G2103" s="4" t="str">
        <x:v>UNIT-02102</x:v>
      </x:c>
      <x:c r="H2103" s="9" t="n">
        <x:v>23800000</x:v>
      </x:c>
      <x:c r="I2103" s="10" t="n">
        <x:v>0.06</x:v>
      </x:c>
      <x:c r="J2103" s="11" t="n">
        <x:v>10</x:v>
      </x:c>
      <x:c r="K2103" s="11" t="n">
        <x:v>3</x:v>
      </x:c>
      <x:c r="L2103" s="11" t="n">
        <x:v>1</x:v>
      </x:c>
      <x:c r="M2103" s="9" t="n">
        <x:f>ROUND(H2103*(1-I2103),2)</x:f>
        <x:v>22372000</x:v>
      </x:c>
      <x:c r="N2103" s="4" t="str">
        <x:v>Sales manager</x:v>
      </x:c>
      <x:c r="O2103" s="4"/>
      <x:c r="P2103" s="9" t="n">
        <x:v>0</x:v>
      </x:c>
      <x:c r="Q2103" s="11" t="n">
        <x:v>1</x:v>
      </x:c>
      <x:c r="R2103" s="8" t="n">
        <x:v>45474</x:v>
      </x:c>
      <x:c r="S2103" s="4" t="str">
        <x:v>Lost / cancelled</x:v>
      </x:c>
      <x:c r="T2103" s="10" t="n">
        <x:v>0.310195</x:v>
      </x:c>
      <x:c r="U2103" s="4" t="str">
        <x:v>Train</x:v>
      </x:c>
    </x:row>
    <x:row r="2104" ht="34" customHeight="1">
      <x:c r="A2104" s="4" t="str">
        <x:v>RS-02103</x:v>
      </x:c>
      <x:c r="B2104" s="8" t="n">
        <x:v>45415</x:v>
      </x:c>
      <x:c r="C2104" s="4" t="str">
        <x:v>PRJ-003</x:v>
      </x:c>
      <x:c r="D2104" s="4" t="str">
        <x:v>Office</x:v>
      </x:c>
      <x:c r="E2104" s="4" t="str">
        <x:v>Booked</x:v>
      </x:c>
      <x:c r="F2104" s="4" t="str">
        <x:v>CUS-02103</x:v>
      </x:c>
      <x:c r="G2104" s="4" t="str">
        <x:v>UNIT-02103</x:v>
      </x:c>
      <x:c r="H2104" s="9" t="n">
        <x:v>4100000</x:v>
      </x:c>
      <x:c r="I2104" s="10" t="n">
        <x:v>0.01</x:v>
      </x:c>
      <x:c r="J2104" s="11" t="n">
        <x:v>4</x:v>
      </x:c>
      <x:c r="K2104" s="11" t="n">
        <x:v>10</x:v>
      </x:c>
      <x:c r="L2104" s="11" t="n">
        <x:v>1</x:v>
      </x:c>
      <x:c r="M2104" s="9" t="n">
        <x:f>ROUND(H2104*(1-I2104),2)</x:f>
        <x:v>4059000</x:v>
      </x:c>
      <x:c r="N2104" s="4" t="str">
        <x:v>Sales manager</x:v>
      </x:c>
      <x:c r="O2104" s="4" t="str">
        <x:v>BOOK-02103</x:v>
      </x:c>
      <x:c r="P2104" s="9" t="n">
        <x:v>2029500</x:v>
      </x:c>
      <x:c r="Q2104" s="11" t="n">
        <x:v>0</x:v>
      </x:c>
      <x:c r="R2104" s="8" t="n">
        <x:v>45475</x:v>
      </x:c>
      <x:c r="S2104" s="4" t="str">
        <x:v>Retained</x:v>
      </x:c>
      <x:c r="T2104" s="10" t="n">
        <x:v>0.145299</x:v>
      </x:c>
      <x:c r="U2104" s="4" t="str">
        <x:v>Train</x:v>
      </x:c>
    </x:row>
    <x:row r="2105" ht="34" customHeight="1">
      <x:c r="A2105" s="4" t="str">
        <x:v>RS-02104</x:v>
      </x:c>
      <x:c r="B2105" s="8" t="n">
        <x:v>45416</x:v>
      </x:c>
      <x:c r="C2105" s="4" t="str">
        <x:v>PRJ-004</x:v>
      </x:c>
      <x:c r="D2105" s="4" t="str">
        <x:v>Apartment</x:v>
      </x:c>
      <x:c r="E2105" s="4" t="str">
        <x:v>Reserved</x:v>
      </x:c>
      <x:c r="F2105" s="4" t="str">
        <x:v>CUS-02104</x:v>
      </x:c>
      <x:c r="G2105" s="4" t="str">
        <x:v>UNIT-02104</x:v>
      </x:c>
      <x:c r="H2105" s="9" t="n">
        <x:v>12000000</x:v>
      </x:c>
      <x:c r="I2105" s="10" t="n">
        <x:v>0.09</x:v>
      </x:c>
      <x:c r="J2105" s="11" t="n">
        <x:v>4</x:v>
      </x:c>
      <x:c r="K2105" s="11" t="n">
        <x:v>8</x:v>
      </x:c>
      <x:c r="L2105" s="11" t="n">
        <x:v>1</x:v>
      </x:c>
      <x:c r="M2105" s="9" t="n">
        <x:f>ROUND(H2105*(1-I2105),2)</x:f>
        <x:v>10920000</x:v>
      </x:c>
      <x:c r="N2105" s="4" t="str">
        <x:v>Sales head</x:v>
      </x:c>
      <x:c r="O2105" s="4"/>
      <x:c r="P2105" s="9" t="n">
        <x:v>0</x:v>
      </x:c>
      <x:c r="Q2105" s="11" t="n">
        <x:v>0</x:v>
      </x:c>
      <x:c r="R2105" s="8" t="n">
        <x:v>45476</x:v>
      </x:c>
      <x:c r="S2105" s="4" t="str">
        <x:v>Retained</x:v>
      </x:c>
      <x:c r="T2105" s="10" t="n">
        <x:v>0.291946</x:v>
      </x:c>
      <x:c r="U2105" s="4" t="str">
        <x:v>Train</x:v>
      </x:c>
    </x:row>
    <x:row r="2106" ht="34" customHeight="1">
      <x:c r="A2106" s="4" t="str">
        <x:v>RS-02105</x:v>
      </x:c>
      <x:c r="B2106" s="8" t="n">
        <x:v>45417</x:v>
      </x:c>
      <x:c r="C2106" s="4" t="str">
        <x:v>PRJ-005</x:v>
      </x:c>
      <x:c r="D2106" s="4" t="str">
        <x:v>Office</x:v>
      </x:c>
      <x:c r="E2106" s="4" t="str">
        <x:v>Booked</x:v>
      </x:c>
      <x:c r="F2106" s="4" t="str">
        <x:v>CUS-02105</x:v>
      </x:c>
      <x:c r="G2106" s="4" t="str">
        <x:v>UNIT-02105</x:v>
      </x:c>
      <x:c r="H2106" s="9" t="n">
        <x:v>11400000</x:v>
      </x:c>
      <x:c r="I2106" s="10" t="n">
        <x:v>0.09</x:v>
      </x:c>
      <x:c r="J2106" s="11" t="n">
        <x:v>5</x:v>
      </x:c>
      <x:c r="K2106" s="11" t="n">
        <x:v>1</x:v>
      </x:c>
      <x:c r="L2106" s="11" t="n">
        <x:v>1</x:v>
      </x:c>
      <x:c r="M2106" s="9" t="n">
        <x:f>ROUND(H2106*(1-I2106),2)</x:f>
        <x:v>10374000</x:v>
      </x:c>
      <x:c r="N2106" s="4" t="str">
        <x:v>Sales head</x:v>
      </x:c>
      <x:c r="O2106" s="4" t="str">
        <x:v>BOOK-02105</x:v>
      </x:c>
      <x:c r="P2106" s="9" t="n">
        <x:v>2593500</x:v>
      </x:c>
      <x:c r="Q2106" s="11" t="n">
        <x:v>0</x:v>
      </x:c>
      <x:c r="R2106" s="8" t="n">
        <x:v>45477</x:v>
      </x:c>
      <x:c r="S2106" s="4" t="str">
        <x:v>Retained</x:v>
      </x:c>
      <x:c r="T2106" s="10" t="n">
        <x:v>0.291946</x:v>
      </x:c>
      <x:c r="U2106" s="4" t="str">
        <x:v>Train</x:v>
      </x:c>
    </x:row>
    <x:row r="2107" ht="34" customHeight="1">
      <x:c r="A2107" s="4" t="str">
        <x:v>RS-02106</x:v>
      </x:c>
      <x:c r="B2107" s="8" t="n">
        <x:v>45418</x:v>
      </x:c>
      <x:c r="C2107" s="4" t="str">
        <x:v>PRJ-006</x:v>
      </x:c>
      <x:c r="D2107" s="4" t="str">
        <x:v>Villa</x:v>
      </x:c>
      <x:c r="E2107" s="4" t="str">
        <x:v>Agreement signed</x:v>
      </x:c>
      <x:c r="F2107" s="4" t="str">
        <x:v>CUS-02106</x:v>
      </x:c>
      <x:c r="G2107" s="4" t="str">
        <x:v>UNIT-02106</x:v>
      </x:c>
      <x:c r="H2107" s="9" t="n">
        <x:v>7200000</x:v>
      </x:c>
      <x:c r="I2107" s="10" t="n">
        <x:v>0.06</x:v>
      </x:c>
      <x:c r="J2107" s="11" t="n">
        <x:v>4</x:v>
      </x:c>
      <x:c r="K2107" s="11" t="n">
        <x:v>5</x:v>
      </x:c>
      <x:c r="L2107" s="11" t="n">
        <x:v>0</x:v>
      </x:c>
      <x:c r="M2107" s="9" t="n">
        <x:f>ROUND(H2107*(1-I2107),2)</x:f>
        <x:v>6768000</x:v>
      </x:c>
      <x:c r="N2107" s="4" t="str">
        <x:v>Sales manager</x:v>
      </x:c>
      <x:c r="O2107" s="4" t="str">
        <x:v>BOOK-02106</x:v>
      </x:c>
      <x:c r="P2107" s="9" t="n">
        <x:v>1692000</x:v>
      </x:c>
      <x:c r="Q2107" s="11" t="n">
        <x:v>0</x:v>
      </x:c>
      <x:c r="R2107" s="8" t="n">
        <x:v>45478</x:v>
      </x:c>
      <x:c r="S2107" s="4" t="str">
        <x:v>Retained</x:v>
      </x:c>
      <x:c r="T2107" s="10" t="n">
        <x:v>0.226277</x:v>
      </x:c>
      <x:c r="U2107" s="4" t="str">
        <x:v>Train</x:v>
      </x:c>
    </x:row>
    <x:row r="2108" ht="34" customHeight="1">
      <x:c r="A2108" s="4" t="str">
        <x:v>RS-02107</x:v>
      </x:c>
      <x:c r="B2108" s="8" t="n">
        <x:v>45419</x:v>
      </x:c>
      <x:c r="C2108" s="4" t="str">
        <x:v>PRJ-007</x:v>
      </x:c>
      <x:c r="D2108" s="4" t="str">
        <x:v>Villa</x:v>
      </x:c>
      <x:c r="E2108" s="4" t="str">
        <x:v>Cancelled</x:v>
      </x:c>
      <x:c r="F2108" s="4" t="str">
        <x:v>CUS-02107</x:v>
      </x:c>
      <x:c r="G2108" s="4" t="str">
        <x:v>UNIT-02107</x:v>
      </x:c>
      <x:c r="H2108" s="9" t="n">
        <x:v>21700000</x:v>
      </x:c>
      <x:c r="I2108" s="10" t="n">
        <x:v>0.11</x:v>
      </x:c>
      <x:c r="J2108" s="11" t="n">
        <x:v>2</x:v>
      </x:c>
      <x:c r="K2108" s="11" t="n">
        <x:v>4</x:v>
      </x:c>
      <x:c r="L2108" s="11" t="n">
        <x:v>1</x:v>
      </x:c>
      <x:c r="M2108" s="9" t="n">
        <x:f>ROUND(H2108*(1-I2108),2)</x:f>
        <x:v>19313000</x:v>
      </x:c>
      <x:c r="N2108" s="4" t="str">
        <x:v>Sales head</x:v>
      </x:c>
      <x:c r="O2108" s="4"/>
      <x:c r="P2108" s="9" t="n">
        <x:v>0</x:v>
      </x:c>
      <x:c r="Q2108" s="11" t="n">
        <x:v>1</x:v>
      </x:c>
      <x:c r="R2108" s="8" t="n">
        <x:v>45479</x:v>
      </x:c>
      <x:c r="S2108" s="4" t="str">
        <x:v>Lost / cancelled</x:v>
      </x:c>
      <x:c r="T2108" s="10" t="n">
        <x:v>0.145833</x:v>
      </x:c>
      <x:c r="U2108" s="4" t="str">
        <x:v>Train</x:v>
      </x:c>
    </x:row>
    <x:row r="2109" ht="34" customHeight="1">
      <x:c r="A2109" s="4" t="str">
        <x:v>RS-02108</x:v>
      </x:c>
      <x:c r="B2109" s="8" t="n">
        <x:v>45420</x:v>
      </x:c>
      <x:c r="C2109" s="4" t="str">
        <x:v>PRJ-008</x:v>
      </x:c>
      <x:c r="D2109" s="4" t="str">
        <x:v>Villa</x:v>
      </x:c>
      <x:c r="E2109" s="4" t="str">
        <x:v>Cancelled</x:v>
      </x:c>
      <x:c r="F2109" s="4" t="str">
        <x:v>CUS-02108</x:v>
      </x:c>
      <x:c r="G2109" s="4" t="str">
        <x:v>UNIT-02108</x:v>
      </x:c>
      <x:c r="H2109" s="9" t="n">
        <x:v>14500000</x:v>
      </x:c>
      <x:c r="I2109" s="10" t="n">
        <x:v>0.06</x:v>
      </x:c>
      <x:c r="J2109" s="11" t="n">
        <x:v>8</x:v>
      </x:c>
      <x:c r="K2109" s="11" t="n">
        <x:v>0</x:v>
      </x:c>
      <x:c r="L2109" s="11" t="n">
        <x:v>0</x:v>
      </x:c>
      <x:c r="M2109" s="9" t="n">
        <x:f>ROUND(H2109*(1-I2109),2)</x:f>
        <x:v>13630000</x:v>
      </x:c>
      <x:c r="N2109" s="4" t="str">
        <x:v>Sales manager</x:v>
      </x:c>
      <x:c r="O2109" s="4"/>
      <x:c r="P2109" s="9" t="n">
        <x:v>0</x:v>
      </x:c>
      <x:c r="Q2109" s="11" t="n">
        <x:v>1</x:v>
      </x:c>
      <x:c r="R2109" s="8" t="n">
        <x:v>45480</x:v>
      </x:c>
      <x:c r="S2109" s="4" t="str">
        <x:v>Lost / cancelled</x:v>
      </x:c>
      <x:c r="T2109" s="10" t="n">
        <x:v>0.310195</x:v>
      </x:c>
      <x:c r="U2109" s="4" t="str">
        <x:v>Train</x:v>
      </x:c>
    </x:row>
    <x:row r="2110" ht="34" customHeight="1">
      <x:c r="A2110" s="4" t="str">
        <x:v>RS-02109</x:v>
      </x:c>
      <x:c r="B2110" s="8" t="n">
        <x:v>45421</x:v>
      </x:c>
      <x:c r="C2110" s="4" t="str">
        <x:v>PRJ-009</x:v>
      </x:c>
      <x:c r="D2110" s="4" t="str">
        <x:v>Office</x:v>
      </x:c>
      <x:c r="E2110" s="4" t="str">
        <x:v>Booked</x:v>
      </x:c>
      <x:c r="F2110" s="4" t="str">
        <x:v>CUS-02109</x:v>
      </x:c>
      <x:c r="G2110" s="4" t="str">
        <x:v>UNIT-02109</x:v>
      </x:c>
      <x:c r="H2110" s="9" t="n">
        <x:v>8600000</x:v>
      </x:c>
      <x:c r="I2110" s="10" t="n">
        <x:v>0.08</x:v>
      </x:c>
      <x:c r="J2110" s="11" t="n">
        <x:v>12</x:v>
      </x:c>
      <x:c r="K2110" s="11" t="n">
        <x:v>1</x:v>
      </x:c>
      <x:c r="L2110" s="11" t="n">
        <x:v>1</x:v>
      </x:c>
      <x:c r="M2110" s="9" t="n">
        <x:f>ROUND(H2110*(1-I2110),2)</x:f>
        <x:v>7912000</x:v>
      </x:c>
      <x:c r="N2110" s="4" t="str">
        <x:v>Sales head</x:v>
      </x:c>
      <x:c r="O2110" s="4" t="str">
        <x:v>BOOK-02109</x:v>
      </x:c>
      <x:c r="P2110" s="9" t="n">
        <x:v>1978000</x:v>
      </x:c>
      <x:c r="Q2110" s="11" t="n">
        <x:v>0</x:v>
      </x:c>
      <x:c r="R2110" s="8" t="n">
        <x:v>45481</x:v>
      </x:c>
      <x:c r="S2110" s="4" t="str">
        <x:v>Retained</x:v>
      </x:c>
      <x:c r="T2110" s="10" t="n">
        <x:v>0.351536</x:v>
      </x:c>
      <x:c r="U2110" s="4" t="str">
        <x:v>Train</x:v>
      </x:c>
    </x:row>
    <x:row r="2111" ht="34" customHeight="1">
      <x:c r="A2111" s="4" t="str">
        <x:v>RS-02110</x:v>
      </x:c>
      <x:c r="B2111" s="8" t="n">
        <x:v>45422</x:v>
      </x:c>
      <x:c r="C2111" s="4" t="str">
        <x:v>PRJ-010</x:v>
      </x:c>
      <x:c r="D2111" s="4" t="str">
        <x:v>Office</x:v>
      </x:c>
      <x:c r="E2111" s="4" t="str">
        <x:v>Enquiry</x:v>
      </x:c>
      <x:c r="F2111" s="4" t="str">
        <x:v>CUS-02110</x:v>
      </x:c>
      <x:c r="G2111" s="4" t="str">
        <x:v>UNIT-02110</x:v>
      </x:c>
      <x:c r="H2111" s="9" t="n">
        <x:v>10000000</x:v>
      </x:c>
      <x:c r="I2111" s="10" t="n">
        <x:v>0.03</x:v>
      </x:c>
      <x:c r="J2111" s="11" t="n">
        <x:v>2</x:v>
      </x:c>
      <x:c r="K2111" s="11" t="n">
        <x:v>1</x:v>
      </x:c>
      <x:c r="L2111" s="11" t="n">
        <x:v>1</x:v>
      </x:c>
      <x:c r="M2111" s="9" t="n">
        <x:f>ROUND(H2111*(1-I2111),2)</x:f>
        <x:v>9700000</x:v>
      </x:c>
      <x:c r="N2111" s="4" t="str">
        <x:v>Sales manager</x:v>
      </x:c>
      <x:c r="O2111" s="4"/>
      <x:c r="P2111" s="9" t="n">
        <x:v>0</x:v>
      </x:c>
      <x:c r="Q2111" s="11" t="n">
        <x:v>0</x:v>
      </x:c>
      <x:c r="R2111" s="8" t="n">
        <x:v>45482</x:v>
      </x:c>
      <x:c r="S2111" s="4" t="str">
        <x:v>Retained</x:v>
      </x:c>
      <x:c r="T2111" s="10" t="n">
        <x:v>0.171717</x:v>
      </x:c>
      <x:c r="U2111" s="4" t="str">
        <x:v>Train</x:v>
      </x:c>
    </x:row>
    <x:row r="2112" ht="34" customHeight="1">
      <x:c r="A2112" s="4" t="str">
        <x:v>RS-02111</x:v>
      </x:c>
      <x:c r="B2112" s="8" t="n">
        <x:v>45423</x:v>
      </x:c>
      <x:c r="C2112" s="4" t="str">
        <x:v>PRJ-011</x:v>
      </x:c>
      <x:c r="D2112" s="4" t="str">
        <x:v>Office</x:v>
      </x:c>
      <x:c r="E2112" s="4" t="str">
        <x:v>Enquiry</x:v>
      </x:c>
      <x:c r="F2112" s="4" t="str">
        <x:v>CUS-02111</x:v>
      </x:c>
      <x:c r="G2112" s="4" t="str">
        <x:v>UNIT-02111</x:v>
      </x:c>
      <x:c r="H2112" s="9" t="n">
        <x:v>13900000</x:v>
      </x:c>
      <x:c r="I2112" s="10" t="n">
        <x:v>0.09</x:v>
      </x:c>
      <x:c r="J2112" s="11" t="n">
        <x:v>1</x:v>
      </x:c>
      <x:c r="K2112" s="11" t="n">
        <x:v>2</x:v>
      </x:c>
      <x:c r="L2112" s="11" t="n">
        <x:v>0</x:v>
      </x:c>
      <x:c r="M2112" s="9" t="n">
        <x:f>ROUND(H2112*(1-I2112),2)</x:f>
        <x:v>12649000</x:v>
      </x:c>
      <x:c r="N2112" s="4" t="str">
        <x:v>Sales head</x:v>
      </x:c>
      <x:c r="O2112" s="4"/>
      <x:c r="P2112" s="9" t="n">
        <x:v>0</x:v>
      </x:c>
      <x:c r="Q2112" s="11" t="n">
        <x:v>0</x:v>
      </x:c>
      <x:c r="R2112" s="8" t="n">
        <x:v>45483</x:v>
      </x:c>
      <x:c r="S2112" s="4" t="str">
        <x:v>Retained</x:v>
      </x:c>
      <x:c r="T2112" s="10" t="n">
        <x:v>0.145833</x:v>
      </x:c>
      <x:c r="U2112" s="4" t="str">
        <x:v>Train</x:v>
      </x:c>
    </x:row>
    <x:row r="2113" ht="34" customHeight="1">
      <x:c r="A2113" s="4" t="str">
        <x:v>RS-02112</x:v>
      </x:c>
      <x:c r="B2113" s="8" t="n">
        <x:v>45424</x:v>
      </x:c>
      <x:c r="C2113" s="4" t="str">
        <x:v>PRJ-012</x:v>
      </x:c>
      <x:c r="D2113" s="4" t="str">
        <x:v>Apartment</x:v>
      </x:c>
      <x:c r="E2113" s="4" t="str">
        <x:v>Enquiry</x:v>
      </x:c>
      <x:c r="F2113" s="4" t="str">
        <x:v>CUS-02112</x:v>
      </x:c>
      <x:c r="G2113" s="4" t="str">
        <x:v>UNIT-02112</x:v>
      </x:c>
      <x:c r="H2113" s="9" t="n">
        <x:v>22100000</x:v>
      </x:c>
      <x:c r="I2113" s="10" t="n">
        <x:v>0.01</x:v>
      </x:c>
      <x:c r="J2113" s="11" t="n">
        <x:v>3</x:v>
      </x:c>
      <x:c r="K2113" s="11" t="n">
        <x:v>7</x:v>
      </x:c>
      <x:c r="L2113" s="11" t="n">
        <x:v>1</x:v>
      </x:c>
      <x:c r="M2113" s="9" t="n">
        <x:f>ROUND(H2113*(1-I2113),2)</x:f>
        <x:v>21879000</x:v>
      </x:c>
      <x:c r="N2113" s="4" t="str">
        <x:v>Sales manager</x:v>
      </x:c>
      <x:c r="O2113" s="4"/>
      <x:c r="P2113" s="9" t="n">
        <x:v>0</x:v>
      </x:c>
      <x:c r="Q2113" s="11" t="n">
        <x:v>0</x:v>
      </x:c>
      <x:c r="R2113" s="8" t="n">
        <x:v>45484</x:v>
      </x:c>
      <x:c r="S2113" s="4" t="str">
        <x:v>Retained</x:v>
      </x:c>
      <x:c r="T2113" s="10" t="n">
        <x:v>0.171717</x:v>
      </x:c>
      <x:c r="U2113" s="4" t="str">
        <x:v>Train</x:v>
      </x:c>
    </x:row>
    <x:row r="2114" ht="34" customHeight="1">
      <x:c r="A2114" s="4" t="str">
        <x:v>RS-02113</x:v>
      </x:c>
      <x:c r="B2114" s="8" t="n">
        <x:v>45425</x:v>
      </x:c>
      <x:c r="C2114" s="4" t="str">
        <x:v>PRJ-013</x:v>
      </x:c>
      <x:c r="D2114" s="4" t="str">
        <x:v>Retail</x:v>
      </x:c>
      <x:c r="E2114" s="4" t="str">
        <x:v>Booked</x:v>
      </x:c>
      <x:c r="F2114" s="4" t="str">
        <x:v>CUS-02113</x:v>
      </x:c>
      <x:c r="G2114" s="4" t="str">
        <x:v>UNIT-02113</x:v>
      </x:c>
      <x:c r="H2114" s="9" t="n">
        <x:v>11700000</x:v>
      </x:c>
      <x:c r="I2114" s="10" t="n">
        <x:v>0.08</x:v>
      </x:c>
      <x:c r="J2114" s="11" t="n">
        <x:v>2</x:v>
      </x:c>
      <x:c r="K2114" s="11" t="n">
        <x:v>5</x:v>
      </x:c>
      <x:c r="L2114" s="11" t="n">
        <x:v>1</x:v>
      </x:c>
      <x:c r="M2114" s="9" t="n">
        <x:f>ROUND(H2114*(1-I2114),2)</x:f>
        <x:v>10764000</x:v>
      </x:c>
      <x:c r="N2114" s="4" t="str">
        <x:v>Sales head</x:v>
      </x:c>
      <x:c r="O2114" s="4" t="str">
        <x:v>BOOK-02113</x:v>
      </x:c>
      <x:c r="P2114" s="9" t="n">
        <x:v>5382000</x:v>
      </x:c>
      <x:c r="Q2114" s="11" t="n">
        <x:v>0</x:v>
      </x:c>
      <x:c r="R2114" s="8" t="n">
        <x:v>45485</x:v>
      </x:c>
      <x:c r="S2114" s="4" t="str">
        <x:v>Retained</x:v>
      </x:c>
      <x:c r="T2114" s="10" t="n">
        <x:v>0.204152</x:v>
      </x:c>
      <x:c r="U2114" s="4" t="str">
        <x:v>Train</x:v>
      </x:c>
    </x:row>
    <x:row r="2115" ht="34" customHeight="1">
      <x:c r="A2115" s="4" t="str">
        <x:v>RS-02114</x:v>
      </x:c>
      <x:c r="B2115" s="8" t="n">
        <x:v>45426</x:v>
      </x:c>
      <x:c r="C2115" s="4" t="str">
        <x:v>PRJ-014</x:v>
      </x:c>
      <x:c r="D2115" s="4" t="str">
        <x:v>Apartment</x:v>
      </x:c>
      <x:c r="E2115" s="4" t="str">
        <x:v>Handed over</x:v>
      </x:c>
      <x:c r="F2115" s="4" t="str">
        <x:v>CUS-02114</x:v>
      </x:c>
      <x:c r="G2115" s="4" t="str">
        <x:v>UNIT-02114</x:v>
      </x:c>
      <x:c r="H2115" s="9" t="n">
        <x:v>21100000</x:v>
      </x:c>
      <x:c r="I2115" s="10" t="n">
        <x:v>0.05</x:v>
      </x:c>
      <x:c r="J2115" s="11" t="n">
        <x:v>3</x:v>
      </x:c>
      <x:c r="K2115" s="11" t="n">
        <x:v>10</x:v>
      </x:c>
      <x:c r="L2115" s="11" t="n">
        <x:v>0</x:v>
      </x:c>
      <x:c r="M2115" s="9" t="n">
        <x:f>ROUND(H2115*(1-I2115),2)</x:f>
        <x:v>20045000</x:v>
      </x:c>
      <x:c r="N2115" s="4" t="str">
        <x:v>Sales manager</x:v>
      </x:c>
      <x:c r="O2115" s="4" t="str">
        <x:v>BOOK-02114</x:v>
      </x:c>
      <x:c r="P2115" s="9" t="n">
        <x:v>20045000</x:v>
      </x:c>
      <x:c r="Q2115" s="11" t="n">
        <x:v>0</x:v>
      </x:c>
      <x:c r="R2115" s="8" t="n">
        <x:v>45486</x:v>
      </x:c>
      <x:c r="S2115" s="4" t="str">
        <x:v>Retained</x:v>
      </x:c>
      <x:c r="T2115" s="10" t="n">
        <x:v>0.204152</x:v>
      </x:c>
      <x:c r="U2115" s="4" t="str">
        <x:v>Train</x:v>
      </x:c>
    </x:row>
    <x:row r="2116" ht="34" customHeight="1">
      <x:c r="A2116" s="4" t="str">
        <x:v>RS-02115</x:v>
      </x:c>
      <x:c r="B2116" s="8" t="n">
        <x:v>45427</x:v>
      </x:c>
      <x:c r="C2116" s="4" t="str">
        <x:v>PRJ-015</x:v>
      </x:c>
      <x:c r="D2116" s="4" t="str">
        <x:v>Villa</x:v>
      </x:c>
      <x:c r="E2116" s="4" t="str">
        <x:v>Handed over</x:v>
      </x:c>
      <x:c r="F2116" s="4" t="str">
        <x:v>CUS-02115</x:v>
      </x:c>
      <x:c r="G2116" s="4" t="str">
        <x:v>UNIT-02115</x:v>
      </x:c>
      <x:c r="H2116" s="9" t="n">
        <x:v>10500000</x:v>
      </x:c>
      <x:c r="I2116" s="10" t="n">
        <x:v>0.01</x:v>
      </x:c>
      <x:c r="J2116" s="11" t="n">
        <x:v>3</x:v>
      </x:c>
      <x:c r="K2116" s="11" t="n">
        <x:v>4</x:v>
      </x:c>
      <x:c r="L2116" s="11" t="n">
        <x:v>1</x:v>
      </x:c>
      <x:c r="M2116" s="9" t="n">
        <x:f>ROUND(H2116*(1-I2116),2)</x:f>
        <x:v>10395000</x:v>
      </x:c>
      <x:c r="N2116" s="4" t="str">
        <x:v>Sales manager</x:v>
      </x:c>
      <x:c r="O2116" s="4" t="str">
        <x:v>BOOK-02115</x:v>
      </x:c>
      <x:c r="P2116" s="9" t="n">
        <x:v>2598750</x:v>
      </x:c>
      <x:c r="Q2116" s="11" t="n">
        <x:v>0</x:v>
      </x:c>
      <x:c r="R2116" s="8" t="n">
        <x:v>45487</x:v>
      </x:c>
      <x:c r="S2116" s="4" t="str">
        <x:v>Retained</x:v>
      </x:c>
      <x:c r="T2116" s="10" t="n">
        <x:v>0.171717</x:v>
      </x:c>
      <x:c r="U2116" s="4" t="str">
        <x:v>Train</x:v>
      </x:c>
    </x:row>
    <x:row r="2117" ht="34" customHeight="1">
      <x:c r="A2117" s="4" t="str">
        <x:v>RS-02116</x:v>
      </x:c>
      <x:c r="B2117" s="8" t="n">
        <x:v>45428</x:v>
      </x:c>
      <x:c r="C2117" s="4" t="str">
        <x:v>PRJ-016</x:v>
      </x:c>
      <x:c r="D2117" s="4" t="str">
        <x:v>Apartment</x:v>
      </x:c>
      <x:c r="E2117" s="4" t="str">
        <x:v>Booked</x:v>
      </x:c>
      <x:c r="F2117" s="4" t="str">
        <x:v>CUS-02116</x:v>
      </x:c>
      <x:c r="G2117" s="4" t="str">
        <x:v>UNIT-02116</x:v>
      </x:c>
      <x:c r="H2117" s="9" t="n">
        <x:v>23600000</x:v>
      </x:c>
      <x:c r="I2117" s="10" t="n">
        <x:v>0.09</x:v>
      </x:c>
      <x:c r="J2117" s="11" t="n">
        <x:v>6</x:v>
      </x:c>
      <x:c r="K2117" s="11" t="n">
        <x:v>10</x:v>
      </x:c>
      <x:c r="L2117" s="11" t="n">
        <x:v>0</x:v>
      </x:c>
      <x:c r="M2117" s="9" t="n">
        <x:f>ROUND(H2117*(1-I2117),2)</x:f>
        <x:v>21476000</x:v>
      </x:c>
      <x:c r="N2117" s="4" t="str">
        <x:v>Sales head</x:v>
      </x:c>
      <x:c r="O2117" s="4" t="str">
        <x:v>BOOK-02116</x:v>
      </x:c>
      <x:c r="P2117" s="9" t="n">
        <x:v>2147600</x:v>
      </x:c>
      <x:c r="Q2117" s="11" t="n">
        <x:v>0</x:v>
      </x:c>
      <x:c r="R2117" s="8" t="n">
        <x:v>45488</x:v>
      </x:c>
      <x:c r="S2117" s="4" t="str">
        <x:v>Retained</x:v>
      </x:c>
      <x:c r="T2117" s="10" t="n">
        <x:v>0.226277</x:v>
      </x:c>
      <x:c r="U2117" s="4" t="str">
        <x:v>Train</x:v>
      </x:c>
    </x:row>
    <x:row r="2118" ht="34" customHeight="1">
      <x:c r="A2118" s="4" t="str">
        <x:v>RS-02117</x:v>
      </x:c>
      <x:c r="B2118" s="8" t="n">
        <x:v>45429</x:v>
      </x:c>
      <x:c r="C2118" s="4" t="str">
        <x:v>PRJ-017</x:v>
      </x:c>
      <x:c r="D2118" s="4" t="str">
        <x:v>Retail</x:v>
      </x:c>
      <x:c r="E2118" s="4" t="str">
        <x:v>Cancelled</x:v>
      </x:c>
      <x:c r="F2118" s="4" t="str">
        <x:v>CUS-02117</x:v>
      </x:c>
      <x:c r="G2118" s="4" t="str">
        <x:v>UNIT-02117</x:v>
      </x:c>
      <x:c r="H2118" s="9" t="n">
        <x:v>13700000</x:v>
      </x:c>
      <x:c r="I2118" s="10" t="n">
        <x:v>0.06</x:v>
      </x:c>
      <x:c r="J2118" s="11" t="n">
        <x:v>10</x:v>
      </x:c>
      <x:c r="K2118" s="11" t="n">
        <x:v>6</x:v>
      </x:c>
      <x:c r="L2118" s="11" t="n">
        <x:v>1</x:v>
      </x:c>
      <x:c r="M2118" s="9" t="n">
        <x:f>ROUND(H2118*(1-I2118),2)</x:f>
        <x:v>12878000</x:v>
      </x:c>
      <x:c r="N2118" s="4" t="str">
        <x:v>Sales manager</x:v>
      </x:c>
      <x:c r="O2118" s="4"/>
      <x:c r="P2118" s="9" t="n">
        <x:v>0</x:v>
      </x:c>
      <x:c r="Q2118" s="11" t="n">
        <x:v>1</x:v>
      </x:c>
      <x:c r="R2118" s="8" t="n">
        <x:v>45489</x:v>
      </x:c>
      <x:c r="S2118" s="4" t="str">
        <x:v>Lost / cancelled</x:v>
      </x:c>
      <x:c r="T2118" s="10" t="n">
        <x:v>0.310195</x:v>
      </x:c>
      <x:c r="U2118" s="4" t="str">
        <x:v>Train</x:v>
      </x:c>
    </x:row>
    <x:row r="2119" ht="34" customHeight="1">
      <x:c r="A2119" s="4" t="str">
        <x:v>RS-02118</x:v>
      </x:c>
      <x:c r="B2119" s="8" t="n">
        <x:v>45430</x:v>
      </x:c>
      <x:c r="C2119" s="4" t="str">
        <x:v>PRJ-018</x:v>
      </x:c>
      <x:c r="D2119" s="4" t="str">
        <x:v>Villa</x:v>
      </x:c>
      <x:c r="E2119" s="4" t="str">
        <x:v>Agreement signed</x:v>
      </x:c>
      <x:c r="F2119" s="4" t="str">
        <x:v>CUS-02118</x:v>
      </x:c>
      <x:c r="G2119" s="4" t="str">
        <x:v>UNIT-02118</x:v>
      </x:c>
      <x:c r="H2119" s="9" t="n">
        <x:v>5200000</x:v>
      </x:c>
      <x:c r="I2119" s="10" t="n">
        <x:v>0.06</x:v>
      </x:c>
      <x:c r="J2119" s="11" t="n">
        <x:v>4</x:v>
      </x:c>
      <x:c r="K2119" s="11" t="n">
        <x:v>2</x:v>
      </x:c>
      <x:c r="L2119" s="11" t="n">
        <x:v>0</x:v>
      </x:c>
      <x:c r="M2119" s="9" t="n">
        <x:f>ROUND(H2119*(1-I2119),2)</x:f>
        <x:v>4888000</x:v>
      </x:c>
      <x:c r="N2119" s="4" t="str">
        <x:v>Sales manager</x:v>
      </x:c>
      <x:c r="O2119" s="4" t="str">
        <x:v>BOOK-02118</x:v>
      </x:c>
      <x:c r="P2119" s="9" t="n">
        <x:v>2444000</x:v>
      </x:c>
      <x:c r="Q2119" s="11" t="n">
        <x:v>0</x:v>
      </x:c>
      <x:c r="R2119" s="8" t="n">
        <x:v>45490</x:v>
      </x:c>
      <x:c r="S2119" s="4" t="str">
        <x:v>Retained</x:v>
      </x:c>
      <x:c r="T2119" s="10" t="n">
        <x:v>0.226277</x:v>
      </x:c>
      <x:c r="U2119" s="4" t="str">
        <x:v>Train</x:v>
      </x:c>
    </x:row>
    <x:row r="2120" ht="34" customHeight="1">
      <x:c r="A2120" s="4" t="str">
        <x:v>RS-02119</x:v>
      </x:c>
      <x:c r="B2120" s="8" t="n">
        <x:v>45431</x:v>
      </x:c>
      <x:c r="C2120" s="4" t="str">
        <x:v>PRJ-019</x:v>
      </x:c>
      <x:c r="D2120" s="4" t="str">
        <x:v>Apartment</x:v>
      </x:c>
      <x:c r="E2120" s="4" t="str">
        <x:v>Reserved</x:v>
      </x:c>
      <x:c r="F2120" s="4" t="str">
        <x:v>CUS-02119</x:v>
      </x:c>
      <x:c r="G2120" s="4" t="str">
        <x:v>UNIT-02119</x:v>
      </x:c>
      <x:c r="H2120" s="9" t="n">
        <x:v>15300000</x:v>
      </x:c>
      <x:c r="I2120" s="10" t="n">
        <x:v>0.03</x:v>
      </x:c>
      <x:c r="J2120" s="11" t="n">
        <x:v>4</x:v>
      </x:c>
      <x:c r="K2120" s="11" t="n">
        <x:v>4</x:v>
      </x:c>
      <x:c r="L2120" s="11" t="n">
        <x:v>1</x:v>
      </x:c>
      <x:c r="M2120" s="9" t="n">
        <x:f>ROUND(H2120*(1-I2120),2)</x:f>
        <x:v>14841000</x:v>
      </x:c>
      <x:c r="N2120" s="4" t="str">
        <x:v>Sales manager</x:v>
      </x:c>
      <x:c r="O2120" s="4"/>
      <x:c r="P2120" s="9" t="n">
        <x:v>0</x:v>
      </x:c>
      <x:c r="Q2120" s="11" t="n">
        <x:v>1</x:v>
      </x:c>
      <x:c r="R2120" s="8" t="n">
        <x:v>45491</x:v>
      </x:c>
      <x:c r="S2120" s="4" t="str">
        <x:v>Lost / cancelled</x:v>
      </x:c>
      <x:c r="T2120" s="10" t="n">
        <x:v>0.298969</x:v>
      </x:c>
      <x:c r="U2120" s="4" t="str">
        <x:v>Train</x:v>
      </x:c>
    </x:row>
    <x:row r="2121" ht="34" customHeight="1">
      <x:c r="A2121" s="4" t="str">
        <x:v>RS-02120</x:v>
      </x:c>
      <x:c r="B2121" s="8" t="n">
        <x:v>45432</x:v>
      </x:c>
      <x:c r="C2121" s="4" t="str">
        <x:v>PRJ-020</x:v>
      </x:c>
      <x:c r="D2121" s="4" t="str">
        <x:v>Apartment</x:v>
      </x:c>
      <x:c r="E2121" s="4" t="str">
        <x:v>Reserved</x:v>
      </x:c>
      <x:c r="F2121" s="4" t="str">
        <x:v>CUS-02120</x:v>
      </x:c>
      <x:c r="G2121" s="4" t="str">
        <x:v>UNIT-02120</x:v>
      </x:c>
      <x:c r="H2121" s="9" t="n">
        <x:v>14900000</x:v>
      </x:c>
      <x:c r="I2121" s="10" t="n">
        <x:v>0.04</x:v>
      </x:c>
      <x:c r="J2121" s="11" t="n">
        <x:v>9</x:v>
      </x:c>
      <x:c r="K2121" s="11" t="n">
        <x:v>4</x:v>
      </x:c>
      <x:c r="L2121" s="11" t="n">
        <x:v>0</x:v>
      </x:c>
      <x:c r="M2121" s="9" t="n">
        <x:f>ROUND(H2121*(1-I2121),2)</x:f>
        <x:v>14304000</x:v>
      </x:c>
      <x:c r="N2121" s="4" t="str">
        <x:v>Sales manager</x:v>
      </x:c>
      <x:c r="O2121" s="4"/>
      <x:c r="P2121" s="9" t="n">
        <x:v>0</x:v>
      </x:c>
      <x:c r="Q2121" s="11" t="n">
        <x:v>0</x:v>
      </x:c>
      <x:c r="R2121" s="8" t="n">
        <x:v>45492</x:v>
      </x:c>
      <x:c r="S2121" s="4" t="str">
        <x:v>Retained</x:v>
      </x:c>
      <x:c r="T2121" s="10" t="n">
        <x:v>0.310195</x:v>
      </x:c>
      <x:c r="U2121" s="4" t="str">
        <x:v>Train</x:v>
      </x:c>
    </x:row>
    <x:row r="2122" ht="34" customHeight="1">
      <x:c r="A2122" s="4" t="str">
        <x:v>RS-02121</x:v>
      </x:c>
      <x:c r="B2122" s="8" t="n">
        <x:v>45433</x:v>
      </x:c>
      <x:c r="C2122" s="4" t="str">
        <x:v>PRJ-001</x:v>
      </x:c>
      <x:c r="D2122" s="4" t="str">
        <x:v>Villa</x:v>
      </x:c>
      <x:c r="E2122" s="4" t="str">
        <x:v>Agreement signed</x:v>
      </x:c>
      <x:c r="F2122" s="4" t="str">
        <x:v>CUS-02121</x:v>
      </x:c>
      <x:c r="G2122" s="4" t="str">
        <x:v>UNIT-02121</x:v>
      </x:c>
      <x:c r="H2122" s="9" t="n">
        <x:v>17800000</x:v>
      </x:c>
      <x:c r="I2122" s="10" t="n">
        <x:v>0.07</x:v>
      </x:c>
      <x:c r="J2122" s="11" t="n">
        <x:v>1</x:v>
      </x:c>
      <x:c r="K2122" s="11" t="n">
        <x:v>10</x:v>
      </x:c>
      <x:c r="L2122" s="11" t="n">
        <x:v>0</x:v>
      </x:c>
      <x:c r="M2122" s="9" t="n">
        <x:f>ROUND(H2122*(1-I2122),2)</x:f>
        <x:v>16554000</x:v>
      </x:c>
      <x:c r="N2122" s="4" t="str">
        <x:v>Sales manager</x:v>
      </x:c>
      <x:c r="O2122" s="4" t="str">
        <x:v>BOOK-02121</x:v>
      </x:c>
      <x:c r="P2122" s="9" t="n">
        <x:v>8277000</x:v>
      </x:c>
      <x:c r="Q2122" s="11" t="n">
        <x:v>0</x:v>
      </x:c>
      <x:c r="R2122" s="8" t="n">
        <x:v>45493</x:v>
      </x:c>
      <x:c r="S2122" s="4" t="str">
        <x:v>Retained</x:v>
      </x:c>
      <x:c r="T2122" s="10" t="n">
        <x:v>0.204152</x:v>
      </x:c>
      <x:c r="U2122" s="4" t="str">
        <x:v>Train</x:v>
      </x:c>
    </x:row>
    <x:row r="2123" ht="34" customHeight="1">
      <x:c r="A2123" s="4" t="str">
        <x:v>RS-02122</x:v>
      </x:c>
      <x:c r="B2123" s="8" t="n">
        <x:v>45434</x:v>
      </x:c>
      <x:c r="C2123" s="4" t="str">
        <x:v>PRJ-002</x:v>
      </x:c>
      <x:c r="D2123" s="4" t="str">
        <x:v>Office</x:v>
      </x:c>
      <x:c r="E2123" s="4" t="str">
        <x:v>Booked</x:v>
      </x:c>
      <x:c r="F2123" s="4" t="str">
        <x:v>CUS-02122</x:v>
      </x:c>
      <x:c r="G2123" s="4" t="str">
        <x:v>UNIT-02122</x:v>
      </x:c>
      <x:c r="H2123" s="9" t="n">
        <x:v>9600000</x:v>
      </x:c>
      <x:c r="I2123" s="10" t="n">
        <x:v>0.11</x:v>
      </x:c>
      <x:c r="J2123" s="11" t="n">
        <x:v>0</x:v>
      </x:c>
      <x:c r="K2123" s="11" t="n">
        <x:v>5</x:v>
      </x:c>
      <x:c r="L2123" s="11" t="n">
        <x:v>0</x:v>
      </x:c>
      <x:c r="M2123" s="9" t="n">
        <x:f>ROUND(H2123*(1-I2123),2)</x:f>
        <x:v>8544000</x:v>
      </x:c>
      <x:c r="N2123" s="4" t="str">
        <x:v>Sales head</x:v>
      </x:c>
      <x:c r="O2123" s="4" t="str">
        <x:v>BOOK-02122</x:v>
      </x:c>
      <x:c r="P2123" s="9" t="n">
        <x:v>8544000</x:v>
      </x:c>
      <x:c r="Q2123" s="11" t="n">
        <x:v>0</x:v>
      </x:c>
      <x:c r="R2123" s="8" t="n">
        <x:v>45494</x:v>
      </x:c>
      <x:c r="S2123" s="4" t="str">
        <x:v>Retained</x:v>
      </x:c>
      <x:c r="T2123" s="10" t="n">
        <x:v>0.145833</x:v>
      </x:c>
      <x:c r="U2123" s="4" t="str">
        <x:v>Train</x:v>
      </x:c>
    </x:row>
    <x:row r="2124" ht="34" customHeight="1">
      <x:c r="A2124" s="4" t="str">
        <x:v>RS-02123</x:v>
      </x:c>
      <x:c r="B2124" s="8" t="n">
        <x:v>45435</x:v>
      </x:c>
      <x:c r="C2124" s="4" t="str">
        <x:v>PRJ-003</x:v>
      </x:c>
      <x:c r="D2124" s="4" t="str">
        <x:v>Retail</x:v>
      </x:c>
      <x:c r="E2124" s="4" t="str">
        <x:v>Booked</x:v>
      </x:c>
      <x:c r="F2124" s="4" t="str">
        <x:v>CUS-02123</x:v>
      </x:c>
      <x:c r="G2124" s="4" t="str">
        <x:v>UNIT-02123</x:v>
      </x:c>
      <x:c r="H2124" s="9" t="n">
        <x:v>23600000</x:v>
      </x:c>
      <x:c r="I2124" s="10" t="n">
        <x:v>0.1</x:v>
      </x:c>
      <x:c r="J2124" s="11" t="n">
        <x:v>2</x:v>
      </x:c>
      <x:c r="K2124" s="11" t="n">
        <x:v>2</x:v>
      </x:c>
      <x:c r="L2124" s="11" t="n">
        <x:v>0</x:v>
      </x:c>
      <x:c r="M2124" s="9" t="n">
        <x:f>ROUND(H2124*(1-I2124),2)</x:f>
        <x:v>21240000</x:v>
      </x:c>
      <x:c r="N2124" s="4" t="str">
        <x:v>Sales head</x:v>
      </x:c>
      <x:c r="O2124" s="4" t="str">
        <x:v>BOOK-02123</x:v>
      </x:c>
      <x:c r="P2124" s="9" t="n">
        <x:v>5310000</x:v>
      </x:c>
      <x:c r="Q2124" s="11" t="n">
        <x:v>0</x:v>
      </x:c>
      <x:c r="R2124" s="8" t="n">
        <x:v>45495</x:v>
      </x:c>
      <x:c r="S2124" s="4" t="str">
        <x:v>Retained</x:v>
      </x:c>
      <x:c r="T2124" s="10" t="n">
        <x:v>0.145833</x:v>
      </x:c>
      <x:c r="U2124" s="4" t="str">
        <x:v>Train</x:v>
      </x:c>
    </x:row>
    <x:row r="2125" ht="34" customHeight="1">
      <x:c r="A2125" s="4" t="str">
        <x:v>RS-02124</x:v>
      </x:c>
      <x:c r="B2125" s="8" t="n">
        <x:v>45436</x:v>
      </x:c>
      <x:c r="C2125" s="4" t="str">
        <x:v>PRJ-004</x:v>
      </x:c>
      <x:c r="D2125" s="4" t="str">
        <x:v>Retail</x:v>
      </x:c>
      <x:c r="E2125" s="4" t="str">
        <x:v>Reserved</x:v>
      </x:c>
      <x:c r="F2125" s="4" t="str">
        <x:v>CUS-02124</x:v>
      </x:c>
      <x:c r="G2125" s="4" t="str">
        <x:v>UNIT-02124</x:v>
      </x:c>
      <x:c r="H2125" s="9" t="n">
        <x:v>12700000</x:v>
      </x:c>
      <x:c r="I2125" s="10" t="n">
        <x:v>0.05</x:v>
      </x:c>
      <x:c r="J2125" s="11" t="n">
        <x:v>8</x:v>
      </x:c>
      <x:c r="K2125" s="11" t="n">
        <x:v>7</x:v>
      </x:c>
      <x:c r="L2125" s="11" t="n">
        <x:v>0</x:v>
      </x:c>
      <x:c r="M2125" s="9" t="n">
        <x:f>ROUND(H2125*(1-I2125),2)</x:f>
        <x:v>12065000</x:v>
      </x:c>
      <x:c r="N2125" s="4" t="str">
        <x:v>Sales manager</x:v>
      </x:c>
      <x:c r="O2125" s="4"/>
      <x:c r="P2125" s="9" t="n">
        <x:v>0</x:v>
      </x:c>
      <x:c r="Q2125" s="11" t="n">
        <x:v>1</x:v>
      </x:c>
      <x:c r="R2125" s="8" t="n">
        <x:v>45496</x:v>
      </x:c>
      <x:c r="S2125" s="4" t="str">
        <x:v>Lost / cancelled</x:v>
      </x:c>
      <x:c r="T2125" s="10" t="n">
        <x:v>0.310195</x:v>
      </x:c>
      <x:c r="U2125" s="4" t="str">
        <x:v>Train</x:v>
      </x:c>
    </x:row>
    <x:row r="2126" ht="34" customHeight="1">
      <x:c r="A2126" s="4" t="str">
        <x:v>RS-02125</x:v>
      </x:c>
      <x:c r="B2126" s="8" t="n">
        <x:v>45437</x:v>
      </x:c>
      <x:c r="C2126" s="4" t="str">
        <x:v>PRJ-005</x:v>
      </x:c>
      <x:c r="D2126" s="4" t="str">
        <x:v>Office</x:v>
      </x:c>
      <x:c r="E2126" s="4" t="str">
        <x:v>Reserved</x:v>
      </x:c>
      <x:c r="F2126" s="4" t="str">
        <x:v>CUS-02125</x:v>
      </x:c>
      <x:c r="G2126" s="4" t="str">
        <x:v>UNIT-02125</x:v>
      </x:c>
      <x:c r="H2126" s="9" t="n">
        <x:v>14900000</x:v>
      </x:c>
      <x:c r="I2126" s="10" t="n">
        <x:v>0.1</x:v>
      </x:c>
      <x:c r="J2126" s="11" t="n">
        <x:v>0</x:v>
      </x:c>
      <x:c r="K2126" s="11" t="n">
        <x:v>0</x:v>
      </x:c>
      <x:c r="L2126" s="11" t="n">
        <x:v>0</x:v>
      </x:c>
      <x:c r="M2126" s="9" t="n">
        <x:f>ROUND(H2126*(1-I2126),2)</x:f>
        <x:v>13410000</x:v>
      </x:c>
      <x:c r="N2126" s="4" t="str">
        <x:v>Sales head</x:v>
      </x:c>
      <x:c r="O2126" s="4"/>
      <x:c r="P2126" s="9" t="n">
        <x:v>0</x:v>
      </x:c>
      <x:c r="Q2126" s="11" t="n">
        <x:v>0</x:v>
      </x:c>
      <x:c r="R2126" s="8" t="n">
        <x:v>45497</x:v>
      </x:c>
      <x:c r="S2126" s="4" t="str">
        <x:v>Retained</x:v>
      </x:c>
      <x:c r="T2126" s="10" t="n">
        <x:v>0.276923</x:v>
      </x:c>
      <x:c r="U2126" s="4" t="str">
        <x:v>Train</x:v>
      </x:c>
    </x:row>
    <x:row r="2127" ht="34" customHeight="1">
      <x:c r="A2127" s="4" t="str">
        <x:v>RS-02126</x:v>
      </x:c>
      <x:c r="B2127" s="8" t="n">
        <x:v>45438</x:v>
      </x:c>
      <x:c r="C2127" s="4" t="str">
        <x:v>PRJ-006</x:v>
      </x:c>
      <x:c r="D2127" s="4" t="str">
        <x:v>Office</x:v>
      </x:c>
      <x:c r="E2127" s="4" t="str">
        <x:v>Cancelled</x:v>
      </x:c>
      <x:c r="F2127" s="4" t="str">
        <x:v>CUS-02126</x:v>
      </x:c>
      <x:c r="G2127" s="4" t="str">
        <x:v>UNIT-02126</x:v>
      </x:c>
      <x:c r="H2127" s="9" t="n">
        <x:v>15600000</x:v>
      </x:c>
      <x:c r="I2127" s="10" t="n">
        <x:v>0.04</x:v>
      </x:c>
      <x:c r="J2127" s="11" t="n">
        <x:v>5</x:v>
      </x:c>
      <x:c r="K2127" s="11" t="n">
        <x:v>5</x:v>
      </x:c>
      <x:c r="L2127" s="11" t="n">
        <x:v>0</x:v>
      </x:c>
      <x:c r="M2127" s="9" t="n">
        <x:f>ROUND(H2127*(1-I2127),2)</x:f>
        <x:v>14976000</x:v>
      </x:c>
      <x:c r="N2127" s="4" t="str">
        <x:v>Sales manager</x:v>
      </x:c>
      <x:c r="O2127" s="4"/>
      <x:c r="P2127" s="9" t="n">
        <x:v>0</x:v>
      </x:c>
      <x:c r="Q2127" s="11" t="n">
        <x:v>1</x:v>
      </x:c>
      <x:c r="R2127" s="8" t="n">
        <x:v>45498</x:v>
      </x:c>
      <x:c r="S2127" s="4" t="str">
        <x:v>Lost / cancelled</x:v>
      </x:c>
      <x:c r="T2127" s="10" t="n">
        <x:v>0.226277</x:v>
      </x:c>
      <x:c r="U2127" s="4" t="str">
        <x:v>Train</x:v>
      </x:c>
    </x:row>
    <x:row r="2128" ht="34" customHeight="1">
      <x:c r="A2128" s="4" t="str">
        <x:v>RS-02127</x:v>
      </x:c>
      <x:c r="B2128" s="8" t="n">
        <x:v>45439</x:v>
      </x:c>
      <x:c r="C2128" s="4" t="str">
        <x:v>PRJ-007</x:v>
      </x:c>
      <x:c r="D2128" s="4" t="str">
        <x:v>Retail</x:v>
      </x:c>
      <x:c r="E2128" s="4" t="str">
        <x:v>Handed over</x:v>
      </x:c>
      <x:c r="F2128" s="4" t="str">
        <x:v>CUS-02127</x:v>
      </x:c>
      <x:c r="G2128" s="4" t="str">
        <x:v>UNIT-02127</x:v>
      </x:c>
      <x:c r="H2128" s="9" t="n">
        <x:v>10200000</x:v>
      </x:c>
      <x:c r="I2128" s="10" t="n">
        <x:v>0.04</x:v>
      </x:c>
      <x:c r="J2128" s="11" t="n">
        <x:v>6</x:v>
      </x:c>
      <x:c r="K2128" s="11" t="n">
        <x:v>6</x:v>
      </x:c>
      <x:c r="L2128" s="11" t="n">
        <x:v>1</x:v>
      </x:c>
      <x:c r="M2128" s="9" t="n">
        <x:f>ROUND(H2128*(1-I2128),2)</x:f>
        <x:v>9792000</x:v>
      </x:c>
      <x:c r="N2128" s="4" t="str">
        <x:v>Sales manager</x:v>
      </x:c>
      <x:c r="O2128" s="4" t="str">
        <x:v>BOOK-02127</x:v>
      </x:c>
      <x:c r="P2128" s="9" t="n">
        <x:v>2448000</x:v>
      </x:c>
      <x:c r="Q2128" s="11" t="n">
        <x:v>0</x:v>
      </x:c>
      <x:c r="R2128" s="8" t="n">
        <x:v>45499</x:v>
      </x:c>
      <x:c r="S2128" s="4" t="str">
        <x:v>Retained</x:v>
      </x:c>
      <x:c r="T2128" s="10" t="n">
        <x:v>0.291946</x:v>
      </x:c>
      <x:c r="U2128" s="4" t="str">
        <x:v>Train</x:v>
      </x:c>
    </x:row>
    <x:row r="2129" ht="34" customHeight="1">
      <x:c r="A2129" s="4" t="str">
        <x:v>RS-02128</x:v>
      </x:c>
      <x:c r="B2129" s="8" t="n">
        <x:v>45440</x:v>
      </x:c>
      <x:c r="C2129" s="4" t="str">
        <x:v>PRJ-008</x:v>
      </x:c>
      <x:c r="D2129" s="4" t="str">
        <x:v>Apartment</x:v>
      </x:c>
      <x:c r="E2129" s="4" t="str">
        <x:v>Enquiry</x:v>
      </x:c>
      <x:c r="F2129" s="4" t="str">
        <x:v>CUS-02128</x:v>
      </x:c>
      <x:c r="G2129" s="4" t="str">
        <x:v>UNIT-02128</x:v>
      </x:c>
      <x:c r="H2129" s="9" t="n">
        <x:v>16800000</x:v>
      </x:c>
      <x:c r="I2129" s="10" t="n">
        <x:v>0.08</x:v>
      </x:c>
      <x:c r="J2129" s="11" t="n">
        <x:v>6</x:v>
      </x:c>
      <x:c r="K2129" s="11" t="n">
        <x:v>6</x:v>
      </x:c>
      <x:c r="L2129" s="11" t="n">
        <x:v>0</x:v>
      </x:c>
      <x:c r="M2129" s="9" t="n">
        <x:f>ROUND(H2129*(1-I2129),2)</x:f>
        <x:v>15456000</x:v>
      </x:c>
      <x:c r="N2129" s="4" t="str">
        <x:v>Sales head</x:v>
      </x:c>
      <x:c r="O2129" s="4"/>
      <x:c r="P2129" s="9" t="n">
        <x:v>0</x:v>
      </x:c>
      <x:c r="Q2129" s="11" t="n">
        <x:v>1</x:v>
      </x:c>
      <x:c r="R2129" s="8" t="n">
        <x:v>45500</x:v>
      </x:c>
      <x:c r="S2129" s="4" t="str">
        <x:v>Lost / cancelled</x:v>
      </x:c>
      <x:c r="T2129" s="10" t="n">
        <x:v>0.226277</x:v>
      </x:c>
      <x:c r="U2129" s="4" t="str">
        <x:v>Train</x:v>
      </x:c>
    </x:row>
    <x:row r="2130" ht="34" customHeight="1">
      <x:c r="A2130" s="4" t="str">
        <x:v>RS-02129</x:v>
      </x:c>
      <x:c r="B2130" s="8" t="n">
        <x:v>45413</x:v>
      </x:c>
      <x:c r="C2130" s="4" t="str">
        <x:v>PRJ-009</x:v>
      </x:c>
      <x:c r="D2130" s="4" t="str">
        <x:v>Office</x:v>
      </x:c>
      <x:c r="E2130" s="4" t="str">
        <x:v>Enquiry</x:v>
      </x:c>
      <x:c r="F2130" s="4" t="str">
        <x:v>CUS-02129</x:v>
      </x:c>
      <x:c r="G2130" s="4" t="str">
        <x:v>UNIT-02129</x:v>
      </x:c>
      <x:c r="H2130" s="9" t="n">
        <x:v>5100000</x:v>
      </x:c>
      <x:c r="I2130" s="10" t="n">
        <x:v>0.02</x:v>
      </x:c>
      <x:c r="J2130" s="11" t="n">
        <x:v>0</x:v>
      </x:c>
      <x:c r="K2130" s="11" t="n">
        <x:v>5</x:v>
      </x:c>
      <x:c r="L2130" s="11" t="n">
        <x:v>1</x:v>
      </x:c>
      <x:c r="M2130" s="9" t="n">
        <x:f>ROUND(H2130*(1-I2130),2)</x:f>
        <x:v>4998000</x:v>
      </x:c>
      <x:c r="N2130" s="4" t="str">
        <x:v>Sales manager</x:v>
      </x:c>
      <x:c r="O2130" s="4"/>
      <x:c r="P2130" s="9" t="n">
        <x:v>0</x:v>
      </x:c>
      <x:c r="Q2130" s="11" t="n">
        <x:v>0</x:v>
      </x:c>
      <x:c r="R2130" s="8" t="n">
        <x:v>45473</x:v>
      </x:c>
      <x:c r="S2130" s="4" t="str">
        <x:v>Retained</x:v>
      </x:c>
      <x:c r="T2130" s="10" t="n">
        <x:v>0.072165</x:v>
      </x:c>
      <x:c r="U2130" s="4" t="str">
        <x:v>Train</x:v>
      </x:c>
    </x:row>
    <x:row r="2131" ht="34" customHeight="1">
      <x:c r="A2131" s="4" t="str">
        <x:v>RS-02130</x:v>
      </x:c>
      <x:c r="B2131" s="8" t="n">
        <x:v>45414</x:v>
      </x:c>
      <x:c r="C2131" s="4" t="str">
        <x:v>PRJ-010</x:v>
      </x:c>
      <x:c r="D2131" s="4" t="str">
        <x:v>Office</x:v>
      </x:c>
      <x:c r="E2131" s="4" t="str">
        <x:v>Handed over</x:v>
      </x:c>
      <x:c r="F2131" s="4" t="str">
        <x:v>CUS-02130</x:v>
      </x:c>
      <x:c r="G2131" s="4" t="str">
        <x:v>UNIT-02130</x:v>
      </x:c>
      <x:c r="H2131" s="9" t="n">
        <x:v>16000000</x:v>
      </x:c>
      <x:c r="I2131" s="10" t="n">
        <x:v>0.1</x:v>
      </x:c>
      <x:c r="J2131" s="11" t="n">
        <x:v>10</x:v>
      </x:c>
      <x:c r="K2131" s="11" t="n">
        <x:v>0</x:v>
      </x:c>
      <x:c r="L2131" s="11" t="n">
        <x:v>1</x:v>
      </x:c>
      <x:c r="M2131" s="9" t="n">
        <x:f>ROUND(H2131*(1-I2131),2)</x:f>
        <x:v>14400000</x:v>
      </x:c>
      <x:c r="N2131" s="4" t="str">
        <x:v>Sales head</x:v>
      </x:c>
      <x:c r="O2131" s="4" t="str">
        <x:v>BOOK-02130</x:v>
      </x:c>
      <x:c r="P2131" s="9" t="n">
        <x:v>14400000</x:v>
      </x:c>
      <x:c r="Q2131" s="11" t="n">
        <x:v>0</x:v>
      </x:c>
      <x:c r="R2131" s="8" t="n">
        <x:v>45474</x:v>
      </x:c>
      <x:c r="S2131" s="4" t="str">
        <x:v>Retained</x:v>
      </x:c>
      <x:c r="T2131" s="10" t="n">
        <x:v>0.310195</x:v>
      </x:c>
      <x:c r="U2131" s="4" t="str">
        <x:v>Train</x:v>
      </x:c>
    </x:row>
    <x:row r="2132" ht="34" customHeight="1">
      <x:c r="A2132" s="4" t="str">
        <x:v>RS-02131</x:v>
      </x:c>
      <x:c r="B2132" s="8" t="n">
        <x:v>45415</x:v>
      </x:c>
      <x:c r="C2132" s="4" t="str">
        <x:v>PRJ-011</x:v>
      </x:c>
      <x:c r="D2132" s="4" t="str">
        <x:v>Apartment</x:v>
      </x:c>
      <x:c r="E2132" s="4" t="str">
        <x:v>Handed over</x:v>
      </x:c>
      <x:c r="F2132" s="4" t="str">
        <x:v>CUS-02131</x:v>
      </x:c>
      <x:c r="G2132" s="4" t="str">
        <x:v>UNIT-02131</x:v>
      </x:c>
      <x:c r="H2132" s="9" t="n">
        <x:v>11800000</x:v>
      </x:c>
      <x:c r="I2132" s="10" t="n">
        <x:v>0.08</x:v>
      </x:c>
      <x:c r="J2132" s="11" t="n">
        <x:v>7</x:v>
      </x:c>
      <x:c r="K2132" s="11" t="n">
        <x:v>10</x:v>
      </x:c>
      <x:c r="L2132" s="11" t="n">
        <x:v>1</x:v>
      </x:c>
      <x:c r="M2132" s="9" t="n">
        <x:f>ROUND(H2132*(1-I2132),2)</x:f>
        <x:v>10856000</x:v>
      </x:c>
      <x:c r="N2132" s="4" t="str">
        <x:v>Sales head</x:v>
      </x:c>
      <x:c r="O2132" s="4" t="str">
        <x:v>BOOK-02131</x:v>
      </x:c>
      <x:c r="P2132" s="9" t="n">
        <x:v>5428000</x:v>
      </x:c>
      <x:c r="Q2132" s="11" t="n">
        <x:v>0</x:v>
      </x:c>
      <x:c r="R2132" s="8" t="n">
        <x:v>45475</x:v>
      </x:c>
      <x:c r="S2132" s="4" t="str">
        <x:v>Retained</x:v>
      </x:c>
      <x:c r="T2132" s="10" t="n">
        <x:v>0.291946</x:v>
      </x:c>
      <x:c r="U2132" s="4" t="str">
        <x:v>Train</x:v>
      </x:c>
    </x:row>
    <x:row r="2133" ht="34" customHeight="1">
      <x:c r="A2133" s="4" t="str">
        <x:v>RS-02132</x:v>
      </x:c>
      <x:c r="B2133" s="8" t="n">
        <x:v>45416</x:v>
      </x:c>
      <x:c r="C2133" s="4" t="str">
        <x:v>PRJ-012</x:v>
      </x:c>
      <x:c r="D2133" s="4" t="str">
        <x:v>Office</x:v>
      </x:c>
      <x:c r="E2133" s="4" t="str">
        <x:v>Cancelled</x:v>
      </x:c>
      <x:c r="F2133" s="4" t="str">
        <x:v>CUS-02132</x:v>
      </x:c>
      <x:c r="G2133" s="4" t="str">
        <x:v>UNIT-02132</x:v>
      </x:c>
      <x:c r="H2133" s="9" t="n">
        <x:v>20300000</x:v>
      </x:c>
      <x:c r="I2133" s="10" t="n">
        <x:v>0.11</x:v>
      </x:c>
      <x:c r="J2133" s="11" t="n">
        <x:v>0</x:v>
      </x:c>
      <x:c r="K2133" s="11" t="n">
        <x:v>2</x:v>
      </x:c>
      <x:c r="L2133" s="11" t="n">
        <x:v>1</x:v>
      </x:c>
      <x:c r="M2133" s="9" t="n">
        <x:f>ROUND(H2133*(1-I2133),2)</x:f>
        <x:v>18067000</x:v>
      </x:c>
      <x:c r="N2133" s="4" t="str">
        <x:v>Sales head</x:v>
      </x:c>
      <x:c r="O2133" s="4"/>
      <x:c r="P2133" s="9" t="n">
        <x:v>0</x:v>
      </x:c>
      <x:c r="Q2133" s="11" t="n">
        <x:v>1</x:v>
      </x:c>
      <x:c r="R2133" s="8" t="n">
        <x:v>45476</x:v>
      </x:c>
      <x:c r="S2133" s="4" t="str">
        <x:v>Lost / cancelled</x:v>
      </x:c>
      <x:c r="T2133" s="10" t="n">
        <x:v>0.145833</x:v>
      </x:c>
      <x:c r="U2133" s="4" t="str">
        <x:v>Train</x:v>
      </x:c>
    </x:row>
    <x:row r="2134" ht="34" customHeight="1">
      <x:c r="A2134" s="4" t="str">
        <x:v>RS-02133</x:v>
      </x:c>
      <x:c r="B2134" s="8" t="n">
        <x:v>45417</x:v>
      </x:c>
      <x:c r="C2134" s="4" t="str">
        <x:v>PRJ-013</x:v>
      </x:c>
      <x:c r="D2134" s="4" t="str">
        <x:v>Office</x:v>
      </x:c>
      <x:c r="E2134" s="4" t="str">
        <x:v>Enquiry</x:v>
      </x:c>
      <x:c r="F2134" s="4" t="str">
        <x:v>CUS-02133</x:v>
      </x:c>
      <x:c r="G2134" s="4" t="str">
        <x:v>UNIT-02133</x:v>
      </x:c>
      <x:c r="H2134" s="9" t="n">
        <x:v>12100000</x:v>
      </x:c>
      <x:c r="I2134" s="10" t="n">
        <x:v>0</x:v>
      </x:c>
      <x:c r="J2134" s="11" t="n">
        <x:v>6</x:v>
      </x:c>
      <x:c r="K2134" s="11" t="n">
        <x:v>5</x:v>
      </x:c>
      <x:c r="L2134" s="11" t="n">
        <x:v>1</x:v>
      </x:c>
      <x:c r="M2134" s="9" t="n">
        <x:f>ROUND(H2134*(1-I2134),2)</x:f>
        <x:v>12100000</x:v>
      </x:c>
      <x:c r="N2134" s="4" t="str">
        <x:v>Sales manager</x:v>
      </x:c>
      <x:c r="O2134" s="4"/>
      <x:c r="P2134" s="9" t="n">
        <x:v>0</x:v>
      </x:c>
      <x:c r="Q2134" s="11" t="n">
        <x:v>1</x:v>
      </x:c>
      <x:c r="R2134" s="8" t="n">
        <x:v>45477</x:v>
      </x:c>
      <x:c r="S2134" s="4" t="str">
        <x:v>Lost / cancelled</x:v>
      </x:c>
      <x:c r="T2134" s="10" t="n">
        <x:v>0.145299</x:v>
      </x:c>
      <x:c r="U2134" s="4" t="str">
        <x:v>Train</x:v>
      </x:c>
    </x:row>
    <x:row r="2135" ht="34" customHeight="1">
      <x:c r="A2135" s="4" t="str">
        <x:v>RS-02134</x:v>
      </x:c>
      <x:c r="B2135" s="8" t="n">
        <x:v>45418</x:v>
      </x:c>
      <x:c r="C2135" s="4" t="str">
        <x:v>PRJ-014</x:v>
      </x:c>
      <x:c r="D2135" s="4" t="str">
        <x:v>Apartment</x:v>
      </x:c>
      <x:c r="E2135" s="4" t="str">
        <x:v>Booked</x:v>
      </x:c>
      <x:c r="F2135" s="4" t="str">
        <x:v>CUS-02134</x:v>
      </x:c>
      <x:c r="G2135" s="4" t="str">
        <x:v>UNIT-02134</x:v>
      </x:c>
      <x:c r="H2135" s="9" t="n">
        <x:v>10900000</x:v>
      </x:c>
      <x:c r="I2135" s="10" t="n">
        <x:v>0.03</x:v>
      </x:c>
      <x:c r="J2135" s="11" t="n">
        <x:v>11</x:v>
      </x:c>
      <x:c r="K2135" s="11" t="n">
        <x:v>10</x:v>
      </x:c>
      <x:c r="L2135" s="11" t="n">
        <x:v>1</x:v>
      </x:c>
      <x:c r="M2135" s="9" t="n">
        <x:f>ROUND(H2135*(1-I2135),2)</x:f>
        <x:v>10573000</x:v>
      </x:c>
      <x:c r="N2135" s="4" t="str">
        <x:v>Sales manager</x:v>
      </x:c>
      <x:c r="O2135" s="4" t="str">
        <x:v>BOOK-02134</x:v>
      </x:c>
      <x:c r="P2135" s="9" t="n">
        <x:v>10573000</x:v>
      </x:c>
      <x:c r="Q2135" s="11" t="n">
        <x:v>0</x:v>
      </x:c>
      <x:c r="R2135" s="8" t="n">
        <x:v>45478</x:v>
      </x:c>
      <x:c r="S2135" s="4" t="str">
        <x:v>Retained</x:v>
      </x:c>
      <x:c r="T2135" s="10" t="n">
        <x:v>0.351536</x:v>
      </x:c>
      <x:c r="U2135" s="4" t="str">
        <x:v>Train</x:v>
      </x:c>
    </x:row>
    <x:row r="2136" ht="34" customHeight="1">
      <x:c r="A2136" s="4" t="str">
        <x:v>RS-02135</x:v>
      </x:c>
      <x:c r="B2136" s="8" t="n">
        <x:v>45419</x:v>
      </x:c>
      <x:c r="C2136" s="4" t="str">
        <x:v>PRJ-015</x:v>
      </x:c>
      <x:c r="D2136" s="4" t="str">
        <x:v>Office</x:v>
      </x:c>
      <x:c r="E2136" s="4" t="str">
        <x:v>Enquiry</x:v>
      </x:c>
      <x:c r="F2136" s="4" t="str">
        <x:v>CUS-02135</x:v>
      </x:c>
      <x:c r="G2136" s="4" t="str">
        <x:v>UNIT-02135</x:v>
      </x:c>
      <x:c r="H2136" s="9" t="n">
        <x:v>23000000</x:v>
      </x:c>
      <x:c r="I2136" s="10" t="n">
        <x:v>0.12</x:v>
      </x:c>
      <x:c r="J2136" s="11" t="n">
        <x:v>11</x:v>
      </x:c>
      <x:c r="K2136" s="11" t="n">
        <x:v>3</x:v>
      </x:c>
      <x:c r="L2136" s="11" t="n">
        <x:v>0</x:v>
      </x:c>
      <x:c r="M2136" s="9" t="n">
        <x:f>ROUND(H2136*(1-I2136),2)</x:f>
        <x:v>20240000</x:v>
      </x:c>
      <x:c r="N2136" s="4" t="str">
        <x:v>Sales head</x:v>
      </x:c>
      <x:c r="O2136" s="4"/>
      <x:c r="P2136" s="9" t="n">
        <x:v>0</x:v>
      </x:c>
      <x:c r="Q2136" s="11" t="n">
        <x:v>1</x:v>
      </x:c>
      <x:c r="R2136" s="8" t="n">
        <x:v>45479</x:v>
      </x:c>
      <x:c r="S2136" s="4" t="str">
        <x:v>Lost / cancelled</x:v>
      </x:c>
      <x:c r="T2136" s="10" t="n">
        <x:v>0.351536</x:v>
      </x:c>
      <x:c r="U2136" s="4" t="str">
        <x:v>Train</x:v>
      </x:c>
    </x:row>
    <x:row r="2137" ht="34" customHeight="1">
      <x:c r="A2137" s="4" t="str">
        <x:v>RS-02136</x:v>
      </x:c>
      <x:c r="B2137" s="8" t="n">
        <x:v>45420</x:v>
      </x:c>
      <x:c r="C2137" s="4" t="str">
        <x:v>PRJ-016</x:v>
      </x:c>
      <x:c r="D2137" s="4" t="str">
        <x:v>Villa</x:v>
      </x:c>
      <x:c r="E2137" s="4" t="str">
        <x:v>Cancelled</x:v>
      </x:c>
      <x:c r="F2137" s="4" t="str">
        <x:v>CUS-02136</x:v>
      </x:c>
      <x:c r="G2137" s="4" t="str">
        <x:v>UNIT-02136</x:v>
      </x:c>
      <x:c r="H2137" s="9" t="n">
        <x:v>11800000</x:v>
      </x:c>
      <x:c r="I2137" s="10" t="n">
        <x:v>0.05</x:v>
      </x:c>
      <x:c r="J2137" s="11" t="n">
        <x:v>6</x:v>
      </x:c>
      <x:c r="K2137" s="11" t="n">
        <x:v>1</x:v>
      </x:c>
      <x:c r="L2137" s="11" t="n">
        <x:v>1</x:v>
      </x:c>
      <x:c r="M2137" s="9" t="n">
        <x:f>ROUND(H2137*(1-I2137),2)</x:f>
        <x:v>11210000</x:v>
      </x:c>
      <x:c r="N2137" s="4" t="str">
        <x:v>Sales manager</x:v>
      </x:c>
      <x:c r="O2137" s="4"/>
      <x:c r="P2137" s="9" t="n">
        <x:v>0</x:v>
      </x:c>
      <x:c r="Q2137" s="11" t="n">
        <x:v>1</x:v>
      </x:c>
      <x:c r="R2137" s="8" t="n">
        <x:v>45480</x:v>
      </x:c>
      <x:c r="S2137" s="4" t="str">
        <x:v>Lost / cancelled</x:v>
      </x:c>
      <x:c r="T2137" s="10" t="n">
        <x:v>0.291946</x:v>
      </x:c>
      <x:c r="U2137" s="4" t="str">
        <x:v>Train</x:v>
      </x:c>
    </x:row>
    <x:row r="2138" ht="34" customHeight="1">
      <x:c r="A2138" s="4" t="str">
        <x:v>RS-02137</x:v>
      </x:c>
      <x:c r="B2138" s="8" t="n">
        <x:v>45421</x:v>
      </x:c>
      <x:c r="C2138" s="4" t="str">
        <x:v>PRJ-017</x:v>
      </x:c>
      <x:c r="D2138" s="4" t="str">
        <x:v>Apartment</x:v>
      </x:c>
      <x:c r="E2138" s="4" t="str">
        <x:v>Cancelled</x:v>
      </x:c>
      <x:c r="F2138" s="4" t="str">
        <x:v>CUS-02137</x:v>
      </x:c>
      <x:c r="G2138" s="4" t="str">
        <x:v>UNIT-02137</x:v>
      </x:c>
      <x:c r="H2138" s="9" t="n">
        <x:v>14900000</x:v>
      </x:c>
      <x:c r="I2138" s="10" t="n">
        <x:v>0.04</x:v>
      </x:c>
      <x:c r="J2138" s="11" t="n">
        <x:v>10</x:v>
      </x:c>
      <x:c r="K2138" s="11" t="n">
        <x:v>3</x:v>
      </x:c>
      <x:c r="L2138" s="11" t="n">
        <x:v>1</x:v>
      </x:c>
      <x:c r="M2138" s="9" t="n">
        <x:f>ROUND(H2138*(1-I2138),2)</x:f>
        <x:v>14304000</x:v>
      </x:c>
      <x:c r="N2138" s="4" t="str">
        <x:v>Sales manager</x:v>
      </x:c>
      <x:c r="O2138" s="4"/>
      <x:c r="P2138" s="9" t="n">
        <x:v>0</x:v>
      </x:c>
      <x:c r="Q2138" s="11" t="n">
        <x:v>1</x:v>
      </x:c>
      <x:c r="R2138" s="8" t="n">
        <x:v>45481</x:v>
      </x:c>
      <x:c r="S2138" s="4" t="str">
        <x:v>Lost / cancelled</x:v>
      </x:c>
      <x:c r="T2138" s="10" t="n">
        <x:v>0.310195</x:v>
      </x:c>
      <x:c r="U2138" s="4" t="str">
        <x:v>Train</x:v>
      </x:c>
    </x:row>
    <x:row r="2139" ht="34" customHeight="1">
      <x:c r="A2139" s="4" t="str">
        <x:v>RS-02138</x:v>
      </x:c>
      <x:c r="B2139" s="8" t="n">
        <x:v>45422</x:v>
      </x:c>
      <x:c r="C2139" s="4" t="str">
        <x:v>PRJ-018</x:v>
      </x:c>
      <x:c r="D2139" s="4" t="str">
        <x:v>Apartment</x:v>
      </x:c>
      <x:c r="E2139" s="4" t="str">
        <x:v>Cancelled</x:v>
      </x:c>
      <x:c r="F2139" s="4" t="str">
        <x:v>CUS-02138</x:v>
      </x:c>
      <x:c r="G2139" s="4" t="str">
        <x:v>UNIT-02138</x:v>
      </x:c>
      <x:c r="H2139" s="9" t="n">
        <x:v>19400000</x:v>
      </x:c>
      <x:c r="I2139" s="10" t="n">
        <x:v>0</x:v>
      </x:c>
      <x:c r="J2139" s="11" t="n">
        <x:v>12</x:v>
      </x:c>
      <x:c r="K2139" s="11" t="n">
        <x:v>3</x:v>
      </x:c>
      <x:c r="L2139" s="11" t="n">
        <x:v>1</x:v>
      </x:c>
      <x:c r="M2139" s="9" t="n">
        <x:f>ROUND(H2139*(1-I2139),2)</x:f>
        <x:v>19400000</x:v>
      </x:c>
      <x:c r="N2139" s="4" t="str">
        <x:v>Sales manager</x:v>
      </x:c>
      <x:c r="O2139" s="4"/>
      <x:c r="P2139" s="9" t="n">
        <x:v>0</x:v>
      </x:c>
      <x:c r="Q2139" s="11" t="n">
        <x:v>1</x:v>
      </x:c>
      <x:c r="R2139" s="8" t="n">
        <x:v>45482</x:v>
      </x:c>
      <x:c r="S2139" s="4" t="str">
        <x:v>Lost / cancelled</x:v>
      </x:c>
      <x:c r="T2139" s="10" t="n">
        <x:v>0.254545</x:v>
      </x:c>
      <x:c r="U2139" s="4" t="str">
        <x:v>Train</x:v>
      </x:c>
    </x:row>
    <x:row r="2140" ht="34" customHeight="1">
      <x:c r="A2140" s="4" t="str">
        <x:v>RS-02139</x:v>
      </x:c>
      <x:c r="B2140" s="8" t="n">
        <x:v>45423</x:v>
      </x:c>
      <x:c r="C2140" s="4" t="str">
        <x:v>PRJ-019</x:v>
      </x:c>
      <x:c r="D2140" s="4" t="str">
        <x:v>Office</x:v>
      </x:c>
      <x:c r="E2140" s="4" t="str">
        <x:v>Enquiry</x:v>
      </x:c>
      <x:c r="F2140" s="4" t="str">
        <x:v>CUS-02139</x:v>
      </x:c>
      <x:c r="G2140" s="4" t="str">
        <x:v>UNIT-02139</x:v>
      </x:c>
      <x:c r="H2140" s="9" t="n">
        <x:v>18900000</x:v>
      </x:c>
      <x:c r="I2140" s="10" t="n">
        <x:v>0.08</x:v>
      </x:c>
      <x:c r="J2140" s="11" t="n">
        <x:v>5</x:v>
      </x:c>
      <x:c r="K2140" s="11" t="n">
        <x:v>10</x:v>
      </x:c>
      <x:c r="L2140" s="11" t="n">
        <x:v>1</x:v>
      </x:c>
      <x:c r="M2140" s="9" t="n">
        <x:f>ROUND(H2140*(1-I2140),2)</x:f>
        <x:v>17388000</x:v>
      </x:c>
      <x:c r="N2140" s="4" t="str">
        <x:v>Sales head</x:v>
      </x:c>
      <x:c r="O2140" s="4"/>
      <x:c r="P2140" s="9" t="n">
        <x:v>0</x:v>
      </x:c>
      <x:c r="Q2140" s="11" t="n">
        <x:v>1</x:v>
      </x:c>
      <x:c r="R2140" s="8" t="n">
        <x:v>45483</x:v>
      </x:c>
      <x:c r="S2140" s="4" t="str">
        <x:v>Lost / cancelled</x:v>
      </x:c>
      <x:c r="T2140" s="10" t="n">
        <x:v>0.291946</x:v>
      </x:c>
      <x:c r="U2140" s="4" t="str">
        <x:v>Train</x:v>
      </x:c>
    </x:row>
    <x:row r="2141" ht="34" customHeight="1">
      <x:c r="A2141" s="4" t="str">
        <x:v>RS-02140</x:v>
      </x:c>
      <x:c r="B2141" s="8" t="n">
        <x:v>45424</x:v>
      </x:c>
      <x:c r="C2141" s="4" t="str">
        <x:v>PRJ-020</x:v>
      </x:c>
      <x:c r="D2141" s="4" t="str">
        <x:v>Office</x:v>
      </x:c>
      <x:c r="E2141" s="4" t="str">
        <x:v>Agreement signed</x:v>
      </x:c>
      <x:c r="F2141" s="4" t="str">
        <x:v>CUS-02140</x:v>
      </x:c>
      <x:c r="G2141" s="4" t="str">
        <x:v>UNIT-02140</x:v>
      </x:c>
      <x:c r="H2141" s="9" t="n">
        <x:v>12100000</x:v>
      </x:c>
      <x:c r="I2141" s="10" t="n">
        <x:v>0.09</x:v>
      </x:c>
      <x:c r="J2141" s="11" t="n">
        <x:v>4</x:v>
      </x:c>
      <x:c r="K2141" s="11" t="n">
        <x:v>5</x:v>
      </x:c>
      <x:c r="L2141" s="11" t="n">
        <x:v>0</x:v>
      </x:c>
      <x:c r="M2141" s="9" t="n">
        <x:f>ROUND(H2141*(1-I2141),2)</x:f>
        <x:v>11011000</x:v>
      </x:c>
      <x:c r="N2141" s="4" t="str">
        <x:v>Sales head</x:v>
      </x:c>
      <x:c r="O2141" s="4" t="str">
        <x:v>BOOK-02140</x:v>
      </x:c>
      <x:c r="P2141" s="9" t="n">
        <x:v>2752750</x:v>
      </x:c>
      <x:c r="Q2141" s="11" t="n">
        <x:v>0</x:v>
      </x:c>
      <x:c r="R2141" s="8" t="n">
        <x:v>45484</x:v>
      </x:c>
      <x:c r="S2141" s="4" t="str">
        <x:v>Retained</x:v>
      </x:c>
      <x:c r="T2141" s="10" t="n">
        <x:v>0.226277</x:v>
      </x:c>
      <x:c r="U2141" s="4" t="str">
        <x:v>Train</x:v>
      </x:c>
    </x:row>
    <x:row r="2142" ht="34" customHeight="1">
      <x:c r="A2142" s="4" t="str">
        <x:v>RS-02141</x:v>
      </x:c>
      <x:c r="B2142" s="8" t="n">
        <x:v>45425</x:v>
      </x:c>
      <x:c r="C2142" s="4" t="str">
        <x:v>PRJ-001</x:v>
      </x:c>
      <x:c r="D2142" s="4" t="str">
        <x:v>Apartment</x:v>
      </x:c>
      <x:c r="E2142" s="4" t="str">
        <x:v>Booked</x:v>
      </x:c>
      <x:c r="F2142" s="4" t="str">
        <x:v>CUS-02141</x:v>
      </x:c>
      <x:c r="G2142" s="4" t="str">
        <x:v>UNIT-02141</x:v>
      </x:c>
      <x:c r="H2142" s="9" t="n">
        <x:v>11700000</x:v>
      </x:c>
      <x:c r="I2142" s="10" t="n">
        <x:v>0.07</x:v>
      </x:c>
      <x:c r="J2142" s="11" t="n">
        <x:v>11</x:v>
      </x:c>
      <x:c r="K2142" s="11" t="n">
        <x:v>7</x:v>
      </x:c>
      <x:c r="L2142" s="11" t="n">
        <x:v>1</x:v>
      </x:c>
      <x:c r="M2142" s="9" t="n">
        <x:f>ROUND(H2142*(1-I2142),2)</x:f>
        <x:v>10881000</x:v>
      </x:c>
      <x:c r="N2142" s="4" t="str">
        <x:v>Sales manager</x:v>
      </x:c>
      <x:c r="O2142" s="4" t="str">
        <x:v>BOOK-02141</x:v>
      </x:c>
      <x:c r="P2142" s="9" t="n">
        <x:v>5440500</x:v>
      </x:c>
      <x:c r="Q2142" s="11" t="n">
        <x:v>0</x:v>
      </x:c>
      <x:c r="R2142" s="8" t="n">
        <x:v>45485</x:v>
      </x:c>
      <x:c r="S2142" s="4" t="str">
        <x:v>Retained</x:v>
      </x:c>
      <x:c r="T2142" s="10" t="n">
        <x:v>0.351536</x:v>
      </x:c>
      <x:c r="U2142" s="4" t="str">
        <x:v>Train</x:v>
      </x:c>
    </x:row>
    <x:row r="2143" ht="34" customHeight="1">
      <x:c r="A2143" s="4" t="str">
        <x:v>RS-02142</x:v>
      </x:c>
      <x:c r="B2143" s="8" t="n">
        <x:v>45426</x:v>
      </x:c>
      <x:c r="C2143" s="4" t="str">
        <x:v>PRJ-002</x:v>
      </x:c>
      <x:c r="D2143" s="4" t="str">
        <x:v>Apartment</x:v>
      </x:c>
      <x:c r="E2143" s="4" t="str">
        <x:v>Booked</x:v>
      </x:c>
      <x:c r="F2143" s="4" t="str">
        <x:v>CUS-02142</x:v>
      </x:c>
      <x:c r="G2143" s="4" t="str">
        <x:v>UNIT-02142</x:v>
      </x:c>
      <x:c r="H2143" s="9" t="n">
        <x:v>3500000</x:v>
      </x:c>
      <x:c r="I2143" s="10" t="n">
        <x:v>0.09</x:v>
      </x:c>
      <x:c r="J2143" s="11" t="n">
        <x:v>9</x:v>
      </x:c>
      <x:c r="K2143" s="11" t="n">
        <x:v>3</x:v>
      </x:c>
      <x:c r="L2143" s="11" t="n">
        <x:v>0</x:v>
      </x:c>
      <x:c r="M2143" s="9" t="n">
        <x:f>ROUND(H2143*(1-I2143),2)</x:f>
        <x:v>3185000</x:v>
      </x:c>
      <x:c r="N2143" s="4" t="str">
        <x:v>Sales head</x:v>
      </x:c>
      <x:c r="O2143" s="4" t="str">
        <x:v>BOOK-02142</x:v>
      </x:c>
      <x:c r="P2143" s="9" t="n">
        <x:v>3185000</x:v>
      </x:c>
      <x:c r="Q2143" s="11" t="n">
        <x:v>0</x:v>
      </x:c>
      <x:c r="R2143" s="8" t="n">
        <x:v>45486</x:v>
      </x:c>
      <x:c r="S2143" s="4" t="str">
        <x:v>Retained</x:v>
      </x:c>
      <x:c r="T2143" s="10" t="n">
        <x:v>0.310195</x:v>
      </x:c>
      <x:c r="U2143" s="4" t="str">
        <x:v>Train</x:v>
      </x:c>
    </x:row>
    <x:row r="2144" ht="34" customHeight="1">
      <x:c r="A2144" s="4" t="str">
        <x:v>RS-02143</x:v>
      </x:c>
      <x:c r="B2144" s="8" t="n">
        <x:v>45427</x:v>
      </x:c>
      <x:c r="C2144" s="4" t="str">
        <x:v>PRJ-003</x:v>
      </x:c>
      <x:c r="D2144" s="4" t="str">
        <x:v>Retail</x:v>
      </x:c>
      <x:c r="E2144" s="4" t="str">
        <x:v>Agreement signed</x:v>
      </x:c>
      <x:c r="F2144" s="4" t="str">
        <x:v>CUS-02143</x:v>
      </x:c>
      <x:c r="G2144" s="4" t="str">
        <x:v>UNIT-02143</x:v>
      </x:c>
      <x:c r="H2144" s="9" t="n">
        <x:v>16900000</x:v>
      </x:c>
      <x:c r="I2144" s="10" t="n">
        <x:v>0.08</x:v>
      </x:c>
      <x:c r="J2144" s="11" t="n">
        <x:v>4</x:v>
      </x:c>
      <x:c r="K2144" s="11" t="n">
        <x:v>6</x:v>
      </x:c>
      <x:c r="L2144" s="11" t="n">
        <x:v>1</x:v>
      </x:c>
      <x:c r="M2144" s="9" t="n">
        <x:f>ROUND(H2144*(1-I2144),2)</x:f>
        <x:v>15548000</x:v>
      </x:c>
      <x:c r="N2144" s="4" t="str">
        <x:v>Sales head</x:v>
      </x:c>
      <x:c r="O2144" s="4" t="str">
        <x:v>BOOK-02143</x:v>
      </x:c>
      <x:c r="P2144" s="9" t="n">
        <x:v>3887000</x:v>
      </x:c>
      <x:c r="Q2144" s="11" t="n">
        <x:v>0</x:v>
      </x:c>
      <x:c r="R2144" s="8" t="n">
        <x:v>45487</x:v>
      </x:c>
      <x:c r="S2144" s="4" t="str">
        <x:v>Retained</x:v>
      </x:c>
      <x:c r="T2144" s="10" t="n">
        <x:v>0.291946</x:v>
      </x:c>
      <x:c r="U2144" s="4" t="str">
        <x:v>Train</x:v>
      </x:c>
    </x:row>
    <x:row r="2145" ht="34" customHeight="1">
      <x:c r="A2145" s="4" t="str">
        <x:v>RS-02144</x:v>
      </x:c>
      <x:c r="B2145" s="8" t="n">
        <x:v>45428</x:v>
      </x:c>
      <x:c r="C2145" s="4" t="str">
        <x:v>PRJ-004</x:v>
      </x:c>
      <x:c r="D2145" s="4" t="str">
        <x:v>Villa</x:v>
      </x:c>
      <x:c r="E2145" s="4" t="str">
        <x:v>Agreement signed</x:v>
      </x:c>
      <x:c r="F2145" s="4" t="str">
        <x:v>CUS-02144</x:v>
      </x:c>
      <x:c r="G2145" s="4" t="str">
        <x:v>UNIT-02144</x:v>
      </x:c>
      <x:c r="H2145" s="9" t="n">
        <x:v>5000000</x:v>
      </x:c>
      <x:c r="I2145" s="10" t="n">
        <x:v>0.03</x:v>
      </x:c>
      <x:c r="J2145" s="11" t="n">
        <x:v>7</x:v>
      </x:c>
      <x:c r="K2145" s="11" t="n">
        <x:v>6</x:v>
      </x:c>
      <x:c r="L2145" s="11" t="n">
        <x:v>1</x:v>
      </x:c>
      <x:c r="M2145" s="9" t="n">
        <x:f>ROUND(H2145*(1-I2145),2)</x:f>
        <x:v>4850000</x:v>
      </x:c>
      <x:c r="N2145" s="4" t="str">
        <x:v>Sales manager</x:v>
      </x:c>
      <x:c r="O2145" s="4" t="str">
        <x:v>BOOK-02144</x:v>
      </x:c>
      <x:c r="P2145" s="9" t="n">
        <x:v>2425000</x:v>
      </x:c>
      <x:c r="Q2145" s="11" t="n">
        <x:v>0</x:v>
      </x:c>
      <x:c r="R2145" s="8" t="n">
        <x:v>45488</x:v>
      </x:c>
      <x:c r="S2145" s="4" t="str">
        <x:v>Retained</x:v>
      </x:c>
      <x:c r="T2145" s="10" t="n">
        <x:v>0.145299</x:v>
      </x:c>
      <x:c r="U2145" s="4" t="str">
        <x:v>Train</x:v>
      </x:c>
    </x:row>
    <x:row r="2146" ht="34" customHeight="1">
      <x:c r="A2146" s="4" t="str">
        <x:v>RS-02145</x:v>
      </x:c>
      <x:c r="B2146" s="8" t="n">
        <x:v>45429</x:v>
      </x:c>
      <x:c r="C2146" s="4" t="str">
        <x:v>PRJ-005</x:v>
      </x:c>
      <x:c r="D2146" s="4" t="str">
        <x:v>Villa</x:v>
      </x:c>
      <x:c r="E2146" s="4" t="str">
        <x:v>Enquiry</x:v>
      </x:c>
      <x:c r="F2146" s="4" t="str">
        <x:v>CUS-02145</x:v>
      </x:c>
      <x:c r="G2146" s="4" t="str">
        <x:v>UNIT-02145</x:v>
      </x:c>
      <x:c r="H2146" s="9" t="n">
        <x:v>20900000</x:v>
      </x:c>
      <x:c r="I2146" s="10" t="n">
        <x:v>0.07</x:v>
      </x:c>
      <x:c r="J2146" s="11" t="n">
        <x:v>2</x:v>
      </x:c>
      <x:c r="K2146" s="11" t="n">
        <x:v>0</x:v>
      </x:c>
      <x:c r="L2146" s="11" t="n">
        <x:v>1</x:v>
      </x:c>
      <x:c r="M2146" s="9" t="n">
        <x:f>ROUND(H2146*(1-I2146),2)</x:f>
        <x:v>19437000</x:v>
      </x:c>
      <x:c r="N2146" s="4" t="str">
        <x:v>Sales manager</x:v>
      </x:c>
      <x:c r="O2146" s="4"/>
      <x:c r="P2146" s="9" t="n">
        <x:v>0</x:v>
      </x:c>
      <x:c r="Q2146" s="11" t="n">
        <x:v>0</x:v>
      </x:c>
      <x:c r="R2146" s="8" t="n">
        <x:v>45489</x:v>
      </x:c>
      <x:c r="S2146" s="4" t="str">
        <x:v>Retained</x:v>
      </x:c>
      <x:c r="T2146" s="10" t="n">
        <x:v>0.276923</x:v>
      </x:c>
      <x:c r="U2146" s="4" t="str">
        <x:v>Train</x:v>
      </x:c>
    </x:row>
    <x:row r="2147" ht="34" customHeight="1">
      <x:c r="A2147" s="4" t="str">
        <x:v>RS-02146</x:v>
      </x:c>
      <x:c r="B2147" s="8" t="n">
        <x:v>45430</x:v>
      </x:c>
      <x:c r="C2147" s="4" t="str">
        <x:v>PRJ-006</x:v>
      </x:c>
      <x:c r="D2147" s="4" t="str">
        <x:v>Apartment</x:v>
      </x:c>
      <x:c r="E2147" s="4" t="str">
        <x:v>Handed over</x:v>
      </x:c>
      <x:c r="F2147" s="4" t="str">
        <x:v>CUS-02146</x:v>
      </x:c>
      <x:c r="G2147" s="4" t="str">
        <x:v>UNIT-02146</x:v>
      </x:c>
      <x:c r="H2147" s="9" t="n">
        <x:v>10700000</x:v>
      </x:c>
      <x:c r="I2147" s="10" t="n">
        <x:v>0.06</x:v>
      </x:c>
      <x:c r="J2147" s="11" t="n">
        <x:v>7</x:v>
      </x:c>
      <x:c r="K2147" s="11" t="n">
        <x:v>6</x:v>
      </x:c>
      <x:c r="L2147" s="11" t="n">
        <x:v>1</x:v>
      </x:c>
      <x:c r="M2147" s="9" t="n">
        <x:f>ROUND(H2147*(1-I2147),2)</x:f>
        <x:v>10058000</x:v>
      </x:c>
      <x:c r="N2147" s="4" t="str">
        <x:v>Sales manager</x:v>
      </x:c>
      <x:c r="O2147" s="4" t="str">
        <x:v>BOOK-02146</x:v>
      </x:c>
      <x:c r="P2147" s="9" t="n">
        <x:v>5029000</x:v>
      </x:c>
      <x:c r="Q2147" s="11" t="n">
        <x:v>0</x:v>
      </x:c>
      <x:c r="R2147" s="8" t="n">
        <x:v>45490</x:v>
      </x:c>
      <x:c r="S2147" s="4" t="str">
        <x:v>Retained</x:v>
      </x:c>
      <x:c r="T2147" s="10" t="n">
        <x:v>0.291946</x:v>
      </x:c>
      <x:c r="U2147" s="4" t="str">
        <x:v>Train</x:v>
      </x:c>
    </x:row>
    <x:row r="2148" ht="34" customHeight="1">
      <x:c r="A2148" s="4" t="str">
        <x:v>RS-02147</x:v>
      </x:c>
      <x:c r="B2148" s="8" t="n">
        <x:v>45431</x:v>
      </x:c>
      <x:c r="C2148" s="4" t="str">
        <x:v>PRJ-007</x:v>
      </x:c>
      <x:c r="D2148" s="4" t="str">
        <x:v>Apartment</x:v>
      </x:c>
      <x:c r="E2148" s="4" t="str">
        <x:v>Agreement signed</x:v>
      </x:c>
      <x:c r="F2148" s="4" t="str">
        <x:v>CUS-02147</x:v>
      </x:c>
      <x:c r="G2148" s="4" t="str">
        <x:v>UNIT-02147</x:v>
      </x:c>
      <x:c r="H2148" s="9" t="n">
        <x:v>9100000</x:v>
      </x:c>
      <x:c r="I2148" s="10" t="n">
        <x:v>0.05</x:v>
      </x:c>
      <x:c r="J2148" s="11" t="n">
        <x:v>12</x:v>
      </x:c>
      <x:c r="K2148" s="11" t="n">
        <x:v>9</x:v>
      </x:c>
      <x:c r="L2148" s="11" t="n">
        <x:v>0</x:v>
      </x:c>
      <x:c r="M2148" s="9" t="n">
        <x:f>ROUND(H2148*(1-I2148),2)</x:f>
        <x:v>8645000</x:v>
      </x:c>
      <x:c r="N2148" s="4" t="str">
        <x:v>Sales manager</x:v>
      </x:c>
      <x:c r="O2148" s="4" t="str">
        <x:v>BOOK-02147</x:v>
      </x:c>
      <x:c r="P2148" s="9" t="n">
        <x:v>864500</x:v>
      </x:c>
      <x:c r="Q2148" s="11" t="n">
        <x:v>0</x:v>
      </x:c>
      <x:c r="R2148" s="8" t="n">
        <x:v>45491</x:v>
      </x:c>
      <x:c r="S2148" s="4" t="str">
        <x:v>Retained</x:v>
      </x:c>
      <x:c r="T2148" s="10" t="n">
        <x:v>0.351536</x:v>
      </x:c>
      <x:c r="U2148" s="4" t="str">
        <x:v>Train</x:v>
      </x:c>
    </x:row>
    <x:row r="2149" ht="34" customHeight="1">
      <x:c r="A2149" s="4" t="str">
        <x:v>RS-02148</x:v>
      </x:c>
      <x:c r="B2149" s="8" t="n">
        <x:v>45432</x:v>
      </x:c>
      <x:c r="C2149" s="4" t="str">
        <x:v>PRJ-008</x:v>
      </x:c>
      <x:c r="D2149" s="4" t="str">
        <x:v>Apartment</x:v>
      </x:c>
      <x:c r="E2149" s="4" t="str">
        <x:v>Cancelled</x:v>
      </x:c>
      <x:c r="F2149" s="4" t="str">
        <x:v>CUS-02148</x:v>
      </x:c>
      <x:c r="G2149" s="4" t="str">
        <x:v>UNIT-02148</x:v>
      </x:c>
      <x:c r="H2149" s="9" t="n">
        <x:v>3200000</x:v>
      </x:c>
      <x:c r="I2149" s="10" t="n">
        <x:v>0.05</x:v>
      </x:c>
      <x:c r="J2149" s="11" t="n">
        <x:v>4</x:v>
      </x:c>
      <x:c r="K2149" s="11" t="n">
        <x:v>5</x:v>
      </x:c>
      <x:c r="L2149" s="11" t="n">
        <x:v>0</x:v>
      </x:c>
      <x:c r="M2149" s="9" t="n">
        <x:f>ROUND(H2149*(1-I2149),2)</x:f>
        <x:v>3040000</x:v>
      </x:c>
      <x:c r="N2149" s="4" t="str">
        <x:v>Sales manager</x:v>
      </x:c>
      <x:c r="O2149" s="4"/>
      <x:c r="P2149" s="9" t="n">
        <x:v>0</x:v>
      </x:c>
      <x:c r="Q2149" s="11" t="n">
        <x:v>1</x:v>
      </x:c>
      <x:c r="R2149" s="8" t="n">
        <x:v>45492</x:v>
      </x:c>
      <x:c r="S2149" s="4" t="str">
        <x:v>Lost / cancelled</x:v>
      </x:c>
      <x:c r="T2149" s="10" t="n">
        <x:v>0.226277</x:v>
      </x:c>
      <x:c r="U2149" s="4" t="str">
        <x:v>Train</x:v>
      </x:c>
    </x:row>
    <x:row r="2150" ht="34" customHeight="1">
      <x:c r="A2150" s="4" t="str">
        <x:v>RS-02149</x:v>
      </x:c>
      <x:c r="B2150" s="8" t="n">
        <x:v>45433</x:v>
      </x:c>
      <x:c r="C2150" s="4" t="str">
        <x:v>PRJ-009</x:v>
      </x:c>
      <x:c r="D2150" s="4" t="str">
        <x:v>Retail</x:v>
      </x:c>
      <x:c r="E2150" s="4" t="str">
        <x:v>Cancelled</x:v>
      </x:c>
      <x:c r="F2150" s="4" t="str">
        <x:v>CUS-02149</x:v>
      </x:c>
      <x:c r="G2150" s="4" t="str">
        <x:v>UNIT-02149</x:v>
      </x:c>
      <x:c r="H2150" s="9" t="n">
        <x:v>11900000</x:v>
      </x:c>
      <x:c r="I2150" s="10" t="n">
        <x:v>0.05</x:v>
      </x:c>
      <x:c r="J2150" s="11" t="n">
        <x:v>10</x:v>
      </x:c>
      <x:c r="K2150" s="11" t="n">
        <x:v>7</x:v>
      </x:c>
      <x:c r="L2150" s="11" t="n">
        <x:v>0</x:v>
      </x:c>
      <x:c r="M2150" s="9" t="n">
        <x:f>ROUND(H2150*(1-I2150),2)</x:f>
        <x:v>11305000</x:v>
      </x:c>
      <x:c r="N2150" s="4" t="str">
        <x:v>Sales manager</x:v>
      </x:c>
      <x:c r="O2150" s="4"/>
      <x:c r="P2150" s="9" t="n">
        <x:v>0</x:v>
      </x:c>
      <x:c r="Q2150" s="11" t="n">
        <x:v>1</x:v>
      </x:c>
      <x:c r="R2150" s="8" t="n">
        <x:v>45493</x:v>
      </x:c>
      <x:c r="S2150" s="4" t="str">
        <x:v>Lost / cancelled</x:v>
      </x:c>
      <x:c r="T2150" s="10" t="n">
        <x:v>0.310195</x:v>
      </x:c>
      <x:c r="U2150" s="4" t="str">
        <x:v>Train</x:v>
      </x:c>
    </x:row>
    <x:row r="2151" ht="34" customHeight="1">
      <x:c r="A2151" s="4" t="str">
        <x:v>RS-02150</x:v>
      </x:c>
      <x:c r="B2151" s="8" t="n">
        <x:v>45434</x:v>
      </x:c>
      <x:c r="C2151" s="4" t="str">
        <x:v>PRJ-010</x:v>
      </x:c>
      <x:c r="D2151" s="4" t="str">
        <x:v>Retail</x:v>
      </x:c>
      <x:c r="E2151" s="4" t="str">
        <x:v>Agreement signed</x:v>
      </x:c>
      <x:c r="F2151" s="4" t="str">
        <x:v>CUS-02150</x:v>
      </x:c>
      <x:c r="G2151" s="4" t="str">
        <x:v>UNIT-02150</x:v>
      </x:c>
      <x:c r="H2151" s="9" t="n">
        <x:v>9300000</x:v>
      </x:c>
      <x:c r="I2151" s="10" t="n">
        <x:v>0.07</x:v>
      </x:c>
      <x:c r="J2151" s="11" t="n">
        <x:v>6</x:v>
      </x:c>
      <x:c r="K2151" s="11" t="n">
        <x:v>7</x:v>
      </x:c>
      <x:c r="L2151" s="11" t="n">
        <x:v>1</x:v>
      </x:c>
      <x:c r="M2151" s="9" t="n">
        <x:f>ROUND(H2151*(1-I2151),2)</x:f>
        <x:v>8649000</x:v>
      </x:c>
      <x:c r="N2151" s="4" t="str">
        <x:v>Sales manager</x:v>
      </x:c>
      <x:c r="O2151" s="4" t="str">
        <x:v>BOOK-02150</x:v>
      </x:c>
      <x:c r="P2151" s="9" t="n">
        <x:v>4324500</x:v>
      </x:c>
      <x:c r="Q2151" s="11" t="n">
        <x:v>0</x:v>
      </x:c>
      <x:c r="R2151" s="8" t="n">
        <x:v>45494</x:v>
      </x:c>
      <x:c r="S2151" s="4" t="str">
        <x:v>Retained</x:v>
      </x:c>
      <x:c r="T2151" s="10" t="n">
        <x:v>0.291946</x:v>
      </x:c>
      <x:c r="U2151" s="4" t="str">
        <x:v>Train</x:v>
      </x:c>
    </x:row>
    <x:row r="2152" ht="34" customHeight="1">
      <x:c r="A2152" s="4" t="str">
        <x:v>RS-02151</x:v>
      </x:c>
      <x:c r="B2152" s="8" t="n">
        <x:v>45435</x:v>
      </x:c>
      <x:c r="C2152" s="4" t="str">
        <x:v>PRJ-011</x:v>
      </x:c>
      <x:c r="D2152" s="4" t="str">
        <x:v>Villa</x:v>
      </x:c>
      <x:c r="E2152" s="4" t="str">
        <x:v>Enquiry</x:v>
      </x:c>
      <x:c r="F2152" s="4" t="str">
        <x:v>CUS-02151</x:v>
      </x:c>
      <x:c r="G2152" s="4" t="str">
        <x:v>UNIT-02151</x:v>
      </x:c>
      <x:c r="H2152" s="9" t="n">
        <x:v>9700000</x:v>
      </x:c>
      <x:c r="I2152" s="10" t="n">
        <x:v>0.07</x:v>
      </x:c>
      <x:c r="J2152" s="11" t="n">
        <x:v>1</x:v>
      </x:c>
      <x:c r="K2152" s="11" t="n">
        <x:v>5</x:v>
      </x:c>
      <x:c r="L2152" s="11" t="n">
        <x:v>0</x:v>
      </x:c>
      <x:c r="M2152" s="9" t="n">
        <x:f>ROUND(H2152*(1-I2152),2)</x:f>
        <x:v>9021000</x:v>
      </x:c>
      <x:c r="N2152" s="4" t="str">
        <x:v>Sales manager</x:v>
      </x:c>
      <x:c r="O2152" s="4"/>
      <x:c r="P2152" s="9" t="n">
        <x:v>0</x:v>
      </x:c>
      <x:c r="Q2152" s="11" t="n">
        <x:v>0</x:v>
      </x:c>
      <x:c r="R2152" s="8" t="n">
        <x:v>45495</x:v>
      </x:c>
      <x:c r="S2152" s="4" t="str">
        <x:v>Retained</x:v>
      </x:c>
      <x:c r="T2152" s="10" t="n">
        <x:v>0.204152</x:v>
      </x:c>
      <x:c r="U2152" s="4" t="str">
        <x:v>Train</x:v>
      </x:c>
    </x:row>
    <x:row r="2153" ht="34" customHeight="1">
      <x:c r="A2153" s="4" t="str">
        <x:v>RS-02152</x:v>
      </x:c>
      <x:c r="B2153" s="8" t="n">
        <x:v>45436</x:v>
      </x:c>
      <x:c r="C2153" s="4" t="str">
        <x:v>PRJ-012</x:v>
      </x:c>
      <x:c r="D2153" s="4" t="str">
        <x:v>Villa</x:v>
      </x:c>
      <x:c r="E2153" s="4" t="str">
        <x:v>Booked</x:v>
      </x:c>
      <x:c r="F2153" s="4" t="str">
        <x:v>CUS-02152</x:v>
      </x:c>
      <x:c r="G2153" s="4" t="str">
        <x:v>UNIT-02152</x:v>
      </x:c>
      <x:c r="H2153" s="9" t="n">
        <x:v>17900000</x:v>
      </x:c>
      <x:c r="I2153" s="10" t="n">
        <x:v>0.11</x:v>
      </x:c>
      <x:c r="J2153" s="11" t="n">
        <x:v>3</x:v>
      </x:c>
      <x:c r="K2153" s="11" t="n">
        <x:v>8</x:v>
      </x:c>
      <x:c r="L2153" s="11" t="n">
        <x:v>1</x:v>
      </x:c>
      <x:c r="M2153" s="9" t="n">
        <x:f>ROUND(H2153*(1-I2153),2)</x:f>
        <x:v>15931000</x:v>
      </x:c>
      <x:c r="N2153" s="4" t="str">
        <x:v>Sales head</x:v>
      </x:c>
      <x:c r="O2153" s="4" t="str">
        <x:v>BOOK-02152</x:v>
      </x:c>
      <x:c r="P2153" s="9" t="n">
        <x:v>15931000</x:v>
      </x:c>
      <x:c r="Q2153" s="11" t="n">
        <x:v>0</x:v>
      </x:c>
      <x:c r="R2153" s="8" t="n">
        <x:v>45496</x:v>
      </x:c>
      <x:c r="S2153" s="4" t="str">
        <x:v>Retained</x:v>
      </x:c>
      <x:c r="T2153" s="10" t="n">
        <x:v>0.145833</x:v>
      </x:c>
      <x:c r="U2153" s="4" t="str">
        <x:v>Train</x:v>
      </x:c>
    </x:row>
    <x:row r="2154" ht="34" customHeight="1">
      <x:c r="A2154" s="4" t="str">
        <x:v>RS-02153</x:v>
      </x:c>
      <x:c r="B2154" s="8" t="n">
        <x:v>45437</x:v>
      </x:c>
      <x:c r="C2154" s="4" t="str">
        <x:v>PRJ-013</x:v>
      </x:c>
      <x:c r="D2154" s="4" t="str">
        <x:v>Apartment</x:v>
      </x:c>
      <x:c r="E2154" s="4" t="str">
        <x:v>Handed over</x:v>
      </x:c>
      <x:c r="F2154" s="4" t="str">
        <x:v>CUS-02153</x:v>
      </x:c>
      <x:c r="G2154" s="4" t="str">
        <x:v>UNIT-02153</x:v>
      </x:c>
      <x:c r="H2154" s="9" t="n">
        <x:v>19700000</x:v>
      </x:c>
      <x:c r="I2154" s="10" t="n">
        <x:v>0.01</x:v>
      </x:c>
      <x:c r="J2154" s="11" t="n">
        <x:v>4</x:v>
      </x:c>
      <x:c r="K2154" s="11" t="n">
        <x:v>5</x:v>
      </x:c>
      <x:c r="L2154" s="11" t="n">
        <x:v>1</x:v>
      </x:c>
      <x:c r="M2154" s="9" t="n">
        <x:f>ROUND(H2154*(1-I2154),2)</x:f>
        <x:v>19503000</x:v>
      </x:c>
      <x:c r="N2154" s="4" t="str">
        <x:v>Sales manager</x:v>
      </x:c>
      <x:c r="O2154" s="4" t="str">
        <x:v>BOOK-02153</x:v>
      </x:c>
      <x:c r="P2154" s="9" t="n">
        <x:v>9751500</x:v>
      </x:c>
      <x:c r="Q2154" s="11" t="n">
        <x:v>0</x:v>
      </x:c>
      <x:c r="R2154" s="8" t="n">
        <x:v>45497</x:v>
      </x:c>
      <x:c r="S2154" s="4" t="str">
        <x:v>Retained</x:v>
      </x:c>
      <x:c r="T2154" s="10" t="n">
        <x:v>0.145299</x:v>
      </x:c>
      <x:c r="U2154" s="4" t="str">
        <x:v>Train</x:v>
      </x:c>
    </x:row>
    <x:row r="2155" ht="34" customHeight="1">
      <x:c r="A2155" s="4" t="str">
        <x:v>RS-02154</x:v>
      </x:c>
      <x:c r="B2155" s="8" t="n">
        <x:v>45438</x:v>
      </x:c>
      <x:c r="C2155" s="4" t="str">
        <x:v>PRJ-014</x:v>
      </x:c>
      <x:c r="D2155" s="4" t="str">
        <x:v>Office</x:v>
      </x:c>
      <x:c r="E2155" s="4" t="str">
        <x:v>Handed over</x:v>
      </x:c>
      <x:c r="F2155" s="4" t="str">
        <x:v>CUS-02154</x:v>
      </x:c>
      <x:c r="G2155" s="4" t="str">
        <x:v>UNIT-02154</x:v>
      </x:c>
      <x:c r="H2155" s="9" t="n">
        <x:v>13100000</x:v>
      </x:c>
      <x:c r="I2155" s="10" t="n">
        <x:v>0.05</x:v>
      </x:c>
      <x:c r="J2155" s="11" t="n">
        <x:v>6</x:v>
      </x:c>
      <x:c r="K2155" s="11" t="n">
        <x:v>2</x:v>
      </x:c>
      <x:c r="L2155" s="11" t="n">
        <x:v>0</x:v>
      </x:c>
      <x:c r="M2155" s="9" t="n">
        <x:f>ROUND(H2155*(1-I2155),2)</x:f>
        <x:v>12445000</x:v>
      </x:c>
      <x:c r="N2155" s="4" t="str">
        <x:v>Sales manager</x:v>
      </x:c>
      <x:c r="O2155" s="4" t="str">
        <x:v>BOOK-02154</x:v>
      </x:c>
      <x:c r="P2155" s="9" t="n">
        <x:v>3111250</x:v>
      </x:c>
      <x:c r="Q2155" s="11" t="n">
        <x:v>0</x:v>
      </x:c>
      <x:c r="R2155" s="8" t="n">
        <x:v>45498</x:v>
      </x:c>
      <x:c r="S2155" s="4" t="str">
        <x:v>Retained</x:v>
      </x:c>
      <x:c r="T2155" s="10" t="n">
        <x:v>0.226277</x:v>
      </x:c>
      <x:c r="U2155" s="4" t="str">
        <x:v>Train</x:v>
      </x:c>
    </x:row>
    <x:row r="2156" ht="34" customHeight="1">
      <x:c r="A2156" s="4" t="str">
        <x:v>RS-02155</x:v>
      </x:c>
      <x:c r="B2156" s="8" t="n">
        <x:v>45439</x:v>
      </x:c>
      <x:c r="C2156" s="4" t="str">
        <x:v>PRJ-015</x:v>
      </x:c>
      <x:c r="D2156" s="4" t="str">
        <x:v>Villa</x:v>
      </x:c>
      <x:c r="E2156" s="4" t="str">
        <x:v>Reserved</x:v>
      </x:c>
      <x:c r="F2156" s="4" t="str">
        <x:v>CUS-02155</x:v>
      </x:c>
      <x:c r="G2156" s="4" t="str">
        <x:v>UNIT-02155</x:v>
      </x:c>
      <x:c r="H2156" s="9" t="n">
        <x:v>22800000</x:v>
      </x:c>
      <x:c r="I2156" s="10" t="n">
        <x:v>0.09</x:v>
      </x:c>
      <x:c r="J2156" s="11" t="n">
        <x:v>4</x:v>
      </x:c>
      <x:c r="K2156" s="11" t="n">
        <x:v>8</x:v>
      </x:c>
      <x:c r="L2156" s="11" t="n">
        <x:v>1</x:v>
      </x:c>
      <x:c r="M2156" s="9" t="n">
        <x:f>ROUND(H2156*(1-I2156),2)</x:f>
        <x:v>20748000</x:v>
      </x:c>
      <x:c r="N2156" s="4" t="str">
        <x:v>Sales head</x:v>
      </x:c>
      <x:c r="O2156" s="4"/>
      <x:c r="P2156" s="9" t="n">
        <x:v>0</x:v>
      </x:c>
      <x:c r="Q2156" s="11" t="n">
        <x:v>0</x:v>
      </x:c>
      <x:c r="R2156" s="8" t="n">
        <x:v>45499</x:v>
      </x:c>
      <x:c r="S2156" s="4" t="str">
        <x:v>Retained</x:v>
      </x:c>
      <x:c r="T2156" s="10" t="n">
        <x:v>0.291946</x:v>
      </x:c>
      <x:c r="U2156" s="4" t="str">
        <x:v>Train</x:v>
      </x:c>
    </x:row>
    <x:row r="2157" ht="34" customHeight="1">
      <x:c r="A2157" s="4" t="str">
        <x:v>RS-02156</x:v>
      </x:c>
      <x:c r="B2157" s="8" t="n">
        <x:v>45440</x:v>
      </x:c>
      <x:c r="C2157" s="4" t="str">
        <x:v>PRJ-016</x:v>
      </x:c>
      <x:c r="D2157" s="4" t="str">
        <x:v>Apartment</x:v>
      </x:c>
      <x:c r="E2157" s="4" t="str">
        <x:v>Agreement signed</x:v>
      </x:c>
      <x:c r="F2157" s="4" t="str">
        <x:v>CUS-02156</x:v>
      </x:c>
      <x:c r="G2157" s="4" t="str">
        <x:v>UNIT-02156</x:v>
      </x:c>
      <x:c r="H2157" s="9" t="n">
        <x:v>3900000</x:v>
      </x:c>
      <x:c r="I2157" s="10" t="n">
        <x:v>0.06</x:v>
      </x:c>
      <x:c r="J2157" s="11" t="n">
        <x:v>6</x:v>
      </x:c>
      <x:c r="K2157" s="11" t="n">
        <x:v>3</x:v>
      </x:c>
      <x:c r="L2157" s="11" t="n">
        <x:v>1</x:v>
      </x:c>
      <x:c r="M2157" s="9" t="n">
        <x:f>ROUND(H2157*(1-I2157),2)</x:f>
        <x:v>3666000</x:v>
      </x:c>
      <x:c r="N2157" s="4" t="str">
        <x:v>Sales manager</x:v>
      </x:c>
      <x:c r="O2157" s="4" t="str">
        <x:v>BOOK-02156</x:v>
      </x:c>
      <x:c r="P2157" s="9" t="n">
        <x:v>366600</x:v>
      </x:c>
      <x:c r="Q2157" s="11" t="n">
        <x:v>0</x:v>
      </x:c>
      <x:c r="R2157" s="8" t="n">
        <x:v>45500</x:v>
      </x:c>
      <x:c r="S2157" s="4" t="str">
        <x:v>Retained</x:v>
      </x:c>
      <x:c r="T2157" s="10" t="n">
        <x:v>0.291946</x:v>
      </x:c>
      <x:c r="U2157" s="4" t="str">
        <x:v>Train</x:v>
      </x:c>
    </x:row>
    <x:row r="2158" ht="34" customHeight="1">
      <x:c r="A2158" s="4" t="str">
        <x:v>RS-02157</x:v>
      </x:c>
      <x:c r="B2158" s="8" t="n">
        <x:v>45413</x:v>
      </x:c>
      <x:c r="C2158" s="4" t="str">
        <x:v>PRJ-017</x:v>
      </x:c>
      <x:c r="D2158" s="4" t="str">
        <x:v>Office</x:v>
      </x:c>
      <x:c r="E2158" s="4" t="str">
        <x:v>Booked</x:v>
      </x:c>
      <x:c r="F2158" s="4" t="str">
        <x:v>CUS-02157</x:v>
      </x:c>
      <x:c r="G2158" s="4" t="str">
        <x:v>UNIT-02157</x:v>
      </x:c>
      <x:c r="H2158" s="9" t="n">
        <x:v>21800000</x:v>
      </x:c>
      <x:c r="I2158" s="10" t="n">
        <x:v>0.03</x:v>
      </x:c>
      <x:c r="J2158" s="11" t="n">
        <x:v>0</x:v>
      </x:c>
      <x:c r="K2158" s="11" t="n">
        <x:v>9</x:v>
      </x:c>
      <x:c r="L2158" s="11" t="n">
        <x:v>0</x:v>
      </x:c>
      <x:c r="M2158" s="9" t="n">
        <x:f>ROUND(H2158*(1-I2158),2)</x:f>
        <x:v>21146000</x:v>
      </x:c>
      <x:c r="N2158" s="4" t="str">
        <x:v>Sales manager</x:v>
      </x:c>
      <x:c r="O2158" s="4" t="str">
        <x:v>BOOK-02157</x:v>
      </x:c>
      <x:c r="P2158" s="9" t="n">
        <x:v>5286500</x:v>
      </x:c>
      <x:c r="Q2158" s="11" t="n">
        <x:v>0</x:v>
      </x:c>
      <x:c r="R2158" s="8" t="n">
        <x:v>45473</x:v>
      </x:c>
      <x:c r="S2158" s="4" t="str">
        <x:v>Retained</x:v>
      </x:c>
      <x:c r="T2158" s="10" t="n">
        <x:v>0.072165</x:v>
      </x:c>
      <x:c r="U2158" s="4" t="str">
        <x:v>Train</x:v>
      </x:c>
    </x:row>
    <x:row r="2159" ht="34" customHeight="1">
      <x:c r="A2159" s="4" t="str">
        <x:v>RS-02158</x:v>
      </x:c>
      <x:c r="B2159" s="8" t="n">
        <x:v>45414</x:v>
      </x:c>
      <x:c r="C2159" s="4" t="str">
        <x:v>PRJ-018</x:v>
      </x:c>
      <x:c r="D2159" s="4" t="str">
        <x:v>Villa</x:v>
      </x:c>
      <x:c r="E2159" s="4" t="str">
        <x:v>Cancelled</x:v>
      </x:c>
      <x:c r="F2159" s="4" t="str">
        <x:v>CUS-02158</x:v>
      </x:c>
      <x:c r="G2159" s="4" t="str">
        <x:v>UNIT-02158</x:v>
      </x:c>
      <x:c r="H2159" s="9" t="n">
        <x:v>14100000</x:v>
      </x:c>
      <x:c r="I2159" s="10" t="n">
        <x:v>0.04</x:v>
      </x:c>
      <x:c r="J2159" s="11" t="n">
        <x:v>0</x:v>
      </x:c>
      <x:c r="K2159" s="11" t="n">
        <x:v>0</x:v>
      </x:c>
      <x:c r="L2159" s="11" t="n">
        <x:v>0</x:v>
      </x:c>
      <x:c r="M2159" s="9" t="n">
        <x:f>ROUND(H2159*(1-I2159),2)</x:f>
        <x:v>13536000</x:v>
      </x:c>
      <x:c r="N2159" s="4" t="str">
        <x:v>Sales manager</x:v>
      </x:c>
      <x:c r="O2159" s="4"/>
      <x:c r="P2159" s="9" t="n">
        <x:v>0</x:v>
      </x:c>
      <x:c r="Q2159" s="11" t="n">
        <x:v>1</x:v>
      </x:c>
      <x:c r="R2159" s="8" t="n">
        <x:v>45474</x:v>
      </x:c>
      <x:c r="S2159" s="4" t="str">
        <x:v>Lost / cancelled</x:v>
      </x:c>
      <x:c r="T2159" s="10" t="n">
        <x:v>0.276923</x:v>
      </x:c>
      <x:c r="U2159" s="4" t="str">
        <x:v>Train</x:v>
      </x:c>
    </x:row>
    <x:row r="2160" ht="34" customHeight="1">
      <x:c r="A2160" s="4" t="str">
        <x:v>RS-02159</x:v>
      </x:c>
      <x:c r="B2160" s="8" t="n">
        <x:v>45415</x:v>
      </x:c>
      <x:c r="C2160" s="4" t="str">
        <x:v>PRJ-019</x:v>
      </x:c>
      <x:c r="D2160" s="4" t="str">
        <x:v>Villa</x:v>
      </x:c>
      <x:c r="E2160" s="4" t="str">
        <x:v>Cancelled</x:v>
      </x:c>
      <x:c r="F2160" s="4" t="str">
        <x:v>CUS-02159</x:v>
      </x:c>
      <x:c r="G2160" s="4" t="str">
        <x:v>UNIT-02159</x:v>
      </x:c>
      <x:c r="H2160" s="9" t="n">
        <x:v>24200000</x:v>
      </x:c>
      <x:c r="I2160" s="10" t="n">
        <x:v>0.09</x:v>
      </x:c>
      <x:c r="J2160" s="11" t="n">
        <x:v>8</x:v>
      </x:c>
      <x:c r="K2160" s="11" t="n">
        <x:v>4</x:v>
      </x:c>
      <x:c r="L2160" s="11" t="n">
        <x:v>0</x:v>
      </x:c>
      <x:c r="M2160" s="9" t="n">
        <x:f>ROUND(H2160*(1-I2160),2)</x:f>
        <x:v>22022000</x:v>
      </x:c>
      <x:c r="N2160" s="4" t="str">
        <x:v>Sales head</x:v>
      </x:c>
      <x:c r="O2160" s="4"/>
      <x:c r="P2160" s="9" t="n">
        <x:v>0</x:v>
      </x:c>
      <x:c r="Q2160" s="11" t="n">
        <x:v>1</x:v>
      </x:c>
      <x:c r="R2160" s="8" t="n">
        <x:v>45475</x:v>
      </x:c>
      <x:c r="S2160" s="4" t="str">
        <x:v>Lost / cancelled</x:v>
      </x:c>
      <x:c r="T2160" s="10" t="n">
        <x:v>0.310195</x:v>
      </x:c>
      <x:c r="U2160" s="4" t="str">
        <x:v>Train</x:v>
      </x:c>
    </x:row>
    <x:row r="2161" ht="34" customHeight="1">
      <x:c r="A2161" s="4" t="str">
        <x:v>RS-02160</x:v>
      </x:c>
      <x:c r="B2161" s="8" t="n">
        <x:v>45416</x:v>
      </x:c>
      <x:c r="C2161" s="4" t="str">
        <x:v>PRJ-020</x:v>
      </x:c>
      <x:c r="D2161" s="4" t="str">
        <x:v>Villa</x:v>
      </x:c>
      <x:c r="E2161" s="4" t="str">
        <x:v>Reserved</x:v>
      </x:c>
      <x:c r="F2161" s="4" t="str">
        <x:v>CUS-02160</x:v>
      </x:c>
      <x:c r="G2161" s="4" t="str">
        <x:v>UNIT-02160</x:v>
      </x:c>
      <x:c r="H2161" s="9" t="n">
        <x:v>22100000</x:v>
      </x:c>
      <x:c r="I2161" s="10" t="n">
        <x:v>0.07</x:v>
      </x:c>
      <x:c r="J2161" s="11" t="n">
        <x:v>11</x:v>
      </x:c>
      <x:c r="K2161" s="11" t="n">
        <x:v>4</x:v>
      </x:c>
      <x:c r="L2161" s="11" t="n">
        <x:v>1</x:v>
      </x:c>
      <x:c r="M2161" s="9" t="n">
        <x:f>ROUND(H2161*(1-I2161),2)</x:f>
        <x:v>20553000</x:v>
      </x:c>
      <x:c r="N2161" s="4" t="str">
        <x:v>Sales manager</x:v>
      </x:c>
      <x:c r="O2161" s="4"/>
      <x:c r="P2161" s="9" t="n">
        <x:v>0</x:v>
      </x:c>
      <x:c r="Q2161" s="11" t="n">
        <x:v>1</x:v>
      </x:c>
      <x:c r="R2161" s="8" t="n">
        <x:v>45476</x:v>
      </x:c>
      <x:c r="S2161" s="4" t="str">
        <x:v>Lost / cancelled</x:v>
      </x:c>
      <x:c r="T2161" s="10" t="n">
        <x:v>0.351536</x:v>
      </x:c>
      <x:c r="U2161" s="4" t="str">
        <x:v>Train</x:v>
      </x:c>
    </x:row>
    <x:row r="2162" ht="34" customHeight="1">
      <x:c r="A2162" s="4" t="str">
        <x:v>RS-02161</x:v>
      </x:c>
      <x:c r="B2162" s="8" t="n">
        <x:v>45417</x:v>
      </x:c>
      <x:c r="C2162" s="4" t="str">
        <x:v>PRJ-001</x:v>
      </x:c>
      <x:c r="D2162" s="4" t="str">
        <x:v>Office</x:v>
      </x:c>
      <x:c r="E2162" s="4" t="str">
        <x:v>Reserved</x:v>
      </x:c>
      <x:c r="F2162" s="4" t="str">
        <x:v>CUS-02161</x:v>
      </x:c>
      <x:c r="G2162" s="4" t="str">
        <x:v>UNIT-02161</x:v>
      </x:c>
      <x:c r="H2162" s="9" t="n">
        <x:v>24700000</x:v>
      </x:c>
      <x:c r="I2162" s="10" t="n">
        <x:v>0.01</x:v>
      </x:c>
      <x:c r="J2162" s="11" t="n">
        <x:v>4</x:v>
      </x:c>
      <x:c r="K2162" s="11" t="n">
        <x:v>9</x:v>
      </x:c>
      <x:c r="L2162" s="11" t="n">
        <x:v>1</x:v>
      </x:c>
      <x:c r="M2162" s="9" t="n">
        <x:f>ROUND(H2162*(1-I2162),2)</x:f>
        <x:v>24453000</x:v>
      </x:c>
      <x:c r="N2162" s="4" t="str">
        <x:v>Sales manager</x:v>
      </x:c>
      <x:c r="O2162" s="4"/>
      <x:c r="P2162" s="9" t="n">
        <x:v>0</x:v>
      </x:c>
      <x:c r="Q2162" s="11" t="n">
        <x:v>0</x:v>
      </x:c>
      <x:c r="R2162" s="8" t="n">
        <x:v>45477</x:v>
      </x:c>
      <x:c r="S2162" s="4" t="str">
        <x:v>Retained</x:v>
      </x:c>
      <x:c r="T2162" s="10" t="n">
        <x:v>0.145299</x:v>
      </x:c>
      <x:c r="U2162" s="4" t="str">
        <x:v>Train</x:v>
      </x:c>
    </x:row>
    <x:row r="2163" ht="34" customHeight="1">
      <x:c r="A2163" s="4" t="str">
        <x:v>RS-02162</x:v>
      </x:c>
      <x:c r="B2163" s="8" t="n">
        <x:v>45418</x:v>
      </x:c>
      <x:c r="C2163" s="4" t="str">
        <x:v>PRJ-002</x:v>
      </x:c>
      <x:c r="D2163" s="4" t="str">
        <x:v>Retail</x:v>
      </x:c>
      <x:c r="E2163" s="4" t="str">
        <x:v>Booked</x:v>
      </x:c>
      <x:c r="F2163" s="4" t="str">
        <x:v>CUS-02162</x:v>
      </x:c>
      <x:c r="G2163" s="4" t="str">
        <x:v>UNIT-02162</x:v>
      </x:c>
      <x:c r="H2163" s="9" t="n">
        <x:v>9900000</x:v>
      </x:c>
      <x:c r="I2163" s="10" t="n">
        <x:v>0.05</x:v>
      </x:c>
      <x:c r="J2163" s="11" t="n">
        <x:v>6</x:v>
      </x:c>
      <x:c r="K2163" s="11" t="n">
        <x:v>1</x:v>
      </x:c>
      <x:c r="L2163" s="11" t="n">
        <x:v>1</x:v>
      </x:c>
      <x:c r="M2163" s="9" t="n">
        <x:f>ROUND(H2163*(1-I2163),2)</x:f>
        <x:v>9405000</x:v>
      </x:c>
      <x:c r="N2163" s="4" t="str">
        <x:v>Sales manager</x:v>
      </x:c>
      <x:c r="O2163" s="4" t="str">
        <x:v>BOOK-02162</x:v>
      </x:c>
      <x:c r="P2163" s="9" t="n">
        <x:v>4702500</x:v>
      </x:c>
      <x:c r="Q2163" s="11" t="n">
        <x:v>0</x:v>
      </x:c>
      <x:c r="R2163" s="8" t="n">
        <x:v>45478</x:v>
      </x:c>
      <x:c r="S2163" s="4" t="str">
        <x:v>Retained</x:v>
      </x:c>
      <x:c r="T2163" s="10" t="n">
        <x:v>0.291946</x:v>
      </x:c>
      <x:c r="U2163" s="4" t="str">
        <x:v>Train</x:v>
      </x:c>
    </x:row>
    <x:row r="2164" ht="34" customHeight="1">
      <x:c r="A2164" s="4" t="str">
        <x:v>RS-02163</x:v>
      </x:c>
      <x:c r="B2164" s="8" t="n">
        <x:v>45419</x:v>
      </x:c>
      <x:c r="C2164" s="4" t="str">
        <x:v>PRJ-003</x:v>
      </x:c>
      <x:c r="D2164" s="4" t="str">
        <x:v>Villa</x:v>
      </x:c>
      <x:c r="E2164" s="4" t="str">
        <x:v>Handed over</x:v>
      </x:c>
      <x:c r="F2164" s="4" t="str">
        <x:v>CUS-02163</x:v>
      </x:c>
      <x:c r="G2164" s="4" t="str">
        <x:v>UNIT-02163</x:v>
      </x:c>
      <x:c r="H2164" s="9" t="n">
        <x:v>9300000</x:v>
      </x:c>
      <x:c r="I2164" s="10" t="n">
        <x:v>0.07</x:v>
      </x:c>
      <x:c r="J2164" s="11" t="n">
        <x:v>2</x:v>
      </x:c>
      <x:c r="K2164" s="11" t="n">
        <x:v>6</x:v>
      </x:c>
      <x:c r="L2164" s="11" t="n">
        <x:v>1</x:v>
      </x:c>
      <x:c r="M2164" s="9" t="n">
        <x:f>ROUND(H2164*(1-I2164),2)</x:f>
        <x:v>8649000</x:v>
      </x:c>
      <x:c r="N2164" s="4" t="str">
        <x:v>Sales manager</x:v>
      </x:c>
      <x:c r="O2164" s="4" t="str">
        <x:v>BOOK-02163</x:v>
      </x:c>
      <x:c r="P2164" s="9" t="n">
        <x:v>2162250</x:v>
      </x:c>
      <x:c r="Q2164" s="11" t="n">
        <x:v>0</x:v>
      </x:c>
      <x:c r="R2164" s="8" t="n">
        <x:v>45479</x:v>
      </x:c>
      <x:c r="S2164" s="4" t="str">
        <x:v>Retained</x:v>
      </x:c>
      <x:c r="T2164" s="10" t="n">
        <x:v>0.204152</x:v>
      </x:c>
      <x:c r="U2164" s="4" t="str">
        <x:v>Train</x:v>
      </x:c>
    </x:row>
    <x:row r="2165" ht="34" customHeight="1">
      <x:c r="A2165" s="4" t="str">
        <x:v>RS-02164</x:v>
      </x:c>
      <x:c r="B2165" s="8" t="n">
        <x:v>45420</x:v>
      </x:c>
      <x:c r="C2165" s="4" t="str">
        <x:v>PRJ-004</x:v>
      </x:c>
      <x:c r="D2165" s="4" t="str">
        <x:v>Retail</x:v>
      </x:c>
      <x:c r="E2165" s="4" t="str">
        <x:v>Enquiry</x:v>
      </x:c>
      <x:c r="F2165" s="4" t="str">
        <x:v>CUS-02164</x:v>
      </x:c>
      <x:c r="G2165" s="4" t="str">
        <x:v>UNIT-02164</x:v>
      </x:c>
      <x:c r="H2165" s="9" t="n">
        <x:v>8800000</x:v>
      </x:c>
      <x:c r="I2165" s="10" t="n">
        <x:v>0.1</x:v>
      </x:c>
      <x:c r="J2165" s="11" t="n">
        <x:v>3</x:v>
      </x:c>
      <x:c r="K2165" s="11" t="n">
        <x:v>6</x:v>
      </x:c>
      <x:c r="L2165" s="11" t="n">
        <x:v>0</x:v>
      </x:c>
      <x:c r="M2165" s="9" t="n">
        <x:f>ROUND(H2165*(1-I2165),2)</x:f>
        <x:v>7920000</x:v>
      </x:c>
      <x:c r="N2165" s="4" t="str">
        <x:v>Sales head</x:v>
      </x:c>
      <x:c r="O2165" s="4"/>
      <x:c r="P2165" s="9" t="n">
        <x:v>0</x:v>
      </x:c>
      <x:c r="Q2165" s="11" t="n">
        <x:v>0</x:v>
      </x:c>
      <x:c r="R2165" s="8" t="n">
        <x:v>45480</x:v>
      </x:c>
      <x:c r="S2165" s="4" t="str">
        <x:v>Retained</x:v>
      </x:c>
      <x:c r="T2165" s="10" t="n">
        <x:v>0.145833</x:v>
      </x:c>
      <x:c r="U2165" s="4" t="str">
        <x:v>Train</x:v>
      </x:c>
    </x:row>
    <x:row r="2166" ht="34" customHeight="1">
      <x:c r="A2166" s="4" t="str">
        <x:v>RS-02165</x:v>
      </x:c>
      <x:c r="B2166" s="8" t="n">
        <x:v>45421</x:v>
      </x:c>
      <x:c r="C2166" s="4" t="str">
        <x:v>PRJ-005</x:v>
      </x:c>
      <x:c r="D2166" s="4" t="str">
        <x:v>Office</x:v>
      </x:c>
      <x:c r="E2166" s="4" t="str">
        <x:v>Reserved</x:v>
      </x:c>
      <x:c r="F2166" s="4" t="str">
        <x:v>CUS-02165</x:v>
      </x:c>
      <x:c r="G2166" s="4" t="str">
        <x:v>UNIT-02165</x:v>
      </x:c>
      <x:c r="H2166" s="9" t="n">
        <x:v>16900000</x:v>
      </x:c>
      <x:c r="I2166" s="10" t="n">
        <x:v>0.11</x:v>
      </x:c>
      <x:c r="J2166" s="11" t="n">
        <x:v>4</x:v>
      </x:c>
      <x:c r="K2166" s="11" t="n">
        <x:v>3</x:v>
      </x:c>
      <x:c r="L2166" s="11" t="n">
        <x:v>0</x:v>
      </x:c>
      <x:c r="M2166" s="9" t="n">
        <x:f>ROUND(H2166*(1-I2166),2)</x:f>
        <x:v>15041000</x:v>
      </x:c>
      <x:c r="N2166" s="4" t="str">
        <x:v>Sales head</x:v>
      </x:c>
      <x:c r="O2166" s="4"/>
      <x:c r="P2166" s="9" t="n">
        <x:v>0</x:v>
      </x:c>
      <x:c r="Q2166" s="11" t="n">
        <x:v>0</x:v>
      </x:c>
      <x:c r="R2166" s="8" t="n">
        <x:v>45481</x:v>
      </x:c>
      <x:c r="S2166" s="4" t="str">
        <x:v>Retained</x:v>
      </x:c>
      <x:c r="T2166" s="10" t="n">
        <x:v>0.226277</x:v>
      </x:c>
      <x:c r="U2166" s="4" t="str">
        <x:v>Train</x:v>
      </x:c>
    </x:row>
    <x:row r="2167" ht="34" customHeight="1">
      <x:c r="A2167" s="4" t="str">
        <x:v>RS-02166</x:v>
      </x:c>
      <x:c r="B2167" s="8" t="n">
        <x:v>45422</x:v>
      </x:c>
      <x:c r="C2167" s="4" t="str">
        <x:v>PRJ-006</x:v>
      </x:c>
      <x:c r="D2167" s="4" t="str">
        <x:v>Apartment</x:v>
      </x:c>
      <x:c r="E2167" s="4" t="str">
        <x:v>Agreement signed</x:v>
      </x:c>
      <x:c r="F2167" s="4" t="str">
        <x:v>CUS-02166</x:v>
      </x:c>
      <x:c r="G2167" s="4" t="str">
        <x:v>UNIT-02166</x:v>
      </x:c>
      <x:c r="H2167" s="9" t="n">
        <x:v>16400000</x:v>
      </x:c>
      <x:c r="I2167" s="10" t="n">
        <x:v>0.02</x:v>
      </x:c>
      <x:c r="J2167" s="11" t="n">
        <x:v>11</x:v>
      </x:c>
      <x:c r="K2167" s="11" t="n">
        <x:v>5</x:v>
      </x:c>
      <x:c r="L2167" s="11" t="n">
        <x:v>1</x:v>
      </x:c>
      <x:c r="M2167" s="9" t="n">
        <x:f>ROUND(H2167*(1-I2167),2)</x:f>
        <x:v>16072000</x:v>
      </x:c>
      <x:c r="N2167" s="4" t="str">
        <x:v>Sales manager</x:v>
      </x:c>
      <x:c r="O2167" s="4" t="str">
        <x:v>BOOK-02166</x:v>
      </x:c>
      <x:c r="P2167" s="9" t="n">
        <x:v>4018000</x:v>
      </x:c>
      <x:c r="Q2167" s="11" t="n">
        <x:v>0</x:v>
      </x:c>
      <x:c r="R2167" s="8" t="n">
        <x:v>45482</x:v>
      </x:c>
      <x:c r="S2167" s="4" t="str">
        <x:v>Retained</x:v>
      </x:c>
      <x:c r="T2167" s="10" t="n">
        <x:v>0.254545</x:v>
      </x:c>
      <x:c r="U2167" s="4" t="str">
        <x:v>Train</x:v>
      </x:c>
    </x:row>
    <x:row r="2168" ht="34" customHeight="1">
      <x:c r="A2168" s="4" t="str">
        <x:v>RS-02167</x:v>
      </x:c>
      <x:c r="B2168" s="8" t="n">
        <x:v>45423</x:v>
      </x:c>
      <x:c r="C2168" s="4" t="str">
        <x:v>PRJ-007</x:v>
      </x:c>
      <x:c r="D2168" s="4" t="str">
        <x:v>Apartment</x:v>
      </x:c>
      <x:c r="E2168" s="4" t="str">
        <x:v>Booked</x:v>
      </x:c>
      <x:c r="F2168" s="4" t="str">
        <x:v>CUS-02167</x:v>
      </x:c>
      <x:c r="G2168" s="4" t="str">
        <x:v>UNIT-02167</x:v>
      </x:c>
      <x:c r="H2168" s="9" t="n">
        <x:v>9800000</x:v>
      </x:c>
      <x:c r="I2168" s="10" t="n">
        <x:v>0.08</x:v>
      </x:c>
      <x:c r="J2168" s="11" t="n">
        <x:v>2</x:v>
      </x:c>
      <x:c r="K2168" s="11" t="n">
        <x:v>4</x:v>
      </x:c>
      <x:c r="L2168" s="11" t="n">
        <x:v>1</x:v>
      </x:c>
      <x:c r="M2168" s="9" t="n">
        <x:f>ROUND(H2168*(1-I2168),2)</x:f>
        <x:v>9016000</x:v>
      </x:c>
      <x:c r="N2168" s="4" t="str">
        <x:v>Sales head</x:v>
      </x:c>
      <x:c r="O2168" s="4" t="str">
        <x:v>BOOK-02167</x:v>
      </x:c>
      <x:c r="P2168" s="9" t="n">
        <x:v>4508000</x:v>
      </x:c>
      <x:c r="Q2168" s="11" t="n">
        <x:v>0</x:v>
      </x:c>
      <x:c r="R2168" s="8" t="n">
        <x:v>45483</x:v>
      </x:c>
      <x:c r="S2168" s="4" t="str">
        <x:v>Retained</x:v>
      </x:c>
      <x:c r="T2168" s="10" t="n">
        <x:v>0.204152</x:v>
      </x:c>
      <x:c r="U2168" s="4" t="str">
        <x:v>Train</x:v>
      </x:c>
    </x:row>
    <x:row r="2169" ht="34" customHeight="1">
      <x:c r="A2169" s="4" t="str">
        <x:v>RS-02168</x:v>
      </x:c>
      <x:c r="B2169" s="8" t="n">
        <x:v>45424</x:v>
      </x:c>
      <x:c r="C2169" s="4" t="str">
        <x:v>PRJ-008</x:v>
      </x:c>
      <x:c r="D2169" s="4" t="str">
        <x:v>Apartment</x:v>
      </x:c>
      <x:c r="E2169" s="4" t="str">
        <x:v>Cancelled</x:v>
      </x:c>
      <x:c r="F2169" s="4" t="str">
        <x:v>CUS-02168</x:v>
      </x:c>
      <x:c r="G2169" s="4" t="str">
        <x:v>UNIT-02168</x:v>
      </x:c>
      <x:c r="H2169" s="9" t="n">
        <x:v>18100000</x:v>
      </x:c>
      <x:c r="I2169" s="10" t="n">
        <x:v>0.04</x:v>
      </x:c>
      <x:c r="J2169" s="11" t="n">
        <x:v>0</x:v>
      </x:c>
      <x:c r="K2169" s="11" t="n">
        <x:v>7</x:v>
      </x:c>
      <x:c r="L2169" s="11" t="n">
        <x:v>0</x:v>
      </x:c>
      <x:c r="M2169" s="9" t="n">
        <x:f>ROUND(H2169*(1-I2169),2)</x:f>
        <x:v>17376000</x:v>
      </x:c>
      <x:c r="N2169" s="4" t="str">
        <x:v>Sales manager</x:v>
      </x:c>
      <x:c r="O2169" s="4"/>
      <x:c r="P2169" s="9" t="n">
        <x:v>0</x:v>
      </x:c>
      <x:c r="Q2169" s="11" t="n">
        <x:v>1</x:v>
      </x:c>
      <x:c r="R2169" s="8" t="n">
        <x:v>45484</x:v>
      </x:c>
      <x:c r="S2169" s="4" t="str">
        <x:v>Lost / cancelled</x:v>
      </x:c>
      <x:c r="T2169" s="10" t="n">
        <x:v>0.204152</x:v>
      </x:c>
      <x:c r="U2169" s="4" t="str">
        <x:v>Train</x:v>
      </x:c>
    </x:row>
    <x:row r="2170" ht="34" customHeight="1">
      <x:c r="A2170" s="4" t="str">
        <x:v>RS-02169</x:v>
      </x:c>
      <x:c r="B2170" s="8" t="n">
        <x:v>45425</x:v>
      </x:c>
      <x:c r="C2170" s="4" t="str">
        <x:v>PRJ-009</x:v>
      </x:c>
      <x:c r="D2170" s="4" t="str">
        <x:v>Retail</x:v>
      </x:c>
      <x:c r="E2170" s="4" t="str">
        <x:v>Booked</x:v>
      </x:c>
      <x:c r="F2170" s="4" t="str">
        <x:v>CUS-02169</x:v>
      </x:c>
      <x:c r="G2170" s="4" t="str">
        <x:v>UNIT-02169</x:v>
      </x:c>
      <x:c r="H2170" s="9" t="n">
        <x:v>15200000</x:v>
      </x:c>
      <x:c r="I2170" s="10" t="n">
        <x:v>0.03</x:v>
      </x:c>
      <x:c r="J2170" s="11" t="n">
        <x:v>8</x:v>
      </x:c>
      <x:c r="K2170" s="11" t="n">
        <x:v>2</x:v>
      </x:c>
      <x:c r="L2170" s="11" t="n">
        <x:v>0</x:v>
      </x:c>
      <x:c r="M2170" s="9" t="n">
        <x:f>ROUND(H2170*(1-I2170),2)</x:f>
        <x:v>14744000</x:v>
      </x:c>
      <x:c r="N2170" s="4" t="str">
        <x:v>Sales manager</x:v>
      </x:c>
      <x:c r="O2170" s="4" t="str">
        <x:v>BOOK-02169</x:v>
      </x:c>
      <x:c r="P2170" s="9" t="n">
        <x:v>3686000</x:v>
      </x:c>
      <x:c r="Q2170" s="11" t="n">
        <x:v>0</x:v>
      </x:c>
      <x:c r="R2170" s="8" t="n">
        <x:v>45485</x:v>
      </x:c>
      <x:c r="S2170" s="4" t="str">
        <x:v>Retained</x:v>
      </x:c>
      <x:c r="T2170" s="10" t="n">
        <x:v>0.310195</x:v>
      </x:c>
      <x:c r="U2170" s="4" t="str">
        <x:v>Train</x:v>
      </x:c>
    </x:row>
    <x:row r="2171" ht="34" customHeight="1">
      <x:c r="A2171" s="4" t="str">
        <x:v>RS-02170</x:v>
      </x:c>
      <x:c r="B2171" s="8" t="n">
        <x:v>45426</x:v>
      </x:c>
      <x:c r="C2171" s="4" t="str">
        <x:v>PRJ-010</x:v>
      </x:c>
      <x:c r="D2171" s="4" t="str">
        <x:v>Villa</x:v>
      </x:c>
      <x:c r="E2171" s="4" t="str">
        <x:v>Agreement signed</x:v>
      </x:c>
      <x:c r="F2171" s="4" t="str">
        <x:v>CUS-02170</x:v>
      </x:c>
      <x:c r="G2171" s="4" t="str">
        <x:v>UNIT-02170</x:v>
      </x:c>
      <x:c r="H2171" s="9" t="n">
        <x:v>9300000</x:v>
      </x:c>
      <x:c r="I2171" s="10" t="n">
        <x:v>0.06</x:v>
      </x:c>
      <x:c r="J2171" s="11" t="n">
        <x:v>7</x:v>
      </x:c>
      <x:c r="K2171" s="11" t="n">
        <x:v>10</x:v>
      </x:c>
      <x:c r="L2171" s="11" t="n">
        <x:v>0</x:v>
      </x:c>
      <x:c r="M2171" s="9" t="n">
        <x:f>ROUND(H2171*(1-I2171),2)</x:f>
        <x:v>8742000</x:v>
      </x:c>
      <x:c r="N2171" s="4" t="str">
        <x:v>Sales manager</x:v>
      </x:c>
      <x:c r="O2171" s="4" t="str">
        <x:v>BOOK-02170</x:v>
      </x:c>
      <x:c r="P2171" s="9" t="n">
        <x:v>2185500</x:v>
      </x:c>
      <x:c r="Q2171" s="11" t="n">
        <x:v>0</x:v>
      </x:c>
      <x:c r="R2171" s="8" t="n">
        <x:v>45486</x:v>
      </x:c>
      <x:c r="S2171" s="4" t="str">
        <x:v>Retained</x:v>
      </x:c>
      <x:c r="T2171" s="10" t="n">
        <x:v>0.226277</x:v>
      </x:c>
      <x:c r="U2171" s="4" t="str">
        <x:v>Train</x:v>
      </x:c>
    </x:row>
    <x:row r="2172" ht="34" customHeight="1">
      <x:c r="A2172" s="4" t="str">
        <x:v>RS-02171</x:v>
      </x:c>
      <x:c r="B2172" s="8" t="n">
        <x:v>45427</x:v>
      </x:c>
      <x:c r="C2172" s="4" t="str">
        <x:v>PRJ-011</x:v>
      </x:c>
      <x:c r="D2172" s="4" t="str">
        <x:v>Villa</x:v>
      </x:c>
      <x:c r="E2172" s="4" t="str">
        <x:v>Agreement signed</x:v>
      </x:c>
      <x:c r="F2172" s="4" t="str">
        <x:v>CUS-02171</x:v>
      </x:c>
      <x:c r="G2172" s="4" t="str">
        <x:v>UNIT-02171</x:v>
      </x:c>
      <x:c r="H2172" s="9" t="n">
        <x:v>20200000</x:v>
      </x:c>
      <x:c r="I2172" s="10" t="n">
        <x:v>0.02</x:v>
      </x:c>
      <x:c r="J2172" s="11" t="n">
        <x:v>9</x:v>
      </x:c>
      <x:c r="K2172" s="11" t="n">
        <x:v>2</x:v>
      </x:c>
      <x:c r="L2172" s="11" t="n">
        <x:v>1</x:v>
      </x:c>
      <x:c r="M2172" s="9" t="n">
        <x:f>ROUND(H2172*(1-I2172),2)</x:f>
        <x:v>19796000</x:v>
      </x:c>
      <x:c r="N2172" s="4" t="str">
        <x:v>Sales manager</x:v>
      </x:c>
      <x:c r="O2172" s="4" t="str">
        <x:v>BOOK-02171</x:v>
      </x:c>
      <x:c r="P2172" s="9" t="n">
        <x:v>4949000</x:v>
      </x:c>
      <x:c r="Q2172" s="11" t="n">
        <x:v>0</x:v>
      </x:c>
      <x:c r="R2172" s="8" t="n">
        <x:v>45487</x:v>
      </x:c>
      <x:c r="S2172" s="4" t="str">
        <x:v>Retained</x:v>
      </x:c>
      <x:c r="T2172" s="10" t="n">
        <x:v>0.254545</x:v>
      </x:c>
      <x:c r="U2172" s="4" t="str">
        <x:v>Train</x:v>
      </x:c>
    </x:row>
    <x:row r="2173" ht="34" customHeight="1">
      <x:c r="A2173" s="4" t="str">
        <x:v>RS-02172</x:v>
      </x:c>
      <x:c r="B2173" s="8" t="n">
        <x:v>45428</x:v>
      </x:c>
      <x:c r="C2173" s="4" t="str">
        <x:v>PRJ-012</x:v>
      </x:c>
      <x:c r="D2173" s="4" t="str">
        <x:v>Apartment</x:v>
      </x:c>
      <x:c r="E2173" s="4" t="str">
        <x:v>Enquiry</x:v>
      </x:c>
      <x:c r="F2173" s="4" t="str">
        <x:v>CUS-02172</x:v>
      </x:c>
      <x:c r="G2173" s="4" t="str">
        <x:v>UNIT-02172</x:v>
      </x:c>
      <x:c r="H2173" s="9" t="n">
        <x:v>7800000</x:v>
      </x:c>
      <x:c r="I2173" s="10" t="n">
        <x:v>0.09</x:v>
      </x:c>
      <x:c r="J2173" s="11" t="n">
        <x:v>6</x:v>
      </x:c>
      <x:c r="K2173" s="11" t="n">
        <x:v>4</x:v>
      </x:c>
      <x:c r="L2173" s="11" t="n">
        <x:v>0</x:v>
      </x:c>
      <x:c r="M2173" s="9" t="n">
        <x:f>ROUND(H2173*(1-I2173),2)</x:f>
        <x:v>7098000</x:v>
      </x:c>
      <x:c r="N2173" s="4" t="str">
        <x:v>Sales head</x:v>
      </x:c>
      <x:c r="O2173" s="4"/>
      <x:c r="P2173" s="9" t="n">
        <x:v>0</x:v>
      </x:c>
      <x:c r="Q2173" s="11" t="n">
        <x:v>0</x:v>
      </x:c>
      <x:c r="R2173" s="8" t="n">
        <x:v>45488</x:v>
      </x:c>
      <x:c r="S2173" s="4" t="str">
        <x:v>Retained</x:v>
      </x:c>
      <x:c r="T2173" s="10" t="n">
        <x:v>0.226277</x:v>
      </x:c>
      <x:c r="U2173" s="4" t="str">
        <x:v>Train</x:v>
      </x:c>
    </x:row>
    <x:row r="2174" ht="34" customHeight="1">
      <x:c r="A2174" s="4" t="str">
        <x:v>RS-02173</x:v>
      </x:c>
      <x:c r="B2174" s="8" t="n">
        <x:v>45429</x:v>
      </x:c>
      <x:c r="C2174" s="4" t="str">
        <x:v>PRJ-013</x:v>
      </x:c>
      <x:c r="D2174" s="4" t="str">
        <x:v>Retail</x:v>
      </x:c>
      <x:c r="E2174" s="4" t="str">
        <x:v>Agreement signed</x:v>
      </x:c>
      <x:c r="F2174" s="4" t="str">
        <x:v>CUS-02173</x:v>
      </x:c>
      <x:c r="G2174" s="4" t="str">
        <x:v>UNIT-02173</x:v>
      </x:c>
      <x:c r="H2174" s="9" t="n">
        <x:v>5000000</x:v>
      </x:c>
      <x:c r="I2174" s="10" t="n">
        <x:v>0.04</x:v>
      </x:c>
      <x:c r="J2174" s="11" t="n">
        <x:v>9</x:v>
      </x:c>
      <x:c r="K2174" s="11" t="n">
        <x:v>6</x:v>
      </x:c>
      <x:c r="L2174" s="11" t="n">
        <x:v>1</x:v>
      </x:c>
      <x:c r="M2174" s="9" t="n">
        <x:f>ROUND(H2174*(1-I2174),2)</x:f>
        <x:v>4800000</x:v>
      </x:c>
      <x:c r="N2174" s="4" t="str">
        <x:v>Sales manager</x:v>
      </x:c>
      <x:c r="O2174" s="4" t="str">
        <x:v>BOOK-02173</x:v>
      </x:c>
      <x:c r="P2174" s="9" t="n">
        <x:v>1200000</x:v>
      </x:c>
      <x:c r="Q2174" s="11" t="n">
        <x:v>0</x:v>
      </x:c>
      <x:c r="R2174" s="8" t="n">
        <x:v>45489</x:v>
      </x:c>
      <x:c r="S2174" s="4" t="str">
        <x:v>Retained</x:v>
      </x:c>
      <x:c r="T2174" s="10" t="n">
        <x:v>0.310195</x:v>
      </x:c>
      <x:c r="U2174" s="4" t="str">
        <x:v>Train</x:v>
      </x:c>
    </x:row>
    <x:row r="2175" ht="34" customHeight="1">
      <x:c r="A2175" s="4" t="str">
        <x:v>RS-02174</x:v>
      </x:c>
      <x:c r="B2175" s="8" t="n">
        <x:v>45430</x:v>
      </x:c>
      <x:c r="C2175" s="4" t="str">
        <x:v>PRJ-014</x:v>
      </x:c>
      <x:c r="D2175" s="4" t="str">
        <x:v>Villa</x:v>
      </x:c>
      <x:c r="E2175" s="4" t="str">
        <x:v>Enquiry</x:v>
      </x:c>
      <x:c r="F2175" s="4" t="str">
        <x:v>CUS-02174</x:v>
      </x:c>
      <x:c r="G2175" s="4" t="str">
        <x:v>UNIT-02174</x:v>
      </x:c>
      <x:c r="H2175" s="9" t="n">
        <x:v>11700000</x:v>
      </x:c>
      <x:c r="I2175" s="10" t="n">
        <x:v>0.03</x:v>
      </x:c>
      <x:c r="J2175" s="11" t="n">
        <x:v>6</x:v>
      </x:c>
      <x:c r="K2175" s="11" t="n">
        <x:v>3</x:v>
      </x:c>
      <x:c r="L2175" s="11" t="n">
        <x:v>0</x:v>
      </x:c>
      <x:c r="M2175" s="9" t="n">
        <x:f>ROUND(H2175*(1-I2175),2)</x:f>
        <x:v>11349000</x:v>
      </x:c>
      <x:c r="N2175" s="4" t="str">
        <x:v>Sales manager</x:v>
      </x:c>
      <x:c r="O2175" s="4"/>
      <x:c r="P2175" s="9" t="n">
        <x:v>0</x:v>
      </x:c>
      <x:c r="Q2175" s="11" t="n">
        <x:v>1</x:v>
      </x:c>
      <x:c r="R2175" s="8" t="n">
        <x:v>45490</x:v>
      </x:c>
      <x:c r="S2175" s="4" t="str">
        <x:v>Lost / cancelled</x:v>
      </x:c>
      <x:c r="T2175" s="10" t="n">
        <x:v>0.298969</x:v>
      </x:c>
      <x:c r="U2175" s="4" t="str">
        <x:v>Train</x:v>
      </x:c>
    </x:row>
    <x:row r="2176" ht="34" customHeight="1">
      <x:c r="A2176" s="4" t="str">
        <x:v>RS-02175</x:v>
      </x:c>
      <x:c r="B2176" s="8" t="n">
        <x:v>45431</x:v>
      </x:c>
      <x:c r="C2176" s="4" t="str">
        <x:v>PRJ-015</x:v>
      </x:c>
      <x:c r="D2176" s="4" t="str">
        <x:v>Apartment</x:v>
      </x:c>
      <x:c r="E2176" s="4" t="str">
        <x:v>Reserved</x:v>
      </x:c>
      <x:c r="F2176" s="4" t="str">
        <x:v>CUS-02175</x:v>
      </x:c>
      <x:c r="G2176" s="4" t="str">
        <x:v>UNIT-02175</x:v>
      </x:c>
      <x:c r="H2176" s="9" t="n">
        <x:v>13600000</x:v>
      </x:c>
      <x:c r="I2176" s="10" t="n">
        <x:v>0.01</x:v>
      </x:c>
      <x:c r="J2176" s="11" t="n">
        <x:v>5</x:v>
      </x:c>
      <x:c r="K2176" s="11" t="n">
        <x:v>6</x:v>
      </x:c>
      <x:c r="L2176" s="11" t="n">
        <x:v>1</x:v>
      </x:c>
      <x:c r="M2176" s="9" t="n">
        <x:f>ROUND(H2176*(1-I2176),2)</x:f>
        <x:v>13464000</x:v>
      </x:c>
      <x:c r="N2176" s="4" t="str">
        <x:v>Sales manager</x:v>
      </x:c>
      <x:c r="O2176" s="4"/>
      <x:c r="P2176" s="9" t="n">
        <x:v>0</x:v>
      </x:c>
      <x:c r="Q2176" s="11" t="n">
        <x:v>0</x:v>
      </x:c>
      <x:c r="R2176" s="8" t="n">
        <x:v>45491</x:v>
      </x:c>
      <x:c r="S2176" s="4" t="str">
        <x:v>Retained</x:v>
      </x:c>
      <x:c r="T2176" s="10" t="n">
        <x:v>0.145299</x:v>
      </x:c>
      <x:c r="U2176" s="4" t="str">
        <x:v>Train</x:v>
      </x:c>
    </x:row>
    <x:row r="2177" ht="34" customHeight="1">
      <x:c r="A2177" s="4" t="str">
        <x:v>RS-02176</x:v>
      </x:c>
      <x:c r="B2177" s="8" t="n">
        <x:v>45432</x:v>
      </x:c>
      <x:c r="C2177" s="4" t="str">
        <x:v>PRJ-016</x:v>
      </x:c>
      <x:c r="D2177" s="4" t="str">
        <x:v>Office</x:v>
      </x:c>
      <x:c r="E2177" s="4" t="str">
        <x:v>Handed over</x:v>
      </x:c>
      <x:c r="F2177" s="4" t="str">
        <x:v>CUS-02176</x:v>
      </x:c>
      <x:c r="G2177" s="4" t="str">
        <x:v>UNIT-02176</x:v>
      </x:c>
      <x:c r="H2177" s="9" t="n">
        <x:v>13000000</x:v>
      </x:c>
      <x:c r="I2177" s="10" t="n">
        <x:v>0.05</x:v>
      </x:c>
      <x:c r="J2177" s="11" t="n">
        <x:v>4</x:v>
      </x:c>
      <x:c r="K2177" s="11" t="n">
        <x:v>10</x:v>
      </x:c>
      <x:c r="L2177" s="11" t="n">
        <x:v>0</x:v>
      </x:c>
      <x:c r="M2177" s="9" t="n">
        <x:f>ROUND(H2177*(1-I2177),2)</x:f>
        <x:v>12350000</x:v>
      </x:c>
      <x:c r="N2177" s="4" t="str">
        <x:v>Sales manager</x:v>
      </x:c>
      <x:c r="O2177" s="4" t="str">
        <x:v>BOOK-02176</x:v>
      </x:c>
      <x:c r="P2177" s="9" t="n">
        <x:v>6175000</x:v>
      </x:c>
      <x:c r="Q2177" s="11" t="n">
        <x:v>0</x:v>
      </x:c>
      <x:c r="R2177" s="8" t="n">
        <x:v>45492</x:v>
      </x:c>
      <x:c r="S2177" s="4" t="str">
        <x:v>Retained</x:v>
      </x:c>
      <x:c r="T2177" s="10" t="n">
        <x:v>0.226277</x:v>
      </x:c>
      <x:c r="U2177" s="4" t="str">
        <x:v>Train</x:v>
      </x:c>
    </x:row>
    <x:row r="2178" ht="34" customHeight="1">
      <x:c r="A2178" s="4" t="str">
        <x:v>RS-02177</x:v>
      </x:c>
      <x:c r="B2178" s="8" t="n">
        <x:v>45433</x:v>
      </x:c>
      <x:c r="C2178" s="4" t="str">
        <x:v>PRJ-017</x:v>
      </x:c>
      <x:c r="D2178" s="4" t="str">
        <x:v>Retail</x:v>
      </x:c>
      <x:c r="E2178" s="4" t="str">
        <x:v>Agreement signed</x:v>
      </x:c>
      <x:c r="F2178" s="4" t="str">
        <x:v>CUS-02177</x:v>
      </x:c>
      <x:c r="G2178" s="4" t="str">
        <x:v>UNIT-02177</x:v>
      </x:c>
      <x:c r="H2178" s="9" t="n">
        <x:v>19500000</x:v>
      </x:c>
      <x:c r="I2178" s="10" t="n">
        <x:v>0.04</x:v>
      </x:c>
      <x:c r="J2178" s="11" t="n">
        <x:v>1</x:v>
      </x:c>
      <x:c r="K2178" s="11" t="n">
        <x:v>2</x:v>
      </x:c>
      <x:c r="L2178" s="11" t="n">
        <x:v>1</x:v>
      </x:c>
      <x:c r="M2178" s="9" t="n">
        <x:f>ROUND(H2178*(1-I2178),2)</x:f>
        <x:v>18720000</x:v>
      </x:c>
      <x:c r="N2178" s="4" t="str">
        <x:v>Sales manager</x:v>
      </x:c>
      <x:c r="O2178" s="4" t="str">
        <x:v>BOOK-02177</x:v>
      </x:c>
      <x:c r="P2178" s="9" t="n">
        <x:v>18720000</x:v>
      </x:c>
      <x:c r="Q2178" s="11" t="n">
        <x:v>0</x:v>
      </x:c>
      <x:c r="R2178" s="8" t="n">
        <x:v>45493</x:v>
      </x:c>
      <x:c r="S2178" s="4" t="str">
        <x:v>Retained</x:v>
      </x:c>
      <x:c r="T2178" s="10" t="n">
        <x:v>0.204152</x:v>
      </x:c>
      <x:c r="U2178" s="4" t="str">
        <x:v>Train</x:v>
      </x:c>
    </x:row>
    <x:row r="2179" ht="34" customHeight="1">
      <x:c r="A2179" s="4" t="str">
        <x:v>RS-02178</x:v>
      </x:c>
      <x:c r="B2179" s="8" t="n">
        <x:v>45434</x:v>
      </x:c>
      <x:c r="C2179" s="4" t="str">
        <x:v>PRJ-018</x:v>
      </x:c>
      <x:c r="D2179" s="4" t="str">
        <x:v>Office</x:v>
      </x:c>
      <x:c r="E2179" s="4" t="str">
        <x:v>Agreement signed</x:v>
      </x:c>
      <x:c r="F2179" s="4" t="str">
        <x:v>CUS-02178</x:v>
      </x:c>
      <x:c r="G2179" s="4" t="str">
        <x:v>UNIT-02178</x:v>
      </x:c>
      <x:c r="H2179" s="9" t="n">
        <x:v>3700000</x:v>
      </x:c>
      <x:c r="I2179" s="10" t="n">
        <x:v>0.1</x:v>
      </x:c>
      <x:c r="J2179" s="11" t="n">
        <x:v>2</x:v>
      </x:c>
      <x:c r="K2179" s="11" t="n">
        <x:v>6</x:v>
      </x:c>
      <x:c r="L2179" s="11" t="n">
        <x:v>0</x:v>
      </x:c>
      <x:c r="M2179" s="9" t="n">
        <x:f>ROUND(H2179*(1-I2179),2)</x:f>
        <x:v>3330000</x:v>
      </x:c>
      <x:c r="N2179" s="4" t="str">
        <x:v>Sales head</x:v>
      </x:c>
      <x:c r="O2179" s="4" t="str">
        <x:v>BOOK-02178</x:v>
      </x:c>
      <x:c r="P2179" s="9" t="n">
        <x:v>3330000</x:v>
      </x:c>
      <x:c r="Q2179" s="11" t="n">
        <x:v>0</x:v>
      </x:c>
      <x:c r="R2179" s="8" t="n">
        <x:v>45494</x:v>
      </x:c>
      <x:c r="S2179" s="4" t="str">
        <x:v>Retained</x:v>
      </x:c>
      <x:c r="T2179" s="10" t="n">
        <x:v>0.145833</x:v>
      </x:c>
      <x:c r="U2179" s="4" t="str">
        <x:v>Train</x:v>
      </x:c>
    </x:row>
    <x:row r="2180" ht="34" customHeight="1">
      <x:c r="A2180" s="4" t="str">
        <x:v>RS-02179</x:v>
      </x:c>
      <x:c r="B2180" s="8" t="n">
        <x:v>45435</x:v>
      </x:c>
      <x:c r="C2180" s="4" t="str">
        <x:v>PRJ-019</x:v>
      </x:c>
      <x:c r="D2180" s="4" t="str">
        <x:v>Office</x:v>
      </x:c>
      <x:c r="E2180" s="4" t="str">
        <x:v>Reserved</x:v>
      </x:c>
      <x:c r="F2180" s="4" t="str">
        <x:v>CUS-02179</x:v>
      </x:c>
      <x:c r="G2180" s="4" t="str">
        <x:v>UNIT-02179</x:v>
      </x:c>
      <x:c r="H2180" s="9" t="n">
        <x:v>8000000</x:v>
      </x:c>
      <x:c r="I2180" s="10" t="n">
        <x:v>0.08</x:v>
      </x:c>
      <x:c r="J2180" s="11" t="n">
        <x:v>9</x:v>
      </x:c>
      <x:c r="K2180" s="11" t="n">
        <x:v>5</x:v>
      </x:c>
      <x:c r="L2180" s="11" t="n">
        <x:v>0</x:v>
      </x:c>
      <x:c r="M2180" s="9" t="n">
        <x:f>ROUND(H2180*(1-I2180),2)</x:f>
        <x:v>7360000</x:v>
      </x:c>
      <x:c r="N2180" s="4" t="str">
        <x:v>Sales head</x:v>
      </x:c>
      <x:c r="O2180" s="4"/>
      <x:c r="P2180" s="9" t="n">
        <x:v>0</x:v>
      </x:c>
      <x:c r="Q2180" s="11" t="n">
        <x:v>0</x:v>
      </x:c>
      <x:c r="R2180" s="8" t="n">
        <x:v>45495</x:v>
      </x:c>
      <x:c r="S2180" s="4" t="str">
        <x:v>Retained</x:v>
      </x:c>
      <x:c r="T2180" s="10" t="n">
        <x:v>0.310195</x:v>
      </x:c>
      <x:c r="U2180" s="4" t="str">
        <x:v>Train</x:v>
      </x:c>
    </x:row>
    <x:row r="2181" ht="34" customHeight="1">
      <x:c r="A2181" s="4" t="str">
        <x:v>RS-02180</x:v>
      </x:c>
      <x:c r="B2181" s="8" t="n">
        <x:v>45436</x:v>
      </x:c>
      <x:c r="C2181" s="4" t="str">
        <x:v>PRJ-020</x:v>
      </x:c>
      <x:c r="D2181" s="4" t="str">
        <x:v>Retail</x:v>
      </x:c>
      <x:c r="E2181" s="4" t="str">
        <x:v>Agreement signed</x:v>
      </x:c>
      <x:c r="F2181" s="4" t="str">
        <x:v>CUS-02180</x:v>
      </x:c>
      <x:c r="G2181" s="4" t="str">
        <x:v>UNIT-02180</x:v>
      </x:c>
      <x:c r="H2181" s="9" t="n">
        <x:v>12200000</x:v>
      </x:c>
      <x:c r="I2181" s="10" t="n">
        <x:v>0.1</x:v>
      </x:c>
      <x:c r="J2181" s="11" t="n">
        <x:v>5</x:v>
      </x:c>
      <x:c r="K2181" s="11" t="n">
        <x:v>3</x:v>
      </x:c>
      <x:c r="L2181" s="11" t="n">
        <x:v>0</x:v>
      </x:c>
      <x:c r="M2181" s="9" t="n">
        <x:f>ROUND(H2181*(1-I2181),2)</x:f>
        <x:v>10980000</x:v>
      </x:c>
      <x:c r="N2181" s="4" t="str">
        <x:v>Sales head</x:v>
      </x:c>
      <x:c r="O2181" s="4" t="str">
        <x:v>BOOK-02180</x:v>
      </x:c>
      <x:c r="P2181" s="9" t="n">
        <x:v>2745000</x:v>
      </x:c>
      <x:c r="Q2181" s="11" t="n">
        <x:v>0</x:v>
      </x:c>
      <x:c r="R2181" s="8" t="n">
        <x:v>45496</x:v>
      </x:c>
      <x:c r="S2181" s="4" t="str">
        <x:v>Retained</x:v>
      </x:c>
      <x:c r="T2181" s="10" t="n">
        <x:v>0.226277</x:v>
      </x:c>
      <x:c r="U2181" s="4" t="str">
        <x:v>Train</x:v>
      </x:c>
    </x:row>
    <x:row r="2182" ht="34" customHeight="1">
      <x:c r="A2182" s="4" t="str">
        <x:v>RS-02181</x:v>
      </x:c>
      <x:c r="B2182" s="8" t="n">
        <x:v>45437</x:v>
      </x:c>
      <x:c r="C2182" s="4" t="str">
        <x:v>PRJ-001</x:v>
      </x:c>
      <x:c r="D2182" s="4" t="str">
        <x:v>Apartment</x:v>
      </x:c>
      <x:c r="E2182" s="4" t="str">
        <x:v>Enquiry</x:v>
      </x:c>
      <x:c r="F2182" s="4" t="str">
        <x:v>CUS-02181</x:v>
      </x:c>
      <x:c r="G2182" s="4" t="str">
        <x:v>UNIT-02181</x:v>
      </x:c>
      <x:c r="H2182" s="9" t="n">
        <x:v>7800000</x:v>
      </x:c>
      <x:c r="I2182" s="10" t="n">
        <x:v>0.12</x:v>
      </x:c>
      <x:c r="J2182" s="11" t="n">
        <x:v>3</x:v>
      </x:c>
      <x:c r="K2182" s="11" t="n">
        <x:v>2</x:v>
      </x:c>
      <x:c r="L2182" s="11" t="n">
        <x:v>0</x:v>
      </x:c>
      <x:c r="M2182" s="9" t="n">
        <x:f>ROUND(H2182*(1-I2182),2)</x:f>
        <x:v>6864000</x:v>
      </x:c>
      <x:c r="N2182" s="4" t="str">
        <x:v>Sales head</x:v>
      </x:c>
      <x:c r="O2182" s="4"/>
      <x:c r="P2182" s="9" t="n">
        <x:v>0</x:v>
      </x:c>
      <x:c r="Q2182" s="11" t="n">
        <x:v>0</x:v>
      </x:c>
      <x:c r="R2182" s="8" t="n">
        <x:v>45497</x:v>
      </x:c>
      <x:c r="S2182" s="4" t="str">
        <x:v>Retained</x:v>
      </x:c>
      <x:c r="T2182" s="10" t="n">
        <x:v>0.145833</x:v>
      </x:c>
      <x:c r="U2182" s="4" t="str">
        <x:v>Train</x:v>
      </x:c>
    </x:row>
    <x:row r="2183" ht="34" customHeight="1">
      <x:c r="A2183" s="4" t="str">
        <x:v>RS-02182</x:v>
      </x:c>
      <x:c r="B2183" s="8" t="n">
        <x:v>45438</x:v>
      </x:c>
      <x:c r="C2183" s="4" t="str">
        <x:v>PRJ-002</x:v>
      </x:c>
      <x:c r="D2183" s="4" t="str">
        <x:v>Office</x:v>
      </x:c>
      <x:c r="E2183" s="4" t="str">
        <x:v>Reserved</x:v>
      </x:c>
      <x:c r="F2183" s="4" t="str">
        <x:v>CUS-02182</x:v>
      </x:c>
      <x:c r="G2183" s="4" t="str">
        <x:v>UNIT-02182</x:v>
      </x:c>
      <x:c r="H2183" s="9" t="n">
        <x:v>18800000</x:v>
      </x:c>
      <x:c r="I2183" s="10" t="n">
        <x:v>0.06</x:v>
      </x:c>
      <x:c r="J2183" s="11" t="n">
        <x:v>6</x:v>
      </x:c>
      <x:c r="K2183" s="11" t="n">
        <x:v>2</x:v>
      </x:c>
      <x:c r="L2183" s="11" t="n">
        <x:v>1</x:v>
      </x:c>
      <x:c r="M2183" s="9" t="n">
        <x:f>ROUND(H2183*(1-I2183),2)</x:f>
        <x:v>17672000</x:v>
      </x:c>
      <x:c r="N2183" s="4" t="str">
        <x:v>Sales manager</x:v>
      </x:c>
      <x:c r="O2183" s="4"/>
      <x:c r="P2183" s="9" t="n">
        <x:v>0</x:v>
      </x:c>
      <x:c r="Q2183" s="11" t="n">
        <x:v>0</x:v>
      </x:c>
      <x:c r="R2183" s="8" t="n">
        <x:v>45498</x:v>
      </x:c>
      <x:c r="S2183" s="4" t="str">
        <x:v>Retained</x:v>
      </x:c>
      <x:c r="T2183" s="10" t="n">
        <x:v>0.291946</x:v>
      </x:c>
      <x:c r="U2183" s="4" t="str">
        <x:v>Train</x:v>
      </x:c>
    </x:row>
    <x:row r="2184" ht="34" customHeight="1">
      <x:c r="A2184" s="4" t="str">
        <x:v>RS-02183</x:v>
      </x:c>
      <x:c r="B2184" s="8" t="n">
        <x:v>45439</x:v>
      </x:c>
      <x:c r="C2184" s="4" t="str">
        <x:v>PRJ-003</x:v>
      </x:c>
      <x:c r="D2184" s="4" t="str">
        <x:v>Office</x:v>
      </x:c>
      <x:c r="E2184" s="4" t="str">
        <x:v>Enquiry</x:v>
      </x:c>
      <x:c r="F2184" s="4" t="str">
        <x:v>CUS-02183</x:v>
      </x:c>
      <x:c r="G2184" s="4" t="str">
        <x:v>UNIT-02183</x:v>
      </x:c>
      <x:c r="H2184" s="9" t="n">
        <x:v>23700000</x:v>
      </x:c>
      <x:c r="I2184" s="10" t="n">
        <x:v>0.09</x:v>
      </x:c>
      <x:c r="J2184" s="11" t="n">
        <x:v>8</x:v>
      </x:c>
      <x:c r="K2184" s="11" t="n">
        <x:v>5</x:v>
      </x:c>
      <x:c r="L2184" s="11" t="n">
        <x:v>1</x:v>
      </x:c>
      <x:c r="M2184" s="9" t="n">
        <x:f>ROUND(H2184*(1-I2184),2)</x:f>
        <x:v>21567000</x:v>
      </x:c>
      <x:c r="N2184" s="4" t="str">
        <x:v>Sales head</x:v>
      </x:c>
      <x:c r="O2184" s="4"/>
      <x:c r="P2184" s="9" t="n">
        <x:v>0</x:v>
      </x:c>
      <x:c r="Q2184" s="11" t="n">
        <x:v>1</x:v>
      </x:c>
      <x:c r="R2184" s="8" t="n">
        <x:v>45499</x:v>
      </x:c>
      <x:c r="S2184" s="4" t="str">
        <x:v>Lost / cancelled</x:v>
      </x:c>
      <x:c r="T2184" s="10" t="n">
        <x:v>0.310195</x:v>
      </x:c>
      <x:c r="U2184" s="4" t="str">
        <x:v>Train</x:v>
      </x:c>
    </x:row>
    <x:row r="2185" ht="34" customHeight="1">
      <x:c r="A2185" s="4" t="str">
        <x:v>RS-02184</x:v>
      </x:c>
      <x:c r="B2185" s="8" t="n">
        <x:v>45440</x:v>
      </x:c>
      <x:c r="C2185" s="4" t="str">
        <x:v>PRJ-004</x:v>
      </x:c>
      <x:c r="D2185" s="4" t="str">
        <x:v>Office</x:v>
      </x:c>
      <x:c r="E2185" s="4" t="str">
        <x:v>Booked</x:v>
      </x:c>
      <x:c r="F2185" s="4" t="str">
        <x:v>CUS-02184</x:v>
      </x:c>
      <x:c r="G2185" s="4" t="str">
        <x:v>UNIT-02184</x:v>
      </x:c>
      <x:c r="H2185" s="9" t="n">
        <x:v>5000000</x:v>
      </x:c>
      <x:c r="I2185" s="10" t="n">
        <x:v>0</x:v>
      </x:c>
      <x:c r="J2185" s="11" t="n">
        <x:v>9</x:v>
      </x:c>
      <x:c r="K2185" s="11" t="n">
        <x:v>2</x:v>
      </x:c>
      <x:c r="L2185" s="11" t="n">
        <x:v>1</x:v>
      </x:c>
      <x:c r="M2185" s="9" t="n">
        <x:f>ROUND(H2185*(1-I2185),2)</x:f>
        <x:v>5000000</x:v>
      </x:c>
      <x:c r="N2185" s="4" t="str">
        <x:v>Sales manager</x:v>
      </x:c>
      <x:c r="O2185" s="4" t="str">
        <x:v>BOOK-02184</x:v>
      </x:c>
      <x:c r="P2185" s="9" t="n">
        <x:v>5000000</x:v>
      </x:c>
      <x:c r="Q2185" s="11" t="n">
        <x:v>0</x:v>
      </x:c>
      <x:c r="R2185" s="8" t="n">
        <x:v>45500</x:v>
      </x:c>
      <x:c r="S2185" s="4" t="str">
        <x:v>Retained</x:v>
      </x:c>
      <x:c r="T2185" s="10" t="n">
        <x:v>0.254545</x:v>
      </x:c>
      <x:c r="U2185" s="4" t="str">
        <x:v>Train</x:v>
      </x:c>
    </x:row>
    <x:row r="2186" ht="34" customHeight="1">
      <x:c r="A2186" s="4" t="str">
        <x:v>RS-02185</x:v>
      </x:c>
      <x:c r="B2186" s="8" t="n">
        <x:v>45413</x:v>
      </x:c>
      <x:c r="C2186" s="4" t="str">
        <x:v>PRJ-005</x:v>
      </x:c>
      <x:c r="D2186" s="4" t="str">
        <x:v>Office</x:v>
      </x:c>
      <x:c r="E2186" s="4" t="str">
        <x:v>Handed over</x:v>
      </x:c>
      <x:c r="F2186" s="4" t="str">
        <x:v>CUS-02185</x:v>
      </x:c>
      <x:c r="G2186" s="4" t="str">
        <x:v>UNIT-02185</x:v>
      </x:c>
      <x:c r="H2186" s="9" t="n">
        <x:v>7400000</x:v>
      </x:c>
      <x:c r="I2186" s="10" t="n">
        <x:v>0.08</x:v>
      </x:c>
      <x:c r="J2186" s="11" t="n">
        <x:v>6</x:v>
      </x:c>
      <x:c r="K2186" s="11" t="n">
        <x:v>8</x:v>
      </x:c>
      <x:c r="L2186" s="11" t="n">
        <x:v>0</x:v>
      </x:c>
      <x:c r="M2186" s="9" t="n">
        <x:f>ROUND(H2186*(1-I2186),2)</x:f>
        <x:v>6808000</x:v>
      </x:c>
      <x:c r="N2186" s="4" t="str">
        <x:v>Sales head</x:v>
      </x:c>
      <x:c r="O2186" s="4" t="str">
        <x:v>BOOK-02185</x:v>
      </x:c>
      <x:c r="P2186" s="9" t="n">
        <x:v>1702000</x:v>
      </x:c>
      <x:c r="Q2186" s="11" t="n">
        <x:v>0</x:v>
      </x:c>
      <x:c r="R2186" s="8" t="n">
        <x:v>45473</x:v>
      </x:c>
      <x:c r="S2186" s="4" t="str">
        <x:v>Retained</x:v>
      </x:c>
      <x:c r="T2186" s="10" t="n">
        <x:v>0.226277</x:v>
      </x:c>
      <x:c r="U2186" s="4" t="str">
        <x:v>Train</x:v>
      </x:c>
    </x:row>
    <x:row r="2187" ht="34" customHeight="1">
      <x:c r="A2187" s="4" t="str">
        <x:v>RS-02186</x:v>
      </x:c>
      <x:c r="B2187" s="8" t="n">
        <x:v>45414</x:v>
      </x:c>
      <x:c r="C2187" s="4" t="str">
        <x:v>PRJ-006</x:v>
      </x:c>
      <x:c r="D2187" s="4" t="str">
        <x:v>Apartment</x:v>
      </x:c>
      <x:c r="E2187" s="4" t="str">
        <x:v>Reserved</x:v>
      </x:c>
      <x:c r="F2187" s="4" t="str">
        <x:v>CUS-02186</x:v>
      </x:c>
      <x:c r="G2187" s="4" t="str">
        <x:v>UNIT-02186</x:v>
      </x:c>
      <x:c r="H2187" s="9" t="n">
        <x:v>19100000</x:v>
      </x:c>
      <x:c r="I2187" s="10" t="n">
        <x:v>0.03</x:v>
      </x:c>
      <x:c r="J2187" s="11" t="n">
        <x:v>9</x:v>
      </x:c>
      <x:c r="K2187" s="11" t="n">
        <x:v>9</x:v>
      </x:c>
      <x:c r="L2187" s="11" t="n">
        <x:v>0</x:v>
      </x:c>
      <x:c r="M2187" s="9" t="n">
        <x:f>ROUND(H2187*(1-I2187),2)</x:f>
        <x:v>18527000</x:v>
      </x:c>
      <x:c r="N2187" s="4" t="str">
        <x:v>Sales manager</x:v>
      </x:c>
      <x:c r="O2187" s="4"/>
      <x:c r="P2187" s="9" t="n">
        <x:v>0</x:v>
      </x:c>
      <x:c r="Q2187" s="11" t="n">
        <x:v>0</x:v>
      </x:c>
      <x:c r="R2187" s="8" t="n">
        <x:v>45474</x:v>
      </x:c>
      <x:c r="S2187" s="4" t="str">
        <x:v>Retained</x:v>
      </x:c>
      <x:c r="T2187" s="10" t="n">
        <x:v>0.310195</x:v>
      </x:c>
      <x:c r="U2187" s="4" t="str">
        <x:v>Train</x:v>
      </x:c>
    </x:row>
    <x:row r="2188" ht="34" customHeight="1">
      <x:c r="A2188" s="4" t="str">
        <x:v>RS-02187</x:v>
      </x:c>
      <x:c r="B2188" s="8" t="n">
        <x:v>45415</x:v>
      </x:c>
      <x:c r="C2188" s="4" t="str">
        <x:v>PRJ-007</x:v>
      </x:c>
      <x:c r="D2188" s="4" t="str">
        <x:v>Retail</x:v>
      </x:c>
      <x:c r="E2188" s="4" t="str">
        <x:v>Agreement signed</x:v>
      </x:c>
      <x:c r="F2188" s="4" t="str">
        <x:v>CUS-02187</x:v>
      </x:c>
      <x:c r="G2188" s="4" t="str">
        <x:v>UNIT-02187</x:v>
      </x:c>
      <x:c r="H2188" s="9" t="n">
        <x:v>22900000</x:v>
      </x:c>
      <x:c r="I2188" s="10" t="n">
        <x:v>0.08</x:v>
      </x:c>
      <x:c r="J2188" s="11" t="n">
        <x:v>11</x:v>
      </x:c>
      <x:c r="K2188" s="11" t="n">
        <x:v>4</x:v>
      </x:c>
      <x:c r="L2188" s="11" t="n">
        <x:v>0</x:v>
      </x:c>
      <x:c r="M2188" s="9" t="n">
        <x:f>ROUND(H2188*(1-I2188),2)</x:f>
        <x:v>21068000</x:v>
      </x:c>
      <x:c r="N2188" s="4" t="str">
        <x:v>Sales head</x:v>
      </x:c>
      <x:c r="O2188" s="4" t="str">
        <x:v>BOOK-02187</x:v>
      </x:c>
      <x:c r="P2188" s="9" t="n">
        <x:v>5267000</x:v>
      </x:c>
      <x:c r="Q2188" s="11" t="n">
        <x:v>0</x:v>
      </x:c>
      <x:c r="R2188" s="8" t="n">
        <x:v>45475</x:v>
      </x:c>
      <x:c r="S2188" s="4" t="str">
        <x:v>Retained</x:v>
      </x:c>
      <x:c r="T2188" s="10" t="n">
        <x:v>0.351536</x:v>
      </x:c>
      <x:c r="U2188" s="4" t="str">
        <x:v>Train</x:v>
      </x:c>
    </x:row>
    <x:row r="2189" ht="34" customHeight="1">
      <x:c r="A2189" s="4" t="str">
        <x:v>RS-02188</x:v>
      </x:c>
      <x:c r="B2189" s="8" t="n">
        <x:v>45416</x:v>
      </x:c>
      <x:c r="C2189" s="4" t="str">
        <x:v>PRJ-008</x:v>
      </x:c>
      <x:c r="D2189" s="4" t="str">
        <x:v>Villa</x:v>
      </x:c>
      <x:c r="E2189" s="4" t="str">
        <x:v>Booked</x:v>
      </x:c>
      <x:c r="F2189" s="4" t="str">
        <x:v>CUS-02188</x:v>
      </x:c>
      <x:c r="G2189" s="4" t="str">
        <x:v>UNIT-02188</x:v>
      </x:c>
      <x:c r="H2189" s="9" t="n">
        <x:v>5600000</x:v>
      </x:c>
      <x:c r="I2189" s="10" t="n">
        <x:v>0.11</x:v>
      </x:c>
      <x:c r="J2189" s="11" t="n">
        <x:v>2</x:v>
      </x:c>
      <x:c r="K2189" s="11" t="n">
        <x:v>4</x:v>
      </x:c>
      <x:c r="L2189" s="11" t="n">
        <x:v>1</x:v>
      </x:c>
      <x:c r="M2189" s="9" t="n">
        <x:f>ROUND(H2189*(1-I2189),2)</x:f>
        <x:v>4984000</x:v>
      </x:c>
      <x:c r="N2189" s="4" t="str">
        <x:v>Sales head</x:v>
      </x:c>
      <x:c r="O2189" s="4" t="str">
        <x:v>BOOK-02188</x:v>
      </x:c>
      <x:c r="P2189" s="9" t="n">
        <x:v>498400</x:v>
      </x:c>
      <x:c r="Q2189" s="11" t="n">
        <x:v>0</x:v>
      </x:c>
      <x:c r="R2189" s="8" t="n">
        <x:v>45476</x:v>
      </x:c>
      <x:c r="S2189" s="4" t="str">
        <x:v>Retained</x:v>
      </x:c>
      <x:c r="T2189" s="10" t="n">
        <x:v>0.145833</x:v>
      </x:c>
      <x:c r="U2189" s="4" t="str">
        <x:v>Train</x:v>
      </x:c>
    </x:row>
    <x:row r="2190" ht="34" customHeight="1">
      <x:c r="A2190" s="4" t="str">
        <x:v>RS-02189</x:v>
      </x:c>
      <x:c r="B2190" s="8" t="n">
        <x:v>45417</x:v>
      </x:c>
      <x:c r="C2190" s="4" t="str">
        <x:v>PRJ-009</x:v>
      </x:c>
      <x:c r="D2190" s="4" t="str">
        <x:v>Retail</x:v>
      </x:c>
      <x:c r="E2190" s="4" t="str">
        <x:v>Enquiry</x:v>
      </x:c>
      <x:c r="F2190" s="4" t="str">
        <x:v>CUS-02189</x:v>
      </x:c>
      <x:c r="G2190" s="4" t="str">
        <x:v>UNIT-02189</x:v>
      </x:c>
      <x:c r="H2190" s="9" t="n">
        <x:v>19800000</x:v>
      </x:c>
      <x:c r="I2190" s="10" t="n">
        <x:v>0.05</x:v>
      </x:c>
      <x:c r="J2190" s="11" t="n">
        <x:v>8</x:v>
      </x:c>
      <x:c r="K2190" s="11" t="n">
        <x:v>4</x:v>
      </x:c>
      <x:c r="L2190" s="11" t="n">
        <x:v>1</x:v>
      </x:c>
      <x:c r="M2190" s="9" t="n">
        <x:f>ROUND(H2190*(1-I2190),2)</x:f>
        <x:v>18810000</x:v>
      </x:c>
      <x:c r="N2190" s="4" t="str">
        <x:v>Sales manager</x:v>
      </x:c>
      <x:c r="O2190" s="4"/>
      <x:c r="P2190" s="9" t="n">
        <x:v>0</x:v>
      </x:c>
      <x:c r="Q2190" s="11" t="n">
        <x:v>1</x:v>
      </x:c>
      <x:c r="R2190" s="8" t="n">
        <x:v>45477</x:v>
      </x:c>
      <x:c r="S2190" s="4" t="str">
        <x:v>Lost / cancelled</x:v>
      </x:c>
      <x:c r="T2190" s="10" t="n">
        <x:v>0.310195</x:v>
      </x:c>
      <x:c r="U2190" s="4" t="str">
        <x:v>Train</x:v>
      </x:c>
    </x:row>
    <x:row r="2191" ht="34" customHeight="1">
      <x:c r="A2191" s="4" t="str">
        <x:v>RS-02190</x:v>
      </x:c>
      <x:c r="B2191" s="8" t="n">
        <x:v>45418</x:v>
      </x:c>
      <x:c r="C2191" s="4" t="str">
        <x:v>PRJ-010</x:v>
      </x:c>
      <x:c r="D2191" s="4" t="str">
        <x:v>Office</x:v>
      </x:c>
      <x:c r="E2191" s="4" t="str">
        <x:v>Booked</x:v>
      </x:c>
      <x:c r="F2191" s="4" t="str">
        <x:v>CUS-02190</x:v>
      </x:c>
      <x:c r="G2191" s="4" t="str">
        <x:v>UNIT-02190</x:v>
      </x:c>
      <x:c r="H2191" s="9" t="n">
        <x:v>12400000</x:v>
      </x:c>
      <x:c r="I2191" s="10" t="n">
        <x:v>0.08</x:v>
      </x:c>
      <x:c r="J2191" s="11" t="n">
        <x:v>1</x:v>
      </x:c>
      <x:c r="K2191" s="11" t="n">
        <x:v>0</x:v>
      </x:c>
      <x:c r="L2191" s="11" t="n">
        <x:v>1</x:v>
      </x:c>
      <x:c r="M2191" s="9" t="n">
        <x:f>ROUND(H2191*(1-I2191),2)</x:f>
        <x:v>11408000</x:v>
      </x:c>
      <x:c r="N2191" s="4" t="str">
        <x:v>Sales head</x:v>
      </x:c>
      <x:c r="O2191" s="4" t="str">
        <x:v>BOOK-02190</x:v>
      </x:c>
      <x:c r="P2191" s="9" t="n">
        <x:v>5704000</x:v>
      </x:c>
      <x:c r="Q2191" s="11" t="n">
        <x:v>0</x:v>
      </x:c>
      <x:c r="R2191" s="8" t="n">
        <x:v>45478</x:v>
      </x:c>
      <x:c r="S2191" s="4" t="str">
        <x:v>Retained</x:v>
      </x:c>
      <x:c r="T2191" s="10" t="n">
        <x:v>0.276923</x:v>
      </x:c>
      <x:c r="U2191" s="4" t="str">
        <x:v>Train</x:v>
      </x:c>
    </x:row>
    <x:row r="2192" ht="34" customHeight="1">
      <x:c r="A2192" s="4" t="str">
        <x:v>RS-02191</x:v>
      </x:c>
      <x:c r="B2192" s="8" t="n">
        <x:v>45419</x:v>
      </x:c>
      <x:c r="C2192" s="4" t="str">
        <x:v>PRJ-011</x:v>
      </x:c>
      <x:c r="D2192" s="4" t="str">
        <x:v>Retail</x:v>
      </x:c>
      <x:c r="E2192" s="4" t="str">
        <x:v>Agreement signed</x:v>
      </x:c>
      <x:c r="F2192" s="4" t="str">
        <x:v>CUS-02191</x:v>
      </x:c>
      <x:c r="G2192" s="4" t="str">
        <x:v>UNIT-02191</x:v>
      </x:c>
      <x:c r="H2192" s="9" t="n">
        <x:v>17300000</x:v>
      </x:c>
      <x:c r="I2192" s="10" t="n">
        <x:v>0.1</x:v>
      </x:c>
      <x:c r="J2192" s="11" t="n">
        <x:v>3</x:v>
      </x:c>
      <x:c r="K2192" s="11" t="n">
        <x:v>2</x:v>
      </x:c>
      <x:c r="L2192" s="11" t="n">
        <x:v>0</x:v>
      </x:c>
      <x:c r="M2192" s="9" t="n">
        <x:f>ROUND(H2192*(1-I2192),2)</x:f>
        <x:v>15570000</x:v>
      </x:c>
      <x:c r="N2192" s="4" t="str">
        <x:v>Sales head</x:v>
      </x:c>
      <x:c r="O2192" s="4" t="str">
        <x:v>BOOK-02191</x:v>
      </x:c>
      <x:c r="P2192" s="9" t="n">
        <x:v>7785000</x:v>
      </x:c>
      <x:c r="Q2192" s="11" t="n">
        <x:v>0</x:v>
      </x:c>
      <x:c r="R2192" s="8" t="n">
        <x:v>45479</x:v>
      </x:c>
      <x:c r="S2192" s="4" t="str">
        <x:v>Retained</x:v>
      </x:c>
      <x:c r="T2192" s="10" t="n">
        <x:v>0.145833</x:v>
      </x:c>
      <x:c r="U2192" s="4" t="str">
        <x:v>Train</x:v>
      </x:c>
    </x:row>
    <x:row r="2193" ht="34" customHeight="1">
      <x:c r="A2193" s="4" t="str">
        <x:v>RS-02192</x:v>
      </x:c>
      <x:c r="B2193" s="8" t="n">
        <x:v>45420</x:v>
      </x:c>
      <x:c r="C2193" s="4" t="str">
        <x:v>PRJ-012</x:v>
      </x:c>
      <x:c r="D2193" s="4" t="str">
        <x:v>Villa</x:v>
      </x:c>
      <x:c r="E2193" s="4" t="str">
        <x:v>Agreement signed</x:v>
      </x:c>
      <x:c r="F2193" s="4" t="str">
        <x:v>CUS-02192</x:v>
      </x:c>
      <x:c r="G2193" s="4" t="str">
        <x:v>UNIT-02192</x:v>
      </x:c>
      <x:c r="H2193" s="9" t="n">
        <x:v>17900000</x:v>
      </x:c>
      <x:c r="I2193" s="10" t="n">
        <x:v>0.12</x:v>
      </x:c>
      <x:c r="J2193" s="11" t="n">
        <x:v>9</x:v>
      </x:c>
      <x:c r="K2193" s="11" t="n">
        <x:v>6</x:v>
      </x:c>
      <x:c r="L2193" s="11" t="n">
        <x:v>0</x:v>
      </x:c>
      <x:c r="M2193" s="9" t="n">
        <x:f>ROUND(H2193*(1-I2193),2)</x:f>
        <x:v>15752000</x:v>
      </x:c>
      <x:c r="N2193" s="4" t="str">
        <x:v>Sales head</x:v>
      </x:c>
      <x:c r="O2193" s="4" t="str">
        <x:v>BOOK-02192</x:v>
      </x:c>
      <x:c r="P2193" s="9" t="n">
        <x:v>7876000</x:v>
      </x:c>
      <x:c r="Q2193" s="11" t="n">
        <x:v>0</x:v>
      </x:c>
      <x:c r="R2193" s="8" t="n">
        <x:v>45480</x:v>
      </x:c>
      <x:c r="S2193" s="4" t="str">
        <x:v>Retained</x:v>
      </x:c>
      <x:c r="T2193" s="10" t="n">
        <x:v>0.310195</x:v>
      </x:c>
      <x:c r="U2193" s="4" t="str">
        <x:v>Train</x:v>
      </x:c>
    </x:row>
    <x:row r="2194" ht="34" customHeight="1">
      <x:c r="A2194" s="4" t="str">
        <x:v>RS-02193</x:v>
      </x:c>
      <x:c r="B2194" s="8" t="n">
        <x:v>45421</x:v>
      </x:c>
      <x:c r="C2194" s="4" t="str">
        <x:v>PRJ-013</x:v>
      </x:c>
      <x:c r="D2194" s="4" t="str">
        <x:v>Retail</x:v>
      </x:c>
      <x:c r="E2194" s="4" t="str">
        <x:v>Cancelled</x:v>
      </x:c>
      <x:c r="F2194" s="4" t="str">
        <x:v>CUS-02193</x:v>
      </x:c>
      <x:c r="G2194" s="4" t="str">
        <x:v>UNIT-02193</x:v>
      </x:c>
      <x:c r="H2194" s="9" t="n">
        <x:v>7400000</x:v>
      </x:c>
      <x:c r="I2194" s="10" t="n">
        <x:v>0.1</x:v>
      </x:c>
      <x:c r="J2194" s="11" t="n">
        <x:v>4</x:v>
      </x:c>
      <x:c r="K2194" s="11" t="n">
        <x:v>8</x:v>
      </x:c>
      <x:c r="L2194" s="11" t="n">
        <x:v>1</x:v>
      </x:c>
      <x:c r="M2194" s="9" t="n">
        <x:f>ROUND(H2194*(1-I2194),2)</x:f>
        <x:v>6660000</x:v>
      </x:c>
      <x:c r="N2194" s="4" t="str">
        <x:v>Sales head</x:v>
      </x:c>
      <x:c r="O2194" s="4"/>
      <x:c r="P2194" s="9" t="n">
        <x:v>0</x:v>
      </x:c>
      <x:c r="Q2194" s="11" t="n">
        <x:v>1</x:v>
      </x:c>
      <x:c r="R2194" s="8" t="n">
        <x:v>45481</x:v>
      </x:c>
      <x:c r="S2194" s="4" t="str">
        <x:v>Lost / cancelled</x:v>
      </x:c>
      <x:c r="T2194" s="10" t="n">
        <x:v>0.291946</x:v>
      </x:c>
      <x:c r="U2194" s="4" t="str">
        <x:v>Train</x:v>
      </x:c>
    </x:row>
    <x:row r="2195" ht="34" customHeight="1">
      <x:c r="A2195" s="4" t="str">
        <x:v>RS-02194</x:v>
      </x:c>
      <x:c r="B2195" s="8" t="n">
        <x:v>45422</x:v>
      </x:c>
      <x:c r="C2195" s="4" t="str">
        <x:v>PRJ-014</x:v>
      </x:c>
      <x:c r="D2195" s="4" t="str">
        <x:v>Apartment</x:v>
      </x:c>
      <x:c r="E2195" s="4" t="str">
        <x:v>Enquiry</x:v>
      </x:c>
      <x:c r="F2195" s="4" t="str">
        <x:v>CUS-02194</x:v>
      </x:c>
      <x:c r="G2195" s="4" t="str">
        <x:v>UNIT-02194</x:v>
      </x:c>
      <x:c r="H2195" s="9" t="n">
        <x:v>9800000</x:v>
      </x:c>
      <x:c r="I2195" s="10" t="n">
        <x:v>0.06</x:v>
      </x:c>
      <x:c r="J2195" s="11" t="n">
        <x:v>5</x:v>
      </x:c>
      <x:c r="K2195" s="11" t="n">
        <x:v>0</x:v>
      </x:c>
      <x:c r="L2195" s="11" t="n">
        <x:v>1</x:v>
      </x:c>
      <x:c r="M2195" s="9" t="n">
        <x:f>ROUND(H2195*(1-I2195),2)</x:f>
        <x:v>9212000</x:v>
      </x:c>
      <x:c r="N2195" s="4" t="str">
        <x:v>Sales manager</x:v>
      </x:c>
      <x:c r="O2195" s="4"/>
      <x:c r="P2195" s="9" t="n">
        <x:v>0</x:v>
      </x:c>
      <x:c r="Q2195" s="11" t="n">
        <x:v>0</x:v>
      </x:c>
      <x:c r="R2195" s="8" t="n">
        <x:v>45482</x:v>
      </x:c>
      <x:c r="S2195" s="4" t="str">
        <x:v>Retained</x:v>
      </x:c>
      <x:c r="T2195" s="10" t="n">
        <x:v>0.291946</x:v>
      </x:c>
      <x:c r="U2195" s="4" t="str">
        <x:v>Train</x:v>
      </x:c>
    </x:row>
    <x:row r="2196" ht="34" customHeight="1">
      <x:c r="A2196" s="4" t="str">
        <x:v>RS-02195</x:v>
      </x:c>
      <x:c r="B2196" s="8" t="n">
        <x:v>45423</x:v>
      </x:c>
      <x:c r="C2196" s="4" t="str">
        <x:v>PRJ-015</x:v>
      </x:c>
      <x:c r="D2196" s="4" t="str">
        <x:v>Office</x:v>
      </x:c>
      <x:c r="E2196" s="4" t="str">
        <x:v>Reserved</x:v>
      </x:c>
      <x:c r="F2196" s="4" t="str">
        <x:v>CUS-02195</x:v>
      </x:c>
      <x:c r="G2196" s="4" t="str">
        <x:v>UNIT-02195</x:v>
      </x:c>
      <x:c r="H2196" s="9" t="n">
        <x:v>7200000</x:v>
      </x:c>
      <x:c r="I2196" s="10" t="n">
        <x:v>0.02</x:v>
      </x:c>
      <x:c r="J2196" s="11" t="n">
        <x:v>6</x:v>
      </x:c>
      <x:c r="K2196" s="11" t="n">
        <x:v>3</x:v>
      </x:c>
      <x:c r="L2196" s="11" t="n">
        <x:v>1</x:v>
      </x:c>
      <x:c r="M2196" s="9" t="n">
        <x:f>ROUND(H2196*(1-I2196),2)</x:f>
        <x:v>7056000</x:v>
      </x:c>
      <x:c r="N2196" s="4" t="str">
        <x:v>Sales manager</x:v>
      </x:c>
      <x:c r="O2196" s="4"/>
      <x:c r="P2196" s="9" t="n">
        <x:v>0</x:v>
      </x:c>
      <x:c r="Q2196" s="11" t="n">
        <x:v>0</x:v>
      </x:c>
      <x:c r="R2196" s="8" t="n">
        <x:v>45483</x:v>
      </x:c>
      <x:c r="S2196" s="4" t="str">
        <x:v>Retained</x:v>
      </x:c>
      <x:c r="T2196" s="10" t="n">
        <x:v>0.298969</x:v>
      </x:c>
      <x:c r="U2196" s="4" t="str">
        <x:v>Train</x:v>
      </x:c>
    </x:row>
    <x:row r="2197" ht="34" customHeight="1">
      <x:c r="A2197" s="4" t="str">
        <x:v>RS-02196</x:v>
      </x:c>
      <x:c r="B2197" s="8" t="n">
        <x:v>45424</x:v>
      </x:c>
      <x:c r="C2197" s="4" t="str">
        <x:v>PRJ-016</x:v>
      </x:c>
      <x:c r="D2197" s="4" t="str">
        <x:v>Office</x:v>
      </x:c>
      <x:c r="E2197" s="4" t="str">
        <x:v>Reserved</x:v>
      </x:c>
      <x:c r="F2197" s="4" t="str">
        <x:v>CUS-02196</x:v>
      </x:c>
      <x:c r="G2197" s="4" t="str">
        <x:v>UNIT-02196</x:v>
      </x:c>
      <x:c r="H2197" s="9" t="n">
        <x:v>13300000</x:v>
      </x:c>
      <x:c r="I2197" s="10" t="n">
        <x:v>0.07</x:v>
      </x:c>
      <x:c r="J2197" s="11" t="n">
        <x:v>3</x:v>
      </x:c>
      <x:c r="K2197" s="11" t="n">
        <x:v>3</x:v>
      </x:c>
      <x:c r="L2197" s="11" t="n">
        <x:v>1</x:v>
      </x:c>
      <x:c r="M2197" s="9" t="n">
        <x:f>ROUND(H2197*(1-I2197),2)</x:f>
        <x:v>12369000</x:v>
      </x:c>
      <x:c r="N2197" s="4" t="str">
        <x:v>Sales manager</x:v>
      </x:c>
      <x:c r="O2197" s="4"/>
      <x:c r="P2197" s="9" t="n">
        <x:v>0</x:v>
      </x:c>
      <x:c r="Q2197" s="11" t="n">
        <x:v>0</x:v>
      </x:c>
      <x:c r="R2197" s="8" t="n">
        <x:v>45484</x:v>
      </x:c>
      <x:c r="S2197" s="4" t="str">
        <x:v>Retained</x:v>
      </x:c>
      <x:c r="T2197" s="10" t="n">
        <x:v>0.204152</x:v>
      </x:c>
      <x:c r="U2197" s="4" t="str">
        <x:v>Train</x:v>
      </x:c>
    </x:row>
    <x:row r="2198" ht="34" customHeight="1">
      <x:c r="A2198" s="4" t="str">
        <x:v>RS-02197</x:v>
      </x:c>
      <x:c r="B2198" s="8" t="n">
        <x:v>45425</x:v>
      </x:c>
      <x:c r="C2198" s="4" t="str">
        <x:v>PRJ-017</x:v>
      </x:c>
      <x:c r="D2198" s="4" t="str">
        <x:v>Retail</x:v>
      </x:c>
      <x:c r="E2198" s="4" t="str">
        <x:v>Agreement signed</x:v>
      </x:c>
      <x:c r="F2198" s="4" t="str">
        <x:v>CUS-02197</x:v>
      </x:c>
      <x:c r="G2198" s="4" t="str">
        <x:v>UNIT-02197</x:v>
      </x:c>
      <x:c r="H2198" s="9" t="n">
        <x:v>19100000</x:v>
      </x:c>
      <x:c r="I2198" s="10" t="n">
        <x:v>0.07</x:v>
      </x:c>
      <x:c r="J2198" s="11" t="n">
        <x:v>9</x:v>
      </x:c>
      <x:c r="K2198" s="11" t="n">
        <x:v>0</x:v>
      </x:c>
      <x:c r="L2198" s="11" t="n">
        <x:v>1</x:v>
      </x:c>
      <x:c r="M2198" s="9" t="n">
        <x:f>ROUND(H2198*(1-I2198),2)</x:f>
        <x:v>17763000</x:v>
      </x:c>
      <x:c r="N2198" s="4" t="str">
        <x:v>Sales manager</x:v>
      </x:c>
      <x:c r="O2198" s="4" t="str">
        <x:v>BOOK-02197</x:v>
      </x:c>
      <x:c r="P2198" s="9" t="n">
        <x:v>4440750</x:v>
      </x:c>
      <x:c r="Q2198" s="11" t="n">
        <x:v>0</x:v>
      </x:c>
      <x:c r="R2198" s="8" t="n">
        <x:v>45485</x:v>
      </x:c>
      <x:c r="S2198" s="4" t="str">
        <x:v>Retained</x:v>
      </x:c>
      <x:c r="T2198" s="10" t="n">
        <x:v>0.310195</x:v>
      </x:c>
      <x:c r="U2198" s="4" t="str">
        <x:v>Train</x:v>
      </x:c>
    </x:row>
    <x:row r="2199" ht="34" customHeight="1">
      <x:c r="A2199" s="4" t="str">
        <x:v>RS-02198</x:v>
      </x:c>
      <x:c r="B2199" s="8" t="n">
        <x:v>45426</x:v>
      </x:c>
      <x:c r="C2199" s="4" t="str">
        <x:v>PRJ-018</x:v>
      </x:c>
      <x:c r="D2199" s="4" t="str">
        <x:v>Villa</x:v>
      </x:c>
      <x:c r="E2199" s="4" t="str">
        <x:v>Booked</x:v>
      </x:c>
      <x:c r="F2199" s="4" t="str">
        <x:v>CUS-02198</x:v>
      </x:c>
      <x:c r="G2199" s="4" t="str">
        <x:v>UNIT-02198</x:v>
      </x:c>
      <x:c r="H2199" s="9" t="n">
        <x:v>18000000</x:v>
      </x:c>
      <x:c r="I2199" s="10" t="n">
        <x:v>0.08</x:v>
      </x:c>
      <x:c r="J2199" s="11" t="n">
        <x:v>2</x:v>
      </x:c>
      <x:c r="K2199" s="11" t="n">
        <x:v>1</x:v>
      </x:c>
      <x:c r="L2199" s="11" t="n">
        <x:v>0</x:v>
      </x:c>
      <x:c r="M2199" s="9" t="n">
        <x:f>ROUND(H2199*(1-I2199),2)</x:f>
        <x:v>16560000</x:v>
      </x:c>
      <x:c r="N2199" s="4" t="str">
        <x:v>Sales head</x:v>
      </x:c>
      <x:c r="O2199" s="4" t="str">
        <x:v>BOOK-02198</x:v>
      </x:c>
      <x:c r="P2199" s="9" t="n">
        <x:v>4140000</x:v>
      </x:c>
      <x:c r="Q2199" s="11" t="n">
        <x:v>0</x:v>
      </x:c>
      <x:c r="R2199" s="8" t="n">
        <x:v>45486</x:v>
      </x:c>
      <x:c r="S2199" s="4" t="str">
        <x:v>Retained</x:v>
      </x:c>
      <x:c r="T2199" s="10" t="n">
        <x:v>0.204152</x:v>
      </x:c>
      <x:c r="U2199" s="4" t="str">
        <x:v>Train</x:v>
      </x:c>
    </x:row>
    <x:row r="2200" ht="34" customHeight="1">
      <x:c r="A2200" s="4" t="str">
        <x:v>RS-02199</x:v>
      </x:c>
      <x:c r="B2200" s="8" t="n">
        <x:v>45427</x:v>
      </x:c>
      <x:c r="C2200" s="4" t="str">
        <x:v>PRJ-019</x:v>
      </x:c>
      <x:c r="D2200" s="4" t="str">
        <x:v>Apartment</x:v>
      </x:c>
      <x:c r="E2200" s="4" t="str">
        <x:v>Reserved</x:v>
      </x:c>
      <x:c r="F2200" s="4" t="str">
        <x:v>CUS-02199</x:v>
      </x:c>
      <x:c r="G2200" s="4" t="str">
        <x:v>UNIT-02199</x:v>
      </x:c>
      <x:c r="H2200" s="9" t="n">
        <x:v>17000000</x:v>
      </x:c>
      <x:c r="I2200" s="10" t="n">
        <x:v>0.04</x:v>
      </x:c>
      <x:c r="J2200" s="11" t="n">
        <x:v>0</x:v>
      </x:c>
      <x:c r="K2200" s="11" t="n">
        <x:v>2</x:v>
      </x:c>
      <x:c r="L2200" s="11" t="n">
        <x:v>0</x:v>
      </x:c>
      <x:c r="M2200" s="9" t="n">
        <x:f>ROUND(H2200*(1-I2200),2)</x:f>
        <x:v>16320000</x:v>
      </x:c>
      <x:c r="N2200" s="4" t="str">
        <x:v>Sales manager</x:v>
      </x:c>
      <x:c r="O2200" s="4"/>
      <x:c r="P2200" s="9" t="n">
        <x:v>0</x:v>
      </x:c>
      <x:c r="Q2200" s="11" t="n">
        <x:v>0</x:v>
      </x:c>
      <x:c r="R2200" s="8" t="n">
        <x:v>45487</x:v>
      </x:c>
      <x:c r="S2200" s="4" t="str">
        <x:v>Retained</x:v>
      </x:c>
      <x:c r="T2200" s="10" t="n">
        <x:v>0.204152</x:v>
      </x:c>
      <x:c r="U2200" s="4" t="str">
        <x:v>Train</x:v>
      </x:c>
    </x:row>
    <x:row r="2201" ht="34" customHeight="1">
      <x:c r="A2201" s="4" t="str">
        <x:v>RS-02200</x:v>
      </x:c>
      <x:c r="B2201" s="8" t="n">
        <x:v>45428</x:v>
      </x:c>
      <x:c r="C2201" s="4" t="str">
        <x:v>PRJ-020</x:v>
      </x:c>
      <x:c r="D2201" s="4" t="str">
        <x:v>Retail</x:v>
      </x:c>
      <x:c r="E2201" s="4" t="str">
        <x:v>Booked</x:v>
      </x:c>
      <x:c r="F2201" s="4" t="str">
        <x:v>CUS-02200</x:v>
      </x:c>
      <x:c r="G2201" s="4" t="str">
        <x:v>UNIT-02200</x:v>
      </x:c>
      <x:c r="H2201" s="9" t="n">
        <x:v>5500000</x:v>
      </x:c>
      <x:c r="I2201" s="10" t="n">
        <x:v>0.05</x:v>
      </x:c>
      <x:c r="J2201" s="11" t="n">
        <x:v>4</x:v>
      </x:c>
      <x:c r="K2201" s="11" t="n">
        <x:v>2</x:v>
      </x:c>
      <x:c r="L2201" s="11" t="n">
        <x:v>1</x:v>
      </x:c>
      <x:c r="M2201" s="9" t="n">
        <x:f>ROUND(H2201*(1-I2201),2)</x:f>
        <x:v>5225000</x:v>
      </x:c>
      <x:c r="N2201" s="4" t="str">
        <x:v>Sales manager</x:v>
      </x:c>
      <x:c r="O2201" s="4" t="str">
        <x:v>BOOK-02200</x:v>
      </x:c>
      <x:c r="P2201" s="9" t="n">
        <x:v>5225000</x:v>
      </x:c>
      <x:c r="Q2201" s="11" t="n">
        <x:v>0</x:v>
      </x:c>
      <x:c r="R2201" s="8" t="n">
        <x:v>45488</x:v>
      </x:c>
      <x:c r="S2201" s="4" t="str">
        <x:v>Retained</x:v>
      </x:c>
      <x:c r="T2201" s="10" t="n">
        <x:v>0.291946</x:v>
      </x:c>
      <x:c r="U2201" s="4" t="str">
        <x:v>Train</x:v>
      </x:c>
    </x:row>
    <x:row r="2202" ht="34" customHeight="1">
      <x:c r="A2202" s="4" t="str">
        <x:v>RS-02201</x:v>
      </x:c>
      <x:c r="B2202" s="8" t="n">
        <x:v>45429</x:v>
      </x:c>
      <x:c r="C2202" s="4" t="str">
        <x:v>PRJ-001</x:v>
      </x:c>
      <x:c r="D2202" s="4" t="str">
        <x:v>Office</x:v>
      </x:c>
      <x:c r="E2202" s="4" t="str">
        <x:v>Enquiry</x:v>
      </x:c>
      <x:c r="F2202" s="4" t="str">
        <x:v>CUS-02201</x:v>
      </x:c>
      <x:c r="G2202" s="4" t="str">
        <x:v>UNIT-02201</x:v>
      </x:c>
      <x:c r="H2202" s="9" t="n">
        <x:v>10500000</x:v>
      </x:c>
      <x:c r="I2202" s="10" t="n">
        <x:v>0.01</x:v>
      </x:c>
      <x:c r="J2202" s="11" t="n">
        <x:v>11</x:v>
      </x:c>
      <x:c r="K2202" s="11" t="n">
        <x:v>9</x:v>
      </x:c>
      <x:c r="L2202" s="11" t="n">
        <x:v>0</x:v>
      </x:c>
      <x:c r="M2202" s="9" t="n">
        <x:f>ROUND(H2202*(1-I2202),2)</x:f>
        <x:v>10395000</x:v>
      </x:c>
      <x:c r="N2202" s="4" t="str">
        <x:v>Sales manager</x:v>
      </x:c>
      <x:c r="O2202" s="4"/>
      <x:c r="P2202" s="9" t="n">
        <x:v>0</x:v>
      </x:c>
      <x:c r="Q2202" s="11" t="n">
        <x:v>0</x:v>
      </x:c>
      <x:c r="R2202" s="8" t="n">
        <x:v>45489</x:v>
      </x:c>
      <x:c r="S2202" s="4" t="str">
        <x:v>Retained</x:v>
      </x:c>
      <x:c r="T2202" s="10" t="n">
        <x:v>0.305556</x:v>
      </x:c>
      <x:c r="U2202" s="4" t="str">
        <x:v>Train</x:v>
      </x:c>
    </x:row>
    <x:row r="2203" ht="34" customHeight="1">
      <x:c r="A2203" s="4" t="str">
        <x:v>RS-02202</x:v>
      </x:c>
      <x:c r="B2203" s="8" t="n">
        <x:v>45430</x:v>
      </x:c>
      <x:c r="C2203" s="4" t="str">
        <x:v>PRJ-002</x:v>
      </x:c>
      <x:c r="D2203" s="4" t="str">
        <x:v>Apartment</x:v>
      </x:c>
      <x:c r="E2203" s="4" t="str">
        <x:v>Enquiry</x:v>
      </x:c>
      <x:c r="F2203" s="4" t="str">
        <x:v>CUS-02202</x:v>
      </x:c>
      <x:c r="G2203" s="4" t="str">
        <x:v>UNIT-02202</x:v>
      </x:c>
      <x:c r="H2203" s="9" t="n">
        <x:v>20300000</x:v>
      </x:c>
      <x:c r="I2203" s="10" t="n">
        <x:v>0.05</x:v>
      </x:c>
      <x:c r="J2203" s="11" t="n">
        <x:v>7</x:v>
      </x:c>
      <x:c r="K2203" s="11" t="n">
        <x:v>1</x:v>
      </x:c>
      <x:c r="L2203" s="11" t="n">
        <x:v>0</x:v>
      </x:c>
      <x:c r="M2203" s="9" t="n">
        <x:f>ROUND(H2203*(1-I2203),2)</x:f>
        <x:v>19285000</x:v>
      </x:c>
      <x:c r="N2203" s="4" t="str">
        <x:v>Sales manager</x:v>
      </x:c>
      <x:c r="O2203" s="4"/>
      <x:c r="P2203" s="9" t="n">
        <x:v>0</x:v>
      </x:c>
      <x:c r="Q2203" s="11" t="n">
        <x:v>0</x:v>
      </x:c>
      <x:c r="R2203" s="8" t="n">
        <x:v>45490</x:v>
      </x:c>
      <x:c r="S2203" s="4" t="str">
        <x:v>Retained</x:v>
      </x:c>
      <x:c r="T2203" s="10" t="n">
        <x:v>0.226277</x:v>
      </x:c>
      <x:c r="U2203" s="4" t="str">
        <x:v>Train</x:v>
      </x:c>
    </x:row>
    <x:row r="2204" ht="34" customHeight="1">
      <x:c r="A2204" s="4" t="str">
        <x:v>RS-02203</x:v>
      </x:c>
      <x:c r="B2204" s="8" t="n">
        <x:v>45431</x:v>
      </x:c>
      <x:c r="C2204" s="4" t="str">
        <x:v>PRJ-003</x:v>
      </x:c>
      <x:c r="D2204" s="4" t="str">
        <x:v>Apartment</x:v>
      </x:c>
      <x:c r="E2204" s="4" t="str">
        <x:v>Handed over</x:v>
      </x:c>
      <x:c r="F2204" s="4" t="str">
        <x:v>CUS-02203</x:v>
      </x:c>
      <x:c r="G2204" s="4" t="str">
        <x:v>UNIT-02203</x:v>
      </x:c>
      <x:c r="H2204" s="9" t="n">
        <x:v>9900000</x:v>
      </x:c>
      <x:c r="I2204" s="10" t="n">
        <x:v>0.06</x:v>
      </x:c>
      <x:c r="J2204" s="11" t="n">
        <x:v>8</x:v>
      </x:c>
      <x:c r="K2204" s="11" t="n">
        <x:v>8</x:v>
      </x:c>
      <x:c r="L2204" s="11" t="n">
        <x:v>1</x:v>
      </x:c>
      <x:c r="M2204" s="9" t="n">
        <x:f>ROUND(H2204*(1-I2204),2)</x:f>
        <x:v>9306000</x:v>
      </x:c>
      <x:c r="N2204" s="4" t="str">
        <x:v>Sales manager</x:v>
      </x:c>
      <x:c r="O2204" s="4" t="str">
        <x:v>BOOK-02203</x:v>
      </x:c>
      <x:c r="P2204" s="9" t="n">
        <x:v>930600</x:v>
      </x:c>
      <x:c r="Q2204" s="11" t="n">
        <x:v>0</x:v>
      </x:c>
      <x:c r="R2204" s="8" t="n">
        <x:v>45491</x:v>
      </x:c>
      <x:c r="S2204" s="4" t="str">
        <x:v>Retained</x:v>
      </x:c>
      <x:c r="T2204" s="10" t="n">
        <x:v>0.310195</x:v>
      </x:c>
      <x:c r="U2204" s="4" t="str">
        <x:v>Train</x:v>
      </x:c>
    </x:row>
    <x:row r="2205" ht="34" customHeight="1">
      <x:c r="A2205" s="4" t="str">
        <x:v>RS-02204</x:v>
      </x:c>
      <x:c r="B2205" s="8" t="n">
        <x:v>45432</x:v>
      </x:c>
      <x:c r="C2205" s="4" t="str">
        <x:v>PRJ-004</x:v>
      </x:c>
      <x:c r="D2205" s="4" t="str">
        <x:v>Apartment</x:v>
      </x:c>
      <x:c r="E2205" s="4" t="str">
        <x:v>Agreement signed</x:v>
      </x:c>
      <x:c r="F2205" s="4" t="str">
        <x:v>CUS-02204</x:v>
      </x:c>
      <x:c r="G2205" s="4" t="str">
        <x:v>UNIT-02204</x:v>
      </x:c>
      <x:c r="H2205" s="9" t="n">
        <x:v>23100000</x:v>
      </x:c>
      <x:c r="I2205" s="10" t="n">
        <x:v>0.07</x:v>
      </x:c>
      <x:c r="J2205" s="11" t="n">
        <x:v>0</x:v>
      </x:c>
      <x:c r="K2205" s="11" t="n">
        <x:v>3</x:v>
      </x:c>
      <x:c r="L2205" s="11" t="n">
        <x:v>1</x:v>
      </x:c>
      <x:c r="M2205" s="9" t="n">
        <x:f>ROUND(H2205*(1-I2205),2)</x:f>
        <x:v>21483000</x:v>
      </x:c>
      <x:c r="N2205" s="4" t="str">
        <x:v>Sales manager</x:v>
      </x:c>
      <x:c r="O2205" s="4" t="str">
        <x:v>BOOK-02204</x:v>
      </x:c>
      <x:c r="P2205" s="9" t="n">
        <x:v>5370750</x:v>
      </x:c>
      <x:c r="Q2205" s="11" t="n">
        <x:v>0</x:v>
      </x:c>
      <x:c r="R2205" s="8" t="n">
        <x:v>45492</x:v>
      </x:c>
      <x:c r="S2205" s="4" t="str">
        <x:v>Retained</x:v>
      </x:c>
      <x:c r="T2205" s="10" t="n">
        <x:v>0.204152</x:v>
      </x:c>
      <x:c r="U2205" s="4" t="str">
        <x:v>Train</x:v>
      </x:c>
    </x:row>
    <x:row r="2206" ht="34" customHeight="1">
      <x:c r="A2206" s="4" t="str">
        <x:v>RS-02205</x:v>
      </x:c>
      <x:c r="B2206" s="8" t="n">
        <x:v>45433</x:v>
      </x:c>
      <x:c r="C2206" s="4" t="str">
        <x:v>PRJ-005</x:v>
      </x:c>
      <x:c r="D2206" s="4" t="str">
        <x:v>Villa</x:v>
      </x:c>
      <x:c r="E2206" s="4" t="str">
        <x:v>Agreement signed</x:v>
      </x:c>
      <x:c r="F2206" s="4" t="str">
        <x:v>CUS-02205</x:v>
      </x:c>
      <x:c r="G2206" s="4" t="str">
        <x:v>UNIT-02205</x:v>
      </x:c>
      <x:c r="H2206" s="9" t="n">
        <x:v>5800000</x:v>
      </x:c>
      <x:c r="I2206" s="10" t="n">
        <x:v>0.01</x:v>
      </x:c>
      <x:c r="J2206" s="11" t="n">
        <x:v>11</x:v>
      </x:c>
      <x:c r="K2206" s="11" t="n">
        <x:v>0</x:v>
      </x:c>
      <x:c r="L2206" s="11" t="n">
        <x:v>0</x:v>
      </x:c>
      <x:c r="M2206" s="9" t="n">
        <x:f>ROUND(H2206*(1-I2206),2)</x:f>
        <x:v>5742000</x:v>
      </x:c>
      <x:c r="N2206" s="4" t="str">
        <x:v>Sales manager</x:v>
      </x:c>
      <x:c r="O2206" s="4" t="str">
        <x:v>BOOK-02205</x:v>
      </x:c>
      <x:c r="P2206" s="9" t="n">
        <x:v>1435500</x:v>
      </x:c>
      <x:c r="Q2206" s="11" t="n">
        <x:v>0</x:v>
      </x:c>
      <x:c r="R2206" s="8" t="n">
        <x:v>45493</x:v>
      </x:c>
      <x:c r="S2206" s="4" t="str">
        <x:v>Retained</x:v>
      </x:c>
      <x:c r="T2206" s="10" t="n">
        <x:v>0.305556</x:v>
      </x:c>
      <x:c r="U2206" s="4" t="str">
        <x:v>Train</x:v>
      </x:c>
    </x:row>
    <x:row r="2207" ht="34" customHeight="1">
      <x:c r="A2207" s="4" t="str">
        <x:v>RS-02206</x:v>
      </x:c>
      <x:c r="B2207" s="8" t="n">
        <x:v>45434</x:v>
      </x:c>
      <x:c r="C2207" s="4" t="str">
        <x:v>PRJ-006</x:v>
      </x:c>
      <x:c r="D2207" s="4" t="str">
        <x:v>Office</x:v>
      </x:c>
      <x:c r="E2207" s="4" t="str">
        <x:v>Booked</x:v>
      </x:c>
      <x:c r="F2207" s="4" t="str">
        <x:v>CUS-02206</x:v>
      </x:c>
      <x:c r="G2207" s="4" t="str">
        <x:v>UNIT-02206</x:v>
      </x:c>
      <x:c r="H2207" s="9" t="n">
        <x:v>7600000</x:v>
      </x:c>
      <x:c r="I2207" s="10" t="n">
        <x:v>0.04</x:v>
      </x:c>
      <x:c r="J2207" s="11" t="n">
        <x:v>12</x:v>
      </x:c>
      <x:c r="K2207" s="11" t="n">
        <x:v>7</x:v>
      </x:c>
      <x:c r="L2207" s="11" t="n">
        <x:v>1</x:v>
      </x:c>
      <x:c r="M2207" s="9" t="n">
        <x:f>ROUND(H2207*(1-I2207),2)</x:f>
        <x:v>7296000</x:v>
      </x:c>
      <x:c r="N2207" s="4" t="str">
        <x:v>Sales manager</x:v>
      </x:c>
      <x:c r="O2207" s="4" t="str">
        <x:v>BOOK-02206</x:v>
      </x:c>
      <x:c r="P2207" s="9" t="n">
        <x:v>729600</x:v>
      </x:c>
      <x:c r="Q2207" s="11" t="n">
        <x:v>0</x:v>
      </x:c>
      <x:c r="R2207" s="8" t="n">
        <x:v>45494</x:v>
      </x:c>
      <x:c r="S2207" s="4" t="str">
        <x:v>Retained</x:v>
      </x:c>
      <x:c r="T2207" s="10" t="n">
        <x:v>0.351536</x:v>
      </x:c>
      <x:c r="U2207" s="4" t="str">
        <x:v>Train</x:v>
      </x:c>
    </x:row>
    <x:row r="2208" ht="34" customHeight="1">
      <x:c r="A2208" s="4" t="str">
        <x:v>RS-02207</x:v>
      </x:c>
      <x:c r="B2208" s="8" t="n">
        <x:v>45435</x:v>
      </x:c>
      <x:c r="C2208" s="4" t="str">
        <x:v>PRJ-007</x:v>
      </x:c>
      <x:c r="D2208" s="4" t="str">
        <x:v>Retail</x:v>
      </x:c>
      <x:c r="E2208" s="4" t="str">
        <x:v>Cancelled</x:v>
      </x:c>
      <x:c r="F2208" s="4" t="str">
        <x:v>CUS-02207</x:v>
      </x:c>
      <x:c r="G2208" s="4" t="str">
        <x:v>UNIT-02207</x:v>
      </x:c>
      <x:c r="H2208" s="9" t="n">
        <x:v>9700000</x:v>
      </x:c>
      <x:c r="I2208" s="10" t="n">
        <x:v>0</x:v>
      </x:c>
      <x:c r="J2208" s="11" t="n">
        <x:v>1</x:v>
      </x:c>
      <x:c r="K2208" s="11" t="n">
        <x:v>0</x:v>
      </x:c>
      <x:c r="L2208" s="11" t="n">
        <x:v>0</x:v>
      </x:c>
      <x:c r="M2208" s="9" t="n">
        <x:f>ROUND(H2208*(1-I2208),2)</x:f>
        <x:v>9700000</x:v>
      </x:c>
      <x:c r="N2208" s="4" t="str">
        <x:v>Sales manager</x:v>
      </x:c>
      <x:c r="O2208" s="4"/>
      <x:c r="P2208" s="9" t="n">
        <x:v>0</x:v>
      </x:c>
      <x:c r="Q2208" s="11" t="n">
        <x:v>1</x:v>
      </x:c>
      <x:c r="R2208" s="8" t="n">
        <x:v>45495</x:v>
      </x:c>
      <x:c r="S2208" s="4" t="str">
        <x:v>Lost / cancelled</x:v>
      </x:c>
      <x:c r="T2208" s="10" t="n">
        <x:v>0.276923</x:v>
      </x:c>
      <x:c r="U2208" s="4" t="str">
        <x:v>Train</x:v>
      </x:c>
    </x:row>
    <x:row r="2209" ht="34" customHeight="1">
      <x:c r="A2209" s="4" t="str">
        <x:v>RS-02208</x:v>
      </x:c>
      <x:c r="B2209" s="8" t="n">
        <x:v>45436</x:v>
      </x:c>
      <x:c r="C2209" s="4" t="str">
        <x:v>PRJ-008</x:v>
      </x:c>
      <x:c r="D2209" s="4" t="str">
        <x:v>Villa</x:v>
      </x:c>
      <x:c r="E2209" s="4" t="str">
        <x:v>Enquiry</x:v>
      </x:c>
      <x:c r="F2209" s="4" t="str">
        <x:v>CUS-02208</x:v>
      </x:c>
      <x:c r="G2209" s="4" t="str">
        <x:v>UNIT-02208</x:v>
      </x:c>
      <x:c r="H2209" s="9" t="n">
        <x:v>8300000</x:v>
      </x:c>
      <x:c r="I2209" s="10" t="n">
        <x:v>0.08</x:v>
      </x:c>
      <x:c r="J2209" s="11" t="n">
        <x:v>0</x:v>
      </x:c>
      <x:c r="K2209" s="11" t="n">
        <x:v>6</x:v>
      </x:c>
      <x:c r="L2209" s="11" t="n">
        <x:v>1</x:v>
      </x:c>
      <x:c r="M2209" s="9" t="n">
        <x:f>ROUND(H2209*(1-I2209),2)</x:f>
        <x:v>7636000</x:v>
      </x:c>
      <x:c r="N2209" s="4" t="str">
        <x:v>Sales head</x:v>
      </x:c>
      <x:c r="O2209" s="4"/>
      <x:c r="P2209" s="9" t="n">
        <x:v>0</x:v>
      </x:c>
      <x:c r="Q2209" s="11" t="n">
        <x:v>0</x:v>
      </x:c>
      <x:c r="R2209" s="8" t="n">
        <x:v>45496</x:v>
      </x:c>
      <x:c r="S2209" s="4" t="str">
        <x:v>Retained</x:v>
      </x:c>
      <x:c r="T2209" s="10" t="n">
        <x:v>0.204152</x:v>
      </x:c>
      <x:c r="U2209" s="4" t="str">
        <x:v>Train</x:v>
      </x:c>
    </x:row>
    <x:row r="2210" ht="34" customHeight="1">
      <x:c r="A2210" s="4" t="str">
        <x:v>RS-02209</x:v>
      </x:c>
      <x:c r="B2210" s="8" t="n">
        <x:v>45437</x:v>
      </x:c>
      <x:c r="C2210" s="4" t="str">
        <x:v>PRJ-009</x:v>
      </x:c>
      <x:c r="D2210" s="4" t="str">
        <x:v>Apartment</x:v>
      </x:c>
      <x:c r="E2210" s="4" t="str">
        <x:v>Agreement signed</x:v>
      </x:c>
      <x:c r="F2210" s="4" t="str">
        <x:v>CUS-02209</x:v>
      </x:c>
      <x:c r="G2210" s="4" t="str">
        <x:v>UNIT-02209</x:v>
      </x:c>
      <x:c r="H2210" s="9" t="n">
        <x:v>18900000</x:v>
      </x:c>
      <x:c r="I2210" s="10" t="n">
        <x:v>0.09</x:v>
      </x:c>
      <x:c r="J2210" s="11" t="n">
        <x:v>6</x:v>
      </x:c>
      <x:c r="K2210" s="11" t="n">
        <x:v>8</x:v>
      </x:c>
      <x:c r="L2210" s="11" t="n">
        <x:v>0</x:v>
      </x:c>
      <x:c r="M2210" s="9" t="n">
        <x:f>ROUND(H2210*(1-I2210),2)</x:f>
        <x:v>17199000</x:v>
      </x:c>
      <x:c r="N2210" s="4" t="str">
        <x:v>Sales head</x:v>
      </x:c>
      <x:c r="O2210" s="4" t="str">
        <x:v>BOOK-02209</x:v>
      </x:c>
      <x:c r="P2210" s="9" t="n">
        <x:v>1719900</x:v>
      </x:c>
      <x:c r="Q2210" s="11" t="n">
        <x:v>0</x:v>
      </x:c>
      <x:c r="R2210" s="8" t="n">
        <x:v>45497</x:v>
      </x:c>
      <x:c r="S2210" s="4" t="str">
        <x:v>Retained</x:v>
      </x:c>
      <x:c r="T2210" s="10" t="n">
        <x:v>0.226277</x:v>
      </x:c>
      <x:c r="U2210" s="4" t="str">
        <x:v>Train</x:v>
      </x:c>
    </x:row>
    <x:row r="2211" ht="34" customHeight="1">
      <x:c r="A2211" s="4" t="str">
        <x:v>RS-02210</x:v>
      </x:c>
      <x:c r="B2211" s="8" t="n">
        <x:v>45438</x:v>
      </x:c>
      <x:c r="C2211" s="4" t="str">
        <x:v>PRJ-010</x:v>
      </x:c>
      <x:c r="D2211" s="4" t="str">
        <x:v>Villa</x:v>
      </x:c>
      <x:c r="E2211" s="4" t="str">
        <x:v>Cancelled</x:v>
      </x:c>
      <x:c r="F2211" s="4" t="str">
        <x:v>CUS-02210</x:v>
      </x:c>
      <x:c r="G2211" s="4" t="str">
        <x:v>UNIT-02210</x:v>
      </x:c>
      <x:c r="H2211" s="9" t="n">
        <x:v>24200000</x:v>
      </x:c>
      <x:c r="I2211" s="10" t="n">
        <x:v>0.08</x:v>
      </x:c>
      <x:c r="J2211" s="11" t="n">
        <x:v>10</x:v>
      </x:c>
      <x:c r="K2211" s="11" t="n">
        <x:v>8</x:v>
      </x:c>
      <x:c r="L2211" s="11" t="n">
        <x:v>1</x:v>
      </x:c>
      <x:c r="M2211" s="9" t="n">
        <x:f>ROUND(H2211*(1-I2211),2)</x:f>
        <x:v>22264000</x:v>
      </x:c>
      <x:c r="N2211" s="4" t="str">
        <x:v>Sales head</x:v>
      </x:c>
      <x:c r="O2211" s="4"/>
      <x:c r="P2211" s="9" t="n">
        <x:v>0</x:v>
      </x:c>
      <x:c r="Q2211" s="11" t="n">
        <x:v>1</x:v>
      </x:c>
      <x:c r="R2211" s="8" t="n">
        <x:v>45498</x:v>
      </x:c>
      <x:c r="S2211" s="4" t="str">
        <x:v>Lost / cancelled</x:v>
      </x:c>
      <x:c r="T2211" s="10" t="n">
        <x:v>0.310195</x:v>
      </x:c>
      <x:c r="U2211" s="4" t="str">
        <x:v>Train</x:v>
      </x:c>
    </x:row>
    <x:row r="2212" ht="34" customHeight="1">
      <x:c r="A2212" s="4" t="str">
        <x:v>RS-02211</x:v>
      </x:c>
      <x:c r="B2212" s="8" t="n">
        <x:v>45439</x:v>
      </x:c>
      <x:c r="C2212" s="4" t="str">
        <x:v>PRJ-011</x:v>
      </x:c>
      <x:c r="D2212" s="4" t="str">
        <x:v>Apartment</x:v>
      </x:c>
      <x:c r="E2212" s="4" t="str">
        <x:v>Agreement signed</x:v>
      </x:c>
      <x:c r="F2212" s="4" t="str">
        <x:v>CUS-02211</x:v>
      </x:c>
      <x:c r="G2212" s="4" t="str">
        <x:v>UNIT-02211</x:v>
      </x:c>
      <x:c r="H2212" s="9" t="n">
        <x:v>22800000</x:v>
      </x:c>
      <x:c r="I2212" s="10" t="n">
        <x:v>0</x:v>
      </x:c>
      <x:c r="J2212" s="11" t="n">
        <x:v>8</x:v>
      </x:c>
      <x:c r="K2212" s="11" t="n">
        <x:v>6</x:v>
      </x:c>
      <x:c r="L2212" s="11" t="n">
        <x:v>0</x:v>
      </x:c>
      <x:c r="M2212" s="9" t="n">
        <x:f>ROUND(H2212*(1-I2212),2)</x:f>
        <x:v>22800000</x:v>
      </x:c>
      <x:c r="N2212" s="4" t="str">
        <x:v>Sales manager</x:v>
      </x:c>
      <x:c r="O2212" s="4" t="str">
        <x:v>BOOK-02211</x:v>
      </x:c>
      <x:c r="P2212" s="9" t="n">
        <x:v>2280000</x:v>
      </x:c>
      <x:c r="Q2212" s="11" t="n">
        <x:v>0</x:v>
      </x:c>
      <x:c r="R2212" s="8" t="n">
        <x:v>45499</x:v>
      </x:c>
      <x:c r="S2212" s="4" t="str">
        <x:v>Retained</x:v>
      </x:c>
      <x:c r="T2212" s="10" t="n">
        <x:v>0.305556</x:v>
      </x:c>
      <x:c r="U2212" s="4" t="str">
        <x:v>Train</x:v>
      </x:c>
    </x:row>
    <x:row r="2213" ht="34" customHeight="1">
      <x:c r="A2213" s="4" t="str">
        <x:v>RS-02212</x:v>
      </x:c>
      <x:c r="B2213" s="8" t="n">
        <x:v>45440</x:v>
      </x:c>
      <x:c r="C2213" s="4" t="str">
        <x:v>PRJ-012</x:v>
      </x:c>
      <x:c r="D2213" s="4" t="str">
        <x:v>Retail</x:v>
      </x:c>
      <x:c r="E2213" s="4" t="str">
        <x:v>Cancelled</x:v>
      </x:c>
      <x:c r="F2213" s="4" t="str">
        <x:v>CUS-02212</x:v>
      </x:c>
      <x:c r="G2213" s="4" t="str">
        <x:v>UNIT-02212</x:v>
      </x:c>
      <x:c r="H2213" s="9" t="n">
        <x:v>22500000</x:v>
      </x:c>
      <x:c r="I2213" s="10" t="n">
        <x:v>0.01</x:v>
      </x:c>
      <x:c r="J2213" s="11" t="n">
        <x:v>3</x:v>
      </x:c>
      <x:c r="K2213" s="11" t="n">
        <x:v>7</x:v>
      </x:c>
      <x:c r="L2213" s="11" t="n">
        <x:v>1</x:v>
      </x:c>
      <x:c r="M2213" s="9" t="n">
        <x:f>ROUND(H2213*(1-I2213),2)</x:f>
        <x:v>22275000</x:v>
      </x:c>
      <x:c r="N2213" s="4" t="str">
        <x:v>Sales manager</x:v>
      </x:c>
      <x:c r="O2213" s="4"/>
      <x:c r="P2213" s="9" t="n">
        <x:v>0</x:v>
      </x:c>
      <x:c r="Q2213" s="11" t="n">
        <x:v>1</x:v>
      </x:c>
      <x:c r="R2213" s="8" t="n">
        <x:v>45500</x:v>
      </x:c>
      <x:c r="S2213" s="4" t="str">
        <x:v>Lost / cancelled</x:v>
      </x:c>
      <x:c r="T2213" s="10" t="n">
        <x:v>0.171717</x:v>
      </x:c>
      <x:c r="U2213" s="4" t="str">
        <x:v>Train</x:v>
      </x:c>
    </x:row>
    <x:row r="2214" ht="34" customHeight="1">
      <x:c r="A2214" s="4" t="str">
        <x:v>RS-02213</x:v>
      </x:c>
      <x:c r="B2214" s="8" t="n">
        <x:v>45413</x:v>
      </x:c>
      <x:c r="C2214" s="4" t="str">
        <x:v>PRJ-013</x:v>
      </x:c>
      <x:c r="D2214" s="4" t="str">
        <x:v>Office</x:v>
      </x:c>
      <x:c r="E2214" s="4" t="str">
        <x:v>Agreement signed</x:v>
      </x:c>
      <x:c r="F2214" s="4" t="str">
        <x:v>CUS-02213</x:v>
      </x:c>
      <x:c r="G2214" s="4" t="str">
        <x:v>UNIT-02213</x:v>
      </x:c>
      <x:c r="H2214" s="9" t="n">
        <x:v>8400000</x:v>
      </x:c>
      <x:c r="I2214" s="10" t="n">
        <x:v>0.1</x:v>
      </x:c>
      <x:c r="J2214" s="11" t="n">
        <x:v>3</x:v>
      </x:c>
      <x:c r="K2214" s="11" t="n">
        <x:v>0</x:v>
      </x:c>
      <x:c r="L2214" s="11" t="n">
        <x:v>0</x:v>
      </x:c>
      <x:c r="M2214" s="9" t="n">
        <x:f>ROUND(H2214*(1-I2214),2)</x:f>
        <x:v>7560000</x:v>
      </x:c>
      <x:c r="N2214" s="4" t="str">
        <x:v>Sales head</x:v>
      </x:c>
      <x:c r="O2214" s="4" t="str">
        <x:v>BOOK-02213</x:v>
      </x:c>
      <x:c r="P2214" s="9" t="n">
        <x:v>3780000</x:v>
      </x:c>
      <x:c r="Q2214" s="11" t="n">
        <x:v>0</x:v>
      </x:c>
      <x:c r="R2214" s="8" t="n">
        <x:v>45473</x:v>
      </x:c>
      <x:c r="S2214" s="4" t="str">
        <x:v>Retained</x:v>
      </x:c>
      <x:c r="T2214" s="10" t="n">
        <x:v>0.276923</x:v>
      </x:c>
      <x:c r="U2214" s="4" t="str">
        <x:v>Train</x:v>
      </x:c>
    </x:row>
    <x:row r="2215" ht="34" customHeight="1">
      <x:c r="A2215" s="4" t="str">
        <x:v>RS-02214</x:v>
      </x:c>
      <x:c r="B2215" s="8" t="n">
        <x:v>45414</x:v>
      </x:c>
      <x:c r="C2215" s="4" t="str">
        <x:v>PRJ-014</x:v>
      </x:c>
      <x:c r="D2215" s="4" t="str">
        <x:v>Office</x:v>
      </x:c>
      <x:c r="E2215" s="4" t="str">
        <x:v>Cancelled</x:v>
      </x:c>
      <x:c r="F2215" s="4" t="str">
        <x:v>CUS-02214</x:v>
      </x:c>
      <x:c r="G2215" s="4" t="str">
        <x:v>UNIT-02214</x:v>
      </x:c>
      <x:c r="H2215" s="9" t="n">
        <x:v>22900000</x:v>
      </x:c>
      <x:c r="I2215" s="10" t="n">
        <x:v>0.07</x:v>
      </x:c>
      <x:c r="J2215" s="11" t="n">
        <x:v>0</x:v>
      </x:c>
      <x:c r="K2215" s="11" t="n">
        <x:v>4</x:v>
      </x:c>
      <x:c r="L2215" s="11" t="n">
        <x:v>1</x:v>
      </x:c>
      <x:c r="M2215" s="9" t="n">
        <x:f>ROUND(H2215*(1-I2215),2)</x:f>
        <x:v>21297000</x:v>
      </x:c>
      <x:c r="N2215" s="4" t="str">
        <x:v>Sales manager</x:v>
      </x:c>
      <x:c r="O2215" s="4"/>
      <x:c r="P2215" s="9" t="n">
        <x:v>0</x:v>
      </x:c>
      <x:c r="Q2215" s="11" t="n">
        <x:v>1</x:v>
      </x:c>
      <x:c r="R2215" s="8" t="n">
        <x:v>45474</x:v>
      </x:c>
      <x:c r="S2215" s="4" t="str">
        <x:v>Lost / cancelled</x:v>
      </x:c>
      <x:c r="T2215" s="10" t="n">
        <x:v>0.204152</x:v>
      </x:c>
      <x:c r="U2215" s="4" t="str">
        <x:v>Train</x:v>
      </x:c>
    </x:row>
    <x:row r="2216" ht="34" customHeight="1">
      <x:c r="A2216" s="4" t="str">
        <x:v>RS-02215</x:v>
      </x:c>
      <x:c r="B2216" s="8" t="n">
        <x:v>45415</x:v>
      </x:c>
      <x:c r="C2216" s="4" t="str">
        <x:v>PRJ-015</x:v>
      </x:c>
      <x:c r="D2216" s="4" t="str">
        <x:v>Apartment</x:v>
      </x:c>
      <x:c r="E2216" s="4" t="str">
        <x:v>Enquiry</x:v>
      </x:c>
      <x:c r="F2216" s="4" t="str">
        <x:v>CUS-02215</x:v>
      </x:c>
      <x:c r="G2216" s="4" t="str">
        <x:v>UNIT-02215</x:v>
      </x:c>
      <x:c r="H2216" s="9" t="n">
        <x:v>9400000</x:v>
      </x:c>
      <x:c r="I2216" s="10" t="n">
        <x:v>0</x:v>
      </x:c>
      <x:c r="J2216" s="11" t="n">
        <x:v>11</x:v>
      </x:c>
      <x:c r="K2216" s="11" t="n">
        <x:v>3</x:v>
      </x:c>
      <x:c r="L2216" s="11" t="n">
        <x:v>1</x:v>
      </x:c>
      <x:c r="M2216" s="9" t="n">
        <x:f>ROUND(H2216*(1-I2216),2)</x:f>
        <x:v>9400000</x:v>
      </x:c>
      <x:c r="N2216" s="4" t="str">
        <x:v>Sales manager</x:v>
      </x:c>
      <x:c r="O2216" s="4"/>
      <x:c r="P2216" s="9" t="n">
        <x:v>0</x:v>
      </x:c>
      <x:c r="Q2216" s="11" t="n">
        <x:v>0</x:v>
      </x:c>
      <x:c r="R2216" s="8" t="n">
        <x:v>45475</x:v>
      </x:c>
      <x:c r="S2216" s="4" t="str">
        <x:v>Retained</x:v>
      </x:c>
      <x:c r="T2216" s="10" t="n">
        <x:v>0.254545</x:v>
      </x:c>
      <x:c r="U2216" s="4" t="str">
        <x:v>Train</x:v>
      </x:c>
    </x:row>
    <x:row r="2217" ht="34" customHeight="1">
      <x:c r="A2217" s="4" t="str">
        <x:v>RS-02216</x:v>
      </x:c>
      <x:c r="B2217" s="8" t="n">
        <x:v>45416</x:v>
      </x:c>
      <x:c r="C2217" s="4" t="str">
        <x:v>PRJ-016</x:v>
      </x:c>
      <x:c r="D2217" s="4" t="str">
        <x:v>Villa</x:v>
      </x:c>
      <x:c r="E2217" s="4" t="str">
        <x:v>Reserved</x:v>
      </x:c>
      <x:c r="F2217" s="4" t="str">
        <x:v>CUS-02216</x:v>
      </x:c>
      <x:c r="G2217" s="4" t="str">
        <x:v>UNIT-02216</x:v>
      </x:c>
      <x:c r="H2217" s="9" t="n">
        <x:v>15100000</x:v>
      </x:c>
      <x:c r="I2217" s="10" t="n">
        <x:v>0.09</x:v>
      </x:c>
      <x:c r="J2217" s="11" t="n">
        <x:v>2</x:v>
      </x:c>
      <x:c r="K2217" s="11" t="n">
        <x:v>4</x:v>
      </x:c>
      <x:c r="L2217" s="11" t="n">
        <x:v>1</x:v>
      </x:c>
      <x:c r="M2217" s="9" t="n">
        <x:f>ROUND(H2217*(1-I2217),2)</x:f>
        <x:v>13741000</x:v>
      </x:c>
      <x:c r="N2217" s="4" t="str">
        <x:v>Sales head</x:v>
      </x:c>
      <x:c r="O2217" s="4"/>
      <x:c r="P2217" s="9" t="n">
        <x:v>0</x:v>
      </x:c>
      <x:c r="Q2217" s="11" t="n">
        <x:v>0</x:v>
      </x:c>
      <x:c r="R2217" s="8" t="n">
        <x:v>45476</x:v>
      </x:c>
      <x:c r="S2217" s="4" t="str">
        <x:v>Retained</x:v>
      </x:c>
      <x:c r="T2217" s="10" t="n">
        <x:v>0.145833</x:v>
      </x:c>
      <x:c r="U2217" s="4" t="str">
        <x:v>Train</x:v>
      </x:c>
    </x:row>
    <x:row r="2218" ht="34" customHeight="1">
      <x:c r="A2218" s="4" t="str">
        <x:v>RS-02217</x:v>
      </x:c>
      <x:c r="B2218" s="8" t="n">
        <x:v>45417</x:v>
      </x:c>
      <x:c r="C2218" s="4" t="str">
        <x:v>PRJ-017</x:v>
      </x:c>
      <x:c r="D2218" s="4" t="str">
        <x:v>Office</x:v>
      </x:c>
      <x:c r="E2218" s="4" t="str">
        <x:v>Booked</x:v>
      </x:c>
      <x:c r="F2218" s="4" t="str">
        <x:v>CUS-02217</x:v>
      </x:c>
      <x:c r="G2218" s="4" t="str">
        <x:v>UNIT-02217</x:v>
      </x:c>
      <x:c r="H2218" s="9" t="n">
        <x:v>22000000</x:v>
      </x:c>
      <x:c r="I2218" s="10" t="n">
        <x:v>0.08</x:v>
      </x:c>
      <x:c r="J2218" s="11" t="n">
        <x:v>9</x:v>
      </x:c>
      <x:c r="K2218" s="11" t="n">
        <x:v>9</x:v>
      </x:c>
      <x:c r="L2218" s="11" t="n">
        <x:v>1</x:v>
      </x:c>
      <x:c r="M2218" s="9" t="n">
        <x:f>ROUND(H2218*(1-I2218),2)</x:f>
        <x:v>20240000</x:v>
      </x:c>
      <x:c r="N2218" s="4" t="str">
        <x:v>Sales head</x:v>
      </x:c>
      <x:c r="O2218" s="4" t="str">
        <x:v>BOOK-02217</x:v>
      </x:c>
      <x:c r="P2218" s="9" t="n">
        <x:v>20240000</x:v>
      </x:c>
      <x:c r="Q2218" s="11" t="n">
        <x:v>0</x:v>
      </x:c>
      <x:c r="R2218" s="8" t="n">
        <x:v>45477</x:v>
      </x:c>
      <x:c r="S2218" s="4" t="str">
        <x:v>Retained</x:v>
      </x:c>
      <x:c r="T2218" s="10" t="n">
        <x:v>0.310195</x:v>
      </x:c>
      <x:c r="U2218" s="4" t="str">
        <x:v>Train</x:v>
      </x:c>
    </x:row>
    <x:row r="2219" ht="34" customHeight="1">
      <x:c r="A2219" s="4" t="str">
        <x:v>RS-02218</x:v>
      </x:c>
      <x:c r="B2219" s="8" t="n">
        <x:v>45418</x:v>
      </x:c>
      <x:c r="C2219" s="4" t="str">
        <x:v>PRJ-018</x:v>
      </x:c>
      <x:c r="D2219" s="4" t="str">
        <x:v>Office</x:v>
      </x:c>
      <x:c r="E2219" s="4" t="str">
        <x:v>Booked</x:v>
      </x:c>
      <x:c r="F2219" s="4" t="str">
        <x:v>CUS-02218</x:v>
      </x:c>
      <x:c r="G2219" s="4" t="str">
        <x:v>UNIT-02218</x:v>
      </x:c>
      <x:c r="H2219" s="9" t="n">
        <x:v>17300000</x:v>
      </x:c>
      <x:c r="I2219" s="10" t="n">
        <x:v>0.12</x:v>
      </x:c>
      <x:c r="J2219" s="11" t="n">
        <x:v>5</x:v>
      </x:c>
      <x:c r="K2219" s="11" t="n">
        <x:v>4</x:v>
      </x:c>
      <x:c r="L2219" s="11" t="n">
        <x:v>0</x:v>
      </x:c>
      <x:c r="M2219" s="9" t="n">
        <x:f>ROUND(H2219*(1-I2219),2)</x:f>
        <x:v>15224000</x:v>
      </x:c>
      <x:c r="N2219" s="4" t="str">
        <x:v>Sales head</x:v>
      </x:c>
      <x:c r="O2219" s="4" t="str">
        <x:v>BOOK-02218</x:v>
      </x:c>
      <x:c r="P2219" s="9" t="n">
        <x:v>3806000</x:v>
      </x:c>
      <x:c r="Q2219" s="11" t="n">
        <x:v>0</x:v>
      </x:c>
      <x:c r="R2219" s="8" t="n">
        <x:v>45478</x:v>
      </x:c>
      <x:c r="S2219" s="4" t="str">
        <x:v>Retained</x:v>
      </x:c>
      <x:c r="T2219" s="10" t="n">
        <x:v>0.226277</x:v>
      </x:c>
      <x:c r="U2219" s="4" t="str">
        <x:v>Train</x:v>
      </x:c>
    </x:row>
    <x:row r="2220" ht="34" customHeight="1">
      <x:c r="A2220" s="4" t="str">
        <x:v>RS-02219</x:v>
      </x:c>
      <x:c r="B2220" s="8" t="n">
        <x:v>45419</x:v>
      </x:c>
      <x:c r="C2220" s="4" t="str">
        <x:v>PRJ-019</x:v>
      </x:c>
      <x:c r="D2220" s="4" t="str">
        <x:v>Retail</x:v>
      </x:c>
      <x:c r="E2220" s="4" t="str">
        <x:v>Cancelled</x:v>
      </x:c>
      <x:c r="F2220" s="4" t="str">
        <x:v>CUS-02219</x:v>
      </x:c>
      <x:c r="G2220" s="4" t="str">
        <x:v>UNIT-02219</x:v>
      </x:c>
      <x:c r="H2220" s="9" t="n">
        <x:v>10300000</x:v>
      </x:c>
      <x:c r="I2220" s="10" t="n">
        <x:v>0.11</x:v>
      </x:c>
      <x:c r="J2220" s="11" t="n">
        <x:v>11</x:v>
      </x:c>
      <x:c r="K2220" s="11" t="n">
        <x:v>5</x:v>
      </x:c>
      <x:c r="L2220" s="11" t="n">
        <x:v>1</x:v>
      </x:c>
      <x:c r="M2220" s="9" t="n">
        <x:f>ROUND(H2220*(1-I2220),2)</x:f>
        <x:v>9167000</x:v>
      </x:c>
      <x:c r="N2220" s="4" t="str">
        <x:v>Sales head</x:v>
      </x:c>
      <x:c r="O2220" s="4"/>
      <x:c r="P2220" s="9" t="n">
        <x:v>0</x:v>
      </x:c>
      <x:c r="Q2220" s="11" t="n">
        <x:v>1</x:v>
      </x:c>
      <x:c r="R2220" s="8" t="n">
        <x:v>45479</x:v>
      </x:c>
      <x:c r="S2220" s="4" t="str">
        <x:v>Lost / cancelled</x:v>
      </x:c>
      <x:c r="T2220" s="10" t="n">
        <x:v>0.351536</x:v>
      </x:c>
      <x:c r="U2220" s="4" t="str">
        <x:v>Train</x:v>
      </x:c>
    </x:row>
    <x:row r="2221" ht="34" customHeight="1">
      <x:c r="A2221" s="4" t="str">
        <x:v>RS-02220</x:v>
      </x:c>
      <x:c r="B2221" s="8" t="n">
        <x:v>45420</x:v>
      </x:c>
      <x:c r="C2221" s="4" t="str">
        <x:v>PRJ-020</x:v>
      </x:c>
      <x:c r="D2221" s="4" t="str">
        <x:v>Office</x:v>
      </x:c>
      <x:c r="E2221" s="4" t="str">
        <x:v>Agreement signed</x:v>
      </x:c>
      <x:c r="F2221" s="4" t="str">
        <x:v>CUS-02220</x:v>
      </x:c>
      <x:c r="G2221" s="4" t="str">
        <x:v>UNIT-02220</x:v>
      </x:c>
      <x:c r="H2221" s="9" t="n">
        <x:v>6000000</x:v>
      </x:c>
      <x:c r="I2221" s="10" t="n">
        <x:v>0.08</x:v>
      </x:c>
      <x:c r="J2221" s="11" t="n">
        <x:v>4</x:v>
      </x:c>
      <x:c r="K2221" s="11" t="n">
        <x:v>3</x:v>
      </x:c>
      <x:c r="L2221" s="11" t="n">
        <x:v>1</x:v>
      </x:c>
      <x:c r="M2221" s="9" t="n">
        <x:f>ROUND(H2221*(1-I2221),2)</x:f>
        <x:v>5520000</x:v>
      </x:c>
      <x:c r="N2221" s="4" t="str">
        <x:v>Sales head</x:v>
      </x:c>
      <x:c r="O2221" s="4" t="str">
        <x:v>BOOK-02220</x:v>
      </x:c>
      <x:c r="P2221" s="9" t="n">
        <x:v>5520000</x:v>
      </x:c>
      <x:c r="Q2221" s="11" t="n">
        <x:v>0</x:v>
      </x:c>
      <x:c r="R2221" s="8" t="n">
        <x:v>45480</x:v>
      </x:c>
      <x:c r="S2221" s="4" t="str">
        <x:v>Retained</x:v>
      </x:c>
      <x:c r="T2221" s="10" t="n">
        <x:v>0.291946</x:v>
      </x:c>
      <x:c r="U2221" s="4" t="str">
        <x:v>Train</x:v>
      </x:c>
    </x:row>
    <x:row r="2222" ht="34" customHeight="1">
      <x:c r="A2222" s="4" t="str">
        <x:v>RS-02221</x:v>
      </x:c>
      <x:c r="B2222" s="8" t="n">
        <x:v>45421</x:v>
      </x:c>
      <x:c r="C2222" s="4" t="str">
        <x:v>PRJ-001</x:v>
      </x:c>
      <x:c r="D2222" s="4" t="str">
        <x:v>Office</x:v>
      </x:c>
      <x:c r="E2222" s="4" t="str">
        <x:v>Agreement signed</x:v>
      </x:c>
      <x:c r="F2222" s="4" t="str">
        <x:v>CUS-02221</x:v>
      </x:c>
      <x:c r="G2222" s="4" t="str">
        <x:v>UNIT-02221</x:v>
      </x:c>
      <x:c r="H2222" s="9" t="n">
        <x:v>22300000</x:v>
      </x:c>
      <x:c r="I2222" s="10" t="n">
        <x:v>0.1</x:v>
      </x:c>
      <x:c r="J2222" s="11" t="n">
        <x:v>12</x:v>
      </x:c>
      <x:c r="K2222" s="11" t="n">
        <x:v>6</x:v>
      </x:c>
      <x:c r="L2222" s="11" t="n">
        <x:v>1</x:v>
      </x:c>
      <x:c r="M2222" s="9" t="n">
        <x:f>ROUND(H2222*(1-I2222),2)</x:f>
        <x:v>20070000</x:v>
      </x:c>
      <x:c r="N2222" s="4" t="str">
        <x:v>Sales head</x:v>
      </x:c>
      <x:c r="O2222" s="4" t="str">
        <x:v>BOOK-02221</x:v>
      </x:c>
      <x:c r="P2222" s="9" t="n">
        <x:v>10035000</x:v>
      </x:c>
      <x:c r="Q2222" s="11" t="n">
        <x:v>0</x:v>
      </x:c>
      <x:c r="R2222" s="8" t="n">
        <x:v>45481</x:v>
      </x:c>
      <x:c r="S2222" s="4" t="str">
        <x:v>Retained</x:v>
      </x:c>
      <x:c r="T2222" s="10" t="n">
        <x:v>0.351536</x:v>
      </x:c>
      <x:c r="U2222" s="4" t="str">
        <x:v>Train</x:v>
      </x:c>
    </x:row>
    <x:row r="2223" ht="34" customHeight="1">
      <x:c r="A2223" s="4" t="str">
        <x:v>RS-02222</x:v>
      </x:c>
      <x:c r="B2223" s="8" t="n">
        <x:v>45422</x:v>
      </x:c>
      <x:c r="C2223" s="4" t="str">
        <x:v>PRJ-002</x:v>
      </x:c>
      <x:c r="D2223" s="4" t="str">
        <x:v>Retail</x:v>
      </x:c>
      <x:c r="E2223" s="4" t="str">
        <x:v>Reserved</x:v>
      </x:c>
      <x:c r="F2223" s="4" t="str">
        <x:v>CUS-02222</x:v>
      </x:c>
      <x:c r="G2223" s="4" t="str">
        <x:v>UNIT-02222</x:v>
      </x:c>
      <x:c r="H2223" s="9" t="n">
        <x:v>19200000</x:v>
      </x:c>
      <x:c r="I2223" s="10" t="n">
        <x:v>0.06</x:v>
      </x:c>
      <x:c r="J2223" s="11" t="n">
        <x:v>5</x:v>
      </x:c>
      <x:c r="K2223" s="11" t="n">
        <x:v>10</x:v>
      </x:c>
      <x:c r="L2223" s="11" t="n">
        <x:v>1</x:v>
      </x:c>
      <x:c r="M2223" s="9" t="n">
        <x:f>ROUND(H2223*(1-I2223),2)</x:f>
        <x:v>18048000</x:v>
      </x:c>
      <x:c r="N2223" s="4" t="str">
        <x:v>Sales manager</x:v>
      </x:c>
      <x:c r="O2223" s="4"/>
      <x:c r="P2223" s="9" t="n">
        <x:v>0</x:v>
      </x:c>
      <x:c r="Q2223" s="11" t="n">
        <x:v>0</x:v>
      </x:c>
      <x:c r="R2223" s="8" t="n">
        <x:v>45482</x:v>
      </x:c>
      <x:c r="S2223" s="4" t="str">
        <x:v>Retained</x:v>
      </x:c>
      <x:c r="T2223" s="10" t="n">
        <x:v>0.291946</x:v>
      </x:c>
      <x:c r="U2223" s="4" t="str">
        <x:v>Train</x:v>
      </x:c>
    </x:row>
    <x:row r="2224" ht="34" customHeight="1">
      <x:c r="A2224" s="4" t="str">
        <x:v>RS-02223</x:v>
      </x:c>
      <x:c r="B2224" s="8" t="n">
        <x:v>45423</x:v>
      </x:c>
      <x:c r="C2224" s="4" t="str">
        <x:v>PRJ-003</x:v>
      </x:c>
      <x:c r="D2224" s="4" t="str">
        <x:v>Apartment</x:v>
      </x:c>
      <x:c r="E2224" s="4" t="str">
        <x:v>Booked</x:v>
      </x:c>
      <x:c r="F2224" s="4" t="str">
        <x:v>CUS-02223</x:v>
      </x:c>
      <x:c r="G2224" s="4" t="str">
        <x:v>UNIT-02223</x:v>
      </x:c>
      <x:c r="H2224" s="9" t="n">
        <x:v>16200000</x:v>
      </x:c>
      <x:c r="I2224" s="10" t="n">
        <x:v>0.1</x:v>
      </x:c>
      <x:c r="J2224" s="11" t="n">
        <x:v>0</x:v>
      </x:c>
      <x:c r="K2224" s="11" t="n">
        <x:v>7</x:v>
      </x:c>
      <x:c r="L2224" s="11" t="n">
        <x:v>0</x:v>
      </x:c>
      <x:c r="M2224" s="9" t="n">
        <x:f>ROUND(H2224*(1-I2224),2)</x:f>
        <x:v>14580000</x:v>
      </x:c>
      <x:c r="N2224" s="4" t="str">
        <x:v>Sales head</x:v>
      </x:c>
      <x:c r="O2224" s="4" t="str">
        <x:v>BOOK-02223</x:v>
      </x:c>
      <x:c r="P2224" s="9" t="n">
        <x:v>1458000</x:v>
      </x:c>
      <x:c r="Q2224" s="11" t="n">
        <x:v>0</x:v>
      </x:c>
      <x:c r="R2224" s="8" t="n">
        <x:v>45483</x:v>
      </x:c>
      <x:c r="S2224" s="4" t="str">
        <x:v>Retained</x:v>
      </x:c>
      <x:c r="T2224" s="10" t="n">
        <x:v>0.145833</x:v>
      </x:c>
      <x:c r="U2224" s="4" t="str">
        <x:v>Train</x:v>
      </x:c>
    </x:row>
    <x:row r="2225" ht="34" customHeight="1">
      <x:c r="A2225" s="4" t="str">
        <x:v>RS-02224</x:v>
      </x:c>
      <x:c r="B2225" s="8" t="n">
        <x:v>45424</x:v>
      </x:c>
      <x:c r="C2225" s="4" t="str">
        <x:v>PRJ-004</x:v>
      </x:c>
      <x:c r="D2225" s="4" t="str">
        <x:v>Office</x:v>
      </x:c>
      <x:c r="E2225" s="4" t="str">
        <x:v>Reserved</x:v>
      </x:c>
      <x:c r="F2225" s="4" t="str">
        <x:v>CUS-02224</x:v>
      </x:c>
      <x:c r="G2225" s="4" t="str">
        <x:v>UNIT-02224</x:v>
      </x:c>
      <x:c r="H2225" s="9" t="n">
        <x:v>22500000</x:v>
      </x:c>
      <x:c r="I2225" s="10" t="n">
        <x:v>0.1</x:v>
      </x:c>
      <x:c r="J2225" s="11" t="n">
        <x:v>2</x:v>
      </x:c>
      <x:c r="K2225" s="11" t="n">
        <x:v>4</x:v>
      </x:c>
      <x:c r="L2225" s="11" t="n">
        <x:v>1</x:v>
      </x:c>
      <x:c r="M2225" s="9" t="n">
        <x:f>ROUND(H2225*(1-I2225),2)</x:f>
        <x:v>20250000</x:v>
      </x:c>
      <x:c r="N2225" s="4" t="str">
        <x:v>Sales head</x:v>
      </x:c>
      <x:c r="O2225" s="4"/>
      <x:c r="P2225" s="9" t="n">
        <x:v>0</x:v>
      </x:c>
      <x:c r="Q2225" s="11" t="n">
        <x:v>0</x:v>
      </x:c>
      <x:c r="R2225" s="8" t="n">
        <x:v>45484</x:v>
      </x:c>
      <x:c r="S2225" s="4" t="str">
        <x:v>Retained</x:v>
      </x:c>
      <x:c r="T2225" s="10" t="n">
        <x:v>0.145833</x:v>
      </x:c>
      <x:c r="U2225" s="4" t="str">
        <x:v>Train</x:v>
      </x:c>
    </x:row>
    <x:row r="2226" ht="34" customHeight="1">
      <x:c r="A2226" s="4" t="str">
        <x:v>RS-02225</x:v>
      </x:c>
      <x:c r="B2226" s="8" t="n">
        <x:v>45425</x:v>
      </x:c>
      <x:c r="C2226" s="4" t="str">
        <x:v>PRJ-005</x:v>
      </x:c>
      <x:c r="D2226" s="4" t="str">
        <x:v>Office</x:v>
      </x:c>
      <x:c r="E2226" s="4" t="str">
        <x:v>Enquiry</x:v>
      </x:c>
      <x:c r="F2226" s="4" t="str">
        <x:v>CUS-02225</x:v>
      </x:c>
      <x:c r="G2226" s="4" t="str">
        <x:v>UNIT-02225</x:v>
      </x:c>
      <x:c r="H2226" s="9" t="n">
        <x:v>8200000</x:v>
      </x:c>
      <x:c r="I2226" s="10" t="n">
        <x:v>0.12</x:v>
      </x:c>
      <x:c r="J2226" s="11" t="n">
        <x:v>7</x:v>
      </x:c>
      <x:c r="K2226" s="11" t="n">
        <x:v>4</x:v>
      </x:c>
      <x:c r="L2226" s="11" t="n">
        <x:v>1</x:v>
      </x:c>
      <x:c r="M2226" s="9" t="n">
        <x:f>ROUND(H2226*(1-I2226),2)</x:f>
        <x:v>7216000</x:v>
      </x:c>
      <x:c r="N2226" s="4" t="str">
        <x:v>Sales head</x:v>
      </x:c>
      <x:c r="O2226" s="4"/>
      <x:c r="P2226" s="9" t="n">
        <x:v>0</x:v>
      </x:c>
      <x:c r="Q2226" s="11" t="n">
        <x:v>0</x:v>
      </x:c>
      <x:c r="R2226" s="8" t="n">
        <x:v>45485</x:v>
      </x:c>
      <x:c r="S2226" s="4" t="str">
        <x:v>Retained</x:v>
      </x:c>
      <x:c r="T2226" s="10" t="n">
        <x:v>0.291946</x:v>
      </x:c>
      <x:c r="U2226" s="4" t="str">
        <x:v>Train</x:v>
      </x:c>
    </x:row>
    <x:row r="2227" ht="34" customHeight="1">
      <x:c r="A2227" s="4" t="str">
        <x:v>RS-02226</x:v>
      </x:c>
      <x:c r="B2227" s="8" t="n">
        <x:v>45426</x:v>
      </x:c>
      <x:c r="C2227" s="4" t="str">
        <x:v>PRJ-006</x:v>
      </x:c>
      <x:c r="D2227" s="4" t="str">
        <x:v>Retail</x:v>
      </x:c>
      <x:c r="E2227" s="4" t="str">
        <x:v>Cancelled</x:v>
      </x:c>
      <x:c r="F2227" s="4" t="str">
        <x:v>CUS-02226</x:v>
      </x:c>
      <x:c r="G2227" s="4" t="str">
        <x:v>UNIT-02226</x:v>
      </x:c>
      <x:c r="H2227" s="9" t="n">
        <x:v>12200000</x:v>
      </x:c>
      <x:c r="I2227" s="10" t="n">
        <x:v>0.08</x:v>
      </x:c>
      <x:c r="J2227" s="11" t="n">
        <x:v>12</x:v>
      </x:c>
      <x:c r="K2227" s="11" t="n">
        <x:v>8</x:v>
      </x:c>
      <x:c r="L2227" s="11" t="n">
        <x:v>0</x:v>
      </x:c>
      <x:c r="M2227" s="9" t="n">
        <x:f>ROUND(H2227*(1-I2227),2)</x:f>
        <x:v>11224000</x:v>
      </x:c>
      <x:c r="N2227" s="4" t="str">
        <x:v>Sales head</x:v>
      </x:c>
      <x:c r="O2227" s="4"/>
      <x:c r="P2227" s="9" t="n">
        <x:v>0</x:v>
      </x:c>
      <x:c r="Q2227" s="11" t="n">
        <x:v>1</x:v>
      </x:c>
      <x:c r="R2227" s="8" t="n">
        <x:v>45486</x:v>
      </x:c>
      <x:c r="S2227" s="4" t="str">
        <x:v>Lost / cancelled</x:v>
      </x:c>
      <x:c r="T2227" s="10" t="n">
        <x:v>0.351536</x:v>
      </x:c>
      <x:c r="U2227" s="4" t="str">
        <x:v>Train</x:v>
      </x:c>
    </x:row>
    <x:row r="2228" ht="34" customHeight="1">
      <x:c r="A2228" s="4" t="str">
        <x:v>RS-02227</x:v>
      </x:c>
      <x:c r="B2228" s="8" t="n">
        <x:v>45427</x:v>
      </x:c>
      <x:c r="C2228" s="4" t="str">
        <x:v>PRJ-007</x:v>
      </x:c>
      <x:c r="D2228" s="4" t="str">
        <x:v>Villa</x:v>
      </x:c>
      <x:c r="E2228" s="4" t="str">
        <x:v>Reserved</x:v>
      </x:c>
      <x:c r="F2228" s="4" t="str">
        <x:v>CUS-02227</x:v>
      </x:c>
      <x:c r="G2228" s="4" t="str">
        <x:v>UNIT-02227</x:v>
      </x:c>
      <x:c r="H2228" s="9" t="n">
        <x:v>5500000</x:v>
      </x:c>
      <x:c r="I2228" s="10" t="n">
        <x:v>0.1</x:v>
      </x:c>
      <x:c r="J2228" s="11" t="n">
        <x:v>10</x:v>
      </x:c>
      <x:c r="K2228" s="11" t="n">
        <x:v>6</x:v>
      </x:c>
      <x:c r="L2228" s="11" t="n">
        <x:v>1</x:v>
      </x:c>
      <x:c r="M2228" s="9" t="n">
        <x:f>ROUND(H2228*(1-I2228),2)</x:f>
        <x:v>4950000</x:v>
      </x:c>
      <x:c r="N2228" s="4" t="str">
        <x:v>Sales head</x:v>
      </x:c>
      <x:c r="O2228" s="4"/>
      <x:c r="P2228" s="9" t="n">
        <x:v>0</x:v>
      </x:c>
      <x:c r="Q2228" s="11" t="n">
        <x:v>0</x:v>
      </x:c>
      <x:c r="R2228" s="8" t="n">
        <x:v>45487</x:v>
      </x:c>
      <x:c r="S2228" s="4" t="str">
        <x:v>Retained</x:v>
      </x:c>
      <x:c r="T2228" s="10" t="n">
        <x:v>0.310195</x:v>
      </x:c>
      <x:c r="U2228" s="4" t="str">
        <x:v>Train</x:v>
      </x:c>
    </x:row>
    <x:row r="2229" ht="34" customHeight="1">
      <x:c r="A2229" s="4" t="str">
        <x:v>RS-02228</x:v>
      </x:c>
      <x:c r="B2229" s="8" t="n">
        <x:v>45428</x:v>
      </x:c>
      <x:c r="C2229" s="4" t="str">
        <x:v>PRJ-008</x:v>
      </x:c>
      <x:c r="D2229" s="4" t="str">
        <x:v>Retail</x:v>
      </x:c>
      <x:c r="E2229" s="4" t="str">
        <x:v>Handed over</x:v>
      </x:c>
      <x:c r="F2229" s="4" t="str">
        <x:v>CUS-02228</x:v>
      </x:c>
      <x:c r="G2229" s="4" t="str">
        <x:v>UNIT-02228</x:v>
      </x:c>
      <x:c r="H2229" s="9" t="n">
        <x:v>22600000</x:v>
      </x:c>
      <x:c r="I2229" s="10" t="n">
        <x:v>0.01</x:v>
      </x:c>
      <x:c r="J2229" s="11" t="n">
        <x:v>7</x:v>
      </x:c>
      <x:c r="K2229" s="11" t="n">
        <x:v>1</x:v>
      </x:c>
      <x:c r="L2229" s="11" t="n">
        <x:v>0</x:v>
      </x:c>
      <x:c r="M2229" s="9" t="n">
        <x:f>ROUND(H2229*(1-I2229),2)</x:f>
        <x:v>22374000</x:v>
      </x:c>
      <x:c r="N2229" s="4" t="str">
        <x:v>Sales manager</x:v>
      </x:c>
      <x:c r="O2229" s="4" t="str">
        <x:v>BOOK-02228</x:v>
      </x:c>
      <x:c r="P2229" s="9" t="n">
        <x:v>2237400</x:v>
      </x:c>
      <x:c r="Q2229" s="11" t="n">
        <x:v>0</x:v>
      </x:c>
      <x:c r="R2229" s="8" t="n">
        <x:v>45488</x:v>
      </x:c>
      <x:c r="S2229" s="4" t="str">
        <x:v>Retained</x:v>
      </x:c>
      <x:c r="T2229" s="10" t="n">
        <x:v>0.298969</x:v>
      </x:c>
      <x:c r="U2229" s="4" t="str">
        <x:v>Train</x:v>
      </x:c>
    </x:row>
    <x:row r="2230" ht="34" customHeight="1">
      <x:c r="A2230" s="4" t="str">
        <x:v>RS-02229</x:v>
      </x:c>
      <x:c r="B2230" s="8" t="n">
        <x:v>45429</x:v>
      </x:c>
      <x:c r="C2230" s="4" t="str">
        <x:v>PRJ-009</x:v>
      </x:c>
      <x:c r="D2230" s="4" t="str">
        <x:v>Apartment</x:v>
      </x:c>
      <x:c r="E2230" s="4" t="str">
        <x:v>Cancelled</x:v>
      </x:c>
      <x:c r="F2230" s="4" t="str">
        <x:v>CUS-02229</x:v>
      </x:c>
      <x:c r="G2230" s="4" t="str">
        <x:v>UNIT-02229</x:v>
      </x:c>
      <x:c r="H2230" s="9" t="n">
        <x:v>3000000</x:v>
      </x:c>
      <x:c r="I2230" s="10" t="n">
        <x:v>0.1</x:v>
      </x:c>
      <x:c r="J2230" s="11" t="n">
        <x:v>2</x:v>
      </x:c>
      <x:c r="K2230" s="11" t="n">
        <x:v>10</x:v>
      </x:c>
      <x:c r="L2230" s="11" t="n">
        <x:v>0</x:v>
      </x:c>
      <x:c r="M2230" s="9" t="n">
        <x:f>ROUND(H2230*(1-I2230),2)</x:f>
        <x:v>2700000</x:v>
      </x:c>
      <x:c r="N2230" s="4" t="str">
        <x:v>Sales head</x:v>
      </x:c>
      <x:c r="O2230" s="4"/>
      <x:c r="P2230" s="9" t="n">
        <x:v>0</x:v>
      </x:c>
      <x:c r="Q2230" s="11" t="n">
        <x:v>1</x:v>
      </x:c>
      <x:c r="R2230" s="8" t="n">
        <x:v>45489</x:v>
      </x:c>
      <x:c r="S2230" s="4" t="str">
        <x:v>Lost / cancelled</x:v>
      </x:c>
      <x:c r="T2230" s="10" t="n">
        <x:v>0.145833</x:v>
      </x:c>
      <x:c r="U2230" s="4" t="str">
        <x:v>Train</x:v>
      </x:c>
    </x:row>
    <x:row r="2231" ht="34" customHeight="1">
      <x:c r="A2231" s="4" t="str">
        <x:v>RS-02230</x:v>
      </x:c>
      <x:c r="B2231" s="8" t="n">
        <x:v>45430</x:v>
      </x:c>
      <x:c r="C2231" s="4" t="str">
        <x:v>PRJ-010</x:v>
      </x:c>
      <x:c r="D2231" s="4" t="str">
        <x:v>Retail</x:v>
      </x:c>
      <x:c r="E2231" s="4" t="str">
        <x:v>Handed over</x:v>
      </x:c>
      <x:c r="F2231" s="4" t="str">
        <x:v>CUS-02230</x:v>
      </x:c>
      <x:c r="G2231" s="4" t="str">
        <x:v>UNIT-02230</x:v>
      </x:c>
      <x:c r="H2231" s="9" t="n">
        <x:v>18000000</x:v>
      </x:c>
      <x:c r="I2231" s="10" t="n">
        <x:v>0.04</x:v>
      </x:c>
      <x:c r="J2231" s="11" t="n">
        <x:v>2</x:v>
      </x:c>
      <x:c r="K2231" s="11" t="n">
        <x:v>4</x:v>
      </x:c>
      <x:c r="L2231" s="11" t="n">
        <x:v>1</x:v>
      </x:c>
      <x:c r="M2231" s="9" t="n">
        <x:f>ROUND(H2231*(1-I2231),2)</x:f>
        <x:v>17280000</x:v>
      </x:c>
      <x:c r="N2231" s="4" t="str">
        <x:v>Sales manager</x:v>
      </x:c>
      <x:c r="O2231" s="4" t="str">
        <x:v>BOOK-02230</x:v>
      </x:c>
      <x:c r="P2231" s="9" t="n">
        <x:v>8640000</x:v>
      </x:c>
      <x:c r="Q2231" s="11" t="n">
        <x:v>0</x:v>
      </x:c>
      <x:c r="R2231" s="8" t="n">
        <x:v>45490</x:v>
      </x:c>
      <x:c r="S2231" s="4" t="str">
        <x:v>Retained</x:v>
      </x:c>
      <x:c r="T2231" s="10" t="n">
        <x:v>0.204152</x:v>
      </x:c>
      <x:c r="U2231" s="4" t="str">
        <x:v>Train</x:v>
      </x:c>
    </x:row>
    <x:row r="2232" ht="34" customHeight="1">
      <x:c r="A2232" s="4" t="str">
        <x:v>RS-02231</x:v>
      </x:c>
      <x:c r="B2232" s="8" t="n">
        <x:v>45431</x:v>
      </x:c>
      <x:c r="C2232" s="4" t="str">
        <x:v>PRJ-011</x:v>
      </x:c>
      <x:c r="D2232" s="4" t="str">
        <x:v>Retail</x:v>
      </x:c>
      <x:c r="E2232" s="4" t="str">
        <x:v>Cancelled</x:v>
      </x:c>
      <x:c r="F2232" s="4" t="str">
        <x:v>CUS-02231</x:v>
      </x:c>
      <x:c r="G2232" s="4" t="str">
        <x:v>UNIT-02231</x:v>
      </x:c>
      <x:c r="H2232" s="9" t="n">
        <x:v>8000000</x:v>
      </x:c>
      <x:c r="I2232" s="10" t="n">
        <x:v>0.05</x:v>
      </x:c>
      <x:c r="J2232" s="11" t="n">
        <x:v>6</x:v>
      </x:c>
      <x:c r="K2232" s="11" t="n">
        <x:v>10</x:v>
      </x:c>
      <x:c r="L2232" s="11" t="n">
        <x:v>0</x:v>
      </x:c>
      <x:c r="M2232" s="9" t="n">
        <x:f>ROUND(H2232*(1-I2232),2)</x:f>
        <x:v>7600000</x:v>
      </x:c>
      <x:c r="N2232" s="4" t="str">
        <x:v>Sales manager</x:v>
      </x:c>
      <x:c r="O2232" s="4"/>
      <x:c r="P2232" s="9" t="n">
        <x:v>0</x:v>
      </x:c>
      <x:c r="Q2232" s="11" t="n">
        <x:v>1</x:v>
      </x:c>
      <x:c r="R2232" s="8" t="n">
        <x:v>45491</x:v>
      </x:c>
      <x:c r="S2232" s="4" t="str">
        <x:v>Lost / cancelled</x:v>
      </x:c>
      <x:c r="T2232" s="10" t="n">
        <x:v>0.226277</x:v>
      </x:c>
      <x:c r="U2232" s="4" t="str">
        <x:v>Train</x:v>
      </x:c>
    </x:row>
    <x:row r="2233" ht="34" customHeight="1">
      <x:c r="A2233" s="4" t="str">
        <x:v>RS-02232</x:v>
      </x:c>
      <x:c r="B2233" s="8" t="n">
        <x:v>45432</x:v>
      </x:c>
      <x:c r="C2233" s="4" t="str">
        <x:v>PRJ-012</x:v>
      </x:c>
      <x:c r="D2233" s="4" t="str">
        <x:v>Office</x:v>
      </x:c>
      <x:c r="E2233" s="4" t="str">
        <x:v>Cancelled</x:v>
      </x:c>
      <x:c r="F2233" s="4" t="str">
        <x:v>CUS-02232</x:v>
      </x:c>
      <x:c r="G2233" s="4" t="str">
        <x:v>UNIT-02232</x:v>
      </x:c>
      <x:c r="H2233" s="9" t="n">
        <x:v>15500000</x:v>
      </x:c>
      <x:c r="I2233" s="10" t="n">
        <x:v>0.07</x:v>
      </x:c>
      <x:c r="J2233" s="11" t="n">
        <x:v>11</x:v>
      </x:c>
      <x:c r="K2233" s="11" t="n">
        <x:v>6</x:v>
      </x:c>
      <x:c r="L2233" s="11" t="n">
        <x:v>1</x:v>
      </x:c>
      <x:c r="M2233" s="9" t="n">
        <x:f>ROUND(H2233*(1-I2233),2)</x:f>
        <x:v>14415000</x:v>
      </x:c>
      <x:c r="N2233" s="4" t="str">
        <x:v>Sales manager</x:v>
      </x:c>
      <x:c r="O2233" s="4"/>
      <x:c r="P2233" s="9" t="n">
        <x:v>0</x:v>
      </x:c>
      <x:c r="Q2233" s="11" t="n">
        <x:v>1</x:v>
      </x:c>
      <x:c r="R2233" s="8" t="n">
        <x:v>45492</x:v>
      </x:c>
      <x:c r="S2233" s="4" t="str">
        <x:v>Lost / cancelled</x:v>
      </x:c>
      <x:c r="T2233" s="10" t="n">
        <x:v>0.351536</x:v>
      </x:c>
      <x:c r="U2233" s="4" t="str">
        <x:v>Train</x:v>
      </x:c>
    </x:row>
    <x:row r="2234" ht="34" customHeight="1">
      <x:c r="A2234" s="4" t="str">
        <x:v>RS-02233</x:v>
      </x:c>
      <x:c r="B2234" s="8" t="n">
        <x:v>45433</x:v>
      </x:c>
      <x:c r="C2234" s="4" t="str">
        <x:v>PRJ-013</x:v>
      </x:c>
      <x:c r="D2234" s="4" t="str">
        <x:v>Apartment</x:v>
      </x:c>
      <x:c r="E2234" s="4" t="str">
        <x:v>Enquiry</x:v>
      </x:c>
      <x:c r="F2234" s="4" t="str">
        <x:v>CUS-02233</x:v>
      </x:c>
      <x:c r="G2234" s="4" t="str">
        <x:v>UNIT-02233</x:v>
      </x:c>
      <x:c r="H2234" s="9" t="n">
        <x:v>18900000</x:v>
      </x:c>
      <x:c r="I2234" s="10" t="n">
        <x:v>0.03</x:v>
      </x:c>
      <x:c r="J2234" s="11" t="n">
        <x:v>0</x:v>
      </x:c>
      <x:c r="K2234" s="11" t="n">
        <x:v>3</x:v>
      </x:c>
      <x:c r="L2234" s="11" t="n">
        <x:v>0</x:v>
      </x:c>
      <x:c r="M2234" s="9" t="n">
        <x:f>ROUND(H2234*(1-I2234),2)</x:f>
        <x:v>18333000</x:v>
      </x:c>
      <x:c r="N2234" s="4" t="str">
        <x:v>Sales manager</x:v>
      </x:c>
      <x:c r="O2234" s="4"/>
      <x:c r="P2234" s="9" t="n">
        <x:v>0</x:v>
      </x:c>
      <x:c r="Q2234" s="11" t="n">
        <x:v>0</x:v>
      </x:c>
      <x:c r="R2234" s="8" t="n">
        <x:v>45493</x:v>
      </x:c>
      <x:c r="S2234" s="4" t="str">
        <x:v>Retained</x:v>
      </x:c>
      <x:c r="T2234" s="10" t="n">
        <x:v>0.072165</x:v>
      </x:c>
      <x:c r="U2234" s="4" t="str">
        <x:v>Train</x:v>
      </x:c>
    </x:row>
    <x:row r="2235" ht="34" customHeight="1">
      <x:c r="A2235" s="4" t="str">
        <x:v>RS-02234</x:v>
      </x:c>
      <x:c r="B2235" s="8" t="n">
        <x:v>45434</x:v>
      </x:c>
      <x:c r="C2235" s="4" t="str">
        <x:v>PRJ-014</x:v>
      </x:c>
      <x:c r="D2235" s="4" t="str">
        <x:v>Office</x:v>
      </x:c>
      <x:c r="E2235" s="4" t="str">
        <x:v>Handed over</x:v>
      </x:c>
      <x:c r="F2235" s="4" t="str">
        <x:v>CUS-02234</x:v>
      </x:c>
      <x:c r="G2235" s="4" t="str">
        <x:v>UNIT-02234</x:v>
      </x:c>
      <x:c r="H2235" s="9" t="n">
        <x:v>13200000</x:v>
      </x:c>
      <x:c r="I2235" s="10" t="n">
        <x:v>0.07</x:v>
      </x:c>
      <x:c r="J2235" s="11" t="n">
        <x:v>4</x:v>
      </x:c>
      <x:c r="K2235" s="11" t="n">
        <x:v>8</x:v>
      </x:c>
      <x:c r="L2235" s="11" t="n">
        <x:v>0</x:v>
      </x:c>
      <x:c r="M2235" s="9" t="n">
        <x:f>ROUND(H2235*(1-I2235),2)</x:f>
        <x:v>12276000</x:v>
      </x:c>
      <x:c r="N2235" s="4" t="str">
        <x:v>Sales manager</x:v>
      </x:c>
      <x:c r="O2235" s="4" t="str">
        <x:v>BOOK-02234</x:v>
      </x:c>
      <x:c r="P2235" s="9" t="n">
        <x:v>12276000</x:v>
      </x:c>
      <x:c r="Q2235" s="11" t="n">
        <x:v>0</x:v>
      </x:c>
      <x:c r="R2235" s="8" t="n">
        <x:v>45494</x:v>
      </x:c>
      <x:c r="S2235" s="4" t="str">
        <x:v>Retained</x:v>
      </x:c>
      <x:c r="T2235" s="10" t="n">
        <x:v>0.226277</x:v>
      </x:c>
      <x:c r="U2235" s="4" t="str">
        <x:v>Train</x:v>
      </x:c>
    </x:row>
    <x:row r="2236" ht="34" customHeight="1">
      <x:c r="A2236" s="4" t="str">
        <x:v>RS-02235</x:v>
      </x:c>
      <x:c r="B2236" s="8" t="n">
        <x:v>45435</x:v>
      </x:c>
      <x:c r="C2236" s="4" t="str">
        <x:v>PRJ-015</x:v>
      </x:c>
      <x:c r="D2236" s="4" t="str">
        <x:v>Office</x:v>
      </x:c>
      <x:c r="E2236" s="4" t="str">
        <x:v>Enquiry</x:v>
      </x:c>
      <x:c r="F2236" s="4" t="str">
        <x:v>CUS-02235</x:v>
      </x:c>
      <x:c r="G2236" s="4" t="str">
        <x:v>UNIT-02235</x:v>
      </x:c>
      <x:c r="H2236" s="9" t="n">
        <x:v>13200000</x:v>
      </x:c>
      <x:c r="I2236" s="10" t="n">
        <x:v>0.07</x:v>
      </x:c>
      <x:c r="J2236" s="11" t="n">
        <x:v>1</x:v>
      </x:c>
      <x:c r="K2236" s="11" t="n">
        <x:v>1</x:v>
      </x:c>
      <x:c r="L2236" s="11" t="n">
        <x:v>0</x:v>
      </x:c>
      <x:c r="M2236" s="9" t="n">
        <x:f>ROUND(H2236*(1-I2236),2)</x:f>
        <x:v>12276000</x:v>
      </x:c>
      <x:c r="N2236" s="4" t="str">
        <x:v>Sales manager</x:v>
      </x:c>
      <x:c r="O2236" s="4"/>
      <x:c r="P2236" s="9" t="n">
        <x:v>0</x:v>
      </x:c>
      <x:c r="Q2236" s="11" t="n">
        <x:v>0</x:v>
      </x:c>
      <x:c r="R2236" s="8" t="n">
        <x:v>45495</x:v>
      </x:c>
      <x:c r="S2236" s="4" t="str">
        <x:v>Retained</x:v>
      </x:c>
      <x:c r="T2236" s="10" t="n">
        <x:v>0.204152</x:v>
      </x:c>
      <x:c r="U2236" s="4" t="str">
        <x:v>Train</x:v>
      </x:c>
    </x:row>
    <x:row r="2237" ht="34" customHeight="1">
      <x:c r="A2237" s="4" t="str">
        <x:v>RS-02236</x:v>
      </x:c>
      <x:c r="B2237" s="8" t="n">
        <x:v>45436</x:v>
      </x:c>
      <x:c r="C2237" s="4" t="str">
        <x:v>PRJ-016</x:v>
      </x:c>
      <x:c r="D2237" s="4" t="str">
        <x:v>Apartment</x:v>
      </x:c>
      <x:c r="E2237" s="4" t="str">
        <x:v>Booked</x:v>
      </x:c>
      <x:c r="F2237" s="4" t="str">
        <x:v>CUS-02236</x:v>
      </x:c>
      <x:c r="G2237" s="4" t="str">
        <x:v>UNIT-02236</x:v>
      </x:c>
      <x:c r="H2237" s="9" t="n">
        <x:v>21000000</x:v>
      </x:c>
      <x:c r="I2237" s="10" t="n">
        <x:v>0.05</x:v>
      </x:c>
      <x:c r="J2237" s="11" t="n">
        <x:v>12</x:v>
      </x:c>
      <x:c r="K2237" s="11" t="n">
        <x:v>3</x:v>
      </x:c>
      <x:c r="L2237" s="11" t="n">
        <x:v>1</x:v>
      </x:c>
      <x:c r="M2237" s="9" t="n">
        <x:f>ROUND(H2237*(1-I2237),2)</x:f>
        <x:v>19950000</x:v>
      </x:c>
      <x:c r="N2237" s="4" t="str">
        <x:v>Sales manager</x:v>
      </x:c>
      <x:c r="O2237" s="4" t="str">
        <x:v>BOOK-02236</x:v>
      </x:c>
      <x:c r="P2237" s="9" t="n">
        <x:v>19950000</x:v>
      </x:c>
      <x:c r="Q2237" s="11" t="n">
        <x:v>0</x:v>
      </x:c>
      <x:c r="R2237" s="8" t="n">
        <x:v>45496</x:v>
      </x:c>
      <x:c r="S2237" s="4" t="str">
        <x:v>Retained</x:v>
      </x:c>
      <x:c r="T2237" s="10" t="n">
        <x:v>0.351536</x:v>
      </x:c>
      <x:c r="U2237" s="4" t="str">
        <x:v>Train</x:v>
      </x:c>
    </x:row>
    <x:row r="2238" ht="34" customHeight="1">
      <x:c r="A2238" s="4" t="str">
        <x:v>RS-02237</x:v>
      </x:c>
      <x:c r="B2238" s="8" t="n">
        <x:v>45437</x:v>
      </x:c>
      <x:c r="C2238" s="4" t="str">
        <x:v>PRJ-017</x:v>
      </x:c>
      <x:c r="D2238" s="4" t="str">
        <x:v>Office</x:v>
      </x:c>
      <x:c r="E2238" s="4" t="str">
        <x:v>Booked</x:v>
      </x:c>
      <x:c r="F2238" s="4" t="str">
        <x:v>CUS-02237</x:v>
      </x:c>
      <x:c r="G2238" s="4" t="str">
        <x:v>UNIT-02237</x:v>
      </x:c>
      <x:c r="H2238" s="9" t="n">
        <x:v>9300000</x:v>
      </x:c>
      <x:c r="I2238" s="10" t="n">
        <x:v>0.07</x:v>
      </x:c>
      <x:c r="J2238" s="11" t="n">
        <x:v>8</x:v>
      </x:c>
      <x:c r="K2238" s="11" t="n">
        <x:v>0</x:v>
      </x:c>
      <x:c r="L2238" s="11" t="n">
        <x:v>0</x:v>
      </x:c>
      <x:c r="M2238" s="9" t="n">
        <x:f>ROUND(H2238*(1-I2238),2)</x:f>
        <x:v>8649000</x:v>
      </x:c>
      <x:c r="N2238" s="4" t="str">
        <x:v>Sales manager</x:v>
      </x:c>
      <x:c r="O2238" s="4" t="str">
        <x:v>BOOK-02237</x:v>
      </x:c>
      <x:c r="P2238" s="9" t="n">
        <x:v>2162250</x:v>
      </x:c>
      <x:c r="Q2238" s="11" t="n">
        <x:v>0</x:v>
      </x:c>
      <x:c r="R2238" s="8" t="n">
        <x:v>45497</x:v>
      </x:c>
      <x:c r="S2238" s="4" t="str">
        <x:v>Retained</x:v>
      </x:c>
      <x:c r="T2238" s="10" t="n">
        <x:v>0.310195</x:v>
      </x:c>
      <x:c r="U2238" s="4" t="str">
        <x:v>Train</x:v>
      </x:c>
    </x:row>
    <x:row r="2239" ht="34" customHeight="1">
      <x:c r="A2239" s="4" t="str">
        <x:v>RS-02238</x:v>
      </x:c>
      <x:c r="B2239" s="8" t="n">
        <x:v>45438</x:v>
      </x:c>
      <x:c r="C2239" s="4" t="str">
        <x:v>PRJ-018</x:v>
      </x:c>
      <x:c r="D2239" s="4" t="str">
        <x:v>Retail</x:v>
      </x:c>
      <x:c r="E2239" s="4" t="str">
        <x:v>Reserved</x:v>
      </x:c>
      <x:c r="F2239" s="4" t="str">
        <x:v>CUS-02238</x:v>
      </x:c>
      <x:c r="G2239" s="4" t="str">
        <x:v>UNIT-02238</x:v>
      </x:c>
      <x:c r="H2239" s="9" t="n">
        <x:v>12600000</x:v>
      </x:c>
      <x:c r="I2239" s="10" t="n">
        <x:v>0.07</x:v>
      </x:c>
      <x:c r="J2239" s="11" t="n">
        <x:v>12</x:v>
      </x:c>
      <x:c r="K2239" s="11" t="n">
        <x:v>7</x:v>
      </x:c>
      <x:c r="L2239" s="11" t="n">
        <x:v>1</x:v>
      </x:c>
      <x:c r="M2239" s="9" t="n">
        <x:f>ROUND(H2239*(1-I2239),2)</x:f>
        <x:v>11718000</x:v>
      </x:c>
      <x:c r="N2239" s="4" t="str">
        <x:v>Sales manager</x:v>
      </x:c>
      <x:c r="O2239" s="4"/>
      <x:c r="P2239" s="9" t="n">
        <x:v>0</x:v>
      </x:c>
      <x:c r="Q2239" s="11" t="n">
        <x:v>0</x:v>
      </x:c>
      <x:c r="R2239" s="8" t="n">
        <x:v>45498</x:v>
      </x:c>
      <x:c r="S2239" s="4" t="str">
        <x:v>Retained</x:v>
      </x:c>
      <x:c r="T2239" s="10" t="n">
        <x:v>0.351536</x:v>
      </x:c>
      <x:c r="U2239" s="4" t="str">
        <x:v>Train</x:v>
      </x:c>
    </x:row>
    <x:row r="2240" ht="34" customHeight="1">
      <x:c r="A2240" s="4" t="str">
        <x:v>RS-02239</x:v>
      </x:c>
      <x:c r="B2240" s="8" t="n">
        <x:v>45439</x:v>
      </x:c>
      <x:c r="C2240" s="4" t="str">
        <x:v>PRJ-019</x:v>
      </x:c>
      <x:c r="D2240" s="4" t="str">
        <x:v>Office</x:v>
      </x:c>
      <x:c r="E2240" s="4" t="str">
        <x:v>Agreement signed</x:v>
      </x:c>
      <x:c r="F2240" s="4" t="str">
        <x:v>CUS-02239</x:v>
      </x:c>
      <x:c r="G2240" s="4" t="str">
        <x:v>UNIT-02239</x:v>
      </x:c>
      <x:c r="H2240" s="9" t="n">
        <x:v>5700000</x:v>
      </x:c>
      <x:c r="I2240" s="10" t="n">
        <x:v>0.08</x:v>
      </x:c>
      <x:c r="J2240" s="11" t="n">
        <x:v>9</x:v>
      </x:c>
      <x:c r="K2240" s="11" t="n">
        <x:v>3</x:v>
      </x:c>
      <x:c r="L2240" s="11" t="n">
        <x:v>0</x:v>
      </x:c>
      <x:c r="M2240" s="9" t="n">
        <x:f>ROUND(H2240*(1-I2240),2)</x:f>
        <x:v>5244000</x:v>
      </x:c>
      <x:c r="N2240" s="4" t="str">
        <x:v>Sales head</x:v>
      </x:c>
      <x:c r="O2240" s="4" t="str">
        <x:v>BOOK-02239</x:v>
      </x:c>
      <x:c r="P2240" s="9" t="n">
        <x:v>1311000</x:v>
      </x:c>
      <x:c r="Q2240" s="11" t="n">
        <x:v>0</x:v>
      </x:c>
      <x:c r="R2240" s="8" t="n">
        <x:v>45499</x:v>
      </x:c>
      <x:c r="S2240" s="4" t="str">
        <x:v>Retained</x:v>
      </x:c>
      <x:c r="T2240" s="10" t="n">
        <x:v>0.310195</x:v>
      </x:c>
      <x:c r="U2240" s="4" t="str">
        <x:v>Train</x:v>
      </x:c>
    </x:row>
    <x:row r="2241" ht="34" customHeight="1">
      <x:c r="A2241" s="4" t="str">
        <x:v>RS-02240</x:v>
      </x:c>
      <x:c r="B2241" s="8" t="n">
        <x:v>45440</x:v>
      </x:c>
      <x:c r="C2241" s="4" t="str">
        <x:v>PRJ-020</x:v>
      </x:c>
      <x:c r="D2241" s="4" t="str">
        <x:v>Retail</x:v>
      </x:c>
      <x:c r="E2241" s="4" t="str">
        <x:v>Reserved</x:v>
      </x:c>
      <x:c r="F2241" s="4" t="str">
        <x:v>CUS-02240</x:v>
      </x:c>
      <x:c r="G2241" s="4" t="str">
        <x:v>UNIT-02240</x:v>
      </x:c>
      <x:c r="H2241" s="9" t="n">
        <x:v>24700000</x:v>
      </x:c>
      <x:c r="I2241" s="10" t="n">
        <x:v>0</x:v>
      </x:c>
      <x:c r="J2241" s="11" t="n">
        <x:v>9</x:v>
      </x:c>
      <x:c r="K2241" s="11" t="n">
        <x:v>3</x:v>
      </x:c>
      <x:c r="L2241" s="11" t="n">
        <x:v>0</x:v>
      </x:c>
      <x:c r="M2241" s="9" t="n">
        <x:f>ROUND(H2241*(1-I2241),2)</x:f>
        <x:v>24700000</x:v>
      </x:c>
      <x:c r="N2241" s="4" t="str">
        <x:v>Sales manager</x:v>
      </x:c>
      <x:c r="O2241" s="4"/>
      <x:c r="P2241" s="9" t="n">
        <x:v>0</x:v>
      </x:c>
      <x:c r="Q2241" s="11" t="n">
        <x:v>0</x:v>
      </x:c>
      <x:c r="R2241" s="8" t="n">
        <x:v>45500</x:v>
      </x:c>
      <x:c r="S2241" s="4" t="str">
        <x:v>Retained</x:v>
      </x:c>
      <x:c r="T2241" s="10" t="n">
        <x:v>0.305556</x:v>
      </x:c>
      <x:c r="U2241" s="4" t="str">
        <x:v>Train</x:v>
      </x:c>
    </x:row>
    <x:row r="2242" ht="34" customHeight="1">
      <x:c r="A2242" s="4" t="str">
        <x:v>RS-02241</x:v>
      </x:c>
      <x:c r="B2242" s="8" t="n">
        <x:v>45413</x:v>
      </x:c>
      <x:c r="C2242" s="4" t="str">
        <x:v>PRJ-001</x:v>
      </x:c>
      <x:c r="D2242" s="4" t="str">
        <x:v>Retail</x:v>
      </x:c>
      <x:c r="E2242" s="4" t="str">
        <x:v>Cancelled</x:v>
      </x:c>
      <x:c r="F2242" s="4" t="str">
        <x:v>CUS-02241</x:v>
      </x:c>
      <x:c r="G2242" s="4" t="str">
        <x:v>UNIT-02241</x:v>
      </x:c>
      <x:c r="H2242" s="9" t="n">
        <x:v>16600000</x:v>
      </x:c>
      <x:c r="I2242" s="10" t="n">
        <x:v>0.07</x:v>
      </x:c>
      <x:c r="J2242" s="11" t="n">
        <x:v>4</x:v>
      </x:c>
      <x:c r="K2242" s="11" t="n">
        <x:v>1</x:v>
      </x:c>
      <x:c r="L2242" s="11" t="n">
        <x:v>0</x:v>
      </x:c>
      <x:c r="M2242" s="9" t="n">
        <x:f>ROUND(H2242*(1-I2242),2)</x:f>
        <x:v>15438000</x:v>
      </x:c>
      <x:c r="N2242" s="4" t="str">
        <x:v>Sales manager</x:v>
      </x:c>
      <x:c r="O2242" s="4"/>
      <x:c r="P2242" s="9" t="n">
        <x:v>0</x:v>
      </x:c>
      <x:c r="Q2242" s="11" t="n">
        <x:v>1</x:v>
      </x:c>
      <x:c r="R2242" s="8" t="n">
        <x:v>45473</x:v>
      </x:c>
      <x:c r="S2242" s="4" t="str">
        <x:v>Lost / cancelled</x:v>
      </x:c>
      <x:c r="T2242" s="10" t="n">
        <x:v>0.226277</x:v>
      </x:c>
      <x:c r="U2242" s="4" t="str">
        <x:v>Train</x:v>
      </x:c>
    </x:row>
    <x:row r="2243" ht="34" customHeight="1">
      <x:c r="A2243" s="4" t="str">
        <x:v>RS-02242</x:v>
      </x:c>
      <x:c r="B2243" s="8" t="n">
        <x:v>45414</x:v>
      </x:c>
      <x:c r="C2243" s="4" t="str">
        <x:v>PRJ-002</x:v>
      </x:c>
      <x:c r="D2243" s="4" t="str">
        <x:v>Villa</x:v>
      </x:c>
      <x:c r="E2243" s="4" t="str">
        <x:v>Handed over</x:v>
      </x:c>
      <x:c r="F2243" s="4" t="str">
        <x:v>CUS-02242</x:v>
      </x:c>
      <x:c r="G2243" s="4" t="str">
        <x:v>UNIT-02242</x:v>
      </x:c>
      <x:c r="H2243" s="9" t="n">
        <x:v>3000000</x:v>
      </x:c>
      <x:c r="I2243" s="10" t="n">
        <x:v>0.01</x:v>
      </x:c>
      <x:c r="J2243" s="11" t="n">
        <x:v>7</x:v>
      </x:c>
      <x:c r="K2243" s="11" t="n">
        <x:v>6</x:v>
      </x:c>
      <x:c r="L2243" s="11" t="n">
        <x:v>0</x:v>
      </x:c>
      <x:c r="M2243" s="9" t="n">
        <x:f>ROUND(H2243*(1-I2243),2)</x:f>
        <x:v>2970000</x:v>
      </x:c>
      <x:c r="N2243" s="4" t="str">
        <x:v>Sales manager</x:v>
      </x:c>
      <x:c r="O2243" s="4" t="str">
        <x:v>BOOK-02242</x:v>
      </x:c>
      <x:c r="P2243" s="9" t="n">
        <x:v>1485000</x:v>
      </x:c>
      <x:c r="Q2243" s="11" t="n">
        <x:v>0</x:v>
      </x:c>
      <x:c r="R2243" s="8" t="n">
        <x:v>45474</x:v>
      </x:c>
      <x:c r="S2243" s="4" t="str">
        <x:v>Retained</x:v>
      </x:c>
      <x:c r="T2243" s="10" t="n">
        <x:v>0.145299</x:v>
      </x:c>
      <x:c r="U2243" s="4" t="str">
        <x:v>Train</x:v>
      </x:c>
    </x:row>
    <x:row r="2244" ht="34" customHeight="1">
      <x:c r="A2244" s="4" t="str">
        <x:v>RS-02243</x:v>
      </x:c>
      <x:c r="B2244" s="8" t="n">
        <x:v>45415</x:v>
      </x:c>
      <x:c r="C2244" s="4" t="str">
        <x:v>PRJ-003</x:v>
      </x:c>
      <x:c r="D2244" s="4" t="str">
        <x:v>Villa</x:v>
      </x:c>
      <x:c r="E2244" s="4" t="str">
        <x:v>Handed over</x:v>
      </x:c>
      <x:c r="F2244" s="4" t="str">
        <x:v>CUS-02243</x:v>
      </x:c>
      <x:c r="G2244" s="4" t="str">
        <x:v>UNIT-02243</x:v>
      </x:c>
      <x:c r="H2244" s="9" t="n">
        <x:v>14000000</x:v>
      </x:c>
      <x:c r="I2244" s="10" t="n">
        <x:v>0.1</x:v>
      </x:c>
      <x:c r="J2244" s="11" t="n">
        <x:v>8</x:v>
      </x:c>
      <x:c r="K2244" s="11" t="n">
        <x:v>0</x:v>
      </x:c>
      <x:c r="L2244" s="11" t="n">
        <x:v>1</x:v>
      </x:c>
      <x:c r="M2244" s="9" t="n">
        <x:f>ROUND(H2244*(1-I2244),2)</x:f>
        <x:v>12600000</x:v>
      </x:c>
      <x:c r="N2244" s="4" t="str">
        <x:v>Sales head</x:v>
      </x:c>
      <x:c r="O2244" s="4" t="str">
        <x:v>BOOK-02243</x:v>
      </x:c>
      <x:c r="P2244" s="9" t="n">
        <x:v>1260000</x:v>
      </x:c>
      <x:c r="Q2244" s="11" t="n">
        <x:v>0</x:v>
      </x:c>
      <x:c r="R2244" s="8" t="n">
        <x:v>45475</x:v>
      </x:c>
      <x:c r="S2244" s="4" t="str">
        <x:v>Retained</x:v>
      </x:c>
      <x:c r="T2244" s="10" t="n">
        <x:v>0.310195</x:v>
      </x:c>
      <x:c r="U2244" s="4" t="str">
        <x:v>Train</x:v>
      </x:c>
    </x:row>
    <x:row r="2245" ht="34" customHeight="1">
      <x:c r="A2245" s="4" t="str">
        <x:v>RS-02244</x:v>
      </x:c>
      <x:c r="B2245" s="8" t="n">
        <x:v>45416</x:v>
      </x:c>
      <x:c r="C2245" s="4" t="str">
        <x:v>PRJ-004</x:v>
      </x:c>
      <x:c r="D2245" s="4" t="str">
        <x:v>Retail</x:v>
      </x:c>
      <x:c r="E2245" s="4" t="str">
        <x:v>Cancelled</x:v>
      </x:c>
      <x:c r="F2245" s="4" t="str">
        <x:v>CUS-02244</x:v>
      </x:c>
      <x:c r="G2245" s="4" t="str">
        <x:v>UNIT-02244</x:v>
      </x:c>
      <x:c r="H2245" s="9" t="n">
        <x:v>15400000</x:v>
      </x:c>
      <x:c r="I2245" s="10" t="n">
        <x:v>0.03</x:v>
      </x:c>
      <x:c r="J2245" s="11" t="n">
        <x:v>3</x:v>
      </x:c>
      <x:c r="K2245" s="11" t="n">
        <x:v>3</x:v>
      </x:c>
      <x:c r="L2245" s="11" t="n">
        <x:v>1</x:v>
      </x:c>
      <x:c r="M2245" s="9" t="n">
        <x:f>ROUND(H2245*(1-I2245),2)</x:f>
        <x:v>14938000</x:v>
      </x:c>
      <x:c r="N2245" s="4" t="str">
        <x:v>Sales manager</x:v>
      </x:c>
      <x:c r="O2245" s="4"/>
      <x:c r="P2245" s="9" t="n">
        <x:v>0</x:v>
      </x:c>
      <x:c r="Q2245" s="11" t="n">
        <x:v>1</x:v>
      </x:c>
      <x:c r="R2245" s="8" t="n">
        <x:v>45476</x:v>
      </x:c>
      <x:c r="S2245" s="4" t="str">
        <x:v>Lost / cancelled</x:v>
      </x:c>
      <x:c r="T2245" s="10" t="n">
        <x:v>0.171717</x:v>
      </x:c>
      <x:c r="U2245" s="4" t="str">
        <x:v>Train</x:v>
      </x:c>
    </x:row>
    <x:row r="2246" ht="34" customHeight="1">
      <x:c r="A2246" s="4" t="str">
        <x:v>RS-02245</x:v>
      </x:c>
      <x:c r="B2246" s="8" t="n">
        <x:v>45417</x:v>
      </x:c>
      <x:c r="C2246" s="4" t="str">
        <x:v>PRJ-005</x:v>
      </x:c>
      <x:c r="D2246" s="4" t="str">
        <x:v>Villa</x:v>
      </x:c>
      <x:c r="E2246" s="4" t="str">
        <x:v>Booked</x:v>
      </x:c>
      <x:c r="F2246" s="4" t="str">
        <x:v>CUS-02245</x:v>
      </x:c>
      <x:c r="G2246" s="4" t="str">
        <x:v>UNIT-02245</x:v>
      </x:c>
      <x:c r="H2246" s="9" t="n">
        <x:v>3600000</x:v>
      </x:c>
      <x:c r="I2246" s="10" t="n">
        <x:v>0.1</x:v>
      </x:c>
      <x:c r="J2246" s="11" t="n">
        <x:v>5</x:v>
      </x:c>
      <x:c r="K2246" s="11" t="n">
        <x:v>8</x:v>
      </x:c>
      <x:c r="L2246" s="11" t="n">
        <x:v>0</x:v>
      </x:c>
      <x:c r="M2246" s="9" t="n">
        <x:f>ROUND(H2246*(1-I2246),2)</x:f>
        <x:v>3240000</x:v>
      </x:c>
      <x:c r="N2246" s="4" t="str">
        <x:v>Sales head</x:v>
      </x:c>
      <x:c r="O2246" s="4" t="str">
        <x:v>BOOK-02245</x:v>
      </x:c>
      <x:c r="P2246" s="9" t="n">
        <x:v>810000</x:v>
      </x:c>
      <x:c r="Q2246" s="11" t="n">
        <x:v>0</x:v>
      </x:c>
      <x:c r="R2246" s="8" t="n">
        <x:v>45477</x:v>
      </x:c>
      <x:c r="S2246" s="4" t="str">
        <x:v>Retained</x:v>
      </x:c>
      <x:c r="T2246" s="10" t="n">
        <x:v>0.226277</x:v>
      </x:c>
      <x:c r="U2246" s="4" t="str">
        <x:v>Train</x:v>
      </x:c>
    </x:row>
    <x:row r="2247" ht="34" customHeight="1">
      <x:c r="A2247" s="4" t="str">
        <x:v>RS-02246</x:v>
      </x:c>
      <x:c r="B2247" s="8" t="n">
        <x:v>45418</x:v>
      </x:c>
      <x:c r="C2247" s="4" t="str">
        <x:v>PRJ-006</x:v>
      </x:c>
      <x:c r="D2247" s="4" t="str">
        <x:v>Apartment</x:v>
      </x:c>
      <x:c r="E2247" s="4" t="str">
        <x:v>Cancelled</x:v>
      </x:c>
      <x:c r="F2247" s="4" t="str">
        <x:v>CUS-02246</x:v>
      </x:c>
      <x:c r="G2247" s="4" t="str">
        <x:v>UNIT-02246</x:v>
      </x:c>
      <x:c r="H2247" s="9" t="n">
        <x:v>13800000</x:v>
      </x:c>
      <x:c r="I2247" s="10" t="n">
        <x:v>0.04</x:v>
      </x:c>
      <x:c r="J2247" s="11" t="n">
        <x:v>12</x:v>
      </x:c>
      <x:c r="K2247" s="11" t="n">
        <x:v>5</x:v>
      </x:c>
      <x:c r="L2247" s="11" t="n">
        <x:v>1</x:v>
      </x:c>
      <x:c r="M2247" s="9" t="n">
        <x:f>ROUND(H2247*(1-I2247),2)</x:f>
        <x:v>13248000</x:v>
      </x:c>
      <x:c r="N2247" s="4" t="str">
        <x:v>Sales manager</x:v>
      </x:c>
      <x:c r="O2247" s="4"/>
      <x:c r="P2247" s="9" t="n">
        <x:v>0</x:v>
      </x:c>
      <x:c r="Q2247" s="11" t="n">
        <x:v>1</x:v>
      </x:c>
      <x:c r="R2247" s="8" t="n">
        <x:v>45478</x:v>
      </x:c>
      <x:c r="S2247" s="4" t="str">
        <x:v>Lost / cancelled</x:v>
      </x:c>
      <x:c r="T2247" s="10" t="n">
        <x:v>0.351536</x:v>
      </x:c>
      <x:c r="U2247" s="4" t="str">
        <x:v>Train</x:v>
      </x:c>
    </x:row>
    <x:row r="2248" ht="34" customHeight="1">
      <x:c r="A2248" s="4" t="str">
        <x:v>RS-02247</x:v>
      </x:c>
      <x:c r="B2248" s="8" t="n">
        <x:v>45419</x:v>
      </x:c>
      <x:c r="C2248" s="4" t="str">
        <x:v>PRJ-007</x:v>
      </x:c>
      <x:c r="D2248" s="4" t="str">
        <x:v>Villa</x:v>
      </x:c>
      <x:c r="E2248" s="4" t="str">
        <x:v>Enquiry</x:v>
      </x:c>
      <x:c r="F2248" s="4" t="str">
        <x:v>CUS-02247</x:v>
      </x:c>
      <x:c r="G2248" s="4" t="str">
        <x:v>UNIT-02247</x:v>
      </x:c>
      <x:c r="H2248" s="9" t="n">
        <x:v>10300000</x:v>
      </x:c>
      <x:c r="I2248" s="10" t="n">
        <x:v>0.11</x:v>
      </x:c>
      <x:c r="J2248" s="11" t="n">
        <x:v>9</x:v>
      </x:c>
      <x:c r="K2248" s="11" t="n">
        <x:v>4</x:v>
      </x:c>
      <x:c r="L2248" s="11" t="n">
        <x:v>0</x:v>
      </x:c>
      <x:c r="M2248" s="9" t="n">
        <x:f>ROUND(H2248*(1-I2248),2)</x:f>
        <x:v>9167000</x:v>
      </x:c>
      <x:c r="N2248" s="4" t="str">
        <x:v>Sales head</x:v>
      </x:c>
      <x:c r="O2248" s="4"/>
      <x:c r="P2248" s="9" t="n">
        <x:v>0</x:v>
      </x:c>
      <x:c r="Q2248" s="11" t="n">
        <x:v>1</x:v>
      </x:c>
      <x:c r="R2248" s="8" t="n">
        <x:v>45479</x:v>
      </x:c>
      <x:c r="S2248" s="4" t="str">
        <x:v>Lost / cancelled</x:v>
      </x:c>
      <x:c r="T2248" s="10" t="n">
        <x:v>0.310195</x:v>
      </x:c>
      <x:c r="U2248" s="4" t="str">
        <x:v>Train</x:v>
      </x:c>
    </x:row>
    <x:row r="2249" ht="34" customHeight="1">
      <x:c r="A2249" s="4" t="str">
        <x:v>RS-02248</x:v>
      </x:c>
      <x:c r="B2249" s="8" t="n">
        <x:v>45420</x:v>
      </x:c>
      <x:c r="C2249" s="4" t="str">
        <x:v>PRJ-008</x:v>
      </x:c>
      <x:c r="D2249" s="4" t="str">
        <x:v>Apartment</x:v>
      </x:c>
      <x:c r="E2249" s="4" t="str">
        <x:v>Enquiry</x:v>
      </x:c>
      <x:c r="F2249" s="4" t="str">
        <x:v>CUS-02248</x:v>
      </x:c>
      <x:c r="G2249" s="4" t="str">
        <x:v>UNIT-02248</x:v>
      </x:c>
      <x:c r="H2249" s="9" t="n">
        <x:v>8900000</x:v>
      </x:c>
      <x:c r="I2249" s="10" t="n">
        <x:v>0.02</x:v>
      </x:c>
      <x:c r="J2249" s="11" t="n">
        <x:v>6</x:v>
      </x:c>
      <x:c r="K2249" s="11" t="n">
        <x:v>0</x:v>
      </x:c>
      <x:c r="L2249" s="11" t="n">
        <x:v>0</x:v>
      </x:c>
      <x:c r="M2249" s="9" t="n">
        <x:f>ROUND(H2249*(1-I2249),2)</x:f>
        <x:v>8722000</x:v>
      </x:c>
      <x:c r="N2249" s="4" t="str">
        <x:v>Sales manager</x:v>
      </x:c>
      <x:c r="O2249" s="4"/>
      <x:c r="P2249" s="9" t="n">
        <x:v>0</x:v>
      </x:c>
      <x:c r="Q2249" s="11" t="n">
        <x:v>0</x:v>
      </x:c>
      <x:c r="R2249" s="8" t="n">
        <x:v>45480</x:v>
      </x:c>
      <x:c r="S2249" s="4" t="str">
        <x:v>Retained</x:v>
      </x:c>
      <x:c r="T2249" s="10" t="n">
        <x:v>0.298969</x:v>
      </x:c>
      <x:c r="U2249" s="4" t="str">
        <x:v>Train</x:v>
      </x:c>
    </x:row>
    <x:row r="2250" ht="34" customHeight="1">
      <x:c r="A2250" s="4" t="str">
        <x:v>RS-02249</x:v>
      </x:c>
      <x:c r="B2250" s="8" t="n">
        <x:v>45421</x:v>
      </x:c>
      <x:c r="C2250" s="4" t="str">
        <x:v>PRJ-009</x:v>
      </x:c>
      <x:c r="D2250" s="4" t="str">
        <x:v>Villa</x:v>
      </x:c>
      <x:c r="E2250" s="4" t="str">
        <x:v>Enquiry</x:v>
      </x:c>
      <x:c r="F2250" s="4" t="str">
        <x:v>CUS-02249</x:v>
      </x:c>
      <x:c r="G2250" s="4" t="str">
        <x:v>UNIT-02249</x:v>
      </x:c>
      <x:c r="H2250" s="9" t="n">
        <x:v>19900000</x:v>
      </x:c>
      <x:c r="I2250" s="10" t="n">
        <x:v>0</x:v>
      </x:c>
      <x:c r="J2250" s="11" t="n">
        <x:v>1</x:v>
      </x:c>
      <x:c r="K2250" s="11" t="n">
        <x:v>3</x:v>
      </x:c>
      <x:c r="L2250" s="11" t="n">
        <x:v>1</x:v>
      </x:c>
      <x:c r="M2250" s="9" t="n">
        <x:f>ROUND(H2250*(1-I2250),2)</x:f>
        <x:v>19900000</x:v>
      </x:c>
      <x:c r="N2250" s="4" t="str">
        <x:v>Sales manager</x:v>
      </x:c>
      <x:c r="O2250" s="4"/>
      <x:c r="P2250" s="9" t="n">
        <x:v>0</x:v>
      </x:c>
      <x:c r="Q2250" s="11" t="n">
        <x:v>0</x:v>
      </x:c>
      <x:c r="R2250" s="8" t="n">
        <x:v>45481</x:v>
      </x:c>
      <x:c r="S2250" s="4" t="str">
        <x:v>Retained</x:v>
      </x:c>
      <x:c r="T2250" s="10" t="n">
        <x:v>0.072165</x:v>
      </x:c>
      <x:c r="U2250" s="4" t="str">
        <x:v>Train</x:v>
      </x:c>
    </x:row>
    <x:row r="2251" ht="34" customHeight="1">
      <x:c r="A2251" s="4" t="str">
        <x:v>RS-02250</x:v>
      </x:c>
      <x:c r="B2251" s="8" t="n">
        <x:v>45422</x:v>
      </x:c>
      <x:c r="C2251" s="4" t="str">
        <x:v>PRJ-010</x:v>
      </x:c>
      <x:c r="D2251" s="4" t="str">
        <x:v>Retail</x:v>
      </x:c>
      <x:c r="E2251" s="4" t="str">
        <x:v>Handed over</x:v>
      </x:c>
      <x:c r="F2251" s="4" t="str">
        <x:v>CUS-02250</x:v>
      </x:c>
      <x:c r="G2251" s="4" t="str">
        <x:v>UNIT-02250</x:v>
      </x:c>
      <x:c r="H2251" s="9" t="n">
        <x:v>18200000</x:v>
      </x:c>
      <x:c r="I2251" s="10" t="n">
        <x:v>0.01</x:v>
      </x:c>
      <x:c r="J2251" s="11" t="n">
        <x:v>5</x:v>
      </x:c>
      <x:c r="K2251" s="11" t="n">
        <x:v>8</x:v>
      </x:c>
      <x:c r="L2251" s="11" t="n">
        <x:v>0</x:v>
      </x:c>
      <x:c r="M2251" s="9" t="n">
        <x:f>ROUND(H2251*(1-I2251),2)</x:f>
        <x:v>18018000</x:v>
      </x:c>
      <x:c r="N2251" s="4" t="str">
        <x:v>Sales manager</x:v>
      </x:c>
      <x:c r="O2251" s="4" t="str">
        <x:v>BOOK-02250</x:v>
      </x:c>
      <x:c r="P2251" s="9" t="n">
        <x:v>9009000</x:v>
      </x:c>
      <x:c r="Q2251" s="11" t="n">
        <x:v>0</x:v>
      </x:c>
      <x:c r="R2251" s="8" t="n">
        <x:v>45482</x:v>
      </x:c>
      <x:c r="S2251" s="4" t="str">
        <x:v>Retained</x:v>
      </x:c>
      <x:c r="T2251" s="10" t="n">
        <x:v>0.145299</x:v>
      </x:c>
      <x:c r="U2251" s="4" t="str">
        <x:v>Train</x:v>
      </x:c>
    </x:row>
    <x:row r="2252" ht="34" customHeight="1">
      <x:c r="A2252" s="4" t="str">
        <x:v>RS-02251</x:v>
      </x:c>
      <x:c r="B2252" s="8" t="n">
        <x:v>45423</x:v>
      </x:c>
      <x:c r="C2252" s="4" t="str">
        <x:v>PRJ-011</x:v>
      </x:c>
      <x:c r="D2252" s="4" t="str">
        <x:v>Office</x:v>
      </x:c>
      <x:c r="E2252" s="4" t="str">
        <x:v>Reserved</x:v>
      </x:c>
      <x:c r="F2252" s="4" t="str">
        <x:v>CUS-02251</x:v>
      </x:c>
      <x:c r="G2252" s="4" t="str">
        <x:v>UNIT-02251</x:v>
      </x:c>
      <x:c r="H2252" s="9" t="n">
        <x:v>23000000</x:v>
      </x:c>
      <x:c r="I2252" s="10" t="n">
        <x:v>0.05</x:v>
      </x:c>
      <x:c r="J2252" s="11" t="n">
        <x:v>8</x:v>
      </x:c>
      <x:c r="K2252" s="11" t="n">
        <x:v>5</x:v>
      </x:c>
      <x:c r="L2252" s="11" t="n">
        <x:v>1</x:v>
      </x:c>
      <x:c r="M2252" s="9" t="n">
        <x:f>ROUND(H2252*(1-I2252),2)</x:f>
        <x:v>21850000</x:v>
      </x:c>
      <x:c r="N2252" s="4" t="str">
        <x:v>Sales manager</x:v>
      </x:c>
      <x:c r="O2252" s="4"/>
      <x:c r="P2252" s="9" t="n">
        <x:v>0</x:v>
      </x:c>
      <x:c r="Q2252" s="11" t="n">
        <x:v>0</x:v>
      </x:c>
      <x:c r="R2252" s="8" t="n">
        <x:v>45483</x:v>
      </x:c>
      <x:c r="S2252" s="4" t="str">
        <x:v>Retained</x:v>
      </x:c>
      <x:c r="T2252" s="10" t="n">
        <x:v>0.310195</x:v>
      </x:c>
      <x:c r="U2252" s="4" t="str">
        <x:v>Train</x:v>
      </x:c>
    </x:row>
    <x:row r="2253" ht="34" customHeight="1">
      <x:c r="A2253" s="4" t="str">
        <x:v>RS-02252</x:v>
      </x:c>
      <x:c r="B2253" s="8" t="n">
        <x:v>45424</x:v>
      </x:c>
      <x:c r="C2253" s="4" t="str">
        <x:v>PRJ-012</x:v>
      </x:c>
      <x:c r="D2253" s="4" t="str">
        <x:v>Villa</x:v>
      </x:c>
      <x:c r="E2253" s="4" t="str">
        <x:v>Reserved</x:v>
      </x:c>
      <x:c r="F2253" s="4" t="str">
        <x:v>CUS-02252</x:v>
      </x:c>
      <x:c r="G2253" s="4" t="str">
        <x:v>UNIT-02252</x:v>
      </x:c>
      <x:c r="H2253" s="9" t="n">
        <x:v>9900000</x:v>
      </x:c>
      <x:c r="I2253" s="10" t="n">
        <x:v>0.05</x:v>
      </x:c>
      <x:c r="J2253" s="11" t="n">
        <x:v>6</x:v>
      </x:c>
      <x:c r="K2253" s="11" t="n">
        <x:v>2</x:v>
      </x:c>
      <x:c r="L2253" s="11" t="n">
        <x:v>0</x:v>
      </x:c>
      <x:c r="M2253" s="9" t="n">
        <x:f>ROUND(H2253*(1-I2253),2)</x:f>
        <x:v>9405000</x:v>
      </x:c>
      <x:c r="N2253" s="4" t="str">
        <x:v>Sales manager</x:v>
      </x:c>
      <x:c r="O2253" s="4"/>
      <x:c r="P2253" s="9" t="n">
        <x:v>0</x:v>
      </x:c>
      <x:c r="Q2253" s="11" t="n">
        <x:v>0</x:v>
      </x:c>
      <x:c r="R2253" s="8" t="n">
        <x:v>45484</x:v>
      </x:c>
      <x:c r="S2253" s="4" t="str">
        <x:v>Retained</x:v>
      </x:c>
      <x:c r="T2253" s="10" t="n">
        <x:v>0.226277</x:v>
      </x:c>
      <x:c r="U2253" s="4" t="str">
        <x:v>Train</x:v>
      </x:c>
    </x:row>
    <x:row r="2254" ht="34" customHeight="1">
      <x:c r="A2254" s="4" t="str">
        <x:v>RS-02253</x:v>
      </x:c>
      <x:c r="B2254" s="8" t="n">
        <x:v>45425</x:v>
      </x:c>
      <x:c r="C2254" s="4" t="str">
        <x:v>PRJ-013</x:v>
      </x:c>
      <x:c r="D2254" s="4" t="str">
        <x:v>Apartment</x:v>
      </x:c>
      <x:c r="E2254" s="4" t="str">
        <x:v>Enquiry</x:v>
      </x:c>
      <x:c r="F2254" s="4" t="str">
        <x:v>CUS-02253</x:v>
      </x:c>
      <x:c r="G2254" s="4" t="str">
        <x:v>UNIT-02253</x:v>
      </x:c>
      <x:c r="H2254" s="9" t="n">
        <x:v>9400000</x:v>
      </x:c>
      <x:c r="I2254" s="10" t="n">
        <x:v>0.08</x:v>
      </x:c>
      <x:c r="J2254" s="11" t="n">
        <x:v>4</x:v>
      </x:c>
      <x:c r="K2254" s="11" t="n">
        <x:v>6</x:v>
      </x:c>
      <x:c r="L2254" s="11" t="n">
        <x:v>1</x:v>
      </x:c>
      <x:c r="M2254" s="9" t="n">
        <x:f>ROUND(H2254*(1-I2254),2)</x:f>
        <x:v>8648000</x:v>
      </x:c>
      <x:c r="N2254" s="4" t="str">
        <x:v>Sales head</x:v>
      </x:c>
      <x:c r="O2254" s="4"/>
      <x:c r="P2254" s="9" t="n">
        <x:v>0</x:v>
      </x:c>
      <x:c r="Q2254" s="11" t="n">
        <x:v>1</x:v>
      </x:c>
      <x:c r="R2254" s="8" t="n">
        <x:v>45485</x:v>
      </x:c>
      <x:c r="S2254" s="4" t="str">
        <x:v>Lost / cancelled</x:v>
      </x:c>
      <x:c r="T2254" s="10" t="n">
        <x:v>0.291946</x:v>
      </x:c>
      <x:c r="U2254" s="4" t="str">
        <x:v>Train</x:v>
      </x:c>
    </x:row>
    <x:row r="2255" ht="34" customHeight="1">
      <x:c r="A2255" s="4" t="str">
        <x:v>RS-02254</x:v>
      </x:c>
      <x:c r="B2255" s="8" t="n">
        <x:v>45426</x:v>
      </x:c>
      <x:c r="C2255" s="4" t="str">
        <x:v>PRJ-014</x:v>
      </x:c>
      <x:c r="D2255" s="4" t="str">
        <x:v>Villa</x:v>
      </x:c>
      <x:c r="E2255" s="4" t="str">
        <x:v>Enquiry</x:v>
      </x:c>
      <x:c r="F2255" s="4" t="str">
        <x:v>CUS-02254</x:v>
      </x:c>
      <x:c r="G2255" s="4" t="str">
        <x:v>UNIT-02254</x:v>
      </x:c>
      <x:c r="H2255" s="9" t="n">
        <x:v>12800000</x:v>
      </x:c>
      <x:c r="I2255" s="10" t="n">
        <x:v>0.08</x:v>
      </x:c>
      <x:c r="J2255" s="11" t="n">
        <x:v>11</x:v>
      </x:c>
      <x:c r="K2255" s="11" t="n">
        <x:v>7</x:v>
      </x:c>
      <x:c r="L2255" s="11" t="n">
        <x:v>0</x:v>
      </x:c>
      <x:c r="M2255" s="9" t="n">
        <x:f>ROUND(H2255*(1-I2255),2)</x:f>
        <x:v>11776000</x:v>
      </x:c>
      <x:c r="N2255" s="4" t="str">
        <x:v>Sales head</x:v>
      </x:c>
      <x:c r="O2255" s="4"/>
      <x:c r="P2255" s="9" t="n">
        <x:v>0</x:v>
      </x:c>
      <x:c r="Q2255" s="11" t="n">
        <x:v>0</x:v>
      </x:c>
      <x:c r="R2255" s="8" t="n">
        <x:v>45486</x:v>
      </x:c>
      <x:c r="S2255" s="4" t="str">
        <x:v>Retained</x:v>
      </x:c>
      <x:c r="T2255" s="10" t="n">
        <x:v>0.351536</x:v>
      </x:c>
      <x:c r="U2255" s="4" t="str">
        <x:v>Train</x:v>
      </x:c>
    </x:row>
    <x:row r="2256" ht="34" customHeight="1">
      <x:c r="A2256" s="4" t="str">
        <x:v>RS-02255</x:v>
      </x:c>
      <x:c r="B2256" s="8" t="n">
        <x:v>45427</x:v>
      </x:c>
      <x:c r="C2256" s="4" t="str">
        <x:v>PRJ-015</x:v>
      </x:c>
      <x:c r="D2256" s="4" t="str">
        <x:v>Office</x:v>
      </x:c>
      <x:c r="E2256" s="4" t="str">
        <x:v>Agreement signed</x:v>
      </x:c>
      <x:c r="F2256" s="4" t="str">
        <x:v>CUS-02255</x:v>
      </x:c>
      <x:c r="G2256" s="4" t="str">
        <x:v>UNIT-02255</x:v>
      </x:c>
      <x:c r="H2256" s="9" t="n">
        <x:v>10400000</x:v>
      </x:c>
      <x:c r="I2256" s="10" t="n">
        <x:v>0.02</x:v>
      </x:c>
      <x:c r="J2256" s="11" t="n">
        <x:v>5</x:v>
      </x:c>
      <x:c r="K2256" s="11" t="n">
        <x:v>1</x:v>
      </x:c>
      <x:c r="L2256" s="11" t="n">
        <x:v>0</x:v>
      </x:c>
      <x:c r="M2256" s="9" t="n">
        <x:f>ROUND(H2256*(1-I2256),2)</x:f>
        <x:v>10192000</x:v>
      </x:c>
      <x:c r="N2256" s="4" t="str">
        <x:v>Sales manager</x:v>
      </x:c>
      <x:c r="O2256" s="4" t="str">
        <x:v>BOOK-02255</x:v>
      </x:c>
      <x:c r="P2256" s="9" t="n">
        <x:v>2548000</x:v>
      </x:c>
      <x:c r="Q2256" s="11" t="n">
        <x:v>0</x:v>
      </x:c>
      <x:c r="R2256" s="8" t="n">
        <x:v>45487</x:v>
      </x:c>
      <x:c r="S2256" s="4" t="str">
        <x:v>Retained</x:v>
      </x:c>
      <x:c r="T2256" s="10" t="n">
        <x:v>0.298969</x:v>
      </x:c>
      <x:c r="U2256" s="4" t="str">
        <x:v>Train</x:v>
      </x:c>
    </x:row>
    <x:row r="2257" ht="34" customHeight="1">
      <x:c r="A2257" s="4" t="str">
        <x:v>RS-02256</x:v>
      </x:c>
      <x:c r="B2257" s="8" t="n">
        <x:v>45428</x:v>
      </x:c>
      <x:c r="C2257" s="4" t="str">
        <x:v>PRJ-016</x:v>
      </x:c>
      <x:c r="D2257" s="4" t="str">
        <x:v>Office</x:v>
      </x:c>
      <x:c r="E2257" s="4" t="str">
        <x:v>Agreement signed</x:v>
      </x:c>
      <x:c r="F2257" s="4" t="str">
        <x:v>CUS-02256</x:v>
      </x:c>
      <x:c r="G2257" s="4" t="str">
        <x:v>UNIT-02256</x:v>
      </x:c>
      <x:c r="H2257" s="9" t="n">
        <x:v>21300000</x:v>
      </x:c>
      <x:c r="I2257" s="10" t="n">
        <x:v>0.1</x:v>
      </x:c>
      <x:c r="J2257" s="11" t="n">
        <x:v>12</x:v>
      </x:c>
      <x:c r="K2257" s="11" t="n">
        <x:v>3</x:v>
      </x:c>
      <x:c r="L2257" s="11" t="n">
        <x:v>0</x:v>
      </x:c>
      <x:c r="M2257" s="9" t="n">
        <x:f>ROUND(H2257*(1-I2257),2)</x:f>
        <x:v>19170000</x:v>
      </x:c>
      <x:c r="N2257" s="4" t="str">
        <x:v>Sales head</x:v>
      </x:c>
      <x:c r="O2257" s="4" t="str">
        <x:v>BOOK-02256</x:v>
      </x:c>
      <x:c r="P2257" s="9" t="n">
        <x:v>9585000</x:v>
      </x:c>
      <x:c r="Q2257" s="11" t="n">
        <x:v>0</x:v>
      </x:c>
      <x:c r="R2257" s="8" t="n">
        <x:v>45488</x:v>
      </x:c>
      <x:c r="S2257" s="4" t="str">
        <x:v>Retained</x:v>
      </x:c>
      <x:c r="T2257" s="10" t="n">
        <x:v>0.351536</x:v>
      </x:c>
      <x:c r="U2257" s="4" t="str">
        <x:v>Train</x:v>
      </x:c>
    </x:row>
    <x:row r="2258" ht="34" customHeight="1">
      <x:c r="A2258" s="4" t="str">
        <x:v>RS-02257</x:v>
      </x:c>
      <x:c r="B2258" s="8" t="n">
        <x:v>45429</x:v>
      </x:c>
      <x:c r="C2258" s="4" t="str">
        <x:v>PRJ-017</x:v>
      </x:c>
      <x:c r="D2258" s="4" t="str">
        <x:v>Retail</x:v>
      </x:c>
      <x:c r="E2258" s="4" t="str">
        <x:v>Booked</x:v>
      </x:c>
      <x:c r="F2258" s="4" t="str">
        <x:v>CUS-02257</x:v>
      </x:c>
      <x:c r="G2258" s="4" t="str">
        <x:v>UNIT-02257</x:v>
      </x:c>
      <x:c r="H2258" s="9" t="n">
        <x:v>15200000</x:v>
      </x:c>
      <x:c r="I2258" s="10" t="n">
        <x:v>0.12</x:v>
      </x:c>
      <x:c r="J2258" s="11" t="n">
        <x:v>11</x:v>
      </x:c>
      <x:c r="K2258" s="11" t="n">
        <x:v>9</x:v>
      </x:c>
      <x:c r="L2258" s="11" t="n">
        <x:v>0</x:v>
      </x:c>
      <x:c r="M2258" s="9" t="n">
        <x:f>ROUND(H2258*(1-I2258),2)</x:f>
        <x:v>13376000</x:v>
      </x:c>
      <x:c r="N2258" s="4" t="str">
        <x:v>Sales head</x:v>
      </x:c>
      <x:c r="O2258" s="4" t="str">
        <x:v>BOOK-02257</x:v>
      </x:c>
      <x:c r="P2258" s="9" t="n">
        <x:v>6688000</x:v>
      </x:c>
      <x:c r="Q2258" s="11" t="n">
        <x:v>0</x:v>
      </x:c>
      <x:c r="R2258" s="8" t="n">
        <x:v>45489</x:v>
      </x:c>
      <x:c r="S2258" s="4" t="str">
        <x:v>Retained</x:v>
      </x:c>
      <x:c r="T2258" s="10" t="n">
        <x:v>0.351536</x:v>
      </x:c>
      <x:c r="U2258" s="4" t="str">
        <x:v>Train</x:v>
      </x:c>
    </x:row>
    <x:row r="2259" ht="34" customHeight="1">
      <x:c r="A2259" s="4" t="str">
        <x:v>RS-02258</x:v>
      </x:c>
      <x:c r="B2259" s="8" t="n">
        <x:v>45430</x:v>
      </x:c>
      <x:c r="C2259" s="4" t="str">
        <x:v>PRJ-018</x:v>
      </x:c>
      <x:c r="D2259" s="4" t="str">
        <x:v>Villa</x:v>
      </x:c>
      <x:c r="E2259" s="4" t="str">
        <x:v>Booked</x:v>
      </x:c>
      <x:c r="F2259" s="4" t="str">
        <x:v>CUS-02258</x:v>
      </x:c>
      <x:c r="G2259" s="4" t="str">
        <x:v>UNIT-02258</x:v>
      </x:c>
      <x:c r="H2259" s="9" t="n">
        <x:v>7700000</x:v>
      </x:c>
      <x:c r="I2259" s="10" t="n">
        <x:v>0.01</x:v>
      </x:c>
      <x:c r="J2259" s="11" t="n">
        <x:v>1</x:v>
      </x:c>
      <x:c r="K2259" s="11" t="n">
        <x:v>2</x:v>
      </x:c>
      <x:c r="L2259" s="11" t="n">
        <x:v>1</x:v>
      </x:c>
      <x:c r="M2259" s="9" t="n">
        <x:f>ROUND(H2259*(1-I2259),2)</x:f>
        <x:v>7623000</x:v>
      </x:c>
      <x:c r="N2259" s="4" t="str">
        <x:v>Sales manager</x:v>
      </x:c>
      <x:c r="O2259" s="4" t="str">
        <x:v>BOOK-02258</x:v>
      </x:c>
      <x:c r="P2259" s="9" t="n">
        <x:v>3811500</x:v>
      </x:c>
      <x:c r="Q2259" s="11" t="n">
        <x:v>0</x:v>
      </x:c>
      <x:c r="R2259" s="8" t="n">
        <x:v>45490</x:v>
      </x:c>
      <x:c r="S2259" s="4" t="str">
        <x:v>Retained</x:v>
      </x:c>
      <x:c r="T2259" s="10" t="n">
        <x:v>0.072165</x:v>
      </x:c>
      <x:c r="U2259" s="4" t="str">
        <x:v>Train</x:v>
      </x:c>
    </x:row>
    <x:row r="2260" ht="34" customHeight="1">
      <x:c r="A2260" s="4" t="str">
        <x:v>RS-02259</x:v>
      </x:c>
      <x:c r="B2260" s="8" t="n">
        <x:v>45431</x:v>
      </x:c>
      <x:c r="C2260" s="4" t="str">
        <x:v>PRJ-019</x:v>
      </x:c>
      <x:c r="D2260" s="4" t="str">
        <x:v>Apartment</x:v>
      </x:c>
      <x:c r="E2260" s="4" t="str">
        <x:v>Booked</x:v>
      </x:c>
      <x:c r="F2260" s="4" t="str">
        <x:v>CUS-02259</x:v>
      </x:c>
      <x:c r="G2260" s="4" t="str">
        <x:v>UNIT-02259</x:v>
      </x:c>
      <x:c r="H2260" s="9" t="n">
        <x:v>19400000</x:v>
      </x:c>
      <x:c r="I2260" s="10" t="n">
        <x:v>0.04</x:v>
      </x:c>
      <x:c r="J2260" s="11" t="n">
        <x:v>6</x:v>
      </x:c>
      <x:c r="K2260" s="11" t="n">
        <x:v>7</x:v>
      </x:c>
      <x:c r="L2260" s="11" t="n">
        <x:v>1</x:v>
      </x:c>
      <x:c r="M2260" s="9" t="n">
        <x:f>ROUND(H2260*(1-I2260),2)</x:f>
        <x:v>18624000</x:v>
      </x:c>
      <x:c r="N2260" s="4" t="str">
        <x:v>Sales manager</x:v>
      </x:c>
      <x:c r="O2260" s="4" t="str">
        <x:v>BOOK-02259</x:v>
      </x:c>
      <x:c r="P2260" s="9" t="n">
        <x:v>1862400</x:v>
      </x:c>
      <x:c r="Q2260" s="11" t="n">
        <x:v>0</x:v>
      </x:c>
      <x:c r="R2260" s="8" t="n">
        <x:v>45491</x:v>
      </x:c>
      <x:c r="S2260" s="4" t="str">
        <x:v>Retained</x:v>
      </x:c>
      <x:c r="T2260" s="10" t="n">
        <x:v>0.291946</x:v>
      </x:c>
      <x:c r="U2260" s="4" t="str">
        <x:v>Train</x:v>
      </x:c>
    </x:row>
    <x:row r="2261" ht="34" customHeight="1">
      <x:c r="A2261" s="4" t="str">
        <x:v>RS-02260</x:v>
      </x:c>
      <x:c r="B2261" s="8" t="n">
        <x:v>45432</x:v>
      </x:c>
      <x:c r="C2261" s="4" t="str">
        <x:v>PRJ-020</x:v>
      </x:c>
      <x:c r="D2261" s="4" t="str">
        <x:v>Office</x:v>
      </x:c>
      <x:c r="E2261" s="4" t="str">
        <x:v>Reserved</x:v>
      </x:c>
      <x:c r="F2261" s="4" t="str">
        <x:v>CUS-02260</x:v>
      </x:c>
      <x:c r="G2261" s="4" t="str">
        <x:v>UNIT-02260</x:v>
      </x:c>
      <x:c r="H2261" s="9" t="n">
        <x:v>23900000</x:v>
      </x:c>
      <x:c r="I2261" s="10" t="n">
        <x:v>0.01</x:v>
      </x:c>
      <x:c r="J2261" s="11" t="n">
        <x:v>10</x:v>
      </x:c>
      <x:c r="K2261" s="11" t="n">
        <x:v>1</x:v>
      </x:c>
      <x:c r="L2261" s="11" t="n">
        <x:v>1</x:v>
      </x:c>
      <x:c r="M2261" s="9" t="n">
        <x:f>ROUND(H2261*(1-I2261),2)</x:f>
        <x:v>23661000</x:v>
      </x:c>
      <x:c r="N2261" s="4" t="str">
        <x:v>Sales manager</x:v>
      </x:c>
      <x:c r="O2261" s="4"/>
      <x:c r="P2261" s="9" t="n">
        <x:v>0</x:v>
      </x:c>
      <x:c r="Q2261" s="11" t="n">
        <x:v>0</x:v>
      </x:c>
      <x:c r="R2261" s="8" t="n">
        <x:v>45492</x:v>
      </x:c>
      <x:c r="S2261" s="4" t="str">
        <x:v>Retained</x:v>
      </x:c>
      <x:c r="T2261" s="10" t="n">
        <x:v>0.254545</x:v>
      </x:c>
      <x:c r="U2261" s="4" t="str">
        <x:v>Train</x:v>
      </x:c>
    </x:row>
    <x:row r="2262" ht="34" customHeight="1">
      <x:c r="A2262" s="4" t="str">
        <x:v>RS-02261</x:v>
      </x:c>
      <x:c r="B2262" s="8" t="n">
        <x:v>45433</x:v>
      </x:c>
      <x:c r="C2262" s="4" t="str">
        <x:v>PRJ-001</x:v>
      </x:c>
      <x:c r="D2262" s="4" t="str">
        <x:v>Retail</x:v>
      </x:c>
      <x:c r="E2262" s="4" t="str">
        <x:v>Agreement signed</x:v>
      </x:c>
      <x:c r="F2262" s="4" t="str">
        <x:v>CUS-02261</x:v>
      </x:c>
      <x:c r="G2262" s="4" t="str">
        <x:v>UNIT-02261</x:v>
      </x:c>
      <x:c r="H2262" s="9" t="n">
        <x:v>5700000</x:v>
      </x:c>
      <x:c r="I2262" s="10" t="n">
        <x:v>0.03</x:v>
      </x:c>
      <x:c r="J2262" s="11" t="n">
        <x:v>9</x:v>
      </x:c>
      <x:c r="K2262" s="11" t="n">
        <x:v>1</x:v>
      </x:c>
      <x:c r="L2262" s="11" t="n">
        <x:v>0</x:v>
      </x:c>
      <x:c r="M2262" s="9" t="n">
        <x:f>ROUND(H2262*(1-I2262),2)</x:f>
        <x:v>5529000</x:v>
      </x:c>
      <x:c r="N2262" s="4" t="str">
        <x:v>Sales manager</x:v>
      </x:c>
      <x:c r="O2262" s="4" t="str">
        <x:v>BOOK-02261</x:v>
      </x:c>
      <x:c r="P2262" s="9" t="n">
        <x:v>2764500</x:v>
      </x:c>
      <x:c r="Q2262" s="11" t="n">
        <x:v>0</x:v>
      </x:c>
      <x:c r="R2262" s="8" t="n">
        <x:v>45493</x:v>
      </x:c>
      <x:c r="S2262" s="4" t="str">
        <x:v>Retained</x:v>
      </x:c>
      <x:c r="T2262" s="10" t="n">
        <x:v>0.310195</x:v>
      </x:c>
      <x:c r="U2262" s="4" t="str">
        <x:v>Train</x:v>
      </x:c>
    </x:row>
    <x:row r="2263" ht="34" customHeight="1">
      <x:c r="A2263" s="4" t="str">
        <x:v>RS-02262</x:v>
      </x:c>
      <x:c r="B2263" s="8" t="n">
        <x:v>45434</x:v>
      </x:c>
      <x:c r="C2263" s="4" t="str">
        <x:v>PRJ-002</x:v>
      </x:c>
      <x:c r="D2263" s="4" t="str">
        <x:v>Villa</x:v>
      </x:c>
      <x:c r="E2263" s="4" t="str">
        <x:v>Handed over</x:v>
      </x:c>
      <x:c r="F2263" s="4" t="str">
        <x:v>CUS-02262</x:v>
      </x:c>
      <x:c r="G2263" s="4" t="str">
        <x:v>UNIT-02262</x:v>
      </x:c>
      <x:c r="H2263" s="9" t="n">
        <x:v>6100000</x:v>
      </x:c>
      <x:c r="I2263" s="10" t="n">
        <x:v>0.1</x:v>
      </x:c>
      <x:c r="J2263" s="11" t="n">
        <x:v>7</x:v>
      </x:c>
      <x:c r="K2263" s="11" t="n">
        <x:v>5</x:v>
      </x:c>
      <x:c r="L2263" s="11" t="n">
        <x:v>1</x:v>
      </x:c>
      <x:c r="M2263" s="9" t="n">
        <x:f>ROUND(H2263*(1-I2263),2)</x:f>
        <x:v>5490000</x:v>
      </x:c>
      <x:c r="N2263" s="4" t="str">
        <x:v>Sales head</x:v>
      </x:c>
      <x:c r="O2263" s="4" t="str">
        <x:v>BOOK-02262</x:v>
      </x:c>
      <x:c r="P2263" s="9" t="n">
        <x:v>1372500</x:v>
      </x:c>
      <x:c r="Q2263" s="11" t="n">
        <x:v>0</x:v>
      </x:c>
      <x:c r="R2263" s="8" t="n">
        <x:v>45494</x:v>
      </x:c>
      <x:c r="S2263" s="4" t="str">
        <x:v>Retained</x:v>
      </x:c>
      <x:c r="T2263" s="10" t="n">
        <x:v>0.291946</x:v>
      </x:c>
      <x:c r="U2263" s="4" t="str">
        <x:v>Train</x:v>
      </x:c>
    </x:row>
    <x:row r="2264" ht="34" customHeight="1">
      <x:c r="A2264" s="4" t="str">
        <x:v>RS-02263</x:v>
      </x:c>
      <x:c r="B2264" s="8" t="n">
        <x:v>45435</x:v>
      </x:c>
      <x:c r="C2264" s="4" t="str">
        <x:v>PRJ-003</x:v>
      </x:c>
      <x:c r="D2264" s="4" t="str">
        <x:v>Retail</x:v>
      </x:c>
      <x:c r="E2264" s="4" t="str">
        <x:v>Agreement signed</x:v>
      </x:c>
      <x:c r="F2264" s="4" t="str">
        <x:v>CUS-02263</x:v>
      </x:c>
      <x:c r="G2264" s="4" t="str">
        <x:v>UNIT-02263</x:v>
      </x:c>
      <x:c r="H2264" s="9" t="n">
        <x:v>9900000</x:v>
      </x:c>
      <x:c r="I2264" s="10" t="n">
        <x:v>0.11</x:v>
      </x:c>
      <x:c r="J2264" s="11" t="n">
        <x:v>6</x:v>
      </x:c>
      <x:c r="K2264" s="11" t="n">
        <x:v>0</x:v>
      </x:c>
      <x:c r="L2264" s="11" t="n">
        <x:v>0</x:v>
      </x:c>
      <x:c r="M2264" s="9" t="n">
        <x:f>ROUND(H2264*(1-I2264),2)</x:f>
        <x:v>8811000</x:v>
      </x:c>
      <x:c r="N2264" s="4" t="str">
        <x:v>Sales head</x:v>
      </x:c>
      <x:c r="O2264" s="4" t="str">
        <x:v>BOOK-02263</x:v>
      </x:c>
      <x:c r="P2264" s="9" t="n">
        <x:v>881100</x:v>
      </x:c>
      <x:c r="Q2264" s="11" t="n">
        <x:v>0</x:v>
      </x:c>
      <x:c r="R2264" s="8" t="n">
        <x:v>45495</x:v>
      </x:c>
      <x:c r="S2264" s="4" t="str">
        <x:v>Retained</x:v>
      </x:c>
      <x:c r="T2264" s="10" t="n">
        <x:v>0.226277</x:v>
      </x:c>
      <x:c r="U2264" s="4" t="str">
        <x:v>Train</x:v>
      </x:c>
    </x:row>
    <x:row r="2265" ht="34" customHeight="1">
      <x:c r="A2265" s="4" t="str">
        <x:v>RS-02264</x:v>
      </x:c>
      <x:c r="B2265" s="8" t="n">
        <x:v>45436</x:v>
      </x:c>
      <x:c r="C2265" s="4" t="str">
        <x:v>PRJ-004</x:v>
      </x:c>
      <x:c r="D2265" s="4" t="str">
        <x:v>Retail</x:v>
      </x:c>
      <x:c r="E2265" s="4" t="str">
        <x:v>Handed over</x:v>
      </x:c>
      <x:c r="F2265" s="4" t="str">
        <x:v>CUS-02264</x:v>
      </x:c>
      <x:c r="G2265" s="4" t="str">
        <x:v>UNIT-02264</x:v>
      </x:c>
      <x:c r="H2265" s="9" t="n">
        <x:v>9500000</x:v>
      </x:c>
      <x:c r="I2265" s="10" t="n">
        <x:v>0.01</x:v>
      </x:c>
      <x:c r="J2265" s="11" t="n">
        <x:v>9</x:v>
      </x:c>
      <x:c r="K2265" s="11" t="n">
        <x:v>3</x:v>
      </x:c>
      <x:c r="L2265" s="11" t="n">
        <x:v>1</x:v>
      </x:c>
      <x:c r="M2265" s="9" t="n">
        <x:f>ROUND(H2265*(1-I2265),2)</x:f>
        <x:v>9405000</x:v>
      </x:c>
      <x:c r="N2265" s="4" t="str">
        <x:v>Sales manager</x:v>
      </x:c>
      <x:c r="O2265" s="4" t="str">
        <x:v>BOOK-02264</x:v>
      </x:c>
      <x:c r="P2265" s="9" t="n">
        <x:v>940500</x:v>
      </x:c>
      <x:c r="Q2265" s="11" t="n">
        <x:v>0</x:v>
      </x:c>
      <x:c r="R2265" s="8" t="n">
        <x:v>45496</x:v>
      </x:c>
      <x:c r="S2265" s="4" t="str">
        <x:v>Retained</x:v>
      </x:c>
      <x:c r="T2265" s="10" t="n">
        <x:v>0.254545</x:v>
      </x:c>
      <x:c r="U2265" s="4" t="str">
        <x:v>Train</x:v>
      </x:c>
    </x:row>
    <x:row r="2266" ht="34" customHeight="1">
      <x:c r="A2266" s="4" t="str">
        <x:v>RS-02265</x:v>
      </x:c>
      <x:c r="B2266" s="8" t="n">
        <x:v>45437</x:v>
      </x:c>
      <x:c r="C2266" s="4" t="str">
        <x:v>PRJ-005</x:v>
      </x:c>
      <x:c r="D2266" s="4" t="str">
        <x:v>Villa</x:v>
      </x:c>
      <x:c r="E2266" s="4" t="str">
        <x:v>Handed over</x:v>
      </x:c>
      <x:c r="F2266" s="4" t="str">
        <x:v>CUS-02265</x:v>
      </x:c>
      <x:c r="G2266" s="4" t="str">
        <x:v>UNIT-02265</x:v>
      </x:c>
      <x:c r="H2266" s="9" t="n">
        <x:v>22900000</x:v>
      </x:c>
      <x:c r="I2266" s="10" t="n">
        <x:v>0.1</x:v>
      </x:c>
      <x:c r="J2266" s="11" t="n">
        <x:v>2</x:v>
      </x:c>
      <x:c r="K2266" s="11" t="n">
        <x:v>4</x:v>
      </x:c>
      <x:c r="L2266" s="11" t="n">
        <x:v>1</x:v>
      </x:c>
      <x:c r="M2266" s="9" t="n">
        <x:f>ROUND(H2266*(1-I2266),2)</x:f>
        <x:v>20610000</x:v>
      </x:c>
      <x:c r="N2266" s="4" t="str">
        <x:v>Sales head</x:v>
      </x:c>
      <x:c r="O2266" s="4" t="str">
        <x:v>BOOK-02265</x:v>
      </x:c>
      <x:c r="P2266" s="9" t="n">
        <x:v>2061000</x:v>
      </x:c>
      <x:c r="Q2266" s="11" t="n">
        <x:v>0</x:v>
      </x:c>
      <x:c r="R2266" s="8" t="n">
        <x:v>45497</x:v>
      </x:c>
      <x:c r="S2266" s="4" t="str">
        <x:v>Retained</x:v>
      </x:c>
      <x:c r="T2266" s="10" t="n">
        <x:v>0.145833</x:v>
      </x:c>
      <x:c r="U2266" s="4" t="str">
        <x:v>Train</x:v>
      </x:c>
    </x:row>
    <x:row r="2267" ht="34" customHeight="1">
      <x:c r="A2267" s="4" t="str">
        <x:v>RS-02266</x:v>
      </x:c>
      <x:c r="B2267" s="8" t="n">
        <x:v>45438</x:v>
      </x:c>
      <x:c r="C2267" s="4" t="str">
        <x:v>PRJ-006</x:v>
      </x:c>
      <x:c r="D2267" s="4" t="str">
        <x:v>Villa</x:v>
      </x:c>
      <x:c r="E2267" s="4" t="str">
        <x:v>Cancelled</x:v>
      </x:c>
      <x:c r="F2267" s="4" t="str">
        <x:v>CUS-02266</x:v>
      </x:c>
      <x:c r="G2267" s="4" t="str">
        <x:v>UNIT-02266</x:v>
      </x:c>
      <x:c r="H2267" s="9" t="n">
        <x:v>16500000</x:v>
      </x:c>
      <x:c r="I2267" s="10" t="n">
        <x:v>0.09</x:v>
      </x:c>
      <x:c r="J2267" s="11" t="n">
        <x:v>10</x:v>
      </x:c>
      <x:c r="K2267" s="11" t="n">
        <x:v>9</x:v>
      </x:c>
      <x:c r="L2267" s="11" t="n">
        <x:v>0</x:v>
      </x:c>
      <x:c r="M2267" s="9" t="n">
        <x:f>ROUND(H2267*(1-I2267),2)</x:f>
        <x:v>15015000</x:v>
      </x:c>
      <x:c r="N2267" s="4" t="str">
        <x:v>Sales head</x:v>
      </x:c>
      <x:c r="O2267" s="4"/>
      <x:c r="P2267" s="9" t="n">
        <x:v>0</x:v>
      </x:c>
      <x:c r="Q2267" s="11" t="n">
        <x:v>1</x:v>
      </x:c>
      <x:c r="R2267" s="8" t="n">
        <x:v>45498</x:v>
      </x:c>
      <x:c r="S2267" s="4" t="str">
        <x:v>Lost / cancelled</x:v>
      </x:c>
      <x:c r="T2267" s="10" t="n">
        <x:v>0.310195</x:v>
      </x:c>
      <x:c r="U2267" s="4" t="str">
        <x:v>Train</x:v>
      </x:c>
    </x:row>
    <x:row r="2268" ht="34" customHeight="1">
      <x:c r="A2268" s="4" t="str">
        <x:v>RS-02267</x:v>
      </x:c>
      <x:c r="B2268" s="8" t="n">
        <x:v>45439</x:v>
      </x:c>
      <x:c r="C2268" s="4" t="str">
        <x:v>PRJ-007</x:v>
      </x:c>
      <x:c r="D2268" s="4" t="str">
        <x:v>Villa</x:v>
      </x:c>
      <x:c r="E2268" s="4" t="str">
        <x:v>Booked</x:v>
      </x:c>
      <x:c r="F2268" s="4" t="str">
        <x:v>CUS-02267</x:v>
      </x:c>
      <x:c r="G2268" s="4" t="str">
        <x:v>UNIT-02267</x:v>
      </x:c>
      <x:c r="H2268" s="9" t="n">
        <x:v>21300000</x:v>
      </x:c>
      <x:c r="I2268" s="10" t="n">
        <x:v>0.06</x:v>
      </x:c>
      <x:c r="J2268" s="11" t="n">
        <x:v>10</x:v>
      </x:c>
      <x:c r="K2268" s="11" t="n">
        <x:v>8</x:v>
      </x:c>
      <x:c r="L2268" s="11" t="n">
        <x:v>1</x:v>
      </x:c>
      <x:c r="M2268" s="9" t="n">
        <x:f>ROUND(H2268*(1-I2268),2)</x:f>
        <x:v>20022000</x:v>
      </x:c>
      <x:c r="N2268" s="4" t="str">
        <x:v>Sales manager</x:v>
      </x:c>
      <x:c r="O2268" s="4" t="str">
        <x:v>BOOK-02267</x:v>
      </x:c>
      <x:c r="P2268" s="9" t="n">
        <x:v>2002200</x:v>
      </x:c>
      <x:c r="Q2268" s="11" t="n">
        <x:v>0</x:v>
      </x:c>
      <x:c r="R2268" s="8" t="n">
        <x:v>45499</x:v>
      </x:c>
      <x:c r="S2268" s="4" t="str">
        <x:v>Retained</x:v>
      </x:c>
      <x:c r="T2268" s="10" t="n">
        <x:v>0.310195</x:v>
      </x:c>
      <x:c r="U2268" s="4" t="str">
        <x:v>Train</x:v>
      </x:c>
    </x:row>
    <x:row r="2269" ht="34" customHeight="1">
      <x:c r="A2269" s="4" t="str">
        <x:v>RS-02268</x:v>
      </x:c>
      <x:c r="B2269" s="8" t="n">
        <x:v>45440</x:v>
      </x:c>
      <x:c r="C2269" s="4" t="str">
        <x:v>PRJ-008</x:v>
      </x:c>
      <x:c r="D2269" s="4" t="str">
        <x:v>Retail</x:v>
      </x:c>
      <x:c r="E2269" s="4" t="str">
        <x:v>Cancelled</x:v>
      </x:c>
      <x:c r="F2269" s="4" t="str">
        <x:v>CUS-02268</x:v>
      </x:c>
      <x:c r="G2269" s="4" t="str">
        <x:v>UNIT-02268</x:v>
      </x:c>
      <x:c r="H2269" s="9" t="n">
        <x:v>4800000</x:v>
      </x:c>
      <x:c r="I2269" s="10" t="n">
        <x:v>0.05</x:v>
      </x:c>
      <x:c r="J2269" s="11" t="n">
        <x:v>9</x:v>
      </x:c>
      <x:c r="K2269" s="11" t="n">
        <x:v>3</x:v>
      </x:c>
      <x:c r="L2269" s="11" t="n">
        <x:v>1</x:v>
      </x:c>
      <x:c r="M2269" s="9" t="n">
        <x:f>ROUND(H2269*(1-I2269),2)</x:f>
        <x:v>4560000</x:v>
      </x:c>
      <x:c r="N2269" s="4" t="str">
        <x:v>Sales manager</x:v>
      </x:c>
      <x:c r="O2269" s="4"/>
      <x:c r="P2269" s="9" t="n">
        <x:v>0</x:v>
      </x:c>
      <x:c r="Q2269" s="11" t="n">
        <x:v>1</x:v>
      </x:c>
      <x:c r="R2269" s="8" t="n">
        <x:v>45500</x:v>
      </x:c>
      <x:c r="S2269" s="4" t="str">
        <x:v>Lost / cancelled</x:v>
      </x:c>
      <x:c r="T2269" s="10" t="n">
        <x:v>0.310195</x:v>
      </x:c>
      <x:c r="U2269" s="4" t="str">
        <x:v>Train</x:v>
      </x:c>
    </x:row>
    <x:row r="2270" ht="34" customHeight="1">
      <x:c r="A2270" s="4" t="str">
        <x:v>RS-02269</x:v>
      </x:c>
      <x:c r="B2270" s="8" t="n">
        <x:v>45413</x:v>
      </x:c>
      <x:c r="C2270" s="4" t="str">
        <x:v>PRJ-009</x:v>
      </x:c>
      <x:c r="D2270" s="4" t="str">
        <x:v>Villa</x:v>
      </x:c>
      <x:c r="E2270" s="4" t="str">
        <x:v>Cancelled</x:v>
      </x:c>
      <x:c r="F2270" s="4" t="str">
        <x:v>CUS-02269</x:v>
      </x:c>
      <x:c r="G2270" s="4" t="str">
        <x:v>UNIT-02269</x:v>
      </x:c>
      <x:c r="H2270" s="9" t="n">
        <x:v>9200000</x:v>
      </x:c>
      <x:c r="I2270" s="10" t="n">
        <x:v>0.04</x:v>
      </x:c>
      <x:c r="J2270" s="11" t="n">
        <x:v>5</x:v>
      </x:c>
      <x:c r="K2270" s="11" t="n">
        <x:v>6</x:v>
      </x:c>
      <x:c r="L2270" s="11" t="n">
        <x:v>0</x:v>
      </x:c>
      <x:c r="M2270" s="9" t="n">
        <x:f>ROUND(H2270*(1-I2270),2)</x:f>
        <x:v>8832000</x:v>
      </x:c>
      <x:c r="N2270" s="4" t="str">
        <x:v>Sales manager</x:v>
      </x:c>
      <x:c r="O2270" s="4"/>
      <x:c r="P2270" s="9" t="n">
        <x:v>0</x:v>
      </x:c>
      <x:c r="Q2270" s="11" t="n">
        <x:v>1</x:v>
      </x:c>
      <x:c r="R2270" s="8" t="n">
        <x:v>45473</x:v>
      </x:c>
      <x:c r="S2270" s="4" t="str">
        <x:v>Lost / cancelled</x:v>
      </x:c>
      <x:c r="T2270" s="10" t="n">
        <x:v>0.226277</x:v>
      </x:c>
      <x:c r="U2270" s="4" t="str">
        <x:v>Train</x:v>
      </x:c>
    </x:row>
    <x:row r="2271" ht="34" customHeight="1">
      <x:c r="A2271" s="4" t="str">
        <x:v>RS-02270</x:v>
      </x:c>
      <x:c r="B2271" s="8" t="n">
        <x:v>45414</x:v>
      </x:c>
      <x:c r="C2271" s="4" t="str">
        <x:v>PRJ-010</x:v>
      </x:c>
      <x:c r="D2271" s="4" t="str">
        <x:v>Apartment</x:v>
      </x:c>
      <x:c r="E2271" s="4" t="str">
        <x:v>Booked</x:v>
      </x:c>
      <x:c r="F2271" s="4" t="str">
        <x:v>CUS-02270</x:v>
      </x:c>
      <x:c r="G2271" s="4" t="str">
        <x:v>UNIT-02270</x:v>
      </x:c>
      <x:c r="H2271" s="9" t="n">
        <x:v>21700000</x:v>
      </x:c>
      <x:c r="I2271" s="10" t="n">
        <x:v>0.02</x:v>
      </x:c>
      <x:c r="J2271" s="11" t="n">
        <x:v>12</x:v>
      </x:c>
      <x:c r="K2271" s="11" t="n">
        <x:v>2</x:v>
      </x:c>
      <x:c r="L2271" s="11" t="n">
        <x:v>1</x:v>
      </x:c>
      <x:c r="M2271" s="9" t="n">
        <x:f>ROUND(H2271*(1-I2271),2)</x:f>
        <x:v>21266000</x:v>
      </x:c>
      <x:c r="N2271" s="4" t="str">
        <x:v>Sales manager</x:v>
      </x:c>
      <x:c r="O2271" s="4" t="str">
        <x:v>BOOK-02270</x:v>
      </x:c>
      <x:c r="P2271" s="9" t="n">
        <x:v>5316500</x:v>
      </x:c>
      <x:c r="Q2271" s="11" t="n">
        <x:v>0</x:v>
      </x:c>
      <x:c r="R2271" s="8" t="n">
        <x:v>45474</x:v>
      </x:c>
      <x:c r="S2271" s="4" t="str">
        <x:v>Retained</x:v>
      </x:c>
      <x:c r="T2271" s="10" t="n">
        <x:v>0.254545</x:v>
      </x:c>
      <x:c r="U2271" s="4" t="str">
        <x:v>Train</x:v>
      </x:c>
    </x:row>
    <x:row r="2272" ht="34" customHeight="1">
      <x:c r="A2272" s="4" t="str">
        <x:v>RS-02271</x:v>
      </x:c>
      <x:c r="B2272" s="8" t="n">
        <x:v>45415</x:v>
      </x:c>
      <x:c r="C2272" s="4" t="str">
        <x:v>PRJ-011</x:v>
      </x:c>
      <x:c r="D2272" s="4" t="str">
        <x:v>Apartment</x:v>
      </x:c>
      <x:c r="E2272" s="4" t="str">
        <x:v>Agreement signed</x:v>
      </x:c>
      <x:c r="F2272" s="4" t="str">
        <x:v>CUS-02271</x:v>
      </x:c>
      <x:c r="G2272" s="4" t="str">
        <x:v>UNIT-02271</x:v>
      </x:c>
      <x:c r="H2272" s="9" t="n">
        <x:v>9300000</x:v>
      </x:c>
      <x:c r="I2272" s="10" t="n">
        <x:v>0.01</x:v>
      </x:c>
      <x:c r="J2272" s="11" t="n">
        <x:v>6</x:v>
      </x:c>
      <x:c r="K2272" s="11" t="n">
        <x:v>3</x:v>
      </x:c>
      <x:c r="L2272" s="11" t="n">
        <x:v>0</x:v>
      </x:c>
      <x:c r="M2272" s="9" t="n">
        <x:f>ROUND(H2272*(1-I2272),2)</x:f>
        <x:v>9207000</x:v>
      </x:c>
      <x:c r="N2272" s="4" t="str">
        <x:v>Sales manager</x:v>
      </x:c>
      <x:c r="O2272" s="4" t="str">
        <x:v>BOOK-02271</x:v>
      </x:c>
      <x:c r="P2272" s="9" t="n">
        <x:v>9207000</x:v>
      </x:c>
      <x:c r="Q2272" s="11" t="n">
        <x:v>0</x:v>
      </x:c>
      <x:c r="R2272" s="8" t="n">
        <x:v>45475</x:v>
      </x:c>
      <x:c r="S2272" s="4" t="str">
        <x:v>Retained</x:v>
      </x:c>
      <x:c r="T2272" s="10" t="n">
        <x:v>0.298969</x:v>
      </x:c>
      <x:c r="U2272" s="4" t="str">
        <x:v>Train</x:v>
      </x:c>
    </x:row>
    <x:row r="2273" ht="34" customHeight="1">
      <x:c r="A2273" s="4" t="str">
        <x:v>RS-02272</x:v>
      </x:c>
      <x:c r="B2273" s="8" t="n">
        <x:v>45416</x:v>
      </x:c>
      <x:c r="C2273" s="4" t="str">
        <x:v>PRJ-012</x:v>
      </x:c>
      <x:c r="D2273" s="4" t="str">
        <x:v>Villa</x:v>
      </x:c>
      <x:c r="E2273" s="4" t="str">
        <x:v>Handed over</x:v>
      </x:c>
      <x:c r="F2273" s="4" t="str">
        <x:v>CUS-02272</x:v>
      </x:c>
      <x:c r="G2273" s="4" t="str">
        <x:v>UNIT-02272</x:v>
      </x:c>
      <x:c r="H2273" s="9" t="n">
        <x:v>11700000</x:v>
      </x:c>
      <x:c r="I2273" s="10" t="n">
        <x:v>0.05</x:v>
      </x:c>
      <x:c r="J2273" s="11" t="n">
        <x:v>12</x:v>
      </x:c>
      <x:c r="K2273" s="11" t="n">
        <x:v>1</x:v>
      </x:c>
      <x:c r="L2273" s="11" t="n">
        <x:v>0</x:v>
      </x:c>
      <x:c r="M2273" s="9" t="n">
        <x:f>ROUND(H2273*(1-I2273),2)</x:f>
        <x:v>11115000</x:v>
      </x:c>
      <x:c r="N2273" s="4" t="str">
        <x:v>Sales manager</x:v>
      </x:c>
      <x:c r="O2273" s="4" t="str">
        <x:v>BOOK-02272</x:v>
      </x:c>
      <x:c r="P2273" s="9" t="n">
        <x:v>5557500</x:v>
      </x:c>
      <x:c r="Q2273" s="11" t="n">
        <x:v>0</x:v>
      </x:c>
      <x:c r="R2273" s="8" t="n">
        <x:v>45476</x:v>
      </x:c>
      <x:c r="S2273" s="4" t="str">
        <x:v>Retained</x:v>
      </x:c>
      <x:c r="T2273" s="10" t="n">
        <x:v>0.351536</x:v>
      </x:c>
      <x:c r="U2273" s="4" t="str">
        <x:v>Train</x:v>
      </x:c>
    </x:row>
    <x:row r="2274" ht="34" customHeight="1">
      <x:c r="A2274" s="4" t="str">
        <x:v>RS-02273</x:v>
      </x:c>
      <x:c r="B2274" s="8" t="n">
        <x:v>45417</x:v>
      </x:c>
      <x:c r="C2274" s="4" t="str">
        <x:v>PRJ-013</x:v>
      </x:c>
      <x:c r="D2274" s="4" t="str">
        <x:v>Retail</x:v>
      </x:c>
      <x:c r="E2274" s="4" t="str">
        <x:v>Handed over</x:v>
      </x:c>
      <x:c r="F2274" s="4" t="str">
        <x:v>CUS-02273</x:v>
      </x:c>
      <x:c r="G2274" s="4" t="str">
        <x:v>UNIT-02273</x:v>
      </x:c>
      <x:c r="H2274" s="9" t="n">
        <x:v>24200000</x:v>
      </x:c>
      <x:c r="I2274" s="10" t="n">
        <x:v>0.03</x:v>
      </x:c>
      <x:c r="J2274" s="11" t="n">
        <x:v>7</x:v>
      </x:c>
      <x:c r="K2274" s="11" t="n">
        <x:v>9</x:v>
      </x:c>
      <x:c r="L2274" s="11" t="n">
        <x:v>1</x:v>
      </x:c>
      <x:c r="M2274" s="9" t="n">
        <x:f>ROUND(H2274*(1-I2274),2)</x:f>
        <x:v>23474000</x:v>
      </x:c>
      <x:c r="N2274" s="4" t="str">
        <x:v>Sales manager</x:v>
      </x:c>
      <x:c r="O2274" s="4" t="str">
        <x:v>BOOK-02273</x:v>
      </x:c>
      <x:c r="P2274" s="9" t="n">
        <x:v>23474000</x:v>
      </x:c>
      <x:c r="Q2274" s="11" t="n">
        <x:v>0</x:v>
      </x:c>
      <x:c r="R2274" s="8" t="n">
        <x:v>45477</x:v>
      </x:c>
      <x:c r="S2274" s="4" t="str">
        <x:v>Retained</x:v>
      </x:c>
      <x:c r="T2274" s="10" t="n">
        <x:v>0.145299</x:v>
      </x:c>
      <x:c r="U2274" s="4" t="str">
        <x:v>Train</x:v>
      </x:c>
    </x:row>
    <x:row r="2275" ht="34" customHeight="1">
      <x:c r="A2275" s="4" t="str">
        <x:v>RS-02274</x:v>
      </x:c>
      <x:c r="B2275" s="8" t="n">
        <x:v>45418</x:v>
      </x:c>
      <x:c r="C2275" s="4" t="str">
        <x:v>PRJ-014</x:v>
      </x:c>
      <x:c r="D2275" s="4" t="str">
        <x:v>Apartment</x:v>
      </x:c>
      <x:c r="E2275" s="4" t="str">
        <x:v>Cancelled</x:v>
      </x:c>
      <x:c r="F2275" s="4" t="str">
        <x:v>CUS-02274</x:v>
      </x:c>
      <x:c r="G2275" s="4" t="str">
        <x:v>UNIT-02274</x:v>
      </x:c>
      <x:c r="H2275" s="9" t="n">
        <x:v>7100000</x:v>
      </x:c>
      <x:c r="I2275" s="10" t="n">
        <x:v>0.08</x:v>
      </x:c>
      <x:c r="J2275" s="11" t="n">
        <x:v>4</x:v>
      </x:c>
      <x:c r="K2275" s="11" t="n">
        <x:v>3</x:v>
      </x:c>
      <x:c r="L2275" s="11" t="n">
        <x:v>0</x:v>
      </x:c>
      <x:c r="M2275" s="9" t="n">
        <x:f>ROUND(H2275*(1-I2275),2)</x:f>
        <x:v>6532000</x:v>
      </x:c>
      <x:c r="N2275" s="4" t="str">
        <x:v>Sales head</x:v>
      </x:c>
      <x:c r="O2275" s="4"/>
      <x:c r="P2275" s="9" t="n">
        <x:v>0</x:v>
      </x:c>
      <x:c r="Q2275" s="11" t="n">
        <x:v>1</x:v>
      </x:c>
      <x:c r="R2275" s="8" t="n">
        <x:v>45478</x:v>
      </x:c>
      <x:c r="S2275" s="4" t="str">
        <x:v>Lost / cancelled</x:v>
      </x:c>
      <x:c r="T2275" s="10" t="n">
        <x:v>0.226277</x:v>
      </x:c>
      <x:c r="U2275" s="4" t="str">
        <x:v>Train</x:v>
      </x:c>
    </x:row>
    <x:row r="2276" ht="34" customHeight="1">
      <x:c r="A2276" s="4" t="str">
        <x:v>RS-02275</x:v>
      </x:c>
      <x:c r="B2276" s="8" t="n">
        <x:v>45419</x:v>
      </x:c>
      <x:c r="C2276" s="4" t="str">
        <x:v>PRJ-015</x:v>
      </x:c>
      <x:c r="D2276" s="4" t="str">
        <x:v>Villa</x:v>
      </x:c>
      <x:c r="E2276" s="4" t="str">
        <x:v>Booked</x:v>
      </x:c>
      <x:c r="F2276" s="4" t="str">
        <x:v>CUS-02275</x:v>
      </x:c>
      <x:c r="G2276" s="4" t="str">
        <x:v>UNIT-02275</x:v>
      </x:c>
      <x:c r="H2276" s="9" t="n">
        <x:v>5000000</x:v>
      </x:c>
      <x:c r="I2276" s="10" t="n">
        <x:v>0.12</x:v>
      </x:c>
      <x:c r="J2276" s="11" t="n">
        <x:v>1</x:v>
      </x:c>
      <x:c r="K2276" s="11" t="n">
        <x:v>3</x:v>
      </x:c>
      <x:c r="L2276" s="11" t="n">
        <x:v>0</x:v>
      </x:c>
      <x:c r="M2276" s="9" t="n">
        <x:f>ROUND(H2276*(1-I2276),2)</x:f>
        <x:v>4400000</x:v>
      </x:c>
      <x:c r="N2276" s="4" t="str">
        <x:v>Sales head</x:v>
      </x:c>
      <x:c r="O2276" s="4" t="str">
        <x:v>BOOK-02275</x:v>
      </x:c>
      <x:c r="P2276" s="9" t="n">
        <x:v>1100000</x:v>
      </x:c>
      <x:c r="Q2276" s="11" t="n">
        <x:v>0</x:v>
      </x:c>
      <x:c r="R2276" s="8" t="n">
        <x:v>45479</x:v>
      </x:c>
      <x:c r="S2276" s="4" t="str">
        <x:v>Retained</x:v>
      </x:c>
      <x:c r="T2276" s="10" t="n">
        <x:v>0.145833</x:v>
      </x:c>
      <x:c r="U2276" s="4" t="str">
        <x:v>Train</x:v>
      </x:c>
    </x:row>
    <x:row r="2277" ht="34" customHeight="1">
      <x:c r="A2277" s="4" t="str">
        <x:v>RS-02276</x:v>
      </x:c>
      <x:c r="B2277" s="8" t="n">
        <x:v>45420</x:v>
      </x:c>
      <x:c r="C2277" s="4" t="str">
        <x:v>PRJ-016</x:v>
      </x:c>
      <x:c r="D2277" s="4" t="str">
        <x:v>Office</x:v>
      </x:c>
      <x:c r="E2277" s="4" t="str">
        <x:v>Agreement signed</x:v>
      </x:c>
      <x:c r="F2277" s="4" t="str">
        <x:v>CUS-02276</x:v>
      </x:c>
      <x:c r="G2277" s="4" t="str">
        <x:v>UNIT-02276</x:v>
      </x:c>
      <x:c r="H2277" s="9" t="n">
        <x:v>9100000</x:v>
      </x:c>
      <x:c r="I2277" s="10" t="n">
        <x:v>0.03</x:v>
      </x:c>
      <x:c r="J2277" s="11" t="n">
        <x:v>12</x:v>
      </x:c>
      <x:c r="K2277" s="11" t="n">
        <x:v>1</x:v>
      </x:c>
      <x:c r="L2277" s="11" t="n">
        <x:v>0</x:v>
      </x:c>
      <x:c r="M2277" s="9" t="n">
        <x:f>ROUND(H2277*(1-I2277),2)</x:f>
        <x:v>8827000</x:v>
      </x:c>
      <x:c r="N2277" s="4" t="str">
        <x:v>Sales manager</x:v>
      </x:c>
      <x:c r="O2277" s="4" t="str">
        <x:v>BOOK-02276</x:v>
      </x:c>
      <x:c r="P2277" s="9" t="n">
        <x:v>882700</x:v>
      </x:c>
      <x:c r="Q2277" s="11" t="n">
        <x:v>0</x:v>
      </x:c>
      <x:c r="R2277" s="8" t="n">
        <x:v>45480</x:v>
      </x:c>
      <x:c r="S2277" s="4" t="str">
        <x:v>Retained</x:v>
      </x:c>
      <x:c r="T2277" s="10" t="n">
        <x:v>0.351536</x:v>
      </x:c>
      <x:c r="U2277" s="4" t="str">
        <x:v>Train</x:v>
      </x:c>
    </x:row>
    <x:row r="2278" ht="34" customHeight="1">
      <x:c r="A2278" s="4" t="str">
        <x:v>RS-02277</x:v>
      </x:c>
      <x:c r="B2278" s="8" t="n">
        <x:v>45421</x:v>
      </x:c>
      <x:c r="C2278" s="4" t="str">
        <x:v>PRJ-017</x:v>
      </x:c>
      <x:c r="D2278" s="4" t="str">
        <x:v>Retail</x:v>
      </x:c>
      <x:c r="E2278" s="4" t="str">
        <x:v>Reserved</x:v>
      </x:c>
      <x:c r="F2278" s="4" t="str">
        <x:v>CUS-02277</x:v>
      </x:c>
      <x:c r="G2278" s="4" t="str">
        <x:v>UNIT-02277</x:v>
      </x:c>
      <x:c r="H2278" s="9" t="n">
        <x:v>11400000</x:v>
      </x:c>
      <x:c r="I2278" s="10" t="n">
        <x:v>0.08</x:v>
      </x:c>
      <x:c r="J2278" s="11" t="n">
        <x:v>0</x:v>
      </x:c>
      <x:c r="K2278" s="11" t="n">
        <x:v>1</x:v>
      </x:c>
      <x:c r="L2278" s="11" t="n">
        <x:v>0</x:v>
      </x:c>
      <x:c r="M2278" s="9" t="n">
        <x:f>ROUND(H2278*(1-I2278),2)</x:f>
        <x:v>10488000</x:v>
      </x:c>
      <x:c r="N2278" s="4" t="str">
        <x:v>Sales head</x:v>
      </x:c>
      <x:c r="O2278" s="4"/>
      <x:c r="P2278" s="9" t="n">
        <x:v>0</x:v>
      </x:c>
      <x:c r="Q2278" s="11" t="n">
        <x:v>0</x:v>
      </x:c>
      <x:c r="R2278" s="8" t="n">
        <x:v>45481</x:v>
      </x:c>
      <x:c r="S2278" s="4" t="str">
        <x:v>Retained</x:v>
      </x:c>
      <x:c r="T2278" s="10" t="n">
        <x:v>0.204152</x:v>
      </x:c>
      <x:c r="U2278" s="4" t="str">
        <x:v>Train</x:v>
      </x:c>
    </x:row>
    <x:row r="2279" ht="34" customHeight="1">
      <x:c r="A2279" s="4" t="str">
        <x:v>RS-02278</x:v>
      </x:c>
      <x:c r="B2279" s="8" t="n">
        <x:v>45422</x:v>
      </x:c>
      <x:c r="C2279" s="4" t="str">
        <x:v>PRJ-018</x:v>
      </x:c>
      <x:c r="D2279" s="4" t="str">
        <x:v>Villa</x:v>
      </x:c>
      <x:c r="E2279" s="4" t="str">
        <x:v>Agreement signed</x:v>
      </x:c>
      <x:c r="F2279" s="4" t="str">
        <x:v>CUS-02278</x:v>
      </x:c>
      <x:c r="G2279" s="4" t="str">
        <x:v>UNIT-02278</x:v>
      </x:c>
      <x:c r="H2279" s="9" t="n">
        <x:v>17500000</x:v>
      </x:c>
      <x:c r="I2279" s="10" t="n">
        <x:v>0.04</x:v>
      </x:c>
      <x:c r="J2279" s="11" t="n">
        <x:v>6</x:v>
      </x:c>
      <x:c r="K2279" s="11" t="n">
        <x:v>7</x:v>
      </x:c>
      <x:c r="L2279" s="11" t="n">
        <x:v>0</x:v>
      </x:c>
      <x:c r="M2279" s="9" t="n">
        <x:f>ROUND(H2279*(1-I2279),2)</x:f>
        <x:v>16800000</x:v>
      </x:c>
      <x:c r="N2279" s="4" t="str">
        <x:v>Sales manager</x:v>
      </x:c>
      <x:c r="O2279" s="4" t="str">
        <x:v>BOOK-02278</x:v>
      </x:c>
      <x:c r="P2279" s="9" t="n">
        <x:v>16800000</x:v>
      </x:c>
      <x:c r="Q2279" s="11" t="n">
        <x:v>0</x:v>
      </x:c>
      <x:c r="R2279" s="8" t="n">
        <x:v>45482</x:v>
      </x:c>
      <x:c r="S2279" s="4" t="str">
        <x:v>Retained</x:v>
      </x:c>
      <x:c r="T2279" s="10" t="n">
        <x:v>0.226277</x:v>
      </x:c>
      <x:c r="U2279" s="4" t="str">
        <x:v>Train</x:v>
      </x:c>
    </x:row>
    <x:row r="2280" ht="34" customHeight="1">
      <x:c r="A2280" s="4" t="str">
        <x:v>RS-02279</x:v>
      </x:c>
      <x:c r="B2280" s="8" t="n">
        <x:v>45423</x:v>
      </x:c>
      <x:c r="C2280" s="4" t="str">
        <x:v>PRJ-019</x:v>
      </x:c>
      <x:c r="D2280" s="4" t="str">
        <x:v>Villa</x:v>
      </x:c>
      <x:c r="E2280" s="4" t="str">
        <x:v>Agreement signed</x:v>
      </x:c>
      <x:c r="F2280" s="4" t="str">
        <x:v>CUS-02279</x:v>
      </x:c>
      <x:c r="G2280" s="4" t="str">
        <x:v>UNIT-02279</x:v>
      </x:c>
      <x:c r="H2280" s="9" t="n">
        <x:v>22600000</x:v>
      </x:c>
      <x:c r="I2280" s="10" t="n">
        <x:v>0.02</x:v>
      </x:c>
      <x:c r="J2280" s="11" t="n">
        <x:v>6</x:v>
      </x:c>
      <x:c r="K2280" s="11" t="n">
        <x:v>4</x:v>
      </x:c>
      <x:c r="L2280" s="11" t="n">
        <x:v>0</x:v>
      </x:c>
      <x:c r="M2280" s="9" t="n">
        <x:f>ROUND(H2280*(1-I2280),2)</x:f>
        <x:v>22148000</x:v>
      </x:c>
      <x:c r="N2280" s="4" t="str">
        <x:v>Sales manager</x:v>
      </x:c>
      <x:c r="O2280" s="4" t="str">
        <x:v>BOOK-02279</x:v>
      </x:c>
      <x:c r="P2280" s="9" t="n">
        <x:v>5537000</x:v>
      </x:c>
      <x:c r="Q2280" s="11" t="n">
        <x:v>0</x:v>
      </x:c>
      <x:c r="R2280" s="8" t="n">
        <x:v>45483</x:v>
      </x:c>
      <x:c r="S2280" s="4" t="str">
        <x:v>Retained</x:v>
      </x:c>
      <x:c r="T2280" s="10" t="n">
        <x:v>0.298969</x:v>
      </x:c>
      <x:c r="U2280" s="4" t="str">
        <x:v>Train</x:v>
      </x:c>
    </x:row>
    <x:row r="2281" ht="34" customHeight="1">
      <x:c r="A2281" s="4" t="str">
        <x:v>RS-02280</x:v>
      </x:c>
      <x:c r="B2281" s="8" t="n">
        <x:v>45424</x:v>
      </x:c>
      <x:c r="C2281" s="4" t="str">
        <x:v>PRJ-020</x:v>
      </x:c>
      <x:c r="D2281" s="4" t="str">
        <x:v>Apartment</x:v>
      </x:c>
      <x:c r="E2281" s="4" t="str">
        <x:v>Handed over</x:v>
      </x:c>
      <x:c r="F2281" s="4" t="str">
        <x:v>CUS-02280</x:v>
      </x:c>
      <x:c r="G2281" s="4" t="str">
        <x:v>UNIT-02280</x:v>
      </x:c>
      <x:c r="H2281" s="9" t="n">
        <x:v>21800000</x:v>
      </x:c>
      <x:c r="I2281" s="10" t="n">
        <x:v>0.04</x:v>
      </x:c>
      <x:c r="J2281" s="11" t="n">
        <x:v>2</x:v>
      </x:c>
      <x:c r="K2281" s="11" t="n">
        <x:v>8</x:v>
      </x:c>
      <x:c r="L2281" s="11" t="n">
        <x:v>0</x:v>
      </x:c>
      <x:c r="M2281" s="9" t="n">
        <x:f>ROUND(H2281*(1-I2281),2)</x:f>
        <x:v>20928000</x:v>
      </x:c>
      <x:c r="N2281" s="4" t="str">
        <x:v>Sales manager</x:v>
      </x:c>
      <x:c r="O2281" s="4" t="str">
        <x:v>BOOK-02280</x:v>
      </x:c>
      <x:c r="P2281" s="9" t="n">
        <x:v>2092800</x:v>
      </x:c>
      <x:c r="Q2281" s="11" t="n">
        <x:v>0</x:v>
      </x:c>
      <x:c r="R2281" s="8" t="n">
        <x:v>45484</x:v>
      </x:c>
      <x:c r="S2281" s="4" t="str">
        <x:v>Retained</x:v>
      </x:c>
      <x:c r="T2281" s="10" t="n">
        <x:v>0.204152</x:v>
      </x:c>
      <x:c r="U2281" s="4" t="str">
        <x:v>Train</x:v>
      </x:c>
    </x:row>
    <x:row r="2282" ht="34" customHeight="1">
      <x:c r="A2282" s="4" t="str">
        <x:v>RS-02281</x:v>
      </x:c>
      <x:c r="B2282" s="8" t="n">
        <x:v>45425</x:v>
      </x:c>
      <x:c r="C2282" s="4" t="str">
        <x:v>PRJ-001</x:v>
      </x:c>
      <x:c r="D2282" s="4" t="str">
        <x:v>Office</x:v>
      </x:c>
      <x:c r="E2282" s="4" t="str">
        <x:v>Handed over</x:v>
      </x:c>
      <x:c r="F2282" s="4" t="str">
        <x:v>CUS-02281</x:v>
      </x:c>
      <x:c r="G2282" s="4" t="str">
        <x:v>UNIT-02281</x:v>
      </x:c>
      <x:c r="H2282" s="9" t="n">
        <x:v>24700000</x:v>
      </x:c>
      <x:c r="I2282" s="10" t="n">
        <x:v>0.07</x:v>
      </x:c>
      <x:c r="J2282" s="11" t="n">
        <x:v>4</x:v>
      </x:c>
      <x:c r="K2282" s="11" t="n">
        <x:v>2</x:v>
      </x:c>
      <x:c r="L2282" s="11" t="n">
        <x:v>1</x:v>
      </x:c>
      <x:c r="M2282" s="9" t="n">
        <x:f>ROUND(H2282*(1-I2282),2)</x:f>
        <x:v>22971000</x:v>
      </x:c>
      <x:c r="N2282" s="4" t="str">
        <x:v>Sales manager</x:v>
      </x:c>
      <x:c r="O2282" s="4" t="str">
        <x:v>BOOK-02281</x:v>
      </x:c>
      <x:c r="P2282" s="9" t="n">
        <x:v>11485500</x:v>
      </x:c>
      <x:c r="Q2282" s="11" t="n">
        <x:v>0</x:v>
      </x:c>
      <x:c r="R2282" s="8" t="n">
        <x:v>45485</x:v>
      </x:c>
      <x:c r="S2282" s="4" t="str">
        <x:v>Retained</x:v>
      </x:c>
      <x:c r="T2282" s="10" t="n">
        <x:v>0.291946</x:v>
      </x:c>
      <x:c r="U2282" s="4" t="str">
        <x:v>Train</x:v>
      </x:c>
    </x:row>
    <x:row r="2283" ht="34" customHeight="1">
      <x:c r="A2283" s="4" t="str">
        <x:v>RS-02282</x:v>
      </x:c>
      <x:c r="B2283" s="8" t="n">
        <x:v>45426</x:v>
      </x:c>
      <x:c r="C2283" s="4" t="str">
        <x:v>PRJ-002</x:v>
      </x:c>
      <x:c r="D2283" s="4" t="str">
        <x:v>Office</x:v>
      </x:c>
      <x:c r="E2283" s="4" t="str">
        <x:v>Handed over</x:v>
      </x:c>
      <x:c r="F2283" s="4" t="str">
        <x:v>CUS-02282</x:v>
      </x:c>
      <x:c r="G2283" s="4" t="str">
        <x:v>UNIT-02282</x:v>
      </x:c>
      <x:c r="H2283" s="9" t="n">
        <x:v>17000000</x:v>
      </x:c>
      <x:c r="I2283" s="10" t="n">
        <x:v>0.07</x:v>
      </x:c>
      <x:c r="J2283" s="11" t="n">
        <x:v>2</x:v>
      </x:c>
      <x:c r="K2283" s="11" t="n">
        <x:v>6</x:v>
      </x:c>
      <x:c r="L2283" s="11" t="n">
        <x:v>1</x:v>
      </x:c>
      <x:c r="M2283" s="9" t="n">
        <x:f>ROUND(H2283*(1-I2283),2)</x:f>
        <x:v>15810000</x:v>
      </x:c>
      <x:c r="N2283" s="4" t="str">
        <x:v>Sales manager</x:v>
      </x:c>
      <x:c r="O2283" s="4" t="str">
        <x:v>BOOK-02282</x:v>
      </x:c>
      <x:c r="P2283" s="9" t="n">
        <x:v>1581000</x:v>
      </x:c>
      <x:c r="Q2283" s="11" t="n">
        <x:v>0</x:v>
      </x:c>
      <x:c r="R2283" s="8" t="n">
        <x:v>45486</x:v>
      </x:c>
      <x:c r="S2283" s="4" t="str">
        <x:v>Retained</x:v>
      </x:c>
      <x:c r="T2283" s="10" t="n">
        <x:v>0.204152</x:v>
      </x:c>
      <x:c r="U2283" s="4" t="str">
        <x:v>Train</x:v>
      </x:c>
    </x:row>
    <x:row r="2284" ht="34" customHeight="1">
      <x:c r="A2284" s="4" t="str">
        <x:v>RS-02283</x:v>
      </x:c>
      <x:c r="B2284" s="8" t="n">
        <x:v>45427</x:v>
      </x:c>
      <x:c r="C2284" s="4" t="str">
        <x:v>PRJ-003</x:v>
      </x:c>
      <x:c r="D2284" s="4" t="str">
        <x:v>Villa</x:v>
      </x:c>
      <x:c r="E2284" s="4" t="str">
        <x:v>Handed over</x:v>
      </x:c>
      <x:c r="F2284" s="4" t="str">
        <x:v>CUS-02283</x:v>
      </x:c>
      <x:c r="G2284" s="4" t="str">
        <x:v>UNIT-02283</x:v>
      </x:c>
      <x:c r="H2284" s="9" t="n">
        <x:v>22500000</x:v>
      </x:c>
      <x:c r="I2284" s="10" t="n">
        <x:v>0.07</x:v>
      </x:c>
      <x:c r="J2284" s="11" t="n">
        <x:v>1</x:v>
      </x:c>
      <x:c r="K2284" s="11" t="n">
        <x:v>1</x:v>
      </x:c>
      <x:c r="L2284" s="11" t="n">
        <x:v>0</x:v>
      </x:c>
      <x:c r="M2284" s="9" t="n">
        <x:f>ROUND(H2284*(1-I2284),2)</x:f>
        <x:v>20925000</x:v>
      </x:c>
      <x:c r="N2284" s="4" t="str">
        <x:v>Sales manager</x:v>
      </x:c>
      <x:c r="O2284" s="4" t="str">
        <x:v>BOOK-02283</x:v>
      </x:c>
      <x:c r="P2284" s="9" t="n">
        <x:v>2092500</x:v>
      </x:c>
      <x:c r="Q2284" s="11" t="n">
        <x:v>0</x:v>
      </x:c>
      <x:c r="R2284" s="8" t="n">
        <x:v>45487</x:v>
      </x:c>
      <x:c r="S2284" s="4" t="str">
        <x:v>Retained</x:v>
      </x:c>
      <x:c r="T2284" s="10" t="n">
        <x:v>0.204152</x:v>
      </x:c>
      <x:c r="U2284" s="4" t="str">
        <x:v>Train</x:v>
      </x:c>
    </x:row>
    <x:row r="2285" ht="34" customHeight="1">
      <x:c r="A2285" s="4" t="str">
        <x:v>RS-02284</x:v>
      </x:c>
      <x:c r="B2285" s="8" t="n">
        <x:v>45428</x:v>
      </x:c>
      <x:c r="C2285" s="4" t="str">
        <x:v>PRJ-004</x:v>
      </x:c>
      <x:c r="D2285" s="4" t="str">
        <x:v>Villa</x:v>
      </x:c>
      <x:c r="E2285" s="4" t="str">
        <x:v>Handed over</x:v>
      </x:c>
      <x:c r="F2285" s="4" t="str">
        <x:v>CUS-02284</x:v>
      </x:c>
      <x:c r="G2285" s="4" t="str">
        <x:v>UNIT-02284</x:v>
      </x:c>
      <x:c r="H2285" s="9" t="n">
        <x:v>11300000</x:v>
      </x:c>
      <x:c r="I2285" s="10" t="n">
        <x:v>0.11</x:v>
      </x:c>
      <x:c r="J2285" s="11" t="n">
        <x:v>5</x:v>
      </x:c>
      <x:c r="K2285" s="11" t="n">
        <x:v>9</x:v>
      </x:c>
      <x:c r="L2285" s="11" t="n">
        <x:v>0</x:v>
      </x:c>
      <x:c r="M2285" s="9" t="n">
        <x:f>ROUND(H2285*(1-I2285),2)</x:f>
        <x:v>10057000</x:v>
      </x:c>
      <x:c r="N2285" s="4" t="str">
        <x:v>Sales head</x:v>
      </x:c>
      <x:c r="O2285" s="4" t="str">
        <x:v>BOOK-02284</x:v>
      </x:c>
      <x:c r="P2285" s="9" t="n">
        <x:v>5028500</x:v>
      </x:c>
      <x:c r="Q2285" s="11" t="n">
        <x:v>0</x:v>
      </x:c>
      <x:c r="R2285" s="8" t="n">
        <x:v>45488</x:v>
      </x:c>
      <x:c r="S2285" s="4" t="str">
        <x:v>Retained</x:v>
      </x:c>
      <x:c r="T2285" s="10" t="n">
        <x:v>0.226277</x:v>
      </x:c>
      <x:c r="U2285" s="4" t="str">
        <x:v>Train</x:v>
      </x:c>
    </x:row>
    <x:row r="2286" ht="34" customHeight="1">
      <x:c r="A2286" s="4" t="str">
        <x:v>RS-02285</x:v>
      </x:c>
      <x:c r="B2286" s="8" t="n">
        <x:v>45429</x:v>
      </x:c>
      <x:c r="C2286" s="4" t="str">
        <x:v>PRJ-005</x:v>
      </x:c>
      <x:c r="D2286" s="4" t="str">
        <x:v>Villa</x:v>
      </x:c>
      <x:c r="E2286" s="4" t="str">
        <x:v>Reserved</x:v>
      </x:c>
      <x:c r="F2286" s="4" t="str">
        <x:v>CUS-02285</x:v>
      </x:c>
      <x:c r="G2286" s="4" t="str">
        <x:v>UNIT-02285</x:v>
      </x:c>
      <x:c r="H2286" s="9" t="n">
        <x:v>17000000</x:v>
      </x:c>
      <x:c r="I2286" s="10" t="n">
        <x:v>0.11</x:v>
      </x:c>
      <x:c r="J2286" s="11" t="n">
        <x:v>10</x:v>
      </x:c>
      <x:c r="K2286" s="11" t="n">
        <x:v>5</x:v>
      </x:c>
      <x:c r="L2286" s="11" t="n">
        <x:v>0</x:v>
      </x:c>
      <x:c r="M2286" s="9" t="n">
        <x:f>ROUND(H2286*(1-I2286),2)</x:f>
        <x:v>15130000</x:v>
      </x:c>
      <x:c r="N2286" s="4" t="str">
        <x:v>Sales head</x:v>
      </x:c>
      <x:c r="O2286" s="4"/>
      <x:c r="P2286" s="9" t="n">
        <x:v>0</x:v>
      </x:c>
      <x:c r="Q2286" s="11" t="n">
        <x:v>1</x:v>
      </x:c>
      <x:c r="R2286" s="8" t="n">
        <x:v>45489</x:v>
      </x:c>
      <x:c r="S2286" s="4" t="str">
        <x:v>Lost / cancelled</x:v>
      </x:c>
      <x:c r="T2286" s="10" t="n">
        <x:v>0.310195</x:v>
      </x:c>
      <x:c r="U2286" s="4" t="str">
        <x:v>Train</x:v>
      </x:c>
    </x:row>
    <x:row r="2287" ht="34" customHeight="1">
      <x:c r="A2287" s="4" t="str">
        <x:v>RS-02286</x:v>
      </x:c>
      <x:c r="B2287" s="8" t="n">
        <x:v>45430</x:v>
      </x:c>
      <x:c r="C2287" s="4" t="str">
        <x:v>PRJ-006</x:v>
      </x:c>
      <x:c r="D2287" s="4" t="str">
        <x:v>Villa</x:v>
      </x:c>
      <x:c r="E2287" s="4" t="str">
        <x:v>Reserved</x:v>
      </x:c>
      <x:c r="F2287" s="4" t="str">
        <x:v>CUS-02286</x:v>
      </x:c>
      <x:c r="G2287" s="4" t="str">
        <x:v>UNIT-02286</x:v>
      </x:c>
      <x:c r="H2287" s="9" t="n">
        <x:v>7400000</x:v>
      </x:c>
      <x:c r="I2287" s="10" t="n">
        <x:v>0.06</x:v>
      </x:c>
      <x:c r="J2287" s="11" t="n">
        <x:v>4</x:v>
      </x:c>
      <x:c r="K2287" s="11" t="n">
        <x:v>9</x:v>
      </x:c>
      <x:c r="L2287" s="11" t="n">
        <x:v>1</x:v>
      </x:c>
      <x:c r="M2287" s="9" t="n">
        <x:f>ROUND(H2287*(1-I2287),2)</x:f>
        <x:v>6956000</x:v>
      </x:c>
      <x:c r="N2287" s="4" t="str">
        <x:v>Sales manager</x:v>
      </x:c>
      <x:c r="O2287" s="4"/>
      <x:c r="P2287" s="9" t="n">
        <x:v>0</x:v>
      </x:c>
      <x:c r="Q2287" s="11" t="n">
        <x:v>0</x:v>
      </x:c>
      <x:c r="R2287" s="8" t="n">
        <x:v>45490</x:v>
      </x:c>
      <x:c r="S2287" s="4" t="str">
        <x:v>Retained</x:v>
      </x:c>
      <x:c r="T2287" s="10" t="n">
        <x:v>0.291946</x:v>
      </x:c>
      <x:c r="U2287" s="4" t="str">
        <x:v>Train</x:v>
      </x:c>
    </x:row>
    <x:row r="2288" ht="34" customHeight="1">
      <x:c r="A2288" s="4" t="str">
        <x:v>RS-02287</x:v>
      </x:c>
      <x:c r="B2288" s="8" t="n">
        <x:v>45431</x:v>
      </x:c>
      <x:c r="C2288" s="4" t="str">
        <x:v>PRJ-007</x:v>
      </x:c>
      <x:c r="D2288" s="4" t="str">
        <x:v>Apartment</x:v>
      </x:c>
      <x:c r="E2288" s="4" t="str">
        <x:v>Agreement signed</x:v>
      </x:c>
      <x:c r="F2288" s="4" t="str">
        <x:v>CUS-02287</x:v>
      </x:c>
      <x:c r="G2288" s="4" t="str">
        <x:v>UNIT-02287</x:v>
      </x:c>
      <x:c r="H2288" s="9" t="n">
        <x:v>11400000</x:v>
      </x:c>
      <x:c r="I2288" s="10" t="n">
        <x:v>0.06</x:v>
      </x:c>
      <x:c r="J2288" s="11" t="n">
        <x:v>6</x:v>
      </x:c>
      <x:c r="K2288" s="11" t="n">
        <x:v>7</x:v>
      </x:c>
      <x:c r="L2288" s="11" t="n">
        <x:v>0</x:v>
      </x:c>
      <x:c r="M2288" s="9" t="n">
        <x:f>ROUND(H2288*(1-I2288),2)</x:f>
        <x:v>10716000</x:v>
      </x:c>
      <x:c r="N2288" s="4" t="str">
        <x:v>Sales manager</x:v>
      </x:c>
      <x:c r="O2288" s="4" t="str">
        <x:v>BOOK-02287</x:v>
      </x:c>
      <x:c r="P2288" s="9" t="n">
        <x:v>5358000</x:v>
      </x:c>
      <x:c r="Q2288" s="11" t="n">
        <x:v>0</x:v>
      </x:c>
      <x:c r="R2288" s="8" t="n">
        <x:v>45491</x:v>
      </x:c>
      <x:c r="S2288" s="4" t="str">
        <x:v>Retained</x:v>
      </x:c>
      <x:c r="T2288" s="10" t="n">
        <x:v>0.226277</x:v>
      </x:c>
      <x:c r="U2288" s="4" t="str">
        <x:v>Train</x:v>
      </x:c>
    </x:row>
    <x:row r="2289" ht="34" customHeight="1">
      <x:c r="A2289" s="4" t="str">
        <x:v>RS-02288</x:v>
      </x:c>
      <x:c r="B2289" s="8" t="n">
        <x:v>45432</x:v>
      </x:c>
      <x:c r="C2289" s="4" t="str">
        <x:v>PRJ-008</x:v>
      </x:c>
      <x:c r="D2289" s="4" t="str">
        <x:v>Retail</x:v>
      </x:c>
      <x:c r="E2289" s="4" t="str">
        <x:v>Agreement signed</x:v>
      </x:c>
      <x:c r="F2289" s="4" t="str">
        <x:v>CUS-02288</x:v>
      </x:c>
      <x:c r="G2289" s="4" t="str">
        <x:v>UNIT-02288</x:v>
      </x:c>
      <x:c r="H2289" s="9" t="n">
        <x:v>13500000</x:v>
      </x:c>
      <x:c r="I2289" s="10" t="n">
        <x:v>0.07</x:v>
      </x:c>
      <x:c r="J2289" s="11" t="n">
        <x:v>3</x:v>
      </x:c>
      <x:c r="K2289" s="11" t="n">
        <x:v>10</x:v>
      </x:c>
      <x:c r="L2289" s="11" t="n">
        <x:v>0</x:v>
      </x:c>
      <x:c r="M2289" s="9" t="n">
        <x:f>ROUND(H2289*(1-I2289),2)</x:f>
        <x:v>12555000</x:v>
      </x:c>
      <x:c r="N2289" s="4" t="str">
        <x:v>Sales manager</x:v>
      </x:c>
      <x:c r="O2289" s="4" t="str">
        <x:v>BOOK-02288</x:v>
      </x:c>
      <x:c r="P2289" s="9" t="n">
        <x:v>12555000</x:v>
      </x:c>
      <x:c r="Q2289" s="11" t="n">
        <x:v>0</x:v>
      </x:c>
      <x:c r="R2289" s="8" t="n">
        <x:v>45492</x:v>
      </x:c>
      <x:c r="S2289" s="4" t="str">
        <x:v>Retained</x:v>
      </x:c>
      <x:c r="T2289" s="10" t="n">
        <x:v>0.204152</x:v>
      </x:c>
      <x:c r="U2289" s="4" t="str">
        <x:v>Train</x:v>
      </x:c>
    </x:row>
    <x:row r="2290" ht="34" customHeight="1">
      <x:c r="A2290" s="4" t="str">
        <x:v>RS-02289</x:v>
      </x:c>
      <x:c r="B2290" s="8" t="n">
        <x:v>45433</x:v>
      </x:c>
      <x:c r="C2290" s="4" t="str">
        <x:v>PRJ-009</x:v>
      </x:c>
      <x:c r="D2290" s="4" t="str">
        <x:v>Retail</x:v>
      </x:c>
      <x:c r="E2290" s="4" t="str">
        <x:v>Agreement signed</x:v>
      </x:c>
      <x:c r="F2290" s="4" t="str">
        <x:v>CUS-02289</x:v>
      </x:c>
      <x:c r="G2290" s="4" t="str">
        <x:v>UNIT-02289</x:v>
      </x:c>
      <x:c r="H2290" s="9" t="n">
        <x:v>22800000</x:v>
      </x:c>
      <x:c r="I2290" s="10" t="n">
        <x:v>0.11</x:v>
      </x:c>
      <x:c r="J2290" s="11" t="n">
        <x:v>8</x:v>
      </x:c>
      <x:c r="K2290" s="11" t="n">
        <x:v>2</x:v>
      </x:c>
      <x:c r="L2290" s="11" t="n">
        <x:v>1</x:v>
      </x:c>
      <x:c r="M2290" s="9" t="n">
        <x:f>ROUND(H2290*(1-I2290),2)</x:f>
        <x:v>20292000</x:v>
      </x:c>
      <x:c r="N2290" s="4" t="str">
        <x:v>Sales head</x:v>
      </x:c>
      <x:c r="O2290" s="4" t="str">
        <x:v>BOOK-02289</x:v>
      </x:c>
      <x:c r="P2290" s="9" t="n">
        <x:v>2029200</x:v>
      </x:c>
      <x:c r="Q2290" s="11" t="n">
        <x:v>0</x:v>
      </x:c>
      <x:c r="R2290" s="8" t="n">
        <x:v>45493</x:v>
      </x:c>
      <x:c r="S2290" s="4" t="str">
        <x:v>Retained</x:v>
      </x:c>
      <x:c r="T2290" s="10" t="n">
        <x:v>0.310195</x:v>
      </x:c>
      <x:c r="U2290" s="4" t="str">
        <x:v>Train</x:v>
      </x:c>
    </x:row>
    <x:row r="2291" ht="34" customHeight="1">
      <x:c r="A2291" s="4" t="str">
        <x:v>RS-02290</x:v>
      </x:c>
      <x:c r="B2291" s="8" t="n">
        <x:v>45434</x:v>
      </x:c>
      <x:c r="C2291" s="4" t="str">
        <x:v>PRJ-010</x:v>
      </x:c>
      <x:c r="D2291" s="4" t="str">
        <x:v>Villa</x:v>
      </x:c>
      <x:c r="E2291" s="4" t="str">
        <x:v>Enquiry</x:v>
      </x:c>
      <x:c r="F2291" s="4" t="str">
        <x:v>CUS-02290</x:v>
      </x:c>
      <x:c r="G2291" s="4" t="str">
        <x:v>UNIT-02290</x:v>
      </x:c>
      <x:c r="H2291" s="9" t="n">
        <x:v>12200000</x:v>
      </x:c>
      <x:c r="I2291" s="10" t="n">
        <x:v>0.07</x:v>
      </x:c>
      <x:c r="J2291" s="11" t="n">
        <x:v>7</x:v>
      </x:c>
      <x:c r="K2291" s="11" t="n">
        <x:v>6</x:v>
      </x:c>
      <x:c r="L2291" s="11" t="n">
        <x:v>0</x:v>
      </x:c>
      <x:c r="M2291" s="9" t="n">
        <x:f>ROUND(H2291*(1-I2291),2)</x:f>
        <x:v>11346000</x:v>
      </x:c>
      <x:c r="N2291" s="4" t="str">
        <x:v>Sales manager</x:v>
      </x:c>
      <x:c r="O2291" s="4"/>
      <x:c r="P2291" s="9" t="n">
        <x:v>0</x:v>
      </x:c>
      <x:c r="Q2291" s="11" t="n">
        <x:v>0</x:v>
      </x:c>
      <x:c r="R2291" s="8" t="n">
        <x:v>45494</x:v>
      </x:c>
      <x:c r="S2291" s="4" t="str">
        <x:v>Retained</x:v>
      </x:c>
      <x:c r="T2291" s="10" t="n">
        <x:v>0.226277</x:v>
      </x:c>
      <x:c r="U2291" s="4" t="str">
        <x:v>Train</x:v>
      </x:c>
    </x:row>
    <x:row r="2292" ht="34" customHeight="1">
      <x:c r="A2292" s="4" t="str">
        <x:v>RS-02291</x:v>
      </x:c>
      <x:c r="B2292" s="8" t="n">
        <x:v>45435</x:v>
      </x:c>
      <x:c r="C2292" s="4" t="str">
        <x:v>PRJ-011</x:v>
      </x:c>
      <x:c r="D2292" s="4" t="str">
        <x:v>Apartment</x:v>
      </x:c>
      <x:c r="E2292" s="4" t="str">
        <x:v>Handed over</x:v>
      </x:c>
      <x:c r="F2292" s="4" t="str">
        <x:v>CUS-02291</x:v>
      </x:c>
      <x:c r="G2292" s="4" t="str">
        <x:v>UNIT-02291</x:v>
      </x:c>
      <x:c r="H2292" s="9" t="n">
        <x:v>21300000</x:v>
      </x:c>
      <x:c r="I2292" s="10" t="n">
        <x:v>0.09</x:v>
      </x:c>
      <x:c r="J2292" s="11" t="n">
        <x:v>12</x:v>
      </x:c>
      <x:c r="K2292" s="11" t="n">
        <x:v>8</x:v>
      </x:c>
      <x:c r="L2292" s="11" t="n">
        <x:v>1</x:v>
      </x:c>
      <x:c r="M2292" s="9" t="n">
        <x:f>ROUND(H2292*(1-I2292),2)</x:f>
        <x:v>19383000</x:v>
      </x:c>
      <x:c r="N2292" s="4" t="str">
        <x:v>Sales head</x:v>
      </x:c>
      <x:c r="O2292" s="4" t="str">
        <x:v>BOOK-02291</x:v>
      </x:c>
      <x:c r="P2292" s="9" t="n">
        <x:v>4845750</x:v>
      </x:c>
      <x:c r="Q2292" s="11" t="n">
        <x:v>0</x:v>
      </x:c>
      <x:c r="R2292" s="8" t="n">
        <x:v>45495</x:v>
      </x:c>
      <x:c r="S2292" s="4" t="str">
        <x:v>Retained</x:v>
      </x:c>
      <x:c r="T2292" s="10" t="n">
        <x:v>0.351536</x:v>
      </x:c>
      <x:c r="U2292" s="4" t="str">
        <x:v>Train</x:v>
      </x:c>
    </x:row>
    <x:row r="2293" ht="34" customHeight="1">
      <x:c r="A2293" s="4" t="str">
        <x:v>RS-02292</x:v>
      </x:c>
      <x:c r="B2293" s="8" t="n">
        <x:v>45436</x:v>
      </x:c>
      <x:c r="C2293" s="4" t="str">
        <x:v>PRJ-012</x:v>
      </x:c>
      <x:c r="D2293" s="4" t="str">
        <x:v>Villa</x:v>
      </x:c>
      <x:c r="E2293" s="4" t="str">
        <x:v>Booked</x:v>
      </x:c>
      <x:c r="F2293" s="4" t="str">
        <x:v>CUS-02292</x:v>
      </x:c>
      <x:c r="G2293" s="4" t="str">
        <x:v>UNIT-02292</x:v>
      </x:c>
      <x:c r="H2293" s="9" t="n">
        <x:v>24700000</x:v>
      </x:c>
      <x:c r="I2293" s="10" t="n">
        <x:v>0.08</x:v>
      </x:c>
      <x:c r="J2293" s="11" t="n">
        <x:v>11</x:v>
      </x:c>
      <x:c r="K2293" s="11" t="n">
        <x:v>5</x:v>
      </x:c>
      <x:c r="L2293" s="11" t="n">
        <x:v>0</x:v>
      </x:c>
      <x:c r="M2293" s="9" t="n">
        <x:f>ROUND(H2293*(1-I2293),2)</x:f>
        <x:v>22724000</x:v>
      </x:c>
      <x:c r="N2293" s="4" t="str">
        <x:v>Sales head</x:v>
      </x:c>
      <x:c r="O2293" s="4" t="str">
        <x:v>BOOK-02292</x:v>
      </x:c>
      <x:c r="P2293" s="9" t="n">
        <x:v>22724000</x:v>
      </x:c>
      <x:c r="Q2293" s="11" t="n">
        <x:v>0</x:v>
      </x:c>
      <x:c r="R2293" s="8" t="n">
        <x:v>45496</x:v>
      </x:c>
      <x:c r="S2293" s="4" t="str">
        <x:v>Retained</x:v>
      </x:c>
      <x:c r="T2293" s="10" t="n">
        <x:v>0.351536</x:v>
      </x:c>
      <x:c r="U2293" s="4" t="str">
        <x:v>Train</x:v>
      </x:c>
    </x:row>
    <x:row r="2294" ht="34" customHeight="1">
      <x:c r="A2294" s="4" t="str">
        <x:v>RS-02293</x:v>
      </x:c>
      <x:c r="B2294" s="8" t="n">
        <x:v>45437</x:v>
      </x:c>
      <x:c r="C2294" s="4" t="str">
        <x:v>PRJ-013</x:v>
      </x:c>
      <x:c r="D2294" s="4" t="str">
        <x:v>Retail</x:v>
      </x:c>
      <x:c r="E2294" s="4" t="str">
        <x:v>Enquiry</x:v>
      </x:c>
      <x:c r="F2294" s="4" t="str">
        <x:v>CUS-02293</x:v>
      </x:c>
      <x:c r="G2294" s="4" t="str">
        <x:v>UNIT-02293</x:v>
      </x:c>
      <x:c r="H2294" s="9" t="n">
        <x:v>8800000</x:v>
      </x:c>
      <x:c r="I2294" s="10" t="n">
        <x:v>0.01</x:v>
      </x:c>
      <x:c r="J2294" s="11" t="n">
        <x:v>4</x:v>
      </x:c>
      <x:c r="K2294" s="11" t="n">
        <x:v>0</x:v>
      </x:c>
      <x:c r="L2294" s="11" t="n">
        <x:v>0</x:v>
      </x:c>
      <x:c r="M2294" s="9" t="n">
        <x:f>ROUND(H2294*(1-I2294),2)</x:f>
        <x:v>8712000</x:v>
      </x:c>
      <x:c r="N2294" s="4" t="str">
        <x:v>Sales manager</x:v>
      </x:c>
      <x:c r="O2294" s="4"/>
      <x:c r="P2294" s="9" t="n">
        <x:v>0</x:v>
      </x:c>
      <x:c r="Q2294" s="11" t="n">
        <x:v>0</x:v>
      </x:c>
      <x:c r="R2294" s="8" t="n">
        <x:v>45497</x:v>
      </x:c>
      <x:c r="S2294" s="4" t="str">
        <x:v>Retained</x:v>
      </x:c>
      <x:c r="T2294" s="10" t="n">
        <x:v>0.298969</x:v>
      </x:c>
      <x:c r="U2294" s="4" t="str">
        <x:v>Train</x:v>
      </x:c>
    </x:row>
    <x:row r="2295" ht="34" customHeight="1">
      <x:c r="A2295" s="4" t="str">
        <x:v>RS-02294</x:v>
      </x:c>
      <x:c r="B2295" s="8" t="n">
        <x:v>45438</x:v>
      </x:c>
      <x:c r="C2295" s="4" t="str">
        <x:v>PRJ-014</x:v>
      </x:c>
      <x:c r="D2295" s="4" t="str">
        <x:v>Retail</x:v>
      </x:c>
      <x:c r="E2295" s="4" t="str">
        <x:v>Enquiry</x:v>
      </x:c>
      <x:c r="F2295" s="4" t="str">
        <x:v>CUS-02294</x:v>
      </x:c>
      <x:c r="G2295" s="4" t="str">
        <x:v>UNIT-02294</x:v>
      </x:c>
      <x:c r="H2295" s="9" t="n">
        <x:v>9100000</x:v>
      </x:c>
      <x:c r="I2295" s="10" t="n">
        <x:v>0.07</x:v>
      </x:c>
      <x:c r="J2295" s="11" t="n">
        <x:v>1</x:v>
      </x:c>
      <x:c r="K2295" s="11" t="n">
        <x:v>9</x:v>
      </x:c>
      <x:c r="L2295" s="11" t="n">
        <x:v>1</x:v>
      </x:c>
      <x:c r="M2295" s="9" t="n">
        <x:f>ROUND(H2295*(1-I2295),2)</x:f>
        <x:v>8463000</x:v>
      </x:c>
      <x:c r="N2295" s="4" t="str">
        <x:v>Sales manager</x:v>
      </x:c>
      <x:c r="O2295" s="4"/>
      <x:c r="P2295" s="9" t="n">
        <x:v>0</x:v>
      </x:c>
      <x:c r="Q2295" s="11" t="n">
        <x:v>1</x:v>
      </x:c>
      <x:c r="R2295" s="8" t="n">
        <x:v>45498</x:v>
      </x:c>
      <x:c r="S2295" s="4" t="str">
        <x:v>Lost / cancelled</x:v>
      </x:c>
      <x:c r="T2295" s="10" t="n">
        <x:v>0.204152</x:v>
      </x:c>
      <x:c r="U2295" s="4" t="str">
        <x:v>Train</x:v>
      </x:c>
    </x:row>
    <x:row r="2296" ht="34" customHeight="1">
      <x:c r="A2296" s="4" t="str">
        <x:v>RS-02295</x:v>
      </x:c>
      <x:c r="B2296" s="8" t="n">
        <x:v>45439</x:v>
      </x:c>
      <x:c r="C2296" s="4" t="str">
        <x:v>PRJ-015</x:v>
      </x:c>
      <x:c r="D2296" s="4" t="str">
        <x:v>Villa</x:v>
      </x:c>
      <x:c r="E2296" s="4" t="str">
        <x:v>Booked</x:v>
      </x:c>
      <x:c r="F2296" s="4" t="str">
        <x:v>CUS-02295</x:v>
      </x:c>
      <x:c r="G2296" s="4" t="str">
        <x:v>UNIT-02295</x:v>
      </x:c>
      <x:c r="H2296" s="9" t="n">
        <x:v>5200000</x:v>
      </x:c>
      <x:c r="I2296" s="10" t="n">
        <x:v>0.09</x:v>
      </x:c>
      <x:c r="J2296" s="11" t="n">
        <x:v>2</x:v>
      </x:c>
      <x:c r="K2296" s="11" t="n">
        <x:v>3</x:v>
      </x:c>
      <x:c r="L2296" s="11" t="n">
        <x:v>0</x:v>
      </x:c>
      <x:c r="M2296" s="9" t="n">
        <x:f>ROUND(H2296*(1-I2296),2)</x:f>
        <x:v>4732000</x:v>
      </x:c>
      <x:c r="N2296" s="4" t="str">
        <x:v>Sales head</x:v>
      </x:c>
      <x:c r="O2296" s="4" t="str">
        <x:v>BOOK-02295</x:v>
      </x:c>
      <x:c r="P2296" s="9" t="n">
        <x:v>1183000</x:v>
      </x:c>
      <x:c r="Q2296" s="11" t="n">
        <x:v>0</x:v>
      </x:c>
      <x:c r="R2296" s="8" t="n">
        <x:v>45499</x:v>
      </x:c>
      <x:c r="S2296" s="4" t="str">
        <x:v>Retained</x:v>
      </x:c>
      <x:c r="T2296" s="10" t="n">
        <x:v>0.145833</x:v>
      </x:c>
      <x:c r="U2296" s="4" t="str">
        <x:v>Train</x:v>
      </x:c>
    </x:row>
    <x:row r="2297" ht="34" customHeight="1">
      <x:c r="A2297" s="4" t="str">
        <x:v>RS-02296</x:v>
      </x:c>
      <x:c r="B2297" s="8" t="n">
        <x:v>45440</x:v>
      </x:c>
      <x:c r="C2297" s="4" t="str">
        <x:v>PRJ-016</x:v>
      </x:c>
      <x:c r="D2297" s="4" t="str">
        <x:v>Retail</x:v>
      </x:c>
      <x:c r="E2297" s="4" t="str">
        <x:v>Reserved</x:v>
      </x:c>
      <x:c r="F2297" s="4" t="str">
        <x:v>CUS-02296</x:v>
      </x:c>
      <x:c r="G2297" s="4" t="str">
        <x:v>UNIT-02296</x:v>
      </x:c>
      <x:c r="H2297" s="9" t="n">
        <x:v>24900000</x:v>
      </x:c>
      <x:c r="I2297" s="10" t="n">
        <x:v>0.09</x:v>
      </x:c>
      <x:c r="J2297" s="11" t="n">
        <x:v>5</x:v>
      </x:c>
      <x:c r="K2297" s="11" t="n">
        <x:v>10</x:v>
      </x:c>
      <x:c r="L2297" s="11" t="n">
        <x:v>0</x:v>
      </x:c>
      <x:c r="M2297" s="9" t="n">
        <x:f>ROUND(H2297*(1-I2297),2)</x:f>
        <x:v>22659000</x:v>
      </x:c>
      <x:c r="N2297" s="4" t="str">
        <x:v>Sales head</x:v>
      </x:c>
      <x:c r="O2297" s="4"/>
      <x:c r="P2297" s="9" t="n">
        <x:v>0</x:v>
      </x:c>
      <x:c r="Q2297" s="11" t="n">
        <x:v>0</x:v>
      </x:c>
      <x:c r="R2297" s="8" t="n">
        <x:v>45500</x:v>
      </x:c>
      <x:c r="S2297" s="4" t="str">
        <x:v>Retained</x:v>
      </x:c>
      <x:c r="T2297" s="10" t="n">
        <x:v>0.226277</x:v>
      </x:c>
      <x:c r="U2297" s="4" t="str">
        <x:v>Train</x:v>
      </x:c>
    </x:row>
    <x:row r="2298" ht="34" customHeight="1">
      <x:c r="A2298" s="4" t="str">
        <x:v>RS-02297</x:v>
      </x:c>
      <x:c r="B2298" s="8" t="n">
        <x:v>45413</x:v>
      </x:c>
      <x:c r="C2298" s="4" t="str">
        <x:v>PRJ-017</x:v>
      </x:c>
      <x:c r="D2298" s="4" t="str">
        <x:v>Retail</x:v>
      </x:c>
      <x:c r="E2298" s="4" t="str">
        <x:v>Handed over</x:v>
      </x:c>
      <x:c r="F2298" s="4" t="str">
        <x:v>CUS-02297</x:v>
      </x:c>
      <x:c r="G2298" s="4" t="str">
        <x:v>UNIT-02297</x:v>
      </x:c>
      <x:c r="H2298" s="9" t="n">
        <x:v>18000000</x:v>
      </x:c>
      <x:c r="I2298" s="10" t="n">
        <x:v>0.11</x:v>
      </x:c>
      <x:c r="J2298" s="11" t="n">
        <x:v>6</x:v>
      </x:c>
      <x:c r="K2298" s="11" t="n">
        <x:v>0</x:v>
      </x:c>
      <x:c r="L2298" s="11" t="n">
        <x:v>1</x:v>
      </x:c>
      <x:c r="M2298" s="9" t="n">
        <x:f>ROUND(H2298*(1-I2298),2)</x:f>
        <x:v>16020000</x:v>
      </x:c>
      <x:c r="N2298" s="4" t="str">
        <x:v>Sales head</x:v>
      </x:c>
      <x:c r="O2298" s="4" t="str">
        <x:v>BOOK-02297</x:v>
      </x:c>
      <x:c r="P2298" s="9" t="n">
        <x:v>16020000</x:v>
      </x:c>
      <x:c r="Q2298" s="11" t="n">
        <x:v>0</x:v>
      </x:c>
      <x:c r="R2298" s="8" t="n">
        <x:v>45473</x:v>
      </x:c>
      <x:c r="S2298" s="4" t="str">
        <x:v>Retained</x:v>
      </x:c>
      <x:c r="T2298" s="10" t="n">
        <x:v>0.291946</x:v>
      </x:c>
      <x:c r="U2298" s="4" t="str">
        <x:v>Train</x:v>
      </x:c>
    </x:row>
    <x:row r="2299" ht="34" customHeight="1">
      <x:c r="A2299" s="4" t="str">
        <x:v>RS-02298</x:v>
      </x:c>
      <x:c r="B2299" s="8" t="n">
        <x:v>45414</x:v>
      </x:c>
      <x:c r="C2299" s="4" t="str">
        <x:v>PRJ-018</x:v>
      </x:c>
      <x:c r="D2299" s="4" t="str">
        <x:v>Retail</x:v>
      </x:c>
      <x:c r="E2299" s="4" t="str">
        <x:v>Cancelled</x:v>
      </x:c>
      <x:c r="F2299" s="4" t="str">
        <x:v>CUS-02298</x:v>
      </x:c>
      <x:c r="G2299" s="4" t="str">
        <x:v>UNIT-02298</x:v>
      </x:c>
      <x:c r="H2299" s="9" t="n">
        <x:v>24000000</x:v>
      </x:c>
      <x:c r="I2299" s="10" t="n">
        <x:v>0.07</x:v>
      </x:c>
      <x:c r="J2299" s="11" t="n">
        <x:v>1</x:v>
      </x:c>
      <x:c r="K2299" s="11" t="n">
        <x:v>0</x:v>
      </x:c>
      <x:c r="L2299" s="11" t="n">
        <x:v>0</x:v>
      </x:c>
      <x:c r="M2299" s="9" t="n">
        <x:f>ROUND(H2299*(1-I2299),2)</x:f>
        <x:v>22320000</x:v>
      </x:c>
      <x:c r="N2299" s="4" t="str">
        <x:v>Sales manager</x:v>
      </x:c>
      <x:c r="O2299" s="4"/>
      <x:c r="P2299" s="9" t="n">
        <x:v>0</x:v>
      </x:c>
      <x:c r="Q2299" s="11" t="n">
        <x:v>1</x:v>
      </x:c>
      <x:c r="R2299" s="8" t="n">
        <x:v>45474</x:v>
      </x:c>
      <x:c r="S2299" s="4" t="str">
        <x:v>Lost / cancelled</x:v>
      </x:c>
      <x:c r="T2299" s="10" t="n">
        <x:v>0.276923</x:v>
      </x:c>
      <x:c r="U2299" s="4" t="str">
        <x:v>Train</x:v>
      </x:c>
    </x:row>
    <x:row r="2300" ht="34" customHeight="1">
      <x:c r="A2300" s="4" t="str">
        <x:v>RS-02299</x:v>
      </x:c>
      <x:c r="B2300" s="8" t="n">
        <x:v>45415</x:v>
      </x:c>
      <x:c r="C2300" s="4" t="str">
        <x:v>PRJ-019</x:v>
      </x:c>
      <x:c r="D2300" s="4" t="str">
        <x:v>Apartment</x:v>
      </x:c>
      <x:c r="E2300" s="4" t="str">
        <x:v>Reserved</x:v>
      </x:c>
      <x:c r="F2300" s="4" t="str">
        <x:v>CUS-02299</x:v>
      </x:c>
      <x:c r="G2300" s="4" t="str">
        <x:v>UNIT-02299</x:v>
      </x:c>
      <x:c r="H2300" s="9" t="n">
        <x:v>11500000</x:v>
      </x:c>
      <x:c r="I2300" s="10" t="n">
        <x:v>0.04</x:v>
      </x:c>
      <x:c r="J2300" s="11" t="n">
        <x:v>11</x:v>
      </x:c>
      <x:c r="K2300" s="11" t="n">
        <x:v>6</x:v>
      </x:c>
      <x:c r="L2300" s="11" t="n">
        <x:v>1</x:v>
      </x:c>
      <x:c r="M2300" s="9" t="n">
        <x:f>ROUND(H2300*(1-I2300),2)</x:f>
        <x:v>11040000</x:v>
      </x:c>
      <x:c r="N2300" s="4" t="str">
        <x:v>Sales manager</x:v>
      </x:c>
      <x:c r="O2300" s="4"/>
      <x:c r="P2300" s="9" t="n">
        <x:v>0</x:v>
      </x:c>
      <x:c r="Q2300" s="11" t="n">
        <x:v>0</x:v>
      </x:c>
      <x:c r="R2300" s="8" t="n">
        <x:v>45475</x:v>
      </x:c>
      <x:c r="S2300" s="4" t="str">
        <x:v>Retained</x:v>
      </x:c>
      <x:c r="T2300" s="10" t="n">
        <x:v>0.351536</x:v>
      </x:c>
      <x:c r="U2300" s="4" t="str">
        <x:v>Train</x:v>
      </x:c>
    </x:row>
    <x:row r="2301" ht="34" customHeight="1">
      <x:c r="A2301" s="4" t="str">
        <x:v>RS-02300</x:v>
      </x:c>
      <x:c r="B2301" s="8" t="n">
        <x:v>45416</x:v>
      </x:c>
      <x:c r="C2301" s="4" t="str">
        <x:v>PRJ-020</x:v>
      </x:c>
      <x:c r="D2301" s="4" t="str">
        <x:v>Apartment</x:v>
      </x:c>
      <x:c r="E2301" s="4" t="str">
        <x:v>Reserved</x:v>
      </x:c>
      <x:c r="F2301" s="4" t="str">
        <x:v>CUS-02300</x:v>
      </x:c>
      <x:c r="G2301" s="4" t="str">
        <x:v>UNIT-02300</x:v>
      </x:c>
      <x:c r="H2301" s="9" t="n">
        <x:v>24400000</x:v>
      </x:c>
      <x:c r="I2301" s="10" t="n">
        <x:v>0.11</x:v>
      </x:c>
      <x:c r="J2301" s="11" t="n">
        <x:v>2</x:v>
      </x:c>
      <x:c r="K2301" s="11" t="n">
        <x:v>6</x:v>
      </x:c>
      <x:c r="L2301" s="11" t="n">
        <x:v>1</x:v>
      </x:c>
      <x:c r="M2301" s="9" t="n">
        <x:f>ROUND(H2301*(1-I2301),2)</x:f>
        <x:v>21716000</x:v>
      </x:c>
      <x:c r="N2301" s="4" t="str">
        <x:v>Sales head</x:v>
      </x:c>
      <x:c r="O2301" s="4"/>
      <x:c r="P2301" s="9" t="n">
        <x:v>0</x:v>
      </x:c>
      <x:c r="Q2301" s="11" t="n">
        <x:v>0</x:v>
      </x:c>
      <x:c r="R2301" s="8" t="n">
        <x:v>45476</x:v>
      </x:c>
      <x:c r="S2301" s="4" t="str">
        <x:v>Retained</x:v>
      </x:c>
      <x:c r="T2301" s="10" t="n">
        <x:v>0.145833</x:v>
      </x:c>
      <x:c r="U2301" s="4" t="str">
        <x:v>Train</x:v>
      </x:c>
    </x:row>
    <x:row r="2302" ht="34" customHeight="1">
      <x:c r="A2302" s="4" t="str">
        <x:v>RS-02301</x:v>
      </x:c>
      <x:c r="B2302" s="8" t="n">
        <x:v>45417</x:v>
      </x:c>
      <x:c r="C2302" s="4" t="str">
        <x:v>PRJ-001</x:v>
      </x:c>
      <x:c r="D2302" s="4" t="str">
        <x:v>Apartment</x:v>
      </x:c>
      <x:c r="E2302" s="4" t="str">
        <x:v>Agreement signed</x:v>
      </x:c>
      <x:c r="F2302" s="4" t="str">
        <x:v>CUS-02301</x:v>
      </x:c>
      <x:c r="G2302" s="4" t="str">
        <x:v>UNIT-02301</x:v>
      </x:c>
      <x:c r="H2302" s="9" t="n">
        <x:v>21800000</x:v>
      </x:c>
      <x:c r="I2302" s="10" t="n">
        <x:v>0.07</x:v>
      </x:c>
      <x:c r="J2302" s="11" t="n">
        <x:v>10</x:v>
      </x:c>
      <x:c r="K2302" s="11" t="n">
        <x:v>1</x:v>
      </x:c>
      <x:c r="L2302" s="11" t="n">
        <x:v>0</x:v>
      </x:c>
      <x:c r="M2302" s="9" t="n">
        <x:f>ROUND(H2302*(1-I2302),2)</x:f>
        <x:v>20274000</x:v>
      </x:c>
      <x:c r="N2302" s="4" t="str">
        <x:v>Sales manager</x:v>
      </x:c>
      <x:c r="O2302" s="4" t="str">
        <x:v>BOOK-02301</x:v>
      </x:c>
      <x:c r="P2302" s="9" t="n">
        <x:v>20274000</x:v>
      </x:c>
      <x:c r="Q2302" s="11" t="n">
        <x:v>0</x:v>
      </x:c>
      <x:c r="R2302" s="8" t="n">
        <x:v>45477</x:v>
      </x:c>
      <x:c r="S2302" s="4" t="str">
        <x:v>Retained</x:v>
      </x:c>
      <x:c r="T2302" s="10" t="n">
        <x:v>0.310195</x:v>
      </x:c>
      <x:c r="U2302" s="4" t="str">
        <x:v>Train</x:v>
      </x:c>
    </x:row>
    <x:row r="2303" ht="34" customHeight="1">
      <x:c r="A2303" s="4" t="str">
        <x:v>RS-02302</x:v>
      </x:c>
      <x:c r="B2303" s="8" t="n">
        <x:v>45418</x:v>
      </x:c>
      <x:c r="C2303" s="4" t="str">
        <x:v>PRJ-002</x:v>
      </x:c>
      <x:c r="D2303" s="4" t="str">
        <x:v>Apartment</x:v>
      </x:c>
      <x:c r="E2303" s="4" t="str">
        <x:v>Enquiry</x:v>
      </x:c>
      <x:c r="F2303" s="4" t="str">
        <x:v>CUS-02302</x:v>
      </x:c>
      <x:c r="G2303" s="4" t="str">
        <x:v>UNIT-02302</x:v>
      </x:c>
      <x:c r="H2303" s="9" t="n">
        <x:v>12800000</x:v>
      </x:c>
      <x:c r="I2303" s="10" t="n">
        <x:v>0.02</x:v>
      </x:c>
      <x:c r="J2303" s="11" t="n">
        <x:v>0</x:v>
      </x:c>
      <x:c r="K2303" s="11" t="n">
        <x:v>6</x:v>
      </x:c>
      <x:c r="L2303" s="11" t="n">
        <x:v>1</x:v>
      </x:c>
      <x:c r="M2303" s="9" t="n">
        <x:f>ROUND(H2303*(1-I2303),2)</x:f>
        <x:v>12544000</x:v>
      </x:c>
      <x:c r="N2303" s="4" t="str">
        <x:v>Sales manager</x:v>
      </x:c>
      <x:c r="O2303" s="4"/>
      <x:c r="P2303" s="9" t="n">
        <x:v>0</x:v>
      </x:c>
      <x:c r="Q2303" s="11" t="n">
        <x:v>0</x:v>
      </x:c>
      <x:c r="R2303" s="8" t="n">
        <x:v>45478</x:v>
      </x:c>
      <x:c r="S2303" s="4" t="str">
        <x:v>Retained</x:v>
      </x:c>
      <x:c r="T2303" s="10" t="n">
        <x:v>0.072165</x:v>
      </x:c>
      <x:c r="U2303" s="4" t="str">
        <x:v>Train</x:v>
      </x:c>
    </x:row>
    <x:row r="2304" ht="34" customHeight="1">
      <x:c r="A2304" s="4" t="str">
        <x:v>RS-02303</x:v>
      </x:c>
      <x:c r="B2304" s="8" t="n">
        <x:v>45419</x:v>
      </x:c>
      <x:c r="C2304" s="4" t="str">
        <x:v>PRJ-003</x:v>
      </x:c>
      <x:c r="D2304" s="4" t="str">
        <x:v>Retail</x:v>
      </x:c>
      <x:c r="E2304" s="4" t="str">
        <x:v>Handed over</x:v>
      </x:c>
      <x:c r="F2304" s="4" t="str">
        <x:v>CUS-02303</x:v>
      </x:c>
      <x:c r="G2304" s="4" t="str">
        <x:v>UNIT-02303</x:v>
      </x:c>
      <x:c r="H2304" s="9" t="n">
        <x:v>7900000</x:v>
      </x:c>
      <x:c r="I2304" s="10" t="n">
        <x:v>0.1</x:v>
      </x:c>
      <x:c r="J2304" s="11" t="n">
        <x:v>0</x:v>
      </x:c>
      <x:c r="K2304" s="11" t="n">
        <x:v>5</x:v>
      </x:c>
      <x:c r="L2304" s="11" t="n">
        <x:v>1</x:v>
      </x:c>
      <x:c r="M2304" s="9" t="n">
        <x:f>ROUND(H2304*(1-I2304),2)</x:f>
        <x:v>7110000</x:v>
      </x:c>
      <x:c r="N2304" s="4" t="str">
        <x:v>Sales head</x:v>
      </x:c>
      <x:c r="O2304" s="4" t="str">
        <x:v>BOOK-02303</x:v>
      </x:c>
      <x:c r="P2304" s="9" t="n">
        <x:v>7110000</x:v>
      </x:c>
      <x:c r="Q2304" s="11" t="n">
        <x:v>0</x:v>
      </x:c>
      <x:c r="R2304" s="8" t="n">
        <x:v>45479</x:v>
      </x:c>
      <x:c r="S2304" s="4" t="str">
        <x:v>Retained</x:v>
      </x:c>
      <x:c r="T2304" s="10" t="n">
        <x:v>0.145833</x:v>
      </x:c>
      <x:c r="U2304" s="4" t="str">
        <x:v>Train</x:v>
      </x:c>
    </x:row>
    <x:row r="2305" ht="34" customHeight="1">
      <x:c r="A2305" s="4" t="str">
        <x:v>RS-02304</x:v>
      </x:c>
      <x:c r="B2305" s="8" t="n">
        <x:v>45420</x:v>
      </x:c>
      <x:c r="C2305" s="4" t="str">
        <x:v>PRJ-004</x:v>
      </x:c>
      <x:c r="D2305" s="4" t="str">
        <x:v>Apartment</x:v>
      </x:c>
      <x:c r="E2305" s="4" t="str">
        <x:v>Reserved</x:v>
      </x:c>
      <x:c r="F2305" s="4" t="str">
        <x:v>CUS-02304</x:v>
      </x:c>
      <x:c r="G2305" s="4" t="str">
        <x:v>UNIT-02304</x:v>
      </x:c>
      <x:c r="H2305" s="9" t="n">
        <x:v>16000000</x:v>
      </x:c>
      <x:c r="I2305" s="10" t="n">
        <x:v>0.06</x:v>
      </x:c>
      <x:c r="J2305" s="11" t="n">
        <x:v>0</x:v>
      </x:c>
      <x:c r="K2305" s="11" t="n">
        <x:v>3</x:v>
      </x:c>
      <x:c r="L2305" s="11" t="n">
        <x:v>1</x:v>
      </x:c>
      <x:c r="M2305" s="9" t="n">
        <x:f>ROUND(H2305*(1-I2305),2)</x:f>
        <x:v>15040000</x:v>
      </x:c>
      <x:c r="N2305" s="4" t="str">
        <x:v>Sales manager</x:v>
      </x:c>
      <x:c r="O2305" s="4"/>
      <x:c r="P2305" s="9" t="n">
        <x:v>0</x:v>
      </x:c>
      <x:c r="Q2305" s="11" t="n">
        <x:v>0</x:v>
      </x:c>
      <x:c r="R2305" s="8" t="n">
        <x:v>45480</x:v>
      </x:c>
      <x:c r="S2305" s="4" t="str">
        <x:v>Retained</x:v>
      </x:c>
      <x:c r="T2305" s="10" t="n">
        <x:v>0.204152</x:v>
      </x:c>
      <x:c r="U2305" s="4" t="str">
        <x:v>Train</x:v>
      </x:c>
    </x:row>
    <x:row r="2306" ht="34" customHeight="1">
      <x:c r="A2306" s="4" t="str">
        <x:v>RS-02305</x:v>
      </x:c>
      <x:c r="B2306" s="8" t="n">
        <x:v>45421</x:v>
      </x:c>
      <x:c r="C2306" s="4" t="str">
        <x:v>PRJ-005</x:v>
      </x:c>
      <x:c r="D2306" s="4" t="str">
        <x:v>Office</x:v>
      </x:c>
      <x:c r="E2306" s="4" t="str">
        <x:v>Reserved</x:v>
      </x:c>
      <x:c r="F2306" s="4" t="str">
        <x:v>CUS-02305</x:v>
      </x:c>
      <x:c r="G2306" s="4" t="str">
        <x:v>UNIT-02305</x:v>
      </x:c>
      <x:c r="H2306" s="9" t="n">
        <x:v>19700000</x:v>
      </x:c>
      <x:c r="I2306" s="10" t="n">
        <x:v>0.02</x:v>
      </x:c>
      <x:c r="J2306" s="11" t="n">
        <x:v>12</x:v>
      </x:c>
      <x:c r="K2306" s="11" t="n">
        <x:v>9</x:v>
      </x:c>
      <x:c r="L2306" s="11" t="n">
        <x:v>0</x:v>
      </x:c>
      <x:c r="M2306" s="9" t="n">
        <x:f>ROUND(H2306*(1-I2306),2)</x:f>
        <x:v>19306000</x:v>
      </x:c>
      <x:c r="N2306" s="4" t="str">
        <x:v>Sales manager</x:v>
      </x:c>
      <x:c r="O2306" s="4"/>
      <x:c r="P2306" s="9" t="n">
        <x:v>0</x:v>
      </x:c>
      <x:c r="Q2306" s="11" t="n">
        <x:v>0</x:v>
      </x:c>
      <x:c r="R2306" s="8" t="n">
        <x:v>45481</x:v>
      </x:c>
      <x:c r="S2306" s="4" t="str">
        <x:v>Retained</x:v>
      </x:c>
      <x:c r="T2306" s="10" t="n">
        <x:v>0.305556</x:v>
      </x:c>
      <x:c r="U2306" s="4" t="str">
        <x:v>Train</x:v>
      </x:c>
    </x:row>
    <x:row r="2307" ht="34" customHeight="1">
      <x:c r="A2307" s="4" t="str">
        <x:v>RS-02306</x:v>
      </x:c>
      <x:c r="B2307" s="8" t="n">
        <x:v>45422</x:v>
      </x:c>
      <x:c r="C2307" s="4" t="str">
        <x:v>PRJ-006</x:v>
      </x:c>
      <x:c r="D2307" s="4" t="str">
        <x:v>Villa</x:v>
      </x:c>
      <x:c r="E2307" s="4" t="str">
        <x:v>Enquiry</x:v>
      </x:c>
      <x:c r="F2307" s="4" t="str">
        <x:v>CUS-02306</x:v>
      </x:c>
      <x:c r="G2307" s="4" t="str">
        <x:v>UNIT-02306</x:v>
      </x:c>
      <x:c r="H2307" s="9" t="n">
        <x:v>13500000</x:v>
      </x:c>
      <x:c r="I2307" s="10" t="n">
        <x:v>0.07</x:v>
      </x:c>
      <x:c r="J2307" s="11" t="n">
        <x:v>8</x:v>
      </x:c>
      <x:c r="K2307" s="11" t="n">
        <x:v>0</x:v>
      </x:c>
      <x:c r="L2307" s="11" t="n">
        <x:v>0</x:v>
      </x:c>
      <x:c r="M2307" s="9" t="n">
        <x:f>ROUND(H2307*(1-I2307),2)</x:f>
        <x:v>12555000</x:v>
      </x:c>
      <x:c r="N2307" s="4" t="str">
        <x:v>Sales manager</x:v>
      </x:c>
      <x:c r="O2307" s="4"/>
      <x:c r="P2307" s="9" t="n">
        <x:v>0</x:v>
      </x:c>
      <x:c r="Q2307" s="11" t="n">
        <x:v>0</x:v>
      </x:c>
      <x:c r="R2307" s="8" t="n">
        <x:v>45482</x:v>
      </x:c>
      <x:c r="S2307" s="4" t="str">
        <x:v>Retained</x:v>
      </x:c>
      <x:c r="T2307" s="10" t="n">
        <x:v>0.310195</x:v>
      </x:c>
      <x:c r="U2307" s="4" t="str">
        <x:v>Train</x:v>
      </x:c>
    </x:row>
    <x:row r="2308" ht="34" customHeight="1">
      <x:c r="A2308" s="4" t="str">
        <x:v>RS-02307</x:v>
      </x:c>
      <x:c r="B2308" s="8" t="n">
        <x:v>45423</x:v>
      </x:c>
      <x:c r="C2308" s="4" t="str">
        <x:v>PRJ-007</x:v>
      </x:c>
      <x:c r="D2308" s="4" t="str">
        <x:v>Office</x:v>
      </x:c>
      <x:c r="E2308" s="4" t="str">
        <x:v>Cancelled</x:v>
      </x:c>
      <x:c r="F2308" s="4" t="str">
        <x:v>CUS-02307</x:v>
      </x:c>
      <x:c r="G2308" s="4" t="str">
        <x:v>UNIT-02307</x:v>
      </x:c>
      <x:c r="H2308" s="9" t="n">
        <x:v>9700000</x:v>
      </x:c>
      <x:c r="I2308" s="10" t="n">
        <x:v>0.04</x:v>
      </x:c>
      <x:c r="J2308" s="11" t="n">
        <x:v>5</x:v>
      </x:c>
      <x:c r="K2308" s="11" t="n">
        <x:v>2</x:v>
      </x:c>
      <x:c r="L2308" s="11" t="n">
        <x:v>0</x:v>
      </x:c>
      <x:c r="M2308" s="9" t="n">
        <x:f>ROUND(H2308*(1-I2308),2)</x:f>
        <x:v>9312000</x:v>
      </x:c>
      <x:c r="N2308" s="4" t="str">
        <x:v>Sales manager</x:v>
      </x:c>
      <x:c r="O2308" s="4"/>
      <x:c r="P2308" s="9" t="n">
        <x:v>0</x:v>
      </x:c>
      <x:c r="Q2308" s="11" t="n">
        <x:v>1</x:v>
      </x:c>
      <x:c r="R2308" s="8" t="n">
        <x:v>45483</x:v>
      </x:c>
      <x:c r="S2308" s="4" t="str">
        <x:v>Lost / cancelled</x:v>
      </x:c>
      <x:c r="T2308" s="10" t="n">
        <x:v>0.226277</x:v>
      </x:c>
      <x:c r="U2308" s="4" t="str">
        <x:v>Train</x:v>
      </x:c>
    </x:row>
    <x:row r="2309" ht="34" customHeight="1">
      <x:c r="A2309" s="4" t="str">
        <x:v>RS-02308</x:v>
      </x:c>
      <x:c r="B2309" s="8" t="n">
        <x:v>45424</x:v>
      </x:c>
      <x:c r="C2309" s="4" t="str">
        <x:v>PRJ-008</x:v>
      </x:c>
      <x:c r="D2309" s="4" t="str">
        <x:v>Apartment</x:v>
      </x:c>
      <x:c r="E2309" s="4" t="str">
        <x:v>Agreement signed</x:v>
      </x:c>
      <x:c r="F2309" s="4" t="str">
        <x:v>CUS-02308</x:v>
      </x:c>
      <x:c r="G2309" s="4" t="str">
        <x:v>UNIT-02308</x:v>
      </x:c>
      <x:c r="H2309" s="9" t="n">
        <x:v>8500000</x:v>
      </x:c>
      <x:c r="I2309" s="10" t="n">
        <x:v>0.1</x:v>
      </x:c>
      <x:c r="J2309" s="11" t="n">
        <x:v>3</x:v>
      </x:c>
      <x:c r="K2309" s="11" t="n">
        <x:v>4</x:v>
      </x:c>
      <x:c r="L2309" s="11" t="n">
        <x:v>1</x:v>
      </x:c>
      <x:c r="M2309" s="9" t="n">
        <x:f>ROUND(H2309*(1-I2309),2)</x:f>
        <x:v>7650000</x:v>
      </x:c>
      <x:c r="N2309" s="4" t="str">
        <x:v>Sales head</x:v>
      </x:c>
      <x:c r="O2309" s="4" t="str">
        <x:v>BOOK-02308</x:v>
      </x:c>
      <x:c r="P2309" s="9" t="n">
        <x:v>7650000</x:v>
      </x:c>
      <x:c r="Q2309" s="11" t="n">
        <x:v>0</x:v>
      </x:c>
      <x:c r="R2309" s="8" t="n">
        <x:v>45484</x:v>
      </x:c>
      <x:c r="S2309" s="4" t="str">
        <x:v>Retained</x:v>
      </x:c>
      <x:c r="T2309" s="10" t="n">
        <x:v>0.145833</x:v>
      </x:c>
      <x:c r="U2309" s="4" t="str">
        <x:v>Train</x:v>
      </x:c>
    </x:row>
    <x:row r="2310" ht="34" customHeight="1">
      <x:c r="A2310" s="4" t="str">
        <x:v>RS-02309</x:v>
      </x:c>
      <x:c r="B2310" s="8" t="n">
        <x:v>45425</x:v>
      </x:c>
      <x:c r="C2310" s="4" t="str">
        <x:v>PRJ-009</x:v>
      </x:c>
      <x:c r="D2310" s="4" t="str">
        <x:v>Apartment</x:v>
      </x:c>
      <x:c r="E2310" s="4" t="str">
        <x:v>Enquiry</x:v>
      </x:c>
      <x:c r="F2310" s="4" t="str">
        <x:v>CUS-02309</x:v>
      </x:c>
      <x:c r="G2310" s="4" t="str">
        <x:v>UNIT-02309</x:v>
      </x:c>
      <x:c r="H2310" s="9" t="n">
        <x:v>21200000</x:v>
      </x:c>
      <x:c r="I2310" s="10" t="n">
        <x:v>0.04</x:v>
      </x:c>
      <x:c r="J2310" s="11" t="n">
        <x:v>2</x:v>
      </x:c>
      <x:c r="K2310" s="11" t="n">
        <x:v>4</x:v>
      </x:c>
      <x:c r="L2310" s="11" t="n">
        <x:v>1</x:v>
      </x:c>
      <x:c r="M2310" s="9" t="n">
        <x:f>ROUND(H2310*(1-I2310),2)</x:f>
        <x:v>20352000</x:v>
      </x:c>
      <x:c r="N2310" s="4" t="str">
        <x:v>Sales manager</x:v>
      </x:c>
      <x:c r="O2310" s="4"/>
      <x:c r="P2310" s="9" t="n">
        <x:v>0</x:v>
      </x:c>
      <x:c r="Q2310" s="11" t="n">
        <x:v>0</x:v>
      </x:c>
      <x:c r="R2310" s="8" t="n">
        <x:v>45485</x:v>
      </x:c>
      <x:c r="S2310" s="4" t="str">
        <x:v>Retained</x:v>
      </x:c>
      <x:c r="T2310" s="10" t="n">
        <x:v>0.204152</x:v>
      </x:c>
      <x:c r="U2310" s="4" t="str">
        <x:v>Train</x:v>
      </x:c>
    </x:row>
    <x:row r="2311" ht="34" customHeight="1">
      <x:c r="A2311" s="4" t="str">
        <x:v>RS-02310</x:v>
      </x:c>
      <x:c r="B2311" s="8" t="n">
        <x:v>45426</x:v>
      </x:c>
      <x:c r="C2311" s="4" t="str">
        <x:v>PRJ-010</x:v>
      </x:c>
      <x:c r="D2311" s="4" t="str">
        <x:v>Office</x:v>
      </x:c>
      <x:c r="E2311" s="4" t="str">
        <x:v>Agreement signed</x:v>
      </x:c>
      <x:c r="F2311" s="4" t="str">
        <x:v>CUS-02310</x:v>
      </x:c>
      <x:c r="G2311" s="4" t="str">
        <x:v>UNIT-02310</x:v>
      </x:c>
      <x:c r="H2311" s="9" t="n">
        <x:v>18300000</x:v>
      </x:c>
      <x:c r="I2311" s="10" t="n">
        <x:v>0.05</x:v>
      </x:c>
      <x:c r="J2311" s="11" t="n">
        <x:v>4</x:v>
      </x:c>
      <x:c r="K2311" s="11" t="n">
        <x:v>10</x:v>
      </x:c>
      <x:c r="L2311" s="11" t="n">
        <x:v>1</x:v>
      </x:c>
      <x:c r="M2311" s="9" t="n">
        <x:f>ROUND(H2311*(1-I2311),2)</x:f>
        <x:v>17385000</x:v>
      </x:c>
      <x:c r="N2311" s="4" t="str">
        <x:v>Sales manager</x:v>
      </x:c>
      <x:c r="O2311" s="4" t="str">
        <x:v>BOOK-02310</x:v>
      </x:c>
      <x:c r="P2311" s="9" t="n">
        <x:v>17385000</x:v>
      </x:c>
      <x:c r="Q2311" s="11" t="n">
        <x:v>0</x:v>
      </x:c>
      <x:c r="R2311" s="8" t="n">
        <x:v>45486</x:v>
      </x:c>
      <x:c r="S2311" s="4" t="str">
        <x:v>Retained</x:v>
      </x:c>
      <x:c r="T2311" s="10" t="n">
        <x:v>0.291946</x:v>
      </x:c>
      <x:c r="U2311" s="4" t="str">
        <x:v>Train</x:v>
      </x:c>
    </x:row>
    <x:row r="2312" ht="34" customHeight="1">
      <x:c r="A2312" s="4" t="str">
        <x:v>RS-02311</x:v>
      </x:c>
      <x:c r="B2312" s="8" t="n">
        <x:v>45427</x:v>
      </x:c>
      <x:c r="C2312" s="4" t="str">
        <x:v>PRJ-011</x:v>
      </x:c>
      <x:c r="D2312" s="4" t="str">
        <x:v>Villa</x:v>
      </x:c>
      <x:c r="E2312" s="4" t="str">
        <x:v>Reserved</x:v>
      </x:c>
      <x:c r="F2312" s="4" t="str">
        <x:v>CUS-02311</x:v>
      </x:c>
      <x:c r="G2312" s="4" t="str">
        <x:v>UNIT-02311</x:v>
      </x:c>
      <x:c r="H2312" s="9" t="n">
        <x:v>12600000</x:v>
      </x:c>
      <x:c r="I2312" s="10" t="n">
        <x:v>0.02</x:v>
      </x:c>
      <x:c r="J2312" s="11" t="n">
        <x:v>8</x:v>
      </x:c>
      <x:c r="K2312" s="11" t="n">
        <x:v>4</x:v>
      </x:c>
      <x:c r="L2312" s="11" t="n">
        <x:v>1</x:v>
      </x:c>
      <x:c r="M2312" s="9" t="n">
        <x:f>ROUND(H2312*(1-I2312),2)</x:f>
        <x:v>12348000</x:v>
      </x:c>
      <x:c r="N2312" s="4" t="str">
        <x:v>Sales manager</x:v>
      </x:c>
      <x:c r="O2312" s="4"/>
      <x:c r="P2312" s="9" t="n">
        <x:v>0</x:v>
      </x:c>
      <x:c r="Q2312" s="11" t="n">
        <x:v>0</x:v>
      </x:c>
      <x:c r="R2312" s="8" t="n">
        <x:v>45487</x:v>
      </x:c>
      <x:c r="S2312" s="4" t="str">
        <x:v>Retained</x:v>
      </x:c>
      <x:c r="T2312" s="10" t="n">
        <x:v>0.254545</x:v>
      </x:c>
      <x:c r="U2312" s="4" t="str">
        <x:v>Train</x:v>
      </x:c>
    </x:row>
    <x:row r="2313" ht="34" customHeight="1">
      <x:c r="A2313" s="4" t="str">
        <x:v>RS-02312</x:v>
      </x:c>
      <x:c r="B2313" s="8" t="n">
        <x:v>45428</x:v>
      </x:c>
      <x:c r="C2313" s="4" t="str">
        <x:v>PRJ-012</x:v>
      </x:c>
      <x:c r="D2313" s="4" t="str">
        <x:v>Villa</x:v>
      </x:c>
      <x:c r="E2313" s="4" t="str">
        <x:v>Agreement signed</x:v>
      </x:c>
      <x:c r="F2313" s="4" t="str">
        <x:v>CUS-02312</x:v>
      </x:c>
      <x:c r="G2313" s="4" t="str">
        <x:v>UNIT-02312</x:v>
      </x:c>
      <x:c r="H2313" s="9" t="n">
        <x:v>22800000</x:v>
      </x:c>
      <x:c r="I2313" s="10" t="n">
        <x:v>0.05</x:v>
      </x:c>
      <x:c r="J2313" s="11" t="n">
        <x:v>8</x:v>
      </x:c>
      <x:c r="K2313" s="11" t="n">
        <x:v>2</x:v>
      </x:c>
      <x:c r="L2313" s="11" t="n">
        <x:v>1</x:v>
      </x:c>
      <x:c r="M2313" s="9" t="n">
        <x:f>ROUND(H2313*(1-I2313),2)</x:f>
        <x:v>21660000</x:v>
      </x:c>
      <x:c r="N2313" s="4" t="str">
        <x:v>Sales manager</x:v>
      </x:c>
      <x:c r="O2313" s="4" t="str">
        <x:v>BOOK-02312</x:v>
      </x:c>
      <x:c r="P2313" s="9" t="n">
        <x:v>10830000</x:v>
      </x:c>
      <x:c r="Q2313" s="11" t="n">
        <x:v>0</x:v>
      </x:c>
      <x:c r="R2313" s="8" t="n">
        <x:v>45488</x:v>
      </x:c>
      <x:c r="S2313" s="4" t="str">
        <x:v>Retained</x:v>
      </x:c>
      <x:c r="T2313" s="10" t="n">
        <x:v>0.310195</x:v>
      </x:c>
      <x:c r="U2313" s="4" t="str">
        <x:v>Train</x:v>
      </x:c>
    </x:row>
    <x:row r="2314" ht="34" customHeight="1">
      <x:c r="A2314" s="4" t="str">
        <x:v>RS-02313</x:v>
      </x:c>
      <x:c r="B2314" s="8" t="n">
        <x:v>45429</x:v>
      </x:c>
      <x:c r="C2314" s="4" t="str">
        <x:v>PRJ-013</x:v>
      </x:c>
      <x:c r="D2314" s="4" t="str">
        <x:v>Villa</x:v>
      </x:c>
      <x:c r="E2314" s="4" t="str">
        <x:v>Enquiry</x:v>
      </x:c>
      <x:c r="F2314" s="4" t="str">
        <x:v>CUS-02313</x:v>
      </x:c>
      <x:c r="G2314" s="4" t="str">
        <x:v>UNIT-02313</x:v>
      </x:c>
      <x:c r="H2314" s="9" t="n">
        <x:v>8100000</x:v>
      </x:c>
      <x:c r="I2314" s="10" t="n">
        <x:v>0.09</x:v>
      </x:c>
      <x:c r="J2314" s="11" t="n">
        <x:v>10</x:v>
      </x:c>
      <x:c r="K2314" s="11" t="n">
        <x:v>10</x:v>
      </x:c>
      <x:c r="L2314" s="11" t="n">
        <x:v>1</x:v>
      </x:c>
      <x:c r="M2314" s="9" t="n">
        <x:f>ROUND(H2314*(1-I2314),2)</x:f>
        <x:v>7371000</x:v>
      </x:c>
      <x:c r="N2314" s="4" t="str">
        <x:v>Sales head</x:v>
      </x:c>
      <x:c r="O2314" s="4"/>
      <x:c r="P2314" s="9" t="n">
        <x:v>0</x:v>
      </x:c>
      <x:c r="Q2314" s="11" t="n">
        <x:v>1</x:v>
      </x:c>
      <x:c r="R2314" s="8" t="n">
        <x:v>45489</x:v>
      </x:c>
      <x:c r="S2314" s="4" t="str">
        <x:v>Lost / cancelled</x:v>
      </x:c>
      <x:c r="T2314" s="10" t="n">
        <x:v>0.310195</x:v>
      </x:c>
      <x:c r="U2314" s="4" t="str">
        <x:v>Train</x:v>
      </x:c>
    </x:row>
    <x:row r="2315" ht="34" customHeight="1">
      <x:c r="A2315" s="4" t="str">
        <x:v>RS-02314</x:v>
      </x:c>
      <x:c r="B2315" s="8" t="n">
        <x:v>45430</x:v>
      </x:c>
      <x:c r="C2315" s="4" t="str">
        <x:v>PRJ-014</x:v>
      </x:c>
      <x:c r="D2315" s="4" t="str">
        <x:v>Retail</x:v>
      </x:c>
      <x:c r="E2315" s="4" t="str">
        <x:v>Reserved</x:v>
      </x:c>
      <x:c r="F2315" s="4" t="str">
        <x:v>CUS-02314</x:v>
      </x:c>
      <x:c r="G2315" s="4" t="str">
        <x:v>UNIT-02314</x:v>
      </x:c>
      <x:c r="H2315" s="9" t="n">
        <x:v>13700000</x:v>
      </x:c>
      <x:c r="I2315" s="10" t="n">
        <x:v>0.05</x:v>
      </x:c>
      <x:c r="J2315" s="11" t="n">
        <x:v>10</x:v>
      </x:c>
      <x:c r="K2315" s="11" t="n">
        <x:v>6</x:v>
      </x:c>
      <x:c r="L2315" s="11" t="n">
        <x:v>0</x:v>
      </x:c>
      <x:c r="M2315" s="9" t="n">
        <x:f>ROUND(H2315*(1-I2315),2)</x:f>
        <x:v>13015000</x:v>
      </x:c>
      <x:c r="N2315" s="4" t="str">
        <x:v>Sales manager</x:v>
      </x:c>
      <x:c r="O2315" s="4"/>
      <x:c r="P2315" s="9" t="n">
        <x:v>0</x:v>
      </x:c>
      <x:c r="Q2315" s="11" t="n">
        <x:v>0</x:v>
      </x:c>
      <x:c r="R2315" s="8" t="n">
        <x:v>45490</x:v>
      </x:c>
      <x:c r="S2315" s="4" t="str">
        <x:v>Retained</x:v>
      </x:c>
      <x:c r="T2315" s="10" t="n">
        <x:v>0.310195</x:v>
      </x:c>
      <x:c r="U2315" s="4" t="str">
        <x:v>Train</x:v>
      </x:c>
    </x:row>
    <x:row r="2316" ht="34" customHeight="1">
      <x:c r="A2316" s="4" t="str">
        <x:v>RS-02315</x:v>
      </x:c>
      <x:c r="B2316" s="8" t="n">
        <x:v>45431</x:v>
      </x:c>
      <x:c r="C2316" s="4" t="str">
        <x:v>PRJ-015</x:v>
      </x:c>
      <x:c r="D2316" s="4" t="str">
        <x:v>Retail</x:v>
      </x:c>
      <x:c r="E2316" s="4" t="str">
        <x:v>Reserved</x:v>
      </x:c>
      <x:c r="F2316" s="4" t="str">
        <x:v>CUS-02315</x:v>
      </x:c>
      <x:c r="G2316" s="4" t="str">
        <x:v>UNIT-02315</x:v>
      </x:c>
      <x:c r="H2316" s="9" t="n">
        <x:v>10600000</x:v>
      </x:c>
      <x:c r="I2316" s="10" t="n">
        <x:v>0.02</x:v>
      </x:c>
      <x:c r="J2316" s="11" t="n">
        <x:v>9</x:v>
      </x:c>
      <x:c r="K2316" s="11" t="n">
        <x:v>9</x:v>
      </x:c>
      <x:c r="L2316" s="11" t="n">
        <x:v>1</x:v>
      </x:c>
      <x:c r="M2316" s="9" t="n">
        <x:f>ROUND(H2316*(1-I2316),2)</x:f>
        <x:v>10388000</x:v>
      </x:c>
      <x:c r="N2316" s="4" t="str">
        <x:v>Sales manager</x:v>
      </x:c>
      <x:c r="O2316" s="4"/>
      <x:c r="P2316" s="9" t="n">
        <x:v>0</x:v>
      </x:c>
      <x:c r="Q2316" s="11" t="n">
        <x:v>1</x:v>
      </x:c>
      <x:c r="R2316" s="8" t="n">
        <x:v>45491</x:v>
      </x:c>
      <x:c r="S2316" s="4" t="str">
        <x:v>Lost / cancelled</x:v>
      </x:c>
      <x:c r="T2316" s="10" t="n">
        <x:v>0.254545</x:v>
      </x:c>
      <x:c r="U2316" s="4" t="str">
        <x:v>Train</x:v>
      </x:c>
    </x:row>
    <x:row r="2317" ht="34" customHeight="1">
      <x:c r="A2317" s="4" t="str">
        <x:v>RS-02316</x:v>
      </x:c>
      <x:c r="B2317" s="8" t="n">
        <x:v>45432</x:v>
      </x:c>
      <x:c r="C2317" s="4" t="str">
        <x:v>PRJ-016</x:v>
      </x:c>
      <x:c r="D2317" s="4" t="str">
        <x:v>Retail</x:v>
      </x:c>
      <x:c r="E2317" s="4" t="str">
        <x:v>Enquiry</x:v>
      </x:c>
      <x:c r="F2317" s="4" t="str">
        <x:v>CUS-02316</x:v>
      </x:c>
      <x:c r="G2317" s="4" t="str">
        <x:v>UNIT-02316</x:v>
      </x:c>
      <x:c r="H2317" s="9" t="n">
        <x:v>19300000</x:v>
      </x:c>
      <x:c r="I2317" s="10" t="n">
        <x:v>0.07</x:v>
      </x:c>
      <x:c r="J2317" s="11" t="n">
        <x:v>6</x:v>
      </x:c>
      <x:c r="K2317" s="11" t="n">
        <x:v>9</x:v>
      </x:c>
      <x:c r="L2317" s="11" t="n">
        <x:v>0</x:v>
      </x:c>
      <x:c r="M2317" s="9" t="n">
        <x:f>ROUND(H2317*(1-I2317),2)</x:f>
        <x:v>17949000</x:v>
      </x:c>
      <x:c r="N2317" s="4" t="str">
        <x:v>Sales manager</x:v>
      </x:c>
      <x:c r="O2317" s="4"/>
      <x:c r="P2317" s="9" t="n">
        <x:v>0</x:v>
      </x:c>
      <x:c r="Q2317" s="11" t="n">
        <x:v>0</x:v>
      </x:c>
      <x:c r="R2317" s="8" t="n">
        <x:v>45492</x:v>
      </x:c>
      <x:c r="S2317" s="4" t="str">
        <x:v>Retained</x:v>
      </x:c>
      <x:c r="T2317" s="10" t="n">
        <x:v>0.226277</x:v>
      </x:c>
      <x:c r="U2317" s="4" t="str">
        <x:v>Train</x:v>
      </x:c>
    </x:row>
    <x:row r="2318" ht="34" customHeight="1">
      <x:c r="A2318" s="4" t="str">
        <x:v>RS-02317</x:v>
      </x:c>
      <x:c r="B2318" s="8" t="n">
        <x:v>45433</x:v>
      </x:c>
      <x:c r="C2318" s="4" t="str">
        <x:v>PRJ-017</x:v>
      </x:c>
      <x:c r="D2318" s="4" t="str">
        <x:v>Villa</x:v>
      </x:c>
      <x:c r="E2318" s="4" t="str">
        <x:v>Agreement signed</x:v>
      </x:c>
      <x:c r="F2318" s="4" t="str">
        <x:v>CUS-02317</x:v>
      </x:c>
      <x:c r="G2318" s="4" t="str">
        <x:v>UNIT-02317</x:v>
      </x:c>
      <x:c r="H2318" s="9" t="n">
        <x:v>17500000</x:v>
      </x:c>
      <x:c r="I2318" s="10" t="n">
        <x:v>0.05</x:v>
      </x:c>
      <x:c r="J2318" s="11" t="n">
        <x:v>7</x:v>
      </x:c>
      <x:c r="K2318" s="11" t="n">
        <x:v>1</x:v>
      </x:c>
      <x:c r="L2318" s="11" t="n">
        <x:v>1</x:v>
      </x:c>
      <x:c r="M2318" s="9" t="n">
        <x:f>ROUND(H2318*(1-I2318),2)</x:f>
        <x:v>16625000</x:v>
      </x:c>
      <x:c r="N2318" s="4" t="str">
        <x:v>Sales manager</x:v>
      </x:c>
      <x:c r="O2318" s="4" t="str">
        <x:v>BOOK-02317</x:v>
      </x:c>
      <x:c r="P2318" s="9" t="n">
        <x:v>16625000</x:v>
      </x:c>
      <x:c r="Q2318" s="11" t="n">
        <x:v>0</x:v>
      </x:c>
      <x:c r="R2318" s="8" t="n">
        <x:v>45493</x:v>
      </x:c>
      <x:c r="S2318" s="4" t="str">
        <x:v>Retained</x:v>
      </x:c>
      <x:c r="T2318" s="10" t="n">
        <x:v>0.291946</x:v>
      </x:c>
      <x:c r="U2318" s="4" t="str">
        <x:v>Train</x:v>
      </x:c>
    </x:row>
    <x:row r="2319" ht="34" customHeight="1">
      <x:c r="A2319" s="4" t="str">
        <x:v>RS-02318</x:v>
      </x:c>
      <x:c r="B2319" s="8" t="n">
        <x:v>45434</x:v>
      </x:c>
      <x:c r="C2319" s="4" t="str">
        <x:v>PRJ-018</x:v>
      </x:c>
      <x:c r="D2319" s="4" t="str">
        <x:v>Apartment</x:v>
      </x:c>
      <x:c r="E2319" s="4" t="str">
        <x:v>Booked</x:v>
      </x:c>
      <x:c r="F2319" s="4" t="str">
        <x:v>CUS-02318</x:v>
      </x:c>
      <x:c r="G2319" s="4" t="str">
        <x:v>UNIT-02318</x:v>
      </x:c>
      <x:c r="H2319" s="9" t="n">
        <x:v>5500000</x:v>
      </x:c>
      <x:c r="I2319" s="10" t="n">
        <x:v>0.08</x:v>
      </x:c>
      <x:c r="J2319" s="11" t="n">
        <x:v>9</x:v>
      </x:c>
      <x:c r="K2319" s="11" t="n">
        <x:v>6</x:v>
      </x:c>
      <x:c r="L2319" s="11" t="n">
        <x:v>1</x:v>
      </x:c>
      <x:c r="M2319" s="9" t="n">
        <x:f>ROUND(H2319*(1-I2319),2)</x:f>
        <x:v>5060000</x:v>
      </x:c>
      <x:c r="N2319" s="4" t="str">
        <x:v>Sales head</x:v>
      </x:c>
      <x:c r="O2319" s="4" t="str">
        <x:v>BOOK-02318</x:v>
      </x:c>
      <x:c r="P2319" s="9" t="n">
        <x:v>2530000</x:v>
      </x:c>
      <x:c r="Q2319" s="11" t="n">
        <x:v>0</x:v>
      </x:c>
      <x:c r="R2319" s="8" t="n">
        <x:v>45494</x:v>
      </x:c>
      <x:c r="S2319" s="4" t="str">
        <x:v>Retained</x:v>
      </x:c>
      <x:c r="T2319" s="10" t="n">
        <x:v>0.310195</x:v>
      </x:c>
      <x:c r="U2319" s="4" t="str">
        <x:v>Train</x:v>
      </x:c>
    </x:row>
    <x:row r="2320" ht="34" customHeight="1">
      <x:c r="A2320" s="4" t="str">
        <x:v>RS-02319</x:v>
      </x:c>
      <x:c r="B2320" s="8" t="n">
        <x:v>45435</x:v>
      </x:c>
      <x:c r="C2320" s="4" t="str">
        <x:v>PRJ-019</x:v>
      </x:c>
      <x:c r="D2320" s="4" t="str">
        <x:v>Retail</x:v>
      </x:c>
      <x:c r="E2320" s="4" t="str">
        <x:v>Booked</x:v>
      </x:c>
      <x:c r="F2320" s="4" t="str">
        <x:v>CUS-02319</x:v>
      </x:c>
      <x:c r="G2320" s="4" t="str">
        <x:v>UNIT-02319</x:v>
      </x:c>
      <x:c r="H2320" s="9" t="n">
        <x:v>13400000</x:v>
      </x:c>
      <x:c r="I2320" s="10" t="n">
        <x:v>0.07</x:v>
      </x:c>
      <x:c r="J2320" s="11" t="n">
        <x:v>8</x:v>
      </x:c>
      <x:c r="K2320" s="11" t="n">
        <x:v>8</x:v>
      </x:c>
      <x:c r="L2320" s="11" t="n">
        <x:v>0</x:v>
      </x:c>
      <x:c r="M2320" s="9" t="n">
        <x:f>ROUND(H2320*(1-I2320),2)</x:f>
        <x:v>12462000</x:v>
      </x:c>
      <x:c r="N2320" s="4" t="str">
        <x:v>Sales manager</x:v>
      </x:c>
      <x:c r="O2320" s="4" t="str">
        <x:v>BOOK-02319</x:v>
      </x:c>
      <x:c r="P2320" s="9" t="n">
        <x:v>3115500</x:v>
      </x:c>
      <x:c r="Q2320" s="11" t="n">
        <x:v>0</x:v>
      </x:c>
      <x:c r="R2320" s="8" t="n">
        <x:v>45495</x:v>
      </x:c>
      <x:c r="S2320" s="4" t="str">
        <x:v>Retained</x:v>
      </x:c>
      <x:c r="T2320" s="10" t="n">
        <x:v>0.310195</x:v>
      </x:c>
      <x:c r="U2320" s="4" t="str">
        <x:v>Train</x:v>
      </x:c>
    </x:row>
    <x:row r="2321" ht="34" customHeight="1">
      <x:c r="A2321" s="4" t="str">
        <x:v>RS-02320</x:v>
      </x:c>
      <x:c r="B2321" s="8" t="n">
        <x:v>45436</x:v>
      </x:c>
      <x:c r="C2321" s="4" t="str">
        <x:v>PRJ-020</x:v>
      </x:c>
      <x:c r="D2321" s="4" t="str">
        <x:v>Retail</x:v>
      </x:c>
      <x:c r="E2321" s="4" t="str">
        <x:v>Reserved</x:v>
      </x:c>
      <x:c r="F2321" s="4" t="str">
        <x:v>CUS-02320</x:v>
      </x:c>
      <x:c r="G2321" s="4" t="str">
        <x:v>UNIT-02320</x:v>
      </x:c>
      <x:c r="H2321" s="9" t="n">
        <x:v>8900000</x:v>
      </x:c>
      <x:c r="I2321" s="10" t="n">
        <x:v>0.06</x:v>
      </x:c>
      <x:c r="J2321" s="11" t="n">
        <x:v>6</x:v>
      </x:c>
      <x:c r="K2321" s="11" t="n">
        <x:v>3</x:v>
      </x:c>
      <x:c r="L2321" s="11" t="n">
        <x:v>0</x:v>
      </x:c>
      <x:c r="M2321" s="9" t="n">
        <x:f>ROUND(H2321*(1-I2321),2)</x:f>
        <x:v>8366000</x:v>
      </x:c>
      <x:c r="N2321" s="4" t="str">
        <x:v>Sales manager</x:v>
      </x:c>
      <x:c r="O2321" s="4"/>
      <x:c r="P2321" s="9" t="n">
        <x:v>0</x:v>
      </x:c>
      <x:c r="Q2321" s="11" t="n">
        <x:v>0</x:v>
      </x:c>
      <x:c r="R2321" s="8" t="n">
        <x:v>45496</x:v>
      </x:c>
      <x:c r="S2321" s="4" t="str">
        <x:v>Retained</x:v>
      </x:c>
      <x:c r="T2321" s="10" t="n">
        <x:v>0.226277</x:v>
      </x:c>
      <x:c r="U2321" s="4" t="str">
        <x:v>Train</x:v>
      </x:c>
    </x:row>
    <x:row r="2322" ht="34" customHeight="1">
      <x:c r="A2322" s="4" t="str">
        <x:v>RS-02321</x:v>
      </x:c>
      <x:c r="B2322" s="8" t="n">
        <x:v>45437</x:v>
      </x:c>
      <x:c r="C2322" s="4" t="str">
        <x:v>PRJ-001</x:v>
      </x:c>
      <x:c r="D2322" s="4" t="str">
        <x:v>Retail</x:v>
      </x:c>
      <x:c r="E2322" s="4" t="str">
        <x:v>Booked</x:v>
      </x:c>
      <x:c r="F2322" s="4" t="str">
        <x:v>CUS-02321</x:v>
      </x:c>
      <x:c r="G2322" s="4" t="str">
        <x:v>UNIT-02321</x:v>
      </x:c>
      <x:c r="H2322" s="9" t="n">
        <x:v>18200000</x:v>
      </x:c>
      <x:c r="I2322" s="10" t="n">
        <x:v>0.12</x:v>
      </x:c>
      <x:c r="J2322" s="11" t="n">
        <x:v>0</x:v>
      </x:c>
      <x:c r="K2322" s="11" t="n">
        <x:v>10</x:v>
      </x:c>
      <x:c r="L2322" s="11" t="n">
        <x:v>0</x:v>
      </x:c>
      <x:c r="M2322" s="9" t="n">
        <x:f>ROUND(H2322*(1-I2322),2)</x:f>
        <x:v>16016000</x:v>
      </x:c>
      <x:c r="N2322" s="4" t="str">
        <x:v>Sales head</x:v>
      </x:c>
      <x:c r="O2322" s="4" t="str">
        <x:v>BOOK-02321</x:v>
      </x:c>
      <x:c r="P2322" s="9" t="n">
        <x:v>4004000</x:v>
      </x:c>
      <x:c r="Q2322" s="11" t="n">
        <x:v>0</x:v>
      </x:c>
      <x:c r="R2322" s="8" t="n">
        <x:v>45497</x:v>
      </x:c>
      <x:c r="S2322" s="4" t="str">
        <x:v>Retained</x:v>
      </x:c>
      <x:c r="T2322" s="10" t="n">
        <x:v>0.145833</x:v>
      </x:c>
      <x:c r="U2322" s="4" t="str">
        <x:v>Train</x:v>
      </x:c>
    </x:row>
    <x:row r="2323" ht="34" customHeight="1">
      <x:c r="A2323" s="4" t="str">
        <x:v>RS-02322</x:v>
      </x:c>
      <x:c r="B2323" s="8" t="n">
        <x:v>45438</x:v>
      </x:c>
      <x:c r="C2323" s="4" t="str">
        <x:v>PRJ-002</x:v>
      </x:c>
      <x:c r="D2323" s="4" t="str">
        <x:v>Retail</x:v>
      </x:c>
      <x:c r="E2323" s="4" t="str">
        <x:v>Handed over</x:v>
      </x:c>
      <x:c r="F2323" s="4" t="str">
        <x:v>CUS-02322</x:v>
      </x:c>
      <x:c r="G2323" s="4" t="str">
        <x:v>UNIT-02322</x:v>
      </x:c>
      <x:c r="H2323" s="9" t="n">
        <x:v>24800000</x:v>
      </x:c>
      <x:c r="I2323" s="10" t="n">
        <x:v>0.03</x:v>
      </x:c>
      <x:c r="J2323" s="11" t="n">
        <x:v>5</x:v>
      </x:c>
      <x:c r="K2323" s="11" t="n">
        <x:v>5</x:v>
      </x:c>
      <x:c r="L2323" s="11" t="n">
        <x:v>1</x:v>
      </x:c>
      <x:c r="M2323" s="9" t="n">
        <x:f>ROUND(H2323*(1-I2323),2)</x:f>
        <x:v>24056000</x:v>
      </x:c>
      <x:c r="N2323" s="4" t="str">
        <x:v>Sales manager</x:v>
      </x:c>
      <x:c r="O2323" s="4" t="str">
        <x:v>BOOK-02322</x:v>
      </x:c>
      <x:c r="P2323" s="9" t="n">
        <x:v>2405600</x:v>
      </x:c>
      <x:c r="Q2323" s="11" t="n">
        <x:v>0</x:v>
      </x:c>
      <x:c r="R2323" s="8" t="n">
        <x:v>45498</x:v>
      </x:c>
      <x:c r="S2323" s="4" t="str">
        <x:v>Retained</x:v>
      </x:c>
      <x:c r="T2323" s="10" t="n">
        <x:v>0.145299</x:v>
      </x:c>
      <x:c r="U2323" s="4" t="str">
        <x:v>Train</x:v>
      </x:c>
    </x:row>
    <x:row r="2324" ht="34" customHeight="1">
      <x:c r="A2324" s="4" t="str">
        <x:v>RS-02323</x:v>
      </x:c>
      <x:c r="B2324" s="8" t="n">
        <x:v>45439</x:v>
      </x:c>
      <x:c r="C2324" s="4" t="str">
        <x:v>PRJ-003</x:v>
      </x:c>
      <x:c r="D2324" s="4" t="str">
        <x:v>Apartment</x:v>
      </x:c>
      <x:c r="E2324" s="4" t="str">
        <x:v>Reserved</x:v>
      </x:c>
      <x:c r="F2324" s="4" t="str">
        <x:v>CUS-02323</x:v>
      </x:c>
      <x:c r="G2324" s="4" t="str">
        <x:v>UNIT-02323</x:v>
      </x:c>
      <x:c r="H2324" s="9" t="n">
        <x:v>22400000</x:v>
      </x:c>
      <x:c r="I2324" s="10" t="n">
        <x:v>0.01</x:v>
      </x:c>
      <x:c r="J2324" s="11" t="n">
        <x:v>11</x:v>
      </x:c>
      <x:c r="K2324" s="11" t="n">
        <x:v>0</x:v>
      </x:c>
      <x:c r="L2324" s="11" t="n">
        <x:v>0</x:v>
      </x:c>
      <x:c r="M2324" s="9" t="n">
        <x:f>ROUND(H2324*(1-I2324),2)</x:f>
        <x:v>22176000</x:v>
      </x:c>
      <x:c r="N2324" s="4" t="str">
        <x:v>Sales manager</x:v>
      </x:c>
      <x:c r="O2324" s="4"/>
      <x:c r="P2324" s="9" t="n">
        <x:v>0</x:v>
      </x:c>
      <x:c r="Q2324" s="11" t="n">
        <x:v>0</x:v>
      </x:c>
      <x:c r="R2324" s="8" t="n">
        <x:v>45499</x:v>
      </x:c>
      <x:c r="S2324" s="4" t="str">
        <x:v>Retained</x:v>
      </x:c>
      <x:c r="T2324" s="10" t="n">
        <x:v>0.305556</x:v>
      </x:c>
      <x:c r="U2324" s="4" t="str">
        <x:v>Train</x:v>
      </x:c>
    </x:row>
    <x:row r="2325" ht="34" customHeight="1">
      <x:c r="A2325" s="4" t="str">
        <x:v>RS-02324</x:v>
      </x:c>
      <x:c r="B2325" s="8" t="n">
        <x:v>45440</x:v>
      </x:c>
      <x:c r="C2325" s="4" t="str">
        <x:v>PRJ-004</x:v>
      </x:c>
      <x:c r="D2325" s="4" t="str">
        <x:v>Villa</x:v>
      </x:c>
      <x:c r="E2325" s="4" t="str">
        <x:v>Agreement signed</x:v>
      </x:c>
      <x:c r="F2325" s="4" t="str">
        <x:v>CUS-02324</x:v>
      </x:c>
      <x:c r="G2325" s="4" t="str">
        <x:v>UNIT-02324</x:v>
      </x:c>
      <x:c r="H2325" s="9" t="n">
        <x:v>10300000</x:v>
      </x:c>
      <x:c r="I2325" s="10" t="n">
        <x:v>0.05</x:v>
      </x:c>
      <x:c r="J2325" s="11" t="n">
        <x:v>2</x:v>
      </x:c>
      <x:c r="K2325" s="11" t="n">
        <x:v>7</x:v>
      </x:c>
      <x:c r="L2325" s="11" t="n">
        <x:v>0</x:v>
      </x:c>
      <x:c r="M2325" s="9" t="n">
        <x:f>ROUND(H2325*(1-I2325),2)</x:f>
        <x:v>9785000</x:v>
      </x:c>
      <x:c r="N2325" s="4" t="str">
        <x:v>Sales manager</x:v>
      </x:c>
      <x:c r="O2325" s="4" t="str">
        <x:v>BOOK-02324</x:v>
      </x:c>
      <x:c r="P2325" s="9" t="n">
        <x:v>9785000</x:v>
      </x:c>
      <x:c r="Q2325" s="11" t="n">
        <x:v>0</x:v>
      </x:c>
      <x:c r="R2325" s="8" t="n">
        <x:v>45500</x:v>
      </x:c>
      <x:c r="S2325" s="4" t="str">
        <x:v>Retained</x:v>
      </x:c>
      <x:c r="T2325" s="10" t="n">
        <x:v>0.204152</x:v>
      </x:c>
      <x:c r="U2325" s="4" t="str">
        <x:v>Train</x:v>
      </x:c>
    </x:row>
    <x:row r="2326" ht="34" customHeight="1">
      <x:c r="A2326" s="4" t="str">
        <x:v>RS-02325</x:v>
      </x:c>
      <x:c r="B2326" s="8" t="n">
        <x:v>45413</x:v>
      </x:c>
      <x:c r="C2326" s="4" t="str">
        <x:v>PRJ-005</x:v>
      </x:c>
      <x:c r="D2326" s="4" t="str">
        <x:v>Office</x:v>
      </x:c>
      <x:c r="E2326" s="4" t="str">
        <x:v>Cancelled</x:v>
      </x:c>
      <x:c r="F2326" s="4" t="str">
        <x:v>CUS-02325</x:v>
      </x:c>
      <x:c r="G2326" s="4" t="str">
        <x:v>UNIT-02325</x:v>
      </x:c>
      <x:c r="H2326" s="9" t="n">
        <x:v>11400000</x:v>
      </x:c>
      <x:c r="I2326" s="10" t="n">
        <x:v>0.08</x:v>
      </x:c>
      <x:c r="J2326" s="11" t="n">
        <x:v>1</x:v>
      </x:c>
      <x:c r="K2326" s="11" t="n">
        <x:v>6</x:v>
      </x:c>
      <x:c r="L2326" s="11" t="n">
        <x:v>0</x:v>
      </x:c>
      <x:c r="M2326" s="9" t="n">
        <x:f>ROUND(H2326*(1-I2326),2)</x:f>
        <x:v>10488000</x:v>
      </x:c>
      <x:c r="N2326" s="4" t="str">
        <x:v>Sales head</x:v>
      </x:c>
      <x:c r="O2326" s="4"/>
      <x:c r="P2326" s="9" t="n">
        <x:v>0</x:v>
      </x:c>
      <x:c r="Q2326" s="11" t="n">
        <x:v>1</x:v>
      </x:c>
      <x:c r="R2326" s="8" t="n">
        <x:v>45473</x:v>
      </x:c>
      <x:c r="S2326" s="4" t="str">
        <x:v>Lost / cancelled</x:v>
      </x:c>
      <x:c r="T2326" s="10" t="n">
        <x:v>0.204152</x:v>
      </x:c>
      <x:c r="U2326" s="4" t="str">
        <x:v>Train</x:v>
      </x:c>
    </x:row>
    <x:row r="2327" ht="34" customHeight="1">
      <x:c r="A2327" s="4" t="str">
        <x:v>RS-02326</x:v>
      </x:c>
      <x:c r="B2327" s="8" t="n">
        <x:v>45414</x:v>
      </x:c>
      <x:c r="C2327" s="4" t="str">
        <x:v>PRJ-006</x:v>
      </x:c>
      <x:c r="D2327" s="4" t="str">
        <x:v>Office</x:v>
      </x:c>
      <x:c r="E2327" s="4" t="str">
        <x:v>Enquiry</x:v>
      </x:c>
      <x:c r="F2327" s="4" t="str">
        <x:v>CUS-02326</x:v>
      </x:c>
      <x:c r="G2327" s="4" t="str">
        <x:v>UNIT-02326</x:v>
      </x:c>
      <x:c r="H2327" s="9" t="n">
        <x:v>22900000</x:v>
      </x:c>
      <x:c r="I2327" s="10" t="n">
        <x:v>0.03</x:v>
      </x:c>
      <x:c r="J2327" s="11" t="n">
        <x:v>3</x:v>
      </x:c>
      <x:c r="K2327" s="11" t="n">
        <x:v>5</x:v>
      </x:c>
      <x:c r="L2327" s="11" t="n">
        <x:v>1</x:v>
      </x:c>
      <x:c r="M2327" s="9" t="n">
        <x:f>ROUND(H2327*(1-I2327),2)</x:f>
        <x:v>22213000</x:v>
      </x:c>
      <x:c r="N2327" s="4" t="str">
        <x:v>Sales manager</x:v>
      </x:c>
      <x:c r="O2327" s="4"/>
      <x:c r="P2327" s="9" t="n">
        <x:v>0</x:v>
      </x:c>
      <x:c r="Q2327" s="11" t="n">
        <x:v>0</x:v>
      </x:c>
      <x:c r="R2327" s="8" t="n">
        <x:v>45474</x:v>
      </x:c>
      <x:c r="S2327" s="4" t="str">
        <x:v>Retained</x:v>
      </x:c>
      <x:c r="T2327" s="10" t="n">
        <x:v>0.171717</x:v>
      </x:c>
      <x:c r="U2327" s="4" t="str">
        <x:v>Train</x:v>
      </x:c>
    </x:row>
    <x:row r="2328" ht="34" customHeight="1">
      <x:c r="A2328" s="4" t="str">
        <x:v>RS-02327</x:v>
      </x:c>
      <x:c r="B2328" s="8" t="n">
        <x:v>45415</x:v>
      </x:c>
      <x:c r="C2328" s="4" t="str">
        <x:v>PRJ-007</x:v>
      </x:c>
      <x:c r="D2328" s="4" t="str">
        <x:v>Apartment</x:v>
      </x:c>
      <x:c r="E2328" s="4" t="str">
        <x:v>Reserved</x:v>
      </x:c>
      <x:c r="F2328" s="4" t="str">
        <x:v>CUS-02327</x:v>
      </x:c>
      <x:c r="G2328" s="4" t="str">
        <x:v>UNIT-02327</x:v>
      </x:c>
      <x:c r="H2328" s="9" t="n">
        <x:v>5600000</x:v>
      </x:c>
      <x:c r="I2328" s="10" t="n">
        <x:v>0.08</x:v>
      </x:c>
      <x:c r="J2328" s="11" t="n">
        <x:v>3</x:v>
      </x:c>
      <x:c r="K2328" s="11" t="n">
        <x:v>4</x:v>
      </x:c>
      <x:c r="L2328" s="11" t="n">
        <x:v>1</x:v>
      </x:c>
      <x:c r="M2328" s="9" t="n">
        <x:f>ROUND(H2328*(1-I2328),2)</x:f>
        <x:v>5152000</x:v>
      </x:c>
      <x:c r="N2328" s="4" t="str">
        <x:v>Sales head</x:v>
      </x:c>
      <x:c r="O2328" s="4"/>
      <x:c r="P2328" s="9" t="n">
        <x:v>0</x:v>
      </x:c>
      <x:c r="Q2328" s="11" t="n">
        <x:v>1</x:v>
      </x:c>
      <x:c r="R2328" s="8" t="n">
        <x:v>45475</x:v>
      </x:c>
      <x:c r="S2328" s="4" t="str">
        <x:v>Lost / cancelled</x:v>
      </x:c>
      <x:c r="T2328" s="10" t="n">
        <x:v>0.204152</x:v>
      </x:c>
      <x:c r="U2328" s="4" t="str">
        <x:v>Train</x:v>
      </x:c>
    </x:row>
    <x:row r="2329" ht="34" customHeight="1">
      <x:c r="A2329" s="4" t="str">
        <x:v>RS-02328</x:v>
      </x:c>
      <x:c r="B2329" s="8" t="n">
        <x:v>45416</x:v>
      </x:c>
      <x:c r="C2329" s="4" t="str">
        <x:v>PRJ-008</x:v>
      </x:c>
      <x:c r="D2329" s="4" t="str">
        <x:v>Office</x:v>
      </x:c>
      <x:c r="E2329" s="4" t="str">
        <x:v>Booked</x:v>
      </x:c>
      <x:c r="F2329" s="4" t="str">
        <x:v>CUS-02328</x:v>
      </x:c>
      <x:c r="G2329" s="4" t="str">
        <x:v>UNIT-02328</x:v>
      </x:c>
      <x:c r="H2329" s="9" t="n">
        <x:v>16500000</x:v>
      </x:c>
      <x:c r="I2329" s="10" t="n">
        <x:v>0.05</x:v>
      </x:c>
      <x:c r="J2329" s="11" t="n">
        <x:v>9</x:v>
      </x:c>
      <x:c r="K2329" s="11" t="n">
        <x:v>9</x:v>
      </x:c>
      <x:c r="L2329" s="11" t="n">
        <x:v>1</x:v>
      </x:c>
      <x:c r="M2329" s="9" t="n">
        <x:f>ROUND(H2329*(1-I2329),2)</x:f>
        <x:v>15675000</x:v>
      </x:c>
      <x:c r="N2329" s="4" t="str">
        <x:v>Sales manager</x:v>
      </x:c>
      <x:c r="O2329" s="4" t="str">
        <x:v>BOOK-02328</x:v>
      </x:c>
      <x:c r="P2329" s="9" t="n">
        <x:v>1567500</x:v>
      </x:c>
      <x:c r="Q2329" s="11" t="n">
        <x:v>0</x:v>
      </x:c>
      <x:c r="R2329" s="8" t="n">
        <x:v>45476</x:v>
      </x:c>
      <x:c r="S2329" s="4" t="str">
        <x:v>Retained</x:v>
      </x:c>
      <x:c r="T2329" s="10" t="n">
        <x:v>0.310195</x:v>
      </x:c>
      <x:c r="U2329" s="4" t="str">
        <x:v>Train</x:v>
      </x:c>
    </x:row>
    <x:row r="2330" ht="34" customHeight="1">
      <x:c r="A2330" s="4" t="str">
        <x:v>RS-02329</x:v>
      </x:c>
      <x:c r="B2330" s="8" t="n">
        <x:v>45417</x:v>
      </x:c>
      <x:c r="C2330" s="4" t="str">
        <x:v>PRJ-009</x:v>
      </x:c>
      <x:c r="D2330" s="4" t="str">
        <x:v>Apartment</x:v>
      </x:c>
      <x:c r="E2330" s="4" t="str">
        <x:v>Reserved</x:v>
      </x:c>
      <x:c r="F2330" s="4" t="str">
        <x:v>CUS-02329</x:v>
      </x:c>
      <x:c r="G2330" s="4" t="str">
        <x:v>UNIT-02329</x:v>
      </x:c>
      <x:c r="H2330" s="9" t="n">
        <x:v>5800000</x:v>
      </x:c>
      <x:c r="I2330" s="10" t="n">
        <x:v>0.1</x:v>
      </x:c>
      <x:c r="J2330" s="11" t="n">
        <x:v>11</x:v>
      </x:c>
      <x:c r="K2330" s="11" t="n">
        <x:v>4</x:v>
      </x:c>
      <x:c r="L2330" s="11" t="n">
        <x:v>0</x:v>
      </x:c>
      <x:c r="M2330" s="9" t="n">
        <x:f>ROUND(H2330*(1-I2330),2)</x:f>
        <x:v>5220000</x:v>
      </x:c>
      <x:c r="N2330" s="4" t="str">
        <x:v>Sales head</x:v>
      </x:c>
      <x:c r="O2330" s="4"/>
      <x:c r="P2330" s="9" t="n">
        <x:v>0</x:v>
      </x:c>
      <x:c r="Q2330" s="11" t="n">
        <x:v>0</x:v>
      </x:c>
      <x:c r="R2330" s="8" t="n">
        <x:v>45477</x:v>
      </x:c>
      <x:c r="S2330" s="4" t="str">
        <x:v>Retained</x:v>
      </x:c>
      <x:c r="T2330" s="10" t="n">
        <x:v>0.351536</x:v>
      </x:c>
      <x:c r="U2330" s="4" t="str">
        <x:v>Train</x:v>
      </x:c>
    </x:row>
    <x:row r="2331" ht="34" customHeight="1">
      <x:c r="A2331" s="4" t="str">
        <x:v>RS-02330</x:v>
      </x:c>
      <x:c r="B2331" s="8" t="n">
        <x:v>45418</x:v>
      </x:c>
      <x:c r="C2331" s="4" t="str">
        <x:v>PRJ-010</x:v>
      </x:c>
      <x:c r="D2331" s="4" t="str">
        <x:v>Retail</x:v>
      </x:c>
      <x:c r="E2331" s="4" t="str">
        <x:v>Reserved</x:v>
      </x:c>
      <x:c r="F2331" s="4" t="str">
        <x:v>CUS-02330</x:v>
      </x:c>
      <x:c r="G2331" s="4" t="str">
        <x:v>UNIT-02330</x:v>
      </x:c>
      <x:c r="H2331" s="9" t="n">
        <x:v>6700000</x:v>
      </x:c>
      <x:c r="I2331" s="10" t="n">
        <x:v>0.04</x:v>
      </x:c>
      <x:c r="J2331" s="11" t="n">
        <x:v>7</x:v>
      </x:c>
      <x:c r="K2331" s="11" t="n">
        <x:v>1</x:v>
      </x:c>
      <x:c r="L2331" s="11" t="n">
        <x:v>0</x:v>
      </x:c>
      <x:c r="M2331" s="9" t="n">
        <x:f>ROUND(H2331*(1-I2331),2)</x:f>
        <x:v>6432000</x:v>
      </x:c>
      <x:c r="N2331" s="4" t="str">
        <x:v>Sales manager</x:v>
      </x:c>
      <x:c r="O2331" s="4"/>
      <x:c r="P2331" s="9" t="n">
        <x:v>0</x:v>
      </x:c>
      <x:c r="Q2331" s="11" t="n">
        <x:v>1</x:v>
      </x:c>
      <x:c r="R2331" s="8" t="n">
        <x:v>45478</x:v>
      </x:c>
      <x:c r="S2331" s="4" t="str">
        <x:v>Lost / cancelled</x:v>
      </x:c>
      <x:c r="T2331" s="10" t="n">
        <x:v>0.226277</x:v>
      </x:c>
      <x:c r="U2331" s="4" t="str">
        <x:v>Train</x:v>
      </x:c>
    </x:row>
    <x:row r="2332" ht="34" customHeight="1">
      <x:c r="A2332" s="4" t="str">
        <x:v>RS-02331</x:v>
      </x:c>
      <x:c r="B2332" s="8" t="n">
        <x:v>45419</x:v>
      </x:c>
      <x:c r="C2332" s="4" t="str">
        <x:v>PRJ-011</x:v>
      </x:c>
      <x:c r="D2332" s="4" t="str">
        <x:v>Office</x:v>
      </x:c>
      <x:c r="E2332" s="4" t="str">
        <x:v>Enquiry</x:v>
      </x:c>
      <x:c r="F2332" s="4" t="str">
        <x:v>CUS-02331</x:v>
      </x:c>
      <x:c r="G2332" s="4" t="str">
        <x:v>UNIT-02331</x:v>
      </x:c>
      <x:c r="H2332" s="9" t="n">
        <x:v>23300000</x:v>
      </x:c>
      <x:c r="I2332" s="10" t="n">
        <x:v>0.05</x:v>
      </x:c>
      <x:c r="J2332" s="11" t="n">
        <x:v>3</x:v>
      </x:c>
      <x:c r="K2332" s="11" t="n">
        <x:v>5</x:v>
      </x:c>
      <x:c r="L2332" s="11" t="n">
        <x:v>0</x:v>
      </x:c>
      <x:c r="M2332" s="9" t="n">
        <x:f>ROUND(H2332*(1-I2332),2)</x:f>
        <x:v>22135000</x:v>
      </x:c>
      <x:c r="N2332" s="4" t="str">
        <x:v>Sales manager</x:v>
      </x:c>
      <x:c r="O2332" s="4"/>
      <x:c r="P2332" s="9" t="n">
        <x:v>0</x:v>
      </x:c>
      <x:c r="Q2332" s="11" t="n">
        <x:v>0</x:v>
      </x:c>
      <x:c r="R2332" s="8" t="n">
        <x:v>45479</x:v>
      </x:c>
      <x:c r="S2332" s="4" t="str">
        <x:v>Retained</x:v>
      </x:c>
      <x:c r="T2332" s="10" t="n">
        <x:v>0.204152</x:v>
      </x:c>
      <x:c r="U2332" s="4" t="str">
        <x:v>Train</x:v>
      </x:c>
    </x:row>
    <x:row r="2333" ht="34" customHeight="1">
      <x:c r="A2333" s="4" t="str">
        <x:v>RS-02332</x:v>
      </x:c>
      <x:c r="B2333" s="8" t="n">
        <x:v>45420</x:v>
      </x:c>
      <x:c r="C2333" s="4" t="str">
        <x:v>PRJ-012</x:v>
      </x:c>
      <x:c r="D2333" s="4" t="str">
        <x:v>Retail</x:v>
      </x:c>
      <x:c r="E2333" s="4" t="str">
        <x:v>Booked</x:v>
      </x:c>
      <x:c r="F2333" s="4" t="str">
        <x:v>CUS-02332</x:v>
      </x:c>
      <x:c r="G2333" s="4" t="str">
        <x:v>UNIT-02332</x:v>
      </x:c>
      <x:c r="H2333" s="9" t="n">
        <x:v>11300000</x:v>
      </x:c>
      <x:c r="I2333" s="10" t="n">
        <x:v>0.03</x:v>
      </x:c>
      <x:c r="J2333" s="11" t="n">
        <x:v>4</x:v>
      </x:c>
      <x:c r="K2333" s="11" t="n">
        <x:v>6</x:v>
      </x:c>
      <x:c r="L2333" s="11" t="n">
        <x:v>0</x:v>
      </x:c>
      <x:c r="M2333" s="9" t="n">
        <x:f>ROUND(H2333*(1-I2333),2)</x:f>
        <x:v>10961000</x:v>
      </x:c>
      <x:c r="N2333" s="4" t="str">
        <x:v>Sales manager</x:v>
      </x:c>
      <x:c r="O2333" s="4" t="str">
        <x:v>BOOK-02332</x:v>
      </x:c>
      <x:c r="P2333" s="9" t="n">
        <x:v>10961000</x:v>
      </x:c>
      <x:c r="Q2333" s="11" t="n">
        <x:v>0</x:v>
      </x:c>
      <x:c r="R2333" s="8" t="n">
        <x:v>45480</x:v>
      </x:c>
      <x:c r="S2333" s="4" t="str">
        <x:v>Retained</x:v>
      </x:c>
      <x:c r="T2333" s="10" t="n">
        <x:v>0.145299</x:v>
      </x:c>
      <x:c r="U2333" s="4" t="str">
        <x:v>Train</x:v>
      </x:c>
    </x:row>
    <x:row r="2334" ht="34" customHeight="1">
      <x:c r="A2334" s="4" t="str">
        <x:v>RS-02333</x:v>
      </x:c>
      <x:c r="B2334" s="8" t="n">
        <x:v>45421</x:v>
      </x:c>
      <x:c r="C2334" s="4" t="str">
        <x:v>PRJ-013</x:v>
      </x:c>
      <x:c r="D2334" s="4" t="str">
        <x:v>Office</x:v>
      </x:c>
      <x:c r="E2334" s="4" t="str">
        <x:v>Agreement signed</x:v>
      </x:c>
      <x:c r="F2334" s="4" t="str">
        <x:v>CUS-02333</x:v>
      </x:c>
      <x:c r="G2334" s="4" t="str">
        <x:v>UNIT-02333</x:v>
      </x:c>
      <x:c r="H2334" s="9" t="n">
        <x:v>11700000</x:v>
      </x:c>
      <x:c r="I2334" s="10" t="n">
        <x:v>0.01</x:v>
      </x:c>
      <x:c r="J2334" s="11" t="n">
        <x:v>11</x:v>
      </x:c>
      <x:c r="K2334" s="11" t="n">
        <x:v>2</x:v>
      </x:c>
      <x:c r="L2334" s="11" t="n">
        <x:v>1</x:v>
      </x:c>
      <x:c r="M2334" s="9" t="n">
        <x:f>ROUND(H2334*(1-I2334),2)</x:f>
        <x:v>11583000</x:v>
      </x:c>
      <x:c r="N2334" s="4" t="str">
        <x:v>Sales manager</x:v>
      </x:c>
      <x:c r="O2334" s="4" t="str">
        <x:v>BOOK-02333</x:v>
      </x:c>
      <x:c r="P2334" s="9" t="n">
        <x:v>2895750</x:v>
      </x:c>
      <x:c r="Q2334" s="11" t="n">
        <x:v>0</x:v>
      </x:c>
      <x:c r="R2334" s="8" t="n">
        <x:v>45481</x:v>
      </x:c>
      <x:c r="S2334" s="4" t="str">
        <x:v>Retained</x:v>
      </x:c>
      <x:c r="T2334" s="10" t="n">
        <x:v>0.254545</x:v>
      </x:c>
      <x:c r="U2334" s="4" t="str">
        <x:v>Train</x:v>
      </x:c>
    </x:row>
    <x:row r="2335" ht="34" customHeight="1">
      <x:c r="A2335" s="4" t="str">
        <x:v>RS-02334</x:v>
      </x:c>
      <x:c r="B2335" s="8" t="n">
        <x:v>45422</x:v>
      </x:c>
      <x:c r="C2335" s="4" t="str">
        <x:v>PRJ-014</x:v>
      </x:c>
      <x:c r="D2335" s="4" t="str">
        <x:v>Villa</x:v>
      </x:c>
      <x:c r="E2335" s="4" t="str">
        <x:v>Booked</x:v>
      </x:c>
      <x:c r="F2335" s="4" t="str">
        <x:v>CUS-02334</x:v>
      </x:c>
      <x:c r="G2335" s="4" t="str">
        <x:v>UNIT-02334</x:v>
      </x:c>
      <x:c r="H2335" s="9" t="n">
        <x:v>20200000</x:v>
      </x:c>
      <x:c r="I2335" s="10" t="n">
        <x:v>0.08</x:v>
      </x:c>
      <x:c r="J2335" s="11" t="n">
        <x:v>10</x:v>
      </x:c>
      <x:c r="K2335" s="11" t="n">
        <x:v>7</x:v>
      </x:c>
      <x:c r="L2335" s="11" t="n">
        <x:v>0</x:v>
      </x:c>
      <x:c r="M2335" s="9" t="n">
        <x:f>ROUND(H2335*(1-I2335),2)</x:f>
        <x:v>18584000</x:v>
      </x:c>
      <x:c r="N2335" s="4" t="str">
        <x:v>Sales head</x:v>
      </x:c>
      <x:c r="O2335" s="4" t="str">
        <x:v>BOOK-02334</x:v>
      </x:c>
      <x:c r="P2335" s="9" t="n">
        <x:v>1858400</x:v>
      </x:c>
      <x:c r="Q2335" s="11" t="n">
        <x:v>0</x:v>
      </x:c>
      <x:c r="R2335" s="8" t="n">
        <x:v>45482</x:v>
      </x:c>
      <x:c r="S2335" s="4" t="str">
        <x:v>Retained</x:v>
      </x:c>
      <x:c r="T2335" s="10" t="n">
        <x:v>0.310195</x:v>
      </x:c>
      <x:c r="U2335" s="4" t="str">
        <x:v>Train</x:v>
      </x:c>
    </x:row>
    <x:row r="2336" ht="34" customHeight="1">
      <x:c r="A2336" s="4" t="str">
        <x:v>RS-02335</x:v>
      </x:c>
      <x:c r="B2336" s="8" t="n">
        <x:v>45423</x:v>
      </x:c>
      <x:c r="C2336" s="4" t="str">
        <x:v>PRJ-015</x:v>
      </x:c>
      <x:c r="D2336" s="4" t="str">
        <x:v>Villa</x:v>
      </x:c>
      <x:c r="E2336" s="4" t="str">
        <x:v>Agreement signed</x:v>
      </x:c>
      <x:c r="F2336" s="4" t="str">
        <x:v>CUS-02335</x:v>
      </x:c>
      <x:c r="G2336" s="4" t="str">
        <x:v>UNIT-02335</x:v>
      </x:c>
      <x:c r="H2336" s="9" t="n">
        <x:v>3000000</x:v>
      </x:c>
      <x:c r="I2336" s="10" t="n">
        <x:v>0.03</x:v>
      </x:c>
      <x:c r="J2336" s="11" t="n">
        <x:v>0</x:v>
      </x:c>
      <x:c r="K2336" s="11" t="n">
        <x:v>2</x:v>
      </x:c>
      <x:c r="L2336" s="11" t="n">
        <x:v>1</x:v>
      </x:c>
      <x:c r="M2336" s="9" t="n">
        <x:f>ROUND(H2336*(1-I2336),2)</x:f>
        <x:v>2910000</x:v>
      </x:c>
      <x:c r="N2336" s="4" t="str">
        <x:v>Sales manager</x:v>
      </x:c>
      <x:c r="O2336" s="4" t="str">
        <x:v>BOOK-02335</x:v>
      </x:c>
      <x:c r="P2336" s="9" t="n">
        <x:v>727500</x:v>
      </x:c>
      <x:c r="Q2336" s="11" t="n">
        <x:v>0</x:v>
      </x:c>
      <x:c r="R2336" s="8" t="n">
        <x:v>45483</x:v>
      </x:c>
      <x:c r="S2336" s="4" t="str">
        <x:v>Retained</x:v>
      </x:c>
      <x:c r="T2336" s="10" t="n">
        <x:v>0.072165</x:v>
      </x:c>
      <x:c r="U2336" s="4" t="str">
        <x:v>Train</x:v>
      </x:c>
    </x:row>
    <x:row r="2337" ht="34" customHeight="1">
      <x:c r="A2337" s="4" t="str">
        <x:v>RS-02336</x:v>
      </x:c>
      <x:c r="B2337" s="8" t="n">
        <x:v>45424</x:v>
      </x:c>
      <x:c r="C2337" s="4" t="str">
        <x:v>PRJ-016</x:v>
      </x:c>
      <x:c r="D2337" s="4" t="str">
        <x:v>Apartment</x:v>
      </x:c>
      <x:c r="E2337" s="4" t="str">
        <x:v>Reserved</x:v>
      </x:c>
      <x:c r="F2337" s="4" t="str">
        <x:v>CUS-02336</x:v>
      </x:c>
      <x:c r="G2337" s="4" t="str">
        <x:v>UNIT-02336</x:v>
      </x:c>
      <x:c r="H2337" s="9" t="n">
        <x:v>11100000</x:v>
      </x:c>
      <x:c r="I2337" s="10" t="n">
        <x:v>0.06</x:v>
      </x:c>
      <x:c r="J2337" s="11" t="n">
        <x:v>0</x:v>
      </x:c>
      <x:c r="K2337" s="11" t="n">
        <x:v>3</x:v>
      </x:c>
      <x:c r="L2337" s="11" t="n">
        <x:v>0</x:v>
      </x:c>
      <x:c r="M2337" s="9" t="n">
        <x:f>ROUND(H2337*(1-I2337),2)</x:f>
        <x:v>10434000</x:v>
      </x:c>
      <x:c r="N2337" s="4" t="str">
        <x:v>Sales manager</x:v>
      </x:c>
      <x:c r="O2337" s="4"/>
      <x:c r="P2337" s="9" t="n">
        <x:v>0</x:v>
      </x:c>
      <x:c r="Q2337" s="11" t="n">
        <x:v>0</x:v>
      </x:c>
      <x:c r="R2337" s="8" t="n">
        <x:v>45484</x:v>
      </x:c>
      <x:c r="S2337" s="4" t="str">
        <x:v>Retained</x:v>
      </x:c>
      <x:c r="T2337" s="10" t="n">
        <x:v>0.204152</x:v>
      </x:c>
      <x:c r="U2337" s="4" t="str">
        <x:v>Train</x:v>
      </x:c>
    </x:row>
    <x:row r="2338" ht="34" customHeight="1">
      <x:c r="A2338" s="4" t="str">
        <x:v>RS-02337</x:v>
      </x:c>
      <x:c r="B2338" s="8" t="n">
        <x:v>45425</x:v>
      </x:c>
      <x:c r="C2338" s="4" t="str">
        <x:v>PRJ-017</x:v>
      </x:c>
      <x:c r="D2338" s="4" t="str">
        <x:v>Office</x:v>
      </x:c>
      <x:c r="E2338" s="4" t="str">
        <x:v>Agreement signed</x:v>
      </x:c>
      <x:c r="F2338" s="4" t="str">
        <x:v>CUS-02337</x:v>
      </x:c>
      <x:c r="G2338" s="4" t="str">
        <x:v>UNIT-02337</x:v>
      </x:c>
      <x:c r="H2338" s="9" t="n">
        <x:v>9000000</x:v>
      </x:c>
      <x:c r="I2338" s="10" t="n">
        <x:v>0.06</x:v>
      </x:c>
      <x:c r="J2338" s="11" t="n">
        <x:v>12</x:v>
      </x:c>
      <x:c r="K2338" s="11" t="n">
        <x:v>10</x:v>
      </x:c>
      <x:c r="L2338" s="11" t="n">
        <x:v>0</x:v>
      </x:c>
      <x:c r="M2338" s="9" t="n">
        <x:f>ROUND(H2338*(1-I2338),2)</x:f>
        <x:v>8460000</x:v>
      </x:c>
      <x:c r="N2338" s="4" t="str">
        <x:v>Sales manager</x:v>
      </x:c>
      <x:c r="O2338" s="4" t="str">
        <x:v>BOOK-02337</x:v>
      </x:c>
      <x:c r="P2338" s="9" t="n">
        <x:v>4230000</x:v>
      </x:c>
      <x:c r="Q2338" s="11" t="n">
        <x:v>0</x:v>
      </x:c>
      <x:c r="R2338" s="8" t="n">
        <x:v>45485</x:v>
      </x:c>
      <x:c r="S2338" s="4" t="str">
        <x:v>Retained</x:v>
      </x:c>
      <x:c r="T2338" s="10" t="n">
        <x:v>0.351536</x:v>
      </x:c>
      <x:c r="U2338" s="4" t="str">
        <x:v>Train</x:v>
      </x:c>
    </x:row>
    <x:row r="2339" ht="34" customHeight="1">
      <x:c r="A2339" s="4" t="str">
        <x:v>RS-02338</x:v>
      </x:c>
      <x:c r="B2339" s="8" t="n">
        <x:v>45426</x:v>
      </x:c>
      <x:c r="C2339" s="4" t="str">
        <x:v>PRJ-018</x:v>
      </x:c>
      <x:c r="D2339" s="4" t="str">
        <x:v>Office</x:v>
      </x:c>
      <x:c r="E2339" s="4" t="str">
        <x:v>Handed over</x:v>
      </x:c>
      <x:c r="F2339" s="4" t="str">
        <x:v>CUS-02338</x:v>
      </x:c>
      <x:c r="G2339" s="4" t="str">
        <x:v>UNIT-02338</x:v>
      </x:c>
      <x:c r="H2339" s="9" t="n">
        <x:v>16100000</x:v>
      </x:c>
      <x:c r="I2339" s="10" t="n">
        <x:v>0.06</x:v>
      </x:c>
      <x:c r="J2339" s="11" t="n">
        <x:v>2</x:v>
      </x:c>
      <x:c r="K2339" s="11" t="n">
        <x:v>5</x:v>
      </x:c>
      <x:c r="L2339" s="11" t="n">
        <x:v>0</x:v>
      </x:c>
      <x:c r="M2339" s="9" t="n">
        <x:f>ROUND(H2339*(1-I2339),2)</x:f>
        <x:v>15134000</x:v>
      </x:c>
      <x:c r="N2339" s="4" t="str">
        <x:v>Sales manager</x:v>
      </x:c>
      <x:c r="O2339" s="4" t="str">
        <x:v>BOOK-02338</x:v>
      </x:c>
      <x:c r="P2339" s="9" t="n">
        <x:v>1513400</x:v>
      </x:c>
      <x:c r="Q2339" s="11" t="n">
        <x:v>0</x:v>
      </x:c>
      <x:c r="R2339" s="8" t="n">
        <x:v>45486</x:v>
      </x:c>
      <x:c r="S2339" s="4" t="str">
        <x:v>Retained</x:v>
      </x:c>
      <x:c r="T2339" s="10" t="n">
        <x:v>0.204152</x:v>
      </x:c>
      <x:c r="U2339" s="4" t="str">
        <x:v>Train</x:v>
      </x:c>
    </x:row>
    <x:row r="2340" ht="34" customHeight="1">
      <x:c r="A2340" s="4" t="str">
        <x:v>RS-02339</x:v>
      </x:c>
      <x:c r="B2340" s="8" t="n">
        <x:v>45427</x:v>
      </x:c>
      <x:c r="C2340" s="4" t="str">
        <x:v>PRJ-019</x:v>
      </x:c>
      <x:c r="D2340" s="4" t="str">
        <x:v>Office</x:v>
      </x:c>
      <x:c r="E2340" s="4" t="str">
        <x:v>Enquiry</x:v>
      </x:c>
      <x:c r="F2340" s="4" t="str">
        <x:v>CUS-02339</x:v>
      </x:c>
      <x:c r="G2340" s="4" t="str">
        <x:v>UNIT-02339</x:v>
      </x:c>
      <x:c r="H2340" s="9" t="n">
        <x:v>17900000</x:v>
      </x:c>
      <x:c r="I2340" s="10" t="n">
        <x:v>0.07</x:v>
      </x:c>
      <x:c r="J2340" s="11" t="n">
        <x:v>6</x:v>
      </x:c>
      <x:c r="K2340" s="11" t="n">
        <x:v>7</x:v>
      </x:c>
      <x:c r="L2340" s="11" t="n">
        <x:v>0</x:v>
      </x:c>
      <x:c r="M2340" s="9" t="n">
        <x:f>ROUND(H2340*(1-I2340),2)</x:f>
        <x:v>16647000</x:v>
      </x:c>
      <x:c r="N2340" s="4" t="str">
        <x:v>Sales manager</x:v>
      </x:c>
      <x:c r="O2340" s="4"/>
      <x:c r="P2340" s="9" t="n">
        <x:v>0</x:v>
      </x:c>
      <x:c r="Q2340" s="11" t="n">
        <x:v>0</x:v>
      </x:c>
      <x:c r="R2340" s="8" t="n">
        <x:v>45487</x:v>
      </x:c>
      <x:c r="S2340" s="4" t="str">
        <x:v>Retained</x:v>
      </x:c>
      <x:c r="T2340" s="10" t="n">
        <x:v>0.226277</x:v>
      </x:c>
      <x:c r="U2340" s="4" t="str">
        <x:v>Train</x:v>
      </x:c>
    </x:row>
    <x:row r="2341" ht="34" customHeight="1">
      <x:c r="A2341" s="4" t="str">
        <x:v>RS-02340</x:v>
      </x:c>
      <x:c r="B2341" s="8" t="n">
        <x:v>45428</x:v>
      </x:c>
      <x:c r="C2341" s="4" t="str">
        <x:v>PRJ-020</x:v>
      </x:c>
      <x:c r="D2341" s="4" t="str">
        <x:v>Apartment</x:v>
      </x:c>
      <x:c r="E2341" s="4" t="str">
        <x:v>Cancelled</x:v>
      </x:c>
      <x:c r="F2341" s="4" t="str">
        <x:v>CUS-02340</x:v>
      </x:c>
      <x:c r="G2341" s="4" t="str">
        <x:v>UNIT-02340</x:v>
      </x:c>
      <x:c r="H2341" s="9" t="n">
        <x:v>3400000</x:v>
      </x:c>
      <x:c r="I2341" s="10" t="n">
        <x:v>0.04</x:v>
      </x:c>
      <x:c r="J2341" s="11" t="n">
        <x:v>8</x:v>
      </x:c>
      <x:c r="K2341" s="11" t="n">
        <x:v>5</x:v>
      </x:c>
      <x:c r="L2341" s="11" t="n">
        <x:v>0</x:v>
      </x:c>
      <x:c r="M2341" s="9" t="n">
        <x:f>ROUND(H2341*(1-I2341),2)</x:f>
        <x:v>3264000</x:v>
      </x:c>
      <x:c r="N2341" s="4" t="str">
        <x:v>Sales manager</x:v>
      </x:c>
      <x:c r="O2341" s="4"/>
      <x:c r="P2341" s="9" t="n">
        <x:v>0</x:v>
      </x:c>
      <x:c r="Q2341" s="11" t="n">
        <x:v>1</x:v>
      </x:c>
      <x:c r="R2341" s="8" t="n">
        <x:v>45488</x:v>
      </x:c>
      <x:c r="S2341" s="4" t="str">
        <x:v>Lost / cancelled</x:v>
      </x:c>
      <x:c r="T2341" s="10" t="n">
        <x:v>0.310195</x:v>
      </x:c>
      <x:c r="U2341" s="4" t="str">
        <x:v>Train</x:v>
      </x:c>
    </x:row>
    <x:row r="2342" ht="34" customHeight="1">
      <x:c r="A2342" s="4" t="str">
        <x:v>RS-02341</x:v>
      </x:c>
      <x:c r="B2342" s="8" t="n">
        <x:v>45429</x:v>
      </x:c>
      <x:c r="C2342" s="4" t="str">
        <x:v>PRJ-001</x:v>
      </x:c>
      <x:c r="D2342" s="4" t="str">
        <x:v>Villa</x:v>
      </x:c>
      <x:c r="E2342" s="4" t="str">
        <x:v>Booked</x:v>
      </x:c>
      <x:c r="F2342" s="4" t="str">
        <x:v>CUS-02341</x:v>
      </x:c>
      <x:c r="G2342" s="4" t="str">
        <x:v>UNIT-02341</x:v>
      </x:c>
      <x:c r="H2342" s="9" t="n">
        <x:v>17800000</x:v>
      </x:c>
      <x:c r="I2342" s="10" t="n">
        <x:v>0.04</x:v>
      </x:c>
      <x:c r="J2342" s="11" t="n">
        <x:v>0</x:v>
      </x:c>
      <x:c r="K2342" s="11" t="n">
        <x:v>2</x:v>
      </x:c>
      <x:c r="L2342" s="11" t="n">
        <x:v>1</x:v>
      </x:c>
      <x:c r="M2342" s="9" t="n">
        <x:f>ROUND(H2342*(1-I2342),2)</x:f>
        <x:v>17088000</x:v>
      </x:c>
      <x:c r="N2342" s="4" t="str">
        <x:v>Sales manager</x:v>
      </x:c>
      <x:c r="O2342" s="4" t="str">
        <x:v>BOOK-02341</x:v>
      </x:c>
      <x:c r="P2342" s="9" t="n">
        <x:v>4272000</x:v>
      </x:c>
      <x:c r="Q2342" s="11" t="n">
        <x:v>0</x:v>
      </x:c>
      <x:c r="R2342" s="8" t="n">
        <x:v>45489</x:v>
      </x:c>
      <x:c r="S2342" s="4" t="str">
        <x:v>Retained</x:v>
      </x:c>
      <x:c r="T2342" s="10" t="n">
        <x:v>0.204152</x:v>
      </x:c>
      <x:c r="U2342" s="4" t="str">
        <x:v>Train</x:v>
      </x:c>
    </x:row>
    <x:row r="2343" ht="34" customHeight="1">
      <x:c r="A2343" s="4" t="str">
        <x:v>RS-02342</x:v>
      </x:c>
      <x:c r="B2343" s="8" t="n">
        <x:v>45430</x:v>
      </x:c>
      <x:c r="C2343" s="4" t="str">
        <x:v>PRJ-002</x:v>
      </x:c>
      <x:c r="D2343" s="4" t="str">
        <x:v>Office</x:v>
      </x:c>
      <x:c r="E2343" s="4" t="str">
        <x:v>Reserved</x:v>
      </x:c>
      <x:c r="F2343" s="4" t="str">
        <x:v>CUS-02342</x:v>
      </x:c>
      <x:c r="G2343" s="4" t="str">
        <x:v>UNIT-02342</x:v>
      </x:c>
      <x:c r="H2343" s="9" t="n">
        <x:v>8800000</x:v>
      </x:c>
      <x:c r="I2343" s="10" t="n">
        <x:v>0.02</x:v>
      </x:c>
      <x:c r="J2343" s="11" t="n">
        <x:v>1</x:v>
      </x:c>
      <x:c r="K2343" s="11" t="n">
        <x:v>4</x:v>
      </x:c>
      <x:c r="L2343" s="11" t="n">
        <x:v>0</x:v>
      </x:c>
      <x:c r="M2343" s="9" t="n">
        <x:f>ROUND(H2343*(1-I2343),2)</x:f>
        <x:v>8624000</x:v>
      </x:c>
      <x:c r="N2343" s="4" t="str">
        <x:v>Sales manager</x:v>
      </x:c>
      <x:c r="O2343" s="4"/>
      <x:c r="P2343" s="9" t="n">
        <x:v>0</x:v>
      </x:c>
      <x:c r="Q2343" s="11" t="n">
        <x:v>0</x:v>
      </x:c>
      <x:c r="R2343" s="8" t="n">
        <x:v>45490</x:v>
      </x:c>
      <x:c r="S2343" s="4" t="str">
        <x:v>Retained</x:v>
      </x:c>
      <x:c r="T2343" s="10" t="n">
        <x:v>0.072165</x:v>
      </x:c>
      <x:c r="U2343" s="4" t="str">
        <x:v>Train</x:v>
      </x:c>
    </x:row>
    <x:row r="2344" ht="34" customHeight="1">
      <x:c r="A2344" s="4" t="str">
        <x:v>RS-02343</x:v>
      </x:c>
      <x:c r="B2344" s="8" t="n">
        <x:v>45431</x:v>
      </x:c>
      <x:c r="C2344" s="4" t="str">
        <x:v>PRJ-003</x:v>
      </x:c>
      <x:c r="D2344" s="4" t="str">
        <x:v>Office</x:v>
      </x:c>
      <x:c r="E2344" s="4" t="str">
        <x:v>Agreement signed</x:v>
      </x:c>
      <x:c r="F2344" s="4" t="str">
        <x:v>CUS-02343</x:v>
      </x:c>
      <x:c r="G2344" s="4" t="str">
        <x:v>UNIT-02343</x:v>
      </x:c>
      <x:c r="H2344" s="9" t="n">
        <x:v>13300000</x:v>
      </x:c>
      <x:c r="I2344" s="10" t="n">
        <x:v>0.07</x:v>
      </x:c>
      <x:c r="J2344" s="11" t="n">
        <x:v>7</x:v>
      </x:c>
      <x:c r="K2344" s="11" t="n">
        <x:v>7</x:v>
      </x:c>
      <x:c r="L2344" s="11" t="n">
        <x:v>0</x:v>
      </x:c>
      <x:c r="M2344" s="9" t="n">
        <x:f>ROUND(H2344*(1-I2344),2)</x:f>
        <x:v>12369000</x:v>
      </x:c>
      <x:c r="N2344" s="4" t="str">
        <x:v>Sales manager</x:v>
      </x:c>
      <x:c r="O2344" s="4" t="str">
        <x:v>BOOK-02343</x:v>
      </x:c>
      <x:c r="P2344" s="9" t="n">
        <x:v>6184500</x:v>
      </x:c>
      <x:c r="Q2344" s="11" t="n">
        <x:v>0</x:v>
      </x:c>
      <x:c r="R2344" s="8" t="n">
        <x:v>45491</x:v>
      </x:c>
      <x:c r="S2344" s="4" t="str">
        <x:v>Retained</x:v>
      </x:c>
      <x:c r="T2344" s="10" t="n">
        <x:v>0.226277</x:v>
      </x:c>
      <x:c r="U2344" s="4" t="str">
        <x:v>Train</x:v>
      </x:c>
    </x:row>
    <x:row r="2345" ht="34" customHeight="1">
      <x:c r="A2345" s="4" t="str">
        <x:v>RS-02344</x:v>
      </x:c>
      <x:c r="B2345" s="8" t="n">
        <x:v>45432</x:v>
      </x:c>
      <x:c r="C2345" s="4" t="str">
        <x:v>PRJ-004</x:v>
      </x:c>
      <x:c r="D2345" s="4" t="str">
        <x:v>Retail</x:v>
      </x:c>
      <x:c r="E2345" s="4" t="str">
        <x:v>Booked</x:v>
      </x:c>
      <x:c r="F2345" s="4" t="str">
        <x:v>CUS-02344</x:v>
      </x:c>
      <x:c r="G2345" s="4" t="str">
        <x:v>UNIT-02344</x:v>
      </x:c>
      <x:c r="H2345" s="9" t="n">
        <x:v>18400000</x:v>
      </x:c>
      <x:c r="I2345" s="10" t="n">
        <x:v>0.04</x:v>
      </x:c>
      <x:c r="J2345" s="11" t="n">
        <x:v>1</x:v>
      </x:c>
      <x:c r="K2345" s="11" t="n">
        <x:v>10</x:v>
      </x:c>
      <x:c r="L2345" s="11" t="n">
        <x:v>0</x:v>
      </x:c>
      <x:c r="M2345" s="9" t="n">
        <x:f>ROUND(H2345*(1-I2345),2)</x:f>
        <x:v>17664000</x:v>
      </x:c>
      <x:c r="N2345" s="4" t="str">
        <x:v>Sales manager</x:v>
      </x:c>
      <x:c r="O2345" s="4" t="str">
        <x:v>BOOK-02344</x:v>
      </x:c>
      <x:c r="P2345" s="9" t="n">
        <x:v>1766400</x:v>
      </x:c>
      <x:c r="Q2345" s="11" t="n">
        <x:v>0</x:v>
      </x:c>
      <x:c r="R2345" s="8" t="n">
        <x:v>45492</x:v>
      </x:c>
      <x:c r="S2345" s="4" t="str">
        <x:v>Retained</x:v>
      </x:c>
      <x:c r="T2345" s="10" t="n">
        <x:v>0.204152</x:v>
      </x:c>
      <x:c r="U2345" s="4" t="str">
        <x:v>Train</x:v>
      </x:c>
    </x:row>
    <x:row r="2346" ht="34" customHeight="1">
      <x:c r="A2346" s="4" t="str">
        <x:v>RS-02345</x:v>
      </x:c>
      <x:c r="B2346" s="8" t="n">
        <x:v>45433</x:v>
      </x:c>
      <x:c r="C2346" s="4" t="str">
        <x:v>PRJ-005</x:v>
      </x:c>
      <x:c r="D2346" s="4" t="str">
        <x:v>Retail</x:v>
      </x:c>
      <x:c r="E2346" s="4" t="str">
        <x:v>Agreement signed</x:v>
      </x:c>
      <x:c r="F2346" s="4" t="str">
        <x:v>CUS-02345</x:v>
      </x:c>
      <x:c r="G2346" s="4" t="str">
        <x:v>UNIT-02345</x:v>
      </x:c>
      <x:c r="H2346" s="9" t="n">
        <x:v>5200000</x:v>
      </x:c>
      <x:c r="I2346" s="10" t="n">
        <x:v>0.07</x:v>
      </x:c>
      <x:c r="J2346" s="11" t="n">
        <x:v>5</x:v>
      </x:c>
      <x:c r="K2346" s="11" t="n">
        <x:v>6</x:v>
      </x:c>
      <x:c r="L2346" s="11" t="n">
        <x:v>0</x:v>
      </x:c>
      <x:c r="M2346" s="9" t="n">
        <x:f>ROUND(H2346*(1-I2346),2)</x:f>
        <x:v>4836000</x:v>
      </x:c>
      <x:c r="N2346" s="4" t="str">
        <x:v>Sales manager</x:v>
      </x:c>
      <x:c r="O2346" s="4" t="str">
        <x:v>BOOK-02345</x:v>
      </x:c>
      <x:c r="P2346" s="9" t="n">
        <x:v>483600</x:v>
      </x:c>
      <x:c r="Q2346" s="11" t="n">
        <x:v>0</x:v>
      </x:c>
      <x:c r="R2346" s="8" t="n">
        <x:v>45493</x:v>
      </x:c>
      <x:c r="S2346" s="4" t="str">
        <x:v>Retained</x:v>
      </x:c>
      <x:c r="T2346" s="10" t="n">
        <x:v>0.226277</x:v>
      </x:c>
      <x:c r="U2346" s="4" t="str">
        <x:v>Train</x:v>
      </x:c>
    </x:row>
    <x:row r="2347" ht="34" customHeight="1">
      <x:c r="A2347" s="4" t="str">
        <x:v>RS-02346</x:v>
      </x:c>
      <x:c r="B2347" s="8" t="n">
        <x:v>45434</x:v>
      </x:c>
      <x:c r="C2347" s="4" t="str">
        <x:v>PRJ-006</x:v>
      </x:c>
      <x:c r="D2347" s="4" t="str">
        <x:v>Villa</x:v>
      </x:c>
      <x:c r="E2347" s="4" t="str">
        <x:v>Agreement signed</x:v>
      </x:c>
      <x:c r="F2347" s="4" t="str">
        <x:v>CUS-02346</x:v>
      </x:c>
      <x:c r="G2347" s="4" t="str">
        <x:v>UNIT-02346</x:v>
      </x:c>
      <x:c r="H2347" s="9" t="n">
        <x:v>19300000</x:v>
      </x:c>
      <x:c r="I2347" s="10" t="n">
        <x:v>0.06</x:v>
      </x:c>
      <x:c r="J2347" s="11" t="n">
        <x:v>7</x:v>
      </x:c>
      <x:c r="K2347" s="11" t="n">
        <x:v>9</x:v>
      </x:c>
      <x:c r="L2347" s="11" t="n">
        <x:v>1</x:v>
      </x:c>
      <x:c r="M2347" s="9" t="n">
        <x:f>ROUND(H2347*(1-I2347),2)</x:f>
        <x:v>18142000</x:v>
      </x:c>
      <x:c r="N2347" s="4" t="str">
        <x:v>Sales manager</x:v>
      </x:c>
      <x:c r="O2347" s="4" t="str">
        <x:v>BOOK-02346</x:v>
      </x:c>
      <x:c r="P2347" s="9" t="n">
        <x:v>1814200</x:v>
      </x:c>
      <x:c r="Q2347" s="11" t="n">
        <x:v>0</x:v>
      </x:c>
      <x:c r="R2347" s="8" t="n">
        <x:v>45494</x:v>
      </x:c>
      <x:c r="S2347" s="4" t="str">
        <x:v>Retained</x:v>
      </x:c>
      <x:c r="T2347" s="10" t="n">
        <x:v>0.291946</x:v>
      </x:c>
      <x:c r="U2347" s="4" t="str">
        <x:v>Train</x:v>
      </x:c>
    </x:row>
    <x:row r="2348" ht="34" customHeight="1">
      <x:c r="A2348" s="4" t="str">
        <x:v>RS-02347</x:v>
      </x:c>
      <x:c r="B2348" s="8" t="n">
        <x:v>45435</x:v>
      </x:c>
      <x:c r="C2348" s="4" t="str">
        <x:v>PRJ-007</x:v>
      </x:c>
      <x:c r="D2348" s="4" t="str">
        <x:v>Office</x:v>
      </x:c>
      <x:c r="E2348" s="4" t="str">
        <x:v>Reserved</x:v>
      </x:c>
      <x:c r="F2348" s="4" t="str">
        <x:v>CUS-02347</x:v>
      </x:c>
      <x:c r="G2348" s="4" t="str">
        <x:v>UNIT-02347</x:v>
      </x:c>
      <x:c r="H2348" s="9" t="n">
        <x:v>20600000</x:v>
      </x:c>
      <x:c r="I2348" s="10" t="n">
        <x:v>0.11</x:v>
      </x:c>
      <x:c r="J2348" s="11" t="n">
        <x:v>6</x:v>
      </x:c>
      <x:c r="K2348" s="11" t="n">
        <x:v>2</x:v>
      </x:c>
      <x:c r="L2348" s="11" t="n">
        <x:v>1</x:v>
      </x:c>
      <x:c r="M2348" s="9" t="n">
        <x:f>ROUND(H2348*(1-I2348),2)</x:f>
        <x:v>18334000</x:v>
      </x:c>
      <x:c r="N2348" s="4" t="str">
        <x:v>Sales head</x:v>
      </x:c>
      <x:c r="O2348" s="4"/>
      <x:c r="P2348" s="9" t="n">
        <x:v>0</x:v>
      </x:c>
      <x:c r="Q2348" s="11" t="n">
        <x:v>1</x:v>
      </x:c>
      <x:c r="R2348" s="8" t="n">
        <x:v>45495</x:v>
      </x:c>
      <x:c r="S2348" s="4" t="str">
        <x:v>Lost / cancelled</x:v>
      </x:c>
      <x:c r="T2348" s="10" t="n">
        <x:v>0.291946</x:v>
      </x:c>
      <x:c r="U2348" s="4" t="str">
        <x:v>Train</x:v>
      </x:c>
    </x:row>
    <x:row r="2349" ht="34" customHeight="1">
      <x:c r="A2349" s="4" t="str">
        <x:v>RS-02348</x:v>
      </x:c>
      <x:c r="B2349" s="8" t="n">
        <x:v>45436</x:v>
      </x:c>
      <x:c r="C2349" s="4" t="str">
        <x:v>PRJ-008</x:v>
      </x:c>
      <x:c r="D2349" s="4" t="str">
        <x:v>Office</x:v>
      </x:c>
      <x:c r="E2349" s="4" t="str">
        <x:v>Cancelled</x:v>
      </x:c>
      <x:c r="F2349" s="4" t="str">
        <x:v>CUS-02348</x:v>
      </x:c>
      <x:c r="G2349" s="4" t="str">
        <x:v>UNIT-02348</x:v>
      </x:c>
      <x:c r="H2349" s="9" t="n">
        <x:v>3200000</x:v>
      </x:c>
      <x:c r="I2349" s="10" t="n">
        <x:v>0.11</x:v>
      </x:c>
      <x:c r="J2349" s="11" t="n">
        <x:v>12</x:v>
      </x:c>
      <x:c r="K2349" s="11" t="n">
        <x:v>10</x:v>
      </x:c>
      <x:c r="L2349" s="11" t="n">
        <x:v>0</x:v>
      </x:c>
      <x:c r="M2349" s="9" t="n">
        <x:f>ROUND(H2349*(1-I2349),2)</x:f>
        <x:v>2848000</x:v>
      </x:c>
      <x:c r="N2349" s="4" t="str">
        <x:v>Sales head</x:v>
      </x:c>
      <x:c r="O2349" s="4"/>
      <x:c r="P2349" s="9" t="n">
        <x:v>0</x:v>
      </x:c>
      <x:c r="Q2349" s="11" t="n">
        <x:v>1</x:v>
      </x:c>
      <x:c r="R2349" s="8" t="n">
        <x:v>45496</x:v>
      </x:c>
      <x:c r="S2349" s="4" t="str">
        <x:v>Lost / cancelled</x:v>
      </x:c>
      <x:c r="T2349" s="10" t="n">
        <x:v>0.351536</x:v>
      </x:c>
      <x:c r="U2349" s="4" t="str">
        <x:v>Train</x:v>
      </x:c>
    </x:row>
    <x:row r="2350" ht="34" customHeight="1">
      <x:c r="A2350" s="4" t="str">
        <x:v>RS-02349</x:v>
      </x:c>
      <x:c r="B2350" s="8" t="n">
        <x:v>45437</x:v>
      </x:c>
      <x:c r="C2350" s="4" t="str">
        <x:v>PRJ-009</x:v>
      </x:c>
      <x:c r="D2350" s="4" t="str">
        <x:v>Retail</x:v>
      </x:c>
      <x:c r="E2350" s="4" t="str">
        <x:v>Enquiry</x:v>
      </x:c>
      <x:c r="F2350" s="4" t="str">
        <x:v>CUS-02349</x:v>
      </x:c>
      <x:c r="G2350" s="4" t="str">
        <x:v>UNIT-02349</x:v>
      </x:c>
      <x:c r="H2350" s="9" t="n">
        <x:v>12900000</x:v>
      </x:c>
      <x:c r="I2350" s="10" t="n">
        <x:v>0.01</x:v>
      </x:c>
      <x:c r="J2350" s="11" t="n">
        <x:v>9</x:v>
      </x:c>
      <x:c r="K2350" s="11" t="n">
        <x:v>5</x:v>
      </x:c>
      <x:c r="L2350" s="11" t="n">
        <x:v>0</x:v>
      </x:c>
      <x:c r="M2350" s="9" t="n">
        <x:f>ROUND(H2350*(1-I2350),2)</x:f>
        <x:v>12771000</x:v>
      </x:c>
      <x:c r="N2350" s="4" t="str">
        <x:v>Sales manager</x:v>
      </x:c>
      <x:c r="O2350" s="4"/>
      <x:c r="P2350" s="9" t="n">
        <x:v>0</x:v>
      </x:c>
      <x:c r="Q2350" s="11" t="n">
        <x:v>0</x:v>
      </x:c>
      <x:c r="R2350" s="8" t="n">
        <x:v>45497</x:v>
      </x:c>
      <x:c r="S2350" s="4" t="str">
        <x:v>Retained</x:v>
      </x:c>
      <x:c r="T2350" s="10" t="n">
        <x:v>0.305556</x:v>
      </x:c>
      <x:c r="U2350" s="4" t="str">
        <x:v>Train</x:v>
      </x:c>
    </x:row>
    <x:row r="2351" ht="34" customHeight="1">
      <x:c r="A2351" s="4" t="str">
        <x:v>RS-02350</x:v>
      </x:c>
      <x:c r="B2351" s="8" t="n">
        <x:v>45438</x:v>
      </x:c>
      <x:c r="C2351" s="4" t="str">
        <x:v>PRJ-010</x:v>
      </x:c>
      <x:c r="D2351" s="4" t="str">
        <x:v>Retail</x:v>
      </x:c>
      <x:c r="E2351" s="4" t="str">
        <x:v>Handed over</x:v>
      </x:c>
      <x:c r="F2351" s="4" t="str">
        <x:v>CUS-02350</x:v>
      </x:c>
      <x:c r="G2351" s="4" t="str">
        <x:v>UNIT-02350</x:v>
      </x:c>
      <x:c r="H2351" s="9" t="n">
        <x:v>5000000</x:v>
      </x:c>
      <x:c r="I2351" s="10" t="n">
        <x:v>0.03</x:v>
      </x:c>
      <x:c r="J2351" s="11" t="n">
        <x:v>3</x:v>
      </x:c>
      <x:c r="K2351" s="11" t="n">
        <x:v>1</x:v>
      </x:c>
      <x:c r="L2351" s="11" t="n">
        <x:v>1</x:v>
      </x:c>
      <x:c r="M2351" s="9" t="n">
        <x:f>ROUND(H2351*(1-I2351),2)</x:f>
        <x:v>4850000</x:v>
      </x:c>
      <x:c r="N2351" s="4" t="str">
        <x:v>Sales manager</x:v>
      </x:c>
      <x:c r="O2351" s="4" t="str">
        <x:v>BOOK-02350</x:v>
      </x:c>
      <x:c r="P2351" s="9" t="n">
        <x:v>4850000</x:v>
      </x:c>
      <x:c r="Q2351" s="11" t="n">
        <x:v>0</x:v>
      </x:c>
      <x:c r="R2351" s="8" t="n">
        <x:v>45498</x:v>
      </x:c>
      <x:c r="S2351" s="4" t="str">
        <x:v>Retained</x:v>
      </x:c>
      <x:c r="T2351" s="10" t="n">
        <x:v>0.171717</x:v>
      </x:c>
      <x:c r="U2351" s="4" t="str">
        <x:v>Train</x:v>
      </x:c>
    </x:row>
    <x:row r="2352" ht="34" customHeight="1">
      <x:c r="A2352" s="4" t="str">
        <x:v>RS-02351</x:v>
      </x:c>
      <x:c r="B2352" s="8" t="n">
        <x:v>45439</x:v>
      </x:c>
      <x:c r="C2352" s="4" t="str">
        <x:v>PRJ-011</x:v>
      </x:c>
      <x:c r="D2352" s="4" t="str">
        <x:v>Villa</x:v>
      </x:c>
      <x:c r="E2352" s="4" t="str">
        <x:v>Booked</x:v>
      </x:c>
      <x:c r="F2352" s="4" t="str">
        <x:v>CUS-02351</x:v>
      </x:c>
      <x:c r="G2352" s="4" t="str">
        <x:v>UNIT-02351</x:v>
      </x:c>
      <x:c r="H2352" s="9" t="n">
        <x:v>12200000</x:v>
      </x:c>
      <x:c r="I2352" s="10" t="n">
        <x:v>0.07</x:v>
      </x:c>
      <x:c r="J2352" s="11" t="n">
        <x:v>6</x:v>
      </x:c>
      <x:c r="K2352" s="11" t="n">
        <x:v>5</x:v>
      </x:c>
      <x:c r="L2352" s="11" t="n">
        <x:v>0</x:v>
      </x:c>
      <x:c r="M2352" s="9" t="n">
        <x:f>ROUND(H2352*(1-I2352),2)</x:f>
        <x:v>11346000</x:v>
      </x:c>
      <x:c r="N2352" s="4" t="str">
        <x:v>Sales manager</x:v>
      </x:c>
      <x:c r="O2352" s="4" t="str">
        <x:v>BOOK-02351</x:v>
      </x:c>
      <x:c r="P2352" s="9" t="n">
        <x:v>2836500</x:v>
      </x:c>
      <x:c r="Q2352" s="11" t="n">
        <x:v>0</x:v>
      </x:c>
      <x:c r="R2352" s="8" t="n">
        <x:v>45499</x:v>
      </x:c>
      <x:c r="S2352" s="4" t="str">
        <x:v>Retained</x:v>
      </x:c>
      <x:c r="T2352" s="10" t="n">
        <x:v>0.226277</x:v>
      </x:c>
      <x:c r="U2352" s="4" t="str">
        <x:v>Train</x:v>
      </x:c>
    </x:row>
    <x:row r="2353" ht="34" customHeight="1">
      <x:c r="A2353" s="4" t="str">
        <x:v>RS-02352</x:v>
      </x:c>
      <x:c r="B2353" s="8" t="n">
        <x:v>45440</x:v>
      </x:c>
      <x:c r="C2353" s="4" t="str">
        <x:v>PRJ-012</x:v>
      </x:c>
      <x:c r="D2353" s="4" t="str">
        <x:v>Villa</x:v>
      </x:c>
      <x:c r="E2353" s="4" t="str">
        <x:v>Cancelled</x:v>
      </x:c>
      <x:c r="F2353" s="4" t="str">
        <x:v>CUS-02352</x:v>
      </x:c>
      <x:c r="G2353" s="4" t="str">
        <x:v>UNIT-02352</x:v>
      </x:c>
      <x:c r="H2353" s="9" t="n">
        <x:v>23600000</x:v>
      </x:c>
      <x:c r="I2353" s="10" t="n">
        <x:v>0.03</x:v>
      </x:c>
      <x:c r="J2353" s="11" t="n">
        <x:v>10</x:v>
      </x:c>
      <x:c r="K2353" s="11" t="n">
        <x:v>2</x:v>
      </x:c>
      <x:c r="L2353" s="11" t="n">
        <x:v>1</x:v>
      </x:c>
      <x:c r="M2353" s="9" t="n">
        <x:f>ROUND(H2353*(1-I2353),2)</x:f>
        <x:v>22892000</x:v>
      </x:c>
      <x:c r="N2353" s="4" t="str">
        <x:v>Sales manager</x:v>
      </x:c>
      <x:c r="O2353" s="4"/>
      <x:c r="P2353" s="9" t="n">
        <x:v>0</x:v>
      </x:c>
      <x:c r="Q2353" s="11" t="n">
        <x:v>1</x:v>
      </x:c>
      <x:c r="R2353" s="8" t="n">
        <x:v>45500</x:v>
      </x:c>
      <x:c r="S2353" s="4" t="str">
        <x:v>Lost / cancelled</x:v>
      </x:c>
      <x:c r="T2353" s="10" t="n">
        <x:v>0.310195</x:v>
      </x:c>
      <x:c r="U2353" s="4" t="str">
        <x:v>Train</x:v>
      </x:c>
    </x:row>
    <x:row r="2354" ht="34" customHeight="1">
      <x:c r="A2354" s="4" t="str">
        <x:v>RS-02353</x:v>
      </x:c>
      <x:c r="B2354" s="8" t="n">
        <x:v>45413</x:v>
      </x:c>
      <x:c r="C2354" s="4" t="str">
        <x:v>PRJ-013</x:v>
      </x:c>
      <x:c r="D2354" s="4" t="str">
        <x:v>Office</x:v>
      </x:c>
      <x:c r="E2354" s="4" t="str">
        <x:v>Cancelled</x:v>
      </x:c>
      <x:c r="F2354" s="4" t="str">
        <x:v>CUS-02353</x:v>
      </x:c>
      <x:c r="G2354" s="4" t="str">
        <x:v>UNIT-02353</x:v>
      </x:c>
      <x:c r="H2354" s="9" t="n">
        <x:v>23300000</x:v>
      </x:c>
      <x:c r="I2354" s="10" t="n">
        <x:v>0.03</x:v>
      </x:c>
      <x:c r="J2354" s="11" t="n">
        <x:v>8</x:v>
      </x:c>
      <x:c r="K2354" s="11" t="n">
        <x:v>1</x:v>
      </x:c>
      <x:c r="L2354" s="11" t="n">
        <x:v>1</x:v>
      </x:c>
      <x:c r="M2354" s="9" t="n">
        <x:f>ROUND(H2354*(1-I2354),2)</x:f>
        <x:v>22601000</x:v>
      </x:c>
      <x:c r="N2354" s="4" t="str">
        <x:v>Sales manager</x:v>
      </x:c>
      <x:c r="O2354" s="4"/>
      <x:c r="P2354" s="9" t="n">
        <x:v>0</x:v>
      </x:c>
      <x:c r="Q2354" s="11" t="n">
        <x:v>1</x:v>
      </x:c>
      <x:c r="R2354" s="8" t="n">
        <x:v>45473</x:v>
      </x:c>
      <x:c r="S2354" s="4" t="str">
        <x:v>Lost / cancelled</x:v>
      </x:c>
      <x:c r="T2354" s="10" t="n">
        <x:v>0.310195</x:v>
      </x:c>
      <x:c r="U2354" s="4" t="str">
        <x:v>Train</x:v>
      </x:c>
    </x:row>
    <x:row r="2355" ht="34" customHeight="1">
      <x:c r="A2355" s="4" t="str">
        <x:v>RS-02354</x:v>
      </x:c>
      <x:c r="B2355" s="8" t="n">
        <x:v>45414</x:v>
      </x:c>
      <x:c r="C2355" s="4" t="str">
        <x:v>PRJ-014</x:v>
      </x:c>
      <x:c r="D2355" s="4" t="str">
        <x:v>Retail</x:v>
      </x:c>
      <x:c r="E2355" s="4" t="str">
        <x:v>Agreement signed</x:v>
      </x:c>
      <x:c r="F2355" s="4" t="str">
        <x:v>CUS-02354</x:v>
      </x:c>
      <x:c r="G2355" s="4" t="str">
        <x:v>UNIT-02354</x:v>
      </x:c>
      <x:c r="H2355" s="9" t="n">
        <x:v>5700000</x:v>
      </x:c>
      <x:c r="I2355" s="10" t="n">
        <x:v>0.05</x:v>
      </x:c>
      <x:c r="J2355" s="11" t="n">
        <x:v>9</x:v>
      </x:c>
      <x:c r="K2355" s="11" t="n">
        <x:v>5</x:v>
      </x:c>
      <x:c r="L2355" s="11" t="n">
        <x:v>1</x:v>
      </x:c>
      <x:c r="M2355" s="9" t="n">
        <x:f>ROUND(H2355*(1-I2355),2)</x:f>
        <x:v>5415000</x:v>
      </x:c>
      <x:c r="N2355" s="4" t="str">
        <x:v>Sales manager</x:v>
      </x:c>
      <x:c r="O2355" s="4" t="str">
        <x:v>BOOK-02354</x:v>
      </x:c>
      <x:c r="P2355" s="9" t="n">
        <x:v>1353750</x:v>
      </x:c>
      <x:c r="Q2355" s="11" t="n">
        <x:v>0</x:v>
      </x:c>
      <x:c r="R2355" s="8" t="n">
        <x:v>45474</x:v>
      </x:c>
      <x:c r="S2355" s="4" t="str">
        <x:v>Retained</x:v>
      </x:c>
      <x:c r="T2355" s="10" t="n">
        <x:v>0.310195</x:v>
      </x:c>
      <x:c r="U2355" s="4" t="str">
        <x:v>Train</x:v>
      </x:c>
    </x:row>
    <x:row r="2356" ht="34" customHeight="1">
      <x:c r="A2356" s="4" t="str">
        <x:v>RS-02355</x:v>
      </x:c>
      <x:c r="B2356" s="8" t="n">
        <x:v>45415</x:v>
      </x:c>
      <x:c r="C2356" s="4" t="str">
        <x:v>PRJ-015</x:v>
      </x:c>
      <x:c r="D2356" s="4" t="str">
        <x:v>Apartment</x:v>
      </x:c>
      <x:c r="E2356" s="4" t="str">
        <x:v>Handed over</x:v>
      </x:c>
      <x:c r="F2356" s="4" t="str">
        <x:v>CUS-02355</x:v>
      </x:c>
      <x:c r="G2356" s="4" t="str">
        <x:v>UNIT-02355</x:v>
      </x:c>
      <x:c r="H2356" s="9" t="n">
        <x:v>14600000</x:v>
      </x:c>
      <x:c r="I2356" s="10" t="n">
        <x:v>0.07</x:v>
      </x:c>
      <x:c r="J2356" s="11" t="n">
        <x:v>4</x:v>
      </x:c>
      <x:c r="K2356" s="11" t="n">
        <x:v>2</x:v>
      </x:c>
      <x:c r="L2356" s="11" t="n">
        <x:v>0</x:v>
      </x:c>
      <x:c r="M2356" s="9" t="n">
        <x:f>ROUND(H2356*(1-I2356),2)</x:f>
        <x:v>13578000</x:v>
      </x:c>
      <x:c r="N2356" s="4" t="str">
        <x:v>Sales manager</x:v>
      </x:c>
      <x:c r="O2356" s="4" t="str">
        <x:v>BOOK-02355</x:v>
      </x:c>
      <x:c r="P2356" s="9" t="n">
        <x:v>3394500</x:v>
      </x:c>
      <x:c r="Q2356" s="11" t="n">
        <x:v>0</x:v>
      </x:c>
      <x:c r="R2356" s="8" t="n">
        <x:v>45475</x:v>
      </x:c>
      <x:c r="S2356" s="4" t="str">
        <x:v>Retained</x:v>
      </x:c>
      <x:c r="T2356" s="10" t="n">
        <x:v>0.226277</x:v>
      </x:c>
      <x:c r="U2356" s="4" t="str">
        <x:v>Train</x:v>
      </x:c>
    </x:row>
    <x:row r="2357" ht="34" customHeight="1">
      <x:c r="A2357" s="4" t="str">
        <x:v>RS-02356</x:v>
      </x:c>
      <x:c r="B2357" s="8" t="n">
        <x:v>45416</x:v>
      </x:c>
      <x:c r="C2357" s="4" t="str">
        <x:v>PRJ-016</x:v>
      </x:c>
      <x:c r="D2357" s="4" t="str">
        <x:v>Retail</x:v>
      </x:c>
      <x:c r="E2357" s="4" t="str">
        <x:v>Enquiry</x:v>
      </x:c>
      <x:c r="F2357" s="4" t="str">
        <x:v>CUS-02356</x:v>
      </x:c>
      <x:c r="G2357" s="4" t="str">
        <x:v>UNIT-02356</x:v>
      </x:c>
      <x:c r="H2357" s="9" t="n">
        <x:v>19600000</x:v>
      </x:c>
      <x:c r="I2357" s="10" t="n">
        <x:v>0.1</x:v>
      </x:c>
      <x:c r="J2357" s="11" t="n">
        <x:v>2</x:v>
      </x:c>
      <x:c r="K2357" s="11" t="n">
        <x:v>5</x:v>
      </x:c>
      <x:c r="L2357" s="11" t="n">
        <x:v>0</x:v>
      </x:c>
      <x:c r="M2357" s="9" t="n">
        <x:f>ROUND(H2357*(1-I2357),2)</x:f>
        <x:v>17640000</x:v>
      </x:c>
      <x:c r="N2357" s="4" t="str">
        <x:v>Sales head</x:v>
      </x:c>
      <x:c r="O2357" s="4"/>
      <x:c r="P2357" s="9" t="n">
        <x:v>0</x:v>
      </x:c>
      <x:c r="Q2357" s="11" t="n">
        <x:v>0</x:v>
      </x:c>
      <x:c r="R2357" s="8" t="n">
        <x:v>45476</x:v>
      </x:c>
      <x:c r="S2357" s="4" t="str">
        <x:v>Retained</x:v>
      </x:c>
      <x:c r="T2357" s="10" t="n">
        <x:v>0.145833</x:v>
      </x:c>
      <x:c r="U2357" s="4" t="str">
        <x:v>Train</x:v>
      </x:c>
    </x:row>
    <x:row r="2358" ht="34" customHeight="1">
      <x:c r="A2358" s="4" t="str">
        <x:v>RS-02357</x:v>
      </x:c>
      <x:c r="B2358" s="8" t="n">
        <x:v>45417</x:v>
      </x:c>
      <x:c r="C2358" s="4" t="str">
        <x:v>PRJ-017</x:v>
      </x:c>
      <x:c r="D2358" s="4" t="str">
        <x:v>Retail</x:v>
      </x:c>
      <x:c r="E2358" s="4" t="str">
        <x:v>Agreement signed</x:v>
      </x:c>
      <x:c r="F2358" s="4" t="str">
        <x:v>CUS-02357</x:v>
      </x:c>
      <x:c r="G2358" s="4" t="str">
        <x:v>UNIT-02357</x:v>
      </x:c>
      <x:c r="H2358" s="9" t="n">
        <x:v>4100000</x:v>
      </x:c>
      <x:c r="I2358" s="10" t="n">
        <x:v>0.07</x:v>
      </x:c>
      <x:c r="J2358" s="11" t="n">
        <x:v>4</x:v>
      </x:c>
      <x:c r="K2358" s="11" t="n">
        <x:v>10</x:v>
      </x:c>
      <x:c r="L2358" s="11" t="n">
        <x:v>0</x:v>
      </x:c>
      <x:c r="M2358" s="9" t="n">
        <x:f>ROUND(H2358*(1-I2358),2)</x:f>
        <x:v>3813000</x:v>
      </x:c>
      <x:c r="N2358" s="4" t="str">
        <x:v>Sales manager</x:v>
      </x:c>
      <x:c r="O2358" s="4" t="str">
        <x:v>BOOK-02357</x:v>
      </x:c>
      <x:c r="P2358" s="9" t="n">
        <x:v>953250</x:v>
      </x:c>
      <x:c r="Q2358" s="11" t="n">
        <x:v>0</x:v>
      </x:c>
      <x:c r="R2358" s="8" t="n">
        <x:v>45477</x:v>
      </x:c>
      <x:c r="S2358" s="4" t="str">
        <x:v>Retained</x:v>
      </x:c>
      <x:c r="T2358" s="10" t="n">
        <x:v>0.226277</x:v>
      </x:c>
      <x:c r="U2358" s="4" t="str">
        <x:v>Train</x:v>
      </x:c>
    </x:row>
    <x:row r="2359" ht="34" customHeight="1">
      <x:c r="A2359" s="4" t="str">
        <x:v>RS-02358</x:v>
      </x:c>
      <x:c r="B2359" s="8" t="n">
        <x:v>45418</x:v>
      </x:c>
      <x:c r="C2359" s="4" t="str">
        <x:v>PRJ-018</x:v>
      </x:c>
      <x:c r="D2359" s="4" t="str">
        <x:v>Retail</x:v>
      </x:c>
      <x:c r="E2359" s="4" t="str">
        <x:v>Cancelled</x:v>
      </x:c>
      <x:c r="F2359" s="4" t="str">
        <x:v>CUS-02358</x:v>
      </x:c>
      <x:c r="G2359" s="4" t="str">
        <x:v>UNIT-02358</x:v>
      </x:c>
      <x:c r="H2359" s="9" t="n">
        <x:v>9000000</x:v>
      </x:c>
      <x:c r="I2359" s="10" t="n">
        <x:v>0.07</x:v>
      </x:c>
      <x:c r="J2359" s="11" t="n">
        <x:v>4</x:v>
      </x:c>
      <x:c r="K2359" s="11" t="n">
        <x:v>8</x:v>
      </x:c>
      <x:c r="L2359" s="11" t="n">
        <x:v>1</x:v>
      </x:c>
      <x:c r="M2359" s="9" t="n">
        <x:f>ROUND(H2359*(1-I2359),2)</x:f>
        <x:v>8370000</x:v>
      </x:c>
      <x:c r="N2359" s="4" t="str">
        <x:v>Sales manager</x:v>
      </x:c>
      <x:c r="O2359" s="4"/>
      <x:c r="P2359" s="9" t="n">
        <x:v>0</x:v>
      </x:c>
      <x:c r="Q2359" s="11" t="n">
        <x:v>1</x:v>
      </x:c>
      <x:c r="R2359" s="8" t="n">
        <x:v>45478</x:v>
      </x:c>
      <x:c r="S2359" s="4" t="str">
        <x:v>Lost / cancelled</x:v>
      </x:c>
      <x:c r="T2359" s="10" t="n">
        <x:v>0.291946</x:v>
      </x:c>
      <x:c r="U2359" s="4" t="str">
        <x:v>Train</x:v>
      </x:c>
    </x:row>
    <x:row r="2360" ht="34" customHeight="1">
      <x:c r="A2360" s="4" t="str">
        <x:v>RS-02359</x:v>
      </x:c>
      <x:c r="B2360" s="8" t="n">
        <x:v>45419</x:v>
      </x:c>
      <x:c r="C2360" s="4" t="str">
        <x:v>PRJ-019</x:v>
      </x:c>
      <x:c r="D2360" s="4" t="str">
        <x:v>Office</x:v>
      </x:c>
      <x:c r="E2360" s="4" t="str">
        <x:v>Cancelled</x:v>
      </x:c>
      <x:c r="F2360" s="4" t="str">
        <x:v>CUS-02359</x:v>
      </x:c>
      <x:c r="G2360" s="4" t="str">
        <x:v>UNIT-02359</x:v>
      </x:c>
      <x:c r="H2360" s="9" t="n">
        <x:v>8700000</x:v>
      </x:c>
      <x:c r="I2360" s="10" t="n">
        <x:v>0.01</x:v>
      </x:c>
      <x:c r="J2360" s="11" t="n">
        <x:v>7</x:v>
      </x:c>
      <x:c r="K2360" s="11" t="n">
        <x:v>4</x:v>
      </x:c>
      <x:c r="L2360" s="11" t="n">
        <x:v>0</x:v>
      </x:c>
      <x:c r="M2360" s="9" t="n">
        <x:f>ROUND(H2360*(1-I2360),2)</x:f>
        <x:v>8613000</x:v>
      </x:c>
      <x:c r="N2360" s="4" t="str">
        <x:v>Sales manager</x:v>
      </x:c>
      <x:c r="O2360" s="4"/>
      <x:c r="P2360" s="9" t="n">
        <x:v>0</x:v>
      </x:c>
      <x:c r="Q2360" s="11" t="n">
        <x:v>1</x:v>
      </x:c>
      <x:c r="R2360" s="8" t="n">
        <x:v>45479</x:v>
      </x:c>
      <x:c r="S2360" s="4" t="str">
        <x:v>Lost / cancelled</x:v>
      </x:c>
      <x:c r="T2360" s="10" t="n">
        <x:v>0.298969</x:v>
      </x:c>
      <x:c r="U2360" s="4" t="str">
        <x:v>Train</x:v>
      </x:c>
    </x:row>
    <x:row r="2361" ht="34" customHeight="1">
      <x:c r="A2361" s="4" t="str">
        <x:v>RS-02360</x:v>
      </x:c>
      <x:c r="B2361" s="8" t="n">
        <x:v>45420</x:v>
      </x:c>
      <x:c r="C2361" s="4" t="str">
        <x:v>PRJ-020</x:v>
      </x:c>
      <x:c r="D2361" s="4" t="str">
        <x:v>Office</x:v>
      </x:c>
      <x:c r="E2361" s="4" t="str">
        <x:v>Reserved</x:v>
      </x:c>
      <x:c r="F2361" s="4" t="str">
        <x:v>CUS-02360</x:v>
      </x:c>
      <x:c r="G2361" s="4" t="str">
        <x:v>UNIT-02360</x:v>
      </x:c>
      <x:c r="H2361" s="9" t="n">
        <x:v>17300000</x:v>
      </x:c>
      <x:c r="I2361" s="10" t="n">
        <x:v>0.11</x:v>
      </x:c>
      <x:c r="J2361" s="11" t="n">
        <x:v>2</x:v>
      </x:c>
      <x:c r="K2361" s="11" t="n">
        <x:v>6</x:v>
      </x:c>
      <x:c r="L2361" s="11" t="n">
        <x:v>0</x:v>
      </x:c>
      <x:c r="M2361" s="9" t="n">
        <x:f>ROUND(H2361*(1-I2361),2)</x:f>
        <x:v>15397000</x:v>
      </x:c>
      <x:c r="N2361" s="4" t="str">
        <x:v>Sales head</x:v>
      </x:c>
      <x:c r="O2361" s="4"/>
      <x:c r="P2361" s="9" t="n">
        <x:v>0</x:v>
      </x:c>
      <x:c r="Q2361" s="11" t="n">
        <x:v>0</x:v>
      </x:c>
      <x:c r="R2361" s="8" t="n">
        <x:v>45480</x:v>
      </x:c>
      <x:c r="S2361" s="4" t="str">
        <x:v>Retained</x:v>
      </x:c>
      <x:c r="T2361" s="10" t="n">
        <x:v>0.145833</x:v>
      </x:c>
      <x:c r="U2361" s="4" t="str">
        <x:v>Train</x:v>
      </x:c>
    </x:row>
    <x:row r="2362" ht="34" customHeight="1">
      <x:c r="A2362" s="4" t="str">
        <x:v>RS-02361</x:v>
      </x:c>
      <x:c r="B2362" s="8" t="n">
        <x:v>45421</x:v>
      </x:c>
      <x:c r="C2362" s="4" t="str">
        <x:v>PRJ-001</x:v>
      </x:c>
      <x:c r="D2362" s="4" t="str">
        <x:v>Retail</x:v>
      </x:c>
      <x:c r="E2362" s="4" t="str">
        <x:v>Reserved</x:v>
      </x:c>
      <x:c r="F2362" s="4" t="str">
        <x:v>CUS-02361</x:v>
      </x:c>
      <x:c r="G2362" s="4" t="str">
        <x:v>UNIT-02361</x:v>
      </x:c>
      <x:c r="H2362" s="9" t="n">
        <x:v>4000000</x:v>
      </x:c>
      <x:c r="I2362" s="10" t="n">
        <x:v>0.11</x:v>
      </x:c>
      <x:c r="J2362" s="11" t="n">
        <x:v>5</x:v>
      </x:c>
      <x:c r="K2362" s="11" t="n">
        <x:v>7</x:v>
      </x:c>
      <x:c r="L2362" s="11" t="n">
        <x:v>0</x:v>
      </x:c>
      <x:c r="M2362" s="9" t="n">
        <x:f>ROUND(H2362*(1-I2362),2)</x:f>
        <x:v>3560000</x:v>
      </x:c>
      <x:c r="N2362" s="4" t="str">
        <x:v>Sales head</x:v>
      </x:c>
      <x:c r="O2362" s="4"/>
      <x:c r="P2362" s="9" t="n">
        <x:v>0</x:v>
      </x:c>
      <x:c r="Q2362" s="11" t="n">
        <x:v>0</x:v>
      </x:c>
      <x:c r="R2362" s="8" t="n">
        <x:v>45481</x:v>
      </x:c>
      <x:c r="S2362" s="4" t="str">
        <x:v>Retained</x:v>
      </x:c>
      <x:c r="T2362" s="10" t="n">
        <x:v>0.226277</x:v>
      </x:c>
      <x:c r="U2362" s="4" t="str">
        <x:v>Train</x:v>
      </x:c>
    </x:row>
    <x:row r="2363" ht="34" customHeight="1">
      <x:c r="A2363" s="4" t="str">
        <x:v>RS-02362</x:v>
      </x:c>
      <x:c r="B2363" s="8" t="n">
        <x:v>45422</x:v>
      </x:c>
      <x:c r="C2363" s="4" t="str">
        <x:v>PRJ-002</x:v>
      </x:c>
      <x:c r="D2363" s="4" t="str">
        <x:v>Villa</x:v>
      </x:c>
      <x:c r="E2363" s="4" t="str">
        <x:v>Cancelled</x:v>
      </x:c>
      <x:c r="F2363" s="4" t="str">
        <x:v>CUS-02362</x:v>
      </x:c>
      <x:c r="G2363" s="4" t="str">
        <x:v>UNIT-02362</x:v>
      </x:c>
      <x:c r="H2363" s="9" t="n">
        <x:v>15000000</x:v>
      </x:c>
      <x:c r="I2363" s="10" t="n">
        <x:v>0</x:v>
      </x:c>
      <x:c r="J2363" s="11" t="n">
        <x:v>4</x:v>
      </x:c>
      <x:c r="K2363" s="11" t="n">
        <x:v>4</x:v>
      </x:c>
      <x:c r="L2363" s="11" t="n">
        <x:v>0</x:v>
      </x:c>
      <x:c r="M2363" s="9" t="n">
        <x:f>ROUND(H2363*(1-I2363),2)</x:f>
        <x:v>15000000</x:v>
      </x:c>
      <x:c r="N2363" s="4" t="str">
        <x:v>Sales manager</x:v>
      </x:c>
      <x:c r="O2363" s="4"/>
      <x:c r="P2363" s="9" t="n">
        <x:v>0</x:v>
      </x:c>
      <x:c r="Q2363" s="11" t="n">
        <x:v>1</x:v>
      </x:c>
      <x:c r="R2363" s="8" t="n">
        <x:v>45482</x:v>
      </x:c>
      <x:c r="S2363" s="4" t="str">
        <x:v>Lost / cancelled</x:v>
      </x:c>
      <x:c r="T2363" s="10" t="n">
        <x:v>0.298969</x:v>
      </x:c>
      <x:c r="U2363" s="4" t="str">
        <x:v>Train</x:v>
      </x:c>
    </x:row>
    <x:row r="2364" ht="34" customHeight="1">
      <x:c r="A2364" s="4" t="str">
        <x:v>RS-02363</x:v>
      </x:c>
      <x:c r="B2364" s="8" t="n">
        <x:v>45423</x:v>
      </x:c>
      <x:c r="C2364" s="4" t="str">
        <x:v>PRJ-003</x:v>
      </x:c>
      <x:c r="D2364" s="4" t="str">
        <x:v>Apartment</x:v>
      </x:c>
      <x:c r="E2364" s="4" t="str">
        <x:v>Agreement signed</x:v>
      </x:c>
      <x:c r="F2364" s="4" t="str">
        <x:v>CUS-02363</x:v>
      </x:c>
      <x:c r="G2364" s="4" t="str">
        <x:v>UNIT-02363</x:v>
      </x:c>
      <x:c r="H2364" s="9" t="n">
        <x:v>18200000</x:v>
      </x:c>
      <x:c r="I2364" s="10" t="n">
        <x:v>0.01</x:v>
      </x:c>
      <x:c r="J2364" s="11" t="n">
        <x:v>7</x:v>
      </x:c>
      <x:c r="K2364" s="11" t="n">
        <x:v>1</x:v>
      </x:c>
      <x:c r="L2364" s="11" t="n">
        <x:v>0</x:v>
      </x:c>
      <x:c r="M2364" s="9" t="n">
        <x:f>ROUND(H2364*(1-I2364),2)</x:f>
        <x:v>18018000</x:v>
      </x:c>
      <x:c r="N2364" s="4" t="str">
        <x:v>Sales manager</x:v>
      </x:c>
      <x:c r="O2364" s="4" t="str">
        <x:v>BOOK-02363</x:v>
      </x:c>
      <x:c r="P2364" s="9" t="n">
        <x:v>18018000</x:v>
      </x:c>
      <x:c r="Q2364" s="11" t="n">
        <x:v>0</x:v>
      </x:c>
      <x:c r="R2364" s="8" t="n">
        <x:v>45483</x:v>
      </x:c>
      <x:c r="S2364" s="4" t="str">
        <x:v>Retained</x:v>
      </x:c>
      <x:c r="T2364" s="10" t="n">
        <x:v>0.298969</x:v>
      </x:c>
      <x:c r="U2364" s="4" t="str">
        <x:v>Train</x:v>
      </x:c>
    </x:row>
    <x:row r="2365" ht="34" customHeight="1">
      <x:c r="A2365" s="4" t="str">
        <x:v>RS-02364</x:v>
      </x:c>
      <x:c r="B2365" s="8" t="n">
        <x:v>45424</x:v>
      </x:c>
      <x:c r="C2365" s="4" t="str">
        <x:v>PRJ-004</x:v>
      </x:c>
      <x:c r="D2365" s="4" t="str">
        <x:v>Office</x:v>
      </x:c>
      <x:c r="E2365" s="4" t="str">
        <x:v>Enquiry</x:v>
      </x:c>
      <x:c r="F2365" s="4" t="str">
        <x:v>CUS-02364</x:v>
      </x:c>
      <x:c r="G2365" s="4" t="str">
        <x:v>UNIT-02364</x:v>
      </x:c>
      <x:c r="H2365" s="9" t="n">
        <x:v>24500000</x:v>
      </x:c>
      <x:c r="I2365" s="10" t="n">
        <x:v>0.06</x:v>
      </x:c>
      <x:c r="J2365" s="11" t="n">
        <x:v>4</x:v>
      </x:c>
      <x:c r="K2365" s="11" t="n">
        <x:v>9</x:v>
      </x:c>
      <x:c r="L2365" s="11" t="n">
        <x:v>1</x:v>
      </x:c>
      <x:c r="M2365" s="9" t="n">
        <x:f>ROUND(H2365*(1-I2365),2)</x:f>
        <x:v>23030000</x:v>
      </x:c>
      <x:c r="N2365" s="4" t="str">
        <x:v>Sales manager</x:v>
      </x:c>
      <x:c r="O2365" s="4"/>
      <x:c r="P2365" s="9" t="n">
        <x:v>0</x:v>
      </x:c>
      <x:c r="Q2365" s="11" t="n">
        <x:v>1</x:v>
      </x:c>
      <x:c r="R2365" s="8" t="n">
        <x:v>45484</x:v>
      </x:c>
      <x:c r="S2365" s="4" t="str">
        <x:v>Lost / cancelled</x:v>
      </x:c>
      <x:c r="T2365" s="10" t="n">
        <x:v>0.291946</x:v>
      </x:c>
      <x:c r="U2365" s="4" t="str">
        <x:v>Train</x:v>
      </x:c>
    </x:row>
    <x:row r="2366" ht="34" customHeight="1">
      <x:c r="A2366" s="4" t="str">
        <x:v>RS-02365</x:v>
      </x:c>
      <x:c r="B2366" s="8" t="n">
        <x:v>45425</x:v>
      </x:c>
      <x:c r="C2366" s="4" t="str">
        <x:v>PRJ-005</x:v>
      </x:c>
      <x:c r="D2366" s="4" t="str">
        <x:v>Office</x:v>
      </x:c>
      <x:c r="E2366" s="4" t="str">
        <x:v>Booked</x:v>
      </x:c>
      <x:c r="F2366" s="4" t="str">
        <x:v>CUS-02365</x:v>
      </x:c>
      <x:c r="G2366" s="4" t="str">
        <x:v>UNIT-02365</x:v>
      </x:c>
      <x:c r="H2366" s="9" t="n">
        <x:v>4800000</x:v>
      </x:c>
      <x:c r="I2366" s="10" t="n">
        <x:v>0.04</x:v>
      </x:c>
      <x:c r="J2366" s="11" t="n">
        <x:v>1</x:v>
      </x:c>
      <x:c r="K2366" s="11" t="n">
        <x:v>1</x:v>
      </x:c>
      <x:c r="L2366" s="11" t="n">
        <x:v>0</x:v>
      </x:c>
      <x:c r="M2366" s="9" t="n">
        <x:f>ROUND(H2366*(1-I2366),2)</x:f>
        <x:v>4608000</x:v>
      </x:c>
      <x:c r="N2366" s="4" t="str">
        <x:v>Sales manager</x:v>
      </x:c>
      <x:c r="O2366" s="4" t="str">
        <x:v>BOOK-02365</x:v>
      </x:c>
      <x:c r="P2366" s="9" t="n">
        <x:v>2304000</x:v>
      </x:c>
      <x:c r="Q2366" s="11" t="n">
        <x:v>0</x:v>
      </x:c>
      <x:c r="R2366" s="8" t="n">
        <x:v>45485</x:v>
      </x:c>
      <x:c r="S2366" s="4" t="str">
        <x:v>Retained</x:v>
      </x:c>
      <x:c r="T2366" s="10" t="n">
        <x:v>0.204152</x:v>
      </x:c>
      <x:c r="U2366" s="4" t="str">
        <x:v>Train</x:v>
      </x:c>
    </x:row>
    <x:row r="2367" ht="34" customHeight="1">
      <x:c r="A2367" s="4" t="str">
        <x:v>RS-02366</x:v>
      </x:c>
      <x:c r="B2367" s="8" t="n">
        <x:v>45426</x:v>
      </x:c>
      <x:c r="C2367" s="4" t="str">
        <x:v>PRJ-006</x:v>
      </x:c>
      <x:c r="D2367" s="4" t="str">
        <x:v>Apartment</x:v>
      </x:c>
      <x:c r="E2367" s="4" t="str">
        <x:v>Agreement signed</x:v>
      </x:c>
      <x:c r="F2367" s="4" t="str">
        <x:v>CUS-02366</x:v>
      </x:c>
      <x:c r="G2367" s="4" t="str">
        <x:v>UNIT-02366</x:v>
      </x:c>
      <x:c r="H2367" s="9" t="n">
        <x:v>22200000</x:v>
      </x:c>
      <x:c r="I2367" s="10" t="n">
        <x:v>0.08</x:v>
      </x:c>
      <x:c r="J2367" s="11" t="n">
        <x:v>7</x:v>
      </x:c>
      <x:c r="K2367" s="11" t="n">
        <x:v>7</x:v>
      </x:c>
      <x:c r="L2367" s="11" t="n">
        <x:v>0</x:v>
      </x:c>
      <x:c r="M2367" s="9" t="n">
        <x:f>ROUND(H2367*(1-I2367),2)</x:f>
        <x:v>20424000</x:v>
      </x:c>
      <x:c r="N2367" s="4" t="str">
        <x:v>Sales head</x:v>
      </x:c>
      <x:c r="O2367" s="4" t="str">
        <x:v>BOOK-02366</x:v>
      </x:c>
      <x:c r="P2367" s="9" t="n">
        <x:v>5106000</x:v>
      </x:c>
      <x:c r="Q2367" s="11" t="n">
        <x:v>0</x:v>
      </x:c>
      <x:c r="R2367" s="8" t="n">
        <x:v>45486</x:v>
      </x:c>
      <x:c r="S2367" s="4" t="str">
        <x:v>Retained</x:v>
      </x:c>
      <x:c r="T2367" s="10" t="n">
        <x:v>0.226277</x:v>
      </x:c>
      <x:c r="U2367" s="4" t="str">
        <x:v>Train</x:v>
      </x:c>
    </x:row>
    <x:row r="2368" ht="34" customHeight="1">
      <x:c r="A2368" s="4" t="str">
        <x:v>RS-02367</x:v>
      </x:c>
      <x:c r="B2368" s="8" t="n">
        <x:v>45427</x:v>
      </x:c>
      <x:c r="C2368" s="4" t="str">
        <x:v>PRJ-007</x:v>
      </x:c>
      <x:c r="D2368" s="4" t="str">
        <x:v>Apartment</x:v>
      </x:c>
      <x:c r="E2368" s="4" t="str">
        <x:v>Booked</x:v>
      </x:c>
      <x:c r="F2368" s="4" t="str">
        <x:v>CUS-02367</x:v>
      </x:c>
      <x:c r="G2368" s="4" t="str">
        <x:v>UNIT-02367</x:v>
      </x:c>
      <x:c r="H2368" s="9" t="n">
        <x:v>24600000</x:v>
      </x:c>
      <x:c r="I2368" s="10" t="n">
        <x:v>0.01</x:v>
      </x:c>
      <x:c r="J2368" s="11" t="n">
        <x:v>9</x:v>
      </x:c>
      <x:c r="K2368" s="11" t="n">
        <x:v>6</x:v>
      </x:c>
      <x:c r="L2368" s="11" t="n">
        <x:v>0</x:v>
      </x:c>
      <x:c r="M2368" s="9" t="n">
        <x:f>ROUND(H2368*(1-I2368),2)</x:f>
        <x:v>24354000</x:v>
      </x:c>
      <x:c r="N2368" s="4" t="str">
        <x:v>Sales manager</x:v>
      </x:c>
      <x:c r="O2368" s="4" t="str">
        <x:v>BOOK-02367</x:v>
      </x:c>
      <x:c r="P2368" s="9" t="n">
        <x:v>24354000</x:v>
      </x:c>
      <x:c r="Q2368" s="11" t="n">
        <x:v>0</x:v>
      </x:c>
      <x:c r="R2368" s="8" t="n">
        <x:v>45487</x:v>
      </x:c>
      <x:c r="S2368" s="4" t="str">
        <x:v>Retained</x:v>
      </x:c>
      <x:c r="T2368" s="10" t="n">
        <x:v>0.305556</x:v>
      </x:c>
      <x:c r="U2368" s="4" t="str">
        <x:v>Train</x:v>
      </x:c>
    </x:row>
    <x:row r="2369" ht="34" customHeight="1">
      <x:c r="A2369" s="4" t="str">
        <x:v>RS-02368</x:v>
      </x:c>
      <x:c r="B2369" s="8" t="n">
        <x:v>45428</x:v>
      </x:c>
      <x:c r="C2369" s="4" t="str">
        <x:v>PRJ-008</x:v>
      </x:c>
      <x:c r="D2369" s="4" t="str">
        <x:v>Apartment</x:v>
      </x:c>
      <x:c r="E2369" s="4" t="str">
        <x:v>Reserved</x:v>
      </x:c>
      <x:c r="F2369" s="4" t="str">
        <x:v>CUS-02368</x:v>
      </x:c>
      <x:c r="G2369" s="4" t="str">
        <x:v>UNIT-02368</x:v>
      </x:c>
      <x:c r="H2369" s="9" t="n">
        <x:v>3300000</x:v>
      </x:c>
      <x:c r="I2369" s="10" t="n">
        <x:v>0.11</x:v>
      </x:c>
      <x:c r="J2369" s="11" t="n">
        <x:v>10</x:v>
      </x:c>
      <x:c r="K2369" s="11" t="n">
        <x:v>1</x:v>
      </x:c>
      <x:c r="L2369" s="11" t="n">
        <x:v>1</x:v>
      </x:c>
      <x:c r="M2369" s="9" t="n">
        <x:f>ROUND(H2369*(1-I2369),2)</x:f>
        <x:v>2937000</x:v>
      </x:c>
      <x:c r="N2369" s="4" t="str">
        <x:v>Sales head</x:v>
      </x:c>
      <x:c r="O2369" s="4"/>
      <x:c r="P2369" s="9" t="n">
        <x:v>0</x:v>
      </x:c>
      <x:c r="Q2369" s="11" t="n">
        <x:v>0</x:v>
      </x:c>
      <x:c r="R2369" s="8" t="n">
        <x:v>45488</x:v>
      </x:c>
      <x:c r="S2369" s="4" t="str">
        <x:v>Retained</x:v>
      </x:c>
      <x:c r="T2369" s="10" t="n">
        <x:v>0.310195</x:v>
      </x:c>
      <x:c r="U2369" s="4" t="str">
        <x:v>Train</x:v>
      </x:c>
    </x:row>
    <x:row r="2370" ht="34" customHeight="1">
      <x:c r="A2370" s="4" t="str">
        <x:v>RS-02369</x:v>
      </x:c>
      <x:c r="B2370" s="8" t="n">
        <x:v>45429</x:v>
      </x:c>
      <x:c r="C2370" s="4" t="str">
        <x:v>PRJ-009</x:v>
      </x:c>
      <x:c r="D2370" s="4" t="str">
        <x:v>Apartment</x:v>
      </x:c>
      <x:c r="E2370" s="4" t="str">
        <x:v>Enquiry</x:v>
      </x:c>
      <x:c r="F2370" s="4" t="str">
        <x:v>CUS-02369</x:v>
      </x:c>
      <x:c r="G2370" s="4" t="str">
        <x:v>UNIT-02369</x:v>
      </x:c>
      <x:c r="H2370" s="9" t="n">
        <x:v>14800000</x:v>
      </x:c>
      <x:c r="I2370" s="10" t="n">
        <x:v>0.12</x:v>
      </x:c>
      <x:c r="J2370" s="11" t="n">
        <x:v>6</x:v>
      </x:c>
      <x:c r="K2370" s="11" t="n">
        <x:v>6</x:v>
      </x:c>
      <x:c r="L2370" s="11" t="n">
        <x:v>0</x:v>
      </x:c>
      <x:c r="M2370" s="9" t="n">
        <x:f>ROUND(H2370*(1-I2370),2)</x:f>
        <x:v>13024000</x:v>
      </x:c>
      <x:c r="N2370" s="4" t="str">
        <x:v>Sales head</x:v>
      </x:c>
      <x:c r="O2370" s="4"/>
      <x:c r="P2370" s="9" t="n">
        <x:v>0</x:v>
      </x:c>
      <x:c r="Q2370" s="11" t="n">
        <x:v>0</x:v>
      </x:c>
      <x:c r="R2370" s="8" t="n">
        <x:v>45489</x:v>
      </x:c>
      <x:c r="S2370" s="4" t="str">
        <x:v>Retained</x:v>
      </x:c>
      <x:c r="T2370" s="10" t="n">
        <x:v>0.226277</x:v>
      </x:c>
      <x:c r="U2370" s="4" t="str">
        <x:v>Train</x:v>
      </x:c>
    </x:row>
    <x:row r="2371" ht="34" customHeight="1">
      <x:c r="A2371" s="4" t="str">
        <x:v>RS-02370</x:v>
      </x:c>
      <x:c r="B2371" s="8" t="n">
        <x:v>45430</x:v>
      </x:c>
      <x:c r="C2371" s="4" t="str">
        <x:v>PRJ-010</x:v>
      </x:c>
      <x:c r="D2371" s="4" t="str">
        <x:v>Office</x:v>
      </x:c>
      <x:c r="E2371" s="4" t="str">
        <x:v>Handed over</x:v>
      </x:c>
      <x:c r="F2371" s="4" t="str">
        <x:v>CUS-02370</x:v>
      </x:c>
      <x:c r="G2371" s="4" t="str">
        <x:v>UNIT-02370</x:v>
      </x:c>
      <x:c r="H2371" s="9" t="n">
        <x:v>17300000</x:v>
      </x:c>
      <x:c r="I2371" s="10" t="n">
        <x:v>0.11</x:v>
      </x:c>
      <x:c r="J2371" s="11" t="n">
        <x:v>11</x:v>
      </x:c>
      <x:c r="K2371" s="11" t="n">
        <x:v>2</x:v>
      </x:c>
      <x:c r="L2371" s="11" t="n">
        <x:v>0</x:v>
      </x:c>
      <x:c r="M2371" s="9" t="n">
        <x:f>ROUND(H2371*(1-I2371),2)</x:f>
        <x:v>15397000</x:v>
      </x:c>
      <x:c r="N2371" s="4" t="str">
        <x:v>Sales head</x:v>
      </x:c>
      <x:c r="O2371" s="4" t="str">
        <x:v>BOOK-02370</x:v>
      </x:c>
      <x:c r="P2371" s="9" t="n">
        <x:v>1539700</x:v>
      </x:c>
      <x:c r="Q2371" s="11" t="n">
        <x:v>0</x:v>
      </x:c>
      <x:c r="R2371" s="8" t="n">
        <x:v>45490</x:v>
      </x:c>
      <x:c r="S2371" s="4" t="str">
        <x:v>Retained</x:v>
      </x:c>
      <x:c r="T2371" s="10" t="n">
        <x:v>0.351536</x:v>
      </x:c>
      <x:c r="U2371" s="4" t="str">
        <x:v>Train</x:v>
      </x:c>
    </x:row>
    <x:row r="2372" ht="34" customHeight="1">
      <x:c r="A2372" s="4" t="str">
        <x:v>RS-02371</x:v>
      </x:c>
      <x:c r="B2372" s="8" t="n">
        <x:v>45431</x:v>
      </x:c>
      <x:c r="C2372" s="4" t="str">
        <x:v>PRJ-011</x:v>
      </x:c>
      <x:c r="D2372" s="4" t="str">
        <x:v>Office</x:v>
      </x:c>
      <x:c r="E2372" s="4" t="str">
        <x:v>Handed over</x:v>
      </x:c>
      <x:c r="F2372" s="4" t="str">
        <x:v>CUS-02371</x:v>
      </x:c>
      <x:c r="G2372" s="4" t="str">
        <x:v>UNIT-02371</x:v>
      </x:c>
      <x:c r="H2372" s="9" t="n">
        <x:v>12800000</x:v>
      </x:c>
      <x:c r="I2372" s="10" t="n">
        <x:v>0.02</x:v>
      </x:c>
      <x:c r="J2372" s="11" t="n">
        <x:v>1</x:v>
      </x:c>
      <x:c r="K2372" s="11" t="n">
        <x:v>7</x:v>
      </x:c>
      <x:c r="L2372" s="11" t="n">
        <x:v>1</x:v>
      </x:c>
      <x:c r="M2372" s="9" t="n">
        <x:f>ROUND(H2372*(1-I2372),2)</x:f>
        <x:v>12544000</x:v>
      </x:c>
      <x:c r="N2372" s="4" t="str">
        <x:v>Sales manager</x:v>
      </x:c>
      <x:c r="O2372" s="4" t="str">
        <x:v>BOOK-02371</x:v>
      </x:c>
      <x:c r="P2372" s="9" t="n">
        <x:v>6272000</x:v>
      </x:c>
      <x:c r="Q2372" s="11" t="n">
        <x:v>0</x:v>
      </x:c>
      <x:c r="R2372" s="8" t="n">
        <x:v>45491</x:v>
      </x:c>
      <x:c r="S2372" s="4" t="str">
        <x:v>Retained</x:v>
      </x:c>
      <x:c r="T2372" s="10" t="n">
        <x:v>0.072165</x:v>
      </x:c>
      <x:c r="U2372" s="4" t="str">
        <x:v>Train</x:v>
      </x:c>
    </x:row>
    <x:row r="2373" ht="34" customHeight="1">
      <x:c r="A2373" s="4" t="str">
        <x:v>RS-02372</x:v>
      </x:c>
      <x:c r="B2373" s="8" t="n">
        <x:v>45432</x:v>
      </x:c>
      <x:c r="C2373" s="4" t="str">
        <x:v>PRJ-012</x:v>
      </x:c>
      <x:c r="D2373" s="4" t="str">
        <x:v>Office</x:v>
      </x:c>
      <x:c r="E2373" s="4" t="str">
        <x:v>Booked</x:v>
      </x:c>
      <x:c r="F2373" s="4" t="str">
        <x:v>CUS-02372</x:v>
      </x:c>
      <x:c r="G2373" s="4" t="str">
        <x:v>UNIT-02372</x:v>
      </x:c>
      <x:c r="H2373" s="9" t="n">
        <x:v>9200000</x:v>
      </x:c>
      <x:c r="I2373" s="10" t="n">
        <x:v>0.08</x:v>
      </x:c>
      <x:c r="J2373" s="11" t="n">
        <x:v>3</x:v>
      </x:c>
      <x:c r="K2373" s="11" t="n">
        <x:v>8</x:v>
      </x:c>
      <x:c r="L2373" s="11" t="n">
        <x:v>1</x:v>
      </x:c>
      <x:c r="M2373" s="9" t="n">
        <x:f>ROUND(H2373*(1-I2373),2)</x:f>
        <x:v>8464000</x:v>
      </x:c>
      <x:c r="N2373" s="4" t="str">
        <x:v>Sales head</x:v>
      </x:c>
      <x:c r="O2373" s="4" t="str">
        <x:v>BOOK-02372</x:v>
      </x:c>
      <x:c r="P2373" s="9" t="n">
        <x:v>2116000</x:v>
      </x:c>
      <x:c r="Q2373" s="11" t="n">
        <x:v>0</x:v>
      </x:c>
      <x:c r="R2373" s="8" t="n">
        <x:v>45492</x:v>
      </x:c>
      <x:c r="S2373" s="4" t="str">
        <x:v>Retained</x:v>
      </x:c>
      <x:c r="T2373" s="10" t="n">
        <x:v>0.204152</x:v>
      </x:c>
      <x:c r="U2373" s="4" t="str">
        <x:v>Train</x:v>
      </x:c>
    </x:row>
    <x:row r="2374" ht="34" customHeight="1">
      <x:c r="A2374" s="4" t="str">
        <x:v>RS-02373</x:v>
      </x:c>
      <x:c r="B2374" s="8" t="n">
        <x:v>45433</x:v>
      </x:c>
      <x:c r="C2374" s="4" t="str">
        <x:v>PRJ-013</x:v>
      </x:c>
      <x:c r="D2374" s="4" t="str">
        <x:v>Apartment</x:v>
      </x:c>
      <x:c r="E2374" s="4" t="str">
        <x:v>Reserved</x:v>
      </x:c>
      <x:c r="F2374" s="4" t="str">
        <x:v>CUS-02373</x:v>
      </x:c>
      <x:c r="G2374" s="4" t="str">
        <x:v>UNIT-02373</x:v>
      </x:c>
      <x:c r="H2374" s="9" t="n">
        <x:v>11900000</x:v>
      </x:c>
      <x:c r="I2374" s="10" t="n">
        <x:v>0.09</x:v>
      </x:c>
      <x:c r="J2374" s="11" t="n">
        <x:v>8</x:v>
      </x:c>
      <x:c r="K2374" s="11" t="n">
        <x:v>7</x:v>
      </x:c>
      <x:c r="L2374" s="11" t="n">
        <x:v>1</x:v>
      </x:c>
      <x:c r="M2374" s="9" t="n">
        <x:f>ROUND(H2374*(1-I2374),2)</x:f>
        <x:v>10829000</x:v>
      </x:c>
      <x:c r="N2374" s="4" t="str">
        <x:v>Sales head</x:v>
      </x:c>
      <x:c r="O2374" s="4"/>
      <x:c r="P2374" s="9" t="n">
        <x:v>0</x:v>
      </x:c>
      <x:c r="Q2374" s="11" t="n">
        <x:v>0</x:v>
      </x:c>
      <x:c r="R2374" s="8" t="n">
        <x:v>45493</x:v>
      </x:c>
      <x:c r="S2374" s="4" t="str">
        <x:v>Retained</x:v>
      </x:c>
      <x:c r="T2374" s="10" t="n">
        <x:v>0.310195</x:v>
      </x:c>
      <x:c r="U2374" s="4" t="str">
        <x:v>Train</x:v>
      </x:c>
    </x:row>
    <x:row r="2375" ht="34" customHeight="1">
      <x:c r="A2375" s="4" t="str">
        <x:v>RS-02374</x:v>
      </x:c>
      <x:c r="B2375" s="8" t="n">
        <x:v>45434</x:v>
      </x:c>
      <x:c r="C2375" s="4" t="str">
        <x:v>PRJ-014</x:v>
      </x:c>
      <x:c r="D2375" s="4" t="str">
        <x:v>Office</x:v>
      </x:c>
      <x:c r="E2375" s="4" t="str">
        <x:v>Booked</x:v>
      </x:c>
      <x:c r="F2375" s="4" t="str">
        <x:v>CUS-02374</x:v>
      </x:c>
      <x:c r="G2375" s="4" t="str">
        <x:v>UNIT-02374</x:v>
      </x:c>
      <x:c r="H2375" s="9" t="n">
        <x:v>12300000</x:v>
      </x:c>
      <x:c r="I2375" s="10" t="n">
        <x:v>0.04</x:v>
      </x:c>
      <x:c r="J2375" s="11" t="n">
        <x:v>2</x:v>
      </x:c>
      <x:c r="K2375" s="11" t="n">
        <x:v>8</x:v>
      </x:c>
      <x:c r="L2375" s="11" t="n">
        <x:v>0</x:v>
      </x:c>
      <x:c r="M2375" s="9" t="n">
        <x:f>ROUND(H2375*(1-I2375),2)</x:f>
        <x:v>11808000</x:v>
      </x:c>
      <x:c r="N2375" s="4" t="str">
        <x:v>Sales manager</x:v>
      </x:c>
      <x:c r="O2375" s="4" t="str">
        <x:v>BOOK-02374</x:v>
      </x:c>
      <x:c r="P2375" s="9" t="n">
        <x:v>1180800</x:v>
      </x:c>
      <x:c r="Q2375" s="11" t="n">
        <x:v>0</x:v>
      </x:c>
      <x:c r="R2375" s="8" t="n">
        <x:v>45494</x:v>
      </x:c>
      <x:c r="S2375" s="4" t="str">
        <x:v>Retained</x:v>
      </x:c>
      <x:c r="T2375" s="10" t="n">
        <x:v>0.204152</x:v>
      </x:c>
      <x:c r="U2375" s="4" t="str">
        <x:v>Train</x:v>
      </x:c>
    </x:row>
    <x:row r="2376" ht="34" customHeight="1">
      <x:c r="A2376" s="4" t="str">
        <x:v>RS-02375</x:v>
      </x:c>
      <x:c r="B2376" s="8" t="n">
        <x:v>45435</x:v>
      </x:c>
      <x:c r="C2376" s="4" t="str">
        <x:v>PRJ-015</x:v>
      </x:c>
      <x:c r="D2376" s="4" t="str">
        <x:v>Apartment</x:v>
      </x:c>
      <x:c r="E2376" s="4" t="str">
        <x:v>Cancelled</x:v>
      </x:c>
      <x:c r="F2376" s="4" t="str">
        <x:v>CUS-02375</x:v>
      </x:c>
      <x:c r="G2376" s="4" t="str">
        <x:v>UNIT-02375</x:v>
      </x:c>
      <x:c r="H2376" s="9" t="n">
        <x:v>4500000</x:v>
      </x:c>
      <x:c r="I2376" s="10" t="n">
        <x:v>0.12</x:v>
      </x:c>
      <x:c r="J2376" s="11" t="n">
        <x:v>8</x:v>
      </x:c>
      <x:c r="K2376" s="11" t="n">
        <x:v>9</x:v>
      </x:c>
      <x:c r="L2376" s="11" t="n">
        <x:v>0</x:v>
      </x:c>
      <x:c r="M2376" s="9" t="n">
        <x:f>ROUND(H2376*(1-I2376),2)</x:f>
        <x:v>3960000</x:v>
      </x:c>
      <x:c r="N2376" s="4" t="str">
        <x:v>Sales head</x:v>
      </x:c>
      <x:c r="O2376" s="4"/>
      <x:c r="P2376" s="9" t="n">
        <x:v>0</x:v>
      </x:c>
      <x:c r="Q2376" s="11" t="n">
        <x:v>1</x:v>
      </x:c>
      <x:c r="R2376" s="8" t="n">
        <x:v>45495</x:v>
      </x:c>
      <x:c r="S2376" s="4" t="str">
        <x:v>Lost / cancelled</x:v>
      </x:c>
      <x:c r="T2376" s="10" t="n">
        <x:v>0.310195</x:v>
      </x:c>
      <x:c r="U2376" s="4" t="str">
        <x:v>Train</x:v>
      </x:c>
    </x:row>
    <x:row r="2377" ht="34" customHeight="1">
      <x:c r="A2377" s="4" t="str">
        <x:v>RS-02376</x:v>
      </x:c>
      <x:c r="B2377" s="8" t="n">
        <x:v>45436</x:v>
      </x:c>
      <x:c r="C2377" s="4" t="str">
        <x:v>PRJ-016</x:v>
      </x:c>
      <x:c r="D2377" s="4" t="str">
        <x:v>Retail</x:v>
      </x:c>
      <x:c r="E2377" s="4" t="str">
        <x:v>Handed over</x:v>
      </x:c>
      <x:c r="F2377" s="4" t="str">
        <x:v>CUS-02376</x:v>
      </x:c>
      <x:c r="G2377" s="4" t="str">
        <x:v>UNIT-02376</x:v>
      </x:c>
      <x:c r="H2377" s="9" t="n">
        <x:v>17600000</x:v>
      </x:c>
      <x:c r="I2377" s="10" t="n">
        <x:v>0.09</x:v>
      </x:c>
      <x:c r="J2377" s="11" t="n">
        <x:v>12</x:v>
      </x:c>
      <x:c r="K2377" s="11" t="n">
        <x:v>1</x:v>
      </x:c>
      <x:c r="L2377" s="11" t="n">
        <x:v>1</x:v>
      </x:c>
      <x:c r="M2377" s="9" t="n">
        <x:f>ROUND(H2377*(1-I2377),2)</x:f>
        <x:v>16016000</x:v>
      </x:c>
      <x:c r="N2377" s="4" t="str">
        <x:v>Sales head</x:v>
      </x:c>
      <x:c r="O2377" s="4" t="str">
        <x:v>BOOK-02376</x:v>
      </x:c>
      <x:c r="P2377" s="9" t="n">
        <x:v>16016000</x:v>
      </x:c>
      <x:c r="Q2377" s="11" t="n">
        <x:v>0</x:v>
      </x:c>
      <x:c r="R2377" s="8" t="n">
        <x:v>45496</x:v>
      </x:c>
      <x:c r="S2377" s="4" t="str">
        <x:v>Retained</x:v>
      </x:c>
      <x:c r="T2377" s="10" t="n">
        <x:v>0.351536</x:v>
      </x:c>
      <x:c r="U2377" s="4" t="str">
        <x:v>Train</x:v>
      </x:c>
    </x:row>
    <x:row r="2378" ht="34" customHeight="1">
      <x:c r="A2378" s="4" t="str">
        <x:v>RS-02377</x:v>
      </x:c>
      <x:c r="B2378" s="8" t="n">
        <x:v>45437</x:v>
      </x:c>
      <x:c r="C2378" s="4" t="str">
        <x:v>PRJ-017</x:v>
      </x:c>
      <x:c r="D2378" s="4" t="str">
        <x:v>Office</x:v>
      </x:c>
      <x:c r="E2378" s="4" t="str">
        <x:v>Cancelled</x:v>
      </x:c>
      <x:c r="F2378" s="4" t="str">
        <x:v>CUS-02377</x:v>
      </x:c>
      <x:c r="G2378" s="4" t="str">
        <x:v>UNIT-02377</x:v>
      </x:c>
      <x:c r="H2378" s="9" t="n">
        <x:v>4700000</x:v>
      </x:c>
      <x:c r="I2378" s="10" t="n">
        <x:v>0.02</x:v>
      </x:c>
      <x:c r="J2378" s="11" t="n">
        <x:v>7</x:v>
      </x:c>
      <x:c r="K2378" s="11" t="n">
        <x:v>6</x:v>
      </x:c>
      <x:c r="L2378" s="11" t="n">
        <x:v>0</x:v>
      </x:c>
      <x:c r="M2378" s="9" t="n">
        <x:f>ROUND(H2378*(1-I2378),2)</x:f>
        <x:v>4606000</x:v>
      </x:c>
      <x:c r="N2378" s="4" t="str">
        <x:v>Sales manager</x:v>
      </x:c>
      <x:c r="O2378" s="4"/>
      <x:c r="P2378" s="9" t="n">
        <x:v>0</x:v>
      </x:c>
      <x:c r="Q2378" s="11" t="n">
        <x:v>1</x:v>
      </x:c>
      <x:c r="R2378" s="8" t="n">
        <x:v>45497</x:v>
      </x:c>
      <x:c r="S2378" s="4" t="str">
        <x:v>Lost / cancelled</x:v>
      </x:c>
      <x:c r="T2378" s="10" t="n">
        <x:v>0.145299</x:v>
      </x:c>
      <x:c r="U2378" s="4" t="str">
        <x:v>Train</x:v>
      </x:c>
    </x:row>
    <x:row r="2379" ht="34" customHeight="1">
      <x:c r="A2379" s="4" t="str">
        <x:v>RS-02378</x:v>
      </x:c>
      <x:c r="B2379" s="8" t="n">
        <x:v>45438</x:v>
      </x:c>
      <x:c r="C2379" s="4" t="str">
        <x:v>PRJ-018</x:v>
      </x:c>
      <x:c r="D2379" s="4" t="str">
        <x:v>Office</x:v>
      </x:c>
      <x:c r="E2379" s="4" t="str">
        <x:v>Booked</x:v>
      </x:c>
      <x:c r="F2379" s="4" t="str">
        <x:v>CUS-02378</x:v>
      </x:c>
      <x:c r="G2379" s="4" t="str">
        <x:v>UNIT-02378</x:v>
      </x:c>
      <x:c r="H2379" s="9" t="n">
        <x:v>23400000</x:v>
      </x:c>
      <x:c r="I2379" s="10" t="n">
        <x:v>0.08</x:v>
      </x:c>
      <x:c r="J2379" s="11" t="n">
        <x:v>12</x:v>
      </x:c>
      <x:c r="K2379" s="11" t="n">
        <x:v>10</x:v>
      </x:c>
      <x:c r="L2379" s="11" t="n">
        <x:v>0</x:v>
      </x:c>
      <x:c r="M2379" s="9" t="n">
        <x:f>ROUND(H2379*(1-I2379),2)</x:f>
        <x:v>21528000</x:v>
      </x:c>
      <x:c r="N2379" s="4" t="str">
        <x:v>Sales head</x:v>
      </x:c>
      <x:c r="O2379" s="4" t="str">
        <x:v>BOOK-02378</x:v>
      </x:c>
      <x:c r="P2379" s="9" t="n">
        <x:v>10764000</x:v>
      </x:c>
      <x:c r="Q2379" s="11" t="n">
        <x:v>0</x:v>
      </x:c>
      <x:c r="R2379" s="8" t="n">
        <x:v>45498</x:v>
      </x:c>
      <x:c r="S2379" s="4" t="str">
        <x:v>Retained</x:v>
      </x:c>
      <x:c r="T2379" s="10" t="n">
        <x:v>0.351536</x:v>
      </x:c>
      <x:c r="U2379" s="4" t="str">
        <x:v>Train</x:v>
      </x:c>
    </x:row>
    <x:row r="2380" ht="34" customHeight="1">
      <x:c r="A2380" s="4" t="str">
        <x:v>RS-02379</x:v>
      </x:c>
      <x:c r="B2380" s="8" t="n">
        <x:v>45439</x:v>
      </x:c>
      <x:c r="C2380" s="4" t="str">
        <x:v>PRJ-019</x:v>
      </x:c>
      <x:c r="D2380" s="4" t="str">
        <x:v>Apartment</x:v>
      </x:c>
      <x:c r="E2380" s="4" t="str">
        <x:v>Reserved</x:v>
      </x:c>
      <x:c r="F2380" s="4" t="str">
        <x:v>CUS-02379</x:v>
      </x:c>
      <x:c r="G2380" s="4" t="str">
        <x:v>UNIT-02379</x:v>
      </x:c>
      <x:c r="H2380" s="9" t="n">
        <x:v>7100000</x:v>
      </x:c>
      <x:c r="I2380" s="10" t="n">
        <x:v>0.08</x:v>
      </x:c>
      <x:c r="J2380" s="11" t="n">
        <x:v>6</x:v>
      </x:c>
      <x:c r="K2380" s="11" t="n">
        <x:v>3</x:v>
      </x:c>
      <x:c r="L2380" s="11" t="n">
        <x:v>0</x:v>
      </x:c>
      <x:c r="M2380" s="9" t="n">
        <x:f>ROUND(H2380*(1-I2380),2)</x:f>
        <x:v>6532000</x:v>
      </x:c>
      <x:c r="N2380" s="4" t="str">
        <x:v>Sales head</x:v>
      </x:c>
      <x:c r="O2380" s="4"/>
      <x:c r="P2380" s="9" t="n">
        <x:v>0</x:v>
      </x:c>
      <x:c r="Q2380" s="11" t="n">
        <x:v>1</x:v>
      </x:c>
      <x:c r="R2380" s="8" t="n">
        <x:v>45499</x:v>
      </x:c>
      <x:c r="S2380" s="4" t="str">
        <x:v>Lost / cancelled</x:v>
      </x:c>
      <x:c r="T2380" s="10" t="n">
        <x:v>0.226277</x:v>
      </x:c>
      <x:c r="U2380" s="4" t="str">
        <x:v>Train</x:v>
      </x:c>
    </x:row>
    <x:row r="2381" ht="34" customHeight="1">
      <x:c r="A2381" s="4" t="str">
        <x:v>RS-02380</x:v>
      </x:c>
      <x:c r="B2381" s="8" t="n">
        <x:v>45440</x:v>
      </x:c>
      <x:c r="C2381" s="4" t="str">
        <x:v>PRJ-020</x:v>
      </x:c>
      <x:c r="D2381" s="4" t="str">
        <x:v>Apartment</x:v>
      </x:c>
      <x:c r="E2381" s="4" t="str">
        <x:v>Cancelled</x:v>
      </x:c>
      <x:c r="F2381" s="4" t="str">
        <x:v>CUS-02380</x:v>
      </x:c>
      <x:c r="G2381" s="4" t="str">
        <x:v>UNIT-02380</x:v>
      </x:c>
      <x:c r="H2381" s="9" t="n">
        <x:v>13600000</x:v>
      </x:c>
      <x:c r="I2381" s="10" t="n">
        <x:v>0.05</x:v>
      </x:c>
      <x:c r="J2381" s="11" t="n">
        <x:v>10</x:v>
      </x:c>
      <x:c r="K2381" s="11" t="n">
        <x:v>4</x:v>
      </x:c>
      <x:c r="L2381" s="11" t="n">
        <x:v>0</x:v>
      </x:c>
      <x:c r="M2381" s="9" t="n">
        <x:f>ROUND(H2381*(1-I2381),2)</x:f>
        <x:v>12920000</x:v>
      </x:c>
      <x:c r="N2381" s="4" t="str">
        <x:v>Sales manager</x:v>
      </x:c>
      <x:c r="O2381" s="4"/>
      <x:c r="P2381" s="9" t="n">
        <x:v>0</x:v>
      </x:c>
      <x:c r="Q2381" s="11" t="n">
        <x:v>1</x:v>
      </x:c>
      <x:c r="R2381" s="8" t="n">
        <x:v>45500</x:v>
      </x:c>
      <x:c r="S2381" s="4" t="str">
        <x:v>Lost / cancelled</x:v>
      </x:c>
      <x:c r="T2381" s="10" t="n">
        <x:v>0.310195</x:v>
      </x:c>
      <x:c r="U2381" s="4" t="str">
        <x:v>Train</x:v>
      </x:c>
    </x:row>
    <x:row r="2382" ht="34" customHeight="1">
      <x:c r="A2382" s="4" t="str">
        <x:v>RS-02381</x:v>
      </x:c>
      <x:c r="B2382" s="8" t="n">
        <x:v>45413</x:v>
      </x:c>
      <x:c r="C2382" s="4" t="str">
        <x:v>PRJ-001</x:v>
      </x:c>
      <x:c r="D2382" s="4" t="str">
        <x:v>Villa</x:v>
      </x:c>
      <x:c r="E2382" s="4" t="str">
        <x:v>Handed over</x:v>
      </x:c>
      <x:c r="F2382" s="4" t="str">
        <x:v>CUS-02381</x:v>
      </x:c>
      <x:c r="G2382" s="4" t="str">
        <x:v>UNIT-02381</x:v>
      </x:c>
      <x:c r="H2382" s="9" t="n">
        <x:v>18500000</x:v>
      </x:c>
      <x:c r="I2382" s="10" t="n">
        <x:v>0.03</x:v>
      </x:c>
      <x:c r="J2382" s="11" t="n">
        <x:v>5</x:v>
      </x:c>
      <x:c r="K2382" s="11" t="n">
        <x:v>1</x:v>
      </x:c>
      <x:c r="L2382" s="11" t="n">
        <x:v>0</x:v>
      </x:c>
      <x:c r="M2382" s="9" t="n">
        <x:f>ROUND(H2382*(1-I2382),2)</x:f>
        <x:v>17945000</x:v>
      </x:c>
      <x:c r="N2382" s="4" t="str">
        <x:v>Sales manager</x:v>
      </x:c>
      <x:c r="O2382" s="4" t="str">
        <x:v>BOOK-02381</x:v>
      </x:c>
      <x:c r="P2382" s="9" t="n">
        <x:v>4486250</x:v>
      </x:c>
      <x:c r="Q2382" s="11" t="n">
        <x:v>0</x:v>
      </x:c>
      <x:c r="R2382" s="8" t="n">
        <x:v>45473</x:v>
      </x:c>
      <x:c r="S2382" s="4" t="str">
        <x:v>Retained</x:v>
      </x:c>
      <x:c r="T2382" s="10" t="n">
        <x:v>0.298969</x:v>
      </x:c>
      <x:c r="U2382" s="4" t="str">
        <x:v>Train</x:v>
      </x:c>
    </x:row>
    <x:row r="2383" ht="34" customHeight="1">
      <x:c r="A2383" s="4" t="str">
        <x:v>RS-02382</x:v>
      </x:c>
      <x:c r="B2383" s="8" t="n">
        <x:v>45414</x:v>
      </x:c>
      <x:c r="C2383" s="4" t="str">
        <x:v>PRJ-002</x:v>
      </x:c>
      <x:c r="D2383" s="4" t="str">
        <x:v>Retail</x:v>
      </x:c>
      <x:c r="E2383" s="4" t="str">
        <x:v>Agreement signed</x:v>
      </x:c>
      <x:c r="F2383" s="4" t="str">
        <x:v>CUS-02382</x:v>
      </x:c>
      <x:c r="G2383" s="4" t="str">
        <x:v>UNIT-02382</x:v>
      </x:c>
      <x:c r="H2383" s="9" t="n">
        <x:v>20000000</x:v>
      </x:c>
      <x:c r="I2383" s="10" t="n">
        <x:v>0.01</x:v>
      </x:c>
      <x:c r="J2383" s="11" t="n">
        <x:v>4</x:v>
      </x:c>
      <x:c r="K2383" s="11" t="n">
        <x:v>3</x:v>
      </x:c>
      <x:c r="L2383" s="11" t="n">
        <x:v>1</x:v>
      </x:c>
      <x:c r="M2383" s="9" t="n">
        <x:f>ROUND(H2383*(1-I2383),2)</x:f>
        <x:v>19800000</x:v>
      </x:c>
      <x:c r="N2383" s="4" t="str">
        <x:v>Sales manager</x:v>
      </x:c>
      <x:c r="O2383" s="4" t="str">
        <x:v>BOOK-02382</x:v>
      </x:c>
      <x:c r="P2383" s="9" t="n">
        <x:v>19800000</x:v>
      </x:c>
      <x:c r="Q2383" s="11" t="n">
        <x:v>0</x:v>
      </x:c>
      <x:c r="R2383" s="8" t="n">
        <x:v>45474</x:v>
      </x:c>
      <x:c r="S2383" s="4" t="str">
        <x:v>Retained</x:v>
      </x:c>
      <x:c r="T2383" s="10" t="n">
        <x:v>0.298969</x:v>
      </x:c>
      <x:c r="U2383" s="4" t="str">
        <x:v>Train</x:v>
      </x:c>
    </x:row>
    <x:row r="2384" ht="34" customHeight="1">
      <x:c r="A2384" s="4" t="str">
        <x:v>RS-02383</x:v>
      </x:c>
      <x:c r="B2384" s="8" t="n">
        <x:v>45415</x:v>
      </x:c>
      <x:c r="C2384" s="4" t="str">
        <x:v>PRJ-003</x:v>
      </x:c>
      <x:c r="D2384" s="4" t="str">
        <x:v>Apartment</x:v>
      </x:c>
      <x:c r="E2384" s="4" t="str">
        <x:v>Enquiry</x:v>
      </x:c>
      <x:c r="F2384" s="4" t="str">
        <x:v>CUS-02383</x:v>
      </x:c>
      <x:c r="G2384" s="4" t="str">
        <x:v>UNIT-02383</x:v>
      </x:c>
      <x:c r="H2384" s="9" t="n">
        <x:v>3000000</x:v>
      </x:c>
      <x:c r="I2384" s="10" t="n">
        <x:v>0.04</x:v>
      </x:c>
      <x:c r="J2384" s="11" t="n">
        <x:v>1</x:v>
      </x:c>
      <x:c r="K2384" s="11" t="n">
        <x:v>10</x:v>
      </x:c>
      <x:c r="L2384" s="11" t="n">
        <x:v>1</x:v>
      </x:c>
      <x:c r="M2384" s="9" t="n">
        <x:f>ROUND(H2384*(1-I2384),2)</x:f>
        <x:v>2880000</x:v>
      </x:c>
      <x:c r="N2384" s="4" t="str">
        <x:v>Sales manager</x:v>
      </x:c>
      <x:c r="O2384" s="4"/>
      <x:c r="P2384" s="9" t="n">
        <x:v>0</x:v>
      </x:c>
      <x:c r="Q2384" s="11" t="n">
        <x:v>0</x:v>
      </x:c>
      <x:c r="R2384" s="8" t="n">
        <x:v>45475</x:v>
      </x:c>
      <x:c r="S2384" s="4" t="str">
        <x:v>Retained</x:v>
      </x:c>
      <x:c r="T2384" s="10" t="n">
        <x:v>0.204152</x:v>
      </x:c>
      <x:c r="U2384" s="4" t="str">
        <x:v>Train</x:v>
      </x:c>
    </x:row>
    <x:row r="2385" ht="34" customHeight="1">
      <x:c r="A2385" s="4" t="str">
        <x:v>RS-02384</x:v>
      </x:c>
      <x:c r="B2385" s="8" t="n">
        <x:v>45416</x:v>
      </x:c>
      <x:c r="C2385" s="4" t="str">
        <x:v>PRJ-004</x:v>
      </x:c>
      <x:c r="D2385" s="4" t="str">
        <x:v>Office</x:v>
      </x:c>
      <x:c r="E2385" s="4" t="str">
        <x:v>Handed over</x:v>
      </x:c>
      <x:c r="F2385" s="4" t="str">
        <x:v>CUS-02384</x:v>
      </x:c>
      <x:c r="G2385" s="4" t="str">
        <x:v>UNIT-02384</x:v>
      </x:c>
      <x:c r="H2385" s="9" t="n">
        <x:v>12900000</x:v>
      </x:c>
      <x:c r="I2385" s="10" t="n">
        <x:v>0.1</x:v>
      </x:c>
      <x:c r="J2385" s="11" t="n">
        <x:v>3</x:v>
      </x:c>
      <x:c r="K2385" s="11" t="n">
        <x:v>2</x:v>
      </x:c>
      <x:c r="L2385" s="11" t="n">
        <x:v>1</x:v>
      </x:c>
      <x:c r="M2385" s="9" t="n">
        <x:f>ROUND(H2385*(1-I2385),2)</x:f>
        <x:v>11610000</x:v>
      </x:c>
      <x:c r="N2385" s="4" t="str">
        <x:v>Sales head</x:v>
      </x:c>
      <x:c r="O2385" s="4" t="str">
        <x:v>BOOK-02384</x:v>
      </x:c>
      <x:c r="P2385" s="9" t="n">
        <x:v>11610000</x:v>
      </x:c>
      <x:c r="Q2385" s="11" t="n">
        <x:v>0</x:v>
      </x:c>
      <x:c r="R2385" s="8" t="n">
        <x:v>45476</x:v>
      </x:c>
      <x:c r="S2385" s="4" t="str">
        <x:v>Retained</x:v>
      </x:c>
      <x:c r="T2385" s="10" t="n">
        <x:v>0.145833</x:v>
      </x:c>
      <x:c r="U2385" s="4" t="str">
        <x:v>Train</x:v>
      </x:c>
    </x:row>
    <x:row r="2386" ht="34" customHeight="1">
      <x:c r="A2386" s="4" t="str">
        <x:v>RS-02385</x:v>
      </x:c>
      <x:c r="B2386" s="8" t="n">
        <x:v>45417</x:v>
      </x:c>
      <x:c r="C2386" s="4" t="str">
        <x:v>PRJ-005</x:v>
      </x:c>
      <x:c r="D2386" s="4" t="str">
        <x:v>Retail</x:v>
      </x:c>
      <x:c r="E2386" s="4" t="str">
        <x:v>Booked</x:v>
      </x:c>
      <x:c r="F2386" s="4" t="str">
        <x:v>CUS-02385</x:v>
      </x:c>
      <x:c r="G2386" s="4" t="str">
        <x:v>UNIT-02385</x:v>
      </x:c>
      <x:c r="H2386" s="9" t="n">
        <x:v>4900000</x:v>
      </x:c>
      <x:c r="I2386" s="10" t="n">
        <x:v>0.06</x:v>
      </x:c>
      <x:c r="J2386" s="11" t="n">
        <x:v>12</x:v>
      </x:c>
      <x:c r="K2386" s="11" t="n">
        <x:v>0</x:v>
      </x:c>
      <x:c r="L2386" s="11" t="n">
        <x:v>0</x:v>
      </x:c>
      <x:c r="M2386" s="9" t="n">
        <x:f>ROUND(H2386*(1-I2386),2)</x:f>
        <x:v>4606000</x:v>
      </x:c>
      <x:c r="N2386" s="4" t="str">
        <x:v>Sales manager</x:v>
      </x:c>
      <x:c r="O2386" s="4" t="str">
        <x:v>BOOK-02385</x:v>
      </x:c>
      <x:c r="P2386" s="9" t="n">
        <x:v>4606000</x:v>
      </x:c>
      <x:c r="Q2386" s="11" t="n">
        <x:v>0</x:v>
      </x:c>
      <x:c r="R2386" s="8" t="n">
        <x:v>45477</x:v>
      </x:c>
      <x:c r="S2386" s="4" t="str">
        <x:v>Retained</x:v>
      </x:c>
      <x:c r="T2386" s="10" t="n">
        <x:v>0.351536</x:v>
      </x:c>
      <x:c r="U2386" s="4" t="str">
        <x:v>Train</x:v>
      </x:c>
    </x:row>
    <x:row r="2387" ht="34" customHeight="1">
      <x:c r="A2387" s="4" t="str">
        <x:v>RS-02386</x:v>
      </x:c>
      <x:c r="B2387" s="8" t="n">
        <x:v>45418</x:v>
      </x:c>
      <x:c r="C2387" s="4" t="str">
        <x:v>PRJ-006</x:v>
      </x:c>
      <x:c r="D2387" s="4" t="str">
        <x:v>Villa</x:v>
      </x:c>
      <x:c r="E2387" s="4" t="str">
        <x:v>Handed over</x:v>
      </x:c>
      <x:c r="F2387" s="4" t="str">
        <x:v>CUS-02386</x:v>
      </x:c>
      <x:c r="G2387" s="4" t="str">
        <x:v>UNIT-02386</x:v>
      </x:c>
      <x:c r="H2387" s="9" t="n">
        <x:v>14900000</x:v>
      </x:c>
      <x:c r="I2387" s="10" t="n">
        <x:v>0.04</x:v>
      </x:c>
      <x:c r="J2387" s="11" t="n">
        <x:v>0</x:v>
      </x:c>
      <x:c r="K2387" s="11" t="n">
        <x:v>4</x:v>
      </x:c>
      <x:c r="L2387" s="11" t="n">
        <x:v>0</x:v>
      </x:c>
      <x:c r="M2387" s="9" t="n">
        <x:f>ROUND(H2387*(1-I2387),2)</x:f>
        <x:v>14304000</x:v>
      </x:c>
      <x:c r="N2387" s="4" t="str">
        <x:v>Sales manager</x:v>
      </x:c>
      <x:c r="O2387" s="4" t="str">
        <x:v>BOOK-02386</x:v>
      </x:c>
      <x:c r="P2387" s="9" t="n">
        <x:v>3576000</x:v>
      </x:c>
      <x:c r="Q2387" s="11" t="n">
        <x:v>0</x:v>
      </x:c>
      <x:c r="R2387" s="8" t="n">
        <x:v>45478</x:v>
      </x:c>
      <x:c r="S2387" s="4" t="str">
        <x:v>Retained</x:v>
      </x:c>
      <x:c r="T2387" s="10" t="n">
        <x:v>0.204152</x:v>
      </x:c>
      <x:c r="U2387" s="4" t="str">
        <x:v>Train</x:v>
      </x:c>
    </x:row>
    <x:row r="2388" ht="34" customHeight="1">
      <x:c r="A2388" s="4" t="str">
        <x:v>RS-02387</x:v>
      </x:c>
      <x:c r="B2388" s="8" t="n">
        <x:v>45419</x:v>
      </x:c>
      <x:c r="C2388" s="4" t="str">
        <x:v>PRJ-007</x:v>
      </x:c>
      <x:c r="D2388" s="4" t="str">
        <x:v>Villa</x:v>
      </x:c>
      <x:c r="E2388" s="4" t="str">
        <x:v>Enquiry</x:v>
      </x:c>
      <x:c r="F2388" s="4" t="str">
        <x:v>CUS-02387</x:v>
      </x:c>
      <x:c r="G2388" s="4" t="str">
        <x:v>UNIT-02387</x:v>
      </x:c>
      <x:c r="H2388" s="9" t="n">
        <x:v>3000000</x:v>
      </x:c>
      <x:c r="I2388" s="10" t="n">
        <x:v>0.09</x:v>
      </x:c>
      <x:c r="J2388" s="11" t="n">
        <x:v>6</x:v>
      </x:c>
      <x:c r="K2388" s="11" t="n">
        <x:v>7</x:v>
      </x:c>
      <x:c r="L2388" s="11" t="n">
        <x:v>0</x:v>
      </x:c>
      <x:c r="M2388" s="9" t="n">
        <x:f>ROUND(H2388*(1-I2388),2)</x:f>
        <x:v>2730000</x:v>
      </x:c>
      <x:c r="N2388" s="4" t="str">
        <x:v>Sales head</x:v>
      </x:c>
      <x:c r="O2388" s="4"/>
      <x:c r="P2388" s="9" t="n">
        <x:v>0</x:v>
      </x:c>
      <x:c r="Q2388" s="11" t="n">
        <x:v>0</x:v>
      </x:c>
      <x:c r="R2388" s="8" t="n">
        <x:v>45479</x:v>
      </x:c>
      <x:c r="S2388" s="4" t="str">
        <x:v>Retained</x:v>
      </x:c>
      <x:c r="T2388" s="10" t="n">
        <x:v>0.226277</x:v>
      </x:c>
      <x:c r="U2388" s="4" t="str">
        <x:v>Train</x:v>
      </x:c>
    </x:row>
    <x:row r="2389" ht="34" customHeight="1">
      <x:c r="A2389" s="4" t="str">
        <x:v>RS-02388</x:v>
      </x:c>
      <x:c r="B2389" s="8" t="n">
        <x:v>45420</x:v>
      </x:c>
      <x:c r="C2389" s="4" t="str">
        <x:v>PRJ-008</x:v>
      </x:c>
      <x:c r="D2389" s="4" t="str">
        <x:v>Office</x:v>
      </x:c>
      <x:c r="E2389" s="4" t="str">
        <x:v>Enquiry</x:v>
      </x:c>
      <x:c r="F2389" s="4" t="str">
        <x:v>CUS-02388</x:v>
      </x:c>
      <x:c r="G2389" s="4" t="str">
        <x:v>UNIT-02388</x:v>
      </x:c>
      <x:c r="H2389" s="9" t="n">
        <x:v>20500000</x:v>
      </x:c>
      <x:c r="I2389" s="10" t="n">
        <x:v>0.11</x:v>
      </x:c>
      <x:c r="J2389" s="11" t="n">
        <x:v>0</x:v>
      </x:c>
      <x:c r="K2389" s="11" t="n">
        <x:v>9</x:v>
      </x:c>
      <x:c r="L2389" s="11" t="n">
        <x:v>0</x:v>
      </x:c>
      <x:c r="M2389" s="9" t="n">
        <x:f>ROUND(H2389*(1-I2389),2)</x:f>
        <x:v>18245000</x:v>
      </x:c>
      <x:c r="N2389" s="4" t="str">
        <x:v>Sales head</x:v>
      </x:c>
      <x:c r="O2389" s="4"/>
      <x:c r="P2389" s="9" t="n">
        <x:v>0</x:v>
      </x:c>
      <x:c r="Q2389" s="11" t="n">
        <x:v>0</x:v>
      </x:c>
      <x:c r="R2389" s="8" t="n">
        <x:v>45480</x:v>
      </x:c>
      <x:c r="S2389" s="4" t="str">
        <x:v>Retained</x:v>
      </x:c>
      <x:c r="T2389" s="10" t="n">
        <x:v>0.145833</x:v>
      </x:c>
      <x:c r="U2389" s="4" t="str">
        <x:v>Train</x:v>
      </x:c>
    </x:row>
    <x:row r="2390" ht="34" customHeight="1">
      <x:c r="A2390" s="4" t="str">
        <x:v>RS-02389</x:v>
      </x:c>
      <x:c r="B2390" s="8" t="n">
        <x:v>45421</x:v>
      </x:c>
      <x:c r="C2390" s="4" t="str">
        <x:v>PRJ-009</x:v>
      </x:c>
      <x:c r="D2390" s="4" t="str">
        <x:v>Apartment</x:v>
      </x:c>
      <x:c r="E2390" s="4" t="str">
        <x:v>Enquiry</x:v>
      </x:c>
      <x:c r="F2390" s="4" t="str">
        <x:v>CUS-02389</x:v>
      </x:c>
      <x:c r="G2390" s="4" t="str">
        <x:v>UNIT-02389</x:v>
      </x:c>
      <x:c r="H2390" s="9" t="n">
        <x:v>4200000</x:v>
      </x:c>
      <x:c r="I2390" s="10" t="n">
        <x:v>0.05</x:v>
      </x:c>
      <x:c r="J2390" s="11" t="n">
        <x:v>4</x:v>
      </x:c>
      <x:c r="K2390" s="11" t="n">
        <x:v>3</x:v>
      </x:c>
      <x:c r="L2390" s="11" t="n">
        <x:v>0</x:v>
      </x:c>
      <x:c r="M2390" s="9" t="n">
        <x:f>ROUND(H2390*(1-I2390),2)</x:f>
        <x:v>3990000</x:v>
      </x:c>
      <x:c r="N2390" s="4" t="str">
        <x:v>Sales manager</x:v>
      </x:c>
      <x:c r="O2390" s="4"/>
      <x:c r="P2390" s="9" t="n">
        <x:v>0</x:v>
      </x:c>
      <x:c r="Q2390" s="11" t="n">
        <x:v>0</x:v>
      </x:c>
      <x:c r="R2390" s="8" t="n">
        <x:v>45481</x:v>
      </x:c>
      <x:c r="S2390" s="4" t="str">
        <x:v>Retained</x:v>
      </x:c>
      <x:c r="T2390" s="10" t="n">
        <x:v>0.226277</x:v>
      </x:c>
      <x:c r="U2390" s="4" t="str">
        <x:v>Train</x:v>
      </x:c>
    </x:row>
    <x:row r="2391" ht="34" customHeight="1">
      <x:c r="A2391" s="4" t="str">
        <x:v>RS-02390</x:v>
      </x:c>
      <x:c r="B2391" s="8" t="n">
        <x:v>45422</x:v>
      </x:c>
      <x:c r="C2391" s="4" t="str">
        <x:v>PRJ-010</x:v>
      </x:c>
      <x:c r="D2391" s="4" t="str">
        <x:v>Villa</x:v>
      </x:c>
      <x:c r="E2391" s="4" t="str">
        <x:v>Handed over</x:v>
      </x:c>
      <x:c r="F2391" s="4" t="str">
        <x:v>CUS-02390</x:v>
      </x:c>
      <x:c r="G2391" s="4" t="str">
        <x:v>UNIT-02390</x:v>
      </x:c>
      <x:c r="H2391" s="9" t="n">
        <x:v>6000000</x:v>
      </x:c>
      <x:c r="I2391" s="10" t="n">
        <x:v>0.09</x:v>
      </x:c>
      <x:c r="J2391" s="11" t="n">
        <x:v>9</x:v>
      </x:c>
      <x:c r="K2391" s="11" t="n">
        <x:v>8</x:v>
      </x:c>
      <x:c r="L2391" s="11" t="n">
        <x:v>0</x:v>
      </x:c>
      <x:c r="M2391" s="9" t="n">
        <x:f>ROUND(H2391*(1-I2391),2)</x:f>
        <x:v>5460000</x:v>
      </x:c>
      <x:c r="N2391" s="4" t="str">
        <x:v>Sales head</x:v>
      </x:c>
      <x:c r="O2391" s="4" t="str">
        <x:v>BOOK-02390</x:v>
      </x:c>
      <x:c r="P2391" s="9" t="n">
        <x:v>1365000</x:v>
      </x:c>
      <x:c r="Q2391" s="11" t="n">
        <x:v>0</x:v>
      </x:c>
      <x:c r="R2391" s="8" t="n">
        <x:v>45482</x:v>
      </x:c>
      <x:c r="S2391" s="4" t="str">
        <x:v>Retained</x:v>
      </x:c>
      <x:c r="T2391" s="10" t="n">
        <x:v>0.310195</x:v>
      </x:c>
      <x:c r="U2391" s="4" t="str">
        <x:v>Train</x:v>
      </x:c>
    </x:row>
    <x:row r="2392" ht="34" customHeight="1">
      <x:c r="A2392" s="4" t="str">
        <x:v>RS-02391</x:v>
      </x:c>
      <x:c r="B2392" s="8" t="n">
        <x:v>45423</x:v>
      </x:c>
      <x:c r="C2392" s="4" t="str">
        <x:v>PRJ-011</x:v>
      </x:c>
      <x:c r="D2392" s="4" t="str">
        <x:v>Villa</x:v>
      </x:c>
      <x:c r="E2392" s="4" t="str">
        <x:v>Handed over</x:v>
      </x:c>
      <x:c r="F2392" s="4" t="str">
        <x:v>CUS-02391</x:v>
      </x:c>
      <x:c r="G2392" s="4" t="str">
        <x:v>UNIT-02391</x:v>
      </x:c>
      <x:c r="H2392" s="9" t="n">
        <x:v>17800000</x:v>
      </x:c>
      <x:c r="I2392" s="10" t="n">
        <x:v>0.07</x:v>
      </x:c>
      <x:c r="J2392" s="11" t="n">
        <x:v>10</x:v>
      </x:c>
      <x:c r="K2392" s="11" t="n">
        <x:v>1</x:v>
      </x:c>
      <x:c r="L2392" s="11" t="n">
        <x:v>1</x:v>
      </x:c>
      <x:c r="M2392" s="9" t="n">
        <x:f>ROUND(H2392*(1-I2392),2)</x:f>
        <x:v>16554000</x:v>
      </x:c>
      <x:c r="N2392" s="4" t="str">
        <x:v>Sales manager</x:v>
      </x:c>
      <x:c r="O2392" s="4" t="str">
        <x:v>BOOK-02391</x:v>
      </x:c>
      <x:c r="P2392" s="9" t="n">
        <x:v>8277000</x:v>
      </x:c>
      <x:c r="Q2392" s="11" t="n">
        <x:v>0</x:v>
      </x:c>
      <x:c r="R2392" s="8" t="n">
        <x:v>45483</x:v>
      </x:c>
      <x:c r="S2392" s="4" t="str">
        <x:v>Retained</x:v>
      </x:c>
      <x:c r="T2392" s="10" t="n">
        <x:v>0.310195</x:v>
      </x:c>
      <x:c r="U2392" s="4" t="str">
        <x:v>Train</x:v>
      </x:c>
    </x:row>
    <x:row r="2393" ht="34" customHeight="1">
      <x:c r="A2393" s="4" t="str">
        <x:v>RS-02392</x:v>
      </x:c>
      <x:c r="B2393" s="8" t="n">
        <x:v>45424</x:v>
      </x:c>
      <x:c r="C2393" s="4" t="str">
        <x:v>PRJ-012</x:v>
      </x:c>
      <x:c r="D2393" s="4" t="str">
        <x:v>Retail</x:v>
      </x:c>
      <x:c r="E2393" s="4" t="str">
        <x:v>Cancelled</x:v>
      </x:c>
      <x:c r="F2393" s="4" t="str">
        <x:v>CUS-02392</x:v>
      </x:c>
      <x:c r="G2393" s="4" t="str">
        <x:v>UNIT-02392</x:v>
      </x:c>
      <x:c r="H2393" s="9" t="n">
        <x:v>23300000</x:v>
      </x:c>
      <x:c r="I2393" s="10" t="n">
        <x:v>0.06</x:v>
      </x:c>
      <x:c r="J2393" s="11" t="n">
        <x:v>1</x:v>
      </x:c>
      <x:c r="K2393" s="11" t="n">
        <x:v>3</x:v>
      </x:c>
      <x:c r="L2393" s="11" t="n">
        <x:v>1</x:v>
      </x:c>
      <x:c r="M2393" s="9" t="n">
        <x:f>ROUND(H2393*(1-I2393),2)</x:f>
        <x:v>21902000</x:v>
      </x:c>
      <x:c r="N2393" s="4" t="str">
        <x:v>Sales manager</x:v>
      </x:c>
      <x:c r="O2393" s="4"/>
      <x:c r="P2393" s="9" t="n">
        <x:v>0</x:v>
      </x:c>
      <x:c r="Q2393" s="11" t="n">
        <x:v>1</x:v>
      </x:c>
      <x:c r="R2393" s="8" t="n">
        <x:v>45484</x:v>
      </x:c>
      <x:c r="S2393" s="4" t="str">
        <x:v>Lost / cancelled</x:v>
      </x:c>
      <x:c r="T2393" s="10" t="n">
        <x:v>0.204152</x:v>
      </x:c>
      <x:c r="U2393" s="4" t="str">
        <x:v>Train</x:v>
      </x:c>
    </x:row>
    <x:row r="2394" ht="34" customHeight="1">
      <x:c r="A2394" s="4" t="str">
        <x:v>RS-02393</x:v>
      </x:c>
      <x:c r="B2394" s="8" t="n">
        <x:v>45425</x:v>
      </x:c>
      <x:c r="C2394" s="4" t="str">
        <x:v>PRJ-013</x:v>
      </x:c>
      <x:c r="D2394" s="4" t="str">
        <x:v>Office</x:v>
      </x:c>
      <x:c r="E2394" s="4" t="str">
        <x:v>Cancelled</x:v>
      </x:c>
      <x:c r="F2394" s="4" t="str">
        <x:v>CUS-02393</x:v>
      </x:c>
      <x:c r="G2394" s="4" t="str">
        <x:v>UNIT-02393</x:v>
      </x:c>
      <x:c r="H2394" s="9" t="n">
        <x:v>5700000</x:v>
      </x:c>
      <x:c r="I2394" s="10" t="n">
        <x:v>0.01</x:v>
      </x:c>
      <x:c r="J2394" s="11" t="n">
        <x:v>3</x:v>
      </x:c>
      <x:c r="K2394" s="11" t="n">
        <x:v>8</x:v>
      </x:c>
      <x:c r="L2394" s="11" t="n">
        <x:v>1</x:v>
      </x:c>
      <x:c r="M2394" s="9" t="n">
        <x:f>ROUND(H2394*(1-I2394),2)</x:f>
        <x:v>5643000</x:v>
      </x:c>
      <x:c r="N2394" s="4" t="str">
        <x:v>Sales manager</x:v>
      </x:c>
      <x:c r="O2394" s="4"/>
      <x:c r="P2394" s="9" t="n">
        <x:v>0</x:v>
      </x:c>
      <x:c r="Q2394" s="11" t="n">
        <x:v>1</x:v>
      </x:c>
      <x:c r="R2394" s="8" t="n">
        <x:v>45485</x:v>
      </x:c>
      <x:c r="S2394" s="4" t="str">
        <x:v>Lost / cancelled</x:v>
      </x:c>
      <x:c r="T2394" s="10" t="n">
        <x:v>0.171717</x:v>
      </x:c>
      <x:c r="U2394" s="4" t="str">
        <x:v>Train</x:v>
      </x:c>
    </x:row>
    <x:row r="2395" ht="34" customHeight="1">
      <x:c r="A2395" s="4" t="str">
        <x:v>RS-02394</x:v>
      </x:c>
      <x:c r="B2395" s="8" t="n">
        <x:v>45426</x:v>
      </x:c>
      <x:c r="C2395" s="4" t="str">
        <x:v>PRJ-014</x:v>
      </x:c>
      <x:c r="D2395" s="4" t="str">
        <x:v>Apartment</x:v>
      </x:c>
      <x:c r="E2395" s="4" t="str">
        <x:v>Booked</x:v>
      </x:c>
      <x:c r="F2395" s="4" t="str">
        <x:v>CUS-02394</x:v>
      </x:c>
      <x:c r="G2395" s="4" t="str">
        <x:v>UNIT-02394</x:v>
      </x:c>
      <x:c r="H2395" s="9" t="n">
        <x:v>24600000</x:v>
      </x:c>
      <x:c r="I2395" s="10" t="n">
        <x:v>0.12</x:v>
      </x:c>
      <x:c r="J2395" s="11" t="n">
        <x:v>11</x:v>
      </x:c>
      <x:c r="K2395" s="11" t="n">
        <x:v>2</x:v>
      </x:c>
      <x:c r="L2395" s="11" t="n">
        <x:v>1</x:v>
      </x:c>
      <x:c r="M2395" s="9" t="n">
        <x:f>ROUND(H2395*(1-I2395),2)</x:f>
        <x:v>21648000</x:v>
      </x:c>
      <x:c r="N2395" s="4" t="str">
        <x:v>Sales head</x:v>
      </x:c>
      <x:c r="O2395" s="4" t="str">
        <x:v>BOOK-02394</x:v>
      </x:c>
      <x:c r="P2395" s="9" t="n">
        <x:v>2164800</x:v>
      </x:c>
      <x:c r="Q2395" s="11" t="n">
        <x:v>0</x:v>
      </x:c>
      <x:c r="R2395" s="8" t="n">
        <x:v>45486</x:v>
      </x:c>
      <x:c r="S2395" s="4" t="str">
        <x:v>Retained</x:v>
      </x:c>
      <x:c r="T2395" s="10" t="n">
        <x:v>0.351536</x:v>
      </x:c>
      <x:c r="U2395" s="4" t="str">
        <x:v>Train</x:v>
      </x:c>
    </x:row>
    <x:row r="2396" ht="34" customHeight="1">
      <x:c r="A2396" s="4" t="str">
        <x:v>RS-02395</x:v>
      </x:c>
      <x:c r="B2396" s="8" t="n">
        <x:v>45427</x:v>
      </x:c>
      <x:c r="C2396" s="4" t="str">
        <x:v>PRJ-015</x:v>
      </x:c>
      <x:c r="D2396" s="4" t="str">
        <x:v>Apartment</x:v>
      </x:c>
      <x:c r="E2396" s="4" t="str">
        <x:v>Reserved</x:v>
      </x:c>
      <x:c r="F2396" s="4" t="str">
        <x:v>CUS-02395</x:v>
      </x:c>
      <x:c r="G2396" s="4" t="str">
        <x:v>UNIT-02395</x:v>
      </x:c>
      <x:c r="H2396" s="9" t="n">
        <x:v>23100000</x:v>
      </x:c>
      <x:c r="I2396" s="10" t="n">
        <x:v>0.07</x:v>
      </x:c>
      <x:c r="J2396" s="11" t="n">
        <x:v>10</x:v>
      </x:c>
      <x:c r="K2396" s="11" t="n">
        <x:v>0</x:v>
      </x:c>
      <x:c r="L2396" s="11" t="n">
        <x:v>0</x:v>
      </x:c>
      <x:c r="M2396" s="9" t="n">
        <x:f>ROUND(H2396*(1-I2396),2)</x:f>
        <x:v>21483000</x:v>
      </x:c>
      <x:c r="N2396" s="4" t="str">
        <x:v>Sales manager</x:v>
      </x:c>
      <x:c r="O2396" s="4"/>
      <x:c r="P2396" s="9" t="n">
        <x:v>0</x:v>
      </x:c>
      <x:c r="Q2396" s="11" t="n">
        <x:v>0</x:v>
      </x:c>
      <x:c r="R2396" s="8" t="n">
        <x:v>45487</x:v>
      </x:c>
      <x:c r="S2396" s="4" t="str">
        <x:v>Retained</x:v>
      </x:c>
      <x:c r="T2396" s="10" t="n">
        <x:v>0.310195</x:v>
      </x:c>
      <x:c r="U2396" s="4" t="str">
        <x:v>Train</x:v>
      </x:c>
    </x:row>
    <x:row r="2397" ht="34" customHeight="1">
      <x:c r="A2397" s="4" t="str">
        <x:v>RS-02396</x:v>
      </x:c>
      <x:c r="B2397" s="8" t="n">
        <x:v>45428</x:v>
      </x:c>
      <x:c r="C2397" s="4" t="str">
        <x:v>PRJ-016</x:v>
      </x:c>
      <x:c r="D2397" s="4" t="str">
        <x:v>Office</x:v>
      </x:c>
      <x:c r="E2397" s="4" t="str">
        <x:v>Agreement signed</x:v>
      </x:c>
      <x:c r="F2397" s="4" t="str">
        <x:v>CUS-02396</x:v>
      </x:c>
      <x:c r="G2397" s="4" t="str">
        <x:v>UNIT-02396</x:v>
      </x:c>
      <x:c r="H2397" s="9" t="n">
        <x:v>15600000</x:v>
      </x:c>
      <x:c r="I2397" s="10" t="n">
        <x:v>0.01</x:v>
      </x:c>
      <x:c r="J2397" s="11" t="n">
        <x:v>12</x:v>
      </x:c>
      <x:c r="K2397" s="11" t="n">
        <x:v>3</x:v>
      </x:c>
      <x:c r="L2397" s="11" t="n">
        <x:v>0</x:v>
      </x:c>
      <x:c r="M2397" s="9" t="n">
        <x:f>ROUND(H2397*(1-I2397),2)</x:f>
        <x:v>15444000</x:v>
      </x:c>
      <x:c r="N2397" s="4" t="str">
        <x:v>Sales manager</x:v>
      </x:c>
      <x:c r="O2397" s="4" t="str">
        <x:v>BOOK-02396</x:v>
      </x:c>
      <x:c r="P2397" s="9" t="n">
        <x:v>7722000</x:v>
      </x:c>
      <x:c r="Q2397" s="11" t="n">
        <x:v>0</x:v>
      </x:c>
      <x:c r="R2397" s="8" t="n">
        <x:v>45488</x:v>
      </x:c>
      <x:c r="S2397" s="4" t="str">
        <x:v>Retained</x:v>
      </x:c>
      <x:c r="T2397" s="10" t="n">
        <x:v>0.305556</x:v>
      </x:c>
      <x:c r="U2397" s="4" t="str">
        <x:v>Train</x:v>
      </x:c>
    </x:row>
    <x:row r="2398" ht="34" customHeight="1">
      <x:c r="A2398" s="4" t="str">
        <x:v>RS-02397</x:v>
      </x:c>
      <x:c r="B2398" s="8" t="n">
        <x:v>45429</x:v>
      </x:c>
      <x:c r="C2398" s="4" t="str">
        <x:v>PRJ-017</x:v>
      </x:c>
      <x:c r="D2398" s="4" t="str">
        <x:v>Villa</x:v>
      </x:c>
      <x:c r="E2398" s="4" t="str">
        <x:v>Booked</x:v>
      </x:c>
      <x:c r="F2398" s="4" t="str">
        <x:v>CUS-02397</x:v>
      </x:c>
      <x:c r="G2398" s="4" t="str">
        <x:v>UNIT-02397</x:v>
      </x:c>
      <x:c r="H2398" s="9" t="n">
        <x:v>17400000</x:v>
      </x:c>
      <x:c r="I2398" s="10" t="n">
        <x:v>0.04</x:v>
      </x:c>
      <x:c r="J2398" s="11" t="n">
        <x:v>3</x:v>
      </x:c>
      <x:c r="K2398" s="11" t="n">
        <x:v>10</x:v>
      </x:c>
      <x:c r="L2398" s="11" t="n">
        <x:v>1</x:v>
      </x:c>
      <x:c r="M2398" s="9" t="n">
        <x:f>ROUND(H2398*(1-I2398),2)</x:f>
        <x:v>16704000</x:v>
      </x:c>
      <x:c r="N2398" s="4" t="str">
        <x:v>Sales manager</x:v>
      </x:c>
      <x:c r="O2398" s="4" t="str">
        <x:v>BOOK-02397</x:v>
      </x:c>
      <x:c r="P2398" s="9" t="n">
        <x:v>16704000</x:v>
      </x:c>
      <x:c r="Q2398" s="11" t="n">
        <x:v>0</x:v>
      </x:c>
      <x:c r="R2398" s="8" t="n">
        <x:v>45489</x:v>
      </x:c>
      <x:c r="S2398" s="4" t="str">
        <x:v>Retained</x:v>
      </x:c>
      <x:c r="T2398" s="10" t="n">
        <x:v>0.204152</x:v>
      </x:c>
      <x:c r="U2398" s="4" t="str">
        <x:v>Train</x:v>
      </x:c>
    </x:row>
    <x:row r="2399" ht="34" customHeight="1">
      <x:c r="A2399" s="4" t="str">
        <x:v>RS-02398</x:v>
      </x:c>
      <x:c r="B2399" s="8" t="n">
        <x:v>45430</x:v>
      </x:c>
      <x:c r="C2399" s="4" t="str">
        <x:v>PRJ-018</x:v>
      </x:c>
      <x:c r="D2399" s="4" t="str">
        <x:v>Retail</x:v>
      </x:c>
      <x:c r="E2399" s="4" t="str">
        <x:v>Reserved</x:v>
      </x:c>
      <x:c r="F2399" s="4" t="str">
        <x:v>CUS-02398</x:v>
      </x:c>
      <x:c r="G2399" s="4" t="str">
        <x:v>UNIT-02398</x:v>
      </x:c>
      <x:c r="H2399" s="9" t="n">
        <x:v>10700000</x:v>
      </x:c>
      <x:c r="I2399" s="10" t="n">
        <x:v>0.02</x:v>
      </x:c>
      <x:c r="J2399" s="11" t="n">
        <x:v>12</x:v>
      </x:c>
      <x:c r="K2399" s="11" t="n">
        <x:v>8</x:v>
      </x:c>
      <x:c r="L2399" s="11" t="n">
        <x:v>0</x:v>
      </x:c>
      <x:c r="M2399" s="9" t="n">
        <x:f>ROUND(H2399*(1-I2399),2)</x:f>
        <x:v>10486000</x:v>
      </x:c>
      <x:c r="N2399" s="4" t="str">
        <x:v>Sales manager</x:v>
      </x:c>
      <x:c r="O2399" s="4"/>
      <x:c r="P2399" s="9" t="n">
        <x:v>0</x:v>
      </x:c>
      <x:c r="Q2399" s="11" t="n">
        <x:v>1</x:v>
      </x:c>
      <x:c r="R2399" s="8" t="n">
        <x:v>45490</x:v>
      </x:c>
      <x:c r="S2399" s="4" t="str">
        <x:v>Lost / cancelled</x:v>
      </x:c>
      <x:c r="T2399" s="10" t="n">
        <x:v>0.305556</x:v>
      </x:c>
      <x:c r="U2399" s="4" t="str">
        <x:v>Train</x:v>
      </x:c>
    </x:row>
    <x:row r="2400" ht="34" customHeight="1">
      <x:c r="A2400" s="4" t="str">
        <x:v>RS-02399</x:v>
      </x:c>
      <x:c r="B2400" s="8" t="n">
        <x:v>45431</x:v>
      </x:c>
      <x:c r="C2400" s="4" t="str">
        <x:v>PRJ-019</x:v>
      </x:c>
      <x:c r="D2400" s="4" t="str">
        <x:v>Office</x:v>
      </x:c>
      <x:c r="E2400" s="4" t="str">
        <x:v>Agreement signed</x:v>
      </x:c>
      <x:c r="F2400" s="4" t="str">
        <x:v>CUS-02399</x:v>
      </x:c>
      <x:c r="G2400" s="4" t="str">
        <x:v>UNIT-02399</x:v>
      </x:c>
      <x:c r="H2400" s="9" t="n">
        <x:v>4900000</x:v>
      </x:c>
      <x:c r="I2400" s="10" t="n">
        <x:v>0.03</x:v>
      </x:c>
      <x:c r="J2400" s="11" t="n">
        <x:v>7</x:v>
      </x:c>
      <x:c r="K2400" s="11" t="n">
        <x:v>10</x:v>
      </x:c>
      <x:c r="L2400" s="11" t="n">
        <x:v>1</x:v>
      </x:c>
      <x:c r="M2400" s="9" t="n">
        <x:f>ROUND(H2400*(1-I2400),2)</x:f>
        <x:v>4753000</x:v>
      </x:c>
      <x:c r="N2400" s="4" t="str">
        <x:v>Sales manager</x:v>
      </x:c>
      <x:c r="O2400" s="4" t="str">
        <x:v>BOOK-02399</x:v>
      </x:c>
      <x:c r="P2400" s="9" t="n">
        <x:v>4753000</x:v>
      </x:c>
      <x:c r="Q2400" s="11" t="n">
        <x:v>0</x:v>
      </x:c>
      <x:c r="R2400" s="8" t="n">
        <x:v>45491</x:v>
      </x:c>
      <x:c r="S2400" s="4" t="str">
        <x:v>Retained</x:v>
      </x:c>
      <x:c r="T2400" s="10" t="n">
        <x:v>0.145299</x:v>
      </x:c>
      <x:c r="U2400" s="4" t="str">
        <x:v>Train</x:v>
      </x:c>
    </x:row>
    <x:row r="2401" ht="34" customHeight="1">
      <x:c r="A2401" s="4" t="str">
        <x:v>RS-02400</x:v>
      </x:c>
      <x:c r="B2401" s="8" t="n">
        <x:v>45432</x:v>
      </x:c>
      <x:c r="C2401" s="4" t="str">
        <x:v>PRJ-020</x:v>
      </x:c>
      <x:c r="D2401" s="4" t="str">
        <x:v>Office</x:v>
      </x:c>
      <x:c r="E2401" s="4" t="str">
        <x:v>Booked</x:v>
      </x:c>
      <x:c r="F2401" s="4" t="str">
        <x:v>CUS-02400</x:v>
      </x:c>
      <x:c r="G2401" s="4" t="str">
        <x:v>UNIT-02400</x:v>
      </x:c>
      <x:c r="H2401" s="9" t="n">
        <x:v>3300000</x:v>
      </x:c>
      <x:c r="I2401" s="10" t="n">
        <x:v>0.1</x:v>
      </x:c>
      <x:c r="J2401" s="11" t="n">
        <x:v>9</x:v>
      </x:c>
      <x:c r="K2401" s="11" t="n">
        <x:v>4</x:v>
      </x:c>
      <x:c r="L2401" s="11" t="n">
        <x:v>0</x:v>
      </x:c>
      <x:c r="M2401" s="9" t="n">
        <x:f>ROUND(H2401*(1-I2401),2)</x:f>
        <x:v>2970000</x:v>
      </x:c>
      <x:c r="N2401" s="4" t="str">
        <x:v>Sales head</x:v>
      </x:c>
      <x:c r="O2401" s="4" t="str">
        <x:v>BOOK-02400</x:v>
      </x:c>
      <x:c r="P2401" s="9" t="n">
        <x:v>2970000</x:v>
      </x:c>
      <x:c r="Q2401" s="11" t="n">
        <x:v>0</x:v>
      </x:c>
      <x:c r="R2401" s="8" t="n">
        <x:v>45492</x:v>
      </x:c>
      <x:c r="S2401" s="4" t="str">
        <x:v>Retained</x:v>
      </x:c>
      <x:c r="T2401" s="10" t="n">
        <x:v>0.310195</x:v>
      </x:c>
      <x:c r="U2401" s="4" t="str">
        <x:v>Train</x:v>
      </x:c>
    </x:row>
    <x:row r="2402" ht="34" customHeight="1">
      <x:c r="A2402" s="4" t="str">
        <x:v>RS-02401</x:v>
      </x:c>
      <x:c r="B2402" s="8" t="n">
        <x:v>45433</x:v>
      </x:c>
      <x:c r="C2402" s="4" t="str">
        <x:v>PRJ-001</x:v>
      </x:c>
      <x:c r="D2402" s="4" t="str">
        <x:v>Retail</x:v>
      </x:c>
      <x:c r="E2402" s="4" t="str">
        <x:v>Booked</x:v>
      </x:c>
      <x:c r="F2402" s="4" t="str">
        <x:v>CUS-02401</x:v>
      </x:c>
      <x:c r="G2402" s="4" t="str">
        <x:v>UNIT-02401</x:v>
      </x:c>
      <x:c r="H2402" s="9" t="n">
        <x:v>4800000</x:v>
      </x:c>
      <x:c r="I2402" s="10" t="n">
        <x:v>0.11</x:v>
      </x:c>
      <x:c r="J2402" s="11" t="n">
        <x:v>2</x:v>
      </x:c>
      <x:c r="K2402" s="11" t="n">
        <x:v>9</x:v>
      </x:c>
      <x:c r="L2402" s="11" t="n">
        <x:v>1</x:v>
      </x:c>
      <x:c r="M2402" s="9" t="n">
        <x:f>ROUND(H2402*(1-I2402),2)</x:f>
        <x:v>4272000</x:v>
      </x:c>
      <x:c r="N2402" s="4" t="str">
        <x:v>Sales head</x:v>
      </x:c>
      <x:c r="O2402" s="4" t="str">
        <x:v>BOOK-02401</x:v>
      </x:c>
      <x:c r="P2402" s="9" t="n">
        <x:v>4272000</x:v>
      </x:c>
      <x:c r="Q2402" s="11" t="n">
        <x:v>0</x:v>
      </x:c>
      <x:c r="R2402" s="8" t="n">
        <x:v>45493</x:v>
      </x:c>
      <x:c r="S2402" s="4" t="str">
        <x:v>Retained</x:v>
      </x:c>
      <x:c r="T2402" s="10" t="n">
        <x:v>0.145833</x:v>
      </x:c>
      <x:c r="U2402" s="4" t="str">
        <x:v>Train</x:v>
      </x:c>
    </x:row>
    <x:row r="2403" ht="34" customHeight="1">
      <x:c r="A2403" s="4" t="str">
        <x:v>RS-02402</x:v>
      </x:c>
      <x:c r="B2403" s="8" t="n">
        <x:v>45434</x:v>
      </x:c>
      <x:c r="C2403" s="4" t="str">
        <x:v>PRJ-002</x:v>
      </x:c>
      <x:c r="D2403" s="4" t="str">
        <x:v>Villa</x:v>
      </x:c>
      <x:c r="E2403" s="4" t="str">
        <x:v>Cancelled</x:v>
      </x:c>
      <x:c r="F2403" s="4" t="str">
        <x:v>CUS-02402</x:v>
      </x:c>
      <x:c r="G2403" s="4" t="str">
        <x:v>UNIT-02402</x:v>
      </x:c>
      <x:c r="H2403" s="9" t="n">
        <x:v>17000000</x:v>
      </x:c>
      <x:c r="I2403" s="10" t="n">
        <x:v>0.07</x:v>
      </x:c>
      <x:c r="J2403" s="11" t="n">
        <x:v>6</x:v>
      </x:c>
      <x:c r="K2403" s="11" t="n">
        <x:v>6</x:v>
      </x:c>
      <x:c r="L2403" s="11" t="n">
        <x:v>1</x:v>
      </x:c>
      <x:c r="M2403" s="9" t="n">
        <x:f>ROUND(H2403*(1-I2403),2)</x:f>
        <x:v>15810000</x:v>
      </x:c>
      <x:c r="N2403" s="4" t="str">
        <x:v>Sales manager</x:v>
      </x:c>
      <x:c r="O2403" s="4"/>
      <x:c r="P2403" s="9" t="n">
        <x:v>0</x:v>
      </x:c>
      <x:c r="Q2403" s="11" t="n">
        <x:v>1</x:v>
      </x:c>
      <x:c r="R2403" s="8" t="n">
        <x:v>45494</x:v>
      </x:c>
      <x:c r="S2403" s="4" t="str">
        <x:v>Lost / cancelled</x:v>
      </x:c>
      <x:c r="T2403" s="10" t="n">
        <x:v>0.291946</x:v>
      </x:c>
      <x:c r="U2403" s="4" t="str">
        <x:v>Train</x:v>
      </x:c>
    </x:row>
    <x:row r="2404" ht="34" customHeight="1">
      <x:c r="A2404" s="4" t="str">
        <x:v>RS-02403</x:v>
      </x:c>
      <x:c r="B2404" s="8" t="n">
        <x:v>45435</x:v>
      </x:c>
      <x:c r="C2404" s="4" t="str">
        <x:v>PRJ-003</x:v>
      </x:c>
      <x:c r="D2404" s="4" t="str">
        <x:v>Retail</x:v>
      </x:c>
      <x:c r="E2404" s="4" t="str">
        <x:v>Handed over</x:v>
      </x:c>
      <x:c r="F2404" s="4" t="str">
        <x:v>CUS-02403</x:v>
      </x:c>
      <x:c r="G2404" s="4" t="str">
        <x:v>UNIT-02403</x:v>
      </x:c>
      <x:c r="H2404" s="9" t="n">
        <x:v>11700000</x:v>
      </x:c>
      <x:c r="I2404" s="10" t="n">
        <x:v>0.06</x:v>
      </x:c>
      <x:c r="J2404" s="11" t="n">
        <x:v>8</x:v>
      </x:c>
      <x:c r="K2404" s="11" t="n">
        <x:v>2</x:v>
      </x:c>
      <x:c r="L2404" s="11" t="n">
        <x:v>1</x:v>
      </x:c>
      <x:c r="M2404" s="9" t="n">
        <x:f>ROUND(H2404*(1-I2404),2)</x:f>
        <x:v>10998000</x:v>
      </x:c>
      <x:c r="N2404" s="4" t="str">
        <x:v>Sales manager</x:v>
      </x:c>
      <x:c r="O2404" s="4" t="str">
        <x:v>BOOK-02403</x:v>
      </x:c>
      <x:c r="P2404" s="9" t="n">
        <x:v>2749500</x:v>
      </x:c>
      <x:c r="Q2404" s="11" t="n">
        <x:v>0</x:v>
      </x:c>
      <x:c r="R2404" s="8" t="n">
        <x:v>45495</x:v>
      </x:c>
      <x:c r="S2404" s="4" t="str">
        <x:v>Retained</x:v>
      </x:c>
      <x:c r="T2404" s="10" t="n">
        <x:v>0.310195</x:v>
      </x:c>
      <x:c r="U2404" s="4" t="str">
        <x:v>Train</x:v>
      </x:c>
    </x:row>
    <x:row r="2405" ht="34" customHeight="1">
      <x:c r="A2405" s="4" t="str">
        <x:v>RS-02404</x:v>
      </x:c>
      <x:c r="B2405" s="8" t="n">
        <x:v>45436</x:v>
      </x:c>
      <x:c r="C2405" s="4" t="str">
        <x:v>PRJ-004</x:v>
      </x:c>
      <x:c r="D2405" s="4" t="str">
        <x:v>Office</x:v>
      </x:c>
      <x:c r="E2405" s="4" t="str">
        <x:v>Agreement signed</x:v>
      </x:c>
      <x:c r="F2405" s="4" t="str">
        <x:v>CUS-02404</x:v>
      </x:c>
      <x:c r="G2405" s="4" t="str">
        <x:v>UNIT-02404</x:v>
      </x:c>
      <x:c r="H2405" s="9" t="n">
        <x:v>11500000</x:v>
      </x:c>
      <x:c r="I2405" s="10" t="n">
        <x:v>0.02</x:v>
      </x:c>
      <x:c r="J2405" s="11" t="n">
        <x:v>9</x:v>
      </x:c>
      <x:c r="K2405" s="11" t="n">
        <x:v>2</x:v>
      </x:c>
      <x:c r="L2405" s="11" t="n">
        <x:v>1</x:v>
      </x:c>
      <x:c r="M2405" s="9" t="n">
        <x:f>ROUND(H2405*(1-I2405),2)</x:f>
        <x:v>11270000</x:v>
      </x:c>
      <x:c r="N2405" s="4" t="str">
        <x:v>Sales manager</x:v>
      </x:c>
      <x:c r="O2405" s="4" t="str">
        <x:v>BOOK-02404</x:v>
      </x:c>
      <x:c r="P2405" s="9" t="n">
        <x:v>1127000</x:v>
      </x:c>
      <x:c r="Q2405" s="11" t="n">
        <x:v>0</x:v>
      </x:c>
      <x:c r="R2405" s="8" t="n">
        <x:v>45496</x:v>
      </x:c>
      <x:c r="S2405" s="4" t="str">
        <x:v>Retained</x:v>
      </x:c>
      <x:c r="T2405" s="10" t="n">
        <x:v>0.254545</x:v>
      </x:c>
      <x:c r="U2405" s="4" t="str">
        <x:v>Train</x:v>
      </x:c>
    </x:row>
    <x:row r="2406" ht="34" customHeight="1">
      <x:c r="A2406" s="4" t="str">
        <x:v>RS-02405</x:v>
      </x:c>
      <x:c r="B2406" s="8" t="n">
        <x:v>45437</x:v>
      </x:c>
      <x:c r="C2406" s="4" t="str">
        <x:v>PRJ-005</x:v>
      </x:c>
      <x:c r="D2406" s="4" t="str">
        <x:v>Villa</x:v>
      </x:c>
      <x:c r="E2406" s="4" t="str">
        <x:v>Agreement signed</x:v>
      </x:c>
      <x:c r="F2406" s="4" t="str">
        <x:v>CUS-02405</x:v>
      </x:c>
      <x:c r="G2406" s="4" t="str">
        <x:v>UNIT-02405</x:v>
      </x:c>
      <x:c r="H2406" s="9" t="n">
        <x:v>17000000</x:v>
      </x:c>
      <x:c r="I2406" s="10" t="n">
        <x:v>0.01</x:v>
      </x:c>
      <x:c r="J2406" s="11" t="n">
        <x:v>2</x:v>
      </x:c>
      <x:c r="K2406" s="11" t="n">
        <x:v>10</x:v>
      </x:c>
      <x:c r="L2406" s="11" t="n">
        <x:v>1</x:v>
      </x:c>
      <x:c r="M2406" s="9" t="n">
        <x:f>ROUND(H2406*(1-I2406),2)</x:f>
        <x:v>16830000</x:v>
      </x:c>
      <x:c r="N2406" s="4" t="str">
        <x:v>Sales manager</x:v>
      </x:c>
      <x:c r="O2406" s="4" t="str">
        <x:v>BOOK-02405</x:v>
      </x:c>
      <x:c r="P2406" s="9" t="n">
        <x:v>8415000</x:v>
      </x:c>
      <x:c r="Q2406" s="11" t="n">
        <x:v>0</x:v>
      </x:c>
      <x:c r="R2406" s="8" t="n">
        <x:v>45497</x:v>
      </x:c>
      <x:c r="S2406" s="4" t="str">
        <x:v>Retained</x:v>
      </x:c>
      <x:c r="T2406" s="10" t="n">
        <x:v>0.171717</x:v>
      </x:c>
      <x:c r="U2406" s="4" t="str">
        <x:v>Train</x:v>
      </x:c>
    </x:row>
    <x:row r="2407" ht="34" customHeight="1">
      <x:c r="A2407" s="4" t="str">
        <x:v>RS-02406</x:v>
      </x:c>
      <x:c r="B2407" s="8" t="n">
        <x:v>45438</x:v>
      </x:c>
      <x:c r="C2407" s="4" t="str">
        <x:v>PRJ-006</x:v>
      </x:c>
      <x:c r="D2407" s="4" t="str">
        <x:v>Retail</x:v>
      </x:c>
      <x:c r="E2407" s="4" t="str">
        <x:v>Agreement signed</x:v>
      </x:c>
      <x:c r="F2407" s="4" t="str">
        <x:v>CUS-02406</x:v>
      </x:c>
      <x:c r="G2407" s="4" t="str">
        <x:v>UNIT-02406</x:v>
      </x:c>
      <x:c r="H2407" s="9" t="n">
        <x:v>4500000</x:v>
      </x:c>
      <x:c r="I2407" s="10" t="n">
        <x:v>0.04</x:v>
      </x:c>
      <x:c r="J2407" s="11" t="n">
        <x:v>9</x:v>
      </x:c>
      <x:c r="K2407" s="11" t="n">
        <x:v>0</x:v>
      </x:c>
      <x:c r="L2407" s="11" t="n">
        <x:v>1</x:v>
      </x:c>
      <x:c r="M2407" s="9" t="n">
        <x:f>ROUND(H2407*(1-I2407),2)</x:f>
        <x:v>4320000</x:v>
      </x:c>
      <x:c r="N2407" s="4" t="str">
        <x:v>Sales manager</x:v>
      </x:c>
      <x:c r="O2407" s="4" t="str">
        <x:v>BOOK-02406</x:v>
      </x:c>
      <x:c r="P2407" s="9" t="n">
        <x:v>1080000</x:v>
      </x:c>
      <x:c r="Q2407" s="11" t="n">
        <x:v>0</x:v>
      </x:c>
      <x:c r="R2407" s="8" t="n">
        <x:v>45498</x:v>
      </x:c>
      <x:c r="S2407" s="4" t="str">
        <x:v>Retained</x:v>
      </x:c>
      <x:c r="T2407" s="10" t="n">
        <x:v>0.310195</x:v>
      </x:c>
      <x:c r="U2407" s="4" t="str">
        <x:v>Train</x:v>
      </x:c>
    </x:row>
    <x:row r="2408" ht="34" customHeight="1">
      <x:c r="A2408" s="4" t="str">
        <x:v>RS-02407</x:v>
      </x:c>
      <x:c r="B2408" s="8" t="n">
        <x:v>45439</x:v>
      </x:c>
      <x:c r="C2408" s="4" t="str">
        <x:v>PRJ-007</x:v>
      </x:c>
      <x:c r="D2408" s="4" t="str">
        <x:v>Retail</x:v>
      </x:c>
      <x:c r="E2408" s="4" t="str">
        <x:v>Enquiry</x:v>
      </x:c>
      <x:c r="F2408" s="4" t="str">
        <x:v>CUS-02407</x:v>
      </x:c>
      <x:c r="G2408" s="4" t="str">
        <x:v>UNIT-02407</x:v>
      </x:c>
      <x:c r="H2408" s="9" t="n">
        <x:v>18900000</x:v>
      </x:c>
      <x:c r="I2408" s="10" t="n">
        <x:v>0.03</x:v>
      </x:c>
      <x:c r="J2408" s="11" t="n">
        <x:v>8</x:v>
      </x:c>
      <x:c r="K2408" s="11" t="n">
        <x:v>0</x:v>
      </x:c>
      <x:c r="L2408" s="11" t="n">
        <x:v>0</x:v>
      </x:c>
      <x:c r="M2408" s="9" t="n">
        <x:f>ROUND(H2408*(1-I2408),2)</x:f>
        <x:v>18333000</x:v>
      </x:c>
      <x:c r="N2408" s="4" t="str">
        <x:v>Sales manager</x:v>
      </x:c>
      <x:c r="O2408" s="4"/>
      <x:c r="P2408" s="9" t="n">
        <x:v>0</x:v>
      </x:c>
      <x:c r="Q2408" s="11" t="n">
        <x:v>0</x:v>
      </x:c>
      <x:c r="R2408" s="8" t="n">
        <x:v>45499</x:v>
      </x:c>
      <x:c r="S2408" s="4" t="str">
        <x:v>Retained</x:v>
      </x:c>
      <x:c r="T2408" s="10" t="n">
        <x:v>0.310195</x:v>
      </x:c>
      <x:c r="U2408" s="4" t="str">
        <x:v>Train</x:v>
      </x:c>
    </x:row>
    <x:row r="2409" ht="34" customHeight="1">
      <x:c r="A2409" s="4" t="str">
        <x:v>RS-02408</x:v>
      </x:c>
      <x:c r="B2409" s="8" t="n">
        <x:v>45440</x:v>
      </x:c>
      <x:c r="C2409" s="4" t="str">
        <x:v>PRJ-008</x:v>
      </x:c>
      <x:c r="D2409" s="4" t="str">
        <x:v>Apartment</x:v>
      </x:c>
      <x:c r="E2409" s="4" t="str">
        <x:v>Reserved</x:v>
      </x:c>
      <x:c r="F2409" s="4" t="str">
        <x:v>CUS-02408</x:v>
      </x:c>
      <x:c r="G2409" s="4" t="str">
        <x:v>UNIT-02408</x:v>
      </x:c>
      <x:c r="H2409" s="9" t="n">
        <x:v>8100000</x:v>
      </x:c>
      <x:c r="I2409" s="10" t="n">
        <x:v>0.11</x:v>
      </x:c>
      <x:c r="J2409" s="11" t="n">
        <x:v>1</x:v>
      </x:c>
      <x:c r="K2409" s="11" t="n">
        <x:v>1</x:v>
      </x:c>
      <x:c r="L2409" s="11" t="n">
        <x:v>0</x:v>
      </x:c>
      <x:c r="M2409" s="9" t="n">
        <x:f>ROUND(H2409*(1-I2409),2)</x:f>
        <x:v>7209000</x:v>
      </x:c>
      <x:c r="N2409" s="4" t="str">
        <x:v>Sales head</x:v>
      </x:c>
      <x:c r="O2409" s="4"/>
      <x:c r="P2409" s="9" t="n">
        <x:v>0</x:v>
      </x:c>
      <x:c r="Q2409" s="11" t="n">
        <x:v>0</x:v>
      </x:c>
      <x:c r="R2409" s="8" t="n">
        <x:v>45500</x:v>
      </x:c>
      <x:c r="S2409" s="4" t="str">
        <x:v>Retained</x:v>
      </x:c>
      <x:c r="T2409" s="10" t="n">
        <x:v>0.145833</x:v>
      </x:c>
      <x:c r="U2409" s="4" t="str">
        <x:v>Train</x:v>
      </x:c>
    </x:row>
    <x:row r="2410" ht="34" customHeight="1">
      <x:c r="A2410" s="4" t="str">
        <x:v>RS-02409</x:v>
      </x:c>
      <x:c r="B2410" s="8" t="n">
        <x:v>45413</x:v>
      </x:c>
      <x:c r="C2410" s="4" t="str">
        <x:v>PRJ-009</x:v>
      </x:c>
      <x:c r="D2410" s="4" t="str">
        <x:v>Retail</x:v>
      </x:c>
      <x:c r="E2410" s="4" t="str">
        <x:v>Booked</x:v>
      </x:c>
      <x:c r="F2410" s="4" t="str">
        <x:v>CUS-02409</x:v>
      </x:c>
      <x:c r="G2410" s="4" t="str">
        <x:v>UNIT-02409</x:v>
      </x:c>
      <x:c r="H2410" s="9" t="n">
        <x:v>5700000</x:v>
      </x:c>
      <x:c r="I2410" s="10" t="n">
        <x:v>0.01</x:v>
      </x:c>
      <x:c r="J2410" s="11" t="n">
        <x:v>1</x:v>
      </x:c>
      <x:c r="K2410" s="11" t="n">
        <x:v>8</x:v>
      </x:c>
      <x:c r="L2410" s="11" t="n">
        <x:v>1</x:v>
      </x:c>
      <x:c r="M2410" s="9" t="n">
        <x:f>ROUND(H2410*(1-I2410),2)</x:f>
        <x:v>5643000</x:v>
      </x:c>
      <x:c r="N2410" s="4" t="str">
        <x:v>Sales manager</x:v>
      </x:c>
      <x:c r="O2410" s="4" t="str">
        <x:v>BOOK-02409</x:v>
      </x:c>
      <x:c r="P2410" s="9" t="n">
        <x:v>1410750</x:v>
      </x:c>
      <x:c r="Q2410" s="11" t="n">
        <x:v>0</x:v>
      </x:c>
      <x:c r="R2410" s="8" t="n">
        <x:v>45473</x:v>
      </x:c>
      <x:c r="S2410" s="4" t="str">
        <x:v>Retained</x:v>
      </x:c>
      <x:c r="T2410" s="10" t="n">
        <x:v>0.072165</x:v>
      </x:c>
      <x:c r="U2410" s="4" t="str">
        <x:v>Train</x:v>
      </x:c>
    </x:row>
    <x:row r="2411" ht="34" customHeight="1">
      <x:c r="A2411" s="4" t="str">
        <x:v>RS-02410</x:v>
      </x:c>
      <x:c r="B2411" s="8" t="n">
        <x:v>45414</x:v>
      </x:c>
      <x:c r="C2411" s="4" t="str">
        <x:v>PRJ-010</x:v>
      </x:c>
      <x:c r="D2411" s="4" t="str">
        <x:v>Retail</x:v>
      </x:c>
      <x:c r="E2411" s="4" t="str">
        <x:v>Agreement signed</x:v>
      </x:c>
      <x:c r="F2411" s="4" t="str">
        <x:v>CUS-02410</x:v>
      </x:c>
      <x:c r="G2411" s="4" t="str">
        <x:v>UNIT-02410</x:v>
      </x:c>
      <x:c r="H2411" s="9" t="n">
        <x:v>6200000</x:v>
      </x:c>
      <x:c r="I2411" s="10" t="n">
        <x:v>0.03</x:v>
      </x:c>
      <x:c r="J2411" s="11" t="n">
        <x:v>10</x:v>
      </x:c>
      <x:c r="K2411" s="11" t="n">
        <x:v>9</x:v>
      </x:c>
      <x:c r="L2411" s="11" t="n">
        <x:v>0</x:v>
      </x:c>
      <x:c r="M2411" s="9" t="n">
        <x:f>ROUND(H2411*(1-I2411),2)</x:f>
        <x:v>6014000</x:v>
      </x:c>
      <x:c r="N2411" s="4" t="str">
        <x:v>Sales manager</x:v>
      </x:c>
      <x:c r="O2411" s="4" t="str">
        <x:v>BOOK-02410</x:v>
      </x:c>
      <x:c r="P2411" s="9" t="n">
        <x:v>3007000</x:v>
      </x:c>
      <x:c r="Q2411" s="11" t="n">
        <x:v>0</x:v>
      </x:c>
      <x:c r="R2411" s="8" t="n">
        <x:v>45474</x:v>
      </x:c>
      <x:c r="S2411" s="4" t="str">
        <x:v>Retained</x:v>
      </x:c>
      <x:c r="T2411" s="10" t="n">
        <x:v>0.310195</x:v>
      </x:c>
      <x:c r="U2411" s="4" t="str">
        <x:v>Train</x:v>
      </x:c>
    </x:row>
    <x:row r="2412" ht="34" customHeight="1">
      <x:c r="A2412" s="4" t="str">
        <x:v>RS-02411</x:v>
      </x:c>
      <x:c r="B2412" s="8" t="n">
        <x:v>45415</x:v>
      </x:c>
      <x:c r="C2412" s="4" t="str">
        <x:v>PRJ-011</x:v>
      </x:c>
      <x:c r="D2412" s="4" t="str">
        <x:v>Apartment</x:v>
      </x:c>
      <x:c r="E2412" s="4" t="str">
        <x:v>Cancelled</x:v>
      </x:c>
      <x:c r="F2412" s="4" t="str">
        <x:v>CUS-02411</x:v>
      </x:c>
      <x:c r="G2412" s="4" t="str">
        <x:v>UNIT-02411</x:v>
      </x:c>
      <x:c r="H2412" s="9" t="n">
        <x:v>15400000</x:v>
      </x:c>
      <x:c r="I2412" s="10" t="n">
        <x:v>0.09</x:v>
      </x:c>
      <x:c r="J2412" s="11" t="n">
        <x:v>1</x:v>
      </x:c>
      <x:c r="K2412" s="11" t="n">
        <x:v>7</x:v>
      </x:c>
      <x:c r="L2412" s="11" t="n">
        <x:v>1</x:v>
      </x:c>
      <x:c r="M2412" s="9" t="n">
        <x:f>ROUND(H2412*(1-I2412),2)</x:f>
        <x:v>14014000</x:v>
      </x:c>
      <x:c r="N2412" s="4" t="str">
        <x:v>Sales head</x:v>
      </x:c>
      <x:c r="O2412" s="4"/>
      <x:c r="P2412" s="9" t="n">
        <x:v>0</x:v>
      </x:c>
      <x:c r="Q2412" s="11" t="n">
        <x:v>1</x:v>
      </x:c>
      <x:c r="R2412" s="8" t="n">
        <x:v>45475</x:v>
      </x:c>
      <x:c r="S2412" s="4" t="str">
        <x:v>Lost / cancelled</x:v>
      </x:c>
      <x:c r="T2412" s="10" t="n">
        <x:v>0.145833</x:v>
      </x:c>
      <x:c r="U2412" s="4" t="str">
        <x:v>Train</x:v>
      </x:c>
    </x:row>
    <x:row r="2413" ht="34" customHeight="1">
      <x:c r="A2413" s="4" t="str">
        <x:v>RS-02412</x:v>
      </x:c>
      <x:c r="B2413" s="8" t="n">
        <x:v>45416</x:v>
      </x:c>
      <x:c r="C2413" s="4" t="str">
        <x:v>PRJ-012</x:v>
      </x:c>
      <x:c r="D2413" s="4" t="str">
        <x:v>Apartment</x:v>
      </x:c>
      <x:c r="E2413" s="4" t="str">
        <x:v>Booked</x:v>
      </x:c>
      <x:c r="F2413" s="4" t="str">
        <x:v>CUS-02412</x:v>
      </x:c>
      <x:c r="G2413" s="4" t="str">
        <x:v>UNIT-02412</x:v>
      </x:c>
      <x:c r="H2413" s="9" t="n">
        <x:v>9100000</x:v>
      </x:c>
      <x:c r="I2413" s="10" t="n">
        <x:v>0.06</x:v>
      </x:c>
      <x:c r="J2413" s="11" t="n">
        <x:v>4</x:v>
      </x:c>
      <x:c r="K2413" s="11" t="n">
        <x:v>1</x:v>
      </x:c>
      <x:c r="L2413" s="11" t="n">
        <x:v>0</x:v>
      </x:c>
      <x:c r="M2413" s="9" t="n">
        <x:f>ROUND(H2413*(1-I2413),2)</x:f>
        <x:v>8554000</x:v>
      </x:c>
      <x:c r="N2413" s="4" t="str">
        <x:v>Sales manager</x:v>
      </x:c>
      <x:c r="O2413" s="4" t="str">
        <x:v>BOOK-02412</x:v>
      </x:c>
      <x:c r="P2413" s="9" t="n">
        <x:v>855400</x:v>
      </x:c>
      <x:c r="Q2413" s="11" t="n">
        <x:v>0</x:v>
      </x:c>
      <x:c r="R2413" s="8" t="n">
        <x:v>45476</x:v>
      </x:c>
      <x:c r="S2413" s="4" t="str">
        <x:v>Retained</x:v>
      </x:c>
      <x:c r="T2413" s="10" t="n">
        <x:v>0.226277</x:v>
      </x:c>
      <x:c r="U2413" s="4" t="str">
        <x:v>Train</x:v>
      </x:c>
    </x:row>
    <x:row r="2414" ht="34" customHeight="1">
      <x:c r="A2414" s="4" t="str">
        <x:v>RS-02413</x:v>
      </x:c>
      <x:c r="B2414" s="8" t="n">
        <x:v>45417</x:v>
      </x:c>
      <x:c r="C2414" s="4" t="str">
        <x:v>PRJ-013</x:v>
      </x:c>
      <x:c r="D2414" s="4" t="str">
        <x:v>Office</x:v>
      </x:c>
      <x:c r="E2414" s="4" t="str">
        <x:v>Agreement signed</x:v>
      </x:c>
      <x:c r="F2414" s="4" t="str">
        <x:v>CUS-02413</x:v>
      </x:c>
      <x:c r="G2414" s="4" t="str">
        <x:v>UNIT-02413</x:v>
      </x:c>
      <x:c r="H2414" s="9" t="n">
        <x:v>4000000</x:v>
      </x:c>
      <x:c r="I2414" s="10" t="n">
        <x:v>0.12</x:v>
      </x:c>
      <x:c r="J2414" s="11" t="n">
        <x:v>3</x:v>
      </x:c>
      <x:c r="K2414" s="11" t="n">
        <x:v>5</x:v>
      </x:c>
      <x:c r="L2414" s="11" t="n">
        <x:v>0</x:v>
      </x:c>
      <x:c r="M2414" s="9" t="n">
        <x:f>ROUND(H2414*(1-I2414),2)</x:f>
        <x:v>3520000</x:v>
      </x:c>
      <x:c r="N2414" s="4" t="str">
        <x:v>Sales head</x:v>
      </x:c>
      <x:c r="O2414" s="4" t="str">
        <x:v>BOOK-02413</x:v>
      </x:c>
      <x:c r="P2414" s="9" t="n">
        <x:v>352000</x:v>
      </x:c>
      <x:c r="Q2414" s="11" t="n">
        <x:v>0</x:v>
      </x:c>
      <x:c r="R2414" s="8" t="n">
        <x:v>45477</x:v>
      </x:c>
      <x:c r="S2414" s="4" t="str">
        <x:v>Retained</x:v>
      </x:c>
      <x:c r="T2414" s="10" t="n">
        <x:v>0.145833</x:v>
      </x:c>
      <x:c r="U2414" s="4" t="str">
        <x:v>Train</x:v>
      </x:c>
    </x:row>
    <x:row r="2415" ht="34" customHeight="1">
      <x:c r="A2415" s="4" t="str">
        <x:v>RS-02414</x:v>
      </x:c>
      <x:c r="B2415" s="8" t="n">
        <x:v>45418</x:v>
      </x:c>
      <x:c r="C2415" s="4" t="str">
        <x:v>PRJ-014</x:v>
      </x:c>
      <x:c r="D2415" s="4" t="str">
        <x:v>Office</x:v>
      </x:c>
      <x:c r="E2415" s="4" t="str">
        <x:v>Agreement signed</x:v>
      </x:c>
      <x:c r="F2415" s="4" t="str">
        <x:v>CUS-02414</x:v>
      </x:c>
      <x:c r="G2415" s="4" t="str">
        <x:v>UNIT-02414</x:v>
      </x:c>
      <x:c r="H2415" s="9" t="n">
        <x:v>8100000</x:v>
      </x:c>
      <x:c r="I2415" s="10" t="n">
        <x:v>0.09</x:v>
      </x:c>
      <x:c r="J2415" s="11" t="n">
        <x:v>12</x:v>
      </x:c>
      <x:c r="K2415" s="11" t="n">
        <x:v>1</x:v>
      </x:c>
      <x:c r="L2415" s="11" t="n">
        <x:v>1</x:v>
      </x:c>
      <x:c r="M2415" s="9" t="n">
        <x:f>ROUND(H2415*(1-I2415),2)</x:f>
        <x:v>7371000</x:v>
      </x:c>
      <x:c r="N2415" s="4" t="str">
        <x:v>Sales head</x:v>
      </x:c>
      <x:c r="O2415" s="4" t="str">
        <x:v>BOOK-02414</x:v>
      </x:c>
      <x:c r="P2415" s="9" t="n">
        <x:v>1842750</x:v>
      </x:c>
      <x:c r="Q2415" s="11" t="n">
        <x:v>0</x:v>
      </x:c>
      <x:c r="R2415" s="8" t="n">
        <x:v>45478</x:v>
      </x:c>
      <x:c r="S2415" s="4" t="str">
        <x:v>Retained</x:v>
      </x:c>
      <x:c r="T2415" s="10" t="n">
        <x:v>0.351536</x:v>
      </x:c>
      <x:c r="U2415" s="4" t="str">
        <x:v>Train</x:v>
      </x:c>
    </x:row>
    <x:row r="2416" ht="34" customHeight="1">
      <x:c r="A2416" s="4" t="str">
        <x:v>RS-02415</x:v>
      </x:c>
      <x:c r="B2416" s="8" t="n">
        <x:v>45419</x:v>
      </x:c>
      <x:c r="C2416" s="4" t="str">
        <x:v>PRJ-015</x:v>
      </x:c>
      <x:c r="D2416" s="4" t="str">
        <x:v>Apartment</x:v>
      </x:c>
      <x:c r="E2416" s="4" t="str">
        <x:v>Booked</x:v>
      </x:c>
      <x:c r="F2416" s="4" t="str">
        <x:v>CUS-02415</x:v>
      </x:c>
      <x:c r="G2416" s="4" t="str">
        <x:v>UNIT-02415</x:v>
      </x:c>
      <x:c r="H2416" s="9" t="n">
        <x:v>12900000</x:v>
      </x:c>
      <x:c r="I2416" s="10" t="n">
        <x:v>0.07</x:v>
      </x:c>
      <x:c r="J2416" s="11" t="n">
        <x:v>7</x:v>
      </x:c>
      <x:c r="K2416" s="11" t="n">
        <x:v>2</x:v>
      </x:c>
      <x:c r="L2416" s="11" t="n">
        <x:v>1</x:v>
      </x:c>
      <x:c r="M2416" s="9" t="n">
        <x:f>ROUND(H2416*(1-I2416),2)</x:f>
        <x:v>11997000</x:v>
      </x:c>
      <x:c r="N2416" s="4" t="str">
        <x:v>Sales manager</x:v>
      </x:c>
      <x:c r="O2416" s="4" t="str">
        <x:v>BOOK-02415</x:v>
      </x:c>
      <x:c r="P2416" s="9" t="n">
        <x:v>11997000</x:v>
      </x:c>
      <x:c r="Q2416" s="11" t="n">
        <x:v>0</x:v>
      </x:c>
      <x:c r="R2416" s="8" t="n">
        <x:v>45479</x:v>
      </x:c>
      <x:c r="S2416" s="4" t="str">
        <x:v>Retained</x:v>
      </x:c>
      <x:c r="T2416" s="10" t="n">
        <x:v>0.291946</x:v>
      </x:c>
      <x:c r="U2416" s="4" t="str">
        <x:v>Train</x:v>
      </x:c>
    </x:row>
    <x:row r="2417" ht="34" customHeight="1">
      <x:c r="A2417" s="4" t="str">
        <x:v>RS-02416</x:v>
      </x:c>
      <x:c r="B2417" s="8" t="n">
        <x:v>45420</x:v>
      </x:c>
      <x:c r="C2417" s="4" t="str">
        <x:v>PRJ-016</x:v>
      </x:c>
      <x:c r="D2417" s="4" t="str">
        <x:v>Office</x:v>
      </x:c>
      <x:c r="E2417" s="4" t="str">
        <x:v>Handed over</x:v>
      </x:c>
      <x:c r="F2417" s="4" t="str">
        <x:v>CUS-02416</x:v>
      </x:c>
      <x:c r="G2417" s="4" t="str">
        <x:v>UNIT-02416</x:v>
      </x:c>
      <x:c r="H2417" s="9" t="n">
        <x:v>13400000</x:v>
      </x:c>
      <x:c r="I2417" s="10" t="n">
        <x:v>0.03</x:v>
      </x:c>
      <x:c r="J2417" s="11" t="n">
        <x:v>1</x:v>
      </x:c>
      <x:c r="K2417" s="11" t="n">
        <x:v>2</x:v>
      </x:c>
      <x:c r="L2417" s="11" t="n">
        <x:v>1</x:v>
      </x:c>
      <x:c r="M2417" s="9" t="n">
        <x:f>ROUND(H2417*(1-I2417),2)</x:f>
        <x:v>12998000</x:v>
      </x:c>
      <x:c r="N2417" s="4" t="str">
        <x:v>Sales manager</x:v>
      </x:c>
      <x:c r="O2417" s="4" t="str">
        <x:v>BOOK-02416</x:v>
      </x:c>
      <x:c r="P2417" s="9" t="n">
        <x:v>1299800</x:v>
      </x:c>
      <x:c r="Q2417" s="11" t="n">
        <x:v>0</x:v>
      </x:c>
      <x:c r="R2417" s="8" t="n">
        <x:v>45480</x:v>
      </x:c>
      <x:c r="S2417" s="4" t="str">
        <x:v>Retained</x:v>
      </x:c>
      <x:c r="T2417" s="10" t="n">
        <x:v>0.072165</x:v>
      </x:c>
      <x:c r="U2417" s="4" t="str">
        <x:v>Train</x:v>
      </x:c>
    </x:row>
    <x:row r="2418" ht="34" customHeight="1">
      <x:c r="A2418" s="4" t="str">
        <x:v>RS-02417</x:v>
      </x:c>
      <x:c r="B2418" s="8" t="n">
        <x:v>45421</x:v>
      </x:c>
      <x:c r="C2418" s="4" t="str">
        <x:v>PRJ-017</x:v>
      </x:c>
      <x:c r="D2418" s="4" t="str">
        <x:v>Office</x:v>
      </x:c>
      <x:c r="E2418" s="4" t="str">
        <x:v>Agreement signed</x:v>
      </x:c>
      <x:c r="F2418" s="4" t="str">
        <x:v>CUS-02417</x:v>
      </x:c>
      <x:c r="G2418" s="4" t="str">
        <x:v>UNIT-02417</x:v>
      </x:c>
      <x:c r="H2418" s="9" t="n">
        <x:v>4300000</x:v>
      </x:c>
      <x:c r="I2418" s="10" t="n">
        <x:v>0.01</x:v>
      </x:c>
      <x:c r="J2418" s="11" t="n">
        <x:v>12</x:v>
      </x:c>
      <x:c r="K2418" s="11" t="n">
        <x:v>3</x:v>
      </x:c>
      <x:c r="L2418" s="11" t="n">
        <x:v>1</x:v>
      </x:c>
      <x:c r="M2418" s="9" t="n">
        <x:f>ROUND(H2418*(1-I2418),2)</x:f>
        <x:v>4257000</x:v>
      </x:c>
      <x:c r="N2418" s="4" t="str">
        <x:v>Sales manager</x:v>
      </x:c>
      <x:c r="O2418" s="4" t="str">
        <x:v>BOOK-02417</x:v>
      </x:c>
      <x:c r="P2418" s="9" t="n">
        <x:v>4257000</x:v>
      </x:c>
      <x:c r="Q2418" s="11" t="n">
        <x:v>0</x:v>
      </x:c>
      <x:c r="R2418" s="8" t="n">
        <x:v>45481</x:v>
      </x:c>
      <x:c r="S2418" s="4" t="str">
        <x:v>Retained</x:v>
      </x:c>
      <x:c r="T2418" s="10" t="n">
        <x:v>0.254545</x:v>
      </x:c>
      <x:c r="U2418" s="4" t="str">
        <x:v>Train</x:v>
      </x:c>
    </x:row>
    <x:row r="2419" ht="34" customHeight="1">
      <x:c r="A2419" s="4" t="str">
        <x:v>RS-02418</x:v>
      </x:c>
      <x:c r="B2419" s="8" t="n">
        <x:v>45422</x:v>
      </x:c>
      <x:c r="C2419" s="4" t="str">
        <x:v>PRJ-018</x:v>
      </x:c>
      <x:c r="D2419" s="4" t="str">
        <x:v>Office</x:v>
      </x:c>
      <x:c r="E2419" s="4" t="str">
        <x:v>Cancelled</x:v>
      </x:c>
      <x:c r="F2419" s="4" t="str">
        <x:v>CUS-02418</x:v>
      </x:c>
      <x:c r="G2419" s="4" t="str">
        <x:v>UNIT-02418</x:v>
      </x:c>
      <x:c r="H2419" s="9" t="n">
        <x:v>7400000</x:v>
      </x:c>
      <x:c r="I2419" s="10" t="n">
        <x:v>0.07</x:v>
      </x:c>
      <x:c r="J2419" s="11" t="n">
        <x:v>8</x:v>
      </x:c>
      <x:c r="K2419" s="11" t="n">
        <x:v>6</x:v>
      </x:c>
      <x:c r="L2419" s="11" t="n">
        <x:v>0</x:v>
      </x:c>
      <x:c r="M2419" s="9" t="n">
        <x:f>ROUND(H2419*(1-I2419),2)</x:f>
        <x:v>6882000</x:v>
      </x:c>
      <x:c r="N2419" s="4" t="str">
        <x:v>Sales manager</x:v>
      </x:c>
      <x:c r="O2419" s="4"/>
      <x:c r="P2419" s="9" t="n">
        <x:v>0</x:v>
      </x:c>
      <x:c r="Q2419" s="11" t="n">
        <x:v>1</x:v>
      </x:c>
      <x:c r="R2419" s="8" t="n">
        <x:v>45482</x:v>
      </x:c>
      <x:c r="S2419" s="4" t="str">
        <x:v>Lost / cancelled</x:v>
      </x:c>
      <x:c r="T2419" s="10" t="n">
        <x:v>0.310195</x:v>
      </x:c>
      <x:c r="U2419" s="4" t="str">
        <x:v>Train</x:v>
      </x:c>
    </x:row>
    <x:row r="2420" ht="34" customHeight="1">
      <x:c r="A2420" s="4" t="str">
        <x:v>RS-02419</x:v>
      </x:c>
      <x:c r="B2420" s="8" t="n">
        <x:v>45423</x:v>
      </x:c>
      <x:c r="C2420" s="4" t="str">
        <x:v>PRJ-019</x:v>
      </x:c>
      <x:c r="D2420" s="4" t="str">
        <x:v>Retail</x:v>
      </x:c>
      <x:c r="E2420" s="4" t="str">
        <x:v>Cancelled</x:v>
      </x:c>
      <x:c r="F2420" s="4" t="str">
        <x:v>CUS-02419</x:v>
      </x:c>
      <x:c r="G2420" s="4" t="str">
        <x:v>UNIT-02419</x:v>
      </x:c>
      <x:c r="H2420" s="9" t="n">
        <x:v>21100000</x:v>
      </x:c>
      <x:c r="I2420" s="10" t="n">
        <x:v>0.03</x:v>
      </x:c>
      <x:c r="J2420" s="11" t="n">
        <x:v>1</x:v>
      </x:c>
      <x:c r="K2420" s="11" t="n">
        <x:v>0</x:v>
      </x:c>
      <x:c r="L2420" s="11" t="n">
        <x:v>0</x:v>
      </x:c>
      <x:c r="M2420" s="9" t="n">
        <x:f>ROUND(H2420*(1-I2420),2)</x:f>
        <x:v>20467000</x:v>
      </x:c>
      <x:c r="N2420" s="4" t="str">
        <x:v>Sales manager</x:v>
      </x:c>
      <x:c r="O2420" s="4"/>
      <x:c r="P2420" s="9" t="n">
        <x:v>0</x:v>
      </x:c>
      <x:c r="Q2420" s="11" t="n">
        <x:v>1</x:v>
      </x:c>
      <x:c r="R2420" s="8" t="n">
        <x:v>45483</x:v>
      </x:c>
      <x:c r="S2420" s="4" t="str">
        <x:v>Lost / cancelled</x:v>
      </x:c>
      <x:c r="T2420" s="10" t="n">
        <x:v>0.276923</x:v>
      </x:c>
      <x:c r="U2420" s="4" t="str">
        <x:v>Train</x:v>
      </x:c>
    </x:row>
    <x:row r="2421" ht="34" customHeight="1">
      <x:c r="A2421" s="4" t="str">
        <x:v>RS-02420</x:v>
      </x:c>
      <x:c r="B2421" s="8" t="n">
        <x:v>45424</x:v>
      </x:c>
      <x:c r="C2421" s="4" t="str">
        <x:v>PRJ-020</x:v>
      </x:c>
      <x:c r="D2421" s="4" t="str">
        <x:v>Villa</x:v>
      </x:c>
      <x:c r="E2421" s="4" t="str">
        <x:v>Reserved</x:v>
      </x:c>
      <x:c r="F2421" s="4" t="str">
        <x:v>CUS-02420</x:v>
      </x:c>
      <x:c r="G2421" s="4" t="str">
        <x:v>UNIT-02420</x:v>
      </x:c>
      <x:c r="H2421" s="9" t="n">
        <x:v>7300000</x:v>
      </x:c>
      <x:c r="I2421" s="10" t="n">
        <x:v>0.11</x:v>
      </x:c>
      <x:c r="J2421" s="11" t="n">
        <x:v>5</x:v>
      </x:c>
      <x:c r="K2421" s="11" t="n">
        <x:v>7</x:v>
      </x:c>
      <x:c r="L2421" s="11" t="n">
        <x:v>0</x:v>
      </x:c>
      <x:c r="M2421" s="9" t="n">
        <x:f>ROUND(H2421*(1-I2421),2)</x:f>
        <x:v>6497000</x:v>
      </x:c>
      <x:c r="N2421" s="4" t="str">
        <x:v>Sales head</x:v>
      </x:c>
      <x:c r="O2421" s="4"/>
      <x:c r="P2421" s="9" t="n">
        <x:v>0</x:v>
      </x:c>
      <x:c r="Q2421" s="11" t="n">
        <x:v>1</x:v>
      </x:c>
      <x:c r="R2421" s="8" t="n">
        <x:v>45484</x:v>
      </x:c>
      <x:c r="S2421" s="4" t="str">
        <x:v>Lost / cancelled</x:v>
      </x:c>
      <x:c r="T2421" s="10" t="n">
        <x:v>0.226277</x:v>
      </x:c>
      <x:c r="U2421" s="4" t="str">
        <x:v>Train</x:v>
      </x:c>
    </x:row>
    <x:row r="2422" ht="34" customHeight="1">
      <x:c r="A2422" s="4" t="str">
        <x:v>RS-02421</x:v>
      </x:c>
      <x:c r="B2422" s="8" t="n">
        <x:v>45425</x:v>
      </x:c>
      <x:c r="C2422" s="4" t="str">
        <x:v>PRJ-001</x:v>
      </x:c>
      <x:c r="D2422" s="4" t="str">
        <x:v>Villa</x:v>
      </x:c>
      <x:c r="E2422" s="4" t="str">
        <x:v>Handed over</x:v>
      </x:c>
      <x:c r="F2422" s="4" t="str">
        <x:v>CUS-02421</x:v>
      </x:c>
      <x:c r="G2422" s="4" t="str">
        <x:v>UNIT-02421</x:v>
      </x:c>
      <x:c r="H2422" s="9" t="n">
        <x:v>12700000</x:v>
      </x:c>
      <x:c r="I2422" s="10" t="n">
        <x:v>0.11</x:v>
      </x:c>
      <x:c r="J2422" s="11" t="n">
        <x:v>2</x:v>
      </x:c>
      <x:c r="K2422" s="11" t="n">
        <x:v>4</x:v>
      </x:c>
      <x:c r="L2422" s="11" t="n">
        <x:v>1</x:v>
      </x:c>
      <x:c r="M2422" s="9" t="n">
        <x:f>ROUND(H2422*(1-I2422),2)</x:f>
        <x:v>11303000</x:v>
      </x:c>
      <x:c r="N2422" s="4" t="str">
        <x:v>Sales head</x:v>
      </x:c>
      <x:c r="O2422" s="4" t="str">
        <x:v>BOOK-02421</x:v>
      </x:c>
      <x:c r="P2422" s="9" t="n">
        <x:v>5651500</x:v>
      </x:c>
      <x:c r="Q2422" s="11" t="n">
        <x:v>0</x:v>
      </x:c>
      <x:c r="R2422" s="8" t="n">
        <x:v>45485</x:v>
      </x:c>
      <x:c r="S2422" s="4" t="str">
        <x:v>Retained</x:v>
      </x:c>
      <x:c r="T2422" s="10" t="n">
        <x:v>0.145833</x:v>
      </x:c>
      <x:c r="U2422" s="4" t="str">
        <x:v>Train</x:v>
      </x:c>
    </x:row>
    <x:row r="2423" ht="34" customHeight="1">
      <x:c r="A2423" s="4" t="str">
        <x:v>RS-02422</x:v>
      </x:c>
      <x:c r="B2423" s="8" t="n">
        <x:v>45426</x:v>
      </x:c>
      <x:c r="C2423" s="4" t="str">
        <x:v>PRJ-002</x:v>
      </x:c>
      <x:c r="D2423" s="4" t="str">
        <x:v>Office</x:v>
      </x:c>
      <x:c r="E2423" s="4" t="str">
        <x:v>Cancelled</x:v>
      </x:c>
      <x:c r="F2423" s="4" t="str">
        <x:v>CUS-02422</x:v>
      </x:c>
      <x:c r="G2423" s="4" t="str">
        <x:v>UNIT-02422</x:v>
      </x:c>
      <x:c r="H2423" s="9" t="n">
        <x:v>23200000</x:v>
      </x:c>
      <x:c r="I2423" s="10" t="n">
        <x:v>0.07</x:v>
      </x:c>
      <x:c r="J2423" s="11" t="n">
        <x:v>1</x:v>
      </x:c>
      <x:c r="K2423" s="11" t="n">
        <x:v>8</x:v>
      </x:c>
      <x:c r="L2423" s="11" t="n">
        <x:v>0</x:v>
      </x:c>
      <x:c r="M2423" s="9" t="n">
        <x:f>ROUND(H2423*(1-I2423),2)</x:f>
        <x:v>21576000</x:v>
      </x:c>
      <x:c r="N2423" s="4" t="str">
        <x:v>Sales manager</x:v>
      </x:c>
      <x:c r="O2423" s="4"/>
      <x:c r="P2423" s="9" t="n">
        <x:v>0</x:v>
      </x:c>
      <x:c r="Q2423" s="11" t="n">
        <x:v>1</x:v>
      </x:c>
      <x:c r="R2423" s="8" t="n">
        <x:v>45486</x:v>
      </x:c>
      <x:c r="S2423" s="4" t="str">
        <x:v>Lost / cancelled</x:v>
      </x:c>
      <x:c r="T2423" s="10" t="n">
        <x:v>0.204152</x:v>
      </x:c>
      <x:c r="U2423" s="4" t="str">
        <x:v>Train</x:v>
      </x:c>
    </x:row>
    <x:row r="2424" ht="34" customHeight="1">
      <x:c r="A2424" s="4" t="str">
        <x:v>RS-02423</x:v>
      </x:c>
      <x:c r="B2424" s="8" t="n">
        <x:v>45427</x:v>
      </x:c>
      <x:c r="C2424" s="4" t="str">
        <x:v>PRJ-003</x:v>
      </x:c>
      <x:c r="D2424" s="4" t="str">
        <x:v>Office</x:v>
      </x:c>
      <x:c r="E2424" s="4" t="str">
        <x:v>Reserved</x:v>
      </x:c>
      <x:c r="F2424" s="4" t="str">
        <x:v>CUS-02423</x:v>
      </x:c>
      <x:c r="G2424" s="4" t="str">
        <x:v>UNIT-02423</x:v>
      </x:c>
      <x:c r="H2424" s="9" t="n">
        <x:v>10900000</x:v>
      </x:c>
      <x:c r="I2424" s="10" t="n">
        <x:v>0.06</x:v>
      </x:c>
      <x:c r="J2424" s="11" t="n">
        <x:v>3</x:v>
      </x:c>
      <x:c r="K2424" s="11" t="n">
        <x:v>1</x:v>
      </x:c>
      <x:c r="L2424" s="11" t="n">
        <x:v>0</x:v>
      </x:c>
      <x:c r="M2424" s="9" t="n">
        <x:f>ROUND(H2424*(1-I2424),2)</x:f>
        <x:v>10246000</x:v>
      </x:c>
      <x:c r="N2424" s="4" t="str">
        <x:v>Sales manager</x:v>
      </x:c>
      <x:c r="O2424" s="4"/>
      <x:c r="P2424" s="9" t="n">
        <x:v>0</x:v>
      </x:c>
      <x:c r="Q2424" s="11" t="n">
        <x:v>0</x:v>
      </x:c>
      <x:c r="R2424" s="8" t="n">
        <x:v>45487</x:v>
      </x:c>
      <x:c r="S2424" s="4" t="str">
        <x:v>Retained</x:v>
      </x:c>
      <x:c r="T2424" s="10" t="n">
        <x:v>0.204152</x:v>
      </x:c>
      <x:c r="U2424" s="4" t="str">
        <x:v>Train</x:v>
      </x:c>
    </x:row>
    <x:row r="2425" ht="34" customHeight="1">
      <x:c r="A2425" s="4" t="str">
        <x:v>RS-02424</x:v>
      </x:c>
      <x:c r="B2425" s="8" t="n">
        <x:v>45428</x:v>
      </x:c>
      <x:c r="C2425" s="4" t="str">
        <x:v>PRJ-004</x:v>
      </x:c>
      <x:c r="D2425" s="4" t="str">
        <x:v>Apartment</x:v>
      </x:c>
      <x:c r="E2425" s="4" t="str">
        <x:v>Reserved</x:v>
      </x:c>
      <x:c r="F2425" s="4" t="str">
        <x:v>CUS-02424</x:v>
      </x:c>
      <x:c r="G2425" s="4" t="str">
        <x:v>UNIT-02424</x:v>
      </x:c>
      <x:c r="H2425" s="9" t="n">
        <x:v>16900000</x:v>
      </x:c>
      <x:c r="I2425" s="10" t="n">
        <x:v>0.06</x:v>
      </x:c>
      <x:c r="J2425" s="11" t="n">
        <x:v>0</x:v>
      </x:c>
      <x:c r="K2425" s="11" t="n">
        <x:v>6</x:v>
      </x:c>
      <x:c r="L2425" s="11" t="n">
        <x:v>0</x:v>
      </x:c>
      <x:c r="M2425" s="9" t="n">
        <x:f>ROUND(H2425*(1-I2425),2)</x:f>
        <x:v>15886000</x:v>
      </x:c>
      <x:c r="N2425" s="4" t="str">
        <x:v>Sales manager</x:v>
      </x:c>
      <x:c r="O2425" s="4"/>
      <x:c r="P2425" s="9" t="n">
        <x:v>0</x:v>
      </x:c>
      <x:c r="Q2425" s="11" t="n">
        <x:v>0</x:v>
      </x:c>
      <x:c r="R2425" s="8" t="n">
        <x:v>45488</x:v>
      </x:c>
      <x:c r="S2425" s="4" t="str">
        <x:v>Retained</x:v>
      </x:c>
      <x:c r="T2425" s="10" t="n">
        <x:v>0.204152</x:v>
      </x:c>
      <x:c r="U2425" s="4" t="str">
        <x:v>Train</x:v>
      </x:c>
    </x:row>
    <x:row r="2426" ht="34" customHeight="1">
      <x:c r="A2426" s="4" t="str">
        <x:v>RS-02425</x:v>
      </x:c>
      <x:c r="B2426" s="8" t="n">
        <x:v>45429</x:v>
      </x:c>
      <x:c r="C2426" s="4" t="str">
        <x:v>PRJ-005</x:v>
      </x:c>
      <x:c r="D2426" s="4" t="str">
        <x:v>Villa</x:v>
      </x:c>
      <x:c r="E2426" s="4" t="str">
        <x:v>Booked</x:v>
      </x:c>
      <x:c r="F2426" s="4" t="str">
        <x:v>CUS-02425</x:v>
      </x:c>
      <x:c r="G2426" s="4" t="str">
        <x:v>UNIT-02425</x:v>
      </x:c>
      <x:c r="H2426" s="9" t="n">
        <x:v>13000000</x:v>
      </x:c>
      <x:c r="I2426" s="10" t="n">
        <x:v>0.02</x:v>
      </x:c>
      <x:c r="J2426" s="11" t="n">
        <x:v>2</x:v>
      </x:c>
      <x:c r="K2426" s="11" t="n">
        <x:v>8</x:v>
      </x:c>
      <x:c r="L2426" s="11" t="n">
        <x:v>0</x:v>
      </x:c>
      <x:c r="M2426" s="9" t="n">
        <x:f>ROUND(H2426*(1-I2426),2)</x:f>
        <x:v>12740000</x:v>
      </x:c>
      <x:c r="N2426" s="4" t="str">
        <x:v>Sales manager</x:v>
      </x:c>
      <x:c r="O2426" s="4" t="str">
        <x:v>BOOK-02425</x:v>
      </x:c>
      <x:c r="P2426" s="9" t="n">
        <x:v>3185000</x:v>
      </x:c>
      <x:c r="Q2426" s="11" t="n">
        <x:v>0</x:v>
      </x:c>
      <x:c r="R2426" s="8" t="n">
        <x:v>45489</x:v>
      </x:c>
      <x:c r="S2426" s="4" t="str">
        <x:v>Retained</x:v>
      </x:c>
      <x:c r="T2426" s="10" t="n">
        <x:v>0.171717</x:v>
      </x:c>
      <x:c r="U2426" s="4" t="str">
        <x:v>Train</x:v>
      </x:c>
    </x:row>
    <x:row r="2427" ht="34" customHeight="1">
      <x:c r="A2427" s="4" t="str">
        <x:v>RS-02426</x:v>
      </x:c>
      <x:c r="B2427" s="8" t="n">
        <x:v>45430</x:v>
      </x:c>
      <x:c r="C2427" s="4" t="str">
        <x:v>PRJ-006</x:v>
      </x:c>
      <x:c r="D2427" s="4" t="str">
        <x:v>Retail</x:v>
      </x:c>
      <x:c r="E2427" s="4" t="str">
        <x:v>Agreement signed</x:v>
      </x:c>
      <x:c r="F2427" s="4" t="str">
        <x:v>CUS-02426</x:v>
      </x:c>
      <x:c r="G2427" s="4" t="str">
        <x:v>UNIT-02426</x:v>
      </x:c>
      <x:c r="H2427" s="9" t="n">
        <x:v>23500000</x:v>
      </x:c>
      <x:c r="I2427" s="10" t="n">
        <x:v>0.06</x:v>
      </x:c>
      <x:c r="J2427" s="11" t="n">
        <x:v>11</x:v>
      </x:c>
      <x:c r="K2427" s="11" t="n">
        <x:v>1</x:v>
      </x:c>
      <x:c r="L2427" s="11" t="n">
        <x:v>0</x:v>
      </x:c>
      <x:c r="M2427" s="9" t="n">
        <x:f>ROUND(H2427*(1-I2427),2)</x:f>
        <x:v>22090000</x:v>
      </x:c>
      <x:c r="N2427" s="4" t="str">
        <x:v>Sales manager</x:v>
      </x:c>
      <x:c r="O2427" s="4" t="str">
        <x:v>BOOK-02426</x:v>
      </x:c>
      <x:c r="P2427" s="9" t="n">
        <x:v>22090000</x:v>
      </x:c>
      <x:c r="Q2427" s="11" t="n">
        <x:v>0</x:v>
      </x:c>
      <x:c r="R2427" s="8" t="n">
        <x:v>45490</x:v>
      </x:c>
      <x:c r="S2427" s="4" t="str">
        <x:v>Retained</x:v>
      </x:c>
      <x:c r="T2427" s="10" t="n">
        <x:v>0.351536</x:v>
      </x:c>
      <x:c r="U2427" s="4" t="str">
        <x:v>Train</x:v>
      </x:c>
    </x:row>
    <x:row r="2428" ht="34" customHeight="1">
      <x:c r="A2428" s="4" t="str">
        <x:v>RS-02427</x:v>
      </x:c>
      <x:c r="B2428" s="8" t="n">
        <x:v>45431</x:v>
      </x:c>
      <x:c r="C2428" s="4" t="str">
        <x:v>PRJ-007</x:v>
      </x:c>
      <x:c r="D2428" s="4" t="str">
        <x:v>Apartment</x:v>
      </x:c>
      <x:c r="E2428" s="4" t="str">
        <x:v>Booked</x:v>
      </x:c>
      <x:c r="F2428" s="4" t="str">
        <x:v>CUS-02427</x:v>
      </x:c>
      <x:c r="G2428" s="4" t="str">
        <x:v>UNIT-02427</x:v>
      </x:c>
      <x:c r="H2428" s="9" t="n">
        <x:v>3900000</x:v>
      </x:c>
      <x:c r="I2428" s="10" t="n">
        <x:v>0.03</x:v>
      </x:c>
      <x:c r="J2428" s="11" t="n">
        <x:v>5</x:v>
      </x:c>
      <x:c r="K2428" s="11" t="n">
        <x:v>9</x:v>
      </x:c>
      <x:c r="L2428" s="11" t="n">
        <x:v>0</x:v>
      </x:c>
      <x:c r="M2428" s="9" t="n">
        <x:f>ROUND(H2428*(1-I2428),2)</x:f>
        <x:v>3783000</x:v>
      </x:c>
      <x:c r="N2428" s="4" t="str">
        <x:v>Sales manager</x:v>
      </x:c>
      <x:c r="O2428" s="4" t="str">
        <x:v>BOOK-02427</x:v>
      </x:c>
      <x:c r="P2428" s="9" t="n">
        <x:v>945750</x:v>
      </x:c>
      <x:c r="Q2428" s="11" t="n">
        <x:v>0</x:v>
      </x:c>
      <x:c r="R2428" s="8" t="n">
        <x:v>45491</x:v>
      </x:c>
      <x:c r="S2428" s="4" t="str">
        <x:v>Retained</x:v>
      </x:c>
      <x:c r="T2428" s="10" t="n">
        <x:v>0.145299</x:v>
      </x:c>
      <x:c r="U2428" s="4" t="str">
        <x:v>Train</x:v>
      </x:c>
    </x:row>
    <x:row r="2429" ht="34" customHeight="1">
      <x:c r="A2429" s="4" t="str">
        <x:v>RS-02428</x:v>
      </x:c>
      <x:c r="B2429" s="8" t="n">
        <x:v>45432</x:v>
      </x:c>
      <x:c r="C2429" s="4" t="str">
        <x:v>PRJ-008</x:v>
      </x:c>
      <x:c r="D2429" s="4" t="str">
        <x:v>Villa</x:v>
      </x:c>
      <x:c r="E2429" s="4" t="str">
        <x:v>Handed over</x:v>
      </x:c>
      <x:c r="F2429" s="4" t="str">
        <x:v>CUS-02428</x:v>
      </x:c>
      <x:c r="G2429" s="4" t="str">
        <x:v>UNIT-02428</x:v>
      </x:c>
      <x:c r="H2429" s="9" t="n">
        <x:v>21600000</x:v>
      </x:c>
      <x:c r="I2429" s="10" t="n">
        <x:v>0.01</x:v>
      </x:c>
      <x:c r="J2429" s="11" t="n">
        <x:v>11</x:v>
      </x:c>
      <x:c r="K2429" s="11" t="n">
        <x:v>0</x:v>
      </x:c>
      <x:c r="L2429" s="11" t="n">
        <x:v>1</x:v>
      </x:c>
      <x:c r="M2429" s="9" t="n">
        <x:f>ROUND(H2429*(1-I2429),2)</x:f>
        <x:v>21384000</x:v>
      </x:c>
      <x:c r="N2429" s="4" t="str">
        <x:v>Sales manager</x:v>
      </x:c>
      <x:c r="O2429" s="4" t="str">
        <x:v>BOOK-02428</x:v>
      </x:c>
      <x:c r="P2429" s="9" t="n">
        <x:v>10692000</x:v>
      </x:c>
      <x:c r="Q2429" s="11" t="n">
        <x:v>0</x:v>
      </x:c>
      <x:c r="R2429" s="8" t="n">
        <x:v>45492</x:v>
      </x:c>
      <x:c r="S2429" s="4" t="str">
        <x:v>Retained</x:v>
      </x:c>
      <x:c r="T2429" s="10" t="n">
        <x:v>0.254545</x:v>
      </x:c>
      <x:c r="U2429" s="4" t="str">
        <x:v>Train</x:v>
      </x:c>
    </x:row>
    <x:row r="2430" ht="34" customHeight="1">
      <x:c r="A2430" s="4" t="str">
        <x:v>RS-02429</x:v>
      </x:c>
      <x:c r="B2430" s="8" t="n">
        <x:v>45433</x:v>
      </x:c>
      <x:c r="C2430" s="4" t="str">
        <x:v>PRJ-009</x:v>
      </x:c>
      <x:c r="D2430" s="4" t="str">
        <x:v>Retail</x:v>
      </x:c>
      <x:c r="E2430" s="4" t="str">
        <x:v>Handed over</x:v>
      </x:c>
      <x:c r="F2430" s="4" t="str">
        <x:v>CUS-02429</x:v>
      </x:c>
      <x:c r="G2430" s="4" t="str">
        <x:v>UNIT-02429</x:v>
      </x:c>
      <x:c r="H2430" s="9" t="n">
        <x:v>13500000</x:v>
      </x:c>
      <x:c r="I2430" s="10" t="n">
        <x:v>0.1</x:v>
      </x:c>
      <x:c r="J2430" s="11" t="n">
        <x:v>4</x:v>
      </x:c>
      <x:c r="K2430" s="11" t="n">
        <x:v>5</x:v>
      </x:c>
      <x:c r="L2430" s="11" t="n">
        <x:v>1</x:v>
      </x:c>
      <x:c r="M2430" s="9" t="n">
        <x:f>ROUND(H2430*(1-I2430),2)</x:f>
        <x:v>12150000</x:v>
      </x:c>
      <x:c r="N2430" s="4" t="str">
        <x:v>Sales head</x:v>
      </x:c>
      <x:c r="O2430" s="4" t="str">
        <x:v>BOOK-02429</x:v>
      </x:c>
      <x:c r="P2430" s="9" t="n">
        <x:v>3037500</x:v>
      </x:c>
      <x:c r="Q2430" s="11" t="n">
        <x:v>0</x:v>
      </x:c>
      <x:c r="R2430" s="8" t="n">
        <x:v>45493</x:v>
      </x:c>
      <x:c r="S2430" s="4" t="str">
        <x:v>Retained</x:v>
      </x:c>
      <x:c r="T2430" s="10" t="n">
        <x:v>0.291946</x:v>
      </x:c>
      <x:c r="U2430" s="4" t="str">
        <x:v>Train</x:v>
      </x:c>
    </x:row>
    <x:row r="2431" ht="34" customHeight="1">
      <x:c r="A2431" s="4" t="str">
        <x:v>RS-02430</x:v>
      </x:c>
      <x:c r="B2431" s="8" t="n">
        <x:v>45434</x:v>
      </x:c>
      <x:c r="C2431" s="4" t="str">
        <x:v>PRJ-010</x:v>
      </x:c>
      <x:c r="D2431" s="4" t="str">
        <x:v>Villa</x:v>
      </x:c>
      <x:c r="E2431" s="4" t="str">
        <x:v>Agreement signed</x:v>
      </x:c>
      <x:c r="F2431" s="4" t="str">
        <x:v>CUS-02430</x:v>
      </x:c>
      <x:c r="G2431" s="4" t="str">
        <x:v>UNIT-02430</x:v>
      </x:c>
      <x:c r="H2431" s="9" t="n">
        <x:v>16400000</x:v>
      </x:c>
      <x:c r="I2431" s="10" t="n">
        <x:v>0.01</x:v>
      </x:c>
      <x:c r="J2431" s="11" t="n">
        <x:v>7</x:v>
      </x:c>
      <x:c r="K2431" s="11" t="n">
        <x:v>10</x:v>
      </x:c>
      <x:c r="L2431" s="11" t="n">
        <x:v>1</x:v>
      </x:c>
      <x:c r="M2431" s="9" t="n">
        <x:f>ROUND(H2431*(1-I2431),2)</x:f>
        <x:v>16236000</x:v>
      </x:c>
      <x:c r="N2431" s="4" t="str">
        <x:v>Sales manager</x:v>
      </x:c>
      <x:c r="O2431" s="4" t="str">
        <x:v>BOOK-02430</x:v>
      </x:c>
      <x:c r="P2431" s="9" t="n">
        <x:v>4059000</x:v>
      </x:c>
      <x:c r="Q2431" s="11" t="n">
        <x:v>0</x:v>
      </x:c>
      <x:c r="R2431" s="8" t="n">
        <x:v>45494</x:v>
      </x:c>
      <x:c r="S2431" s="4" t="str">
        <x:v>Retained</x:v>
      </x:c>
      <x:c r="T2431" s="10" t="n">
        <x:v>0.145299</x:v>
      </x:c>
      <x:c r="U2431" s="4" t="str">
        <x:v>Train</x:v>
      </x:c>
    </x:row>
    <x:row r="2432" ht="34" customHeight="1">
      <x:c r="A2432" s="4" t="str">
        <x:v>RS-02431</x:v>
      </x:c>
      <x:c r="B2432" s="8" t="n">
        <x:v>45435</x:v>
      </x:c>
      <x:c r="C2432" s="4" t="str">
        <x:v>PRJ-011</x:v>
      </x:c>
      <x:c r="D2432" s="4" t="str">
        <x:v>Retail</x:v>
      </x:c>
      <x:c r="E2432" s="4" t="str">
        <x:v>Reserved</x:v>
      </x:c>
      <x:c r="F2432" s="4" t="str">
        <x:v>CUS-02431</x:v>
      </x:c>
      <x:c r="G2432" s="4" t="str">
        <x:v>UNIT-02431</x:v>
      </x:c>
      <x:c r="H2432" s="9" t="n">
        <x:v>3300000</x:v>
      </x:c>
      <x:c r="I2432" s="10" t="n">
        <x:v>0.08</x:v>
      </x:c>
      <x:c r="J2432" s="11" t="n">
        <x:v>7</x:v>
      </x:c>
      <x:c r="K2432" s="11" t="n">
        <x:v>2</x:v>
      </x:c>
      <x:c r="L2432" s="11" t="n">
        <x:v>0</x:v>
      </x:c>
      <x:c r="M2432" s="9" t="n">
        <x:f>ROUND(H2432*(1-I2432),2)</x:f>
        <x:v>3036000</x:v>
      </x:c>
      <x:c r="N2432" s="4" t="str">
        <x:v>Sales head</x:v>
      </x:c>
      <x:c r="O2432" s="4"/>
      <x:c r="P2432" s="9" t="n">
        <x:v>0</x:v>
      </x:c>
      <x:c r="Q2432" s="11" t="n">
        <x:v>0</x:v>
      </x:c>
      <x:c r="R2432" s="8" t="n">
        <x:v>45495</x:v>
      </x:c>
      <x:c r="S2432" s="4" t="str">
        <x:v>Retained</x:v>
      </x:c>
      <x:c r="T2432" s="10" t="n">
        <x:v>0.226277</x:v>
      </x:c>
      <x:c r="U2432" s="4" t="str">
        <x:v>Train</x:v>
      </x:c>
    </x:row>
    <x:row r="2433" ht="34" customHeight="1">
      <x:c r="A2433" s="4" t="str">
        <x:v>RS-02432</x:v>
      </x:c>
      <x:c r="B2433" s="8" t="n">
        <x:v>45436</x:v>
      </x:c>
      <x:c r="C2433" s="4" t="str">
        <x:v>PRJ-012</x:v>
      </x:c>
      <x:c r="D2433" s="4" t="str">
        <x:v>Apartment</x:v>
      </x:c>
      <x:c r="E2433" s="4" t="str">
        <x:v>Cancelled</x:v>
      </x:c>
      <x:c r="F2433" s="4" t="str">
        <x:v>CUS-02432</x:v>
      </x:c>
      <x:c r="G2433" s="4" t="str">
        <x:v>UNIT-02432</x:v>
      </x:c>
      <x:c r="H2433" s="9" t="n">
        <x:v>18000000</x:v>
      </x:c>
      <x:c r="I2433" s="10" t="n">
        <x:v>0.06</x:v>
      </x:c>
      <x:c r="J2433" s="11" t="n">
        <x:v>4</x:v>
      </x:c>
      <x:c r="K2433" s="11" t="n">
        <x:v>10</x:v>
      </x:c>
      <x:c r="L2433" s="11" t="n">
        <x:v>1</x:v>
      </x:c>
      <x:c r="M2433" s="9" t="n">
        <x:f>ROUND(H2433*(1-I2433),2)</x:f>
        <x:v>16920000</x:v>
      </x:c>
      <x:c r="N2433" s="4" t="str">
        <x:v>Sales manager</x:v>
      </x:c>
      <x:c r="O2433" s="4"/>
      <x:c r="P2433" s="9" t="n">
        <x:v>0</x:v>
      </x:c>
      <x:c r="Q2433" s="11" t="n">
        <x:v>1</x:v>
      </x:c>
      <x:c r="R2433" s="8" t="n">
        <x:v>45496</x:v>
      </x:c>
      <x:c r="S2433" s="4" t="str">
        <x:v>Lost / cancelled</x:v>
      </x:c>
      <x:c r="T2433" s="10" t="n">
        <x:v>0.291946</x:v>
      </x:c>
      <x:c r="U2433" s="4" t="str">
        <x:v>Train</x:v>
      </x:c>
    </x:row>
    <x:row r="2434" ht="34" customHeight="1">
      <x:c r="A2434" s="4" t="str">
        <x:v>RS-02433</x:v>
      </x:c>
      <x:c r="B2434" s="8" t="n">
        <x:v>45437</x:v>
      </x:c>
      <x:c r="C2434" s="4" t="str">
        <x:v>PRJ-013</x:v>
      </x:c>
      <x:c r="D2434" s="4" t="str">
        <x:v>Retail</x:v>
      </x:c>
      <x:c r="E2434" s="4" t="str">
        <x:v>Agreement signed</x:v>
      </x:c>
      <x:c r="F2434" s="4" t="str">
        <x:v>CUS-02433</x:v>
      </x:c>
      <x:c r="G2434" s="4" t="str">
        <x:v>UNIT-02433</x:v>
      </x:c>
      <x:c r="H2434" s="9" t="n">
        <x:v>19000000</x:v>
      </x:c>
      <x:c r="I2434" s="10" t="n">
        <x:v>0.07</x:v>
      </x:c>
      <x:c r="J2434" s="11" t="n">
        <x:v>10</x:v>
      </x:c>
      <x:c r="K2434" s="11" t="n">
        <x:v>6</x:v>
      </x:c>
      <x:c r="L2434" s="11" t="n">
        <x:v>1</x:v>
      </x:c>
      <x:c r="M2434" s="9" t="n">
        <x:f>ROUND(H2434*(1-I2434),2)</x:f>
        <x:v>17670000</x:v>
      </x:c>
      <x:c r="N2434" s="4" t="str">
        <x:v>Sales manager</x:v>
      </x:c>
      <x:c r="O2434" s="4" t="str">
        <x:v>BOOK-02433</x:v>
      </x:c>
      <x:c r="P2434" s="9" t="n">
        <x:v>17670000</x:v>
      </x:c>
      <x:c r="Q2434" s="11" t="n">
        <x:v>0</x:v>
      </x:c>
      <x:c r="R2434" s="8" t="n">
        <x:v>45497</x:v>
      </x:c>
      <x:c r="S2434" s="4" t="str">
        <x:v>Retained</x:v>
      </x:c>
      <x:c r="T2434" s="10" t="n">
        <x:v>0.310195</x:v>
      </x:c>
      <x:c r="U2434" s="4" t="str">
        <x:v>Train</x:v>
      </x:c>
    </x:row>
    <x:row r="2435" ht="34" customHeight="1">
      <x:c r="A2435" s="4" t="str">
        <x:v>RS-02434</x:v>
      </x:c>
      <x:c r="B2435" s="8" t="n">
        <x:v>45438</x:v>
      </x:c>
      <x:c r="C2435" s="4" t="str">
        <x:v>PRJ-014</x:v>
      </x:c>
      <x:c r="D2435" s="4" t="str">
        <x:v>Villa</x:v>
      </x:c>
      <x:c r="E2435" s="4" t="str">
        <x:v>Booked</x:v>
      </x:c>
      <x:c r="F2435" s="4" t="str">
        <x:v>CUS-02434</x:v>
      </x:c>
      <x:c r="G2435" s="4" t="str">
        <x:v>UNIT-02434</x:v>
      </x:c>
      <x:c r="H2435" s="9" t="n">
        <x:v>5700000</x:v>
      </x:c>
      <x:c r="I2435" s="10" t="n">
        <x:v>0.1</x:v>
      </x:c>
      <x:c r="J2435" s="11" t="n">
        <x:v>6</x:v>
      </x:c>
      <x:c r="K2435" s="11" t="n">
        <x:v>4</x:v>
      </x:c>
      <x:c r="L2435" s="11" t="n">
        <x:v>0</x:v>
      </x:c>
      <x:c r="M2435" s="9" t="n">
        <x:f>ROUND(H2435*(1-I2435),2)</x:f>
        <x:v>5130000</x:v>
      </x:c>
      <x:c r="N2435" s="4" t="str">
        <x:v>Sales head</x:v>
      </x:c>
      <x:c r="O2435" s="4" t="str">
        <x:v>BOOK-02434</x:v>
      </x:c>
      <x:c r="P2435" s="9" t="n">
        <x:v>513000</x:v>
      </x:c>
      <x:c r="Q2435" s="11" t="n">
        <x:v>0</x:v>
      </x:c>
      <x:c r="R2435" s="8" t="n">
        <x:v>45498</x:v>
      </x:c>
      <x:c r="S2435" s="4" t="str">
        <x:v>Retained</x:v>
      </x:c>
      <x:c r="T2435" s="10" t="n">
        <x:v>0.226277</x:v>
      </x:c>
      <x:c r="U2435" s="4" t="str">
        <x:v>Train</x:v>
      </x:c>
    </x:row>
    <x:row r="2436" ht="34" customHeight="1">
      <x:c r="A2436" s="4" t="str">
        <x:v>RS-02435</x:v>
      </x:c>
      <x:c r="B2436" s="8" t="n">
        <x:v>45439</x:v>
      </x:c>
      <x:c r="C2436" s="4" t="str">
        <x:v>PRJ-015</x:v>
      </x:c>
      <x:c r="D2436" s="4" t="str">
        <x:v>Retail</x:v>
      </x:c>
      <x:c r="E2436" s="4" t="str">
        <x:v>Booked</x:v>
      </x:c>
      <x:c r="F2436" s="4" t="str">
        <x:v>CUS-02435</x:v>
      </x:c>
      <x:c r="G2436" s="4" t="str">
        <x:v>UNIT-02435</x:v>
      </x:c>
      <x:c r="H2436" s="9" t="n">
        <x:v>12200000</x:v>
      </x:c>
      <x:c r="I2436" s="10" t="n">
        <x:v>0.03</x:v>
      </x:c>
      <x:c r="J2436" s="11" t="n">
        <x:v>11</x:v>
      </x:c>
      <x:c r="K2436" s="11" t="n">
        <x:v>7</x:v>
      </x:c>
      <x:c r="L2436" s="11" t="n">
        <x:v>1</x:v>
      </x:c>
      <x:c r="M2436" s="9" t="n">
        <x:f>ROUND(H2436*(1-I2436),2)</x:f>
        <x:v>11834000</x:v>
      </x:c>
      <x:c r="N2436" s="4" t="str">
        <x:v>Sales manager</x:v>
      </x:c>
      <x:c r="O2436" s="4" t="str">
        <x:v>BOOK-02435</x:v>
      </x:c>
      <x:c r="P2436" s="9" t="n">
        <x:v>5917000</x:v>
      </x:c>
      <x:c r="Q2436" s="11" t="n">
        <x:v>0</x:v>
      </x:c>
      <x:c r="R2436" s="8" t="n">
        <x:v>45499</x:v>
      </x:c>
      <x:c r="S2436" s="4" t="str">
        <x:v>Retained</x:v>
      </x:c>
      <x:c r="T2436" s="10" t="n">
        <x:v>0.351536</x:v>
      </x:c>
      <x:c r="U2436" s="4" t="str">
        <x:v>Train</x:v>
      </x:c>
    </x:row>
    <x:row r="2437" ht="34" customHeight="1">
      <x:c r="A2437" s="4" t="str">
        <x:v>RS-02436</x:v>
      </x:c>
      <x:c r="B2437" s="8" t="n">
        <x:v>45440</x:v>
      </x:c>
      <x:c r="C2437" s="4" t="str">
        <x:v>PRJ-016</x:v>
      </x:c>
      <x:c r="D2437" s="4" t="str">
        <x:v>Villa</x:v>
      </x:c>
      <x:c r="E2437" s="4" t="str">
        <x:v>Handed over</x:v>
      </x:c>
      <x:c r="F2437" s="4" t="str">
        <x:v>CUS-02436</x:v>
      </x:c>
      <x:c r="G2437" s="4" t="str">
        <x:v>UNIT-02436</x:v>
      </x:c>
      <x:c r="H2437" s="9" t="n">
        <x:v>19200000</x:v>
      </x:c>
      <x:c r="I2437" s="10" t="n">
        <x:v>0.04</x:v>
      </x:c>
      <x:c r="J2437" s="11" t="n">
        <x:v>0</x:v>
      </x:c>
      <x:c r="K2437" s="11" t="n">
        <x:v>6</x:v>
      </x:c>
      <x:c r="L2437" s="11" t="n">
        <x:v>0</x:v>
      </x:c>
      <x:c r="M2437" s="9" t="n">
        <x:f>ROUND(H2437*(1-I2437),2)</x:f>
        <x:v>18432000</x:v>
      </x:c>
      <x:c r="N2437" s="4" t="str">
        <x:v>Sales manager</x:v>
      </x:c>
      <x:c r="O2437" s="4" t="str">
        <x:v>BOOK-02436</x:v>
      </x:c>
      <x:c r="P2437" s="9" t="n">
        <x:v>4608000</x:v>
      </x:c>
      <x:c r="Q2437" s="11" t="n">
        <x:v>0</x:v>
      </x:c>
      <x:c r="R2437" s="8" t="n">
        <x:v>45500</x:v>
      </x:c>
      <x:c r="S2437" s="4" t="str">
        <x:v>Retained</x:v>
      </x:c>
      <x:c r="T2437" s="10" t="n">
        <x:v>0.204152</x:v>
      </x:c>
      <x:c r="U2437" s="4" t="str">
        <x:v>Train</x:v>
      </x:c>
    </x:row>
    <x:row r="2438" ht="34" customHeight="1">
      <x:c r="A2438" s="4" t="str">
        <x:v>RS-02437</x:v>
      </x:c>
      <x:c r="B2438" s="8" t="n">
        <x:v>45413</x:v>
      </x:c>
      <x:c r="C2438" s="4" t="str">
        <x:v>PRJ-017</x:v>
      </x:c>
      <x:c r="D2438" s="4" t="str">
        <x:v>Office</x:v>
      </x:c>
      <x:c r="E2438" s="4" t="str">
        <x:v>Handed over</x:v>
      </x:c>
      <x:c r="F2438" s="4" t="str">
        <x:v>CUS-02437</x:v>
      </x:c>
      <x:c r="G2438" s="4" t="str">
        <x:v>UNIT-02437</x:v>
      </x:c>
      <x:c r="H2438" s="9" t="n">
        <x:v>13600000</x:v>
      </x:c>
      <x:c r="I2438" s="10" t="n">
        <x:v>0.03</x:v>
      </x:c>
      <x:c r="J2438" s="11" t="n">
        <x:v>12</x:v>
      </x:c>
      <x:c r="K2438" s="11" t="n">
        <x:v>1</x:v>
      </x:c>
      <x:c r="L2438" s="11" t="n">
        <x:v>0</x:v>
      </x:c>
      <x:c r="M2438" s="9" t="n">
        <x:f>ROUND(H2438*(1-I2438),2)</x:f>
        <x:v>13192000</x:v>
      </x:c>
      <x:c r="N2438" s="4" t="str">
        <x:v>Sales manager</x:v>
      </x:c>
      <x:c r="O2438" s="4" t="str">
        <x:v>BOOK-02437</x:v>
      </x:c>
      <x:c r="P2438" s="9" t="n">
        <x:v>1319200</x:v>
      </x:c>
      <x:c r="Q2438" s="11" t="n">
        <x:v>0</x:v>
      </x:c>
      <x:c r="R2438" s="8" t="n">
        <x:v>45473</x:v>
      </x:c>
      <x:c r="S2438" s="4" t="str">
        <x:v>Retained</x:v>
      </x:c>
      <x:c r="T2438" s="10" t="n">
        <x:v>0.351536</x:v>
      </x:c>
      <x:c r="U2438" s="4" t="str">
        <x:v>Train</x:v>
      </x:c>
    </x:row>
    <x:row r="2439" ht="34" customHeight="1">
      <x:c r="A2439" s="4" t="str">
        <x:v>RS-02438</x:v>
      </x:c>
      <x:c r="B2439" s="8" t="n">
        <x:v>45414</x:v>
      </x:c>
      <x:c r="C2439" s="4" t="str">
        <x:v>PRJ-018</x:v>
      </x:c>
      <x:c r="D2439" s="4" t="str">
        <x:v>Retail</x:v>
      </x:c>
      <x:c r="E2439" s="4" t="str">
        <x:v>Booked</x:v>
      </x:c>
      <x:c r="F2439" s="4" t="str">
        <x:v>CUS-02438</x:v>
      </x:c>
      <x:c r="G2439" s="4" t="str">
        <x:v>UNIT-02438</x:v>
      </x:c>
      <x:c r="H2439" s="9" t="n">
        <x:v>6700000</x:v>
      </x:c>
      <x:c r="I2439" s="10" t="n">
        <x:v>0.03</x:v>
      </x:c>
      <x:c r="J2439" s="11" t="n">
        <x:v>5</x:v>
      </x:c>
      <x:c r="K2439" s="11" t="n">
        <x:v>3</x:v>
      </x:c>
      <x:c r="L2439" s="11" t="n">
        <x:v>1</x:v>
      </x:c>
      <x:c r="M2439" s="9" t="n">
        <x:f>ROUND(H2439*(1-I2439),2)</x:f>
        <x:v>6499000</x:v>
      </x:c>
      <x:c r="N2439" s="4" t="str">
        <x:v>Sales manager</x:v>
      </x:c>
      <x:c r="O2439" s="4" t="str">
        <x:v>BOOK-02438</x:v>
      </x:c>
      <x:c r="P2439" s="9" t="n">
        <x:v>6499000</x:v>
      </x:c>
      <x:c r="Q2439" s="11" t="n">
        <x:v>0</x:v>
      </x:c>
      <x:c r="R2439" s="8" t="n">
        <x:v>45474</x:v>
      </x:c>
      <x:c r="S2439" s="4" t="str">
        <x:v>Retained</x:v>
      </x:c>
      <x:c r="T2439" s="10" t="n">
        <x:v>0.298969</x:v>
      </x:c>
      <x:c r="U2439" s="4" t="str">
        <x:v>Train</x:v>
      </x:c>
    </x:row>
    <x:row r="2440" ht="34" customHeight="1">
      <x:c r="A2440" s="4" t="str">
        <x:v>RS-02439</x:v>
      </x:c>
      <x:c r="B2440" s="8" t="n">
        <x:v>45415</x:v>
      </x:c>
      <x:c r="C2440" s="4" t="str">
        <x:v>PRJ-019</x:v>
      </x:c>
      <x:c r="D2440" s="4" t="str">
        <x:v>Retail</x:v>
      </x:c>
      <x:c r="E2440" s="4" t="str">
        <x:v>Reserved</x:v>
      </x:c>
      <x:c r="F2440" s="4" t="str">
        <x:v>CUS-02439</x:v>
      </x:c>
      <x:c r="G2440" s="4" t="str">
        <x:v>UNIT-02439</x:v>
      </x:c>
      <x:c r="H2440" s="9" t="n">
        <x:v>20900000</x:v>
      </x:c>
      <x:c r="I2440" s="10" t="n">
        <x:v>0.06</x:v>
      </x:c>
      <x:c r="J2440" s="11" t="n">
        <x:v>6</x:v>
      </x:c>
      <x:c r="K2440" s="11" t="n">
        <x:v>4</x:v>
      </x:c>
      <x:c r="L2440" s="11" t="n">
        <x:v>0</x:v>
      </x:c>
      <x:c r="M2440" s="9" t="n">
        <x:f>ROUND(H2440*(1-I2440),2)</x:f>
        <x:v>19646000</x:v>
      </x:c>
      <x:c r="N2440" s="4" t="str">
        <x:v>Sales manager</x:v>
      </x:c>
      <x:c r="O2440" s="4"/>
      <x:c r="P2440" s="9" t="n">
        <x:v>0</x:v>
      </x:c>
      <x:c r="Q2440" s="11" t="n">
        <x:v>0</x:v>
      </x:c>
      <x:c r="R2440" s="8" t="n">
        <x:v>45475</x:v>
      </x:c>
      <x:c r="S2440" s="4" t="str">
        <x:v>Retained</x:v>
      </x:c>
      <x:c r="T2440" s="10" t="n">
        <x:v>0.226277</x:v>
      </x:c>
      <x:c r="U2440" s="4" t="str">
        <x:v>Train</x:v>
      </x:c>
    </x:row>
    <x:row r="2441" ht="34" customHeight="1">
      <x:c r="A2441" s="4" t="str">
        <x:v>RS-02440</x:v>
      </x:c>
      <x:c r="B2441" s="8" t="n">
        <x:v>45416</x:v>
      </x:c>
      <x:c r="C2441" s="4" t="str">
        <x:v>PRJ-020</x:v>
      </x:c>
      <x:c r="D2441" s="4" t="str">
        <x:v>Office</x:v>
      </x:c>
      <x:c r="E2441" s="4" t="str">
        <x:v>Booked</x:v>
      </x:c>
      <x:c r="F2441" s="4" t="str">
        <x:v>CUS-02440</x:v>
      </x:c>
      <x:c r="G2441" s="4" t="str">
        <x:v>UNIT-02440</x:v>
      </x:c>
      <x:c r="H2441" s="9" t="n">
        <x:v>18700000</x:v>
      </x:c>
      <x:c r="I2441" s="10" t="n">
        <x:v>0.07</x:v>
      </x:c>
      <x:c r="J2441" s="11" t="n">
        <x:v>4</x:v>
      </x:c>
      <x:c r="K2441" s="11" t="n">
        <x:v>1</x:v>
      </x:c>
      <x:c r="L2441" s="11" t="n">
        <x:v>1</x:v>
      </x:c>
      <x:c r="M2441" s="9" t="n">
        <x:f>ROUND(H2441*(1-I2441),2)</x:f>
        <x:v>17391000</x:v>
      </x:c>
      <x:c r="N2441" s="4" t="str">
        <x:v>Sales manager</x:v>
      </x:c>
      <x:c r="O2441" s="4" t="str">
        <x:v>BOOK-02440</x:v>
      </x:c>
      <x:c r="P2441" s="9" t="n">
        <x:v>1739100</x:v>
      </x:c>
      <x:c r="Q2441" s="11" t="n">
        <x:v>0</x:v>
      </x:c>
      <x:c r="R2441" s="8" t="n">
        <x:v>45476</x:v>
      </x:c>
      <x:c r="S2441" s="4" t="str">
        <x:v>Retained</x:v>
      </x:c>
      <x:c r="T2441" s="10" t="n">
        <x:v>0.291946</x:v>
      </x:c>
      <x:c r="U2441" s="4" t="str">
        <x:v>Train</x:v>
      </x:c>
    </x:row>
    <x:row r="2442" ht="34" customHeight="1">
      <x:c r="A2442" s="4" t="str">
        <x:v>RS-02441</x:v>
      </x:c>
      <x:c r="B2442" s="8" t="n">
        <x:v>45417</x:v>
      </x:c>
      <x:c r="C2442" s="4" t="str">
        <x:v>PRJ-001</x:v>
      </x:c>
      <x:c r="D2442" s="4" t="str">
        <x:v>Villa</x:v>
      </x:c>
      <x:c r="E2442" s="4" t="str">
        <x:v>Handed over</x:v>
      </x:c>
      <x:c r="F2442" s="4" t="str">
        <x:v>CUS-02441</x:v>
      </x:c>
      <x:c r="G2442" s="4" t="str">
        <x:v>UNIT-02441</x:v>
      </x:c>
      <x:c r="H2442" s="9" t="n">
        <x:v>13400000</x:v>
      </x:c>
      <x:c r="I2442" s="10" t="n">
        <x:v>0.08</x:v>
      </x:c>
      <x:c r="J2442" s="11" t="n">
        <x:v>7</x:v>
      </x:c>
      <x:c r="K2442" s="11" t="n">
        <x:v>2</x:v>
      </x:c>
      <x:c r="L2442" s="11" t="n">
        <x:v>1</x:v>
      </x:c>
      <x:c r="M2442" s="9" t="n">
        <x:f>ROUND(H2442*(1-I2442),2)</x:f>
        <x:v>12328000</x:v>
      </x:c>
      <x:c r="N2442" s="4" t="str">
        <x:v>Sales head</x:v>
      </x:c>
      <x:c r="O2442" s="4" t="str">
        <x:v>BOOK-02441</x:v>
      </x:c>
      <x:c r="P2442" s="9" t="n">
        <x:v>12328000</x:v>
      </x:c>
      <x:c r="Q2442" s="11" t="n">
        <x:v>0</x:v>
      </x:c>
      <x:c r="R2442" s="8" t="n">
        <x:v>45477</x:v>
      </x:c>
      <x:c r="S2442" s="4" t="str">
        <x:v>Retained</x:v>
      </x:c>
      <x:c r="T2442" s="10" t="n">
        <x:v>0.291946</x:v>
      </x:c>
      <x:c r="U2442" s="4" t="str">
        <x:v>Train</x:v>
      </x:c>
    </x:row>
    <x:row r="2443" ht="34" customHeight="1">
      <x:c r="A2443" s="4" t="str">
        <x:v>RS-02442</x:v>
      </x:c>
      <x:c r="B2443" s="8" t="n">
        <x:v>45418</x:v>
      </x:c>
      <x:c r="C2443" s="4" t="str">
        <x:v>PRJ-002</x:v>
      </x:c>
      <x:c r="D2443" s="4" t="str">
        <x:v>Apartment</x:v>
      </x:c>
      <x:c r="E2443" s="4" t="str">
        <x:v>Handed over</x:v>
      </x:c>
      <x:c r="F2443" s="4" t="str">
        <x:v>CUS-02442</x:v>
      </x:c>
      <x:c r="G2443" s="4" t="str">
        <x:v>UNIT-02442</x:v>
      </x:c>
      <x:c r="H2443" s="9" t="n">
        <x:v>22800000</x:v>
      </x:c>
      <x:c r="I2443" s="10" t="n">
        <x:v>0.01</x:v>
      </x:c>
      <x:c r="J2443" s="11" t="n">
        <x:v>9</x:v>
      </x:c>
      <x:c r="K2443" s="11" t="n">
        <x:v>1</x:v>
      </x:c>
      <x:c r="L2443" s="11" t="n">
        <x:v>0</x:v>
      </x:c>
      <x:c r="M2443" s="9" t="n">
        <x:f>ROUND(H2443*(1-I2443),2)</x:f>
        <x:v>22572000</x:v>
      </x:c>
      <x:c r="N2443" s="4" t="str">
        <x:v>Sales manager</x:v>
      </x:c>
      <x:c r="O2443" s="4" t="str">
        <x:v>BOOK-02442</x:v>
      </x:c>
      <x:c r="P2443" s="9" t="n">
        <x:v>22572000</x:v>
      </x:c>
      <x:c r="Q2443" s="11" t="n">
        <x:v>0</x:v>
      </x:c>
      <x:c r="R2443" s="8" t="n">
        <x:v>45478</x:v>
      </x:c>
      <x:c r="S2443" s="4" t="str">
        <x:v>Retained</x:v>
      </x:c>
      <x:c r="T2443" s="10" t="n">
        <x:v>0.305556</x:v>
      </x:c>
      <x:c r="U2443" s="4" t="str">
        <x:v>Train</x:v>
      </x:c>
    </x:row>
    <x:row r="2444" ht="34" customHeight="1">
      <x:c r="A2444" s="4" t="str">
        <x:v>RS-02443</x:v>
      </x:c>
      <x:c r="B2444" s="8" t="n">
        <x:v>45419</x:v>
      </x:c>
      <x:c r="C2444" s="4" t="str">
        <x:v>PRJ-003</x:v>
      </x:c>
      <x:c r="D2444" s="4" t="str">
        <x:v>Villa</x:v>
      </x:c>
      <x:c r="E2444" s="4" t="str">
        <x:v>Cancelled</x:v>
      </x:c>
      <x:c r="F2444" s="4" t="str">
        <x:v>CUS-02443</x:v>
      </x:c>
      <x:c r="G2444" s="4" t="str">
        <x:v>UNIT-02443</x:v>
      </x:c>
      <x:c r="H2444" s="9" t="n">
        <x:v>20100000</x:v>
      </x:c>
      <x:c r="I2444" s="10" t="n">
        <x:v>0.05</x:v>
      </x:c>
      <x:c r="J2444" s="11" t="n">
        <x:v>6</x:v>
      </x:c>
      <x:c r="K2444" s="11" t="n">
        <x:v>5</x:v>
      </x:c>
      <x:c r="L2444" s="11" t="n">
        <x:v>1</x:v>
      </x:c>
      <x:c r="M2444" s="9" t="n">
        <x:f>ROUND(H2444*(1-I2444),2)</x:f>
        <x:v>19095000</x:v>
      </x:c>
      <x:c r="N2444" s="4" t="str">
        <x:v>Sales manager</x:v>
      </x:c>
      <x:c r="O2444" s="4"/>
      <x:c r="P2444" s="9" t="n">
        <x:v>0</x:v>
      </x:c>
      <x:c r="Q2444" s="11" t="n">
        <x:v>1</x:v>
      </x:c>
      <x:c r="R2444" s="8" t="n">
        <x:v>45479</x:v>
      </x:c>
      <x:c r="S2444" s="4" t="str">
        <x:v>Lost / cancelled</x:v>
      </x:c>
      <x:c r="T2444" s="10" t="n">
        <x:v>0.291946</x:v>
      </x:c>
      <x:c r="U2444" s="4" t="str">
        <x:v>Train</x:v>
      </x:c>
    </x:row>
    <x:row r="2445" ht="34" customHeight="1">
      <x:c r="A2445" s="4" t="str">
        <x:v>RS-02444</x:v>
      </x:c>
      <x:c r="B2445" s="8" t="n">
        <x:v>45420</x:v>
      </x:c>
      <x:c r="C2445" s="4" t="str">
        <x:v>PRJ-004</x:v>
      </x:c>
      <x:c r="D2445" s="4" t="str">
        <x:v>Villa</x:v>
      </x:c>
      <x:c r="E2445" s="4" t="str">
        <x:v>Cancelled</x:v>
      </x:c>
      <x:c r="F2445" s="4" t="str">
        <x:v>CUS-02444</x:v>
      </x:c>
      <x:c r="G2445" s="4" t="str">
        <x:v>UNIT-02444</x:v>
      </x:c>
      <x:c r="H2445" s="9" t="n">
        <x:v>8200000</x:v>
      </x:c>
      <x:c r="I2445" s="10" t="n">
        <x:v>0.06</x:v>
      </x:c>
      <x:c r="J2445" s="11" t="n">
        <x:v>12</x:v>
      </x:c>
      <x:c r="K2445" s="11" t="n">
        <x:v>6</x:v>
      </x:c>
      <x:c r="L2445" s="11" t="n">
        <x:v>1</x:v>
      </x:c>
      <x:c r="M2445" s="9" t="n">
        <x:f>ROUND(H2445*(1-I2445),2)</x:f>
        <x:v>7708000</x:v>
      </x:c>
      <x:c r="N2445" s="4" t="str">
        <x:v>Sales manager</x:v>
      </x:c>
      <x:c r="O2445" s="4"/>
      <x:c r="P2445" s="9" t="n">
        <x:v>0</x:v>
      </x:c>
      <x:c r="Q2445" s="11" t="n">
        <x:v>1</x:v>
      </x:c>
      <x:c r="R2445" s="8" t="n">
        <x:v>45480</x:v>
      </x:c>
      <x:c r="S2445" s="4" t="str">
        <x:v>Lost / cancelled</x:v>
      </x:c>
      <x:c r="T2445" s="10" t="n">
        <x:v>0.351536</x:v>
      </x:c>
      <x:c r="U2445" s="4" t="str">
        <x:v>Train</x:v>
      </x:c>
    </x:row>
    <x:row r="2446" ht="34" customHeight="1">
      <x:c r="A2446" s="4" t="str">
        <x:v>RS-02445</x:v>
      </x:c>
      <x:c r="B2446" s="8" t="n">
        <x:v>45421</x:v>
      </x:c>
      <x:c r="C2446" s="4" t="str">
        <x:v>PRJ-005</x:v>
      </x:c>
      <x:c r="D2446" s="4" t="str">
        <x:v>Villa</x:v>
      </x:c>
      <x:c r="E2446" s="4" t="str">
        <x:v>Booked</x:v>
      </x:c>
      <x:c r="F2446" s="4" t="str">
        <x:v>CUS-02445</x:v>
      </x:c>
      <x:c r="G2446" s="4" t="str">
        <x:v>UNIT-02445</x:v>
      </x:c>
      <x:c r="H2446" s="9" t="n">
        <x:v>3500000</x:v>
      </x:c>
      <x:c r="I2446" s="10" t="n">
        <x:v>0.07</x:v>
      </x:c>
      <x:c r="J2446" s="11" t="n">
        <x:v>11</x:v>
      </x:c>
      <x:c r="K2446" s="11" t="n">
        <x:v>3</x:v>
      </x:c>
      <x:c r="L2446" s="11" t="n">
        <x:v>0</x:v>
      </x:c>
      <x:c r="M2446" s="9" t="n">
        <x:f>ROUND(H2446*(1-I2446),2)</x:f>
        <x:v>3255000</x:v>
      </x:c>
      <x:c r="N2446" s="4" t="str">
        <x:v>Sales manager</x:v>
      </x:c>
      <x:c r="O2446" s="4" t="str">
        <x:v>BOOK-02445</x:v>
      </x:c>
      <x:c r="P2446" s="9" t="n">
        <x:v>813750</x:v>
      </x:c>
      <x:c r="Q2446" s="11" t="n">
        <x:v>0</x:v>
      </x:c>
      <x:c r="R2446" s="8" t="n">
        <x:v>45481</x:v>
      </x:c>
      <x:c r="S2446" s="4" t="str">
        <x:v>Retained</x:v>
      </x:c>
      <x:c r="T2446" s="10" t="n">
        <x:v>0.351536</x:v>
      </x:c>
      <x:c r="U2446" s="4" t="str">
        <x:v>Train</x:v>
      </x:c>
    </x:row>
    <x:row r="2447" ht="34" customHeight="1">
      <x:c r="A2447" s="4" t="str">
        <x:v>RS-02446</x:v>
      </x:c>
      <x:c r="B2447" s="8" t="n">
        <x:v>45422</x:v>
      </x:c>
      <x:c r="C2447" s="4" t="str">
        <x:v>PRJ-006</x:v>
      </x:c>
      <x:c r="D2447" s="4" t="str">
        <x:v>Apartment</x:v>
      </x:c>
      <x:c r="E2447" s="4" t="str">
        <x:v>Agreement signed</x:v>
      </x:c>
      <x:c r="F2447" s="4" t="str">
        <x:v>CUS-02446</x:v>
      </x:c>
      <x:c r="G2447" s="4" t="str">
        <x:v>UNIT-02446</x:v>
      </x:c>
      <x:c r="H2447" s="9" t="n">
        <x:v>20800000</x:v>
      </x:c>
      <x:c r="I2447" s="10" t="n">
        <x:v>0.02</x:v>
      </x:c>
      <x:c r="J2447" s="11" t="n">
        <x:v>11</x:v>
      </x:c>
      <x:c r="K2447" s="11" t="n">
        <x:v>0</x:v>
      </x:c>
      <x:c r="L2447" s="11" t="n">
        <x:v>0</x:v>
      </x:c>
      <x:c r="M2447" s="9" t="n">
        <x:f>ROUND(H2447*(1-I2447),2)</x:f>
        <x:v>20384000</x:v>
      </x:c>
      <x:c r="N2447" s="4" t="str">
        <x:v>Sales manager</x:v>
      </x:c>
      <x:c r="O2447" s="4" t="str">
        <x:v>BOOK-02446</x:v>
      </x:c>
      <x:c r="P2447" s="9" t="n">
        <x:v>2038400</x:v>
      </x:c>
      <x:c r="Q2447" s="11" t="n">
        <x:v>0</x:v>
      </x:c>
      <x:c r="R2447" s="8" t="n">
        <x:v>45482</x:v>
      </x:c>
      <x:c r="S2447" s="4" t="str">
        <x:v>Retained</x:v>
      </x:c>
      <x:c r="T2447" s="10" t="n">
        <x:v>0.305556</x:v>
      </x:c>
      <x:c r="U2447" s="4" t="str">
        <x:v>Train</x:v>
      </x:c>
    </x:row>
    <x:row r="2448" ht="34" customHeight="1">
      <x:c r="A2448" s="4" t="str">
        <x:v>RS-02447</x:v>
      </x:c>
      <x:c r="B2448" s="8" t="n">
        <x:v>45423</x:v>
      </x:c>
      <x:c r="C2448" s="4" t="str">
        <x:v>PRJ-007</x:v>
      </x:c>
      <x:c r="D2448" s="4" t="str">
        <x:v>Office</x:v>
      </x:c>
      <x:c r="E2448" s="4" t="str">
        <x:v>Agreement signed</x:v>
      </x:c>
      <x:c r="F2448" s="4" t="str">
        <x:v>CUS-02447</x:v>
      </x:c>
      <x:c r="G2448" s="4" t="str">
        <x:v>UNIT-02447</x:v>
      </x:c>
      <x:c r="H2448" s="9" t="n">
        <x:v>24600000</x:v>
      </x:c>
      <x:c r="I2448" s="10" t="n">
        <x:v>0.12</x:v>
      </x:c>
      <x:c r="J2448" s="11" t="n">
        <x:v>4</x:v>
      </x:c>
      <x:c r="K2448" s="11" t="n">
        <x:v>2</x:v>
      </x:c>
      <x:c r="L2448" s="11" t="n">
        <x:v>0</x:v>
      </x:c>
      <x:c r="M2448" s="9" t="n">
        <x:f>ROUND(H2448*(1-I2448),2)</x:f>
        <x:v>21648000</x:v>
      </x:c>
      <x:c r="N2448" s="4" t="str">
        <x:v>Sales head</x:v>
      </x:c>
      <x:c r="O2448" s="4" t="str">
        <x:v>BOOK-02447</x:v>
      </x:c>
      <x:c r="P2448" s="9" t="n">
        <x:v>10824000</x:v>
      </x:c>
      <x:c r="Q2448" s="11" t="n">
        <x:v>0</x:v>
      </x:c>
      <x:c r="R2448" s="8" t="n">
        <x:v>45483</x:v>
      </x:c>
      <x:c r="S2448" s="4" t="str">
        <x:v>Retained</x:v>
      </x:c>
      <x:c r="T2448" s="10" t="n">
        <x:v>0.226277</x:v>
      </x:c>
      <x:c r="U2448" s="4" t="str">
        <x:v>Train</x:v>
      </x:c>
    </x:row>
    <x:row r="2449" ht="34" customHeight="1">
      <x:c r="A2449" s="4" t="str">
        <x:v>RS-02448</x:v>
      </x:c>
      <x:c r="B2449" s="8" t="n">
        <x:v>45424</x:v>
      </x:c>
      <x:c r="C2449" s="4" t="str">
        <x:v>PRJ-008</x:v>
      </x:c>
      <x:c r="D2449" s="4" t="str">
        <x:v>Office</x:v>
      </x:c>
      <x:c r="E2449" s="4" t="str">
        <x:v>Agreement signed</x:v>
      </x:c>
      <x:c r="F2449" s="4" t="str">
        <x:v>CUS-02448</x:v>
      </x:c>
      <x:c r="G2449" s="4" t="str">
        <x:v>UNIT-02448</x:v>
      </x:c>
      <x:c r="H2449" s="9" t="n">
        <x:v>3400000</x:v>
      </x:c>
      <x:c r="I2449" s="10" t="n">
        <x:v>0.09</x:v>
      </x:c>
      <x:c r="J2449" s="11" t="n">
        <x:v>11</x:v>
      </x:c>
      <x:c r="K2449" s="11" t="n">
        <x:v>4</x:v>
      </x:c>
      <x:c r="L2449" s="11" t="n">
        <x:v>0</x:v>
      </x:c>
      <x:c r="M2449" s="9" t="n">
        <x:f>ROUND(H2449*(1-I2449),2)</x:f>
        <x:v>3094000</x:v>
      </x:c>
      <x:c r="N2449" s="4" t="str">
        <x:v>Sales head</x:v>
      </x:c>
      <x:c r="O2449" s="4" t="str">
        <x:v>BOOK-02448</x:v>
      </x:c>
      <x:c r="P2449" s="9" t="n">
        <x:v>3094000</x:v>
      </x:c>
      <x:c r="Q2449" s="11" t="n">
        <x:v>0</x:v>
      </x:c>
      <x:c r="R2449" s="8" t="n">
        <x:v>45484</x:v>
      </x:c>
      <x:c r="S2449" s="4" t="str">
        <x:v>Retained</x:v>
      </x:c>
      <x:c r="T2449" s="10" t="n">
        <x:v>0.351536</x:v>
      </x:c>
      <x:c r="U2449" s="4" t="str">
        <x:v>Train</x:v>
      </x:c>
    </x:row>
    <x:row r="2450" ht="34" customHeight="1">
      <x:c r="A2450" s="4" t="str">
        <x:v>RS-02449</x:v>
      </x:c>
      <x:c r="B2450" s="8" t="n">
        <x:v>45425</x:v>
      </x:c>
      <x:c r="C2450" s="4" t="str">
        <x:v>PRJ-009</x:v>
      </x:c>
      <x:c r="D2450" s="4" t="str">
        <x:v>Apartment</x:v>
      </x:c>
      <x:c r="E2450" s="4" t="str">
        <x:v>Cancelled</x:v>
      </x:c>
      <x:c r="F2450" s="4" t="str">
        <x:v>CUS-02449</x:v>
      </x:c>
      <x:c r="G2450" s="4" t="str">
        <x:v>UNIT-02449</x:v>
      </x:c>
      <x:c r="H2450" s="9" t="n">
        <x:v>11700000</x:v>
      </x:c>
      <x:c r="I2450" s="10" t="n">
        <x:v>0.02</x:v>
      </x:c>
      <x:c r="J2450" s="11" t="n">
        <x:v>12</x:v>
      </x:c>
      <x:c r="K2450" s="11" t="n">
        <x:v>0</x:v>
      </x:c>
      <x:c r="L2450" s="11" t="n">
        <x:v>1</x:v>
      </x:c>
      <x:c r="M2450" s="9" t="n">
        <x:f>ROUND(H2450*(1-I2450),2)</x:f>
        <x:v>11466000</x:v>
      </x:c>
      <x:c r="N2450" s="4" t="str">
        <x:v>Sales manager</x:v>
      </x:c>
      <x:c r="O2450" s="4"/>
      <x:c r="P2450" s="9" t="n">
        <x:v>0</x:v>
      </x:c>
      <x:c r="Q2450" s="11" t="n">
        <x:v>1</x:v>
      </x:c>
      <x:c r="R2450" s="8" t="n">
        <x:v>45485</x:v>
      </x:c>
      <x:c r="S2450" s="4" t="str">
        <x:v>Lost / cancelled</x:v>
      </x:c>
      <x:c r="T2450" s="10" t="n">
        <x:v>0.254545</x:v>
      </x:c>
      <x:c r="U2450" s="4" t="str">
        <x:v>Train</x:v>
      </x:c>
    </x:row>
    <x:row r="2451" ht="34" customHeight="1">
      <x:c r="A2451" s="4" t="str">
        <x:v>RS-02450</x:v>
      </x:c>
      <x:c r="B2451" s="8" t="n">
        <x:v>45426</x:v>
      </x:c>
      <x:c r="C2451" s="4" t="str">
        <x:v>PRJ-010</x:v>
      </x:c>
      <x:c r="D2451" s="4" t="str">
        <x:v>Retail</x:v>
      </x:c>
      <x:c r="E2451" s="4" t="str">
        <x:v>Agreement signed</x:v>
      </x:c>
      <x:c r="F2451" s="4" t="str">
        <x:v>CUS-02450</x:v>
      </x:c>
      <x:c r="G2451" s="4" t="str">
        <x:v>UNIT-02450</x:v>
      </x:c>
      <x:c r="H2451" s="9" t="n">
        <x:v>8600000</x:v>
      </x:c>
      <x:c r="I2451" s="10" t="n">
        <x:v>0.01</x:v>
      </x:c>
      <x:c r="J2451" s="11" t="n">
        <x:v>12</x:v>
      </x:c>
      <x:c r="K2451" s="11" t="n">
        <x:v>8</x:v>
      </x:c>
      <x:c r="L2451" s="11" t="n">
        <x:v>1</x:v>
      </x:c>
      <x:c r="M2451" s="9" t="n">
        <x:f>ROUND(H2451*(1-I2451),2)</x:f>
        <x:v>8514000</x:v>
      </x:c>
      <x:c r="N2451" s="4" t="str">
        <x:v>Sales manager</x:v>
      </x:c>
      <x:c r="O2451" s="4" t="str">
        <x:v>BOOK-02450</x:v>
      </x:c>
      <x:c r="P2451" s="9" t="n">
        <x:v>4257000</x:v>
      </x:c>
      <x:c r="Q2451" s="11" t="n">
        <x:v>0</x:v>
      </x:c>
      <x:c r="R2451" s="8" t="n">
        <x:v>45486</x:v>
      </x:c>
      <x:c r="S2451" s="4" t="str">
        <x:v>Retained</x:v>
      </x:c>
      <x:c r="T2451" s="10" t="n">
        <x:v>0.254545</x:v>
      </x:c>
      <x:c r="U2451" s="4" t="str">
        <x:v>Train</x:v>
      </x:c>
    </x:row>
    <x:row r="2452" ht="34" customHeight="1">
      <x:c r="A2452" s="4" t="str">
        <x:v>RS-02451</x:v>
      </x:c>
      <x:c r="B2452" s="8" t="n">
        <x:v>45427</x:v>
      </x:c>
      <x:c r="C2452" s="4" t="str">
        <x:v>PRJ-011</x:v>
      </x:c>
      <x:c r="D2452" s="4" t="str">
        <x:v>Retail</x:v>
      </x:c>
      <x:c r="E2452" s="4" t="str">
        <x:v>Handed over</x:v>
      </x:c>
      <x:c r="F2452" s="4" t="str">
        <x:v>CUS-02451</x:v>
      </x:c>
      <x:c r="G2452" s="4" t="str">
        <x:v>UNIT-02451</x:v>
      </x:c>
      <x:c r="H2452" s="9" t="n">
        <x:v>18700000</x:v>
      </x:c>
      <x:c r="I2452" s="10" t="n">
        <x:v>0.01</x:v>
      </x:c>
      <x:c r="J2452" s="11" t="n">
        <x:v>0</x:v>
      </x:c>
      <x:c r="K2452" s="11" t="n">
        <x:v>0</x:v>
      </x:c>
      <x:c r="L2452" s="11" t="n">
        <x:v>1</x:v>
      </x:c>
      <x:c r="M2452" s="9" t="n">
        <x:f>ROUND(H2452*(1-I2452),2)</x:f>
        <x:v>18513000</x:v>
      </x:c>
      <x:c r="N2452" s="4" t="str">
        <x:v>Sales manager</x:v>
      </x:c>
      <x:c r="O2452" s="4" t="str">
        <x:v>BOOK-02451</x:v>
      </x:c>
      <x:c r="P2452" s="9" t="n">
        <x:v>4628250</x:v>
      </x:c>
      <x:c r="Q2452" s="11" t="n">
        <x:v>0</x:v>
      </x:c>
      <x:c r="R2452" s="8" t="n">
        <x:v>45487</x:v>
      </x:c>
      <x:c r="S2452" s="4" t="str">
        <x:v>Retained</x:v>
      </x:c>
      <x:c r="T2452" s="10" t="n">
        <x:v>0.276923</x:v>
      </x:c>
      <x:c r="U2452" s="4" t="str">
        <x:v>Train</x:v>
      </x:c>
    </x:row>
    <x:row r="2453" ht="34" customHeight="1">
      <x:c r="A2453" s="4" t="str">
        <x:v>RS-02452</x:v>
      </x:c>
      <x:c r="B2453" s="8" t="n">
        <x:v>45428</x:v>
      </x:c>
      <x:c r="C2453" s="4" t="str">
        <x:v>PRJ-012</x:v>
      </x:c>
      <x:c r="D2453" s="4" t="str">
        <x:v>Office</x:v>
      </x:c>
      <x:c r="E2453" s="4" t="str">
        <x:v>Agreement signed</x:v>
      </x:c>
      <x:c r="F2453" s="4" t="str">
        <x:v>CUS-02452</x:v>
      </x:c>
      <x:c r="G2453" s="4" t="str">
        <x:v>UNIT-02452</x:v>
      </x:c>
      <x:c r="H2453" s="9" t="n">
        <x:v>14300000</x:v>
      </x:c>
      <x:c r="I2453" s="10" t="n">
        <x:v>0.11</x:v>
      </x:c>
      <x:c r="J2453" s="11" t="n">
        <x:v>2</x:v>
      </x:c>
      <x:c r="K2453" s="11" t="n">
        <x:v>8</x:v>
      </x:c>
      <x:c r="L2453" s="11" t="n">
        <x:v>0</x:v>
      </x:c>
      <x:c r="M2453" s="9" t="n">
        <x:f>ROUND(H2453*(1-I2453),2)</x:f>
        <x:v>12727000</x:v>
      </x:c>
      <x:c r="N2453" s="4" t="str">
        <x:v>Sales head</x:v>
      </x:c>
      <x:c r="O2453" s="4" t="str">
        <x:v>BOOK-02452</x:v>
      </x:c>
      <x:c r="P2453" s="9" t="n">
        <x:v>12727000</x:v>
      </x:c>
      <x:c r="Q2453" s="11" t="n">
        <x:v>0</x:v>
      </x:c>
      <x:c r="R2453" s="8" t="n">
        <x:v>45488</x:v>
      </x:c>
      <x:c r="S2453" s="4" t="str">
        <x:v>Retained</x:v>
      </x:c>
      <x:c r="T2453" s="10" t="n">
        <x:v>0.145833</x:v>
      </x:c>
      <x:c r="U2453" s="4" t="str">
        <x:v>Train</x:v>
      </x:c>
    </x:row>
    <x:row r="2454" ht="34" customHeight="1">
      <x:c r="A2454" s="4" t="str">
        <x:v>RS-02453</x:v>
      </x:c>
      <x:c r="B2454" s="8" t="n">
        <x:v>45429</x:v>
      </x:c>
      <x:c r="C2454" s="4" t="str">
        <x:v>PRJ-013</x:v>
      </x:c>
      <x:c r="D2454" s="4" t="str">
        <x:v>Apartment</x:v>
      </x:c>
      <x:c r="E2454" s="4" t="str">
        <x:v>Cancelled</x:v>
      </x:c>
      <x:c r="F2454" s="4" t="str">
        <x:v>CUS-02453</x:v>
      </x:c>
      <x:c r="G2454" s="4" t="str">
        <x:v>UNIT-02453</x:v>
      </x:c>
      <x:c r="H2454" s="9" t="n">
        <x:v>21300000</x:v>
      </x:c>
      <x:c r="I2454" s="10" t="n">
        <x:v>0.07</x:v>
      </x:c>
      <x:c r="J2454" s="11" t="n">
        <x:v>11</x:v>
      </x:c>
      <x:c r="K2454" s="11" t="n">
        <x:v>2</x:v>
      </x:c>
      <x:c r="L2454" s="11" t="n">
        <x:v>1</x:v>
      </x:c>
      <x:c r="M2454" s="9" t="n">
        <x:f>ROUND(H2454*(1-I2454),2)</x:f>
        <x:v>19809000</x:v>
      </x:c>
      <x:c r="N2454" s="4" t="str">
        <x:v>Sales manager</x:v>
      </x:c>
      <x:c r="O2454" s="4"/>
      <x:c r="P2454" s="9" t="n">
        <x:v>0</x:v>
      </x:c>
      <x:c r="Q2454" s="11" t="n">
        <x:v>1</x:v>
      </x:c>
      <x:c r="R2454" s="8" t="n">
        <x:v>45489</x:v>
      </x:c>
      <x:c r="S2454" s="4" t="str">
        <x:v>Lost / cancelled</x:v>
      </x:c>
      <x:c r="T2454" s="10" t="n">
        <x:v>0.351536</x:v>
      </x:c>
      <x:c r="U2454" s="4" t="str">
        <x:v>Train</x:v>
      </x:c>
    </x:row>
    <x:row r="2455" ht="34" customHeight="1">
      <x:c r="A2455" s="4" t="str">
        <x:v>RS-02454</x:v>
      </x:c>
      <x:c r="B2455" s="8" t="n">
        <x:v>45430</x:v>
      </x:c>
      <x:c r="C2455" s="4" t="str">
        <x:v>PRJ-014</x:v>
      </x:c>
      <x:c r="D2455" s="4" t="str">
        <x:v>Villa</x:v>
      </x:c>
      <x:c r="E2455" s="4" t="str">
        <x:v>Enquiry</x:v>
      </x:c>
      <x:c r="F2455" s="4" t="str">
        <x:v>CUS-02454</x:v>
      </x:c>
      <x:c r="G2455" s="4" t="str">
        <x:v>UNIT-02454</x:v>
      </x:c>
      <x:c r="H2455" s="9" t="n">
        <x:v>22400000</x:v>
      </x:c>
      <x:c r="I2455" s="10" t="n">
        <x:v>0.08</x:v>
      </x:c>
      <x:c r="J2455" s="11" t="n">
        <x:v>9</x:v>
      </x:c>
      <x:c r="K2455" s="11" t="n">
        <x:v>1</x:v>
      </x:c>
      <x:c r="L2455" s="11" t="n">
        <x:v>1</x:v>
      </x:c>
      <x:c r="M2455" s="9" t="n">
        <x:f>ROUND(H2455*(1-I2455),2)</x:f>
        <x:v>20608000</x:v>
      </x:c>
      <x:c r="N2455" s="4" t="str">
        <x:v>Sales head</x:v>
      </x:c>
      <x:c r="O2455" s="4"/>
      <x:c r="P2455" s="9" t="n">
        <x:v>0</x:v>
      </x:c>
      <x:c r="Q2455" s="11" t="n">
        <x:v>1</x:v>
      </x:c>
      <x:c r="R2455" s="8" t="n">
        <x:v>45490</x:v>
      </x:c>
      <x:c r="S2455" s="4" t="str">
        <x:v>Lost / cancelled</x:v>
      </x:c>
      <x:c r="T2455" s="10" t="n">
        <x:v>0.310195</x:v>
      </x:c>
      <x:c r="U2455" s="4" t="str">
        <x:v>Train</x:v>
      </x:c>
    </x:row>
    <x:row r="2456" ht="34" customHeight="1">
      <x:c r="A2456" s="4" t="str">
        <x:v>RS-02455</x:v>
      </x:c>
      <x:c r="B2456" s="8" t="n">
        <x:v>45431</x:v>
      </x:c>
      <x:c r="C2456" s="4" t="str">
        <x:v>PRJ-015</x:v>
      </x:c>
      <x:c r="D2456" s="4" t="str">
        <x:v>Villa</x:v>
      </x:c>
      <x:c r="E2456" s="4" t="str">
        <x:v>Enquiry</x:v>
      </x:c>
      <x:c r="F2456" s="4" t="str">
        <x:v>CUS-02455</x:v>
      </x:c>
      <x:c r="G2456" s="4" t="str">
        <x:v>UNIT-02455</x:v>
      </x:c>
      <x:c r="H2456" s="9" t="n">
        <x:v>4100000</x:v>
      </x:c>
      <x:c r="I2456" s="10" t="n">
        <x:v>0.06</x:v>
      </x:c>
      <x:c r="J2456" s="11" t="n">
        <x:v>11</x:v>
      </x:c>
      <x:c r="K2456" s="11" t="n">
        <x:v>10</x:v>
      </x:c>
      <x:c r="L2456" s="11" t="n">
        <x:v>0</x:v>
      </x:c>
      <x:c r="M2456" s="9" t="n">
        <x:f>ROUND(H2456*(1-I2456),2)</x:f>
        <x:v>3854000</x:v>
      </x:c>
      <x:c r="N2456" s="4" t="str">
        <x:v>Sales manager</x:v>
      </x:c>
      <x:c r="O2456" s="4"/>
      <x:c r="P2456" s="9" t="n">
        <x:v>0</x:v>
      </x:c>
      <x:c r="Q2456" s="11" t="n">
        <x:v>0</x:v>
      </x:c>
      <x:c r="R2456" s="8" t="n">
        <x:v>45491</x:v>
      </x:c>
      <x:c r="S2456" s="4" t="str">
        <x:v>Retained</x:v>
      </x:c>
      <x:c r="T2456" s="10" t="n">
        <x:v>0.351536</x:v>
      </x:c>
      <x:c r="U2456" s="4" t="str">
        <x:v>Train</x:v>
      </x:c>
    </x:row>
    <x:row r="2457" ht="34" customHeight="1">
      <x:c r="A2457" s="4" t="str">
        <x:v>RS-02456</x:v>
      </x:c>
      <x:c r="B2457" s="8" t="n">
        <x:v>45432</x:v>
      </x:c>
      <x:c r="C2457" s="4" t="str">
        <x:v>PRJ-016</x:v>
      </x:c>
      <x:c r="D2457" s="4" t="str">
        <x:v>Office</x:v>
      </x:c>
      <x:c r="E2457" s="4" t="str">
        <x:v>Handed over</x:v>
      </x:c>
      <x:c r="F2457" s="4" t="str">
        <x:v>CUS-02456</x:v>
      </x:c>
      <x:c r="G2457" s="4" t="str">
        <x:v>UNIT-02456</x:v>
      </x:c>
      <x:c r="H2457" s="9" t="n">
        <x:v>5500000</x:v>
      </x:c>
      <x:c r="I2457" s="10" t="n">
        <x:v>0.06</x:v>
      </x:c>
      <x:c r="J2457" s="11" t="n">
        <x:v>10</x:v>
      </x:c>
      <x:c r="K2457" s="11" t="n">
        <x:v>10</x:v>
      </x:c>
      <x:c r="L2457" s="11" t="n">
        <x:v>1</x:v>
      </x:c>
      <x:c r="M2457" s="9" t="n">
        <x:f>ROUND(H2457*(1-I2457),2)</x:f>
        <x:v>5170000</x:v>
      </x:c>
      <x:c r="N2457" s="4" t="str">
        <x:v>Sales manager</x:v>
      </x:c>
      <x:c r="O2457" s="4" t="str">
        <x:v>BOOK-02456</x:v>
      </x:c>
      <x:c r="P2457" s="9" t="n">
        <x:v>1292500</x:v>
      </x:c>
      <x:c r="Q2457" s="11" t="n">
        <x:v>0</x:v>
      </x:c>
      <x:c r="R2457" s="8" t="n">
        <x:v>45492</x:v>
      </x:c>
      <x:c r="S2457" s="4" t="str">
        <x:v>Retained</x:v>
      </x:c>
      <x:c r="T2457" s="10" t="n">
        <x:v>0.310195</x:v>
      </x:c>
      <x:c r="U2457" s="4" t="str">
        <x:v>Train</x:v>
      </x:c>
    </x:row>
    <x:row r="2458" ht="34" customHeight="1">
      <x:c r="A2458" s="4" t="str">
        <x:v>RS-02457</x:v>
      </x:c>
      <x:c r="B2458" s="8" t="n">
        <x:v>45433</x:v>
      </x:c>
      <x:c r="C2458" s="4" t="str">
        <x:v>PRJ-017</x:v>
      </x:c>
      <x:c r="D2458" s="4" t="str">
        <x:v>Retail</x:v>
      </x:c>
      <x:c r="E2458" s="4" t="str">
        <x:v>Agreement signed</x:v>
      </x:c>
      <x:c r="F2458" s="4" t="str">
        <x:v>CUS-02457</x:v>
      </x:c>
      <x:c r="G2458" s="4" t="str">
        <x:v>UNIT-02457</x:v>
      </x:c>
      <x:c r="H2458" s="9" t="n">
        <x:v>4600000</x:v>
      </x:c>
      <x:c r="I2458" s="10" t="n">
        <x:v>0.11</x:v>
      </x:c>
      <x:c r="J2458" s="11" t="n">
        <x:v>3</x:v>
      </x:c>
      <x:c r="K2458" s="11" t="n">
        <x:v>3</x:v>
      </x:c>
      <x:c r="L2458" s="11" t="n">
        <x:v>1</x:v>
      </x:c>
      <x:c r="M2458" s="9" t="n">
        <x:f>ROUND(H2458*(1-I2458),2)</x:f>
        <x:v>4094000</x:v>
      </x:c>
      <x:c r="N2458" s="4" t="str">
        <x:v>Sales head</x:v>
      </x:c>
      <x:c r="O2458" s="4" t="str">
        <x:v>BOOK-02457</x:v>
      </x:c>
      <x:c r="P2458" s="9" t="n">
        <x:v>2047000</x:v>
      </x:c>
      <x:c r="Q2458" s="11" t="n">
        <x:v>0</x:v>
      </x:c>
      <x:c r="R2458" s="8" t="n">
        <x:v>45493</x:v>
      </x:c>
      <x:c r="S2458" s="4" t="str">
        <x:v>Retained</x:v>
      </x:c>
      <x:c r="T2458" s="10" t="n">
        <x:v>0.145833</x:v>
      </x:c>
      <x:c r="U2458" s="4" t="str">
        <x:v>Train</x:v>
      </x:c>
    </x:row>
    <x:row r="2459" ht="34" customHeight="1">
      <x:c r="A2459" s="4" t="str">
        <x:v>RS-02458</x:v>
      </x:c>
      <x:c r="B2459" s="8" t="n">
        <x:v>45434</x:v>
      </x:c>
      <x:c r="C2459" s="4" t="str">
        <x:v>PRJ-018</x:v>
      </x:c>
      <x:c r="D2459" s="4" t="str">
        <x:v>Apartment</x:v>
      </x:c>
      <x:c r="E2459" s="4" t="str">
        <x:v>Cancelled</x:v>
      </x:c>
      <x:c r="F2459" s="4" t="str">
        <x:v>CUS-02458</x:v>
      </x:c>
      <x:c r="G2459" s="4" t="str">
        <x:v>UNIT-02458</x:v>
      </x:c>
      <x:c r="H2459" s="9" t="n">
        <x:v>9000000</x:v>
      </x:c>
      <x:c r="I2459" s="10" t="n">
        <x:v>0.07</x:v>
      </x:c>
      <x:c r="J2459" s="11" t="n">
        <x:v>3</x:v>
      </x:c>
      <x:c r="K2459" s="11" t="n">
        <x:v>3</x:v>
      </x:c>
      <x:c r="L2459" s="11" t="n">
        <x:v>1</x:v>
      </x:c>
      <x:c r="M2459" s="9" t="n">
        <x:f>ROUND(H2459*(1-I2459),2)</x:f>
        <x:v>8370000</x:v>
      </x:c>
      <x:c r="N2459" s="4" t="str">
        <x:v>Sales manager</x:v>
      </x:c>
      <x:c r="O2459" s="4"/>
      <x:c r="P2459" s="9" t="n">
        <x:v>0</x:v>
      </x:c>
      <x:c r="Q2459" s="11" t="n">
        <x:v>1</x:v>
      </x:c>
      <x:c r="R2459" s="8" t="n">
        <x:v>45494</x:v>
      </x:c>
      <x:c r="S2459" s="4" t="str">
        <x:v>Lost / cancelled</x:v>
      </x:c>
      <x:c r="T2459" s="10" t="n">
        <x:v>0.204152</x:v>
      </x:c>
      <x:c r="U2459" s="4" t="str">
        <x:v>Train</x:v>
      </x:c>
    </x:row>
    <x:row r="2460" ht="34" customHeight="1">
      <x:c r="A2460" s="4" t="str">
        <x:v>RS-02459</x:v>
      </x:c>
      <x:c r="B2460" s="8" t="n">
        <x:v>45435</x:v>
      </x:c>
      <x:c r="C2460" s="4" t="str">
        <x:v>PRJ-019</x:v>
      </x:c>
      <x:c r="D2460" s="4" t="str">
        <x:v>Retail</x:v>
      </x:c>
      <x:c r="E2460" s="4" t="str">
        <x:v>Cancelled</x:v>
      </x:c>
      <x:c r="F2460" s="4" t="str">
        <x:v>CUS-02459</x:v>
      </x:c>
      <x:c r="G2460" s="4" t="str">
        <x:v>UNIT-02459</x:v>
      </x:c>
      <x:c r="H2460" s="9" t="n">
        <x:v>7900000</x:v>
      </x:c>
      <x:c r="I2460" s="10" t="n">
        <x:v>0.12</x:v>
      </x:c>
      <x:c r="J2460" s="11" t="n">
        <x:v>6</x:v>
      </x:c>
      <x:c r="K2460" s="11" t="n">
        <x:v>3</x:v>
      </x:c>
      <x:c r="L2460" s="11" t="n">
        <x:v>0</x:v>
      </x:c>
      <x:c r="M2460" s="9" t="n">
        <x:f>ROUND(H2460*(1-I2460),2)</x:f>
        <x:v>6952000</x:v>
      </x:c>
      <x:c r="N2460" s="4" t="str">
        <x:v>Sales head</x:v>
      </x:c>
      <x:c r="O2460" s="4"/>
      <x:c r="P2460" s="9" t="n">
        <x:v>0</x:v>
      </x:c>
      <x:c r="Q2460" s="11" t="n">
        <x:v>1</x:v>
      </x:c>
      <x:c r="R2460" s="8" t="n">
        <x:v>45495</x:v>
      </x:c>
      <x:c r="S2460" s="4" t="str">
        <x:v>Lost / cancelled</x:v>
      </x:c>
      <x:c r="T2460" s="10" t="n">
        <x:v>0.226277</x:v>
      </x:c>
      <x:c r="U2460" s="4" t="str">
        <x:v>Train</x:v>
      </x:c>
    </x:row>
    <x:row r="2461" ht="34" customHeight="1">
      <x:c r="A2461" s="4" t="str">
        <x:v>RS-02460</x:v>
      </x:c>
      <x:c r="B2461" s="8" t="n">
        <x:v>45436</x:v>
      </x:c>
      <x:c r="C2461" s="4" t="str">
        <x:v>PRJ-020</x:v>
      </x:c>
      <x:c r="D2461" s="4" t="str">
        <x:v>Retail</x:v>
      </x:c>
      <x:c r="E2461" s="4" t="str">
        <x:v>Enquiry</x:v>
      </x:c>
      <x:c r="F2461" s="4" t="str">
        <x:v>CUS-02460</x:v>
      </x:c>
      <x:c r="G2461" s="4" t="str">
        <x:v>UNIT-02460</x:v>
      </x:c>
      <x:c r="H2461" s="9" t="n">
        <x:v>16900000</x:v>
      </x:c>
      <x:c r="I2461" s="10" t="n">
        <x:v>0.03</x:v>
      </x:c>
      <x:c r="J2461" s="11" t="n">
        <x:v>9</x:v>
      </x:c>
      <x:c r="K2461" s="11" t="n">
        <x:v>5</x:v>
      </x:c>
      <x:c r="L2461" s="11" t="n">
        <x:v>1</x:v>
      </x:c>
      <x:c r="M2461" s="9" t="n">
        <x:f>ROUND(H2461*(1-I2461),2)</x:f>
        <x:v>16393000</x:v>
      </x:c>
      <x:c r="N2461" s="4" t="str">
        <x:v>Sales manager</x:v>
      </x:c>
      <x:c r="O2461" s="4"/>
      <x:c r="P2461" s="9" t="n">
        <x:v>0</x:v>
      </x:c>
      <x:c r="Q2461" s="11" t="n">
        <x:v>1</x:v>
      </x:c>
      <x:c r="R2461" s="8" t="n">
        <x:v>45496</x:v>
      </x:c>
      <x:c r="S2461" s="4" t="str">
        <x:v>Lost / cancelled</x:v>
      </x:c>
      <x:c r="T2461" s="10" t="n">
        <x:v>0.310195</x:v>
      </x:c>
      <x:c r="U2461" s="4" t="str">
        <x:v>Train</x:v>
      </x:c>
    </x:row>
    <x:row r="2462" ht="34" customHeight="1">
      <x:c r="A2462" s="4" t="str">
        <x:v>RS-02461</x:v>
      </x:c>
      <x:c r="B2462" s="8" t="n">
        <x:v>45437</x:v>
      </x:c>
      <x:c r="C2462" s="4" t="str">
        <x:v>PRJ-001</x:v>
      </x:c>
      <x:c r="D2462" s="4" t="str">
        <x:v>Office</x:v>
      </x:c>
      <x:c r="E2462" s="4" t="str">
        <x:v>Reserved</x:v>
      </x:c>
      <x:c r="F2462" s="4" t="str">
        <x:v>CUS-02461</x:v>
      </x:c>
      <x:c r="G2462" s="4" t="str">
        <x:v>UNIT-02461</x:v>
      </x:c>
      <x:c r="H2462" s="9" t="n">
        <x:v>18300000</x:v>
      </x:c>
      <x:c r="I2462" s="10" t="n">
        <x:v>0.03</x:v>
      </x:c>
      <x:c r="J2462" s="11" t="n">
        <x:v>8</x:v>
      </x:c>
      <x:c r="K2462" s="11" t="n">
        <x:v>6</x:v>
      </x:c>
      <x:c r="L2462" s="11" t="n">
        <x:v>0</x:v>
      </x:c>
      <x:c r="M2462" s="9" t="n">
        <x:f>ROUND(H2462*(1-I2462),2)</x:f>
        <x:v>17751000</x:v>
      </x:c>
      <x:c r="N2462" s="4" t="str">
        <x:v>Sales manager</x:v>
      </x:c>
      <x:c r="O2462" s="4"/>
      <x:c r="P2462" s="9" t="n">
        <x:v>0</x:v>
      </x:c>
      <x:c r="Q2462" s="11" t="n">
        <x:v>0</x:v>
      </x:c>
      <x:c r="R2462" s="8" t="n">
        <x:v>45497</x:v>
      </x:c>
      <x:c r="S2462" s="4" t="str">
        <x:v>Retained</x:v>
      </x:c>
      <x:c r="T2462" s="10" t="n">
        <x:v>0.310195</x:v>
      </x:c>
      <x:c r="U2462" s="4" t="str">
        <x:v>Train</x:v>
      </x:c>
    </x:row>
    <x:row r="2463" ht="34" customHeight="1">
      <x:c r="A2463" s="4" t="str">
        <x:v>RS-02462</x:v>
      </x:c>
      <x:c r="B2463" s="8" t="n">
        <x:v>45438</x:v>
      </x:c>
      <x:c r="C2463" s="4" t="str">
        <x:v>PRJ-002</x:v>
      </x:c>
      <x:c r="D2463" s="4" t="str">
        <x:v>Office</x:v>
      </x:c>
      <x:c r="E2463" s="4" t="str">
        <x:v>Cancelled</x:v>
      </x:c>
      <x:c r="F2463" s="4" t="str">
        <x:v>CUS-02462</x:v>
      </x:c>
      <x:c r="G2463" s="4" t="str">
        <x:v>UNIT-02462</x:v>
      </x:c>
      <x:c r="H2463" s="9" t="n">
        <x:v>11500000</x:v>
      </x:c>
      <x:c r="I2463" s="10" t="n">
        <x:v>0.04</x:v>
      </x:c>
      <x:c r="J2463" s="11" t="n">
        <x:v>3</x:v>
      </x:c>
      <x:c r="K2463" s="11" t="n">
        <x:v>2</x:v>
      </x:c>
      <x:c r="L2463" s="11" t="n">
        <x:v>1</x:v>
      </x:c>
      <x:c r="M2463" s="9" t="n">
        <x:f>ROUND(H2463*(1-I2463),2)</x:f>
        <x:v>11040000</x:v>
      </x:c>
      <x:c r="N2463" s="4" t="str">
        <x:v>Sales manager</x:v>
      </x:c>
      <x:c r="O2463" s="4"/>
      <x:c r="P2463" s="9" t="n">
        <x:v>0</x:v>
      </x:c>
      <x:c r="Q2463" s="11" t="n">
        <x:v>1</x:v>
      </x:c>
      <x:c r="R2463" s="8" t="n">
        <x:v>45498</x:v>
      </x:c>
      <x:c r="S2463" s="4" t="str">
        <x:v>Lost / cancelled</x:v>
      </x:c>
      <x:c r="T2463" s="10" t="n">
        <x:v>0.204152</x:v>
      </x:c>
      <x:c r="U2463" s="4" t="str">
        <x:v>Train</x:v>
      </x:c>
    </x:row>
    <x:row r="2464" ht="34" customHeight="1">
      <x:c r="A2464" s="4" t="str">
        <x:v>RS-02463</x:v>
      </x:c>
      <x:c r="B2464" s="8" t="n">
        <x:v>45439</x:v>
      </x:c>
      <x:c r="C2464" s="4" t="str">
        <x:v>PRJ-003</x:v>
      </x:c>
      <x:c r="D2464" s="4" t="str">
        <x:v>Office</x:v>
      </x:c>
      <x:c r="E2464" s="4" t="str">
        <x:v>Booked</x:v>
      </x:c>
      <x:c r="F2464" s="4" t="str">
        <x:v>CUS-02463</x:v>
      </x:c>
      <x:c r="G2464" s="4" t="str">
        <x:v>UNIT-02463</x:v>
      </x:c>
      <x:c r="H2464" s="9" t="n">
        <x:v>22500000</x:v>
      </x:c>
      <x:c r="I2464" s="10" t="n">
        <x:v>0.12</x:v>
      </x:c>
      <x:c r="J2464" s="11" t="n">
        <x:v>12</x:v>
      </x:c>
      <x:c r="K2464" s="11" t="n">
        <x:v>0</x:v>
      </x:c>
      <x:c r="L2464" s="11" t="n">
        <x:v>1</x:v>
      </x:c>
      <x:c r="M2464" s="9" t="n">
        <x:f>ROUND(H2464*(1-I2464),2)</x:f>
        <x:v>19800000</x:v>
      </x:c>
      <x:c r="N2464" s="4" t="str">
        <x:v>Sales head</x:v>
      </x:c>
      <x:c r="O2464" s="4" t="str">
        <x:v>BOOK-02463</x:v>
      </x:c>
      <x:c r="P2464" s="9" t="n">
        <x:v>19800000</x:v>
      </x:c>
      <x:c r="Q2464" s="11" t="n">
        <x:v>0</x:v>
      </x:c>
      <x:c r="R2464" s="8" t="n">
        <x:v>45499</x:v>
      </x:c>
      <x:c r="S2464" s="4" t="str">
        <x:v>Retained</x:v>
      </x:c>
      <x:c r="T2464" s="10" t="n">
        <x:v>0.351536</x:v>
      </x:c>
      <x:c r="U2464" s="4" t="str">
        <x:v>Train</x:v>
      </x:c>
    </x:row>
    <x:row r="2465" ht="34" customHeight="1">
      <x:c r="A2465" s="4" t="str">
        <x:v>RS-02464</x:v>
      </x:c>
      <x:c r="B2465" s="8" t="n">
        <x:v>45440</x:v>
      </x:c>
      <x:c r="C2465" s="4" t="str">
        <x:v>PRJ-004</x:v>
      </x:c>
      <x:c r="D2465" s="4" t="str">
        <x:v>Villa</x:v>
      </x:c>
      <x:c r="E2465" s="4" t="str">
        <x:v>Booked</x:v>
      </x:c>
      <x:c r="F2465" s="4" t="str">
        <x:v>CUS-02464</x:v>
      </x:c>
      <x:c r="G2465" s="4" t="str">
        <x:v>UNIT-02464</x:v>
      </x:c>
      <x:c r="H2465" s="9" t="n">
        <x:v>23400000</x:v>
      </x:c>
      <x:c r="I2465" s="10" t="n">
        <x:v>0.09</x:v>
      </x:c>
      <x:c r="J2465" s="11" t="n">
        <x:v>12</x:v>
      </x:c>
      <x:c r="K2465" s="11" t="n">
        <x:v>4</x:v>
      </x:c>
      <x:c r="L2465" s="11" t="n">
        <x:v>1</x:v>
      </x:c>
      <x:c r="M2465" s="9" t="n">
        <x:f>ROUND(H2465*(1-I2465),2)</x:f>
        <x:v>21294000</x:v>
      </x:c>
      <x:c r="N2465" s="4" t="str">
        <x:v>Sales head</x:v>
      </x:c>
      <x:c r="O2465" s="4" t="str">
        <x:v>BOOK-02464</x:v>
      </x:c>
      <x:c r="P2465" s="9" t="n">
        <x:v>2129400</x:v>
      </x:c>
      <x:c r="Q2465" s="11" t="n">
        <x:v>0</x:v>
      </x:c>
      <x:c r="R2465" s="8" t="n">
        <x:v>45500</x:v>
      </x:c>
      <x:c r="S2465" s="4" t="str">
        <x:v>Retained</x:v>
      </x:c>
      <x:c r="T2465" s="10" t="n">
        <x:v>0.351536</x:v>
      </x:c>
      <x:c r="U2465" s="4" t="str">
        <x:v>Train</x:v>
      </x:c>
    </x:row>
    <x:row r="2466" ht="34" customHeight="1">
      <x:c r="A2466" s="4" t="str">
        <x:v>RS-02465</x:v>
      </x:c>
      <x:c r="B2466" s="8" t="n">
        <x:v>45413</x:v>
      </x:c>
      <x:c r="C2466" s="4" t="str">
        <x:v>PRJ-005</x:v>
      </x:c>
      <x:c r="D2466" s="4" t="str">
        <x:v>Villa</x:v>
      </x:c>
      <x:c r="E2466" s="4" t="str">
        <x:v>Reserved</x:v>
      </x:c>
      <x:c r="F2466" s="4" t="str">
        <x:v>CUS-02465</x:v>
      </x:c>
      <x:c r="G2466" s="4" t="str">
        <x:v>UNIT-02465</x:v>
      </x:c>
      <x:c r="H2466" s="9" t="n">
        <x:v>14600000</x:v>
      </x:c>
      <x:c r="I2466" s="10" t="n">
        <x:v>0.08</x:v>
      </x:c>
      <x:c r="J2466" s="11" t="n">
        <x:v>5</x:v>
      </x:c>
      <x:c r="K2466" s="11" t="n">
        <x:v>7</x:v>
      </x:c>
      <x:c r="L2466" s="11" t="n">
        <x:v>1</x:v>
      </x:c>
      <x:c r="M2466" s="9" t="n">
        <x:f>ROUND(H2466*(1-I2466),2)</x:f>
        <x:v>13432000</x:v>
      </x:c>
      <x:c r="N2466" s="4" t="str">
        <x:v>Sales head</x:v>
      </x:c>
      <x:c r="O2466" s="4"/>
      <x:c r="P2466" s="9" t="n">
        <x:v>0</x:v>
      </x:c>
      <x:c r="Q2466" s="11" t="n">
        <x:v>0</x:v>
      </x:c>
      <x:c r="R2466" s="8" t="n">
        <x:v>45473</x:v>
      </x:c>
      <x:c r="S2466" s="4" t="str">
        <x:v>Retained</x:v>
      </x:c>
      <x:c r="T2466" s="10" t="n">
        <x:v>0.291946</x:v>
      </x:c>
      <x:c r="U2466" s="4" t="str">
        <x:v>Train</x:v>
      </x:c>
    </x:row>
    <x:row r="2467" ht="34" customHeight="1">
      <x:c r="A2467" s="4" t="str">
        <x:v>RS-02466</x:v>
      </x:c>
      <x:c r="B2467" s="8" t="n">
        <x:v>45414</x:v>
      </x:c>
      <x:c r="C2467" s="4" t="str">
        <x:v>PRJ-006</x:v>
      </x:c>
      <x:c r="D2467" s="4" t="str">
        <x:v>Villa</x:v>
      </x:c>
      <x:c r="E2467" s="4" t="str">
        <x:v>Booked</x:v>
      </x:c>
      <x:c r="F2467" s="4" t="str">
        <x:v>CUS-02466</x:v>
      </x:c>
      <x:c r="G2467" s="4" t="str">
        <x:v>UNIT-02466</x:v>
      </x:c>
      <x:c r="H2467" s="9" t="n">
        <x:v>18300000</x:v>
      </x:c>
      <x:c r="I2467" s="10" t="n">
        <x:v>0.01</x:v>
      </x:c>
      <x:c r="J2467" s="11" t="n">
        <x:v>9</x:v>
      </x:c>
      <x:c r="K2467" s="11" t="n">
        <x:v>7</x:v>
      </x:c>
      <x:c r="L2467" s="11" t="n">
        <x:v>1</x:v>
      </x:c>
      <x:c r="M2467" s="9" t="n">
        <x:f>ROUND(H2467*(1-I2467),2)</x:f>
        <x:v>18117000</x:v>
      </x:c>
      <x:c r="N2467" s="4" t="str">
        <x:v>Sales manager</x:v>
      </x:c>
      <x:c r="O2467" s="4" t="str">
        <x:v>BOOK-02466</x:v>
      </x:c>
      <x:c r="P2467" s="9" t="n">
        <x:v>18117000</x:v>
      </x:c>
      <x:c r="Q2467" s="11" t="n">
        <x:v>0</x:v>
      </x:c>
      <x:c r="R2467" s="8" t="n">
        <x:v>45474</x:v>
      </x:c>
      <x:c r="S2467" s="4" t="str">
        <x:v>Retained</x:v>
      </x:c>
      <x:c r="T2467" s="10" t="n">
        <x:v>0.254545</x:v>
      </x:c>
      <x:c r="U2467" s="4" t="str">
        <x:v>Train</x:v>
      </x:c>
    </x:row>
    <x:row r="2468" ht="34" customHeight="1">
      <x:c r="A2468" s="4" t="str">
        <x:v>RS-02467</x:v>
      </x:c>
      <x:c r="B2468" s="8" t="n">
        <x:v>45415</x:v>
      </x:c>
      <x:c r="C2468" s="4" t="str">
        <x:v>PRJ-007</x:v>
      </x:c>
      <x:c r="D2468" s="4" t="str">
        <x:v>Retail</x:v>
      </x:c>
      <x:c r="E2468" s="4" t="str">
        <x:v>Cancelled</x:v>
      </x:c>
      <x:c r="F2468" s="4" t="str">
        <x:v>CUS-02467</x:v>
      </x:c>
      <x:c r="G2468" s="4" t="str">
        <x:v>UNIT-02467</x:v>
      </x:c>
      <x:c r="H2468" s="9" t="n">
        <x:v>13700000</x:v>
      </x:c>
      <x:c r="I2468" s="10" t="n">
        <x:v>0.05</x:v>
      </x:c>
      <x:c r="J2468" s="11" t="n">
        <x:v>1</x:v>
      </x:c>
      <x:c r="K2468" s="11" t="n">
        <x:v>10</x:v>
      </x:c>
      <x:c r="L2468" s="11" t="n">
        <x:v>1</x:v>
      </x:c>
      <x:c r="M2468" s="9" t="n">
        <x:f>ROUND(H2468*(1-I2468),2)</x:f>
        <x:v>13015000</x:v>
      </x:c>
      <x:c r="N2468" s="4" t="str">
        <x:v>Sales manager</x:v>
      </x:c>
      <x:c r="O2468" s="4"/>
      <x:c r="P2468" s="9" t="n">
        <x:v>0</x:v>
      </x:c>
      <x:c r="Q2468" s="11" t="n">
        <x:v>1</x:v>
      </x:c>
      <x:c r="R2468" s="8" t="n">
        <x:v>45475</x:v>
      </x:c>
      <x:c r="S2468" s="4" t="str">
        <x:v>Lost / cancelled</x:v>
      </x:c>
      <x:c r="T2468" s="10" t="n">
        <x:v>0.204152</x:v>
      </x:c>
      <x:c r="U2468" s="4" t="str">
        <x:v>Train</x:v>
      </x:c>
    </x:row>
    <x:row r="2469" ht="34" customHeight="1">
      <x:c r="A2469" s="4" t="str">
        <x:v>RS-02468</x:v>
      </x:c>
      <x:c r="B2469" s="8" t="n">
        <x:v>45416</x:v>
      </x:c>
      <x:c r="C2469" s="4" t="str">
        <x:v>PRJ-008</x:v>
      </x:c>
      <x:c r="D2469" s="4" t="str">
        <x:v>Retail</x:v>
      </x:c>
      <x:c r="E2469" s="4" t="str">
        <x:v>Booked</x:v>
      </x:c>
      <x:c r="F2469" s="4" t="str">
        <x:v>CUS-02468</x:v>
      </x:c>
      <x:c r="G2469" s="4" t="str">
        <x:v>UNIT-02468</x:v>
      </x:c>
      <x:c r="H2469" s="9" t="n">
        <x:v>8700000</x:v>
      </x:c>
      <x:c r="I2469" s="10" t="n">
        <x:v>0.07</x:v>
      </x:c>
      <x:c r="J2469" s="11" t="n">
        <x:v>8</x:v>
      </x:c>
      <x:c r="K2469" s="11" t="n">
        <x:v>10</x:v>
      </x:c>
      <x:c r="L2469" s="11" t="n">
        <x:v>1</x:v>
      </x:c>
      <x:c r="M2469" s="9" t="n">
        <x:f>ROUND(H2469*(1-I2469),2)</x:f>
        <x:v>8091000</x:v>
      </x:c>
      <x:c r="N2469" s="4" t="str">
        <x:v>Sales manager</x:v>
      </x:c>
      <x:c r="O2469" s="4" t="str">
        <x:v>BOOK-02468</x:v>
      </x:c>
      <x:c r="P2469" s="9" t="n">
        <x:v>2022750</x:v>
      </x:c>
      <x:c r="Q2469" s="11" t="n">
        <x:v>0</x:v>
      </x:c>
      <x:c r="R2469" s="8" t="n">
        <x:v>45476</x:v>
      </x:c>
      <x:c r="S2469" s="4" t="str">
        <x:v>Retained</x:v>
      </x:c>
      <x:c r="T2469" s="10" t="n">
        <x:v>0.310195</x:v>
      </x:c>
      <x:c r="U2469" s="4" t="str">
        <x:v>Train</x:v>
      </x:c>
    </x:row>
    <x:row r="2470" ht="34" customHeight="1">
      <x:c r="A2470" s="4" t="str">
        <x:v>RS-02469</x:v>
      </x:c>
      <x:c r="B2470" s="8" t="n">
        <x:v>45417</x:v>
      </x:c>
      <x:c r="C2470" s="4" t="str">
        <x:v>PRJ-009</x:v>
      </x:c>
      <x:c r="D2470" s="4" t="str">
        <x:v>Villa</x:v>
      </x:c>
      <x:c r="E2470" s="4" t="str">
        <x:v>Agreement signed</x:v>
      </x:c>
      <x:c r="F2470" s="4" t="str">
        <x:v>CUS-02469</x:v>
      </x:c>
      <x:c r="G2470" s="4" t="str">
        <x:v>UNIT-02469</x:v>
      </x:c>
      <x:c r="H2470" s="9" t="n">
        <x:v>24300000</x:v>
      </x:c>
      <x:c r="I2470" s="10" t="n">
        <x:v>0.05</x:v>
      </x:c>
      <x:c r="J2470" s="11" t="n">
        <x:v>2</x:v>
      </x:c>
      <x:c r="K2470" s="11" t="n">
        <x:v>10</x:v>
      </x:c>
      <x:c r="L2470" s="11" t="n">
        <x:v>0</x:v>
      </x:c>
      <x:c r="M2470" s="9" t="n">
        <x:f>ROUND(H2470*(1-I2470),2)</x:f>
        <x:v>23085000</x:v>
      </x:c>
      <x:c r="N2470" s="4" t="str">
        <x:v>Sales manager</x:v>
      </x:c>
      <x:c r="O2470" s="4" t="str">
        <x:v>BOOK-02469</x:v>
      </x:c>
      <x:c r="P2470" s="9" t="n">
        <x:v>11542500</x:v>
      </x:c>
      <x:c r="Q2470" s="11" t="n">
        <x:v>0</x:v>
      </x:c>
      <x:c r="R2470" s="8" t="n">
        <x:v>45477</x:v>
      </x:c>
      <x:c r="S2470" s="4" t="str">
        <x:v>Retained</x:v>
      </x:c>
      <x:c r="T2470" s="10" t="n">
        <x:v>0.204152</x:v>
      </x:c>
      <x:c r="U2470" s="4" t="str">
        <x:v>Train</x:v>
      </x:c>
    </x:row>
    <x:row r="2471" ht="34" customHeight="1">
      <x:c r="A2471" s="4" t="str">
        <x:v>RS-02470</x:v>
      </x:c>
      <x:c r="B2471" s="8" t="n">
        <x:v>45418</x:v>
      </x:c>
      <x:c r="C2471" s="4" t="str">
        <x:v>PRJ-010</x:v>
      </x:c>
      <x:c r="D2471" s="4" t="str">
        <x:v>Villa</x:v>
      </x:c>
      <x:c r="E2471" s="4" t="str">
        <x:v>Handed over</x:v>
      </x:c>
      <x:c r="F2471" s="4" t="str">
        <x:v>CUS-02470</x:v>
      </x:c>
      <x:c r="G2471" s="4" t="str">
        <x:v>UNIT-02470</x:v>
      </x:c>
      <x:c r="H2471" s="9" t="n">
        <x:v>21800000</x:v>
      </x:c>
      <x:c r="I2471" s="10" t="n">
        <x:v>0.11</x:v>
      </x:c>
      <x:c r="J2471" s="11" t="n">
        <x:v>7</x:v>
      </x:c>
      <x:c r="K2471" s="11" t="n">
        <x:v>2</x:v>
      </x:c>
      <x:c r="L2471" s="11" t="n">
        <x:v>0</x:v>
      </x:c>
      <x:c r="M2471" s="9" t="n">
        <x:f>ROUND(H2471*(1-I2471),2)</x:f>
        <x:v>19402000</x:v>
      </x:c>
      <x:c r="N2471" s="4" t="str">
        <x:v>Sales head</x:v>
      </x:c>
      <x:c r="O2471" s="4" t="str">
        <x:v>BOOK-02470</x:v>
      </x:c>
      <x:c r="P2471" s="9" t="n">
        <x:v>1940200</x:v>
      </x:c>
      <x:c r="Q2471" s="11" t="n">
        <x:v>0</x:v>
      </x:c>
      <x:c r="R2471" s="8" t="n">
        <x:v>45478</x:v>
      </x:c>
      <x:c r="S2471" s="4" t="str">
        <x:v>Retained</x:v>
      </x:c>
      <x:c r="T2471" s="10" t="n">
        <x:v>0.226277</x:v>
      </x:c>
      <x:c r="U2471" s="4" t="str">
        <x:v>Train</x:v>
      </x:c>
    </x:row>
    <x:row r="2472" ht="34" customHeight="1">
      <x:c r="A2472" s="4" t="str">
        <x:v>RS-02471</x:v>
      </x:c>
      <x:c r="B2472" s="8" t="n">
        <x:v>45419</x:v>
      </x:c>
      <x:c r="C2472" s="4" t="str">
        <x:v>PRJ-011</x:v>
      </x:c>
      <x:c r="D2472" s="4" t="str">
        <x:v>Retail</x:v>
      </x:c>
      <x:c r="E2472" s="4" t="str">
        <x:v>Booked</x:v>
      </x:c>
      <x:c r="F2472" s="4" t="str">
        <x:v>CUS-02471</x:v>
      </x:c>
      <x:c r="G2472" s="4" t="str">
        <x:v>UNIT-02471</x:v>
      </x:c>
      <x:c r="H2472" s="9" t="n">
        <x:v>23500000</x:v>
      </x:c>
      <x:c r="I2472" s="10" t="n">
        <x:v>0.07</x:v>
      </x:c>
      <x:c r="J2472" s="11" t="n">
        <x:v>3</x:v>
      </x:c>
      <x:c r="K2472" s="11" t="n">
        <x:v>10</x:v>
      </x:c>
      <x:c r="L2472" s="11" t="n">
        <x:v>0</x:v>
      </x:c>
      <x:c r="M2472" s="9" t="n">
        <x:f>ROUND(H2472*(1-I2472),2)</x:f>
        <x:v>21855000</x:v>
      </x:c>
      <x:c r="N2472" s="4" t="str">
        <x:v>Sales manager</x:v>
      </x:c>
      <x:c r="O2472" s="4" t="str">
        <x:v>BOOK-02471</x:v>
      </x:c>
      <x:c r="P2472" s="9" t="n">
        <x:v>2185500</x:v>
      </x:c>
      <x:c r="Q2472" s="11" t="n">
        <x:v>0</x:v>
      </x:c>
      <x:c r="R2472" s="8" t="n">
        <x:v>45479</x:v>
      </x:c>
      <x:c r="S2472" s="4" t="str">
        <x:v>Retained</x:v>
      </x:c>
      <x:c r="T2472" s="10" t="n">
        <x:v>0.204152</x:v>
      </x:c>
      <x:c r="U2472" s="4" t="str">
        <x:v>Train</x:v>
      </x:c>
    </x:row>
    <x:row r="2473" ht="34" customHeight="1">
      <x:c r="A2473" s="4" t="str">
        <x:v>RS-02472</x:v>
      </x:c>
      <x:c r="B2473" s="8" t="n">
        <x:v>45420</x:v>
      </x:c>
      <x:c r="C2473" s="4" t="str">
        <x:v>PRJ-012</x:v>
      </x:c>
      <x:c r="D2473" s="4" t="str">
        <x:v>Retail</x:v>
      </x:c>
      <x:c r="E2473" s="4" t="str">
        <x:v>Booked</x:v>
      </x:c>
      <x:c r="F2473" s="4" t="str">
        <x:v>CUS-02472</x:v>
      </x:c>
      <x:c r="G2473" s="4" t="str">
        <x:v>UNIT-02472</x:v>
      </x:c>
      <x:c r="H2473" s="9" t="n">
        <x:v>7200000</x:v>
      </x:c>
      <x:c r="I2473" s="10" t="n">
        <x:v>0.08</x:v>
      </x:c>
      <x:c r="J2473" s="11" t="n">
        <x:v>1</x:v>
      </x:c>
      <x:c r="K2473" s="11" t="n">
        <x:v>9</x:v>
      </x:c>
      <x:c r="L2473" s="11" t="n">
        <x:v>0</x:v>
      </x:c>
      <x:c r="M2473" s="9" t="n">
        <x:f>ROUND(H2473*(1-I2473),2)</x:f>
        <x:v>6624000</x:v>
      </x:c>
      <x:c r="N2473" s="4" t="str">
        <x:v>Sales head</x:v>
      </x:c>
      <x:c r="O2473" s="4" t="str">
        <x:v>BOOK-02472</x:v>
      </x:c>
      <x:c r="P2473" s="9" t="n">
        <x:v>662400</x:v>
      </x:c>
      <x:c r="Q2473" s="11" t="n">
        <x:v>0</x:v>
      </x:c>
      <x:c r="R2473" s="8" t="n">
        <x:v>45480</x:v>
      </x:c>
      <x:c r="S2473" s="4" t="str">
        <x:v>Retained</x:v>
      </x:c>
      <x:c r="T2473" s="10" t="n">
        <x:v>0.204152</x:v>
      </x:c>
      <x:c r="U2473" s="4" t="str">
        <x:v>Train</x:v>
      </x:c>
    </x:row>
    <x:row r="2474" ht="34" customHeight="1">
      <x:c r="A2474" s="4" t="str">
        <x:v>RS-02473</x:v>
      </x:c>
      <x:c r="B2474" s="8" t="n">
        <x:v>45421</x:v>
      </x:c>
      <x:c r="C2474" s="4" t="str">
        <x:v>PRJ-013</x:v>
      </x:c>
      <x:c r="D2474" s="4" t="str">
        <x:v>Apartment</x:v>
      </x:c>
      <x:c r="E2474" s="4" t="str">
        <x:v>Enquiry</x:v>
      </x:c>
      <x:c r="F2474" s="4" t="str">
        <x:v>CUS-02473</x:v>
      </x:c>
      <x:c r="G2474" s="4" t="str">
        <x:v>UNIT-02473</x:v>
      </x:c>
      <x:c r="H2474" s="9" t="n">
        <x:v>23000000</x:v>
      </x:c>
      <x:c r="I2474" s="10" t="n">
        <x:v>0.07</x:v>
      </x:c>
      <x:c r="J2474" s="11" t="n">
        <x:v>8</x:v>
      </x:c>
      <x:c r="K2474" s="11" t="n">
        <x:v>5</x:v>
      </x:c>
      <x:c r="L2474" s="11" t="n">
        <x:v>1</x:v>
      </x:c>
      <x:c r="M2474" s="9" t="n">
        <x:f>ROUND(H2474*(1-I2474),2)</x:f>
        <x:v>21390000</x:v>
      </x:c>
      <x:c r="N2474" s="4" t="str">
        <x:v>Sales manager</x:v>
      </x:c>
      <x:c r="O2474" s="4"/>
      <x:c r="P2474" s="9" t="n">
        <x:v>0</x:v>
      </x:c>
      <x:c r="Q2474" s="11" t="n">
        <x:v>0</x:v>
      </x:c>
      <x:c r="R2474" s="8" t="n">
        <x:v>45481</x:v>
      </x:c>
      <x:c r="S2474" s="4" t="str">
        <x:v>Retained</x:v>
      </x:c>
      <x:c r="T2474" s="10" t="n">
        <x:v>0.310195</x:v>
      </x:c>
      <x:c r="U2474" s="4" t="str">
        <x:v>Train</x:v>
      </x:c>
    </x:row>
    <x:row r="2475" ht="34" customHeight="1">
      <x:c r="A2475" s="4" t="str">
        <x:v>RS-02474</x:v>
      </x:c>
      <x:c r="B2475" s="8" t="n">
        <x:v>45422</x:v>
      </x:c>
      <x:c r="C2475" s="4" t="str">
        <x:v>PRJ-014</x:v>
      </x:c>
      <x:c r="D2475" s="4" t="str">
        <x:v>Villa</x:v>
      </x:c>
      <x:c r="E2475" s="4" t="str">
        <x:v>Cancelled</x:v>
      </x:c>
      <x:c r="F2475" s="4" t="str">
        <x:v>CUS-02474</x:v>
      </x:c>
      <x:c r="G2475" s="4" t="str">
        <x:v>UNIT-02474</x:v>
      </x:c>
      <x:c r="H2475" s="9" t="n">
        <x:v>5900000</x:v>
      </x:c>
      <x:c r="I2475" s="10" t="n">
        <x:v>0.12</x:v>
      </x:c>
      <x:c r="J2475" s="11" t="n">
        <x:v>11</x:v>
      </x:c>
      <x:c r="K2475" s="11" t="n">
        <x:v>7</x:v>
      </x:c>
      <x:c r="L2475" s="11" t="n">
        <x:v>0</x:v>
      </x:c>
      <x:c r="M2475" s="9" t="n">
        <x:f>ROUND(H2475*(1-I2475),2)</x:f>
        <x:v>5192000</x:v>
      </x:c>
      <x:c r="N2475" s="4" t="str">
        <x:v>Sales head</x:v>
      </x:c>
      <x:c r="O2475" s="4"/>
      <x:c r="P2475" s="9" t="n">
        <x:v>0</x:v>
      </x:c>
      <x:c r="Q2475" s="11" t="n">
        <x:v>1</x:v>
      </x:c>
      <x:c r="R2475" s="8" t="n">
        <x:v>45482</x:v>
      </x:c>
      <x:c r="S2475" s="4" t="str">
        <x:v>Lost / cancelled</x:v>
      </x:c>
      <x:c r="T2475" s="10" t="n">
        <x:v>0.351536</x:v>
      </x:c>
      <x:c r="U2475" s="4" t="str">
        <x:v>Train</x:v>
      </x:c>
    </x:row>
    <x:row r="2476" ht="34" customHeight="1">
      <x:c r="A2476" s="4" t="str">
        <x:v>RS-02475</x:v>
      </x:c>
      <x:c r="B2476" s="8" t="n">
        <x:v>45423</x:v>
      </x:c>
      <x:c r="C2476" s="4" t="str">
        <x:v>PRJ-015</x:v>
      </x:c>
      <x:c r="D2476" s="4" t="str">
        <x:v>Villa</x:v>
      </x:c>
      <x:c r="E2476" s="4" t="str">
        <x:v>Reserved</x:v>
      </x:c>
      <x:c r="F2476" s="4" t="str">
        <x:v>CUS-02475</x:v>
      </x:c>
      <x:c r="G2476" s="4" t="str">
        <x:v>UNIT-02475</x:v>
      </x:c>
      <x:c r="H2476" s="9" t="n">
        <x:v>6800000</x:v>
      </x:c>
      <x:c r="I2476" s="10" t="n">
        <x:v>0.02</x:v>
      </x:c>
      <x:c r="J2476" s="11" t="n">
        <x:v>5</x:v>
      </x:c>
      <x:c r="K2476" s="11" t="n">
        <x:v>7</x:v>
      </x:c>
      <x:c r="L2476" s="11" t="n">
        <x:v>0</x:v>
      </x:c>
      <x:c r="M2476" s="9" t="n">
        <x:f>ROUND(H2476*(1-I2476),2)</x:f>
        <x:v>6664000</x:v>
      </x:c>
      <x:c r="N2476" s="4" t="str">
        <x:v>Sales manager</x:v>
      </x:c>
      <x:c r="O2476" s="4"/>
      <x:c r="P2476" s="9" t="n">
        <x:v>0</x:v>
      </x:c>
      <x:c r="Q2476" s="11" t="n">
        <x:v>1</x:v>
      </x:c>
      <x:c r="R2476" s="8" t="n">
        <x:v>45483</x:v>
      </x:c>
      <x:c r="S2476" s="4" t="str">
        <x:v>Lost / cancelled</x:v>
      </x:c>
      <x:c r="T2476" s="10" t="n">
        <x:v>0.145299</x:v>
      </x:c>
      <x:c r="U2476" s="4" t="str">
        <x:v>Train</x:v>
      </x:c>
    </x:row>
    <x:row r="2477" ht="34" customHeight="1">
      <x:c r="A2477" s="4" t="str">
        <x:v>RS-02476</x:v>
      </x:c>
      <x:c r="B2477" s="8" t="n">
        <x:v>45424</x:v>
      </x:c>
      <x:c r="C2477" s="4" t="str">
        <x:v>PRJ-016</x:v>
      </x:c>
      <x:c r="D2477" s="4" t="str">
        <x:v>Office</x:v>
      </x:c>
      <x:c r="E2477" s="4" t="str">
        <x:v>Reserved</x:v>
      </x:c>
      <x:c r="F2477" s="4" t="str">
        <x:v>CUS-02476</x:v>
      </x:c>
      <x:c r="G2477" s="4" t="str">
        <x:v>UNIT-02476</x:v>
      </x:c>
      <x:c r="H2477" s="9" t="n">
        <x:v>5400000</x:v>
      </x:c>
      <x:c r="I2477" s="10" t="n">
        <x:v>0.05</x:v>
      </x:c>
      <x:c r="J2477" s="11" t="n">
        <x:v>0</x:v>
      </x:c>
      <x:c r="K2477" s="11" t="n">
        <x:v>9</x:v>
      </x:c>
      <x:c r="L2477" s="11" t="n">
        <x:v>0</x:v>
      </x:c>
      <x:c r="M2477" s="9" t="n">
        <x:f>ROUND(H2477*(1-I2477),2)</x:f>
        <x:v>5130000</x:v>
      </x:c>
      <x:c r="N2477" s="4" t="str">
        <x:v>Sales manager</x:v>
      </x:c>
      <x:c r="O2477" s="4"/>
      <x:c r="P2477" s="9" t="n">
        <x:v>0</x:v>
      </x:c>
      <x:c r="Q2477" s="11" t="n">
        <x:v>0</x:v>
      </x:c>
      <x:c r="R2477" s="8" t="n">
        <x:v>45484</x:v>
      </x:c>
      <x:c r="S2477" s="4" t="str">
        <x:v>Retained</x:v>
      </x:c>
      <x:c r="T2477" s="10" t="n">
        <x:v>0.204152</x:v>
      </x:c>
      <x:c r="U2477" s="4" t="str">
        <x:v>Train</x:v>
      </x:c>
    </x:row>
    <x:row r="2478" ht="34" customHeight="1">
      <x:c r="A2478" s="4" t="str">
        <x:v>RS-02477</x:v>
      </x:c>
      <x:c r="B2478" s="8" t="n">
        <x:v>45425</x:v>
      </x:c>
      <x:c r="C2478" s="4" t="str">
        <x:v>PRJ-017</x:v>
      </x:c>
      <x:c r="D2478" s="4" t="str">
        <x:v>Apartment</x:v>
      </x:c>
      <x:c r="E2478" s="4" t="str">
        <x:v>Booked</x:v>
      </x:c>
      <x:c r="F2478" s="4" t="str">
        <x:v>CUS-02477</x:v>
      </x:c>
      <x:c r="G2478" s="4" t="str">
        <x:v>UNIT-02477</x:v>
      </x:c>
      <x:c r="H2478" s="9" t="n">
        <x:v>8900000</x:v>
      </x:c>
      <x:c r="I2478" s="10" t="n">
        <x:v>0.08</x:v>
      </x:c>
      <x:c r="J2478" s="11" t="n">
        <x:v>2</x:v>
      </x:c>
      <x:c r="K2478" s="11" t="n">
        <x:v>2</x:v>
      </x:c>
      <x:c r="L2478" s="11" t="n">
        <x:v>0</x:v>
      </x:c>
      <x:c r="M2478" s="9" t="n">
        <x:f>ROUND(H2478*(1-I2478),2)</x:f>
        <x:v>8188000</x:v>
      </x:c>
      <x:c r="N2478" s="4" t="str">
        <x:v>Sales head</x:v>
      </x:c>
      <x:c r="O2478" s="4" t="str">
        <x:v>BOOK-02477</x:v>
      </x:c>
      <x:c r="P2478" s="9" t="n">
        <x:v>8188000</x:v>
      </x:c>
      <x:c r="Q2478" s="11" t="n">
        <x:v>0</x:v>
      </x:c>
      <x:c r="R2478" s="8" t="n">
        <x:v>45485</x:v>
      </x:c>
      <x:c r="S2478" s="4" t="str">
        <x:v>Retained</x:v>
      </x:c>
      <x:c r="T2478" s="10" t="n">
        <x:v>0.204152</x:v>
      </x:c>
      <x:c r="U2478" s="4" t="str">
        <x:v>Train</x:v>
      </x:c>
    </x:row>
    <x:row r="2479" ht="34" customHeight="1">
      <x:c r="A2479" s="4" t="str">
        <x:v>RS-02478</x:v>
      </x:c>
      <x:c r="B2479" s="8" t="n">
        <x:v>45426</x:v>
      </x:c>
      <x:c r="C2479" s="4" t="str">
        <x:v>PRJ-018</x:v>
      </x:c>
      <x:c r="D2479" s="4" t="str">
        <x:v>Office</x:v>
      </x:c>
      <x:c r="E2479" s="4" t="str">
        <x:v>Booked</x:v>
      </x:c>
      <x:c r="F2479" s="4" t="str">
        <x:v>CUS-02478</x:v>
      </x:c>
      <x:c r="G2479" s="4" t="str">
        <x:v>UNIT-02478</x:v>
      </x:c>
      <x:c r="H2479" s="9" t="n">
        <x:v>22300000</x:v>
      </x:c>
      <x:c r="I2479" s="10" t="n">
        <x:v>0.09</x:v>
      </x:c>
      <x:c r="J2479" s="11" t="n">
        <x:v>2</x:v>
      </x:c>
      <x:c r="K2479" s="11" t="n">
        <x:v>1</x:v>
      </x:c>
      <x:c r="L2479" s="11" t="n">
        <x:v>0</x:v>
      </x:c>
      <x:c r="M2479" s="9" t="n">
        <x:f>ROUND(H2479*(1-I2479),2)</x:f>
        <x:v>20293000</x:v>
      </x:c>
      <x:c r="N2479" s="4" t="str">
        <x:v>Sales head</x:v>
      </x:c>
      <x:c r="O2479" s="4" t="str">
        <x:v>BOOK-02478</x:v>
      </x:c>
      <x:c r="P2479" s="9" t="n">
        <x:v>10146500</x:v>
      </x:c>
      <x:c r="Q2479" s="11" t="n">
        <x:v>0</x:v>
      </x:c>
      <x:c r="R2479" s="8" t="n">
        <x:v>45486</x:v>
      </x:c>
      <x:c r="S2479" s="4" t="str">
        <x:v>Retained</x:v>
      </x:c>
      <x:c r="T2479" s="10" t="n">
        <x:v>0.145833</x:v>
      </x:c>
      <x:c r="U2479" s="4" t="str">
        <x:v>Train</x:v>
      </x:c>
    </x:row>
    <x:row r="2480" ht="34" customHeight="1">
      <x:c r="A2480" s="4" t="str">
        <x:v>RS-02479</x:v>
      </x:c>
      <x:c r="B2480" s="8" t="n">
        <x:v>45427</x:v>
      </x:c>
      <x:c r="C2480" s="4" t="str">
        <x:v>PRJ-019</x:v>
      </x:c>
      <x:c r="D2480" s="4" t="str">
        <x:v>Retail</x:v>
      </x:c>
      <x:c r="E2480" s="4" t="str">
        <x:v>Agreement signed</x:v>
      </x:c>
      <x:c r="F2480" s="4" t="str">
        <x:v>CUS-02479</x:v>
      </x:c>
      <x:c r="G2480" s="4" t="str">
        <x:v>UNIT-02479</x:v>
      </x:c>
      <x:c r="H2480" s="9" t="n">
        <x:v>19100000</x:v>
      </x:c>
      <x:c r="I2480" s="10" t="n">
        <x:v>0.03</x:v>
      </x:c>
      <x:c r="J2480" s="11" t="n">
        <x:v>7</x:v>
      </x:c>
      <x:c r="K2480" s="11" t="n">
        <x:v>6</x:v>
      </x:c>
      <x:c r="L2480" s="11" t="n">
        <x:v>0</x:v>
      </x:c>
      <x:c r="M2480" s="9" t="n">
        <x:f>ROUND(H2480*(1-I2480),2)</x:f>
        <x:v>18527000</x:v>
      </x:c>
      <x:c r="N2480" s="4" t="str">
        <x:v>Sales manager</x:v>
      </x:c>
      <x:c r="O2480" s="4" t="str">
        <x:v>BOOK-02479</x:v>
      </x:c>
      <x:c r="P2480" s="9" t="n">
        <x:v>9263500</x:v>
      </x:c>
      <x:c r="Q2480" s="11" t="n">
        <x:v>0</x:v>
      </x:c>
      <x:c r="R2480" s="8" t="n">
        <x:v>45487</x:v>
      </x:c>
      <x:c r="S2480" s="4" t="str">
        <x:v>Retained</x:v>
      </x:c>
      <x:c r="T2480" s="10" t="n">
        <x:v>0.145299</x:v>
      </x:c>
      <x:c r="U2480" s="4" t="str">
        <x:v>Train</x:v>
      </x:c>
    </x:row>
    <x:row r="2481" ht="34" customHeight="1">
      <x:c r="A2481" s="4" t="str">
        <x:v>RS-02480</x:v>
      </x:c>
      <x:c r="B2481" s="8" t="n">
        <x:v>45428</x:v>
      </x:c>
      <x:c r="C2481" s="4" t="str">
        <x:v>PRJ-020</x:v>
      </x:c>
      <x:c r="D2481" s="4" t="str">
        <x:v>Office</x:v>
      </x:c>
      <x:c r="E2481" s="4" t="str">
        <x:v>Booked</x:v>
      </x:c>
      <x:c r="F2481" s="4" t="str">
        <x:v>CUS-02480</x:v>
      </x:c>
      <x:c r="G2481" s="4" t="str">
        <x:v>UNIT-02480</x:v>
      </x:c>
      <x:c r="H2481" s="9" t="n">
        <x:v>3800000</x:v>
      </x:c>
      <x:c r="I2481" s="10" t="n">
        <x:v>0.08</x:v>
      </x:c>
      <x:c r="J2481" s="11" t="n">
        <x:v>3</x:v>
      </x:c>
      <x:c r="K2481" s="11" t="n">
        <x:v>9</x:v>
      </x:c>
      <x:c r="L2481" s="11" t="n">
        <x:v>0</x:v>
      </x:c>
      <x:c r="M2481" s="9" t="n">
        <x:f>ROUND(H2481*(1-I2481),2)</x:f>
        <x:v>3496000</x:v>
      </x:c>
      <x:c r="N2481" s="4" t="str">
        <x:v>Sales head</x:v>
      </x:c>
      <x:c r="O2481" s="4" t="str">
        <x:v>BOOK-02480</x:v>
      </x:c>
      <x:c r="P2481" s="9" t="n">
        <x:v>349600</x:v>
      </x:c>
      <x:c r="Q2481" s="11" t="n">
        <x:v>0</x:v>
      </x:c>
      <x:c r="R2481" s="8" t="n">
        <x:v>45488</x:v>
      </x:c>
      <x:c r="S2481" s="4" t="str">
        <x:v>Retained</x:v>
      </x:c>
      <x:c r="T2481" s="10" t="n">
        <x:v>0.204152</x:v>
      </x:c>
      <x:c r="U2481" s="4" t="str">
        <x:v>Train</x:v>
      </x:c>
    </x:row>
    <x:row r="2482" ht="34" customHeight="1">
      <x:c r="A2482" s="4" t="str">
        <x:v>RS-02481</x:v>
      </x:c>
      <x:c r="B2482" s="8" t="n">
        <x:v>45429</x:v>
      </x:c>
      <x:c r="C2482" s="4" t="str">
        <x:v>PRJ-001</x:v>
      </x:c>
      <x:c r="D2482" s="4" t="str">
        <x:v>Villa</x:v>
      </x:c>
      <x:c r="E2482" s="4" t="str">
        <x:v>Reserved</x:v>
      </x:c>
      <x:c r="F2482" s="4" t="str">
        <x:v>CUS-02481</x:v>
      </x:c>
      <x:c r="G2482" s="4" t="str">
        <x:v>UNIT-02481</x:v>
      </x:c>
      <x:c r="H2482" s="9" t="n">
        <x:v>13100000</x:v>
      </x:c>
      <x:c r="I2482" s="10" t="n">
        <x:v>0.04</x:v>
      </x:c>
      <x:c r="J2482" s="11" t="n">
        <x:v>10</x:v>
      </x:c>
      <x:c r="K2482" s="11" t="n">
        <x:v>0</x:v>
      </x:c>
      <x:c r="L2482" s="11" t="n">
        <x:v>0</x:v>
      </x:c>
      <x:c r="M2482" s="9" t="n">
        <x:f>ROUND(H2482*(1-I2482),2)</x:f>
        <x:v>12576000</x:v>
      </x:c>
      <x:c r="N2482" s="4" t="str">
        <x:v>Sales manager</x:v>
      </x:c>
      <x:c r="O2482" s="4"/>
      <x:c r="P2482" s="9" t="n">
        <x:v>0</x:v>
      </x:c>
      <x:c r="Q2482" s="11" t="n">
        <x:v>0</x:v>
      </x:c>
      <x:c r="R2482" s="8" t="n">
        <x:v>45489</x:v>
      </x:c>
      <x:c r="S2482" s="4" t="str">
        <x:v>Retained</x:v>
      </x:c>
      <x:c r="T2482" s="10" t="n">
        <x:v>0.310195</x:v>
      </x:c>
      <x:c r="U2482" s="4" t="str">
        <x:v>Train</x:v>
      </x:c>
    </x:row>
    <x:row r="2483" ht="34" customHeight="1">
      <x:c r="A2483" s="4" t="str">
        <x:v>RS-02482</x:v>
      </x:c>
      <x:c r="B2483" s="8" t="n">
        <x:v>45430</x:v>
      </x:c>
      <x:c r="C2483" s="4" t="str">
        <x:v>PRJ-002</x:v>
      </x:c>
      <x:c r="D2483" s="4" t="str">
        <x:v>Office</x:v>
      </x:c>
      <x:c r="E2483" s="4" t="str">
        <x:v>Agreement signed</x:v>
      </x:c>
      <x:c r="F2483" s="4" t="str">
        <x:v>CUS-02482</x:v>
      </x:c>
      <x:c r="G2483" s="4" t="str">
        <x:v>UNIT-02482</x:v>
      </x:c>
      <x:c r="H2483" s="9" t="n">
        <x:v>11900000</x:v>
      </x:c>
      <x:c r="I2483" s="10" t="n">
        <x:v>0.02</x:v>
      </x:c>
      <x:c r="J2483" s="11" t="n">
        <x:v>10</x:v>
      </x:c>
      <x:c r="K2483" s="11" t="n">
        <x:v>0</x:v>
      </x:c>
      <x:c r="L2483" s="11" t="n">
        <x:v>1</x:v>
      </x:c>
      <x:c r="M2483" s="9" t="n">
        <x:f>ROUND(H2483*(1-I2483),2)</x:f>
        <x:v>11662000</x:v>
      </x:c>
      <x:c r="N2483" s="4" t="str">
        <x:v>Sales manager</x:v>
      </x:c>
      <x:c r="O2483" s="4" t="str">
        <x:v>BOOK-02482</x:v>
      </x:c>
      <x:c r="P2483" s="9" t="n">
        <x:v>1166200</x:v>
      </x:c>
      <x:c r="Q2483" s="11" t="n">
        <x:v>0</x:v>
      </x:c>
      <x:c r="R2483" s="8" t="n">
        <x:v>45490</x:v>
      </x:c>
      <x:c r="S2483" s="4" t="str">
        <x:v>Retained</x:v>
      </x:c>
      <x:c r="T2483" s="10" t="n">
        <x:v>0.254545</x:v>
      </x:c>
      <x:c r="U2483" s="4" t="str">
        <x:v>Train</x:v>
      </x:c>
    </x:row>
    <x:row r="2484" ht="34" customHeight="1">
      <x:c r="A2484" s="4" t="str">
        <x:v>RS-02483</x:v>
      </x:c>
      <x:c r="B2484" s="8" t="n">
        <x:v>45431</x:v>
      </x:c>
      <x:c r="C2484" s="4" t="str">
        <x:v>PRJ-003</x:v>
      </x:c>
      <x:c r="D2484" s="4" t="str">
        <x:v>Apartment</x:v>
      </x:c>
      <x:c r="E2484" s="4" t="str">
        <x:v>Booked</x:v>
      </x:c>
      <x:c r="F2484" s="4" t="str">
        <x:v>CUS-02483</x:v>
      </x:c>
      <x:c r="G2484" s="4" t="str">
        <x:v>UNIT-02483</x:v>
      </x:c>
      <x:c r="H2484" s="9" t="n">
        <x:v>13400000</x:v>
      </x:c>
      <x:c r="I2484" s="10" t="n">
        <x:v>0.06</x:v>
      </x:c>
      <x:c r="J2484" s="11" t="n">
        <x:v>9</x:v>
      </x:c>
      <x:c r="K2484" s="11" t="n">
        <x:v>5</x:v>
      </x:c>
      <x:c r="L2484" s="11" t="n">
        <x:v>0</x:v>
      </x:c>
      <x:c r="M2484" s="9" t="n">
        <x:f>ROUND(H2484*(1-I2484),2)</x:f>
        <x:v>12596000</x:v>
      </x:c>
      <x:c r="N2484" s="4" t="str">
        <x:v>Sales manager</x:v>
      </x:c>
      <x:c r="O2484" s="4" t="str">
        <x:v>BOOK-02483</x:v>
      </x:c>
      <x:c r="P2484" s="9" t="n">
        <x:v>3149000</x:v>
      </x:c>
      <x:c r="Q2484" s="11" t="n">
        <x:v>0</x:v>
      </x:c>
      <x:c r="R2484" s="8" t="n">
        <x:v>45491</x:v>
      </x:c>
      <x:c r="S2484" s="4" t="str">
        <x:v>Retained</x:v>
      </x:c>
      <x:c r="T2484" s="10" t="n">
        <x:v>0.310195</x:v>
      </x:c>
      <x:c r="U2484" s="4" t="str">
        <x:v>Train</x:v>
      </x:c>
    </x:row>
    <x:row r="2485" ht="34" customHeight="1">
      <x:c r="A2485" s="4" t="str">
        <x:v>RS-02484</x:v>
      </x:c>
      <x:c r="B2485" s="8" t="n">
        <x:v>45432</x:v>
      </x:c>
      <x:c r="C2485" s="4" t="str">
        <x:v>PRJ-004</x:v>
      </x:c>
      <x:c r="D2485" s="4" t="str">
        <x:v>Retail</x:v>
      </x:c>
      <x:c r="E2485" s="4" t="str">
        <x:v>Reserved</x:v>
      </x:c>
      <x:c r="F2485" s="4" t="str">
        <x:v>CUS-02484</x:v>
      </x:c>
      <x:c r="G2485" s="4" t="str">
        <x:v>UNIT-02484</x:v>
      </x:c>
      <x:c r="H2485" s="9" t="n">
        <x:v>19900000</x:v>
      </x:c>
      <x:c r="I2485" s="10" t="n">
        <x:v>0.12</x:v>
      </x:c>
      <x:c r="J2485" s="11" t="n">
        <x:v>8</x:v>
      </x:c>
      <x:c r="K2485" s="11" t="n">
        <x:v>1</x:v>
      </x:c>
      <x:c r="L2485" s="11" t="n">
        <x:v>1</x:v>
      </x:c>
      <x:c r="M2485" s="9" t="n">
        <x:f>ROUND(H2485*(1-I2485),2)</x:f>
        <x:v>17512000</x:v>
      </x:c>
      <x:c r="N2485" s="4" t="str">
        <x:v>Sales head</x:v>
      </x:c>
      <x:c r="O2485" s="4"/>
      <x:c r="P2485" s="9" t="n">
        <x:v>0</x:v>
      </x:c>
      <x:c r="Q2485" s="11" t="n">
        <x:v>0</x:v>
      </x:c>
      <x:c r="R2485" s="8" t="n">
        <x:v>45492</x:v>
      </x:c>
      <x:c r="S2485" s="4" t="str">
        <x:v>Retained</x:v>
      </x:c>
      <x:c r="T2485" s="10" t="n">
        <x:v>0.310195</x:v>
      </x:c>
      <x:c r="U2485" s="4" t="str">
        <x:v>Train</x:v>
      </x:c>
    </x:row>
    <x:row r="2486" ht="34" customHeight="1">
      <x:c r="A2486" s="4" t="str">
        <x:v>RS-02485</x:v>
      </x:c>
      <x:c r="B2486" s="8" t="n">
        <x:v>45433</x:v>
      </x:c>
      <x:c r="C2486" s="4" t="str">
        <x:v>PRJ-005</x:v>
      </x:c>
      <x:c r="D2486" s="4" t="str">
        <x:v>Office</x:v>
      </x:c>
      <x:c r="E2486" s="4" t="str">
        <x:v>Handed over</x:v>
      </x:c>
      <x:c r="F2486" s="4" t="str">
        <x:v>CUS-02485</x:v>
      </x:c>
      <x:c r="G2486" s="4" t="str">
        <x:v>UNIT-02485</x:v>
      </x:c>
      <x:c r="H2486" s="9" t="n">
        <x:v>15500000</x:v>
      </x:c>
      <x:c r="I2486" s="10" t="n">
        <x:v>0.05</x:v>
      </x:c>
      <x:c r="J2486" s="11" t="n">
        <x:v>6</x:v>
      </x:c>
      <x:c r="K2486" s="11" t="n">
        <x:v>1</x:v>
      </x:c>
      <x:c r="L2486" s="11" t="n">
        <x:v>1</x:v>
      </x:c>
      <x:c r="M2486" s="9" t="n">
        <x:f>ROUND(H2486*(1-I2486),2)</x:f>
        <x:v>14725000</x:v>
      </x:c>
      <x:c r="N2486" s="4" t="str">
        <x:v>Sales manager</x:v>
      </x:c>
      <x:c r="O2486" s="4" t="str">
        <x:v>BOOK-02485</x:v>
      </x:c>
      <x:c r="P2486" s="9" t="n">
        <x:v>14725000</x:v>
      </x:c>
      <x:c r="Q2486" s="11" t="n">
        <x:v>0</x:v>
      </x:c>
      <x:c r="R2486" s="8" t="n">
        <x:v>45493</x:v>
      </x:c>
      <x:c r="S2486" s="4" t="str">
        <x:v>Retained</x:v>
      </x:c>
      <x:c r="T2486" s="10" t="n">
        <x:v>0.291946</x:v>
      </x:c>
      <x:c r="U2486" s="4" t="str">
        <x:v>Train</x:v>
      </x:c>
    </x:row>
    <x:row r="2487" ht="34" customHeight="1">
      <x:c r="A2487" s="4" t="str">
        <x:v>RS-02486</x:v>
      </x:c>
      <x:c r="B2487" s="8" t="n">
        <x:v>45434</x:v>
      </x:c>
      <x:c r="C2487" s="4" t="str">
        <x:v>PRJ-006</x:v>
      </x:c>
      <x:c r="D2487" s="4" t="str">
        <x:v>Office</x:v>
      </x:c>
      <x:c r="E2487" s="4" t="str">
        <x:v>Handed over</x:v>
      </x:c>
      <x:c r="F2487" s="4" t="str">
        <x:v>CUS-02486</x:v>
      </x:c>
      <x:c r="G2487" s="4" t="str">
        <x:v>UNIT-02486</x:v>
      </x:c>
      <x:c r="H2487" s="9" t="n">
        <x:v>16800000</x:v>
      </x:c>
      <x:c r="I2487" s="10" t="n">
        <x:v>0.01</x:v>
      </x:c>
      <x:c r="J2487" s="11" t="n">
        <x:v>3</x:v>
      </x:c>
      <x:c r="K2487" s="11" t="n">
        <x:v>10</x:v>
      </x:c>
      <x:c r="L2487" s="11" t="n">
        <x:v>1</x:v>
      </x:c>
      <x:c r="M2487" s="9" t="n">
        <x:f>ROUND(H2487*(1-I2487),2)</x:f>
        <x:v>16632000</x:v>
      </x:c>
      <x:c r="N2487" s="4" t="str">
        <x:v>Sales manager</x:v>
      </x:c>
      <x:c r="O2487" s="4" t="str">
        <x:v>BOOK-02486</x:v>
      </x:c>
      <x:c r="P2487" s="9" t="n">
        <x:v>16632000</x:v>
      </x:c>
      <x:c r="Q2487" s="11" t="n">
        <x:v>0</x:v>
      </x:c>
      <x:c r="R2487" s="8" t="n">
        <x:v>45494</x:v>
      </x:c>
      <x:c r="S2487" s="4" t="str">
        <x:v>Retained</x:v>
      </x:c>
      <x:c r="T2487" s="10" t="n">
        <x:v>0.171717</x:v>
      </x:c>
      <x:c r="U2487" s="4" t="str">
        <x:v>Train</x:v>
      </x:c>
    </x:row>
    <x:row r="2488" ht="34" customHeight="1">
      <x:c r="A2488" s="4" t="str">
        <x:v>RS-02487</x:v>
      </x:c>
      <x:c r="B2488" s="8" t="n">
        <x:v>45435</x:v>
      </x:c>
      <x:c r="C2488" s="4" t="str">
        <x:v>PRJ-007</x:v>
      </x:c>
      <x:c r="D2488" s="4" t="str">
        <x:v>Retail</x:v>
      </x:c>
      <x:c r="E2488" s="4" t="str">
        <x:v>Agreement signed</x:v>
      </x:c>
      <x:c r="F2488" s="4" t="str">
        <x:v>CUS-02487</x:v>
      </x:c>
      <x:c r="G2488" s="4" t="str">
        <x:v>UNIT-02487</x:v>
      </x:c>
      <x:c r="H2488" s="9" t="n">
        <x:v>12700000</x:v>
      </x:c>
      <x:c r="I2488" s="10" t="n">
        <x:v>0.09</x:v>
      </x:c>
      <x:c r="J2488" s="11" t="n">
        <x:v>0</x:v>
      </x:c>
      <x:c r="K2488" s="11" t="n">
        <x:v>10</x:v>
      </x:c>
      <x:c r="L2488" s="11" t="n">
        <x:v>1</x:v>
      </x:c>
      <x:c r="M2488" s="9" t="n">
        <x:f>ROUND(H2488*(1-I2488),2)</x:f>
        <x:v>11557000</x:v>
      </x:c>
      <x:c r="N2488" s="4" t="str">
        <x:v>Sales head</x:v>
      </x:c>
      <x:c r="O2488" s="4" t="str">
        <x:v>BOOK-02487</x:v>
      </x:c>
      <x:c r="P2488" s="9" t="n">
        <x:v>1155700</x:v>
      </x:c>
      <x:c r="Q2488" s="11" t="n">
        <x:v>0</x:v>
      </x:c>
      <x:c r="R2488" s="8" t="n">
        <x:v>45495</x:v>
      </x:c>
      <x:c r="S2488" s="4" t="str">
        <x:v>Retained</x:v>
      </x:c>
      <x:c r="T2488" s="10" t="n">
        <x:v>0.145833</x:v>
      </x:c>
      <x:c r="U2488" s="4" t="str">
        <x:v>Train</x:v>
      </x:c>
    </x:row>
    <x:row r="2489" ht="34" customHeight="1">
      <x:c r="A2489" s="4" t="str">
        <x:v>RS-02488</x:v>
      </x:c>
      <x:c r="B2489" s="8" t="n">
        <x:v>45436</x:v>
      </x:c>
      <x:c r="C2489" s="4" t="str">
        <x:v>PRJ-008</x:v>
      </x:c>
      <x:c r="D2489" s="4" t="str">
        <x:v>Apartment</x:v>
      </x:c>
      <x:c r="E2489" s="4" t="str">
        <x:v>Booked</x:v>
      </x:c>
      <x:c r="F2489" s="4" t="str">
        <x:v>CUS-02488</x:v>
      </x:c>
      <x:c r="G2489" s="4" t="str">
        <x:v>UNIT-02488</x:v>
      </x:c>
      <x:c r="H2489" s="9" t="n">
        <x:v>18900000</x:v>
      </x:c>
      <x:c r="I2489" s="10" t="n">
        <x:v>0.11</x:v>
      </x:c>
      <x:c r="J2489" s="11" t="n">
        <x:v>3</x:v>
      </x:c>
      <x:c r="K2489" s="11" t="n">
        <x:v>0</x:v>
      </x:c>
      <x:c r="L2489" s="11" t="n">
        <x:v>1</x:v>
      </x:c>
      <x:c r="M2489" s="9" t="n">
        <x:f>ROUND(H2489*(1-I2489),2)</x:f>
        <x:v>16821000</x:v>
      </x:c>
      <x:c r="N2489" s="4" t="str">
        <x:v>Sales head</x:v>
      </x:c>
      <x:c r="O2489" s="4" t="str">
        <x:v>BOOK-02488</x:v>
      </x:c>
      <x:c r="P2489" s="9" t="n">
        <x:v>1682100</x:v>
      </x:c>
      <x:c r="Q2489" s="11" t="n">
        <x:v>0</x:v>
      </x:c>
      <x:c r="R2489" s="8" t="n">
        <x:v>45496</x:v>
      </x:c>
      <x:c r="S2489" s="4" t="str">
        <x:v>Retained</x:v>
      </x:c>
      <x:c r="T2489" s="10" t="n">
        <x:v>0.276923</x:v>
      </x:c>
      <x:c r="U2489" s="4" t="str">
        <x:v>Train</x:v>
      </x:c>
    </x:row>
    <x:row r="2490" ht="34" customHeight="1">
      <x:c r="A2490" s="4" t="str">
        <x:v>RS-02489</x:v>
      </x:c>
      <x:c r="B2490" s="8" t="n">
        <x:v>45437</x:v>
      </x:c>
      <x:c r="C2490" s="4" t="str">
        <x:v>PRJ-009</x:v>
      </x:c>
      <x:c r="D2490" s="4" t="str">
        <x:v>Villa</x:v>
      </x:c>
      <x:c r="E2490" s="4" t="str">
        <x:v>Agreement signed</x:v>
      </x:c>
      <x:c r="F2490" s="4" t="str">
        <x:v>CUS-02489</x:v>
      </x:c>
      <x:c r="G2490" s="4" t="str">
        <x:v>UNIT-02489</x:v>
      </x:c>
      <x:c r="H2490" s="9" t="n">
        <x:v>18600000</x:v>
      </x:c>
      <x:c r="I2490" s="10" t="n">
        <x:v>0.1</x:v>
      </x:c>
      <x:c r="J2490" s="11" t="n">
        <x:v>4</x:v>
      </x:c>
      <x:c r="K2490" s="11" t="n">
        <x:v>3</x:v>
      </x:c>
      <x:c r="L2490" s="11" t="n">
        <x:v>0</x:v>
      </x:c>
      <x:c r="M2490" s="9" t="n">
        <x:f>ROUND(H2490*(1-I2490),2)</x:f>
        <x:v>16740000</x:v>
      </x:c>
      <x:c r="N2490" s="4" t="str">
        <x:v>Sales head</x:v>
      </x:c>
      <x:c r="O2490" s="4" t="str">
        <x:v>BOOK-02489</x:v>
      </x:c>
      <x:c r="P2490" s="9" t="n">
        <x:v>8370000</x:v>
      </x:c>
      <x:c r="Q2490" s="11" t="n">
        <x:v>0</x:v>
      </x:c>
      <x:c r="R2490" s="8" t="n">
        <x:v>45497</x:v>
      </x:c>
      <x:c r="S2490" s="4" t="str">
        <x:v>Retained</x:v>
      </x:c>
      <x:c r="T2490" s="10" t="n">
        <x:v>0.226277</x:v>
      </x:c>
      <x:c r="U2490" s="4" t="str">
        <x:v>Train</x:v>
      </x:c>
    </x:row>
    <x:row r="2491" ht="34" customHeight="1">
      <x:c r="A2491" s="4" t="str">
        <x:v>RS-02490</x:v>
      </x:c>
      <x:c r="B2491" s="8" t="n">
        <x:v>45438</x:v>
      </x:c>
      <x:c r="C2491" s="4" t="str">
        <x:v>PRJ-010</x:v>
      </x:c>
      <x:c r="D2491" s="4" t="str">
        <x:v>Retail</x:v>
      </x:c>
      <x:c r="E2491" s="4" t="str">
        <x:v>Agreement signed</x:v>
      </x:c>
      <x:c r="F2491" s="4" t="str">
        <x:v>CUS-02490</x:v>
      </x:c>
      <x:c r="G2491" s="4" t="str">
        <x:v>UNIT-02490</x:v>
      </x:c>
      <x:c r="H2491" s="9" t="n">
        <x:v>17400000</x:v>
      </x:c>
      <x:c r="I2491" s="10" t="n">
        <x:v>0.03</x:v>
      </x:c>
      <x:c r="J2491" s="11" t="n">
        <x:v>2</x:v>
      </x:c>
      <x:c r="K2491" s="11" t="n">
        <x:v>6</x:v>
      </x:c>
      <x:c r="L2491" s="11" t="n">
        <x:v>1</x:v>
      </x:c>
      <x:c r="M2491" s="9" t="n">
        <x:f>ROUND(H2491*(1-I2491),2)</x:f>
        <x:v>16878000</x:v>
      </x:c>
      <x:c r="N2491" s="4" t="str">
        <x:v>Sales manager</x:v>
      </x:c>
      <x:c r="O2491" s="4" t="str">
        <x:v>BOOK-02490</x:v>
      </x:c>
      <x:c r="P2491" s="9" t="n">
        <x:v>1687800</x:v>
      </x:c>
      <x:c r="Q2491" s="11" t="n">
        <x:v>0</x:v>
      </x:c>
      <x:c r="R2491" s="8" t="n">
        <x:v>45498</x:v>
      </x:c>
      <x:c r="S2491" s="4" t="str">
        <x:v>Retained</x:v>
      </x:c>
      <x:c r="T2491" s="10" t="n">
        <x:v>0.171717</x:v>
      </x:c>
      <x:c r="U2491" s="4" t="str">
        <x:v>Train</x:v>
      </x:c>
    </x:row>
    <x:row r="2492" ht="34" customHeight="1">
      <x:c r="A2492" s="4" t="str">
        <x:v>RS-02491</x:v>
      </x:c>
      <x:c r="B2492" s="8" t="n">
        <x:v>45439</x:v>
      </x:c>
      <x:c r="C2492" s="4" t="str">
        <x:v>PRJ-011</x:v>
      </x:c>
      <x:c r="D2492" s="4" t="str">
        <x:v>Retail</x:v>
      </x:c>
      <x:c r="E2492" s="4" t="str">
        <x:v>Handed over</x:v>
      </x:c>
      <x:c r="F2492" s="4" t="str">
        <x:v>CUS-02491</x:v>
      </x:c>
      <x:c r="G2492" s="4" t="str">
        <x:v>UNIT-02491</x:v>
      </x:c>
      <x:c r="H2492" s="9" t="n">
        <x:v>17300000</x:v>
      </x:c>
      <x:c r="I2492" s="10" t="n">
        <x:v>0.07</x:v>
      </x:c>
      <x:c r="J2492" s="11" t="n">
        <x:v>11</x:v>
      </x:c>
      <x:c r="K2492" s="11" t="n">
        <x:v>5</x:v>
      </x:c>
      <x:c r="L2492" s="11" t="n">
        <x:v>0</x:v>
      </x:c>
      <x:c r="M2492" s="9" t="n">
        <x:f>ROUND(H2492*(1-I2492),2)</x:f>
        <x:v>16089000</x:v>
      </x:c>
      <x:c r="N2492" s="4" t="str">
        <x:v>Sales manager</x:v>
      </x:c>
      <x:c r="O2492" s="4" t="str">
        <x:v>BOOK-02491</x:v>
      </x:c>
      <x:c r="P2492" s="9" t="n">
        <x:v>1608900</x:v>
      </x:c>
      <x:c r="Q2492" s="11" t="n">
        <x:v>0</x:v>
      </x:c>
      <x:c r="R2492" s="8" t="n">
        <x:v>45499</x:v>
      </x:c>
      <x:c r="S2492" s="4" t="str">
        <x:v>Retained</x:v>
      </x:c>
      <x:c r="T2492" s="10" t="n">
        <x:v>0.351536</x:v>
      </x:c>
      <x:c r="U2492" s="4" t="str">
        <x:v>Train</x:v>
      </x:c>
    </x:row>
    <x:row r="2493" ht="34" customHeight="1">
      <x:c r="A2493" s="4" t="str">
        <x:v>RS-02492</x:v>
      </x:c>
      <x:c r="B2493" s="8" t="n">
        <x:v>45440</x:v>
      </x:c>
      <x:c r="C2493" s="4" t="str">
        <x:v>PRJ-012</x:v>
      </x:c>
      <x:c r="D2493" s="4" t="str">
        <x:v>Apartment</x:v>
      </x:c>
      <x:c r="E2493" s="4" t="str">
        <x:v>Enquiry</x:v>
      </x:c>
      <x:c r="F2493" s="4" t="str">
        <x:v>CUS-02492</x:v>
      </x:c>
      <x:c r="G2493" s="4" t="str">
        <x:v>UNIT-02492</x:v>
      </x:c>
      <x:c r="H2493" s="9" t="n">
        <x:v>21500000</x:v>
      </x:c>
      <x:c r="I2493" s="10" t="n">
        <x:v>0.06</x:v>
      </x:c>
      <x:c r="J2493" s="11" t="n">
        <x:v>1</x:v>
      </x:c>
      <x:c r="K2493" s="11" t="n">
        <x:v>7</x:v>
      </x:c>
      <x:c r="L2493" s="11" t="n">
        <x:v>0</x:v>
      </x:c>
      <x:c r="M2493" s="9" t="n">
        <x:f>ROUND(H2493*(1-I2493),2)</x:f>
        <x:v>20210000</x:v>
      </x:c>
      <x:c r="N2493" s="4" t="str">
        <x:v>Sales manager</x:v>
      </x:c>
      <x:c r="O2493" s="4"/>
      <x:c r="P2493" s="9" t="n">
        <x:v>0</x:v>
      </x:c>
      <x:c r="Q2493" s="11" t="n">
        <x:v>0</x:v>
      </x:c>
      <x:c r="R2493" s="8" t="n">
        <x:v>45500</x:v>
      </x:c>
      <x:c r="S2493" s="4" t="str">
        <x:v>Retained</x:v>
      </x:c>
      <x:c r="T2493" s="10" t="n">
        <x:v>0.204152</x:v>
      </x:c>
      <x:c r="U2493" s="4" t="str">
        <x:v>Train</x:v>
      </x:c>
    </x:row>
    <x:row r="2494" ht="34" customHeight="1">
      <x:c r="A2494" s="4" t="str">
        <x:v>RS-02493</x:v>
      </x:c>
      <x:c r="B2494" s="8" t="n">
        <x:v>45413</x:v>
      </x:c>
      <x:c r="C2494" s="4" t="str">
        <x:v>PRJ-013</x:v>
      </x:c>
      <x:c r="D2494" s="4" t="str">
        <x:v>Apartment</x:v>
      </x:c>
      <x:c r="E2494" s="4" t="str">
        <x:v>Handed over</x:v>
      </x:c>
      <x:c r="F2494" s="4" t="str">
        <x:v>CUS-02493</x:v>
      </x:c>
      <x:c r="G2494" s="4" t="str">
        <x:v>UNIT-02493</x:v>
      </x:c>
      <x:c r="H2494" s="9" t="n">
        <x:v>24500000</x:v>
      </x:c>
      <x:c r="I2494" s="10" t="n">
        <x:v>0.1</x:v>
      </x:c>
      <x:c r="J2494" s="11" t="n">
        <x:v>1</x:v>
      </x:c>
      <x:c r="K2494" s="11" t="n">
        <x:v>10</x:v>
      </x:c>
      <x:c r="L2494" s="11" t="n">
        <x:v>0</x:v>
      </x:c>
      <x:c r="M2494" s="9" t="n">
        <x:f>ROUND(H2494*(1-I2494),2)</x:f>
        <x:v>22050000</x:v>
      </x:c>
      <x:c r="N2494" s="4" t="str">
        <x:v>Sales head</x:v>
      </x:c>
      <x:c r="O2494" s="4" t="str">
        <x:v>BOOK-02493</x:v>
      </x:c>
      <x:c r="P2494" s="9" t="n">
        <x:v>22050000</x:v>
      </x:c>
      <x:c r="Q2494" s="11" t="n">
        <x:v>0</x:v>
      </x:c>
      <x:c r="R2494" s="8" t="n">
        <x:v>45473</x:v>
      </x:c>
      <x:c r="S2494" s="4" t="str">
        <x:v>Retained</x:v>
      </x:c>
      <x:c r="T2494" s="10" t="n">
        <x:v>0.145833</x:v>
      </x:c>
      <x:c r="U2494" s="4" t="str">
        <x:v>Train</x:v>
      </x:c>
    </x:row>
    <x:row r="2495" ht="34" customHeight="1">
      <x:c r="A2495" s="4" t="str">
        <x:v>RS-02494</x:v>
      </x:c>
      <x:c r="B2495" s="8" t="n">
        <x:v>45414</x:v>
      </x:c>
      <x:c r="C2495" s="4" t="str">
        <x:v>PRJ-014</x:v>
      </x:c>
      <x:c r="D2495" s="4" t="str">
        <x:v>Villa</x:v>
      </x:c>
      <x:c r="E2495" s="4" t="str">
        <x:v>Reserved</x:v>
      </x:c>
      <x:c r="F2495" s="4" t="str">
        <x:v>CUS-02494</x:v>
      </x:c>
      <x:c r="G2495" s="4" t="str">
        <x:v>UNIT-02494</x:v>
      </x:c>
      <x:c r="H2495" s="9" t="n">
        <x:v>22800000</x:v>
      </x:c>
      <x:c r="I2495" s="10" t="n">
        <x:v>0.04</x:v>
      </x:c>
      <x:c r="J2495" s="11" t="n">
        <x:v>6</x:v>
      </x:c>
      <x:c r="K2495" s="11" t="n">
        <x:v>8</x:v>
      </x:c>
      <x:c r="L2495" s="11" t="n">
        <x:v>0</x:v>
      </x:c>
      <x:c r="M2495" s="9" t="n">
        <x:f>ROUND(H2495*(1-I2495),2)</x:f>
        <x:v>21888000</x:v>
      </x:c>
      <x:c r="N2495" s="4" t="str">
        <x:v>Sales manager</x:v>
      </x:c>
      <x:c r="O2495" s="4"/>
      <x:c r="P2495" s="9" t="n">
        <x:v>0</x:v>
      </x:c>
      <x:c r="Q2495" s="11" t="n">
        <x:v>1</x:v>
      </x:c>
      <x:c r="R2495" s="8" t="n">
        <x:v>45474</x:v>
      </x:c>
      <x:c r="S2495" s="4" t="str">
        <x:v>Lost / cancelled</x:v>
      </x:c>
      <x:c r="T2495" s="10" t="n">
        <x:v>0.226277</x:v>
      </x:c>
      <x:c r="U2495" s="4" t="str">
        <x:v>Train</x:v>
      </x:c>
    </x:row>
    <x:row r="2496" ht="34" customHeight="1">
      <x:c r="A2496" s="4" t="str">
        <x:v>RS-02495</x:v>
      </x:c>
      <x:c r="B2496" s="8" t="n">
        <x:v>45415</x:v>
      </x:c>
      <x:c r="C2496" s="4" t="str">
        <x:v>PRJ-015</x:v>
      </x:c>
      <x:c r="D2496" s="4" t="str">
        <x:v>Apartment</x:v>
      </x:c>
      <x:c r="E2496" s="4" t="str">
        <x:v>Enquiry</x:v>
      </x:c>
      <x:c r="F2496" s="4" t="str">
        <x:v>CUS-02495</x:v>
      </x:c>
      <x:c r="G2496" s="4" t="str">
        <x:v>UNIT-02495</x:v>
      </x:c>
      <x:c r="H2496" s="9" t="n">
        <x:v>17700000</x:v>
      </x:c>
      <x:c r="I2496" s="10" t="n">
        <x:v>0.02</x:v>
      </x:c>
      <x:c r="J2496" s="11" t="n">
        <x:v>6</x:v>
      </x:c>
      <x:c r="K2496" s="11" t="n">
        <x:v>0</x:v>
      </x:c>
      <x:c r="L2496" s="11" t="n">
        <x:v>1</x:v>
      </x:c>
      <x:c r="M2496" s="9" t="n">
        <x:f>ROUND(H2496*(1-I2496),2)</x:f>
        <x:v>17346000</x:v>
      </x:c>
      <x:c r="N2496" s="4" t="str">
        <x:v>Sales manager</x:v>
      </x:c>
      <x:c r="O2496" s="4"/>
      <x:c r="P2496" s="9" t="n">
        <x:v>0</x:v>
      </x:c>
      <x:c r="Q2496" s="11" t="n">
        <x:v>0</x:v>
      </x:c>
      <x:c r="R2496" s="8" t="n">
        <x:v>45475</x:v>
      </x:c>
      <x:c r="S2496" s="4" t="str">
        <x:v>Retained</x:v>
      </x:c>
      <x:c r="T2496" s="10" t="n">
        <x:v>0.298969</x:v>
      </x:c>
      <x:c r="U2496" s="4" t="str">
        <x:v>Train</x:v>
      </x:c>
    </x:row>
    <x:row r="2497" ht="34" customHeight="1">
      <x:c r="A2497" s="4" t="str">
        <x:v>RS-02496</x:v>
      </x:c>
      <x:c r="B2497" s="8" t="n">
        <x:v>45416</x:v>
      </x:c>
      <x:c r="C2497" s="4" t="str">
        <x:v>PRJ-016</x:v>
      </x:c>
      <x:c r="D2497" s="4" t="str">
        <x:v>Apartment</x:v>
      </x:c>
      <x:c r="E2497" s="4" t="str">
        <x:v>Cancelled</x:v>
      </x:c>
      <x:c r="F2497" s="4" t="str">
        <x:v>CUS-02496</x:v>
      </x:c>
      <x:c r="G2497" s="4" t="str">
        <x:v>UNIT-02496</x:v>
      </x:c>
      <x:c r="H2497" s="9" t="n">
        <x:v>21700000</x:v>
      </x:c>
      <x:c r="I2497" s="10" t="n">
        <x:v>0.08</x:v>
      </x:c>
      <x:c r="J2497" s="11" t="n">
        <x:v>7</x:v>
      </x:c>
      <x:c r="K2497" s="11" t="n">
        <x:v>3</x:v>
      </x:c>
      <x:c r="L2497" s="11" t="n">
        <x:v>1</x:v>
      </x:c>
      <x:c r="M2497" s="9" t="n">
        <x:f>ROUND(H2497*(1-I2497),2)</x:f>
        <x:v>19964000</x:v>
      </x:c>
      <x:c r="N2497" s="4" t="str">
        <x:v>Sales head</x:v>
      </x:c>
      <x:c r="O2497" s="4"/>
      <x:c r="P2497" s="9" t="n">
        <x:v>0</x:v>
      </x:c>
      <x:c r="Q2497" s="11" t="n">
        <x:v>1</x:v>
      </x:c>
      <x:c r="R2497" s="8" t="n">
        <x:v>45476</x:v>
      </x:c>
      <x:c r="S2497" s="4" t="str">
        <x:v>Lost / cancelled</x:v>
      </x:c>
      <x:c r="T2497" s="10" t="n">
        <x:v>0.291946</x:v>
      </x:c>
      <x:c r="U2497" s="4" t="str">
        <x:v>Train</x:v>
      </x:c>
    </x:row>
    <x:row r="2498" ht="34" customHeight="1">
      <x:c r="A2498" s="4" t="str">
        <x:v>RS-02497</x:v>
      </x:c>
      <x:c r="B2498" s="8" t="n">
        <x:v>45417</x:v>
      </x:c>
      <x:c r="C2498" s="4" t="str">
        <x:v>PRJ-017</x:v>
      </x:c>
      <x:c r="D2498" s="4" t="str">
        <x:v>Office</x:v>
      </x:c>
      <x:c r="E2498" s="4" t="str">
        <x:v>Reserved</x:v>
      </x:c>
      <x:c r="F2498" s="4" t="str">
        <x:v>CUS-02497</x:v>
      </x:c>
      <x:c r="G2498" s="4" t="str">
        <x:v>UNIT-02497</x:v>
      </x:c>
      <x:c r="H2498" s="9" t="n">
        <x:v>24400000</x:v>
      </x:c>
      <x:c r="I2498" s="10" t="n">
        <x:v>0.08</x:v>
      </x:c>
      <x:c r="J2498" s="11" t="n">
        <x:v>11</x:v>
      </x:c>
      <x:c r="K2498" s="11" t="n">
        <x:v>5</x:v>
      </x:c>
      <x:c r="L2498" s="11" t="n">
        <x:v>0</x:v>
      </x:c>
      <x:c r="M2498" s="9" t="n">
        <x:f>ROUND(H2498*(1-I2498),2)</x:f>
        <x:v>22448000</x:v>
      </x:c>
      <x:c r="N2498" s="4" t="str">
        <x:v>Sales head</x:v>
      </x:c>
      <x:c r="O2498" s="4"/>
      <x:c r="P2498" s="9" t="n">
        <x:v>0</x:v>
      </x:c>
      <x:c r="Q2498" s="11" t="n">
        <x:v>1</x:v>
      </x:c>
      <x:c r="R2498" s="8" t="n">
        <x:v>45477</x:v>
      </x:c>
      <x:c r="S2498" s="4" t="str">
        <x:v>Lost / cancelled</x:v>
      </x:c>
      <x:c r="T2498" s="10" t="n">
        <x:v>0.351536</x:v>
      </x:c>
      <x:c r="U2498" s="4" t="str">
        <x:v>Train</x:v>
      </x:c>
    </x:row>
    <x:row r="2499" ht="34" customHeight="1">
      <x:c r="A2499" s="4" t="str">
        <x:v>RS-02498</x:v>
      </x:c>
      <x:c r="B2499" s="8" t="n">
        <x:v>45418</x:v>
      </x:c>
      <x:c r="C2499" s="4" t="str">
        <x:v>PRJ-018</x:v>
      </x:c>
      <x:c r="D2499" s="4" t="str">
        <x:v>Villa</x:v>
      </x:c>
      <x:c r="E2499" s="4" t="str">
        <x:v>Handed over</x:v>
      </x:c>
      <x:c r="F2499" s="4" t="str">
        <x:v>CUS-02498</x:v>
      </x:c>
      <x:c r="G2499" s="4" t="str">
        <x:v>UNIT-02498</x:v>
      </x:c>
      <x:c r="H2499" s="9" t="n">
        <x:v>10900000</x:v>
      </x:c>
      <x:c r="I2499" s="10" t="n">
        <x:v>0.07</x:v>
      </x:c>
      <x:c r="J2499" s="11" t="n">
        <x:v>7</x:v>
      </x:c>
      <x:c r="K2499" s="11" t="n">
        <x:v>4</x:v>
      </x:c>
      <x:c r="L2499" s="11" t="n">
        <x:v>0</x:v>
      </x:c>
      <x:c r="M2499" s="9" t="n">
        <x:f>ROUND(H2499*(1-I2499),2)</x:f>
        <x:v>10137000</x:v>
      </x:c>
      <x:c r="N2499" s="4" t="str">
        <x:v>Sales manager</x:v>
      </x:c>
      <x:c r="O2499" s="4" t="str">
        <x:v>BOOK-02498</x:v>
      </x:c>
      <x:c r="P2499" s="9" t="n">
        <x:v>5068500</x:v>
      </x:c>
      <x:c r="Q2499" s="11" t="n">
        <x:v>0</x:v>
      </x:c>
      <x:c r="R2499" s="8" t="n">
        <x:v>45478</x:v>
      </x:c>
      <x:c r="S2499" s="4" t="str">
        <x:v>Retained</x:v>
      </x:c>
      <x:c r="T2499" s="10" t="n">
        <x:v>0.226277</x:v>
      </x:c>
      <x:c r="U2499" s="4" t="str">
        <x:v>Train</x:v>
      </x:c>
    </x:row>
    <x:row r="2500" ht="34" customHeight="1">
      <x:c r="A2500" s="4" t="str">
        <x:v>RS-02499</x:v>
      </x:c>
      <x:c r="B2500" s="8" t="n">
        <x:v>45419</x:v>
      </x:c>
      <x:c r="C2500" s="4" t="str">
        <x:v>PRJ-019</x:v>
      </x:c>
      <x:c r="D2500" s="4" t="str">
        <x:v>Apartment</x:v>
      </x:c>
      <x:c r="E2500" s="4" t="str">
        <x:v>Cancelled</x:v>
      </x:c>
      <x:c r="F2500" s="4" t="str">
        <x:v>CUS-02499</x:v>
      </x:c>
      <x:c r="G2500" s="4" t="str">
        <x:v>UNIT-02499</x:v>
      </x:c>
      <x:c r="H2500" s="9" t="n">
        <x:v>7900000</x:v>
      </x:c>
      <x:c r="I2500" s="10" t="n">
        <x:v>0.04</x:v>
      </x:c>
      <x:c r="J2500" s="11" t="n">
        <x:v>6</x:v>
      </x:c>
      <x:c r="K2500" s="11" t="n">
        <x:v>10</x:v>
      </x:c>
      <x:c r="L2500" s="11" t="n">
        <x:v>0</x:v>
      </x:c>
      <x:c r="M2500" s="9" t="n">
        <x:f>ROUND(H2500*(1-I2500),2)</x:f>
        <x:v>7584000</x:v>
      </x:c>
      <x:c r="N2500" s="4" t="str">
        <x:v>Sales manager</x:v>
      </x:c>
      <x:c r="O2500" s="4"/>
      <x:c r="P2500" s="9" t="n">
        <x:v>0</x:v>
      </x:c>
      <x:c r="Q2500" s="11" t="n">
        <x:v>1</x:v>
      </x:c>
      <x:c r="R2500" s="8" t="n">
        <x:v>45479</x:v>
      </x:c>
      <x:c r="S2500" s="4" t="str">
        <x:v>Lost / cancelled</x:v>
      </x:c>
      <x:c r="T2500" s="10" t="n">
        <x:v>0.226277</x:v>
      </x:c>
      <x:c r="U2500" s="4" t="str">
        <x:v>Train</x:v>
      </x:c>
    </x:row>
    <x:row r="2501" ht="34" customHeight="1">
      <x:c r="A2501" s="4" t="str">
        <x:v>RS-02500</x:v>
      </x:c>
      <x:c r="B2501" s="8" t="n">
        <x:v>45420</x:v>
      </x:c>
      <x:c r="C2501" s="4" t="str">
        <x:v>PRJ-020</x:v>
      </x:c>
      <x:c r="D2501" s="4" t="str">
        <x:v>Retail</x:v>
      </x:c>
      <x:c r="E2501" s="4" t="str">
        <x:v>Enquiry</x:v>
      </x:c>
      <x:c r="F2501" s="4" t="str">
        <x:v>CUS-02500</x:v>
      </x:c>
      <x:c r="G2501" s="4" t="str">
        <x:v>UNIT-02500</x:v>
      </x:c>
      <x:c r="H2501" s="9" t="n">
        <x:v>17400000</x:v>
      </x:c>
      <x:c r="I2501" s="10" t="n">
        <x:v>0.02</x:v>
      </x:c>
      <x:c r="J2501" s="11" t="n">
        <x:v>11</x:v>
      </x:c>
      <x:c r="K2501" s="11" t="n">
        <x:v>2</x:v>
      </x:c>
      <x:c r="L2501" s="11" t="n">
        <x:v>1</x:v>
      </x:c>
      <x:c r="M2501" s="9" t="n">
        <x:f>ROUND(H2501*(1-I2501),2)</x:f>
        <x:v>17052000</x:v>
      </x:c>
      <x:c r="N2501" s="4" t="str">
        <x:v>Sales manager</x:v>
      </x:c>
      <x:c r="O2501" s="4"/>
      <x:c r="P2501" s="9" t="n">
        <x:v>0</x:v>
      </x:c>
      <x:c r="Q2501" s="11" t="n">
        <x:v>1</x:v>
      </x:c>
      <x:c r="R2501" s="8" t="n">
        <x:v>45480</x:v>
      </x:c>
      <x:c r="S2501" s="4" t="str">
        <x:v>Lost / cancelled</x:v>
      </x:c>
      <x:c r="T2501" s="10" t="n">
        <x:v>0.254545</x:v>
      </x:c>
      <x:c r="U2501" s="4" t="str">
        <x:v>Train</x:v>
      </x:c>
    </x:row>
    <x:row r="2502" ht="34" customHeight="1">
      <x:c r="A2502" s="4" t="str">
        <x:v>RS-02501</x:v>
      </x:c>
      <x:c r="B2502" s="8" t="n">
        <x:v>45452</x:v>
      </x:c>
      <x:c r="C2502" s="4" t="str">
        <x:v>PRJ-001</x:v>
      </x:c>
      <x:c r="D2502" s="4" t="str">
        <x:v>Apartment</x:v>
      </x:c>
      <x:c r="E2502" s="4" t="str">
        <x:v>Enquiry</x:v>
      </x:c>
      <x:c r="F2502" s="4" t="str">
        <x:v>CUS-02501</x:v>
      </x:c>
      <x:c r="G2502" s="4" t="str">
        <x:v>UNIT-02501</x:v>
      </x:c>
      <x:c r="H2502" s="9" t="n">
        <x:v>19300000</x:v>
      </x:c>
      <x:c r="I2502" s="10" t="n">
        <x:v>0.08</x:v>
      </x:c>
      <x:c r="J2502" s="11" t="n">
        <x:v>11</x:v>
      </x:c>
      <x:c r="K2502" s="11" t="n">
        <x:v>7</x:v>
      </x:c>
      <x:c r="L2502" s="11" t="n">
        <x:v>0</x:v>
      </x:c>
      <x:c r="M2502" s="9" t="n">
        <x:f>ROUND(H2502*(1-I2502),2)</x:f>
        <x:v>17756000</x:v>
      </x:c>
      <x:c r="N2502" s="4" t="str">
        <x:v>Sales head</x:v>
      </x:c>
      <x:c r="O2502" s="4"/>
      <x:c r="P2502" s="9" t="n">
        <x:v>0</x:v>
      </x:c>
      <x:c r="Q2502" s="11" t="n">
        <x:v>0</x:v>
      </x:c>
      <x:c r="R2502" s="8" t="n">
        <x:v>45512</x:v>
      </x:c>
      <x:c r="S2502" s="4" t="str">
        <x:v>Retained</x:v>
      </x:c>
      <x:c r="T2502" s="10" t="n">
        <x:v>0.351536</x:v>
      </x:c>
      <x:c r="U2502" s="4" t="str">
        <x:v>Excluded / unlabelled</x:v>
      </x:c>
    </x:row>
    <x:row r="2503" ht="34" customHeight="1">
      <x:c r="A2503" s="4" t="str">
        <x:v>RS-02502</x:v>
      </x:c>
      <x:c r="B2503" s="8" t="n">
        <x:v>45453</x:v>
      </x:c>
      <x:c r="C2503" s="4" t="str">
        <x:v>PRJ-002</x:v>
      </x:c>
      <x:c r="D2503" s="4" t="str">
        <x:v>Office</x:v>
      </x:c>
      <x:c r="E2503" s="4" t="str">
        <x:v>Booked</x:v>
      </x:c>
      <x:c r="F2503" s="4" t="str">
        <x:v>CUS-02502</x:v>
      </x:c>
      <x:c r="G2503" s="4" t="str">
        <x:v>UNIT-02502</x:v>
      </x:c>
      <x:c r="H2503" s="9" t="n">
        <x:v>13300000</x:v>
      </x:c>
      <x:c r="I2503" s="10" t="n">
        <x:v>0.11</x:v>
      </x:c>
      <x:c r="J2503" s="11" t="n">
        <x:v>1</x:v>
      </x:c>
      <x:c r="K2503" s="11" t="n">
        <x:v>3</x:v>
      </x:c>
      <x:c r="L2503" s="11" t="n">
        <x:v>0</x:v>
      </x:c>
      <x:c r="M2503" s="9" t="n">
        <x:f>ROUND(H2503*(1-I2503),2)</x:f>
        <x:v>11837000</x:v>
      </x:c>
      <x:c r="N2503" s="4" t="str">
        <x:v>Sales head</x:v>
      </x:c>
      <x:c r="O2503" s="4" t="str">
        <x:v>BOOK-02502</x:v>
      </x:c>
      <x:c r="P2503" s="9" t="n">
        <x:v>5918500</x:v>
      </x:c>
      <x:c r="Q2503" s="11" t="n">
        <x:v>0</x:v>
      </x:c>
      <x:c r="R2503" s="8" t="n">
        <x:v>45513</x:v>
      </x:c>
      <x:c r="S2503" s="4" t="str">
        <x:v>Retained</x:v>
      </x:c>
      <x:c r="T2503" s="10" t="n">
        <x:v>0.145833</x:v>
      </x:c>
      <x:c r="U2503" s="4" t="str">
        <x:v>Excluded / unlabelled</x:v>
      </x:c>
    </x:row>
    <x:row r="2504" ht="34" customHeight="1">
      <x:c r="A2504" s="4" t="str">
        <x:v>RS-02503</x:v>
      </x:c>
      <x:c r="B2504" s="8" t="n">
        <x:v>45454</x:v>
      </x:c>
      <x:c r="C2504" s="4" t="str">
        <x:v>PRJ-003</x:v>
      </x:c>
      <x:c r="D2504" s="4" t="str">
        <x:v>Apartment</x:v>
      </x:c>
      <x:c r="E2504" s="4" t="str">
        <x:v>Handed over</x:v>
      </x:c>
      <x:c r="F2504" s="4" t="str">
        <x:v>CUS-02503</x:v>
      </x:c>
      <x:c r="G2504" s="4" t="str">
        <x:v>UNIT-02503</x:v>
      </x:c>
      <x:c r="H2504" s="9" t="n">
        <x:v>23100000</x:v>
      </x:c>
      <x:c r="I2504" s="10" t="n">
        <x:v>0.01</x:v>
      </x:c>
      <x:c r="J2504" s="11" t="n">
        <x:v>11</x:v>
      </x:c>
      <x:c r="K2504" s="11" t="n">
        <x:v>8</x:v>
      </x:c>
      <x:c r="L2504" s="11" t="n">
        <x:v>0</x:v>
      </x:c>
      <x:c r="M2504" s="9" t="n">
        <x:f>ROUND(H2504*(1-I2504),2)</x:f>
        <x:v>22869000</x:v>
      </x:c>
      <x:c r="N2504" s="4" t="str">
        <x:v>Sales manager</x:v>
      </x:c>
      <x:c r="O2504" s="4" t="str">
        <x:v>BOOK-02503</x:v>
      </x:c>
      <x:c r="P2504" s="9" t="n">
        <x:v>22869000</x:v>
      </x:c>
      <x:c r="Q2504" s="11" t="n">
        <x:v>0</x:v>
      </x:c>
      <x:c r="R2504" s="8" t="n">
        <x:v>45514</x:v>
      </x:c>
      <x:c r="S2504" s="4" t="str">
        <x:v>Retained</x:v>
      </x:c>
      <x:c r="T2504" s="10" t="n">
        <x:v>0.305556</x:v>
      </x:c>
      <x:c r="U2504" s="4" t="str">
        <x:v>Excluded / unlabelled</x:v>
      </x:c>
    </x:row>
    <x:row r="2505" ht="34" customHeight="1">
      <x:c r="A2505" s="4" t="str">
        <x:v>RS-02504</x:v>
      </x:c>
      <x:c r="B2505" s="8" t="n">
        <x:v>45455</x:v>
      </x:c>
      <x:c r="C2505" s="4" t="str">
        <x:v>PRJ-004</x:v>
      </x:c>
      <x:c r="D2505" s="4" t="str">
        <x:v>Office</x:v>
      </x:c>
      <x:c r="E2505" s="4" t="str">
        <x:v>Handed over</x:v>
      </x:c>
      <x:c r="F2505" s="4" t="str">
        <x:v>CUS-02504</x:v>
      </x:c>
      <x:c r="G2505" s="4" t="str">
        <x:v>UNIT-02504</x:v>
      </x:c>
      <x:c r="H2505" s="9" t="n">
        <x:v>19100000</x:v>
      </x:c>
      <x:c r="I2505" s="10" t="n">
        <x:v>0.01</x:v>
      </x:c>
      <x:c r="J2505" s="11" t="n">
        <x:v>9</x:v>
      </x:c>
      <x:c r="K2505" s="11" t="n">
        <x:v>4</x:v>
      </x:c>
      <x:c r="L2505" s="11" t="n">
        <x:v>1</x:v>
      </x:c>
      <x:c r="M2505" s="9" t="n">
        <x:f>ROUND(H2505*(1-I2505),2)</x:f>
        <x:v>18909000</x:v>
      </x:c>
      <x:c r="N2505" s="4" t="str">
        <x:v>Sales manager</x:v>
      </x:c>
      <x:c r="O2505" s="4" t="str">
        <x:v>BOOK-02504</x:v>
      </x:c>
      <x:c r="P2505" s="9" t="n">
        <x:v>9454500</x:v>
      </x:c>
      <x:c r="Q2505" s="11" t="n">
        <x:v>0</x:v>
      </x:c>
      <x:c r="R2505" s="8" t="n">
        <x:v>45515</x:v>
      </x:c>
      <x:c r="S2505" s="4" t="str">
        <x:v>Retained</x:v>
      </x:c>
      <x:c r="T2505" s="10" t="n">
        <x:v>0.254545</x:v>
      </x:c>
      <x:c r="U2505" s="4" t="str">
        <x:v>Excluded / unlabelled</x:v>
      </x:c>
    </x:row>
    <x:row r="2506" ht="34" customHeight="1">
      <x:c r="A2506" s="4" t="str">
        <x:v>RS-02505</x:v>
      </x:c>
      <x:c r="B2506" s="8" t="n">
        <x:v>45456</x:v>
      </x:c>
      <x:c r="C2506" s="4" t="str">
        <x:v>PRJ-005</x:v>
      </x:c>
      <x:c r="D2506" s="4" t="str">
        <x:v>Villa</x:v>
      </x:c>
      <x:c r="E2506" s="4" t="str">
        <x:v>Handed over</x:v>
      </x:c>
      <x:c r="F2506" s="4" t="str">
        <x:v>CUS-02505</x:v>
      </x:c>
      <x:c r="G2506" s="4" t="str">
        <x:v>UNIT-02505</x:v>
      </x:c>
      <x:c r="H2506" s="9" t="n">
        <x:v>20700000</x:v>
      </x:c>
      <x:c r="I2506" s="10" t="n">
        <x:v>0.05</x:v>
      </x:c>
      <x:c r="J2506" s="11" t="n">
        <x:v>7</x:v>
      </x:c>
      <x:c r="K2506" s="11" t="n">
        <x:v>10</x:v>
      </x:c>
      <x:c r="L2506" s="11" t="n">
        <x:v>1</x:v>
      </x:c>
      <x:c r="M2506" s="9" t="n">
        <x:f>ROUND(H2506*(1-I2506),2)</x:f>
        <x:v>19665000</x:v>
      </x:c>
      <x:c r="N2506" s="4" t="str">
        <x:v>Sales manager</x:v>
      </x:c>
      <x:c r="O2506" s="4" t="str">
        <x:v>BOOK-02505</x:v>
      </x:c>
      <x:c r="P2506" s="9" t="n">
        <x:v>19665000</x:v>
      </x:c>
      <x:c r="Q2506" s="11" t="n">
        <x:v>0</x:v>
      </x:c>
      <x:c r="R2506" s="8" t="n">
        <x:v>45516</x:v>
      </x:c>
      <x:c r="S2506" s="4" t="str">
        <x:v>Retained</x:v>
      </x:c>
      <x:c r="T2506" s="10" t="n">
        <x:v>0.291946</x:v>
      </x:c>
      <x:c r="U2506" s="4" t="str">
        <x:v>Excluded / unlabelled</x:v>
      </x:c>
    </x:row>
    <x:row r="2507" ht="34" customHeight="1">
      <x:c r="A2507" s="4" t="str">
        <x:v>RS-02506</x:v>
      </x:c>
      <x:c r="B2507" s="8" t="n">
        <x:v>45457</x:v>
      </x:c>
      <x:c r="C2507" s="4" t="str">
        <x:v>PRJ-006</x:v>
      </x:c>
      <x:c r="D2507" s="4" t="str">
        <x:v>Apartment</x:v>
      </x:c>
      <x:c r="E2507" s="4" t="str">
        <x:v>Agreement signed</x:v>
      </x:c>
      <x:c r="F2507" s="4" t="str">
        <x:v>CUS-02506</x:v>
      </x:c>
      <x:c r="G2507" s="4" t="str">
        <x:v>UNIT-02506</x:v>
      </x:c>
      <x:c r="H2507" s="9" t="n">
        <x:v>12600000</x:v>
      </x:c>
      <x:c r="I2507" s="10" t="n">
        <x:v>0.02</x:v>
      </x:c>
      <x:c r="J2507" s="11" t="n">
        <x:v>9</x:v>
      </x:c>
      <x:c r="K2507" s="11" t="n">
        <x:v>1</x:v>
      </x:c>
      <x:c r="L2507" s="11" t="n">
        <x:v>0</x:v>
      </x:c>
      <x:c r="M2507" s="9" t="n">
        <x:f>ROUND(H2507*(1-I2507),2)</x:f>
        <x:v>12348000</x:v>
      </x:c>
      <x:c r="N2507" s="4" t="str">
        <x:v>Sales manager</x:v>
      </x:c>
      <x:c r="O2507" s="4" t="str">
        <x:v>BOOK-02506</x:v>
      </x:c>
      <x:c r="P2507" s="9" t="n">
        <x:v>1234800</x:v>
      </x:c>
      <x:c r="Q2507" s="11" t="n">
        <x:v>0</x:v>
      </x:c>
      <x:c r="R2507" s="8" t="n">
        <x:v>45517</x:v>
      </x:c>
      <x:c r="S2507" s="4" t="str">
        <x:v>Retained</x:v>
      </x:c>
      <x:c r="T2507" s="10" t="n">
        <x:v>0.305556</x:v>
      </x:c>
      <x:c r="U2507" s="4" t="str">
        <x:v>Excluded / unlabelled</x:v>
      </x:c>
    </x:row>
    <x:row r="2508" ht="34" customHeight="1">
      <x:c r="A2508" s="4" t="str">
        <x:v>RS-02507</x:v>
      </x:c>
      <x:c r="B2508" s="8" t="n">
        <x:v>45458</x:v>
      </x:c>
      <x:c r="C2508" s="4" t="str">
        <x:v>PRJ-007</x:v>
      </x:c>
      <x:c r="D2508" s="4" t="str">
        <x:v>Retail</x:v>
      </x:c>
      <x:c r="E2508" s="4" t="str">
        <x:v>Agreement signed</x:v>
      </x:c>
      <x:c r="F2508" s="4" t="str">
        <x:v>CUS-02507</x:v>
      </x:c>
      <x:c r="G2508" s="4" t="str">
        <x:v>UNIT-02507</x:v>
      </x:c>
      <x:c r="H2508" s="9" t="n">
        <x:v>20200000</x:v>
      </x:c>
      <x:c r="I2508" s="10" t="n">
        <x:v>0.05</x:v>
      </x:c>
      <x:c r="J2508" s="11" t="n">
        <x:v>11</x:v>
      </x:c>
      <x:c r="K2508" s="11" t="n">
        <x:v>6</x:v>
      </x:c>
      <x:c r="L2508" s="11" t="n">
        <x:v>1</x:v>
      </x:c>
      <x:c r="M2508" s="9" t="n">
        <x:f>ROUND(H2508*(1-I2508),2)</x:f>
        <x:v>19190000</x:v>
      </x:c>
      <x:c r="N2508" s="4" t="str">
        <x:v>Sales manager</x:v>
      </x:c>
      <x:c r="O2508" s="4" t="str">
        <x:v>BOOK-02507</x:v>
      </x:c>
      <x:c r="P2508" s="9" t="n">
        <x:v>19190000</x:v>
      </x:c>
      <x:c r="Q2508" s="11" t="n">
        <x:v>0</x:v>
      </x:c>
      <x:c r="R2508" s="8" t="n">
        <x:v>45518</x:v>
      </x:c>
      <x:c r="S2508" s="4" t="str">
        <x:v>Retained</x:v>
      </x:c>
      <x:c r="T2508" s="10" t="n">
        <x:v>0.351536</x:v>
      </x:c>
      <x:c r="U2508" s="4" t="str">
        <x:v>Excluded / unlabelled</x:v>
      </x:c>
    </x:row>
    <x:row r="2509" ht="34" customHeight="1">
      <x:c r="A2509" s="4" t="str">
        <x:v>RS-02508</x:v>
      </x:c>
      <x:c r="B2509" s="8" t="n">
        <x:v>45459</x:v>
      </x:c>
      <x:c r="C2509" s="4" t="str">
        <x:v>PRJ-008</x:v>
      </x:c>
      <x:c r="D2509" s="4" t="str">
        <x:v>Office</x:v>
      </x:c>
      <x:c r="E2509" s="4" t="str">
        <x:v>Reserved</x:v>
      </x:c>
      <x:c r="F2509" s="4" t="str">
        <x:v>CUS-02508</x:v>
      </x:c>
      <x:c r="G2509" s="4" t="str">
        <x:v>UNIT-02508</x:v>
      </x:c>
      <x:c r="H2509" s="9" t="n">
        <x:v>18400000</x:v>
      </x:c>
      <x:c r="I2509" s="10" t="n">
        <x:v>0.03</x:v>
      </x:c>
      <x:c r="J2509" s="11" t="n">
        <x:v>9</x:v>
      </x:c>
      <x:c r="K2509" s="11" t="n">
        <x:v>7</x:v>
      </x:c>
      <x:c r="L2509" s="11" t="n">
        <x:v>1</x:v>
      </x:c>
      <x:c r="M2509" s="9" t="n">
        <x:f>ROUND(H2509*(1-I2509),2)</x:f>
        <x:v>17848000</x:v>
      </x:c>
      <x:c r="N2509" s="4" t="str">
        <x:v>Sales manager</x:v>
      </x:c>
      <x:c r="O2509" s="4"/>
      <x:c r="P2509" s="9" t="n">
        <x:v>0</x:v>
      </x:c>
      <x:c r="Q2509" s="11" t="n">
        <x:v>1</x:v>
      </x:c>
      <x:c r="R2509" s="8" t="n">
        <x:v>45519</x:v>
      </x:c>
      <x:c r="S2509" s="4" t="str">
        <x:v>Lost / cancelled</x:v>
      </x:c>
      <x:c r="T2509" s="10" t="n">
        <x:v>0.310195</x:v>
      </x:c>
      <x:c r="U2509" s="4" t="str">
        <x:v>Excluded / unlabelled</x:v>
      </x:c>
    </x:row>
    <x:row r="2510" ht="34" customHeight="1">
      <x:c r="A2510" s="4" t="str">
        <x:v>RS-02509</x:v>
      </x:c>
      <x:c r="B2510" s="8" t="n">
        <x:v>45460</x:v>
      </x:c>
      <x:c r="C2510" s="4" t="str">
        <x:v>PRJ-009</x:v>
      </x:c>
      <x:c r="D2510" s="4" t="str">
        <x:v>Apartment</x:v>
      </x:c>
      <x:c r="E2510" s="4" t="str">
        <x:v>Cancelled</x:v>
      </x:c>
      <x:c r="F2510" s="4" t="str">
        <x:v>CUS-02509</x:v>
      </x:c>
      <x:c r="G2510" s="4" t="str">
        <x:v>UNIT-02509</x:v>
      </x:c>
      <x:c r="H2510" s="9" t="n">
        <x:v>11900000</x:v>
      </x:c>
      <x:c r="I2510" s="10" t="n">
        <x:v>0.1</x:v>
      </x:c>
      <x:c r="J2510" s="11" t="n">
        <x:v>12</x:v>
      </x:c>
      <x:c r="K2510" s="11" t="n">
        <x:v>3</x:v>
      </x:c>
      <x:c r="L2510" s="11" t="n">
        <x:v>0</x:v>
      </x:c>
      <x:c r="M2510" s="9" t="n">
        <x:f>ROUND(H2510*(1-I2510),2)</x:f>
        <x:v>10710000</x:v>
      </x:c>
      <x:c r="N2510" s="4" t="str">
        <x:v>Sales head</x:v>
      </x:c>
      <x:c r="O2510" s="4"/>
      <x:c r="P2510" s="9" t="n">
        <x:v>0</x:v>
      </x:c>
      <x:c r="Q2510" s="11" t="n">
        <x:v>1</x:v>
      </x:c>
      <x:c r="R2510" s="8" t="n">
        <x:v>45520</x:v>
      </x:c>
      <x:c r="S2510" s="4" t="str">
        <x:v>Lost / cancelled</x:v>
      </x:c>
      <x:c r="T2510" s="10" t="n">
        <x:v>0.351536</x:v>
      </x:c>
      <x:c r="U2510" s="4" t="str">
        <x:v>Excluded / unlabelled</x:v>
      </x:c>
    </x:row>
    <x:row r="2511" ht="34" customHeight="1">
      <x:c r="A2511" s="4" t="str">
        <x:v>RS-02510</x:v>
      </x:c>
      <x:c r="B2511" s="8" t="n">
        <x:v>45461</x:v>
      </x:c>
      <x:c r="C2511" s="4" t="str">
        <x:v>PRJ-010</x:v>
      </x:c>
      <x:c r="D2511" s="4" t="str">
        <x:v>Retail</x:v>
      </x:c>
      <x:c r="E2511" s="4" t="str">
        <x:v>Agreement signed</x:v>
      </x:c>
      <x:c r="F2511" s="4" t="str">
        <x:v>CUS-02510</x:v>
      </x:c>
      <x:c r="G2511" s="4" t="str">
        <x:v>UNIT-02510</x:v>
      </x:c>
      <x:c r="H2511" s="9" t="n">
        <x:v>7300000</x:v>
      </x:c>
      <x:c r="I2511" s="10" t="n">
        <x:v>0.06</x:v>
      </x:c>
      <x:c r="J2511" s="11" t="n">
        <x:v>8</x:v>
      </x:c>
      <x:c r="K2511" s="11" t="n">
        <x:v>0</x:v>
      </x:c>
      <x:c r="L2511" s="11" t="n">
        <x:v>1</x:v>
      </x:c>
      <x:c r="M2511" s="9" t="n">
        <x:f>ROUND(H2511*(1-I2511),2)</x:f>
        <x:v>6862000</x:v>
      </x:c>
      <x:c r="N2511" s="4" t="str">
        <x:v>Sales manager</x:v>
      </x:c>
      <x:c r="O2511" s="4" t="str">
        <x:v>BOOK-02510</x:v>
      </x:c>
      <x:c r="P2511" s="9" t="n">
        <x:v>3431000</x:v>
      </x:c>
      <x:c r="Q2511" s="11" t="n">
        <x:v>0</x:v>
      </x:c>
      <x:c r="R2511" s="8" t="n">
        <x:v>45521</x:v>
      </x:c>
      <x:c r="S2511" s="4" t="str">
        <x:v>Retained</x:v>
      </x:c>
      <x:c r="T2511" s="10" t="n">
        <x:v>0.310195</x:v>
      </x:c>
      <x:c r="U2511" s="4" t="str">
        <x:v>Excluded / unlabelled</x:v>
      </x:c>
    </x:row>
    <x:row r="2512" ht="34" customHeight="1">
      <x:c r="A2512" s="4" t="str">
        <x:v>RS-02511</x:v>
      </x:c>
      <x:c r="B2512" s="8" t="n">
        <x:v>45462</x:v>
      </x:c>
      <x:c r="C2512" s="4" t="str">
        <x:v>PRJ-011</x:v>
      </x:c>
      <x:c r="D2512" s="4" t="str">
        <x:v>Office</x:v>
      </x:c>
      <x:c r="E2512" s="4" t="str">
        <x:v>Enquiry</x:v>
      </x:c>
      <x:c r="F2512" s="4" t="str">
        <x:v>CUS-02511</x:v>
      </x:c>
      <x:c r="G2512" s="4" t="str">
        <x:v>UNIT-02511</x:v>
      </x:c>
      <x:c r="H2512" s="9" t="n">
        <x:v>12200000</x:v>
      </x:c>
      <x:c r="I2512" s="10" t="n">
        <x:v>0.09</x:v>
      </x:c>
      <x:c r="J2512" s="11" t="n">
        <x:v>8</x:v>
      </x:c>
      <x:c r="K2512" s="11" t="n">
        <x:v>10</x:v>
      </x:c>
      <x:c r="L2512" s="11" t="n">
        <x:v>0</x:v>
      </x:c>
      <x:c r="M2512" s="9" t="n">
        <x:f>ROUND(H2512*(1-I2512),2)</x:f>
        <x:v>11102000</x:v>
      </x:c>
      <x:c r="N2512" s="4" t="str">
        <x:v>Sales head</x:v>
      </x:c>
      <x:c r="O2512" s="4"/>
      <x:c r="P2512" s="9" t="n">
        <x:v>0</x:v>
      </x:c>
      <x:c r="Q2512" s="11" t="n">
        <x:v>0</x:v>
      </x:c>
      <x:c r="R2512" s="8" t="n">
        <x:v>45522</x:v>
      </x:c>
      <x:c r="S2512" s="4" t="str">
        <x:v>Retained</x:v>
      </x:c>
      <x:c r="T2512" s="10" t="n">
        <x:v>0.310195</x:v>
      </x:c>
      <x:c r="U2512" s="4" t="str">
        <x:v>Excluded / unlabelled</x:v>
      </x:c>
    </x:row>
    <x:row r="2513" ht="34" customHeight="1">
      <x:c r="A2513" s="4" t="str">
        <x:v>RS-02512</x:v>
      </x:c>
      <x:c r="B2513" s="8" t="n">
        <x:v>45463</x:v>
      </x:c>
      <x:c r="C2513" s="4" t="str">
        <x:v>PRJ-012</x:v>
      </x:c>
      <x:c r="D2513" s="4" t="str">
        <x:v>Villa</x:v>
      </x:c>
      <x:c r="E2513" s="4" t="str">
        <x:v>Reserved</x:v>
      </x:c>
      <x:c r="F2513" s="4" t="str">
        <x:v>CUS-02512</x:v>
      </x:c>
      <x:c r="G2513" s="4" t="str">
        <x:v>UNIT-02512</x:v>
      </x:c>
      <x:c r="H2513" s="9" t="n">
        <x:v>8600000</x:v>
      </x:c>
      <x:c r="I2513" s="10" t="n">
        <x:v>0.08</x:v>
      </x:c>
      <x:c r="J2513" s="11" t="n">
        <x:v>0</x:v>
      </x:c>
      <x:c r="K2513" s="11" t="n">
        <x:v>0</x:v>
      </x:c>
      <x:c r="L2513" s="11" t="n">
        <x:v>0</x:v>
      </x:c>
      <x:c r="M2513" s="9" t="n">
        <x:f>ROUND(H2513*(1-I2513),2)</x:f>
        <x:v>7912000</x:v>
      </x:c>
      <x:c r="N2513" s="4" t="str">
        <x:v>Sales head</x:v>
      </x:c>
      <x:c r="O2513" s="4"/>
      <x:c r="P2513" s="9" t="n">
        <x:v>0</x:v>
      </x:c>
      <x:c r="Q2513" s="11" t="n">
        <x:v>0</x:v>
      </x:c>
      <x:c r="R2513" s="8" t="n">
        <x:v>45523</x:v>
      </x:c>
      <x:c r="S2513" s="4" t="str">
        <x:v>Retained</x:v>
      </x:c>
      <x:c r="T2513" s="10" t="n">
        <x:v>0.276923</x:v>
      </x:c>
      <x:c r="U2513" s="4" t="str">
        <x:v>Excluded / unlabelled</x:v>
      </x:c>
    </x:row>
    <x:row r="2514" ht="34" customHeight="1">
      <x:c r="A2514" s="4" t="str">
        <x:v>RS-02513</x:v>
      </x:c>
      <x:c r="B2514" s="8" t="n">
        <x:v>45464</x:v>
      </x:c>
      <x:c r="C2514" s="4" t="str">
        <x:v>PRJ-013</x:v>
      </x:c>
      <x:c r="D2514" s="4" t="str">
        <x:v>Retail</x:v>
      </x:c>
      <x:c r="E2514" s="4" t="str">
        <x:v>Reserved</x:v>
      </x:c>
      <x:c r="F2514" s="4" t="str">
        <x:v>CUS-02513</x:v>
      </x:c>
      <x:c r="G2514" s="4" t="str">
        <x:v>UNIT-02513</x:v>
      </x:c>
      <x:c r="H2514" s="9" t="n">
        <x:v>9500000</x:v>
      </x:c>
      <x:c r="I2514" s="10" t="n">
        <x:v>0.03</x:v>
      </x:c>
      <x:c r="J2514" s="11" t="n">
        <x:v>10</x:v>
      </x:c>
      <x:c r="K2514" s="11" t="n">
        <x:v>8</x:v>
      </x:c>
      <x:c r="L2514" s="11" t="n">
        <x:v>1</x:v>
      </x:c>
      <x:c r="M2514" s="9" t="n">
        <x:f>ROUND(H2514*(1-I2514),2)</x:f>
        <x:v>9215000</x:v>
      </x:c>
      <x:c r="N2514" s="4" t="str">
        <x:v>Sales manager</x:v>
      </x:c>
      <x:c r="O2514" s="4"/>
      <x:c r="P2514" s="9" t="n">
        <x:v>0</x:v>
      </x:c>
      <x:c r="Q2514" s="11" t="n">
        <x:v>1</x:v>
      </x:c>
      <x:c r="R2514" s="8" t="n">
        <x:v>45524</x:v>
      </x:c>
      <x:c r="S2514" s="4" t="str">
        <x:v>Lost / cancelled</x:v>
      </x:c>
      <x:c r="T2514" s="10" t="n">
        <x:v>0.310195</x:v>
      </x:c>
      <x:c r="U2514" s="4" t="str">
        <x:v>Excluded / unlabelled</x:v>
      </x:c>
    </x:row>
    <x:row r="2515" ht="34" customHeight="1">
      <x:c r="A2515" s="4" t="str">
        <x:v>RS-02514</x:v>
      </x:c>
      <x:c r="B2515" s="8" t="n">
        <x:v>45465</x:v>
      </x:c>
      <x:c r="C2515" s="4" t="str">
        <x:v>PRJ-014</x:v>
      </x:c>
      <x:c r="D2515" s="4" t="str">
        <x:v>Office</x:v>
      </x:c>
      <x:c r="E2515" s="4" t="str">
        <x:v>Booked</x:v>
      </x:c>
      <x:c r="F2515" s="4" t="str">
        <x:v>CUS-02514</x:v>
      </x:c>
      <x:c r="G2515" s="4" t="str">
        <x:v>UNIT-02514</x:v>
      </x:c>
      <x:c r="H2515" s="9" t="n">
        <x:v>22500000</x:v>
      </x:c>
      <x:c r="I2515" s="10" t="n">
        <x:v>0.11</x:v>
      </x:c>
      <x:c r="J2515" s="11" t="n">
        <x:v>12</x:v>
      </x:c>
      <x:c r="K2515" s="11" t="n">
        <x:v>7</x:v>
      </x:c>
      <x:c r="L2515" s="11" t="n">
        <x:v>1</x:v>
      </x:c>
      <x:c r="M2515" s="9" t="n">
        <x:f>ROUND(H2515*(1-I2515),2)</x:f>
        <x:v>20025000</x:v>
      </x:c>
      <x:c r="N2515" s="4" t="str">
        <x:v>Sales head</x:v>
      </x:c>
      <x:c r="O2515" s="4" t="str">
        <x:v>BOOK-02514</x:v>
      </x:c>
      <x:c r="P2515" s="9" t="n">
        <x:v>20025000</x:v>
      </x:c>
      <x:c r="Q2515" s="11" t="n">
        <x:v>0</x:v>
      </x:c>
      <x:c r="R2515" s="8" t="n">
        <x:v>45525</x:v>
      </x:c>
      <x:c r="S2515" s="4" t="str">
        <x:v>Retained</x:v>
      </x:c>
      <x:c r="T2515" s="10" t="n">
        <x:v>0.351536</x:v>
      </x:c>
      <x:c r="U2515" s="4" t="str">
        <x:v>Excluded / unlabelled</x:v>
      </x:c>
    </x:row>
    <x:row r="2516" ht="34" customHeight="1">
      <x:c r="A2516" s="4" t="str">
        <x:v>RS-02515</x:v>
      </x:c>
      <x:c r="B2516" s="8" t="n">
        <x:v>45466</x:v>
      </x:c>
      <x:c r="C2516" s="4" t="str">
        <x:v>PRJ-015</x:v>
      </x:c>
      <x:c r="D2516" s="4" t="str">
        <x:v>Office</x:v>
      </x:c>
      <x:c r="E2516" s="4" t="str">
        <x:v>Reserved</x:v>
      </x:c>
      <x:c r="F2516" s="4" t="str">
        <x:v>CUS-02515</x:v>
      </x:c>
      <x:c r="G2516" s="4" t="str">
        <x:v>UNIT-02515</x:v>
      </x:c>
      <x:c r="H2516" s="9" t="n">
        <x:v>25000000</x:v>
      </x:c>
      <x:c r="I2516" s="10" t="n">
        <x:v>0.03</x:v>
      </x:c>
      <x:c r="J2516" s="11" t="n">
        <x:v>7</x:v>
      </x:c>
      <x:c r="K2516" s="11" t="n">
        <x:v>5</x:v>
      </x:c>
      <x:c r="L2516" s="11" t="n">
        <x:v>0</x:v>
      </x:c>
      <x:c r="M2516" s="9" t="n">
        <x:f>ROUND(H2516*(1-I2516),2)</x:f>
        <x:v>24250000</x:v>
      </x:c>
      <x:c r="N2516" s="4" t="str">
        <x:v>Sales manager</x:v>
      </x:c>
      <x:c r="O2516" s="4"/>
      <x:c r="P2516" s="9" t="n">
        <x:v>0</x:v>
      </x:c>
      <x:c r="Q2516" s="11" t="n">
        <x:v>0</x:v>
      </x:c>
      <x:c r="R2516" s="8" t="n">
        <x:v>45526</x:v>
      </x:c>
      <x:c r="S2516" s="4" t="str">
        <x:v>Retained</x:v>
      </x:c>
      <x:c r="T2516" s="10" t="n">
        <x:v>0.145299</x:v>
      </x:c>
      <x:c r="U2516" s="4" t="str">
        <x:v>Excluded / unlabelled</x:v>
      </x:c>
    </x:row>
    <x:row r="2517" ht="34" customHeight="1">
      <x:c r="A2517" s="4" t="str">
        <x:v>RS-02516</x:v>
      </x:c>
      <x:c r="B2517" s="8" t="n">
        <x:v>45467</x:v>
      </x:c>
      <x:c r="C2517" s="4" t="str">
        <x:v>PRJ-016</x:v>
      </x:c>
      <x:c r="D2517" s="4" t="str">
        <x:v>Apartment</x:v>
      </x:c>
      <x:c r="E2517" s="4" t="str">
        <x:v>Agreement signed</x:v>
      </x:c>
      <x:c r="F2517" s="4" t="str">
        <x:v>CUS-02516</x:v>
      </x:c>
      <x:c r="G2517" s="4" t="str">
        <x:v>UNIT-02516</x:v>
      </x:c>
      <x:c r="H2517" s="9" t="n">
        <x:v>13700000</x:v>
      </x:c>
      <x:c r="I2517" s="10" t="n">
        <x:v>0.09</x:v>
      </x:c>
      <x:c r="J2517" s="11" t="n">
        <x:v>8</x:v>
      </x:c>
      <x:c r="K2517" s="11" t="n">
        <x:v>6</x:v>
      </x:c>
      <x:c r="L2517" s="11" t="n">
        <x:v>1</x:v>
      </x:c>
      <x:c r="M2517" s="9" t="n">
        <x:f>ROUND(H2517*(1-I2517),2)</x:f>
        <x:v>12467000</x:v>
      </x:c>
      <x:c r="N2517" s="4" t="str">
        <x:v>Sales head</x:v>
      </x:c>
      <x:c r="O2517" s="4" t="str">
        <x:v>BOOK-02516</x:v>
      </x:c>
      <x:c r="P2517" s="9" t="n">
        <x:v>3116750</x:v>
      </x:c>
      <x:c r="Q2517" s="11" t="n">
        <x:v>0</x:v>
      </x:c>
      <x:c r="R2517" s="8" t="n">
        <x:v>45527</x:v>
      </x:c>
      <x:c r="S2517" s="4" t="str">
        <x:v>Retained</x:v>
      </x:c>
      <x:c r="T2517" s="10" t="n">
        <x:v>0.310195</x:v>
      </x:c>
      <x:c r="U2517" s="4" t="str">
        <x:v>Excluded / unlabelled</x:v>
      </x:c>
    </x:row>
    <x:row r="2518" ht="34" customHeight="1">
      <x:c r="A2518" s="4" t="str">
        <x:v>RS-02517</x:v>
      </x:c>
      <x:c r="B2518" s="8" t="n">
        <x:v>45468</x:v>
      </x:c>
      <x:c r="C2518" s="4" t="str">
        <x:v>PRJ-017</x:v>
      </x:c>
      <x:c r="D2518" s="4" t="str">
        <x:v>Apartment</x:v>
      </x:c>
      <x:c r="E2518" s="4" t="str">
        <x:v>Reserved</x:v>
      </x:c>
      <x:c r="F2518" s="4" t="str">
        <x:v>CUS-02517</x:v>
      </x:c>
      <x:c r="G2518" s="4" t="str">
        <x:v>UNIT-02517</x:v>
      </x:c>
      <x:c r="H2518" s="9" t="n">
        <x:v>9400000</x:v>
      </x:c>
      <x:c r="I2518" s="10" t="n">
        <x:v>0.02</x:v>
      </x:c>
      <x:c r="J2518" s="11" t="n">
        <x:v>2</x:v>
      </x:c>
      <x:c r="K2518" s="11" t="n">
        <x:v>9</x:v>
      </x:c>
      <x:c r="L2518" s="11" t="n">
        <x:v>1</x:v>
      </x:c>
      <x:c r="M2518" s="9" t="n">
        <x:f>ROUND(H2518*(1-I2518),2)</x:f>
        <x:v>9212000</x:v>
      </x:c>
      <x:c r="N2518" s="4" t="str">
        <x:v>Sales manager</x:v>
      </x:c>
      <x:c r="O2518" s="4"/>
      <x:c r="P2518" s="9" t="n">
        <x:v>0</x:v>
      </x:c>
      <x:c r="Q2518" s="11" t="n">
        <x:v>0</x:v>
      </x:c>
      <x:c r="R2518" s="8" t="n">
        <x:v>45528</x:v>
      </x:c>
      <x:c r="S2518" s="4" t="str">
        <x:v>Retained</x:v>
      </x:c>
      <x:c r="T2518" s="10" t="n">
        <x:v>0.171717</x:v>
      </x:c>
      <x:c r="U2518" s="4" t="str">
        <x:v>Excluded / unlabelled</x:v>
      </x:c>
    </x:row>
    <x:row r="2519" ht="34" customHeight="1">
      <x:c r="A2519" s="4" t="str">
        <x:v>RS-02518</x:v>
      </x:c>
      <x:c r="B2519" s="8" t="n">
        <x:v>45469</x:v>
      </x:c>
      <x:c r="C2519" s="4" t="str">
        <x:v>PRJ-018</x:v>
      </x:c>
      <x:c r="D2519" s="4" t="str">
        <x:v>Retail</x:v>
      </x:c>
      <x:c r="E2519" s="4" t="str">
        <x:v>Booked</x:v>
      </x:c>
      <x:c r="F2519" s="4" t="str">
        <x:v>CUS-02518</x:v>
      </x:c>
      <x:c r="G2519" s="4" t="str">
        <x:v>UNIT-02518</x:v>
      </x:c>
      <x:c r="H2519" s="9" t="n">
        <x:v>12400000</x:v>
      </x:c>
      <x:c r="I2519" s="10" t="n">
        <x:v>0.12</x:v>
      </x:c>
      <x:c r="J2519" s="11" t="n">
        <x:v>11</x:v>
      </x:c>
      <x:c r="K2519" s="11" t="n">
        <x:v>2</x:v>
      </x:c>
      <x:c r="L2519" s="11" t="n">
        <x:v>0</x:v>
      </x:c>
      <x:c r="M2519" s="9" t="n">
        <x:f>ROUND(H2519*(1-I2519),2)</x:f>
        <x:v>10912000</x:v>
      </x:c>
      <x:c r="N2519" s="4" t="str">
        <x:v>Sales head</x:v>
      </x:c>
      <x:c r="O2519" s="4" t="str">
        <x:v>BOOK-02518</x:v>
      </x:c>
      <x:c r="P2519" s="9" t="n">
        <x:v>2728000</x:v>
      </x:c>
      <x:c r="Q2519" s="11" t="n">
        <x:v>0</x:v>
      </x:c>
      <x:c r="R2519" s="8" t="n">
        <x:v>45529</x:v>
      </x:c>
      <x:c r="S2519" s="4" t="str">
        <x:v>Retained</x:v>
      </x:c>
      <x:c r="T2519" s="10" t="n">
        <x:v>0.351536</x:v>
      </x:c>
      <x:c r="U2519" s="4" t="str">
        <x:v>Excluded / unlabelled</x:v>
      </x:c>
    </x:row>
    <x:row r="2520" ht="34" customHeight="1">
      <x:c r="A2520" s="4" t="str">
        <x:v>RS-02519</x:v>
      </x:c>
      <x:c r="B2520" s="8" t="n">
        <x:v>45470</x:v>
      </x:c>
      <x:c r="C2520" s="4" t="str">
        <x:v>PRJ-019</x:v>
      </x:c>
      <x:c r="D2520" s="4" t="str">
        <x:v>Retail</x:v>
      </x:c>
      <x:c r="E2520" s="4" t="str">
        <x:v>Booked</x:v>
      </x:c>
      <x:c r="F2520" s="4" t="str">
        <x:v>CUS-02519</x:v>
      </x:c>
      <x:c r="G2520" s="4" t="str">
        <x:v>UNIT-02519</x:v>
      </x:c>
      <x:c r="H2520" s="9" t="n">
        <x:v>18600000</x:v>
      </x:c>
      <x:c r="I2520" s="10" t="n">
        <x:v>0.03</x:v>
      </x:c>
      <x:c r="J2520" s="11" t="n">
        <x:v>0</x:v>
      </x:c>
      <x:c r="K2520" s="11" t="n">
        <x:v>0</x:v>
      </x:c>
      <x:c r="L2520" s="11" t="n">
        <x:v>0</x:v>
      </x:c>
      <x:c r="M2520" s="9" t="n">
        <x:f>ROUND(H2520*(1-I2520),2)</x:f>
        <x:v>18042000</x:v>
      </x:c>
      <x:c r="N2520" s="4" t="str">
        <x:v>Sales manager</x:v>
      </x:c>
      <x:c r="O2520" s="4" t="str">
        <x:v>BOOK-02519</x:v>
      </x:c>
      <x:c r="P2520" s="9" t="n">
        <x:v>18042000</x:v>
      </x:c>
      <x:c r="Q2520" s="11" t="n">
        <x:v>0</x:v>
      </x:c>
      <x:c r="R2520" s="8" t="n">
        <x:v>45530</x:v>
      </x:c>
      <x:c r="S2520" s="4" t="str">
        <x:v>Retained</x:v>
      </x:c>
      <x:c r="T2520" s="10" t="n">
        <x:v>0.276923</x:v>
      </x:c>
      <x:c r="U2520" s="4" t="str">
        <x:v>Excluded / unlabelled</x:v>
      </x:c>
    </x:row>
    <x:row r="2521" ht="34" customHeight="1">
      <x:c r="A2521" s="4" t="str">
        <x:v>RS-02520</x:v>
      </x:c>
      <x:c r="B2521" s="8" t="n">
        <x:v>45471</x:v>
      </x:c>
      <x:c r="C2521" s="4" t="str">
        <x:v>PRJ-020</x:v>
      </x:c>
      <x:c r="D2521" s="4" t="str">
        <x:v>Villa</x:v>
      </x:c>
      <x:c r="E2521" s="4" t="str">
        <x:v>Agreement signed</x:v>
      </x:c>
      <x:c r="F2521" s="4" t="str">
        <x:v>CUS-02520</x:v>
      </x:c>
      <x:c r="G2521" s="4" t="str">
        <x:v>UNIT-02520</x:v>
      </x:c>
      <x:c r="H2521" s="9" t="n">
        <x:v>6400000</x:v>
      </x:c>
      <x:c r="I2521" s="10" t="n">
        <x:v>0.04</x:v>
      </x:c>
      <x:c r="J2521" s="11" t="n">
        <x:v>8</x:v>
      </x:c>
      <x:c r="K2521" s="11" t="n">
        <x:v>4</x:v>
      </x:c>
      <x:c r="L2521" s="11" t="n">
        <x:v>0</x:v>
      </x:c>
      <x:c r="M2521" s="9" t="n">
        <x:f>ROUND(H2521*(1-I2521),2)</x:f>
        <x:v>6144000</x:v>
      </x:c>
      <x:c r="N2521" s="4" t="str">
        <x:v>Sales manager</x:v>
      </x:c>
      <x:c r="O2521" s="4" t="str">
        <x:v>BOOK-02520</x:v>
      </x:c>
      <x:c r="P2521" s="9" t="n">
        <x:v>3072000</x:v>
      </x:c>
      <x:c r="Q2521" s="11" t="n">
        <x:v>0</x:v>
      </x:c>
      <x:c r="R2521" s="8" t="n">
        <x:v>45531</x:v>
      </x:c>
      <x:c r="S2521" s="4" t="str">
        <x:v>Retained</x:v>
      </x:c>
      <x:c r="T2521" s="10" t="n">
        <x:v>0.310195</x:v>
      </x:c>
      <x:c r="U2521" s="4" t="str">
        <x:v>Excluded / unlabelled</x:v>
      </x:c>
    </x:row>
    <x:row r="2522" ht="34" customHeight="1">
      <x:c r="A2522" s="4" t="str">
        <x:v>RS-02521</x:v>
      </x:c>
      <x:c r="B2522" s="8" t="n">
        <x:v>45444</x:v>
      </x:c>
      <x:c r="C2522" s="4" t="str">
        <x:v>PRJ-001</x:v>
      </x:c>
      <x:c r="D2522" s="4" t="str">
        <x:v>Apartment</x:v>
      </x:c>
      <x:c r="E2522" s="4" t="str">
        <x:v>Reserved</x:v>
      </x:c>
      <x:c r="F2522" s="4" t="str">
        <x:v>CUS-02521</x:v>
      </x:c>
      <x:c r="G2522" s="4" t="str">
        <x:v>UNIT-02521</x:v>
      </x:c>
      <x:c r="H2522" s="9" t="n">
        <x:v>25000000</x:v>
      </x:c>
      <x:c r="I2522" s="10" t="n">
        <x:v>0.05</x:v>
      </x:c>
      <x:c r="J2522" s="11" t="n">
        <x:v>2</x:v>
      </x:c>
      <x:c r="K2522" s="11" t="n">
        <x:v>1</x:v>
      </x:c>
      <x:c r="L2522" s="11" t="n">
        <x:v>0</x:v>
      </x:c>
      <x:c r="M2522" s="9" t="n">
        <x:f>ROUND(H2522*(1-I2522),2)</x:f>
        <x:v>23750000</x:v>
      </x:c>
      <x:c r="N2522" s="4" t="str">
        <x:v>Sales manager</x:v>
      </x:c>
      <x:c r="O2522" s="4"/>
      <x:c r="P2522" s="9" t="n">
        <x:v>0</x:v>
      </x:c>
      <x:c r="Q2522" s="11" t="n">
        <x:v>1</x:v>
      </x:c>
      <x:c r="R2522" s="8" t="n">
        <x:v>45504</x:v>
      </x:c>
      <x:c r="S2522" s="4" t="str">
        <x:v>Lost / cancelled</x:v>
      </x:c>
      <x:c r="T2522" s="10" t="n">
        <x:v>0.204152</x:v>
      </x:c>
      <x:c r="U2522" s="4" t="str">
        <x:v>Excluded / unlabelled</x:v>
      </x:c>
    </x:row>
    <x:row r="2523" ht="34" customHeight="1">
      <x:c r="A2523" s="4" t="str">
        <x:v>RS-02522</x:v>
      </x:c>
      <x:c r="B2523" s="8" t="n">
        <x:v>45445</x:v>
      </x:c>
      <x:c r="C2523" s="4" t="str">
        <x:v>PRJ-002</x:v>
      </x:c>
      <x:c r="D2523" s="4" t="str">
        <x:v>Retail</x:v>
      </x:c>
      <x:c r="E2523" s="4" t="str">
        <x:v>Booked</x:v>
      </x:c>
      <x:c r="F2523" s="4" t="str">
        <x:v>CUS-02522</x:v>
      </x:c>
      <x:c r="G2523" s="4" t="str">
        <x:v>UNIT-02522</x:v>
      </x:c>
      <x:c r="H2523" s="9" t="n">
        <x:v>5200000</x:v>
      </x:c>
      <x:c r="I2523" s="10" t="n">
        <x:v>0</x:v>
      </x:c>
      <x:c r="J2523" s="11" t="n">
        <x:v>5</x:v>
      </x:c>
      <x:c r="K2523" s="11" t="n">
        <x:v>10</x:v>
      </x:c>
      <x:c r="L2523" s="11" t="n">
        <x:v>0</x:v>
      </x:c>
      <x:c r="M2523" s="9" t="n">
        <x:f>ROUND(H2523*(1-I2523),2)</x:f>
        <x:v>5200000</x:v>
      </x:c>
      <x:c r="N2523" s="4" t="str">
        <x:v>Sales manager</x:v>
      </x:c>
      <x:c r="O2523" s="4" t="str">
        <x:v>BOOK-02522</x:v>
      </x:c>
      <x:c r="P2523" s="9" t="n">
        <x:v>1300000</x:v>
      </x:c>
      <x:c r="Q2523" s="11" t="n">
        <x:v>0</x:v>
      </x:c>
      <x:c r="R2523" s="8" t="n">
        <x:v>45505</x:v>
      </x:c>
      <x:c r="S2523" s="4" t="str">
        <x:v>Retained</x:v>
      </x:c>
      <x:c r="T2523" s="10" t="n">
        <x:v>0.145299</x:v>
      </x:c>
      <x:c r="U2523" s="4" t="str">
        <x:v>Excluded / unlabelled</x:v>
      </x:c>
    </x:row>
    <x:row r="2524" ht="34" customHeight="1">
      <x:c r="A2524" s="4" t="str">
        <x:v>RS-02523</x:v>
      </x:c>
      <x:c r="B2524" s="8" t="n">
        <x:v>45446</x:v>
      </x:c>
      <x:c r="C2524" s="4" t="str">
        <x:v>PRJ-003</x:v>
      </x:c>
      <x:c r="D2524" s="4" t="str">
        <x:v>Retail</x:v>
      </x:c>
      <x:c r="E2524" s="4" t="str">
        <x:v>Reserved</x:v>
      </x:c>
      <x:c r="F2524" s="4" t="str">
        <x:v>CUS-02523</x:v>
      </x:c>
      <x:c r="G2524" s="4" t="str">
        <x:v>UNIT-02523</x:v>
      </x:c>
      <x:c r="H2524" s="9" t="n">
        <x:v>5700000</x:v>
      </x:c>
      <x:c r="I2524" s="10" t="n">
        <x:v>0.05</x:v>
      </x:c>
      <x:c r="J2524" s="11" t="n">
        <x:v>9</x:v>
      </x:c>
      <x:c r="K2524" s="11" t="n">
        <x:v>5</x:v>
      </x:c>
      <x:c r="L2524" s="11" t="n">
        <x:v>0</x:v>
      </x:c>
      <x:c r="M2524" s="9" t="n">
        <x:f>ROUND(H2524*(1-I2524),2)</x:f>
        <x:v>5415000</x:v>
      </x:c>
      <x:c r="N2524" s="4" t="str">
        <x:v>Sales manager</x:v>
      </x:c>
      <x:c r="O2524" s="4"/>
      <x:c r="P2524" s="9" t="n">
        <x:v>0</x:v>
      </x:c>
      <x:c r="Q2524" s="11" t="n">
        <x:v>0</x:v>
      </x:c>
      <x:c r="R2524" s="8" t="n">
        <x:v>45506</x:v>
      </x:c>
      <x:c r="S2524" s="4" t="str">
        <x:v>Retained</x:v>
      </x:c>
      <x:c r="T2524" s="10" t="n">
        <x:v>0.310195</x:v>
      </x:c>
      <x:c r="U2524" s="4" t="str">
        <x:v>Excluded / unlabelled</x:v>
      </x:c>
    </x:row>
    <x:row r="2525" ht="34" customHeight="1">
      <x:c r="A2525" s="4" t="str">
        <x:v>RS-02524</x:v>
      </x:c>
      <x:c r="B2525" s="8" t="n">
        <x:v>45447</x:v>
      </x:c>
      <x:c r="C2525" s="4" t="str">
        <x:v>PRJ-004</x:v>
      </x:c>
      <x:c r="D2525" s="4" t="str">
        <x:v>Apartment</x:v>
      </x:c>
      <x:c r="E2525" s="4" t="str">
        <x:v>Reserved</x:v>
      </x:c>
      <x:c r="F2525" s="4" t="str">
        <x:v>CUS-02524</x:v>
      </x:c>
      <x:c r="G2525" s="4" t="str">
        <x:v>UNIT-02524</x:v>
      </x:c>
      <x:c r="H2525" s="9" t="n">
        <x:v>18700000</x:v>
      </x:c>
      <x:c r="I2525" s="10" t="n">
        <x:v>0.02</x:v>
      </x:c>
      <x:c r="J2525" s="11" t="n">
        <x:v>3</x:v>
      </x:c>
      <x:c r="K2525" s="11" t="n">
        <x:v>9</x:v>
      </x:c>
      <x:c r="L2525" s="11" t="n">
        <x:v>1</x:v>
      </x:c>
      <x:c r="M2525" s="9" t="n">
        <x:f>ROUND(H2525*(1-I2525),2)</x:f>
        <x:v>18326000</x:v>
      </x:c>
      <x:c r="N2525" s="4" t="str">
        <x:v>Sales manager</x:v>
      </x:c>
      <x:c r="O2525" s="4"/>
      <x:c r="P2525" s="9" t="n">
        <x:v>0</x:v>
      </x:c>
      <x:c r="Q2525" s="11" t="n">
        <x:v>0</x:v>
      </x:c>
      <x:c r="R2525" s="8" t="n">
        <x:v>45507</x:v>
      </x:c>
      <x:c r="S2525" s="4" t="str">
        <x:v>Retained</x:v>
      </x:c>
      <x:c r="T2525" s="10" t="n">
        <x:v>0.171717</x:v>
      </x:c>
      <x:c r="U2525" s="4" t="str">
        <x:v>Excluded / unlabelled</x:v>
      </x:c>
    </x:row>
    <x:row r="2526" ht="34" customHeight="1">
      <x:c r="A2526" s="4" t="str">
        <x:v>RS-02525</x:v>
      </x:c>
      <x:c r="B2526" s="8" t="n">
        <x:v>45448</x:v>
      </x:c>
      <x:c r="C2526" s="4" t="str">
        <x:v>PRJ-005</x:v>
      </x:c>
      <x:c r="D2526" s="4" t="str">
        <x:v>Retail</x:v>
      </x:c>
      <x:c r="E2526" s="4" t="str">
        <x:v>Booked</x:v>
      </x:c>
      <x:c r="F2526" s="4" t="str">
        <x:v>CUS-02525</x:v>
      </x:c>
      <x:c r="G2526" s="4" t="str">
        <x:v>UNIT-02525</x:v>
      </x:c>
      <x:c r="H2526" s="9" t="n">
        <x:v>6900000</x:v>
      </x:c>
      <x:c r="I2526" s="10" t="n">
        <x:v>0.07</x:v>
      </x:c>
      <x:c r="J2526" s="11" t="n">
        <x:v>9</x:v>
      </x:c>
      <x:c r="K2526" s="11" t="n">
        <x:v>0</x:v>
      </x:c>
      <x:c r="L2526" s="11" t="n">
        <x:v>0</x:v>
      </x:c>
      <x:c r="M2526" s="9" t="n">
        <x:f>ROUND(H2526*(1-I2526),2)</x:f>
        <x:v>6417000</x:v>
      </x:c>
      <x:c r="N2526" s="4" t="str">
        <x:v>Sales manager</x:v>
      </x:c>
      <x:c r="O2526" s="4" t="str">
        <x:v>BOOK-02525</x:v>
      </x:c>
      <x:c r="P2526" s="9" t="n">
        <x:v>6417000</x:v>
      </x:c>
      <x:c r="Q2526" s="11" t="n">
        <x:v>0</x:v>
      </x:c>
      <x:c r="R2526" s="8" t="n">
        <x:v>45508</x:v>
      </x:c>
      <x:c r="S2526" s="4" t="str">
        <x:v>Retained</x:v>
      </x:c>
      <x:c r="T2526" s="10" t="n">
        <x:v>0.310195</x:v>
      </x:c>
      <x:c r="U2526" s="4" t="str">
        <x:v>Excluded / unlabelled</x:v>
      </x:c>
    </x:row>
    <x:row r="2527" ht="34" customHeight="1">
      <x:c r="A2527" s="4" t="str">
        <x:v>RS-02526</x:v>
      </x:c>
      <x:c r="B2527" s="8" t="n">
        <x:v>45449</x:v>
      </x:c>
      <x:c r="C2527" s="4" t="str">
        <x:v>PRJ-006</x:v>
      </x:c>
      <x:c r="D2527" s="4" t="str">
        <x:v>Villa</x:v>
      </x:c>
      <x:c r="E2527" s="4" t="str">
        <x:v>Agreement signed</x:v>
      </x:c>
      <x:c r="F2527" s="4" t="str">
        <x:v>CUS-02526</x:v>
      </x:c>
      <x:c r="G2527" s="4" t="str">
        <x:v>UNIT-02526</x:v>
      </x:c>
      <x:c r="H2527" s="9" t="n">
        <x:v>11200000</x:v>
      </x:c>
      <x:c r="I2527" s="10" t="n">
        <x:v>0.04</x:v>
      </x:c>
      <x:c r="J2527" s="11" t="n">
        <x:v>0</x:v>
      </x:c>
      <x:c r="K2527" s="11" t="n">
        <x:v>7</x:v>
      </x:c>
      <x:c r="L2527" s="11" t="n">
        <x:v>1</x:v>
      </x:c>
      <x:c r="M2527" s="9" t="n">
        <x:f>ROUND(H2527*(1-I2527),2)</x:f>
        <x:v>10752000</x:v>
      </x:c>
      <x:c r="N2527" s="4" t="str">
        <x:v>Sales manager</x:v>
      </x:c>
      <x:c r="O2527" s="4" t="str">
        <x:v>BOOK-02526</x:v>
      </x:c>
      <x:c r="P2527" s="9" t="n">
        <x:v>5376000</x:v>
      </x:c>
      <x:c r="Q2527" s="11" t="n">
        <x:v>0</x:v>
      </x:c>
      <x:c r="R2527" s="8" t="n">
        <x:v>45509</x:v>
      </x:c>
      <x:c r="S2527" s="4" t="str">
        <x:v>Retained</x:v>
      </x:c>
      <x:c r="T2527" s="10" t="n">
        <x:v>0.204152</x:v>
      </x:c>
      <x:c r="U2527" s="4" t="str">
        <x:v>Excluded / unlabelled</x:v>
      </x:c>
    </x:row>
    <x:row r="2528" ht="34" customHeight="1">
      <x:c r="A2528" s="4" t="str">
        <x:v>RS-02527</x:v>
      </x:c>
      <x:c r="B2528" s="8" t="n">
        <x:v>45450</x:v>
      </x:c>
      <x:c r="C2528" s="4" t="str">
        <x:v>PRJ-007</x:v>
      </x:c>
      <x:c r="D2528" s="4" t="str">
        <x:v>Apartment</x:v>
      </x:c>
      <x:c r="E2528" s="4" t="str">
        <x:v>Reserved</x:v>
      </x:c>
      <x:c r="F2528" s="4" t="str">
        <x:v>CUS-02527</x:v>
      </x:c>
      <x:c r="G2528" s="4" t="str">
        <x:v>UNIT-02527</x:v>
      </x:c>
      <x:c r="H2528" s="9" t="n">
        <x:v>24500000</x:v>
      </x:c>
      <x:c r="I2528" s="10" t="n">
        <x:v>0.09</x:v>
      </x:c>
      <x:c r="J2528" s="11" t="n">
        <x:v>8</x:v>
      </x:c>
      <x:c r="K2528" s="11" t="n">
        <x:v>1</x:v>
      </x:c>
      <x:c r="L2528" s="11" t="n">
        <x:v>1</x:v>
      </x:c>
      <x:c r="M2528" s="9" t="n">
        <x:f>ROUND(H2528*(1-I2528),2)</x:f>
        <x:v>22295000</x:v>
      </x:c>
      <x:c r="N2528" s="4" t="str">
        <x:v>Sales head</x:v>
      </x:c>
      <x:c r="O2528" s="4"/>
      <x:c r="P2528" s="9" t="n">
        <x:v>0</x:v>
      </x:c>
      <x:c r="Q2528" s="11" t="n">
        <x:v>0</x:v>
      </x:c>
      <x:c r="R2528" s="8" t="n">
        <x:v>45510</x:v>
      </x:c>
      <x:c r="S2528" s="4" t="str">
        <x:v>Retained</x:v>
      </x:c>
      <x:c r="T2528" s="10" t="n">
        <x:v>0.310195</x:v>
      </x:c>
      <x:c r="U2528" s="4" t="str">
        <x:v>Excluded / unlabelled</x:v>
      </x:c>
    </x:row>
    <x:row r="2529" ht="34" customHeight="1">
      <x:c r="A2529" s="4" t="str">
        <x:v>RS-02528</x:v>
      </x:c>
      <x:c r="B2529" s="8" t="n">
        <x:v>45451</x:v>
      </x:c>
      <x:c r="C2529" s="4" t="str">
        <x:v>PRJ-008</x:v>
      </x:c>
      <x:c r="D2529" s="4" t="str">
        <x:v>Office</x:v>
      </x:c>
      <x:c r="E2529" s="4" t="str">
        <x:v>Reserved</x:v>
      </x:c>
      <x:c r="F2529" s="4" t="str">
        <x:v>CUS-02528</x:v>
      </x:c>
      <x:c r="G2529" s="4" t="str">
        <x:v>UNIT-02528</x:v>
      </x:c>
      <x:c r="H2529" s="9" t="n">
        <x:v>4800000</x:v>
      </x:c>
      <x:c r="I2529" s="10" t="n">
        <x:v>0.05</x:v>
      </x:c>
      <x:c r="J2529" s="11" t="n">
        <x:v>8</x:v>
      </x:c>
      <x:c r="K2529" s="11" t="n">
        <x:v>8</x:v>
      </x:c>
      <x:c r="L2529" s="11" t="n">
        <x:v>0</x:v>
      </x:c>
      <x:c r="M2529" s="9" t="n">
        <x:f>ROUND(H2529*(1-I2529),2)</x:f>
        <x:v>4560000</x:v>
      </x:c>
      <x:c r="N2529" s="4" t="str">
        <x:v>Sales manager</x:v>
      </x:c>
      <x:c r="O2529" s="4"/>
      <x:c r="P2529" s="9" t="n">
        <x:v>0</x:v>
      </x:c>
      <x:c r="Q2529" s="11" t="n">
        <x:v>1</x:v>
      </x:c>
      <x:c r="R2529" s="8" t="n">
        <x:v>45511</x:v>
      </x:c>
      <x:c r="S2529" s="4" t="str">
        <x:v>Lost / cancelled</x:v>
      </x:c>
      <x:c r="T2529" s="10" t="n">
        <x:v>0.310195</x:v>
      </x:c>
      <x:c r="U2529" s="4" t="str">
        <x:v>Excluded / unlabelled</x:v>
      </x:c>
    </x:row>
    <x:row r="2530" ht="34" customHeight="1">
      <x:c r="A2530" s="4" t="str">
        <x:v>RS-02529</x:v>
      </x:c>
      <x:c r="B2530" s="8" t="n">
        <x:v>45452</x:v>
      </x:c>
      <x:c r="C2530" s="4" t="str">
        <x:v>PRJ-009</x:v>
      </x:c>
      <x:c r="D2530" s="4" t="str">
        <x:v>Apartment</x:v>
      </x:c>
      <x:c r="E2530" s="4" t="str">
        <x:v>Reserved</x:v>
      </x:c>
      <x:c r="F2530" s="4" t="str">
        <x:v>CUS-02529</x:v>
      </x:c>
      <x:c r="G2530" s="4" t="str">
        <x:v>UNIT-02529</x:v>
      </x:c>
      <x:c r="H2530" s="9" t="n">
        <x:v>5200000</x:v>
      </x:c>
      <x:c r="I2530" s="10" t="n">
        <x:v>0.05</x:v>
      </x:c>
      <x:c r="J2530" s="11" t="n">
        <x:v>0</x:v>
      </x:c>
      <x:c r="K2530" s="11" t="n">
        <x:v>6</x:v>
      </x:c>
      <x:c r="L2530" s="11" t="n">
        <x:v>0</x:v>
      </x:c>
      <x:c r="M2530" s="9" t="n">
        <x:f>ROUND(H2530*(1-I2530),2)</x:f>
        <x:v>4940000</x:v>
      </x:c>
      <x:c r="N2530" s="4" t="str">
        <x:v>Sales manager</x:v>
      </x:c>
      <x:c r="O2530" s="4"/>
      <x:c r="P2530" s="9" t="n">
        <x:v>0</x:v>
      </x:c>
      <x:c r="Q2530" s="11" t="n">
        <x:v>0</x:v>
      </x:c>
      <x:c r="R2530" s="8" t="n">
        <x:v>45512</x:v>
      </x:c>
      <x:c r="S2530" s="4" t="str">
        <x:v>Retained</x:v>
      </x:c>
      <x:c r="T2530" s="10" t="n">
        <x:v>0.204152</x:v>
      </x:c>
      <x:c r="U2530" s="4" t="str">
        <x:v>Excluded / unlabelled</x:v>
      </x:c>
    </x:row>
    <x:row r="2531" ht="34" customHeight="1">
      <x:c r="A2531" s="4" t="str">
        <x:v>RS-02530</x:v>
      </x:c>
      <x:c r="B2531" s="8" t="n">
        <x:v>45453</x:v>
      </x:c>
      <x:c r="C2531" s="4" t="str">
        <x:v>PRJ-010</x:v>
      </x:c>
      <x:c r="D2531" s="4" t="str">
        <x:v>Villa</x:v>
      </x:c>
      <x:c r="E2531" s="4" t="str">
        <x:v>Reserved</x:v>
      </x:c>
      <x:c r="F2531" s="4" t="str">
        <x:v>CUS-02530</x:v>
      </x:c>
      <x:c r="G2531" s="4" t="str">
        <x:v>UNIT-02530</x:v>
      </x:c>
      <x:c r="H2531" s="9" t="n">
        <x:v>22000000</x:v>
      </x:c>
      <x:c r="I2531" s="10" t="n">
        <x:v>0.08</x:v>
      </x:c>
      <x:c r="J2531" s="11" t="n">
        <x:v>3</x:v>
      </x:c>
      <x:c r="K2531" s="11" t="n">
        <x:v>1</x:v>
      </x:c>
      <x:c r="L2531" s="11" t="n">
        <x:v>1</x:v>
      </x:c>
      <x:c r="M2531" s="9" t="n">
        <x:f>ROUND(H2531*(1-I2531),2)</x:f>
        <x:v>20240000</x:v>
      </x:c>
      <x:c r="N2531" s="4" t="str">
        <x:v>Sales head</x:v>
      </x:c>
      <x:c r="O2531" s="4"/>
      <x:c r="P2531" s="9" t="n">
        <x:v>0</x:v>
      </x:c>
      <x:c r="Q2531" s="11" t="n">
        <x:v>1</x:v>
      </x:c>
      <x:c r="R2531" s="8" t="n">
        <x:v>45513</x:v>
      </x:c>
      <x:c r="S2531" s="4" t="str">
        <x:v>Lost / cancelled</x:v>
      </x:c>
      <x:c r="T2531" s="10" t="n">
        <x:v>0.204152</x:v>
      </x:c>
      <x:c r="U2531" s="4" t="str">
        <x:v>Excluded / unlabelled</x:v>
      </x:c>
    </x:row>
    <x:row r="2532" ht="34" customHeight="1">
      <x:c r="A2532" s="4" t="str">
        <x:v>RS-02531</x:v>
      </x:c>
      <x:c r="B2532" s="8" t="n">
        <x:v>45454</x:v>
      </x:c>
      <x:c r="C2532" s="4" t="str">
        <x:v>PRJ-011</x:v>
      </x:c>
      <x:c r="D2532" s="4" t="str">
        <x:v>Villa</x:v>
      </x:c>
      <x:c r="E2532" s="4" t="str">
        <x:v>Enquiry</x:v>
      </x:c>
      <x:c r="F2532" s="4" t="str">
        <x:v>CUS-02531</x:v>
      </x:c>
      <x:c r="G2532" s="4" t="str">
        <x:v>UNIT-02531</x:v>
      </x:c>
      <x:c r="H2532" s="9" t="n">
        <x:v>14000000</x:v>
      </x:c>
      <x:c r="I2532" s="10" t="n">
        <x:v>0.08</x:v>
      </x:c>
      <x:c r="J2532" s="11" t="n">
        <x:v>6</x:v>
      </x:c>
      <x:c r="K2532" s="11" t="n">
        <x:v>1</x:v>
      </x:c>
      <x:c r="L2532" s="11" t="n">
        <x:v>1</x:v>
      </x:c>
      <x:c r="M2532" s="9" t="n">
        <x:f>ROUND(H2532*(1-I2532),2)</x:f>
        <x:v>12880000</x:v>
      </x:c>
      <x:c r="N2532" s="4" t="str">
        <x:v>Sales head</x:v>
      </x:c>
      <x:c r="O2532" s="4"/>
      <x:c r="P2532" s="9" t="n">
        <x:v>0</x:v>
      </x:c>
      <x:c r="Q2532" s="11" t="n">
        <x:v>0</x:v>
      </x:c>
      <x:c r="R2532" s="8" t="n">
        <x:v>45514</x:v>
      </x:c>
      <x:c r="S2532" s="4" t="str">
        <x:v>Retained</x:v>
      </x:c>
      <x:c r="T2532" s="10" t="n">
        <x:v>0.291946</x:v>
      </x:c>
      <x:c r="U2532" s="4" t="str">
        <x:v>Excluded / unlabelled</x:v>
      </x:c>
    </x:row>
    <x:row r="2533" ht="34" customHeight="1">
      <x:c r="A2533" s="4" t="str">
        <x:v>RS-02532</x:v>
      </x:c>
      <x:c r="B2533" s="8" t="n">
        <x:v>45455</x:v>
      </x:c>
      <x:c r="C2533" s="4" t="str">
        <x:v>PRJ-012</x:v>
      </x:c>
      <x:c r="D2533" s="4" t="str">
        <x:v>Apartment</x:v>
      </x:c>
      <x:c r="E2533" s="4" t="str">
        <x:v>Reserved</x:v>
      </x:c>
      <x:c r="F2533" s="4" t="str">
        <x:v>CUS-02532</x:v>
      </x:c>
      <x:c r="G2533" s="4" t="str">
        <x:v>UNIT-02532</x:v>
      </x:c>
      <x:c r="H2533" s="9" t="n">
        <x:v>5300000</x:v>
      </x:c>
      <x:c r="I2533" s="10" t="n">
        <x:v>0.02</x:v>
      </x:c>
      <x:c r="J2533" s="11" t="n">
        <x:v>9</x:v>
      </x:c>
      <x:c r="K2533" s="11" t="n">
        <x:v>2</x:v>
      </x:c>
      <x:c r="L2533" s="11" t="n">
        <x:v>0</x:v>
      </x:c>
      <x:c r="M2533" s="9" t="n">
        <x:f>ROUND(H2533*(1-I2533),2)</x:f>
        <x:v>5194000</x:v>
      </x:c>
      <x:c r="N2533" s="4" t="str">
        <x:v>Sales manager</x:v>
      </x:c>
      <x:c r="O2533" s="4"/>
      <x:c r="P2533" s="9" t="n">
        <x:v>0</x:v>
      </x:c>
      <x:c r="Q2533" s="11" t="n">
        <x:v>1</x:v>
      </x:c>
      <x:c r="R2533" s="8" t="n">
        <x:v>45515</x:v>
      </x:c>
      <x:c r="S2533" s="4" t="str">
        <x:v>Lost / cancelled</x:v>
      </x:c>
      <x:c r="T2533" s="10" t="n">
        <x:v>0.305556</x:v>
      </x:c>
      <x:c r="U2533" s="4" t="str">
        <x:v>Excluded / unlabelled</x:v>
      </x:c>
    </x:row>
    <x:row r="2534" ht="34" customHeight="1">
      <x:c r="A2534" s="4" t="str">
        <x:v>RS-02533</x:v>
      </x:c>
      <x:c r="B2534" s="8" t="n">
        <x:v>45456</x:v>
      </x:c>
      <x:c r="C2534" s="4" t="str">
        <x:v>PRJ-013</x:v>
      </x:c>
      <x:c r="D2534" s="4" t="str">
        <x:v>Villa</x:v>
      </x:c>
      <x:c r="E2534" s="4" t="str">
        <x:v>Cancelled</x:v>
      </x:c>
      <x:c r="F2534" s="4" t="str">
        <x:v>CUS-02533</x:v>
      </x:c>
      <x:c r="G2534" s="4" t="str">
        <x:v>UNIT-02533</x:v>
      </x:c>
      <x:c r="H2534" s="9" t="n">
        <x:v>24100000</x:v>
      </x:c>
      <x:c r="I2534" s="10" t="n">
        <x:v>0.08</x:v>
      </x:c>
      <x:c r="J2534" s="11" t="n">
        <x:v>0</x:v>
      </x:c>
      <x:c r="K2534" s="11" t="n">
        <x:v>5</x:v>
      </x:c>
      <x:c r="L2534" s="11" t="n">
        <x:v>0</x:v>
      </x:c>
      <x:c r="M2534" s="9" t="n">
        <x:f>ROUND(H2534*(1-I2534),2)</x:f>
        <x:v>22172000</x:v>
      </x:c>
      <x:c r="N2534" s="4" t="str">
        <x:v>Sales head</x:v>
      </x:c>
      <x:c r="O2534" s="4"/>
      <x:c r="P2534" s="9" t="n">
        <x:v>0</x:v>
      </x:c>
      <x:c r="Q2534" s="11" t="n">
        <x:v>1</x:v>
      </x:c>
      <x:c r="R2534" s="8" t="n">
        <x:v>45516</x:v>
      </x:c>
      <x:c r="S2534" s="4" t="str">
        <x:v>Lost / cancelled</x:v>
      </x:c>
      <x:c r="T2534" s="10" t="n">
        <x:v>0.204152</x:v>
      </x:c>
      <x:c r="U2534" s="4" t="str">
        <x:v>Excluded / unlabelled</x:v>
      </x:c>
    </x:row>
    <x:row r="2535" ht="34" customHeight="1">
      <x:c r="A2535" s="4" t="str">
        <x:v>RS-02534</x:v>
      </x:c>
      <x:c r="B2535" s="8" t="n">
        <x:v>45457</x:v>
      </x:c>
      <x:c r="C2535" s="4" t="str">
        <x:v>PRJ-014</x:v>
      </x:c>
      <x:c r="D2535" s="4" t="str">
        <x:v>Office</x:v>
      </x:c>
      <x:c r="E2535" s="4" t="str">
        <x:v>Enquiry</x:v>
      </x:c>
      <x:c r="F2535" s="4" t="str">
        <x:v>CUS-02534</x:v>
      </x:c>
      <x:c r="G2535" s="4" t="str">
        <x:v>UNIT-02534</x:v>
      </x:c>
      <x:c r="H2535" s="9" t="n">
        <x:v>24500000</x:v>
      </x:c>
      <x:c r="I2535" s="10" t="n">
        <x:v>0.1</x:v>
      </x:c>
      <x:c r="J2535" s="11" t="n">
        <x:v>9</x:v>
      </x:c>
      <x:c r="K2535" s="11" t="n">
        <x:v>0</x:v>
      </x:c>
      <x:c r="L2535" s="11" t="n">
        <x:v>0</x:v>
      </x:c>
      <x:c r="M2535" s="9" t="n">
        <x:f>ROUND(H2535*(1-I2535),2)</x:f>
        <x:v>22050000</x:v>
      </x:c>
      <x:c r="N2535" s="4" t="str">
        <x:v>Sales head</x:v>
      </x:c>
      <x:c r="O2535" s="4"/>
      <x:c r="P2535" s="9" t="n">
        <x:v>0</x:v>
      </x:c>
      <x:c r="Q2535" s="11" t="n">
        <x:v>0</x:v>
      </x:c>
      <x:c r="R2535" s="8" t="n">
        <x:v>45517</x:v>
      </x:c>
      <x:c r="S2535" s="4" t="str">
        <x:v>Retained</x:v>
      </x:c>
      <x:c r="T2535" s="10" t="n">
        <x:v>0.310195</x:v>
      </x:c>
      <x:c r="U2535" s="4" t="str">
        <x:v>Excluded / unlabelled</x:v>
      </x:c>
    </x:row>
    <x:row r="2536" ht="34" customHeight="1">
      <x:c r="A2536" s="4" t="str">
        <x:v>RS-02535</x:v>
      </x:c>
      <x:c r="B2536" s="8" t="n">
        <x:v>45458</x:v>
      </x:c>
      <x:c r="C2536" s="4" t="str">
        <x:v>PRJ-015</x:v>
      </x:c>
      <x:c r="D2536" s="4" t="str">
        <x:v>Office</x:v>
      </x:c>
      <x:c r="E2536" s="4" t="str">
        <x:v>Reserved</x:v>
      </x:c>
      <x:c r="F2536" s="4" t="str">
        <x:v>CUS-02535</x:v>
      </x:c>
      <x:c r="G2536" s="4" t="str">
        <x:v>UNIT-02535</x:v>
      </x:c>
      <x:c r="H2536" s="9" t="n">
        <x:v>20200000</x:v>
      </x:c>
      <x:c r="I2536" s="10" t="n">
        <x:v>0.06</x:v>
      </x:c>
      <x:c r="J2536" s="11" t="n">
        <x:v>5</x:v>
      </x:c>
      <x:c r="K2536" s="11" t="n">
        <x:v>1</x:v>
      </x:c>
      <x:c r="L2536" s="11" t="n">
        <x:v>1</x:v>
      </x:c>
      <x:c r="M2536" s="9" t="n">
        <x:f>ROUND(H2536*(1-I2536),2)</x:f>
        <x:v>18988000</x:v>
      </x:c>
      <x:c r="N2536" s="4" t="str">
        <x:v>Sales manager</x:v>
      </x:c>
      <x:c r="O2536" s="4"/>
      <x:c r="P2536" s="9" t="n">
        <x:v>0</x:v>
      </x:c>
      <x:c r="Q2536" s="11" t="n">
        <x:v>0</x:v>
      </x:c>
      <x:c r="R2536" s="8" t="n">
        <x:v>45518</x:v>
      </x:c>
      <x:c r="S2536" s="4" t="str">
        <x:v>Retained</x:v>
      </x:c>
      <x:c r="T2536" s="10" t="n">
        <x:v>0.291946</x:v>
      </x:c>
      <x:c r="U2536" s="4" t="str">
        <x:v>Excluded / unlabelled</x:v>
      </x:c>
    </x:row>
    <x:row r="2537" ht="34" customHeight="1">
      <x:c r="A2537" s="4" t="str">
        <x:v>RS-02536</x:v>
      </x:c>
      <x:c r="B2537" s="8" t="n">
        <x:v>45459</x:v>
      </x:c>
      <x:c r="C2537" s="4" t="str">
        <x:v>PRJ-016</x:v>
      </x:c>
      <x:c r="D2537" s="4" t="str">
        <x:v>Retail</x:v>
      </x:c>
      <x:c r="E2537" s="4" t="str">
        <x:v>Enquiry</x:v>
      </x:c>
      <x:c r="F2537" s="4" t="str">
        <x:v>CUS-02536</x:v>
      </x:c>
      <x:c r="G2537" s="4" t="str">
        <x:v>UNIT-02536</x:v>
      </x:c>
      <x:c r="H2537" s="9" t="n">
        <x:v>13800000</x:v>
      </x:c>
      <x:c r="I2537" s="10" t="n">
        <x:v>0.03</x:v>
      </x:c>
      <x:c r="J2537" s="11" t="n">
        <x:v>12</x:v>
      </x:c>
      <x:c r="K2537" s="11" t="n">
        <x:v>1</x:v>
      </x:c>
      <x:c r="L2537" s="11" t="n">
        <x:v>1</x:v>
      </x:c>
      <x:c r="M2537" s="9" t="n">
        <x:f>ROUND(H2537*(1-I2537),2)</x:f>
        <x:v>13386000</x:v>
      </x:c>
      <x:c r="N2537" s="4" t="str">
        <x:v>Sales manager</x:v>
      </x:c>
      <x:c r="O2537" s="4"/>
      <x:c r="P2537" s="9" t="n">
        <x:v>0</x:v>
      </x:c>
      <x:c r="Q2537" s="11" t="n">
        <x:v>1</x:v>
      </x:c>
      <x:c r="R2537" s="8" t="n">
        <x:v>45519</x:v>
      </x:c>
      <x:c r="S2537" s="4" t="str">
        <x:v>Lost / cancelled</x:v>
      </x:c>
      <x:c r="T2537" s="10" t="n">
        <x:v>0.351536</x:v>
      </x:c>
      <x:c r="U2537" s="4" t="str">
        <x:v>Excluded / unlabelled</x:v>
      </x:c>
    </x:row>
    <x:row r="2538" ht="34" customHeight="1">
      <x:c r="A2538" s="4" t="str">
        <x:v>RS-02537</x:v>
      </x:c>
      <x:c r="B2538" s="8" t="n">
        <x:v>45460</x:v>
      </x:c>
      <x:c r="C2538" s="4" t="str">
        <x:v>PRJ-017</x:v>
      </x:c>
      <x:c r="D2538" s="4" t="str">
        <x:v>Villa</x:v>
      </x:c>
      <x:c r="E2538" s="4" t="str">
        <x:v>Agreement signed</x:v>
      </x:c>
      <x:c r="F2538" s="4" t="str">
        <x:v>CUS-02537</x:v>
      </x:c>
      <x:c r="G2538" s="4" t="str">
        <x:v>UNIT-02537</x:v>
      </x:c>
      <x:c r="H2538" s="9" t="n">
        <x:v>24700000</x:v>
      </x:c>
      <x:c r="I2538" s="10" t="n">
        <x:v>0</x:v>
      </x:c>
      <x:c r="J2538" s="11" t="n">
        <x:v>7</x:v>
      </x:c>
      <x:c r="K2538" s="11" t="n">
        <x:v>6</x:v>
      </x:c>
      <x:c r="L2538" s="11" t="n">
        <x:v>0</x:v>
      </x:c>
      <x:c r="M2538" s="9" t="n">
        <x:f>ROUND(H2538*(1-I2538),2)</x:f>
        <x:v>24700000</x:v>
      </x:c>
      <x:c r="N2538" s="4" t="str">
        <x:v>Sales manager</x:v>
      </x:c>
      <x:c r="O2538" s="4" t="str">
        <x:v>BOOK-02537</x:v>
      </x:c>
      <x:c r="P2538" s="9" t="n">
        <x:v>12350000</x:v>
      </x:c>
      <x:c r="Q2538" s="11" t="n">
        <x:v>0</x:v>
      </x:c>
      <x:c r="R2538" s="8" t="n">
        <x:v>45520</x:v>
      </x:c>
      <x:c r="S2538" s="4" t="str">
        <x:v>Retained</x:v>
      </x:c>
      <x:c r="T2538" s="10" t="n">
        <x:v>0.145299</x:v>
      </x:c>
      <x:c r="U2538" s="4" t="str">
        <x:v>Excluded / unlabelled</x:v>
      </x:c>
    </x:row>
    <x:row r="2539" ht="34" customHeight="1">
      <x:c r="A2539" s="4" t="str">
        <x:v>RS-02538</x:v>
      </x:c>
      <x:c r="B2539" s="8" t="n">
        <x:v>45461</x:v>
      </x:c>
      <x:c r="C2539" s="4" t="str">
        <x:v>PRJ-018</x:v>
      </x:c>
      <x:c r="D2539" s="4" t="str">
        <x:v>Apartment</x:v>
      </x:c>
      <x:c r="E2539" s="4" t="str">
        <x:v>Enquiry</x:v>
      </x:c>
      <x:c r="F2539" s="4" t="str">
        <x:v>CUS-02538</x:v>
      </x:c>
      <x:c r="G2539" s="4" t="str">
        <x:v>UNIT-02538</x:v>
      </x:c>
      <x:c r="H2539" s="9" t="n">
        <x:v>15000000</x:v>
      </x:c>
      <x:c r="I2539" s="10" t="n">
        <x:v>0.11</x:v>
      </x:c>
      <x:c r="J2539" s="11" t="n">
        <x:v>12</x:v>
      </x:c>
      <x:c r="K2539" s="11" t="n">
        <x:v>8</x:v>
      </x:c>
      <x:c r="L2539" s="11" t="n">
        <x:v>1</x:v>
      </x:c>
      <x:c r="M2539" s="9" t="n">
        <x:f>ROUND(H2539*(1-I2539),2)</x:f>
        <x:v>13350000</x:v>
      </x:c>
      <x:c r="N2539" s="4" t="str">
        <x:v>Sales head</x:v>
      </x:c>
      <x:c r="O2539" s="4"/>
      <x:c r="P2539" s="9" t="n">
        <x:v>0</x:v>
      </x:c>
      <x:c r="Q2539" s="11" t="n">
        <x:v>0</x:v>
      </x:c>
      <x:c r="R2539" s="8" t="n">
        <x:v>45521</x:v>
      </x:c>
      <x:c r="S2539" s="4" t="str">
        <x:v>Retained</x:v>
      </x:c>
      <x:c r="T2539" s="10" t="n">
        <x:v>0.351536</x:v>
      </x:c>
      <x:c r="U2539" s="4" t="str">
        <x:v>Excluded / unlabelled</x:v>
      </x:c>
    </x:row>
    <x:row r="2540" ht="34" customHeight="1">
      <x:c r="A2540" s="4" t="str">
        <x:v>RS-02539</x:v>
      </x:c>
      <x:c r="B2540" s="8" t="n">
        <x:v>45462</x:v>
      </x:c>
      <x:c r="C2540" s="4" t="str">
        <x:v>PRJ-019</x:v>
      </x:c>
      <x:c r="D2540" s="4" t="str">
        <x:v>Apartment</x:v>
      </x:c>
      <x:c r="E2540" s="4" t="str">
        <x:v>Reserved</x:v>
      </x:c>
      <x:c r="F2540" s="4" t="str">
        <x:v>CUS-02539</x:v>
      </x:c>
      <x:c r="G2540" s="4" t="str">
        <x:v>UNIT-02539</x:v>
      </x:c>
      <x:c r="H2540" s="9" t="n">
        <x:v>24100000</x:v>
      </x:c>
      <x:c r="I2540" s="10" t="n">
        <x:v>0.04</x:v>
      </x:c>
      <x:c r="J2540" s="11" t="n">
        <x:v>10</x:v>
      </x:c>
      <x:c r="K2540" s="11" t="n">
        <x:v>9</x:v>
      </x:c>
      <x:c r="L2540" s="11" t="n">
        <x:v>0</x:v>
      </x:c>
      <x:c r="M2540" s="9" t="n">
        <x:f>ROUND(H2540*(1-I2540),2)</x:f>
        <x:v>23136000</x:v>
      </x:c>
      <x:c r="N2540" s="4" t="str">
        <x:v>Sales manager</x:v>
      </x:c>
      <x:c r="O2540" s="4"/>
      <x:c r="P2540" s="9" t="n">
        <x:v>0</x:v>
      </x:c>
      <x:c r="Q2540" s="11" t="n">
        <x:v>0</x:v>
      </x:c>
      <x:c r="R2540" s="8" t="n">
        <x:v>45522</x:v>
      </x:c>
      <x:c r="S2540" s="4" t="str">
        <x:v>Retained</x:v>
      </x:c>
      <x:c r="T2540" s="10" t="n">
        <x:v>0.310195</x:v>
      </x:c>
      <x:c r="U2540" s="4" t="str">
        <x:v>Excluded / unlabelled</x:v>
      </x:c>
    </x:row>
    <x:row r="2541" ht="34" customHeight="1">
      <x:c r="A2541" s="4" t="str">
        <x:v>RS-02540</x:v>
      </x:c>
      <x:c r="B2541" s="8" t="n">
        <x:v>45463</x:v>
      </x:c>
      <x:c r="C2541" s="4" t="str">
        <x:v>PRJ-020</x:v>
      </x:c>
      <x:c r="D2541" s="4" t="str">
        <x:v>Apartment</x:v>
      </x:c>
      <x:c r="E2541" s="4" t="str">
        <x:v>Enquiry</x:v>
      </x:c>
      <x:c r="F2541" s="4" t="str">
        <x:v>CUS-02540</x:v>
      </x:c>
      <x:c r="G2541" s="4" t="str">
        <x:v>UNIT-02540</x:v>
      </x:c>
      <x:c r="H2541" s="9" t="n">
        <x:v>15200000</x:v>
      </x:c>
      <x:c r="I2541" s="10" t="n">
        <x:v>0.01</x:v>
      </x:c>
      <x:c r="J2541" s="11" t="n">
        <x:v>12</x:v>
      </x:c>
      <x:c r="K2541" s="11" t="n">
        <x:v>10</x:v>
      </x:c>
      <x:c r="L2541" s="11" t="n">
        <x:v>0</x:v>
      </x:c>
      <x:c r="M2541" s="9" t="n">
        <x:f>ROUND(H2541*(1-I2541),2)</x:f>
        <x:v>15048000</x:v>
      </x:c>
      <x:c r="N2541" s="4" t="str">
        <x:v>Sales manager</x:v>
      </x:c>
      <x:c r="O2541" s="4"/>
      <x:c r="P2541" s="9" t="n">
        <x:v>0</x:v>
      </x:c>
      <x:c r="Q2541" s="11" t="n">
        <x:v>0</x:v>
      </x:c>
      <x:c r="R2541" s="8" t="n">
        <x:v>45523</x:v>
      </x:c>
      <x:c r="S2541" s="4" t="str">
        <x:v>Retained</x:v>
      </x:c>
      <x:c r="T2541" s="10" t="n">
        <x:v>0.305556</x:v>
      </x:c>
      <x:c r="U2541" s="4" t="str">
        <x:v>Excluded / unlabelled</x:v>
      </x:c>
    </x:row>
    <x:row r="2542" ht="34" customHeight="1">
      <x:c r="A2542" s="4" t="str">
        <x:v>RS-02541</x:v>
      </x:c>
      <x:c r="B2542" s="8" t="n">
        <x:v>45464</x:v>
      </x:c>
      <x:c r="C2542" s="4" t="str">
        <x:v>PRJ-001</x:v>
      </x:c>
      <x:c r="D2542" s="4" t="str">
        <x:v>Villa</x:v>
      </x:c>
      <x:c r="E2542" s="4" t="str">
        <x:v>Handed over</x:v>
      </x:c>
      <x:c r="F2542" s="4" t="str">
        <x:v>CUS-02541</x:v>
      </x:c>
      <x:c r="G2542" s="4" t="str">
        <x:v>UNIT-02541</x:v>
      </x:c>
      <x:c r="H2542" s="9" t="n">
        <x:v>21300000</x:v>
      </x:c>
      <x:c r="I2542" s="10" t="n">
        <x:v>0.07</x:v>
      </x:c>
      <x:c r="J2542" s="11" t="n">
        <x:v>0</x:v>
      </x:c>
      <x:c r="K2542" s="11" t="n">
        <x:v>3</x:v>
      </x:c>
      <x:c r="L2542" s="11" t="n">
        <x:v>0</x:v>
      </x:c>
      <x:c r="M2542" s="9" t="n">
        <x:f>ROUND(H2542*(1-I2542),2)</x:f>
        <x:v>19809000</x:v>
      </x:c>
      <x:c r="N2542" s="4" t="str">
        <x:v>Sales manager</x:v>
      </x:c>
      <x:c r="O2542" s="4" t="str">
        <x:v>BOOK-02541</x:v>
      </x:c>
      <x:c r="P2542" s="9" t="n">
        <x:v>9904500</x:v>
      </x:c>
      <x:c r="Q2542" s="11" t="n">
        <x:v>0</x:v>
      </x:c>
      <x:c r="R2542" s="8" t="n">
        <x:v>45524</x:v>
      </x:c>
      <x:c r="S2542" s="4" t="str">
        <x:v>Retained</x:v>
      </x:c>
      <x:c r="T2542" s="10" t="n">
        <x:v>0.204152</x:v>
      </x:c>
      <x:c r="U2542" s="4" t="str">
        <x:v>Excluded / unlabelled</x:v>
      </x:c>
    </x:row>
    <x:row r="2543" ht="34" customHeight="1">
      <x:c r="A2543" s="4" t="str">
        <x:v>RS-02542</x:v>
      </x:c>
      <x:c r="B2543" s="8" t="n">
        <x:v>45465</x:v>
      </x:c>
      <x:c r="C2543" s="4" t="str">
        <x:v>PRJ-002</x:v>
      </x:c>
      <x:c r="D2543" s="4" t="str">
        <x:v>Office</x:v>
      </x:c>
      <x:c r="E2543" s="4" t="str">
        <x:v>Cancelled</x:v>
      </x:c>
      <x:c r="F2543" s="4" t="str">
        <x:v>CUS-02542</x:v>
      </x:c>
      <x:c r="G2543" s="4" t="str">
        <x:v>UNIT-02542</x:v>
      </x:c>
      <x:c r="H2543" s="9" t="n">
        <x:v>21800000</x:v>
      </x:c>
      <x:c r="I2543" s="10" t="n">
        <x:v>0.03</x:v>
      </x:c>
      <x:c r="J2543" s="11" t="n">
        <x:v>12</x:v>
      </x:c>
      <x:c r="K2543" s="11" t="n">
        <x:v>4</x:v>
      </x:c>
      <x:c r="L2543" s="11" t="n">
        <x:v>1</x:v>
      </x:c>
      <x:c r="M2543" s="9" t="n">
        <x:f>ROUND(H2543*(1-I2543),2)</x:f>
        <x:v>21146000</x:v>
      </x:c>
      <x:c r="N2543" s="4" t="str">
        <x:v>Sales manager</x:v>
      </x:c>
      <x:c r="O2543" s="4"/>
      <x:c r="P2543" s="9" t="n">
        <x:v>0</x:v>
      </x:c>
      <x:c r="Q2543" s="11" t="n">
        <x:v>1</x:v>
      </x:c>
      <x:c r="R2543" s="8" t="n">
        <x:v>45525</x:v>
      </x:c>
      <x:c r="S2543" s="4" t="str">
        <x:v>Lost / cancelled</x:v>
      </x:c>
      <x:c r="T2543" s="10" t="n">
        <x:v>0.351536</x:v>
      </x:c>
      <x:c r="U2543" s="4" t="str">
        <x:v>Excluded / unlabelled</x:v>
      </x:c>
    </x:row>
    <x:row r="2544" ht="34" customHeight="1">
      <x:c r="A2544" s="4" t="str">
        <x:v>RS-02543</x:v>
      </x:c>
      <x:c r="B2544" s="8" t="n">
        <x:v>45466</x:v>
      </x:c>
      <x:c r="C2544" s="4" t="str">
        <x:v>PRJ-003</x:v>
      </x:c>
      <x:c r="D2544" s="4" t="str">
        <x:v>Villa</x:v>
      </x:c>
      <x:c r="E2544" s="4" t="str">
        <x:v>Cancelled</x:v>
      </x:c>
      <x:c r="F2544" s="4" t="str">
        <x:v>CUS-02543</x:v>
      </x:c>
      <x:c r="G2544" s="4" t="str">
        <x:v>UNIT-02543</x:v>
      </x:c>
      <x:c r="H2544" s="9" t="n">
        <x:v>14800000</x:v>
      </x:c>
      <x:c r="I2544" s="10" t="n">
        <x:v>0.11</x:v>
      </x:c>
      <x:c r="J2544" s="11" t="n">
        <x:v>3</x:v>
      </x:c>
      <x:c r="K2544" s="11" t="n">
        <x:v>1</x:v>
      </x:c>
      <x:c r="L2544" s="11" t="n">
        <x:v>1</x:v>
      </x:c>
      <x:c r="M2544" s="9" t="n">
        <x:f>ROUND(H2544*(1-I2544),2)</x:f>
        <x:v>13172000</x:v>
      </x:c>
      <x:c r="N2544" s="4" t="str">
        <x:v>Sales head</x:v>
      </x:c>
      <x:c r="O2544" s="4"/>
      <x:c r="P2544" s="9" t="n">
        <x:v>0</x:v>
      </x:c>
      <x:c r="Q2544" s="11" t="n">
        <x:v>1</x:v>
      </x:c>
      <x:c r="R2544" s="8" t="n">
        <x:v>45526</x:v>
      </x:c>
      <x:c r="S2544" s="4" t="str">
        <x:v>Lost / cancelled</x:v>
      </x:c>
      <x:c r="T2544" s="10" t="n">
        <x:v>0.145833</x:v>
      </x:c>
      <x:c r="U2544" s="4" t="str">
        <x:v>Excluded / unlabelled</x:v>
      </x:c>
    </x:row>
    <x:row r="2545" ht="34" customHeight="1">
      <x:c r="A2545" s="4" t="str">
        <x:v>RS-02544</x:v>
      </x:c>
      <x:c r="B2545" s="8" t="n">
        <x:v>45467</x:v>
      </x:c>
      <x:c r="C2545" s="4" t="str">
        <x:v>PRJ-004</x:v>
      </x:c>
      <x:c r="D2545" s="4" t="str">
        <x:v>Villa</x:v>
      </x:c>
      <x:c r="E2545" s="4" t="str">
        <x:v>Handed over</x:v>
      </x:c>
      <x:c r="F2545" s="4" t="str">
        <x:v>CUS-02544</x:v>
      </x:c>
      <x:c r="G2545" s="4" t="str">
        <x:v>UNIT-02544</x:v>
      </x:c>
      <x:c r="H2545" s="9" t="n">
        <x:v>7100000</x:v>
      </x:c>
      <x:c r="I2545" s="10" t="n">
        <x:v>0.1</x:v>
      </x:c>
      <x:c r="J2545" s="11" t="n">
        <x:v>5</x:v>
      </x:c>
      <x:c r="K2545" s="11" t="n">
        <x:v>1</x:v>
      </x:c>
      <x:c r="L2545" s="11" t="n">
        <x:v>1</x:v>
      </x:c>
      <x:c r="M2545" s="9" t="n">
        <x:f>ROUND(H2545*(1-I2545),2)</x:f>
        <x:v>6390000</x:v>
      </x:c>
      <x:c r="N2545" s="4" t="str">
        <x:v>Sales head</x:v>
      </x:c>
      <x:c r="O2545" s="4" t="str">
        <x:v>BOOK-02544</x:v>
      </x:c>
      <x:c r="P2545" s="9" t="n">
        <x:v>3195000</x:v>
      </x:c>
      <x:c r="Q2545" s="11" t="n">
        <x:v>0</x:v>
      </x:c>
      <x:c r="R2545" s="8" t="n">
        <x:v>45527</x:v>
      </x:c>
      <x:c r="S2545" s="4" t="str">
        <x:v>Retained</x:v>
      </x:c>
      <x:c r="T2545" s="10" t="n">
        <x:v>0.291946</x:v>
      </x:c>
      <x:c r="U2545" s="4" t="str">
        <x:v>Excluded / unlabelled</x:v>
      </x:c>
    </x:row>
    <x:row r="2546" ht="34" customHeight="1">
      <x:c r="A2546" s="4" t="str">
        <x:v>RS-02545</x:v>
      </x:c>
      <x:c r="B2546" s="8" t="n">
        <x:v>45468</x:v>
      </x:c>
      <x:c r="C2546" s="4" t="str">
        <x:v>PRJ-005</x:v>
      </x:c>
      <x:c r="D2546" s="4" t="str">
        <x:v>Office</x:v>
      </x:c>
      <x:c r="E2546" s="4" t="str">
        <x:v>Booked</x:v>
      </x:c>
      <x:c r="F2546" s="4" t="str">
        <x:v>CUS-02545</x:v>
      </x:c>
      <x:c r="G2546" s="4" t="str">
        <x:v>UNIT-02545</x:v>
      </x:c>
      <x:c r="H2546" s="9" t="n">
        <x:v>24400000</x:v>
      </x:c>
      <x:c r="I2546" s="10" t="n">
        <x:v>0.05</x:v>
      </x:c>
      <x:c r="J2546" s="11" t="n">
        <x:v>0</x:v>
      </x:c>
      <x:c r="K2546" s="11" t="n">
        <x:v>5</x:v>
      </x:c>
      <x:c r="L2546" s="11" t="n">
        <x:v>1</x:v>
      </x:c>
      <x:c r="M2546" s="9" t="n">
        <x:f>ROUND(H2546*(1-I2546),2)</x:f>
        <x:v>23180000</x:v>
      </x:c>
      <x:c r="N2546" s="4" t="str">
        <x:v>Sales manager</x:v>
      </x:c>
      <x:c r="O2546" s="4" t="str">
        <x:v>BOOK-02545</x:v>
      </x:c>
      <x:c r="P2546" s="9" t="n">
        <x:v>23180000</x:v>
      </x:c>
      <x:c r="Q2546" s="11" t="n">
        <x:v>0</x:v>
      </x:c>
      <x:c r="R2546" s="8" t="n">
        <x:v>45528</x:v>
      </x:c>
      <x:c r="S2546" s="4" t="str">
        <x:v>Retained</x:v>
      </x:c>
      <x:c r="T2546" s="10" t="n">
        <x:v>0.204152</x:v>
      </x:c>
      <x:c r="U2546" s="4" t="str">
        <x:v>Excluded / unlabelled</x:v>
      </x:c>
    </x:row>
    <x:row r="2547" ht="34" customHeight="1">
      <x:c r="A2547" s="4" t="str">
        <x:v>RS-02546</x:v>
      </x:c>
      <x:c r="B2547" s="8" t="n">
        <x:v>45469</x:v>
      </x:c>
      <x:c r="C2547" s="4" t="str">
        <x:v>PRJ-006</x:v>
      </x:c>
      <x:c r="D2547" s="4" t="str">
        <x:v>Villa</x:v>
      </x:c>
      <x:c r="E2547" s="4" t="str">
        <x:v>Reserved</x:v>
      </x:c>
      <x:c r="F2547" s="4" t="str">
        <x:v>CUS-02546</x:v>
      </x:c>
      <x:c r="G2547" s="4" t="str">
        <x:v>UNIT-02546</x:v>
      </x:c>
      <x:c r="H2547" s="9" t="n">
        <x:v>22000000</x:v>
      </x:c>
      <x:c r="I2547" s="10" t="n">
        <x:v>0.06</x:v>
      </x:c>
      <x:c r="J2547" s="11" t="n">
        <x:v>5</x:v>
      </x:c>
      <x:c r="K2547" s="11" t="n">
        <x:v>7</x:v>
      </x:c>
      <x:c r="L2547" s="11" t="n">
        <x:v>0</x:v>
      </x:c>
      <x:c r="M2547" s="9" t="n">
        <x:f>ROUND(H2547*(1-I2547),2)</x:f>
        <x:v>20680000</x:v>
      </x:c>
      <x:c r="N2547" s="4" t="str">
        <x:v>Sales manager</x:v>
      </x:c>
      <x:c r="O2547" s="4"/>
      <x:c r="P2547" s="9" t="n">
        <x:v>0</x:v>
      </x:c>
      <x:c r="Q2547" s="11" t="n">
        <x:v>0</x:v>
      </x:c>
      <x:c r="R2547" s="8" t="n">
        <x:v>45529</x:v>
      </x:c>
      <x:c r="S2547" s="4" t="str">
        <x:v>Retained</x:v>
      </x:c>
      <x:c r="T2547" s="10" t="n">
        <x:v>0.226277</x:v>
      </x:c>
      <x:c r="U2547" s="4" t="str">
        <x:v>Excluded / unlabelled</x:v>
      </x:c>
    </x:row>
    <x:row r="2548" ht="34" customHeight="1">
      <x:c r="A2548" s="4" t="str">
        <x:v>RS-02547</x:v>
      </x:c>
      <x:c r="B2548" s="8" t="n">
        <x:v>45470</x:v>
      </x:c>
      <x:c r="C2548" s="4" t="str">
        <x:v>PRJ-007</x:v>
      </x:c>
      <x:c r="D2548" s="4" t="str">
        <x:v>Apartment</x:v>
      </x:c>
      <x:c r="E2548" s="4" t="str">
        <x:v>Agreement signed</x:v>
      </x:c>
      <x:c r="F2548" s="4" t="str">
        <x:v>CUS-02547</x:v>
      </x:c>
      <x:c r="G2548" s="4" t="str">
        <x:v>UNIT-02547</x:v>
      </x:c>
      <x:c r="H2548" s="9" t="n">
        <x:v>9800000</x:v>
      </x:c>
      <x:c r="I2548" s="10" t="n">
        <x:v>0.06</x:v>
      </x:c>
      <x:c r="J2548" s="11" t="n">
        <x:v>10</x:v>
      </x:c>
      <x:c r="K2548" s="11" t="n">
        <x:v>8</x:v>
      </x:c>
      <x:c r="L2548" s="11" t="n">
        <x:v>0</x:v>
      </x:c>
      <x:c r="M2548" s="9" t="n">
        <x:f>ROUND(H2548*(1-I2548),2)</x:f>
        <x:v>9212000</x:v>
      </x:c>
      <x:c r="N2548" s="4" t="str">
        <x:v>Sales manager</x:v>
      </x:c>
      <x:c r="O2548" s="4" t="str">
        <x:v>BOOK-02547</x:v>
      </x:c>
      <x:c r="P2548" s="9" t="n">
        <x:v>921200</x:v>
      </x:c>
      <x:c r="Q2548" s="11" t="n">
        <x:v>0</x:v>
      </x:c>
      <x:c r="R2548" s="8" t="n">
        <x:v>45530</x:v>
      </x:c>
      <x:c r="S2548" s="4" t="str">
        <x:v>Retained</x:v>
      </x:c>
      <x:c r="T2548" s="10" t="n">
        <x:v>0.310195</x:v>
      </x:c>
      <x:c r="U2548" s="4" t="str">
        <x:v>Excluded / unlabelled</x:v>
      </x:c>
    </x:row>
    <x:row r="2549" ht="34" customHeight="1">
      <x:c r="A2549" s="4" t="str">
        <x:v>RS-02548</x:v>
      </x:c>
      <x:c r="B2549" s="8" t="n">
        <x:v>45471</x:v>
      </x:c>
      <x:c r="C2549" s="4" t="str">
        <x:v>PRJ-008</x:v>
      </x:c>
      <x:c r="D2549" s="4" t="str">
        <x:v>Office</x:v>
      </x:c>
      <x:c r="E2549" s="4" t="str">
        <x:v>Agreement signed</x:v>
      </x:c>
      <x:c r="F2549" s="4" t="str">
        <x:v>CUS-02548</x:v>
      </x:c>
      <x:c r="G2549" s="4" t="str">
        <x:v>UNIT-02548</x:v>
      </x:c>
      <x:c r="H2549" s="9" t="n">
        <x:v>17100000</x:v>
      </x:c>
      <x:c r="I2549" s="10" t="n">
        <x:v>0.11</x:v>
      </x:c>
      <x:c r="J2549" s="11" t="n">
        <x:v>8</x:v>
      </x:c>
      <x:c r="K2549" s="11" t="n">
        <x:v>0</x:v>
      </x:c>
      <x:c r="L2549" s="11" t="n">
        <x:v>0</x:v>
      </x:c>
      <x:c r="M2549" s="9" t="n">
        <x:f>ROUND(H2549*(1-I2549),2)</x:f>
        <x:v>15219000</x:v>
      </x:c>
      <x:c r="N2549" s="4" t="str">
        <x:v>Sales head</x:v>
      </x:c>
      <x:c r="O2549" s="4" t="str">
        <x:v>BOOK-02548</x:v>
      </x:c>
      <x:c r="P2549" s="9" t="n">
        <x:v>3804750</x:v>
      </x:c>
      <x:c r="Q2549" s="11" t="n">
        <x:v>0</x:v>
      </x:c>
      <x:c r="R2549" s="8" t="n">
        <x:v>45531</x:v>
      </x:c>
      <x:c r="S2549" s="4" t="str">
        <x:v>Retained</x:v>
      </x:c>
      <x:c r="T2549" s="10" t="n">
        <x:v>0.310195</x:v>
      </x:c>
      <x:c r="U2549" s="4" t="str">
        <x:v>Excluded / unlabelled</x:v>
      </x:c>
    </x:row>
    <x:row r="2550" ht="34" customHeight="1">
      <x:c r="A2550" s="4" t="str">
        <x:v>RS-02549</x:v>
      </x:c>
      <x:c r="B2550" s="8" t="n">
        <x:v>45444</x:v>
      </x:c>
      <x:c r="C2550" s="4" t="str">
        <x:v>PRJ-009</x:v>
      </x:c>
      <x:c r="D2550" s="4" t="str">
        <x:v>Retail</x:v>
      </x:c>
      <x:c r="E2550" s="4" t="str">
        <x:v>Enquiry</x:v>
      </x:c>
      <x:c r="F2550" s="4" t="str">
        <x:v>CUS-02549</x:v>
      </x:c>
      <x:c r="G2550" s="4" t="str">
        <x:v>UNIT-02549</x:v>
      </x:c>
      <x:c r="H2550" s="9" t="n">
        <x:v>8900000</x:v>
      </x:c>
      <x:c r="I2550" s="10" t="n">
        <x:v>0.05</x:v>
      </x:c>
      <x:c r="J2550" s="11" t="n">
        <x:v>9</x:v>
      </x:c>
      <x:c r="K2550" s="11" t="n">
        <x:v>0</x:v>
      </x:c>
      <x:c r="L2550" s="11" t="n">
        <x:v>0</x:v>
      </x:c>
      <x:c r="M2550" s="9" t="n">
        <x:f>ROUND(H2550*(1-I2550),2)</x:f>
        <x:v>8455000</x:v>
      </x:c>
      <x:c r="N2550" s="4" t="str">
        <x:v>Sales manager</x:v>
      </x:c>
      <x:c r="O2550" s="4"/>
      <x:c r="P2550" s="9" t="n">
        <x:v>0</x:v>
      </x:c>
      <x:c r="Q2550" s="11" t="n">
        <x:v>0</x:v>
      </x:c>
      <x:c r="R2550" s="8" t="n">
        <x:v>45504</x:v>
      </x:c>
      <x:c r="S2550" s="4" t="str">
        <x:v>Retained</x:v>
      </x:c>
      <x:c r="T2550" s="10" t="n">
        <x:v>0.310195</x:v>
      </x:c>
      <x:c r="U2550" s="4" t="str">
        <x:v>Excluded / unlabelled</x:v>
      </x:c>
    </x:row>
    <x:row r="2551" ht="34" customHeight="1">
      <x:c r="A2551" s="4" t="str">
        <x:v>RS-02550</x:v>
      </x:c>
      <x:c r="B2551" s="8" t="n">
        <x:v>45445</x:v>
      </x:c>
      <x:c r="C2551" s="4" t="str">
        <x:v>PRJ-010</x:v>
      </x:c>
      <x:c r="D2551" s="4" t="str">
        <x:v>Apartment</x:v>
      </x:c>
      <x:c r="E2551" s="4" t="str">
        <x:v>Reserved</x:v>
      </x:c>
      <x:c r="F2551" s="4" t="str">
        <x:v>CUS-02550</x:v>
      </x:c>
      <x:c r="G2551" s="4" t="str">
        <x:v>UNIT-02550</x:v>
      </x:c>
      <x:c r="H2551" s="9" t="n">
        <x:v>6800000</x:v>
      </x:c>
      <x:c r="I2551" s="10" t="n">
        <x:v>0.02</x:v>
      </x:c>
      <x:c r="J2551" s="11" t="n">
        <x:v>1</x:v>
      </x:c>
      <x:c r="K2551" s="11" t="n">
        <x:v>0</x:v>
      </x:c>
      <x:c r="L2551" s="11" t="n">
        <x:v>1</x:v>
      </x:c>
      <x:c r="M2551" s="9" t="n">
        <x:f>ROUND(H2551*(1-I2551),2)</x:f>
        <x:v>6664000</x:v>
      </x:c>
      <x:c r="N2551" s="4" t="str">
        <x:v>Sales manager</x:v>
      </x:c>
      <x:c r="O2551" s="4"/>
      <x:c r="P2551" s="9" t="n">
        <x:v>0</x:v>
      </x:c>
      <x:c r="Q2551" s="11" t="n">
        <x:v>1</x:v>
      </x:c>
      <x:c r="R2551" s="8" t="n">
        <x:v>45505</x:v>
      </x:c>
      <x:c r="S2551" s="4" t="str">
        <x:v>Lost / cancelled</x:v>
      </x:c>
      <x:c r="T2551" s="10" t="n">
        <x:v>0.276923</x:v>
      </x:c>
      <x:c r="U2551" s="4" t="str">
        <x:v>Excluded / unlabelled</x:v>
      </x:c>
    </x:row>
    <x:row r="2552" ht="34" customHeight="1">
      <x:c r="A2552" s="4" t="str">
        <x:v>RS-02551</x:v>
      </x:c>
      <x:c r="B2552" s="8" t="n">
        <x:v>45446</x:v>
      </x:c>
      <x:c r="C2552" s="4" t="str">
        <x:v>PRJ-011</x:v>
      </x:c>
      <x:c r="D2552" s="4" t="str">
        <x:v>Office</x:v>
      </x:c>
      <x:c r="E2552" s="4" t="str">
        <x:v>Handed over</x:v>
      </x:c>
      <x:c r="F2552" s="4" t="str">
        <x:v>CUS-02551</x:v>
      </x:c>
      <x:c r="G2552" s="4" t="str">
        <x:v>UNIT-02551</x:v>
      </x:c>
      <x:c r="H2552" s="9" t="n">
        <x:v>10800000</x:v>
      </x:c>
      <x:c r="I2552" s="10" t="n">
        <x:v>0.02</x:v>
      </x:c>
      <x:c r="J2552" s="11" t="n">
        <x:v>12</x:v>
      </x:c>
      <x:c r="K2552" s="11" t="n">
        <x:v>3</x:v>
      </x:c>
      <x:c r="L2552" s="11" t="n">
        <x:v>0</x:v>
      </x:c>
      <x:c r="M2552" s="9" t="n">
        <x:f>ROUND(H2552*(1-I2552),2)</x:f>
        <x:v>10584000</x:v>
      </x:c>
      <x:c r="N2552" s="4" t="str">
        <x:v>Sales manager</x:v>
      </x:c>
      <x:c r="O2552" s="4" t="str">
        <x:v>BOOK-02551</x:v>
      </x:c>
      <x:c r="P2552" s="9" t="n">
        <x:v>10584000</x:v>
      </x:c>
      <x:c r="Q2552" s="11" t="n">
        <x:v>0</x:v>
      </x:c>
      <x:c r="R2552" s="8" t="n">
        <x:v>45506</x:v>
      </x:c>
      <x:c r="S2552" s="4" t="str">
        <x:v>Retained</x:v>
      </x:c>
      <x:c r="T2552" s="10" t="n">
        <x:v>0.305556</x:v>
      </x:c>
      <x:c r="U2552" s="4" t="str">
        <x:v>Excluded / unlabelled</x:v>
      </x:c>
    </x:row>
    <x:row r="2553" ht="34" customHeight="1">
      <x:c r="A2553" s="4" t="str">
        <x:v>RS-02552</x:v>
      </x:c>
      <x:c r="B2553" s="8" t="n">
        <x:v>45447</x:v>
      </x:c>
      <x:c r="C2553" s="4" t="str">
        <x:v>PRJ-012</x:v>
      </x:c>
      <x:c r="D2553" s="4" t="str">
        <x:v>Office</x:v>
      </x:c>
      <x:c r="E2553" s="4" t="str">
        <x:v>Reserved</x:v>
      </x:c>
      <x:c r="F2553" s="4" t="str">
        <x:v>CUS-02552</x:v>
      </x:c>
      <x:c r="G2553" s="4" t="str">
        <x:v>UNIT-02552</x:v>
      </x:c>
      <x:c r="H2553" s="9" t="n">
        <x:v>11600000</x:v>
      </x:c>
      <x:c r="I2553" s="10" t="n">
        <x:v>0.1</x:v>
      </x:c>
      <x:c r="J2553" s="11" t="n">
        <x:v>10</x:v>
      </x:c>
      <x:c r="K2553" s="11" t="n">
        <x:v>9</x:v>
      </x:c>
      <x:c r="L2553" s="11" t="n">
        <x:v>1</x:v>
      </x:c>
      <x:c r="M2553" s="9" t="n">
        <x:f>ROUND(H2553*(1-I2553),2)</x:f>
        <x:v>10440000</x:v>
      </x:c>
      <x:c r="N2553" s="4" t="str">
        <x:v>Sales head</x:v>
      </x:c>
      <x:c r="O2553" s="4"/>
      <x:c r="P2553" s="9" t="n">
        <x:v>0</x:v>
      </x:c>
      <x:c r="Q2553" s="11" t="n">
        <x:v>0</x:v>
      </x:c>
      <x:c r="R2553" s="8" t="n">
        <x:v>45507</x:v>
      </x:c>
      <x:c r="S2553" s="4" t="str">
        <x:v>Retained</x:v>
      </x:c>
      <x:c r="T2553" s="10" t="n">
        <x:v>0.310195</x:v>
      </x:c>
      <x:c r="U2553" s="4" t="str">
        <x:v>Excluded / unlabelled</x:v>
      </x:c>
    </x:row>
    <x:row r="2554" ht="34" customHeight="1">
      <x:c r="A2554" s="4" t="str">
        <x:v>RS-02553</x:v>
      </x:c>
      <x:c r="B2554" s="8" t="n">
        <x:v>45448</x:v>
      </x:c>
      <x:c r="C2554" s="4" t="str">
        <x:v>PRJ-013</x:v>
      </x:c>
      <x:c r="D2554" s="4" t="str">
        <x:v>Retail</x:v>
      </x:c>
      <x:c r="E2554" s="4" t="str">
        <x:v>Agreement signed</x:v>
      </x:c>
      <x:c r="F2554" s="4" t="str">
        <x:v>CUS-02553</x:v>
      </x:c>
      <x:c r="G2554" s="4" t="str">
        <x:v>UNIT-02553</x:v>
      </x:c>
      <x:c r="H2554" s="9" t="n">
        <x:v>15000000</x:v>
      </x:c>
      <x:c r="I2554" s="10" t="n">
        <x:v>0.07</x:v>
      </x:c>
      <x:c r="J2554" s="11" t="n">
        <x:v>11</x:v>
      </x:c>
      <x:c r="K2554" s="11" t="n">
        <x:v>10</x:v>
      </x:c>
      <x:c r="L2554" s="11" t="n">
        <x:v>0</x:v>
      </x:c>
      <x:c r="M2554" s="9" t="n">
        <x:f>ROUND(H2554*(1-I2554),2)</x:f>
        <x:v>13950000</x:v>
      </x:c>
      <x:c r="N2554" s="4" t="str">
        <x:v>Sales manager</x:v>
      </x:c>
      <x:c r="O2554" s="4" t="str">
        <x:v>BOOK-02553</x:v>
      </x:c>
      <x:c r="P2554" s="9" t="n">
        <x:v>1395000</x:v>
      </x:c>
      <x:c r="Q2554" s="11" t="n">
        <x:v>0</x:v>
      </x:c>
      <x:c r="R2554" s="8" t="n">
        <x:v>45508</x:v>
      </x:c>
      <x:c r="S2554" s="4" t="str">
        <x:v>Retained</x:v>
      </x:c>
      <x:c r="T2554" s="10" t="n">
        <x:v>0.351536</x:v>
      </x:c>
      <x:c r="U2554" s="4" t="str">
        <x:v>Excluded / unlabelled</x:v>
      </x:c>
    </x:row>
    <x:row r="2555" ht="34" customHeight="1">
      <x:c r="A2555" s="4" t="str">
        <x:v>RS-02554</x:v>
      </x:c>
      <x:c r="B2555" s="8" t="n">
        <x:v>45449</x:v>
      </x:c>
      <x:c r="C2555" s="4" t="str">
        <x:v>PRJ-014</x:v>
      </x:c>
      <x:c r="D2555" s="4" t="str">
        <x:v>Retail</x:v>
      </x:c>
      <x:c r="E2555" s="4" t="str">
        <x:v>Cancelled</x:v>
      </x:c>
      <x:c r="F2555" s="4" t="str">
        <x:v>CUS-02554</x:v>
      </x:c>
      <x:c r="G2555" s="4" t="str">
        <x:v>UNIT-02554</x:v>
      </x:c>
      <x:c r="H2555" s="9" t="n">
        <x:v>9700000</x:v>
      </x:c>
      <x:c r="I2555" s="10" t="n">
        <x:v>0.04</x:v>
      </x:c>
      <x:c r="J2555" s="11" t="n">
        <x:v>2</x:v>
      </x:c>
      <x:c r="K2555" s="11" t="n">
        <x:v>3</x:v>
      </x:c>
      <x:c r="L2555" s="11" t="n">
        <x:v>1</x:v>
      </x:c>
      <x:c r="M2555" s="9" t="n">
        <x:f>ROUND(H2555*(1-I2555),2)</x:f>
        <x:v>9312000</x:v>
      </x:c>
      <x:c r="N2555" s="4" t="str">
        <x:v>Sales manager</x:v>
      </x:c>
      <x:c r="O2555" s="4"/>
      <x:c r="P2555" s="9" t="n">
        <x:v>0</x:v>
      </x:c>
      <x:c r="Q2555" s="11" t="n">
        <x:v>1</x:v>
      </x:c>
      <x:c r="R2555" s="8" t="n">
        <x:v>45509</x:v>
      </x:c>
      <x:c r="S2555" s="4" t="str">
        <x:v>Lost / cancelled</x:v>
      </x:c>
      <x:c r="T2555" s="10" t="n">
        <x:v>0.204152</x:v>
      </x:c>
      <x:c r="U2555" s="4" t="str">
        <x:v>Excluded / unlabelled</x:v>
      </x:c>
    </x:row>
    <x:row r="2556" ht="34" customHeight="1">
      <x:c r="A2556" s="4" t="str">
        <x:v>RS-02555</x:v>
      </x:c>
      <x:c r="B2556" s="8" t="n">
        <x:v>45450</x:v>
      </x:c>
      <x:c r="C2556" s="4" t="str">
        <x:v>PRJ-015</x:v>
      </x:c>
      <x:c r="D2556" s="4" t="str">
        <x:v>Apartment</x:v>
      </x:c>
      <x:c r="E2556" s="4" t="str">
        <x:v>Enquiry</x:v>
      </x:c>
      <x:c r="F2556" s="4" t="str">
        <x:v>CUS-02555</x:v>
      </x:c>
      <x:c r="G2556" s="4" t="str">
        <x:v>UNIT-02555</x:v>
      </x:c>
      <x:c r="H2556" s="9" t="n">
        <x:v>13300000</x:v>
      </x:c>
      <x:c r="I2556" s="10" t="n">
        <x:v>0.01</x:v>
      </x:c>
      <x:c r="J2556" s="11" t="n">
        <x:v>12</x:v>
      </x:c>
      <x:c r="K2556" s="11" t="n">
        <x:v>8</x:v>
      </x:c>
      <x:c r="L2556" s="11" t="n">
        <x:v>1</x:v>
      </x:c>
      <x:c r="M2556" s="9" t="n">
        <x:f>ROUND(H2556*(1-I2556),2)</x:f>
        <x:v>13167000</x:v>
      </x:c>
      <x:c r="N2556" s="4" t="str">
        <x:v>Sales manager</x:v>
      </x:c>
      <x:c r="O2556" s="4"/>
      <x:c r="P2556" s="9" t="n">
        <x:v>0</x:v>
      </x:c>
      <x:c r="Q2556" s="11" t="n">
        <x:v>0</x:v>
      </x:c>
      <x:c r="R2556" s="8" t="n">
        <x:v>45510</x:v>
      </x:c>
      <x:c r="S2556" s="4" t="str">
        <x:v>Retained</x:v>
      </x:c>
      <x:c r="T2556" s="10" t="n">
        <x:v>0.254545</x:v>
      </x:c>
      <x:c r="U2556" s="4" t="str">
        <x:v>Excluded / unlabelled</x:v>
      </x:c>
    </x:row>
    <x:row r="2557" ht="34" customHeight="1">
      <x:c r="A2557" s="4" t="str">
        <x:v>RS-02556</x:v>
      </x:c>
      <x:c r="B2557" s="8" t="n">
        <x:v>45451</x:v>
      </x:c>
      <x:c r="C2557" s="4" t="str">
        <x:v>PRJ-016</x:v>
      </x:c>
      <x:c r="D2557" s="4" t="str">
        <x:v>Villa</x:v>
      </x:c>
      <x:c r="E2557" s="4" t="str">
        <x:v>Booked</x:v>
      </x:c>
      <x:c r="F2557" s="4" t="str">
        <x:v>CUS-02556</x:v>
      </x:c>
      <x:c r="G2557" s="4" t="str">
        <x:v>UNIT-02556</x:v>
      </x:c>
      <x:c r="H2557" s="9" t="n">
        <x:v>3900000</x:v>
      </x:c>
      <x:c r="I2557" s="10" t="n">
        <x:v>0.11</x:v>
      </x:c>
      <x:c r="J2557" s="11" t="n">
        <x:v>2</x:v>
      </x:c>
      <x:c r="K2557" s="11" t="n">
        <x:v>7</x:v>
      </x:c>
      <x:c r="L2557" s="11" t="n">
        <x:v>1</x:v>
      </x:c>
      <x:c r="M2557" s="9" t="n">
        <x:f>ROUND(H2557*(1-I2557),2)</x:f>
        <x:v>3471000</x:v>
      </x:c>
      <x:c r="N2557" s="4" t="str">
        <x:v>Sales head</x:v>
      </x:c>
      <x:c r="O2557" s="4" t="str">
        <x:v>BOOK-02556</x:v>
      </x:c>
      <x:c r="P2557" s="9" t="n">
        <x:v>347100</x:v>
      </x:c>
      <x:c r="Q2557" s="11" t="n">
        <x:v>0</x:v>
      </x:c>
      <x:c r="R2557" s="8" t="n">
        <x:v>45511</x:v>
      </x:c>
      <x:c r="S2557" s="4" t="str">
        <x:v>Retained</x:v>
      </x:c>
      <x:c r="T2557" s="10" t="n">
        <x:v>0.145833</x:v>
      </x:c>
      <x:c r="U2557" s="4" t="str">
        <x:v>Excluded / unlabelled</x:v>
      </x:c>
    </x:row>
    <x:row r="2558" ht="34" customHeight="1">
      <x:c r="A2558" s="4" t="str">
        <x:v>RS-02557</x:v>
      </x:c>
      <x:c r="B2558" s="8" t="n">
        <x:v>45452</x:v>
      </x:c>
      <x:c r="C2558" s="4" t="str">
        <x:v>PRJ-017</x:v>
      </x:c>
      <x:c r="D2558" s="4" t="str">
        <x:v>Apartment</x:v>
      </x:c>
      <x:c r="E2558" s="4" t="str">
        <x:v>Enquiry</x:v>
      </x:c>
      <x:c r="F2558" s="4" t="str">
        <x:v>CUS-02557</x:v>
      </x:c>
      <x:c r="G2558" s="4" t="str">
        <x:v>UNIT-02557</x:v>
      </x:c>
      <x:c r="H2558" s="9" t="n">
        <x:v>24900000</x:v>
      </x:c>
      <x:c r="I2558" s="10" t="n">
        <x:v>0.11</x:v>
      </x:c>
      <x:c r="J2558" s="11" t="n">
        <x:v>4</x:v>
      </x:c>
      <x:c r="K2558" s="11" t="n">
        <x:v>8</x:v>
      </x:c>
      <x:c r="L2558" s="11" t="n">
        <x:v>0</x:v>
      </x:c>
      <x:c r="M2558" s="9" t="n">
        <x:f>ROUND(H2558*(1-I2558),2)</x:f>
        <x:v>22161000</x:v>
      </x:c>
      <x:c r="N2558" s="4" t="str">
        <x:v>Sales head</x:v>
      </x:c>
      <x:c r="O2558" s="4"/>
      <x:c r="P2558" s="9" t="n">
        <x:v>0</x:v>
      </x:c>
      <x:c r="Q2558" s="11" t="n">
        <x:v>0</x:v>
      </x:c>
      <x:c r="R2558" s="8" t="n">
        <x:v>45512</x:v>
      </x:c>
      <x:c r="S2558" s="4" t="str">
        <x:v>Retained</x:v>
      </x:c>
      <x:c r="T2558" s="10" t="n">
        <x:v>0.226277</x:v>
      </x:c>
      <x:c r="U2558" s="4" t="str">
        <x:v>Excluded / unlabelled</x:v>
      </x:c>
    </x:row>
    <x:row r="2559" ht="34" customHeight="1">
      <x:c r="A2559" s="4" t="str">
        <x:v>RS-02558</x:v>
      </x:c>
      <x:c r="B2559" s="8" t="n">
        <x:v>45453</x:v>
      </x:c>
      <x:c r="C2559" s="4" t="str">
        <x:v>PRJ-018</x:v>
      </x:c>
      <x:c r="D2559" s="4" t="str">
        <x:v>Retail</x:v>
      </x:c>
      <x:c r="E2559" s="4" t="str">
        <x:v>Enquiry</x:v>
      </x:c>
      <x:c r="F2559" s="4" t="str">
        <x:v>CUS-02558</x:v>
      </x:c>
      <x:c r="G2559" s="4" t="str">
        <x:v>UNIT-02558</x:v>
      </x:c>
      <x:c r="H2559" s="9" t="n">
        <x:v>7400000</x:v>
      </x:c>
      <x:c r="I2559" s="10" t="n">
        <x:v>0.01</x:v>
      </x:c>
      <x:c r="J2559" s="11" t="n">
        <x:v>6</x:v>
      </x:c>
      <x:c r="K2559" s="11" t="n">
        <x:v>2</x:v>
      </x:c>
      <x:c r="L2559" s="11" t="n">
        <x:v>0</x:v>
      </x:c>
      <x:c r="M2559" s="9" t="n">
        <x:f>ROUND(H2559*(1-I2559),2)</x:f>
        <x:v>7326000</x:v>
      </x:c>
      <x:c r="N2559" s="4" t="str">
        <x:v>Sales manager</x:v>
      </x:c>
      <x:c r="O2559" s="4"/>
      <x:c r="P2559" s="9" t="n">
        <x:v>0</x:v>
      </x:c>
      <x:c r="Q2559" s="11" t="n">
        <x:v>0</x:v>
      </x:c>
      <x:c r="R2559" s="8" t="n">
        <x:v>45513</x:v>
      </x:c>
      <x:c r="S2559" s="4" t="str">
        <x:v>Retained</x:v>
      </x:c>
      <x:c r="T2559" s="10" t="n">
        <x:v>0.298969</x:v>
      </x:c>
      <x:c r="U2559" s="4" t="str">
        <x:v>Excluded / unlabelled</x:v>
      </x:c>
    </x:row>
    <x:row r="2560" ht="34" customHeight="1">
      <x:c r="A2560" s="4" t="str">
        <x:v>RS-02559</x:v>
      </x:c>
      <x:c r="B2560" s="8" t="n">
        <x:v>45454</x:v>
      </x:c>
      <x:c r="C2560" s="4" t="str">
        <x:v>PRJ-019</x:v>
      </x:c>
      <x:c r="D2560" s="4" t="str">
        <x:v>Apartment</x:v>
      </x:c>
      <x:c r="E2560" s="4" t="str">
        <x:v>Enquiry</x:v>
      </x:c>
      <x:c r="F2560" s="4" t="str">
        <x:v>CUS-02559</x:v>
      </x:c>
      <x:c r="G2560" s="4" t="str">
        <x:v>UNIT-02559</x:v>
      </x:c>
      <x:c r="H2560" s="9" t="n">
        <x:v>21400000</x:v>
      </x:c>
      <x:c r="I2560" s="10" t="n">
        <x:v>0.09</x:v>
      </x:c>
      <x:c r="J2560" s="11" t="n">
        <x:v>8</x:v>
      </x:c>
      <x:c r="K2560" s="11" t="n">
        <x:v>4</x:v>
      </x:c>
      <x:c r="L2560" s="11" t="n">
        <x:v>1</x:v>
      </x:c>
      <x:c r="M2560" s="9" t="n">
        <x:f>ROUND(H2560*(1-I2560),2)</x:f>
        <x:v>19474000</x:v>
      </x:c>
      <x:c r="N2560" s="4" t="str">
        <x:v>Sales head</x:v>
      </x:c>
      <x:c r="O2560" s="4"/>
      <x:c r="P2560" s="9" t="n">
        <x:v>0</x:v>
      </x:c>
      <x:c r="Q2560" s="11" t="n">
        <x:v>0</x:v>
      </x:c>
      <x:c r="R2560" s="8" t="n">
        <x:v>45514</x:v>
      </x:c>
      <x:c r="S2560" s="4" t="str">
        <x:v>Retained</x:v>
      </x:c>
      <x:c r="T2560" s="10" t="n">
        <x:v>0.310195</x:v>
      </x:c>
      <x:c r="U2560" s="4" t="str">
        <x:v>Excluded / unlabelled</x:v>
      </x:c>
    </x:row>
    <x:row r="2561" ht="34" customHeight="1">
      <x:c r="A2561" s="4" t="str">
        <x:v>RS-02560</x:v>
      </x:c>
      <x:c r="B2561" s="8" t="n">
        <x:v>45455</x:v>
      </x:c>
      <x:c r="C2561" s="4" t="str">
        <x:v>PRJ-020</x:v>
      </x:c>
      <x:c r="D2561" s="4" t="str">
        <x:v>Office</x:v>
      </x:c>
      <x:c r="E2561" s="4" t="str">
        <x:v>Cancelled</x:v>
      </x:c>
      <x:c r="F2561" s="4" t="str">
        <x:v>CUS-02560</x:v>
      </x:c>
      <x:c r="G2561" s="4" t="str">
        <x:v>UNIT-02560</x:v>
      </x:c>
      <x:c r="H2561" s="9" t="n">
        <x:v>17000000</x:v>
      </x:c>
      <x:c r="I2561" s="10" t="n">
        <x:v>0.09</x:v>
      </x:c>
      <x:c r="J2561" s="11" t="n">
        <x:v>1</x:v>
      </x:c>
      <x:c r="K2561" s="11" t="n">
        <x:v>0</x:v>
      </x:c>
      <x:c r="L2561" s="11" t="n">
        <x:v>0</x:v>
      </x:c>
      <x:c r="M2561" s="9" t="n">
        <x:f>ROUND(H2561*(1-I2561),2)</x:f>
        <x:v>15470000</x:v>
      </x:c>
      <x:c r="N2561" s="4" t="str">
        <x:v>Sales head</x:v>
      </x:c>
      <x:c r="O2561" s="4"/>
      <x:c r="P2561" s="9" t="n">
        <x:v>0</x:v>
      </x:c>
      <x:c r="Q2561" s="11" t="n">
        <x:v>1</x:v>
      </x:c>
      <x:c r="R2561" s="8" t="n">
        <x:v>45515</x:v>
      </x:c>
      <x:c r="S2561" s="4" t="str">
        <x:v>Lost / cancelled</x:v>
      </x:c>
      <x:c r="T2561" s="10" t="n">
        <x:v>0.276923</x:v>
      </x:c>
      <x:c r="U2561" s="4" t="str">
        <x:v>Excluded / unlabelled</x:v>
      </x:c>
    </x:row>
    <x:row r="2562" ht="34" customHeight="1">
      <x:c r="A2562" s="4" t="str">
        <x:v>RS-02561</x:v>
      </x:c>
      <x:c r="B2562" s="8" t="n">
        <x:v>45456</x:v>
      </x:c>
      <x:c r="C2562" s="4" t="str">
        <x:v>PRJ-001</x:v>
      </x:c>
      <x:c r="D2562" s="4" t="str">
        <x:v>Office</x:v>
      </x:c>
      <x:c r="E2562" s="4" t="str">
        <x:v>Reserved</x:v>
      </x:c>
      <x:c r="F2562" s="4" t="str">
        <x:v>CUS-02561</x:v>
      </x:c>
      <x:c r="G2562" s="4" t="str">
        <x:v>UNIT-02561</x:v>
      </x:c>
      <x:c r="H2562" s="9" t="n">
        <x:v>4400000</x:v>
      </x:c>
      <x:c r="I2562" s="10" t="n">
        <x:v>0.06</x:v>
      </x:c>
      <x:c r="J2562" s="11" t="n">
        <x:v>4</x:v>
      </x:c>
      <x:c r="K2562" s="11" t="n">
        <x:v>10</x:v>
      </x:c>
      <x:c r="L2562" s="11" t="n">
        <x:v>1</x:v>
      </x:c>
      <x:c r="M2562" s="9" t="n">
        <x:f>ROUND(H2562*(1-I2562),2)</x:f>
        <x:v>4136000</x:v>
      </x:c>
      <x:c r="N2562" s="4" t="str">
        <x:v>Sales manager</x:v>
      </x:c>
      <x:c r="O2562" s="4"/>
      <x:c r="P2562" s="9" t="n">
        <x:v>0</x:v>
      </x:c>
      <x:c r="Q2562" s="11" t="n">
        <x:v>0</x:v>
      </x:c>
      <x:c r="R2562" s="8" t="n">
        <x:v>45516</x:v>
      </x:c>
      <x:c r="S2562" s="4" t="str">
        <x:v>Retained</x:v>
      </x:c>
      <x:c r="T2562" s="10" t="n">
        <x:v>0.291946</x:v>
      </x:c>
      <x:c r="U2562" s="4" t="str">
        <x:v>Excluded / unlabelled</x:v>
      </x:c>
    </x:row>
    <x:row r="2563" ht="34" customHeight="1">
      <x:c r="A2563" s="4" t="str">
        <x:v>RS-02562</x:v>
      </x:c>
      <x:c r="B2563" s="8" t="n">
        <x:v>45457</x:v>
      </x:c>
      <x:c r="C2563" s="4" t="str">
        <x:v>PRJ-002</x:v>
      </x:c>
      <x:c r="D2563" s="4" t="str">
        <x:v>Apartment</x:v>
      </x:c>
      <x:c r="E2563" s="4" t="str">
        <x:v>Cancelled</x:v>
      </x:c>
      <x:c r="F2563" s="4" t="str">
        <x:v>CUS-02562</x:v>
      </x:c>
      <x:c r="G2563" s="4" t="str">
        <x:v>UNIT-02562</x:v>
      </x:c>
      <x:c r="H2563" s="9" t="n">
        <x:v>19000000</x:v>
      </x:c>
      <x:c r="I2563" s="10" t="n">
        <x:v>0.01</x:v>
      </x:c>
      <x:c r="J2563" s="11" t="n">
        <x:v>0</x:v>
      </x:c>
      <x:c r="K2563" s="11" t="n">
        <x:v>3</x:v>
      </x:c>
      <x:c r="L2563" s="11" t="n">
        <x:v>0</x:v>
      </x:c>
      <x:c r="M2563" s="9" t="n">
        <x:f>ROUND(H2563*(1-I2563),2)</x:f>
        <x:v>18810000</x:v>
      </x:c>
      <x:c r="N2563" s="4" t="str">
        <x:v>Sales manager</x:v>
      </x:c>
      <x:c r="O2563" s="4"/>
      <x:c r="P2563" s="9" t="n">
        <x:v>0</x:v>
      </x:c>
      <x:c r="Q2563" s="11" t="n">
        <x:v>1</x:v>
      </x:c>
      <x:c r="R2563" s="8" t="n">
        <x:v>45517</x:v>
      </x:c>
      <x:c r="S2563" s="4" t="str">
        <x:v>Lost / cancelled</x:v>
      </x:c>
      <x:c r="T2563" s="10" t="n">
        <x:v>0.072165</x:v>
      </x:c>
      <x:c r="U2563" s="4" t="str">
        <x:v>Excluded / unlabelled</x:v>
      </x:c>
    </x:row>
    <x:row r="2564" ht="34" customHeight="1">
      <x:c r="A2564" s="4" t="str">
        <x:v>RS-02563</x:v>
      </x:c>
      <x:c r="B2564" s="8" t="n">
        <x:v>45458</x:v>
      </x:c>
      <x:c r="C2564" s="4" t="str">
        <x:v>PRJ-003</x:v>
      </x:c>
      <x:c r="D2564" s="4" t="str">
        <x:v>Villa</x:v>
      </x:c>
      <x:c r="E2564" s="4" t="str">
        <x:v>Booked</x:v>
      </x:c>
      <x:c r="F2564" s="4" t="str">
        <x:v>CUS-02563</x:v>
      </x:c>
      <x:c r="G2564" s="4" t="str">
        <x:v>UNIT-02563</x:v>
      </x:c>
      <x:c r="H2564" s="9" t="n">
        <x:v>5300000</x:v>
      </x:c>
      <x:c r="I2564" s="10" t="n">
        <x:v>0.12</x:v>
      </x:c>
      <x:c r="J2564" s="11" t="n">
        <x:v>2</x:v>
      </x:c>
      <x:c r="K2564" s="11" t="n">
        <x:v>1</x:v>
      </x:c>
      <x:c r="L2564" s="11" t="n">
        <x:v>0</x:v>
      </x:c>
      <x:c r="M2564" s="9" t="n">
        <x:f>ROUND(H2564*(1-I2564),2)</x:f>
        <x:v>4664000</x:v>
      </x:c>
      <x:c r="N2564" s="4" t="str">
        <x:v>Sales head</x:v>
      </x:c>
      <x:c r="O2564" s="4" t="str">
        <x:v>BOOK-02563</x:v>
      </x:c>
      <x:c r="P2564" s="9" t="n">
        <x:v>466400</x:v>
      </x:c>
      <x:c r="Q2564" s="11" t="n">
        <x:v>0</x:v>
      </x:c>
      <x:c r="R2564" s="8" t="n">
        <x:v>45518</x:v>
      </x:c>
      <x:c r="S2564" s="4" t="str">
        <x:v>Retained</x:v>
      </x:c>
      <x:c r="T2564" s="10" t="n">
        <x:v>0.145833</x:v>
      </x:c>
      <x:c r="U2564" s="4" t="str">
        <x:v>Excluded / unlabelled</x:v>
      </x:c>
    </x:row>
    <x:row r="2565" ht="34" customHeight="1">
      <x:c r="A2565" s="4" t="str">
        <x:v>RS-02564</x:v>
      </x:c>
      <x:c r="B2565" s="8" t="n">
        <x:v>45459</x:v>
      </x:c>
      <x:c r="C2565" s="4" t="str">
        <x:v>PRJ-004</x:v>
      </x:c>
      <x:c r="D2565" s="4" t="str">
        <x:v>Retail</x:v>
      </x:c>
      <x:c r="E2565" s="4" t="str">
        <x:v>Reserved</x:v>
      </x:c>
      <x:c r="F2565" s="4" t="str">
        <x:v>CUS-02564</x:v>
      </x:c>
      <x:c r="G2565" s="4" t="str">
        <x:v>UNIT-02564</x:v>
      </x:c>
      <x:c r="H2565" s="9" t="n">
        <x:v>23500000</x:v>
      </x:c>
      <x:c r="I2565" s="10" t="n">
        <x:v>0.02</x:v>
      </x:c>
      <x:c r="J2565" s="11" t="n">
        <x:v>10</x:v>
      </x:c>
      <x:c r="K2565" s="11" t="n">
        <x:v>10</x:v>
      </x:c>
      <x:c r="L2565" s="11" t="n">
        <x:v>1</x:v>
      </x:c>
      <x:c r="M2565" s="9" t="n">
        <x:f>ROUND(H2565*(1-I2565),2)</x:f>
        <x:v>23030000</x:v>
      </x:c>
      <x:c r="N2565" s="4" t="str">
        <x:v>Sales manager</x:v>
      </x:c>
      <x:c r="O2565" s="4"/>
      <x:c r="P2565" s="9" t="n">
        <x:v>0</x:v>
      </x:c>
      <x:c r="Q2565" s="11" t="n">
        <x:v>1</x:v>
      </x:c>
      <x:c r="R2565" s="8" t="n">
        <x:v>45519</x:v>
      </x:c>
      <x:c r="S2565" s="4" t="str">
        <x:v>Lost / cancelled</x:v>
      </x:c>
      <x:c r="T2565" s="10" t="n">
        <x:v>0.254545</x:v>
      </x:c>
      <x:c r="U2565" s="4" t="str">
        <x:v>Excluded / unlabelled</x:v>
      </x:c>
    </x:row>
    <x:row r="2566" ht="34" customHeight="1">
      <x:c r="A2566" s="4" t="str">
        <x:v>RS-02565</x:v>
      </x:c>
      <x:c r="B2566" s="8" t="n">
        <x:v>45460</x:v>
      </x:c>
      <x:c r="C2566" s="4" t="str">
        <x:v>PRJ-005</x:v>
      </x:c>
      <x:c r="D2566" s="4" t="str">
        <x:v>Villa</x:v>
      </x:c>
      <x:c r="E2566" s="4" t="str">
        <x:v>Reserved</x:v>
      </x:c>
      <x:c r="F2566" s="4" t="str">
        <x:v>CUS-02565</x:v>
      </x:c>
      <x:c r="G2566" s="4" t="str">
        <x:v>UNIT-02565</x:v>
      </x:c>
      <x:c r="H2566" s="9" t="n">
        <x:v>17900000</x:v>
      </x:c>
      <x:c r="I2566" s="10" t="n">
        <x:v>0.07</x:v>
      </x:c>
      <x:c r="J2566" s="11" t="n">
        <x:v>6</x:v>
      </x:c>
      <x:c r="K2566" s="11" t="n">
        <x:v>7</x:v>
      </x:c>
      <x:c r="L2566" s="11" t="n">
        <x:v>1</x:v>
      </x:c>
      <x:c r="M2566" s="9" t="n">
        <x:f>ROUND(H2566*(1-I2566),2)</x:f>
        <x:v>16647000</x:v>
      </x:c>
      <x:c r="N2566" s="4" t="str">
        <x:v>Sales manager</x:v>
      </x:c>
      <x:c r="O2566" s="4"/>
      <x:c r="P2566" s="9" t="n">
        <x:v>0</x:v>
      </x:c>
      <x:c r="Q2566" s="11" t="n">
        <x:v>1</x:v>
      </x:c>
      <x:c r="R2566" s="8" t="n">
        <x:v>45520</x:v>
      </x:c>
      <x:c r="S2566" s="4" t="str">
        <x:v>Lost / cancelled</x:v>
      </x:c>
      <x:c r="T2566" s="10" t="n">
        <x:v>0.291946</x:v>
      </x:c>
      <x:c r="U2566" s="4" t="str">
        <x:v>Excluded / unlabelled</x:v>
      </x:c>
    </x:row>
    <x:row r="2567" ht="34" customHeight="1">
      <x:c r="A2567" s="4" t="str">
        <x:v>RS-02566</x:v>
      </x:c>
      <x:c r="B2567" s="8" t="n">
        <x:v>45461</x:v>
      </x:c>
      <x:c r="C2567" s="4" t="str">
        <x:v>PRJ-006</x:v>
      </x:c>
      <x:c r="D2567" s="4" t="str">
        <x:v>Villa</x:v>
      </x:c>
      <x:c r="E2567" s="4" t="str">
        <x:v>Enquiry</x:v>
      </x:c>
      <x:c r="F2567" s="4" t="str">
        <x:v>CUS-02566</x:v>
      </x:c>
      <x:c r="G2567" s="4" t="str">
        <x:v>UNIT-02566</x:v>
      </x:c>
      <x:c r="H2567" s="9" t="n">
        <x:v>11500000</x:v>
      </x:c>
      <x:c r="I2567" s="10" t="n">
        <x:v>0.1</x:v>
      </x:c>
      <x:c r="J2567" s="11" t="n">
        <x:v>11</x:v>
      </x:c>
      <x:c r="K2567" s="11" t="n">
        <x:v>2</x:v>
      </x:c>
      <x:c r="L2567" s="11" t="n">
        <x:v>0</x:v>
      </x:c>
      <x:c r="M2567" s="9" t="n">
        <x:f>ROUND(H2567*(1-I2567),2)</x:f>
        <x:v>10350000</x:v>
      </x:c>
      <x:c r="N2567" s="4" t="str">
        <x:v>Sales head</x:v>
      </x:c>
      <x:c r="O2567" s="4"/>
      <x:c r="P2567" s="9" t="n">
        <x:v>0</x:v>
      </x:c>
      <x:c r="Q2567" s="11" t="n">
        <x:v>1</x:v>
      </x:c>
      <x:c r="R2567" s="8" t="n">
        <x:v>45521</x:v>
      </x:c>
      <x:c r="S2567" s="4" t="str">
        <x:v>Lost / cancelled</x:v>
      </x:c>
      <x:c r="T2567" s="10" t="n">
        <x:v>0.351536</x:v>
      </x:c>
      <x:c r="U2567" s="4" t="str">
        <x:v>Excluded / unlabelled</x:v>
      </x:c>
    </x:row>
    <x:row r="2568" ht="34" customHeight="1">
      <x:c r="A2568" s="4" t="str">
        <x:v>RS-02567</x:v>
      </x:c>
      <x:c r="B2568" s="8" t="n">
        <x:v>45462</x:v>
      </x:c>
      <x:c r="C2568" s="4" t="str">
        <x:v>PRJ-007</x:v>
      </x:c>
      <x:c r="D2568" s="4" t="str">
        <x:v>Apartment</x:v>
      </x:c>
      <x:c r="E2568" s="4" t="str">
        <x:v>Handed over</x:v>
      </x:c>
      <x:c r="F2568" s="4" t="str">
        <x:v>CUS-02567</x:v>
      </x:c>
      <x:c r="G2568" s="4" t="str">
        <x:v>UNIT-02567</x:v>
      </x:c>
      <x:c r="H2568" s="9" t="n">
        <x:v>15500000</x:v>
      </x:c>
      <x:c r="I2568" s="10" t="n">
        <x:v>0.09</x:v>
      </x:c>
      <x:c r="J2568" s="11" t="n">
        <x:v>1</x:v>
      </x:c>
      <x:c r="K2568" s="11" t="n">
        <x:v>4</x:v>
      </x:c>
      <x:c r="L2568" s="11" t="n">
        <x:v>1</x:v>
      </x:c>
      <x:c r="M2568" s="9" t="n">
        <x:f>ROUND(H2568*(1-I2568),2)</x:f>
        <x:v>14105000</x:v>
      </x:c>
      <x:c r="N2568" s="4" t="str">
        <x:v>Sales head</x:v>
      </x:c>
      <x:c r="O2568" s="4" t="str">
        <x:v>BOOK-02567</x:v>
      </x:c>
      <x:c r="P2568" s="9" t="n">
        <x:v>1410500</x:v>
      </x:c>
      <x:c r="Q2568" s="11" t="n">
        <x:v>0</x:v>
      </x:c>
      <x:c r="R2568" s="8" t="n">
        <x:v>45522</x:v>
      </x:c>
      <x:c r="S2568" s="4" t="str">
        <x:v>Retained</x:v>
      </x:c>
      <x:c r="T2568" s="10" t="n">
        <x:v>0.145833</x:v>
      </x:c>
      <x:c r="U2568" s="4" t="str">
        <x:v>Excluded / unlabelled</x:v>
      </x:c>
    </x:row>
    <x:row r="2569" ht="34" customHeight="1">
      <x:c r="A2569" s="4" t="str">
        <x:v>RS-02568</x:v>
      </x:c>
      <x:c r="B2569" s="8" t="n">
        <x:v>45463</x:v>
      </x:c>
      <x:c r="C2569" s="4" t="str">
        <x:v>PRJ-008</x:v>
      </x:c>
      <x:c r="D2569" s="4" t="str">
        <x:v>Apartment</x:v>
      </x:c>
      <x:c r="E2569" s="4" t="str">
        <x:v>Handed over</x:v>
      </x:c>
      <x:c r="F2569" s="4" t="str">
        <x:v>CUS-02568</x:v>
      </x:c>
      <x:c r="G2569" s="4" t="str">
        <x:v>UNIT-02568</x:v>
      </x:c>
      <x:c r="H2569" s="9" t="n">
        <x:v>22500000</x:v>
      </x:c>
      <x:c r="I2569" s="10" t="n">
        <x:v>0.11</x:v>
      </x:c>
      <x:c r="J2569" s="11" t="n">
        <x:v>3</x:v>
      </x:c>
      <x:c r="K2569" s="11" t="n">
        <x:v>10</x:v>
      </x:c>
      <x:c r="L2569" s="11" t="n">
        <x:v>0</x:v>
      </x:c>
      <x:c r="M2569" s="9" t="n">
        <x:f>ROUND(H2569*(1-I2569),2)</x:f>
        <x:v>20025000</x:v>
      </x:c>
      <x:c r="N2569" s="4" t="str">
        <x:v>Sales head</x:v>
      </x:c>
      <x:c r="O2569" s="4" t="str">
        <x:v>BOOK-02568</x:v>
      </x:c>
      <x:c r="P2569" s="9" t="n">
        <x:v>2002500</x:v>
      </x:c>
      <x:c r="Q2569" s="11" t="n">
        <x:v>0</x:v>
      </x:c>
      <x:c r="R2569" s="8" t="n">
        <x:v>45523</x:v>
      </x:c>
      <x:c r="S2569" s="4" t="str">
        <x:v>Retained</x:v>
      </x:c>
      <x:c r="T2569" s="10" t="n">
        <x:v>0.145833</x:v>
      </x:c>
      <x:c r="U2569" s="4" t="str">
        <x:v>Excluded / unlabelled</x:v>
      </x:c>
    </x:row>
    <x:row r="2570" ht="34" customHeight="1">
      <x:c r="A2570" s="4" t="str">
        <x:v>RS-02569</x:v>
      </x:c>
      <x:c r="B2570" s="8" t="n">
        <x:v>45464</x:v>
      </x:c>
      <x:c r="C2570" s="4" t="str">
        <x:v>PRJ-009</x:v>
      </x:c>
      <x:c r="D2570" s="4" t="str">
        <x:v>Villa</x:v>
      </x:c>
      <x:c r="E2570" s="4" t="str">
        <x:v>Reserved</x:v>
      </x:c>
      <x:c r="F2570" s="4" t="str">
        <x:v>CUS-02569</x:v>
      </x:c>
      <x:c r="G2570" s="4" t="str">
        <x:v>UNIT-02569</x:v>
      </x:c>
      <x:c r="H2570" s="9" t="n">
        <x:v>13300000</x:v>
      </x:c>
      <x:c r="I2570" s="10" t="n">
        <x:v>0.05</x:v>
      </x:c>
      <x:c r="J2570" s="11" t="n">
        <x:v>2</x:v>
      </x:c>
      <x:c r="K2570" s="11" t="n">
        <x:v>3</x:v>
      </x:c>
      <x:c r="L2570" s="11" t="n">
        <x:v>0</x:v>
      </x:c>
      <x:c r="M2570" s="9" t="n">
        <x:f>ROUND(H2570*(1-I2570),2)</x:f>
        <x:v>12635000</x:v>
      </x:c>
      <x:c r="N2570" s="4" t="str">
        <x:v>Sales manager</x:v>
      </x:c>
      <x:c r="O2570" s="4"/>
      <x:c r="P2570" s="9" t="n">
        <x:v>0</x:v>
      </x:c>
      <x:c r="Q2570" s="11" t="n">
        <x:v>0</x:v>
      </x:c>
      <x:c r="R2570" s="8" t="n">
        <x:v>45524</x:v>
      </x:c>
      <x:c r="S2570" s="4" t="str">
        <x:v>Retained</x:v>
      </x:c>
      <x:c r="T2570" s="10" t="n">
        <x:v>0.204152</x:v>
      </x:c>
      <x:c r="U2570" s="4" t="str">
        <x:v>Excluded / unlabelled</x:v>
      </x:c>
    </x:row>
    <x:row r="2571" ht="34" customHeight="1">
      <x:c r="A2571" s="4" t="str">
        <x:v>RS-02570</x:v>
      </x:c>
      <x:c r="B2571" s="8" t="n">
        <x:v>45465</x:v>
      </x:c>
      <x:c r="C2571" s="4" t="str">
        <x:v>PRJ-010</x:v>
      </x:c>
      <x:c r="D2571" s="4" t="str">
        <x:v>Apartment</x:v>
      </x:c>
      <x:c r="E2571" s="4" t="str">
        <x:v>Handed over</x:v>
      </x:c>
      <x:c r="F2571" s="4" t="str">
        <x:v>CUS-02570</x:v>
      </x:c>
      <x:c r="G2571" s="4" t="str">
        <x:v>UNIT-02570</x:v>
      </x:c>
      <x:c r="H2571" s="9" t="n">
        <x:v>5200000</x:v>
      </x:c>
      <x:c r="I2571" s="10" t="n">
        <x:v>0.06</x:v>
      </x:c>
      <x:c r="J2571" s="11" t="n">
        <x:v>8</x:v>
      </x:c>
      <x:c r="K2571" s="11" t="n">
        <x:v>10</x:v>
      </x:c>
      <x:c r="L2571" s="11" t="n">
        <x:v>0</x:v>
      </x:c>
      <x:c r="M2571" s="9" t="n">
        <x:f>ROUND(H2571*(1-I2571),2)</x:f>
        <x:v>4888000</x:v>
      </x:c>
      <x:c r="N2571" s="4" t="str">
        <x:v>Sales manager</x:v>
      </x:c>
      <x:c r="O2571" s="4" t="str">
        <x:v>BOOK-02570</x:v>
      </x:c>
      <x:c r="P2571" s="9" t="n">
        <x:v>1222000</x:v>
      </x:c>
      <x:c r="Q2571" s="11" t="n">
        <x:v>0</x:v>
      </x:c>
      <x:c r="R2571" s="8" t="n">
        <x:v>45525</x:v>
      </x:c>
      <x:c r="S2571" s="4" t="str">
        <x:v>Retained</x:v>
      </x:c>
      <x:c r="T2571" s="10" t="n">
        <x:v>0.310195</x:v>
      </x:c>
      <x:c r="U2571" s="4" t="str">
        <x:v>Excluded / unlabelled</x:v>
      </x:c>
    </x:row>
    <x:row r="2572" ht="34" customHeight="1">
      <x:c r="A2572" s="4" t="str">
        <x:v>RS-02571</x:v>
      </x:c>
      <x:c r="B2572" s="8" t="n">
        <x:v>45466</x:v>
      </x:c>
      <x:c r="C2572" s="4" t="str">
        <x:v>PRJ-011</x:v>
      </x:c>
      <x:c r="D2572" s="4" t="str">
        <x:v>Apartment</x:v>
      </x:c>
      <x:c r="E2572" s="4" t="str">
        <x:v>Reserved</x:v>
      </x:c>
      <x:c r="F2572" s="4" t="str">
        <x:v>CUS-02571</x:v>
      </x:c>
      <x:c r="G2572" s="4" t="str">
        <x:v>UNIT-02571</x:v>
      </x:c>
      <x:c r="H2572" s="9" t="n">
        <x:v>9000000</x:v>
      </x:c>
      <x:c r="I2572" s="10" t="n">
        <x:v>0.08</x:v>
      </x:c>
      <x:c r="J2572" s="11" t="n">
        <x:v>7</x:v>
      </x:c>
      <x:c r="K2572" s="11" t="n">
        <x:v>0</x:v>
      </x:c>
      <x:c r="L2572" s="11" t="n">
        <x:v>1</x:v>
      </x:c>
      <x:c r="M2572" s="9" t="n">
        <x:f>ROUND(H2572*(1-I2572),2)</x:f>
        <x:v>8280000</x:v>
      </x:c>
      <x:c r="N2572" s="4" t="str">
        <x:v>Sales head</x:v>
      </x:c>
      <x:c r="O2572" s="4"/>
      <x:c r="P2572" s="9" t="n">
        <x:v>0</x:v>
      </x:c>
      <x:c r="Q2572" s="11" t="n">
        <x:v>0</x:v>
      </x:c>
      <x:c r="R2572" s="8" t="n">
        <x:v>45526</x:v>
      </x:c>
      <x:c r="S2572" s="4" t="str">
        <x:v>Retained</x:v>
      </x:c>
      <x:c r="T2572" s="10" t="n">
        <x:v>0.291946</x:v>
      </x:c>
      <x:c r="U2572" s="4" t="str">
        <x:v>Excluded / unlabelled</x:v>
      </x:c>
    </x:row>
    <x:row r="2573" ht="34" customHeight="1">
      <x:c r="A2573" s="4" t="str">
        <x:v>RS-02572</x:v>
      </x:c>
      <x:c r="B2573" s="8" t="n">
        <x:v>45467</x:v>
      </x:c>
      <x:c r="C2573" s="4" t="str">
        <x:v>PRJ-012</x:v>
      </x:c>
      <x:c r="D2573" s="4" t="str">
        <x:v>Office</x:v>
      </x:c>
      <x:c r="E2573" s="4" t="str">
        <x:v>Cancelled</x:v>
      </x:c>
      <x:c r="F2573" s="4" t="str">
        <x:v>CUS-02572</x:v>
      </x:c>
      <x:c r="G2573" s="4" t="str">
        <x:v>UNIT-02572</x:v>
      </x:c>
      <x:c r="H2573" s="9" t="n">
        <x:v>18400000</x:v>
      </x:c>
      <x:c r="I2573" s="10" t="n">
        <x:v>0.06</x:v>
      </x:c>
      <x:c r="J2573" s="11" t="n">
        <x:v>11</x:v>
      </x:c>
      <x:c r="K2573" s="11" t="n">
        <x:v>9</x:v>
      </x:c>
      <x:c r="L2573" s="11" t="n">
        <x:v>0</x:v>
      </x:c>
      <x:c r="M2573" s="9" t="n">
        <x:f>ROUND(H2573*(1-I2573),2)</x:f>
        <x:v>17296000</x:v>
      </x:c>
      <x:c r="N2573" s="4" t="str">
        <x:v>Sales manager</x:v>
      </x:c>
      <x:c r="O2573" s="4"/>
      <x:c r="P2573" s="9" t="n">
        <x:v>0</x:v>
      </x:c>
      <x:c r="Q2573" s="11" t="n">
        <x:v>1</x:v>
      </x:c>
      <x:c r="R2573" s="8" t="n">
        <x:v>45527</x:v>
      </x:c>
      <x:c r="S2573" s="4" t="str">
        <x:v>Lost / cancelled</x:v>
      </x:c>
      <x:c r="T2573" s="10" t="n">
        <x:v>0.351536</x:v>
      </x:c>
      <x:c r="U2573" s="4" t="str">
        <x:v>Excluded / unlabelled</x:v>
      </x:c>
    </x:row>
    <x:row r="2574" ht="34" customHeight="1">
      <x:c r="A2574" s="4" t="str">
        <x:v>RS-02573</x:v>
      </x:c>
      <x:c r="B2574" s="8" t="n">
        <x:v>45468</x:v>
      </x:c>
      <x:c r="C2574" s="4" t="str">
        <x:v>PRJ-013</x:v>
      </x:c>
      <x:c r="D2574" s="4" t="str">
        <x:v>Villa</x:v>
      </x:c>
      <x:c r="E2574" s="4" t="str">
        <x:v>Agreement signed</x:v>
      </x:c>
      <x:c r="F2574" s="4" t="str">
        <x:v>CUS-02573</x:v>
      </x:c>
      <x:c r="G2574" s="4" t="str">
        <x:v>UNIT-02573</x:v>
      </x:c>
      <x:c r="H2574" s="9" t="n">
        <x:v>19100000</x:v>
      </x:c>
      <x:c r="I2574" s="10" t="n">
        <x:v>0.09</x:v>
      </x:c>
      <x:c r="J2574" s="11" t="n">
        <x:v>6</x:v>
      </x:c>
      <x:c r="K2574" s="11" t="n">
        <x:v>1</x:v>
      </x:c>
      <x:c r="L2574" s="11" t="n">
        <x:v>1</x:v>
      </x:c>
      <x:c r="M2574" s="9" t="n">
        <x:f>ROUND(H2574*(1-I2574),2)</x:f>
        <x:v>17381000</x:v>
      </x:c>
      <x:c r="N2574" s="4" t="str">
        <x:v>Sales head</x:v>
      </x:c>
      <x:c r="O2574" s="4" t="str">
        <x:v>BOOK-02573</x:v>
      </x:c>
      <x:c r="P2574" s="9" t="n">
        <x:v>8690500</x:v>
      </x:c>
      <x:c r="Q2574" s="11" t="n">
        <x:v>0</x:v>
      </x:c>
      <x:c r="R2574" s="8" t="n">
        <x:v>45528</x:v>
      </x:c>
      <x:c r="S2574" s="4" t="str">
        <x:v>Retained</x:v>
      </x:c>
      <x:c r="T2574" s="10" t="n">
        <x:v>0.291946</x:v>
      </x:c>
      <x:c r="U2574" s="4" t="str">
        <x:v>Excluded / unlabelled</x:v>
      </x:c>
    </x:row>
    <x:row r="2575" ht="34" customHeight="1">
      <x:c r="A2575" s="4" t="str">
        <x:v>RS-02574</x:v>
      </x:c>
      <x:c r="B2575" s="8" t="n">
        <x:v>45469</x:v>
      </x:c>
      <x:c r="C2575" s="4" t="str">
        <x:v>PRJ-014</x:v>
      </x:c>
      <x:c r="D2575" s="4" t="str">
        <x:v>Office</x:v>
      </x:c>
      <x:c r="E2575" s="4" t="str">
        <x:v>Booked</x:v>
      </x:c>
      <x:c r="F2575" s="4" t="str">
        <x:v>CUS-02574</x:v>
      </x:c>
      <x:c r="G2575" s="4" t="str">
        <x:v>UNIT-02574</x:v>
      </x:c>
      <x:c r="H2575" s="9" t="n">
        <x:v>19800000</x:v>
      </x:c>
      <x:c r="I2575" s="10" t="n">
        <x:v>0.08</x:v>
      </x:c>
      <x:c r="J2575" s="11" t="n">
        <x:v>0</x:v>
      </x:c>
      <x:c r="K2575" s="11" t="n">
        <x:v>8</x:v>
      </x:c>
      <x:c r="L2575" s="11" t="n">
        <x:v>0</x:v>
      </x:c>
      <x:c r="M2575" s="9" t="n">
        <x:f>ROUND(H2575*(1-I2575),2)</x:f>
        <x:v>18216000</x:v>
      </x:c>
      <x:c r="N2575" s="4" t="str">
        <x:v>Sales head</x:v>
      </x:c>
      <x:c r="O2575" s="4" t="str">
        <x:v>BOOK-02574</x:v>
      </x:c>
      <x:c r="P2575" s="9" t="n">
        <x:v>18216000</x:v>
      </x:c>
      <x:c r="Q2575" s="11" t="n">
        <x:v>0</x:v>
      </x:c>
      <x:c r="R2575" s="8" t="n">
        <x:v>45529</x:v>
      </x:c>
      <x:c r="S2575" s="4" t="str">
        <x:v>Retained</x:v>
      </x:c>
      <x:c r="T2575" s="10" t="n">
        <x:v>0.204152</x:v>
      </x:c>
      <x:c r="U2575" s="4" t="str">
        <x:v>Excluded / unlabelled</x:v>
      </x:c>
    </x:row>
    <x:row r="2576" ht="34" customHeight="1">
      <x:c r="A2576" s="4" t="str">
        <x:v>RS-02575</x:v>
      </x:c>
      <x:c r="B2576" s="8" t="n">
        <x:v>45470</x:v>
      </x:c>
      <x:c r="C2576" s="4" t="str">
        <x:v>PRJ-015</x:v>
      </x:c>
      <x:c r="D2576" s="4" t="str">
        <x:v>Villa</x:v>
      </x:c>
      <x:c r="E2576" s="4" t="str">
        <x:v>Reserved</x:v>
      </x:c>
      <x:c r="F2576" s="4" t="str">
        <x:v>CUS-02575</x:v>
      </x:c>
      <x:c r="G2576" s="4" t="str">
        <x:v>UNIT-02575</x:v>
      </x:c>
      <x:c r="H2576" s="9" t="n">
        <x:v>13300000</x:v>
      </x:c>
      <x:c r="I2576" s="10" t="n">
        <x:v>0.09</x:v>
      </x:c>
      <x:c r="J2576" s="11" t="n">
        <x:v>2</x:v>
      </x:c>
      <x:c r="K2576" s="11" t="n">
        <x:v>0</x:v>
      </x:c>
      <x:c r="L2576" s="11" t="n">
        <x:v>1</x:v>
      </x:c>
      <x:c r="M2576" s="9" t="n">
        <x:f>ROUND(H2576*(1-I2576),2)</x:f>
        <x:v>12103000</x:v>
      </x:c>
      <x:c r="N2576" s="4" t="str">
        <x:v>Sales head</x:v>
      </x:c>
      <x:c r="O2576" s="4"/>
      <x:c r="P2576" s="9" t="n">
        <x:v>0</x:v>
      </x:c>
      <x:c r="Q2576" s="11" t="n">
        <x:v>0</x:v>
      </x:c>
      <x:c r="R2576" s="8" t="n">
        <x:v>45530</x:v>
      </x:c>
      <x:c r="S2576" s="4" t="str">
        <x:v>Retained</x:v>
      </x:c>
      <x:c r="T2576" s="10" t="n">
        <x:v>0.276923</x:v>
      </x:c>
      <x:c r="U2576" s="4" t="str">
        <x:v>Excluded / unlabelled</x:v>
      </x:c>
    </x:row>
    <x:row r="2577" ht="34" customHeight="1">
      <x:c r="A2577" s="4" t="str">
        <x:v>RS-02576</x:v>
      </x:c>
      <x:c r="B2577" s="8" t="n">
        <x:v>45471</x:v>
      </x:c>
      <x:c r="C2577" s="4" t="str">
        <x:v>PRJ-016</x:v>
      </x:c>
      <x:c r="D2577" s="4" t="str">
        <x:v>Apartment</x:v>
      </x:c>
      <x:c r="E2577" s="4" t="str">
        <x:v>Cancelled</x:v>
      </x:c>
      <x:c r="F2577" s="4" t="str">
        <x:v>CUS-02576</x:v>
      </x:c>
      <x:c r="G2577" s="4" t="str">
        <x:v>UNIT-02576</x:v>
      </x:c>
      <x:c r="H2577" s="9" t="n">
        <x:v>23700000</x:v>
      </x:c>
      <x:c r="I2577" s="10" t="n">
        <x:v>0.05</x:v>
      </x:c>
      <x:c r="J2577" s="11" t="n">
        <x:v>12</x:v>
      </x:c>
      <x:c r="K2577" s="11" t="n">
        <x:v>4</x:v>
      </x:c>
      <x:c r="L2577" s="11" t="n">
        <x:v>0</x:v>
      </x:c>
      <x:c r="M2577" s="9" t="n">
        <x:f>ROUND(H2577*(1-I2577),2)</x:f>
        <x:v>22515000</x:v>
      </x:c>
      <x:c r="N2577" s="4" t="str">
        <x:v>Sales manager</x:v>
      </x:c>
      <x:c r="O2577" s="4"/>
      <x:c r="P2577" s="9" t="n">
        <x:v>0</x:v>
      </x:c>
      <x:c r="Q2577" s="11" t="n">
        <x:v>1</x:v>
      </x:c>
      <x:c r="R2577" s="8" t="n">
        <x:v>45531</x:v>
      </x:c>
      <x:c r="S2577" s="4" t="str">
        <x:v>Lost / cancelled</x:v>
      </x:c>
      <x:c r="T2577" s="10" t="n">
        <x:v>0.351536</x:v>
      </x:c>
      <x:c r="U2577" s="4" t="str">
        <x:v>Excluded / unlabelled</x:v>
      </x:c>
    </x:row>
    <x:row r="2578" ht="34" customHeight="1">
      <x:c r="A2578" s="4" t="str">
        <x:v>RS-02577</x:v>
      </x:c>
      <x:c r="B2578" s="8" t="n">
        <x:v>45444</x:v>
      </x:c>
      <x:c r="C2578" s="4" t="str">
        <x:v>PRJ-017</x:v>
      </x:c>
      <x:c r="D2578" s="4" t="str">
        <x:v>Office</x:v>
      </x:c>
      <x:c r="E2578" s="4" t="str">
        <x:v>Cancelled</x:v>
      </x:c>
      <x:c r="F2578" s="4" t="str">
        <x:v>CUS-02577</x:v>
      </x:c>
      <x:c r="G2578" s="4" t="str">
        <x:v>UNIT-02577</x:v>
      </x:c>
      <x:c r="H2578" s="9" t="n">
        <x:v>3700000</x:v>
      </x:c>
      <x:c r="I2578" s="10" t="n">
        <x:v>0.06</x:v>
      </x:c>
      <x:c r="J2578" s="11" t="n">
        <x:v>3</x:v>
      </x:c>
      <x:c r="K2578" s="11" t="n">
        <x:v>9</x:v>
      </x:c>
      <x:c r="L2578" s="11" t="n">
        <x:v>0</x:v>
      </x:c>
      <x:c r="M2578" s="9" t="n">
        <x:f>ROUND(H2578*(1-I2578),2)</x:f>
        <x:v>3478000</x:v>
      </x:c>
      <x:c r="N2578" s="4" t="str">
        <x:v>Sales manager</x:v>
      </x:c>
      <x:c r="O2578" s="4"/>
      <x:c r="P2578" s="9" t="n">
        <x:v>0</x:v>
      </x:c>
      <x:c r="Q2578" s="11" t="n">
        <x:v>1</x:v>
      </x:c>
      <x:c r="R2578" s="8" t="n">
        <x:v>45504</x:v>
      </x:c>
      <x:c r="S2578" s="4" t="str">
        <x:v>Lost / cancelled</x:v>
      </x:c>
      <x:c r="T2578" s="10" t="n">
        <x:v>0.204152</x:v>
      </x:c>
      <x:c r="U2578" s="4" t="str">
        <x:v>Excluded / unlabelled</x:v>
      </x:c>
    </x:row>
    <x:row r="2579" ht="34" customHeight="1">
      <x:c r="A2579" s="4" t="str">
        <x:v>RS-02578</x:v>
      </x:c>
      <x:c r="B2579" s="8" t="n">
        <x:v>45445</x:v>
      </x:c>
      <x:c r="C2579" s="4" t="str">
        <x:v>PRJ-018</x:v>
      </x:c>
      <x:c r="D2579" s="4" t="str">
        <x:v>Villa</x:v>
      </x:c>
      <x:c r="E2579" s="4" t="str">
        <x:v>Agreement signed</x:v>
      </x:c>
      <x:c r="F2579" s="4" t="str">
        <x:v>CUS-02578</x:v>
      </x:c>
      <x:c r="G2579" s="4" t="str">
        <x:v>UNIT-02578</x:v>
      </x:c>
      <x:c r="H2579" s="9" t="n">
        <x:v>19300000</x:v>
      </x:c>
      <x:c r="I2579" s="10" t="n">
        <x:v>0.04</x:v>
      </x:c>
      <x:c r="J2579" s="11" t="n">
        <x:v>7</x:v>
      </x:c>
      <x:c r="K2579" s="11" t="n">
        <x:v>8</x:v>
      </x:c>
      <x:c r="L2579" s="11" t="n">
        <x:v>0</x:v>
      </x:c>
      <x:c r="M2579" s="9" t="n">
        <x:f>ROUND(H2579*(1-I2579),2)</x:f>
        <x:v>18528000</x:v>
      </x:c>
      <x:c r="N2579" s="4" t="str">
        <x:v>Sales manager</x:v>
      </x:c>
      <x:c r="O2579" s="4" t="str">
        <x:v>BOOK-02578</x:v>
      </x:c>
      <x:c r="P2579" s="9" t="n">
        <x:v>4632000</x:v>
      </x:c>
      <x:c r="Q2579" s="11" t="n">
        <x:v>0</x:v>
      </x:c>
      <x:c r="R2579" s="8" t="n">
        <x:v>45505</x:v>
      </x:c>
      <x:c r="S2579" s="4" t="str">
        <x:v>Retained</x:v>
      </x:c>
      <x:c r="T2579" s="10" t="n">
        <x:v>0.226277</x:v>
      </x:c>
      <x:c r="U2579" s="4" t="str">
        <x:v>Excluded / unlabelled</x:v>
      </x:c>
    </x:row>
    <x:row r="2580" ht="34" customHeight="1">
      <x:c r="A2580" s="4" t="str">
        <x:v>RS-02579</x:v>
      </x:c>
      <x:c r="B2580" s="8" t="n">
        <x:v>45446</x:v>
      </x:c>
      <x:c r="C2580" s="4" t="str">
        <x:v>PRJ-019</x:v>
      </x:c>
      <x:c r="D2580" s="4" t="str">
        <x:v>Apartment</x:v>
      </x:c>
      <x:c r="E2580" s="4" t="str">
        <x:v>Reserved</x:v>
      </x:c>
      <x:c r="F2580" s="4" t="str">
        <x:v>CUS-02579</x:v>
      </x:c>
      <x:c r="G2580" s="4" t="str">
        <x:v>UNIT-02579</x:v>
      </x:c>
      <x:c r="H2580" s="9" t="n">
        <x:v>9700000</x:v>
      </x:c>
      <x:c r="I2580" s="10" t="n">
        <x:v>0.04</x:v>
      </x:c>
      <x:c r="J2580" s="11" t="n">
        <x:v>3</x:v>
      </x:c>
      <x:c r="K2580" s="11" t="n">
        <x:v>1</x:v>
      </x:c>
      <x:c r="L2580" s="11" t="n">
        <x:v>0</x:v>
      </x:c>
      <x:c r="M2580" s="9" t="n">
        <x:f>ROUND(H2580*(1-I2580),2)</x:f>
        <x:v>9312000</x:v>
      </x:c>
      <x:c r="N2580" s="4" t="str">
        <x:v>Sales manager</x:v>
      </x:c>
      <x:c r="O2580" s="4"/>
      <x:c r="P2580" s="9" t="n">
        <x:v>0</x:v>
      </x:c>
      <x:c r="Q2580" s="11" t="n">
        <x:v>0</x:v>
      </x:c>
      <x:c r="R2580" s="8" t="n">
        <x:v>45506</x:v>
      </x:c>
      <x:c r="S2580" s="4" t="str">
        <x:v>Retained</x:v>
      </x:c>
      <x:c r="T2580" s="10" t="n">
        <x:v>0.204152</x:v>
      </x:c>
      <x:c r="U2580" s="4" t="str">
        <x:v>Excluded / unlabelled</x:v>
      </x:c>
    </x:row>
    <x:row r="2581" ht="34" customHeight="1">
      <x:c r="A2581" s="4" t="str">
        <x:v>RS-02580</x:v>
      </x:c>
      <x:c r="B2581" s="8" t="n">
        <x:v>45447</x:v>
      </x:c>
      <x:c r="C2581" s="4" t="str">
        <x:v>PRJ-020</x:v>
      </x:c>
      <x:c r="D2581" s="4" t="str">
        <x:v>Retail</x:v>
      </x:c>
      <x:c r="E2581" s="4" t="str">
        <x:v>Booked</x:v>
      </x:c>
      <x:c r="F2581" s="4" t="str">
        <x:v>CUS-02580</x:v>
      </x:c>
      <x:c r="G2581" s="4" t="str">
        <x:v>UNIT-02580</x:v>
      </x:c>
      <x:c r="H2581" s="9" t="n">
        <x:v>4300000</x:v>
      </x:c>
      <x:c r="I2581" s="10" t="n">
        <x:v>0.06</x:v>
      </x:c>
      <x:c r="J2581" s="11" t="n">
        <x:v>0</x:v>
      </x:c>
      <x:c r="K2581" s="11" t="n">
        <x:v>6</x:v>
      </x:c>
      <x:c r="L2581" s="11" t="n">
        <x:v>0</x:v>
      </x:c>
      <x:c r="M2581" s="9" t="n">
        <x:f>ROUND(H2581*(1-I2581),2)</x:f>
        <x:v>4042000</x:v>
      </x:c>
      <x:c r="N2581" s="4" t="str">
        <x:v>Sales manager</x:v>
      </x:c>
      <x:c r="O2581" s="4" t="str">
        <x:v>BOOK-02580</x:v>
      </x:c>
      <x:c r="P2581" s="9" t="n">
        <x:v>4042000</x:v>
      </x:c>
      <x:c r="Q2581" s="11" t="n">
        <x:v>0</x:v>
      </x:c>
      <x:c r="R2581" s="8" t="n">
        <x:v>45507</x:v>
      </x:c>
      <x:c r="S2581" s="4" t="str">
        <x:v>Retained</x:v>
      </x:c>
      <x:c r="T2581" s="10" t="n">
        <x:v>0.204152</x:v>
      </x:c>
      <x:c r="U2581" s="4" t="str">
        <x:v>Excluded / unlabelled</x:v>
      </x:c>
    </x:row>
    <x:row r="2582" ht="34" customHeight="1">
      <x:c r="A2582" s="4" t="str">
        <x:v>RS-02581</x:v>
      </x:c>
      <x:c r="B2582" s="8" t="n">
        <x:v>45448</x:v>
      </x:c>
      <x:c r="C2582" s="4" t="str">
        <x:v>PRJ-001</x:v>
      </x:c>
      <x:c r="D2582" s="4" t="str">
        <x:v>Office</x:v>
      </x:c>
      <x:c r="E2582" s="4" t="str">
        <x:v>Cancelled</x:v>
      </x:c>
      <x:c r="F2582" s="4" t="str">
        <x:v>CUS-02581</x:v>
      </x:c>
      <x:c r="G2582" s="4" t="str">
        <x:v>UNIT-02581</x:v>
      </x:c>
      <x:c r="H2582" s="9" t="n">
        <x:v>8900000</x:v>
      </x:c>
      <x:c r="I2582" s="10" t="n">
        <x:v>0.09</x:v>
      </x:c>
      <x:c r="J2582" s="11" t="n">
        <x:v>1</x:v>
      </x:c>
      <x:c r="K2582" s="11" t="n">
        <x:v>4</x:v>
      </x:c>
      <x:c r="L2582" s="11" t="n">
        <x:v>0</x:v>
      </x:c>
      <x:c r="M2582" s="9" t="n">
        <x:f>ROUND(H2582*(1-I2582),2)</x:f>
        <x:v>8099000</x:v>
      </x:c>
      <x:c r="N2582" s="4" t="str">
        <x:v>Sales head</x:v>
      </x:c>
      <x:c r="O2582" s="4"/>
      <x:c r="P2582" s="9" t="n">
        <x:v>0</x:v>
      </x:c>
      <x:c r="Q2582" s="11" t="n">
        <x:v>1</x:v>
      </x:c>
      <x:c r="R2582" s="8" t="n">
        <x:v>45508</x:v>
      </x:c>
      <x:c r="S2582" s="4" t="str">
        <x:v>Lost / cancelled</x:v>
      </x:c>
      <x:c r="T2582" s="10" t="n">
        <x:v>0.145833</x:v>
      </x:c>
      <x:c r="U2582" s="4" t="str">
        <x:v>Excluded / unlabelled</x:v>
      </x:c>
    </x:row>
    <x:row r="2583" ht="34" customHeight="1">
      <x:c r="A2583" s="4" t="str">
        <x:v>RS-02582</x:v>
      </x:c>
      <x:c r="B2583" s="8" t="n">
        <x:v>45449</x:v>
      </x:c>
      <x:c r="C2583" s="4" t="str">
        <x:v>PRJ-002</x:v>
      </x:c>
      <x:c r="D2583" s="4" t="str">
        <x:v>Apartment</x:v>
      </x:c>
      <x:c r="E2583" s="4" t="str">
        <x:v>Handed over</x:v>
      </x:c>
      <x:c r="F2583" s="4" t="str">
        <x:v>CUS-02582</x:v>
      </x:c>
      <x:c r="G2583" s="4" t="str">
        <x:v>UNIT-02582</x:v>
      </x:c>
      <x:c r="H2583" s="9" t="n">
        <x:v>13200000</x:v>
      </x:c>
      <x:c r="I2583" s="10" t="n">
        <x:v>0.02</x:v>
      </x:c>
      <x:c r="J2583" s="11" t="n">
        <x:v>1</x:v>
      </x:c>
      <x:c r="K2583" s="11" t="n">
        <x:v>8</x:v>
      </x:c>
      <x:c r="L2583" s="11" t="n">
        <x:v>0</x:v>
      </x:c>
      <x:c r="M2583" s="9" t="n">
        <x:f>ROUND(H2583*(1-I2583),2)</x:f>
        <x:v>12936000</x:v>
      </x:c>
      <x:c r="N2583" s="4" t="str">
        <x:v>Sales manager</x:v>
      </x:c>
      <x:c r="O2583" s="4" t="str">
        <x:v>BOOK-02582</x:v>
      </x:c>
      <x:c r="P2583" s="9" t="n">
        <x:v>6468000</x:v>
      </x:c>
      <x:c r="Q2583" s="11" t="n">
        <x:v>0</x:v>
      </x:c>
      <x:c r="R2583" s="8" t="n">
        <x:v>45509</x:v>
      </x:c>
      <x:c r="S2583" s="4" t="str">
        <x:v>Retained</x:v>
      </x:c>
      <x:c r="T2583" s="10" t="n">
        <x:v>0.072165</x:v>
      </x:c>
      <x:c r="U2583" s="4" t="str">
        <x:v>Excluded / unlabelled</x:v>
      </x:c>
    </x:row>
    <x:row r="2584" ht="34" customHeight="1">
      <x:c r="A2584" s="4" t="str">
        <x:v>RS-02583</x:v>
      </x:c>
      <x:c r="B2584" s="8" t="n">
        <x:v>45450</x:v>
      </x:c>
      <x:c r="C2584" s="4" t="str">
        <x:v>PRJ-003</x:v>
      </x:c>
      <x:c r="D2584" s="4" t="str">
        <x:v>Apartment</x:v>
      </x:c>
      <x:c r="E2584" s="4" t="str">
        <x:v>Handed over</x:v>
      </x:c>
      <x:c r="F2584" s="4" t="str">
        <x:v>CUS-02583</x:v>
      </x:c>
      <x:c r="G2584" s="4" t="str">
        <x:v>UNIT-02583</x:v>
      </x:c>
      <x:c r="H2584" s="9" t="n">
        <x:v>8300000</x:v>
      </x:c>
      <x:c r="I2584" s="10" t="n">
        <x:v>0.05</x:v>
      </x:c>
      <x:c r="J2584" s="11" t="n">
        <x:v>2</x:v>
      </x:c>
      <x:c r="K2584" s="11" t="n">
        <x:v>10</x:v>
      </x:c>
      <x:c r="L2584" s="11" t="n">
        <x:v>0</x:v>
      </x:c>
      <x:c r="M2584" s="9" t="n">
        <x:f>ROUND(H2584*(1-I2584),2)</x:f>
        <x:v>7885000</x:v>
      </x:c>
      <x:c r="N2584" s="4" t="str">
        <x:v>Sales manager</x:v>
      </x:c>
      <x:c r="O2584" s="4" t="str">
        <x:v>BOOK-02583</x:v>
      </x:c>
      <x:c r="P2584" s="9" t="n">
        <x:v>788500</x:v>
      </x:c>
      <x:c r="Q2584" s="11" t="n">
        <x:v>0</x:v>
      </x:c>
      <x:c r="R2584" s="8" t="n">
        <x:v>45510</x:v>
      </x:c>
      <x:c r="S2584" s="4" t="str">
        <x:v>Retained</x:v>
      </x:c>
      <x:c r="T2584" s="10" t="n">
        <x:v>0.204152</x:v>
      </x:c>
      <x:c r="U2584" s="4" t="str">
        <x:v>Excluded / unlabelled</x:v>
      </x:c>
    </x:row>
    <x:row r="2585" ht="34" customHeight="1">
      <x:c r="A2585" s="4" t="str">
        <x:v>RS-02584</x:v>
      </x:c>
      <x:c r="B2585" s="8" t="n">
        <x:v>45451</x:v>
      </x:c>
      <x:c r="C2585" s="4" t="str">
        <x:v>PRJ-004</x:v>
      </x:c>
      <x:c r="D2585" s="4" t="str">
        <x:v>Apartment</x:v>
      </x:c>
      <x:c r="E2585" s="4" t="str">
        <x:v>Handed over</x:v>
      </x:c>
      <x:c r="F2585" s="4" t="str">
        <x:v>CUS-02584</x:v>
      </x:c>
      <x:c r="G2585" s="4" t="str">
        <x:v>UNIT-02584</x:v>
      </x:c>
      <x:c r="H2585" s="9" t="n">
        <x:v>3300000</x:v>
      </x:c>
      <x:c r="I2585" s="10" t="n">
        <x:v>0.09</x:v>
      </x:c>
      <x:c r="J2585" s="11" t="n">
        <x:v>6</x:v>
      </x:c>
      <x:c r="K2585" s="11" t="n">
        <x:v>2</x:v>
      </x:c>
      <x:c r="L2585" s="11" t="n">
        <x:v>1</x:v>
      </x:c>
      <x:c r="M2585" s="9" t="n">
        <x:f>ROUND(H2585*(1-I2585),2)</x:f>
        <x:v>3003000</x:v>
      </x:c>
      <x:c r="N2585" s="4" t="str">
        <x:v>Sales head</x:v>
      </x:c>
      <x:c r="O2585" s="4" t="str">
        <x:v>BOOK-02584</x:v>
      </x:c>
      <x:c r="P2585" s="9" t="n">
        <x:v>3003000</x:v>
      </x:c>
      <x:c r="Q2585" s="11" t="n">
        <x:v>0</x:v>
      </x:c>
      <x:c r="R2585" s="8" t="n">
        <x:v>45511</x:v>
      </x:c>
      <x:c r="S2585" s="4" t="str">
        <x:v>Retained</x:v>
      </x:c>
      <x:c r="T2585" s="10" t="n">
        <x:v>0.291946</x:v>
      </x:c>
      <x:c r="U2585" s="4" t="str">
        <x:v>Excluded / unlabelled</x:v>
      </x:c>
    </x:row>
    <x:row r="2586" ht="34" customHeight="1">
      <x:c r="A2586" s="4" t="str">
        <x:v>RS-02585</x:v>
      </x:c>
      <x:c r="B2586" s="8" t="n">
        <x:v>45452</x:v>
      </x:c>
      <x:c r="C2586" s="4" t="str">
        <x:v>PRJ-005</x:v>
      </x:c>
      <x:c r="D2586" s="4" t="str">
        <x:v>Retail</x:v>
      </x:c>
      <x:c r="E2586" s="4" t="str">
        <x:v>Cancelled</x:v>
      </x:c>
      <x:c r="F2586" s="4" t="str">
        <x:v>CUS-02585</x:v>
      </x:c>
      <x:c r="G2586" s="4" t="str">
        <x:v>UNIT-02585</x:v>
      </x:c>
      <x:c r="H2586" s="9" t="n">
        <x:v>16600000</x:v>
      </x:c>
      <x:c r="I2586" s="10" t="n">
        <x:v>0.06</x:v>
      </x:c>
      <x:c r="J2586" s="11" t="n">
        <x:v>8</x:v>
      </x:c>
      <x:c r="K2586" s="11" t="n">
        <x:v>1</x:v>
      </x:c>
      <x:c r="L2586" s="11" t="n">
        <x:v>0</x:v>
      </x:c>
      <x:c r="M2586" s="9" t="n">
        <x:f>ROUND(H2586*(1-I2586),2)</x:f>
        <x:v>15604000</x:v>
      </x:c>
      <x:c r="N2586" s="4" t="str">
        <x:v>Sales manager</x:v>
      </x:c>
      <x:c r="O2586" s="4"/>
      <x:c r="P2586" s="9" t="n">
        <x:v>0</x:v>
      </x:c>
      <x:c r="Q2586" s="11" t="n">
        <x:v>1</x:v>
      </x:c>
      <x:c r="R2586" s="8" t="n">
        <x:v>45512</x:v>
      </x:c>
      <x:c r="S2586" s="4" t="str">
        <x:v>Lost / cancelled</x:v>
      </x:c>
      <x:c r="T2586" s="10" t="n">
        <x:v>0.310195</x:v>
      </x:c>
      <x:c r="U2586" s="4" t="str">
        <x:v>Excluded / unlabelled</x:v>
      </x:c>
    </x:row>
    <x:row r="2587" ht="34" customHeight="1">
      <x:c r="A2587" s="4" t="str">
        <x:v>RS-02586</x:v>
      </x:c>
      <x:c r="B2587" s="8" t="n">
        <x:v>45453</x:v>
      </x:c>
      <x:c r="C2587" s="4" t="str">
        <x:v>PRJ-006</x:v>
      </x:c>
      <x:c r="D2587" s="4" t="str">
        <x:v>Apartment</x:v>
      </x:c>
      <x:c r="E2587" s="4" t="str">
        <x:v>Booked</x:v>
      </x:c>
      <x:c r="F2587" s="4" t="str">
        <x:v>CUS-02586</x:v>
      </x:c>
      <x:c r="G2587" s="4" t="str">
        <x:v>UNIT-02586</x:v>
      </x:c>
      <x:c r="H2587" s="9" t="n">
        <x:v>11600000</x:v>
      </x:c>
      <x:c r="I2587" s="10" t="n">
        <x:v>0.09</x:v>
      </x:c>
      <x:c r="J2587" s="11" t="n">
        <x:v>4</x:v>
      </x:c>
      <x:c r="K2587" s="11" t="n">
        <x:v>3</x:v>
      </x:c>
      <x:c r="L2587" s="11" t="n">
        <x:v>0</x:v>
      </x:c>
      <x:c r="M2587" s="9" t="n">
        <x:f>ROUND(H2587*(1-I2587),2)</x:f>
        <x:v>10556000</x:v>
      </x:c>
      <x:c r="N2587" s="4" t="str">
        <x:v>Sales head</x:v>
      </x:c>
      <x:c r="O2587" s="4" t="str">
        <x:v>BOOK-02586</x:v>
      </x:c>
      <x:c r="P2587" s="9" t="n">
        <x:v>2639000</x:v>
      </x:c>
      <x:c r="Q2587" s="11" t="n">
        <x:v>0</x:v>
      </x:c>
      <x:c r="R2587" s="8" t="n">
        <x:v>45513</x:v>
      </x:c>
      <x:c r="S2587" s="4" t="str">
        <x:v>Retained</x:v>
      </x:c>
      <x:c r="T2587" s="10" t="n">
        <x:v>0.226277</x:v>
      </x:c>
      <x:c r="U2587" s="4" t="str">
        <x:v>Excluded / unlabelled</x:v>
      </x:c>
    </x:row>
    <x:row r="2588" ht="34" customHeight="1">
      <x:c r="A2588" s="4" t="str">
        <x:v>RS-02587</x:v>
      </x:c>
      <x:c r="B2588" s="8" t="n">
        <x:v>45454</x:v>
      </x:c>
      <x:c r="C2588" s="4" t="str">
        <x:v>PRJ-007</x:v>
      </x:c>
      <x:c r="D2588" s="4" t="str">
        <x:v>Retail</x:v>
      </x:c>
      <x:c r="E2588" s="4" t="str">
        <x:v>Cancelled</x:v>
      </x:c>
      <x:c r="F2588" s="4" t="str">
        <x:v>CUS-02587</x:v>
      </x:c>
      <x:c r="G2588" s="4" t="str">
        <x:v>UNIT-02587</x:v>
      </x:c>
      <x:c r="H2588" s="9" t="n">
        <x:v>15800000</x:v>
      </x:c>
      <x:c r="I2588" s="10" t="n">
        <x:v>0.08</x:v>
      </x:c>
      <x:c r="J2588" s="11" t="n">
        <x:v>11</x:v>
      </x:c>
      <x:c r="K2588" s="11" t="n">
        <x:v>4</x:v>
      </x:c>
      <x:c r="L2588" s="11" t="n">
        <x:v>0</x:v>
      </x:c>
      <x:c r="M2588" s="9" t="n">
        <x:f>ROUND(H2588*(1-I2588),2)</x:f>
        <x:v>14536000</x:v>
      </x:c>
      <x:c r="N2588" s="4" t="str">
        <x:v>Sales head</x:v>
      </x:c>
      <x:c r="O2588" s="4"/>
      <x:c r="P2588" s="9" t="n">
        <x:v>0</x:v>
      </x:c>
      <x:c r="Q2588" s="11" t="n">
        <x:v>1</x:v>
      </x:c>
      <x:c r="R2588" s="8" t="n">
        <x:v>45514</x:v>
      </x:c>
      <x:c r="S2588" s="4" t="str">
        <x:v>Lost / cancelled</x:v>
      </x:c>
      <x:c r="T2588" s="10" t="n">
        <x:v>0.351536</x:v>
      </x:c>
      <x:c r="U2588" s="4" t="str">
        <x:v>Excluded / unlabelled</x:v>
      </x:c>
    </x:row>
    <x:row r="2589" ht="34" customHeight="1">
      <x:c r="A2589" s="4" t="str">
        <x:v>RS-02588</x:v>
      </x:c>
      <x:c r="B2589" s="8" t="n">
        <x:v>45455</x:v>
      </x:c>
      <x:c r="C2589" s="4" t="str">
        <x:v>PRJ-008</x:v>
      </x:c>
      <x:c r="D2589" s="4" t="str">
        <x:v>Apartment</x:v>
      </x:c>
      <x:c r="E2589" s="4" t="str">
        <x:v>Cancelled</x:v>
      </x:c>
      <x:c r="F2589" s="4" t="str">
        <x:v>CUS-02588</x:v>
      </x:c>
      <x:c r="G2589" s="4" t="str">
        <x:v>UNIT-02588</x:v>
      </x:c>
      <x:c r="H2589" s="9" t="n">
        <x:v>11300000</x:v>
      </x:c>
      <x:c r="I2589" s="10" t="n">
        <x:v>0.09</x:v>
      </x:c>
      <x:c r="J2589" s="11" t="n">
        <x:v>12</x:v>
      </x:c>
      <x:c r="K2589" s="11" t="n">
        <x:v>3</x:v>
      </x:c>
      <x:c r="L2589" s="11" t="n">
        <x:v>1</x:v>
      </x:c>
      <x:c r="M2589" s="9" t="n">
        <x:f>ROUND(H2589*(1-I2589),2)</x:f>
        <x:v>10283000</x:v>
      </x:c>
      <x:c r="N2589" s="4" t="str">
        <x:v>Sales head</x:v>
      </x:c>
      <x:c r="O2589" s="4"/>
      <x:c r="P2589" s="9" t="n">
        <x:v>0</x:v>
      </x:c>
      <x:c r="Q2589" s="11" t="n">
        <x:v>1</x:v>
      </x:c>
      <x:c r="R2589" s="8" t="n">
        <x:v>45515</x:v>
      </x:c>
      <x:c r="S2589" s="4" t="str">
        <x:v>Lost / cancelled</x:v>
      </x:c>
      <x:c r="T2589" s="10" t="n">
        <x:v>0.351536</x:v>
      </x:c>
      <x:c r="U2589" s="4" t="str">
        <x:v>Excluded / unlabelled</x:v>
      </x:c>
    </x:row>
    <x:row r="2590" ht="34" customHeight="1">
      <x:c r="A2590" s="4" t="str">
        <x:v>RS-02589</x:v>
      </x:c>
      <x:c r="B2590" s="8" t="n">
        <x:v>45456</x:v>
      </x:c>
      <x:c r="C2590" s="4" t="str">
        <x:v>PRJ-009</x:v>
      </x:c>
      <x:c r="D2590" s="4" t="str">
        <x:v>Villa</x:v>
      </x:c>
      <x:c r="E2590" s="4" t="str">
        <x:v>Enquiry</x:v>
      </x:c>
      <x:c r="F2590" s="4" t="str">
        <x:v>CUS-02589</x:v>
      </x:c>
      <x:c r="G2590" s="4" t="str">
        <x:v>UNIT-02589</x:v>
      </x:c>
      <x:c r="H2590" s="9" t="n">
        <x:v>16800000</x:v>
      </x:c>
      <x:c r="I2590" s="10" t="n">
        <x:v>0.1</x:v>
      </x:c>
      <x:c r="J2590" s="11" t="n">
        <x:v>10</x:v>
      </x:c>
      <x:c r="K2590" s="11" t="n">
        <x:v>4</x:v>
      </x:c>
      <x:c r="L2590" s="11" t="n">
        <x:v>1</x:v>
      </x:c>
      <x:c r="M2590" s="9" t="n">
        <x:f>ROUND(H2590*(1-I2590),2)</x:f>
        <x:v>15120000</x:v>
      </x:c>
      <x:c r="N2590" s="4" t="str">
        <x:v>Sales head</x:v>
      </x:c>
      <x:c r="O2590" s="4"/>
      <x:c r="P2590" s="9" t="n">
        <x:v>0</x:v>
      </x:c>
      <x:c r="Q2590" s="11" t="n">
        <x:v>0</x:v>
      </x:c>
      <x:c r="R2590" s="8" t="n">
        <x:v>45516</x:v>
      </x:c>
      <x:c r="S2590" s="4" t="str">
        <x:v>Retained</x:v>
      </x:c>
      <x:c r="T2590" s="10" t="n">
        <x:v>0.310195</x:v>
      </x:c>
      <x:c r="U2590" s="4" t="str">
        <x:v>Excluded / unlabelled</x:v>
      </x:c>
    </x:row>
    <x:row r="2591" ht="34" customHeight="1">
      <x:c r="A2591" s="4" t="str">
        <x:v>RS-02590</x:v>
      </x:c>
      <x:c r="B2591" s="8" t="n">
        <x:v>45457</x:v>
      </x:c>
      <x:c r="C2591" s="4" t="str">
        <x:v>PRJ-010</x:v>
      </x:c>
      <x:c r="D2591" s="4" t="str">
        <x:v>Apartment</x:v>
      </x:c>
      <x:c r="E2591" s="4" t="str">
        <x:v>Handed over</x:v>
      </x:c>
      <x:c r="F2591" s="4" t="str">
        <x:v>CUS-02590</x:v>
      </x:c>
      <x:c r="G2591" s="4" t="str">
        <x:v>UNIT-02590</x:v>
      </x:c>
      <x:c r="H2591" s="9" t="n">
        <x:v>17200000</x:v>
      </x:c>
      <x:c r="I2591" s="10" t="n">
        <x:v>0.01</x:v>
      </x:c>
      <x:c r="J2591" s="11" t="n">
        <x:v>11</x:v>
      </x:c>
      <x:c r="K2591" s="11" t="n">
        <x:v>5</x:v>
      </x:c>
      <x:c r="L2591" s="11" t="n">
        <x:v>1</x:v>
      </x:c>
      <x:c r="M2591" s="9" t="n">
        <x:f>ROUND(H2591*(1-I2591),2)</x:f>
        <x:v>17028000</x:v>
      </x:c>
      <x:c r="N2591" s="4" t="str">
        <x:v>Sales manager</x:v>
      </x:c>
      <x:c r="O2591" s="4" t="str">
        <x:v>BOOK-02590</x:v>
      </x:c>
      <x:c r="P2591" s="9" t="n">
        <x:v>1702800</x:v>
      </x:c>
      <x:c r="Q2591" s="11" t="n">
        <x:v>0</x:v>
      </x:c>
      <x:c r="R2591" s="8" t="n">
        <x:v>45517</x:v>
      </x:c>
      <x:c r="S2591" s="4" t="str">
        <x:v>Retained</x:v>
      </x:c>
      <x:c r="T2591" s="10" t="n">
        <x:v>0.254545</x:v>
      </x:c>
      <x:c r="U2591" s="4" t="str">
        <x:v>Excluded / unlabelled</x:v>
      </x:c>
    </x:row>
    <x:row r="2592" ht="34" customHeight="1">
      <x:c r="A2592" s="4" t="str">
        <x:v>RS-02591</x:v>
      </x:c>
      <x:c r="B2592" s="8" t="n">
        <x:v>45458</x:v>
      </x:c>
      <x:c r="C2592" s="4" t="str">
        <x:v>PRJ-011</x:v>
      </x:c>
      <x:c r="D2592" s="4" t="str">
        <x:v>Apartment</x:v>
      </x:c>
      <x:c r="E2592" s="4" t="str">
        <x:v>Cancelled</x:v>
      </x:c>
      <x:c r="F2592" s="4" t="str">
        <x:v>CUS-02591</x:v>
      </x:c>
      <x:c r="G2592" s="4" t="str">
        <x:v>UNIT-02591</x:v>
      </x:c>
      <x:c r="H2592" s="9" t="n">
        <x:v>6800000</x:v>
      </x:c>
      <x:c r="I2592" s="10" t="n">
        <x:v>0.1</x:v>
      </x:c>
      <x:c r="J2592" s="11" t="n">
        <x:v>6</x:v>
      </x:c>
      <x:c r="K2592" s="11" t="n">
        <x:v>5</x:v>
      </x:c>
      <x:c r="L2592" s="11" t="n">
        <x:v>1</x:v>
      </x:c>
      <x:c r="M2592" s="9" t="n">
        <x:f>ROUND(H2592*(1-I2592),2)</x:f>
        <x:v>6120000</x:v>
      </x:c>
      <x:c r="N2592" s="4" t="str">
        <x:v>Sales head</x:v>
      </x:c>
      <x:c r="O2592" s="4"/>
      <x:c r="P2592" s="9" t="n">
        <x:v>0</x:v>
      </x:c>
      <x:c r="Q2592" s="11" t="n">
        <x:v>1</x:v>
      </x:c>
      <x:c r="R2592" s="8" t="n">
        <x:v>45518</x:v>
      </x:c>
      <x:c r="S2592" s="4" t="str">
        <x:v>Lost / cancelled</x:v>
      </x:c>
      <x:c r="T2592" s="10" t="n">
        <x:v>0.291946</x:v>
      </x:c>
      <x:c r="U2592" s="4" t="str">
        <x:v>Excluded / unlabelled</x:v>
      </x:c>
    </x:row>
    <x:row r="2593" ht="34" customHeight="1">
      <x:c r="A2593" s="4" t="str">
        <x:v>RS-02592</x:v>
      </x:c>
      <x:c r="B2593" s="8" t="n">
        <x:v>45459</x:v>
      </x:c>
      <x:c r="C2593" s="4" t="str">
        <x:v>PRJ-012</x:v>
      </x:c>
      <x:c r="D2593" s="4" t="str">
        <x:v>Retail</x:v>
      </x:c>
      <x:c r="E2593" s="4" t="str">
        <x:v>Enquiry</x:v>
      </x:c>
      <x:c r="F2593" s="4" t="str">
        <x:v>CUS-02592</x:v>
      </x:c>
      <x:c r="G2593" s="4" t="str">
        <x:v>UNIT-02592</x:v>
      </x:c>
      <x:c r="H2593" s="9" t="n">
        <x:v>3800000</x:v>
      </x:c>
      <x:c r="I2593" s="10" t="n">
        <x:v>0.07</x:v>
      </x:c>
      <x:c r="J2593" s="11" t="n">
        <x:v>11</x:v>
      </x:c>
      <x:c r="K2593" s="11" t="n">
        <x:v>9</x:v>
      </x:c>
      <x:c r="L2593" s="11" t="n">
        <x:v>0</x:v>
      </x:c>
      <x:c r="M2593" s="9" t="n">
        <x:f>ROUND(H2593*(1-I2593),2)</x:f>
        <x:v>3534000</x:v>
      </x:c>
      <x:c r="N2593" s="4" t="str">
        <x:v>Sales manager</x:v>
      </x:c>
      <x:c r="O2593" s="4"/>
      <x:c r="P2593" s="9" t="n">
        <x:v>0</x:v>
      </x:c>
      <x:c r="Q2593" s="11" t="n">
        <x:v>1</x:v>
      </x:c>
      <x:c r="R2593" s="8" t="n">
        <x:v>45519</x:v>
      </x:c>
      <x:c r="S2593" s="4" t="str">
        <x:v>Lost / cancelled</x:v>
      </x:c>
      <x:c r="T2593" s="10" t="n">
        <x:v>0.351536</x:v>
      </x:c>
      <x:c r="U2593" s="4" t="str">
        <x:v>Excluded / unlabelled</x:v>
      </x:c>
    </x:row>
    <x:row r="2594" ht="34" customHeight="1">
      <x:c r="A2594" s="4" t="str">
        <x:v>RS-02593</x:v>
      </x:c>
      <x:c r="B2594" s="8" t="n">
        <x:v>45460</x:v>
      </x:c>
      <x:c r="C2594" s="4" t="str">
        <x:v>PRJ-013</x:v>
      </x:c>
      <x:c r="D2594" s="4" t="str">
        <x:v>Apartment</x:v>
      </x:c>
      <x:c r="E2594" s="4" t="str">
        <x:v>Enquiry</x:v>
      </x:c>
      <x:c r="F2594" s="4" t="str">
        <x:v>CUS-02593</x:v>
      </x:c>
      <x:c r="G2594" s="4" t="str">
        <x:v>UNIT-02593</x:v>
      </x:c>
      <x:c r="H2594" s="9" t="n">
        <x:v>19300000</x:v>
      </x:c>
      <x:c r="I2594" s="10" t="n">
        <x:v>0.05</x:v>
      </x:c>
      <x:c r="J2594" s="11" t="n">
        <x:v>4</x:v>
      </x:c>
      <x:c r="K2594" s="11" t="n">
        <x:v>7</x:v>
      </x:c>
      <x:c r="L2594" s="11" t="n">
        <x:v>0</x:v>
      </x:c>
      <x:c r="M2594" s="9" t="n">
        <x:f>ROUND(H2594*(1-I2594),2)</x:f>
        <x:v>18335000</x:v>
      </x:c>
      <x:c r="N2594" s="4" t="str">
        <x:v>Sales manager</x:v>
      </x:c>
      <x:c r="O2594" s="4"/>
      <x:c r="P2594" s="9" t="n">
        <x:v>0</x:v>
      </x:c>
      <x:c r="Q2594" s="11" t="n">
        <x:v>0</x:v>
      </x:c>
      <x:c r="R2594" s="8" t="n">
        <x:v>45520</x:v>
      </x:c>
      <x:c r="S2594" s="4" t="str">
        <x:v>Retained</x:v>
      </x:c>
      <x:c r="T2594" s="10" t="n">
        <x:v>0.226277</x:v>
      </x:c>
      <x:c r="U2594" s="4" t="str">
        <x:v>Excluded / unlabelled</x:v>
      </x:c>
    </x:row>
    <x:row r="2595" ht="34" customHeight="1">
      <x:c r="A2595" s="4" t="str">
        <x:v>RS-02594</x:v>
      </x:c>
      <x:c r="B2595" s="8" t="n">
        <x:v>45461</x:v>
      </x:c>
      <x:c r="C2595" s="4" t="str">
        <x:v>PRJ-014</x:v>
      </x:c>
      <x:c r="D2595" s="4" t="str">
        <x:v>Office</x:v>
      </x:c>
      <x:c r="E2595" s="4" t="str">
        <x:v>Booked</x:v>
      </x:c>
      <x:c r="F2595" s="4" t="str">
        <x:v>CUS-02594</x:v>
      </x:c>
      <x:c r="G2595" s="4" t="str">
        <x:v>UNIT-02594</x:v>
      </x:c>
      <x:c r="H2595" s="9" t="n">
        <x:v>19400000</x:v>
      </x:c>
      <x:c r="I2595" s="10" t="n">
        <x:v>0.05</x:v>
      </x:c>
      <x:c r="J2595" s="11" t="n">
        <x:v>0</x:v>
      </x:c>
      <x:c r="K2595" s="11" t="n">
        <x:v>6</x:v>
      </x:c>
      <x:c r="L2595" s="11" t="n">
        <x:v>0</x:v>
      </x:c>
      <x:c r="M2595" s="9" t="n">
        <x:f>ROUND(H2595*(1-I2595),2)</x:f>
        <x:v>18430000</x:v>
      </x:c>
      <x:c r="N2595" s="4" t="str">
        <x:v>Sales manager</x:v>
      </x:c>
      <x:c r="O2595" s="4" t="str">
        <x:v>BOOK-02594</x:v>
      </x:c>
      <x:c r="P2595" s="9" t="n">
        <x:v>4607500</x:v>
      </x:c>
      <x:c r="Q2595" s="11" t="n">
        <x:v>0</x:v>
      </x:c>
      <x:c r="R2595" s="8" t="n">
        <x:v>45521</x:v>
      </x:c>
      <x:c r="S2595" s="4" t="str">
        <x:v>Retained</x:v>
      </x:c>
      <x:c r="T2595" s="10" t="n">
        <x:v>0.204152</x:v>
      </x:c>
      <x:c r="U2595" s="4" t="str">
        <x:v>Excluded / unlabelled</x:v>
      </x:c>
    </x:row>
    <x:row r="2596" ht="34" customHeight="1">
      <x:c r="A2596" s="4" t="str">
        <x:v>RS-02595</x:v>
      </x:c>
      <x:c r="B2596" s="8" t="n">
        <x:v>45462</x:v>
      </x:c>
      <x:c r="C2596" s="4" t="str">
        <x:v>PRJ-015</x:v>
      </x:c>
      <x:c r="D2596" s="4" t="str">
        <x:v>Office</x:v>
      </x:c>
      <x:c r="E2596" s="4" t="str">
        <x:v>Enquiry</x:v>
      </x:c>
      <x:c r="F2596" s="4" t="str">
        <x:v>CUS-02595</x:v>
      </x:c>
      <x:c r="G2596" s="4" t="str">
        <x:v>UNIT-02595</x:v>
      </x:c>
      <x:c r="H2596" s="9" t="n">
        <x:v>18900000</x:v>
      </x:c>
      <x:c r="I2596" s="10" t="n">
        <x:v>0.03</x:v>
      </x:c>
      <x:c r="J2596" s="11" t="n">
        <x:v>12</x:v>
      </x:c>
      <x:c r="K2596" s="11" t="n">
        <x:v>5</x:v>
      </x:c>
      <x:c r="L2596" s="11" t="n">
        <x:v>1</x:v>
      </x:c>
      <x:c r="M2596" s="9" t="n">
        <x:f>ROUND(H2596*(1-I2596),2)</x:f>
        <x:v>18333000</x:v>
      </x:c>
      <x:c r="N2596" s="4" t="str">
        <x:v>Sales manager</x:v>
      </x:c>
      <x:c r="O2596" s="4"/>
      <x:c r="P2596" s="9" t="n">
        <x:v>0</x:v>
      </x:c>
      <x:c r="Q2596" s="11" t="n">
        <x:v>0</x:v>
      </x:c>
      <x:c r="R2596" s="8" t="n">
        <x:v>45522</x:v>
      </x:c>
      <x:c r="S2596" s="4" t="str">
        <x:v>Retained</x:v>
      </x:c>
      <x:c r="T2596" s="10" t="n">
        <x:v>0.351536</x:v>
      </x:c>
      <x:c r="U2596" s="4" t="str">
        <x:v>Excluded / unlabelled</x:v>
      </x:c>
    </x:row>
    <x:row r="2597" ht="34" customHeight="1">
      <x:c r="A2597" s="4" t="str">
        <x:v>RS-02596</x:v>
      </x:c>
      <x:c r="B2597" s="8" t="n">
        <x:v>45463</x:v>
      </x:c>
      <x:c r="C2597" s="4" t="str">
        <x:v>PRJ-016</x:v>
      </x:c>
      <x:c r="D2597" s="4" t="str">
        <x:v>Retail</x:v>
      </x:c>
      <x:c r="E2597" s="4" t="str">
        <x:v>Cancelled</x:v>
      </x:c>
      <x:c r="F2597" s="4" t="str">
        <x:v>CUS-02596</x:v>
      </x:c>
      <x:c r="G2597" s="4" t="str">
        <x:v>UNIT-02596</x:v>
      </x:c>
      <x:c r="H2597" s="9" t="n">
        <x:v>6600000</x:v>
      </x:c>
      <x:c r="I2597" s="10" t="n">
        <x:v>0.04</x:v>
      </x:c>
      <x:c r="J2597" s="11" t="n">
        <x:v>3</x:v>
      </x:c>
      <x:c r="K2597" s="11" t="n">
        <x:v>2</x:v>
      </x:c>
      <x:c r="L2597" s="11" t="n">
        <x:v>0</x:v>
      </x:c>
      <x:c r="M2597" s="9" t="n">
        <x:f>ROUND(H2597*(1-I2597),2)</x:f>
        <x:v>6336000</x:v>
      </x:c>
      <x:c r="N2597" s="4" t="str">
        <x:v>Sales manager</x:v>
      </x:c>
      <x:c r="O2597" s="4"/>
      <x:c r="P2597" s="9" t="n">
        <x:v>0</x:v>
      </x:c>
      <x:c r="Q2597" s="11" t="n">
        <x:v>1</x:v>
      </x:c>
      <x:c r="R2597" s="8" t="n">
        <x:v>45523</x:v>
      </x:c>
      <x:c r="S2597" s="4" t="str">
        <x:v>Lost / cancelled</x:v>
      </x:c>
      <x:c r="T2597" s="10" t="n">
        <x:v>0.204152</x:v>
      </x:c>
      <x:c r="U2597" s="4" t="str">
        <x:v>Excluded / unlabelled</x:v>
      </x:c>
    </x:row>
    <x:row r="2598" ht="34" customHeight="1">
      <x:c r="A2598" s="4" t="str">
        <x:v>RS-02597</x:v>
      </x:c>
      <x:c r="B2598" s="8" t="n">
        <x:v>45464</x:v>
      </x:c>
      <x:c r="C2598" s="4" t="str">
        <x:v>PRJ-017</x:v>
      </x:c>
      <x:c r="D2598" s="4" t="str">
        <x:v>Office</x:v>
      </x:c>
      <x:c r="E2598" s="4" t="str">
        <x:v>Reserved</x:v>
      </x:c>
      <x:c r="F2598" s="4" t="str">
        <x:v>CUS-02597</x:v>
      </x:c>
      <x:c r="G2598" s="4" t="str">
        <x:v>UNIT-02597</x:v>
      </x:c>
      <x:c r="H2598" s="9" t="n">
        <x:v>24400000</x:v>
      </x:c>
      <x:c r="I2598" s="10" t="n">
        <x:v>0.04</x:v>
      </x:c>
      <x:c r="J2598" s="11" t="n">
        <x:v>9</x:v>
      </x:c>
      <x:c r="K2598" s="11" t="n">
        <x:v>7</x:v>
      </x:c>
      <x:c r="L2598" s="11" t="n">
        <x:v>1</x:v>
      </x:c>
      <x:c r="M2598" s="9" t="n">
        <x:f>ROUND(H2598*(1-I2598),2)</x:f>
        <x:v>23424000</x:v>
      </x:c>
      <x:c r="N2598" s="4" t="str">
        <x:v>Sales manager</x:v>
      </x:c>
      <x:c r="O2598" s="4"/>
      <x:c r="P2598" s="9" t="n">
        <x:v>0</x:v>
      </x:c>
      <x:c r="Q2598" s="11" t="n">
        <x:v>0</x:v>
      </x:c>
      <x:c r="R2598" s="8" t="n">
        <x:v>45524</x:v>
      </x:c>
      <x:c r="S2598" s="4" t="str">
        <x:v>Retained</x:v>
      </x:c>
      <x:c r="T2598" s="10" t="n">
        <x:v>0.310195</x:v>
      </x:c>
      <x:c r="U2598" s="4" t="str">
        <x:v>Excluded / unlabelled</x:v>
      </x:c>
    </x:row>
    <x:row r="2599" ht="34" customHeight="1">
      <x:c r="A2599" s="4" t="str">
        <x:v>RS-02598</x:v>
      </x:c>
      <x:c r="B2599" s="8" t="n">
        <x:v>45465</x:v>
      </x:c>
      <x:c r="C2599" s="4" t="str">
        <x:v>PRJ-018</x:v>
      </x:c>
      <x:c r="D2599" s="4" t="str">
        <x:v>Office</x:v>
      </x:c>
      <x:c r="E2599" s="4" t="str">
        <x:v>Cancelled</x:v>
      </x:c>
      <x:c r="F2599" s="4" t="str">
        <x:v>CUS-02598</x:v>
      </x:c>
      <x:c r="G2599" s="4" t="str">
        <x:v>UNIT-02598</x:v>
      </x:c>
      <x:c r="H2599" s="9" t="n">
        <x:v>4900000</x:v>
      </x:c>
      <x:c r="I2599" s="10" t="n">
        <x:v>0.05</x:v>
      </x:c>
      <x:c r="J2599" s="11" t="n">
        <x:v>7</x:v>
      </x:c>
      <x:c r="K2599" s="11" t="n">
        <x:v>3</x:v>
      </x:c>
      <x:c r="L2599" s="11" t="n">
        <x:v>1</x:v>
      </x:c>
      <x:c r="M2599" s="9" t="n">
        <x:f>ROUND(H2599*(1-I2599),2)</x:f>
        <x:v>4655000</x:v>
      </x:c>
      <x:c r="N2599" s="4" t="str">
        <x:v>Sales manager</x:v>
      </x:c>
      <x:c r="O2599" s="4"/>
      <x:c r="P2599" s="9" t="n">
        <x:v>0</x:v>
      </x:c>
      <x:c r="Q2599" s="11" t="n">
        <x:v>1</x:v>
      </x:c>
      <x:c r="R2599" s="8" t="n">
        <x:v>45525</x:v>
      </x:c>
      <x:c r="S2599" s="4" t="str">
        <x:v>Lost / cancelled</x:v>
      </x:c>
      <x:c r="T2599" s="10" t="n">
        <x:v>0.291946</x:v>
      </x:c>
      <x:c r="U2599" s="4" t="str">
        <x:v>Excluded / unlabelled</x:v>
      </x:c>
    </x:row>
    <x:row r="2600" ht="34" customHeight="1">
      <x:c r="A2600" s="4" t="str">
        <x:v>RS-02599</x:v>
      </x:c>
      <x:c r="B2600" s="8" t="n">
        <x:v>45466</x:v>
      </x:c>
      <x:c r="C2600" s="4" t="str">
        <x:v>PRJ-019</x:v>
      </x:c>
      <x:c r="D2600" s="4" t="str">
        <x:v>Office</x:v>
      </x:c>
      <x:c r="E2600" s="4" t="str">
        <x:v>Reserved</x:v>
      </x:c>
      <x:c r="F2600" s="4" t="str">
        <x:v>CUS-02599</x:v>
      </x:c>
      <x:c r="G2600" s="4" t="str">
        <x:v>UNIT-02599</x:v>
      </x:c>
      <x:c r="H2600" s="9" t="n">
        <x:v>15900000</x:v>
      </x:c>
      <x:c r="I2600" s="10" t="n">
        <x:v>0.02</x:v>
      </x:c>
      <x:c r="J2600" s="11" t="n">
        <x:v>5</x:v>
      </x:c>
      <x:c r="K2600" s="11" t="n">
        <x:v>4</x:v>
      </x:c>
      <x:c r="L2600" s="11" t="n">
        <x:v>1</x:v>
      </x:c>
      <x:c r="M2600" s="9" t="n">
        <x:f>ROUND(H2600*(1-I2600),2)</x:f>
        <x:v>15582000</x:v>
      </x:c>
      <x:c r="N2600" s="4" t="str">
        <x:v>Sales manager</x:v>
      </x:c>
      <x:c r="O2600" s="4"/>
      <x:c r="P2600" s="9" t="n">
        <x:v>0</x:v>
      </x:c>
      <x:c r="Q2600" s="11" t="n">
        <x:v>0</x:v>
      </x:c>
      <x:c r="R2600" s="8" t="n">
        <x:v>45526</x:v>
      </x:c>
      <x:c r="S2600" s="4" t="str">
        <x:v>Retained</x:v>
      </x:c>
      <x:c r="T2600" s="10" t="n">
        <x:v>0.298969</x:v>
      </x:c>
      <x:c r="U2600" s="4" t="str">
        <x:v>Excluded / unlabelled</x:v>
      </x:c>
    </x:row>
    <x:row r="2601" ht="34" customHeight="1">
      <x:c r="A2601" s="4" t="str">
        <x:v>RS-02600</x:v>
      </x:c>
      <x:c r="B2601" s="8" t="n">
        <x:v>45467</x:v>
      </x:c>
      <x:c r="C2601" s="4" t="str">
        <x:v>PRJ-020</x:v>
      </x:c>
      <x:c r="D2601" s="4" t="str">
        <x:v>Retail</x:v>
      </x:c>
      <x:c r="E2601" s="4" t="str">
        <x:v>Reserved</x:v>
      </x:c>
      <x:c r="F2601" s="4" t="str">
        <x:v>CUS-02600</x:v>
      </x:c>
      <x:c r="G2601" s="4" t="str">
        <x:v>UNIT-02600</x:v>
      </x:c>
      <x:c r="H2601" s="9" t="n">
        <x:v>3000000</x:v>
      </x:c>
      <x:c r="I2601" s="10" t="n">
        <x:v>0.05</x:v>
      </x:c>
      <x:c r="J2601" s="11" t="n">
        <x:v>11</x:v>
      </x:c>
      <x:c r="K2601" s="11" t="n">
        <x:v>10</x:v>
      </x:c>
      <x:c r="L2601" s="11" t="n">
        <x:v>0</x:v>
      </x:c>
      <x:c r="M2601" s="9" t="n">
        <x:f>ROUND(H2601*(1-I2601),2)</x:f>
        <x:v>2850000</x:v>
      </x:c>
      <x:c r="N2601" s="4" t="str">
        <x:v>Sales manager</x:v>
      </x:c>
      <x:c r="O2601" s="4"/>
      <x:c r="P2601" s="9" t="n">
        <x:v>0</x:v>
      </x:c>
      <x:c r="Q2601" s="11" t="n">
        <x:v>1</x:v>
      </x:c>
      <x:c r="R2601" s="8" t="n">
        <x:v>45527</x:v>
      </x:c>
      <x:c r="S2601" s="4" t="str">
        <x:v>Lost / cancelled</x:v>
      </x:c>
      <x:c r="T2601" s="10" t="n">
        <x:v>0.351536</x:v>
      </x:c>
      <x:c r="U2601" s="4" t="str">
        <x:v>Excluded / unlabelled</x:v>
      </x:c>
    </x:row>
    <x:row r="2602" ht="34" customHeight="1">
      <x:c r="A2602" s="4" t="str">
        <x:v>RS-02601</x:v>
      </x:c>
      <x:c r="B2602" s="8" t="n">
        <x:v>45468</x:v>
      </x:c>
      <x:c r="C2602" s="4" t="str">
        <x:v>PRJ-001</x:v>
      </x:c>
      <x:c r="D2602" s="4" t="str">
        <x:v>Apartment</x:v>
      </x:c>
      <x:c r="E2602" s="4" t="str">
        <x:v>Booked</x:v>
      </x:c>
      <x:c r="F2602" s="4" t="str">
        <x:v>CUS-02601</x:v>
      </x:c>
      <x:c r="G2602" s="4" t="str">
        <x:v>UNIT-02601</x:v>
      </x:c>
      <x:c r="H2602" s="9" t="n">
        <x:v>7700000</x:v>
      </x:c>
      <x:c r="I2602" s="10" t="n">
        <x:v>0</x:v>
      </x:c>
      <x:c r="J2602" s="11" t="n">
        <x:v>2</x:v>
      </x:c>
      <x:c r="K2602" s="11" t="n">
        <x:v>4</x:v>
      </x:c>
      <x:c r="L2602" s="11" t="n">
        <x:v>1</x:v>
      </x:c>
      <x:c r="M2602" s="9" t="n">
        <x:f>ROUND(H2602*(1-I2602),2)</x:f>
        <x:v>7700000</x:v>
      </x:c>
      <x:c r="N2602" s="4" t="str">
        <x:v>Sales manager</x:v>
      </x:c>
      <x:c r="O2602" s="4" t="str">
        <x:v>BOOK-02601</x:v>
      </x:c>
      <x:c r="P2602" s="9" t="n">
        <x:v>3850000</x:v>
      </x:c>
      <x:c r="Q2602" s="11" t="n">
        <x:v>0</x:v>
      </x:c>
      <x:c r="R2602" s="8" t="n">
        <x:v>45528</x:v>
      </x:c>
      <x:c r="S2602" s="4" t="str">
        <x:v>Retained</x:v>
      </x:c>
      <x:c r="T2602" s="10" t="n">
        <x:v>0.171717</x:v>
      </x:c>
      <x:c r="U2602" s="4" t="str">
        <x:v>Excluded / unlabelled</x:v>
      </x:c>
    </x:row>
    <x:row r="2603" ht="34" customHeight="1">
      <x:c r="A2603" s="4" t="str">
        <x:v>RS-02602</x:v>
      </x:c>
      <x:c r="B2603" s="8" t="n">
        <x:v>45469</x:v>
      </x:c>
      <x:c r="C2603" s="4" t="str">
        <x:v>PRJ-002</x:v>
      </x:c>
      <x:c r="D2603" s="4" t="str">
        <x:v>Villa</x:v>
      </x:c>
      <x:c r="E2603" s="4" t="str">
        <x:v>Cancelled</x:v>
      </x:c>
      <x:c r="F2603" s="4" t="str">
        <x:v>CUS-02602</x:v>
      </x:c>
      <x:c r="G2603" s="4" t="str">
        <x:v>UNIT-02602</x:v>
      </x:c>
      <x:c r="H2603" s="9" t="n">
        <x:v>5200000</x:v>
      </x:c>
      <x:c r="I2603" s="10" t="n">
        <x:v>0.05</x:v>
      </x:c>
      <x:c r="J2603" s="11" t="n">
        <x:v>1</x:v>
      </x:c>
      <x:c r="K2603" s="11" t="n">
        <x:v>7</x:v>
      </x:c>
      <x:c r="L2603" s="11" t="n">
        <x:v>0</x:v>
      </x:c>
      <x:c r="M2603" s="9" t="n">
        <x:f>ROUND(H2603*(1-I2603),2)</x:f>
        <x:v>4940000</x:v>
      </x:c>
      <x:c r="N2603" s="4" t="str">
        <x:v>Sales manager</x:v>
      </x:c>
      <x:c r="O2603" s="4"/>
      <x:c r="P2603" s="9" t="n">
        <x:v>0</x:v>
      </x:c>
      <x:c r="Q2603" s="11" t="n">
        <x:v>1</x:v>
      </x:c>
      <x:c r="R2603" s="8" t="n">
        <x:v>45529</x:v>
      </x:c>
      <x:c r="S2603" s="4" t="str">
        <x:v>Lost / cancelled</x:v>
      </x:c>
      <x:c r="T2603" s="10" t="n">
        <x:v>0.204152</x:v>
      </x:c>
      <x:c r="U2603" s="4" t="str">
        <x:v>Excluded / unlabelled</x:v>
      </x:c>
    </x:row>
    <x:row r="2604" ht="34" customHeight="1">
      <x:c r="A2604" s="4" t="str">
        <x:v>RS-02603</x:v>
      </x:c>
      <x:c r="B2604" s="8" t="n">
        <x:v>45470</x:v>
      </x:c>
      <x:c r="C2604" s="4" t="str">
        <x:v>PRJ-003</x:v>
      </x:c>
      <x:c r="D2604" s="4" t="str">
        <x:v>Office</x:v>
      </x:c>
      <x:c r="E2604" s="4" t="str">
        <x:v>Handed over</x:v>
      </x:c>
      <x:c r="F2604" s="4" t="str">
        <x:v>CUS-02603</x:v>
      </x:c>
      <x:c r="G2604" s="4" t="str">
        <x:v>UNIT-02603</x:v>
      </x:c>
      <x:c r="H2604" s="9" t="n">
        <x:v>18000000</x:v>
      </x:c>
      <x:c r="I2604" s="10" t="n">
        <x:v>0</x:v>
      </x:c>
      <x:c r="J2604" s="11" t="n">
        <x:v>5</x:v>
      </x:c>
      <x:c r="K2604" s="11" t="n">
        <x:v>2</x:v>
      </x:c>
      <x:c r="L2604" s="11" t="n">
        <x:v>0</x:v>
      </x:c>
      <x:c r="M2604" s="9" t="n">
        <x:f>ROUND(H2604*(1-I2604),2)</x:f>
        <x:v>18000000</x:v>
      </x:c>
      <x:c r="N2604" s="4" t="str">
        <x:v>Sales manager</x:v>
      </x:c>
      <x:c r="O2604" s="4" t="str">
        <x:v>BOOK-02603</x:v>
      </x:c>
      <x:c r="P2604" s="9" t="n">
        <x:v>9000000</x:v>
      </x:c>
      <x:c r="Q2604" s="11" t="n">
        <x:v>0</x:v>
      </x:c>
      <x:c r="R2604" s="8" t="n">
        <x:v>45530</x:v>
      </x:c>
      <x:c r="S2604" s="4" t="str">
        <x:v>Retained</x:v>
      </x:c>
      <x:c r="T2604" s="10" t="n">
        <x:v>0.298969</x:v>
      </x:c>
      <x:c r="U2604" s="4" t="str">
        <x:v>Excluded / unlabelled</x:v>
      </x:c>
    </x:row>
    <x:row r="2605" ht="34" customHeight="1">
      <x:c r="A2605" s="4" t="str">
        <x:v>RS-02604</x:v>
      </x:c>
      <x:c r="B2605" s="8" t="n">
        <x:v>45471</x:v>
      </x:c>
      <x:c r="C2605" s="4" t="str">
        <x:v>PRJ-004</x:v>
      </x:c>
      <x:c r="D2605" s="4" t="str">
        <x:v>Apartment</x:v>
      </x:c>
      <x:c r="E2605" s="4" t="str">
        <x:v>Booked</x:v>
      </x:c>
      <x:c r="F2605" s="4" t="str">
        <x:v>CUS-02604</x:v>
      </x:c>
      <x:c r="G2605" s="4" t="str">
        <x:v>UNIT-02604</x:v>
      </x:c>
      <x:c r="H2605" s="9" t="n">
        <x:v>16900000</x:v>
      </x:c>
      <x:c r="I2605" s="10" t="n">
        <x:v>0.11</x:v>
      </x:c>
      <x:c r="J2605" s="11" t="n">
        <x:v>6</x:v>
      </x:c>
      <x:c r="K2605" s="11" t="n">
        <x:v>8</x:v>
      </x:c>
      <x:c r="L2605" s="11" t="n">
        <x:v>1</x:v>
      </x:c>
      <x:c r="M2605" s="9" t="n">
        <x:f>ROUND(H2605*(1-I2605),2)</x:f>
        <x:v>15041000</x:v>
      </x:c>
      <x:c r="N2605" s="4" t="str">
        <x:v>Sales head</x:v>
      </x:c>
      <x:c r="O2605" s="4" t="str">
        <x:v>BOOK-02604</x:v>
      </x:c>
      <x:c r="P2605" s="9" t="n">
        <x:v>3760250</x:v>
      </x:c>
      <x:c r="Q2605" s="11" t="n">
        <x:v>0</x:v>
      </x:c>
      <x:c r="R2605" s="8" t="n">
        <x:v>45531</x:v>
      </x:c>
      <x:c r="S2605" s="4" t="str">
        <x:v>Retained</x:v>
      </x:c>
      <x:c r="T2605" s="10" t="n">
        <x:v>0.291946</x:v>
      </x:c>
      <x:c r="U2605" s="4" t="str">
        <x:v>Excluded / unlabelled</x:v>
      </x:c>
    </x:row>
    <x:row r="2606" ht="34" customHeight="1">
      <x:c r="A2606" s="4" t="str">
        <x:v>RS-02605</x:v>
      </x:c>
      <x:c r="B2606" s="8" t="n">
        <x:v>45444</x:v>
      </x:c>
      <x:c r="C2606" s="4" t="str">
        <x:v>PRJ-005</x:v>
      </x:c>
      <x:c r="D2606" s="4" t="str">
        <x:v>Villa</x:v>
      </x:c>
      <x:c r="E2606" s="4" t="str">
        <x:v>Agreement signed</x:v>
      </x:c>
      <x:c r="F2606" s="4" t="str">
        <x:v>CUS-02605</x:v>
      </x:c>
      <x:c r="G2606" s="4" t="str">
        <x:v>UNIT-02605</x:v>
      </x:c>
      <x:c r="H2606" s="9" t="n">
        <x:v>18400000</x:v>
      </x:c>
      <x:c r="I2606" s="10" t="n">
        <x:v>0.01</x:v>
      </x:c>
      <x:c r="J2606" s="11" t="n">
        <x:v>0</x:v>
      </x:c>
      <x:c r="K2606" s="11" t="n">
        <x:v>1</x:v>
      </x:c>
      <x:c r="L2606" s="11" t="n">
        <x:v>0</x:v>
      </x:c>
      <x:c r="M2606" s="9" t="n">
        <x:f>ROUND(H2606*(1-I2606),2)</x:f>
        <x:v>18216000</x:v>
      </x:c>
      <x:c r="N2606" s="4" t="str">
        <x:v>Sales manager</x:v>
      </x:c>
      <x:c r="O2606" s="4" t="str">
        <x:v>BOOK-02605</x:v>
      </x:c>
      <x:c r="P2606" s="9" t="n">
        <x:v>18216000</x:v>
      </x:c>
      <x:c r="Q2606" s="11" t="n">
        <x:v>0</x:v>
      </x:c>
      <x:c r="R2606" s="8" t="n">
        <x:v>45504</x:v>
      </x:c>
      <x:c r="S2606" s="4" t="str">
        <x:v>Retained</x:v>
      </x:c>
      <x:c r="T2606" s="10" t="n">
        <x:v>0.072165</x:v>
      </x:c>
      <x:c r="U2606" s="4" t="str">
        <x:v>Excluded / unlabelled</x:v>
      </x:c>
    </x:row>
    <x:row r="2607" ht="34" customHeight="1">
      <x:c r="A2607" s="4" t="str">
        <x:v>RS-02606</x:v>
      </x:c>
      <x:c r="B2607" s="8" t="n">
        <x:v>45445</x:v>
      </x:c>
      <x:c r="C2607" s="4" t="str">
        <x:v>PRJ-006</x:v>
      </x:c>
      <x:c r="D2607" s="4" t="str">
        <x:v>Villa</x:v>
      </x:c>
      <x:c r="E2607" s="4" t="str">
        <x:v>Reserved</x:v>
      </x:c>
      <x:c r="F2607" s="4" t="str">
        <x:v>CUS-02606</x:v>
      </x:c>
      <x:c r="G2607" s="4" t="str">
        <x:v>UNIT-02606</x:v>
      </x:c>
      <x:c r="H2607" s="9" t="n">
        <x:v>3600000</x:v>
      </x:c>
      <x:c r="I2607" s="10" t="n">
        <x:v>0.06</x:v>
      </x:c>
      <x:c r="J2607" s="11" t="n">
        <x:v>4</x:v>
      </x:c>
      <x:c r="K2607" s="11" t="n">
        <x:v>2</x:v>
      </x:c>
      <x:c r="L2607" s="11" t="n">
        <x:v>1</x:v>
      </x:c>
      <x:c r="M2607" s="9" t="n">
        <x:f>ROUND(H2607*(1-I2607),2)</x:f>
        <x:v>3384000</x:v>
      </x:c>
      <x:c r="N2607" s="4" t="str">
        <x:v>Sales manager</x:v>
      </x:c>
      <x:c r="O2607" s="4"/>
      <x:c r="P2607" s="9" t="n">
        <x:v>0</x:v>
      </x:c>
      <x:c r="Q2607" s="11" t="n">
        <x:v>1</x:v>
      </x:c>
      <x:c r="R2607" s="8" t="n">
        <x:v>45505</x:v>
      </x:c>
      <x:c r="S2607" s="4" t="str">
        <x:v>Lost / cancelled</x:v>
      </x:c>
      <x:c r="T2607" s="10" t="n">
        <x:v>0.291946</x:v>
      </x:c>
      <x:c r="U2607" s="4" t="str">
        <x:v>Excluded / unlabelled</x:v>
      </x:c>
    </x:row>
    <x:row r="2608" ht="34" customHeight="1">
      <x:c r="A2608" s="4" t="str">
        <x:v>RS-02607</x:v>
      </x:c>
      <x:c r="B2608" s="8" t="n">
        <x:v>45446</x:v>
      </x:c>
      <x:c r="C2608" s="4" t="str">
        <x:v>PRJ-007</x:v>
      </x:c>
      <x:c r="D2608" s="4" t="str">
        <x:v>Retail</x:v>
      </x:c>
      <x:c r="E2608" s="4" t="str">
        <x:v>Agreement signed</x:v>
      </x:c>
      <x:c r="F2608" s="4" t="str">
        <x:v>CUS-02607</x:v>
      </x:c>
      <x:c r="G2608" s="4" t="str">
        <x:v>UNIT-02607</x:v>
      </x:c>
      <x:c r="H2608" s="9" t="n">
        <x:v>14700000</x:v>
      </x:c>
      <x:c r="I2608" s="10" t="n">
        <x:v>0.01</x:v>
      </x:c>
      <x:c r="J2608" s="11" t="n">
        <x:v>1</x:v>
      </x:c>
      <x:c r="K2608" s="11" t="n">
        <x:v>0</x:v>
      </x:c>
      <x:c r="L2608" s="11" t="n">
        <x:v>0</x:v>
      </x:c>
      <x:c r="M2608" s="9" t="n">
        <x:f>ROUND(H2608*(1-I2608),2)</x:f>
        <x:v>14553000</x:v>
      </x:c>
      <x:c r="N2608" s="4" t="str">
        <x:v>Sales manager</x:v>
      </x:c>
      <x:c r="O2608" s="4" t="str">
        <x:v>BOOK-02607</x:v>
      </x:c>
      <x:c r="P2608" s="9" t="n">
        <x:v>1455300</x:v>
      </x:c>
      <x:c r="Q2608" s="11" t="n">
        <x:v>0</x:v>
      </x:c>
      <x:c r="R2608" s="8" t="n">
        <x:v>45506</x:v>
      </x:c>
      <x:c r="S2608" s="4" t="str">
        <x:v>Retained</x:v>
      </x:c>
      <x:c r="T2608" s="10" t="n">
        <x:v>0.276923</x:v>
      </x:c>
      <x:c r="U2608" s="4" t="str">
        <x:v>Excluded / unlabelled</x:v>
      </x:c>
    </x:row>
    <x:row r="2609" ht="34" customHeight="1">
      <x:c r="A2609" s="4" t="str">
        <x:v>RS-02608</x:v>
      </x:c>
      <x:c r="B2609" s="8" t="n">
        <x:v>45447</x:v>
      </x:c>
      <x:c r="C2609" s="4" t="str">
        <x:v>PRJ-008</x:v>
      </x:c>
      <x:c r="D2609" s="4" t="str">
        <x:v>Office</x:v>
      </x:c>
      <x:c r="E2609" s="4" t="str">
        <x:v>Handed over</x:v>
      </x:c>
      <x:c r="F2609" s="4" t="str">
        <x:v>CUS-02608</x:v>
      </x:c>
      <x:c r="G2609" s="4" t="str">
        <x:v>UNIT-02608</x:v>
      </x:c>
      <x:c r="H2609" s="9" t="n">
        <x:v>6300000</x:v>
      </x:c>
      <x:c r="I2609" s="10" t="n">
        <x:v>0.05</x:v>
      </x:c>
      <x:c r="J2609" s="11" t="n">
        <x:v>0</x:v>
      </x:c>
      <x:c r="K2609" s="11" t="n">
        <x:v>5</x:v>
      </x:c>
      <x:c r="L2609" s="11" t="n">
        <x:v>1</x:v>
      </x:c>
      <x:c r="M2609" s="9" t="n">
        <x:f>ROUND(H2609*(1-I2609),2)</x:f>
        <x:v>5985000</x:v>
      </x:c>
      <x:c r="N2609" s="4" t="str">
        <x:v>Sales manager</x:v>
      </x:c>
      <x:c r="O2609" s="4" t="str">
        <x:v>BOOK-02608</x:v>
      </x:c>
      <x:c r="P2609" s="9" t="n">
        <x:v>2992500</x:v>
      </x:c>
      <x:c r="Q2609" s="11" t="n">
        <x:v>0</x:v>
      </x:c>
      <x:c r="R2609" s="8" t="n">
        <x:v>45507</x:v>
      </x:c>
      <x:c r="S2609" s="4" t="str">
        <x:v>Retained</x:v>
      </x:c>
      <x:c r="T2609" s="10" t="n">
        <x:v>0.204152</x:v>
      </x:c>
      <x:c r="U2609" s="4" t="str">
        <x:v>Excluded / unlabelled</x:v>
      </x:c>
    </x:row>
    <x:row r="2610" ht="34" customHeight="1">
      <x:c r="A2610" s="4" t="str">
        <x:v>RS-02609</x:v>
      </x:c>
      <x:c r="B2610" s="8" t="n">
        <x:v>45448</x:v>
      </x:c>
      <x:c r="C2610" s="4" t="str">
        <x:v>PRJ-009</x:v>
      </x:c>
      <x:c r="D2610" s="4" t="str">
        <x:v>Villa</x:v>
      </x:c>
      <x:c r="E2610" s="4" t="str">
        <x:v>Handed over</x:v>
      </x:c>
      <x:c r="F2610" s="4" t="str">
        <x:v>CUS-02609</x:v>
      </x:c>
      <x:c r="G2610" s="4" t="str">
        <x:v>UNIT-02609</x:v>
      </x:c>
      <x:c r="H2610" s="9" t="n">
        <x:v>21900000</x:v>
      </x:c>
      <x:c r="I2610" s="10" t="n">
        <x:v>0.12</x:v>
      </x:c>
      <x:c r="J2610" s="11" t="n">
        <x:v>8</x:v>
      </x:c>
      <x:c r="K2610" s="11" t="n">
        <x:v>8</x:v>
      </x:c>
      <x:c r="L2610" s="11" t="n">
        <x:v>0</x:v>
      </x:c>
      <x:c r="M2610" s="9" t="n">
        <x:f>ROUND(H2610*(1-I2610),2)</x:f>
        <x:v>19272000</x:v>
      </x:c>
      <x:c r="N2610" s="4" t="str">
        <x:v>Sales head</x:v>
      </x:c>
      <x:c r="O2610" s="4" t="str">
        <x:v>BOOK-02609</x:v>
      </x:c>
      <x:c r="P2610" s="9" t="n">
        <x:v>19272000</x:v>
      </x:c>
      <x:c r="Q2610" s="11" t="n">
        <x:v>0</x:v>
      </x:c>
      <x:c r="R2610" s="8" t="n">
        <x:v>45508</x:v>
      </x:c>
      <x:c r="S2610" s="4" t="str">
        <x:v>Retained</x:v>
      </x:c>
      <x:c r="T2610" s="10" t="n">
        <x:v>0.310195</x:v>
      </x:c>
      <x:c r="U2610" s="4" t="str">
        <x:v>Excluded / unlabelled</x:v>
      </x:c>
    </x:row>
    <x:row r="2611" ht="34" customHeight="1">
      <x:c r="A2611" s="4" t="str">
        <x:v>RS-02610</x:v>
      </x:c>
      <x:c r="B2611" s="8" t="n">
        <x:v>45449</x:v>
      </x:c>
      <x:c r="C2611" s="4" t="str">
        <x:v>PRJ-010</x:v>
      </x:c>
      <x:c r="D2611" s="4" t="str">
        <x:v>Apartment</x:v>
      </x:c>
      <x:c r="E2611" s="4" t="str">
        <x:v>Booked</x:v>
      </x:c>
      <x:c r="F2611" s="4" t="str">
        <x:v>CUS-02610</x:v>
      </x:c>
      <x:c r="G2611" s="4" t="str">
        <x:v>UNIT-02610</x:v>
      </x:c>
      <x:c r="H2611" s="9" t="n">
        <x:v>24600000</x:v>
      </x:c>
      <x:c r="I2611" s="10" t="n">
        <x:v>0.05</x:v>
      </x:c>
      <x:c r="J2611" s="11" t="n">
        <x:v>6</x:v>
      </x:c>
      <x:c r="K2611" s="11" t="n">
        <x:v>6</x:v>
      </x:c>
      <x:c r="L2611" s="11" t="n">
        <x:v>1</x:v>
      </x:c>
      <x:c r="M2611" s="9" t="n">
        <x:f>ROUND(H2611*(1-I2611),2)</x:f>
        <x:v>23370000</x:v>
      </x:c>
      <x:c r="N2611" s="4" t="str">
        <x:v>Sales manager</x:v>
      </x:c>
      <x:c r="O2611" s="4" t="str">
        <x:v>BOOK-02610</x:v>
      </x:c>
      <x:c r="P2611" s="9" t="n">
        <x:v>2337000</x:v>
      </x:c>
      <x:c r="Q2611" s="11" t="n">
        <x:v>0</x:v>
      </x:c>
      <x:c r="R2611" s="8" t="n">
        <x:v>45509</x:v>
      </x:c>
      <x:c r="S2611" s="4" t="str">
        <x:v>Retained</x:v>
      </x:c>
      <x:c r="T2611" s="10" t="n">
        <x:v>0.291946</x:v>
      </x:c>
      <x:c r="U2611" s="4" t="str">
        <x:v>Excluded / unlabelled</x:v>
      </x:c>
    </x:row>
    <x:row r="2612" ht="34" customHeight="1">
      <x:c r="A2612" s="4" t="str">
        <x:v>RS-02611</x:v>
      </x:c>
      <x:c r="B2612" s="8" t="n">
        <x:v>45450</x:v>
      </x:c>
      <x:c r="C2612" s="4" t="str">
        <x:v>PRJ-011</x:v>
      </x:c>
      <x:c r="D2612" s="4" t="str">
        <x:v>Apartment</x:v>
      </x:c>
      <x:c r="E2612" s="4" t="str">
        <x:v>Booked</x:v>
      </x:c>
      <x:c r="F2612" s="4" t="str">
        <x:v>CUS-02611</x:v>
      </x:c>
      <x:c r="G2612" s="4" t="str">
        <x:v>UNIT-02611</x:v>
      </x:c>
      <x:c r="H2612" s="9" t="n">
        <x:v>12500000</x:v>
      </x:c>
      <x:c r="I2612" s="10" t="n">
        <x:v>0.01</x:v>
      </x:c>
      <x:c r="J2612" s="11" t="n">
        <x:v>6</x:v>
      </x:c>
      <x:c r="K2612" s="11" t="n">
        <x:v>6</x:v>
      </x:c>
      <x:c r="L2612" s="11" t="n">
        <x:v>0</x:v>
      </x:c>
      <x:c r="M2612" s="9" t="n">
        <x:f>ROUND(H2612*(1-I2612),2)</x:f>
        <x:v>12375000</x:v>
      </x:c>
      <x:c r="N2612" s="4" t="str">
        <x:v>Sales manager</x:v>
      </x:c>
      <x:c r="O2612" s="4" t="str">
        <x:v>BOOK-02611</x:v>
      </x:c>
      <x:c r="P2612" s="9" t="n">
        <x:v>6187500</x:v>
      </x:c>
      <x:c r="Q2612" s="11" t="n">
        <x:v>0</x:v>
      </x:c>
      <x:c r="R2612" s="8" t="n">
        <x:v>45510</x:v>
      </x:c>
      <x:c r="S2612" s="4" t="str">
        <x:v>Retained</x:v>
      </x:c>
      <x:c r="T2612" s="10" t="n">
        <x:v>0.145299</x:v>
      </x:c>
      <x:c r="U2612" s="4" t="str">
        <x:v>Excluded / unlabelled</x:v>
      </x:c>
    </x:row>
    <x:row r="2613" ht="34" customHeight="1">
      <x:c r="A2613" s="4" t="str">
        <x:v>RS-02612</x:v>
      </x:c>
      <x:c r="B2613" s="8" t="n">
        <x:v>45451</x:v>
      </x:c>
      <x:c r="C2613" s="4" t="str">
        <x:v>PRJ-012</x:v>
      </x:c>
      <x:c r="D2613" s="4" t="str">
        <x:v>Villa</x:v>
      </x:c>
      <x:c r="E2613" s="4" t="str">
        <x:v>Handed over</x:v>
      </x:c>
      <x:c r="F2613" s="4" t="str">
        <x:v>CUS-02612</x:v>
      </x:c>
      <x:c r="G2613" s="4" t="str">
        <x:v>UNIT-02612</x:v>
      </x:c>
      <x:c r="H2613" s="9" t="n">
        <x:v>19400000</x:v>
      </x:c>
      <x:c r="I2613" s="10" t="n">
        <x:v>0.05</x:v>
      </x:c>
      <x:c r="J2613" s="11" t="n">
        <x:v>9</x:v>
      </x:c>
      <x:c r="K2613" s="11" t="n">
        <x:v>2</x:v>
      </x:c>
      <x:c r="L2613" s="11" t="n">
        <x:v>0</x:v>
      </x:c>
      <x:c r="M2613" s="9" t="n">
        <x:f>ROUND(H2613*(1-I2613),2)</x:f>
        <x:v>18430000</x:v>
      </x:c>
      <x:c r="N2613" s="4" t="str">
        <x:v>Sales manager</x:v>
      </x:c>
      <x:c r="O2613" s="4" t="str">
        <x:v>BOOK-02612</x:v>
      </x:c>
      <x:c r="P2613" s="9" t="n">
        <x:v>1843000</x:v>
      </x:c>
      <x:c r="Q2613" s="11" t="n">
        <x:v>0</x:v>
      </x:c>
      <x:c r="R2613" s="8" t="n">
        <x:v>45511</x:v>
      </x:c>
      <x:c r="S2613" s="4" t="str">
        <x:v>Retained</x:v>
      </x:c>
      <x:c r="T2613" s="10" t="n">
        <x:v>0.310195</x:v>
      </x:c>
      <x:c r="U2613" s="4" t="str">
        <x:v>Excluded / unlabelled</x:v>
      </x:c>
    </x:row>
    <x:row r="2614" ht="34" customHeight="1">
      <x:c r="A2614" s="4" t="str">
        <x:v>RS-02613</x:v>
      </x:c>
      <x:c r="B2614" s="8" t="n">
        <x:v>45452</x:v>
      </x:c>
      <x:c r="C2614" s="4" t="str">
        <x:v>PRJ-013</x:v>
      </x:c>
      <x:c r="D2614" s="4" t="str">
        <x:v>Retail</x:v>
      </x:c>
      <x:c r="E2614" s="4" t="str">
        <x:v>Agreement signed</x:v>
      </x:c>
      <x:c r="F2614" s="4" t="str">
        <x:v>CUS-02613</x:v>
      </x:c>
      <x:c r="G2614" s="4" t="str">
        <x:v>UNIT-02613</x:v>
      </x:c>
      <x:c r="H2614" s="9" t="n">
        <x:v>15600000</x:v>
      </x:c>
      <x:c r="I2614" s="10" t="n">
        <x:v>0.03</x:v>
      </x:c>
      <x:c r="J2614" s="11" t="n">
        <x:v>7</x:v>
      </x:c>
      <x:c r="K2614" s="11" t="n">
        <x:v>2</x:v>
      </x:c>
      <x:c r="L2614" s="11" t="n">
        <x:v>0</x:v>
      </x:c>
      <x:c r="M2614" s="9" t="n">
        <x:f>ROUND(H2614*(1-I2614),2)</x:f>
        <x:v>15132000</x:v>
      </x:c>
      <x:c r="N2614" s="4" t="str">
        <x:v>Sales manager</x:v>
      </x:c>
      <x:c r="O2614" s="4" t="str">
        <x:v>BOOK-02613</x:v>
      </x:c>
      <x:c r="P2614" s="9" t="n">
        <x:v>7566000</x:v>
      </x:c>
      <x:c r="Q2614" s="11" t="n">
        <x:v>0</x:v>
      </x:c>
      <x:c r="R2614" s="8" t="n">
        <x:v>45512</x:v>
      </x:c>
      <x:c r="S2614" s="4" t="str">
        <x:v>Retained</x:v>
      </x:c>
      <x:c r="T2614" s="10" t="n">
        <x:v>0.298969</x:v>
      </x:c>
      <x:c r="U2614" s="4" t="str">
        <x:v>Excluded / unlabelled</x:v>
      </x:c>
    </x:row>
    <x:row r="2615" ht="34" customHeight="1">
      <x:c r="A2615" s="4" t="str">
        <x:v>RS-02614</x:v>
      </x:c>
      <x:c r="B2615" s="8" t="n">
        <x:v>45453</x:v>
      </x:c>
      <x:c r="C2615" s="4" t="str">
        <x:v>PRJ-014</x:v>
      </x:c>
      <x:c r="D2615" s="4" t="str">
        <x:v>Apartment</x:v>
      </x:c>
      <x:c r="E2615" s="4" t="str">
        <x:v>Enquiry</x:v>
      </x:c>
      <x:c r="F2615" s="4" t="str">
        <x:v>CUS-02614</x:v>
      </x:c>
      <x:c r="G2615" s="4" t="str">
        <x:v>UNIT-02614</x:v>
      </x:c>
      <x:c r="H2615" s="9" t="n">
        <x:v>23100000</x:v>
      </x:c>
      <x:c r="I2615" s="10" t="n">
        <x:v>0.06</x:v>
      </x:c>
      <x:c r="J2615" s="11" t="n">
        <x:v>8</x:v>
      </x:c>
      <x:c r="K2615" s="11" t="n">
        <x:v>9</x:v>
      </x:c>
      <x:c r="L2615" s="11" t="n">
        <x:v>0</x:v>
      </x:c>
      <x:c r="M2615" s="9" t="n">
        <x:f>ROUND(H2615*(1-I2615),2)</x:f>
        <x:v>21714000</x:v>
      </x:c>
      <x:c r="N2615" s="4" t="str">
        <x:v>Sales manager</x:v>
      </x:c>
      <x:c r="O2615" s="4"/>
      <x:c r="P2615" s="9" t="n">
        <x:v>0</x:v>
      </x:c>
      <x:c r="Q2615" s="11" t="n">
        <x:v>0</x:v>
      </x:c>
      <x:c r="R2615" s="8" t="n">
        <x:v>45513</x:v>
      </x:c>
      <x:c r="S2615" s="4" t="str">
        <x:v>Retained</x:v>
      </x:c>
      <x:c r="T2615" s="10" t="n">
        <x:v>0.310195</x:v>
      </x:c>
      <x:c r="U2615" s="4" t="str">
        <x:v>Excluded / unlabelled</x:v>
      </x:c>
    </x:row>
    <x:row r="2616" ht="34" customHeight="1">
      <x:c r="A2616" s="4" t="str">
        <x:v>RS-02615</x:v>
      </x:c>
      <x:c r="B2616" s="8" t="n">
        <x:v>45454</x:v>
      </x:c>
      <x:c r="C2616" s="4" t="str">
        <x:v>PRJ-015</x:v>
      </x:c>
      <x:c r="D2616" s="4" t="str">
        <x:v>Retail</x:v>
      </x:c>
      <x:c r="E2616" s="4" t="str">
        <x:v>Handed over</x:v>
      </x:c>
      <x:c r="F2616" s="4" t="str">
        <x:v>CUS-02615</x:v>
      </x:c>
      <x:c r="G2616" s="4" t="str">
        <x:v>UNIT-02615</x:v>
      </x:c>
      <x:c r="H2616" s="9" t="n">
        <x:v>21700000</x:v>
      </x:c>
      <x:c r="I2616" s="10" t="n">
        <x:v>0.05</x:v>
      </x:c>
      <x:c r="J2616" s="11" t="n">
        <x:v>0</x:v>
      </x:c>
      <x:c r="K2616" s="11" t="n">
        <x:v>9</x:v>
      </x:c>
      <x:c r="L2616" s="11" t="n">
        <x:v>0</x:v>
      </x:c>
      <x:c r="M2616" s="9" t="n">
        <x:f>ROUND(H2616*(1-I2616),2)</x:f>
        <x:v>20615000</x:v>
      </x:c>
      <x:c r="N2616" s="4" t="str">
        <x:v>Sales manager</x:v>
      </x:c>
      <x:c r="O2616" s="4" t="str">
        <x:v>BOOK-02615</x:v>
      </x:c>
      <x:c r="P2616" s="9" t="n">
        <x:v>20615000</x:v>
      </x:c>
      <x:c r="Q2616" s="11" t="n">
        <x:v>0</x:v>
      </x:c>
      <x:c r="R2616" s="8" t="n">
        <x:v>45514</x:v>
      </x:c>
      <x:c r="S2616" s="4" t="str">
        <x:v>Retained</x:v>
      </x:c>
      <x:c r="T2616" s="10" t="n">
        <x:v>0.204152</x:v>
      </x:c>
      <x:c r="U2616" s="4" t="str">
        <x:v>Excluded / unlabelled</x:v>
      </x:c>
    </x:row>
    <x:row r="2617" ht="34" customHeight="1">
      <x:c r="A2617" s="4" t="str">
        <x:v>RS-02616</x:v>
      </x:c>
      <x:c r="B2617" s="8" t="n">
        <x:v>45455</x:v>
      </x:c>
      <x:c r="C2617" s="4" t="str">
        <x:v>PRJ-016</x:v>
      </x:c>
      <x:c r="D2617" s="4" t="str">
        <x:v>Apartment</x:v>
      </x:c>
      <x:c r="E2617" s="4" t="str">
        <x:v>Booked</x:v>
      </x:c>
      <x:c r="F2617" s="4" t="str">
        <x:v>CUS-02616</x:v>
      </x:c>
      <x:c r="G2617" s="4" t="str">
        <x:v>UNIT-02616</x:v>
      </x:c>
      <x:c r="H2617" s="9" t="n">
        <x:v>11500000</x:v>
      </x:c>
      <x:c r="I2617" s="10" t="n">
        <x:v>0.07</x:v>
      </x:c>
      <x:c r="J2617" s="11" t="n">
        <x:v>12</x:v>
      </x:c>
      <x:c r="K2617" s="11" t="n">
        <x:v>8</x:v>
      </x:c>
      <x:c r="L2617" s="11" t="n">
        <x:v>1</x:v>
      </x:c>
      <x:c r="M2617" s="9" t="n">
        <x:f>ROUND(H2617*(1-I2617),2)</x:f>
        <x:v>10695000</x:v>
      </x:c>
      <x:c r="N2617" s="4" t="str">
        <x:v>Sales manager</x:v>
      </x:c>
      <x:c r="O2617" s="4" t="str">
        <x:v>BOOK-02616</x:v>
      </x:c>
      <x:c r="P2617" s="9" t="n">
        <x:v>10695000</x:v>
      </x:c>
      <x:c r="Q2617" s="11" t="n">
        <x:v>0</x:v>
      </x:c>
      <x:c r="R2617" s="8" t="n">
        <x:v>45515</x:v>
      </x:c>
      <x:c r="S2617" s="4" t="str">
        <x:v>Retained</x:v>
      </x:c>
      <x:c r="T2617" s="10" t="n">
        <x:v>0.351536</x:v>
      </x:c>
      <x:c r="U2617" s="4" t="str">
        <x:v>Excluded / unlabelled</x:v>
      </x:c>
    </x:row>
    <x:row r="2618" ht="34" customHeight="1">
      <x:c r="A2618" s="4" t="str">
        <x:v>RS-02617</x:v>
      </x:c>
      <x:c r="B2618" s="8" t="n">
        <x:v>45456</x:v>
      </x:c>
      <x:c r="C2618" s="4" t="str">
        <x:v>PRJ-017</x:v>
      </x:c>
      <x:c r="D2618" s="4" t="str">
        <x:v>Office</x:v>
      </x:c>
      <x:c r="E2618" s="4" t="str">
        <x:v>Cancelled</x:v>
      </x:c>
      <x:c r="F2618" s="4" t="str">
        <x:v>CUS-02617</x:v>
      </x:c>
      <x:c r="G2618" s="4" t="str">
        <x:v>UNIT-02617</x:v>
      </x:c>
      <x:c r="H2618" s="9" t="n">
        <x:v>14200000</x:v>
      </x:c>
      <x:c r="I2618" s="10" t="n">
        <x:v>0.03</x:v>
      </x:c>
      <x:c r="J2618" s="11" t="n">
        <x:v>11</x:v>
      </x:c>
      <x:c r="K2618" s="11" t="n">
        <x:v>2</x:v>
      </x:c>
      <x:c r="L2618" s="11" t="n">
        <x:v>0</x:v>
      </x:c>
      <x:c r="M2618" s="9" t="n">
        <x:f>ROUND(H2618*(1-I2618),2)</x:f>
        <x:v>13774000</x:v>
      </x:c>
      <x:c r="N2618" s="4" t="str">
        <x:v>Sales manager</x:v>
      </x:c>
      <x:c r="O2618" s="4"/>
      <x:c r="P2618" s="9" t="n">
        <x:v>0</x:v>
      </x:c>
      <x:c r="Q2618" s="11" t="n">
        <x:v>1</x:v>
      </x:c>
      <x:c r="R2618" s="8" t="n">
        <x:v>45516</x:v>
      </x:c>
      <x:c r="S2618" s="4" t="str">
        <x:v>Lost / cancelled</x:v>
      </x:c>
      <x:c r="T2618" s="10" t="n">
        <x:v>0.351536</x:v>
      </x:c>
      <x:c r="U2618" s="4" t="str">
        <x:v>Excluded / unlabelled</x:v>
      </x:c>
    </x:row>
    <x:row r="2619" ht="34" customHeight="1">
      <x:c r="A2619" s="4" t="str">
        <x:v>RS-02618</x:v>
      </x:c>
      <x:c r="B2619" s="8" t="n">
        <x:v>45457</x:v>
      </x:c>
      <x:c r="C2619" s="4" t="str">
        <x:v>PRJ-018</x:v>
      </x:c>
      <x:c r="D2619" s="4" t="str">
        <x:v>Apartment</x:v>
      </x:c>
      <x:c r="E2619" s="4" t="str">
        <x:v>Reserved</x:v>
      </x:c>
      <x:c r="F2619" s="4" t="str">
        <x:v>CUS-02618</x:v>
      </x:c>
      <x:c r="G2619" s="4" t="str">
        <x:v>UNIT-02618</x:v>
      </x:c>
      <x:c r="H2619" s="9" t="n">
        <x:v>5000000</x:v>
      </x:c>
      <x:c r="I2619" s="10" t="n">
        <x:v>0.09</x:v>
      </x:c>
      <x:c r="J2619" s="11" t="n">
        <x:v>11</x:v>
      </x:c>
      <x:c r="K2619" s="11" t="n">
        <x:v>3</x:v>
      </x:c>
      <x:c r="L2619" s="11" t="n">
        <x:v>0</x:v>
      </x:c>
      <x:c r="M2619" s="9" t="n">
        <x:f>ROUND(H2619*(1-I2619),2)</x:f>
        <x:v>4550000</x:v>
      </x:c>
      <x:c r="N2619" s="4" t="str">
        <x:v>Sales head</x:v>
      </x:c>
      <x:c r="O2619" s="4"/>
      <x:c r="P2619" s="9" t="n">
        <x:v>0</x:v>
      </x:c>
      <x:c r="Q2619" s="11" t="n">
        <x:v>0</x:v>
      </x:c>
      <x:c r="R2619" s="8" t="n">
        <x:v>45517</x:v>
      </x:c>
      <x:c r="S2619" s="4" t="str">
        <x:v>Retained</x:v>
      </x:c>
      <x:c r="T2619" s="10" t="n">
        <x:v>0.351536</x:v>
      </x:c>
      <x:c r="U2619" s="4" t="str">
        <x:v>Excluded / unlabelled</x:v>
      </x:c>
    </x:row>
    <x:row r="2620" ht="34" customHeight="1">
      <x:c r="A2620" s="4" t="str">
        <x:v>RS-02619</x:v>
      </x:c>
      <x:c r="B2620" s="8" t="n">
        <x:v>45458</x:v>
      </x:c>
      <x:c r="C2620" s="4" t="str">
        <x:v>PRJ-019</x:v>
      </x:c>
      <x:c r="D2620" s="4" t="str">
        <x:v>Villa</x:v>
      </x:c>
      <x:c r="E2620" s="4" t="str">
        <x:v>Enquiry</x:v>
      </x:c>
      <x:c r="F2620" s="4" t="str">
        <x:v>CUS-02619</x:v>
      </x:c>
      <x:c r="G2620" s="4" t="str">
        <x:v>UNIT-02619</x:v>
      </x:c>
      <x:c r="H2620" s="9" t="n">
        <x:v>4800000</x:v>
      </x:c>
      <x:c r="I2620" s="10" t="n">
        <x:v>0.09</x:v>
      </x:c>
      <x:c r="J2620" s="11" t="n">
        <x:v>4</x:v>
      </x:c>
      <x:c r="K2620" s="11" t="n">
        <x:v>5</x:v>
      </x:c>
      <x:c r="L2620" s="11" t="n">
        <x:v>1</x:v>
      </x:c>
      <x:c r="M2620" s="9" t="n">
        <x:f>ROUND(H2620*(1-I2620),2)</x:f>
        <x:v>4368000</x:v>
      </x:c>
      <x:c r="N2620" s="4" t="str">
        <x:v>Sales head</x:v>
      </x:c>
      <x:c r="O2620" s="4"/>
      <x:c r="P2620" s="9" t="n">
        <x:v>0</x:v>
      </x:c>
      <x:c r="Q2620" s="11" t="n">
        <x:v>0</x:v>
      </x:c>
      <x:c r="R2620" s="8" t="n">
        <x:v>45518</x:v>
      </x:c>
      <x:c r="S2620" s="4" t="str">
        <x:v>Retained</x:v>
      </x:c>
      <x:c r="T2620" s="10" t="n">
        <x:v>0.291946</x:v>
      </x:c>
      <x:c r="U2620" s="4" t="str">
        <x:v>Excluded / unlabelled</x:v>
      </x:c>
    </x:row>
    <x:row r="2621" ht="34" customHeight="1">
      <x:c r="A2621" s="4" t="str">
        <x:v>RS-02620</x:v>
      </x:c>
      <x:c r="B2621" s="8" t="n">
        <x:v>45459</x:v>
      </x:c>
      <x:c r="C2621" s="4" t="str">
        <x:v>PRJ-020</x:v>
      </x:c>
      <x:c r="D2621" s="4" t="str">
        <x:v>Villa</x:v>
      </x:c>
      <x:c r="E2621" s="4" t="str">
        <x:v>Reserved</x:v>
      </x:c>
      <x:c r="F2621" s="4" t="str">
        <x:v>CUS-02620</x:v>
      </x:c>
      <x:c r="G2621" s="4" t="str">
        <x:v>UNIT-02620</x:v>
      </x:c>
      <x:c r="H2621" s="9" t="n">
        <x:v>23200000</x:v>
      </x:c>
      <x:c r="I2621" s="10" t="n">
        <x:v>0.11</x:v>
      </x:c>
      <x:c r="J2621" s="11" t="n">
        <x:v>7</x:v>
      </x:c>
      <x:c r="K2621" s="11" t="n">
        <x:v>0</x:v>
      </x:c>
      <x:c r="L2621" s="11" t="n">
        <x:v>0</x:v>
      </x:c>
      <x:c r="M2621" s="9" t="n">
        <x:f>ROUND(H2621*(1-I2621),2)</x:f>
        <x:v>20648000</x:v>
      </x:c>
      <x:c r="N2621" s="4" t="str">
        <x:v>Sales head</x:v>
      </x:c>
      <x:c r="O2621" s="4"/>
      <x:c r="P2621" s="9" t="n">
        <x:v>0</x:v>
      </x:c>
      <x:c r="Q2621" s="11" t="n">
        <x:v>1</x:v>
      </x:c>
      <x:c r="R2621" s="8" t="n">
        <x:v>45519</x:v>
      </x:c>
      <x:c r="S2621" s="4" t="str">
        <x:v>Lost / cancelled</x:v>
      </x:c>
      <x:c r="T2621" s="10" t="n">
        <x:v>0.226277</x:v>
      </x:c>
      <x:c r="U2621" s="4" t="str">
        <x:v>Excluded / unlabelled</x:v>
      </x:c>
    </x:row>
    <x:row r="2622" ht="34" customHeight="1">
      <x:c r="A2622" s="4" t="str">
        <x:v>RS-02621</x:v>
      </x:c>
      <x:c r="B2622" s="8" t="n">
        <x:v>45460</x:v>
      </x:c>
      <x:c r="C2622" s="4" t="str">
        <x:v>PRJ-001</x:v>
      </x:c>
      <x:c r="D2622" s="4" t="str">
        <x:v>Retail</x:v>
      </x:c>
      <x:c r="E2622" s="4" t="str">
        <x:v>Handed over</x:v>
      </x:c>
      <x:c r="F2622" s="4" t="str">
        <x:v>CUS-02621</x:v>
      </x:c>
      <x:c r="G2622" s="4" t="str">
        <x:v>UNIT-02621</x:v>
      </x:c>
      <x:c r="H2622" s="9" t="n">
        <x:v>10500000</x:v>
      </x:c>
      <x:c r="I2622" s="10" t="n">
        <x:v>0.04</x:v>
      </x:c>
      <x:c r="J2622" s="11" t="n">
        <x:v>1</x:v>
      </x:c>
      <x:c r="K2622" s="11" t="n">
        <x:v>7</x:v>
      </x:c>
      <x:c r="L2622" s="11" t="n">
        <x:v>0</x:v>
      </x:c>
      <x:c r="M2622" s="9" t="n">
        <x:f>ROUND(H2622*(1-I2622),2)</x:f>
        <x:v>10080000</x:v>
      </x:c>
      <x:c r="N2622" s="4" t="str">
        <x:v>Sales manager</x:v>
      </x:c>
      <x:c r="O2622" s="4" t="str">
        <x:v>BOOK-02621</x:v>
      </x:c>
      <x:c r="P2622" s="9" t="n">
        <x:v>5040000</x:v>
      </x:c>
      <x:c r="Q2622" s="11" t="n">
        <x:v>0</x:v>
      </x:c>
      <x:c r="R2622" s="8" t="n">
        <x:v>45520</x:v>
      </x:c>
      <x:c r="S2622" s="4" t="str">
        <x:v>Retained</x:v>
      </x:c>
      <x:c r="T2622" s="10" t="n">
        <x:v>0.204152</x:v>
      </x:c>
      <x:c r="U2622" s="4" t="str">
        <x:v>Excluded / unlabelled</x:v>
      </x:c>
    </x:row>
    <x:row r="2623" ht="34" customHeight="1">
      <x:c r="A2623" s="4" t="str">
        <x:v>RS-02622</x:v>
      </x:c>
      <x:c r="B2623" s="8" t="n">
        <x:v>45461</x:v>
      </x:c>
      <x:c r="C2623" s="4" t="str">
        <x:v>PRJ-002</x:v>
      </x:c>
      <x:c r="D2623" s="4" t="str">
        <x:v>Apartment</x:v>
      </x:c>
      <x:c r="E2623" s="4" t="str">
        <x:v>Agreement signed</x:v>
      </x:c>
      <x:c r="F2623" s="4" t="str">
        <x:v>CUS-02622</x:v>
      </x:c>
      <x:c r="G2623" s="4" t="str">
        <x:v>UNIT-02622</x:v>
      </x:c>
      <x:c r="H2623" s="9" t="n">
        <x:v>14100000</x:v>
      </x:c>
      <x:c r="I2623" s="10" t="n">
        <x:v>0.09</x:v>
      </x:c>
      <x:c r="J2623" s="11" t="n">
        <x:v>5</x:v>
      </x:c>
      <x:c r="K2623" s="11" t="n">
        <x:v>3</x:v>
      </x:c>
      <x:c r="L2623" s="11" t="n">
        <x:v>1</x:v>
      </x:c>
      <x:c r="M2623" s="9" t="n">
        <x:f>ROUND(H2623*(1-I2623),2)</x:f>
        <x:v>12831000</x:v>
      </x:c>
      <x:c r="N2623" s="4" t="str">
        <x:v>Sales head</x:v>
      </x:c>
      <x:c r="O2623" s="4" t="str">
        <x:v>BOOK-02622</x:v>
      </x:c>
      <x:c r="P2623" s="9" t="n">
        <x:v>3207750</x:v>
      </x:c>
      <x:c r="Q2623" s="11" t="n">
        <x:v>0</x:v>
      </x:c>
      <x:c r="R2623" s="8" t="n">
        <x:v>45521</x:v>
      </x:c>
      <x:c r="S2623" s="4" t="str">
        <x:v>Retained</x:v>
      </x:c>
      <x:c r="T2623" s="10" t="n">
        <x:v>0.291946</x:v>
      </x:c>
      <x:c r="U2623" s="4" t="str">
        <x:v>Excluded / unlabelled</x:v>
      </x:c>
    </x:row>
    <x:row r="2624" ht="34" customHeight="1">
      <x:c r="A2624" s="4" t="str">
        <x:v>RS-02623</x:v>
      </x:c>
      <x:c r="B2624" s="8" t="n">
        <x:v>45462</x:v>
      </x:c>
      <x:c r="C2624" s="4" t="str">
        <x:v>PRJ-003</x:v>
      </x:c>
      <x:c r="D2624" s="4" t="str">
        <x:v>Villa</x:v>
      </x:c>
      <x:c r="E2624" s="4" t="str">
        <x:v>Cancelled</x:v>
      </x:c>
      <x:c r="F2624" s="4" t="str">
        <x:v>CUS-02623</x:v>
      </x:c>
      <x:c r="G2624" s="4" t="str">
        <x:v>UNIT-02623</x:v>
      </x:c>
      <x:c r="H2624" s="9" t="n">
        <x:v>20600000</x:v>
      </x:c>
      <x:c r="I2624" s="10" t="n">
        <x:v>0</x:v>
      </x:c>
      <x:c r="J2624" s="11" t="n">
        <x:v>1</x:v>
      </x:c>
      <x:c r="K2624" s="11" t="n">
        <x:v>5</x:v>
      </x:c>
      <x:c r="L2624" s="11" t="n">
        <x:v>0</x:v>
      </x:c>
      <x:c r="M2624" s="9" t="n">
        <x:f>ROUND(H2624*(1-I2624),2)</x:f>
        <x:v>20600000</x:v>
      </x:c>
      <x:c r="N2624" s="4" t="str">
        <x:v>Sales manager</x:v>
      </x:c>
      <x:c r="O2624" s="4"/>
      <x:c r="P2624" s="9" t="n">
        <x:v>0</x:v>
      </x:c>
      <x:c r="Q2624" s="11" t="n">
        <x:v>1</x:v>
      </x:c>
      <x:c r="R2624" s="8" t="n">
        <x:v>45522</x:v>
      </x:c>
      <x:c r="S2624" s="4" t="str">
        <x:v>Lost / cancelled</x:v>
      </x:c>
      <x:c r="T2624" s="10" t="n">
        <x:v>0.072165</x:v>
      </x:c>
      <x:c r="U2624" s="4" t="str">
        <x:v>Excluded / unlabelled</x:v>
      </x:c>
    </x:row>
    <x:row r="2625" ht="34" customHeight="1">
      <x:c r="A2625" s="4" t="str">
        <x:v>RS-02624</x:v>
      </x:c>
      <x:c r="B2625" s="8" t="n">
        <x:v>45463</x:v>
      </x:c>
      <x:c r="C2625" s="4" t="str">
        <x:v>PRJ-004</x:v>
      </x:c>
      <x:c r="D2625" s="4" t="str">
        <x:v>Retail</x:v>
      </x:c>
      <x:c r="E2625" s="4" t="str">
        <x:v>Agreement signed</x:v>
      </x:c>
      <x:c r="F2625" s="4" t="str">
        <x:v>CUS-02624</x:v>
      </x:c>
      <x:c r="G2625" s="4" t="str">
        <x:v>UNIT-02624</x:v>
      </x:c>
      <x:c r="H2625" s="9" t="n">
        <x:v>23500000</x:v>
      </x:c>
      <x:c r="I2625" s="10" t="n">
        <x:v>0.04</x:v>
      </x:c>
      <x:c r="J2625" s="11" t="n">
        <x:v>3</x:v>
      </x:c>
      <x:c r="K2625" s="11" t="n">
        <x:v>6</x:v>
      </x:c>
      <x:c r="L2625" s="11" t="n">
        <x:v>0</x:v>
      </x:c>
      <x:c r="M2625" s="9" t="n">
        <x:f>ROUND(H2625*(1-I2625),2)</x:f>
        <x:v>22560000</x:v>
      </x:c>
      <x:c r="N2625" s="4" t="str">
        <x:v>Sales manager</x:v>
      </x:c>
      <x:c r="O2625" s="4" t="str">
        <x:v>BOOK-02624</x:v>
      </x:c>
      <x:c r="P2625" s="9" t="n">
        <x:v>5640000</x:v>
      </x:c>
      <x:c r="Q2625" s="11" t="n">
        <x:v>0</x:v>
      </x:c>
      <x:c r="R2625" s="8" t="n">
        <x:v>45523</x:v>
      </x:c>
      <x:c r="S2625" s="4" t="str">
        <x:v>Retained</x:v>
      </x:c>
      <x:c r="T2625" s="10" t="n">
        <x:v>0.204152</x:v>
      </x:c>
      <x:c r="U2625" s="4" t="str">
        <x:v>Excluded / unlabelled</x:v>
      </x:c>
    </x:row>
    <x:row r="2626" ht="34" customHeight="1">
      <x:c r="A2626" s="4" t="str">
        <x:v>RS-02625</x:v>
      </x:c>
      <x:c r="B2626" s="8" t="n">
        <x:v>45464</x:v>
      </x:c>
      <x:c r="C2626" s="4" t="str">
        <x:v>PRJ-005</x:v>
      </x:c>
      <x:c r="D2626" s="4" t="str">
        <x:v>Retail</x:v>
      </x:c>
      <x:c r="E2626" s="4" t="str">
        <x:v>Enquiry</x:v>
      </x:c>
      <x:c r="F2626" s="4" t="str">
        <x:v>CUS-02625</x:v>
      </x:c>
      <x:c r="G2626" s="4" t="str">
        <x:v>UNIT-02625</x:v>
      </x:c>
      <x:c r="H2626" s="9" t="n">
        <x:v>21500000</x:v>
      </x:c>
      <x:c r="I2626" s="10" t="n">
        <x:v>0.04</x:v>
      </x:c>
      <x:c r="J2626" s="11" t="n">
        <x:v>10</x:v>
      </x:c>
      <x:c r="K2626" s="11" t="n">
        <x:v>9</x:v>
      </x:c>
      <x:c r="L2626" s="11" t="n">
        <x:v>0</x:v>
      </x:c>
      <x:c r="M2626" s="9" t="n">
        <x:f>ROUND(H2626*(1-I2626),2)</x:f>
        <x:v>20640000</x:v>
      </x:c>
      <x:c r="N2626" s="4" t="str">
        <x:v>Sales manager</x:v>
      </x:c>
      <x:c r="O2626" s="4"/>
      <x:c r="P2626" s="9" t="n">
        <x:v>0</x:v>
      </x:c>
      <x:c r="Q2626" s="11" t="n">
        <x:v>0</x:v>
      </x:c>
      <x:c r="R2626" s="8" t="n">
        <x:v>45524</x:v>
      </x:c>
      <x:c r="S2626" s="4" t="str">
        <x:v>Retained</x:v>
      </x:c>
      <x:c r="T2626" s="10" t="n">
        <x:v>0.310195</x:v>
      </x:c>
      <x:c r="U2626" s="4" t="str">
        <x:v>Excluded / unlabelled</x:v>
      </x:c>
    </x:row>
    <x:row r="2627" ht="34" customHeight="1">
      <x:c r="A2627" s="4" t="str">
        <x:v>RS-02626</x:v>
      </x:c>
      <x:c r="B2627" s="8" t="n">
        <x:v>45465</x:v>
      </x:c>
      <x:c r="C2627" s="4" t="str">
        <x:v>PRJ-006</x:v>
      </x:c>
      <x:c r="D2627" s="4" t="str">
        <x:v>Retail</x:v>
      </x:c>
      <x:c r="E2627" s="4" t="str">
        <x:v>Handed over</x:v>
      </x:c>
      <x:c r="F2627" s="4" t="str">
        <x:v>CUS-02626</x:v>
      </x:c>
      <x:c r="G2627" s="4" t="str">
        <x:v>UNIT-02626</x:v>
      </x:c>
      <x:c r="H2627" s="9" t="n">
        <x:v>12000000</x:v>
      </x:c>
      <x:c r="I2627" s="10" t="n">
        <x:v>0.11</x:v>
      </x:c>
      <x:c r="J2627" s="11" t="n">
        <x:v>5</x:v>
      </x:c>
      <x:c r="K2627" s="11" t="n">
        <x:v>3</x:v>
      </x:c>
      <x:c r="L2627" s="11" t="n">
        <x:v>0</x:v>
      </x:c>
      <x:c r="M2627" s="9" t="n">
        <x:f>ROUND(H2627*(1-I2627),2)</x:f>
        <x:v>10680000</x:v>
      </x:c>
      <x:c r="N2627" s="4" t="str">
        <x:v>Sales head</x:v>
      </x:c>
      <x:c r="O2627" s="4" t="str">
        <x:v>BOOK-02626</x:v>
      </x:c>
      <x:c r="P2627" s="9" t="n">
        <x:v>2670000</x:v>
      </x:c>
      <x:c r="Q2627" s="11" t="n">
        <x:v>0</x:v>
      </x:c>
      <x:c r="R2627" s="8" t="n">
        <x:v>45525</x:v>
      </x:c>
      <x:c r="S2627" s="4" t="str">
        <x:v>Retained</x:v>
      </x:c>
      <x:c r="T2627" s="10" t="n">
        <x:v>0.226277</x:v>
      </x:c>
      <x:c r="U2627" s="4" t="str">
        <x:v>Excluded / unlabelled</x:v>
      </x:c>
    </x:row>
    <x:row r="2628" ht="34" customHeight="1">
      <x:c r="A2628" s="4" t="str">
        <x:v>RS-02627</x:v>
      </x:c>
      <x:c r="B2628" s="8" t="n">
        <x:v>45466</x:v>
      </x:c>
      <x:c r="C2628" s="4" t="str">
        <x:v>PRJ-007</x:v>
      </x:c>
      <x:c r="D2628" s="4" t="str">
        <x:v>Apartment</x:v>
      </x:c>
      <x:c r="E2628" s="4" t="str">
        <x:v>Reserved</x:v>
      </x:c>
      <x:c r="F2628" s="4" t="str">
        <x:v>CUS-02627</x:v>
      </x:c>
      <x:c r="G2628" s="4" t="str">
        <x:v>UNIT-02627</x:v>
      </x:c>
      <x:c r="H2628" s="9" t="n">
        <x:v>16200000</x:v>
      </x:c>
      <x:c r="I2628" s="10" t="n">
        <x:v>0.11</x:v>
      </x:c>
      <x:c r="J2628" s="11" t="n">
        <x:v>3</x:v>
      </x:c>
      <x:c r="K2628" s="11" t="n">
        <x:v>6</x:v>
      </x:c>
      <x:c r="L2628" s="11" t="n">
        <x:v>1</x:v>
      </x:c>
      <x:c r="M2628" s="9" t="n">
        <x:f>ROUND(H2628*(1-I2628),2)</x:f>
        <x:v>14418000</x:v>
      </x:c>
      <x:c r="N2628" s="4" t="str">
        <x:v>Sales head</x:v>
      </x:c>
      <x:c r="O2628" s="4"/>
      <x:c r="P2628" s="9" t="n">
        <x:v>0</x:v>
      </x:c>
      <x:c r="Q2628" s="11" t="n">
        <x:v>0</x:v>
      </x:c>
      <x:c r="R2628" s="8" t="n">
        <x:v>45526</x:v>
      </x:c>
      <x:c r="S2628" s="4" t="str">
        <x:v>Retained</x:v>
      </x:c>
      <x:c r="T2628" s="10" t="n">
        <x:v>0.145833</x:v>
      </x:c>
      <x:c r="U2628" s="4" t="str">
        <x:v>Excluded / unlabelled</x:v>
      </x:c>
    </x:row>
    <x:row r="2629" ht="34" customHeight="1">
      <x:c r="A2629" s="4" t="str">
        <x:v>RS-02628</x:v>
      </x:c>
      <x:c r="B2629" s="8" t="n">
        <x:v>45467</x:v>
      </x:c>
      <x:c r="C2629" s="4" t="str">
        <x:v>PRJ-008</x:v>
      </x:c>
      <x:c r="D2629" s="4" t="str">
        <x:v>Office</x:v>
      </x:c>
      <x:c r="E2629" s="4" t="str">
        <x:v>Reserved</x:v>
      </x:c>
      <x:c r="F2629" s="4" t="str">
        <x:v>CUS-02628</x:v>
      </x:c>
      <x:c r="G2629" s="4" t="str">
        <x:v>UNIT-02628</x:v>
      </x:c>
      <x:c r="H2629" s="9" t="n">
        <x:v>25000000</x:v>
      </x:c>
      <x:c r="I2629" s="10" t="n">
        <x:v>0.11</x:v>
      </x:c>
      <x:c r="J2629" s="11" t="n">
        <x:v>1</x:v>
      </x:c>
      <x:c r="K2629" s="11" t="n">
        <x:v>2</x:v>
      </x:c>
      <x:c r="L2629" s="11" t="n">
        <x:v>1</x:v>
      </x:c>
      <x:c r="M2629" s="9" t="n">
        <x:f>ROUND(H2629*(1-I2629),2)</x:f>
        <x:v>22250000</x:v>
      </x:c>
      <x:c r="N2629" s="4" t="str">
        <x:v>Sales head</x:v>
      </x:c>
      <x:c r="O2629" s="4"/>
      <x:c r="P2629" s="9" t="n">
        <x:v>0</x:v>
      </x:c>
      <x:c r="Q2629" s="11" t="n">
        <x:v>0</x:v>
      </x:c>
      <x:c r="R2629" s="8" t="n">
        <x:v>45527</x:v>
      </x:c>
      <x:c r="S2629" s="4" t="str">
        <x:v>Retained</x:v>
      </x:c>
      <x:c r="T2629" s="10" t="n">
        <x:v>0.145833</x:v>
      </x:c>
      <x:c r="U2629" s="4" t="str">
        <x:v>Excluded / unlabelled</x:v>
      </x:c>
    </x:row>
    <x:row r="2630" ht="34" customHeight="1">
      <x:c r="A2630" s="4" t="str">
        <x:v>RS-02629</x:v>
      </x:c>
      <x:c r="B2630" s="8" t="n">
        <x:v>45468</x:v>
      </x:c>
      <x:c r="C2630" s="4" t="str">
        <x:v>PRJ-009</x:v>
      </x:c>
      <x:c r="D2630" s="4" t="str">
        <x:v>Villa</x:v>
      </x:c>
      <x:c r="E2630" s="4" t="str">
        <x:v>Agreement signed</x:v>
      </x:c>
      <x:c r="F2630" s="4" t="str">
        <x:v>CUS-02629</x:v>
      </x:c>
      <x:c r="G2630" s="4" t="str">
        <x:v>UNIT-02629</x:v>
      </x:c>
      <x:c r="H2630" s="9" t="n">
        <x:v>3600000</x:v>
      </x:c>
      <x:c r="I2630" s="10" t="n">
        <x:v>0.08</x:v>
      </x:c>
      <x:c r="J2630" s="11" t="n">
        <x:v>4</x:v>
      </x:c>
      <x:c r="K2630" s="11" t="n">
        <x:v>7</x:v>
      </x:c>
      <x:c r="L2630" s="11" t="n">
        <x:v>0</x:v>
      </x:c>
      <x:c r="M2630" s="9" t="n">
        <x:f>ROUND(H2630*(1-I2630),2)</x:f>
        <x:v>3312000</x:v>
      </x:c>
      <x:c r="N2630" s="4" t="str">
        <x:v>Sales head</x:v>
      </x:c>
      <x:c r="O2630" s="4" t="str">
        <x:v>BOOK-02629</x:v>
      </x:c>
      <x:c r="P2630" s="9" t="n">
        <x:v>1656000</x:v>
      </x:c>
      <x:c r="Q2630" s="11" t="n">
        <x:v>0</x:v>
      </x:c>
      <x:c r="R2630" s="8" t="n">
        <x:v>45528</x:v>
      </x:c>
      <x:c r="S2630" s="4" t="str">
        <x:v>Retained</x:v>
      </x:c>
      <x:c r="T2630" s="10" t="n">
        <x:v>0.226277</x:v>
      </x:c>
      <x:c r="U2630" s="4" t="str">
        <x:v>Excluded / unlabelled</x:v>
      </x:c>
    </x:row>
    <x:row r="2631" ht="34" customHeight="1">
      <x:c r="A2631" s="4" t="str">
        <x:v>RS-02630</x:v>
      </x:c>
      <x:c r="B2631" s="8" t="n">
        <x:v>45469</x:v>
      </x:c>
      <x:c r="C2631" s="4" t="str">
        <x:v>PRJ-010</x:v>
      </x:c>
      <x:c r="D2631" s="4" t="str">
        <x:v>Office</x:v>
      </x:c>
      <x:c r="E2631" s="4" t="str">
        <x:v>Booked</x:v>
      </x:c>
      <x:c r="F2631" s="4" t="str">
        <x:v>CUS-02630</x:v>
      </x:c>
      <x:c r="G2631" s="4" t="str">
        <x:v>UNIT-02630</x:v>
      </x:c>
      <x:c r="H2631" s="9" t="n">
        <x:v>17200000</x:v>
      </x:c>
      <x:c r="I2631" s="10" t="n">
        <x:v>0.06</x:v>
      </x:c>
      <x:c r="J2631" s="11" t="n">
        <x:v>3</x:v>
      </x:c>
      <x:c r="K2631" s="11" t="n">
        <x:v>2</x:v>
      </x:c>
      <x:c r="L2631" s="11" t="n">
        <x:v>0</x:v>
      </x:c>
      <x:c r="M2631" s="9" t="n">
        <x:f>ROUND(H2631*(1-I2631),2)</x:f>
        <x:v>16168000</x:v>
      </x:c>
      <x:c r="N2631" s="4" t="str">
        <x:v>Sales manager</x:v>
      </x:c>
      <x:c r="O2631" s="4" t="str">
        <x:v>BOOK-02630</x:v>
      </x:c>
      <x:c r="P2631" s="9" t="n">
        <x:v>8084000</x:v>
      </x:c>
      <x:c r="Q2631" s="11" t="n">
        <x:v>0</x:v>
      </x:c>
      <x:c r="R2631" s="8" t="n">
        <x:v>45529</x:v>
      </x:c>
      <x:c r="S2631" s="4" t="str">
        <x:v>Retained</x:v>
      </x:c>
      <x:c r="T2631" s="10" t="n">
        <x:v>0.204152</x:v>
      </x:c>
      <x:c r="U2631" s="4" t="str">
        <x:v>Excluded / unlabelled</x:v>
      </x:c>
    </x:row>
    <x:row r="2632" ht="34" customHeight="1">
      <x:c r="A2632" s="4" t="str">
        <x:v>RS-02631</x:v>
      </x:c>
      <x:c r="B2632" s="8" t="n">
        <x:v>45470</x:v>
      </x:c>
      <x:c r="C2632" s="4" t="str">
        <x:v>PRJ-011</x:v>
      </x:c>
      <x:c r="D2632" s="4" t="str">
        <x:v>Apartment</x:v>
      </x:c>
      <x:c r="E2632" s="4" t="str">
        <x:v>Booked</x:v>
      </x:c>
      <x:c r="F2632" s="4" t="str">
        <x:v>CUS-02631</x:v>
      </x:c>
      <x:c r="G2632" s="4" t="str">
        <x:v>UNIT-02631</x:v>
      </x:c>
      <x:c r="H2632" s="9" t="n">
        <x:v>5100000</x:v>
      </x:c>
      <x:c r="I2632" s="10" t="n">
        <x:v>0.02</x:v>
      </x:c>
      <x:c r="J2632" s="11" t="n">
        <x:v>6</x:v>
      </x:c>
      <x:c r="K2632" s="11" t="n">
        <x:v>1</x:v>
      </x:c>
      <x:c r="L2632" s="11" t="n">
        <x:v>1</x:v>
      </x:c>
      <x:c r="M2632" s="9" t="n">
        <x:f>ROUND(H2632*(1-I2632),2)</x:f>
        <x:v>4998000</x:v>
      </x:c>
      <x:c r="N2632" s="4" t="str">
        <x:v>Sales manager</x:v>
      </x:c>
      <x:c r="O2632" s="4" t="str">
        <x:v>BOOK-02631</x:v>
      </x:c>
      <x:c r="P2632" s="9" t="n">
        <x:v>2499000</x:v>
      </x:c>
      <x:c r="Q2632" s="11" t="n">
        <x:v>0</x:v>
      </x:c>
      <x:c r="R2632" s="8" t="n">
        <x:v>45530</x:v>
      </x:c>
      <x:c r="S2632" s="4" t="str">
        <x:v>Retained</x:v>
      </x:c>
      <x:c r="T2632" s="10" t="n">
        <x:v>0.298969</x:v>
      </x:c>
      <x:c r="U2632" s="4" t="str">
        <x:v>Excluded / unlabelled</x:v>
      </x:c>
    </x:row>
    <x:row r="2633" ht="34" customHeight="1">
      <x:c r="A2633" s="4" t="str">
        <x:v>RS-02632</x:v>
      </x:c>
      <x:c r="B2633" s="8" t="n">
        <x:v>45471</x:v>
      </x:c>
      <x:c r="C2633" s="4" t="str">
        <x:v>PRJ-012</x:v>
      </x:c>
      <x:c r="D2633" s="4" t="str">
        <x:v>Apartment</x:v>
      </x:c>
      <x:c r="E2633" s="4" t="str">
        <x:v>Reserved</x:v>
      </x:c>
      <x:c r="F2633" s="4" t="str">
        <x:v>CUS-02632</x:v>
      </x:c>
      <x:c r="G2633" s="4" t="str">
        <x:v>UNIT-02632</x:v>
      </x:c>
      <x:c r="H2633" s="9" t="n">
        <x:v>9100000</x:v>
      </x:c>
      <x:c r="I2633" s="10" t="n">
        <x:v>0.02</x:v>
      </x:c>
      <x:c r="J2633" s="11" t="n">
        <x:v>12</x:v>
      </x:c>
      <x:c r="K2633" s="11" t="n">
        <x:v>4</x:v>
      </x:c>
      <x:c r="L2633" s="11" t="n">
        <x:v>1</x:v>
      </x:c>
      <x:c r="M2633" s="9" t="n">
        <x:f>ROUND(H2633*(1-I2633),2)</x:f>
        <x:v>8918000</x:v>
      </x:c>
      <x:c r="N2633" s="4" t="str">
        <x:v>Sales manager</x:v>
      </x:c>
      <x:c r="O2633" s="4"/>
      <x:c r="P2633" s="9" t="n">
        <x:v>0</x:v>
      </x:c>
      <x:c r="Q2633" s="11" t="n">
        <x:v>0</x:v>
      </x:c>
      <x:c r="R2633" s="8" t="n">
        <x:v>45531</x:v>
      </x:c>
      <x:c r="S2633" s="4" t="str">
        <x:v>Retained</x:v>
      </x:c>
      <x:c r="T2633" s="10" t="n">
        <x:v>0.254545</x:v>
      </x:c>
      <x:c r="U2633" s="4" t="str">
        <x:v>Excluded / unlabelled</x:v>
      </x:c>
    </x:row>
    <x:row r="2634" ht="34" customHeight="1">
      <x:c r="A2634" s="4" t="str">
        <x:v>RS-02633</x:v>
      </x:c>
      <x:c r="B2634" s="8" t="n">
        <x:v>45444</x:v>
      </x:c>
      <x:c r="C2634" s="4" t="str">
        <x:v>PRJ-013</x:v>
      </x:c>
      <x:c r="D2634" s="4" t="str">
        <x:v>Villa</x:v>
      </x:c>
      <x:c r="E2634" s="4" t="str">
        <x:v>Reserved</x:v>
      </x:c>
      <x:c r="F2634" s="4" t="str">
        <x:v>CUS-02633</x:v>
      </x:c>
      <x:c r="G2634" s="4" t="str">
        <x:v>UNIT-02633</x:v>
      </x:c>
      <x:c r="H2634" s="9" t="n">
        <x:v>7000000</x:v>
      </x:c>
      <x:c r="I2634" s="10" t="n">
        <x:v>0.02</x:v>
      </x:c>
      <x:c r="J2634" s="11" t="n">
        <x:v>3</x:v>
      </x:c>
      <x:c r="K2634" s="11" t="n">
        <x:v>3</x:v>
      </x:c>
      <x:c r="L2634" s="11" t="n">
        <x:v>0</x:v>
      </x:c>
      <x:c r="M2634" s="9" t="n">
        <x:f>ROUND(H2634*(1-I2634),2)</x:f>
        <x:v>6860000</x:v>
      </x:c>
      <x:c r="N2634" s="4" t="str">
        <x:v>Sales manager</x:v>
      </x:c>
      <x:c r="O2634" s="4"/>
      <x:c r="P2634" s="9" t="n">
        <x:v>0</x:v>
      </x:c>
      <x:c r="Q2634" s="11" t="n">
        <x:v>0</x:v>
      </x:c>
      <x:c r="R2634" s="8" t="n">
        <x:v>45504</x:v>
      </x:c>
      <x:c r="S2634" s="4" t="str">
        <x:v>Retained</x:v>
      </x:c>
      <x:c r="T2634" s="10" t="n">
        <x:v>0.171717</x:v>
      </x:c>
      <x:c r="U2634" s="4" t="str">
        <x:v>Excluded / unlabelled</x:v>
      </x:c>
    </x:row>
    <x:row r="2635" ht="34" customHeight="1">
      <x:c r="A2635" s="4" t="str">
        <x:v>RS-02634</x:v>
      </x:c>
      <x:c r="B2635" s="8" t="n">
        <x:v>45445</x:v>
      </x:c>
      <x:c r="C2635" s="4" t="str">
        <x:v>PRJ-014</x:v>
      </x:c>
      <x:c r="D2635" s="4" t="str">
        <x:v>Villa</x:v>
      </x:c>
      <x:c r="E2635" s="4" t="str">
        <x:v>Reserved</x:v>
      </x:c>
      <x:c r="F2635" s="4" t="str">
        <x:v>CUS-02634</x:v>
      </x:c>
      <x:c r="G2635" s="4" t="str">
        <x:v>UNIT-02634</x:v>
      </x:c>
      <x:c r="H2635" s="9" t="n">
        <x:v>19600000</x:v>
      </x:c>
      <x:c r="I2635" s="10" t="n">
        <x:v>0.07</x:v>
      </x:c>
      <x:c r="J2635" s="11" t="n">
        <x:v>5</x:v>
      </x:c>
      <x:c r="K2635" s="11" t="n">
        <x:v>3</x:v>
      </x:c>
      <x:c r="L2635" s="11" t="n">
        <x:v>1</x:v>
      </x:c>
      <x:c r="M2635" s="9" t="n">
        <x:f>ROUND(H2635*(1-I2635),2)</x:f>
        <x:v>18228000</x:v>
      </x:c>
      <x:c r="N2635" s="4" t="str">
        <x:v>Sales manager</x:v>
      </x:c>
      <x:c r="O2635" s="4"/>
      <x:c r="P2635" s="9" t="n">
        <x:v>0</x:v>
      </x:c>
      <x:c r="Q2635" s="11" t="n">
        <x:v>0</x:v>
      </x:c>
      <x:c r="R2635" s="8" t="n">
        <x:v>45505</x:v>
      </x:c>
      <x:c r="S2635" s="4" t="str">
        <x:v>Retained</x:v>
      </x:c>
      <x:c r="T2635" s="10" t="n">
        <x:v>0.291946</x:v>
      </x:c>
      <x:c r="U2635" s="4" t="str">
        <x:v>Excluded / unlabelled</x:v>
      </x:c>
    </x:row>
    <x:row r="2636" ht="34" customHeight="1">
      <x:c r="A2636" s="4" t="str">
        <x:v>RS-02635</x:v>
      </x:c>
      <x:c r="B2636" s="8" t="n">
        <x:v>45446</x:v>
      </x:c>
      <x:c r="C2636" s="4" t="str">
        <x:v>PRJ-015</x:v>
      </x:c>
      <x:c r="D2636" s="4" t="str">
        <x:v>Office</x:v>
      </x:c>
      <x:c r="E2636" s="4" t="str">
        <x:v>Cancelled</x:v>
      </x:c>
      <x:c r="F2636" s="4" t="str">
        <x:v>CUS-02635</x:v>
      </x:c>
      <x:c r="G2636" s="4" t="str">
        <x:v>UNIT-02635</x:v>
      </x:c>
      <x:c r="H2636" s="9" t="n">
        <x:v>13800000</x:v>
      </x:c>
      <x:c r="I2636" s="10" t="n">
        <x:v>0.07</x:v>
      </x:c>
      <x:c r="J2636" s="11" t="n">
        <x:v>5</x:v>
      </x:c>
      <x:c r="K2636" s="11" t="n">
        <x:v>2</x:v>
      </x:c>
      <x:c r="L2636" s="11" t="n">
        <x:v>1</x:v>
      </x:c>
      <x:c r="M2636" s="9" t="n">
        <x:f>ROUND(H2636*(1-I2636),2)</x:f>
        <x:v>12834000</x:v>
      </x:c>
      <x:c r="N2636" s="4" t="str">
        <x:v>Sales manager</x:v>
      </x:c>
      <x:c r="O2636" s="4"/>
      <x:c r="P2636" s="9" t="n">
        <x:v>0</x:v>
      </x:c>
      <x:c r="Q2636" s="11" t="n">
        <x:v>1</x:v>
      </x:c>
      <x:c r="R2636" s="8" t="n">
        <x:v>45506</x:v>
      </x:c>
      <x:c r="S2636" s="4" t="str">
        <x:v>Lost / cancelled</x:v>
      </x:c>
      <x:c r="T2636" s="10" t="n">
        <x:v>0.291946</x:v>
      </x:c>
      <x:c r="U2636" s="4" t="str">
        <x:v>Excluded / unlabelled</x:v>
      </x:c>
    </x:row>
    <x:row r="2637" ht="34" customHeight="1">
      <x:c r="A2637" s="4" t="str">
        <x:v>RS-02636</x:v>
      </x:c>
      <x:c r="B2637" s="8" t="n">
        <x:v>45447</x:v>
      </x:c>
      <x:c r="C2637" s="4" t="str">
        <x:v>PRJ-016</x:v>
      </x:c>
      <x:c r="D2637" s="4" t="str">
        <x:v>Apartment</x:v>
      </x:c>
      <x:c r="E2637" s="4" t="str">
        <x:v>Agreement signed</x:v>
      </x:c>
      <x:c r="F2637" s="4" t="str">
        <x:v>CUS-02636</x:v>
      </x:c>
      <x:c r="G2637" s="4" t="str">
        <x:v>UNIT-02636</x:v>
      </x:c>
      <x:c r="H2637" s="9" t="n">
        <x:v>19800000</x:v>
      </x:c>
      <x:c r="I2637" s="10" t="n">
        <x:v>0.05</x:v>
      </x:c>
      <x:c r="J2637" s="11" t="n">
        <x:v>3</x:v>
      </x:c>
      <x:c r="K2637" s="11" t="n">
        <x:v>9</x:v>
      </x:c>
      <x:c r="L2637" s="11" t="n">
        <x:v>1</x:v>
      </x:c>
      <x:c r="M2637" s="9" t="n">
        <x:f>ROUND(H2637*(1-I2637),2)</x:f>
        <x:v>18810000</x:v>
      </x:c>
      <x:c r="N2637" s="4" t="str">
        <x:v>Sales manager</x:v>
      </x:c>
      <x:c r="O2637" s="4" t="str">
        <x:v>BOOK-02636</x:v>
      </x:c>
      <x:c r="P2637" s="9" t="n">
        <x:v>9405000</x:v>
      </x:c>
      <x:c r="Q2637" s="11" t="n">
        <x:v>0</x:v>
      </x:c>
      <x:c r="R2637" s="8" t="n">
        <x:v>45507</x:v>
      </x:c>
      <x:c r="S2637" s="4" t="str">
        <x:v>Retained</x:v>
      </x:c>
      <x:c r="T2637" s="10" t="n">
        <x:v>0.204152</x:v>
      </x:c>
      <x:c r="U2637" s="4" t="str">
        <x:v>Excluded / unlabelled</x:v>
      </x:c>
    </x:row>
    <x:row r="2638" ht="34" customHeight="1">
      <x:c r="A2638" s="4" t="str">
        <x:v>RS-02637</x:v>
      </x:c>
      <x:c r="B2638" s="8" t="n">
        <x:v>45448</x:v>
      </x:c>
      <x:c r="C2638" s="4" t="str">
        <x:v>PRJ-017</x:v>
      </x:c>
      <x:c r="D2638" s="4" t="str">
        <x:v>Retail</x:v>
      </x:c>
      <x:c r="E2638" s="4" t="str">
        <x:v>Handed over</x:v>
      </x:c>
      <x:c r="F2638" s="4" t="str">
        <x:v>CUS-02637</x:v>
      </x:c>
      <x:c r="G2638" s="4" t="str">
        <x:v>UNIT-02637</x:v>
      </x:c>
      <x:c r="H2638" s="9" t="n">
        <x:v>16000000</x:v>
      </x:c>
      <x:c r="I2638" s="10" t="n">
        <x:v>0.06</x:v>
      </x:c>
      <x:c r="J2638" s="11" t="n">
        <x:v>2</x:v>
      </x:c>
      <x:c r="K2638" s="11" t="n">
        <x:v>3</x:v>
      </x:c>
      <x:c r="L2638" s="11" t="n">
        <x:v>1</x:v>
      </x:c>
      <x:c r="M2638" s="9" t="n">
        <x:f>ROUND(H2638*(1-I2638),2)</x:f>
        <x:v>15040000</x:v>
      </x:c>
      <x:c r="N2638" s="4" t="str">
        <x:v>Sales manager</x:v>
      </x:c>
      <x:c r="O2638" s="4" t="str">
        <x:v>BOOK-02637</x:v>
      </x:c>
      <x:c r="P2638" s="9" t="n">
        <x:v>15040000</x:v>
      </x:c>
      <x:c r="Q2638" s="11" t="n">
        <x:v>0</x:v>
      </x:c>
      <x:c r="R2638" s="8" t="n">
        <x:v>45508</x:v>
      </x:c>
      <x:c r="S2638" s="4" t="str">
        <x:v>Retained</x:v>
      </x:c>
      <x:c r="T2638" s="10" t="n">
        <x:v>0.204152</x:v>
      </x:c>
      <x:c r="U2638" s="4" t="str">
        <x:v>Excluded / unlabelled</x:v>
      </x:c>
    </x:row>
    <x:row r="2639" ht="34" customHeight="1">
      <x:c r="A2639" s="4" t="str">
        <x:v>RS-02638</x:v>
      </x:c>
      <x:c r="B2639" s="8" t="n">
        <x:v>45449</x:v>
      </x:c>
      <x:c r="C2639" s="4" t="str">
        <x:v>PRJ-018</x:v>
      </x:c>
      <x:c r="D2639" s="4" t="str">
        <x:v>Office</x:v>
      </x:c>
      <x:c r="E2639" s="4" t="str">
        <x:v>Reserved</x:v>
      </x:c>
      <x:c r="F2639" s="4" t="str">
        <x:v>CUS-02638</x:v>
      </x:c>
      <x:c r="G2639" s="4" t="str">
        <x:v>UNIT-02638</x:v>
      </x:c>
      <x:c r="H2639" s="9" t="n">
        <x:v>22100000</x:v>
      </x:c>
      <x:c r="I2639" s="10" t="n">
        <x:v>0.11</x:v>
      </x:c>
      <x:c r="J2639" s="11" t="n">
        <x:v>4</x:v>
      </x:c>
      <x:c r="K2639" s="11" t="n">
        <x:v>5</x:v>
      </x:c>
      <x:c r="L2639" s="11" t="n">
        <x:v>1</x:v>
      </x:c>
      <x:c r="M2639" s="9" t="n">
        <x:f>ROUND(H2639*(1-I2639),2)</x:f>
        <x:v>19669000</x:v>
      </x:c>
      <x:c r="N2639" s="4" t="str">
        <x:v>Sales head</x:v>
      </x:c>
      <x:c r="O2639" s="4"/>
      <x:c r="P2639" s="9" t="n">
        <x:v>0</x:v>
      </x:c>
      <x:c r="Q2639" s="11" t="n">
        <x:v>0</x:v>
      </x:c>
      <x:c r="R2639" s="8" t="n">
        <x:v>45509</x:v>
      </x:c>
      <x:c r="S2639" s="4" t="str">
        <x:v>Retained</x:v>
      </x:c>
      <x:c r="T2639" s="10" t="n">
        <x:v>0.291946</x:v>
      </x:c>
      <x:c r="U2639" s="4" t="str">
        <x:v>Excluded / unlabelled</x:v>
      </x:c>
    </x:row>
    <x:row r="2640" ht="34" customHeight="1">
      <x:c r="A2640" s="4" t="str">
        <x:v>RS-02639</x:v>
      </x:c>
      <x:c r="B2640" s="8" t="n">
        <x:v>45450</x:v>
      </x:c>
      <x:c r="C2640" s="4" t="str">
        <x:v>PRJ-019</x:v>
      </x:c>
      <x:c r="D2640" s="4" t="str">
        <x:v>Apartment</x:v>
      </x:c>
      <x:c r="E2640" s="4" t="str">
        <x:v>Cancelled</x:v>
      </x:c>
      <x:c r="F2640" s="4" t="str">
        <x:v>CUS-02639</x:v>
      </x:c>
      <x:c r="G2640" s="4" t="str">
        <x:v>UNIT-02639</x:v>
      </x:c>
      <x:c r="H2640" s="9" t="n">
        <x:v>24500000</x:v>
      </x:c>
      <x:c r="I2640" s="10" t="n">
        <x:v>0.01</x:v>
      </x:c>
      <x:c r="J2640" s="11" t="n">
        <x:v>9</x:v>
      </x:c>
      <x:c r="K2640" s="11" t="n">
        <x:v>3</x:v>
      </x:c>
      <x:c r="L2640" s="11" t="n">
        <x:v>0</x:v>
      </x:c>
      <x:c r="M2640" s="9" t="n">
        <x:f>ROUND(H2640*(1-I2640),2)</x:f>
        <x:v>24255000</x:v>
      </x:c>
      <x:c r="N2640" s="4" t="str">
        <x:v>Sales manager</x:v>
      </x:c>
      <x:c r="O2640" s="4"/>
      <x:c r="P2640" s="9" t="n">
        <x:v>0</x:v>
      </x:c>
      <x:c r="Q2640" s="11" t="n">
        <x:v>1</x:v>
      </x:c>
      <x:c r="R2640" s="8" t="n">
        <x:v>45510</x:v>
      </x:c>
      <x:c r="S2640" s="4" t="str">
        <x:v>Lost / cancelled</x:v>
      </x:c>
      <x:c r="T2640" s="10" t="n">
        <x:v>0.305556</x:v>
      </x:c>
      <x:c r="U2640" s="4" t="str">
        <x:v>Excluded / unlabelled</x:v>
      </x:c>
    </x:row>
    <x:row r="2641" ht="34" customHeight="1">
      <x:c r="A2641" s="4" t="str">
        <x:v>RS-02640</x:v>
      </x:c>
      <x:c r="B2641" s="8" t="n">
        <x:v>45451</x:v>
      </x:c>
      <x:c r="C2641" s="4" t="str">
        <x:v>PRJ-020</x:v>
      </x:c>
      <x:c r="D2641" s="4" t="str">
        <x:v>Retail</x:v>
      </x:c>
      <x:c r="E2641" s="4" t="str">
        <x:v>Agreement signed</x:v>
      </x:c>
      <x:c r="F2641" s="4" t="str">
        <x:v>CUS-02640</x:v>
      </x:c>
      <x:c r="G2641" s="4" t="str">
        <x:v>UNIT-02640</x:v>
      </x:c>
      <x:c r="H2641" s="9" t="n">
        <x:v>23300000</x:v>
      </x:c>
      <x:c r="I2641" s="10" t="n">
        <x:v>0.06</x:v>
      </x:c>
      <x:c r="J2641" s="11" t="n">
        <x:v>0</x:v>
      </x:c>
      <x:c r="K2641" s="11" t="n">
        <x:v>8</x:v>
      </x:c>
      <x:c r="L2641" s="11" t="n">
        <x:v>0</x:v>
      </x:c>
      <x:c r="M2641" s="9" t="n">
        <x:f>ROUND(H2641*(1-I2641),2)</x:f>
        <x:v>21902000</x:v>
      </x:c>
      <x:c r="N2641" s="4" t="str">
        <x:v>Sales manager</x:v>
      </x:c>
      <x:c r="O2641" s="4" t="str">
        <x:v>BOOK-02640</x:v>
      </x:c>
      <x:c r="P2641" s="9" t="n">
        <x:v>10951000</x:v>
      </x:c>
      <x:c r="Q2641" s="11" t="n">
        <x:v>0</x:v>
      </x:c>
      <x:c r="R2641" s="8" t="n">
        <x:v>45511</x:v>
      </x:c>
      <x:c r="S2641" s="4" t="str">
        <x:v>Retained</x:v>
      </x:c>
      <x:c r="T2641" s="10" t="n">
        <x:v>0.204152</x:v>
      </x:c>
      <x:c r="U2641" s="4" t="str">
        <x:v>Excluded / unlabelled</x:v>
      </x:c>
    </x:row>
    <x:row r="2642" ht="34" customHeight="1">
      <x:c r="A2642" s="4" t="str">
        <x:v>RS-02641</x:v>
      </x:c>
      <x:c r="B2642" s="8" t="n">
        <x:v>45452</x:v>
      </x:c>
      <x:c r="C2642" s="4" t="str">
        <x:v>PRJ-001</x:v>
      </x:c>
      <x:c r="D2642" s="4" t="str">
        <x:v>Villa</x:v>
      </x:c>
      <x:c r="E2642" s="4" t="str">
        <x:v>Enquiry</x:v>
      </x:c>
      <x:c r="F2642" s="4" t="str">
        <x:v>CUS-02641</x:v>
      </x:c>
      <x:c r="G2642" s="4" t="str">
        <x:v>UNIT-02641</x:v>
      </x:c>
      <x:c r="H2642" s="9" t="n">
        <x:v>23500000</x:v>
      </x:c>
      <x:c r="I2642" s="10" t="n">
        <x:v>0.02</x:v>
      </x:c>
      <x:c r="J2642" s="11" t="n">
        <x:v>1</x:v>
      </x:c>
      <x:c r="K2642" s="11" t="n">
        <x:v>8</x:v>
      </x:c>
      <x:c r="L2642" s="11" t="n">
        <x:v>0</x:v>
      </x:c>
      <x:c r="M2642" s="9" t="n">
        <x:f>ROUND(H2642*(1-I2642),2)</x:f>
        <x:v>23030000</x:v>
      </x:c>
      <x:c r="N2642" s="4" t="str">
        <x:v>Sales manager</x:v>
      </x:c>
      <x:c r="O2642" s="4"/>
      <x:c r="P2642" s="9" t="n">
        <x:v>0</x:v>
      </x:c>
      <x:c r="Q2642" s="11" t="n">
        <x:v>0</x:v>
      </x:c>
      <x:c r="R2642" s="8" t="n">
        <x:v>45512</x:v>
      </x:c>
      <x:c r="S2642" s="4" t="str">
        <x:v>Retained</x:v>
      </x:c>
      <x:c r="T2642" s="10" t="n">
        <x:v>0.072165</x:v>
      </x:c>
      <x:c r="U2642" s="4" t="str">
        <x:v>Excluded / unlabelled</x:v>
      </x:c>
    </x:row>
    <x:row r="2643" ht="34" customHeight="1">
      <x:c r="A2643" s="4" t="str">
        <x:v>RS-02642</x:v>
      </x:c>
      <x:c r="B2643" s="8" t="n">
        <x:v>45453</x:v>
      </x:c>
      <x:c r="C2643" s="4" t="str">
        <x:v>PRJ-002</x:v>
      </x:c>
      <x:c r="D2643" s="4" t="str">
        <x:v>Office</x:v>
      </x:c>
      <x:c r="E2643" s="4" t="str">
        <x:v>Cancelled</x:v>
      </x:c>
      <x:c r="F2643" s="4" t="str">
        <x:v>CUS-02642</x:v>
      </x:c>
      <x:c r="G2643" s="4" t="str">
        <x:v>UNIT-02642</x:v>
      </x:c>
      <x:c r="H2643" s="9" t="n">
        <x:v>16500000</x:v>
      </x:c>
      <x:c r="I2643" s="10" t="n">
        <x:v>0.09</x:v>
      </x:c>
      <x:c r="J2643" s="11" t="n">
        <x:v>9</x:v>
      </x:c>
      <x:c r="K2643" s="11" t="n">
        <x:v>1</x:v>
      </x:c>
      <x:c r="L2643" s="11" t="n">
        <x:v>0</x:v>
      </x:c>
      <x:c r="M2643" s="9" t="n">
        <x:f>ROUND(H2643*(1-I2643),2)</x:f>
        <x:v>15015000</x:v>
      </x:c>
      <x:c r="N2643" s="4" t="str">
        <x:v>Sales head</x:v>
      </x:c>
      <x:c r="O2643" s="4"/>
      <x:c r="P2643" s="9" t="n">
        <x:v>0</x:v>
      </x:c>
      <x:c r="Q2643" s="11" t="n">
        <x:v>1</x:v>
      </x:c>
      <x:c r="R2643" s="8" t="n">
        <x:v>45513</x:v>
      </x:c>
      <x:c r="S2643" s="4" t="str">
        <x:v>Lost / cancelled</x:v>
      </x:c>
      <x:c r="T2643" s="10" t="n">
        <x:v>0.310195</x:v>
      </x:c>
      <x:c r="U2643" s="4" t="str">
        <x:v>Excluded / unlabelled</x:v>
      </x:c>
    </x:row>
    <x:row r="2644" ht="34" customHeight="1">
      <x:c r="A2644" s="4" t="str">
        <x:v>RS-02643</x:v>
      </x:c>
      <x:c r="B2644" s="8" t="n">
        <x:v>45454</x:v>
      </x:c>
      <x:c r="C2644" s="4" t="str">
        <x:v>PRJ-003</x:v>
      </x:c>
      <x:c r="D2644" s="4" t="str">
        <x:v>Apartment</x:v>
      </x:c>
      <x:c r="E2644" s="4" t="str">
        <x:v>Enquiry</x:v>
      </x:c>
      <x:c r="F2644" s="4" t="str">
        <x:v>CUS-02643</x:v>
      </x:c>
      <x:c r="G2644" s="4" t="str">
        <x:v>UNIT-02643</x:v>
      </x:c>
      <x:c r="H2644" s="9" t="n">
        <x:v>24300000</x:v>
      </x:c>
      <x:c r="I2644" s="10" t="n">
        <x:v>0</x:v>
      </x:c>
      <x:c r="J2644" s="11" t="n">
        <x:v>0</x:v>
      </x:c>
      <x:c r="K2644" s="11" t="n">
        <x:v>7</x:v>
      </x:c>
      <x:c r="L2644" s="11" t="n">
        <x:v>1</x:v>
      </x:c>
      <x:c r="M2644" s="9" t="n">
        <x:f>ROUND(H2644*(1-I2644),2)</x:f>
        <x:v>24300000</x:v>
      </x:c>
      <x:c r="N2644" s="4" t="str">
        <x:v>Sales manager</x:v>
      </x:c>
      <x:c r="O2644" s="4"/>
      <x:c r="P2644" s="9" t="n">
        <x:v>0</x:v>
      </x:c>
      <x:c r="Q2644" s="11" t="n">
        <x:v>0</x:v>
      </x:c>
      <x:c r="R2644" s="8" t="n">
        <x:v>45514</x:v>
      </x:c>
      <x:c r="S2644" s="4" t="str">
        <x:v>Retained</x:v>
      </x:c>
      <x:c r="T2644" s="10" t="n">
        <x:v>0.072165</x:v>
      </x:c>
      <x:c r="U2644" s="4" t="str">
        <x:v>Excluded / unlabelled</x:v>
      </x:c>
    </x:row>
    <x:row r="2645" ht="34" customHeight="1">
      <x:c r="A2645" s="4" t="str">
        <x:v>RS-02644</x:v>
      </x:c>
      <x:c r="B2645" s="8" t="n">
        <x:v>45455</x:v>
      </x:c>
      <x:c r="C2645" s="4" t="str">
        <x:v>PRJ-004</x:v>
      </x:c>
      <x:c r="D2645" s="4" t="str">
        <x:v>Villa</x:v>
      </x:c>
      <x:c r="E2645" s="4" t="str">
        <x:v>Reserved</x:v>
      </x:c>
      <x:c r="F2645" s="4" t="str">
        <x:v>CUS-02644</x:v>
      </x:c>
      <x:c r="G2645" s="4" t="str">
        <x:v>UNIT-02644</x:v>
      </x:c>
      <x:c r="H2645" s="9" t="n">
        <x:v>14100000</x:v>
      </x:c>
      <x:c r="I2645" s="10" t="n">
        <x:v>0.1</x:v>
      </x:c>
      <x:c r="J2645" s="11" t="n">
        <x:v>9</x:v>
      </x:c>
      <x:c r="K2645" s="11" t="n">
        <x:v>8</x:v>
      </x:c>
      <x:c r="L2645" s="11" t="n">
        <x:v>0</x:v>
      </x:c>
      <x:c r="M2645" s="9" t="n">
        <x:f>ROUND(H2645*(1-I2645),2)</x:f>
        <x:v>12690000</x:v>
      </x:c>
      <x:c r="N2645" s="4" t="str">
        <x:v>Sales head</x:v>
      </x:c>
      <x:c r="O2645" s="4"/>
      <x:c r="P2645" s="9" t="n">
        <x:v>0</x:v>
      </x:c>
      <x:c r="Q2645" s="11" t="n">
        <x:v>0</x:v>
      </x:c>
      <x:c r="R2645" s="8" t="n">
        <x:v>45515</x:v>
      </x:c>
      <x:c r="S2645" s="4" t="str">
        <x:v>Retained</x:v>
      </x:c>
      <x:c r="T2645" s="10" t="n">
        <x:v>0.310195</x:v>
      </x:c>
      <x:c r="U2645" s="4" t="str">
        <x:v>Excluded / unlabelled</x:v>
      </x:c>
    </x:row>
    <x:row r="2646" ht="34" customHeight="1">
      <x:c r="A2646" s="4" t="str">
        <x:v>RS-02645</x:v>
      </x:c>
      <x:c r="B2646" s="8" t="n">
        <x:v>45456</x:v>
      </x:c>
      <x:c r="C2646" s="4" t="str">
        <x:v>PRJ-005</x:v>
      </x:c>
      <x:c r="D2646" s="4" t="str">
        <x:v>Apartment</x:v>
      </x:c>
      <x:c r="E2646" s="4" t="str">
        <x:v>Cancelled</x:v>
      </x:c>
      <x:c r="F2646" s="4" t="str">
        <x:v>CUS-02645</x:v>
      </x:c>
      <x:c r="G2646" s="4" t="str">
        <x:v>UNIT-02645</x:v>
      </x:c>
      <x:c r="H2646" s="9" t="n">
        <x:v>16500000</x:v>
      </x:c>
      <x:c r="I2646" s="10" t="n">
        <x:v>0.04</x:v>
      </x:c>
      <x:c r="J2646" s="11" t="n">
        <x:v>6</x:v>
      </x:c>
      <x:c r="K2646" s="11" t="n">
        <x:v>5</x:v>
      </x:c>
      <x:c r="L2646" s="11" t="n">
        <x:v>1</x:v>
      </x:c>
      <x:c r="M2646" s="9" t="n">
        <x:f>ROUND(H2646*(1-I2646),2)</x:f>
        <x:v>15840000</x:v>
      </x:c>
      <x:c r="N2646" s="4" t="str">
        <x:v>Sales manager</x:v>
      </x:c>
      <x:c r="O2646" s="4"/>
      <x:c r="P2646" s="9" t="n">
        <x:v>0</x:v>
      </x:c>
      <x:c r="Q2646" s="11" t="n">
        <x:v>1</x:v>
      </x:c>
      <x:c r="R2646" s="8" t="n">
        <x:v>45516</x:v>
      </x:c>
      <x:c r="S2646" s="4" t="str">
        <x:v>Lost / cancelled</x:v>
      </x:c>
      <x:c r="T2646" s="10" t="n">
        <x:v>0.291946</x:v>
      </x:c>
      <x:c r="U2646" s="4" t="str">
        <x:v>Excluded / unlabelled</x:v>
      </x:c>
    </x:row>
    <x:row r="2647" ht="34" customHeight="1">
      <x:c r="A2647" s="4" t="str">
        <x:v>RS-02646</x:v>
      </x:c>
      <x:c r="B2647" s="8" t="n">
        <x:v>45457</x:v>
      </x:c>
      <x:c r="C2647" s="4" t="str">
        <x:v>PRJ-006</x:v>
      </x:c>
      <x:c r="D2647" s="4" t="str">
        <x:v>Retail</x:v>
      </x:c>
      <x:c r="E2647" s="4" t="str">
        <x:v>Cancelled</x:v>
      </x:c>
      <x:c r="F2647" s="4" t="str">
        <x:v>CUS-02646</x:v>
      </x:c>
      <x:c r="G2647" s="4" t="str">
        <x:v>UNIT-02646</x:v>
      </x:c>
      <x:c r="H2647" s="9" t="n">
        <x:v>12900000</x:v>
      </x:c>
      <x:c r="I2647" s="10" t="n">
        <x:v>0.08</x:v>
      </x:c>
      <x:c r="J2647" s="11" t="n">
        <x:v>12</x:v>
      </x:c>
      <x:c r="K2647" s="11" t="n">
        <x:v>9</x:v>
      </x:c>
      <x:c r="L2647" s="11" t="n">
        <x:v>0</x:v>
      </x:c>
      <x:c r="M2647" s="9" t="n">
        <x:f>ROUND(H2647*(1-I2647),2)</x:f>
        <x:v>11868000</x:v>
      </x:c>
      <x:c r="N2647" s="4" t="str">
        <x:v>Sales head</x:v>
      </x:c>
      <x:c r="O2647" s="4"/>
      <x:c r="P2647" s="9" t="n">
        <x:v>0</x:v>
      </x:c>
      <x:c r="Q2647" s="11" t="n">
        <x:v>1</x:v>
      </x:c>
      <x:c r="R2647" s="8" t="n">
        <x:v>45517</x:v>
      </x:c>
      <x:c r="S2647" s="4" t="str">
        <x:v>Lost / cancelled</x:v>
      </x:c>
      <x:c r="T2647" s="10" t="n">
        <x:v>0.351536</x:v>
      </x:c>
      <x:c r="U2647" s="4" t="str">
        <x:v>Excluded / unlabelled</x:v>
      </x:c>
    </x:row>
    <x:row r="2648" ht="34" customHeight="1">
      <x:c r="A2648" s="4" t="str">
        <x:v>RS-02647</x:v>
      </x:c>
      <x:c r="B2648" s="8" t="n">
        <x:v>45458</x:v>
      </x:c>
      <x:c r="C2648" s="4" t="str">
        <x:v>PRJ-007</x:v>
      </x:c>
      <x:c r="D2648" s="4" t="str">
        <x:v>Retail</x:v>
      </x:c>
      <x:c r="E2648" s="4" t="str">
        <x:v>Booked</x:v>
      </x:c>
      <x:c r="F2648" s="4" t="str">
        <x:v>CUS-02647</x:v>
      </x:c>
      <x:c r="G2648" s="4" t="str">
        <x:v>UNIT-02647</x:v>
      </x:c>
      <x:c r="H2648" s="9" t="n">
        <x:v>5100000</x:v>
      </x:c>
      <x:c r="I2648" s="10" t="n">
        <x:v>0.12</x:v>
      </x:c>
      <x:c r="J2648" s="11" t="n">
        <x:v>2</x:v>
      </x:c>
      <x:c r="K2648" s="11" t="n">
        <x:v>3</x:v>
      </x:c>
      <x:c r="L2648" s="11" t="n">
        <x:v>1</x:v>
      </x:c>
      <x:c r="M2648" s="9" t="n">
        <x:f>ROUND(H2648*(1-I2648),2)</x:f>
        <x:v>4488000</x:v>
      </x:c>
      <x:c r="N2648" s="4" t="str">
        <x:v>Sales head</x:v>
      </x:c>
      <x:c r="O2648" s="4" t="str">
        <x:v>BOOK-02647</x:v>
      </x:c>
      <x:c r="P2648" s="9" t="n">
        <x:v>448800</x:v>
      </x:c>
      <x:c r="Q2648" s="11" t="n">
        <x:v>0</x:v>
      </x:c>
      <x:c r="R2648" s="8" t="n">
        <x:v>45518</x:v>
      </x:c>
      <x:c r="S2648" s="4" t="str">
        <x:v>Retained</x:v>
      </x:c>
      <x:c r="T2648" s="10" t="n">
        <x:v>0.145833</x:v>
      </x:c>
      <x:c r="U2648" s="4" t="str">
        <x:v>Excluded / unlabelled</x:v>
      </x:c>
    </x:row>
    <x:row r="2649" ht="34" customHeight="1">
      <x:c r="A2649" s="4" t="str">
        <x:v>RS-02648</x:v>
      </x:c>
      <x:c r="B2649" s="8" t="n">
        <x:v>45459</x:v>
      </x:c>
      <x:c r="C2649" s="4" t="str">
        <x:v>PRJ-008</x:v>
      </x:c>
      <x:c r="D2649" s="4" t="str">
        <x:v>Retail</x:v>
      </x:c>
      <x:c r="E2649" s="4" t="str">
        <x:v>Enquiry</x:v>
      </x:c>
      <x:c r="F2649" s="4" t="str">
        <x:v>CUS-02648</x:v>
      </x:c>
      <x:c r="G2649" s="4" t="str">
        <x:v>UNIT-02648</x:v>
      </x:c>
      <x:c r="H2649" s="9" t="n">
        <x:v>23500000</x:v>
      </x:c>
      <x:c r="I2649" s="10" t="n">
        <x:v>0.1</x:v>
      </x:c>
      <x:c r="J2649" s="11" t="n">
        <x:v>4</x:v>
      </x:c>
      <x:c r="K2649" s="11" t="n">
        <x:v>4</x:v>
      </x:c>
      <x:c r="L2649" s="11" t="n">
        <x:v>0</x:v>
      </x:c>
      <x:c r="M2649" s="9" t="n">
        <x:f>ROUND(H2649*(1-I2649),2)</x:f>
        <x:v>21150000</x:v>
      </x:c>
      <x:c r="N2649" s="4" t="str">
        <x:v>Sales head</x:v>
      </x:c>
      <x:c r="O2649" s="4"/>
      <x:c r="P2649" s="9" t="n">
        <x:v>0</x:v>
      </x:c>
      <x:c r="Q2649" s="11" t="n">
        <x:v>0</x:v>
      </x:c>
      <x:c r="R2649" s="8" t="n">
        <x:v>45519</x:v>
      </x:c>
      <x:c r="S2649" s="4" t="str">
        <x:v>Retained</x:v>
      </x:c>
      <x:c r="T2649" s="10" t="n">
        <x:v>0.226277</x:v>
      </x:c>
      <x:c r="U2649" s="4" t="str">
        <x:v>Excluded / unlabelled</x:v>
      </x:c>
    </x:row>
    <x:row r="2650" ht="34" customHeight="1">
      <x:c r="A2650" s="4" t="str">
        <x:v>RS-02649</x:v>
      </x:c>
      <x:c r="B2650" s="8" t="n">
        <x:v>45460</x:v>
      </x:c>
      <x:c r="C2650" s="4" t="str">
        <x:v>PRJ-009</x:v>
      </x:c>
      <x:c r="D2650" s="4" t="str">
        <x:v>Villa</x:v>
      </x:c>
      <x:c r="E2650" s="4" t="str">
        <x:v>Reserved</x:v>
      </x:c>
      <x:c r="F2650" s="4" t="str">
        <x:v>CUS-02649</x:v>
      </x:c>
      <x:c r="G2650" s="4" t="str">
        <x:v>UNIT-02649</x:v>
      </x:c>
      <x:c r="H2650" s="9" t="n">
        <x:v>10300000</x:v>
      </x:c>
      <x:c r="I2650" s="10" t="n">
        <x:v>0.03</x:v>
      </x:c>
      <x:c r="J2650" s="11" t="n">
        <x:v>0</x:v>
      </x:c>
      <x:c r="K2650" s="11" t="n">
        <x:v>3</x:v>
      </x:c>
      <x:c r="L2650" s="11" t="n">
        <x:v>1</x:v>
      </x:c>
      <x:c r="M2650" s="9" t="n">
        <x:f>ROUND(H2650*(1-I2650),2)</x:f>
        <x:v>9991000</x:v>
      </x:c>
      <x:c r="N2650" s="4" t="str">
        <x:v>Sales manager</x:v>
      </x:c>
      <x:c r="O2650" s="4"/>
      <x:c r="P2650" s="9" t="n">
        <x:v>0</x:v>
      </x:c>
      <x:c r="Q2650" s="11" t="n">
        <x:v>0</x:v>
      </x:c>
      <x:c r="R2650" s="8" t="n">
        <x:v>45520</x:v>
      </x:c>
      <x:c r="S2650" s="4" t="str">
        <x:v>Retained</x:v>
      </x:c>
      <x:c r="T2650" s="10" t="n">
        <x:v>0.072165</x:v>
      </x:c>
      <x:c r="U2650" s="4" t="str">
        <x:v>Excluded / unlabelled</x:v>
      </x:c>
    </x:row>
    <x:row r="2651" ht="34" customHeight="1">
      <x:c r="A2651" s="4" t="str">
        <x:v>RS-02650</x:v>
      </x:c>
      <x:c r="B2651" s="8" t="n">
        <x:v>45461</x:v>
      </x:c>
      <x:c r="C2651" s="4" t="str">
        <x:v>PRJ-010</x:v>
      </x:c>
      <x:c r="D2651" s="4" t="str">
        <x:v>Apartment</x:v>
      </x:c>
      <x:c r="E2651" s="4" t="str">
        <x:v>Booked</x:v>
      </x:c>
      <x:c r="F2651" s="4" t="str">
        <x:v>CUS-02650</x:v>
      </x:c>
      <x:c r="G2651" s="4" t="str">
        <x:v>UNIT-02650</x:v>
      </x:c>
      <x:c r="H2651" s="9" t="n">
        <x:v>22700000</x:v>
      </x:c>
      <x:c r="I2651" s="10" t="n">
        <x:v>0.11</x:v>
      </x:c>
      <x:c r="J2651" s="11" t="n">
        <x:v>5</x:v>
      </x:c>
      <x:c r="K2651" s="11" t="n">
        <x:v>6</x:v>
      </x:c>
      <x:c r="L2651" s="11" t="n">
        <x:v>0</x:v>
      </x:c>
      <x:c r="M2651" s="9" t="n">
        <x:f>ROUND(H2651*(1-I2651),2)</x:f>
        <x:v>20203000</x:v>
      </x:c>
      <x:c r="N2651" s="4" t="str">
        <x:v>Sales head</x:v>
      </x:c>
      <x:c r="O2651" s="4" t="str">
        <x:v>BOOK-02650</x:v>
      </x:c>
      <x:c r="P2651" s="9" t="n">
        <x:v>10101500</x:v>
      </x:c>
      <x:c r="Q2651" s="11" t="n">
        <x:v>0</x:v>
      </x:c>
      <x:c r="R2651" s="8" t="n">
        <x:v>45521</x:v>
      </x:c>
      <x:c r="S2651" s="4" t="str">
        <x:v>Retained</x:v>
      </x:c>
      <x:c r="T2651" s="10" t="n">
        <x:v>0.226277</x:v>
      </x:c>
      <x:c r="U2651" s="4" t="str">
        <x:v>Excluded / unlabelled</x:v>
      </x:c>
    </x:row>
    <x:row r="2652" ht="34" customHeight="1">
      <x:c r="A2652" s="4" t="str">
        <x:v>RS-02651</x:v>
      </x:c>
      <x:c r="B2652" s="8" t="n">
        <x:v>45462</x:v>
      </x:c>
      <x:c r="C2652" s="4" t="str">
        <x:v>PRJ-011</x:v>
      </x:c>
      <x:c r="D2652" s="4" t="str">
        <x:v>Retail</x:v>
      </x:c>
      <x:c r="E2652" s="4" t="str">
        <x:v>Cancelled</x:v>
      </x:c>
      <x:c r="F2652" s="4" t="str">
        <x:v>CUS-02651</x:v>
      </x:c>
      <x:c r="G2652" s="4" t="str">
        <x:v>UNIT-02651</x:v>
      </x:c>
      <x:c r="H2652" s="9" t="n">
        <x:v>22900000</x:v>
      </x:c>
      <x:c r="I2652" s="10" t="n">
        <x:v>0.05</x:v>
      </x:c>
      <x:c r="J2652" s="11" t="n">
        <x:v>7</x:v>
      </x:c>
      <x:c r="K2652" s="11" t="n">
        <x:v>6</x:v>
      </x:c>
      <x:c r="L2652" s="11" t="n">
        <x:v>0</x:v>
      </x:c>
      <x:c r="M2652" s="9" t="n">
        <x:f>ROUND(H2652*(1-I2652),2)</x:f>
        <x:v>21755000</x:v>
      </x:c>
      <x:c r="N2652" s="4" t="str">
        <x:v>Sales manager</x:v>
      </x:c>
      <x:c r="O2652" s="4"/>
      <x:c r="P2652" s="9" t="n">
        <x:v>0</x:v>
      </x:c>
      <x:c r="Q2652" s="11" t="n">
        <x:v>1</x:v>
      </x:c>
      <x:c r="R2652" s="8" t="n">
        <x:v>45522</x:v>
      </x:c>
      <x:c r="S2652" s="4" t="str">
        <x:v>Lost / cancelled</x:v>
      </x:c>
      <x:c r="T2652" s="10" t="n">
        <x:v>0.226277</x:v>
      </x:c>
      <x:c r="U2652" s="4" t="str">
        <x:v>Excluded / unlabelled</x:v>
      </x:c>
    </x:row>
    <x:row r="2653" ht="34" customHeight="1">
      <x:c r="A2653" s="4" t="str">
        <x:v>RS-02652</x:v>
      </x:c>
      <x:c r="B2653" s="8" t="n">
        <x:v>45463</x:v>
      </x:c>
      <x:c r="C2653" s="4" t="str">
        <x:v>PRJ-012</x:v>
      </x:c>
      <x:c r="D2653" s="4" t="str">
        <x:v>Villa</x:v>
      </x:c>
      <x:c r="E2653" s="4" t="str">
        <x:v>Reserved</x:v>
      </x:c>
      <x:c r="F2653" s="4" t="str">
        <x:v>CUS-02652</x:v>
      </x:c>
      <x:c r="G2653" s="4" t="str">
        <x:v>UNIT-02652</x:v>
      </x:c>
      <x:c r="H2653" s="9" t="n">
        <x:v>5600000</x:v>
      </x:c>
      <x:c r="I2653" s="10" t="n">
        <x:v>0.02</x:v>
      </x:c>
      <x:c r="J2653" s="11" t="n">
        <x:v>11</x:v>
      </x:c>
      <x:c r="K2653" s="11" t="n">
        <x:v>2</x:v>
      </x:c>
      <x:c r="L2653" s="11" t="n">
        <x:v>0</x:v>
      </x:c>
      <x:c r="M2653" s="9" t="n">
        <x:f>ROUND(H2653*(1-I2653),2)</x:f>
        <x:v>5488000</x:v>
      </x:c>
      <x:c r="N2653" s="4" t="str">
        <x:v>Sales manager</x:v>
      </x:c>
      <x:c r="O2653" s="4"/>
      <x:c r="P2653" s="9" t="n">
        <x:v>0</x:v>
      </x:c>
      <x:c r="Q2653" s="11" t="n">
        <x:v>1</x:v>
      </x:c>
      <x:c r="R2653" s="8" t="n">
        <x:v>45523</x:v>
      </x:c>
      <x:c r="S2653" s="4" t="str">
        <x:v>Lost / cancelled</x:v>
      </x:c>
      <x:c r="T2653" s="10" t="n">
        <x:v>0.305556</x:v>
      </x:c>
      <x:c r="U2653" s="4" t="str">
        <x:v>Excluded / unlabelled</x:v>
      </x:c>
    </x:row>
    <x:row r="2654" ht="34" customHeight="1">
      <x:c r="A2654" s="4" t="str">
        <x:v>RS-02653</x:v>
      </x:c>
      <x:c r="B2654" s="8" t="n">
        <x:v>45464</x:v>
      </x:c>
      <x:c r="C2654" s="4" t="str">
        <x:v>PRJ-013</x:v>
      </x:c>
      <x:c r="D2654" s="4" t="str">
        <x:v>Retail</x:v>
      </x:c>
      <x:c r="E2654" s="4" t="str">
        <x:v>Booked</x:v>
      </x:c>
      <x:c r="F2654" s="4" t="str">
        <x:v>CUS-02653</x:v>
      </x:c>
      <x:c r="G2654" s="4" t="str">
        <x:v>UNIT-02653</x:v>
      </x:c>
      <x:c r="H2654" s="9" t="n">
        <x:v>16600000</x:v>
      </x:c>
      <x:c r="I2654" s="10" t="n">
        <x:v>0.09</x:v>
      </x:c>
      <x:c r="J2654" s="11" t="n">
        <x:v>12</x:v>
      </x:c>
      <x:c r="K2654" s="11" t="n">
        <x:v>0</x:v>
      </x:c>
      <x:c r="L2654" s="11" t="n">
        <x:v>1</x:v>
      </x:c>
      <x:c r="M2654" s="9" t="n">
        <x:f>ROUND(H2654*(1-I2654),2)</x:f>
        <x:v>15106000</x:v>
      </x:c>
      <x:c r="N2654" s="4" t="str">
        <x:v>Sales head</x:v>
      </x:c>
      <x:c r="O2654" s="4" t="str">
        <x:v>BOOK-02653</x:v>
      </x:c>
      <x:c r="P2654" s="9" t="n">
        <x:v>3776500</x:v>
      </x:c>
      <x:c r="Q2654" s="11" t="n">
        <x:v>0</x:v>
      </x:c>
      <x:c r="R2654" s="8" t="n">
        <x:v>45524</x:v>
      </x:c>
      <x:c r="S2654" s="4" t="str">
        <x:v>Retained</x:v>
      </x:c>
      <x:c r="T2654" s="10" t="n">
        <x:v>0.351536</x:v>
      </x:c>
      <x:c r="U2654" s="4" t="str">
        <x:v>Excluded / unlabelled</x:v>
      </x:c>
    </x:row>
    <x:row r="2655" ht="34" customHeight="1">
      <x:c r="A2655" s="4" t="str">
        <x:v>RS-02654</x:v>
      </x:c>
      <x:c r="B2655" s="8" t="n">
        <x:v>45465</x:v>
      </x:c>
      <x:c r="C2655" s="4" t="str">
        <x:v>PRJ-014</x:v>
      </x:c>
      <x:c r="D2655" s="4" t="str">
        <x:v>Retail</x:v>
      </x:c>
      <x:c r="E2655" s="4" t="str">
        <x:v>Handed over</x:v>
      </x:c>
      <x:c r="F2655" s="4" t="str">
        <x:v>CUS-02654</x:v>
      </x:c>
      <x:c r="G2655" s="4" t="str">
        <x:v>UNIT-02654</x:v>
      </x:c>
      <x:c r="H2655" s="9" t="n">
        <x:v>18700000</x:v>
      </x:c>
      <x:c r="I2655" s="10" t="n">
        <x:v>0.08</x:v>
      </x:c>
      <x:c r="J2655" s="11" t="n">
        <x:v>0</x:v>
      </x:c>
      <x:c r="K2655" s="11" t="n">
        <x:v>1</x:v>
      </x:c>
      <x:c r="L2655" s="11" t="n">
        <x:v>1</x:v>
      </x:c>
      <x:c r="M2655" s="9" t="n">
        <x:f>ROUND(H2655*(1-I2655),2)</x:f>
        <x:v>17204000</x:v>
      </x:c>
      <x:c r="N2655" s="4" t="str">
        <x:v>Sales head</x:v>
      </x:c>
      <x:c r="O2655" s="4" t="str">
        <x:v>BOOK-02654</x:v>
      </x:c>
      <x:c r="P2655" s="9" t="n">
        <x:v>17204000</x:v>
      </x:c>
      <x:c r="Q2655" s="11" t="n">
        <x:v>0</x:v>
      </x:c>
      <x:c r="R2655" s="8" t="n">
        <x:v>45525</x:v>
      </x:c>
      <x:c r="S2655" s="4" t="str">
        <x:v>Retained</x:v>
      </x:c>
      <x:c r="T2655" s="10" t="n">
        <x:v>0.204152</x:v>
      </x:c>
      <x:c r="U2655" s="4" t="str">
        <x:v>Excluded / unlabelled</x:v>
      </x:c>
    </x:row>
    <x:row r="2656" ht="34" customHeight="1">
      <x:c r="A2656" s="4" t="str">
        <x:v>RS-02655</x:v>
      </x:c>
      <x:c r="B2656" s="8" t="n">
        <x:v>45466</x:v>
      </x:c>
      <x:c r="C2656" s="4" t="str">
        <x:v>PRJ-015</x:v>
      </x:c>
      <x:c r="D2656" s="4" t="str">
        <x:v>Retail</x:v>
      </x:c>
      <x:c r="E2656" s="4" t="str">
        <x:v>Enquiry</x:v>
      </x:c>
      <x:c r="F2656" s="4" t="str">
        <x:v>CUS-02655</x:v>
      </x:c>
      <x:c r="G2656" s="4" t="str">
        <x:v>UNIT-02655</x:v>
      </x:c>
      <x:c r="H2656" s="9" t="n">
        <x:v>14900000</x:v>
      </x:c>
      <x:c r="I2656" s="10" t="n">
        <x:v>0.11</x:v>
      </x:c>
      <x:c r="J2656" s="11" t="n">
        <x:v>8</x:v>
      </x:c>
      <x:c r="K2656" s="11" t="n">
        <x:v>5</x:v>
      </x:c>
      <x:c r="L2656" s="11" t="n">
        <x:v>1</x:v>
      </x:c>
      <x:c r="M2656" s="9" t="n">
        <x:f>ROUND(H2656*(1-I2656),2)</x:f>
        <x:v>13261000</x:v>
      </x:c>
      <x:c r="N2656" s="4" t="str">
        <x:v>Sales head</x:v>
      </x:c>
      <x:c r="O2656" s="4"/>
      <x:c r="P2656" s="9" t="n">
        <x:v>0</x:v>
      </x:c>
      <x:c r="Q2656" s="11" t="n">
        <x:v>1</x:v>
      </x:c>
      <x:c r="R2656" s="8" t="n">
        <x:v>45526</x:v>
      </x:c>
      <x:c r="S2656" s="4" t="str">
        <x:v>Lost / cancelled</x:v>
      </x:c>
      <x:c r="T2656" s="10" t="n">
        <x:v>0.310195</x:v>
      </x:c>
      <x:c r="U2656" s="4" t="str">
        <x:v>Excluded / unlabelled</x:v>
      </x:c>
    </x:row>
    <x:row r="2657" ht="34" customHeight="1">
      <x:c r="A2657" s="4" t="str">
        <x:v>RS-02656</x:v>
      </x:c>
      <x:c r="B2657" s="8" t="n">
        <x:v>45467</x:v>
      </x:c>
      <x:c r="C2657" s="4" t="str">
        <x:v>PRJ-016</x:v>
      </x:c>
      <x:c r="D2657" s="4" t="str">
        <x:v>Office</x:v>
      </x:c>
      <x:c r="E2657" s="4" t="str">
        <x:v>Booked</x:v>
      </x:c>
      <x:c r="F2657" s="4" t="str">
        <x:v>CUS-02656</x:v>
      </x:c>
      <x:c r="G2657" s="4" t="str">
        <x:v>UNIT-02656</x:v>
      </x:c>
      <x:c r="H2657" s="9" t="n">
        <x:v>19000000</x:v>
      </x:c>
      <x:c r="I2657" s="10" t="n">
        <x:v>0.02</x:v>
      </x:c>
      <x:c r="J2657" s="11" t="n">
        <x:v>1</x:v>
      </x:c>
      <x:c r="K2657" s="11" t="n">
        <x:v>2</x:v>
      </x:c>
      <x:c r="L2657" s="11" t="n">
        <x:v>0</x:v>
      </x:c>
      <x:c r="M2657" s="9" t="n">
        <x:f>ROUND(H2657*(1-I2657),2)</x:f>
        <x:v>18620000</x:v>
      </x:c>
      <x:c r="N2657" s="4" t="str">
        <x:v>Sales manager</x:v>
      </x:c>
      <x:c r="O2657" s="4" t="str">
        <x:v>BOOK-02656</x:v>
      </x:c>
      <x:c r="P2657" s="9" t="n">
        <x:v>1862000</x:v>
      </x:c>
      <x:c r="Q2657" s="11" t="n">
        <x:v>0</x:v>
      </x:c>
      <x:c r="R2657" s="8" t="n">
        <x:v>45527</x:v>
      </x:c>
      <x:c r="S2657" s="4" t="str">
        <x:v>Retained</x:v>
      </x:c>
      <x:c r="T2657" s="10" t="n">
        <x:v>0.072165</x:v>
      </x:c>
      <x:c r="U2657" s="4" t="str">
        <x:v>Excluded / unlabelled</x:v>
      </x:c>
    </x:row>
    <x:row r="2658" ht="34" customHeight="1">
      <x:c r="A2658" s="4" t="str">
        <x:v>RS-02657</x:v>
      </x:c>
      <x:c r="B2658" s="8" t="n">
        <x:v>45468</x:v>
      </x:c>
      <x:c r="C2658" s="4" t="str">
        <x:v>PRJ-017</x:v>
      </x:c>
      <x:c r="D2658" s="4" t="str">
        <x:v>Villa</x:v>
      </x:c>
      <x:c r="E2658" s="4" t="str">
        <x:v>Cancelled</x:v>
      </x:c>
      <x:c r="F2658" s="4" t="str">
        <x:v>CUS-02657</x:v>
      </x:c>
      <x:c r="G2658" s="4" t="str">
        <x:v>UNIT-02657</x:v>
      </x:c>
      <x:c r="H2658" s="9" t="n">
        <x:v>21800000</x:v>
      </x:c>
      <x:c r="I2658" s="10" t="n">
        <x:v>0.05</x:v>
      </x:c>
      <x:c r="J2658" s="11" t="n">
        <x:v>0</x:v>
      </x:c>
      <x:c r="K2658" s="11" t="n">
        <x:v>10</x:v>
      </x:c>
      <x:c r="L2658" s="11" t="n">
        <x:v>1</x:v>
      </x:c>
      <x:c r="M2658" s="9" t="n">
        <x:f>ROUND(H2658*(1-I2658),2)</x:f>
        <x:v>20710000</x:v>
      </x:c>
      <x:c r="N2658" s="4" t="str">
        <x:v>Sales manager</x:v>
      </x:c>
      <x:c r="O2658" s="4"/>
      <x:c r="P2658" s="9" t="n">
        <x:v>0</x:v>
      </x:c>
      <x:c r="Q2658" s="11" t="n">
        <x:v>1</x:v>
      </x:c>
      <x:c r="R2658" s="8" t="n">
        <x:v>45528</x:v>
      </x:c>
      <x:c r="S2658" s="4" t="str">
        <x:v>Lost / cancelled</x:v>
      </x:c>
      <x:c r="T2658" s="10" t="n">
        <x:v>0.204152</x:v>
      </x:c>
      <x:c r="U2658" s="4" t="str">
        <x:v>Excluded / unlabelled</x:v>
      </x:c>
    </x:row>
    <x:row r="2659" ht="34" customHeight="1">
      <x:c r="A2659" s="4" t="str">
        <x:v>RS-02658</x:v>
      </x:c>
      <x:c r="B2659" s="8" t="n">
        <x:v>45469</x:v>
      </x:c>
      <x:c r="C2659" s="4" t="str">
        <x:v>PRJ-018</x:v>
      </x:c>
      <x:c r="D2659" s="4" t="str">
        <x:v>Villa</x:v>
      </x:c>
      <x:c r="E2659" s="4" t="str">
        <x:v>Reserved</x:v>
      </x:c>
      <x:c r="F2659" s="4" t="str">
        <x:v>CUS-02658</x:v>
      </x:c>
      <x:c r="G2659" s="4" t="str">
        <x:v>UNIT-02658</x:v>
      </x:c>
      <x:c r="H2659" s="9" t="n">
        <x:v>8100000</x:v>
      </x:c>
      <x:c r="I2659" s="10" t="n">
        <x:v>0.01</x:v>
      </x:c>
      <x:c r="J2659" s="11" t="n">
        <x:v>7</x:v>
      </x:c>
      <x:c r="K2659" s="11" t="n">
        <x:v>4</x:v>
      </x:c>
      <x:c r="L2659" s="11" t="n">
        <x:v>0</x:v>
      </x:c>
      <x:c r="M2659" s="9" t="n">
        <x:f>ROUND(H2659*(1-I2659),2)</x:f>
        <x:v>8019000</x:v>
      </x:c>
      <x:c r="N2659" s="4" t="str">
        <x:v>Sales manager</x:v>
      </x:c>
      <x:c r="O2659" s="4"/>
      <x:c r="P2659" s="9" t="n">
        <x:v>0</x:v>
      </x:c>
      <x:c r="Q2659" s="11" t="n">
        <x:v>0</x:v>
      </x:c>
      <x:c r="R2659" s="8" t="n">
        <x:v>45529</x:v>
      </x:c>
      <x:c r="S2659" s="4" t="str">
        <x:v>Retained</x:v>
      </x:c>
      <x:c r="T2659" s="10" t="n">
        <x:v>0.298969</x:v>
      </x:c>
      <x:c r="U2659" s="4" t="str">
        <x:v>Excluded / unlabelled</x:v>
      </x:c>
    </x:row>
    <x:row r="2660" ht="34" customHeight="1">
      <x:c r="A2660" s="4" t="str">
        <x:v>RS-02659</x:v>
      </x:c>
      <x:c r="B2660" s="8" t="n">
        <x:v>45470</x:v>
      </x:c>
      <x:c r="C2660" s="4" t="str">
        <x:v>PRJ-019</x:v>
      </x:c>
      <x:c r="D2660" s="4" t="str">
        <x:v>Villa</x:v>
      </x:c>
      <x:c r="E2660" s="4" t="str">
        <x:v>Agreement signed</x:v>
      </x:c>
      <x:c r="F2660" s="4" t="str">
        <x:v>CUS-02659</x:v>
      </x:c>
      <x:c r="G2660" s="4" t="str">
        <x:v>UNIT-02659</x:v>
      </x:c>
      <x:c r="H2660" s="9" t="n">
        <x:v>7500000</x:v>
      </x:c>
      <x:c r="I2660" s="10" t="n">
        <x:v>0.06</x:v>
      </x:c>
      <x:c r="J2660" s="11" t="n">
        <x:v>9</x:v>
      </x:c>
      <x:c r="K2660" s="11" t="n">
        <x:v>10</x:v>
      </x:c>
      <x:c r="L2660" s="11" t="n">
        <x:v>0</x:v>
      </x:c>
      <x:c r="M2660" s="9" t="n">
        <x:f>ROUND(H2660*(1-I2660),2)</x:f>
        <x:v>7050000</x:v>
      </x:c>
      <x:c r="N2660" s="4" t="str">
        <x:v>Sales manager</x:v>
      </x:c>
      <x:c r="O2660" s="4" t="str">
        <x:v>BOOK-02659</x:v>
      </x:c>
      <x:c r="P2660" s="9" t="n">
        <x:v>3525000</x:v>
      </x:c>
      <x:c r="Q2660" s="11" t="n">
        <x:v>0</x:v>
      </x:c>
      <x:c r="R2660" s="8" t="n">
        <x:v>45530</x:v>
      </x:c>
      <x:c r="S2660" s="4" t="str">
        <x:v>Retained</x:v>
      </x:c>
      <x:c r="T2660" s="10" t="n">
        <x:v>0.310195</x:v>
      </x:c>
      <x:c r="U2660" s="4" t="str">
        <x:v>Excluded / unlabelled</x:v>
      </x:c>
    </x:row>
    <x:row r="2661" ht="34" customHeight="1">
      <x:c r="A2661" s="4" t="str">
        <x:v>RS-02660</x:v>
      </x:c>
      <x:c r="B2661" s="8" t="n">
        <x:v>45471</x:v>
      </x:c>
      <x:c r="C2661" s="4" t="str">
        <x:v>PRJ-020</x:v>
      </x:c>
      <x:c r="D2661" s="4" t="str">
        <x:v>Apartment</x:v>
      </x:c>
      <x:c r="E2661" s="4" t="str">
        <x:v>Booked</x:v>
      </x:c>
      <x:c r="F2661" s="4" t="str">
        <x:v>CUS-02660</x:v>
      </x:c>
      <x:c r="G2661" s="4" t="str">
        <x:v>UNIT-02660</x:v>
      </x:c>
      <x:c r="H2661" s="9" t="n">
        <x:v>21100000</x:v>
      </x:c>
      <x:c r="I2661" s="10" t="n">
        <x:v>0.07</x:v>
      </x:c>
      <x:c r="J2661" s="11" t="n">
        <x:v>11</x:v>
      </x:c>
      <x:c r="K2661" s="11" t="n">
        <x:v>3</x:v>
      </x:c>
      <x:c r="L2661" s="11" t="n">
        <x:v>0</x:v>
      </x:c>
      <x:c r="M2661" s="9" t="n">
        <x:f>ROUND(H2661*(1-I2661),2)</x:f>
        <x:v>19623000</x:v>
      </x:c>
      <x:c r="N2661" s="4" t="str">
        <x:v>Sales manager</x:v>
      </x:c>
      <x:c r="O2661" s="4" t="str">
        <x:v>BOOK-02660</x:v>
      </x:c>
      <x:c r="P2661" s="9" t="n">
        <x:v>19623000</x:v>
      </x:c>
      <x:c r="Q2661" s="11" t="n">
        <x:v>0</x:v>
      </x:c>
      <x:c r="R2661" s="8" t="n">
        <x:v>45531</x:v>
      </x:c>
      <x:c r="S2661" s="4" t="str">
        <x:v>Retained</x:v>
      </x:c>
      <x:c r="T2661" s="10" t="n">
        <x:v>0.351536</x:v>
      </x:c>
      <x:c r="U2661" s="4" t="str">
        <x:v>Excluded / unlabelled</x:v>
      </x:c>
    </x:row>
    <x:row r="2662" ht="34" customHeight="1">
      <x:c r="A2662" s="4" t="str">
        <x:v>RS-02661</x:v>
      </x:c>
      <x:c r="B2662" s="8" t="n">
        <x:v>45444</x:v>
      </x:c>
      <x:c r="C2662" s="4" t="str">
        <x:v>PRJ-001</x:v>
      </x:c>
      <x:c r="D2662" s="4" t="str">
        <x:v>Apartment</x:v>
      </x:c>
      <x:c r="E2662" s="4" t="str">
        <x:v>Agreement signed</x:v>
      </x:c>
      <x:c r="F2662" s="4" t="str">
        <x:v>CUS-02661</x:v>
      </x:c>
      <x:c r="G2662" s="4" t="str">
        <x:v>UNIT-02661</x:v>
      </x:c>
      <x:c r="H2662" s="9" t="n">
        <x:v>20900000</x:v>
      </x:c>
      <x:c r="I2662" s="10" t="n">
        <x:v>0.08</x:v>
      </x:c>
      <x:c r="J2662" s="11" t="n">
        <x:v>7</x:v>
      </x:c>
      <x:c r="K2662" s="11" t="n">
        <x:v>7</x:v>
      </x:c>
      <x:c r="L2662" s="11" t="n">
        <x:v>0</x:v>
      </x:c>
      <x:c r="M2662" s="9" t="n">
        <x:f>ROUND(H2662*(1-I2662),2)</x:f>
        <x:v>19228000</x:v>
      </x:c>
      <x:c r="N2662" s="4" t="str">
        <x:v>Sales head</x:v>
      </x:c>
      <x:c r="O2662" s="4" t="str">
        <x:v>BOOK-02661</x:v>
      </x:c>
      <x:c r="P2662" s="9" t="n">
        <x:v>4807000</x:v>
      </x:c>
      <x:c r="Q2662" s="11" t="n">
        <x:v>0</x:v>
      </x:c>
      <x:c r="R2662" s="8" t="n">
        <x:v>45504</x:v>
      </x:c>
      <x:c r="S2662" s="4" t="str">
        <x:v>Retained</x:v>
      </x:c>
      <x:c r="T2662" s="10" t="n">
        <x:v>0.226277</x:v>
      </x:c>
      <x:c r="U2662" s="4" t="str">
        <x:v>Excluded / unlabelled</x:v>
      </x:c>
    </x:row>
    <x:row r="2663" ht="34" customHeight="1">
      <x:c r="A2663" s="4" t="str">
        <x:v>RS-02662</x:v>
      </x:c>
      <x:c r="B2663" s="8" t="n">
        <x:v>45445</x:v>
      </x:c>
      <x:c r="C2663" s="4" t="str">
        <x:v>PRJ-002</x:v>
      </x:c>
      <x:c r="D2663" s="4" t="str">
        <x:v>Retail</x:v>
      </x:c>
      <x:c r="E2663" s="4" t="str">
        <x:v>Cancelled</x:v>
      </x:c>
      <x:c r="F2663" s="4" t="str">
        <x:v>CUS-02662</x:v>
      </x:c>
      <x:c r="G2663" s="4" t="str">
        <x:v>UNIT-02662</x:v>
      </x:c>
      <x:c r="H2663" s="9" t="n">
        <x:v>24600000</x:v>
      </x:c>
      <x:c r="I2663" s="10" t="n">
        <x:v>0.05</x:v>
      </x:c>
      <x:c r="J2663" s="11" t="n">
        <x:v>4</x:v>
      </x:c>
      <x:c r="K2663" s="11" t="n">
        <x:v>6</x:v>
      </x:c>
      <x:c r="L2663" s="11" t="n">
        <x:v>1</x:v>
      </x:c>
      <x:c r="M2663" s="9" t="n">
        <x:f>ROUND(H2663*(1-I2663),2)</x:f>
        <x:v>23370000</x:v>
      </x:c>
      <x:c r="N2663" s="4" t="str">
        <x:v>Sales manager</x:v>
      </x:c>
      <x:c r="O2663" s="4"/>
      <x:c r="P2663" s="9" t="n">
        <x:v>0</x:v>
      </x:c>
      <x:c r="Q2663" s="11" t="n">
        <x:v>1</x:v>
      </x:c>
      <x:c r="R2663" s="8" t="n">
        <x:v>45505</x:v>
      </x:c>
      <x:c r="S2663" s="4" t="str">
        <x:v>Lost / cancelled</x:v>
      </x:c>
      <x:c r="T2663" s="10" t="n">
        <x:v>0.291946</x:v>
      </x:c>
      <x:c r="U2663" s="4" t="str">
        <x:v>Excluded / unlabelled</x:v>
      </x:c>
    </x:row>
    <x:row r="2664" ht="34" customHeight="1">
      <x:c r="A2664" s="4" t="str">
        <x:v>RS-02663</x:v>
      </x:c>
      <x:c r="B2664" s="8" t="n">
        <x:v>45446</x:v>
      </x:c>
      <x:c r="C2664" s="4" t="str">
        <x:v>PRJ-003</x:v>
      </x:c>
      <x:c r="D2664" s="4" t="str">
        <x:v>Villa</x:v>
      </x:c>
      <x:c r="E2664" s="4" t="str">
        <x:v>Enquiry</x:v>
      </x:c>
      <x:c r="F2664" s="4" t="str">
        <x:v>CUS-02663</x:v>
      </x:c>
      <x:c r="G2664" s="4" t="str">
        <x:v>UNIT-02663</x:v>
      </x:c>
      <x:c r="H2664" s="9" t="n">
        <x:v>11100000</x:v>
      </x:c>
      <x:c r="I2664" s="10" t="n">
        <x:v>0.08</x:v>
      </x:c>
      <x:c r="J2664" s="11" t="n">
        <x:v>4</x:v>
      </x:c>
      <x:c r="K2664" s="11" t="n">
        <x:v>9</x:v>
      </x:c>
      <x:c r="L2664" s="11" t="n">
        <x:v>1</x:v>
      </x:c>
      <x:c r="M2664" s="9" t="n">
        <x:f>ROUND(H2664*(1-I2664),2)</x:f>
        <x:v>10212000</x:v>
      </x:c>
      <x:c r="N2664" s="4" t="str">
        <x:v>Sales head</x:v>
      </x:c>
      <x:c r="O2664" s="4"/>
      <x:c r="P2664" s="9" t="n">
        <x:v>0</x:v>
      </x:c>
      <x:c r="Q2664" s="11" t="n">
        <x:v>0</x:v>
      </x:c>
      <x:c r="R2664" s="8" t="n">
        <x:v>45506</x:v>
      </x:c>
      <x:c r="S2664" s="4" t="str">
        <x:v>Retained</x:v>
      </x:c>
      <x:c r="T2664" s="10" t="n">
        <x:v>0.291946</x:v>
      </x:c>
      <x:c r="U2664" s="4" t="str">
        <x:v>Excluded / unlabelled</x:v>
      </x:c>
    </x:row>
    <x:row r="2665" ht="34" customHeight="1">
      <x:c r="A2665" s="4" t="str">
        <x:v>RS-02664</x:v>
      </x:c>
      <x:c r="B2665" s="8" t="n">
        <x:v>45447</x:v>
      </x:c>
      <x:c r="C2665" s="4" t="str">
        <x:v>PRJ-004</x:v>
      </x:c>
      <x:c r="D2665" s="4" t="str">
        <x:v>Villa</x:v>
      </x:c>
      <x:c r="E2665" s="4" t="str">
        <x:v>Enquiry</x:v>
      </x:c>
      <x:c r="F2665" s="4" t="str">
        <x:v>CUS-02664</x:v>
      </x:c>
      <x:c r="G2665" s="4" t="str">
        <x:v>UNIT-02664</x:v>
      </x:c>
      <x:c r="H2665" s="9" t="n">
        <x:v>3100000</x:v>
      </x:c>
      <x:c r="I2665" s="10" t="n">
        <x:v>0</x:v>
      </x:c>
      <x:c r="J2665" s="11" t="n">
        <x:v>5</x:v>
      </x:c>
      <x:c r="K2665" s="11" t="n">
        <x:v>8</x:v>
      </x:c>
      <x:c r="L2665" s="11" t="n">
        <x:v>0</x:v>
      </x:c>
      <x:c r="M2665" s="9" t="n">
        <x:f>ROUND(H2665*(1-I2665),2)</x:f>
        <x:v>3100000</x:v>
      </x:c>
      <x:c r="N2665" s="4" t="str">
        <x:v>Sales manager</x:v>
      </x:c>
      <x:c r="O2665" s="4"/>
      <x:c r="P2665" s="9" t="n">
        <x:v>0</x:v>
      </x:c>
      <x:c r="Q2665" s="11" t="n">
        <x:v>0</x:v>
      </x:c>
      <x:c r="R2665" s="8" t="n">
        <x:v>45507</x:v>
      </x:c>
      <x:c r="S2665" s="4" t="str">
        <x:v>Retained</x:v>
      </x:c>
      <x:c r="T2665" s="10" t="n">
        <x:v>0.145299</x:v>
      </x:c>
      <x:c r="U2665" s="4" t="str">
        <x:v>Excluded / unlabelled</x:v>
      </x:c>
    </x:row>
    <x:row r="2666" ht="34" customHeight="1">
      <x:c r="A2666" s="4" t="str">
        <x:v>RS-02665</x:v>
      </x:c>
      <x:c r="B2666" s="8" t="n">
        <x:v>45448</x:v>
      </x:c>
      <x:c r="C2666" s="4" t="str">
        <x:v>PRJ-005</x:v>
      </x:c>
      <x:c r="D2666" s="4" t="str">
        <x:v>Apartment</x:v>
      </x:c>
      <x:c r="E2666" s="4" t="str">
        <x:v>Enquiry</x:v>
      </x:c>
      <x:c r="F2666" s="4" t="str">
        <x:v>CUS-02665</x:v>
      </x:c>
      <x:c r="G2666" s="4" t="str">
        <x:v>UNIT-02665</x:v>
      </x:c>
      <x:c r="H2666" s="9" t="n">
        <x:v>19700000</x:v>
      </x:c>
      <x:c r="I2666" s="10" t="n">
        <x:v>0.04</x:v>
      </x:c>
      <x:c r="J2666" s="11" t="n">
        <x:v>5</x:v>
      </x:c>
      <x:c r="K2666" s="11" t="n">
        <x:v>2</x:v>
      </x:c>
      <x:c r="L2666" s="11" t="n">
        <x:v>0</x:v>
      </x:c>
      <x:c r="M2666" s="9" t="n">
        <x:f>ROUND(H2666*(1-I2666),2)</x:f>
        <x:v>18912000</x:v>
      </x:c>
      <x:c r="N2666" s="4" t="str">
        <x:v>Sales manager</x:v>
      </x:c>
      <x:c r="O2666" s="4"/>
      <x:c r="P2666" s="9" t="n">
        <x:v>0</x:v>
      </x:c>
      <x:c r="Q2666" s="11" t="n">
        <x:v>1</x:v>
      </x:c>
      <x:c r="R2666" s="8" t="n">
        <x:v>45508</x:v>
      </x:c>
      <x:c r="S2666" s="4" t="str">
        <x:v>Lost / cancelled</x:v>
      </x:c>
      <x:c r="T2666" s="10" t="n">
        <x:v>0.226277</x:v>
      </x:c>
      <x:c r="U2666" s="4" t="str">
        <x:v>Excluded / unlabelled</x:v>
      </x:c>
    </x:row>
    <x:row r="2667" ht="34" customHeight="1">
      <x:c r="A2667" s="4" t="str">
        <x:v>RS-02666</x:v>
      </x:c>
      <x:c r="B2667" s="8" t="n">
        <x:v>45449</x:v>
      </x:c>
      <x:c r="C2667" s="4" t="str">
        <x:v>PRJ-006</x:v>
      </x:c>
      <x:c r="D2667" s="4" t="str">
        <x:v>Apartment</x:v>
      </x:c>
      <x:c r="E2667" s="4" t="str">
        <x:v>Reserved</x:v>
      </x:c>
      <x:c r="F2667" s="4" t="str">
        <x:v>CUS-02666</x:v>
      </x:c>
      <x:c r="G2667" s="4" t="str">
        <x:v>UNIT-02666</x:v>
      </x:c>
      <x:c r="H2667" s="9" t="n">
        <x:v>20700000</x:v>
      </x:c>
      <x:c r="I2667" s="10" t="n">
        <x:v>0.09</x:v>
      </x:c>
      <x:c r="J2667" s="11" t="n">
        <x:v>1</x:v>
      </x:c>
      <x:c r="K2667" s="11" t="n">
        <x:v>6</x:v>
      </x:c>
      <x:c r="L2667" s="11" t="n">
        <x:v>1</x:v>
      </x:c>
      <x:c r="M2667" s="9" t="n">
        <x:f>ROUND(H2667*(1-I2667),2)</x:f>
        <x:v>18837000</x:v>
      </x:c>
      <x:c r="N2667" s="4" t="str">
        <x:v>Sales head</x:v>
      </x:c>
      <x:c r="O2667" s="4"/>
      <x:c r="P2667" s="9" t="n">
        <x:v>0</x:v>
      </x:c>
      <x:c r="Q2667" s="11" t="n">
        <x:v>0</x:v>
      </x:c>
      <x:c r="R2667" s="8" t="n">
        <x:v>45509</x:v>
      </x:c>
      <x:c r="S2667" s="4" t="str">
        <x:v>Retained</x:v>
      </x:c>
      <x:c r="T2667" s="10" t="n">
        <x:v>0.145833</x:v>
      </x:c>
      <x:c r="U2667" s="4" t="str">
        <x:v>Excluded / unlabelled</x:v>
      </x:c>
    </x:row>
    <x:row r="2668" ht="34" customHeight="1">
      <x:c r="A2668" s="4" t="str">
        <x:v>RS-02667</x:v>
      </x:c>
      <x:c r="B2668" s="8" t="n">
        <x:v>45450</x:v>
      </x:c>
      <x:c r="C2668" s="4" t="str">
        <x:v>PRJ-007</x:v>
      </x:c>
      <x:c r="D2668" s="4" t="str">
        <x:v>Retail</x:v>
      </x:c>
      <x:c r="E2668" s="4" t="str">
        <x:v>Booked</x:v>
      </x:c>
      <x:c r="F2668" s="4" t="str">
        <x:v>CUS-02667</x:v>
      </x:c>
      <x:c r="G2668" s="4" t="str">
        <x:v>UNIT-02667</x:v>
      </x:c>
      <x:c r="H2668" s="9" t="n">
        <x:v>10300000</x:v>
      </x:c>
      <x:c r="I2668" s="10" t="n">
        <x:v>0.01</x:v>
      </x:c>
      <x:c r="J2668" s="11" t="n">
        <x:v>10</x:v>
      </x:c>
      <x:c r="K2668" s="11" t="n">
        <x:v>5</x:v>
      </x:c>
      <x:c r="L2668" s="11" t="n">
        <x:v>0</x:v>
      </x:c>
      <x:c r="M2668" s="9" t="n">
        <x:f>ROUND(H2668*(1-I2668),2)</x:f>
        <x:v>10197000</x:v>
      </x:c>
      <x:c r="N2668" s="4" t="str">
        <x:v>Sales manager</x:v>
      </x:c>
      <x:c r="O2668" s="4" t="str">
        <x:v>BOOK-02667</x:v>
      </x:c>
      <x:c r="P2668" s="9" t="n">
        <x:v>1019700</x:v>
      </x:c>
      <x:c r="Q2668" s="11" t="n">
        <x:v>0</x:v>
      </x:c>
      <x:c r="R2668" s="8" t="n">
        <x:v>45510</x:v>
      </x:c>
      <x:c r="S2668" s="4" t="str">
        <x:v>Retained</x:v>
      </x:c>
      <x:c r="T2668" s="10" t="n">
        <x:v>0.305556</x:v>
      </x:c>
      <x:c r="U2668" s="4" t="str">
        <x:v>Excluded / unlabelled</x:v>
      </x:c>
    </x:row>
    <x:row r="2669" ht="34" customHeight="1">
      <x:c r="A2669" s="4" t="str">
        <x:v>RS-02668</x:v>
      </x:c>
      <x:c r="B2669" s="8" t="n">
        <x:v>45451</x:v>
      </x:c>
      <x:c r="C2669" s="4" t="str">
        <x:v>PRJ-008</x:v>
      </x:c>
      <x:c r="D2669" s="4" t="str">
        <x:v>Office</x:v>
      </x:c>
      <x:c r="E2669" s="4" t="str">
        <x:v>Cancelled</x:v>
      </x:c>
      <x:c r="F2669" s="4" t="str">
        <x:v>CUS-02668</x:v>
      </x:c>
      <x:c r="G2669" s="4" t="str">
        <x:v>UNIT-02668</x:v>
      </x:c>
      <x:c r="H2669" s="9" t="n">
        <x:v>7200000</x:v>
      </x:c>
      <x:c r="I2669" s="10" t="n">
        <x:v>0.01</x:v>
      </x:c>
      <x:c r="J2669" s="11" t="n">
        <x:v>3</x:v>
      </x:c>
      <x:c r="K2669" s="11" t="n">
        <x:v>4</x:v>
      </x:c>
      <x:c r="L2669" s="11" t="n">
        <x:v>1</x:v>
      </x:c>
      <x:c r="M2669" s="9" t="n">
        <x:f>ROUND(H2669*(1-I2669),2)</x:f>
        <x:v>7128000</x:v>
      </x:c>
      <x:c r="N2669" s="4" t="str">
        <x:v>Sales manager</x:v>
      </x:c>
      <x:c r="O2669" s="4"/>
      <x:c r="P2669" s="9" t="n">
        <x:v>0</x:v>
      </x:c>
      <x:c r="Q2669" s="11" t="n">
        <x:v>1</x:v>
      </x:c>
      <x:c r="R2669" s="8" t="n">
        <x:v>45511</x:v>
      </x:c>
      <x:c r="S2669" s="4" t="str">
        <x:v>Lost / cancelled</x:v>
      </x:c>
      <x:c r="T2669" s="10" t="n">
        <x:v>0.171717</x:v>
      </x:c>
      <x:c r="U2669" s="4" t="str">
        <x:v>Excluded / unlabelled</x:v>
      </x:c>
    </x:row>
    <x:row r="2670" ht="34" customHeight="1">
      <x:c r="A2670" s="4" t="str">
        <x:v>RS-02669</x:v>
      </x:c>
      <x:c r="B2670" s="8" t="n">
        <x:v>45452</x:v>
      </x:c>
      <x:c r="C2670" s="4" t="str">
        <x:v>PRJ-009</x:v>
      </x:c>
      <x:c r="D2670" s="4" t="str">
        <x:v>Apartment</x:v>
      </x:c>
      <x:c r="E2670" s="4" t="str">
        <x:v>Booked</x:v>
      </x:c>
      <x:c r="F2670" s="4" t="str">
        <x:v>CUS-02669</x:v>
      </x:c>
      <x:c r="G2670" s="4" t="str">
        <x:v>UNIT-02669</x:v>
      </x:c>
      <x:c r="H2670" s="9" t="n">
        <x:v>17800000</x:v>
      </x:c>
      <x:c r="I2670" s="10" t="n">
        <x:v>0.06</x:v>
      </x:c>
      <x:c r="J2670" s="11" t="n">
        <x:v>8</x:v>
      </x:c>
      <x:c r="K2670" s="11" t="n">
        <x:v>0</x:v>
      </x:c>
      <x:c r="L2670" s="11" t="n">
        <x:v>1</x:v>
      </x:c>
      <x:c r="M2670" s="9" t="n">
        <x:f>ROUND(H2670*(1-I2670),2)</x:f>
        <x:v>16732000</x:v>
      </x:c>
      <x:c r="N2670" s="4" t="str">
        <x:v>Sales manager</x:v>
      </x:c>
      <x:c r="O2670" s="4" t="str">
        <x:v>BOOK-02669</x:v>
      </x:c>
      <x:c r="P2670" s="9" t="n">
        <x:v>1673200</x:v>
      </x:c>
      <x:c r="Q2670" s="11" t="n">
        <x:v>0</x:v>
      </x:c>
      <x:c r="R2670" s="8" t="n">
        <x:v>45512</x:v>
      </x:c>
      <x:c r="S2670" s="4" t="str">
        <x:v>Retained</x:v>
      </x:c>
      <x:c r="T2670" s="10" t="n">
        <x:v>0.310195</x:v>
      </x:c>
      <x:c r="U2670" s="4" t="str">
        <x:v>Excluded / unlabelled</x:v>
      </x:c>
    </x:row>
    <x:row r="2671" ht="34" customHeight="1">
      <x:c r="A2671" s="4" t="str">
        <x:v>RS-02670</x:v>
      </x:c>
      <x:c r="B2671" s="8" t="n">
        <x:v>45453</x:v>
      </x:c>
      <x:c r="C2671" s="4" t="str">
        <x:v>PRJ-010</x:v>
      </x:c>
      <x:c r="D2671" s="4" t="str">
        <x:v>Apartment</x:v>
      </x:c>
      <x:c r="E2671" s="4" t="str">
        <x:v>Booked</x:v>
      </x:c>
      <x:c r="F2671" s="4" t="str">
        <x:v>CUS-02670</x:v>
      </x:c>
      <x:c r="G2671" s="4" t="str">
        <x:v>UNIT-02670</x:v>
      </x:c>
      <x:c r="H2671" s="9" t="n">
        <x:v>5700000</x:v>
      </x:c>
      <x:c r="I2671" s="10" t="n">
        <x:v>0</x:v>
      </x:c>
      <x:c r="J2671" s="11" t="n">
        <x:v>9</x:v>
      </x:c>
      <x:c r="K2671" s="11" t="n">
        <x:v>0</x:v>
      </x:c>
      <x:c r="L2671" s="11" t="n">
        <x:v>0</x:v>
      </x:c>
      <x:c r="M2671" s="9" t="n">
        <x:f>ROUND(H2671*(1-I2671),2)</x:f>
        <x:v>5700000</x:v>
      </x:c>
      <x:c r="N2671" s="4" t="str">
        <x:v>Sales manager</x:v>
      </x:c>
      <x:c r="O2671" s="4" t="str">
        <x:v>BOOK-02670</x:v>
      </x:c>
      <x:c r="P2671" s="9" t="n">
        <x:v>1425000</x:v>
      </x:c>
      <x:c r="Q2671" s="11" t="n">
        <x:v>0</x:v>
      </x:c>
      <x:c r="R2671" s="8" t="n">
        <x:v>45513</x:v>
      </x:c>
      <x:c r="S2671" s="4" t="str">
        <x:v>Retained</x:v>
      </x:c>
      <x:c r="T2671" s="10" t="n">
        <x:v>0.305556</x:v>
      </x:c>
      <x:c r="U2671" s="4" t="str">
        <x:v>Excluded / unlabelled</x:v>
      </x:c>
    </x:row>
    <x:row r="2672" ht="34" customHeight="1">
      <x:c r="A2672" s="4" t="str">
        <x:v>RS-02671</x:v>
      </x:c>
      <x:c r="B2672" s="8" t="n">
        <x:v>45454</x:v>
      </x:c>
      <x:c r="C2672" s="4" t="str">
        <x:v>PRJ-011</x:v>
      </x:c>
      <x:c r="D2672" s="4" t="str">
        <x:v>Office</x:v>
      </x:c>
      <x:c r="E2672" s="4" t="str">
        <x:v>Agreement signed</x:v>
      </x:c>
      <x:c r="F2672" s="4" t="str">
        <x:v>CUS-02671</x:v>
      </x:c>
      <x:c r="G2672" s="4" t="str">
        <x:v>UNIT-02671</x:v>
      </x:c>
      <x:c r="H2672" s="9" t="n">
        <x:v>19100000</x:v>
      </x:c>
      <x:c r="I2672" s="10" t="n">
        <x:v>0.01</x:v>
      </x:c>
      <x:c r="J2672" s="11" t="n">
        <x:v>5</x:v>
      </x:c>
      <x:c r="K2672" s="11" t="n">
        <x:v>9</x:v>
      </x:c>
      <x:c r="L2672" s="11" t="n">
        <x:v>1</x:v>
      </x:c>
      <x:c r="M2672" s="9" t="n">
        <x:f>ROUND(H2672*(1-I2672),2)</x:f>
        <x:v>18909000</x:v>
      </x:c>
      <x:c r="N2672" s="4" t="str">
        <x:v>Sales manager</x:v>
      </x:c>
      <x:c r="O2672" s="4" t="str">
        <x:v>BOOK-02671</x:v>
      </x:c>
      <x:c r="P2672" s="9" t="n">
        <x:v>18909000</x:v>
      </x:c>
      <x:c r="Q2672" s="11" t="n">
        <x:v>0</x:v>
      </x:c>
      <x:c r="R2672" s="8" t="n">
        <x:v>45514</x:v>
      </x:c>
      <x:c r="S2672" s="4" t="str">
        <x:v>Retained</x:v>
      </x:c>
      <x:c r="T2672" s="10" t="n">
        <x:v>0.145299</x:v>
      </x:c>
      <x:c r="U2672" s="4" t="str">
        <x:v>Excluded / unlabelled</x:v>
      </x:c>
    </x:row>
    <x:row r="2673" ht="34" customHeight="1">
      <x:c r="A2673" s="4" t="str">
        <x:v>RS-02672</x:v>
      </x:c>
      <x:c r="B2673" s="8" t="n">
        <x:v>45455</x:v>
      </x:c>
      <x:c r="C2673" s="4" t="str">
        <x:v>PRJ-012</x:v>
      </x:c>
      <x:c r="D2673" s="4" t="str">
        <x:v>Villa</x:v>
      </x:c>
      <x:c r="E2673" s="4" t="str">
        <x:v>Handed over</x:v>
      </x:c>
      <x:c r="F2673" s="4" t="str">
        <x:v>CUS-02672</x:v>
      </x:c>
      <x:c r="G2673" s="4" t="str">
        <x:v>UNIT-02672</x:v>
      </x:c>
      <x:c r="H2673" s="9" t="n">
        <x:v>17900000</x:v>
      </x:c>
      <x:c r="I2673" s="10" t="n">
        <x:v>0.05</x:v>
      </x:c>
      <x:c r="J2673" s="11" t="n">
        <x:v>12</x:v>
      </x:c>
      <x:c r="K2673" s="11" t="n">
        <x:v>1</x:v>
      </x:c>
      <x:c r="L2673" s="11" t="n">
        <x:v>1</x:v>
      </x:c>
      <x:c r="M2673" s="9" t="n">
        <x:f>ROUND(H2673*(1-I2673),2)</x:f>
        <x:v>17005000</x:v>
      </x:c>
      <x:c r="N2673" s="4" t="str">
        <x:v>Sales manager</x:v>
      </x:c>
      <x:c r="O2673" s="4" t="str">
        <x:v>BOOK-02672</x:v>
      </x:c>
      <x:c r="P2673" s="9" t="n">
        <x:v>4251250</x:v>
      </x:c>
      <x:c r="Q2673" s="11" t="n">
        <x:v>0</x:v>
      </x:c>
      <x:c r="R2673" s="8" t="n">
        <x:v>45515</x:v>
      </x:c>
      <x:c r="S2673" s="4" t="str">
        <x:v>Retained</x:v>
      </x:c>
      <x:c r="T2673" s="10" t="n">
        <x:v>0.351536</x:v>
      </x:c>
      <x:c r="U2673" s="4" t="str">
        <x:v>Excluded / unlabelled</x:v>
      </x:c>
    </x:row>
    <x:row r="2674" ht="34" customHeight="1">
      <x:c r="A2674" s="4" t="str">
        <x:v>RS-02673</x:v>
      </x:c>
      <x:c r="B2674" s="8" t="n">
        <x:v>45456</x:v>
      </x:c>
      <x:c r="C2674" s="4" t="str">
        <x:v>PRJ-013</x:v>
      </x:c>
      <x:c r="D2674" s="4" t="str">
        <x:v>Villa</x:v>
      </x:c>
      <x:c r="E2674" s="4" t="str">
        <x:v>Handed over</x:v>
      </x:c>
      <x:c r="F2674" s="4" t="str">
        <x:v>CUS-02673</x:v>
      </x:c>
      <x:c r="G2674" s="4" t="str">
        <x:v>UNIT-02673</x:v>
      </x:c>
      <x:c r="H2674" s="9" t="n">
        <x:v>11500000</x:v>
      </x:c>
      <x:c r="I2674" s="10" t="n">
        <x:v>0.1</x:v>
      </x:c>
      <x:c r="J2674" s="11" t="n">
        <x:v>7</x:v>
      </x:c>
      <x:c r="K2674" s="11" t="n">
        <x:v>4</x:v>
      </x:c>
      <x:c r="L2674" s="11" t="n">
        <x:v>0</x:v>
      </x:c>
      <x:c r="M2674" s="9" t="n">
        <x:f>ROUND(H2674*(1-I2674),2)</x:f>
        <x:v>10350000</x:v>
      </x:c>
      <x:c r="N2674" s="4" t="str">
        <x:v>Sales head</x:v>
      </x:c>
      <x:c r="O2674" s="4" t="str">
        <x:v>BOOK-02673</x:v>
      </x:c>
      <x:c r="P2674" s="9" t="n">
        <x:v>10350000</x:v>
      </x:c>
      <x:c r="Q2674" s="11" t="n">
        <x:v>0</x:v>
      </x:c>
      <x:c r="R2674" s="8" t="n">
        <x:v>45516</x:v>
      </x:c>
      <x:c r="S2674" s="4" t="str">
        <x:v>Retained</x:v>
      </x:c>
      <x:c r="T2674" s="10" t="n">
        <x:v>0.226277</x:v>
      </x:c>
      <x:c r="U2674" s="4" t="str">
        <x:v>Excluded / unlabelled</x:v>
      </x:c>
    </x:row>
    <x:row r="2675" ht="34" customHeight="1">
      <x:c r="A2675" s="4" t="str">
        <x:v>RS-02674</x:v>
      </x:c>
      <x:c r="B2675" s="8" t="n">
        <x:v>45457</x:v>
      </x:c>
      <x:c r="C2675" s="4" t="str">
        <x:v>PRJ-014</x:v>
      </x:c>
      <x:c r="D2675" s="4" t="str">
        <x:v>Retail</x:v>
      </x:c>
      <x:c r="E2675" s="4" t="str">
        <x:v>Booked</x:v>
      </x:c>
      <x:c r="F2675" s="4" t="str">
        <x:v>CUS-02674</x:v>
      </x:c>
      <x:c r="G2675" s="4" t="str">
        <x:v>UNIT-02674</x:v>
      </x:c>
      <x:c r="H2675" s="9" t="n">
        <x:v>3000000</x:v>
      </x:c>
      <x:c r="I2675" s="10" t="n">
        <x:v>0.02</x:v>
      </x:c>
      <x:c r="J2675" s="11" t="n">
        <x:v>11</x:v>
      </x:c>
      <x:c r="K2675" s="11" t="n">
        <x:v>3</x:v>
      </x:c>
      <x:c r="L2675" s="11" t="n">
        <x:v>1</x:v>
      </x:c>
      <x:c r="M2675" s="9" t="n">
        <x:f>ROUND(H2675*(1-I2675),2)</x:f>
        <x:v>2940000</x:v>
      </x:c>
      <x:c r="N2675" s="4" t="str">
        <x:v>Sales manager</x:v>
      </x:c>
      <x:c r="O2675" s="4" t="str">
        <x:v>BOOK-02674</x:v>
      </x:c>
      <x:c r="P2675" s="9" t="n">
        <x:v>294000</x:v>
      </x:c>
      <x:c r="Q2675" s="11" t="n">
        <x:v>0</x:v>
      </x:c>
      <x:c r="R2675" s="8" t="n">
        <x:v>45517</x:v>
      </x:c>
      <x:c r="S2675" s="4" t="str">
        <x:v>Retained</x:v>
      </x:c>
      <x:c r="T2675" s="10" t="n">
        <x:v>0.254545</x:v>
      </x:c>
      <x:c r="U2675" s="4" t="str">
        <x:v>Excluded / unlabelled</x:v>
      </x:c>
    </x:row>
    <x:row r="2676" ht="34" customHeight="1">
      <x:c r="A2676" s="4" t="str">
        <x:v>RS-02675</x:v>
      </x:c>
      <x:c r="B2676" s="8" t="n">
        <x:v>45458</x:v>
      </x:c>
      <x:c r="C2676" s="4" t="str">
        <x:v>PRJ-015</x:v>
      </x:c>
      <x:c r="D2676" s="4" t="str">
        <x:v>Retail</x:v>
      </x:c>
      <x:c r="E2676" s="4" t="str">
        <x:v>Enquiry</x:v>
      </x:c>
      <x:c r="F2676" s="4" t="str">
        <x:v>CUS-02675</x:v>
      </x:c>
      <x:c r="G2676" s="4" t="str">
        <x:v>UNIT-02675</x:v>
      </x:c>
      <x:c r="H2676" s="9" t="n">
        <x:v>15900000</x:v>
      </x:c>
      <x:c r="I2676" s="10" t="n">
        <x:v>0.06</x:v>
      </x:c>
      <x:c r="J2676" s="11" t="n">
        <x:v>3</x:v>
      </x:c>
      <x:c r="K2676" s="11" t="n">
        <x:v>6</x:v>
      </x:c>
      <x:c r="L2676" s="11" t="n">
        <x:v>1</x:v>
      </x:c>
      <x:c r="M2676" s="9" t="n">
        <x:f>ROUND(H2676*(1-I2676),2)</x:f>
        <x:v>14946000</x:v>
      </x:c>
      <x:c r="N2676" s="4" t="str">
        <x:v>Sales manager</x:v>
      </x:c>
      <x:c r="O2676" s="4"/>
      <x:c r="P2676" s="9" t="n">
        <x:v>0</x:v>
      </x:c>
      <x:c r="Q2676" s="11" t="n">
        <x:v>0</x:v>
      </x:c>
      <x:c r="R2676" s="8" t="n">
        <x:v>45518</x:v>
      </x:c>
      <x:c r="S2676" s="4" t="str">
        <x:v>Retained</x:v>
      </x:c>
      <x:c r="T2676" s="10" t="n">
        <x:v>0.204152</x:v>
      </x:c>
      <x:c r="U2676" s="4" t="str">
        <x:v>Excluded / unlabelled</x:v>
      </x:c>
    </x:row>
    <x:row r="2677" ht="34" customHeight="1">
      <x:c r="A2677" s="4" t="str">
        <x:v>RS-02676</x:v>
      </x:c>
      <x:c r="B2677" s="8" t="n">
        <x:v>45459</x:v>
      </x:c>
      <x:c r="C2677" s="4" t="str">
        <x:v>PRJ-016</x:v>
      </x:c>
      <x:c r="D2677" s="4" t="str">
        <x:v>Office</x:v>
      </x:c>
      <x:c r="E2677" s="4" t="str">
        <x:v>Reserved</x:v>
      </x:c>
      <x:c r="F2677" s="4" t="str">
        <x:v>CUS-02676</x:v>
      </x:c>
      <x:c r="G2677" s="4" t="str">
        <x:v>UNIT-02676</x:v>
      </x:c>
      <x:c r="H2677" s="9" t="n">
        <x:v>18600000</x:v>
      </x:c>
      <x:c r="I2677" s="10" t="n">
        <x:v>0.12</x:v>
      </x:c>
      <x:c r="J2677" s="11" t="n">
        <x:v>2</x:v>
      </x:c>
      <x:c r="K2677" s="11" t="n">
        <x:v>6</x:v>
      </x:c>
      <x:c r="L2677" s="11" t="n">
        <x:v>1</x:v>
      </x:c>
      <x:c r="M2677" s="9" t="n">
        <x:f>ROUND(H2677*(1-I2677),2)</x:f>
        <x:v>16368000</x:v>
      </x:c>
      <x:c r="N2677" s="4" t="str">
        <x:v>Sales head</x:v>
      </x:c>
      <x:c r="O2677" s="4"/>
      <x:c r="P2677" s="9" t="n">
        <x:v>0</x:v>
      </x:c>
      <x:c r="Q2677" s="11" t="n">
        <x:v>0</x:v>
      </x:c>
      <x:c r="R2677" s="8" t="n">
        <x:v>45519</x:v>
      </x:c>
      <x:c r="S2677" s="4" t="str">
        <x:v>Retained</x:v>
      </x:c>
      <x:c r="T2677" s="10" t="n">
        <x:v>0.145833</x:v>
      </x:c>
      <x:c r="U2677" s="4" t="str">
        <x:v>Excluded / unlabelled</x:v>
      </x:c>
    </x:row>
    <x:row r="2678" ht="34" customHeight="1">
      <x:c r="A2678" s="4" t="str">
        <x:v>RS-02677</x:v>
      </x:c>
      <x:c r="B2678" s="8" t="n">
        <x:v>45460</x:v>
      </x:c>
      <x:c r="C2678" s="4" t="str">
        <x:v>PRJ-017</x:v>
      </x:c>
      <x:c r="D2678" s="4" t="str">
        <x:v>Retail</x:v>
      </x:c>
      <x:c r="E2678" s="4" t="str">
        <x:v>Cancelled</x:v>
      </x:c>
      <x:c r="F2678" s="4" t="str">
        <x:v>CUS-02677</x:v>
      </x:c>
      <x:c r="G2678" s="4" t="str">
        <x:v>UNIT-02677</x:v>
      </x:c>
      <x:c r="H2678" s="9" t="n">
        <x:v>19100000</x:v>
      </x:c>
      <x:c r="I2678" s="10" t="n">
        <x:v>0.01</x:v>
      </x:c>
      <x:c r="J2678" s="11" t="n">
        <x:v>5</x:v>
      </x:c>
      <x:c r="K2678" s="11" t="n">
        <x:v>1</x:v>
      </x:c>
      <x:c r="L2678" s="11" t="n">
        <x:v>1</x:v>
      </x:c>
      <x:c r="M2678" s="9" t="n">
        <x:f>ROUND(H2678*(1-I2678),2)</x:f>
        <x:v>18909000</x:v>
      </x:c>
      <x:c r="N2678" s="4" t="str">
        <x:v>Sales manager</x:v>
      </x:c>
      <x:c r="O2678" s="4"/>
      <x:c r="P2678" s="9" t="n">
        <x:v>0</x:v>
      </x:c>
      <x:c r="Q2678" s="11" t="n">
        <x:v>1</x:v>
      </x:c>
      <x:c r="R2678" s="8" t="n">
        <x:v>45520</x:v>
      </x:c>
      <x:c r="S2678" s="4" t="str">
        <x:v>Lost / cancelled</x:v>
      </x:c>
      <x:c r="T2678" s="10" t="n">
        <x:v>0.298969</x:v>
      </x:c>
      <x:c r="U2678" s="4" t="str">
        <x:v>Excluded / unlabelled</x:v>
      </x:c>
    </x:row>
    <x:row r="2679" ht="34" customHeight="1">
      <x:c r="A2679" s="4" t="str">
        <x:v>RS-02678</x:v>
      </x:c>
      <x:c r="B2679" s="8" t="n">
        <x:v>45461</x:v>
      </x:c>
      <x:c r="C2679" s="4" t="str">
        <x:v>PRJ-018</x:v>
      </x:c>
      <x:c r="D2679" s="4" t="str">
        <x:v>Retail</x:v>
      </x:c>
      <x:c r="E2679" s="4" t="str">
        <x:v>Handed over</x:v>
      </x:c>
      <x:c r="F2679" s="4" t="str">
        <x:v>CUS-02678</x:v>
      </x:c>
      <x:c r="G2679" s="4" t="str">
        <x:v>UNIT-02678</x:v>
      </x:c>
      <x:c r="H2679" s="9" t="n">
        <x:v>8300000</x:v>
      </x:c>
      <x:c r="I2679" s="10" t="n">
        <x:v>0.08</x:v>
      </x:c>
      <x:c r="J2679" s="11" t="n">
        <x:v>4</x:v>
      </x:c>
      <x:c r="K2679" s="11" t="n">
        <x:v>6</x:v>
      </x:c>
      <x:c r="L2679" s="11" t="n">
        <x:v>0</x:v>
      </x:c>
      <x:c r="M2679" s="9" t="n">
        <x:f>ROUND(H2679*(1-I2679),2)</x:f>
        <x:v>7636000</x:v>
      </x:c>
      <x:c r="N2679" s="4" t="str">
        <x:v>Sales head</x:v>
      </x:c>
      <x:c r="O2679" s="4" t="str">
        <x:v>BOOK-02678</x:v>
      </x:c>
      <x:c r="P2679" s="9" t="n">
        <x:v>1909000</x:v>
      </x:c>
      <x:c r="Q2679" s="11" t="n">
        <x:v>0</x:v>
      </x:c>
      <x:c r="R2679" s="8" t="n">
        <x:v>45521</x:v>
      </x:c>
      <x:c r="S2679" s="4" t="str">
        <x:v>Retained</x:v>
      </x:c>
      <x:c r="T2679" s="10" t="n">
        <x:v>0.226277</x:v>
      </x:c>
      <x:c r="U2679" s="4" t="str">
        <x:v>Excluded / unlabelled</x:v>
      </x:c>
    </x:row>
    <x:row r="2680" ht="34" customHeight="1">
      <x:c r="A2680" s="4" t="str">
        <x:v>RS-02679</x:v>
      </x:c>
      <x:c r="B2680" s="8" t="n">
        <x:v>45462</x:v>
      </x:c>
      <x:c r="C2680" s="4" t="str">
        <x:v>PRJ-019</x:v>
      </x:c>
      <x:c r="D2680" s="4" t="str">
        <x:v>Villa</x:v>
      </x:c>
      <x:c r="E2680" s="4" t="str">
        <x:v>Agreement signed</x:v>
      </x:c>
      <x:c r="F2680" s="4" t="str">
        <x:v>CUS-02679</x:v>
      </x:c>
      <x:c r="G2680" s="4" t="str">
        <x:v>UNIT-02679</x:v>
      </x:c>
      <x:c r="H2680" s="9" t="n">
        <x:v>23000000</x:v>
      </x:c>
      <x:c r="I2680" s="10" t="n">
        <x:v>0.09</x:v>
      </x:c>
      <x:c r="J2680" s="11" t="n">
        <x:v>8</x:v>
      </x:c>
      <x:c r="K2680" s="11" t="n">
        <x:v>8</x:v>
      </x:c>
      <x:c r="L2680" s="11" t="n">
        <x:v>0</x:v>
      </x:c>
      <x:c r="M2680" s="9" t="n">
        <x:f>ROUND(H2680*(1-I2680),2)</x:f>
        <x:v>20930000</x:v>
      </x:c>
      <x:c r="N2680" s="4" t="str">
        <x:v>Sales head</x:v>
      </x:c>
      <x:c r="O2680" s="4" t="str">
        <x:v>BOOK-02679</x:v>
      </x:c>
      <x:c r="P2680" s="9" t="n">
        <x:v>10465000</x:v>
      </x:c>
      <x:c r="Q2680" s="11" t="n">
        <x:v>0</x:v>
      </x:c>
      <x:c r="R2680" s="8" t="n">
        <x:v>45522</x:v>
      </x:c>
      <x:c r="S2680" s="4" t="str">
        <x:v>Retained</x:v>
      </x:c>
      <x:c r="T2680" s="10" t="n">
        <x:v>0.310195</x:v>
      </x:c>
      <x:c r="U2680" s="4" t="str">
        <x:v>Excluded / unlabelled</x:v>
      </x:c>
    </x:row>
    <x:row r="2681" ht="34" customHeight="1">
      <x:c r="A2681" s="4" t="str">
        <x:v>RS-02680</x:v>
      </x:c>
      <x:c r="B2681" s="8" t="n">
        <x:v>45463</x:v>
      </x:c>
      <x:c r="C2681" s="4" t="str">
        <x:v>PRJ-020</x:v>
      </x:c>
      <x:c r="D2681" s="4" t="str">
        <x:v>Retail</x:v>
      </x:c>
      <x:c r="E2681" s="4" t="str">
        <x:v>Handed over</x:v>
      </x:c>
      <x:c r="F2681" s="4" t="str">
        <x:v>CUS-02680</x:v>
      </x:c>
      <x:c r="G2681" s="4" t="str">
        <x:v>UNIT-02680</x:v>
      </x:c>
      <x:c r="H2681" s="9" t="n">
        <x:v>19300000</x:v>
      </x:c>
      <x:c r="I2681" s="10" t="n">
        <x:v>0.1</x:v>
      </x:c>
      <x:c r="J2681" s="11" t="n">
        <x:v>10</x:v>
      </x:c>
      <x:c r="K2681" s="11" t="n">
        <x:v>5</x:v>
      </x:c>
      <x:c r="L2681" s="11" t="n">
        <x:v>1</x:v>
      </x:c>
      <x:c r="M2681" s="9" t="n">
        <x:f>ROUND(H2681*(1-I2681),2)</x:f>
        <x:v>17370000</x:v>
      </x:c>
      <x:c r="N2681" s="4" t="str">
        <x:v>Sales head</x:v>
      </x:c>
      <x:c r="O2681" s="4" t="str">
        <x:v>BOOK-02680</x:v>
      </x:c>
      <x:c r="P2681" s="9" t="n">
        <x:v>17370000</x:v>
      </x:c>
      <x:c r="Q2681" s="11" t="n">
        <x:v>0</x:v>
      </x:c>
      <x:c r="R2681" s="8" t="n">
        <x:v>45523</x:v>
      </x:c>
      <x:c r="S2681" s="4" t="str">
        <x:v>Retained</x:v>
      </x:c>
      <x:c r="T2681" s="10" t="n">
        <x:v>0.310195</x:v>
      </x:c>
      <x:c r="U2681" s="4" t="str">
        <x:v>Excluded / unlabelled</x:v>
      </x:c>
    </x:row>
    <x:row r="2682" ht="34" customHeight="1">
      <x:c r="A2682" s="4" t="str">
        <x:v>RS-02681</x:v>
      </x:c>
      <x:c r="B2682" s="8" t="n">
        <x:v>45464</x:v>
      </x:c>
      <x:c r="C2682" s="4" t="str">
        <x:v>PRJ-001</x:v>
      </x:c>
      <x:c r="D2682" s="4" t="str">
        <x:v>Apartment</x:v>
      </x:c>
      <x:c r="E2682" s="4" t="str">
        <x:v>Handed over</x:v>
      </x:c>
      <x:c r="F2682" s="4" t="str">
        <x:v>CUS-02681</x:v>
      </x:c>
      <x:c r="G2682" s="4" t="str">
        <x:v>UNIT-02681</x:v>
      </x:c>
      <x:c r="H2682" s="9" t="n">
        <x:v>3000000</x:v>
      </x:c>
      <x:c r="I2682" s="10" t="n">
        <x:v>0.08</x:v>
      </x:c>
      <x:c r="J2682" s="11" t="n">
        <x:v>1</x:v>
      </x:c>
      <x:c r="K2682" s="11" t="n">
        <x:v>2</x:v>
      </x:c>
      <x:c r="L2682" s="11" t="n">
        <x:v>0</x:v>
      </x:c>
      <x:c r="M2682" s="9" t="n">
        <x:f>ROUND(H2682*(1-I2682),2)</x:f>
        <x:v>2760000</x:v>
      </x:c>
      <x:c r="N2682" s="4" t="str">
        <x:v>Sales head</x:v>
      </x:c>
      <x:c r="O2682" s="4" t="str">
        <x:v>BOOK-02681</x:v>
      </x:c>
      <x:c r="P2682" s="9" t="n">
        <x:v>1380000</x:v>
      </x:c>
      <x:c r="Q2682" s="11" t="n">
        <x:v>0</x:v>
      </x:c>
      <x:c r="R2682" s="8" t="n">
        <x:v>45524</x:v>
      </x:c>
      <x:c r="S2682" s="4" t="str">
        <x:v>Retained</x:v>
      </x:c>
      <x:c r="T2682" s="10" t="n">
        <x:v>0.204152</x:v>
      </x:c>
      <x:c r="U2682" s="4" t="str">
        <x:v>Excluded / unlabelled</x:v>
      </x:c>
    </x:row>
    <x:row r="2683" ht="34" customHeight="1">
      <x:c r="A2683" s="4" t="str">
        <x:v>RS-02682</x:v>
      </x:c>
      <x:c r="B2683" s="8" t="n">
        <x:v>45465</x:v>
      </x:c>
      <x:c r="C2683" s="4" t="str">
        <x:v>PRJ-002</x:v>
      </x:c>
      <x:c r="D2683" s="4" t="str">
        <x:v>Villa</x:v>
      </x:c>
      <x:c r="E2683" s="4" t="str">
        <x:v>Enquiry</x:v>
      </x:c>
      <x:c r="F2683" s="4" t="str">
        <x:v>CUS-02682</x:v>
      </x:c>
      <x:c r="G2683" s="4" t="str">
        <x:v>UNIT-02682</x:v>
      </x:c>
      <x:c r="H2683" s="9" t="n">
        <x:v>4300000</x:v>
      </x:c>
      <x:c r="I2683" s="10" t="n">
        <x:v>0.03</x:v>
      </x:c>
      <x:c r="J2683" s="11" t="n">
        <x:v>2</x:v>
      </x:c>
      <x:c r="K2683" s="11" t="n">
        <x:v>1</x:v>
      </x:c>
      <x:c r="L2683" s="11" t="n">
        <x:v>1</x:v>
      </x:c>
      <x:c r="M2683" s="9" t="n">
        <x:f>ROUND(H2683*(1-I2683),2)</x:f>
        <x:v>4171000</x:v>
      </x:c>
      <x:c r="N2683" s="4" t="str">
        <x:v>Sales manager</x:v>
      </x:c>
      <x:c r="O2683" s="4"/>
      <x:c r="P2683" s="9" t="n">
        <x:v>0</x:v>
      </x:c>
      <x:c r="Q2683" s="11" t="n">
        <x:v>1</x:v>
      </x:c>
      <x:c r="R2683" s="8" t="n">
        <x:v>45525</x:v>
      </x:c>
      <x:c r="S2683" s="4" t="str">
        <x:v>Lost / cancelled</x:v>
      </x:c>
      <x:c r="T2683" s="10" t="n">
        <x:v>0.171717</x:v>
      </x:c>
      <x:c r="U2683" s="4" t="str">
        <x:v>Excluded / unlabelled</x:v>
      </x:c>
    </x:row>
    <x:row r="2684" ht="34" customHeight="1">
      <x:c r="A2684" s="4" t="str">
        <x:v>RS-02683</x:v>
      </x:c>
      <x:c r="B2684" s="8" t="n">
        <x:v>45466</x:v>
      </x:c>
      <x:c r="C2684" s="4" t="str">
        <x:v>PRJ-003</x:v>
      </x:c>
      <x:c r="D2684" s="4" t="str">
        <x:v>Villa</x:v>
      </x:c>
      <x:c r="E2684" s="4" t="str">
        <x:v>Booked</x:v>
      </x:c>
      <x:c r="F2684" s="4" t="str">
        <x:v>CUS-02683</x:v>
      </x:c>
      <x:c r="G2684" s="4" t="str">
        <x:v>UNIT-02683</x:v>
      </x:c>
      <x:c r="H2684" s="9" t="n">
        <x:v>6400000</x:v>
      </x:c>
      <x:c r="I2684" s="10" t="n">
        <x:v>0.03</x:v>
      </x:c>
      <x:c r="J2684" s="11" t="n">
        <x:v>11</x:v>
      </x:c>
      <x:c r="K2684" s="11" t="n">
        <x:v>7</x:v>
      </x:c>
      <x:c r="L2684" s="11" t="n">
        <x:v>0</x:v>
      </x:c>
      <x:c r="M2684" s="9" t="n">
        <x:f>ROUND(H2684*(1-I2684),2)</x:f>
        <x:v>6208000</x:v>
      </x:c>
      <x:c r="N2684" s="4" t="str">
        <x:v>Sales manager</x:v>
      </x:c>
      <x:c r="O2684" s="4" t="str">
        <x:v>BOOK-02683</x:v>
      </x:c>
      <x:c r="P2684" s="9" t="n">
        <x:v>3104000</x:v>
      </x:c>
      <x:c r="Q2684" s="11" t="n">
        <x:v>0</x:v>
      </x:c>
      <x:c r="R2684" s="8" t="n">
        <x:v>45526</x:v>
      </x:c>
      <x:c r="S2684" s="4" t="str">
        <x:v>Retained</x:v>
      </x:c>
      <x:c r="T2684" s="10" t="n">
        <x:v>0.351536</x:v>
      </x:c>
      <x:c r="U2684" s="4" t="str">
        <x:v>Excluded / unlabelled</x:v>
      </x:c>
    </x:row>
    <x:row r="2685" ht="34" customHeight="1">
      <x:c r="A2685" s="4" t="str">
        <x:v>RS-02684</x:v>
      </x:c>
      <x:c r="B2685" s="8" t="n">
        <x:v>45467</x:v>
      </x:c>
      <x:c r="C2685" s="4" t="str">
        <x:v>PRJ-004</x:v>
      </x:c>
      <x:c r="D2685" s="4" t="str">
        <x:v>Office</x:v>
      </x:c>
      <x:c r="E2685" s="4" t="str">
        <x:v>Booked</x:v>
      </x:c>
      <x:c r="F2685" s="4" t="str">
        <x:v>CUS-02684</x:v>
      </x:c>
      <x:c r="G2685" s="4" t="str">
        <x:v>UNIT-02684</x:v>
      </x:c>
      <x:c r="H2685" s="9" t="n">
        <x:v>3500000</x:v>
      </x:c>
      <x:c r="I2685" s="10" t="n">
        <x:v>0.01</x:v>
      </x:c>
      <x:c r="J2685" s="11" t="n">
        <x:v>12</x:v>
      </x:c>
      <x:c r="K2685" s="11" t="n">
        <x:v>6</x:v>
      </x:c>
      <x:c r="L2685" s="11" t="n">
        <x:v>0</x:v>
      </x:c>
      <x:c r="M2685" s="9" t="n">
        <x:f>ROUND(H2685*(1-I2685),2)</x:f>
        <x:v>3465000</x:v>
      </x:c>
      <x:c r="N2685" s="4" t="str">
        <x:v>Sales manager</x:v>
      </x:c>
      <x:c r="O2685" s="4" t="str">
        <x:v>BOOK-02684</x:v>
      </x:c>
      <x:c r="P2685" s="9" t="n">
        <x:v>1732500</x:v>
      </x:c>
      <x:c r="Q2685" s="11" t="n">
        <x:v>0</x:v>
      </x:c>
      <x:c r="R2685" s="8" t="n">
        <x:v>45527</x:v>
      </x:c>
      <x:c r="S2685" s="4" t="str">
        <x:v>Retained</x:v>
      </x:c>
      <x:c r="T2685" s="10" t="n">
        <x:v>0.305556</x:v>
      </x:c>
      <x:c r="U2685" s="4" t="str">
        <x:v>Excluded / unlabelled</x:v>
      </x:c>
    </x:row>
    <x:row r="2686" ht="34" customHeight="1">
      <x:c r="A2686" s="4" t="str">
        <x:v>RS-02685</x:v>
      </x:c>
      <x:c r="B2686" s="8" t="n">
        <x:v>45468</x:v>
      </x:c>
      <x:c r="C2686" s="4" t="str">
        <x:v>PRJ-005</x:v>
      </x:c>
      <x:c r="D2686" s="4" t="str">
        <x:v>Apartment</x:v>
      </x:c>
      <x:c r="E2686" s="4" t="str">
        <x:v>Reserved</x:v>
      </x:c>
      <x:c r="F2686" s="4" t="str">
        <x:v>CUS-02685</x:v>
      </x:c>
      <x:c r="G2686" s="4" t="str">
        <x:v>UNIT-02685</x:v>
      </x:c>
      <x:c r="H2686" s="9" t="n">
        <x:v>22000000</x:v>
      </x:c>
      <x:c r="I2686" s="10" t="n">
        <x:v>0.08</x:v>
      </x:c>
      <x:c r="J2686" s="11" t="n">
        <x:v>2</x:v>
      </x:c>
      <x:c r="K2686" s="11" t="n">
        <x:v>0</x:v>
      </x:c>
      <x:c r="L2686" s="11" t="n">
        <x:v>0</x:v>
      </x:c>
      <x:c r="M2686" s="9" t="n">
        <x:f>ROUND(H2686*(1-I2686),2)</x:f>
        <x:v>20240000</x:v>
      </x:c>
      <x:c r="N2686" s="4" t="str">
        <x:v>Sales head</x:v>
      </x:c>
      <x:c r="O2686" s="4"/>
      <x:c r="P2686" s="9" t="n">
        <x:v>0</x:v>
      </x:c>
      <x:c r="Q2686" s="11" t="n">
        <x:v>0</x:v>
      </x:c>
      <x:c r="R2686" s="8" t="n">
        <x:v>45528</x:v>
      </x:c>
      <x:c r="S2686" s="4" t="str">
        <x:v>Retained</x:v>
      </x:c>
      <x:c r="T2686" s="10" t="n">
        <x:v>0.276923</x:v>
      </x:c>
      <x:c r="U2686" s="4" t="str">
        <x:v>Excluded / unlabelled</x:v>
      </x:c>
    </x:row>
    <x:row r="2687" ht="34" customHeight="1">
      <x:c r="A2687" s="4" t="str">
        <x:v>RS-02686</x:v>
      </x:c>
      <x:c r="B2687" s="8" t="n">
        <x:v>45469</x:v>
      </x:c>
      <x:c r="C2687" s="4" t="str">
        <x:v>PRJ-006</x:v>
      </x:c>
      <x:c r="D2687" s="4" t="str">
        <x:v>Apartment</x:v>
      </x:c>
      <x:c r="E2687" s="4" t="str">
        <x:v>Booked</x:v>
      </x:c>
      <x:c r="F2687" s="4" t="str">
        <x:v>CUS-02686</x:v>
      </x:c>
      <x:c r="G2687" s="4" t="str">
        <x:v>UNIT-02686</x:v>
      </x:c>
      <x:c r="H2687" s="9" t="n">
        <x:v>17800000</x:v>
      </x:c>
      <x:c r="I2687" s="10" t="n">
        <x:v>0.07</x:v>
      </x:c>
      <x:c r="J2687" s="11" t="n">
        <x:v>5</x:v>
      </x:c>
      <x:c r="K2687" s="11" t="n">
        <x:v>1</x:v>
      </x:c>
      <x:c r="L2687" s="11" t="n">
        <x:v>0</x:v>
      </x:c>
      <x:c r="M2687" s="9" t="n">
        <x:f>ROUND(H2687*(1-I2687),2)</x:f>
        <x:v>16554000</x:v>
      </x:c>
      <x:c r="N2687" s="4" t="str">
        <x:v>Sales manager</x:v>
      </x:c>
      <x:c r="O2687" s="4" t="str">
        <x:v>BOOK-02686</x:v>
      </x:c>
      <x:c r="P2687" s="9" t="n">
        <x:v>16554000</x:v>
      </x:c>
      <x:c r="Q2687" s="11" t="n">
        <x:v>0</x:v>
      </x:c>
      <x:c r="R2687" s="8" t="n">
        <x:v>45529</x:v>
      </x:c>
      <x:c r="S2687" s="4" t="str">
        <x:v>Retained</x:v>
      </x:c>
      <x:c r="T2687" s="10" t="n">
        <x:v>0.226277</x:v>
      </x:c>
      <x:c r="U2687" s="4" t="str">
        <x:v>Excluded / unlabelled</x:v>
      </x:c>
    </x:row>
    <x:row r="2688" ht="34" customHeight="1">
      <x:c r="A2688" s="4" t="str">
        <x:v>RS-02687</x:v>
      </x:c>
      <x:c r="B2688" s="8" t="n">
        <x:v>45470</x:v>
      </x:c>
      <x:c r="C2688" s="4" t="str">
        <x:v>PRJ-007</x:v>
      </x:c>
      <x:c r="D2688" s="4" t="str">
        <x:v>Villa</x:v>
      </x:c>
      <x:c r="E2688" s="4" t="str">
        <x:v>Agreement signed</x:v>
      </x:c>
      <x:c r="F2688" s="4" t="str">
        <x:v>CUS-02687</x:v>
      </x:c>
      <x:c r="G2688" s="4" t="str">
        <x:v>UNIT-02687</x:v>
      </x:c>
      <x:c r="H2688" s="9" t="n">
        <x:v>9500000</x:v>
      </x:c>
      <x:c r="I2688" s="10" t="n">
        <x:v>0.03</x:v>
      </x:c>
      <x:c r="J2688" s="11" t="n">
        <x:v>2</x:v>
      </x:c>
      <x:c r="K2688" s="11" t="n">
        <x:v>10</x:v>
      </x:c>
      <x:c r="L2688" s="11" t="n">
        <x:v>0</x:v>
      </x:c>
      <x:c r="M2688" s="9" t="n">
        <x:f>ROUND(H2688*(1-I2688),2)</x:f>
        <x:v>9215000</x:v>
      </x:c>
      <x:c r="N2688" s="4" t="str">
        <x:v>Sales manager</x:v>
      </x:c>
      <x:c r="O2688" s="4" t="str">
        <x:v>BOOK-02687</x:v>
      </x:c>
      <x:c r="P2688" s="9" t="n">
        <x:v>921500</x:v>
      </x:c>
      <x:c r="Q2688" s="11" t="n">
        <x:v>0</x:v>
      </x:c>
      <x:c r="R2688" s="8" t="n">
        <x:v>45530</x:v>
      </x:c>
      <x:c r="S2688" s="4" t="str">
        <x:v>Retained</x:v>
      </x:c>
      <x:c r="T2688" s="10" t="n">
        <x:v>0.171717</x:v>
      </x:c>
      <x:c r="U2688" s="4" t="str">
        <x:v>Excluded / unlabelled</x:v>
      </x:c>
    </x:row>
    <x:row r="2689" ht="34" customHeight="1">
      <x:c r="A2689" s="4" t="str">
        <x:v>RS-02688</x:v>
      </x:c>
      <x:c r="B2689" s="8" t="n">
        <x:v>45471</x:v>
      </x:c>
      <x:c r="C2689" s="4" t="str">
        <x:v>PRJ-008</x:v>
      </x:c>
      <x:c r="D2689" s="4" t="str">
        <x:v>Retail</x:v>
      </x:c>
      <x:c r="E2689" s="4" t="str">
        <x:v>Agreement signed</x:v>
      </x:c>
      <x:c r="F2689" s="4" t="str">
        <x:v>CUS-02688</x:v>
      </x:c>
      <x:c r="G2689" s="4" t="str">
        <x:v>UNIT-02688</x:v>
      </x:c>
      <x:c r="H2689" s="9" t="n">
        <x:v>24200000</x:v>
      </x:c>
      <x:c r="I2689" s="10" t="n">
        <x:v>0.02</x:v>
      </x:c>
      <x:c r="J2689" s="11" t="n">
        <x:v>5</x:v>
      </x:c>
      <x:c r="K2689" s="11" t="n">
        <x:v>0</x:v>
      </x:c>
      <x:c r="L2689" s="11" t="n">
        <x:v>0</x:v>
      </x:c>
      <x:c r="M2689" s="9" t="n">
        <x:f>ROUND(H2689*(1-I2689),2)</x:f>
        <x:v>23716000</x:v>
      </x:c>
      <x:c r="N2689" s="4" t="str">
        <x:v>Sales manager</x:v>
      </x:c>
      <x:c r="O2689" s="4" t="str">
        <x:v>BOOK-02688</x:v>
      </x:c>
      <x:c r="P2689" s="9" t="n">
        <x:v>23716000</x:v>
      </x:c>
      <x:c r="Q2689" s="11" t="n">
        <x:v>0</x:v>
      </x:c>
      <x:c r="R2689" s="8" t="n">
        <x:v>45531</x:v>
      </x:c>
      <x:c r="S2689" s="4" t="str">
        <x:v>Retained</x:v>
      </x:c>
      <x:c r="T2689" s="10" t="n">
        <x:v>0.298969</x:v>
      </x:c>
      <x:c r="U2689" s="4" t="str">
        <x:v>Excluded / unlabelled</x:v>
      </x:c>
    </x:row>
    <x:row r="2690" ht="34" customHeight="1">
      <x:c r="A2690" s="4" t="str">
        <x:v>RS-02689</x:v>
      </x:c>
      <x:c r="B2690" s="8" t="n">
        <x:v>45444</x:v>
      </x:c>
      <x:c r="C2690" s="4" t="str">
        <x:v>PRJ-009</x:v>
      </x:c>
      <x:c r="D2690" s="4" t="str">
        <x:v>Apartment</x:v>
      </x:c>
      <x:c r="E2690" s="4" t="str">
        <x:v>Booked</x:v>
      </x:c>
      <x:c r="F2690" s="4" t="str">
        <x:v>CUS-02689</x:v>
      </x:c>
      <x:c r="G2690" s="4" t="str">
        <x:v>UNIT-02689</x:v>
      </x:c>
      <x:c r="H2690" s="9" t="n">
        <x:v>3200000</x:v>
      </x:c>
      <x:c r="I2690" s="10" t="n">
        <x:v>0.01</x:v>
      </x:c>
      <x:c r="J2690" s="11" t="n">
        <x:v>10</x:v>
      </x:c>
      <x:c r="K2690" s="11" t="n">
        <x:v>8</x:v>
      </x:c>
      <x:c r="L2690" s="11" t="n">
        <x:v>0</x:v>
      </x:c>
      <x:c r="M2690" s="9" t="n">
        <x:f>ROUND(H2690*(1-I2690),2)</x:f>
        <x:v>3168000</x:v>
      </x:c>
      <x:c r="N2690" s="4" t="str">
        <x:v>Sales manager</x:v>
      </x:c>
      <x:c r="O2690" s="4" t="str">
        <x:v>BOOK-02689</x:v>
      </x:c>
      <x:c r="P2690" s="9" t="n">
        <x:v>792000</x:v>
      </x:c>
      <x:c r="Q2690" s="11" t="n">
        <x:v>0</x:v>
      </x:c>
      <x:c r="R2690" s="8" t="n">
        <x:v>45504</x:v>
      </x:c>
      <x:c r="S2690" s="4" t="str">
        <x:v>Retained</x:v>
      </x:c>
      <x:c r="T2690" s="10" t="n">
        <x:v>0.305556</x:v>
      </x:c>
      <x:c r="U2690" s="4" t="str">
        <x:v>Excluded / unlabelled</x:v>
      </x:c>
    </x:row>
    <x:row r="2691" ht="34" customHeight="1">
      <x:c r="A2691" s="4" t="str">
        <x:v>RS-02690</x:v>
      </x:c>
      <x:c r="B2691" s="8" t="n">
        <x:v>45445</x:v>
      </x:c>
      <x:c r="C2691" s="4" t="str">
        <x:v>PRJ-010</x:v>
      </x:c>
      <x:c r="D2691" s="4" t="str">
        <x:v>Villa</x:v>
      </x:c>
      <x:c r="E2691" s="4" t="str">
        <x:v>Reserved</x:v>
      </x:c>
      <x:c r="F2691" s="4" t="str">
        <x:v>CUS-02690</x:v>
      </x:c>
      <x:c r="G2691" s="4" t="str">
        <x:v>UNIT-02690</x:v>
      </x:c>
      <x:c r="H2691" s="9" t="n">
        <x:v>19700000</x:v>
      </x:c>
      <x:c r="I2691" s="10" t="n">
        <x:v>0.1</x:v>
      </x:c>
      <x:c r="J2691" s="11" t="n">
        <x:v>9</x:v>
      </x:c>
      <x:c r="K2691" s="11" t="n">
        <x:v>8</x:v>
      </x:c>
      <x:c r="L2691" s="11" t="n">
        <x:v>1</x:v>
      </x:c>
      <x:c r="M2691" s="9" t="n">
        <x:f>ROUND(H2691*(1-I2691),2)</x:f>
        <x:v>17730000</x:v>
      </x:c>
      <x:c r="N2691" s="4" t="str">
        <x:v>Sales head</x:v>
      </x:c>
      <x:c r="O2691" s="4"/>
      <x:c r="P2691" s="9" t="n">
        <x:v>0</x:v>
      </x:c>
      <x:c r="Q2691" s="11" t="n">
        <x:v>1</x:v>
      </x:c>
      <x:c r="R2691" s="8" t="n">
        <x:v>45505</x:v>
      </x:c>
      <x:c r="S2691" s="4" t="str">
        <x:v>Lost / cancelled</x:v>
      </x:c>
      <x:c r="T2691" s="10" t="n">
        <x:v>0.310195</x:v>
      </x:c>
      <x:c r="U2691" s="4" t="str">
        <x:v>Excluded / unlabelled</x:v>
      </x:c>
    </x:row>
    <x:row r="2692" ht="34" customHeight="1">
      <x:c r="A2692" s="4" t="str">
        <x:v>RS-02691</x:v>
      </x:c>
      <x:c r="B2692" s="8" t="n">
        <x:v>45446</x:v>
      </x:c>
      <x:c r="C2692" s="4" t="str">
        <x:v>PRJ-011</x:v>
      </x:c>
      <x:c r="D2692" s="4" t="str">
        <x:v>Villa</x:v>
      </x:c>
      <x:c r="E2692" s="4" t="str">
        <x:v>Cancelled</x:v>
      </x:c>
      <x:c r="F2692" s="4" t="str">
        <x:v>CUS-02691</x:v>
      </x:c>
      <x:c r="G2692" s="4" t="str">
        <x:v>UNIT-02691</x:v>
      </x:c>
      <x:c r="H2692" s="9" t="n">
        <x:v>10400000</x:v>
      </x:c>
      <x:c r="I2692" s="10" t="n">
        <x:v>0.03</x:v>
      </x:c>
      <x:c r="J2692" s="11" t="n">
        <x:v>12</x:v>
      </x:c>
      <x:c r="K2692" s="11" t="n">
        <x:v>3</x:v>
      </x:c>
      <x:c r="L2692" s="11" t="n">
        <x:v>0</x:v>
      </x:c>
      <x:c r="M2692" s="9" t="n">
        <x:f>ROUND(H2692*(1-I2692),2)</x:f>
        <x:v>10088000</x:v>
      </x:c>
      <x:c r="N2692" s="4" t="str">
        <x:v>Sales manager</x:v>
      </x:c>
      <x:c r="O2692" s="4"/>
      <x:c r="P2692" s="9" t="n">
        <x:v>0</x:v>
      </x:c>
      <x:c r="Q2692" s="11" t="n">
        <x:v>1</x:v>
      </x:c>
      <x:c r="R2692" s="8" t="n">
        <x:v>45506</x:v>
      </x:c>
      <x:c r="S2692" s="4" t="str">
        <x:v>Lost / cancelled</x:v>
      </x:c>
      <x:c r="T2692" s="10" t="n">
        <x:v>0.351536</x:v>
      </x:c>
      <x:c r="U2692" s="4" t="str">
        <x:v>Excluded / unlabelled</x:v>
      </x:c>
    </x:row>
    <x:row r="2693" ht="34" customHeight="1">
      <x:c r="A2693" s="4" t="str">
        <x:v>RS-02692</x:v>
      </x:c>
      <x:c r="B2693" s="8" t="n">
        <x:v>45447</x:v>
      </x:c>
      <x:c r="C2693" s="4" t="str">
        <x:v>PRJ-012</x:v>
      </x:c>
      <x:c r="D2693" s="4" t="str">
        <x:v>Villa</x:v>
      </x:c>
      <x:c r="E2693" s="4" t="str">
        <x:v>Cancelled</x:v>
      </x:c>
      <x:c r="F2693" s="4" t="str">
        <x:v>CUS-02692</x:v>
      </x:c>
      <x:c r="G2693" s="4" t="str">
        <x:v>UNIT-02692</x:v>
      </x:c>
      <x:c r="H2693" s="9" t="n">
        <x:v>5400000</x:v>
      </x:c>
      <x:c r="I2693" s="10" t="n">
        <x:v>0.06</x:v>
      </x:c>
      <x:c r="J2693" s="11" t="n">
        <x:v>4</x:v>
      </x:c>
      <x:c r="K2693" s="11" t="n">
        <x:v>10</x:v>
      </x:c>
      <x:c r="L2693" s="11" t="n">
        <x:v>1</x:v>
      </x:c>
      <x:c r="M2693" s="9" t="n">
        <x:f>ROUND(H2693*(1-I2693),2)</x:f>
        <x:v>5076000</x:v>
      </x:c>
      <x:c r="N2693" s="4" t="str">
        <x:v>Sales manager</x:v>
      </x:c>
      <x:c r="O2693" s="4"/>
      <x:c r="P2693" s="9" t="n">
        <x:v>0</x:v>
      </x:c>
      <x:c r="Q2693" s="11" t="n">
        <x:v>1</x:v>
      </x:c>
      <x:c r="R2693" s="8" t="n">
        <x:v>45507</x:v>
      </x:c>
      <x:c r="S2693" s="4" t="str">
        <x:v>Lost / cancelled</x:v>
      </x:c>
      <x:c r="T2693" s="10" t="n">
        <x:v>0.291946</x:v>
      </x:c>
      <x:c r="U2693" s="4" t="str">
        <x:v>Excluded / unlabelled</x:v>
      </x:c>
    </x:row>
    <x:row r="2694" ht="34" customHeight="1">
      <x:c r="A2694" s="4" t="str">
        <x:v>RS-02693</x:v>
      </x:c>
      <x:c r="B2694" s="8" t="n">
        <x:v>45448</x:v>
      </x:c>
      <x:c r="C2694" s="4" t="str">
        <x:v>PRJ-013</x:v>
      </x:c>
      <x:c r="D2694" s="4" t="str">
        <x:v>Office</x:v>
      </x:c>
      <x:c r="E2694" s="4" t="str">
        <x:v>Reserved</x:v>
      </x:c>
      <x:c r="F2694" s="4" t="str">
        <x:v>CUS-02693</x:v>
      </x:c>
      <x:c r="G2694" s="4" t="str">
        <x:v>UNIT-02693</x:v>
      </x:c>
      <x:c r="H2694" s="9" t="n">
        <x:v>23500000</x:v>
      </x:c>
      <x:c r="I2694" s="10" t="n">
        <x:v>0.01</x:v>
      </x:c>
      <x:c r="J2694" s="11" t="n">
        <x:v>1</x:v>
      </x:c>
      <x:c r="K2694" s="11" t="n">
        <x:v>5</x:v>
      </x:c>
      <x:c r="L2694" s="11" t="n">
        <x:v>1</x:v>
      </x:c>
      <x:c r="M2694" s="9" t="n">
        <x:f>ROUND(H2694*(1-I2694),2)</x:f>
        <x:v>23265000</x:v>
      </x:c>
      <x:c r="N2694" s="4" t="str">
        <x:v>Sales manager</x:v>
      </x:c>
      <x:c r="O2694" s="4"/>
      <x:c r="P2694" s="9" t="n">
        <x:v>0</x:v>
      </x:c>
      <x:c r="Q2694" s="11" t="n">
        <x:v>0</x:v>
      </x:c>
      <x:c r="R2694" s="8" t="n">
        <x:v>45508</x:v>
      </x:c>
      <x:c r="S2694" s="4" t="str">
        <x:v>Retained</x:v>
      </x:c>
      <x:c r="T2694" s="10" t="n">
        <x:v>0.072165</x:v>
      </x:c>
      <x:c r="U2694" s="4" t="str">
        <x:v>Excluded / unlabelled</x:v>
      </x:c>
    </x:row>
    <x:row r="2695" ht="34" customHeight="1">
      <x:c r="A2695" s="4" t="str">
        <x:v>RS-02694</x:v>
      </x:c>
      <x:c r="B2695" s="8" t="n">
        <x:v>45449</x:v>
      </x:c>
      <x:c r="C2695" s="4" t="str">
        <x:v>PRJ-014</x:v>
      </x:c>
      <x:c r="D2695" s="4" t="str">
        <x:v>Retail</x:v>
      </x:c>
      <x:c r="E2695" s="4" t="str">
        <x:v>Agreement signed</x:v>
      </x:c>
      <x:c r="F2695" s="4" t="str">
        <x:v>CUS-02694</x:v>
      </x:c>
      <x:c r="G2695" s="4" t="str">
        <x:v>UNIT-02694</x:v>
      </x:c>
      <x:c r="H2695" s="9" t="n">
        <x:v>16800000</x:v>
      </x:c>
      <x:c r="I2695" s="10" t="n">
        <x:v>0</x:v>
      </x:c>
      <x:c r="J2695" s="11" t="n">
        <x:v>10</x:v>
      </x:c>
      <x:c r="K2695" s="11" t="n">
        <x:v>6</x:v>
      </x:c>
      <x:c r="L2695" s="11" t="n">
        <x:v>0</x:v>
      </x:c>
      <x:c r="M2695" s="9" t="n">
        <x:f>ROUND(H2695*(1-I2695),2)</x:f>
        <x:v>16800000</x:v>
      </x:c>
      <x:c r="N2695" s="4" t="str">
        <x:v>Sales manager</x:v>
      </x:c>
      <x:c r="O2695" s="4" t="str">
        <x:v>BOOK-02694</x:v>
      </x:c>
      <x:c r="P2695" s="9" t="n">
        <x:v>8400000</x:v>
      </x:c>
      <x:c r="Q2695" s="11" t="n">
        <x:v>0</x:v>
      </x:c>
      <x:c r="R2695" s="8" t="n">
        <x:v>45509</x:v>
      </x:c>
      <x:c r="S2695" s="4" t="str">
        <x:v>Retained</x:v>
      </x:c>
      <x:c r="T2695" s="10" t="n">
        <x:v>0.305556</x:v>
      </x:c>
      <x:c r="U2695" s="4" t="str">
        <x:v>Excluded / unlabelled</x:v>
      </x:c>
    </x:row>
    <x:row r="2696" ht="34" customHeight="1">
      <x:c r="A2696" s="4" t="str">
        <x:v>RS-02695</x:v>
      </x:c>
      <x:c r="B2696" s="8" t="n">
        <x:v>45450</x:v>
      </x:c>
      <x:c r="C2696" s="4" t="str">
        <x:v>PRJ-015</x:v>
      </x:c>
      <x:c r="D2696" s="4" t="str">
        <x:v>Retail</x:v>
      </x:c>
      <x:c r="E2696" s="4" t="str">
        <x:v>Enquiry</x:v>
      </x:c>
      <x:c r="F2696" s="4" t="str">
        <x:v>CUS-02695</x:v>
      </x:c>
      <x:c r="G2696" s="4" t="str">
        <x:v>UNIT-02695</x:v>
      </x:c>
      <x:c r="H2696" s="9" t="n">
        <x:v>16600000</x:v>
      </x:c>
      <x:c r="I2696" s="10" t="n">
        <x:v>0.08</x:v>
      </x:c>
      <x:c r="J2696" s="11" t="n">
        <x:v>0</x:v>
      </x:c>
      <x:c r="K2696" s="11" t="n">
        <x:v>5</x:v>
      </x:c>
      <x:c r="L2696" s="11" t="n">
        <x:v>1</x:v>
      </x:c>
      <x:c r="M2696" s="9" t="n">
        <x:f>ROUND(H2696*(1-I2696),2)</x:f>
        <x:v>15272000</x:v>
      </x:c>
      <x:c r="N2696" s="4" t="str">
        <x:v>Sales head</x:v>
      </x:c>
      <x:c r="O2696" s="4"/>
      <x:c r="P2696" s="9" t="n">
        <x:v>0</x:v>
      </x:c>
      <x:c r="Q2696" s="11" t="n">
        <x:v>0</x:v>
      </x:c>
      <x:c r="R2696" s="8" t="n">
        <x:v>45510</x:v>
      </x:c>
      <x:c r="S2696" s="4" t="str">
        <x:v>Retained</x:v>
      </x:c>
      <x:c r="T2696" s="10" t="n">
        <x:v>0.204152</x:v>
      </x:c>
      <x:c r="U2696" s="4" t="str">
        <x:v>Excluded / unlabelled</x:v>
      </x:c>
    </x:row>
    <x:row r="2697" ht="34" customHeight="1">
      <x:c r="A2697" s="4" t="str">
        <x:v>RS-02696</x:v>
      </x:c>
      <x:c r="B2697" s="8" t="n">
        <x:v>45451</x:v>
      </x:c>
      <x:c r="C2697" s="4" t="str">
        <x:v>PRJ-016</x:v>
      </x:c>
      <x:c r="D2697" s="4" t="str">
        <x:v>Villa</x:v>
      </x:c>
      <x:c r="E2697" s="4" t="str">
        <x:v>Handed over</x:v>
      </x:c>
      <x:c r="F2697" s="4" t="str">
        <x:v>CUS-02696</x:v>
      </x:c>
      <x:c r="G2697" s="4" t="str">
        <x:v>UNIT-02696</x:v>
      </x:c>
      <x:c r="H2697" s="9" t="n">
        <x:v>24200000</x:v>
      </x:c>
      <x:c r="I2697" s="10" t="n">
        <x:v>0.11</x:v>
      </x:c>
      <x:c r="J2697" s="11" t="n">
        <x:v>10</x:v>
      </x:c>
      <x:c r="K2697" s="11" t="n">
        <x:v>0</x:v>
      </x:c>
      <x:c r="L2697" s="11" t="n">
        <x:v>0</x:v>
      </x:c>
      <x:c r="M2697" s="9" t="n">
        <x:f>ROUND(H2697*(1-I2697),2)</x:f>
        <x:v>21538000</x:v>
      </x:c>
      <x:c r="N2697" s="4" t="str">
        <x:v>Sales head</x:v>
      </x:c>
      <x:c r="O2697" s="4" t="str">
        <x:v>BOOK-02696</x:v>
      </x:c>
      <x:c r="P2697" s="9" t="n">
        <x:v>5384500</x:v>
      </x:c>
      <x:c r="Q2697" s="11" t="n">
        <x:v>0</x:v>
      </x:c>
      <x:c r="R2697" s="8" t="n">
        <x:v>45511</x:v>
      </x:c>
      <x:c r="S2697" s="4" t="str">
        <x:v>Retained</x:v>
      </x:c>
      <x:c r="T2697" s="10" t="n">
        <x:v>0.310195</x:v>
      </x:c>
      <x:c r="U2697" s="4" t="str">
        <x:v>Excluded / unlabelled</x:v>
      </x:c>
    </x:row>
    <x:row r="2698" ht="34" customHeight="1">
      <x:c r="A2698" s="4" t="str">
        <x:v>RS-02697</x:v>
      </x:c>
      <x:c r="B2698" s="8" t="n">
        <x:v>45452</x:v>
      </x:c>
      <x:c r="C2698" s="4" t="str">
        <x:v>PRJ-017</x:v>
      </x:c>
      <x:c r="D2698" s="4" t="str">
        <x:v>Retail</x:v>
      </x:c>
      <x:c r="E2698" s="4" t="str">
        <x:v>Reserved</x:v>
      </x:c>
      <x:c r="F2698" s="4" t="str">
        <x:v>CUS-02697</x:v>
      </x:c>
      <x:c r="G2698" s="4" t="str">
        <x:v>UNIT-02697</x:v>
      </x:c>
      <x:c r="H2698" s="9" t="n">
        <x:v>7100000</x:v>
      </x:c>
      <x:c r="I2698" s="10" t="n">
        <x:v>0.11</x:v>
      </x:c>
      <x:c r="J2698" s="11" t="n">
        <x:v>3</x:v>
      </x:c>
      <x:c r="K2698" s="11" t="n">
        <x:v>1</x:v>
      </x:c>
      <x:c r="L2698" s="11" t="n">
        <x:v>1</x:v>
      </x:c>
      <x:c r="M2698" s="9" t="n">
        <x:f>ROUND(H2698*(1-I2698),2)</x:f>
        <x:v>6319000</x:v>
      </x:c>
      <x:c r="N2698" s="4" t="str">
        <x:v>Sales head</x:v>
      </x:c>
      <x:c r="O2698" s="4"/>
      <x:c r="P2698" s="9" t="n">
        <x:v>0</x:v>
      </x:c>
      <x:c r="Q2698" s="11" t="n">
        <x:v>0</x:v>
      </x:c>
      <x:c r="R2698" s="8" t="n">
        <x:v>45512</x:v>
      </x:c>
      <x:c r="S2698" s="4" t="str">
        <x:v>Retained</x:v>
      </x:c>
      <x:c r="T2698" s="10" t="n">
        <x:v>0.145833</x:v>
      </x:c>
      <x:c r="U2698" s="4" t="str">
        <x:v>Excluded / unlabelled</x:v>
      </x:c>
    </x:row>
    <x:row r="2699" ht="34" customHeight="1">
      <x:c r="A2699" s="4" t="str">
        <x:v>RS-02698</x:v>
      </x:c>
      <x:c r="B2699" s="8" t="n">
        <x:v>45453</x:v>
      </x:c>
      <x:c r="C2699" s="4" t="str">
        <x:v>PRJ-018</x:v>
      </x:c>
      <x:c r="D2699" s="4" t="str">
        <x:v>Retail</x:v>
      </x:c>
      <x:c r="E2699" s="4" t="str">
        <x:v>Cancelled</x:v>
      </x:c>
      <x:c r="F2699" s="4" t="str">
        <x:v>CUS-02698</x:v>
      </x:c>
      <x:c r="G2699" s="4" t="str">
        <x:v>UNIT-02698</x:v>
      </x:c>
      <x:c r="H2699" s="9" t="n">
        <x:v>17800000</x:v>
      </x:c>
      <x:c r="I2699" s="10" t="n">
        <x:v>0.11</x:v>
      </x:c>
      <x:c r="J2699" s="11" t="n">
        <x:v>9</x:v>
      </x:c>
      <x:c r="K2699" s="11" t="n">
        <x:v>2</x:v>
      </x:c>
      <x:c r="L2699" s="11" t="n">
        <x:v>1</x:v>
      </x:c>
      <x:c r="M2699" s="9" t="n">
        <x:f>ROUND(H2699*(1-I2699),2)</x:f>
        <x:v>15842000</x:v>
      </x:c>
      <x:c r="N2699" s="4" t="str">
        <x:v>Sales head</x:v>
      </x:c>
      <x:c r="O2699" s="4"/>
      <x:c r="P2699" s="9" t="n">
        <x:v>0</x:v>
      </x:c>
      <x:c r="Q2699" s="11" t="n">
        <x:v>1</x:v>
      </x:c>
      <x:c r="R2699" s="8" t="n">
        <x:v>45513</x:v>
      </x:c>
      <x:c r="S2699" s="4" t="str">
        <x:v>Lost / cancelled</x:v>
      </x:c>
      <x:c r="T2699" s="10" t="n">
        <x:v>0.310195</x:v>
      </x:c>
      <x:c r="U2699" s="4" t="str">
        <x:v>Excluded / unlabelled</x:v>
      </x:c>
    </x:row>
    <x:row r="2700" ht="34" customHeight="1">
      <x:c r="A2700" s="4" t="str">
        <x:v>RS-02699</x:v>
      </x:c>
      <x:c r="B2700" s="8" t="n">
        <x:v>45454</x:v>
      </x:c>
      <x:c r="C2700" s="4" t="str">
        <x:v>PRJ-019</x:v>
      </x:c>
      <x:c r="D2700" s="4" t="str">
        <x:v>Retail</x:v>
      </x:c>
      <x:c r="E2700" s="4" t="str">
        <x:v>Enquiry</x:v>
      </x:c>
      <x:c r="F2700" s="4" t="str">
        <x:v>CUS-02699</x:v>
      </x:c>
      <x:c r="G2700" s="4" t="str">
        <x:v>UNIT-02699</x:v>
      </x:c>
      <x:c r="H2700" s="9" t="n">
        <x:v>12100000</x:v>
      </x:c>
      <x:c r="I2700" s="10" t="n">
        <x:v>0.01</x:v>
      </x:c>
      <x:c r="J2700" s="11" t="n">
        <x:v>2</x:v>
      </x:c>
      <x:c r="K2700" s="11" t="n">
        <x:v>1</x:v>
      </x:c>
      <x:c r="L2700" s="11" t="n">
        <x:v>0</x:v>
      </x:c>
      <x:c r="M2700" s="9" t="n">
        <x:f>ROUND(H2700*(1-I2700),2)</x:f>
        <x:v>11979000</x:v>
      </x:c>
      <x:c r="N2700" s="4" t="str">
        <x:v>Sales manager</x:v>
      </x:c>
      <x:c r="O2700" s="4"/>
      <x:c r="P2700" s="9" t="n">
        <x:v>0</x:v>
      </x:c>
      <x:c r="Q2700" s="11" t="n">
        <x:v>1</x:v>
      </x:c>
      <x:c r="R2700" s="8" t="n">
        <x:v>45514</x:v>
      </x:c>
      <x:c r="S2700" s="4" t="str">
        <x:v>Lost / cancelled</x:v>
      </x:c>
      <x:c r="T2700" s="10" t="n">
        <x:v>0.171717</x:v>
      </x:c>
      <x:c r="U2700" s="4" t="str">
        <x:v>Excluded / unlabelled</x:v>
      </x:c>
    </x:row>
    <x:row r="2701" ht="34" customHeight="1">
      <x:c r="A2701" s="4" t="str">
        <x:v>RS-02700</x:v>
      </x:c>
      <x:c r="B2701" s="8" t="n">
        <x:v>45455</x:v>
      </x:c>
      <x:c r="C2701" s="4" t="str">
        <x:v>PRJ-020</x:v>
      </x:c>
      <x:c r="D2701" s="4" t="str">
        <x:v>Apartment</x:v>
      </x:c>
      <x:c r="E2701" s="4" t="str">
        <x:v>Booked</x:v>
      </x:c>
      <x:c r="F2701" s="4" t="str">
        <x:v>CUS-02700</x:v>
      </x:c>
      <x:c r="G2701" s="4" t="str">
        <x:v>UNIT-02700</x:v>
      </x:c>
      <x:c r="H2701" s="9" t="n">
        <x:v>22700000</x:v>
      </x:c>
      <x:c r="I2701" s="10" t="n">
        <x:v>0.09</x:v>
      </x:c>
      <x:c r="J2701" s="11" t="n">
        <x:v>3</x:v>
      </x:c>
      <x:c r="K2701" s="11" t="n">
        <x:v>1</x:v>
      </x:c>
      <x:c r="L2701" s="11" t="n">
        <x:v>1</x:v>
      </x:c>
      <x:c r="M2701" s="9" t="n">
        <x:f>ROUND(H2701*(1-I2701),2)</x:f>
        <x:v>20657000</x:v>
      </x:c>
      <x:c r="N2701" s="4" t="str">
        <x:v>Sales head</x:v>
      </x:c>
      <x:c r="O2701" s="4" t="str">
        <x:v>BOOK-02700</x:v>
      </x:c>
      <x:c r="P2701" s="9" t="n">
        <x:v>5164250</x:v>
      </x:c>
      <x:c r="Q2701" s="11" t="n">
        <x:v>0</x:v>
      </x:c>
      <x:c r="R2701" s="8" t="n">
        <x:v>45515</x:v>
      </x:c>
      <x:c r="S2701" s="4" t="str">
        <x:v>Retained</x:v>
      </x:c>
      <x:c r="T2701" s="10" t="n">
        <x:v>0.145833</x:v>
      </x:c>
      <x:c r="U2701" s="4" t="str">
        <x:v>Excluded / unlabelled</x:v>
      </x:c>
    </x:row>
    <x:row r="2702" ht="34" customHeight="1">
      <x:c r="A2702" s="4" t="str">
        <x:v>RS-02701</x:v>
      </x:c>
      <x:c r="B2702" s="8" t="n">
        <x:v>45456</x:v>
      </x:c>
      <x:c r="C2702" s="4" t="str">
        <x:v>PRJ-001</x:v>
      </x:c>
      <x:c r="D2702" s="4" t="str">
        <x:v>Apartment</x:v>
      </x:c>
      <x:c r="E2702" s="4" t="str">
        <x:v>Enquiry</x:v>
      </x:c>
      <x:c r="F2702" s="4" t="str">
        <x:v>CUS-02701</x:v>
      </x:c>
      <x:c r="G2702" s="4" t="str">
        <x:v>UNIT-02701</x:v>
      </x:c>
      <x:c r="H2702" s="9" t="n">
        <x:v>18900000</x:v>
      </x:c>
      <x:c r="I2702" s="10" t="n">
        <x:v>0.11</x:v>
      </x:c>
      <x:c r="J2702" s="11" t="n">
        <x:v>4</x:v>
      </x:c>
      <x:c r="K2702" s="11" t="n">
        <x:v>2</x:v>
      </x:c>
      <x:c r="L2702" s="11" t="n">
        <x:v>0</x:v>
      </x:c>
      <x:c r="M2702" s="9" t="n">
        <x:f>ROUND(H2702*(1-I2702),2)</x:f>
        <x:v>16821000</x:v>
      </x:c>
      <x:c r="N2702" s="4" t="str">
        <x:v>Sales head</x:v>
      </x:c>
      <x:c r="O2702" s="4"/>
      <x:c r="P2702" s="9" t="n">
        <x:v>0</x:v>
      </x:c>
      <x:c r="Q2702" s="11" t="n">
        <x:v>1</x:v>
      </x:c>
      <x:c r="R2702" s="8" t="n">
        <x:v>45516</x:v>
      </x:c>
      <x:c r="S2702" s="4" t="str">
        <x:v>Lost / cancelled</x:v>
      </x:c>
      <x:c r="T2702" s="10" t="n">
        <x:v>0.226277</x:v>
      </x:c>
      <x:c r="U2702" s="4" t="str">
        <x:v>Excluded / unlabelled</x:v>
      </x:c>
    </x:row>
    <x:row r="2703" ht="34" customHeight="1">
      <x:c r="A2703" s="4" t="str">
        <x:v>RS-02702</x:v>
      </x:c>
      <x:c r="B2703" s="8" t="n">
        <x:v>45457</x:v>
      </x:c>
      <x:c r="C2703" s="4" t="str">
        <x:v>PRJ-002</x:v>
      </x:c>
      <x:c r="D2703" s="4" t="str">
        <x:v>Office</x:v>
      </x:c>
      <x:c r="E2703" s="4" t="str">
        <x:v>Agreement signed</x:v>
      </x:c>
      <x:c r="F2703" s="4" t="str">
        <x:v>CUS-02702</x:v>
      </x:c>
      <x:c r="G2703" s="4" t="str">
        <x:v>UNIT-02702</x:v>
      </x:c>
      <x:c r="H2703" s="9" t="n">
        <x:v>6900000</x:v>
      </x:c>
      <x:c r="I2703" s="10" t="n">
        <x:v>0.1</x:v>
      </x:c>
      <x:c r="J2703" s="11" t="n">
        <x:v>6</x:v>
      </x:c>
      <x:c r="K2703" s="11" t="n">
        <x:v>7</x:v>
      </x:c>
      <x:c r="L2703" s="11" t="n">
        <x:v>0</x:v>
      </x:c>
      <x:c r="M2703" s="9" t="n">
        <x:f>ROUND(H2703*(1-I2703),2)</x:f>
        <x:v>6210000</x:v>
      </x:c>
      <x:c r="N2703" s="4" t="str">
        <x:v>Sales head</x:v>
      </x:c>
      <x:c r="O2703" s="4" t="str">
        <x:v>BOOK-02702</x:v>
      </x:c>
      <x:c r="P2703" s="9" t="n">
        <x:v>3105000</x:v>
      </x:c>
      <x:c r="Q2703" s="11" t="n">
        <x:v>0</x:v>
      </x:c>
      <x:c r="R2703" s="8" t="n">
        <x:v>45517</x:v>
      </x:c>
      <x:c r="S2703" s="4" t="str">
        <x:v>Retained</x:v>
      </x:c>
      <x:c r="T2703" s="10" t="n">
        <x:v>0.226277</x:v>
      </x:c>
      <x:c r="U2703" s="4" t="str">
        <x:v>Excluded / unlabelled</x:v>
      </x:c>
    </x:row>
    <x:row r="2704" ht="34" customHeight="1">
      <x:c r="A2704" s="4" t="str">
        <x:v>RS-02703</x:v>
      </x:c>
      <x:c r="B2704" s="8" t="n">
        <x:v>45458</x:v>
      </x:c>
      <x:c r="C2704" s="4" t="str">
        <x:v>PRJ-003</x:v>
      </x:c>
      <x:c r="D2704" s="4" t="str">
        <x:v>Office</x:v>
      </x:c>
      <x:c r="E2704" s="4" t="str">
        <x:v>Booked</x:v>
      </x:c>
      <x:c r="F2704" s="4" t="str">
        <x:v>CUS-02703</x:v>
      </x:c>
      <x:c r="G2704" s="4" t="str">
        <x:v>UNIT-02703</x:v>
      </x:c>
      <x:c r="H2704" s="9" t="n">
        <x:v>9100000</x:v>
      </x:c>
      <x:c r="I2704" s="10" t="n">
        <x:v>0.08</x:v>
      </x:c>
      <x:c r="J2704" s="11" t="n">
        <x:v>5</x:v>
      </x:c>
      <x:c r="K2704" s="11" t="n">
        <x:v>7</x:v>
      </x:c>
      <x:c r="L2704" s="11" t="n">
        <x:v>0</x:v>
      </x:c>
      <x:c r="M2704" s="9" t="n">
        <x:f>ROUND(H2704*(1-I2704),2)</x:f>
        <x:v>8372000</x:v>
      </x:c>
      <x:c r="N2704" s="4" t="str">
        <x:v>Sales head</x:v>
      </x:c>
      <x:c r="O2704" s="4" t="str">
        <x:v>BOOK-02703</x:v>
      </x:c>
      <x:c r="P2704" s="9" t="n">
        <x:v>4186000</x:v>
      </x:c>
      <x:c r="Q2704" s="11" t="n">
        <x:v>0</x:v>
      </x:c>
      <x:c r="R2704" s="8" t="n">
        <x:v>45518</x:v>
      </x:c>
      <x:c r="S2704" s="4" t="str">
        <x:v>Retained</x:v>
      </x:c>
      <x:c r="T2704" s="10" t="n">
        <x:v>0.226277</x:v>
      </x:c>
      <x:c r="U2704" s="4" t="str">
        <x:v>Excluded / unlabelled</x:v>
      </x:c>
    </x:row>
    <x:row r="2705" ht="34" customHeight="1">
      <x:c r="A2705" s="4" t="str">
        <x:v>RS-02704</x:v>
      </x:c>
      <x:c r="B2705" s="8" t="n">
        <x:v>45459</x:v>
      </x:c>
      <x:c r="C2705" s="4" t="str">
        <x:v>PRJ-004</x:v>
      </x:c>
      <x:c r="D2705" s="4" t="str">
        <x:v>Villa</x:v>
      </x:c>
      <x:c r="E2705" s="4" t="str">
        <x:v>Handed over</x:v>
      </x:c>
      <x:c r="F2705" s="4" t="str">
        <x:v>CUS-02704</x:v>
      </x:c>
      <x:c r="G2705" s="4" t="str">
        <x:v>UNIT-02704</x:v>
      </x:c>
      <x:c r="H2705" s="9" t="n">
        <x:v>21200000</x:v>
      </x:c>
      <x:c r="I2705" s="10" t="n">
        <x:v>0.01</x:v>
      </x:c>
      <x:c r="J2705" s="11" t="n">
        <x:v>8</x:v>
      </x:c>
      <x:c r="K2705" s="11" t="n">
        <x:v>7</x:v>
      </x:c>
      <x:c r="L2705" s="11" t="n">
        <x:v>0</x:v>
      </x:c>
      <x:c r="M2705" s="9" t="n">
        <x:f>ROUND(H2705*(1-I2705),2)</x:f>
        <x:v>20988000</x:v>
      </x:c>
      <x:c r="N2705" s="4" t="str">
        <x:v>Sales manager</x:v>
      </x:c>
      <x:c r="O2705" s="4" t="str">
        <x:v>BOOK-02704</x:v>
      </x:c>
      <x:c r="P2705" s="9" t="n">
        <x:v>20988000</x:v>
      </x:c>
      <x:c r="Q2705" s="11" t="n">
        <x:v>0</x:v>
      </x:c>
      <x:c r="R2705" s="8" t="n">
        <x:v>45519</x:v>
      </x:c>
      <x:c r="S2705" s="4" t="str">
        <x:v>Retained</x:v>
      </x:c>
      <x:c r="T2705" s="10" t="n">
        <x:v>0.305556</x:v>
      </x:c>
      <x:c r="U2705" s="4" t="str">
        <x:v>Excluded / unlabelled</x:v>
      </x:c>
    </x:row>
    <x:row r="2706" ht="34" customHeight="1">
      <x:c r="A2706" s="4" t="str">
        <x:v>RS-02705</x:v>
      </x:c>
      <x:c r="B2706" s="8" t="n">
        <x:v>45460</x:v>
      </x:c>
      <x:c r="C2706" s="4" t="str">
        <x:v>PRJ-005</x:v>
      </x:c>
      <x:c r="D2706" s="4" t="str">
        <x:v>Office</x:v>
      </x:c>
      <x:c r="E2706" s="4" t="str">
        <x:v>Cancelled</x:v>
      </x:c>
      <x:c r="F2706" s="4" t="str">
        <x:v>CUS-02705</x:v>
      </x:c>
      <x:c r="G2706" s="4" t="str">
        <x:v>UNIT-02705</x:v>
      </x:c>
      <x:c r="H2706" s="9" t="n">
        <x:v>16000000</x:v>
      </x:c>
      <x:c r="I2706" s="10" t="n">
        <x:v>0</x:v>
      </x:c>
      <x:c r="J2706" s="11" t="n">
        <x:v>8</x:v>
      </x:c>
      <x:c r="K2706" s="11" t="n">
        <x:v>2</x:v>
      </x:c>
      <x:c r="L2706" s="11" t="n">
        <x:v>0</x:v>
      </x:c>
      <x:c r="M2706" s="9" t="n">
        <x:f>ROUND(H2706*(1-I2706),2)</x:f>
        <x:v>16000000</x:v>
      </x:c>
      <x:c r="N2706" s="4" t="str">
        <x:v>Sales manager</x:v>
      </x:c>
      <x:c r="O2706" s="4"/>
      <x:c r="P2706" s="9" t="n">
        <x:v>0</x:v>
      </x:c>
      <x:c r="Q2706" s="11" t="n">
        <x:v>1</x:v>
      </x:c>
      <x:c r="R2706" s="8" t="n">
        <x:v>45520</x:v>
      </x:c>
      <x:c r="S2706" s="4" t="str">
        <x:v>Lost / cancelled</x:v>
      </x:c>
      <x:c r="T2706" s="10" t="n">
        <x:v>0.305556</x:v>
      </x:c>
      <x:c r="U2706" s="4" t="str">
        <x:v>Excluded / unlabelled</x:v>
      </x:c>
    </x:row>
    <x:row r="2707" ht="34" customHeight="1">
      <x:c r="A2707" s="4" t="str">
        <x:v>RS-02706</x:v>
      </x:c>
      <x:c r="B2707" s="8" t="n">
        <x:v>45461</x:v>
      </x:c>
      <x:c r="C2707" s="4" t="str">
        <x:v>PRJ-006</x:v>
      </x:c>
      <x:c r="D2707" s="4" t="str">
        <x:v>Retail</x:v>
      </x:c>
      <x:c r="E2707" s="4" t="str">
        <x:v>Reserved</x:v>
      </x:c>
      <x:c r="F2707" s="4" t="str">
        <x:v>CUS-02706</x:v>
      </x:c>
      <x:c r="G2707" s="4" t="str">
        <x:v>UNIT-02706</x:v>
      </x:c>
      <x:c r="H2707" s="9" t="n">
        <x:v>22200000</x:v>
      </x:c>
      <x:c r="I2707" s="10" t="n">
        <x:v>0.1</x:v>
      </x:c>
      <x:c r="J2707" s="11" t="n">
        <x:v>4</x:v>
      </x:c>
      <x:c r="K2707" s="11" t="n">
        <x:v>9</x:v>
      </x:c>
      <x:c r="L2707" s="11" t="n">
        <x:v>0</x:v>
      </x:c>
      <x:c r="M2707" s="9" t="n">
        <x:f>ROUND(H2707*(1-I2707),2)</x:f>
        <x:v>19980000</x:v>
      </x:c>
      <x:c r="N2707" s="4" t="str">
        <x:v>Sales head</x:v>
      </x:c>
      <x:c r="O2707" s="4"/>
      <x:c r="P2707" s="9" t="n">
        <x:v>0</x:v>
      </x:c>
      <x:c r="Q2707" s="11" t="n">
        <x:v>0</x:v>
      </x:c>
      <x:c r="R2707" s="8" t="n">
        <x:v>45521</x:v>
      </x:c>
      <x:c r="S2707" s="4" t="str">
        <x:v>Retained</x:v>
      </x:c>
      <x:c r="T2707" s="10" t="n">
        <x:v>0.226277</x:v>
      </x:c>
      <x:c r="U2707" s="4" t="str">
        <x:v>Excluded / unlabelled</x:v>
      </x:c>
    </x:row>
    <x:row r="2708" ht="34" customHeight="1">
      <x:c r="A2708" s="4" t="str">
        <x:v>RS-02707</x:v>
      </x:c>
      <x:c r="B2708" s="8" t="n">
        <x:v>45462</x:v>
      </x:c>
      <x:c r="C2708" s="4" t="str">
        <x:v>PRJ-007</x:v>
      </x:c>
      <x:c r="D2708" s="4" t="str">
        <x:v>Retail</x:v>
      </x:c>
      <x:c r="E2708" s="4" t="str">
        <x:v>Agreement signed</x:v>
      </x:c>
      <x:c r="F2708" s="4" t="str">
        <x:v>CUS-02707</x:v>
      </x:c>
      <x:c r="G2708" s="4" t="str">
        <x:v>UNIT-02707</x:v>
      </x:c>
      <x:c r="H2708" s="9" t="n">
        <x:v>11600000</x:v>
      </x:c>
      <x:c r="I2708" s="10" t="n">
        <x:v>0.03</x:v>
      </x:c>
      <x:c r="J2708" s="11" t="n">
        <x:v>5</x:v>
      </x:c>
      <x:c r="K2708" s="11" t="n">
        <x:v>1</x:v>
      </x:c>
      <x:c r="L2708" s="11" t="n">
        <x:v>0</x:v>
      </x:c>
      <x:c r="M2708" s="9" t="n">
        <x:f>ROUND(H2708*(1-I2708),2)</x:f>
        <x:v>11252000</x:v>
      </x:c>
      <x:c r="N2708" s="4" t="str">
        <x:v>Sales manager</x:v>
      </x:c>
      <x:c r="O2708" s="4" t="str">
        <x:v>BOOK-02707</x:v>
      </x:c>
      <x:c r="P2708" s="9" t="n">
        <x:v>1125200</x:v>
      </x:c>
      <x:c r="Q2708" s="11" t="n">
        <x:v>0</x:v>
      </x:c>
      <x:c r="R2708" s="8" t="n">
        <x:v>45522</x:v>
      </x:c>
      <x:c r="S2708" s="4" t="str">
        <x:v>Retained</x:v>
      </x:c>
      <x:c r="T2708" s="10" t="n">
        <x:v>0.298969</x:v>
      </x:c>
      <x:c r="U2708" s="4" t="str">
        <x:v>Excluded / unlabelled</x:v>
      </x:c>
    </x:row>
    <x:row r="2709" ht="34" customHeight="1">
      <x:c r="A2709" s="4" t="str">
        <x:v>RS-02708</x:v>
      </x:c>
      <x:c r="B2709" s="8" t="n">
        <x:v>45463</x:v>
      </x:c>
      <x:c r="C2709" s="4" t="str">
        <x:v>PRJ-008</x:v>
      </x:c>
      <x:c r="D2709" s="4" t="str">
        <x:v>Apartment</x:v>
      </x:c>
      <x:c r="E2709" s="4" t="str">
        <x:v>Cancelled</x:v>
      </x:c>
      <x:c r="F2709" s="4" t="str">
        <x:v>CUS-02708</x:v>
      </x:c>
      <x:c r="G2709" s="4" t="str">
        <x:v>UNIT-02708</x:v>
      </x:c>
      <x:c r="H2709" s="9" t="n">
        <x:v>16200000</x:v>
      </x:c>
      <x:c r="I2709" s="10" t="n">
        <x:v>0.04</x:v>
      </x:c>
      <x:c r="J2709" s="11" t="n">
        <x:v>5</x:v>
      </x:c>
      <x:c r="K2709" s="11" t="n">
        <x:v>3</x:v>
      </x:c>
      <x:c r="L2709" s="11" t="n">
        <x:v>1</x:v>
      </x:c>
      <x:c r="M2709" s="9" t="n">
        <x:f>ROUND(H2709*(1-I2709),2)</x:f>
        <x:v>15552000</x:v>
      </x:c>
      <x:c r="N2709" s="4" t="str">
        <x:v>Sales manager</x:v>
      </x:c>
      <x:c r="O2709" s="4"/>
      <x:c r="P2709" s="9" t="n">
        <x:v>0</x:v>
      </x:c>
      <x:c r="Q2709" s="11" t="n">
        <x:v>1</x:v>
      </x:c>
      <x:c r="R2709" s="8" t="n">
        <x:v>45523</x:v>
      </x:c>
      <x:c r="S2709" s="4" t="str">
        <x:v>Lost / cancelled</x:v>
      </x:c>
      <x:c r="T2709" s="10" t="n">
        <x:v>0.291946</x:v>
      </x:c>
      <x:c r="U2709" s="4" t="str">
        <x:v>Excluded / unlabelled</x:v>
      </x:c>
    </x:row>
    <x:row r="2710" ht="34" customHeight="1">
      <x:c r="A2710" s="4" t="str">
        <x:v>RS-02709</x:v>
      </x:c>
      <x:c r="B2710" s="8" t="n">
        <x:v>45464</x:v>
      </x:c>
      <x:c r="C2710" s="4" t="str">
        <x:v>PRJ-009</x:v>
      </x:c>
      <x:c r="D2710" s="4" t="str">
        <x:v>Office</x:v>
      </x:c>
      <x:c r="E2710" s="4" t="str">
        <x:v>Enquiry</x:v>
      </x:c>
      <x:c r="F2710" s="4" t="str">
        <x:v>CUS-02709</x:v>
      </x:c>
      <x:c r="G2710" s="4" t="str">
        <x:v>UNIT-02709</x:v>
      </x:c>
      <x:c r="H2710" s="9" t="n">
        <x:v>6000000</x:v>
      </x:c>
      <x:c r="I2710" s="10" t="n">
        <x:v>0.08</x:v>
      </x:c>
      <x:c r="J2710" s="11" t="n">
        <x:v>3</x:v>
      </x:c>
      <x:c r="K2710" s="11" t="n">
        <x:v>3</x:v>
      </x:c>
      <x:c r="L2710" s="11" t="n">
        <x:v>1</x:v>
      </x:c>
      <x:c r="M2710" s="9" t="n">
        <x:f>ROUND(H2710*(1-I2710),2)</x:f>
        <x:v>5520000</x:v>
      </x:c>
      <x:c r="N2710" s="4" t="str">
        <x:v>Sales head</x:v>
      </x:c>
      <x:c r="O2710" s="4"/>
      <x:c r="P2710" s="9" t="n">
        <x:v>0</x:v>
      </x:c>
      <x:c r="Q2710" s="11" t="n">
        <x:v>0</x:v>
      </x:c>
      <x:c r="R2710" s="8" t="n">
        <x:v>45524</x:v>
      </x:c>
      <x:c r="S2710" s="4" t="str">
        <x:v>Retained</x:v>
      </x:c>
      <x:c r="T2710" s="10" t="n">
        <x:v>0.204152</x:v>
      </x:c>
      <x:c r="U2710" s="4" t="str">
        <x:v>Excluded / unlabelled</x:v>
      </x:c>
    </x:row>
    <x:row r="2711" ht="34" customHeight="1">
      <x:c r="A2711" s="4" t="str">
        <x:v>RS-02710</x:v>
      </x:c>
      <x:c r="B2711" s="8" t="n">
        <x:v>45465</x:v>
      </x:c>
      <x:c r="C2711" s="4" t="str">
        <x:v>PRJ-010</x:v>
      </x:c>
      <x:c r="D2711" s="4" t="str">
        <x:v>Apartment</x:v>
      </x:c>
      <x:c r="E2711" s="4" t="str">
        <x:v>Handed over</x:v>
      </x:c>
      <x:c r="F2711" s="4" t="str">
        <x:v>CUS-02710</x:v>
      </x:c>
      <x:c r="G2711" s="4" t="str">
        <x:v>UNIT-02710</x:v>
      </x:c>
      <x:c r="H2711" s="9" t="n">
        <x:v>22700000</x:v>
      </x:c>
      <x:c r="I2711" s="10" t="n">
        <x:v>0.04</x:v>
      </x:c>
      <x:c r="J2711" s="11" t="n">
        <x:v>3</x:v>
      </x:c>
      <x:c r="K2711" s="11" t="n">
        <x:v>5</x:v>
      </x:c>
      <x:c r="L2711" s="11" t="n">
        <x:v>0</x:v>
      </x:c>
      <x:c r="M2711" s="9" t="n">
        <x:f>ROUND(H2711*(1-I2711),2)</x:f>
        <x:v>21792000</x:v>
      </x:c>
      <x:c r="N2711" s="4" t="str">
        <x:v>Sales manager</x:v>
      </x:c>
      <x:c r="O2711" s="4" t="str">
        <x:v>BOOK-02710</x:v>
      </x:c>
      <x:c r="P2711" s="9" t="n">
        <x:v>10896000</x:v>
      </x:c>
      <x:c r="Q2711" s="11" t="n">
        <x:v>0</x:v>
      </x:c>
      <x:c r="R2711" s="8" t="n">
        <x:v>45525</x:v>
      </x:c>
      <x:c r="S2711" s="4" t="str">
        <x:v>Retained</x:v>
      </x:c>
      <x:c r="T2711" s="10" t="n">
        <x:v>0.204152</x:v>
      </x:c>
      <x:c r="U2711" s="4" t="str">
        <x:v>Excluded / unlabelled</x:v>
      </x:c>
    </x:row>
    <x:row r="2712" ht="34" customHeight="1">
      <x:c r="A2712" s="4" t="str">
        <x:v>RS-02711</x:v>
      </x:c>
      <x:c r="B2712" s="8" t="n">
        <x:v>45466</x:v>
      </x:c>
      <x:c r="C2712" s="4" t="str">
        <x:v>PRJ-011</x:v>
      </x:c>
      <x:c r="D2712" s="4" t="str">
        <x:v>Apartment</x:v>
      </x:c>
      <x:c r="E2712" s="4" t="str">
        <x:v>Handed over</x:v>
      </x:c>
      <x:c r="F2712" s="4" t="str">
        <x:v>CUS-02711</x:v>
      </x:c>
      <x:c r="G2712" s="4" t="str">
        <x:v>UNIT-02711</x:v>
      </x:c>
      <x:c r="H2712" s="9" t="n">
        <x:v>7000000</x:v>
      </x:c>
      <x:c r="I2712" s="10" t="n">
        <x:v>0.05</x:v>
      </x:c>
      <x:c r="J2712" s="11" t="n">
        <x:v>1</x:v>
      </x:c>
      <x:c r="K2712" s="11" t="n">
        <x:v>2</x:v>
      </x:c>
      <x:c r="L2712" s="11" t="n">
        <x:v>0</x:v>
      </x:c>
      <x:c r="M2712" s="9" t="n">
        <x:f>ROUND(H2712*(1-I2712),2)</x:f>
        <x:v>6650000</x:v>
      </x:c>
      <x:c r="N2712" s="4" t="str">
        <x:v>Sales manager</x:v>
      </x:c>
      <x:c r="O2712" s="4" t="str">
        <x:v>BOOK-02711</x:v>
      </x:c>
      <x:c r="P2712" s="9" t="n">
        <x:v>1662500</x:v>
      </x:c>
      <x:c r="Q2712" s="11" t="n">
        <x:v>0</x:v>
      </x:c>
      <x:c r="R2712" s="8" t="n">
        <x:v>45526</x:v>
      </x:c>
      <x:c r="S2712" s="4" t="str">
        <x:v>Retained</x:v>
      </x:c>
      <x:c r="T2712" s="10" t="n">
        <x:v>0.204152</x:v>
      </x:c>
      <x:c r="U2712" s="4" t="str">
        <x:v>Excluded / unlabelled</x:v>
      </x:c>
    </x:row>
    <x:row r="2713" ht="34" customHeight="1">
      <x:c r="A2713" s="4" t="str">
        <x:v>RS-02712</x:v>
      </x:c>
      <x:c r="B2713" s="8" t="n">
        <x:v>45467</x:v>
      </x:c>
      <x:c r="C2713" s="4" t="str">
        <x:v>PRJ-012</x:v>
      </x:c>
      <x:c r="D2713" s="4" t="str">
        <x:v>Apartment</x:v>
      </x:c>
      <x:c r="E2713" s="4" t="str">
        <x:v>Cancelled</x:v>
      </x:c>
      <x:c r="F2713" s="4" t="str">
        <x:v>CUS-02712</x:v>
      </x:c>
      <x:c r="G2713" s="4" t="str">
        <x:v>UNIT-02712</x:v>
      </x:c>
      <x:c r="H2713" s="9" t="n">
        <x:v>7000000</x:v>
      </x:c>
      <x:c r="I2713" s="10" t="n">
        <x:v>0.01</x:v>
      </x:c>
      <x:c r="J2713" s="11" t="n">
        <x:v>12</x:v>
      </x:c>
      <x:c r="K2713" s="11" t="n">
        <x:v>9</x:v>
      </x:c>
      <x:c r="L2713" s="11" t="n">
        <x:v>1</x:v>
      </x:c>
      <x:c r="M2713" s="9" t="n">
        <x:f>ROUND(H2713*(1-I2713),2)</x:f>
        <x:v>6930000</x:v>
      </x:c>
      <x:c r="N2713" s="4" t="str">
        <x:v>Sales manager</x:v>
      </x:c>
      <x:c r="O2713" s="4"/>
      <x:c r="P2713" s="9" t="n">
        <x:v>0</x:v>
      </x:c>
      <x:c r="Q2713" s="11" t="n">
        <x:v>1</x:v>
      </x:c>
      <x:c r="R2713" s="8" t="n">
        <x:v>45527</x:v>
      </x:c>
      <x:c r="S2713" s="4" t="str">
        <x:v>Lost / cancelled</x:v>
      </x:c>
      <x:c r="T2713" s="10" t="n">
        <x:v>0.254545</x:v>
      </x:c>
      <x:c r="U2713" s="4" t="str">
        <x:v>Excluded / unlabelled</x:v>
      </x:c>
    </x:row>
    <x:row r="2714" ht="34" customHeight="1">
      <x:c r="A2714" s="4" t="str">
        <x:v>RS-02713</x:v>
      </x:c>
      <x:c r="B2714" s="8" t="n">
        <x:v>45468</x:v>
      </x:c>
      <x:c r="C2714" s="4" t="str">
        <x:v>PRJ-013</x:v>
      </x:c>
      <x:c r="D2714" s="4" t="str">
        <x:v>Office</x:v>
      </x:c>
      <x:c r="E2714" s="4" t="str">
        <x:v>Reserved</x:v>
      </x:c>
      <x:c r="F2714" s="4" t="str">
        <x:v>CUS-02713</x:v>
      </x:c>
      <x:c r="G2714" s="4" t="str">
        <x:v>UNIT-02713</x:v>
      </x:c>
      <x:c r="H2714" s="9" t="n">
        <x:v>10300000</x:v>
      </x:c>
      <x:c r="I2714" s="10" t="n">
        <x:v>0.05</x:v>
      </x:c>
      <x:c r="J2714" s="11" t="n">
        <x:v>7</x:v>
      </x:c>
      <x:c r="K2714" s="11" t="n">
        <x:v>3</x:v>
      </x:c>
      <x:c r="L2714" s="11" t="n">
        <x:v>0</x:v>
      </x:c>
      <x:c r="M2714" s="9" t="n">
        <x:f>ROUND(H2714*(1-I2714),2)</x:f>
        <x:v>9785000</x:v>
      </x:c>
      <x:c r="N2714" s="4" t="str">
        <x:v>Sales manager</x:v>
      </x:c>
      <x:c r="O2714" s="4"/>
      <x:c r="P2714" s="9" t="n">
        <x:v>0</x:v>
      </x:c>
      <x:c r="Q2714" s="11" t="n">
        <x:v>0</x:v>
      </x:c>
      <x:c r="R2714" s="8" t="n">
        <x:v>45528</x:v>
      </x:c>
      <x:c r="S2714" s="4" t="str">
        <x:v>Retained</x:v>
      </x:c>
      <x:c r="T2714" s="10" t="n">
        <x:v>0.226277</x:v>
      </x:c>
      <x:c r="U2714" s="4" t="str">
        <x:v>Excluded / unlabelled</x:v>
      </x:c>
    </x:row>
    <x:row r="2715" ht="34" customHeight="1">
      <x:c r="A2715" s="4" t="str">
        <x:v>RS-02714</x:v>
      </x:c>
      <x:c r="B2715" s="8" t="n">
        <x:v>45469</x:v>
      </x:c>
      <x:c r="C2715" s="4" t="str">
        <x:v>PRJ-014</x:v>
      </x:c>
      <x:c r="D2715" s="4" t="str">
        <x:v>Villa</x:v>
      </x:c>
      <x:c r="E2715" s="4" t="str">
        <x:v>Enquiry</x:v>
      </x:c>
      <x:c r="F2715" s="4" t="str">
        <x:v>CUS-02714</x:v>
      </x:c>
      <x:c r="G2715" s="4" t="str">
        <x:v>UNIT-02714</x:v>
      </x:c>
      <x:c r="H2715" s="9" t="n">
        <x:v>13600000</x:v>
      </x:c>
      <x:c r="I2715" s="10" t="n">
        <x:v>0.09</x:v>
      </x:c>
      <x:c r="J2715" s="11" t="n">
        <x:v>0</x:v>
      </x:c>
      <x:c r="K2715" s="11" t="n">
        <x:v>1</x:v>
      </x:c>
      <x:c r="L2715" s="11" t="n">
        <x:v>0</x:v>
      </x:c>
      <x:c r="M2715" s="9" t="n">
        <x:f>ROUND(H2715*(1-I2715),2)</x:f>
        <x:v>12376000</x:v>
      </x:c>
      <x:c r="N2715" s="4" t="str">
        <x:v>Sales head</x:v>
      </x:c>
      <x:c r="O2715" s="4"/>
      <x:c r="P2715" s="9" t="n">
        <x:v>0</x:v>
      </x:c>
      <x:c r="Q2715" s="11" t="n">
        <x:v>1</x:v>
      </x:c>
      <x:c r="R2715" s="8" t="n">
        <x:v>45529</x:v>
      </x:c>
      <x:c r="S2715" s="4" t="str">
        <x:v>Lost / cancelled</x:v>
      </x:c>
      <x:c r="T2715" s="10" t="n">
        <x:v>0.145833</x:v>
      </x:c>
      <x:c r="U2715" s="4" t="str">
        <x:v>Excluded / unlabelled</x:v>
      </x:c>
    </x:row>
    <x:row r="2716" ht="34" customHeight="1">
      <x:c r="A2716" s="4" t="str">
        <x:v>RS-02715</x:v>
      </x:c>
      <x:c r="B2716" s="8" t="n">
        <x:v>45470</x:v>
      </x:c>
      <x:c r="C2716" s="4" t="str">
        <x:v>PRJ-015</x:v>
      </x:c>
      <x:c r="D2716" s="4" t="str">
        <x:v>Villa</x:v>
      </x:c>
      <x:c r="E2716" s="4" t="str">
        <x:v>Reserved</x:v>
      </x:c>
      <x:c r="F2716" s="4" t="str">
        <x:v>CUS-02715</x:v>
      </x:c>
      <x:c r="G2716" s="4" t="str">
        <x:v>UNIT-02715</x:v>
      </x:c>
      <x:c r="H2716" s="9" t="n">
        <x:v>19100000</x:v>
      </x:c>
      <x:c r="I2716" s="10" t="n">
        <x:v>0.05</x:v>
      </x:c>
      <x:c r="J2716" s="11" t="n">
        <x:v>7</x:v>
      </x:c>
      <x:c r="K2716" s="11" t="n">
        <x:v>9</x:v>
      </x:c>
      <x:c r="L2716" s="11" t="n">
        <x:v>0</x:v>
      </x:c>
      <x:c r="M2716" s="9" t="n">
        <x:f>ROUND(H2716*(1-I2716),2)</x:f>
        <x:v>18145000</x:v>
      </x:c>
      <x:c r="N2716" s="4" t="str">
        <x:v>Sales manager</x:v>
      </x:c>
      <x:c r="O2716" s="4"/>
      <x:c r="P2716" s="9" t="n">
        <x:v>0</x:v>
      </x:c>
      <x:c r="Q2716" s="11" t="n">
        <x:v>1</x:v>
      </x:c>
      <x:c r="R2716" s="8" t="n">
        <x:v>45530</x:v>
      </x:c>
      <x:c r="S2716" s="4" t="str">
        <x:v>Lost / cancelled</x:v>
      </x:c>
      <x:c r="T2716" s="10" t="n">
        <x:v>0.226277</x:v>
      </x:c>
      <x:c r="U2716" s="4" t="str">
        <x:v>Excluded / unlabelled</x:v>
      </x:c>
    </x:row>
    <x:row r="2717" ht="34" customHeight="1">
      <x:c r="A2717" s="4" t="str">
        <x:v>RS-02716</x:v>
      </x:c>
      <x:c r="B2717" s="8" t="n">
        <x:v>45471</x:v>
      </x:c>
      <x:c r="C2717" s="4" t="str">
        <x:v>PRJ-016</x:v>
      </x:c>
      <x:c r="D2717" s="4" t="str">
        <x:v>Retail</x:v>
      </x:c>
      <x:c r="E2717" s="4" t="str">
        <x:v>Enquiry</x:v>
      </x:c>
      <x:c r="F2717" s="4" t="str">
        <x:v>CUS-02716</x:v>
      </x:c>
      <x:c r="G2717" s="4" t="str">
        <x:v>UNIT-02716</x:v>
      </x:c>
      <x:c r="H2717" s="9" t="n">
        <x:v>11400000</x:v>
      </x:c>
      <x:c r="I2717" s="10" t="n">
        <x:v>0.11</x:v>
      </x:c>
      <x:c r="J2717" s="11" t="n">
        <x:v>8</x:v>
      </x:c>
      <x:c r="K2717" s="11" t="n">
        <x:v>5</x:v>
      </x:c>
      <x:c r="L2717" s="11" t="n">
        <x:v>1</x:v>
      </x:c>
      <x:c r="M2717" s="9" t="n">
        <x:f>ROUND(H2717*(1-I2717),2)</x:f>
        <x:v>10146000</x:v>
      </x:c>
      <x:c r="N2717" s="4" t="str">
        <x:v>Sales head</x:v>
      </x:c>
      <x:c r="O2717" s="4"/>
      <x:c r="P2717" s="9" t="n">
        <x:v>0</x:v>
      </x:c>
      <x:c r="Q2717" s="11" t="n">
        <x:v>0</x:v>
      </x:c>
      <x:c r="R2717" s="8" t="n">
        <x:v>45531</x:v>
      </x:c>
      <x:c r="S2717" s="4" t="str">
        <x:v>Retained</x:v>
      </x:c>
      <x:c r="T2717" s="10" t="n">
        <x:v>0.310195</x:v>
      </x:c>
      <x:c r="U2717" s="4" t="str">
        <x:v>Excluded / unlabelled</x:v>
      </x:c>
    </x:row>
    <x:row r="2718" ht="34" customHeight="1">
      <x:c r="A2718" s="4" t="str">
        <x:v>RS-02717</x:v>
      </x:c>
      <x:c r="B2718" s="8" t="n">
        <x:v>45444</x:v>
      </x:c>
      <x:c r="C2718" s="4" t="str">
        <x:v>PRJ-017</x:v>
      </x:c>
      <x:c r="D2718" s="4" t="str">
        <x:v>Office</x:v>
      </x:c>
      <x:c r="E2718" s="4" t="str">
        <x:v>Agreement signed</x:v>
      </x:c>
      <x:c r="F2718" s="4" t="str">
        <x:v>CUS-02717</x:v>
      </x:c>
      <x:c r="G2718" s="4" t="str">
        <x:v>UNIT-02717</x:v>
      </x:c>
      <x:c r="H2718" s="9" t="n">
        <x:v>19500000</x:v>
      </x:c>
      <x:c r="I2718" s="10" t="n">
        <x:v>0.05</x:v>
      </x:c>
      <x:c r="J2718" s="11" t="n">
        <x:v>4</x:v>
      </x:c>
      <x:c r="K2718" s="11" t="n">
        <x:v>8</x:v>
      </x:c>
      <x:c r="L2718" s="11" t="n">
        <x:v>1</x:v>
      </x:c>
      <x:c r="M2718" s="9" t="n">
        <x:f>ROUND(H2718*(1-I2718),2)</x:f>
        <x:v>18525000</x:v>
      </x:c>
      <x:c r="N2718" s="4" t="str">
        <x:v>Sales manager</x:v>
      </x:c>
      <x:c r="O2718" s="4" t="str">
        <x:v>BOOK-02717</x:v>
      </x:c>
      <x:c r="P2718" s="9" t="n">
        <x:v>18525000</x:v>
      </x:c>
      <x:c r="Q2718" s="11" t="n">
        <x:v>0</x:v>
      </x:c>
      <x:c r="R2718" s="8" t="n">
        <x:v>45504</x:v>
      </x:c>
      <x:c r="S2718" s="4" t="str">
        <x:v>Retained</x:v>
      </x:c>
      <x:c r="T2718" s="10" t="n">
        <x:v>0.291946</x:v>
      </x:c>
      <x:c r="U2718" s="4" t="str">
        <x:v>Excluded / unlabelled</x:v>
      </x:c>
    </x:row>
    <x:row r="2719" ht="34" customHeight="1">
      <x:c r="A2719" s="4" t="str">
        <x:v>RS-02718</x:v>
      </x:c>
      <x:c r="B2719" s="8" t="n">
        <x:v>45445</x:v>
      </x:c>
      <x:c r="C2719" s="4" t="str">
        <x:v>PRJ-018</x:v>
      </x:c>
      <x:c r="D2719" s="4" t="str">
        <x:v>Retail</x:v>
      </x:c>
      <x:c r="E2719" s="4" t="str">
        <x:v>Reserved</x:v>
      </x:c>
      <x:c r="F2719" s="4" t="str">
        <x:v>CUS-02718</x:v>
      </x:c>
      <x:c r="G2719" s="4" t="str">
        <x:v>UNIT-02718</x:v>
      </x:c>
      <x:c r="H2719" s="9" t="n">
        <x:v>6300000</x:v>
      </x:c>
      <x:c r="I2719" s="10" t="n">
        <x:v>0.11</x:v>
      </x:c>
      <x:c r="J2719" s="11" t="n">
        <x:v>4</x:v>
      </x:c>
      <x:c r="K2719" s="11" t="n">
        <x:v>9</x:v>
      </x:c>
      <x:c r="L2719" s="11" t="n">
        <x:v>1</x:v>
      </x:c>
      <x:c r="M2719" s="9" t="n">
        <x:f>ROUND(H2719*(1-I2719),2)</x:f>
        <x:v>5607000</x:v>
      </x:c>
      <x:c r="N2719" s="4" t="str">
        <x:v>Sales head</x:v>
      </x:c>
      <x:c r="O2719" s="4"/>
      <x:c r="P2719" s="9" t="n">
        <x:v>0</x:v>
      </x:c>
      <x:c r="Q2719" s="11" t="n">
        <x:v>0</x:v>
      </x:c>
      <x:c r="R2719" s="8" t="n">
        <x:v>45505</x:v>
      </x:c>
      <x:c r="S2719" s="4" t="str">
        <x:v>Retained</x:v>
      </x:c>
      <x:c r="T2719" s="10" t="n">
        <x:v>0.291946</x:v>
      </x:c>
      <x:c r="U2719" s="4" t="str">
        <x:v>Excluded / unlabelled</x:v>
      </x:c>
    </x:row>
    <x:row r="2720" ht="34" customHeight="1">
      <x:c r="A2720" s="4" t="str">
        <x:v>RS-02719</x:v>
      </x:c>
      <x:c r="B2720" s="8" t="n">
        <x:v>45446</x:v>
      </x:c>
      <x:c r="C2720" s="4" t="str">
        <x:v>PRJ-019</x:v>
      </x:c>
      <x:c r="D2720" s="4" t="str">
        <x:v>Villa</x:v>
      </x:c>
      <x:c r="E2720" s="4" t="str">
        <x:v>Agreement signed</x:v>
      </x:c>
      <x:c r="F2720" s="4" t="str">
        <x:v>CUS-02719</x:v>
      </x:c>
      <x:c r="G2720" s="4" t="str">
        <x:v>UNIT-02719</x:v>
      </x:c>
      <x:c r="H2720" s="9" t="n">
        <x:v>6100000</x:v>
      </x:c>
      <x:c r="I2720" s="10" t="n">
        <x:v>0.09</x:v>
      </x:c>
      <x:c r="J2720" s="11" t="n">
        <x:v>1</x:v>
      </x:c>
      <x:c r="K2720" s="11" t="n">
        <x:v>7</x:v>
      </x:c>
      <x:c r="L2720" s="11" t="n">
        <x:v>0</x:v>
      </x:c>
      <x:c r="M2720" s="9" t="n">
        <x:f>ROUND(H2720*(1-I2720),2)</x:f>
        <x:v>5551000</x:v>
      </x:c>
      <x:c r="N2720" s="4" t="str">
        <x:v>Sales head</x:v>
      </x:c>
      <x:c r="O2720" s="4" t="str">
        <x:v>BOOK-02719</x:v>
      </x:c>
      <x:c r="P2720" s="9" t="n">
        <x:v>2775500</x:v>
      </x:c>
      <x:c r="Q2720" s="11" t="n">
        <x:v>0</x:v>
      </x:c>
      <x:c r="R2720" s="8" t="n">
        <x:v>45506</x:v>
      </x:c>
      <x:c r="S2720" s="4" t="str">
        <x:v>Retained</x:v>
      </x:c>
      <x:c r="T2720" s="10" t="n">
        <x:v>0.145833</x:v>
      </x:c>
      <x:c r="U2720" s="4" t="str">
        <x:v>Excluded / unlabelled</x:v>
      </x:c>
    </x:row>
    <x:row r="2721" ht="34" customHeight="1">
      <x:c r="A2721" s="4" t="str">
        <x:v>RS-02720</x:v>
      </x:c>
      <x:c r="B2721" s="8" t="n">
        <x:v>45447</x:v>
      </x:c>
      <x:c r="C2721" s="4" t="str">
        <x:v>PRJ-020</x:v>
      </x:c>
      <x:c r="D2721" s="4" t="str">
        <x:v>Retail</x:v>
      </x:c>
      <x:c r="E2721" s="4" t="str">
        <x:v>Handed over</x:v>
      </x:c>
      <x:c r="F2721" s="4" t="str">
        <x:v>CUS-02720</x:v>
      </x:c>
      <x:c r="G2721" s="4" t="str">
        <x:v>UNIT-02720</x:v>
      </x:c>
      <x:c r="H2721" s="9" t="n">
        <x:v>12000000</x:v>
      </x:c>
      <x:c r="I2721" s="10" t="n">
        <x:v>0.07</x:v>
      </x:c>
      <x:c r="J2721" s="11" t="n">
        <x:v>3</x:v>
      </x:c>
      <x:c r="K2721" s="11" t="n">
        <x:v>6</x:v>
      </x:c>
      <x:c r="L2721" s="11" t="n">
        <x:v>0</x:v>
      </x:c>
      <x:c r="M2721" s="9" t="n">
        <x:f>ROUND(H2721*(1-I2721),2)</x:f>
        <x:v>11160000</x:v>
      </x:c>
      <x:c r="N2721" s="4" t="str">
        <x:v>Sales manager</x:v>
      </x:c>
      <x:c r="O2721" s="4" t="str">
        <x:v>BOOK-02720</x:v>
      </x:c>
      <x:c r="P2721" s="9" t="n">
        <x:v>5580000</x:v>
      </x:c>
      <x:c r="Q2721" s="11" t="n">
        <x:v>0</x:v>
      </x:c>
      <x:c r="R2721" s="8" t="n">
        <x:v>45507</x:v>
      </x:c>
      <x:c r="S2721" s="4" t="str">
        <x:v>Retained</x:v>
      </x:c>
      <x:c r="T2721" s="10" t="n">
        <x:v>0.204152</x:v>
      </x:c>
      <x:c r="U2721" s="4" t="str">
        <x:v>Excluded / unlabelled</x:v>
      </x:c>
    </x:row>
    <x:row r="2722" ht="34" customHeight="1">
      <x:c r="A2722" s="4" t="str">
        <x:v>RS-02721</x:v>
      </x:c>
      <x:c r="B2722" s="8" t="n">
        <x:v>45448</x:v>
      </x:c>
      <x:c r="C2722" s="4" t="str">
        <x:v>PRJ-001</x:v>
      </x:c>
      <x:c r="D2722" s="4" t="str">
        <x:v>Villa</x:v>
      </x:c>
      <x:c r="E2722" s="4" t="str">
        <x:v>Cancelled</x:v>
      </x:c>
      <x:c r="F2722" s="4" t="str">
        <x:v>CUS-02721</x:v>
      </x:c>
      <x:c r="G2722" s="4" t="str">
        <x:v>UNIT-02721</x:v>
      </x:c>
      <x:c r="H2722" s="9" t="n">
        <x:v>8500000</x:v>
      </x:c>
      <x:c r="I2722" s="10" t="n">
        <x:v>0.02</x:v>
      </x:c>
      <x:c r="J2722" s="11" t="n">
        <x:v>2</x:v>
      </x:c>
      <x:c r="K2722" s="11" t="n">
        <x:v>10</x:v>
      </x:c>
      <x:c r="L2722" s="11" t="n">
        <x:v>1</x:v>
      </x:c>
      <x:c r="M2722" s="9" t="n">
        <x:f>ROUND(H2722*(1-I2722),2)</x:f>
        <x:v>8330000</x:v>
      </x:c>
      <x:c r="N2722" s="4" t="str">
        <x:v>Sales manager</x:v>
      </x:c>
      <x:c r="O2722" s="4"/>
      <x:c r="P2722" s="9" t="n">
        <x:v>0</x:v>
      </x:c>
      <x:c r="Q2722" s="11" t="n">
        <x:v>1</x:v>
      </x:c>
      <x:c r="R2722" s="8" t="n">
        <x:v>45508</x:v>
      </x:c>
      <x:c r="S2722" s="4" t="str">
        <x:v>Lost / cancelled</x:v>
      </x:c>
      <x:c r="T2722" s="10" t="n">
        <x:v>0.171717</x:v>
      </x:c>
      <x:c r="U2722" s="4" t="str">
        <x:v>Excluded / unlabelled</x:v>
      </x:c>
    </x:row>
    <x:row r="2723" ht="34" customHeight="1">
      <x:c r="A2723" s="4" t="str">
        <x:v>RS-02722</x:v>
      </x:c>
      <x:c r="B2723" s="8" t="n">
        <x:v>45449</x:v>
      </x:c>
      <x:c r="C2723" s="4" t="str">
        <x:v>PRJ-002</x:v>
      </x:c>
      <x:c r="D2723" s="4" t="str">
        <x:v>Office</x:v>
      </x:c>
      <x:c r="E2723" s="4" t="str">
        <x:v>Agreement signed</x:v>
      </x:c>
      <x:c r="F2723" s="4" t="str">
        <x:v>CUS-02722</x:v>
      </x:c>
      <x:c r="G2723" s="4" t="str">
        <x:v>UNIT-02722</x:v>
      </x:c>
      <x:c r="H2723" s="9" t="n">
        <x:v>11100000</x:v>
      </x:c>
      <x:c r="I2723" s="10" t="n">
        <x:v>0.11</x:v>
      </x:c>
      <x:c r="J2723" s="11" t="n">
        <x:v>8</x:v>
      </x:c>
      <x:c r="K2723" s="11" t="n">
        <x:v>5</x:v>
      </x:c>
      <x:c r="L2723" s="11" t="n">
        <x:v>1</x:v>
      </x:c>
      <x:c r="M2723" s="9" t="n">
        <x:f>ROUND(H2723*(1-I2723),2)</x:f>
        <x:v>9879000</x:v>
      </x:c>
      <x:c r="N2723" s="4" t="str">
        <x:v>Sales head</x:v>
      </x:c>
      <x:c r="O2723" s="4" t="str">
        <x:v>BOOK-02722</x:v>
      </x:c>
      <x:c r="P2723" s="9" t="n">
        <x:v>4939500</x:v>
      </x:c>
      <x:c r="Q2723" s="11" t="n">
        <x:v>0</x:v>
      </x:c>
      <x:c r="R2723" s="8" t="n">
        <x:v>45509</x:v>
      </x:c>
      <x:c r="S2723" s="4" t="str">
        <x:v>Retained</x:v>
      </x:c>
      <x:c r="T2723" s="10" t="n">
        <x:v>0.310195</x:v>
      </x:c>
      <x:c r="U2723" s="4" t="str">
        <x:v>Excluded / unlabelled</x:v>
      </x:c>
    </x:row>
    <x:row r="2724" ht="34" customHeight="1">
      <x:c r="A2724" s="4" t="str">
        <x:v>RS-02723</x:v>
      </x:c>
      <x:c r="B2724" s="8" t="n">
        <x:v>45450</x:v>
      </x:c>
      <x:c r="C2724" s="4" t="str">
        <x:v>PRJ-003</x:v>
      </x:c>
      <x:c r="D2724" s="4" t="str">
        <x:v>Apartment</x:v>
      </x:c>
      <x:c r="E2724" s="4" t="str">
        <x:v>Agreement signed</x:v>
      </x:c>
      <x:c r="F2724" s="4" t="str">
        <x:v>CUS-02723</x:v>
      </x:c>
      <x:c r="G2724" s="4" t="str">
        <x:v>UNIT-02723</x:v>
      </x:c>
      <x:c r="H2724" s="9" t="n">
        <x:v>20000000</x:v>
      </x:c>
      <x:c r="I2724" s="10" t="n">
        <x:v>0.01</x:v>
      </x:c>
      <x:c r="J2724" s="11" t="n">
        <x:v>4</x:v>
      </x:c>
      <x:c r="K2724" s="11" t="n">
        <x:v>2</x:v>
      </x:c>
      <x:c r="L2724" s="11" t="n">
        <x:v>1</x:v>
      </x:c>
      <x:c r="M2724" s="9" t="n">
        <x:f>ROUND(H2724*(1-I2724),2)</x:f>
        <x:v>19800000</x:v>
      </x:c>
      <x:c r="N2724" s="4" t="str">
        <x:v>Sales manager</x:v>
      </x:c>
      <x:c r="O2724" s="4" t="str">
        <x:v>BOOK-02723</x:v>
      </x:c>
      <x:c r="P2724" s="9" t="n">
        <x:v>9900000</x:v>
      </x:c>
      <x:c r="Q2724" s="11" t="n">
        <x:v>0</x:v>
      </x:c>
      <x:c r="R2724" s="8" t="n">
        <x:v>45510</x:v>
      </x:c>
      <x:c r="S2724" s="4" t="str">
        <x:v>Retained</x:v>
      </x:c>
      <x:c r="T2724" s="10" t="n">
        <x:v>0.298969</x:v>
      </x:c>
      <x:c r="U2724" s="4" t="str">
        <x:v>Excluded / unlabelled</x:v>
      </x:c>
    </x:row>
    <x:row r="2725" ht="34" customHeight="1">
      <x:c r="A2725" s="4" t="str">
        <x:v>RS-02724</x:v>
      </x:c>
      <x:c r="B2725" s="8" t="n">
        <x:v>45451</x:v>
      </x:c>
      <x:c r="C2725" s="4" t="str">
        <x:v>PRJ-004</x:v>
      </x:c>
      <x:c r="D2725" s="4" t="str">
        <x:v>Villa</x:v>
      </x:c>
      <x:c r="E2725" s="4" t="str">
        <x:v>Enquiry</x:v>
      </x:c>
      <x:c r="F2725" s="4" t="str">
        <x:v>CUS-02724</x:v>
      </x:c>
      <x:c r="G2725" s="4" t="str">
        <x:v>UNIT-02724</x:v>
      </x:c>
      <x:c r="H2725" s="9" t="n">
        <x:v>15800000</x:v>
      </x:c>
      <x:c r="I2725" s="10" t="n">
        <x:v>0.04</x:v>
      </x:c>
      <x:c r="J2725" s="11" t="n">
        <x:v>2</x:v>
      </x:c>
      <x:c r="K2725" s="11" t="n">
        <x:v>4</x:v>
      </x:c>
      <x:c r="L2725" s="11" t="n">
        <x:v>1</x:v>
      </x:c>
      <x:c r="M2725" s="9" t="n">
        <x:f>ROUND(H2725*(1-I2725),2)</x:f>
        <x:v>15168000</x:v>
      </x:c>
      <x:c r="N2725" s="4" t="str">
        <x:v>Sales manager</x:v>
      </x:c>
      <x:c r="O2725" s="4"/>
      <x:c r="P2725" s="9" t="n">
        <x:v>0</x:v>
      </x:c>
      <x:c r="Q2725" s="11" t="n">
        <x:v>0</x:v>
      </x:c>
      <x:c r="R2725" s="8" t="n">
        <x:v>45511</x:v>
      </x:c>
      <x:c r="S2725" s="4" t="str">
        <x:v>Retained</x:v>
      </x:c>
      <x:c r="T2725" s="10" t="n">
        <x:v>0.204152</x:v>
      </x:c>
      <x:c r="U2725" s="4" t="str">
        <x:v>Excluded / unlabelled</x:v>
      </x:c>
    </x:row>
    <x:row r="2726" ht="34" customHeight="1">
      <x:c r="A2726" s="4" t="str">
        <x:v>RS-02725</x:v>
      </x:c>
      <x:c r="B2726" s="8" t="n">
        <x:v>45452</x:v>
      </x:c>
      <x:c r="C2726" s="4" t="str">
        <x:v>PRJ-005</x:v>
      </x:c>
      <x:c r="D2726" s="4" t="str">
        <x:v>Office</x:v>
      </x:c>
      <x:c r="E2726" s="4" t="str">
        <x:v>Reserved</x:v>
      </x:c>
      <x:c r="F2726" s="4" t="str">
        <x:v>CUS-02725</x:v>
      </x:c>
      <x:c r="G2726" s="4" t="str">
        <x:v>UNIT-02725</x:v>
      </x:c>
      <x:c r="H2726" s="9" t="n">
        <x:v>14400000</x:v>
      </x:c>
      <x:c r="I2726" s="10" t="n">
        <x:v>0.09</x:v>
      </x:c>
      <x:c r="J2726" s="11" t="n">
        <x:v>12</x:v>
      </x:c>
      <x:c r="K2726" s="11" t="n">
        <x:v>5</x:v>
      </x:c>
      <x:c r="L2726" s="11" t="n">
        <x:v>1</x:v>
      </x:c>
      <x:c r="M2726" s="9" t="n">
        <x:f>ROUND(H2726*(1-I2726),2)</x:f>
        <x:v>13104000</x:v>
      </x:c>
      <x:c r="N2726" s="4" t="str">
        <x:v>Sales head</x:v>
      </x:c>
      <x:c r="O2726" s="4"/>
      <x:c r="P2726" s="9" t="n">
        <x:v>0</x:v>
      </x:c>
      <x:c r="Q2726" s="11" t="n">
        <x:v>1</x:v>
      </x:c>
      <x:c r="R2726" s="8" t="n">
        <x:v>45512</x:v>
      </x:c>
      <x:c r="S2726" s="4" t="str">
        <x:v>Lost / cancelled</x:v>
      </x:c>
      <x:c r="T2726" s="10" t="n">
        <x:v>0.351536</x:v>
      </x:c>
      <x:c r="U2726" s="4" t="str">
        <x:v>Excluded / unlabelled</x:v>
      </x:c>
    </x:row>
    <x:row r="2727" ht="34" customHeight="1">
      <x:c r="A2727" s="4" t="str">
        <x:v>RS-02726</x:v>
      </x:c>
      <x:c r="B2727" s="8" t="n">
        <x:v>45453</x:v>
      </x:c>
      <x:c r="C2727" s="4" t="str">
        <x:v>PRJ-006</x:v>
      </x:c>
      <x:c r="D2727" s="4" t="str">
        <x:v>Office</x:v>
      </x:c>
      <x:c r="E2727" s="4" t="str">
        <x:v>Handed over</x:v>
      </x:c>
      <x:c r="F2727" s="4" t="str">
        <x:v>CUS-02726</x:v>
      </x:c>
      <x:c r="G2727" s="4" t="str">
        <x:v>UNIT-02726</x:v>
      </x:c>
      <x:c r="H2727" s="9" t="n">
        <x:v>3200000</x:v>
      </x:c>
      <x:c r="I2727" s="10" t="n">
        <x:v>0.11</x:v>
      </x:c>
      <x:c r="J2727" s="11" t="n">
        <x:v>5</x:v>
      </x:c>
      <x:c r="K2727" s="11" t="n">
        <x:v>0</x:v>
      </x:c>
      <x:c r="L2727" s="11" t="n">
        <x:v>1</x:v>
      </x:c>
      <x:c r="M2727" s="9" t="n">
        <x:f>ROUND(H2727*(1-I2727),2)</x:f>
        <x:v>2848000</x:v>
      </x:c>
      <x:c r="N2727" s="4" t="str">
        <x:v>Sales head</x:v>
      </x:c>
      <x:c r="O2727" s="4" t="str">
        <x:v>BOOK-02726</x:v>
      </x:c>
      <x:c r="P2727" s="9" t="n">
        <x:v>1424000</x:v>
      </x:c>
      <x:c r="Q2727" s="11" t="n">
        <x:v>0</x:v>
      </x:c>
      <x:c r="R2727" s="8" t="n">
        <x:v>45513</x:v>
      </x:c>
      <x:c r="S2727" s="4" t="str">
        <x:v>Retained</x:v>
      </x:c>
      <x:c r="T2727" s="10" t="n">
        <x:v>0.291946</x:v>
      </x:c>
      <x:c r="U2727" s="4" t="str">
        <x:v>Excluded / unlabelled</x:v>
      </x:c>
    </x:row>
    <x:row r="2728" ht="34" customHeight="1">
      <x:c r="A2728" s="4" t="str">
        <x:v>RS-02727</x:v>
      </x:c>
      <x:c r="B2728" s="8" t="n">
        <x:v>45454</x:v>
      </x:c>
      <x:c r="C2728" s="4" t="str">
        <x:v>PRJ-007</x:v>
      </x:c>
      <x:c r="D2728" s="4" t="str">
        <x:v>Villa</x:v>
      </x:c>
      <x:c r="E2728" s="4" t="str">
        <x:v>Cancelled</x:v>
      </x:c>
      <x:c r="F2728" s="4" t="str">
        <x:v>CUS-02727</x:v>
      </x:c>
      <x:c r="G2728" s="4" t="str">
        <x:v>UNIT-02727</x:v>
      </x:c>
      <x:c r="H2728" s="9" t="n">
        <x:v>3000000</x:v>
      </x:c>
      <x:c r="I2728" s="10" t="n">
        <x:v>0.04</x:v>
      </x:c>
      <x:c r="J2728" s="11" t="n">
        <x:v>1</x:v>
      </x:c>
      <x:c r="K2728" s="11" t="n">
        <x:v>10</x:v>
      </x:c>
      <x:c r="L2728" s="11" t="n">
        <x:v>0</x:v>
      </x:c>
      <x:c r="M2728" s="9" t="n">
        <x:f>ROUND(H2728*(1-I2728),2)</x:f>
        <x:v>2880000</x:v>
      </x:c>
      <x:c r="N2728" s="4" t="str">
        <x:v>Sales manager</x:v>
      </x:c>
      <x:c r="O2728" s="4"/>
      <x:c r="P2728" s="9" t="n">
        <x:v>0</x:v>
      </x:c>
      <x:c r="Q2728" s="11" t="n">
        <x:v>1</x:v>
      </x:c>
      <x:c r="R2728" s="8" t="n">
        <x:v>45514</x:v>
      </x:c>
      <x:c r="S2728" s="4" t="str">
        <x:v>Lost / cancelled</x:v>
      </x:c>
      <x:c r="T2728" s="10" t="n">
        <x:v>0.204152</x:v>
      </x:c>
      <x:c r="U2728" s="4" t="str">
        <x:v>Excluded / unlabelled</x:v>
      </x:c>
    </x:row>
    <x:row r="2729" ht="34" customHeight="1">
      <x:c r="A2729" s="4" t="str">
        <x:v>RS-02728</x:v>
      </x:c>
      <x:c r="B2729" s="8" t="n">
        <x:v>45455</x:v>
      </x:c>
      <x:c r="C2729" s="4" t="str">
        <x:v>PRJ-008</x:v>
      </x:c>
      <x:c r="D2729" s="4" t="str">
        <x:v>Office</x:v>
      </x:c>
      <x:c r="E2729" s="4" t="str">
        <x:v>Handed over</x:v>
      </x:c>
      <x:c r="F2729" s="4" t="str">
        <x:v>CUS-02728</x:v>
      </x:c>
      <x:c r="G2729" s="4" t="str">
        <x:v>UNIT-02728</x:v>
      </x:c>
      <x:c r="H2729" s="9" t="n">
        <x:v>6200000</x:v>
      </x:c>
      <x:c r="I2729" s="10" t="n">
        <x:v>0.05</x:v>
      </x:c>
      <x:c r="J2729" s="11" t="n">
        <x:v>9</x:v>
      </x:c>
      <x:c r="K2729" s="11" t="n">
        <x:v>6</x:v>
      </x:c>
      <x:c r="L2729" s="11" t="n">
        <x:v>0</x:v>
      </x:c>
      <x:c r="M2729" s="9" t="n">
        <x:f>ROUND(H2729*(1-I2729),2)</x:f>
        <x:v>5890000</x:v>
      </x:c>
      <x:c r="N2729" s="4" t="str">
        <x:v>Sales manager</x:v>
      </x:c>
      <x:c r="O2729" s="4" t="str">
        <x:v>BOOK-02728</x:v>
      </x:c>
      <x:c r="P2729" s="9" t="n">
        <x:v>2945000</x:v>
      </x:c>
      <x:c r="Q2729" s="11" t="n">
        <x:v>0</x:v>
      </x:c>
      <x:c r="R2729" s="8" t="n">
        <x:v>45515</x:v>
      </x:c>
      <x:c r="S2729" s="4" t="str">
        <x:v>Retained</x:v>
      </x:c>
      <x:c r="T2729" s="10" t="n">
        <x:v>0.310195</x:v>
      </x:c>
      <x:c r="U2729" s="4" t="str">
        <x:v>Excluded / unlabelled</x:v>
      </x:c>
    </x:row>
    <x:row r="2730" ht="34" customHeight="1">
      <x:c r="A2730" s="4" t="str">
        <x:v>RS-02729</x:v>
      </x:c>
      <x:c r="B2730" s="8" t="n">
        <x:v>45456</x:v>
      </x:c>
      <x:c r="C2730" s="4" t="str">
        <x:v>PRJ-009</x:v>
      </x:c>
      <x:c r="D2730" s="4" t="str">
        <x:v>Villa</x:v>
      </x:c>
      <x:c r="E2730" s="4" t="str">
        <x:v>Enquiry</x:v>
      </x:c>
      <x:c r="F2730" s="4" t="str">
        <x:v>CUS-02729</x:v>
      </x:c>
      <x:c r="G2730" s="4" t="str">
        <x:v>UNIT-02729</x:v>
      </x:c>
      <x:c r="H2730" s="9" t="n">
        <x:v>24000000</x:v>
      </x:c>
      <x:c r="I2730" s="10" t="n">
        <x:v>0.06</x:v>
      </x:c>
      <x:c r="J2730" s="11" t="n">
        <x:v>0</x:v>
      </x:c>
      <x:c r="K2730" s="11" t="n">
        <x:v>1</x:v>
      </x:c>
      <x:c r="L2730" s="11" t="n">
        <x:v>1</x:v>
      </x:c>
      <x:c r="M2730" s="9" t="n">
        <x:f>ROUND(H2730*(1-I2730),2)</x:f>
        <x:v>22560000</x:v>
      </x:c>
      <x:c r="N2730" s="4" t="str">
        <x:v>Sales manager</x:v>
      </x:c>
      <x:c r="O2730" s="4"/>
      <x:c r="P2730" s="9" t="n">
        <x:v>0</x:v>
      </x:c>
      <x:c r="Q2730" s="11" t="n">
        <x:v>0</x:v>
      </x:c>
      <x:c r="R2730" s="8" t="n">
        <x:v>45516</x:v>
      </x:c>
      <x:c r="S2730" s="4" t="str">
        <x:v>Retained</x:v>
      </x:c>
      <x:c r="T2730" s="10" t="n">
        <x:v>0.204152</x:v>
      </x:c>
      <x:c r="U2730" s="4" t="str">
        <x:v>Excluded / unlabelled</x:v>
      </x:c>
    </x:row>
    <x:row r="2731" ht="34" customHeight="1">
      <x:c r="A2731" s="4" t="str">
        <x:v>RS-02730</x:v>
      </x:c>
      <x:c r="B2731" s="8" t="n">
        <x:v>45457</x:v>
      </x:c>
      <x:c r="C2731" s="4" t="str">
        <x:v>PRJ-010</x:v>
      </x:c>
      <x:c r="D2731" s="4" t="str">
        <x:v>Apartment</x:v>
      </x:c>
      <x:c r="E2731" s="4" t="str">
        <x:v>Enquiry</x:v>
      </x:c>
      <x:c r="F2731" s="4" t="str">
        <x:v>CUS-02730</x:v>
      </x:c>
      <x:c r="G2731" s="4" t="str">
        <x:v>UNIT-02730</x:v>
      </x:c>
      <x:c r="H2731" s="9" t="n">
        <x:v>13100000</x:v>
      </x:c>
      <x:c r="I2731" s="10" t="n">
        <x:v>0.08</x:v>
      </x:c>
      <x:c r="J2731" s="11" t="n">
        <x:v>5</x:v>
      </x:c>
      <x:c r="K2731" s="11" t="n">
        <x:v>1</x:v>
      </x:c>
      <x:c r="L2731" s="11" t="n">
        <x:v>0</x:v>
      </x:c>
      <x:c r="M2731" s="9" t="n">
        <x:f>ROUND(H2731*(1-I2731),2)</x:f>
        <x:v>12052000</x:v>
      </x:c>
      <x:c r="N2731" s="4" t="str">
        <x:v>Sales head</x:v>
      </x:c>
      <x:c r="O2731" s="4"/>
      <x:c r="P2731" s="9" t="n">
        <x:v>0</x:v>
      </x:c>
      <x:c r="Q2731" s="11" t="n">
        <x:v>0</x:v>
      </x:c>
      <x:c r="R2731" s="8" t="n">
        <x:v>45517</x:v>
      </x:c>
      <x:c r="S2731" s="4" t="str">
        <x:v>Retained</x:v>
      </x:c>
      <x:c r="T2731" s="10" t="n">
        <x:v>0.226277</x:v>
      </x:c>
      <x:c r="U2731" s="4" t="str">
        <x:v>Excluded / unlabelled</x:v>
      </x:c>
    </x:row>
    <x:row r="2732" ht="34" customHeight="1">
      <x:c r="A2732" s="4" t="str">
        <x:v>RS-02731</x:v>
      </x:c>
      <x:c r="B2732" s="8" t="n">
        <x:v>45458</x:v>
      </x:c>
      <x:c r="C2732" s="4" t="str">
        <x:v>PRJ-011</x:v>
      </x:c>
      <x:c r="D2732" s="4" t="str">
        <x:v>Apartment</x:v>
      </x:c>
      <x:c r="E2732" s="4" t="str">
        <x:v>Booked</x:v>
      </x:c>
      <x:c r="F2732" s="4" t="str">
        <x:v>CUS-02731</x:v>
      </x:c>
      <x:c r="G2732" s="4" t="str">
        <x:v>UNIT-02731</x:v>
      </x:c>
      <x:c r="H2732" s="9" t="n">
        <x:v>24300000</x:v>
      </x:c>
      <x:c r="I2732" s="10" t="n">
        <x:v>0.03</x:v>
      </x:c>
      <x:c r="J2732" s="11" t="n">
        <x:v>1</x:v>
      </x:c>
      <x:c r="K2732" s="11" t="n">
        <x:v>10</x:v>
      </x:c>
      <x:c r="L2732" s="11" t="n">
        <x:v>1</x:v>
      </x:c>
      <x:c r="M2732" s="9" t="n">
        <x:f>ROUND(H2732*(1-I2732),2)</x:f>
        <x:v>23571000</x:v>
      </x:c>
      <x:c r="N2732" s="4" t="str">
        <x:v>Sales manager</x:v>
      </x:c>
      <x:c r="O2732" s="4" t="str">
        <x:v>BOOK-02731</x:v>
      </x:c>
      <x:c r="P2732" s="9" t="n">
        <x:v>23571000</x:v>
      </x:c>
      <x:c r="Q2732" s="11" t="n">
        <x:v>0</x:v>
      </x:c>
      <x:c r="R2732" s="8" t="n">
        <x:v>45518</x:v>
      </x:c>
      <x:c r="S2732" s="4" t="str">
        <x:v>Retained</x:v>
      </x:c>
      <x:c r="T2732" s="10" t="n">
        <x:v>0.072165</x:v>
      </x:c>
      <x:c r="U2732" s="4" t="str">
        <x:v>Excluded / unlabelled</x:v>
      </x:c>
    </x:row>
    <x:row r="2733" ht="34" customHeight="1">
      <x:c r="A2733" s="4" t="str">
        <x:v>RS-02732</x:v>
      </x:c>
      <x:c r="B2733" s="8" t="n">
        <x:v>45459</x:v>
      </x:c>
      <x:c r="C2733" s="4" t="str">
        <x:v>PRJ-012</x:v>
      </x:c>
      <x:c r="D2733" s="4" t="str">
        <x:v>Office</x:v>
      </x:c>
      <x:c r="E2733" s="4" t="str">
        <x:v>Handed over</x:v>
      </x:c>
      <x:c r="F2733" s="4" t="str">
        <x:v>CUS-02732</x:v>
      </x:c>
      <x:c r="G2733" s="4" t="str">
        <x:v>UNIT-02732</x:v>
      </x:c>
      <x:c r="H2733" s="9" t="n">
        <x:v>24300000</x:v>
      </x:c>
      <x:c r="I2733" s="10" t="n">
        <x:v>0.06</x:v>
      </x:c>
      <x:c r="J2733" s="11" t="n">
        <x:v>6</x:v>
      </x:c>
      <x:c r="K2733" s="11" t="n">
        <x:v>4</x:v>
      </x:c>
      <x:c r="L2733" s="11" t="n">
        <x:v>1</x:v>
      </x:c>
      <x:c r="M2733" s="9" t="n">
        <x:f>ROUND(H2733*(1-I2733),2)</x:f>
        <x:v>22842000</x:v>
      </x:c>
      <x:c r="N2733" s="4" t="str">
        <x:v>Sales manager</x:v>
      </x:c>
      <x:c r="O2733" s="4" t="str">
        <x:v>BOOK-02732</x:v>
      </x:c>
      <x:c r="P2733" s="9" t="n">
        <x:v>2284200</x:v>
      </x:c>
      <x:c r="Q2733" s="11" t="n">
        <x:v>0</x:v>
      </x:c>
      <x:c r="R2733" s="8" t="n">
        <x:v>45519</x:v>
      </x:c>
      <x:c r="S2733" s="4" t="str">
        <x:v>Retained</x:v>
      </x:c>
      <x:c r="T2733" s="10" t="n">
        <x:v>0.291946</x:v>
      </x:c>
      <x:c r="U2733" s="4" t="str">
        <x:v>Excluded / unlabelled</x:v>
      </x:c>
    </x:row>
    <x:row r="2734" ht="34" customHeight="1">
      <x:c r="A2734" s="4" t="str">
        <x:v>RS-02733</x:v>
      </x:c>
      <x:c r="B2734" s="8" t="n">
        <x:v>45460</x:v>
      </x:c>
      <x:c r="C2734" s="4" t="str">
        <x:v>PRJ-013</x:v>
      </x:c>
      <x:c r="D2734" s="4" t="str">
        <x:v>Apartment</x:v>
      </x:c>
      <x:c r="E2734" s="4" t="str">
        <x:v>Enquiry</x:v>
      </x:c>
      <x:c r="F2734" s="4" t="str">
        <x:v>CUS-02733</x:v>
      </x:c>
      <x:c r="G2734" s="4" t="str">
        <x:v>UNIT-02733</x:v>
      </x:c>
      <x:c r="H2734" s="9" t="n">
        <x:v>22300000</x:v>
      </x:c>
      <x:c r="I2734" s="10" t="n">
        <x:v>0.06</x:v>
      </x:c>
      <x:c r="J2734" s="11" t="n">
        <x:v>9</x:v>
      </x:c>
      <x:c r="K2734" s="11" t="n">
        <x:v>7</x:v>
      </x:c>
      <x:c r="L2734" s="11" t="n">
        <x:v>1</x:v>
      </x:c>
      <x:c r="M2734" s="9" t="n">
        <x:f>ROUND(H2734*(1-I2734),2)</x:f>
        <x:v>20962000</x:v>
      </x:c>
      <x:c r="N2734" s="4" t="str">
        <x:v>Sales manager</x:v>
      </x:c>
      <x:c r="O2734" s="4"/>
      <x:c r="P2734" s="9" t="n">
        <x:v>0</x:v>
      </x:c>
      <x:c r="Q2734" s="11" t="n">
        <x:v>0</x:v>
      </x:c>
      <x:c r="R2734" s="8" t="n">
        <x:v>45520</x:v>
      </x:c>
      <x:c r="S2734" s="4" t="str">
        <x:v>Retained</x:v>
      </x:c>
      <x:c r="T2734" s="10" t="n">
        <x:v>0.310195</x:v>
      </x:c>
      <x:c r="U2734" s="4" t="str">
        <x:v>Excluded / unlabelled</x:v>
      </x:c>
    </x:row>
    <x:row r="2735" ht="34" customHeight="1">
      <x:c r="A2735" s="4" t="str">
        <x:v>RS-02734</x:v>
      </x:c>
      <x:c r="B2735" s="8" t="n">
        <x:v>45461</x:v>
      </x:c>
      <x:c r="C2735" s="4" t="str">
        <x:v>PRJ-014</x:v>
      </x:c>
      <x:c r="D2735" s="4" t="str">
        <x:v>Retail</x:v>
      </x:c>
      <x:c r="E2735" s="4" t="str">
        <x:v>Enquiry</x:v>
      </x:c>
      <x:c r="F2735" s="4" t="str">
        <x:v>CUS-02734</x:v>
      </x:c>
      <x:c r="G2735" s="4" t="str">
        <x:v>UNIT-02734</x:v>
      </x:c>
      <x:c r="H2735" s="9" t="n">
        <x:v>21100000</x:v>
      </x:c>
      <x:c r="I2735" s="10" t="n">
        <x:v>0.12</x:v>
      </x:c>
      <x:c r="J2735" s="11" t="n">
        <x:v>4</x:v>
      </x:c>
      <x:c r="K2735" s="11" t="n">
        <x:v>9</x:v>
      </x:c>
      <x:c r="L2735" s="11" t="n">
        <x:v>1</x:v>
      </x:c>
      <x:c r="M2735" s="9" t="n">
        <x:f>ROUND(H2735*(1-I2735),2)</x:f>
        <x:v>18568000</x:v>
      </x:c>
      <x:c r="N2735" s="4" t="str">
        <x:v>Sales head</x:v>
      </x:c>
      <x:c r="O2735" s="4"/>
      <x:c r="P2735" s="9" t="n">
        <x:v>0</x:v>
      </x:c>
      <x:c r="Q2735" s="11" t="n">
        <x:v>0</x:v>
      </x:c>
      <x:c r="R2735" s="8" t="n">
        <x:v>45521</x:v>
      </x:c>
      <x:c r="S2735" s="4" t="str">
        <x:v>Retained</x:v>
      </x:c>
      <x:c r="T2735" s="10" t="n">
        <x:v>0.291946</x:v>
      </x:c>
      <x:c r="U2735" s="4" t="str">
        <x:v>Excluded / unlabelled</x:v>
      </x:c>
    </x:row>
    <x:row r="2736" ht="34" customHeight="1">
      <x:c r="A2736" s="4" t="str">
        <x:v>RS-02735</x:v>
      </x:c>
      <x:c r="B2736" s="8" t="n">
        <x:v>45462</x:v>
      </x:c>
      <x:c r="C2736" s="4" t="str">
        <x:v>PRJ-015</x:v>
      </x:c>
      <x:c r="D2736" s="4" t="str">
        <x:v>Apartment</x:v>
      </x:c>
      <x:c r="E2736" s="4" t="str">
        <x:v>Booked</x:v>
      </x:c>
      <x:c r="F2736" s="4" t="str">
        <x:v>CUS-02735</x:v>
      </x:c>
      <x:c r="G2736" s="4" t="str">
        <x:v>UNIT-02735</x:v>
      </x:c>
      <x:c r="H2736" s="9" t="n">
        <x:v>23500000</x:v>
      </x:c>
      <x:c r="I2736" s="10" t="n">
        <x:v>0.11</x:v>
      </x:c>
      <x:c r="J2736" s="11" t="n">
        <x:v>9</x:v>
      </x:c>
      <x:c r="K2736" s="11" t="n">
        <x:v>9</x:v>
      </x:c>
      <x:c r="L2736" s="11" t="n">
        <x:v>1</x:v>
      </x:c>
      <x:c r="M2736" s="9" t="n">
        <x:f>ROUND(H2736*(1-I2736),2)</x:f>
        <x:v>20915000</x:v>
      </x:c>
      <x:c r="N2736" s="4" t="str">
        <x:v>Sales head</x:v>
      </x:c>
      <x:c r="O2736" s="4" t="str">
        <x:v>BOOK-02735</x:v>
      </x:c>
      <x:c r="P2736" s="9" t="n">
        <x:v>20915000</x:v>
      </x:c>
      <x:c r="Q2736" s="11" t="n">
        <x:v>0</x:v>
      </x:c>
      <x:c r="R2736" s="8" t="n">
        <x:v>45522</x:v>
      </x:c>
      <x:c r="S2736" s="4" t="str">
        <x:v>Retained</x:v>
      </x:c>
      <x:c r="T2736" s="10" t="n">
        <x:v>0.310195</x:v>
      </x:c>
      <x:c r="U2736" s="4" t="str">
        <x:v>Excluded / unlabelled</x:v>
      </x:c>
    </x:row>
    <x:row r="2737" ht="34" customHeight="1">
      <x:c r="A2737" s="4" t="str">
        <x:v>RS-02736</x:v>
      </x:c>
      <x:c r="B2737" s="8" t="n">
        <x:v>45463</x:v>
      </x:c>
      <x:c r="C2737" s="4" t="str">
        <x:v>PRJ-016</x:v>
      </x:c>
      <x:c r="D2737" s="4" t="str">
        <x:v>Apartment</x:v>
      </x:c>
      <x:c r="E2737" s="4" t="str">
        <x:v>Agreement signed</x:v>
      </x:c>
      <x:c r="F2737" s="4" t="str">
        <x:v>CUS-02736</x:v>
      </x:c>
      <x:c r="G2737" s="4" t="str">
        <x:v>UNIT-02736</x:v>
      </x:c>
      <x:c r="H2737" s="9" t="n">
        <x:v>21700000</x:v>
      </x:c>
      <x:c r="I2737" s="10" t="n">
        <x:v>0.05</x:v>
      </x:c>
      <x:c r="J2737" s="11" t="n">
        <x:v>0</x:v>
      </x:c>
      <x:c r="K2737" s="11" t="n">
        <x:v>10</x:v>
      </x:c>
      <x:c r="L2737" s="11" t="n">
        <x:v>1</x:v>
      </x:c>
      <x:c r="M2737" s="9" t="n">
        <x:f>ROUND(H2737*(1-I2737),2)</x:f>
        <x:v>20615000</x:v>
      </x:c>
      <x:c r="N2737" s="4" t="str">
        <x:v>Sales manager</x:v>
      </x:c>
      <x:c r="O2737" s="4" t="str">
        <x:v>BOOK-02736</x:v>
      </x:c>
      <x:c r="P2737" s="9" t="n">
        <x:v>10307500</x:v>
      </x:c>
      <x:c r="Q2737" s="11" t="n">
        <x:v>0</x:v>
      </x:c>
      <x:c r="R2737" s="8" t="n">
        <x:v>45523</x:v>
      </x:c>
      <x:c r="S2737" s="4" t="str">
        <x:v>Retained</x:v>
      </x:c>
      <x:c r="T2737" s="10" t="n">
        <x:v>0.204152</x:v>
      </x:c>
      <x:c r="U2737" s="4" t="str">
        <x:v>Excluded / unlabelled</x:v>
      </x:c>
    </x:row>
    <x:row r="2738" ht="34" customHeight="1">
      <x:c r="A2738" s="4" t="str">
        <x:v>RS-02737</x:v>
      </x:c>
      <x:c r="B2738" s="8" t="n">
        <x:v>45464</x:v>
      </x:c>
      <x:c r="C2738" s="4" t="str">
        <x:v>PRJ-017</x:v>
      </x:c>
      <x:c r="D2738" s="4" t="str">
        <x:v>Apartment</x:v>
      </x:c>
      <x:c r="E2738" s="4" t="str">
        <x:v>Agreement signed</x:v>
      </x:c>
      <x:c r="F2738" s="4" t="str">
        <x:v>CUS-02737</x:v>
      </x:c>
      <x:c r="G2738" s="4" t="str">
        <x:v>UNIT-02737</x:v>
      </x:c>
      <x:c r="H2738" s="9" t="n">
        <x:v>17900000</x:v>
      </x:c>
      <x:c r="I2738" s="10" t="n">
        <x:v>0.05</x:v>
      </x:c>
      <x:c r="J2738" s="11" t="n">
        <x:v>5</x:v>
      </x:c>
      <x:c r="K2738" s="11" t="n">
        <x:v>2</x:v>
      </x:c>
      <x:c r="L2738" s="11" t="n">
        <x:v>1</x:v>
      </x:c>
      <x:c r="M2738" s="9" t="n">
        <x:f>ROUND(H2738*(1-I2738),2)</x:f>
        <x:v>17005000</x:v>
      </x:c>
      <x:c r="N2738" s="4" t="str">
        <x:v>Sales manager</x:v>
      </x:c>
      <x:c r="O2738" s="4" t="str">
        <x:v>BOOK-02737</x:v>
      </x:c>
      <x:c r="P2738" s="9" t="n">
        <x:v>8502500</x:v>
      </x:c>
      <x:c r="Q2738" s="11" t="n">
        <x:v>0</x:v>
      </x:c>
      <x:c r="R2738" s="8" t="n">
        <x:v>45524</x:v>
      </x:c>
      <x:c r="S2738" s="4" t="str">
        <x:v>Retained</x:v>
      </x:c>
      <x:c r="T2738" s="10" t="n">
        <x:v>0.291946</x:v>
      </x:c>
      <x:c r="U2738" s="4" t="str">
        <x:v>Excluded / unlabelled</x:v>
      </x:c>
    </x:row>
    <x:row r="2739" ht="34" customHeight="1">
      <x:c r="A2739" s="4" t="str">
        <x:v>RS-02738</x:v>
      </x:c>
      <x:c r="B2739" s="8" t="n">
        <x:v>45465</x:v>
      </x:c>
      <x:c r="C2739" s="4" t="str">
        <x:v>PRJ-018</x:v>
      </x:c>
      <x:c r="D2739" s="4" t="str">
        <x:v>Retail</x:v>
      </x:c>
      <x:c r="E2739" s="4" t="str">
        <x:v>Agreement signed</x:v>
      </x:c>
      <x:c r="F2739" s="4" t="str">
        <x:v>CUS-02738</x:v>
      </x:c>
      <x:c r="G2739" s="4" t="str">
        <x:v>UNIT-02738</x:v>
      </x:c>
      <x:c r="H2739" s="9" t="n">
        <x:v>9900000</x:v>
      </x:c>
      <x:c r="I2739" s="10" t="n">
        <x:v>0.08</x:v>
      </x:c>
      <x:c r="J2739" s="11" t="n">
        <x:v>4</x:v>
      </x:c>
      <x:c r="K2739" s="11" t="n">
        <x:v>3</x:v>
      </x:c>
      <x:c r="L2739" s="11" t="n">
        <x:v>0</x:v>
      </x:c>
      <x:c r="M2739" s="9" t="n">
        <x:f>ROUND(H2739*(1-I2739),2)</x:f>
        <x:v>9108000</x:v>
      </x:c>
      <x:c r="N2739" s="4" t="str">
        <x:v>Sales head</x:v>
      </x:c>
      <x:c r="O2739" s="4" t="str">
        <x:v>BOOK-02738</x:v>
      </x:c>
      <x:c r="P2739" s="9" t="n">
        <x:v>910800</x:v>
      </x:c>
      <x:c r="Q2739" s="11" t="n">
        <x:v>0</x:v>
      </x:c>
      <x:c r="R2739" s="8" t="n">
        <x:v>45525</x:v>
      </x:c>
      <x:c r="S2739" s="4" t="str">
        <x:v>Retained</x:v>
      </x:c>
      <x:c r="T2739" s="10" t="n">
        <x:v>0.226277</x:v>
      </x:c>
      <x:c r="U2739" s="4" t="str">
        <x:v>Excluded / unlabelled</x:v>
      </x:c>
    </x:row>
    <x:row r="2740" ht="34" customHeight="1">
      <x:c r="A2740" s="4" t="str">
        <x:v>RS-02739</x:v>
      </x:c>
      <x:c r="B2740" s="8" t="n">
        <x:v>45466</x:v>
      </x:c>
      <x:c r="C2740" s="4" t="str">
        <x:v>PRJ-019</x:v>
      </x:c>
      <x:c r="D2740" s="4" t="str">
        <x:v>Villa</x:v>
      </x:c>
      <x:c r="E2740" s="4" t="str">
        <x:v>Handed over</x:v>
      </x:c>
      <x:c r="F2740" s="4" t="str">
        <x:v>CUS-02739</x:v>
      </x:c>
      <x:c r="G2740" s="4" t="str">
        <x:v>UNIT-02739</x:v>
      </x:c>
      <x:c r="H2740" s="9" t="n">
        <x:v>17800000</x:v>
      </x:c>
      <x:c r="I2740" s="10" t="n">
        <x:v>0.08</x:v>
      </x:c>
      <x:c r="J2740" s="11" t="n">
        <x:v>9</x:v>
      </x:c>
      <x:c r="K2740" s="11" t="n">
        <x:v>9</x:v>
      </x:c>
      <x:c r="L2740" s="11" t="n">
        <x:v>1</x:v>
      </x:c>
      <x:c r="M2740" s="9" t="n">
        <x:f>ROUND(H2740*(1-I2740),2)</x:f>
        <x:v>16376000</x:v>
      </x:c>
      <x:c r="N2740" s="4" t="str">
        <x:v>Sales head</x:v>
      </x:c>
      <x:c r="O2740" s="4" t="str">
        <x:v>BOOK-02739</x:v>
      </x:c>
      <x:c r="P2740" s="9" t="n">
        <x:v>16376000</x:v>
      </x:c>
      <x:c r="Q2740" s="11" t="n">
        <x:v>0</x:v>
      </x:c>
      <x:c r="R2740" s="8" t="n">
        <x:v>45526</x:v>
      </x:c>
      <x:c r="S2740" s="4" t="str">
        <x:v>Retained</x:v>
      </x:c>
      <x:c r="T2740" s="10" t="n">
        <x:v>0.310195</x:v>
      </x:c>
      <x:c r="U2740" s="4" t="str">
        <x:v>Excluded / unlabelled</x:v>
      </x:c>
    </x:row>
    <x:row r="2741" ht="34" customHeight="1">
      <x:c r="A2741" s="4" t="str">
        <x:v>RS-02740</x:v>
      </x:c>
      <x:c r="B2741" s="8" t="n">
        <x:v>45467</x:v>
      </x:c>
      <x:c r="C2741" s="4" t="str">
        <x:v>PRJ-020</x:v>
      </x:c>
      <x:c r="D2741" s="4" t="str">
        <x:v>Office</x:v>
      </x:c>
      <x:c r="E2741" s="4" t="str">
        <x:v>Cancelled</x:v>
      </x:c>
      <x:c r="F2741" s="4" t="str">
        <x:v>CUS-02740</x:v>
      </x:c>
      <x:c r="G2741" s="4" t="str">
        <x:v>UNIT-02740</x:v>
      </x:c>
      <x:c r="H2741" s="9" t="n">
        <x:v>20100000</x:v>
      </x:c>
      <x:c r="I2741" s="10" t="n">
        <x:v>0.05</x:v>
      </x:c>
      <x:c r="J2741" s="11" t="n">
        <x:v>2</x:v>
      </x:c>
      <x:c r="K2741" s="11" t="n">
        <x:v>5</x:v>
      </x:c>
      <x:c r="L2741" s="11" t="n">
        <x:v>0</x:v>
      </x:c>
      <x:c r="M2741" s="9" t="n">
        <x:f>ROUND(H2741*(1-I2741),2)</x:f>
        <x:v>19095000</x:v>
      </x:c>
      <x:c r="N2741" s="4" t="str">
        <x:v>Sales manager</x:v>
      </x:c>
      <x:c r="O2741" s="4"/>
      <x:c r="P2741" s="9" t="n">
        <x:v>0</x:v>
      </x:c>
      <x:c r="Q2741" s="11" t="n">
        <x:v>1</x:v>
      </x:c>
      <x:c r="R2741" s="8" t="n">
        <x:v>45527</x:v>
      </x:c>
      <x:c r="S2741" s="4" t="str">
        <x:v>Lost / cancelled</x:v>
      </x:c>
      <x:c r="T2741" s="10" t="n">
        <x:v>0.204152</x:v>
      </x:c>
      <x:c r="U2741" s="4" t="str">
        <x:v>Excluded / unlabelled</x:v>
      </x:c>
    </x:row>
    <x:row r="2742" ht="34" customHeight="1">
      <x:c r="A2742" s="4" t="str">
        <x:v>RS-02741</x:v>
      </x:c>
      <x:c r="B2742" s="8" t="n">
        <x:v>45468</x:v>
      </x:c>
      <x:c r="C2742" s="4" t="str">
        <x:v>PRJ-001</x:v>
      </x:c>
      <x:c r="D2742" s="4" t="str">
        <x:v>Retail</x:v>
      </x:c>
      <x:c r="E2742" s="4" t="str">
        <x:v>Reserved</x:v>
      </x:c>
      <x:c r="F2742" s="4" t="str">
        <x:v>CUS-02741</x:v>
      </x:c>
      <x:c r="G2742" s="4" t="str">
        <x:v>UNIT-02741</x:v>
      </x:c>
      <x:c r="H2742" s="9" t="n">
        <x:v>5700000</x:v>
      </x:c>
      <x:c r="I2742" s="10" t="n">
        <x:v>0.01</x:v>
      </x:c>
      <x:c r="J2742" s="11" t="n">
        <x:v>10</x:v>
      </x:c>
      <x:c r="K2742" s="11" t="n">
        <x:v>8</x:v>
      </x:c>
      <x:c r="L2742" s="11" t="n">
        <x:v>0</x:v>
      </x:c>
      <x:c r="M2742" s="9" t="n">
        <x:f>ROUND(H2742*(1-I2742),2)</x:f>
        <x:v>5643000</x:v>
      </x:c>
      <x:c r="N2742" s="4" t="str">
        <x:v>Sales manager</x:v>
      </x:c>
      <x:c r="O2742" s="4"/>
      <x:c r="P2742" s="9" t="n">
        <x:v>0</x:v>
      </x:c>
      <x:c r="Q2742" s="11" t="n">
        <x:v>0</x:v>
      </x:c>
      <x:c r="R2742" s="8" t="n">
        <x:v>45528</x:v>
      </x:c>
      <x:c r="S2742" s="4" t="str">
        <x:v>Retained</x:v>
      </x:c>
      <x:c r="T2742" s="10" t="n">
        <x:v>0.305556</x:v>
      </x:c>
      <x:c r="U2742" s="4" t="str">
        <x:v>Excluded / unlabelled</x:v>
      </x:c>
    </x:row>
    <x:row r="2743" ht="34" customHeight="1">
      <x:c r="A2743" s="4" t="str">
        <x:v>RS-02742</x:v>
      </x:c>
      <x:c r="B2743" s="8" t="n">
        <x:v>45469</x:v>
      </x:c>
      <x:c r="C2743" s="4" t="str">
        <x:v>PRJ-002</x:v>
      </x:c>
      <x:c r="D2743" s="4" t="str">
        <x:v>Office</x:v>
      </x:c>
      <x:c r="E2743" s="4" t="str">
        <x:v>Agreement signed</x:v>
      </x:c>
      <x:c r="F2743" s="4" t="str">
        <x:v>CUS-02742</x:v>
      </x:c>
      <x:c r="G2743" s="4" t="str">
        <x:v>UNIT-02742</x:v>
      </x:c>
      <x:c r="H2743" s="9" t="n">
        <x:v>13700000</x:v>
      </x:c>
      <x:c r="I2743" s="10" t="n">
        <x:v>0.08</x:v>
      </x:c>
      <x:c r="J2743" s="11" t="n">
        <x:v>3</x:v>
      </x:c>
      <x:c r="K2743" s="11" t="n">
        <x:v>0</x:v>
      </x:c>
      <x:c r="L2743" s="11" t="n">
        <x:v>1</x:v>
      </x:c>
      <x:c r="M2743" s="9" t="n">
        <x:f>ROUND(H2743*(1-I2743),2)</x:f>
        <x:v>12604000</x:v>
      </x:c>
      <x:c r="N2743" s="4" t="str">
        <x:v>Sales head</x:v>
      </x:c>
      <x:c r="O2743" s="4" t="str">
        <x:v>BOOK-02742</x:v>
      </x:c>
      <x:c r="P2743" s="9" t="n">
        <x:v>1260400</x:v>
      </x:c>
      <x:c r="Q2743" s="11" t="n">
        <x:v>0</x:v>
      </x:c>
      <x:c r="R2743" s="8" t="n">
        <x:v>45529</x:v>
      </x:c>
      <x:c r="S2743" s="4" t="str">
        <x:v>Retained</x:v>
      </x:c>
      <x:c r="T2743" s="10" t="n">
        <x:v>0.276923</x:v>
      </x:c>
      <x:c r="U2743" s="4" t="str">
        <x:v>Excluded / unlabelled</x:v>
      </x:c>
    </x:row>
    <x:row r="2744" ht="34" customHeight="1">
      <x:c r="A2744" s="4" t="str">
        <x:v>RS-02743</x:v>
      </x:c>
      <x:c r="B2744" s="8" t="n">
        <x:v>45470</x:v>
      </x:c>
      <x:c r="C2744" s="4" t="str">
        <x:v>PRJ-003</x:v>
      </x:c>
      <x:c r="D2744" s="4" t="str">
        <x:v>Apartment</x:v>
      </x:c>
      <x:c r="E2744" s="4" t="str">
        <x:v>Cancelled</x:v>
      </x:c>
      <x:c r="F2744" s="4" t="str">
        <x:v>CUS-02743</x:v>
      </x:c>
      <x:c r="G2744" s="4" t="str">
        <x:v>UNIT-02743</x:v>
      </x:c>
      <x:c r="H2744" s="9" t="n">
        <x:v>18000000</x:v>
      </x:c>
      <x:c r="I2744" s="10" t="n">
        <x:v>0.07</x:v>
      </x:c>
      <x:c r="J2744" s="11" t="n">
        <x:v>8</x:v>
      </x:c>
      <x:c r="K2744" s="11" t="n">
        <x:v>7</x:v>
      </x:c>
      <x:c r="L2744" s="11" t="n">
        <x:v>0</x:v>
      </x:c>
      <x:c r="M2744" s="9" t="n">
        <x:f>ROUND(H2744*(1-I2744),2)</x:f>
        <x:v>16740000</x:v>
      </x:c>
      <x:c r="N2744" s="4" t="str">
        <x:v>Sales manager</x:v>
      </x:c>
      <x:c r="O2744" s="4"/>
      <x:c r="P2744" s="9" t="n">
        <x:v>0</x:v>
      </x:c>
      <x:c r="Q2744" s="11" t="n">
        <x:v>1</x:v>
      </x:c>
      <x:c r="R2744" s="8" t="n">
        <x:v>45530</x:v>
      </x:c>
      <x:c r="S2744" s="4" t="str">
        <x:v>Lost / cancelled</x:v>
      </x:c>
      <x:c r="T2744" s="10" t="n">
        <x:v>0.310195</x:v>
      </x:c>
      <x:c r="U2744" s="4" t="str">
        <x:v>Excluded / unlabelled</x:v>
      </x:c>
    </x:row>
    <x:row r="2745" ht="34" customHeight="1">
      <x:c r="A2745" s="4" t="str">
        <x:v>RS-02744</x:v>
      </x:c>
      <x:c r="B2745" s="8" t="n">
        <x:v>45471</x:v>
      </x:c>
      <x:c r="C2745" s="4" t="str">
        <x:v>PRJ-004</x:v>
      </x:c>
      <x:c r="D2745" s="4" t="str">
        <x:v>Office</x:v>
      </x:c>
      <x:c r="E2745" s="4" t="str">
        <x:v>Handed over</x:v>
      </x:c>
      <x:c r="F2745" s="4" t="str">
        <x:v>CUS-02744</x:v>
      </x:c>
      <x:c r="G2745" s="4" t="str">
        <x:v>UNIT-02744</x:v>
      </x:c>
      <x:c r="H2745" s="9" t="n">
        <x:v>20600000</x:v>
      </x:c>
      <x:c r="I2745" s="10" t="n">
        <x:v>0.1</x:v>
      </x:c>
      <x:c r="J2745" s="11" t="n">
        <x:v>12</x:v>
      </x:c>
      <x:c r="K2745" s="11" t="n">
        <x:v>3</x:v>
      </x:c>
      <x:c r="L2745" s="11" t="n">
        <x:v>0</x:v>
      </x:c>
      <x:c r="M2745" s="9" t="n">
        <x:f>ROUND(H2745*(1-I2745),2)</x:f>
        <x:v>18540000</x:v>
      </x:c>
      <x:c r="N2745" s="4" t="str">
        <x:v>Sales head</x:v>
      </x:c>
      <x:c r="O2745" s="4" t="str">
        <x:v>BOOK-02744</x:v>
      </x:c>
      <x:c r="P2745" s="9" t="n">
        <x:v>18540000</x:v>
      </x:c>
      <x:c r="Q2745" s="11" t="n">
        <x:v>0</x:v>
      </x:c>
      <x:c r="R2745" s="8" t="n">
        <x:v>45531</x:v>
      </x:c>
      <x:c r="S2745" s="4" t="str">
        <x:v>Retained</x:v>
      </x:c>
      <x:c r="T2745" s="10" t="n">
        <x:v>0.351536</x:v>
      </x:c>
      <x:c r="U2745" s="4" t="str">
        <x:v>Excluded / unlabelled</x:v>
      </x:c>
    </x:row>
    <x:row r="2746" ht="34" customHeight="1">
      <x:c r="A2746" s="4" t="str">
        <x:v>RS-02745</x:v>
      </x:c>
      <x:c r="B2746" s="8" t="n">
        <x:v>45444</x:v>
      </x:c>
      <x:c r="C2746" s="4" t="str">
        <x:v>PRJ-005</x:v>
      </x:c>
      <x:c r="D2746" s="4" t="str">
        <x:v>Office</x:v>
      </x:c>
      <x:c r="E2746" s="4" t="str">
        <x:v>Reserved</x:v>
      </x:c>
      <x:c r="F2746" s="4" t="str">
        <x:v>CUS-02745</x:v>
      </x:c>
      <x:c r="G2746" s="4" t="str">
        <x:v>UNIT-02745</x:v>
      </x:c>
      <x:c r="H2746" s="9" t="n">
        <x:v>22300000</x:v>
      </x:c>
      <x:c r="I2746" s="10" t="n">
        <x:v>0.06</x:v>
      </x:c>
      <x:c r="J2746" s="11" t="n">
        <x:v>11</x:v>
      </x:c>
      <x:c r="K2746" s="11" t="n">
        <x:v>4</x:v>
      </x:c>
      <x:c r="L2746" s="11" t="n">
        <x:v>0</x:v>
      </x:c>
      <x:c r="M2746" s="9" t="n">
        <x:f>ROUND(H2746*(1-I2746),2)</x:f>
        <x:v>20962000</x:v>
      </x:c>
      <x:c r="N2746" s="4" t="str">
        <x:v>Sales manager</x:v>
      </x:c>
      <x:c r="O2746" s="4"/>
      <x:c r="P2746" s="9" t="n">
        <x:v>0</x:v>
      </x:c>
      <x:c r="Q2746" s="11" t="n">
        <x:v>1</x:v>
      </x:c>
      <x:c r="R2746" s="8" t="n">
        <x:v>45504</x:v>
      </x:c>
      <x:c r="S2746" s="4" t="str">
        <x:v>Lost / cancelled</x:v>
      </x:c>
      <x:c r="T2746" s="10" t="n">
        <x:v>0.351536</x:v>
      </x:c>
      <x:c r="U2746" s="4" t="str">
        <x:v>Excluded / unlabelled</x:v>
      </x:c>
    </x:row>
    <x:row r="2747" ht="34" customHeight="1">
      <x:c r="A2747" s="4" t="str">
        <x:v>RS-02746</x:v>
      </x:c>
      <x:c r="B2747" s="8" t="n">
        <x:v>45445</x:v>
      </x:c>
      <x:c r="C2747" s="4" t="str">
        <x:v>PRJ-006</x:v>
      </x:c>
      <x:c r="D2747" s="4" t="str">
        <x:v>Retail</x:v>
      </x:c>
      <x:c r="E2747" s="4" t="str">
        <x:v>Agreement signed</x:v>
      </x:c>
      <x:c r="F2747" s="4" t="str">
        <x:v>CUS-02746</x:v>
      </x:c>
      <x:c r="G2747" s="4" t="str">
        <x:v>UNIT-02746</x:v>
      </x:c>
      <x:c r="H2747" s="9" t="n">
        <x:v>19300000</x:v>
      </x:c>
      <x:c r="I2747" s="10" t="n">
        <x:v>0.03</x:v>
      </x:c>
      <x:c r="J2747" s="11" t="n">
        <x:v>1</x:v>
      </x:c>
      <x:c r="K2747" s="11" t="n">
        <x:v>10</x:v>
      </x:c>
      <x:c r="L2747" s="11" t="n">
        <x:v>0</x:v>
      </x:c>
      <x:c r="M2747" s="9" t="n">
        <x:f>ROUND(H2747*(1-I2747),2)</x:f>
        <x:v>18721000</x:v>
      </x:c>
      <x:c r="N2747" s="4" t="str">
        <x:v>Sales manager</x:v>
      </x:c>
      <x:c r="O2747" s="4" t="str">
        <x:v>BOOK-02746</x:v>
      </x:c>
      <x:c r="P2747" s="9" t="n">
        <x:v>4680250</x:v>
      </x:c>
      <x:c r="Q2747" s="11" t="n">
        <x:v>0</x:v>
      </x:c>
      <x:c r="R2747" s="8" t="n">
        <x:v>45505</x:v>
      </x:c>
      <x:c r="S2747" s="4" t="str">
        <x:v>Retained</x:v>
      </x:c>
      <x:c r="T2747" s="10" t="n">
        <x:v>0.072165</x:v>
      </x:c>
      <x:c r="U2747" s="4" t="str">
        <x:v>Excluded / unlabelled</x:v>
      </x:c>
    </x:row>
    <x:row r="2748" ht="34" customHeight="1">
      <x:c r="A2748" s="4" t="str">
        <x:v>RS-02747</x:v>
      </x:c>
      <x:c r="B2748" s="8" t="n">
        <x:v>45446</x:v>
      </x:c>
      <x:c r="C2748" s="4" t="str">
        <x:v>PRJ-007</x:v>
      </x:c>
      <x:c r="D2748" s="4" t="str">
        <x:v>Villa</x:v>
      </x:c>
      <x:c r="E2748" s="4" t="str">
        <x:v>Enquiry</x:v>
      </x:c>
      <x:c r="F2748" s="4" t="str">
        <x:v>CUS-02747</x:v>
      </x:c>
      <x:c r="G2748" s="4" t="str">
        <x:v>UNIT-02747</x:v>
      </x:c>
      <x:c r="H2748" s="9" t="n">
        <x:v>9100000</x:v>
      </x:c>
      <x:c r="I2748" s="10" t="n">
        <x:v>0.01</x:v>
      </x:c>
      <x:c r="J2748" s="11" t="n">
        <x:v>0</x:v>
      </x:c>
      <x:c r="K2748" s="11" t="n">
        <x:v>8</x:v>
      </x:c>
      <x:c r="L2748" s="11" t="n">
        <x:v>0</x:v>
      </x:c>
      <x:c r="M2748" s="9" t="n">
        <x:f>ROUND(H2748*(1-I2748),2)</x:f>
        <x:v>9009000</x:v>
      </x:c>
      <x:c r="N2748" s="4" t="str">
        <x:v>Sales manager</x:v>
      </x:c>
      <x:c r="O2748" s="4"/>
      <x:c r="P2748" s="9" t="n">
        <x:v>0</x:v>
      </x:c>
      <x:c r="Q2748" s="11" t="n">
        <x:v>0</x:v>
      </x:c>
      <x:c r="R2748" s="8" t="n">
        <x:v>45506</x:v>
      </x:c>
      <x:c r="S2748" s="4" t="str">
        <x:v>Retained</x:v>
      </x:c>
      <x:c r="T2748" s="10" t="n">
        <x:v>0.072165</x:v>
      </x:c>
      <x:c r="U2748" s="4" t="str">
        <x:v>Excluded / unlabelled</x:v>
      </x:c>
    </x:row>
    <x:row r="2749" ht="34" customHeight="1">
      <x:c r="A2749" s="4" t="str">
        <x:v>RS-02748</x:v>
      </x:c>
      <x:c r="B2749" s="8" t="n">
        <x:v>45447</x:v>
      </x:c>
      <x:c r="C2749" s="4" t="str">
        <x:v>PRJ-008</x:v>
      </x:c>
      <x:c r="D2749" s="4" t="str">
        <x:v>Office</x:v>
      </x:c>
      <x:c r="E2749" s="4" t="str">
        <x:v>Handed over</x:v>
      </x:c>
      <x:c r="F2749" s="4" t="str">
        <x:v>CUS-02748</x:v>
      </x:c>
      <x:c r="G2749" s="4" t="str">
        <x:v>UNIT-02748</x:v>
      </x:c>
      <x:c r="H2749" s="9" t="n">
        <x:v>24700000</x:v>
      </x:c>
      <x:c r="I2749" s="10" t="n">
        <x:v>0.04</x:v>
      </x:c>
      <x:c r="J2749" s="11" t="n">
        <x:v>8</x:v>
      </x:c>
      <x:c r="K2749" s="11" t="n">
        <x:v>3</x:v>
      </x:c>
      <x:c r="L2749" s="11" t="n">
        <x:v>1</x:v>
      </x:c>
      <x:c r="M2749" s="9" t="n">
        <x:f>ROUND(H2749*(1-I2749),2)</x:f>
        <x:v>23712000</x:v>
      </x:c>
      <x:c r="N2749" s="4" t="str">
        <x:v>Sales manager</x:v>
      </x:c>
      <x:c r="O2749" s="4" t="str">
        <x:v>BOOK-02748</x:v>
      </x:c>
      <x:c r="P2749" s="9" t="n">
        <x:v>23712000</x:v>
      </x:c>
      <x:c r="Q2749" s="11" t="n">
        <x:v>0</x:v>
      </x:c>
      <x:c r="R2749" s="8" t="n">
        <x:v>45507</x:v>
      </x:c>
      <x:c r="S2749" s="4" t="str">
        <x:v>Retained</x:v>
      </x:c>
      <x:c r="T2749" s="10" t="n">
        <x:v>0.310195</x:v>
      </x:c>
      <x:c r="U2749" s="4" t="str">
        <x:v>Excluded / unlabelled</x:v>
      </x:c>
    </x:row>
    <x:row r="2750" ht="34" customHeight="1">
      <x:c r="A2750" s="4" t="str">
        <x:v>RS-02749</x:v>
      </x:c>
      <x:c r="B2750" s="8" t="n">
        <x:v>45448</x:v>
      </x:c>
      <x:c r="C2750" s="4" t="str">
        <x:v>PRJ-009</x:v>
      </x:c>
      <x:c r="D2750" s="4" t="str">
        <x:v>Retail</x:v>
      </x:c>
      <x:c r="E2750" s="4" t="str">
        <x:v>Agreement signed</x:v>
      </x:c>
      <x:c r="F2750" s="4" t="str">
        <x:v>CUS-02749</x:v>
      </x:c>
      <x:c r="G2750" s="4" t="str">
        <x:v>UNIT-02749</x:v>
      </x:c>
      <x:c r="H2750" s="9" t="n">
        <x:v>15000000</x:v>
      </x:c>
      <x:c r="I2750" s="10" t="n">
        <x:v>0.06</x:v>
      </x:c>
      <x:c r="J2750" s="11" t="n">
        <x:v>1</x:v>
      </x:c>
      <x:c r="K2750" s="11" t="n">
        <x:v>4</x:v>
      </x:c>
      <x:c r="L2750" s="11" t="n">
        <x:v>0</x:v>
      </x:c>
      <x:c r="M2750" s="9" t="n">
        <x:f>ROUND(H2750*(1-I2750),2)</x:f>
        <x:v>14100000</x:v>
      </x:c>
      <x:c r="N2750" s="4" t="str">
        <x:v>Sales manager</x:v>
      </x:c>
      <x:c r="O2750" s="4" t="str">
        <x:v>BOOK-02749</x:v>
      </x:c>
      <x:c r="P2750" s="9" t="n">
        <x:v>3525000</x:v>
      </x:c>
      <x:c r="Q2750" s="11" t="n">
        <x:v>0</x:v>
      </x:c>
      <x:c r="R2750" s="8" t="n">
        <x:v>45508</x:v>
      </x:c>
      <x:c r="S2750" s="4" t="str">
        <x:v>Retained</x:v>
      </x:c>
      <x:c r="T2750" s="10" t="n">
        <x:v>0.204152</x:v>
      </x:c>
      <x:c r="U2750" s="4" t="str">
        <x:v>Excluded / unlabelled</x:v>
      </x:c>
    </x:row>
    <x:row r="2751" ht="34" customHeight="1">
      <x:c r="A2751" s="4" t="str">
        <x:v>RS-02750</x:v>
      </x:c>
      <x:c r="B2751" s="8" t="n">
        <x:v>45449</x:v>
      </x:c>
      <x:c r="C2751" s="4" t="str">
        <x:v>PRJ-010</x:v>
      </x:c>
      <x:c r="D2751" s="4" t="str">
        <x:v>Villa</x:v>
      </x:c>
      <x:c r="E2751" s="4" t="str">
        <x:v>Agreement signed</x:v>
      </x:c>
      <x:c r="F2751" s="4" t="str">
        <x:v>CUS-02750</x:v>
      </x:c>
      <x:c r="G2751" s="4" t="str">
        <x:v>UNIT-02750</x:v>
      </x:c>
      <x:c r="H2751" s="9" t="n">
        <x:v>11400000</x:v>
      </x:c>
      <x:c r="I2751" s="10" t="n">
        <x:v>0.07</x:v>
      </x:c>
      <x:c r="J2751" s="11" t="n">
        <x:v>3</x:v>
      </x:c>
      <x:c r="K2751" s="11" t="n">
        <x:v>0</x:v>
      </x:c>
      <x:c r="L2751" s="11" t="n">
        <x:v>1</x:v>
      </x:c>
      <x:c r="M2751" s="9" t="n">
        <x:f>ROUND(H2751*(1-I2751),2)</x:f>
        <x:v>10602000</x:v>
      </x:c>
      <x:c r="N2751" s="4" t="str">
        <x:v>Sales manager</x:v>
      </x:c>
      <x:c r="O2751" s="4" t="str">
        <x:v>BOOK-02750</x:v>
      </x:c>
      <x:c r="P2751" s="9" t="n">
        <x:v>2650500</x:v>
      </x:c>
      <x:c r="Q2751" s="11" t="n">
        <x:v>0</x:v>
      </x:c>
      <x:c r="R2751" s="8" t="n">
        <x:v>45509</x:v>
      </x:c>
      <x:c r="S2751" s="4" t="str">
        <x:v>Retained</x:v>
      </x:c>
      <x:c r="T2751" s="10" t="n">
        <x:v>0.276923</x:v>
      </x:c>
      <x:c r="U2751" s="4" t="str">
        <x:v>Excluded / unlabelled</x:v>
      </x:c>
    </x:row>
    <x:row r="2752" ht="34" customHeight="1">
      <x:c r="A2752" s="4" t="str">
        <x:v>RS-02751</x:v>
      </x:c>
      <x:c r="B2752" s="8" t="n">
        <x:v>45450</x:v>
      </x:c>
      <x:c r="C2752" s="4" t="str">
        <x:v>PRJ-011</x:v>
      </x:c>
      <x:c r="D2752" s="4" t="str">
        <x:v>Apartment</x:v>
      </x:c>
      <x:c r="E2752" s="4" t="str">
        <x:v>Agreement signed</x:v>
      </x:c>
      <x:c r="F2752" s="4" t="str">
        <x:v>CUS-02751</x:v>
      </x:c>
      <x:c r="G2752" s="4" t="str">
        <x:v>UNIT-02751</x:v>
      </x:c>
      <x:c r="H2752" s="9" t="n">
        <x:v>19800000</x:v>
      </x:c>
      <x:c r="I2752" s="10" t="n">
        <x:v>0.02</x:v>
      </x:c>
      <x:c r="J2752" s="11" t="n">
        <x:v>3</x:v>
      </x:c>
      <x:c r="K2752" s="11" t="n">
        <x:v>5</x:v>
      </x:c>
      <x:c r="L2752" s="11" t="n">
        <x:v>0</x:v>
      </x:c>
      <x:c r="M2752" s="9" t="n">
        <x:f>ROUND(H2752*(1-I2752),2)</x:f>
        <x:v>19404000</x:v>
      </x:c>
      <x:c r="N2752" s="4" t="str">
        <x:v>Sales manager</x:v>
      </x:c>
      <x:c r="O2752" s="4" t="str">
        <x:v>BOOK-02751</x:v>
      </x:c>
      <x:c r="P2752" s="9" t="n">
        <x:v>4851000</x:v>
      </x:c>
      <x:c r="Q2752" s="11" t="n">
        <x:v>0</x:v>
      </x:c>
      <x:c r="R2752" s="8" t="n">
        <x:v>45510</x:v>
      </x:c>
      <x:c r="S2752" s="4" t="str">
        <x:v>Retained</x:v>
      </x:c>
      <x:c r="T2752" s="10" t="n">
        <x:v>0.171717</x:v>
      </x:c>
      <x:c r="U2752" s="4" t="str">
        <x:v>Excluded / unlabelled</x:v>
      </x:c>
    </x:row>
    <x:row r="2753" ht="34" customHeight="1">
      <x:c r="A2753" s="4" t="str">
        <x:v>RS-02752</x:v>
      </x:c>
      <x:c r="B2753" s="8" t="n">
        <x:v>45451</x:v>
      </x:c>
      <x:c r="C2753" s="4" t="str">
        <x:v>PRJ-012</x:v>
      </x:c>
      <x:c r="D2753" s="4" t="str">
        <x:v>Retail</x:v>
      </x:c>
      <x:c r="E2753" s="4" t="str">
        <x:v>Reserved</x:v>
      </x:c>
      <x:c r="F2753" s="4" t="str">
        <x:v>CUS-02752</x:v>
      </x:c>
      <x:c r="G2753" s="4" t="str">
        <x:v>UNIT-02752</x:v>
      </x:c>
      <x:c r="H2753" s="9" t="n">
        <x:v>8700000</x:v>
      </x:c>
      <x:c r="I2753" s="10" t="n">
        <x:v>0.12</x:v>
      </x:c>
      <x:c r="J2753" s="11" t="n">
        <x:v>2</x:v>
      </x:c>
      <x:c r="K2753" s="11" t="n">
        <x:v>4</x:v>
      </x:c>
      <x:c r="L2753" s="11" t="n">
        <x:v>1</x:v>
      </x:c>
      <x:c r="M2753" s="9" t="n">
        <x:f>ROUND(H2753*(1-I2753),2)</x:f>
        <x:v>7656000</x:v>
      </x:c>
      <x:c r="N2753" s="4" t="str">
        <x:v>Sales head</x:v>
      </x:c>
      <x:c r="O2753" s="4"/>
      <x:c r="P2753" s="9" t="n">
        <x:v>0</x:v>
      </x:c>
      <x:c r="Q2753" s="11" t="n">
        <x:v>0</x:v>
      </x:c>
      <x:c r="R2753" s="8" t="n">
        <x:v>45511</x:v>
      </x:c>
      <x:c r="S2753" s="4" t="str">
        <x:v>Retained</x:v>
      </x:c>
      <x:c r="T2753" s="10" t="n">
        <x:v>0.145833</x:v>
      </x:c>
      <x:c r="U2753" s="4" t="str">
        <x:v>Excluded / unlabelled</x:v>
      </x:c>
    </x:row>
    <x:row r="2754" ht="34" customHeight="1">
      <x:c r="A2754" s="4" t="str">
        <x:v>RS-02753</x:v>
      </x:c>
      <x:c r="B2754" s="8" t="n">
        <x:v>45452</x:v>
      </x:c>
      <x:c r="C2754" s="4" t="str">
        <x:v>PRJ-013</x:v>
      </x:c>
      <x:c r="D2754" s="4" t="str">
        <x:v>Office</x:v>
      </x:c>
      <x:c r="E2754" s="4" t="str">
        <x:v>Reserved</x:v>
      </x:c>
      <x:c r="F2754" s="4" t="str">
        <x:v>CUS-02753</x:v>
      </x:c>
      <x:c r="G2754" s="4" t="str">
        <x:v>UNIT-02753</x:v>
      </x:c>
      <x:c r="H2754" s="9" t="n">
        <x:v>11000000</x:v>
      </x:c>
      <x:c r="I2754" s="10" t="n">
        <x:v>0.07</x:v>
      </x:c>
      <x:c r="J2754" s="11" t="n">
        <x:v>3</x:v>
      </x:c>
      <x:c r="K2754" s="11" t="n">
        <x:v>1</x:v>
      </x:c>
      <x:c r="L2754" s="11" t="n">
        <x:v>1</x:v>
      </x:c>
      <x:c r="M2754" s="9" t="n">
        <x:f>ROUND(H2754*(1-I2754),2)</x:f>
        <x:v>10230000</x:v>
      </x:c>
      <x:c r="N2754" s="4" t="str">
        <x:v>Sales manager</x:v>
      </x:c>
      <x:c r="O2754" s="4"/>
      <x:c r="P2754" s="9" t="n">
        <x:v>0</x:v>
      </x:c>
      <x:c r="Q2754" s="11" t="n">
        <x:v>0</x:v>
      </x:c>
      <x:c r="R2754" s="8" t="n">
        <x:v>45512</x:v>
      </x:c>
      <x:c r="S2754" s="4" t="str">
        <x:v>Retained</x:v>
      </x:c>
      <x:c r="T2754" s="10" t="n">
        <x:v>0.204152</x:v>
      </x:c>
      <x:c r="U2754" s="4" t="str">
        <x:v>Excluded / unlabelled</x:v>
      </x:c>
    </x:row>
    <x:row r="2755" ht="34" customHeight="1">
      <x:c r="A2755" s="4" t="str">
        <x:v>RS-02754</x:v>
      </x:c>
      <x:c r="B2755" s="8" t="n">
        <x:v>45453</x:v>
      </x:c>
      <x:c r="C2755" s="4" t="str">
        <x:v>PRJ-014</x:v>
      </x:c>
      <x:c r="D2755" s="4" t="str">
        <x:v>Apartment</x:v>
      </x:c>
      <x:c r="E2755" s="4" t="str">
        <x:v>Enquiry</x:v>
      </x:c>
      <x:c r="F2755" s="4" t="str">
        <x:v>CUS-02754</x:v>
      </x:c>
      <x:c r="G2755" s="4" t="str">
        <x:v>UNIT-02754</x:v>
      </x:c>
      <x:c r="H2755" s="9" t="n">
        <x:v>11900000</x:v>
      </x:c>
      <x:c r="I2755" s="10" t="n">
        <x:v>0.1</x:v>
      </x:c>
      <x:c r="J2755" s="11" t="n">
        <x:v>3</x:v>
      </x:c>
      <x:c r="K2755" s="11" t="n">
        <x:v>5</x:v>
      </x:c>
      <x:c r="L2755" s="11" t="n">
        <x:v>0</x:v>
      </x:c>
      <x:c r="M2755" s="9" t="n">
        <x:f>ROUND(H2755*(1-I2755),2)</x:f>
        <x:v>10710000</x:v>
      </x:c>
      <x:c r="N2755" s="4" t="str">
        <x:v>Sales head</x:v>
      </x:c>
      <x:c r="O2755" s="4"/>
      <x:c r="P2755" s="9" t="n">
        <x:v>0</x:v>
      </x:c>
      <x:c r="Q2755" s="11" t="n">
        <x:v>0</x:v>
      </x:c>
      <x:c r="R2755" s="8" t="n">
        <x:v>45513</x:v>
      </x:c>
      <x:c r="S2755" s="4" t="str">
        <x:v>Retained</x:v>
      </x:c>
      <x:c r="T2755" s="10" t="n">
        <x:v>0.145833</x:v>
      </x:c>
      <x:c r="U2755" s="4" t="str">
        <x:v>Excluded / unlabelled</x:v>
      </x:c>
    </x:row>
    <x:row r="2756" ht="34" customHeight="1">
      <x:c r="A2756" s="4" t="str">
        <x:v>RS-02755</x:v>
      </x:c>
      <x:c r="B2756" s="8" t="n">
        <x:v>45454</x:v>
      </x:c>
      <x:c r="C2756" s="4" t="str">
        <x:v>PRJ-015</x:v>
      </x:c>
      <x:c r="D2756" s="4" t="str">
        <x:v>Office</x:v>
      </x:c>
      <x:c r="E2756" s="4" t="str">
        <x:v>Cancelled</x:v>
      </x:c>
      <x:c r="F2756" s="4" t="str">
        <x:v>CUS-02755</x:v>
      </x:c>
      <x:c r="G2756" s="4" t="str">
        <x:v>UNIT-02755</x:v>
      </x:c>
      <x:c r="H2756" s="9" t="n">
        <x:v>18000000</x:v>
      </x:c>
      <x:c r="I2756" s="10" t="n">
        <x:v>0.03</x:v>
      </x:c>
      <x:c r="J2756" s="11" t="n">
        <x:v>3</x:v>
      </x:c>
      <x:c r="K2756" s="11" t="n">
        <x:v>6</x:v>
      </x:c>
      <x:c r="L2756" s="11" t="n">
        <x:v>0</x:v>
      </x:c>
      <x:c r="M2756" s="9" t="n">
        <x:f>ROUND(H2756*(1-I2756),2)</x:f>
        <x:v>17460000</x:v>
      </x:c>
      <x:c r="N2756" s="4" t="str">
        <x:v>Sales manager</x:v>
      </x:c>
      <x:c r="O2756" s="4"/>
      <x:c r="P2756" s="9" t="n">
        <x:v>0</x:v>
      </x:c>
      <x:c r="Q2756" s="11" t="n">
        <x:v>1</x:v>
      </x:c>
      <x:c r="R2756" s="8" t="n">
        <x:v>45514</x:v>
      </x:c>
      <x:c r="S2756" s="4" t="str">
        <x:v>Lost / cancelled</x:v>
      </x:c>
      <x:c r="T2756" s="10" t="n">
        <x:v>0.171717</x:v>
      </x:c>
      <x:c r="U2756" s="4" t="str">
        <x:v>Excluded / unlabelled</x:v>
      </x:c>
    </x:row>
    <x:row r="2757" ht="34" customHeight="1">
      <x:c r="A2757" s="4" t="str">
        <x:v>RS-02756</x:v>
      </x:c>
      <x:c r="B2757" s="8" t="n">
        <x:v>45455</x:v>
      </x:c>
      <x:c r="C2757" s="4" t="str">
        <x:v>PRJ-016</x:v>
      </x:c>
      <x:c r="D2757" s="4" t="str">
        <x:v>Apartment</x:v>
      </x:c>
      <x:c r="E2757" s="4" t="str">
        <x:v>Reserved</x:v>
      </x:c>
      <x:c r="F2757" s="4" t="str">
        <x:v>CUS-02756</x:v>
      </x:c>
      <x:c r="G2757" s="4" t="str">
        <x:v>UNIT-02756</x:v>
      </x:c>
      <x:c r="H2757" s="9" t="n">
        <x:v>15000000</x:v>
      </x:c>
      <x:c r="I2757" s="10" t="n">
        <x:v>0.08</x:v>
      </x:c>
      <x:c r="J2757" s="11" t="n">
        <x:v>4</x:v>
      </x:c>
      <x:c r="K2757" s="11" t="n">
        <x:v>3</x:v>
      </x:c>
      <x:c r="L2757" s="11" t="n">
        <x:v>0</x:v>
      </x:c>
      <x:c r="M2757" s="9" t="n">
        <x:f>ROUND(H2757*(1-I2757),2)</x:f>
        <x:v>13800000</x:v>
      </x:c>
      <x:c r="N2757" s="4" t="str">
        <x:v>Sales head</x:v>
      </x:c>
      <x:c r="O2757" s="4"/>
      <x:c r="P2757" s="9" t="n">
        <x:v>0</x:v>
      </x:c>
      <x:c r="Q2757" s="11" t="n">
        <x:v>1</x:v>
      </x:c>
      <x:c r="R2757" s="8" t="n">
        <x:v>45515</x:v>
      </x:c>
      <x:c r="S2757" s="4" t="str">
        <x:v>Lost / cancelled</x:v>
      </x:c>
      <x:c r="T2757" s="10" t="n">
        <x:v>0.226277</x:v>
      </x:c>
      <x:c r="U2757" s="4" t="str">
        <x:v>Excluded / unlabelled</x:v>
      </x:c>
    </x:row>
    <x:row r="2758" ht="34" customHeight="1">
      <x:c r="A2758" s="4" t="str">
        <x:v>RS-02757</x:v>
      </x:c>
      <x:c r="B2758" s="8" t="n">
        <x:v>45456</x:v>
      </x:c>
      <x:c r="C2758" s="4" t="str">
        <x:v>PRJ-017</x:v>
      </x:c>
      <x:c r="D2758" s="4" t="str">
        <x:v>Retail</x:v>
      </x:c>
      <x:c r="E2758" s="4" t="str">
        <x:v>Cancelled</x:v>
      </x:c>
      <x:c r="F2758" s="4" t="str">
        <x:v>CUS-02757</x:v>
      </x:c>
      <x:c r="G2758" s="4" t="str">
        <x:v>UNIT-02757</x:v>
      </x:c>
      <x:c r="H2758" s="9" t="n">
        <x:v>24900000</x:v>
      </x:c>
      <x:c r="I2758" s="10" t="n">
        <x:v>0.11</x:v>
      </x:c>
      <x:c r="J2758" s="11" t="n">
        <x:v>2</x:v>
      </x:c>
      <x:c r="K2758" s="11" t="n">
        <x:v>1</x:v>
      </x:c>
      <x:c r="L2758" s="11" t="n">
        <x:v>1</x:v>
      </x:c>
      <x:c r="M2758" s="9" t="n">
        <x:f>ROUND(H2758*(1-I2758),2)</x:f>
        <x:v>22161000</x:v>
      </x:c>
      <x:c r="N2758" s="4" t="str">
        <x:v>Sales head</x:v>
      </x:c>
      <x:c r="O2758" s="4"/>
      <x:c r="P2758" s="9" t="n">
        <x:v>0</x:v>
      </x:c>
      <x:c r="Q2758" s="11" t="n">
        <x:v>1</x:v>
      </x:c>
      <x:c r="R2758" s="8" t="n">
        <x:v>45516</x:v>
      </x:c>
      <x:c r="S2758" s="4" t="str">
        <x:v>Lost / cancelled</x:v>
      </x:c>
      <x:c r="T2758" s="10" t="n">
        <x:v>0.145833</x:v>
      </x:c>
      <x:c r="U2758" s="4" t="str">
        <x:v>Excluded / unlabelled</x:v>
      </x:c>
    </x:row>
    <x:row r="2759" ht="34" customHeight="1">
      <x:c r="A2759" s="4" t="str">
        <x:v>RS-02758</x:v>
      </x:c>
      <x:c r="B2759" s="8" t="n">
        <x:v>45457</x:v>
      </x:c>
      <x:c r="C2759" s="4" t="str">
        <x:v>PRJ-018</x:v>
      </x:c>
      <x:c r="D2759" s="4" t="str">
        <x:v>Apartment</x:v>
      </x:c>
      <x:c r="E2759" s="4" t="str">
        <x:v>Enquiry</x:v>
      </x:c>
      <x:c r="F2759" s="4" t="str">
        <x:v>CUS-02758</x:v>
      </x:c>
      <x:c r="G2759" s="4" t="str">
        <x:v>UNIT-02758</x:v>
      </x:c>
      <x:c r="H2759" s="9" t="n">
        <x:v>21800000</x:v>
      </x:c>
      <x:c r="I2759" s="10" t="n">
        <x:v>0.07</x:v>
      </x:c>
      <x:c r="J2759" s="11" t="n">
        <x:v>10</x:v>
      </x:c>
      <x:c r="K2759" s="11" t="n">
        <x:v>7</x:v>
      </x:c>
      <x:c r="L2759" s="11" t="n">
        <x:v>0</x:v>
      </x:c>
      <x:c r="M2759" s="9" t="n">
        <x:f>ROUND(H2759*(1-I2759),2)</x:f>
        <x:v>20274000</x:v>
      </x:c>
      <x:c r="N2759" s="4" t="str">
        <x:v>Sales manager</x:v>
      </x:c>
      <x:c r="O2759" s="4"/>
      <x:c r="P2759" s="9" t="n">
        <x:v>0</x:v>
      </x:c>
      <x:c r="Q2759" s="11" t="n">
        <x:v>1</x:v>
      </x:c>
      <x:c r="R2759" s="8" t="n">
        <x:v>45517</x:v>
      </x:c>
      <x:c r="S2759" s="4" t="str">
        <x:v>Lost / cancelled</x:v>
      </x:c>
      <x:c r="T2759" s="10" t="n">
        <x:v>0.310195</x:v>
      </x:c>
      <x:c r="U2759" s="4" t="str">
        <x:v>Excluded / unlabelled</x:v>
      </x:c>
    </x:row>
    <x:row r="2760" ht="34" customHeight="1">
      <x:c r="A2760" s="4" t="str">
        <x:v>RS-02759</x:v>
      </x:c>
      <x:c r="B2760" s="8" t="n">
        <x:v>45458</x:v>
      </x:c>
      <x:c r="C2760" s="4" t="str">
        <x:v>PRJ-019</x:v>
      </x:c>
      <x:c r="D2760" s="4" t="str">
        <x:v>Villa</x:v>
      </x:c>
      <x:c r="E2760" s="4" t="str">
        <x:v>Reserved</x:v>
      </x:c>
      <x:c r="F2760" s="4" t="str">
        <x:v>CUS-02759</x:v>
      </x:c>
      <x:c r="G2760" s="4" t="str">
        <x:v>UNIT-02759</x:v>
      </x:c>
      <x:c r="H2760" s="9" t="n">
        <x:v>15900000</x:v>
      </x:c>
      <x:c r="I2760" s="10" t="n">
        <x:v>0.11</x:v>
      </x:c>
      <x:c r="J2760" s="11" t="n">
        <x:v>1</x:v>
      </x:c>
      <x:c r="K2760" s="11" t="n">
        <x:v>1</x:v>
      </x:c>
      <x:c r="L2760" s="11" t="n">
        <x:v>1</x:v>
      </x:c>
      <x:c r="M2760" s="9" t="n">
        <x:f>ROUND(H2760*(1-I2760),2)</x:f>
        <x:v>14151000</x:v>
      </x:c>
      <x:c r="N2760" s="4" t="str">
        <x:v>Sales head</x:v>
      </x:c>
      <x:c r="O2760" s="4"/>
      <x:c r="P2760" s="9" t="n">
        <x:v>0</x:v>
      </x:c>
      <x:c r="Q2760" s="11" t="n">
        <x:v>1</x:v>
      </x:c>
      <x:c r="R2760" s="8" t="n">
        <x:v>45518</x:v>
      </x:c>
      <x:c r="S2760" s="4" t="str">
        <x:v>Lost / cancelled</x:v>
      </x:c>
      <x:c r="T2760" s="10" t="n">
        <x:v>0.145833</x:v>
      </x:c>
      <x:c r="U2760" s="4" t="str">
        <x:v>Excluded / unlabelled</x:v>
      </x:c>
    </x:row>
    <x:row r="2761" ht="34" customHeight="1">
      <x:c r="A2761" s="4" t="str">
        <x:v>RS-02760</x:v>
      </x:c>
      <x:c r="B2761" s="8" t="n">
        <x:v>45459</x:v>
      </x:c>
      <x:c r="C2761" s="4" t="str">
        <x:v>PRJ-020</x:v>
      </x:c>
      <x:c r="D2761" s="4" t="str">
        <x:v>Villa</x:v>
      </x:c>
      <x:c r="E2761" s="4" t="str">
        <x:v>Booked</x:v>
      </x:c>
      <x:c r="F2761" s="4" t="str">
        <x:v>CUS-02760</x:v>
      </x:c>
      <x:c r="G2761" s="4" t="str">
        <x:v>UNIT-02760</x:v>
      </x:c>
      <x:c r="H2761" s="9" t="n">
        <x:v>16700000</x:v>
      </x:c>
      <x:c r="I2761" s="10" t="n">
        <x:v>0.09</x:v>
      </x:c>
      <x:c r="J2761" s="11" t="n">
        <x:v>0</x:v>
      </x:c>
      <x:c r="K2761" s="11" t="n">
        <x:v>7</x:v>
      </x:c>
      <x:c r="L2761" s="11" t="n">
        <x:v>0</x:v>
      </x:c>
      <x:c r="M2761" s="9" t="n">
        <x:f>ROUND(H2761*(1-I2761),2)</x:f>
        <x:v>15197000</x:v>
      </x:c>
      <x:c r="N2761" s="4" t="str">
        <x:v>Sales head</x:v>
      </x:c>
      <x:c r="O2761" s="4" t="str">
        <x:v>BOOK-02760</x:v>
      </x:c>
      <x:c r="P2761" s="9" t="n">
        <x:v>15197000</x:v>
      </x:c>
      <x:c r="Q2761" s="11" t="n">
        <x:v>0</x:v>
      </x:c>
      <x:c r="R2761" s="8" t="n">
        <x:v>45519</x:v>
      </x:c>
      <x:c r="S2761" s="4" t="str">
        <x:v>Retained</x:v>
      </x:c>
      <x:c r="T2761" s="10" t="n">
        <x:v>0.145833</x:v>
      </x:c>
      <x:c r="U2761" s="4" t="str">
        <x:v>Excluded / unlabelled</x:v>
      </x:c>
    </x:row>
    <x:row r="2762" ht="34" customHeight="1">
      <x:c r="A2762" s="4" t="str">
        <x:v>RS-02761</x:v>
      </x:c>
      <x:c r="B2762" s="8" t="n">
        <x:v>45460</x:v>
      </x:c>
      <x:c r="C2762" s="4" t="str">
        <x:v>PRJ-001</x:v>
      </x:c>
      <x:c r="D2762" s="4" t="str">
        <x:v>Retail</x:v>
      </x:c>
      <x:c r="E2762" s="4" t="str">
        <x:v>Handed over</x:v>
      </x:c>
      <x:c r="F2762" s="4" t="str">
        <x:v>CUS-02761</x:v>
      </x:c>
      <x:c r="G2762" s="4" t="str">
        <x:v>UNIT-02761</x:v>
      </x:c>
      <x:c r="H2762" s="9" t="n">
        <x:v>8600000</x:v>
      </x:c>
      <x:c r="I2762" s="10" t="n">
        <x:v>0.11</x:v>
      </x:c>
      <x:c r="J2762" s="11" t="n">
        <x:v>1</x:v>
      </x:c>
      <x:c r="K2762" s="11" t="n">
        <x:v>6</x:v>
      </x:c>
      <x:c r="L2762" s="11" t="n">
        <x:v>0</x:v>
      </x:c>
      <x:c r="M2762" s="9" t="n">
        <x:f>ROUND(H2762*(1-I2762),2)</x:f>
        <x:v>7654000</x:v>
      </x:c>
      <x:c r="N2762" s="4" t="str">
        <x:v>Sales head</x:v>
      </x:c>
      <x:c r="O2762" s="4" t="str">
        <x:v>BOOK-02761</x:v>
      </x:c>
      <x:c r="P2762" s="9" t="n">
        <x:v>7654000</x:v>
      </x:c>
      <x:c r="Q2762" s="11" t="n">
        <x:v>0</x:v>
      </x:c>
      <x:c r="R2762" s="8" t="n">
        <x:v>45520</x:v>
      </x:c>
      <x:c r="S2762" s="4" t="str">
        <x:v>Retained</x:v>
      </x:c>
      <x:c r="T2762" s="10" t="n">
        <x:v>0.145833</x:v>
      </x:c>
      <x:c r="U2762" s="4" t="str">
        <x:v>Excluded / unlabelled</x:v>
      </x:c>
    </x:row>
    <x:row r="2763" ht="34" customHeight="1">
      <x:c r="A2763" s="4" t="str">
        <x:v>RS-02762</x:v>
      </x:c>
      <x:c r="B2763" s="8" t="n">
        <x:v>45461</x:v>
      </x:c>
      <x:c r="C2763" s="4" t="str">
        <x:v>PRJ-002</x:v>
      </x:c>
      <x:c r="D2763" s="4" t="str">
        <x:v>Retail</x:v>
      </x:c>
      <x:c r="E2763" s="4" t="str">
        <x:v>Handed over</x:v>
      </x:c>
      <x:c r="F2763" s="4" t="str">
        <x:v>CUS-02762</x:v>
      </x:c>
      <x:c r="G2763" s="4" t="str">
        <x:v>UNIT-02762</x:v>
      </x:c>
      <x:c r="H2763" s="9" t="n">
        <x:v>24100000</x:v>
      </x:c>
      <x:c r="I2763" s="10" t="n">
        <x:v>0.11</x:v>
      </x:c>
      <x:c r="J2763" s="11" t="n">
        <x:v>5</x:v>
      </x:c>
      <x:c r="K2763" s="11" t="n">
        <x:v>7</x:v>
      </x:c>
      <x:c r="L2763" s="11" t="n">
        <x:v>1</x:v>
      </x:c>
      <x:c r="M2763" s="9" t="n">
        <x:f>ROUND(H2763*(1-I2763),2)</x:f>
        <x:v>21449000</x:v>
      </x:c>
      <x:c r="N2763" s="4" t="str">
        <x:v>Sales head</x:v>
      </x:c>
      <x:c r="O2763" s="4" t="str">
        <x:v>BOOK-02762</x:v>
      </x:c>
      <x:c r="P2763" s="9" t="n">
        <x:v>5362250</x:v>
      </x:c>
      <x:c r="Q2763" s="11" t="n">
        <x:v>0</x:v>
      </x:c>
      <x:c r="R2763" s="8" t="n">
        <x:v>45521</x:v>
      </x:c>
      <x:c r="S2763" s="4" t="str">
        <x:v>Retained</x:v>
      </x:c>
      <x:c r="T2763" s="10" t="n">
        <x:v>0.291946</x:v>
      </x:c>
      <x:c r="U2763" s="4" t="str">
        <x:v>Excluded / unlabelled</x:v>
      </x:c>
    </x:row>
    <x:row r="2764" ht="34" customHeight="1">
      <x:c r="A2764" s="4" t="str">
        <x:v>RS-02763</x:v>
      </x:c>
      <x:c r="B2764" s="8" t="n">
        <x:v>45462</x:v>
      </x:c>
      <x:c r="C2764" s="4" t="str">
        <x:v>PRJ-003</x:v>
      </x:c>
      <x:c r="D2764" s="4" t="str">
        <x:v>Apartment</x:v>
      </x:c>
      <x:c r="E2764" s="4" t="str">
        <x:v>Enquiry</x:v>
      </x:c>
      <x:c r="F2764" s="4" t="str">
        <x:v>CUS-02763</x:v>
      </x:c>
      <x:c r="G2764" s="4" t="str">
        <x:v>UNIT-02763</x:v>
      </x:c>
      <x:c r="H2764" s="9" t="n">
        <x:v>13200000</x:v>
      </x:c>
      <x:c r="I2764" s="10" t="n">
        <x:v>0.07</x:v>
      </x:c>
      <x:c r="J2764" s="11" t="n">
        <x:v>6</x:v>
      </x:c>
      <x:c r="K2764" s="11" t="n">
        <x:v>10</x:v>
      </x:c>
      <x:c r="L2764" s="11" t="n">
        <x:v>0</x:v>
      </x:c>
      <x:c r="M2764" s="9" t="n">
        <x:f>ROUND(H2764*(1-I2764),2)</x:f>
        <x:v>12276000</x:v>
      </x:c>
      <x:c r="N2764" s="4" t="str">
        <x:v>Sales manager</x:v>
      </x:c>
      <x:c r="O2764" s="4"/>
      <x:c r="P2764" s="9" t="n">
        <x:v>0</x:v>
      </x:c>
      <x:c r="Q2764" s="11" t="n">
        <x:v>0</x:v>
      </x:c>
      <x:c r="R2764" s="8" t="n">
        <x:v>45522</x:v>
      </x:c>
      <x:c r="S2764" s="4" t="str">
        <x:v>Retained</x:v>
      </x:c>
      <x:c r="T2764" s="10" t="n">
        <x:v>0.226277</x:v>
      </x:c>
      <x:c r="U2764" s="4" t="str">
        <x:v>Excluded / unlabelled</x:v>
      </x:c>
    </x:row>
    <x:row r="2765" ht="34" customHeight="1">
      <x:c r="A2765" s="4" t="str">
        <x:v>RS-02764</x:v>
      </x:c>
      <x:c r="B2765" s="8" t="n">
        <x:v>45463</x:v>
      </x:c>
      <x:c r="C2765" s="4" t="str">
        <x:v>PRJ-004</x:v>
      </x:c>
      <x:c r="D2765" s="4" t="str">
        <x:v>Office</x:v>
      </x:c>
      <x:c r="E2765" s="4" t="str">
        <x:v>Agreement signed</x:v>
      </x:c>
      <x:c r="F2765" s="4" t="str">
        <x:v>CUS-02764</x:v>
      </x:c>
      <x:c r="G2765" s="4" t="str">
        <x:v>UNIT-02764</x:v>
      </x:c>
      <x:c r="H2765" s="9" t="n">
        <x:v>21000000</x:v>
      </x:c>
      <x:c r="I2765" s="10" t="n">
        <x:v>0.08</x:v>
      </x:c>
      <x:c r="J2765" s="11" t="n">
        <x:v>0</x:v>
      </x:c>
      <x:c r="K2765" s="11" t="n">
        <x:v>4</x:v>
      </x:c>
      <x:c r="L2765" s="11" t="n">
        <x:v>0</x:v>
      </x:c>
      <x:c r="M2765" s="9" t="n">
        <x:f>ROUND(H2765*(1-I2765),2)</x:f>
        <x:v>19320000</x:v>
      </x:c>
      <x:c r="N2765" s="4" t="str">
        <x:v>Sales head</x:v>
      </x:c>
      <x:c r="O2765" s="4" t="str">
        <x:v>BOOK-02764</x:v>
      </x:c>
      <x:c r="P2765" s="9" t="n">
        <x:v>4830000</x:v>
      </x:c>
      <x:c r="Q2765" s="11" t="n">
        <x:v>0</x:v>
      </x:c>
      <x:c r="R2765" s="8" t="n">
        <x:v>45523</x:v>
      </x:c>
      <x:c r="S2765" s="4" t="str">
        <x:v>Retained</x:v>
      </x:c>
      <x:c r="T2765" s="10" t="n">
        <x:v>0.204152</x:v>
      </x:c>
      <x:c r="U2765" s="4" t="str">
        <x:v>Excluded / unlabelled</x:v>
      </x:c>
    </x:row>
    <x:row r="2766" ht="34" customHeight="1">
      <x:c r="A2766" s="4" t="str">
        <x:v>RS-02765</x:v>
      </x:c>
      <x:c r="B2766" s="8" t="n">
        <x:v>45464</x:v>
      </x:c>
      <x:c r="C2766" s="4" t="str">
        <x:v>PRJ-005</x:v>
      </x:c>
      <x:c r="D2766" s="4" t="str">
        <x:v>Apartment</x:v>
      </x:c>
      <x:c r="E2766" s="4" t="str">
        <x:v>Cancelled</x:v>
      </x:c>
      <x:c r="F2766" s="4" t="str">
        <x:v>CUS-02765</x:v>
      </x:c>
      <x:c r="G2766" s="4" t="str">
        <x:v>UNIT-02765</x:v>
      </x:c>
      <x:c r="H2766" s="9" t="n">
        <x:v>8000000</x:v>
      </x:c>
      <x:c r="I2766" s="10" t="n">
        <x:v>0.04</x:v>
      </x:c>
      <x:c r="J2766" s="11" t="n">
        <x:v>11</x:v>
      </x:c>
      <x:c r="K2766" s="11" t="n">
        <x:v>10</x:v>
      </x:c>
      <x:c r="L2766" s="11" t="n">
        <x:v>1</x:v>
      </x:c>
      <x:c r="M2766" s="9" t="n">
        <x:f>ROUND(H2766*(1-I2766),2)</x:f>
        <x:v>7680000</x:v>
      </x:c>
      <x:c r="N2766" s="4" t="str">
        <x:v>Sales manager</x:v>
      </x:c>
      <x:c r="O2766" s="4"/>
      <x:c r="P2766" s="9" t="n">
        <x:v>0</x:v>
      </x:c>
      <x:c r="Q2766" s="11" t="n">
        <x:v>1</x:v>
      </x:c>
      <x:c r="R2766" s="8" t="n">
        <x:v>45524</x:v>
      </x:c>
      <x:c r="S2766" s="4" t="str">
        <x:v>Lost / cancelled</x:v>
      </x:c>
      <x:c r="T2766" s="10" t="n">
        <x:v>0.351536</x:v>
      </x:c>
      <x:c r="U2766" s="4" t="str">
        <x:v>Excluded / unlabelled</x:v>
      </x:c>
    </x:row>
    <x:row r="2767" ht="34" customHeight="1">
      <x:c r="A2767" s="4" t="str">
        <x:v>RS-02766</x:v>
      </x:c>
      <x:c r="B2767" s="8" t="n">
        <x:v>45465</x:v>
      </x:c>
      <x:c r="C2767" s="4" t="str">
        <x:v>PRJ-006</x:v>
      </x:c>
      <x:c r="D2767" s="4" t="str">
        <x:v>Retail</x:v>
      </x:c>
      <x:c r="E2767" s="4" t="str">
        <x:v>Agreement signed</x:v>
      </x:c>
      <x:c r="F2767" s="4" t="str">
        <x:v>CUS-02766</x:v>
      </x:c>
      <x:c r="G2767" s="4" t="str">
        <x:v>UNIT-02766</x:v>
      </x:c>
      <x:c r="H2767" s="9" t="n">
        <x:v>18900000</x:v>
      </x:c>
      <x:c r="I2767" s="10" t="n">
        <x:v>0.08</x:v>
      </x:c>
      <x:c r="J2767" s="11" t="n">
        <x:v>6</x:v>
      </x:c>
      <x:c r="K2767" s="11" t="n">
        <x:v>2</x:v>
      </x:c>
      <x:c r="L2767" s="11" t="n">
        <x:v>1</x:v>
      </x:c>
      <x:c r="M2767" s="9" t="n">
        <x:f>ROUND(H2767*(1-I2767),2)</x:f>
        <x:v>17388000</x:v>
      </x:c>
      <x:c r="N2767" s="4" t="str">
        <x:v>Sales head</x:v>
      </x:c>
      <x:c r="O2767" s="4" t="str">
        <x:v>BOOK-02766</x:v>
      </x:c>
      <x:c r="P2767" s="9" t="n">
        <x:v>1738800</x:v>
      </x:c>
      <x:c r="Q2767" s="11" t="n">
        <x:v>0</x:v>
      </x:c>
      <x:c r="R2767" s="8" t="n">
        <x:v>45525</x:v>
      </x:c>
      <x:c r="S2767" s="4" t="str">
        <x:v>Retained</x:v>
      </x:c>
      <x:c r="T2767" s="10" t="n">
        <x:v>0.291946</x:v>
      </x:c>
      <x:c r="U2767" s="4" t="str">
        <x:v>Excluded / unlabelled</x:v>
      </x:c>
    </x:row>
    <x:row r="2768" ht="34" customHeight="1">
      <x:c r="A2768" s="4" t="str">
        <x:v>RS-02767</x:v>
      </x:c>
      <x:c r="B2768" s="8" t="n">
        <x:v>45466</x:v>
      </x:c>
      <x:c r="C2768" s="4" t="str">
        <x:v>PRJ-007</x:v>
      </x:c>
      <x:c r="D2768" s="4" t="str">
        <x:v>Villa</x:v>
      </x:c>
      <x:c r="E2768" s="4" t="str">
        <x:v>Reserved</x:v>
      </x:c>
      <x:c r="F2768" s="4" t="str">
        <x:v>CUS-02767</x:v>
      </x:c>
      <x:c r="G2768" s="4" t="str">
        <x:v>UNIT-02767</x:v>
      </x:c>
      <x:c r="H2768" s="9" t="n">
        <x:v>18500000</x:v>
      </x:c>
      <x:c r="I2768" s="10" t="n">
        <x:v>0.06</x:v>
      </x:c>
      <x:c r="J2768" s="11" t="n">
        <x:v>9</x:v>
      </x:c>
      <x:c r="K2768" s="11" t="n">
        <x:v>9</x:v>
      </x:c>
      <x:c r="L2768" s="11" t="n">
        <x:v>1</x:v>
      </x:c>
      <x:c r="M2768" s="9" t="n">
        <x:f>ROUND(H2768*(1-I2768),2)</x:f>
        <x:v>17390000</x:v>
      </x:c>
      <x:c r="N2768" s="4" t="str">
        <x:v>Sales manager</x:v>
      </x:c>
      <x:c r="O2768" s="4"/>
      <x:c r="P2768" s="9" t="n">
        <x:v>0</x:v>
      </x:c>
      <x:c r="Q2768" s="11" t="n">
        <x:v>1</x:v>
      </x:c>
      <x:c r="R2768" s="8" t="n">
        <x:v>45526</x:v>
      </x:c>
      <x:c r="S2768" s="4" t="str">
        <x:v>Lost / cancelled</x:v>
      </x:c>
      <x:c r="T2768" s="10" t="n">
        <x:v>0.310195</x:v>
      </x:c>
      <x:c r="U2768" s="4" t="str">
        <x:v>Excluded / unlabelled</x:v>
      </x:c>
    </x:row>
    <x:row r="2769" ht="34" customHeight="1">
      <x:c r="A2769" s="4" t="str">
        <x:v>RS-02768</x:v>
      </x:c>
      <x:c r="B2769" s="8" t="n">
        <x:v>45467</x:v>
      </x:c>
      <x:c r="C2769" s="4" t="str">
        <x:v>PRJ-008</x:v>
      </x:c>
      <x:c r="D2769" s="4" t="str">
        <x:v>Villa</x:v>
      </x:c>
      <x:c r="E2769" s="4" t="str">
        <x:v>Enquiry</x:v>
      </x:c>
      <x:c r="F2769" s="4" t="str">
        <x:v>CUS-02768</x:v>
      </x:c>
      <x:c r="G2769" s="4" t="str">
        <x:v>UNIT-02768</x:v>
      </x:c>
      <x:c r="H2769" s="9" t="n">
        <x:v>22100000</x:v>
      </x:c>
      <x:c r="I2769" s="10" t="n">
        <x:v>0.01</x:v>
      </x:c>
      <x:c r="J2769" s="11" t="n">
        <x:v>8</x:v>
      </x:c>
      <x:c r="K2769" s="11" t="n">
        <x:v>3</x:v>
      </x:c>
      <x:c r="L2769" s="11" t="n">
        <x:v>0</x:v>
      </x:c>
      <x:c r="M2769" s="9" t="n">
        <x:f>ROUND(H2769*(1-I2769),2)</x:f>
        <x:v>21879000</x:v>
      </x:c>
      <x:c r="N2769" s="4" t="str">
        <x:v>Sales manager</x:v>
      </x:c>
      <x:c r="O2769" s="4"/>
      <x:c r="P2769" s="9" t="n">
        <x:v>0</x:v>
      </x:c>
      <x:c r="Q2769" s="11" t="n">
        <x:v>1</x:v>
      </x:c>
      <x:c r="R2769" s="8" t="n">
        <x:v>45527</x:v>
      </x:c>
      <x:c r="S2769" s="4" t="str">
        <x:v>Lost / cancelled</x:v>
      </x:c>
      <x:c r="T2769" s="10" t="n">
        <x:v>0.305556</x:v>
      </x:c>
      <x:c r="U2769" s="4" t="str">
        <x:v>Excluded / unlabelled</x:v>
      </x:c>
    </x:row>
    <x:row r="2770" ht="34" customHeight="1">
      <x:c r="A2770" s="4" t="str">
        <x:v>RS-02769</x:v>
      </x:c>
      <x:c r="B2770" s="8" t="n">
        <x:v>45468</x:v>
      </x:c>
      <x:c r="C2770" s="4" t="str">
        <x:v>PRJ-009</x:v>
      </x:c>
      <x:c r="D2770" s="4" t="str">
        <x:v>Villa</x:v>
      </x:c>
      <x:c r="E2770" s="4" t="str">
        <x:v>Reserved</x:v>
      </x:c>
      <x:c r="F2770" s="4" t="str">
        <x:v>CUS-02769</x:v>
      </x:c>
      <x:c r="G2770" s="4" t="str">
        <x:v>UNIT-02769</x:v>
      </x:c>
      <x:c r="H2770" s="9" t="n">
        <x:v>22000000</x:v>
      </x:c>
      <x:c r="I2770" s="10" t="n">
        <x:v>0.02</x:v>
      </x:c>
      <x:c r="J2770" s="11" t="n">
        <x:v>2</x:v>
      </x:c>
      <x:c r="K2770" s="11" t="n">
        <x:v>2</x:v>
      </x:c>
      <x:c r="L2770" s="11" t="n">
        <x:v>1</x:v>
      </x:c>
      <x:c r="M2770" s="9" t="n">
        <x:f>ROUND(H2770*(1-I2770),2)</x:f>
        <x:v>21560000</x:v>
      </x:c>
      <x:c r="N2770" s="4" t="str">
        <x:v>Sales manager</x:v>
      </x:c>
      <x:c r="O2770" s="4"/>
      <x:c r="P2770" s="9" t="n">
        <x:v>0</x:v>
      </x:c>
      <x:c r="Q2770" s="11" t="n">
        <x:v>0</x:v>
      </x:c>
      <x:c r="R2770" s="8" t="n">
        <x:v>45528</x:v>
      </x:c>
      <x:c r="S2770" s="4" t="str">
        <x:v>Retained</x:v>
      </x:c>
      <x:c r="T2770" s="10" t="n">
        <x:v>0.171717</x:v>
      </x:c>
      <x:c r="U2770" s="4" t="str">
        <x:v>Excluded / unlabelled</x:v>
      </x:c>
    </x:row>
    <x:row r="2771" ht="34" customHeight="1">
      <x:c r="A2771" s="4" t="str">
        <x:v>RS-02770</x:v>
      </x:c>
      <x:c r="B2771" s="8" t="n">
        <x:v>45469</x:v>
      </x:c>
      <x:c r="C2771" s="4" t="str">
        <x:v>PRJ-010</x:v>
      </x:c>
      <x:c r="D2771" s="4" t="str">
        <x:v>Villa</x:v>
      </x:c>
      <x:c r="E2771" s="4" t="str">
        <x:v>Booked</x:v>
      </x:c>
      <x:c r="F2771" s="4" t="str">
        <x:v>CUS-02770</x:v>
      </x:c>
      <x:c r="G2771" s="4" t="str">
        <x:v>UNIT-02770</x:v>
      </x:c>
      <x:c r="H2771" s="9" t="n">
        <x:v>21900000</x:v>
      </x:c>
      <x:c r="I2771" s="10" t="n">
        <x:v>0.02</x:v>
      </x:c>
      <x:c r="J2771" s="11" t="n">
        <x:v>5</x:v>
      </x:c>
      <x:c r="K2771" s="11" t="n">
        <x:v>8</x:v>
      </x:c>
      <x:c r="L2771" s="11" t="n">
        <x:v>1</x:v>
      </x:c>
      <x:c r="M2771" s="9" t="n">
        <x:f>ROUND(H2771*(1-I2771),2)</x:f>
        <x:v>21462000</x:v>
      </x:c>
      <x:c r="N2771" s="4" t="str">
        <x:v>Sales manager</x:v>
      </x:c>
      <x:c r="O2771" s="4" t="str">
        <x:v>BOOK-02770</x:v>
      </x:c>
      <x:c r="P2771" s="9" t="n">
        <x:v>10731000</x:v>
      </x:c>
      <x:c r="Q2771" s="11" t="n">
        <x:v>0</x:v>
      </x:c>
      <x:c r="R2771" s="8" t="n">
        <x:v>45529</x:v>
      </x:c>
      <x:c r="S2771" s="4" t="str">
        <x:v>Retained</x:v>
      </x:c>
      <x:c r="T2771" s="10" t="n">
        <x:v>0.145299</x:v>
      </x:c>
      <x:c r="U2771" s="4" t="str">
        <x:v>Excluded / unlabelled</x:v>
      </x:c>
    </x:row>
    <x:row r="2772" ht="34" customHeight="1">
      <x:c r="A2772" s="4" t="str">
        <x:v>RS-02771</x:v>
      </x:c>
      <x:c r="B2772" s="8" t="n">
        <x:v>45470</x:v>
      </x:c>
      <x:c r="C2772" s="4" t="str">
        <x:v>PRJ-011</x:v>
      </x:c>
      <x:c r="D2772" s="4" t="str">
        <x:v>Office</x:v>
      </x:c>
      <x:c r="E2772" s="4" t="str">
        <x:v>Booked</x:v>
      </x:c>
      <x:c r="F2772" s="4" t="str">
        <x:v>CUS-02771</x:v>
      </x:c>
      <x:c r="G2772" s="4" t="str">
        <x:v>UNIT-02771</x:v>
      </x:c>
      <x:c r="H2772" s="9" t="n">
        <x:v>17900000</x:v>
      </x:c>
      <x:c r="I2772" s="10" t="n">
        <x:v>0.04</x:v>
      </x:c>
      <x:c r="J2772" s="11" t="n">
        <x:v>10</x:v>
      </x:c>
      <x:c r="K2772" s="11" t="n">
        <x:v>2</x:v>
      </x:c>
      <x:c r="L2772" s="11" t="n">
        <x:v>0</x:v>
      </x:c>
      <x:c r="M2772" s="9" t="n">
        <x:f>ROUND(H2772*(1-I2772),2)</x:f>
        <x:v>17184000</x:v>
      </x:c>
      <x:c r="N2772" s="4" t="str">
        <x:v>Sales manager</x:v>
      </x:c>
      <x:c r="O2772" s="4" t="str">
        <x:v>BOOK-02771</x:v>
      </x:c>
      <x:c r="P2772" s="9" t="n">
        <x:v>4296000</x:v>
      </x:c>
      <x:c r="Q2772" s="11" t="n">
        <x:v>0</x:v>
      </x:c>
      <x:c r="R2772" s="8" t="n">
        <x:v>45530</x:v>
      </x:c>
      <x:c r="S2772" s="4" t="str">
        <x:v>Retained</x:v>
      </x:c>
      <x:c r="T2772" s="10" t="n">
        <x:v>0.310195</x:v>
      </x:c>
      <x:c r="U2772" s="4" t="str">
        <x:v>Excluded / unlabelled</x:v>
      </x:c>
    </x:row>
    <x:row r="2773" ht="34" customHeight="1">
      <x:c r="A2773" s="4" t="str">
        <x:v>RS-02772</x:v>
      </x:c>
      <x:c r="B2773" s="8" t="n">
        <x:v>45471</x:v>
      </x:c>
      <x:c r="C2773" s="4" t="str">
        <x:v>PRJ-012</x:v>
      </x:c>
      <x:c r="D2773" s="4" t="str">
        <x:v>Apartment</x:v>
      </x:c>
      <x:c r="E2773" s="4" t="str">
        <x:v>Reserved</x:v>
      </x:c>
      <x:c r="F2773" s="4" t="str">
        <x:v>CUS-02772</x:v>
      </x:c>
      <x:c r="G2773" s="4" t="str">
        <x:v>UNIT-02772</x:v>
      </x:c>
      <x:c r="H2773" s="9" t="n">
        <x:v>20200000</x:v>
      </x:c>
      <x:c r="I2773" s="10" t="n">
        <x:v>0.08</x:v>
      </x:c>
      <x:c r="J2773" s="11" t="n">
        <x:v>0</x:v>
      </x:c>
      <x:c r="K2773" s="11" t="n">
        <x:v>10</x:v>
      </x:c>
      <x:c r="L2773" s="11" t="n">
        <x:v>1</x:v>
      </x:c>
      <x:c r="M2773" s="9" t="n">
        <x:f>ROUND(H2773*(1-I2773),2)</x:f>
        <x:v>18584000</x:v>
      </x:c>
      <x:c r="N2773" s="4" t="str">
        <x:v>Sales head</x:v>
      </x:c>
      <x:c r="O2773" s="4"/>
      <x:c r="P2773" s="9" t="n">
        <x:v>0</x:v>
      </x:c>
      <x:c r="Q2773" s="11" t="n">
        <x:v>0</x:v>
      </x:c>
      <x:c r="R2773" s="8" t="n">
        <x:v>45531</x:v>
      </x:c>
      <x:c r="S2773" s="4" t="str">
        <x:v>Retained</x:v>
      </x:c>
      <x:c r="T2773" s="10" t="n">
        <x:v>0.204152</x:v>
      </x:c>
      <x:c r="U2773" s="4" t="str">
        <x:v>Excluded / unlabelled</x:v>
      </x:c>
    </x:row>
    <x:row r="2774" ht="34" customHeight="1">
      <x:c r="A2774" s="4" t="str">
        <x:v>RS-02773</x:v>
      </x:c>
      <x:c r="B2774" s="8" t="n">
        <x:v>45444</x:v>
      </x:c>
      <x:c r="C2774" s="4" t="str">
        <x:v>PRJ-013</x:v>
      </x:c>
      <x:c r="D2774" s="4" t="str">
        <x:v>Retail</x:v>
      </x:c>
      <x:c r="E2774" s="4" t="str">
        <x:v>Cancelled</x:v>
      </x:c>
      <x:c r="F2774" s="4" t="str">
        <x:v>CUS-02773</x:v>
      </x:c>
      <x:c r="G2774" s="4" t="str">
        <x:v>UNIT-02773</x:v>
      </x:c>
      <x:c r="H2774" s="9" t="n">
        <x:v>23500000</x:v>
      </x:c>
      <x:c r="I2774" s="10" t="n">
        <x:v>0.07</x:v>
      </x:c>
      <x:c r="J2774" s="11" t="n">
        <x:v>5</x:v>
      </x:c>
      <x:c r="K2774" s="11" t="n">
        <x:v>10</x:v>
      </x:c>
      <x:c r="L2774" s="11" t="n">
        <x:v>0</x:v>
      </x:c>
      <x:c r="M2774" s="9" t="n">
        <x:f>ROUND(H2774*(1-I2774),2)</x:f>
        <x:v>21855000</x:v>
      </x:c>
      <x:c r="N2774" s="4" t="str">
        <x:v>Sales manager</x:v>
      </x:c>
      <x:c r="O2774" s="4"/>
      <x:c r="P2774" s="9" t="n">
        <x:v>0</x:v>
      </x:c>
      <x:c r="Q2774" s="11" t="n">
        <x:v>1</x:v>
      </x:c>
      <x:c r="R2774" s="8" t="n">
        <x:v>45504</x:v>
      </x:c>
      <x:c r="S2774" s="4" t="str">
        <x:v>Lost / cancelled</x:v>
      </x:c>
      <x:c r="T2774" s="10" t="n">
        <x:v>0.226277</x:v>
      </x:c>
      <x:c r="U2774" s="4" t="str">
        <x:v>Excluded / unlabelled</x:v>
      </x:c>
    </x:row>
    <x:row r="2775" ht="34" customHeight="1">
      <x:c r="A2775" s="4" t="str">
        <x:v>RS-02774</x:v>
      </x:c>
      <x:c r="B2775" s="8" t="n">
        <x:v>45445</x:v>
      </x:c>
      <x:c r="C2775" s="4" t="str">
        <x:v>PRJ-014</x:v>
      </x:c>
      <x:c r="D2775" s="4" t="str">
        <x:v>Villa</x:v>
      </x:c>
      <x:c r="E2775" s="4" t="str">
        <x:v>Cancelled</x:v>
      </x:c>
      <x:c r="F2775" s="4" t="str">
        <x:v>CUS-02774</x:v>
      </x:c>
      <x:c r="G2775" s="4" t="str">
        <x:v>UNIT-02774</x:v>
      </x:c>
      <x:c r="H2775" s="9" t="n">
        <x:v>18600000</x:v>
      </x:c>
      <x:c r="I2775" s="10" t="n">
        <x:v>0.03</x:v>
      </x:c>
      <x:c r="J2775" s="11" t="n">
        <x:v>3</x:v>
      </x:c>
      <x:c r="K2775" s="11" t="n">
        <x:v>8</x:v>
      </x:c>
      <x:c r="L2775" s="11" t="n">
        <x:v>1</x:v>
      </x:c>
      <x:c r="M2775" s="9" t="n">
        <x:f>ROUND(H2775*(1-I2775),2)</x:f>
        <x:v>18042000</x:v>
      </x:c>
      <x:c r="N2775" s="4" t="str">
        <x:v>Sales manager</x:v>
      </x:c>
      <x:c r="O2775" s="4"/>
      <x:c r="P2775" s="9" t="n">
        <x:v>0</x:v>
      </x:c>
      <x:c r="Q2775" s="11" t="n">
        <x:v>1</x:v>
      </x:c>
      <x:c r="R2775" s="8" t="n">
        <x:v>45505</x:v>
      </x:c>
      <x:c r="S2775" s="4" t="str">
        <x:v>Lost / cancelled</x:v>
      </x:c>
      <x:c r="T2775" s="10" t="n">
        <x:v>0.171717</x:v>
      </x:c>
      <x:c r="U2775" s="4" t="str">
        <x:v>Excluded / unlabelled</x:v>
      </x:c>
    </x:row>
    <x:row r="2776" ht="34" customHeight="1">
      <x:c r="A2776" s="4" t="str">
        <x:v>RS-02775</x:v>
      </x:c>
      <x:c r="B2776" s="8" t="n">
        <x:v>45446</x:v>
      </x:c>
      <x:c r="C2776" s="4" t="str">
        <x:v>PRJ-015</x:v>
      </x:c>
      <x:c r="D2776" s="4" t="str">
        <x:v>Villa</x:v>
      </x:c>
      <x:c r="E2776" s="4" t="str">
        <x:v>Reserved</x:v>
      </x:c>
      <x:c r="F2776" s="4" t="str">
        <x:v>CUS-02775</x:v>
      </x:c>
      <x:c r="G2776" s="4" t="str">
        <x:v>UNIT-02775</x:v>
      </x:c>
      <x:c r="H2776" s="9" t="n">
        <x:v>14500000</x:v>
      </x:c>
      <x:c r="I2776" s="10" t="n">
        <x:v>0.04</x:v>
      </x:c>
      <x:c r="J2776" s="11" t="n">
        <x:v>0</x:v>
      </x:c>
      <x:c r="K2776" s="11" t="n">
        <x:v>4</x:v>
      </x:c>
      <x:c r="L2776" s="11" t="n">
        <x:v>0</x:v>
      </x:c>
      <x:c r="M2776" s="9" t="n">
        <x:f>ROUND(H2776*(1-I2776),2)</x:f>
        <x:v>13920000</x:v>
      </x:c>
      <x:c r="N2776" s="4" t="str">
        <x:v>Sales manager</x:v>
      </x:c>
      <x:c r="O2776" s="4"/>
      <x:c r="P2776" s="9" t="n">
        <x:v>0</x:v>
      </x:c>
      <x:c r="Q2776" s="11" t="n">
        <x:v>0</x:v>
      </x:c>
      <x:c r="R2776" s="8" t="n">
        <x:v>45506</x:v>
      </x:c>
      <x:c r="S2776" s="4" t="str">
        <x:v>Retained</x:v>
      </x:c>
      <x:c r="T2776" s="10" t="n">
        <x:v>0.204152</x:v>
      </x:c>
      <x:c r="U2776" s="4" t="str">
        <x:v>Excluded / unlabelled</x:v>
      </x:c>
    </x:row>
    <x:row r="2777" ht="34" customHeight="1">
      <x:c r="A2777" s="4" t="str">
        <x:v>RS-02776</x:v>
      </x:c>
      <x:c r="B2777" s="8" t="n">
        <x:v>45447</x:v>
      </x:c>
      <x:c r="C2777" s="4" t="str">
        <x:v>PRJ-016</x:v>
      </x:c>
      <x:c r="D2777" s="4" t="str">
        <x:v>Apartment</x:v>
      </x:c>
      <x:c r="E2777" s="4" t="str">
        <x:v>Booked</x:v>
      </x:c>
      <x:c r="F2777" s="4" t="str">
        <x:v>CUS-02776</x:v>
      </x:c>
      <x:c r="G2777" s="4" t="str">
        <x:v>UNIT-02776</x:v>
      </x:c>
      <x:c r="H2777" s="9" t="n">
        <x:v>11300000</x:v>
      </x:c>
      <x:c r="I2777" s="10" t="n">
        <x:v>0.03</x:v>
      </x:c>
      <x:c r="J2777" s="11" t="n">
        <x:v>0</x:v>
      </x:c>
      <x:c r="K2777" s="11" t="n">
        <x:v>9</x:v>
      </x:c>
      <x:c r="L2777" s="11" t="n">
        <x:v>1</x:v>
      </x:c>
      <x:c r="M2777" s="9" t="n">
        <x:f>ROUND(H2777*(1-I2777),2)</x:f>
        <x:v>10961000</x:v>
      </x:c>
      <x:c r="N2777" s="4" t="str">
        <x:v>Sales manager</x:v>
      </x:c>
      <x:c r="O2777" s="4" t="str">
        <x:v>BOOK-02776</x:v>
      </x:c>
      <x:c r="P2777" s="9" t="n">
        <x:v>10961000</x:v>
      </x:c>
      <x:c r="Q2777" s="11" t="n">
        <x:v>0</x:v>
      </x:c>
      <x:c r="R2777" s="8" t="n">
        <x:v>45507</x:v>
      </x:c>
      <x:c r="S2777" s="4" t="str">
        <x:v>Retained</x:v>
      </x:c>
      <x:c r="T2777" s="10" t="n">
        <x:v>0.072165</x:v>
      </x:c>
      <x:c r="U2777" s="4" t="str">
        <x:v>Excluded / unlabelled</x:v>
      </x:c>
    </x:row>
    <x:row r="2778" ht="34" customHeight="1">
      <x:c r="A2778" s="4" t="str">
        <x:v>RS-02777</x:v>
      </x:c>
      <x:c r="B2778" s="8" t="n">
        <x:v>45448</x:v>
      </x:c>
      <x:c r="C2778" s="4" t="str">
        <x:v>PRJ-017</x:v>
      </x:c>
      <x:c r="D2778" s="4" t="str">
        <x:v>Office</x:v>
      </x:c>
      <x:c r="E2778" s="4" t="str">
        <x:v>Handed over</x:v>
      </x:c>
      <x:c r="F2778" s="4" t="str">
        <x:v>CUS-02777</x:v>
      </x:c>
      <x:c r="G2778" s="4" t="str">
        <x:v>UNIT-02777</x:v>
      </x:c>
      <x:c r="H2778" s="9" t="n">
        <x:v>23800000</x:v>
      </x:c>
      <x:c r="I2778" s="10" t="n">
        <x:v>0.05</x:v>
      </x:c>
      <x:c r="J2778" s="11" t="n">
        <x:v>8</x:v>
      </x:c>
      <x:c r="K2778" s="11" t="n">
        <x:v>1</x:v>
      </x:c>
      <x:c r="L2778" s="11" t="n">
        <x:v>1</x:v>
      </x:c>
      <x:c r="M2778" s="9" t="n">
        <x:f>ROUND(H2778*(1-I2778),2)</x:f>
        <x:v>22610000</x:v>
      </x:c>
      <x:c r="N2778" s="4" t="str">
        <x:v>Sales manager</x:v>
      </x:c>
      <x:c r="O2778" s="4" t="str">
        <x:v>BOOK-02777</x:v>
      </x:c>
      <x:c r="P2778" s="9" t="n">
        <x:v>5652500</x:v>
      </x:c>
      <x:c r="Q2778" s="11" t="n">
        <x:v>0</x:v>
      </x:c>
      <x:c r="R2778" s="8" t="n">
        <x:v>45508</x:v>
      </x:c>
      <x:c r="S2778" s="4" t="str">
        <x:v>Retained</x:v>
      </x:c>
      <x:c r="T2778" s="10" t="n">
        <x:v>0.310195</x:v>
      </x:c>
      <x:c r="U2778" s="4" t="str">
        <x:v>Excluded / unlabelled</x:v>
      </x:c>
    </x:row>
    <x:row r="2779" ht="34" customHeight="1">
      <x:c r="A2779" s="4" t="str">
        <x:v>RS-02778</x:v>
      </x:c>
      <x:c r="B2779" s="8" t="n">
        <x:v>45449</x:v>
      </x:c>
      <x:c r="C2779" s="4" t="str">
        <x:v>PRJ-018</x:v>
      </x:c>
      <x:c r="D2779" s="4" t="str">
        <x:v>Retail</x:v>
      </x:c>
      <x:c r="E2779" s="4" t="str">
        <x:v>Reserved</x:v>
      </x:c>
      <x:c r="F2779" s="4" t="str">
        <x:v>CUS-02778</x:v>
      </x:c>
      <x:c r="G2779" s="4" t="str">
        <x:v>UNIT-02778</x:v>
      </x:c>
      <x:c r="H2779" s="9" t="n">
        <x:v>22500000</x:v>
      </x:c>
      <x:c r="I2779" s="10" t="n">
        <x:v>0.03</x:v>
      </x:c>
      <x:c r="J2779" s="11" t="n">
        <x:v>10</x:v>
      </x:c>
      <x:c r="K2779" s="11" t="n">
        <x:v>2</x:v>
      </x:c>
      <x:c r="L2779" s="11" t="n">
        <x:v>1</x:v>
      </x:c>
      <x:c r="M2779" s="9" t="n">
        <x:f>ROUND(H2779*(1-I2779),2)</x:f>
        <x:v>21825000</x:v>
      </x:c>
      <x:c r="N2779" s="4" t="str">
        <x:v>Sales manager</x:v>
      </x:c>
      <x:c r="O2779" s="4"/>
      <x:c r="P2779" s="9" t="n">
        <x:v>0</x:v>
      </x:c>
      <x:c r="Q2779" s="11" t="n">
        <x:v>1</x:v>
      </x:c>
      <x:c r="R2779" s="8" t="n">
        <x:v>45509</x:v>
      </x:c>
      <x:c r="S2779" s="4" t="str">
        <x:v>Lost / cancelled</x:v>
      </x:c>
      <x:c r="T2779" s="10" t="n">
        <x:v>0.310195</x:v>
      </x:c>
      <x:c r="U2779" s="4" t="str">
        <x:v>Excluded / unlabelled</x:v>
      </x:c>
    </x:row>
    <x:row r="2780" ht="34" customHeight="1">
      <x:c r="A2780" s="4" t="str">
        <x:v>RS-02779</x:v>
      </x:c>
      <x:c r="B2780" s="8" t="n">
        <x:v>45450</x:v>
      </x:c>
      <x:c r="C2780" s="4" t="str">
        <x:v>PRJ-019</x:v>
      </x:c>
      <x:c r="D2780" s="4" t="str">
        <x:v>Office</x:v>
      </x:c>
      <x:c r="E2780" s="4" t="str">
        <x:v>Handed over</x:v>
      </x:c>
      <x:c r="F2780" s="4" t="str">
        <x:v>CUS-02779</x:v>
      </x:c>
      <x:c r="G2780" s="4" t="str">
        <x:v>UNIT-02779</x:v>
      </x:c>
      <x:c r="H2780" s="9" t="n">
        <x:v>5200000</x:v>
      </x:c>
      <x:c r="I2780" s="10" t="n">
        <x:v>0.11</x:v>
      </x:c>
      <x:c r="J2780" s="11" t="n">
        <x:v>12</x:v>
      </x:c>
      <x:c r="K2780" s="11" t="n">
        <x:v>3</x:v>
      </x:c>
      <x:c r="L2780" s="11" t="n">
        <x:v>0</x:v>
      </x:c>
      <x:c r="M2780" s="9" t="n">
        <x:f>ROUND(H2780*(1-I2780),2)</x:f>
        <x:v>4628000</x:v>
      </x:c>
      <x:c r="N2780" s="4" t="str">
        <x:v>Sales head</x:v>
      </x:c>
      <x:c r="O2780" s="4" t="str">
        <x:v>BOOK-02779</x:v>
      </x:c>
      <x:c r="P2780" s="9" t="n">
        <x:v>1157000</x:v>
      </x:c>
      <x:c r="Q2780" s="11" t="n">
        <x:v>0</x:v>
      </x:c>
      <x:c r="R2780" s="8" t="n">
        <x:v>45510</x:v>
      </x:c>
      <x:c r="S2780" s="4" t="str">
        <x:v>Retained</x:v>
      </x:c>
      <x:c r="T2780" s="10" t="n">
        <x:v>0.351536</x:v>
      </x:c>
      <x:c r="U2780" s="4" t="str">
        <x:v>Excluded / unlabelled</x:v>
      </x:c>
    </x:row>
    <x:row r="2781" ht="34" customHeight="1">
      <x:c r="A2781" s="4" t="str">
        <x:v>RS-02780</x:v>
      </x:c>
      <x:c r="B2781" s="8" t="n">
        <x:v>45451</x:v>
      </x:c>
      <x:c r="C2781" s="4" t="str">
        <x:v>PRJ-020</x:v>
      </x:c>
      <x:c r="D2781" s="4" t="str">
        <x:v>Office</x:v>
      </x:c>
      <x:c r="E2781" s="4" t="str">
        <x:v>Reserved</x:v>
      </x:c>
      <x:c r="F2781" s="4" t="str">
        <x:v>CUS-02780</x:v>
      </x:c>
      <x:c r="G2781" s="4" t="str">
        <x:v>UNIT-02780</x:v>
      </x:c>
      <x:c r="H2781" s="9" t="n">
        <x:v>9600000</x:v>
      </x:c>
      <x:c r="I2781" s="10" t="n">
        <x:v>0.05</x:v>
      </x:c>
      <x:c r="J2781" s="11" t="n">
        <x:v>8</x:v>
      </x:c>
      <x:c r="K2781" s="11" t="n">
        <x:v>9</x:v>
      </x:c>
      <x:c r="L2781" s="11" t="n">
        <x:v>1</x:v>
      </x:c>
      <x:c r="M2781" s="9" t="n">
        <x:f>ROUND(H2781*(1-I2781),2)</x:f>
        <x:v>9120000</x:v>
      </x:c>
      <x:c r="N2781" s="4" t="str">
        <x:v>Sales manager</x:v>
      </x:c>
      <x:c r="O2781" s="4"/>
      <x:c r="P2781" s="9" t="n">
        <x:v>0</x:v>
      </x:c>
      <x:c r="Q2781" s="11" t="n">
        <x:v>0</x:v>
      </x:c>
      <x:c r="R2781" s="8" t="n">
        <x:v>45511</x:v>
      </x:c>
      <x:c r="S2781" s="4" t="str">
        <x:v>Retained</x:v>
      </x:c>
      <x:c r="T2781" s="10" t="n">
        <x:v>0.310195</x:v>
      </x:c>
      <x:c r="U2781" s="4" t="str">
        <x:v>Excluded / unlabelled</x:v>
      </x:c>
    </x:row>
    <x:row r="2782" ht="34" customHeight="1">
      <x:c r="A2782" s="4" t="str">
        <x:v>RS-02781</x:v>
      </x:c>
      <x:c r="B2782" s="8" t="n">
        <x:v>45452</x:v>
      </x:c>
      <x:c r="C2782" s="4" t="str">
        <x:v>PRJ-001</x:v>
      </x:c>
      <x:c r="D2782" s="4" t="str">
        <x:v>Villa</x:v>
      </x:c>
      <x:c r="E2782" s="4" t="str">
        <x:v>Booked</x:v>
      </x:c>
      <x:c r="F2782" s="4" t="str">
        <x:v>CUS-02781</x:v>
      </x:c>
      <x:c r="G2782" s="4" t="str">
        <x:v>UNIT-02781</x:v>
      </x:c>
      <x:c r="H2782" s="9" t="n">
        <x:v>12000000</x:v>
      </x:c>
      <x:c r="I2782" s="10" t="n">
        <x:v>0.06</x:v>
      </x:c>
      <x:c r="J2782" s="11" t="n">
        <x:v>9</x:v>
      </x:c>
      <x:c r="K2782" s="11" t="n">
        <x:v>8</x:v>
      </x:c>
      <x:c r="L2782" s="11" t="n">
        <x:v>0</x:v>
      </x:c>
      <x:c r="M2782" s="9" t="n">
        <x:f>ROUND(H2782*(1-I2782),2)</x:f>
        <x:v>11280000</x:v>
      </x:c>
      <x:c r="N2782" s="4" t="str">
        <x:v>Sales manager</x:v>
      </x:c>
      <x:c r="O2782" s="4" t="str">
        <x:v>BOOK-02781</x:v>
      </x:c>
      <x:c r="P2782" s="9" t="n">
        <x:v>5640000</x:v>
      </x:c>
      <x:c r="Q2782" s="11" t="n">
        <x:v>0</x:v>
      </x:c>
      <x:c r="R2782" s="8" t="n">
        <x:v>45512</x:v>
      </x:c>
      <x:c r="S2782" s="4" t="str">
        <x:v>Retained</x:v>
      </x:c>
      <x:c r="T2782" s="10" t="n">
        <x:v>0.310195</x:v>
      </x:c>
      <x:c r="U2782" s="4" t="str">
        <x:v>Excluded / unlabelled</x:v>
      </x:c>
    </x:row>
    <x:row r="2783" ht="34" customHeight="1">
      <x:c r="A2783" s="4" t="str">
        <x:v>RS-02782</x:v>
      </x:c>
      <x:c r="B2783" s="8" t="n">
        <x:v>45453</x:v>
      </x:c>
      <x:c r="C2783" s="4" t="str">
        <x:v>PRJ-002</x:v>
      </x:c>
      <x:c r="D2783" s="4" t="str">
        <x:v>Retail</x:v>
      </x:c>
      <x:c r="E2783" s="4" t="str">
        <x:v>Reserved</x:v>
      </x:c>
      <x:c r="F2783" s="4" t="str">
        <x:v>CUS-02782</x:v>
      </x:c>
      <x:c r="G2783" s="4" t="str">
        <x:v>UNIT-02782</x:v>
      </x:c>
      <x:c r="H2783" s="9" t="n">
        <x:v>7600000</x:v>
      </x:c>
      <x:c r="I2783" s="10" t="n">
        <x:v>0.07</x:v>
      </x:c>
      <x:c r="J2783" s="11" t="n">
        <x:v>0</x:v>
      </x:c>
      <x:c r="K2783" s="11" t="n">
        <x:v>3</x:v>
      </x:c>
      <x:c r="L2783" s="11" t="n">
        <x:v>0</x:v>
      </x:c>
      <x:c r="M2783" s="9" t="n">
        <x:f>ROUND(H2783*(1-I2783),2)</x:f>
        <x:v>7068000</x:v>
      </x:c>
      <x:c r="N2783" s="4" t="str">
        <x:v>Sales manager</x:v>
      </x:c>
      <x:c r="O2783" s="4"/>
      <x:c r="P2783" s="9" t="n">
        <x:v>0</x:v>
      </x:c>
      <x:c r="Q2783" s="11" t="n">
        <x:v>0</x:v>
      </x:c>
      <x:c r="R2783" s="8" t="n">
        <x:v>45513</x:v>
      </x:c>
      <x:c r="S2783" s="4" t="str">
        <x:v>Retained</x:v>
      </x:c>
      <x:c r="T2783" s="10" t="n">
        <x:v>0.204152</x:v>
      </x:c>
      <x:c r="U2783" s="4" t="str">
        <x:v>Excluded / unlabelled</x:v>
      </x:c>
    </x:row>
    <x:row r="2784" ht="34" customHeight="1">
      <x:c r="A2784" s="4" t="str">
        <x:v>RS-02783</x:v>
      </x:c>
      <x:c r="B2784" s="8" t="n">
        <x:v>45454</x:v>
      </x:c>
      <x:c r="C2784" s="4" t="str">
        <x:v>PRJ-003</x:v>
      </x:c>
      <x:c r="D2784" s="4" t="str">
        <x:v>Retail</x:v>
      </x:c>
      <x:c r="E2784" s="4" t="str">
        <x:v>Reserved</x:v>
      </x:c>
      <x:c r="F2784" s="4" t="str">
        <x:v>CUS-02783</x:v>
      </x:c>
      <x:c r="G2784" s="4" t="str">
        <x:v>UNIT-02783</x:v>
      </x:c>
      <x:c r="H2784" s="9" t="n">
        <x:v>8700000</x:v>
      </x:c>
      <x:c r="I2784" s="10" t="n">
        <x:v>0.03</x:v>
      </x:c>
      <x:c r="J2784" s="11" t="n">
        <x:v>12</x:v>
      </x:c>
      <x:c r="K2784" s="11" t="n">
        <x:v>1</x:v>
      </x:c>
      <x:c r="L2784" s="11" t="n">
        <x:v>0</x:v>
      </x:c>
      <x:c r="M2784" s="9" t="n">
        <x:f>ROUND(H2784*(1-I2784),2)</x:f>
        <x:v>8439000</x:v>
      </x:c>
      <x:c r="N2784" s="4" t="str">
        <x:v>Sales manager</x:v>
      </x:c>
      <x:c r="O2784" s="4"/>
      <x:c r="P2784" s="9" t="n">
        <x:v>0</x:v>
      </x:c>
      <x:c r="Q2784" s="11" t="n">
        <x:v>0</x:v>
      </x:c>
      <x:c r="R2784" s="8" t="n">
        <x:v>45514</x:v>
      </x:c>
      <x:c r="S2784" s="4" t="str">
        <x:v>Retained</x:v>
      </x:c>
      <x:c r="T2784" s="10" t="n">
        <x:v>0.351536</x:v>
      </x:c>
      <x:c r="U2784" s="4" t="str">
        <x:v>Excluded / unlabelled</x:v>
      </x:c>
    </x:row>
    <x:row r="2785" ht="34" customHeight="1">
      <x:c r="A2785" s="4" t="str">
        <x:v>RS-02784</x:v>
      </x:c>
      <x:c r="B2785" s="8" t="n">
        <x:v>45455</x:v>
      </x:c>
      <x:c r="C2785" s="4" t="str">
        <x:v>PRJ-004</x:v>
      </x:c>
      <x:c r="D2785" s="4" t="str">
        <x:v>Apartment</x:v>
      </x:c>
      <x:c r="E2785" s="4" t="str">
        <x:v>Agreement signed</x:v>
      </x:c>
      <x:c r="F2785" s="4" t="str">
        <x:v>CUS-02784</x:v>
      </x:c>
      <x:c r="G2785" s="4" t="str">
        <x:v>UNIT-02784</x:v>
      </x:c>
      <x:c r="H2785" s="9" t="n">
        <x:v>19300000</x:v>
      </x:c>
      <x:c r="I2785" s="10" t="n">
        <x:v>0.1</x:v>
      </x:c>
      <x:c r="J2785" s="11" t="n">
        <x:v>0</x:v>
      </x:c>
      <x:c r="K2785" s="11" t="n">
        <x:v>7</x:v>
      </x:c>
      <x:c r="L2785" s="11" t="n">
        <x:v>1</x:v>
      </x:c>
      <x:c r="M2785" s="9" t="n">
        <x:f>ROUND(H2785*(1-I2785),2)</x:f>
        <x:v>17370000</x:v>
      </x:c>
      <x:c r="N2785" s="4" t="str">
        <x:v>Sales head</x:v>
      </x:c>
      <x:c r="O2785" s="4" t="str">
        <x:v>BOOK-02784</x:v>
      </x:c>
      <x:c r="P2785" s="9" t="n">
        <x:v>1737000</x:v>
      </x:c>
      <x:c r="Q2785" s="11" t="n">
        <x:v>0</x:v>
      </x:c>
      <x:c r="R2785" s="8" t="n">
        <x:v>45515</x:v>
      </x:c>
      <x:c r="S2785" s="4" t="str">
        <x:v>Retained</x:v>
      </x:c>
      <x:c r="T2785" s="10" t="n">
        <x:v>0.145833</x:v>
      </x:c>
      <x:c r="U2785" s="4" t="str">
        <x:v>Excluded / unlabelled</x:v>
      </x:c>
    </x:row>
    <x:row r="2786" ht="34" customHeight="1">
      <x:c r="A2786" s="4" t="str">
        <x:v>RS-02785</x:v>
      </x:c>
      <x:c r="B2786" s="8" t="n">
        <x:v>45456</x:v>
      </x:c>
      <x:c r="C2786" s="4" t="str">
        <x:v>PRJ-005</x:v>
      </x:c>
      <x:c r="D2786" s="4" t="str">
        <x:v>Villa</x:v>
      </x:c>
      <x:c r="E2786" s="4" t="str">
        <x:v>Enquiry</x:v>
      </x:c>
      <x:c r="F2786" s="4" t="str">
        <x:v>CUS-02785</x:v>
      </x:c>
      <x:c r="G2786" s="4" t="str">
        <x:v>UNIT-02785</x:v>
      </x:c>
      <x:c r="H2786" s="9" t="n">
        <x:v>14100000</x:v>
      </x:c>
      <x:c r="I2786" s="10" t="n">
        <x:v>0.03</x:v>
      </x:c>
      <x:c r="J2786" s="11" t="n">
        <x:v>7</x:v>
      </x:c>
      <x:c r="K2786" s="11" t="n">
        <x:v>8</x:v>
      </x:c>
      <x:c r="L2786" s="11" t="n">
        <x:v>1</x:v>
      </x:c>
      <x:c r="M2786" s="9" t="n">
        <x:f>ROUND(H2786*(1-I2786),2)</x:f>
        <x:v>13677000</x:v>
      </x:c>
      <x:c r="N2786" s="4" t="str">
        <x:v>Sales manager</x:v>
      </x:c>
      <x:c r="O2786" s="4"/>
      <x:c r="P2786" s="9" t="n">
        <x:v>0</x:v>
      </x:c>
      <x:c r="Q2786" s="11" t="n">
        <x:v>0</x:v>
      </x:c>
      <x:c r="R2786" s="8" t="n">
        <x:v>45516</x:v>
      </x:c>
      <x:c r="S2786" s="4" t="str">
        <x:v>Retained</x:v>
      </x:c>
      <x:c r="T2786" s="10" t="n">
        <x:v>0.145299</x:v>
      </x:c>
      <x:c r="U2786" s="4" t="str">
        <x:v>Excluded / unlabelled</x:v>
      </x:c>
    </x:row>
    <x:row r="2787" ht="34" customHeight="1">
      <x:c r="A2787" s="4" t="str">
        <x:v>RS-02786</x:v>
      </x:c>
      <x:c r="B2787" s="8" t="n">
        <x:v>45457</x:v>
      </x:c>
      <x:c r="C2787" s="4" t="str">
        <x:v>PRJ-006</x:v>
      </x:c>
      <x:c r="D2787" s="4" t="str">
        <x:v>Villa</x:v>
      </x:c>
      <x:c r="E2787" s="4" t="str">
        <x:v>Cancelled</x:v>
      </x:c>
      <x:c r="F2787" s="4" t="str">
        <x:v>CUS-02786</x:v>
      </x:c>
      <x:c r="G2787" s="4" t="str">
        <x:v>UNIT-02786</x:v>
      </x:c>
      <x:c r="H2787" s="9" t="n">
        <x:v>10400000</x:v>
      </x:c>
      <x:c r="I2787" s="10" t="n">
        <x:v>0.11</x:v>
      </x:c>
      <x:c r="J2787" s="11" t="n">
        <x:v>5</x:v>
      </x:c>
      <x:c r="K2787" s="11" t="n">
        <x:v>2</x:v>
      </x:c>
      <x:c r="L2787" s="11" t="n">
        <x:v>1</x:v>
      </x:c>
      <x:c r="M2787" s="9" t="n">
        <x:f>ROUND(H2787*(1-I2787),2)</x:f>
        <x:v>9256000</x:v>
      </x:c>
      <x:c r="N2787" s="4" t="str">
        <x:v>Sales head</x:v>
      </x:c>
      <x:c r="O2787" s="4"/>
      <x:c r="P2787" s="9" t="n">
        <x:v>0</x:v>
      </x:c>
      <x:c r="Q2787" s="11" t="n">
        <x:v>1</x:v>
      </x:c>
      <x:c r="R2787" s="8" t="n">
        <x:v>45517</x:v>
      </x:c>
      <x:c r="S2787" s="4" t="str">
        <x:v>Lost / cancelled</x:v>
      </x:c>
      <x:c r="T2787" s="10" t="n">
        <x:v>0.291946</x:v>
      </x:c>
      <x:c r="U2787" s="4" t="str">
        <x:v>Excluded / unlabelled</x:v>
      </x:c>
    </x:row>
    <x:row r="2788" ht="34" customHeight="1">
      <x:c r="A2788" s="4" t="str">
        <x:v>RS-02787</x:v>
      </x:c>
      <x:c r="B2788" s="8" t="n">
        <x:v>45458</x:v>
      </x:c>
      <x:c r="C2788" s="4" t="str">
        <x:v>PRJ-007</x:v>
      </x:c>
      <x:c r="D2788" s="4" t="str">
        <x:v>Retail</x:v>
      </x:c>
      <x:c r="E2788" s="4" t="str">
        <x:v>Handed over</x:v>
      </x:c>
      <x:c r="F2788" s="4" t="str">
        <x:v>CUS-02787</x:v>
      </x:c>
      <x:c r="G2788" s="4" t="str">
        <x:v>UNIT-02787</x:v>
      </x:c>
      <x:c r="H2788" s="9" t="n">
        <x:v>8500000</x:v>
      </x:c>
      <x:c r="I2788" s="10" t="n">
        <x:v>0.03</x:v>
      </x:c>
      <x:c r="J2788" s="11" t="n">
        <x:v>6</x:v>
      </x:c>
      <x:c r="K2788" s="11" t="n">
        <x:v>1</x:v>
      </x:c>
      <x:c r="L2788" s="11" t="n">
        <x:v>1</x:v>
      </x:c>
      <x:c r="M2788" s="9" t="n">
        <x:f>ROUND(H2788*(1-I2788),2)</x:f>
        <x:v>8245000</x:v>
      </x:c>
      <x:c r="N2788" s="4" t="str">
        <x:v>Sales manager</x:v>
      </x:c>
      <x:c r="O2788" s="4" t="str">
        <x:v>BOOK-02787</x:v>
      </x:c>
      <x:c r="P2788" s="9" t="n">
        <x:v>2061250</x:v>
      </x:c>
      <x:c r="Q2788" s="11" t="n">
        <x:v>0</x:v>
      </x:c>
      <x:c r="R2788" s="8" t="n">
        <x:v>45518</x:v>
      </x:c>
      <x:c r="S2788" s="4" t="str">
        <x:v>Retained</x:v>
      </x:c>
      <x:c r="T2788" s="10" t="n">
        <x:v>0.298969</x:v>
      </x:c>
      <x:c r="U2788" s="4" t="str">
        <x:v>Excluded / unlabelled</x:v>
      </x:c>
    </x:row>
    <x:row r="2789" ht="34" customHeight="1">
      <x:c r="A2789" s="4" t="str">
        <x:v>RS-02788</x:v>
      </x:c>
      <x:c r="B2789" s="8" t="n">
        <x:v>45459</x:v>
      </x:c>
      <x:c r="C2789" s="4" t="str">
        <x:v>PRJ-008</x:v>
      </x:c>
      <x:c r="D2789" s="4" t="str">
        <x:v>Apartment</x:v>
      </x:c>
      <x:c r="E2789" s="4" t="str">
        <x:v>Cancelled</x:v>
      </x:c>
      <x:c r="F2789" s="4" t="str">
        <x:v>CUS-02788</x:v>
      </x:c>
      <x:c r="G2789" s="4" t="str">
        <x:v>UNIT-02788</x:v>
      </x:c>
      <x:c r="H2789" s="9" t="n">
        <x:v>19900000</x:v>
      </x:c>
      <x:c r="I2789" s="10" t="n">
        <x:v>0.04</x:v>
      </x:c>
      <x:c r="J2789" s="11" t="n">
        <x:v>7</x:v>
      </x:c>
      <x:c r="K2789" s="11" t="n">
        <x:v>6</x:v>
      </x:c>
      <x:c r="L2789" s="11" t="n">
        <x:v>0</x:v>
      </x:c>
      <x:c r="M2789" s="9" t="n">
        <x:f>ROUND(H2789*(1-I2789),2)</x:f>
        <x:v>19104000</x:v>
      </x:c>
      <x:c r="N2789" s="4" t="str">
        <x:v>Sales manager</x:v>
      </x:c>
      <x:c r="O2789" s="4"/>
      <x:c r="P2789" s="9" t="n">
        <x:v>0</x:v>
      </x:c>
      <x:c r="Q2789" s="11" t="n">
        <x:v>1</x:v>
      </x:c>
      <x:c r="R2789" s="8" t="n">
        <x:v>45519</x:v>
      </x:c>
      <x:c r="S2789" s="4" t="str">
        <x:v>Lost / cancelled</x:v>
      </x:c>
      <x:c r="T2789" s="10" t="n">
        <x:v>0.226277</x:v>
      </x:c>
      <x:c r="U2789" s="4" t="str">
        <x:v>Excluded / unlabelled</x:v>
      </x:c>
    </x:row>
    <x:row r="2790" ht="34" customHeight="1">
      <x:c r="A2790" s="4" t="str">
        <x:v>RS-02789</x:v>
      </x:c>
      <x:c r="B2790" s="8" t="n">
        <x:v>45460</x:v>
      </x:c>
      <x:c r="C2790" s="4" t="str">
        <x:v>PRJ-009</x:v>
      </x:c>
      <x:c r="D2790" s="4" t="str">
        <x:v>Retail</x:v>
      </x:c>
      <x:c r="E2790" s="4" t="str">
        <x:v>Cancelled</x:v>
      </x:c>
      <x:c r="F2790" s="4" t="str">
        <x:v>CUS-02789</x:v>
      </x:c>
      <x:c r="G2790" s="4" t="str">
        <x:v>UNIT-02789</x:v>
      </x:c>
      <x:c r="H2790" s="9" t="n">
        <x:v>7800000</x:v>
      </x:c>
      <x:c r="I2790" s="10" t="n">
        <x:v>0.11</x:v>
      </x:c>
      <x:c r="J2790" s="11" t="n">
        <x:v>2</x:v>
      </x:c>
      <x:c r="K2790" s="11" t="n">
        <x:v>9</x:v>
      </x:c>
      <x:c r="L2790" s="11" t="n">
        <x:v>0</x:v>
      </x:c>
      <x:c r="M2790" s="9" t="n">
        <x:f>ROUND(H2790*(1-I2790),2)</x:f>
        <x:v>6942000</x:v>
      </x:c>
      <x:c r="N2790" s="4" t="str">
        <x:v>Sales head</x:v>
      </x:c>
      <x:c r="O2790" s="4"/>
      <x:c r="P2790" s="9" t="n">
        <x:v>0</x:v>
      </x:c>
      <x:c r="Q2790" s="11" t="n">
        <x:v>1</x:v>
      </x:c>
      <x:c r="R2790" s="8" t="n">
        <x:v>45520</x:v>
      </x:c>
      <x:c r="S2790" s="4" t="str">
        <x:v>Lost / cancelled</x:v>
      </x:c>
      <x:c r="T2790" s="10" t="n">
        <x:v>0.145833</x:v>
      </x:c>
      <x:c r="U2790" s="4" t="str">
        <x:v>Excluded / unlabelled</x:v>
      </x:c>
    </x:row>
    <x:row r="2791" ht="34" customHeight="1">
      <x:c r="A2791" s="4" t="str">
        <x:v>RS-02790</x:v>
      </x:c>
      <x:c r="B2791" s="8" t="n">
        <x:v>45461</x:v>
      </x:c>
      <x:c r="C2791" s="4" t="str">
        <x:v>PRJ-010</x:v>
      </x:c>
      <x:c r="D2791" s="4" t="str">
        <x:v>Retail</x:v>
      </x:c>
      <x:c r="E2791" s="4" t="str">
        <x:v>Enquiry</x:v>
      </x:c>
      <x:c r="F2791" s="4" t="str">
        <x:v>CUS-02790</x:v>
      </x:c>
      <x:c r="G2791" s="4" t="str">
        <x:v>UNIT-02790</x:v>
      </x:c>
      <x:c r="H2791" s="9" t="n">
        <x:v>13000000</x:v>
      </x:c>
      <x:c r="I2791" s="10" t="n">
        <x:v>0.04</x:v>
      </x:c>
      <x:c r="J2791" s="11" t="n">
        <x:v>10</x:v>
      </x:c>
      <x:c r="K2791" s="11" t="n">
        <x:v>9</x:v>
      </x:c>
      <x:c r="L2791" s="11" t="n">
        <x:v>1</x:v>
      </x:c>
      <x:c r="M2791" s="9" t="n">
        <x:f>ROUND(H2791*(1-I2791),2)</x:f>
        <x:v>12480000</x:v>
      </x:c>
      <x:c r="N2791" s="4" t="str">
        <x:v>Sales manager</x:v>
      </x:c>
      <x:c r="O2791" s="4"/>
      <x:c r="P2791" s="9" t="n">
        <x:v>0</x:v>
      </x:c>
      <x:c r="Q2791" s="11" t="n">
        <x:v>0</x:v>
      </x:c>
      <x:c r="R2791" s="8" t="n">
        <x:v>45521</x:v>
      </x:c>
      <x:c r="S2791" s="4" t="str">
        <x:v>Retained</x:v>
      </x:c>
      <x:c r="T2791" s="10" t="n">
        <x:v>0.310195</x:v>
      </x:c>
      <x:c r="U2791" s="4" t="str">
        <x:v>Excluded / unlabelled</x:v>
      </x:c>
    </x:row>
    <x:row r="2792" ht="34" customHeight="1">
      <x:c r="A2792" s="4" t="str">
        <x:v>RS-02791</x:v>
      </x:c>
      <x:c r="B2792" s="8" t="n">
        <x:v>45462</x:v>
      </x:c>
      <x:c r="C2792" s="4" t="str">
        <x:v>PRJ-011</x:v>
      </x:c>
      <x:c r="D2792" s="4" t="str">
        <x:v>Office</x:v>
      </x:c>
      <x:c r="E2792" s="4" t="str">
        <x:v>Reserved</x:v>
      </x:c>
      <x:c r="F2792" s="4" t="str">
        <x:v>CUS-02791</x:v>
      </x:c>
      <x:c r="G2792" s="4" t="str">
        <x:v>UNIT-02791</x:v>
      </x:c>
      <x:c r="H2792" s="9" t="n">
        <x:v>3400000</x:v>
      </x:c>
      <x:c r="I2792" s="10" t="n">
        <x:v>0.03</x:v>
      </x:c>
      <x:c r="J2792" s="11" t="n">
        <x:v>4</x:v>
      </x:c>
      <x:c r="K2792" s="11" t="n">
        <x:v>6</x:v>
      </x:c>
      <x:c r="L2792" s="11" t="n">
        <x:v>0</x:v>
      </x:c>
      <x:c r="M2792" s="9" t="n">
        <x:f>ROUND(H2792*(1-I2792),2)</x:f>
        <x:v>3298000</x:v>
      </x:c>
      <x:c r="N2792" s="4" t="str">
        <x:v>Sales manager</x:v>
      </x:c>
      <x:c r="O2792" s="4"/>
      <x:c r="P2792" s="9" t="n">
        <x:v>0</x:v>
      </x:c>
      <x:c r="Q2792" s="11" t="n">
        <x:v>0</x:v>
      </x:c>
      <x:c r="R2792" s="8" t="n">
        <x:v>45522</x:v>
      </x:c>
      <x:c r="S2792" s="4" t="str">
        <x:v>Retained</x:v>
      </x:c>
      <x:c r="T2792" s="10" t="n">
        <x:v>0.145299</x:v>
      </x:c>
      <x:c r="U2792" s="4" t="str">
        <x:v>Excluded / unlabelled</x:v>
      </x:c>
    </x:row>
    <x:row r="2793" ht="34" customHeight="1">
      <x:c r="A2793" s="4" t="str">
        <x:v>RS-02792</x:v>
      </x:c>
      <x:c r="B2793" s="8" t="n">
        <x:v>45463</x:v>
      </x:c>
      <x:c r="C2793" s="4" t="str">
        <x:v>PRJ-012</x:v>
      </x:c>
      <x:c r="D2793" s="4" t="str">
        <x:v>Office</x:v>
      </x:c>
      <x:c r="E2793" s="4" t="str">
        <x:v>Handed over</x:v>
      </x:c>
      <x:c r="F2793" s="4" t="str">
        <x:v>CUS-02792</x:v>
      </x:c>
      <x:c r="G2793" s="4" t="str">
        <x:v>UNIT-02792</x:v>
      </x:c>
      <x:c r="H2793" s="9" t="n">
        <x:v>12400000</x:v>
      </x:c>
      <x:c r="I2793" s="10" t="n">
        <x:v>0.08</x:v>
      </x:c>
      <x:c r="J2793" s="11" t="n">
        <x:v>7</x:v>
      </x:c>
      <x:c r="K2793" s="11" t="n">
        <x:v>8</x:v>
      </x:c>
      <x:c r="L2793" s="11" t="n">
        <x:v>1</x:v>
      </x:c>
      <x:c r="M2793" s="9" t="n">
        <x:f>ROUND(H2793*(1-I2793),2)</x:f>
        <x:v>11408000</x:v>
      </x:c>
      <x:c r="N2793" s="4" t="str">
        <x:v>Sales head</x:v>
      </x:c>
      <x:c r="O2793" s="4" t="str">
        <x:v>BOOK-02792</x:v>
      </x:c>
      <x:c r="P2793" s="9" t="n">
        <x:v>11408000</x:v>
      </x:c>
      <x:c r="Q2793" s="11" t="n">
        <x:v>0</x:v>
      </x:c>
      <x:c r="R2793" s="8" t="n">
        <x:v>45523</x:v>
      </x:c>
      <x:c r="S2793" s="4" t="str">
        <x:v>Retained</x:v>
      </x:c>
      <x:c r="T2793" s="10" t="n">
        <x:v>0.291946</x:v>
      </x:c>
      <x:c r="U2793" s="4" t="str">
        <x:v>Excluded / unlabelled</x:v>
      </x:c>
    </x:row>
    <x:row r="2794" ht="34" customHeight="1">
      <x:c r="A2794" s="4" t="str">
        <x:v>RS-02793</x:v>
      </x:c>
      <x:c r="B2794" s="8" t="n">
        <x:v>45464</x:v>
      </x:c>
      <x:c r="C2794" s="4" t="str">
        <x:v>PRJ-013</x:v>
      </x:c>
      <x:c r="D2794" s="4" t="str">
        <x:v>Retail</x:v>
      </x:c>
      <x:c r="E2794" s="4" t="str">
        <x:v>Enquiry</x:v>
      </x:c>
      <x:c r="F2794" s="4" t="str">
        <x:v>CUS-02793</x:v>
      </x:c>
      <x:c r="G2794" s="4" t="str">
        <x:v>UNIT-02793</x:v>
      </x:c>
      <x:c r="H2794" s="9" t="n">
        <x:v>15200000</x:v>
      </x:c>
      <x:c r="I2794" s="10" t="n">
        <x:v>0.09</x:v>
      </x:c>
      <x:c r="J2794" s="11" t="n">
        <x:v>6</x:v>
      </x:c>
      <x:c r="K2794" s="11" t="n">
        <x:v>2</x:v>
      </x:c>
      <x:c r="L2794" s="11" t="n">
        <x:v>0</x:v>
      </x:c>
      <x:c r="M2794" s="9" t="n">
        <x:f>ROUND(H2794*(1-I2794),2)</x:f>
        <x:v>13832000</x:v>
      </x:c>
      <x:c r="N2794" s="4" t="str">
        <x:v>Sales head</x:v>
      </x:c>
      <x:c r="O2794" s="4"/>
      <x:c r="P2794" s="9" t="n">
        <x:v>0</x:v>
      </x:c>
      <x:c r="Q2794" s="11" t="n">
        <x:v>0</x:v>
      </x:c>
      <x:c r="R2794" s="8" t="n">
        <x:v>45524</x:v>
      </x:c>
      <x:c r="S2794" s="4" t="str">
        <x:v>Retained</x:v>
      </x:c>
      <x:c r="T2794" s="10" t="n">
        <x:v>0.226277</x:v>
      </x:c>
      <x:c r="U2794" s="4" t="str">
        <x:v>Excluded / unlabelled</x:v>
      </x:c>
    </x:row>
    <x:row r="2795" ht="34" customHeight="1">
      <x:c r="A2795" s="4" t="str">
        <x:v>RS-02794</x:v>
      </x:c>
      <x:c r="B2795" s="8" t="n">
        <x:v>45465</x:v>
      </x:c>
      <x:c r="C2795" s="4" t="str">
        <x:v>PRJ-014</x:v>
      </x:c>
      <x:c r="D2795" s="4" t="str">
        <x:v>Retail</x:v>
      </x:c>
      <x:c r="E2795" s="4" t="str">
        <x:v>Booked</x:v>
      </x:c>
      <x:c r="F2795" s="4" t="str">
        <x:v>CUS-02794</x:v>
      </x:c>
      <x:c r="G2795" s="4" t="str">
        <x:v>UNIT-02794</x:v>
      </x:c>
      <x:c r="H2795" s="9" t="n">
        <x:v>5600000</x:v>
      </x:c>
      <x:c r="I2795" s="10" t="n">
        <x:v>0.05</x:v>
      </x:c>
      <x:c r="J2795" s="11" t="n">
        <x:v>2</x:v>
      </x:c>
      <x:c r="K2795" s="11" t="n">
        <x:v>0</x:v>
      </x:c>
      <x:c r="L2795" s="11" t="n">
        <x:v>1</x:v>
      </x:c>
      <x:c r="M2795" s="9" t="n">
        <x:f>ROUND(H2795*(1-I2795),2)</x:f>
        <x:v>5320000</x:v>
      </x:c>
      <x:c r="N2795" s="4" t="str">
        <x:v>Sales manager</x:v>
      </x:c>
      <x:c r="O2795" s="4" t="str">
        <x:v>BOOK-02794</x:v>
      </x:c>
      <x:c r="P2795" s="9" t="n">
        <x:v>1330000</x:v>
      </x:c>
      <x:c r="Q2795" s="11" t="n">
        <x:v>0</x:v>
      </x:c>
      <x:c r="R2795" s="8" t="n">
        <x:v>45525</x:v>
      </x:c>
      <x:c r="S2795" s="4" t="str">
        <x:v>Retained</x:v>
      </x:c>
      <x:c r="T2795" s="10" t="n">
        <x:v>0.276923</x:v>
      </x:c>
      <x:c r="U2795" s="4" t="str">
        <x:v>Excluded / unlabelled</x:v>
      </x:c>
    </x:row>
    <x:row r="2796" ht="34" customHeight="1">
      <x:c r="A2796" s="4" t="str">
        <x:v>RS-02795</x:v>
      </x:c>
      <x:c r="B2796" s="8" t="n">
        <x:v>45466</x:v>
      </x:c>
      <x:c r="C2796" s="4" t="str">
        <x:v>PRJ-015</x:v>
      </x:c>
      <x:c r="D2796" s="4" t="str">
        <x:v>Apartment</x:v>
      </x:c>
      <x:c r="E2796" s="4" t="str">
        <x:v>Cancelled</x:v>
      </x:c>
      <x:c r="F2796" s="4" t="str">
        <x:v>CUS-02795</x:v>
      </x:c>
      <x:c r="G2796" s="4" t="str">
        <x:v>UNIT-02795</x:v>
      </x:c>
      <x:c r="H2796" s="9" t="n">
        <x:v>24300000</x:v>
      </x:c>
      <x:c r="I2796" s="10" t="n">
        <x:v>0.03</x:v>
      </x:c>
      <x:c r="J2796" s="11" t="n">
        <x:v>6</x:v>
      </x:c>
      <x:c r="K2796" s="11" t="n">
        <x:v>0</x:v>
      </x:c>
      <x:c r="L2796" s="11" t="n">
        <x:v>0</x:v>
      </x:c>
      <x:c r="M2796" s="9" t="n">
        <x:f>ROUND(H2796*(1-I2796),2)</x:f>
        <x:v>23571000</x:v>
      </x:c>
      <x:c r="N2796" s="4" t="str">
        <x:v>Sales manager</x:v>
      </x:c>
      <x:c r="O2796" s="4"/>
      <x:c r="P2796" s="9" t="n">
        <x:v>0</x:v>
      </x:c>
      <x:c r="Q2796" s="11" t="n">
        <x:v>1</x:v>
      </x:c>
      <x:c r="R2796" s="8" t="n">
        <x:v>45526</x:v>
      </x:c>
      <x:c r="S2796" s="4" t="str">
        <x:v>Lost / cancelled</x:v>
      </x:c>
      <x:c r="T2796" s="10" t="n">
        <x:v>0.298969</x:v>
      </x:c>
      <x:c r="U2796" s="4" t="str">
        <x:v>Excluded / unlabelled</x:v>
      </x:c>
    </x:row>
    <x:row r="2797" ht="34" customHeight="1">
      <x:c r="A2797" s="4" t="str">
        <x:v>RS-02796</x:v>
      </x:c>
      <x:c r="B2797" s="8" t="n">
        <x:v>45467</x:v>
      </x:c>
      <x:c r="C2797" s="4" t="str">
        <x:v>PRJ-016</x:v>
      </x:c>
      <x:c r="D2797" s="4" t="str">
        <x:v>Apartment</x:v>
      </x:c>
      <x:c r="E2797" s="4" t="str">
        <x:v>Agreement signed</x:v>
      </x:c>
      <x:c r="F2797" s="4" t="str">
        <x:v>CUS-02796</x:v>
      </x:c>
      <x:c r="G2797" s="4" t="str">
        <x:v>UNIT-02796</x:v>
      </x:c>
      <x:c r="H2797" s="9" t="n">
        <x:v>6500000</x:v>
      </x:c>
      <x:c r="I2797" s="10" t="n">
        <x:v>0.1</x:v>
      </x:c>
      <x:c r="J2797" s="11" t="n">
        <x:v>6</x:v>
      </x:c>
      <x:c r="K2797" s="11" t="n">
        <x:v>10</x:v>
      </x:c>
      <x:c r="L2797" s="11" t="n">
        <x:v>1</x:v>
      </x:c>
      <x:c r="M2797" s="9" t="n">
        <x:f>ROUND(H2797*(1-I2797),2)</x:f>
        <x:v>5850000</x:v>
      </x:c>
      <x:c r="N2797" s="4" t="str">
        <x:v>Sales head</x:v>
      </x:c>
      <x:c r="O2797" s="4" t="str">
        <x:v>BOOK-02796</x:v>
      </x:c>
      <x:c r="P2797" s="9" t="n">
        <x:v>1462500</x:v>
      </x:c>
      <x:c r="Q2797" s="11" t="n">
        <x:v>0</x:v>
      </x:c>
      <x:c r="R2797" s="8" t="n">
        <x:v>45527</x:v>
      </x:c>
      <x:c r="S2797" s="4" t="str">
        <x:v>Retained</x:v>
      </x:c>
      <x:c r="T2797" s="10" t="n">
        <x:v>0.291946</x:v>
      </x:c>
      <x:c r="U2797" s="4" t="str">
        <x:v>Excluded / unlabelled</x:v>
      </x:c>
    </x:row>
    <x:row r="2798" ht="34" customHeight="1">
      <x:c r="A2798" s="4" t="str">
        <x:v>RS-02797</x:v>
      </x:c>
      <x:c r="B2798" s="8" t="n">
        <x:v>45468</x:v>
      </x:c>
      <x:c r="C2798" s="4" t="str">
        <x:v>PRJ-017</x:v>
      </x:c>
      <x:c r="D2798" s="4" t="str">
        <x:v>Villa</x:v>
      </x:c>
      <x:c r="E2798" s="4" t="str">
        <x:v>Enquiry</x:v>
      </x:c>
      <x:c r="F2798" s="4" t="str">
        <x:v>CUS-02797</x:v>
      </x:c>
      <x:c r="G2798" s="4" t="str">
        <x:v>UNIT-02797</x:v>
      </x:c>
      <x:c r="H2798" s="9" t="n">
        <x:v>24000000</x:v>
      </x:c>
      <x:c r="I2798" s="10" t="n">
        <x:v>0.08</x:v>
      </x:c>
      <x:c r="J2798" s="11" t="n">
        <x:v>8</x:v>
      </x:c>
      <x:c r="K2798" s="11" t="n">
        <x:v>8</x:v>
      </x:c>
      <x:c r="L2798" s="11" t="n">
        <x:v>1</x:v>
      </x:c>
      <x:c r="M2798" s="9" t="n">
        <x:f>ROUND(H2798*(1-I2798),2)</x:f>
        <x:v>22080000</x:v>
      </x:c>
      <x:c r="N2798" s="4" t="str">
        <x:v>Sales head</x:v>
      </x:c>
      <x:c r="O2798" s="4"/>
      <x:c r="P2798" s="9" t="n">
        <x:v>0</x:v>
      </x:c>
      <x:c r="Q2798" s="11" t="n">
        <x:v>0</x:v>
      </x:c>
      <x:c r="R2798" s="8" t="n">
        <x:v>45528</x:v>
      </x:c>
      <x:c r="S2798" s="4" t="str">
        <x:v>Retained</x:v>
      </x:c>
      <x:c r="T2798" s="10" t="n">
        <x:v>0.310195</x:v>
      </x:c>
      <x:c r="U2798" s="4" t="str">
        <x:v>Excluded / unlabelled</x:v>
      </x:c>
    </x:row>
    <x:row r="2799" ht="34" customHeight="1">
      <x:c r="A2799" s="4" t="str">
        <x:v>RS-02798</x:v>
      </x:c>
      <x:c r="B2799" s="8" t="n">
        <x:v>45469</x:v>
      </x:c>
      <x:c r="C2799" s="4" t="str">
        <x:v>PRJ-018</x:v>
      </x:c>
      <x:c r="D2799" s="4" t="str">
        <x:v>Villa</x:v>
      </x:c>
      <x:c r="E2799" s="4" t="str">
        <x:v>Agreement signed</x:v>
      </x:c>
      <x:c r="F2799" s="4" t="str">
        <x:v>CUS-02798</x:v>
      </x:c>
      <x:c r="G2799" s="4" t="str">
        <x:v>UNIT-02798</x:v>
      </x:c>
      <x:c r="H2799" s="9" t="n">
        <x:v>7600000</x:v>
      </x:c>
      <x:c r="I2799" s="10" t="n">
        <x:v>0.03</x:v>
      </x:c>
      <x:c r="J2799" s="11" t="n">
        <x:v>11</x:v>
      </x:c>
      <x:c r="K2799" s="11" t="n">
        <x:v>1</x:v>
      </x:c>
      <x:c r="L2799" s="11" t="n">
        <x:v>1</x:v>
      </x:c>
      <x:c r="M2799" s="9" t="n">
        <x:f>ROUND(H2799*(1-I2799),2)</x:f>
        <x:v>7372000</x:v>
      </x:c>
      <x:c r="N2799" s="4" t="str">
        <x:v>Sales manager</x:v>
      </x:c>
      <x:c r="O2799" s="4" t="str">
        <x:v>BOOK-02798</x:v>
      </x:c>
      <x:c r="P2799" s="9" t="n">
        <x:v>7372000</x:v>
      </x:c>
      <x:c r="Q2799" s="11" t="n">
        <x:v>0</x:v>
      </x:c>
      <x:c r="R2799" s="8" t="n">
        <x:v>45529</x:v>
      </x:c>
      <x:c r="S2799" s="4" t="str">
        <x:v>Retained</x:v>
      </x:c>
      <x:c r="T2799" s="10" t="n">
        <x:v>0.351536</x:v>
      </x:c>
      <x:c r="U2799" s="4" t="str">
        <x:v>Excluded / unlabelled</x:v>
      </x:c>
    </x:row>
    <x:row r="2800" ht="34" customHeight="1">
      <x:c r="A2800" s="4" t="str">
        <x:v>RS-02799</x:v>
      </x:c>
      <x:c r="B2800" s="8" t="n">
        <x:v>45470</x:v>
      </x:c>
      <x:c r="C2800" s="4" t="str">
        <x:v>PRJ-019</x:v>
      </x:c>
      <x:c r="D2800" s="4" t="str">
        <x:v>Apartment</x:v>
      </x:c>
      <x:c r="E2800" s="4" t="str">
        <x:v>Agreement signed</x:v>
      </x:c>
      <x:c r="F2800" s="4" t="str">
        <x:v>CUS-02799</x:v>
      </x:c>
      <x:c r="G2800" s="4" t="str">
        <x:v>UNIT-02799</x:v>
      </x:c>
      <x:c r="H2800" s="9" t="n">
        <x:v>14400000</x:v>
      </x:c>
      <x:c r="I2800" s="10" t="n">
        <x:v>0.06</x:v>
      </x:c>
      <x:c r="J2800" s="11" t="n">
        <x:v>9</x:v>
      </x:c>
      <x:c r="K2800" s="11" t="n">
        <x:v>8</x:v>
      </x:c>
      <x:c r="L2800" s="11" t="n">
        <x:v>1</x:v>
      </x:c>
      <x:c r="M2800" s="9" t="n">
        <x:f>ROUND(H2800*(1-I2800),2)</x:f>
        <x:v>13536000</x:v>
      </x:c>
      <x:c r="N2800" s="4" t="str">
        <x:v>Sales manager</x:v>
      </x:c>
      <x:c r="O2800" s="4" t="str">
        <x:v>BOOK-02799</x:v>
      </x:c>
      <x:c r="P2800" s="9" t="n">
        <x:v>3384000</x:v>
      </x:c>
      <x:c r="Q2800" s="11" t="n">
        <x:v>0</x:v>
      </x:c>
      <x:c r="R2800" s="8" t="n">
        <x:v>45530</x:v>
      </x:c>
      <x:c r="S2800" s="4" t="str">
        <x:v>Retained</x:v>
      </x:c>
      <x:c r="T2800" s="10" t="n">
        <x:v>0.310195</x:v>
      </x:c>
      <x:c r="U2800" s="4" t="str">
        <x:v>Excluded / unlabelled</x:v>
      </x:c>
    </x:row>
    <x:row r="2801" ht="34" customHeight="1">
      <x:c r="A2801" s="4" t="str">
        <x:v>RS-02800</x:v>
      </x:c>
      <x:c r="B2801" s="8" t="n">
        <x:v>45471</x:v>
      </x:c>
      <x:c r="C2801" s="4" t="str">
        <x:v>PRJ-020</x:v>
      </x:c>
      <x:c r="D2801" s="4" t="str">
        <x:v>Villa</x:v>
      </x:c>
      <x:c r="E2801" s="4" t="str">
        <x:v>Agreement signed</x:v>
      </x:c>
      <x:c r="F2801" s="4" t="str">
        <x:v>CUS-02800</x:v>
      </x:c>
      <x:c r="G2801" s="4" t="str">
        <x:v>UNIT-02800</x:v>
      </x:c>
      <x:c r="H2801" s="9" t="n">
        <x:v>16800000</x:v>
      </x:c>
      <x:c r="I2801" s="10" t="n">
        <x:v>0.04</x:v>
      </x:c>
      <x:c r="J2801" s="11" t="n">
        <x:v>10</x:v>
      </x:c>
      <x:c r="K2801" s="11" t="n">
        <x:v>5</x:v>
      </x:c>
      <x:c r="L2801" s="11" t="n">
        <x:v>1</x:v>
      </x:c>
      <x:c r="M2801" s="9" t="n">
        <x:f>ROUND(H2801*(1-I2801),2)</x:f>
        <x:v>16128000</x:v>
      </x:c>
      <x:c r="N2801" s="4" t="str">
        <x:v>Sales manager</x:v>
      </x:c>
      <x:c r="O2801" s="4" t="str">
        <x:v>BOOK-02800</x:v>
      </x:c>
      <x:c r="P2801" s="9" t="n">
        <x:v>1612800</x:v>
      </x:c>
      <x:c r="Q2801" s="11" t="n">
        <x:v>0</x:v>
      </x:c>
      <x:c r="R2801" s="8" t="n">
        <x:v>45531</x:v>
      </x:c>
      <x:c r="S2801" s="4" t="str">
        <x:v>Retained</x:v>
      </x:c>
      <x:c r="T2801" s="10" t="n">
        <x:v>0.310195</x:v>
      </x:c>
      <x:c r="U2801" s="4" t="str">
        <x:v>Excluded / unlabelled</x:v>
      </x:c>
    </x:row>
    <x:row r="2802" ht="34" customHeight="1">
      <x:c r="A2802" s="4" t="str">
        <x:v>RS-02801</x:v>
      </x:c>
      <x:c r="B2802" s="8" t="n">
        <x:v>45444</x:v>
      </x:c>
      <x:c r="C2802" s="4" t="str">
        <x:v>PRJ-001</x:v>
      </x:c>
      <x:c r="D2802" s="4" t="str">
        <x:v>Retail</x:v>
      </x:c>
      <x:c r="E2802" s="4" t="str">
        <x:v>Handed over</x:v>
      </x:c>
      <x:c r="F2802" s="4" t="str">
        <x:v>CUS-02801</x:v>
      </x:c>
      <x:c r="G2802" s="4" t="str">
        <x:v>UNIT-02801</x:v>
      </x:c>
      <x:c r="H2802" s="9" t="n">
        <x:v>8500000</x:v>
      </x:c>
      <x:c r="I2802" s="10" t="n">
        <x:v>0.02</x:v>
      </x:c>
      <x:c r="J2802" s="11" t="n">
        <x:v>9</x:v>
      </x:c>
      <x:c r="K2802" s="11" t="n">
        <x:v>5</x:v>
      </x:c>
      <x:c r="L2802" s="11" t="n">
        <x:v>1</x:v>
      </x:c>
      <x:c r="M2802" s="9" t="n">
        <x:f>ROUND(H2802*(1-I2802),2)</x:f>
        <x:v>8330000</x:v>
      </x:c>
      <x:c r="N2802" s="4" t="str">
        <x:v>Sales manager</x:v>
      </x:c>
      <x:c r="O2802" s="4" t="str">
        <x:v>BOOK-02801</x:v>
      </x:c>
      <x:c r="P2802" s="9" t="n">
        <x:v>833000</x:v>
      </x:c>
      <x:c r="Q2802" s="11" t="n">
        <x:v>0</x:v>
      </x:c>
      <x:c r="R2802" s="8" t="n">
        <x:v>45504</x:v>
      </x:c>
      <x:c r="S2802" s="4" t="str">
        <x:v>Retained</x:v>
      </x:c>
      <x:c r="T2802" s="10" t="n">
        <x:v>0.254545</x:v>
      </x:c>
      <x:c r="U2802" s="4" t="str">
        <x:v>Excluded / unlabelled</x:v>
      </x:c>
    </x:row>
    <x:row r="2803" ht="34" customHeight="1">
      <x:c r="A2803" s="4" t="str">
        <x:v>RS-02802</x:v>
      </x:c>
      <x:c r="B2803" s="8" t="n">
        <x:v>45445</x:v>
      </x:c>
      <x:c r="C2803" s="4" t="str">
        <x:v>PRJ-002</x:v>
      </x:c>
      <x:c r="D2803" s="4" t="str">
        <x:v>Retail</x:v>
      </x:c>
      <x:c r="E2803" s="4" t="str">
        <x:v>Reserved</x:v>
      </x:c>
      <x:c r="F2803" s="4" t="str">
        <x:v>CUS-02802</x:v>
      </x:c>
      <x:c r="G2803" s="4" t="str">
        <x:v>UNIT-02802</x:v>
      </x:c>
      <x:c r="H2803" s="9" t="n">
        <x:v>4400000</x:v>
      </x:c>
      <x:c r="I2803" s="10" t="n">
        <x:v>0.04</x:v>
      </x:c>
      <x:c r="J2803" s="11" t="n">
        <x:v>6</x:v>
      </x:c>
      <x:c r="K2803" s="11" t="n">
        <x:v>0</x:v>
      </x:c>
      <x:c r="L2803" s="11" t="n">
        <x:v>1</x:v>
      </x:c>
      <x:c r="M2803" s="9" t="n">
        <x:f>ROUND(H2803*(1-I2803),2)</x:f>
        <x:v>4224000</x:v>
      </x:c>
      <x:c r="N2803" s="4" t="str">
        <x:v>Sales manager</x:v>
      </x:c>
      <x:c r="O2803" s="4"/>
      <x:c r="P2803" s="9" t="n">
        <x:v>0</x:v>
      </x:c>
      <x:c r="Q2803" s="11" t="n">
        <x:v>1</x:v>
      </x:c>
      <x:c r="R2803" s="8" t="n">
        <x:v>45505</x:v>
      </x:c>
      <x:c r="S2803" s="4" t="str">
        <x:v>Lost / cancelled</x:v>
      </x:c>
      <x:c r="T2803" s="10" t="n">
        <x:v>0.291946</x:v>
      </x:c>
      <x:c r="U2803" s="4" t="str">
        <x:v>Excluded / unlabelled</x:v>
      </x:c>
    </x:row>
    <x:row r="2804" ht="34" customHeight="1">
      <x:c r="A2804" s="4" t="str">
        <x:v>RS-02803</x:v>
      </x:c>
      <x:c r="B2804" s="8" t="n">
        <x:v>45446</x:v>
      </x:c>
      <x:c r="C2804" s="4" t="str">
        <x:v>PRJ-003</x:v>
      </x:c>
      <x:c r="D2804" s="4" t="str">
        <x:v>Office</x:v>
      </x:c>
      <x:c r="E2804" s="4" t="str">
        <x:v>Handed over</x:v>
      </x:c>
      <x:c r="F2804" s="4" t="str">
        <x:v>CUS-02803</x:v>
      </x:c>
      <x:c r="G2804" s="4" t="str">
        <x:v>UNIT-02803</x:v>
      </x:c>
      <x:c r="H2804" s="9" t="n">
        <x:v>3100000</x:v>
      </x:c>
      <x:c r="I2804" s="10" t="n">
        <x:v>0.06</x:v>
      </x:c>
      <x:c r="J2804" s="11" t="n">
        <x:v>12</x:v>
      </x:c>
      <x:c r="K2804" s="11" t="n">
        <x:v>2</x:v>
      </x:c>
      <x:c r="L2804" s="11" t="n">
        <x:v>0</x:v>
      </x:c>
      <x:c r="M2804" s="9" t="n">
        <x:f>ROUND(H2804*(1-I2804),2)</x:f>
        <x:v>2914000</x:v>
      </x:c>
      <x:c r="N2804" s="4" t="str">
        <x:v>Sales manager</x:v>
      </x:c>
      <x:c r="O2804" s="4" t="str">
        <x:v>BOOK-02803</x:v>
      </x:c>
      <x:c r="P2804" s="9" t="n">
        <x:v>2914000</x:v>
      </x:c>
      <x:c r="Q2804" s="11" t="n">
        <x:v>0</x:v>
      </x:c>
      <x:c r="R2804" s="8" t="n">
        <x:v>45506</x:v>
      </x:c>
      <x:c r="S2804" s="4" t="str">
        <x:v>Retained</x:v>
      </x:c>
      <x:c r="T2804" s="10" t="n">
        <x:v>0.351536</x:v>
      </x:c>
      <x:c r="U2804" s="4" t="str">
        <x:v>Excluded / unlabelled</x:v>
      </x:c>
    </x:row>
    <x:row r="2805" ht="34" customHeight="1">
      <x:c r="A2805" s="4" t="str">
        <x:v>RS-02804</x:v>
      </x:c>
      <x:c r="B2805" s="8" t="n">
        <x:v>45447</x:v>
      </x:c>
      <x:c r="C2805" s="4" t="str">
        <x:v>PRJ-004</x:v>
      </x:c>
      <x:c r="D2805" s="4" t="str">
        <x:v>Apartment</x:v>
      </x:c>
      <x:c r="E2805" s="4" t="str">
        <x:v>Reserved</x:v>
      </x:c>
      <x:c r="F2805" s="4" t="str">
        <x:v>CUS-02804</x:v>
      </x:c>
      <x:c r="G2805" s="4" t="str">
        <x:v>UNIT-02804</x:v>
      </x:c>
      <x:c r="H2805" s="9" t="n">
        <x:v>13900000</x:v>
      </x:c>
      <x:c r="I2805" s="10" t="n">
        <x:v>0.03</x:v>
      </x:c>
      <x:c r="J2805" s="11" t="n">
        <x:v>9</x:v>
      </x:c>
      <x:c r="K2805" s="11" t="n">
        <x:v>7</x:v>
      </x:c>
      <x:c r="L2805" s="11" t="n">
        <x:v>0</x:v>
      </x:c>
      <x:c r="M2805" s="9" t="n">
        <x:f>ROUND(H2805*(1-I2805),2)</x:f>
        <x:v>13483000</x:v>
      </x:c>
      <x:c r="N2805" s="4" t="str">
        <x:v>Sales manager</x:v>
      </x:c>
      <x:c r="O2805" s="4"/>
      <x:c r="P2805" s="9" t="n">
        <x:v>0</x:v>
      </x:c>
      <x:c r="Q2805" s="11" t="n">
        <x:v>1</x:v>
      </x:c>
      <x:c r="R2805" s="8" t="n">
        <x:v>45507</x:v>
      </x:c>
      <x:c r="S2805" s="4" t="str">
        <x:v>Lost / cancelled</x:v>
      </x:c>
      <x:c r="T2805" s="10" t="n">
        <x:v>0.310195</x:v>
      </x:c>
      <x:c r="U2805" s="4" t="str">
        <x:v>Excluded / unlabelled</x:v>
      </x:c>
    </x:row>
    <x:row r="2806" ht="34" customHeight="1">
      <x:c r="A2806" s="4" t="str">
        <x:v>RS-02805</x:v>
      </x:c>
      <x:c r="B2806" s="8" t="n">
        <x:v>45448</x:v>
      </x:c>
      <x:c r="C2806" s="4" t="str">
        <x:v>PRJ-005</x:v>
      </x:c>
      <x:c r="D2806" s="4" t="str">
        <x:v>Villa</x:v>
      </x:c>
      <x:c r="E2806" s="4" t="str">
        <x:v>Booked</x:v>
      </x:c>
      <x:c r="F2806" s="4" t="str">
        <x:v>CUS-02805</x:v>
      </x:c>
      <x:c r="G2806" s="4" t="str">
        <x:v>UNIT-02805</x:v>
      </x:c>
      <x:c r="H2806" s="9" t="n">
        <x:v>23800000</x:v>
      </x:c>
      <x:c r="I2806" s="10" t="n">
        <x:v>0.1</x:v>
      </x:c>
      <x:c r="J2806" s="11" t="n">
        <x:v>8</x:v>
      </x:c>
      <x:c r="K2806" s="11" t="n">
        <x:v>8</x:v>
      </x:c>
      <x:c r="L2806" s="11" t="n">
        <x:v>0</x:v>
      </x:c>
      <x:c r="M2806" s="9" t="n">
        <x:f>ROUND(H2806*(1-I2806),2)</x:f>
        <x:v>21420000</x:v>
      </x:c>
      <x:c r="N2806" s="4" t="str">
        <x:v>Sales head</x:v>
      </x:c>
      <x:c r="O2806" s="4" t="str">
        <x:v>BOOK-02805</x:v>
      </x:c>
      <x:c r="P2806" s="9" t="n">
        <x:v>10710000</x:v>
      </x:c>
      <x:c r="Q2806" s="11" t="n">
        <x:v>0</x:v>
      </x:c>
      <x:c r="R2806" s="8" t="n">
        <x:v>45508</x:v>
      </x:c>
      <x:c r="S2806" s="4" t="str">
        <x:v>Retained</x:v>
      </x:c>
      <x:c r="T2806" s="10" t="n">
        <x:v>0.310195</x:v>
      </x:c>
      <x:c r="U2806" s="4" t="str">
        <x:v>Excluded / unlabelled</x:v>
      </x:c>
    </x:row>
    <x:row r="2807" ht="34" customHeight="1">
      <x:c r="A2807" s="4" t="str">
        <x:v>RS-02806</x:v>
      </x:c>
      <x:c r="B2807" s="8" t="n">
        <x:v>45449</x:v>
      </x:c>
      <x:c r="C2807" s="4" t="str">
        <x:v>PRJ-006</x:v>
      </x:c>
      <x:c r="D2807" s="4" t="str">
        <x:v>Retail</x:v>
      </x:c>
      <x:c r="E2807" s="4" t="str">
        <x:v>Agreement signed</x:v>
      </x:c>
      <x:c r="F2807" s="4" t="str">
        <x:v>CUS-02806</x:v>
      </x:c>
      <x:c r="G2807" s="4" t="str">
        <x:v>UNIT-02806</x:v>
      </x:c>
      <x:c r="H2807" s="9" t="n">
        <x:v>17600000</x:v>
      </x:c>
      <x:c r="I2807" s="10" t="n">
        <x:v>0.04</x:v>
      </x:c>
      <x:c r="J2807" s="11" t="n">
        <x:v>3</x:v>
      </x:c>
      <x:c r="K2807" s="11" t="n">
        <x:v>3</x:v>
      </x:c>
      <x:c r="L2807" s="11" t="n">
        <x:v>1</x:v>
      </x:c>
      <x:c r="M2807" s="9" t="n">
        <x:f>ROUND(H2807*(1-I2807),2)</x:f>
        <x:v>16896000</x:v>
      </x:c>
      <x:c r="N2807" s="4" t="str">
        <x:v>Sales manager</x:v>
      </x:c>
      <x:c r="O2807" s="4" t="str">
        <x:v>BOOK-02806</x:v>
      </x:c>
      <x:c r="P2807" s="9" t="n">
        <x:v>16896000</x:v>
      </x:c>
      <x:c r="Q2807" s="11" t="n">
        <x:v>0</x:v>
      </x:c>
      <x:c r="R2807" s="8" t="n">
        <x:v>45509</x:v>
      </x:c>
      <x:c r="S2807" s="4" t="str">
        <x:v>Retained</x:v>
      </x:c>
      <x:c r="T2807" s="10" t="n">
        <x:v>0.204152</x:v>
      </x:c>
      <x:c r="U2807" s="4" t="str">
        <x:v>Excluded / unlabelled</x:v>
      </x:c>
    </x:row>
    <x:row r="2808" ht="34" customHeight="1">
      <x:c r="A2808" s="4" t="str">
        <x:v>RS-02807</x:v>
      </x:c>
      <x:c r="B2808" s="8" t="n">
        <x:v>45450</x:v>
      </x:c>
      <x:c r="C2808" s="4" t="str">
        <x:v>PRJ-007</x:v>
      </x:c>
      <x:c r="D2808" s="4" t="str">
        <x:v>Apartment</x:v>
      </x:c>
      <x:c r="E2808" s="4" t="str">
        <x:v>Reserved</x:v>
      </x:c>
      <x:c r="F2808" s="4" t="str">
        <x:v>CUS-02807</x:v>
      </x:c>
      <x:c r="G2808" s="4" t="str">
        <x:v>UNIT-02807</x:v>
      </x:c>
      <x:c r="H2808" s="9" t="n">
        <x:v>19400000</x:v>
      </x:c>
      <x:c r="I2808" s="10" t="n">
        <x:v>0</x:v>
      </x:c>
      <x:c r="J2808" s="11" t="n">
        <x:v>9</x:v>
      </x:c>
      <x:c r="K2808" s="11" t="n">
        <x:v>5</x:v>
      </x:c>
      <x:c r="L2808" s="11" t="n">
        <x:v>1</x:v>
      </x:c>
      <x:c r="M2808" s="9" t="n">
        <x:f>ROUND(H2808*(1-I2808),2)</x:f>
        <x:v>19400000</x:v>
      </x:c>
      <x:c r="N2808" s="4" t="str">
        <x:v>Sales manager</x:v>
      </x:c>
      <x:c r="O2808" s="4"/>
      <x:c r="P2808" s="9" t="n">
        <x:v>0</x:v>
      </x:c>
      <x:c r="Q2808" s="11" t="n">
        <x:v>0</x:v>
      </x:c>
      <x:c r="R2808" s="8" t="n">
        <x:v>45510</x:v>
      </x:c>
      <x:c r="S2808" s="4" t="str">
        <x:v>Retained</x:v>
      </x:c>
      <x:c r="T2808" s="10" t="n">
        <x:v>0.254545</x:v>
      </x:c>
      <x:c r="U2808" s="4" t="str">
        <x:v>Excluded / unlabelled</x:v>
      </x:c>
    </x:row>
    <x:row r="2809" ht="34" customHeight="1">
      <x:c r="A2809" s="4" t="str">
        <x:v>RS-02808</x:v>
      </x:c>
      <x:c r="B2809" s="8" t="n">
        <x:v>45451</x:v>
      </x:c>
      <x:c r="C2809" s="4" t="str">
        <x:v>PRJ-008</x:v>
      </x:c>
      <x:c r="D2809" s="4" t="str">
        <x:v>Villa</x:v>
      </x:c>
      <x:c r="E2809" s="4" t="str">
        <x:v>Enquiry</x:v>
      </x:c>
      <x:c r="F2809" s="4" t="str">
        <x:v>CUS-02808</x:v>
      </x:c>
      <x:c r="G2809" s="4" t="str">
        <x:v>UNIT-02808</x:v>
      </x:c>
      <x:c r="H2809" s="9" t="n">
        <x:v>3900000</x:v>
      </x:c>
      <x:c r="I2809" s="10" t="n">
        <x:v>0.01</x:v>
      </x:c>
      <x:c r="J2809" s="11" t="n">
        <x:v>3</x:v>
      </x:c>
      <x:c r="K2809" s="11" t="n">
        <x:v>7</x:v>
      </x:c>
      <x:c r="L2809" s="11" t="n">
        <x:v>1</x:v>
      </x:c>
      <x:c r="M2809" s="9" t="n">
        <x:f>ROUND(H2809*(1-I2809),2)</x:f>
        <x:v>3861000</x:v>
      </x:c>
      <x:c r="N2809" s="4" t="str">
        <x:v>Sales manager</x:v>
      </x:c>
      <x:c r="O2809" s="4"/>
      <x:c r="P2809" s="9" t="n">
        <x:v>0</x:v>
      </x:c>
      <x:c r="Q2809" s="11" t="n">
        <x:v>0</x:v>
      </x:c>
      <x:c r="R2809" s="8" t="n">
        <x:v>45511</x:v>
      </x:c>
      <x:c r="S2809" s="4" t="str">
        <x:v>Retained</x:v>
      </x:c>
      <x:c r="T2809" s="10" t="n">
        <x:v>0.171717</x:v>
      </x:c>
      <x:c r="U2809" s="4" t="str">
        <x:v>Excluded / unlabelled</x:v>
      </x:c>
    </x:row>
    <x:row r="2810" ht="34" customHeight="1">
      <x:c r="A2810" s="4" t="str">
        <x:v>RS-02809</x:v>
      </x:c>
      <x:c r="B2810" s="8" t="n">
        <x:v>45452</x:v>
      </x:c>
      <x:c r="C2810" s="4" t="str">
        <x:v>PRJ-009</x:v>
      </x:c>
      <x:c r="D2810" s="4" t="str">
        <x:v>Villa</x:v>
      </x:c>
      <x:c r="E2810" s="4" t="str">
        <x:v>Handed over</x:v>
      </x:c>
      <x:c r="F2810" s="4" t="str">
        <x:v>CUS-02809</x:v>
      </x:c>
      <x:c r="G2810" s="4" t="str">
        <x:v>UNIT-02809</x:v>
      </x:c>
      <x:c r="H2810" s="9" t="n">
        <x:v>6300000</x:v>
      </x:c>
      <x:c r="I2810" s="10" t="n">
        <x:v>0.1</x:v>
      </x:c>
      <x:c r="J2810" s="11" t="n">
        <x:v>1</x:v>
      </x:c>
      <x:c r="K2810" s="11" t="n">
        <x:v>1</x:v>
      </x:c>
      <x:c r="L2810" s="11" t="n">
        <x:v>1</x:v>
      </x:c>
      <x:c r="M2810" s="9" t="n">
        <x:f>ROUND(H2810*(1-I2810),2)</x:f>
        <x:v>5670000</x:v>
      </x:c>
      <x:c r="N2810" s="4" t="str">
        <x:v>Sales head</x:v>
      </x:c>
      <x:c r="O2810" s="4" t="str">
        <x:v>BOOK-02809</x:v>
      </x:c>
      <x:c r="P2810" s="9" t="n">
        <x:v>5670000</x:v>
      </x:c>
      <x:c r="Q2810" s="11" t="n">
        <x:v>0</x:v>
      </x:c>
      <x:c r="R2810" s="8" t="n">
        <x:v>45512</x:v>
      </x:c>
      <x:c r="S2810" s="4" t="str">
        <x:v>Retained</x:v>
      </x:c>
      <x:c r="T2810" s="10" t="n">
        <x:v>0.145833</x:v>
      </x:c>
      <x:c r="U2810" s="4" t="str">
        <x:v>Excluded / unlabelled</x:v>
      </x:c>
    </x:row>
    <x:row r="2811" ht="34" customHeight="1">
      <x:c r="A2811" s="4" t="str">
        <x:v>RS-02810</x:v>
      </x:c>
      <x:c r="B2811" s="8" t="n">
        <x:v>45453</x:v>
      </x:c>
      <x:c r="C2811" s="4" t="str">
        <x:v>PRJ-010</x:v>
      </x:c>
      <x:c r="D2811" s="4" t="str">
        <x:v>Villa</x:v>
      </x:c>
      <x:c r="E2811" s="4" t="str">
        <x:v>Agreement signed</x:v>
      </x:c>
      <x:c r="F2811" s="4" t="str">
        <x:v>CUS-02810</x:v>
      </x:c>
      <x:c r="G2811" s="4" t="str">
        <x:v>UNIT-02810</x:v>
      </x:c>
      <x:c r="H2811" s="9" t="n">
        <x:v>24800000</x:v>
      </x:c>
      <x:c r="I2811" s="10" t="n">
        <x:v>0.06</x:v>
      </x:c>
      <x:c r="J2811" s="11" t="n">
        <x:v>10</x:v>
      </x:c>
      <x:c r="K2811" s="11" t="n">
        <x:v>4</x:v>
      </x:c>
      <x:c r="L2811" s="11" t="n">
        <x:v>1</x:v>
      </x:c>
      <x:c r="M2811" s="9" t="n">
        <x:f>ROUND(H2811*(1-I2811),2)</x:f>
        <x:v>23312000</x:v>
      </x:c>
      <x:c r="N2811" s="4" t="str">
        <x:v>Sales manager</x:v>
      </x:c>
      <x:c r="O2811" s="4" t="str">
        <x:v>BOOK-02810</x:v>
      </x:c>
      <x:c r="P2811" s="9" t="n">
        <x:v>5828000</x:v>
      </x:c>
      <x:c r="Q2811" s="11" t="n">
        <x:v>0</x:v>
      </x:c>
      <x:c r="R2811" s="8" t="n">
        <x:v>45513</x:v>
      </x:c>
      <x:c r="S2811" s="4" t="str">
        <x:v>Retained</x:v>
      </x:c>
      <x:c r="T2811" s="10" t="n">
        <x:v>0.310195</x:v>
      </x:c>
      <x:c r="U2811" s="4" t="str">
        <x:v>Excluded / unlabelled</x:v>
      </x:c>
    </x:row>
    <x:row r="2812" ht="34" customHeight="1">
      <x:c r="A2812" s="4" t="str">
        <x:v>RS-02811</x:v>
      </x:c>
      <x:c r="B2812" s="8" t="n">
        <x:v>45454</x:v>
      </x:c>
      <x:c r="C2812" s="4" t="str">
        <x:v>PRJ-011</x:v>
      </x:c>
      <x:c r="D2812" s="4" t="str">
        <x:v>Retail</x:v>
      </x:c>
      <x:c r="E2812" s="4" t="str">
        <x:v>Agreement signed</x:v>
      </x:c>
      <x:c r="F2812" s="4" t="str">
        <x:v>CUS-02811</x:v>
      </x:c>
      <x:c r="G2812" s="4" t="str">
        <x:v>UNIT-02811</x:v>
      </x:c>
      <x:c r="H2812" s="9" t="n">
        <x:v>10000000</x:v>
      </x:c>
      <x:c r="I2812" s="10" t="n">
        <x:v>0.08</x:v>
      </x:c>
      <x:c r="J2812" s="11" t="n">
        <x:v>5</x:v>
      </x:c>
      <x:c r="K2812" s="11" t="n">
        <x:v>3</x:v>
      </x:c>
      <x:c r="L2812" s="11" t="n">
        <x:v>0</x:v>
      </x:c>
      <x:c r="M2812" s="9" t="n">
        <x:f>ROUND(H2812*(1-I2812),2)</x:f>
        <x:v>9200000</x:v>
      </x:c>
      <x:c r="N2812" s="4" t="str">
        <x:v>Sales head</x:v>
      </x:c>
      <x:c r="O2812" s="4" t="str">
        <x:v>BOOK-02811</x:v>
      </x:c>
      <x:c r="P2812" s="9" t="n">
        <x:v>9200000</x:v>
      </x:c>
      <x:c r="Q2812" s="11" t="n">
        <x:v>0</x:v>
      </x:c>
      <x:c r="R2812" s="8" t="n">
        <x:v>45514</x:v>
      </x:c>
      <x:c r="S2812" s="4" t="str">
        <x:v>Retained</x:v>
      </x:c>
      <x:c r="T2812" s="10" t="n">
        <x:v>0.226277</x:v>
      </x:c>
      <x:c r="U2812" s="4" t="str">
        <x:v>Excluded / unlabelled</x:v>
      </x:c>
    </x:row>
    <x:row r="2813" ht="34" customHeight="1">
      <x:c r="A2813" s="4" t="str">
        <x:v>RS-02812</x:v>
      </x:c>
      <x:c r="B2813" s="8" t="n">
        <x:v>45455</x:v>
      </x:c>
      <x:c r="C2813" s="4" t="str">
        <x:v>PRJ-012</x:v>
      </x:c>
      <x:c r="D2813" s="4" t="str">
        <x:v>Office</x:v>
      </x:c>
      <x:c r="E2813" s="4" t="str">
        <x:v>Reserved</x:v>
      </x:c>
      <x:c r="F2813" s="4" t="str">
        <x:v>CUS-02812</x:v>
      </x:c>
      <x:c r="G2813" s="4" t="str">
        <x:v>UNIT-02812</x:v>
      </x:c>
      <x:c r="H2813" s="9" t="n">
        <x:v>3000000</x:v>
      </x:c>
      <x:c r="I2813" s="10" t="n">
        <x:v>0.05</x:v>
      </x:c>
      <x:c r="J2813" s="11" t="n">
        <x:v>10</x:v>
      </x:c>
      <x:c r="K2813" s="11" t="n">
        <x:v>4</x:v>
      </x:c>
      <x:c r="L2813" s="11" t="n">
        <x:v>0</x:v>
      </x:c>
      <x:c r="M2813" s="9" t="n">
        <x:f>ROUND(H2813*(1-I2813),2)</x:f>
        <x:v>2850000</x:v>
      </x:c>
      <x:c r="N2813" s="4" t="str">
        <x:v>Sales manager</x:v>
      </x:c>
      <x:c r="O2813" s="4"/>
      <x:c r="P2813" s="9" t="n">
        <x:v>0</x:v>
      </x:c>
      <x:c r="Q2813" s="11" t="n">
        <x:v>0</x:v>
      </x:c>
      <x:c r="R2813" s="8" t="n">
        <x:v>45515</x:v>
      </x:c>
      <x:c r="S2813" s="4" t="str">
        <x:v>Retained</x:v>
      </x:c>
      <x:c r="T2813" s="10" t="n">
        <x:v>0.310195</x:v>
      </x:c>
      <x:c r="U2813" s="4" t="str">
        <x:v>Excluded / unlabelled</x:v>
      </x:c>
    </x:row>
    <x:row r="2814" ht="34" customHeight="1">
      <x:c r="A2814" s="4" t="str">
        <x:v>RS-02813</x:v>
      </x:c>
      <x:c r="B2814" s="8" t="n">
        <x:v>45456</x:v>
      </x:c>
      <x:c r="C2814" s="4" t="str">
        <x:v>PRJ-013</x:v>
      </x:c>
      <x:c r="D2814" s="4" t="str">
        <x:v>Apartment</x:v>
      </x:c>
      <x:c r="E2814" s="4" t="str">
        <x:v>Cancelled</x:v>
      </x:c>
      <x:c r="F2814" s="4" t="str">
        <x:v>CUS-02813</x:v>
      </x:c>
      <x:c r="G2814" s="4" t="str">
        <x:v>UNIT-02813</x:v>
      </x:c>
      <x:c r="H2814" s="9" t="n">
        <x:v>10500000</x:v>
      </x:c>
      <x:c r="I2814" s="10" t="n">
        <x:v>0.01</x:v>
      </x:c>
      <x:c r="J2814" s="11" t="n">
        <x:v>9</x:v>
      </x:c>
      <x:c r="K2814" s="11" t="n">
        <x:v>8</x:v>
      </x:c>
      <x:c r="L2814" s="11" t="n">
        <x:v>0</x:v>
      </x:c>
      <x:c r="M2814" s="9" t="n">
        <x:f>ROUND(H2814*(1-I2814),2)</x:f>
        <x:v>10395000</x:v>
      </x:c>
      <x:c r="N2814" s="4" t="str">
        <x:v>Sales manager</x:v>
      </x:c>
      <x:c r="O2814" s="4"/>
      <x:c r="P2814" s="9" t="n">
        <x:v>0</x:v>
      </x:c>
      <x:c r="Q2814" s="11" t="n">
        <x:v>1</x:v>
      </x:c>
      <x:c r="R2814" s="8" t="n">
        <x:v>45516</x:v>
      </x:c>
      <x:c r="S2814" s="4" t="str">
        <x:v>Lost / cancelled</x:v>
      </x:c>
      <x:c r="T2814" s="10" t="n">
        <x:v>0.305556</x:v>
      </x:c>
      <x:c r="U2814" s="4" t="str">
        <x:v>Excluded / unlabelled</x:v>
      </x:c>
    </x:row>
    <x:row r="2815" ht="34" customHeight="1">
      <x:c r="A2815" s="4" t="str">
        <x:v>RS-02814</x:v>
      </x:c>
      <x:c r="B2815" s="8" t="n">
        <x:v>45457</x:v>
      </x:c>
      <x:c r="C2815" s="4" t="str">
        <x:v>PRJ-014</x:v>
      </x:c>
      <x:c r="D2815" s="4" t="str">
        <x:v>Office</x:v>
      </x:c>
      <x:c r="E2815" s="4" t="str">
        <x:v>Agreement signed</x:v>
      </x:c>
      <x:c r="F2815" s="4" t="str">
        <x:v>CUS-02814</x:v>
      </x:c>
      <x:c r="G2815" s="4" t="str">
        <x:v>UNIT-02814</x:v>
      </x:c>
      <x:c r="H2815" s="9" t="n">
        <x:v>24900000</x:v>
      </x:c>
      <x:c r="I2815" s="10" t="n">
        <x:v>0</x:v>
      </x:c>
      <x:c r="J2815" s="11" t="n">
        <x:v>3</x:v>
      </x:c>
      <x:c r="K2815" s="11" t="n">
        <x:v>0</x:v>
      </x:c>
      <x:c r="L2815" s="11" t="n">
        <x:v>1</x:v>
      </x:c>
      <x:c r="M2815" s="9" t="n">
        <x:f>ROUND(H2815*(1-I2815),2)</x:f>
        <x:v>24900000</x:v>
      </x:c>
      <x:c r="N2815" s="4" t="str">
        <x:v>Sales manager</x:v>
      </x:c>
      <x:c r="O2815" s="4" t="str">
        <x:v>BOOK-02814</x:v>
      </x:c>
      <x:c r="P2815" s="9" t="n">
        <x:v>12450000</x:v>
      </x:c>
      <x:c r="Q2815" s="11" t="n">
        <x:v>0</x:v>
      </x:c>
      <x:c r="R2815" s="8" t="n">
        <x:v>45517</x:v>
      </x:c>
      <x:c r="S2815" s="4" t="str">
        <x:v>Retained</x:v>
      </x:c>
      <x:c r="T2815" s="10" t="n">
        <x:v>0.276923</x:v>
      </x:c>
      <x:c r="U2815" s="4" t="str">
        <x:v>Excluded / unlabelled</x:v>
      </x:c>
    </x:row>
    <x:row r="2816" ht="34" customHeight="1">
      <x:c r="A2816" s="4" t="str">
        <x:v>RS-02815</x:v>
      </x:c>
      <x:c r="B2816" s="8" t="n">
        <x:v>45458</x:v>
      </x:c>
      <x:c r="C2816" s="4" t="str">
        <x:v>PRJ-015</x:v>
      </x:c>
      <x:c r="D2816" s="4" t="str">
        <x:v>Villa</x:v>
      </x:c>
      <x:c r="E2816" s="4" t="str">
        <x:v>Handed over</x:v>
      </x:c>
      <x:c r="F2816" s="4" t="str">
        <x:v>CUS-02815</x:v>
      </x:c>
      <x:c r="G2816" s="4" t="str">
        <x:v>UNIT-02815</x:v>
      </x:c>
      <x:c r="H2816" s="9" t="n">
        <x:v>19100000</x:v>
      </x:c>
      <x:c r="I2816" s="10" t="n">
        <x:v>0.02</x:v>
      </x:c>
      <x:c r="J2816" s="11" t="n">
        <x:v>11</x:v>
      </x:c>
      <x:c r="K2816" s="11" t="n">
        <x:v>1</x:v>
      </x:c>
      <x:c r="L2816" s="11" t="n">
        <x:v>0</x:v>
      </x:c>
      <x:c r="M2816" s="9" t="n">
        <x:f>ROUND(H2816*(1-I2816),2)</x:f>
        <x:v>18718000</x:v>
      </x:c>
      <x:c r="N2816" s="4" t="str">
        <x:v>Sales manager</x:v>
      </x:c>
      <x:c r="O2816" s="4" t="str">
        <x:v>BOOK-02815</x:v>
      </x:c>
      <x:c r="P2816" s="9" t="n">
        <x:v>9359000</x:v>
      </x:c>
      <x:c r="Q2816" s="11" t="n">
        <x:v>0</x:v>
      </x:c>
      <x:c r="R2816" s="8" t="n">
        <x:v>45518</x:v>
      </x:c>
      <x:c r="S2816" s="4" t="str">
        <x:v>Retained</x:v>
      </x:c>
      <x:c r="T2816" s="10" t="n">
        <x:v>0.305556</x:v>
      </x:c>
      <x:c r="U2816" s="4" t="str">
        <x:v>Excluded / unlabelled</x:v>
      </x:c>
    </x:row>
    <x:row r="2817" ht="34" customHeight="1">
      <x:c r="A2817" s="4" t="str">
        <x:v>RS-02816</x:v>
      </x:c>
      <x:c r="B2817" s="8" t="n">
        <x:v>45459</x:v>
      </x:c>
      <x:c r="C2817" s="4" t="str">
        <x:v>PRJ-016</x:v>
      </x:c>
      <x:c r="D2817" s="4" t="str">
        <x:v>Office</x:v>
      </x:c>
      <x:c r="E2817" s="4" t="str">
        <x:v>Agreement signed</x:v>
      </x:c>
      <x:c r="F2817" s="4" t="str">
        <x:v>CUS-02816</x:v>
      </x:c>
      <x:c r="G2817" s="4" t="str">
        <x:v>UNIT-02816</x:v>
      </x:c>
      <x:c r="H2817" s="9" t="n">
        <x:v>18000000</x:v>
      </x:c>
      <x:c r="I2817" s="10" t="n">
        <x:v>0.06</x:v>
      </x:c>
      <x:c r="J2817" s="11" t="n">
        <x:v>5</x:v>
      </x:c>
      <x:c r="K2817" s="11" t="n">
        <x:v>0</x:v>
      </x:c>
      <x:c r="L2817" s="11" t="n">
        <x:v>0</x:v>
      </x:c>
      <x:c r="M2817" s="9" t="n">
        <x:f>ROUND(H2817*(1-I2817),2)</x:f>
        <x:v>16920000</x:v>
      </x:c>
      <x:c r="N2817" s="4" t="str">
        <x:v>Sales manager</x:v>
      </x:c>
      <x:c r="O2817" s="4" t="str">
        <x:v>BOOK-02816</x:v>
      </x:c>
      <x:c r="P2817" s="9" t="n">
        <x:v>8460000</x:v>
      </x:c>
      <x:c r="Q2817" s="11" t="n">
        <x:v>0</x:v>
      </x:c>
      <x:c r="R2817" s="8" t="n">
        <x:v>45519</x:v>
      </x:c>
      <x:c r="S2817" s="4" t="str">
        <x:v>Retained</x:v>
      </x:c>
      <x:c r="T2817" s="10" t="n">
        <x:v>0.226277</x:v>
      </x:c>
      <x:c r="U2817" s="4" t="str">
        <x:v>Excluded / unlabelled</x:v>
      </x:c>
    </x:row>
    <x:row r="2818" ht="34" customHeight="1">
      <x:c r="A2818" s="4" t="str">
        <x:v>RS-02817</x:v>
      </x:c>
      <x:c r="B2818" s="8" t="n">
        <x:v>45460</x:v>
      </x:c>
      <x:c r="C2818" s="4" t="str">
        <x:v>PRJ-017</x:v>
      </x:c>
      <x:c r="D2818" s="4" t="str">
        <x:v>Villa</x:v>
      </x:c>
      <x:c r="E2818" s="4" t="str">
        <x:v>Agreement signed</x:v>
      </x:c>
      <x:c r="F2818" s="4" t="str">
        <x:v>CUS-02817</x:v>
      </x:c>
      <x:c r="G2818" s="4" t="str">
        <x:v>UNIT-02817</x:v>
      </x:c>
      <x:c r="H2818" s="9" t="n">
        <x:v>4800000</x:v>
      </x:c>
      <x:c r="I2818" s="10" t="n">
        <x:v>0.1</x:v>
      </x:c>
      <x:c r="J2818" s="11" t="n">
        <x:v>0</x:v>
      </x:c>
      <x:c r="K2818" s="11" t="n">
        <x:v>7</x:v>
      </x:c>
      <x:c r="L2818" s="11" t="n">
        <x:v>0</x:v>
      </x:c>
      <x:c r="M2818" s="9" t="n">
        <x:f>ROUND(H2818*(1-I2818),2)</x:f>
        <x:v>4320000</x:v>
      </x:c>
      <x:c r="N2818" s="4" t="str">
        <x:v>Sales head</x:v>
      </x:c>
      <x:c r="O2818" s="4" t="str">
        <x:v>BOOK-02817</x:v>
      </x:c>
      <x:c r="P2818" s="9" t="n">
        <x:v>2160000</x:v>
      </x:c>
      <x:c r="Q2818" s="11" t="n">
        <x:v>0</x:v>
      </x:c>
      <x:c r="R2818" s="8" t="n">
        <x:v>45520</x:v>
      </x:c>
      <x:c r="S2818" s="4" t="str">
        <x:v>Retained</x:v>
      </x:c>
      <x:c r="T2818" s="10" t="n">
        <x:v>0.145833</x:v>
      </x:c>
      <x:c r="U2818" s="4" t="str">
        <x:v>Excluded / unlabelled</x:v>
      </x:c>
    </x:row>
    <x:row r="2819" ht="34" customHeight="1">
      <x:c r="A2819" s="4" t="str">
        <x:v>RS-02818</x:v>
      </x:c>
      <x:c r="B2819" s="8" t="n">
        <x:v>45461</x:v>
      </x:c>
      <x:c r="C2819" s="4" t="str">
        <x:v>PRJ-018</x:v>
      </x:c>
      <x:c r="D2819" s="4" t="str">
        <x:v>Villa</x:v>
      </x:c>
      <x:c r="E2819" s="4" t="str">
        <x:v>Booked</x:v>
      </x:c>
      <x:c r="F2819" s="4" t="str">
        <x:v>CUS-02818</x:v>
      </x:c>
      <x:c r="G2819" s="4" t="str">
        <x:v>UNIT-02818</x:v>
      </x:c>
      <x:c r="H2819" s="9" t="n">
        <x:v>16700000</x:v>
      </x:c>
      <x:c r="I2819" s="10" t="n">
        <x:v>0.11</x:v>
      </x:c>
      <x:c r="J2819" s="11" t="n">
        <x:v>3</x:v>
      </x:c>
      <x:c r="K2819" s="11" t="n">
        <x:v>6</x:v>
      </x:c>
      <x:c r="L2819" s="11" t="n">
        <x:v>0</x:v>
      </x:c>
      <x:c r="M2819" s="9" t="n">
        <x:f>ROUND(H2819*(1-I2819),2)</x:f>
        <x:v>14863000</x:v>
      </x:c>
      <x:c r="N2819" s="4" t="str">
        <x:v>Sales head</x:v>
      </x:c>
      <x:c r="O2819" s="4" t="str">
        <x:v>BOOK-02818</x:v>
      </x:c>
      <x:c r="P2819" s="9" t="n">
        <x:v>14863000</x:v>
      </x:c>
      <x:c r="Q2819" s="11" t="n">
        <x:v>0</x:v>
      </x:c>
      <x:c r="R2819" s="8" t="n">
        <x:v>45521</x:v>
      </x:c>
      <x:c r="S2819" s="4" t="str">
        <x:v>Retained</x:v>
      </x:c>
      <x:c r="T2819" s="10" t="n">
        <x:v>0.145833</x:v>
      </x:c>
      <x:c r="U2819" s="4" t="str">
        <x:v>Excluded / unlabelled</x:v>
      </x:c>
    </x:row>
    <x:row r="2820" ht="34" customHeight="1">
      <x:c r="A2820" s="4" t="str">
        <x:v>RS-02819</x:v>
      </x:c>
      <x:c r="B2820" s="8" t="n">
        <x:v>45462</x:v>
      </x:c>
      <x:c r="C2820" s="4" t="str">
        <x:v>PRJ-019</x:v>
      </x:c>
      <x:c r="D2820" s="4" t="str">
        <x:v>Villa</x:v>
      </x:c>
      <x:c r="E2820" s="4" t="str">
        <x:v>Agreement signed</x:v>
      </x:c>
      <x:c r="F2820" s="4" t="str">
        <x:v>CUS-02819</x:v>
      </x:c>
      <x:c r="G2820" s="4" t="str">
        <x:v>UNIT-02819</x:v>
      </x:c>
      <x:c r="H2820" s="9" t="n">
        <x:v>5500000</x:v>
      </x:c>
      <x:c r="I2820" s="10" t="n">
        <x:v>0.03</x:v>
      </x:c>
      <x:c r="J2820" s="11" t="n">
        <x:v>10</x:v>
      </x:c>
      <x:c r="K2820" s="11" t="n">
        <x:v>3</x:v>
      </x:c>
      <x:c r="L2820" s="11" t="n">
        <x:v>0</x:v>
      </x:c>
      <x:c r="M2820" s="9" t="n">
        <x:f>ROUND(H2820*(1-I2820),2)</x:f>
        <x:v>5335000</x:v>
      </x:c>
      <x:c r="N2820" s="4" t="str">
        <x:v>Sales manager</x:v>
      </x:c>
      <x:c r="O2820" s="4" t="str">
        <x:v>BOOK-02819</x:v>
      </x:c>
      <x:c r="P2820" s="9" t="n">
        <x:v>533500</x:v>
      </x:c>
      <x:c r="Q2820" s="11" t="n">
        <x:v>0</x:v>
      </x:c>
      <x:c r="R2820" s="8" t="n">
        <x:v>45522</x:v>
      </x:c>
      <x:c r="S2820" s="4" t="str">
        <x:v>Retained</x:v>
      </x:c>
      <x:c r="T2820" s="10" t="n">
        <x:v>0.310195</x:v>
      </x:c>
      <x:c r="U2820" s="4" t="str">
        <x:v>Excluded / unlabelled</x:v>
      </x:c>
    </x:row>
    <x:row r="2821" ht="34" customHeight="1">
      <x:c r="A2821" s="4" t="str">
        <x:v>RS-02820</x:v>
      </x:c>
      <x:c r="B2821" s="8" t="n">
        <x:v>45463</x:v>
      </x:c>
      <x:c r="C2821" s="4" t="str">
        <x:v>PRJ-020</x:v>
      </x:c>
      <x:c r="D2821" s="4" t="str">
        <x:v>Retail</x:v>
      </x:c>
      <x:c r="E2821" s="4" t="str">
        <x:v>Reserved</x:v>
      </x:c>
      <x:c r="F2821" s="4" t="str">
        <x:v>CUS-02820</x:v>
      </x:c>
      <x:c r="G2821" s="4" t="str">
        <x:v>UNIT-02820</x:v>
      </x:c>
      <x:c r="H2821" s="9" t="n">
        <x:v>7400000</x:v>
      </x:c>
      <x:c r="I2821" s="10" t="n">
        <x:v>0.1</x:v>
      </x:c>
      <x:c r="J2821" s="11" t="n">
        <x:v>4</x:v>
      </x:c>
      <x:c r="K2821" s="11" t="n">
        <x:v>10</x:v>
      </x:c>
      <x:c r="L2821" s="11" t="n">
        <x:v>1</x:v>
      </x:c>
      <x:c r="M2821" s="9" t="n">
        <x:f>ROUND(H2821*(1-I2821),2)</x:f>
        <x:v>6660000</x:v>
      </x:c>
      <x:c r="N2821" s="4" t="str">
        <x:v>Sales head</x:v>
      </x:c>
      <x:c r="O2821" s="4"/>
      <x:c r="P2821" s="9" t="n">
        <x:v>0</x:v>
      </x:c>
      <x:c r="Q2821" s="11" t="n">
        <x:v>0</x:v>
      </x:c>
      <x:c r="R2821" s="8" t="n">
        <x:v>45523</x:v>
      </x:c>
      <x:c r="S2821" s="4" t="str">
        <x:v>Retained</x:v>
      </x:c>
      <x:c r="T2821" s="10" t="n">
        <x:v>0.291946</x:v>
      </x:c>
      <x:c r="U2821" s="4" t="str">
        <x:v>Excluded / unlabelled</x:v>
      </x:c>
    </x:row>
    <x:row r="2822" ht="34" customHeight="1">
      <x:c r="A2822" s="4" t="str">
        <x:v>RS-02821</x:v>
      </x:c>
      <x:c r="B2822" s="8" t="n">
        <x:v>45464</x:v>
      </x:c>
      <x:c r="C2822" s="4" t="str">
        <x:v>PRJ-001</x:v>
      </x:c>
      <x:c r="D2822" s="4" t="str">
        <x:v>Villa</x:v>
      </x:c>
      <x:c r="E2822" s="4" t="str">
        <x:v>Agreement signed</x:v>
      </x:c>
      <x:c r="F2822" s="4" t="str">
        <x:v>CUS-02821</x:v>
      </x:c>
      <x:c r="G2822" s="4" t="str">
        <x:v>UNIT-02821</x:v>
      </x:c>
      <x:c r="H2822" s="9" t="n">
        <x:v>10200000</x:v>
      </x:c>
      <x:c r="I2822" s="10" t="n">
        <x:v>0.07</x:v>
      </x:c>
      <x:c r="J2822" s="11" t="n">
        <x:v>2</x:v>
      </x:c>
      <x:c r="K2822" s="11" t="n">
        <x:v>9</x:v>
      </x:c>
      <x:c r="L2822" s="11" t="n">
        <x:v>1</x:v>
      </x:c>
      <x:c r="M2822" s="9" t="n">
        <x:f>ROUND(H2822*(1-I2822),2)</x:f>
        <x:v>9486000</x:v>
      </x:c>
      <x:c r="N2822" s="4" t="str">
        <x:v>Sales manager</x:v>
      </x:c>
      <x:c r="O2822" s="4" t="str">
        <x:v>BOOK-02821</x:v>
      </x:c>
      <x:c r="P2822" s="9" t="n">
        <x:v>4743000</x:v>
      </x:c>
      <x:c r="Q2822" s="11" t="n">
        <x:v>0</x:v>
      </x:c>
      <x:c r="R2822" s="8" t="n">
        <x:v>45524</x:v>
      </x:c>
      <x:c r="S2822" s="4" t="str">
        <x:v>Retained</x:v>
      </x:c>
      <x:c r="T2822" s="10" t="n">
        <x:v>0.204152</x:v>
      </x:c>
      <x:c r="U2822" s="4" t="str">
        <x:v>Excluded / unlabelled</x:v>
      </x:c>
    </x:row>
    <x:row r="2823" ht="34" customHeight="1">
      <x:c r="A2823" s="4" t="str">
        <x:v>RS-02822</x:v>
      </x:c>
      <x:c r="B2823" s="8" t="n">
        <x:v>45465</x:v>
      </x:c>
      <x:c r="C2823" s="4" t="str">
        <x:v>PRJ-002</x:v>
      </x:c>
      <x:c r="D2823" s="4" t="str">
        <x:v>Retail</x:v>
      </x:c>
      <x:c r="E2823" s="4" t="str">
        <x:v>Cancelled</x:v>
      </x:c>
      <x:c r="F2823" s="4" t="str">
        <x:v>CUS-02822</x:v>
      </x:c>
      <x:c r="G2823" s="4" t="str">
        <x:v>UNIT-02822</x:v>
      </x:c>
      <x:c r="H2823" s="9" t="n">
        <x:v>20800000</x:v>
      </x:c>
      <x:c r="I2823" s="10" t="n">
        <x:v>0.09</x:v>
      </x:c>
      <x:c r="J2823" s="11" t="n">
        <x:v>5</x:v>
      </x:c>
      <x:c r="K2823" s="11" t="n">
        <x:v>2</x:v>
      </x:c>
      <x:c r="L2823" s="11" t="n">
        <x:v>1</x:v>
      </x:c>
      <x:c r="M2823" s="9" t="n">
        <x:f>ROUND(H2823*(1-I2823),2)</x:f>
        <x:v>18928000</x:v>
      </x:c>
      <x:c r="N2823" s="4" t="str">
        <x:v>Sales head</x:v>
      </x:c>
      <x:c r="O2823" s="4"/>
      <x:c r="P2823" s="9" t="n">
        <x:v>0</x:v>
      </x:c>
      <x:c r="Q2823" s="11" t="n">
        <x:v>1</x:v>
      </x:c>
      <x:c r="R2823" s="8" t="n">
        <x:v>45525</x:v>
      </x:c>
      <x:c r="S2823" s="4" t="str">
        <x:v>Lost / cancelled</x:v>
      </x:c>
      <x:c r="T2823" s="10" t="n">
        <x:v>0.291946</x:v>
      </x:c>
      <x:c r="U2823" s="4" t="str">
        <x:v>Excluded / unlabelled</x:v>
      </x:c>
    </x:row>
    <x:row r="2824" ht="34" customHeight="1">
      <x:c r="A2824" s="4" t="str">
        <x:v>RS-02823</x:v>
      </x:c>
      <x:c r="B2824" s="8" t="n">
        <x:v>45466</x:v>
      </x:c>
      <x:c r="C2824" s="4" t="str">
        <x:v>PRJ-003</x:v>
      </x:c>
      <x:c r="D2824" s="4" t="str">
        <x:v>Retail</x:v>
      </x:c>
      <x:c r="E2824" s="4" t="str">
        <x:v>Reserved</x:v>
      </x:c>
      <x:c r="F2824" s="4" t="str">
        <x:v>CUS-02823</x:v>
      </x:c>
      <x:c r="G2824" s="4" t="str">
        <x:v>UNIT-02823</x:v>
      </x:c>
      <x:c r="H2824" s="9" t="n">
        <x:v>3300000</x:v>
      </x:c>
      <x:c r="I2824" s="10" t="n">
        <x:v>0.09</x:v>
      </x:c>
      <x:c r="J2824" s="11" t="n">
        <x:v>11</x:v>
      </x:c>
      <x:c r="K2824" s="11" t="n">
        <x:v>6</x:v>
      </x:c>
      <x:c r="L2824" s="11" t="n">
        <x:v>0</x:v>
      </x:c>
      <x:c r="M2824" s="9" t="n">
        <x:f>ROUND(H2824*(1-I2824),2)</x:f>
        <x:v>3003000</x:v>
      </x:c>
      <x:c r="N2824" s="4" t="str">
        <x:v>Sales head</x:v>
      </x:c>
      <x:c r="O2824" s="4"/>
      <x:c r="P2824" s="9" t="n">
        <x:v>0</x:v>
      </x:c>
      <x:c r="Q2824" s="11" t="n">
        <x:v>1</x:v>
      </x:c>
      <x:c r="R2824" s="8" t="n">
        <x:v>45526</x:v>
      </x:c>
      <x:c r="S2824" s="4" t="str">
        <x:v>Lost / cancelled</x:v>
      </x:c>
      <x:c r="T2824" s="10" t="n">
        <x:v>0.351536</x:v>
      </x:c>
      <x:c r="U2824" s="4" t="str">
        <x:v>Excluded / unlabelled</x:v>
      </x:c>
    </x:row>
    <x:row r="2825" ht="34" customHeight="1">
      <x:c r="A2825" s="4" t="str">
        <x:v>RS-02824</x:v>
      </x:c>
      <x:c r="B2825" s="8" t="n">
        <x:v>45467</x:v>
      </x:c>
      <x:c r="C2825" s="4" t="str">
        <x:v>PRJ-004</x:v>
      </x:c>
      <x:c r="D2825" s="4" t="str">
        <x:v>Office</x:v>
      </x:c>
      <x:c r="E2825" s="4" t="str">
        <x:v>Handed over</x:v>
      </x:c>
      <x:c r="F2825" s="4" t="str">
        <x:v>CUS-02824</x:v>
      </x:c>
      <x:c r="G2825" s="4" t="str">
        <x:v>UNIT-02824</x:v>
      </x:c>
      <x:c r="H2825" s="9" t="n">
        <x:v>7400000</x:v>
      </x:c>
      <x:c r="I2825" s="10" t="n">
        <x:v>0.11</x:v>
      </x:c>
      <x:c r="J2825" s="11" t="n">
        <x:v>1</x:v>
      </x:c>
      <x:c r="K2825" s="11" t="n">
        <x:v>2</x:v>
      </x:c>
      <x:c r="L2825" s="11" t="n">
        <x:v>0</x:v>
      </x:c>
      <x:c r="M2825" s="9" t="n">
        <x:f>ROUND(H2825*(1-I2825),2)</x:f>
        <x:v>6586000</x:v>
      </x:c>
      <x:c r="N2825" s="4" t="str">
        <x:v>Sales head</x:v>
      </x:c>
      <x:c r="O2825" s="4" t="str">
        <x:v>BOOK-02824</x:v>
      </x:c>
      <x:c r="P2825" s="9" t="n">
        <x:v>6586000</x:v>
      </x:c>
      <x:c r="Q2825" s="11" t="n">
        <x:v>0</x:v>
      </x:c>
      <x:c r="R2825" s="8" t="n">
        <x:v>45527</x:v>
      </x:c>
      <x:c r="S2825" s="4" t="str">
        <x:v>Retained</x:v>
      </x:c>
      <x:c r="T2825" s="10" t="n">
        <x:v>0.145833</x:v>
      </x:c>
      <x:c r="U2825" s="4" t="str">
        <x:v>Excluded / unlabelled</x:v>
      </x:c>
    </x:row>
    <x:row r="2826" ht="34" customHeight="1">
      <x:c r="A2826" s="4" t="str">
        <x:v>RS-02825</x:v>
      </x:c>
      <x:c r="B2826" s="8" t="n">
        <x:v>45468</x:v>
      </x:c>
      <x:c r="C2826" s="4" t="str">
        <x:v>PRJ-005</x:v>
      </x:c>
      <x:c r="D2826" s="4" t="str">
        <x:v>Office</x:v>
      </x:c>
      <x:c r="E2826" s="4" t="str">
        <x:v>Cancelled</x:v>
      </x:c>
      <x:c r="F2826" s="4" t="str">
        <x:v>CUS-02825</x:v>
      </x:c>
      <x:c r="G2826" s="4" t="str">
        <x:v>UNIT-02825</x:v>
      </x:c>
      <x:c r="H2826" s="9" t="n">
        <x:v>14300000</x:v>
      </x:c>
      <x:c r="I2826" s="10" t="n">
        <x:v>0</x:v>
      </x:c>
      <x:c r="J2826" s="11" t="n">
        <x:v>1</x:v>
      </x:c>
      <x:c r="K2826" s="11" t="n">
        <x:v>9</x:v>
      </x:c>
      <x:c r="L2826" s="11" t="n">
        <x:v>1</x:v>
      </x:c>
      <x:c r="M2826" s="9" t="n">
        <x:f>ROUND(H2826*(1-I2826),2)</x:f>
        <x:v>14300000</x:v>
      </x:c>
      <x:c r="N2826" s="4" t="str">
        <x:v>Sales manager</x:v>
      </x:c>
      <x:c r="O2826" s="4"/>
      <x:c r="P2826" s="9" t="n">
        <x:v>0</x:v>
      </x:c>
      <x:c r="Q2826" s="11" t="n">
        <x:v>1</x:v>
      </x:c>
      <x:c r="R2826" s="8" t="n">
        <x:v>45528</x:v>
      </x:c>
      <x:c r="S2826" s="4" t="str">
        <x:v>Lost / cancelled</x:v>
      </x:c>
      <x:c r="T2826" s="10" t="n">
        <x:v>0.072165</x:v>
      </x:c>
      <x:c r="U2826" s="4" t="str">
        <x:v>Excluded / unlabelled</x:v>
      </x:c>
    </x:row>
    <x:row r="2827" ht="34" customHeight="1">
      <x:c r="A2827" s="4" t="str">
        <x:v>RS-02826</x:v>
      </x:c>
      <x:c r="B2827" s="8" t="n">
        <x:v>45469</x:v>
      </x:c>
      <x:c r="C2827" s="4" t="str">
        <x:v>PRJ-006</x:v>
      </x:c>
      <x:c r="D2827" s="4" t="str">
        <x:v>Office</x:v>
      </x:c>
      <x:c r="E2827" s="4" t="str">
        <x:v>Agreement signed</x:v>
      </x:c>
      <x:c r="F2827" s="4" t="str">
        <x:v>CUS-02826</x:v>
      </x:c>
      <x:c r="G2827" s="4" t="str">
        <x:v>UNIT-02826</x:v>
      </x:c>
      <x:c r="H2827" s="9" t="n">
        <x:v>10200000</x:v>
      </x:c>
      <x:c r="I2827" s="10" t="n">
        <x:v>0.04</x:v>
      </x:c>
      <x:c r="J2827" s="11" t="n">
        <x:v>4</x:v>
      </x:c>
      <x:c r="K2827" s="11" t="n">
        <x:v>8</x:v>
      </x:c>
      <x:c r="L2827" s="11" t="n">
        <x:v>1</x:v>
      </x:c>
      <x:c r="M2827" s="9" t="n">
        <x:f>ROUND(H2827*(1-I2827),2)</x:f>
        <x:v>9792000</x:v>
      </x:c>
      <x:c r="N2827" s="4" t="str">
        <x:v>Sales manager</x:v>
      </x:c>
      <x:c r="O2827" s="4" t="str">
        <x:v>BOOK-02826</x:v>
      </x:c>
      <x:c r="P2827" s="9" t="n">
        <x:v>9792000</x:v>
      </x:c>
      <x:c r="Q2827" s="11" t="n">
        <x:v>0</x:v>
      </x:c>
      <x:c r="R2827" s="8" t="n">
        <x:v>45529</x:v>
      </x:c>
      <x:c r="S2827" s="4" t="str">
        <x:v>Retained</x:v>
      </x:c>
      <x:c r="T2827" s="10" t="n">
        <x:v>0.291946</x:v>
      </x:c>
      <x:c r="U2827" s="4" t="str">
        <x:v>Excluded / unlabelled</x:v>
      </x:c>
    </x:row>
    <x:row r="2828" ht="34" customHeight="1">
      <x:c r="A2828" s="4" t="str">
        <x:v>RS-02827</x:v>
      </x:c>
      <x:c r="B2828" s="8" t="n">
        <x:v>45470</x:v>
      </x:c>
      <x:c r="C2828" s="4" t="str">
        <x:v>PRJ-007</x:v>
      </x:c>
      <x:c r="D2828" s="4" t="str">
        <x:v>Villa</x:v>
      </x:c>
      <x:c r="E2828" s="4" t="str">
        <x:v>Reserved</x:v>
      </x:c>
      <x:c r="F2828" s="4" t="str">
        <x:v>CUS-02827</x:v>
      </x:c>
      <x:c r="G2828" s="4" t="str">
        <x:v>UNIT-02827</x:v>
      </x:c>
      <x:c r="H2828" s="9" t="n">
        <x:v>21700000</x:v>
      </x:c>
      <x:c r="I2828" s="10" t="n">
        <x:v>0.03</x:v>
      </x:c>
      <x:c r="J2828" s="11" t="n">
        <x:v>4</x:v>
      </x:c>
      <x:c r="K2828" s="11" t="n">
        <x:v>9</x:v>
      </x:c>
      <x:c r="L2828" s="11" t="n">
        <x:v>1</x:v>
      </x:c>
      <x:c r="M2828" s="9" t="n">
        <x:f>ROUND(H2828*(1-I2828),2)</x:f>
        <x:v>21049000</x:v>
      </x:c>
      <x:c r="N2828" s="4" t="str">
        <x:v>Sales manager</x:v>
      </x:c>
      <x:c r="O2828" s="4"/>
      <x:c r="P2828" s="9" t="n">
        <x:v>0</x:v>
      </x:c>
      <x:c r="Q2828" s="11" t="n">
        <x:v>0</x:v>
      </x:c>
      <x:c r="R2828" s="8" t="n">
        <x:v>45530</x:v>
      </x:c>
      <x:c r="S2828" s="4" t="str">
        <x:v>Retained</x:v>
      </x:c>
      <x:c r="T2828" s="10" t="n">
        <x:v>0.145299</x:v>
      </x:c>
      <x:c r="U2828" s="4" t="str">
        <x:v>Excluded / unlabelled</x:v>
      </x:c>
    </x:row>
    <x:row r="2829" ht="34" customHeight="1">
      <x:c r="A2829" s="4" t="str">
        <x:v>RS-02828</x:v>
      </x:c>
      <x:c r="B2829" s="8" t="n">
        <x:v>45471</x:v>
      </x:c>
      <x:c r="C2829" s="4" t="str">
        <x:v>PRJ-008</x:v>
      </x:c>
      <x:c r="D2829" s="4" t="str">
        <x:v>Villa</x:v>
      </x:c>
      <x:c r="E2829" s="4" t="str">
        <x:v>Enquiry</x:v>
      </x:c>
      <x:c r="F2829" s="4" t="str">
        <x:v>CUS-02828</x:v>
      </x:c>
      <x:c r="G2829" s="4" t="str">
        <x:v>UNIT-02828</x:v>
      </x:c>
      <x:c r="H2829" s="9" t="n">
        <x:v>11500000</x:v>
      </x:c>
      <x:c r="I2829" s="10" t="n">
        <x:v>0.09</x:v>
      </x:c>
      <x:c r="J2829" s="11" t="n">
        <x:v>12</x:v>
      </x:c>
      <x:c r="K2829" s="11" t="n">
        <x:v>6</x:v>
      </x:c>
      <x:c r="L2829" s="11" t="n">
        <x:v>1</x:v>
      </x:c>
      <x:c r="M2829" s="9" t="n">
        <x:f>ROUND(H2829*(1-I2829),2)</x:f>
        <x:v>10465000</x:v>
      </x:c>
      <x:c r="N2829" s="4" t="str">
        <x:v>Sales head</x:v>
      </x:c>
      <x:c r="O2829" s="4"/>
      <x:c r="P2829" s="9" t="n">
        <x:v>0</x:v>
      </x:c>
      <x:c r="Q2829" s="11" t="n">
        <x:v>1</x:v>
      </x:c>
      <x:c r="R2829" s="8" t="n">
        <x:v>45531</x:v>
      </x:c>
      <x:c r="S2829" s="4" t="str">
        <x:v>Lost / cancelled</x:v>
      </x:c>
      <x:c r="T2829" s="10" t="n">
        <x:v>0.351536</x:v>
      </x:c>
      <x:c r="U2829" s="4" t="str">
        <x:v>Excluded / unlabelled</x:v>
      </x:c>
    </x:row>
    <x:row r="2830" ht="34" customHeight="1">
      <x:c r="A2830" s="4" t="str">
        <x:v>RS-02829</x:v>
      </x:c>
      <x:c r="B2830" s="8" t="n">
        <x:v>45444</x:v>
      </x:c>
      <x:c r="C2830" s="4" t="str">
        <x:v>PRJ-009</x:v>
      </x:c>
      <x:c r="D2830" s="4" t="str">
        <x:v>Apartment</x:v>
      </x:c>
      <x:c r="E2830" s="4" t="str">
        <x:v>Reserved</x:v>
      </x:c>
      <x:c r="F2830" s="4" t="str">
        <x:v>CUS-02829</x:v>
      </x:c>
      <x:c r="G2830" s="4" t="str">
        <x:v>UNIT-02829</x:v>
      </x:c>
      <x:c r="H2830" s="9" t="n">
        <x:v>10500000</x:v>
      </x:c>
      <x:c r="I2830" s="10" t="n">
        <x:v>0.03</x:v>
      </x:c>
      <x:c r="J2830" s="11" t="n">
        <x:v>9</x:v>
      </x:c>
      <x:c r="K2830" s="11" t="n">
        <x:v>5</x:v>
      </x:c>
      <x:c r="L2830" s="11" t="n">
        <x:v>0</x:v>
      </x:c>
      <x:c r="M2830" s="9" t="n">
        <x:f>ROUND(H2830*(1-I2830),2)</x:f>
        <x:v>10185000</x:v>
      </x:c>
      <x:c r="N2830" s="4" t="str">
        <x:v>Sales manager</x:v>
      </x:c>
      <x:c r="O2830" s="4"/>
      <x:c r="P2830" s="9" t="n">
        <x:v>0</x:v>
      </x:c>
      <x:c r="Q2830" s="11" t="n">
        <x:v>1</x:v>
      </x:c>
      <x:c r="R2830" s="8" t="n">
        <x:v>45504</x:v>
      </x:c>
      <x:c r="S2830" s="4" t="str">
        <x:v>Lost / cancelled</x:v>
      </x:c>
      <x:c r="T2830" s="10" t="n">
        <x:v>0.310195</x:v>
      </x:c>
      <x:c r="U2830" s="4" t="str">
        <x:v>Excluded / unlabelled</x:v>
      </x:c>
    </x:row>
    <x:row r="2831" ht="34" customHeight="1">
      <x:c r="A2831" s="4" t="str">
        <x:v>RS-02830</x:v>
      </x:c>
      <x:c r="B2831" s="8" t="n">
        <x:v>45445</x:v>
      </x:c>
      <x:c r="C2831" s="4" t="str">
        <x:v>PRJ-010</x:v>
      </x:c>
      <x:c r="D2831" s="4" t="str">
        <x:v>Office</x:v>
      </x:c>
      <x:c r="E2831" s="4" t="str">
        <x:v>Booked</x:v>
      </x:c>
      <x:c r="F2831" s="4" t="str">
        <x:v>CUS-02830</x:v>
      </x:c>
      <x:c r="G2831" s="4" t="str">
        <x:v>UNIT-02830</x:v>
      </x:c>
      <x:c r="H2831" s="9" t="n">
        <x:v>8000000</x:v>
      </x:c>
      <x:c r="I2831" s="10" t="n">
        <x:v>0.01</x:v>
      </x:c>
      <x:c r="J2831" s="11" t="n">
        <x:v>8</x:v>
      </x:c>
      <x:c r="K2831" s="11" t="n">
        <x:v>10</x:v>
      </x:c>
      <x:c r="L2831" s="11" t="n">
        <x:v>1</x:v>
      </x:c>
      <x:c r="M2831" s="9" t="n">
        <x:f>ROUND(H2831*(1-I2831),2)</x:f>
        <x:v>7920000</x:v>
      </x:c>
      <x:c r="N2831" s="4" t="str">
        <x:v>Sales manager</x:v>
      </x:c>
      <x:c r="O2831" s="4" t="str">
        <x:v>BOOK-02830</x:v>
      </x:c>
      <x:c r="P2831" s="9" t="n">
        <x:v>7920000</x:v>
      </x:c>
      <x:c r="Q2831" s="11" t="n">
        <x:v>0</x:v>
      </x:c>
      <x:c r="R2831" s="8" t="n">
        <x:v>45505</x:v>
      </x:c>
      <x:c r="S2831" s="4" t="str">
        <x:v>Retained</x:v>
      </x:c>
      <x:c r="T2831" s="10" t="n">
        <x:v>0.254545</x:v>
      </x:c>
      <x:c r="U2831" s="4" t="str">
        <x:v>Excluded / unlabelled</x:v>
      </x:c>
    </x:row>
    <x:row r="2832" ht="34" customHeight="1">
      <x:c r="A2832" s="4" t="str">
        <x:v>RS-02831</x:v>
      </x:c>
      <x:c r="B2832" s="8" t="n">
        <x:v>45446</x:v>
      </x:c>
      <x:c r="C2832" s="4" t="str">
        <x:v>PRJ-011</x:v>
      </x:c>
      <x:c r="D2832" s="4" t="str">
        <x:v>Apartment</x:v>
      </x:c>
      <x:c r="E2832" s="4" t="str">
        <x:v>Agreement signed</x:v>
      </x:c>
      <x:c r="F2832" s="4" t="str">
        <x:v>CUS-02831</x:v>
      </x:c>
      <x:c r="G2832" s="4" t="str">
        <x:v>UNIT-02831</x:v>
      </x:c>
      <x:c r="H2832" s="9" t="n">
        <x:v>5800000</x:v>
      </x:c>
      <x:c r="I2832" s="10" t="n">
        <x:v>0.01</x:v>
      </x:c>
      <x:c r="J2832" s="11" t="n">
        <x:v>7</x:v>
      </x:c>
      <x:c r="K2832" s="11" t="n">
        <x:v>10</x:v>
      </x:c>
      <x:c r="L2832" s="11" t="n">
        <x:v>1</x:v>
      </x:c>
      <x:c r="M2832" s="9" t="n">
        <x:f>ROUND(H2832*(1-I2832),2)</x:f>
        <x:v>5742000</x:v>
      </x:c>
      <x:c r="N2832" s="4" t="str">
        <x:v>Sales manager</x:v>
      </x:c>
      <x:c r="O2832" s="4" t="str">
        <x:v>BOOK-02831</x:v>
      </x:c>
      <x:c r="P2832" s="9" t="n">
        <x:v>574200</x:v>
      </x:c>
      <x:c r="Q2832" s="11" t="n">
        <x:v>0</x:v>
      </x:c>
      <x:c r="R2832" s="8" t="n">
        <x:v>45506</x:v>
      </x:c>
      <x:c r="S2832" s="4" t="str">
        <x:v>Retained</x:v>
      </x:c>
      <x:c r="T2832" s="10" t="n">
        <x:v>0.145299</x:v>
      </x:c>
      <x:c r="U2832" s="4" t="str">
        <x:v>Excluded / unlabelled</x:v>
      </x:c>
    </x:row>
    <x:row r="2833" ht="34" customHeight="1">
      <x:c r="A2833" s="4" t="str">
        <x:v>RS-02832</x:v>
      </x:c>
      <x:c r="B2833" s="8" t="n">
        <x:v>45447</x:v>
      </x:c>
      <x:c r="C2833" s="4" t="str">
        <x:v>PRJ-012</x:v>
      </x:c>
      <x:c r="D2833" s="4" t="str">
        <x:v>Retail</x:v>
      </x:c>
      <x:c r="E2833" s="4" t="str">
        <x:v>Agreement signed</x:v>
      </x:c>
      <x:c r="F2833" s="4" t="str">
        <x:v>CUS-02832</x:v>
      </x:c>
      <x:c r="G2833" s="4" t="str">
        <x:v>UNIT-02832</x:v>
      </x:c>
      <x:c r="H2833" s="9" t="n">
        <x:v>8200000</x:v>
      </x:c>
      <x:c r="I2833" s="10" t="n">
        <x:v>0.02</x:v>
      </x:c>
      <x:c r="J2833" s="11" t="n">
        <x:v>1</x:v>
      </x:c>
      <x:c r="K2833" s="11" t="n">
        <x:v>7</x:v>
      </x:c>
      <x:c r="L2833" s="11" t="n">
        <x:v>1</x:v>
      </x:c>
      <x:c r="M2833" s="9" t="n">
        <x:f>ROUND(H2833*(1-I2833),2)</x:f>
        <x:v>8036000</x:v>
      </x:c>
      <x:c r="N2833" s="4" t="str">
        <x:v>Sales manager</x:v>
      </x:c>
      <x:c r="O2833" s="4" t="str">
        <x:v>BOOK-02832</x:v>
      </x:c>
      <x:c r="P2833" s="9" t="n">
        <x:v>2009000</x:v>
      </x:c>
      <x:c r="Q2833" s="11" t="n">
        <x:v>0</x:v>
      </x:c>
      <x:c r="R2833" s="8" t="n">
        <x:v>45507</x:v>
      </x:c>
      <x:c r="S2833" s="4" t="str">
        <x:v>Retained</x:v>
      </x:c>
      <x:c r="T2833" s="10" t="n">
        <x:v>0.072165</x:v>
      </x:c>
      <x:c r="U2833" s="4" t="str">
        <x:v>Excluded / unlabelled</x:v>
      </x:c>
    </x:row>
    <x:row r="2834" ht="34" customHeight="1">
      <x:c r="A2834" s="4" t="str">
        <x:v>RS-02833</x:v>
      </x:c>
      <x:c r="B2834" s="8" t="n">
        <x:v>45448</x:v>
      </x:c>
      <x:c r="C2834" s="4" t="str">
        <x:v>PRJ-013</x:v>
      </x:c>
      <x:c r="D2834" s="4" t="str">
        <x:v>Apartment</x:v>
      </x:c>
      <x:c r="E2834" s="4" t="str">
        <x:v>Enquiry</x:v>
      </x:c>
      <x:c r="F2834" s="4" t="str">
        <x:v>CUS-02833</x:v>
      </x:c>
      <x:c r="G2834" s="4" t="str">
        <x:v>UNIT-02833</x:v>
      </x:c>
      <x:c r="H2834" s="9" t="n">
        <x:v>15900000</x:v>
      </x:c>
      <x:c r="I2834" s="10" t="n">
        <x:v>0.1</x:v>
      </x:c>
      <x:c r="J2834" s="11" t="n">
        <x:v>5</x:v>
      </x:c>
      <x:c r="K2834" s="11" t="n">
        <x:v>4</x:v>
      </x:c>
      <x:c r="L2834" s="11" t="n">
        <x:v>1</x:v>
      </x:c>
      <x:c r="M2834" s="9" t="n">
        <x:f>ROUND(H2834*(1-I2834),2)</x:f>
        <x:v>14310000</x:v>
      </x:c>
      <x:c r="N2834" s="4" t="str">
        <x:v>Sales head</x:v>
      </x:c>
      <x:c r="O2834" s="4"/>
      <x:c r="P2834" s="9" t="n">
        <x:v>0</x:v>
      </x:c>
      <x:c r="Q2834" s="11" t="n">
        <x:v>1</x:v>
      </x:c>
      <x:c r="R2834" s="8" t="n">
        <x:v>45508</x:v>
      </x:c>
      <x:c r="S2834" s="4" t="str">
        <x:v>Lost / cancelled</x:v>
      </x:c>
      <x:c r="T2834" s="10" t="n">
        <x:v>0.291946</x:v>
      </x:c>
      <x:c r="U2834" s="4" t="str">
        <x:v>Excluded / unlabelled</x:v>
      </x:c>
    </x:row>
    <x:row r="2835" ht="34" customHeight="1">
      <x:c r="A2835" s="4" t="str">
        <x:v>RS-02834</x:v>
      </x:c>
      <x:c r="B2835" s="8" t="n">
        <x:v>45449</x:v>
      </x:c>
      <x:c r="C2835" s="4" t="str">
        <x:v>PRJ-014</x:v>
      </x:c>
      <x:c r="D2835" s="4" t="str">
        <x:v>Office</x:v>
      </x:c>
      <x:c r="E2835" s="4" t="str">
        <x:v>Cancelled</x:v>
      </x:c>
      <x:c r="F2835" s="4" t="str">
        <x:v>CUS-02834</x:v>
      </x:c>
      <x:c r="G2835" s="4" t="str">
        <x:v>UNIT-02834</x:v>
      </x:c>
      <x:c r="H2835" s="9" t="n">
        <x:v>12000000</x:v>
      </x:c>
      <x:c r="I2835" s="10" t="n">
        <x:v>0.11</x:v>
      </x:c>
      <x:c r="J2835" s="11" t="n">
        <x:v>0</x:v>
      </x:c>
      <x:c r="K2835" s="11" t="n">
        <x:v>9</x:v>
      </x:c>
      <x:c r="L2835" s="11" t="n">
        <x:v>1</x:v>
      </x:c>
      <x:c r="M2835" s="9" t="n">
        <x:f>ROUND(H2835*(1-I2835),2)</x:f>
        <x:v>10680000</x:v>
      </x:c>
      <x:c r="N2835" s="4" t="str">
        <x:v>Sales head</x:v>
      </x:c>
      <x:c r="O2835" s="4"/>
      <x:c r="P2835" s="9" t="n">
        <x:v>0</x:v>
      </x:c>
      <x:c r="Q2835" s="11" t="n">
        <x:v>1</x:v>
      </x:c>
      <x:c r="R2835" s="8" t="n">
        <x:v>45509</x:v>
      </x:c>
      <x:c r="S2835" s="4" t="str">
        <x:v>Lost / cancelled</x:v>
      </x:c>
      <x:c r="T2835" s="10" t="n">
        <x:v>0.145833</x:v>
      </x:c>
      <x:c r="U2835" s="4" t="str">
        <x:v>Excluded / unlabelled</x:v>
      </x:c>
    </x:row>
    <x:row r="2836" ht="34" customHeight="1">
      <x:c r="A2836" s="4" t="str">
        <x:v>RS-02835</x:v>
      </x:c>
      <x:c r="B2836" s="8" t="n">
        <x:v>45450</x:v>
      </x:c>
      <x:c r="C2836" s="4" t="str">
        <x:v>PRJ-015</x:v>
      </x:c>
      <x:c r="D2836" s="4" t="str">
        <x:v>Villa</x:v>
      </x:c>
      <x:c r="E2836" s="4" t="str">
        <x:v>Cancelled</x:v>
      </x:c>
      <x:c r="F2836" s="4" t="str">
        <x:v>CUS-02835</x:v>
      </x:c>
      <x:c r="G2836" s="4" t="str">
        <x:v>UNIT-02835</x:v>
      </x:c>
      <x:c r="H2836" s="9" t="n">
        <x:v>11300000</x:v>
      </x:c>
      <x:c r="I2836" s="10" t="n">
        <x:v>0.09</x:v>
      </x:c>
      <x:c r="J2836" s="11" t="n">
        <x:v>9</x:v>
      </x:c>
      <x:c r="K2836" s="11" t="n">
        <x:v>10</x:v>
      </x:c>
      <x:c r="L2836" s="11" t="n">
        <x:v>0</x:v>
      </x:c>
      <x:c r="M2836" s="9" t="n">
        <x:f>ROUND(H2836*(1-I2836),2)</x:f>
        <x:v>10283000</x:v>
      </x:c>
      <x:c r="N2836" s="4" t="str">
        <x:v>Sales head</x:v>
      </x:c>
      <x:c r="O2836" s="4"/>
      <x:c r="P2836" s="9" t="n">
        <x:v>0</x:v>
      </x:c>
      <x:c r="Q2836" s="11" t="n">
        <x:v>1</x:v>
      </x:c>
      <x:c r="R2836" s="8" t="n">
        <x:v>45510</x:v>
      </x:c>
      <x:c r="S2836" s="4" t="str">
        <x:v>Lost / cancelled</x:v>
      </x:c>
      <x:c r="T2836" s="10" t="n">
        <x:v>0.310195</x:v>
      </x:c>
      <x:c r="U2836" s="4" t="str">
        <x:v>Excluded / unlabelled</x:v>
      </x:c>
    </x:row>
    <x:row r="2837" ht="34" customHeight="1">
      <x:c r="A2837" s="4" t="str">
        <x:v>RS-02836</x:v>
      </x:c>
      <x:c r="B2837" s="8" t="n">
        <x:v>45451</x:v>
      </x:c>
      <x:c r="C2837" s="4" t="str">
        <x:v>PRJ-016</x:v>
      </x:c>
      <x:c r="D2837" s="4" t="str">
        <x:v>Apartment</x:v>
      </x:c>
      <x:c r="E2837" s="4" t="str">
        <x:v>Handed over</x:v>
      </x:c>
      <x:c r="F2837" s="4" t="str">
        <x:v>CUS-02836</x:v>
      </x:c>
      <x:c r="G2837" s="4" t="str">
        <x:v>UNIT-02836</x:v>
      </x:c>
      <x:c r="H2837" s="9" t="n">
        <x:v>3800000</x:v>
      </x:c>
      <x:c r="I2837" s="10" t="n">
        <x:v>0.03</x:v>
      </x:c>
      <x:c r="J2837" s="11" t="n">
        <x:v>11</x:v>
      </x:c>
      <x:c r="K2837" s="11" t="n">
        <x:v>9</x:v>
      </x:c>
      <x:c r="L2837" s="11" t="n">
        <x:v>0</x:v>
      </x:c>
      <x:c r="M2837" s="9" t="n">
        <x:f>ROUND(H2837*(1-I2837),2)</x:f>
        <x:v>3686000</x:v>
      </x:c>
      <x:c r="N2837" s="4" t="str">
        <x:v>Sales manager</x:v>
      </x:c>
      <x:c r="O2837" s="4" t="str">
        <x:v>BOOK-02836</x:v>
      </x:c>
      <x:c r="P2837" s="9" t="n">
        <x:v>3686000</x:v>
      </x:c>
      <x:c r="Q2837" s="11" t="n">
        <x:v>0</x:v>
      </x:c>
      <x:c r="R2837" s="8" t="n">
        <x:v>45511</x:v>
      </x:c>
      <x:c r="S2837" s="4" t="str">
        <x:v>Retained</x:v>
      </x:c>
      <x:c r="T2837" s="10" t="n">
        <x:v>0.351536</x:v>
      </x:c>
      <x:c r="U2837" s="4" t="str">
        <x:v>Excluded / unlabelled</x:v>
      </x:c>
    </x:row>
    <x:row r="2838" ht="34" customHeight="1">
      <x:c r="A2838" s="4" t="str">
        <x:v>RS-02837</x:v>
      </x:c>
      <x:c r="B2838" s="8" t="n">
        <x:v>45452</x:v>
      </x:c>
      <x:c r="C2838" s="4" t="str">
        <x:v>PRJ-017</x:v>
      </x:c>
      <x:c r="D2838" s="4" t="str">
        <x:v>Office</x:v>
      </x:c>
      <x:c r="E2838" s="4" t="str">
        <x:v>Enquiry</x:v>
      </x:c>
      <x:c r="F2838" s="4" t="str">
        <x:v>CUS-02837</x:v>
      </x:c>
      <x:c r="G2838" s="4" t="str">
        <x:v>UNIT-02837</x:v>
      </x:c>
      <x:c r="H2838" s="9" t="n">
        <x:v>8800000</x:v>
      </x:c>
      <x:c r="I2838" s="10" t="n">
        <x:v>0.02</x:v>
      </x:c>
      <x:c r="J2838" s="11" t="n">
        <x:v>0</x:v>
      </x:c>
      <x:c r="K2838" s="11" t="n">
        <x:v>8</x:v>
      </x:c>
      <x:c r="L2838" s="11" t="n">
        <x:v>0</x:v>
      </x:c>
      <x:c r="M2838" s="9" t="n">
        <x:f>ROUND(H2838*(1-I2838),2)</x:f>
        <x:v>8624000</x:v>
      </x:c>
      <x:c r="N2838" s="4" t="str">
        <x:v>Sales manager</x:v>
      </x:c>
      <x:c r="O2838" s="4"/>
      <x:c r="P2838" s="9" t="n">
        <x:v>0</x:v>
      </x:c>
      <x:c r="Q2838" s="11" t="n">
        <x:v>0</x:v>
      </x:c>
      <x:c r="R2838" s="8" t="n">
        <x:v>45512</x:v>
      </x:c>
      <x:c r="S2838" s="4" t="str">
        <x:v>Retained</x:v>
      </x:c>
      <x:c r="T2838" s="10" t="n">
        <x:v>0.072165</x:v>
      </x:c>
      <x:c r="U2838" s="4" t="str">
        <x:v>Excluded / unlabelled</x:v>
      </x:c>
    </x:row>
    <x:row r="2839" ht="34" customHeight="1">
      <x:c r="A2839" s="4" t="str">
        <x:v>RS-02838</x:v>
      </x:c>
      <x:c r="B2839" s="8" t="n">
        <x:v>45453</x:v>
      </x:c>
      <x:c r="C2839" s="4" t="str">
        <x:v>PRJ-018</x:v>
      </x:c>
      <x:c r="D2839" s="4" t="str">
        <x:v>Retail</x:v>
      </x:c>
      <x:c r="E2839" s="4" t="str">
        <x:v>Booked</x:v>
      </x:c>
      <x:c r="F2839" s="4" t="str">
        <x:v>CUS-02838</x:v>
      </x:c>
      <x:c r="G2839" s="4" t="str">
        <x:v>UNIT-02838</x:v>
      </x:c>
      <x:c r="H2839" s="9" t="n">
        <x:v>17000000</x:v>
      </x:c>
      <x:c r="I2839" s="10" t="n">
        <x:v>0.07</x:v>
      </x:c>
      <x:c r="J2839" s="11" t="n">
        <x:v>0</x:v>
      </x:c>
      <x:c r="K2839" s="11" t="n">
        <x:v>8</x:v>
      </x:c>
      <x:c r="L2839" s="11" t="n">
        <x:v>1</x:v>
      </x:c>
      <x:c r="M2839" s="9" t="n">
        <x:f>ROUND(H2839*(1-I2839),2)</x:f>
        <x:v>15810000</x:v>
      </x:c>
      <x:c r="N2839" s="4" t="str">
        <x:v>Sales manager</x:v>
      </x:c>
      <x:c r="O2839" s="4" t="str">
        <x:v>BOOK-02838</x:v>
      </x:c>
      <x:c r="P2839" s="9" t="n">
        <x:v>1581000</x:v>
      </x:c>
      <x:c r="Q2839" s="11" t="n">
        <x:v>0</x:v>
      </x:c>
      <x:c r="R2839" s="8" t="n">
        <x:v>45513</x:v>
      </x:c>
      <x:c r="S2839" s="4" t="str">
        <x:v>Retained</x:v>
      </x:c>
      <x:c r="T2839" s="10" t="n">
        <x:v>0.204152</x:v>
      </x:c>
      <x:c r="U2839" s="4" t="str">
        <x:v>Excluded / unlabelled</x:v>
      </x:c>
    </x:row>
    <x:row r="2840" ht="34" customHeight="1">
      <x:c r="A2840" s="4" t="str">
        <x:v>RS-02839</x:v>
      </x:c>
      <x:c r="B2840" s="8" t="n">
        <x:v>45454</x:v>
      </x:c>
      <x:c r="C2840" s="4" t="str">
        <x:v>PRJ-019</x:v>
      </x:c>
      <x:c r="D2840" s="4" t="str">
        <x:v>Office</x:v>
      </x:c>
      <x:c r="E2840" s="4" t="str">
        <x:v>Agreement signed</x:v>
      </x:c>
      <x:c r="F2840" s="4" t="str">
        <x:v>CUS-02839</x:v>
      </x:c>
      <x:c r="G2840" s="4" t="str">
        <x:v>UNIT-02839</x:v>
      </x:c>
      <x:c r="H2840" s="9" t="n">
        <x:v>11300000</x:v>
      </x:c>
      <x:c r="I2840" s="10" t="n">
        <x:v>0.01</x:v>
      </x:c>
      <x:c r="J2840" s="11" t="n">
        <x:v>7</x:v>
      </x:c>
      <x:c r="K2840" s="11" t="n">
        <x:v>1</x:v>
      </x:c>
      <x:c r="L2840" s="11" t="n">
        <x:v>1</x:v>
      </x:c>
      <x:c r="M2840" s="9" t="n">
        <x:f>ROUND(H2840*(1-I2840),2)</x:f>
        <x:v>11187000</x:v>
      </x:c>
      <x:c r="N2840" s="4" t="str">
        <x:v>Sales manager</x:v>
      </x:c>
      <x:c r="O2840" s="4" t="str">
        <x:v>BOOK-02839</x:v>
      </x:c>
      <x:c r="P2840" s="9" t="n">
        <x:v>1118700</x:v>
      </x:c>
      <x:c r="Q2840" s="11" t="n">
        <x:v>0</x:v>
      </x:c>
      <x:c r="R2840" s="8" t="n">
        <x:v>45514</x:v>
      </x:c>
      <x:c r="S2840" s="4" t="str">
        <x:v>Retained</x:v>
      </x:c>
      <x:c r="T2840" s="10" t="n">
        <x:v>0.298969</x:v>
      </x:c>
      <x:c r="U2840" s="4" t="str">
        <x:v>Excluded / unlabelled</x:v>
      </x:c>
    </x:row>
    <x:row r="2841" ht="34" customHeight="1">
      <x:c r="A2841" s="4" t="str">
        <x:v>RS-02840</x:v>
      </x:c>
      <x:c r="B2841" s="8" t="n">
        <x:v>45455</x:v>
      </x:c>
      <x:c r="C2841" s="4" t="str">
        <x:v>PRJ-020</x:v>
      </x:c>
      <x:c r="D2841" s="4" t="str">
        <x:v>Apartment</x:v>
      </x:c>
      <x:c r="E2841" s="4" t="str">
        <x:v>Handed over</x:v>
      </x:c>
      <x:c r="F2841" s="4" t="str">
        <x:v>CUS-02840</x:v>
      </x:c>
      <x:c r="G2841" s="4" t="str">
        <x:v>UNIT-02840</x:v>
      </x:c>
      <x:c r="H2841" s="9" t="n">
        <x:v>9300000</x:v>
      </x:c>
      <x:c r="I2841" s="10" t="n">
        <x:v>0.1</x:v>
      </x:c>
      <x:c r="J2841" s="11" t="n">
        <x:v>9</x:v>
      </x:c>
      <x:c r="K2841" s="11" t="n">
        <x:v>4</x:v>
      </x:c>
      <x:c r="L2841" s="11" t="n">
        <x:v>1</x:v>
      </x:c>
      <x:c r="M2841" s="9" t="n">
        <x:f>ROUND(H2841*(1-I2841),2)</x:f>
        <x:v>8370000</x:v>
      </x:c>
      <x:c r="N2841" s="4" t="str">
        <x:v>Sales head</x:v>
      </x:c>
      <x:c r="O2841" s="4" t="str">
        <x:v>BOOK-02840</x:v>
      </x:c>
      <x:c r="P2841" s="9" t="n">
        <x:v>8370000</x:v>
      </x:c>
      <x:c r="Q2841" s="11" t="n">
        <x:v>0</x:v>
      </x:c>
      <x:c r="R2841" s="8" t="n">
        <x:v>45515</x:v>
      </x:c>
      <x:c r="S2841" s="4" t="str">
        <x:v>Retained</x:v>
      </x:c>
      <x:c r="T2841" s="10" t="n">
        <x:v>0.310195</x:v>
      </x:c>
      <x:c r="U2841" s="4" t="str">
        <x:v>Excluded / unlabelled</x:v>
      </x:c>
    </x:row>
    <x:row r="2842" ht="34" customHeight="1">
      <x:c r="A2842" s="4" t="str">
        <x:v>RS-02841</x:v>
      </x:c>
      <x:c r="B2842" s="8" t="n">
        <x:v>45456</x:v>
      </x:c>
      <x:c r="C2842" s="4" t="str">
        <x:v>PRJ-001</x:v>
      </x:c>
      <x:c r="D2842" s="4" t="str">
        <x:v>Apartment</x:v>
      </x:c>
      <x:c r="E2842" s="4" t="str">
        <x:v>Enquiry</x:v>
      </x:c>
      <x:c r="F2842" s="4" t="str">
        <x:v>CUS-02841</x:v>
      </x:c>
      <x:c r="G2842" s="4" t="str">
        <x:v>UNIT-02841</x:v>
      </x:c>
      <x:c r="H2842" s="9" t="n">
        <x:v>7100000</x:v>
      </x:c>
      <x:c r="I2842" s="10" t="n">
        <x:v>0.09</x:v>
      </x:c>
      <x:c r="J2842" s="11" t="n">
        <x:v>10</x:v>
      </x:c>
      <x:c r="K2842" s="11" t="n">
        <x:v>5</x:v>
      </x:c>
      <x:c r="L2842" s="11" t="n">
        <x:v>0</x:v>
      </x:c>
      <x:c r="M2842" s="9" t="n">
        <x:f>ROUND(H2842*(1-I2842),2)</x:f>
        <x:v>6461000</x:v>
      </x:c>
      <x:c r="N2842" s="4" t="str">
        <x:v>Sales head</x:v>
      </x:c>
      <x:c r="O2842" s="4"/>
      <x:c r="P2842" s="9" t="n">
        <x:v>0</x:v>
      </x:c>
      <x:c r="Q2842" s="11" t="n">
        <x:v>1</x:v>
      </x:c>
      <x:c r="R2842" s="8" t="n">
        <x:v>45516</x:v>
      </x:c>
      <x:c r="S2842" s="4" t="str">
        <x:v>Lost / cancelled</x:v>
      </x:c>
      <x:c r="T2842" s="10" t="n">
        <x:v>0.310195</x:v>
      </x:c>
      <x:c r="U2842" s="4" t="str">
        <x:v>Excluded / unlabelled</x:v>
      </x:c>
    </x:row>
    <x:row r="2843" ht="34" customHeight="1">
      <x:c r="A2843" s="4" t="str">
        <x:v>RS-02842</x:v>
      </x:c>
      <x:c r="B2843" s="8" t="n">
        <x:v>45457</x:v>
      </x:c>
      <x:c r="C2843" s="4" t="str">
        <x:v>PRJ-002</x:v>
      </x:c>
      <x:c r="D2843" s="4" t="str">
        <x:v>Office</x:v>
      </x:c>
      <x:c r="E2843" s="4" t="str">
        <x:v>Enquiry</x:v>
      </x:c>
      <x:c r="F2843" s="4" t="str">
        <x:v>CUS-02842</x:v>
      </x:c>
      <x:c r="G2843" s="4" t="str">
        <x:v>UNIT-02842</x:v>
      </x:c>
      <x:c r="H2843" s="9" t="n">
        <x:v>4400000</x:v>
      </x:c>
      <x:c r="I2843" s="10" t="n">
        <x:v>0.08</x:v>
      </x:c>
      <x:c r="J2843" s="11" t="n">
        <x:v>12</x:v>
      </x:c>
      <x:c r="K2843" s="11" t="n">
        <x:v>6</x:v>
      </x:c>
      <x:c r="L2843" s="11" t="n">
        <x:v>1</x:v>
      </x:c>
      <x:c r="M2843" s="9" t="n">
        <x:f>ROUND(H2843*(1-I2843),2)</x:f>
        <x:v>4048000</x:v>
      </x:c>
      <x:c r="N2843" s="4" t="str">
        <x:v>Sales head</x:v>
      </x:c>
      <x:c r="O2843" s="4"/>
      <x:c r="P2843" s="9" t="n">
        <x:v>0</x:v>
      </x:c>
      <x:c r="Q2843" s="11" t="n">
        <x:v>0</x:v>
      </x:c>
      <x:c r="R2843" s="8" t="n">
        <x:v>45517</x:v>
      </x:c>
      <x:c r="S2843" s="4" t="str">
        <x:v>Retained</x:v>
      </x:c>
      <x:c r="T2843" s="10" t="n">
        <x:v>0.351536</x:v>
      </x:c>
      <x:c r="U2843" s="4" t="str">
        <x:v>Excluded / unlabelled</x:v>
      </x:c>
    </x:row>
    <x:row r="2844" ht="34" customHeight="1">
      <x:c r="A2844" s="4" t="str">
        <x:v>RS-02843</x:v>
      </x:c>
      <x:c r="B2844" s="8" t="n">
        <x:v>45458</x:v>
      </x:c>
      <x:c r="C2844" s="4" t="str">
        <x:v>PRJ-003</x:v>
      </x:c>
      <x:c r="D2844" s="4" t="str">
        <x:v>Apartment</x:v>
      </x:c>
      <x:c r="E2844" s="4" t="str">
        <x:v>Booked</x:v>
      </x:c>
      <x:c r="F2844" s="4" t="str">
        <x:v>CUS-02843</x:v>
      </x:c>
      <x:c r="G2844" s="4" t="str">
        <x:v>UNIT-02843</x:v>
      </x:c>
      <x:c r="H2844" s="9" t="n">
        <x:v>15600000</x:v>
      </x:c>
      <x:c r="I2844" s="10" t="n">
        <x:v>0.02</x:v>
      </x:c>
      <x:c r="J2844" s="11" t="n">
        <x:v>1</x:v>
      </x:c>
      <x:c r="K2844" s="11" t="n">
        <x:v>10</x:v>
      </x:c>
      <x:c r="L2844" s="11" t="n">
        <x:v>0</x:v>
      </x:c>
      <x:c r="M2844" s="9" t="n">
        <x:f>ROUND(H2844*(1-I2844),2)</x:f>
        <x:v>15288000</x:v>
      </x:c>
      <x:c r="N2844" s="4" t="str">
        <x:v>Sales manager</x:v>
      </x:c>
      <x:c r="O2844" s="4" t="str">
        <x:v>BOOK-02843</x:v>
      </x:c>
      <x:c r="P2844" s="9" t="n">
        <x:v>7644000</x:v>
      </x:c>
      <x:c r="Q2844" s="11" t="n">
        <x:v>0</x:v>
      </x:c>
      <x:c r="R2844" s="8" t="n">
        <x:v>45518</x:v>
      </x:c>
      <x:c r="S2844" s="4" t="str">
        <x:v>Retained</x:v>
      </x:c>
      <x:c r="T2844" s="10" t="n">
        <x:v>0.072165</x:v>
      </x:c>
      <x:c r="U2844" s="4" t="str">
        <x:v>Excluded / unlabelled</x:v>
      </x:c>
    </x:row>
    <x:row r="2845" ht="34" customHeight="1">
      <x:c r="A2845" s="4" t="str">
        <x:v>RS-02844</x:v>
      </x:c>
      <x:c r="B2845" s="8" t="n">
        <x:v>45459</x:v>
      </x:c>
      <x:c r="C2845" s="4" t="str">
        <x:v>PRJ-004</x:v>
      </x:c>
      <x:c r="D2845" s="4" t="str">
        <x:v>Villa</x:v>
      </x:c>
      <x:c r="E2845" s="4" t="str">
        <x:v>Handed over</x:v>
      </x:c>
      <x:c r="F2845" s="4" t="str">
        <x:v>CUS-02844</x:v>
      </x:c>
      <x:c r="G2845" s="4" t="str">
        <x:v>UNIT-02844</x:v>
      </x:c>
      <x:c r="H2845" s="9" t="n">
        <x:v>4600000</x:v>
      </x:c>
      <x:c r="I2845" s="10" t="n">
        <x:v>0.03</x:v>
      </x:c>
      <x:c r="J2845" s="11" t="n">
        <x:v>11</x:v>
      </x:c>
      <x:c r="K2845" s="11" t="n">
        <x:v>5</x:v>
      </x:c>
      <x:c r="L2845" s="11" t="n">
        <x:v>1</x:v>
      </x:c>
      <x:c r="M2845" s="9" t="n">
        <x:f>ROUND(H2845*(1-I2845),2)</x:f>
        <x:v>4462000</x:v>
      </x:c>
      <x:c r="N2845" s="4" t="str">
        <x:v>Sales manager</x:v>
      </x:c>
      <x:c r="O2845" s="4" t="str">
        <x:v>BOOK-02844</x:v>
      </x:c>
      <x:c r="P2845" s="9" t="n">
        <x:v>2231000</x:v>
      </x:c>
      <x:c r="Q2845" s="11" t="n">
        <x:v>0</x:v>
      </x:c>
      <x:c r="R2845" s="8" t="n">
        <x:v>45519</x:v>
      </x:c>
      <x:c r="S2845" s="4" t="str">
        <x:v>Retained</x:v>
      </x:c>
      <x:c r="T2845" s="10" t="n">
        <x:v>0.351536</x:v>
      </x:c>
      <x:c r="U2845" s="4" t="str">
        <x:v>Excluded / unlabelled</x:v>
      </x:c>
    </x:row>
    <x:row r="2846" ht="34" customHeight="1">
      <x:c r="A2846" s="4" t="str">
        <x:v>RS-02845</x:v>
      </x:c>
      <x:c r="B2846" s="8" t="n">
        <x:v>45460</x:v>
      </x:c>
      <x:c r="C2846" s="4" t="str">
        <x:v>PRJ-005</x:v>
      </x:c>
      <x:c r="D2846" s="4" t="str">
        <x:v>Villa</x:v>
      </x:c>
      <x:c r="E2846" s="4" t="str">
        <x:v>Agreement signed</x:v>
      </x:c>
      <x:c r="F2846" s="4" t="str">
        <x:v>CUS-02845</x:v>
      </x:c>
      <x:c r="G2846" s="4" t="str">
        <x:v>UNIT-02845</x:v>
      </x:c>
      <x:c r="H2846" s="9" t="n">
        <x:v>20400000</x:v>
      </x:c>
      <x:c r="I2846" s="10" t="n">
        <x:v>0.02</x:v>
      </x:c>
      <x:c r="J2846" s="11" t="n">
        <x:v>10</x:v>
      </x:c>
      <x:c r="K2846" s="11" t="n">
        <x:v>8</x:v>
      </x:c>
      <x:c r="L2846" s="11" t="n">
        <x:v>1</x:v>
      </x:c>
      <x:c r="M2846" s="9" t="n">
        <x:f>ROUND(H2846*(1-I2846),2)</x:f>
        <x:v>19992000</x:v>
      </x:c>
      <x:c r="N2846" s="4" t="str">
        <x:v>Sales manager</x:v>
      </x:c>
      <x:c r="O2846" s="4" t="str">
        <x:v>BOOK-02845</x:v>
      </x:c>
      <x:c r="P2846" s="9" t="n">
        <x:v>9996000</x:v>
      </x:c>
      <x:c r="Q2846" s="11" t="n">
        <x:v>0</x:v>
      </x:c>
      <x:c r="R2846" s="8" t="n">
        <x:v>45520</x:v>
      </x:c>
      <x:c r="S2846" s="4" t="str">
        <x:v>Retained</x:v>
      </x:c>
      <x:c r="T2846" s="10" t="n">
        <x:v>0.254545</x:v>
      </x:c>
      <x:c r="U2846" s="4" t="str">
        <x:v>Excluded / unlabelled</x:v>
      </x:c>
    </x:row>
    <x:row r="2847" ht="34" customHeight="1">
      <x:c r="A2847" s="4" t="str">
        <x:v>RS-02846</x:v>
      </x:c>
      <x:c r="B2847" s="8" t="n">
        <x:v>45461</x:v>
      </x:c>
      <x:c r="C2847" s="4" t="str">
        <x:v>PRJ-006</x:v>
      </x:c>
      <x:c r="D2847" s="4" t="str">
        <x:v>Office</x:v>
      </x:c>
      <x:c r="E2847" s="4" t="str">
        <x:v>Booked</x:v>
      </x:c>
      <x:c r="F2847" s="4" t="str">
        <x:v>CUS-02846</x:v>
      </x:c>
      <x:c r="G2847" s="4" t="str">
        <x:v>UNIT-02846</x:v>
      </x:c>
      <x:c r="H2847" s="9" t="n">
        <x:v>19700000</x:v>
      </x:c>
      <x:c r="I2847" s="10" t="n">
        <x:v>0.03</x:v>
      </x:c>
      <x:c r="J2847" s="11" t="n">
        <x:v>5</x:v>
      </x:c>
      <x:c r="K2847" s="11" t="n">
        <x:v>1</x:v>
      </x:c>
      <x:c r="L2847" s="11" t="n">
        <x:v>0</x:v>
      </x:c>
      <x:c r="M2847" s="9" t="n">
        <x:f>ROUND(H2847*(1-I2847),2)</x:f>
        <x:v>19109000</x:v>
      </x:c>
      <x:c r="N2847" s="4" t="str">
        <x:v>Sales manager</x:v>
      </x:c>
      <x:c r="O2847" s="4" t="str">
        <x:v>BOOK-02846</x:v>
      </x:c>
      <x:c r="P2847" s="9" t="n">
        <x:v>9554500</x:v>
      </x:c>
      <x:c r="Q2847" s="11" t="n">
        <x:v>0</x:v>
      </x:c>
      <x:c r="R2847" s="8" t="n">
        <x:v>45521</x:v>
      </x:c>
      <x:c r="S2847" s="4" t="str">
        <x:v>Retained</x:v>
      </x:c>
      <x:c r="T2847" s="10" t="n">
        <x:v>0.298969</x:v>
      </x:c>
      <x:c r="U2847" s="4" t="str">
        <x:v>Excluded / unlabelled</x:v>
      </x:c>
    </x:row>
    <x:row r="2848" ht="34" customHeight="1">
      <x:c r="A2848" s="4" t="str">
        <x:v>RS-02847</x:v>
      </x:c>
      <x:c r="B2848" s="8" t="n">
        <x:v>45462</x:v>
      </x:c>
      <x:c r="C2848" s="4" t="str">
        <x:v>PRJ-007</x:v>
      </x:c>
      <x:c r="D2848" s="4" t="str">
        <x:v>Retail</x:v>
      </x:c>
      <x:c r="E2848" s="4" t="str">
        <x:v>Enquiry</x:v>
      </x:c>
      <x:c r="F2848" s="4" t="str">
        <x:v>CUS-02847</x:v>
      </x:c>
      <x:c r="G2848" s="4" t="str">
        <x:v>UNIT-02847</x:v>
      </x:c>
      <x:c r="H2848" s="9" t="n">
        <x:v>15300000</x:v>
      </x:c>
      <x:c r="I2848" s="10" t="n">
        <x:v>0.07</x:v>
      </x:c>
      <x:c r="J2848" s="11" t="n">
        <x:v>11</x:v>
      </x:c>
      <x:c r="K2848" s="11" t="n">
        <x:v>0</x:v>
      </x:c>
      <x:c r="L2848" s="11" t="n">
        <x:v>1</x:v>
      </x:c>
      <x:c r="M2848" s="9" t="n">
        <x:f>ROUND(H2848*(1-I2848),2)</x:f>
        <x:v>14229000</x:v>
      </x:c>
      <x:c r="N2848" s="4" t="str">
        <x:v>Sales manager</x:v>
      </x:c>
      <x:c r="O2848" s="4"/>
      <x:c r="P2848" s="9" t="n">
        <x:v>0</x:v>
      </x:c>
      <x:c r="Q2848" s="11" t="n">
        <x:v>1</x:v>
      </x:c>
      <x:c r="R2848" s="8" t="n">
        <x:v>45522</x:v>
      </x:c>
      <x:c r="S2848" s="4" t="str">
        <x:v>Lost / cancelled</x:v>
      </x:c>
      <x:c r="T2848" s="10" t="n">
        <x:v>0.351536</x:v>
      </x:c>
      <x:c r="U2848" s="4" t="str">
        <x:v>Excluded / unlabelled</x:v>
      </x:c>
    </x:row>
    <x:row r="2849" ht="34" customHeight="1">
      <x:c r="A2849" s="4" t="str">
        <x:v>RS-02848</x:v>
      </x:c>
      <x:c r="B2849" s="8" t="n">
        <x:v>45463</x:v>
      </x:c>
      <x:c r="C2849" s="4" t="str">
        <x:v>PRJ-008</x:v>
      </x:c>
      <x:c r="D2849" s="4" t="str">
        <x:v>Office</x:v>
      </x:c>
      <x:c r="E2849" s="4" t="str">
        <x:v>Enquiry</x:v>
      </x:c>
      <x:c r="F2849" s="4" t="str">
        <x:v>CUS-02848</x:v>
      </x:c>
      <x:c r="G2849" s="4" t="str">
        <x:v>UNIT-02848</x:v>
      </x:c>
      <x:c r="H2849" s="9" t="n">
        <x:v>8200000</x:v>
      </x:c>
      <x:c r="I2849" s="10" t="n">
        <x:v>0.06</x:v>
      </x:c>
      <x:c r="J2849" s="11" t="n">
        <x:v>10</x:v>
      </x:c>
      <x:c r="K2849" s="11" t="n">
        <x:v>3</x:v>
      </x:c>
      <x:c r="L2849" s="11" t="n">
        <x:v>1</x:v>
      </x:c>
      <x:c r="M2849" s="9" t="n">
        <x:f>ROUND(H2849*(1-I2849),2)</x:f>
        <x:v>7708000</x:v>
      </x:c>
      <x:c r="N2849" s="4" t="str">
        <x:v>Sales manager</x:v>
      </x:c>
      <x:c r="O2849" s="4"/>
      <x:c r="P2849" s="9" t="n">
        <x:v>0</x:v>
      </x:c>
      <x:c r="Q2849" s="11" t="n">
        <x:v>1</x:v>
      </x:c>
      <x:c r="R2849" s="8" t="n">
        <x:v>45523</x:v>
      </x:c>
      <x:c r="S2849" s="4" t="str">
        <x:v>Lost / cancelled</x:v>
      </x:c>
      <x:c r="T2849" s="10" t="n">
        <x:v>0.310195</x:v>
      </x:c>
      <x:c r="U2849" s="4" t="str">
        <x:v>Excluded / unlabelled</x:v>
      </x:c>
    </x:row>
    <x:row r="2850" ht="34" customHeight="1">
      <x:c r="A2850" s="4" t="str">
        <x:v>RS-02849</x:v>
      </x:c>
      <x:c r="B2850" s="8" t="n">
        <x:v>45464</x:v>
      </x:c>
      <x:c r="C2850" s="4" t="str">
        <x:v>PRJ-009</x:v>
      </x:c>
      <x:c r="D2850" s="4" t="str">
        <x:v>Apartment</x:v>
      </x:c>
      <x:c r="E2850" s="4" t="str">
        <x:v>Cancelled</x:v>
      </x:c>
      <x:c r="F2850" s="4" t="str">
        <x:v>CUS-02849</x:v>
      </x:c>
      <x:c r="G2850" s="4" t="str">
        <x:v>UNIT-02849</x:v>
      </x:c>
      <x:c r="H2850" s="9" t="n">
        <x:v>24300000</x:v>
      </x:c>
      <x:c r="I2850" s="10" t="n">
        <x:v>0.1</x:v>
      </x:c>
      <x:c r="J2850" s="11" t="n">
        <x:v>5</x:v>
      </x:c>
      <x:c r="K2850" s="11" t="n">
        <x:v>6</x:v>
      </x:c>
      <x:c r="L2850" s="11" t="n">
        <x:v>0</x:v>
      </x:c>
      <x:c r="M2850" s="9" t="n">
        <x:f>ROUND(H2850*(1-I2850),2)</x:f>
        <x:v>21870000</x:v>
      </x:c>
      <x:c r="N2850" s="4" t="str">
        <x:v>Sales head</x:v>
      </x:c>
      <x:c r="O2850" s="4"/>
      <x:c r="P2850" s="9" t="n">
        <x:v>0</x:v>
      </x:c>
      <x:c r="Q2850" s="11" t="n">
        <x:v>1</x:v>
      </x:c>
      <x:c r="R2850" s="8" t="n">
        <x:v>45524</x:v>
      </x:c>
      <x:c r="S2850" s="4" t="str">
        <x:v>Lost / cancelled</x:v>
      </x:c>
      <x:c r="T2850" s="10" t="n">
        <x:v>0.226277</x:v>
      </x:c>
      <x:c r="U2850" s="4" t="str">
        <x:v>Excluded / unlabelled</x:v>
      </x:c>
    </x:row>
    <x:row r="2851" ht="34" customHeight="1">
      <x:c r="A2851" s="4" t="str">
        <x:v>RS-02850</x:v>
      </x:c>
      <x:c r="B2851" s="8" t="n">
        <x:v>45465</x:v>
      </x:c>
      <x:c r="C2851" s="4" t="str">
        <x:v>PRJ-010</x:v>
      </x:c>
      <x:c r="D2851" s="4" t="str">
        <x:v>Apartment</x:v>
      </x:c>
      <x:c r="E2851" s="4" t="str">
        <x:v>Booked</x:v>
      </x:c>
      <x:c r="F2851" s="4" t="str">
        <x:v>CUS-02850</x:v>
      </x:c>
      <x:c r="G2851" s="4" t="str">
        <x:v>UNIT-02850</x:v>
      </x:c>
      <x:c r="H2851" s="9" t="n">
        <x:v>12300000</x:v>
      </x:c>
      <x:c r="I2851" s="10" t="n">
        <x:v>0</x:v>
      </x:c>
      <x:c r="J2851" s="11" t="n">
        <x:v>4</x:v>
      </x:c>
      <x:c r="K2851" s="11" t="n">
        <x:v>10</x:v>
      </x:c>
      <x:c r="L2851" s="11" t="n">
        <x:v>0</x:v>
      </x:c>
      <x:c r="M2851" s="9" t="n">
        <x:f>ROUND(H2851*(1-I2851),2)</x:f>
        <x:v>12300000</x:v>
      </x:c>
      <x:c r="N2851" s="4" t="str">
        <x:v>Sales manager</x:v>
      </x:c>
      <x:c r="O2851" s="4" t="str">
        <x:v>BOOK-02850</x:v>
      </x:c>
      <x:c r="P2851" s="9" t="n">
        <x:v>12300000</x:v>
      </x:c>
      <x:c r="Q2851" s="11" t="n">
        <x:v>0</x:v>
      </x:c>
      <x:c r="R2851" s="8" t="n">
        <x:v>45525</x:v>
      </x:c>
      <x:c r="S2851" s="4" t="str">
        <x:v>Retained</x:v>
      </x:c>
      <x:c r="T2851" s="10" t="n">
        <x:v>0.145299</x:v>
      </x:c>
      <x:c r="U2851" s="4" t="str">
        <x:v>Excluded / unlabelled</x:v>
      </x:c>
    </x:row>
    <x:row r="2852" ht="34" customHeight="1">
      <x:c r="A2852" s="4" t="str">
        <x:v>RS-02851</x:v>
      </x:c>
      <x:c r="B2852" s="8" t="n">
        <x:v>45466</x:v>
      </x:c>
      <x:c r="C2852" s="4" t="str">
        <x:v>PRJ-011</x:v>
      </x:c>
      <x:c r="D2852" s="4" t="str">
        <x:v>Villa</x:v>
      </x:c>
      <x:c r="E2852" s="4" t="str">
        <x:v>Cancelled</x:v>
      </x:c>
      <x:c r="F2852" s="4" t="str">
        <x:v>CUS-02851</x:v>
      </x:c>
      <x:c r="G2852" s="4" t="str">
        <x:v>UNIT-02851</x:v>
      </x:c>
      <x:c r="H2852" s="9" t="n">
        <x:v>25000000</x:v>
      </x:c>
      <x:c r="I2852" s="10" t="n">
        <x:v>0.05</x:v>
      </x:c>
      <x:c r="J2852" s="11" t="n">
        <x:v>2</x:v>
      </x:c>
      <x:c r="K2852" s="11" t="n">
        <x:v>4</x:v>
      </x:c>
      <x:c r="L2852" s="11" t="n">
        <x:v>1</x:v>
      </x:c>
      <x:c r="M2852" s="9" t="n">
        <x:f>ROUND(H2852*(1-I2852),2)</x:f>
        <x:v>23750000</x:v>
      </x:c>
      <x:c r="N2852" s="4" t="str">
        <x:v>Sales manager</x:v>
      </x:c>
      <x:c r="O2852" s="4"/>
      <x:c r="P2852" s="9" t="n">
        <x:v>0</x:v>
      </x:c>
      <x:c r="Q2852" s="11" t="n">
        <x:v>1</x:v>
      </x:c>
      <x:c r="R2852" s="8" t="n">
        <x:v>45526</x:v>
      </x:c>
      <x:c r="S2852" s="4" t="str">
        <x:v>Lost / cancelled</x:v>
      </x:c>
      <x:c r="T2852" s="10" t="n">
        <x:v>0.204152</x:v>
      </x:c>
      <x:c r="U2852" s="4" t="str">
        <x:v>Excluded / unlabelled</x:v>
      </x:c>
    </x:row>
    <x:row r="2853" ht="34" customHeight="1">
      <x:c r="A2853" s="4" t="str">
        <x:v>RS-02852</x:v>
      </x:c>
      <x:c r="B2853" s="8" t="n">
        <x:v>45467</x:v>
      </x:c>
      <x:c r="C2853" s="4" t="str">
        <x:v>PRJ-012</x:v>
      </x:c>
      <x:c r="D2853" s="4" t="str">
        <x:v>Office</x:v>
      </x:c>
      <x:c r="E2853" s="4" t="str">
        <x:v>Enquiry</x:v>
      </x:c>
      <x:c r="F2853" s="4" t="str">
        <x:v>CUS-02852</x:v>
      </x:c>
      <x:c r="G2853" s="4" t="str">
        <x:v>UNIT-02852</x:v>
      </x:c>
      <x:c r="H2853" s="9" t="n">
        <x:v>22900000</x:v>
      </x:c>
      <x:c r="I2853" s="10" t="n">
        <x:v>0.1</x:v>
      </x:c>
      <x:c r="J2853" s="11" t="n">
        <x:v>6</x:v>
      </x:c>
      <x:c r="K2853" s="11" t="n">
        <x:v>3</x:v>
      </x:c>
      <x:c r="L2853" s="11" t="n">
        <x:v>0</x:v>
      </x:c>
      <x:c r="M2853" s="9" t="n">
        <x:f>ROUND(H2853*(1-I2853),2)</x:f>
        <x:v>20610000</x:v>
      </x:c>
      <x:c r="N2853" s="4" t="str">
        <x:v>Sales head</x:v>
      </x:c>
      <x:c r="O2853" s="4"/>
      <x:c r="P2853" s="9" t="n">
        <x:v>0</x:v>
      </x:c>
      <x:c r="Q2853" s="11" t="n">
        <x:v>0</x:v>
      </x:c>
      <x:c r="R2853" s="8" t="n">
        <x:v>45527</x:v>
      </x:c>
      <x:c r="S2853" s="4" t="str">
        <x:v>Retained</x:v>
      </x:c>
      <x:c r="T2853" s="10" t="n">
        <x:v>0.226277</x:v>
      </x:c>
      <x:c r="U2853" s="4" t="str">
        <x:v>Excluded / unlabelled</x:v>
      </x:c>
    </x:row>
    <x:row r="2854" ht="34" customHeight="1">
      <x:c r="A2854" s="4" t="str">
        <x:v>RS-02853</x:v>
      </x:c>
      <x:c r="B2854" s="8" t="n">
        <x:v>45468</x:v>
      </x:c>
      <x:c r="C2854" s="4" t="str">
        <x:v>PRJ-013</x:v>
      </x:c>
      <x:c r="D2854" s="4" t="str">
        <x:v>Villa</x:v>
      </x:c>
      <x:c r="E2854" s="4" t="str">
        <x:v>Agreement signed</x:v>
      </x:c>
      <x:c r="F2854" s="4" t="str">
        <x:v>CUS-02853</x:v>
      </x:c>
      <x:c r="G2854" s="4" t="str">
        <x:v>UNIT-02853</x:v>
      </x:c>
      <x:c r="H2854" s="9" t="n">
        <x:v>9300000</x:v>
      </x:c>
      <x:c r="I2854" s="10" t="n">
        <x:v>0.07</x:v>
      </x:c>
      <x:c r="J2854" s="11" t="n">
        <x:v>11</x:v>
      </x:c>
      <x:c r="K2854" s="11" t="n">
        <x:v>9</x:v>
      </x:c>
      <x:c r="L2854" s="11" t="n">
        <x:v>1</x:v>
      </x:c>
      <x:c r="M2854" s="9" t="n">
        <x:f>ROUND(H2854*(1-I2854),2)</x:f>
        <x:v>8649000</x:v>
      </x:c>
      <x:c r="N2854" s="4" t="str">
        <x:v>Sales manager</x:v>
      </x:c>
      <x:c r="O2854" s="4" t="str">
        <x:v>BOOK-02853</x:v>
      </x:c>
      <x:c r="P2854" s="9" t="n">
        <x:v>8649000</x:v>
      </x:c>
      <x:c r="Q2854" s="11" t="n">
        <x:v>0</x:v>
      </x:c>
      <x:c r="R2854" s="8" t="n">
        <x:v>45528</x:v>
      </x:c>
      <x:c r="S2854" s="4" t="str">
        <x:v>Retained</x:v>
      </x:c>
      <x:c r="T2854" s="10" t="n">
        <x:v>0.351536</x:v>
      </x:c>
      <x:c r="U2854" s="4" t="str">
        <x:v>Excluded / unlabelled</x:v>
      </x:c>
    </x:row>
    <x:row r="2855" ht="34" customHeight="1">
      <x:c r="A2855" s="4" t="str">
        <x:v>RS-02854</x:v>
      </x:c>
      <x:c r="B2855" s="8" t="n">
        <x:v>45469</x:v>
      </x:c>
      <x:c r="C2855" s="4" t="str">
        <x:v>PRJ-014</x:v>
      </x:c>
      <x:c r="D2855" s="4" t="str">
        <x:v>Retail</x:v>
      </x:c>
      <x:c r="E2855" s="4" t="str">
        <x:v>Handed over</x:v>
      </x:c>
      <x:c r="F2855" s="4" t="str">
        <x:v>CUS-02854</x:v>
      </x:c>
      <x:c r="G2855" s="4" t="str">
        <x:v>UNIT-02854</x:v>
      </x:c>
      <x:c r="H2855" s="9" t="n">
        <x:v>7400000</x:v>
      </x:c>
      <x:c r="I2855" s="10" t="n">
        <x:v>0.03</x:v>
      </x:c>
      <x:c r="J2855" s="11" t="n">
        <x:v>1</x:v>
      </x:c>
      <x:c r="K2855" s="11" t="n">
        <x:v>3</x:v>
      </x:c>
      <x:c r="L2855" s="11" t="n">
        <x:v>0</x:v>
      </x:c>
      <x:c r="M2855" s="9" t="n">
        <x:f>ROUND(H2855*(1-I2855),2)</x:f>
        <x:v>7178000</x:v>
      </x:c>
      <x:c r="N2855" s="4" t="str">
        <x:v>Sales manager</x:v>
      </x:c>
      <x:c r="O2855" s="4" t="str">
        <x:v>BOOK-02854</x:v>
      </x:c>
      <x:c r="P2855" s="9" t="n">
        <x:v>7178000</x:v>
      </x:c>
      <x:c r="Q2855" s="11" t="n">
        <x:v>0</x:v>
      </x:c>
      <x:c r="R2855" s="8" t="n">
        <x:v>45529</x:v>
      </x:c>
      <x:c r="S2855" s="4" t="str">
        <x:v>Retained</x:v>
      </x:c>
      <x:c r="T2855" s="10" t="n">
        <x:v>0.072165</x:v>
      </x:c>
      <x:c r="U2855" s="4" t="str">
        <x:v>Excluded / unlabelled</x:v>
      </x:c>
    </x:row>
    <x:row r="2856" ht="34" customHeight="1">
      <x:c r="A2856" s="4" t="str">
        <x:v>RS-02855</x:v>
      </x:c>
      <x:c r="B2856" s="8" t="n">
        <x:v>45470</x:v>
      </x:c>
      <x:c r="C2856" s="4" t="str">
        <x:v>PRJ-015</x:v>
      </x:c>
      <x:c r="D2856" s="4" t="str">
        <x:v>Office</x:v>
      </x:c>
      <x:c r="E2856" s="4" t="str">
        <x:v>Enquiry</x:v>
      </x:c>
      <x:c r="F2856" s="4" t="str">
        <x:v>CUS-02855</x:v>
      </x:c>
      <x:c r="G2856" s="4" t="str">
        <x:v>UNIT-02855</x:v>
      </x:c>
      <x:c r="H2856" s="9" t="n">
        <x:v>7400000</x:v>
      </x:c>
      <x:c r="I2856" s="10" t="n">
        <x:v>0.11</x:v>
      </x:c>
      <x:c r="J2856" s="11" t="n">
        <x:v>7</x:v>
      </x:c>
      <x:c r="K2856" s="11" t="n">
        <x:v>1</x:v>
      </x:c>
      <x:c r="L2856" s="11" t="n">
        <x:v>0</x:v>
      </x:c>
      <x:c r="M2856" s="9" t="n">
        <x:f>ROUND(H2856*(1-I2856),2)</x:f>
        <x:v>6586000</x:v>
      </x:c>
      <x:c r="N2856" s="4" t="str">
        <x:v>Sales head</x:v>
      </x:c>
      <x:c r="O2856" s="4"/>
      <x:c r="P2856" s="9" t="n">
        <x:v>0</x:v>
      </x:c>
      <x:c r="Q2856" s="11" t="n">
        <x:v>0</x:v>
      </x:c>
      <x:c r="R2856" s="8" t="n">
        <x:v>45530</x:v>
      </x:c>
      <x:c r="S2856" s="4" t="str">
        <x:v>Retained</x:v>
      </x:c>
      <x:c r="T2856" s="10" t="n">
        <x:v>0.226277</x:v>
      </x:c>
      <x:c r="U2856" s="4" t="str">
        <x:v>Excluded / unlabelled</x:v>
      </x:c>
    </x:row>
    <x:row r="2857" ht="34" customHeight="1">
      <x:c r="A2857" s="4" t="str">
        <x:v>RS-02856</x:v>
      </x:c>
      <x:c r="B2857" s="8" t="n">
        <x:v>45471</x:v>
      </x:c>
      <x:c r="C2857" s="4" t="str">
        <x:v>PRJ-016</x:v>
      </x:c>
      <x:c r="D2857" s="4" t="str">
        <x:v>Apartment</x:v>
      </x:c>
      <x:c r="E2857" s="4" t="str">
        <x:v>Agreement signed</x:v>
      </x:c>
      <x:c r="F2857" s="4" t="str">
        <x:v>CUS-02856</x:v>
      </x:c>
      <x:c r="G2857" s="4" t="str">
        <x:v>UNIT-02856</x:v>
      </x:c>
      <x:c r="H2857" s="9" t="n">
        <x:v>17200000</x:v>
      </x:c>
      <x:c r="I2857" s="10" t="n">
        <x:v>0.05</x:v>
      </x:c>
      <x:c r="J2857" s="11" t="n">
        <x:v>2</x:v>
      </x:c>
      <x:c r="K2857" s="11" t="n">
        <x:v>3</x:v>
      </x:c>
      <x:c r="L2857" s="11" t="n">
        <x:v>1</x:v>
      </x:c>
      <x:c r="M2857" s="9" t="n">
        <x:f>ROUND(H2857*(1-I2857),2)</x:f>
        <x:v>16340000</x:v>
      </x:c>
      <x:c r="N2857" s="4" t="str">
        <x:v>Sales manager</x:v>
      </x:c>
      <x:c r="O2857" s="4" t="str">
        <x:v>BOOK-02856</x:v>
      </x:c>
      <x:c r="P2857" s="9" t="n">
        <x:v>4085000</x:v>
      </x:c>
      <x:c r="Q2857" s="11" t="n">
        <x:v>0</x:v>
      </x:c>
      <x:c r="R2857" s="8" t="n">
        <x:v>45531</x:v>
      </x:c>
      <x:c r="S2857" s="4" t="str">
        <x:v>Retained</x:v>
      </x:c>
      <x:c r="T2857" s="10" t="n">
        <x:v>0.204152</x:v>
      </x:c>
      <x:c r="U2857" s="4" t="str">
        <x:v>Excluded / unlabelled</x:v>
      </x:c>
    </x:row>
    <x:row r="2858" ht="34" customHeight="1">
      <x:c r="A2858" s="4" t="str">
        <x:v>RS-02857</x:v>
      </x:c>
      <x:c r="B2858" s="8" t="n">
        <x:v>45444</x:v>
      </x:c>
      <x:c r="C2858" s="4" t="str">
        <x:v>PRJ-017</x:v>
      </x:c>
      <x:c r="D2858" s="4" t="str">
        <x:v>Retail</x:v>
      </x:c>
      <x:c r="E2858" s="4" t="str">
        <x:v>Enquiry</x:v>
      </x:c>
      <x:c r="F2858" s="4" t="str">
        <x:v>CUS-02857</x:v>
      </x:c>
      <x:c r="G2858" s="4" t="str">
        <x:v>UNIT-02857</x:v>
      </x:c>
      <x:c r="H2858" s="9" t="n">
        <x:v>12800000</x:v>
      </x:c>
      <x:c r="I2858" s="10" t="n">
        <x:v>0.06</x:v>
      </x:c>
      <x:c r="J2858" s="11" t="n">
        <x:v>3</x:v>
      </x:c>
      <x:c r="K2858" s="11" t="n">
        <x:v>1</x:v>
      </x:c>
      <x:c r="L2858" s="11" t="n">
        <x:v>0</x:v>
      </x:c>
      <x:c r="M2858" s="9" t="n">
        <x:f>ROUND(H2858*(1-I2858),2)</x:f>
        <x:v>12032000</x:v>
      </x:c>
      <x:c r="N2858" s="4" t="str">
        <x:v>Sales manager</x:v>
      </x:c>
      <x:c r="O2858" s="4"/>
      <x:c r="P2858" s="9" t="n">
        <x:v>0</x:v>
      </x:c>
      <x:c r="Q2858" s="11" t="n">
        <x:v>1</x:v>
      </x:c>
      <x:c r="R2858" s="8" t="n">
        <x:v>45504</x:v>
      </x:c>
      <x:c r="S2858" s="4" t="str">
        <x:v>Lost / cancelled</x:v>
      </x:c>
      <x:c r="T2858" s="10" t="n">
        <x:v>0.204152</x:v>
      </x:c>
      <x:c r="U2858" s="4" t="str">
        <x:v>Excluded / unlabelled</x:v>
      </x:c>
    </x:row>
    <x:row r="2859" ht="34" customHeight="1">
      <x:c r="A2859" s="4" t="str">
        <x:v>RS-02858</x:v>
      </x:c>
      <x:c r="B2859" s="8" t="n">
        <x:v>45445</x:v>
      </x:c>
      <x:c r="C2859" s="4" t="str">
        <x:v>PRJ-018</x:v>
      </x:c>
      <x:c r="D2859" s="4" t="str">
        <x:v>Retail</x:v>
      </x:c>
      <x:c r="E2859" s="4" t="str">
        <x:v>Enquiry</x:v>
      </x:c>
      <x:c r="F2859" s="4" t="str">
        <x:v>CUS-02858</x:v>
      </x:c>
      <x:c r="G2859" s="4" t="str">
        <x:v>UNIT-02858</x:v>
      </x:c>
      <x:c r="H2859" s="9" t="n">
        <x:v>10800000</x:v>
      </x:c>
      <x:c r="I2859" s="10" t="n">
        <x:v>0.12</x:v>
      </x:c>
      <x:c r="J2859" s="11" t="n">
        <x:v>3</x:v>
      </x:c>
      <x:c r="K2859" s="11" t="n">
        <x:v>0</x:v>
      </x:c>
      <x:c r="L2859" s="11" t="n">
        <x:v>0</x:v>
      </x:c>
      <x:c r="M2859" s="9" t="n">
        <x:f>ROUND(H2859*(1-I2859),2)</x:f>
        <x:v>9504000</x:v>
      </x:c>
      <x:c r="N2859" s="4" t="str">
        <x:v>Sales head</x:v>
      </x:c>
      <x:c r="O2859" s="4"/>
      <x:c r="P2859" s="9" t="n">
        <x:v>0</x:v>
      </x:c>
      <x:c r="Q2859" s="11" t="n">
        <x:v>0</x:v>
      </x:c>
      <x:c r="R2859" s="8" t="n">
        <x:v>45505</x:v>
      </x:c>
      <x:c r="S2859" s="4" t="str">
        <x:v>Retained</x:v>
      </x:c>
      <x:c r="T2859" s="10" t="n">
        <x:v>0.276923</x:v>
      </x:c>
      <x:c r="U2859" s="4" t="str">
        <x:v>Excluded / unlabelled</x:v>
      </x:c>
    </x:row>
    <x:row r="2860" ht="34" customHeight="1">
      <x:c r="A2860" s="4" t="str">
        <x:v>RS-02859</x:v>
      </x:c>
      <x:c r="B2860" s="8" t="n">
        <x:v>45446</x:v>
      </x:c>
      <x:c r="C2860" s="4" t="str">
        <x:v>PRJ-019</x:v>
      </x:c>
      <x:c r="D2860" s="4" t="str">
        <x:v>Retail</x:v>
      </x:c>
      <x:c r="E2860" s="4" t="str">
        <x:v>Cancelled</x:v>
      </x:c>
      <x:c r="F2860" s="4" t="str">
        <x:v>CUS-02859</x:v>
      </x:c>
      <x:c r="G2860" s="4" t="str">
        <x:v>UNIT-02859</x:v>
      </x:c>
      <x:c r="H2860" s="9" t="n">
        <x:v>5600000</x:v>
      </x:c>
      <x:c r="I2860" s="10" t="n">
        <x:v>0.09</x:v>
      </x:c>
      <x:c r="J2860" s="11" t="n">
        <x:v>5</x:v>
      </x:c>
      <x:c r="K2860" s="11" t="n">
        <x:v>6</x:v>
      </x:c>
      <x:c r="L2860" s="11" t="n">
        <x:v>0</x:v>
      </x:c>
      <x:c r="M2860" s="9" t="n">
        <x:f>ROUND(H2860*(1-I2860),2)</x:f>
        <x:v>5096000</x:v>
      </x:c>
      <x:c r="N2860" s="4" t="str">
        <x:v>Sales head</x:v>
      </x:c>
      <x:c r="O2860" s="4"/>
      <x:c r="P2860" s="9" t="n">
        <x:v>0</x:v>
      </x:c>
      <x:c r="Q2860" s="11" t="n">
        <x:v>1</x:v>
      </x:c>
      <x:c r="R2860" s="8" t="n">
        <x:v>45506</x:v>
      </x:c>
      <x:c r="S2860" s="4" t="str">
        <x:v>Lost / cancelled</x:v>
      </x:c>
      <x:c r="T2860" s="10" t="n">
        <x:v>0.226277</x:v>
      </x:c>
      <x:c r="U2860" s="4" t="str">
        <x:v>Excluded / unlabelled</x:v>
      </x:c>
    </x:row>
    <x:row r="2861" ht="34" customHeight="1">
      <x:c r="A2861" s="4" t="str">
        <x:v>RS-02860</x:v>
      </x:c>
      <x:c r="B2861" s="8" t="n">
        <x:v>45447</x:v>
      </x:c>
      <x:c r="C2861" s="4" t="str">
        <x:v>PRJ-020</x:v>
      </x:c>
      <x:c r="D2861" s="4" t="str">
        <x:v>Villa</x:v>
      </x:c>
      <x:c r="E2861" s="4" t="str">
        <x:v>Booked</x:v>
      </x:c>
      <x:c r="F2861" s="4" t="str">
        <x:v>CUS-02860</x:v>
      </x:c>
      <x:c r="G2861" s="4" t="str">
        <x:v>UNIT-02860</x:v>
      </x:c>
      <x:c r="H2861" s="9" t="n">
        <x:v>24500000</x:v>
      </x:c>
      <x:c r="I2861" s="10" t="n">
        <x:v>0.05</x:v>
      </x:c>
      <x:c r="J2861" s="11" t="n">
        <x:v>12</x:v>
      </x:c>
      <x:c r="K2861" s="11" t="n">
        <x:v>7</x:v>
      </x:c>
      <x:c r="L2861" s="11" t="n">
        <x:v>1</x:v>
      </x:c>
      <x:c r="M2861" s="9" t="n">
        <x:f>ROUND(H2861*(1-I2861),2)</x:f>
        <x:v>23275000</x:v>
      </x:c>
      <x:c r="N2861" s="4" t="str">
        <x:v>Sales manager</x:v>
      </x:c>
      <x:c r="O2861" s="4" t="str">
        <x:v>BOOK-02860</x:v>
      </x:c>
      <x:c r="P2861" s="9" t="n">
        <x:v>2327500</x:v>
      </x:c>
      <x:c r="Q2861" s="11" t="n">
        <x:v>0</x:v>
      </x:c>
      <x:c r="R2861" s="8" t="n">
        <x:v>45507</x:v>
      </x:c>
      <x:c r="S2861" s="4" t="str">
        <x:v>Retained</x:v>
      </x:c>
      <x:c r="T2861" s="10" t="n">
        <x:v>0.351536</x:v>
      </x:c>
      <x:c r="U2861" s="4" t="str">
        <x:v>Excluded / unlabelled</x:v>
      </x:c>
    </x:row>
    <x:row r="2862" ht="34" customHeight="1">
      <x:c r="A2862" s="4" t="str">
        <x:v>RS-02861</x:v>
      </x:c>
      <x:c r="B2862" s="8" t="n">
        <x:v>45448</x:v>
      </x:c>
      <x:c r="C2862" s="4" t="str">
        <x:v>PRJ-001</x:v>
      </x:c>
      <x:c r="D2862" s="4" t="str">
        <x:v>Apartment</x:v>
      </x:c>
      <x:c r="E2862" s="4" t="str">
        <x:v>Agreement signed</x:v>
      </x:c>
      <x:c r="F2862" s="4" t="str">
        <x:v>CUS-02861</x:v>
      </x:c>
      <x:c r="G2862" s="4" t="str">
        <x:v>UNIT-02861</x:v>
      </x:c>
      <x:c r="H2862" s="9" t="n">
        <x:v>21600000</x:v>
      </x:c>
      <x:c r="I2862" s="10" t="n">
        <x:v>0.01</x:v>
      </x:c>
      <x:c r="J2862" s="11" t="n">
        <x:v>6</x:v>
      </x:c>
      <x:c r="K2862" s="11" t="n">
        <x:v>7</x:v>
      </x:c>
      <x:c r="L2862" s="11" t="n">
        <x:v>1</x:v>
      </x:c>
      <x:c r="M2862" s="9" t="n">
        <x:f>ROUND(H2862*(1-I2862),2)</x:f>
        <x:v>21384000</x:v>
      </x:c>
      <x:c r="N2862" s="4" t="str">
        <x:v>Sales manager</x:v>
      </x:c>
      <x:c r="O2862" s="4" t="str">
        <x:v>BOOK-02861</x:v>
      </x:c>
      <x:c r="P2862" s="9" t="n">
        <x:v>10692000</x:v>
      </x:c>
      <x:c r="Q2862" s="11" t="n">
        <x:v>0</x:v>
      </x:c>
      <x:c r="R2862" s="8" t="n">
        <x:v>45508</x:v>
      </x:c>
      <x:c r="S2862" s="4" t="str">
        <x:v>Retained</x:v>
      </x:c>
      <x:c r="T2862" s="10" t="n">
        <x:v>0.145299</x:v>
      </x:c>
      <x:c r="U2862" s="4" t="str">
        <x:v>Excluded / unlabelled</x:v>
      </x:c>
    </x:row>
    <x:row r="2863" ht="34" customHeight="1">
      <x:c r="A2863" s="4" t="str">
        <x:v>RS-02862</x:v>
      </x:c>
      <x:c r="B2863" s="8" t="n">
        <x:v>45449</x:v>
      </x:c>
      <x:c r="C2863" s="4" t="str">
        <x:v>PRJ-002</x:v>
      </x:c>
      <x:c r="D2863" s="4" t="str">
        <x:v>Apartment</x:v>
      </x:c>
      <x:c r="E2863" s="4" t="str">
        <x:v>Cancelled</x:v>
      </x:c>
      <x:c r="F2863" s="4" t="str">
        <x:v>CUS-02862</x:v>
      </x:c>
      <x:c r="G2863" s="4" t="str">
        <x:v>UNIT-02862</x:v>
      </x:c>
      <x:c r="H2863" s="9" t="n">
        <x:v>15800000</x:v>
      </x:c>
      <x:c r="I2863" s="10" t="n">
        <x:v>0.1</x:v>
      </x:c>
      <x:c r="J2863" s="11" t="n">
        <x:v>0</x:v>
      </x:c>
      <x:c r="K2863" s="11" t="n">
        <x:v>1</x:v>
      </x:c>
      <x:c r="L2863" s="11" t="n">
        <x:v>0</x:v>
      </x:c>
      <x:c r="M2863" s="9" t="n">
        <x:f>ROUND(H2863*(1-I2863),2)</x:f>
        <x:v>14220000</x:v>
      </x:c>
      <x:c r="N2863" s="4" t="str">
        <x:v>Sales head</x:v>
      </x:c>
      <x:c r="O2863" s="4"/>
      <x:c r="P2863" s="9" t="n">
        <x:v>0</x:v>
      </x:c>
      <x:c r="Q2863" s="11" t="n">
        <x:v>1</x:v>
      </x:c>
      <x:c r="R2863" s="8" t="n">
        <x:v>45509</x:v>
      </x:c>
      <x:c r="S2863" s="4" t="str">
        <x:v>Lost / cancelled</x:v>
      </x:c>
      <x:c r="T2863" s="10" t="n">
        <x:v>0.145833</x:v>
      </x:c>
      <x:c r="U2863" s="4" t="str">
        <x:v>Excluded / unlabelled</x:v>
      </x:c>
    </x:row>
    <x:row r="2864" ht="34" customHeight="1">
      <x:c r="A2864" s="4" t="str">
        <x:v>RS-02863</x:v>
      </x:c>
      <x:c r="B2864" s="8" t="n">
        <x:v>45450</x:v>
      </x:c>
      <x:c r="C2864" s="4" t="str">
        <x:v>PRJ-003</x:v>
      </x:c>
      <x:c r="D2864" s="4" t="str">
        <x:v>Villa</x:v>
      </x:c>
      <x:c r="E2864" s="4" t="str">
        <x:v>Cancelled</x:v>
      </x:c>
      <x:c r="F2864" s="4" t="str">
        <x:v>CUS-02863</x:v>
      </x:c>
      <x:c r="G2864" s="4" t="str">
        <x:v>UNIT-02863</x:v>
      </x:c>
      <x:c r="H2864" s="9" t="n">
        <x:v>19500000</x:v>
      </x:c>
      <x:c r="I2864" s="10" t="n">
        <x:v>0.06</x:v>
      </x:c>
      <x:c r="J2864" s="11" t="n">
        <x:v>4</x:v>
      </x:c>
      <x:c r="K2864" s="11" t="n">
        <x:v>8</x:v>
      </x:c>
      <x:c r="L2864" s="11" t="n">
        <x:v>1</x:v>
      </x:c>
      <x:c r="M2864" s="9" t="n">
        <x:f>ROUND(H2864*(1-I2864),2)</x:f>
        <x:v>18330000</x:v>
      </x:c>
      <x:c r="N2864" s="4" t="str">
        <x:v>Sales manager</x:v>
      </x:c>
      <x:c r="O2864" s="4"/>
      <x:c r="P2864" s="9" t="n">
        <x:v>0</x:v>
      </x:c>
      <x:c r="Q2864" s="11" t="n">
        <x:v>1</x:v>
      </x:c>
      <x:c r="R2864" s="8" t="n">
        <x:v>45510</x:v>
      </x:c>
      <x:c r="S2864" s="4" t="str">
        <x:v>Lost / cancelled</x:v>
      </x:c>
      <x:c r="T2864" s="10" t="n">
        <x:v>0.291946</x:v>
      </x:c>
      <x:c r="U2864" s="4" t="str">
        <x:v>Excluded / unlabelled</x:v>
      </x:c>
    </x:row>
    <x:row r="2865" ht="34" customHeight="1">
      <x:c r="A2865" s="4" t="str">
        <x:v>RS-02864</x:v>
      </x:c>
      <x:c r="B2865" s="8" t="n">
        <x:v>45451</x:v>
      </x:c>
      <x:c r="C2865" s="4" t="str">
        <x:v>PRJ-004</x:v>
      </x:c>
      <x:c r="D2865" s="4" t="str">
        <x:v>Retail</x:v>
      </x:c>
      <x:c r="E2865" s="4" t="str">
        <x:v>Booked</x:v>
      </x:c>
      <x:c r="F2865" s="4" t="str">
        <x:v>CUS-02864</x:v>
      </x:c>
      <x:c r="G2865" s="4" t="str">
        <x:v>UNIT-02864</x:v>
      </x:c>
      <x:c r="H2865" s="9" t="n">
        <x:v>9100000</x:v>
      </x:c>
      <x:c r="I2865" s="10" t="n">
        <x:v>0.03</x:v>
      </x:c>
      <x:c r="J2865" s="11" t="n">
        <x:v>5</x:v>
      </x:c>
      <x:c r="K2865" s="11" t="n">
        <x:v>0</x:v>
      </x:c>
      <x:c r="L2865" s="11" t="n">
        <x:v>0</x:v>
      </x:c>
      <x:c r="M2865" s="9" t="n">
        <x:f>ROUND(H2865*(1-I2865),2)</x:f>
        <x:v>8827000</x:v>
      </x:c>
      <x:c r="N2865" s="4" t="str">
        <x:v>Sales manager</x:v>
      </x:c>
      <x:c r="O2865" s="4" t="str">
        <x:v>BOOK-02864</x:v>
      </x:c>
      <x:c r="P2865" s="9" t="n">
        <x:v>2206750</x:v>
      </x:c>
      <x:c r="Q2865" s="11" t="n">
        <x:v>0</x:v>
      </x:c>
      <x:c r="R2865" s="8" t="n">
        <x:v>45511</x:v>
      </x:c>
      <x:c r="S2865" s="4" t="str">
        <x:v>Retained</x:v>
      </x:c>
      <x:c r="T2865" s="10" t="n">
        <x:v>0.298969</x:v>
      </x:c>
      <x:c r="U2865" s="4" t="str">
        <x:v>Excluded / unlabelled</x:v>
      </x:c>
    </x:row>
    <x:row r="2866" ht="34" customHeight="1">
      <x:c r="A2866" s="4" t="str">
        <x:v>RS-02865</x:v>
      </x:c>
      <x:c r="B2866" s="8" t="n">
        <x:v>45452</x:v>
      </x:c>
      <x:c r="C2866" s="4" t="str">
        <x:v>PRJ-005</x:v>
      </x:c>
      <x:c r="D2866" s="4" t="str">
        <x:v>Apartment</x:v>
      </x:c>
      <x:c r="E2866" s="4" t="str">
        <x:v>Handed over</x:v>
      </x:c>
      <x:c r="F2866" s="4" t="str">
        <x:v>CUS-02865</x:v>
      </x:c>
      <x:c r="G2866" s="4" t="str">
        <x:v>UNIT-02865</x:v>
      </x:c>
      <x:c r="H2866" s="9" t="n">
        <x:v>18500000</x:v>
      </x:c>
      <x:c r="I2866" s="10" t="n">
        <x:v>0.03</x:v>
      </x:c>
      <x:c r="J2866" s="11" t="n">
        <x:v>6</x:v>
      </x:c>
      <x:c r="K2866" s="11" t="n">
        <x:v>9</x:v>
      </x:c>
      <x:c r="L2866" s="11" t="n">
        <x:v>0</x:v>
      </x:c>
      <x:c r="M2866" s="9" t="n">
        <x:f>ROUND(H2866*(1-I2866),2)</x:f>
        <x:v>17945000</x:v>
      </x:c>
      <x:c r="N2866" s="4" t="str">
        <x:v>Sales manager</x:v>
      </x:c>
      <x:c r="O2866" s="4" t="str">
        <x:v>BOOK-02865</x:v>
      </x:c>
      <x:c r="P2866" s="9" t="n">
        <x:v>8972500</x:v>
      </x:c>
      <x:c r="Q2866" s="11" t="n">
        <x:v>0</x:v>
      </x:c>
      <x:c r="R2866" s="8" t="n">
        <x:v>45512</x:v>
      </x:c>
      <x:c r="S2866" s="4" t="str">
        <x:v>Retained</x:v>
      </x:c>
      <x:c r="T2866" s="10" t="n">
        <x:v>0.145299</x:v>
      </x:c>
      <x:c r="U2866" s="4" t="str">
        <x:v>Excluded / unlabelled</x:v>
      </x:c>
    </x:row>
    <x:row r="2867" ht="34" customHeight="1">
      <x:c r="A2867" s="4" t="str">
        <x:v>RS-02866</x:v>
      </x:c>
      <x:c r="B2867" s="8" t="n">
        <x:v>45453</x:v>
      </x:c>
      <x:c r="C2867" s="4" t="str">
        <x:v>PRJ-006</x:v>
      </x:c>
      <x:c r="D2867" s="4" t="str">
        <x:v>Office</x:v>
      </x:c>
      <x:c r="E2867" s="4" t="str">
        <x:v>Handed over</x:v>
      </x:c>
      <x:c r="F2867" s="4" t="str">
        <x:v>CUS-02866</x:v>
      </x:c>
      <x:c r="G2867" s="4" t="str">
        <x:v>UNIT-02866</x:v>
      </x:c>
      <x:c r="H2867" s="9" t="n">
        <x:v>15500000</x:v>
      </x:c>
      <x:c r="I2867" s="10" t="n">
        <x:v>0.01</x:v>
      </x:c>
      <x:c r="J2867" s="11" t="n">
        <x:v>5</x:v>
      </x:c>
      <x:c r="K2867" s="11" t="n">
        <x:v>6</x:v>
      </x:c>
      <x:c r="L2867" s="11" t="n">
        <x:v>1</x:v>
      </x:c>
      <x:c r="M2867" s="9" t="n">
        <x:f>ROUND(H2867*(1-I2867),2)</x:f>
        <x:v>15345000</x:v>
      </x:c>
      <x:c r="N2867" s="4" t="str">
        <x:v>Sales manager</x:v>
      </x:c>
      <x:c r="O2867" s="4" t="str">
        <x:v>BOOK-02866</x:v>
      </x:c>
      <x:c r="P2867" s="9" t="n">
        <x:v>7672500</x:v>
      </x:c>
      <x:c r="Q2867" s="11" t="n">
        <x:v>0</x:v>
      </x:c>
      <x:c r="R2867" s="8" t="n">
        <x:v>45513</x:v>
      </x:c>
      <x:c r="S2867" s="4" t="str">
        <x:v>Retained</x:v>
      </x:c>
      <x:c r="T2867" s="10" t="n">
        <x:v>0.145299</x:v>
      </x:c>
      <x:c r="U2867" s="4" t="str">
        <x:v>Excluded / unlabelled</x:v>
      </x:c>
    </x:row>
    <x:row r="2868" ht="34" customHeight="1">
      <x:c r="A2868" s="4" t="str">
        <x:v>RS-02867</x:v>
      </x:c>
      <x:c r="B2868" s="8" t="n">
        <x:v>45454</x:v>
      </x:c>
      <x:c r="C2868" s="4" t="str">
        <x:v>PRJ-007</x:v>
      </x:c>
      <x:c r="D2868" s="4" t="str">
        <x:v>Office</x:v>
      </x:c>
      <x:c r="E2868" s="4" t="str">
        <x:v>Handed over</x:v>
      </x:c>
      <x:c r="F2868" s="4" t="str">
        <x:v>CUS-02867</x:v>
      </x:c>
      <x:c r="G2868" s="4" t="str">
        <x:v>UNIT-02867</x:v>
      </x:c>
      <x:c r="H2868" s="9" t="n">
        <x:v>13000000</x:v>
      </x:c>
      <x:c r="I2868" s="10" t="n">
        <x:v>0.08</x:v>
      </x:c>
      <x:c r="J2868" s="11" t="n">
        <x:v>11</x:v>
      </x:c>
      <x:c r="K2868" s="11" t="n">
        <x:v>5</x:v>
      </x:c>
      <x:c r="L2868" s="11" t="n">
        <x:v>1</x:v>
      </x:c>
      <x:c r="M2868" s="9" t="n">
        <x:f>ROUND(H2868*(1-I2868),2)</x:f>
        <x:v>11960000</x:v>
      </x:c>
      <x:c r="N2868" s="4" t="str">
        <x:v>Sales head</x:v>
      </x:c>
      <x:c r="O2868" s="4" t="str">
        <x:v>BOOK-02867</x:v>
      </x:c>
      <x:c r="P2868" s="9" t="n">
        <x:v>2990000</x:v>
      </x:c>
      <x:c r="Q2868" s="11" t="n">
        <x:v>0</x:v>
      </x:c>
      <x:c r="R2868" s="8" t="n">
        <x:v>45514</x:v>
      </x:c>
      <x:c r="S2868" s="4" t="str">
        <x:v>Retained</x:v>
      </x:c>
      <x:c r="T2868" s="10" t="n">
        <x:v>0.351536</x:v>
      </x:c>
      <x:c r="U2868" s="4" t="str">
        <x:v>Excluded / unlabelled</x:v>
      </x:c>
    </x:row>
    <x:row r="2869" ht="34" customHeight="1">
      <x:c r="A2869" s="4" t="str">
        <x:v>RS-02868</x:v>
      </x:c>
      <x:c r="B2869" s="8" t="n">
        <x:v>45455</x:v>
      </x:c>
      <x:c r="C2869" s="4" t="str">
        <x:v>PRJ-008</x:v>
      </x:c>
      <x:c r="D2869" s="4" t="str">
        <x:v>Apartment</x:v>
      </x:c>
      <x:c r="E2869" s="4" t="str">
        <x:v>Agreement signed</x:v>
      </x:c>
      <x:c r="F2869" s="4" t="str">
        <x:v>CUS-02868</x:v>
      </x:c>
      <x:c r="G2869" s="4" t="str">
        <x:v>UNIT-02868</x:v>
      </x:c>
      <x:c r="H2869" s="9" t="n">
        <x:v>7800000</x:v>
      </x:c>
      <x:c r="I2869" s="10" t="n">
        <x:v>0.09</x:v>
      </x:c>
      <x:c r="J2869" s="11" t="n">
        <x:v>2</x:v>
      </x:c>
      <x:c r="K2869" s="11" t="n">
        <x:v>9</x:v>
      </x:c>
      <x:c r="L2869" s="11" t="n">
        <x:v>0</x:v>
      </x:c>
      <x:c r="M2869" s="9" t="n">
        <x:f>ROUND(H2869*(1-I2869),2)</x:f>
        <x:v>7098000</x:v>
      </x:c>
      <x:c r="N2869" s="4" t="str">
        <x:v>Sales head</x:v>
      </x:c>
      <x:c r="O2869" s="4" t="str">
        <x:v>BOOK-02868</x:v>
      </x:c>
      <x:c r="P2869" s="9" t="n">
        <x:v>7098000</x:v>
      </x:c>
      <x:c r="Q2869" s="11" t="n">
        <x:v>0</x:v>
      </x:c>
      <x:c r="R2869" s="8" t="n">
        <x:v>45515</x:v>
      </x:c>
      <x:c r="S2869" s="4" t="str">
        <x:v>Retained</x:v>
      </x:c>
      <x:c r="T2869" s="10" t="n">
        <x:v>0.145833</x:v>
      </x:c>
      <x:c r="U2869" s="4" t="str">
        <x:v>Excluded / unlabelled</x:v>
      </x:c>
    </x:row>
    <x:row r="2870" ht="34" customHeight="1">
      <x:c r="A2870" s="4" t="str">
        <x:v>RS-02869</x:v>
      </x:c>
      <x:c r="B2870" s="8" t="n">
        <x:v>45456</x:v>
      </x:c>
      <x:c r="C2870" s="4" t="str">
        <x:v>PRJ-009</x:v>
      </x:c>
      <x:c r="D2870" s="4" t="str">
        <x:v>Apartment</x:v>
      </x:c>
      <x:c r="E2870" s="4" t="str">
        <x:v>Handed over</x:v>
      </x:c>
      <x:c r="F2870" s="4" t="str">
        <x:v>CUS-02869</x:v>
      </x:c>
      <x:c r="G2870" s="4" t="str">
        <x:v>UNIT-02869</x:v>
      </x:c>
      <x:c r="H2870" s="9" t="n">
        <x:v>16000000</x:v>
      </x:c>
      <x:c r="I2870" s="10" t="n">
        <x:v>0.11</x:v>
      </x:c>
      <x:c r="J2870" s="11" t="n">
        <x:v>8</x:v>
      </x:c>
      <x:c r="K2870" s="11" t="n">
        <x:v>0</x:v>
      </x:c>
      <x:c r="L2870" s="11" t="n">
        <x:v>0</x:v>
      </x:c>
      <x:c r="M2870" s="9" t="n">
        <x:f>ROUND(H2870*(1-I2870),2)</x:f>
        <x:v>14240000</x:v>
      </x:c>
      <x:c r="N2870" s="4" t="str">
        <x:v>Sales head</x:v>
      </x:c>
      <x:c r="O2870" s="4" t="str">
        <x:v>BOOK-02869</x:v>
      </x:c>
      <x:c r="P2870" s="9" t="n">
        <x:v>14240000</x:v>
      </x:c>
      <x:c r="Q2870" s="11" t="n">
        <x:v>0</x:v>
      </x:c>
      <x:c r="R2870" s="8" t="n">
        <x:v>45516</x:v>
      </x:c>
      <x:c r="S2870" s="4" t="str">
        <x:v>Retained</x:v>
      </x:c>
      <x:c r="T2870" s="10" t="n">
        <x:v>0.310195</x:v>
      </x:c>
      <x:c r="U2870" s="4" t="str">
        <x:v>Excluded / unlabelled</x:v>
      </x:c>
    </x:row>
    <x:row r="2871" ht="34" customHeight="1">
      <x:c r="A2871" s="4" t="str">
        <x:v>RS-02870</x:v>
      </x:c>
      <x:c r="B2871" s="8" t="n">
        <x:v>45457</x:v>
      </x:c>
      <x:c r="C2871" s="4" t="str">
        <x:v>PRJ-010</x:v>
      </x:c>
      <x:c r="D2871" s="4" t="str">
        <x:v>Office</x:v>
      </x:c>
      <x:c r="E2871" s="4" t="str">
        <x:v>Cancelled</x:v>
      </x:c>
      <x:c r="F2871" s="4" t="str">
        <x:v>CUS-02870</x:v>
      </x:c>
      <x:c r="G2871" s="4" t="str">
        <x:v>UNIT-02870</x:v>
      </x:c>
      <x:c r="H2871" s="9" t="n">
        <x:v>11700000</x:v>
      </x:c>
      <x:c r="I2871" s="10" t="n">
        <x:v>0.06</x:v>
      </x:c>
      <x:c r="J2871" s="11" t="n">
        <x:v>0</x:v>
      </x:c>
      <x:c r="K2871" s="11" t="n">
        <x:v>5</x:v>
      </x:c>
      <x:c r="L2871" s="11" t="n">
        <x:v>1</x:v>
      </x:c>
      <x:c r="M2871" s="9" t="n">
        <x:f>ROUND(H2871*(1-I2871),2)</x:f>
        <x:v>10998000</x:v>
      </x:c>
      <x:c r="N2871" s="4" t="str">
        <x:v>Sales manager</x:v>
      </x:c>
      <x:c r="O2871" s="4"/>
      <x:c r="P2871" s="9" t="n">
        <x:v>0</x:v>
      </x:c>
      <x:c r="Q2871" s="11" t="n">
        <x:v>1</x:v>
      </x:c>
      <x:c r="R2871" s="8" t="n">
        <x:v>45517</x:v>
      </x:c>
      <x:c r="S2871" s="4" t="str">
        <x:v>Lost / cancelled</x:v>
      </x:c>
      <x:c r="T2871" s="10" t="n">
        <x:v>0.204152</x:v>
      </x:c>
      <x:c r="U2871" s="4" t="str">
        <x:v>Excluded / unlabelled</x:v>
      </x:c>
    </x:row>
    <x:row r="2872" ht="34" customHeight="1">
      <x:c r="A2872" s="4" t="str">
        <x:v>RS-02871</x:v>
      </x:c>
      <x:c r="B2872" s="8" t="n">
        <x:v>45458</x:v>
      </x:c>
      <x:c r="C2872" s="4" t="str">
        <x:v>PRJ-011</x:v>
      </x:c>
      <x:c r="D2872" s="4" t="str">
        <x:v>Office</x:v>
      </x:c>
      <x:c r="E2872" s="4" t="str">
        <x:v>Booked</x:v>
      </x:c>
      <x:c r="F2872" s="4" t="str">
        <x:v>CUS-02871</x:v>
      </x:c>
      <x:c r="G2872" s="4" t="str">
        <x:v>UNIT-02871</x:v>
      </x:c>
      <x:c r="H2872" s="9" t="n">
        <x:v>7600000</x:v>
      </x:c>
      <x:c r="I2872" s="10" t="n">
        <x:v>0.11</x:v>
      </x:c>
      <x:c r="J2872" s="11" t="n">
        <x:v>5</x:v>
      </x:c>
      <x:c r="K2872" s="11" t="n">
        <x:v>10</x:v>
      </x:c>
      <x:c r="L2872" s="11" t="n">
        <x:v>1</x:v>
      </x:c>
      <x:c r="M2872" s="9" t="n">
        <x:f>ROUND(H2872*(1-I2872),2)</x:f>
        <x:v>6764000</x:v>
      </x:c>
      <x:c r="N2872" s="4" t="str">
        <x:v>Sales head</x:v>
      </x:c>
      <x:c r="O2872" s="4" t="str">
        <x:v>BOOK-02871</x:v>
      </x:c>
      <x:c r="P2872" s="9" t="n">
        <x:v>3382000</x:v>
      </x:c>
      <x:c r="Q2872" s="11" t="n">
        <x:v>0</x:v>
      </x:c>
      <x:c r="R2872" s="8" t="n">
        <x:v>45518</x:v>
      </x:c>
      <x:c r="S2872" s="4" t="str">
        <x:v>Retained</x:v>
      </x:c>
      <x:c r="T2872" s="10" t="n">
        <x:v>0.291946</x:v>
      </x:c>
      <x:c r="U2872" s="4" t="str">
        <x:v>Excluded / unlabelled</x:v>
      </x:c>
    </x:row>
    <x:row r="2873" ht="34" customHeight="1">
      <x:c r="A2873" s="4" t="str">
        <x:v>RS-02872</x:v>
      </x:c>
      <x:c r="B2873" s="8" t="n">
        <x:v>45459</x:v>
      </x:c>
      <x:c r="C2873" s="4" t="str">
        <x:v>PRJ-012</x:v>
      </x:c>
      <x:c r="D2873" s="4" t="str">
        <x:v>Villa</x:v>
      </x:c>
      <x:c r="E2873" s="4" t="str">
        <x:v>Handed over</x:v>
      </x:c>
      <x:c r="F2873" s="4" t="str">
        <x:v>CUS-02872</x:v>
      </x:c>
      <x:c r="G2873" s="4" t="str">
        <x:v>UNIT-02872</x:v>
      </x:c>
      <x:c r="H2873" s="9" t="n">
        <x:v>19600000</x:v>
      </x:c>
      <x:c r="I2873" s="10" t="n">
        <x:v>0.04</x:v>
      </x:c>
      <x:c r="J2873" s="11" t="n">
        <x:v>1</x:v>
      </x:c>
      <x:c r="K2873" s="11" t="n">
        <x:v>7</x:v>
      </x:c>
      <x:c r="L2873" s="11" t="n">
        <x:v>1</x:v>
      </x:c>
      <x:c r="M2873" s="9" t="n">
        <x:f>ROUND(H2873*(1-I2873),2)</x:f>
        <x:v>18816000</x:v>
      </x:c>
      <x:c r="N2873" s="4" t="str">
        <x:v>Sales manager</x:v>
      </x:c>
      <x:c r="O2873" s="4" t="str">
        <x:v>BOOK-02872</x:v>
      </x:c>
      <x:c r="P2873" s="9" t="n">
        <x:v>9408000</x:v>
      </x:c>
      <x:c r="Q2873" s="11" t="n">
        <x:v>0</x:v>
      </x:c>
      <x:c r="R2873" s="8" t="n">
        <x:v>45519</x:v>
      </x:c>
      <x:c r="S2873" s="4" t="str">
        <x:v>Retained</x:v>
      </x:c>
      <x:c r="T2873" s="10" t="n">
        <x:v>0.204152</x:v>
      </x:c>
      <x:c r="U2873" s="4" t="str">
        <x:v>Excluded / unlabelled</x:v>
      </x:c>
    </x:row>
    <x:row r="2874" ht="34" customHeight="1">
      <x:c r="A2874" s="4" t="str">
        <x:v>RS-02873</x:v>
      </x:c>
      <x:c r="B2874" s="8" t="n">
        <x:v>45460</x:v>
      </x:c>
      <x:c r="C2874" s="4" t="str">
        <x:v>PRJ-013</x:v>
      </x:c>
      <x:c r="D2874" s="4" t="str">
        <x:v>Office</x:v>
      </x:c>
      <x:c r="E2874" s="4" t="str">
        <x:v>Booked</x:v>
      </x:c>
      <x:c r="F2874" s="4" t="str">
        <x:v>CUS-02873</x:v>
      </x:c>
      <x:c r="G2874" s="4" t="str">
        <x:v>UNIT-02873</x:v>
      </x:c>
      <x:c r="H2874" s="9" t="n">
        <x:v>19700000</x:v>
      </x:c>
      <x:c r="I2874" s="10" t="n">
        <x:v>0.08</x:v>
      </x:c>
      <x:c r="J2874" s="11" t="n">
        <x:v>12</x:v>
      </x:c>
      <x:c r="K2874" s="11" t="n">
        <x:v>5</x:v>
      </x:c>
      <x:c r="L2874" s="11" t="n">
        <x:v>1</x:v>
      </x:c>
      <x:c r="M2874" s="9" t="n">
        <x:f>ROUND(H2874*(1-I2874),2)</x:f>
        <x:v>18124000</x:v>
      </x:c>
      <x:c r="N2874" s="4" t="str">
        <x:v>Sales head</x:v>
      </x:c>
      <x:c r="O2874" s="4" t="str">
        <x:v>BOOK-02873</x:v>
      </x:c>
      <x:c r="P2874" s="9" t="n">
        <x:v>4531000</x:v>
      </x:c>
      <x:c r="Q2874" s="11" t="n">
        <x:v>0</x:v>
      </x:c>
      <x:c r="R2874" s="8" t="n">
        <x:v>45520</x:v>
      </x:c>
      <x:c r="S2874" s="4" t="str">
        <x:v>Retained</x:v>
      </x:c>
      <x:c r="T2874" s="10" t="n">
        <x:v>0.351536</x:v>
      </x:c>
      <x:c r="U2874" s="4" t="str">
        <x:v>Excluded / unlabelled</x:v>
      </x:c>
    </x:row>
    <x:row r="2875" ht="34" customHeight="1">
      <x:c r="A2875" s="4" t="str">
        <x:v>RS-02874</x:v>
      </x:c>
      <x:c r="B2875" s="8" t="n">
        <x:v>45461</x:v>
      </x:c>
      <x:c r="C2875" s="4" t="str">
        <x:v>PRJ-014</x:v>
      </x:c>
      <x:c r="D2875" s="4" t="str">
        <x:v>Villa</x:v>
      </x:c>
      <x:c r="E2875" s="4" t="str">
        <x:v>Handed over</x:v>
      </x:c>
      <x:c r="F2875" s="4" t="str">
        <x:v>CUS-02874</x:v>
      </x:c>
      <x:c r="G2875" s="4" t="str">
        <x:v>UNIT-02874</x:v>
      </x:c>
      <x:c r="H2875" s="9" t="n">
        <x:v>16800000</x:v>
      </x:c>
      <x:c r="I2875" s="10" t="n">
        <x:v>0.01</x:v>
      </x:c>
      <x:c r="J2875" s="11" t="n">
        <x:v>6</x:v>
      </x:c>
      <x:c r="K2875" s="11" t="n">
        <x:v>4</x:v>
      </x:c>
      <x:c r="L2875" s="11" t="n">
        <x:v>1</x:v>
      </x:c>
      <x:c r="M2875" s="9" t="n">
        <x:f>ROUND(H2875*(1-I2875),2)</x:f>
        <x:v>16632000</x:v>
      </x:c>
      <x:c r="N2875" s="4" t="str">
        <x:v>Sales manager</x:v>
      </x:c>
      <x:c r="O2875" s="4" t="str">
        <x:v>BOOK-02874</x:v>
      </x:c>
      <x:c r="P2875" s="9" t="n">
        <x:v>4158000</x:v>
      </x:c>
      <x:c r="Q2875" s="11" t="n">
        <x:v>0</x:v>
      </x:c>
      <x:c r="R2875" s="8" t="n">
        <x:v>45521</x:v>
      </x:c>
      <x:c r="S2875" s="4" t="str">
        <x:v>Retained</x:v>
      </x:c>
      <x:c r="T2875" s="10" t="n">
        <x:v>0.298969</x:v>
      </x:c>
      <x:c r="U2875" s="4" t="str">
        <x:v>Excluded / unlabelled</x:v>
      </x:c>
    </x:row>
    <x:row r="2876" ht="34" customHeight="1">
      <x:c r="A2876" s="4" t="str">
        <x:v>RS-02875</x:v>
      </x:c>
      <x:c r="B2876" s="8" t="n">
        <x:v>45462</x:v>
      </x:c>
      <x:c r="C2876" s="4" t="str">
        <x:v>PRJ-015</x:v>
      </x:c>
      <x:c r="D2876" s="4" t="str">
        <x:v>Office</x:v>
      </x:c>
      <x:c r="E2876" s="4" t="str">
        <x:v>Enquiry</x:v>
      </x:c>
      <x:c r="F2876" s="4" t="str">
        <x:v>CUS-02875</x:v>
      </x:c>
      <x:c r="G2876" s="4" t="str">
        <x:v>UNIT-02875</x:v>
      </x:c>
      <x:c r="H2876" s="9" t="n">
        <x:v>21900000</x:v>
      </x:c>
      <x:c r="I2876" s="10" t="n">
        <x:v>0.11</x:v>
      </x:c>
      <x:c r="J2876" s="11" t="n">
        <x:v>0</x:v>
      </x:c>
      <x:c r="K2876" s="11" t="n">
        <x:v>5</x:v>
      </x:c>
      <x:c r="L2876" s="11" t="n">
        <x:v>1</x:v>
      </x:c>
      <x:c r="M2876" s="9" t="n">
        <x:f>ROUND(H2876*(1-I2876),2)</x:f>
        <x:v>19491000</x:v>
      </x:c>
      <x:c r="N2876" s="4" t="str">
        <x:v>Sales head</x:v>
      </x:c>
      <x:c r="O2876" s="4"/>
      <x:c r="P2876" s="9" t="n">
        <x:v>0</x:v>
      </x:c>
      <x:c r="Q2876" s="11" t="n">
        <x:v>0</x:v>
      </x:c>
      <x:c r="R2876" s="8" t="n">
        <x:v>45522</x:v>
      </x:c>
      <x:c r="S2876" s="4" t="str">
        <x:v>Retained</x:v>
      </x:c>
      <x:c r="T2876" s="10" t="n">
        <x:v>0.145833</x:v>
      </x:c>
      <x:c r="U2876" s="4" t="str">
        <x:v>Excluded / unlabelled</x:v>
      </x:c>
    </x:row>
    <x:row r="2877" ht="34" customHeight="1">
      <x:c r="A2877" s="4" t="str">
        <x:v>RS-02876</x:v>
      </x:c>
      <x:c r="B2877" s="8" t="n">
        <x:v>45463</x:v>
      </x:c>
      <x:c r="C2877" s="4" t="str">
        <x:v>PRJ-016</x:v>
      </x:c>
      <x:c r="D2877" s="4" t="str">
        <x:v>Apartment</x:v>
      </x:c>
      <x:c r="E2877" s="4" t="str">
        <x:v>Handed over</x:v>
      </x:c>
      <x:c r="F2877" s="4" t="str">
        <x:v>CUS-02876</x:v>
      </x:c>
      <x:c r="G2877" s="4" t="str">
        <x:v>UNIT-02876</x:v>
      </x:c>
      <x:c r="H2877" s="9" t="n">
        <x:v>6900000</x:v>
      </x:c>
      <x:c r="I2877" s="10" t="n">
        <x:v>0.08</x:v>
      </x:c>
      <x:c r="J2877" s="11" t="n">
        <x:v>2</x:v>
      </x:c>
      <x:c r="K2877" s="11" t="n">
        <x:v>2</x:v>
      </x:c>
      <x:c r="L2877" s="11" t="n">
        <x:v>0</x:v>
      </x:c>
      <x:c r="M2877" s="9" t="n">
        <x:f>ROUND(H2877*(1-I2877),2)</x:f>
        <x:v>6348000</x:v>
      </x:c>
      <x:c r="N2877" s="4" t="str">
        <x:v>Sales head</x:v>
      </x:c>
      <x:c r="O2877" s="4" t="str">
        <x:v>BOOK-02876</x:v>
      </x:c>
      <x:c r="P2877" s="9" t="n">
        <x:v>1587000</x:v>
      </x:c>
      <x:c r="Q2877" s="11" t="n">
        <x:v>0</x:v>
      </x:c>
      <x:c r="R2877" s="8" t="n">
        <x:v>45523</x:v>
      </x:c>
      <x:c r="S2877" s="4" t="str">
        <x:v>Retained</x:v>
      </x:c>
      <x:c r="T2877" s="10" t="n">
        <x:v>0.204152</x:v>
      </x:c>
      <x:c r="U2877" s="4" t="str">
        <x:v>Excluded / unlabelled</x:v>
      </x:c>
    </x:row>
    <x:row r="2878" ht="34" customHeight="1">
      <x:c r="A2878" s="4" t="str">
        <x:v>RS-02877</x:v>
      </x:c>
      <x:c r="B2878" s="8" t="n">
        <x:v>45464</x:v>
      </x:c>
      <x:c r="C2878" s="4" t="str">
        <x:v>PRJ-017</x:v>
      </x:c>
      <x:c r="D2878" s="4" t="str">
        <x:v>Office</x:v>
      </x:c>
      <x:c r="E2878" s="4" t="str">
        <x:v>Agreement signed</x:v>
      </x:c>
      <x:c r="F2878" s="4" t="str">
        <x:v>CUS-02877</x:v>
      </x:c>
      <x:c r="G2878" s="4" t="str">
        <x:v>UNIT-02877</x:v>
      </x:c>
      <x:c r="H2878" s="9" t="n">
        <x:v>13300000</x:v>
      </x:c>
      <x:c r="I2878" s="10" t="n">
        <x:v>0.1</x:v>
      </x:c>
      <x:c r="J2878" s="11" t="n">
        <x:v>5</x:v>
      </x:c>
      <x:c r="K2878" s="11" t="n">
        <x:v>0</x:v>
      </x:c>
      <x:c r="L2878" s="11" t="n">
        <x:v>0</x:v>
      </x:c>
      <x:c r="M2878" s="9" t="n">
        <x:f>ROUND(H2878*(1-I2878),2)</x:f>
        <x:v>11970000</x:v>
      </x:c>
      <x:c r="N2878" s="4" t="str">
        <x:v>Sales head</x:v>
      </x:c>
      <x:c r="O2878" s="4" t="str">
        <x:v>BOOK-02877</x:v>
      </x:c>
      <x:c r="P2878" s="9" t="n">
        <x:v>2992500</x:v>
      </x:c>
      <x:c r="Q2878" s="11" t="n">
        <x:v>0</x:v>
      </x:c>
      <x:c r="R2878" s="8" t="n">
        <x:v>45524</x:v>
      </x:c>
      <x:c r="S2878" s="4" t="str">
        <x:v>Retained</x:v>
      </x:c>
      <x:c r="T2878" s="10" t="n">
        <x:v>0.226277</x:v>
      </x:c>
      <x:c r="U2878" s="4" t="str">
        <x:v>Excluded / unlabelled</x:v>
      </x:c>
    </x:row>
    <x:row r="2879" ht="34" customHeight="1">
      <x:c r="A2879" s="4" t="str">
        <x:v>RS-02878</x:v>
      </x:c>
      <x:c r="B2879" s="8" t="n">
        <x:v>45465</x:v>
      </x:c>
      <x:c r="C2879" s="4" t="str">
        <x:v>PRJ-018</x:v>
      </x:c>
      <x:c r="D2879" s="4" t="str">
        <x:v>Villa</x:v>
      </x:c>
      <x:c r="E2879" s="4" t="str">
        <x:v>Agreement signed</x:v>
      </x:c>
      <x:c r="F2879" s="4" t="str">
        <x:v>CUS-02878</x:v>
      </x:c>
      <x:c r="G2879" s="4" t="str">
        <x:v>UNIT-02878</x:v>
      </x:c>
      <x:c r="H2879" s="9" t="n">
        <x:v>17400000</x:v>
      </x:c>
      <x:c r="I2879" s="10" t="n">
        <x:v>0.06</x:v>
      </x:c>
      <x:c r="J2879" s="11" t="n">
        <x:v>4</x:v>
      </x:c>
      <x:c r="K2879" s="11" t="n">
        <x:v>6</x:v>
      </x:c>
      <x:c r="L2879" s="11" t="n">
        <x:v>1</x:v>
      </x:c>
      <x:c r="M2879" s="9" t="n">
        <x:f>ROUND(H2879*(1-I2879),2)</x:f>
        <x:v>16356000</x:v>
      </x:c>
      <x:c r="N2879" s="4" t="str">
        <x:v>Sales manager</x:v>
      </x:c>
      <x:c r="O2879" s="4" t="str">
        <x:v>BOOK-02878</x:v>
      </x:c>
      <x:c r="P2879" s="9" t="n">
        <x:v>4089000</x:v>
      </x:c>
      <x:c r="Q2879" s="11" t="n">
        <x:v>0</x:v>
      </x:c>
      <x:c r="R2879" s="8" t="n">
        <x:v>45525</x:v>
      </x:c>
      <x:c r="S2879" s="4" t="str">
        <x:v>Retained</x:v>
      </x:c>
      <x:c r="T2879" s="10" t="n">
        <x:v>0.291946</x:v>
      </x:c>
      <x:c r="U2879" s="4" t="str">
        <x:v>Excluded / unlabelled</x:v>
      </x:c>
    </x:row>
    <x:row r="2880" ht="34" customHeight="1">
      <x:c r="A2880" s="4" t="str">
        <x:v>RS-02879</x:v>
      </x:c>
      <x:c r="B2880" s="8" t="n">
        <x:v>45466</x:v>
      </x:c>
      <x:c r="C2880" s="4" t="str">
        <x:v>PRJ-019</x:v>
      </x:c>
      <x:c r="D2880" s="4" t="str">
        <x:v>Apartment</x:v>
      </x:c>
      <x:c r="E2880" s="4" t="str">
        <x:v>Cancelled</x:v>
      </x:c>
      <x:c r="F2880" s="4" t="str">
        <x:v>CUS-02879</x:v>
      </x:c>
      <x:c r="G2880" s="4" t="str">
        <x:v>UNIT-02879</x:v>
      </x:c>
      <x:c r="H2880" s="9" t="n">
        <x:v>23500000</x:v>
      </x:c>
      <x:c r="I2880" s="10" t="n">
        <x:v>0.1</x:v>
      </x:c>
      <x:c r="J2880" s="11" t="n">
        <x:v>7</x:v>
      </x:c>
      <x:c r="K2880" s="11" t="n">
        <x:v>10</x:v>
      </x:c>
      <x:c r="L2880" s="11" t="n">
        <x:v>1</x:v>
      </x:c>
      <x:c r="M2880" s="9" t="n">
        <x:f>ROUND(H2880*(1-I2880),2)</x:f>
        <x:v>21150000</x:v>
      </x:c>
      <x:c r="N2880" s="4" t="str">
        <x:v>Sales head</x:v>
      </x:c>
      <x:c r="O2880" s="4"/>
      <x:c r="P2880" s="9" t="n">
        <x:v>0</x:v>
      </x:c>
      <x:c r="Q2880" s="11" t="n">
        <x:v>1</x:v>
      </x:c>
      <x:c r="R2880" s="8" t="n">
        <x:v>45526</x:v>
      </x:c>
      <x:c r="S2880" s="4" t="str">
        <x:v>Lost / cancelled</x:v>
      </x:c>
      <x:c r="T2880" s="10" t="n">
        <x:v>0.291946</x:v>
      </x:c>
      <x:c r="U2880" s="4" t="str">
        <x:v>Excluded / unlabelled</x:v>
      </x:c>
    </x:row>
    <x:row r="2881" ht="34" customHeight="1">
      <x:c r="A2881" s="4" t="str">
        <x:v>RS-02880</x:v>
      </x:c>
      <x:c r="B2881" s="8" t="n">
        <x:v>45467</x:v>
      </x:c>
      <x:c r="C2881" s="4" t="str">
        <x:v>PRJ-020</x:v>
      </x:c>
      <x:c r="D2881" s="4" t="str">
        <x:v>Retail</x:v>
      </x:c>
      <x:c r="E2881" s="4" t="str">
        <x:v>Agreement signed</x:v>
      </x:c>
      <x:c r="F2881" s="4" t="str">
        <x:v>CUS-02880</x:v>
      </x:c>
      <x:c r="G2881" s="4" t="str">
        <x:v>UNIT-02880</x:v>
      </x:c>
      <x:c r="H2881" s="9" t="n">
        <x:v>7600000</x:v>
      </x:c>
      <x:c r="I2881" s="10" t="n">
        <x:v>0.04</x:v>
      </x:c>
      <x:c r="J2881" s="11" t="n">
        <x:v>6</x:v>
      </x:c>
      <x:c r="K2881" s="11" t="n">
        <x:v>6</x:v>
      </x:c>
      <x:c r="L2881" s="11" t="n">
        <x:v>1</x:v>
      </x:c>
      <x:c r="M2881" s="9" t="n">
        <x:f>ROUND(H2881*(1-I2881),2)</x:f>
        <x:v>7296000</x:v>
      </x:c>
      <x:c r="N2881" s="4" t="str">
        <x:v>Sales manager</x:v>
      </x:c>
      <x:c r="O2881" s="4" t="str">
        <x:v>BOOK-02880</x:v>
      </x:c>
      <x:c r="P2881" s="9" t="n">
        <x:v>1824000</x:v>
      </x:c>
      <x:c r="Q2881" s="11" t="n">
        <x:v>0</x:v>
      </x:c>
      <x:c r="R2881" s="8" t="n">
        <x:v>45527</x:v>
      </x:c>
      <x:c r="S2881" s="4" t="str">
        <x:v>Retained</x:v>
      </x:c>
      <x:c r="T2881" s="10" t="n">
        <x:v>0.291946</x:v>
      </x:c>
      <x:c r="U2881" s="4" t="str">
        <x:v>Excluded / unlabelled</x:v>
      </x:c>
    </x:row>
    <x:row r="2882" ht="34" customHeight="1">
      <x:c r="A2882" s="4" t="str">
        <x:v>RS-02881</x:v>
      </x:c>
      <x:c r="B2882" s="8" t="n">
        <x:v>45468</x:v>
      </x:c>
      <x:c r="C2882" s="4" t="str">
        <x:v>PRJ-001</x:v>
      </x:c>
      <x:c r="D2882" s="4" t="str">
        <x:v>Retail</x:v>
      </x:c>
      <x:c r="E2882" s="4" t="str">
        <x:v>Agreement signed</x:v>
      </x:c>
      <x:c r="F2882" s="4" t="str">
        <x:v>CUS-02881</x:v>
      </x:c>
      <x:c r="G2882" s="4" t="str">
        <x:v>UNIT-02881</x:v>
      </x:c>
      <x:c r="H2882" s="9" t="n">
        <x:v>7100000</x:v>
      </x:c>
      <x:c r="I2882" s="10" t="n">
        <x:v>0.03</x:v>
      </x:c>
      <x:c r="J2882" s="11" t="n">
        <x:v>3</x:v>
      </x:c>
      <x:c r="K2882" s="11" t="n">
        <x:v>8</x:v>
      </x:c>
      <x:c r="L2882" s="11" t="n">
        <x:v>0</x:v>
      </x:c>
      <x:c r="M2882" s="9" t="n">
        <x:f>ROUND(H2882*(1-I2882),2)</x:f>
        <x:v>6887000</x:v>
      </x:c>
      <x:c r="N2882" s="4" t="str">
        <x:v>Sales manager</x:v>
      </x:c>
      <x:c r="O2882" s="4" t="str">
        <x:v>BOOK-02881</x:v>
      </x:c>
      <x:c r="P2882" s="9" t="n">
        <x:v>688700</x:v>
      </x:c>
      <x:c r="Q2882" s="11" t="n">
        <x:v>0</x:v>
      </x:c>
      <x:c r="R2882" s="8" t="n">
        <x:v>45528</x:v>
      </x:c>
      <x:c r="S2882" s="4" t="str">
        <x:v>Retained</x:v>
      </x:c>
      <x:c r="T2882" s="10" t="n">
        <x:v>0.171717</x:v>
      </x:c>
      <x:c r="U2882" s="4" t="str">
        <x:v>Excluded / unlabelled</x:v>
      </x:c>
    </x:row>
    <x:row r="2883" ht="34" customHeight="1">
      <x:c r="A2883" s="4" t="str">
        <x:v>RS-02882</x:v>
      </x:c>
      <x:c r="B2883" s="8" t="n">
        <x:v>45469</x:v>
      </x:c>
      <x:c r="C2883" s="4" t="str">
        <x:v>PRJ-002</x:v>
      </x:c>
      <x:c r="D2883" s="4" t="str">
        <x:v>Office</x:v>
      </x:c>
      <x:c r="E2883" s="4" t="str">
        <x:v>Agreement signed</x:v>
      </x:c>
      <x:c r="F2883" s="4" t="str">
        <x:v>CUS-02882</x:v>
      </x:c>
      <x:c r="G2883" s="4" t="str">
        <x:v>UNIT-02882</x:v>
      </x:c>
      <x:c r="H2883" s="9" t="n">
        <x:v>19300000</x:v>
      </x:c>
      <x:c r="I2883" s="10" t="n">
        <x:v>0.04</x:v>
      </x:c>
      <x:c r="J2883" s="11" t="n">
        <x:v>4</x:v>
      </x:c>
      <x:c r="K2883" s="11" t="n">
        <x:v>5</x:v>
      </x:c>
      <x:c r="L2883" s="11" t="n">
        <x:v>0</x:v>
      </x:c>
      <x:c r="M2883" s="9" t="n">
        <x:f>ROUND(H2883*(1-I2883),2)</x:f>
        <x:v>18528000</x:v>
      </x:c>
      <x:c r="N2883" s="4" t="str">
        <x:v>Sales manager</x:v>
      </x:c>
      <x:c r="O2883" s="4" t="str">
        <x:v>BOOK-02882</x:v>
      </x:c>
      <x:c r="P2883" s="9" t="n">
        <x:v>4632000</x:v>
      </x:c>
      <x:c r="Q2883" s="11" t="n">
        <x:v>0</x:v>
      </x:c>
      <x:c r="R2883" s="8" t="n">
        <x:v>45529</x:v>
      </x:c>
      <x:c r="S2883" s="4" t="str">
        <x:v>Retained</x:v>
      </x:c>
      <x:c r="T2883" s="10" t="n">
        <x:v>0.226277</x:v>
      </x:c>
      <x:c r="U2883" s="4" t="str">
        <x:v>Excluded / unlabelled</x:v>
      </x:c>
    </x:row>
    <x:row r="2884" ht="34" customHeight="1">
      <x:c r="A2884" s="4" t="str">
        <x:v>RS-02883</x:v>
      </x:c>
      <x:c r="B2884" s="8" t="n">
        <x:v>45470</x:v>
      </x:c>
      <x:c r="C2884" s="4" t="str">
        <x:v>PRJ-003</x:v>
      </x:c>
      <x:c r="D2884" s="4" t="str">
        <x:v>Office</x:v>
      </x:c>
      <x:c r="E2884" s="4" t="str">
        <x:v>Cancelled</x:v>
      </x:c>
      <x:c r="F2884" s="4" t="str">
        <x:v>CUS-02883</x:v>
      </x:c>
      <x:c r="G2884" s="4" t="str">
        <x:v>UNIT-02883</x:v>
      </x:c>
      <x:c r="H2884" s="9" t="n">
        <x:v>16300000</x:v>
      </x:c>
      <x:c r="I2884" s="10" t="n">
        <x:v>0.03</x:v>
      </x:c>
      <x:c r="J2884" s="11" t="n">
        <x:v>12</x:v>
      </x:c>
      <x:c r="K2884" s="11" t="n">
        <x:v>8</x:v>
      </x:c>
      <x:c r="L2884" s="11" t="n">
        <x:v>1</x:v>
      </x:c>
      <x:c r="M2884" s="9" t="n">
        <x:f>ROUND(H2884*(1-I2884),2)</x:f>
        <x:v>15811000</x:v>
      </x:c>
      <x:c r="N2884" s="4" t="str">
        <x:v>Sales manager</x:v>
      </x:c>
      <x:c r="O2884" s="4"/>
      <x:c r="P2884" s="9" t="n">
        <x:v>0</x:v>
      </x:c>
      <x:c r="Q2884" s="11" t="n">
        <x:v>1</x:v>
      </x:c>
      <x:c r="R2884" s="8" t="n">
        <x:v>45530</x:v>
      </x:c>
      <x:c r="S2884" s="4" t="str">
        <x:v>Lost / cancelled</x:v>
      </x:c>
      <x:c r="T2884" s="10" t="n">
        <x:v>0.351536</x:v>
      </x:c>
      <x:c r="U2884" s="4" t="str">
        <x:v>Excluded / unlabelled</x:v>
      </x:c>
    </x:row>
    <x:row r="2885" ht="34" customHeight="1">
      <x:c r="A2885" s="4" t="str">
        <x:v>RS-02884</x:v>
      </x:c>
      <x:c r="B2885" s="8" t="n">
        <x:v>45471</x:v>
      </x:c>
      <x:c r="C2885" s="4" t="str">
        <x:v>PRJ-004</x:v>
      </x:c>
      <x:c r="D2885" s="4" t="str">
        <x:v>Apartment</x:v>
      </x:c>
      <x:c r="E2885" s="4" t="str">
        <x:v>Agreement signed</x:v>
      </x:c>
      <x:c r="F2885" s="4" t="str">
        <x:v>CUS-02884</x:v>
      </x:c>
      <x:c r="G2885" s="4" t="str">
        <x:v>UNIT-02884</x:v>
      </x:c>
      <x:c r="H2885" s="9" t="n">
        <x:v>14600000</x:v>
      </x:c>
      <x:c r="I2885" s="10" t="n">
        <x:v>0.06</x:v>
      </x:c>
      <x:c r="J2885" s="11" t="n">
        <x:v>6</x:v>
      </x:c>
      <x:c r="K2885" s="11" t="n">
        <x:v>0</x:v>
      </x:c>
      <x:c r="L2885" s="11" t="n">
        <x:v>1</x:v>
      </x:c>
      <x:c r="M2885" s="9" t="n">
        <x:f>ROUND(H2885*(1-I2885),2)</x:f>
        <x:v>13724000</x:v>
      </x:c>
      <x:c r="N2885" s="4" t="str">
        <x:v>Sales manager</x:v>
      </x:c>
      <x:c r="O2885" s="4" t="str">
        <x:v>BOOK-02884</x:v>
      </x:c>
      <x:c r="P2885" s="9" t="n">
        <x:v>3431000</x:v>
      </x:c>
      <x:c r="Q2885" s="11" t="n">
        <x:v>0</x:v>
      </x:c>
      <x:c r="R2885" s="8" t="n">
        <x:v>45531</x:v>
      </x:c>
      <x:c r="S2885" s="4" t="str">
        <x:v>Retained</x:v>
      </x:c>
      <x:c r="T2885" s="10" t="n">
        <x:v>0.291946</x:v>
      </x:c>
      <x:c r="U2885" s="4" t="str">
        <x:v>Excluded / unlabelled</x:v>
      </x:c>
    </x:row>
    <x:row r="2886" ht="34" customHeight="1">
      <x:c r="A2886" s="4" t="str">
        <x:v>RS-02885</x:v>
      </x:c>
      <x:c r="B2886" s="8" t="n">
        <x:v>45444</x:v>
      </x:c>
      <x:c r="C2886" s="4" t="str">
        <x:v>PRJ-005</x:v>
      </x:c>
      <x:c r="D2886" s="4" t="str">
        <x:v>Retail</x:v>
      </x:c>
      <x:c r="E2886" s="4" t="str">
        <x:v>Reserved</x:v>
      </x:c>
      <x:c r="F2886" s="4" t="str">
        <x:v>CUS-02885</x:v>
      </x:c>
      <x:c r="G2886" s="4" t="str">
        <x:v>UNIT-02885</x:v>
      </x:c>
      <x:c r="H2886" s="9" t="n">
        <x:v>5600000</x:v>
      </x:c>
      <x:c r="I2886" s="10" t="n">
        <x:v>0.11</x:v>
      </x:c>
      <x:c r="J2886" s="11" t="n">
        <x:v>10</x:v>
      </x:c>
      <x:c r="K2886" s="11" t="n">
        <x:v>2</x:v>
      </x:c>
      <x:c r="L2886" s="11" t="n">
        <x:v>0</x:v>
      </x:c>
      <x:c r="M2886" s="9" t="n">
        <x:f>ROUND(H2886*(1-I2886),2)</x:f>
        <x:v>4984000</x:v>
      </x:c>
      <x:c r="N2886" s="4" t="str">
        <x:v>Sales head</x:v>
      </x:c>
      <x:c r="O2886" s="4"/>
      <x:c r="P2886" s="9" t="n">
        <x:v>0</x:v>
      </x:c>
      <x:c r="Q2886" s="11" t="n">
        <x:v>0</x:v>
      </x:c>
      <x:c r="R2886" s="8" t="n">
        <x:v>45504</x:v>
      </x:c>
      <x:c r="S2886" s="4" t="str">
        <x:v>Retained</x:v>
      </x:c>
      <x:c r="T2886" s="10" t="n">
        <x:v>0.310195</x:v>
      </x:c>
      <x:c r="U2886" s="4" t="str">
        <x:v>Excluded / unlabelled</x:v>
      </x:c>
    </x:row>
    <x:row r="2887" ht="34" customHeight="1">
      <x:c r="A2887" s="4" t="str">
        <x:v>RS-02886</x:v>
      </x:c>
      <x:c r="B2887" s="8" t="n">
        <x:v>45445</x:v>
      </x:c>
      <x:c r="C2887" s="4" t="str">
        <x:v>PRJ-006</x:v>
      </x:c>
      <x:c r="D2887" s="4" t="str">
        <x:v>Office</x:v>
      </x:c>
      <x:c r="E2887" s="4" t="str">
        <x:v>Booked</x:v>
      </x:c>
      <x:c r="F2887" s="4" t="str">
        <x:v>CUS-02886</x:v>
      </x:c>
      <x:c r="G2887" s="4" t="str">
        <x:v>UNIT-02886</x:v>
      </x:c>
      <x:c r="H2887" s="9" t="n">
        <x:v>25000000</x:v>
      </x:c>
      <x:c r="I2887" s="10" t="n">
        <x:v>0.06</x:v>
      </x:c>
      <x:c r="J2887" s="11" t="n">
        <x:v>10</x:v>
      </x:c>
      <x:c r="K2887" s="11" t="n">
        <x:v>6</x:v>
      </x:c>
      <x:c r="L2887" s="11" t="n">
        <x:v>0</x:v>
      </x:c>
      <x:c r="M2887" s="9" t="n">
        <x:f>ROUND(H2887*(1-I2887),2)</x:f>
        <x:v>23500000</x:v>
      </x:c>
      <x:c r="N2887" s="4" t="str">
        <x:v>Sales manager</x:v>
      </x:c>
      <x:c r="O2887" s="4" t="str">
        <x:v>BOOK-02886</x:v>
      </x:c>
      <x:c r="P2887" s="9" t="n">
        <x:v>5875000</x:v>
      </x:c>
      <x:c r="Q2887" s="11" t="n">
        <x:v>0</x:v>
      </x:c>
      <x:c r="R2887" s="8" t="n">
        <x:v>45505</x:v>
      </x:c>
      <x:c r="S2887" s="4" t="str">
        <x:v>Retained</x:v>
      </x:c>
      <x:c r="T2887" s="10" t="n">
        <x:v>0.310195</x:v>
      </x:c>
      <x:c r="U2887" s="4" t="str">
        <x:v>Excluded / unlabelled</x:v>
      </x:c>
    </x:row>
    <x:row r="2888" ht="34" customHeight="1">
      <x:c r="A2888" s="4" t="str">
        <x:v>RS-02887</x:v>
      </x:c>
      <x:c r="B2888" s="8" t="n">
        <x:v>45446</x:v>
      </x:c>
      <x:c r="C2888" s="4" t="str">
        <x:v>PRJ-007</x:v>
      </x:c>
      <x:c r="D2888" s="4" t="str">
        <x:v>Apartment</x:v>
      </x:c>
      <x:c r="E2888" s="4" t="str">
        <x:v>Booked</x:v>
      </x:c>
      <x:c r="F2888" s="4" t="str">
        <x:v>CUS-02887</x:v>
      </x:c>
      <x:c r="G2888" s="4" t="str">
        <x:v>UNIT-02887</x:v>
      </x:c>
      <x:c r="H2888" s="9" t="n">
        <x:v>16100000</x:v>
      </x:c>
      <x:c r="I2888" s="10" t="n">
        <x:v>0</x:v>
      </x:c>
      <x:c r="J2888" s="11" t="n">
        <x:v>0</x:v>
      </x:c>
      <x:c r="K2888" s="11" t="n">
        <x:v>0</x:v>
      </x:c>
      <x:c r="L2888" s="11" t="n">
        <x:v>1</x:v>
      </x:c>
      <x:c r="M2888" s="9" t="n">
        <x:f>ROUND(H2888*(1-I2888),2)</x:f>
        <x:v>16100000</x:v>
      </x:c>
      <x:c r="N2888" s="4" t="str">
        <x:v>Sales manager</x:v>
      </x:c>
      <x:c r="O2888" s="4" t="str">
        <x:v>BOOK-02887</x:v>
      </x:c>
      <x:c r="P2888" s="9" t="n">
        <x:v>8050000</x:v>
      </x:c>
      <x:c r="Q2888" s="11" t="n">
        <x:v>0</x:v>
      </x:c>
      <x:c r="R2888" s="8" t="n">
        <x:v>45506</x:v>
      </x:c>
      <x:c r="S2888" s="4" t="str">
        <x:v>Retained</x:v>
      </x:c>
      <x:c r="T2888" s="10" t="n">
        <x:v>0.276923</x:v>
      </x:c>
      <x:c r="U2888" s="4" t="str">
        <x:v>Excluded / unlabelled</x:v>
      </x:c>
    </x:row>
    <x:row r="2889" ht="34" customHeight="1">
      <x:c r="A2889" s="4" t="str">
        <x:v>RS-02888</x:v>
      </x:c>
      <x:c r="B2889" s="8" t="n">
        <x:v>45447</x:v>
      </x:c>
      <x:c r="C2889" s="4" t="str">
        <x:v>PRJ-008</x:v>
      </x:c>
      <x:c r="D2889" s="4" t="str">
        <x:v>Office</x:v>
      </x:c>
      <x:c r="E2889" s="4" t="str">
        <x:v>Enquiry</x:v>
      </x:c>
      <x:c r="F2889" s="4" t="str">
        <x:v>CUS-02888</x:v>
      </x:c>
      <x:c r="G2889" s="4" t="str">
        <x:v>UNIT-02888</x:v>
      </x:c>
      <x:c r="H2889" s="9" t="n">
        <x:v>8800000</x:v>
      </x:c>
      <x:c r="I2889" s="10" t="n">
        <x:v>0.07</x:v>
      </x:c>
      <x:c r="J2889" s="11" t="n">
        <x:v>9</x:v>
      </x:c>
      <x:c r="K2889" s="11" t="n">
        <x:v>7</x:v>
      </x:c>
      <x:c r="L2889" s="11" t="n">
        <x:v>1</x:v>
      </x:c>
      <x:c r="M2889" s="9" t="n">
        <x:f>ROUND(H2889*(1-I2889),2)</x:f>
        <x:v>8184000</x:v>
      </x:c>
      <x:c r="N2889" s="4" t="str">
        <x:v>Sales manager</x:v>
      </x:c>
      <x:c r="O2889" s="4"/>
      <x:c r="P2889" s="9" t="n">
        <x:v>0</x:v>
      </x:c>
      <x:c r="Q2889" s="11" t="n">
        <x:v>0</x:v>
      </x:c>
      <x:c r="R2889" s="8" t="n">
        <x:v>45507</x:v>
      </x:c>
      <x:c r="S2889" s="4" t="str">
        <x:v>Retained</x:v>
      </x:c>
      <x:c r="T2889" s="10" t="n">
        <x:v>0.310195</x:v>
      </x:c>
      <x:c r="U2889" s="4" t="str">
        <x:v>Excluded / unlabelled</x:v>
      </x:c>
    </x:row>
    <x:row r="2890" ht="34" customHeight="1">
      <x:c r="A2890" s="4" t="str">
        <x:v>RS-02889</x:v>
      </x:c>
      <x:c r="B2890" s="8" t="n">
        <x:v>45448</x:v>
      </x:c>
      <x:c r="C2890" s="4" t="str">
        <x:v>PRJ-009</x:v>
      </x:c>
      <x:c r="D2890" s="4" t="str">
        <x:v>Villa</x:v>
      </x:c>
      <x:c r="E2890" s="4" t="str">
        <x:v>Cancelled</x:v>
      </x:c>
      <x:c r="F2890" s="4" t="str">
        <x:v>CUS-02889</x:v>
      </x:c>
      <x:c r="G2890" s="4" t="str">
        <x:v>UNIT-02889</x:v>
      </x:c>
      <x:c r="H2890" s="9" t="n">
        <x:v>22200000</x:v>
      </x:c>
      <x:c r="I2890" s="10" t="n">
        <x:v>0.01</x:v>
      </x:c>
      <x:c r="J2890" s="11" t="n">
        <x:v>4</x:v>
      </x:c>
      <x:c r="K2890" s="11" t="n">
        <x:v>9</x:v>
      </x:c>
      <x:c r="L2890" s="11" t="n">
        <x:v>1</x:v>
      </x:c>
      <x:c r="M2890" s="9" t="n">
        <x:f>ROUND(H2890*(1-I2890),2)</x:f>
        <x:v>21978000</x:v>
      </x:c>
      <x:c r="N2890" s="4" t="str">
        <x:v>Sales manager</x:v>
      </x:c>
      <x:c r="O2890" s="4"/>
      <x:c r="P2890" s="9" t="n">
        <x:v>0</x:v>
      </x:c>
      <x:c r="Q2890" s="11" t="n">
        <x:v>1</x:v>
      </x:c>
      <x:c r="R2890" s="8" t="n">
        <x:v>45508</x:v>
      </x:c>
      <x:c r="S2890" s="4" t="str">
        <x:v>Lost / cancelled</x:v>
      </x:c>
      <x:c r="T2890" s="10" t="n">
        <x:v>0.145299</x:v>
      </x:c>
      <x:c r="U2890" s="4" t="str">
        <x:v>Excluded / unlabelled</x:v>
      </x:c>
    </x:row>
    <x:row r="2891" ht="34" customHeight="1">
      <x:c r="A2891" s="4" t="str">
        <x:v>RS-02890</x:v>
      </x:c>
      <x:c r="B2891" s="8" t="n">
        <x:v>45449</x:v>
      </x:c>
      <x:c r="C2891" s="4" t="str">
        <x:v>PRJ-010</x:v>
      </x:c>
      <x:c r="D2891" s="4" t="str">
        <x:v>Retail</x:v>
      </x:c>
      <x:c r="E2891" s="4" t="str">
        <x:v>Reserved</x:v>
      </x:c>
      <x:c r="F2891" s="4" t="str">
        <x:v>CUS-02890</x:v>
      </x:c>
      <x:c r="G2891" s="4" t="str">
        <x:v>UNIT-02890</x:v>
      </x:c>
      <x:c r="H2891" s="9" t="n">
        <x:v>14400000</x:v>
      </x:c>
      <x:c r="I2891" s="10" t="n">
        <x:v>0.07</x:v>
      </x:c>
      <x:c r="J2891" s="11" t="n">
        <x:v>10</x:v>
      </x:c>
      <x:c r="K2891" s="11" t="n">
        <x:v>10</x:v>
      </x:c>
      <x:c r="L2891" s="11" t="n">
        <x:v>1</x:v>
      </x:c>
      <x:c r="M2891" s="9" t="n">
        <x:f>ROUND(H2891*(1-I2891),2)</x:f>
        <x:v>13392000</x:v>
      </x:c>
      <x:c r="N2891" s="4" t="str">
        <x:v>Sales manager</x:v>
      </x:c>
      <x:c r="O2891" s="4"/>
      <x:c r="P2891" s="9" t="n">
        <x:v>0</x:v>
      </x:c>
      <x:c r="Q2891" s="11" t="n">
        <x:v>0</x:v>
      </x:c>
      <x:c r="R2891" s="8" t="n">
        <x:v>45509</x:v>
      </x:c>
      <x:c r="S2891" s="4" t="str">
        <x:v>Retained</x:v>
      </x:c>
      <x:c r="T2891" s="10" t="n">
        <x:v>0.310195</x:v>
      </x:c>
      <x:c r="U2891" s="4" t="str">
        <x:v>Excluded / unlabelled</x:v>
      </x:c>
    </x:row>
    <x:row r="2892" ht="34" customHeight="1">
      <x:c r="A2892" s="4" t="str">
        <x:v>RS-02891</x:v>
      </x:c>
      <x:c r="B2892" s="8" t="n">
        <x:v>45450</x:v>
      </x:c>
      <x:c r="C2892" s="4" t="str">
        <x:v>PRJ-011</x:v>
      </x:c>
      <x:c r="D2892" s="4" t="str">
        <x:v>Office</x:v>
      </x:c>
      <x:c r="E2892" s="4" t="str">
        <x:v>Cancelled</x:v>
      </x:c>
      <x:c r="F2892" s="4" t="str">
        <x:v>CUS-02891</x:v>
      </x:c>
      <x:c r="G2892" s="4" t="str">
        <x:v>UNIT-02891</x:v>
      </x:c>
      <x:c r="H2892" s="9" t="n">
        <x:v>8900000</x:v>
      </x:c>
      <x:c r="I2892" s="10" t="n">
        <x:v>0.03</x:v>
      </x:c>
      <x:c r="J2892" s="11" t="n">
        <x:v>7</x:v>
      </x:c>
      <x:c r="K2892" s="11" t="n">
        <x:v>10</x:v>
      </x:c>
      <x:c r="L2892" s="11" t="n">
        <x:v>0</x:v>
      </x:c>
      <x:c r="M2892" s="9" t="n">
        <x:f>ROUND(H2892*(1-I2892),2)</x:f>
        <x:v>8633000</x:v>
      </x:c>
      <x:c r="N2892" s="4" t="str">
        <x:v>Sales manager</x:v>
      </x:c>
      <x:c r="O2892" s="4"/>
      <x:c r="P2892" s="9" t="n">
        <x:v>0</x:v>
      </x:c>
      <x:c r="Q2892" s="11" t="n">
        <x:v>1</x:v>
      </x:c>
      <x:c r="R2892" s="8" t="n">
        <x:v>45510</x:v>
      </x:c>
      <x:c r="S2892" s="4" t="str">
        <x:v>Lost / cancelled</x:v>
      </x:c>
      <x:c r="T2892" s="10" t="n">
        <x:v>0.145299</x:v>
      </x:c>
      <x:c r="U2892" s="4" t="str">
        <x:v>Excluded / unlabelled</x:v>
      </x:c>
    </x:row>
    <x:row r="2893" ht="34" customHeight="1">
      <x:c r="A2893" s="4" t="str">
        <x:v>RS-02892</x:v>
      </x:c>
      <x:c r="B2893" s="8" t="n">
        <x:v>45451</x:v>
      </x:c>
      <x:c r="C2893" s="4" t="str">
        <x:v>PRJ-012</x:v>
      </x:c>
      <x:c r="D2893" s="4" t="str">
        <x:v>Villa</x:v>
      </x:c>
      <x:c r="E2893" s="4" t="str">
        <x:v>Cancelled</x:v>
      </x:c>
      <x:c r="F2893" s="4" t="str">
        <x:v>CUS-02892</x:v>
      </x:c>
      <x:c r="G2893" s="4" t="str">
        <x:v>UNIT-02892</x:v>
      </x:c>
      <x:c r="H2893" s="9" t="n">
        <x:v>4900000</x:v>
      </x:c>
      <x:c r="I2893" s="10" t="n">
        <x:v>0.11</x:v>
      </x:c>
      <x:c r="J2893" s="11" t="n">
        <x:v>6</x:v>
      </x:c>
      <x:c r="K2893" s="11" t="n">
        <x:v>10</x:v>
      </x:c>
      <x:c r="L2893" s="11" t="n">
        <x:v>1</x:v>
      </x:c>
      <x:c r="M2893" s="9" t="n">
        <x:f>ROUND(H2893*(1-I2893),2)</x:f>
        <x:v>4361000</x:v>
      </x:c>
      <x:c r="N2893" s="4" t="str">
        <x:v>Sales head</x:v>
      </x:c>
      <x:c r="O2893" s="4"/>
      <x:c r="P2893" s="9" t="n">
        <x:v>0</x:v>
      </x:c>
      <x:c r="Q2893" s="11" t="n">
        <x:v>1</x:v>
      </x:c>
      <x:c r="R2893" s="8" t="n">
        <x:v>45511</x:v>
      </x:c>
      <x:c r="S2893" s="4" t="str">
        <x:v>Lost / cancelled</x:v>
      </x:c>
      <x:c r="T2893" s="10" t="n">
        <x:v>0.291946</x:v>
      </x:c>
      <x:c r="U2893" s="4" t="str">
        <x:v>Excluded / unlabelled</x:v>
      </x:c>
    </x:row>
    <x:row r="2894" ht="34" customHeight="1">
      <x:c r="A2894" s="4" t="str">
        <x:v>RS-02893</x:v>
      </x:c>
      <x:c r="B2894" s="8" t="n">
        <x:v>45452</x:v>
      </x:c>
      <x:c r="C2894" s="4" t="str">
        <x:v>PRJ-013</x:v>
      </x:c>
      <x:c r="D2894" s="4" t="str">
        <x:v>Office</x:v>
      </x:c>
      <x:c r="E2894" s="4" t="str">
        <x:v>Booked</x:v>
      </x:c>
      <x:c r="F2894" s="4" t="str">
        <x:v>CUS-02893</x:v>
      </x:c>
      <x:c r="G2894" s="4" t="str">
        <x:v>UNIT-02893</x:v>
      </x:c>
      <x:c r="H2894" s="9" t="n">
        <x:v>22500000</x:v>
      </x:c>
      <x:c r="I2894" s="10" t="n">
        <x:v>0.07</x:v>
      </x:c>
      <x:c r="J2894" s="11" t="n">
        <x:v>2</x:v>
      </x:c>
      <x:c r="K2894" s="11" t="n">
        <x:v>10</x:v>
      </x:c>
      <x:c r="L2894" s="11" t="n">
        <x:v>0</x:v>
      </x:c>
      <x:c r="M2894" s="9" t="n">
        <x:f>ROUND(H2894*(1-I2894),2)</x:f>
        <x:v>20925000</x:v>
      </x:c>
      <x:c r="N2894" s="4" t="str">
        <x:v>Sales manager</x:v>
      </x:c>
      <x:c r="O2894" s="4" t="str">
        <x:v>BOOK-02893</x:v>
      </x:c>
      <x:c r="P2894" s="9" t="n">
        <x:v>2092500</x:v>
      </x:c>
      <x:c r="Q2894" s="11" t="n">
        <x:v>0</x:v>
      </x:c>
      <x:c r="R2894" s="8" t="n">
        <x:v>45512</x:v>
      </x:c>
      <x:c r="S2894" s="4" t="str">
        <x:v>Retained</x:v>
      </x:c>
      <x:c r="T2894" s="10" t="n">
        <x:v>0.204152</x:v>
      </x:c>
      <x:c r="U2894" s="4" t="str">
        <x:v>Excluded / unlabelled</x:v>
      </x:c>
    </x:row>
    <x:row r="2895" ht="34" customHeight="1">
      <x:c r="A2895" s="4" t="str">
        <x:v>RS-02894</x:v>
      </x:c>
      <x:c r="B2895" s="8" t="n">
        <x:v>45453</x:v>
      </x:c>
      <x:c r="C2895" s="4" t="str">
        <x:v>PRJ-014</x:v>
      </x:c>
      <x:c r="D2895" s="4" t="str">
        <x:v>Retail</x:v>
      </x:c>
      <x:c r="E2895" s="4" t="str">
        <x:v>Handed over</x:v>
      </x:c>
      <x:c r="F2895" s="4" t="str">
        <x:v>CUS-02894</x:v>
      </x:c>
      <x:c r="G2895" s="4" t="str">
        <x:v>UNIT-02894</x:v>
      </x:c>
      <x:c r="H2895" s="9" t="n">
        <x:v>4300000</x:v>
      </x:c>
      <x:c r="I2895" s="10" t="n">
        <x:v>0.03</x:v>
      </x:c>
      <x:c r="J2895" s="11" t="n">
        <x:v>8</x:v>
      </x:c>
      <x:c r="K2895" s="11" t="n">
        <x:v>3</x:v>
      </x:c>
      <x:c r="L2895" s="11" t="n">
        <x:v>1</x:v>
      </x:c>
      <x:c r="M2895" s="9" t="n">
        <x:f>ROUND(H2895*(1-I2895),2)</x:f>
        <x:v>4171000</x:v>
      </x:c>
      <x:c r="N2895" s="4" t="str">
        <x:v>Sales manager</x:v>
      </x:c>
      <x:c r="O2895" s="4" t="str">
        <x:v>BOOK-02894</x:v>
      </x:c>
      <x:c r="P2895" s="9" t="n">
        <x:v>4171000</x:v>
      </x:c>
      <x:c r="Q2895" s="11" t="n">
        <x:v>0</x:v>
      </x:c>
      <x:c r="R2895" s="8" t="n">
        <x:v>45513</x:v>
      </x:c>
      <x:c r="S2895" s="4" t="str">
        <x:v>Retained</x:v>
      </x:c>
      <x:c r="T2895" s="10" t="n">
        <x:v>0.310195</x:v>
      </x:c>
      <x:c r="U2895" s="4" t="str">
        <x:v>Excluded / unlabelled</x:v>
      </x:c>
    </x:row>
    <x:row r="2896" ht="34" customHeight="1">
      <x:c r="A2896" s="4" t="str">
        <x:v>RS-02895</x:v>
      </x:c>
      <x:c r="B2896" s="8" t="n">
        <x:v>45454</x:v>
      </x:c>
      <x:c r="C2896" s="4" t="str">
        <x:v>PRJ-015</x:v>
      </x:c>
      <x:c r="D2896" s="4" t="str">
        <x:v>Retail</x:v>
      </x:c>
      <x:c r="E2896" s="4" t="str">
        <x:v>Enquiry</x:v>
      </x:c>
      <x:c r="F2896" s="4" t="str">
        <x:v>CUS-02895</x:v>
      </x:c>
      <x:c r="G2896" s="4" t="str">
        <x:v>UNIT-02895</x:v>
      </x:c>
      <x:c r="H2896" s="9" t="n">
        <x:v>21400000</x:v>
      </x:c>
      <x:c r="I2896" s="10" t="n">
        <x:v>0.09</x:v>
      </x:c>
      <x:c r="J2896" s="11" t="n">
        <x:v>11</x:v>
      </x:c>
      <x:c r="K2896" s="11" t="n">
        <x:v>0</x:v>
      </x:c>
      <x:c r="L2896" s="11" t="n">
        <x:v>0</x:v>
      </x:c>
      <x:c r="M2896" s="9" t="n">
        <x:f>ROUND(H2896*(1-I2896),2)</x:f>
        <x:v>19474000</x:v>
      </x:c>
      <x:c r="N2896" s="4" t="str">
        <x:v>Sales head</x:v>
      </x:c>
      <x:c r="O2896" s="4"/>
      <x:c r="P2896" s="9" t="n">
        <x:v>0</x:v>
      </x:c>
      <x:c r="Q2896" s="11" t="n">
        <x:v>1</x:v>
      </x:c>
      <x:c r="R2896" s="8" t="n">
        <x:v>45514</x:v>
      </x:c>
      <x:c r="S2896" s="4" t="str">
        <x:v>Lost / cancelled</x:v>
      </x:c>
      <x:c r="T2896" s="10" t="n">
        <x:v>0.351536</x:v>
      </x:c>
      <x:c r="U2896" s="4" t="str">
        <x:v>Excluded / unlabelled</x:v>
      </x:c>
    </x:row>
    <x:row r="2897" ht="34" customHeight="1">
      <x:c r="A2897" s="4" t="str">
        <x:v>RS-02896</x:v>
      </x:c>
      <x:c r="B2897" s="8" t="n">
        <x:v>45455</x:v>
      </x:c>
      <x:c r="C2897" s="4" t="str">
        <x:v>PRJ-016</x:v>
      </x:c>
      <x:c r="D2897" s="4" t="str">
        <x:v>Retail</x:v>
      </x:c>
      <x:c r="E2897" s="4" t="str">
        <x:v>Enquiry</x:v>
      </x:c>
      <x:c r="F2897" s="4" t="str">
        <x:v>CUS-02896</x:v>
      </x:c>
      <x:c r="G2897" s="4" t="str">
        <x:v>UNIT-02896</x:v>
      </x:c>
      <x:c r="H2897" s="9" t="n">
        <x:v>18500000</x:v>
      </x:c>
      <x:c r="I2897" s="10" t="n">
        <x:v>0.01</x:v>
      </x:c>
      <x:c r="J2897" s="11" t="n">
        <x:v>0</x:v>
      </x:c>
      <x:c r="K2897" s="11" t="n">
        <x:v>1</x:v>
      </x:c>
      <x:c r="L2897" s="11" t="n">
        <x:v>0</x:v>
      </x:c>
      <x:c r="M2897" s="9" t="n">
        <x:f>ROUND(H2897*(1-I2897),2)</x:f>
        <x:v>18315000</x:v>
      </x:c>
      <x:c r="N2897" s="4" t="str">
        <x:v>Sales manager</x:v>
      </x:c>
      <x:c r="O2897" s="4"/>
      <x:c r="P2897" s="9" t="n">
        <x:v>0</x:v>
      </x:c>
      <x:c r="Q2897" s="11" t="n">
        <x:v>0</x:v>
      </x:c>
      <x:c r="R2897" s="8" t="n">
        <x:v>45515</x:v>
      </x:c>
      <x:c r="S2897" s="4" t="str">
        <x:v>Retained</x:v>
      </x:c>
      <x:c r="T2897" s="10" t="n">
        <x:v>0.072165</x:v>
      </x:c>
      <x:c r="U2897" s="4" t="str">
        <x:v>Excluded / unlabelled</x:v>
      </x:c>
    </x:row>
    <x:row r="2898" ht="34" customHeight="1">
      <x:c r="A2898" s="4" t="str">
        <x:v>RS-02897</x:v>
      </x:c>
      <x:c r="B2898" s="8" t="n">
        <x:v>45456</x:v>
      </x:c>
      <x:c r="C2898" s="4" t="str">
        <x:v>PRJ-017</x:v>
      </x:c>
      <x:c r="D2898" s="4" t="str">
        <x:v>Retail</x:v>
      </x:c>
      <x:c r="E2898" s="4" t="str">
        <x:v>Enquiry</x:v>
      </x:c>
      <x:c r="F2898" s="4" t="str">
        <x:v>CUS-02897</x:v>
      </x:c>
      <x:c r="G2898" s="4" t="str">
        <x:v>UNIT-02897</x:v>
      </x:c>
      <x:c r="H2898" s="9" t="n">
        <x:v>15200000</x:v>
      </x:c>
      <x:c r="I2898" s="10" t="n">
        <x:v>0.11</x:v>
      </x:c>
      <x:c r="J2898" s="11" t="n">
        <x:v>0</x:v>
      </x:c>
      <x:c r="K2898" s="11" t="n">
        <x:v>2</x:v>
      </x:c>
      <x:c r="L2898" s="11" t="n">
        <x:v>1</x:v>
      </x:c>
      <x:c r="M2898" s="9" t="n">
        <x:f>ROUND(H2898*(1-I2898),2)</x:f>
        <x:v>13528000</x:v>
      </x:c>
      <x:c r="N2898" s="4" t="str">
        <x:v>Sales head</x:v>
      </x:c>
      <x:c r="O2898" s="4"/>
      <x:c r="P2898" s="9" t="n">
        <x:v>0</x:v>
      </x:c>
      <x:c r="Q2898" s="11" t="n">
        <x:v>0</x:v>
      </x:c>
      <x:c r="R2898" s="8" t="n">
        <x:v>45516</x:v>
      </x:c>
      <x:c r="S2898" s="4" t="str">
        <x:v>Retained</x:v>
      </x:c>
      <x:c r="T2898" s="10" t="n">
        <x:v>0.145833</x:v>
      </x:c>
      <x:c r="U2898" s="4" t="str">
        <x:v>Excluded / unlabelled</x:v>
      </x:c>
    </x:row>
    <x:row r="2899" ht="34" customHeight="1">
      <x:c r="A2899" s="4" t="str">
        <x:v>RS-02898</x:v>
      </x:c>
      <x:c r="B2899" s="8" t="n">
        <x:v>45457</x:v>
      </x:c>
      <x:c r="C2899" s="4" t="str">
        <x:v>PRJ-018</x:v>
      </x:c>
      <x:c r="D2899" s="4" t="str">
        <x:v>Retail</x:v>
      </x:c>
      <x:c r="E2899" s="4" t="str">
        <x:v>Enquiry</x:v>
      </x:c>
      <x:c r="F2899" s="4" t="str">
        <x:v>CUS-02898</x:v>
      </x:c>
      <x:c r="G2899" s="4" t="str">
        <x:v>UNIT-02898</x:v>
      </x:c>
      <x:c r="H2899" s="9" t="n">
        <x:v>15200000</x:v>
      </x:c>
      <x:c r="I2899" s="10" t="n">
        <x:v>0.09</x:v>
      </x:c>
      <x:c r="J2899" s="11" t="n">
        <x:v>3</x:v>
      </x:c>
      <x:c r="K2899" s="11" t="n">
        <x:v>9</x:v>
      </x:c>
      <x:c r="L2899" s="11" t="n">
        <x:v>1</x:v>
      </x:c>
      <x:c r="M2899" s="9" t="n">
        <x:f>ROUND(H2899*(1-I2899),2)</x:f>
        <x:v>13832000</x:v>
      </x:c>
      <x:c r="N2899" s="4" t="str">
        <x:v>Sales head</x:v>
      </x:c>
      <x:c r="O2899" s="4"/>
      <x:c r="P2899" s="9" t="n">
        <x:v>0</x:v>
      </x:c>
      <x:c r="Q2899" s="11" t="n">
        <x:v>0</x:v>
      </x:c>
      <x:c r="R2899" s="8" t="n">
        <x:v>45517</x:v>
      </x:c>
      <x:c r="S2899" s="4" t="str">
        <x:v>Retained</x:v>
      </x:c>
      <x:c r="T2899" s="10" t="n">
        <x:v>0.145833</x:v>
      </x:c>
      <x:c r="U2899" s="4" t="str">
        <x:v>Excluded / unlabelled</x:v>
      </x:c>
    </x:row>
    <x:row r="2900" ht="34" customHeight="1">
      <x:c r="A2900" s="4" t="str">
        <x:v>RS-02899</x:v>
      </x:c>
      <x:c r="B2900" s="8" t="n">
        <x:v>45458</x:v>
      </x:c>
      <x:c r="C2900" s="4" t="str">
        <x:v>PRJ-019</x:v>
      </x:c>
      <x:c r="D2900" s="4" t="str">
        <x:v>Villa</x:v>
      </x:c>
      <x:c r="E2900" s="4" t="str">
        <x:v>Handed over</x:v>
      </x:c>
      <x:c r="F2900" s="4" t="str">
        <x:v>CUS-02899</x:v>
      </x:c>
      <x:c r="G2900" s="4" t="str">
        <x:v>UNIT-02899</x:v>
      </x:c>
      <x:c r="H2900" s="9" t="n">
        <x:v>25000000</x:v>
      </x:c>
      <x:c r="I2900" s="10" t="n">
        <x:v>0.06</x:v>
      </x:c>
      <x:c r="J2900" s="11" t="n">
        <x:v>10</x:v>
      </x:c>
      <x:c r="K2900" s="11" t="n">
        <x:v>6</x:v>
      </x:c>
      <x:c r="L2900" s="11" t="n">
        <x:v>0</x:v>
      </x:c>
      <x:c r="M2900" s="9" t="n">
        <x:f>ROUND(H2900*(1-I2900),2)</x:f>
        <x:v>23500000</x:v>
      </x:c>
      <x:c r="N2900" s="4" t="str">
        <x:v>Sales manager</x:v>
      </x:c>
      <x:c r="O2900" s="4" t="str">
        <x:v>BOOK-02899</x:v>
      </x:c>
      <x:c r="P2900" s="9" t="n">
        <x:v>2350000</x:v>
      </x:c>
      <x:c r="Q2900" s="11" t="n">
        <x:v>0</x:v>
      </x:c>
      <x:c r="R2900" s="8" t="n">
        <x:v>45518</x:v>
      </x:c>
      <x:c r="S2900" s="4" t="str">
        <x:v>Retained</x:v>
      </x:c>
      <x:c r="T2900" s="10" t="n">
        <x:v>0.310195</x:v>
      </x:c>
      <x:c r="U2900" s="4" t="str">
        <x:v>Excluded / unlabelled</x:v>
      </x:c>
    </x:row>
    <x:row r="2901" ht="34" customHeight="1">
      <x:c r="A2901" s="4" t="str">
        <x:v>RS-02900</x:v>
      </x:c>
      <x:c r="B2901" s="8" t="n">
        <x:v>45459</x:v>
      </x:c>
      <x:c r="C2901" s="4" t="str">
        <x:v>PRJ-020</x:v>
      </x:c>
      <x:c r="D2901" s="4" t="str">
        <x:v>Villa</x:v>
      </x:c>
      <x:c r="E2901" s="4" t="str">
        <x:v>Enquiry</x:v>
      </x:c>
      <x:c r="F2901" s="4" t="str">
        <x:v>CUS-02900</x:v>
      </x:c>
      <x:c r="G2901" s="4" t="str">
        <x:v>UNIT-02900</x:v>
      </x:c>
      <x:c r="H2901" s="9" t="n">
        <x:v>18300000</x:v>
      </x:c>
      <x:c r="I2901" s="10" t="n">
        <x:v>0.1</x:v>
      </x:c>
      <x:c r="J2901" s="11" t="n">
        <x:v>8</x:v>
      </x:c>
      <x:c r="K2901" s="11" t="n">
        <x:v>4</x:v>
      </x:c>
      <x:c r="L2901" s="11" t="n">
        <x:v>1</x:v>
      </x:c>
      <x:c r="M2901" s="9" t="n">
        <x:f>ROUND(H2901*(1-I2901),2)</x:f>
        <x:v>16470000</x:v>
      </x:c>
      <x:c r="N2901" s="4" t="str">
        <x:v>Sales head</x:v>
      </x:c>
      <x:c r="O2901" s="4"/>
      <x:c r="P2901" s="9" t="n">
        <x:v>0</x:v>
      </x:c>
      <x:c r="Q2901" s="11" t="n">
        <x:v>0</x:v>
      </x:c>
      <x:c r="R2901" s="8" t="n">
        <x:v>45519</x:v>
      </x:c>
      <x:c r="S2901" s="4" t="str">
        <x:v>Retained</x:v>
      </x:c>
      <x:c r="T2901" s="10" t="n">
        <x:v>0.310195</x:v>
      </x:c>
      <x:c r="U2901" s="4" t="str">
        <x:v>Excluded / unlabelled</x:v>
      </x:c>
    </x:row>
    <x:row r="2902" ht="34" customHeight="1">
      <x:c r="A2902" s="4" t="str">
        <x:v>RS-02901</x:v>
      </x:c>
      <x:c r="B2902" s="8" t="n">
        <x:v>45460</x:v>
      </x:c>
      <x:c r="C2902" s="4" t="str">
        <x:v>PRJ-001</x:v>
      </x:c>
      <x:c r="D2902" s="4" t="str">
        <x:v>Office</x:v>
      </x:c>
      <x:c r="E2902" s="4" t="str">
        <x:v>Booked</x:v>
      </x:c>
      <x:c r="F2902" s="4" t="str">
        <x:v>CUS-02901</x:v>
      </x:c>
      <x:c r="G2902" s="4" t="str">
        <x:v>UNIT-02901</x:v>
      </x:c>
      <x:c r="H2902" s="9" t="n">
        <x:v>13600000</x:v>
      </x:c>
      <x:c r="I2902" s="10" t="n">
        <x:v>0</x:v>
      </x:c>
      <x:c r="J2902" s="11" t="n">
        <x:v>12</x:v>
      </x:c>
      <x:c r="K2902" s="11" t="n">
        <x:v>6</x:v>
      </x:c>
      <x:c r="L2902" s="11" t="n">
        <x:v>1</x:v>
      </x:c>
      <x:c r="M2902" s="9" t="n">
        <x:f>ROUND(H2902*(1-I2902),2)</x:f>
        <x:v>13600000</x:v>
      </x:c>
      <x:c r="N2902" s="4" t="str">
        <x:v>Sales manager</x:v>
      </x:c>
      <x:c r="O2902" s="4" t="str">
        <x:v>BOOK-02901</x:v>
      </x:c>
      <x:c r="P2902" s="9" t="n">
        <x:v>3400000</x:v>
      </x:c>
      <x:c r="Q2902" s="11" t="n">
        <x:v>0</x:v>
      </x:c>
      <x:c r="R2902" s="8" t="n">
        <x:v>45520</x:v>
      </x:c>
      <x:c r="S2902" s="4" t="str">
        <x:v>Retained</x:v>
      </x:c>
      <x:c r="T2902" s="10" t="n">
        <x:v>0.254545</x:v>
      </x:c>
      <x:c r="U2902" s="4" t="str">
        <x:v>Excluded / unlabelled</x:v>
      </x:c>
    </x:row>
    <x:row r="2903" ht="34" customHeight="1">
      <x:c r="A2903" s="4" t="str">
        <x:v>RS-02902</x:v>
      </x:c>
      <x:c r="B2903" s="8" t="n">
        <x:v>45461</x:v>
      </x:c>
      <x:c r="C2903" s="4" t="str">
        <x:v>PRJ-002</x:v>
      </x:c>
      <x:c r="D2903" s="4" t="str">
        <x:v>Office</x:v>
      </x:c>
      <x:c r="E2903" s="4" t="str">
        <x:v>Cancelled</x:v>
      </x:c>
      <x:c r="F2903" s="4" t="str">
        <x:v>CUS-02902</x:v>
      </x:c>
      <x:c r="G2903" s="4" t="str">
        <x:v>UNIT-02902</x:v>
      </x:c>
      <x:c r="H2903" s="9" t="n">
        <x:v>4300000</x:v>
      </x:c>
      <x:c r="I2903" s="10" t="n">
        <x:v>0.08</x:v>
      </x:c>
      <x:c r="J2903" s="11" t="n">
        <x:v>0</x:v>
      </x:c>
      <x:c r="K2903" s="11" t="n">
        <x:v>6</x:v>
      </x:c>
      <x:c r="L2903" s="11" t="n">
        <x:v>1</x:v>
      </x:c>
      <x:c r="M2903" s="9" t="n">
        <x:f>ROUND(H2903*(1-I2903),2)</x:f>
        <x:v>3956000</x:v>
      </x:c>
      <x:c r="N2903" s="4" t="str">
        <x:v>Sales head</x:v>
      </x:c>
      <x:c r="O2903" s="4"/>
      <x:c r="P2903" s="9" t="n">
        <x:v>0</x:v>
      </x:c>
      <x:c r="Q2903" s="11" t="n">
        <x:v>1</x:v>
      </x:c>
      <x:c r="R2903" s="8" t="n">
        <x:v>45521</x:v>
      </x:c>
      <x:c r="S2903" s="4" t="str">
        <x:v>Lost / cancelled</x:v>
      </x:c>
      <x:c r="T2903" s="10" t="n">
        <x:v>0.204152</x:v>
      </x:c>
      <x:c r="U2903" s="4" t="str">
        <x:v>Excluded / unlabelled</x:v>
      </x:c>
    </x:row>
    <x:row r="2904" ht="34" customHeight="1">
      <x:c r="A2904" s="4" t="str">
        <x:v>RS-02903</x:v>
      </x:c>
      <x:c r="B2904" s="8" t="n">
        <x:v>45462</x:v>
      </x:c>
      <x:c r="C2904" s="4" t="str">
        <x:v>PRJ-003</x:v>
      </x:c>
      <x:c r="D2904" s="4" t="str">
        <x:v>Villa</x:v>
      </x:c>
      <x:c r="E2904" s="4" t="str">
        <x:v>Reserved</x:v>
      </x:c>
      <x:c r="F2904" s="4" t="str">
        <x:v>CUS-02903</x:v>
      </x:c>
      <x:c r="G2904" s="4" t="str">
        <x:v>UNIT-02903</x:v>
      </x:c>
      <x:c r="H2904" s="9" t="n">
        <x:v>15700000</x:v>
      </x:c>
      <x:c r="I2904" s="10" t="n">
        <x:v>0.05</x:v>
      </x:c>
      <x:c r="J2904" s="11" t="n">
        <x:v>12</x:v>
      </x:c>
      <x:c r="K2904" s="11" t="n">
        <x:v>8</x:v>
      </x:c>
      <x:c r="L2904" s="11" t="n">
        <x:v>1</x:v>
      </x:c>
      <x:c r="M2904" s="9" t="n">
        <x:f>ROUND(H2904*(1-I2904),2)</x:f>
        <x:v>14915000</x:v>
      </x:c>
      <x:c r="N2904" s="4" t="str">
        <x:v>Sales manager</x:v>
      </x:c>
      <x:c r="O2904" s="4"/>
      <x:c r="P2904" s="9" t="n">
        <x:v>0</x:v>
      </x:c>
      <x:c r="Q2904" s="11" t="n">
        <x:v>1</x:v>
      </x:c>
      <x:c r="R2904" s="8" t="n">
        <x:v>45522</x:v>
      </x:c>
      <x:c r="S2904" s="4" t="str">
        <x:v>Lost / cancelled</x:v>
      </x:c>
      <x:c r="T2904" s="10" t="n">
        <x:v>0.351536</x:v>
      </x:c>
      <x:c r="U2904" s="4" t="str">
        <x:v>Excluded / unlabelled</x:v>
      </x:c>
    </x:row>
    <x:row r="2905" ht="34" customHeight="1">
      <x:c r="A2905" s="4" t="str">
        <x:v>RS-02904</x:v>
      </x:c>
      <x:c r="B2905" s="8" t="n">
        <x:v>45463</x:v>
      </x:c>
      <x:c r="C2905" s="4" t="str">
        <x:v>PRJ-004</x:v>
      </x:c>
      <x:c r="D2905" s="4" t="str">
        <x:v>Retail</x:v>
      </x:c>
      <x:c r="E2905" s="4" t="str">
        <x:v>Enquiry</x:v>
      </x:c>
      <x:c r="F2905" s="4" t="str">
        <x:v>CUS-02904</x:v>
      </x:c>
      <x:c r="G2905" s="4" t="str">
        <x:v>UNIT-02904</x:v>
      </x:c>
      <x:c r="H2905" s="9" t="n">
        <x:v>4900000</x:v>
      </x:c>
      <x:c r="I2905" s="10" t="n">
        <x:v>0.1</x:v>
      </x:c>
      <x:c r="J2905" s="11" t="n">
        <x:v>11</x:v>
      </x:c>
      <x:c r="K2905" s="11" t="n">
        <x:v>1</x:v>
      </x:c>
      <x:c r="L2905" s="11" t="n">
        <x:v>1</x:v>
      </x:c>
      <x:c r="M2905" s="9" t="n">
        <x:f>ROUND(H2905*(1-I2905),2)</x:f>
        <x:v>4410000</x:v>
      </x:c>
      <x:c r="N2905" s="4" t="str">
        <x:v>Sales head</x:v>
      </x:c>
      <x:c r="O2905" s="4"/>
      <x:c r="P2905" s="9" t="n">
        <x:v>0</x:v>
      </x:c>
      <x:c r="Q2905" s="11" t="n">
        <x:v>0</x:v>
      </x:c>
      <x:c r="R2905" s="8" t="n">
        <x:v>45523</x:v>
      </x:c>
      <x:c r="S2905" s="4" t="str">
        <x:v>Retained</x:v>
      </x:c>
      <x:c r="T2905" s="10" t="n">
        <x:v>0.351536</x:v>
      </x:c>
      <x:c r="U2905" s="4" t="str">
        <x:v>Excluded / unlabelled</x:v>
      </x:c>
    </x:row>
    <x:row r="2906" ht="34" customHeight="1">
      <x:c r="A2906" s="4" t="str">
        <x:v>RS-02905</x:v>
      </x:c>
      <x:c r="B2906" s="8" t="n">
        <x:v>45464</x:v>
      </x:c>
      <x:c r="C2906" s="4" t="str">
        <x:v>PRJ-005</x:v>
      </x:c>
      <x:c r="D2906" s="4" t="str">
        <x:v>Office</x:v>
      </x:c>
      <x:c r="E2906" s="4" t="str">
        <x:v>Agreement signed</x:v>
      </x:c>
      <x:c r="F2906" s="4" t="str">
        <x:v>CUS-02905</x:v>
      </x:c>
      <x:c r="G2906" s="4" t="str">
        <x:v>UNIT-02905</x:v>
      </x:c>
      <x:c r="H2906" s="9" t="n">
        <x:v>22600000</x:v>
      </x:c>
      <x:c r="I2906" s="10" t="n">
        <x:v>0.08</x:v>
      </x:c>
      <x:c r="J2906" s="11" t="n">
        <x:v>9</x:v>
      </x:c>
      <x:c r="K2906" s="11" t="n">
        <x:v>1</x:v>
      </x:c>
      <x:c r="L2906" s="11" t="n">
        <x:v>0</x:v>
      </x:c>
      <x:c r="M2906" s="9" t="n">
        <x:f>ROUND(H2906*(1-I2906),2)</x:f>
        <x:v>20792000</x:v>
      </x:c>
      <x:c r="N2906" s="4" t="str">
        <x:v>Sales head</x:v>
      </x:c>
      <x:c r="O2906" s="4" t="str">
        <x:v>BOOK-02905</x:v>
      </x:c>
      <x:c r="P2906" s="9" t="n">
        <x:v>2079200</x:v>
      </x:c>
      <x:c r="Q2906" s="11" t="n">
        <x:v>0</x:v>
      </x:c>
      <x:c r="R2906" s="8" t="n">
        <x:v>45524</x:v>
      </x:c>
      <x:c r="S2906" s="4" t="str">
        <x:v>Retained</x:v>
      </x:c>
      <x:c r="T2906" s="10" t="n">
        <x:v>0.310195</x:v>
      </x:c>
      <x:c r="U2906" s="4" t="str">
        <x:v>Excluded / unlabelled</x:v>
      </x:c>
    </x:row>
    <x:row r="2907" ht="34" customHeight="1">
      <x:c r="A2907" s="4" t="str">
        <x:v>RS-02906</x:v>
      </x:c>
      <x:c r="B2907" s="8" t="n">
        <x:v>45465</x:v>
      </x:c>
      <x:c r="C2907" s="4" t="str">
        <x:v>PRJ-006</x:v>
      </x:c>
      <x:c r="D2907" s="4" t="str">
        <x:v>Villa</x:v>
      </x:c>
      <x:c r="E2907" s="4" t="str">
        <x:v>Reserved</x:v>
      </x:c>
      <x:c r="F2907" s="4" t="str">
        <x:v>CUS-02906</x:v>
      </x:c>
      <x:c r="G2907" s="4" t="str">
        <x:v>UNIT-02906</x:v>
      </x:c>
      <x:c r="H2907" s="9" t="n">
        <x:v>14200000</x:v>
      </x:c>
      <x:c r="I2907" s="10" t="n">
        <x:v>0.11</x:v>
      </x:c>
      <x:c r="J2907" s="11" t="n">
        <x:v>8</x:v>
      </x:c>
      <x:c r="K2907" s="11" t="n">
        <x:v>7</x:v>
      </x:c>
      <x:c r="L2907" s="11" t="n">
        <x:v>0</x:v>
      </x:c>
      <x:c r="M2907" s="9" t="n">
        <x:f>ROUND(H2907*(1-I2907),2)</x:f>
        <x:v>12638000</x:v>
      </x:c>
      <x:c r="N2907" s="4" t="str">
        <x:v>Sales head</x:v>
      </x:c>
      <x:c r="O2907" s="4"/>
      <x:c r="P2907" s="9" t="n">
        <x:v>0</x:v>
      </x:c>
      <x:c r="Q2907" s="11" t="n">
        <x:v>1</x:v>
      </x:c>
      <x:c r="R2907" s="8" t="n">
        <x:v>45525</x:v>
      </x:c>
      <x:c r="S2907" s="4" t="str">
        <x:v>Lost / cancelled</x:v>
      </x:c>
      <x:c r="T2907" s="10" t="n">
        <x:v>0.310195</x:v>
      </x:c>
      <x:c r="U2907" s="4" t="str">
        <x:v>Excluded / unlabelled</x:v>
      </x:c>
    </x:row>
    <x:row r="2908" ht="34" customHeight="1">
      <x:c r="A2908" s="4" t="str">
        <x:v>RS-02907</x:v>
      </x:c>
      <x:c r="B2908" s="8" t="n">
        <x:v>45466</x:v>
      </x:c>
      <x:c r="C2908" s="4" t="str">
        <x:v>PRJ-007</x:v>
      </x:c>
      <x:c r="D2908" s="4" t="str">
        <x:v>Retail</x:v>
      </x:c>
      <x:c r="E2908" s="4" t="str">
        <x:v>Reserved</x:v>
      </x:c>
      <x:c r="F2908" s="4" t="str">
        <x:v>CUS-02907</x:v>
      </x:c>
      <x:c r="G2908" s="4" t="str">
        <x:v>UNIT-02907</x:v>
      </x:c>
      <x:c r="H2908" s="9" t="n">
        <x:v>20000000</x:v>
      </x:c>
      <x:c r="I2908" s="10" t="n">
        <x:v>0.06</x:v>
      </x:c>
      <x:c r="J2908" s="11" t="n">
        <x:v>9</x:v>
      </x:c>
      <x:c r="K2908" s="11" t="n">
        <x:v>6</x:v>
      </x:c>
      <x:c r="L2908" s="11" t="n">
        <x:v>1</x:v>
      </x:c>
      <x:c r="M2908" s="9" t="n">
        <x:f>ROUND(H2908*(1-I2908),2)</x:f>
        <x:v>18800000</x:v>
      </x:c>
      <x:c r="N2908" s="4" t="str">
        <x:v>Sales manager</x:v>
      </x:c>
      <x:c r="O2908" s="4"/>
      <x:c r="P2908" s="9" t="n">
        <x:v>0</x:v>
      </x:c>
      <x:c r="Q2908" s="11" t="n">
        <x:v>1</x:v>
      </x:c>
      <x:c r="R2908" s="8" t="n">
        <x:v>45526</x:v>
      </x:c>
      <x:c r="S2908" s="4" t="str">
        <x:v>Lost / cancelled</x:v>
      </x:c>
      <x:c r="T2908" s="10" t="n">
        <x:v>0.310195</x:v>
      </x:c>
      <x:c r="U2908" s="4" t="str">
        <x:v>Excluded / unlabelled</x:v>
      </x:c>
    </x:row>
    <x:row r="2909" ht="34" customHeight="1">
      <x:c r="A2909" s="4" t="str">
        <x:v>RS-02908</x:v>
      </x:c>
      <x:c r="B2909" s="8" t="n">
        <x:v>45467</x:v>
      </x:c>
      <x:c r="C2909" s="4" t="str">
        <x:v>PRJ-008</x:v>
      </x:c>
      <x:c r="D2909" s="4" t="str">
        <x:v>Apartment</x:v>
      </x:c>
      <x:c r="E2909" s="4" t="str">
        <x:v>Handed over</x:v>
      </x:c>
      <x:c r="F2909" s="4" t="str">
        <x:v>CUS-02908</x:v>
      </x:c>
      <x:c r="G2909" s="4" t="str">
        <x:v>UNIT-02908</x:v>
      </x:c>
      <x:c r="H2909" s="9" t="n">
        <x:v>17300000</x:v>
      </x:c>
      <x:c r="I2909" s="10" t="n">
        <x:v>0.04</x:v>
      </x:c>
      <x:c r="J2909" s="11" t="n">
        <x:v>12</x:v>
      </x:c>
      <x:c r="K2909" s="11" t="n">
        <x:v>9</x:v>
      </x:c>
      <x:c r="L2909" s="11" t="n">
        <x:v>1</x:v>
      </x:c>
      <x:c r="M2909" s="9" t="n">
        <x:f>ROUND(H2909*(1-I2909),2)</x:f>
        <x:v>16608000</x:v>
      </x:c>
      <x:c r="N2909" s="4" t="str">
        <x:v>Sales manager</x:v>
      </x:c>
      <x:c r="O2909" s="4" t="str">
        <x:v>BOOK-02908</x:v>
      </x:c>
      <x:c r="P2909" s="9" t="n">
        <x:v>4152000</x:v>
      </x:c>
      <x:c r="Q2909" s="11" t="n">
        <x:v>0</x:v>
      </x:c>
      <x:c r="R2909" s="8" t="n">
        <x:v>45527</x:v>
      </x:c>
      <x:c r="S2909" s="4" t="str">
        <x:v>Retained</x:v>
      </x:c>
      <x:c r="T2909" s="10" t="n">
        <x:v>0.351536</x:v>
      </x:c>
      <x:c r="U2909" s="4" t="str">
        <x:v>Excluded / unlabelled</x:v>
      </x:c>
    </x:row>
    <x:row r="2910" ht="34" customHeight="1">
      <x:c r="A2910" s="4" t="str">
        <x:v>RS-02909</x:v>
      </x:c>
      <x:c r="B2910" s="8" t="n">
        <x:v>45468</x:v>
      </x:c>
      <x:c r="C2910" s="4" t="str">
        <x:v>PRJ-009</x:v>
      </x:c>
      <x:c r="D2910" s="4" t="str">
        <x:v>Villa</x:v>
      </x:c>
      <x:c r="E2910" s="4" t="str">
        <x:v>Cancelled</x:v>
      </x:c>
      <x:c r="F2910" s="4" t="str">
        <x:v>CUS-02909</x:v>
      </x:c>
      <x:c r="G2910" s="4" t="str">
        <x:v>UNIT-02909</x:v>
      </x:c>
      <x:c r="H2910" s="9" t="n">
        <x:v>5800000</x:v>
      </x:c>
      <x:c r="I2910" s="10" t="n">
        <x:v>0.04</x:v>
      </x:c>
      <x:c r="J2910" s="11" t="n">
        <x:v>6</x:v>
      </x:c>
      <x:c r="K2910" s="11" t="n">
        <x:v>0</x:v>
      </x:c>
      <x:c r="L2910" s="11" t="n">
        <x:v>1</x:v>
      </x:c>
      <x:c r="M2910" s="9" t="n">
        <x:f>ROUND(H2910*(1-I2910),2)</x:f>
        <x:v>5568000</x:v>
      </x:c>
      <x:c r="N2910" s="4" t="str">
        <x:v>Sales manager</x:v>
      </x:c>
      <x:c r="O2910" s="4"/>
      <x:c r="P2910" s="9" t="n">
        <x:v>0</x:v>
      </x:c>
      <x:c r="Q2910" s="11" t="n">
        <x:v>1</x:v>
      </x:c>
      <x:c r="R2910" s="8" t="n">
        <x:v>45528</x:v>
      </x:c>
      <x:c r="S2910" s="4" t="str">
        <x:v>Lost / cancelled</x:v>
      </x:c>
      <x:c r="T2910" s="10" t="n">
        <x:v>0.291946</x:v>
      </x:c>
      <x:c r="U2910" s="4" t="str">
        <x:v>Excluded / unlabelled</x:v>
      </x:c>
    </x:row>
    <x:row r="2911" ht="34" customHeight="1">
      <x:c r="A2911" s="4" t="str">
        <x:v>RS-02910</x:v>
      </x:c>
      <x:c r="B2911" s="8" t="n">
        <x:v>45469</x:v>
      </x:c>
      <x:c r="C2911" s="4" t="str">
        <x:v>PRJ-010</x:v>
      </x:c>
      <x:c r="D2911" s="4" t="str">
        <x:v>Retail</x:v>
      </x:c>
      <x:c r="E2911" s="4" t="str">
        <x:v>Reserved</x:v>
      </x:c>
      <x:c r="F2911" s="4" t="str">
        <x:v>CUS-02910</x:v>
      </x:c>
      <x:c r="G2911" s="4" t="str">
        <x:v>UNIT-02910</x:v>
      </x:c>
      <x:c r="H2911" s="9" t="n">
        <x:v>13700000</x:v>
      </x:c>
      <x:c r="I2911" s="10" t="n">
        <x:v>0.02</x:v>
      </x:c>
      <x:c r="J2911" s="11" t="n">
        <x:v>9</x:v>
      </x:c>
      <x:c r="K2911" s="11" t="n">
        <x:v>0</x:v>
      </x:c>
      <x:c r="L2911" s="11" t="n">
        <x:v>0</x:v>
      </x:c>
      <x:c r="M2911" s="9" t="n">
        <x:f>ROUND(H2911*(1-I2911),2)</x:f>
        <x:v>13426000</x:v>
      </x:c>
      <x:c r="N2911" s="4" t="str">
        <x:v>Sales manager</x:v>
      </x:c>
      <x:c r="O2911" s="4"/>
      <x:c r="P2911" s="9" t="n">
        <x:v>0</x:v>
      </x:c>
      <x:c r="Q2911" s="11" t="n">
        <x:v>0</x:v>
      </x:c>
      <x:c r="R2911" s="8" t="n">
        <x:v>45529</x:v>
      </x:c>
      <x:c r="S2911" s="4" t="str">
        <x:v>Retained</x:v>
      </x:c>
      <x:c r="T2911" s="10" t="n">
        <x:v>0.305556</x:v>
      </x:c>
      <x:c r="U2911" s="4" t="str">
        <x:v>Excluded / unlabelled</x:v>
      </x:c>
    </x:row>
    <x:row r="2912" ht="34" customHeight="1">
      <x:c r="A2912" s="4" t="str">
        <x:v>RS-02911</x:v>
      </x:c>
      <x:c r="B2912" s="8" t="n">
        <x:v>45470</x:v>
      </x:c>
      <x:c r="C2912" s="4" t="str">
        <x:v>PRJ-011</x:v>
      </x:c>
      <x:c r="D2912" s="4" t="str">
        <x:v>Retail</x:v>
      </x:c>
      <x:c r="E2912" s="4" t="str">
        <x:v>Agreement signed</x:v>
      </x:c>
      <x:c r="F2912" s="4" t="str">
        <x:v>CUS-02911</x:v>
      </x:c>
      <x:c r="G2912" s="4" t="str">
        <x:v>UNIT-02911</x:v>
      </x:c>
      <x:c r="H2912" s="9" t="n">
        <x:v>19500000</x:v>
      </x:c>
      <x:c r="I2912" s="10" t="n">
        <x:v>0.01</x:v>
      </x:c>
      <x:c r="J2912" s="11" t="n">
        <x:v>8</x:v>
      </x:c>
      <x:c r="K2912" s="11" t="n">
        <x:v>10</x:v>
      </x:c>
      <x:c r="L2912" s="11" t="n">
        <x:v>0</x:v>
      </x:c>
      <x:c r="M2912" s="9" t="n">
        <x:f>ROUND(H2912*(1-I2912),2)</x:f>
        <x:v>19305000</x:v>
      </x:c>
      <x:c r="N2912" s="4" t="str">
        <x:v>Sales manager</x:v>
      </x:c>
      <x:c r="O2912" s="4" t="str">
        <x:v>BOOK-02911</x:v>
      </x:c>
      <x:c r="P2912" s="9" t="n">
        <x:v>19305000</x:v>
      </x:c>
      <x:c r="Q2912" s="11" t="n">
        <x:v>0</x:v>
      </x:c>
      <x:c r="R2912" s="8" t="n">
        <x:v>45530</x:v>
      </x:c>
      <x:c r="S2912" s="4" t="str">
        <x:v>Retained</x:v>
      </x:c>
      <x:c r="T2912" s="10" t="n">
        <x:v>0.305556</x:v>
      </x:c>
      <x:c r="U2912" s="4" t="str">
        <x:v>Excluded / unlabelled</x:v>
      </x:c>
    </x:row>
    <x:row r="2913" ht="34" customHeight="1">
      <x:c r="A2913" s="4" t="str">
        <x:v>RS-02912</x:v>
      </x:c>
      <x:c r="B2913" s="8" t="n">
        <x:v>45471</x:v>
      </x:c>
      <x:c r="C2913" s="4" t="str">
        <x:v>PRJ-012</x:v>
      </x:c>
      <x:c r="D2913" s="4" t="str">
        <x:v>Office</x:v>
      </x:c>
      <x:c r="E2913" s="4" t="str">
        <x:v>Agreement signed</x:v>
      </x:c>
      <x:c r="F2913" s="4" t="str">
        <x:v>CUS-02912</x:v>
      </x:c>
      <x:c r="G2913" s="4" t="str">
        <x:v>UNIT-02912</x:v>
      </x:c>
      <x:c r="H2913" s="9" t="n">
        <x:v>7200000</x:v>
      </x:c>
      <x:c r="I2913" s="10" t="n">
        <x:v>0.04</x:v>
      </x:c>
      <x:c r="J2913" s="11" t="n">
        <x:v>7</x:v>
      </x:c>
      <x:c r="K2913" s="11" t="n">
        <x:v>0</x:v>
      </x:c>
      <x:c r="L2913" s="11" t="n">
        <x:v>0</x:v>
      </x:c>
      <x:c r="M2913" s="9" t="n">
        <x:f>ROUND(H2913*(1-I2913),2)</x:f>
        <x:v>6912000</x:v>
      </x:c>
      <x:c r="N2913" s="4" t="str">
        <x:v>Sales manager</x:v>
      </x:c>
      <x:c r="O2913" s="4" t="str">
        <x:v>BOOK-02912</x:v>
      </x:c>
      <x:c r="P2913" s="9" t="n">
        <x:v>691200</x:v>
      </x:c>
      <x:c r="Q2913" s="11" t="n">
        <x:v>0</x:v>
      </x:c>
      <x:c r="R2913" s="8" t="n">
        <x:v>45531</x:v>
      </x:c>
      <x:c r="S2913" s="4" t="str">
        <x:v>Retained</x:v>
      </x:c>
      <x:c r="T2913" s="10" t="n">
        <x:v>0.226277</x:v>
      </x:c>
      <x:c r="U2913" s="4" t="str">
        <x:v>Excluded / unlabelled</x:v>
      </x:c>
    </x:row>
    <x:row r="2914" ht="34" customHeight="1">
      <x:c r="A2914" s="4" t="str">
        <x:v>RS-02913</x:v>
      </x:c>
      <x:c r="B2914" s="8" t="n">
        <x:v>45444</x:v>
      </x:c>
      <x:c r="C2914" s="4" t="str">
        <x:v>PRJ-013</x:v>
      </x:c>
      <x:c r="D2914" s="4" t="str">
        <x:v>Office</x:v>
      </x:c>
      <x:c r="E2914" s="4" t="str">
        <x:v>Cancelled</x:v>
      </x:c>
      <x:c r="F2914" s="4" t="str">
        <x:v>CUS-02913</x:v>
      </x:c>
      <x:c r="G2914" s="4" t="str">
        <x:v>UNIT-02913</x:v>
      </x:c>
      <x:c r="H2914" s="9" t="n">
        <x:v>20000000</x:v>
      </x:c>
      <x:c r="I2914" s="10" t="n">
        <x:v>0.12</x:v>
      </x:c>
      <x:c r="J2914" s="11" t="n">
        <x:v>12</x:v>
      </x:c>
      <x:c r="K2914" s="11" t="n">
        <x:v>1</x:v>
      </x:c>
      <x:c r="L2914" s="11" t="n">
        <x:v>0</x:v>
      </x:c>
      <x:c r="M2914" s="9" t="n">
        <x:f>ROUND(H2914*(1-I2914),2)</x:f>
        <x:v>17600000</x:v>
      </x:c>
      <x:c r="N2914" s="4" t="str">
        <x:v>Sales head</x:v>
      </x:c>
      <x:c r="O2914" s="4"/>
      <x:c r="P2914" s="9" t="n">
        <x:v>0</x:v>
      </x:c>
      <x:c r="Q2914" s="11" t="n">
        <x:v>1</x:v>
      </x:c>
      <x:c r="R2914" s="8" t="n">
        <x:v>45504</x:v>
      </x:c>
      <x:c r="S2914" s="4" t="str">
        <x:v>Lost / cancelled</x:v>
      </x:c>
      <x:c r="T2914" s="10" t="n">
        <x:v>0.351536</x:v>
      </x:c>
      <x:c r="U2914" s="4" t="str">
        <x:v>Excluded / unlabelled</x:v>
      </x:c>
    </x:row>
    <x:row r="2915" ht="34" customHeight="1">
      <x:c r="A2915" s="4" t="str">
        <x:v>RS-02914</x:v>
      </x:c>
      <x:c r="B2915" s="8" t="n">
        <x:v>45445</x:v>
      </x:c>
      <x:c r="C2915" s="4" t="str">
        <x:v>PRJ-014</x:v>
      </x:c>
      <x:c r="D2915" s="4" t="str">
        <x:v>Apartment</x:v>
      </x:c>
      <x:c r="E2915" s="4" t="str">
        <x:v>Reserved</x:v>
      </x:c>
      <x:c r="F2915" s="4" t="str">
        <x:v>CUS-02914</x:v>
      </x:c>
      <x:c r="G2915" s="4" t="str">
        <x:v>UNIT-02914</x:v>
      </x:c>
      <x:c r="H2915" s="9" t="n">
        <x:v>16300000</x:v>
      </x:c>
      <x:c r="I2915" s="10" t="n">
        <x:v>0.12</x:v>
      </x:c>
      <x:c r="J2915" s="11" t="n">
        <x:v>8</x:v>
      </x:c>
      <x:c r="K2915" s="11" t="n">
        <x:v>5</x:v>
      </x:c>
      <x:c r="L2915" s="11" t="n">
        <x:v>1</x:v>
      </x:c>
      <x:c r="M2915" s="9" t="n">
        <x:f>ROUND(H2915*(1-I2915),2)</x:f>
        <x:v>14344000</x:v>
      </x:c>
      <x:c r="N2915" s="4" t="str">
        <x:v>Sales head</x:v>
      </x:c>
      <x:c r="O2915" s="4"/>
      <x:c r="P2915" s="9" t="n">
        <x:v>0</x:v>
      </x:c>
      <x:c r="Q2915" s="11" t="n">
        <x:v>1</x:v>
      </x:c>
      <x:c r="R2915" s="8" t="n">
        <x:v>45505</x:v>
      </x:c>
      <x:c r="S2915" s="4" t="str">
        <x:v>Lost / cancelled</x:v>
      </x:c>
      <x:c r="T2915" s="10" t="n">
        <x:v>0.310195</x:v>
      </x:c>
      <x:c r="U2915" s="4" t="str">
        <x:v>Excluded / unlabelled</x:v>
      </x:c>
    </x:row>
    <x:row r="2916" ht="34" customHeight="1">
      <x:c r="A2916" s="4" t="str">
        <x:v>RS-02915</x:v>
      </x:c>
      <x:c r="B2916" s="8" t="n">
        <x:v>45446</x:v>
      </x:c>
      <x:c r="C2916" s="4" t="str">
        <x:v>PRJ-015</x:v>
      </x:c>
      <x:c r="D2916" s="4" t="str">
        <x:v>Apartment</x:v>
      </x:c>
      <x:c r="E2916" s="4" t="str">
        <x:v>Agreement signed</x:v>
      </x:c>
      <x:c r="F2916" s="4" t="str">
        <x:v>CUS-02915</x:v>
      </x:c>
      <x:c r="G2916" s="4" t="str">
        <x:v>UNIT-02915</x:v>
      </x:c>
      <x:c r="H2916" s="9" t="n">
        <x:v>22700000</x:v>
      </x:c>
      <x:c r="I2916" s="10" t="n">
        <x:v>0.01</x:v>
      </x:c>
      <x:c r="J2916" s="11" t="n">
        <x:v>7</x:v>
      </x:c>
      <x:c r="K2916" s="11" t="n">
        <x:v>1</x:v>
      </x:c>
      <x:c r="L2916" s="11" t="n">
        <x:v>0</x:v>
      </x:c>
      <x:c r="M2916" s="9" t="n">
        <x:f>ROUND(H2916*(1-I2916),2)</x:f>
        <x:v>22473000</x:v>
      </x:c>
      <x:c r="N2916" s="4" t="str">
        <x:v>Sales manager</x:v>
      </x:c>
      <x:c r="O2916" s="4" t="str">
        <x:v>BOOK-02915</x:v>
      </x:c>
      <x:c r="P2916" s="9" t="n">
        <x:v>5618250</x:v>
      </x:c>
      <x:c r="Q2916" s="11" t="n">
        <x:v>0</x:v>
      </x:c>
      <x:c r="R2916" s="8" t="n">
        <x:v>45506</x:v>
      </x:c>
      <x:c r="S2916" s="4" t="str">
        <x:v>Retained</x:v>
      </x:c>
      <x:c r="T2916" s="10" t="n">
        <x:v>0.298969</x:v>
      </x:c>
      <x:c r="U2916" s="4" t="str">
        <x:v>Excluded / unlabelled</x:v>
      </x:c>
    </x:row>
    <x:row r="2917" ht="34" customHeight="1">
      <x:c r="A2917" s="4" t="str">
        <x:v>RS-02916</x:v>
      </x:c>
      <x:c r="B2917" s="8" t="n">
        <x:v>45447</x:v>
      </x:c>
      <x:c r="C2917" s="4" t="str">
        <x:v>PRJ-016</x:v>
      </x:c>
      <x:c r="D2917" s="4" t="str">
        <x:v>Retail</x:v>
      </x:c>
      <x:c r="E2917" s="4" t="str">
        <x:v>Enquiry</x:v>
      </x:c>
      <x:c r="F2917" s="4" t="str">
        <x:v>CUS-02916</x:v>
      </x:c>
      <x:c r="G2917" s="4" t="str">
        <x:v>UNIT-02916</x:v>
      </x:c>
      <x:c r="H2917" s="9" t="n">
        <x:v>13300000</x:v>
      </x:c>
      <x:c r="I2917" s="10" t="n">
        <x:v>0.08</x:v>
      </x:c>
      <x:c r="J2917" s="11" t="n">
        <x:v>6</x:v>
      </x:c>
      <x:c r="K2917" s="11" t="n">
        <x:v>5</x:v>
      </x:c>
      <x:c r="L2917" s="11" t="n">
        <x:v>1</x:v>
      </x:c>
      <x:c r="M2917" s="9" t="n">
        <x:f>ROUND(H2917*(1-I2917),2)</x:f>
        <x:v>12236000</x:v>
      </x:c>
      <x:c r="N2917" s="4" t="str">
        <x:v>Sales head</x:v>
      </x:c>
      <x:c r="O2917" s="4"/>
      <x:c r="P2917" s="9" t="n">
        <x:v>0</x:v>
      </x:c>
      <x:c r="Q2917" s="11" t="n">
        <x:v>1</x:v>
      </x:c>
      <x:c r="R2917" s="8" t="n">
        <x:v>45507</x:v>
      </x:c>
      <x:c r="S2917" s="4" t="str">
        <x:v>Lost / cancelled</x:v>
      </x:c>
      <x:c r="T2917" s="10" t="n">
        <x:v>0.291946</x:v>
      </x:c>
      <x:c r="U2917" s="4" t="str">
        <x:v>Excluded / unlabelled</x:v>
      </x:c>
    </x:row>
    <x:row r="2918" ht="34" customHeight="1">
      <x:c r="A2918" s="4" t="str">
        <x:v>RS-02917</x:v>
      </x:c>
      <x:c r="B2918" s="8" t="n">
        <x:v>45448</x:v>
      </x:c>
      <x:c r="C2918" s="4" t="str">
        <x:v>PRJ-017</x:v>
      </x:c>
      <x:c r="D2918" s="4" t="str">
        <x:v>Apartment</x:v>
      </x:c>
      <x:c r="E2918" s="4" t="str">
        <x:v>Handed over</x:v>
      </x:c>
      <x:c r="F2918" s="4" t="str">
        <x:v>CUS-02917</x:v>
      </x:c>
      <x:c r="G2918" s="4" t="str">
        <x:v>UNIT-02917</x:v>
      </x:c>
      <x:c r="H2918" s="9" t="n">
        <x:v>10500000</x:v>
      </x:c>
      <x:c r="I2918" s="10" t="n">
        <x:v>0.09</x:v>
      </x:c>
      <x:c r="J2918" s="11" t="n">
        <x:v>11</x:v>
      </x:c>
      <x:c r="K2918" s="11" t="n">
        <x:v>2</x:v>
      </x:c>
      <x:c r="L2918" s="11" t="n">
        <x:v>1</x:v>
      </x:c>
      <x:c r="M2918" s="9" t="n">
        <x:f>ROUND(H2918*(1-I2918),2)</x:f>
        <x:v>9555000</x:v>
      </x:c>
      <x:c r="N2918" s="4" t="str">
        <x:v>Sales head</x:v>
      </x:c>
      <x:c r="O2918" s="4" t="str">
        <x:v>BOOK-02917</x:v>
      </x:c>
      <x:c r="P2918" s="9" t="n">
        <x:v>4777500</x:v>
      </x:c>
      <x:c r="Q2918" s="11" t="n">
        <x:v>0</x:v>
      </x:c>
      <x:c r="R2918" s="8" t="n">
        <x:v>45508</x:v>
      </x:c>
      <x:c r="S2918" s="4" t="str">
        <x:v>Retained</x:v>
      </x:c>
      <x:c r="T2918" s="10" t="n">
        <x:v>0.351536</x:v>
      </x:c>
      <x:c r="U2918" s="4" t="str">
        <x:v>Excluded / unlabelled</x:v>
      </x:c>
    </x:row>
    <x:row r="2919" ht="34" customHeight="1">
      <x:c r="A2919" s="4" t="str">
        <x:v>RS-02918</x:v>
      </x:c>
      <x:c r="B2919" s="8" t="n">
        <x:v>45449</x:v>
      </x:c>
      <x:c r="C2919" s="4" t="str">
        <x:v>PRJ-018</x:v>
      </x:c>
      <x:c r="D2919" s="4" t="str">
        <x:v>Retail</x:v>
      </x:c>
      <x:c r="E2919" s="4" t="str">
        <x:v>Handed over</x:v>
      </x:c>
      <x:c r="F2919" s="4" t="str">
        <x:v>CUS-02918</x:v>
      </x:c>
      <x:c r="G2919" s="4" t="str">
        <x:v>UNIT-02918</x:v>
      </x:c>
      <x:c r="H2919" s="9" t="n">
        <x:v>17500000</x:v>
      </x:c>
      <x:c r="I2919" s="10" t="n">
        <x:v>0.02</x:v>
      </x:c>
      <x:c r="J2919" s="11" t="n">
        <x:v>8</x:v>
      </x:c>
      <x:c r="K2919" s="11" t="n">
        <x:v>9</x:v>
      </x:c>
      <x:c r="L2919" s="11" t="n">
        <x:v>0</x:v>
      </x:c>
      <x:c r="M2919" s="9" t="n">
        <x:f>ROUND(H2919*(1-I2919),2)</x:f>
        <x:v>17150000</x:v>
      </x:c>
      <x:c r="N2919" s="4" t="str">
        <x:v>Sales manager</x:v>
      </x:c>
      <x:c r="O2919" s="4" t="str">
        <x:v>BOOK-02918</x:v>
      </x:c>
      <x:c r="P2919" s="9" t="n">
        <x:v>17150000</x:v>
      </x:c>
      <x:c r="Q2919" s="11" t="n">
        <x:v>0</x:v>
      </x:c>
      <x:c r="R2919" s="8" t="n">
        <x:v>45509</x:v>
      </x:c>
      <x:c r="S2919" s="4" t="str">
        <x:v>Retained</x:v>
      </x:c>
      <x:c r="T2919" s="10" t="n">
        <x:v>0.305556</x:v>
      </x:c>
      <x:c r="U2919" s="4" t="str">
        <x:v>Excluded / unlabelled</x:v>
      </x:c>
    </x:row>
    <x:row r="2920" ht="34" customHeight="1">
      <x:c r="A2920" s="4" t="str">
        <x:v>RS-02919</x:v>
      </x:c>
      <x:c r="B2920" s="8" t="n">
        <x:v>45450</x:v>
      </x:c>
      <x:c r="C2920" s="4" t="str">
        <x:v>PRJ-019</x:v>
      </x:c>
      <x:c r="D2920" s="4" t="str">
        <x:v>Retail</x:v>
      </x:c>
      <x:c r="E2920" s="4" t="str">
        <x:v>Booked</x:v>
      </x:c>
      <x:c r="F2920" s="4" t="str">
        <x:v>CUS-02919</x:v>
      </x:c>
      <x:c r="G2920" s="4" t="str">
        <x:v>UNIT-02919</x:v>
      </x:c>
      <x:c r="H2920" s="9" t="n">
        <x:v>7800000</x:v>
      </x:c>
      <x:c r="I2920" s="10" t="n">
        <x:v>0.07</x:v>
      </x:c>
      <x:c r="J2920" s="11" t="n">
        <x:v>9</x:v>
      </x:c>
      <x:c r="K2920" s="11" t="n">
        <x:v>10</x:v>
      </x:c>
      <x:c r="L2920" s="11" t="n">
        <x:v>0</x:v>
      </x:c>
      <x:c r="M2920" s="9" t="n">
        <x:f>ROUND(H2920*(1-I2920),2)</x:f>
        <x:v>7254000</x:v>
      </x:c>
      <x:c r="N2920" s="4" t="str">
        <x:v>Sales manager</x:v>
      </x:c>
      <x:c r="O2920" s="4" t="str">
        <x:v>BOOK-02919</x:v>
      </x:c>
      <x:c r="P2920" s="9" t="n">
        <x:v>3627000</x:v>
      </x:c>
      <x:c r="Q2920" s="11" t="n">
        <x:v>0</x:v>
      </x:c>
      <x:c r="R2920" s="8" t="n">
        <x:v>45510</x:v>
      </x:c>
      <x:c r="S2920" s="4" t="str">
        <x:v>Retained</x:v>
      </x:c>
      <x:c r="T2920" s="10" t="n">
        <x:v>0.310195</x:v>
      </x:c>
      <x:c r="U2920" s="4" t="str">
        <x:v>Excluded / unlabelled</x:v>
      </x:c>
    </x:row>
    <x:row r="2921" ht="34" customHeight="1">
      <x:c r="A2921" s="4" t="str">
        <x:v>RS-02920</x:v>
      </x:c>
      <x:c r="B2921" s="8" t="n">
        <x:v>45451</x:v>
      </x:c>
      <x:c r="C2921" s="4" t="str">
        <x:v>PRJ-020</x:v>
      </x:c>
      <x:c r="D2921" s="4" t="str">
        <x:v>Villa</x:v>
      </x:c>
      <x:c r="E2921" s="4" t="str">
        <x:v>Handed over</x:v>
      </x:c>
      <x:c r="F2921" s="4" t="str">
        <x:v>CUS-02920</x:v>
      </x:c>
      <x:c r="G2921" s="4" t="str">
        <x:v>UNIT-02920</x:v>
      </x:c>
      <x:c r="H2921" s="9" t="n">
        <x:v>16900000</x:v>
      </x:c>
      <x:c r="I2921" s="10" t="n">
        <x:v>0.04</x:v>
      </x:c>
      <x:c r="J2921" s="11" t="n">
        <x:v>6</x:v>
      </x:c>
      <x:c r="K2921" s="11" t="n">
        <x:v>9</x:v>
      </x:c>
      <x:c r="L2921" s="11" t="n">
        <x:v>1</x:v>
      </x:c>
      <x:c r="M2921" s="9" t="n">
        <x:f>ROUND(H2921*(1-I2921),2)</x:f>
        <x:v>16224000</x:v>
      </x:c>
      <x:c r="N2921" s="4" t="str">
        <x:v>Sales manager</x:v>
      </x:c>
      <x:c r="O2921" s="4" t="str">
        <x:v>BOOK-02920</x:v>
      </x:c>
      <x:c r="P2921" s="9" t="n">
        <x:v>8112000</x:v>
      </x:c>
      <x:c r="Q2921" s="11" t="n">
        <x:v>0</x:v>
      </x:c>
      <x:c r="R2921" s="8" t="n">
        <x:v>45511</x:v>
      </x:c>
      <x:c r="S2921" s="4" t="str">
        <x:v>Retained</x:v>
      </x:c>
      <x:c r="T2921" s="10" t="n">
        <x:v>0.291946</x:v>
      </x:c>
      <x:c r="U2921" s="4" t="str">
        <x:v>Excluded / unlabelled</x:v>
      </x:c>
    </x:row>
    <x:row r="2922" ht="34" customHeight="1">
      <x:c r="A2922" s="4" t="str">
        <x:v>RS-02921</x:v>
      </x:c>
      <x:c r="B2922" s="8" t="n">
        <x:v>45452</x:v>
      </x:c>
      <x:c r="C2922" s="4" t="str">
        <x:v>PRJ-001</x:v>
      </x:c>
      <x:c r="D2922" s="4" t="str">
        <x:v>Apartment</x:v>
      </x:c>
      <x:c r="E2922" s="4" t="str">
        <x:v>Handed over</x:v>
      </x:c>
      <x:c r="F2922" s="4" t="str">
        <x:v>CUS-02921</x:v>
      </x:c>
      <x:c r="G2922" s="4" t="str">
        <x:v>UNIT-02921</x:v>
      </x:c>
      <x:c r="H2922" s="9" t="n">
        <x:v>8800000</x:v>
      </x:c>
      <x:c r="I2922" s="10" t="n">
        <x:v>0.09</x:v>
      </x:c>
      <x:c r="J2922" s="11" t="n">
        <x:v>1</x:v>
      </x:c>
      <x:c r="K2922" s="11" t="n">
        <x:v>5</x:v>
      </x:c>
      <x:c r="L2922" s="11" t="n">
        <x:v>0</x:v>
      </x:c>
      <x:c r="M2922" s="9" t="n">
        <x:f>ROUND(H2922*(1-I2922),2)</x:f>
        <x:v>8008000</x:v>
      </x:c>
      <x:c r="N2922" s="4" t="str">
        <x:v>Sales head</x:v>
      </x:c>
      <x:c r="O2922" s="4" t="str">
        <x:v>BOOK-02921</x:v>
      </x:c>
      <x:c r="P2922" s="9" t="n">
        <x:v>8008000</x:v>
      </x:c>
      <x:c r="Q2922" s="11" t="n">
        <x:v>0</x:v>
      </x:c>
      <x:c r="R2922" s="8" t="n">
        <x:v>45512</x:v>
      </x:c>
      <x:c r="S2922" s="4" t="str">
        <x:v>Retained</x:v>
      </x:c>
      <x:c r="T2922" s="10" t="n">
        <x:v>0.145833</x:v>
      </x:c>
      <x:c r="U2922" s="4" t="str">
        <x:v>Excluded / unlabelled</x:v>
      </x:c>
    </x:row>
    <x:row r="2923" ht="34" customHeight="1">
      <x:c r="A2923" s="4" t="str">
        <x:v>RS-02922</x:v>
      </x:c>
      <x:c r="B2923" s="8" t="n">
        <x:v>45453</x:v>
      </x:c>
      <x:c r="C2923" s="4" t="str">
        <x:v>PRJ-002</x:v>
      </x:c>
      <x:c r="D2923" s="4" t="str">
        <x:v>Office</x:v>
      </x:c>
      <x:c r="E2923" s="4" t="str">
        <x:v>Reserved</x:v>
      </x:c>
      <x:c r="F2923" s="4" t="str">
        <x:v>CUS-02922</x:v>
      </x:c>
      <x:c r="G2923" s="4" t="str">
        <x:v>UNIT-02922</x:v>
      </x:c>
      <x:c r="H2923" s="9" t="n">
        <x:v>3300000</x:v>
      </x:c>
      <x:c r="I2923" s="10" t="n">
        <x:v>0.1</x:v>
      </x:c>
      <x:c r="J2923" s="11" t="n">
        <x:v>10</x:v>
      </x:c>
      <x:c r="K2923" s="11" t="n">
        <x:v>9</x:v>
      </x:c>
      <x:c r="L2923" s="11" t="n">
        <x:v>1</x:v>
      </x:c>
      <x:c r="M2923" s="9" t="n">
        <x:f>ROUND(H2923*(1-I2923),2)</x:f>
        <x:v>2970000</x:v>
      </x:c>
      <x:c r="N2923" s="4" t="str">
        <x:v>Sales head</x:v>
      </x:c>
      <x:c r="O2923" s="4"/>
      <x:c r="P2923" s="9" t="n">
        <x:v>0</x:v>
      </x:c>
      <x:c r="Q2923" s="11" t="n">
        <x:v>1</x:v>
      </x:c>
      <x:c r="R2923" s="8" t="n">
        <x:v>45513</x:v>
      </x:c>
      <x:c r="S2923" s="4" t="str">
        <x:v>Lost / cancelled</x:v>
      </x:c>
      <x:c r="T2923" s="10" t="n">
        <x:v>0.310195</x:v>
      </x:c>
      <x:c r="U2923" s="4" t="str">
        <x:v>Excluded / unlabelled</x:v>
      </x:c>
    </x:row>
    <x:row r="2924" ht="34" customHeight="1">
      <x:c r="A2924" s="4" t="str">
        <x:v>RS-02923</x:v>
      </x:c>
      <x:c r="B2924" s="8" t="n">
        <x:v>45454</x:v>
      </x:c>
      <x:c r="C2924" s="4" t="str">
        <x:v>PRJ-003</x:v>
      </x:c>
      <x:c r="D2924" s="4" t="str">
        <x:v>Office</x:v>
      </x:c>
      <x:c r="E2924" s="4" t="str">
        <x:v>Booked</x:v>
      </x:c>
      <x:c r="F2924" s="4" t="str">
        <x:v>CUS-02923</x:v>
      </x:c>
      <x:c r="G2924" s="4" t="str">
        <x:v>UNIT-02923</x:v>
      </x:c>
      <x:c r="H2924" s="9" t="n">
        <x:v>4600000</x:v>
      </x:c>
      <x:c r="I2924" s="10" t="n">
        <x:v>0.07</x:v>
      </x:c>
      <x:c r="J2924" s="11" t="n">
        <x:v>2</x:v>
      </x:c>
      <x:c r="K2924" s="11" t="n">
        <x:v>0</x:v>
      </x:c>
      <x:c r="L2924" s="11" t="n">
        <x:v>0</x:v>
      </x:c>
      <x:c r="M2924" s="9" t="n">
        <x:f>ROUND(H2924*(1-I2924),2)</x:f>
        <x:v>4278000</x:v>
      </x:c>
      <x:c r="N2924" s="4" t="str">
        <x:v>Sales manager</x:v>
      </x:c>
      <x:c r="O2924" s="4" t="str">
        <x:v>BOOK-02923</x:v>
      </x:c>
      <x:c r="P2924" s="9" t="n">
        <x:v>2139000</x:v>
      </x:c>
      <x:c r="Q2924" s="11" t="n">
        <x:v>0</x:v>
      </x:c>
      <x:c r="R2924" s="8" t="n">
        <x:v>45514</x:v>
      </x:c>
      <x:c r="S2924" s="4" t="str">
        <x:v>Retained</x:v>
      </x:c>
      <x:c r="T2924" s="10" t="n">
        <x:v>0.276923</x:v>
      </x:c>
      <x:c r="U2924" s="4" t="str">
        <x:v>Excluded / unlabelled</x:v>
      </x:c>
    </x:row>
    <x:row r="2925" ht="34" customHeight="1">
      <x:c r="A2925" s="4" t="str">
        <x:v>RS-02924</x:v>
      </x:c>
      <x:c r="B2925" s="8" t="n">
        <x:v>45455</x:v>
      </x:c>
      <x:c r="C2925" s="4" t="str">
        <x:v>PRJ-004</x:v>
      </x:c>
      <x:c r="D2925" s="4" t="str">
        <x:v>Retail</x:v>
      </x:c>
      <x:c r="E2925" s="4" t="str">
        <x:v>Cancelled</x:v>
      </x:c>
      <x:c r="F2925" s="4" t="str">
        <x:v>CUS-02924</x:v>
      </x:c>
      <x:c r="G2925" s="4" t="str">
        <x:v>UNIT-02924</x:v>
      </x:c>
      <x:c r="H2925" s="9" t="n">
        <x:v>15600000</x:v>
      </x:c>
      <x:c r="I2925" s="10" t="n">
        <x:v>0.12</x:v>
      </x:c>
      <x:c r="J2925" s="11" t="n">
        <x:v>7</x:v>
      </x:c>
      <x:c r="K2925" s="11" t="n">
        <x:v>9</x:v>
      </x:c>
      <x:c r="L2925" s="11" t="n">
        <x:v>0</x:v>
      </x:c>
      <x:c r="M2925" s="9" t="n">
        <x:f>ROUND(H2925*(1-I2925),2)</x:f>
        <x:v>13728000</x:v>
      </x:c>
      <x:c r="N2925" s="4" t="str">
        <x:v>Sales head</x:v>
      </x:c>
      <x:c r="O2925" s="4"/>
      <x:c r="P2925" s="9" t="n">
        <x:v>0</x:v>
      </x:c>
      <x:c r="Q2925" s="11" t="n">
        <x:v>1</x:v>
      </x:c>
      <x:c r="R2925" s="8" t="n">
        <x:v>45515</x:v>
      </x:c>
      <x:c r="S2925" s="4" t="str">
        <x:v>Lost / cancelled</x:v>
      </x:c>
      <x:c r="T2925" s="10" t="n">
        <x:v>0.226277</x:v>
      </x:c>
      <x:c r="U2925" s="4" t="str">
        <x:v>Excluded / unlabelled</x:v>
      </x:c>
    </x:row>
    <x:row r="2926" ht="34" customHeight="1">
      <x:c r="A2926" s="4" t="str">
        <x:v>RS-02925</x:v>
      </x:c>
      <x:c r="B2926" s="8" t="n">
        <x:v>45456</x:v>
      </x:c>
      <x:c r="C2926" s="4" t="str">
        <x:v>PRJ-005</x:v>
      </x:c>
      <x:c r="D2926" s="4" t="str">
        <x:v>Office</x:v>
      </x:c>
      <x:c r="E2926" s="4" t="str">
        <x:v>Handed over</x:v>
      </x:c>
      <x:c r="F2926" s="4" t="str">
        <x:v>CUS-02925</x:v>
      </x:c>
      <x:c r="G2926" s="4" t="str">
        <x:v>UNIT-02925</x:v>
      </x:c>
      <x:c r="H2926" s="9" t="n">
        <x:v>15800000</x:v>
      </x:c>
      <x:c r="I2926" s="10" t="n">
        <x:v>0.02</x:v>
      </x:c>
      <x:c r="J2926" s="11" t="n">
        <x:v>5</x:v>
      </x:c>
      <x:c r="K2926" s="11" t="n">
        <x:v>6</x:v>
      </x:c>
      <x:c r="L2926" s="11" t="n">
        <x:v>1</x:v>
      </x:c>
      <x:c r="M2926" s="9" t="n">
        <x:f>ROUND(H2926*(1-I2926),2)</x:f>
        <x:v>15484000</x:v>
      </x:c>
      <x:c r="N2926" s="4" t="str">
        <x:v>Sales manager</x:v>
      </x:c>
      <x:c r="O2926" s="4" t="str">
        <x:v>BOOK-02925</x:v>
      </x:c>
      <x:c r="P2926" s="9" t="n">
        <x:v>7742000</x:v>
      </x:c>
      <x:c r="Q2926" s="11" t="n">
        <x:v>0</x:v>
      </x:c>
      <x:c r="R2926" s="8" t="n">
        <x:v>45516</x:v>
      </x:c>
      <x:c r="S2926" s="4" t="str">
        <x:v>Retained</x:v>
      </x:c>
      <x:c r="T2926" s="10" t="n">
        <x:v>0.145299</x:v>
      </x:c>
      <x:c r="U2926" s="4" t="str">
        <x:v>Excluded / unlabelled</x:v>
      </x:c>
    </x:row>
    <x:row r="2927" ht="34" customHeight="1">
      <x:c r="A2927" s="4" t="str">
        <x:v>RS-02926</x:v>
      </x:c>
      <x:c r="B2927" s="8" t="n">
        <x:v>45457</x:v>
      </x:c>
      <x:c r="C2927" s="4" t="str">
        <x:v>PRJ-006</x:v>
      </x:c>
      <x:c r="D2927" s="4" t="str">
        <x:v>Villa</x:v>
      </x:c>
      <x:c r="E2927" s="4" t="str">
        <x:v>Handed over</x:v>
      </x:c>
      <x:c r="F2927" s="4" t="str">
        <x:v>CUS-02926</x:v>
      </x:c>
      <x:c r="G2927" s="4" t="str">
        <x:v>UNIT-02926</x:v>
      </x:c>
      <x:c r="H2927" s="9" t="n">
        <x:v>19100000</x:v>
      </x:c>
      <x:c r="I2927" s="10" t="n">
        <x:v>0.05</x:v>
      </x:c>
      <x:c r="J2927" s="11" t="n">
        <x:v>2</x:v>
      </x:c>
      <x:c r="K2927" s="11" t="n">
        <x:v>1</x:v>
      </x:c>
      <x:c r="L2927" s="11" t="n">
        <x:v>1</x:v>
      </x:c>
      <x:c r="M2927" s="9" t="n">
        <x:f>ROUND(H2927*(1-I2927),2)</x:f>
        <x:v>18145000</x:v>
      </x:c>
      <x:c r="N2927" s="4" t="str">
        <x:v>Sales manager</x:v>
      </x:c>
      <x:c r="O2927" s="4" t="str">
        <x:v>BOOK-02926</x:v>
      </x:c>
      <x:c r="P2927" s="9" t="n">
        <x:v>9072500</x:v>
      </x:c>
      <x:c r="Q2927" s="11" t="n">
        <x:v>0</x:v>
      </x:c>
      <x:c r="R2927" s="8" t="n">
        <x:v>45517</x:v>
      </x:c>
      <x:c r="S2927" s="4" t="str">
        <x:v>Retained</x:v>
      </x:c>
      <x:c r="T2927" s="10" t="n">
        <x:v>0.204152</x:v>
      </x:c>
      <x:c r="U2927" s="4" t="str">
        <x:v>Excluded / unlabelled</x:v>
      </x:c>
    </x:row>
    <x:row r="2928" ht="34" customHeight="1">
      <x:c r="A2928" s="4" t="str">
        <x:v>RS-02927</x:v>
      </x:c>
      <x:c r="B2928" s="8" t="n">
        <x:v>45458</x:v>
      </x:c>
      <x:c r="C2928" s="4" t="str">
        <x:v>PRJ-007</x:v>
      </x:c>
      <x:c r="D2928" s="4" t="str">
        <x:v>Villa</x:v>
      </x:c>
      <x:c r="E2928" s="4" t="str">
        <x:v>Handed over</x:v>
      </x:c>
      <x:c r="F2928" s="4" t="str">
        <x:v>CUS-02927</x:v>
      </x:c>
      <x:c r="G2928" s="4" t="str">
        <x:v>UNIT-02927</x:v>
      </x:c>
      <x:c r="H2928" s="9" t="n">
        <x:v>3200000</x:v>
      </x:c>
      <x:c r="I2928" s="10" t="n">
        <x:v>0.01</x:v>
      </x:c>
      <x:c r="J2928" s="11" t="n">
        <x:v>1</x:v>
      </x:c>
      <x:c r="K2928" s="11" t="n">
        <x:v>2</x:v>
      </x:c>
      <x:c r="L2928" s="11" t="n">
        <x:v>0</x:v>
      </x:c>
      <x:c r="M2928" s="9" t="n">
        <x:f>ROUND(H2928*(1-I2928),2)</x:f>
        <x:v>3168000</x:v>
      </x:c>
      <x:c r="N2928" s="4" t="str">
        <x:v>Sales manager</x:v>
      </x:c>
      <x:c r="O2928" s="4" t="str">
        <x:v>BOOK-02927</x:v>
      </x:c>
      <x:c r="P2928" s="9" t="n">
        <x:v>316800</x:v>
      </x:c>
      <x:c r="Q2928" s="11" t="n">
        <x:v>0</x:v>
      </x:c>
      <x:c r="R2928" s="8" t="n">
        <x:v>45518</x:v>
      </x:c>
      <x:c r="S2928" s="4" t="str">
        <x:v>Retained</x:v>
      </x:c>
      <x:c r="T2928" s="10" t="n">
        <x:v>0.072165</x:v>
      </x:c>
      <x:c r="U2928" s="4" t="str">
        <x:v>Excluded / unlabelled</x:v>
      </x:c>
    </x:row>
    <x:row r="2929" ht="34" customHeight="1">
      <x:c r="A2929" s="4" t="str">
        <x:v>RS-02928</x:v>
      </x:c>
      <x:c r="B2929" s="8" t="n">
        <x:v>45459</x:v>
      </x:c>
      <x:c r="C2929" s="4" t="str">
        <x:v>PRJ-008</x:v>
      </x:c>
      <x:c r="D2929" s="4" t="str">
        <x:v>Office</x:v>
      </x:c>
      <x:c r="E2929" s="4" t="str">
        <x:v>Handed over</x:v>
      </x:c>
      <x:c r="F2929" s="4" t="str">
        <x:v>CUS-02928</x:v>
      </x:c>
      <x:c r="G2929" s="4" t="str">
        <x:v>UNIT-02928</x:v>
      </x:c>
      <x:c r="H2929" s="9" t="n">
        <x:v>4600000</x:v>
      </x:c>
      <x:c r="I2929" s="10" t="n">
        <x:v>0.02</x:v>
      </x:c>
      <x:c r="J2929" s="11" t="n">
        <x:v>2</x:v>
      </x:c>
      <x:c r="K2929" s="11" t="n">
        <x:v>8</x:v>
      </x:c>
      <x:c r="L2929" s="11" t="n">
        <x:v>1</x:v>
      </x:c>
      <x:c r="M2929" s="9" t="n">
        <x:f>ROUND(H2929*(1-I2929),2)</x:f>
        <x:v>4508000</x:v>
      </x:c>
      <x:c r="N2929" s="4" t="str">
        <x:v>Sales manager</x:v>
      </x:c>
      <x:c r="O2929" s="4" t="str">
        <x:v>BOOK-02928</x:v>
      </x:c>
      <x:c r="P2929" s="9" t="n">
        <x:v>450800</x:v>
      </x:c>
      <x:c r="Q2929" s="11" t="n">
        <x:v>0</x:v>
      </x:c>
      <x:c r="R2929" s="8" t="n">
        <x:v>45519</x:v>
      </x:c>
      <x:c r="S2929" s="4" t="str">
        <x:v>Retained</x:v>
      </x:c>
      <x:c r="T2929" s="10" t="n">
        <x:v>0.171717</x:v>
      </x:c>
      <x:c r="U2929" s="4" t="str">
        <x:v>Excluded / unlabelled</x:v>
      </x:c>
    </x:row>
    <x:row r="2930" ht="34" customHeight="1">
      <x:c r="A2930" s="4" t="str">
        <x:v>RS-02929</x:v>
      </x:c>
      <x:c r="B2930" s="8" t="n">
        <x:v>45460</x:v>
      </x:c>
      <x:c r="C2930" s="4" t="str">
        <x:v>PRJ-009</x:v>
      </x:c>
      <x:c r="D2930" s="4" t="str">
        <x:v>Retail</x:v>
      </x:c>
      <x:c r="E2930" s="4" t="str">
        <x:v>Agreement signed</x:v>
      </x:c>
      <x:c r="F2930" s="4" t="str">
        <x:v>CUS-02929</x:v>
      </x:c>
      <x:c r="G2930" s="4" t="str">
        <x:v>UNIT-02929</x:v>
      </x:c>
      <x:c r="H2930" s="9" t="n">
        <x:v>16000000</x:v>
      </x:c>
      <x:c r="I2930" s="10" t="n">
        <x:v>0</x:v>
      </x:c>
      <x:c r="J2930" s="11" t="n">
        <x:v>8</x:v>
      </x:c>
      <x:c r="K2930" s="11" t="n">
        <x:v>0</x:v>
      </x:c>
      <x:c r="L2930" s="11" t="n">
        <x:v>1</x:v>
      </x:c>
      <x:c r="M2930" s="9" t="n">
        <x:f>ROUND(H2930*(1-I2930),2)</x:f>
        <x:v>16000000</x:v>
      </x:c>
      <x:c r="N2930" s="4" t="str">
        <x:v>Sales manager</x:v>
      </x:c>
      <x:c r="O2930" s="4" t="str">
        <x:v>BOOK-02929</x:v>
      </x:c>
      <x:c r="P2930" s="9" t="n">
        <x:v>8000000</x:v>
      </x:c>
      <x:c r="Q2930" s="11" t="n">
        <x:v>0</x:v>
      </x:c>
      <x:c r="R2930" s="8" t="n">
        <x:v>45520</x:v>
      </x:c>
      <x:c r="S2930" s="4" t="str">
        <x:v>Retained</x:v>
      </x:c>
      <x:c r="T2930" s="10" t="n">
        <x:v>0.254545</x:v>
      </x:c>
      <x:c r="U2930" s="4" t="str">
        <x:v>Excluded / unlabelled</x:v>
      </x:c>
    </x:row>
    <x:row r="2931" ht="34" customHeight="1">
      <x:c r="A2931" s="4" t="str">
        <x:v>RS-02930</x:v>
      </x:c>
      <x:c r="B2931" s="8" t="n">
        <x:v>45461</x:v>
      </x:c>
      <x:c r="C2931" s="4" t="str">
        <x:v>PRJ-010</x:v>
      </x:c>
      <x:c r="D2931" s="4" t="str">
        <x:v>Office</x:v>
      </x:c>
      <x:c r="E2931" s="4" t="str">
        <x:v>Enquiry</x:v>
      </x:c>
      <x:c r="F2931" s="4" t="str">
        <x:v>CUS-02930</x:v>
      </x:c>
      <x:c r="G2931" s="4" t="str">
        <x:v>UNIT-02930</x:v>
      </x:c>
      <x:c r="H2931" s="9" t="n">
        <x:v>5700000</x:v>
      </x:c>
      <x:c r="I2931" s="10" t="n">
        <x:v>0.06</x:v>
      </x:c>
      <x:c r="J2931" s="11" t="n">
        <x:v>10</x:v>
      </x:c>
      <x:c r="K2931" s="11" t="n">
        <x:v>3</x:v>
      </x:c>
      <x:c r="L2931" s="11" t="n">
        <x:v>1</x:v>
      </x:c>
      <x:c r="M2931" s="9" t="n">
        <x:f>ROUND(H2931*(1-I2931),2)</x:f>
        <x:v>5358000</x:v>
      </x:c>
      <x:c r="N2931" s="4" t="str">
        <x:v>Sales manager</x:v>
      </x:c>
      <x:c r="O2931" s="4"/>
      <x:c r="P2931" s="9" t="n">
        <x:v>0</x:v>
      </x:c>
      <x:c r="Q2931" s="11" t="n">
        <x:v>1</x:v>
      </x:c>
      <x:c r="R2931" s="8" t="n">
        <x:v>45521</x:v>
      </x:c>
      <x:c r="S2931" s="4" t="str">
        <x:v>Lost / cancelled</x:v>
      </x:c>
      <x:c r="T2931" s="10" t="n">
        <x:v>0.310195</x:v>
      </x:c>
      <x:c r="U2931" s="4" t="str">
        <x:v>Excluded / unlabelled</x:v>
      </x:c>
    </x:row>
    <x:row r="2932" ht="34" customHeight="1">
      <x:c r="A2932" s="4" t="str">
        <x:v>RS-02931</x:v>
      </x:c>
      <x:c r="B2932" s="8" t="n">
        <x:v>45462</x:v>
      </x:c>
      <x:c r="C2932" s="4" t="str">
        <x:v>PRJ-011</x:v>
      </x:c>
      <x:c r="D2932" s="4" t="str">
        <x:v>Retail</x:v>
      </x:c>
      <x:c r="E2932" s="4" t="str">
        <x:v>Handed over</x:v>
      </x:c>
      <x:c r="F2932" s="4" t="str">
        <x:v>CUS-02931</x:v>
      </x:c>
      <x:c r="G2932" s="4" t="str">
        <x:v>UNIT-02931</x:v>
      </x:c>
      <x:c r="H2932" s="9" t="n">
        <x:v>22800000</x:v>
      </x:c>
      <x:c r="I2932" s="10" t="n">
        <x:v>0.09</x:v>
      </x:c>
      <x:c r="J2932" s="11" t="n">
        <x:v>1</x:v>
      </x:c>
      <x:c r="K2932" s="11" t="n">
        <x:v>8</x:v>
      </x:c>
      <x:c r="L2932" s="11" t="n">
        <x:v>1</x:v>
      </x:c>
      <x:c r="M2932" s="9" t="n">
        <x:f>ROUND(H2932*(1-I2932),2)</x:f>
        <x:v>20748000</x:v>
      </x:c>
      <x:c r="N2932" s="4" t="str">
        <x:v>Sales head</x:v>
      </x:c>
      <x:c r="O2932" s="4" t="str">
        <x:v>BOOK-02931</x:v>
      </x:c>
      <x:c r="P2932" s="9" t="n">
        <x:v>2074800</x:v>
      </x:c>
      <x:c r="Q2932" s="11" t="n">
        <x:v>0</x:v>
      </x:c>
      <x:c r="R2932" s="8" t="n">
        <x:v>45522</x:v>
      </x:c>
      <x:c r="S2932" s="4" t="str">
        <x:v>Retained</x:v>
      </x:c>
      <x:c r="T2932" s="10" t="n">
        <x:v>0.145833</x:v>
      </x:c>
      <x:c r="U2932" s="4" t="str">
        <x:v>Excluded / unlabelled</x:v>
      </x:c>
    </x:row>
    <x:row r="2933" ht="34" customHeight="1">
      <x:c r="A2933" s="4" t="str">
        <x:v>RS-02932</x:v>
      </x:c>
      <x:c r="B2933" s="8" t="n">
        <x:v>45463</x:v>
      </x:c>
      <x:c r="C2933" s="4" t="str">
        <x:v>PRJ-012</x:v>
      </x:c>
      <x:c r="D2933" s="4" t="str">
        <x:v>Office</x:v>
      </x:c>
      <x:c r="E2933" s="4" t="str">
        <x:v>Enquiry</x:v>
      </x:c>
      <x:c r="F2933" s="4" t="str">
        <x:v>CUS-02932</x:v>
      </x:c>
      <x:c r="G2933" s="4" t="str">
        <x:v>UNIT-02932</x:v>
      </x:c>
      <x:c r="H2933" s="9" t="n">
        <x:v>17500000</x:v>
      </x:c>
      <x:c r="I2933" s="10" t="n">
        <x:v>0.03</x:v>
      </x:c>
      <x:c r="J2933" s="11" t="n">
        <x:v>9</x:v>
      </x:c>
      <x:c r="K2933" s="11" t="n">
        <x:v>10</x:v>
      </x:c>
      <x:c r="L2933" s="11" t="n">
        <x:v>0</x:v>
      </x:c>
      <x:c r="M2933" s="9" t="n">
        <x:f>ROUND(H2933*(1-I2933),2)</x:f>
        <x:v>16975000</x:v>
      </x:c>
      <x:c r="N2933" s="4" t="str">
        <x:v>Sales manager</x:v>
      </x:c>
      <x:c r="O2933" s="4"/>
      <x:c r="P2933" s="9" t="n">
        <x:v>0</x:v>
      </x:c>
      <x:c r="Q2933" s="11" t="n">
        <x:v>1</x:v>
      </x:c>
      <x:c r="R2933" s="8" t="n">
        <x:v>45523</x:v>
      </x:c>
      <x:c r="S2933" s="4" t="str">
        <x:v>Lost / cancelled</x:v>
      </x:c>
      <x:c r="T2933" s="10" t="n">
        <x:v>0.310195</x:v>
      </x:c>
      <x:c r="U2933" s="4" t="str">
        <x:v>Excluded / unlabelled</x:v>
      </x:c>
    </x:row>
    <x:row r="2934" ht="34" customHeight="1">
      <x:c r="A2934" s="4" t="str">
        <x:v>RS-02933</x:v>
      </x:c>
      <x:c r="B2934" s="8" t="n">
        <x:v>45464</x:v>
      </x:c>
      <x:c r="C2934" s="4" t="str">
        <x:v>PRJ-013</x:v>
      </x:c>
      <x:c r="D2934" s="4" t="str">
        <x:v>Apartment</x:v>
      </x:c>
      <x:c r="E2934" s="4" t="str">
        <x:v>Handed over</x:v>
      </x:c>
      <x:c r="F2934" s="4" t="str">
        <x:v>CUS-02933</x:v>
      </x:c>
      <x:c r="G2934" s="4" t="str">
        <x:v>UNIT-02933</x:v>
      </x:c>
      <x:c r="H2934" s="9" t="n">
        <x:v>21500000</x:v>
      </x:c>
      <x:c r="I2934" s="10" t="n">
        <x:v>0.08</x:v>
      </x:c>
      <x:c r="J2934" s="11" t="n">
        <x:v>2</x:v>
      </x:c>
      <x:c r="K2934" s="11" t="n">
        <x:v>5</x:v>
      </x:c>
      <x:c r="L2934" s="11" t="n">
        <x:v>1</x:v>
      </x:c>
      <x:c r="M2934" s="9" t="n">
        <x:f>ROUND(H2934*(1-I2934),2)</x:f>
        <x:v>19780000</x:v>
      </x:c>
      <x:c r="N2934" s="4" t="str">
        <x:v>Sales head</x:v>
      </x:c>
      <x:c r="O2934" s="4" t="str">
        <x:v>BOOK-02933</x:v>
      </x:c>
      <x:c r="P2934" s="9" t="n">
        <x:v>1978000</x:v>
      </x:c>
      <x:c r="Q2934" s="11" t="n">
        <x:v>0</x:v>
      </x:c>
      <x:c r="R2934" s="8" t="n">
        <x:v>45524</x:v>
      </x:c>
      <x:c r="S2934" s="4" t="str">
        <x:v>Retained</x:v>
      </x:c>
      <x:c r="T2934" s="10" t="n">
        <x:v>0.204152</x:v>
      </x:c>
      <x:c r="U2934" s="4" t="str">
        <x:v>Excluded / unlabelled</x:v>
      </x:c>
    </x:row>
    <x:row r="2935" ht="34" customHeight="1">
      <x:c r="A2935" s="4" t="str">
        <x:v>RS-02934</x:v>
      </x:c>
      <x:c r="B2935" s="8" t="n">
        <x:v>45465</x:v>
      </x:c>
      <x:c r="C2935" s="4" t="str">
        <x:v>PRJ-014</x:v>
      </x:c>
      <x:c r="D2935" s="4" t="str">
        <x:v>Apartment</x:v>
      </x:c>
      <x:c r="E2935" s="4" t="str">
        <x:v>Cancelled</x:v>
      </x:c>
      <x:c r="F2935" s="4" t="str">
        <x:v>CUS-02934</x:v>
      </x:c>
      <x:c r="G2935" s="4" t="str">
        <x:v>UNIT-02934</x:v>
      </x:c>
      <x:c r="H2935" s="9" t="n">
        <x:v>8500000</x:v>
      </x:c>
      <x:c r="I2935" s="10" t="n">
        <x:v>0.01</x:v>
      </x:c>
      <x:c r="J2935" s="11" t="n">
        <x:v>0</x:v>
      </x:c>
      <x:c r="K2935" s="11" t="n">
        <x:v>6</x:v>
      </x:c>
      <x:c r="L2935" s="11" t="n">
        <x:v>1</x:v>
      </x:c>
      <x:c r="M2935" s="9" t="n">
        <x:f>ROUND(H2935*(1-I2935),2)</x:f>
        <x:v>8415000</x:v>
      </x:c>
      <x:c r="N2935" s="4" t="str">
        <x:v>Sales manager</x:v>
      </x:c>
      <x:c r="O2935" s="4"/>
      <x:c r="P2935" s="9" t="n">
        <x:v>0</x:v>
      </x:c>
      <x:c r="Q2935" s="11" t="n">
        <x:v>1</x:v>
      </x:c>
      <x:c r="R2935" s="8" t="n">
        <x:v>45525</x:v>
      </x:c>
      <x:c r="S2935" s="4" t="str">
        <x:v>Lost / cancelled</x:v>
      </x:c>
      <x:c r="T2935" s="10" t="n">
        <x:v>0.072165</x:v>
      </x:c>
      <x:c r="U2935" s="4" t="str">
        <x:v>Excluded / unlabelled</x:v>
      </x:c>
    </x:row>
    <x:row r="2936" ht="34" customHeight="1">
      <x:c r="A2936" s="4" t="str">
        <x:v>RS-02935</x:v>
      </x:c>
      <x:c r="B2936" s="8" t="n">
        <x:v>45466</x:v>
      </x:c>
      <x:c r="C2936" s="4" t="str">
        <x:v>PRJ-015</x:v>
      </x:c>
      <x:c r="D2936" s="4" t="str">
        <x:v>Office</x:v>
      </x:c>
      <x:c r="E2936" s="4" t="str">
        <x:v>Reserved</x:v>
      </x:c>
      <x:c r="F2936" s="4" t="str">
        <x:v>CUS-02935</x:v>
      </x:c>
      <x:c r="G2936" s="4" t="str">
        <x:v>UNIT-02935</x:v>
      </x:c>
      <x:c r="H2936" s="9" t="n">
        <x:v>13400000</x:v>
      </x:c>
      <x:c r="I2936" s="10" t="n">
        <x:v>0.06</x:v>
      </x:c>
      <x:c r="J2936" s="11" t="n">
        <x:v>8</x:v>
      </x:c>
      <x:c r="K2936" s="11" t="n">
        <x:v>0</x:v>
      </x:c>
      <x:c r="L2936" s="11" t="n">
        <x:v>0</x:v>
      </x:c>
      <x:c r="M2936" s="9" t="n">
        <x:f>ROUND(H2936*(1-I2936),2)</x:f>
        <x:v>12596000</x:v>
      </x:c>
      <x:c r="N2936" s="4" t="str">
        <x:v>Sales manager</x:v>
      </x:c>
      <x:c r="O2936" s="4"/>
      <x:c r="P2936" s="9" t="n">
        <x:v>0</x:v>
      </x:c>
      <x:c r="Q2936" s="11" t="n">
        <x:v>1</x:v>
      </x:c>
      <x:c r="R2936" s="8" t="n">
        <x:v>45526</x:v>
      </x:c>
      <x:c r="S2936" s="4" t="str">
        <x:v>Lost / cancelled</x:v>
      </x:c>
      <x:c r="T2936" s="10" t="n">
        <x:v>0.310195</x:v>
      </x:c>
      <x:c r="U2936" s="4" t="str">
        <x:v>Excluded / unlabelled</x:v>
      </x:c>
    </x:row>
    <x:row r="2937" ht="34" customHeight="1">
      <x:c r="A2937" s="4" t="str">
        <x:v>RS-02936</x:v>
      </x:c>
      <x:c r="B2937" s="8" t="n">
        <x:v>45467</x:v>
      </x:c>
      <x:c r="C2937" s="4" t="str">
        <x:v>PRJ-016</x:v>
      </x:c>
      <x:c r="D2937" s="4" t="str">
        <x:v>Retail</x:v>
      </x:c>
      <x:c r="E2937" s="4" t="str">
        <x:v>Enquiry</x:v>
      </x:c>
      <x:c r="F2937" s="4" t="str">
        <x:v>CUS-02936</x:v>
      </x:c>
      <x:c r="G2937" s="4" t="str">
        <x:v>UNIT-02936</x:v>
      </x:c>
      <x:c r="H2937" s="9" t="n">
        <x:v>11400000</x:v>
      </x:c>
      <x:c r="I2937" s="10" t="n">
        <x:v>0.07</x:v>
      </x:c>
      <x:c r="J2937" s="11" t="n">
        <x:v>4</x:v>
      </x:c>
      <x:c r="K2937" s="11" t="n">
        <x:v>1</x:v>
      </x:c>
      <x:c r="L2937" s="11" t="n">
        <x:v>1</x:v>
      </x:c>
      <x:c r="M2937" s="9" t="n">
        <x:f>ROUND(H2937*(1-I2937),2)</x:f>
        <x:v>10602000</x:v>
      </x:c>
      <x:c r="N2937" s="4" t="str">
        <x:v>Sales manager</x:v>
      </x:c>
      <x:c r="O2937" s="4"/>
      <x:c r="P2937" s="9" t="n">
        <x:v>0</x:v>
      </x:c>
      <x:c r="Q2937" s="11" t="n">
        <x:v>0</x:v>
      </x:c>
      <x:c r="R2937" s="8" t="n">
        <x:v>45527</x:v>
      </x:c>
      <x:c r="S2937" s="4" t="str">
        <x:v>Retained</x:v>
      </x:c>
      <x:c r="T2937" s="10" t="n">
        <x:v>0.291946</x:v>
      </x:c>
      <x:c r="U2937" s="4" t="str">
        <x:v>Excluded / unlabelled</x:v>
      </x:c>
    </x:row>
    <x:row r="2938" ht="34" customHeight="1">
      <x:c r="A2938" s="4" t="str">
        <x:v>RS-02937</x:v>
      </x:c>
      <x:c r="B2938" s="8" t="n">
        <x:v>45468</x:v>
      </x:c>
      <x:c r="C2938" s="4" t="str">
        <x:v>PRJ-017</x:v>
      </x:c>
      <x:c r="D2938" s="4" t="str">
        <x:v>Apartment</x:v>
      </x:c>
      <x:c r="E2938" s="4" t="str">
        <x:v>Booked</x:v>
      </x:c>
      <x:c r="F2938" s="4" t="str">
        <x:v>CUS-02937</x:v>
      </x:c>
      <x:c r="G2938" s="4" t="str">
        <x:v>UNIT-02937</x:v>
      </x:c>
      <x:c r="H2938" s="9" t="n">
        <x:v>6800000</x:v>
      </x:c>
      <x:c r="I2938" s="10" t="n">
        <x:v>0.01</x:v>
      </x:c>
      <x:c r="J2938" s="11" t="n">
        <x:v>6</x:v>
      </x:c>
      <x:c r="K2938" s="11" t="n">
        <x:v>9</x:v>
      </x:c>
      <x:c r="L2938" s="11" t="n">
        <x:v>0</x:v>
      </x:c>
      <x:c r="M2938" s="9" t="n">
        <x:f>ROUND(H2938*(1-I2938),2)</x:f>
        <x:v>6732000</x:v>
      </x:c>
      <x:c r="N2938" s="4" t="str">
        <x:v>Sales manager</x:v>
      </x:c>
      <x:c r="O2938" s="4" t="str">
        <x:v>BOOK-02937</x:v>
      </x:c>
      <x:c r="P2938" s="9" t="n">
        <x:v>1683000</x:v>
      </x:c>
      <x:c r="Q2938" s="11" t="n">
        <x:v>0</x:v>
      </x:c>
      <x:c r="R2938" s="8" t="n">
        <x:v>45528</x:v>
      </x:c>
      <x:c r="S2938" s="4" t="str">
        <x:v>Retained</x:v>
      </x:c>
      <x:c r="T2938" s="10" t="n">
        <x:v>0.145299</x:v>
      </x:c>
      <x:c r="U2938" s="4" t="str">
        <x:v>Excluded / unlabelled</x:v>
      </x:c>
    </x:row>
    <x:row r="2939" ht="34" customHeight="1">
      <x:c r="A2939" s="4" t="str">
        <x:v>RS-02938</x:v>
      </x:c>
      <x:c r="B2939" s="8" t="n">
        <x:v>45469</x:v>
      </x:c>
      <x:c r="C2939" s="4" t="str">
        <x:v>PRJ-018</x:v>
      </x:c>
      <x:c r="D2939" s="4" t="str">
        <x:v>Office</x:v>
      </x:c>
      <x:c r="E2939" s="4" t="str">
        <x:v>Agreement signed</x:v>
      </x:c>
      <x:c r="F2939" s="4" t="str">
        <x:v>CUS-02938</x:v>
      </x:c>
      <x:c r="G2939" s="4" t="str">
        <x:v>UNIT-02938</x:v>
      </x:c>
      <x:c r="H2939" s="9" t="n">
        <x:v>21200000</x:v>
      </x:c>
      <x:c r="I2939" s="10" t="n">
        <x:v>0.09</x:v>
      </x:c>
      <x:c r="J2939" s="11" t="n">
        <x:v>12</x:v>
      </x:c>
      <x:c r="K2939" s="11" t="n">
        <x:v>10</x:v>
      </x:c>
      <x:c r="L2939" s="11" t="n">
        <x:v>0</x:v>
      </x:c>
      <x:c r="M2939" s="9" t="n">
        <x:f>ROUND(H2939*(1-I2939),2)</x:f>
        <x:v>19292000</x:v>
      </x:c>
      <x:c r="N2939" s="4" t="str">
        <x:v>Sales head</x:v>
      </x:c>
      <x:c r="O2939" s="4" t="str">
        <x:v>BOOK-02938</x:v>
      </x:c>
      <x:c r="P2939" s="9" t="n">
        <x:v>9646000</x:v>
      </x:c>
      <x:c r="Q2939" s="11" t="n">
        <x:v>0</x:v>
      </x:c>
      <x:c r="R2939" s="8" t="n">
        <x:v>45529</x:v>
      </x:c>
      <x:c r="S2939" s="4" t="str">
        <x:v>Retained</x:v>
      </x:c>
      <x:c r="T2939" s="10" t="n">
        <x:v>0.351536</x:v>
      </x:c>
      <x:c r="U2939" s="4" t="str">
        <x:v>Excluded / unlabelled</x:v>
      </x:c>
    </x:row>
    <x:row r="2940" ht="34" customHeight="1">
      <x:c r="A2940" s="4" t="str">
        <x:v>RS-02939</x:v>
      </x:c>
      <x:c r="B2940" s="8" t="n">
        <x:v>45470</x:v>
      </x:c>
      <x:c r="C2940" s="4" t="str">
        <x:v>PRJ-019</x:v>
      </x:c>
      <x:c r="D2940" s="4" t="str">
        <x:v>Apartment</x:v>
      </x:c>
      <x:c r="E2940" s="4" t="str">
        <x:v>Agreement signed</x:v>
      </x:c>
      <x:c r="F2940" s="4" t="str">
        <x:v>CUS-02939</x:v>
      </x:c>
      <x:c r="G2940" s="4" t="str">
        <x:v>UNIT-02939</x:v>
      </x:c>
      <x:c r="H2940" s="9" t="n">
        <x:v>24100000</x:v>
      </x:c>
      <x:c r="I2940" s="10" t="n">
        <x:v>0.02</x:v>
      </x:c>
      <x:c r="J2940" s="11" t="n">
        <x:v>9</x:v>
      </x:c>
      <x:c r="K2940" s="11" t="n">
        <x:v>1</x:v>
      </x:c>
      <x:c r="L2940" s="11" t="n">
        <x:v>0</x:v>
      </x:c>
      <x:c r="M2940" s="9" t="n">
        <x:f>ROUND(H2940*(1-I2940),2)</x:f>
        <x:v>23618000</x:v>
      </x:c>
      <x:c r="N2940" s="4" t="str">
        <x:v>Sales manager</x:v>
      </x:c>
      <x:c r="O2940" s="4" t="str">
        <x:v>BOOK-02939</x:v>
      </x:c>
      <x:c r="P2940" s="9" t="n">
        <x:v>11809000</x:v>
      </x:c>
      <x:c r="Q2940" s="11" t="n">
        <x:v>0</x:v>
      </x:c>
      <x:c r="R2940" s="8" t="n">
        <x:v>45530</x:v>
      </x:c>
      <x:c r="S2940" s="4" t="str">
        <x:v>Retained</x:v>
      </x:c>
      <x:c r="T2940" s="10" t="n">
        <x:v>0.305556</x:v>
      </x:c>
      <x:c r="U2940" s="4" t="str">
        <x:v>Excluded / unlabelled</x:v>
      </x:c>
    </x:row>
    <x:row r="2941" ht="34" customHeight="1">
      <x:c r="A2941" s="4" t="str">
        <x:v>RS-02940</x:v>
      </x:c>
      <x:c r="B2941" s="8" t="n">
        <x:v>45471</x:v>
      </x:c>
      <x:c r="C2941" s="4" t="str">
        <x:v>PRJ-020</x:v>
      </x:c>
      <x:c r="D2941" s="4" t="str">
        <x:v>Retail</x:v>
      </x:c>
      <x:c r="E2941" s="4" t="str">
        <x:v>Reserved</x:v>
      </x:c>
      <x:c r="F2941" s="4" t="str">
        <x:v>CUS-02940</x:v>
      </x:c>
      <x:c r="G2941" s="4" t="str">
        <x:v>UNIT-02940</x:v>
      </x:c>
      <x:c r="H2941" s="9" t="n">
        <x:v>24200000</x:v>
      </x:c>
      <x:c r="I2941" s="10" t="n">
        <x:v>0.04</x:v>
      </x:c>
      <x:c r="J2941" s="11" t="n">
        <x:v>12</x:v>
      </x:c>
      <x:c r="K2941" s="11" t="n">
        <x:v>8</x:v>
      </x:c>
      <x:c r="L2941" s="11" t="n">
        <x:v>0</x:v>
      </x:c>
      <x:c r="M2941" s="9" t="n">
        <x:f>ROUND(H2941*(1-I2941),2)</x:f>
        <x:v>23232000</x:v>
      </x:c>
      <x:c r="N2941" s="4" t="str">
        <x:v>Sales manager</x:v>
      </x:c>
      <x:c r="O2941" s="4"/>
      <x:c r="P2941" s="9" t="n">
        <x:v>0</x:v>
      </x:c>
      <x:c r="Q2941" s="11" t="n">
        <x:v>0</x:v>
      </x:c>
      <x:c r="R2941" s="8" t="n">
        <x:v>45531</x:v>
      </x:c>
      <x:c r="S2941" s="4" t="str">
        <x:v>Retained</x:v>
      </x:c>
      <x:c r="T2941" s="10" t="n">
        <x:v>0.351536</x:v>
      </x:c>
      <x:c r="U2941" s="4" t="str">
        <x:v>Excluded / unlabelled</x:v>
      </x:c>
    </x:row>
    <x:row r="2942" ht="34" customHeight="1">
      <x:c r="A2942" s="4" t="str">
        <x:v>RS-02941</x:v>
      </x:c>
      <x:c r="B2942" s="8" t="n">
        <x:v>45444</x:v>
      </x:c>
      <x:c r="C2942" s="4" t="str">
        <x:v>PRJ-001</x:v>
      </x:c>
      <x:c r="D2942" s="4" t="str">
        <x:v>Villa</x:v>
      </x:c>
      <x:c r="E2942" s="4" t="str">
        <x:v>Cancelled</x:v>
      </x:c>
      <x:c r="F2942" s="4" t="str">
        <x:v>CUS-02941</x:v>
      </x:c>
      <x:c r="G2942" s="4" t="str">
        <x:v>UNIT-02941</x:v>
      </x:c>
      <x:c r="H2942" s="9" t="n">
        <x:v>12700000</x:v>
      </x:c>
      <x:c r="I2942" s="10" t="n">
        <x:v>0.05</x:v>
      </x:c>
      <x:c r="J2942" s="11" t="n">
        <x:v>1</x:v>
      </x:c>
      <x:c r="K2942" s="11" t="n">
        <x:v>2</x:v>
      </x:c>
      <x:c r="L2942" s="11" t="n">
        <x:v>1</x:v>
      </x:c>
      <x:c r="M2942" s="9" t="n">
        <x:f>ROUND(H2942*(1-I2942),2)</x:f>
        <x:v>12065000</x:v>
      </x:c>
      <x:c r="N2942" s="4" t="str">
        <x:v>Sales manager</x:v>
      </x:c>
      <x:c r="O2942" s="4"/>
      <x:c r="P2942" s="9" t="n">
        <x:v>0</x:v>
      </x:c>
      <x:c r="Q2942" s="11" t="n">
        <x:v>1</x:v>
      </x:c>
      <x:c r="R2942" s="8" t="n">
        <x:v>45504</x:v>
      </x:c>
      <x:c r="S2942" s="4" t="str">
        <x:v>Lost / cancelled</x:v>
      </x:c>
      <x:c r="T2942" s="10" t="n">
        <x:v>0.204152</x:v>
      </x:c>
      <x:c r="U2942" s="4" t="str">
        <x:v>Excluded / unlabelled</x:v>
      </x:c>
    </x:row>
    <x:row r="2943" ht="34" customHeight="1">
      <x:c r="A2943" s="4" t="str">
        <x:v>RS-02942</x:v>
      </x:c>
      <x:c r="B2943" s="8" t="n">
        <x:v>45445</x:v>
      </x:c>
      <x:c r="C2943" s="4" t="str">
        <x:v>PRJ-002</x:v>
      </x:c>
      <x:c r="D2943" s="4" t="str">
        <x:v>Villa</x:v>
      </x:c>
      <x:c r="E2943" s="4" t="str">
        <x:v>Agreement signed</x:v>
      </x:c>
      <x:c r="F2943" s="4" t="str">
        <x:v>CUS-02942</x:v>
      </x:c>
      <x:c r="G2943" s="4" t="str">
        <x:v>UNIT-02942</x:v>
      </x:c>
      <x:c r="H2943" s="9" t="n">
        <x:v>19700000</x:v>
      </x:c>
      <x:c r="I2943" s="10" t="n">
        <x:v>0.08</x:v>
      </x:c>
      <x:c r="J2943" s="11" t="n">
        <x:v>1</x:v>
      </x:c>
      <x:c r="K2943" s="11" t="n">
        <x:v>2</x:v>
      </x:c>
      <x:c r="L2943" s="11" t="n">
        <x:v>0</x:v>
      </x:c>
      <x:c r="M2943" s="9" t="n">
        <x:f>ROUND(H2943*(1-I2943),2)</x:f>
        <x:v>18124000</x:v>
      </x:c>
      <x:c r="N2943" s="4" t="str">
        <x:v>Sales head</x:v>
      </x:c>
      <x:c r="O2943" s="4" t="str">
        <x:v>BOOK-02942</x:v>
      </x:c>
      <x:c r="P2943" s="9" t="n">
        <x:v>18124000</x:v>
      </x:c>
      <x:c r="Q2943" s="11" t="n">
        <x:v>0</x:v>
      </x:c>
      <x:c r="R2943" s="8" t="n">
        <x:v>45505</x:v>
      </x:c>
      <x:c r="S2943" s="4" t="str">
        <x:v>Retained</x:v>
      </x:c>
      <x:c r="T2943" s="10" t="n">
        <x:v>0.204152</x:v>
      </x:c>
      <x:c r="U2943" s="4" t="str">
        <x:v>Excluded / unlabelled</x:v>
      </x:c>
    </x:row>
    <x:row r="2944" ht="34" customHeight="1">
      <x:c r="A2944" s="4" t="str">
        <x:v>RS-02943</x:v>
      </x:c>
      <x:c r="B2944" s="8" t="n">
        <x:v>45446</x:v>
      </x:c>
      <x:c r="C2944" s="4" t="str">
        <x:v>PRJ-003</x:v>
      </x:c>
      <x:c r="D2944" s="4" t="str">
        <x:v>Villa</x:v>
      </x:c>
      <x:c r="E2944" s="4" t="str">
        <x:v>Agreement signed</x:v>
      </x:c>
      <x:c r="F2944" s="4" t="str">
        <x:v>CUS-02943</x:v>
      </x:c>
      <x:c r="G2944" s="4" t="str">
        <x:v>UNIT-02943</x:v>
      </x:c>
      <x:c r="H2944" s="9" t="n">
        <x:v>6500000</x:v>
      </x:c>
      <x:c r="I2944" s="10" t="n">
        <x:v>0.11</x:v>
      </x:c>
      <x:c r="J2944" s="11" t="n">
        <x:v>0</x:v>
      </x:c>
      <x:c r="K2944" s="11" t="n">
        <x:v>5</x:v>
      </x:c>
      <x:c r="L2944" s="11" t="n">
        <x:v>1</x:v>
      </x:c>
      <x:c r="M2944" s="9" t="n">
        <x:f>ROUND(H2944*(1-I2944),2)</x:f>
        <x:v>5785000</x:v>
      </x:c>
      <x:c r="N2944" s="4" t="str">
        <x:v>Sales head</x:v>
      </x:c>
      <x:c r="O2944" s="4" t="str">
        <x:v>BOOK-02943</x:v>
      </x:c>
      <x:c r="P2944" s="9" t="n">
        <x:v>2892500</x:v>
      </x:c>
      <x:c r="Q2944" s="11" t="n">
        <x:v>0</x:v>
      </x:c>
      <x:c r="R2944" s="8" t="n">
        <x:v>45506</x:v>
      </x:c>
      <x:c r="S2944" s="4" t="str">
        <x:v>Retained</x:v>
      </x:c>
      <x:c r="T2944" s="10" t="n">
        <x:v>0.145833</x:v>
      </x:c>
      <x:c r="U2944" s="4" t="str">
        <x:v>Excluded / unlabelled</x:v>
      </x:c>
    </x:row>
    <x:row r="2945" ht="34" customHeight="1">
      <x:c r="A2945" s="4" t="str">
        <x:v>RS-02944</x:v>
      </x:c>
      <x:c r="B2945" s="8" t="n">
        <x:v>45447</x:v>
      </x:c>
      <x:c r="C2945" s="4" t="str">
        <x:v>PRJ-004</x:v>
      </x:c>
      <x:c r="D2945" s="4" t="str">
        <x:v>Office</x:v>
      </x:c>
      <x:c r="E2945" s="4" t="str">
        <x:v>Handed over</x:v>
      </x:c>
      <x:c r="F2945" s="4" t="str">
        <x:v>CUS-02944</x:v>
      </x:c>
      <x:c r="G2945" s="4" t="str">
        <x:v>UNIT-02944</x:v>
      </x:c>
      <x:c r="H2945" s="9" t="n">
        <x:v>21700000</x:v>
      </x:c>
      <x:c r="I2945" s="10" t="n">
        <x:v>0.01</x:v>
      </x:c>
      <x:c r="J2945" s="11" t="n">
        <x:v>6</x:v>
      </x:c>
      <x:c r="K2945" s="11" t="n">
        <x:v>7</x:v>
      </x:c>
      <x:c r="L2945" s="11" t="n">
        <x:v>1</x:v>
      </x:c>
      <x:c r="M2945" s="9" t="n">
        <x:f>ROUND(H2945*(1-I2945),2)</x:f>
        <x:v>21483000</x:v>
      </x:c>
      <x:c r="N2945" s="4" t="str">
        <x:v>Sales manager</x:v>
      </x:c>
      <x:c r="O2945" s="4" t="str">
        <x:v>BOOK-02944</x:v>
      </x:c>
      <x:c r="P2945" s="9" t="n">
        <x:v>10741500</x:v>
      </x:c>
      <x:c r="Q2945" s="11" t="n">
        <x:v>0</x:v>
      </x:c>
      <x:c r="R2945" s="8" t="n">
        <x:v>45507</x:v>
      </x:c>
      <x:c r="S2945" s="4" t="str">
        <x:v>Retained</x:v>
      </x:c>
      <x:c r="T2945" s="10" t="n">
        <x:v>0.145299</x:v>
      </x:c>
      <x:c r="U2945" s="4" t="str">
        <x:v>Excluded / unlabelled</x:v>
      </x:c>
    </x:row>
    <x:row r="2946" ht="34" customHeight="1">
      <x:c r="A2946" s="4" t="str">
        <x:v>RS-02945</x:v>
      </x:c>
      <x:c r="B2946" s="8" t="n">
        <x:v>45448</x:v>
      </x:c>
      <x:c r="C2946" s="4" t="str">
        <x:v>PRJ-005</x:v>
      </x:c>
      <x:c r="D2946" s="4" t="str">
        <x:v>Villa</x:v>
      </x:c>
      <x:c r="E2946" s="4" t="str">
        <x:v>Enquiry</x:v>
      </x:c>
      <x:c r="F2946" s="4" t="str">
        <x:v>CUS-02945</x:v>
      </x:c>
      <x:c r="G2946" s="4" t="str">
        <x:v>UNIT-02945</x:v>
      </x:c>
      <x:c r="H2946" s="9" t="n">
        <x:v>22300000</x:v>
      </x:c>
      <x:c r="I2946" s="10" t="n">
        <x:v>0.05</x:v>
      </x:c>
      <x:c r="J2946" s="11" t="n">
        <x:v>11</x:v>
      </x:c>
      <x:c r="K2946" s="11" t="n">
        <x:v>4</x:v>
      </x:c>
      <x:c r="L2946" s="11" t="n">
        <x:v>1</x:v>
      </x:c>
      <x:c r="M2946" s="9" t="n">
        <x:f>ROUND(H2946*(1-I2946),2)</x:f>
        <x:v>21185000</x:v>
      </x:c>
      <x:c r="N2946" s="4" t="str">
        <x:v>Sales manager</x:v>
      </x:c>
      <x:c r="O2946" s="4"/>
      <x:c r="P2946" s="9" t="n">
        <x:v>0</x:v>
      </x:c>
      <x:c r="Q2946" s="11" t="n">
        <x:v>0</x:v>
      </x:c>
      <x:c r="R2946" s="8" t="n">
        <x:v>45508</x:v>
      </x:c>
      <x:c r="S2946" s="4" t="str">
        <x:v>Retained</x:v>
      </x:c>
      <x:c r="T2946" s="10" t="n">
        <x:v>0.351536</x:v>
      </x:c>
      <x:c r="U2946" s="4" t="str">
        <x:v>Excluded / unlabelled</x:v>
      </x:c>
    </x:row>
    <x:row r="2947" ht="34" customHeight="1">
      <x:c r="A2947" s="4" t="str">
        <x:v>RS-02946</x:v>
      </x:c>
      <x:c r="B2947" s="8" t="n">
        <x:v>45449</x:v>
      </x:c>
      <x:c r="C2947" s="4" t="str">
        <x:v>PRJ-006</x:v>
      </x:c>
      <x:c r="D2947" s="4" t="str">
        <x:v>Retail</x:v>
      </x:c>
      <x:c r="E2947" s="4" t="str">
        <x:v>Cancelled</x:v>
      </x:c>
      <x:c r="F2947" s="4" t="str">
        <x:v>CUS-02946</x:v>
      </x:c>
      <x:c r="G2947" s="4" t="str">
        <x:v>UNIT-02946</x:v>
      </x:c>
      <x:c r="H2947" s="9" t="n">
        <x:v>24400000</x:v>
      </x:c>
      <x:c r="I2947" s="10" t="n">
        <x:v>0.07</x:v>
      </x:c>
      <x:c r="J2947" s="11" t="n">
        <x:v>9</x:v>
      </x:c>
      <x:c r="K2947" s="11" t="n">
        <x:v>1</x:v>
      </x:c>
      <x:c r="L2947" s="11" t="n">
        <x:v>1</x:v>
      </x:c>
      <x:c r="M2947" s="9" t="n">
        <x:f>ROUND(H2947*(1-I2947),2)</x:f>
        <x:v>22692000</x:v>
      </x:c>
      <x:c r="N2947" s="4" t="str">
        <x:v>Sales manager</x:v>
      </x:c>
      <x:c r="O2947" s="4"/>
      <x:c r="P2947" s="9" t="n">
        <x:v>0</x:v>
      </x:c>
      <x:c r="Q2947" s="11" t="n">
        <x:v>1</x:v>
      </x:c>
      <x:c r="R2947" s="8" t="n">
        <x:v>45509</x:v>
      </x:c>
      <x:c r="S2947" s="4" t="str">
        <x:v>Lost / cancelled</x:v>
      </x:c>
      <x:c r="T2947" s="10" t="n">
        <x:v>0.310195</x:v>
      </x:c>
      <x:c r="U2947" s="4" t="str">
        <x:v>Excluded / unlabelled</x:v>
      </x:c>
    </x:row>
    <x:row r="2948" ht="34" customHeight="1">
      <x:c r="A2948" s="4" t="str">
        <x:v>RS-02947</x:v>
      </x:c>
      <x:c r="B2948" s="8" t="n">
        <x:v>45450</x:v>
      </x:c>
      <x:c r="C2948" s="4" t="str">
        <x:v>PRJ-007</x:v>
      </x:c>
      <x:c r="D2948" s="4" t="str">
        <x:v>Office</x:v>
      </x:c>
      <x:c r="E2948" s="4" t="str">
        <x:v>Reserved</x:v>
      </x:c>
      <x:c r="F2948" s="4" t="str">
        <x:v>CUS-02947</x:v>
      </x:c>
      <x:c r="G2948" s="4" t="str">
        <x:v>UNIT-02947</x:v>
      </x:c>
      <x:c r="H2948" s="9" t="n">
        <x:v>16100000</x:v>
      </x:c>
      <x:c r="I2948" s="10" t="n">
        <x:v>0</x:v>
      </x:c>
      <x:c r="J2948" s="11" t="n">
        <x:v>9</x:v>
      </x:c>
      <x:c r="K2948" s="11" t="n">
        <x:v>3</x:v>
      </x:c>
      <x:c r="L2948" s="11" t="n">
        <x:v>1</x:v>
      </x:c>
      <x:c r="M2948" s="9" t="n">
        <x:f>ROUND(H2948*(1-I2948),2)</x:f>
        <x:v>16100000</x:v>
      </x:c>
      <x:c r="N2948" s="4" t="str">
        <x:v>Sales manager</x:v>
      </x:c>
      <x:c r="O2948" s="4"/>
      <x:c r="P2948" s="9" t="n">
        <x:v>0</x:v>
      </x:c>
      <x:c r="Q2948" s="11" t="n">
        <x:v>1</x:v>
      </x:c>
      <x:c r="R2948" s="8" t="n">
        <x:v>45510</x:v>
      </x:c>
      <x:c r="S2948" s="4" t="str">
        <x:v>Lost / cancelled</x:v>
      </x:c>
      <x:c r="T2948" s="10" t="n">
        <x:v>0.254545</x:v>
      </x:c>
      <x:c r="U2948" s="4" t="str">
        <x:v>Excluded / unlabelled</x:v>
      </x:c>
    </x:row>
    <x:row r="2949" ht="34" customHeight="1">
      <x:c r="A2949" s="4" t="str">
        <x:v>RS-02948</x:v>
      </x:c>
      <x:c r="B2949" s="8" t="n">
        <x:v>45451</x:v>
      </x:c>
      <x:c r="C2949" s="4" t="str">
        <x:v>PRJ-008</x:v>
      </x:c>
      <x:c r="D2949" s="4" t="str">
        <x:v>Office</x:v>
      </x:c>
      <x:c r="E2949" s="4" t="str">
        <x:v>Enquiry</x:v>
      </x:c>
      <x:c r="F2949" s="4" t="str">
        <x:v>CUS-02948</x:v>
      </x:c>
      <x:c r="G2949" s="4" t="str">
        <x:v>UNIT-02948</x:v>
      </x:c>
      <x:c r="H2949" s="9" t="n">
        <x:v>4900000</x:v>
      </x:c>
      <x:c r="I2949" s="10" t="n">
        <x:v>0.1</x:v>
      </x:c>
      <x:c r="J2949" s="11" t="n">
        <x:v>6</x:v>
      </x:c>
      <x:c r="K2949" s="11" t="n">
        <x:v>7</x:v>
      </x:c>
      <x:c r="L2949" s="11" t="n">
        <x:v>0</x:v>
      </x:c>
      <x:c r="M2949" s="9" t="n">
        <x:f>ROUND(H2949*(1-I2949),2)</x:f>
        <x:v>4410000</x:v>
      </x:c>
      <x:c r="N2949" s="4" t="str">
        <x:v>Sales head</x:v>
      </x:c>
      <x:c r="O2949" s="4"/>
      <x:c r="P2949" s="9" t="n">
        <x:v>0</x:v>
      </x:c>
      <x:c r="Q2949" s="11" t="n">
        <x:v>0</x:v>
      </x:c>
      <x:c r="R2949" s="8" t="n">
        <x:v>45511</x:v>
      </x:c>
      <x:c r="S2949" s="4" t="str">
        <x:v>Retained</x:v>
      </x:c>
      <x:c r="T2949" s="10" t="n">
        <x:v>0.226277</x:v>
      </x:c>
      <x:c r="U2949" s="4" t="str">
        <x:v>Excluded / unlabelled</x:v>
      </x:c>
    </x:row>
    <x:row r="2950" ht="34" customHeight="1">
      <x:c r="A2950" s="4" t="str">
        <x:v>RS-02949</x:v>
      </x:c>
      <x:c r="B2950" s="8" t="n">
        <x:v>45452</x:v>
      </x:c>
      <x:c r="C2950" s="4" t="str">
        <x:v>PRJ-009</x:v>
      </x:c>
      <x:c r="D2950" s="4" t="str">
        <x:v>Office</x:v>
      </x:c>
      <x:c r="E2950" s="4" t="str">
        <x:v>Cancelled</x:v>
      </x:c>
      <x:c r="F2950" s="4" t="str">
        <x:v>CUS-02949</x:v>
      </x:c>
      <x:c r="G2950" s="4" t="str">
        <x:v>UNIT-02949</x:v>
      </x:c>
      <x:c r="H2950" s="9" t="n">
        <x:v>11300000</x:v>
      </x:c>
      <x:c r="I2950" s="10" t="n">
        <x:v>0</x:v>
      </x:c>
      <x:c r="J2950" s="11" t="n">
        <x:v>10</x:v>
      </x:c>
      <x:c r="K2950" s="11" t="n">
        <x:v>10</x:v>
      </x:c>
      <x:c r="L2950" s="11" t="n">
        <x:v>0</x:v>
      </x:c>
      <x:c r="M2950" s="9" t="n">
        <x:f>ROUND(H2950*(1-I2950),2)</x:f>
        <x:v>11300000</x:v>
      </x:c>
      <x:c r="N2950" s="4" t="str">
        <x:v>Sales manager</x:v>
      </x:c>
      <x:c r="O2950" s="4"/>
      <x:c r="P2950" s="9" t="n">
        <x:v>0</x:v>
      </x:c>
      <x:c r="Q2950" s="11" t="n">
        <x:v>1</x:v>
      </x:c>
      <x:c r="R2950" s="8" t="n">
        <x:v>45512</x:v>
      </x:c>
      <x:c r="S2950" s="4" t="str">
        <x:v>Lost / cancelled</x:v>
      </x:c>
      <x:c r="T2950" s="10" t="n">
        <x:v>0.305556</x:v>
      </x:c>
      <x:c r="U2950" s="4" t="str">
        <x:v>Excluded / unlabelled</x:v>
      </x:c>
    </x:row>
    <x:row r="2951" ht="34" customHeight="1">
      <x:c r="A2951" s="4" t="str">
        <x:v>RS-02950</x:v>
      </x:c>
      <x:c r="B2951" s="8" t="n">
        <x:v>45453</x:v>
      </x:c>
      <x:c r="C2951" s="4" t="str">
        <x:v>PRJ-010</x:v>
      </x:c>
      <x:c r="D2951" s="4" t="str">
        <x:v>Villa</x:v>
      </x:c>
      <x:c r="E2951" s="4" t="str">
        <x:v>Handed over</x:v>
      </x:c>
      <x:c r="F2951" s="4" t="str">
        <x:v>CUS-02950</x:v>
      </x:c>
      <x:c r="G2951" s="4" t="str">
        <x:v>UNIT-02950</x:v>
      </x:c>
      <x:c r="H2951" s="9" t="n">
        <x:v>17600000</x:v>
      </x:c>
      <x:c r="I2951" s="10" t="n">
        <x:v>0.01</x:v>
      </x:c>
      <x:c r="J2951" s="11" t="n">
        <x:v>2</x:v>
      </x:c>
      <x:c r="K2951" s="11" t="n">
        <x:v>8</x:v>
      </x:c>
      <x:c r="L2951" s="11" t="n">
        <x:v>1</x:v>
      </x:c>
      <x:c r="M2951" s="9" t="n">
        <x:f>ROUND(H2951*(1-I2951),2)</x:f>
        <x:v>17424000</x:v>
      </x:c>
      <x:c r="N2951" s="4" t="str">
        <x:v>Sales manager</x:v>
      </x:c>
      <x:c r="O2951" s="4" t="str">
        <x:v>BOOK-02950</x:v>
      </x:c>
      <x:c r="P2951" s="9" t="n">
        <x:v>4356000</x:v>
      </x:c>
      <x:c r="Q2951" s="11" t="n">
        <x:v>0</x:v>
      </x:c>
      <x:c r="R2951" s="8" t="n">
        <x:v>45513</x:v>
      </x:c>
      <x:c r="S2951" s="4" t="str">
        <x:v>Retained</x:v>
      </x:c>
      <x:c r="T2951" s="10" t="n">
        <x:v>0.171717</x:v>
      </x:c>
      <x:c r="U2951" s="4" t="str">
        <x:v>Excluded / unlabelled</x:v>
      </x:c>
    </x:row>
    <x:row r="2952" ht="34" customHeight="1">
      <x:c r="A2952" s="4" t="str">
        <x:v>RS-02951</x:v>
      </x:c>
      <x:c r="B2952" s="8" t="n">
        <x:v>45454</x:v>
      </x:c>
      <x:c r="C2952" s="4" t="str">
        <x:v>PRJ-011</x:v>
      </x:c>
      <x:c r="D2952" s="4" t="str">
        <x:v>Office</x:v>
      </x:c>
      <x:c r="E2952" s="4" t="str">
        <x:v>Handed over</x:v>
      </x:c>
      <x:c r="F2952" s="4" t="str">
        <x:v>CUS-02951</x:v>
      </x:c>
      <x:c r="G2952" s="4" t="str">
        <x:v>UNIT-02951</x:v>
      </x:c>
      <x:c r="H2952" s="9" t="n">
        <x:v>3900000</x:v>
      </x:c>
      <x:c r="I2952" s="10" t="n">
        <x:v>0.01</x:v>
      </x:c>
      <x:c r="J2952" s="11" t="n">
        <x:v>8</x:v>
      </x:c>
      <x:c r="K2952" s="11" t="n">
        <x:v>3</x:v>
      </x:c>
      <x:c r="L2952" s="11" t="n">
        <x:v>0</x:v>
      </x:c>
      <x:c r="M2952" s="9" t="n">
        <x:f>ROUND(H2952*(1-I2952),2)</x:f>
        <x:v>3861000</x:v>
      </x:c>
      <x:c r="N2952" s="4" t="str">
        <x:v>Sales manager</x:v>
      </x:c>
      <x:c r="O2952" s="4" t="str">
        <x:v>BOOK-02951</x:v>
      </x:c>
      <x:c r="P2952" s="9" t="n">
        <x:v>1930500</x:v>
      </x:c>
      <x:c r="Q2952" s="11" t="n">
        <x:v>0</x:v>
      </x:c>
      <x:c r="R2952" s="8" t="n">
        <x:v>45514</x:v>
      </x:c>
      <x:c r="S2952" s="4" t="str">
        <x:v>Retained</x:v>
      </x:c>
      <x:c r="T2952" s="10" t="n">
        <x:v>0.305556</x:v>
      </x:c>
      <x:c r="U2952" s="4" t="str">
        <x:v>Excluded / unlabelled</x:v>
      </x:c>
    </x:row>
    <x:row r="2953" ht="34" customHeight="1">
      <x:c r="A2953" s="4" t="str">
        <x:v>RS-02952</x:v>
      </x:c>
      <x:c r="B2953" s="8" t="n">
        <x:v>45455</x:v>
      </x:c>
      <x:c r="C2953" s="4" t="str">
        <x:v>PRJ-012</x:v>
      </x:c>
      <x:c r="D2953" s="4" t="str">
        <x:v>Office</x:v>
      </x:c>
      <x:c r="E2953" s="4" t="str">
        <x:v>Reserved</x:v>
      </x:c>
      <x:c r="F2953" s="4" t="str">
        <x:v>CUS-02952</x:v>
      </x:c>
      <x:c r="G2953" s="4" t="str">
        <x:v>UNIT-02952</x:v>
      </x:c>
      <x:c r="H2953" s="9" t="n">
        <x:v>4600000</x:v>
      </x:c>
      <x:c r="I2953" s="10" t="n">
        <x:v>0.06</x:v>
      </x:c>
      <x:c r="J2953" s="11" t="n">
        <x:v>0</x:v>
      </x:c>
      <x:c r="K2953" s="11" t="n">
        <x:v>3</x:v>
      </x:c>
      <x:c r="L2953" s="11" t="n">
        <x:v>1</x:v>
      </x:c>
      <x:c r="M2953" s="9" t="n">
        <x:f>ROUND(H2953*(1-I2953),2)</x:f>
        <x:v>4324000</x:v>
      </x:c>
      <x:c r="N2953" s="4" t="str">
        <x:v>Sales manager</x:v>
      </x:c>
      <x:c r="O2953" s="4"/>
      <x:c r="P2953" s="9" t="n">
        <x:v>0</x:v>
      </x:c>
      <x:c r="Q2953" s="11" t="n">
        <x:v>1</x:v>
      </x:c>
      <x:c r="R2953" s="8" t="n">
        <x:v>45515</x:v>
      </x:c>
      <x:c r="S2953" s="4" t="str">
        <x:v>Lost / cancelled</x:v>
      </x:c>
      <x:c r="T2953" s="10" t="n">
        <x:v>0.204152</x:v>
      </x:c>
      <x:c r="U2953" s="4" t="str">
        <x:v>Excluded / unlabelled</x:v>
      </x:c>
    </x:row>
    <x:row r="2954" ht="34" customHeight="1">
      <x:c r="A2954" s="4" t="str">
        <x:v>RS-02953</x:v>
      </x:c>
      <x:c r="B2954" s="8" t="n">
        <x:v>45456</x:v>
      </x:c>
      <x:c r="C2954" s="4" t="str">
        <x:v>PRJ-013</x:v>
      </x:c>
      <x:c r="D2954" s="4" t="str">
        <x:v>Office</x:v>
      </x:c>
      <x:c r="E2954" s="4" t="str">
        <x:v>Handed over</x:v>
      </x:c>
      <x:c r="F2954" s="4" t="str">
        <x:v>CUS-02953</x:v>
      </x:c>
      <x:c r="G2954" s="4" t="str">
        <x:v>UNIT-02953</x:v>
      </x:c>
      <x:c r="H2954" s="9" t="n">
        <x:v>3100000</x:v>
      </x:c>
      <x:c r="I2954" s="10" t="n">
        <x:v>0.09</x:v>
      </x:c>
      <x:c r="J2954" s="11" t="n">
        <x:v>10</x:v>
      </x:c>
      <x:c r="K2954" s="11" t="n">
        <x:v>9</x:v>
      </x:c>
      <x:c r="L2954" s="11" t="n">
        <x:v>1</x:v>
      </x:c>
      <x:c r="M2954" s="9" t="n">
        <x:f>ROUND(H2954*(1-I2954),2)</x:f>
        <x:v>2821000</x:v>
      </x:c>
      <x:c r="N2954" s="4" t="str">
        <x:v>Sales head</x:v>
      </x:c>
      <x:c r="O2954" s="4" t="str">
        <x:v>BOOK-02953</x:v>
      </x:c>
      <x:c r="P2954" s="9" t="n">
        <x:v>1410500</x:v>
      </x:c>
      <x:c r="Q2954" s="11" t="n">
        <x:v>0</x:v>
      </x:c>
      <x:c r="R2954" s="8" t="n">
        <x:v>45516</x:v>
      </x:c>
      <x:c r="S2954" s="4" t="str">
        <x:v>Retained</x:v>
      </x:c>
      <x:c r="T2954" s="10" t="n">
        <x:v>0.310195</x:v>
      </x:c>
      <x:c r="U2954" s="4" t="str">
        <x:v>Excluded / unlabelled</x:v>
      </x:c>
    </x:row>
    <x:row r="2955" ht="34" customHeight="1">
      <x:c r="A2955" s="4" t="str">
        <x:v>RS-02954</x:v>
      </x:c>
      <x:c r="B2955" s="8" t="n">
        <x:v>45457</x:v>
      </x:c>
      <x:c r="C2955" s="4" t="str">
        <x:v>PRJ-014</x:v>
      </x:c>
      <x:c r="D2955" s="4" t="str">
        <x:v>Apartment</x:v>
      </x:c>
      <x:c r="E2955" s="4" t="str">
        <x:v>Cancelled</x:v>
      </x:c>
      <x:c r="F2955" s="4" t="str">
        <x:v>CUS-02954</x:v>
      </x:c>
      <x:c r="G2955" s="4" t="str">
        <x:v>UNIT-02954</x:v>
      </x:c>
      <x:c r="H2955" s="9" t="n">
        <x:v>24700000</x:v>
      </x:c>
      <x:c r="I2955" s="10" t="n">
        <x:v>0.04</x:v>
      </x:c>
      <x:c r="J2955" s="11" t="n">
        <x:v>9</x:v>
      </x:c>
      <x:c r="K2955" s="11" t="n">
        <x:v>2</x:v>
      </x:c>
      <x:c r="L2955" s="11" t="n">
        <x:v>1</x:v>
      </x:c>
      <x:c r="M2955" s="9" t="n">
        <x:f>ROUND(H2955*(1-I2955),2)</x:f>
        <x:v>23712000</x:v>
      </x:c>
      <x:c r="N2955" s="4" t="str">
        <x:v>Sales manager</x:v>
      </x:c>
      <x:c r="O2955" s="4"/>
      <x:c r="P2955" s="9" t="n">
        <x:v>0</x:v>
      </x:c>
      <x:c r="Q2955" s="11" t="n">
        <x:v>1</x:v>
      </x:c>
      <x:c r="R2955" s="8" t="n">
        <x:v>45517</x:v>
      </x:c>
      <x:c r="S2955" s="4" t="str">
        <x:v>Lost / cancelled</x:v>
      </x:c>
      <x:c r="T2955" s="10" t="n">
        <x:v>0.310195</x:v>
      </x:c>
      <x:c r="U2955" s="4" t="str">
        <x:v>Excluded / unlabelled</x:v>
      </x:c>
    </x:row>
    <x:row r="2956" ht="34" customHeight="1">
      <x:c r="A2956" s="4" t="str">
        <x:v>RS-02955</x:v>
      </x:c>
      <x:c r="B2956" s="8" t="n">
        <x:v>45458</x:v>
      </x:c>
      <x:c r="C2956" s="4" t="str">
        <x:v>PRJ-015</x:v>
      </x:c>
      <x:c r="D2956" s="4" t="str">
        <x:v>Office</x:v>
      </x:c>
      <x:c r="E2956" s="4" t="str">
        <x:v>Agreement signed</x:v>
      </x:c>
      <x:c r="F2956" s="4" t="str">
        <x:v>CUS-02955</x:v>
      </x:c>
      <x:c r="G2956" s="4" t="str">
        <x:v>UNIT-02955</x:v>
      </x:c>
      <x:c r="H2956" s="9" t="n">
        <x:v>19100000</x:v>
      </x:c>
      <x:c r="I2956" s="10" t="n">
        <x:v>0.09</x:v>
      </x:c>
      <x:c r="J2956" s="11" t="n">
        <x:v>12</x:v>
      </x:c>
      <x:c r="K2956" s="11" t="n">
        <x:v>6</x:v>
      </x:c>
      <x:c r="L2956" s="11" t="n">
        <x:v>1</x:v>
      </x:c>
      <x:c r="M2956" s="9" t="n">
        <x:f>ROUND(H2956*(1-I2956),2)</x:f>
        <x:v>17381000</x:v>
      </x:c>
      <x:c r="N2956" s="4" t="str">
        <x:v>Sales head</x:v>
      </x:c>
      <x:c r="O2956" s="4" t="str">
        <x:v>BOOK-02955</x:v>
      </x:c>
      <x:c r="P2956" s="9" t="n">
        <x:v>8690500</x:v>
      </x:c>
      <x:c r="Q2956" s="11" t="n">
        <x:v>0</x:v>
      </x:c>
      <x:c r="R2956" s="8" t="n">
        <x:v>45518</x:v>
      </x:c>
      <x:c r="S2956" s="4" t="str">
        <x:v>Retained</x:v>
      </x:c>
      <x:c r="T2956" s="10" t="n">
        <x:v>0.351536</x:v>
      </x:c>
      <x:c r="U2956" s="4" t="str">
        <x:v>Excluded / unlabelled</x:v>
      </x:c>
    </x:row>
    <x:row r="2957" ht="34" customHeight="1">
      <x:c r="A2957" s="4" t="str">
        <x:v>RS-02956</x:v>
      </x:c>
      <x:c r="B2957" s="8" t="n">
        <x:v>45459</x:v>
      </x:c>
      <x:c r="C2957" s="4" t="str">
        <x:v>PRJ-016</x:v>
      </x:c>
      <x:c r="D2957" s="4" t="str">
        <x:v>Retail</x:v>
      </x:c>
      <x:c r="E2957" s="4" t="str">
        <x:v>Enquiry</x:v>
      </x:c>
      <x:c r="F2957" s="4" t="str">
        <x:v>CUS-02956</x:v>
      </x:c>
      <x:c r="G2957" s="4" t="str">
        <x:v>UNIT-02956</x:v>
      </x:c>
      <x:c r="H2957" s="9" t="n">
        <x:v>3700000</x:v>
      </x:c>
      <x:c r="I2957" s="10" t="n">
        <x:v>0.09</x:v>
      </x:c>
      <x:c r="J2957" s="11" t="n">
        <x:v>3</x:v>
      </x:c>
      <x:c r="K2957" s="11" t="n">
        <x:v>7</x:v>
      </x:c>
      <x:c r="L2957" s="11" t="n">
        <x:v>1</x:v>
      </x:c>
      <x:c r="M2957" s="9" t="n">
        <x:f>ROUND(H2957*(1-I2957),2)</x:f>
        <x:v>3367000</x:v>
      </x:c>
      <x:c r="N2957" s="4" t="str">
        <x:v>Sales head</x:v>
      </x:c>
      <x:c r="O2957" s="4"/>
      <x:c r="P2957" s="9" t="n">
        <x:v>0</x:v>
      </x:c>
      <x:c r="Q2957" s="11" t="n">
        <x:v>0</x:v>
      </x:c>
      <x:c r="R2957" s="8" t="n">
        <x:v>45519</x:v>
      </x:c>
      <x:c r="S2957" s="4" t="str">
        <x:v>Retained</x:v>
      </x:c>
      <x:c r="T2957" s="10" t="n">
        <x:v>0.145833</x:v>
      </x:c>
      <x:c r="U2957" s="4" t="str">
        <x:v>Excluded / unlabelled</x:v>
      </x:c>
    </x:row>
    <x:row r="2958" ht="34" customHeight="1">
      <x:c r="A2958" s="4" t="str">
        <x:v>RS-02957</x:v>
      </x:c>
      <x:c r="B2958" s="8" t="n">
        <x:v>45460</x:v>
      </x:c>
      <x:c r="C2958" s="4" t="str">
        <x:v>PRJ-017</x:v>
      </x:c>
      <x:c r="D2958" s="4" t="str">
        <x:v>Apartment</x:v>
      </x:c>
      <x:c r="E2958" s="4" t="str">
        <x:v>Enquiry</x:v>
      </x:c>
      <x:c r="F2958" s="4" t="str">
        <x:v>CUS-02957</x:v>
      </x:c>
      <x:c r="G2958" s="4" t="str">
        <x:v>UNIT-02957</x:v>
      </x:c>
      <x:c r="H2958" s="9" t="n">
        <x:v>10500000</x:v>
      </x:c>
      <x:c r="I2958" s="10" t="n">
        <x:v>0.02</x:v>
      </x:c>
      <x:c r="J2958" s="11" t="n">
        <x:v>9</x:v>
      </x:c>
      <x:c r="K2958" s="11" t="n">
        <x:v>10</x:v>
      </x:c>
      <x:c r="L2958" s="11" t="n">
        <x:v>0</x:v>
      </x:c>
      <x:c r="M2958" s="9" t="n">
        <x:f>ROUND(H2958*(1-I2958),2)</x:f>
        <x:v>10290000</x:v>
      </x:c>
      <x:c r="N2958" s="4" t="str">
        <x:v>Sales manager</x:v>
      </x:c>
      <x:c r="O2958" s="4"/>
      <x:c r="P2958" s="9" t="n">
        <x:v>0</x:v>
      </x:c>
      <x:c r="Q2958" s="11" t="n">
        <x:v>0</x:v>
      </x:c>
      <x:c r="R2958" s="8" t="n">
        <x:v>45520</x:v>
      </x:c>
      <x:c r="S2958" s="4" t="str">
        <x:v>Retained</x:v>
      </x:c>
      <x:c r="T2958" s="10" t="n">
        <x:v>0.305556</x:v>
      </x:c>
      <x:c r="U2958" s="4" t="str">
        <x:v>Excluded / unlabelled</x:v>
      </x:c>
    </x:row>
    <x:row r="2959" ht="34" customHeight="1">
      <x:c r="A2959" s="4" t="str">
        <x:v>RS-02958</x:v>
      </x:c>
      <x:c r="B2959" s="8" t="n">
        <x:v>45461</x:v>
      </x:c>
      <x:c r="C2959" s="4" t="str">
        <x:v>PRJ-018</x:v>
      </x:c>
      <x:c r="D2959" s="4" t="str">
        <x:v>Villa</x:v>
      </x:c>
      <x:c r="E2959" s="4" t="str">
        <x:v>Booked</x:v>
      </x:c>
      <x:c r="F2959" s="4" t="str">
        <x:v>CUS-02958</x:v>
      </x:c>
      <x:c r="G2959" s="4" t="str">
        <x:v>UNIT-02958</x:v>
      </x:c>
      <x:c r="H2959" s="9" t="n">
        <x:v>9800000</x:v>
      </x:c>
      <x:c r="I2959" s="10" t="n">
        <x:v>0.03</x:v>
      </x:c>
      <x:c r="J2959" s="11" t="n">
        <x:v>12</x:v>
      </x:c>
      <x:c r="K2959" s="11" t="n">
        <x:v>0</x:v>
      </x:c>
      <x:c r="L2959" s="11" t="n">
        <x:v>0</x:v>
      </x:c>
      <x:c r="M2959" s="9" t="n">
        <x:f>ROUND(H2959*(1-I2959),2)</x:f>
        <x:v>9506000</x:v>
      </x:c>
      <x:c r="N2959" s="4" t="str">
        <x:v>Sales manager</x:v>
      </x:c>
      <x:c r="O2959" s="4" t="str">
        <x:v>BOOK-02958</x:v>
      </x:c>
      <x:c r="P2959" s="9" t="n">
        <x:v>9506000</x:v>
      </x:c>
      <x:c r="Q2959" s="11" t="n">
        <x:v>0</x:v>
      </x:c>
      <x:c r="R2959" s="8" t="n">
        <x:v>45521</x:v>
      </x:c>
      <x:c r="S2959" s="4" t="str">
        <x:v>Retained</x:v>
      </x:c>
      <x:c r="T2959" s="10" t="n">
        <x:v>0.351536</x:v>
      </x:c>
      <x:c r="U2959" s="4" t="str">
        <x:v>Excluded / unlabelled</x:v>
      </x:c>
    </x:row>
    <x:row r="2960" ht="34" customHeight="1">
      <x:c r="A2960" s="4" t="str">
        <x:v>RS-02959</x:v>
      </x:c>
      <x:c r="B2960" s="8" t="n">
        <x:v>45462</x:v>
      </x:c>
      <x:c r="C2960" s="4" t="str">
        <x:v>PRJ-019</x:v>
      </x:c>
      <x:c r="D2960" s="4" t="str">
        <x:v>Retail</x:v>
      </x:c>
      <x:c r="E2960" s="4" t="str">
        <x:v>Reserved</x:v>
      </x:c>
      <x:c r="F2960" s="4" t="str">
        <x:v>CUS-02959</x:v>
      </x:c>
      <x:c r="G2960" s="4" t="str">
        <x:v>UNIT-02959</x:v>
      </x:c>
      <x:c r="H2960" s="9" t="n">
        <x:v>16700000</x:v>
      </x:c>
      <x:c r="I2960" s="10" t="n">
        <x:v>0.08</x:v>
      </x:c>
      <x:c r="J2960" s="11" t="n">
        <x:v>9</x:v>
      </x:c>
      <x:c r="K2960" s="11" t="n">
        <x:v>6</x:v>
      </x:c>
      <x:c r="L2960" s="11" t="n">
        <x:v>1</x:v>
      </x:c>
      <x:c r="M2960" s="9" t="n">
        <x:f>ROUND(H2960*(1-I2960),2)</x:f>
        <x:v>15364000</x:v>
      </x:c>
      <x:c r="N2960" s="4" t="str">
        <x:v>Sales head</x:v>
      </x:c>
      <x:c r="O2960" s="4"/>
      <x:c r="P2960" s="9" t="n">
        <x:v>0</x:v>
      </x:c>
      <x:c r="Q2960" s="11" t="n">
        <x:v>0</x:v>
      </x:c>
      <x:c r="R2960" s="8" t="n">
        <x:v>45522</x:v>
      </x:c>
      <x:c r="S2960" s="4" t="str">
        <x:v>Retained</x:v>
      </x:c>
      <x:c r="T2960" s="10" t="n">
        <x:v>0.310195</x:v>
      </x:c>
      <x:c r="U2960" s="4" t="str">
        <x:v>Excluded / unlabelled</x:v>
      </x:c>
    </x:row>
    <x:row r="2961" ht="34" customHeight="1">
      <x:c r="A2961" s="4" t="str">
        <x:v>RS-02960</x:v>
      </x:c>
      <x:c r="B2961" s="8" t="n">
        <x:v>45463</x:v>
      </x:c>
      <x:c r="C2961" s="4" t="str">
        <x:v>PRJ-020</x:v>
      </x:c>
      <x:c r="D2961" s="4" t="str">
        <x:v>Apartment</x:v>
      </x:c>
      <x:c r="E2961" s="4" t="str">
        <x:v>Handed over</x:v>
      </x:c>
      <x:c r="F2961" s="4" t="str">
        <x:v>CUS-02960</x:v>
      </x:c>
      <x:c r="G2961" s="4" t="str">
        <x:v>UNIT-02960</x:v>
      </x:c>
      <x:c r="H2961" s="9" t="n">
        <x:v>12400000</x:v>
      </x:c>
      <x:c r="I2961" s="10" t="n">
        <x:v>0.02</x:v>
      </x:c>
      <x:c r="J2961" s="11" t="n">
        <x:v>9</x:v>
      </x:c>
      <x:c r="K2961" s="11" t="n">
        <x:v>7</x:v>
      </x:c>
      <x:c r="L2961" s="11" t="n">
        <x:v>1</x:v>
      </x:c>
      <x:c r="M2961" s="9" t="n">
        <x:f>ROUND(H2961*(1-I2961),2)</x:f>
        <x:v>12152000</x:v>
      </x:c>
      <x:c r="N2961" s="4" t="str">
        <x:v>Sales manager</x:v>
      </x:c>
      <x:c r="O2961" s="4" t="str">
        <x:v>BOOK-02960</x:v>
      </x:c>
      <x:c r="P2961" s="9" t="n">
        <x:v>12152000</x:v>
      </x:c>
      <x:c r="Q2961" s="11" t="n">
        <x:v>0</x:v>
      </x:c>
      <x:c r="R2961" s="8" t="n">
        <x:v>45523</x:v>
      </x:c>
      <x:c r="S2961" s="4" t="str">
        <x:v>Retained</x:v>
      </x:c>
      <x:c r="T2961" s="10" t="n">
        <x:v>0.254545</x:v>
      </x:c>
      <x:c r="U2961" s="4" t="str">
        <x:v>Excluded / unlabelled</x:v>
      </x:c>
    </x:row>
    <x:row r="2962" ht="34" customHeight="1">
      <x:c r="A2962" s="4" t="str">
        <x:v>RS-02961</x:v>
      </x:c>
      <x:c r="B2962" s="8" t="n">
        <x:v>45464</x:v>
      </x:c>
      <x:c r="C2962" s="4" t="str">
        <x:v>PRJ-001</x:v>
      </x:c>
      <x:c r="D2962" s="4" t="str">
        <x:v>Retail</x:v>
      </x:c>
      <x:c r="E2962" s="4" t="str">
        <x:v>Booked</x:v>
      </x:c>
      <x:c r="F2962" s="4" t="str">
        <x:v>CUS-02961</x:v>
      </x:c>
      <x:c r="G2962" s="4" t="str">
        <x:v>UNIT-02961</x:v>
      </x:c>
      <x:c r="H2962" s="9" t="n">
        <x:v>20700000</x:v>
      </x:c>
      <x:c r="I2962" s="10" t="n">
        <x:v>0.12</x:v>
      </x:c>
      <x:c r="J2962" s="11" t="n">
        <x:v>9</x:v>
      </x:c>
      <x:c r="K2962" s="11" t="n">
        <x:v>2</x:v>
      </x:c>
      <x:c r="L2962" s="11" t="n">
        <x:v>1</x:v>
      </x:c>
      <x:c r="M2962" s="9" t="n">
        <x:f>ROUND(H2962*(1-I2962),2)</x:f>
        <x:v>18216000</x:v>
      </x:c>
      <x:c r="N2962" s="4" t="str">
        <x:v>Sales head</x:v>
      </x:c>
      <x:c r="O2962" s="4" t="str">
        <x:v>BOOK-02961</x:v>
      </x:c>
      <x:c r="P2962" s="9" t="n">
        <x:v>4554000</x:v>
      </x:c>
      <x:c r="Q2962" s="11" t="n">
        <x:v>0</x:v>
      </x:c>
      <x:c r="R2962" s="8" t="n">
        <x:v>45524</x:v>
      </x:c>
      <x:c r="S2962" s="4" t="str">
        <x:v>Retained</x:v>
      </x:c>
      <x:c r="T2962" s="10" t="n">
        <x:v>0.310195</x:v>
      </x:c>
      <x:c r="U2962" s="4" t="str">
        <x:v>Excluded / unlabelled</x:v>
      </x:c>
    </x:row>
    <x:row r="2963" ht="34" customHeight="1">
      <x:c r="A2963" s="4" t="str">
        <x:v>RS-02962</x:v>
      </x:c>
      <x:c r="B2963" s="8" t="n">
        <x:v>45465</x:v>
      </x:c>
      <x:c r="C2963" s="4" t="str">
        <x:v>PRJ-002</x:v>
      </x:c>
      <x:c r="D2963" s="4" t="str">
        <x:v>Office</x:v>
      </x:c>
      <x:c r="E2963" s="4" t="str">
        <x:v>Agreement signed</x:v>
      </x:c>
      <x:c r="F2963" s="4" t="str">
        <x:v>CUS-02962</x:v>
      </x:c>
      <x:c r="G2963" s="4" t="str">
        <x:v>UNIT-02962</x:v>
      </x:c>
      <x:c r="H2963" s="9" t="n">
        <x:v>12900000</x:v>
      </x:c>
      <x:c r="I2963" s="10" t="n">
        <x:v>0.09</x:v>
      </x:c>
      <x:c r="J2963" s="11" t="n">
        <x:v>10</x:v>
      </x:c>
      <x:c r="K2963" s="11" t="n">
        <x:v>6</x:v>
      </x:c>
      <x:c r="L2963" s="11" t="n">
        <x:v>0</x:v>
      </x:c>
      <x:c r="M2963" s="9" t="n">
        <x:f>ROUND(H2963*(1-I2963),2)</x:f>
        <x:v>11739000</x:v>
      </x:c>
      <x:c r="N2963" s="4" t="str">
        <x:v>Sales head</x:v>
      </x:c>
      <x:c r="O2963" s="4" t="str">
        <x:v>BOOK-02962</x:v>
      </x:c>
      <x:c r="P2963" s="9" t="n">
        <x:v>2934750</x:v>
      </x:c>
      <x:c r="Q2963" s="11" t="n">
        <x:v>0</x:v>
      </x:c>
      <x:c r="R2963" s="8" t="n">
        <x:v>45525</x:v>
      </x:c>
      <x:c r="S2963" s="4" t="str">
        <x:v>Retained</x:v>
      </x:c>
      <x:c r="T2963" s="10" t="n">
        <x:v>0.310195</x:v>
      </x:c>
      <x:c r="U2963" s="4" t="str">
        <x:v>Excluded / unlabelled</x:v>
      </x:c>
    </x:row>
    <x:row r="2964" ht="34" customHeight="1">
      <x:c r="A2964" s="4" t="str">
        <x:v>RS-02963</x:v>
      </x:c>
      <x:c r="B2964" s="8" t="n">
        <x:v>45466</x:v>
      </x:c>
      <x:c r="C2964" s="4" t="str">
        <x:v>PRJ-003</x:v>
      </x:c>
      <x:c r="D2964" s="4" t="str">
        <x:v>Apartment</x:v>
      </x:c>
      <x:c r="E2964" s="4" t="str">
        <x:v>Agreement signed</x:v>
      </x:c>
      <x:c r="F2964" s="4" t="str">
        <x:v>CUS-02963</x:v>
      </x:c>
      <x:c r="G2964" s="4" t="str">
        <x:v>UNIT-02963</x:v>
      </x:c>
      <x:c r="H2964" s="9" t="n">
        <x:v>3000000</x:v>
      </x:c>
      <x:c r="I2964" s="10" t="n">
        <x:v>0.08</x:v>
      </x:c>
      <x:c r="J2964" s="11" t="n">
        <x:v>12</x:v>
      </x:c>
      <x:c r="K2964" s="11" t="n">
        <x:v>3</x:v>
      </x:c>
      <x:c r="L2964" s="11" t="n">
        <x:v>0</x:v>
      </x:c>
      <x:c r="M2964" s="9" t="n">
        <x:f>ROUND(H2964*(1-I2964),2)</x:f>
        <x:v>2760000</x:v>
      </x:c>
      <x:c r="N2964" s="4" t="str">
        <x:v>Sales head</x:v>
      </x:c>
      <x:c r="O2964" s="4" t="str">
        <x:v>BOOK-02963</x:v>
      </x:c>
      <x:c r="P2964" s="9" t="n">
        <x:v>1380000</x:v>
      </x:c>
      <x:c r="Q2964" s="11" t="n">
        <x:v>0</x:v>
      </x:c>
      <x:c r="R2964" s="8" t="n">
        <x:v>45526</x:v>
      </x:c>
      <x:c r="S2964" s="4" t="str">
        <x:v>Retained</x:v>
      </x:c>
      <x:c r="T2964" s="10" t="n">
        <x:v>0.351536</x:v>
      </x:c>
      <x:c r="U2964" s="4" t="str">
        <x:v>Excluded / unlabelled</x:v>
      </x:c>
    </x:row>
    <x:row r="2965" ht="34" customHeight="1">
      <x:c r="A2965" s="4" t="str">
        <x:v>RS-02964</x:v>
      </x:c>
      <x:c r="B2965" s="8" t="n">
        <x:v>45467</x:v>
      </x:c>
      <x:c r="C2965" s="4" t="str">
        <x:v>PRJ-004</x:v>
      </x:c>
      <x:c r="D2965" s="4" t="str">
        <x:v>Office</x:v>
      </x:c>
      <x:c r="E2965" s="4" t="str">
        <x:v>Handed over</x:v>
      </x:c>
      <x:c r="F2965" s="4" t="str">
        <x:v>CUS-02964</x:v>
      </x:c>
      <x:c r="G2965" s="4" t="str">
        <x:v>UNIT-02964</x:v>
      </x:c>
      <x:c r="H2965" s="9" t="n">
        <x:v>13900000</x:v>
      </x:c>
      <x:c r="I2965" s="10" t="n">
        <x:v>0.12</x:v>
      </x:c>
      <x:c r="J2965" s="11" t="n">
        <x:v>7</x:v>
      </x:c>
      <x:c r="K2965" s="11" t="n">
        <x:v>10</x:v>
      </x:c>
      <x:c r="L2965" s="11" t="n">
        <x:v>0</x:v>
      </x:c>
      <x:c r="M2965" s="9" t="n">
        <x:f>ROUND(H2965*(1-I2965),2)</x:f>
        <x:v>12232000</x:v>
      </x:c>
      <x:c r="N2965" s="4" t="str">
        <x:v>Sales head</x:v>
      </x:c>
      <x:c r="O2965" s="4" t="str">
        <x:v>BOOK-02964</x:v>
      </x:c>
      <x:c r="P2965" s="9" t="n">
        <x:v>1223200</x:v>
      </x:c>
      <x:c r="Q2965" s="11" t="n">
        <x:v>0</x:v>
      </x:c>
      <x:c r="R2965" s="8" t="n">
        <x:v>45527</x:v>
      </x:c>
      <x:c r="S2965" s="4" t="str">
        <x:v>Retained</x:v>
      </x:c>
      <x:c r="T2965" s="10" t="n">
        <x:v>0.226277</x:v>
      </x:c>
      <x:c r="U2965" s="4" t="str">
        <x:v>Excluded / unlabelled</x:v>
      </x:c>
    </x:row>
    <x:row r="2966" ht="34" customHeight="1">
      <x:c r="A2966" s="4" t="str">
        <x:v>RS-02965</x:v>
      </x:c>
      <x:c r="B2966" s="8" t="n">
        <x:v>45468</x:v>
      </x:c>
      <x:c r="C2966" s="4" t="str">
        <x:v>PRJ-005</x:v>
      </x:c>
      <x:c r="D2966" s="4" t="str">
        <x:v>Office</x:v>
      </x:c>
      <x:c r="E2966" s="4" t="str">
        <x:v>Agreement signed</x:v>
      </x:c>
      <x:c r="F2966" s="4" t="str">
        <x:v>CUS-02965</x:v>
      </x:c>
      <x:c r="G2966" s="4" t="str">
        <x:v>UNIT-02965</x:v>
      </x:c>
      <x:c r="H2966" s="9" t="n">
        <x:v>19300000</x:v>
      </x:c>
      <x:c r="I2966" s="10" t="n">
        <x:v>0.07</x:v>
      </x:c>
      <x:c r="J2966" s="11" t="n">
        <x:v>8</x:v>
      </x:c>
      <x:c r="K2966" s="11" t="n">
        <x:v>10</x:v>
      </x:c>
      <x:c r="L2966" s="11" t="n">
        <x:v>0</x:v>
      </x:c>
      <x:c r="M2966" s="9" t="n">
        <x:f>ROUND(H2966*(1-I2966),2)</x:f>
        <x:v>17949000</x:v>
      </x:c>
      <x:c r="N2966" s="4" t="str">
        <x:v>Sales manager</x:v>
      </x:c>
      <x:c r="O2966" s="4" t="str">
        <x:v>BOOK-02965</x:v>
      </x:c>
      <x:c r="P2966" s="9" t="n">
        <x:v>1794900</x:v>
      </x:c>
      <x:c r="Q2966" s="11" t="n">
        <x:v>0</x:v>
      </x:c>
      <x:c r="R2966" s="8" t="n">
        <x:v>45528</x:v>
      </x:c>
      <x:c r="S2966" s="4" t="str">
        <x:v>Retained</x:v>
      </x:c>
      <x:c r="T2966" s="10" t="n">
        <x:v>0.310195</x:v>
      </x:c>
      <x:c r="U2966" s="4" t="str">
        <x:v>Excluded / unlabelled</x:v>
      </x:c>
    </x:row>
    <x:row r="2967" ht="34" customHeight="1">
      <x:c r="A2967" s="4" t="str">
        <x:v>RS-02966</x:v>
      </x:c>
      <x:c r="B2967" s="8" t="n">
        <x:v>45469</x:v>
      </x:c>
      <x:c r="C2967" s="4" t="str">
        <x:v>PRJ-006</x:v>
      </x:c>
      <x:c r="D2967" s="4" t="str">
        <x:v>Apartment</x:v>
      </x:c>
      <x:c r="E2967" s="4" t="str">
        <x:v>Handed over</x:v>
      </x:c>
      <x:c r="F2967" s="4" t="str">
        <x:v>CUS-02966</x:v>
      </x:c>
      <x:c r="G2967" s="4" t="str">
        <x:v>UNIT-02966</x:v>
      </x:c>
      <x:c r="H2967" s="9" t="n">
        <x:v>21800000</x:v>
      </x:c>
      <x:c r="I2967" s="10" t="n">
        <x:v>0.08</x:v>
      </x:c>
      <x:c r="J2967" s="11" t="n">
        <x:v>12</x:v>
      </x:c>
      <x:c r="K2967" s="11" t="n">
        <x:v>6</x:v>
      </x:c>
      <x:c r="L2967" s="11" t="n">
        <x:v>1</x:v>
      </x:c>
      <x:c r="M2967" s="9" t="n">
        <x:f>ROUND(H2967*(1-I2967),2)</x:f>
        <x:v>20056000</x:v>
      </x:c>
      <x:c r="N2967" s="4" t="str">
        <x:v>Sales head</x:v>
      </x:c>
      <x:c r="O2967" s="4" t="str">
        <x:v>BOOK-02966</x:v>
      </x:c>
      <x:c r="P2967" s="9" t="n">
        <x:v>2005600</x:v>
      </x:c>
      <x:c r="Q2967" s="11" t="n">
        <x:v>0</x:v>
      </x:c>
      <x:c r="R2967" s="8" t="n">
        <x:v>45529</x:v>
      </x:c>
      <x:c r="S2967" s="4" t="str">
        <x:v>Retained</x:v>
      </x:c>
      <x:c r="T2967" s="10" t="n">
        <x:v>0.351536</x:v>
      </x:c>
      <x:c r="U2967" s="4" t="str">
        <x:v>Excluded / unlabelled</x:v>
      </x:c>
    </x:row>
    <x:row r="2968" ht="34" customHeight="1">
      <x:c r="A2968" s="4" t="str">
        <x:v>RS-02967</x:v>
      </x:c>
      <x:c r="B2968" s="8" t="n">
        <x:v>45470</x:v>
      </x:c>
      <x:c r="C2968" s="4" t="str">
        <x:v>PRJ-007</x:v>
      </x:c>
      <x:c r="D2968" s="4" t="str">
        <x:v>Villa</x:v>
      </x:c>
      <x:c r="E2968" s="4" t="str">
        <x:v>Enquiry</x:v>
      </x:c>
      <x:c r="F2968" s="4" t="str">
        <x:v>CUS-02967</x:v>
      </x:c>
      <x:c r="G2968" s="4" t="str">
        <x:v>UNIT-02967</x:v>
      </x:c>
      <x:c r="H2968" s="9" t="n">
        <x:v>21700000</x:v>
      </x:c>
      <x:c r="I2968" s="10" t="n">
        <x:v>0.01</x:v>
      </x:c>
      <x:c r="J2968" s="11" t="n">
        <x:v>12</x:v>
      </x:c>
      <x:c r="K2968" s="11" t="n">
        <x:v>3</x:v>
      </x:c>
      <x:c r="L2968" s="11" t="n">
        <x:v>1</x:v>
      </x:c>
      <x:c r="M2968" s="9" t="n">
        <x:f>ROUND(H2968*(1-I2968),2)</x:f>
        <x:v>21483000</x:v>
      </x:c>
      <x:c r="N2968" s="4" t="str">
        <x:v>Sales manager</x:v>
      </x:c>
      <x:c r="O2968" s="4"/>
      <x:c r="P2968" s="9" t="n">
        <x:v>0</x:v>
      </x:c>
      <x:c r="Q2968" s="11" t="n">
        <x:v>1</x:v>
      </x:c>
      <x:c r="R2968" s="8" t="n">
        <x:v>45530</x:v>
      </x:c>
      <x:c r="S2968" s="4" t="str">
        <x:v>Lost / cancelled</x:v>
      </x:c>
      <x:c r="T2968" s="10" t="n">
        <x:v>0.254545</x:v>
      </x:c>
      <x:c r="U2968" s="4" t="str">
        <x:v>Excluded / unlabelled</x:v>
      </x:c>
    </x:row>
    <x:row r="2969" ht="34" customHeight="1">
      <x:c r="A2969" s="4" t="str">
        <x:v>RS-02968</x:v>
      </x:c>
      <x:c r="B2969" s="8" t="n">
        <x:v>45471</x:v>
      </x:c>
      <x:c r="C2969" s="4" t="str">
        <x:v>PRJ-008</x:v>
      </x:c>
      <x:c r="D2969" s="4" t="str">
        <x:v>Retail</x:v>
      </x:c>
      <x:c r="E2969" s="4" t="str">
        <x:v>Cancelled</x:v>
      </x:c>
      <x:c r="F2969" s="4" t="str">
        <x:v>CUS-02968</x:v>
      </x:c>
      <x:c r="G2969" s="4" t="str">
        <x:v>UNIT-02968</x:v>
      </x:c>
      <x:c r="H2969" s="9" t="n">
        <x:v>11300000</x:v>
      </x:c>
      <x:c r="I2969" s="10" t="n">
        <x:v>0.03</x:v>
      </x:c>
      <x:c r="J2969" s="11" t="n">
        <x:v>8</x:v>
      </x:c>
      <x:c r="K2969" s="11" t="n">
        <x:v>2</x:v>
      </x:c>
      <x:c r="L2969" s="11" t="n">
        <x:v>0</x:v>
      </x:c>
      <x:c r="M2969" s="9" t="n">
        <x:f>ROUND(H2969*(1-I2969),2)</x:f>
        <x:v>10961000</x:v>
      </x:c>
      <x:c r="N2969" s="4" t="str">
        <x:v>Sales manager</x:v>
      </x:c>
      <x:c r="O2969" s="4"/>
      <x:c r="P2969" s="9" t="n">
        <x:v>0</x:v>
      </x:c>
      <x:c r="Q2969" s="11" t="n">
        <x:v>1</x:v>
      </x:c>
      <x:c r="R2969" s="8" t="n">
        <x:v>45531</x:v>
      </x:c>
      <x:c r="S2969" s="4" t="str">
        <x:v>Lost / cancelled</x:v>
      </x:c>
      <x:c r="T2969" s="10" t="n">
        <x:v>0.310195</x:v>
      </x:c>
      <x:c r="U2969" s="4" t="str">
        <x:v>Excluded / unlabelled</x:v>
      </x:c>
    </x:row>
    <x:row r="2970" ht="34" customHeight="1">
      <x:c r="A2970" s="4" t="str">
        <x:v>RS-02969</x:v>
      </x:c>
      <x:c r="B2970" s="8" t="n">
        <x:v>45444</x:v>
      </x:c>
      <x:c r="C2970" s="4" t="str">
        <x:v>PRJ-009</x:v>
      </x:c>
      <x:c r="D2970" s="4" t="str">
        <x:v>Villa</x:v>
      </x:c>
      <x:c r="E2970" s="4" t="str">
        <x:v>Enquiry</x:v>
      </x:c>
      <x:c r="F2970" s="4" t="str">
        <x:v>CUS-02969</x:v>
      </x:c>
      <x:c r="G2970" s="4" t="str">
        <x:v>UNIT-02969</x:v>
      </x:c>
      <x:c r="H2970" s="9" t="n">
        <x:v>8200000</x:v>
      </x:c>
      <x:c r="I2970" s="10" t="n">
        <x:v>0.07</x:v>
      </x:c>
      <x:c r="J2970" s="11" t="n">
        <x:v>4</x:v>
      </x:c>
      <x:c r="K2970" s="11" t="n">
        <x:v>4</x:v>
      </x:c>
      <x:c r="L2970" s="11" t="n">
        <x:v>0</x:v>
      </x:c>
      <x:c r="M2970" s="9" t="n">
        <x:f>ROUND(H2970*(1-I2970),2)</x:f>
        <x:v>7626000</x:v>
      </x:c>
      <x:c r="N2970" s="4" t="str">
        <x:v>Sales manager</x:v>
      </x:c>
      <x:c r="O2970" s="4"/>
      <x:c r="P2970" s="9" t="n">
        <x:v>0</x:v>
      </x:c>
      <x:c r="Q2970" s="11" t="n">
        <x:v>0</x:v>
      </x:c>
      <x:c r="R2970" s="8" t="n">
        <x:v>45504</x:v>
      </x:c>
      <x:c r="S2970" s="4" t="str">
        <x:v>Retained</x:v>
      </x:c>
      <x:c r="T2970" s="10" t="n">
        <x:v>0.226277</x:v>
      </x:c>
      <x:c r="U2970" s="4" t="str">
        <x:v>Excluded / unlabelled</x:v>
      </x:c>
    </x:row>
    <x:row r="2971" ht="34" customHeight="1">
      <x:c r="A2971" s="4" t="str">
        <x:v>RS-02970</x:v>
      </x:c>
      <x:c r="B2971" s="8" t="n">
        <x:v>45445</x:v>
      </x:c>
      <x:c r="C2971" s="4" t="str">
        <x:v>PRJ-010</x:v>
      </x:c>
      <x:c r="D2971" s="4" t="str">
        <x:v>Retail</x:v>
      </x:c>
      <x:c r="E2971" s="4" t="str">
        <x:v>Agreement signed</x:v>
      </x:c>
      <x:c r="F2971" s="4" t="str">
        <x:v>CUS-02970</x:v>
      </x:c>
      <x:c r="G2971" s="4" t="str">
        <x:v>UNIT-02970</x:v>
      </x:c>
      <x:c r="H2971" s="9" t="n">
        <x:v>20100000</x:v>
      </x:c>
      <x:c r="I2971" s="10" t="n">
        <x:v>0.05</x:v>
      </x:c>
      <x:c r="J2971" s="11" t="n">
        <x:v>6</x:v>
      </x:c>
      <x:c r="K2971" s="11" t="n">
        <x:v>2</x:v>
      </x:c>
      <x:c r="L2971" s="11" t="n">
        <x:v>0</x:v>
      </x:c>
      <x:c r="M2971" s="9" t="n">
        <x:f>ROUND(H2971*(1-I2971),2)</x:f>
        <x:v>19095000</x:v>
      </x:c>
      <x:c r="N2971" s="4" t="str">
        <x:v>Sales manager</x:v>
      </x:c>
      <x:c r="O2971" s="4" t="str">
        <x:v>BOOK-02970</x:v>
      </x:c>
      <x:c r="P2971" s="9" t="n">
        <x:v>9547500</x:v>
      </x:c>
      <x:c r="Q2971" s="11" t="n">
        <x:v>0</x:v>
      </x:c>
      <x:c r="R2971" s="8" t="n">
        <x:v>45505</x:v>
      </x:c>
      <x:c r="S2971" s="4" t="str">
        <x:v>Retained</x:v>
      </x:c>
      <x:c r="T2971" s="10" t="n">
        <x:v>0.226277</x:v>
      </x:c>
      <x:c r="U2971" s="4" t="str">
        <x:v>Excluded / unlabelled</x:v>
      </x:c>
    </x:row>
    <x:row r="2972" ht="34" customHeight="1">
      <x:c r="A2972" s="4" t="str">
        <x:v>RS-02971</x:v>
      </x:c>
      <x:c r="B2972" s="8" t="n">
        <x:v>45446</x:v>
      </x:c>
      <x:c r="C2972" s="4" t="str">
        <x:v>PRJ-011</x:v>
      </x:c>
      <x:c r="D2972" s="4" t="str">
        <x:v>Villa</x:v>
      </x:c>
      <x:c r="E2972" s="4" t="str">
        <x:v>Reserved</x:v>
      </x:c>
      <x:c r="F2972" s="4" t="str">
        <x:v>CUS-02971</x:v>
      </x:c>
      <x:c r="G2972" s="4" t="str">
        <x:v>UNIT-02971</x:v>
      </x:c>
      <x:c r="H2972" s="9" t="n">
        <x:v>13600000</x:v>
      </x:c>
      <x:c r="I2972" s="10" t="n">
        <x:v>0.07</x:v>
      </x:c>
      <x:c r="J2972" s="11" t="n">
        <x:v>3</x:v>
      </x:c>
      <x:c r="K2972" s="11" t="n">
        <x:v>4</x:v>
      </x:c>
      <x:c r="L2972" s="11" t="n">
        <x:v>1</x:v>
      </x:c>
      <x:c r="M2972" s="9" t="n">
        <x:f>ROUND(H2972*(1-I2972),2)</x:f>
        <x:v>12648000</x:v>
      </x:c>
      <x:c r="N2972" s="4" t="str">
        <x:v>Sales manager</x:v>
      </x:c>
      <x:c r="O2972" s="4"/>
      <x:c r="P2972" s="9" t="n">
        <x:v>0</x:v>
      </x:c>
      <x:c r="Q2972" s="11" t="n">
        <x:v>0</x:v>
      </x:c>
      <x:c r="R2972" s="8" t="n">
        <x:v>45506</x:v>
      </x:c>
      <x:c r="S2972" s="4" t="str">
        <x:v>Retained</x:v>
      </x:c>
      <x:c r="T2972" s="10" t="n">
        <x:v>0.204152</x:v>
      </x:c>
      <x:c r="U2972" s="4" t="str">
        <x:v>Excluded / unlabelled</x:v>
      </x:c>
    </x:row>
    <x:row r="2973" ht="34" customHeight="1">
      <x:c r="A2973" s="4" t="str">
        <x:v>RS-02972</x:v>
      </x:c>
      <x:c r="B2973" s="8" t="n">
        <x:v>45447</x:v>
      </x:c>
      <x:c r="C2973" s="4" t="str">
        <x:v>PRJ-012</x:v>
      </x:c>
      <x:c r="D2973" s="4" t="str">
        <x:v>Apartment</x:v>
      </x:c>
      <x:c r="E2973" s="4" t="str">
        <x:v>Booked</x:v>
      </x:c>
      <x:c r="F2973" s="4" t="str">
        <x:v>CUS-02972</x:v>
      </x:c>
      <x:c r="G2973" s="4" t="str">
        <x:v>UNIT-02972</x:v>
      </x:c>
      <x:c r="H2973" s="9" t="n">
        <x:v>22100000</x:v>
      </x:c>
      <x:c r="I2973" s="10" t="n">
        <x:v>0.05</x:v>
      </x:c>
      <x:c r="J2973" s="11" t="n">
        <x:v>9</x:v>
      </x:c>
      <x:c r="K2973" s="11" t="n">
        <x:v>9</x:v>
      </x:c>
      <x:c r="L2973" s="11" t="n">
        <x:v>0</x:v>
      </x:c>
      <x:c r="M2973" s="9" t="n">
        <x:f>ROUND(H2973*(1-I2973),2)</x:f>
        <x:v>20995000</x:v>
      </x:c>
      <x:c r="N2973" s="4" t="str">
        <x:v>Sales manager</x:v>
      </x:c>
      <x:c r="O2973" s="4" t="str">
        <x:v>BOOK-02972</x:v>
      </x:c>
      <x:c r="P2973" s="9" t="n">
        <x:v>5248750</x:v>
      </x:c>
      <x:c r="Q2973" s="11" t="n">
        <x:v>0</x:v>
      </x:c>
      <x:c r="R2973" s="8" t="n">
        <x:v>45507</x:v>
      </x:c>
      <x:c r="S2973" s="4" t="str">
        <x:v>Retained</x:v>
      </x:c>
      <x:c r="T2973" s="10" t="n">
        <x:v>0.310195</x:v>
      </x:c>
      <x:c r="U2973" s="4" t="str">
        <x:v>Excluded / unlabelled</x:v>
      </x:c>
    </x:row>
    <x:row r="2974" ht="34" customHeight="1">
      <x:c r="A2974" s="4" t="str">
        <x:v>RS-02973</x:v>
      </x:c>
      <x:c r="B2974" s="8" t="n">
        <x:v>45448</x:v>
      </x:c>
      <x:c r="C2974" s="4" t="str">
        <x:v>PRJ-013</x:v>
      </x:c>
      <x:c r="D2974" s="4" t="str">
        <x:v>Apartment</x:v>
      </x:c>
      <x:c r="E2974" s="4" t="str">
        <x:v>Cancelled</x:v>
      </x:c>
      <x:c r="F2974" s="4" t="str">
        <x:v>CUS-02973</x:v>
      </x:c>
      <x:c r="G2974" s="4" t="str">
        <x:v>UNIT-02973</x:v>
      </x:c>
      <x:c r="H2974" s="9" t="n">
        <x:v>7600000</x:v>
      </x:c>
      <x:c r="I2974" s="10" t="n">
        <x:v>0.01</x:v>
      </x:c>
      <x:c r="J2974" s="11" t="n">
        <x:v>3</x:v>
      </x:c>
      <x:c r="K2974" s="11" t="n">
        <x:v>8</x:v>
      </x:c>
      <x:c r="L2974" s="11" t="n">
        <x:v>1</x:v>
      </x:c>
      <x:c r="M2974" s="9" t="n">
        <x:f>ROUND(H2974*(1-I2974),2)</x:f>
        <x:v>7524000</x:v>
      </x:c>
      <x:c r="N2974" s="4" t="str">
        <x:v>Sales manager</x:v>
      </x:c>
      <x:c r="O2974" s="4"/>
      <x:c r="P2974" s="9" t="n">
        <x:v>0</x:v>
      </x:c>
      <x:c r="Q2974" s="11" t="n">
        <x:v>1</x:v>
      </x:c>
      <x:c r="R2974" s="8" t="n">
        <x:v>45508</x:v>
      </x:c>
      <x:c r="S2974" s="4" t="str">
        <x:v>Lost / cancelled</x:v>
      </x:c>
      <x:c r="T2974" s="10" t="n">
        <x:v>0.171717</x:v>
      </x:c>
      <x:c r="U2974" s="4" t="str">
        <x:v>Excluded / unlabelled</x:v>
      </x:c>
    </x:row>
    <x:row r="2975" ht="34" customHeight="1">
      <x:c r="A2975" s="4" t="str">
        <x:v>RS-02974</x:v>
      </x:c>
      <x:c r="B2975" s="8" t="n">
        <x:v>45449</x:v>
      </x:c>
      <x:c r="C2975" s="4" t="str">
        <x:v>PRJ-014</x:v>
      </x:c>
      <x:c r="D2975" s="4" t="str">
        <x:v>Villa</x:v>
      </x:c>
      <x:c r="E2975" s="4" t="str">
        <x:v>Enquiry</x:v>
      </x:c>
      <x:c r="F2975" s="4" t="str">
        <x:v>CUS-02974</x:v>
      </x:c>
      <x:c r="G2975" s="4" t="str">
        <x:v>UNIT-02974</x:v>
      </x:c>
      <x:c r="H2975" s="9" t="n">
        <x:v>9000000</x:v>
      </x:c>
      <x:c r="I2975" s="10" t="n">
        <x:v>0.03</x:v>
      </x:c>
      <x:c r="J2975" s="11" t="n">
        <x:v>9</x:v>
      </x:c>
      <x:c r="K2975" s="11" t="n">
        <x:v>1</x:v>
      </x:c>
      <x:c r="L2975" s="11" t="n">
        <x:v>1</x:v>
      </x:c>
      <x:c r="M2975" s="9" t="n">
        <x:f>ROUND(H2975*(1-I2975),2)</x:f>
        <x:v>8730000</x:v>
      </x:c>
      <x:c r="N2975" s="4" t="str">
        <x:v>Sales manager</x:v>
      </x:c>
      <x:c r="O2975" s="4"/>
      <x:c r="P2975" s="9" t="n">
        <x:v>0</x:v>
      </x:c>
      <x:c r="Q2975" s="11" t="n">
        <x:v>1</x:v>
      </x:c>
      <x:c r="R2975" s="8" t="n">
        <x:v>45509</x:v>
      </x:c>
      <x:c r="S2975" s="4" t="str">
        <x:v>Lost / cancelled</x:v>
      </x:c>
      <x:c r="T2975" s="10" t="n">
        <x:v>0.310195</x:v>
      </x:c>
      <x:c r="U2975" s="4" t="str">
        <x:v>Excluded / unlabelled</x:v>
      </x:c>
    </x:row>
    <x:row r="2976" ht="34" customHeight="1">
      <x:c r="A2976" s="4" t="str">
        <x:v>RS-02975</x:v>
      </x:c>
      <x:c r="B2976" s="8" t="n">
        <x:v>45450</x:v>
      </x:c>
      <x:c r="C2976" s="4" t="str">
        <x:v>PRJ-015</x:v>
      </x:c>
      <x:c r="D2976" s="4" t="str">
        <x:v>Office</x:v>
      </x:c>
      <x:c r="E2976" s="4" t="str">
        <x:v>Agreement signed</x:v>
      </x:c>
      <x:c r="F2976" s="4" t="str">
        <x:v>CUS-02975</x:v>
      </x:c>
      <x:c r="G2976" s="4" t="str">
        <x:v>UNIT-02975</x:v>
      </x:c>
      <x:c r="H2976" s="9" t="n">
        <x:v>17800000</x:v>
      </x:c>
      <x:c r="I2976" s="10" t="n">
        <x:v>0.08</x:v>
      </x:c>
      <x:c r="J2976" s="11" t="n">
        <x:v>0</x:v>
      </x:c>
      <x:c r="K2976" s="11" t="n">
        <x:v>3</x:v>
      </x:c>
      <x:c r="L2976" s="11" t="n">
        <x:v>1</x:v>
      </x:c>
      <x:c r="M2976" s="9" t="n">
        <x:f>ROUND(H2976*(1-I2976),2)</x:f>
        <x:v>16376000</x:v>
      </x:c>
      <x:c r="N2976" s="4" t="str">
        <x:v>Sales head</x:v>
      </x:c>
      <x:c r="O2976" s="4" t="str">
        <x:v>BOOK-02975</x:v>
      </x:c>
      <x:c r="P2976" s="9" t="n">
        <x:v>1637600</x:v>
      </x:c>
      <x:c r="Q2976" s="11" t="n">
        <x:v>0</x:v>
      </x:c>
      <x:c r="R2976" s="8" t="n">
        <x:v>45510</x:v>
      </x:c>
      <x:c r="S2976" s="4" t="str">
        <x:v>Retained</x:v>
      </x:c>
      <x:c r="T2976" s="10" t="n">
        <x:v>0.204152</x:v>
      </x:c>
      <x:c r="U2976" s="4" t="str">
        <x:v>Excluded / unlabelled</x:v>
      </x:c>
    </x:row>
    <x:row r="2977" ht="34" customHeight="1">
      <x:c r="A2977" s="4" t="str">
        <x:v>RS-02976</x:v>
      </x:c>
      <x:c r="B2977" s="8" t="n">
        <x:v>45451</x:v>
      </x:c>
      <x:c r="C2977" s="4" t="str">
        <x:v>PRJ-016</x:v>
      </x:c>
      <x:c r="D2977" s="4" t="str">
        <x:v>Retail</x:v>
      </x:c>
      <x:c r="E2977" s="4" t="str">
        <x:v>Enquiry</x:v>
      </x:c>
      <x:c r="F2977" s="4" t="str">
        <x:v>CUS-02976</x:v>
      </x:c>
      <x:c r="G2977" s="4" t="str">
        <x:v>UNIT-02976</x:v>
      </x:c>
      <x:c r="H2977" s="9" t="n">
        <x:v>12800000</x:v>
      </x:c>
      <x:c r="I2977" s="10" t="n">
        <x:v>0</x:v>
      </x:c>
      <x:c r="J2977" s="11" t="n">
        <x:v>10</x:v>
      </x:c>
      <x:c r="K2977" s="11" t="n">
        <x:v>7</x:v>
      </x:c>
      <x:c r="L2977" s="11" t="n">
        <x:v>1</x:v>
      </x:c>
      <x:c r="M2977" s="9" t="n">
        <x:f>ROUND(H2977*(1-I2977),2)</x:f>
        <x:v>12800000</x:v>
      </x:c>
      <x:c r="N2977" s="4" t="str">
        <x:v>Sales manager</x:v>
      </x:c>
      <x:c r="O2977" s="4"/>
      <x:c r="P2977" s="9" t="n">
        <x:v>0</x:v>
      </x:c>
      <x:c r="Q2977" s="11" t="n">
        <x:v>0</x:v>
      </x:c>
      <x:c r="R2977" s="8" t="n">
        <x:v>45511</x:v>
      </x:c>
      <x:c r="S2977" s="4" t="str">
        <x:v>Retained</x:v>
      </x:c>
      <x:c r="T2977" s="10" t="n">
        <x:v>0.254545</x:v>
      </x:c>
      <x:c r="U2977" s="4" t="str">
        <x:v>Excluded / unlabelled</x:v>
      </x:c>
    </x:row>
    <x:row r="2978" ht="34" customHeight="1">
      <x:c r="A2978" s="4" t="str">
        <x:v>RS-02977</x:v>
      </x:c>
      <x:c r="B2978" s="8" t="n">
        <x:v>45452</x:v>
      </x:c>
      <x:c r="C2978" s="4" t="str">
        <x:v>PRJ-017</x:v>
      </x:c>
      <x:c r="D2978" s="4" t="str">
        <x:v>Retail</x:v>
      </x:c>
      <x:c r="E2978" s="4" t="str">
        <x:v>Booked</x:v>
      </x:c>
      <x:c r="F2978" s="4" t="str">
        <x:v>CUS-02977</x:v>
      </x:c>
      <x:c r="G2978" s="4" t="str">
        <x:v>UNIT-02977</x:v>
      </x:c>
      <x:c r="H2978" s="9" t="n">
        <x:v>20300000</x:v>
      </x:c>
      <x:c r="I2978" s="10" t="n">
        <x:v>0.12</x:v>
      </x:c>
      <x:c r="J2978" s="11" t="n">
        <x:v>2</x:v>
      </x:c>
      <x:c r="K2978" s="11" t="n">
        <x:v>5</x:v>
      </x:c>
      <x:c r="L2978" s="11" t="n">
        <x:v>1</x:v>
      </x:c>
      <x:c r="M2978" s="9" t="n">
        <x:f>ROUND(H2978*(1-I2978),2)</x:f>
        <x:v>17864000</x:v>
      </x:c>
      <x:c r="N2978" s="4" t="str">
        <x:v>Sales head</x:v>
      </x:c>
      <x:c r="O2978" s="4" t="str">
        <x:v>BOOK-02977</x:v>
      </x:c>
      <x:c r="P2978" s="9" t="n">
        <x:v>8932000</x:v>
      </x:c>
      <x:c r="Q2978" s="11" t="n">
        <x:v>0</x:v>
      </x:c>
      <x:c r="R2978" s="8" t="n">
        <x:v>45512</x:v>
      </x:c>
      <x:c r="S2978" s="4" t="str">
        <x:v>Retained</x:v>
      </x:c>
      <x:c r="T2978" s="10" t="n">
        <x:v>0.145833</x:v>
      </x:c>
      <x:c r="U2978" s="4" t="str">
        <x:v>Excluded / unlabelled</x:v>
      </x:c>
    </x:row>
    <x:row r="2979" ht="34" customHeight="1">
      <x:c r="A2979" s="4" t="str">
        <x:v>RS-02978</x:v>
      </x:c>
      <x:c r="B2979" s="8" t="n">
        <x:v>45453</x:v>
      </x:c>
      <x:c r="C2979" s="4" t="str">
        <x:v>PRJ-018</x:v>
      </x:c>
      <x:c r="D2979" s="4" t="str">
        <x:v>Villa</x:v>
      </x:c>
      <x:c r="E2979" s="4" t="str">
        <x:v>Handed over</x:v>
      </x:c>
      <x:c r="F2979" s="4" t="str">
        <x:v>CUS-02978</x:v>
      </x:c>
      <x:c r="G2979" s="4" t="str">
        <x:v>UNIT-02978</x:v>
      </x:c>
      <x:c r="H2979" s="9" t="n">
        <x:v>15100000</x:v>
      </x:c>
      <x:c r="I2979" s="10" t="n">
        <x:v>0.09</x:v>
      </x:c>
      <x:c r="J2979" s="11" t="n">
        <x:v>0</x:v>
      </x:c>
      <x:c r="K2979" s="11" t="n">
        <x:v>5</x:v>
      </x:c>
      <x:c r="L2979" s="11" t="n">
        <x:v>0</x:v>
      </x:c>
      <x:c r="M2979" s="9" t="n">
        <x:f>ROUND(H2979*(1-I2979),2)</x:f>
        <x:v>13741000</x:v>
      </x:c>
      <x:c r="N2979" s="4" t="str">
        <x:v>Sales head</x:v>
      </x:c>
      <x:c r="O2979" s="4" t="str">
        <x:v>BOOK-02978</x:v>
      </x:c>
      <x:c r="P2979" s="9" t="n">
        <x:v>6870500</x:v>
      </x:c>
      <x:c r="Q2979" s="11" t="n">
        <x:v>0</x:v>
      </x:c>
      <x:c r="R2979" s="8" t="n">
        <x:v>45513</x:v>
      </x:c>
      <x:c r="S2979" s="4" t="str">
        <x:v>Retained</x:v>
      </x:c>
      <x:c r="T2979" s="10" t="n">
        <x:v>0.145833</x:v>
      </x:c>
      <x:c r="U2979" s="4" t="str">
        <x:v>Excluded / unlabelled</x:v>
      </x:c>
    </x:row>
    <x:row r="2980" ht="34" customHeight="1">
      <x:c r="A2980" s="4" t="str">
        <x:v>RS-02979</x:v>
      </x:c>
      <x:c r="B2980" s="8" t="n">
        <x:v>45454</x:v>
      </x:c>
      <x:c r="C2980" s="4" t="str">
        <x:v>PRJ-019</x:v>
      </x:c>
      <x:c r="D2980" s="4" t="str">
        <x:v>Apartment</x:v>
      </x:c>
      <x:c r="E2980" s="4" t="str">
        <x:v>Enquiry</x:v>
      </x:c>
      <x:c r="F2980" s="4" t="str">
        <x:v>CUS-02979</x:v>
      </x:c>
      <x:c r="G2980" s="4" t="str">
        <x:v>UNIT-02979</x:v>
      </x:c>
      <x:c r="H2980" s="9" t="n">
        <x:v>9000000</x:v>
      </x:c>
      <x:c r="I2980" s="10" t="n">
        <x:v>0.08</x:v>
      </x:c>
      <x:c r="J2980" s="11" t="n">
        <x:v>6</x:v>
      </x:c>
      <x:c r="K2980" s="11" t="n">
        <x:v>10</x:v>
      </x:c>
      <x:c r="L2980" s="11" t="n">
        <x:v>1</x:v>
      </x:c>
      <x:c r="M2980" s="9" t="n">
        <x:f>ROUND(H2980*(1-I2980),2)</x:f>
        <x:v>8280000</x:v>
      </x:c>
      <x:c r="N2980" s="4" t="str">
        <x:v>Sales head</x:v>
      </x:c>
      <x:c r="O2980" s="4"/>
      <x:c r="P2980" s="9" t="n">
        <x:v>0</x:v>
      </x:c>
      <x:c r="Q2980" s="11" t="n">
        <x:v>1</x:v>
      </x:c>
      <x:c r="R2980" s="8" t="n">
        <x:v>45514</x:v>
      </x:c>
      <x:c r="S2980" s="4" t="str">
        <x:v>Lost / cancelled</x:v>
      </x:c>
      <x:c r="T2980" s="10" t="n">
        <x:v>0.291946</x:v>
      </x:c>
      <x:c r="U2980" s="4" t="str">
        <x:v>Excluded / unlabelled</x:v>
      </x:c>
    </x:row>
    <x:row r="2981" ht="34" customHeight="1">
      <x:c r="A2981" s="4" t="str">
        <x:v>RS-02980</x:v>
      </x:c>
      <x:c r="B2981" s="8" t="n">
        <x:v>45455</x:v>
      </x:c>
      <x:c r="C2981" s="4" t="str">
        <x:v>PRJ-020</x:v>
      </x:c>
      <x:c r="D2981" s="4" t="str">
        <x:v>Apartment</x:v>
      </x:c>
      <x:c r="E2981" s="4" t="str">
        <x:v>Agreement signed</x:v>
      </x:c>
      <x:c r="F2981" s="4" t="str">
        <x:v>CUS-02980</x:v>
      </x:c>
      <x:c r="G2981" s="4" t="str">
        <x:v>UNIT-02980</x:v>
      </x:c>
      <x:c r="H2981" s="9" t="n">
        <x:v>13900000</x:v>
      </x:c>
      <x:c r="I2981" s="10" t="n">
        <x:v>0.04</x:v>
      </x:c>
      <x:c r="J2981" s="11" t="n">
        <x:v>3</x:v>
      </x:c>
      <x:c r="K2981" s="11" t="n">
        <x:v>3</x:v>
      </x:c>
      <x:c r="L2981" s="11" t="n">
        <x:v>1</x:v>
      </x:c>
      <x:c r="M2981" s="9" t="n">
        <x:f>ROUND(H2981*(1-I2981),2)</x:f>
        <x:v>13344000</x:v>
      </x:c>
      <x:c r="N2981" s="4" t="str">
        <x:v>Sales manager</x:v>
      </x:c>
      <x:c r="O2981" s="4" t="str">
        <x:v>BOOK-02980</x:v>
      </x:c>
      <x:c r="P2981" s="9" t="n">
        <x:v>13344000</x:v>
      </x:c>
      <x:c r="Q2981" s="11" t="n">
        <x:v>0</x:v>
      </x:c>
      <x:c r="R2981" s="8" t="n">
        <x:v>45515</x:v>
      </x:c>
      <x:c r="S2981" s="4" t="str">
        <x:v>Retained</x:v>
      </x:c>
      <x:c r="T2981" s="10" t="n">
        <x:v>0.204152</x:v>
      </x:c>
      <x:c r="U2981" s="4" t="str">
        <x:v>Excluded / unlabelled</x:v>
      </x:c>
    </x:row>
    <x:row r="2982" ht="34" customHeight="1">
      <x:c r="A2982" s="4" t="str">
        <x:v>RS-02981</x:v>
      </x:c>
      <x:c r="B2982" s="8" t="n">
        <x:v>45456</x:v>
      </x:c>
      <x:c r="C2982" s="4" t="str">
        <x:v>PRJ-001</x:v>
      </x:c>
      <x:c r="D2982" s="4" t="str">
        <x:v>Villa</x:v>
      </x:c>
      <x:c r="E2982" s="4" t="str">
        <x:v>Cancelled</x:v>
      </x:c>
      <x:c r="F2982" s="4" t="str">
        <x:v>CUS-02981</x:v>
      </x:c>
      <x:c r="G2982" s="4" t="str">
        <x:v>UNIT-02981</x:v>
      </x:c>
      <x:c r="H2982" s="9" t="n">
        <x:v>17600000</x:v>
      </x:c>
      <x:c r="I2982" s="10" t="n">
        <x:v>0.04</x:v>
      </x:c>
      <x:c r="J2982" s="11" t="n">
        <x:v>7</x:v>
      </x:c>
      <x:c r="K2982" s="11" t="n">
        <x:v>6</x:v>
      </x:c>
      <x:c r="L2982" s="11" t="n">
        <x:v>0</x:v>
      </x:c>
      <x:c r="M2982" s="9" t="n">
        <x:f>ROUND(H2982*(1-I2982),2)</x:f>
        <x:v>16896000</x:v>
      </x:c>
      <x:c r="N2982" s="4" t="str">
        <x:v>Sales manager</x:v>
      </x:c>
      <x:c r="O2982" s="4"/>
      <x:c r="P2982" s="9" t="n">
        <x:v>0</x:v>
      </x:c>
      <x:c r="Q2982" s="11" t="n">
        <x:v>1</x:v>
      </x:c>
      <x:c r="R2982" s="8" t="n">
        <x:v>45516</x:v>
      </x:c>
      <x:c r="S2982" s="4" t="str">
        <x:v>Lost / cancelled</x:v>
      </x:c>
      <x:c r="T2982" s="10" t="n">
        <x:v>0.226277</x:v>
      </x:c>
      <x:c r="U2982" s="4" t="str">
        <x:v>Excluded / unlabelled</x:v>
      </x:c>
    </x:row>
    <x:row r="2983" ht="34" customHeight="1">
      <x:c r="A2983" s="4" t="str">
        <x:v>RS-02982</x:v>
      </x:c>
      <x:c r="B2983" s="8" t="n">
        <x:v>45457</x:v>
      </x:c>
      <x:c r="C2983" s="4" t="str">
        <x:v>PRJ-002</x:v>
      </x:c>
      <x:c r="D2983" s="4" t="str">
        <x:v>Retail</x:v>
      </x:c>
      <x:c r="E2983" s="4" t="str">
        <x:v>Cancelled</x:v>
      </x:c>
      <x:c r="F2983" s="4" t="str">
        <x:v>CUS-02982</x:v>
      </x:c>
      <x:c r="G2983" s="4" t="str">
        <x:v>UNIT-02982</x:v>
      </x:c>
      <x:c r="H2983" s="9" t="n">
        <x:v>6000000</x:v>
      </x:c>
      <x:c r="I2983" s="10" t="n">
        <x:v>0.01</x:v>
      </x:c>
      <x:c r="J2983" s="11" t="n">
        <x:v>10</x:v>
      </x:c>
      <x:c r="K2983" s="11" t="n">
        <x:v>10</x:v>
      </x:c>
      <x:c r="L2983" s="11" t="n">
        <x:v>0</x:v>
      </x:c>
      <x:c r="M2983" s="9" t="n">
        <x:f>ROUND(H2983*(1-I2983),2)</x:f>
        <x:v>5940000</x:v>
      </x:c>
      <x:c r="N2983" s="4" t="str">
        <x:v>Sales manager</x:v>
      </x:c>
      <x:c r="O2983" s="4"/>
      <x:c r="P2983" s="9" t="n">
        <x:v>0</x:v>
      </x:c>
      <x:c r="Q2983" s="11" t="n">
        <x:v>1</x:v>
      </x:c>
      <x:c r="R2983" s="8" t="n">
        <x:v>45517</x:v>
      </x:c>
      <x:c r="S2983" s="4" t="str">
        <x:v>Lost / cancelled</x:v>
      </x:c>
      <x:c r="T2983" s="10" t="n">
        <x:v>0.305556</x:v>
      </x:c>
      <x:c r="U2983" s="4" t="str">
        <x:v>Excluded / unlabelled</x:v>
      </x:c>
    </x:row>
    <x:row r="2984" ht="34" customHeight="1">
      <x:c r="A2984" s="4" t="str">
        <x:v>RS-02983</x:v>
      </x:c>
      <x:c r="B2984" s="8" t="n">
        <x:v>45458</x:v>
      </x:c>
      <x:c r="C2984" s="4" t="str">
        <x:v>PRJ-003</x:v>
      </x:c>
      <x:c r="D2984" s="4" t="str">
        <x:v>Office</x:v>
      </x:c>
      <x:c r="E2984" s="4" t="str">
        <x:v>Handed over</x:v>
      </x:c>
      <x:c r="F2984" s="4" t="str">
        <x:v>CUS-02983</x:v>
      </x:c>
      <x:c r="G2984" s="4" t="str">
        <x:v>UNIT-02983</x:v>
      </x:c>
      <x:c r="H2984" s="9" t="n">
        <x:v>24900000</x:v>
      </x:c>
      <x:c r="I2984" s="10" t="n">
        <x:v>0.02</x:v>
      </x:c>
      <x:c r="J2984" s="11" t="n">
        <x:v>3</x:v>
      </x:c>
      <x:c r="K2984" s="11" t="n">
        <x:v>2</x:v>
      </x:c>
      <x:c r="L2984" s="11" t="n">
        <x:v>0</x:v>
      </x:c>
      <x:c r="M2984" s="9" t="n">
        <x:f>ROUND(H2984*(1-I2984),2)</x:f>
        <x:v>24402000</x:v>
      </x:c>
      <x:c r="N2984" s="4" t="str">
        <x:v>Sales manager</x:v>
      </x:c>
      <x:c r="O2984" s="4" t="str">
        <x:v>BOOK-02983</x:v>
      </x:c>
      <x:c r="P2984" s="9" t="n">
        <x:v>6100500</x:v>
      </x:c>
      <x:c r="Q2984" s="11" t="n">
        <x:v>0</x:v>
      </x:c>
      <x:c r="R2984" s="8" t="n">
        <x:v>45518</x:v>
      </x:c>
      <x:c r="S2984" s="4" t="str">
        <x:v>Retained</x:v>
      </x:c>
      <x:c r="T2984" s="10" t="n">
        <x:v>0.171717</x:v>
      </x:c>
      <x:c r="U2984" s="4" t="str">
        <x:v>Excluded / unlabelled</x:v>
      </x:c>
    </x:row>
    <x:row r="2985" ht="34" customHeight="1">
      <x:c r="A2985" s="4" t="str">
        <x:v>RS-02984</x:v>
      </x:c>
      <x:c r="B2985" s="8" t="n">
        <x:v>45459</x:v>
      </x:c>
      <x:c r="C2985" s="4" t="str">
        <x:v>PRJ-004</x:v>
      </x:c>
      <x:c r="D2985" s="4" t="str">
        <x:v>Apartment</x:v>
      </x:c>
      <x:c r="E2985" s="4" t="str">
        <x:v>Handed over</x:v>
      </x:c>
      <x:c r="F2985" s="4" t="str">
        <x:v>CUS-02984</x:v>
      </x:c>
      <x:c r="G2985" s="4" t="str">
        <x:v>UNIT-02984</x:v>
      </x:c>
      <x:c r="H2985" s="9" t="n">
        <x:v>20900000</x:v>
      </x:c>
      <x:c r="I2985" s="10" t="n">
        <x:v>0.02</x:v>
      </x:c>
      <x:c r="J2985" s="11" t="n">
        <x:v>10</x:v>
      </x:c>
      <x:c r="K2985" s="11" t="n">
        <x:v>0</x:v>
      </x:c>
      <x:c r="L2985" s="11" t="n">
        <x:v>1</x:v>
      </x:c>
      <x:c r="M2985" s="9" t="n">
        <x:f>ROUND(H2985*(1-I2985),2)</x:f>
        <x:v>20482000</x:v>
      </x:c>
      <x:c r="N2985" s="4" t="str">
        <x:v>Sales manager</x:v>
      </x:c>
      <x:c r="O2985" s="4" t="str">
        <x:v>BOOK-02984</x:v>
      </x:c>
      <x:c r="P2985" s="9" t="n">
        <x:v>10241000</x:v>
      </x:c>
      <x:c r="Q2985" s="11" t="n">
        <x:v>0</x:v>
      </x:c>
      <x:c r="R2985" s="8" t="n">
        <x:v>45519</x:v>
      </x:c>
      <x:c r="S2985" s="4" t="str">
        <x:v>Retained</x:v>
      </x:c>
      <x:c r="T2985" s="10" t="n">
        <x:v>0.254545</x:v>
      </x:c>
      <x:c r="U2985" s="4" t="str">
        <x:v>Excluded / unlabelled</x:v>
      </x:c>
    </x:row>
    <x:row r="2986" ht="34" customHeight="1">
      <x:c r="A2986" s="4" t="str">
        <x:v>RS-02985</x:v>
      </x:c>
      <x:c r="B2986" s="8" t="n">
        <x:v>45460</x:v>
      </x:c>
      <x:c r="C2986" s="4" t="str">
        <x:v>PRJ-005</x:v>
      </x:c>
      <x:c r="D2986" s="4" t="str">
        <x:v>Office</x:v>
      </x:c>
      <x:c r="E2986" s="4" t="str">
        <x:v>Agreement signed</x:v>
      </x:c>
      <x:c r="F2986" s="4" t="str">
        <x:v>CUS-02985</x:v>
      </x:c>
      <x:c r="G2986" s="4" t="str">
        <x:v>UNIT-02985</x:v>
      </x:c>
      <x:c r="H2986" s="9" t="n">
        <x:v>20700000</x:v>
      </x:c>
      <x:c r="I2986" s="10" t="n">
        <x:v>0.07</x:v>
      </x:c>
      <x:c r="J2986" s="11" t="n">
        <x:v>7</x:v>
      </x:c>
      <x:c r="K2986" s="11" t="n">
        <x:v>6</x:v>
      </x:c>
      <x:c r="L2986" s="11" t="n">
        <x:v>0</x:v>
      </x:c>
      <x:c r="M2986" s="9" t="n">
        <x:f>ROUND(H2986*(1-I2986),2)</x:f>
        <x:v>19251000</x:v>
      </x:c>
      <x:c r="N2986" s="4" t="str">
        <x:v>Sales manager</x:v>
      </x:c>
      <x:c r="O2986" s="4" t="str">
        <x:v>BOOK-02985</x:v>
      </x:c>
      <x:c r="P2986" s="9" t="n">
        <x:v>4812750</x:v>
      </x:c>
      <x:c r="Q2986" s="11" t="n">
        <x:v>0</x:v>
      </x:c>
      <x:c r="R2986" s="8" t="n">
        <x:v>45520</x:v>
      </x:c>
      <x:c r="S2986" s="4" t="str">
        <x:v>Retained</x:v>
      </x:c>
      <x:c r="T2986" s="10" t="n">
        <x:v>0.226277</x:v>
      </x:c>
      <x:c r="U2986" s="4" t="str">
        <x:v>Excluded / unlabelled</x:v>
      </x:c>
    </x:row>
    <x:row r="2987" ht="34" customHeight="1">
      <x:c r="A2987" s="4" t="str">
        <x:v>RS-02986</x:v>
      </x:c>
      <x:c r="B2987" s="8" t="n">
        <x:v>45461</x:v>
      </x:c>
      <x:c r="C2987" s="4" t="str">
        <x:v>PRJ-006</x:v>
      </x:c>
      <x:c r="D2987" s="4" t="str">
        <x:v>Apartment</x:v>
      </x:c>
      <x:c r="E2987" s="4" t="str">
        <x:v>Booked</x:v>
      </x:c>
      <x:c r="F2987" s="4" t="str">
        <x:v>CUS-02986</x:v>
      </x:c>
      <x:c r="G2987" s="4" t="str">
        <x:v>UNIT-02986</x:v>
      </x:c>
      <x:c r="H2987" s="9" t="n">
        <x:v>3200000</x:v>
      </x:c>
      <x:c r="I2987" s="10" t="n">
        <x:v>0.08</x:v>
      </x:c>
      <x:c r="J2987" s="11" t="n">
        <x:v>8</x:v>
      </x:c>
      <x:c r="K2987" s="11" t="n">
        <x:v>6</x:v>
      </x:c>
      <x:c r="L2987" s="11" t="n">
        <x:v>1</x:v>
      </x:c>
      <x:c r="M2987" s="9" t="n">
        <x:f>ROUND(H2987*(1-I2987),2)</x:f>
        <x:v>2944000</x:v>
      </x:c>
      <x:c r="N2987" s="4" t="str">
        <x:v>Sales head</x:v>
      </x:c>
      <x:c r="O2987" s="4" t="str">
        <x:v>BOOK-02986</x:v>
      </x:c>
      <x:c r="P2987" s="9" t="n">
        <x:v>294400</x:v>
      </x:c>
      <x:c r="Q2987" s="11" t="n">
        <x:v>0</x:v>
      </x:c>
      <x:c r="R2987" s="8" t="n">
        <x:v>45521</x:v>
      </x:c>
      <x:c r="S2987" s="4" t="str">
        <x:v>Retained</x:v>
      </x:c>
      <x:c r="T2987" s="10" t="n">
        <x:v>0.310195</x:v>
      </x:c>
      <x:c r="U2987" s="4" t="str">
        <x:v>Excluded / unlabelled</x:v>
      </x:c>
    </x:row>
    <x:row r="2988" ht="34" customHeight="1">
      <x:c r="A2988" s="4" t="str">
        <x:v>RS-02987</x:v>
      </x:c>
      <x:c r="B2988" s="8" t="n">
        <x:v>45462</x:v>
      </x:c>
      <x:c r="C2988" s="4" t="str">
        <x:v>PRJ-007</x:v>
      </x:c>
      <x:c r="D2988" s="4" t="str">
        <x:v>Office</x:v>
      </x:c>
      <x:c r="E2988" s="4" t="str">
        <x:v>Cancelled</x:v>
      </x:c>
      <x:c r="F2988" s="4" t="str">
        <x:v>CUS-02987</x:v>
      </x:c>
      <x:c r="G2988" s="4" t="str">
        <x:v>UNIT-02987</x:v>
      </x:c>
      <x:c r="H2988" s="9" t="n">
        <x:v>23900000</x:v>
      </x:c>
      <x:c r="I2988" s="10" t="n">
        <x:v>0.03</x:v>
      </x:c>
      <x:c r="J2988" s="11" t="n">
        <x:v>8</x:v>
      </x:c>
      <x:c r="K2988" s="11" t="n">
        <x:v>9</x:v>
      </x:c>
      <x:c r="L2988" s="11" t="n">
        <x:v>1</x:v>
      </x:c>
      <x:c r="M2988" s="9" t="n">
        <x:f>ROUND(H2988*(1-I2988),2)</x:f>
        <x:v>23183000</x:v>
      </x:c>
      <x:c r="N2988" s="4" t="str">
        <x:v>Sales manager</x:v>
      </x:c>
      <x:c r="O2988" s="4"/>
      <x:c r="P2988" s="9" t="n">
        <x:v>0</x:v>
      </x:c>
      <x:c r="Q2988" s="11" t="n">
        <x:v>1</x:v>
      </x:c>
      <x:c r="R2988" s="8" t="n">
        <x:v>45522</x:v>
      </x:c>
      <x:c r="S2988" s="4" t="str">
        <x:v>Lost / cancelled</x:v>
      </x:c>
      <x:c r="T2988" s="10" t="n">
        <x:v>0.310195</x:v>
      </x:c>
      <x:c r="U2988" s="4" t="str">
        <x:v>Excluded / unlabelled</x:v>
      </x:c>
    </x:row>
    <x:row r="2989" ht="34" customHeight="1">
      <x:c r="A2989" s="4" t="str">
        <x:v>RS-02988</x:v>
      </x:c>
      <x:c r="B2989" s="8" t="n">
        <x:v>45463</x:v>
      </x:c>
      <x:c r="C2989" s="4" t="str">
        <x:v>PRJ-008</x:v>
      </x:c>
      <x:c r="D2989" s="4" t="str">
        <x:v>Apartment</x:v>
      </x:c>
      <x:c r="E2989" s="4" t="str">
        <x:v>Booked</x:v>
      </x:c>
      <x:c r="F2989" s="4" t="str">
        <x:v>CUS-02988</x:v>
      </x:c>
      <x:c r="G2989" s="4" t="str">
        <x:v>UNIT-02988</x:v>
      </x:c>
      <x:c r="H2989" s="9" t="n">
        <x:v>5100000</x:v>
      </x:c>
      <x:c r="I2989" s="10" t="n">
        <x:v>0.11</x:v>
      </x:c>
      <x:c r="J2989" s="11" t="n">
        <x:v>5</x:v>
      </x:c>
      <x:c r="K2989" s="11" t="n">
        <x:v>7</x:v>
      </x:c>
      <x:c r="L2989" s="11" t="n">
        <x:v>1</x:v>
      </x:c>
      <x:c r="M2989" s="9" t="n">
        <x:f>ROUND(H2989*(1-I2989),2)</x:f>
        <x:v>4539000</x:v>
      </x:c>
      <x:c r="N2989" s="4" t="str">
        <x:v>Sales head</x:v>
      </x:c>
      <x:c r="O2989" s="4" t="str">
        <x:v>BOOK-02988</x:v>
      </x:c>
      <x:c r="P2989" s="9" t="n">
        <x:v>2269500</x:v>
      </x:c>
      <x:c r="Q2989" s="11" t="n">
        <x:v>0</x:v>
      </x:c>
      <x:c r="R2989" s="8" t="n">
        <x:v>45523</x:v>
      </x:c>
      <x:c r="S2989" s="4" t="str">
        <x:v>Retained</x:v>
      </x:c>
      <x:c r="T2989" s="10" t="n">
        <x:v>0.291946</x:v>
      </x:c>
      <x:c r="U2989" s="4" t="str">
        <x:v>Excluded / unlabelled</x:v>
      </x:c>
    </x:row>
    <x:row r="2990" ht="34" customHeight="1">
      <x:c r="A2990" s="4" t="str">
        <x:v>RS-02989</x:v>
      </x:c>
      <x:c r="B2990" s="8" t="n">
        <x:v>45464</x:v>
      </x:c>
      <x:c r="C2990" s="4" t="str">
        <x:v>PRJ-009</x:v>
      </x:c>
      <x:c r="D2990" s="4" t="str">
        <x:v>Office</x:v>
      </x:c>
      <x:c r="E2990" s="4" t="str">
        <x:v>Reserved</x:v>
      </x:c>
      <x:c r="F2990" s="4" t="str">
        <x:v>CUS-02989</x:v>
      </x:c>
      <x:c r="G2990" s="4" t="str">
        <x:v>UNIT-02989</x:v>
      </x:c>
      <x:c r="H2990" s="9" t="n">
        <x:v>17300000</x:v>
      </x:c>
      <x:c r="I2990" s="10" t="n">
        <x:v>0.04</x:v>
      </x:c>
      <x:c r="J2990" s="11" t="n">
        <x:v>8</x:v>
      </x:c>
      <x:c r="K2990" s="11" t="n">
        <x:v>7</x:v>
      </x:c>
      <x:c r="L2990" s="11" t="n">
        <x:v>0</x:v>
      </x:c>
      <x:c r="M2990" s="9" t="n">
        <x:f>ROUND(H2990*(1-I2990),2)</x:f>
        <x:v>16608000</x:v>
      </x:c>
      <x:c r="N2990" s="4" t="str">
        <x:v>Sales manager</x:v>
      </x:c>
      <x:c r="O2990" s="4"/>
      <x:c r="P2990" s="9" t="n">
        <x:v>0</x:v>
      </x:c>
      <x:c r="Q2990" s="11" t="n">
        <x:v>1</x:v>
      </x:c>
      <x:c r="R2990" s="8" t="n">
        <x:v>45524</x:v>
      </x:c>
      <x:c r="S2990" s="4" t="str">
        <x:v>Lost / cancelled</x:v>
      </x:c>
      <x:c r="T2990" s="10" t="n">
        <x:v>0.310195</x:v>
      </x:c>
      <x:c r="U2990" s="4" t="str">
        <x:v>Excluded / unlabelled</x:v>
      </x:c>
    </x:row>
    <x:row r="2991" ht="34" customHeight="1">
      <x:c r="A2991" s="4" t="str">
        <x:v>RS-02990</x:v>
      </x:c>
      <x:c r="B2991" s="8" t="n">
        <x:v>45465</x:v>
      </x:c>
      <x:c r="C2991" s="4" t="str">
        <x:v>PRJ-010</x:v>
      </x:c>
      <x:c r="D2991" s="4" t="str">
        <x:v>Villa</x:v>
      </x:c>
      <x:c r="E2991" s="4" t="str">
        <x:v>Agreement signed</x:v>
      </x:c>
      <x:c r="F2991" s="4" t="str">
        <x:v>CUS-02990</x:v>
      </x:c>
      <x:c r="G2991" s="4" t="str">
        <x:v>UNIT-02990</x:v>
      </x:c>
      <x:c r="H2991" s="9" t="n">
        <x:v>15800000</x:v>
      </x:c>
      <x:c r="I2991" s="10" t="n">
        <x:v>0.04</x:v>
      </x:c>
      <x:c r="J2991" s="11" t="n">
        <x:v>5</x:v>
      </x:c>
      <x:c r="K2991" s="11" t="n">
        <x:v>7</x:v>
      </x:c>
      <x:c r="L2991" s="11" t="n">
        <x:v>0</x:v>
      </x:c>
      <x:c r="M2991" s="9" t="n">
        <x:f>ROUND(H2991*(1-I2991),2)</x:f>
        <x:v>15168000</x:v>
      </x:c>
      <x:c r="N2991" s="4" t="str">
        <x:v>Sales manager</x:v>
      </x:c>
      <x:c r="O2991" s="4" t="str">
        <x:v>BOOK-02990</x:v>
      </x:c>
      <x:c r="P2991" s="9" t="n">
        <x:v>3792000</x:v>
      </x:c>
      <x:c r="Q2991" s="11" t="n">
        <x:v>0</x:v>
      </x:c>
      <x:c r="R2991" s="8" t="n">
        <x:v>45525</x:v>
      </x:c>
      <x:c r="S2991" s="4" t="str">
        <x:v>Retained</x:v>
      </x:c>
      <x:c r="T2991" s="10" t="n">
        <x:v>0.226277</x:v>
      </x:c>
      <x:c r="U2991" s="4" t="str">
        <x:v>Excluded / unlabelled</x:v>
      </x:c>
    </x:row>
    <x:row r="2992" ht="34" customHeight="1">
      <x:c r="A2992" s="4" t="str">
        <x:v>RS-02991</x:v>
      </x:c>
      <x:c r="B2992" s="8" t="n">
        <x:v>45466</x:v>
      </x:c>
      <x:c r="C2992" s="4" t="str">
        <x:v>PRJ-011</x:v>
      </x:c>
      <x:c r="D2992" s="4" t="str">
        <x:v>Villa</x:v>
      </x:c>
      <x:c r="E2992" s="4" t="str">
        <x:v>Reserved</x:v>
      </x:c>
      <x:c r="F2992" s="4" t="str">
        <x:v>CUS-02991</x:v>
      </x:c>
      <x:c r="G2992" s="4" t="str">
        <x:v>UNIT-02991</x:v>
      </x:c>
      <x:c r="H2992" s="9" t="n">
        <x:v>16500000</x:v>
      </x:c>
      <x:c r="I2992" s="10" t="n">
        <x:v>0.06</x:v>
      </x:c>
      <x:c r="J2992" s="11" t="n">
        <x:v>2</x:v>
      </x:c>
      <x:c r="K2992" s="11" t="n">
        <x:v>3</x:v>
      </x:c>
      <x:c r="L2992" s="11" t="n">
        <x:v>1</x:v>
      </x:c>
      <x:c r="M2992" s="9" t="n">
        <x:f>ROUND(H2992*(1-I2992),2)</x:f>
        <x:v>15510000</x:v>
      </x:c>
      <x:c r="N2992" s="4" t="str">
        <x:v>Sales manager</x:v>
      </x:c>
      <x:c r="O2992" s="4"/>
      <x:c r="P2992" s="9" t="n">
        <x:v>0</x:v>
      </x:c>
      <x:c r="Q2992" s="11" t="n">
        <x:v>0</x:v>
      </x:c>
      <x:c r="R2992" s="8" t="n">
        <x:v>45526</x:v>
      </x:c>
      <x:c r="S2992" s="4" t="str">
        <x:v>Retained</x:v>
      </x:c>
      <x:c r="T2992" s="10" t="n">
        <x:v>0.204152</x:v>
      </x:c>
      <x:c r="U2992" s="4" t="str">
        <x:v>Excluded / unlabelled</x:v>
      </x:c>
    </x:row>
    <x:row r="2993" ht="34" customHeight="1">
      <x:c r="A2993" s="4" t="str">
        <x:v>RS-02992</x:v>
      </x:c>
      <x:c r="B2993" s="8" t="n">
        <x:v>45467</x:v>
      </x:c>
      <x:c r="C2993" s="4" t="str">
        <x:v>PRJ-012</x:v>
      </x:c>
      <x:c r="D2993" s="4" t="str">
        <x:v>Villa</x:v>
      </x:c>
      <x:c r="E2993" s="4" t="str">
        <x:v>Reserved</x:v>
      </x:c>
      <x:c r="F2993" s="4" t="str">
        <x:v>CUS-02992</x:v>
      </x:c>
      <x:c r="G2993" s="4" t="str">
        <x:v>UNIT-02992</x:v>
      </x:c>
      <x:c r="H2993" s="9" t="n">
        <x:v>9400000</x:v>
      </x:c>
      <x:c r="I2993" s="10" t="n">
        <x:v>0.04</x:v>
      </x:c>
      <x:c r="J2993" s="11" t="n">
        <x:v>8</x:v>
      </x:c>
      <x:c r="K2993" s="11" t="n">
        <x:v>3</x:v>
      </x:c>
      <x:c r="L2993" s="11" t="n">
        <x:v>0</x:v>
      </x:c>
      <x:c r="M2993" s="9" t="n">
        <x:f>ROUND(H2993*(1-I2993),2)</x:f>
        <x:v>9024000</x:v>
      </x:c>
      <x:c r="N2993" s="4" t="str">
        <x:v>Sales manager</x:v>
      </x:c>
      <x:c r="O2993" s="4"/>
      <x:c r="P2993" s="9" t="n">
        <x:v>0</x:v>
      </x:c>
      <x:c r="Q2993" s="11" t="n">
        <x:v>0</x:v>
      </x:c>
      <x:c r="R2993" s="8" t="n">
        <x:v>45527</x:v>
      </x:c>
      <x:c r="S2993" s="4" t="str">
        <x:v>Retained</x:v>
      </x:c>
      <x:c r="T2993" s="10" t="n">
        <x:v>0.310195</x:v>
      </x:c>
      <x:c r="U2993" s="4" t="str">
        <x:v>Excluded / unlabelled</x:v>
      </x:c>
    </x:row>
    <x:row r="2994" ht="34" customHeight="1">
      <x:c r="A2994" s="4" t="str">
        <x:v>RS-02993</x:v>
      </x:c>
      <x:c r="B2994" s="8" t="n">
        <x:v>45468</x:v>
      </x:c>
      <x:c r="C2994" s="4" t="str">
        <x:v>PRJ-013</x:v>
      </x:c>
      <x:c r="D2994" s="4" t="str">
        <x:v>Villa</x:v>
      </x:c>
      <x:c r="E2994" s="4" t="str">
        <x:v>Cancelled</x:v>
      </x:c>
      <x:c r="F2994" s="4" t="str">
        <x:v>CUS-02993</x:v>
      </x:c>
      <x:c r="G2994" s="4" t="str">
        <x:v>UNIT-02993</x:v>
      </x:c>
      <x:c r="H2994" s="9" t="n">
        <x:v>20100000</x:v>
      </x:c>
      <x:c r="I2994" s="10" t="n">
        <x:v>0.07</x:v>
      </x:c>
      <x:c r="J2994" s="11" t="n">
        <x:v>10</x:v>
      </x:c>
      <x:c r="K2994" s="11" t="n">
        <x:v>10</x:v>
      </x:c>
      <x:c r="L2994" s="11" t="n">
        <x:v>0</x:v>
      </x:c>
      <x:c r="M2994" s="9" t="n">
        <x:f>ROUND(H2994*(1-I2994),2)</x:f>
        <x:v>18693000</x:v>
      </x:c>
      <x:c r="N2994" s="4" t="str">
        <x:v>Sales manager</x:v>
      </x:c>
      <x:c r="O2994" s="4"/>
      <x:c r="P2994" s="9" t="n">
        <x:v>0</x:v>
      </x:c>
      <x:c r="Q2994" s="11" t="n">
        <x:v>1</x:v>
      </x:c>
      <x:c r="R2994" s="8" t="n">
        <x:v>45528</x:v>
      </x:c>
      <x:c r="S2994" s="4" t="str">
        <x:v>Lost / cancelled</x:v>
      </x:c>
      <x:c r="T2994" s="10" t="n">
        <x:v>0.310195</x:v>
      </x:c>
      <x:c r="U2994" s="4" t="str">
        <x:v>Excluded / unlabelled</x:v>
      </x:c>
    </x:row>
    <x:row r="2995" ht="34" customHeight="1">
      <x:c r="A2995" s="4" t="str">
        <x:v>RS-02994</x:v>
      </x:c>
      <x:c r="B2995" s="8" t="n">
        <x:v>45469</x:v>
      </x:c>
      <x:c r="C2995" s="4" t="str">
        <x:v>PRJ-014</x:v>
      </x:c>
      <x:c r="D2995" s="4" t="str">
        <x:v>Apartment</x:v>
      </x:c>
      <x:c r="E2995" s="4" t="str">
        <x:v>Reserved</x:v>
      </x:c>
      <x:c r="F2995" s="4" t="str">
        <x:v>CUS-02994</x:v>
      </x:c>
      <x:c r="G2995" s="4" t="str">
        <x:v>UNIT-02994</x:v>
      </x:c>
      <x:c r="H2995" s="9" t="n">
        <x:v>5300000</x:v>
      </x:c>
      <x:c r="I2995" s="10" t="n">
        <x:v>0.08</x:v>
      </x:c>
      <x:c r="J2995" s="11" t="n">
        <x:v>8</x:v>
      </x:c>
      <x:c r="K2995" s="11" t="n">
        <x:v>1</x:v>
      </x:c>
      <x:c r="L2995" s="11" t="n">
        <x:v>0</x:v>
      </x:c>
      <x:c r="M2995" s="9" t="n">
        <x:f>ROUND(H2995*(1-I2995),2)</x:f>
        <x:v>4876000</x:v>
      </x:c>
      <x:c r="N2995" s="4" t="str">
        <x:v>Sales head</x:v>
      </x:c>
      <x:c r="O2995" s="4"/>
      <x:c r="P2995" s="9" t="n">
        <x:v>0</x:v>
      </x:c>
      <x:c r="Q2995" s="11" t="n">
        <x:v>1</x:v>
      </x:c>
      <x:c r="R2995" s="8" t="n">
        <x:v>45529</x:v>
      </x:c>
      <x:c r="S2995" s="4" t="str">
        <x:v>Lost / cancelled</x:v>
      </x:c>
      <x:c r="T2995" s="10" t="n">
        <x:v>0.310195</x:v>
      </x:c>
      <x:c r="U2995" s="4" t="str">
        <x:v>Excluded / unlabelled</x:v>
      </x:c>
    </x:row>
    <x:row r="2996" ht="34" customHeight="1">
      <x:c r="A2996" s="4" t="str">
        <x:v>RS-02995</x:v>
      </x:c>
      <x:c r="B2996" s="8" t="n">
        <x:v>45470</x:v>
      </x:c>
      <x:c r="C2996" s="4" t="str">
        <x:v>PRJ-015</x:v>
      </x:c>
      <x:c r="D2996" s="4" t="str">
        <x:v>Apartment</x:v>
      </x:c>
      <x:c r="E2996" s="4" t="str">
        <x:v>Handed over</x:v>
      </x:c>
      <x:c r="F2996" s="4" t="str">
        <x:v>CUS-02995</x:v>
      </x:c>
      <x:c r="G2996" s="4" t="str">
        <x:v>UNIT-02995</x:v>
      </x:c>
      <x:c r="H2996" s="9" t="n">
        <x:v>14600000</x:v>
      </x:c>
      <x:c r="I2996" s="10" t="n">
        <x:v>0.1</x:v>
      </x:c>
      <x:c r="J2996" s="11" t="n">
        <x:v>3</x:v>
      </x:c>
      <x:c r="K2996" s="11" t="n">
        <x:v>3</x:v>
      </x:c>
      <x:c r="L2996" s="11" t="n">
        <x:v>0</x:v>
      </x:c>
      <x:c r="M2996" s="9" t="n">
        <x:f>ROUND(H2996*(1-I2996),2)</x:f>
        <x:v>13140000</x:v>
      </x:c>
      <x:c r="N2996" s="4" t="str">
        <x:v>Sales head</x:v>
      </x:c>
      <x:c r="O2996" s="4" t="str">
        <x:v>BOOK-02995</x:v>
      </x:c>
      <x:c r="P2996" s="9" t="n">
        <x:v>6570000</x:v>
      </x:c>
      <x:c r="Q2996" s="11" t="n">
        <x:v>0</x:v>
      </x:c>
      <x:c r="R2996" s="8" t="n">
        <x:v>45530</x:v>
      </x:c>
      <x:c r="S2996" s="4" t="str">
        <x:v>Retained</x:v>
      </x:c>
      <x:c r="T2996" s="10" t="n">
        <x:v>0.145833</x:v>
      </x:c>
      <x:c r="U2996" s="4" t="str">
        <x:v>Excluded / unlabelled</x:v>
      </x:c>
    </x:row>
    <x:row r="2997" ht="34" customHeight="1">
      <x:c r="A2997" s="4" t="str">
        <x:v>RS-02996</x:v>
      </x:c>
      <x:c r="B2997" s="8" t="n">
        <x:v>45471</x:v>
      </x:c>
      <x:c r="C2997" s="4" t="str">
        <x:v>PRJ-016</x:v>
      </x:c>
      <x:c r="D2997" s="4" t="str">
        <x:v>Office</x:v>
      </x:c>
      <x:c r="E2997" s="4" t="str">
        <x:v>Cancelled</x:v>
      </x:c>
      <x:c r="F2997" s="4" t="str">
        <x:v>CUS-02996</x:v>
      </x:c>
      <x:c r="G2997" s="4" t="str">
        <x:v>UNIT-02996</x:v>
      </x:c>
      <x:c r="H2997" s="9" t="n">
        <x:v>24800000</x:v>
      </x:c>
      <x:c r="I2997" s="10" t="n">
        <x:v>0.05</x:v>
      </x:c>
      <x:c r="J2997" s="11" t="n">
        <x:v>3</x:v>
      </x:c>
      <x:c r="K2997" s="11" t="n">
        <x:v>6</x:v>
      </x:c>
      <x:c r="L2997" s="11" t="n">
        <x:v>1</x:v>
      </x:c>
      <x:c r="M2997" s="9" t="n">
        <x:f>ROUND(H2997*(1-I2997),2)</x:f>
        <x:v>23560000</x:v>
      </x:c>
      <x:c r="N2997" s="4" t="str">
        <x:v>Sales manager</x:v>
      </x:c>
      <x:c r="O2997" s="4"/>
      <x:c r="P2997" s="9" t="n">
        <x:v>0</x:v>
      </x:c>
      <x:c r="Q2997" s="11" t="n">
        <x:v>1</x:v>
      </x:c>
      <x:c r="R2997" s="8" t="n">
        <x:v>45531</x:v>
      </x:c>
      <x:c r="S2997" s="4" t="str">
        <x:v>Lost / cancelled</x:v>
      </x:c>
      <x:c r="T2997" s="10" t="n">
        <x:v>0.204152</x:v>
      </x:c>
      <x:c r="U2997" s="4" t="str">
        <x:v>Excluded / unlabelled</x:v>
      </x:c>
    </x:row>
    <x:row r="2998" ht="34" customHeight="1">
      <x:c r="A2998" s="4" t="str">
        <x:v>RS-02997</x:v>
      </x:c>
      <x:c r="B2998" s="8" t="n">
        <x:v>45444</x:v>
      </x:c>
      <x:c r="C2998" s="4" t="str">
        <x:v>PRJ-017</x:v>
      </x:c>
      <x:c r="D2998" s="4" t="str">
        <x:v>Office</x:v>
      </x:c>
      <x:c r="E2998" s="4" t="str">
        <x:v>Booked</x:v>
      </x:c>
      <x:c r="F2998" s="4" t="str">
        <x:v>CUS-02997</x:v>
      </x:c>
      <x:c r="G2998" s="4" t="str">
        <x:v>UNIT-02997</x:v>
      </x:c>
      <x:c r="H2998" s="9" t="n">
        <x:v>17800000</x:v>
      </x:c>
      <x:c r="I2998" s="10" t="n">
        <x:v>0.07</x:v>
      </x:c>
      <x:c r="J2998" s="11" t="n">
        <x:v>6</x:v>
      </x:c>
      <x:c r="K2998" s="11" t="n">
        <x:v>8</x:v>
      </x:c>
      <x:c r="L2998" s="11" t="n">
        <x:v>1</x:v>
      </x:c>
      <x:c r="M2998" s="9" t="n">
        <x:f>ROUND(H2998*(1-I2998),2)</x:f>
        <x:v>16554000</x:v>
      </x:c>
      <x:c r="N2998" s="4" t="str">
        <x:v>Sales manager</x:v>
      </x:c>
      <x:c r="O2998" s="4" t="str">
        <x:v>BOOK-02997</x:v>
      </x:c>
      <x:c r="P2998" s="9" t="n">
        <x:v>8277000</x:v>
      </x:c>
      <x:c r="Q2998" s="11" t="n">
        <x:v>0</x:v>
      </x:c>
      <x:c r="R2998" s="8" t="n">
        <x:v>45504</x:v>
      </x:c>
      <x:c r="S2998" s="4" t="str">
        <x:v>Retained</x:v>
      </x:c>
      <x:c r="T2998" s="10" t="n">
        <x:v>0.291946</x:v>
      </x:c>
      <x:c r="U2998" s="4" t="str">
        <x:v>Excluded / unlabelled</x:v>
      </x:c>
    </x:row>
    <x:row r="2999" ht="34" customHeight="1">
      <x:c r="A2999" s="4" t="str">
        <x:v>RS-02998</x:v>
      </x:c>
      <x:c r="B2999" s="8" t="n">
        <x:v>45445</x:v>
      </x:c>
      <x:c r="C2999" s="4" t="str">
        <x:v>PRJ-018</x:v>
      </x:c>
      <x:c r="D2999" s="4" t="str">
        <x:v>Villa</x:v>
      </x:c>
      <x:c r="E2999" s="4" t="str">
        <x:v>Enquiry</x:v>
      </x:c>
      <x:c r="F2999" s="4" t="str">
        <x:v>CUS-02998</x:v>
      </x:c>
      <x:c r="G2999" s="4" t="str">
        <x:v>UNIT-02998</x:v>
      </x:c>
      <x:c r="H2999" s="9" t="n">
        <x:v>7900000</x:v>
      </x:c>
      <x:c r="I2999" s="10" t="n">
        <x:v>0.06</x:v>
      </x:c>
      <x:c r="J2999" s="11" t="n">
        <x:v>3</x:v>
      </x:c>
      <x:c r="K2999" s="11" t="n">
        <x:v>9</x:v>
      </x:c>
      <x:c r="L2999" s="11" t="n">
        <x:v>0</x:v>
      </x:c>
      <x:c r="M2999" s="9" t="n">
        <x:f>ROUND(H2999*(1-I2999),2)</x:f>
        <x:v>7426000</x:v>
      </x:c>
      <x:c r="N2999" s="4" t="str">
        <x:v>Sales manager</x:v>
      </x:c>
      <x:c r="O2999" s="4"/>
      <x:c r="P2999" s="9" t="n">
        <x:v>0</x:v>
      </x:c>
      <x:c r="Q2999" s="11" t="n">
        <x:v>0</x:v>
      </x:c>
      <x:c r="R2999" s="8" t="n">
        <x:v>45505</x:v>
      </x:c>
      <x:c r="S2999" s="4" t="str">
        <x:v>Retained</x:v>
      </x:c>
      <x:c r="T2999" s="10" t="n">
        <x:v>0.204152</x:v>
      </x:c>
      <x:c r="U2999" s="4" t="str">
        <x:v>Excluded / unlabelled</x:v>
      </x:c>
    </x:row>
    <x:row r="3000" ht="34" customHeight="1">
      <x:c r="A3000" s="4" t="str">
        <x:v>RS-02999</x:v>
      </x:c>
      <x:c r="B3000" s="8" t="n">
        <x:v>45446</x:v>
      </x:c>
      <x:c r="C3000" s="4" t="str">
        <x:v>PRJ-019</x:v>
      </x:c>
      <x:c r="D3000" s="4" t="str">
        <x:v>Office</x:v>
      </x:c>
      <x:c r="E3000" s="4" t="str">
        <x:v>Handed over</x:v>
      </x:c>
      <x:c r="F3000" s="4" t="str">
        <x:v>CUS-02999</x:v>
      </x:c>
      <x:c r="G3000" s="4" t="str">
        <x:v>UNIT-02999</x:v>
      </x:c>
      <x:c r="H3000" s="9" t="n">
        <x:v>21300000</x:v>
      </x:c>
      <x:c r="I3000" s="10" t="n">
        <x:v>0.08</x:v>
      </x:c>
      <x:c r="J3000" s="11" t="n">
        <x:v>5</x:v>
      </x:c>
      <x:c r="K3000" s="11" t="n">
        <x:v>5</x:v>
      </x:c>
      <x:c r="L3000" s="11" t="n">
        <x:v>1</x:v>
      </x:c>
      <x:c r="M3000" s="9" t="n">
        <x:f>ROUND(H3000*(1-I3000),2)</x:f>
        <x:v>19596000</x:v>
      </x:c>
      <x:c r="N3000" s="4" t="str">
        <x:v>Sales head</x:v>
      </x:c>
      <x:c r="O3000" s="4" t="str">
        <x:v>BOOK-02999</x:v>
      </x:c>
      <x:c r="P3000" s="9" t="n">
        <x:v>4899000</x:v>
      </x:c>
      <x:c r="Q3000" s="11" t="n">
        <x:v>0</x:v>
      </x:c>
      <x:c r="R3000" s="8" t="n">
        <x:v>45506</x:v>
      </x:c>
      <x:c r="S3000" s="4" t="str">
        <x:v>Retained</x:v>
      </x:c>
      <x:c r="T3000" s="10" t="n">
        <x:v>0.291946</x:v>
      </x:c>
      <x:c r="U3000" s="4" t="str">
        <x:v>Excluded / unlabelled</x:v>
      </x:c>
    </x:row>
    <x:row r="3001" ht="34" customHeight="1">
      <x:c r="A3001" s="4" t="str">
        <x:v>RS-03000</x:v>
      </x:c>
      <x:c r="B3001" s="8" t="n">
        <x:v>45447</x:v>
      </x:c>
      <x:c r="C3001" s="4" t="str">
        <x:v>PRJ-020</x:v>
      </x:c>
      <x:c r="D3001" s="4" t="str">
        <x:v>Apartment</x:v>
      </x:c>
      <x:c r="E3001" s="4" t="str">
        <x:v>Handed over</x:v>
      </x:c>
      <x:c r="F3001" s="4" t="str">
        <x:v>CUS-03000</x:v>
      </x:c>
      <x:c r="G3001" s="4" t="str">
        <x:v>UNIT-03000</x:v>
      </x:c>
      <x:c r="H3001" s="9" t="n">
        <x:v>5600000</x:v>
      </x:c>
      <x:c r="I3001" s="10" t="n">
        <x:v>0.04</x:v>
      </x:c>
      <x:c r="J3001" s="11" t="n">
        <x:v>12</x:v>
      </x:c>
      <x:c r="K3001" s="11" t="n">
        <x:v>1</x:v>
      </x:c>
      <x:c r="L3001" s="11" t="n">
        <x:v>0</x:v>
      </x:c>
      <x:c r="M3001" s="9" t="n">
        <x:f>ROUND(H3001*(1-I3001),2)</x:f>
        <x:v>5376000</x:v>
      </x:c>
      <x:c r="N3001" s="4" t="str">
        <x:v>Sales manager</x:v>
      </x:c>
      <x:c r="O3001" s="4" t="str">
        <x:v>BOOK-03000</x:v>
      </x:c>
      <x:c r="P3001" s="9" t="n">
        <x:v>5376000</x:v>
      </x:c>
      <x:c r="Q3001" s="11" t="n">
        <x:v>0</x:v>
      </x:c>
      <x:c r="R3001" s="8" t="n">
        <x:v>45507</x:v>
      </x:c>
      <x:c r="S3001" s="4" t="str">
        <x:v>Retained</x:v>
      </x:c>
      <x:c r="T3001" s="10" t="n">
        <x:v>0.351536</x:v>
      </x:c>
      <x:c r="U3001" s="4" t="str">
        <x:v>Excluded / unlabelled</x:v>
      </x:c>
    </x:row>
    <x:row r="3002" ht="34" customHeight="1">
      <x:c r="A3002" s="4" t="str">
        <x:v>RS-03001</x:v>
      </x:c>
      <x:c r="B3002" s="8" t="n">
        <x:v>45478</x:v>
      </x:c>
      <x:c r="C3002" s="4" t="str">
        <x:v>PRJ-001</x:v>
      </x:c>
      <x:c r="D3002" s="4" t="str">
        <x:v>Office</x:v>
      </x:c>
      <x:c r="E3002" s="4" t="str">
        <x:v>Handed over</x:v>
      </x:c>
      <x:c r="F3002" s="4" t="str">
        <x:v>CUS-03001</x:v>
      </x:c>
      <x:c r="G3002" s="4" t="str">
        <x:v>UNIT-03001</x:v>
      </x:c>
      <x:c r="H3002" s="9" t="n">
        <x:v>8100000</x:v>
      </x:c>
      <x:c r="I3002" s="10" t="n">
        <x:v>0.03</x:v>
      </x:c>
      <x:c r="J3002" s="11" t="n">
        <x:v>1</x:v>
      </x:c>
      <x:c r="K3002" s="11" t="n">
        <x:v>6</x:v>
      </x:c>
      <x:c r="L3002" s="11" t="n">
        <x:v>1</x:v>
      </x:c>
      <x:c r="M3002" s="9" t="n">
        <x:f>ROUND(H3002*(1-I3002),2)</x:f>
        <x:v>7857000</x:v>
      </x:c>
      <x:c r="N3002" s="4" t="str">
        <x:v>Sales manager</x:v>
      </x:c>
      <x:c r="O3002" s="4" t="str">
        <x:v>BOOK-03001</x:v>
      </x:c>
      <x:c r="P3002" s="9" t="n">
        <x:v>785700</x:v>
      </x:c>
      <x:c r="Q3002" s="11" t="n">
        <x:v>0</x:v>
      </x:c>
      <x:c r="R3002" s="8" t="n">
        <x:v>45538</x:v>
      </x:c>
      <x:c r="S3002" s="4" t="str">
        <x:v>Retained</x:v>
      </x:c>
      <x:c r="T3002" s="10" t="n">
        <x:v>0.072165</x:v>
      </x:c>
      <x:c r="U3002" s="4" t="str">
        <x:v>Excluded / unlabelled</x:v>
      </x:c>
    </x:row>
    <x:row r="3003" ht="34" customHeight="1">
      <x:c r="A3003" s="4" t="str">
        <x:v>RS-03002</x:v>
      </x:c>
      <x:c r="B3003" s="8" t="n">
        <x:v>45479</x:v>
      </x:c>
      <x:c r="C3003" s="4" t="str">
        <x:v>PRJ-002</x:v>
      </x:c>
      <x:c r="D3003" s="4" t="str">
        <x:v>Apartment</x:v>
      </x:c>
      <x:c r="E3003" s="4" t="str">
        <x:v>Reserved</x:v>
      </x:c>
      <x:c r="F3003" s="4" t="str">
        <x:v>CUS-03002</x:v>
      </x:c>
      <x:c r="G3003" s="4" t="str">
        <x:v>UNIT-03002</x:v>
      </x:c>
      <x:c r="H3003" s="9" t="n">
        <x:v>12300000</x:v>
      </x:c>
      <x:c r="I3003" s="10" t="n">
        <x:v>0.03</x:v>
      </x:c>
      <x:c r="J3003" s="11" t="n">
        <x:v>11</x:v>
      </x:c>
      <x:c r="K3003" s="11" t="n">
        <x:v>5</x:v>
      </x:c>
      <x:c r="L3003" s="11" t="n">
        <x:v>0</x:v>
      </x:c>
      <x:c r="M3003" s="9" t="n">
        <x:f>ROUND(H3003*(1-I3003),2)</x:f>
        <x:v>11931000</x:v>
      </x:c>
      <x:c r="N3003" s="4" t="str">
        <x:v>Sales manager</x:v>
      </x:c>
      <x:c r="O3003" s="4"/>
      <x:c r="P3003" s="9" t="n">
        <x:v>0</x:v>
      </x:c>
      <x:c r="Q3003" s="11" t="n">
        <x:v>1</x:v>
      </x:c>
      <x:c r="R3003" s="8" t="n">
        <x:v>45539</x:v>
      </x:c>
      <x:c r="S3003" s="4" t="str">
        <x:v>Lost / cancelled</x:v>
      </x:c>
      <x:c r="T3003" s="10" t="n">
        <x:v>0.351536</x:v>
      </x:c>
      <x:c r="U3003" s="4" t="str">
        <x:v>Excluded / unlabelled</x:v>
      </x:c>
    </x:row>
    <x:row r="3004" ht="34" customHeight="1">
      <x:c r="A3004" s="4" t="str">
        <x:v>RS-03003</x:v>
      </x:c>
      <x:c r="B3004" s="8" t="n">
        <x:v>45480</x:v>
      </x:c>
      <x:c r="C3004" s="4" t="str">
        <x:v>PRJ-003</x:v>
      </x:c>
      <x:c r="D3004" s="4" t="str">
        <x:v>Office</x:v>
      </x:c>
      <x:c r="E3004" s="4" t="str">
        <x:v>Reserved</x:v>
      </x:c>
      <x:c r="F3004" s="4" t="str">
        <x:v>CUS-03003</x:v>
      </x:c>
      <x:c r="G3004" s="4" t="str">
        <x:v>UNIT-03003</x:v>
      </x:c>
      <x:c r="H3004" s="9" t="n">
        <x:v>9100000</x:v>
      </x:c>
      <x:c r="I3004" s="10" t="n">
        <x:v>0.05</x:v>
      </x:c>
      <x:c r="J3004" s="11" t="n">
        <x:v>8</x:v>
      </x:c>
      <x:c r="K3004" s="11" t="n">
        <x:v>2</x:v>
      </x:c>
      <x:c r="L3004" s="11" t="n">
        <x:v>1</x:v>
      </x:c>
      <x:c r="M3004" s="9" t="n">
        <x:f>ROUND(H3004*(1-I3004),2)</x:f>
        <x:v>8645000</x:v>
      </x:c>
      <x:c r="N3004" s="4" t="str">
        <x:v>Sales manager</x:v>
      </x:c>
      <x:c r="O3004" s="4"/>
      <x:c r="P3004" s="9" t="n">
        <x:v>0</x:v>
      </x:c>
      <x:c r="Q3004" s="11" t="n">
        <x:v>0</x:v>
      </x:c>
      <x:c r="R3004" s="8" t="n">
        <x:v>45540</x:v>
      </x:c>
      <x:c r="S3004" s="4" t="str">
        <x:v>Retained</x:v>
      </x:c>
      <x:c r="T3004" s="10" t="n">
        <x:v>0.310195</x:v>
      </x:c>
      <x:c r="U3004" s="4" t="str">
        <x:v>Excluded / unlabelled</x:v>
      </x:c>
    </x:row>
    <x:row r="3005" ht="34" customHeight="1">
      <x:c r="A3005" s="4" t="str">
        <x:v>RS-03004</x:v>
      </x:c>
      <x:c r="B3005" s="8" t="n">
        <x:v>45481</x:v>
      </x:c>
      <x:c r="C3005" s="4" t="str">
        <x:v>PRJ-004</x:v>
      </x:c>
      <x:c r="D3005" s="4" t="str">
        <x:v>Retail</x:v>
      </x:c>
      <x:c r="E3005" s="4" t="str">
        <x:v>Enquiry</x:v>
      </x:c>
      <x:c r="F3005" s="4" t="str">
        <x:v>CUS-03004</x:v>
      </x:c>
      <x:c r="G3005" s="4" t="str">
        <x:v>UNIT-03004</x:v>
      </x:c>
      <x:c r="H3005" s="9" t="n">
        <x:v>21800000</x:v>
      </x:c>
      <x:c r="I3005" s="10" t="n">
        <x:v>0.01</x:v>
      </x:c>
      <x:c r="J3005" s="11" t="n">
        <x:v>8</x:v>
      </x:c>
      <x:c r="K3005" s="11" t="n">
        <x:v>7</x:v>
      </x:c>
      <x:c r="L3005" s="11" t="n">
        <x:v>1</x:v>
      </x:c>
      <x:c r="M3005" s="9" t="n">
        <x:f>ROUND(H3005*(1-I3005),2)</x:f>
        <x:v>21582000</x:v>
      </x:c>
      <x:c r="N3005" s="4" t="str">
        <x:v>Sales manager</x:v>
      </x:c>
      <x:c r="O3005" s="4"/>
      <x:c r="P3005" s="9" t="n">
        <x:v>0</x:v>
      </x:c>
      <x:c r="Q3005" s="11" t="n">
        <x:v>0</x:v>
      </x:c>
      <x:c r="R3005" s="8" t="n">
        <x:v>45541</x:v>
      </x:c>
      <x:c r="S3005" s="4" t="str">
        <x:v>Retained</x:v>
      </x:c>
      <x:c r="T3005" s="10" t="n">
        <x:v>0.254545</x:v>
      </x:c>
      <x:c r="U3005" s="4" t="str">
        <x:v>Excluded / unlabelled</x:v>
      </x:c>
    </x:row>
    <x:row r="3006" ht="34" customHeight="1">
      <x:c r="A3006" s="4" t="str">
        <x:v>RS-03005</x:v>
      </x:c>
      <x:c r="B3006" s="8" t="n">
        <x:v>45482</x:v>
      </x:c>
      <x:c r="C3006" s="4" t="str">
        <x:v>PRJ-005</x:v>
      </x:c>
      <x:c r="D3006" s="4" t="str">
        <x:v>Villa</x:v>
      </x:c>
      <x:c r="E3006" s="4" t="str">
        <x:v>Agreement signed</x:v>
      </x:c>
      <x:c r="F3006" s="4" t="str">
        <x:v>CUS-03005</x:v>
      </x:c>
      <x:c r="G3006" s="4" t="str">
        <x:v>UNIT-03005</x:v>
      </x:c>
      <x:c r="H3006" s="9" t="n">
        <x:v>9300000</x:v>
      </x:c>
      <x:c r="I3006" s="10" t="n">
        <x:v>0.12</x:v>
      </x:c>
      <x:c r="J3006" s="11" t="n">
        <x:v>0</x:v>
      </x:c>
      <x:c r="K3006" s="11" t="n">
        <x:v>7</x:v>
      </x:c>
      <x:c r="L3006" s="11" t="n">
        <x:v>1</x:v>
      </x:c>
      <x:c r="M3006" s="9" t="n">
        <x:f>ROUND(H3006*(1-I3006),2)</x:f>
        <x:v>8184000</x:v>
      </x:c>
      <x:c r="N3006" s="4" t="str">
        <x:v>Sales head</x:v>
      </x:c>
      <x:c r="O3006" s="4" t="str">
        <x:v>BOOK-03005</x:v>
      </x:c>
      <x:c r="P3006" s="9" t="n">
        <x:v>4092000</x:v>
      </x:c>
      <x:c r="Q3006" s="11" t="n">
        <x:v>0</x:v>
      </x:c>
      <x:c r="R3006" s="8" t="n">
        <x:v>45542</x:v>
      </x:c>
      <x:c r="S3006" s="4" t="str">
        <x:v>Retained</x:v>
      </x:c>
      <x:c r="T3006" s="10" t="n">
        <x:v>0.145833</x:v>
      </x:c>
      <x:c r="U3006" s="4" t="str">
        <x:v>Excluded / unlabelled</x:v>
      </x:c>
    </x:row>
    <x:row r="3007" ht="34" customHeight="1">
      <x:c r="A3007" s="4" t="str">
        <x:v>RS-03006</x:v>
      </x:c>
      <x:c r="B3007" s="8" t="n">
        <x:v>45483</x:v>
      </x:c>
      <x:c r="C3007" s="4" t="str">
        <x:v>PRJ-006</x:v>
      </x:c>
      <x:c r="D3007" s="4" t="str">
        <x:v>Villa</x:v>
      </x:c>
      <x:c r="E3007" s="4" t="str">
        <x:v>Handed over</x:v>
      </x:c>
      <x:c r="F3007" s="4" t="str">
        <x:v>CUS-03006</x:v>
      </x:c>
      <x:c r="G3007" s="4" t="str">
        <x:v>UNIT-03006</x:v>
      </x:c>
      <x:c r="H3007" s="9" t="n">
        <x:v>18100000</x:v>
      </x:c>
      <x:c r="I3007" s="10" t="n">
        <x:v>0.08</x:v>
      </x:c>
      <x:c r="J3007" s="11" t="n">
        <x:v>12</x:v>
      </x:c>
      <x:c r="K3007" s="11" t="n">
        <x:v>3</x:v>
      </x:c>
      <x:c r="L3007" s="11" t="n">
        <x:v>0</x:v>
      </x:c>
      <x:c r="M3007" s="9" t="n">
        <x:f>ROUND(H3007*(1-I3007),2)</x:f>
        <x:v>16652000</x:v>
      </x:c>
      <x:c r="N3007" s="4" t="str">
        <x:v>Sales head</x:v>
      </x:c>
      <x:c r="O3007" s="4" t="str">
        <x:v>BOOK-03006</x:v>
      </x:c>
      <x:c r="P3007" s="9" t="n">
        <x:v>1665200</x:v>
      </x:c>
      <x:c r="Q3007" s="11" t="n">
        <x:v>0</x:v>
      </x:c>
      <x:c r="R3007" s="8" t="n">
        <x:v>45543</x:v>
      </x:c>
      <x:c r="S3007" s="4" t="str">
        <x:v>Retained</x:v>
      </x:c>
      <x:c r="T3007" s="10" t="n">
        <x:v>0.351536</x:v>
      </x:c>
      <x:c r="U3007" s="4" t="str">
        <x:v>Excluded / unlabelled</x:v>
      </x:c>
    </x:row>
    <x:row r="3008" ht="34" customHeight="1">
      <x:c r="A3008" s="4" t="str">
        <x:v>RS-03007</x:v>
      </x:c>
      <x:c r="B3008" s="8" t="n">
        <x:v>45484</x:v>
      </x:c>
      <x:c r="C3008" s="4" t="str">
        <x:v>PRJ-007</x:v>
      </x:c>
      <x:c r="D3008" s="4" t="str">
        <x:v>Apartment</x:v>
      </x:c>
      <x:c r="E3008" s="4" t="str">
        <x:v>Reserved</x:v>
      </x:c>
      <x:c r="F3008" s="4" t="str">
        <x:v>CUS-03007</x:v>
      </x:c>
      <x:c r="G3008" s="4" t="str">
        <x:v>UNIT-03007</x:v>
      </x:c>
      <x:c r="H3008" s="9" t="n">
        <x:v>21800000</x:v>
      </x:c>
      <x:c r="I3008" s="10" t="n">
        <x:v>0</x:v>
      </x:c>
      <x:c r="J3008" s="11" t="n">
        <x:v>1</x:v>
      </x:c>
      <x:c r="K3008" s="11" t="n">
        <x:v>6</x:v>
      </x:c>
      <x:c r="L3008" s="11" t="n">
        <x:v>0</x:v>
      </x:c>
      <x:c r="M3008" s="9" t="n">
        <x:f>ROUND(H3008*(1-I3008),2)</x:f>
        <x:v>21800000</x:v>
      </x:c>
      <x:c r="N3008" s="4" t="str">
        <x:v>Sales manager</x:v>
      </x:c>
      <x:c r="O3008" s="4"/>
      <x:c r="P3008" s="9" t="n">
        <x:v>0</x:v>
      </x:c>
      <x:c r="Q3008" s="11" t="n">
        <x:v>0</x:v>
      </x:c>
      <x:c r="R3008" s="8" t="n">
        <x:v>45544</x:v>
      </x:c>
      <x:c r="S3008" s="4" t="str">
        <x:v>Retained</x:v>
      </x:c>
      <x:c r="T3008" s="10" t="n">
        <x:v>0.072165</x:v>
      </x:c>
      <x:c r="U3008" s="4" t="str">
        <x:v>Excluded / unlabelled</x:v>
      </x:c>
    </x:row>
    <x:row r="3009" ht="34" customHeight="1">
      <x:c r="A3009" s="4" t="str">
        <x:v>RS-03008</x:v>
      </x:c>
      <x:c r="B3009" s="8" t="n">
        <x:v>45485</x:v>
      </x:c>
      <x:c r="C3009" s="4" t="str">
        <x:v>PRJ-008</x:v>
      </x:c>
      <x:c r="D3009" s="4" t="str">
        <x:v>Villa</x:v>
      </x:c>
      <x:c r="E3009" s="4" t="str">
        <x:v>Cancelled</x:v>
      </x:c>
      <x:c r="F3009" s="4" t="str">
        <x:v>CUS-03008</x:v>
      </x:c>
      <x:c r="G3009" s="4" t="str">
        <x:v>UNIT-03008</x:v>
      </x:c>
      <x:c r="H3009" s="9" t="n">
        <x:v>17500000</x:v>
      </x:c>
      <x:c r="I3009" s="10" t="n">
        <x:v>0.08</x:v>
      </x:c>
      <x:c r="J3009" s="11" t="n">
        <x:v>5</x:v>
      </x:c>
      <x:c r="K3009" s="11" t="n">
        <x:v>6</x:v>
      </x:c>
      <x:c r="L3009" s="11" t="n">
        <x:v>1</x:v>
      </x:c>
      <x:c r="M3009" s="9" t="n">
        <x:f>ROUND(H3009*(1-I3009),2)</x:f>
        <x:v>16100000</x:v>
      </x:c>
      <x:c r="N3009" s="4" t="str">
        <x:v>Sales head</x:v>
      </x:c>
      <x:c r="O3009" s="4"/>
      <x:c r="P3009" s="9" t="n">
        <x:v>0</x:v>
      </x:c>
      <x:c r="Q3009" s="11" t="n">
        <x:v>1</x:v>
      </x:c>
      <x:c r="R3009" s="8" t="n">
        <x:v>45545</x:v>
      </x:c>
      <x:c r="S3009" s="4" t="str">
        <x:v>Lost / cancelled</x:v>
      </x:c>
      <x:c r="T3009" s="10" t="n">
        <x:v>0.291946</x:v>
      </x:c>
      <x:c r="U3009" s="4" t="str">
        <x:v>Excluded / unlabelled</x:v>
      </x:c>
    </x:row>
    <x:row r="3010" ht="34" customHeight="1">
      <x:c r="A3010" s="4" t="str">
        <x:v>RS-03009</x:v>
      </x:c>
      <x:c r="B3010" s="8" t="n">
        <x:v>45486</x:v>
      </x:c>
      <x:c r="C3010" s="4" t="str">
        <x:v>PRJ-009</x:v>
      </x:c>
      <x:c r="D3010" s="4" t="str">
        <x:v>Office</x:v>
      </x:c>
      <x:c r="E3010" s="4" t="str">
        <x:v>Reserved</x:v>
      </x:c>
      <x:c r="F3010" s="4" t="str">
        <x:v>CUS-03009</x:v>
      </x:c>
      <x:c r="G3010" s="4" t="str">
        <x:v>UNIT-03009</x:v>
      </x:c>
      <x:c r="H3010" s="9" t="n">
        <x:v>4100000</x:v>
      </x:c>
      <x:c r="I3010" s="10" t="n">
        <x:v>0.01</x:v>
      </x:c>
      <x:c r="J3010" s="11" t="n">
        <x:v>4</x:v>
      </x:c>
      <x:c r="K3010" s="11" t="n">
        <x:v>7</x:v>
      </x:c>
      <x:c r="L3010" s="11" t="n">
        <x:v>0</x:v>
      </x:c>
      <x:c r="M3010" s="9" t="n">
        <x:f>ROUND(H3010*(1-I3010),2)</x:f>
        <x:v>4059000</x:v>
      </x:c>
      <x:c r="N3010" s="4" t="str">
        <x:v>Sales manager</x:v>
      </x:c>
      <x:c r="O3010" s="4"/>
      <x:c r="P3010" s="9" t="n">
        <x:v>0</x:v>
      </x:c>
      <x:c r="Q3010" s="11" t="n">
        <x:v>0</x:v>
      </x:c>
      <x:c r="R3010" s="8" t="n">
        <x:v>45546</x:v>
      </x:c>
      <x:c r="S3010" s="4" t="str">
        <x:v>Retained</x:v>
      </x:c>
      <x:c r="T3010" s="10" t="n">
        <x:v>0.145299</x:v>
      </x:c>
      <x:c r="U3010" s="4" t="str">
        <x:v>Excluded / unlabelled</x:v>
      </x:c>
    </x:row>
    <x:row r="3011" ht="34" customHeight="1">
      <x:c r="A3011" s="4" t="str">
        <x:v>RS-03010</x:v>
      </x:c>
      <x:c r="B3011" s="8" t="n">
        <x:v>45487</x:v>
      </x:c>
      <x:c r="C3011" s="4" t="str">
        <x:v>PRJ-010</x:v>
      </x:c>
      <x:c r="D3011" s="4" t="str">
        <x:v>Villa</x:v>
      </x:c>
      <x:c r="E3011" s="4" t="str">
        <x:v>Handed over</x:v>
      </x:c>
      <x:c r="F3011" s="4" t="str">
        <x:v>CUS-03010</x:v>
      </x:c>
      <x:c r="G3011" s="4" t="str">
        <x:v>UNIT-03010</x:v>
      </x:c>
      <x:c r="H3011" s="9" t="n">
        <x:v>18300000</x:v>
      </x:c>
      <x:c r="I3011" s="10" t="n">
        <x:v>0.01</x:v>
      </x:c>
      <x:c r="J3011" s="11" t="n">
        <x:v>7</x:v>
      </x:c>
      <x:c r="K3011" s="11" t="n">
        <x:v>9</x:v>
      </x:c>
      <x:c r="L3011" s="11" t="n">
        <x:v>0</x:v>
      </x:c>
      <x:c r="M3011" s="9" t="n">
        <x:f>ROUND(H3011*(1-I3011),2)</x:f>
        <x:v>18117000</x:v>
      </x:c>
      <x:c r="N3011" s="4" t="str">
        <x:v>Sales manager</x:v>
      </x:c>
      <x:c r="O3011" s="4" t="str">
        <x:v>BOOK-03010</x:v>
      </x:c>
      <x:c r="P3011" s="9" t="n">
        <x:v>18117000</x:v>
      </x:c>
      <x:c r="Q3011" s="11" t="n">
        <x:v>0</x:v>
      </x:c>
      <x:c r="R3011" s="8" t="n">
        <x:v>45547</x:v>
      </x:c>
      <x:c r="S3011" s="4" t="str">
        <x:v>Retained</x:v>
      </x:c>
      <x:c r="T3011" s="10" t="n">
        <x:v>0.145299</x:v>
      </x:c>
      <x:c r="U3011" s="4" t="str">
        <x:v>Excluded / unlabelled</x:v>
      </x:c>
    </x:row>
    <x:row r="3012" ht="34" customHeight="1">
      <x:c r="A3012" s="4" t="str">
        <x:v>RS-03011</x:v>
      </x:c>
      <x:c r="B3012" s="8" t="n">
        <x:v>45488</x:v>
      </x:c>
      <x:c r="C3012" s="4" t="str">
        <x:v>PRJ-011</x:v>
      </x:c>
      <x:c r="D3012" s="4" t="str">
        <x:v>Apartment</x:v>
      </x:c>
      <x:c r="E3012" s="4" t="str">
        <x:v>Booked</x:v>
      </x:c>
      <x:c r="F3012" s="4" t="str">
        <x:v>CUS-03011</x:v>
      </x:c>
      <x:c r="G3012" s="4" t="str">
        <x:v>UNIT-03011</x:v>
      </x:c>
      <x:c r="H3012" s="9" t="n">
        <x:v>8700000</x:v>
      </x:c>
      <x:c r="I3012" s="10" t="n">
        <x:v>0.09</x:v>
      </x:c>
      <x:c r="J3012" s="11" t="n">
        <x:v>8</x:v>
      </x:c>
      <x:c r="K3012" s="11" t="n">
        <x:v>0</x:v>
      </x:c>
      <x:c r="L3012" s="11" t="n">
        <x:v>1</x:v>
      </x:c>
      <x:c r="M3012" s="9" t="n">
        <x:f>ROUND(H3012*(1-I3012),2)</x:f>
        <x:v>7917000</x:v>
      </x:c>
      <x:c r="N3012" s="4" t="str">
        <x:v>Sales head</x:v>
      </x:c>
      <x:c r="O3012" s="4" t="str">
        <x:v>BOOK-03011</x:v>
      </x:c>
      <x:c r="P3012" s="9" t="n">
        <x:v>791700</x:v>
      </x:c>
      <x:c r="Q3012" s="11" t="n">
        <x:v>0</x:v>
      </x:c>
      <x:c r="R3012" s="8" t="n">
        <x:v>45548</x:v>
      </x:c>
      <x:c r="S3012" s="4" t="str">
        <x:v>Retained</x:v>
      </x:c>
      <x:c r="T3012" s="10" t="n">
        <x:v>0.310195</x:v>
      </x:c>
      <x:c r="U3012" s="4" t="str">
        <x:v>Excluded / unlabelled</x:v>
      </x:c>
    </x:row>
    <x:row r="3013" ht="34" customHeight="1">
      <x:c r="A3013" s="4" t="str">
        <x:v>RS-03012</x:v>
      </x:c>
      <x:c r="B3013" s="8" t="n">
        <x:v>45489</x:v>
      </x:c>
      <x:c r="C3013" s="4" t="str">
        <x:v>PRJ-012</x:v>
      </x:c>
      <x:c r="D3013" s="4" t="str">
        <x:v>Apartment</x:v>
      </x:c>
      <x:c r="E3013" s="4" t="str">
        <x:v>Handed over</x:v>
      </x:c>
      <x:c r="F3013" s="4" t="str">
        <x:v>CUS-03012</x:v>
      </x:c>
      <x:c r="G3013" s="4" t="str">
        <x:v>UNIT-03012</x:v>
      </x:c>
      <x:c r="H3013" s="9" t="n">
        <x:v>11300000</x:v>
      </x:c>
      <x:c r="I3013" s="10" t="n">
        <x:v>0</x:v>
      </x:c>
      <x:c r="J3013" s="11" t="n">
        <x:v>6</x:v>
      </x:c>
      <x:c r="K3013" s="11" t="n">
        <x:v>1</x:v>
      </x:c>
      <x:c r="L3013" s="11" t="n">
        <x:v>1</x:v>
      </x:c>
      <x:c r="M3013" s="9" t="n">
        <x:f>ROUND(H3013*(1-I3013),2)</x:f>
        <x:v>11300000</x:v>
      </x:c>
      <x:c r="N3013" s="4" t="str">
        <x:v>Sales manager</x:v>
      </x:c>
      <x:c r="O3013" s="4" t="str">
        <x:v>BOOK-03012</x:v>
      </x:c>
      <x:c r="P3013" s="9" t="n">
        <x:v>1130000</x:v>
      </x:c>
      <x:c r="Q3013" s="11" t="n">
        <x:v>0</x:v>
      </x:c>
      <x:c r="R3013" s="8" t="n">
        <x:v>45549</x:v>
      </x:c>
      <x:c r="S3013" s="4" t="str">
        <x:v>Retained</x:v>
      </x:c>
      <x:c r="T3013" s="10" t="n">
        <x:v>0.298969</x:v>
      </x:c>
      <x:c r="U3013" s="4" t="str">
        <x:v>Excluded / unlabelled</x:v>
      </x:c>
    </x:row>
    <x:row r="3014" ht="34" customHeight="1">
      <x:c r="A3014" s="4" t="str">
        <x:v>RS-03013</x:v>
      </x:c>
      <x:c r="B3014" s="8" t="n">
        <x:v>45490</x:v>
      </x:c>
      <x:c r="C3014" s="4" t="str">
        <x:v>PRJ-013</x:v>
      </x:c>
      <x:c r="D3014" s="4" t="str">
        <x:v>Retail</x:v>
      </x:c>
      <x:c r="E3014" s="4" t="str">
        <x:v>Enquiry</x:v>
      </x:c>
      <x:c r="F3014" s="4" t="str">
        <x:v>CUS-03013</x:v>
      </x:c>
      <x:c r="G3014" s="4" t="str">
        <x:v>UNIT-03013</x:v>
      </x:c>
      <x:c r="H3014" s="9" t="n">
        <x:v>15500000</x:v>
      </x:c>
      <x:c r="I3014" s="10" t="n">
        <x:v>0.04</x:v>
      </x:c>
      <x:c r="J3014" s="11" t="n">
        <x:v>4</x:v>
      </x:c>
      <x:c r="K3014" s="11" t="n">
        <x:v>6</x:v>
      </x:c>
      <x:c r="L3014" s="11" t="n">
        <x:v>1</x:v>
      </x:c>
      <x:c r="M3014" s="9" t="n">
        <x:f>ROUND(H3014*(1-I3014),2)</x:f>
        <x:v>14880000</x:v>
      </x:c>
      <x:c r="N3014" s="4" t="str">
        <x:v>Sales manager</x:v>
      </x:c>
      <x:c r="O3014" s="4"/>
      <x:c r="P3014" s="9" t="n">
        <x:v>0</x:v>
      </x:c>
      <x:c r="Q3014" s="11" t="n">
        <x:v>0</x:v>
      </x:c>
      <x:c r="R3014" s="8" t="n">
        <x:v>45550</x:v>
      </x:c>
      <x:c r="S3014" s="4" t="str">
        <x:v>Retained</x:v>
      </x:c>
      <x:c r="T3014" s="10" t="n">
        <x:v>0.291946</x:v>
      </x:c>
      <x:c r="U3014" s="4" t="str">
        <x:v>Excluded / unlabelled</x:v>
      </x:c>
    </x:row>
    <x:row r="3015" ht="34" customHeight="1">
      <x:c r="A3015" s="4" t="str">
        <x:v>RS-03014</x:v>
      </x:c>
      <x:c r="B3015" s="8" t="n">
        <x:v>45491</x:v>
      </x:c>
      <x:c r="C3015" s="4" t="str">
        <x:v>PRJ-014</x:v>
      </x:c>
      <x:c r="D3015" s="4" t="str">
        <x:v>Retail</x:v>
      </x:c>
      <x:c r="E3015" s="4" t="str">
        <x:v>Agreement signed</x:v>
      </x:c>
      <x:c r="F3015" s="4" t="str">
        <x:v>CUS-03014</x:v>
      </x:c>
      <x:c r="G3015" s="4" t="str">
        <x:v>UNIT-03014</x:v>
      </x:c>
      <x:c r="H3015" s="9" t="n">
        <x:v>4200000</x:v>
      </x:c>
      <x:c r="I3015" s="10" t="n">
        <x:v>0.11</x:v>
      </x:c>
      <x:c r="J3015" s="11" t="n">
        <x:v>11</x:v>
      </x:c>
      <x:c r="K3015" s="11" t="n">
        <x:v>1</x:v>
      </x:c>
      <x:c r="L3015" s="11" t="n">
        <x:v>1</x:v>
      </x:c>
      <x:c r="M3015" s="9" t="n">
        <x:f>ROUND(H3015*(1-I3015),2)</x:f>
        <x:v>3738000</x:v>
      </x:c>
      <x:c r="N3015" s="4" t="str">
        <x:v>Sales head</x:v>
      </x:c>
      <x:c r="O3015" s="4" t="str">
        <x:v>BOOK-03014</x:v>
      </x:c>
      <x:c r="P3015" s="9" t="n">
        <x:v>1869000</x:v>
      </x:c>
      <x:c r="Q3015" s="11" t="n">
        <x:v>0</x:v>
      </x:c>
      <x:c r="R3015" s="8" t="n">
        <x:v>45551</x:v>
      </x:c>
      <x:c r="S3015" s="4" t="str">
        <x:v>Retained</x:v>
      </x:c>
      <x:c r="T3015" s="10" t="n">
        <x:v>0.351536</x:v>
      </x:c>
      <x:c r="U3015" s="4" t="str">
        <x:v>Excluded / unlabelled</x:v>
      </x:c>
    </x:row>
    <x:row r="3016" ht="34" customHeight="1">
      <x:c r="A3016" s="4" t="str">
        <x:v>RS-03015</x:v>
      </x:c>
      <x:c r="B3016" s="8" t="n">
        <x:v>45492</x:v>
      </x:c>
      <x:c r="C3016" s="4" t="str">
        <x:v>PRJ-015</x:v>
      </x:c>
      <x:c r="D3016" s="4" t="str">
        <x:v>Retail</x:v>
      </x:c>
      <x:c r="E3016" s="4" t="str">
        <x:v>Enquiry</x:v>
      </x:c>
      <x:c r="F3016" s="4" t="str">
        <x:v>CUS-03015</x:v>
      </x:c>
      <x:c r="G3016" s="4" t="str">
        <x:v>UNIT-03015</x:v>
      </x:c>
      <x:c r="H3016" s="9" t="n">
        <x:v>14700000</x:v>
      </x:c>
      <x:c r="I3016" s="10" t="n">
        <x:v>0.1</x:v>
      </x:c>
      <x:c r="J3016" s="11" t="n">
        <x:v>4</x:v>
      </x:c>
      <x:c r="K3016" s="11" t="n">
        <x:v>1</x:v>
      </x:c>
      <x:c r="L3016" s="11" t="n">
        <x:v>1</x:v>
      </x:c>
      <x:c r="M3016" s="9" t="n">
        <x:f>ROUND(H3016*(1-I3016),2)</x:f>
        <x:v>13230000</x:v>
      </x:c>
      <x:c r="N3016" s="4" t="str">
        <x:v>Sales head</x:v>
      </x:c>
      <x:c r="O3016" s="4"/>
      <x:c r="P3016" s="9" t="n">
        <x:v>0</x:v>
      </x:c>
      <x:c r="Q3016" s="11" t="n">
        <x:v>0</x:v>
      </x:c>
      <x:c r="R3016" s="8" t="n">
        <x:v>45552</x:v>
      </x:c>
      <x:c r="S3016" s="4" t="str">
        <x:v>Retained</x:v>
      </x:c>
      <x:c r="T3016" s="10" t="n">
        <x:v>0.291946</x:v>
      </x:c>
      <x:c r="U3016" s="4" t="str">
        <x:v>Excluded / unlabelled</x:v>
      </x:c>
    </x:row>
    <x:row r="3017" ht="34" customHeight="1">
      <x:c r="A3017" s="4" t="str">
        <x:v>RS-03016</x:v>
      </x:c>
      <x:c r="B3017" s="8" t="n">
        <x:v>45493</x:v>
      </x:c>
      <x:c r="C3017" s="4" t="str">
        <x:v>PRJ-016</x:v>
      </x:c>
      <x:c r="D3017" s="4" t="str">
        <x:v>Villa</x:v>
      </x:c>
      <x:c r="E3017" s="4" t="str">
        <x:v>Booked</x:v>
      </x:c>
      <x:c r="F3017" s="4" t="str">
        <x:v>CUS-03016</x:v>
      </x:c>
      <x:c r="G3017" s="4" t="str">
        <x:v>UNIT-03016</x:v>
      </x:c>
      <x:c r="H3017" s="9" t="n">
        <x:v>11300000</x:v>
      </x:c>
      <x:c r="I3017" s="10" t="n">
        <x:v>0.05</x:v>
      </x:c>
      <x:c r="J3017" s="11" t="n">
        <x:v>12</x:v>
      </x:c>
      <x:c r="K3017" s="11" t="n">
        <x:v>0</x:v>
      </x:c>
      <x:c r="L3017" s="11" t="n">
        <x:v>0</x:v>
      </x:c>
      <x:c r="M3017" s="9" t="n">
        <x:f>ROUND(H3017*(1-I3017),2)</x:f>
        <x:v>10735000</x:v>
      </x:c>
      <x:c r="N3017" s="4" t="str">
        <x:v>Sales manager</x:v>
      </x:c>
      <x:c r="O3017" s="4" t="str">
        <x:v>BOOK-03016</x:v>
      </x:c>
      <x:c r="P3017" s="9" t="n">
        <x:v>1073500</x:v>
      </x:c>
      <x:c r="Q3017" s="11" t="n">
        <x:v>0</x:v>
      </x:c>
      <x:c r="R3017" s="8" t="n">
        <x:v>45553</x:v>
      </x:c>
      <x:c r="S3017" s="4" t="str">
        <x:v>Retained</x:v>
      </x:c>
      <x:c r="T3017" s="10" t="n">
        <x:v>0.351536</x:v>
      </x:c>
      <x:c r="U3017" s="4" t="str">
        <x:v>Excluded / unlabelled</x:v>
      </x:c>
    </x:row>
    <x:row r="3018" ht="34" customHeight="1">
      <x:c r="A3018" s="4" t="str">
        <x:v>RS-03017</x:v>
      </x:c>
      <x:c r="B3018" s="8" t="n">
        <x:v>45494</x:v>
      </x:c>
      <x:c r="C3018" s="4" t="str">
        <x:v>PRJ-017</x:v>
      </x:c>
      <x:c r="D3018" s="4" t="str">
        <x:v>Apartment</x:v>
      </x:c>
      <x:c r="E3018" s="4" t="str">
        <x:v>Agreement signed</x:v>
      </x:c>
      <x:c r="F3018" s="4" t="str">
        <x:v>CUS-03017</x:v>
      </x:c>
      <x:c r="G3018" s="4" t="str">
        <x:v>UNIT-03017</x:v>
      </x:c>
      <x:c r="H3018" s="9" t="n">
        <x:v>4400000</x:v>
      </x:c>
      <x:c r="I3018" s="10" t="n">
        <x:v>0.06</x:v>
      </x:c>
      <x:c r="J3018" s="11" t="n">
        <x:v>10</x:v>
      </x:c>
      <x:c r="K3018" s="11" t="n">
        <x:v>0</x:v>
      </x:c>
      <x:c r="L3018" s="11" t="n">
        <x:v>1</x:v>
      </x:c>
      <x:c r="M3018" s="9" t="n">
        <x:f>ROUND(H3018*(1-I3018),2)</x:f>
        <x:v>4136000</x:v>
      </x:c>
      <x:c r="N3018" s="4" t="str">
        <x:v>Sales manager</x:v>
      </x:c>
      <x:c r="O3018" s="4" t="str">
        <x:v>BOOK-03017</x:v>
      </x:c>
      <x:c r="P3018" s="9" t="n">
        <x:v>1034000</x:v>
      </x:c>
      <x:c r="Q3018" s="11" t="n">
        <x:v>0</x:v>
      </x:c>
      <x:c r="R3018" s="8" t="n">
        <x:v>45554</x:v>
      </x:c>
      <x:c r="S3018" s="4" t="str">
        <x:v>Retained</x:v>
      </x:c>
      <x:c r="T3018" s="10" t="n">
        <x:v>0.310195</x:v>
      </x:c>
      <x:c r="U3018" s="4" t="str">
        <x:v>Excluded / unlabelled</x:v>
      </x:c>
    </x:row>
    <x:row r="3019" ht="34" customHeight="1">
      <x:c r="A3019" s="4" t="str">
        <x:v>RS-03018</x:v>
      </x:c>
      <x:c r="B3019" s="8" t="n">
        <x:v>45495</x:v>
      </x:c>
      <x:c r="C3019" s="4" t="str">
        <x:v>PRJ-018</x:v>
      </x:c>
      <x:c r="D3019" s="4" t="str">
        <x:v>Retail</x:v>
      </x:c>
      <x:c r="E3019" s="4" t="str">
        <x:v>Agreement signed</x:v>
      </x:c>
      <x:c r="F3019" s="4" t="str">
        <x:v>CUS-03018</x:v>
      </x:c>
      <x:c r="G3019" s="4" t="str">
        <x:v>UNIT-03018</x:v>
      </x:c>
      <x:c r="H3019" s="9" t="n">
        <x:v>6400000</x:v>
      </x:c>
      <x:c r="I3019" s="10" t="n">
        <x:v>0.04</x:v>
      </x:c>
      <x:c r="J3019" s="11" t="n">
        <x:v>0</x:v>
      </x:c>
      <x:c r="K3019" s="11" t="n">
        <x:v>1</x:v>
      </x:c>
      <x:c r="L3019" s="11" t="n">
        <x:v>0</x:v>
      </x:c>
      <x:c r="M3019" s="9" t="n">
        <x:f>ROUND(H3019*(1-I3019),2)</x:f>
        <x:v>6144000</x:v>
      </x:c>
      <x:c r="N3019" s="4" t="str">
        <x:v>Sales manager</x:v>
      </x:c>
      <x:c r="O3019" s="4" t="str">
        <x:v>BOOK-03018</x:v>
      </x:c>
      <x:c r="P3019" s="9" t="n">
        <x:v>614400</x:v>
      </x:c>
      <x:c r="Q3019" s="11" t="n">
        <x:v>0</x:v>
      </x:c>
      <x:c r="R3019" s="8" t="n">
        <x:v>45555</x:v>
      </x:c>
      <x:c r="S3019" s="4" t="str">
        <x:v>Retained</x:v>
      </x:c>
      <x:c r="T3019" s="10" t="n">
        <x:v>0.204152</x:v>
      </x:c>
      <x:c r="U3019" s="4" t="str">
        <x:v>Excluded / unlabelled</x:v>
      </x:c>
    </x:row>
    <x:row r="3020" ht="34" customHeight="1">
      <x:c r="A3020" s="4" t="str">
        <x:v>RS-03019</x:v>
      </x:c>
      <x:c r="B3020" s="8" t="n">
        <x:v>45496</x:v>
      </x:c>
      <x:c r="C3020" s="4" t="str">
        <x:v>PRJ-019</x:v>
      </x:c>
      <x:c r="D3020" s="4" t="str">
        <x:v>Villa</x:v>
      </x:c>
      <x:c r="E3020" s="4" t="str">
        <x:v>Agreement signed</x:v>
      </x:c>
      <x:c r="F3020" s="4" t="str">
        <x:v>CUS-03019</x:v>
      </x:c>
      <x:c r="G3020" s="4" t="str">
        <x:v>UNIT-03019</x:v>
      </x:c>
      <x:c r="H3020" s="9" t="n">
        <x:v>9300000</x:v>
      </x:c>
      <x:c r="I3020" s="10" t="n">
        <x:v>0.05</x:v>
      </x:c>
      <x:c r="J3020" s="11" t="n">
        <x:v>2</x:v>
      </x:c>
      <x:c r="K3020" s="11" t="n">
        <x:v>0</x:v>
      </x:c>
      <x:c r="L3020" s="11" t="n">
        <x:v>0</x:v>
      </x:c>
      <x:c r="M3020" s="9" t="n">
        <x:f>ROUND(H3020*(1-I3020),2)</x:f>
        <x:v>8835000</x:v>
      </x:c>
      <x:c r="N3020" s="4" t="str">
        <x:v>Sales manager</x:v>
      </x:c>
      <x:c r="O3020" s="4" t="str">
        <x:v>BOOK-03019</x:v>
      </x:c>
      <x:c r="P3020" s="9" t="n">
        <x:v>4417500</x:v>
      </x:c>
      <x:c r="Q3020" s="11" t="n">
        <x:v>0</x:v>
      </x:c>
      <x:c r="R3020" s="8" t="n">
        <x:v>45556</x:v>
      </x:c>
      <x:c r="S3020" s="4" t="str">
        <x:v>Retained</x:v>
      </x:c>
      <x:c r="T3020" s="10" t="n">
        <x:v>0.276923</x:v>
      </x:c>
      <x:c r="U3020" s="4" t="str">
        <x:v>Excluded / unlabelled</x:v>
      </x:c>
    </x:row>
    <x:row r="3021" ht="34" customHeight="1">
      <x:c r="A3021" s="4" t="str">
        <x:v>RS-03020</x:v>
      </x:c>
      <x:c r="B3021" s="8" t="n">
        <x:v>45497</x:v>
      </x:c>
      <x:c r="C3021" s="4" t="str">
        <x:v>PRJ-020</x:v>
      </x:c>
      <x:c r="D3021" s="4" t="str">
        <x:v>Retail</x:v>
      </x:c>
      <x:c r="E3021" s="4" t="str">
        <x:v>Handed over</x:v>
      </x:c>
      <x:c r="F3021" s="4" t="str">
        <x:v>CUS-03020</x:v>
      </x:c>
      <x:c r="G3021" s="4" t="str">
        <x:v>UNIT-03020</x:v>
      </x:c>
      <x:c r="H3021" s="9" t="n">
        <x:v>17500000</x:v>
      </x:c>
      <x:c r="I3021" s="10" t="n">
        <x:v>0</x:v>
      </x:c>
      <x:c r="J3021" s="11" t="n">
        <x:v>9</x:v>
      </x:c>
      <x:c r="K3021" s="11" t="n">
        <x:v>8</x:v>
      </x:c>
      <x:c r="L3021" s="11" t="n">
        <x:v>1</x:v>
      </x:c>
      <x:c r="M3021" s="9" t="n">
        <x:f>ROUND(H3021*(1-I3021),2)</x:f>
        <x:v>17500000</x:v>
      </x:c>
      <x:c r="N3021" s="4" t="str">
        <x:v>Sales manager</x:v>
      </x:c>
      <x:c r="O3021" s="4" t="str">
        <x:v>BOOK-03020</x:v>
      </x:c>
      <x:c r="P3021" s="9" t="n">
        <x:v>17500000</x:v>
      </x:c>
      <x:c r="Q3021" s="11" t="n">
        <x:v>0</x:v>
      </x:c>
      <x:c r="R3021" s="8" t="n">
        <x:v>45557</x:v>
      </x:c>
      <x:c r="S3021" s="4" t="str">
        <x:v>Retained</x:v>
      </x:c>
      <x:c r="T3021" s="10" t="n">
        <x:v>0.254545</x:v>
      </x:c>
      <x:c r="U3021" s="4" t="str">
        <x:v>Excluded / unlabelled</x:v>
      </x:c>
    </x:row>
    <x:row r="3022" ht="34" customHeight="1">
      <x:c r="A3022" s="4" t="str">
        <x:v>RS-03021</x:v>
      </x:c>
      <x:c r="B3022" s="8" t="n">
        <x:v>45498</x:v>
      </x:c>
      <x:c r="C3022" s="4" t="str">
        <x:v>PRJ-001</x:v>
      </x:c>
      <x:c r="D3022" s="4" t="str">
        <x:v>Office</x:v>
      </x:c>
      <x:c r="E3022" s="4" t="str">
        <x:v>Agreement signed</x:v>
      </x:c>
      <x:c r="F3022" s="4" t="str">
        <x:v>CUS-03021</x:v>
      </x:c>
      <x:c r="G3022" s="4" t="str">
        <x:v>UNIT-03021</x:v>
      </x:c>
      <x:c r="H3022" s="9" t="n">
        <x:v>21100000</x:v>
      </x:c>
      <x:c r="I3022" s="10" t="n">
        <x:v>0.03</x:v>
      </x:c>
      <x:c r="J3022" s="11" t="n">
        <x:v>2</x:v>
      </x:c>
      <x:c r="K3022" s="11" t="n">
        <x:v>3</x:v>
      </x:c>
      <x:c r="L3022" s="11" t="n">
        <x:v>0</x:v>
      </x:c>
      <x:c r="M3022" s="9" t="n">
        <x:f>ROUND(H3022*(1-I3022),2)</x:f>
        <x:v>20467000</x:v>
      </x:c>
      <x:c r="N3022" s="4" t="str">
        <x:v>Sales manager</x:v>
      </x:c>
      <x:c r="O3022" s="4" t="str">
        <x:v>BOOK-03021</x:v>
      </x:c>
      <x:c r="P3022" s="9" t="n">
        <x:v>20467000</x:v>
      </x:c>
      <x:c r="Q3022" s="11" t="n">
        <x:v>0</x:v>
      </x:c>
      <x:c r="R3022" s="8" t="n">
        <x:v>45558</x:v>
      </x:c>
      <x:c r="S3022" s="4" t="str">
        <x:v>Retained</x:v>
      </x:c>
      <x:c r="T3022" s="10" t="n">
        <x:v>0.171717</x:v>
      </x:c>
      <x:c r="U3022" s="4" t="str">
        <x:v>Excluded / unlabelled</x:v>
      </x:c>
    </x:row>
    <x:row r="3023" ht="34" customHeight="1">
      <x:c r="A3023" s="4" t="str">
        <x:v>RS-03022</x:v>
      </x:c>
      <x:c r="B3023" s="8" t="n">
        <x:v>45499</x:v>
      </x:c>
      <x:c r="C3023" s="4" t="str">
        <x:v>PRJ-002</x:v>
      </x:c>
      <x:c r="D3023" s="4" t="str">
        <x:v>Villa</x:v>
      </x:c>
      <x:c r="E3023" s="4" t="str">
        <x:v>Agreement signed</x:v>
      </x:c>
      <x:c r="F3023" s="4" t="str">
        <x:v>CUS-03022</x:v>
      </x:c>
      <x:c r="G3023" s="4" t="str">
        <x:v>UNIT-03022</x:v>
      </x:c>
      <x:c r="H3023" s="9" t="n">
        <x:v>3800000</x:v>
      </x:c>
      <x:c r="I3023" s="10" t="n">
        <x:v>0.01</x:v>
      </x:c>
      <x:c r="J3023" s="11" t="n">
        <x:v>12</x:v>
      </x:c>
      <x:c r="K3023" s="11" t="n">
        <x:v>0</x:v>
      </x:c>
      <x:c r="L3023" s="11" t="n">
        <x:v>0</x:v>
      </x:c>
      <x:c r="M3023" s="9" t="n">
        <x:f>ROUND(H3023*(1-I3023),2)</x:f>
        <x:v>3762000</x:v>
      </x:c>
      <x:c r="N3023" s="4" t="str">
        <x:v>Sales manager</x:v>
      </x:c>
      <x:c r="O3023" s="4" t="str">
        <x:v>BOOK-03022</x:v>
      </x:c>
      <x:c r="P3023" s="9" t="n">
        <x:v>3762000</x:v>
      </x:c>
      <x:c r="Q3023" s="11" t="n">
        <x:v>0</x:v>
      </x:c>
      <x:c r="R3023" s="8" t="n">
        <x:v>45559</x:v>
      </x:c>
      <x:c r="S3023" s="4" t="str">
        <x:v>Retained</x:v>
      </x:c>
      <x:c r="T3023" s="10" t="n">
        <x:v>0.305556</x:v>
      </x:c>
      <x:c r="U3023" s="4" t="str">
        <x:v>Excluded / unlabelled</x:v>
      </x:c>
    </x:row>
    <x:row r="3024" ht="34" customHeight="1">
      <x:c r="A3024" s="4" t="str">
        <x:v>RS-03023</x:v>
      </x:c>
      <x:c r="B3024" s="8" t="n">
        <x:v>45500</x:v>
      </x:c>
      <x:c r="C3024" s="4" t="str">
        <x:v>PRJ-003</x:v>
      </x:c>
      <x:c r="D3024" s="4" t="str">
        <x:v>Villa</x:v>
      </x:c>
      <x:c r="E3024" s="4" t="str">
        <x:v>Cancelled</x:v>
      </x:c>
      <x:c r="F3024" s="4" t="str">
        <x:v>CUS-03023</x:v>
      </x:c>
      <x:c r="G3024" s="4" t="str">
        <x:v>UNIT-03023</x:v>
      </x:c>
      <x:c r="H3024" s="9" t="n">
        <x:v>23700000</x:v>
      </x:c>
      <x:c r="I3024" s="10" t="n">
        <x:v>0.08</x:v>
      </x:c>
      <x:c r="J3024" s="11" t="n">
        <x:v>0</x:v>
      </x:c>
      <x:c r="K3024" s="11" t="n">
        <x:v>6</x:v>
      </x:c>
      <x:c r="L3024" s="11" t="n">
        <x:v>1</x:v>
      </x:c>
      <x:c r="M3024" s="9" t="n">
        <x:f>ROUND(H3024*(1-I3024),2)</x:f>
        <x:v>21804000</x:v>
      </x:c>
      <x:c r="N3024" s="4" t="str">
        <x:v>Sales head</x:v>
      </x:c>
      <x:c r="O3024" s="4"/>
      <x:c r="P3024" s="9" t="n">
        <x:v>0</x:v>
      </x:c>
      <x:c r="Q3024" s="11" t="n">
        <x:v>1</x:v>
      </x:c>
      <x:c r="R3024" s="8" t="n">
        <x:v>45560</x:v>
      </x:c>
      <x:c r="S3024" s="4" t="str">
        <x:v>Lost / cancelled</x:v>
      </x:c>
      <x:c r="T3024" s="10" t="n">
        <x:v>0.204152</x:v>
      </x:c>
      <x:c r="U3024" s="4" t="str">
        <x:v>Excluded / unlabelled</x:v>
      </x:c>
    </x:row>
    <x:row r="3025" ht="34" customHeight="1">
      <x:c r="A3025" s="4" t="str">
        <x:v>RS-03024</x:v>
      </x:c>
      <x:c r="B3025" s="8" t="n">
        <x:v>45501</x:v>
      </x:c>
      <x:c r="C3025" s="4" t="str">
        <x:v>PRJ-004</x:v>
      </x:c>
      <x:c r="D3025" s="4" t="str">
        <x:v>Retail</x:v>
      </x:c>
      <x:c r="E3025" s="4" t="str">
        <x:v>Reserved</x:v>
      </x:c>
      <x:c r="F3025" s="4" t="str">
        <x:v>CUS-03024</x:v>
      </x:c>
      <x:c r="G3025" s="4" t="str">
        <x:v>UNIT-03024</x:v>
      </x:c>
      <x:c r="H3025" s="9" t="n">
        <x:v>23000000</x:v>
      </x:c>
      <x:c r="I3025" s="10" t="n">
        <x:v>0.1</x:v>
      </x:c>
      <x:c r="J3025" s="11" t="n">
        <x:v>6</x:v>
      </x:c>
      <x:c r="K3025" s="11" t="n">
        <x:v>3</x:v>
      </x:c>
      <x:c r="L3025" s="11" t="n">
        <x:v>1</x:v>
      </x:c>
      <x:c r="M3025" s="9" t="n">
        <x:f>ROUND(H3025*(1-I3025),2)</x:f>
        <x:v>20700000</x:v>
      </x:c>
      <x:c r="N3025" s="4" t="str">
        <x:v>Sales head</x:v>
      </x:c>
      <x:c r="O3025" s="4"/>
      <x:c r="P3025" s="9" t="n">
        <x:v>0</x:v>
      </x:c>
      <x:c r="Q3025" s="11" t="n">
        <x:v>1</x:v>
      </x:c>
      <x:c r="R3025" s="8" t="n">
        <x:v>45561</x:v>
      </x:c>
      <x:c r="S3025" s="4" t="str">
        <x:v>Lost / cancelled</x:v>
      </x:c>
      <x:c r="T3025" s="10" t="n">
        <x:v>0.291946</x:v>
      </x:c>
      <x:c r="U3025" s="4" t="str">
        <x:v>Excluded / unlabelled</x:v>
      </x:c>
    </x:row>
    <x:row r="3026" ht="34" customHeight="1">
      <x:c r="A3026" s="4" t="str">
        <x:v>RS-03025</x:v>
      </x:c>
      <x:c r="B3026" s="8" t="n">
        <x:v>45474</x:v>
      </x:c>
      <x:c r="C3026" s="4" t="str">
        <x:v>PRJ-005</x:v>
      </x:c>
      <x:c r="D3026" s="4" t="str">
        <x:v>Villa</x:v>
      </x:c>
      <x:c r="E3026" s="4" t="str">
        <x:v>Booked</x:v>
      </x:c>
      <x:c r="F3026" s="4" t="str">
        <x:v>CUS-03025</x:v>
      </x:c>
      <x:c r="G3026" s="4" t="str">
        <x:v>UNIT-03025</x:v>
      </x:c>
      <x:c r="H3026" s="9" t="n">
        <x:v>19500000</x:v>
      </x:c>
      <x:c r="I3026" s="10" t="n">
        <x:v>0.08</x:v>
      </x:c>
      <x:c r="J3026" s="11" t="n">
        <x:v>3</x:v>
      </x:c>
      <x:c r="K3026" s="11" t="n">
        <x:v>7</x:v>
      </x:c>
      <x:c r="L3026" s="11" t="n">
        <x:v>0</x:v>
      </x:c>
      <x:c r="M3026" s="9" t="n">
        <x:f>ROUND(H3026*(1-I3026),2)</x:f>
        <x:v>17940000</x:v>
      </x:c>
      <x:c r="N3026" s="4" t="str">
        <x:v>Sales head</x:v>
      </x:c>
      <x:c r="O3026" s="4" t="str">
        <x:v>BOOK-03025</x:v>
      </x:c>
      <x:c r="P3026" s="9" t="n">
        <x:v>4485000</x:v>
      </x:c>
      <x:c r="Q3026" s="11" t="n">
        <x:v>0</x:v>
      </x:c>
      <x:c r="R3026" s="8" t="n">
        <x:v>45534</x:v>
      </x:c>
      <x:c r="S3026" s="4" t="str">
        <x:v>Retained</x:v>
      </x:c>
      <x:c r="T3026" s="10" t="n">
        <x:v>0.204152</x:v>
      </x:c>
      <x:c r="U3026" s="4" t="str">
        <x:v>Excluded / unlabelled</x:v>
      </x:c>
    </x:row>
    <x:row r="3027" ht="34" customHeight="1">
      <x:c r="A3027" s="4" t="str">
        <x:v>RS-03026</x:v>
      </x:c>
      <x:c r="B3027" s="8" t="n">
        <x:v>45475</x:v>
      </x:c>
      <x:c r="C3027" s="4" t="str">
        <x:v>PRJ-006</x:v>
      </x:c>
      <x:c r="D3027" s="4" t="str">
        <x:v>Villa</x:v>
      </x:c>
      <x:c r="E3027" s="4" t="str">
        <x:v>Booked</x:v>
      </x:c>
      <x:c r="F3027" s="4" t="str">
        <x:v>CUS-03026</x:v>
      </x:c>
      <x:c r="G3027" s="4" t="str">
        <x:v>UNIT-03026</x:v>
      </x:c>
      <x:c r="H3027" s="9" t="n">
        <x:v>23500000</x:v>
      </x:c>
      <x:c r="I3027" s="10" t="n">
        <x:v>0.11</x:v>
      </x:c>
      <x:c r="J3027" s="11" t="n">
        <x:v>9</x:v>
      </x:c>
      <x:c r="K3027" s="11" t="n">
        <x:v>1</x:v>
      </x:c>
      <x:c r="L3027" s="11" t="n">
        <x:v>1</x:v>
      </x:c>
      <x:c r="M3027" s="9" t="n">
        <x:f>ROUND(H3027*(1-I3027),2)</x:f>
        <x:v>20915000</x:v>
      </x:c>
      <x:c r="N3027" s="4" t="str">
        <x:v>Sales head</x:v>
      </x:c>
      <x:c r="O3027" s="4" t="str">
        <x:v>BOOK-03026</x:v>
      </x:c>
      <x:c r="P3027" s="9" t="n">
        <x:v>5228750</x:v>
      </x:c>
      <x:c r="Q3027" s="11" t="n">
        <x:v>0</x:v>
      </x:c>
      <x:c r="R3027" s="8" t="n">
        <x:v>45535</x:v>
      </x:c>
      <x:c r="S3027" s="4" t="str">
        <x:v>Retained</x:v>
      </x:c>
      <x:c r="T3027" s="10" t="n">
        <x:v>0.310195</x:v>
      </x:c>
      <x:c r="U3027" s="4" t="str">
        <x:v>Excluded / unlabelled</x:v>
      </x:c>
    </x:row>
    <x:row r="3028" ht="34" customHeight="1">
      <x:c r="A3028" s="4" t="str">
        <x:v>RS-03027</x:v>
      </x:c>
      <x:c r="B3028" s="8" t="n">
        <x:v>45476</x:v>
      </x:c>
      <x:c r="C3028" s="4" t="str">
        <x:v>PRJ-007</x:v>
      </x:c>
      <x:c r="D3028" s="4" t="str">
        <x:v>Villa</x:v>
      </x:c>
      <x:c r="E3028" s="4" t="str">
        <x:v>Handed over</x:v>
      </x:c>
      <x:c r="F3028" s="4" t="str">
        <x:v>CUS-03027</x:v>
      </x:c>
      <x:c r="G3028" s="4" t="str">
        <x:v>UNIT-03027</x:v>
      </x:c>
      <x:c r="H3028" s="9" t="n">
        <x:v>16200000</x:v>
      </x:c>
      <x:c r="I3028" s="10" t="n">
        <x:v>0.08</x:v>
      </x:c>
      <x:c r="J3028" s="11" t="n">
        <x:v>6</x:v>
      </x:c>
      <x:c r="K3028" s="11" t="n">
        <x:v>7</x:v>
      </x:c>
      <x:c r="L3028" s="11" t="n">
        <x:v>1</x:v>
      </x:c>
      <x:c r="M3028" s="9" t="n">
        <x:f>ROUND(H3028*(1-I3028),2)</x:f>
        <x:v>14904000</x:v>
      </x:c>
      <x:c r="N3028" s="4" t="str">
        <x:v>Sales head</x:v>
      </x:c>
      <x:c r="O3028" s="4" t="str">
        <x:v>BOOK-03027</x:v>
      </x:c>
      <x:c r="P3028" s="9" t="n">
        <x:v>14904000</x:v>
      </x:c>
      <x:c r="Q3028" s="11" t="n">
        <x:v>0</x:v>
      </x:c>
      <x:c r="R3028" s="8" t="n">
        <x:v>45536</x:v>
      </x:c>
      <x:c r="S3028" s="4" t="str">
        <x:v>Retained</x:v>
      </x:c>
      <x:c r="T3028" s="10" t="n">
        <x:v>0.291946</x:v>
      </x:c>
      <x:c r="U3028" s="4" t="str">
        <x:v>Excluded / unlabelled</x:v>
      </x:c>
    </x:row>
    <x:row r="3029" ht="34" customHeight="1">
      <x:c r="A3029" s="4" t="str">
        <x:v>RS-03028</x:v>
      </x:c>
      <x:c r="B3029" s="8" t="n">
        <x:v>45477</x:v>
      </x:c>
      <x:c r="C3029" s="4" t="str">
        <x:v>PRJ-008</x:v>
      </x:c>
      <x:c r="D3029" s="4" t="str">
        <x:v>Apartment</x:v>
      </x:c>
      <x:c r="E3029" s="4" t="str">
        <x:v>Agreement signed</x:v>
      </x:c>
      <x:c r="F3029" s="4" t="str">
        <x:v>CUS-03028</x:v>
      </x:c>
      <x:c r="G3029" s="4" t="str">
        <x:v>UNIT-03028</x:v>
      </x:c>
      <x:c r="H3029" s="9" t="n">
        <x:v>4800000</x:v>
      </x:c>
      <x:c r="I3029" s="10" t="n">
        <x:v>0.05</x:v>
      </x:c>
      <x:c r="J3029" s="11" t="n">
        <x:v>6</x:v>
      </x:c>
      <x:c r="K3029" s="11" t="n">
        <x:v>0</x:v>
      </x:c>
      <x:c r="L3029" s="11" t="n">
        <x:v>0</x:v>
      </x:c>
      <x:c r="M3029" s="9" t="n">
        <x:f>ROUND(H3029*(1-I3029),2)</x:f>
        <x:v>4560000</x:v>
      </x:c>
      <x:c r="N3029" s="4" t="str">
        <x:v>Sales manager</x:v>
      </x:c>
      <x:c r="O3029" s="4" t="str">
        <x:v>BOOK-03028</x:v>
      </x:c>
      <x:c r="P3029" s="9" t="n">
        <x:v>456000</x:v>
      </x:c>
      <x:c r="Q3029" s="11" t="n">
        <x:v>0</x:v>
      </x:c>
      <x:c r="R3029" s="8" t="n">
        <x:v>45537</x:v>
      </x:c>
      <x:c r="S3029" s="4" t="str">
        <x:v>Retained</x:v>
      </x:c>
      <x:c r="T3029" s="10" t="n">
        <x:v>0.226277</x:v>
      </x:c>
      <x:c r="U3029" s="4" t="str">
        <x:v>Excluded / unlabelled</x:v>
      </x:c>
    </x:row>
    <x:row r="3030" ht="34" customHeight="1">
      <x:c r="A3030" s="4" t="str">
        <x:v>RS-03029</x:v>
      </x:c>
      <x:c r="B3030" s="8" t="n">
        <x:v>45478</x:v>
      </x:c>
      <x:c r="C3030" s="4" t="str">
        <x:v>PRJ-009</x:v>
      </x:c>
      <x:c r="D3030" s="4" t="str">
        <x:v>Office</x:v>
      </x:c>
      <x:c r="E3030" s="4" t="str">
        <x:v>Booked</x:v>
      </x:c>
      <x:c r="F3030" s="4" t="str">
        <x:v>CUS-03029</x:v>
      </x:c>
      <x:c r="G3030" s="4" t="str">
        <x:v>UNIT-03029</x:v>
      </x:c>
      <x:c r="H3030" s="9" t="n">
        <x:v>19900000</x:v>
      </x:c>
      <x:c r="I3030" s="10" t="n">
        <x:v>0.11</x:v>
      </x:c>
      <x:c r="J3030" s="11" t="n">
        <x:v>10</x:v>
      </x:c>
      <x:c r="K3030" s="11" t="n">
        <x:v>10</x:v>
      </x:c>
      <x:c r="L3030" s="11" t="n">
        <x:v>1</x:v>
      </x:c>
      <x:c r="M3030" s="9" t="n">
        <x:f>ROUND(H3030*(1-I3030),2)</x:f>
        <x:v>17711000</x:v>
      </x:c>
      <x:c r="N3030" s="4" t="str">
        <x:v>Sales head</x:v>
      </x:c>
      <x:c r="O3030" s="4" t="str">
        <x:v>BOOK-03029</x:v>
      </x:c>
      <x:c r="P3030" s="9" t="n">
        <x:v>1771100</x:v>
      </x:c>
      <x:c r="Q3030" s="11" t="n">
        <x:v>0</x:v>
      </x:c>
      <x:c r="R3030" s="8" t="n">
        <x:v>45538</x:v>
      </x:c>
      <x:c r="S3030" s="4" t="str">
        <x:v>Retained</x:v>
      </x:c>
      <x:c r="T3030" s="10" t="n">
        <x:v>0.310195</x:v>
      </x:c>
      <x:c r="U3030" s="4" t="str">
        <x:v>Excluded / unlabelled</x:v>
      </x:c>
    </x:row>
    <x:row r="3031" ht="34" customHeight="1">
      <x:c r="A3031" s="4" t="str">
        <x:v>RS-03030</x:v>
      </x:c>
      <x:c r="B3031" s="8" t="n">
        <x:v>45479</x:v>
      </x:c>
      <x:c r="C3031" s="4" t="str">
        <x:v>PRJ-010</x:v>
      </x:c>
      <x:c r="D3031" s="4" t="str">
        <x:v>Apartment</x:v>
      </x:c>
      <x:c r="E3031" s="4" t="str">
        <x:v>Enquiry</x:v>
      </x:c>
      <x:c r="F3031" s="4" t="str">
        <x:v>CUS-03030</x:v>
      </x:c>
      <x:c r="G3031" s="4" t="str">
        <x:v>UNIT-03030</x:v>
      </x:c>
      <x:c r="H3031" s="9" t="n">
        <x:v>20000000</x:v>
      </x:c>
      <x:c r="I3031" s="10" t="n">
        <x:v>0.08</x:v>
      </x:c>
      <x:c r="J3031" s="11" t="n">
        <x:v>2</x:v>
      </x:c>
      <x:c r="K3031" s="11" t="n">
        <x:v>5</x:v>
      </x:c>
      <x:c r="L3031" s="11" t="n">
        <x:v>0</x:v>
      </x:c>
      <x:c r="M3031" s="9" t="n">
        <x:f>ROUND(H3031*(1-I3031),2)</x:f>
        <x:v>18400000</x:v>
      </x:c>
      <x:c r="N3031" s="4" t="str">
        <x:v>Sales head</x:v>
      </x:c>
      <x:c r="O3031" s="4"/>
      <x:c r="P3031" s="9" t="n">
        <x:v>0</x:v>
      </x:c>
      <x:c r="Q3031" s="11" t="n">
        <x:v>1</x:v>
      </x:c>
      <x:c r="R3031" s="8" t="n">
        <x:v>45539</x:v>
      </x:c>
      <x:c r="S3031" s="4" t="str">
        <x:v>Lost / cancelled</x:v>
      </x:c>
      <x:c r="T3031" s="10" t="n">
        <x:v>0.204152</x:v>
      </x:c>
      <x:c r="U3031" s="4" t="str">
        <x:v>Excluded / unlabelled</x:v>
      </x:c>
    </x:row>
    <x:row r="3032" ht="34" customHeight="1">
      <x:c r="A3032" s="4" t="str">
        <x:v>RS-03031</x:v>
      </x:c>
      <x:c r="B3032" s="8" t="n">
        <x:v>45480</x:v>
      </x:c>
      <x:c r="C3032" s="4" t="str">
        <x:v>PRJ-011</x:v>
      </x:c>
      <x:c r="D3032" s="4" t="str">
        <x:v>Villa</x:v>
      </x:c>
      <x:c r="E3032" s="4" t="str">
        <x:v>Cancelled</x:v>
      </x:c>
      <x:c r="F3032" s="4" t="str">
        <x:v>CUS-03031</x:v>
      </x:c>
      <x:c r="G3032" s="4" t="str">
        <x:v>UNIT-03031</x:v>
      </x:c>
      <x:c r="H3032" s="9" t="n">
        <x:v>9800000</x:v>
      </x:c>
      <x:c r="I3032" s="10" t="n">
        <x:v>0.02</x:v>
      </x:c>
      <x:c r="J3032" s="11" t="n">
        <x:v>5</x:v>
      </x:c>
      <x:c r="K3032" s="11" t="n">
        <x:v>6</x:v>
      </x:c>
      <x:c r="L3032" s="11" t="n">
        <x:v>1</x:v>
      </x:c>
      <x:c r="M3032" s="9" t="n">
        <x:f>ROUND(H3032*(1-I3032),2)</x:f>
        <x:v>9604000</x:v>
      </x:c>
      <x:c r="N3032" s="4" t="str">
        <x:v>Sales manager</x:v>
      </x:c>
      <x:c r="O3032" s="4"/>
      <x:c r="P3032" s="9" t="n">
        <x:v>0</x:v>
      </x:c>
      <x:c r="Q3032" s="11" t="n">
        <x:v>1</x:v>
      </x:c>
      <x:c r="R3032" s="8" t="n">
        <x:v>45540</x:v>
      </x:c>
      <x:c r="S3032" s="4" t="str">
        <x:v>Lost / cancelled</x:v>
      </x:c>
      <x:c r="T3032" s="10" t="n">
        <x:v>0.145299</x:v>
      </x:c>
      <x:c r="U3032" s="4" t="str">
        <x:v>Excluded / unlabelled</x:v>
      </x:c>
    </x:row>
    <x:row r="3033" ht="34" customHeight="1">
      <x:c r="A3033" s="4" t="str">
        <x:v>RS-03032</x:v>
      </x:c>
      <x:c r="B3033" s="8" t="n">
        <x:v>45481</x:v>
      </x:c>
      <x:c r="C3033" s="4" t="str">
        <x:v>PRJ-012</x:v>
      </x:c>
      <x:c r="D3033" s="4" t="str">
        <x:v>Apartment</x:v>
      </x:c>
      <x:c r="E3033" s="4" t="str">
        <x:v>Handed over</x:v>
      </x:c>
      <x:c r="F3033" s="4" t="str">
        <x:v>CUS-03032</x:v>
      </x:c>
      <x:c r="G3033" s="4" t="str">
        <x:v>UNIT-03032</x:v>
      </x:c>
      <x:c r="H3033" s="9" t="n">
        <x:v>14800000</x:v>
      </x:c>
      <x:c r="I3033" s="10" t="n">
        <x:v>0.1</x:v>
      </x:c>
      <x:c r="J3033" s="11" t="n">
        <x:v>7</x:v>
      </x:c>
      <x:c r="K3033" s="11" t="n">
        <x:v>7</x:v>
      </x:c>
      <x:c r="L3033" s="11" t="n">
        <x:v>0</x:v>
      </x:c>
      <x:c r="M3033" s="9" t="n">
        <x:f>ROUND(H3033*(1-I3033),2)</x:f>
        <x:v>13320000</x:v>
      </x:c>
      <x:c r="N3033" s="4" t="str">
        <x:v>Sales head</x:v>
      </x:c>
      <x:c r="O3033" s="4" t="str">
        <x:v>BOOK-03032</x:v>
      </x:c>
      <x:c r="P3033" s="9" t="n">
        <x:v>6660000</x:v>
      </x:c>
      <x:c r="Q3033" s="11" t="n">
        <x:v>0</x:v>
      </x:c>
      <x:c r="R3033" s="8" t="n">
        <x:v>45541</x:v>
      </x:c>
      <x:c r="S3033" s="4" t="str">
        <x:v>Retained</x:v>
      </x:c>
      <x:c r="T3033" s="10" t="n">
        <x:v>0.226277</x:v>
      </x:c>
      <x:c r="U3033" s="4" t="str">
        <x:v>Excluded / unlabelled</x:v>
      </x:c>
    </x:row>
    <x:row r="3034" ht="34" customHeight="1">
      <x:c r="A3034" s="4" t="str">
        <x:v>RS-03033</x:v>
      </x:c>
      <x:c r="B3034" s="8" t="n">
        <x:v>45482</x:v>
      </x:c>
      <x:c r="C3034" s="4" t="str">
        <x:v>PRJ-013</x:v>
      </x:c>
      <x:c r="D3034" s="4" t="str">
        <x:v>Office</x:v>
      </x:c>
      <x:c r="E3034" s="4" t="str">
        <x:v>Booked</x:v>
      </x:c>
      <x:c r="F3034" s="4" t="str">
        <x:v>CUS-03033</x:v>
      </x:c>
      <x:c r="G3034" s="4" t="str">
        <x:v>UNIT-03033</x:v>
      </x:c>
      <x:c r="H3034" s="9" t="n">
        <x:v>6800000</x:v>
      </x:c>
      <x:c r="I3034" s="10" t="n">
        <x:v>0</x:v>
      </x:c>
      <x:c r="J3034" s="11" t="n">
        <x:v>10</x:v>
      </x:c>
      <x:c r="K3034" s="11" t="n">
        <x:v>3</x:v>
      </x:c>
      <x:c r="L3034" s="11" t="n">
        <x:v>0</x:v>
      </x:c>
      <x:c r="M3034" s="9" t="n">
        <x:f>ROUND(H3034*(1-I3034),2)</x:f>
        <x:v>6800000</x:v>
      </x:c>
      <x:c r="N3034" s="4" t="str">
        <x:v>Sales manager</x:v>
      </x:c>
      <x:c r="O3034" s="4" t="str">
        <x:v>BOOK-03033</x:v>
      </x:c>
      <x:c r="P3034" s="9" t="n">
        <x:v>1700000</x:v>
      </x:c>
      <x:c r="Q3034" s="11" t="n">
        <x:v>0</x:v>
      </x:c>
      <x:c r="R3034" s="8" t="n">
        <x:v>45542</x:v>
      </x:c>
      <x:c r="S3034" s="4" t="str">
        <x:v>Retained</x:v>
      </x:c>
      <x:c r="T3034" s="10" t="n">
        <x:v>0.305556</x:v>
      </x:c>
      <x:c r="U3034" s="4" t="str">
        <x:v>Excluded / unlabelled</x:v>
      </x:c>
    </x:row>
    <x:row r="3035" ht="34" customHeight="1">
      <x:c r="A3035" s="4" t="str">
        <x:v>RS-03034</x:v>
      </x:c>
      <x:c r="B3035" s="8" t="n">
        <x:v>45483</x:v>
      </x:c>
      <x:c r="C3035" s="4" t="str">
        <x:v>PRJ-014</x:v>
      </x:c>
      <x:c r="D3035" s="4" t="str">
        <x:v>Retail</x:v>
      </x:c>
      <x:c r="E3035" s="4" t="str">
        <x:v>Booked</x:v>
      </x:c>
      <x:c r="F3035" s="4" t="str">
        <x:v>CUS-03034</x:v>
      </x:c>
      <x:c r="G3035" s="4" t="str">
        <x:v>UNIT-03034</x:v>
      </x:c>
      <x:c r="H3035" s="9" t="n">
        <x:v>23600000</x:v>
      </x:c>
      <x:c r="I3035" s="10" t="n">
        <x:v>0.11</x:v>
      </x:c>
      <x:c r="J3035" s="11" t="n">
        <x:v>10</x:v>
      </x:c>
      <x:c r="K3035" s="11" t="n">
        <x:v>8</x:v>
      </x:c>
      <x:c r="L3035" s="11" t="n">
        <x:v>0</x:v>
      </x:c>
      <x:c r="M3035" s="9" t="n">
        <x:f>ROUND(H3035*(1-I3035),2)</x:f>
        <x:v>21004000</x:v>
      </x:c>
      <x:c r="N3035" s="4" t="str">
        <x:v>Sales head</x:v>
      </x:c>
      <x:c r="O3035" s="4" t="str">
        <x:v>BOOK-03034</x:v>
      </x:c>
      <x:c r="P3035" s="9" t="n">
        <x:v>10502000</x:v>
      </x:c>
      <x:c r="Q3035" s="11" t="n">
        <x:v>0</x:v>
      </x:c>
      <x:c r="R3035" s="8" t="n">
        <x:v>45543</x:v>
      </x:c>
      <x:c r="S3035" s="4" t="str">
        <x:v>Retained</x:v>
      </x:c>
      <x:c r="T3035" s="10" t="n">
        <x:v>0.310195</x:v>
      </x:c>
      <x:c r="U3035" s="4" t="str">
        <x:v>Excluded / unlabelled</x:v>
      </x:c>
    </x:row>
    <x:row r="3036" ht="34" customHeight="1">
      <x:c r="A3036" s="4" t="str">
        <x:v>RS-03035</x:v>
      </x:c>
      <x:c r="B3036" s="8" t="n">
        <x:v>45484</x:v>
      </x:c>
      <x:c r="C3036" s="4" t="str">
        <x:v>PRJ-015</x:v>
      </x:c>
      <x:c r="D3036" s="4" t="str">
        <x:v>Villa</x:v>
      </x:c>
      <x:c r="E3036" s="4" t="str">
        <x:v>Reserved</x:v>
      </x:c>
      <x:c r="F3036" s="4" t="str">
        <x:v>CUS-03035</x:v>
      </x:c>
      <x:c r="G3036" s="4" t="str">
        <x:v>UNIT-03035</x:v>
      </x:c>
      <x:c r="H3036" s="9" t="n">
        <x:v>7700000</x:v>
      </x:c>
      <x:c r="I3036" s="10" t="n">
        <x:v>0.12</x:v>
      </x:c>
      <x:c r="J3036" s="11" t="n">
        <x:v>4</x:v>
      </x:c>
      <x:c r="K3036" s="11" t="n">
        <x:v>0</x:v>
      </x:c>
      <x:c r="L3036" s="11" t="n">
        <x:v>1</x:v>
      </x:c>
      <x:c r="M3036" s="9" t="n">
        <x:f>ROUND(H3036*(1-I3036),2)</x:f>
        <x:v>6776000</x:v>
      </x:c>
      <x:c r="N3036" s="4" t="str">
        <x:v>Sales head</x:v>
      </x:c>
      <x:c r="O3036" s="4"/>
      <x:c r="P3036" s="9" t="n">
        <x:v>0</x:v>
      </x:c>
      <x:c r="Q3036" s="11" t="n">
        <x:v>1</x:v>
      </x:c>
      <x:c r="R3036" s="8" t="n">
        <x:v>45544</x:v>
      </x:c>
      <x:c r="S3036" s="4" t="str">
        <x:v>Lost / cancelled</x:v>
      </x:c>
      <x:c r="T3036" s="10" t="n">
        <x:v>0.291946</x:v>
      </x:c>
      <x:c r="U3036" s="4" t="str">
        <x:v>Excluded / unlabelled</x:v>
      </x:c>
    </x:row>
    <x:row r="3037" ht="34" customHeight="1">
      <x:c r="A3037" s="4" t="str">
        <x:v>RS-03036</x:v>
      </x:c>
      <x:c r="B3037" s="8" t="n">
        <x:v>45485</x:v>
      </x:c>
      <x:c r="C3037" s="4" t="str">
        <x:v>PRJ-016</x:v>
      </x:c>
      <x:c r="D3037" s="4" t="str">
        <x:v>Office</x:v>
      </x:c>
      <x:c r="E3037" s="4" t="str">
        <x:v>Booked</x:v>
      </x:c>
      <x:c r="F3037" s="4" t="str">
        <x:v>CUS-03036</x:v>
      </x:c>
      <x:c r="G3037" s="4" t="str">
        <x:v>UNIT-03036</x:v>
      </x:c>
      <x:c r="H3037" s="9" t="n">
        <x:v>6300000</x:v>
      </x:c>
      <x:c r="I3037" s="10" t="n">
        <x:v>0.06</x:v>
      </x:c>
      <x:c r="J3037" s="11" t="n">
        <x:v>9</x:v>
      </x:c>
      <x:c r="K3037" s="11" t="n">
        <x:v>10</x:v>
      </x:c>
      <x:c r="L3037" s="11" t="n">
        <x:v>1</x:v>
      </x:c>
      <x:c r="M3037" s="9" t="n">
        <x:f>ROUND(H3037*(1-I3037),2)</x:f>
        <x:v>5922000</x:v>
      </x:c>
      <x:c r="N3037" s="4" t="str">
        <x:v>Sales manager</x:v>
      </x:c>
      <x:c r="O3037" s="4" t="str">
        <x:v>BOOK-03036</x:v>
      </x:c>
      <x:c r="P3037" s="9" t="n">
        <x:v>592200</x:v>
      </x:c>
      <x:c r="Q3037" s="11" t="n">
        <x:v>0</x:v>
      </x:c>
      <x:c r="R3037" s="8" t="n">
        <x:v>45545</x:v>
      </x:c>
      <x:c r="S3037" s="4" t="str">
        <x:v>Retained</x:v>
      </x:c>
      <x:c r="T3037" s="10" t="n">
        <x:v>0.310195</x:v>
      </x:c>
      <x:c r="U3037" s="4" t="str">
        <x:v>Excluded / unlabelled</x:v>
      </x:c>
    </x:row>
    <x:row r="3038" ht="34" customHeight="1">
      <x:c r="A3038" s="4" t="str">
        <x:v>RS-03037</x:v>
      </x:c>
      <x:c r="B3038" s="8" t="n">
        <x:v>45486</x:v>
      </x:c>
      <x:c r="C3038" s="4" t="str">
        <x:v>PRJ-017</x:v>
      </x:c>
      <x:c r="D3038" s="4" t="str">
        <x:v>Villa</x:v>
      </x:c>
      <x:c r="E3038" s="4" t="str">
        <x:v>Booked</x:v>
      </x:c>
      <x:c r="F3038" s="4" t="str">
        <x:v>CUS-03037</x:v>
      </x:c>
      <x:c r="G3038" s="4" t="str">
        <x:v>UNIT-03037</x:v>
      </x:c>
      <x:c r="H3038" s="9" t="n">
        <x:v>22100000</x:v>
      </x:c>
      <x:c r="I3038" s="10" t="n">
        <x:v>0.1</x:v>
      </x:c>
      <x:c r="J3038" s="11" t="n">
        <x:v>4</x:v>
      </x:c>
      <x:c r="K3038" s="11" t="n">
        <x:v>7</x:v>
      </x:c>
      <x:c r="L3038" s="11" t="n">
        <x:v>1</x:v>
      </x:c>
      <x:c r="M3038" s="9" t="n">
        <x:f>ROUND(H3038*(1-I3038),2)</x:f>
        <x:v>19890000</x:v>
      </x:c>
      <x:c r="N3038" s="4" t="str">
        <x:v>Sales head</x:v>
      </x:c>
      <x:c r="O3038" s="4" t="str">
        <x:v>BOOK-03037</x:v>
      </x:c>
      <x:c r="P3038" s="9" t="n">
        <x:v>9945000</x:v>
      </x:c>
      <x:c r="Q3038" s="11" t="n">
        <x:v>0</x:v>
      </x:c>
      <x:c r="R3038" s="8" t="n">
        <x:v>45546</x:v>
      </x:c>
      <x:c r="S3038" s="4" t="str">
        <x:v>Retained</x:v>
      </x:c>
      <x:c r="T3038" s="10" t="n">
        <x:v>0.291946</x:v>
      </x:c>
      <x:c r="U3038" s="4" t="str">
        <x:v>Excluded / unlabelled</x:v>
      </x:c>
    </x:row>
    <x:row r="3039" ht="34" customHeight="1">
      <x:c r="A3039" s="4" t="str">
        <x:v>RS-03038</x:v>
      </x:c>
      <x:c r="B3039" s="8" t="n">
        <x:v>45487</x:v>
      </x:c>
      <x:c r="C3039" s="4" t="str">
        <x:v>PRJ-018</x:v>
      </x:c>
      <x:c r="D3039" s="4" t="str">
        <x:v>Office</x:v>
      </x:c>
      <x:c r="E3039" s="4" t="str">
        <x:v>Cancelled</x:v>
      </x:c>
      <x:c r="F3039" s="4" t="str">
        <x:v>CUS-03038</x:v>
      </x:c>
      <x:c r="G3039" s="4" t="str">
        <x:v>UNIT-03038</x:v>
      </x:c>
      <x:c r="H3039" s="9" t="n">
        <x:v>7400000</x:v>
      </x:c>
      <x:c r="I3039" s="10" t="n">
        <x:v>0.06</x:v>
      </x:c>
      <x:c r="J3039" s="11" t="n">
        <x:v>11</x:v>
      </x:c>
      <x:c r="K3039" s="11" t="n">
        <x:v>9</x:v>
      </x:c>
      <x:c r="L3039" s="11" t="n">
        <x:v>0</x:v>
      </x:c>
      <x:c r="M3039" s="9" t="n">
        <x:f>ROUND(H3039*(1-I3039),2)</x:f>
        <x:v>6956000</x:v>
      </x:c>
      <x:c r="N3039" s="4" t="str">
        <x:v>Sales manager</x:v>
      </x:c>
      <x:c r="O3039" s="4"/>
      <x:c r="P3039" s="9" t="n">
        <x:v>0</x:v>
      </x:c>
      <x:c r="Q3039" s="11" t="n">
        <x:v>1</x:v>
      </x:c>
      <x:c r="R3039" s="8" t="n">
        <x:v>45547</x:v>
      </x:c>
      <x:c r="S3039" s="4" t="str">
        <x:v>Lost / cancelled</x:v>
      </x:c>
      <x:c r="T3039" s="10" t="n">
        <x:v>0.351536</x:v>
      </x:c>
      <x:c r="U3039" s="4" t="str">
        <x:v>Excluded / unlabelled</x:v>
      </x:c>
    </x:row>
    <x:row r="3040" ht="34" customHeight="1">
      <x:c r="A3040" s="4" t="str">
        <x:v>RS-03039</x:v>
      </x:c>
      <x:c r="B3040" s="8" t="n">
        <x:v>45488</x:v>
      </x:c>
      <x:c r="C3040" s="4" t="str">
        <x:v>PRJ-019</x:v>
      </x:c>
      <x:c r="D3040" s="4" t="str">
        <x:v>Apartment</x:v>
      </x:c>
      <x:c r="E3040" s="4" t="str">
        <x:v>Cancelled</x:v>
      </x:c>
      <x:c r="F3040" s="4" t="str">
        <x:v>CUS-03039</x:v>
      </x:c>
      <x:c r="G3040" s="4" t="str">
        <x:v>UNIT-03039</x:v>
      </x:c>
      <x:c r="H3040" s="9" t="n">
        <x:v>11700000</x:v>
      </x:c>
      <x:c r="I3040" s="10" t="n">
        <x:v>0.02</x:v>
      </x:c>
      <x:c r="J3040" s="11" t="n">
        <x:v>7</x:v>
      </x:c>
      <x:c r="K3040" s="11" t="n">
        <x:v>6</x:v>
      </x:c>
      <x:c r="L3040" s="11" t="n">
        <x:v>1</x:v>
      </x:c>
      <x:c r="M3040" s="9" t="n">
        <x:f>ROUND(H3040*(1-I3040),2)</x:f>
        <x:v>11466000</x:v>
      </x:c>
      <x:c r="N3040" s="4" t="str">
        <x:v>Sales manager</x:v>
      </x:c>
      <x:c r="O3040" s="4"/>
      <x:c r="P3040" s="9" t="n">
        <x:v>0</x:v>
      </x:c>
      <x:c r="Q3040" s="11" t="n">
        <x:v>1</x:v>
      </x:c>
      <x:c r="R3040" s="8" t="n">
        <x:v>45548</x:v>
      </x:c>
      <x:c r="S3040" s="4" t="str">
        <x:v>Lost / cancelled</x:v>
      </x:c>
      <x:c r="T3040" s="10" t="n">
        <x:v>0.145299</x:v>
      </x:c>
      <x:c r="U3040" s="4" t="str">
        <x:v>Excluded / unlabelled</x:v>
      </x:c>
    </x:row>
    <x:row r="3041" ht="34" customHeight="1">
      <x:c r="A3041" s="4" t="str">
        <x:v>RS-03040</x:v>
      </x:c>
      <x:c r="B3041" s="8" t="n">
        <x:v>45489</x:v>
      </x:c>
      <x:c r="C3041" s="4" t="str">
        <x:v>PRJ-020</x:v>
      </x:c>
      <x:c r="D3041" s="4" t="str">
        <x:v>Apartment</x:v>
      </x:c>
      <x:c r="E3041" s="4" t="str">
        <x:v>Cancelled</x:v>
      </x:c>
      <x:c r="F3041" s="4" t="str">
        <x:v>CUS-03040</x:v>
      </x:c>
      <x:c r="G3041" s="4" t="str">
        <x:v>UNIT-03040</x:v>
      </x:c>
      <x:c r="H3041" s="9" t="n">
        <x:v>3100000</x:v>
      </x:c>
      <x:c r="I3041" s="10" t="n">
        <x:v>0.08</x:v>
      </x:c>
      <x:c r="J3041" s="11" t="n">
        <x:v>5</x:v>
      </x:c>
      <x:c r="K3041" s="11" t="n">
        <x:v>5</x:v>
      </x:c>
      <x:c r="L3041" s="11" t="n">
        <x:v>1</x:v>
      </x:c>
      <x:c r="M3041" s="9" t="n">
        <x:f>ROUND(H3041*(1-I3041),2)</x:f>
        <x:v>2852000</x:v>
      </x:c>
      <x:c r="N3041" s="4" t="str">
        <x:v>Sales head</x:v>
      </x:c>
      <x:c r="O3041" s="4"/>
      <x:c r="P3041" s="9" t="n">
        <x:v>0</x:v>
      </x:c>
      <x:c r="Q3041" s="11" t="n">
        <x:v>1</x:v>
      </x:c>
      <x:c r="R3041" s="8" t="n">
        <x:v>45549</x:v>
      </x:c>
      <x:c r="S3041" s="4" t="str">
        <x:v>Lost / cancelled</x:v>
      </x:c>
      <x:c r="T3041" s="10" t="n">
        <x:v>0.291946</x:v>
      </x:c>
      <x:c r="U3041" s="4" t="str">
        <x:v>Excluded / unlabelled</x:v>
      </x:c>
    </x:row>
    <x:row r="3042" ht="34" customHeight="1">
      <x:c r="A3042" s="4" t="str">
        <x:v>RS-03041</x:v>
      </x:c>
      <x:c r="B3042" s="8" t="n">
        <x:v>45490</x:v>
      </x:c>
      <x:c r="C3042" s="4" t="str">
        <x:v>PRJ-001</x:v>
      </x:c>
      <x:c r="D3042" s="4" t="str">
        <x:v>Villa</x:v>
      </x:c>
      <x:c r="E3042" s="4" t="str">
        <x:v>Cancelled</x:v>
      </x:c>
      <x:c r="F3042" s="4" t="str">
        <x:v>CUS-03041</x:v>
      </x:c>
      <x:c r="G3042" s="4" t="str">
        <x:v>UNIT-03041</x:v>
      </x:c>
      <x:c r="H3042" s="9" t="n">
        <x:v>3500000</x:v>
      </x:c>
      <x:c r="I3042" s="10" t="n">
        <x:v>0.02</x:v>
      </x:c>
      <x:c r="J3042" s="11" t="n">
        <x:v>4</x:v>
      </x:c>
      <x:c r="K3042" s="11" t="n">
        <x:v>2</x:v>
      </x:c>
      <x:c r="L3042" s="11" t="n">
        <x:v>1</x:v>
      </x:c>
      <x:c r="M3042" s="9" t="n">
        <x:f>ROUND(H3042*(1-I3042),2)</x:f>
        <x:v>3430000</x:v>
      </x:c>
      <x:c r="N3042" s="4" t="str">
        <x:v>Sales manager</x:v>
      </x:c>
      <x:c r="O3042" s="4"/>
      <x:c r="P3042" s="9" t="n">
        <x:v>0</x:v>
      </x:c>
      <x:c r="Q3042" s="11" t="n">
        <x:v>1</x:v>
      </x:c>
      <x:c r="R3042" s="8" t="n">
        <x:v>45550</x:v>
      </x:c>
      <x:c r="S3042" s="4" t="str">
        <x:v>Lost / cancelled</x:v>
      </x:c>
      <x:c r="T3042" s="10" t="n">
        <x:v>0.298969</x:v>
      </x:c>
      <x:c r="U3042" s="4" t="str">
        <x:v>Excluded / unlabelled</x:v>
      </x:c>
    </x:row>
    <x:row r="3043" ht="34" customHeight="1">
      <x:c r="A3043" s="4" t="str">
        <x:v>RS-03042</x:v>
      </x:c>
      <x:c r="B3043" s="8" t="n">
        <x:v>45491</x:v>
      </x:c>
      <x:c r="C3043" s="4" t="str">
        <x:v>PRJ-002</x:v>
      </x:c>
      <x:c r="D3043" s="4" t="str">
        <x:v>Retail</x:v>
      </x:c>
      <x:c r="E3043" s="4" t="str">
        <x:v>Reserved</x:v>
      </x:c>
      <x:c r="F3043" s="4" t="str">
        <x:v>CUS-03042</x:v>
      </x:c>
      <x:c r="G3043" s="4" t="str">
        <x:v>UNIT-03042</x:v>
      </x:c>
      <x:c r="H3043" s="9" t="n">
        <x:v>3100000</x:v>
      </x:c>
      <x:c r="I3043" s="10" t="n">
        <x:v>0.09</x:v>
      </x:c>
      <x:c r="J3043" s="11" t="n">
        <x:v>2</x:v>
      </x:c>
      <x:c r="K3043" s="11" t="n">
        <x:v>6</x:v>
      </x:c>
      <x:c r="L3043" s="11" t="n">
        <x:v>1</x:v>
      </x:c>
      <x:c r="M3043" s="9" t="n">
        <x:f>ROUND(H3043*(1-I3043),2)</x:f>
        <x:v>2821000</x:v>
      </x:c>
      <x:c r="N3043" s="4" t="str">
        <x:v>Sales head</x:v>
      </x:c>
      <x:c r="O3043" s="4"/>
      <x:c r="P3043" s="9" t="n">
        <x:v>0</x:v>
      </x:c>
      <x:c r="Q3043" s="11" t="n">
        <x:v>0</x:v>
      </x:c>
      <x:c r="R3043" s="8" t="n">
        <x:v>45551</x:v>
      </x:c>
      <x:c r="S3043" s="4" t="str">
        <x:v>Retained</x:v>
      </x:c>
      <x:c r="T3043" s="10" t="n">
        <x:v>0.145833</x:v>
      </x:c>
      <x:c r="U3043" s="4" t="str">
        <x:v>Excluded / unlabelled</x:v>
      </x:c>
    </x:row>
    <x:row r="3044" ht="34" customHeight="1">
      <x:c r="A3044" s="4" t="str">
        <x:v>RS-03043</x:v>
      </x:c>
      <x:c r="B3044" s="8" t="n">
        <x:v>45492</x:v>
      </x:c>
      <x:c r="C3044" s="4" t="str">
        <x:v>PRJ-003</x:v>
      </x:c>
      <x:c r="D3044" s="4" t="str">
        <x:v>Villa</x:v>
      </x:c>
      <x:c r="E3044" s="4" t="str">
        <x:v>Reserved</x:v>
      </x:c>
      <x:c r="F3044" s="4" t="str">
        <x:v>CUS-03043</x:v>
      </x:c>
      <x:c r="G3044" s="4" t="str">
        <x:v>UNIT-03043</x:v>
      </x:c>
      <x:c r="H3044" s="9" t="n">
        <x:v>11500000</x:v>
      </x:c>
      <x:c r="I3044" s="10" t="n">
        <x:v>0.12</x:v>
      </x:c>
      <x:c r="J3044" s="11" t="n">
        <x:v>1</x:v>
      </x:c>
      <x:c r="K3044" s="11" t="n">
        <x:v>10</x:v>
      </x:c>
      <x:c r="L3044" s="11" t="n">
        <x:v>0</x:v>
      </x:c>
      <x:c r="M3044" s="9" t="n">
        <x:f>ROUND(H3044*(1-I3044),2)</x:f>
        <x:v>10120000</x:v>
      </x:c>
      <x:c r="N3044" s="4" t="str">
        <x:v>Sales head</x:v>
      </x:c>
      <x:c r="O3044" s="4"/>
      <x:c r="P3044" s="9" t="n">
        <x:v>0</x:v>
      </x:c>
      <x:c r="Q3044" s="11" t="n">
        <x:v>0</x:v>
      </x:c>
      <x:c r="R3044" s="8" t="n">
        <x:v>45552</x:v>
      </x:c>
      <x:c r="S3044" s="4" t="str">
        <x:v>Retained</x:v>
      </x:c>
      <x:c r="T3044" s="10" t="n">
        <x:v>0.145833</x:v>
      </x:c>
      <x:c r="U3044" s="4" t="str">
        <x:v>Excluded / unlabelled</x:v>
      </x:c>
    </x:row>
    <x:row r="3045" ht="34" customHeight="1">
      <x:c r="A3045" s="4" t="str">
        <x:v>RS-03044</x:v>
      </x:c>
      <x:c r="B3045" s="8" t="n">
        <x:v>45493</x:v>
      </x:c>
      <x:c r="C3045" s="4" t="str">
        <x:v>PRJ-004</x:v>
      </x:c>
      <x:c r="D3045" s="4" t="str">
        <x:v>Retail</x:v>
      </x:c>
      <x:c r="E3045" s="4" t="str">
        <x:v>Cancelled</x:v>
      </x:c>
      <x:c r="F3045" s="4" t="str">
        <x:v>CUS-03044</x:v>
      </x:c>
      <x:c r="G3045" s="4" t="str">
        <x:v>UNIT-03044</x:v>
      </x:c>
      <x:c r="H3045" s="9" t="n">
        <x:v>8400000</x:v>
      </x:c>
      <x:c r="I3045" s="10" t="n">
        <x:v>0.03</x:v>
      </x:c>
      <x:c r="J3045" s="11" t="n">
        <x:v>5</x:v>
      </x:c>
      <x:c r="K3045" s="11" t="n">
        <x:v>9</x:v>
      </x:c>
      <x:c r="L3045" s="11" t="n">
        <x:v>0</x:v>
      </x:c>
      <x:c r="M3045" s="9" t="n">
        <x:f>ROUND(H3045*(1-I3045),2)</x:f>
        <x:v>8148000</x:v>
      </x:c>
      <x:c r="N3045" s="4" t="str">
        <x:v>Sales manager</x:v>
      </x:c>
      <x:c r="O3045" s="4"/>
      <x:c r="P3045" s="9" t="n">
        <x:v>0</x:v>
      </x:c>
      <x:c r="Q3045" s="11" t="n">
        <x:v>1</x:v>
      </x:c>
      <x:c r="R3045" s="8" t="n">
        <x:v>45553</x:v>
      </x:c>
      <x:c r="S3045" s="4" t="str">
        <x:v>Lost / cancelled</x:v>
      </x:c>
      <x:c r="T3045" s="10" t="n">
        <x:v>0.145299</x:v>
      </x:c>
      <x:c r="U3045" s="4" t="str">
        <x:v>Excluded / unlabelled</x:v>
      </x:c>
    </x:row>
    <x:row r="3046" ht="34" customHeight="1">
      <x:c r="A3046" s="4" t="str">
        <x:v>RS-03045</x:v>
      </x:c>
      <x:c r="B3046" s="8" t="n">
        <x:v>45494</x:v>
      </x:c>
      <x:c r="C3046" s="4" t="str">
        <x:v>PRJ-005</x:v>
      </x:c>
      <x:c r="D3046" s="4" t="str">
        <x:v>Office</x:v>
      </x:c>
      <x:c r="E3046" s="4" t="str">
        <x:v>Handed over</x:v>
      </x:c>
      <x:c r="F3046" s="4" t="str">
        <x:v>CUS-03045</x:v>
      </x:c>
      <x:c r="G3046" s="4" t="str">
        <x:v>UNIT-03045</x:v>
      </x:c>
      <x:c r="H3046" s="9" t="n">
        <x:v>15900000</x:v>
      </x:c>
      <x:c r="I3046" s="10" t="n">
        <x:v>0.07</x:v>
      </x:c>
      <x:c r="J3046" s="11" t="n">
        <x:v>9</x:v>
      </x:c>
      <x:c r="K3046" s="11" t="n">
        <x:v>1</x:v>
      </x:c>
      <x:c r="L3046" s="11" t="n">
        <x:v>1</x:v>
      </x:c>
      <x:c r="M3046" s="9" t="n">
        <x:f>ROUND(H3046*(1-I3046),2)</x:f>
        <x:v>14787000</x:v>
      </x:c>
      <x:c r="N3046" s="4" t="str">
        <x:v>Sales manager</x:v>
      </x:c>
      <x:c r="O3046" s="4" t="str">
        <x:v>BOOK-03045</x:v>
      </x:c>
      <x:c r="P3046" s="9" t="n">
        <x:v>7393500</x:v>
      </x:c>
      <x:c r="Q3046" s="11" t="n">
        <x:v>0</x:v>
      </x:c>
      <x:c r="R3046" s="8" t="n">
        <x:v>45554</x:v>
      </x:c>
      <x:c r="S3046" s="4" t="str">
        <x:v>Retained</x:v>
      </x:c>
      <x:c r="T3046" s="10" t="n">
        <x:v>0.310195</x:v>
      </x:c>
      <x:c r="U3046" s="4" t="str">
        <x:v>Excluded / unlabelled</x:v>
      </x:c>
    </x:row>
    <x:row r="3047" ht="34" customHeight="1">
      <x:c r="A3047" s="4" t="str">
        <x:v>RS-03046</x:v>
      </x:c>
      <x:c r="B3047" s="8" t="n">
        <x:v>45495</x:v>
      </x:c>
      <x:c r="C3047" s="4" t="str">
        <x:v>PRJ-006</x:v>
      </x:c>
      <x:c r="D3047" s="4" t="str">
        <x:v>Retail</x:v>
      </x:c>
      <x:c r="E3047" s="4" t="str">
        <x:v>Enquiry</x:v>
      </x:c>
      <x:c r="F3047" s="4" t="str">
        <x:v>CUS-03046</x:v>
      </x:c>
      <x:c r="G3047" s="4" t="str">
        <x:v>UNIT-03046</x:v>
      </x:c>
      <x:c r="H3047" s="9" t="n">
        <x:v>18900000</x:v>
      </x:c>
      <x:c r="I3047" s="10" t="n">
        <x:v>0.04</x:v>
      </x:c>
      <x:c r="J3047" s="11" t="n">
        <x:v>1</x:v>
      </x:c>
      <x:c r="K3047" s="11" t="n">
        <x:v>4</x:v>
      </x:c>
      <x:c r="L3047" s="11" t="n">
        <x:v>1</x:v>
      </x:c>
      <x:c r="M3047" s="9" t="n">
        <x:f>ROUND(H3047*(1-I3047),2)</x:f>
        <x:v>18144000</x:v>
      </x:c>
      <x:c r="N3047" s="4" t="str">
        <x:v>Sales manager</x:v>
      </x:c>
      <x:c r="O3047" s="4"/>
      <x:c r="P3047" s="9" t="n">
        <x:v>0</x:v>
      </x:c>
      <x:c r="Q3047" s="11" t="n">
        <x:v>0</x:v>
      </x:c>
      <x:c r="R3047" s="8" t="n">
        <x:v>45555</x:v>
      </x:c>
      <x:c r="S3047" s="4" t="str">
        <x:v>Retained</x:v>
      </x:c>
      <x:c r="T3047" s="10" t="n">
        <x:v>0.204152</x:v>
      </x:c>
      <x:c r="U3047" s="4" t="str">
        <x:v>Excluded / unlabelled</x:v>
      </x:c>
    </x:row>
    <x:row r="3048" ht="34" customHeight="1">
      <x:c r="A3048" s="4" t="str">
        <x:v>RS-03047</x:v>
      </x:c>
      <x:c r="B3048" s="8" t="n">
        <x:v>45496</x:v>
      </x:c>
      <x:c r="C3048" s="4" t="str">
        <x:v>PRJ-007</x:v>
      </x:c>
      <x:c r="D3048" s="4" t="str">
        <x:v>Apartment</x:v>
      </x:c>
      <x:c r="E3048" s="4" t="str">
        <x:v>Enquiry</x:v>
      </x:c>
      <x:c r="F3048" s="4" t="str">
        <x:v>CUS-03047</x:v>
      </x:c>
      <x:c r="G3048" s="4" t="str">
        <x:v>UNIT-03047</x:v>
      </x:c>
      <x:c r="H3048" s="9" t="n">
        <x:v>6700000</x:v>
      </x:c>
      <x:c r="I3048" s="10" t="n">
        <x:v>0.05</x:v>
      </x:c>
      <x:c r="J3048" s="11" t="n">
        <x:v>3</x:v>
      </x:c>
      <x:c r="K3048" s="11" t="n">
        <x:v>0</x:v>
      </x:c>
      <x:c r="L3048" s="11" t="n">
        <x:v>0</x:v>
      </x:c>
      <x:c r="M3048" s="9" t="n">
        <x:f>ROUND(H3048*(1-I3048),2)</x:f>
        <x:v>6365000</x:v>
      </x:c>
      <x:c r="N3048" s="4" t="str">
        <x:v>Sales manager</x:v>
      </x:c>
      <x:c r="O3048" s="4"/>
      <x:c r="P3048" s="9" t="n">
        <x:v>0</x:v>
      </x:c>
      <x:c r="Q3048" s="11" t="n">
        <x:v>0</x:v>
      </x:c>
      <x:c r="R3048" s="8" t="n">
        <x:v>45556</x:v>
      </x:c>
      <x:c r="S3048" s="4" t="str">
        <x:v>Retained</x:v>
      </x:c>
      <x:c r="T3048" s="10" t="n">
        <x:v>0.276923</x:v>
      </x:c>
      <x:c r="U3048" s="4" t="str">
        <x:v>Excluded / unlabelled</x:v>
      </x:c>
    </x:row>
    <x:row r="3049" ht="34" customHeight="1">
      <x:c r="A3049" s="4" t="str">
        <x:v>RS-03048</x:v>
      </x:c>
      <x:c r="B3049" s="8" t="n">
        <x:v>45497</x:v>
      </x:c>
      <x:c r="C3049" s="4" t="str">
        <x:v>PRJ-008</x:v>
      </x:c>
      <x:c r="D3049" s="4" t="str">
        <x:v>Villa</x:v>
      </x:c>
      <x:c r="E3049" s="4" t="str">
        <x:v>Booked</x:v>
      </x:c>
      <x:c r="F3049" s="4" t="str">
        <x:v>CUS-03048</x:v>
      </x:c>
      <x:c r="G3049" s="4" t="str">
        <x:v>UNIT-03048</x:v>
      </x:c>
      <x:c r="H3049" s="9" t="n">
        <x:v>6900000</x:v>
      </x:c>
      <x:c r="I3049" s="10" t="n">
        <x:v>0.05</x:v>
      </x:c>
      <x:c r="J3049" s="11" t="n">
        <x:v>0</x:v>
      </x:c>
      <x:c r="K3049" s="11" t="n">
        <x:v>0</x:v>
      </x:c>
      <x:c r="L3049" s="11" t="n">
        <x:v>1</x:v>
      </x:c>
      <x:c r="M3049" s="9" t="n">
        <x:f>ROUND(H3049*(1-I3049),2)</x:f>
        <x:v>6555000</x:v>
      </x:c>
      <x:c r="N3049" s="4" t="str">
        <x:v>Sales manager</x:v>
      </x:c>
      <x:c r="O3049" s="4" t="str">
        <x:v>BOOK-03048</x:v>
      </x:c>
      <x:c r="P3049" s="9" t="n">
        <x:v>6555000</x:v>
      </x:c>
      <x:c r="Q3049" s="11" t="n">
        <x:v>0</x:v>
      </x:c>
      <x:c r="R3049" s="8" t="n">
        <x:v>45557</x:v>
      </x:c>
      <x:c r="S3049" s="4" t="str">
        <x:v>Retained</x:v>
      </x:c>
      <x:c r="T3049" s="10" t="n">
        <x:v>0.276923</x:v>
      </x:c>
      <x:c r="U3049" s="4" t="str">
        <x:v>Excluded / unlabelled</x:v>
      </x:c>
    </x:row>
    <x:row r="3050" ht="34" customHeight="1">
      <x:c r="A3050" s="4" t="str">
        <x:v>RS-03049</x:v>
      </x:c>
      <x:c r="B3050" s="8" t="n">
        <x:v>45498</x:v>
      </x:c>
      <x:c r="C3050" s="4" t="str">
        <x:v>PRJ-009</x:v>
      </x:c>
      <x:c r="D3050" s="4" t="str">
        <x:v>Office</x:v>
      </x:c>
      <x:c r="E3050" s="4" t="str">
        <x:v>Reserved</x:v>
      </x:c>
      <x:c r="F3050" s="4" t="str">
        <x:v>CUS-03049</x:v>
      </x:c>
      <x:c r="G3050" s="4" t="str">
        <x:v>UNIT-03049</x:v>
      </x:c>
      <x:c r="H3050" s="9" t="n">
        <x:v>17200000</x:v>
      </x:c>
      <x:c r="I3050" s="10" t="n">
        <x:v>0.04</x:v>
      </x:c>
      <x:c r="J3050" s="11" t="n">
        <x:v>2</x:v>
      </x:c>
      <x:c r="K3050" s="11" t="n">
        <x:v>1</x:v>
      </x:c>
      <x:c r="L3050" s="11" t="n">
        <x:v>1</x:v>
      </x:c>
      <x:c r="M3050" s="9" t="n">
        <x:f>ROUND(H3050*(1-I3050),2)</x:f>
        <x:v>16512000</x:v>
      </x:c>
      <x:c r="N3050" s="4" t="str">
        <x:v>Sales manager</x:v>
      </x:c>
      <x:c r="O3050" s="4"/>
      <x:c r="P3050" s="9" t="n">
        <x:v>0</x:v>
      </x:c>
      <x:c r="Q3050" s="11" t="n">
        <x:v>0</x:v>
      </x:c>
      <x:c r="R3050" s="8" t="n">
        <x:v>45558</x:v>
      </x:c>
      <x:c r="S3050" s="4" t="str">
        <x:v>Retained</x:v>
      </x:c>
      <x:c r="T3050" s="10" t="n">
        <x:v>0.204152</x:v>
      </x:c>
      <x:c r="U3050" s="4" t="str">
        <x:v>Excluded / unlabelled</x:v>
      </x:c>
    </x:row>
    <x:row r="3051" ht="34" customHeight="1">
      <x:c r="A3051" s="4" t="str">
        <x:v>RS-03050</x:v>
      </x:c>
      <x:c r="B3051" s="8" t="n">
        <x:v>45499</x:v>
      </x:c>
      <x:c r="C3051" s="4" t="str">
        <x:v>PRJ-010</x:v>
      </x:c>
      <x:c r="D3051" s="4" t="str">
        <x:v>Office</x:v>
      </x:c>
      <x:c r="E3051" s="4" t="str">
        <x:v>Cancelled</x:v>
      </x:c>
      <x:c r="F3051" s="4" t="str">
        <x:v>CUS-03050</x:v>
      </x:c>
      <x:c r="G3051" s="4" t="str">
        <x:v>UNIT-03050</x:v>
      </x:c>
      <x:c r="H3051" s="9" t="n">
        <x:v>21200000</x:v>
      </x:c>
      <x:c r="I3051" s="10" t="n">
        <x:v>0.05</x:v>
      </x:c>
      <x:c r="J3051" s="11" t="n">
        <x:v>1</x:v>
      </x:c>
      <x:c r="K3051" s="11" t="n">
        <x:v>4</x:v>
      </x:c>
      <x:c r="L3051" s="11" t="n">
        <x:v>0</x:v>
      </x:c>
      <x:c r="M3051" s="9" t="n">
        <x:f>ROUND(H3051*(1-I3051),2)</x:f>
        <x:v>20140000</x:v>
      </x:c>
      <x:c r="N3051" s="4" t="str">
        <x:v>Sales manager</x:v>
      </x:c>
      <x:c r="O3051" s="4"/>
      <x:c r="P3051" s="9" t="n">
        <x:v>0</x:v>
      </x:c>
      <x:c r="Q3051" s="11" t="n">
        <x:v>1</x:v>
      </x:c>
      <x:c r="R3051" s="8" t="n">
        <x:v>45559</x:v>
      </x:c>
      <x:c r="S3051" s="4" t="str">
        <x:v>Lost / cancelled</x:v>
      </x:c>
      <x:c r="T3051" s="10" t="n">
        <x:v>0.204152</x:v>
      </x:c>
      <x:c r="U3051" s="4" t="str">
        <x:v>Excluded / unlabelled</x:v>
      </x:c>
    </x:row>
    <x:row r="3052" ht="34" customHeight="1">
      <x:c r="A3052" s="4" t="str">
        <x:v>RS-03051</x:v>
      </x:c>
      <x:c r="B3052" s="8" t="n">
        <x:v>45500</x:v>
      </x:c>
      <x:c r="C3052" s="4" t="str">
        <x:v>PRJ-011</x:v>
      </x:c>
      <x:c r="D3052" s="4" t="str">
        <x:v>Villa</x:v>
      </x:c>
      <x:c r="E3052" s="4" t="str">
        <x:v>Booked</x:v>
      </x:c>
      <x:c r="F3052" s="4" t="str">
        <x:v>CUS-03051</x:v>
      </x:c>
      <x:c r="G3052" s="4" t="str">
        <x:v>UNIT-03051</x:v>
      </x:c>
      <x:c r="H3052" s="9" t="n">
        <x:v>20600000</x:v>
      </x:c>
      <x:c r="I3052" s="10" t="n">
        <x:v>0.03</x:v>
      </x:c>
      <x:c r="J3052" s="11" t="n">
        <x:v>10</x:v>
      </x:c>
      <x:c r="K3052" s="11" t="n">
        <x:v>7</x:v>
      </x:c>
      <x:c r="L3052" s="11" t="n">
        <x:v>0</x:v>
      </x:c>
      <x:c r="M3052" s="9" t="n">
        <x:f>ROUND(H3052*(1-I3052),2)</x:f>
        <x:v>19982000</x:v>
      </x:c>
      <x:c r="N3052" s="4" t="str">
        <x:v>Sales manager</x:v>
      </x:c>
      <x:c r="O3052" s="4" t="str">
        <x:v>BOOK-03051</x:v>
      </x:c>
      <x:c r="P3052" s="9" t="n">
        <x:v>19982000</x:v>
      </x:c>
      <x:c r="Q3052" s="11" t="n">
        <x:v>0</x:v>
      </x:c>
      <x:c r="R3052" s="8" t="n">
        <x:v>45560</x:v>
      </x:c>
      <x:c r="S3052" s="4" t="str">
        <x:v>Retained</x:v>
      </x:c>
      <x:c r="T3052" s="10" t="n">
        <x:v>0.310195</x:v>
      </x:c>
      <x:c r="U3052" s="4" t="str">
        <x:v>Excluded / unlabelled</x:v>
      </x:c>
    </x:row>
    <x:row r="3053" ht="34" customHeight="1">
      <x:c r="A3053" s="4" t="str">
        <x:v>RS-03052</x:v>
      </x:c>
      <x:c r="B3053" s="8" t="n">
        <x:v>45501</x:v>
      </x:c>
      <x:c r="C3053" s="4" t="str">
        <x:v>PRJ-012</x:v>
      </x:c>
      <x:c r="D3053" s="4" t="str">
        <x:v>Villa</x:v>
      </x:c>
      <x:c r="E3053" s="4" t="str">
        <x:v>Handed over</x:v>
      </x:c>
      <x:c r="F3053" s="4" t="str">
        <x:v>CUS-03052</x:v>
      </x:c>
      <x:c r="G3053" s="4" t="str">
        <x:v>UNIT-03052</x:v>
      </x:c>
      <x:c r="H3053" s="9" t="n">
        <x:v>19000000</x:v>
      </x:c>
      <x:c r="I3053" s="10" t="n">
        <x:v>0.02</x:v>
      </x:c>
      <x:c r="J3053" s="11" t="n">
        <x:v>5</x:v>
      </x:c>
      <x:c r="K3053" s="11" t="n">
        <x:v>4</x:v>
      </x:c>
      <x:c r="L3053" s="11" t="n">
        <x:v>0</x:v>
      </x:c>
      <x:c r="M3053" s="9" t="n">
        <x:f>ROUND(H3053*(1-I3053),2)</x:f>
        <x:v>18620000</x:v>
      </x:c>
      <x:c r="N3053" s="4" t="str">
        <x:v>Sales manager</x:v>
      </x:c>
      <x:c r="O3053" s="4" t="str">
        <x:v>BOOK-03052</x:v>
      </x:c>
      <x:c r="P3053" s="9" t="n">
        <x:v>9310000</x:v>
      </x:c>
      <x:c r="Q3053" s="11" t="n">
        <x:v>0</x:v>
      </x:c>
      <x:c r="R3053" s="8" t="n">
        <x:v>45561</x:v>
      </x:c>
      <x:c r="S3053" s="4" t="str">
        <x:v>Retained</x:v>
      </x:c>
      <x:c r="T3053" s="10" t="n">
        <x:v>0.298969</x:v>
      </x:c>
      <x:c r="U3053" s="4" t="str">
        <x:v>Excluded / unlabelled</x:v>
      </x:c>
    </x:row>
    <x:row r="3054" ht="34" customHeight="1">
      <x:c r="A3054" s="4" t="str">
        <x:v>RS-03053</x:v>
      </x:c>
      <x:c r="B3054" s="8" t="n">
        <x:v>45474</x:v>
      </x:c>
      <x:c r="C3054" s="4" t="str">
        <x:v>PRJ-013</x:v>
      </x:c>
      <x:c r="D3054" s="4" t="str">
        <x:v>Villa</x:v>
      </x:c>
      <x:c r="E3054" s="4" t="str">
        <x:v>Enquiry</x:v>
      </x:c>
      <x:c r="F3054" s="4" t="str">
        <x:v>CUS-03053</x:v>
      </x:c>
      <x:c r="G3054" s="4" t="str">
        <x:v>UNIT-03053</x:v>
      </x:c>
      <x:c r="H3054" s="9" t="n">
        <x:v>21900000</x:v>
      </x:c>
      <x:c r="I3054" s="10" t="n">
        <x:v>0.07</x:v>
      </x:c>
      <x:c r="J3054" s="11" t="n">
        <x:v>10</x:v>
      </x:c>
      <x:c r="K3054" s="11" t="n">
        <x:v>8</x:v>
      </x:c>
      <x:c r="L3054" s="11" t="n">
        <x:v>0</x:v>
      </x:c>
      <x:c r="M3054" s="9" t="n">
        <x:f>ROUND(H3054*(1-I3054),2)</x:f>
        <x:v>20367000</x:v>
      </x:c>
      <x:c r="N3054" s="4" t="str">
        <x:v>Sales manager</x:v>
      </x:c>
      <x:c r="O3054" s="4"/>
      <x:c r="P3054" s="9" t="n">
        <x:v>0</x:v>
      </x:c>
      <x:c r="Q3054" s="11" t="n">
        <x:v>1</x:v>
      </x:c>
      <x:c r="R3054" s="8" t="n">
        <x:v>45534</x:v>
      </x:c>
      <x:c r="S3054" s="4" t="str">
        <x:v>Lost / cancelled</x:v>
      </x:c>
      <x:c r="T3054" s="10" t="n">
        <x:v>0.310195</x:v>
      </x:c>
      <x:c r="U3054" s="4" t="str">
        <x:v>Excluded / unlabelled</x:v>
      </x:c>
    </x:row>
    <x:row r="3055" ht="34" customHeight="1">
      <x:c r="A3055" s="4" t="str">
        <x:v>RS-03054</x:v>
      </x:c>
      <x:c r="B3055" s="8" t="n">
        <x:v>45475</x:v>
      </x:c>
      <x:c r="C3055" s="4" t="str">
        <x:v>PRJ-014</x:v>
      </x:c>
      <x:c r="D3055" s="4" t="str">
        <x:v>Apartment</x:v>
      </x:c>
      <x:c r="E3055" s="4" t="str">
        <x:v>Reserved</x:v>
      </x:c>
      <x:c r="F3055" s="4" t="str">
        <x:v>CUS-03054</x:v>
      </x:c>
      <x:c r="G3055" s="4" t="str">
        <x:v>UNIT-03054</x:v>
      </x:c>
      <x:c r="H3055" s="9" t="n">
        <x:v>11200000</x:v>
      </x:c>
      <x:c r="I3055" s="10" t="n">
        <x:v>0.04</x:v>
      </x:c>
      <x:c r="J3055" s="11" t="n">
        <x:v>7</x:v>
      </x:c>
      <x:c r="K3055" s="11" t="n">
        <x:v>4</x:v>
      </x:c>
      <x:c r="L3055" s="11" t="n">
        <x:v>0</x:v>
      </x:c>
      <x:c r="M3055" s="9" t="n">
        <x:f>ROUND(H3055*(1-I3055),2)</x:f>
        <x:v>10752000</x:v>
      </x:c>
      <x:c r="N3055" s="4" t="str">
        <x:v>Sales manager</x:v>
      </x:c>
      <x:c r="O3055" s="4"/>
      <x:c r="P3055" s="9" t="n">
        <x:v>0</x:v>
      </x:c>
      <x:c r="Q3055" s="11" t="n">
        <x:v>0</x:v>
      </x:c>
      <x:c r="R3055" s="8" t="n">
        <x:v>45535</x:v>
      </x:c>
      <x:c r="S3055" s="4" t="str">
        <x:v>Retained</x:v>
      </x:c>
      <x:c r="T3055" s="10" t="n">
        <x:v>0.226277</x:v>
      </x:c>
      <x:c r="U3055" s="4" t="str">
        <x:v>Excluded / unlabelled</x:v>
      </x:c>
    </x:row>
    <x:row r="3056" ht="34" customHeight="1">
      <x:c r="A3056" s="4" t="str">
        <x:v>RS-03055</x:v>
      </x:c>
      <x:c r="B3056" s="8" t="n">
        <x:v>45476</x:v>
      </x:c>
      <x:c r="C3056" s="4" t="str">
        <x:v>PRJ-015</x:v>
      </x:c>
      <x:c r="D3056" s="4" t="str">
        <x:v>Apartment</x:v>
      </x:c>
      <x:c r="E3056" s="4" t="str">
        <x:v>Agreement signed</x:v>
      </x:c>
      <x:c r="F3056" s="4" t="str">
        <x:v>CUS-03055</x:v>
      </x:c>
      <x:c r="G3056" s="4" t="str">
        <x:v>UNIT-03055</x:v>
      </x:c>
      <x:c r="H3056" s="9" t="n">
        <x:v>14700000</x:v>
      </x:c>
      <x:c r="I3056" s="10" t="n">
        <x:v>0.01</x:v>
      </x:c>
      <x:c r="J3056" s="11" t="n">
        <x:v>11</x:v>
      </x:c>
      <x:c r="K3056" s="11" t="n">
        <x:v>0</x:v>
      </x:c>
      <x:c r="L3056" s="11" t="n">
        <x:v>1</x:v>
      </x:c>
      <x:c r="M3056" s="9" t="n">
        <x:f>ROUND(H3056*(1-I3056),2)</x:f>
        <x:v>14553000</x:v>
      </x:c>
      <x:c r="N3056" s="4" t="str">
        <x:v>Sales manager</x:v>
      </x:c>
      <x:c r="O3056" s="4" t="str">
        <x:v>BOOK-03055</x:v>
      </x:c>
      <x:c r="P3056" s="9" t="n">
        <x:v>14553000</x:v>
      </x:c>
      <x:c r="Q3056" s="11" t="n">
        <x:v>0</x:v>
      </x:c>
      <x:c r="R3056" s="8" t="n">
        <x:v>45536</x:v>
      </x:c>
      <x:c r="S3056" s="4" t="str">
        <x:v>Retained</x:v>
      </x:c>
      <x:c r="T3056" s="10" t="n">
        <x:v>0.254545</x:v>
      </x:c>
      <x:c r="U3056" s="4" t="str">
        <x:v>Excluded / unlabelled</x:v>
      </x:c>
    </x:row>
    <x:row r="3057" ht="34" customHeight="1">
      <x:c r="A3057" s="4" t="str">
        <x:v>RS-03056</x:v>
      </x:c>
      <x:c r="B3057" s="8" t="n">
        <x:v>45477</x:v>
      </x:c>
      <x:c r="C3057" s="4" t="str">
        <x:v>PRJ-016</x:v>
      </x:c>
      <x:c r="D3057" s="4" t="str">
        <x:v>Villa</x:v>
      </x:c>
      <x:c r="E3057" s="4" t="str">
        <x:v>Enquiry</x:v>
      </x:c>
      <x:c r="F3057" s="4" t="str">
        <x:v>CUS-03056</x:v>
      </x:c>
      <x:c r="G3057" s="4" t="str">
        <x:v>UNIT-03056</x:v>
      </x:c>
      <x:c r="H3057" s="9" t="n">
        <x:v>22900000</x:v>
      </x:c>
      <x:c r="I3057" s="10" t="n">
        <x:v>0.08</x:v>
      </x:c>
      <x:c r="J3057" s="11" t="n">
        <x:v>7</x:v>
      </x:c>
      <x:c r="K3057" s="11" t="n">
        <x:v>10</x:v>
      </x:c>
      <x:c r="L3057" s="11" t="n">
        <x:v>0</x:v>
      </x:c>
      <x:c r="M3057" s="9" t="n">
        <x:f>ROUND(H3057*(1-I3057),2)</x:f>
        <x:v>21068000</x:v>
      </x:c>
      <x:c r="N3057" s="4" t="str">
        <x:v>Sales head</x:v>
      </x:c>
      <x:c r="O3057" s="4"/>
      <x:c r="P3057" s="9" t="n">
        <x:v>0</x:v>
      </x:c>
      <x:c r="Q3057" s="11" t="n">
        <x:v>0</x:v>
      </x:c>
      <x:c r="R3057" s="8" t="n">
        <x:v>45537</x:v>
      </x:c>
      <x:c r="S3057" s="4" t="str">
        <x:v>Retained</x:v>
      </x:c>
      <x:c r="T3057" s="10" t="n">
        <x:v>0.226277</x:v>
      </x:c>
      <x:c r="U3057" s="4" t="str">
        <x:v>Excluded / unlabelled</x:v>
      </x:c>
    </x:row>
    <x:row r="3058" ht="34" customHeight="1">
      <x:c r="A3058" s="4" t="str">
        <x:v>RS-03057</x:v>
      </x:c>
      <x:c r="B3058" s="8" t="n">
        <x:v>45478</x:v>
      </x:c>
      <x:c r="C3058" s="4" t="str">
        <x:v>PRJ-017</x:v>
      </x:c>
      <x:c r="D3058" s="4" t="str">
        <x:v>Retail</x:v>
      </x:c>
      <x:c r="E3058" s="4" t="str">
        <x:v>Agreement signed</x:v>
      </x:c>
      <x:c r="F3058" s="4" t="str">
        <x:v>CUS-03057</x:v>
      </x:c>
      <x:c r="G3058" s="4" t="str">
        <x:v>UNIT-03057</x:v>
      </x:c>
      <x:c r="H3058" s="9" t="n">
        <x:v>20600000</x:v>
      </x:c>
      <x:c r="I3058" s="10" t="n">
        <x:v>0</x:v>
      </x:c>
      <x:c r="J3058" s="11" t="n">
        <x:v>10</x:v>
      </x:c>
      <x:c r="K3058" s="11" t="n">
        <x:v>9</x:v>
      </x:c>
      <x:c r="L3058" s="11" t="n">
        <x:v>0</x:v>
      </x:c>
      <x:c r="M3058" s="9" t="n">
        <x:f>ROUND(H3058*(1-I3058),2)</x:f>
        <x:v>20600000</x:v>
      </x:c>
      <x:c r="N3058" s="4" t="str">
        <x:v>Sales manager</x:v>
      </x:c>
      <x:c r="O3058" s="4" t="str">
        <x:v>BOOK-03057</x:v>
      </x:c>
      <x:c r="P3058" s="9" t="n">
        <x:v>20600000</x:v>
      </x:c>
      <x:c r="Q3058" s="11" t="n">
        <x:v>0</x:v>
      </x:c>
      <x:c r="R3058" s="8" t="n">
        <x:v>45538</x:v>
      </x:c>
      <x:c r="S3058" s="4" t="str">
        <x:v>Retained</x:v>
      </x:c>
      <x:c r="T3058" s="10" t="n">
        <x:v>0.305556</x:v>
      </x:c>
      <x:c r="U3058" s="4" t="str">
        <x:v>Excluded / unlabelled</x:v>
      </x:c>
    </x:row>
    <x:row r="3059" ht="34" customHeight="1">
      <x:c r="A3059" s="4" t="str">
        <x:v>RS-03058</x:v>
      </x:c>
      <x:c r="B3059" s="8" t="n">
        <x:v>45479</x:v>
      </x:c>
      <x:c r="C3059" s="4" t="str">
        <x:v>PRJ-018</x:v>
      </x:c>
      <x:c r="D3059" s="4" t="str">
        <x:v>Apartment</x:v>
      </x:c>
      <x:c r="E3059" s="4" t="str">
        <x:v>Reserved</x:v>
      </x:c>
      <x:c r="F3059" s="4" t="str">
        <x:v>CUS-03058</x:v>
      </x:c>
      <x:c r="G3059" s="4" t="str">
        <x:v>UNIT-03058</x:v>
      </x:c>
      <x:c r="H3059" s="9" t="n">
        <x:v>23100000</x:v>
      </x:c>
      <x:c r="I3059" s="10" t="n">
        <x:v>0.02</x:v>
      </x:c>
      <x:c r="J3059" s="11" t="n">
        <x:v>2</x:v>
      </x:c>
      <x:c r="K3059" s="11" t="n">
        <x:v>2</x:v>
      </x:c>
      <x:c r="L3059" s="11" t="n">
        <x:v>1</x:v>
      </x:c>
      <x:c r="M3059" s="9" t="n">
        <x:f>ROUND(H3059*(1-I3059),2)</x:f>
        <x:v>22638000</x:v>
      </x:c>
      <x:c r="N3059" s="4" t="str">
        <x:v>Sales manager</x:v>
      </x:c>
      <x:c r="O3059" s="4"/>
      <x:c r="P3059" s="9" t="n">
        <x:v>0</x:v>
      </x:c>
      <x:c r="Q3059" s="11" t="n">
        <x:v>0</x:v>
      </x:c>
      <x:c r="R3059" s="8" t="n">
        <x:v>45539</x:v>
      </x:c>
      <x:c r="S3059" s="4" t="str">
        <x:v>Retained</x:v>
      </x:c>
      <x:c r="T3059" s="10" t="n">
        <x:v>0.171717</x:v>
      </x:c>
      <x:c r="U3059" s="4" t="str">
        <x:v>Excluded / unlabelled</x:v>
      </x:c>
    </x:row>
    <x:row r="3060" ht="34" customHeight="1">
      <x:c r="A3060" s="4" t="str">
        <x:v>RS-03059</x:v>
      </x:c>
      <x:c r="B3060" s="8" t="n">
        <x:v>45480</x:v>
      </x:c>
      <x:c r="C3060" s="4" t="str">
        <x:v>PRJ-019</x:v>
      </x:c>
      <x:c r="D3060" s="4" t="str">
        <x:v>Apartment</x:v>
      </x:c>
      <x:c r="E3060" s="4" t="str">
        <x:v>Booked</x:v>
      </x:c>
      <x:c r="F3060" s="4" t="str">
        <x:v>CUS-03059</x:v>
      </x:c>
      <x:c r="G3060" s="4" t="str">
        <x:v>UNIT-03059</x:v>
      </x:c>
      <x:c r="H3060" s="9" t="n">
        <x:v>8100000</x:v>
      </x:c>
      <x:c r="I3060" s="10" t="n">
        <x:v>0.07</x:v>
      </x:c>
      <x:c r="J3060" s="11" t="n">
        <x:v>7</x:v>
      </x:c>
      <x:c r="K3060" s="11" t="n">
        <x:v>0</x:v>
      </x:c>
      <x:c r="L3060" s="11" t="n">
        <x:v>1</x:v>
      </x:c>
      <x:c r="M3060" s="9" t="n">
        <x:f>ROUND(H3060*(1-I3060),2)</x:f>
        <x:v>7533000</x:v>
      </x:c>
      <x:c r="N3060" s="4" t="str">
        <x:v>Sales manager</x:v>
      </x:c>
      <x:c r="O3060" s="4" t="str">
        <x:v>BOOK-03059</x:v>
      </x:c>
      <x:c r="P3060" s="9" t="n">
        <x:v>3766500</x:v>
      </x:c>
      <x:c r="Q3060" s="11" t="n">
        <x:v>0</x:v>
      </x:c>
      <x:c r="R3060" s="8" t="n">
        <x:v>45540</x:v>
      </x:c>
      <x:c r="S3060" s="4" t="str">
        <x:v>Retained</x:v>
      </x:c>
      <x:c r="T3060" s="10" t="n">
        <x:v>0.291946</x:v>
      </x:c>
      <x:c r="U3060" s="4" t="str">
        <x:v>Excluded / unlabelled</x:v>
      </x:c>
    </x:row>
    <x:row r="3061" ht="34" customHeight="1">
      <x:c r="A3061" s="4" t="str">
        <x:v>RS-03060</x:v>
      </x:c>
      <x:c r="B3061" s="8" t="n">
        <x:v>45481</x:v>
      </x:c>
      <x:c r="C3061" s="4" t="str">
        <x:v>PRJ-020</x:v>
      </x:c>
      <x:c r="D3061" s="4" t="str">
        <x:v>Office</x:v>
      </x:c>
      <x:c r="E3061" s="4" t="str">
        <x:v>Booked</x:v>
      </x:c>
      <x:c r="F3061" s="4" t="str">
        <x:v>CUS-03060</x:v>
      </x:c>
      <x:c r="G3061" s="4" t="str">
        <x:v>UNIT-03060</x:v>
      </x:c>
      <x:c r="H3061" s="9" t="n">
        <x:v>22900000</x:v>
      </x:c>
      <x:c r="I3061" s="10" t="n">
        <x:v>0.06</x:v>
      </x:c>
      <x:c r="J3061" s="11" t="n">
        <x:v>10</x:v>
      </x:c>
      <x:c r="K3061" s="11" t="n">
        <x:v>10</x:v>
      </x:c>
      <x:c r="L3061" s="11" t="n">
        <x:v>0</x:v>
      </x:c>
      <x:c r="M3061" s="9" t="n">
        <x:f>ROUND(H3061*(1-I3061),2)</x:f>
        <x:v>21526000</x:v>
      </x:c>
      <x:c r="N3061" s="4" t="str">
        <x:v>Sales manager</x:v>
      </x:c>
      <x:c r="O3061" s="4" t="str">
        <x:v>BOOK-03060</x:v>
      </x:c>
      <x:c r="P3061" s="9" t="n">
        <x:v>21526000</x:v>
      </x:c>
      <x:c r="Q3061" s="11" t="n">
        <x:v>0</x:v>
      </x:c>
      <x:c r="R3061" s="8" t="n">
        <x:v>45541</x:v>
      </x:c>
      <x:c r="S3061" s="4" t="str">
        <x:v>Retained</x:v>
      </x:c>
      <x:c r="T3061" s="10" t="n">
        <x:v>0.310195</x:v>
      </x:c>
      <x:c r="U3061" s="4" t="str">
        <x:v>Excluded / unlabelled</x:v>
      </x:c>
    </x:row>
    <x:row r="3062" ht="34" customHeight="1">
      <x:c r="A3062" s="4" t="str">
        <x:v>RS-03061</x:v>
      </x:c>
      <x:c r="B3062" s="8" t="n">
        <x:v>45482</x:v>
      </x:c>
      <x:c r="C3062" s="4" t="str">
        <x:v>PRJ-001</x:v>
      </x:c>
      <x:c r="D3062" s="4" t="str">
        <x:v>Villa</x:v>
      </x:c>
      <x:c r="E3062" s="4" t="str">
        <x:v>Reserved</x:v>
      </x:c>
      <x:c r="F3062" s="4" t="str">
        <x:v>CUS-03061</x:v>
      </x:c>
      <x:c r="G3062" s="4" t="str">
        <x:v>UNIT-03061</x:v>
      </x:c>
      <x:c r="H3062" s="9" t="n">
        <x:v>18300000</x:v>
      </x:c>
      <x:c r="I3062" s="10" t="n">
        <x:v>0.02</x:v>
      </x:c>
      <x:c r="J3062" s="11" t="n">
        <x:v>4</x:v>
      </x:c>
      <x:c r="K3062" s="11" t="n">
        <x:v>7</x:v>
      </x:c>
      <x:c r="L3062" s="11" t="n">
        <x:v>1</x:v>
      </x:c>
      <x:c r="M3062" s="9" t="n">
        <x:f>ROUND(H3062*(1-I3062),2)</x:f>
        <x:v>17934000</x:v>
      </x:c>
      <x:c r="N3062" s="4" t="str">
        <x:v>Sales manager</x:v>
      </x:c>
      <x:c r="O3062" s="4"/>
      <x:c r="P3062" s="9" t="n">
        <x:v>0</x:v>
      </x:c>
      <x:c r="Q3062" s="11" t="n">
        <x:v>0</x:v>
      </x:c>
      <x:c r="R3062" s="8" t="n">
        <x:v>45542</x:v>
      </x:c>
      <x:c r="S3062" s="4" t="str">
        <x:v>Retained</x:v>
      </x:c>
      <x:c r="T3062" s="10" t="n">
        <x:v>0.145299</x:v>
      </x:c>
      <x:c r="U3062" s="4" t="str">
        <x:v>Excluded / unlabelled</x:v>
      </x:c>
    </x:row>
    <x:row r="3063" ht="34" customHeight="1">
      <x:c r="A3063" s="4" t="str">
        <x:v>RS-03062</x:v>
      </x:c>
      <x:c r="B3063" s="8" t="n">
        <x:v>45483</x:v>
      </x:c>
      <x:c r="C3063" s="4" t="str">
        <x:v>PRJ-002</x:v>
      </x:c>
      <x:c r="D3063" s="4" t="str">
        <x:v>Retail</x:v>
      </x:c>
      <x:c r="E3063" s="4" t="str">
        <x:v>Cancelled</x:v>
      </x:c>
      <x:c r="F3063" s="4" t="str">
        <x:v>CUS-03062</x:v>
      </x:c>
      <x:c r="G3063" s="4" t="str">
        <x:v>UNIT-03062</x:v>
      </x:c>
      <x:c r="H3063" s="9" t="n">
        <x:v>5500000</x:v>
      </x:c>
      <x:c r="I3063" s="10" t="n">
        <x:v>0.1</x:v>
      </x:c>
      <x:c r="J3063" s="11" t="n">
        <x:v>4</x:v>
      </x:c>
      <x:c r="K3063" s="11" t="n">
        <x:v>4</x:v>
      </x:c>
      <x:c r="L3063" s="11" t="n">
        <x:v>1</x:v>
      </x:c>
      <x:c r="M3063" s="9" t="n">
        <x:f>ROUND(H3063*(1-I3063),2)</x:f>
        <x:v>4950000</x:v>
      </x:c>
      <x:c r="N3063" s="4" t="str">
        <x:v>Sales head</x:v>
      </x:c>
      <x:c r="O3063" s="4"/>
      <x:c r="P3063" s="9" t="n">
        <x:v>0</x:v>
      </x:c>
      <x:c r="Q3063" s="11" t="n">
        <x:v>1</x:v>
      </x:c>
      <x:c r="R3063" s="8" t="n">
        <x:v>45543</x:v>
      </x:c>
      <x:c r="S3063" s="4" t="str">
        <x:v>Lost / cancelled</x:v>
      </x:c>
      <x:c r="T3063" s="10" t="n">
        <x:v>0.291946</x:v>
      </x:c>
      <x:c r="U3063" s="4" t="str">
        <x:v>Excluded / unlabelled</x:v>
      </x:c>
    </x:row>
    <x:row r="3064" ht="34" customHeight="1">
      <x:c r="A3064" s="4" t="str">
        <x:v>RS-03063</x:v>
      </x:c>
      <x:c r="B3064" s="8" t="n">
        <x:v>45484</x:v>
      </x:c>
      <x:c r="C3064" s="4" t="str">
        <x:v>PRJ-003</x:v>
      </x:c>
      <x:c r="D3064" s="4" t="str">
        <x:v>Villa</x:v>
      </x:c>
      <x:c r="E3064" s="4" t="str">
        <x:v>Agreement signed</x:v>
      </x:c>
      <x:c r="F3064" s="4" t="str">
        <x:v>CUS-03063</x:v>
      </x:c>
      <x:c r="G3064" s="4" t="str">
        <x:v>UNIT-03063</x:v>
      </x:c>
      <x:c r="H3064" s="9" t="n">
        <x:v>16400000</x:v>
      </x:c>
      <x:c r="I3064" s="10" t="n">
        <x:v>0.02</x:v>
      </x:c>
      <x:c r="J3064" s="11" t="n">
        <x:v>12</x:v>
      </x:c>
      <x:c r="K3064" s="11" t="n">
        <x:v>3</x:v>
      </x:c>
      <x:c r="L3064" s="11" t="n">
        <x:v>0</x:v>
      </x:c>
      <x:c r="M3064" s="9" t="n">
        <x:f>ROUND(H3064*(1-I3064),2)</x:f>
        <x:v>16072000</x:v>
      </x:c>
      <x:c r="N3064" s="4" t="str">
        <x:v>Sales manager</x:v>
      </x:c>
      <x:c r="O3064" s="4" t="str">
        <x:v>BOOK-03063</x:v>
      </x:c>
      <x:c r="P3064" s="9" t="n">
        <x:v>16072000</x:v>
      </x:c>
      <x:c r="Q3064" s="11" t="n">
        <x:v>0</x:v>
      </x:c>
      <x:c r="R3064" s="8" t="n">
        <x:v>45544</x:v>
      </x:c>
      <x:c r="S3064" s="4" t="str">
        <x:v>Retained</x:v>
      </x:c>
      <x:c r="T3064" s="10" t="n">
        <x:v>0.305556</x:v>
      </x:c>
      <x:c r="U3064" s="4" t="str">
        <x:v>Excluded / unlabelled</x:v>
      </x:c>
    </x:row>
    <x:row r="3065" ht="34" customHeight="1">
      <x:c r="A3065" s="4" t="str">
        <x:v>RS-03064</x:v>
      </x:c>
      <x:c r="B3065" s="8" t="n">
        <x:v>45485</x:v>
      </x:c>
      <x:c r="C3065" s="4" t="str">
        <x:v>PRJ-004</x:v>
      </x:c>
      <x:c r="D3065" s="4" t="str">
        <x:v>Apartment</x:v>
      </x:c>
      <x:c r="E3065" s="4" t="str">
        <x:v>Handed over</x:v>
      </x:c>
      <x:c r="F3065" s="4" t="str">
        <x:v>CUS-03064</x:v>
      </x:c>
      <x:c r="G3065" s="4" t="str">
        <x:v>UNIT-03064</x:v>
      </x:c>
      <x:c r="H3065" s="9" t="n">
        <x:v>24600000</x:v>
      </x:c>
      <x:c r="I3065" s="10" t="n">
        <x:v>0.04</x:v>
      </x:c>
      <x:c r="J3065" s="11" t="n">
        <x:v>5</x:v>
      </x:c>
      <x:c r="K3065" s="11" t="n">
        <x:v>1</x:v>
      </x:c>
      <x:c r="L3065" s="11" t="n">
        <x:v>0</x:v>
      </x:c>
      <x:c r="M3065" s="9" t="n">
        <x:f>ROUND(H3065*(1-I3065),2)</x:f>
        <x:v>23616000</x:v>
      </x:c>
      <x:c r="N3065" s="4" t="str">
        <x:v>Sales manager</x:v>
      </x:c>
      <x:c r="O3065" s="4" t="str">
        <x:v>BOOK-03064</x:v>
      </x:c>
      <x:c r="P3065" s="9" t="n">
        <x:v>2361600</x:v>
      </x:c>
      <x:c r="Q3065" s="11" t="n">
        <x:v>0</x:v>
      </x:c>
      <x:c r="R3065" s="8" t="n">
        <x:v>45545</x:v>
      </x:c>
      <x:c r="S3065" s="4" t="str">
        <x:v>Retained</x:v>
      </x:c>
      <x:c r="T3065" s="10" t="n">
        <x:v>0.226277</x:v>
      </x:c>
      <x:c r="U3065" s="4" t="str">
        <x:v>Excluded / unlabelled</x:v>
      </x:c>
    </x:row>
    <x:row r="3066" ht="34" customHeight="1">
      <x:c r="A3066" s="4" t="str">
        <x:v>RS-03065</x:v>
      </x:c>
      <x:c r="B3066" s="8" t="n">
        <x:v>45486</x:v>
      </x:c>
      <x:c r="C3066" s="4" t="str">
        <x:v>PRJ-005</x:v>
      </x:c>
      <x:c r="D3066" s="4" t="str">
        <x:v>Retail</x:v>
      </x:c>
      <x:c r="E3066" s="4" t="str">
        <x:v>Handed over</x:v>
      </x:c>
      <x:c r="F3066" s="4" t="str">
        <x:v>CUS-03065</x:v>
      </x:c>
      <x:c r="G3066" s="4" t="str">
        <x:v>UNIT-03065</x:v>
      </x:c>
      <x:c r="H3066" s="9" t="n">
        <x:v>3700000</x:v>
      </x:c>
      <x:c r="I3066" s="10" t="n">
        <x:v>0</x:v>
      </x:c>
      <x:c r="J3066" s="11" t="n">
        <x:v>9</x:v>
      </x:c>
      <x:c r="K3066" s="11" t="n">
        <x:v>6</x:v>
      </x:c>
      <x:c r="L3066" s="11" t="n">
        <x:v>1</x:v>
      </x:c>
      <x:c r="M3066" s="9" t="n">
        <x:f>ROUND(H3066*(1-I3066),2)</x:f>
        <x:v>3700000</x:v>
      </x:c>
      <x:c r="N3066" s="4" t="str">
        <x:v>Sales manager</x:v>
      </x:c>
      <x:c r="O3066" s="4" t="str">
        <x:v>BOOK-03065</x:v>
      </x:c>
      <x:c r="P3066" s="9" t="n">
        <x:v>925000</x:v>
      </x:c>
      <x:c r="Q3066" s="11" t="n">
        <x:v>0</x:v>
      </x:c>
      <x:c r="R3066" s="8" t="n">
        <x:v>45546</x:v>
      </x:c>
      <x:c r="S3066" s="4" t="str">
        <x:v>Retained</x:v>
      </x:c>
      <x:c r="T3066" s="10" t="n">
        <x:v>0.254545</x:v>
      </x:c>
      <x:c r="U3066" s="4" t="str">
        <x:v>Excluded / unlabelled</x:v>
      </x:c>
    </x:row>
    <x:row r="3067" ht="34" customHeight="1">
      <x:c r="A3067" s="4" t="str">
        <x:v>RS-03066</x:v>
      </x:c>
      <x:c r="B3067" s="8" t="n">
        <x:v>45487</x:v>
      </x:c>
      <x:c r="C3067" s="4" t="str">
        <x:v>PRJ-006</x:v>
      </x:c>
      <x:c r="D3067" s="4" t="str">
        <x:v>Villa</x:v>
      </x:c>
      <x:c r="E3067" s="4" t="str">
        <x:v>Booked</x:v>
      </x:c>
      <x:c r="F3067" s="4" t="str">
        <x:v>CUS-03066</x:v>
      </x:c>
      <x:c r="G3067" s="4" t="str">
        <x:v>UNIT-03066</x:v>
      </x:c>
      <x:c r="H3067" s="9" t="n">
        <x:v>13400000</x:v>
      </x:c>
      <x:c r="I3067" s="10" t="n">
        <x:v>0.04</x:v>
      </x:c>
      <x:c r="J3067" s="11" t="n">
        <x:v>6</x:v>
      </x:c>
      <x:c r="K3067" s="11" t="n">
        <x:v>4</x:v>
      </x:c>
      <x:c r="L3067" s="11" t="n">
        <x:v>0</x:v>
      </x:c>
      <x:c r="M3067" s="9" t="n">
        <x:f>ROUND(H3067*(1-I3067),2)</x:f>
        <x:v>12864000</x:v>
      </x:c>
      <x:c r="N3067" s="4" t="str">
        <x:v>Sales manager</x:v>
      </x:c>
      <x:c r="O3067" s="4" t="str">
        <x:v>BOOK-03066</x:v>
      </x:c>
      <x:c r="P3067" s="9" t="n">
        <x:v>6432000</x:v>
      </x:c>
      <x:c r="Q3067" s="11" t="n">
        <x:v>0</x:v>
      </x:c>
      <x:c r="R3067" s="8" t="n">
        <x:v>45547</x:v>
      </x:c>
      <x:c r="S3067" s="4" t="str">
        <x:v>Retained</x:v>
      </x:c>
      <x:c r="T3067" s="10" t="n">
        <x:v>0.226277</x:v>
      </x:c>
      <x:c r="U3067" s="4" t="str">
        <x:v>Excluded / unlabelled</x:v>
      </x:c>
    </x:row>
    <x:row r="3068" ht="34" customHeight="1">
      <x:c r="A3068" s="4" t="str">
        <x:v>RS-03067</x:v>
      </x:c>
      <x:c r="B3068" s="8" t="n">
        <x:v>45488</x:v>
      </x:c>
      <x:c r="C3068" s="4" t="str">
        <x:v>PRJ-007</x:v>
      </x:c>
      <x:c r="D3068" s="4" t="str">
        <x:v>Retail</x:v>
      </x:c>
      <x:c r="E3068" s="4" t="str">
        <x:v>Enquiry</x:v>
      </x:c>
      <x:c r="F3068" s="4" t="str">
        <x:v>CUS-03067</x:v>
      </x:c>
      <x:c r="G3068" s="4" t="str">
        <x:v>UNIT-03067</x:v>
      </x:c>
      <x:c r="H3068" s="9" t="n">
        <x:v>5600000</x:v>
      </x:c>
      <x:c r="I3068" s="10" t="n">
        <x:v>0.11</x:v>
      </x:c>
      <x:c r="J3068" s="11" t="n">
        <x:v>10</x:v>
      </x:c>
      <x:c r="K3068" s="11" t="n">
        <x:v>6</x:v>
      </x:c>
      <x:c r="L3068" s="11" t="n">
        <x:v>0</x:v>
      </x:c>
      <x:c r="M3068" s="9" t="n">
        <x:f>ROUND(H3068*(1-I3068),2)</x:f>
        <x:v>4984000</x:v>
      </x:c>
      <x:c r="N3068" s="4" t="str">
        <x:v>Sales head</x:v>
      </x:c>
      <x:c r="O3068" s="4"/>
      <x:c r="P3068" s="9" t="n">
        <x:v>0</x:v>
      </x:c>
      <x:c r="Q3068" s="11" t="n">
        <x:v>0</x:v>
      </x:c>
      <x:c r="R3068" s="8" t="n">
        <x:v>45548</x:v>
      </x:c>
      <x:c r="S3068" s="4" t="str">
        <x:v>Retained</x:v>
      </x:c>
      <x:c r="T3068" s="10" t="n">
        <x:v>0.310195</x:v>
      </x:c>
      <x:c r="U3068" s="4" t="str">
        <x:v>Excluded / unlabelled</x:v>
      </x:c>
    </x:row>
    <x:row r="3069" ht="34" customHeight="1">
      <x:c r="A3069" s="4" t="str">
        <x:v>RS-03068</x:v>
      </x:c>
      <x:c r="B3069" s="8" t="n">
        <x:v>45489</x:v>
      </x:c>
      <x:c r="C3069" s="4" t="str">
        <x:v>PRJ-008</x:v>
      </x:c>
      <x:c r="D3069" s="4" t="str">
        <x:v>Apartment</x:v>
      </x:c>
      <x:c r="E3069" s="4" t="str">
        <x:v>Handed over</x:v>
      </x:c>
      <x:c r="F3069" s="4" t="str">
        <x:v>CUS-03068</x:v>
      </x:c>
      <x:c r="G3069" s="4" t="str">
        <x:v>UNIT-03068</x:v>
      </x:c>
      <x:c r="H3069" s="9" t="n">
        <x:v>12800000</x:v>
      </x:c>
      <x:c r="I3069" s="10" t="n">
        <x:v>0.02</x:v>
      </x:c>
      <x:c r="J3069" s="11" t="n">
        <x:v>9</x:v>
      </x:c>
      <x:c r="K3069" s="11" t="n">
        <x:v>0</x:v>
      </x:c>
      <x:c r="L3069" s="11" t="n">
        <x:v>0</x:v>
      </x:c>
      <x:c r="M3069" s="9" t="n">
        <x:f>ROUND(H3069*(1-I3069),2)</x:f>
        <x:v>12544000</x:v>
      </x:c>
      <x:c r="N3069" s="4" t="str">
        <x:v>Sales manager</x:v>
      </x:c>
      <x:c r="O3069" s="4" t="str">
        <x:v>BOOK-03068</x:v>
      </x:c>
      <x:c r="P3069" s="9" t="n">
        <x:v>1254400</x:v>
      </x:c>
      <x:c r="Q3069" s="11" t="n">
        <x:v>0</x:v>
      </x:c>
      <x:c r="R3069" s="8" t="n">
        <x:v>45549</x:v>
      </x:c>
      <x:c r="S3069" s="4" t="str">
        <x:v>Retained</x:v>
      </x:c>
      <x:c r="T3069" s="10" t="n">
        <x:v>0.305556</x:v>
      </x:c>
      <x:c r="U3069" s="4" t="str">
        <x:v>Excluded / unlabelled</x:v>
      </x:c>
    </x:row>
    <x:row r="3070" ht="34" customHeight="1">
      <x:c r="A3070" s="4" t="str">
        <x:v>RS-03069</x:v>
      </x:c>
      <x:c r="B3070" s="8" t="n">
        <x:v>45490</x:v>
      </x:c>
      <x:c r="C3070" s="4" t="str">
        <x:v>PRJ-009</x:v>
      </x:c>
      <x:c r="D3070" s="4" t="str">
        <x:v>Villa</x:v>
      </x:c>
      <x:c r="E3070" s="4" t="str">
        <x:v>Enquiry</x:v>
      </x:c>
      <x:c r="F3070" s="4" t="str">
        <x:v>CUS-03069</x:v>
      </x:c>
      <x:c r="G3070" s="4" t="str">
        <x:v>UNIT-03069</x:v>
      </x:c>
      <x:c r="H3070" s="9" t="n">
        <x:v>14300000</x:v>
      </x:c>
      <x:c r="I3070" s="10" t="n">
        <x:v>0.01</x:v>
      </x:c>
      <x:c r="J3070" s="11" t="n">
        <x:v>5</x:v>
      </x:c>
      <x:c r="K3070" s="11" t="n">
        <x:v>2</x:v>
      </x:c>
      <x:c r="L3070" s="11" t="n">
        <x:v>1</x:v>
      </x:c>
      <x:c r="M3070" s="9" t="n">
        <x:f>ROUND(H3070*(1-I3070),2)</x:f>
        <x:v>14157000</x:v>
      </x:c>
      <x:c r="N3070" s="4" t="str">
        <x:v>Sales manager</x:v>
      </x:c>
      <x:c r="O3070" s="4"/>
      <x:c r="P3070" s="9" t="n">
        <x:v>0</x:v>
      </x:c>
      <x:c r="Q3070" s="11" t="n">
        <x:v>0</x:v>
      </x:c>
      <x:c r="R3070" s="8" t="n">
        <x:v>45550</x:v>
      </x:c>
      <x:c r="S3070" s="4" t="str">
        <x:v>Retained</x:v>
      </x:c>
      <x:c r="T3070" s="10" t="n">
        <x:v>0.298969</x:v>
      </x:c>
      <x:c r="U3070" s="4" t="str">
        <x:v>Excluded / unlabelled</x:v>
      </x:c>
    </x:row>
    <x:row r="3071" ht="34" customHeight="1">
      <x:c r="A3071" s="4" t="str">
        <x:v>RS-03070</x:v>
      </x:c>
      <x:c r="B3071" s="8" t="n">
        <x:v>45491</x:v>
      </x:c>
      <x:c r="C3071" s="4" t="str">
        <x:v>PRJ-010</x:v>
      </x:c>
      <x:c r="D3071" s="4" t="str">
        <x:v>Retail</x:v>
      </x:c>
      <x:c r="E3071" s="4" t="str">
        <x:v>Reserved</x:v>
      </x:c>
      <x:c r="F3071" s="4" t="str">
        <x:v>CUS-03070</x:v>
      </x:c>
      <x:c r="G3071" s="4" t="str">
        <x:v>UNIT-03070</x:v>
      </x:c>
      <x:c r="H3071" s="9" t="n">
        <x:v>10500000</x:v>
      </x:c>
      <x:c r="I3071" s="10" t="n">
        <x:v>0.05</x:v>
      </x:c>
      <x:c r="J3071" s="11" t="n">
        <x:v>5</x:v>
      </x:c>
      <x:c r="K3071" s="11" t="n">
        <x:v>10</x:v>
      </x:c>
      <x:c r="L3071" s="11" t="n">
        <x:v>1</x:v>
      </x:c>
      <x:c r="M3071" s="9" t="n">
        <x:f>ROUND(H3071*(1-I3071),2)</x:f>
        <x:v>9975000</x:v>
      </x:c>
      <x:c r="N3071" s="4" t="str">
        <x:v>Sales manager</x:v>
      </x:c>
      <x:c r="O3071" s="4"/>
      <x:c r="P3071" s="9" t="n">
        <x:v>0</x:v>
      </x:c>
      <x:c r="Q3071" s="11" t="n">
        <x:v>0</x:v>
      </x:c>
      <x:c r="R3071" s="8" t="n">
        <x:v>45551</x:v>
      </x:c>
      <x:c r="S3071" s="4" t="str">
        <x:v>Retained</x:v>
      </x:c>
      <x:c r="T3071" s="10" t="n">
        <x:v>0.291946</x:v>
      </x:c>
      <x:c r="U3071" s="4" t="str">
        <x:v>Excluded / unlabelled</x:v>
      </x:c>
    </x:row>
    <x:row r="3072" ht="34" customHeight="1">
      <x:c r="A3072" s="4" t="str">
        <x:v>RS-03071</x:v>
      </x:c>
      <x:c r="B3072" s="8" t="n">
        <x:v>45492</x:v>
      </x:c>
      <x:c r="C3072" s="4" t="str">
        <x:v>PRJ-011</x:v>
      </x:c>
      <x:c r="D3072" s="4" t="str">
        <x:v>Retail</x:v>
      </x:c>
      <x:c r="E3072" s="4" t="str">
        <x:v>Reserved</x:v>
      </x:c>
      <x:c r="F3072" s="4" t="str">
        <x:v>CUS-03071</x:v>
      </x:c>
      <x:c r="G3072" s="4" t="str">
        <x:v>UNIT-03071</x:v>
      </x:c>
      <x:c r="H3072" s="9" t="n">
        <x:v>12500000</x:v>
      </x:c>
      <x:c r="I3072" s="10" t="n">
        <x:v>0.02</x:v>
      </x:c>
      <x:c r="J3072" s="11" t="n">
        <x:v>3</x:v>
      </x:c>
      <x:c r="K3072" s="11" t="n">
        <x:v>10</x:v>
      </x:c>
      <x:c r="L3072" s="11" t="n">
        <x:v>0</x:v>
      </x:c>
      <x:c r="M3072" s="9" t="n">
        <x:f>ROUND(H3072*(1-I3072),2)</x:f>
        <x:v>12250000</x:v>
      </x:c>
      <x:c r="N3072" s="4" t="str">
        <x:v>Sales manager</x:v>
      </x:c>
      <x:c r="O3072" s="4"/>
      <x:c r="P3072" s="9" t="n">
        <x:v>0</x:v>
      </x:c>
      <x:c r="Q3072" s="11" t="n">
        <x:v>0</x:v>
      </x:c>
      <x:c r="R3072" s="8" t="n">
        <x:v>45552</x:v>
      </x:c>
      <x:c r="S3072" s="4" t="str">
        <x:v>Retained</x:v>
      </x:c>
      <x:c r="T3072" s="10" t="n">
        <x:v>0.171717</x:v>
      </x:c>
      <x:c r="U3072" s="4" t="str">
        <x:v>Excluded / unlabelled</x:v>
      </x:c>
    </x:row>
    <x:row r="3073" ht="34" customHeight="1">
      <x:c r="A3073" s="4" t="str">
        <x:v>RS-03072</x:v>
      </x:c>
      <x:c r="B3073" s="8" t="n">
        <x:v>45493</x:v>
      </x:c>
      <x:c r="C3073" s="4" t="str">
        <x:v>PRJ-012</x:v>
      </x:c>
      <x:c r="D3073" s="4" t="str">
        <x:v>Office</x:v>
      </x:c>
      <x:c r="E3073" s="4" t="str">
        <x:v>Enquiry</x:v>
      </x:c>
      <x:c r="F3073" s="4" t="str">
        <x:v>CUS-03072</x:v>
      </x:c>
      <x:c r="G3073" s="4" t="str">
        <x:v>UNIT-03072</x:v>
      </x:c>
      <x:c r="H3073" s="9" t="n">
        <x:v>24900000</x:v>
      </x:c>
      <x:c r="I3073" s="10" t="n">
        <x:v>0.05</x:v>
      </x:c>
      <x:c r="J3073" s="11" t="n">
        <x:v>1</x:v>
      </x:c>
      <x:c r="K3073" s="11" t="n">
        <x:v>9</x:v>
      </x:c>
      <x:c r="L3073" s="11" t="n">
        <x:v>0</x:v>
      </x:c>
      <x:c r="M3073" s="9" t="n">
        <x:f>ROUND(H3073*(1-I3073),2)</x:f>
        <x:v>23655000</x:v>
      </x:c>
      <x:c r="N3073" s="4" t="str">
        <x:v>Sales manager</x:v>
      </x:c>
      <x:c r="O3073" s="4"/>
      <x:c r="P3073" s="9" t="n">
        <x:v>0</x:v>
      </x:c>
      <x:c r="Q3073" s="11" t="n">
        <x:v>0</x:v>
      </x:c>
      <x:c r="R3073" s="8" t="n">
        <x:v>45553</x:v>
      </x:c>
      <x:c r="S3073" s="4" t="str">
        <x:v>Retained</x:v>
      </x:c>
      <x:c r="T3073" s="10" t="n">
        <x:v>0.204152</x:v>
      </x:c>
      <x:c r="U3073" s="4" t="str">
        <x:v>Excluded / unlabelled</x:v>
      </x:c>
    </x:row>
    <x:row r="3074" ht="34" customHeight="1">
      <x:c r="A3074" s="4" t="str">
        <x:v>RS-03073</x:v>
      </x:c>
      <x:c r="B3074" s="8" t="n">
        <x:v>45494</x:v>
      </x:c>
      <x:c r="C3074" s="4" t="str">
        <x:v>PRJ-013</x:v>
      </x:c>
      <x:c r="D3074" s="4" t="str">
        <x:v>Retail</x:v>
      </x:c>
      <x:c r="E3074" s="4" t="str">
        <x:v>Reserved</x:v>
      </x:c>
      <x:c r="F3074" s="4" t="str">
        <x:v>CUS-03073</x:v>
      </x:c>
      <x:c r="G3074" s="4" t="str">
        <x:v>UNIT-03073</x:v>
      </x:c>
      <x:c r="H3074" s="9" t="n">
        <x:v>14000000</x:v>
      </x:c>
      <x:c r="I3074" s="10" t="n">
        <x:v>0.04</x:v>
      </x:c>
      <x:c r="J3074" s="11" t="n">
        <x:v>6</x:v>
      </x:c>
      <x:c r="K3074" s="11" t="n">
        <x:v>0</x:v>
      </x:c>
      <x:c r="L3074" s="11" t="n">
        <x:v>1</x:v>
      </x:c>
      <x:c r="M3074" s="9" t="n">
        <x:f>ROUND(H3074*(1-I3074),2)</x:f>
        <x:v>13440000</x:v>
      </x:c>
      <x:c r="N3074" s="4" t="str">
        <x:v>Sales manager</x:v>
      </x:c>
      <x:c r="O3074" s="4"/>
      <x:c r="P3074" s="9" t="n">
        <x:v>0</x:v>
      </x:c>
      <x:c r="Q3074" s="11" t="n">
        <x:v>1</x:v>
      </x:c>
      <x:c r="R3074" s="8" t="n">
        <x:v>45554</x:v>
      </x:c>
      <x:c r="S3074" s="4" t="str">
        <x:v>Lost / cancelled</x:v>
      </x:c>
      <x:c r="T3074" s="10" t="n">
        <x:v>0.291946</x:v>
      </x:c>
      <x:c r="U3074" s="4" t="str">
        <x:v>Excluded / unlabelled</x:v>
      </x:c>
    </x:row>
    <x:row r="3075" ht="34" customHeight="1">
      <x:c r="A3075" s="4" t="str">
        <x:v>RS-03074</x:v>
      </x:c>
      <x:c r="B3075" s="8" t="n">
        <x:v>45495</x:v>
      </x:c>
      <x:c r="C3075" s="4" t="str">
        <x:v>PRJ-014</x:v>
      </x:c>
      <x:c r="D3075" s="4" t="str">
        <x:v>Apartment</x:v>
      </x:c>
      <x:c r="E3075" s="4" t="str">
        <x:v>Enquiry</x:v>
      </x:c>
      <x:c r="F3075" s="4" t="str">
        <x:v>CUS-03074</x:v>
      </x:c>
      <x:c r="G3075" s="4" t="str">
        <x:v>UNIT-03074</x:v>
      </x:c>
      <x:c r="H3075" s="9" t="n">
        <x:v>12500000</x:v>
      </x:c>
      <x:c r="I3075" s="10" t="n">
        <x:v>0.08</x:v>
      </x:c>
      <x:c r="J3075" s="11" t="n">
        <x:v>5</x:v>
      </x:c>
      <x:c r="K3075" s="11" t="n">
        <x:v>9</x:v>
      </x:c>
      <x:c r="L3075" s="11" t="n">
        <x:v>1</x:v>
      </x:c>
      <x:c r="M3075" s="9" t="n">
        <x:f>ROUND(H3075*(1-I3075),2)</x:f>
        <x:v>11500000</x:v>
      </x:c>
      <x:c r="N3075" s="4" t="str">
        <x:v>Sales head</x:v>
      </x:c>
      <x:c r="O3075" s="4"/>
      <x:c r="P3075" s="9" t="n">
        <x:v>0</x:v>
      </x:c>
      <x:c r="Q3075" s="11" t="n">
        <x:v>0</x:v>
      </x:c>
      <x:c r="R3075" s="8" t="n">
        <x:v>45555</x:v>
      </x:c>
      <x:c r="S3075" s="4" t="str">
        <x:v>Retained</x:v>
      </x:c>
      <x:c r="T3075" s="10" t="n">
        <x:v>0.291946</x:v>
      </x:c>
      <x:c r="U3075" s="4" t="str">
        <x:v>Excluded / unlabelled</x:v>
      </x:c>
    </x:row>
    <x:row r="3076" ht="34" customHeight="1">
      <x:c r="A3076" s="4" t="str">
        <x:v>RS-03075</x:v>
      </x:c>
      <x:c r="B3076" s="8" t="n">
        <x:v>45496</x:v>
      </x:c>
      <x:c r="C3076" s="4" t="str">
        <x:v>PRJ-015</x:v>
      </x:c>
      <x:c r="D3076" s="4" t="str">
        <x:v>Office</x:v>
      </x:c>
      <x:c r="E3076" s="4" t="str">
        <x:v>Reserved</x:v>
      </x:c>
      <x:c r="F3076" s="4" t="str">
        <x:v>CUS-03075</x:v>
      </x:c>
      <x:c r="G3076" s="4" t="str">
        <x:v>UNIT-03075</x:v>
      </x:c>
      <x:c r="H3076" s="9" t="n">
        <x:v>9200000</x:v>
      </x:c>
      <x:c r="I3076" s="10" t="n">
        <x:v>0.03</x:v>
      </x:c>
      <x:c r="J3076" s="11" t="n">
        <x:v>11</x:v>
      </x:c>
      <x:c r="K3076" s="11" t="n">
        <x:v>3</x:v>
      </x:c>
      <x:c r="L3076" s="11" t="n">
        <x:v>0</x:v>
      </x:c>
      <x:c r="M3076" s="9" t="n">
        <x:f>ROUND(H3076*(1-I3076),2)</x:f>
        <x:v>8924000</x:v>
      </x:c>
      <x:c r="N3076" s="4" t="str">
        <x:v>Sales manager</x:v>
      </x:c>
      <x:c r="O3076" s="4"/>
      <x:c r="P3076" s="9" t="n">
        <x:v>0</x:v>
      </x:c>
      <x:c r="Q3076" s="11" t="n">
        <x:v>0</x:v>
      </x:c>
      <x:c r="R3076" s="8" t="n">
        <x:v>45556</x:v>
      </x:c>
      <x:c r="S3076" s="4" t="str">
        <x:v>Retained</x:v>
      </x:c>
      <x:c r="T3076" s="10" t="n">
        <x:v>0.351536</x:v>
      </x:c>
      <x:c r="U3076" s="4" t="str">
        <x:v>Excluded / unlabelled</x:v>
      </x:c>
    </x:row>
    <x:row r="3077" ht="34" customHeight="1">
      <x:c r="A3077" s="4" t="str">
        <x:v>RS-03076</x:v>
      </x:c>
      <x:c r="B3077" s="8" t="n">
        <x:v>45497</x:v>
      </x:c>
      <x:c r="C3077" s="4" t="str">
        <x:v>PRJ-016</x:v>
      </x:c>
      <x:c r="D3077" s="4" t="str">
        <x:v>Retail</x:v>
      </x:c>
      <x:c r="E3077" s="4" t="str">
        <x:v>Booked</x:v>
      </x:c>
      <x:c r="F3077" s="4" t="str">
        <x:v>CUS-03076</x:v>
      </x:c>
      <x:c r="G3077" s="4" t="str">
        <x:v>UNIT-03076</x:v>
      </x:c>
      <x:c r="H3077" s="9" t="n">
        <x:v>11200000</x:v>
      </x:c>
      <x:c r="I3077" s="10" t="n">
        <x:v>0.01</x:v>
      </x:c>
      <x:c r="J3077" s="11" t="n">
        <x:v>10</x:v>
      </x:c>
      <x:c r="K3077" s="11" t="n">
        <x:v>6</x:v>
      </x:c>
      <x:c r="L3077" s="11" t="n">
        <x:v>1</x:v>
      </x:c>
      <x:c r="M3077" s="9" t="n">
        <x:f>ROUND(H3077*(1-I3077),2)</x:f>
        <x:v>11088000</x:v>
      </x:c>
      <x:c r="N3077" s="4" t="str">
        <x:v>Sales manager</x:v>
      </x:c>
      <x:c r="O3077" s="4" t="str">
        <x:v>BOOK-03076</x:v>
      </x:c>
      <x:c r="P3077" s="9" t="n">
        <x:v>5544000</x:v>
      </x:c>
      <x:c r="Q3077" s="11" t="n">
        <x:v>0</x:v>
      </x:c>
      <x:c r="R3077" s="8" t="n">
        <x:v>45557</x:v>
      </x:c>
      <x:c r="S3077" s="4" t="str">
        <x:v>Retained</x:v>
      </x:c>
      <x:c r="T3077" s="10" t="n">
        <x:v>0.254545</x:v>
      </x:c>
      <x:c r="U3077" s="4" t="str">
        <x:v>Excluded / unlabelled</x:v>
      </x:c>
    </x:row>
    <x:row r="3078" ht="34" customHeight="1">
      <x:c r="A3078" s="4" t="str">
        <x:v>RS-03077</x:v>
      </x:c>
      <x:c r="B3078" s="8" t="n">
        <x:v>45498</x:v>
      </x:c>
      <x:c r="C3078" s="4" t="str">
        <x:v>PRJ-017</x:v>
      </x:c>
      <x:c r="D3078" s="4" t="str">
        <x:v>Retail</x:v>
      </x:c>
      <x:c r="E3078" s="4" t="str">
        <x:v>Enquiry</x:v>
      </x:c>
      <x:c r="F3078" s="4" t="str">
        <x:v>CUS-03077</x:v>
      </x:c>
      <x:c r="G3078" s="4" t="str">
        <x:v>UNIT-03077</x:v>
      </x:c>
      <x:c r="H3078" s="9" t="n">
        <x:v>20300000</x:v>
      </x:c>
      <x:c r="I3078" s="10" t="n">
        <x:v>0.06</x:v>
      </x:c>
      <x:c r="J3078" s="11" t="n">
        <x:v>12</x:v>
      </x:c>
      <x:c r="K3078" s="11" t="n">
        <x:v>1</x:v>
      </x:c>
      <x:c r="L3078" s="11" t="n">
        <x:v>0</x:v>
      </x:c>
      <x:c r="M3078" s="9" t="n">
        <x:f>ROUND(H3078*(1-I3078),2)</x:f>
        <x:v>19082000</x:v>
      </x:c>
      <x:c r="N3078" s="4" t="str">
        <x:v>Sales manager</x:v>
      </x:c>
      <x:c r="O3078" s="4"/>
      <x:c r="P3078" s="9" t="n">
        <x:v>0</x:v>
      </x:c>
      <x:c r="Q3078" s="11" t="n">
        <x:v>1</x:v>
      </x:c>
      <x:c r="R3078" s="8" t="n">
        <x:v>45558</x:v>
      </x:c>
      <x:c r="S3078" s="4" t="str">
        <x:v>Lost / cancelled</x:v>
      </x:c>
      <x:c r="T3078" s="10" t="n">
        <x:v>0.351536</x:v>
      </x:c>
      <x:c r="U3078" s="4" t="str">
        <x:v>Excluded / unlabelled</x:v>
      </x:c>
    </x:row>
    <x:row r="3079" ht="34" customHeight="1">
      <x:c r="A3079" s="4" t="str">
        <x:v>RS-03078</x:v>
      </x:c>
      <x:c r="B3079" s="8" t="n">
        <x:v>45499</x:v>
      </x:c>
      <x:c r="C3079" s="4" t="str">
        <x:v>PRJ-018</x:v>
      </x:c>
      <x:c r="D3079" s="4" t="str">
        <x:v>Retail</x:v>
      </x:c>
      <x:c r="E3079" s="4" t="str">
        <x:v>Reserved</x:v>
      </x:c>
      <x:c r="F3079" s="4" t="str">
        <x:v>CUS-03078</x:v>
      </x:c>
      <x:c r="G3079" s="4" t="str">
        <x:v>UNIT-03078</x:v>
      </x:c>
      <x:c r="H3079" s="9" t="n">
        <x:v>24300000</x:v>
      </x:c>
      <x:c r="I3079" s="10" t="n">
        <x:v>0.05</x:v>
      </x:c>
      <x:c r="J3079" s="11" t="n">
        <x:v>5</x:v>
      </x:c>
      <x:c r="K3079" s="11" t="n">
        <x:v>0</x:v>
      </x:c>
      <x:c r="L3079" s="11" t="n">
        <x:v>0</x:v>
      </x:c>
      <x:c r="M3079" s="9" t="n">
        <x:f>ROUND(H3079*(1-I3079),2)</x:f>
        <x:v>23085000</x:v>
      </x:c>
      <x:c r="N3079" s="4" t="str">
        <x:v>Sales manager</x:v>
      </x:c>
      <x:c r="O3079" s="4"/>
      <x:c r="P3079" s="9" t="n">
        <x:v>0</x:v>
      </x:c>
      <x:c r="Q3079" s="11" t="n">
        <x:v>0</x:v>
      </x:c>
      <x:c r="R3079" s="8" t="n">
        <x:v>45559</x:v>
      </x:c>
      <x:c r="S3079" s="4" t="str">
        <x:v>Retained</x:v>
      </x:c>
      <x:c r="T3079" s="10" t="n">
        <x:v>0.226277</x:v>
      </x:c>
      <x:c r="U3079" s="4" t="str">
        <x:v>Excluded / unlabelled</x:v>
      </x:c>
    </x:row>
    <x:row r="3080" ht="34" customHeight="1">
      <x:c r="A3080" s="4" t="str">
        <x:v>RS-03079</x:v>
      </x:c>
      <x:c r="B3080" s="8" t="n">
        <x:v>45500</x:v>
      </x:c>
      <x:c r="C3080" s="4" t="str">
        <x:v>PRJ-019</x:v>
      </x:c>
      <x:c r="D3080" s="4" t="str">
        <x:v>Office</x:v>
      </x:c>
      <x:c r="E3080" s="4" t="str">
        <x:v>Booked</x:v>
      </x:c>
      <x:c r="F3080" s="4" t="str">
        <x:v>CUS-03079</x:v>
      </x:c>
      <x:c r="G3080" s="4" t="str">
        <x:v>UNIT-03079</x:v>
      </x:c>
      <x:c r="H3080" s="9" t="n">
        <x:v>10700000</x:v>
      </x:c>
      <x:c r="I3080" s="10" t="n">
        <x:v>0.09</x:v>
      </x:c>
      <x:c r="J3080" s="11" t="n">
        <x:v>4</x:v>
      </x:c>
      <x:c r="K3080" s="11" t="n">
        <x:v>0</x:v>
      </x:c>
      <x:c r="L3080" s="11" t="n">
        <x:v>1</x:v>
      </x:c>
      <x:c r="M3080" s="9" t="n">
        <x:f>ROUND(H3080*(1-I3080),2)</x:f>
        <x:v>9737000</x:v>
      </x:c>
      <x:c r="N3080" s="4" t="str">
        <x:v>Sales head</x:v>
      </x:c>
      <x:c r="O3080" s="4" t="str">
        <x:v>BOOK-03079</x:v>
      </x:c>
      <x:c r="P3080" s="9" t="n">
        <x:v>973700</x:v>
      </x:c>
      <x:c r="Q3080" s="11" t="n">
        <x:v>0</x:v>
      </x:c>
      <x:c r="R3080" s="8" t="n">
        <x:v>45560</x:v>
      </x:c>
      <x:c r="S3080" s="4" t="str">
        <x:v>Retained</x:v>
      </x:c>
      <x:c r="T3080" s="10" t="n">
        <x:v>0.291946</x:v>
      </x:c>
      <x:c r="U3080" s="4" t="str">
        <x:v>Excluded / unlabelled</x:v>
      </x:c>
    </x:row>
    <x:row r="3081" ht="34" customHeight="1">
      <x:c r="A3081" s="4" t="str">
        <x:v>RS-03080</x:v>
      </x:c>
      <x:c r="B3081" s="8" t="n">
        <x:v>45501</x:v>
      </x:c>
      <x:c r="C3081" s="4" t="str">
        <x:v>PRJ-020</x:v>
      </x:c>
      <x:c r="D3081" s="4" t="str">
        <x:v>Apartment</x:v>
      </x:c>
      <x:c r="E3081" s="4" t="str">
        <x:v>Cancelled</x:v>
      </x:c>
      <x:c r="F3081" s="4" t="str">
        <x:v>CUS-03080</x:v>
      </x:c>
      <x:c r="G3081" s="4" t="str">
        <x:v>UNIT-03080</x:v>
      </x:c>
      <x:c r="H3081" s="9" t="n">
        <x:v>3400000</x:v>
      </x:c>
      <x:c r="I3081" s="10" t="n">
        <x:v>0.11</x:v>
      </x:c>
      <x:c r="J3081" s="11" t="n">
        <x:v>8</x:v>
      </x:c>
      <x:c r="K3081" s="11" t="n">
        <x:v>3</x:v>
      </x:c>
      <x:c r="L3081" s="11" t="n">
        <x:v>0</x:v>
      </x:c>
      <x:c r="M3081" s="9" t="n">
        <x:f>ROUND(H3081*(1-I3081),2)</x:f>
        <x:v>3026000</x:v>
      </x:c>
      <x:c r="N3081" s="4" t="str">
        <x:v>Sales head</x:v>
      </x:c>
      <x:c r="O3081" s="4"/>
      <x:c r="P3081" s="9" t="n">
        <x:v>0</x:v>
      </x:c>
      <x:c r="Q3081" s="11" t="n">
        <x:v>1</x:v>
      </x:c>
      <x:c r="R3081" s="8" t="n">
        <x:v>45561</x:v>
      </x:c>
      <x:c r="S3081" s="4" t="str">
        <x:v>Lost / cancelled</x:v>
      </x:c>
      <x:c r="T3081" s="10" t="n">
        <x:v>0.310195</x:v>
      </x:c>
      <x:c r="U3081" s="4" t="str">
        <x:v>Excluded / unlabelled</x:v>
      </x:c>
    </x:row>
    <x:row r="3082" ht="34" customHeight="1">
      <x:c r="A3082" s="4" t="str">
        <x:v>RS-03081</x:v>
      </x:c>
      <x:c r="B3082" s="8" t="n">
        <x:v>45474</x:v>
      </x:c>
      <x:c r="C3082" s="4" t="str">
        <x:v>PRJ-001</x:v>
      </x:c>
      <x:c r="D3082" s="4" t="str">
        <x:v>Retail</x:v>
      </x:c>
      <x:c r="E3082" s="4" t="str">
        <x:v>Enquiry</x:v>
      </x:c>
      <x:c r="F3082" s="4" t="str">
        <x:v>CUS-03081</x:v>
      </x:c>
      <x:c r="G3082" s="4" t="str">
        <x:v>UNIT-03081</x:v>
      </x:c>
      <x:c r="H3082" s="9" t="n">
        <x:v>12600000</x:v>
      </x:c>
      <x:c r="I3082" s="10" t="n">
        <x:v>0</x:v>
      </x:c>
      <x:c r="J3082" s="11" t="n">
        <x:v>10</x:v>
      </x:c>
      <x:c r="K3082" s="11" t="n">
        <x:v>0</x:v>
      </x:c>
      <x:c r="L3082" s="11" t="n">
        <x:v>1</x:v>
      </x:c>
      <x:c r="M3082" s="9" t="n">
        <x:f>ROUND(H3082*(1-I3082),2)</x:f>
        <x:v>12600000</x:v>
      </x:c>
      <x:c r="N3082" s="4" t="str">
        <x:v>Sales manager</x:v>
      </x:c>
      <x:c r="O3082" s="4"/>
      <x:c r="P3082" s="9" t="n">
        <x:v>0</x:v>
      </x:c>
      <x:c r="Q3082" s="11" t="n">
        <x:v>0</x:v>
      </x:c>
      <x:c r="R3082" s="8" t="n">
        <x:v>45534</x:v>
      </x:c>
      <x:c r="S3082" s="4" t="str">
        <x:v>Retained</x:v>
      </x:c>
      <x:c r="T3082" s="10" t="n">
        <x:v>0.254545</x:v>
      </x:c>
      <x:c r="U3082" s="4" t="str">
        <x:v>Excluded / unlabelled</x:v>
      </x:c>
    </x:row>
    <x:row r="3083" ht="34" customHeight="1">
      <x:c r="A3083" s="4" t="str">
        <x:v>RS-03082</x:v>
      </x:c>
      <x:c r="B3083" s="8" t="n">
        <x:v>45475</x:v>
      </x:c>
      <x:c r="C3083" s="4" t="str">
        <x:v>PRJ-002</x:v>
      </x:c>
      <x:c r="D3083" s="4" t="str">
        <x:v>Retail</x:v>
      </x:c>
      <x:c r="E3083" s="4" t="str">
        <x:v>Handed over</x:v>
      </x:c>
      <x:c r="F3083" s="4" t="str">
        <x:v>CUS-03082</x:v>
      </x:c>
      <x:c r="G3083" s="4" t="str">
        <x:v>UNIT-03082</x:v>
      </x:c>
      <x:c r="H3083" s="9" t="n">
        <x:v>5500000</x:v>
      </x:c>
      <x:c r="I3083" s="10" t="n">
        <x:v>0.11</x:v>
      </x:c>
      <x:c r="J3083" s="11" t="n">
        <x:v>1</x:v>
      </x:c>
      <x:c r="K3083" s="11" t="n">
        <x:v>5</x:v>
      </x:c>
      <x:c r="L3083" s="11" t="n">
        <x:v>0</x:v>
      </x:c>
      <x:c r="M3083" s="9" t="n">
        <x:f>ROUND(H3083*(1-I3083),2)</x:f>
        <x:v>4895000</x:v>
      </x:c>
      <x:c r="N3083" s="4" t="str">
        <x:v>Sales head</x:v>
      </x:c>
      <x:c r="O3083" s="4" t="str">
        <x:v>BOOK-03082</x:v>
      </x:c>
      <x:c r="P3083" s="9" t="n">
        <x:v>2447500</x:v>
      </x:c>
      <x:c r="Q3083" s="11" t="n">
        <x:v>0</x:v>
      </x:c>
      <x:c r="R3083" s="8" t="n">
        <x:v>45535</x:v>
      </x:c>
      <x:c r="S3083" s="4" t="str">
        <x:v>Retained</x:v>
      </x:c>
      <x:c r="T3083" s="10" t="n">
        <x:v>0.145833</x:v>
      </x:c>
      <x:c r="U3083" s="4" t="str">
        <x:v>Excluded / unlabelled</x:v>
      </x:c>
    </x:row>
    <x:row r="3084" ht="34" customHeight="1">
      <x:c r="A3084" s="4" t="str">
        <x:v>RS-03083</x:v>
      </x:c>
      <x:c r="B3084" s="8" t="n">
        <x:v>45476</x:v>
      </x:c>
      <x:c r="C3084" s="4" t="str">
        <x:v>PRJ-003</x:v>
      </x:c>
      <x:c r="D3084" s="4" t="str">
        <x:v>Villa</x:v>
      </x:c>
      <x:c r="E3084" s="4" t="str">
        <x:v>Handed over</x:v>
      </x:c>
      <x:c r="F3084" s="4" t="str">
        <x:v>CUS-03083</x:v>
      </x:c>
      <x:c r="G3084" s="4" t="str">
        <x:v>UNIT-03083</x:v>
      </x:c>
      <x:c r="H3084" s="9" t="n">
        <x:v>6900000</x:v>
      </x:c>
      <x:c r="I3084" s="10" t="n">
        <x:v>0.07</x:v>
      </x:c>
      <x:c r="J3084" s="11" t="n">
        <x:v>12</x:v>
      </x:c>
      <x:c r="K3084" s="11" t="n">
        <x:v>0</x:v>
      </x:c>
      <x:c r="L3084" s="11" t="n">
        <x:v>0</x:v>
      </x:c>
      <x:c r="M3084" s="9" t="n">
        <x:f>ROUND(H3084*(1-I3084),2)</x:f>
        <x:v>6417000</x:v>
      </x:c>
      <x:c r="N3084" s="4" t="str">
        <x:v>Sales manager</x:v>
      </x:c>
      <x:c r="O3084" s="4" t="str">
        <x:v>BOOK-03083</x:v>
      </x:c>
      <x:c r="P3084" s="9" t="n">
        <x:v>3208500</x:v>
      </x:c>
      <x:c r="Q3084" s="11" t="n">
        <x:v>0</x:v>
      </x:c>
      <x:c r="R3084" s="8" t="n">
        <x:v>45536</x:v>
      </x:c>
      <x:c r="S3084" s="4" t="str">
        <x:v>Retained</x:v>
      </x:c>
      <x:c r="T3084" s="10" t="n">
        <x:v>0.351536</x:v>
      </x:c>
      <x:c r="U3084" s="4" t="str">
        <x:v>Excluded / unlabelled</x:v>
      </x:c>
    </x:row>
    <x:row r="3085" ht="34" customHeight="1">
      <x:c r="A3085" s="4" t="str">
        <x:v>RS-03084</x:v>
      </x:c>
      <x:c r="B3085" s="8" t="n">
        <x:v>45477</x:v>
      </x:c>
      <x:c r="C3085" s="4" t="str">
        <x:v>PRJ-004</x:v>
      </x:c>
      <x:c r="D3085" s="4" t="str">
        <x:v>Villa</x:v>
      </x:c>
      <x:c r="E3085" s="4" t="str">
        <x:v>Reserved</x:v>
      </x:c>
      <x:c r="F3085" s="4" t="str">
        <x:v>CUS-03084</x:v>
      </x:c>
      <x:c r="G3085" s="4" t="str">
        <x:v>UNIT-03084</x:v>
      </x:c>
      <x:c r="H3085" s="9" t="n">
        <x:v>9000000</x:v>
      </x:c>
      <x:c r="I3085" s="10" t="n">
        <x:v>0.06</x:v>
      </x:c>
      <x:c r="J3085" s="11" t="n">
        <x:v>2</x:v>
      </x:c>
      <x:c r="K3085" s="11" t="n">
        <x:v>2</x:v>
      </x:c>
      <x:c r="L3085" s="11" t="n">
        <x:v>0</x:v>
      </x:c>
      <x:c r="M3085" s="9" t="n">
        <x:f>ROUND(H3085*(1-I3085),2)</x:f>
        <x:v>8460000</x:v>
      </x:c>
      <x:c r="N3085" s="4" t="str">
        <x:v>Sales manager</x:v>
      </x:c>
      <x:c r="O3085" s="4"/>
      <x:c r="P3085" s="9" t="n">
        <x:v>0</x:v>
      </x:c>
      <x:c r="Q3085" s="11" t="n">
        <x:v>1</x:v>
      </x:c>
      <x:c r="R3085" s="8" t="n">
        <x:v>45537</x:v>
      </x:c>
      <x:c r="S3085" s="4" t="str">
        <x:v>Lost / cancelled</x:v>
      </x:c>
      <x:c r="T3085" s="10" t="n">
        <x:v>0.204152</x:v>
      </x:c>
      <x:c r="U3085" s="4" t="str">
        <x:v>Excluded / unlabelled</x:v>
      </x:c>
    </x:row>
    <x:row r="3086" ht="34" customHeight="1">
      <x:c r="A3086" s="4" t="str">
        <x:v>RS-03085</x:v>
      </x:c>
      <x:c r="B3086" s="8" t="n">
        <x:v>45478</x:v>
      </x:c>
      <x:c r="C3086" s="4" t="str">
        <x:v>PRJ-005</x:v>
      </x:c>
      <x:c r="D3086" s="4" t="str">
        <x:v>Retail</x:v>
      </x:c>
      <x:c r="E3086" s="4" t="str">
        <x:v>Enquiry</x:v>
      </x:c>
      <x:c r="F3086" s="4" t="str">
        <x:v>CUS-03085</x:v>
      </x:c>
      <x:c r="G3086" s="4" t="str">
        <x:v>UNIT-03085</x:v>
      </x:c>
      <x:c r="H3086" s="9" t="n">
        <x:v>19500000</x:v>
      </x:c>
      <x:c r="I3086" s="10" t="n">
        <x:v>0.11</x:v>
      </x:c>
      <x:c r="J3086" s="11" t="n">
        <x:v>8</x:v>
      </x:c>
      <x:c r="K3086" s="11" t="n">
        <x:v>8</x:v>
      </x:c>
      <x:c r="L3086" s="11" t="n">
        <x:v>0</x:v>
      </x:c>
      <x:c r="M3086" s="9" t="n">
        <x:f>ROUND(H3086*(1-I3086),2)</x:f>
        <x:v>17355000</x:v>
      </x:c>
      <x:c r="N3086" s="4" t="str">
        <x:v>Sales head</x:v>
      </x:c>
      <x:c r="O3086" s="4"/>
      <x:c r="P3086" s="9" t="n">
        <x:v>0</x:v>
      </x:c>
      <x:c r="Q3086" s="11" t="n">
        <x:v>1</x:v>
      </x:c>
      <x:c r="R3086" s="8" t="n">
        <x:v>45538</x:v>
      </x:c>
      <x:c r="S3086" s="4" t="str">
        <x:v>Lost / cancelled</x:v>
      </x:c>
      <x:c r="T3086" s="10" t="n">
        <x:v>0.310195</x:v>
      </x:c>
      <x:c r="U3086" s="4" t="str">
        <x:v>Excluded / unlabelled</x:v>
      </x:c>
    </x:row>
    <x:row r="3087" ht="34" customHeight="1">
      <x:c r="A3087" s="4" t="str">
        <x:v>RS-03086</x:v>
      </x:c>
      <x:c r="B3087" s="8" t="n">
        <x:v>45479</x:v>
      </x:c>
      <x:c r="C3087" s="4" t="str">
        <x:v>PRJ-006</x:v>
      </x:c>
      <x:c r="D3087" s="4" t="str">
        <x:v>Retail</x:v>
      </x:c>
      <x:c r="E3087" s="4" t="str">
        <x:v>Handed over</x:v>
      </x:c>
      <x:c r="F3087" s="4" t="str">
        <x:v>CUS-03086</x:v>
      </x:c>
      <x:c r="G3087" s="4" t="str">
        <x:v>UNIT-03086</x:v>
      </x:c>
      <x:c r="H3087" s="9" t="n">
        <x:v>7000000</x:v>
      </x:c>
      <x:c r="I3087" s="10" t="n">
        <x:v>0.05</x:v>
      </x:c>
      <x:c r="J3087" s="11" t="n">
        <x:v>9</x:v>
      </x:c>
      <x:c r="K3087" s="11" t="n">
        <x:v>0</x:v>
      </x:c>
      <x:c r="L3087" s="11" t="n">
        <x:v>0</x:v>
      </x:c>
      <x:c r="M3087" s="9" t="n">
        <x:f>ROUND(H3087*(1-I3087),2)</x:f>
        <x:v>6650000</x:v>
      </x:c>
      <x:c r="N3087" s="4" t="str">
        <x:v>Sales manager</x:v>
      </x:c>
      <x:c r="O3087" s="4" t="str">
        <x:v>BOOK-03086</x:v>
      </x:c>
      <x:c r="P3087" s="9" t="n">
        <x:v>6650000</x:v>
      </x:c>
      <x:c r="Q3087" s="11" t="n">
        <x:v>0</x:v>
      </x:c>
      <x:c r="R3087" s="8" t="n">
        <x:v>45539</x:v>
      </x:c>
      <x:c r="S3087" s="4" t="str">
        <x:v>Retained</x:v>
      </x:c>
      <x:c r="T3087" s="10" t="n">
        <x:v>0.310195</x:v>
      </x:c>
      <x:c r="U3087" s="4" t="str">
        <x:v>Excluded / unlabelled</x:v>
      </x:c>
    </x:row>
    <x:row r="3088" ht="34" customHeight="1">
      <x:c r="A3088" s="4" t="str">
        <x:v>RS-03087</x:v>
      </x:c>
      <x:c r="B3088" s="8" t="n">
        <x:v>45480</x:v>
      </x:c>
      <x:c r="C3088" s="4" t="str">
        <x:v>PRJ-007</x:v>
      </x:c>
      <x:c r="D3088" s="4" t="str">
        <x:v>Office</x:v>
      </x:c>
      <x:c r="E3088" s="4" t="str">
        <x:v>Enquiry</x:v>
      </x:c>
      <x:c r="F3088" s="4" t="str">
        <x:v>CUS-03087</x:v>
      </x:c>
      <x:c r="G3088" s="4" t="str">
        <x:v>UNIT-03087</x:v>
      </x:c>
      <x:c r="H3088" s="9" t="n">
        <x:v>7500000</x:v>
      </x:c>
      <x:c r="I3088" s="10" t="n">
        <x:v>0.02</x:v>
      </x:c>
      <x:c r="J3088" s="11" t="n">
        <x:v>2</x:v>
      </x:c>
      <x:c r="K3088" s="11" t="n">
        <x:v>10</x:v>
      </x:c>
      <x:c r="L3088" s="11" t="n">
        <x:v>0</x:v>
      </x:c>
      <x:c r="M3088" s="9" t="n">
        <x:f>ROUND(H3088*(1-I3088),2)</x:f>
        <x:v>7350000</x:v>
      </x:c>
      <x:c r="N3088" s="4" t="str">
        <x:v>Sales manager</x:v>
      </x:c>
      <x:c r="O3088" s="4"/>
      <x:c r="P3088" s="9" t="n">
        <x:v>0</x:v>
      </x:c>
      <x:c r="Q3088" s="11" t="n">
        <x:v>0</x:v>
      </x:c>
      <x:c r="R3088" s="8" t="n">
        <x:v>45540</x:v>
      </x:c>
      <x:c r="S3088" s="4" t="str">
        <x:v>Retained</x:v>
      </x:c>
      <x:c r="T3088" s="10" t="n">
        <x:v>0.171717</x:v>
      </x:c>
      <x:c r="U3088" s="4" t="str">
        <x:v>Excluded / unlabelled</x:v>
      </x:c>
    </x:row>
    <x:row r="3089" ht="34" customHeight="1">
      <x:c r="A3089" s="4" t="str">
        <x:v>RS-03088</x:v>
      </x:c>
      <x:c r="B3089" s="8" t="n">
        <x:v>45481</x:v>
      </x:c>
      <x:c r="C3089" s="4" t="str">
        <x:v>PRJ-008</x:v>
      </x:c>
      <x:c r="D3089" s="4" t="str">
        <x:v>Office</x:v>
      </x:c>
      <x:c r="E3089" s="4" t="str">
        <x:v>Agreement signed</x:v>
      </x:c>
      <x:c r="F3089" s="4" t="str">
        <x:v>CUS-03088</x:v>
      </x:c>
      <x:c r="G3089" s="4" t="str">
        <x:v>UNIT-03088</x:v>
      </x:c>
      <x:c r="H3089" s="9" t="n">
        <x:v>7200000</x:v>
      </x:c>
      <x:c r="I3089" s="10" t="n">
        <x:v>0.11</x:v>
      </x:c>
      <x:c r="J3089" s="11" t="n">
        <x:v>5</x:v>
      </x:c>
      <x:c r="K3089" s="11" t="n">
        <x:v>0</x:v>
      </x:c>
      <x:c r="L3089" s="11" t="n">
        <x:v>1</x:v>
      </x:c>
      <x:c r="M3089" s="9" t="n">
        <x:f>ROUND(H3089*(1-I3089),2)</x:f>
        <x:v>6408000</x:v>
      </x:c>
      <x:c r="N3089" s="4" t="str">
        <x:v>Sales head</x:v>
      </x:c>
      <x:c r="O3089" s="4" t="str">
        <x:v>BOOK-03088</x:v>
      </x:c>
      <x:c r="P3089" s="9" t="n">
        <x:v>640800</x:v>
      </x:c>
      <x:c r="Q3089" s="11" t="n">
        <x:v>0</x:v>
      </x:c>
      <x:c r="R3089" s="8" t="n">
        <x:v>45541</x:v>
      </x:c>
      <x:c r="S3089" s="4" t="str">
        <x:v>Retained</x:v>
      </x:c>
      <x:c r="T3089" s="10" t="n">
        <x:v>0.291946</x:v>
      </x:c>
      <x:c r="U3089" s="4" t="str">
        <x:v>Excluded / unlabelled</x:v>
      </x:c>
    </x:row>
    <x:row r="3090" ht="34" customHeight="1">
      <x:c r="A3090" s="4" t="str">
        <x:v>RS-03089</x:v>
      </x:c>
      <x:c r="B3090" s="8" t="n">
        <x:v>45482</x:v>
      </x:c>
      <x:c r="C3090" s="4" t="str">
        <x:v>PRJ-009</x:v>
      </x:c>
      <x:c r="D3090" s="4" t="str">
        <x:v>Office</x:v>
      </x:c>
      <x:c r="E3090" s="4" t="str">
        <x:v>Booked</x:v>
      </x:c>
      <x:c r="F3090" s="4" t="str">
        <x:v>CUS-03089</x:v>
      </x:c>
      <x:c r="G3090" s="4" t="str">
        <x:v>UNIT-03089</x:v>
      </x:c>
      <x:c r="H3090" s="9" t="n">
        <x:v>19000000</x:v>
      </x:c>
      <x:c r="I3090" s="10" t="n">
        <x:v>0.06</x:v>
      </x:c>
      <x:c r="J3090" s="11" t="n">
        <x:v>3</x:v>
      </x:c>
      <x:c r="K3090" s="11" t="n">
        <x:v>10</x:v>
      </x:c>
      <x:c r="L3090" s="11" t="n">
        <x:v>1</x:v>
      </x:c>
      <x:c r="M3090" s="9" t="n">
        <x:f>ROUND(H3090*(1-I3090),2)</x:f>
        <x:v>17860000</x:v>
      </x:c>
      <x:c r="N3090" s="4" t="str">
        <x:v>Sales manager</x:v>
      </x:c>
      <x:c r="O3090" s="4" t="str">
        <x:v>BOOK-03089</x:v>
      </x:c>
      <x:c r="P3090" s="9" t="n">
        <x:v>17860000</x:v>
      </x:c>
      <x:c r="Q3090" s="11" t="n">
        <x:v>0</x:v>
      </x:c>
      <x:c r="R3090" s="8" t="n">
        <x:v>45542</x:v>
      </x:c>
      <x:c r="S3090" s="4" t="str">
        <x:v>Retained</x:v>
      </x:c>
      <x:c r="T3090" s="10" t="n">
        <x:v>0.204152</x:v>
      </x:c>
      <x:c r="U3090" s="4" t="str">
        <x:v>Excluded / unlabelled</x:v>
      </x:c>
    </x:row>
    <x:row r="3091" ht="34" customHeight="1">
      <x:c r="A3091" s="4" t="str">
        <x:v>RS-03090</x:v>
      </x:c>
      <x:c r="B3091" s="8" t="n">
        <x:v>45483</x:v>
      </x:c>
      <x:c r="C3091" s="4" t="str">
        <x:v>PRJ-010</x:v>
      </x:c>
      <x:c r="D3091" s="4" t="str">
        <x:v>Villa</x:v>
      </x:c>
      <x:c r="E3091" s="4" t="str">
        <x:v>Agreement signed</x:v>
      </x:c>
      <x:c r="F3091" s="4" t="str">
        <x:v>CUS-03090</x:v>
      </x:c>
      <x:c r="G3091" s="4" t="str">
        <x:v>UNIT-03090</x:v>
      </x:c>
      <x:c r="H3091" s="9" t="n">
        <x:v>24800000</x:v>
      </x:c>
      <x:c r="I3091" s="10" t="n">
        <x:v>0.11</x:v>
      </x:c>
      <x:c r="J3091" s="11" t="n">
        <x:v>12</x:v>
      </x:c>
      <x:c r="K3091" s="11" t="n">
        <x:v>5</x:v>
      </x:c>
      <x:c r="L3091" s="11" t="n">
        <x:v>1</x:v>
      </x:c>
      <x:c r="M3091" s="9" t="n">
        <x:f>ROUND(H3091*(1-I3091),2)</x:f>
        <x:v>22072000</x:v>
      </x:c>
      <x:c r="N3091" s="4" t="str">
        <x:v>Sales head</x:v>
      </x:c>
      <x:c r="O3091" s="4" t="str">
        <x:v>BOOK-03090</x:v>
      </x:c>
      <x:c r="P3091" s="9" t="n">
        <x:v>22072000</x:v>
      </x:c>
      <x:c r="Q3091" s="11" t="n">
        <x:v>0</x:v>
      </x:c>
      <x:c r="R3091" s="8" t="n">
        <x:v>45543</x:v>
      </x:c>
      <x:c r="S3091" s="4" t="str">
        <x:v>Retained</x:v>
      </x:c>
      <x:c r="T3091" s="10" t="n">
        <x:v>0.351536</x:v>
      </x:c>
      <x:c r="U3091" s="4" t="str">
        <x:v>Excluded / unlabelled</x:v>
      </x:c>
    </x:row>
    <x:row r="3092" ht="34" customHeight="1">
      <x:c r="A3092" s="4" t="str">
        <x:v>RS-03091</x:v>
      </x:c>
      <x:c r="B3092" s="8" t="n">
        <x:v>45484</x:v>
      </x:c>
      <x:c r="C3092" s="4" t="str">
        <x:v>PRJ-011</x:v>
      </x:c>
      <x:c r="D3092" s="4" t="str">
        <x:v>Villa</x:v>
      </x:c>
      <x:c r="E3092" s="4" t="str">
        <x:v>Handed over</x:v>
      </x:c>
      <x:c r="F3092" s="4" t="str">
        <x:v>CUS-03091</x:v>
      </x:c>
      <x:c r="G3092" s="4" t="str">
        <x:v>UNIT-03091</x:v>
      </x:c>
      <x:c r="H3092" s="9" t="n">
        <x:v>12200000</x:v>
      </x:c>
      <x:c r="I3092" s="10" t="n">
        <x:v>0.07</x:v>
      </x:c>
      <x:c r="J3092" s="11" t="n">
        <x:v>12</x:v>
      </x:c>
      <x:c r="K3092" s="11" t="n">
        <x:v>2</x:v>
      </x:c>
      <x:c r="L3092" s="11" t="n">
        <x:v>1</x:v>
      </x:c>
      <x:c r="M3092" s="9" t="n">
        <x:f>ROUND(H3092*(1-I3092),2)</x:f>
        <x:v>11346000</x:v>
      </x:c>
      <x:c r="N3092" s="4" t="str">
        <x:v>Sales manager</x:v>
      </x:c>
      <x:c r="O3092" s="4" t="str">
        <x:v>BOOK-03091</x:v>
      </x:c>
      <x:c r="P3092" s="9" t="n">
        <x:v>11346000</x:v>
      </x:c>
      <x:c r="Q3092" s="11" t="n">
        <x:v>0</x:v>
      </x:c>
      <x:c r="R3092" s="8" t="n">
        <x:v>45544</x:v>
      </x:c>
      <x:c r="S3092" s="4" t="str">
        <x:v>Retained</x:v>
      </x:c>
      <x:c r="T3092" s="10" t="n">
        <x:v>0.351536</x:v>
      </x:c>
      <x:c r="U3092" s="4" t="str">
        <x:v>Excluded / unlabelled</x:v>
      </x:c>
    </x:row>
    <x:row r="3093" ht="34" customHeight="1">
      <x:c r="A3093" s="4" t="str">
        <x:v>RS-03092</x:v>
      </x:c>
      <x:c r="B3093" s="8" t="n">
        <x:v>45485</x:v>
      </x:c>
      <x:c r="C3093" s="4" t="str">
        <x:v>PRJ-012</x:v>
      </x:c>
      <x:c r="D3093" s="4" t="str">
        <x:v>Retail</x:v>
      </x:c>
      <x:c r="E3093" s="4" t="str">
        <x:v>Cancelled</x:v>
      </x:c>
      <x:c r="F3093" s="4" t="str">
        <x:v>CUS-03092</x:v>
      </x:c>
      <x:c r="G3093" s="4" t="str">
        <x:v>UNIT-03092</x:v>
      </x:c>
      <x:c r="H3093" s="9" t="n">
        <x:v>6400000</x:v>
      </x:c>
      <x:c r="I3093" s="10" t="n">
        <x:v>0.02</x:v>
      </x:c>
      <x:c r="J3093" s="11" t="n">
        <x:v>1</x:v>
      </x:c>
      <x:c r="K3093" s="11" t="n">
        <x:v>2</x:v>
      </x:c>
      <x:c r="L3093" s="11" t="n">
        <x:v>1</x:v>
      </x:c>
      <x:c r="M3093" s="9" t="n">
        <x:f>ROUND(H3093*(1-I3093),2)</x:f>
        <x:v>6272000</x:v>
      </x:c>
      <x:c r="N3093" s="4" t="str">
        <x:v>Sales manager</x:v>
      </x:c>
      <x:c r="O3093" s="4"/>
      <x:c r="P3093" s="9" t="n">
        <x:v>0</x:v>
      </x:c>
      <x:c r="Q3093" s="11" t="n">
        <x:v>1</x:v>
      </x:c>
      <x:c r="R3093" s="8" t="n">
        <x:v>45545</x:v>
      </x:c>
      <x:c r="S3093" s="4" t="str">
        <x:v>Lost / cancelled</x:v>
      </x:c>
      <x:c r="T3093" s="10" t="n">
        <x:v>0.072165</x:v>
      </x:c>
      <x:c r="U3093" s="4" t="str">
        <x:v>Excluded / unlabelled</x:v>
      </x:c>
    </x:row>
    <x:row r="3094" ht="34" customHeight="1">
      <x:c r="A3094" s="4" t="str">
        <x:v>RS-03093</x:v>
      </x:c>
      <x:c r="B3094" s="8" t="n">
        <x:v>45486</x:v>
      </x:c>
      <x:c r="C3094" s="4" t="str">
        <x:v>PRJ-013</x:v>
      </x:c>
      <x:c r="D3094" s="4" t="str">
        <x:v>Office</x:v>
      </x:c>
      <x:c r="E3094" s="4" t="str">
        <x:v>Agreement signed</x:v>
      </x:c>
      <x:c r="F3094" s="4" t="str">
        <x:v>CUS-03093</x:v>
      </x:c>
      <x:c r="G3094" s="4" t="str">
        <x:v>UNIT-03093</x:v>
      </x:c>
      <x:c r="H3094" s="9" t="n">
        <x:v>7500000</x:v>
      </x:c>
      <x:c r="I3094" s="10" t="n">
        <x:v>0.1</x:v>
      </x:c>
      <x:c r="J3094" s="11" t="n">
        <x:v>5</x:v>
      </x:c>
      <x:c r="K3094" s="11" t="n">
        <x:v>5</x:v>
      </x:c>
      <x:c r="L3094" s="11" t="n">
        <x:v>1</x:v>
      </x:c>
      <x:c r="M3094" s="9" t="n">
        <x:f>ROUND(H3094*(1-I3094),2)</x:f>
        <x:v>6750000</x:v>
      </x:c>
      <x:c r="N3094" s="4" t="str">
        <x:v>Sales head</x:v>
      </x:c>
      <x:c r="O3094" s="4" t="str">
        <x:v>BOOK-03093</x:v>
      </x:c>
      <x:c r="P3094" s="9" t="n">
        <x:v>6750000</x:v>
      </x:c>
      <x:c r="Q3094" s="11" t="n">
        <x:v>0</x:v>
      </x:c>
      <x:c r="R3094" s="8" t="n">
        <x:v>45546</x:v>
      </x:c>
      <x:c r="S3094" s="4" t="str">
        <x:v>Retained</x:v>
      </x:c>
      <x:c r="T3094" s="10" t="n">
        <x:v>0.291946</x:v>
      </x:c>
      <x:c r="U3094" s="4" t="str">
        <x:v>Excluded / unlabelled</x:v>
      </x:c>
    </x:row>
    <x:row r="3095" ht="34" customHeight="1">
      <x:c r="A3095" s="4" t="str">
        <x:v>RS-03094</x:v>
      </x:c>
      <x:c r="B3095" s="8" t="n">
        <x:v>45487</x:v>
      </x:c>
      <x:c r="C3095" s="4" t="str">
        <x:v>PRJ-014</x:v>
      </x:c>
      <x:c r="D3095" s="4" t="str">
        <x:v>Retail</x:v>
      </x:c>
      <x:c r="E3095" s="4" t="str">
        <x:v>Agreement signed</x:v>
      </x:c>
      <x:c r="F3095" s="4" t="str">
        <x:v>CUS-03094</x:v>
      </x:c>
      <x:c r="G3095" s="4" t="str">
        <x:v>UNIT-03094</x:v>
      </x:c>
      <x:c r="H3095" s="9" t="n">
        <x:v>15800000</x:v>
      </x:c>
      <x:c r="I3095" s="10" t="n">
        <x:v>0.04</x:v>
      </x:c>
      <x:c r="J3095" s="11" t="n">
        <x:v>0</x:v>
      </x:c>
      <x:c r="K3095" s="11" t="n">
        <x:v>10</x:v>
      </x:c>
      <x:c r="L3095" s="11" t="n">
        <x:v>1</x:v>
      </x:c>
      <x:c r="M3095" s="9" t="n">
        <x:f>ROUND(H3095*(1-I3095),2)</x:f>
        <x:v>15168000</x:v>
      </x:c>
      <x:c r="N3095" s="4" t="str">
        <x:v>Sales manager</x:v>
      </x:c>
      <x:c r="O3095" s="4" t="str">
        <x:v>BOOK-03094</x:v>
      </x:c>
      <x:c r="P3095" s="9" t="n">
        <x:v>15168000</x:v>
      </x:c>
      <x:c r="Q3095" s="11" t="n">
        <x:v>0</x:v>
      </x:c>
      <x:c r="R3095" s="8" t="n">
        <x:v>45547</x:v>
      </x:c>
      <x:c r="S3095" s="4" t="str">
        <x:v>Retained</x:v>
      </x:c>
      <x:c r="T3095" s="10" t="n">
        <x:v>0.204152</x:v>
      </x:c>
      <x:c r="U3095" s="4" t="str">
        <x:v>Excluded / unlabelled</x:v>
      </x:c>
    </x:row>
    <x:row r="3096" ht="34" customHeight="1">
      <x:c r="A3096" s="4" t="str">
        <x:v>RS-03095</x:v>
      </x:c>
      <x:c r="B3096" s="8" t="n">
        <x:v>45488</x:v>
      </x:c>
      <x:c r="C3096" s="4" t="str">
        <x:v>PRJ-015</x:v>
      </x:c>
      <x:c r="D3096" s="4" t="str">
        <x:v>Villa</x:v>
      </x:c>
      <x:c r="E3096" s="4" t="str">
        <x:v>Agreement signed</x:v>
      </x:c>
      <x:c r="F3096" s="4" t="str">
        <x:v>CUS-03095</x:v>
      </x:c>
      <x:c r="G3096" s="4" t="str">
        <x:v>UNIT-03095</x:v>
      </x:c>
      <x:c r="H3096" s="9" t="n">
        <x:v>22700000</x:v>
      </x:c>
      <x:c r="I3096" s="10" t="n">
        <x:v>0.03</x:v>
      </x:c>
      <x:c r="J3096" s="11" t="n">
        <x:v>0</x:v>
      </x:c>
      <x:c r="K3096" s="11" t="n">
        <x:v>1</x:v>
      </x:c>
      <x:c r="L3096" s="11" t="n">
        <x:v>0</x:v>
      </x:c>
      <x:c r="M3096" s="9" t="n">
        <x:f>ROUND(H3096*(1-I3096),2)</x:f>
        <x:v>22019000</x:v>
      </x:c>
      <x:c r="N3096" s="4" t="str">
        <x:v>Sales manager</x:v>
      </x:c>
      <x:c r="O3096" s="4" t="str">
        <x:v>BOOK-03095</x:v>
      </x:c>
      <x:c r="P3096" s="9" t="n">
        <x:v>11009500</x:v>
      </x:c>
      <x:c r="Q3096" s="11" t="n">
        <x:v>0</x:v>
      </x:c>
      <x:c r="R3096" s="8" t="n">
        <x:v>45548</x:v>
      </x:c>
      <x:c r="S3096" s="4" t="str">
        <x:v>Retained</x:v>
      </x:c>
      <x:c r="T3096" s="10" t="n">
        <x:v>0.072165</x:v>
      </x:c>
      <x:c r="U3096" s="4" t="str">
        <x:v>Excluded / unlabelled</x:v>
      </x:c>
    </x:row>
    <x:row r="3097" ht="34" customHeight="1">
      <x:c r="A3097" s="4" t="str">
        <x:v>RS-03096</x:v>
      </x:c>
      <x:c r="B3097" s="8" t="n">
        <x:v>45489</x:v>
      </x:c>
      <x:c r="C3097" s="4" t="str">
        <x:v>PRJ-016</x:v>
      </x:c>
      <x:c r="D3097" s="4" t="str">
        <x:v>Apartment</x:v>
      </x:c>
      <x:c r="E3097" s="4" t="str">
        <x:v>Enquiry</x:v>
      </x:c>
      <x:c r="F3097" s="4" t="str">
        <x:v>CUS-03096</x:v>
      </x:c>
      <x:c r="G3097" s="4" t="str">
        <x:v>UNIT-03096</x:v>
      </x:c>
      <x:c r="H3097" s="9" t="n">
        <x:v>17900000</x:v>
      </x:c>
      <x:c r="I3097" s="10" t="n">
        <x:v>0.04</x:v>
      </x:c>
      <x:c r="J3097" s="11" t="n">
        <x:v>4</x:v>
      </x:c>
      <x:c r="K3097" s="11" t="n">
        <x:v>0</x:v>
      </x:c>
      <x:c r="L3097" s="11" t="n">
        <x:v>0</x:v>
      </x:c>
      <x:c r="M3097" s="9" t="n">
        <x:f>ROUND(H3097*(1-I3097),2)</x:f>
        <x:v>17184000</x:v>
      </x:c>
      <x:c r="N3097" s="4" t="str">
        <x:v>Sales manager</x:v>
      </x:c>
      <x:c r="O3097" s="4"/>
      <x:c r="P3097" s="9" t="n">
        <x:v>0</x:v>
      </x:c>
      <x:c r="Q3097" s="11" t="n">
        <x:v>1</x:v>
      </x:c>
      <x:c r="R3097" s="8" t="n">
        <x:v>45549</x:v>
      </x:c>
      <x:c r="S3097" s="4" t="str">
        <x:v>Lost / cancelled</x:v>
      </x:c>
      <x:c r="T3097" s="10" t="n">
        <x:v>0.226277</x:v>
      </x:c>
      <x:c r="U3097" s="4" t="str">
        <x:v>Excluded / unlabelled</x:v>
      </x:c>
    </x:row>
    <x:row r="3098" ht="34" customHeight="1">
      <x:c r="A3098" s="4" t="str">
        <x:v>RS-03097</x:v>
      </x:c>
      <x:c r="B3098" s="8" t="n">
        <x:v>45490</x:v>
      </x:c>
      <x:c r="C3098" s="4" t="str">
        <x:v>PRJ-017</x:v>
      </x:c>
      <x:c r="D3098" s="4" t="str">
        <x:v>Retail</x:v>
      </x:c>
      <x:c r="E3098" s="4" t="str">
        <x:v>Handed over</x:v>
      </x:c>
      <x:c r="F3098" s="4" t="str">
        <x:v>CUS-03097</x:v>
      </x:c>
      <x:c r="G3098" s="4" t="str">
        <x:v>UNIT-03097</x:v>
      </x:c>
      <x:c r="H3098" s="9" t="n">
        <x:v>21200000</x:v>
      </x:c>
      <x:c r="I3098" s="10" t="n">
        <x:v>0.05</x:v>
      </x:c>
      <x:c r="J3098" s="11" t="n">
        <x:v>8</x:v>
      </x:c>
      <x:c r="K3098" s="11" t="n">
        <x:v>8</x:v>
      </x:c>
      <x:c r="L3098" s="11" t="n">
        <x:v>1</x:v>
      </x:c>
      <x:c r="M3098" s="9" t="n">
        <x:f>ROUND(H3098*(1-I3098),2)</x:f>
        <x:v>20140000</x:v>
      </x:c>
      <x:c r="N3098" s="4" t="str">
        <x:v>Sales manager</x:v>
      </x:c>
      <x:c r="O3098" s="4" t="str">
        <x:v>BOOK-03097</x:v>
      </x:c>
      <x:c r="P3098" s="9" t="n">
        <x:v>5035000</x:v>
      </x:c>
      <x:c r="Q3098" s="11" t="n">
        <x:v>0</x:v>
      </x:c>
      <x:c r="R3098" s="8" t="n">
        <x:v>45550</x:v>
      </x:c>
      <x:c r="S3098" s="4" t="str">
        <x:v>Retained</x:v>
      </x:c>
      <x:c r="T3098" s="10" t="n">
        <x:v>0.310195</x:v>
      </x:c>
      <x:c r="U3098" s="4" t="str">
        <x:v>Excluded / unlabelled</x:v>
      </x:c>
    </x:row>
    <x:row r="3099" ht="34" customHeight="1">
      <x:c r="A3099" s="4" t="str">
        <x:v>RS-03098</x:v>
      </x:c>
      <x:c r="B3099" s="8" t="n">
        <x:v>45491</x:v>
      </x:c>
      <x:c r="C3099" s="4" t="str">
        <x:v>PRJ-018</x:v>
      </x:c>
      <x:c r="D3099" s="4" t="str">
        <x:v>Office</x:v>
      </x:c>
      <x:c r="E3099" s="4" t="str">
        <x:v>Agreement signed</x:v>
      </x:c>
      <x:c r="F3099" s="4" t="str">
        <x:v>CUS-03098</x:v>
      </x:c>
      <x:c r="G3099" s="4" t="str">
        <x:v>UNIT-03098</x:v>
      </x:c>
      <x:c r="H3099" s="9" t="n">
        <x:v>24100000</x:v>
      </x:c>
      <x:c r="I3099" s="10" t="n">
        <x:v>0.06</x:v>
      </x:c>
      <x:c r="J3099" s="11" t="n">
        <x:v>10</x:v>
      </x:c>
      <x:c r="K3099" s="11" t="n">
        <x:v>4</x:v>
      </x:c>
      <x:c r="L3099" s="11" t="n">
        <x:v>1</x:v>
      </x:c>
      <x:c r="M3099" s="9" t="n">
        <x:f>ROUND(H3099*(1-I3099),2)</x:f>
        <x:v>22654000</x:v>
      </x:c>
      <x:c r="N3099" s="4" t="str">
        <x:v>Sales manager</x:v>
      </x:c>
      <x:c r="O3099" s="4" t="str">
        <x:v>BOOK-03098</x:v>
      </x:c>
      <x:c r="P3099" s="9" t="n">
        <x:v>22654000</x:v>
      </x:c>
      <x:c r="Q3099" s="11" t="n">
        <x:v>0</x:v>
      </x:c>
      <x:c r="R3099" s="8" t="n">
        <x:v>45551</x:v>
      </x:c>
      <x:c r="S3099" s="4" t="str">
        <x:v>Retained</x:v>
      </x:c>
      <x:c r="T3099" s="10" t="n">
        <x:v>0.310195</x:v>
      </x:c>
      <x:c r="U3099" s="4" t="str">
        <x:v>Excluded / unlabelled</x:v>
      </x:c>
    </x:row>
    <x:row r="3100" ht="34" customHeight="1">
      <x:c r="A3100" s="4" t="str">
        <x:v>RS-03099</x:v>
      </x:c>
      <x:c r="B3100" s="8" t="n">
        <x:v>45492</x:v>
      </x:c>
      <x:c r="C3100" s="4" t="str">
        <x:v>PRJ-019</x:v>
      </x:c>
      <x:c r="D3100" s="4" t="str">
        <x:v>Retail</x:v>
      </x:c>
      <x:c r="E3100" s="4" t="str">
        <x:v>Reserved</x:v>
      </x:c>
      <x:c r="F3100" s="4" t="str">
        <x:v>CUS-03099</x:v>
      </x:c>
      <x:c r="G3100" s="4" t="str">
        <x:v>UNIT-03099</x:v>
      </x:c>
      <x:c r="H3100" s="9" t="n">
        <x:v>11600000</x:v>
      </x:c>
      <x:c r="I3100" s="10" t="n">
        <x:v>0.09</x:v>
      </x:c>
      <x:c r="J3100" s="11" t="n">
        <x:v>9</x:v>
      </x:c>
      <x:c r="K3100" s="11" t="n">
        <x:v>2</x:v>
      </x:c>
      <x:c r="L3100" s="11" t="n">
        <x:v>0</x:v>
      </x:c>
      <x:c r="M3100" s="9" t="n">
        <x:f>ROUND(H3100*(1-I3100),2)</x:f>
        <x:v>10556000</x:v>
      </x:c>
      <x:c r="N3100" s="4" t="str">
        <x:v>Sales head</x:v>
      </x:c>
      <x:c r="O3100" s="4"/>
      <x:c r="P3100" s="9" t="n">
        <x:v>0</x:v>
      </x:c>
      <x:c r="Q3100" s="11" t="n">
        <x:v>0</x:v>
      </x:c>
      <x:c r="R3100" s="8" t="n">
        <x:v>45552</x:v>
      </x:c>
      <x:c r="S3100" s="4" t="str">
        <x:v>Retained</x:v>
      </x:c>
      <x:c r="T3100" s="10" t="n">
        <x:v>0.310195</x:v>
      </x:c>
      <x:c r="U3100" s="4" t="str">
        <x:v>Excluded / unlabelled</x:v>
      </x:c>
    </x:row>
    <x:row r="3101" ht="34" customHeight="1">
      <x:c r="A3101" s="4" t="str">
        <x:v>RS-03100</x:v>
      </x:c>
      <x:c r="B3101" s="8" t="n">
        <x:v>45493</x:v>
      </x:c>
      <x:c r="C3101" s="4" t="str">
        <x:v>PRJ-020</x:v>
      </x:c>
      <x:c r="D3101" s="4" t="str">
        <x:v>Villa</x:v>
      </x:c>
      <x:c r="E3101" s="4" t="str">
        <x:v>Booked</x:v>
      </x:c>
      <x:c r="F3101" s="4" t="str">
        <x:v>CUS-03100</x:v>
      </x:c>
      <x:c r="G3101" s="4" t="str">
        <x:v>UNIT-03100</x:v>
      </x:c>
      <x:c r="H3101" s="9" t="n">
        <x:v>17500000</x:v>
      </x:c>
      <x:c r="I3101" s="10" t="n">
        <x:v>0.12</x:v>
      </x:c>
      <x:c r="J3101" s="11" t="n">
        <x:v>11</x:v>
      </x:c>
      <x:c r="K3101" s="11" t="n">
        <x:v>0</x:v>
      </x:c>
      <x:c r="L3101" s="11" t="n">
        <x:v>0</x:v>
      </x:c>
      <x:c r="M3101" s="9" t="n">
        <x:f>ROUND(H3101*(1-I3101),2)</x:f>
        <x:v>15400000</x:v>
      </x:c>
      <x:c r="N3101" s="4" t="str">
        <x:v>Sales head</x:v>
      </x:c>
      <x:c r="O3101" s="4" t="str">
        <x:v>BOOK-03100</x:v>
      </x:c>
      <x:c r="P3101" s="9" t="n">
        <x:v>15400000</x:v>
      </x:c>
      <x:c r="Q3101" s="11" t="n">
        <x:v>0</x:v>
      </x:c>
      <x:c r="R3101" s="8" t="n">
        <x:v>45553</x:v>
      </x:c>
      <x:c r="S3101" s="4" t="str">
        <x:v>Retained</x:v>
      </x:c>
      <x:c r="T3101" s="10" t="n">
        <x:v>0.351536</x:v>
      </x:c>
      <x:c r="U3101" s="4" t="str">
        <x:v>Excluded / unlabelled</x:v>
      </x:c>
    </x:row>
    <x:row r="3102" ht="34" customHeight="1">
      <x:c r="A3102" s="4" t="str">
        <x:v>RS-03101</x:v>
      </x:c>
      <x:c r="B3102" s="8" t="n">
        <x:v>45494</x:v>
      </x:c>
      <x:c r="C3102" s="4" t="str">
        <x:v>PRJ-001</x:v>
      </x:c>
      <x:c r="D3102" s="4" t="str">
        <x:v>Villa</x:v>
      </x:c>
      <x:c r="E3102" s="4" t="str">
        <x:v>Cancelled</x:v>
      </x:c>
      <x:c r="F3102" s="4" t="str">
        <x:v>CUS-03101</x:v>
      </x:c>
      <x:c r="G3102" s="4" t="str">
        <x:v>UNIT-03101</x:v>
      </x:c>
      <x:c r="H3102" s="9" t="n">
        <x:v>18800000</x:v>
      </x:c>
      <x:c r="I3102" s="10" t="n">
        <x:v>0.05</x:v>
      </x:c>
      <x:c r="J3102" s="11" t="n">
        <x:v>5</x:v>
      </x:c>
      <x:c r="K3102" s="11" t="n">
        <x:v>5</x:v>
      </x:c>
      <x:c r="L3102" s="11" t="n">
        <x:v>0</x:v>
      </x:c>
      <x:c r="M3102" s="9" t="n">
        <x:f>ROUND(H3102*(1-I3102),2)</x:f>
        <x:v>17860000</x:v>
      </x:c>
      <x:c r="N3102" s="4" t="str">
        <x:v>Sales manager</x:v>
      </x:c>
      <x:c r="O3102" s="4"/>
      <x:c r="P3102" s="9" t="n">
        <x:v>0</x:v>
      </x:c>
      <x:c r="Q3102" s="11" t="n">
        <x:v>1</x:v>
      </x:c>
      <x:c r="R3102" s="8" t="n">
        <x:v>45554</x:v>
      </x:c>
      <x:c r="S3102" s="4" t="str">
        <x:v>Lost / cancelled</x:v>
      </x:c>
      <x:c r="T3102" s="10" t="n">
        <x:v>0.226277</x:v>
      </x:c>
      <x:c r="U3102" s="4" t="str">
        <x:v>Excluded / unlabelled</x:v>
      </x:c>
    </x:row>
    <x:row r="3103" ht="34" customHeight="1">
      <x:c r="A3103" s="4" t="str">
        <x:v>RS-03102</x:v>
      </x:c>
      <x:c r="B3103" s="8" t="n">
        <x:v>45495</x:v>
      </x:c>
      <x:c r="C3103" s="4" t="str">
        <x:v>PRJ-002</x:v>
      </x:c>
      <x:c r="D3103" s="4" t="str">
        <x:v>Retail</x:v>
      </x:c>
      <x:c r="E3103" s="4" t="str">
        <x:v>Enquiry</x:v>
      </x:c>
      <x:c r="F3103" s="4" t="str">
        <x:v>CUS-03102</x:v>
      </x:c>
      <x:c r="G3103" s="4" t="str">
        <x:v>UNIT-03102</x:v>
      </x:c>
      <x:c r="H3103" s="9" t="n">
        <x:v>12400000</x:v>
      </x:c>
      <x:c r="I3103" s="10" t="n">
        <x:v>0.08</x:v>
      </x:c>
      <x:c r="J3103" s="11" t="n">
        <x:v>8</x:v>
      </x:c>
      <x:c r="K3103" s="11" t="n">
        <x:v>5</x:v>
      </x:c>
      <x:c r="L3103" s="11" t="n">
        <x:v>1</x:v>
      </x:c>
      <x:c r="M3103" s="9" t="n">
        <x:f>ROUND(H3103*(1-I3103),2)</x:f>
        <x:v>11408000</x:v>
      </x:c>
      <x:c r="N3103" s="4" t="str">
        <x:v>Sales head</x:v>
      </x:c>
      <x:c r="O3103" s="4"/>
      <x:c r="P3103" s="9" t="n">
        <x:v>0</x:v>
      </x:c>
      <x:c r="Q3103" s="11" t="n">
        <x:v>0</x:v>
      </x:c>
      <x:c r="R3103" s="8" t="n">
        <x:v>45555</x:v>
      </x:c>
      <x:c r="S3103" s="4" t="str">
        <x:v>Retained</x:v>
      </x:c>
      <x:c r="T3103" s="10" t="n">
        <x:v>0.310195</x:v>
      </x:c>
      <x:c r="U3103" s="4" t="str">
        <x:v>Excluded / unlabelled</x:v>
      </x:c>
    </x:row>
    <x:row r="3104" ht="34" customHeight="1">
      <x:c r="A3104" s="4" t="str">
        <x:v>RS-03103</x:v>
      </x:c>
      <x:c r="B3104" s="8" t="n">
        <x:v>45496</x:v>
      </x:c>
      <x:c r="C3104" s="4" t="str">
        <x:v>PRJ-003</x:v>
      </x:c>
      <x:c r="D3104" s="4" t="str">
        <x:v>Villa</x:v>
      </x:c>
      <x:c r="E3104" s="4" t="str">
        <x:v>Cancelled</x:v>
      </x:c>
      <x:c r="F3104" s="4" t="str">
        <x:v>CUS-03103</x:v>
      </x:c>
      <x:c r="G3104" s="4" t="str">
        <x:v>UNIT-03103</x:v>
      </x:c>
      <x:c r="H3104" s="9" t="n">
        <x:v>4600000</x:v>
      </x:c>
      <x:c r="I3104" s="10" t="n">
        <x:v>0.02</x:v>
      </x:c>
      <x:c r="J3104" s="11" t="n">
        <x:v>6</x:v>
      </x:c>
      <x:c r="K3104" s="11" t="n">
        <x:v>10</x:v>
      </x:c>
      <x:c r="L3104" s="11" t="n">
        <x:v>1</x:v>
      </x:c>
      <x:c r="M3104" s="9" t="n">
        <x:f>ROUND(H3104*(1-I3104),2)</x:f>
        <x:v>4508000</x:v>
      </x:c>
      <x:c r="N3104" s="4" t="str">
        <x:v>Sales manager</x:v>
      </x:c>
      <x:c r="O3104" s="4"/>
      <x:c r="P3104" s="9" t="n">
        <x:v>0</x:v>
      </x:c>
      <x:c r="Q3104" s="11" t="n">
        <x:v>1</x:v>
      </x:c>
      <x:c r="R3104" s="8" t="n">
        <x:v>45556</x:v>
      </x:c>
      <x:c r="S3104" s="4" t="str">
        <x:v>Lost / cancelled</x:v>
      </x:c>
      <x:c r="T3104" s="10" t="n">
        <x:v>0.145299</x:v>
      </x:c>
      <x:c r="U3104" s="4" t="str">
        <x:v>Excluded / unlabelled</x:v>
      </x:c>
    </x:row>
    <x:row r="3105" ht="34" customHeight="1">
      <x:c r="A3105" s="4" t="str">
        <x:v>RS-03104</x:v>
      </x:c>
      <x:c r="B3105" s="8" t="n">
        <x:v>45497</x:v>
      </x:c>
      <x:c r="C3105" s="4" t="str">
        <x:v>PRJ-004</x:v>
      </x:c>
      <x:c r="D3105" s="4" t="str">
        <x:v>Office</x:v>
      </x:c>
      <x:c r="E3105" s="4" t="str">
        <x:v>Booked</x:v>
      </x:c>
      <x:c r="F3105" s="4" t="str">
        <x:v>CUS-03104</x:v>
      </x:c>
      <x:c r="G3105" s="4" t="str">
        <x:v>UNIT-03104</x:v>
      </x:c>
      <x:c r="H3105" s="9" t="n">
        <x:v>7300000</x:v>
      </x:c>
      <x:c r="I3105" s="10" t="n">
        <x:v>0.09</x:v>
      </x:c>
      <x:c r="J3105" s="11" t="n">
        <x:v>8</x:v>
      </x:c>
      <x:c r="K3105" s="11" t="n">
        <x:v>3</x:v>
      </x:c>
      <x:c r="L3105" s="11" t="n">
        <x:v>0</x:v>
      </x:c>
      <x:c r="M3105" s="9" t="n">
        <x:f>ROUND(H3105*(1-I3105),2)</x:f>
        <x:v>6643000</x:v>
      </x:c>
      <x:c r="N3105" s="4" t="str">
        <x:v>Sales head</x:v>
      </x:c>
      <x:c r="O3105" s="4" t="str">
        <x:v>BOOK-03104</x:v>
      </x:c>
      <x:c r="P3105" s="9" t="n">
        <x:v>6643000</x:v>
      </x:c>
      <x:c r="Q3105" s="11" t="n">
        <x:v>0</x:v>
      </x:c>
      <x:c r="R3105" s="8" t="n">
        <x:v>45557</x:v>
      </x:c>
      <x:c r="S3105" s="4" t="str">
        <x:v>Retained</x:v>
      </x:c>
      <x:c r="T3105" s="10" t="n">
        <x:v>0.310195</x:v>
      </x:c>
      <x:c r="U3105" s="4" t="str">
        <x:v>Excluded / unlabelled</x:v>
      </x:c>
    </x:row>
    <x:row r="3106" ht="34" customHeight="1">
      <x:c r="A3106" s="4" t="str">
        <x:v>RS-03105</x:v>
      </x:c>
      <x:c r="B3106" s="8" t="n">
        <x:v>45498</x:v>
      </x:c>
      <x:c r="C3106" s="4" t="str">
        <x:v>PRJ-005</x:v>
      </x:c>
      <x:c r="D3106" s="4" t="str">
        <x:v>Retail</x:v>
      </x:c>
      <x:c r="E3106" s="4" t="str">
        <x:v>Reserved</x:v>
      </x:c>
      <x:c r="F3106" s="4" t="str">
        <x:v>CUS-03105</x:v>
      </x:c>
      <x:c r="G3106" s="4" t="str">
        <x:v>UNIT-03105</x:v>
      </x:c>
      <x:c r="H3106" s="9" t="n">
        <x:v>8400000</x:v>
      </x:c>
      <x:c r="I3106" s="10" t="n">
        <x:v>0.02</x:v>
      </x:c>
      <x:c r="J3106" s="11" t="n">
        <x:v>10</x:v>
      </x:c>
      <x:c r="K3106" s="11" t="n">
        <x:v>0</x:v>
      </x:c>
      <x:c r="L3106" s="11" t="n">
        <x:v>1</x:v>
      </x:c>
      <x:c r="M3106" s="9" t="n">
        <x:f>ROUND(H3106*(1-I3106),2)</x:f>
        <x:v>8232000</x:v>
      </x:c>
      <x:c r="N3106" s="4" t="str">
        <x:v>Sales manager</x:v>
      </x:c>
      <x:c r="O3106" s="4"/>
      <x:c r="P3106" s="9" t="n">
        <x:v>0</x:v>
      </x:c>
      <x:c r="Q3106" s="11" t="n">
        <x:v>0</x:v>
      </x:c>
      <x:c r="R3106" s="8" t="n">
        <x:v>45558</x:v>
      </x:c>
      <x:c r="S3106" s="4" t="str">
        <x:v>Retained</x:v>
      </x:c>
      <x:c r="T3106" s="10" t="n">
        <x:v>0.254545</x:v>
      </x:c>
      <x:c r="U3106" s="4" t="str">
        <x:v>Excluded / unlabelled</x:v>
      </x:c>
    </x:row>
    <x:row r="3107" ht="34" customHeight="1">
      <x:c r="A3107" s="4" t="str">
        <x:v>RS-03106</x:v>
      </x:c>
      <x:c r="B3107" s="8" t="n">
        <x:v>45499</x:v>
      </x:c>
      <x:c r="C3107" s="4" t="str">
        <x:v>PRJ-006</x:v>
      </x:c>
      <x:c r="D3107" s="4" t="str">
        <x:v>Retail</x:v>
      </x:c>
      <x:c r="E3107" s="4" t="str">
        <x:v>Booked</x:v>
      </x:c>
      <x:c r="F3107" s="4" t="str">
        <x:v>CUS-03106</x:v>
      </x:c>
      <x:c r="G3107" s="4" t="str">
        <x:v>UNIT-03106</x:v>
      </x:c>
      <x:c r="H3107" s="9" t="n">
        <x:v>5600000</x:v>
      </x:c>
      <x:c r="I3107" s="10" t="n">
        <x:v>0.09</x:v>
      </x:c>
      <x:c r="J3107" s="11" t="n">
        <x:v>11</x:v>
      </x:c>
      <x:c r="K3107" s="11" t="n">
        <x:v>9</x:v>
      </x:c>
      <x:c r="L3107" s="11" t="n">
        <x:v>0</x:v>
      </x:c>
      <x:c r="M3107" s="9" t="n">
        <x:f>ROUND(H3107*(1-I3107),2)</x:f>
        <x:v>5096000</x:v>
      </x:c>
      <x:c r="N3107" s="4" t="str">
        <x:v>Sales head</x:v>
      </x:c>
      <x:c r="O3107" s="4" t="str">
        <x:v>BOOK-03106</x:v>
      </x:c>
      <x:c r="P3107" s="9" t="n">
        <x:v>509600</x:v>
      </x:c>
      <x:c r="Q3107" s="11" t="n">
        <x:v>0</x:v>
      </x:c>
      <x:c r="R3107" s="8" t="n">
        <x:v>45559</x:v>
      </x:c>
      <x:c r="S3107" s="4" t="str">
        <x:v>Retained</x:v>
      </x:c>
      <x:c r="T3107" s="10" t="n">
        <x:v>0.351536</x:v>
      </x:c>
      <x:c r="U3107" s="4" t="str">
        <x:v>Excluded / unlabelled</x:v>
      </x:c>
    </x:row>
    <x:row r="3108" ht="34" customHeight="1">
      <x:c r="A3108" s="4" t="str">
        <x:v>RS-03107</x:v>
      </x:c>
      <x:c r="B3108" s="8" t="n">
        <x:v>45500</x:v>
      </x:c>
      <x:c r="C3108" s="4" t="str">
        <x:v>PRJ-007</x:v>
      </x:c>
      <x:c r="D3108" s="4" t="str">
        <x:v>Retail</x:v>
      </x:c>
      <x:c r="E3108" s="4" t="str">
        <x:v>Cancelled</x:v>
      </x:c>
      <x:c r="F3108" s="4" t="str">
        <x:v>CUS-03107</x:v>
      </x:c>
      <x:c r="G3108" s="4" t="str">
        <x:v>UNIT-03107</x:v>
      </x:c>
      <x:c r="H3108" s="9" t="n">
        <x:v>9500000</x:v>
      </x:c>
      <x:c r="I3108" s="10" t="n">
        <x:v>0.1</x:v>
      </x:c>
      <x:c r="J3108" s="11" t="n">
        <x:v>1</x:v>
      </x:c>
      <x:c r="K3108" s="11" t="n">
        <x:v>2</x:v>
      </x:c>
      <x:c r="L3108" s="11" t="n">
        <x:v>0</x:v>
      </x:c>
      <x:c r="M3108" s="9" t="n">
        <x:f>ROUND(H3108*(1-I3108),2)</x:f>
        <x:v>8550000</x:v>
      </x:c>
      <x:c r="N3108" s="4" t="str">
        <x:v>Sales head</x:v>
      </x:c>
      <x:c r="O3108" s="4"/>
      <x:c r="P3108" s="9" t="n">
        <x:v>0</x:v>
      </x:c>
      <x:c r="Q3108" s="11" t="n">
        <x:v>1</x:v>
      </x:c>
      <x:c r="R3108" s="8" t="n">
        <x:v>45560</x:v>
      </x:c>
      <x:c r="S3108" s="4" t="str">
        <x:v>Lost / cancelled</x:v>
      </x:c>
      <x:c r="T3108" s="10" t="n">
        <x:v>0.145833</x:v>
      </x:c>
      <x:c r="U3108" s="4" t="str">
        <x:v>Excluded / unlabelled</x:v>
      </x:c>
    </x:row>
    <x:row r="3109" ht="34" customHeight="1">
      <x:c r="A3109" s="4" t="str">
        <x:v>RS-03108</x:v>
      </x:c>
      <x:c r="B3109" s="8" t="n">
        <x:v>45501</x:v>
      </x:c>
      <x:c r="C3109" s="4" t="str">
        <x:v>PRJ-008</x:v>
      </x:c>
      <x:c r="D3109" s="4" t="str">
        <x:v>Office</x:v>
      </x:c>
      <x:c r="E3109" s="4" t="str">
        <x:v>Agreement signed</x:v>
      </x:c>
      <x:c r="F3109" s="4" t="str">
        <x:v>CUS-03108</x:v>
      </x:c>
      <x:c r="G3109" s="4" t="str">
        <x:v>UNIT-03108</x:v>
      </x:c>
      <x:c r="H3109" s="9" t="n">
        <x:v>22700000</x:v>
      </x:c>
      <x:c r="I3109" s="10" t="n">
        <x:v>0.05</x:v>
      </x:c>
      <x:c r="J3109" s="11" t="n">
        <x:v>5</x:v>
      </x:c>
      <x:c r="K3109" s="11" t="n">
        <x:v>8</x:v>
      </x:c>
      <x:c r="L3109" s="11" t="n">
        <x:v>1</x:v>
      </x:c>
      <x:c r="M3109" s="9" t="n">
        <x:f>ROUND(H3109*(1-I3109),2)</x:f>
        <x:v>21565000</x:v>
      </x:c>
      <x:c r="N3109" s="4" t="str">
        <x:v>Sales manager</x:v>
      </x:c>
      <x:c r="O3109" s="4" t="str">
        <x:v>BOOK-03108</x:v>
      </x:c>
      <x:c r="P3109" s="9" t="n">
        <x:v>5391250</x:v>
      </x:c>
      <x:c r="Q3109" s="11" t="n">
        <x:v>0</x:v>
      </x:c>
      <x:c r="R3109" s="8" t="n">
        <x:v>45561</x:v>
      </x:c>
      <x:c r="S3109" s="4" t="str">
        <x:v>Retained</x:v>
      </x:c>
      <x:c r="T3109" s="10" t="n">
        <x:v>0.291946</x:v>
      </x:c>
      <x:c r="U3109" s="4" t="str">
        <x:v>Excluded / unlabelled</x:v>
      </x:c>
    </x:row>
    <x:row r="3110" ht="34" customHeight="1">
      <x:c r="A3110" s="4" t="str">
        <x:v>RS-03109</x:v>
      </x:c>
      <x:c r="B3110" s="8" t="n">
        <x:v>45474</x:v>
      </x:c>
      <x:c r="C3110" s="4" t="str">
        <x:v>PRJ-009</x:v>
      </x:c>
      <x:c r="D3110" s="4" t="str">
        <x:v>Retail</x:v>
      </x:c>
      <x:c r="E3110" s="4" t="str">
        <x:v>Reserved</x:v>
      </x:c>
      <x:c r="F3110" s="4" t="str">
        <x:v>CUS-03109</x:v>
      </x:c>
      <x:c r="G3110" s="4" t="str">
        <x:v>UNIT-03109</x:v>
      </x:c>
      <x:c r="H3110" s="9" t="n">
        <x:v>7700000</x:v>
      </x:c>
      <x:c r="I3110" s="10" t="n">
        <x:v>0.1</x:v>
      </x:c>
      <x:c r="J3110" s="11" t="n">
        <x:v>3</x:v>
      </x:c>
      <x:c r="K3110" s="11" t="n">
        <x:v>10</x:v>
      </x:c>
      <x:c r="L3110" s="11" t="n">
        <x:v>1</x:v>
      </x:c>
      <x:c r="M3110" s="9" t="n">
        <x:f>ROUND(H3110*(1-I3110),2)</x:f>
        <x:v>6930000</x:v>
      </x:c>
      <x:c r="N3110" s="4" t="str">
        <x:v>Sales head</x:v>
      </x:c>
      <x:c r="O3110" s="4"/>
      <x:c r="P3110" s="9" t="n">
        <x:v>0</x:v>
      </x:c>
      <x:c r="Q3110" s="11" t="n">
        <x:v>0</x:v>
      </x:c>
      <x:c r="R3110" s="8" t="n">
        <x:v>45534</x:v>
      </x:c>
      <x:c r="S3110" s="4" t="str">
        <x:v>Retained</x:v>
      </x:c>
      <x:c r="T3110" s="10" t="n">
        <x:v>0.145833</x:v>
      </x:c>
      <x:c r="U3110" s="4" t="str">
        <x:v>Excluded / unlabelled</x:v>
      </x:c>
    </x:row>
    <x:row r="3111" ht="34" customHeight="1">
      <x:c r="A3111" s="4" t="str">
        <x:v>RS-03110</x:v>
      </x:c>
      <x:c r="B3111" s="8" t="n">
        <x:v>45475</x:v>
      </x:c>
      <x:c r="C3111" s="4" t="str">
        <x:v>PRJ-010</x:v>
      </x:c>
      <x:c r="D3111" s="4" t="str">
        <x:v>Apartment</x:v>
      </x:c>
      <x:c r="E3111" s="4" t="str">
        <x:v>Reserved</x:v>
      </x:c>
      <x:c r="F3111" s="4" t="str">
        <x:v>CUS-03110</x:v>
      </x:c>
      <x:c r="G3111" s="4" t="str">
        <x:v>UNIT-03110</x:v>
      </x:c>
      <x:c r="H3111" s="9" t="n">
        <x:v>5600000</x:v>
      </x:c>
      <x:c r="I3111" s="10" t="n">
        <x:v>0.05</x:v>
      </x:c>
      <x:c r="J3111" s="11" t="n">
        <x:v>12</x:v>
      </x:c>
      <x:c r="K3111" s="11" t="n">
        <x:v>1</x:v>
      </x:c>
      <x:c r="L3111" s="11" t="n">
        <x:v>0</x:v>
      </x:c>
      <x:c r="M3111" s="9" t="n">
        <x:f>ROUND(H3111*(1-I3111),2)</x:f>
        <x:v>5320000</x:v>
      </x:c>
      <x:c r="N3111" s="4" t="str">
        <x:v>Sales manager</x:v>
      </x:c>
      <x:c r="O3111" s="4"/>
      <x:c r="P3111" s="9" t="n">
        <x:v>0</x:v>
      </x:c>
      <x:c r="Q3111" s="11" t="n">
        <x:v>0</x:v>
      </x:c>
      <x:c r="R3111" s="8" t="n">
        <x:v>45535</x:v>
      </x:c>
      <x:c r="S3111" s="4" t="str">
        <x:v>Retained</x:v>
      </x:c>
      <x:c r="T3111" s="10" t="n">
        <x:v>0.351536</x:v>
      </x:c>
      <x:c r="U3111" s="4" t="str">
        <x:v>Excluded / unlabelled</x:v>
      </x:c>
    </x:row>
    <x:row r="3112" ht="34" customHeight="1">
      <x:c r="A3112" s="4" t="str">
        <x:v>RS-03111</x:v>
      </x:c>
      <x:c r="B3112" s="8" t="n">
        <x:v>45476</x:v>
      </x:c>
      <x:c r="C3112" s="4" t="str">
        <x:v>PRJ-011</x:v>
      </x:c>
      <x:c r="D3112" s="4" t="str">
        <x:v>Villa</x:v>
      </x:c>
      <x:c r="E3112" s="4" t="str">
        <x:v>Booked</x:v>
      </x:c>
      <x:c r="F3112" s="4" t="str">
        <x:v>CUS-03111</x:v>
      </x:c>
      <x:c r="G3112" s="4" t="str">
        <x:v>UNIT-03111</x:v>
      </x:c>
      <x:c r="H3112" s="9" t="n">
        <x:v>5700000</x:v>
      </x:c>
      <x:c r="I3112" s="10" t="n">
        <x:v>0.05</x:v>
      </x:c>
      <x:c r="J3112" s="11" t="n">
        <x:v>8</x:v>
      </x:c>
      <x:c r="K3112" s="11" t="n">
        <x:v>2</x:v>
      </x:c>
      <x:c r="L3112" s="11" t="n">
        <x:v>1</x:v>
      </x:c>
      <x:c r="M3112" s="9" t="n">
        <x:f>ROUND(H3112*(1-I3112),2)</x:f>
        <x:v>5415000</x:v>
      </x:c>
      <x:c r="N3112" s="4" t="str">
        <x:v>Sales manager</x:v>
      </x:c>
      <x:c r="O3112" s="4" t="str">
        <x:v>BOOK-03111</x:v>
      </x:c>
      <x:c r="P3112" s="9" t="n">
        <x:v>2707500</x:v>
      </x:c>
      <x:c r="Q3112" s="11" t="n">
        <x:v>0</x:v>
      </x:c>
      <x:c r="R3112" s="8" t="n">
        <x:v>45536</x:v>
      </x:c>
      <x:c r="S3112" s="4" t="str">
        <x:v>Retained</x:v>
      </x:c>
      <x:c r="T3112" s="10" t="n">
        <x:v>0.310195</x:v>
      </x:c>
      <x:c r="U3112" s="4" t="str">
        <x:v>Excluded / unlabelled</x:v>
      </x:c>
    </x:row>
    <x:row r="3113" ht="34" customHeight="1">
      <x:c r="A3113" s="4" t="str">
        <x:v>RS-03112</x:v>
      </x:c>
      <x:c r="B3113" s="8" t="n">
        <x:v>45477</x:v>
      </x:c>
      <x:c r="C3113" s="4" t="str">
        <x:v>PRJ-012</x:v>
      </x:c>
      <x:c r="D3113" s="4" t="str">
        <x:v>Apartment</x:v>
      </x:c>
      <x:c r="E3113" s="4" t="str">
        <x:v>Handed over</x:v>
      </x:c>
      <x:c r="F3113" s="4" t="str">
        <x:v>CUS-03112</x:v>
      </x:c>
      <x:c r="G3113" s="4" t="str">
        <x:v>UNIT-03112</x:v>
      </x:c>
      <x:c r="H3113" s="9" t="n">
        <x:v>24600000</x:v>
      </x:c>
      <x:c r="I3113" s="10" t="n">
        <x:v>0.07</x:v>
      </x:c>
      <x:c r="J3113" s="11" t="n">
        <x:v>12</x:v>
      </x:c>
      <x:c r="K3113" s="11" t="n">
        <x:v>7</x:v>
      </x:c>
      <x:c r="L3113" s="11" t="n">
        <x:v>0</x:v>
      </x:c>
      <x:c r="M3113" s="9" t="n">
        <x:f>ROUND(H3113*(1-I3113),2)</x:f>
        <x:v>22878000</x:v>
      </x:c>
      <x:c r="N3113" s="4" t="str">
        <x:v>Sales manager</x:v>
      </x:c>
      <x:c r="O3113" s="4" t="str">
        <x:v>BOOK-03112</x:v>
      </x:c>
      <x:c r="P3113" s="9" t="n">
        <x:v>22878000</x:v>
      </x:c>
      <x:c r="Q3113" s="11" t="n">
        <x:v>0</x:v>
      </x:c>
      <x:c r="R3113" s="8" t="n">
        <x:v>45537</x:v>
      </x:c>
      <x:c r="S3113" s="4" t="str">
        <x:v>Retained</x:v>
      </x:c>
      <x:c r="T3113" s="10" t="n">
        <x:v>0.351536</x:v>
      </x:c>
      <x:c r="U3113" s="4" t="str">
        <x:v>Excluded / unlabelled</x:v>
      </x:c>
    </x:row>
    <x:row r="3114" ht="34" customHeight="1">
      <x:c r="A3114" s="4" t="str">
        <x:v>RS-03113</x:v>
      </x:c>
      <x:c r="B3114" s="8" t="n">
        <x:v>45478</x:v>
      </x:c>
      <x:c r="C3114" s="4" t="str">
        <x:v>PRJ-013</x:v>
      </x:c>
      <x:c r="D3114" s="4" t="str">
        <x:v>Retail</x:v>
      </x:c>
      <x:c r="E3114" s="4" t="str">
        <x:v>Cancelled</x:v>
      </x:c>
      <x:c r="F3114" s="4" t="str">
        <x:v>CUS-03113</x:v>
      </x:c>
      <x:c r="G3114" s="4" t="str">
        <x:v>UNIT-03113</x:v>
      </x:c>
      <x:c r="H3114" s="9" t="n">
        <x:v>4400000</x:v>
      </x:c>
      <x:c r="I3114" s="10" t="n">
        <x:v>0.06</x:v>
      </x:c>
      <x:c r="J3114" s="11" t="n">
        <x:v>12</x:v>
      </x:c>
      <x:c r="K3114" s="11" t="n">
        <x:v>7</x:v>
      </x:c>
      <x:c r="L3114" s="11" t="n">
        <x:v>1</x:v>
      </x:c>
      <x:c r="M3114" s="9" t="n">
        <x:f>ROUND(H3114*(1-I3114),2)</x:f>
        <x:v>4136000</x:v>
      </x:c>
      <x:c r="N3114" s="4" t="str">
        <x:v>Sales manager</x:v>
      </x:c>
      <x:c r="O3114" s="4"/>
      <x:c r="P3114" s="9" t="n">
        <x:v>0</x:v>
      </x:c>
      <x:c r="Q3114" s="11" t="n">
        <x:v>1</x:v>
      </x:c>
      <x:c r="R3114" s="8" t="n">
        <x:v>45538</x:v>
      </x:c>
      <x:c r="S3114" s="4" t="str">
        <x:v>Lost / cancelled</x:v>
      </x:c>
      <x:c r="T3114" s="10" t="n">
        <x:v>0.351536</x:v>
      </x:c>
      <x:c r="U3114" s="4" t="str">
        <x:v>Excluded / unlabelled</x:v>
      </x:c>
    </x:row>
    <x:row r="3115" ht="34" customHeight="1">
      <x:c r="A3115" s="4" t="str">
        <x:v>RS-03114</x:v>
      </x:c>
      <x:c r="B3115" s="8" t="n">
        <x:v>45479</x:v>
      </x:c>
      <x:c r="C3115" s="4" t="str">
        <x:v>PRJ-014</x:v>
      </x:c>
      <x:c r="D3115" s="4" t="str">
        <x:v>Villa</x:v>
      </x:c>
      <x:c r="E3115" s="4" t="str">
        <x:v>Cancelled</x:v>
      </x:c>
      <x:c r="F3115" s="4" t="str">
        <x:v>CUS-03114</x:v>
      </x:c>
      <x:c r="G3115" s="4" t="str">
        <x:v>UNIT-03114</x:v>
      </x:c>
      <x:c r="H3115" s="9" t="n">
        <x:v>7700000</x:v>
      </x:c>
      <x:c r="I3115" s="10" t="n">
        <x:v>0.11</x:v>
      </x:c>
      <x:c r="J3115" s="11" t="n">
        <x:v>11</x:v>
      </x:c>
      <x:c r="K3115" s="11" t="n">
        <x:v>0</x:v>
      </x:c>
      <x:c r="L3115" s="11" t="n">
        <x:v>0</x:v>
      </x:c>
      <x:c r="M3115" s="9" t="n">
        <x:f>ROUND(H3115*(1-I3115),2)</x:f>
        <x:v>6853000</x:v>
      </x:c>
      <x:c r="N3115" s="4" t="str">
        <x:v>Sales head</x:v>
      </x:c>
      <x:c r="O3115" s="4"/>
      <x:c r="P3115" s="9" t="n">
        <x:v>0</x:v>
      </x:c>
      <x:c r="Q3115" s="11" t="n">
        <x:v>1</x:v>
      </x:c>
      <x:c r="R3115" s="8" t="n">
        <x:v>45539</x:v>
      </x:c>
      <x:c r="S3115" s="4" t="str">
        <x:v>Lost / cancelled</x:v>
      </x:c>
      <x:c r="T3115" s="10" t="n">
        <x:v>0.351536</x:v>
      </x:c>
      <x:c r="U3115" s="4" t="str">
        <x:v>Excluded / unlabelled</x:v>
      </x:c>
    </x:row>
    <x:row r="3116" ht="34" customHeight="1">
      <x:c r="A3116" s="4" t="str">
        <x:v>RS-03115</x:v>
      </x:c>
      <x:c r="B3116" s="8" t="n">
        <x:v>45480</x:v>
      </x:c>
      <x:c r="C3116" s="4" t="str">
        <x:v>PRJ-015</x:v>
      </x:c>
      <x:c r="D3116" s="4" t="str">
        <x:v>Apartment</x:v>
      </x:c>
      <x:c r="E3116" s="4" t="str">
        <x:v>Reserved</x:v>
      </x:c>
      <x:c r="F3116" s="4" t="str">
        <x:v>CUS-03115</x:v>
      </x:c>
      <x:c r="G3116" s="4" t="str">
        <x:v>UNIT-03115</x:v>
      </x:c>
      <x:c r="H3116" s="9" t="n">
        <x:v>23400000</x:v>
      </x:c>
      <x:c r="I3116" s="10" t="n">
        <x:v>0.09</x:v>
      </x:c>
      <x:c r="J3116" s="11" t="n">
        <x:v>9</x:v>
      </x:c>
      <x:c r="K3116" s="11" t="n">
        <x:v>10</x:v>
      </x:c>
      <x:c r="L3116" s="11" t="n">
        <x:v>0</x:v>
      </x:c>
      <x:c r="M3116" s="9" t="n">
        <x:f>ROUND(H3116*(1-I3116),2)</x:f>
        <x:v>21294000</x:v>
      </x:c>
      <x:c r="N3116" s="4" t="str">
        <x:v>Sales head</x:v>
      </x:c>
      <x:c r="O3116" s="4"/>
      <x:c r="P3116" s="9" t="n">
        <x:v>0</x:v>
      </x:c>
      <x:c r="Q3116" s="11" t="n">
        <x:v>0</x:v>
      </x:c>
      <x:c r="R3116" s="8" t="n">
        <x:v>45540</x:v>
      </x:c>
      <x:c r="S3116" s="4" t="str">
        <x:v>Retained</x:v>
      </x:c>
      <x:c r="T3116" s="10" t="n">
        <x:v>0.310195</x:v>
      </x:c>
      <x:c r="U3116" s="4" t="str">
        <x:v>Excluded / unlabelled</x:v>
      </x:c>
    </x:row>
    <x:row r="3117" ht="34" customHeight="1">
      <x:c r="A3117" s="4" t="str">
        <x:v>RS-03116</x:v>
      </x:c>
      <x:c r="B3117" s="8" t="n">
        <x:v>45481</x:v>
      </x:c>
      <x:c r="C3117" s="4" t="str">
        <x:v>PRJ-016</x:v>
      </x:c>
      <x:c r="D3117" s="4" t="str">
        <x:v>Apartment</x:v>
      </x:c>
      <x:c r="E3117" s="4" t="str">
        <x:v>Booked</x:v>
      </x:c>
      <x:c r="F3117" s="4" t="str">
        <x:v>CUS-03116</x:v>
      </x:c>
      <x:c r="G3117" s="4" t="str">
        <x:v>UNIT-03116</x:v>
      </x:c>
      <x:c r="H3117" s="9" t="n">
        <x:v>7600000</x:v>
      </x:c>
      <x:c r="I3117" s="10" t="n">
        <x:v>0.08</x:v>
      </x:c>
      <x:c r="J3117" s="11" t="n">
        <x:v>0</x:v>
      </x:c>
      <x:c r="K3117" s="11" t="n">
        <x:v>6</x:v>
      </x:c>
      <x:c r="L3117" s="11" t="n">
        <x:v>1</x:v>
      </x:c>
      <x:c r="M3117" s="9" t="n">
        <x:f>ROUND(H3117*(1-I3117),2)</x:f>
        <x:v>6992000</x:v>
      </x:c>
      <x:c r="N3117" s="4" t="str">
        <x:v>Sales head</x:v>
      </x:c>
      <x:c r="O3117" s="4" t="str">
        <x:v>BOOK-03116</x:v>
      </x:c>
      <x:c r="P3117" s="9" t="n">
        <x:v>699200</x:v>
      </x:c>
      <x:c r="Q3117" s="11" t="n">
        <x:v>0</x:v>
      </x:c>
      <x:c r="R3117" s="8" t="n">
        <x:v>45541</x:v>
      </x:c>
      <x:c r="S3117" s="4" t="str">
        <x:v>Retained</x:v>
      </x:c>
      <x:c r="T3117" s="10" t="n">
        <x:v>0.204152</x:v>
      </x:c>
      <x:c r="U3117" s="4" t="str">
        <x:v>Excluded / unlabelled</x:v>
      </x:c>
    </x:row>
    <x:row r="3118" ht="34" customHeight="1">
      <x:c r="A3118" s="4" t="str">
        <x:v>RS-03117</x:v>
      </x:c>
      <x:c r="B3118" s="8" t="n">
        <x:v>45482</x:v>
      </x:c>
      <x:c r="C3118" s="4" t="str">
        <x:v>PRJ-017</x:v>
      </x:c>
      <x:c r="D3118" s="4" t="str">
        <x:v>Office</x:v>
      </x:c>
      <x:c r="E3118" s="4" t="str">
        <x:v>Reserved</x:v>
      </x:c>
      <x:c r="F3118" s="4" t="str">
        <x:v>CUS-03117</x:v>
      </x:c>
      <x:c r="G3118" s="4" t="str">
        <x:v>UNIT-03117</x:v>
      </x:c>
      <x:c r="H3118" s="9" t="n">
        <x:v>24000000</x:v>
      </x:c>
      <x:c r="I3118" s="10" t="n">
        <x:v>0.09</x:v>
      </x:c>
      <x:c r="J3118" s="11" t="n">
        <x:v>11</x:v>
      </x:c>
      <x:c r="K3118" s="11" t="n">
        <x:v>3</x:v>
      </x:c>
      <x:c r="L3118" s="11" t="n">
        <x:v>0</x:v>
      </x:c>
      <x:c r="M3118" s="9" t="n">
        <x:f>ROUND(H3118*(1-I3118),2)</x:f>
        <x:v>21840000</x:v>
      </x:c>
      <x:c r="N3118" s="4" t="str">
        <x:v>Sales head</x:v>
      </x:c>
      <x:c r="O3118" s="4"/>
      <x:c r="P3118" s="9" t="n">
        <x:v>0</x:v>
      </x:c>
      <x:c r="Q3118" s="11" t="n">
        <x:v>0</x:v>
      </x:c>
      <x:c r="R3118" s="8" t="n">
        <x:v>45542</x:v>
      </x:c>
      <x:c r="S3118" s="4" t="str">
        <x:v>Retained</x:v>
      </x:c>
      <x:c r="T3118" s="10" t="n">
        <x:v>0.351536</x:v>
      </x:c>
      <x:c r="U3118" s="4" t="str">
        <x:v>Excluded / unlabelled</x:v>
      </x:c>
    </x:row>
    <x:row r="3119" ht="34" customHeight="1">
      <x:c r="A3119" s="4" t="str">
        <x:v>RS-03118</x:v>
      </x:c>
      <x:c r="B3119" s="8" t="n">
        <x:v>45483</x:v>
      </x:c>
      <x:c r="C3119" s="4" t="str">
        <x:v>PRJ-018</x:v>
      </x:c>
      <x:c r="D3119" s="4" t="str">
        <x:v>Office</x:v>
      </x:c>
      <x:c r="E3119" s="4" t="str">
        <x:v>Enquiry</x:v>
      </x:c>
      <x:c r="F3119" s="4" t="str">
        <x:v>CUS-03118</x:v>
      </x:c>
      <x:c r="G3119" s="4" t="str">
        <x:v>UNIT-03118</x:v>
      </x:c>
      <x:c r="H3119" s="9" t="n">
        <x:v>19700000</x:v>
      </x:c>
      <x:c r="I3119" s="10" t="n">
        <x:v>0.09</x:v>
      </x:c>
      <x:c r="J3119" s="11" t="n">
        <x:v>5</x:v>
      </x:c>
      <x:c r="K3119" s="11" t="n">
        <x:v>3</x:v>
      </x:c>
      <x:c r="L3119" s="11" t="n">
        <x:v>0</x:v>
      </x:c>
      <x:c r="M3119" s="9" t="n">
        <x:f>ROUND(H3119*(1-I3119),2)</x:f>
        <x:v>17927000</x:v>
      </x:c>
      <x:c r="N3119" s="4" t="str">
        <x:v>Sales head</x:v>
      </x:c>
      <x:c r="O3119" s="4"/>
      <x:c r="P3119" s="9" t="n">
        <x:v>0</x:v>
      </x:c>
      <x:c r="Q3119" s="11" t="n">
        <x:v>0</x:v>
      </x:c>
      <x:c r="R3119" s="8" t="n">
        <x:v>45543</x:v>
      </x:c>
      <x:c r="S3119" s="4" t="str">
        <x:v>Retained</x:v>
      </x:c>
      <x:c r="T3119" s="10" t="n">
        <x:v>0.226277</x:v>
      </x:c>
      <x:c r="U3119" s="4" t="str">
        <x:v>Excluded / unlabelled</x:v>
      </x:c>
    </x:row>
    <x:row r="3120" ht="34" customHeight="1">
      <x:c r="A3120" s="4" t="str">
        <x:v>RS-03119</x:v>
      </x:c>
      <x:c r="B3120" s="8" t="n">
        <x:v>45484</x:v>
      </x:c>
      <x:c r="C3120" s="4" t="str">
        <x:v>PRJ-019</x:v>
      </x:c>
      <x:c r="D3120" s="4" t="str">
        <x:v>Apartment</x:v>
      </x:c>
      <x:c r="E3120" s="4" t="str">
        <x:v>Handed over</x:v>
      </x:c>
      <x:c r="F3120" s="4" t="str">
        <x:v>CUS-03119</x:v>
      </x:c>
      <x:c r="G3120" s="4" t="str">
        <x:v>UNIT-03119</x:v>
      </x:c>
      <x:c r="H3120" s="9" t="n">
        <x:v>17300000</x:v>
      </x:c>
      <x:c r="I3120" s="10" t="n">
        <x:v>0.07</x:v>
      </x:c>
      <x:c r="J3120" s="11" t="n">
        <x:v>4</x:v>
      </x:c>
      <x:c r="K3120" s="11" t="n">
        <x:v>5</x:v>
      </x:c>
      <x:c r="L3120" s="11" t="n">
        <x:v>0</x:v>
      </x:c>
      <x:c r="M3120" s="9" t="n">
        <x:f>ROUND(H3120*(1-I3120),2)</x:f>
        <x:v>16089000</x:v>
      </x:c>
      <x:c r="N3120" s="4" t="str">
        <x:v>Sales manager</x:v>
      </x:c>
      <x:c r="O3120" s="4" t="str">
        <x:v>BOOK-03119</x:v>
      </x:c>
      <x:c r="P3120" s="9" t="n">
        <x:v>4022250</x:v>
      </x:c>
      <x:c r="Q3120" s="11" t="n">
        <x:v>0</x:v>
      </x:c>
      <x:c r="R3120" s="8" t="n">
        <x:v>45544</x:v>
      </x:c>
      <x:c r="S3120" s="4" t="str">
        <x:v>Retained</x:v>
      </x:c>
      <x:c r="T3120" s="10" t="n">
        <x:v>0.226277</x:v>
      </x:c>
      <x:c r="U3120" s="4" t="str">
        <x:v>Excluded / unlabelled</x:v>
      </x:c>
    </x:row>
    <x:row r="3121" ht="34" customHeight="1">
      <x:c r="A3121" s="4" t="str">
        <x:v>RS-03120</x:v>
      </x:c>
      <x:c r="B3121" s="8" t="n">
        <x:v>45485</x:v>
      </x:c>
      <x:c r="C3121" s="4" t="str">
        <x:v>PRJ-020</x:v>
      </x:c>
      <x:c r="D3121" s="4" t="str">
        <x:v>Villa</x:v>
      </x:c>
      <x:c r="E3121" s="4" t="str">
        <x:v>Reserved</x:v>
      </x:c>
      <x:c r="F3121" s="4" t="str">
        <x:v>CUS-03120</x:v>
      </x:c>
      <x:c r="G3121" s="4" t="str">
        <x:v>UNIT-03120</x:v>
      </x:c>
      <x:c r="H3121" s="9" t="n">
        <x:v>16600000</x:v>
      </x:c>
      <x:c r="I3121" s="10" t="n">
        <x:v>0.02</x:v>
      </x:c>
      <x:c r="J3121" s="11" t="n">
        <x:v>2</x:v>
      </x:c>
      <x:c r="K3121" s="11" t="n">
        <x:v>10</x:v>
      </x:c>
      <x:c r="L3121" s="11" t="n">
        <x:v>0</x:v>
      </x:c>
      <x:c r="M3121" s="9" t="n">
        <x:f>ROUND(H3121*(1-I3121),2)</x:f>
        <x:v>16268000</x:v>
      </x:c>
      <x:c r="N3121" s="4" t="str">
        <x:v>Sales manager</x:v>
      </x:c>
      <x:c r="O3121" s="4"/>
      <x:c r="P3121" s="9" t="n">
        <x:v>0</x:v>
      </x:c>
      <x:c r="Q3121" s="11" t="n">
        <x:v>0</x:v>
      </x:c>
      <x:c r="R3121" s="8" t="n">
        <x:v>45545</x:v>
      </x:c>
      <x:c r="S3121" s="4" t="str">
        <x:v>Retained</x:v>
      </x:c>
      <x:c r="T3121" s="10" t="n">
        <x:v>0.171717</x:v>
      </x:c>
      <x:c r="U3121" s="4" t="str">
        <x:v>Excluded / unlabelled</x:v>
      </x:c>
    </x:row>
    <x:row r="3122" ht="34" customHeight="1">
      <x:c r="A3122" s="4" t="str">
        <x:v>RS-03121</x:v>
      </x:c>
      <x:c r="B3122" s="8" t="n">
        <x:v>45486</x:v>
      </x:c>
      <x:c r="C3122" s="4" t="str">
        <x:v>PRJ-001</x:v>
      </x:c>
      <x:c r="D3122" s="4" t="str">
        <x:v>Office</x:v>
      </x:c>
      <x:c r="E3122" s="4" t="str">
        <x:v>Booked</x:v>
      </x:c>
      <x:c r="F3122" s="4" t="str">
        <x:v>CUS-03121</x:v>
      </x:c>
      <x:c r="G3122" s="4" t="str">
        <x:v>UNIT-03121</x:v>
      </x:c>
      <x:c r="H3122" s="9" t="n">
        <x:v>4300000</x:v>
      </x:c>
      <x:c r="I3122" s="10" t="n">
        <x:v>0.04</x:v>
      </x:c>
      <x:c r="J3122" s="11" t="n">
        <x:v>7</x:v>
      </x:c>
      <x:c r="K3122" s="11" t="n">
        <x:v>3</x:v>
      </x:c>
      <x:c r="L3122" s="11" t="n">
        <x:v>0</x:v>
      </x:c>
      <x:c r="M3122" s="9" t="n">
        <x:f>ROUND(H3122*(1-I3122),2)</x:f>
        <x:v>4128000</x:v>
      </x:c>
      <x:c r="N3122" s="4" t="str">
        <x:v>Sales manager</x:v>
      </x:c>
      <x:c r="O3122" s="4" t="str">
        <x:v>BOOK-03121</x:v>
      </x:c>
      <x:c r="P3122" s="9" t="n">
        <x:v>1032000</x:v>
      </x:c>
      <x:c r="Q3122" s="11" t="n">
        <x:v>0</x:v>
      </x:c>
      <x:c r="R3122" s="8" t="n">
        <x:v>45546</x:v>
      </x:c>
      <x:c r="S3122" s="4" t="str">
        <x:v>Retained</x:v>
      </x:c>
      <x:c r="T3122" s="10" t="n">
        <x:v>0.226277</x:v>
      </x:c>
      <x:c r="U3122" s="4" t="str">
        <x:v>Excluded / unlabelled</x:v>
      </x:c>
    </x:row>
    <x:row r="3123" ht="34" customHeight="1">
      <x:c r="A3123" s="4" t="str">
        <x:v>RS-03122</x:v>
      </x:c>
      <x:c r="B3123" s="8" t="n">
        <x:v>45487</x:v>
      </x:c>
      <x:c r="C3123" s="4" t="str">
        <x:v>PRJ-002</x:v>
      </x:c>
      <x:c r="D3123" s="4" t="str">
        <x:v>Office</x:v>
      </x:c>
      <x:c r="E3123" s="4" t="str">
        <x:v>Enquiry</x:v>
      </x:c>
      <x:c r="F3123" s="4" t="str">
        <x:v>CUS-03122</x:v>
      </x:c>
      <x:c r="G3123" s="4" t="str">
        <x:v>UNIT-03122</x:v>
      </x:c>
      <x:c r="H3123" s="9" t="n">
        <x:v>10900000</x:v>
      </x:c>
      <x:c r="I3123" s="10" t="n">
        <x:v>0.05</x:v>
      </x:c>
      <x:c r="J3123" s="11" t="n">
        <x:v>8</x:v>
      </x:c>
      <x:c r="K3123" s="11" t="n">
        <x:v>7</x:v>
      </x:c>
      <x:c r="L3123" s="11" t="n">
        <x:v>0</x:v>
      </x:c>
      <x:c r="M3123" s="9" t="n">
        <x:f>ROUND(H3123*(1-I3123),2)</x:f>
        <x:v>10355000</x:v>
      </x:c>
      <x:c r="N3123" s="4" t="str">
        <x:v>Sales manager</x:v>
      </x:c>
      <x:c r="O3123" s="4"/>
      <x:c r="P3123" s="9" t="n">
        <x:v>0</x:v>
      </x:c>
      <x:c r="Q3123" s="11" t="n">
        <x:v>1</x:v>
      </x:c>
      <x:c r="R3123" s="8" t="n">
        <x:v>45547</x:v>
      </x:c>
      <x:c r="S3123" s="4" t="str">
        <x:v>Lost / cancelled</x:v>
      </x:c>
      <x:c r="T3123" s="10" t="n">
        <x:v>0.310195</x:v>
      </x:c>
      <x:c r="U3123" s="4" t="str">
        <x:v>Excluded / unlabelled</x:v>
      </x:c>
    </x:row>
    <x:row r="3124" ht="34" customHeight="1">
      <x:c r="A3124" s="4" t="str">
        <x:v>RS-03123</x:v>
      </x:c>
      <x:c r="B3124" s="8" t="n">
        <x:v>45488</x:v>
      </x:c>
      <x:c r="C3124" s="4" t="str">
        <x:v>PRJ-003</x:v>
      </x:c>
      <x:c r="D3124" s="4" t="str">
        <x:v>Office</x:v>
      </x:c>
      <x:c r="E3124" s="4" t="str">
        <x:v>Cancelled</x:v>
      </x:c>
      <x:c r="F3124" s="4" t="str">
        <x:v>CUS-03123</x:v>
      </x:c>
      <x:c r="G3124" s="4" t="str">
        <x:v>UNIT-03123</x:v>
      </x:c>
      <x:c r="H3124" s="9" t="n">
        <x:v>7500000</x:v>
      </x:c>
      <x:c r="I3124" s="10" t="n">
        <x:v>0.1</x:v>
      </x:c>
      <x:c r="J3124" s="11" t="n">
        <x:v>1</x:v>
      </x:c>
      <x:c r="K3124" s="11" t="n">
        <x:v>2</x:v>
      </x:c>
      <x:c r="L3124" s="11" t="n">
        <x:v>0</x:v>
      </x:c>
      <x:c r="M3124" s="9" t="n">
        <x:f>ROUND(H3124*(1-I3124),2)</x:f>
        <x:v>6750000</x:v>
      </x:c>
      <x:c r="N3124" s="4" t="str">
        <x:v>Sales head</x:v>
      </x:c>
      <x:c r="O3124" s="4"/>
      <x:c r="P3124" s="9" t="n">
        <x:v>0</x:v>
      </x:c>
      <x:c r="Q3124" s="11" t="n">
        <x:v>1</x:v>
      </x:c>
      <x:c r="R3124" s="8" t="n">
        <x:v>45548</x:v>
      </x:c>
      <x:c r="S3124" s="4" t="str">
        <x:v>Lost / cancelled</x:v>
      </x:c>
      <x:c r="T3124" s="10" t="n">
        <x:v>0.145833</x:v>
      </x:c>
      <x:c r="U3124" s="4" t="str">
        <x:v>Excluded / unlabelled</x:v>
      </x:c>
    </x:row>
    <x:row r="3125" ht="34" customHeight="1">
      <x:c r="A3125" s="4" t="str">
        <x:v>RS-03124</x:v>
      </x:c>
      <x:c r="B3125" s="8" t="n">
        <x:v>45489</x:v>
      </x:c>
      <x:c r="C3125" s="4" t="str">
        <x:v>PRJ-004</x:v>
      </x:c>
      <x:c r="D3125" s="4" t="str">
        <x:v>Villa</x:v>
      </x:c>
      <x:c r="E3125" s="4" t="str">
        <x:v>Booked</x:v>
      </x:c>
      <x:c r="F3125" s="4" t="str">
        <x:v>CUS-03124</x:v>
      </x:c>
      <x:c r="G3125" s="4" t="str">
        <x:v>UNIT-03124</x:v>
      </x:c>
      <x:c r="H3125" s="9" t="n">
        <x:v>20500000</x:v>
      </x:c>
      <x:c r="I3125" s="10" t="n">
        <x:v>0.09</x:v>
      </x:c>
      <x:c r="J3125" s="11" t="n">
        <x:v>9</x:v>
      </x:c>
      <x:c r="K3125" s="11" t="n">
        <x:v>2</x:v>
      </x:c>
      <x:c r="L3125" s="11" t="n">
        <x:v>1</x:v>
      </x:c>
      <x:c r="M3125" s="9" t="n">
        <x:f>ROUND(H3125*(1-I3125),2)</x:f>
        <x:v>18655000</x:v>
      </x:c>
      <x:c r="N3125" s="4" t="str">
        <x:v>Sales head</x:v>
      </x:c>
      <x:c r="O3125" s="4" t="str">
        <x:v>BOOK-03124</x:v>
      </x:c>
      <x:c r="P3125" s="9" t="n">
        <x:v>1865500</x:v>
      </x:c>
      <x:c r="Q3125" s="11" t="n">
        <x:v>0</x:v>
      </x:c>
      <x:c r="R3125" s="8" t="n">
        <x:v>45549</x:v>
      </x:c>
      <x:c r="S3125" s="4" t="str">
        <x:v>Retained</x:v>
      </x:c>
      <x:c r="T3125" s="10" t="n">
        <x:v>0.310195</x:v>
      </x:c>
      <x:c r="U3125" s="4" t="str">
        <x:v>Excluded / unlabelled</x:v>
      </x:c>
    </x:row>
    <x:row r="3126" ht="34" customHeight="1">
      <x:c r="A3126" s="4" t="str">
        <x:v>RS-03125</x:v>
      </x:c>
      <x:c r="B3126" s="8" t="n">
        <x:v>45490</x:v>
      </x:c>
      <x:c r="C3126" s="4" t="str">
        <x:v>PRJ-005</x:v>
      </x:c>
      <x:c r="D3126" s="4" t="str">
        <x:v>Apartment</x:v>
      </x:c>
      <x:c r="E3126" s="4" t="str">
        <x:v>Handed over</x:v>
      </x:c>
      <x:c r="F3126" s="4" t="str">
        <x:v>CUS-03125</x:v>
      </x:c>
      <x:c r="G3126" s="4" t="str">
        <x:v>UNIT-03125</x:v>
      </x:c>
      <x:c r="H3126" s="9" t="n">
        <x:v>22100000</x:v>
      </x:c>
      <x:c r="I3126" s="10" t="n">
        <x:v>0.05</x:v>
      </x:c>
      <x:c r="J3126" s="11" t="n">
        <x:v>1</x:v>
      </x:c>
      <x:c r="K3126" s="11" t="n">
        <x:v>3</x:v>
      </x:c>
      <x:c r="L3126" s="11" t="n">
        <x:v>1</x:v>
      </x:c>
      <x:c r="M3126" s="9" t="n">
        <x:f>ROUND(H3126*(1-I3126),2)</x:f>
        <x:v>20995000</x:v>
      </x:c>
      <x:c r="N3126" s="4" t="str">
        <x:v>Sales manager</x:v>
      </x:c>
      <x:c r="O3126" s="4" t="str">
        <x:v>BOOK-03125</x:v>
      </x:c>
      <x:c r="P3126" s="9" t="n">
        <x:v>20995000</x:v>
      </x:c>
      <x:c r="Q3126" s="11" t="n">
        <x:v>0</x:v>
      </x:c>
      <x:c r="R3126" s="8" t="n">
        <x:v>45550</x:v>
      </x:c>
      <x:c r="S3126" s="4" t="str">
        <x:v>Retained</x:v>
      </x:c>
      <x:c r="T3126" s="10" t="n">
        <x:v>0.204152</x:v>
      </x:c>
      <x:c r="U3126" s="4" t="str">
        <x:v>Excluded / unlabelled</x:v>
      </x:c>
    </x:row>
    <x:row r="3127" ht="34" customHeight="1">
      <x:c r="A3127" s="4" t="str">
        <x:v>RS-03126</x:v>
      </x:c>
      <x:c r="B3127" s="8" t="n">
        <x:v>45491</x:v>
      </x:c>
      <x:c r="C3127" s="4" t="str">
        <x:v>PRJ-006</x:v>
      </x:c>
      <x:c r="D3127" s="4" t="str">
        <x:v>Villa</x:v>
      </x:c>
      <x:c r="E3127" s="4" t="str">
        <x:v>Agreement signed</x:v>
      </x:c>
      <x:c r="F3127" s="4" t="str">
        <x:v>CUS-03126</x:v>
      </x:c>
      <x:c r="G3127" s="4" t="str">
        <x:v>UNIT-03126</x:v>
      </x:c>
      <x:c r="H3127" s="9" t="n">
        <x:v>20700000</x:v>
      </x:c>
      <x:c r="I3127" s="10" t="n">
        <x:v>0.07</x:v>
      </x:c>
      <x:c r="J3127" s="11" t="n">
        <x:v>5</x:v>
      </x:c>
      <x:c r="K3127" s="11" t="n">
        <x:v>3</x:v>
      </x:c>
      <x:c r="L3127" s="11" t="n">
        <x:v>0</x:v>
      </x:c>
      <x:c r="M3127" s="9" t="n">
        <x:f>ROUND(H3127*(1-I3127),2)</x:f>
        <x:v>19251000</x:v>
      </x:c>
      <x:c r="N3127" s="4" t="str">
        <x:v>Sales manager</x:v>
      </x:c>
      <x:c r="O3127" s="4" t="str">
        <x:v>BOOK-03126</x:v>
      </x:c>
      <x:c r="P3127" s="9" t="n">
        <x:v>19251000</x:v>
      </x:c>
      <x:c r="Q3127" s="11" t="n">
        <x:v>0</x:v>
      </x:c>
      <x:c r="R3127" s="8" t="n">
        <x:v>45551</x:v>
      </x:c>
      <x:c r="S3127" s="4" t="str">
        <x:v>Retained</x:v>
      </x:c>
      <x:c r="T3127" s="10" t="n">
        <x:v>0.226277</x:v>
      </x:c>
      <x:c r="U3127" s="4" t="str">
        <x:v>Excluded / unlabelled</x:v>
      </x:c>
    </x:row>
    <x:row r="3128" ht="34" customHeight="1">
      <x:c r="A3128" s="4" t="str">
        <x:v>RS-03127</x:v>
      </x:c>
      <x:c r="B3128" s="8" t="n">
        <x:v>45492</x:v>
      </x:c>
      <x:c r="C3128" s="4" t="str">
        <x:v>PRJ-007</x:v>
      </x:c>
      <x:c r="D3128" s="4" t="str">
        <x:v>Retail</x:v>
      </x:c>
      <x:c r="E3128" s="4" t="str">
        <x:v>Enquiry</x:v>
      </x:c>
      <x:c r="F3128" s="4" t="str">
        <x:v>CUS-03127</x:v>
      </x:c>
      <x:c r="G3128" s="4" t="str">
        <x:v>UNIT-03127</x:v>
      </x:c>
      <x:c r="H3128" s="9" t="n">
        <x:v>19500000</x:v>
      </x:c>
      <x:c r="I3128" s="10" t="n">
        <x:v>0.03</x:v>
      </x:c>
      <x:c r="J3128" s="11" t="n">
        <x:v>0</x:v>
      </x:c>
      <x:c r="K3128" s="11" t="n">
        <x:v>6</x:v>
      </x:c>
      <x:c r="L3128" s="11" t="n">
        <x:v>1</x:v>
      </x:c>
      <x:c r="M3128" s="9" t="n">
        <x:f>ROUND(H3128*(1-I3128),2)</x:f>
        <x:v>18915000</x:v>
      </x:c>
      <x:c r="N3128" s="4" t="str">
        <x:v>Sales manager</x:v>
      </x:c>
      <x:c r="O3128" s="4"/>
      <x:c r="P3128" s="9" t="n">
        <x:v>0</x:v>
      </x:c>
      <x:c r="Q3128" s="11" t="n">
        <x:v>1</x:v>
      </x:c>
      <x:c r="R3128" s="8" t="n">
        <x:v>45552</x:v>
      </x:c>
      <x:c r="S3128" s="4" t="str">
        <x:v>Lost / cancelled</x:v>
      </x:c>
      <x:c r="T3128" s="10" t="n">
        <x:v>0.072165</x:v>
      </x:c>
      <x:c r="U3128" s="4" t="str">
        <x:v>Excluded / unlabelled</x:v>
      </x:c>
    </x:row>
    <x:row r="3129" ht="34" customHeight="1">
      <x:c r="A3129" s="4" t="str">
        <x:v>RS-03128</x:v>
      </x:c>
      <x:c r="B3129" s="8" t="n">
        <x:v>45493</x:v>
      </x:c>
      <x:c r="C3129" s="4" t="str">
        <x:v>PRJ-008</x:v>
      </x:c>
      <x:c r="D3129" s="4" t="str">
        <x:v>Apartment</x:v>
      </x:c>
      <x:c r="E3129" s="4" t="str">
        <x:v>Reserved</x:v>
      </x:c>
      <x:c r="F3129" s="4" t="str">
        <x:v>CUS-03128</x:v>
      </x:c>
      <x:c r="G3129" s="4" t="str">
        <x:v>UNIT-03128</x:v>
      </x:c>
      <x:c r="H3129" s="9" t="n">
        <x:v>19900000</x:v>
      </x:c>
      <x:c r="I3129" s="10" t="n">
        <x:v>0</x:v>
      </x:c>
      <x:c r="J3129" s="11" t="n">
        <x:v>4</x:v>
      </x:c>
      <x:c r="K3129" s="11" t="n">
        <x:v>7</x:v>
      </x:c>
      <x:c r="L3129" s="11" t="n">
        <x:v>0</x:v>
      </x:c>
      <x:c r="M3129" s="9" t="n">
        <x:f>ROUND(H3129*(1-I3129),2)</x:f>
        <x:v>19900000</x:v>
      </x:c>
      <x:c r="N3129" s="4" t="str">
        <x:v>Sales manager</x:v>
      </x:c>
      <x:c r="O3129" s="4"/>
      <x:c r="P3129" s="9" t="n">
        <x:v>0</x:v>
      </x:c>
      <x:c r="Q3129" s="11" t="n">
        <x:v>0</x:v>
      </x:c>
      <x:c r="R3129" s="8" t="n">
        <x:v>45553</x:v>
      </x:c>
      <x:c r="S3129" s="4" t="str">
        <x:v>Retained</x:v>
      </x:c>
      <x:c r="T3129" s="10" t="n">
        <x:v>0.145299</x:v>
      </x:c>
      <x:c r="U3129" s="4" t="str">
        <x:v>Excluded / unlabelled</x:v>
      </x:c>
    </x:row>
    <x:row r="3130" ht="34" customHeight="1">
      <x:c r="A3130" s="4" t="str">
        <x:v>RS-03129</x:v>
      </x:c>
      <x:c r="B3130" s="8" t="n">
        <x:v>45494</x:v>
      </x:c>
      <x:c r="C3130" s="4" t="str">
        <x:v>PRJ-009</x:v>
      </x:c>
      <x:c r="D3130" s="4" t="str">
        <x:v>Apartment</x:v>
      </x:c>
      <x:c r="E3130" s="4" t="str">
        <x:v>Reserved</x:v>
      </x:c>
      <x:c r="F3130" s="4" t="str">
        <x:v>CUS-03129</x:v>
      </x:c>
      <x:c r="G3130" s="4" t="str">
        <x:v>UNIT-03129</x:v>
      </x:c>
      <x:c r="H3130" s="9" t="n">
        <x:v>15400000</x:v>
      </x:c>
      <x:c r="I3130" s="10" t="n">
        <x:v>0.09</x:v>
      </x:c>
      <x:c r="J3130" s="11" t="n">
        <x:v>10</x:v>
      </x:c>
      <x:c r="K3130" s="11" t="n">
        <x:v>5</x:v>
      </x:c>
      <x:c r="L3130" s="11" t="n">
        <x:v>0</x:v>
      </x:c>
      <x:c r="M3130" s="9" t="n">
        <x:f>ROUND(H3130*(1-I3130),2)</x:f>
        <x:v>14014000</x:v>
      </x:c>
      <x:c r="N3130" s="4" t="str">
        <x:v>Sales head</x:v>
      </x:c>
      <x:c r="O3130" s="4"/>
      <x:c r="P3130" s="9" t="n">
        <x:v>0</x:v>
      </x:c>
      <x:c r="Q3130" s="11" t="n">
        <x:v>0</x:v>
      </x:c>
      <x:c r="R3130" s="8" t="n">
        <x:v>45554</x:v>
      </x:c>
      <x:c r="S3130" s="4" t="str">
        <x:v>Retained</x:v>
      </x:c>
      <x:c r="T3130" s="10" t="n">
        <x:v>0.310195</x:v>
      </x:c>
      <x:c r="U3130" s="4" t="str">
        <x:v>Excluded / unlabelled</x:v>
      </x:c>
    </x:row>
    <x:row r="3131" ht="34" customHeight="1">
      <x:c r="A3131" s="4" t="str">
        <x:v>RS-03130</x:v>
      </x:c>
      <x:c r="B3131" s="8" t="n">
        <x:v>45495</x:v>
      </x:c>
      <x:c r="C3131" s="4" t="str">
        <x:v>PRJ-010</x:v>
      </x:c>
      <x:c r="D3131" s="4" t="str">
        <x:v>Office</x:v>
      </x:c>
      <x:c r="E3131" s="4" t="str">
        <x:v>Cancelled</x:v>
      </x:c>
      <x:c r="F3131" s="4" t="str">
        <x:v>CUS-03130</x:v>
      </x:c>
      <x:c r="G3131" s="4" t="str">
        <x:v>UNIT-03130</x:v>
      </x:c>
      <x:c r="H3131" s="9" t="n">
        <x:v>14100000</x:v>
      </x:c>
      <x:c r="I3131" s="10" t="n">
        <x:v>0.06</x:v>
      </x:c>
      <x:c r="J3131" s="11" t="n">
        <x:v>0</x:v>
      </x:c>
      <x:c r="K3131" s="11" t="n">
        <x:v>4</x:v>
      </x:c>
      <x:c r="L3131" s="11" t="n">
        <x:v>1</x:v>
      </x:c>
      <x:c r="M3131" s="9" t="n">
        <x:f>ROUND(H3131*(1-I3131),2)</x:f>
        <x:v>13254000</x:v>
      </x:c>
      <x:c r="N3131" s="4" t="str">
        <x:v>Sales manager</x:v>
      </x:c>
      <x:c r="O3131" s="4"/>
      <x:c r="P3131" s="9" t="n">
        <x:v>0</x:v>
      </x:c>
      <x:c r="Q3131" s="11" t="n">
        <x:v>1</x:v>
      </x:c>
      <x:c r="R3131" s="8" t="n">
        <x:v>45555</x:v>
      </x:c>
      <x:c r="S3131" s="4" t="str">
        <x:v>Lost / cancelled</x:v>
      </x:c>
      <x:c r="T3131" s="10" t="n">
        <x:v>0.204152</x:v>
      </x:c>
      <x:c r="U3131" s="4" t="str">
        <x:v>Excluded / unlabelled</x:v>
      </x:c>
    </x:row>
    <x:row r="3132" ht="34" customHeight="1">
      <x:c r="A3132" s="4" t="str">
        <x:v>RS-03131</x:v>
      </x:c>
      <x:c r="B3132" s="8" t="n">
        <x:v>45496</x:v>
      </x:c>
      <x:c r="C3132" s="4" t="str">
        <x:v>PRJ-011</x:v>
      </x:c>
      <x:c r="D3132" s="4" t="str">
        <x:v>Office</x:v>
      </x:c>
      <x:c r="E3132" s="4" t="str">
        <x:v>Agreement signed</x:v>
      </x:c>
      <x:c r="F3132" s="4" t="str">
        <x:v>CUS-03131</x:v>
      </x:c>
      <x:c r="G3132" s="4" t="str">
        <x:v>UNIT-03131</x:v>
      </x:c>
      <x:c r="H3132" s="9" t="n">
        <x:v>12200000</x:v>
      </x:c>
      <x:c r="I3132" s="10" t="n">
        <x:v>0.06</x:v>
      </x:c>
      <x:c r="J3132" s="11" t="n">
        <x:v>4</x:v>
      </x:c>
      <x:c r="K3132" s="11" t="n">
        <x:v>9</x:v>
      </x:c>
      <x:c r="L3132" s="11" t="n">
        <x:v>0</x:v>
      </x:c>
      <x:c r="M3132" s="9" t="n">
        <x:f>ROUND(H3132*(1-I3132),2)</x:f>
        <x:v>11468000</x:v>
      </x:c>
      <x:c r="N3132" s="4" t="str">
        <x:v>Sales manager</x:v>
      </x:c>
      <x:c r="O3132" s="4" t="str">
        <x:v>BOOK-03131</x:v>
      </x:c>
      <x:c r="P3132" s="9" t="n">
        <x:v>11468000</x:v>
      </x:c>
      <x:c r="Q3132" s="11" t="n">
        <x:v>0</x:v>
      </x:c>
      <x:c r="R3132" s="8" t="n">
        <x:v>45556</x:v>
      </x:c>
      <x:c r="S3132" s="4" t="str">
        <x:v>Retained</x:v>
      </x:c>
      <x:c r="T3132" s="10" t="n">
        <x:v>0.226277</x:v>
      </x:c>
      <x:c r="U3132" s="4" t="str">
        <x:v>Excluded / unlabelled</x:v>
      </x:c>
    </x:row>
    <x:row r="3133" ht="34" customHeight="1">
      <x:c r="A3133" s="4" t="str">
        <x:v>RS-03132</x:v>
      </x:c>
      <x:c r="B3133" s="8" t="n">
        <x:v>45497</x:v>
      </x:c>
      <x:c r="C3133" s="4" t="str">
        <x:v>PRJ-012</x:v>
      </x:c>
      <x:c r="D3133" s="4" t="str">
        <x:v>Apartment</x:v>
      </x:c>
      <x:c r="E3133" s="4" t="str">
        <x:v>Agreement signed</x:v>
      </x:c>
      <x:c r="F3133" s="4" t="str">
        <x:v>CUS-03132</x:v>
      </x:c>
      <x:c r="G3133" s="4" t="str">
        <x:v>UNIT-03132</x:v>
      </x:c>
      <x:c r="H3133" s="9" t="n">
        <x:v>24000000</x:v>
      </x:c>
      <x:c r="I3133" s="10" t="n">
        <x:v>0.03</x:v>
      </x:c>
      <x:c r="J3133" s="11" t="n">
        <x:v>6</x:v>
      </x:c>
      <x:c r="K3133" s="11" t="n">
        <x:v>7</x:v>
      </x:c>
      <x:c r="L3133" s="11" t="n">
        <x:v>0</x:v>
      </x:c>
      <x:c r="M3133" s="9" t="n">
        <x:f>ROUND(H3133*(1-I3133),2)</x:f>
        <x:v>23280000</x:v>
      </x:c>
      <x:c r="N3133" s="4" t="str">
        <x:v>Sales manager</x:v>
      </x:c>
      <x:c r="O3133" s="4" t="str">
        <x:v>BOOK-03132</x:v>
      </x:c>
      <x:c r="P3133" s="9" t="n">
        <x:v>23280000</x:v>
      </x:c>
      <x:c r="Q3133" s="11" t="n">
        <x:v>0</x:v>
      </x:c>
      <x:c r="R3133" s="8" t="n">
        <x:v>45557</x:v>
      </x:c>
      <x:c r="S3133" s="4" t="str">
        <x:v>Retained</x:v>
      </x:c>
      <x:c r="T3133" s="10" t="n">
        <x:v>0.145299</x:v>
      </x:c>
      <x:c r="U3133" s="4" t="str">
        <x:v>Excluded / unlabelled</x:v>
      </x:c>
    </x:row>
    <x:row r="3134" ht="34" customHeight="1">
      <x:c r="A3134" s="4" t="str">
        <x:v>RS-03133</x:v>
      </x:c>
      <x:c r="B3134" s="8" t="n">
        <x:v>45498</x:v>
      </x:c>
      <x:c r="C3134" s="4" t="str">
        <x:v>PRJ-013</x:v>
      </x:c>
      <x:c r="D3134" s="4" t="str">
        <x:v>Villa</x:v>
      </x:c>
      <x:c r="E3134" s="4" t="str">
        <x:v>Cancelled</x:v>
      </x:c>
      <x:c r="F3134" s="4" t="str">
        <x:v>CUS-03133</x:v>
      </x:c>
      <x:c r="G3134" s="4" t="str">
        <x:v>UNIT-03133</x:v>
      </x:c>
      <x:c r="H3134" s="9" t="n">
        <x:v>16600000</x:v>
      </x:c>
      <x:c r="I3134" s="10" t="n">
        <x:v>0.08</x:v>
      </x:c>
      <x:c r="J3134" s="11" t="n">
        <x:v>6</x:v>
      </x:c>
      <x:c r="K3134" s="11" t="n">
        <x:v>3</x:v>
      </x:c>
      <x:c r="L3134" s="11" t="n">
        <x:v>0</x:v>
      </x:c>
      <x:c r="M3134" s="9" t="n">
        <x:f>ROUND(H3134*(1-I3134),2)</x:f>
        <x:v>15272000</x:v>
      </x:c>
      <x:c r="N3134" s="4" t="str">
        <x:v>Sales head</x:v>
      </x:c>
      <x:c r="O3134" s="4"/>
      <x:c r="P3134" s="9" t="n">
        <x:v>0</x:v>
      </x:c>
      <x:c r="Q3134" s="11" t="n">
        <x:v>1</x:v>
      </x:c>
      <x:c r="R3134" s="8" t="n">
        <x:v>45558</x:v>
      </x:c>
      <x:c r="S3134" s="4" t="str">
        <x:v>Lost / cancelled</x:v>
      </x:c>
      <x:c r="T3134" s="10" t="n">
        <x:v>0.226277</x:v>
      </x:c>
      <x:c r="U3134" s="4" t="str">
        <x:v>Excluded / unlabelled</x:v>
      </x:c>
    </x:row>
    <x:row r="3135" ht="34" customHeight="1">
      <x:c r="A3135" s="4" t="str">
        <x:v>RS-03134</x:v>
      </x:c>
      <x:c r="B3135" s="8" t="n">
        <x:v>45499</x:v>
      </x:c>
      <x:c r="C3135" s="4" t="str">
        <x:v>PRJ-014</x:v>
      </x:c>
      <x:c r="D3135" s="4" t="str">
        <x:v>Villa</x:v>
      </x:c>
      <x:c r="E3135" s="4" t="str">
        <x:v>Handed over</x:v>
      </x:c>
      <x:c r="F3135" s="4" t="str">
        <x:v>CUS-03134</x:v>
      </x:c>
      <x:c r="G3135" s="4" t="str">
        <x:v>UNIT-03134</x:v>
      </x:c>
      <x:c r="H3135" s="9" t="n">
        <x:v>22100000</x:v>
      </x:c>
      <x:c r="I3135" s="10" t="n">
        <x:v>0.09</x:v>
      </x:c>
      <x:c r="J3135" s="11" t="n">
        <x:v>12</x:v>
      </x:c>
      <x:c r="K3135" s="11" t="n">
        <x:v>0</x:v>
      </x:c>
      <x:c r="L3135" s="11" t="n">
        <x:v>1</x:v>
      </x:c>
      <x:c r="M3135" s="9" t="n">
        <x:f>ROUND(H3135*(1-I3135),2)</x:f>
        <x:v>20111000</x:v>
      </x:c>
      <x:c r="N3135" s="4" t="str">
        <x:v>Sales head</x:v>
      </x:c>
      <x:c r="O3135" s="4" t="str">
        <x:v>BOOK-03134</x:v>
      </x:c>
      <x:c r="P3135" s="9" t="n">
        <x:v>10055500</x:v>
      </x:c>
      <x:c r="Q3135" s="11" t="n">
        <x:v>0</x:v>
      </x:c>
      <x:c r="R3135" s="8" t="n">
        <x:v>45559</x:v>
      </x:c>
      <x:c r="S3135" s="4" t="str">
        <x:v>Retained</x:v>
      </x:c>
      <x:c r="T3135" s="10" t="n">
        <x:v>0.351536</x:v>
      </x:c>
      <x:c r="U3135" s="4" t="str">
        <x:v>Excluded / unlabelled</x:v>
      </x:c>
    </x:row>
    <x:row r="3136" ht="34" customHeight="1">
      <x:c r="A3136" s="4" t="str">
        <x:v>RS-03135</x:v>
      </x:c>
      <x:c r="B3136" s="8" t="n">
        <x:v>45500</x:v>
      </x:c>
      <x:c r="C3136" s="4" t="str">
        <x:v>PRJ-015</x:v>
      </x:c>
      <x:c r="D3136" s="4" t="str">
        <x:v>Retail</x:v>
      </x:c>
      <x:c r="E3136" s="4" t="str">
        <x:v>Cancelled</x:v>
      </x:c>
      <x:c r="F3136" s="4" t="str">
        <x:v>CUS-03135</x:v>
      </x:c>
      <x:c r="G3136" s="4" t="str">
        <x:v>UNIT-03135</x:v>
      </x:c>
      <x:c r="H3136" s="9" t="n">
        <x:v>3000000</x:v>
      </x:c>
      <x:c r="I3136" s="10" t="n">
        <x:v>0.05</x:v>
      </x:c>
      <x:c r="J3136" s="11" t="n">
        <x:v>12</x:v>
      </x:c>
      <x:c r="K3136" s="11" t="n">
        <x:v>0</x:v>
      </x:c>
      <x:c r="L3136" s="11" t="n">
        <x:v>0</x:v>
      </x:c>
      <x:c r="M3136" s="9" t="n">
        <x:f>ROUND(H3136*(1-I3136),2)</x:f>
        <x:v>2850000</x:v>
      </x:c>
      <x:c r="N3136" s="4" t="str">
        <x:v>Sales manager</x:v>
      </x:c>
      <x:c r="O3136" s="4"/>
      <x:c r="P3136" s="9" t="n">
        <x:v>0</x:v>
      </x:c>
      <x:c r="Q3136" s="11" t="n">
        <x:v>1</x:v>
      </x:c>
      <x:c r="R3136" s="8" t="n">
        <x:v>45560</x:v>
      </x:c>
      <x:c r="S3136" s="4" t="str">
        <x:v>Lost / cancelled</x:v>
      </x:c>
      <x:c r="T3136" s="10" t="n">
        <x:v>0.351536</x:v>
      </x:c>
      <x:c r="U3136" s="4" t="str">
        <x:v>Excluded / unlabelled</x:v>
      </x:c>
    </x:row>
    <x:row r="3137" ht="34" customHeight="1">
      <x:c r="A3137" s="4" t="str">
        <x:v>RS-03136</x:v>
      </x:c>
      <x:c r="B3137" s="8" t="n">
        <x:v>45501</x:v>
      </x:c>
      <x:c r="C3137" s="4" t="str">
        <x:v>PRJ-016</x:v>
      </x:c>
      <x:c r="D3137" s="4" t="str">
        <x:v>Retail</x:v>
      </x:c>
      <x:c r="E3137" s="4" t="str">
        <x:v>Agreement signed</x:v>
      </x:c>
      <x:c r="F3137" s="4" t="str">
        <x:v>CUS-03136</x:v>
      </x:c>
      <x:c r="G3137" s="4" t="str">
        <x:v>UNIT-03136</x:v>
      </x:c>
      <x:c r="H3137" s="9" t="n">
        <x:v>9800000</x:v>
      </x:c>
      <x:c r="I3137" s="10" t="n">
        <x:v>0.08</x:v>
      </x:c>
      <x:c r="J3137" s="11" t="n">
        <x:v>5</x:v>
      </x:c>
      <x:c r="K3137" s="11" t="n">
        <x:v>0</x:v>
      </x:c>
      <x:c r="L3137" s="11" t="n">
        <x:v>1</x:v>
      </x:c>
      <x:c r="M3137" s="9" t="n">
        <x:f>ROUND(H3137*(1-I3137),2)</x:f>
        <x:v>9016000</x:v>
      </x:c>
      <x:c r="N3137" s="4" t="str">
        <x:v>Sales head</x:v>
      </x:c>
      <x:c r="O3137" s="4" t="str">
        <x:v>BOOK-03136</x:v>
      </x:c>
      <x:c r="P3137" s="9" t="n">
        <x:v>2254000</x:v>
      </x:c>
      <x:c r="Q3137" s="11" t="n">
        <x:v>0</x:v>
      </x:c>
      <x:c r="R3137" s="8" t="n">
        <x:v>45561</x:v>
      </x:c>
      <x:c r="S3137" s="4" t="str">
        <x:v>Retained</x:v>
      </x:c>
      <x:c r="T3137" s="10" t="n">
        <x:v>0.291946</x:v>
      </x:c>
      <x:c r="U3137" s="4" t="str">
        <x:v>Excluded / unlabelled</x:v>
      </x:c>
    </x:row>
    <x:row r="3138" ht="34" customHeight="1">
      <x:c r="A3138" s="4" t="str">
        <x:v>RS-03137</x:v>
      </x:c>
      <x:c r="B3138" s="8" t="n">
        <x:v>45474</x:v>
      </x:c>
      <x:c r="C3138" s="4" t="str">
        <x:v>PRJ-017</x:v>
      </x:c>
      <x:c r="D3138" s="4" t="str">
        <x:v>Villa</x:v>
      </x:c>
      <x:c r="E3138" s="4" t="str">
        <x:v>Enquiry</x:v>
      </x:c>
      <x:c r="F3138" s="4" t="str">
        <x:v>CUS-03137</x:v>
      </x:c>
      <x:c r="G3138" s="4" t="str">
        <x:v>UNIT-03137</x:v>
      </x:c>
      <x:c r="H3138" s="9" t="n">
        <x:v>13300000</x:v>
      </x:c>
      <x:c r="I3138" s="10" t="n">
        <x:v>0.05</x:v>
      </x:c>
      <x:c r="J3138" s="11" t="n">
        <x:v>6</x:v>
      </x:c>
      <x:c r="K3138" s="11" t="n">
        <x:v>6</x:v>
      </x:c>
      <x:c r="L3138" s="11" t="n">
        <x:v>1</x:v>
      </x:c>
      <x:c r="M3138" s="9" t="n">
        <x:f>ROUND(H3138*(1-I3138),2)</x:f>
        <x:v>12635000</x:v>
      </x:c>
      <x:c r="N3138" s="4" t="str">
        <x:v>Sales manager</x:v>
      </x:c>
      <x:c r="O3138" s="4"/>
      <x:c r="P3138" s="9" t="n">
        <x:v>0</x:v>
      </x:c>
      <x:c r="Q3138" s="11" t="n">
        <x:v>0</x:v>
      </x:c>
      <x:c r="R3138" s="8" t="n">
        <x:v>45534</x:v>
      </x:c>
      <x:c r="S3138" s="4" t="str">
        <x:v>Retained</x:v>
      </x:c>
      <x:c r="T3138" s="10" t="n">
        <x:v>0.291946</x:v>
      </x:c>
      <x:c r="U3138" s="4" t="str">
        <x:v>Excluded / unlabelled</x:v>
      </x:c>
    </x:row>
    <x:row r="3139" ht="34" customHeight="1">
      <x:c r="A3139" s="4" t="str">
        <x:v>RS-03138</x:v>
      </x:c>
      <x:c r="B3139" s="8" t="n">
        <x:v>45475</x:v>
      </x:c>
      <x:c r="C3139" s="4" t="str">
        <x:v>PRJ-018</x:v>
      </x:c>
      <x:c r="D3139" s="4" t="str">
        <x:v>Retail</x:v>
      </x:c>
      <x:c r="E3139" s="4" t="str">
        <x:v>Enquiry</x:v>
      </x:c>
      <x:c r="F3139" s="4" t="str">
        <x:v>CUS-03138</x:v>
      </x:c>
      <x:c r="G3139" s="4" t="str">
        <x:v>UNIT-03138</x:v>
      </x:c>
      <x:c r="H3139" s="9" t="n">
        <x:v>6000000</x:v>
      </x:c>
      <x:c r="I3139" s="10" t="n">
        <x:v>0.05</x:v>
      </x:c>
      <x:c r="J3139" s="11" t="n">
        <x:v>1</x:v>
      </x:c>
      <x:c r="K3139" s="11" t="n">
        <x:v>5</x:v>
      </x:c>
      <x:c r="L3139" s="11" t="n">
        <x:v>1</x:v>
      </x:c>
      <x:c r="M3139" s="9" t="n">
        <x:f>ROUND(H3139*(1-I3139),2)</x:f>
        <x:v>5700000</x:v>
      </x:c>
      <x:c r="N3139" s="4" t="str">
        <x:v>Sales manager</x:v>
      </x:c>
      <x:c r="O3139" s="4"/>
      <x:c r="P3139" s="9" t="n">
        <x:v>0</x:v>
      </x:c>
      <x:c r="Q3139" s="11" t="n">
        <x:v>0</x:v>
      </x:c>
      <x:c r="R3139" s="8" t="n">
        <x:v>45535</x:v>
      </x:c>
      <x:c r="S3139" s="4" t="str">
        <x:v>Retained</x:v>
      </x:c>
      <x:c r="T3139" s="10" t="n">
        <x:v>0.204152</x:v>
      </x:c>
      <x:c r="U3139" s="4" t="str">
        <x:v>Excluded / unlabelled</x:v>
      </x:c>
    </x:row>
    <x:row r="3140" ht="34" customHeight="1">
      <x:c r="A3140" s="4" t="str">
        <x:v>RS-03139</x:v>
      </x:c>
      <x:c r="B3140" s="8" t="n">
        <x:v>45476</x:v>
      </x:c>
      <x:c r="C3140" s="4" t="str">
        <x:v>PRJ-019</x:v>
      </x:c>
      <x:c r="D3140" s="4" t="str">
        <x:v>Office</x:v>
      </x:c>
      <x:c r="E3140" s="4" t="str">
        <x:v>Booked</x:v>
      </x:c>
      <x:c r="F3140" s="4" t="str">
        <x:v>CUS-03139</x:v>
      </x:c>
      <x:c r="G3140" s="4" t="str">
        <x:v>UNIT-03139</x:v>
      </x:c>
      <x:c r="H3140" s="9" t="n">
        <x:v>19500000</x:v>
      </x:c>
      <x:c r="I3140" s="10" t="n">
        <x:v>0.04</x:v>
      </x:c>
      <x:c r="J3140" s="11" t="n">
        <x:v>1</x:v>
      </x:c>
      <x:c r="K3140" s="11" t="n">
        <x:v>7</x:v>
      </x:c>
      <x:c r="L3140" s="11" t="n">
        <x:v>0</x:v>
      </x:c>
      <x:c r="M3140" s="9" t="n">
        <x:f>ROUND(H3140*(1-I3140),2)</x:f>
        <x:v>18720000</x:v>
      </x:c>
      <x:c r="N3140" s="4" t="str">
        <x:v>Sales manager</x:v>
      </x:c>
      <x:c r="O3140" s="4" t="str">
        <x:v>BOOK-03139</x:v>
      </x:c>
      <x:c r="P3140" s="9" t="n">
        <x:v>1872000</x:v>
      </x:c>
      <x:c r="Q3140" s="11" t="n">
        <x:v>0</x:v>
      </x:c>
      <x:c r="R3140" s="8" t="n">
        <x:v>45536</x:v>
      </x:c>
      <x:c r="S3140" s="4" t="str">
        <x:v>Retained</x:v>
      </x:c>
      <x:c r="T3140" s="10" t="n">
        <x:v>0.204152</x:v>
      </x:c>
      <x:c r="U3140" s="4" t="str">
        <x:v>Excluded / unlabelled</x:v>
      </x:c>
    </x:row>
    <x:row r="3141" ht="34" customHeight="1">
      <x:c r="A3141" s="4" t="str">
        <x:v>RS-03140</x:v>
      </x:c>
      <x:c r="B3141" s="8" t="n">
        <x:v>45477</x:v>
      </x:c>
      <x:c r="C3141" s="4" t="str">
        <x:v>PRJ-020</x:v>
      </x:c>
      <x:c r="D3141" s="4" t="str">
        <x:v>Apartment</x:v>
      </x:c>
      <x:c r="E3141" s="4" t="str">
        <x:v>Enquiry</x:v>
      </x:c>
      <x:c r="F3141" s="4" t="str">
        <x:v>CUS-03140</x:v>
      </x:c>
      <x:c r="G3141" s="4" t="str">
        <x:v>UNIT-03140</x:v>
      </x:c>
      <x:c r="H3141" s="9" t="n">
        <x:v>17900000</x:v>
      </x:c>
      <x:c r="I3141" s="10" t="n">
        <x:v>0.07</x:v>
      </x:c>
      <x:c r="J3141" s="11" t="n">
        <x:v>5</x:v>
      </x:c>
      <x:c r="K3141" s="11" t="n">
        <x:v>5</x:v>
      </x:c>
      <x:c r="L3141" s="11" t="n">
        <x:v>0</x:v>
      </x:c>
      <x:c r="M3141" s="9" t="n">
        <x:f>ROUND(H3141*(1-I3141),2)</x:f>
        <x:v>16647000</x:v>
      </x:c>
      <x:c r="N3141" s="4" t="str">
        <x:v>Sales manager</x:v>
      </x:c>
      <x:c r="O3141" s="4"/>
      <x:c r="P3141" s="9" t="n">
        <x:v>0</x:v>
      </x:c>
      <x:c r="Q3141" s="11" t="n">
        <x:v>0</x:v>
      </x:c>
      <x:c r="R3141" s="8" t="n">
        <x:v>45537</x:v>
      </x:c>
      <x:c r="S3141" s="4" t="str">
        <x:v>Retained</x:v>
      </x:c>
      <x:c r="T3141" s="10" t="n">
        <x:v>0.226277</x:v>
      </x:c>
      <x:c r="U3141" s="4" t="str">
        <x:v>Excluded / unlabelled</x:v>
      </x:c>
    </x:row>
    <x:row r="3142" ht="34" customHeight="1">
      <x:c r="A3142" s="4" t="str">
        <x:v>RS-03141</x:v>
      </x:c>
      <x:c r="B3142" s="8" t="n">
        <x:v>45478</x:v>
      </x:c>
      <x:c r="C3142" s="4" t="str">
        <x:v>PRJ-001</x:v>
      </x:c>
      <x:c r="D3142" s="4" t="str">
        <x:v>Villa</x:v>
      </x:c>
      <x:c r="E3142" s="4" t="str">
        <x:v>Reserved</x:v>
      </x:c>
      <x:c r="F3142" s="4" t="str">
        <x:v>CUS-03141</x:v>
      </x:c>
      <x:c r="G3142" s="4" t="str">
        <x:v>UNIT-03141</x:v>
      </x:c>
      <x:c r="H3142" s="9" t="n">
        <x:v>19600000</x:v>
      </x:c>
      <x:c r="I3142" s="10" t="n">
        <x:v>0.07</x:v>
      </x:c>
      <x:c r="J3142" s="11" t="n">
        <x:v>7</x:v>
      </x:c>
      <x:c r="K3142" s="11" t="n">
        <x:v>9</x:v>
      </x:c>
      <x:c r="L3142" s="11" t="n">
        <x:v>0</x:v>
      </x:c>
      <x:c r="M3142" s="9" t="n">
        <x:f>ROUND(H3142*(1-I3142),2)</x:f>
        <x:v>18228000</x:v>
      </x:c>
      <x:c r="N3142" s="4" t="str">
        <x:v>Sales manager</x:v>
      </x:c>
      <x:c r="O3142" s="4"/>
      <x:c r="P3142" s="9" t="n">
        <x:v>0</x:v>
      </x:c>
      <x:c r="Q3142" s="11" t="n">
        <x:v>0</x:v>
      </x:c>
      <x:c r="R3142" s="8" t="n">
        <x:v>45538</x:v>
      </x:c>
      <x:c r="S3142" s="4" t="str">
        <x:v>Retained</x:v>
      </x:c>
      <x:c r="T3142" s="10" t="n">
        <x:v>0.226277</x:v>
      </x:c>
      <x:c r="U3142" s="4" t="str">
        <x:v>Excluded / unlabelled</x:v>
      </x:c>
    </x:row>
    <x:row r="3143" ht="34" customHeight="1">
      <x:c r="A3143" s="4" t="str">
        <x:v>RS-03142</x:v>
      </x:c>
      <x:c r="B3143" s="8" t="n">
        <x:v>45479</x:v>
      </x:c>
      <x:c r="C3143" s="4" t="str">
        <x:v>PRJ-002</x:v>
      </x:c>
      <x:c r="D3143" s="4" t="str">
        <x:v>Office</x:v>
      </x:c>
      <x:c r="E3143" s="4" t="str">
        <x:v>Booked</x:v>
      </x:c>
      <x:c r="F3143" s="4" t="str">
        <x:v>CUS-03142</x:v>
      </x:c>
      <x:c r="G3143" s="4" t="str">
        <x:v>UNIT-03142</x:v>
      </x:c>
      <x:c r="H3143" s="9" t="n">
        <x:v>13300000</x:v>
      </x:c>
      <x:c r="I3143" s="10" t="n">
        <x:v>0.1</x:v>
      </x:c>
      <x:c r="J3143" s="11" t="n">
        <x:v>2</x:v>
      </x:c>
      <x:c r="K3143" s="11" t="n">
        <x:v>8</x:v>
      </x:c>
      <x:c r="L3143" s="11" t="n">
        <x:v>0</x:v>
      </x:c>
      <x:c r="M3143" s="9" t="n">
        <x:f>ROUND(H3143*(1-I3143),2)</x:f>
        <x:v>11970000</x:v>
      </x:c>
      <x:c r="N3143" s="4" t="str">
        <x:v>Sales head</x:v>
      </x:c>
      <x:c r="O3143" s="4" t="str">
        <x:v>BOOK-03142</x:v>
      </x:c>
      <x:c r="P3143" s="9" t="n">
        <x:v>1197000</x:v>
      </x:c>
      <x:c r="Q3143" s="11" t="n">
        <x:v>0</x:v>
      </x:c>
      <x:c r="R3143" s="8" t="n">
        <x:v>45539</x:v>
      </x:c>
      <x:c r="S3143" s="4" t="str">
        <x:v>Retained</x:v>
      </x:c>
      <x:c r="T3143" s="10" t="n">
        <x:v>0.145833</x:v>
      </x:c>
      <x:c r="U3143" s="4" t="str">
        <x:v>Excluded / unlabelled</x:v>
      </x:c>
    </x:row>
    <x:row r="3144" ht="34" customHeight="1">
      <x:c r="A3144" s="4" t="str">
        <x:v>RS-03143</x:v>
      </x:c>
      <x:c r="B3144" s="8" t="n">
        <x:v>45480</x:v>
      </x:c>
      <x:c r="C3144" s="4" t="str">
        <x:v>PRJ-003</x:v>
      </x:c>
      <x:c r="D3144" s="4" t="str">
        <x:v>Office</x:v>
      </x:c>
      <x:c r="E3144" s="4" t="str">
        <x:v>Handed over</x:v>
      </x:c>
      <x:c r="F3144" s="4" t="str">
        <x:v>CUS-03143</x:v>
      </x:c>
      <x:c r="G3144" s="4" t="str">
        <x:v>UNIT-03143</x:v>
      </x:c>
      <x:c r="H3144" s="9" t="n">
        <x:v>24100000</x:v>
      </x:c>
      <x:c r="I3144" s="10" t="n">
        <x:v>0</x:v>
      </x:c>
      <x:c r="J3144" s="11" t="n">
        <x:v>3</x:v>
      </x:c>
      <x:c r="K3144" s="11" t="n">
        <x:v>7</x:v>
      </x:c>
      <x:c r="L3144" s="11" t="n">
        <x:v>0</x:v>
      </x:c>
      <x:c r="M3144" s="9" t="n">
        <x:f>ROUND(H3144*(1-I3144),2)</x:f>
        <x:v>24100000</x:v>
      </x:c>
      <x:c r="N3144" s="4" t="str">
        <x:v>Sales manager</x:v>
      </x:c>
      <x:c r="O3144" s="4" t="str">
        <x:v>BOOK-03143</x:v>
      </x:c>
      <x:c r="P3144" s="9" t="n">
        <x:v>24100000</x:v>
      </x:c>
      <x:c r="Q3144" s="11" t="n">
        <x:v>0</x:v>
      </x:c>
      <x:c r="R3144" s="8" t="n">
        <x:v>45540</x:v>
      </x:c>
      <x:c r="S3144" s="4" t="str">
        <x:v>Retained</x:v>
      </x:c>
      <x:c r="T3144" s="10" t="n">
        <x:v>0.171717</x:v>
      </x:c>
      <x:c r="U3144" s="4" t="str">
        <x:v>Excluded / unlabelled</x:v>
      </x:c>
    </x:row>
    <x:row r="3145" ht="34" customHeight="1">
      <x:c r="A3145" s="4" t="str">
        <x:v>RS-03144</x:v>
      </x:c>
      <x:c r="B3145" s="8" t="n">
        <x:v>45481</x:v>
      </x:c>
      <x:c r="C3145" s="4" t="str">
        <x:v>PRJ-004</x:v>
      </x:c>
      <x:c r="D3145" s="4" t="str">
        <x:v>Retail</x:v>
      </x:c>
      <x:c r="E3145" s="4" t="str">
        <x:v>Cancelled</x:v>
      </x:c>
      <x:c r="F3145" s="4" t="str">
        <x:v>CUS-03144</x:v>
      </x:c>
      <x:c r="G3145" s="4" t="str">
        <x:v>UNIT-03144</x:v>
      </x:c>
      <x:c r="H3145" s="9" t="n">
        <x:v>10600000</x:v>
      </x:c>
      <x:c r="I3145" s="10" t="n">
        <x:v>0.02</x:v>
      </x:c>
      <x:c r="J3145" s="11" t="n">
        <x:v>10</x:v>
      </x:c>
      <x:c r="K3145" s="11" t="n">
        <x:v>3</x:v>
      </x:c>
      <x:c r="L3145" s="11" t="n">
        <x:v>1</x:v>
      </x:c>
      <x:c r="M3145" s="9" t="n">
        <x:f>ROUND(H3145*(1-I3145),2)</x:f>
        <x:v>10388000</x:v>
      </x:c>
      <x:c r="N3145" s="4" t="str">
        <x:v>Sales manager</x:v>
      </x:c>
      <x:c r="O3145" s="4"/>
      <x:c r="P3145" s="9" t="n">
        <x:v>0</x:v>
      </x:c>
      <x:c r="Q3145" s="11" t="n">
        <x:v>1</x:v>
      </x:c>
      <x:c r="R3145" s="8" t="n">
        <x:v>45541</x:v>
      </x:c>
      <x:c r="S3145" s="4" t="str">
        <x:v>Lost / cancelled</x:v>
      </x:c>
      <x:c r="T3145" s="10" t="n">
        <x:v>0.254545</x:v>
      </x:c>
      <x:c r="U3145" s="4" t="str">
        <x:v>Excluded / unlabelled</x:v>
      </x:c>
    </x:row>
    <x:row r="3146" ht="34" customHeight="1">
      <x:c r="A3146" s="4" t="str">
        <x:v>RS-03145</x:v>
      </x:c>
      <x:c r="B3146" s="8" t="n">
        <x:v>45482</x:v>
      </x:c>
      <x:c r="C3146" s="4" t="str">
        <x:v>PRJ-005</x:v>
      </x:c>
      <x:c r="D3146" s="4" t="str">
        <x:v>Office</x:v>
      </x:c>
      <x:c r="E3146" s="4" t="str">
        <x:v>Reserved</x:v>
      </x:c>
      <x:c r="F3146" s="4" t="str">
        <x:v>CUS-03145</x:v>
      </x:c>
      <x:c r="G3146" s="4" t="str">
        <x:v>UNIT-03145</x:v>
      </x:c>
      <x:c r="H3146" s="9" t="n">
        <x:v>22800000</x:v>
      </x:c>
      <x:c r="I3146" s="10" t="n">
        <x:v>0</x:v>
      </x:c>
      <x:c r="J3146" s="11" t="n">
        <x:v>7</x:v>
      </x:c>
      <x:c r="K3146" s="11" t="n">
        <x:v>3</x:v>
      </x:c>
      <x:c r="L3146" s="11" t="n">
        <x:v>0</x:v>
      </x:c>
      <x:c r="M3146" s="9" t="n">
        <x:f>ROUND(H3146*(1-I3146),2)</x:f>
        <x:v>22800000</x:v>
      </x:c>
      <x:c r="N3146" s="4" t="str">
        <x:v>Sales manager</x:v>
      </x:c>
      <x:c r="O3146" s="4"/>
      <x:c r="P3146" s="9" t="n">
        <x:v>0</x:v>
      </x:c>
      <x:c r="Q3146" s="11" t="n">
        <x:v>1</x:v>
      </x:c>
      <x:c r="R3146" s="8" t="n">
        <x:v>45542</x:v>
      </x:c>
      <x:c r="S3146" s="4" t="str">
        <x:v>Lost / cancelled</x:v>
      </x:c>
      <x:c r="T3146" s="10" t="n">
        <x:v>0.298969</x:v>
      </x:c>
      <x:c r="U3146" s="4" t="str">
        <x:v>Excluded / unlabelled</x:v>
      </x:c>
    </x:row>
    <x:row r="3147" ht="34" customHeight="1">
      <x:c r="A3147" s="4" t="str">
        <x:v>RS-03146</x:v>
      </x:c>
      <x:c r="B3147" s="8" t="n">
        <x:v>45483</x:v>
      </x:c>
      <x:c r="C3147" s="4" t="str">
        <x:v>PRJ-006</x:v>
      </x:c>
      <x:c r="D3147" s="4" t="str">
        <x:v>Apartment</x:v>
      </x:c>
      <x:c r="E3147" s="4" t="str">
        <x:v>Cancelled</x:v>
      </x:c>
      <x:c r="F3147" s="4" t="str">
        <x:v>CUS-03146</x:v>
      </x:c>
      <x:c r="G3147" s="4" t="str">
        <x:v>UNIT-03146</x:v>
      </x:c>
      <x:c r="H3147" s="9" t="n">
        <x:v>21000000</x:v>
      </x:c>
      <x:c r="I3147" s="10" t="n">
        <x:v>0.08</x:v>
      </x:c>
      <x:c r="J3147" s="11" t="n">
        <x:v>11</x:v>
      </x:c>
      <x:c r="K3147" s="11" t="n">
        <x:v>2</x:v>
      </x:c>
      <x:c r="L3147" s="11" t="n">
        <x:v>0</x:v>
      </x:c>
      <x:c r="M3147" s="9" t="n">
        <x:f>ROUND(H3147*(1-I3147),2)</x:f>
        <x:v>19320000</x:v>
      </x:c>
      <x:c r="N3147" s="4" t="str">
        <x:v>Sales head</x:v>
      </x:c>
      <x:c r="O3147" s="4"/>
      <x:c r="P3147" s="9" t="n">
        <x:v>0</x:v>
      </x:c>
      <x:c r="Q3147" s="11" t="n">
        <x:v>1</x:v>
      </x:c>
      <x:c r="R3147" s="8" t="n">
        <x:v>45543</x:v>
      </x:c>
      <x:c r="S3147" s="4" t="str">
        <x:v>Lost / cancelled</x:v>
      </x:c>
      <x:c r="T3147" s="10" t="n">
        <x:v>0.351536</x:v>
      </x:c>
      <x:c r="U3147" s="4" t="str">
        <x:v>Excluded / unlabelled</x:v>
      </x:c>
    </x:row>
    <x:row r="3148" ht="34" customHeight="1">
      <x:c r="A3148" s="4" t="str">
        <x:v>RS-03147</x:v>
      </x:c>
      <x:c r="B3148" s="8" t="n">
        <x:v>45484</x:v>
      </x:c>
      <x:c r="C3148" s="4" t="str">
        <x:v>PRJ-007</x:v>
      </x:c>
      <x:c r="D3148" s="4" t="str">
        <x:v>Retail</x:v>
      </x:c>
      <x:c r="E3148" s="4" t="str">
        <x:v>Reserved</x:v>
      </x:c>
      <x:c r="F3148" s="4" t="str">
        <x:v>CUS-03147</x:v>
      </x:c>
      <x:c r="G3148" s="4" t="str">
        <x:v>UNIT-03147</x:v>
      </x:c>
      <x:c r="H3148" s="9" t="n">
        <x:v>3600000</x:v>
      </x:c>
      <x:c r="I3148" s="10" t="n">
        <x:v>0.11</x:v>
      </x:c>
      <x:c r="J3148" s="11" t="n">
        <x:v>0</x:v>
      </x:c>
      <x:c r="K3148" s="11" t="n">
        <x:v>7</x:v>
      </x:c>
      <x:c r="L3148" s="11" t="n">
        <x:v>1</x:v>
      </x:c>
      <x:c r="M3148" s="9" t="n">
        <x:f>ROUND(H3148*(1-I3148),2)</x:f>
        <x:v>3204000</x:v>
      </x:c>
      <x:c r="N3148" s="4" t="str">
        <x:v>Sales head</x:v>
      </x:c>
      <x:c r="O3148" s="4"/>
      <x:c r="P3148" s="9" t="n">
        <x:v>0</x:v>
      </x:c>
      <x:c r="Q3148" s="11" t="n">
        <x:v>0</x:v>
      </x:c>
      <x:c r="R3148" s="8" t="n">
        <x:v>45544</x:v>
      </x:c>
      <x:c r="S3148" s="4" t="str">
        <x:v>Retained</x:v>
      </x:c>
      <x:c r="T3148" s="10" t="n">
        <x:v>0.145833</x:v>
      </x:c>
      <x:c r="U3148" s="4" t="str">
        <x:v>Excluded / unlabelled</x:v>
      </x:c>
    </x:row>
    <x:row r="3149" ht="34" customHeight="1">
      <x:c r="A3149" s="4" t="str">
        <x:v>RS-03148</x:v>
      </x:c>
      <x:c r="B3149" s="8" t="n">
        <x:v>45485</x:v>
      </x:c>
      <x:c r="C3149" s="4" t="str">
        <x:v>PRJ-008</x:v>
      </x:c>
      <x:c r="D3149" s="4" t="str">
        <x:v>Villa</x:v>
      </x:c>
      <x:c r="E3149" s="4" t="str">
        <x:v>Booked</x:v>
      </x:c>
      <x:c r="F3149" s="4" t="str">
        <x:v>CUS-03148</x:v>
      </x:c>
      <x:c r="G3149" s="4" t="str">
        <x:v>UNIT-03148</x:v>
      </x:c>
      <x:c r="H3149" s="9" t="n">
        <x:v>19200000</x:v>
      </x:c>
      <x:c r="I3149" s="10" t="n">
        <x:v>0.02</x:v>
      </x:c>
      <x:c r="J3149" s="11" t="n">
        <x:v>10</x:v>
      </x:c>
      <x:c r="K3149" s="11" t="n">
        <x:v>0</x:v>
      </x:c>
      <x:c r="L3149" s="11" t="n">
        <x:v>1</x:v>
      </x:c>
      <x:c r="M3149" s="9" t="n">
        <x:f>ROUND(H3149*(1-I3149),2)</x:f>
        <x:v>18816000</x:v>
      </x:c>
      <x:c r="N3149" s="4" t="str">
        <x:v>Sales manager</x:v>
      </x:c>
      <x:c r="O3149" s="4" t="str">
        <x:v>BOOK-03148</x:v>
      </x:c>
      <x:c r="P3149" s="9" t="n">
        <x:v>4704000</x:v>
      </x:c>
      <x:c r="Q3149" s="11" t="n">
        <x:v>0</x:v>
      </x:c>
      <x:c r="R3149" s="8" t="n">
        <x:v>45545</x:v>
      </x:c>
      <x:c r="S3149" s="4" t="str">
        <x:v>Retained</x:v>
      </x:c>
      <x:c r="T3149" s="10" t="n">
        <x:v>0.254545</x:v>
      </x:c>
      <x:c r="U3149" s="4" t="str">
        <x:v>Excluded / unlabelled</x:v>
      </x:c>
    </x:row>
    <x:row r="3150" ht="34" customHeight="1">
      <x:c r="A3150" s="4" t="str">
        <x:v>RS-03149</x:v>
      </x:c>
      <x:c r="B3150" s="8" t="n">
        <x:v>45486</x:v>
      </x:c>
      <x:c r="C3150" s="4" t="str">
        <x:v>PRJ-009</x:v>
      </x:c>
      <x:c r="D3150" s="4" t="str">
        <x:v>Office</x:v>
      </x:c>
      <x:c r="E3150" s="4" t="str">
        <x:v>Reserved</x:v>
      </x:c>
      <x:c r="F3150" s="4" t="str">
        <x:v>CUS-03149</x:v>
      </x:c>
      <x:c r="G3150" s="4" t="str">
        <x:v>UNIT-03149</x:v>
      </x:c>
      <x:c r="H3150" s="9" t="n">
        <x:v>18900000</x:v>
      </x:c>
      <x:c r="I3150" s="10" t="n">
        <x:v>0.01</x:v>
      </x:c>
      <x:c r="J3150" s="11" t="n">
        <x:v>6</x:v>
      </x:c>
      <x:c r="K3150" s="11" t="n">
        <x:v>8</x:v>
      </x:c>
      <x:c r="L3150" s="11" t="n">
        <x:v>0</x:v>
      </x:c>
      <x:c r="M3150" s="9" t="n">
        <x:f>ROUND(H3150*(1-I3150),2)</x:f>
        <x:v>18711000</x:v>
      </x:c>
      <x:c r="N3150" s="4" t="str">
        <x:v>Sales manager</x:v>
      </x:c>
      <x:c r="O3150" s="4"/>
      <x:c r="P3150" s="9" t="n">
        <x:v>0</x:v>
      </x:c>
      <x:c r="Q3150" s="11" t="n">
        <x:v>0</x:v>
      </x:c>
      <x:c r="R3150" s="8" t="n">
        <x:v>45546</x:v>
      </x:c>
      <x:c r="S3150" s="4" t="str">
        <x:v>Retained</x:v>
      </x:c>
      <x:c r="T3150" s="10" t="n">
        <x:v>0.145299</x:v>
      </x:c>
      <x:c r="U3150" s="4" t="str">
        <x:v>Excluded / unlabelled</x:v>
      </x:c>
    </x:row>
    <x:row r="3151" ht="34" customHeight="1">
      <x:c r="A3151" s="4" t="str">
        <x:v>RS-03150</x:v>
      </x:c>
      <x:c r="B3151" s="8" t="n">
        <x:v>45487</x:v>
      </x:c>
      <x:c r="C3151" s="4" t="str">
        <x:v>PRJ-010</x:v>
      </x:c>
      <x:c r="D3151" s="4" t="str">
        <x:v>Retail</x:v>
      </x:c>
      <x:c r="E3151" s="4" t="str">
        <x:v>Reserved</x:v>
      </x:c>
      <x:c r="F3151" s="4" t="str">
        <x:v>CUS-03150</x:v>
      </x:c>
      <x:c r="G3151" s="4" t="str">
        <x:v>UNIT-03150</x:v>
      </x:c>
      <x:c r="H3151" s="9" t="n">
        <x:v>3300000</x:v>
      </x:c>
      <x:c r="I3151" s="10" t="n">
        <x:v>0.02</x:v>
      </x:c>
      <x:c r="J3151" s="11" t="n">
        <x:v>10</x:v>
      </x:c>
      <x:c r="K3151" s="11" t="n">
        <x:v>1</x:v>
      </x:c>
      <x:c r="L3151" s="11" t="n">
        <x:v>1</x:v>
      </x:c>
      <x:c r="M3151" s="9" t="n">
        <x:f>ROUND(H3151*(1-I3151),2)</x:f>
        <x:v>3234000</x:v>
      </x:c>
      <x:c r="N3151" s="4" t="str">
        <x:v>Sales manager</x:v>
      </x:c>
      <x:c r="O3151" s="4"/>
      <x:c r="P3151" s="9" t="n">
        <x:v>0</x:v>
      </x:c>
      <x:c r="Q3151" s="11" t="n">
        <x:v>1</x:v>
      </x:c>
      <x:c r="R3151" s="8" t="n">
        <x:v>45547</x:v>
      </x:c>
      <x:c r="S3151" s="4" t="str">
        <x:v>Lost / cancelled</x:v>
      </x:c>
      <x:c r="T3151" s="10" t="n">
        <x:v>0.254545</x:v>
      </x:c>
      <x:c r="U3151" s="4" t="str">
        <x:v>Excluded / unlabelled</x:v>
      </x:c>
    </x:row>
    <x:row r="3152" ht="34" customHeight="1">
      <x:c r="A3152" s="4" t="str">
        <x:v>RS-03151</x:v>
      </x:c>
      <x:c r="B3152" s="8" t="n">
        <x:v>45488</x:v>
      </x:c>
      <x:c r="C3152" s="4" t="str">
        <x:v>PRJ-011</x:v>
      </x:c>
      <x:c r="D3152" s="4" t="str">
        <x:v>Villa</x:v>
      </x:c>
      <x:c r="E3152" s="4" t="str">
        <x:v>Cancelled</x:v>
      </x:c>
      <x:c r="F3152" s="4" t="str">
        <x:v>CUS-03151</x:v>
      </x:c>
      <x:c r="G3152" s="4" t="str">
        <x:v>UNIT-03151</x:v>
      </x:c>
      <x:c r="H3152" s="9" t="n">
        <x:v>12800000</x:v>
      </x:c>
      <x:c r="I3152" s="10" t="n">
        <x:v>0.01</x:v>
      </x:c>
      <x:c r="J3152" s="11" t="n">
        <x:v>2</x:v>
      </x:c>
      <x:c r="K3152" s="11" t="n">
        <x:v>9</x:v>
      </x:c>
      <x:c r="L3152" s="11" t="n">
        <x:v>1</x:v>
      </x:c>
      <x:c r="M3152" s="9" t="n">
        <x:f>ROUND(H3152*(1-I3152),2)</x:f>
        <x:v>12672000</x:v>
      </x:c>
      <x:c r="N3152" s="4" t="str">
        <x:v>Sales manager</x:v>
      </x:c>
      <x:c r="O3152" s="4"/>
      <x:c r="P3152" s="9" t="n">
        <x:v>0</x:v>
      </x:c>
      <x:c r="Q3152" s="11" t="n">
        <x:v>1</x:v>
      </x:c>
      <x:c r="R3152" s="8" t="n">
        <x:v>45548</x:v>
      </x:c>
      <x:c r="S3152" s="4" t="str">
        <x:v>Lost / cancelled</x:v>
      </x:c>
      <x:c r="T3152" s="10" t="n">
        <x:v>0.171717</x:v>
      </x:c>
      <x:c r="U3152" s="4" t="str">
        <x:v>Excluded / unlabelled</x:v>
      </x:c>
    </x:row>
    <x:row r="3153" ht="34" customHeight="1">
      <x:c r="A3153" s="4" t="str">
        <x:v>RS-03152</x:v>
      </x:c>
      <x:c r="B3153" s="8" t="n">
        <x:v>45489</x:v>
      </x:c>
      <x:c r="C3153" s="4" t="str">
        <x:v>PRJ-012</x:v>
      </x:c>
      <x:c r="D3153" s="4" t="str">
        <x:v>Villa</x:v>
      </x:c>
      <x:c r="E3153" s="4" t="str">
        <x:v>Cancelled</x:v>
      </x:c>
      <x:c r="F3153" s="4" t="str">
        <x:v>CUS-03152</x:v>
      </x:c>
      <x:c r="G3153" s="4" t="str">
        <x:v>UNIT-03152</x:v>
      </x:c>
      <x:c r="H3153" s="9" t="n">
        <x:v>21400000</x:v>
      </x:c>
      <x:c r="I3153" s="10" t="n">
        <x:v>0.05</x:v>
      </x:c>
      <x:c r="J3153" s="11" t="n">
        <x:v>5</x:v>
      </x:c>
      <x:c r="K3153" s="11" t="n">
        <x:v>10</x:v>
      </x:c>
      <x:c r="L3153" s="11" t="n">
        <x:v>0</x:v>
      </x:c>
      <x:c r="M3153" s="9" t="n">
        <x:f>ROUND(H3153*(1-I3153),2)</x:f>
        <x:v>20330000</x:v>
      </x:c>
      <x:c r="N3153" s="4" t="str">
        <x:v>Sales manager</x:v>
      </x:c>
      <x:c r="O3153" s="4"/>
      <x:c r="P3153" s="9" t="n">
        <x:v>0</x:v>
      </x:c>
      <x:c r="Q3153" s="11" t="n">
        <x:v>1</x:v>
      </x:c>
      <x:c r="R3153" s="8" t="n">
        <x:v>45549</x:v>
      </x:c>
      <x:c r="S3153" s="4" t="str">
        <x:v>Lost / cancelled</x:v>
      </x:c>
      <x:c r="T3153" s="10" t="n">
        <x:v>0.226277</x:v>
      </x:c>
      <x:c r="U3153" s="4" t="str">
        <x:v>Excluded / unlabelled</x:v>
      </x:c>
    </x:row>
    <x:row r="3154" ht="34" customHeight="1">
      <x:c r="A3154" s="4" t="str">
        <x:v>RS-03153</x:v>
      </x:c>
      <x:c r="B3154" s="8" t="n">
        <x:v>45490</x:v>
      </x:c>
      <x:c r="C3154" s="4" t="str">
        <x:v>PRJ-013</x:v>
      </x:c>
      <x:c r="D3154" s="4" t="str">
        <x:v>Apartment</x:v>
      </x:c>
      <x:c r="E3154" s="4" t="str">
        <x:v>Enquiry</x:v>
      </x:c>
      <x:c r="F3154" s="4" t="str">
        <x:v>CUS-03153</x:v>
      </x:c>
      <x:c r="G3154" s="4" t="str">
        <x:v>UNIT-03153</x:v>
      </x:c>
      <x:c r="H3154" s="9" t="n">
        <x:v>5000000</x:v>
      </x:c>
      <x:c r="I3154" s="10" t="n">
        <x:v>0.02</x:v>
      </x:c>
      <x:c r="J3154" s="11" t="n">
        <x:v>1</x:v>
      </x:c>
      <x:c r="K3154" s="11" t="n">
        <x:v>10</x:v>
      </x:c>
      <x:c r="L3154" s="11" t="n">
        <x:v>1</x:v>
      </x:c>
      <x:c r="M3154" s="9" t="n">
        <x:f>ROUND(H3154*(1-I3154),2)</x:f>
        <x:v>4900000</x:v>
      </x:c>
      <x:c r="N3154" s="4" t="str">
        <x:v>Sales manager</x:v>
      </x:c>
      <x:c r="O3154" s="4"/>
      <x:c r="P3154" s="9" t="n">
        <x:v>0</x:v>
      </x:c>
      <x:c r="Q3154" s="11" t="n">
        <x:v>0</x:v>
      </x:c>
      <x:c r="R3154" s="8" t="n">
        <x:v>45550</x:v>
      </x:c>
      <x:c r="S3154" s="4" t="str">
        <x:v>Retained</x:v>
      </x:c>
      <x:c r="T3154" s="10" t="n">
        <x:v>0.072165</x:v>
      </x:c>
      <x:c r="U3154" s="4" t="str">
        <x:v>Excluded / unlabelled</x:v>
      </x:c>
    </x:row>
    <x:row r="3155" ht="34" customHeight="1">
      <x:c r="A3155" s="4" t="str">
        <x:v>RS-03154</x:v>
      </x:c>
      <x:c r="B3155" s="8" t="n">
        <x:v>45491</x:v>
      </x:c>
      <x:c r="C3155" s="4" t="str">
        <x:v>PRJ-014</x:v>
      </x:c>
      <x:c r="D3155" s="4" t="str">
        <x:v>Apartment</x:v>
      </x:c>
      <x:c r="E3155" s="4" t="str">
        <x:v>Reserved</x:v>
      </x:c>
      <x:c r="F3155" s="4" t="str">
        <x:v>CUS-03154</x:v>
      </x:c>
      <x:c r="G3155" s="4" t="str">
        <x:v>UNIT-03154</x:v>
      </x:c>
      <x:c r="H3155" s="9" t="n">
        <x:v>7200000</x:v>
      </x:c>
      <x:c r="I3155" s="10" t="n">
        <x:v>0.09</x:v>
      </x:c>
      <x:c r="J3155" s="11" t="n">
        <x:v>12</x:v>
      </x:c>
      <x:c r="K3155" s="11" t="n">
        <x:v>9</x:v>
      </x:c>
      <x:c r="L3155" s="11" t="n">
        <x:v>0</x:v>
      </x:c>
      <x:c r="M3155" s="9" t="n">
        <x:f>ROUND(H3155*(1-I3155),2)</x:f>
        <x:v>6552000</x:v>
      </x:c>
      <x:c r="N3155" s="4" t="str">
        <x:v>Sales head</x:v>
      </x:c>
      <x:c r="O3155" s="4"/>
      <x:c r="P3155" s="9" t="n">
        <x:v>0</x:v>
      </x:c>
      <x:c r="Q3155" s="11" t="n">
        <x:v>1</x:v>
      </x:c>
      <x:c r="R3155" s="8" t="n">
        <x:v>45551</x:v>
      </x:c>
      <x:c r="S3155" s="4" t="str">
        <x:v>Lost / cancelled</x:v>
      </x:c>
      <x:c r="T3155" s="10" t="n">
        <x:v>0.351536</x:v>
      </x:c>
      <x:c r="U3155" s="4" t="str">
        <x:v>Excluded / unlabelled</x:v>
      </x:c>
    </x:row>
    <x:row r="3156" ht="34" customHeight="1">
      <x:c r="A3156" s="4" t="str">
        <x:v>RS-03155</x:v>
      </x:c>
      <x:c r="B3156" s="8" t="n">
        <x:v>45492</x:v>
      </x:c>
      <x:c r="C3156" s="4" t="str">
        <x:v>PRJ-015</x:v>
      </x:c>
      <x:c r="D3156" s="4" t="str">
        <x:v>Office</x:v>
      </x:c>
      <x:c r="E3156" s="4" t="str">
        <x:v>Booked</x:v>
      </x:c>
      <x:c r="F3156" s="4" t="str">
        <x:v>CUS-03155</x:v>
      </x:c>
      <x:c r="G3156" s="4" t="str">
        <x:v>UNIT-03155</x:v>
      </x:c>
      <x:c r="H3156" s="9" t="n">
        <x:v>12300000</x:v>
      </x:c>
      <x:c r="I3156" s="10" t="n">
        <x:v>0.06</x:v>
      </x:c>
      <x:c r="J3156" s="11" t="n">
        <x:v>12</x:v>
      </x:c>
      <x:c r="K3156" s="11" t="n">
        <x:v>3</x:v>
      </x:c>
      <x:c r="L3156" s="11" t="n">
        <x:v>1</x:v>
      </x:c>
      <x:c r="M3156" s="9" t="n">
        <x:f>ROUND(H3156*(1-I3156),2)</x:f>
        <x:v>11562000</x:v>
      </x:c>
      <x:c r="N3156" s="4" t="str">
        <x:v>Sales manager</x:v>
      </x:c>
      <x:c r="O3156" s="4" t="str">
        <x:v>BOOK-03155</x:v>
      </x:c>
      <x:c r="P3156" s="9" t="n">
        <x:v>11562000</x:v>
      </x:c>
      <x:c r="Q3156" s="11" t="n">
        <x:v>0</x:v>
      </x:c>
      <x:c r="R3156" s="8" t="n">
        <x:v>45552</x:v>
      </x:c>
      <x:c r="S3156" s="4" t="str">
        <x:v>Retained</x:v>
      </x:c>
      <x:c r="T3156" s="10" t="n">
        <x:v>0.351536</x:v>
      </x:c>
      <x:c r="U3156" s="4" t="str">
        <x:v>Excluded / unlabelled</x:v>
      </x:c>
    </x:row>
    <x:row r="3157" ht="34" customHeight="1">
      <x:c r="A3157" s="4" t="str">
        <x:v>RS-03156</x:v>
      </x:c>
      <x:c r="B3157" s="8" t="n">
        <x:v>45493</x:v>
      </x:c>
      <x:c r="C3157" s="4" t="str">
        <x:v>PRJ-016</x:v>
      </x:c>
      <x:c r="D3157" s="4" t="str">
        <x:v>Retail</x:v>
      </x:c>
      <x:c r="E3157" s="4" t="str">
        <x:v>Cancelled</x:v>
      </x:c>
      <x:c r="F3157" s="4" t="str">
        <x:v>CUS-03156</x:v>
      </x:c>
      <x:c r="G3157" s="4" t="str">
        <x:v>UNIT-03156</x:v>
      </x:c>
      <x:c r="H3157" s="9" t="n">
        <x:v>21400000</x:v>
      </x:c>
      <x:c r="I3157" s="10" t="n">
        <x:v>0.03</x:v>
      </x:c>
      <x:c r="J3157" s="11" t="n">
        <x:v>8</x:v>
      </x:c>
      <x:c r="K3157" s="11" t="n">
        <x:v>3</x:v>
      </x:c>
      <x:c r="L3157" s="11" t="n">
        <x:v>1</x:v>
      </x:c>
      <x:c r="M3157" s="9" t="n">
        <x:f>ROUND(H3157*(1-I3157),2)</x:f>
        <x:v>20758000</x:v>
      </x:c>
      <x:c r="N3157" s="4" t="str">
        <x:v>Sales manager</x:v>
      </x:c>
      <x:c r="O3157" s="4"/>
      <x:c r="P3157" s="9" t="n">
        <x:v>0</x:v>
      </x:c>
      <x:c r="Q3157" s="11" t="n">
        <x:v>1</x:v>
      </x:c>
      <x:c r="R3157" s="8" t="n">
        <x:v>45553</x:v>
      </x:c>
      <x:c r="S3157" s="4" t="str">
        <x:v>Lost / cancelled</x:v>
      </x:c>
      <x:c r="T3157" s="10" t="n">
        <x:v>0.310195</x:v>
      </x:c>
      <x:c r="U3157" s="4" t="str">
        <x:v>Excluded / unlabelled</x:v>
      </x:c>
    </x:row>
    <x:row r="3158" ht="34" customHeight="1">
      <x:c r="A3158" s="4" t="str">
        <x:v>RS-03157</x:v>
      </x:c>
      <x:c r="B3158" s="8" t="n">
        <x:v>45494</x:v>
      </x:c>
      <x:c r="C3158" s="4" t="str">
        <x:v>PRJ-017</x:v>
      </x:c>
      <x:c r="D3158" s="4" t="str">
        <x:v>Retail</x:v>
      </x:c>
      <x:c r="E3158" s="4" t="str">
        <x:v>Enquiry</x:v>
      </x:c>
      <x:c r="F3158" s="4" t="str">
        <x:v>CUS-03157</x:v>
      </x:c>
      <x:c r="G3158" s="4" t="str">
        <x:v>UNIT-03157</x:v>
      </x:c>
      <x:c r="H3158" s="9" t="n">
        <x:v>13000000</x:v>
      </x:c>
      <x:c r="I3158" s="10" t="n">
        <x:v>0.04</x:v>
      </x:c>
      <x:c r="J3158" s="11" t="n">
        <x:v>1</x:v>
      </x:c>
      <x:c r="K3158" s="11" t="n">
        <x:v>0</x:v>
      </x:c>
      <x:c r="L3158" s="11" t="n">
        <x:v>0</x:v>
      </x:c>
      <x:c r="M3158" s="9" t="n">
        <x:f>ROUND(H3158*(1-I3158),2)</x:f>
        <x:v>12480000</x:v>
      </x:c>
      <x:c r="N3158" s="4" t="str">
        <x:v>Sales manager</x:v>
      </x:c>
      <x:c r="O3158" s="4"/>
      <x:c r="P3158" s="9" t="n">
        <x:v>0</x:v>
      </x:c>
      <x:c r="Q3158" s="11" t="n">
        <x:v>0</x:v>
      </x:c>
      <x:c r="R3158" s="8" t="n">
        <x:v>45554</x:v>
      </x:c>
      <x:c r="S3158" s="4" t="str">
        <x:v>Retained</x:v>
      </x:c>
      <x:c r="T3158" s="10" t="n">
        <x:v>0.276923</x:v>
      </x:c>
      <x:c r="U3158" s="4" t="str">
        <x:v>Excluded / unlabelled</x:v>
      </x:c>
    </x:row>
    <x:row r="3159" ht="34" customHeight="1">
      <x:c r="A3159" s="4" t="str">
        <x:v>RS-03158</x:v>
      </x:c>
      <x:c r="B3159" s="8" t="n">
        <x:v>45495</x:v>
      </x:c>
      <x:c r="C3159" s="4" t="str">
        <x:v>PRJ-018</x:v>
      </x:c>
      <x:c r="D3159" s="4" t="str">
        <x:v>Retail</x:v>
      </x:c>
      <x:c r="E3159" s="4" t="str">
        <x:v>Booked</x:v>
      </x:c>
      <x:c r="F3159" s="4" t="str">
        <x:v>CUS-03158</x:v>
      </x:c>
      <x:c r="G3159" s="4" t="str">
        <x:v>UNIT-03158</x:v>
      </x:c>
      <x:c r="H3159" s="9" t="n">
        <x:v>24100000</x:v>
      </x:c>
      <x:c r="I3159" s="10" t="n">
        <x:v>0.06</x:v>
      </x:c>
      <x:c r="J3159" s="11" t="n">
        <x:v>8</x:v>
      </x:c>
      <x:c r="K3159" s="11" t="n">
        <x:v>6</x:v>
      </x:c>
      <x:c r="L3159" s="11" t="n">
        <x:v>0</x:v>
      </x:c>
      <x:c r="M3159" s="9" t="n">
        <x:f>ROUND(H3159*(1-I3159),2)</x:f>
        <x:v>22654000</x:v>
      </x:c>
      <x:c r="N3159" s="4" t="str">
        <x:v>Sales manager</x:v>
      </x:c>
      <x:c r="O3159" s="4" t="str">
        <x:v>BOOK-03158</x:v>
      </x:c>
      <x:c r="P3159" s="9" t="n">
        <x:v>5663500</x:v>
      </x:c>
      <x:c r="Q3159" s="11" t="n">
        <x:v>0</x:v>
      </x:c>
      <x:c r="R3159" s="8" t="n">
        <x:v>45555</x:v>
      </x:c>
      <x:c r="S3159" s="4" t="str">
        <x:v>Retained</x:v>
      </x:c>
      <x:c r="T3159" s="10" t="n">
        <x:v>0.310195</x:v>
      </x:c>
      <x:c r="U3159" s="4" t="str">
        <x:v>Excluded / unlabelled</x:v>
      </x:c>
    </x:row>
    <x:row r="3160" ht="34" customHeight="1">
      <x:c r="A3160" s="4" t="str">
        <x:v>RS-03159</x:v>
      </x:c>
      <x:c r="B3160" s="8" t="n">
        <x:v>45496</x:v>
      </x:c>
      <x:c r="C3160" s="4" t="str">
        <x:v>PRJ-019</x:v>
      </x:c>
      <x:c r="D3160" s="4" t="str">
        <x:v>Apartment</x:v>
      </x:c>
      <x:c r="E3160" s="4" t="str">
        <x:v>Handed over</x:v>
      </x:c>
      <x:c r="F3160" s="4" t="str">
        <x:v>CUS-03159</x:v>
      </x:c>
      <x:c r="G3160" s="4" t="str">
        <x:v>UNIT-03159</x:v>
      </x:c>
      <x:c r="H3160" s="9" t="n">
        <x:v>11100000</x:v>
      </x:c>
      <x:c r="I3160" s="10" t="n">
        <x:v>0.12</x:v>
      </x:c>
      <x:c r="J3160" s="11" t="n">
        <x:v>5</x:v>
      </x:c>
      <x:c r="K3160" s="11" t="n">
        <x:v>2</x:v>
      </x:c>
      <x:c r="L3160" s="11" t="n">
        <x:v>1</x:v>
      </x:c>
      <x:c r="M3160" s="9" t="n">
        <x:f>ROUND(H3160*(1-I3160),2)</x:f>
        <x:v>9768000</x:v>
      </x:c>
      <x:c r="N3160" s="4" t="str">
        <x:v>Sales head</x:v>
      </x:c>
      <x:c r="O3160" s="4" t="str">
        <x:v>BOOK-03159</x:v>
      </x:c>
      <x:c r="P3160" s="9" t="n">
        <x:v>4884000</x:v>
      </x:c>
      <x:c r="Q3160" s="11" t="n">
        <x:v>0</x:v>
      </x:c>
      <x:c r="R3160" s="8" t="n">
        <x:v>45556</x:v>
      </x:c>
      <x:c r="S3160" s="4" t="str">
        <x:v>Retained</x:v>
      </x:c>
      <x:c r="T3160" s="10" t="n">
        <x:v>0.291946</x:v>
      </x:c>
      <x:c r="U3160" s="4" t="str">
        <x:v>Excluded / unlabelled</x:v>
      </x:c>
    </x:row>
    <x:row r="3161" ht="34" customHeight="1">
      <x:c r="A3161" s="4" t="str">
        <x:v>RS-03160</x:v>
      </x:c>
      <x:c r="B3161" s="8" t="n">
        <x:v>45497</x:v>
      </x:c>
      <x:c r="C3161" s="4" t="str">
        <x:v>PRJ-020</x:v>
      </x:c>
      <x:c r="D3161" s="4" t="str">
        <x:v>Office</x:v>
      </x:c>
      <x:c r="E3161" s="4" t="str">
        <x:v>Enquiry</x:v>
      </x:c>
      <x:c r="F3161" s="4" t="str">
        <x:v>CUS-03160</x:v>
      </x:c>
      <x:c r="G3161" s="4" t="str">
        <x:v>UNIT-03160</x:v>
      </x:c>
      <x:c r="H3161" s="9" t="n">
        <x:v>13200000</x:v>
      </x:c>
      <x:c r="I3161" s="10" t="n">
        <x:v>0.03</x:v>
      </x:c>
      <x:c r="J3161" s="11" t="n">
        <x:v>6</x:v>
      </x:c>
      <x:c r="K3161" s="11" t="n">
        <x:v>7</x:v>
      </x:c>
      <x:c r="L3161" s="11" t="n">
        <x:v>0</x:v>
      </x:c>
      <x:c r="M3161" s="9" t="n">
        <x:f>ROUND(H3161*(1-I3161),2)</x:f>
        <x:v>12804000</x:v>
      </x:c>
      <x:c r="N3161" s="4" t="str">
        <x:v>Sales manager</x:v>
      </x:c>
      <x:c r="O3161" s="4"/>
      <x:c r="P3161" s="9" t="n">
        <x:v>0</x:v>
      </x:c>
      <x:c r="Q3161" s="11" t="n">
        <x:v>0</x:v>
      </x:c>
      <x:c r="R3161" s="8" t="n">
        <x:v>45557</x:v>
      </x:c>
      <x:c r="S3161" s="4" t="str">
        <x:v>Retained</x:v>
      </x:c>
      <x:c r="T3161" s="10" t="n">
        <x:v>0.145299</x:v>
      </x:c>
      <x:c r="U3161" s="4" t="str">
        <x:v>Excluded / unlabelled</x:v>
      </x:c>
    </x:row>
    <x:row r="3162" ht="34" customHeight="1">
      <x:c r="A3162" s="4" t="str">
        <x:v>RS-03161</x:v>
      </x:c>
      <x:c r="B3162" s="8" t="n">
        <x:v>45498</x:v>
      </x:c>
      <x:c r="C3162" s="4" t="str">
        <x:v>PRJ-001</x:v>
      </x:c>
      <x:c r="D3162" s="4" t="str">
        <x:v>Office</x:v>
      </x:c>
      <x:c r="E3162" s="4" t="str">
        <x:v>Cancelled</x:v>
      </x:c>
      <x:c r="F3162" s="4" t="str">
        <x:v>CUS-03161</x:v>
      </x:c>
      <x:c r="G3162" s="4" t="str">
        <x:v>UNIT-03161</x:v>
      </x:c>
      <x:c r="H3162" s="9" t="n">
        <x:v>13200000</x:v>
      </x:c>
      <x:c r="I3162" s="10" t="n">
        <x:v>0.01</x:v>
      </x:c>
      <x:c r="J3162" s="11" t="n">
        <x:v>7</x:v>
      </x:c>
      <x:c r="K3162" s="11" t="n">
        <x:v>5</x:v>
      </x:c>
      <x:c r="L3162" s="11" t="n">
        <x:v>0</x:v>
      </x:c>
      <x:c r="M3162" s="9" t="n">
        <x:f>ROUND(H3162*(1-I3162),2)</x:f>
        <x:v>13068000</x:v>
      </x:c>
      <x:c r="N3162" s="4" t="str">
        <x:v>Sales manager</x:v>
      </x:c>
      <x:c r="O3162" s="4"/>
      <x:c r="P3162" s="9" t="n">
        <x:v>0</x:v>
      </x:c>
      <x:c r="Q3162" s="11" t="n">
        <x:v>1</x:v>
      </x:c>
      <x:c r="R3162" s="8" t="n">
        <x:v>45558</x:v>
      </x:c>
      <x:c r="S3162" s="4" t="str">
        <x:v>Lost / cancelled</x:v>
      </x:c>
      <x:c r="T3162" s="10" t="n">
        <x:v>0.145299</x:v>
      </x:c>
      <x:c r="U3162" s="4" t="str">
        <x:v>Excluded / unlabelled</x:v>
      </x:c>
    </x:row>
    <x:row r="3163" ht="34" customHeight="1">
      <x:c r="A3163" s="4" t="str">
        <x:v>RS-03162</x:v>
      </x:c>
      <x:c r="B3163" s="8" t="n">
        <x:v>45499</x:v>
      </x:c>
      <x:c r="C3163" s="4" t="str">
        <x:v>PRJ-002</x:v>
      </x:c>
      <x:c r="D3163" s="4" t="str">
        <x:v>Retail</x:v>
      </x:c>
      <x:c r="E3163" s="4" t="str">
        <x:v>Enquiry</x:v>
      </x:c>
      <x:c r="F3163" s="4" t="str">
        <x:v>CUS-03162</x:v>
      </x:c>
      <x:c r="G3163" s="4" t="str">
        <x:v>UNIT-03162</x:v>
      </x:c>
      <x:c r="H3163" s="9" t="n">
        <x:v>3100000</x:v>
      </x:c>
      <x:c r="I3163" s="10" t="n">
        <x:v>0.1</x:v>
      </x:c>
      <x:c r="J3163" s="11" t="n">
        <x:v>11</x:v>
      </x:c>
      <x:c r="K3163" s="11" t="n">
        <x:v>10</x:v>
      </x:c>
      <x:c r="L3163" s="11" t="n">
        <x:v>1</x:v>
      </x:c>
      <x:c r="M3163" s="9" t="n">
        <x:f>ROUND(H3163*(1-I3163),2)</x:f>
        <x:v>2790000</x:v>
      </x:c>
      <x:c r="N3163" s="4" t="str">
        <x:v>Sales head</x:v>
      </x:c>
      <x:c r="O3163" s="4"/>
      <x:c r="P3163" s="9" t="n">
        <x:v>0</x:v>
      </x:c>
      <x:c r="Q3163" s="11" t="n">
        <x:v>1</x:v>
      </x:c>
      <x:c r="R3163" s="8" t="n">
        <x:v>45559</x:v>
      </x:c>
      <x:c r="S3163" s="4" t="str">
        <x:v>Lost / cancelled</x:v>
      </x:c>
      <x:c r="T3163" s="10" t="n">
        <x:v>0.351536</x:v>
      </x:c>
      <x:c r="U3163" s="4" t="str">
        <x:v>Excluded / unlabelled</x:v>
      </x:c>
    </x:row>
    <x:row r="3164" ht="34" customHeight="1">
      <x:c r="A3164" s="4" t="str">
        <x:v>RS-03163</x:v>
      </x:c>
      <x:c r="B3164" s="8" t="n">
        <x:v>45500</x:v>
      </x:c>
      <x:c r="C3164" s="4" t="str">
        <x:v>PRJ-003</x:v>
      </x:c>
      <x:c r="D3164" s="4" t="str">
        <x:v>Apartment</x:v>
      </x:c>
      <x:c r="E3164" s="4" t="str">
        <x:v>Cancelled</x:v>
      </x:c>
      <x:c r="F3164" s="4" t="str">
        <x:v>CUS-03163</x:v>
      </x:c>
      <x:c r="G3164" s="4" t="str">
        <x:v>UNIT-03163</x:v>
      </x:c>
      <x:c r="H3164" s="9" t="n">
        <x:v>13400000</x:v>
      </x:c>
      <x:c r="I3164" s="10" t="n">
        <x:v>0.02</x:v>
      </x:c>
      <x:c r="J3164" s="11" t="n">
        <x:v>6</x:v>
      </x:c>
      <x:c r="K3164" s="11" t="n">
        <x:v>1</x:v>
      </x:c>
      <x:c r="L3164" s="11" t="n">
        <x:v>0</x:v>
      </x:c>
      <x:c r="M3164" s="9" t="n">
        <x:f>ROUND(H3164*(1-I3164),2)</x:f>
        <x:v>13132000</x:v>
      </x:c>
      <x:c r="N3164" s="4" t="str">
        <x:v>Sales manager</x:v>
      </x:c>
      <x:c r="O3164" s="4"/>
      <x:c r="P3164" s="9" t="n">
        <x:v>0</x:v>
      </x:c>
      <x:c r="Q3164" s="11" t="n">
        <x:v>1</x:v>
      </x:c>
      <x:c r="R3164" s="8" t="n">
        <x:v>45560</x:v>
      </x:c>
      <x:c r="S3164" s="4" t="str">
        <x:v>Lost / cancelled</x:v>
      </x:c>
      <x:c r="T3164" s="10" t="n">
        <x:v>0.298969</x:v>
      </x:c>
      <x:c r="U3164" s="4" t="str">
        <x:v>Excluded / unlabelled</x:v>
      </x:c>
    </x:row>
    <x:row r="3165" ht="34" customHeight="1">
      <x:c r="A3165" s="4" t="str">
        <x:v>RS-03164</x:v>
      </x:c>
      <x:c r="B3165" s="8" t="n">
        <x:v>45501</x:v>
      </x:c>
      <x:c r="C3165" s="4" t="str">
        <x:v>PRJ-004</x:v>
      </x:c>
      <x:c r="D3165" s="4" t="str">
        <x:v>Villa</x:v>
      </x:c>
      <x:c r="E3165" s="4" t="str">
        <x:v>Enquiry</x:v>
      </x:c>
      <x:c r="F3165" s="4" t="str">
        <x:v>CUS-03164</x:v>
      </x:c>
      <x:c r="G3165" s="4" t="str">
        <x:v>UNIT-03164</x:v>
      </x:c>
      <x:c r="H3165" s="9" t="n">
        <x:v>10100000</x:v>
      </x:c>
      <x:c r="I3165" s="10" t="n">
        <x:v>0.01</x:v>
      </x:c>
      <x:c r="J3165" s="11" t="n">
        <x:v>11</x:v>
      </x:c>
      <x:c r="K3165" s="11" t="n">
        <x:v>8</x:v>
      </x:c>
      <x:c r="L3165" s="11" t="n">
        <x:v>1</x:v>
      </x:c>
      <x:c r="M3165" s="9" t="n">
        <x:f>ROUND(H3165*(1-I3165),2)</x:f>
        <x:v>9999000</x:v>
      </x:c>
      <x:c r="N3165" s="4" t="str">
        <x:v>Sales manager</x:v>
      </x:c>
      <x:c r="O3165" s="4"/>
      <x:c r="P3165" s="9" t="n">
        <x:v>0</x:v>
      </x:c>
      <x:c r="Q3165" s="11" t="n">
        <x:v>1</x:v>
      </x:c>
      <x:c r="R3165" s="8" t="n">
        <x:v>45561</x:v>
      </x:c>
      <x:c r="S3165" s="4" t="str">
        <x:v>Lost / cancelled</x:v>
      </x:c>
      <x:c r="T3165" s="10" t="n">
        <x:v>0.254545</x:v>
      </x:c>
      <x:c r="U3165" s="4" t="str">
        <x:v>Excluded / unlabelled</x:v>
      </x:c>
    </x:row>
    <x:row r="3166" ht="34" customHeight="1">
      <x:c r="A3166" s="4" t="str">
        <x:v>RS-03165</x:v>
      </x:c>
      <x:c r="B3166" s="8" t="n">
        <x:v>45474</x:v>
      </x:c>
      <x:c r="C3166" s="4" t="str">
        <x:v>PRJ-005</x:v>
      </x:c>
      <x:c r="D3166" s="4" t="str">
        <x:v>Apartment</x:v>
      </x:c>
      <x:c r="E3166" s="4" t="str">
        <x:v>Reserved</x:v>
      </x:c>
      <x:c r="F3166" s="4" t="str">
        <x:v>CUS-03165</x:v>
      </x:c>
      <x:c r="G3166" s="4" t="str">
        <x:v>UNIT-03165</x:v>
      </x:c>
      <x:c r="H3166" s="9" t="n">
        <x:v>17600000</x:v>
      </x:c>
      <x:c r="I3166" s="10" t="n">
        <x:v>0</x:v>
      </x:c>
      <x:c r="J3166" s="11" t="n">
        <x:v>6</x:v>
      </x:c>
      <x:c r="K3166" s="11" t="n">
        <x:v>0</x:v>
      </x:c>
      <x:c r="L3166" s="11" t="n">
        <x:v>0</x:v>
      </x:c>
      <x:c r="M3166" s="9" t="n">
        <x:f>ROUND(H3166*(1-I3166),2)</x:f>
        <x:v>17600000</x:v>
      </x:c>
      <x:c r="N3166" s="4" t="str">
        <x:v>Sales manager</x:v>
      </x:c>
      <x:c r="O3166" s="4"/>
      <x:c r="P3166" s="9" t="n">
        <x:v>0</x:v>
      </x:c>
      <x:c r="Q3166" s="11" t="n">
        <x:v>1</x:v>
      </x:c>
      <x:c r="R3166" s="8" t="n">
        <x:v>45534</x:v>
      </x:c>
      <x:c r="S3166" s="4" t="str">
        <x:v>Lost / cancelled</x:v>
      </x:c>
      <x:c r="T3166" s="10" t="n">
        <x:v>0.298969</x:v>
      </x:c>
      <x:c r="U3166" s="4" t="str">
        <x:v>Excluded / unlabelled</x:v>
      </x:c>
    </x:row>
    <x:row r="3167" ht="34" customHeight="1">
      <x:c r="A3167" s="4" t="str">
        <x:v>RS-03166</x:v>
      </x:c>
      <x:c r="B3167" s="8" t="n">
        <x:v>45475</x:v>
      </x:c>
      <x:c r="C3167" s="4" t="str">
        <x:v>PRJ-006</x:v>
      </x:c>
      <x:c r="D3167" s="4" t="str">
        <x:v>Apartment</x:v>
      </x:c>
      <x:c r="E3167" s="4" t="str">
        <x:v>Cancelled</x:v>
      </x:c>
      <x:c r="F3167" s="4" t="str">
        <x:v>CUS-03166</x:v>
      </x:c>
      <x:c r="G3167" s="4" t="str">
        <x:v>UNIT-03166</x:v>
      </x:c>
      <x:c r="H3167" s="9" t="n">
        <x:v>25000000</x:v>
      </x:c>
      <x:c r="I3167" s="10" t="n">
        <x:v>0.01</x:v>
      </x:c>
      <x:c r="J3167" s="11" t="n">
        <x:v>10</x:v>
      </x:c>
      <x:c r="K3167" s="11" t="n">
        <x:v>4</x:v>
      </x:c>
      <x:c r="L3167" s="11" t="n">
        <x:v>0</x:v>
      </x:c>
      <x:c r="M3167" s="9" t="n">
        <x:f>ROUND(H3167*(1-I3167),2)</x:f>
        <x:v>24750000</x:v>
      </x:c>
      <x:c r="N3167" s="4" t="str">
        <x:v>Sales manager</x:v>
      </x:c>
      <x:c r="O3167" s="4"/>
      <x:c r="P3167" s="9" t="n">
        <x:v>0</x:v>
      </x:c>
      <x:c r="Q3167" s="11" t="n">
        <x:v>1</x:v>
      </x:c>
      <x:c r="R3167" s="8" t="n">
        <x:v>45535</x:v>
      </x:c>
      <x:c r="S3167" s="4" t="str">
        <x:v>Lost / cancelled</x:v>
      </x:c>
      <x:c r="T3167" s="10" t="n">
        <x:v>0.305556</x:v>
      </x:c>
      <x:c r="U3167" s="4" t="str">
        <x:v>Excluded / unlabelled</x:v>
      </x:c>
    </x:row>
    <x:row r="3168" ht="34" customHeight="1">
      <x:c r="A3168" s="4" t="str">
        <x:v>RS-03167</x:v>
      </x:c>
      <x:c r="B3168" s="8" t="n">
        <x:v>45476</x:v>
      </x:c>
      <x:c r="C3168" s="4" t="str">
        <x:v>PRJ-007</x:v>
      </x:c>
      <x:c r="D3168" s="4" t="str">
        <x:v>Villa</x:v>
      </x:c>
      <x:c r="E3168" s="4" t="str">
        <x:v>Booked</x:v>
      </x:c>
      <x:c r="F3168" s="4" t="str">
        <x:v>CUS-03167</x:v>
      </x:c>
      <x:c r="G3168" s="4" t="str">
        <x:v>UNIT-03167</x:v>
      </x:c>
      <x:c r="H3168" s="9" t="n">
        <x:v>9600000</x:v>
      </x:c>
      <x:c r="I3168" s="10" t="n">
        <x:v>0.05</x:v>
      </x:c>
      <x:c r="J3168" s="11" t="n">
        <x:v>3</x:v>
      </x:c>
      <x:c r="K3168" s="11" t="n">
        <x:v>3</x:v>
      </x:c>
      <x:c r="L3168" s="11" t="n">
        <x:v>1</x:v>
      </x:c>
      <x:c r="M3168" s="9" t="n">
        <x:f>ROUND(H3168*(1-I3168),2)</x:f>
        <x:v>9120000</x:v>
      </x:c>
      <x:c r="N3168" s="4" t="str">
        <x:v>Sales manager</x:v>
      </x:c>
      <x:c r="O3168" s="4" t="str">
        <x:v>BOOK-03167</x:v>
      </x:c>
      <x:c r="P3168" s="9" t="n">
        <x:v>912000</x:v>
      </x:c>
      <x:c r="Q3168" s="11" t="n">
        <x:v>0</x:v>
      </x:c>
      <x:c r="R3168" s="8" t="n">
        <x:v>45536</x:v>
      </x:c>
      <x:c r="S3168" s="4" t="str">
        <x:v>Retained</x:v>
      </x:c>
      <x:c r="T3168" s="10" t="n">
        <x:v>0.204152</x:v>
      </x:c>
      <x:c r="U3168" s="4" t="str">
        <x:v>Excluded / unlabelled</x:v>
      </x:c>
    </x:row>
    <x:row r="3169" ht="34" customHeight="1">
      <x:c r="A3169" s="4" t="str">
        <x:v>RS-03168</x:v>
      </x:c>
      <x:c r="B3169" s="8" t="n">
        <x:v>45477</x:v>
      </x:c>
      <x:c r="C3169" s="4" t="str">
        <x:v>PRJ-008</x:v>
      </x:c>
      <x:c r="D3169" s="4" t="str">
        <x:v>Office</x:v>
      </x:c>
      <x:c r="E3169" s="4" t="str">
        <x:v>Enquiry</x:v>
      </x:c>
      <x:c r="F3169" s="4" t="str">
        <x:v>CUS-03168</x:v>
      </x:c>
      <x:c r="G3169" s="4" t="str">
        <x:v>UNIT-03168</x:v>
      </x:c>
      <x:c r="H3169" s="9" t="n">
        <x:v>23500000</x:v>
      </x:c>
      <x:c r="I3169" s="10" t="n">
        <x:v>0.06</x:v>
      </x:c>
      <x:c r="J3169" s="11" t="n">
        <x:v>12</x:v>
      </x:c>
      <x:c r="K3169" s="11" t="n">
        <x:v>4</x:v>
      </x:c>
      <x:c r="L3169" s="11" t="n">
        <x:v>0</x:v>
      </x:c>
      <x:c r="M3169" s="9" t="n">
        <x:f>ROUND(H3169*(1-I3169),2)</x:f>
        <x:v>22090000</x:v>
      </x:c>
      <x:c r="N3169" s="4" t="str">
        <x:v>Sales manager</x:v>
      </x:c>
      <x:c r="O3169" s="4"/>
      <x:c r="P3169" s="9" t="n">
        <x:v>0</x:v>
      </x:c>
      <x:c r="Q3169" s="11" t="n">
        <x:v>1</x:v>
      </x:c>
      <x:c r="R3169" s="8" t="n">
        <x:v>45537</x:v>
      </x:c>
      <x:c r="S3169" s="4" t="str">
        <x:v>Lost / cancelled</x:v>
      </x:c>
      <x:c r="T3169" s="10" t="n">
        <x:v>0.351536</x:v>
      </x:c>
      <x:c r="U3169" s="4" t="str">
        <x:v>Excluded / unlabelled</x:v>
      </x:c>
    </x:row>
    <x:row r="3170" ht="34" customHeight="1">
      <x:c r="A3170" s="4" t="str">
        <x:v>RS-03169</x:v>
      </x:c>
      <x:c r="B3170" s="8" t="n">
        <x:v>45478</x:v>
      </x:c>
      <x:c r="C3170" s="4" t="str">
        <x:v>PRJ-009</x:v>
      </x:c>
      <x:c r="D3170" s="4" t="str">
        <x:v>Office</x:v>
      </x:c>
      <x:c r="E3170" s="4" t="str">
        <x:v>Handed over</x:v>
      </x:c>
      <x:c r="F3170" s="4" t="str">
        <x:v>CUS-03169</x:v>
      </x:c>
      <x:c r="G3170" s="4" t="str">
        <x:v>UNIT-03169</x:v>
      </x:c>
      <x:c r="H3170" s="9" t="n">
        <x:v>24500000</x:v>
      </x:c>
      <x:c r="I3170" s="10" t="n">
        <x:v>0.07</x:v>
      </x:c>
      <x:c r="J3170" s="11" t="n">
        <x:v>9</x:v>
      </x:c>
      <x:c r="K3170" s="11" t="n">
        <x:v>2</x:v>
      </x:c>
      <x:c r="L3170" s="11" t="n">
        <x:v>0</x:v>
      </x:c>
      <x:c r="M3170" s="9" t="n">
        <x:f>ROUND(H3170*(1-I3170),2)</x:f>
        <x:v>22785000</x:v>
      </x:c>
      <x:c r="N3170" s="4" t="str">
        <x:v>Sales manager</x:v>
      </x:c>
      <x:c r="O3170" s="4" t="str">
        <x:v>BOOK-03169</x:v>
      </x:c>
      <x:c r="P3170" s="9" t="n">
        <x:v>22785000</x:v>
      </x:c>
      <x:c r="Q3170" s="11" t="n">
        <x:v>0</x:v>
      </x:c>
      <x:c r="R3170" s="8" t="n">
        <x:v>45538</x:v>
      </x:c>
      <x:c r="S3170" s="4" t="str">
        <x:v>Retained</x:v>
      </x:c>
      <x:c r="T3170" s="10" t="n">
        <x:v>0.310195</x:v>
      </x:c>
      <x:c r="U3170" s="4" t="str">
        <x:v>Excluded / unlabelled</x:v>
      </x:c>
    </x:row>
    <x:row r="3171" ht="34" customHeight="1">
      <x:c r="A3171" s="4" t="str">
        <x:v>RS-03170</x:v>
      </x:c>
      <x:c r="B3171" s="8" t="n">
        <x:v>45479</x:v>
      </x:c>
      <x:c r="C3171" s="4" t="str">
        <x:v>PRJ-010</x:v>
      </x:c>
      <x:c r="D3171" s="4" t="str">
        <x:v>Villa</x:v>
      </x:c>
      <x:c r="E3171" s="4" t="str">
        <x:v>Reserved</x:v>
      </x:c>
      <x:c r="F3171" s="4" t="str">
        <x:v>CUS-03170</x:v>
      </x:c>
      <x:c r="G3171" s="4" t="str">
        <x:v>UNIT-03170</x:v>
      </x:c>
      <x:c r="H3171" s="9" t="n">
        <x:v>21100000</x:v>
      </x:c>
      <x:c r="I3171" s="10" t="n">
        <x:v>0.07</x:v>
      </x:c>
      <x:c r="J3171" s="11" t="n">
        <x:v>6</x:v>
      </x:c>
      <x:c r="K3171" s="11" t="n">
        <x:v>8</x:v>
      </x:c>
      <x:c r="L3171" s="11" t="n">
        <x:v>0</x:v>
      </x:c>
      <x:c r="M3171" s="9" t="n">
        <x:f>ROUND(H3171*(1-I3171),2)</x:f>
        <x:v>19623000</x:v>
      </x:c>
      <x:c r="N3171" s="4" t="str">
        <x:v>Sales manager</x:v>
      </x:c>
      <x:c r="O3171" s="4"/>
      <x:c r="P3171" s="9" t="n">
        <x:v>0</x:v>
      </x:c>
      <x:c r="Q3171" s="11" t="n">
        <x:v>0</x:v>
      </x:c>
      <x:c r="R3171" s="8" t="n">
        <x:v>45539</x:v>
      </x:c>
      <x:c r="S3171" s="4" t="str">
        <x:v>Retained</x:v>
      </x:c>
      <x:c r="T3171" s="10" t="n">
        <x:v>0.226277</x:v>
      </x:c>
      <x:c r="U3171" s="4" t="str">
        <x:v>Excluded / unlabelled</x:v>
      </x:c>
    </x:row>
    <x:row r="3172" ht="34" customHeight="1">
      <x:c r="A3172" s="4" t="str">
        <x:v>RS-03171</x:v>
      </x:c>
      <x:c r="B3172" s="8" t="n">
        <x:v>45480</x:v>
      </x:c>
      <x:c r="C3172" s="4" t="str">
        <x:v>PRJ-011</x:v>
      </x:c>
      <x:c r="D3172" s="4" t="str">
        <x:v>Apartment</x:v>
      </x:c>
      <x:c r="E3172" s="4" t="str">
        <x:v>Cancelled</x:v>
      </x:c>
      <x:c r="F3172" s="4" t="str">
        <x:v>CUS-03171</x:v>
      </x:c>
      <x:c r="G3172" s="4" t="str">
        <x:v>UNIT-03171</x:v>
      </x:c>
      <x:c r="H3172" s="9" t="n">
        <x:v>14000000</x:v>
      </x:c>
      <x:c r="I3172" s="10" t="n">
        <x:v>0.06</x:v>
      </x:c>
      <x:c r="J3172" s="11" t="n">
        <x:v>7</x:v>
      </x:c>
      <x:c r="K3172" s="11" t="n">
        <x:v>3</x:v>
      </x:c>
      <x:c r="L3172" s="11" t="n">
        <x:v>1</x:v>
      </x:c>
      <x:c r="M3172" s="9" t="n">
        <x:f>ROUND(H3172*(1-I3172),2)</x:f>
        <x:v>13160000</x:v>
      </x:c>
      <x:c r="N3172" s="4" t="str">
        <x:v>Sales manager</x:v>
      </x:c>
      <x:c r="O3172" s="4"/>
      <x:c r="P3172" s="9" t="n">
        <x:v>0</x:v>
      </x:c>
      <x:c r="Q3172" s="11" t="n">
        <x:v>1</x:v>
      </x:c>
      <x:c r="R3172" s="8" t="n">
        <x:v>45540</x:v>
      </x:c>
      <x:c r="S3172" s="4" t="str">
        <x:v>Lost / cancelled</x:v>
      </x:c>
      <x:c r="T3172" s="10" t="n">
        <x:v>0.291946</x:v>
      </x:c>
      <x:c r="U3172" s="4" t="str">
        <x:v>Excluded / unlabelled</x:v>
      </x:c>
    </x:row>
    <x:row r="3173" ht="34" customHeight="1">
      <x:c r="A3173" s="4" t="str">
        <x:v>RS-03172</x:v>
      </x:c>
      <x:c r="B3173" s="8" t="n">
        <x:v>45481</x:v>
      </x:c>
      <x:c r="C3173" s="4" t="str">
        <x:v>PRJ-012</x:v>
      </x:c>
      <x:c r="D3173" s="4" t="str">
        <x:v>Office</x:v>
      </x:c>
      <x:c r="E3173" s="4" t="str">
        <x:v>Reserved</x:v>
      </x:c>
      <x:c r="F3173" s="4" t="str">
        <x:v>CUS-03172</x:v>
      </x:c>
      <x:c r="G3173" s="4" t="str">
        <x:v>UNIT-03172</x:v>
      </x:c>
      <x:c r="H3173" s="9" t="n">
        <x:v>13100000</x:v>
      </x:c>
      <x:c r="I3173" s="10" t="n">
        <x:v>0.1</x:v>
      </x:c>
      <x:c r="J3173" s="11" t="n">
        <x:v>2</x:v>
      </x:c>
      <x:c r="K3173" s="11" t="n">
        <x:v>9</x:v>
      </x:c>
      <x:c r="L3173" s="11" t="n">
        <x:v>1</x:v>
      </x:c>
      <x:c r="M3173" s="9" t="n">
        <x:f>ROUND(H3173*(1-I3173),2)</x:f>
        <x:v>11790000</x:v>
      </x:c>
      <x:c r="N3173" s="4" t="str">
        <x:v>Sales head</x:v>
      </x:c>
      <x:c r="O3173" s="4"/>
      <x:c r="P3173" s="9" t="n">
        <x:v>0</x:v>
      </x:c>
      <x:c r="Q3173" s="11" t="n">
        <x:v>0</x:v>
      </x:c>
      <x:c r="R3173" s="8" t="n">
        <x:v>45541</x:v>
      </x:c>
      <x:c r="S3173" s="4" t="str">
        <x:v>Retained</x:v>
      </x:c>
      <x:c r="T3173" s="10" t="n">
        <x:v>0.145833</x:v>
      </x:c>
      <x:c r="U3173" s="4" t="str">
        <x:v>Excluded / unlabelled</x:v>
      </x:c>
    </x:row>
    <x:row r="3174" ht="34" customHeight="1">
      <x:c r="A3174" s="4" t="str">
        <x:v>RS-03173</x:v>
      </x:c>
      <x:c r="B3174" s="8" t="n">
        <x:v>45482</x:v>
      </x:c>
      <x:c r="C3174" s="4" t="str">
        <x:v>PRJ-013</x:v>
      </x:c>
      <x:c r="D3174" s="4" t="str">
        <x:v>Retail</x:v>
      </x:c>
      <x:c r="E3174" s="4" t="str">
        <x:v>Agreement signed</x:v>
      </x:c>
      <x:c r="F3174" s="4" t="str">
        <x:v>CUS-03173</x:v>
      </x:c>
      <x:c r="G3174" s="4" t="str">
        <x:v>UNIT-03173</x:v>
      </x:c>
      <x:c r="H3174" s="9" t="n">
        <x:v>4700000</x:v>
      </x:c>
      <x:c r="I3174" s="10" t="n">
        <x:v>0.06</x:v>
      </x:c>
      <x:c r="J3174" s="11" t="n">
        <x:v>8</x:v>
      </x:c>
      <x:c r="K3174" s="11" t="n">
        <x:v>3</x:v>
      </x:c>
      <x:c r="L3174" s="11" t="n">
        <x:v>1</x:v>
      </x:c>
      <x:c r="M3174" s="9" t="n">
        <x:f>ROUND(H3174*(1-I3174),2)</x:f>
        <x:v>4418000</x:v>
      </x:c>
      <x:c r="N3174" s="4" t="str">
        <x:v>Sales manager</x:v>
      </x:c>
      <x:c r="O3174" s="4" t="str">
        <x:v>BOOK-03173</x:v>
      </x:c>
      <x:c r="P3174" s="9" t="n">
        <x:v>2209000</x:v>
      </x:c>
      <x:c r="Q3174" s="11" t="n">
        <x:v>0</x:v>
      </x:c>
      <x:c r="R3174" s="8" t="n">
        <x:v>45542</x:v>
      </x:c>
      <x:c r="S3174" s="4" t="str">
        <x:v>Retained</x:v>
      </x:c>
      <x:c r="T3174" s="10" t="n">
        <x:v>0.310195</x:v>
      </x:c>
      <x:c r="U3174" s="4" t="str">
        <x:v>Excluded / unlabelled</x:v>
      </x:c>
    </x:row>
    <x:row r="3175" ht="34" customHeight="1">
      <x:c r="A3175" s="4" t="str">
        <x:v>RS-03174</x:v>
      </x:c>
      <x:c r="B3175" s="8" t="n">
        <x:v>45483</x:v>
      </x:c>
      <x:c r="C3175" s="4" t="str">
        <x:v>PRJ-014</x:v>
      </x:c>
      <x:c r="D3175" s="4" t="str">
        <x:v>Apartment</x:v>
      </x:c>
      <x:c r="E3175" s="4" t="str">
        <x:v>Cancelled</x:v>
      </x:c>
      <x:c r="F3175" s="4" t="str">
        <x:v>CUS-03174</x:v>
      </x:c>
      <x:c r="G3175" s="4" t="str">
        <x:v>UNIT-03174</x:v>
      </x:c>
      <x:c r="H3175" s="9" t="n">
        <x:v>11400000</x:v>
      </x:c>
      <x:c r="I3175" s="10" t="n">
        <x:v>0.01</x:v>
      </x:c>
      <x:c r="J3175" s="11" t="n">
        <x:v>0</x:v>
      </x:c>
      <x:c r="K3175" s="11" t="n">
        <x:v>9</x:v>
      </x:c>
      <x:c r="L3175" s="11" t="n">
        <x:v>1</x:v>
      </x:c>
      <x:c r="M3175" s="9" t="n">
        <x:f>ROUND(H3175*(1-I3175),2)</x:f>
        <x:v>11286000</x:v>
      </x:c>
      <x:c r="N3175" s="4" t="str">
        <x:v>Sales manager</x:v>
      </x:c>
      <x:c r="O3175" s="4"/>
      <x:c r="P3175" s="9" t="n">
        <x:v>0</x:v>
      </x:c>
      <x:c r="Q3175" s="11" t="n">
        <x:v>1</x:v>
      </x:c>
      <x:c r="R3175" s="8" t="n">
        <x:v>45543</x:v>
      </x:c>
      <x:c r="S3175" s="4" t="str">
        <x:v>Lost / cancelled</x:v>
      </x:c>
      <x:c r="T3175" s="10" t="n">
        <x:v>0.072165</x:v>
      </x:c>
      <x:c r="U3175" s="4" t="str">
        <x:v>Excluded / unlabelled</x:v>
      </x:c>
    </x:row>
    <x:row r="3176" ht="34" customHeight="1">
      <x:c r="A3176" s="4" t="str">
        <x:v>RS-03175</x:v>
      </x:c>
      <x:c r="B3176" s="8" t="n">
        <x:v>45484</x:v>
      </x:c>
      <x:c r="C3176" s="4" t="str">
        <x:v>PRJ-015</x:v>
      </x:c>
      <x:c r="D3176" s="4" t="str">
        <x:v>Villa</x:v>
      </x:c>
      <x:c r="E3176" s="4" t="str">
        <x:v>Enquiry</x:v>
      </x:c>
      <x:c r="F3176" s="4" t="str">
        <x:v>CUS-03175</x:v>
      </x:c>
      <x:c r="G3176" s="4" t="str">
        <x:v>UNIT-03175</x:v>
      </x:c>
      <x:c r="H3176" s="9" t="n">
        <x:v>19400000</x:v>
      </x:c>
      <x:c r="I3176" s="10" t="n">
        <x:v>0.02</x:v>
      </x:c>
      <x:c r="J3176" s="11" t="n">
        <x:v>4</x:v>
      </x:c>
      <x:c r="K3176" s="11" t="n">
        <x:v>3</x:v>
      </x:c>
      <x:c r="L3176" s="11" t="n">
        <x:v>0</x:v>
      </x:c>
      <x:c r="M3176" s="9" t="n">
        <x:f>ROUND(H3176*(1-I3176),2)</x:f>
        <x:v>19012000</x:v>
      </x:c>
      <x:c r="N3176" s="4" t="str">
        <x:v>Sales manager</x:v>
      </x:c>
      <x:c r="O3176" s="4"/>
      <x:c r="P3176" s="9" t="n">
        <x:v>0</x:v>
      </x:c>
      <x:c r="Q3176" s="11" t="n">
        <x:v>1</x:v>
      </x:c>
      <x:c r="R3176" s="8" t="n">
        <x:v>45544</x:v>
      </x:c>
      <x:c r="S3176" s="4" t="str">
        <x:v>Lost / cancelled</x:v>
      </x:c>
      <x:c r="T3176" s="10" t="n">
        <x:v>0.298969</x:v>
      </x:c>
      <x:c r="U3176" s="4" t="str">
        <x:v>Excluded / unlabelled</x:v>
      </x:c>
    </x:row>
    <x:row r="3177" ht="34" customHeight="1">
      <x:c r="A3177" s="4" t="str">
        <x:v>RS-03176</x:v>
      </x:c>
      <x:c r="B3177" s="8" t="n">
        <x:v>45485</x:v>
      </x:c>
      <x:c r="C3177" s="4" t="str">
        <x:v>PRJ-016</x:v>
      </x:c>
      <x:c r="D3177" s="4" t="str">
        <x:v>Villa</x:v>
      </x:c>
      <x:c r="E3177" s="4" t="str">
        <x:v>Enquiry</x:v>
      </x:c>
      <x:c r="F3177" s="4" t="str">
        <x:v>CUS-03176</x:v>
      </x:c>
      <x:c r="G3177" s="4" t="str">
        <x:v>UNIT-03176</x:v>
      </x:c>
      <x:c r="H3177" s="9" t="n">
        <x:v>20200000</x:v>
      </x:c>
      <x:c r="I3177" s="10" t="n">
        <x:v>0.06</x:v>
      </x:c>
      <x:c r="J3177" s="11" t="n">
        <x:v>0</x:v>
      </x:c>
      <x:c r="K3177" s="11" t="n">
        <x:v>9</x:v>
      </x:c>
      <x:c r="L3177" s="11" t="n">
        <x:v>1</x:v>
      </x:c>
      <x:c r="M3177" s="9" t="n">
        <x:f>ROUND(H3177*(1-I3177),2)</x:f>
        <x:v>18988000</x:v>
      </x:c>
      <x:c r="N3177" s="4" t="str">
        <x:v>Sales manager</x:v>
      </x:c>
      <x:c r="O3177" s="4"/>
      <x:c r="P3177" s="9" t="n">
        <x:v>0</x:v>
      </x:c>
      <x:c r="Q3177" s="11" t="n">
        <x:v>0</x:v>
      </x:c>
      <x:c r="R3177" s="8" t="n">
        <x:v>45545</x:v>
      </x:c>
      <x:c r="S3177" s="4" t="str">
        <x:v>Retained</x:v>
      </x:c>
      <x:c r="T3177" s="10" t="n">
        <x:v>0.204152</x:v>
      </x:c>
      <x:c r="U3177" s="4" t="str">
        <x:v>Excluded / unlabelled</x:v>
      </x:c>
    </x:row>
    <x:row r="3178" ht="34" customHeight="1">
      <x:c r="A3178" s="4" t="str">
        <x:v>RS-03177</x:v>
      </x:c>
      <x:c r="B3178" s="8" t="n">
        <x:v>45486</x:v>
      </x:c>
      <x:c r="C3178" s="4" t="str">
        <x:v>PRJ-017</x:v>
      </x:c>
      <x:c r="D3178" s="4" t="str">
        <x:v>Villa</x:v>
      </x:c>
      <x:c r="E3178" s="4" t="str">
        <x:v>Reserved</x:v>
      </x:c>
      <x:c r="F3178" s="4" t="str">
        <x:v>CUS-03177</x:v>
      </x:c>
      <x:c r="G3178" s="4" t="str">
        <x:v>UNIT-03177</x:v>
      </x:c>
      <x:c r="H3178" s="9" t="n">
        <x:v>19900000</x:v>
      </x:c>
      <x:c r="I3178" s="10" t="n">
        <x:v>0.07</x:v>
      </x:c>
      <x:c r="J3178" s="11" t="n">
        <x:v>8</x:v>
      </x:c>
      <x:c r="K3178" s="11" t="n">
        <x:v>8</x:v>
      </x:c>
      <x:c r="L3178" s="11" t="n">
        <x:v>1</x:v>
      </x:c>
      <x:c r="M3178" s="9" t="n">
        <x:f>ROUND(H3178*(1-I3178),2)</x:f>
        <x:v>18507000</x:v>
      </x:c>
      <x:c r="N3178" s="4" t="str">
        <x:v>Sales manager</x:v>
      </x:c>
      <x:c r="O3178" s="4"/>
      <x:c r="P3178" s="9" t="n">
        <x:v>0</x:v>
      </x:c>
      <x:c r="Q3178" s="11" t="n">
        <x:v>1</x:v>
      </x:c>
      <x:c r="R3178" s="8" t="n">
        <x:v>45546</x:v>
      </x:c>
      <x:c r="S3178" s="4" t="str">
        <x:v>Lost / cancelled</x:v>
      </x:c>
      <x:c r="T3178" s="10" t="n">
        <x:v>0.310195</x:v>
      </x:c>
      <x:c r="U3178" s="4" t="str">
        <x:v>Excluded / unlabelled</x:v>
      </x:c>
    </x:row>
    <x:row r="3179" ht="34" customHeight="1">
      <x:c r="A3179" s="4" t="str">
        <x:v>RS-03178</x:v>
      </x:c>
      <x:c r="B3179" s="8" t="n">
        <x:v>45487</x:v>
      </x:c>
      <x:c r="C3179" s="4" t="str">
        <x:v>PRJ-018</x:v>
      </x:c>
      <x:c r="D3179" s="4" t="str">
        <x:v>Villa</x:v>
      </x:c>
      <x:c r="E3179" s="4" t="str">
        <x:v>Cancelled</x:v>
      </x:c>
      <x:c r="F3179" s="4" t="str">
        <x:v>CUS-03178</x:v>
      </x:c>
      <x:c r="G3179" s="4" t="str">
        <x:v>UNIT-03178</x:v>
      </x:c>
      <x:c r="H3179" s="9" t="n">
        <x:v>13700000</x:v>
      </x:c>
      <x:c r="I3179" s="10" t="n">
        <x:v>0.04</x:v>
      </x:c>
      <x:c r="J3179" s="11" t="n">
        <x:v>11</x:v>
      </x:c>
      <x:c r="K3179" s="11" t="n">
        <x:v>6</x:v>
      </x:c>
      <x:c r="L3179" s="11" t="n">
        <x:v>1</x:v>
      </x:c>
      <x:c r="M3179" s="9" t="n">
        <x:f>ROUND(H3179*(1-I3179),2)</x:f>
        <x:v>13152000</x:v>
      </x:c>
      <x:c r="N3179" s="4" t="str">
        <x:v>Sales manager</x:v>
      </x:c>
      <x:c r="O3179" s="4"/>
      <x:c r="P3179" s="9" t="n">
        <x:v>0</x:v>
      </x:c>
      <x:c r="Q3179" s="11" t="n">
        <x:v>1</x:v>
      </x:c>
      <x:c r="R3179" s="8" t="n">
        <x:v>45547</x:v>
      </x:c>
      <x:c r="S3179" s="4" t="str">
        <x:v>Lost / cancelled</x:v>
      </x:c>
      <x:c r="T3179" s="10" t="n">
        <x:v>0.351536</x:v>
      </x:c>
      <x:c r="U3179" s="4" t="str">
        <x:v>Excluded / unlabelled</x:v>
      </x:c>
    </x:row>
    <x:row r="3180" ht="34" customHeight="1">
      <x:c r="A3180" s="4" t="str">
        <x:v>RS-03179</x:v>
      </x:c>
      <x:c r="B3180" s="8" t="n">
        <x:v>45488</x:v>
      </x:c>
      <x:c r="C3180" s="4" t="str">
        <x:v>PRJ-019</x:v>
      </x:c>
      <x:c r="D3180" s="4" t="str">
        <x:v>Office</x:v>
      </x:c>
      <x:c r="E3180" s="4" t="str">
        <x:v>Cancelled</x:v>
      </x:c>
      <x:c r="F3180" s="4" t="str">
        <x:v>CUS-03179</x:v>
      </x:c>
      <x:c r="G3180" s="4" t="str">
        <x:v>UNIT-03179</x:v>
      </x:c>
      <x:c r="H3180" s="9" t="n">
        <x:v>9800000</x:v>
      </x:c>
      <x:c r="I3180" s="10" t="n">
        <x:v>0.11</x:v>
      </x:c>
      <x:c r="J3180" s="11" t="n">
        <x:v>9</x:v>
      </x:c>
      <x:c r="K3180" s="11" t="n">
        <x:v>3</x:v>
      </x:c>
      <x:c r="L3180" s="11" t="n">
        <x:v>0</x:v>
      </x:c>
      <x:c r="M3180" s="9" t="n">
        <x:f>ROUND(H3180*(1-I3180),2)</x:f>
        <x:v>8722000</x:v>
      </x:c>
      <x:c r="N3180" s="4" t="str">
        <x:v>Sales head</x:v>
      </x:c>
      <x:c r="O3180" s="4"/>
      <x:c r="P3180" s="9" t="n">
        <x:v>0</x:v>
      </x:c>
      <x:c r="Q3180" s="11" t="n">
        <x:v>1</x:v>
      </x:c>
      <x:c r="R3180" s="8" t="n">
        <x:v>45548</x:v>
      </x:c>
      <x:c r="S3180" s="4" t="str">
        <x:v>Lost / cancelled</x:v>
      </x:c>
      <x:c r="T3180" s="10" t="n">
        <x:v>0.310195</x:v>
      </x:c>
      <x:c r="U3180" s="4" t="str">
        <x:v>Excluded / unlabelled</x:v>
      </x:c>
    </x:row>
    <x:row r="3181" ht="34" customHeight="1">
      <x:c r="A3181" s="4" t="str">
        <x:v>RS-03180</x:v>
      </x:c>
      <x:c r="B3181" s="8" t="n">
        <x:v>45489</x:v>
      </x:c>
      <x:c r="C3181" s="4" t="str">
        <x:v>PRJ-020</x:v>
      </x:c>
      <x:c r="D3181" s="4" t="str">
        <x:v>Retail</x:v>
      </x:c>
      <x:c r="E3181" s="4" t="str">
        <x:v>Agreement signed</x:v>
      </x:c>
      <x:c r="F3181" s="4" t="str">
        <x:v>CUS-03180</x:v>
      </x:c>
      <x:c r="G3181" s="4" t="str">
        <x:v>UNIT-03180</x:v>
      </x:c>
      <x:c r="H3181" s="9" t="n">
        <x:v>10600000</x:v>
      </x:c>
      <x:c r="I3181" s="10" t="n">
        <x:v>0.01</x:v>
      </x:c>
      <x:c r="J3181" s="11" t="n">
        <x:v>6</x:v>
      </x:c>
      <x:c r="K3181" s="11" t="n">
        <x:v>7</x:v>
      </x:c>
      <x:c r="L3181" s="11" t="n">
        <x:v>1</x:v>
      </x:c>
      <x:c r="M3181" s="9" t="n">
        <x:f>ROUND(H3181*(1-I3181),2)</x:f>
        <x:v>10494000</x:v>
      </x:c>
      <x:c r="N3181" s="4" t="str">
        <x:v>Sales manager</x:v>
      </x:c>
      <x:c r="O3181" s="4" t="str">
        <x:v>BOOK-03180</x:v>
      </x:c>
      <x:c r="P3181" s="9" t="n">
        <x:v>5247000</x:v>
      </x:c>
      <x:c r="Q3181" s="11" t="n">
        <x:v>0</x:v>
      </x:c>
      <x:c r="R3181" s="8" t="n">
        <x:v>45549</x:v>
      </x:c>
      <x:c r="S3181" s="4" t="str">
        <x:v>Retained</x:v>
      </x:c>
      <x:c r="T3181" s="10" t="n">
        <x:v>0.145299</x:v>
      </x:c>
      <x:c r="U3181" s="4" t="str">
        <x:v>Excluded / unlabelled</x:v>
      </x:c>
    </x:row>
    <x:row r="3182" ht="34" customHeight="1">
      <x:c r="A3182" s="4" t="str">
        <x:v>RS-03181</x:v>
      </x:c>
      <x:c r="B3182" s="8" t="n">
        <x:v>45490</x:v>
      </x:c>
      <x:c r="C3182" s="4" t="str">
        <x:v>PRJ-001</x:v>
      </x:c>
      <x:c r="D3182" s="4" t="str">
        <x:v>Apartment</x:v>
      </x:c>
      <x:c r="E3182" s="4" t="str">
        <x:v>Agreement signed</x:v>
      </x:c>
      <x:c r="F3182" s="4" t="str">
        <x:v>CUS-03181</x:v>
      </x:c>
      <x:c r="G3182" s="4" t="str">
        <x:v>UNIT-03181</x:v>
      </x:c>
      <x:c r="H3182" s="9" t="n">
        <x:v>9900000</x:v>
      </x:c>
      <x:c r="I3182" s="10" t="n">
        <x:v>0.1</x:v>
      </x:c>
      <x:c r="J3182" s="11" t="n">
        <x:v>2</x:v>
      </x:c>
      <x:c r="K3182" s="11" t="n">
        <x:v>7</x:v>
      </x:c>
      <x:c r="L3182" s="11" t="n">
        <x:v>0</x:v>
      </x:c>
      <x:c r="M3182" s="9" t="n">
        <x:f>ROUND(H3182*(1-I3182),2)</x:f>
        <x:v>8910000</x:v>
      </x:c>
      <x:c r="N3182" s="4" t="str">
        <x:v>Sales head</x:v>
      </x:c>
      <x:c r="O3182" s="4" t="str">
        <x:v>BOOK-03181</x:v>
      </x:c>
      <x:c r="P3182" s="9" t="n">
        <x:v>2227500</x:v>
      </x:c>
      <x:c r="Q3182" s="11" t="n">
        <x:v>0</x:v>
      </x:c>
      <x:c r="R3182" s="8" t="n">
        <x:v>45550</x:v>
      </x:c>
      <x:c r="S3182" s="4" t="str">
        <x:v>Retained</x:v>
      </x:c>
      <x:c r="T3182" s="10" t="n">
        <x:v>0.145833</x:v>
      </x:c>
      <x:c r="U3182" s="4" t="str">
        <x:v>Excluded / unlabelled</x:v>
      </x:c>
    </x:row>
    <x:row r="3183" ht="34" customHeight="1">
      <x:c r="A3183" s="4" t="str">
        <x:v>RS-03182</x:v>
      </x:c>
      <x:c r="B3183" s="8" t="n">
        <x:v>45491</x:v>
      </x:c>
      <x:c r="C3183" s="4" t="str">
        <x:v>PRJ-002</x:v>
      </x:c>
      <x:c r="D3183" s="4" t="str">
        <x:v>Office</x:v>
      </x:c>
      <x:c r="E3183" s="4" t="str">
        <x:v>Agreement signed</x:v>
      </x:c>
      <x:c r="F3183" s="4" t="str">
        <x:v>CUS-03182</x:v>
      </x:c>
      <x:c r="G3183" s="4" t="str">
        <x:v>UNIT-03182</x:v>
      </x:c>
      <x:c r="H3183" s="9" t="n">
        <x:v>6700000</x:v>
      </x:c>
      <x:c r="I3183" s="10" t="n">
        <x:v>0.08</x:v>
      </x:c>
      <x:c r="J3183" s="11" t="n">
        <x:v>4</x:v>
      </x:c>
      <x:c r="K3183" s="11" t="n">
        <x:v>0</x:v>
      </x:c>
      <x:c r="L3183" s="11" t="n">
        <x:v>0</x:v>
      </x:c>
      <x:c r="M3183" s="9" t="n">
        <x:f>ROUND(H3183*(1-I3183),2)</x:f>
        <x:v>6164000</x:v>
      </x:c>
      <x:c r="N3183" s="4" t="str">
        <x:v>Sales head</x:v>
      </x:c>
      <x:c r="O3183" s="4" t="str">
        <x:v>BOOK-03182</x:v>
      </x:c>
      <x:c r="P3183" s="9" t="n">
        <x:v>1541000</x:v>
      </x:c>
      <x:c r="Q3183" s="11" t="n">
        <x:v>0</x:v>
      </x:c>
      <x:c r="R3183" s="8" t="n">
        <x:v>45551</x:v>
      </x:c>
      <x:c r="S3183" s="4" t="str">
        <x:v>Retained</x:v>
      </x:c>
      <x:c r="T3183" s="10" t="n">
        <x:v>0.226277</x:v>
      </x:c>
      <x:c r="U3183" s="4" t="str">
        <x:v>Excluded / unlabelled</x:v>
      </x:c>
    </x:row>
    <x:row r="3184" ht="34" customHeight="1">
      <x:c r="A3184" s="4" t="str">
        <x:v>RS-03183</x:v>
      </x:c>
      <x:c r="B3184" s="8" t="n">
        <x:v>45492</x:v>
      </x:c>
      <x:c r="C3184" s="4" t="str">
        <x:v>PRJ-003</x:v>
      </x:c>
      <x:c r="D3184" s="4" t="str">
        <x:v>Office</x:v>
      </x:c>
      <x:c r="E3184" s="4" t="str">
        <x:v>Agreement signed</x:v>
      </x:c>
      <x:c r="F3184" s="4" t="str">
        <x:v>CUS-03183</x:v>
      </x:c>
      <x:c r="G3184" s="4" t="str">
        <x:v>UNIT-03183</x:v>
      </x:c>
      <x:c r="H3184" s="9" t="n">
        <x:v>6700000</x:v>
      </x:c>
      <x:c r="I3184" s="10" t="n">
        <x:v>0.07</x:v>
      </x:c>
      <x:c r="J3184" s="11" t="n">
        <x:v>12</x:v>
      </x:c>
      <x:c r="K3184" s="11" t="n">
        <x:v>8</x:v>
      </x:c>
      <x:c r="L3184" s="11" t="n">
        <x:v>0</x:v>
      </x:c>
      <x:c r="M3184" s="9" t="n">
        <x:f>ROUND(H3184*(1-I3184),2)</x:f>
        <x:v>6231000</x:v>
      </x:c>
      <x:c r="N3184" s="4" t="str">
        <x:v>Sales manager</x:v>
      </x:c>
      <x:c r="O3184" s="4" t="str">
        <x:v>BOOK-03183</x:v>
      </x:c>
      <x:c r="P3184" s="9" t="n">
        <x:v>6231000</x:v>
      </x:c>
      <x:c r="Q3184" s="11" t="n">
        <x:v>0</x:v>
      </x:c>
      <x:c r="R3184" s="8" t="n">
        <x:v>45552</x:v>
      </x:c>
      <x:c r="S3184" s="4" t="str">
        <x:v>Retained</x:v>
      </x:c>
      <x:c r="T3184" s="10" t="n">
        <x:v>0.351536</x:v>
      </x:c>
      <x:c r="U3184" s="4" t="str">
        <x:v>Excluded / unlabelled</x:v>
      </x:c>
    </x:row>
    <x:row r="3185" ht="34" customHeight="1">
      <x:c r="A3185" s="4" t="str">
        <x:v>RS-03184</x:v>
      </x:c>
      <x:c r="B3185" s="8" t="n">
        <x:v>45493</x:v>
      </x:c>
      <x:c r="C3185" s="4" t="str">
        <x:v>PRJ-004</x:v>
      </x:c>
      <x:c r="D3185" s="4" t="str">
        <x:v>Apartment</x:v>
      </x:c>
      <x:c r="E3185" s="4" t="str">
        <x:v>Cancelled</x:v>
      </x:c>
      <x:c r="F3185" s="4" t="str">
        <x:v>CUS-03184</x:v>
      </x:c>
      <x:c r="G3185" s="4" t="str">
        <x:v>UNIT-03184</x:v>
      </x:c>
      <x:c r="H3185" s="9" t="n">
        <x:v>19700000</x:v>
      </x:c>
      <x:c r="I3185" s="10" t="n">
        <x:v>0.06</x:v>
      </x:c>
      <x:c r="J3185" s="11" t="n">
        <x:v>2</x:v>
      </x:c>
      <x:c r="K3185" s="11" t="n">
        <x:v>9</x:v>
      </x:c>
      <x:c r="L3185" s="11" t="n">
        <x:v>1</x:v>
      </x:c>
      <x:c r="M3185" s="9" t="n">
        <x:f>ROUND(H3185*(1-I3185),2)</x:f>
        <x:v>18518000</x:v>
      </x:c>
      <x:c r="N3185" s="4" t="str">
        <x:v>Sales manager</x:v>
      </x:c>
      <x:c r="O3185" s="4"/>
      <x:c r="P3185" s="9" t="n">
        <x:v>0</x:v>
      </x:c>
      <x:c r="Q3185" s="11" t="n">
        <x:v>1</x:v>
      </x:c>
      <x:c r="R3185" s="8" t="n">
        <x:v>45553</x:v>
      </x:c>
      <x:c r="S3185" s="4" t="str">
        <x:v>Lost / cancelled</x:v>
      </x:c>
      <x:c r="T3185" s="10" t="n">
        <x:v>0.204152</x:v>
      </x:c>
      <x:c r="U3185" s="4" t="str">
        <x:v>Excluded / unlabelled</x:v>
      </x:c>
    </x:row>
    <x:row r="3186" ht="34" customHeight="1">
      <x:c r="A3186" s="4" t="str">
        <x:v>RS-03185</x:v>
      </x:c>
      <x:c r="B3186" s="8" t="n">
        <x:v>45494</x:v>
      </x:c>
      <x:c r="C3186" s="4" t="str">
        <x:v>PRJ-005</x:v>
      </x:c>
      <x:c r="D3186" s="4" t="str">
        <x:v>Retail</x:v>
      </x:c>
      <x:c r="E3186" s="4" t="str">
        <x:v>Booked</x:v>
      </x:c>
      <x:c r="F3186" s="4" t="str">
        <x:v>CUS-03185</x:v>
      </x:c>
      <x:c r="G3186" s="4" t="str">
        <x:v>UNIT-03185</x:v>
      </x:c>
      <x:c r="H3186" s="9" t="n">
        <x:v>11600000</x:v>
      </x:c>
      <x:c r="I3186" s="10" t="n">
        <x:v>0.02</x:v>
      </x:c>
      <x:c r="J3186" s="11" t="n">
        <x:v>1</x:v>
      </x:c>
      <x:c r="K3186" s="11" t="n">
        <x:v>8</x:v>
      </x:c>
      <x:c r="L3186" s="11" t="n">
        <x:v>0</x:v>
      </x:c>
      <x:c r="M3186" s="9" t="n">
        <x:f>ROUND(H3186*(1-I3186),2)</x:f>
        <x:v>11368000</x:v>
      </x:c>
      <x:c r="N3186" s="4" t="str">
        <x:v>Sales manager</x:v>
      </x:c>
      <x:c r="O3186" s="4" t="str">
        <x:v>BOOK-03185</x:v>
      </x:c>
      <x:c r="P3186" s="9" t="n">
        <x:v>11368000</x:v>
      </x:c>
      <x:c r="Q3186" s="11" t="n">
        <x:v>0</x:v>
      </x:c>
      <x:c r="R3186" s="8" t="n">
        <x:v>45554</x:v>
      </x:c>
      <x:c r="S3186" s="4" t="str">
        <x:v>Retained</x:v>
      </x:c>
      <x:c r="T3186" s="10" t="n">
        <x:v>0.072165</x:v>
      </x:c>
      <x:c r="U3186" s="4" t="str">
        <x:v>Excluded / unlabelled</x:v>
      </x:c>
    </x:row>
    <x:row r="3187" ht="34" customHeight="1">
      <x:c r="A3187" s="4" t="str">
        <x:v>RS-03186</x:v>
      </x:c>
      <x:c r="B3187" s="8" t="n">
        <x:v>45495</x:v>
      </x:c>
      <x:c r="C3187" s="4" t="str">
        <x:v>PRJ-006</x:v>
      </x:c>
      <x:c r="D3187" s="4" t="str">
        <x:v>Villa</x:v>
      </x:c>
      <x:c r="E3187" s="4" t="str">
        <x:v>Handed over</x:v>
      </x:c>
      <x:c r="F3187" s="4" t="str">
        <x:v>CUS-03186</x:v>
      </x:c>
      <x:c r="G3187" s="4" t="str">
        <x:v>UNIT-03186</x:v>
      </x:c>
      <x:c r="H3187" s="9" t="n">
        <x:v>4900000</x:v>
      </x:c>
      <x:c r="I3187" s="10" t="n">
        <x:v>0.02</x:v>
      </x:c>
      <x:c r="J3187" s="11" t="n">
        <x:v>8</x:v>
      </x:c>
      <x:c r="K3187" s="11" t="n">
        <x:v>4</x:v>
      </x:c>
      <x:c r="L3187" s="11" t="n">
        <x:v>1</x:v>
      </x:c>
      <x:c r="M3187" s="9" t="n">
        <x:f>ROUND(H3187*(1-I3187),2)</x:f>
        <x:v>4802000</x:v>
      </x:c>
      <x:c r="N3187" s="4" t="str">
        <x:v>Sales manager</x:v>
      </x:c>
      <x:c r="O3187" s="4" t="str">
        <x:v>BOOK-03186</x:v>
      </x:c>
      <x:c r="P3187" s="9" t="n">
        <x:v>2401000</x:v>
      </x:c>
      <x:c r="Q3187" s="11" t="n">
        <x:v>0</x:v>
      </x:c>
      <x:c r="R3187" s="8" t="n">
        <x:v>45555</x:v>
      </x:c>
      <x:c r="S3187" s="4" t="str">
        <x:v>Retained</x:v>
      </x:c>
      <x:c r="T3187" s="10" t="n">
        <x:v>0.254545</x:v>
      </x:c>
      <x:c r="U3187" s="4" t="str">
        <x:v>Excluded / unlabelled</x:v>
      </x:c>
    </x:row>
    <x:row r="3188" ht="34" customHeight="1">
      <x:c r="A3188" s="4" t="str">
        <x:v>RS-03187</x:v>
      </x:c>
      <x:c r="B3188" s="8" t="n">
        <x:v>45496</x:v>
      </x:c>
      <x:c r="C3188" s="4" t="str">
        <x:v>PRJ-007</x:v>
      </x:c>
      <x:c r="D3188" s="4" t="str">
        <x:v>Apartment</x:v>
      </x:c>
      <x:c r="E3188" s="4" t="str">
        <x:v>Enquiry</x:v>
      </x:c>
      <x:c r="F3188" s="4" t="str">
        <x:v>CUS-03187</x:v>
      </x:c>
      <x:c r="G3188" s="4" t="str">
        <x:v>UNIT-03187</x:v>
      </x:c>
      <x:c r="H3188" s="9" t="n">
        <x:v>14600000</x:v>
      </x:c>
      <x:c r="I3188" s="10" t="n">
        <x:v>0.03</x:v>
      </x:c>
      <x:c r="J3188" s="11" t="n">
        <x:v>11</x:v>
      </x:c>
      <x:c r="K3188" s="11" t="n">
        <x:v>8</x:v>
      </x:c>
      <x:c r="L3188" s="11" t="n">
        <x:v>0</x:v>
      </x:c>
      <x:c r="M3188" s="9" t="n">
        <x:f>ROUND(H3188*(1-I3188),2)</x:f>
        <x:v>14162000</x:v>
      </x:c>
      <x:c r="N3188" s="4" t="str">
        <x:v>Sales manager</x:v>
      </x:c>
      <x:c r="O3188" s="4"/>
      <x:c r="P3188" s="9" t="n">
        <x:v>0</x:v>
      </x:c>
      <x:c r="Q3188" s="11" t="n">
        <x:v>0</x:v>
      </x:c>
      <x:c r="R3188" s="8" t="n">
        <x:v>45556</x:v>
      </x:c>
      <x:c r="S3188" s="4" t="str">
        <x:v>Retained</x:v>
      </x:c>
      <x:c r="T3188" s="10" t="n">
        <x:v>0.351536</x:v>
      </x:c>
      <x:c r="U3188" s="4" t="str">
        <x:v>Excluded / unlabelled</x:v>
      </x:c>
    </x:row>
    <x:row r="3189" ht="34" customHeight="1">
      <x:c r="A3189" s="4" t="str">
        <x:v>RS-03188</x:v>
      </x:c>
      <x:c r="B3189" s="8" t="n">
        <x:v>45497</x:v>
      </x:c>
      <x:c r="C3189" s="4" t="str">
        <x:v>PRJ-008</x:v>
      </x:c>
      <x:c r="D3189" s="4" t="str">
        <x:v>Retail</x:v>
      </x:c>
      <x:c r="E3189" s="4" t="str">
        <x:v>Agreement signed</x:v>
      </x:c>
      <x:c r="F3189" s="4" t="str">
        <x:v>CUS-03188</x:v>
      </x:c>
      <x:c r="G3189" s="4" t="str">
        <x:v>UNIT-03188</x:v>
      </x:c>
      <x:c r="H3189" s="9" t="n">
        <x:v>7600000</x:v>
      </x:c>
      <x:c r="I3189" s="10" t="n">
        <x:v>0.04</x:v>
      </x:c>
      <x:c r="J3189" s="11" t="n">
        <x:v>8</x:v>
      </x:c>
      <x:c r="K3189" s="11" t="n">
        <x:v>9</x:v>
      </x:c>
      <x:c r="L3189" s="11" t="n">
        <x:v>0</x:v>
      </x:c>
      <x:c r="M3189" s="9" t="n">
        <x:f>ROUND(H3189*(1-I3189),2)</x:f>
        <x:v>7296000</x:v>
      </x:c>
      <x:c r="N3189" s="4" t="str">
        <x:v>Sales manager</x:v>
      </x:c>
      <x:c r="O3189" s="4" t="str">
        <x:v>BOOK-03188</x:v>
      </x:c>
      <x:c r="P3189" s="9" t="n">
        <x:v>729600</x:v>
      </x:c>
      <x:c r="Q3189" s="11" t="n">
        <x:v>0</x:v>
      </x:c>
      <x:c r="R3189" s="8" t="n">
        <x:v>45557</x:v>
      </x:c>
      <x:c r="S3189" s="4" t="str">
        <x:v>Retained</x:v>
      </x:c>
      <x:c r="T3189" s="10" t="n">
        <x:v>0.310195</x:v>
      </x:c>
      <x:c r="U3189" s="4" t="str">
        <x:v>Excluded / unlabelled</x:v>
      </x:c>
    </x:row>
    <x:row r="3190" ht="34" customHeight="1">
      <x:c r="A3190" s="4" t="str">
        <x:v>RS-03189</x:v>
      </x:c>
      <x:c r="B3190" s="8" t="n">
        <x:v>45498</x:v>
      </x:c>
      <x:c r="C3190" s="4" t="str">
        <x:v>PRJ-009</x:v>
      </x:c>
      <x:c r="D3190" s="4" t="str">
        <x:v>Retail</x:v>
      </x:c>
      <x:c r="E3190" s="4" t="str">
        <x:v>Booked</x:v>
      </x:c>
      <x:c r="F3190" s="4" t="str">
        <x:v>CUS-03189</x:v>
      </x:c>
      <x:c r="G3190" s="4" t="str">
        <x:v>UNIT-03189</x:v>
      </x:c>
      <x:c r="H3190" s="9" t="n">
        <x:v>10800000</x:v>
      </x:c>
      <x:c r="I3190" s="10" t="n">
        <x:v>0.07</x:v>
      </x:c>
      <x:c r="J3190" s="11" t="n">
        <x:v>7</x:v>
      </x:c>
      <x:c r="K3190" s="11" t="n">
        <x:v>5</x:v>
      </x:c>
      <x:c r="L3190" s="11" t="n">
        <x:v>0</x:v>
      </x:c>
      <x:c r="M3190" s="9" t="n">
        <x:f>ROUND(H3190*(1-I3190),2)</x:f>
        <x:v>10044000</x:v>
      </x:c>
      <x:c r="N3190" s="4" t="str">
        <x:v>Sales manager</x:v>
      </x:c>
      <x:c r="O3190" s="4" t="str">
        <x:v>BOOK-03189</x:v>
      </x:c>
      <x:c r="P3190" s="9" t="n">
        <x:v>5022000</x:v>
      </x:c>
      <x:c r="Q3190" s="11" t="n">
        <x:v>0</x:v>
      </x:c>
      <x:c r="R3190" s="8" t="n">
        <x:v>45558</x:v>
      </x:c>
      <x:c r="S3190" s="4" t="str">
        <x:v>Retained</x:v>
      </x:c>
      <x:c r="T3190" s="10" t="n">
        <x:v>0.226277</x:v>
      </x:c>
      <x:c r="U3190" s="4" t="str">
        <x:v>Excluded / unlabelled</x:v>
      </x:c>
    </x:row>
    <x:row r="3191" ht="34" customHeight="1">
      <x:c r="A3191" s="4" t="str">
        <x:v>RS-03190</x:v>
      </x:c>
      <x:c r="B3191" s="8" t="n">
        <x:v>45499</x:v>
      </x:c>
      <x:c r="C3191" s="4" t="str">
        <x:v>PRJ-010</x:v>
      </x:c>
      <x:c r="D3191" s="4" t="str">
        <x:v>Retail</x:v>
      </x:c>
      <x:c r="E3191" s="4" t="str">
        <x:v>Enquiry</x:v>
      </x:c>
      <x:c r="F3191" s="4" t="str">
        <x:v>CUS-03190</x:v>
      </x:c>
      <x:c r="G3191" s="4" t="str">
        <x:v>UNIT-03190</x:v>
      </x:c>
      <x:c r="H3191" s="9" t="n">
        <x:v>18700000</x:v>
      </x:c>
      <x:c r="I3191" s="10" t="n">
        <x:v>0.03</x:v>
      </x:c>
      <x:c r="J3191" s="11" t="n">
        <x:v>5</x:v>
      </x:c>
      <x:c r="K3191" s="11" t="n">
        <x:v>9</x:v>
      </x:c>
      <x:c r="L3191" s="11" t="n">
        <x:v>0</x:v>
      </x:c>
      <x:c r="M3191" s="9" t="n">
        <x:f>ROUND(H3191*(1-I3191),2)</x:f>
        <x:v>18139000</x:v>
      </x:c>
      <x:c r="N3191" s="4" t="str">
        <x:v>Sales manager</x:v>
      </x:c>
      <x:c r="O3191" s="4"/>
      <x:c r="P3191" s="9" t="n">
        <x:v>0</x:v>
      </x:c>
      <x:c r="Q3191" s="11" t="n">
        <x:v>1</x:v>
      </x:c>
      <x:c r="R3191" s="8" t="n">
        <x:v>45559</x:v>
      </x:c>
      <x:c r="S3191" s="4" t="str">
        <x:v>Lost / cancelled</x:v>
      </x:c>
      <x:c r="T3191" s="10" t="n">
        <x:v>0.145299</x:v>
      </x:c>
      <x:c r="U3191" s="4" t="str">
        <x:v>Excluded / unlabelled</x:v>
      </x:c>
    </x:row>
    <x:row r="3192" ht="34" customHeight="1">
      <x:c r="A3192" s="4" t="str">
        <x:v>RS-03191</x:v>
      </x:c>
      <x:c r="B3192" s="8" t="n">
        <x:v>45500</x:v>
      </x:c>
      <x:c r="C3192" s="4" t="str">
        <x:v>PRJ-011</x:v>
      </x:c>
      <x:c r="D3192" s="4" t="str">
        <x:v>Villa</x:v>
      </x:c>
      <x:c r="E3192" s="4" t="str">
        <x:v>Booked</x:v>
      </x:c>
      <x:c r="F3192" s="4" t="str">
        <x:v>CUS-03191</x:v>
      </x:c>
      <x:c r="G3192" s="4" t="str">
        <x:v>UNIT-03191</x:v>
      </x:c>
      <x:c r="H3192" s="9" t="n">
        <x:v>17800000</x:v>
      </x:c>
      <x:c r="I3192" s="10" t="n">
        <x:v>0.03</x:v>
      </x:c>
      <x:c r="J3192" s="11" t="n">
        <x:v>5</x:v>
      </x:c>
      <x:c r="K3192" s="11" t="n">
        <x:v>6</x:v>
      </x:c>
      <x:c r="L3192" s="11" t="n">
        <x:v>0</x:v>
      </x:c>
      <x:c r="M3192" s="9" t="n">
        <x:f>ROUND(H3192*(1-I3192),2)</x:f>
        <x:v>17266000</x:v>
      </x:c>
      <x:c r="N3192" s="4" t="str">
        <x:v>Sales manager</x:v>
      </x:c>
      <x:c r="O3192" s="4" t="str">
        <x:v>BOOK-03191</x:v>
      </x:c>
      <x:c r="P3192" s="9" t="n">
        <x:v>17266000</x:v>
      </x:c>
      <x:c r="Q3192" s="11" t="n">
        <x:v>0</x:v>
      </x:c>
      <x:c r="R3192" s="8" t="n">
        <x:v>45560</x:v>
      </x:c>
      <x:c r="S3192" s="4" t="str">
        <x:v>Retained</x:v>
      </x:c>
      <x:c r="T3192" s="10" t="n">
        <x:v>0.145299</x:v>
      </x:c>
      <x:c r="U3192" s="4" t="str">
        <x:v>Excluded / unlabelled</x:v>
      </x:c>
    </x:row>
    <x:row r="3193" ht="34" customHeight="1">
      <x:c r="A3193" s="4" t="str">
        <x:v>RS-03192</x:v>
      </x:c>
      <x:c r="B3193" s="8" t="n">
        <x:v>45501</x:v>
      </x:c>
      <x:c r="C3193" s="4" t="str">
        <x:v>PRJ-012</x:v>
      </x:c>
      <x:c r="D3193" s="4" t="str">
        <x:v>Retail</x:v>
      </x:c>
      <x:c r="E3193" s="4" t="str">
        <x:v>Cancelled</x:v>
      </x:c>
      <x:c r="F3193" s="4" t="str">
        <x:v>CUS-03192</x:v>
      </x:c>
      <x:c r="G3193" s="4" t="str">
        <x:v>UNIT-03192</x:v>
      </x:c>
      <x:c r="H3193" s="9" t="n">
        <x:v>11100000</x:v>
      </x:c>
      <x:c r="I3193" s="10" t="n">
        <x:v>0.08</x:v>
      </x:c>
      <x:c r="J3193" s="11" t="n">
        <x:v>0</x:v>
      </x:c>
      <x:c r="K3193" s="11" t="n">
        <x:v>7</x:v>
      </x:c>
      <x:c r="L3193" s="11" t="n">
        <x:v>0</x:v>
      </x:c>
      <x:c r="M3193" s="9" t="n">
        <x:f>ROUND(H3193*(1-I3193),2)</x:f>
        <x:v>10212000</x:v>
      </x:c>
      <x:c r="N3193" s="4" t="str">
        <x:v>Sales head</x:v>
      </x:c>
      <x:c r="O3193" s="4"/>
      <x:c r="P3193" s="9" t="n">
        <x:v>0</x:v>
      </x:c>
      <x:c r="Q3193" s="11" t="n">
        <x:v>1</x:v>
      </x:c>
      <x:c r="R3193" s="8" t="n">
        <x:v>45561</x:v>
      </x:c>
      <x:c r="S3193" s="4" t="str">
        <x:v>Lost / cancelled</x:v>
      </x:c>
      <x:c r="T3193" s="10" t="n">
        <x:v>0.204152</x:v>
      </x:c>
      <x:c r="U3193" s="4" t="str">
        <x:v>Excluded / unlabelled</x:v>
      </x:c>
    </x:row>
    <x:row r="3194" ht="34" customHeight="1">
      <x:c r="A3194" s="4" t="str">
        <x:v>RS-03193</x:v>
      </x:c>
      <x:c r="B3194" s="8" t="n">
        <x:v>45474</x:v>
      </x:c>
      <x:c r="C3194" s="4" t="str">
        <x:v>PRJ-013</x:v>
      </x:c>
      <x:c r="D3194" s="4" t="str">
        <x:v>Villa</x:v>
      </x:c>
      <x:c r="E3194" s="4" t="str">
        <x:v>Reserved</x:v>
      </x:c>
      <x:c r="F3194" s="4" t="str">
        <x:v>CUS-03193</x:v>
      </x:c>
      <x:c r="G3194" s="4" t="str">
        <x:v>UNIT-03193</x:v>
      </x:c>
      <x:c r="H3194" s="9" t="n">
        <x:v>13800000</x:v>
      </x:c>
      <x:c r="I3194" s="10" t="n">
        <x:v>0.06</x:v>
      </x:c>
      <x:c r="J3194" s="11" t="n">
        <x:v>11</x:v>
      </x:c>
      <x:c r="K3194" s="11" t="n">
        <x:v>5</x:v>
      </x:c>
      <x:c r="L3194" s="11" t="n">
        <x:v>1</x:v>
      </x:c>
      <x:c r="M3194" s="9" t="n">
        <x:f>ROUND(H3194*(1-I3194),2)</x:f>
        <x:v>12972000</x:v>
      </x:c>
      <x:c r="N3194" s="4" t="str">
        <x:v>Sales manager</x:v>
      </x:c>
      <x:c r="O3194" s="4"/>
      <x:c r="P3194" s="9" t="n">
        <x:v>0</x:v>
      </x:c>
      <x:c r="Q3194" s="11" t="n">
        <x:v>1</x:v>
      </x:c>
      <x:c r="R3194" s="8" t="n">
        <x:v>45534</x:v>
      </x:c>
      <x:c r="S3194" s="4" t="str">
        <x:v>Lost / cancelled</x:v>
      </x:c>
      <x:c r="T3194" s="10" t="n">
        <x:v>0.351536</x:v>
      </x:c>
      <x:c r="U3194" s="4" t="str">
        <x:v>Excluded / unlabelled</x:v>
      </x:c>
    </x:row>
    <x:row r="3195" ht="34" customHeight="1">
      <x:c r="A3195" s="4" t="str">
        <x:v>RS-03194</x:v>
      </x:c>
      <x:c r="B3195" s="8" t="n">
        <x:v>45475</x:v>
      </x:c>
      <x:c r="C3195" s="4" t="str">
        <x:v>PRJ-014</x:v>
      </x:c>
      <x:c r="D3195" s="4" t="str">
        <x:v>Retail</x:v>
      </x:c>
      <x:c r="E3195" s="4" t="str">
        <x:v>Reserved</x:v>
      </x:c>
      <x:c r="F3195" s="4" t="str">
        <x:v>CUS-03194</x:v>
      </x:c>
      <x:c r="G3195" s="4" t="str">
        <x:v>UNIT-03194</x:v>
      </x:c>
      <x:c r="H3195" s="9" t="n">
        <x:v>6100000</x:v>
      </x:c>
      <x:c r="I3195" s="10" t="n">
        <x:v>0.04</x:v>
      </x:c>
      <x:c r="J3195" s="11" t="n">
        <x:v>9</x:v>
      </x:c>
      <x:c r="K3195" s="11" t="n">
        <x:v>5</x:v>
      </x:c>
      <x:c r="L3195" s="11" t="n">
        <x:v>1</x:v>
      </x:c>
      <x:c r="M3195" s="9" t="n">
        <x:f>ROUND(H3195*(1-I3195),2)</x:f>
        <x:v>5856000</x:v>
      </x:c>
      <x:c r="N3195" s="4" t="str">
        <x:v>Sales manager</x:v>
      </x:c>
      <x:c r="O3195" s="4"/>
      <x:c r="P3195" s="9" t="n">
        <x:v>0</x:v>
      </x:c>
      <x:c r="Q3195" s="11" t="n">
        <x:v>1</x:v>
      </x:c>
      <x:c r="R3195" s="8" t="n">
        <x:v>45535</x:v>
      </x:c>
      <x:c r="S3195" s="4" t="str">
        <x:v>Lost / cancelled</x:v>
      </x:c>
      <x:c r="T3195" s="10" t="n">
        <x:v>0.310195</x:v>
      </x:c>
      <x:c r="U3195" s="4" t="str">
        <x:v>Excluded / unlabelled</x:v>
      </x:c>
    </x:row>
    <x:row r="3196" ht="34" customHeight="1">
      <x:c r="A3196" s="4" t="str">
        <x:v>RS-03195</x:v>
      </x:c>
      <x:c r="B3196" s="8" t="n">
        <x:v>45476</x:v>
      </x:c>
      <x:c r="C3196" s="4" t="str">
        <x:v>PRJ-015</x:v>
      </x:c>
      <x:c r="D3196" s="4" t="str">
        <x:v>Office</x:v>
      </x:c>
      <x:c r="E3196" s="4" t="str">
        <x:v>Handed over</x:v>
      </x:c>
      <x:c r="F3196" s="4" t="str">
        <x:v>CUS-03195</x:v>
      </x:c>
      <x:c r="G3196" s="4" t="str">
        <x:v>UNIT-03195</x:v>
      </x:c>
      <x:c r="H3196" s="9" t="n">
        <x:v>6900000</x:v>
      </x:c>
      <x:c r="I3196" s="10" t="n">
        <x:v>0.07</x:v>
      </x:c>
      <x:c r="J3196" s="11" t="n">
        <x:v>5</x:v>
      </x:c>
      <x:c r="K3196" s="11" t="n">
        <x:v>6</x:v>
      </x:c>
      <x:c r="L3196" s="11" t="n">
        <x:v>0</x:v>
      </x:c>
      <x:c r="M3196" s="9" t="n">
        <x:f>ROUND(H3196*(1-I3196),2)</x:f>
        <x:v>6417000</x:v>
      </x:c>
      <x:c r="N3196" s="4" t="str">
        <x:v>Sales manager</x:v>
      </x:c>
      <x:c r="O3196" s="4" t="str">
        <x:v>BOOK-03195</x:v>
      </x:c>
      <x:c r="P3196" s="9" t="n">
        <x:v>6417000</x:v>
      </x:c>
      <x:c r="Q3196" s="11" t="n">
        <x:v>0</x:v>
      </x:c>
      <x:c r="R3196" s="8" t="n">
        <x:v>45536</x:v>
      </x:c>
      <x:c r="S3196" s="4" t="str">
        <x:v>Retained</x:v>
      </x:c>
      <x:c r="T3196" s="10" t="n">
        <x:v>0.226277</x:v>
      </x:c>
      <x:c r="U3196" s="4" t="str">
        <x:v>Excluded / unlabelled</x:v>
      </x:c>
    </x:row>
    <x:row r="3197" ht="34" customHeight="1">
      <x:c r="A3197" s="4" t="str">
        <x:v>RS-03196</x:v>
      </x:c>
      <x:c r="B3197" s="8" t="n">
        <x:v>45477</x:v>
      </x:c>
      <x:c r="C3197" s="4" t="str">
        <x:v>PRJ-016</x:v>
      </x:c>
      <x:c r="D3197" s="4" t="str">
        <x:v>Villa</x:v>
      </x:c>
      <x:c r="E3197" s="4" t="str">
        <x:v>Agreement signed</x:v>
      </x:c>
      <x:c r="F3197" s="4" t="str">
        <x:v>CUS-03196</x:v>
      </x:c>
      <x:c r="G3197" s="4" t="str">
        <x:v>UNIT-03196</x:v>
      </x:c>
      <x:c r="H3197" s="9" t="n">
        <x:v>12500000</x:v>
      </x:c>
      <x:c r="I3197" s="10" t="n">
        <x:v>0.08</x:v>
      </x:c>
      <x:c r="J3197" s="11" t="n">
        <x:v>8</x:v>
      </x:c>
      <x:c r="K3197" s="11" t="n">
        <x:v>7</x:v>
      </x:c>
      <x:c r="L3197" s="11" t="n">
        <x:v>1</x:v>
      </x:c>
      <x:c r="M3197" s="9" t="n">
        <x:f>ROUND(H3197*(1-I3197),2)</x:f>
        <x:v>11500000</x:v>
      </x:c>
      <x:c r="N3197" s="4" t="str">
        <x:v>Sales head</x:v>
      </x:c>
      <x:c r="O3197" s="4" t="str">
        <x:v>BOOK-03196</x:v>
      </x:c>
      <x:c r="P3197" s="9" t="n">
        <x:v>5750000</x:v>
      </x:c>
      <x:c r="Q3197" s="11" t="n">
        <x:v>0</x:v>
      </x:c>
      <x:c r="R3197" s="8" t="n">
        <x:v>45537</x:v>
      </x:c>
      <x:c r="S3197" s="4" t="str">
        <x:v>Retained</x:v>
      </x:c>
      <x:c r="T3197" s="10" t="n">
        <x:v>0.310195</x:v>
      </x:c>
      <x:c r="U3197" s="4" t="str">
        <x:v>Excluded / unlabelled</x:v>
      </x:c>
    </x:row>
    <x:row r="3198" ht="34" customHeight="1">
      <x:c r="A3198" s="4" t="str">
        <x:v>RS-03197</x:v>
      </x:c>
      <x:c r="B3198" s="8" t="n">
        <x:v>45478</x:v>
      </x:c>
      <x:c r="C3198" s="4" t="str">
        <x:v>PRJ-017</x:v>
      </x:c>
      <x:c r="D3198" s="4" t="str">
        <x:v>Villa</x:v>
      </x:c>
      <x:c r="E3198" s="4" t="str">
        <x:v>Enquiry</x:v>
      </x:c>
      <x:c r="F3198" s="4" t="str">
        <x:v>CUS-03197</x:v>
      </x:c>
      <x:c r="G3198" s="4" t="str">
        <x:v>UNIT-03197</x:v>
      </x:c>
      <x:c r="H3198" s="9" t="n">
        <x:v>7300000</x:v>
      </x:c>
      <x:c r="I3198" s="10" t="n">
        <x:v>0.05</x:v>
      </x:c>
      <x:c r="J3198" s="11" t="n">
        <x:v>6</x:v>
      </x:c>
      <x:c r="K3198" s="11" t="n">
        <x:v>7</x:v>
      </x:c>
      <x:c r="L3198" s="11" t="n">
        <x:v>0</x:v>
      </x:c>
      <x:c r="M3198" s="9" t="n">
        <x:f>ROUND(H3198*(1-I3198),2)</x:f>
        <x:v>6935000</x:v>
      </x:c>
      <x:c r="N3198" s="4" t="str">
        <x:v>Sales manager</x:v>
      </x:c>
      <x:c r="O3198" s="4"/>
      <x:c r="P3198" s="9" t="n">
        <x:v>0</x:v>
      </x:c>
      <x:c r="Q3198" s="11" t="n">
        <x:v>1</x:v>
      </x:c>
      <x:c r="R3198" s="8" t="n">
        <x:v>45538</x:v>
      </x:c>
      <x:c r="S3198" s="4" t="str">
        <x:v>Lost / cancelled</x:v>
      </x:c>
      <x:c r="T3198" s="10" t="n">
        <x:v>0.226277</x:v>
      </x:c>
      <x:c r="U3198" s="4" t="str">
        <x:v>Excluded / unlabelled</x:v>
      </x:c>
    </x:row>
    <x:row r="3199" ht="34" customHeight="1">
      <x:c r="A3199" s="4" t="str">
        <x:v>RS-03198</x:v>
      </x:c>
      <x:c r="B3199" s="8" t="n">
        <x:v>45479</x:v>
      </x:c>
      <x:c r="C3199" s="4" t="str">
        <x:v>PRJ-018</x:v>
      </x:c>
      <x:c r="D3199" s="4" t="str">
        <x:v>Office</x:v>
      </x:c>
      <x:c r="E3199" s="4" t="str">
        <x:v>Reserved</x:v>
      </x:c>
      <x:c r="F3199" s="4" t="str">
        <x:v>CUS-03198</x:v>
      </x:c>
      <x:c r="G3199" s="4" t="str">
        <x:v>UNIT-03198</x:v>
      </x:c>
      <x:c r="H3199" s="9" t="n">
        <x:v>6400000</x:v>
      </x:c>
      <x:c r="I3199" s="10" t="n">
        <x:v>0</x:v>
      </x:c>
      <x:c r="J3199" s="11" t="n">
        <x:v>2</x:v>
      </x:c>
      <x:c r="K3199" s="11" t="n">
        <x:v>8</x:v>
      </x:c>
      <x:c r="L3199" s="11" t="n">
        <x:v>0</x:v>
      </x:c>
      <x:c r="M3199" s="9" t="n">
        <x:f>ROUND(H3199*(1-I3199),2)</x:f>
        <x:v>6400000</x:v>
      </x:c>
      <x:c r="N3199" s="4" t="str">
        <x:v>Sales manager</x:v>
      </x:c>
      <x:c r="O3199" s="4"/>
      <x:c r="P3199" s="9" t="n">
        <x:v>0</x:v>
      </x:c>
      <x:c r="Q3199" s="11" t="n">
        <x:v>0</x:v>
      </x:c>
      <x:c r="R3199" s="8" t="n">
        <x:v>45539</x:v>
      </x:c>
      <x:c r="S3199" s="4" t="str">
        <x:v>Retained</x:v>
      </x:c>
      <x:c r="T3199" s="10" t="n">
        <x:v>0.171717</x:v>
      </x:c>
      <x:c r="U3199" s="4" t="str">
        <x:v>Excluded / unlabelled</x:v>
      </x:c>
    </x:row>
    <x:row r="3200" ht="34" customHeight="1">
      <x:c r="A3200" s="4" t="str">
        <x:v>RS-03199</x:v>
      </x:c>
      <x:c r="B3200" s="8" t="n">
        <x:v>45480</x:v>
      </x:c>
      <x:c r="C3200" s="4" t="str">
        <x:v>PRJ-019</x:v>
      </x:c>
      <x:c r="D3200" s="4" t="str">
        <x:v>Apartment</x:v>
      </x:c>
      <x:c r="E3200" s="4" t="str">
        <x:v>Cancelled</x:v>
      </x:c>
      <x:c r="F3200" s="4" t="str">
        <x:v>CUS-03199</x:v>
      </x:c>
      <x:c r="G3200" s="4" t="str">
        <x:v>UNIT-03199</x:v>
      </x:c>
      <x:c r="H3200" s="9" t="n">
        <x:v>15500000</x:v>
      </x:c>
      <x:c r="I3200" s="10" t="n">
        <x:v>0.12</x:v>
      </x:c>
      <x:c r="J3200" s="11" t="n">
        <x:v>5</x:v>
      </x:c>
      <x:c r="K3200" s="11" t="n">
        <x:v>0</x:v>
      </x:c>
      <x:c r="L3200" s="11" t="n">
        <x:v>0</x:v>
      </x:c>
      <x:c r="M3200" s="9" t="n">
        <x:f>ROUND(H3200*(1-I3200),2)</x:f>
        <x:v>13640000</x:v>
      </x:c>
      <x:c r="N3200" s="4" t="str">
        <x:v>Sales head</x:v>
      </x:c>
      <x:c r="O3200" s="4"/>
      <x:c r="P3200" s="9" t="n">
        <x:v>0</x:v>
      </x:c>
      <x:c r="Q3200" s="11" t="n">
        <x:v>1</x:v>
      </x:c>
      <x:c r="R3200" s="8" t="n">
        <x:v>45540</x:v>
      </x:c>
      <x:c r="S3200" s="4" t="str">
        <x:v>Lost / cancelled</x:v>
      </x:c>
      <x:c r="T3200" s="10" t="n">
        <x:v>0.226277</x:v>
      </x:c>
      <x:c r="U3200" s="4" t="str">
        <x:v>Excluded / unlabelled</x:v>
      </x:c>
    </x:row>
    <x:row r="3201" ht="34" customHeight="1">
      <x:c r="A3201" s="4" t="str">
        <x:v>RS-03200</x:v>
      </x:c>
      <x:c r="B3201" s="8" t="n">
        <x:v>45481</x:v>
      </x:c>
      <x:c r="C3201" s="4" t="str">
        <x:v>PRJ-020</x:v>
      </x:c>
      <x:c r="D3201" s="4" t="str">
        <x:v>Office</x:v>
      </x:c>
      <x:c r="E3201" s="4" t="str">
        <x:v>Enquiry</x:v>
      </x:c>
      <x:c r="F3201" s="4" t="str">
        <x:v>CUS-03200</x:v>
      </x:c>
      <x:c r="G3201" s="4" t="str">
        <x:v>UNIT-03200</x:v>
      </x:c>
      <x:c r="H3201" s="9" t="n">
        <x:v>17200000</x:v>
      </x:c>
      <x:c r="I3201" s="10" t="n">
        <x:v>0.05</x:v>
      </x:c>
      <x:c r="J3201" s="11" t="n">
        <x:v>11</x:v>
      </x:c>
      <x:c r="K3201" s="11" t="n">
        <x:v>0</x:v>
      </x:c>
      <x:c r="L3201" s="11" t="n">
        <x:v>0</x:v>
      </x:c>
      <x:c r="M3201" s="9" t="n">
        <x:f>ROUND(H3201*(1-I3201),2)</x:f>
        <x:v>16340000</x:v>
      </x:c>
      <x:c r="N3201" s="4" t="str">
        <x:v>Sales manager</x:v>
      </x:c>
      <x:c r="O3201" s="4"/>
      <x:c r="P3201" s="9" t="n">
        <x:v>0</x:v>
      </x:c>
      <x:c r="Q3201" s="11" t="n">
        <x:v>0</x:v>
      </x:c>
      <x:c r="R3201" s="8" t="n">
        <x:v>45541</x:v>
      </x:c>
      <x:c r="S3201" s="4" t="str">
        <x:v>Retained</x:v>
      </x:c>
      <x:c r="T3201" s="10" t="n">
        <x:v>0.351536</x:v>
      </x:c>
      <x:c r="U3201" s="4" t="str">
        <x:v>Excluded / unlabelled</x:v>
      </x:c>
    </x:row>
    <x:row r="3202" ht="34" customHeight="1">
      <x:c r="A3202" s="4" t="str">
        <x:v>RS-03201</x:v>
      </x:c>
      <x:c r="B3202" s="8" t="n">
        <x:v>45482</x:v>
      </x:c>
      <x:c r="C3202" s="4" t="str">
        <x:v>PRJ-001</x:v>
      </x:c>
      <x:c r="D3202" s="4" t="str">
        <x:v>Villa</x:v>
      </x:c>
      <x:c r="E3202" s="4" t="str">
        <x:v>Cancelled</x:v>
      </x:c>
      <x:c r="F3202" s="4" t="str">
        <x:v>CUS-03201</x:v>
      </x:c>
      <x:c r="G3202" s="4" t="str">
        <x:v>UNIT-03201</x:v>
      </x:c>
      <x:c r="H3202" s="9" t="n">
        <x:v>4100000</x:v>
      </x:c>
      <x:c r="I3202" s="10" t="n">
        <x:v>0.04</x:v>
      </x:c>
      <x:c r="J3202" s="11" t="n">
        <x:v>3</x:v>
      </x:c>
      <x:c r="K3202" s="11" t="n">
        <x:v>10</x:v>
      </x:c>
      <x:c r="L3202" s="11" t="n">
        <x:v>1</x:v>
      </x:c>
      <x:c r="M3202" s="9" t="n">
        <x:f>ROUND(H3202*(1-I3202),2)</x:f>
        <x:v>3936000</x:v>
      </x:c>
      <x:c r="N3202" s="4" t="str">
        <x:v>Sales manager</x:v>
      </x:c>
      <x:c r="O3202" s="4"/>
      <x:c r="P3202" s="9" t="n">
        <x:v>0</x:v>
      </x:c>
      <x:c r="Q3202" s="11" t="n">
        <x:v>1</x:v>
      </x:c>
      <x:c r="R3202" s="8" t="n">
        <x:v>45542</x:v>
      </x:c>
      <x:c r="S3202" s="4" t="str">
        <x:v>Lost / cancelled</x:v>
      </x:c>
      <x:c r="T3202" s="10" t="n">
        <x:v>0.204152</x:v>
      </x:c>
      <x:c r="U3202" s="4" t="str">
        <x:v>Excluded / unlabelled</x:v>
      </x:c>
    </x:row>
    <x:row r="3203" ht="34" customHeight="1">
      <x:c r="A3203" s="4" t="str">
        <x:v>RS-03202</x:v>
      </x:c>
      <x:c r="B3203" s="8" t="n">
        <x:v>45483</x:v>
      </x:c>
      <x:c r="C3203" s="4" t="str">
        <x:v>PRJ-002</x:v>
      </x:c>
      <x:c r="D3203" s="4" t="str">
        <x:v>Villa</x:v>
      </x:c>
      <x:c r="E3203" s="4" t="str">
        <x:v>Enquiry</x:v>
      </x:c>
      <x:c r="F3203" s="4" t="str">
        <x:v>CUS-03202</x:v>
      </x:c>
      <x:c r="G3203" s="4" t="str">
        <x:v>UNIT-03202</x:v>
      </x:c>
      <x:c r="H3203" s="9" t="n">
        <x:v>17400000</x:v>
      </x:c>
      <x:c r="I3203" s="10" t="n">
        <x:v>0.03</x:v>
      </x:c>
      <x:c r="J3203" s="11" t="n">
        <x:v>8</x:v>
      </x:c>
      <x:c r="K3203" s="11" t="n">
        <x:v>6</x:v>
      </x:c>
      <x:c r="L3203" s="11" t="n">
        <x:v>1</x:v>
      </x:c>
      <x:c r="M3203" s="9" t="n">
        <x:f>ROUND(H3203*(1-I3203),2)</x:f>
        <x:v>16878000</x:v>
      </x:c>
      <x:c r="N3203" s="4" t="str">
        <x:v>Sales manager</x:v>
      </x:c>
      <x:c r="O3203" s="4"/>
      <x:c r="P3203" s="9" t="n">
        <x:v>0</x:v>
      </x:c>
      <x:c r="Q3203" s="11" t="n">
        <x:v>0</x:v>
      </x:c>
      <x:c r="R3203" s="8" t="n">
        <x:v>45543</x:v>
      </x:c>
      <x:c r="S3203" s="4" t="str">
        <x:v>Retained</x:v>
      </x:c>
      <x:c r="T3203" s="10" t="n">
        <x:v>0.310195</x:v>
      </x:c>
      <x:c r="U3203" s="4" t="str">
        <x:v>Excluded / unlabelled</x:v>
      </x:c>
    </x:row>
    <x:row r="3204" ht="34" customHeight="1">
      <x:c r="A3204" s="4" t="str">
        <x:v>RS-03203</x:v>
      </x:c>
      <x:c r="B3204" s="8" t="n">
        <x:v>45484</x:v>
      </x:c>
      <x:c r="C3204" s="4" t="str">
        <x:v>PRJ-003</x:v>
      </x:c>
      <x:c r="D3204" s="4" t="str">
        <x:v>Office</x:v>
      </x:c>
      <x:c r="E3204" s="4" t="str">
        <x:v>Handed over</x:v>
      </x:c>
      <x:c r="F3204" s="4" t="str">
        <x:v>CUS-03203</x:v>
      </x:c>
      <x:c r="G3204" s="4" t="str">
        <x:v>UNIT-03203</x:v>
      </x:c>
      <x:c r="H3204" s="9" t="n">
        <x:v>17300000</x:v>
      </x:c>
      <x:c r="I3204" s="10" t="n">
        <x:v>0.02</x:v>
      </x:c>
      <x:c r="J3204" s="11" t="n">
        <x:v>7</x:v>
      </x:c>
      <x:c r="K3204" s="11" t="n">
        <x:v>8</x:v>
      </x:c>
      <x:c r="L3204" s="11" t="n">
        <x:v>1</x:v>
      </x:c>
      <x:c r="M3204" s="9" t="n">
        <x:f>ROUND(H3204*(1-I3204),2)</x:f>
        <x:v>16954000</x:v>
      </x:c>
      <x:c r="N3204" s="4" t="str">
        <x:v>Sales manager</x:v>
      </x:c>
      <x:c r="O3204" s="4" t="str">
        <x:v>BOOK-03203</x:v>
      </x:c>
      <x:c r="P3204" s="9" t="n">
        <x:v>4238500</x:v>
      </x:c>
      <x:c r="Q3204" s="11" t="n">
        <x:v>0</x:v>
      </x:c>
      <x:c r="R3204" s="8" t="n">
        <x:v>45544</x:v>
      </x:c>
      <x:c r="S3204" s="4" t="str">
        <x:v>Retained</x:v>
      </x:c>
      <x:c r="T3204" s="10" t="n">
        <x:v>0.145299</x:v>
      </x:c>
      <x:c r="U3204" s="4" t="str">
        <x:v>Excluded / unlabelled</x:v>
      </x:c>
    </x:row>
    <x:row r="3205" ht="34" customHeight="1">
      <x:c r="A3205" s="4" t="str">
        <x:v>RS-03204</x:v>
      </x:c>
      <x:c r="B3205" s="8" t="n">
        <x:v>45485</x:v>
      </x:c>
      <x:c r="C3205" s="4" t="str">
        <x:v>PRJ-004</x:v>
      </x:c>
      <x:c r="D3205" s="4" t="str">
        <x:v>Retail</x:v>
      </x:c>
      <x:c r="E3205" s="4" t="str">
        <x:v>Reserved</x:v>
      </x:c>
      <x:c r="F3205" s="4" t="str">
        <x:v>CUS-03204</x:v>
      </x:c>
      <x:c r="G3205" s="4" t="str">
        <x:v>UNIT-03204</x:v>
      </x:c>
      <x:c r="H3205" s="9" t="n">
        <x:v>18800000</x:v>
      </x:c>
      <x:c r="I3205" s="10" t="n">
        <x:v>0.12</x:v>
      </x:c>
      <x:c r="J3205" s="11" t="n">
        <x:v>5</x:v>
      </x:c>
      <x:c r="K3205" s="11" t="n">
        <x:v>9</x:v>
      </x:c>
      <x:c r="L3205" s="11" t="n">
        <x:v>0</x:v>
      </x:c>
      <x:c r="M3205" s="9" t="n">
        <x:f>ROUND(H3205*(1-I3205),2)</x:f>
        <x:v>16544000</x:v>
      </x:c>
      <x:c r="N3205" s="4" t="str">
        <x:v>Sales head</x:v>
      </x:c>
      <x:c r="O3205" s="4"/>
      <x:c r="P3205" s="9" t="n">
        <x:v>0</x:v>
      </x:c>
      <x:c r="Q3205" s="11" t="n">
        <x:v>0</x:v>
      </x:c>
      <x:c r="R3205" s="8" t="n">
        <x:v>45545</x:v>
      </x:c>
      <x:c r="S3205" s="4" t="str">
        <x:v>Retained</x:v>
      </x:c>
      <x:c r="T3205" s="10" t="n">
        <x:v>0.226277</x:v>
      </x:c>
      <x:c r="U3205" s="4" t="str">
        <x:v>Excluded / unlabelled</x:v>
      </x:c>
    </x:row>
    <x:row r="3206" ht="34" customHeight="1">
      <x:c r="A3206" s="4" t="str">
        <x:v>RS-03205</x:v>
      </x:c>
      <x:c r="B3206" s="8" t="n">
        <x:v>45486</x:v>
      </x:c>
      <x:c r="C3206" s="4" t="str">
        <x:v>PRJ-005</x:v>
      </x:c>
      <x:c r="D3206" s="4" t="str">
        <x:v>Office</x:v>
      </x:c>
      <x:c r="E3206" s="4" t="str">
        <x:v>Booked</x:v>
      </x:c>
      <x:c r="F3206" s="4" t="str">
        <x:v>CUS-03205</x:v>
      </x:c>
      <x:c r="G3206" s="4" t="str">
        <x:v>UNIT-03205</x:v>
      </x:c>
      <x:c r="H3206" s="9" t="n">
        <x:v>19700000</x:v>
      </x:c>
      <x:c r="I3206" s="10" t="n">
        <x:v>0.09</x:v>
      </x:c>
      <x:c r="J3206" s="11" t="n">
        <x:v>7</x:v>
      </x:c>
      <x:c r="K3206" s="11" t="n">
        <x:v>2</x:v>
      </x:c>
      <x:c r="L3206" s="11" t="n">
        <x:v>1</x:v>
      </x:c>
      <x:c r="M3206" s="9" t="n">
        <x:f>ROUND(H3206*(1-I3206),2)</x:f>
        <x:v>17927000</x:v>
      </x:c>
      <x:c r="N3206" s="4" t="str">
        <x:v>Sales head</x:v>
      </x:c>
      <x:c r="O3206" s="4" t="str">
        <x:v>BOOK-03205</x:v>
      </x:c>
      <x:c r="P3206" s="9" t="n">
        <x:v>8963500</x:v>
      </x:c>
      <x:c r="Q3206" s="11" t="n">
        <x:v>0</x:v>
      </x:c>
      <x:c r="R3206" s="8" t="n">
        <x:v>45546</x:v>
      </x:c>
      <x:c r="S3206" s="4" t="str">
        <x:v>Retained</x:v>
      </x:c>
      <x:c r="T3206" s="10" t="n">
        <x:v>0.291946</x:v>
      </x:c>
      <x:c r="U3206" s="4" t="str">
        <x:v>Excluded / unlabelled</x:v>
      </x:c>
    </x:row>
    <x:row r="3207" ht="34" customHeight="1">
      <x:c r="A3207" s="4" t="str">
        <x:v>RS-03206</x:v>
      </x:c>
      <x:c r="B3207" s="8" t="n">
        <x:v>45487</x:v>
      </x:c>
      <x:c r="C3207" s="4" t="str">
        <x:v>PRJ-006</x:v>
      </x:c>
      <x:c r="D3207" s="4" t="str">
        <x:v>Retail</x:v>
      </x:c>
      <x:c r="E3207" s="4" t="str">
        <x:v>Agreement signed</x:v>
      </x:c>
      <x:c r="F3207" s="4" t="str">
        <x:v>CUS-03206</x:v>
      </x:c>
      <x:c r="G3207" s="4" t="str">
        <x:v>UNIT-03206</x:v>
      </x:c>
      <x:c r="H3207" s="9" t="n">
        <x:v>11200000</x:v>
      </x:c>
      <x:c r="I3207" s="10" t="n">
        <x:v>0.02</x:v>
      </x:c>
      <x:c r="J3207" s="11" t="n">
        <x:v>7</x:v>
      </x:c>
      <x:c r="K3207" s="11" t="n">
        <x:v>6</x:v>
      </x:c>
      <x:c r="L3207" s="11" t="n">
        <x:v>0</x:v>
      </x:c>
      <x:c r="M3207" s="9" t="n">
        <x:f>ROUND(H3207*(1-I3207),2)</x:f>
        <x:v>10976000</x:v>
      </x:c>
      <x:c r="N3207" s="4" t="str">
        <x:v>Sales manager</x:v>
      </x:c>
      <x:c r="O3207" s="4" t="str">
        <x:v>BOOK-03206</x:v>
      </x:c>
      <x:c r="P3207" s="9" t="n">
        <x:v>5488000</x:v>
      </x:c>
      <x:c r="Q3207" s="11" t="n">
        <x:v>0</x:v>
      </x:c>
      <x:c r="R3207" s="8" t="n">
        <x:v>45547</x:v>
      </x:c>
      <x:c r="S3207" s="4" t="str">
        <x:v>Retained</x:v>
      </x:c>
      <x:c r="T3207" s="10" t="n">
        <x:v>0.145299</x:v>
      </x:c>
      <x:c r="U3207" s="4" t="str">
        <x:v>Excluded / unlabelled</x:v>
      </x:c>
    </x:row>
    <x:row r="3208" ht="34" customHeight="1">
      <x:c r="A3208" s="4" t="str">
        <x:v>RS-03207</x:v>
      </x:c>
      <x:c r="B3208" s="8" t="n">
        <x:v>45488</x:v>
      </x:c>
      <x:c r="C3208" s="4" t="str">
        <x:v>PRJ-007</x:v>
      </x:c>
      <x:c r="D3208" s="4" t="str">
        <x:v>Office</x:v>
      </x:c>
      <x:c r="E3208" s="4" t="str">
        <x:v>Agreement signed</x:v>
      </x:c>
      <x:c r="F3208" s="4" t="str">
        <x:v>CUS-03207</x:v>
      </x:c>
      <x:c r="G3208" s="4" t="str">
        <x:v>UNIT-03207</x:v>
      </x:c>
      <x:c r="H3208" s="9" t="n">
        <x:v>4000000</x:v>
      </x:c>
      <x:c r="I3208" s="10" t="n">
        <x:v>0</x:v>
      </x:c>
      <x:c r="J3208" s="11" t="n">
        <x:v>9</x:v>
      </x:c>
      <x:c r="K3208" s="11" t="n">
        <x:v>0</x:v>
      </x:c>
      <x:c r="L3208" s="11" t="n">
        <x:v>1</x:v>
      </x:c>
      <x:c r="M3208" s="9" t="n">
        <x:f>ROUND(H3208*(1-I3208),2)</x:f>
        <x:v>4000000</x:v>
      </x:c>
      <x:c r="N3208" s="4" t="str">
        <x:v>Sales manager</x:v>
      </x:c>
      <x:c r="O3208" s="4" t="str">
        <x:v>BOOK-03207</x:v>
      </x:c>
      <x:c r="P3208" s="9" t="n">
        <x:v>1000000</x:v>
      </x:c>
      <x:c r="Q3208" s="11" t="n">
        <x:v>0</x:v>
      </x:c>
      <x:c r="R3208" s="8" t="n">
        <x:v>45548</x:v>
      </x:c>
      <x:c r="S3208" s="4" t="str">
        <x:v>Retained</x:v>
      </x:c>
      <x:c r="T3208" s="10" t="n">
        <x:v>0.254545</x:v>
      </x:c>
      <x:c r="U3208" s="4" t="str">
        <x:v>Excluded / unlabelled</x:v>
      </x:c>
    </x:row>
    <x:row r="3209" ht="34" customHeight="1">
      <x:c r="A3209" s="4" t="str">
        <x:v>RS-03208</x:v>
      </x:c>
      <x:c r="B3209" s="8" t="n">
        <x:v>45489</x:v>
      </x:c>
      <x:c r="C3209" s="4" t="str">
        <x:v>PRJ-008</x:v>
      </x:c>
      <x:c r="D3209" s="4" t="str">
        <x:v>Office</x:v>
      </x:c>
      <x:c r="E3209" s="4" t="str">
        <x:v>Enquiry</x:v>
      </x:c>
      <x:c r="F3209" s="4" t="str">
        <x:v>CUS-03208</x:v>
      </x:c>
      <x:c r="G3209" s="4" t="str">
        <x:v>UNIT-03208</x:v>
      </x:c>
      <x:c r="H3209" s="9" t="n">
        <x:v>13200000</x:v>
      </x:c>
      <x:c r="I3209" s="10" t="n">
        <x:v>0.08</x:v>
      </x:c>
      <x:c r="J3209" s="11" t="n">
        <x:v>8</x:v>
      </x:c>
      <x:c r="K3209" s="11" t="n">
        <x:v>6</x:v>
      </x:c>
      <x:c r="L3209" s="11" t="n">
        <x:v>0</x:v>
      </x:c>
      <x:c r="M3209" s="9" t="n">
        <x:f>ROUND(H3209*(1-I3209),2)</x:f>
        <x:v>12144000</x:v>
      </x:c>
      <x:c r="N3209" s="4" t="str">
        <x:v>Sales head</x:v>
      </x:c>
      <x:c r="O3209" s="4"/>
      <x:c r="P3209" s="9" t="n">
        <x:v>0</x:v>
      </x:c>
      <x:c r="Q3209" s="11" t="n">
        <x:v>1</x:v>
      </x:c>
      <x:c r="R3209" s="8" t="n">
        <x:v>45549</x:v>
      </x:c>
      <x:c r="S3209" s="4" t="str">
        <x:v>Lost / cancelled</x:v>
      </x:c>
      <x:c r="T3209" s="10" t="n">
        <x:v>0.310195</x:v>
      </x:c>
      <x:c r="U3209" s="4" t="str">
        <x:v>Excluded / unlabelled</x:v>
      </x:c>
    </x:row>
    <x:row r="3210" ht="34" customHeight="1">
      <x:c r="A3210" s="4" t="str">
        <x:v>RS-03209</x:v>
      </x:c>
      <x:c r="B3210" s="8" t="n">
        <x:v>45490</x:v>
      </x:c>
      <x:c r="C3210" s="4" t="str">
        <x:v>PRJ-009</x:v>
      </x:c>
      <x:c r="D3210" s="4" t="str">
        <x:v>Apartment</x:v>
      </x:c>
      <x:c r="E3210" s="4" t="str">
        <x:v>Cancelled</x:v>
      </x:c>
      <x:c r="F3210" s="4" t="str">
        <x:v>CUS-03209</x:v>
      </x:c>
      <x:c r="G3210" s="4" t="str">
        <x:v>UNIT-03209</x:v>
      </x:c>
      <x:c r="H3210" s="9" t="n">
        <x:v>19700000</x:v>
      </x:c>
      <x:c r="I3210" s="10" t="n">
        <x:v>0.1</x:v>
      </x:c>
      <x:c r="J3210" s="11" t="n">
        <x:v>0</x:v>
      </x:c>
      <x:c r="K3210" s="11" t="n">
        <x:v>7</x:v>
      </x:c>
      <x:c r="L3210" s="11" t="n">
        <x:v>0</x:v>
      </x:c>
      <x:c r="M3210" s="9" t="n">
        <x:f>ROUND(H3210*(1-I3210),2)</x:f>
        <x:v>17730000</x:v>
      </x:c>
      <x:c r="N3210" s="4" t="str">
        <x:v>Sales head</x:v>
      </x:c>
      <x:c r="O3210" s="4"/>
      <x:c r="P3210" s="9" t="n">
        <x:v>0</x:v>
      </x:c>
      <x:c r="Q3210" s="11" t="n">
        <x:v>1</x:v>
      </x:c>
      <x:c r="R3210" s="8" t="n">
        <x:v>45550</x:v>
      </x:c>
      <x:c r="S3210" s="4" t="str">
        <x:v>Lost / cancelled</x:v>
      </x:c>
      <x:c r="T3210" s="10" t="n">
        <x:v>0.145833</x:v>
      </x:c>
      <x:c r="U3210" s="4" t="str">
        <x:v>Excluded / unlabelled</x:v>
      </x:c>
    </x:row>
    <x:row r="3211" ht="34" customHeight="1">
      <x:c r="A3211" s="4" t="str">
        <x:v>RS-03210</x:v>
      </x:c>
      <x:c r="B3211" s="8" t="n">
        <x:v>45491</x:v>
      </x:c>
      <x:c r="C3211" s="4" t="str">
        <x:v>PRJ-010</x:v>
      </x:c>
      <x:c r="D3211" s="4" t="str">
        <x:v>Retail</x:v>
      </x:c>
      <x:c r="E3211" s="4" t="str">
        <x:v>Handed over</x:v>
      </x:c>
      <x:c r="F3211" s="4" t="str">
        <x:v>CUS-03210</x:v>
      </x:c>
      <x:c r="G3211" s="4" t="str">
        <x:v>UNIT-03210</x:v>
      </x:c>
      <x:c r="H3211" s="9" t="n">
        <x:v>9300000</x:v>
      </x:c>
      <x:c r="I3211" s="10" t="n">
        <x:v>0.05</x:v>
      </x:c>
      <x:c r="J3211" s="11" t="n">
        <x:v>7</x:v>
      </x:c>
      <x:c r="K3211" s="11" t="n">
        <x:v>0</x:v>
      </x:c>
      <x:c r="L3211" s="11" t="n">
        <x:v>0</x:v>
      </x:c>
      <x:c r="M3211" s="9" t="n">
        <x:f>ROUND(H3211*(1-I3211),2)</x:f>
        <x:v>8835000</x:v>
      </x:c>
      <x:c r="N3211" s="4" t="str">
        <x:v>Sales manager</x:v>
      </x:c>
      <x:c r="O3211" s="4" t="str">
        <x:v>BOOK-03210</x:v>
      </x:c>
      <x:c r="P3211" s="9" t="n">
        <x:v>8835000</x:v>
      </x:c>
      <x:c r="Q3211" s="11" t="n">
        <x:v>0</x:v>
      </x:c>
      <x:c r="R3211" s="8" t="n">
        <x:v>45551</x:v>
      </x:c>
      <x:c r="S3211" s="4" t="str">
        <x:v>Retained</x:v>
      </x:c>
      <x:c r="T3211" s="10" t="n">
        <x:v>0.226277</x:v>
      </x:c>
      <x:c r="U3211" s="4" t="str">
        <x:v>Excluded / unlabelled</x:v>
      </x:c>
    </x:row>
    <x:row r="3212" ht="34" customHeight="1">
      <x:c r="A3212" s="4" t="str">
        <x:v>RS-03211</x:v>
      </x:c>
      <x:c r="B3212" s="8" t="n">
        <x:v>45492</x:v>
      </x:c>
      <x:c r="C3212" s="4" t="str">
        <x:v>PRJ-011</x:v>
      </x:c>
      <x:c r="D3212" s="4" t="str">
        <x:v>Office</x:v>
      </x:c>
      <x:c r="E3212" s="4" t="str">
        <x:v>Agreement signed</x:v>
      </x:c>
      <x:c r="F3212" s="4" t="str">
        <x:v>CUS-03211</x:v>
      </x:c>
      <x:c r="G3212" s="4" t="str">
        <x:v>UNIT-03211</x:v>
      </x:c>
      <x:c r="H3212" s="9" t="n">
        <x:v>3300000</x:v>
      </x:c>
      <x:c r="I3212" s="10" t="n">
        <x:v>0.03</x:v>
      </x:c>
      <x:c r="J3212" s="11" t="n">
        <x:v>4</x:v>
      </x:c>
      <x:c r="K3212" s="11" t="n">
        <x:v>1</x:v>
      </x:c>
      <x:c r="L3212" s="11" t="n">
        <x:v>1</x:v>
      </x:c>
      <x:c r="M3212" s="9" t="n">
        <x:f>ROUND(H3212*(1-I3212),2)</x:f>
        <x:v>3201000</x:v>
      </x:c>
      <x:c r="N3212" s="4" t="str">
        <x:v>Sales manager</x:v>
      </x:c>
      <x:c r="O3212" s="4" t="str">
        <x:v>BOOK-03211</x:v>
      </x:c>
      <x:c r="P3212" s="9" t="n">
        <x:v>320100</x:v>
      </x:c>
      <x:c r="Q3212" s="11" t="n">
        <x:v>0</x:v>
      </x:c>
      <x:c r="R3212" s="8" t="n">
        <x:v>45552</x:v>
      </x:c>
      <x:c r="S3212" s="4" t="str">
        <x:v>Retained</x:v>
      </x:c>
      <x:c r="T3212" s="10" t="n">
        <x:v>0.298969</x:v>
      </x:c>
      <x:c r="U3212" s="4" t="str">
        <x:v>Excluded / unlabelled</x:v>
      </x:c>
    </x:row>
    <x:row r="3213" ht="34" customHeight="1">
      <x:c r="A3213" s="4" t="str">
        <x:v>RS-03212</x:v>
      </x:c>
      <x:c r="B3213" s="8" t="n">
        <x:v>45493</x:v>
      </x:c>
      <x:c r="C3213" s="4" t="str">
        <x:v>PRJ-012</x:v>
      </x:c>
      <x:c r="D3213" s="4" t="str">
        <x:v>Office</x:v>
      </x:c>
      <x:c r="E3213" s="4" t="str">
        <x:v>Enquiry</x:v>
      </x:c>
      <x:c r="F3213" s="4" t="str">
        <x:v>CUS-03212</x:v>
      </x:c>
      <x:c r="G3213" s="4" t="str">
        <x:v>UNIT-03212</x:v>
      </x:c>
      <x:c r="H3213" s="9" t="n">
        <x:v>9500000</x:v>
      </x:c>
      <x:c r="I3213" s="10" t="n">
        <x:v>0.07</x:v>
      </x:c>
      <x:c r="J3213" s="11" t="n">
        <x:v>2</x:v>
      </x:c>
      <x:c r="K3213" s="11" t="n">
        <x:v>6</x:v>
      </x:c>
      <x:c r="L3213" s="11" t="n">
        <x:v>1</x:v>
      </x:c>
      <x:c r="M3213" s="9" t="n">
        <x:f>ROUND(H3213*(1-I3213),2)</x:f>
        <x:v>8835000</x:v>
      </x:c>
      <x:c r="N3213" s="4" t="str">
        <x:v>Sales manager</x:v>
      </x:c>
      <x:c r="O3213" s="4"/>
      <x:c r="P3213" s="9" t="n">
        <x:v>0</x:v>
      </x:c>
      <x:c r="Q3213" s="11" t="n">
        <x:v>0</x:v>
      </x:c>
      <x:c r="R3213" s="8" t="n">
        <x:v>45553</x:v>
      </x:c>
      <x:c r="S3213" s="4" t="str">
        <x:v>Retained</x:v>
      </x:c>
      <x:c r="T3213" s="10" t="n">
        <x:v>0.204152</x:v>
      </x:c>
      <x:c r="U3213" s="4" t="str">
        <x:v>Excluded / unlabelled</x:v>
      </x:c>
    </x:row>
    <x:row r="3214" ht="34" customHeight="1">
      <x:c r="A3214" s="4" t="str">
        <x:v>RS-03213</x:v>
      </x:c>
      <x:c r="B3214" s="8" t="n">
        <x:v>45494</x:v>
      </x:c>
      <x:c r="C3214" s="4" t="str">
        <x:v>PRJ-013</x:v>
      </x:c>
      <x:c r="D3214" s="4" t="str">
        <x:v>Office</x:v>
      </x:c>
      <x:c r="E3214" s="4" t="str">
        <x:v>Reserved</x:v>
      </x:c>
      <x:c r="F3214" s="4" t="str">
        <x:v>CUS-03213</x:v>
      </x:c>
      <x:c r="G3214" s="4" t="str">
        <x:v>UNIT-03213</x:v>
      </x:c>
      <x:c r="H3214" s="9" t="n">
        <x:v>8800000</x:v>
      </x:c>
      <x:c r="I3214" s="10" t="n">
        <x:v>0.04</x:v>
      </x:c>
      <x:c r="J3214" s="11" t="n">
        <x:v>5</x:v>
      </x:c>
      <x:c r="K3214" s="11" t="n">
        <x:v>9</x:v>
      </x:c>
      <x:c r="L3214" s="11" t="n">
        <x:v>0</x:v>
      </x:c>
      <x:c r="M3214" s="9" t="n">
        <x:f>ROUND(H3214*(1-I3214),2)</x:f>
        <x:v>8448000</x:v>
      </x:c>
      <x:c r="N3214" s="4" t="str">
        <x:v>Sales manager</x:v>
      </x:c>
      <x:c r="O3214" s="4"/>
      <x:c r="P3214" s="9" t="n">
        <x:v>0</x:v>
      </x:c>
      <x:c r="Q3214" s="11" t="n">
        <x:v>1</x:v>
      </x:c>
      <x:c r="R3214" s="8" t="n">
        <x:v>45554</x:v>
      </x:c>
      <x:c r="S3214" s="4" t="str">
        <x:v>Lost / cancelled</x:v>
      </x:c>
      <x:c r="T3214" s="10" t="n">
        <x:v>0.226277</x:v>
      </x:c>
      <x:c r="U3214" s="4" t="str">
        <x:v>Excluded / unlabelled</x:v>
      </x:c>
    </x:row>
    <x:row r="3215" ht="34" customHeight="1">
      <x:c r="A3215" s="4" t="str">
        <x:v>RS-03214</x:v>
      </x:c>
      <x:c r="B3215" s="8" t="n">
        <x:v>45495</x:v>
      </x:c>
      <x:c r="C3215" s="4" t="str">
        <x:v>PRJ-014</x:v>
      </x:c>
      <x:c r="D3215" s="4" t="str">
        <x:v>Office</x:v>
      </x:c>
      <x:c r="E3215" s="4" t="str">
        <x:v>Reserved</x:v>
      </x:c>
      <x:c r="F3215" s="4" t="str">
        <x:v>CUS-03214</x:v>
      </x:c>
      <x:c r="G3215" s="4" t="str">
        <x:v>UNIT-03214</x:v>
      </x:c>
      <x:c r="H3215" s="9" t="n">
        <x:v>17600000</x:v>
      </x:c>
      <x:c r="I3215" s="10" t="n">
        <x:v>0.02</x:v>
      </x:c>
      <x:c r="J3215" s="11" t="n">
        <x:v>12</x:v>
      </x:c>
      <x:c r="K3215" s="11" t="n">
        <x:v>3</x:v>
      </x:c>
      <x:c r="L3215" s="11" t="n">
        <x:v>1</x:v>
      </x:c>
      <x:c r="M3215" s="9" t="n">
        <x:f>ROUND(H3215*(1-I3215),2)</x:f>
        <x:v>17248000</x:v>
      </x:c>
      <x:c r="N3215" s="4" t="str">
        <x:v>Sales manager</x:v>
      </x:c>
      <x:c r="O3215" s="4"/>
      <x:c r="P3215" s="9" t="n">
        <x:v>0</x:v>
      </x:c>
      <x:c r="Q3215" s="11" t="n">
        <x:v>0</x:v>
      </x:c>
      <x:c r="R3215" s="8" t="n">
        <x:v>45555</x:v>
      </x:c>
      <x:c r="S3215" s="4" t="str">
        <x:v>Retained</x:v>
      </x:c>
      <x:c r="T3215" s="10" t="n">
        <x:v>0.254545</x:v>
      </x:c>
      <x:c r="U3215" s="4" t="str">
        <x:v>Excluded / unlabelled</x:v>
      </x:c>
    </x:row>
    <x:row r="3216" ht="34" customHeight="1">
      <x:c r="A3216" s="4" t="str">
        <x:v>RS-03215</x:v>
      </x:c>
      <x:c r="B3216" s="8" t="n">
        <x:v>45496</x:v>
      </x:c>
      <x:c r="C3216" s="4" t="str">
        <x:v>PRJ-015</x:v>
      </x:c>
      <x:c r="D3216" s="4" t="str">
        <x:v>Retail</x:v>
      </x:c>
      <x:c r="E3216" s="4" t="str">
        <x:v>Agreement signed</x:v>
      </x:c>
      <x:c r="F3216" s="4" t="str">
        <x:v>CUS-03215</x:v>
      </x:c>
      <x:c r="G3216" s="4" t="str">
        <x:v>UNIT-03215</x:v>
      </x:c>
      <x:c r="H3216" s="9" t="n">
        <x:v>5800000</x:v>
      </x:c>
      <x:c r="I3216" s="10" t="n">
        <x:v>0.01</x:v>
      </x:c>
      <x:c r="J3216" s="11" t="n">
        <x:v>4</x:v>
      </x:c>
      <x:c r="K3216" s="11" t="n">
        <x:v>0</x:v>
      </x:c>
      <x:c r="L3216" s="11" t="n">
        <x:v>1</x:v>
      </x:c>
      <x:c r="M3216" s="9" t="n">
        <x:f>ROUND(H3216*(1-I3216),2)</x:f>
        <x:v>5742000</x:v>
      </x:c>
      <x:c r="N3216" s="4" t="str">
        <x:v>Sales manager</x:v>
      </x:c>
      <x:c r="O3216" s="4" t="str">
        <x:v>BOOK-03215</x:v>
      </x:c>
      <x:c r="P3216" s="9" t="n">
        <x:v>574200</x:v>
      </x:c>
      <x:c r="Q3216" s="11" t="n">
        <x:v>0</x:v>
      </x:c>
      <x:c r="R3216" s="8" t="n">
        <x:v>45556</x:v>
      </x:c>
      <x:c r="S3216" s="4" t="str">
        <x:v>Retained</x:v>
      </x:c>
      <x:c r="T3216" s="10" t="n">
        <x:v>0.298969</x:v>
      </x:c>
      <x:c r="U3216" s="4" t="str">
        <x:v>Excluded / unlabelled</x:v>
      </x:c>
    </x:row>
    <x:row r="3217" ht="34" customHeight="1">
      <x:c r="A3217" s="4" t="str">
        <x:v>RS-03216</x:v>
      </x:c>
      <x:c r="B3217" s="8" t="n">
        <x:v>45497</x:v>
      </x:c>
      <x:c r="C3217" s="4" t="str">
        <x:v>PRJ-016</x:v>
      </x:c>
      <x:c r="D3217" s="4" t="str">
        <x:v>Apartment</x:v>
      </x:c>
      <x:c r="E3217" s="4" t="str">
        <x:v>Agreement signed</x:v>
      </x:c>
      <x:c r="F3217" s="4" t="str">
        <x:v>CUS-03216</x:v>
      </x:c>
      <x:c r="G3217" s="4" t="str">
        <x:v>UNIT-03216</x:v>
      </x:c>
      <x:c r="H3217" s="9" t="n">
        <x:v>4100000</x:v>
      </x:c>
      <x:c r="I3217" s="10" t="n">
        <x:v>0.12</x:v>
      </x:c>
      <x:c r="J3217" s="11" t="n">
        <x:v>3</x:v>
      </x:c>
      <x:c r="K3217" s="11" t="n">
        <x:v>6</x:v>
      </x:c>
      <x:c r="L3217" s="11" t="n">
        <x:v>0</x:v>
      </x:c>
      <x:c r="M3217" s="9" t="n">
        <x:f>ROUND(H3217*(1-I3217),2)</x:f>
        <x:v>3608000</x:v>
      </x:c>
      <x:c r="N3217" s="4" t="str">
        <x:v>Sales head</x:v>
      </x:c>
      <x:c r="O3217" s="4" t="str">
        <x:v>BOOK-03216</x:v>
      </x:c>
      <x:c r="P3217" s="9" t="n">
        <x:v>1804000</x:v>
      </x:c>
      <x:c r="Q3217" s="11" t="n">
        <x:v>0</x:v>
      </x:c>
      <x:c r="R3217" s="8" t="n">
        <x:v>45557</x:v>
      </x:c>
      <x:c r="S3217" s="4" t="str">
        <x:v>Retained</x:v>
      </x:c>
      <x:c r="T3217" s="10" t="n">
        <x:v>0.145833</x:v>
      </x:c>
      <x:c r="U3217" s="4" t="str">
        <x:v>Excluded / unlabelled</x:v>
      </x:c>
    </x:row>
    <x:row r="3218" ht="34" customHeight="1">
      <x:c r="A3218" s="4" t="str">
        <x:v>RS-03217</x:v>
      </x:c>
      <x:c r="B3218" s="8" t="n">
        <x:v>45498</x:v>
      </x:c>
      <x:c r="C3218" s="4" t="str">
        <x:v>PRJ-017</x:v>
      </x:c>
      <x:c r="D3218" s="4" t="str">
        <x:v>Apartment</x:v>
      </x:c>
      <x:c r="E3218" s="4" t="str">
        <x:v>Agreement signed</x:v>
      </x:c>
      <x:c r="F3218" s="4" t="str">
        <x:v>CUS-03217</x:v>
      </x:c>
      <x:c r="G3218" s="4" t="str">
        <x:v>UNIT-03217</x:v>
      </x:c>
      <x:c r="H3218" s="9" t="n">
        <x:v>6300000</x:v>
      </x:c>
      <x:c r="I3218" s="10" t="n">
        <x:v>0.11</x:v>
      </x:c>
      <x:c r="J3218" s="11" t="n">
        <x:v>0</x:v>
      </x:c>
      <x:c r="K3218" s="11" t="n">
        <x:v>4</x:v>
      </x:c>
      <x:c r="L3218" s="11" t="n">
        <x:v>0</x:v>
      </x:c>
      <x:c r="M3218" s="9" t="n">
        <x:f>ROUND(H3218*(1-I3218),2)</x:f>
        <x:v>5607000</x:v>
      </x:c>
      <x:c r="N3218" s="4" t="str">
        <x:v>Sales head</x:v>
      </x:c>
      <x:c r="O3218" s="4" t="str">
        <x:v>BOOK-03217</x:v>
      </x:c>
      <x:c r="P3218" s="9" t="n">
        <x:v>2803500</x:v>
      </x:c>
      <x:c r="Q3218" s="11" t="n">
        <x:v>0</x:v>
      </x:c>
      <x:c r="R3218" s="8" t="n">
        <x:v>45558</x:v>
      </x:c>
      <x:c r="S3218" s="4" t="str">
        <x:v>Retained</x:v>
      </x:c>
      <x:c r="T3218" s="10" t="n">
        <x:v>0.145833</x:v>
      </x:c>
      <x:c r="U3218" s="4" t="str">
        <x:v>Excluded / unlabelled</x:v>
      </x:c>
    </x:row>
    <x:row r="3219" ht="34" customHeight="1">
      <x:c r="A3219" s="4" t="str">
        <x:v>RS-03218</x:v>
      </x:c>
      <x:c r="B3219" s="8" t="n">
        <x:v>45499</x:v>
      </x:c>
      <x:c r="C3219" s="4" t="str">
        <x:v>PRJ-018</x:v>
      </x:c>
      <x:c r="D3219" s="4" t="str">
        <x:v>Apartment</x:v>
      </x:c>
      <x:c r="E3219" s="4" t="str">
        <x:v>Enquiry</x:v>
      </x:c>
      <x:c r="F3219" s="4" t="str">
        <x:v>CUS-03218</x:v>
      </x:c>
      <x:c r="G3219" s="4" t="str">
        <x:v>UNIT-03218</x:v>
      </x:c>
      <x:c r="H3219" s="9" t="n">
        <x:v>19500000</x:v>
      </x:c>
      <x:c r="I3219" s="10" t="n">
        <x:v>0.04</x:v>
      </x:c>
      <x:c r="J3219" s="11" t="n">
        <x:v>4</x:v>
      </x:c>
      <x:c r="K3219" s="11" t="n">
        <x:v>6</x:v>
      </x:c>
      <x:c r="L3219" s="11" t="n">
        <x:v>0</x:v>
      </x:c>
      <x:c r="M3219" s="9" t="n">
        <x:f>ROUND(H3219*(1-I3219),2)</x:f>
        <x:v>18720000</x:v>
      </x:c>
      <x:c r="N3219" s="4" t="str">
        <x:v>Sales manager</x:v>
      </x:c>
      <x:c r="O3219" s="4"/>
      <x:c r="P3219" s="9" t="n">
        <x:v>0</x:v>
      </x:c>
      <x:c r="Q3219" s="11" t="n">
        <x:v>0</x:v>
      </x:c>
      <x:c r="R3219" s="8" t="n">
        <x:v>45559</x:v>
      </x:c>
      <x:c r="S3219" s="4" t="str">
        <x:v>Retained</x:v>
      </x:c>
      <x:c r="T3219" s="10" t="n">
        <x:v>0.226277</x:v>
      </x:c>
      <x:c r="U3219" s="4" t="str">
        <x:v>Excluded / unlabelled</x:v>
      </x:c>
    </x:row>
    <x:row r="3220" ht="34" customHeight="1">
      <x:c r="A3220" s="4" t="str">
        <x:v>RS-03219</x:v>
      </x:c>
      <x:c r="B3220" s="8" t="n">
        <x:v>45500</x:v>
      </x:c>
      <x:c r="C3220" s="4" t="str">
        <x:v>PRJ-019</x:v>
      </x:c>
      <x:c r="D3220" s="4" t="str">
        <x:v>Retail</x:v>
      </x:c>
      <x:c r="E3220" s="4" t="str">
        <x:v>Enquiry</x:v>
      </x:c>
      <x:c r="F3220" s="4" t="str">
        <x:v>CUS-03219</x:v>
      </x:c>
      <x:c r="G3220" s="4" t="str">
        <x:v>UNIT-03219</x:v>
      </x:c>
      <x:c r="H3220" s="9" t="n">
        <x:v>24700000</x:v>
      </x:c>
      <x:c r="I3220" s="10" t="n">
        <x:v>0.01</x:v>
      </x:c>
      <x:c r="J3220" s="11" t="n">
        <x:v>9</x:v>
      </x:c>
      <x:c r="K3220" s="11" t="n">
        <x:v>2</x:v>
      </x:c>
      <x:c r="L3220" s="11" t="n">
        <x:v>0</x:v>
      </x:c>
      <x:c r="M3220" s="9" t="n">
        <x:f>ROUND(H3220*(1-I3220),2)</x:f>
        <x:v>24453000</x:v>
      </x:c>
      <x:c r="N3220" s="4" t="str">
        <x:v>Sales manager</x:v>
      </x:c>
      <x:c r="O3220" s="4"/>
      <x:c r="P3220" s="9" t="n">
        <x:v>0</x:v>
      </x:c>
      <x:c r="Q3220" s="11" t="n">
        <x:v>1</x:v>
      </x:c>
      <x:c r="R3220" s="8" t="n">
        <x:v>45560</x:v>
      </x:c>
      <x:c r="S3220" s="4" t="str">
        <x:v>Lost / cancelled</x:v>
      </x:c>
      <x:c r="T3220" s="10" t="n">
        <x:v>0.305556</x:v>
      </x:c>
      <x:c r="U3220" s="4" t="str">
        <x:v>Excluded / unlabelled</x:v>
      </x:c>
    </x:row>
    <x:row r="3221" ht="34" customHeight="1">
      <x:c r="A3221" s="4" t="str">
        <x:v>RS-03220</x:v>
      </x:c>
      <x:c r="B3221" s="8" t="n">
        <x:v>45501</x:v>
      </x:c>
      <x:c r="C3221" s="4" t="str">
        <x:v>PRJ-020</x:v>
      </x:c>
      <x:c r="D3221" s="4" t="str">
        <x:v>Retail</x:v>
      </x:c>
      <x:c r="E3221" s="4" t="str">
        <x:v>Enquiry</x:v>
      </x:c>
      <x:c r="F3221" s="4" t="str">
        <x:v>CUS-03220</x:v>
      </x:c>
      <x:c r="G3221" s="4" t="str">
        <x:v>UNIT-03220</x:v>
      </x:c>
      <x:c r="H3221" s="9" t="n">
        <x:v>6000000</x:v>
      </x:c>
      <x:c r="I3221" s="10" t="n">
        <x:v>0.05</x:v>
      </x:c>
      <x:c r="J3221" s="11" t="n">
        <x:v>2</x:v>
      </x:c>
      <x:c r="K3221" s="11" t="n">
        <x:v>2</x:v>
      </x:c>
      <x:c r="L3221" s="11" t="n">
        <x:v>0</x:v>
      </x:c>
      <x:c r="M3221" s="9" t="n">
        <x:f>ROUND(H3221*(1-I3221),2)</x:f>
        <x:v>5700000</x:v>
      </x:c>
      <x:c r="N3221" s="4" t="str">
        <x:v>Sales manager</x:v>
      </x:c>
      <x:c r="O3221" s="4"/>
      <x:c r="P3221" s="9" t="n">
        <x:v>0</x:v>
      </x:c>
      <x:c r="Q3221" s="11" t="n">
        <x:v>0</x:v>
      </x:c>
      <x:c r="R3221" s="8" t="n">
        <x:v>45561</x:v>
      </x:c>
      <x:c r="S3221" s="4" t="str">
        <x:v>Retained</x:v>
      </x:c>
      <x:c r="T3221" s="10" t="n">
        <x:v>0.204152</x:v>
      </x:c>
      <x:c r="U3221" s="4" t="str">
        <x:v>Excluded / unlabelled</x:v>
      </x:c>
    </x:row>
    <x:row r="3222" ht="34" customHeight="1">
      <x:c r="A3222" s="4" t="str">
        <x:v>RS-03221</x:v>
      </x:c>
      <x:c r="B3222" s="8" t="n">
        <x:v>45474</x:v>
      </x:c>
      <x:c r="C3222" s="4" t="str">
        <x:v>PRJ-001</x:v>
      </x:c>
      <x:c r="D3222" s="4" t="str">
        <x:v>Apartment</x:v>
      </x:c>
      <x:c r="E3222" s="4" t="str">
        <x:v>Agreement signed</x:v>
      </x:c>
      <x:c r="F3222" s="4" t="str">
        <x:v>CUS-03221</x:v>
      </x:c>
      <x:c r="G3222" s="4" t="str">
        <x:v>UNIT-03221</x:v>
      </x:c>
      <x:c r="H3222" s="9" t="n">
        <x:v>9700000</x:v>
      </x:c>
      <x:c r="I3222" s="10" t="n">
        <x:v>0.07</x:v>
      </x:c>
      <x:c r="J3222" s="11" t="n">
        <x:v>8</x:v>
      </x:c>
      <x:c r="K3222" s="11" t="n">
        <x:v>10</x:v>
      </x:c>
      <x:c r="L3222" s="11" t="n">
        <x:v>0</x:v>
      </x:c>
      <x:c r="M3222" s="9" t="n">
        <x:f>ROUND(H3222*(1-I3222),2)</x:f>
        <x:v>9021000</x:v>
      </x:c>
      <x:c r="N3222" s="4" t="str">
        <x:v>Sales manager</x:v>
      </x:c>
      <x:c r="O3222" s="4" t="str">
        <x:v>BOOK-03221</x:v>
      </x:c>
      <x:c r="P3222" s="9" t="n">
        <x:v>2255250</x:v>
      </x:c>
      <x:c r="Q3222" s="11" t="n">
        <x:v>0</x:v>
      </x:c>
      <x:c r="R3222" s="8" t="n">
        <x:v>45534</x:v>
      </x:c>
      <x:c r="S3222" s="4" t="str">
        <x:v>Retained</x:v>
      </x:c>
      <x:c r="T3222" s="10" t="n">
        <x:v>0.310195</x:v>
      </x:c>
      <x:c r="U3222" s="4" t="str">
        <x:v>Excluded / unlabelled</x:v>
      </x:c>
    </x:row>
    <x:row r="3223" ht="34" customHeight="1">
      <x:c r="A3223" s="4" t="str">
        <x:v>RS-03222</x:v>
      </x:c>
      <x:c r="B3223" s="8" t="n">
        <x:v>45475</x:v>
      </x:c>
      <x:c r="C3223" s="4" t="str">
        <x:v>PRJ-002</x:v>
      </x:c>
      <x:c r="D3223" s="4" t="str">
        <x:v>Villa</x:v>
      </x:c>
      <x:c r="E3223" s="4" t="str">
        <x:v>Cancelled</x:v>
      </x:c>
      <x:c r="F3223" s="4" t="str">
        <x:v>CUS-03222</x:v>
      </x:c>
      <x:c r="G3223" s="4" t="str">
        <x:v>UNIT-03222</x:v>
      </x:c>
      <x:c r="H3223" s="9" t="n">
        <x:v>13100000</x:v>
      </x:c>
      <x:c r="I3223" s="10" t="n">
        <x:v>0.02</x:v>
      </x:c>
      <x:c r="J3223" s="11" t="n">
        <x:v>11</x:v>
      </x:c>
      <x:c r="K3223" s="11" t="n">
        <x:v>4</x:v>
      </x:c>
      <x:c r="L3223" s="11" t="n">
        <x:v>0</x:v>
      </x:c>
      <x:c r="M3223" s="9" t="n">
        <x:f>ROUND(H3223*(1-I3223),2)</x:f>
        <x:v>12838000</x:v>
      </x:c>
      <x:c r="N3223" s="4" t="str">
        <x:v>Sales manager</x:v>
      </x:c>
      <x:c r="O3223" s="4"/>
      <x:c r="P3223" s="9" t="n">
        <x:v>0</x:v>
      </x:c>
      <x:c r="Q3223" s="11" t="n">
        <x:v>1</x:v>
      </x:c>
      <x:c r="R3223" s="8" t="n">
        <x:v>45535</x:v>
      </x:c>
      <x:c r="S3223" s="4" t="str">
        <x:v>Lost / cancelled</x:v>
      </x:c>
      <x:c r="T3223" s="10" t="n">
        <x:v>0.305556</x:v>
      </x:c>
      <x:c r="U3223" s="4" t="str">
        <x:v>Excluded / unlabelled</x:v>
      </x:c>
    </x:row>
    <x:row r="3224" ht="34" customHeight="1">
      <x:c r="A3224" s="4" t="str">
        <x:v>RS-03223</x:v>
      </x:c>
      <x:c r="B3224" s="8" t="n">
        <x:v>45476</x:v>
      </x:c>
      <x:c r="C3224" s="4" t="str">
        <x:v>PRJ-003</x:v>
      </x:c>
      <x:c r="D3224" s="4" t="str">
        <x:v>Apartment</x:v>
      </x:c>
      <x:c r="E3224" s="4" t="str">
        <x:v>Agreement signed</x:v>
      </x:c>
      <x:c r="F3224" s="4" t="str">
        <x:v>CUS-03223</x:v>
      </x:c>
      <x:c r="G3224" s="4" t="str">
        <x:v>UNIT-03223</x:v>
      </x:c>
      <x:c r="H3224" s="9" t="n">
        <x:v>4200000</x:v>
      </x:c>
      <x:c r="I3224" s="10" t="n">
        <x:v>0.07</x:v>
      </x:c>
      <x:c r="J3224" s="11" t="n">
        <x:v>1</x:v>
      </x:c>
      <x:c r="K3224" s="11" t="n">
        <x:v>1</x:v>
      </x:c>
      <x:c r="L3224" s="11" t="n">
        <x:v>1</x:v>
      </x:c>
      <x:c r="M3224" s="9" t="n">
        <x:f>ROUND(H3224*(1-I3224),2)</x:f>
        <x:v>3906000</x:v>
      </x:c>
      <x:c r="N3224" s="4" t="str">
        <x:v>Sales manager</x:v>
      </x:c>
      <x:c r="O3224" s="4" t="str">
        <x:v>BOOK-03223</x:v>
      </x:c>
      <x:c r="P3224" s="9" t="n">
        <x:v>1953000</x:v>
      </x:c>
      <x:c r="Q3224" s="11" t="n">
        <x:v>0</x:v>
      </x:c>
      <x:c r="R3224" s="8" t="n">
        <x:v>45536</x:v>
      </x:c>
      <x:c r="S3224" s="4" t="str">
        <x:v>Retained</x:v>
      </x:c>
      <x:c r="T3224" s="10" t="n">
        <x:v>0.204152</x:v>
      </x:c>
      <x:c r="U3224" s="4" t="str">
        <x:v>Excluded / unlabelled</x:v>
      </x:c>
    </x:row>
    <x:row r="3225" ht="34" customHeight="1">
      <x:c r="A3225" s="4" t="str">
        <x:v>RS-03224</x:v>
      </x:c>
      <x:c r="B3225" s="8" t="n">
        <x:v>45477</x:v>
      </x:c>
      <x:c r="C3225" s="4" t="str">
        <x:v>PRJ-004</x:v>
      </x:c>
      <x:c r="D3225" s="4" t="str">
        <x:v>Retail</x:v>
      </x:c>
      <x:c r="E3225" s="4" t="str">
        <x:v>Reserved</x:v>
      </x:c>
      <x:c r="F3225" s="4" t="str">
        <x:v>CUS-03224</x:v>
      </x:c>
      <x:c r="G3225" s="4" t="str">
        <x:v>UNIT-03224</x:v>
      </x:c>
      <x:c r="H3225" s="9" t="n">
        <x:v>7500000</x:v>
      </x:c>
      <x:c r="I3225" s="10" t="n">
        <x:v>0.04</x:v>
      </x:c>
      <x:c r="J3225" s="11" t="n">
        <x:v>9</x:v>
      </x:c>
      <x:c r="K3225" s="11" t="n">
        <x:v>9</x:v>
      </x:c>
      <x:c r="L3225" s="11" t="n">
        <x:v>1</x:v>
      </x:c>
      <x:c r="M3225" s="9" t="n">
        <x:f>ROUND(H3225*(1-I3225),2)</x:f>
        <x:v>7200000</x:v>
      </x:c>
      <x:c r="N3225" s="4" t="str">
        <x:v>Sales manager</x:v>
      </x:c>
      <x:c r="O3225" s="4"/>
      <x:c r="P3225" s="9" t="n">
        <x:v>0</x:v>
      </x:c>
      <x:c r="Q3225" s="11" t="n">
        <x:v>0</x:v>
      </x:c>
      <x:c r="R3225" s="8" t="n">
        <x:v>45537</x:v>
      </x:c>
      <x:c r="S3225" s="4" t="str">
        <x:v>Retained</x:v>
      </x:c>
      <x:c r="T3225" s="10" t="n">
        <x:v>0.310195</x:v>
      </x:c>
      <x:c r="U3225" s="4" t="str">
        <x:v>Excluded / unlabelled</x:v>
      </x:c>
    </x:row>
    <x:row r="3226" ht="34" customHeight="1">
      <x:c r="A3226" s="4" t="str">
        <x:v>RS-03225</x:v>
      </x:c>
      <x:c r="B3226" s="8" t="n">
        <x:v>45478</x:v>
      </x:c>
      <x:c r="C3226" s="4" t="str">
        <x:v>PRJ-005</x:v>
      </x:c>
      <x:c r="D3226" s="4" t="str">
        <x:v>Apartment</x:v>
      </x:c>
      <x:c r="E3226" s="4" t="str">
        <x:v>Booked</x:v>
      </x:c>
      <x:c r="F3226" s="4" t="str">
        <x:v>CUS-03225</x:v>
      </x:c>
      <x:c r="G3226" s="4" t="str">
        <x:v>UNIT-03225</x:v>
      </x:c>
      <x:c r="H3226" s="9" t="n">
        <x:v>22000000</x:v>
      </x:c>
      <x:c r="I3226" s="10" t="n">
        <x:v>0.1</x:v>
      </x:c>
      <x:c r="J3226" s="11" t="n">
        <x:v>0</x:v>
      </x:c>
      <x:c r="K3226" s="11" t="n">
        <x:v>8</x:v>
      </x:c>
      <x:c r="L3226" s="11" t="n">
        <x:v>1</x:v>
      </x:c>
      <x:c r="M3226" s="9" t="n">
        <x:f>ROUND(H3226*(1-I3226),2)</x:f>
        <x:v>19800000</x:v>
      </x:c>
      <x:c r="N3226" s="4" t="str">
        <x:v>Sales head</x:v>
      </x:c>
      <x:c r="O3226" s="4" t="str">
        <x:v>BOOK-03225</x:v>
      </x:c>
      <x:c r="P3226" s="9" t="n">
        <x:v>4950000</x:v>
      </x:c>
      <x:c r="Q3226" s="11" t="n">
        <x:v>0</x:v>
      </x:c>
      <x:c r="R3226" s="8" t="n">
        <x:v>45538</x:v>
      </x:c>
      <x:c r="S3226" s="4" t="str">
        <x:v>Retained</x:v>
      </x:c>
      <x:c r="T3226" s="10" t="n">
        <x:v>0.145833</x:v>
      </x:c>
      <x:c r="U3226" s="4" t="str">
        <x:v>Excluded / unlabelled</x:v>
      </x:c>
    </x:row>
    <x:row r="3227" ht="34" customHeight="1">
      <x:c r="A3227" s="4" t="str">
        <x:v>RS-03226</x:v>
      </x:c>
      <x:c r="B3227" s="8" t="n">
        <x:v>45479</x:v>
      </x:c>
      <x:c r="C3227" s="4" t="str">
        <x:v>PRJ-006</x:v>
      </x:c>
      <x:c r="D3227" s="4" t="str">
        <x:v>Retail</x:v>
      </x:c>
      <x:c r="E3227" s="4" t="str">
        <x:v>Booked</x:v>
      </x:c>
      <x:c r="F3227" s="4" t="str">
        <x:v>CUS-03226</x:v>
      </x:c>
      <x:c r="G3227" s="4" t="str">
        <x:v>UNIT-03226</x:v>
      </x:c>
      <x:c r="H3227" s="9" t="n">
        <x:v>24800000</x:v>
      </x:c>
      <x:c r="I3227" s="10" t="n">
        <x:v>0.1</x:v>
      </x:c>
      <x:c r="J3227" s="11" t="n">
        <x:v>9</x:v>
      </x:c>
      <x:c r="K3227" s="11" t="n">
        <x:v>1</x:v>
      </x:c>
      <x:c r="L3227" s="11" t="n">
        <x:v>0</x:v>
      </x:c>
      <x:c r="M3227" s="9" t="n">
        <x:f>ROUND(H3227*(1-I3227),2)</x:f>
        <x:v>22320000</x:v>
      </x:c>
      <x:c r="N3227" s="4" t="str">
        <x:v>Sales head</x:v>
      </x:c>
      <x:c r="O3227" s="4" t="str">
        <x:v>BOOK-03226</x:v>
      </x:c>
      <x:c r="P3227" s="9" t="n">
        <x:v>5580000</x:v>
      </x:c>
      <x:c r="Q3227" s="11" t="n">
        <x:v>0</x:v>
      </x:c>
      <x:c r="R3227" s="8" t="n">
        <x:v>45539</x:v>
      </x:c>
      <x:c r="S3227" s="4" t="str">
        <x:v>Retained</x:v>
      </x:c>
      <x:c r="T3227" s="10" t="n">
        <x:v>0.310195</x:v>
      </x:c>
      <x:c r="U3227" s="4" t="str">
        <x:v>Excluded / unlabelled</x:v>
      </x:c>
    </x:row>
    <x:row r="3228" ht="34" customHeight="1">
      <x:c r="A3228" s="4" t="str">
        <x:v>RS-03227</x:v>
      </x:c>
      <x:c r="B3228" s="8" t="n">
        <x:v>45480</x:v>
      </x:c>
      <x:c r="C3228" s="4" t="str">
        <x:v>PRJ-007</x:v>
      </x:c>
      <x:c r="D3228" s="4" t="str">
        <x:v>Retail</x:v>
      </x:c>
      <x:c r="E3228" s="4" t="str">
        <x:v>Agreement signed</x:v>
      </x:c>
      <x:c r="F3228" s="4" t="str">
        <x:v>CUS-03227</x:v>
      </x:c>
      <x:c r="G3228" s="4" t="str">
        <x:v>UNIT-03227</x:v>
      </x:c>
      <x:c r="H3228" s="9" t="n">
        <x:v>16300000</x:v>
      </x:c>
      <x:c r="I3228" s="10" t="n">
        <x:v>0.06</x:v>
      </x:c>
      <x:c r="J3228" s="11" t="n">
        <x:v>2</x:v>
      </x:c>
      <x:c r="K3228" s="11" t="n">
        <x:v>0</x:v>
      </x:c>
      <x:c r="L3228" s="11" t="n">
        <x:v>0</x:v>
      </x:c>
      <x:c r="M3228" s="9" t="n">
        <x:f>ROUND(H3228*(1-I3228),2)</x:f>
        <x:v>15322000</x:v>
      </x:c>
      <x:c r="N3228" s="4" t="str">
        <x:v>Sales manager</x:v>
      </x:c>
      <x:c r="O3228" s="4" t="str">
        <x:v>BOOK-03227</x:v>
      </x:c>
      <x:c r="P3228" s="9" t="n">
        <x:v>7661000</x:v>
      </x:c>
      <x:c r="Q3228" s="11" t="n">
        <x:v>0</x:v>
      </x:c>
      <x:c r="R3228" s="8" t="n">
        <x:v>45540</x:v>
      </x:c>
      <x:c r="S3228" s="4" t="str">
        <x:v>Retained</x:v>
      </x:c>
      <x:c r="T3228" s="10" t="n">
        <x:v>0.276923</x:v>
      </x:c>
      <x:c r="U3228" s="4" t="str">
        <x:v>Excluded / unlabelled</x:v>
      </x:c>
    </x:row>
    <x:row r="3229" ht="34" customHeight="1">
      <x:c r="A3229" s="4" t="str">
        <x:v>RS-03228</x:v>
      </x:c>
      <x:c r="B3229" s="8" t="n">
        <x:v>45481</x:v>
      </x:c>
      <x:c r="C3229" s="4" t="str">
        <x:v>PRJ-008</x:v>
      </x:c>
      <x:c r="D3229" s="4" t="str">
        <x:v>Villa</x:v>
      </x:c>
      <x:c r="E3229" s="4" t="str">
        <x:v>Agreement signed</x:v>
      </x:c>
      <x:c r="F3229" s="4" t="str">
        <x:v>CUS-03228</x:v>
      </x:c>
      <x:c r="G3229" s="4" t="str">
        <x:v>UNIT-03228</x:v>
      </x:c>
      <x:c r="H3229" s="9" t="n">
        <x:v>6000000</x:v>
      </x:c>
      <x:c r="I3229" s="10" t="n">
        <x:v>0.07</x:v>
      </x:c>
      <x:c r="J3229" s="11" t="n">
        <x:v>2</x:v>
      </x:c>
      <x:c r="K3229" s="11" t="n">
        <x:v>2</x:v>
      </x:c>
      <x:c r="L3229" s="11" t="n">
        <x:v>0</x:v>
      </x:c>
      <x:c r="M3229" s="9" t="n">
        <x:f>ROUND(H3229*(1-I3229),2)</x:f>
        <x:v>5580000</x:v>
      </x:c>
      <x:c r="N3229" s="4" t="str">
        <x:v>Sales manager</x:v>
      </x:c>
      <x:c r="O3229" s="4" t="str">
        <x:v>BOOK-03228</x:v>
      </x:c>
      <x:c r="P3229" s="9" t="n">
        <x:v>558000</x:v>
      </x:c>
      <x:c r="Q3229" s="11" t="n">
        <x:v>0</x:v>
      </x:c>
      <x:c r="R3229" s="8" t="n">
        <x:v>45541</x:v>
      </x:c>
      <x:c r="S3229" s="4" t="str">
        <x:v>Retained</x:v>
      </x:c>
      <x:c r="T3229" s="10" t="n">
        <x:v>0.204152</x:v>
      </x:c>
      <x:c r="U3229" s="4" t="str">
        <x:v>Excluded / unlabelled</x:v>
      </x:c>
    </x:row>
    <x:row r="3230" ht="34" customHeight="1">
      <x:c r="A3230" s="4" t="str">
        <x:v>RS-03229</x:v>
      </x:c>
      <x:c r="B3230" s="8" t="n">
        <x:v>45482</x:v>
      </x:c>
      <x:c r="C3230" s="4" t="str">
        <x:v>PRJ-009</x:v>
      </x:c>
      <x:c r="D3230" s="4" t="str">
        <x:v>Villa</x:v>
      </x:c>
      <x:c r="E3230" s="4" t="str">
        <x:v>Reserved</x:v>
      </x:c>
      <x:c r="F3230" s="4" t="str">
        <x:v>CUS-03229</x:v>
      </x:c>
      <x:c r="G3230" s="4" t="str">
        <x:v>UNIT-03229</x:v>
      </x:c>
      <x:c r="H3230" s="9" t="n">
        <x:v>18400000</x:v>
      </x:c>
      <x:c r="I3230" s="10" t="n">
        <x:v>0.11</x:v>
      </x:c>
      <x:c r="J3230" s="11" t="n">
        <x:v>0</x:v>
      </x:c>
      <x:c r="K3230" s="11" t="n">
        <x:v>8</x:v>
      </x:c>
      <x:c r="L3230" s="11" t="n">
        <x:v>0</x:v>
      </x:c>
      <x:c r="M3230" s="9" t="n">
        <x:f>ROUND(H3230*(1-I3230),2)</x:f>
        <x:v>16376000</x:v>
      </x:c>
      <x:c r="N3230" s="4" t="str">
        <x:v>Sales head</x:v>
      </x:c>
      <x:c r="O3230" s="4"/>
      <x:c r="P3230" s="9" t="n">
        <x:v>0</x:v>
      </x:c>
      <x:c r="Q3230" s="11" t="n">
        <x:v>0</x:v>
      </x:c>
      <x:c r="R3230" s="8" t="n">
        <x:v>45542</x:v>
      </x:c>
      <x:c r="S3230" s="4" t="str">
        <x:v>Retained</x:v>
      </x:c>
      <x:c r="T3230" s="10" t="n">
        <x:v>0.145833</x:v>
      </x:c>
      <x:c r="U3230" s="4" t="str">
        <x:v>Excluded / unlabelled</x:v>
      </x:c>
    </x:row>
    <x:row r="3231" ht="34" customHeight="1">
      <x:c r="A3231" s="4" t="str">
        <x:v>RS-03230</x:v>
      </x:c>
      <x:c r="B3231" s="8" t="n">
        <x:v>45483</x:v>
      </x:c>
      <x:c r="C3231" s="4" t="str">
        <x:v>PRJ-010</x:v>
      </x:c>
      <x:c r="D3231" s="4" t="str">
        <x:v>Retail</x:v>
      </x:c>
      <x:c r="E3231" s="4" t="str">
        <x:v>Booked</x:v>
      </x:c>
      <x:c r="F3231" s="4" t="str">
        <x:v>CUS-03230</x:v>
      </x:c>
      <x:c r="G3231" s="4" t="str">
        <x:v>UNIT-03230</x:v>
      </x:c>
      <x:c r="H3231" s="9" t="n">
        <x:v>13700000</x:v>
      </x:c>
      <x:c r="I3231" s="10" t="n">
        <x:v>0.04</x:v>
      </x:c>
      <x:c r="J3231" s="11" t="n">
        <x:v>9</x:v>
      </x:c>
      <x:c r="K3231" s="11" t="n">
        <x:v>7</x:v>
      </x:c>
      <x:c r="L3231" s="11" t="n">
        <x:v>0</x:v>
      </x:c>
      <x:c r="M3231" s="9" t="n">
        <x:f>ROUND(H3231*(1-I3231),2)</x:f>
        <x:v>13152000</x:v>
      </x:c>
      <x:c r="N3231" s="4" t="str">
        <x:v>Sales manager</x:v>
      </x:c>
      <x:c r="O3231" s="4" t="str">
        <x:v>BOOK-03230</x:v>
      </x:c>
      <x:c r="P3231" s="9" t="n">
        <x:v>1315200</x:v>
      </x:c>
      <x:c r="Q3231" s="11" t="n">
        <x:v>0</x:v>
      </x:c>
      <x:c r="R3231" s="8" t="n">
        <x:v>45543</x:v>
      </x:c>
      <x:c r="S3231" s="4" t="str">
        <x:v>Retained</x:v>
      </x:c>
      <x:c r="T3231" s="10" t="n">
        <x:v>0.310195</x:v>
      </x:c>
      <x:c r="U3231" s="4" t="str">
        <x:v>Excluded / unlabelled</x:v>
      </x:c>
    </x:row>
    <x:row r="3232" ht="34" customHeight="1">
      <x:c r="A3232" s="4" t="str">
        <x:v>RS-03231</x:v>
      </x:c>
      <x:c r="B3232" s="8" t="n">
        <x:v>45484</x:v>
      </x:c>
      <x:c r="C3232" s="4" t="str">
        <x:v>PRJ-011</x:v>
      </x:c>
      <x:c r="D3232" s="4" t="str">
        <x:v>Villa</x:v>
      </x:c>
      <x:c r="E3232" s="4" t="str">
        <x:v>Cancelled</x:v>
      </x:c>
      <x:c r="F3232" s="4" t="str">
        <x:v>CUS-03231</x:v>
      </x:c>
      <x:c r="G3232" s="4" t="str">
        <x:v>UNIT-03231</x:v>
      </x:c>
      <x:c r="H3232" s="9" t="n">
        <x:v>22700000</x:v>
      </x:c>
      <x:c r="I3232" s="10" t="n">
        <x:v>0.12</x:v>
      </x:c>
      <x:c r="J3232" s="11" t="n">
        <x:v>11</x:v>
      </x:c>
      <x:c r="K3232" s="11" t="n">
        <x:v>6</x:v>
      </x:c>
      <x:c r="L3232" s="11" t="n">
        <x:v>0</x:v>
      </x:c>
      <x:c r="M3232" s="9" t="n">
        <x:f>ROUND(H3232*(1-I3232),2)</x:f>
        <x:v>19976000</x:v>
      </x:c>
      <x:c r="N3232" s="4" t="str">
        <x:v>Sales head</x:v>
      </x:c>
      <x:c r="O3232" s="4"/>
      <x:c r="P3232" s="9" t="n">
        <x:v>0</x:v>
      </x:c>
      <x:c r="Q3232" s="11" t="n">
        <x:v>1</x:v>
      </x:c>
      <x:c r="R3232" s="8" t="n">
        <x:v>45544</x:v>
      </x:c>
      <x:c r="S3232" s="4" t="str">
        <x:v>Lost / cancelled</x:v>
      </x:c>
      <x:c r="T3232" s="10" t="n">
        <x:v>0.351536</x:v>
      </x:c>
      <x:c r="U3232" s="4" t="str">
        <x:v>Excluded / unlabelled</x:v>
      </x:c>
    </x:row>
    <x:row r="3233" ht="34" customHeight="1">
      <x:c r="A3233" s="4" t="str">
        <x:v>RS-03232</x:v>
      </x:c>
      <x:c r="B3233" s="8" t="n">
        <x:v>45485</x:v>
      </x:c>
      <x:c r="C3233" s="4" t="str">
        <x:v>PRJ-012</x:v>
      </x:c>
      <x:c r="D3233" s="4" t="str">
        <x:v>Retail</x:v>
      </x:c>
      <x:c r="E3233" s="4" t="str">
        <x:v>Enquiry</x:v>
      </x:c>
      <x:c r="F3233" s="4" t="str">
        <x:v>CUS-03232</x:v>
      </x:c>
      <x:c r="G3233" s="4" t="str">
        <x:v>UNIT-03232</x:v>
      </x:c>
      <x:c r="H3233" s="9" t="n">
        <x:v>8400000</x:v>
      </x:c>
      <x:c r="I3233" s="10" t="n">
        <x:v>0.08</x:v>
      </x:c>
      <x:c r="J3233" s="11" t="n">
        <x:v>0</x:v>
      </x:c>
      <x:c r="K3233" s="11" t="n">
        <x:v>2</x:v>
      </x:c>
      <x:c r="L3233" s="11" t="n">
        <x:v>0</x:v>
      </x:c>
      <x:c r="M3233" s="9" t="n">
        <x:f>ROUND(H3233*(1-I3233),2)</x:f>
        <x:v>7728000</x:v>
      </x:c>
      <x:c r="N3233" s="4" t="str">
        <x:v>Sales head</x:v>
      </x:c>
      <x:c r="O3233" s="4"/>
      <x:c r="P3233" s="9" t="n">
        <x:v>0</x:v>
      </x:c>
      <x:c r="Q3233" s="11" t="n">
        <x:v>0</x:v>
      </x:c>
      <x:c r="R3233" s="8" t="n">
        <x:v>45545</x:v>
      </x:c>
      <x:c r="S3233" s="4" t="str">
        <x:v>Retained</x:v>
      </x:c>
      <x:c r="T3233" s="10" t="n">
        <x:v>0.204152</x:v>
      </x:c>
      <x:c r="U3233" s="4" t="str">
        <x:v>Excluded / unlabelled</x:v>
      </x:c>
    </x:row>
    <x:row r="3234" ht="34" customHeight="1">
      <x:c r="A3234" s="4" t="str">
        <x:v>RS-03233</x:v>
      </x:c>
      <x:c r="B3234" s="8" t="n">
        <x:v>45486</x:v>
      </x:c>
      <x:c r="C3234" s="4" t="str">
        <x:v>PRJ-013</x:v>
      </x:c>
      <x:c r="D3234" s="4" t="str">
        <x:v>Villa</x:v>
      </x:c>
      <x:c r="E3234" s="4" t="str">
        <x:v>Handed over</x:v>
      </x:c>
      <x:c r="F3234" s="4" t="str">
        <x:v>CUS-03233</x:v>
      </x:c>
      <x:c r="G3234" s="4" t="str">
        <x:v>UNIT-03233</x:v>
      </x:c>
      <x:c r="H3234" s="9" t="n">
        <x:v>17200000</x:v>
      </x:c>
      <x:c r="I3234" s="10" t="n">
        <x:v>0.11</x:v>
      </x:c>
      <x:c r="J3234" s="11" t="n">
        <x:v>11</x:v>
      </x:c>
      <x:c r="K3234" s="11" t="n">
        <x:v>1</x:v>
      </x:c>
      <x:c r="L3234" s="11" t="n">
        <x:v>1</x:v>
      </x:c>
      <x:c r="M3234" s="9" t="n">
        <x:f>ROUND(H3234*(1-I3234),2)</x:f>
        <x:v>15308000</x:v>
      </x:c>
      <x:c r="N3234" s="4" t="str">
        <x:v>Sales head</x:v>
      </x:c>
      <x:c r="O3234" s="4" t="str">
        <x:v>BOOK-03233</x:v>
      </x:c>
      <x:c r="P3234" s="9" t="n">
        <x:v>3827000</x:v>
      </x:c>
      <x:c r="Q3234" s="11" t="n">
        <x:v>0</x:v>
      </x:c>
      <x:c r="R3234" s="8" t="n">
        <x:v>45546</x:v>
      </x:c>
      <x:c r="S3234" s="4" t="str">
        <x:v>Retained</x:v>
      </x:c>
      <x:c r="T3234" s="10" t="n">
        <x:v>0.351536</x:v>
      </x:c>
      <x:c r="U3234" s="4" t="str">
        <x:v>Excluded / unlabelled</x:v>
      </x:c>
    </x:row>
    <x:row r="3235" ht="34" customHeight="1">
      <x:c r="A3235" s="4" t="str">
        <x:v>RS-03234</x:v>
      </x:c>
      <x:c r="B3235" s="8" t="n">
        <x:v>45487</x:v>
      </x:c>
      <x:c r="C3235" s="4" t="str">
        <x:v>PRJ-014</x:v>
      </x:c>
      <x:c r="D3235" s="4" t="str">
        <x:v>Apartment</x:v>
      </x:c>
      <x:c r="E3235" s="4" t="str">
        <x:v>Agreement signed</x:v>
      </x:c>
      <x:c r="F3235" s="4" t="str">
        <x:v>CUS-03234</x:v>
      </x:c>
      <x:c r="G3235" s="4" t="str">
        <x:v>UNIT-03234</x:v>
      </x:c>
      <x:c r="H3235" s="9" t="n">
        <x:v>6900000</x:v>
      </x:c>
      <x:c r="I3235" s="10" t="n">
        <x:v>0.07</x:v>
      </x:c>
      <x:c r="J3235" s="11" t="n">
        <x:v>3</x:v>
      </x:c>
      <x:c r="K3235" s="11" t="n">
        <x:v>0</x:v>
      </x:c>
      <x:c r="L3235" s="11" t="n">
        <x:v>0</x:v>
      </x:c>
      <x:c r="M3235" s="9" t="n">
        <x:f>ROUND(H3235*(1-I3235),2)</x:f>
        <x:v>6417000</x:v>
      </x:c>
      <x:c r="N3235" s="4" t="str">
        <x:v>Sales manager</x:v>
      </x:c>
      <x:c r="O3235" s="4" t="str">
        <x:v>BOOK-03234</x:v>
      </x:c>
      <x:c r="P3235" s="9" t="n">
        <x:v>3208500</x:v>
      </x:c>
      <x:c r="Q3235" s="11" t="n">
        <x:v>0</x:v>
      </x:c>
      <x:c r="R3235" s="8" t="n">
        <x:v>45547</x:v>
      </x:c>
      <x:c r="S3235" s="4" t="str">
        <x:v>Retained</x:v>
      </x:c>
      <x:c r="T3235" s="10" t="n">
        <x:v>0.276923</x:v>
      </x:c>
      <x:c r="U3235" s="4" t="str">
        <x:v>Excluded / unlabelled</x:v>
      </x:c>
    </x:row>
    <x:row r="3236" ht="34" customHeight="1">
      <x:c r="A3236" s="4" t="str">
        <x:v>RS-03235</x:v>
      </x:c>
      <x:c r="B3236" s="8" t="n">
        <x:v>45488</x:v>
      </x:c>
      <x:c r="C3236" s="4" t="str">
        <x:v>PRJ-015</x:v>
      </x:c>
      <x:c r="D3236" s="4" t="str">
        <x:v>Office</x:v>
      </x:c>
      <x:c r="E3236" s="4" t="str">
        <x:v>Cancelled</x:v>
      </x:c>
      <x:c r="F3236" s="4" t="str">
        <x:v>CUS-03235</x:v>
      </x:c>
      <x:c r="G3236" s="4" t="str">
        <x:v>UNIT-03235</x:v>
      </x:c>
      <x:c r="H3236" s="9" t="n">
        <x:v>11200000</x:v>
      </x:c>
      <x:c r="I3236" s="10" t="n">
        <x:v>0.1</x:v>
      </x:c>
      <x:c r="J3236" s="11" t="n">
        <x:v>1</x:v>
      </x:c>
      <x:c r="K3236" s="11" t="n">
        <x:v>5</x:v>
      </x:c>
      <x:c r="L3236" s="11" t="n">
        <x:v>1</x:v>
      </x:c>
      <x:c r="M3236" s="9" t="n">
        <x:f>ROUND(H3236*(1-I3236),2)</x:f>
        <x:v>10080000</x:v>
      </x:c>
      <x:c r="N3236" s="4" t="str">
        <x:v>Sales head</x:v>
      </x:c>
      <x:c r="O3236" s="4"/>
      <x:c r="P3236" s="9" t="n">
        <x:v>0</x:v>
      </x:c>
      <x:c r="Q3236" s="11" t="n">
        <x:v>1</x:v>
      </x:c>
      <x:c r="R3236" s="8" t="n">
        <x:v>45548</x:v>
      </x:c>
      <x:c r="S3236" s="4" t="str">
        <x:v>Lost / cancelled</x:v>
      </x:c>
      <x:c r="T3236" s="10" t="n">
        <x:v>0.145833</x:v>
      </x:c>
      <x:c r="U3236" s="4" t="str">
        <x:v>Excluded / unlabelled</x:v>
      </x:c>
    </x:row>
    <x:row r="3237" ht="34" customHeight="1">
      <x:c r="A3237" s="4" t="str">
        <x:v>RS-03236</x:v>
      </x:c>
      <x:c r="B3237" s="8" t="n">
        <x:v>45489</x:v>
      </x:c>
      <x:c r="C3237" s="4" t="str">
        <x:v>PRJ-016</x:v>
      </x:c>
      <x:c r="D3237" s="4" t="str">
        <x:v>Villa</x:v>
      </x:c>
      <x:c r="E3237" s="4" t="str">
        <x:v>Enquiry</x:v>
      </x:c>
      <x:c r="F3237" s="4" t="str">
        <x:v>CUS-03236</x:v>
      </x:c>
      <x:c r="G3237" s="4" t="str">
        <x:v>UNIT-03236</x:v>
      </x:c>
      <x:c r="H3237" s="9" t="n">
        <x:v>17700000</x:v>
      </x:c>
      <x:c r="I3237" s="10" t="n">
        <x:v>0.02</x:v>
      </x:c>
      <x:c r="J3237" s="11" t="n">
        <x:v>2</x:v>
      </x:c>
      <x:c r="K3237" s="11" t="n">
        <x:v>4</x:v>
      </x:c>
      <x:c r="L3237" s="11" t="n">
        <x:v>1</x:v>
      </x:c>
      <x:c r="M3237" s="9" t="n">
        <x:f>ROUND(H3237*(1-I3237),2)</x:f>
        <x:v>17346000</x:v>
      </x:c>
      <x:c r="N3237" s="4" t="str">
        <x:v>Sales manager</x:v>
      </x:c>
      <x:c r="O3237" s="4"/>
      <x:c r="P3237" s="9" t="n">
        <x:v>0</x:v>
      </x:c>
      <x:c r="Q3237" s="11" t="n">
        <x:v>1</x:v>
      </x:c>
      <x:c r="R3237" s="8" t="n">
        <x:v>45549</x:v>
      </x:c>
      <x:c r="S3237" s="4" t="str">
        <x:v>Lost / cancelled</x:v>
      </x:c>
      <x:c r="T3237" s="10" t="n">
        <x:v>0.171717</x:v>
      </x:c>
      <x:c r="U3237" s="4" t="str">
        <x:v>Excluded / unlabelled</x:v>
      </x:c>
    </x:row>
    <x:row r="3238" ht="34" customHeight="1">
      <x:c r="A3238" s="4" t="str">
        <x:v>RS-03237</x:v>
      </x:c>
      <x:c r="B3238" s="8" t="n">
        <x:v>45490</x:v>
      </x:c>
      <x:c r="C3238" s="4" t="str">
        <x:v>PRJ-017</x:v>
      </x:c>
      <x:c r="D3238" s="4" t="str">
        <x:v>Office</x:v>
      </x:c>
      <x:c r="E3238" s="4" t="str">
        <x:v>Handed over</x:v>
      </x:c>
      <x:c r="F3238" s="4" t="str">
        <x:v>CUS-03237</x:v>
      </x:c>
      <x:c r="G3238" s="4" t="str">
        <x:v>UNIT-03237</x:v>
      </x:c>
      <x:c r="H3238" s="9" t="n">
        <x:v>6000000</x:v>
      </x:c>
      <x:c r="I3238" s="10" t="n">
        <x:v>0.1</x:v>
      </x:c>
      <x:c r="J3238" s="11" t="n">
        <x:v>9</x:v>
      </x:c>
      <x:c r="K3238" s="11" t="n">
        <x:v>6</x:v>
      </x:c>
      <x:c r="L3238" s="11" t="n">
        <x:v>0</x:v>
      </x:c>
      <x:c r="M3238" s="9" t="n">
        <x:f>ROUND(H3238*(1-I3238),2)</x:f>
        <x:v>5400000</x:v>
      </x:c>
      <x:c r="N3238" s="4" t="str">
        <x:v>Sales head</x:v>
      </x:c>
      <x:c r="O3238" s="4" t="str">
        <x:v>BOOK-03237</x:v>
      </x:c>
      <x:c r="P3238" s="9" t="n">
        <x:v>1350000</x:v>
      </x:c>
      <x:c r="Q3238" s="11" t="n">
        <x:v>0</x:v>
      </x:c>
      <x:c r="R3238" s="8" t="n">
        <x:v>45550</x:v>
      </x:c>
      <x:c r="S3238" s="4" t="str">
        <x:v>Retained</x:v>
      </x:c>
      <x:c r="T3238" s="10" t="n">
        <x:v>0.310195</x:v>
      </x:c>
      <x:c r="U3238" s="4" t="str">
        <x:v>Excluded / unlabelled</x:v>
      </x:c>
    </x:row>
    <x:row r="3239" ht="34" customHeight="1">
      <x:c r="A3239" s="4" t="str">
        <x:v>RS-03238</x:v>
      </x:c>
      <x:c r="B3239" s="8" t="n">
        <x:v>45491</x:v>
      </x:c>
      <x:c r="C3239" s="4" t="str">
        <x:v>PRJ-018</x:v>
      </x:c>
      <x:c r="D3239" s="4" t="str">
        <x:v>Office</x:v>
      </x:c>
      <x:c r="E3239" s="4" t="str">
        <x:v>Enquiry</x:v>
      </x:c>
      <x:c r="F3239" s="4" t="str">
        <x:v>CUS-03238</x:v>
      </x:c>
      <x:c r="G3239" s="4" t="str">
        <x:v>UNIT-03238</x:v>
      </x:c>
      <x:c r="H3239" s="9" t="n">
        <x:v>22200000</x:v>
      </x:c>
      <x:c r="I3239" s="10" t="n">
        <x:v>0.05</x:v>
      </x:c>
      <x:c r="J3239" s="11" t="n">
        <x:v>11</x:v>
      </x:c>
      <x:c r="K3239" s="11" t="n">
        <x:v>2</x:v>
      </x:c>
      <x:c r="L3239" s="11" t="n">
        <x:v>0</x:v>
      </x:c>
      <x:c r="M3239" s="9" t="n">
        <x:f>ROUND(H3239*(1-I3239),2)</x:f>
        <x:v>21090000</x:v>
      </x:c>
      <x:c r="N3239" s="4" t="str">
        <x:v>Sales manager</x:v>
      </x:c>
      <x:c r="O3239" s="4"/>
      <x:c r="P3239" s="9" t="n">
        <x:v>0</x:v>
      </x:c>
      <x:c r="Q3239" s="11" t="n">
        <x:v>0</x:v>
      </x:c>
      <x:c r="R3239" s="8" t="n">
        <x:v>45551</x:v>
      </x:c>
      <x:c r="S3239" s="4" t="str">
        <x:v>Retained</x:v>
      </x:c>
      <x:c r="T3239" s="10" t="n">
        <x:v>0.351536</x:v>
      </x:c>
      <x:c r="U3239" s="4" t="str">
        <x:v>Excluded / unlabelled</x:v>
      </x:c>
    </x:row>
    <x:row r="3240" ht="34" customHeight="1">
      <x:c r="A3240" s="4" t="str">
        <x:v>RS-03239</x:v>
      </x:c>
      <x:c r="B3240" s="8" t="n">
        <x:v>45492</x:v>
      </x:c>
      <x:c r="C3240" s="4" t="str">
        <x:v>PRJ-019</x:v>
      </x:c>
      <x:c r="D3240" s="4" t="str">
        <x:v>Apartment</x:v>
      </x:c>
      <x:c r="E3240" s="4" t="str">
        <x:v>Booked</x:v>
      </x:c>
      <x:c r="F3240" s="4" t="str">
        <x:v>CUS-03239</x:v>
      </x:c>
      <x:c r="G3240" s="4" t="str">
        <x:v>UNIT-03239</x:v>
      </x:c>
      <x:c r="H3240" s="9" t="n">
        <x:v>8500000</x:v>
      </x:c>
      <x:c r="I3240" s="10" t="n">
        <x:v>0.1</x:v>
      </x:c>
      <x:c r="J3240" s="11" t="n">
        <x:v>1</x:v>
      </x:c>
      <x:c r="K3240" s="11" t="n">
        <x:v>0</x:v>
      </x:c>
      <x:c r="L3240" s="11" t="n">
        <x:v>0</x:v>
      </x:c>
      <x:c r="M3240" s="9" t="n">
        <x:f>ROUND(H3240*(1-I3240),2)</x:f>
        <x:v>7650000</x:v>
      </x:c>
      <x:c r="N3240" s="4" t="str">
        <x:v>Sales head</x:v>
      </x:c>
      <x:c r="O3240" s="4" t="str">
        <x:v>BOOK-03239</x:v>
      </x:c>
      <x:c r="P3240" s="9" t="n">
        <x:v>7650000</x:v>
      </x:c>
      <x:c r="Q3240" s="11" t="n">
        <x:v>0</x:v>
      </x:c>
      <x:c r="R3240" s="8" t="n">
        <x:v>45552</x:v>
      </x:c>
      <x:c r="S3240" s="4" t="str">
        <x:v>Retained</x:v>
      </x:c>
      <x:c r="T3240" s="10" t="n">
        <x:v>0.276923</x:v>
      </x:c>
      <x:c r="U3240" s="4" t="str">
        <x:v>Excluded / unlabelled</x:v>
      </x:c>
    </x:row>
    <x:row r="3241" ht="34" customHeight="1">
      <x:c r="A3241" s="4" t="str">
        <x:v>RS-03240</x:v>
      </x:c>
      <x:c r="B3241" s="8" t="n">
        <x:v>45493</x:v>
      </x:c>
      <x:c r="C3241" s="4" t="str">
        <x:v>PRJ-020</x:v>
      </x:c>
      <x:c r="D3241" s="4" t="str">
        <x:v>Apartment</x:v>
      </x:c>
      <x:c r="E3241" s="4" t="str">
        <x:v>Reserved</x:v>
      </x:c>
      <x:c r="F3241" s="4" t="str">
        <x:v>CUS-03240</x:v>
      </x:c>
      <x:c r="G3241" s="4" t="str">
        <x:v>UNIT-03240</x:v>
      </x:c>
      <x:c r="H3241" s="9" t="n">
        <x:v>8000000</x:v>
      </x:c>
      <x:c r="I3241" s="10" t="n">
        <x:v>0.04</x:v>
      </x:c>
      <x:c r="J3241" s="11" t="n">
        <x:v>7</x:v>
      </x:c>
      <x:c r="K3241" s="11" t="n">
        <x:v>3</x:v>
      </x:c>
      <x:c r="L3241" s="11" t="n">
        <x:v>0</x:v>
      </x:c>
      <x:c r="M3241" s="9" t="n">
        <x:f>ROUND(H3241*(1-I3241),2)</x:f>
        <x:v>7680000</x:v>
      </x:c>
      <x:c r="N3241" s="4" t="str">
        <x:v>Sales manager</x:v>
      </x:c>
      <x:c r="O3241" s="4"/>
      <x:c r="P3241" s="9" t="n">
        <x:v>0</x:v>
      </x:c>
      <x:c r="Q3241" s="11" t="n">
        <x:v>0</x:v>
      </x:c>
      <x:c r="R3241" s="8" t="n">
        <x:v>45553</x:v>
      </x:c>
      <x:c r="S3241" s="4" t="str">
        <x:v>Retained</x:v>
      </x:c>
      <x:c r="T3241" s="10" t="n">
        <x:v>0.226277</x:v>
      </x:c>
      <x:c r="U3241" s="4" t="str">
        <x:v>Excluded / unlabelled</x:v>
      </x:c>
    </x:row>
    <x:row r="3242" ht="34" customHeight="1">
      <x:c r="A3242" s="4" t="str">
        <x:v>RS-03241</x:v>
      </x:c>
      <x:c r="B3242" s="8" t="n">
        <x:v>45494</x:v>
      </x:c>
      <x:c r="C3242" s="4" t="str">
        <x:v>PRJ-001</x:v>
      </x:c>
      <x:c r="D3242" s="4" t="str">
        <x:v>Retail</x:v>
      </x:c>
      <x:c r="E3242" s="4" t="str">
        <x:v>Cancelled</x:v>
      </x:c>
      <x:c r="F3242" s="4" t="str">
        <x:v>CUS-03241</x:v>
      </x:c>
      <x:c r="G3242" s="4" t="str">
        <x:v>UNIT-03241</x:v>
      </x:c>
      <x:c r="H3242" s="9" t="n">
        <x:v>18600000</x:v>
      </x:c>
      <x:c r="I3242" s="10" t="n">
        <x:v>0.01</x:v>
      </x:c>
      <x:c r="J3242" s="11" t="n">
        <x:v>2</x:v>
      </x:c>
      <x:c r="K3242" s="11" t="n">
        <x:v>2</x:v>
      </x:c>
      <x:c r="L3242" s="11" t="n">
        <x:v>1</x:v>
      </x:c>
      <x:c r="M3242" s="9" t="n">
        <x:f>ROUND(H3242*(1-I3242),2)</x:f>
        <x:v>18414000</x:v>
      </x:c>
      <x:c r="N3242" s="4" t="str">
        <x:v>Sales manager</x:v>
      </x:c>
      <x:c r="O3242" s="4"/>
      <x:c r="P3242" s="9" t="n">
        <x:v>0</x:v>
      </x:c>
      <x:c r="Q3242" s="11" t="n">
        <x:v>1</x:v>
      </x:c>
      <x:c r="R3242" s="8" t="n">
        <x:v>45554</x:v>
      </x:c>
      <x:c r="S3242" s="4" t="str">
        <x:v>Lost / cancelled</x:v>
      </x:c>
      <x:c r="T3242" s="10" t="n">
        <x:v>0.171717</x:v>
      </x:c>
      <x:c r="U3242" s="4" t="str">
        <x:v>Excluded / unlabelled</x:v>
      </x:c>
    </x:row>
    <x:row r="3243" ht="34" customHeight="1">
      <x:c r="A3243" s="4" t="str">
        <x:v>RS-03242</x:v>
      </x:c>
      <x:c r="B3243" s="8" t="n">
        <x:v>45495</x:v>
      </x:c>
      <x:c r="C3243" s="4" t="str">
        <x:v>PRJ-002</x:v>
      </x:c>
      <x:c r="D3243" s="4" t="str">
        <x:v>Apartment</x:v>
      </x:c>
      <x:c r="E3243" s="4" t="str">
        <x:v>Enquiry</x:v>
      </x:c>
      <x:c r="F3243" s="4" t="str">
        <x:v>CUS-03242</x:v>
      </x:c>
      <x:c r="G3243" s="4" t="str">
        <x:v>UNIT-03242</x:v>
      </x:c>
      <x:c r="H3243" s="9" t="n">
        <x:v>7300000</x:v>
      </x:c>
      <x:c r="I3243" s="10" t="n">
        <x:v>0.06</x:v>
      </x:c>
      <x:c r="J3243" s="11" t="n">
        <x:v>0</x:v>
      </x:c>
      <x:c r="K3243" s="11" t="n">
        <x:v>2</x:v>
      </x:c>
      <x:c r="L3243" s="11" t="n">
        <x:v>0</x:v>
      </x:c>
      <x:c r="M3243" s="9" t="n">
        <x:f>ROUND(H3243*(1-I3243),2)</x:f>
        <x:v>6862000</x:v>
      </x:c>
      <x:c r="N3243" s="4" t="str">
        <x:v>Sales manager</x:v>
      </x:c>
      <x:c r="O3243" s="4"/>
      <x:c r="P3243" s="9" t="n">
        <x:v>0</x:v>
      </x:c>
      <x:c r="Q3243" s="11" t="n">
        <x:v>0</x:v>
      </x:c>
      <x:c r="R3243" s="8" t="n">
        <x:v>45555</x:v>
      </x:c>
      <x:c r="S3243" s="4" t="str">
        <x:v>Retained</x:v>
      </x:c>
      <x:c r="T3243" s="10" t="n">
        <x:v>0.204152</x:v>
      </x:c>
      <x:c r="U3243" s="4" t="str">
        <x:v>Excluded / unlabelled</x:v>
      </x:c>
    </x:row>
    <x:row r="3244" ht="34" customHeight="1">
      <x:c r="A3244" s="4" t="str">
        <x:v>RS-03243</x:v>
      </x:c>
      <x:c r="B3244" s="8" t="n">
        <x:v>45496</x:v>
      </x:c>
      <x:c r="C3244" s="4" t="str">
        <x:v>PRJ-003</x:v>
      </x:c>
      <x:c r="D3244" s="4" t="str">
        <x:v>Retail</x:v>
      </x:c>
      <x:c r="E3244" s="4" t="str">
        <x:v>Booked</x:v>
      </x:c>
      <x:c r="F3244" s="4" t="str">
        <x:v>CUS-03243</x:v>
      </x:c>
      <x:c r="G3244" s="4" t="str">
        <x:v>UNIT-03243</x:v>
      </x:c>
      <x:c r="H3244" s="9" t="n">
        <x:v>13500000</x:v>
      </x:c>
      <x:c r="I3244" s="10" t="n">
        <x:v>0.05</x:v>
      </x:c>
      <x:c r="J3244" s="11" t="n">
        <x:v>5</x:v>
      </x:c>
      <x:c r="K3244" s="11" t="n">
        <x:v>5</x:v>
      </x:c>
      <x:c r="L3244" s="11" t="n">
        <x:v>0</x:v>
      </x:c>
      <x:c r="M3244" s="9" t="n">
        <x:f>ROUND(H3244*(1-I3244),2)</x:f>
        <x:v>12825000</x:v>
      </x:c>
      <x:c r="N3244" s="4" t="str">
        <x:v>Sales manager</x:v>
      </x:c>
      <x:c r="O3244" s="4" t="str">
        <x:v>BOOK-03243</x:v>
      </x:c>
      <x:c r="P3244" s="9" t="n">
        <x:v>3206250</x:v>
      </x:c>
      <x:c r="Q3244" s="11" t="n">
        <x:v>0</x:v>
      </x:c>
      <x:c r="R3244" s="8" t="n">
        <x:v>45556</x:v>
      </x:c>
      <x:c r="S3244" s="4" t="str">
        <x:v>Retained</x:v>
      </x:c>
      <x:c r="T3244" s="10" t="n">
        <x:v>0.226277</x:v>
      </x:c>
      <x:c r="U3244" s="4" t="str">
        <x:v>Excluded / unlabelled</x:v>
      </x:c>
    </x:row>
    <x:row r="3245" ht="34" customHeight="1">
      <x:c r="A3245" s="4" t="str">
        <x:v>RS-03244</x:v>
      </x:c>
      <x:c r="B3245" s="8" t="n">
        <x:v>45497</x:v>
      </x:c>
      <x:c r="C3245" s="4" t="str">
        <x:v>PRJ-004</x:v>
      </x:c>
      <x:c r="D3245" s="4" t="str">
        <x:v>Office</x:v>
      </x:c>
      <x:c r="E3245" s="4" t="str">
        <x:v>Cancelled</x:v>
      </x:c>
      <x:c r="F3245" s="4" t="str">
        <x:v>CUS-03244</x:v>
      </x:c>
      <x:c r="G3245" s="4" t="str">
        <x:v>UNIT-03244</x:v>
      </x:c>
      <x:c r="H3245" s="9" t="n">
        <x:v>18400000</x:v>
      </x:c>
      <x:c r="I3245" s="10" t="n">
        <x:v>0.05</x:v>
      </x:c>
      <x:c r="J3245" s="11" t="n">
        <x:v>10</x:v>
      </x:c>
      <x:c r="K3245" s="11" t="n">
        <x:v>7</x:v>
      </x:c>
      <x:c r="L3245" s="11" t="n">
        <x:v>1</x:v>
      </x:c>
      <x:c r="M3245" s="9" t="n">
        <x:f>ROUND(H3245*(1-I3245),2)</x:f>
        <x:v>17480000</x:v>
      </x:c>
      <x:c r="N3245" s="4" t="str">
        <x:v>Sales manager</x:v>
      </x:c>
      <x:c r="O3245" s="4"/>
      <x:c r="P3245" s="9" t="n">
        <x:v>0</x:v>
      </x:c>
      <x:c r="Q3245" s="11" t="n">
        <x:v>1</x:v>
      </x:c>
      <x:c r="R3245" s="8" t="n">
        <x:v>45557</x:v>
      </x:c>
      <x:c r="S3245" s="4" t="str">
        <x:v>Lost / cancelled</x:v>
      </x:c>
      <x:c r="T3245" s="10" t="n">
        <x:v>0.310195</x:v>
      </x:c>
      <x:c r="U3245" s="4" t="str">
        <x:v>Excluded / unlabelled</x:v>
      </x:c>
    </x:row>
    <x:row r="3246" ht="34" customHeight="1">
      <x:c r="A3246" s="4" t="str">
        <x:v>RS-03245</x:v>
      </x:c>
      <x:c r="B3246" s="8" t="n">
        <x:v>45498</x:v>
      </x:c>
      <x:c r="C3246" s="4" t="str">
        <x:v>PRJ-005</x:v>
      </x:c>
      <x:c r="D3246" s="4" t="str">
        <x:v>Villa</x:v>
      </x:c>
      <x:c r="E3246" s="4" t="str">
        <x:v>Handed over</x:v>
      </x:c>
      <x:c r="F3246" s="4" t="str">
        <x:v>CUS-03245</x:v>
      </x:c>
      <x:c r="G3246" s="4" t="str">
        <x:v>UNIT-03245</x:v>
      </x:c>
      <x:c r="H3246" s="9" t="n">
        <x:v>9200000</x:v>
      </x:c>
      <x:c r="I3246" s="10" t="n">
        <x:v>0.07</x:v>
      </x:c>
      <x:c r="J3246" s="11" t="n">
        <x:v>10</x:v>
      </x:c>
      <x:c r="K3246" s="11" t="n">
        <x:v>6</x:v>
      </x:c>
      <x:c r="L3246" s="11" t="n">
        <x:v>1</x:v>
      </x:c>
      <x:c r="M3246" s="9" t="n">
        <x:f>ROUND(H3246*(1-I3246),2)</x:f>
        <x:v>8556000</x:v>
      </x:c>
      <x:c r="N3246" s="4" t="str">
        <x:v>Sales manager</x:v>
      </x:c>
      <x:c r="O3246" s="4" t="str">
        <x:v>BOOK-03245</x:v>
      </x:c>
      <x:c r="P3246" s="9" t="n">
        <x:v>2139000</x:v>
      </x:c>
      <x:c r="Q3246" s="11" t="n">
        <x:v>0</x:v>
      </x:c>
      <x:c r="R3246" s="8" t="n">
        <x:v>45558</x:v>
      </x:c>
      <x:c r="S3246" s="4" t="str">
        <x:v>Retained</x:v>
      </x:c>
      <x:c r="T3246" s="10" t="n">
        <x:v>0.310195</x:v>
      </x:c>
      <x:c r="U3246" s="4" t="str">
        <x:v>Excluded / unlabelled</x:v>
      </x:c>
    </x:row>
    <x:row r="3247" ht="34" customHeight="1">
      <x:c r="A3247" s="4" t="str">
        <x:v>RS-03246</x:v>
      </x:c>
      <x:c r="B3247" s="8" t="n">
        <x:v>45499</x:v>
      </x:c>
      <x:c r="C3247" s="4" t="str">
        <x:v>PRJ-006</x:v>
      </x:c>
      <x:c r="D3247" s="4" t="str">
        <x:v>Retail</x:v>
      </x:c>
      <x:c r="E3247" s="4" t="str">
        <x:v>Handed over</x:v>
      </x:c>
      <x:c r="F3247" s="4" t="str">
        <x:v>CUS-03246</x:v>
      </x:c>
      <x:c r="G3247" s="4" t="str">
        <x:v>UNIT-03246</x:v>
      </x:c>
      <x:c r="H3247" s="9" t="n">
        <x:v>7200000</x:v>
      </x:c>
      <x:c r="I3247" s="10" t="n">
        <x:v>0.08</x:v>
      </x:c>
      <x:c r="J3247" s="11" t="n">
        <x:v>0</x:v>
      </x:c>
      <x:c r="K3247" s="11" t="n">
        <x:v>8</x:v>
      </x:c>
      <x:c r="L3247" s="11" t="n">
        <x:v>1</x:v>
      </x:c>
      <x:c r="M3247" s="9" t="n">
        <x:f>ROUND(H3247*(1-I3247),2)</x:f>
        <x:v>6624000</x:v>
      </x:c>
      <x:c r="N3247" s="4" t="str">
        <x:v>Sales head</x:v>
      </x:c>
      <x:c r="O3247" s="4" t="str">
        <x:v>BOOK-03246</x:v>
      </x:c>
      <x:c r="P3247" s="9" t="n">
        <x:v>3312000</x:v>
      </x:c>
      <x:c r="Q3247" s="11" t="n">
        <x:v>0</x:v>
      </x:c>
      <x:c r="R3247" s="8" t="n">
        <x:v>45559</x:v>
      </x:c>
      <x:c r="S3247" s="4" t="str">
        <x:v>Retained</x:v>
      </x:c>
      <x:c r="T3247" s="10" t="n">
        <x:v>0.204152</x:v>
      </x:c>
      <x:c r="U3247" s="4" t="str">
        <x:v>Excluded / unlabelled</x:v>
      </x:c>
    </x:row>
    <x:row r="3248" ht="34" customHeight="1">
      <x:c r="A3248" s="4" t="str">
        <x:v>RS-03247</x:v>
      </x:c>
      <x:c r="B3248" s="8" t="n">
        <x:v>45500</x:v>
      </x:c>
      <x:c r="C3248" s="4" t="str">
        <x:v>PRJ-007</x:v>
      </x:c>
      <x:c r="D3248" s="4" t="str">
        <x:v>Apartment</x:v>
      </x:c>
      <x:c r="E3248" s="4" t="str">
        <x:v>Agreement signed</x:v>
      </x:c>
      <x:c r="F3248" s="4" t="str">
        <x:v>CUS-03247</x:v>
      </x:c>
      <x:c r="G3248" s="4" t="str">
        <x:v>UNIT-03247</x:v>
      </x:c>
      <x:c r="H3248" s="9" t="n">
        <x:v>14600000</x:v>
      </x:c>
      <x:c r="I3248" s="10" t="n">
        <x:v>0.09</x:v>
      </x:c>
      <x:c r="J3248" s="11" t="n">
        <x:v>8</x:v>
      </x:c>
      <x:c r="K3248" s="11" t="n">
        <x:v>5</x:v>
      </x:c>
      <x:c r="L3248" s="11" t="n">
        <x:v>0</x:v>
      </x:c>
      <x:c r="M3248" s="9" t="n">
        <x:f>ROUND(H3248*(1-I3248),2)</x:f>
        <x:v>13286000</x:v>
      </x:c>
      <x:c r="N3248" s="4" t="str">
        <x:v>Sales head</x:v>
      </x:c>
      <x:c r="O3248" s="4" t="str">
        <x:v>BOOK-03247</x:v>
      </x:c>
      <x:c r="P3248" s="9" t="n">
        <x:v>1328600</x:v>
      </x:c>
      <x:c r="Q3248" s="11" t="n">
        <x:v>0</x:v>
      </x:c>
      <x:c r="R3248" s="8" t="n">
        <x:v>45560</x:v>
      </x:c>
      <x:c r="S3248" s="4" t="str">
        <x:v>Retained</x:v>
      </x:c>
      <x:c r="T3248" s="10" t="n">
        <x:v>0.310195</x:v>
      </x:c>
      <x:c r="U3248" s="4" t="str">
        <x:v>Excluded / unlabelled</x:v>
      </x:c>
    </x:row>
    <x:row r="3249" ht="34" customHeight="1">
      <x:c r="A3249" s="4" t="str">
        <x:v>RS-03248</x:v>
      </x:c>
      <x:c r="B3249" s="8" t="n">
        <x:v>45501</x:v>
      </x:c>
      <x:c r="C3249" s="4" t="str">
        <x:v>PRJ-008</x:v>
      </x:c>
      <x:c r="D3249" s="4" t="str">
        <x:v>Retail</x:v>
      </x:c>
      <x:c r="E3249" s="4" t="str">
        <x:v>Enquiry</x:v>
      </x:c>
      <x:c r="F3249" s="4" t="str">
        <x:v>CUS-03248</x:v>
      </x:c>
      <x:c r="G3249" s="4" t="str">
        <x:v>UNIT-03248</x:v>
      </x:c>
      <x:c r="H3249" s="9" t="n">
        <x:v>8900000</x:v>
      </x:c>
      <x:c r="I3249" s="10" t="n">
        <x:v>0.02</x:v>
      </x:c>
      <x:c r="J3249" s="11" t="n">
        <x:v>6</x:v>
      </x:c>
      <x:c r="K3249" s="11" t="n">
        <x:v>6</x:v>
      </x:c>
      <x:c r="L3249" s="11" t="n">
        <x:v>1</x:v>
      </x:c>
      <x:c r="M3249" s="9" t="n">
        <x:f>ROUND(H3249*(1-I3249),2)</x:f>
        <x:v>8722000</x:v>
      </x:c>
      <x:c r="N3249" s="4" t="str">
        <x:v>Sales manager</x:v>
      </x:c>
      <x:c r="O3249" s="4"/>
      <x:c r="P3249" s="9" t="n">
        <x:v>0</x:v>
      </x:c>
      <x:c r="Q3249" s="11" t="n">
        <x:v>1</x:v>
      </x:c>
      <x:c r="R3249" s="8" t="n">
        <x:v>45561</x:v>
      </x:c>
      <x:c r="S3249" s="4" t="str">
        <x:v>Lost / cancelled</x:v>
      </x:c>
      <x:c r="T3249" s="10" t="n">
        <x:v>0.145299</x:v>
      </x:c>
      <x:c r="U3249" s="4" t="str">
        <x:v>Excluded / unlabelled</x:v>
      </x:c>
    </x:row>
    <x:row r="3250" ht="34" customHeight="1">
      <x:c r="A3250" s="4" t="str">
        <x:v>RS-03249</x:v>
      </x:c>
      <x:c r="B3250" s="8" t="n">
        <x:v>45474</x:v>
      </x:c>
      <x:c r="C3250" s="4" t="str">
        <x:v>PRJ-009</x:v>
      </x:c>
      <x:c r="D3250" s="4" t="str">
        <x:v>Office</x:v>
      </x:c>
      <x:c r="E3250" s="4" t="str">
        <x:v>Enquiry</x:v>
      </x:c>
      <x:c r="F3250" s="4" t="str">
        <x:v>CUS-03249</x:v>
      </x:c>
      <x:c r="G3250" s="4" t="str">
        <x:v>UNIT-03249</x:v>
      </x:c>
      <x:c r="H3250" s="9" t="n">
        <x:v>4800000</x:v>
      </x:c>
      <x:c r="I3250" s="10" t="n">
        <x:v>0.1</x:v>
      </x:c>
      <x:c r="J3250" s="11" t="n">
        <x:v>8</x:v>
      </x:c>
      <x:c r="K3250" s="11" t="n">
        <x:v>1</x:v>
      </x:c>
      <x:c r="L3250" s="11" t="n">
        <x:v>1</x:v>
      </x:c>
      <x:c r="M3250" s="9" t="n">
        <x:f>ROUND(H3250*(1-I3250),2)</x:f>
        <x:v>4320000</x:v>
      </x:c>
      <x:c r="N3250" s="4" t="str">
        <x:v>Sales head</x:v>
      </x:c>
      <x:c r="O3250" s="4"/>
      <x:c r="P3250" s="9" t="n">
        <x:v>0</x:v>
      </x:c>
      <x:c r="Q3250" s="11" t="n">
        <x:v>1</x:v>
      </x:c>
      <x:c r="R3250" s="8" t="n">
        <x:v>45534</x:v>
      </x:c>
      <x:c r="S3250" s="4" t="str">
        <x:v>Lost / cancelled</x:v>
      </x:c>
      <x:c r="T3250" s="10" t="n">
        <x:v>0.310195</x:v>
      </x:c>
      <x:c r="U3250" s="4" t="str">
        <x:v>Excluded / unlabelled</x:v>
      </x:c>
    </x:row>
    <x:row r="3251" ht="34" customHeight="1">
      <x:c r="A3251" s="4" t="str">
        <x:v>RS-03250</x:v>
      </x:c>
      <x:c r="B3251" s="8" t="n">
        <x:v>45475</x:v>
      </x:c>
      <x:c r="C3251" s="4" t="str">
        <x:v>PRJ-010</x:v>
      </x:c>
      <x:c r="D3251" s="4" t="str">
        <x:v>Retail</x:v>
      </x:c>
      <x:c r="E3251" s="4" t="str">
        <x:v>Cancelled</x:v>
      </x:c>
      <x:c r="F3251" s="4" t="str">
        <x:v>CUS-03250</x:v>
      </x:c>
      <x:c r="G3251" s="4" t="str">
        <x:v>UNIT-03250</x:v>
      </x:c>
      <x:c r="H3251" s="9" t="n">
        <x:v>19300000</x:v>
      </x:c>
      <x:c r="I3251" s="10" t="n">
        <x:v>0.04</x:v>
      </x:c>
      <x:c r="J3251" s="11" t="n">
        <x:v>9</x:v>
      </x:c>
      <x:c r="K3251" s="11" t="n">
        <x:v>4</x:v>
      </x:c>
      <x:c r="L3251" s="11" t="n">
        <x:v>0</x:v>
      </x:c>
      <x:c r="M3251" s="9" t="n">
        <x:f>ROUND(H3251*(1-I3251),2)</x:f>
        <x:v>18528000</x:v>
      </x:c>
      <x:c r="N3251" s="4" t="str">
        <x:v>Sales manager</x:v>
      </x:c>
      <x:c r="O3251" s="4"/>
      <x:c r="P3251" s="9" t="n">
        <x:v>0</x:v>
      </x:c>
      <x:c r="Q3251" s="11" t="n">
        <x:v>1</x:v>
      </x:c>
      <x:c r="R3251" s="8" t="n">
        <x:v>45535</x:v>
      </x:c>
      <x:c r="S3251" s="4" t="str">
        <x:v>Lost / cancelled</x:v>
      </x:c>
      <x:c r="T3251" s="10" t="n">
        <x:v>0.310195</x:v>
      </x:c>
      <x:c r="U3251" s="4" t="str">
        <x:v>Excluded / unlabelled</x:v>
      </x:c>
    </x:row>
    <x:row r="3252" ht="34" customHeight="1">
      <x:c r="A3252" s="4" t="str">
        <x:v>RS-03251</x:v>
      </x:c>
      <x:c r="B3252" s="8" t="n">
        <x:v>45476</x:v>
      </x:c>
      <x:c r="C3252" s="4" t="str">
        <x:v>PRJ-011</x:v>
      </x:c>
      <x:c r="D3252" s="4" t="str">
        <x:v>Office</x:v>
      </x:c>
      <x:c r="E3252" s="4" t="str">
        <x:v>Reserved</x:v>
      </x:c>
      <x:c r="F3252" s="4" t="str">
        <x:v>CUS-03251</x:v>
      </x:c>
      <x:c r="G3252" s="4" t="str">
        <x:v>UNIT-03251</x:v>
      </x:c>
      <x:c r="H3252" s="9" t="n">
        <x:v>17700000</x:v>
      </x:c>
      <x:c r="I3252" s="10" t="n">
        <x:v>0.07</x:v>
      </x:c>
      <x:c r="J3252" s="11" t="n">
        <x:v>10</x:v>
      </x:c>
      <x:c r="K3252" s="11" t="n">
        <x:v>10</x:v>
      </x:c>
      <x:c r="L3252" s="11" t="n">
        <x:v>1</x:v>
      </x:c>
      <x:c r="M3252" s="9" t="n">
        <x:f>ROUND(H3252*(1-I3252),2)</x:f>
        <x:v>16461000</x:v>
      </x:c>
      <x:c r="N3252" s="4" t="str">
        <x:v>Sales manager</x:v>
      </x:c>
      <x:c r="O3252" s="4"/>
      <x:c r="P3252" s="9" t="n">
        <x:v>0</x:v>
      </x:c>
      <x:c r="Q3252" s="11" t="n">
        <x:v>0</x:v>
      </x:c>
      <x:c r="R3252" s="8" t="n">
        <x:v>45536</x:v>
      </x:c>
      <x:c r="S3252" s="4" t="str">
        <x:v>Retained</x:v>
      </x:c>
      <x:c r="T3252" s="10" t="n">
        <x:v>0.310195</x:v>
      </x:c>
      <x:c r="U3252" s="4" t="str">
        <x:v>Excluded / unlabelled</x:v>
      </x:c>
    </x:row>
    <x:row r="3253" ht="34" customHeight="1">
      <x:c r="A3253" s="4" t="str">
        <x:v>RS-03252</x:v>
      </x:c>
      <x:c r="B3253" s="8" t="n">
        <x:v>45477</x:v>
      </x:c>
      <x:c r="C3253" s="4" t="str">
        <x:v>PRJ-012</x:v>
      </x:c>
      <x:c r="D3253" s="4" t="str">
        <x:v>Villa</x:v>
      </x:c>
      <x:c r="E3253" s="4" t="str">
        <x:v>Cancelled</x:v>
      </x:c>
      <x:c r="F3253" s="4" t="str">
        <x:v>CUS-03252</x:v>
      </x:c>
      <x:c r="G3253" s="4" t="str">
        <x:v>UNIT-03252</x:v>
      </x:c>
      <x:c r="H3253" s="9" t="n">
        <x:v>24200000</x:v>
      </x:c>
      <x:c r="I3253" s="10" t="n">
        <x:v>0.1</x:v>
      </x:c>
      <x:c r="J3253" s="11" t="n">
        <x:v>4</x:v>
      </x:c>
      <x:c r="K3253" s="11" t="n">
        <x:v>4</x:v>
      </x:c>
      <x:c r="L3253" s="11" t="n">
        <x:v>0</x:v>
      </x:c>
      <x:c r="M3253" s="9" t="n">
        <x:f>ROUND(H3253*(1-I3253),2)</x:f>
        <x:v>21780000</x:v>
      </x:c>
      <x:c r="N3253" s="4" t="str">
        <x:v>Sales head</x:v>
      </x:c>
      <x:c r="O3253" s="4"/>
      <x:c r="P3253" s="9" t="n">
        <x:v>0</x:v>
      </x:c>
      <x:c r="Q3253" s="11" t="n">
        <x:v>1</x:v>
      </x:c>
      <x:c r="R3253" s="8" t="n">
        <x:v>45537</x:v>
      </x:c>
      <x:c r="S3253" s="4" t="str">
        <x:v>Lost / cancelled</x:v>
      </x:c>
      <x:c r="T3253" s="10" t="n">
        <x:v>0.226277</x:v>
      </x:c>
      <x:c r="U3253" s="4" t="str">
        <x:v>Excluded / unlabelled</x:v>
      </x:c>
    </x:row>
    <x:row r="3254" ht="34" customHeight="1">
      <x:c r="A3254" s="4" t="str">
        <x:v>RS-03253</x:v>
      </x:c>
      <x:c r="B3254" s="8" t="n">
        <x:v>45478</x:v>
      </x:c>
      <x:c r="C3254" s="4" t="str">
        <x:v>PRJ-013</x:v>
      </x:c>
      <x:c r="D3254" s="4" t="str">
        <x:v>Retail</x:v>
      </x:c>
      <x:c r="E3254" s="4" t="str">
        <x:v>Reserved</x:v>
      </x:c>
      <x:c r="F3254" s="4" t="str">
        <x:v>CUS-03253</x:v>
      </x:c>
      <x:c r="G3254" s="4" t="str">
        <x:v>UNIT-03253</x:v>
      </x:c>
      <x:c r="H3254" s="9" t="n">
        <x:v>22100000</x:v>
      </x:c>
      <x:c r="I3254" s="10" t="n">
        <x:v>0.01</x:v>
      </x:c>
      <x:c r="J3254" s="11" t="n">
        <x:v>7</x:v>
      </x:c>
      <x:c r="K3254" s="11" t="n">
        <x:v>0</x:v>
      </x:c>
      <x:c r="L3254" s="11" t="n">
        <x:v>0</x:v>
      </x:c>
      <x:c r="M3254" s="9" t="n">
        <x:f>ROUND(H3254*(1-I3254),2)</x:f>
        <x:v>21879000</x:v>
      </x:c>
      <x:c r="N3254" s="4" t="str">
        <x:v>Sales manager</x:v>
      </x:c>
      <x:c r="O3254" s="4"/>
      <x:c r="P3254" s="9" t="n">
        <x:v>0</x:v>
      </x:c>
      <x:c r="Q3254" s="11" t="n">
        <x:v>0</x:v>
      </x:c>
      <x:c r="R3254" s="8" t="n">
        <x:v>45538</x:v>
      </x:c>
      <x:c r="S3254" s="4" t="str">
        <x:v>Retained</x:v>
      </x:c>
      <x:c r="T3254" s="10" t="n">
        <x:v>0.298969</x:v>
      </x:c>
      <x:c r="U3254" s="4" t="str">
        <x:v>Excluded / unlabelled</x:v>
      </x:c>
    </x:row>
    <x:row r="3255" ht="34" customHeight="1">
      <x:c r="A3255" s="4" t="str">
        <x:v>RS-03254</x:v>
      </x:c>
      <x:c r="B3255" s="8" t="n">
        <x:v>45479</x:v>
      </x:c>
      <x:c r="C3255" s="4" t="str">
        <x:v>PRJ-014</x:v>
      </x:c>
      <x:c r="D3255" s="4" t="str">
        <x:v>Apartment</x:v>
      </x:c>
      <x:c r="E3255" s="4" t="str">
        <x:v>Handed over</x:v>
      </x:c>
      <x:c r="F3255" s="4" t="str">
        <x:v>CUS-03254</x:v>
      </x:c>
      <x:c r="G3255" s="4" t="str">
        <x:v>UNIT-03254</x:v>
      </x:c>
      <x:c r="H3255" s="9" t="n">
        <x:v>20400000</x:v>
      </x:c>
      <x:c r="I3255" s="10" t="n">
        <x:v>0.08</x:v>
      </x:c>
      <x:c r="J3255" s="11" t="n">
        <x:v>9</x:v>
      </x:c>
      <x:c r="K3255" s="11" t="n">
        <x:v>6</x:v>
      </x:c>
      <x:c r="L3255" s="11" t="n">
        <x:v>0</x:v>
      </x:c>
      <x:c r="M3255" s="9" t="n">
        <x:f>ROUND(H3255*(1-I3255),2)</x:f>
        <x:v>18768000</x:v>
      </x:c>
      <x:c r="N3255" s="4" t="str">
        <x:v>Sales head</x:v>
      </x:c>
      <x:c r="O3255" s="4" t="str">
        <x:v>BOOK-03254</x:v>
      </x:c>
      <x:c r="P3255" s="9" t="n">
        <x:v>1876800</x:v>
      </x:c>
      <x:c r="Q3255" s="11" t="n">
        <x:v>0</x:v>
      </x:c>
      <x:c r="R3255" s="8" t="n">
        <x:v>45539</x:v>
      </x:c>
      <x:c r="S3255" s="4" t="str">
        <x:v>Retained</x:v>
      </x:c>
      <x:c r="T3255" s="10" t="n">
        <x:v>0.310195</x:v>
      </x:c>
      <x:c r="U3255" s="4" t="str">
        <x:v>Excluded / unlabelled</x:v>
      </x:c>
    </x:row>
    <x:row r="3256" ht="34" customHeight="1">
      <x:c r="A3256" s="4" t="str">
        <x:v>RS-03255</x:v>
      </x:c>
      <x:c r="B3256" s="8" t="n">
        <x:v>45480</x:v>
      </x:c>
      <x:c r="C3256" s="4" t="str">
        <x:v>PRJ-015</x:v>
      </x:c>
      <x:c r="D3256" s="4" t="str">
        <x:v>Villa</x:v>
      </x:c>
      <x:c r="E3256" s="4" t="str">
        <x:v>Booked</x:v>
      </x:c>
      <x:c r="F3256" s="4" t="str">
        <x:v>CUS-03255</x:v>
      </x:c>
      <x:c r="G3256" s="4" t="str">
        <x:v>UNIT-03255</x:v>
      </x:c>
      <x:c r="H3256" s="9" t="n">
        <x:v>9300000</x:v>
      </x:c>
      <x:c r="I3256" s="10" t="n">
        <x:v>0.08</x:v>
      </x:c>
      <x:c r="J3256" s="11" t="n">
        <x:v>1</x:v>
      </x:c>
      <x:c r="K3256" s="11" t="n">
        <x:v>8</x:v>
      </x:c>
      <x:c r="L3256" s="11" t="n">
        <x:v>0</x:v>
      </x:c>
      <x:c r="M3256" s="9" t="n">
        <x:f>ROUND(H3256*(1-I3256),2)</x:f>
        <x:v>8556000</x:v>
      </x:c>
      <x:c r="N3256" s="4" t="str">
        <x:v>Sales head</x:v>
      </x:c>
      <x:c r="O3256" s="4" t="str">
        <x:v>BOOK-03255</x:v>
      </x:c>
      <x:c r="P3256" s="9" t="n">
        <x:v>8556000</x:v>
      </x:c>
      <x:c r="Q3256" s="11" t="n">
        <x:v>0</x:v>
      </x:c>
      <x:c r="R3256" s="8" t="n">
        <x:v>45540</x:v>
      </x:c>
      <x:c r="S3256" s="4" t="str">
        <x:v>Retained</x:v>
      </x:c>
      <x:c r="T3256" s="10" t="n">
        <x:v>0.204152</x:v>
      </x:c>
      <x:c r="U3256" s="4" t="str">
        <x:v>Excluded / unlabelled</x:v>
      </x:c>
    </x:row>
    <x:row r="3257" ht="34" customHeight="1">
      <x:c r="A3257" s="4" t="str">
        <x:v>RS-03256</x:v>
      </x:c>
      <x:c r="B3257" s="8" t="n">
        <x:v>45481</x:v>
      </x:c>
      <x:c r="C3257" s="4" t="str">
        <x:v>PRJ-016</x:v>
      </x:c>
      <x:c r="D3257" s="4" t="str">
        <x:v>Apartment</x:v>
      </x:c>
      <x:c r="E3257" s="4" t="str">
        <x:v>Agreement signed</x:v>
      </x:c>
      <x:c r="F3257" s="4" t="str">
        <x:v>CUS-03256</x:v>
      </x:c>
      <x:c r="G3257" s="4" t="str">
        <x:v>UNIT-03256</x:v>
      </x:c>
      <x:c r="H3257" s="9" t="n">
        <x:v>12500000</x:v>
      </x:c>
      <x:c r="I3257" s="10" t="n">
        <x:v>0.04</x:v>
      </x:c>
      <x:c r="J3257" s="11" t="n">
        <x:v>2</x:v>
      </x:c>
      <x:c r="K3257" s="11" t="n">
        <x:v>4</x:v>
      </x:c>
      <x:c r="L3257" s="11" t="n">
        <x:v>1</x:v>
      </x:c>
      <x:c r="M3257" s="9" t="n">
        <x:f>ROUND(H3257*(1-I3257),2)</x:f>
        <x:v>12000000</x:v>
      </x:c>
      <x:c r="N3257" s="4" t="str">
        <x:v>Sales manager</x:v>
      </x:c>
      <x:c r="O3257" s="4" t="str">
        <x:v>BOOK-03256</x:v>
      </x:c>
      <x:c r="P3257" s="9" t="n">
        <x:v>12000000</x:v>
      </x:c>
      <x:c r="Q3257" s="11" t="n">
        <x:v>0</x:v>
      </x:c>
      <x:c r="R3257" s="8" t="n">
        <x:v>45541</x:v>
      </x:c>
      <x:c r="S3257" s="4" t="str">
        <x:v>Retained</x:v>
      </x:c>
      <x:c r="T3257" s="10" t="n">
        <x:v>0.204152</x:v>
      </x:c>
      <x:c r="U3257" s="4" t="str">
        <x:v>Excluded / unlabelled</x:v>
      </x:c>
    </x:row>
    <x:row r="3258" ht="34" customHeight="1">
      <x:c r="A3258" s="4" t="str">
        <x:v>RS-03257</x:v>
      </x:c>
      <x:c r="B3258" s="8" t="n">
        <x:v>45482</x:v>
      </x:c>
      <x:c r="C3258" s="4" t="str">
        <x:v>PRJ-017</x:v>
      </x:c>
      <x:c r="D3258" s="4" t="str">
        <x:v>Office</x:v>
      </x:c>
      <x:c r="E3258" s="4" t="str">
        <x:v>Handed over</x:v>
      </x:c>
      <x:c r="F3258" s="4" t="str">
        <x:v>CUS-03257</x:v>
      </x:c>
      <x:c r="G3258" s="4" t="str">
        <x:v>UNIT-03257</x:v>
      </x:c>
      <x:c r="H3258" s="9" t="n">
        <x:v>7100000</x:v>
      </x:c>
      <x:c r="I3258" s="10" t="n">
        <x:v>0.07</x:v>
      </x:c>
      <x:c r="J3258" s="11" t="n">
        <x:v>0</x:v>
      </x:c>
      <x:c r="K3258" s="11" t="n">
        <x:v>0</x:v>
      </x:c>
      <x:c r="L3258" s="11" t="n">
        <x:v>1</x:v>
      </x:c>
      <x:c r="M3258" s="9" t="n">
        <x:f>ROUND(H3258*(1-I3258),2)</x:f>
        <x:v>6603000</x:v>
      </x:c>
      <x:c r="N3258" s="4" t="str">
        <x:v>Sales manager</x:v>
      </x:c>
      <x:c r="O3258" s="4" t="str">
        <x:v>BOOK-03257</x:v>
      </x:c>
      <x:c r="P3258" s="9" t="n">
        <x:v>6603000</x:v>
      </x:c>
      <x:c r="Q3258" s="11" t="n">
        <x:v>0</x:v>
      </x:c>
      <x:c r="R3258" s="8" t="n">
        <x:v>45542</x:v>
      </x:c>
      <x:c r="S3258" s="4" t="str">
        <x:v>Retained</x:v>
      </x:c>
      <x:c r="T3258" s="10" t="n">
        <x:v>0.276923</x:v>
      </x:c>
      <x:c r="U3258" s="4" t="str">
        <x:v>Excluded / unlabelled</x:v>
      </x:c>
    </x:row>
    <x:row r="3259" ht="34" customHeight="1">
      <x:c r="A3259" s="4" t="str">
        <x:v>RS-03258</x:v>
      </x:c>
      <x:c r="B3259" s="8" t="n">
        <x:v>45483</x:v>
      </x:c>
      <x:c r="C3259" s="4" t="str">
        <x:v>PRJ-018</x:v>
      </x:c>
      <x:c r="D3259" s="4" t="str">
        <x:v>Retail</x:v>
      </x:c>
      <x:c r="E3259" s="4" t="str">
        <x:v>Agreement signed</x:v>
      </x:c>
      <x:c r="F3259" s="4" t="str">
        <x:v>CUS-03258</x:v>
      </x:c>
      <x:c r="G3259" s="4" t="str">
        <x:v>UNIT-03258</x:v>
      </x:c>
      <x:c r="H3259" s="9" t="n">
        <x:v>14100000</x:v>
      </x:c>
      <x:c r="I3259" s="10" t="n">
        <x:v>0.06</x:v>
      </x:c>
      <x:c r="J3259" s="11" t="n">
        <x:v>3</x:v>
      </x:c>
      <x:c r="K3259" s="11" t="n">
        <x:v>6</x:v>
      </x:c>
      <x:c r="L3259" s="11" t="n">
        <x:v>0</x:v>
      </x:c>
      <x:c r="M3259" s="9" t="n">
        <x:f>ROUND(H3259*(1-I3259),2)</x:f>
        <x:v>13254000</x:v>
      </x:c>
      <x:c r="N3259" s="4" t="str">
        <x:v>Sales manager</x:v>
      </x:c>
      <x:c r="O3259" s="4" t="str">
        <x:v>BOOK-03258</x:v>
      </x:c>
      <x:c r="P3259" s="9" t="n">
        <x:v>6627000</x:v>
      </x:c>
      <x:c r="Q3259" s="11" t="n">
        <x:v>0</x:v>
      </x:c>
      <x:c r="R3259" s="8" t="n">
        <x:v>45543</x:v>
      </x:c>
      <x:c r="S3259" s="4" t="str">
        <x:v>Retained</x:v>
      </x:c>
      <x:c r="T3259" s="10" t="n">
        <x:v>0.204152</x:v>
      </x:c>
      <x:c r="U3259" s="4" t="str">
        <x:v>Excluded / unlabelled</x:v>
      </x:c>
    </x:row>
    <x:row r="3260" ht="34" customHeight="1">
      <x:c r="A3260" s="4" t="str">
        <x:v>RS-03259</x:v>
      </x:c>
      <x:c r="B3260" s="8" t="n">
        <x:v>45484</x:v>
      </x:c>
      <x:c r="C3260" s="4" t="str">
        <x:v>PRJ-019</x:v>
      </x:c>
      <x:c r="D3260" s="4" t="str">
        <x:v>Retail</x:v>
      </x:c>
      <x:c r="E3260" s="4" t="str">
        <x:v>Reserved</x:v>
      </x:c>
      <x:c r="F3260" s="4" t="str">
        <x:v>CUS-03259</x:v>
      </x:c>
      <x:c r="G3260" s="4" t="str">
        <x:v>UNIT-03259</x:v>
      </x:c>
      <x:c r="H3260" s="9" t="n">
        <x:v>18000000</x:v>
      </x:c>
      <x:c r="I3260" s="10" t="n">
        <x:v>0.04</x:v>
      </x:c>
      <x:c r="J3260" s="11" t="n">
        <x:v>8</x:v>
      </x:c>
      <x:c r="K3260" s="11" t="n">
        <x:v>2</x:v>
      </x:c>
      <x:c r="L3260" s="11" t="n">
        <x:v>0</x:v>
      </x:c>
      <x:c r="M3260" s="9" t="n">
        <x:f>ROUND(H3260*(1-I3260),2)</x:f>
        <x:v>17280000</x:v>
      </x:c>
      <x:c r="N3260" s="4" t="str">
        <x:v>Sales manager</x:v>
      </x:c>
      <x:c r="O3260" s="4"/>
      <x:c r="P3260" s="9" t="n">
        <x:v>0</x:v>
      </x:c>
      <x:c r="Q3260" s="11" t="n">
        <x:v>1</x:v>
      </x:c>
      <x:c r="R3260" s="8" t="n">
        <x:v>45544</x:v>
      </x:c>
      <x:c r="S3260" s="4" t="str">
        <x:v>Lost / cancelled</x:v>
      </x:c>
      <x:c r="T3260" s="10" t="n">
        <x:v>0.310195</x:v>
      </x:c>
      <x:c r="U3260" s="4" t="str">
        <x:v>Excluded / unlabelled</x:v>
      </x:c>
    </x:row>
    <x:row r="3261" ht="34" customHeight="1">
      <x:c r="A3261" s="4" t="str">
        <x:v>RS-03260</x:v>
      </x:c>
      <x:c r="B3261" s="8" t="n">
        <x:v>45485</x:v>
      </x:c>
      <x:c r="C3261" s="4" t="str">
        <x:v>PRJ-020</x:v>
      </x:c>
      <x:c r="D3261" s="4" t="str">
        <x:v>Apartment</x:v>
      </x:c>
      <x:c r="E3261" s="4" t="str">
        <x:v>Handed over</x:v>
      </x:c>
      <x:c r="F3261" s="4" t="str">
        <x:v>CUS-03260</x:v>
      </x:c>
      <x:c r="G3261" s="4" t="str">
        <x:v>UNIT-03260</x:v>
      </x:c>
      <x:c r="H3261" s="9" t="n">
        <x:v>10500000</x:v>
      </x:c>
      <x:c r="I3261" s="10" t="n">
        <x:v>0.09</x:v>
      </x:c>
      <x:c r="J3261" s="11" t="n">
        <x:v>9</x:v>
      </x:c>
      <x:c r="K3261" s="11" t="n">
        <x:v>5</x:v>
      </x:c>
      <x:c r="L3261" s="11" t="n">
        <x:v>1</x:v>
      </x:c>
      <x:c r="M3261" s="9" t="n">
        <x:f>ROUND(H3261*(1-I3261),2)</x:f>
        <x:v>9555000</x:v>
      </x:c>
      <x:c r="N3261" s="4" t="str">
        <x:v>Sales head</x:v>
      </x:c>
      <x:c r="O3261" s="4" t="str">
        <x:v>BOOK-03260</x:v>
      </x:c>
      <x:c r="P3261" s="9" t="n">
        <x:v>955500</x:v>
      </x:c>
      <x:c r="Q3261" s="11" t="n">
        <x:v>0</x:v>
      </x:c>
      <x:c r="R3261" s="8" t="n">
        <x:v>45545</x:v>
      </x:c>
      <x:c r="S3261" s="4" t="str">
        <x:v>Retained</x:v>
      </x:c>
      <x:c r="T3261" s="10" t="n">
        <x:v>0.310195</x:v>
      </x:c>
      <x:c r="U3261" s="4" t="str">
        <x:v>Excluded / unlabelled</x:v>
      </x:c>
    </x:row>
    <x:row r="3262" ht="34" customHeight="1">
      <x:c r="A3262" s="4" t="str">
        <x:v>RS-03261</x:v>
      </x:c>
      <x:c r="B3262" s="8" t="n">
        <x:v>45486</x:v>
      </x:c>
      <x:c r="C3262" s="4" t="str">
        <x:v>PRJ-001</x:v>
      </x:c>
      <x:c r="D3262" s="4" t="str">
        <x:v>Apartment</x:v>
      </x:c>
      <x:c r="E3262" s="4" t="str">
        <x:v>Handed over</x:v>
      </x:c>
      <x:c r="F3262" s="4" t="str">
        <x:v>CUS-03261</x:v>
      </x:c>
      <x:c r="G3262" s="4" t="str">
        <x:v>UNIT-03261</x:v>
      </x:c>
      <x:c r="H3262" s="9" t="n">
        <x:v>16600000</x:v>
      </x:c>
      <x:c r="I3262" s="10" t="n">
        <x:v>0.09</x:v>
      </x:c>
      <x:c r="J3262" s="11" t="n">
        <x:v>3</x:v>
      </x:c>
      <x:c r="K3262" s="11" t="n">
        <x:v>7</x:v>
      </x:c>
      <x:c r="L3262" s="11" t="n">
        <x:v>1</x:v>
      </x:c>
      <x:c r="M3262" s="9" t="n">
        <x:f>ROUND(H3262*(1-I3262),2)</x:f>
        <x:v>15106000</x:v>
      </x:c>
      <x:c r="N3262" s="4" t="str">
        <x:v>Sales head</x:v>
      </x:c>
      <x:c r="O3262" s="4" t="str">
        <x:v>BOOK-03261</x:v>
      </x:c>
      <x:c r="P3262" s="9" t="n">
        <x:v>15106000</x:v>
      </x:c>
      <x:c r="Q3262" s="11" t="n">
        <x:v>0</x:v>
      </x:c>
      <x:c r="R3262" s="8" t="n">
        <x:v>45546</x:v>
      </x:c>
      <x:c r="S3262" s="4" t="str">
        <x:v>Retained</x:v>
      </x:c>
      <x:c r="T3262" s="10" t="n">
        <x:v>0.145833</x:v>
      </x:c>
      <x:c r="U3262" s="4" t="str">
        <x:v>Excluded / unlabelled</x:v>
      </x:c>
    </x:row>
    <x:row r="3263" ht="34" customHeight="1">
      <x:c r="A3263" s="4" t="str">
        <x:v>RS-03262</x:v>
      </x:c>
      <x:c r="B3263" s="8" t="n">
        <x:v>45487</x:v>
      </x:c>
      <x:c r="C3263" s="4" t="str">
        <x:v>PRJ-002</x:v>
      </x:c>
      <x:c r="D3263" s="4" t="str">
        <x:v>Apartment</x:v>
      </x:c>
      <x:c r="E3263" s="4" t="str">
        <x:v>Reserved</x:v>
      </x:c>
      <x:c r="F3263" s="4" t="str">
        <x:v>CUS-03262</x:v>
      </x:c>
      <x:c r="G3263" s="4" t="str">
        <x:v>UNIT-03262</x:v>
      </x:c>
      <x:c r="H3263" s="9" t="n">
        <x:v>10500000</x:v>
      </x:c>
      <x:c r="I3263" s="10" t="n">
        <x:v>0.01</x:v>
      </x:c>
      <x:c r="J3263" s="11" t="n">
        <x:v>4</x:v>
      </x:c>
      <x:c r="K3263" s="11" t="n">
        <x:v>10</x:v>
      </x:c>
      <x:c r="L3263" s="11" t="n">
        <x:v>0</x:v>
      </x:c>
      <x:c r="M3263" s="9" t="n">
        <x:f>ROUND(H3263*(1-I3263),2)</x:f>
        <x:v>10395000</x:v>
      </x:c>
      <x:c r="N3263" s="4" t="str">
        <x:v>Sales manager</x:v>
      </x:c>
      <x:c r="O3263" s="4"/>
      <x:c r="P3263" s="9" t="n">
        <x:v>0</x:v>
      </x:c>
      <x:c r="Q3263" s="11" t="n">
        <x:v>0</x:v>
      </x:c>
      <x:c r="R3263" s="8" t="n">
        <x:v>45547</x:v>
      </x:c>
      <x:c r="S3263" s="4" t="str">
        <x:v>Retained</x:v>
      </x:c>
      <x:c r="T3263" s="10" t="n">
        <x:v>0.145299</x:v>
      </x:c>
      <x:c r="U3263" s="4" t="str">
        <x:v>Excluded / unlabelled</x:v>
      </x:c>
    </x:row>
    <x:row r="3264" ht="34" customHeight="1">
      <x:c r="A3264" s="4" t="str">
        <x:v>RS-03263</x:v>
      </x:c>
      <x:c r="B3264" s="8" t="n">
        <x:v>45488</x:v>
      </x:c>
      <x:c r="C3264" s="4" t="str">
        <x:v>PRJ-003</x:v>
      </x:c>
      <x:c r="D3264" s="4" t="str">
        <x:v>Apartment</x:v>
      </x:c>
      <x:c r="E3264" s="4" t="str">
        <x:v>Reserved</x:v>
      </x:c>
      <x:c r="F3264" s="4" t="str">
        <x:v>CUS-03263</x:v>
      </x:c>
      <x:c r="G3264" s="4" t="str">
        <x:v>UNIT-03263</x:v>
      </x:c>
      <x:c r="H3264" s="9" t="n">
        <x:v>22700000</x:v>
      </x:c>
      <x:c r="I3264" s="10" t="n">
        <x:v>0.05</x:v>
      </x:c>
      <x:c r="J3264" s="11" t="n">
        <x:v>10</x:v>
      </x:c>
      <x:c r="K3264" s="11" t="n">
        <x:v>9</x:v>
      </x:c>
      <x:c r="L3264" s="11" t="n">
        <x:v>1</x:v>
      </x:c>
      <x:c r="M3264" s="9" t="n">
        <x:f>ROUND(H3264*(1-I3264),2)</x:f>
        <x:v>21565000</x:v>
      </x:c>
      <x:c r="N3264" s="4" t="str">
        <x:v>Sales manager</x:v>
      </x:c>
      <x:c r="O3264" s="4"/>
      <x:c r="P3264" s="9" t="n">
        <x:v>0</x:v>
      </x:c>
      <x:c r="Q3264" s="11" t="n">
        <x:v>0</x:v>
      </x:c>
      <x:c r="R3264" s="8" t="n">
        <x:v>45548</x:v>
      </x:c>
      <x:c r="S3264" s="4" t="str">
        <x:v>Retained</x:v>
      </x:c>
      <x:c r="T3264" s="10" t="n">
        <x:v>0.310195</x:v>
      </x:c>
      <x:c r="U3264" s="4" t="str">
        <x:v>Excluded / unlabelled</x:v>
      </x:c>
    </x:row>
    <x:row r="3265" ht="34" customHeight="1">
      <x:c r="A3265" s="4" t="str">
        <x:v>RS-03264</x:v>
      </x:c>
      <x:c r="B3265" s="8" t="n">
        <x:v>45489</x:v>
      </x:c>
      <x:c r="C3265" s="4" t="str">
        <x:v>PRJ-004</x:v>
      </x:c>
      <x:c r="D3265" s="4" t="str">
        <x:v>Retail</x:v>
      </x:c>
      <x:c r="E3265" s="4" t="str">
        <x:v>Handed over</x:v>
      </x:c>
      <x:c r="F3265" s="4" t="str">
        <x:v>CUS-03264</x:v>
      </x:c>
      <x:c r="G3265" s="4" t="str">
        <x:v>UNIT-03264</x:v>
      </x:c>
      <x:c r="H3265" s="9" t="n">
        <x:v>22100000</x:v>
      </x:c>
      <x:c r="I3265" s="10" t="n">
        <x:v>0.08</x:v>
      </x:c>
      <x:c r="J3265" s="11" t="n">
        <x:v>1</x:v>
      </x:c>
      <x:c r="K3265" s="11" t="n">
        <x:v>9</x:v>
      </x:c>
      <x:c r="L3265" s="11" t="n">
        <x:v>1</x:v>
      </x:c>
      <x:c r="M3265" s="9" t="n">
        <x:f>ROUND(H3265*(1-I3265),2)</x:f>
        <x:v>20332000</x:v>
      </x:c>
      <x:c r="N3265" s="4" t="str">
        <x:v>Sales head</x:v>
      </x:c>
      <x:c r="O3265" s="4" t="str">
        <x:v>BOOK-03264</x:v>
      </x:c>
      <x:c r="P3265" s="9" t="n">
        <x:v>2033200</x:v>
      </x:c>
      <x:c r="Q3265" s="11" t="n">
        <x:v>0</x:v>
      </x:c>
      <x:c r="R3265" s="8" t="n">
        <x:v>45549</x:v>
      </x:c>
      <x:c r="S3265" s="4" t="str">
        <x:v>Retained</x:v>
      </x:c>
      <x:c r="T3265" s="10" t="n">
        <x:v>0.204152</x:v>
      </x:c>
      <x:c r="U3265" s="4" t="str">
        <x:v>Excluded / unlabelled</x:v>
      </x:c>
    </x:row>
    <x:row r="3266" ht="34" customHeight="1">
      <x:c r="A3266" s="4" t="str">
        <x:v>RS-03265</x:v>
      </x:c>
      <x:c r="B3266" s="8" t="n">
        <x:v>45490</x:v>
      </x:c>
      <x:c r="C3266" s="4" t="str">
        <x:v>PRJ-005</x:v>
      </x:c>
      <x:c r="D3266" s="4" t="str">
        <x:v>Office</x:v>
      </x:c>
      <x:c r="E3266" s="4" t="str">
        <x:v>Reserved</x:v>
      </x:c>
      <x:c r="F3266" s="4" t="str">
        <x:v>CUS-03265</x:v>
      </x:c>
      <x:c r="G3266" s="4" t="str">
        <x:v>UNIT-03265</x:v>
      </x:c>
      <x:c r="H3266" s="9" t="n">
        <x:v>16400000</x:v>
      </x:c>
      <x:c r="I3266" s="10" t="n">
        <x:v>0.04</x:v>
      </x:c>
      <x:c r="J3266" s="11" t="n">
        <x:v>12</x:v>
      </x:c>
      <x:c r="K3266" s="11" t="n">
        <x:v>3</x:v>
      </x:c>
      <x:c r="L3266" s="11" t="n">
        <x:v>0</x:v>
      </x:c>
      <x:c r="M3266" s="9" t="n">
        <x:f>ROUND(H3266*(1-I3266),2)</x:f>
        <x:v>15744000</x:v>
      </x:c>
      <x:c r="N3266" s="4" t="str">
        <x:v>Sales manager</x:v>
      </x:c>
      <x:c r="O3266" s="4"/>
      <x:c r="P3266" s="9" t="n">
        <x:v>0</x:v>
      </x:c>
      <x:c r="Q3266" s="11" t="n">
        <x:v>1</x:v>
      </x:c>
      <x:c r="R3266" s="8" t="n">
        <x:v>45550</x:v>
      </x:c>
      <x:c r="S3266" s="4" t="str">
        <x:v>Lost / cancelled</x:v>
      </x:c>
      <x:c r="T3266" s="10" t="n">
        <x:v>0.351536</x:v>
      </x:c>
      <x:c r="U3266" s="4" t="str">
        <x:v>Excluded / unlabelled</x:v>
      </x:c>
    </x:row>
    <x:row r="3267" ht="34" customHeight="1">
      <x:c r="A3267" s="4" t="str">
        <x:v>RS-03266</x:v>
      </x:c>
      <x:c r="B3267" s="8" t="n">
        <x:v>45491</x:v>
      </x:c>
      <x:c r="C3267" s="4" t="str">
        <x:v>PRJ-006</x:v>
      </x:c>
      <x:c r="D3267" s="4" t="str">
        <x:v>Office</x:v>
      </x:c>
      <x:c r="E3267" s="4" t="str">
        <x:v>Booked</x:v>
      </x:c>
      <x:c r="F3267" s="4" t="str">
        <x:v>CUS-03266</x:v>
      </x:c>
      <x:c r="G3267" s="4" t="str">
        <x:v>UNIT-03266</x:v>
      </x:c>
      <x:c r="H3267" s="9" t="n">
        <x:v>4600000</x:v>
      </x:c>
      <x:c r="I3267" s="10" t="n">
        <x:v>0.07</x:v>
      </x:c>
      <x:c r="J3267" s="11" t="n">
        <x:v>4</x:v>
      </x:c>
      <x:c r="K3267" s="11" t="n">
        <x:v>2</x:v>
      </x:c>
      <x:c r="L3267" s="11" t="n">
        <x:v>1</x:v>
      </x:c>
      <x:c r="M3267" s="9" t="n">
        <x:f>ROUND(H3267*(1-I3267),2)</x:f>
        <x:v>4278000</x:v>
      </x:c>
      <x:c r="N3267" s="4" t="str">
        <x:v>Sales manager</x:v>
      </x:c>
      <x:c r="O3267" s="4" t="str">
        <x:v>BOOK-03266</x:v>
      </x:c>
      <x:c r="P3267" s="9" t="n">
        <x:v>2139000</x:v>
      </x:c>
      <x:c r="Q3267" s="11" t="n">
        <x:v>0</x:v>
      </x:c>
      <x:c r="R3267" s="8" t="n">
        <x:v>45551</x:v>
      </x:c>
      <x:c r="S3267" s="4" t="str">
        <x:v>Retained</x:v>
      </x:c>
      <x:c r="T3267" s="10" t="n">
        <x:v>0.291946</x:v>
      </x:c>
      <x:c r="U3267" s="4" t="str">
        <x:v>Excluded / unlabelled</x:v>
      </x:c>
    </x:row>
    <x:row r="3268" ht="34" customHeight="1">
      <x:c r="A3268" s="4" t="str">
        <x:v>RS-03267</x:v>
      </x:c>
      <x:c r="B3268" s="8" t="n">
        <x:v>45492</x:v>
      </x:c>
      <x:c r="C3268" s="4" t="str">
        <x:v>PRJ-007</x:v>
      </x:c>
      <x:c r="D3268" s="4" t="str">
        <x:v>Villa</x:v>
      </x:c>
      <x:c r="E3268" s="4" t="str">
        <x:v>Agreement signed</x:v>
      </x:c>
      <x:c r="F3268" s="4" t="str">
        <x:v>CUS-03267</x:v>
      </x:c>
      <x:c r="G3268" s="4" t="str">
        <x:v>UNIT-03267</x:v>
      </x:c>
      <x:c r="H3268" s="9" t="n">
        <x:v>5200000</x:v>
      </x:c>
      <x:c r="I3268" s="10" t="n">
        <x:v>0.09</x:v>
      </x:c>
      <x:c r="J3268" s="11" t="n">
        <x:v>7</x:v>
      </x:c>
      <x:c r="K3268" s="11" t="n">
        <x:v>6</x:v>
      </x:c>
      <x:c r="L3268" s="11" t="n">
        <x:v>1</x:v>
      </x:c>
      <x:c r="M3268" s="9" t="n">
        <x:f>ROUND(H3268*(1-I3268),2)</x:f>
        <x:v>4732000</x:v>
      </x:c>
      <x:c r="N3268" s="4" t="str">
        <x:v>Sales head</x:v>
      </x:c>
      <x:c r="O3268" s="4" t="str">
        <x:v>BOOK-03267</x:v>
      </x:c>
      <x:c r="P3268" s="9" t="n">
        <x:v>2366000</x:v>
      </x:c>
      <x:c r="Q3268" s="11" t="n">
        <x:v>0</x:v>
      </x:c>
      <x:c r="R3268" s="8" t="n">
        <x:v>45552</x:v>
      </x:c>
      <x:c r="S3268" s="4" t="str">
        <x:v>Retained</x:v>
      </x:c>
      <x:c r="T3268" s="10" t="n">
        <x:v>0.291946</x:v>
      </x:c>
      <x:c r="U3268" s="4" t="str">
        <x:v>Excluded / unlabelled</x:v>
      </x:c>
    </x:row>
    <x:row r="3269" ht="34" customHeight="1">
      <x:c r="A3269" s="4" t="str">
        <x:v>RS-03268</x:v>
      </x:c>
      <x:c r="B3269" s="8" t="n">
        <x:v>45493</x:v>
      </x:c>
      <x:c r="C3269" s="4" t="str">
        <x:v>PRJ-008</x:v>
      </x:c>
      <x:c r="D3269" s="4" t="str">
        <x:v>Villa</x:v>
      </x:c>
      <x:c r="E3269" s="4" t="str">
        <x:v>Handed over</x:v>
      </x:c>
      <x:c r="F3269" s="4" t="str">
        <x:v>CUS-03268</x:v>
      </x:c>
      <x:c r="G3269" s="4" t="str">
        <x:v>UNIT-03268</x:v>
      </x:c>
      <x:c r="H3269" s="9" t="n">
        <x:v>18300000</x:v>
      </x:c>
      <x:c r="I3269" s="10" t="n">
        <x:v>0.02</x:v>
      </x:c>
      <x:c r="J3269" s="11" t="n">
        <x:v>2</x:v>
      </x:c>
      <x:c r="K3269" s="11" t="n">
        <x:v>2</x:v>
      </x:c>
      <x:c r="L3269" s="11" t="n">
        <x:v>1</x:v>
      </x:c>
      <x:c r="M3269" s="9" t="n">
        <x:f>ROUND(H3269*(1-I3269),2)</x:f>
        <x:v>17934000</x:v>
      </x:c>
      <x:c r="N3269" s="4" t="str">
        <x:v>Sales manager</x:v>
      </x:c>
      <x:c r="O3269" s="4" t="str">
        <x:v>BOOK-03268</x:v>
      </x:c>
      <x:c r="P3269" s="9" t="n">
        <x:v>8967000</x:v>
      </x:c>
      <x:c r="Q3269" s="11" t="n">
        <x:v>0</x:v>
      </x:c>
      <x:c r="R3269" s="8" t="n">
        <x:v>45553</x:v>
      </x:c>
      <x:c r="S3269" s="4" t="str">
        <x:v>Retained</x:v>
      </x:c>
      <x:c r="T3269" s="10" t="n">
        <x:v>0.171717</x:v>
      </x:c>
      <x:c r="U3269" s="4" t="str">
        <x:v>Excluded / unlabelled</x:v>
      </x:c>
    </x:row>
    <x:row r="3270" ht="34" customHeight="1">
      <x:c r="A3270" s="4" t="str">
        <x:v>RS-03269</x:v>
      </x:c>
      <x:c r="B3270" s="8" t="n">
        <x:v>45494</x:v>
      </x:c>
      <x:c r="C3270" s="4" t="str">
        <x:v>PRJ-009</x:v>
      </x:c>
      <x:c r="D3270" s="4" t="str">
        <x:v>Office</x:v>
      </x:c>
      <x:c r="E3270" s="4" t="str">
        <x:v>Reserved</x:v>
      </x:c>
      <x:c r="F3270" s="4" t="str">
        <x:v>CUS-03269</x:v>
      </x:c>
      <x:c r="G3270" s="4" t="str">
        <x:v>UNIT-03269</x:v>
      </x:c>
      <x:c r="H3270" s="9" t="n">
        <x:v>19000000</x:v>
      </x:c>
      <x:c r="I3270" s="10" t="n">
        <x:v>0.02</x:v>
      </x:c>
      <x:c r="J3270" s="11" t="n">
        <x:v>10</x:v>
      </x:c>
      <x:c r="K3270" s="11" t="n">
        <x:v>5</x:v>
      </x:c>
      <x:c r="L3270" s="11" t="n">
        <x:v>1</x:v>
      </x:c>
      <x:c r="M3270" s="9" t="n">
        <x:f>ROUND(H3270*(1-I3270),2)</x:f>
        <x:v>18620000</x:v>
      </x:c>
      <x:c r="N3270" s="4" t="str">
        <x:v>Sales manager</x:v>
      </x:c>
      <x:c r="O3270" s="4"/>
      <x:c r="P3270" s="9" t="n">
        <x:v>0</x:v>
      </x:c>
      <x:c r="Q3270" s="11" t="n">
        <x:v>0</x:v>
      </x:c>
      <x:c r="R3270" s="8" t="n">
        <x:v>45554</x:v>
      </x:c>
      <x:c r="S3270" s="4" t="str">
        <x:v>Retained</x:v>
      </x:c>
      <x:c r="T3270" s="10" t="n">
        <x:v>0.254545</x:v>
      </x:c>
      <x:c r="U3270" s="4" t="str">
        <x:v>Excluded / unlabelled</x:v>
      </x:c>
    </x:row>
    <x:row r="3271" ht="34" customHeight="1">
      <x:c r="A3271" s="4" t="str">
        <x:v>RS-03270</x:v>
      </x:c>
      <x:c r="B3271" s="8" t="n">
        <x:v>45495</x:v>
      </x:c>
      <x:c r="C3271" s="4" t="str">
        <x:v>PRJ-010</x:v>
      </x:c>
      <x:c r="D3271" s="4" t="str">
        <x:v>Villa</x:v>
      </x:c>
      <x:c r="E3271" s="4" t="str">
        <x:v>Enquiry</x:v>
      </x:c>
      <x:c r="F3271" s="4" t="str">
        <x:v>CUS-03270</x:v>
      </x:c>
      <x:c r="G3271" s="4" t="str">
        <x:v>UNIT-03270</x:v>
      </x:c>
      <x:c r="H3271" s="9" t="n">
        <x:v>20500000</x:v>
      </x:c>
      <x:c r="I3271" s="10" t="n">
        <x:v>0.02</x:v>
      </x:c>
      <x:c r="J3271" s="11" t="n">
        <x:v>3</x:v>
      </x:c>
      <x:c r="K3271" s="11" t="n">
        <x:v>4</x:v>
      </x:c>
      <x:c r="L3271" s="11" t="n">
        <x:v>0</x:v>
      </x:c>
      <x:c r="M3271" s="9" t="n">
        <x:f>ROUND(H3271*(1-I3271),2)</x:f>
        <x:v>20090000</x:v>
      </x:c>
      <x:c r="N3271" s="4" t="str">
        <x:v>Sales manager</x:v>
      </x:c>
      <x:c r="O3271" s="4"/>
      <x:c r="P3271" s="9" t="n">
        <x:v>0</x:v>
      </x:c>
      <x:c r="Q3271" s="11" t="n">
        <x:v>0</x:v>
      </x:c>
      <x:c r="R3271" s="8" t="n">
        <x:v>45555</x:v>
      </x:c>
      <x:c r="S3271" s="4" t="str">
        <x:v>Retained</x:v>
      </x:c>
      <x:c r="T3271" s="10" t="n">
        <x:v>0.171717</x:v>
      </x:c>
      <x:c r="U3271" s="4" t="str">
        <x:v>Excluded / unlabelled</x:v>
      </x:c>
    </x:row>
    <x:row r="3272" ht="34" customHeight="1">
      <x:c r="A3272" s="4" t="str">
        <x:v>RS-03271</x:v>
      </x:c>
      <x:c r="B3272" s="8" t="n">
        <x:v>45496</x:v>
      </x:c>
      <x:c r="C3272" s="4" t="str">
        <x:v>PRJ-011</x:v>
      </x:c>
      <x:c r="D3272" s="4" t="str">
        <x:v>Retail</x:v>
      </x:c>
      <x:c r="E3272" s="4" t="str">
        <x:v>Booked</x:v>
      </x:c>
      <x:c r="F3272" s="4" t="str">
        <x:v>CUS-03271</x:v>
      </x:c>
      <x:c r="G3272" s="4" t="str">
        <x:v>UNIT-03271</x:v>
      </x:c>
      <x:c r="H3272" s="9" t="n">
        <x:v>12100000</x:v>
      </x:c>
      <x:c r="I3272" s="10" t="n">
        <x:v>0.07</x:v>
      </x:c>
      <x:c r="J3272" s="11" t="n">
        <x:v>6</x:v>
      </x:c>
      <x:c r="K3272" s="11" t="n">
        <x:v>1</x:v>
      </x:c>
      <x:c r="L3272" s="11" t="n">
        <x:v>1</x:v>
      </x:c>
      <x:c r="M3272" s="9" t="n">
        <x:f>ROUND(H3272*(1-I3272),2)</x:f>
        <x:v>11253000</x:v>
      </x:c>
      <x:c r="N3272" s="4" t="str">
        <x:v>Sales manager</x:v>
      </x:c>
      <x:c r="O3272" s="4" t="str">
        <x:v>BOOK-03271</x:v>
      </x:c>
      <x:c r="P3272" s="9" t="n">
        <x:v>1125300</x:v>
      </x:c>
      <x:c r="Q3272" s="11" t="n">
        <x:v>0</x:v>
      </x:c>
      <x:c r="R3272" s="8" t="n">
        <x:v>45556</x:v>
      </x:c>
      <x:c r="S3272" s="4" t="str">
        <x:v>Retained</x:v>
      </x:c>
      <x:c r="T3272" s="10" t="n">
        <x:v>0.291946</x:v>
      </x:c>
      <x:c r="U3272" s="4" t="str">
        <x:v>Excluded / unlabelled</x:v>
      </x:c>
    </x:row>
    <x:row r="3273" ht="34" customHeight="1">
      <x:c r="A3273" s="4" t="str">
        <x:v>RS-03272</x:v>
      </x:c>
      <x:c r="B3273" s="8" t="n">
        <x:v>45497</x:v>
      </x:c>
      <x:c r="C3273" s="4" t="str">
        <x:v>PRJ-012</x:v>
      </x:c>
      <x:c r="D3273" s="4" t="str">
        <x:v>Retail</x:v>
      </x:c>
      <x:c r="E3273" s="4" t="str">
        <x:v>Booked</x:v>
      </x:c>
      <x:c r="F3273" s="4" t="str">
        <x:v>CUS-03272</x:v>
      </x:c>
      <x:c r="G3273" s="4" t="str">
        <x:v>UNIT-03272</x:v>
      </x:c>
      <x:c r="H3273" s="9" t="n">
        <x:v>10300000</x:v>
      </x:c>
      <x:c r="I3273" s="10" t="n">
        <x:v>0</x:v>
      </x:c>
      <x:c r="J3273" s="11" t="n">
        <x:v>8</x:v>
      </x:c>
      <x:c r="K3273" s="11" t="n">
        <x:v>6</x:v>
      </x:c>
      <x:c r="L3273" s="11" t="n">
        <x:v>0</x:v>
      </x:c>
      <x:c r="M3273" s="9" t="n">
        <x:f>ROUND(H3273*(1-I3273),2)</x:f>
        <x:v>10300000</x:v>
      </x:c>
      <x:c r="N3273" s="4" t="str">
        <x:v>Sales manager</x:v>
      </x:c>
      <x:c r="O3273" s="4" t="str">
        <x:v>BOOK-03272</x:v>
      </x:c>
      <x:c r="P3273" s="9" t="n">
        <x:v>10300000</x:v>
      </x:c>
      <x:c r="Q3273" s="11" t="n">
        <x:v>0</x:v>
      </x:c>
      <x:c r="R3273" s="8" t="n">
        <x:v>45557</x:v>
      </x:c>
      <x:c r="S3273" s="4" t="str">
        <x:v>Retained</x:v>
      </x:c>
      <x:c r="T3273" s="10" t="n">
        <x:v>0.305556</x:v>
      </x:c>
      <x:c r="U3273" s="4" t="str">
        <x:v>Excluded / unlabelled</x:v>
      </x:c>
    </x:row>
    <x:row r="3274" ht="34" customHeight="1">
      <x:c r="A3274" s="4" t="str">
        <x:v>RS-03273</x:v>
      </x:c>
      <x:c r="B3274" s="8" t="n">
        <x:v>45498</x:v>
      </x:c>
      <x:c r="C3274" s="4" t="str">
        <x:v>PRJ-013</x:v>
      </x:c>
      <x:c r="D3274" s="4" t="str">
        <x:v>Villa</x:v>
      </x:c>
      <x:c r="E3274" s="4" t="str">
        <x:v>Handed over</x:v>
      </x:c>
      <x:c r="F3274" s="4" t="str">
        <x:v>CUS-03273</x:v>
      </x:c>
      <x:c r="G3274" s="4" t="str">
        <x:v>UNIT-03273</x:v>
      </x:c>
      <x:c r="H3274" s="9" t="n">
        <x:v>9100000</x:v>
      </x:c>
      <x:c r="I3274" s="10" t="n">
        <x:v>0.01</x:v>
      </x:c>
      <x:c r="J3274" s="11" t="n">
        <x:v>2</x:v>
      </x:c>
      <x:c r="K3274" s="11" t="n">
        <x:v>4</x:v>
      </x:c>
      <x:c r="L3274" s="11" t="n">
        <x:v>1</x:v>
      </x:c>
      <x:c r="M3274" s="9" t="n">
        <x:f>ROUND(H3274*(1-I3274),2)</x:f>
        <x:v>9009000</x:v>
      </x:c>
      <x:c r="N3274" s="4" t="str">
        <x:v>Sales manager</x:v>
      </x:c>
      <x:c r="O3274" s="4" t="str">
        <x:v>BOOK-03273</x:v>
      </x:c>
      <x:c r="P3274" s="9" t="n">
        <x:v>9009000</x:v>
      </x:c>
      <x:c r="Q3274" s="11" t="n">
        <x:v>0</x:v>
      </x:c>
      <x:c r="R3274" s="8" t="n">
        <x:v>45558</x:v>
      </x:c>
      <x:c r="S3274" s="4" t="str">
        <x:v>Retained</x:v>
      </x:c>
      <x:c r="T3274" s="10" t="n">
        <x:v>0.171717</x:v>
      </x:c>
      <x:c r="U3274" s="4" t="str">
        <x:v>Excluded / unlabelled</x:v>
      </x:c>
    </x:row>
    <x:row r="3275" ht="34" customHeight="1">
      <x:c r="A3275" s="4" t="str">
        <x:v>RS-03274</x:v>
      </x:c>
      <x:c r="B3275" s="8" t="n">
        <x:v>45499</x:v>
      </x:c>
      <x:c r="C3275" s="4" t="str">
        <x:v>PRJ-014</x:v>
      </x:c>
      <x:c r="D3275" s="4" t="str">
        <x:v>Villa</x:v>
      </x:c>
      <x:c r="E3275" s="4" t="str">
        <x:v>Agreement signed</x:v>
      </x:c>
      <x:c r="F3275" s="4" t="str">
        <x:v>CUS-03274</x:v>
      </x:c>
      <x:c r="G3275" s="4" t="str">
        <x:v>UNIT-03274</x:v>
      </x:c>
      <x:c r="H3275" s="9" t="n">
        <x:v>23700000</x:v>
      </x:c>
      <x:c r="I3275" s="10" t="n">
        <x:v>0.05</x:v>
      </x:c>
      <x:c r="J3275" s="11" t="n">
        <x:v>4</x:v>
      </x:c>
      <x:c r="K3275" s="11" t="n">
        <x:v>5</x:v>
      </x:c>
      <x:c r="L3275" s="11" t="n">
        <x:v>0</x:v>
      </x:c>
      <x:c r="M3275" s="9" t="n">
        <x:f>ROUND(H3275*(1-I3275),2)</x:f>
        <x:v>22515000</x:v>
      </x:c>
      <x:c r="N3275" s="4" t="str">
        <x:v>Sales manager</x:v>
      </x:c>
      <x:c r="O3275" s="4" t="str">
        <x:v>BOOK-03274</x:v>
      </x:c>
      <x:c r="P3275" s="9" t="n">
        <x:v>5628750</x:v>
      </x:c>
      <x:c r="Q3275" s="11" t="n">
        <x:v>0</x:v>
      </x:c>
      <x:c r="R3275" s="8" t="n">
        <x:v>45559</x:v>
      </x:c>
      <x:c r="S3275" s="4" t="str">
        <x:v>Retained</x:v>
      </x:c>
      <x:c r="T3275" s="10" t="n">
        <x:v>0.226277</x:v>
      </x:c>
      <x:c r="U3275" s="4" t="str">
        <x:v>Excluded / unlabelled</x:v>
      </x:c>
    </x:row>
    <x:row r="3276" ht="34" customHeight="1">
      <x:c r="A3276" s="4" t="str">
        <x:v>RS-03275</x:v>
      </x:c>
      <x:c r="B3276" s="8" t="n">
        <x:v>45500</x:v>
      </x:c>
      <x:c r="C3276" s="4" t="str">
        <x:v>PRJ-015</x:v>
      </x:c>
      <x:c r="D3276" s="4" t="str">
        <x:v>Villa</x:v>
      </x:c>
      <x:c r="E3276" s="4" t="str">
        <x:v>Enquiry</x:v>
      </x:c>
      <x:c r="F3276" s="4" t="str">
        <x:v>CUS-03275</x:v>
      </x:c>
      <x:c r="G3276" s="4" t="str">
        <x:v>UNIT-03275</x:v>
      </x:c>
      <x:c r="H3276" s="9" t="n">
        <x:v>14900000</x:v>
      </x:c>
      <x:c r="I3276" s="10" t="n">
        <x:v>0.08</x:v>
      </x:c>
      <x:c r="J3276" s="11" t="n">
        <x:v>1</x:v>
      </x:c>
      <x:c r="K3276" s="11" t="n">
        <x:v>1</x:v>
      </x:c>
      <x:c r="L3276" s="11" t="n">
        <x:v>0</x:v>
      </x:c>
      <x:c r="M3276" s="9" t="n">
        <x:f>ROUND(H3276*(1-I3276),2)</x:f>
        <x:v>13708000</x:v>
      </x:c>
      <x:c r="N3276" s="4" t="str">
        <x:v>Sales head</x:v>
      </x:c>
      <x:c r="O3276" s="4"/>
      <x:c r="P3276" s="9" t="n">
        <x:v>0</x:v>
      </x:c>
      <x:c r="Q3276" s="11" t="n">
        <x:v>0</x:v>
      </x:c>
      <x:c r="R3276" s="8" t="n">
        <x:v>45560</x:v>
      </x:c>
      <x:c r="S3276" s="4" t="str">
        <x:v>Retained</x:v>
      </x:c>
      <x:c r="T3276" s="10" t="n">
        <x:v>0.204152</x:v>
      </x:c>
      <x:c r="U3276" s="4" t="str">
        <x:v>Excluded / unlabelled</x:v>
      </x:c>
    </x:row>
    <x:row r="3277" ht="34" customHeight="1">
      <x:c r="A3277" s="4" t="str">
        <x:v>RS-03276</x:v>
      </x:c>
      <x:c r="B3277" s="8" t="n">
        <x:v>45501</x:v>
      </x:c>
      <x:c r="C3277" s="4" t="str">
        <x:v>PRJ-016</x:v>
      </x:c>
      <x:c r="D3277" s="4" t="str">
        <x:v>Office</x:v>
      </x:c>
      <x:c r="E3277" s="4" t="str">
        <x:v>Reserved</x:v>
      </x:c>
      <x:c r="F3277" s="4" t="str">
        <x:v>CUS-03276</x:v>
      </x:c>
      <x:c r="G3277" s="4" t="str">
        <x:v>UNIT-03276</x:v>
      </x:c>
      <x:c r="H3277" s="9" t="n">
        <x:v>14200000</x:v>
      </x:c>
      <x:c r="I3277" s="10" t="n">
        <x:v>0.03</x:v>
      </x:c>
      <x:c r="J3277" s="11" t="n">
        <x:v>0</x:v>
      </x:c>
      <x:c r="K3277" s="11" t="n">
        <x:v>2</x:v>
      </x:c>
      <x:c r="L3277" s="11" t="n">
        <x:v>1</x:v>
      </x:c>
      <x:c r="M3277" s="9" t="n">
        <x:f>ROUND(H3277*(1-I3277),2)</x:f>
        <x:v>13774000</x:v>
      </x:c>
      <x:c r="N3277" s="4" t="str">
        <x:v>Sales manager</x:v>
      </x:c>
      <x:c r="O3277" s="4"/>
      <x:c r="P3277" s="9" t="n">
        <x:v>0</x:v>
      </x:c>
      <x:c r="Q3277" s="11" t="n">
        <x:v>0</x:v>
      </x:c>
      <x:c r="R3277" s="8" t="n">
        <x:v>45561</x:v>
      </x:c>
      <x:c r="S3277" s="4" t="str">
        <x:v>Retained</x:v>
      </x:c>
      <x:c r="T3277" s="10" t="n">
        <x:v>0.072165</x:v>
      </x:c>
      <x:c r="U3277" s="4" t="str">
        <x:v>Excluded / unlabelled</x:v>
      </x:c>
    </x:row>
    <x:row r="3278" ht="34" customHeight="1">
      <x:c r="A3278" s="4" t="str">
        <x:v>RS-03277</x:v>
      </x:c>
      <x:c r="B3278" s="8" t="n">
        <x:v>45474</x:v>
      </x:c>
      <x:c r="C3278" s="4" t="str">
        <x:v>PRJ-017</x:v>
      </x:c>
      <x:c r="D3278" s="4" t="str">
        <x:v>Office</x:v>
      </x:c>
      <x:c r="E3278" s="4" t="str">
        <x:v>Agreement signed</x:v>
      </x:c>
      <x:c r="F3278" s="4" t="str">
        <x:v>CUS-03277</x:v>
      </x:c>
      <x:c r="G3278" s="4" t="str">
        <x:v>UNIT-03277</x:v>
      </x:c>
      <x:c r="H3278" s="9" t="n">
        <x:v>22000000</x:v>
      </x:c>
      <x:c r="I3278" s="10" t="n">
        <x:v>0.03</x:v>
      </x:c>
      <x:c r="J3278" s="11" t="n">
        <x:v>12</x:v>
      </x:c>
      <x:c r="K3278" s="11" t="n">
        <x:v>10</x:v>
      </x:c>
      <x:c r="L3278" s="11" t="n">
        <x:v>0</x:v>
      </x:c>
      <x:c r="M3278" s="9" t="n">
        <x:f>ROUND(H3278*(1-I3278),2)</x:f>
        <x:v>21340000</x:v>
      </x:c>
      <x:c r="N3278" s="4" t="str">
        <x:v>Sales manager</x:v>
      </x:c>
      <x:c r="O3278" s="4" t="str">
        <x:v>BOOK-03277</x:v>
      </x:c>
      <x:c r="P3278" s="9" t="n">
        <x:v>21340000</x:v>
      </x:c>
      <x:c r="Q3278" s="11" t="n">
        <x:v>0</x:v>
      </x:c>
      <x:c r="R3278" s="8" t="n">
        <x:v>45534</x:v>
      </x:c>
      <x:c r="S3278" s="4" t="str">
        <x:v>Retained</x:v>
      </x:c>
      <x:c r="T3278" s="10" t="n">
        <x:v>0.351536</x:v>
      </x:c>
      <x:c r="U3278" s="4" t="str">
        <x:v>Excluded / unlabelled</x:v>
      </x:c>
    </x:row>
    <x:row r="3279" ht="34" customHeight="1">
      <x:c r="A3279" s="4" t="str">
        <x:v>RS-03278</x:v>
      </x:c>
      <x:c r="B3279" s="8" t="n">
        <x:v>45475</x:v>
      </x:c>
      <x:c r="C3279" s="4" t="str">
        <x:v>PRJ-018</x:v>
      </x:c>
      <x:c r="D3279" s="4" t="str">
        <x:v>Apartment</x:v>
      </x:c>
      <x:c r="E3279" s="4" t="str">
        <x:v>Agreement signed</x:v>
      </x:c>
      <x:c r="F3279" s="4" t="str">
        <x:v>CUS-03278</x:v>
      </x:c>
      <x:c r="G3279" s="4" t="str">
        <x:v>UNIT-03278</x:v>
      </x:c>
      <x:c r="H3279" s="9" t="n">
        <x:v>11700000</x:v>
      </x:c>
      <x:c r="I3279" s="10" t="n">
        <x:v>0.09</x:v>
      </x:c>
      <x:c r="J3279" s="11" t="n">
        <x:v>3</x:v>
      </x:c>
      <x:c r="K3279" s="11" t="n">
        <x:v>3</x:v>
      </x:c>
      <x:c r="L3279" s="11" t="n">
        <x:v>0</x:v>
      </x:c>
      <x:c r="M3279" s="9" t="n">
        <x:f>ROUND(H3279*(1-I3279),2)</x:f>
        <x:v>10647000</x:v>
      </x:c>
      <x:c r="N3279" s="4" t="str">
        <x:v>Sales head</x:v>
      </x:c>
      <x:c r="O3279" s="4" t="str">
        <x:v>BOOK-03278</x:v>
      </x:c>
      <x:c r="P3279" s="9" t="n">
        <x:v>1064700</x:v>
      </x:c>
      <x:c r="Q3279" s="11" t="n">
        <x:v>0</x:v>
      </x:c>
      <x:c r="R3279" s="8" t="n">
        <x:v>45535</x:v>
      </x:c>
      <x:c r="S3279" s="4" t="str">
        <x:v>Retained</x:v>
      </x:c>
      <x:c r="T3279" s="10" t="n">
        <x:v>0.145833</x:v>
      </x:c>
      <x:c r="U3279" s="4" t="str">
        <x:v>Excluded / unlabelled</x:v>
      </x:c>
    </x:row>
    <x:row r="3280" ht="34" customHeight="1">
      <x:c r="A3280" s="4" t="str">
        <x:v>RS-03279</x:v>
      </x:c>
      <x:c r="B3280" s="8" t="n">
        <x:v>45476</x:v>
      </x:c>
      <x:c r="C3280" s="4" t="str">
        <x:v>PRJ-019</x:v>
      </x:c>
      <x:c r="D3280" s="4" t="str">
        <x:v>Office</x:v>
      </x:c>
      <x:c r="E3280" s="4" t="str">
        <x:v>Booked</x:v>
      </x:c>
      <x:c r="F3280" s="4" t="str">
        <x:v>CUS-03279</x:v>
      </x:c>
      <x:c r="G3280" s="4" t="str">
        <x:v>UNIT-03279</x:v>
      </x:c>
      <x:c r="H3280" s="9" t="n">
        <x:v>12800000</x:v>
      </x:c>
      <x:c r="I3280" s="10" t="n">
        <x:v>0</x:v>
      </x:c>
      <x:c r="J3280" s="11" t="n">
        <x:v>2</x:v>
      </x:c>
      <x:c r="K3280" s="11" t="n">
        <x:v>3</x:v>
      </x:c>
      <x:c r="L3280" s="11" t="n">
        <x:v>1</x:v>
      </x:c>
      <x:c r="M3280" s="9" t="n">
        <x:f>ROUND(H3280*(1-I3280),2)</x:f>
        <x:v>12800000</x:v>
      </x:c>
      <x:c r="N3280" s="4" t="str">
        <x:v>Sales manager</x:v>
      </x:c>
      <x:c r="O3280" s="4" t="str">
        <x:v>BOOK-03279</x:v>
      </x:c>
      <x:c r="P3280" s="9" t="n">
        <x:v>6400000</x:v>
      </x:c>
      <x:c r="Q3280" s="11" t="n">
        <x:v>0</x:v>
      </x:c>
      <x:c r="R3280" s="8" t="n">
        <x:v>45536</x:v>
      </x:c>
      <x:c r="S3280" s="4" t="str">
        <x:v>Retained</x:v>
      </x:c>
      <x:c r="T3280" s="10" t="n">
        <x:v>0.171717</x:v>
      </x:c>
      <x:c r="U3280" s="4" t="str">
        <x:v>Excluded / unlabelled</x:v>
      </x:c>
    </x:row>
    <x:row r="3281" ht="34" customHeight="1">
      <x:c r="A3281" s="4" t="str">
        <x:v>RS-03280</x:v>
      </x:c>
      <x:c r="B3281" s="8" t="n">
        <x:v>45477</x:v>
      </x:c>
      <x:c r="C3281" s="4" t="str">
        <x:v>PRJ-020</x:v>
      </x:c>
      <x:c r="D3281" s="4" t="str">
        <x:v>Apartment</x:v>
      </x:c>
      <x:c r="E3281" s="4" t="str">
        <x:v>Booked</x:v>
      </x:c>
      <x:c r="F3281" s="4" t="str">
        <x:v>CUS-03280</x:v>
      </x:c>
      <x:c r="G3281" s="4" t="str">
        <x:v>UNIT-03280</x:v>
      </x:c>
      <x:c r="H3281" s="9" t="n">
        <x:v>11000000</x:v>
      </x:c>
      <x:c r="I3281" s="10" t="n">
        <x:v>0.06</x:v>
      </x:c>
      <x:c r="J3281" s="11" t="n">
        <x:v>7</x:v>
      </x:c>
      <x:c r="K3281" s="11" t="n">
        <x:v>9</x:v>
      </x:c>
      <x:c r="L3281" s="11" t="n">
        <x:v>0</x:v>
      </x:c>
      <x:c r="M3281" s="9" t="n">
        <x:f>ROUND(H3281*(1-I3281),2)</x:f>
        <x:v>10340000</x:v>
      </x:c>
      <x:c r="N3281" s="4" t="str">
        <x:v>Sales manager</x:v>
      </x:c>
      <x:c r="O3281" s="4" t="str">
        <x:v>BOOK-03280</x:v>
      </x:c>
      <x:c r="P3281" s="9" t="n">
        <x:v>1034000</x:v>
      </x:c>
      <x:c r="Q3281" s="11" t="n">
        <x:v>0</x:v>
      </x:c>
      <x:c r="R3281" s="8" t="n">
        <x:v>45537</x:v>
      </x:c>
      <x:c r="S3281" s="4" t="str">
        <x:v>Retained</x:v>
      </x:c>
      <x:c r="T3281" s="10" t="n">
        <x:v>0.226277</x:v>
      </x:c>
      <x:c r="U3281" s="4" t="str">
        <x:v>Excluded / unlabelled</x:v>
      </x:c>
    </x:row>
    <x:row r="3282" ht="34" customHeight="1">
      <x:c r="A3282" s="4" t="str">
        <x:v>RS-03281</x:v>
      </x:c>
      <x:c r="B3282" s="8" t="n">
        <x:v>45478</x:v>
      </x:c>
      <x:c r="C3282" s="4" t="str">
        <x:v>PRJ-001</x:v>
      </x:c>
      <x:c r="D3282" s="4" t="str">
        <x:v>Office</x:v>
      </x:c>
      <x:c r="E3282" s="4" t="str">
        <x:v>Handed over</x:v>
      </x:c>
      <x:c r="F3282" s="4" t="str">
        <x:v>CUS-03281</x:v>
      </x:c>
      <x:c r="G3282" s="4" t="str">
        <x:v>UNIT-03281</x:v>
      </x:c>
      <x:c r="H3282" s="9" t="n">
        <x:v>19100000</x:v>
      </x:c>
      <x:c r="I3282" s="10" t="n">
        <x:v>0.05</x:v>
      </x:c>
      <x:c r="J3282" s="11" t="n">
        <x:v>8</x:v>
      </x:c>
      <x:c r="K3282" s="11" t="n">
        <x:v>7</x:v>
      </x:c>
      <x:c r="L3282" s="11" t="n">
        <x:v>1</x:v>
      </x:c>
      <x:c r="M3282" s="9" t="n">
        <x:f>ROUND(H3282*(1-I3282),2)</x:f>
        <x:v>18145000</x:v>
      </x:c>
      <x:c r="N3282" s="4" t="str">
        <x:v>Sales manager</x:v>
      </x:c>
      <x:c r="O3282" s="4" t="str">
        <x:v>BOOK-03281</x:v>
      </x:c>
      <x:c r="P3282" s="9" t="n">
        <x:v>4536250</x:v>
      </x:c>
      <x:c r="Q3282" s="11" t="n">
        <x:v>0</x:v>
      </x:c>
      <x:c r="R3282" s="8" t="n">
        <x:v>45538</x:v>
      </x:c>
      <x:c r="S3282" s="4" t="str">
        <x:v>Retained</x:v>
      </x:c>
      <x:c r="T3282" s="10" t="n">
        <x:v>0.310195</x:v>
      </x:c>
      <x:c r="U3282" s="4" t="str">
        <x:v>Excluded / unlabelled</x:v>
      </x:c>
    </x:row>
    <x:row r="3283" ht="34" customHeight="1">
      <x:c r="A3283" s="4" t="str">
        <x:v>RS-03282</x:v>
      </x:c>
      <x:c r="B3283" s="8" t="n">
        <x:v>45479</x:v>
      </x:c>
      <x:c r="C3283" s="4" t="str">
        <x:v>PRJ-002</x:v>
      </x:c>
      <x:c r="D3283" s="4" t="str">
        <x:v>Villa</x:v>
      </x:c>
      <x:c r="E3283" s="4" t="str">
        <x:v>Booked</x:v>
      </x:c>
      <x:c r="F3283" s="4" t="str">
        <x:v>CUS-03282</x:v>
      </x:c>
      <x:c r="G3283" s="4" t="str">
        <x:v>UNIT-03282</x:v>
      </x:c>
      <x:c r="H3283" s="9" t="n">
        <x:v>24600000</x:v>
      </x:c>
      <x:c r="I3283" s="10" t="n">
        <x:v>0.05</x:v>
      </x:c>
      <x:c r="J3283" s="11" t="n">
        <x:v>11</x:v>
      </x:c>
      <x:c r="K3283" s="11" t="n">
        <x:v>0</x:v>
      </x:c>
      <x:c r="L3283" s="11" t="n">
        <x:v>1</x:v>
      </x:c>
      <x:c r="M3283" s="9" t="n">
        <x:f>ROUND(H3283*(1-I3283),2)</x:f>
        <x:v>23370000</x:v>
      </x:c>
      <x:c r="N3283" s="4" t="str">
        <x:v>Sales manager</x:v>
      </x:c>
      <x:c r="O3283" s="4" t="str">
        <x:v>BOOK-03282</x:v>
      </x:c>
      <x:c r="P3283" s="9" t="n">
        <x:v>5842500</x:v>
      </x:c>
      <x:c r="Q3283" s="11" t="n">
        <x:v>0</x:v>
      </x:c>
      <x:c r="R3283" s="8" t="n">
        <x:v>45539</x:v>
      </x:c>
      <x:c r="S3283" s="4" t="str">
        <x:v>Retained</x:v>
      </x:c>
      <x:c r="T3283" s="10" t="n">
        <x:v>0.351536</x:v>
      </x:c>
      <x:c r="U3283" s="4" t="str">
        <x:v>Excluded / unlabelled</x:v>
      </x:c>
    </x:row>
    <x:row r="3284" ht="34" customHeight="1">
      <x:c r="A3284" s="4" t="str">
        <x:v>RS-03283</x:v>
      </x:c>
      <x:c r="B3284" s="8" t="n">
        <x:v>45480</x:v>
      </x:c>
      <x:c r="C3284" s="4" t="str">
        <x:v>PRJ-003</x:v>
      </x:c>
      <x:c r="D3284" s="4" t="str">
        <x:v>Retail</x:v>
      </x:c>
      <x:c r="E3284" s="4" t="str">
        <x:v>Cancelled</x:v>
      </x:c>
      <x:c r="F3284" s="4" t="str">
        <x:v>CUS-03283</x:v>
      </x:c>
      <x:c r="G3284" s="4" t="str">
        <x:v>UNIT-03283</x:v>
      </x:c>
      <x:c r="H3284" s="9" t="n">
        <x:v>20100000</x:v>
      </x:c>
      <x:c r="I3284" s="10" t="n">
        <x:v>0.09</x:v>
      </x:c>
      <x:c r="J3284" s="11" t="n">
        <x:v>1</x:v>
      </x:c>
      <x:c r="K3284" s="11" t="n">
        <x:v>6</x:v>
      </x:c>
      <x:c r="L3284" s="11" t="n">
        <x:v>1</x:v>
      </x:c>
      <x:c r="M3284" s="9" t="n">
        <x:f>ROUND(H3284*(1-I3284),2)</x:f>
        <x:v>18291000</x:v>
      </x:c>
      <x:c r="N3284" s="4" t="str">
        <x:v>Sales head</x:v>
      </x:c>
      <x:c r="O3284" s="4"/>
      <x:c r="P3284" s="9" t="n">
        <x:v>0</x:v>
      </x:c>
      <x:c r="Q3284" s="11" t="n">
        <x:v>1</x:v>
      </x:c>
      <x:c r="R3284" s="8" t="n">
        <x:v>45540</x:v>
      </x:c>
      <x:c r="S3284" s="4" t="str">
        <x:v>Lost / cancelled</x:v>
      </x:c>
      <x:c r="T3284" s="10" t="n">
        <x:v>0.145833</x:v>
      </x:c>
      <x:c r="U3284" s="4" t="str">
        <x:v>Excluded / unlabelled</x:v>
      </x:c>
    </x:row>
    <x:row r="3285" ht="34" customHeight="1">
      <x:c r="A3285" s="4" t="str">
        <x:v>RS-03284</x:v>
      </x:c>
      <x:c r="B3285" s="8" t="n">
        <x:v>45481</x:v>
      </x:c>
      <x:c r="C3285" s="4" t="str">
        <x:v>PRJ-004</x:v>
      </x:c>
      <x:c r="D3285" s="4" t="str">
        <x:v>Office</x:v>
      </x:c>
      <x:c r="E3285" s="4" t="str">
        <x:v>Booked</x:v>
      </x:c>
      <x:c r="F3285" s="4" t="str">
        <x:v>CUS-03284</x:v>
      </x:c>
      <x:c r="G3285" s="4" t="str">
        <x:v>UNIT-03284</x:v>
      </x:c>
      <x:c r="H3285" s="9" t="n">
        <x:v>3300000</x:v>
      </x:c>
      <x:c r="I3285" s="10" t="n">
        <x:v>0.09</x:v>
      </x:c>
      <x:c r="J3285" s="11" t="n">
        <x:v>1</x:v>
      </x:c>
      <x:c r="K3285" s="11" t="n">
        <x:v>10</x:v>
      </x:c>
      <x:c r="L3285" s="11" t="n">
        <x:v>0</x:v>
      </x:c>
      <x:c r="M3285" s="9" t="n">
        <x:f>ROUND(H3285*(1-I3285),2)</x:f>
        <x:v>3003000</x:v>
      </x:c>
      <x:c r="N3285" s="4" t="str">
        <x:v>Sales head</x:v>
      </x:c>
      <x:c r="O3285" s="4" t="str">
        <x:v>BOOK-03284</x:v>
      </x:c>
      <x:c r="P3285" s="9" t="n">
        <x:v>750750</x:v>
      </x:c>
      <x:c r="Q3285" s="11" t="n">
        <x:v>0</x:v>
      </x:c>
      <x:c r="R3285" s="8" t="n">
        <x:v>45541</x:v>
      </x:c>
      <x:c r="S3285" s="4" t="str">
        <x:v>Retained</x:v>
      </x:c>
      <x:c r="T3285" s="10" t="n">
        <x:v>0.145833</x:v>
      </x:c>
      <x:c r="U3285" s="4" t="str">
        <x:v>Excluded / unlabelled</x:v>
      </x:c>
    </x:row>
    <x:row r="3286" ht="34" customHeight="1">
      <x:c r="A3286" s="4" t="str">
        <x:v>RS-03285</x:v>
      </x:c>
      <x:c r="B3286" s="8" t="n">
        <x:v>45482</x:v>
      </x:c>
      <x:c r="C3286" s="4" t="str">
        <x:v>PRJ-005</x:v>
      </x:c>
      <x:c r="D3286" s="4" t="str">
        <x:v>Villa</x:v>
      </x:c>
      <x:c r="E3286" s="4" t="str">
        <x:v>Booked</x:v>
      </x:c>
      <x:c r="F3286" s="4" t="str">
        <x:v>CUS-03285</x:v>
      </x:c>
      <x:c r="G3286" s="4" t="str">
        <x:v>UNIT-03285</x:v>
      </x:c>
      <x:c r="H3286" s="9" t="n">
        <x:v>21600000</x:v>
      </x:c>
      <x:c r="I3286" s="10" t="n">
        <x:v>0.04</x:v>
      </x:c>
      <x:c r="J3286" s="11" t="n">
        <x:v>1</x:v>
      </x:c>
      <x:c r="K3286" s="11" t="n">
        <x:v>10</x:v>
      </x:c>
      <x:c r="L3286" s="11" t="n">
        <x:v>1</x:v>
      </x:c>
      <x:c r="M3286" s="9" t="n">
        <x:f>ROUND(H3286*(1-I3286),2)</x:f>
        <x:v>20736000</x:v>
      </x:c>
      <x:c r="N3286" s="4" t="str">
        <x:v>Sales manager</x:v>
      </x:c>
      <x:c r="O3286" s="4" t="str">
        <x:v>BOOK-03285</x:v>
      </x:c>
      <x:c r="P3286" s="9" t="n">
        <x:v>2073600</x:v>
      </x:c>
      <x:c r="Q3286" s="11" t="n">
        <x:v>0</x:v>
      </x:c>
      <x:c r="R3286" s="8" t="n">
        <x:v>45542</x:v>
      </x:c>
      <x:c r="S3286" s="4" t="str">
        <x:v>Retained</x:v>
      </x:c>
      <x:c r="T3286" s="10" t="n">
        <x:v>0.204152</x:v>
      </x:c>
      <x:c r="U3286" s="4" t="str">
        <x:v>Excluded / unlabelled</x:v>
      </x:c>
    </x:row>
    <x:row r="3287" ht="34" customHeight="1">
      <x:c r="A3287" s="4" t="str">
        <x:v>RS-03286</x:v>
      </x:c>
      <x:c r="B3287" s="8" t="n">
        <x:v>45483</x:v>
      </x:c>
      <x:c r="C3287" s="4" t="str">
        <x:v>PRJ-006</x:v>
      </x:c>
      <x:c r="D3287" s="4" t="str">
        <x:v>Apartment</x:v>
      </x:c>
      <x:c r="E3287" s="4" t="str">
        <x:v>Booked</x:v>
      </x:c>
      <x:c r="F3287" s="4" t="str">
        <x:v>CUS-03286</x:v>
      </x:c>
      <x:c r="G3287" s="4" t="str">
        <x:v>UNIT-03286</x:v>
      </x:c>
      <x:c r="H3287" s="9" t="n">
        <x:v>11000000</x:v>
      </x:c>
      <x:c r="I3287" s="10" t="n">
        <x:v>0.11</x:v>
      </x:c>
      <x:c r="J3287" s="11" t="n">
        <x:v>4</x:v>
      </x:c>
      <x:c r="K3287" s="11" t="n">
        <x:v>5</x:v>
      </x:c>
      <x:c r="L3287" s="11" t="n">
        <x:v>0</x:v>
      </x:c>
      <x:c r="M3287" s="9" t="n">
        <x:f>ROUND(H3287*(1-I3287),2)</x:f>
        <x:v>9790000</x:v>
      </x:c>
      <x:c r="N3287" s="4" t="str">
        <x:v>Sales head</x:v>
      </x:c>
      <x:c r="O3287" s="4" t="str">
        <x:v>BOOK-03286</x:v>
      </x:c>
      <x:c r="P3287" s="9" t="n">
        <x:v>4895000</x:v>
      </x:c>
      <x:c r="Q3287" s="11" t="n">
        <x:v>0</x:v>
      </x:c>
      <x:c r="R3287" s="8" t="n">
        <x:v>45543</x:v>
      </x:c>
      <x:c r="S3287" s="4" t="str">
        <x:v>Retained</x:v>
      </x:c>
      <x:c r="T3287" s="10" t="n">
        <x:v>0.226277</x:v>
      </x:c>
      <x:c r="U3287" s="4" t="str">
        <x:v>Excluded / unlabelled</x:v>
      </x:c>
    </x:row>
    <x:row r="3288" ht="34" customHeight="1">
      <x:c r="A3288" s="4" t="str">
        <x:v>RS-03287</x:v>
      </x:c>
      <x:c r="B3288" s="8" t="n">
        <x:v>45484</x:v>
      </x:c>
      <x:c r="C3288" s="4" t="str">
        <x:v>PRJ-007</x:v>
      </x:c>
      <x:c r="D3288" s="4" t="str">
        <x:v>Retail</x:v>
      </x:c>
      <x:c r="E3288" s="4" t="str">
        <x:v>Agreement signed</x:v>
      </x:c>
      <x:c r="F3288" s="4" t="str">
        <x:v>CUS-03287</x:v>
      </x:c>
      <x:c r="G3288" s="4" t="str">
        <x:v>UNIT-03287</x:v>
      </x:c>
      <x:c r="H3288" s="9" t="n">
        <x:v>14800000</x:v>
      </x:c>
      <x:c r="I3288" s="10" t="n">
        <x:v>0.11</x:v>
      </x:c>
      <x:c r="J3288" s="11" t="n">
        <x:v>5</x:v>
      </x:c>
      <x:c r="K3288" s="11" t="n">
        <x:v>1</x:v>
      </x:c>
      <x:c r="L3288" s="11" t="n">
        <x:v>1</x:v>
      </x:c>
      <x:c r="M3288" s="9" t="n">
        <x:f>ROUND(H3288*(1-I3288),2)</x:f>
        <x:v>13172000</x:v>
      </x:c>
      <x:c r="N3288" s="4" t="str">
        <x:v>Sales head</x:v>
      </x:c>
      <x:c r="O3288" s="4" t="str">
        <x:v>BOOK-03287</x:v>
      </x:c>
      <x:c r="P3288" s="9" t="n">
        <x:v>3293000</x:v>
      </x:c>
      <x:c r="Q3288" s="11" t="n">
        <x:v>0</x:v>
      </x:c>
      <x:c r="R3288" s="8" t="n">
        <x:v>45544</x:v>
      </x:c>
      <x:c r="S3288" s="4" t="str">
        <x:v>Retained</x:v>
      </x:c>
      <x:c r="T3288" s="10" t="n">
        <x:v>0.291946</x:v>
      </x:c>
      <x:c r="U3288" s="4" t="str">
        <x:v>Excluded / unlabelled</x:v>
      </x:c>
    </x:row>
    <x:row r="3289" ht="34" customHeight="1">
      <x:c r="A3289" s="4" t="str">
        <x:v>RS-03288</x:v>
      </x:c>
      <x:c r="B3289" s="8" t="n">
        <x:v>45485</x:v>
      </x:c>
      <x:c r="C3289" s="4" t="str">
        <x:v>PRJ-008</x:v>
      </x:c>
      <x:c r="D3289" s="4" t="str">
        <x:v>Apartment</x:v>
      </x:c>
      <x:c r="E3289" s="4" t="str">
        <x:v>Handed over</x:v>
      </x:c>
      <x:c r="F3289" s="4" t="str">
        <x:v>CUS-03288</x:v>
      </x:c>
      <x:c r="G3289" s="4" t="str">
        <x:v>UNIT-03288</x:v>
      </x:c>
      <x:c r="H3289" s="9" t="n">
        <x:v>24800000</x:v>
      </x:c>
      <x:c r="I3289" s="10" t="n">
        <x:v>0.12</x:v>
      </x:c>
      <x:c r="J3289" s="11" t="n">
        <x:v>7</x:v>
      </x:c>
      <x:c r="K3289" s="11" t="n">
        <x:v>2</x:v>
      </x:c>
      <x:c r="L3289" s="11" t="n">
        <x:v>1</x:v>
      </x:c>
      <x:c r="M3289" s="9" t="n">
        <x:f>ROUND(H3289*(1-I3289),2)</x:f>
        <x:v>21824000</x:v>
      </x:c>
      <x:c r="N3289" s="4" t="str">
        <x:v>Sales head</x:v>
      </x:c>
      <x:c r="O3289" s="4" t="str">
        <x:v>BOOK-03288</x:v>
      </x:c>
      <x:c r="P3289" s="9" t="n">
        <x:v>2182400</x:v>
      </x:c>
      <x:c r="Q3289" s="11" t="n">
        <x:v>0</x:v>
      </x:c>
      <x:c r="R3289" s="8" t="n">
        <x:v>45545</x:v>
      </x:c>
      <x:c r="S3289" s="4" t="str">
        <x:v>Retained</x:v>
      </x:c>
      <x:c r="T3289" s="10" t="n">
        <x:v>0.291946</x:v>
      </x:c>
      <x:c r="U3289" s="4" t="str">
        <x:v>Excluded / unlabelled</x:v>
      </x:c>
    </x:row>
    <x:row r="3290" ht="34" customHeight="1">
      <x:c r="A3290" s="4" t="str">
        <x:v>RS-03289</x:v>
      </x:c>
      <x:c r="B3290" s="8" t="n">
        <x:v>45486</x:v>
      </x:c>
      <x:c r="C3290" s="4" t="str">
        <x:v>PRJ-009</x:v>
      </x:c>
      <x:c r="D3290" s="4" t="str">
        <x:v>Office</x:v>
      </x:c>
      <x:c r="E3290" s="4" t="str">
        <x:v>Booked</x:v>
      </x:c>
      <x:c r="F3290" s="4" t="str">
        <x:v>CUS-03289</x:v>
      </x:c>
      <x:c r="G3290" s="4" t="str">
        <x:v>UNIT-03289</x:v>
      </x:c>
      <x:c r="H3290" s="9" t="n">
        <x:v>3300000</x:v>
      </x:c>
      <x:c r="I3290" s="10" t="n">
        <x:v>0.03</x:v>
      </x:c>
      <x:c r="J3290" s="11" t="n">
        <x:v>5</x:v>
      </x:c>
      <x:c r="K3290" s="11" t="n">
        <x:v>3</x:v>
      </x:c>
      <x:c r="L3290" s="11" t="n">
        <x:v>0</x:v>
      </x:c>
      <x:c r="M3290" s="9" t="n">
        <x:f>ROUND(H3290*(1-I3290),2)</x:f>
        <x:v>3201000</x:v>
      </x:c>
      <x:c r="N3290" s="4" t="str">
        <x:v>Sales manager</x:v>
      </x:c>
      <x:c r="O3290" s="4" t="str">
        <x:v>BOOK-03289</x:v>
      </x:c>
      <x:c r="P3290" s="9" t="n">
        <x:v>3201000</x:v>
      </x:c>
      <x:c r="Q3290" s="11" t="n">
        <x:v>0</x:v>
      </x:c>
      <x:c r="R3290" s="8" t="n">
        <x:v>45546</x:v>
      </x:c>
      <x:c r="S3290" s="4" t="str">
        <x:v>Retained</x:v>
      </x:c>
      <x:c r="T3290" s="10" t="n">
        <x:v>0.298969</x:v>
      </x:c>
      <x:c r="U3290" s="4" t="str">
        <x:v>Excluded / unlabelled</x:v>
      </x:c>
    </x:row>
    <x:row r="3291" ht="34" customHeight="1">
      <x:c r="A3291" s="4" t="str">
        <x:v>RS-03290</x:v>
      </x:c>
      <x:c r="B3291" s="8" t="n">
        <x:v>45487</x:v>
      </x:c>
      <x:c r="C3291" s="4" t="str">
        <x:v>PRJ-010</x:v>
      </x:c>
      <x:c r="D3291" s="4" t="str">
        <x:v>Villa</x:v>
      </x:c>
      <x:c r="E3291" s="4" t="str">
        <x:v>Booked</x:v>
      </x:c>
      <x:c r="F3291" s="4" t="str">
        <x:v>CUS-03290</x:v>
      </x:c>
      <x:c r="G3291" s="4" t="str">
        <x:v>UNIT-03290</x:v>
      </x:c>
      <x:c r="H3291" s="9" t="n">
        <x:v>21700000</x:v>
      </x:c>
      <x:c r="I3291" s="10" t="n">
        <x:v>0.01</x:v>
      </x:c>
      <x:c r="J3291" s="11" t="n">
        <x:v>2</x:v>
      </x:c>
      <x:c r="K3291" s="11" t="n">
        <x:v>3</x:v>
      </x:c>
      <x:c r="L3291" s="11" t="n">
        <x:v>0</x:v>
      </x:c>
      <x:c r="M3291" s="9" t="n">
        <x:f>ROUND(H3291*(1-I3291),2)</x:f>
        <x:v>21483000</x:v>
      </x:c>
      <x:c r="N3291" s="4" t="str">
        <x:v>Sales manager</x:v>
      </x:c>
      <x:c r="O3291" s="4" t="str">
        <x:v>BOOK-03290</x:v>
      </x:c>
      <x:c r="P3291" s="9" t="n">
        <x:v>10741500</x:v>
      </x:c>
      <x:c r="Q3291" s="11" t="n">
        <x:v>0</x:v>
      </x:c>
      <x:c r="R3291" s="8" t="n">
        <x:v>45547</x:v>
      </x:c>
      <x:c r="S3291" s="4" t="str">
        <x:v>Retained</x:v>
      </x:c>
      <x:c r="T3291" s="10" t="n">
        <x:v>0.171717</x:v>
      </x:c>
      <x:c r="U3291" s="4" t="str">
        <x:v>Excluded / unlabelled</x:v>
      </x:c>
    </x:row>
    <x:row r="3292" ht="34" customHeight="1">
      <x:c r="A3292" s="4" t="str">
        <x:v>RS-03291</x:v>
      </x:c>
      <x:c r="B3292" s="8" t="n">
        <x:v>45488</x:v>
      </x:c>
      <x:c r="C3292" s="4" t="str">
        <x:v>PRJ-011</x:v>
      </x:c>
      <x:c r="D3292" s="4" t="str">
        <x:v>Office</x:v>
      </x:c>
      <x:c r="E3292" s="4" t="str">
        <x:v>Cancelled</x:v>
      </x:c>
      <x:c r="F3292" s="4" t="str">
        <x:v>CUS-03291</x:v>
      </x:c>
      <x:c r="G3292" s="4" t="str">
        <x:v>UNIT-03291</x:v>
      </x:c>
      <x:c r="H3292" s="9" t="n">
        <x:v>18900000</x:v>
      </x:c>
      <x:c r="I3292" s="10" t="n">
        <x:v>0.02</x:v>
      </x:c>
      <x:c r="J3292" s="11" t="n">
        <x:v>7</x:v>
      </x:c>
      <x:c r="K3292" s="11" t="n">
        <x:v>0</x:v>
      </x:c>
      <x:c r="L3292" s="11" t="n">
        <x:v>0</x:v>
      </x:c>
      <x:c r="M3292" s="9" t="n">
        <x:f>ROUND(H3292*(1-I3292),2)</x:f>
        <x:v>18522000</x:v>
      </x:c>
      <x:c r="N3292" s="4" t="str">
        <x:v>Sales manager</x:v>
      </x:c>
      <x:c r="O3292" s="4"/>
      <x:c r="P3292" s="9" t="n">
        <x:v>0</x:v>
      </x:c>
      <x:c r="Q3292" s="11" t="n">
        <x:v>1</x:v>
      </x:c>
      <x:c r="R3292" s="8" t="n">
        <x:v>45548</x:v>
      </x:c>
      <x:c r="S3292" s="4" t="str">
        <x:v>Lost / cancelled</x:v>
      </x:c>
      <x:c r="T3292" s="10" t="n">
        <x:v>0.298969</x:v>
      </x:c>
      <x:c r="U3292" s="4" t="str">
        <x:v>Excluded / unlabelled</x:v>
      </x:c>
    </x:row>
    <x:row r="3293" ht="34" customHeight="1">
      <x:c r="A3293" s="4" t="str">
        <x:v>RS-03292</x:v>
      </x:c>
      <x:c r="B3293" s="8" t="n">
        <x:v>45489</x:v>
      </x:c>
      <x:c r="C3293" s="4" t="str">
        <x:v>PRJ-012</x:v>
      </x:c>
      <x:c r="D3293" s="4" t="str">
        <x:v>Apartment</x:v>
      </x:c>
      <x:c r="E3293" s="4" t="str">
        <x:v>Handed over</x:v>
      </x:c>
      <x:c r="F3293" s="4" t="str">
        <x:v>CUS-03292</x:v>
      </x:c>
      <x:c r="G3293" s="4" t="str">
        <x:v>UNIT-03292</x:v>
      </x:c>
      <x:c r="H3293" s="9" t="n">
        <x:v>3900000</x:v>
      </x:c>
      <x:c r="I3293" s="10" t="n">
        <x:v>0.01</x:v>
      </x:c>
      <x:c r="J3293" s="11" t="n">
        <x:v>7</x:v>
      </x:c>
      <x:c r="K3293" s="11" t="n">
        <x:v>4</x:v>
      </x:c>
      <x:c r="L3293" s="11" t="n">
        <x:v>0</x:v>
      </x:c>
      <x:c r="M3293" s="9" t="n">
        <x:f>ROUND(H3293*(1-I3293),2)</x:f>
        <x:v>3861000</x:v>
      </x:c>
      <x:c r="N3293" s="4" t="str">
        <x:v>Sales manager</x:v>
      </x:c>
      <x:c r="O3293" s="4" t="str">
        <x:v>BOOK-03292</x:v>
      </x:c>
      <x:c r="P3293" s="9" t="n">
        <x:v>386100</x:v>
      </x:c>
      <x:c r="Q3293" s="11" t="n">
        <x:v>0</x:v>
      </x:c>
      <x:c r="R3293" s="8" t="n">
        <x:v>45549</x:v>
      </x:c>
      <x:c r="S3293" s="4" t="str">
        <x:v>Retained</x:v>
      </x:c>
      <x:c r="T3293" s="10" t="n">
        <x:v>0.298969</x:v>
      </x:c>
      <x:c r="U3293" s="4" t="str">
        <x:v>Excluded / unlabelled</x:v>
      </x:c>
    </x:row>
    <x:row r="3294" ht="34" customHeight="1">
      <x:c r="A3294" s="4" t="str">
        <x:v>RS-03293</x:v>
      </x:c>
      <x:c r="B3294" s="8" t="n">
        <x:v>45490</x:v>
      </x:c>
      <x:c r="C3294" s="4" t="str">
        <x:v>PRJ-013</x:v>
      </x:c>
      <x:c r="D3294" s="4" t="str">
        <x:v>Apartment</x:v>
      </x:c>
      <x:c r="E3294" s="4" t="str">
        <x:v>Handed over</x:v>
      </x:c>
      <x:c r="F3294" s="4" t="str">
        <x:v>CUS-03293</x:v>
      </x:c>
      <x:c r="G3294" s="4" t="str">
        <x:v>UNIT-03293</x:v>
      </x:c>
      <x:c r="H3294" s="9" t="n">
        <x:v>8500000</x:v>
      </x:c>
      <x:c r="I3294" s="10" t="n">
        <x:v>0.06</x:v>
      </x:c>
      <x:c r="J3294" s="11" t="n">
        <x:v>3</x:v>
      </x:c>
      <x:c r="K3294" s="11" t="n">
        <x:v>8</x:v>
      </x:c>
      <x:c r="L3294" s="11" t="n">
        <x:v>1</x:v>
      </x:c>
      <x:c r="M3294" s="9" t="n">
        <x:f>ROUND(H3294*(1-I3294),2)</x:f>
        <x:v>7990000</x:v>
      </x:c>
      <x:c r="N3294" s="4" t="str">
        <x:v>Sales manager</x:v>
      </x:c>
      <x:c r="O3294" s="4" t="str">
        <x:v>BOOK-03293</x:v>
      </x:c>
      <x:c r="P3294" s="9" t="n">
        <x:v>7990000</x:v>
      </x:c>
      <x:c r="Q3294" s="11" t="n">
        <x:v>0</x:v>
      </x:c>
      <x:c r="R3294" s="8" t="n">
        <x:v>45550</x:v>
      </x:c>
      <x:c r="S3294" s="4" t="str">
        <x:v>Retained</x:v>
      </x:c>
      <x:c r="T3294" s="10" t="n">
        <x:v>0.204152</x:v>
      </x:c>
      <x:c r="U3294" s="4" t="str">
        <x:v>Excluded / unlabelled</x:v>
      </x:c>
    </x:row>
    <x:row r="3295" ht="34" customHeight="1">
      <x:c r="A3295" s="4" t="str">
        <x:v>RS-03294</x:v>
      </x:c>
      <x:c r="B3295" s="8" t="n">
        <x:v>45491</x:v>
      </x:c>
      <x:c r="C3295" s="4" t="str">
        <x:v>PRJ-014</x:v>
      </x:c>
      <x:c r="D3295" s="4" t="str">
        <x:v>Retail</x:v>
      </x:c>
      <x:c r="E3295" s="4" t="str">
        <x:v>Reserved</x:v>
      </x:c>
      <x:c r="F3295" s="4" t="str">
        <x:v>CUS-03294</x:v>
      </x:c>
      <x:c r="G3295" s="4" t="str">
        <x:v>UNIT-03294</x:v>
      </x:c>
      <x:c r="H3295" s="9" t="n">
        <x:v>23900000</x:v>
      </x:c>
      <x:c r="I3295" s="10" t="n">
        <x:v>0.05</x:v>
      </x:c>
      <x:c r="J3295" s="11" t="n">
        <x:v>8</x:v>
      </x:c>
      <x:c r="K3295" s="11" t="n">
        <x:v>0</x:v>
      </x:c>
      <x:c r="L3295" s="11" t="n">
        <x:v>1</x:v>
      </x:c>
      <x:c r="M3295" s="9" t="n">
        <x:f>ROUND(H3295*(1-I3295),2)</x:f>
        <x:v>22705000</x:v>
      </x:c>
      <x:c r="N3295" s="4" t="str">
        <x:v>Sales manager</x:v>
      </x:c>
      <x:c r="O3295" s="4"/>
      <x:c r="P3295" s="9" t="n">
        <x:v>0</x:v>
      </x:c>
      <x:c r="Q3295" s="11" t="n">
        <x:v>1</x:v>
      </x:c>
      <x:c r="R3295" s="8" t="n">
        <x:v>45551</x:v>
      </x:c>
      <x:c r="S3295" s="4" t="str">
        <x:v>Lost / cancelled</x:v>
      </x:c>
      <x:c r="T3295" s="10" t="n">
        <x:v>0.310195</x:v>
      </x:c>
      <x:c r="U3295" s="4" t="str">
        <x:v>Excluded / unlabelled</x:v>
      </x:c>
    </x:row>
    <x:row r="3296" ht="34" customHeight="1">
      <x:c r="A3296" s="4" t="str">
        <x:v>RS-03295</x:v>
      </x:c>
      <x:c r="B3296" s="8" t="n">
        <x:v>45492</x:v>
      </x:c>
      <x:c r="C3296" s="4" t="str">
        <x:v>PRJ-015</x:v>
      </x:c>
      <x:c r="D3296" s="4" t="str">
        <x:v>Apartment</x:v>
      </x:c>
      <x:c r="E3296" s="4" t="str">
        <x:v>Handed over</x:v>
      </x:c>
      <x:c r="F3296" s="4" t="str">
        <x:v>CUS-03295</x:v>
      </x:c>
      <x:c r="G3296" s="4" t="str">
        <x:v>UNIT-03295</x:v>
      </x:c>
      <x:c r="H3296" s="9" t="n">
        <x:v>15100000</x:v>
      </x:c>
      <x:c r="I3296" s="10" t="n">
        <x:v>0.11</x:v>
      </x:c>
      <x:c r="J3296" s="11" t="n">
        <x:v>0</x:v>
      </x:c>
      <x:c r="K3296" s="11" t="n">
        <x:v>3</x:v>
      </x:c>
      <x:c r="L3296" s="11" t="n">
        <x:v>1</x:v>
      </x:c>
      <x:c r="M3296" s="9" t="n">
        <x:f>ROUND(H3296*(1-I3296),2)</x:f>
        <x:v>13439000</x:v>
      </x:c>
      <x:c r="N3296" s="4" t="str">
        <x:v>Sales head</x:v>
      </x:c>
      <x:c r="O3296" s="4" t="str">
        <x:v>BOOK-03295</x:v>
      </x:c>
      <x:c r="P3296" s="9" t="n">
        <x:v>1343900</x:v>
      </x:c>
      <x:c r="Q3296" s="11" t="n">
        <x:v>0</x:v>
      </x:c>
      <x:c r="R3296" s="8" t="n">
        <x:v>45552</x:v>
      </x:c>
      <x:c r="S3296" s="4" t="str">
        <x:v>Retained</x:v>
      </x:c>
      <x:c r="T3296" s="10" t="n">
        <x:v>0.145833</x:v>
      </x:c>
      <x:c r="U3296" s="4" t="str">
        <x:v>Excluded / unlabelled</x:v>
      </x:c>
    </x:row>
    <x:row r="3297" ht="34" customHeight="1">
      <x:c r="A3297" s="4" t="str">
        <x:v>RS-03296</x:v>
      </x:c>
      <x:c r="B3297" s="8" t="n">
        <x:v>45493</x:v>
      </x:c>
      <x:c r="C3297" s="4" t="str">
        <x:v>PRJ-016</x:v>
      </x:c>
      <x:c r="D3297" s="4" t="str">
        <x:v>Retail</x:v>
      </x:c>
      <x:c r="E3297" s="4" t="str">
        <x:v>Reserved</x:v>
      </x:c>
      <x:c r="F3297" s="4" t="str">
        <x:v>CUS-03296</x:v>
      </x:c>
      <x:c r="G3297" s="4" t="str">
        <x:v>UNIT-03296</x:v>
      </x:c>
      <x:c r="H3297" s="9" t="n">
        <x:v>8300000</x:v>
      </x:c>
      <x:c r="I3297" s="10" t="n">
        <x:v>0.04</x:v>
      </x:c>
      <x:c r="J3297" s="11" t="n">
        <x:v>7</x:v>
      </x:c>
      <x:c r="K3297" s="11" t="n">
        <x:v>3</x:v>
      </x:c>
      <x:c r="L3297" s="11" t="n">
        <x:v>1</x:v>
      </x:c>
      <x:c r="M3297" s="9" t="n">
        <x:f>ROUND(H3297*(1-I3297),2)</x:f>
        <x:v>7968000</x:v>
      </x:c>
      <x:c r="N3297" s="4" t="str">
        <x:v>Sales manager</x:v>
      </x:c>
      <x:c r="O3297" s="4"/>
      <x:c r="P3297" s="9" t="n">
        <x:v>0</x:v>
      </x:c>
      <x:c r="Q3297" s="11" t="n">
        <x:v>0</x:v>
      </x:c>
      <x:c r="R3297" s="8" t="n">
        <x:v>45553</x:v>
      </x:c>
      <x:c r="S3297" s="4" t="str">
        <x:v>Retained</x:v>
      </x:c>
      <x:c r="T3297" s="10" t="n">
        <x:v>0.291946</x:v>
      </x:c>
      <x:c r="U3297" s="4" t="str">
        <x:v>Excluded / unlabelled</x:v>
      </x:c>
    </x:row>
    <x:row r="3298" ht="34" customHeight="1">
      <x:c r="A3298" s="4" t="str">
        <x:v>RS-03297</x:v>
      </x:c>
      <x:c r="B3298" s="8" t="n">
        <x:v>45494</x:v>
      </x:c>
      <x:c r="C3298" s="4" t="str">
        <x:v>PRJ-017</x:v>
      </x:c>
      <x:c r="D3298" s="4" t="str">
        <x:v>Office</x:v>
      </x:c>
      <x:c r="E3298" s="4" t="str">
        <x:v>Agreement signed</x:v>
      </x:c>
      <x:c r="F3298" s="4" t="str">
        <x:v>CUS-03297</x:v>
      </x:c>
      <x:c r="G3298" s="4" t="str">
        <x:v>UNIT-03297</x:v>
      </x:c>
      <x:c r="H3298" s="9" t="n">
        <x:v>15200000</x:v>
      </x:c>
      <x:c r="I3298" s="10" t="n">
        <x:v>0.05</x:v>
      </x:c>
      <x:c r="J3298" s="11" t="n">
        <x:v>9</x:v>
      </x:c>
      <x:c r="K3298" s="11" t="n">
        <x:v>9</x:v>
      </x:c>
      <x:c r="L3298" s="11" t="n">
        <x:v>0</x:v>
      </x:c>
      <x:c r="M3298" s="9" t="n">
        <x:f>ROUND(H3298*(1-I3298),2)</x:f>
        <x:v>14440000</x:v>
      </x:c>
      <x:c r="N3298" s="4" t="str">
        <x:v>Sales manager</x:v>
      </x:c>
      <x:c r="O3298" s="4" t="str">
        <x:v>BOOK-03297</x:v>
      </x:c>
      <x:c r="P3298" s="9" t="n">
        <x:v>7220000</x:v>
      </x:c>
      <x:c r="Q3298" s="11" t="n">
        <x:v>0</x:v>
      </x:c>
      <x:c r="R3298" s="8" t="n">
        <x:v>45554</x:v>
      </x:c>
      <x:c r="S3298" s="4" t="str">
        <x:v>Retained</x:v>
      </x:c>
      <x:c r="T3298" s="10" t="n">
        <x:v>0.310195</x:v>
      </x:c>
      <x:c r="U3298" s="4" t="str">
        <x:v>Excluded / unlabelled</x:v>
      </x:c>
    </x:row>
    <x:row r="3299" ht="34" customHeight="1">
      <x:c r="A3299" s="4" t="str">
        <x:v>RS-03298</x:v>
      </x:c>
      <x:c r="B3299" s="8" t="n">
        <x:v>45495</x:v>
      </x:c>
      <x:c r="C3299" s="4" t="str">
        <x:v>PRJ-018</x:v>
      </x:c>
      <x:c r="D3299" s="4" t="str">
        <x:v>Apartment</x:v>
      </x:c>
      <x:c r="E3299" s="4" t="str">
        <x:v>Booked</x:v>
      </x:c>
      <x:c r="F3299" s="4" t="str">
        <x:v>CUS-03298</x:v>
      </x:c>
      <x:c r="G3299" s="4" t="str">
        <x:v>UNIT-03298</x:v>
      </x:c>
      <x:c r="H3299" s="9" t="n">
        <x:v>21700000</x:v>
      </x:c>
      <x:c r="I3299" s="10" t="n">
        <x:v>0.11</x:v>
      </x:c>
      <x:c r="J3299" s="11" t="n">
        <x:v>3</x:v>
      </x:c>
      <x:c r="K3299" s="11" t="n">
        <x:v>7</x:v>
      </x:c>
      <x:c r="L3299" s="11" t="n">
        <x:v>0</x:v>
      </x:c>
      <x:c r="M3299" s="9" t="n">
        <x:f>ROUND(H3299*(1-I3299),2)</x:f>
        <x:v>19313000</x:v>
      </x:c>
      <x:c r="N3299" s="4" t="str">
        <x:v>Sales head</x:v>
      </x:c>
      <x:c r="O3299" s="4" t="str">
        <x:v>BOOK-03298</x:v>
      </x:c>
      <x:c r="P3299" s="9" t="n">
        <x:v>1931300</x:v>
      </x:c>
      <x:c r="Q3299" s="11" t="n">
        <x:v>0</x:v>
      </x:c>
      <x:c r="R3299" s="8" t="n">
        <x:v>45555</x:v>
      </x:c>
      <x:c r="S3299" s="4" t="str">
        <x:v>Retained</x:v>
      </x:c>
      <x:c r="T3299" s="10" t="n">
        <x:v>0.145833</x:v>
      </x:c>
      <x:c r="U3299" s="4" t="str">
        <x:v>Excluded / unlabelled</x:v>
      </x:c>
    </x:row>
    <x:row r="3300" ht="34" customHeight="1">
      <x:c r="A3300" s="4" t="str">
        <x:v>RS-03299</x:v>
      </x:c>
      <x:c r="B3300" s="8" t="n">
        <x:v>45496</x:v>
      </x:c>
      <x:c r="C3300" s="4" t="str">
        <x:v>PRJ-019</x:v>
      </x:c>
      <x:c r="D3300" s="4" t="str">
        <x:v>Retail</x:v>
      </x:c>
      <x:c r="E3300" s="4" t="str">
        <x:v>Handed over</x:v>
      </x:c>
      <x:c r="F3300" s="4" t="str">
        <x:v>CUS-03299</x:v>
      </x:c>
      <x:c r="G3300" s="4" t="str">
        <x:v>UNIT-03299</x:v>
      </x:c>
      <x:c r="H3300" s="9" t="n">
        <x:v>3900000</x:v>
      </x:c>
      <x:c r="I3300" s="10" t="n">
        <x:v>0.05</x:v>
      </x:c>
      <x:c r="J3300" s="11" t="n">
        <x:v>1</x:v>
      </x:c>
      <x:c r="K3300" s="11" t="n">
        <x:v>5</x:v>
      </x:c>
      <x:c r="L3300" s="11" t="n">
        <x:v>1</x:v>
      </x:c>
      <x:c r="M3300" s="9" t="n">
        <x:f>ROUND(H3300*(1-I3300),2)</x:f>
        <x:v>3705000</x:v>
      </x:c>
      <x:c r="N3300" s="4" t="str">
        <x:v>Sales manager</x:v>
      </x:c>
      <x:c r="O3300" s="4" t="str">
        <x:v>BOOK-03299</x:v>
      </x:c>
      <x:c r="P3300" s="9" t="n">
        <x:v>1852500</x:v>
      </x:c>
      <x:c r="Q3300" s="11" t="n">
        <x:v>0</x:v>
      </x:c>
      <x:c r="R3300" s="8" t="n">
        <x:v>45556</x:v>
      </x:c>
      <x:c r="S3300" s="4" t="str">
        <x:v>Retained</x:v>
      </x:c>
      <x:c r="T3300" s="10" t="n">
        <x:v>0.204152</x:v>
      </x:c>
      <x:c r="U3300" s="4" t="str">
        <x:v>Excluded / unlabelled</x:v>
      </x:c>
    </x:row>
    <x:row r="3301" ht="34" customHeight="1">
      <x:c r="A3301" s="4" t="str">
        <x:v>RS-03300</x:v>
      </x:c>
      <x:c r="B3301" s="8" t="n">
        <x:v>45497</x:v>
      </x:c>
      <x:c r="C3301" s="4" t="str">
        <x:v>PRJ-020</x:v>
      </x:c>
      <x:c r="D3301" s="4" t="str">
        <x:v>Apartment</x:v>
      </x:c>
      <x:c r="E3301" s="4" t="str">
        <x:v>Reserved</x:v>
      </x:c>
      <x:c r="F3301" s="4" t="str">
        <x:v>CUS-03300</x:v>
      </x:c>
      <x:c r="G3301" s="4" t="str">
        <x:v>UNIT-03300</x:v>
      </x:c>
      <x:c r="H3301" s="9" t="n">
        <x:v>20400000</x:v>
      </x:c>
      <x:c r="I3301" s="10" t="n">
        <x:v>0.05</x:v>
      </x:c>
      <x:c r="J3301" s="11" t="n">
        <x:v>6</x:v>
      </x:c>
      <x:c r="K3301" s="11" t="n">
        <x:v>9</x:v>
      </x:c>
      <x:c r="L3301" s="11" t="n">
        <x:v>1</x:v>
      </x:c>
      <x:c r="M3301" s="9" t="n">
        <x:f>ROUND(H3301*(1-I3301),2)</x:f>
        <x:v>19380000</x:v>
      </x:c>
      <x:c r="N3301" s="4" t="str">
        <x:v>Sales manager</x:v>
      </x:c>
      <x:c r="O3301" s="4"/>
      <x:c r="P3301" s="9" t="n">
        <x:v>0</x:v>
      </x:c>
      <x:c r="Q3301" s="11" t="n">
        <x:v>0</x:v>
      </x:c>
      <x:c r="R3301" s="8" t="n">
        <x:v>45557</x:v>
      </x:c>
      <x:c r="S3301" s="4" t="str">
        <x:v>Retained</x:v>
      </x:c>
      <x:c r="T3301" s="10" t="n">
        <x:v>0.291946</x:v>
      </x:c>
      <x:c r="U3301" s="4" t="str">
        <x:v>Excluded / unlabelled</x:v>
      </x:c>
    </x:row>
    <x:row r="3302" ht="34" customHeight="1">
      <x:c r="A3302" s="4" t="str">
        <x:v>RS-03301</x:v>
      </x:c>
      <x:c r="B3302" s="8" t="n">
        <x:v>45498</x:v>
      </x:c>
      <x:c r="C3302" s="4" t="str">
        <x:v>PRJ-001</x:v>
      </x:c>
      <x:c r="D3302" s="4" t="str">
        <x:v>Retail</x:v>
      </x:c>
      <x:c r="E3302" s="4" t="str">
        <x:v>Agreement signed</x:v>
      </x:c>
      <x:c r="F3302" s="4" t="str">
        <x:v>CUS-03301</x:v>
      </x:c>
      <x:c r="G3302" s="4" t="str">
        <x:v>UNIT-03301</x:v>
      </x:c>
      <x:c r="H3302" s="9" t="n">
        <x:v>12700000</x:v>
      </x:c>
      <x:c r="I3302" s="10" t="n">
        <x:v>0.12</x:v>
      </x:c>
      <x:c r="J3302" s="11" t="n">
        <x:v>8</x:v>
      </x:c>
      <x:c r="K3302" s="11" t="n">
        <x:v>1</x:v>
      </x:c>
      <x:c r="L3302" s="11" t="n">
        <x:v>0</x:v>
      </x:c>
      <x:c r="M3302" s="9" t="n">
        <x:f>ROUND(H3302*(1-I3302),2)</x:f>
        <x:v>11176000</x:v>
      </x:c>
      <x:c r="N3302" s="4" t="str">
        <x:v>Sales head</x:v>
      </x:c>
      <x:c r="O3302" s="4" t="str">
        <x:v>BOOK-03301</x:v>
      </x:c>
      <x:c r="P3302" s="9" t="n">
        <x:v>5588000</x:v>
      </x:c>
      <x:c r="Q3302" s="11" t="n">
        <x:v>0</x:v>
      </x:c>
      <x:c r="R3302" s="8" t="n">
        <x:v>45558</x:v>
      </x:c>
      <x:c r="S3302" s="4" t="str">
        <x:v>Retained</x:v>
      </x:c>
      <x:c r="T3302" s="10" t="n">
        <x:v>0.310195</x:v>
      </x:c>
      <x:c r="U3302" s="4" t="str">
        <x:v>Excluded / unlabelled</x:v>
      </x:c>
    </x:row>
    <x:row r="3303" ht="34" customHeight="1">
      <x:c r="A3303" s="4" t="str">
        <x:v>RS-03302</x:v>
      </x:c>
      <x:c r="B3303" s="8" t="n">
        <x:v>45499</x:v>
      </x:c>
      <x:c r="C3303" s="4" t="str">
        <x:v>PRJ-002</x:v>
      </x:c>
      <x:c r="D3303" s="4" t="str">
        <x:v>Retail</x:v>
      </x:c>
      <x:c r="E3303" s="4" t="str">
        <x:v>Enquiry</x:v>
      </x:c>
      <x:c r="F3303" s="4" t="str">
        <x:v>CUS-03302</x:v>
      </x:c>
      <x:c r="G3303" s="4" t="str">
        <x:v>UNIT-03302</x:v>
      </x:c>
      <x:c r="H3303" s="9" t="n">
        <x:v>20200000</x:v>
      </x:c>
      <x:c r="I3303" s="10" t="n">
        <x:v>0.1</x:v>
      </x:c>
      <x:c r="J3303" s="11" t="n">
        <x:v>8</x:v>
      </x:c>
      <x:c r="K3303" s="11" t="n">
        <x:v>5</x:v>
      </x:c>
      <x:c r="L3303" s="11" t="n">
        <x:v>1</x:v>
      </x:c>
      <x:c r="M3303" s="9" t="n">
        <x:f>ROUND(H3303*(1-I3303),2)</x:f>
        <x:v>18180000</x:v>
      </x:c>
      <x:c r="N3303" s="4" t="str">
        <x:v>Sales head</x:v>
      </x:c>
      <x:c r="O3303" s="4"/>
      <x:c r="P3303" s="9" t="n">
        <x:v>0</x:v>
      </x:c>
      <x:c r="Q3303" s="11" t="n">
        <x:v>1</x:v>
      </x:c>
      <x:c r="R3303" s="8" t="n">
        <x:v>45559</x:v>
      </x:c>
      <x:c r="S3303" s="4" t="str">
        <x:v>Lost / cancelled</x:v>
      </x:c>
      <x:c r="T3303" s="10" t="n">
        <x:v>0.310195</x:v>
      </x:c>
      <x:c r="U3303" s="4" t="str">
        <x:v>Excluded / unlabelled</x:v>
      </x:c>
    </x:row>
    <x:row r="3304" ht="34" customHeight="1">
      <x:c r="A3304" s="4" t="str">
        <x:v>RS-03303</x:v>
      </x:c>
      <x:c r="B3304" s="8" t="n">
        <x:v>45500</x:v>
      </x:c>
      <x:c r="C3304" s="4" t="str">
        <x:v>PRJ-003</x:v>
      </x:c>
      <x:c r="D3304" s="4" t="str">
        <x:v>Office</x:v>
      </x:c>
      <x:c r="E3304" s="4" t="str">
        <x:v>Booked</x:v>
      </x:c>
      <x:c r="F3304" s="4" t="str">
        <x:v>CUS-03303</x:v>
      </x:c>
      <x:c r="G3304" s="4" t="str">
        <x:v>UNIT-03303</x:v>
      </x:c>
      <x:c r="H3304" s="9" t="n">
        <x:v>15800000</x:v>
      </x:c>
      <x:c r="I3304" s="10" t="n">
        <x:v>0.08</x:v>
      </x:c>
      <x:c r="J3304" s="11" t="n">
        <x:v>9</x:v>
      </x:c>
      <x:c r="K3304" s="11" t="n">
        <x:v>1</x:v>
      </x:c>
      <x:c r="L3304" s="11" t="n">
        <x:v>0</x:v>
      </x:c>
      <x:c r="M3304" s="9" t="n">
        <x:f>ROUND(H3304*(1-I3304),2)</x:f>
        <x:v>14536000</x:v>
      </x:c>
      <x:c r="N3304" s="4" t="str">
        <x:v>Sales head</x:v>
      </x:c>
      <x:c r="O3304" s="4" t="str">
        <x:v>BOOK-03303</x:v>
      </x:c>
      <x:c r="P3304" s="9" t="n">
        <x:v>3634000</x:v>
      </x:c>
      <x:c r="Q3304" s="11" t="n">
        <x:v>0</x:v>
      </x:c>
      <x:c r="R3304" s="8" t="n">
        <x:v>45560</x:v>
      </x:c>
      <x:c r="S3304" s="4" t="str">
        <x:v>Retained</x:v>
      </x:c>
      <x:c r="T3304" s="10" t="n">
        <x:v>0.310195</x:v>
      </x:c>
      <x:c r="U3304" s="4" t="str">
        <x:v>Excluded / unlabelled</x:v>
      </x:c>
    </x:row>
    <x:row r="3305" ht="34" customHeight="1">
      <x:c r="A3305" s="4" t="str">
        <x:v>RS-03304</x:v>
      </x:c>
      <x:c r="B3305" s="8" t="n">
        <x:v>45501</x:v>
      </x:c>
      <x:c r="C3305" s="4" t="str">
        <x:v>PRJ-004</x:v>
      </x:c>
      <x:c r="D3305" s="4" t="str">
        <x:v>Retail</x:v>
      </x:c>
      <x:c r="E3305" s="4" t="str">
        <x:v>Booked</x:v>
      </x:c>
      <x:c r="F3305" s="4" t="str">
        <x:v>CUS-03304</x:v>
      </x:c>
      <x:c r="G3305" s="4" t="str">
        <x:v>UNIT-03304</x:v>
      </x:c>
      <x:c r="H3305" s="9" t="n">
        <x:v>8700000</x:v>
      </x:c>
      <x:c r="I3305" s="10" t="n">
        <x:v>0.02</x:v>
      </x:c>
      <x:c r="J3305" s="11" t="n">
        <x:v>1</x:v>
      </x:c>
      <x:c r="K3305" s="11" t="n">
        <x:v>9</x:v>
      </x:c>
      <x:c r="L3305" s="11" t="n">
        <x:v>1</x:v>
      </x:c>
      <x:c r="M3305" s="9" t="n">
        <x:f>ROUND(H3305*(1-I3305),2)</x:f>
        <x:v>8526000</x:v>
      </x:c>
      <x:c r="N3305" s="4" t="str">
        <x:v>Sales manager</x:v>
      </x:c>
      <x:c r="O3305" s="4" t="str">
        <x:v>BOOK-03304</x:v>
      </x:c>
      <x:c r="P3305" s="9" t="n">
        <x:v>2131500</x:v>
      </x:c>
      <x:c r="Q3305" s="11" t="n">
        <x:v>0</x:v>
      </x:c>
      <x:c r="R3305" s="8" t="n">
        <x:v>45561</x:v>
      </x:c>
      <x:c r="S3305" s="4" t="str">
        <x:v>Retained</x:v>
      </x:c>
      <x:c r="T3305" s="10" t="n">
        <x:v>0.072165</x:v>
      </x:c>
      <x:c r="U3305" s="4" t="str">
        <x:v>Excluded / unlabelled</x:v>
      </x:c>
    </x:row>
    <x:row r="3306" ht="34" customHeight="1">
      <x:c r="A3306" s="4" t="str">
        <x:v>RS-03305</x:v>
      </x:c>
      <x:c r="B3306" s="8" t="n">
        <x:v>45474</x:v>
      </x:c>
      <x:c r="C3306" s="4" t="str">
        <x:v>PRJ-005</x:v>
      </x:c>
      <x:c r="D3306" s="4" t="str">
        <x:v>Retail</x:v>
      </x:c>
      <x:c r="E3306" s="4" t="str">
        <x:v>Enquiry</x:v>
      </x:c>
      <x:c r="F3306" s="4" t="str">
        <x:v>CUS-03305</x:v>
      </x:c>
      <x:c r="G3306" s="4" t="str">
        <x:v>UNIT-03305</x:v>
      </x:c>
      <x:c r="H3306" s="9" t="n">
        <x:v>11100000</x:v>
      </x:c>
      <x:c r="I3306" s="10" t="n">
        <x:v>0.05</x:v>
      </x:c>
      <x:c r="J3306" s="11" t="n">
        <x:v>4</x:v>
      </x:c>
      <x:c r="K3306" s="11" t="n">
        <x:v>9</x:v>
      </x:c>
      <x:c r="L3306" s="11" t="n">
        <x:v>1</x:v>
      </x:c>
      <x:c r="M3306" s="9" t="n">
        <x:f>ROUND(H3306*(1-I3306),2)</x:f>
        <x:v>10545000</x:v>
      </x:c>
      <x:c r="N3306" s="4" t="str">
        <x:v>Sales manager</x:v>
      </x:c>
      <x:c r="O3306" s="4"/>
      <x:c r="P3306" s="9" t="n">
        <x:v>0</x:v>
      </x:c>
      <x:c r="Q3306" s="11" t="n">
        <x:v>0</x:v>
      </x:c>
      <x:c r="R3306" s="8" t="n">
        <x:v>45534</x:v>
      </x:c>
      <x:c r="S3306" s="4" t="str">
        <x:v>Retained</x:v>
      </x:c>
      <x:c r="T3306" s="10" t="n">
        <x:v>0.291946</x:v>
      </x:c>
      <x:c r="U3306" s="4" t="str">
        <x:v>Excluded / unlabelled</x:v>
      </x:c>
    </x:row>
    <x:row r="3307" ht="34" customHeight="1">
      <x:c r="A3307" s="4" t="str">
        <x:v>RS-03306</x:v>
      </x:c>
      <x:c r="B3307" s="8" t="n">
        <x:v>45475</x:v>
      </x:c>
      <x:c r="C3307" s="4" t="str">
        <x:v>PRJ-006</x:v>
      </x:c>
      <x:c r="D3307" s="4" t="str">
        <x:v>Retail</x:v>
      </x:c>
      <x:c r="E3307" s="4" t="str">
        <x:v>Booked</x:v>
      </x:c>
      <x:c r="F3307" s="4" t="str">
        <x:v>CUS-03306</x:v>
      </x:c>
      <x:c r="G3307" s="4" t="str">
        <x:v>UNIT-03306</x:v>
      </x:c>
      <x:c r="H3307" s="9" t="n">
        <x:v>20300000</x:v>
      </x:c>
      <x:c r="I3307" s="10" t="n">
        <x:v>0.04</x:v>
      </x:c>
      <x:c r="J3307" s="11" t="n">
        <x:v>1</x:v>
      </x:c>
      <x:c r="K3307" s="11" t="n">
        <x:v>7</x:v>
      </x:c>
      <x:c r="L3307" s="11" t="n">
        <x:v>0</x:v>
      </x:c>
      <x:c r="M3307" s="9" t="n">
        <x:f>ROUND(H3307*(1-I3307),2)</x:f>
        <x:v>19488000</x:v>
      </x:c>
      <x:c r="N3307" s="4" t="str">
        <x:v>Sales manager</x:v>
      </x:c>
      <x:c r="O3307" s="4" t="str">
        <x:v>BOOK-03306</x:v>
      </x:c>
      <x:c r="P3307" s="9" t="n">
        <x:v>19488000</x:v>
      </x:c>
      <x:c r="Q3307" s="11" t="n">
        <x:v>0</x:v>
      </x:c>
      <x:c r="R3307" s="8" t="n">
        <x:v>45535</x:v>
      </x:c>
      <x:c r="S3307" s="4" t="str">
        <x:v>Retained</x:v>
      </x:c>
      <x:c r="T3307" s="10" t="n">
        <x:v>0.204152</x:v>
      </x:c>
      <x:c r="U3307" s="4" t="str">
        <x:v>Excluded / unlabelled</x:v>
      </x:c>
    </x:row>
    <x:row r="3308" ht="34" customHeight="1">
      <x:c r="A3308" s="4" t="str">
        <x:v>RS-03307</x:v>
      </x:c>
      <x:c r="B3308" s="8" t="n">
        <x:v>45476</x:v>
      </x:c>
      <x:c r="C3308" s="4" t="str">
        <x:v>PRJ-007</x:v>
      </x:c>
      <x:c r="D3308" s="4" t="str">
        <x:v>Apartment</x:v>
      </x:c>
      <x:c r="E3308" s="4" t="str">
        <x:v>Cancelled</x:v>
      </x:c>
      <x:c r="F3308" s="4" t="str">
        <x:v>CUS-03307</x:v>
      </x:c>
      <x:c r="G3308" s="4" t="str">
        <x:v>UNIT-03307</x:v>
      </x:c>
      <x:c r="H3308" s="9" t="n">
        <x:v>15200000</x:v>
      </x:c>
      <x:c r="I3308" s="10" t="n">
        <x:v>0.12</x:v>
      </x:c>
      <x:c r="J3308" s="11" t="n">
        <x:v>10</x:v>
      </x:c>
      <x:c r="K3308" s="11" t="n">
        <x:v>9</x:v>
      </x:c>
      <x:c r="L3308" s="11" t="n">
        <x:v>1</x:v>
      </x:c>
      <x:c r="M3308" s="9" t="n">
        <x:f>ROUND(H3308*(1-I3308),2)</x:f>
        <x:v>13376000</x:v>
      </x:c>
      <x:c r="N3308" s="4" t="str">
        <x:v>Sales head</x:v>
      </x:c>
      <x:c r="O3308" s="4"/>
      <x:c r="P3308" s="9" t="n">
        <x:v>0</x:v>
      </x:c>
      <x:c r="Q3308" s="11" t="n">
        <x:v>1</x:v>
      </x:c>
      <x:c r="R3308" s="8" t="n">
        <x:v>45536</x:v>
      </x:c>
      <x:c r="S3308" s="4" t="str">
        <x:v>Lost / cancelled</x:v>
      </x:c>
      <x:c r="T3308" s="10" t="n">
        <x:v>0.310195</x:v>
      </x:c>
      <x:c r="U3308" s="4" t="str">
        <x:v>Excluded / unlabelled</x:v>
      </x:c>
    </x:row>
    <x:row r="3309" ht="34" customHeight="1">
      <x:c r="A3309" s="4" t="str">
        <x:v>RS-03308</x:v>
      </x:c>
      <x:c r="B3309" s="8" t="n">
        <x:v>45477</x:v>
      </x:c>
      <x:c r="C3309" s="4" t="str">
        <x:v>PRJ-008</x:v>
      </x:c>
      <x:c r="D3309" s="4" t="str">
        <x:v>Retail</x:v>
      </x:c>
      <x:c r="E3309" s="4" t="str">
        <x:v>Cancelled</x:v>
      </x:c>
      <x:c r="F3309" s="4" t="str">
        <x:v>CUS-03308</x:v>
      </x:c>
      <x:c r="G3309" s="4" t="str">
        <x:v>UNIT-03308</x:v>
      </x:c>
      <x:c r="H3309" s="9" t="n">
        <x:v>16100000</x:v>
      </x:c>
      <x:c r="I3309" s="10" t="n">
        <x:v>0.01</x:v>
      </x:c>
      <x:c r="J3309" s="11" t="n">
        <x:v>0</x:v>
      </x:c>
      <x:c r="K3309" s="11" t="n">
        <x:v>1</x:v>
      </x:c>
      <x:c r="L3309" s="11" t="n">
        <x:v>0</x:v>
      </x:c>
      <x:c r="M3309" s="9" t="n">
        <x:f>ROUND(H3309*(1-I3309),2)</x:f>
        <x:v>15939000</x:v>
      </x:c>
      <x:c r="N3309" s="4" t="str">
        <x:v>Sales manager</x:v>
      </x:c>
      <x:c r="O3309" s="4"/>
      <x:c r="P3309" s="9" t="n">
        <x:v>0</x:v>
      </x:c>
      <x:c r="Q3309" s="11" t="n">
        <x:v>1</x:v>
      </x:c>
      <x:c r="R3309" s="8" t="n">
        <x:v>45537</x:v>
      </x:c>
      <x:c r="S3309" s="4" t="str">
        <x:v>Lost / cancelled</x:v>
      </x:c>
      <x:c r="T3309" s="10" t="n">
        <x:v>0.072165</x:v>
      </x:c>
      <x:c r="U3309" s="4" t="str">
        <x:v>Excluded / unlabelled</x:v>
      </x:c>
    </x:row>
    <x:row r="3310" ht="34" customHeight="1">
      <x:c r="A3310" s="4" t="str">
        <x:v>RS-03309</x:v>
      </x:c>
      <x:c r="B3310" s="8" t="n">
        <x:v>45478</x:v>
      </x:c>
      <x:c r="C3310" s="4" t="str">
        <x:v>PRJ-009</x:v>
      </x:c>
      <x:c r="D3310" s="4" t="str">
        <x:v>Office</x:v>
      </x:c>
      <x:c r="E3310" s="4" t="str">
        <x:v>Handed over</x:v>
      </x:c>
      <x:c r="F3310" s="4" t="str">
        <x:v>CUS-03309</x:v>
      </x:c>
      <x:c r="G3310" s="4" t="str">
        <x:v>UNIT-03309</x:v>
      </x:c>
      <x:c r="H3310" s="9" t="n">
        <x:v>20600000</x:v>
      </x:c>
      <x:c r="I3310" s="10" t="n">
        <x:v>0.11</x:v>
      </x:c>
      <x:c r="J3310" s="11" t="n">
        <x:v>9</x:v>
      </x:c>
      <x:c r="K3310" s="11" t="n">
        <x:v>6</x:v>
      </x:c>
      <x:c r="L3310" s="11" t="n">
        <x:v>1</x:v>
      </x:c>
      <x:c r="M3310" s="9" t="n">
        <x:f>ROUND(H3310*(1-I3310),2)</x:f>
        <x:v>18334000</x:v>
      </x:c>
      <x:c r="N3310" s="4" t="str">
        <x:v>Sales head</x:v>
      </x:c>
      <x:c r="O3310" s="4" t="str">
        <x:v>BOOK-03309</x:v>
      </x:c>
      <x:c r="P3310" s="9" t="n">
        <x:v>18334000</x:v>
      </x:c>
      <x:c r="Q3310" s="11" t="n">
        <x:v>0</x:v>
      </x:c>
      <x:c r="R3310" s="8" t="n">
        <x:v>45538</x:v>
      </x:c>
      <x:c r="S3310" s="4" t="str">
        <x:v>Retained</x:v>
      </x:c>
      <x:c r="T3310" s="10" t="n">
        <x:v>0.310195</x:v>
      </x:c>
      <x:c r="U3310" s="4" t="str">
        <x:v>Excluded / unlabelled</x:v>
      </x:c>
    </x:row>
    <x:row r="3311" ht="34" customHeight="1">
      <x:c r="A3311" s="4" t="str">
        <x:v>RS-03310</x:v>
      </x:c>
      <x:c r="B3311" s="8" t="n">
        <x:v>45479</x:v>
      </x:c>
      <x:c r="C3311" s="4" t="str">
        <x:v>PRJ-010</x:v>
      </x:c>
      <x:c r="D3311" s="4" t="str">
        <x:v>Office</x:v>
      </x:c>
      <x:c r="E3311" s="4" t="str">
        <x:v>Booked</x:v>
      </x:c>
      <x:c r="F3311" s="4" t="str">
        <x:v>CUS-03310</x:v>
      </x:c>
      <x:c r="G3311" s="4" t="str">
        <x:v>UNIT-03310</x:v>
      </x:c>
      <x:c r="H3311" s="9" t="n">
        <x:v>17300000</x:v>
      </x:c>
      <x:c r="I3311" s="10" t="n">
        <x:v>0.11</x:v>
      </x:c>
      <x:c r="J3311" s="11" t="n">
        <x:v>2</x:v>
      </x:c>
      <x:c r="K3311" s="11" t="n">
        <x:v>4</x:v>
      </x:c>
      <x:c r="L3311" s="11" t="n">
        <x:v>0</x:v>
      </x:c>
      <x:c r="M3311" s="9" t="n">
        <x:f>ROUND(H3311*(1-I3311),2)</x:f>
        <x:v>15397000</x:v>
      </x:c>
      <x:c r="N3311" s="4" t="str">
        <x:v>Sales head</x:v>
      </x:c>
      <x:c r="O3311" s="4" t="str">
        <x:v>BOOK-03310</x:v>
      </x:c>
      <x:c r="P3311" s="9" t="n">
        <x:v>3849250</x:v>
      </x:c>
      <x:c r="Q3311" s="11" t="n">
        <x:v>0</x:v>
      </x:c>
      <x:c r="R3311" s="8" t="n">
        <x:v>45539</x:v>
      </x:c>
      <x:c r="S3311" s="4" t="str">
        <x:v>Retained</x:v>
      </x:c>
      <x:c r="T3311" s="10" t="n">
        <x:v>0.145833</x:v>
      </x:c>
      <x:c r="U3311" s="4" t="str">
        <x:v>Excluded / unlabelled</x:v>
      </x:c>
    </x:row>
    <x:row r="3312" ht="34" customHeight="1">
      <x:c r="A3312" s="4" t="str">
        <x:v>RS-03311</x:v>
      </x:c>
      <x:c r="B3312" s="8" t="n">
        <x:v>45480</x:v>
      </x:c>
      <x:c r="C3312" s="4" t="str">
        <x:v>PRJ-011</x:v>
      </x:c>
      <x:c r="D3312" s="4" t="str">
        <x:v>Villa</x:v>
      </x:c>
      <x:c r="E3312" s="4" t="str">
        <x:v>Agreement signed</x:v>
      </x:c>
      <x:c r="F3312" s="4" t="str">
        <x:v>CUS-03311</x:v>
      </x:c>
      <x:c r="G3312" s="4" t="str">
        <x:v>UNIT-03311</x:v>
      </x:c>
      <x:c r="H3312" s="9" t="n">
        <x:v>9900000</x:v>
      </x:c>
      <x:c r="I3312" s="10" t="n">
        <x:v>0.09</x:v>
      </x:c>
      <x:c r="J3312" s="11" t="n">
        <x:v>7</x:v>
      </x:c>
      <x:c r="K3312" s="11" t="n">
        <x:v>10</x:v>
      </x:c>
      <x:c r="L3312" s="11" t="n">
        <x:v>0</x:v>
      </x:c>
      <x:c r="M3312" s="9" t="n">
        <x:f>ROUND(H3312*(1-I3312),2)</x:f>
        <x:v>9009000</x:v>
      </x:c>
      <x:c r="N3312" s="4" t="str">
        <x:v>Sales head</x:v>
      </x:c>
      <x:c r="O3312" s="4" t="str">
        <x:v>BOOK-03311</x:v>
      </x:c>
      <x:c r="P3312" s="9" t="n">
        <x:v>2252250</x:v>
      </x:c>
      <x:c r="Q3312" s="11" t="n">
        <x:v>0</x:v>
      </x:c>
      <x:c r="R3312" s="8" t="n">
        <x:v>45540</x:v>
      </x:c>
      <x:c r="S3312" s="4" t="str">
        <x:v>Retained</x:v>
      </x:c>
      <x:c r="T3312" s="10" t="n">
        <x:v>0.226277</x:v>
      </x:c>
      <x:c r="U3312" s="4" t="str">
        <x:v>Excluded / unlabelled</x:v>
      </x:c>
    </x:row>
    <x:row r="3313" ht="34" customHeight="1">
      <x:c r="A3313" s="4" t="str">
        <x:v>RS-03312</x:v>
      </x:c>
      <x:c r="B3313" s="8" t="n">
        <x:v>45481</x:v>
      </x:c>
      <x:c r="C3313" s="4" t="str">
        <x:v>PRJ-012</x:v>
      </x:c>
      <x:c r="D3313" s="4" t="str">
        <x:v>Office</x:v>
      </x:c>
      <x:c r="E3313" s="4" t="str">
        <x:v>Enquiry</x:v>
      </x:c>
      <x:c r="F3313" s="4" t="str">
        <x:v>CUS-03312</x:v>
      </x:c>
      <x:c r="G3313" s="4" t="str">
        <x:v>UNIT-03312</x:v>
      </x:c>
      <x:c r="H3313" s="9" t="n">
        <x:v>10400000</x:v>
      </x:c>
      <x:c r="I3313" s="10" t="n">
        <x:v>0.07</x:v>
      </x:c>
      <x:c r="J3313" s="11" t="n">
        <x:v>6</x:v>
      </x:c>
      <x:c r="K3313" s="11" t="n">
        <x:v>5</x:v>
      </x:c>
      <x:c r="L3313" s="11" t="n">
        <x:v>0</x:v>
      </x:c>
      <x:c r="M3313" s="9" t="n">
        <x:f>ROUND(H3313*(1-I3313),2)</x:f>
        <x:v>9672000</x:v>
      </x:c>
      <x:c r="N3313" s="4" t="str">
        <x:v>Sales manager</x:v>
      </x:c>
      <x:c r="O3313" s="4"/>
      <x:c r="P3313" s="9" t="n">
        <x:v>0</x:v>
      </x:c>
      <x:c r="Q3313" s="11" t="n">
        <x:v>1</x:v>
      </x:c>
      <x:c r="R3313" s="8" t="n">
        <x:v>45541</x:v>
      </x:c>
      <x:c r="S3313" s="4" t="str">
        <x:v>Lost / cancelled</x:v>
      </x:c>
      <x:c r="T3313" s="10" t="n">
        <x:v>0.226277</x:v>
      </x:c>
      <x:c r="U3313" s="4" t="str">
        <x:v>Excluded / unlabelled</x:v>
      </x:c>
    </x:row>
    <x:row r="3314" ht="34" customHeight="1">
      <x:c r="A3314" s="4" t="str">
        <x:v>RS-03313</x:v>
      </x:c>
      <x:c r="B3314" s="8" t="n">
        <x:v>45482</x:v>
      </x:c>
      <x:c r="C3314" s="4" t="str">
        <x:v>PRJ-013</x:v>
      </x:c>
      <x:c r="D3314" s="4" t="str">
        <x:v>Retail</x:v>
      </x:c>
      <x:c r="E3314" s="4" t="str">
        <x:v>Handed over</x:v>
      </x:c>
      <x:c r="F3314" s="4" t="str">
        <x:v>CUS-03313</x:v>
      </x:c>
      <x:c r="G3314" s="4" t="str">
        <x:v>UNIT-03313</x:v>
      </x:c>
      <x:c r="H3314" s="9" t="n">
        <x:v>20500000</x:v>
      </x:c>
      <x:c r="I3314" s="10" t="n">
        <x:v>0.02</x:v>
      </x:c>
      <x:c r="J3314" s="11" t="n">
        <x:v>6</x:v>
      </x:c>
      <x:c r="K3314" s="11" t="n">
        <x:v>8</x:v>
      </x:c>
      <x:c r="L3314" s="11" t="n">
        <x:v>0</x:v>
      </x:c>
      <x:c r="M3314" s="9" t="n">
        <x:f>ROUND(H3314*(1-I3314),2)</x:f>
        <x:v>20090000</x:v>
      </x:c>
      <x:c r="N3314" s="4" t="str">
        <x:v>Sales manager</x:v>
      </x:c>
      <x:c r="O3314" s="4" t="str">
        <x:v>BOOK-03313</x:v>
      </x:c>
      <x:c r="P3314" s="9" t="n">
        <x:v>2009000</x:v>
      </x:c>
      <x:c r="Q3314" s="11" t="n">
        <x:v>0</x:v>
      </x:c>
      <x:c r="R3314" s="8" t="n">
        <x:v>45542</x:v>
      </x:c>
      <x:c r="S3314" s="4" t="str">
        <x:v>Retained</x:v>
      </x:c>
      <x:c r="T3314" s="10" t="n">
        <x:v>0.145299</x:v>
      </x:c>
      <x:c r="U3314" s="4" t="str">
        <x:v>Excluded / unlabelled</x:v>
      </x:c>
    </x:row>
    <x:row r="3315" ht="34" customHeight="1">
      <x:c r="A3315" s="4" t="str">
        <x:v>RS-03314</x:v>
      </x:c>
      <x:c r="B3315" s="8" t="n">
        <x:v>45483</x:v>
      </x:c>
      <x:c r="C3315" s="4" t="str">
        <x:v>PRJ-014</x:v>
      </x:c>
      <x:c r="D3315" s="4" t="str">
        <x:v>Retail</x:v>
      </x:c>
      <x:c r="E3315" s="4" t="str">
        <x:v>Agreement signed</x:v>
      </x:c>
      <x:c r="F3315" s="4" t="str">
        <x:v>CUS-03314</x:v>
      </x:c>
      <x:c r="G3315" s="4" t="str">
        <x:v>UNIT-03314</x:v>
      </x:c>
      <x:c r="H3315" s="9" t="n">
        <x:v>22900000</x:v>
      </x:c>
      <x:c r="I3315" s="10" t="n">
        <x:v>0.1</x:v>
      </x:c>
      <x:c r="J3315" s="11" t="n">
        <x:v>11</x:v>
      </x:c>
      <x:c r="K3315" s="11" t="n">
        <x:v>5</x:v>
      </x:c>
      <x:c r="L3315" s="11" t="n">
        <x:v>0</x:v>
      </x:c>
      <x:c r="M3315" s="9" t="n">
        <x:f>ROUND(H3315*(1-I3315),2)</x:f>
        <x:v>20610000</x:v>
      </x:c>
      <x:c r="N3315" s="4" t="str">
        <x:v>Sales head</x:v>
      </x:c>
      <x:c r="O3315" s="4" t="str">
        <x:v>BOOK-03314</x:v>
      </x:c>
      <x:c r="P3315" s="9" t="n">
        <x:v>20610000</x:v>
      </x:c>
      <x:c r="Q3315" s="11" t="n">
        <x:v>0</x:v>
      </x:c>
      <x:c r="R3315" s="8" t="n">
        <x:v>45543</x:v>
      </x:c>
      <x:c r="S3315" s="4" t="str">
        <x:v>Retained</x:v>
      </x:c>
      <x:c r="T3315" s="10" t="n">
        <x:v>0.351536</x:v>
      </x:c>
      <x:c r="U3315" s="4" t="str">
        <x:v>Excluded / unlabelled</x:v>
      </x:c>
    </x:row>
    <x:row r="3316" ht="34" customHeight="1">
      <x:c r="A3316" s="4" t="str">
        <x:v>RS-03315</x:v>
      </x:c>
      <x:c r="B3316" s="8" t="n">
        <x:v>45484</x:v>
      </x:c>
      <x:c r="C3316" s="4" t="str">
        <x:v>PRJ-015</x:v>
      </x:c>
      <x:c r="D3316" s="4" t="str">
        <x:v>Office</x:v>
      </x:c>
      <x:c r="E3316" s="4" t="str">
        <x:v>Reserved</x:v>
      </x:c>
      <x:c r="F3316" s="4" t="str">
        <x:v>CUS-03315</x:v>
      </x:c>
      <x:c r="G3316" s="4" t="str">
        <x:v>UNIT-03315</x:v>
      </x:c>
      <x:c r="H3316" s="9" t="n">
        <x:v>3700000</x:v>
      </x:c>
      <x:c r="I3316" s="10" t="n">
        <x:v>0.01</x:v>
      </x:c>
      <x:c r="J3316" s="11" t="n">
        <x:v>1</x:v>
      </x:c>
      <x:c r="K3316" s="11" t="n">
        <x:v>6</x:v>
      </x:c>
      <x:c r="L3316" s="11" t="n">
        <x:v>0</x:v>
      </x:c>
      <x:c r="M3316" s="9" t="n">
        <x:f>ROUND(H3316*(1-I3316),2)</x:f>
        <x:v>3663000</x:v>
      </x:c>
      <x:c r="N3316" s="4" t="str">
        <x:v>Sales manager</x:v>
      </x:c>
      <x:c r="O3316" s="4"/>
      <x:c r="P3316" s="9" t="n">
        <x:v>0</x:v>
      </x:c>
      <x:c r="Q3316" s="11" t="n">
        <x:v>1</x:v>
      </x:c>
      <x:c r="R3316" s="8" t="n">
        <x:v>45544</x:v>
      </x:c>
      <x:c r="S3316" s="4" t="str">
        <x:v>Lost / cancelled</x:v>
      </x:c>
      <x:c r="T3316" s="10" t="n">
        <x:v>0.072165</x:v>
      </x:c>
      <x:c r="U3316" s="4" t="str">
        <x:v>Excluded / unlabelled</x:v>
      </x:c>
    </x:row>
    <x:row r="3317" ht="34" customHeight="1">
      <x:c r="A3317" s="4" t="str">
        <x:v>RS-03316</x:v>
      </x:c>
      <x:c r="B3317" s="8" t="n">
        <x:v>45485</x:v>
      </x:c>
      <x:c r="C3317" s="4" t="str">
        <x:v>PRJ-016</x:v>
      </x:c>
      <x:c r="D3317" s="4" t="str">
        <x:v>Villa</x:v>
      </x:c>
      <x:c r="E3317" s="4" t="str">
        <x:v>Handed over</x:v>
      </x:c>
      <x:c r="F3317" s="4" t="str">
        <x:v>CUS-03316</x:v>
      </x:c>
      <x:c r="G3317" s="4" t="str">
        <x:v>UNIT-03316</x:v>
      </x:c>
      <x:c r="H3317" s="9" t="n">
        <x:v>10900000</x:v>
      </x:c>
      <x:c r="I3317" s="10" t="n">
        <x:v>0.08</x:v>
      </x:c>
      <x:c r="J3317" s="11" t="n">
        <x:v>10</x:v>
      </x:c>
      <x:c r="K3317" s="11" t="n">
        <x:v>4</x:v>
      </x:c>
      <x:c r="L3317" s="11" t="n">
        <x:v>0</x:v>
      </x:c>
      <x:c r="M3317" s="9" t="n">
        <x:f>ROUND(H3317*(1-I3317),2)</x:f>
        <x:v>10028000</x:v>
      </x:c>
      <x:c r="N3317" s="4" t="str">
        <x:v>Sales head</x:v>
      </x:c>
      <x:c r="O3317" s="4" t="str">
        <x:v>BOOK-03316</x:v>
      </x:c>
      <x:c r="P3317" s="9" t="n">
        <x:v>2507000</x:v>
      </x:c>
      <x:c r="Q3317" s="11" t="n">
        <x:v>0</x:v>
      </x:c>
      <x:c r="R3317" s="8" t="n">
        <x:v>45545</x:v>
      </x:c>
      <x:c r="S3317" s="4" t="str">
        <x:v>Retained</x:v>
      </x:c>
      <x:c r="T3317" s="10" t="n">
        <x:v>0.310195</x:v>
      </x:c>
      <x:c r="U3317" s="4" t="str">
        <x:v>Excluded / unlabelled</x:v>
      </x:c>
    </x:row>
    <x:row r="3318" ht="34" customHeight="1">
      <x:c r="A3318" s="4" t="str">
        <x:v>RS-03317</x:v>
      </x:c>
      <x:c r="B3318" s="8" t="n">
        <x:v>45486</x:v>
      </x:c>
      <x:c r="C3318" s="4" t="str">
        <x:v>PRJ-017</x:v>
      </x:c>
      <x:c r="D3318" s="4" t="str">
        <x:v>Retail</x:v>
      </x:c>
      <x:c r="E3318" s="4" t="str">
        <x:v>Reserved</x:v>
      </x:c>
      <x:c r="F3318" s="4" t="str">
        <x:v>CUS-03317</x:v>
      </x:c>
      <x:c r="G3318" s="4" t="str">
        <x:v>UNIT-03317</x:v>
      </x:c>
      <x:c r="H3318" s="9" t="n">
        <x:v>5700000</x:v>
      </x:c>
      <x:c r="I3318" s="10" t="n">
        <x:v>0</x:v>
      </x:c>
      <x:c r="J3318" s="11" t="n">
        <x:v>6</x:v>
      </x:c>
      <x:c r="K3318" s="11" t="n">
        <x:v>3</x:v>
      </x:c>
      <x:c r="L3318" s="11" t="n">
        <x:v>1</x:v>
      </x:c>
      <x:c r="M3318" s="9" t="n">
        <x:f>ROUND(H3318*(1-I3318),2)</x:f>
        <x:v>5700000</x:v>
      </x:c>
      <x:c r="N3318" s="4" t="str">
        <x:v>Sales manager</x:v>
      </x:c>
      <x:c r="O3318" s="4"/>
      <x:c r="P3318" s="9" t="n">
        <x:v>0</x:v>
      </x:c>
      <x:c r="Q3318" s="11" t="n">
        <x:v>1</x:v>
      </x:c>
      <x:c r="R3318" s="8" t="n">
        <x:v>45546</x:v>
      </x:c>
      <x:c r="S3318" s="4" t="str">
        <x:v>Lost / cancelled</x:v>
      </x:c>
      <x:c r="T3318" s="10" t="n">
        <x:v>0.298969</x:v>
      </x:c>
      <x:c r="U3318" s="4" t="str">
        <x:v>Excluded / unlabelled</x:v>
      </x:c>
    </x:row>
    <x:row r="3319" ht="34" customHeight="1">
      <x:c r="A3319" s="4" t="str">
        <x:v>RS-03318</x:v>
      </x:c>
      <x:c r="B3319" s="8" t="n">
        <x:v>45487</x:v>
      </x:c>
      <x:c r="C3319" s="4" t="str">
        <x:v>PRJ-018</x:v>
      </x:c>
      <x:c r="D3319" s="4" t="str">
        <x:v>Office</x:v>
      </x:c>
      <x:c r="E3319" s="4" t="str">
        <x:v>Handed over</x:v>
      </x:c>
      <x:c r="F3319" s="4" t="str">
        <x:v>CUS-03318</x:v>
      </x:c>
      <x:c r="G3319" s="4" t="str">
        <x:v>UNIT-03318</x:v>
      </x:c>
      <x:c r="H3319" s="9" t="n">
        <x:v>9100000</x:v>
      </x:c>
      <x:c r="I3319" s="10" t="n">
        <x:v>0.08</x:v>
      </x:c>
      <x:c r="J3319" s="11" t="n">
        <x:v>2</x:v>
      </x:c>
      <x:c r="K3319" s="11" t="n">
        <x:v>3</x:v>
      </x:c>
      <x:c r="L3319" s="11" t="n">
        <x:v>1</x:v>
      </x:c>
      <x:c r="M3319" s="9" t="n">
        <x:f>ROUND(H3319*(1-I3319),2)</x:f>
        <x:v>8372000</x:v>
      </x:c>
      <x:c r="N3319" s="4" t="str">
        <x:v>Sales head</x:v>
      </x:c>
      <x:c r="O3319" s="4" t="str">
        <x:v>BOOK-03318</x:v>
      </x:c>
      <x:c r="P3319" s="9" t="n">
        <x:v>837200</x:v>
      </x:c>
      <x:c r="Q3319" s="11" t="n">
        <x:v>0</x:v>
      </x:c>
      <x:c r="R3319" s="8" t="n">
        <x:v>45547</x:v>
      </x:c>
      <x:c r="S3319" s="4" t="str">
        <x:v>Retained</x:v>
      </x:c>
      <x:c r="T3319" s="10" t="n">
        <x:v>0.204152</x:v>
      </x:c>
      <x:c r="U3319" s="4" t="str">
        <x:v>Excluded / unlabelled</x:v>
      </x:c>
    </x:row>
    <x:row r="3320" ht="34" customHeight="1">
      <x:c r="A3320" s="4" t="str">
        <x:v>RS-03319</x:v>
      </x:c>
      <x:c r="B3320" s="8" t="n">
        <x:v>45488</x:v>
      </x:c>
      <x:c r="C3320" s="4" t="str">
        <x:v>PRJ-019</x:v>
      </x:c>
      <x:c r="D3320" s="4" t="str">
        <x:v>Retail</x:v>
      </x:c>
      <x:c r="E3320" s="4" t="str">
        <x:v>Cancelled</x:v>
      </x:c>
      <x:c r="F3320" s="4" t="str">
        <x:v>CUS-03319</x:v>
      </x:c>
      <x:c r="G3320" s="4" t="str">
        <x:v>UNIT-03319</x:v>
      </x:c>
      <x:c r="H3320" s="9" t="n">
        <x:v>15400000</x:v>
      </x:c>
      <x:c r="I3320" s="10" t="n">
        <x:v>0.01</x:v>
      </x:c>
      <x:c r="J3320" s="11" t="n">
        <x:v>11</x:v>
      </x:c>
      <x:c r="K3320" s="11" t="n">
        <x:v>7</x:v>
      </x:c>
      <x:c r="L3320" s="11" t="n">
        <x:v>0</x:v>
      </x:c>
      <x:c r="M3320" s="9" t="n">
        <x:f>ROUND(H3320*(1-I3320),2)</x:f>
        <x:v>15246000</x:v>
      </x:c>
      <x:c r="N3320" s="4" t="str">
        <x:v>Sales manager</x:v>
      </x:c>
      <x:c r="O3320" s="4"/>
      <x:c r="P3320" s="9" t="n">
        <x:v>0</x:v>
      </x:c>
      <x:c r="Q3320" s="11" t="n">
        <x:v>1</x:v>
      </x:c>
      <x:c r="R3320" s="8" t="n">
        <x:v>45548</x:v>
      </x:c>
      <x:c r="S3320" s="4" t="str">
        <x:v>Lost / cancelled</x:v>
      </x:c>
      <x:c r="T3320" s="10" t="n">
        <x:v>0.305556</x:v>
      </x:c>
      <x:c r="U3320" s="4" t="str">
        <x:v>Excluded / unlabelled</x:v>
      </x:c>
    </x:row>
    <x:row r="3321" ht="34" customHeight="1">
      <x:c r="A3321" s="4" t="str">
        <x:v>RS-03320</x:v>
      </x:c>
      <x:c r="B3321" s="8" t="n">
        <x:v>45489</x:v>
      </x:c>
      <x:c r="C3321" s="4" t="str">
        <x:v>PRJ-020</x:v>
      </x:c>
      <x:c r="D3321" s="4" t="str">
        <x:v>Retail</x:v>
      </x:c>
      <x:c r="E3321" s="4" t="str">
        <x:v>Enquiry</x:v>
      </x:c>
      <x:c r="F3321" s="4" t="str">
        <x:v>CUS-03320</x:v>
      </x:c>
      <x:c r="G3321" s="4" t="str">
        <x:v>UNIT-03320</x:v>
      </x:c>
      <x:c r="H3321" s="9" t="n">
        <x:v>16200000</x:v>
      </x:c>
      <x:c r="I3321" s="10" t="n">
        <x:v>0.08</x:v>
      </x:c>
      <x:c r="J3321" s="11" t="n">
        <x:v>11</x:v>
      </x:c>
      <x:c r="K3321" s="11" t="n">
        <x:v>5</x:v>
      </x:c>
      <x:c r="L3321" s="11" t="n">
        <x:v>0</x:v>
      </x:c>
      <x:c r="M3321" s="9" t="n">
        <x:f>ROUND(H3321*(1-I3321),2)</x:f>
        <x:v>14904000</x:v>
      </x:c>
      <x:c r="N3321" s="4" t="str">
        <x:v>Sales head</x:v>
      </x:c>
      <x:c r="O3321" s="4"/>
      <x:c r="P3321" s="9" t="n">
        <x:v>0</x:v>
      </x:c>
      <x:c r="Q3321" s="11" t="n">
        <x:v>0</x:v>
      </x:c>
      <x:c r="R3321" s="8" t="n">
        <x:v>45549</x:v>
      </x:c>
      <x:c r="S3321" s="4" t="str">
        <x:v>Retained</x:v>
      </x:c>
      <x:c r="T3321" s="10" t="n">
        <x:v>0.351536</x:v>
      </x:c>
      <x:c r="U3321" s="4" t="str">
        <x:v>Excluded / unlabelled</x:v>
      </x:c>
    </x:row>
    <x:row r="3322" ht="34" customHeight="1">
      <x:c r="A3322" s="4" t="str">
        <x:v>RS-03321</x:v>
      </x:c>
      <x:c r="B3322" s="8" t="n">
        <x:v>45490</x:v>
      </x:c>
      <x:c r="C3322" s="4" t="str">
        <x:v>PRJ-001</x:v>
      </x:c>
      <x:c r="D3322" s="4" t="str">
        <x:v>Villa</x:v>
      </x:c>
      <x:c r="E3322" s="4" t="str">
        <x:v>Handed over</x:v>
      </x:c>
      <x:c r="F3322" s="4" t="str">
        <x:v>CUS-03321</x:v>
      </x:c>
      <x:c r="G3322" s="4" t="str">
        <x:v>UNIT-03321</x:v>
      </x:c>
      <x:c r="H3322" s="9" t="n">
        <x:v>18100000</x:v>
      </x:c>
      <x:c r="I3322" s="10" t="n">
        <x:v>0.02</x:v>
      </x:c>
      <x:c r="J3322" s="11" t="n">
        <x:v>5</x:v>
      </x:c>
      <x:c r="K3322" s="11" t="n">
        <x:v>3</x:v>
      </x:c>
      <x:c r="L3322" s="11" t="n">
        <x:v>0</x:v>
      </x:c>
      <x:c r="M3322" s="9" t="n">
        <x:f>ROUND(H3322*(1-I3322),2)</x:f>
        <x:v>17738000</x:v>
      </x:c>
      <x:c r="N3322" s="4" t="str">
        <x:v>Sales manager</x:v>
      </x:c>
      <x:c r="O3322" s="4" t="str">
        <x:v>BOOK-03321</x:v>
      </x:c>
      <x:c r="P3322" s="9" t="n">
        <x:v>17738000</x:v>
      </x:c>
      <x:c r="Q3322" s="11" t="n">
        <x:v>0</x:v>
      </x:c>
      <x:c r="R3322" s="8" t="n">
        <x:v>45550</x:v>
      </x:c>
      <x:c r="S3322" s="4" t="str">
        <x:v>Retained</x:v>
      </x:c>
      <x:c r="T3322" s="10" t="n">
        <x:v>0.298969</x:v>
      </x:c>
      <x:c r="U3322" s="4" t="str">
        <x:v>Excluded / unlabelled</x:v>
      </x:c>
    </x:row>
    <x:row r="3323" ht="34" customHeight="1">
      <x:c r="A3323" s="4" t="str">
        <x:v>RS-03322</x:v>
      </x:c>
      <x:c r="B3323" s="8" t="n">
        <x:v>45491</x:v>
      </x:c>
      <x:c r="C3323" s="4" t="str">
        <x:v>PRJ-002</x:v>
      </x:c>
      <x:c r="D3323" s="4" t="str">
        <x:v>Apartment</x:v>
      </x:c>
      <x:c r="E3323" s="4" t="str">
        <x:v>Agreement signed</x:v>
      </x:c>
      <x:c r="F3323" s="4" t="str">
        <x:v>CUS-03322</x:v>
      </x:c>
      <x:c r="G3323" s="4" t="str">
        <x:v>UNIT-03322</x:v>
      </x:c>
      <x:c r="H3323" s="9" t="n">
        <x:v>5600000</x:v>
      </x:c>
      <x:c r="I3323" s="10" t="n">
        <x:v>0.06</x:v>
      </x:c>
      <x:c r="J3323" s="11" t="n">
        <x:v>9</x:v>
      </x:c>
      <x:c r="K3323" s="11" t="n">
        <x:v>5</x:v>
      </x:c>
      <x:c r="L3323" s="11" t="n">
        <x:v>0</x:v>
      </x:c>
      <x:c r="M3323" s="9" t="n">
        <x:f>ROUND(H3323*(1-I3323),2)</x:f>
        <x:v>5264000</x:v>
      </x:c>
      <x:c r="N3323" s="4" t="str">
        <x:v>Sales manager</x:v>
      </x:c>
      <x:c r="O3323" s="4" t="str">
        <x:v>BOOK-03322</x:v>
      </x:c>
      <x:c r="P3323" s="9" t="n">
        <x:v>526400</x:v>
      </x:c>
      <x:c r="Q3323" s="11" t="n">
        <x:v>0</x:v>
      </x:c>
      <x:c r="R3323" s="8" t="n">
        <x:v>45551</x:v>
      </x:c>
      <x:c r="S3323" s="4" t="str">
        <x:v>Retained</x:v>
      </x:c>
      <x:c r="T3323" s="10" t="n">
        <x:v>0.310195</x:v>
      </x:c>
      <x:c r="U3323" s="4" t="str">
        <x:v>Excluded / unlabelled</x:v>
      </x:c>
    </x:row>
    <x:row r="3324" ht="34" customHeight="1">
      <x:c r="A3324" s="4" t="str">
        <x:v>RS-03323</x:v>
      </x:c>
      <x:c r="B3324" s="8" t="n">
        <x:v>45492</x:v>
      </x:c>
      <x:c r="C3324" s="4" t="str">
        <x:v>PRJ-003</x:v>
      </x:c>
      <x:c r="D3324" s="4" t="str">
        <x:v>Villa</x:v>
      </x:c>
      <x:c r="E3324" s="4" t="str">
        <x:v>Handed over</x:v>
      </x:c>
      <x:c r="F3324" s="4" t="str">
        <x:v>CUS-03323</x:v>
      </x:c>
      <x:c r="G3324" s="4" t="str">
        <x:v>UNIT-03323</x:v>
      </x:c>
      <x:c r="H3324" s="9" t="n">
        <x:v>20500000</x:v>
      </x:c>
      <x:c r="I3324" s="10" t="n">
        <x:v>0.04</x:v>
      </x:c>
      <x:c r="J3324" s="11" t="n">
        <x:v>0</x:v>
      </x:c>
      <x:c r="K3324" s="11" t="n">
        <x:v>9</x:v>
      </x:c>
      <x:c r="L3324" s="11" t="n">
        <x:v>1</x:v>
      </x:c>
      <x:c r="M3324" s="9" t="n">
        <x:f>ROUND(H3324*(1-I3324),2)</x:f>
        <x:v>19680000</x:v>
      </x:c>
      <x:c r="N3324" s="4" t="str">
        <x:v>Sales manager</x:v>
      </x:c>
      <x:c r="O3324" s="4" t="str">
        <x:v>BOOK-03323</x:v>
      </x:c>
      <x:c r="P3324" s="9" t="n">
        <x:v>9840000</x:v>
      </x:c>
      <x:c r="Q3324" s="11" t="n">
        <x:v>0</x:v>
      </x:c>
      <x:c r="R3324" s="8" t="n">
        <x:v>45552</x:v>
      </x:c>
      <x:c r="S3324" s="4" t="str">
        <x:v>Retained</x:v>
      </x:c>
      <x:c r="T3324" s="10" t="n">
        <x:v>0.204152</x:v>
      </x:c>
      <x:c r="U3324" s="4" t="str">
        <x:v>Excluded / unlabelled</x:v>
      </x:c>
    </x:row>
    <x:row r="3325" ht="34" customHeight="1">
      <x:c r="A3325" s="4" t="str">
        <x:v>RS-03324</x:v>
      </x:c>
      <x:c r="B3325" s="8" t="n">
        <x:v>45493</x:v>
      </x:c>
      <x:c r="C3325" s="4" t="str">
        <x:v>PRJ-004</x:v>
      </x:c>
      <x:c r="D3325" s="4" t="str">
        <x:v>Apartment</x:v>
      </x:c>
      <x:c r="E3325" s="4" t="str">
        <x:v>Reserved</x:v>
      </x:c>
      <x:c r="F3325" s="4" t="str">
        <x:v>CUS-03324</x:v>
      </x:c>
      <x:c r="G3325" s="4" t="str">
        <x:v>UNIT-03324</x:v>
      </x:c>
      <x:c r="H3325" s="9" t="n">
        <x:v>18100000</x:v>
      </x:c>
      <x:c r="I3325" s="10" t="n">
        <x:v>0.01</x:v>
      </x:c>
      <x:c r="J3325" s="11" t="n">
        <x:v>9</x:v>
      </x:c>
      <x:c r="K3325" s="11" t="n">
        <x:v>7</x:v>
      </x:c>
      <x:c r="L3325" s="11" t="n">
        <x:v>1</x:v>
      </x:c>
      <x:c r="M3325" s="9" t="n">
        <x:f>ROUND(H3325*(1-I3325),2)</x:f>
        <x:v>17919000</x:v>
      </x:c>
      <x:c r="N3325" s="4" t="str">
        <x:v>Sales manager</x:v>
      </x:c>
      <x:c r="O3325" s="4"/>
      <x:c r="P3325" s="9" t="n">
        <x:v>0</x:v>
      </x:c>
      <x:c r="Q3325" s="11" t="n">
        <x:v>0</x:v>
      </x:c>
      <x:c r="R3325" s="8" t="n">
        <x:v>45553</x:v>
      </x:c>
      <x:c r="S3325" s="4" t="str">
        <x:v>Retained</x:v>
      </x:c>
      <x:c r="T3325" s="10" t="n">
        <x:v>0.254545</x:v>
      </x:c>
      <x:c r="U3325" s="4" t="str">
        <x:v>Excluded / unlabelled</x:v>
      </x:c>
    </x:row>
    <x:row r="3326" ht="34" customHeight="1">
      <x:c r="A3326" s="4" t="str">
        <x:v>RS-03325</x:v>
      </x:c>
      <x:c r="B3326" s="8" t="n">
        <x:v>45494</x:v>
      </x:c>
      <x:c r="C3326" s="4" t="str">
        <x:v>PRJ-005</x:v>
      </x:c>
      <x:c r="D3326" s="4" t="str">
        <x:v>Retail</x:v>
      </x:c>
      <x:c r="E3326" s="4" t="str">
        <x:v>Cancelled</x:v>
      </x:c>
      <x:c r="F3326" s="4" t="str">
        <x:v>CUS-03325</x:v>
      </x:c>
      <x:c r="G3326" s="4" t="str">
        <x:v>UNIT-03325</x:v>
      </x:c>
      <x:c r="H3326" s="9" t="n">
        <x:v>15400000</x:v>
      </x:c>
      <x:c r="I3326" s="10" t="n">
        <x:v>0.12</x:v>
      </x:c>
      <x:c r="J3326" s="11" t="n">
        <x:v>0</x:v>
      </x:c>
      <x:c r="K3326" s="11" t="n">
        <x:v>7</x:v>
      </x:c>
      <x:c r="L3326" s="11" t="n">
        <x:v>1</x:v>
      </x:c>
      <x:c r="M3326" s="9" t="n">
        <x:f>ROUND(H3326*(1-I3326),2)</x:f>
        <x:v>13552000</x:v>
      </x:c>
      <x:c r="N3326" s="4" t="str">
        <x:v>Sales head</x:v>
      </x:c>
      <x:c r="O3326" s="4"/>
      <x:c r="P3326" s="9" t="n">
        <x:v>0</x:v>
      </x:c>
      <x:c r="Q3326" s="11" t="n">
        <x:v>1</x:v>
      </x:c>
      <x:c r="R3326" s="8" t="n">
        <x:v>45554</x:v>
      </x:c>
      <x:c r="S3326" s="4" t="str">
        <x:v>Lost / cancelled</x:v>
      </x:c>
      <x:c r="T3326" s="10" t="n">
        <x:v>0.145833</x:v>
      </x:c>
      <x:c r="U3326" s="4" t="str">
        <x:v>Excluded / unlabelled</x:v>
      </x:c>
    </x:row>
    <x:row r="3327" ht="34" customHeight="1">
      <x:c r="A3327" s="4" t="str">
        <x:v>RS-03326</x:v>
      </x:c>
      <x:c r="B3327" s="8" t="n">
        <x:v>45495</x:v>
      </x:c>
      <x:c r="C3327" s="4" t="str">
        <x:v>PRJ-006</x:v>
      </x:c>
      <x:c r="D3327" s="4" t="str">
        <x:v>Villa</x:v>
      </x:c>
      <x:c r="E3327" s="4" t="str">
        <x:v>Handed over</x:v>
      </x:c>
      <x:c r="F3327" s="4" t="str">
        <x:v>CUS-03326</x:v>
      </x:c>
      <x:c r="G3327" s="4" t="str">
        <x:v>UNIT-03326</x:v>
      </x:c>
      <x:c r="H3327" s="9" t="n">
        <x:v>13200000</x:v>
      </x:c>
      <x:c r="I3327" s="10" t="n">
        <x:v>0.09</x:v>
      </x:c>
      <x:c r="J3327" s="11" t="n">
        <x:v>5</x:v>
      </x:c>
      <x:c r="K3327" s="11" t="n">
        <x:v>2</x:v>
      </x:c>
      <x:c r="L3327" s="11" t="n">
        <x:v>1</x:v>
      </x:c>
      <x:c r="M3327" s="9" t="n">
        <x:f>ROUND(H3327*(1-I3327),2)</x:f>
        <x:v>12012000</x:v>
      </x:c>
      <x:c r="N3327" s="4" t="str">
        <x:v>Sales head</x:v>
      </x:c>
      <x:c r="O3327" s="4" t="str">
        <x:v>BOOK-03326</x:v>
      </x:c>
      <x:c r="P3327" s="9" t="n">
        <x:v>6006000</x:v>
      </x:c>
      <x:c r="Q3327" s="11" t="n">
        <x:v>0</x:v>
      </x:c>
      <x:c r="R3327" s="8" t="n">
        <x:v>45555</x:v>
      </x:c>
      <x:c r="S3327" s="4" t="str">
        <x:v>Retained</x:v>
      </x:c>
      <x:c r="T3327" s="10" t="n">
        <x:v>0.291946</x:v>
      </x:c>
      <x:c r="U3327" s="4" t="str">
        <x:v>Excluded / unlabelled</x:v>
      </x:c>
    </x:row>
    <x:row r="3328" ht="34" customHeight="1">
      <x:c r="A3328" s="4" t="str">
        <x:v>RS-03327</x:v>
      </x:c>
      <x:c r="B3328" s="8" t="n">
        <x:v>45496</x:v>
      </x:c>
      <x:c r="C3328" s="4" t="str">
        <x:v>PRJ-007</x:v>
      </x:c>
      <x:c r="D3328" s="4" t="str">
        <x:v>Retail</x:v>
      </x:c>
      <x:c r="E3328" s="4" t="str">
        <x:v>Agreement signed</x:v>
      </x:c>
      <x:c r="F3328" s="4" t="str">
        <x:v>CUS-03327</x:v>
      </x:c>
      <x:c r="G3328" s="4" t="str">
        <x:v>UNIT-03327</x:v>
      </x:c>
      <x:c r="H3328" s="9" t="n">
        <x:v>15500000</x:v>
      </x:c>
      <x:c r="I3328" s="10" t="n">
        <x:v>0.11</x:v>
      </x:c>
      <x:c r="J3328" s="11" t="n">
        <x:v>12</x:v>
      </x:c>
      <x:c r="K3328" s="11" t="n">
        <x:v>9</x:v>
      </x:c>
      <x:c r="L3328" s="11" t="n">
        <x:v>0</x:v>
      </x:c>
      <x:c r="M3328" s="9" t="n">
        <x:f>ROUND(H3328*(1-I3328),2)</x:f>
        <x:v>13795000</x:v>
      </x:c>
      <x:c r="N3328" s="4" t="str">
        <x:v>Sales head</x:v>
      </x:c>
      <x:c r="O3328" s="4" t="str">
        <x:v>BOOK-03327</x:v>
      </x:c>
      <x:c r="P3328" s="9" t="n">
        <x:v>3448750</x:v>
      </x:c>
      <x:c r="Q3328" s="11" t="n">
        <x:v>0</x:v>
      </x:c>
      <x:c r="R3328" s="8" t="n">
        <x:v>45556</x:v>
      </x:c>
      <x:c r="S3328" s="4" t="str">
        <x:v>Retained</x:v>
      </x:c>
      <x:c r="T3328" s="10" t="n">
        <x:v>0.351536</x:v>
      </x:c>
      <x:c r="U3328" s="4" t="str">
        <x:v>Excluded / unlabelled</x:v>
      </x:c>
    </x:row>
    <x:row r="3329" ht="34" customHeight="1">
      <x:c r="A3329" s="4" t="str">
        <x:v>RS-03328</x:v>
      </x:c>
      <x:c r="B3329" s="8" t="n">
        <x:v>45497</x:v>
      </x:c>
      <x:c r="C3329" s="4" t="str">
        <x:v>PRJ-008</x:v>
      </x:c>
      <x:c r="D3329" s="4" t="str">
        <x:v>Retail</x:v>
      </x:c>
      <x:c r="E3329" s="4" t="str">
        <x:v>Enquiry</x:v>
      </x:c>
      <x:c r="F3329" s="4" t="str">
        <x:v>CUS-03328</x:v>
      </x:c>
      <x:c r="G3329" s="4" t="str">
        <x:v>UNIT-03328</x:v>
      </x:c>
      <x:c r="H3329" s="9" t="n">
        <x:v>6300000</x:v>
      </x:c>
      <x:c r="I3329" s="10" t="n">
        <x:v>0.07</x:v>
      </x:c>
      <x:c r="J3329" s="11" t="n">
        <x:v>9</x:v>
      </x:c>
      <x:c r="K3329" s="11" t="n">
        <x:v>8</x:v>
      </x:c>
      <x:c r="L3329" s="11" t="n">
        <x:v>1</x:v>
      </x:c>
      <x:c r="M3329" s="9" t="n">
        <x:f>ROUND(H3329*(1-I3329),2)</x:f>
        <x:v>5859000</x:v>
      </x:c>
      <x:c r="N3329" s="4" t="str">
        <x:v>Sales manager</x:v>
      </x:c>
      <x:c r="O3329" s="4"/>
      <x:c r="P3329" s="9" t="n">
        <x:v>0</x:v>
      </x:c>
      <x:c r="Q3329" s="11" t="n">
        <x:v>0</x:v>
      </x:c>
      <x:c r="R3329" s="8" t="n">
        <x:v>45557</x:v>
      </x:c>
      <x:c r="S3329" s="4" t="str">
        <x:v>Retained</x:v>
      </x:c>
      <x:c r="T3329" s="10" t="n">
        <x:v>0.310195</x:v>
      </x:c>
      <x:c r="U3329" s="4" t="str">
        <x:v>Excluded / unlabelled</x:v>
      </x:c>
    </x:row>
    <x:row r="3330" ht="34" customHeight="1">
      <x:c r="A3330" s="4" t="str">
        <x:v>RS-03329</x:v>
      </x:c>
      <x:c r="B3330" s="8" t="n">
        <x:v>45498</x:v>
      </x:c>
      <x:c r="C3330" s="4" t="str">
        <x:v>PRJ-009</x:v>
      </x:c>
      <x:c r="D3330" s="4" t="str">
        <x:v>Retail</x:v>
      </x:c>
      <x:c r="E3330" s="4" t="str">
        <x:v>Booked</x:v>
      </x:c>
      <x:c r="F3330" s="4" t="str">
        <x:v>CUS-03329</x:v>
      </x:c>
      <x:c r="G3330" s="4" t="str">
        <x:v>UNIT-03329</x:v>
      </x:c>
      <x:c r="H3330" s="9" t="n">
        <x:v>16800000</x:v>
      </x:c>
      <x:c r="I3330" s="10" t="n">
        <x:v>0.05</x:v>
      </x:c>
      <x:c r="J3330" s="11" t="n">
        <x:v>11</x:v>
      </x:c>
      <x:c r="K3330" s="11" t="n">
        <x:v>1</x:v>
      </x:c>
      <x:c r="L3330" s="11" t="n">
        <x:v>0</x:v>
      </x:c>
      <x:c r="M3330" s="9" t="n">
        <x:f>ROUND(H3330*(1-I3330),2)</x:f>
        <x:v>15960000</x:v>
      </x:c>
      <x:c r="N3330" s="4" t="str">
        <x:v>Sales manager</x:v>
      </x:c>
      <x:c r="O3330" s="4" t="str">
        <x:v>BOOK-03329</x:v>
      </x:c>
      <x:c r="P3330" s="9" t="n">
        <x:v>7980000</x:v>
      </x:c>
      <x:c r="Q3330" s="11" t="n">
        <x:v>0</x:v>
      </x:c>
      <x:c r="R3330" s="8" t="n">
        <x:v>45558</x:v>
      </x:c>
      <x:c r="S3330" s="4" t="str">
        <x:v>Retained</x:v>
      </x:c>
      <x:c r="T3330" s="10" t="n">
        <x:v>0.351536</x:v>
      </x:c>
      <x:c r="U3330" s="4" t="str">
        <x:v>Excluded / unlabelled</x:v>
      </x:c>
    </x:row>
    <x:row r="3331" ht="34" customHeight="1">
      <x:c r="A3331" s="4" t="str">
        <x:v>RS-03330</x:v>
      </x:c>
      <x:c r="B3331" s="8" t="n">
        <x:v>45499</x:v>
      </x:c>
      <x:c r="C3331" s="4" t="str">
        <x:v>PRJ-010</x:v>
      </x:c>
      <x:c r="D3331" s="4" t="str">
        <x:v>Office</x:v>
      </x:c>
      <x:c r="E3331" s="4" t="str">
        <x:v>Handed over</x:v>
      </x:c>
      <x:c r="F3331" s="4" t="str">
        <x:v>CUS-03330</x:v>
      </x:c>
      <x:c r="G3331" s="4" t="str">
        <x:v>UNIT-03330</x:v>
      </x:c>
      <x:c r="H3331" s="9" t="n">
        <x:v>5300000</x:v>
      </x:c>
      <x:c r="I3331" s="10" t="n">
        <x:v>0.06</x:v>
      </x:c>
      <x:c r="J3331" s="11" t="n">
        <x:v>9</x:v>
      </x:c>
      <x:c r="K3331" s="11" t="n">
        <x:v>4</x:v>
      </x:c>
      <x:c r="L3331" s="11" t="n">
        <x:v>0</x:v>
      </x:c>
      <x:c r="M3331" s="9" t="n">
        <x:f>ROUND(H3331*(1-I3331),2)</x:f>
        <x:v>4982000</x:v>
      </x:c>
      <x:c r="N3331" s="4" t="str">
        <x:v>Sales manager</x:v>
      </x:c>
      <x:c r="O3331" s="4" t="str">
        <x:v>BOOK-03330</x:v>
      </x:c>
      <x:c r="P3331" s="9" t="n">
        <x:v>2491000</x:v>
      </x:c>
      <x:c r="Q3331" s="11" t="n">
        <x:v>0</x:v>
      </x:c>
      <x:c r="R3331" s="8" t="n">
        <x:v>45559</x:v>
      </x:c>
      <x:c r="S3331" s="4" t="str">
        <x:v>Retained</x:v>
      </x:c>
      <x:c r="T3331" s="10" t="n">
        <x:v>0.310195</x:v>
      </x:c>
      <x:c r="U3331" s="4" t="str">
        <x:v>Excluded / unlabelled</x:v>
      </x:c>
    </x:row>
    <x:row r="3332" ht="34" customHeight="1">
      <x:c r="A3332" s="4" t="str">
        <x:v>RS-03331</x:v>
      </x:c>
      <x:c r="B3332" s="8" t="n">
        <x:v>45500</x:v>
      </x:c>
      <x:c r="C3332" s="4" t="str">
        <x:v>PRJ-011</x:v>
      </x:c>
      <x:c r="D3332" s="4" t="str">
        <x:v>Retail</x:v>
      </x:c>
      <x:c r="E3332" s="4" t="str">
        <x:v>Cancelled</x:v>
      </x:c>
      <x:c r="F3332" s="4" t="str">
        <x:v>CUS-03331</x:v>
      </x:c>
      <x:c r="G3332" s="4" t="str">
        <x:v>UNIT-03331</x:v>
      </x:c>
      <x:c r="H3332" s="9" t="n">
        <x:v>11300000</x:v>
      </x:c>
      <x:c r="I3332" s="10" t="n">
        <x:v>0.11</x:v>
      </x:c>
      <x:c r="J3332" s="11" t="n">
        <x:v>9</x:v>
      </x:c>
      <x:c r="K3332" s="11" t="n">
        <x:v>9</x:v>
      </x:c>
      <x:c r="L3332" s="11" t="n">
        <x:v>0</x:v>
      </x:c>
      <x:c r="M3332" s="9" t="n">
        <x:f>ROUND(H3332*(1-I3332),2)</x:f>
        <x:v>10057000</x:v>
      </x:c>
      <x:c r="N3332" s="4" t="str">
        <x:v>Sales head</x:v>
      </x:c>
      <x:c r="O3332" s="4"/>
      <x:c r="P3332" s="9" t="n">
        <x:v>0</x:v>
      </x:c>
      <x:c r="Q3332" s="11" t="n">
        <x:v>1</x:v>
      </x:c>
      <x:c r="R3332" s="8" t="n">
        <x:v>45560</x:v>
      </x:c>
      <x:c r="S3332" s="4" t="str">
        <x:v>Lost / cancelled</x:v>
      </x:c>
      <x:c r="T3332" s="10" t="n">
        <x:v>0.310195</x:v>
      </x:c>
      <x:c r="U3332" s="4" t="str">
        <x:v>Excluded / unlabelled</x:v>
      </x:c>
    </x:row>
    <x:row r="3333" ht="34" customHeight="1">
      <x:c r="A3333" s="4" t="str">
        <x:v>RS-03332</x:v>
      </x:c>
      <x:c r="B3333" s="8" t="n">
        <x:v>45501</x:v>
      </x:c>
      <x:c r="C3333" s="4" t="str">
        <x:v>PRJ-012</x:v>
      </x:c>
      <x:c r="D3333" s="4" t="str">
        <x:v>Retail</x:v>
      </x:c>
      <x:c r="E3333" s="4" t="str">
        <x:v>Cancelled</x:v>
      </x:c>
      <x:c r="F3333" s="4" t="str">
        <x:v>CUS-03332</x:v>
      </x:c>
      <x:c r="G3333" s="4" t="str">
        <x:v>UNIT-03332</x:v>
      </x:c>
      <x:c r="H3333" s="9" t="n">
        <x:v>11900000</x:v>
      </x:c>
      <x:c r="I3333" s="10" t="n">
        <x:v>0.07</x:v>
      </x:c>
      <x:c r="J3333" s="11" t="n">
        <x:v>11</x:v>
      </x:c>
      <x:c r="K3333" s="11" t="n">
        <x:v>4</x:v>
      </x:c>
      <x:c r="L3333" s="11" t="n">
        <x:v>1</x:v>
      </x:c>
      <x:c r="M3333" s="9" t="n">
        <x:f>ROUND(H3333*(1-I3333),2)</x:f>
        <x:v>11067000</x:v>
      </x:c>
      <x:c r="N3333" s="4" t="str">
        <x:v>Sales manager</x:v>
      </x:c>
      <x:c r="O3333" s="4"/>
      <x:c r="P3333" s="9" t="n">
        <x:v>0</x:v>
      </x:c>
      <x:c r="Q3333" s="11" t="n">
        <x:v>1</x:v>
      </x:c>
      <x:c r="R3333" s="8" t="n">
        <x:v>45561</x:v>
      </x:c>
      <x:c r="S3333" s="4" t="str">
        <x:v>Lost / cancelled</x:v>
      </x:c>
      <x:c r="T3333" s="10" t="n">
        <x:v>0.351536</x:v>
      </x:c>
      <x:c r="U3333" s="4" t="str">
        <x:v>Excluded / unlabelled</x:v>
      </x:c>
    </x:row>
    <x:row r="3334" ht="34" customHeight="1">
      <x:c r="A3334" s="4" t="str">
        <x:v>RS-03333</x:v>
      </x:c>
      <x:c r="B3334" s="8" t="n">
        <x:v>45474</x:v>
      </x:c>
      <x:c r="C3334" s="4" t="str">
        <x:v>PRJ-013</x:v>
      </x:c>
      <x:c r="D3334" s="4" t="str">
        <x:v>Villa</x:v>
      </x:c>
      <x:c r="E3334" s="4" t="str">
        <x:v>Enquiry</x:v>
      </x:c>
      <x:c r="F3334" s="4" t="str">
        <x:v>CUS-03333</x:v>
      </x:c>
      <x:c r="G3334" s="4" t="str">
        <x:v>UNIT-03333</x:v>
      </x:c>
      <x:c r="H3334" s="9" t="n">
        <x:v>8300000</x:v>
      </x:c>
      <x:c r="I3334" s="10" t="n">
        <x:v>0.08</x:v>
      </x:c>
      <x:c r="J3334" s="11" t="n">
        <x:v>7</x:v>
      </x:c>
      <x:c r="K3334" s="11" t="n">
        <x:v>4</x:v>
      </x:c>
      <x:c r="L3334" s="11" t="n">
        <x:v>1</x:v>
      </x:c>
      <x:c r="M3334" s="9" t="n">
        <x:f>ROUND(H3334*(1-I3334),2)</x:f>
        <x:v>7636000</x:v>
      </x:c>
      <x:c r="N3334" s="4" t="str">
        <x:v>Sales head</x:v>
      </x:c>
      <x:c r="O3334" s="4"/>
      <x:c r="P3334" s="9" t="n">
        <x:v>0</x:v>
      </x:c>
      <x:c r="Q3334" s="11" t="n">
        <x:v>0</x:v>
      </x:c>
      <x:c r="R3334" s="8" t="n">
        <x:v>45534</x:v>
      </x:c>
      <x:c r="S3334" s="4" t="str">
        <x:v>Retained</x:v>
      </x:c>
      <x:c r="T3334" s="10" t="n">
        <x:v>0.291946</x:v>
      </x:c>
      <x:c r="U3334" s="4" t="str">
        <x:v>Excluded / unlabelled</x:v>
      </x:c>
    </x:row>
    <x:row r="3335" ht="34" customHeight="1">
      <x:c r="A3335" s="4" t="str">
        <x:v>RS-03334</x:v>
      </x:c>
      <x:c r="B3335" s="8" t="n">
        <x:v>45475</x:v>
      </x:c>
      <x:c r="C3335" s="4" t="str">
        <x:v>PRJ-014</x:v>
      </x:c>
      <x:c r="D3335" s="4" t="str">
        <x:v>Villa</x:v>
      </x:c>
      <x:c r="E3335" s="4" t="str">
        <x:v>Agreement signed</x:v>
      </x:c>
      <x:c r="F3335" s="4" t="str">
        <x:v>CUS-03334</x:v>
      </x:c>
      <x:c r="G3335" s="4" t="str">
        <x:v>UNIT-03334</x:v>
      </x:c>
      <x:c r="H3335" s="9" t="n">
        <x:v>7300000</x:v>
      </x:c>
      <x:c r="I3335" s="10" t="n">
        <x:v>0.07</x:v>
      </x:c>
      <x:c r="J3335" s="11" t="n">
        <x:v>3</x:v>
      </x:c>
      <x:c r="K3335" s="11" t="n">
        <x:v>8</x:v>
      </x:c>
      <x:c r="L3335" s="11" t="n">
        <x:v>1</x:v>
      </x:c>
      <x:c r="M3335" s="9" t="n">
        <x:f>ROUND(H3335*(1-I3335),2)</x:f>
        <x:v>6789000</x:v>
      </x:c>
      <x:c r="N3335" s="4" t="str">
        <x:v>Sales manager</x:v>
      </x:c>
      <x:c r="O3335" s="4" t="str">
        <x:v>BOOK-03334</x:v>
      </x:c>
      <x:c r="P3335" s="9" t="n">
        <x:v>1697250</x:v>
      </x:c>
      <x:c r="Q3335" s="11" t="n">
        <x:v>0</x:v>
      </x:c>
      <x:c r="R3335" s="8" t="n">
        <x:v>45535</x:v>
      </x:c>
      <x:c r="S3335" s="4" t="str">
        <x:v>Retained</x:v>
      </x:c>
      <x:c r="T3335" s="10" t="n">
        <x:v>0.204152</x:v>
      </x:c>
      <x:c r="U3335" s="4" t="str">
        <x:v>Excluded / unlabelled</x:v>
      </x:c>
    </x:row>
    <x:row r="3336" ht="34" customHeight="1">
      <x:c r="A3336" s="4" t="str">
        <x:v>RS-03335</x:v>
      </x:c>
      <x:c r="B3336" s="8" t="n">
        <x:v>45476</x:v>
      </x:c>
      <x:c r="C3336" s="4" t="str">
        <x:v>PRJ-015</x:v>
      </x:c>
      <x:c r="D3336" s="4" t="str">
        <x:v>Office</x:v>
      </x:c>
      <x:c r="E3336" s="4" t="str">
        <x:v>Booked</x:v>
      </x:c>
      <x:c r="F3336" s="4" t="str">
        <x:v>CUS-03335</x:v>
      </x:c>
      <x:c r="G3336" s="4" t="str">
        <x:v>UNIT-03335</x:v>
      </x:c>
      <x:c r="H3336" s="9" t="n">
        <x:v>9700000</x:v>
      </x:c>
      <x:c r="I3336" s="10" t="n">
        <x:v>0.01</x:v>
      </x:c>
      <x:c r="J3336" s="11" t="n">
        <x:v>10</x:v>
      </x:c>
      <x:c r="K3336" s="11" t="n">
        <x:v>3</x:v>
      </x:c>
      <x:c r="L3336" s="11" t="n">
        <x:v>0</x:v>
      </x:c>
      <x:c r="M3336" s="9" t="n">
        <x:f>ROUND(H3336*(1-I3336),2)</x:f>
        <x:v>9603000</x:v>
      </x:c>
      <x:c r="N3336" s="4" t="str">
        <x:v>Sales manager</x:v>
      </x:c>
      <x:c r="O3336" s="4" t="str">
        <x:v>BOOK-03335</x:v>
      </x:c>
      <x:c r="P3336" s="9" t="n">
        <x:v>2400750</x:v>
      </x:c>
      <x:c r="Q3336" s="11" t="n">
        <x:v>0</x:v>
      </x:c>
      <x:c r="R3336" s="8" t="n">
        <x:v>45536</x:v>
      </x:c>
      <x:c r="S3336" s="4" t="str">
        <x:v>Retained</x:v>
      </x:c>
      <x:c r="T3336" s="10" t="n">
        <x:v>0.305556</x:v>
      </x:c>
      <x:c r="U3336" s="4" t="str">
        <x:v>Excluded / unlabelled</x:v>
      </x:c>
    </x:row>
    <x:row r="3337" ht="34" customHeight="1">
      <x:c r="A3337" s="4" t="str">
        <x:v>RS-03336</x:v>
      </x:c>
      <x:c r="B3337" s="8" t="n">
        <x:v>45477</x:v>
      </x:c>
      <x:c r="C3337" s="4" t="str">
        <x:v>PRJ-016</x:v>
      </x:c>
      <x:c r="D3337" s="4" t="str">
        <x:v>Retail</x:v>
      </x:c>
      <x:c r="E3337" s="4" t="str">
        <x:v>Handed over</x:v>
      </x:c>
      <x:c r="F3337" s="4" t="str">
        <x:v>CUS-03336</x:v>
      </x:c>
      <x:c r="G3337" s="4" t="str">
        <x:v>UNIT-03336</x:v>
      </x:c>
      <x:c r="H3337" s="9" t="n">
        <x:v>13600000</x:v>
      </x:c>
      <x:c r="I3337" s="10" t="n">
        <x:v>0.03</x:v>
      </x:c>
      <x:c r="J3337" s="11" t="n">
        <x:v>12</x:v>
      </x:c>
      <x:c r="K3337" s="11" t="n">
        <x:v>0</x:v>
      </x:c>
      <x:c r="L3337" s="11" t="n">
        <x:v>0</x:v>
      </x:c>
      <x:c r="M3337" s="9" t="n">
        <x:f>ROUND(H3337*(1-I3337),2)</x:f>
        <x:v>13192000</x:v>
      </x:c>
      <x:c r="N3337" s="4" t="str">
        <x:v>Sales manager</x:v>
      </x:c>
      <x:c r="O3337" s="4" t="str">
        <x:v>BOOK-03336</x:v>
      </x:c>
      <x:c r="P3337" s="9" t="n">
        <x:v>13192000</x:v>
      </x:c>
      <x:c r="Q3337" s="11" t="n">
        <x:v>0</x:v>
      </x:c>
      <x:c r="R3337" s="8" t="n">
        <x:v>45537</x:v>
      </x:c>
      <x:c r="S3337" s="4" t="str">
        <x:v>Retained</x:v>
      </x:c>
      <x:c r="T3337" s="10" t="n">
        <x:v>0.351536</x:v>
      </x:c>
      <x:c r="U3337" s="4" t="str">
        <x:v>Excluded / unlabelled</x:v>
      </x:c>
    </x:row>
    <x:row r="3338" ht="34" customHeight="1">
      <x:c r="A3338" s="4" t="str">
        <x:v>RS-03337</x:v>
      </x:c>
      <x:c r="B3338" s="8" t="n">
        <x:v>45478</x:v>
      </x:c>
      <x:c r="C3338" s="4" t="str">
        <x:v>PRJ-017</x:v>
      </x:c>
      <x:c r="D3338" s="4" t="str">
        <x:v>Office</x:v>
      </x:c>
      <x:c r="E3338" s="4" t="str">
        <x:v>Reserved</x:v>
      </x:c>
      <x:c r="F3338" s="4" t="str">
        <x:v>CUS-03337</x:v>
      </x:c>
      <x:c r="G3338" s="4" t="str">
        <x:v>UNIT-03337</x:v>
      </x:c>
      <x:c r="H3338" s="9" t="n">
        <x:v>13100000</x:v>
      </x:c>
      <x:c r="I3338" s="10" t="n">
        <x:v>0.01</x:v>
      </x:c>
      <x:c r="J3338" s="11" t="n">
        <x:v>5</x:v>
      </x:c>
      <x:c r="K3338" s="11" t="n">
        <x:v>10</x:v>
      </x:c>
      <x:c r="L3338" s="11" t="n">
        <x:v>0</x:v>
      </x:c>
      <x:c r="M3338" s="9" t="n">
        <x:f>ROUND(H3338*(1-I3338),2)</x:f>
        <x:v>12969000</x:v>
      </x:c>
      <x:c r="N3338" s="4" t="str">
        <x:v>Sales manager</x:v>
      </x:c>
      <x:c r="O3338" s="4"/>
      <x:c r="P3338" s="9" t="n">
        <x:v>0</x:v>
      </x:c>
      <x:c r="Q3338" s="11" t="n">
        <x:v>0</x:v>
      </x:c>
      <x:c r="R3338" s="8" t="n">
        <x:v>45538</x:v>
      </x:c>
      <x:c r="S3338" s="4" t="str">
        <x:v>Retained</x:v>
      </x:c>
      <x:c r="T3338" s="10" t="n">
        <x:v>0.145299</x:v>
      </x:c>
      <x:c r="U3338" s="4" t="str">
        <x:v>Excluded / unlabelled</x:v>
      </x:c>
    </x:row>
    <x:row r="3339" ht="34" customHeight="1">
      <x:c r="A3339" s="4" t="str">
        <x:v>RS-03338</x:v>
      </x:c>
      <x:c r="B3339" s="8" t="n">
        <x:v>45479</x:v>
      </x:c>
      <x:c r="C3339" s="4" t="str">
        <x:v>PRJ-018</x:v>
      </x:c>
      <x:c r="D3339" s="4" t="str">
        <x:v>Retail</x:v>
      </x:c>
      <x:c r="E3339" s="4" t="str">
        <x:v>Agreement signed</x:v>
      </x:c>
      <x:c r="F3339" s="4" t="str">
        <x:v>CUS-03338</x:v>
      </x:c>
      <x:c r="G3339" s="4" t="str">
        <x:v>UNIT-03338</x:v>
      </x:c>
      <x:c r="H3339" s="9" t="n">
        <x:v>3700000</x:v>
      </x:c>
      <x:c r="I3339" s="10" t="n">
        <x:v>0.08</x:v>
      </x:c>
      <x:c r="J3339" s="11" t="n">
        <x:v>8</x:v>
      </x:c>
      <x:c r="K3339" s="11" t="n">
        <x:v>10</x:v>
      </x:c>
      <x:c r="L3339" s="11" t="n">
        <x:v>0</x:v>
      </x:c>
      <x:c r="M3339" s="9" t="n">
        <x:f>ROUND(H3339*(1-I3339),2)</x:f>
        <x:v>3404000</x:v>
      </x:c>
      <x:c r="N3339" s="4" t="str">
        <x:v>Sales head</x:v>
      </x:c>
      <x:c r="O3339" s="4" t="str">
        <x:v>BOOK-03338</x:v>
      </x:c>
      <x:c r="P3339" s="9" t="n">
        <x:v>340400</x:v>
      </x:c>
      <x:c r="Q3339" s="11" t="n">
        <x:v>0</x:v>
      </x:c>
      <x:c r="R3339" s="8" t="n">
        <x:v>45539</x:v>
      </x:c>
      <x:c r="S3339" s="4" t="str">
        <x:v>Retained</x:v>
      </x:c>
      <x:c r="T3339" s="10" t="n">
        <x:v>0.310195</x:v>
      </x:c>
      <x:c r="U3339" s="4" t="str">
        <x:v>Excluded / unlabelled</x:v>
      </x:c>
    </x:row>
    <x:row r="3340" ht="34" customHeight="1">
      <x:c r="A3340" s="4" t="str">
        <x:v>RS-03339</x:v>
      </x:c>
      <x:c r="B3340" s="8" t="n">
        <x:v>45480</x:v>
      </x:c>
      <x:c r="C3340" s="4" t="str">
        <x:v>PRJ-019</x:v>
      </x:c>
      <x:c r="D3340" s="4" t="str">
        <x:v>Office</x:v>
      </x:c>
      <x:c r="E3340" s="4" t="str">
        <x:v>Agreement signed</x:v>
      </x:c>
      <x:c r="F3340" s="4" t="str">
        <x:v>CUS-03339</x:v>
      </x:c>
      <x:c r="G3340" s="4" t="str">
        <x:v>UNIT-03339</x:v>
      </x:c>
      <x:c r="H3340" s="9" t="n">
        <x:v>22000000</x:v>
      </x:c>
      <x:c r="I3340" s="10" t="n">
        <x:v>0.1</x:v>
      </x:c>
      <x:c r="J3340" s="11" t="n">
        <x:v>8</x:v>
      </x:c>
      <x:c r="K3340" s="11" t="n">
        <x:v>5</x:v>
      </x:c>
      <x:c r="L3340" s="11" t="n">
        <x:v>0</x:v>
      </x:c>
      <x:c r="M3340" s="9" t="n">
        <x:f>ROUND(H3340*(1-I3340),2)</x:f>
        <x:v>19800000</x:v>
      </x:c>
      <x:c r="N3340" s="4" t="str">
        <x:v>Sales head</x:v>
      </x:c>
      <x:c r="O3340" s="4" t="str">
        <x:v>BOOK-03339</x:v>
      </x:c>
      <x:c r="P3340" s="9" t="n">
        <x:v>1980000</x:v>
      </x:c>
      <x:c r="Q3340" s="11" t="n">
        <x:v>0</x:v>
      </x:c>
      <x:c r="R3340" s="8" t="n">
        <x:v>45540</x:v>
      </x:c>
      <x:c r="S3340" s="4" t="str">
        <x:v>Retained</x:v>
      </x:c>
      <x:c r="T3340" s="10" t="n">
        <x:v>0.310195</x:v>
      </x:c>
      <x:c r="U3340" s="4" t="str">
        <x:v>Excluded / unlabelled</x:v>
      </x:c>
    </x:row>
    <x:row r="3341" ht="34" customHeight="1">
      <x:c r="A3341" s="4" t="str">
        <x:v>RS-03340</x:v>
      </x:c>
      <x:c r="B3341" s="8" t="n">
        <x:v>45481</x:v>
      </x:c>
      <x:c r="C3341" s="4" t="str">
        <x:v>PRJ-020</x:v>
      </x:c>
      <x:c r="D3341" s="4" t="str">
        <x:v>Office</x:v>
      </x:c>
      <x:c r="E3341" s="4" t="str">
        <x:v>Agreement signed</x:v>
      </x:c>
      <x:c r="F3341" s="4" t="str">
        <x:v>CUS-03340</x:v>
      </x:c>
      <x:c r="G3341" s="4" t="str">
        <x:v>UNIT-03340</x:v>
      </x:c>
      <x:c r="H3341" s="9" t="n">
        <x:v>11800000</x:v>
      </x:c>
      <x:c r="I3341" s="10" t="n">
        <x:v>0.06</x:v>
      </x:c>
      <x:c r="J3341" s="11" t="n">
        <x:v>12</x:v>
      </x:c>
      <x:c r="K3341" s="11" t="n">
        <x:v>7</x:v>
      </x:c>
      <x:c r="L3341" s="11" t="n">
        <x:v>1</x:v>
      </x:c>
      <x:c r="M3341" s="9" t="n">
        <x:f>ROUND(H3341*(1-I3341),2)</x:f>
        <x:v>11092000</x:v>
      </x:c>
      <x:c r="N3341" s="4" t="str">
        <x:v>Sales manager</x:v>
      </x:c>
      <x:c r="O3341" s="4" t="str">
        <x:v>BOOK-03340</x:v>
      </x:c>
      <x:c r="P3341" s="9" t="n">
        <x:v>11092000</x:v>
      </x:c>
      <x:c r="Q3341" s="11" t="n">
        <x:v>0</x:v>
      </x:c>
      <x:c r="R3341" s="8" t="n">
        <x:v>45541</x:v>
      </x:c>
      <x:c r="S3341" s="4" t="str">
        <x:v>Retained</x:v>
      </x:c>
      <x:c r="T3341" s="10" t="n">
        <x:v>0.351536</x:v>
      </x:c>
      <x:c r="U3341" s="4" t="str">
        <x:v>Excluded / unlabelled</x:v>
      </x:c>
    </x:row>
    <x:row r="3342" ht="34" customHeight="1">
      <x:c r="A3342" s="4" t="str">
        <x:v>RS-03341</x:v>
      </x:c>
      <x:c r="B3342" s="8" t="n">
        <x:v>45482</x:v>
      </x:c>
      <x:c r="C3342" s="4" t="str">
        <x:v>PRJ-001</x:v>
      </x:c>
      <x:c r="D3342" s="4" t="str">
        <x:v>Villa</x:v>
      </x:c>
      <x:c r="E3342" s="4" t="str">
        <x:v>Enquiry</x:v>
      </x:c>
      <x:c r="F3342" s="4" t="str">
        <x:v>CUS-03341</x:v>
      </x:c>
      <x:c r="G3342" s="4" t="str">
        <x:v>UNIT-03341</x:v>
      </x:c>
      <x:c r="H3342" s="9" t="n">
        <x:v>13600000</x:v>
      </x:c>
      <x:c r="I3342" s="10" t="n">
        <x:v>0.04</x:v>
      </x:c>
      <x:c r="J3342" s="11" t="n">
        <x:v>10</x:v>
      </x:c>
      <x:c r="K3342" s="11" t="n">
        <x:v>1</x:v>
      </x:c>
      <x:c r="L3342" s="11" t="n">
        <x:v>0</x:v>
      </x:c>
      <x:c r="M3342" s="9" t="n">
        <x:f>ROUND(H3342*(1-I3342),2)</x:f>
        <x:v>13056000</x:v>
      </x:c>
      <x:c r="N3342" s="4" t="str">
        <x:v>Sales manager</x:v>
      </x:c>
      <x:c r="O3342" s="4"/>
      <x:c r="P3342" s="9" t="n">
        <x:v>0</x:v>
      </x:c>
      <x:c r="Q3342" s="11" t="n">
        <x:v>0</x:v>
      </x:c>
      <x:c r="R3342" s="8" t="n">
        <x:v>45542</x:v>
      </x:c>
      <x:c r="S3342" s="4" t="str">
        <x:v>Retained</x:v>
      </x:c>
      <x:c r="T3342" s="10" t="n">
        <x:v>0.310195</x:v>
      </x:c>
      <x:c r="U3342" s="4" t="str">
        <x:v>Excluded / unlabelled</x:v>
      </x:c>
    </x:row>
    <x:row r="3343" ht="34" customHeight="1">
      <x:c r="A3343" s="4" t="str">
        <x:v>RS-03342</x:v>
      </x:c>
      <x:c r="B3343" s="8" t="n">
        <x:v>45483</x:v>
      </x:c>
      <x:c r="C3343" s="4" t="str">
        <x:v>PRJ-002</x:v>
      </x:c>
      <x:c r="D3343" s="4" t="str">
        <x:v>Villa</x:v>
      </x:c>
      <x:c r="E3343" s="4" t="str">
        <x:v>Handed over</x:v>
      </x:c>
      <x:c r="F3343" s="4" t="str">
        <x:v>CUS-03342</x:v>
      </x:c>
      <x:c r="G3343" s="4" t="str">
        <x:v>UNIT-03342</x:v>
      </x:c>
      <x:c r="H3343" s="9" t="n">
        <x:v>13200000</x:v>
      </x:c>
      <x:c r="I3343" s="10" t="n">
        <x:v>0.04</x:v>
      </x:c>
      <x:c r="J3343" s="11" t="n">
        <x:v>4</x:v>
      </x:c>
      <x:c r="K3343" s="11" t="n">
        <x:v>1</x:v>
      </x:c>
      <x:c r="L3343" s="11" t="n">
        <x:v>1</x:v>
      </x:c>
      <x:c r="M3343" s="9" t="n">
        <x:f>ROUND(H3343*(1-I3343),2)</x:f>
        <x:v>12672000</x:v>
      </x:c>
      <x:c r="N3343" s="4" t="str">
        <x:v>Sales manager</x:v>
      </x:c>
      <x:c r="O3343" s="4" t="str">
        <x:v>BOOK-03342</x:v>
      </x:c>
      <x:c r="P3343" s="9" t="n">
        <x:v>6336000</x:v>
      </x:c>
      <x:c r="Q3343" s="11" t="n">
        <x:v>0</x:v>
      </x:c>
      <x:c r="R3343" s="8" t="n">
        <x:v>45543</x:v>
      </x:c>
      <x:c r="S3343" s="4" t="str">
        <x:v>Retained</x:v>
      </x:c>
      <x:c r="T3343" s="10" t="n">
        <x:v>0.291946</x:v>
      </x:c>
      <x:c r="U3343" s="4" t="str">
        <x:v>Excluded / unlabelled</x:v>
      </x:c>
    </x:row>
    <x:row r="3344" ht="34" customHeight="1">
      <x:c r="A3344" s="4" t="str">
        <x:v>RS-03343</x:v>
      </x:c>
      <x:c r="B3344" s="8" t="n">
        <x:v>45484</x:v>
      </x:c>
      <x:c r="C3344" s="4" t="str">
        <x:v>PRJ-003</x:v>
      </x:c>
      <x:c r="D3344" s="4" t="str">
        <x:v>Retail</x:v>
      </x:c>
      <x:c r="E3344" s="4" t="str">
        <x:v>Booked</x:v>
      </x:c>
      <x:c r="F3344" s="4" t="str">
        <x:v>CUS-03343</x:v>
      </x:c>
      <x:c r="G3344" s="4" t="str">
        <x:v>UNIT-03343</x:v>
      </x:c>
      <x:c r="H3344" s="9" t="n">
        <x:v>20100000</x:v>
      </x:c>
      <x:c r="I3344" s="10" t="n">
        <x:v>0.07</x:v>
      </x:c>
      <x:c r="J3344" s="11" t="n">
        <x:v>9</x:v>
      </x:c>
      <x:c r="K3344" s="11" t="n">
        <x:v>1</x:v>
      </x:c>
      <x:c r="L3344" s="11" t="n">
        <x:v>0</x:v>
      </x:c>
      <x:c r="M3344" s="9" t="n">
        <x:f>ROUND(H3344*(1-I3344),2)</x:f>
        <x:v>18693000</x:v>
      </x:c>
      <x:c r="N3344" s="4" t="str">
        <x:v>Sales manager</x:v>
      </x:c>
      <x:c r="O3344" s="4" t="str">
        <x:v>BOOK-03343</x:v>
      </x:c>
      <x:c r="P3344" s="9" t="n">
        <x:v>18693000</x:v>
      </x:c>
      <x:c r="Q3344" s="11" t="n">
        <x:v>0</x:v>
      </x:c>
      <x:c r="R3344" s="8" t="n">
        <x:v>45544</x:v>
      </x:c>
      <x:c r="S3344" s="4" t="str">
        <x:v>Retained</x:v>
      </x:c>
      <x:c r="T3344" s="10" t="n">
        <x:v>0.310195</x:v>
      </x:c>
      <x:c r="U3344" s="4" t="str">
        <x:v>Excluded / unlabelled</x:v>
      </x:c>
    </x:row>
    <x:row r="3345" ht="34" customHeight="1">
      <x:c r="A3345" s="4" t="str">
        <x:v>RS-03344</x:v>
      </x:c>
      <x:c r="B3345" s="8" t="n">
        <x:v>45485</x:v>
      </x:c>
      <x:c r="C3345" s="4" t="str">
        <x:v>PRJ-004</x:v>
      </x:c>
      <x:c r="D3345" s="4" t="str">
        <x:v>Retail</x:v>
      </x:c>
      <x:c r="E3345" s="4" t="str">
        <x:v>Cancelled</x:v>
      </x:c>
      <x:c r="F3345" s="4" t="str">
        <x:v>CUS-03344</x:v>
      </x:c>
      <x:c r="G3345" s="4" t="str">
        <x:v>UNIT-03344</x:v>
      </x:c>
      <x:c r="H3345" s="9" t="n">
        <x:v>4800000</x:v>
      </x:c>
      <x:c r="I3345" s="10" t="n">
        <x:v>0.03</x:v>
      </x:c>
      <x:c r="J3345" s="11" t="n">
        <x:v>6</x:v>
      </x:c>
      <x:c r="K3345" s="11" t="n">
        <x:v>1</x:v>
      </x:c>
      <x:c r="L3345" s="11" t="n">
        <x:v>0</x:v>
      </x:c>
      <x:c r="M3345" s="9" t="n">
        <x:f>ROUND(H3345*(1-I3345),2)</x:f>
        <x:v>4656000</x:v>
      </x:c>
      <x:c r="N3345" s="4" t="str">
        <x:v>Sales manager</x:v>
      </x:c>
      <x:c r="O3345" s="4"/>
      <x:c r="P3345" s="9" t="n">
        <x:v>0</x:v>
      </x:c>
      <x:c r="Q3345" s="11" t="n">
        <x:v>1</x:v>
      </x:c>
      <x:c r="R3345" s="8" t="n">
        <x:v>45545</x:v>
      </x:c>
      <x:c r="S3345" s="4" t="str">
        <x:v>Lost / cancelled</x:v>
      </x:c>
      <x:c r="T3345" s="10" t="n">
        <x:v>0.298969</x:v>
      </x:c>
      <x:c r="U3345" s="4" t="str">
        <x:v>Excluded / unlabelled</x:v>
      </x:c>
    </x:row>
    <x:row r="3346" ht="34" customHeight="1">
      <x:c r="A3346" s="4" t="str">
        <x:v>RS-03345</x:v>
      </x:c>
      <x:c r="B3346" s="8" t="n">
        <x:v>45486</x:v>
      </x:c>
      <x:c r="C3346" s="4" t="str">
        <x:v>PRJ-005</x:v>
      </x:c>
      <x:c r="D3346" s="4" t="str">
        <x:v>Villa</x:v>
      </x:c>
      <x:c r="E3346" s="4" t="str">
        <x:v>Booked</x:v>
      </x:c>
      <x:c r="F3346" s="4" t="str">
        <x:v>CUS-03345</x:v>
      </x:c>
      <x:c r="G3346" s="4" t="str">
        <x:v>UNIT-03345</x:v>
      </x:c>
      <x:c r="H3346" s="9" t="n">
        <x:v>12500000</x:v>
      </x:c>
      <x:c r="I3346" s="10" t="n">
        <x:v>0.05</x:v>
      </x:c>
      <x:c r="J3346" s="11" t="n">
        <x:v>8</x:v>
      </x:c>
      <x:c r="K3346" s="11" t="n">
        <x:v>7</x:v>
      </x:c>
      <x:c r="L3346" s="11" t="n">
        <x:v>0</x:v>
      </x:c>
      <x:c r="M3346" s="9" t="n">
        <x:f>ROUND(H3346*(1-I3346),2)</x:f>
        <x:v>11875000</x:v>
      </x:c>
      <x:c r="N3346" s="4" t="str">
        <x:v>Sales manager</x:v>
      </x:c>
      <x:c r="O3346" s="4" t="str">
        <x:v>BOOK-03345</x:v>
      </x:c>
      <x:c r="P3346" s="9" t="n">
        <x:v>11875000</x:v>
      </x:c>
      <x:c r="Q3346" s="11" t="n">
        <x:v>0</x:v>
      </x:c>
      <x:c r="R3346" s="8" t="n">
        <x:v>45546</x:v>
      </x:c>
      <x:c r="S3346" s="4" t="str">
        <x:v>Retained</x:v>
      </x:c>
      <x:c r="T3346" s="10" t="n">
        <x:v>0.310195</x:v>
      </x:c>
      <x:c r="U3346" s="4" t="str">
        <x:v>Excluded / unlabelled</x:v>
      </x:c>
    </x:row>
    <x:row r="3347" ht="34" customHeight="1">
      <x:c r="A3347" s="4" t="str">
        <x:v>RS-03346</x:v>
      </x:c>
      <x:c r="B3347" s="8" t="n">
        <x:v>45487</x:v>
      </x:c>
      <x:c r="C3347" s="4" t="str">
        <x:v>PRJ-006</x:v>
      </x:c>
      <x:c r="D3347" s="4" t="str">
        <x:v>Office</x:v>
      </x:c>
      <x:c r="E3347" s="4" t="str">
        <x:v>Cancelled</x:v>
      </x:c>
      <x:c r="F3347" s="4" t="str">
        <x:v>CUS-03346</x:v>
      </x:c>
      <x:c r="G3347" s="4" t="str">
        <x:v>UNIT-03346</x:v>
      </x:c>
      <x:c r="H3347" s="9" t="n">
        <x:v>12100000</x:v>
      </x:c>
      <x:c r="I3347" s="10" t="n">
        <x:v>0.07</x:v>
      </x:c>
      <x:c r="J3347" s="11" t="n">
        <x:v>12</x:v>
      </x:c>
      <x:c r="K3347" s="11" t="n">
        <x:v>4</x:v>
      </x:c>
      <x:c r="L3347" s="11" t="n">
        <x:v>1</x:v>
      </x:c>
      <x:c r="M3347" s="9" t="n">
        <x:f>ROUND(H3347*(1-I3347),2)</x:f>
        <x:v>11253000</x:v>
      </x:c>
      <x:c r="N3347" s="4" t="str">
        <x:v>Sales manager</x:v>
      </x:c>
      <x:c r="O3347" s="4"/>
      <x:c r="P3347" s="9" t="n">
        <x:v>0</x:v>
      </x:c>
      <x:c r="Q3347" s="11" t="n">
        <x:v>1</x:v>
      </x:c>
      <x:c r="R3347" s="8" t="n">
        <x:v>45547</x:v>
      </x:c>
      <x:c r="S3347" s="4" t="str">
        <x:v>Lost / cancelled</x:v>
      </x:c>
      <x:c r="T3347" s="10" t="n">
        <x:v>0.351536</x:v>
      </x:c>
      <x:c r="U3347" s="4" t="str">
        <x:v>Excluded / unlabelled</x:v>
      </x:c>
    </x:row>
    <x:row r="3348" ht="34" customHeight="1">
      <x:c r="A3348" s="4" t="str">
        <x:v>RS-03347</x:v>
      </x:c>
      <x:c r="B3348" s="8" t="n">
        <x:v>45488</x:v>
      </x:c>
      <x:c r="C3348" s="4" t="str">
        <x:v>PRJ-007</x:v>
      </x:c>
      <x:c r="D3348" s="4" t="str">
        <x:v>Villa</x:v>
      </x:c>
      <x:c r="E3348" s="4" t="str">
        <x:v>Cancelled</x:v>
      </x:c>
      <x:c r="F3348" s="4" t="str">
        <x:v>CUS-03347</x:v>
      </x:c>
      <x:c r="G3348" s="4" t="str">
        <x:v>UNIT-03347</x:v>
      </x:c>
      <x:c r="H3348" s="9" t="n">
        <x:v>3000000</x:v>
      </x:c>
      <x:c r="I3348" s="10" t="n">
        <x:v>0.08</x:v>
      </x:c>
      <x:c r="J3348" s="11" t="n">
        <x:v>11</x:v>
      </x:c>
      <x:c r="K3348" s="11" t="n">
        <x:v>10</x:v>
      </x:c>
      <x:c r="L3348" s="11" t="n">
        <x:v>1</x:v>
      </x:c>
      <x:c r="M3348" s="9" t="n">
        <x:f>ROUND(H3348*(1-I3348),2)</x:f>
        <x:v>2760000</x:v>
      </x:c>
      <x:c r="N3348" s="4" t="str">
        <x:v>Sales head</x:v>
      </x:c>
      <x:c r="O3348" s="4"/>
      <x:c r="P3348" s="9" t="n">
        <x:v>0</x:v>
      </x:c>
      <x:c r="Q3348" s="11" t="n">
        <x:v>1</x:v>
      </x:c>
      <x:c r="R3348" s="8" t="n">
        <x:v>45548</x:v>
      </x:c>
      <x:c r="S3348" s="4" t="str">
        <x:v>Lost / cancelled</x:v>
      </x:c>
      <x:c r="T3348" s="10" t="n">
        <x:v>0.351536</x:v>
      </x:c>
      <x:c r="U3348" s="4" t="str">
        <x:v>Excluded / unlabelled</x:v>
      </x:c>
    </x:row>
    <x:row r="3349" ht="34" customHeight="1">
      <x:c r="A3349" s="4" t="str">
        <x:v>RS-03348</x:v>
      </x:c>
      <x:c r="B3349" s="8" t="n">
        <x:v>45489</x:v>
      </x:c>
      <x:c r="C3349" s="4" t="str">
        <x:v>PRJ-008</x:v>
      </x:c>
      <x:c r="D3349" s="4" t="str">
        <x:v>Villa</x:v>
      </x:c>
      <x:c r="E3349" s="4" t="str">
        <x:v>Reserved</x:v>
      </x:c>
      <x:c r="F3349" s="4" t="str">
        <x:v>CUS-03348</x:v>
      </x:c>
      <x:c r="G3349" s="4" t="str">
        <x:v>UNIT-03348</x:v>
      </x:c>
      <x:c r="H3349" s="9" t="n">
        <x:v>4800000</x:v>
      </x:c>
      <x:c r="I3349" s="10" t="n">
        <x:v>0.06</x:v>
      </x:c>
      <x:c r="J3349" s="11" t="n">
        <x:v>4</x:v>
      </x:c>
      <x:c r="K3349" s="11" t="n">
        <x:v>6</x:v>
      </x:c>
      <x:c r="L3349" s="11" t="n">
        <x:v>1</x:v>
      </x:c>
      <x:c r="M3349" s="9" t="n">
        <x:f>ROUND(H3349*(1-I3349),2)</x:f>
        <x:v>4512000</x:v>
      </x:c>
      <x:c r="N3349" s="4" t="str">
        <x:v>Sales manager</x:v>
      </x:c>
      <x:c r="O3349" s="4"/>
      <x:c r="P3349" s="9" t="n">
        <x:v>0</x:v>
      </x:c>
      <x:c r="Q3349" s="11" t="n">
        <x:v>1</x:v>
      </x:c>
      <x:c r="R3349" s="8" t="n">
        <x:v>45549</x:v>
      </x:c>
      <x:c r="S3349" s="4" t="str">
        <x:v>Lost / cancelled</x:v>
      </x:c>
      <x:c r="T3349" s="10" t="n">
        <x:v>0.291946</x:v>
      </x:c>
      <x:c r="U3349" s="4" t="str">
        <x:v>Excluded / unlabelled</x:v>
      </x:c>
    </x:row>
    <x:row r="3350" ht="34" customHeight="1">
      <x:c r="A3350" s="4" t="str">
        <x:v>RS-03349</x:v>
      </x:c>
      <x:c r="B3350" s="8" t="n">
        <x:v>45490</x:v>
      </x:c>
      <x:c r="C3350" s="4" t="str">
        <x:v>PRJ-009</x:v>
      </x:c>
      <x:c r="D3350" s="4" t="str">
        <x:v>Villa</x:v>
      </x:c>
      <x:c r="E3350" s="4" t="str">
        <x:v>Enquiry</x:v>
      </x:c>
      <x:c r="F3350" s="4" t="str">
        <x:v>CUS-03349</x:v>
      </x:c>
      <x:c r="G3350" s="4" t="str">
        <x:v>UNIT-03349</x:v>
      </x:c>
      <x:c r="H3350" s="9" t="n">
        <x:v>14600000</x:v>
      </x:c>
      <x:c r="I3350" s="10" t="n">
        <x:v>0.07</x:v>
      </x:c>
      <x:c r="J3350" s="11" t="n">
        <x:v>12</x:v>
      </x:c>
      <x:c r="K3350" s="11" t="n">
        <x:v>3</x:v>
      </x:c>
      <x:c r="L3350" s="11" t="n">
        <x:v>1</x:v>
      </x:c>
      <x:c r="M3350" s="9" t="n">
        <x:f>ROUND(H3350*(1-I3350),2)</x:f>
        <x:v>13578000</x:v>
      </x:c>
      <x:c r="N3350" s="4" t="str">
        <x:v>Sales manager</x:v>
      </x:c>
      <x:c r="O3350" s="4"/>
      <x:c r="P3350" s="9" t="n">
        <x:v>0</x:v>
      </x:c>
      <x:c r="Q3350" s="11" t="n">
        <x:v>1</x:v>
      </x:c>
      <x:c r="R3350" s="8" t="n">
        <x:v>45550</x:v>
      </x:c>
      <x:c r="S3350" s="4" t="str">
        <x:v>Lost / cancelled</x:v>
      </x:c>
      <x:c r="T3350" s="10" t="n">
        <x:v>0.351536</x:v>
      </x:c>
      <x:c r="U3350" s="4" t="str">
        <x:v>Excluded / unlabelled</x:v>
      </x:c>
    </x:row>
    <x:row r="3351" ht="34" customHeight="1">
      <x:c r="A3351" s="4" t="str">
        <x:v>RS-03350</x:v>
      </x:c>
      <x:c r="B3351" s="8" t="n">
        <x:v>45491</x:v>
      </x:c>
      <x:c r="C3351" s="4" t="str">
        <x:v>PRJ-010</x:v>
      </x:c>
      <x:c r="D3351" s="4" t="str">
        <x:v>Villa</x:v>
      </x:c>
      <x:c r="E3351" s="4" t="str">
        <x:v>Booked</x:v>
      </x:c>
      <x:c r="F3351" s="4" t="str">
        <x:v>CUS-03350</x:v>
      </x:c>
      <x:c r="G3351" s="4" t="str">
        <x:v>UNIT-03350</x:v>
      </x:c>
      <x:c r="H3351" s="9" t="n">
        <x:v>11700000</x:v>
      </x:c>
      <x:c r="I3351" s="10" t="n">
        <x:v>0.04</x:v>
      </x:c>
      <x:c r="J3351" s="11" t="n">
        <x:v>12</x:v>
      </x:c>
      <x:c r="K3351" s="11" t="n">
        <x:v>1</x:v>
      </x:c>
      <x:c r="L3351" s="11" t="n">
        <x:v>0</x:v>
      </x:c>
      <x:c r="M3351" s="9" t="n">
        <x:f>ROUND(H3351*(1-I3351),2)</x:f>
        <x:v>11232000</x:v>
      </x:c>
      <x:c r="N3351" s="4" t="str">
        <x:v>Sales manager</x:v>
      </x:c>
      <x:c r="O3351" s="4" t="str">
        <x:v>BOOK-03350</x:v>
      </x:c>
      <x:c r="P3351" s="9" t="n">
        <x:v>1123200</x:v>
      </x:c>
      <x:c r="Q3351" s="11" t="n">
        <x:v>0</x:v>
      </x:c>
      <x:c r="R3351" s="8" t="n">
        <x:v>45551</x:v>
      </x:c>
      <x:c r="S3351" s="4" t="str">
        <x:v>Retained</x:v>
      </x:c>
      <x:c r="T3351" s="10" t="n">
        <x:v>0.351536</x:v>
      </x:c>
      <x:c r="U3351" s="4" t="str">
        <x:v>Excluded / unlabelled</x:v>
      </x:c>
    </x:row>
    <x:row r="3352" ht="34" customHeight="1">
      <x:c r="A3352" s="4" t="str">
        <x:v>RS-03351</x:v>
      </x:c>
      <x:c r="B3352" s="8" t="n">
        <x:v>45492</x:v>
      </x:c>
      <x:c r="C3352" s="4" t="str">
        <x:v>PRJ-011</x:v>
      </x:c>
      <x:c r="D3352" s="4" t="str">
        <x:v>Villa</x:v>
      </x:c>
      <x:c r="E3352" s="4" t="str">
        <x:v>Handed over</x:v>
      </x:c>
      <x:c r="F3352" s="4" t="str">
        <x:v>CUS-03351</x:v>
      </x:c>
      <x:c r="G3352" s="4" t="str">
        <x:v>UNIT-03351</x:v>
      </x:c>
      <x:c r="H3352" s="9" t="n">
        <x:v>18500000</x:v>
      </x:c>
      <x:c r="I3352" s="10" t="n">
        <x:v>0.1</x:v>
      </x:c>
      <x:c r="J3352" s="11" t="n">
        <x:v>7</x:v>
      </x:c>
      <x:c r="K3352" s="11" t="n">
        <x:v>8</x:v>
      </x:c>
      <x:c r="L3352" s="11" t="n">
        <x:v>0</x:v>
      </x:c>
      <x:c r="M3352" s="9" t="n">
        <x:f>ROUND(H3352*(1-I3352),2)</x:f>
        <x:v>16650000</x:v>
      </x:c>
      <x:c r="N3352" s="4" t="str">
        <x:v>Sales head</x:v>
      </x:c>
      <x:c r="O3352" s="4" t="str">
        <x:v>BOOK-03351</x:v>
      </x:c>
      <x:c r="P3352" s="9" t="n">
        <x:v>4162500</x:v>
      </x:c>
      <x:c r="Q3352" s="11" t="n">
        <x:v>0</x:v>
      </x:c>
      <x:c r="R3352" s="8" t="n">
        <x:v>45552</x:v>
      </x:c>
      <x:c r="S3352" s="4" t="str">
        <x:v>Retained</x:v>
      </x:c>
      <x:c r="T3352" s="10" t="n">
        <x:v>0.226277</x:v>
      </x:c>
      <x:c r="U3352" s="4" t="str">
        <x:v>Excluded / unlabelled</x:v>
      </x:c>
    </x:row>
    <x:row r="3353" ht="34" customHeight="1">
      <x:c r="A3353" s="4" t="str">
        <x:v>RS-03352</x:v>
      </x:c>
      <x:c r="B3353" s="8" t="n">
        <x:v>45493</x:v>
      </x:c>
      <x:c r="C3353" s="4" t="str">
        <x:v>PRJ-012</x:v>
      </x:c>
      <x:c r="D3353" s="4" t="str">
        <x:v>Office</x:v>
      </x:c>
      <x:c r="E3353" s="4" t="str">
        <x:v>Enquiry</x:v>
      </x:c>
      <x:c r="F3353" s="4" t="str">
        <x:v>CUS-03352</x:v>
      </x:c>
      <x:c r="G3353" s="4" t="str">
        <x:v>UNIT-03352</x:v>
      </x:c>
      <x:c r="H3353" s="9" t="n">
        <x:v>9400000</x:v>
      </x:c>
      <x:c r="I3353" s="10" t="n">
        <x:v>0.05</x:v>
      </x:c>
      <x:c r="J3353" s="11" t="n">
        <x:v>1</x:v>
      </x:c>
      <x:c r="K3353" s="11" t="n">
        <x:v>1</x:v>
      </x:c>
      <x:c r="L3353" s="11" t="n">
        <x:v>1</x:v>
      </x:c>
      <x:c r="M3353" s="9" t="n">
        <x:f>ROUND(H3353*(1-I3353),2)</x:f>
        <x:v>8930000</x:v>
      </x:c>
      <x:c r="N3353" s="4" t="str">
        <x:v>Sales manager</x:v>
      </x:c>
      <x:c r="O3353" s="4"/>
      <x:c r="P3353" s="9" t="n">
        <x:v>0</x:v>
      </x:c>
      <x:c r="Q3353" s="11" t="n">
        <x:v>0</x:v>
      </x:c>
      <x:c r="R3353" s="8" t="n">
        <x:v>45553</x:v>
      </x:c>
      <x:c r="S3353" s="4" t="str">
        <x:v>Retained</x:v>
      </x:c>
      <x:c r="T3353" s="10" t="n">
        <x:v>0.204152</x:v>
      </x:c>
      <x:c r="U3353" s="4" t="str">
        <x:v>Excluded / unlabelled</x:v>
      </x:c>
    </x:row>
    <x:row r="3354" ht="34" customHeight="1">
      <x:c r="A3354" s="4" t="str">
        <x:v>RS-03353</x:v>
      </x:c>
      <x:c r="B3354" s="8" t="n">
        <x:v>45494</x:v>
      </x:c>
      <x:c r="C3354" s="4" t="str">
        <x:v>PRJ-013</x:v>
      </x:c>
      <x:c r="D3354" s="4" t="str">
        <x:v>Apartment</x:v>
      </x:c>
      <x:c r="E3354" s="4" t="str">
        <x:v>Booked</x:v>
      </x:c>
      <x:c r="F3354" s="4" t="str">
        <x:v>CUS-03353</x:v>
      </x:c>
      <x:c r="G3354" s="4" t="str">
        <x:v>UNIT-03353</x:v>
      </x:c>
      <x:c r="H3354" s="9" t="n">
        <x:v>24200000</x:v>
      </x:c>
      <x:c r="I3354" s="10" t="n">
        <x:v>0.04</x:v>
      </x:c>
      <x:c r="J3354" s="11" t="n">
        <x:v>7</x:v>
      </x:c>
      <x:c r="K3354" s="11" t="n">
        <x:v>9</x:v>
      </x:c>
      <x:c r="L3354" s="11" t="n">
        <x:v>1</x:v>
      </x:c>
      <x:c r="M3354" s="9" t="n">
        <x:f>ROUND(H3354*(1-I3354),2)</x:f>
        <x:v>23232000</x:v>
      </x:c>
      <x:c r="N3354" s="4" t="str">
        <x:v>Sales manager</x:v>
      </x:c>
      <x:c r="O3354" s="4" t="str">
        <x:v>BOOK-03353</x:v>
      </x:c>
      <x:c r="P3354" s="9" t="n">
        <x:v>23232000</x:v>
      </x:c>
      <x:c r="Q3354" s="11" t="n">
        <x:v>0</x:v>
      </x:c>
      <x:c r="R3354" s="8" t="n">
        <x:v>45554</x:v>
      </x:c>
      <x:c r="S3354" s="4" t="str">
        <x:v>Retained</x:v>
      </x:c>
      <x:c r="T3354" s="10" t="n">
        <x:v>0.291946</x:v>
      </x:c>
      <x:c r="U3354" s="4" t="str">
        <x:v>Excluded / unlabelled</x:v>
      </x:c>
    </x:row>
    <x:row r="3355" ht="34" customHeight="1">
      <x:c r="A3355" s="4" t="str">
        <x:v>RS-03354</x:v>
      </x:c>
      <x:c r="B3355" s="8" t="n">
        <x:v>45495</x:v>
      </x:c>
      <x:c r="C3355" s="4" t="str">
        <x:v>PRJ-014</x:v>
      </x:c>
      <x:c r="D3355" s="4" t="str">
        <x:v>Retail</x:v>
      </x:c>
      <x:c r="E3355" s="4" t="str">
        <x:v>Agreement signed</x:v>
      </x:c>
      <x:c r="F3355" s="4" t="str">
        <x:v>CUS-03354</x:v>
      </x:c>
      <x:c r="G3355" s="4" t="str">
        <x:v>UNIT-03354</x:v>
      </x:c>
      <x:c r="H3355" s="9" t="n">
        <x:v>9300000</x:v>
      </x:c>
      <x:c r="I3355" s="10" t="n">
        <x:v>0.02</x:v>
      </x:c>
      <x:c r="J3355" s="11" t="n">
        <x:v>6</x:v>
      </x:c>
      <x:c r="K3355" s="11" t="n">
        <x:v>8</x:v>
      </x:c>
      <x:c r="L3355" s="11" t="n">
        <x:v>1</x:v>
      </x:c>
      <x:c r="M3355" s="9" t="n">
        <x:f>ROUND(H3355*(1-I3355),2)</x:f>
        <x:v>9114000</x:v>
      </x:c>
      <x:c r="N3355" s="4" t="str">
        <x:v>Sales manager</x:v>
      </x:c>
      <x:c r="O3355" s="4" t="str">
        <x:v>BOOK-03354</x:v>
      </x:c>
      <x:c r="P3355" s="9" t="n">
        <x:v>9114000</x:v>
      </x:c>
      <x:c r="Q3355" s="11" t="n">
        <x:v>0</x:v>
      </x:c>
      <x:c r="R3355" s="8" t="n">
        <x:v>45555</x:v>
      </x:c>
      <x:c r="S3355" s="4" t="str">
        <x:v>Retained</x:v>
      </x:c>
      <x:c r="T3355" s="10" t="n">
        <x:v>0.145299</x:v>
      </x:c>
      <x:c r="U3355" s="4" t="str">
        <x:v>Excluded / unlabelled</x:v>
      </x:c>
    </x:row>
    <x:row r="3356" ht="34" customHeight="1">
      <x:c r="A3356" s="4" t="str">
        <x:v>RS-03355</x:v>
      </x:c>
      <x:c r="B3356" s="8" t="n">
        <x:v>45496</x:v>
      </x:c>
      <x:c r="C3356" s="4" t="str">
        <x:v>PRJ-015</x:v>
      </x:c>
      <x:c r="D3356" s="4" t="str">
        <x:v>Villa</x:v>
      </x:c>
      <x:c r="E3356" s="4" t="str">
        <x:v>Agreement signed</x:v>
      </x:c>
      <x:c r="F3356" s="4" t="str">
        <x:v>CUS-03355</x:v>
      </x:c>
      <x:c r="G3356" s="4" t="str">
        <x:v>UNIT-03355</x:v>
      </x:c>
      <x:c r="H3356" s="9" t="n">
        <x:v>10900000</x:v>
      </x:c>
      <x:c r="I3356" s="10" t="n">
        <x:v>0.07</x:v>
      </x:c>
      <x:c r="J3356" s="11" t="n">
        <x:v>4</x:v>
      </x:c>
      <x:c r="K3356" s="11" t="n">
        <x:v>8</x:v>
      </x:c>
      <x:c r="L3356" s="11" t="n">
        <x:v>0</x:v>
      </x:c>
      <x:c r="M3356" s="9" t="n">
        <x:f>ROUND(H3356*(1-I3356),2)</x:f>
        <x:v>10137000</x:v>
      </x:c>
      <x:c r="N3356" s="4" t="str">
        <x:v>Sales manager</x:v>
      </x:c>
      <x:c r="O3356" s="4" t="str">
        <x:v>BOOK-03355</x:v>
      </x:c>
      <x:c r="P3356" s="9" t="n">
        <x:v>10137000</x:v>
      </x:c>
      <x:c r="Q3356" s="11" t="n">
        <x:v>0</x:v>
      </x:c>
      <x:c r="R3356" s="8" t="n">
        <x:v>45556</x:v>
      </x:c>
      <x:c r="S3356" s="4" t="str">
        <x:v>Retained</x:v>
      </x:c>
      <x:c r="T3356" s="10" t="n">
        <x:v>0.226277</x:v>
      </x:c>
      <x:c r="U3356" s="4" t="str">
        <x:v>Excluded / unlabelled</x:v>
      </x:c>
    </x:row>
    <x:row r="3357" ht="34" customHeight="1">
      <x:c r="A3357" s="4" t="str">
        <x:v>RS-03356</x:v>
      </x:c>
      <x:c r="B3357" s="8" t="n">
        <x:v>45497</x:v>
      </x:c>
      <x:c r="C3357" s="4" t="str">
        <x:v>PRJ-016</x:v>
      </x:c>
      <x:c r="D3357" s="4" t="str">
        <x:v>Apartment</x:v>
      </x:c>
      <x:c r="E3357" s="4" t="str">
        <x:v>Agreement signed</x:v>
      </x:c>
      <x:c r="F3357" s="4" t="str">
        <x:v>CUS-03356</x:v>
      </x:c>
      <x:c r="G3357" s="4" t="str">
        <x:v>UNIT-03356</x:v>
      </x:c>
      <x:c r="H3357" s="9" t="n">
        <x:v>21500000</x:v>
      </x:c>
      <x:c r="I3357" s="10" t="n">
        <x:v>0.02</x:v>
      </x:c>
      <x:c r="J3357" s="11" t="n">
        <x:v>8</x:v>
      </x:c>
      <x:c r="K3357" s="11" t="n">
        <x:v>7</x:v>
      </x:c>
      <x:c r="L3357" s="11" t="n">
        <x:v>1</x:v>
      </x:c>
      <x:c r="M3357" s="9" t="n">
        <x:f>ROUND(H3357*(1-I3357),2)</x:f>
        <x:v>21070000</x:v>
      </x:c>
      <x:c r="N3357" s="4" t="str">
        <x:v>Sales manager</x:v>
      </x:c>
      <x:c r="O3357" s="4" t="str">
        <x:v>BOOK-03356</x:v>
      </x:c>
      <x:c r="P3357" s="9" t="n">
        <x:v>2107000</x:v>
      </x:c>
      <x:c r="Q3357" s="11" t="n">
        <x:v>0</x:v>
      </x:c>
      <x:c r="R3357" s="8" t="n">
        <x:v>45557</x:v>
      </x:c>
      <x:c r="S3357" s="4" t="str">
        <x:v>Retained</x:v>
      </x:c>
      <x:c r="T3357" s="10" t="n">
        <x:v>0.254545</x:v>
      </x:c>
      <x:c r="U3357" s="4" t="str">
        <x:v>Excluded / unlabelled</x:v>
      </x:c>
    </x:row>
    <x:row r="3358" ht="34" customHeight="1">
      <x:c r="A3358" s="4" t="str">
        <x:v>RS-03357</x:v>
      </x:c>
      <x:c r="B3358" s="8" t="n">
        <x:v>45498</x:v>
      </x:c>
      <x:c r="C3358" s="4" t="str">
        <x:v>PRJ-017</x:v>
      </x:c>
      <x:c r="D3358" s="4" t="str">
        <x:v>Office</x:v>
      </x:c>
      <x:c r="E3358" s="4" t="str">
        <x:v>Agreement signed</x:v>
      </x:c>
      <x:c r="F3358" s="4" t="str">
        <x:v>CUS-03357</x:v>
      </x:c>
      <x:c r="G3358" s="4" t="str">
        <x:v>UNIT-03357</x:v>
      </x:c>
      <x:c r="H3358" s="9" t="n">
        <x:v>22700000</x:v>
      </x:c>
      <x:c r="I3358" s="10" t="n">
        <x:v>0.09</x:v>
      </x:c>
      <x:c r="J3358" s="11" t="n">
        <x:v>6</x:v>
      </x:c>
      <x:c r="K3358" s="11" t="n">
        <x:v>2</x:v>
      </x:c>
      <x:c r="L3358" s="11" t="n">
        <x:v>1</x:v>
      </x:c>
      <x:c r="M3358" s="9" t="n">
        <x:f>ROUND(H3358*(1-I3358),2)</x:f>
        <x:v>20657000</x:v>
      </x:c>
      <x:c r="N3358" s="4" t="str">
        <x:v>Sales head</x:v>
      </x:c>
      <x:c r="O3358" s="4" t="str">
        <x:v>BOOK-03357</x:v>
      </x:c>
      <x:c r="P3358" s="9" t="n">
        <x:v>20657000</x:v>
      </x:c>
      <x:c r="Q3358" s="11" t="n">
        <x:v>0</x:v>
      </x:c>
      <x:c r="R3358" s="8" t="n">
        <x:v>45558</x:v>
      </x:c>
      <x:c r="S3358" s="4" t="str">
        <x:v>Retained</x:v>
      </x:c>
      <x:c r="T3358" s="10" t="n">
        <x:v>0.291946</x:v>
      </x:c>
      <x:c r="U3358" s="4" t="str">
        <x:v>Excluded / unlabelled</x:v>
      </x:c>
    </x:row>
    <x:row r="3359" ht="34" customHeight="1">
      <x:c r="A3359" s="4" t="str">
        <x:v>RS-03358</x:v>
      </x:c>
      <x:c r="B3359" s="8" t="n">
        <x:v>45499</x:v>
      </x:c>
      <x:c r="C3359" s="4" t="str">
        <x:v>PRJ-018</x:v>
      </x:c>
      <x:c r="D3359" s="4" t="str">
        <x:v>Retail</x:v>
      </x:c>
      <x:c r="E3359" s="4" t="str">
        <x:v>Booked</x:v>
      </x:c>
      <x:c r="F3359" s="4" t="str">
        <x:v>CUS-03358</x:v>
      </x:c>
      <x:c r="G3359" s="4" t="str">
        <x:v>UNIT-03358</x:v>
      </x:c>
      <x:c r="H3359" s="9" t="n">
        <x:v>13800000</x:v>
      </x:c>
      <x:c r="I3359" s="10" t="n">
        <x:v>0.08</x:v>
      </x:c>
      <x:c r="J3359" s="11" t="n">
        <x:v>8</x:v>
      </x:c>
      <x:c r="K3359" s="11" t="n">
        <x:v>5</x:v>
      </x:c>
      <x:c r="L3359" s="11" t="n">
        <x:v>1</x:v>
      </x:c>
      <x:c r="M3359" s="9" t="n">
        <x:f>ROUND(H3359*(1-I3359),2)</x:f>
        <x:v>12696000</x:v>
      </x:c>
      <x:c r="N3359" s="4" t="str">
        <x:v>Sales head</x:v>
      </x:c>
      <x:c r="O3359" s="4" t="str">
        <x:v>BOOK-03358</x:v>
      </x:c>
      <x:c r="P3359" s="9" t="n">
        <x:v>6348000</x:v>
      </x:c>
      <x:c r="Q3359" s="11" t="n">
        <x:v>0</x:v>
      </x:c>
      <x:c r="R3359" s="8" t="n">
        <x:v>45559</x:v>
      </x:c>
      <x:c r="S3359" s="4" t="str">
        <x:v>Retained</x:v>
      </x:c>
      <x:c r="T3359" s="10" t="n">
        <x:v>0.310195</x:v>
      </x:c>
      <x:c r="U3359" s="4" t="str">
        <x:v>Excluded / unlabelled</x:v>
      </x:c>
    </x:row>
    <x:row r="3360" ht="34" customHeight="1">
      <x:c r="A3360" s="4" t="str">
        <x:v>RS-03359</x:v>
      </x:c>
      <x:c r="B3360" s="8" t="n">
        <x:v>45500</x:v>
      </x:c>
      <x:c r="C3360" s="4" t="str">
        <x:v>PRJ-019</x:v>
      </x:c>
      <x:c r="D3360" s="4" t="str">
        <x:v>Office</x:v>
      </x:c>
      <x:c r="E3360" s="4" t="str">
        <x:v>Handed over</x:v>
      </x:c>
      <x:c r="F3360" s="4" t="str">
        <x:v>CUS-03359</x:v>
      </x:c>
      <x:c r="G3360" s="4" t="str">
        <x:v>UNIT-03359</x:v>
      </x:c>
      <x:c r="H3360" s="9" t="n">
        <x:v>18000000</x:v>
      </x:c>
      <x:c r="I3360" s="10" t="n">
        <x:v>0.09</x:v>
      </x:c>
      <x:c r="J3360" s="11" t="n">
        <x:v>6</x:v>
      </x:c>
      <x:c r="K3360" s="11" t="n">
        <x:v>6</x:v>
      </x:c>
      <x:c r="L3360" s="11" t="n">
        <x:v>1</x:v>
      </x:c>
      <x:c r="M3360" s="9" t="n">
        <x:f>ROUND(H3360*(1-I3360),2)</x:f>
        <x:v>16380000</x:v>
      </x:c>
      <x:c r="N3360" s="4" t="str">
        <x:v>Sales head</x:v>
      </x:c>
      <x:c r="O3360" s="4" t="str">
        <x:v>BOOK-03359</x:v>
      </x:c>
      <x:c r="P3360" s="9" t="n">
        <x:v>16380000</x:v>
      </x:c>
      <x:c r="Q3360" s="11" t="n">
        <x:v>0</x:v>
      </x:c>
      <x:c r="R3360" s="8" t="n">
        <x:v>45560</x:v>
      </x:c>
      <x:c r="S3360" s="4" t="str">
        <x:v>Retained</x:v>
      </x:c>
      <x:c r="T3360" s="10" t="n">
        <x:v>0.291946</x:v>
      </x:c>
      <x:c r="U3360" s="4" t="str">
        <x:v>Excluded / unlabelled</x:v>
      </x:c>
    </x:row>
    <x:row r="3361" ht="34" customHeight="1">
      <x:c r="A3361" s="4" t="str">
        <x:v>RS-03360</x:v>
      </x:c>
      <x:c r="B3361" s="8" t="n">
        <x:v>45501</x:v>
      </x:c>
      <x:c r="C3361" s="4" t="str">
        <x:v>PRJ-020</x:v>
      </x:c>
      <x:c r="D3361" s="4" t="str">
        <x:v>Villa</x:v>
      </x:c>
      <x:c r="E3361" s="4" t="str">
        <x:v>Agreement signed</x:v>
      </x:c>
      <x:c r="F3361" s="4" t="str">
        <x:v>CUS-03360</x:v>
      </x:c>
      <x:c r="G3361" s="4" t="str">
        <x:v>UNIT-03360</x:v>
      </x:c>
      <x:c r="H3361" s="9" t="n">
        <x:v>11200000</x:v>
      </x:c>
      <x:c r="I3361" s="10" t="n">
        <x:v>0.04</x:v>
      </x:c>
      <x:c r="J3361" s="11" t="n">
        <x:v>6</x:v>
      </x:c>
      <x:c r="K3361" s="11" t="n">
        <x:v>9</x:v>
      </x:c>
      <x:c r="L3361" s="11" t="n">
        <x:v>0</x:v>
      </x:c>
      <x:c r="M3361" s="9" t="n">
        <x:f>ROUND(H3361*(1-I3361),2)</x:f>
        <x:v>10752000</x:v>
      </x:c>
      <x:c r="N3361" s="4" t="str">
        <x:v>Sales manager</x:v>
      </x:c>
      <x:c r="O3361" s="4" t="str">
        <x:v>BOOK-03360</x:v>
      </x:c>
      <x:c r="P3361" s="9" t="n">
        <x:v>10752000</x:v>
      </x:c>
      <x:c r="Q3361" s="11" t="n">
        <x:v>0</x:v>
      </x:c>
      <x:c r="R3361" s="8" t="n">
        <x:v>45561</x:v>
      </x:c>
      <x:c r="S3361" s="4" t="str">
        <x:v>Retained</x:v>
      </x:c>
      <x:c r="T3361" s="10" t="n">
        <x:v>0.226277</x:v>
      </x:c>
      <x:c r="U3361" s="4" t="str">
        <x:v>Excluded / unlabelled</x:v>
      </x:c>
    </x:row>
    <x:row r="3362" ht="34" customHeight="1">
      <x:c r="A3362" s="4" t="str">
        <x:v>RS-03361</x:v>
      </x:c>
      <x:c r="B3362" s="8" t="n">
        <x:v>45474</x:v>
      </x:c>
      <x:c r="C3362" s="4" t="str">
        <x:v>PRJ-001</x:v>
      </x:c>
      <x:c r="D3362" s="4" t="str">
        <x:v>Apartment</x:v>
      </x:c>
      <x:c r="E3362" s="4" t="str">
        <x:v>Enquiry</x:v>
      </x:c>
      <x:c r="F3362" s="4" t="str">
        <x:v>CUS-03361</x:v>
      </x:c>
      <x:c r="G3362" s="4" t="str">
        <x:v>UNIT-03361</x:v>
      </x:c>
      <x:c r="H3362" s="9" t="n">
        <x:v>11800000</x:v>
      </x:c>
      <x:c r="I3362" s="10" t="n">
        <x:v>0.07</x:v>
      </x:c>
      <x:c r="J3362" s="11" t="n">
        <x:v>5</x:v>
      </x:c>
      <x:c r="K3362" s="11" t="n">
        <x:v>10</x:v>
      </x:c>
      <x:c r="L3362" s="11" t="n">
        <x:v>1</x:v>
      </x:c>
      <x:c r="M3362" s="9" t="n">
        <x:f>ROUND(H3362*(1-I3362),2)</x:f>
        <x:v>10974000</x:v>
      </x:c>
      <x:c r="N3362" s="4" t="str">
        <x:v>Sales manager</x:v>
      </x:c>
      <x:c r="O3362" s="4"/>
      <x:c r="P3362" s="9" t="n">
        <x:v>0</x:v>
      </x:c>
      <x:c r="Q3362" s="11" t="n">
        <x:v>0</x:v>
      </x:c>
      <x:c r="R3362" s="8" t="n">
        <x:v>45534</x:v>
      </x:c>
      <x:c r="S3362" s="4" t="str">
        <x:v>Retained</x:v>
      </x:c>
      <x:c r="T3362" s="10" t="n">
        <x:v>0.291946</x:v>
      </x:c>
      <x:c r="U3362" s="4" t="str">
        <x:v>Excluded / unlabelled</x:v>
      </x:c>
    </x:row>
    <x:row r="3363" ht="34" customHeight="1">
      <x:c r="A3363" s="4" t="str">
        <x:v>RS-03362</x:v>
      </x:c>
      <x:c r="B3363" s="8" t="n">
        <x:v>45475</x:v>
      </x:c>
      <x:c r="C3363" s="4" t="str">
        <x:v>PRJ-002</x:v>
      </x:c>
      <x:c r="D3363" s="4" t="str">
        <x:v>Apartment</x:v>
      </x:c>
      <x:c r="E3363" s="4" t="str">
        <x:v>Enquiry</x:v>
      </x:c>
      <x:c r="F3363" s="4" t="str">
        <x:v>CUS-03362</x:v>
      </x:c>
      <x:c r="G3363" s="4" t="str">
        <x:v>UNIT-03362</x:v>
      </x:c>
      <x:c r="H3363" s="9" t="n">
        <x:v>17200000</x:v>
      </x:c>
      <x:c r="I3363" s="10" t="n">
        <x:v>0.12</x:v>
      </x:c>
      <x:c r="J3363" s="11" t="n">
        <x:v>1</x:v>
      </x:c>
      <x:c r="K3363" s="11" t="n">
        <x:v>2</x:v>
      </x:c>
      <x:c r="L3363" s="11" t="n">
        <x:v>0</x:v>
      </x:c>
      <x:c r="M3363" s="9" t="n">
        <x:f>ROUND(H3363*(1-I3363),2)</x:f>
        <x:v>15136000</x:v>
      </x:c>
      <x:c r="N3363" s="4" t="str">
        <x:v>Sales head</x:v>
      </x:c>
      <x:c r="O3363" s="4"/>
      <x:c r="P3363" s="9" t="n">
        <x:v>0</x:v>
      </x:c>
      <x:c r="Q3363" s="11" t="n">
        <x:v>1</x:v>
      </x:c>
      <x:c r="R3363" s="8" t="n">
        <x:v>45535</x:v>
      </x:c>
      <x:c r="S3363" s="4" t="str">
        <x:v>Lost / cancelled</x:v>
      </x:c>
      <x:c r="T3363" s="10" t="n">
        <x:v>0.145833</x:v>
      </x:c>
      <x:c r="U3363" s="4" t="str">
        <x:v>Excluded / unlabelled</x:v>
      </x:c>
    </x:row>
    <x:row r="3364" ht="34" customHeight="1">
      <x:c r="A3364" s="4" t="str">
        <x:v>RS-03363</x:v>
      </x:c>
      <x:c r="B3364" s="8" t="n">
        <x:v>45476</x:v>
      </x:c>
      <x:c r="C3364" s="4" t="str">
        <x:v>PRJ-003</x:v>
      </x:c>
      <x:c r="D3364" s="4" t="str">
        <x:v>Villa</x:v>
      </x:c>
      <x:c r="E3364" s="4" t="str">
        <x:v>Cancelled</x:v>
      </x:c>
      <x:c r="F3364" s="4" t="str">
        <x:v>CUS-03363</x:v>
      </x:c>
      <x:c r="G3364" s="4" t="str">
        <x:v>UNIT-03363</x:v>
      </x:c>
      <x:c r="H3364" s="9" t="n">
        <x:v>20900000</x:v>
      </x:c>
      <x:c r="I3364" s="10" t="n">
        <x:v>0.06</x:v>
      </x:c>
      <x:c r="J3364" s="11" t="n">
        <x:v>3</x:v>
      </x:c>
      <x:c r="K3364" s="11" t="n">
        <x:v>2</x:v>
      </x:c>
      <x:c r="L3364" s="11" t="n">
        <x:v>0</x:v>
      </x:c>
      <x:c r="M3364" s="9" t="n">
        <x:f>ROUND(H3364*(1-I3364),2)</x:f>
        <x:v>19646000</x:v>
      </x:c>
      <x:c r="N3364" s="4" t="str">
        <x:v>Sales manager</x:v>
      </x:c>
      <x:c r="O3364" s="4"/>
      <x:c r="P3364" s="9" t="n">
        <x:v>0</x:v>
      </x:c>
      <x:c r="Q3364" s="11" t="n">
        <x:v>1</x:v>
      </x:c>
      <x:c r="R3364" s="8" t="n">
        <x:v>45536</x:v>
      </x:c>
      <x:c r="S3364" s="4" t="str">
        <x:v>Lost / cancelled</x:v>
      </x:c>
      <x:c r="T3364" s="10" t="n">
        <x:v>0.204152</x:v>
      </x:c>
      <x:c r="U3364" s="4" t="str">
        <x:v>Excluded / unlabelled</x:v>
      </x:c>
    </x:row>
    <x:row r="3365" ht="34" customHeight="1">
      <x:c r="A3365" s="4" t="str">
        <x:v>RS-03364</x:v>
      </x:c>
      <x:c r="B3365" s="8" t="n">
        <x:v>45477</x:v>
      </x:c>
      <x:c r="C3365" s="4" t="str">
        <x:v>PRJ-004</x:v>
      </x:c>
      <x:c r="D3365" s="4" t="str">
        <x:v>Villa</x:v>
      </x:c>
      <x:c r="E3365" s="4" t="str">
        <x:v>Cancelled</x:v>
      </x:c>
      <x:c r="F3365" s="4" t="str">
        <x:v>CUS-03364</x:v>
      </x:c>
      <x:c r="G3365" s="4" t="str">
        <x:v>UNIT-03364</x:v>
      </x:c>
      <x:c r="H3365" s="9" t="n">
        <x:v>4300000</x:v>
      </x:c>
      <x:c r="I3365" s="10" t="n">
        <x:v>0.06</x:v>
      </x:c>
      <x:c r="J3365" s="11" t="n">
        <x:v>3</x:v>
      </x:c>
      <x:c r="K3365" s="11" t="n">
        <x:v>7</x:v>
      </x:c>
      <x:c r="L3365" s="11" t="n">
        <x:v>0</x:v>
      </x:c>
      <x:c r="M3365" s="9" t="n">
        <x:f>ROUND(H3365*(1-I3365),2)</x:f>
        <x:v>4042000</x:v>
      </x:c>
      <x:c r="N3365" s="4" t="str">
        <x:v>Sales manager</x:v>
      </x:c>
      <x:c r="O3365" s="4"/>
      <x:c r="P3365" s="9" t="n">
        <x:v>0</x:v>
      </x:c>
      <x:c r="Q3365" s="11" t="n">
        <x:v>1</x:v>
      </x:c>
      <x:c r="R3365" s="8" t="n">
        <x:v>45537</x:v>
      </x:c>
      <x:c r="S3365" s="4" t="str">
        <x:v>Lost / cancelled</x:v>
      </x:c>
      <x:c r="T3365" s="10" t="n">
        <x:v>0.204152</x:v>
      </x:c>
      <x:c r="U3365" s="4" t="str">
        <x:v>Excluded / unlabelled</x:v>
      </x:c>
    </x:row>
    <x:row r="3366" ht="34" customHeight="1">
      <x:c r="A3366" s="4" t="str">
        <x:v>RS-03365</x:v>
      </x:c>
      <x:c r="B3366" s="8" t="n">
        <x:v>45478</x:v>
      </x:c>
      <x:c r="C3366" s="4" t="str">
        <x:v>PRJ-005</x:v>
      </x:c>
      <x:c r="D3366" s="4" t="str">
        <x:v>Villa</x:v>
      </x:c>
      <x:c r="E3366" s="4" t="str">
        <x:v>Reserved</x:v>
      </x:c>
      <x:c r="F3366" s="4" t="str">
        <x:v>CUS-03365</x:v>
      </x:c>
      <x:c r="G3366" s="4" t="str">
        <x:v>UNIT-03365</x:v>
      </x:c>
      <x:c r="H3366" s="9" t="n">
        <x:v>6400000</x:v>
      </x:c>
      <x:c r="I3366" s="10" t="n">
        <x:v>0.07</x:v>
      </x:c>
      <x:c r="J3366" s="11" t="n">
        <x:v>5</x:v>
      </x:c>
      <x:c r="K3366" s="11" t="n">
        <x:v>3</x:v>
      </x:c>
      <x:c r="L3366" s="11" t="n">
        <x:v>0</x:v>
      </x:c>
      <x:c r="M3366" s="9" t="n">
        <x:f>ROUND(H3366*(1-I3366),2)</x:f>
        <x:v>5952000</x:v>
      </x:c>
      <x:c r="N3366" s="4" t="str">
        <x:v>Sales manager</x:v>
      </x:c>
      <x:c r="O3366" s="4"/>
      <x:c r="P3366" s="9" t="n">
        <x:v>0</x:v>
      </x:c>
      <x:c r="Q3366" s="11" t="n">
        <x:v>0</x:v>
      </x:c>
      <x:c r="R3366" s="8" t="n">
        <x:v>45538</x:v>
      </x:c>
      <x:c r="S3366" s="4" t="str">
        <x:v>Retained</x:v>
      </x:c>
      <x:c r="T3366" s="10" t="n">
        <x:v>0.226277</x:v>
      </x:c>
      <x:c r="U3366" s="4" t="str">
        <x:v>Excluded / unlabelled</x:v>
      </x:c>
    </x:row>
    <x:row r="3367" ht="34" customHeight="1">
      <x:c r="A3367" s="4" t="str">
        <x:v>RS-03366</x:v>
      </x:c>
      <x:c r="B3367" s="8" t="n">
        <x:v>45479</x:v>
      </x:c>
      <x:c r="C3367" s="4" t="str">
        <x:v>PRJ-006</x:v>
      </x:c>
      <x:c r="D3367" s="4" t="str">
        <x:v>Office</x:v>
      </x:c>
      <x:c r="E3367" s="4" t="str">
        <x:v>Handed over</x:v>
      </x:c>
      <x:c r="F3367" s="4" t="str">
        <x:v>CUS-03366</x:v>
      </x:c>
      <x:c r="G3367" s="4" t="str">
        <x:v>UNIT-03366</x:v>
      </x:c>
      <x:c r="H3367" s="9" t="n">
        <x:v>4000000</x:v>
      </x:c>
      <x:c r="I3367" s="10" t="n">
        <x:v>0.02</x:v>
      </x:c>
      <x:c r="J3367" s="11" t="n">
        <x:v>0</x:v>
      </x:c>
      <x:c r="K3367" s="11" t="n">
        <x:v>7</x:v>
      </x:c>
      <x:c r="L3367" s="11" t="n">
        <x:v>1</x:v>
      </x:c>
      <x:c r="M3367" s="9" t="n">
        <x:f>ROUND(H3367*(1-I3367),2)</x:f>
        <x:v>3920000</x:v>
      </x:c>
      <x:c r="N3367" s="4" t="str">
        <x:v>Sales manager</x:v>
      </x:c>
      <x:c r="O3367" s="4" t="str">
        <x:v>BOOK-03366</x:v>
      </x:c>
      <x:c r="P3367" s="9" t="n">
        <x:v>392000</x:v>
      </x:c>
      <x:c r="Q3367" s="11" t="n">
        <x:v>0</x:v>
      </x:c>
      <x:c r="R3367" s="8" t="n">
        <x:v>45539</x:v>
      </x:c>
      <x:c r="S3367" s="4" t="str">
        <x:v>Retained</x:v>
      </x:c>
      <x:c r="T3367" s="10" t="n">
        <x:v>0.072165</x:v>
      </x:c>
      <x:c r="U3367" s="4" t="str">
        <x:v>Excluded / unlabelled</x:v>
      </x:c>
    </x:row>
    <x:row r="3368" ht="34" customHeight="1">
      <x:c r="A3368" s="4" t="str">
        <x:v>RS-03367</x:v>
      </x:c>
      <x:c r="B3368" s="8" t="n">
        <x:v>45480</x:v>
      </x:c>
      <x:c r="C3368" s="4" t="str">
        <x:v>PRJ-007</x:v>
      </x:c>
      <x:c r="D3368" s="4" t="str">
        <x:v>Retail</x:v>
      </x:c>
      <x:c r="E3368" s="4" t="str">
        <x:v>Handed over</x:v>
      </x:c>
      <x:c r="F3368" s="4" t="str">
        <x:v>CUS-03367</x:v>
      </x:c>
      <x:c r="G3368" s="4" t="str">
        <x:v>UNIT-03367</x:v>
      </x:c>
      <x:c r="H3368" s="9" t="n">
        <x:v>16400000</x:v>
      </x:c>
      <x:c r="I3368" s="10" t="n">
        <x:v>0.05</x:v>
      </x:c>
      <x:c r="J3368" s="11" t="n">
        <x:v>2</x:v>
      </x:c>
      <x:c r="K3368" s="11" t="n">
        <x:v>10</x:v>
      </x:c>
      <x:c r="L3368" s="11" t="n">
        <x:v>0</x:v>
      </x:c>
      <x:c r="M3368" s="9" t="n">
        <x:f>ROUND(H3368*(1-I3368),2)</x:f>
        <x:v>15580000</x:v>
      </x:c>
      <x:c r="N3368" s="4" t="str">
        <x:v>Sales manager</x:v>
      </x:c>
      <x:c r="O3368" s="4" t="str">
        <x:v>BOOK-03367</x:v>
      </x:c>
      <x:c r="P3368" s="9" t="n">
        <x:v>7790000</x:v>
      </x:c>
      <x:c r="Q3368" s="11" t="n">
        <x:v>0</x:v>
      </x:c>
      <x:c r="R3368" s="8" t="n">
        <x:v>45540</x:v>
      </x:c>
      <x:c r="S3368" s="4" t="str">
        <x:v>Retained</x:v>
      </x:c>
      <x:c r="T3368" s="10" t="n">
        <x:v>0.204152</x:v>
      </x:c>
      <x:c r="U3368" s="4" t="str">
        <x:v>Excluded / unlabelled</x:v>
      </x:c>
    </x:row>
    <x:row r="3369" ht="34" customHeight="1">
      <x:c r="A3369" s="4" t="str">
        <x:v>RS-03368</x:v>
      </x:c>
      <x:c r="B3369" s="8" t="n">
        <x:v>45481</x:v>
      </x:c>
      <x:c r="C3369" s="4" t="str">
        <x:v>PRJ-008</x:v>
      </x:c>
      <x:c r="D3369" s="4" t="str">
        <x:v>Retail</x:v>
      </x:c>
      <x:c r="E3369" s="4" t="str">
        <x:v>Handed over</x:v>
      </x:c>
      <x:c r="F3369" s="4" t="str">
        <x:v>CUS-03368</x:v>
      </x:c>
      <x:c r="G3369" s="4" t="str">
        <x:v>UNIT-03368</x:v>
      </x:c>
      <x:c r="H3369" s="9" t="n">
        <x:v>13300000</x:v>
      </x:c>
      <x:c r="I3369" s="10" t="n">
        <x:v>0.09</x:v>
      </x:c>
      <x:c r="J3369" s="11" t="n">
        <x:v>3</x:v>
      </x:c>
      <x:c r="K3369" s="11" t="n">
        <x:v>5</x:v>
      </x:c>
      <x:c r="L3369" s="11" t="n">
        <x:v>0</x:v>
      </x:c>
      <x:c r="M3369" s="9" t="n">
        <x:f>ROUND(H3369*(1-I3369),2)</x:f>
        <x:v>12103000</x:v>
      </x:c>
      <x:c r="N3369" s="4" t="str">
        <x:v>Sales head</x:v>
      </x:c>
      <x:c r="O3369" s="4" t="str">
        <x:v>BOOK-03368</x:v>
      </x:c>
      <x:c r="P3369" s="9" t="n">
        <x:v>1210300</x:v>
      </x:c>
      <x:c r="Q3369" s="11" t="n">
        <x:v>0</x:v>
      </x:c>
      <x:c r="R3369" s="8" t="n">
        <x:v>45541</x:v>
      </x:c>
      <x:c r="S3369" s="4" t="str">
        <x:v>Retained</x:v>
      </x:c>
      <x:c r="T3369" s="10" t="n">
        <x:v>0.145833</x:v>
      </x:c>
      <x:c r="U3369" s="4" t="str">
        <x:v>Excluded / unlabelled</x:v>
      </x:c>
    </x:row>
    <x:row r="3370" ht="34" customHeight="1">
      <x:c r="A3370" s="4" t="str">
        <x:v>RS-03369</x:v>
      </x:c>
      <x:c r="B3370" s="8" t="n">
        <x:v>45482</x:v>
      </x:c>
      <x:c r="C3370" s="4" t="str">
        <x:v>PRJ-009</x:v>
      </x:c>
      <x:c r="D3370" s="4" t="str">
        <x:v>Apartment</x:v>
      </x:c>
      <x:c r="E3370" s="4" t="str">
        <x:v>Cancelled</x:v>
      </x:c>
      <x:c r="F3370" s="4" t="str">
        <x:v>CUS-03369</x:v>
      </x:c>
      <x:c r="G3370" s="4" t="str">
        <x:v>UNIT-03369</x:v>
      </x:c>
      <x:c r="H3370" s="9" t="n">
        <x:v>22100000</x:v>
      </x:c>
      <x:c r="I3370" s="10" t="n">
        <x:v>0.1</x:v>
      </x:c>
      <x:c r="J3370" s="11" t="n">
        <x:v>8</x:v>
      </x:c>
      <x:c r="K3370" s="11" t="n">
        <x:v>1</x:v>
      </x:c>
      <x:c r="L3370" s="11" t="n">
        <x:v>0</x:v>
      </x:c>
      <x:c r="M3370" s="9" t="n">
        <x:f>ROUND(H3370*(1-I3370),2)</x:f>
        <x:v>19890000</x:v>
      </x:c>
      <x:c r="N3370" s="4" t="str">
        <x:v>Sales head</x:v>
      </x:c>
      <x:c r="O3370" s="4"/>
      <x:c r="P3370" s="9" t="n">
        <x:v>0</x:v>
      </x:c>
      <x:c r="Q3370" s="11" t="n">
        <x:v>1</x:v>
      </x:c>
      <x:c r="R3370" s="8" t="n">
        <x:v>45542</x:v>
      </x:c>
      <x:c r="S3370" s="4" t="str">
        <x:v>Lost / cancelled</x:v>
      </x:c>
      <x:c r="T3370" s="10" t="n">
        <x:v>0.310195</x:v>
      </x:c>
      <x:c r="U3370" s="4" t="str">
        <x:v>Excluded / unlabelled</x:v>
      </x:c>
    </x:row>
    <x:row r="3371" ht="34" customHeight="1">
      <x:c r="A3371" s="4" t="str">
        <x:v>RS-03370</x:v>
      </x:c>
      <x:c r="B3371" s="8" t="n">
        <x:v>45483</x:v>
      </x:c>
      <x:c r="C3371" s="4" t="str">
        <x:v>PRJ-010</x:v>
      </x:c>
      <x:c r="D3371" s="4" t="str">
        <x:v>Office</x:v>
      </x:c>
      <x:c r="E3371" s="4" t="str">
        <x:v>Enquiry</x:v>
      </x:c>
      <x:c r="F3371" s="4" t="str">
        <x:v>CUS-03370</x:v>
      </x:c>
      <x:c r="G3371" s="4" t="str">
        <x:v>UNIT-03370</x:v>
      </x:c>
      <x:c r="H3371" s="9" t="n">
        <x:v>10000000</x:v>
      </x:c>
      <x:c r="I3371" s="10" t="n">
        <x:v>0.03</x:v>
      </x:c>
      <x:c r="J3371" s="11" t="n">
        <x:v>6</x:v>
      </x:c>
      <x:c r="K3371" s="11" t="n">
        <x:v>2</x:v>
      </x:c>
      <x:c r="L3371" s="11" t="n">
        <x:v>1</x:v>
      </x:c>
      <x:c r="M3371" s="9" t="n">
        <x:f>ROUND(H3371*(1-I3371),2)</x:f>
        <x:v>9700000</x:v>
      </x:c>
      <x:c r="N3371" s="4" t="str">
        <x:v>Sales manager</x:v>
      </x:c>
      <x:c r="O3371" s="4"/>
      <x:c r="P3371" s="9" t="n">
        <x:v>0</x:v>
      </x:c>
      <x:c r="Q3371" s="11" t="n">
        <x:v>0</x:v>
      </x:c>
      <x:c r="R3371" s="8" t="n">
        <x:v>45543</x:v>
      </x:c>
      <x:c r="S3371" s="4" t="str">
        <x:v>Retained</x:v>
      </x:c>
      <x:c r="T3371" s="10" t="n">
        <x:v>0.298969</x:v>
      </x:c>
      <x:c r="U3371" s="4" t="str">
        <x:v>Excluded / unlabelled</x:v>
      </x:c>
    </x:row>
    <x:row r="3372" ht="34" customHeight="1">
      <x:c r="A3372" s="4" t="str">
        <x:v>RS-03371</x:v>
      </x:c>
      <x:c r="B3372" s="8" t="n">
        <x:v>45484</x:v>
      </x:c>
      <x:c r="C3372" s="4" t="str">
        <x:v>PRJ-011</x:v>
      </x:c>
      <x:c r="D3372" s="4" t="str">
        <x:v>Apartment</x:v>
      </x:c>
      <x:c r="E3372" s="4" t="str">
        <x:v>Handed over</x:v>
      </x:c>
      <x:c r="F3372" s="4" t="str">
        <x:v>CUS-03371</x:v>
      </x:c>
      <x:c r="G3372" s="4" t="str">
        <x:v>UNIT-03371</x:v>
      </x:c>
      <x:c r="H3372" s="9" t="n">
        <x:v>4300000</x:v>
      </x:c>
      <x:c r="I3372" s="10" t="n">
        <x:v>0.06</x:v>
      </x:c>
      <x:c r="J3372" s="11" t="n">
        <x:v>10</x:v>
      </x:c>
      <x:c r="K3372" s="11" t="n">
        <x:v>6</x:v>
      </x:c>
      <x:c r="L3372" s="11" t="n">
        <x:v>0</x:v>
      </x:c>
      <x:c r="M3372" s="9" t="n">
        <x:f>ROUND(H3372*(1-I3372),2)</x:f>
        <x:v>4042000</x:v>
      </x:c>
      <x:c r="N3372" s="4" t="str">
        <x:v>Sales manager</x:v>
      </x:c>
      <x:c r="O3372" s="4" t="str">
        <x:v>BOOK-03371</x:v>
      </x:c>
      <x:c r="P3372" s="9" t="n">
        <x:v>2021000</x:v>
      </x:c>
      <x:c r="Q3372" s="11" t="n">
        <x:v>0</x:v>
      </x:c>
      <x:c r="R3372" s="8" t="n">
        <x:v>45544</x:v>
      </x:c>
      <x:c r="S3372" s="4" t="str">
        <x:v>Retained</x:v>
      </x:c>
      <x:c r="T3372" s="10" t="n">
        <x:v>0.310195</x:v>
      </x:c>
      <x:c r="U3372" s="4" t="str">
        <x:v>Excluded / unlabelled</x:v>
      </x:c>
    </x:row>
    <x:row r="3373" ht="34" customHeight="1">
      <x:c r="A3373" s="4" t="str">
        <x:v>RS-03372</x:v>
      </x:c>
      <x:c r="B3373" s="8" t="n">
        <x:v>45485</x:v>
      </x:c>
      <x:c r="C3373" s="4" t="str">
        <x:v>PRJ-012</x:v>
      </x:c>
      <x:c r="D3373" s="4" t="str">
        <x:v>Retail</x:v>
      </x:c>
      <x:c r="E3373" s="4" t="str">
        <x:v>Booked</x:v>
      </x:c>
      <x:c r="F3373" s="4" t="str">
        <x:v>CUS-03372</x:v>
      </x:c>
      <x:c r="G3373" s="4" t="str">
        <x:v>UNIT-03372</x:v>
      </x:c>
      <x:c r="H3373" s="9" t="n">
        <x:v>4600000</x:v>
      </x:c>
      <x:c r="I3373" s="10" t="n">
        <x:v>0.08</x:v>
      </x:c>
      <x:c r="J3373" s="11" t="n">
        <x:v>4</x:v>
      </x:c>
      <x:c r="K3373" s="11" t="n">
        <x:v>3</x:v>
      </x:c>
      <x:c r="L3373" s="11" t="n">
        <x:v>1</x:v>
      </x:c>
      <x:c r="M3373" s="9" t="n">
        <x:f>ROUND(H3373*(1-I3373),2)</x:f>
        <x:v>4232000</x:v>
      </x:c>
      <x:c r="N3373" s="4" t="str">
        <x:v>Sales head</x:v>
      </x:c>
      <x:c r="O3373" s="4" t="str">
        <x:v>BOOK-03372</x:v>
      </x:c>
      <x:c r="P3373" s="9" t="n">
        <x:v>1058000</x:v>
      </x:c>
      <x:c r="Q3373" s="11" t="n">
        <x:v>0</x:v>
      </x:c>
      <x:c r="R3373" s="8" t="n">
        <x:v>45545</x:v>
      </x:c>
      <x:c r="S3373" s="4" t="str">
        <x:v>Retained</x:v>
      </x:c>
      <x:c r="T3373" s="10" t="n">
        <x:v>0.291946</x:v>
      </x:c>
      <x:c r="U3373" s="4" t="str">
        <x:v>Excluded / unlabelled</x:v>
      </x:c>
    </x:row>
    <x:row r="3374" ht="34" customHeight="1">
      <x:c r="A3374" s="4" t="str">
        <x:v>RS-03373</x:v>
      </x:c>
      <x:c r="B3374" s="8" t="n">
        <x:v>45486</x:v>
      </x:c>
      <x:c r="C3374" s="4" t="str">
        <x:v>PRJ-013</x:v>
      </x:c>
      <x:c r="D3374" s="4" t="str">
        <x:v>Retail</x:v>
      </x:c>
      <x:c r="E3374" s="4" t="str">
        <x:v>Enquiry</x:v>
      </x:c>
      <x:c r="F3374" s="4" t="str">
        <x:v>CUS-03373</x:v>
      </x:c>
      <x:c r="G3374" s="4" t="str">
        <x:v>UNIT-03373</x:v>
      </x:c>
      <x:c r="H3374" s="9" t="n">
        <x:v>10100000</x:v>
      </x:c>
      <x:c r="I3374" s="10" t="n">
        <x:v>0.05</x:v>
      </x:c>
      <x:c r="J3374" s="11" t="n">
        <x:v>3</x:v>
      </x:c>
      <x:c r="K3374" s="11" t="n">
        <x:v>5</x:v>
      </x:c>
      <x:c r="L3374" s="11" t="n">
        <x:v>1</x:v>
      </x:c>
      <x:c r="M3374" s="9" t="n">
        <x:f>ROUND(H3374*(1-I3374),2)</x:f>
        <x:v>9595000</x:v>
      </x:c>
      <x:c r="N3374" s="4" t="str">
        <x:v>Sales manager</x:v>
      </x:c>
      <x:c r="O3374" s="4"/>
      <x:c r="P3374" s="9" t="n">
        <x:v>0</x:v>
      </x:c>
      <x:c r="Q3374" s="11" t="n">
        <x:v>0</x:v>
      </x:c>
      <x:c r="R3374" s="8" t="n">
        <x:v>45546</x:v>
      </x:c>
      <x:c r="S3374" s="4" t="str">
        <x:v>Retained</x:v>
      </x:c>
      <x:c r="T3374" s="10" t="n">
        <x:v>0.204152</x:v>
      </x:c>
      <x:c r="U3374" s="4" t="str">
        <x:v>Excluded / unlabelled</x:v>
      </x:c>
    </x:row>
    <x:row r="3375" ht="34" customHeight="1">
      <x:c r="A3375" s="4" t="str">
        <x:v>RS-03374</x:v>
      </x:c>
      <x:c r="B3375" s="8" t="n">
        <x:v>45487</x:v>
      </x:c>
      <x:c r="C3375" s="4" t="str">
        <x:v>PRJ-014</x:v>
      </x:c>
      <x:c r="D3375" s="4" t="str">
        <x:v>Apartment</x:v>
      </x:c>
      <x:c r="E3375" s="4" t="str">
        <x:v>Reserved</x:v>
      </x:c>
      <x:c r="F3375" s="4" t="str">
        <x:v>CUS-03374</x:v>
      </x:c>
      <x:c r="G3375" s="4" t="str">
        <x:v>UNIT-03374</x:v>
      </x:c>
      <x:c r="H3375" s="9" t="n">
        <x:v>18400000</x:v>
      </x:c>
      <x:c r="I3375" s="10" t="n">
        <x:v>0.01</x:v>
      </x:c>
      <x:c r="J3375" s="11" t="n">
        <x:v>3</x:v>
      </x:c>
      <x:c r="K3375" s="11" t="n">
        <x:v>5</x:v>
      </x:c>
      <x:c r="L3375" s="11" t="n">
        <x:v>0</x:v>
      </x:c>
      <x:c r="M3375" s="9" t="n">
        <x:f>ROUND(H3375*(1-I3375),2)</x:f>
        <x:v>18216000</x:v>
      </x:c>
      <x:c r="N3375" s="4" t="str">
        <x:v>Sales manager</x:v>
      </x:c>
      <x:c r="O3375" s="4"/>
      <x:c r="P3375" s="9" t="n">
        <x:v>0</x:v>
      </x:c>
      <x:c r="Q3375" s="11" t="n">
        <x:v>0</x:v>
      </x:c>
      <x:c r="R3375" s="8" t="n">
        <x:v>45547</x:v>
      </x:c>
      <x:c r="S3375" s="4" t="str">
        <x:v>Retained</x:v>
      </x:c>
      <x:c r="T3375" s="10" t="n">
        <x:v>0.171717</x:v>
      </x:c>
      <x:c r="U3375" s="4" t="str">
        <x:v>Excluded / unlabelled</x:v>
      </x:c>
    </x:row>
    <x:row r="3376" ht="34" customHeight="1">
      <x:c r="A3376" s="4" t="str">
        <x:v>RS-03375</x:v>
      </x:c>
      <x:c r="B3376" s="8" t="n">
        <x:v>45488</x:v>
      </x:c>
      <x:c r="C3376" s="4" t="str">
        <x:v>PRJ-015</x:v>
      </x:c>
      <x:c r="D3376" s="4" t="str">
        <x:v>Office</x:v>
      </x:c>
      <x:c r="E3376" s="4" t="str">
        <x:v>Agreement signed</x:v>
      </x:c>
      <x:c r="F3376" s="4" t="str">
        <x:v>CUS-03375</x:v>
      </x:c>
      <x:c r="G3376" s="4" t="str">
        <x:v>UNIT-03375</x:v>
      </x:c>
      <x:c r="H3376" s="9" t="n">
        <x:v>11700000</x:v>
      </x:c>
      <x:c r="I3376" s="10" t="n">
        <x:v>0.05</x:v>
      </x:c>
      <x:c r="J3376" s="11" t="n">
        <x:v>11</x:v>
      </x:c>
      <x:c r="K3376" s="11" t="n">
        <x:v>1</x:v>
      </x:c>
      <x:c r="L3376" s="11" t="n">
        <x:v>1</x:v>
      </x:c>
      <x:c r="M3376" s="9" t="n">
        <x:f>ROUND(H3376*(1-I3376),2)</x:f>
        <x:v>11115000</x:v>
      </x:c>
      <x:c r="N3376" s="4" t="str">
        <x:v>Sales manager</x:v>
      </x:c>
      <x:c r="O3376" s="4" t="str">
        <x:v>BOOK-03375</x:v>
      </x:c>
      <x:c r="P3376" s="9" t="n">
        <x:v>5557500</x:v>
      </x:c>
      <x:c r="Q3376" s="11" t="n">
        <x:v>0</x:v>
      </x:c>
      <x:c r="R3376" s="8" t="n">
        <x:v>45548</x:v>
      </x:c>
      <x:c r="S3376" s="4" t="str">
        <x:v>Retained</x:v>
      </x:c>
      <x:c r="T3376" s="10" t="n">
        <x:v>0.351536</x:v>
      </x:c>
      <x:c r="U3376" s="4" t="str">
        <x:v>Excluded / unlabelled</x:v>
      </x:c>
    </x:row>
    <x:row r="3377" ht="34" customHeight="1">
      <x:c r="A3377" s="4" t="str">
        <x:v>RS-03376</x:v>
      </x:c>
      <x:c r="B3377" s="8" t="n">
        <x:v>45489</x:v>
      </x:c>
      <x:c r="C3377" s="4" t="str">
        <x:v>PRJ-016</x:v>
      </x:c>
      <x:c r="D3377" s="4" t="str">
        <x:v>Villa</x:v>
      </x:c>
      <x:c r="E3377" s="4" t="str">
        <x:v>Enquiry</x:v>
      </x:c>
      <x:c r="F3377" s="4" t="str">
        <x:v>CUS-03376</x:v>
      </x:c>
      <x:c r="G3377" s="4" t="str">
        <x:v>UNIT-03376</x:v>
      </x:c>
      <x:c r="H3377" s="9" t="n">
        <x:v>13300000</x:v>
      </x:c>
      <x:c r="I3377" s="10" t="n">
        <x:v>0.1</x:v>
      </x:c>
      <x:c r="J3377" s="11" t="n">
        <x:v>8</x:v>
      </x:c>
      <x:c r="K3377" s="11" t="n">
        <x:v>3</x:v>
      </x:c>
      <x:c r="L3377" s="11" t="n">
        <x:v>0</x:v>
      </x:c>
      <x:c r="M3377" s="9" t="n">
        <x:f>ROUND(H3377*(1-I3377),2)</x:f>
        <x:v>11970000</x:v>
      </x:c>
      <x:c r="N3377" s="4" t="str">
        <x:v>Sales head</x:v>
      </x:c>
      <x:c r="O3377" s="4"/>
      <x:c r="P3377" s="9" t="n">
        <x:v>0</x:v>
      </x:c>
      <x:c r="Q3377" s="11" t="n">
        <x:v>1</x:v>
      </x:c>
      <x:c r="R3377" s="8" t="n">
        <x:v>45549</x:v>
      </x:c>
      <x:c r="S3377" s="4" t="str">
        <x:v>Lost / cancelled</x:v>
      </x:c>
      <x:c r="T3377" s="10" t="n">
        <x:v>0.310195</x:v>
      </x:c>
      <x:c r="U3377" s="4" t="str">
        <x:v>Excluded / unlabelled</x:v>
      </x:c>
    </x:row>
    <x:row r="3378" ht="34" customHeight="1">
      <x:c r="A3378" s="4" t="str">
        <x:v>RS-03377</x:v>
      </x:c>
      <x:c r="B3378" s="8" t="n">
        <x:v>45490</x:v>
      </x:c>
      <x:c r="C3378" s="4" t="str">
        <x:v>PRJ-017</x:v>
      </x:c>
      <x:c r="D3378" s="4" t="str">
        <x:v>Office</x:v>
      </x:c>
      <x:c r="E3378" s="4" t="str">
        <x:v>Enquiry</x:v>
      </x:c>
      <x:c r="F3378" s="4" t="str">
        <x:v>CUS-03377</x:v>
      </x:c>
      <x:c r="G3378" s="4" t="str">
        <x:v>UNIT-03377</x:v>
      </x:c>
      <x:c r="H3378" s="9" t="n">
        <x:v>19800000</x:v>
      </x:c>
      <x:c r="I3378" s="10" t="n">
        <x:v>0.05</x:v>
      </x:c>
      <x:c r="J3378" s="11" t="n">
        <x:v>4</x:v>
      </x:c>
      <x:c r="K3378" s="11" t="n">
        <x:v>5</x:v>
      </x:c>
      <x:c r="L3378" s="11" t="n">
        <x:v>1</x:v>
      </x:c>
      <x:c r="M3378" s="9" t="n">
        <x:f>ROUND(H3378*(1-I3378),2)</x:f>
        <x:v>18810000</x:v>
      </x:c>
      <x:c r="N3378" s="4" t="str">
        <x:v>Sales manager</x:v>
      </x:c>
      <x:c r="O3378" s="4"/>
      <x:c r="P3378" s="9" t="n">
        <x:v>0</x:v>
      </x:c>
      <x:c r="Q3378" s="11" t="n">
        <x:v>0</x:v>
      </x:c>
      <x:c r="R3378" s="8" t="n">
        <x:v>45550</x:v>
      </x:c>
      <x:c r="S3378" s="4" t="str">
        <x:v>Retained</x:v>
      </x:c>
      <x:c r="T3378" s="10" t="n">
        <x:v>0.291946</x:v>
      </x:c>
      <x:c r="U3378" s="4" t="str">
        <x:v>Excluded / unlabelled</x:v>
      </x:c>
    </x:row>
    <x:row r="3379" ht="34" customHeight="1">
      <x:c r="A3379" s="4" t="str">
        <x:v>RS-03378</x:v>
      </x:c>
      <x:c r="B3379" s="8" t="n">
        <x:v>45491</x:v>
      </x:c>
      <x:c r="C3379" s="4" t="str">
        <x:v>PRJ-018</x:v>
      </x:c>
      <x:c r="D3379" s="4" t="str">
        <x:v>Villa</x:v>
      </x:c>
      <x:c r="E3379" s="4" t="str">
        <x:v>Agreement signed</x:v>
      </x:c>
      <x:c r="F3379" s="4" t="str">
        <x:v>CUS-03378</x:v>
      </x:c>
      <x:c r="G3379" s="4" t="str">
        <x:v>UNIT-03378</x:v>
      </x:c>
      <x:c r="H3379" s="9" t="n">
        <x:v>16800000</x:v>
      </x:c>
      <x:c r="I3379" s="10" t="n">
        <x:v>0.04</x:v>
      </x:c>
      <x:c r="J3379" s="11" t="n">
        <x:v>5</x:v>
      </x:c>
      <x:c r="K3379" s="11" t="n">
        <x:v>4</x:v>
      </x:c>
      <x:c r="L3379" s="11" t="n">
        <x:v>0</x:v>
      </x:c>
      <x:c r="M3379" s="9" t="n">
        <x:f>ROUND(H3379*(1-I3379),2)</x:f>
        <x:v>16128000</x:v>
      </x:c>
      <x:c r="N3379" s="4" t="str">
        <x:v>Sales manager</x:v>
      </x:c>
      <x:c r="O3379" s="4" t="str">
        <x:v>BOOK-03378</x:v>
      </x:c>
      <x:c r="P3379" s="9" t="n">
        <x:v>8064000</x:v>
      </x:c>
      <x:c r="Q3379" s="11" t="n">
        <x:v>0</x:v>
      </x:c>
      <x:c r="R3379" s="8" t="n">
        <x:v>45551</x:v>
      </x:c>
      <x:c r="S3379" s="4" t="str">
        <x:v>Retained</x:v>
      </x:c>
      <x:c r="T3379" s="10" t="n">
        <x:v>0.226277</x:v>
      </x:c>
      <x:c r="U3379" s="4" t="str">
        <x:v>Excluded / unlabelled</x:v>
      </x:c>
    </x:row>
    <x:row r="3380" ht="34" customHeight="1">
      <x:c r="A3380" s="4" t="str">
        <x:v>RS-03379</x:v>
      </x:c>
      <x:c r="B3380" s="8" t="n">
        <x:v>45492</x:v>
      </x:c>
      <x:c r="C3380" s="4" t="str">
        <x:v>PRJ-019</x:v>
      </x:c>
      <x:c r="D3380" s="4" t="str">
        <x:v>Villa</x:v>
      </x:c>
      <x:c r="E3380" s="4" t="str">
        <x:v>Booked</x:v>
      </x:c>
      <x:c r="F3380" s="4" t="str">
        <x:v>CUS-03379</x:v>
      </x:c>
      <x:c r="G3380" s="4" t="str">
        <x:v>UNIT-03379</x:v>
      </x:c>
      <x:c r="H3380" s="9" t="n">
        <x:v>24200000</x:v>
      </x:c>
      <x:c r="I3380" s="10" t="n">
        <x:v>0.03</x:v>
      </x:c>
      <x:c r="J3380" s="11" t="n">
        <x:v>1</x:v>
      </x:c>
      <x:c r="K3380" s="11" t="n">
        <x:v>0</x:v>
      </x:c>
      <x:c r="L3380" s="11" t="n">
        <x:v>0</x:v>
      </x:c>
      <x:c r="M3380" s="9" t="n">
        <x:f>ROUND(H3380*(1-I3380),2)</x:f>
        <x:v>23474000</x:v>
      </x:c>
      <x:c r="N3380" s="4" t="str">
        <x:v>Sales manager</x:v>
      </x:c>
      <x:c r="O3380" s="4" t="str">
        <x:v>BOOK-03379</x:v>
      </x:c>
      <x:c r="P3380" s="9" t="n">
        <x:v>23474000</x:v>
      </x:c>
      <x:c r="Q3380" s="11" t="n">
        <x:v>0</x:v>
      </x:c>
      <x:c r="R3380" s="8" t="n">
        <x:v>45552</x:v>
      </x:c>
      <x:c r="S3380" s="4" t="str">
        <x:v>Retained</x:v>
      </x:c>
      <x:c r="T3380" s="10" t="n">
        <x:v>0.276923</x:v>
      </x:c>
      <x:c r="U3380" s="4" t="str">
        <x:v>Excluded / unlabelled</x:v>
      </x:c>
    </x:row>
    <x:row r="3381" ht="34" customHeight="1">
      <x:c r="A3381" s="4" t="str">
        <x:v>RS-03380</x:v>
      </x:c>
      <x:c r="B3381" s="8" t="n">
        <x:v>45493</x:v>
      </x:c>
      <x:c r="C3381" s="4" t="str">
        <x:v>PRJ-020</x:v>
      </x:c>
      <x:c r="D3381" s="4" t="str">
        <x:v>Office</x:v>
      </x:c>
      <x:c r="E3381" s="4" t="str">
        <x:v>Reserved</x:v>
      </x:c>
      <x:c r="F3381" s="4" t="str">
        <x:v>CUS-03380</x:v>
      </x:c>
      <x:c r="G3381" s="4" t="str">
        <x:v>UNIT-03380</x:v>
      </x:c>
      <x:c r="H3381" s="9" t="n">
        <x:v>8500000</x:v>
      </x:c>
      <x:c r="I3381" s="10" t="n">
        <x:v>0.03</x:v>
      </x:c>
      <x:c r="J3381" s="11" t="n">
        <x:v>3</x:v>
      </x:c>
      <x:c r="K3381" s="11" t="n">
        <x:v>5</x:v>
      </x:c>
      <x:c r="L3381" s="11" t="n">
        <x:v>1</x:v>
      </x:c>
      <x:c r="M3381" s="9" t="n">
        <x:f>ROUND(H3381*(1-I3381),2)</x:f>
        <x:v>8245000</x:v>
      </x:c>
      <x:c r="N3381" s="4" t="str">
        <x:v>Sales manager</x:v>
      </x:c>
      <x:c r="O3381" s="4"/>
      <x:c r="P3381" s="9" t="n">
        <x:v>0</x:v>
      </x:c>
      <x:c r="Q3381" s="11" t="n">
        <x:v>0</x:v>
      </x:c>
      <x:c r="R3381" s="8" t="n">
        <x:v>45553</x:v>
      </x:c>
      <x:c r="S3381" s="4" t="str">
        <x:v>Retained</x:v>
      </x:c>
      <x:c r="T3381" s="10" t="n">
        <x:v>0.171717</x:v>
      </x:c>
      <x:c r="U3381" s="4" t="str">
        <x:v>Excluded / unlabelled</x:v>
      </x:c>
    </x:row>
    <x:row r="3382" ht="34" customHeight="1">
      <x:c r="A3382" s="4" t="str">
        <x:v>RS-03381</x:v>
      </x:c>
      <x:c r="B3382" s="8" t="n">
        <x:v>45494</x:v>
      </x:c>
      <x:c r="C3382" s="4" t="str">
        <x:v>PRJ-001</x:v>
      </x:c>
      <x:c r="D3382" s="4" t="str">
        <x:v>Office</x:v>
      </x:c>
      <x:c r="E3382" s="4" t="str">
        <x:v>Reserved</x:v>
      </x:c>
      <x:c r="F3382" s="4" t="str">
        <x:v>CUS-03381</x:v>
      </x:c>
      <x:c r="G3382" s="4" t="str">
        <x:v>UNIT-03381</x:v>
      </x:c>
      <x:c r="H3382" s="9" t="n">
        <x:v>4200000</x:v>
      </x:c>
      <x:c r="I3382" s="10" t="n">
        <x:v>0.07</x:v>
      </x:c>
      <x:c r="J3382" s="11" t="n">
        <x:v>8</x:v>
      </x:c>
      <x:c r="K3382" s="11" t="n">
        <x:v>10</x:v>
      </x:c>
      <x:c r="L3382" s="11" t="n">
        <x:v>1</x:v>
      </x:c>
      <x:c r="M3382" s="9" t="n">
        <x:f>ROUND(H3382*(1-I3382),2)</x:f>
        <x:v>3906000</x:v>
      </x:c>
      <x:c r="N3382" s="4" t="str">
        <x:v>Sales manager</x:v>
      </x:c>
      <x:c r="O3382" s="4"/>
      <x:c r="P3382" s="9" t="n">
        <x:v>0</x:v>
      </x:c>
      <x:c r="Q3382" s="11" t="n">
        <x:v>0</x:v>
      </x:c>
      <x:c r="R3382" s="8" t="n">
        <x:v>45554</x:v>
      </x:c>
      <x:c r="S3382" s="4" t="str">
        <x:v>Retained</x:v>
      </x:c>
      <x:c r="T3382" s="10" t="n">
        <x:v>0.310195</x:v>
      </x:c>
      <x:c r="U3382" s="4" t="str">
        <x:v>Excluded / unlabelled</x:v>
      </x:c>
    </x:row>
    <x:row r="3383" ht="34" customHeight="1">
      <x:c r="A3383" s="4" t="str">
        <x:v>RS-03382</x:v>
      </x:c>
      <x:c r="B3383" s="8" t="n">
        <x:v>45495</x:v>
      </x:c>
      <x:c r="C3383" s="4" t="str">
        <x:v>PRJ-002</x:v>
      </x:c>
      <x:c r="D3383" s="4" t="str">
        <x:v>Retail</x:v>
      </x:c>
      <x:c r="E3383" s="4" t="str">
        <x:v>Enquiry</x:v>
      </x:c>
      <x:c r="F3383" s="4" t="str">
        <x:v>CUS-03382</x:v>
      </x:c>
      <x:c r="G3383" s="4" t="str">
        <x:v>UNIT-03382</x:v>
      </x:c>
      <x:c r="H3383" s="9" t="n">
        <x:v>11300000</x:v>
      </x:c>
      <x:c r="I3383" s="10" t="n">
        <x:v>0.04</x:v>
      </x:c>
      <x:c r="J3383" s="11" t="n">
        <x:v>7</x:v>
      </x:c>
      <x:c r="K3383" s="11" t="n">
        <x:v>1</x:v>
      </x:c>
      <x:c r="L3383" s="11" t="n">
        <x:v>0</x:v>
      </x:c>
      <x:c r="M3383" s="9" t="n">
        <x:f>ROUND(H3383*(1-I3383),2)</x:f>
        <x:v>10848000</x:v>
      </x:c>
      <x:c r="N3383" s="4" t="str">
        <x:v>Sales manager</x:v>
      </x:c>
      <x:c r="O3383" s="4"/>
      <x:c r="P3383" s="9" t="n">
        <x:v>0</x:v>
      </x:c>
      <x:c r="Q3383" s="11" t="n">
        <x:v>1</x:v>
      </x:c>
      <x:c r="R3383" s="8" t="n">
        <x:v>45555</x:v>
      </x:c>
      <x:c r="S3383" s="4" t="str">
        <x:v>Lost / cancelled</x:v>
      </x:c>
      <x:c r="T3383" s="10" t="n">
        <x:v>0.226277</x:v>
      </x:c>
      <x:c r="U3383" s="4" t="str">
        <x:v>Excluded / unlabelled</x:v>
      </x:c>
    </x:row>
    <x:row r="3384" ht="34" customHeight="1">
      <x:c r="A3384" s="4" t="str">
        <x:v>RS-03383</x:v>
      </x:c>
      <x:c r="B3384" s="8" t="n">
        <x:v>45496</x:v>
      </x:c>
      <x:c r="C3384" s="4" t="str">
        <x:v>PRJ-003</x:v>
      </x:c>
      <x:c r="D3384" s="4" t="str">
        <x:v>Apartment</x:v>
      </x:c>
      <x:c r="E3384" s="4" t="str">
        <x:v>Cancelled</x:v>
      </x:c>
      <x:c r="F3384" s="4" t="str">
        <x:v>CUS-03383</x:v>
      </x:c>
      <x:c r="G3384" s="4" t="str">
        <x:v>UNIT-03383</x:v>
      </x:c>
      <x:c r="H3384" s="9" t="n">
        <x:v>5100000</x:v>
      </x:c>
      <x:c r="I3384" s="10" t="n">
        <x:v>0.01</x:v>
      </x:c>
      <x:c r="J3384" s="11" t="n">
        <x:v>3</x:v>
      </x:c>
      <x:c r="K3384" s="11" t="n">
        <x:v>6</x:v>
      </x:c>
      <x:c r="L3384" s="11" t="n">
        <x:v>0</x:v>
      </x:c>
      <x:c r="M3384" s="9" t="n">
        <x:f>ROUND(H3384*(1-I3384),2)</x:f>
        <x:v>5049000</x:v>
      </x:c>
      <x:c r="N3384" s="4" t="str">
        <x:v>Sales manager</x:v>
      </x:c>
      <x:c r="O3384" s="4"/>
      <x:c r="P3384" s="9" t="n">
        <x:v>0</x:v>
      </x:c>
      <x:c r="Q3384" s="11" t="n">
        <x:v>1</x:v>
      </x:c>
      <x:c r="R3384" s="8" t="n">
        <x:v>45556</x:v>
      </x:c>
      <x:c r="S3384" s="4" t="str">
        <x:v>Lost / cancelled</x:v>
      </x:c>
      <x:c r="T3384" s="10" t="n">
        <x:v>0.171717</x:v>
      </x:c>
      <x:c r="U3384" s="4" t="str">
        <x:v>Excluded / unlabelled</x:v>
      </x:c>
    </x:row>
    <x:row r="3385" ht="34" customHeight="1">
      <x:c r="A3385" s="4" t="str">
        <x:v>RS-03384</x:v>
      </x:c>
      <x:c r="B3385" s="8" t="n">
        <x:v>45497</x:v>
      </x:c>
      <x:c r="C3385" s="4" t="str">
        <x:v>PRJ-004</x:v>
      </x:c>
      <x:c r="D3385" s="4" t="str">
        <x:v>Retail</x:v>
      </x:c>
      <x:c r="E3385" s="4" t="str">
        <x:v>Handed over</x:v>
      </x:c>
      <x:c r="F3385" s="4" t="str">
        <x:v>CUS-03384</x:v>
      </x:c>
      <x:c r="G3385" s="4" t="str">
        <x:v>UNIT-03384</x:v>
      </x:c>
      <x:c r="H3385" s="9" t="n">
        <x:v>13600000</x:v>
      </x:c>
      <x:c r="I3385" s="10" t="n">
        <x:v>0.04</x:v>
      </x:c>
      <x:c r="J3385" s="11" t="n">
        <x:v>1</x:v>
      </x:c>
      <x:c r="K3385" s="11" t="n">
        <x:v>7</x:v>
      </x:c>
      <x:c r="L3385" s="11" t="n">
        <x:v>1</x:v>
      </x:c>
      <x:c r="M3385" s="9" t="n">
        <x:f>ROUND(H3385*(1-I3385),2)</x:f>
        <x:v>13056000</x:v>
      </x:c>
      <x:c r="N3385" s="4" t="str">
        <x:v>Sales manager</x:v>
      </x:c>
      <x:c r="O3385" s="4" t="str">
        <x:v>BOOK-03384</x:v>
      </x:c>
      <x:c r="P3385" s="9" t="n">
        <x:v>3264000</x:v>
      </x:c>
      <x:c r="Q3385" s="11" t="n">
        <x:v>0</x:v>
      </x:c>
      <x:c r="R3385" s="8" t="n">
        <x:v>45557</x:v>
      </x:c>
      <x:c r="S3385" s="4" t="str">
        <x:v>Retained</x:v>
      </x:c>
      <x:c r="T3385" s="10" t="n">
        <x:v>0.204152</x:v>
      </x:c>
      <x:c r="U3385" s="4" t="str">
        <x:v>Excluded / unlabelled</x:v>
      </x:c>
    </x:row>
    <x:row r="3386" ht="34" customHeight="1">
      <x:c r="A3386" s="4" t="str">
        <x:v>RS-03385</x:v>
      </x:c>
      <x:c r="B3386" s="8" t="n">
        <x:v>45498</x:v>
      </x:c>
      <x:c r="C3386" s="4" t="str">
        <x:v>PRJ-005</x:v>
      </x:c>
      <x:c r="D3386" s="4" t="str">
        <x:v>Apartment</x:v>
      </x:c>
      <x:c r="E3386" s="4" t="str">
        <x:v>Enquiry</x:v>
      </x:c>
      <x:c r="F3386" s="4" t="str">
        <x:v>CUS-03385</x:v>
      </x:c>
      <x:c r="G3386" s="4" t="str">
        <x:v>UNIT-03385</x:v>
      </x:c>
      <x:c r="H3386" s="9" t="n">
        <x:v>16400000</x:v>
      </x:c>
      <x:c r="I3386" s="10" t="n">
        <x:v>0.08</x:v>
      </x:c>
      <x:c r="J3386" s="11" t="n">
        <x:v>2</x:v>
      </x:c>
      <x:c r="K3386" s="11" t="n">
        <x:v>0</x:v>
      </x:c>
      <x:c r="L3386" s="11" t="n">
        <x:v>0</x:v>
      </x:c>
      <x:c r="M3386" s="9" t="n">
        <x:f>ROUND(H3386*(1-I3386),2)</x:f>
        <x:v>15088000</x:v>
      </x:c>
      <x:c r="N3386" s="4" t="str">
        <x:v>Sales head</x:v>
      </x:c>
      <x:c r="O3386" s="4"/>
      <x:c r="P3386" s="9" t="n">
        <x:v>0</x:v>
      </x:c>
      <x:c r="Q3386" s="11" t="n">
        <x:v>1</x:v>
      </x:c>
      <x:c r="R3386" s="8" t="n">
        <x:v>45558</x:v>
      </x:c>
      <x:c r="S3386" s="4" t="str">
        <x:v>Lost / cancelled</x:v>
      </x:c>
      <x:c r="T3386" s="10" t="n">
        <x:v>0.276923</x:v>
      </x:c>
      <x:c r="U3386" s="4" t="str">
        <x:v>Excluded / unlabelled</x:v>
      </x:c>
    </x:row>
    <x:row r="3387" ht="34" customHeight="1">
      <x:c r="A3387" s="4" t="str">
        <x:v>RS-03386</x:v>
      </x:c>
      <x:c r="B3387" s="8" t="n">
        <x:v>45499</x:v>
      </x:c>
      <x:c r="C3387" s="4" t="str">
        <x:v>PRJ-006</x:v>
      </x:c>
      <x:c r="D3387" s="4" t="str">
        <x:v>Apartment</x:v>
      </x:c>
      <x:c r="E3387" s="4" t="str">
        <x:v>Handed over</x:v>
      </x:c>
      <x:c r="F3387" s="4" t="str">
        <x:v>CUS-03386</x:v>
      </x:c>
      <x:c r="G3387" s="4" t="str">
        <x:v>UNIT-03386</x:v>
      </x:c>
      <x:c r="H3387" s="9" t="n">
        <x:v>12300000</x:v>
      </x:c>
      <x:c r="I3387" s="10" t="n">
        <x:v>0.03</x:v>
      </x:c>
      <x:c r="J3387" s="11" t="n">
        <x:v>10</x:v>
      </x:c>
      <x:c r="K3387" s="11" t="n">
        <x:v>1</x:v>
      </x:c>
      <x:c r="L3387" s="11" t="n">
        <x:v>1</x:v>
      </x:c>
      <x:c r="M3387" s="9" t="n">
        <x:f>ROUND(H3387*(1-I3387),2)</x:f>
        <x:v>11931000</x:v>
      </x:c>
      <x:c r="N3387" s="4" t="str">
        <x:v>Sales manager</x:v>
      </x:c>
      <x:c r="O3387" s="4" t="str">
        <x:v>BOOK-03386</x:v>
      </x:c>
      <x:c r="P3387" s="9" t="n">
        <x:v>1193100</x:v>
      </x:c>
      <x:c r="Q3387" s="11" t="n">
        <x:v>0</x:v>
      </x:c>
      <x:c r="R3387" s="8" t="n">
        <x:v>45559</x:v>
      </x:c>
      <x:c r="S3387" s="4" t="str">
        <x:v>Retained</x:v>
      </x:c>
      <x:c r="T3387" s="10" t="n">
        <x:v>0.310195</x:v>
      </x:c>
      <x:c r="U3387" s="4" t="str">
        <x:v>Excluded / unlabelled</x:v>
      </x:c>
    </x:row>
    <x:row r="3388" ht="34" customHeight="1">
      <x:c r="A3388" s="4" t="str">
        <x:v>RS-03387</x:v>
      </x:c>
      <x:c r="B3388" s="8" t="n">
        <x:v>45500</x:v>
      </x:c>
      <x:c r="C3388" s="4" t="str">
        <x:v>PRJ-007</x:v>
      </x:c>
      <x:c r="D3388" s="4" t="str">
        <x:v>Office</x:v>
      </x:c>
      <x:c r="E3388" s="4" t="str">
        <x:v>Reserved</x:v>
      </x:c>
      <x:c r="F3388" s="4" t="str">
        <x:v>CUS-03387</x:v>
      </x:c>
      <x:c r="G3388" s="4" t="str">
        <x:v>UNIT-03387</x:v>
      </x:c>
      <x:c r="H3388" s="9" t="n">
        <x:v>13400000</x:v>
      </x:c>
      <x:c r="I3388" s="10" t="n">
        <x:v>0.1</x:v>
      </x:c>
      <x:c r="J3388" s="11" t="n">
        <x:v>7</x:v>
      </x:c>
      <x:c r="K3388" s="11" t="n">
        <x:v>3</x:v>
      </x:c>
      <x:c r="L3388" s="11" t="n">
        <x:v>0</x:v>
      </x:c>
      <x:c r="M3388" s="9" t="n">
        <x:f>ROUND(H3388*(1-I3388),2)</x:f>
        <x:v>12060000</x:v>
      </x:c>
      <x:c r="N3388" s="4" t="str">
        <x:v>Sales head</x:v>
      </x:c>
      <x:c r="O3388" s="4"/>
      <x:c r="P3388" s="9" t="n">
        <x:v>0</x:v>
      </x:c>
      <x:c r="Q3388" s="11" t="n">
        <x:v>0</x:v>
      </x:c>
      <x:c r="R3388" s="8" t="n">
        <x:v>45560</x:v>
      </x:c>
      <x:c r="S3388" s="4" t="str">
        <x:v>Retained</x:v>
      </x:c>
      <x:c r="T3388" s="10" t="n">
        <x:v>0.226277</x:v>
      </x:c>
      <x:c r="U3388" s="4" t="str">
        <x:v>Excluded / unlabelled</x:v>
      </x:c>
    </x:row>
    <x:row r="3389" ht="34" customHeight="1">
      <x:c r="A3389" s="4" t="str">
        <x:v>RS-03388</x:v>
      </x:c>
      <x:c r="B3389" s="8" t="n">
        <x:v>45501</x:v>
      </x:c>
      <x:c r="C3389" s="4" t="str">
        <x:v>PRJ-008</x:v>
      </x:c>
      <x:c r="D3389" s="4" t="str">
        <x:v>Office</x:v>
      </x:c>
      <x:c r="E3389" s="4" t="str">
        <x:v>Reserved</x:v>
      </x:c>
      <x:c r="F3389" s="4" t="str">
        <x:v>CUS-03388</x:v>
      </x:c>
      <x:c r="G3389" s="4" t="str">
        <x:v>UNIT-03388</x:v>
      </x:c>
      <x:c r="H3389" s="9" t="n">
        <x:v>5600000</x:v>
      </x:c>
      <x:c r="I3389" s="10" t="n">
        <x:v>0.02</x:v>
      </x:c>
      <x:c r="J3389" s="11" t="n">
        <x:v>12</x:v>
      </x:c>
      <x:c r="K3389" s="11" t="n">
        <x:v>7</x:v>
      </x:c>
      <x:c r="L3389" s="11" t="n">
        <x:v>1</x:v>
      </x:c>
      <x:c r="M3389" s="9" t="n">
        <x:f>ROUND(H3389*(1-I3389),2)</x:f>
        <x:v>5488000</x:v>
      </x:c>
      <x:c r="N3389" s="4" t="str">
        <x:v>Sales manager</x:v>
      </x:c>
      <x:c r="O3389" s="4"/>
      <x:c r="P3389" s="9" t="n">
        <x:v>0</x:v>
      </x:c>
      <x:c r="Q3389" s="11" t="n">
        <x:v>1</x:v>
      </x:c>
      <x:c r="R3389" s="8" t="n">
        <x:v>45561</x:v>
      </x:c>
      <x:c r="S3389" s="4" t="str">
        <x:v>Lost / cancelled</x:v>
      </x:c>
      <x:c r="T3389" s="10" t="n">
        <x:v>0.254545</x:v>
      </x:c>
      <x:c r="U3389" s="4" t="str">
        <x:v>Excluded / unlabelled</x:v>
      </x:c>
    </x:row>
    <x:row r="3390" ht="34" customHeight="1">
      <x:c r="A3390" s="4" t="str">
        <x:v>RS-03389</x:v>
      </x:c>
      <x:c r="B3390" s="8" t="n">
        <x:v>45474</x:v>
      </x:c>
      <x:c r="C3390" s="4" t="str">
        <x:v>PRJ-009</x:v>
      </x:c>
      <x:c r="D3390" s="4" t="str">
        <x:v>Apartment</x:v>
      </x:c>
      <x:c r="E3390" s="4" t="str">
        <x:v>Handed over</x:v>
      </x:c>
      <x:c r="F3390" s="4" t="str">
        <x:v>CUS-03389</x:v>
      </x:c>
      <x:c r="G3390" s="4" t="str">
        <x:v>UNIT-03389</x:v>
      </x:c>
      <x:c r="H3390" s="9" t="n">
        <x:v>3900000</x:v>
      </x:c>
      <x:c r="I3390" s="10" t="n">
        <x:v>0.04</x:v>
      </x:c>
      <x:c r="J3390" s="11" t="n">
        <x:v>1</x:v>
      </x:c>
      <x:c r="K3390" s="11" t="n">
        <x:v>5</x:v>
      </x:c>
      <x:c r="L3390" s="11" t="n">
        <x:v>1</x:v>
      </x:c>
      <x:c r="M3390" s="9" t="n">
        <x:f>ROUND(H3390*(1-I3390),2)</x:f>
        <x:v>3744000</x:v>
      </x:c>
      <x:c r="N3390" s="4" t="str">
        <x:v>Sales manager</x:v>
      </x:c>
      <x:c r="O3390" s="4" t="str">
        <x:v>BOOK-03389</x:v>
      </x:c>
      <x:c r="P3390" s="9" t="n">
        <x:v>374400</x:v>
      </x:c>
      <x:c r="Q3390" s="11" t="n">
        <x:v>0</x:v>
      </x:c>
      <x:c r="R3390" s="8" t="n">
        <x:v>45534</x:v>
      </x:c>
      <x:c r="S3390" s="4" t="str">
        <x:v>Retained</x:v>
      </x:c>
      <x:c r="T3390" s="10" t="n">
        <x:v>0.204152</x:v>
      </x:c>
      <x:c r="U3390" s="4" t="str">
        <x:v>Excluded / unlabelled</x:v>
      </x:c>
    </x:row>
    <x:row r="3391" ht="34" customHeight="1">
      <x:c r="A3391" s="4" t="str">
        <x:v>RS-03390</x:v>
      </x:c>
      <x:c r="B3391" s="8" t="n">
        <x:v>45475</x:v>
      </x:c>
      <x:c r="C3391" s="4" t="str">
        <x:v>PRJ-010</x:v>
      </x:c>
      <x:c r="D3391" s="4" t="str">
        <x:v>Apartment</x:v>
      </x:c>
      <x:c r="E3391" s="4" t="str">
        <x:v>Reserved</x:v>
      </x:c>
      <x:c r="F3391" s="4" t="str">
        <x:v>CUS-03390</x:v>
      </x:c>
      <x:c r="G3391" s="4" t="str">
        <x:v>UNIT-03390</x:v>
      </x:c>
      <x:c r="H3391" s="9" t="n">
        <x:v>12100000</x:v>
      </x:c>
      <x:c r="I3391" s="10" t="n">
        <x:v>0.04</x:v>
      </x:c>
      <x:c r="J3391" s="11" t="n">
        <x:v>9</x:v>
      </x:c>
      <x:c r="K3391" s="11" t="n">
        <x:v>1</x:v>
      </x:c>
      <x:c r="L3391" s="11" t="n">
        <x:v>0</x:v>
      </x:c>
      <x:c r="M3391" s="9" t="n">
        <x:f>ROUND(H3391*(1-I3391),2)</x:f>
        <x:v>11616000</x:v>
      </x:c>
      <x:c r="N3391" s="4" t="str">
        <x:v>Sales manager</x:v>
      </x:c>
      <x:c r="O3391" s="4"/>
      <x:c r="P3391" s="9" t="n">
        <x:v>0</x:v>
      </x:c>
      <x:c r="Q3391" s="11" t="n">
        <x:v>1</x:v>
      </x:c>
      <x:c r="R3391" s="8" t="n">
        <x:v>45535</x:v>
      </x:c>
      <x:c r="S3391" s="4" t="str">
        <x:v>Lost / cancelled</x:v>
      </x:c>
      <x:c r="T3391" s="10" t="n">
        <x:v>0.310195</x:v>
      </x:c>
      <x:c r="U3391" s="4" t="str">
        <x:v>Excluded / unlabelled</x:v>
      </x:c>
    </x:row>
    <x:row r="3392" ht="34" customHeight="1">
      <x:c r="A3392" s="4" t="str">
        <x:v>RS-03391</x:v>
      </x:c>
      <x:c r="B3392" s="8" t="n">
        <x:v>45476</x:v>
      </x:c>
      <x:c r="C3392" s="4" t="str">
        <x:v>PRJ-011</x:v>
      </x:c>
      <x:c r="D3392" s="4" t="str">
        <x:v>Office</x:v>
      </x:c>
      <x:c r="E3392" s="4" t="str">
        <x:v>Booked</x:v>
      </x:c>
      <x:c r="F3392" s="4" t="str">
        <x:v>CUS-03391</x:v>
      </x:c>
      <x:c r="G3392" s="4" t="str">
        <x:v>UNIT-03391</x:v>
      </x:c>
      <x:c r="H3392" s="9" t="n">
        <x:v>21700000</x:v>
      </x:c>
      <x:c r="I3392" s="10" t="n">
        <x:v>0.07</x:v>
      </x:c>
      <x:c r="J3392" s="11" t="n">
        <x:v>8</x:v>
      </x:c>
      <x:c r="K3392" s="11" t="n">
        <x:v>4</x:v>
      </x:c>
      <x:c r="L3392" s="11" t="n">
        <x:v>0</x:v>
      </x:c>
      <x:c r="M3392" s="9" t="n">
        <x:f>ROUND(H3392*(1-I3392),2)</x:f>
        <x:v>20181000</x:v>
      </x:c>
      <x:c r="N3392" s="4" t="str">
        <x:v>Sales manager</x:v>
      </x:c>
      <x:c r="O3392" s="4" t="str">
        <x:v>BOOK-03391</x:v>
      </x:c>
      <x:c r="P3392" s="9" t="n">
        <x:v>2018100</x:v>
      </x:c>
      <x:c r="Q3392" s="11" t="n">
        <x:v>0</x:v>
      </x:c>
      <x:c r="R3392" s="8" t="n">
        <x:v>45536</x:v>
      </x:c>
      <x:c r="S3392" s="4" t="str">
        <x:v>Retained</x:v>
      </x:c>
      <x:c r="T3392" s="10" t="n">
        <x:v>0.310195</x:v>
      </x:c>
      <x:c r="U3392" s="4" t="str">
        <x:v>Excluded / unlabelled</x:v>
      </x:c>
    </x:row>
    <x:row r="3393" ht="34" customHeight="1">
      <x:c r="A3393" s="4" t="str">
        <x:v>RS-03392</x:v>
      </x:c>
      <x:c r="B3393" s="8" t="n">
        <x:v>45477</x:v>
      </x:c>
      <x:c r="C3393" s="4" t="str">
        <x:v>PRJ-012</x:v>
      </x:c>
      <x:c r="D3393" s="4" t="str">
        <x:v>Apartment</x:v>
      </x:c>
      <x:c r="E3393" s="4" t="str">
        <x:v>Cancelled</x:v>
      </x:c>
      <x:c r="F3393" s="4" t="str">
        <x:v>CUS-03392</x:v>
      </x:c>
      <x:c r="G3393" s="4" t="str">
        <x:v>UNIT-03392</x:v>
      </x:c>
      <x:c r="H3393" s="9" t="n">
        <x:v>13300000</x:v>
      </x:c>
      <x:c r="I3393" s="10" t="n">
        <x:v>0.04</x:v>
      </x:c>
      <x:c r="J3393" s="11" t="n">
        <x:v>11</x:v>
      </x:c>
      <x:c r="K3393" s="11" t="n">
        <x:v>7</x:v>
      </x:c>
      <x:c r="L3393" s="11" t="n">
        <x:v>1</x:v>
      </x:c>
      <x:c r="M3393" s="9" t="n">
        <x:f>ROUND(H3393*(1-I3393),2)</x:f>
        <x:v>12768000</x:v>
      </x:c>
      <x:c r="N3393" s="4" t="str">
        <x:v>Sales manager</x:v>
      </x:c>
      <x:c r="O3393" s="4"/>
      <x:c r="P3393" s="9" t="n">
        <x:v>0</x:v>
      </x:c>
      <x:c r="Q3393" s="11" t="n">
        <x:v>1</x:v>
      </x:c>
      <x:c r="R3393" s="8" t="n">
        <x:v>45537</x:v>
      </x:c>
      <x:c r="S3393" s="4" t="str">
        <x:v>Lost / cancelled</x:v>
      </x:c>
      <x:c r="T3393" s="10" t="n">
        <x:v>0.351536</x:v>
      </x:c>
      <x:c r="U3393" s="4" t="str">
        <x:v>Excluded / unlabelled</x:v>
      </x:c>
    </x:row>
    <x:row r="3394" ht="34" customHeight="1">
      <x:c r="A3394" s="4" t="str">
        <x:v>RS-03393</x:v>
      </x:c>
      <x:c r="B3394" s="8" t="n">
        <x:v>45478</x:v>
      </x:c>
      <x:c r="C3394" s="4" t="str">
        <x:v>PRJ-013</x:v>
      </x:c>
      <x:c r="D3394" s="4" t="str">
        <x:v>Retail</x:v>
      </x:c>
      <x:c r="E3394" s="4" t="str">
        <x:v>Enquiry</x:v>
      </x:c>
      <x:c r="F3394" s="4" t="str">
        <x:v>CUS-03393</x:v>
      </x:c>
      <x:c r="G3394" s="4" t="str">
        <x:v>UNIT-03393</x:v>
      </x:c>
      <x:c r="H3394" s="9" t="n">
        <x:v>19300000</x:v>
      </x:c>
      <x:c r="I3394" s="10" t="n">
        <x:v>0.09</x:v>
      </x:c>
      <x:c r="J3394" s="11" t="n">
        <x:v>10</x:v>
      </x:c>
      <x:c r="K3394" s="11" t="n">
        <x:v>5</x:v>
      </x:c>
      <x:c r="L3394" s="11" t="n">
        <x:v>0</x:v>
      </x:c>
      <x:c r="M3394" s="9" t="n">
        <x:f>ROUND(H3394*(1-I3394),2)</x:f>
        <x:v>17563000</x:v>
      </x:c>
      <x:c r="N3394" s="4" t="str">
        <x:v>Sales head</x:v>
      </x:c>
      <x:c r="O3394" s="4"/>
      <x:c r="P3394" s="9" t="n">
        <x:v>0</x:v>
      </x:c>
      <x:c r="Q3394" s="11" t="n">
        <x:v>0</x:v>
      </x:c>
      <x:c r="R3394" s="8" t="n">
        <x:v>45538</x:v>
      </x:c>
      <x:c r="S3394" s="4" t="str">
        <x:v>Retained</x:v>
      </x:c>
      <x:c r="T3394" s="10" t="n">
        <x:v>0.310195</x:v>
      </x:c>
      <x:c r="U3394" s="4" t="str">
        <x:v>Excluded / unlabelled</x:v>
      </x:c>
    </x:row>
    <x:row r="3395" ht="34" customHeight="1">
      <x:c r="A3395" s="4" t="str">
        <x:v>RS-03394</x:v>
      </x:c>
      <x:c r="B3395" s="8" t="n">
        <x:v>45479</x:v>
      </x:c>
      <x:c r="C3395" s="4" t="str">
        <x:v>PRJ-014</x:v>
      </x:c>
      <x:c r="D3395" s="4" t="str">
        <x:v>Villa</x:v>
      </x:c>
      <x:c r="E3395" s="4" t="str">
        <x:v>Enquiry</x:v>
      </x:c>
      <x:c r="F3395" s="4" t="str">
        <x:v>CUS-03394</x:v>
      </x:c>
      <x:c r="G3395" s="4" t="str">
        <x:v>UNIT-03394</x:v>
      </x:c>
      <x:c r="H3395" s="9" t="n">
        <x:v>14100000</x:v>
      </x:c>
      <x:c r="I3395" s="10" t="n">
        <x:v>0.1</x:v>
      </x:c>
      <x:c r="J3395" s="11" t="n">
        <x:v>8</x:v>
      </x:c>
      <x:c r="K3395" s="11" t="n">
        <x:v>5</x:v>
      </x:c>
      <x:c r="L3395" s="11" t="n">
        <x:v>0</x:v>
      </x:c>
      <x:c r="M3395" s="9" t="n">
        <x:f>ROUND(H3395*(1-I3395),2)</x:f>
        <x:v>12690000</x:v>
      </x:c>
      <x:c r="N3395" s="4" t="str">
        <x:v>Sales head</x:v>
      </x:c>
      <x:c r="O3395" s="4"/>
      <x:c r="P3395" s="9" t="n">
        <x:v>0</x:v>
      </x:c>
      <x:c r="Q3395" s="11" t="n">
        <x:v>0</x:v>
      </x:c>
      <x:c r="R3395" s="8" t="n">
        <x:v>45539</x:v>
      </x:c>
      <x:c r="S3395" s="4" t="str">
        <x:v>Retained</x:v>
      </x:c>
      <x:c r="T3395" s="10" t="n">
        <x:v>0.310195</x:v>
      </x:c>
      <x:c r="U3395" s="4" t="str">
        <x:v>Excluded / unlabelled</x:v>
      </x:c>
    </x:row>
    <x:row r="3396" ht="34" customHeight="1">
      <x:c r="A3396" s="4" t="str">
        <x:v>RS-03395</x:v>
      </x:c>
      <x:c r="B3396" s="8" t="n">
        <x:v>45480</x:v>
      </x:c>
      <x:c r="C3396" s="4" t="str">
        <x:v>PRJ-015</x:v>
      </x:c>
      <x:c r="D3396" s="4" t="str">
        <x:v>Retail</x:v>
      </x:c>
      <x:c r="E3396" s="4" t="str">
        <x:v>Cancelled</x:v>
      </x:c>
      <x:c r="F3396" s="4" t="str">
        <x:v>CUS-03395</x:v>
      </x:c>
      <x:c r="G3396" s="4" t="str">
        <x:v>UNIT-03395</x:v>
      </x:c>
      <x:c r="H3396" s="9" t="n">
        <x:v>14500000</x:v>
      </x:c>
      <x:c r="I3396" s="10" t="n">
        <x:v>0.03</x:v>
      </x:c>
      <x:c r="J3396" s="11" t="n">
        <x:v>11</x:v>
      </x:c>
      <x:c r="K3396" s="11" t="n">
        <x:v>1</x:v>
      </x:c>
      <x:c r="L3396" s="11" t="n">
        <x:v>1</x:v>
      </x:c>
      <x:c r="M3396" s="9" t="n">
        <x:f>ROUND(H3396*(1-I3396),2)</x:f>
        <x:v>14065000</x:v>
      </x:c>
      <x:c r="N3396" s="4" t="str">
        <x:v>Sales manager</x:v>
      </x:c>
      <x:c r="O3396" s="4"/>
      <x:c r="P3396" s="9" t="n">
        <x:v>0</x:v>
      </x:c>
      <x:c r="Q3396" s="11" t="n">
        <x:v>1</x:v>
      </x:c>
      <x:c r="R3396" s="8" t="n">
        <x:v>45540</x:v>
      </x:c>
      <x:c r="S3396" s="4" t="str">
        <x:v>Lost / cancelled</x:v>
      </x:c>
      <x:c r="T3396" s="10" t="n">
        <x:v>0.351536</x:v>
      </x:c>
      <x:c r="U3396" s="4" t="str">
        <x:v>Excluded / unlabelled</x:v>
      </x:c>
    </x:row>
    <x:row r="3397" ht="34" customHeight="1">
      <x:c r="A3397" s="4" t="str">
        <x:v>RS-03396</x:v>
      </x:c>
      <x:c r="B3397" s="8" t="n">
        <x:v>45481</x:v>
      </x:c>
      <x:c r="C3397" s="4" t="str">
        <x:v>PRJ-016</x:v>
      </x:c>
      <x:c r="D3397" s="4" t="str">
        <x:v>Villa</x:v>
      </x:c>
      <x:c r="E3397" s="4" t="str">
        <x:v>Cancelled</x:v>
      </x:c>
      <x:c r="F3397" s="4" t="str">
        <x:v>CUS-03396</x:v>
      </x:c>
      <x:c r="G3397" s="4" t="str">
        <x:v>UNIT-03396</x:v>
      </x:c>
      <x:c r="H3397" s="9" t="n">
        <x:v>8400000</x:v>
      </x:c>
      <x:c r="I3397" s="10" t="n">
        <x:v>0.05</x:v>
      </x:c>
      <x:c r="J3397" s="11" t="n">
        <x:v>4</x:v>
      </x:c>
      <x:c r="K3397" s="11" t="n">
        <x:v>4</x:v>
      </x:c>
      <x:c r="L3397" s="11" t="n">
        <x:v>1</x:v>
      </x:c>
      <x:c r="M3397" s="9" t="n">
        <x:f>ROUND(H3397*(1-I3397),2)</x:f>
        <x:v>7980000</x:v>
      </x:c>
      <x:c r="N3397" s="4" t="str">
        <x:v>Sales manager</x:v>
      </x:c>
      <x:c r="O3397" s="4"/>
      <x:c r="P3397" s="9" t="n">
        <x:v>0</x:v>
      </x:c>
      <x:c r="Q3397" s="11" t="n">
        <x:v>1</x:v>
      </x:c>
      <x:c r="R3397" s="8" t="n">
        <x:v>45541</x:v>
      </x:c>
      <x:c r="S3397" s="4" t="str">
        <x:v>Lost / cancelled</x:v>
      </x:c>
      <x:c r="T3397" s="10" t="n">
        <x:v>0.291946</x:v>
      </x:c>
      <x:c r="U3397" s="4" t="str">
        <x:v>Excluded / unlabelled</x:v>
      </x:c>
    </x:row>
    <x:row r="3398" ht="34" customHeight="1">
      <x:c r="A3398" s="4" t="str">
        <x:v>RS-03397</x:v>
      </x:c>
      <x:c r="B3398" s="8" t="n">
        <x:v>45482</x:v>
      </x:c>
      <x:c r="C3398" s="4" t="str">
        <x:v>PRJ-017</x:v>
      </x:c>
      <x:c r="D3398" s="4" t="str">
        <x:v>Retail</x:v>
      </x:c>
      <x:c r="E3398" s="4" t="str">
        <x:v>Reserved</x:v>
      </x:c>
      <x:c r="F3398" s="4" t="str">
        <x:v>CUS-03397</x:v>
      </x:c>
      <x:c r="G3398" s="4" t="str">
        <x:v>UNIT-03397</x:v>
      </x:c>
      <x:c r="H3398" s="9" t="n">
        <x:v>21400000</x:v>
      </x:c>
      <x:c r="I3398" s="10" t="n">
        <x:v>0.03</x:v>
      </x:c>
      <x:c r="J3398" s="11" t="n">
        <x:v>8</x:v>
      </x:c>
      <x:c r="K3398" s="11" t="n">
        <x:v>1</x:v>
      </x:c>
      <x:c r="L3398" s="11" t="n">
        <x:v>0</x:v>
      </x:c>
      <x:c r="M3398" s="9" t="n">
        <x:f>ROUND(H3398*(1-I3398),2)</x:f>
        <x:v>20758000</x:v>
      </x:c>
      <x:c r="N3398" s="4" t="str">
        <x:v>Sales manager</x:v>
      </x:c>
      <x:c r="O3398" s="4"/>
      <x:c r="P3398" s="9" t="n">
        <x:v>0</x:v>
      </x:c>
      <x:c r="Q3398" s="11" t="n">
        <x:v>1</x:v>
      </x:c>
      <x:c r="R3398" s="8" t="n">
        <x:v>45542</x:v>
      </x:c>
      <x:c r="S3398" s="4" t="str">
        <x:v>Lost / cancelled</x:v>
      </x:c>
      <x:c r="T3398" s="10" t="n">
        <x:v>0.310195</x:v>
      </x:c>
      <x:c r="U3398" s="4" t="str">
        <x:v>Excluded / unlabelled</x:v>
      </x:c>
    </x:row>
    <x:row r="3399" ht="34" customHeight="1">
      <x:c r="A3399" s="4" t="str">
        <x:v>RS-03398</x:v>
      </x:c>
      <x:c r="B3399" s="8" t="n">
        <x:v>45483</x:v>
      </x:c>
      <x:c r="C3399" s="4" t="str">
        <x:v>PRJ-018</x:v>
      </x:c>
      <x:c r="D3399" s="4" t="str">
        <x:v>Villa</x:v>
      </x:c>
      <x:c r="E3399" s="4" t="str">
        <x:v>Cancelled</x:v>
      </x:c>
      <x:c r="F3399" s="4" t="str">
        <x:v>CUS-03398</x:v>
      </x:c>
      <x:c r="G3399" s="4" t="str">
        <x:v>UNIT-03398</x:v>
      </x:c>
      <x:c r="H3399" s="9" t="n">
        <x:v>7800000</x:v>
      </x:c>
      <x:c r="I3399" s="10" t="n">
        <x:v>0.09</x:v>
      </x:c>
      <x:c r="J3399" s="11" t="n">
        <x:v>3</x:v>
      </x:c>
      <x:c r="K3399" s="11" t="n">
        <x:v>5</x:v>
      </x:c>
      <x:c r="L3399" s="11" t="n">
        <x:v>0</x:v>
      </x:c>
      <x:c r="M3399" s="9" t="n">
        <x:f>ROUND(H3399*(1-I3399),2)</x:f>
        <x:v>7098000</x:v>
      </x:c>
      <x:c r="N3399" s="4" t="str">
        <x:v>Sales head</x:v>
      </x:c>
      <x:c r="O3399" s="4"/>
      <x:c r="P3399" s="9" t="n">
        <x:v>0</x:v>
      </x:c>
      <x:c r="Q3399" s="11" t="n">
        <x:v>1</x:v>
      </x:c>
      <x:c r="R3399" s="8" t="n">
        <x:v>45543</x:v>
      </x:c>
      <x:c r="S3399" s="4" t="str">
        <x:v>Lost / cancelled</x:v>
      </x:c>
      <x:c r="T3399" s="10" t="n">
        <x:v>0.145833</x:v>
      </x:c>
      <x:c r="U3399" s="4" t="str">
        <x:v>Excluded / unlabelled</x:v>
      </x:c>
    </x:row>
    <x:row r="3400" ht="34" customHeight="1">
      <x:c r="A3400" s="4" t="str">
        <x:v>RS-03399</x:v>
      </x:c>
      <x:c r="B3400" s="8" t="n">
        <x:v>45484</x:v>
      </x:c>
      <x:c r="C3400" s="4" t="str">
        <x:v>PRJ-019</x:v>
      </x:c>
      <x:c r="D3400" s="4" t="str">
        <x:v>Office</x:v>
      </x:c>
      <x:c r="E3400" s="4" t="str">
        <x:v>Agreement signed</x:v>
      </x:c>
      <x:c r="F3400" s="4" t="str">
        <x:v>CUS-03399</x:v>
      </x:c>
      <x:c r="G3400" s="4" t="str">
        <x:v>UNIT-03399</x:v>
      </x:c>
      <x:c r="H3400" s="9" t="n">
        <x:v>14700000</x:v>
      </x:c>
      <x:c r="I3400" s="10" t="n">
        <x:v>0.12</x:v>
      </x:c>
      <x:c r="J3400" s="11" t="n">
        <x:v>6</x:v>
      </x:c>
      <x:c r="K3400" s="11" t="n">
        <x:v>1</x:v>
      </x:c>
      <x:c r="L3400" s="11" t="n">
        <x:v>1</x:v>
      </x:c>
      <x:c r="M3400" s="9" t="n">
        <x:f>ROUND(H3400*(1-I3400),2)</x:f>
        <x:v>12936000</x:v>
      </x:c>
      <x:c r="N3400" s="4" t="str">
        <x:v>Sales head</x:v>
      </x:c>
      <x:c r="O3400" s="4" t="str">
        <x:v>BOOK-03399</x:v>
      </x:c>
      <x:c r="P3400" s="9" t="n">
        <x:v>12936000</x:v>
      </x:c>
      <x:c r="Q3400" s="11" t="n">
        <x:v>0</x:v>
      </x:c>
      <x:c r="R3400" s="8" t="n">
        <x:v>45544</x:v>
      </x:c>
      <x:c r="S3400" s="4" t="str">
        <x:v>Retained</x:v>
      </x:c>
      <x:c r="T3400" s="10" t="n">
        <x:v>0.291946</x:v>
      </x:c>
      <x:c r="U3400" s="4" t="str">
        <x:v>Excluded / unlabelled</x:v>
      </x:c>
    </x:row>
    <x:row r="3401" ht="34" customHeight="1">
      <x:c r="A3401" s="4" t="str">
        <x:v>RS-03400</x:v>
      </x:c>
      <x:c r="B3401" s="8" t="n">
        <x:v>45485</x:v>
      </x:c>
      <x:c r="C3401" s="4" t="str">
        <x:v>PRJ-020</x:v>
      </x:c>
      <x:c r="D3401" s="4" t="str">
        <x:v>Retail</x:v>
      </x:c>
      <x:c r="E3401" s="4" t="str">
        <x:v>Agreement signed</x:v>
      </x:c>
      <x:c r="F3401" s="4" t="str">
        <x:v>CUS-03400</x:v>
      </x:c>
      <x:c r="G3401" s="4" t="str">
        <x:v>UNIT-03400</x:v>
      </x:c>
      <x:c r="H3401" s="9" t="n">
        <x:v>10000000</x:v>
      </x:c>
      <x:c r="I3401" s="10" t="n">
        <x:v>0.02</x:v>
      </x:c>
      <x:c r="J3401" s="11" t="n">
        <x:v>3</x:v>
      </x:c>
      <x:c r="K3401" s="11" t="n">
        <x:v>10</x:v>
      </x:c>
      <x:c r="L3401" s="11" t="n">
        <x:v>1</x:v>
      </x:c>
      <x:c r="M3401" s="9" t="n">
        <x:f>ROUND(H3401*(1-I3401),2)</x:f>
        <x:v>9800000</x:v>
      </x:c>
      <x:c r="N3401" s="4" t="str">
        <x:v>Sales manager</x:v>
      </x:c>
      <x:c r="O3401" s="4" t="str">
        <x:v>BOOK-03400</x:v>
      </x:c>
      <x:c r="P3401" s="9" t="n">
        <x:v>2450000</x:v>
      </x:c>
      <x:c r="Q3401" s="11" t="n">
        <x:v>0</x:v>
      </x:c>
      <x:c r="R3401" s="8" t="n">
        <x:v>45545</x:v>
      </x:c>
      <x:c r="S3401" s="4" t="str">
        <x:v>Retained</x:v>
      </x:c>
      <x:c r="T3401" s="10" t="n">
        <x:v>0.171717</x:v>
      </x:c>
      <x:c r="U3401" s="4" t="str">
        <x:v>Excluded / unlabelled</x:v>
      </x:c>
    </x:row>
    <x:row r="3402" ht="34" customHeight="1">
      <x:c r="A3402" s="4" t="str">
        <x:v>RS-03401</x:v>
      </x:c>
      <x:c r="B3402" s="8" t="n">
        <x:v>45486</x:v>
      </x:c>
      <x:c r="C3402" s="4" t="str">
        <x:v>PRJ-001</x:v>
      </x:c>
      <x:c r="D3402" s="4" t="str">
        <x:v>Office</x:v>
      </x:c>
      <x:c r="E3402" s="4" t="str">
        <x:v>Cancelled</x:v>
      </x:c>
      <x:c r="F3402" s="4" t="str">
        <x:v>CUS-03401</x:v>
      </x:c>
      <x:c r="G3402" s="4" t="str">
        <x:v>UNIT-03401</x:v>
      </x:c>
      <x:c r="H3402" s="9" t="n">
        <x:v>9900000</x:v>
      </x:c>
      <x:c r="I3402" s="10" t="n">
        <x:v>0.1</x:v>
      </x:c>
      <x:c r="J3402" s="11" t="n">
        <x:v>1</x:v>
      </x:c>
      <x:c r="K3402" s="11" t="n">
        <x:v>0</x:v>
      </x:c>
      <x:c r="L3402" s="11" t="n">
        <x:v>1</x:v>
      </x:c>
      <x:c r="M3402" s="9" t="n">
        <x:f>ROUND(H3402*(1-I3402),2)</x:f>
        <x:v>8910000</x:v>
      </x:c>
      <x:c r="N3402" s="4" t="str">
        <x:v>Sales head</x:v>
      </x:c>
      <x:c r="O3402" s="4"/>
      <x:c r="P3402" s="9" t="n">
        <x:v>0</x:v>
      </x:c>
      <x:c r="Q3402" s="11" t="n">
        <x:v>1</x:v>
      </x:c>
      <x:c r="R3402" s="8" t="n">
        <x:v>45546</x:v>
      </x:c>
      <x:c r="S3402" s="4" t="str">
        <x:v>Lost / cancelled</x:v>
      </x:c>
      <x:c r="T3402" s="10" t="n">
        <x:v>0.276923</x:v>
      </x:c>
      <x:c r="U3402" s="4" t="str">
        <x:v>Excluded / unlabelled</x:v>
      </x:c>
    </x:row>
    <x:row r="3403" ht="34" customHeight="1">
      <x:c r="A3403" s="4" t="str">
        <x:v>RS-03402</x:v>
      </x:c>
      <x:c r="B3403" s="8" t="n">
        <x:v>45487</x:v>
      </x:c>
      <x:c r="C3403" s="4" t="str">
        <x:v>PRJ-002</x:v>
      </x:c>
      <x:c r="D3403" s="4" t="str">
        <x:v>Apartment</x:v>
      </x:c>
      <x:c r="E3403" s="4" t="str">
        <x:v>Handed over</x:v>
      </x:c>
      <x:c r="F3403" s="4" t="str">
        <x:v>CUS-03402</x:v>
      </x:c>
      <x:c r="G3403" s="4" t="str">
        <x:v>UNIT-03402</x:v>
      </x:c>
      <x:c r="H3403" s="9" t="n">
        <x:v>14000000</x:v>
      </x:c>
      <x:c r="I3403" s="10" t="n">
        <x:v>0.12</x:v>
      </x:c>
      <x:c r="J3403" s="11" t="n">
        <x:v>5</x:v>
      </x:c>
      <x:c r="K3403" s="11" t="n">
        <x:v>2</x:v>
      </x:c>
      <x:c r="L3403" s="11" t="n">
        <x:v>0</x:v>
      </x:c>
      <x:c r="M3403" s="9" t="n">
        <x:f>ROUND(H3403*(1-I3403),2)</x:f>
        <x:v>12320000</x:v>
      </x:c>
      <x:c r="N3403" s="4" t="str">
        <x:v>Sales head</x:v>
      </x:c>
      <x:c r="O3403" s="4" t="str">
        <x:v>BOOK-03402</x:v>
      </x:c>
      <x:c r="P3403" s="9" t="n">
        <x:v>1232000</x:v>
      </x:c>
      <x:c r="Q3403" s="11" t="n">
        <x:v>0</x:v>
      </x:c>
      <x:c r="R3403" s="8" t="n">
        <x:v>45547</x:v>
      </x:c>
      <x:c r="S3403" s="4" t="str">
        <x:v>Retained</x:v>
      </x:c>
      <x:c r="T3403" s="10" t="n">
        <x:v>0.226277</x:v>
      </x:c>
      <x:c r="U3403" s="4" t="str">
        <x:v>Excluded / unlabelled</x:v>
      </x:c>
    </x:row>
    <x:row r="3404" ht="34" customHeight="1">
      <x:c r="A3404" s="4" t="str">
        <x:v>RS-03403</x:v>
      </x:c>
      <x:c r="B3404" s="8" t="n">
        <x:v>45488</x:v>
      </x:c>
      <x:c r="C3404" s="4" t="str">
        <x:v>PRJ-003</x:v>
      </x:c>
      <x:c r="D3404" s="4" t="str">
        <x:v>Office</x:v>
      </x:c>
      <x:c r="E3404" s="4" t="str">
        <x:v>Enquiry</x:v>
      </x:c>
      <x:c r="F3404" s="4" t="str">
        <x:v>CUS-03403</x:v>
      </x:c>
      <x:c r="G3404" s="4" t="str">
        <x:v>UNIT-03403</x:v>
      </x:c>
      <x:c r="H3404" s="9" t="n">
        <x:v>11400000</x:v>
      </x:c>
      <x:c r="I3404" s="10" t="n">
        <x:v>0.1</x:v>
      </x:c>
      <x:c r="J3404" s="11" t="n">
        <x:v>9</x:v>
      </x:c>
      <x:c r="K3404" s="11" t="n">
        <x:v>9</x:v>
      </x:c>
      <x:c r="L3404" s="11" t="n">
        <x:v>1</x:v>
      </x:c>
      <x:c r="M3404" s="9" t="n">
        <x:f>ROUND(H3404*(1-I3404),2)</x:f>
        <x:v>10260000</x:v>
      </x:c>
      <x:c r="N3404" s="4" t="str">
        <x:v>Sales head</x:v>
      </x:c>
      <x:c r="O3404" s="4"/>
      <x:c r="P3404" s="9" t="n">
        <x:v>0</x:v>
      </x:c>
      <x:c r="Q3404" s="11" t="n">
        <x:v>1</x:v>
      </x:c>
      <x:c r="R3404" s="8" t="n">
        <x:v>45548</x:v>
      </x:c>
      <x:c r="S3404" s="4" t="str">
        <x:v>Lost / cancelled</x:v>
      </x:c>
      <x:c r="T3404" s="10" t="n">
        <x:v>0.310195</x:v>
      </x:c>
      <x:c r="U3404" s="4" t="str">
        <x:v>Excluded / unlabelled</x:v>
      </x:c>
    </x:row>
    <x:row r="3405" ht="34" customHeight="1">
      <x:c r="A3405" s="4" t="str">
        <x:v>RS-03404</x:v>
      </x:c>
      <x:c r="B3405" s="8" t="n">
        <x:v>45489</x:v>
      </x:c>
      <x:c r="C3405" s="4" t="str">
        <x:v>PRJ-004</x:v>
      </x:c>
      <x:c r="D3405" s="4" t="str">
        <x:v>Office</x:v>
      </x:c>
      <x:c r="E3405" s="4" t="str">
        <x:v>Reserved</x:v>
      </x:c>
      <x:c r="F3405" s="4" t="str">
        <x:v>CUS-03404</x:v>
      </x:c>
      <x:c r="G3405" s="4" t="str">
        <x:v>UNIT-03404</x:v>
      </x:c>
      <x:c r="H3405" s="9" t="n">
        <x:v>12100000</x:v>
      </x:c>
      <x:c r="I3405" s="10" t="n">
        <x:v>0.02</x:v>
      </x:c>
      <x:c r="J3405" s="11" t="n">
        <x:v>4</x:v>
      </x:c>
      <x:c r="K3405" s="11" t="n">
        <x:v>2</x:v>
      </x:c>
      <x:c r="L3405" s="11" t="n">
        <x:v>0</x:v>
      </x:c>
      <x:c r="M3405" s="9" t="n">
        <x:f>ROUND(H3405*(1-I3405),2)</x:f>
        <x:v>11858000</x:v>
      </x:c>
      <x:c r="N3405" s="4" t="str">
        <x:v>Sales manager</x:v>
      </x:c>
      <x:c r="O3405" s="4"/>
      <x:c r="P3405" s="9" t="n">
        <x:v>0</x:v>
      </x:c>
      <x:c r="Q3405" s="11" t="n">
        <x:v>1</x:v>
      </x:c>
      <x:c r="R3405" s="8" t="n">
        <x:v>45549</x:v>
      </x:c>
      <x:c r="S3405" s="4" t="str">
        <x:v>Lost / cancelled</x:v>
      </x:c>
      <x:c r="T3405" s="10" t="n">
        <x:v>0.298969</x:v>
      </x:c>
      <x:c r="U3405" s="4" t="str">
        <x:v>Excluded / unlabelled</x:v>
      </x:c>
    </x:row>
    <x:row r="3406" ht="34" customHeight="1">
      <x:c r="A3406" s="4" t="str">
        <x:v>RS-03405</x:v>
      </x:c>
      <x:c r="B3406" s="8" t="n">
        <x:v>45490</x:v>
      </x:c>
      <x:c r="C3406" s="4" t="str">
        <x:v>PRJ-005</x:v>
      </x:c>
      <x:c r="D3406" s="4" t="str">
        <x:v>Apartment</x:v>
      </x:c>
      <x:c r="E3406" s="4" t="str">
        <x:v>Handed over</x:v>
      </x:c>
      <x:c r="F3406" s="4" t="str">
        <x:v>CUS-03405</x:v>
      </x:c>
      <x:c r="G3406" s="4" t="str">
        <x:v>UNIT-03405</x:v>
      </x:c>
      <x:c r="H3406" s="9" t="n">
        <x:v>14600000</x:v>
      </x:c>
      <x:c r="I3406" s="10" t="n">
        <x:v>0.03</x:v>
      </x:c>
      <x:c r="J3406" s="11" t="n">
        <x:v>5</x:v>
      </x:c>
      <x:c r="K3406" s="11" t="n">
        <x:v>10</x:v>
      </x:c>
      <x:c r="L3406" s="11" t="n">
        <x:v>0</x:v>
      </x:c>
      <x:c r="M3406" s="9" t="n">
        <x:f>ROUND(H3406*(1-I3406),2)</x:f>
        <x:v>14162000</x:v>
      </x:c>
      <x:c r="N3406" s="4" t="str">
        <x:v>Sales manager</x:v>
      </x:c>
      <x:c r="O3406" s="4" t="str">
        <x:v>BOOK-03405</x:v>
      </x:c>
      <x:c r="P3406" s="9" t="n">
        <x:v>14162000</x:v>
      </x:c>
      <x:c r="Q3406" s="11" t="n">
        <x:v>0</x:v>
      </x:c>
      <x:c r="R3406" s="8" t="n">
        <x:v>45550</x:v>
      </x:c>
      <x:c r="S3406" s="4" t="str">
        <x:v>Retained</x:v>
      </x:c>
      <x:c r="T3406" s="10" t="n">
        <x:v>0.145299</x:v>
      </x:c>
      <x:c r="U3406" s="4" t="str">
        <x:v>Excluded / unlabelled</x:v>
      </x:c>
    </x:row>
    <x:row r="3407" ht="34" customHeight="1">
      <x:c r="A3407" s="4" t="str">
        <x:v>RS-03406</x:v>
      </x:c>
      <x:c r="B3407" s="8" t="n">
        <x:v>45491</x:v>
      </x:c>
      <x:c r="C3407" s="4" t="str">
        <x:v>PRJ-006</x:v>
      </x:c>
      <x:c r="D3407" s="4" t="str">
        <x:v>Office</x:v>
      </x:c>
      <x:c r="E3407" s="4" t="str">
        <x:v>Booked</x:v>
      </x:c>
      <x:c r="F3407" s="4" t="str">
        <x:v>CUS-03406</x:v>
      </x:c>
      <x:c r="G3407" s="4" t="str">
        <x:v>UNIT-03406</x:v>
      </x:c>
      <x:c r="H3407" s="9" t="n">
        <x:v>18700000</x:v>
      </x:c>
      <x:c r="I3407" s="10" t="n">
        <x:v>0.11</x:v>
      </x:c>
      <x:c r="J3407" s="11" t="n">
        <x:v>7</x:v>
      </x:c>
      <x:c r="K3407" s="11" t="n">
        <x:v>7</x:v>
      </x:c>
      <x:c r="L3407" s="11" t="n">
        <x:v>0</x:v>
      </x:c>
      <x:c r="M3407" s="9" t="n">
        <x:f>ROUND(H3407*(1-I3407),2)</x:f>
        <x:v>16643000</x:v>
      </x:c>
      <x:c r="N3407" s="4" t="str">
        <x:v>Sales head</x:v>
      </x:c>
      <x:c r="O3407" s="4" t="str">
        <x:v>BOOK-03406</x:v>
      </x:c>
      <x:c r="P3407" s="9" t="n">
        <x:v>1664300</x:v>
      </x:c>
      <x:c r="Q3407" s="11" t="n">
        <x:v>0</x:v>
      </x:c>
      <x:c r="R3407" s="8" t="n">
        <x:v>45551</x:v>
      </x:c>
      <x:c r="S3407" s="4" t="str">
        <x:v>Retained</x:v>
      </x:c>
      <x:c r="T3407" s="10" t="n">
        <x:v>0.226277</x:v>
      </x:c>
      <x:c r="U3407" s="4" t="str">
        <x:v>Excluded / unlabelled</x:v>
      </x:c>
    </x:row>
    <x:row r="3408" ht="34" customHeight="1">
      <x:c r="A3408" s="4" t="str">
        <x:v>RS-03407</x:v>
      </x:c>
      <x:c r="B3408" s="8" t="n">
        <x:v>45492</x:v>
      </x:c>
      <x:c r="C3408" s="4" t="str">
        <x:v>PRJ-007</x:v>
      </x:c>
      <x:c r="D3408" s="4" t="str">
        <x:v>Retail</x:v>
      </x:c>
      <x:c r="E3408" s="4" t="str">
        <x:v>Booked</x:v>
      </x:c>
      <x:c r="F3408" s="4" t="str">
        <x:v>CUS-03407</x:v>
      </x:c>
      <x:c r="G3408" s="4" t="str">
        <x:v>UNIT-03407</x:v>
      </x:c>
      <x:c r="H3408" s="9" t="n">
        <x:v>20000000</x:v>
      </x:c>
      <x:c r="I3408" s="10" t="n">
        <x:v>0.04</x:v>
      </x:c>
      <x:c r="J3408" s="11" t="n">
        <x:v>2</x:v>
      </x:c>
      <x:c r="K3408" s="11" t="n">
        <x:v>9</x:v>
      </x:c>
      <x:c r="L3408" s="11" t="n">
        <x:v>0</x:v>
      </x:c>
      <x:c r="M3408" s="9" t="n">
        <x:f>ROUND(H3408*(1-I3408),2)</x:f>
        <x:v>19200000</x:v>
      </x:c>
      <x:c r="N3408" s="4" t="str">
        <x:v>Sales manager</x:v>
      </x:c>
      <x:c r="O3408" s="4" t="str">
        <x:v>BOOK-03407</x:v>
      </x:c>
      <x:c r="P3408" s="9" t="n">
        <x:v>9600000</x:v>
      </x:c>
      <x:c r="Q3408" s="11" t="n">
        <x:v>0</x:v>
      </x:c>
      <x:c r="R3408" s="8" t="n">
        <x:v>45552</x:v>
      </x:c>
      <x:c r="S3408" s="4" t="str">
        <x:v>Retained</x:v>
      </x:c>
      <x:c r="T3408" s="10" t="n">
        <x:v>0.204152</x:v>
      </x:c>
      <x:c r="U3408" s="4" t="str">
        <x:v>Excluded / unlabelled</x:v>
      </x:c>
    </x:row>
    <x:row r="3409" ht="34" customHeight="1">
      <x:c r="A3409" s="4" t="str">
        <x:v>RS-03408</x:v>
      </x:c>
      <x:c r="B3409" s="8" t="n">
        <x:v>45493</x:v>
      </x:c>
      <x:c r="C3409" s="4" t="str">
        <x:v>PRJ-008</x:v>
      </x:c>
      <x:c r="D3409" s="4" t="str">
        <x:v>Office</x:v>
      </x:c>
      <x:c r="E3409" s="4" t="str">
        <x:v>Reserved</x:v>
      </x:c>
      <x:c r="F3409" s="4" t="str">
        <x:v>CUS-03408</x:v>
      </x:c>
      <x:c r="G3409" s="4" t="str">
        <x:v>UNIT-03408</x:v>
      </x:c>
      <x:c r="H3409" s="9" t="n">
        <x:v>24100000</x:v>
      </x:c>
      <x:c r="I3409" s="10" t="n">
        <x:v>0.02</x:v>
      </x:c>
      <x:c r="J3409" s="11" t="n">
        <x:v>8</x:v>
      </x:c>
      <x:c r="K3409" s="11" t="n">
        <x:v>0</x:v>
      </x:c>
      <x:c r="L3409" s="11" t="n">
        <x:v>0</x:v>
      </x:c>
      <x:c r="M3409" s="9" t="n">
        <x:f>ROUND(H3409*(1-I3409),2)</x:f>
        <x:v>23618000</x:v>
      </x:c>
      <x:c r="N3409" s="4" t="str">
        <x:v>Sales manager</x:v>
      </x:c>
      <x:c r="O3409" s="4"/>
      <x:c r="P3409" s="9" t="n">
        <x:v>0</x:v>
      </x:c>
      <x:c r="Q3409" s="11" t="n">
        <x:v>0</x:v>
      </x:c>
      <x:c r="R3409" s="8" t="n">
        <x:v>45553</x:v>
      </x:c>
      <x:c r="S3409" s="4" t="str">
        <x:v>Retained</x:v>
      </x:c>
      <x:c r="T3409" s="10" t="n">
        <x:v>0.305556</x:v>
      </x:c>
      <x:c r="U3409" s="4" t="str">
        <x:v>Excluded / unlabelled</x:v>
      </x:c>
    </x:row>
    <x:row r="3410" ht="34" customHeight="1">
      <x:c r="A3410" s="4" t="str">
        <x:v>RS-03409</x:v>
      </x:c>
      <x:c r="B3410" s="8" t="n">
        <x:v>45494</x:v>
      </x:c>
      <x:c r="C3410" s="4" t="str">
        <x:v>PRJ-009</x:v>
      </x:c>
      <x:c r="D3410" s="4" t="str">
        <x:v>Apartment</x:v>
      </x:c>
      <x:c r="E3410" s="4" t="str">
        <x:v>Agreement signed</x:v>
      </x:c>
      <x:c r="F3410" s="4" t="str">
        <x:v>CUS-03409</x:v>
      </x:c>
      <x:c r="G3410" s="4" t="str">
        <x:v>UNIT-03409</x:v>
      </x:c>
      <x:c r="H3410" s="9" t="n">
        <x:v>12400000</x:v>
      </x:c>
      <x:c r="I3410" s="10" t="n">
        <x:v>0.03</x:v>
      </x:c>
      <x:c r="J3410" s="11" t="n">
        <x:v>0</x:v>
      </x:c>
      <x:c r="K3410" s="11" t="n">
        <x:v>3</x:v>
      </x:c>
      <x:c r="L3410" s="11" t="n">
        <x:v>0</x:v>
      </x:c>
      <x:c r="M3410" s="9" t="n">
        <x:f>ROUND(H3410*(1-I3410),2)</x:f>
        <x:v>12028000</x:v>
      </x:c>
      <x:c r="N3410" s="4" t="str">
        <x:v>Sales manager</x:v>
      </x:c>
      <x:c r="O3410" s="4" t="str">
        <x:v>BOOK-03409</x:v>
      </x:c>
      <x:c r="P3410" s="9" t="n">
        <x:v>6014000</x:v>
      </x:c>
      <x:c r="Q3410" s="11" t="n">
        <x:v>0</x:v>
      </x:c>
      <x:c r="R3410" s="8" t="n">
        <x:v>45554</x:v>
      </x:c>
      <x:c r="S3410" s="4" t="str">
        <x:v>Retained</x:v>
      </x:c>
      <x:c r="T3410" s="10" t="n">
        <x:v>0.072165</x:v>
      </x:c>
      <x:c r="U3410" s="4" t="str">
        <x:v>Excluded / unlabelled</x:v>
      </x:c>
    </x:row>
    <x:row r="3411" ht="34" customHeight="1">
      <x:c r="A3411" s="4" t="str">
        <x:v>RS-03410</x:v>
      </x:c>
      <x:c r="B3411" s="8" t="n">
        <x:v>45495</x:v>
      </x:c>
      <x:c r="C3411" s="4" t="str">
        <x:v>PRJ-010</x:v>
      </x:c>
      <x:c r="D3411" s="4" t="str">
        <x:v>Office</x:v>
      </x:c>
      <x:c r="E3411" s="4" t="str">
        <x:v>Enquiry</x:v>
      </x:c>
      <x:c r="F3411" s="4" t="str">
        <x:v>CUS-03410</x:v>
      </x:c>
      <x:c r="G3411" s="4" t="str">
        <x:v>UNIT-03410</x:v>
      </x:c>
      <x:c r="H3411" s="9" t="n">
        <x:v>18600000</x:v>
      </x:c>
      <x:c r="I3411" s="10" t="n">
        <x:v>0.12</x:v>
      </x:c>
      <x:c r="J3411" s="11" t="n">
        <x:v>9</x:v>
      </x:c>
      <x:c r="K3411" s="11" t="n">
        <x:v>6</x:v>
      </x:c>
      <x:c r="L3411" s="11" t="n">
        <x:v>1</x:v>
      </x:c>
      <x:c r="M3411" s="9" t="n">
        <x:f>ROUND(H3411*(1-I3411),2)</x:f>
        <x:v>16368000</x:v>
      </x:c>
      <x:c r="N3411" s="4" t="str">
        <x:v>Sales head</x:v>
      </x:c>
      <x:c r="O3411" s="4"/>
      <x:c r="P3411" s="9" t="n">
        <x:v>0</x:v>
      </x:c>
      <x:c r="Q3411" s="11" t="n">
        <x:v>1</x:v>
      </x:c>
      <x:c r="R3411" s="8" t="n">
        <x:v>45555</x:v>
      </x:c>
      <x:c r="S3411" s="4" t="str">
        <x:v>Lost / cancelled</x:v>
      </x:c>
      <x:c r="T3411" s="10" t="n">
        <x:v>0.310195</x:v>
      </x:c>
      <x:c r="U3411" s="4" t="str">
        <x:v>Excluded / unlabelled</x:v>
      </x:c>
    </x:row>
    <x:row r="3412" ht="34" customHeight="1">
      <x:c r="A3412" s="4" t="str">
        <x:v>RS-03411</x:v>
      </x:c>
      <x:c r="B3412" s="8" t="n">
        <x:v>45496</x:v>
      </x:c>
      <x:c r="C3412" s="4" t="str">
        <x:v>PRJ-011</x:v>
      </x:c>
      <x:c r="D3412" s="4" t="str">
        <x:v>Office</x:v>
      </x:c>
      <x:c r="E3412" s="4" t="str">
        <x:v>Reserved</x:v>
      </x:c>
      <x:c r="F3412" s="4" t="str">
        <x:v>CUS-03411</x:v>
      </x:c>
      <x:c r="G3412" s="4" t="str">
        <x:v>UNIT-03411</x:v>
      </x:c>
      <x:c r="H3412" s="9" t="n">
        <x:v>12100000</x:v>
      </x:c>
      <x:c r="I3412" s="10" t="n">
        <x:v>0.02</x:v>
      </x:c>
      <x:c r="J3412" s="11" t="n">
        <x:v>12</x:v>
      </x:c>
      <x:c r="K3412" s="11" t="n">
        <x:v>0</x:v>
      </x:c>
      <x:c r="L3412" s="11" t="n">
        <x:v>1</x:v>
      </x:c>
      <x:c r="M3412" s="9" t="n">
        <x:f>ROUND(H3412*(1-I3412),2)</x:f>
        <x:v>11858000</x:v>
      </x:c>
      <x:c r="N3412" s="4" t="str">
        <x:v>Sales manager</x:v>
      </x:c>
      <x:c r="O3412" s="4"/>
      <x:c r="P3412" s="9" t="n">
        <x:v>0</x:v>
      </x:c>
      <x:c r="Q3412" s="11" t="n">
        <x:v>1</x:v>
      </x:c>
      <x:c r="R3412" s="8" t="n">
        <x:v>45556</x:v>
      </x:c>
      <x:c r="S3412" s="4" t="str">
        <x:v>Lost / cancelled</x:v>
      </x:c>
      <x:c r="T3412" s="10" t="n">
        <x:v>0.254545</x:v>
      </x:c>
      <x:c r="U3412" s="4" t="str">
        <x:v>Excluded / unlabelled</x:v>
      </x:c>
    </x:row>
    <x:row r="3413" ht="34" customHeight="1">
      <x:c r="A3413" s="4" t="str">
        <x:v>RS-03412</x:v>
      </x:c>
      <x:c r="B3413" s="8" t="n">
        <x:v>45497</x:v>
      </x:c>
      <x:c r="C3413" s="4" t="str">
        <x:v>PRJ-012</x:v>
      </x:c>
      <x:c r="D3413" s="4" t="str">
        <x:v>Apartment</x:v>
      </x:c>
      <x:c r="E3413" s="4" t="str">
        <x:v>Enquiry</x:v>
      </x:c>
      <x:c r="F3413" s="4" t="str">
        <x:v>CUS-03412</x:v>
      </x:c>
      <x:c r="G3413" s="4" t="str">
        <x:v>UNIT-03412</x:v>
      </x:c>
      <x:c r="H3413" s="9" t="n">
        <x:v>17800000</x:v>
      </x:c>
      <x:c r="I3413" s="10" t="n">
        <x:v>0.03</x:v>
      </x:c>
      <x:c r="J3413" s="11" t="n">
        <x:v>7</x:v>
      </x:c>
      <x:c r="K3413" s="11" t="n">
        <x:v>2</x:v>
      </x:c>
      <x:c r="L3413" s="11" t="n">
        <x:v>0</x:v>
      </x:c>
      <x:c r="M3413" s="9" t="n">
        <x:f>ROUND(H3413*(1-I3413),2)</x:f>
        <x:v>17266000</x:v>
      </x:c>
      <x:c r="N3413" s="4" t="str">
        <x:v>Sales manager</x:v>
      </x:c>
      <x:c r="O3413" s="4"/>
      <x:c r="P3413" s="9" t="n">
        <x:v>0</x:v>
      </x:c>
      <x:c r="Q3413" s="11" t="n">
        <x:v>1</x:v>
      </x:c>
      <x:c r="R3413" s="8" t="n">
        <x:v>45557</x:v>
      </x:c>
      <x:c r="S3413" s="4" t="str">
        <x:v>Lost / cancelled</x:v>
      </x:c>
      <x:c r="T3413" s="10" t="n">
        <x:v>0.298969</x:v>
      </x:c>
      <x:c r="U3413" s="4" t="str">
        <x:v>Excluded / unlabelled</x:v>
      </x:c>
    </x:row>
    <x:row r="3414" ht="34" customHeight="1">
      <x:c r="A3414" s="4" t="str">
        <x:v>RS-03413</x:v>
      </x:c>
      <x:c r="B3414" s="8" t="n">
        <x:v>45498</x:v>
      </x:c>
      <x:c r="C3414" s="4" t="str">
        <x:v>PRJ-013</x:v>
      </x:c>
      <x:c r="D3414" s="4" t="str">
        <x:v>Retail</x:v>
      </x:c>
      <x:c r="E3414" s="4" t="str">
        <x:v>Cancelled</x:v>
      </x:c>
      <x:c r="F3414" s="4" t="str">
        <x:v>CUS-03413</x:v>
      </x:c>
      <x:c r="G3414" s="4" t="str">
        <x:v>UNIT-03413</x:v>
      </x:c>
      <x:c r="H3414" s="9" t="n">
        <x:v>6800000</x:v>
      </x:c>
      <x:c r="I3414" s="10" t="n">
        <x:v>0.03</x:v>
      </x:c>
      <x:c r="J3414" s="11" t="n">
        <x:v>4</x:v>
      </x:c>
      <x:c r="K3414" s="11" t="n">
        <x:v>3</x:v>
      </x:c>
      <x:c r="L3414" s="11" t="n">
        <x:v>0</x:v>
      </x:c>
      <x:c r="M3414" s="9" t="n">
        <x:f>ROUND(H3414*(1-I3414),2)</x:f>
        <x:v>6596000</x:v>
      </x:c>
      <x:c r="N3414" s="4" t="str">
        <x:v>Sales manager</x:v>
      </x:c>
      <x:c r="O3414" s="4"/>
      <x:c r="P3414" s="9" t="n">
        <x:v>0</x:v>
      </x:c>
      <x:c r="Q3414" s="11" t="n">
        <x:v>1</x:v>
      </x:c>
      <x:c r="R3414" s="8" t="n">
        <x:v>45558</x:v>
      </x:c>
      <x:c r="S3414" s="4" t="str">
        <x:v>Lost / cancelled</x:v>
      </x:c>
      <x:c r="T3414" s="10" t="n">
        <x:v>0.298969</x:v>
      </x:c>
      <x:c r="U3414" s="4" t="str">
        <x:v>Excluded / unlabelled</x:v>
      </x:c>
    </x:row>
    <x:row r="3415" ht="34" customHeight="1">
      <x:c r="A3415" s="4" t="str">
        <x:v>RS-03414</x:v>
      </x:c>
      <x:c r="B3415" s="8" t="n">
        <x:v>45499</x:v>
      </x:c>
      <x:c r="C3415" s="4" t="str">
        <x:v>PRJ-014</x:v>
      </x:c>
      <x:c r="D3415" s="4" t="str">
        <x:v>Office</x:v>
      </x:c>
      <x:c r="E3415" s="4" t="str">
        <x:v>Agreement signed</x:v>
      </x:c>
      <x:c r="F3415" s="4" t="str">
        <x:v>CUS-03414</x:v>
      </x:c>
      <x:c r="G3415" s="4" t="str">
        <x:v>UNIT-03414</x:v>
      </x:c>
      <x:c r="H3415" s="9" t="n">
        <x:v>4300000</x:v>
      </x:c>
      <x:c r="I3415" s="10" t="n">
        <x:v>0.09</x:v>
      </x:c>
      <x:c r="J3415" s="11" t="n">
        <x:v>7</x:v>
      </x:c>
      <x:c r="K3415" s="11" t="n">
        <x:v>6</x:v>
      </x:c>
      <x:c r="L3415" s="11" t="n">
        <x:v>1</x:v>
      </x:c>
      <x:c r="M3415" s="9" t="n">
        <x:f>ROUND(H3415*(1-I3415),2)</x:f>
        <x:v>3913000</x:v>
      </x:c>
      <x:c r="N3415" s="4" t="str">
        <x:v>Sales head</x:v>
      </x:c>
      <x:c r="O3415" s="4" t="str">
        <x:v>BOOK-03414</x:v>
      </x:c>
      <x:c r="P3415" s="9" t="n">
        <x:v>1956500</x:v>
      </x:c>
      <x:c r="Q3415" s="11" t="n">
        <x:v>0</x:v>
      </x:c>
      <x:c r="R3415" s="8" t="n">
        <x:v>45559</x:v>
      </x:c>
      <x:c r="S3415" s="4" t="str">
        <x:v>Retained</x:v>
      </x:c>
      <x:c r="T3415" s="10" t="n">
        <x:v>0.291946</x:v>
      </x:c>
      <x:c r="U3415" s="4" t="str">
        <x:v>Excluded / unlabelled</x:v>
      </x:c>
    </x:row>
    <x:row r="3416" ht="34" customHeight="1">
      <x:c r="A3416" s="4" t="str">
        <x:v>RS-03415</x:v>
      </x:c>
      <x:c r="B3416" s="8" t="n">
        <x:v>45500</x:v>
      </x:c>
      <x:c r="C3416" s="4" t="str">
        <x:v>PRJ-015</x:v>
      </x:c>
      <x:c r="D3416" s="4" t="str">
        <x:v>Apartment</x:v>
      </x:c>
      <x:c r="E3416" s="4" t="str">
        <x:v>Enquiry</x:v>
      </x:c>
      <x:c r="F3416" s="4" t="str">
        <x:v>CUS-03415</x:v>
      </x:c>
      <x:c r="G3416" s="4" t="str">
        <x:v>UNIT-03415</x:v>
      </x:c>
      <x:c r="H3416" s="9" t="n">
        <x:v>7800000</x:v>
      </x:c>
      <x:c r="I3416" s="10" t="n">
        <x:v>0.06</x:v>
      </x:c>
      <x:c r="J3416" s="11" t="n">
        <x:v>7</x:v>
      </x:c>
      <x:c r="K3416" s="11" t="n">
        <x:v>3</x:v>
      </x:c>
      <x:c r="L3416" s="11" t="n">
        <x:v>1</x:v>
      </x:c>
      <x:c r="M3416" s="9" t="n">
        <x:f>ROUND(H3416*(1-I3416),2)</x:f>
        <x:v>7332000</x:v>
      </x:c>
      <x:c r="N3416" s="4" t="str">
        <x:v>Sales manager</x:v>
      </x:c>
      <x:c r="O3416" s="4"/>
      <x:c r="P3416" s="9" t="n">
        <x:v>0</x:v>
      </x:c>
      <x:c r="Q3416" s="11" t="n">
        <x:v>0</x:v>
      </x:c>
      <x:c r="R3416" s="8" t="n">
        <x:v>45560</x:v>
      </x:c>
      <x:c r="S3416" s="4" t="str">
        <x:v>Retained</x:v>
      </x:c>
      <x:c r="T3416" s="10" t="n">
        <x:v>0.291946</x:v>
      </x:c>
      <x:c r="U3416" s="4" t="str">
        <x:v>Excluded / unlabelled</x:v>
      </x:c>
    </x:row>
    <x:row r="3417" ht="34" customHeight="1">
      <x:c r="A3417" s="4" t="str">
        <x:v>RS-03416</x:v>
      </x:c>
      <x:c r="B3417" s="8" t="n">
        <x:v>45501</x:v>
      </x:c>
      <x:c r="C3417" s="4" t="str">
        <x:v>PRJ-016</x:v>
      </x:c>
      <x:c r="D3417" s="4" t="str">
        <x:v>Office</x:v>
      </x:c>
      <x:c r="E3417" s="4" t="str">
        <x:v>Cancelled</x:v>
      </x:c>
      <x:c r="F3417" s="4" t="str">
        <x:v>CUS-03416</x:v>
      </x:c>
      <x:c r="G3417" s="4" t="str">
        <x:v>UNIT-03416</x:v>
      </x:c>
      <x:c r="H3417" s="9" t="n">
        <x:v>16900000</x:v>
      </x:c>
      <x:c r="I3417" s="10" t="n">
        <x:v>0.06</x:v>
      </x:c>
      <x:c r="J3417" s="11" t="n">
        <x:v>8</x:v>
      </x:c>
      <x:c r="K3417" s="11" t="n">
        <x:v>5</x:v>
      </x:c>
      <x:c r="L3417" s="11" t="n">
        <x:v>1</x:v>
      </x:c>
      <x:c r="M3417" s="9" t="n">
        <x:f>ROUND(H3417*(1-I3417),2)</x:f>
        <x:v>15886000</x:v>
      </x:c>
      <x:c r="N3417" s="4" t="str">
        <x:v>Sales manager</x:v>
      </x:c>
      <x:c r="O3417" s="4"/>
      <x:c r="P3417" s="9" t="n">
        <x:v>0</x:v>
      </x:c>
      <x:c r="Q3417" s="11" t="n">
        <x:v>1</x:v>
      </x:c>
      <x:c r="R3417" s="8" t="n">
        <x:v>45561</x:v>
      </x:c>
      <x:c r="S3417" s="4" t="str">
        <x:v>Lost / cancelled</x:v>
      </x:c>
      <x:c r="T3417" s="10" t="n">
        <x:v>0.310195</x:v>
      </x:c>
      <x:c r="U3417" s="4" t="str">
        <x:v>Excluded / unlabelled</x:v>
      </x:c>
    </x:row>
    <x:row r="3418" ht="34" customHeight="1">
      <x:c r="A3418" s="4" t="str">
        <x:v>RS-03417</x:v>
      </x:c>
      <x:c r="B3418" s="8" t="n">
        <x:v>45474</x:v>
      </x:c>
      <x:c r="C3418" s="4" t="str">
        <x:v>PRJ-017</x:v>
      </x:c>
      <x:c r="D3418" s="4" t="str">
        <x:v>Office</x:v>
      </x:c>
      <x:c r="E3418" s="4" t="str">
        <x:v>Handed over</x:v>
      </x:c>
      <x:c r="F3418" s="4" t="str">
        <x:v>CUS-03417</x:v>
      </x:c>
      <x:c r="G3418" s="4" t="str">
        <x:v>UNIT-03417</x:v>
      </x:c>
      <x:c r="H3418" s="9" t="n">
        <x:v>18700000</x:v>
      </x:c>
      <x:c r="I3418" s="10" t="n">
        <x:v>0.12</x:v>
      </x:c>
      <x:c r="J3418" s="11" t="n">
        <x:v>8</x:v>
      </x:c>
      <x:c r="K3418" s="11" t="n">
        <x:v>0</x:v>
      </x:c>
      <x:c r="L3418" s="11" t="n">
        <x:v>0</x:v>
      </x:c>
      <x:c r="M3418" s="9" t="n">
        <x:f>ROUND(H3418*(1-I3418),2)</x:f>
        <x:v>16456000</x:v>
      </x:c>
      <x:c r="N3418" s="4" t="str">
        <x:v>Sales head</x:v>
      </x:c>
      <x:c r="O3418" s="4" t="str">
        <x:v>BOOK-03417</x:v>
      </x:c>
      <x:c r="P3418" s="9" t="n">
        <x:v>4114000</x:v>
      </x:c>
      <x:c r="Q3418" s="11" t="n">
        <x:v>0</x:v>
      </x:c>
      <x:c r="R3418" s="8" t="n">
        <x:v>45534</x:v>
      </x:c>
      <x:c r="S3418" s="4" t="str">
        <x:v>Retained</x:v>
      </x:c>
      <x:c r="T3418" s="10" t="n">
        <x:v>0.310195</x:v>
      </x:c>
      <x:c r="U3418" s="4" t="str">
        <x:v>Excluded / unlabelled</x:v>
      </x:c>
    </x:row>
    <x:row r="3419" ht="34" customHeight="1">
      <x:c r="A3419" s="4" t="str">
        <x:v>RS-03418</x:v>
      </x:c>
      <x:c r="B3419" s="8" t="n">
        <x:v>45475</x:v>
      </x:c>
      <x:c r="C3419" s="4" t="str">
        <x:v>PRJ-018</x:v>
      </x:c>
      <x:c r="D3419" s="4" t="str">
        <x:v>Villa</x:v>
      </x:c>
      <x:c r="E3419" s="4" t="str">
        <x:v>Handed over</x:v>
      </x:c>
      <x:c r="F3419" s="4" t="str">
        <x:v>CUS-03418</x:v>
      </x:c>
      <x:c r="G3419" s="4" t="str">
        <x:v>UNIT-03418</x:v>
      </x:c>
      <x:c r="H3419" s="9" t="n">
        <x:v>22100000</x:v>
      </x:c>
      <x:c r="I3419" s="10" t="n">
        <x:v>0.09</x:v>
      </x:c>
      <x:c r="J3419" s="11" t="n">
        <x:v>1</x:v>
      </x:c>
      <x:c r="K3419" s="11" t="n">
        <x:v>10</x:v>
      </x:c>
      <x:c r="L3419" s="11" t="n">
        <x:v>0</x:v>
      </x:c>
      <x:c r="M3419" s="9" t="n">
        <x:f>ROUND(H3419*(1-I3419),2)</x:f>
        <x:v>20111000</x:v>
      </x:c>
      <x:c r="N3419" s="4" t="str">
        <x:v>Sales head</x:v>
      </x:c>
      <x:c r="O3419" s="4" t="str">
        <x:v>BOOK-03418</x:v>
      </x:c>
      <x:c r="P3419" s="9" t="n">
        <x:v>5027750</x:v>
      </x:c>
      <x:c r="Q3419" s="11" t="n">
        <x:v>0</x:v>
      </x:c>
      <x:c r="R3419" s="8" t="n">
        <x:v>45535</x:v>
      </x:c>
      <x:c r="S3419" s="4" t="str">
        <x:v>Retained</x:v>
      </x:c>
      <x:c r="T3419" s="10" t="n">
        <x:v>0.145833</x:v>
      </x:c>
      <x:c r="U3419" s="4" t="str">
        <x:v>Excluded / unlabelled</x:v>
      </x:c>
    </x:row>
    <x:row r="3420" ht="34" customHeight="1">
      <x:c r="A3420" s="4" t="str">
        <x:v>RS-03419</x:v>
      </x:c>
      <x:c r="B3420" s="8" t="n">
        <x:v>45476</x:v>
      </x:c>
      <x:c r="C3420" s="4" t="str">
        <x:v>PRJ-019</x:v>
      </x:c>
      <x:c r="D3420" s="4" t="str">
        <x:v>Villa</x:v>
      </x:c>
      <x:c r="E3420" s="4" t="str">
        <x:v>Booked</x:v>
      </x:c>
      <x:c r="F3420" s="4" t="str">
        <x:v>CUS-03419</x:v>
      </x:c>
      <x:c r="G3420" s="4" t="str">
        <x:v>UNIT-03419</x:v>
      </x:c>
      <x:c r="H3420" s="9" t="n">
        <x:v>24400000</x:v>
      </x:c>
      <x:c r="I3420" s="10" t="n">
        <x:v>0.11</x:v>
      </x:c>
      <x:c r="J3420" s="11" t="n">
        <x:v>12</x:v>
      </x:c>
      <x:c r="K3420" s="11" t="n">
        <x:v>8</x:v>
      </x:c>
      <x:c r="L3420" s="11" t="n">
        <x:v>1</x:v>
      </x:c>
      <x:c r="M3420" s="9" t="n">
        <x:f>ROUND(H3420*(1-I3420),2)</x:f>
        <x:v>21716000</x:v>
      </x:c>
      <x:c r="N3420" s="4" t="str">
        <x:v>Sales head</x:v>
      </x:c>
      <x:c r="O3420" s="4" t="str">
        <x:v>BOOK-03419</x:v>
      </x:c>
      <x:c r="P3420" s="9" t="n">
        <x:v>2171600</x:v>
      </x:c>
      <x:c r="Q3420" s="11" t="n">
        <x:v>0</x:v>
      </x:c>
      <x:c r="R3420" s="8" t="n">
        <x:v>45536</x:v>
      </x:c>
      <x:c r="S3420" s="4" t="str">
        <x:v>Retained</x:v>
      </x:c>
      <x:c r="T3420" s="10" t="n">
        <x:v>0.351536</x:v>
      </x:c>
      <x:c r="U3420" s="4" t="str">
        <x:v>Excluded / unlabelled</x:v>
      </x:c>
    </x:row>
    <x:row r="3421" ht="34" customHeight="1">
      <x:c r="A3421" s="4" t="str">
        <x:v>RS-03420</x:v>
      </x:c>
      <x:c r="B3421" s="8" t="n">
        <x:v>45477</x:v>
      </x:c>
      <x:c r="C3421" s="4" t="str">
        <x:v>PRJ-020</x:v>
      </x:c>
      <x:c r="D3421" s="4" t="str">
        <x:v>Villa</x:v>
      </x:c>
      <x:c r="E3421" s="4" t="str">
        <x:v>Cancelled</x:v>
      </x:c>
      <x:c r="F3421" s="4" t="str">
        <x:v>CUS-03420</x:v>
      </x:c>
      <x:c r="G3421" s="4" t="str">
        <x:v>UNIT-03420</x:v>
      </x:c>
      <x:c r="H3421" s="9" t="n">
        <x:v>6700000</x:v>
      </x:c>
      <x:c r="I3421" s="10" t="n">
        <x:v>0.11</x:v>
      </x:c>
      <x:c r="J3421" s="11" t="n">
        <x:v>11</x:v>
      </x:c>
      <x:c r="K3421" s="11" t="n">
        <x:v>7</x:v>
      </x:c>
      <x:c r="L3421" s="11" t="n">
        <x:v>0</x:v>
      </x:c>
      <x:c r="M3421" s="9" t="n">
        <x:f>ROUND(H3421*(1-I3421),2)</x:f>
        <x:v>5963000</x:v>
      </x:c>
      <x:c r="N3421" s="4" t="str">
        <x:v>Sales head</x:v>
      </x:c>
      <x:c r="O3421" s="4"/>
      <x:c r="P3421" s="9" t="n">
        <x:v>0</x:v>
      </x:c>
      <x:c r="Q3421" s="11" t="n">
        <x:v>1</x:v>
      </x:c>
      <x:c r="R3421" s="8" t="n">
        <x:v>45537</x:v>
      </x:c>
      <x:c r="S3421" s="4" t="str">
        <x:v>Lost / cancelled</x:v>
      </x:c>
      <x:c r="T3421" s="10" t="n">
        <x:v>0.351536</x:v>
      </x:c>
      <x:c r="U3421" s="4" t="str">
        <x:v>Excluded / unlabelled</x:v>
      </x:c>
    </x:row>
    <x:row r="3422" ht="34" customHeight="1">
      <x:c r="A3422" s="4" t="str">
        <x:v>RS-03421</x:v>
      </x:c>
      <x:c r="B3422" s="8" t="n">
        <x:v>45478</x:v>
      </x:c>
      <x:c r="C3422" s="4" t="str">
        <x:v>PRJ-001</x:v>
      </x:c>
      <x:c r="D3422" s="4" t="str">
        <x:v>Villa</x:v>
      </x:c>
      <x:c r="E3422" s="4" t="str">
        <x:v>Agreement signed</x:v>
      </x:c>
      <x:c r="F3422" s="4" t="str">
        <x:v>CUS-03421</x:v>
      </x:c>
      <x:c r="G3422" s="4" t="str">
        <x:v>UNIT-03421</x:v>
      </x:c>
      <x:c r="H3422" s="9" t="n">
        <x:v>3300000</x:v>
      </x:c>
      <x:c r="I3422" s="10" t="n">
        <x:v>0.1</x:v>
      </x:c>
      <x:c r="J3422" s="11" t="n">
        <x:v>1</x:v>
      </x:c>
      <x:c r="K3422" s="11" t="n">
        <x:v>7</x:v>
      </x:c>
      <x:c r="L3422" s="11" t="n">
        <x:v>1</x:v>
      </x:c>
      <x:c r="M3422" s="9" t="n">
        <x:f>ROUND(H3422*(1-I3422),2)</x:f>
        <x:v>2970000</x:v>
      </x:c>
      <x:c r="N3422" s="4" t="str">
        <x:v>Sales head</x:v>
      </x:c>
      <x:c r="O3422" s="4" t="str">
        <x:v>BOOK-03421</x:v>
      </x:c>
      <x:c r="P3422" s="9" t="n">
        <x:v>297000</x:v>
      </x:c>
      <x:c r="Q3422" s="11" t="n">
        <x:v>0</x:v>
      </x:c>
      <x:c r="R3422" s="8" t="n">
        <x:v>45538</x:v>
      </x:c>
      <x:c r="S3422" s="4" t="str">
        <x:v>Retained</x:v>
      </x:c>
      <x:c r="T3422" s="10" t="n">
        <x:v>0.145833</x:v>
      </x:c>
      <x:c r="U3422" s="4" t="str">
        <x:v>Excluded / unlabelled</x:v>
      </x:c>
    </x:row>
    <x:row r="3423" ht="34" customHeight="1">
      <x:c r="A3423" s="4" t="str">
        <x:v>RS-03422</x:v>
      </x:c>
      <x:c r="B3423" s="8" t="n">
        <x:v>45479</x:v>
      </x:c>
      <x:c r="C3423" s="4" t="str">
        <x:v>PRJ-002</x:v>
      </x:c>
      <x:c r="D3423" s="4" t="str">
        <x:v>Apartment</x:v>
      </x:c>
      <x:c r="E3423" s="4" t="str">
        <x:v>Agreement signed</x:v>
      </x:c>
      <x:c r="F3423" s="4" t="str">
        <x:v>CUS-03422</x:v>
      </x:c>
      <x:c r="G3423" s="4" t="str">
        <x:v>UNIT-03422</x:v>
      </x:c>
      <x:c r="H3423" s="9" t="n">
        <x:v>21200000</x:v>
      </x:c>
      <x:c r="I3423" s="10" t="n">
        <x:v>0.06</x:v>
      </x:c>
      <x:c r="J3423" s="11" t="n">
        <x:v>2</x:v>
      </x:c>
      <x:c r="K3423" s="11" t="n">
        <x:v>1</x:v>
      </x:c>
      <x:c r="L3423" s="11" t="n">
        <x:v>1</x:v>
      </x:c>
      <x:c r="M3423" s="9" t="n">
        <x:f>ROUND(H3423*(1-I3423),2)</x:f>
        <x:v>19928000</x:v>
      </x:c>
      <x:c r="N3423" s="4" t="str">
        <x:v>Sales manager</x:v>
      </x:c>
      <x:c r="O3423" s="4" t="str">
        <x:v>BOOK-03422</x:v>
      </x:c>
      <x:c r="P3423" s="9" t="n">
        <x:v>19928000</x:v>
      </x:c>
      <x:c r="Q3423" s="11" t="n">
        <x:v>0</x:v>
      </x:c>
      <x:c r="R3423" s="8" t="n">
        <x:v>45539</x:v>
      </x:c>
      <x:c r="S3423" s="4" t="str">
        <x:v>Retained</x:v>
      </x:c>
      <x:c r="T3423" s="10" t="n">
        <x:v>0.204152</x:v>
      </x:c>
      <x:c r="U3423" s="4" t="str">
        <x:v>Excluded / unlabelled</x:v>
      </x:c>
    </x:row>
    <x:row r="3424" ht="34" customHeight="1">
      <x:c r="A3424" s="4" t="str">
        <x:v>RS-03423</x:v>
      </x:c>
      <x:c r="B3424" s="8" t="n">
        <x:v>45480</x:v>
      </x:c>
      <x:c r="C3424" s="4" t="str">
        <x:v>PRJ-003</x:v>
      </x:c>
      <x:c r="D3424" s="4" t="str">
        <x:v>Villa</x:v>
      </x:c>
      <x:c r="E3424" s="4" t="str">
        <x:v>Agreement signed</x:v>
      </x:c>
      <x:c r="F3424" s="4" t="str">
        <x:v>CUS-03423</x:v>
      </x:c>
      <x:c r="G3424" s="4" t="str">
        <x:v>UNIT-03423</x:v>
      </x:c>
      <x:c r="H3424" s="9" t="n">
        <x:v>9600000</x:v>
      </x:c>
      <x:c r="I3424" s="10" t="n">
        <x:v>0.07</x:v>
      </x:c>
      <x:c r="J3424" s="11" t="n">
        <x:v>10</x:v>
      </x:c>
      <x:c r="K3424" s="11" t="n">
        <x:v>9</x:v>
      </x:c>
      <x:c r="L3424" s="11" t="n">
        <x:v>1</x:v>
      </x:c>
      <x:c r="M3424" s="9" t="n">
        <x:f>ROUND(H3424*(1-I3424),2)</x:f>
        <x:v>8928000</x:v>
      </x:c>
      <x:c r="N3424" s="4" t="str">
        <x:v>Sales manager</x:v>
      </x:c>
      <x:c r="O3424" s="4" t="str">
        <x:v>BOOK-03423</x:v>
      </x:c>
      <x:c r="P3424" s="9" t="n">
        <x:v>4464000</x:v>
      </x:c>
      <x:c r="Q3424" s="11" t="n">
        <x:v>0</x:v>
      </x:c>
      <x:c r="R3424" s="8" t="n">
        <x:v>45540</x:v>
      </x:c>
      <x:c r="S3424" s="4" t="str">
        <x:v>Retained</x:v>
      </x:c>
      <x:c r="T3424" s="10" t="n">
        <x:v>0.310195</x:v>
      </x:c>
      <x:c r="U3424" s="4" t="str">
        <x:v>Excluded / unlabelled</x:v>
      </x:c>
    </x:row>
    <x:row r="3425" ht="34" customHeight="1">
      <x:c r="A3425" s="4" t="str">
        <x:v>RS-03424</x:v>
      </x:c>
      <x:c r="B3425" s="8" t="n">
        <x:v>45481</x:v>
      </x:c>
      <x:c r="C3425" s="4" t="str">
        <x:v>PRJ-004</x:v>
      </x:c>
      <x:c r="D3425" s="4" t="str">
        <x:v>Retail</x:v>
      </x:c>
      <x:c r="E3425" s="4" t="str">
        <x:v>Handed over</x:v>
      </x:c>
      <x:c r="F3425" s="4" t="str">
        <x:v>CUS-03424</x:v>
      </x:c>
      <x:c r="G3425" s="4" t="str">
        <x:v>UNIT-03424</x:v>
      </x:c>
      <x:c r="H3425" s="9" t="n">
        <x:v>16700000</x:v>
      </x:c>
      <x:c r="I3425" s="10" t="n">
        <x:v>0.09</x:v>
      </x:c>
      <x:c r="J3425" s="11" t="n">
        <x:v>6</x:v>
      </x:c>
      <x:c r="K3425" s="11" t="n">
        <x:v>9</x:v>
      </x:c>
      <x:c r="L3425" s="11" t="n">
        <x:v>1</x:v>
      </x:c>
      <x:c r="M3425" s="9" t="n">
        <x:f>ROUND(H3425*(1-I3425),2)</x:f>
        <x:v>15197000</x:v>
      </x:c>
      <x:c r="N3425" s="4" t="str">
        <x:v>Sales head</x:v>
      </x:c>
      <x:c r="O3425" s="4" t="str">
        <x:v>BOOK-03424</x:v>
      </x:c>
      <x:c r="P3425" s="9" t="n">
        <x:v>15197000</x:v>
      </x:c>
      <x:c r="Q3425" s="11" t="n">
        <x:v>0</x:v>
      </x:c>
      <x:c r="R3425" s="8" t="n">
        <x:v>45541</x:v>
      </x:c>
      <x:c r="S3425" s="4" t="str">
        <x:v>Retained</x:v>
      </x:c>
      <x:c r="T3425" s="10" t="n">
        <x:v>0.291946</x:v>
      </x:c>
      <x:c r="U3425" s="4" t="str">
        <x:v>Excluded / unlabelled</x:v>
      </x:c>
    </x:row>
    <x:row r="3426" ht="34" customHeight="1">
      <x:c r="A3426" s="4" t="str">
        <x:v>RS-03425</x:v>
      </x:c>
      <x:c r="B3426" s="8" t="n">
        <x:v>45482</x:v>
      </x:c>
      <x:c r="C3426" s="4" t="str">
        <x:v>PRJ-005</x:v>
      </x:c>
      <x:c r="D3426" s="4" t="str">
        <x:v>Office</x:v>
      </x:c>
      <x:c r="E3426" s="4" t="str">
        <x:v>Cancelled</x:v>
      </x:c>
      <x:c r="F3426" s="4" t="str">
        <x:v>CUS-03425</x:v>
      </x:c>
      <x:c r="G3426" s="4" t="str">
        <x:v>UNIT-03425</x:v>
      </x:c>
      <x:c r="H3426" s="9" t="n">
        <x:v>13900000</x:v>
      </x:c>
      <x:c r="I3426" s="10" t="n">
        <x:v>0.1</x:v>
      </x:c>
      <x:c r="J3426" s="11" t="n">
        <x:v>1</x:v>
      </x:c>
      <x:c r="K3426" s="11" t="n">
        <x:v>0</x:v>
      </x:c>
      <x:c r="L3426" s="11" t="n">
        <x:v>1</x:v>
      </x:c>
      <x:c r="M3426" s="9" t="n">
        <x:f>ROUND(H3426*(1-I3426),2)</x:f>
        <x:v>12510000</x:v>
      </x:c>
      <x:c r="N3426" s="4" t="str">
        <x:v>Sales head</x:v>
      </x:c>
      <x:c r="O3426" s="4"/>
      <x:c r="P3426" s="9" t="n">
        <x:v>0</x:v>
      </x:c>
      <x:c r="Q3426" s="11" t="n">
        <x:v>1</x:v>
      </x:c>
      <x:c r="R3426" s="8" t="n">
        <x:v>45542</x:v>
      </x:c>
      <x:c r="S3426" s="4" t="str">
        <x:v>Lost / cancelled</x:v>
      </x:c>
      <x:c r="T3426" s="10" t="n">
        <x:v>0.276923</x:v>
      </x:c>
      <x:c r="U3426" s="4" t="str">
        <x:v>Excluded / unlabelled</x:v>
      </x:c>
    </x:row>
    <x:row r="3427" ht="34" customHeight="1">
      <x:c r="A3427" s="4" t="str">
        <x:v>RS-03426</x:v>
      </x:c>
      <x:c r="B3427" s="8" t="n">
        <x:v>45483</x:v>
      </x:c>
      <x:c r="C3427" s="4" t="str">
        <x:v>PRJ-006</x:v>
      </x:c>
      <x:c r="D3427" s="4" t="str">
        <x:v>Apartment</x:v>
      </x:c>
      <x:c r="E3427" s="4" t="str">
        <x:v>Reserved</x:v>
      </x:c>
      <x:c r="F3427" s="4" t="str">
        <x:v>CUS-03426</x:v>
      </x:c>
      <x:c r="G3427" s="4" t="str">
        <x:v>UNIT-03426</x:v>
      </x:c>
      <x:c r="H3427" s="9" t="n">
        <x:v>19600000</x:v>
      </x:c>
      <x:c r="I3427" s="10" t="n">
        <x:v>0.1</x:v>
      </x:c>
      <x:c r="J3427" s="11" t="n">
        <x:v>3</x:v>
      </x:c>
      <x:c r="K3427" s="11" t="n">
        <x:v>9</x:v>
      </x:c>
      <x:c r="L3427" s="11" t="n">
        <x:v>1</x:v>
      </x:c>
      <x:c r="M3427" s="9" t="n">
        <x:f>ROUND(H3427*(1-I3427),2)</x:f>
        <x:v>17640000</x:v>
      </x:c>
      <x:c r="N3427" s="4" t="str">
        <x:v>Sales head</x:v>
      </x:c>
      <x:c r="O3427" s="4"/>
      <x:c r="P3427" s="9" t="n">
        <x:v>0</x:v>
      </x:c>
      <x:c r="Q3427" s="11" t="n">
        <x:v>1</x:v>
      </x:c>
      <x:c r="R3427" s="8" t="n">
        <x:v>45543</x:v>
      </x:c>
      <x:c r="S3427" s="4" t="str">
        <x:v>Lost / cancelled</x:v>
      </x:c>
      <x:c r="T3427" s="10" t="n">
        <x:v>0.145833</x:v>
      </x:c>
      <x:c r="U3427" s="4" t="str">
        <x:v>Excluded / unlabelled</x:v>
      </x:c>
    </x:row>
    <x:row r="3428" ht="34" customHeight="1">
      <x:c r="A3428" s="4" t="str">
        <x:v>RS-03427</x:v>
      </x:c>
      <x:c r="B3428" s="8" t="n">
        <x:v>45484</x:v>
      </x:c>
      <x:c r="C3428" s="4" t="str">
        <x:v>PRJ-007</x:v>
      </x:c>
      <x:c r="D3428" s="4" t="str">
        <x:v>Apartment</x:v>
      </x:c>
      <x:c r="E3428" s="4" t="str">
        <x:v>Reserved</x:v>
      </x:c>
      <x:c r="F3428" s="4" t="str">
        <x:v>CUS-03427</x:v>
      </x:c>
      <x:c r="G3428" s="4" t="str">
        <x:v>UNIT-03427</x:v>
      </x:c>
      <x:c r="H3428" s="9" t="n">
        <x:v>24100000</x:v>
      </x:c>
      <x:c r="I3428" s="10" t="n">
        <x:v>0.02</x:v>
      </x:c>
      <x:c r="J3428" s="11" t="n">
        <x:v>11</x:v>
      </x:c>
      <x:c r="K3428" s="11" t="n">
        <x:v>0</x:v>
      </x:c>
      <x:c r="L3428" s="11" t="n">
        <x:v>1</x:v>
      </x:c>
      <x:c r="M3428" s="9" t="n">
        <x:f>ROUND(H3428*(1-I3428),2)</x:f>
        <x:v>23618000</x:v>
      </x:c>
      <x:c r="N3428" s="4" t="str">
        <x:v>Sales manager</x:v>
      </x:c>
      <x:c r="O3428" s="4"/>
      <x:c r="P3428" s="9" t="n">
        <x:v>0</x:v>
      </x:c>
      <x:c r="Q3428" s="11" t="n">
        <x:v>1</x:v>
      </x:c>
      <x:c r="R3428" s="8" t="n">
        <x:v>45544</x:v>
      </x:c>
      <x:c r="S3428" s="4" t="str">
        <x:v>Lost / cancelled</x:v>
      </x:c>
      <x:c r="T3428" s="10" t="n">
        <x:v>0.254545</x:v>
      </x:c>
      <x:c r="U3428" s="4" t="str">
        <x:v>Excluded / unlabelled</x:v>
      </x:c>
    </x:row>
    <x:row r="3429" ht="34" customHeight="1">
      <x:c r="A3429" s="4" t="str">
        <x:v>RS-03428</x:v>
      </x:c>
      <x:c r="B3429" s="8" t="n">
        <x:v>45485</x:v>
      </x:c>
      <x:c r="C3429" s="4" t="str">
        <x:v>PRJ-008</x:v>
      </x:c>
      <x:c r="D3429" s="4" t="str">
        <x:v>Apartment</x:v>
      </x:c>
      <x:c r="E3429" s="4" t="str">
        <x:v>Reserved</x:v>
      </x:c>
      <x:c r="F3429" s="4" t="str">
        <x:v>CUS-03428</x:v>
      </x:c>
      <x:c r="G3429" s="4" t="str">
        <x:v>UNIT-03428</x:v>
      </x:c>
      <x:c r="H3429" s="9" t="n">
        <x:v>5300000</x:v>
      </x:c>
      <x:c r="I3429" s="10" t="n">
        <x:v>0.09</x:v>
      </x:c>
      <x:c r="J3429" s="11" t="n">
        <x:v>4</x:v>
      </x:c>
      <x:c r="K3429" s="11" t="n">
        <x:v>2</x:v>
      </x:c>
      <x:c r="L3429" s="11" t="n">
        <x:v>1</x:v>
      </x:c>
      <x:c r="M3429" s="9" t="n">
        <x:f>ROUND(H3429*(1-I3429),2)</x:f>
        <x:v>4823000</x:v>
      </x:c>
      <x:c r="N3429" s="4" t="str">
        <x:v>Sales head</x:v>
      </x:c>
      <x:c r="O3429" s="4"/>
      <x:c r="P3429" s="9" t="n">
        <x:v>0</x:v>
      </x:c>
      <x:c r="Q3429" s="11" t="n">
        <x:v>0</x:v>
      </x:c>
      <x:c r="R3429" s="8" t="n">
        <x:v>45545</x:v>
      </x:c>
      <x:c r="S3429" s="4" t="str">
        <x:v>Retained</x:v>
      </x:c>
      <x:c r="T3429" s="10" t="n">
        <x:v>0.291946</x:v>
      </x:c>
      <x:c r="U3429" s="4" t="str">
        <x:v>Excluded / unlabelled</x:v>
      </x:c>
    </x:row>
    <x:row r="3430" ht="34" customHeight="1">
      <x:c r="A3430" s="4" t="str">
        <x:v>RS-03429</x:v>
      </x:c>
      <x:c r="B3430" s="8" t="n">
        <x:v>45486</x:v>
      </x:c>
      <x:c r="C3430" s="4" t="str">
        <x:v>PRJ-009</x:v>
      </x:c>
      <x:c r="D3430" s="4" t="str">
        <x:v>Retail</x:v>
      </x:c>
      <x:c r="E3430" s="4" t="str">
        <x:v>Booked</x:v>
      </x:c>
      <x:c r="F3430" s="4" t="str">
        <x:v>CUS-03429</x:v>
      </x:c>
      <x:c r="G3430" s="4" t="str">
        <x:v>UNIT-03429</x:v>
      </x:c>
      <x:c r="H3430" s="9" t="n">
        <x:v>18900000</x:v>
      </x:c>
      <x:c r="I3430" s="10" t="n">
        <x:v>0.06</x:v>
      </x:c>
      <x:c r="J3430" s="11" t="n">
        <x:v>0</x:v>
      </x:c>
      <x:c r="K3430" s="11" t="n">
        <x:v>3</x:v>
      </x:c>
      <x:c r="L3430" s="11" t="n">
        <x:v>0</x:v>
      </x:c>
      <x:c r="M3430" s="9" t="n">
        <x:f>ROUND(H3430*(1-I3430),2)</x:f>
        <x:v>17766000</x:v>
      </x:c>
      <x:c r="N3430" s="4" t="str">
        <x:v>Sales manager</x:v>
      </x:c>
      <x:c r="O3430" s="4" t="str">
        <x:v>BOOK-03429</x:v>
      </x:c>
      <x:c r="P3430" s="9" t="n">
        <x:v>4441500</x:v>
      </x:c>
      <x:c r="Q3430" s="11" t="n">
        <x:v>0</x:v>
      </x:c>
      <x:c r="R3430" s="8" t="n">
        <x:v>45546</x:v>
      </x:c>
      <x:c r="S3430" s="4" t="str">
        <x:v>Retained</x:v>
      </x:c>
      <x:c r="T3430" s="10" t="n">
        <x:v>0.204152</x:v>
      </x:c>
      <x:c r="U3430" s="4" t="str">
        <x:v>Excluded / unlabelled</x:v>
      </x:c>
    </x:row>
    <x:row r="3431" ht="34" customHeight="1">
      <x:c r="A3431" s="4" t="str">
        <x:v>RS-03430</x:v>
      </x:c>
      <x:c r="B3431" s="8" t="n">
        <x:v>45487</x:v>
      </x:c>
      <x:c r="C3431" s="4" t="str">
        <x:v>PRJ-010</x:v>
      </x:c>
      <x:c r="D3431" s="4" t="str">
        <x:v>Retail</x:v>
      </x:c>
      <x:c r="E3431" s="4" t="str">
        <x:v>Enquiry</x:v>
      </x:c>
      <x:c r="F3431" s="4" t="str">
        <x:v>CUS-03430</x:v>
      </x:c>
      <x:c r="G3431" s="4" t="str">
        <x:v>UNIT-03430</x:v>
      </x:c>
      <x:c r="H3431" s="9" t="n">
        <x:v>7400000</x:v>
      </x:c>
      <x:c r="I3431" s="10" t="n">
        <x:v>0.11</x:v>
      </x:c>
      <x:c r="J3431" s="11" t="n">
        <x:v>11</x:v>
      </x:c>
      <x:c r="K3431" s="11" t="n">
        <x:v>7</x:v>
      </x:c>
      <x:c r="L3431" s="11" t="n">
        <x:v>1</x:v>
      </x:c>
      <x:c r="M3431" s="9" t="n">
        <x:f>ROUND(H3431*(1-I3431),2)</x:f>
        <x:v>6586000</x:v>
      </x:c>
      <x:c r="N3431" s="4" t="str">
        <x:v>Sales head</x:v>
      </x:c>
      <x:c r="O3431" s="4"/>
      <x:c r="P3431" s="9" t="n">
        <x:v>0</x:v>
      </x:c>
      <x:c r="Q3431" s="11" t="n">
        <x:v>0</x:v>
      </x:c>
      <x:c r="R3431" s="8" t="n">
        <x:v>45547</x:v>
      </x:c>
      <x:c r="S3431" s="4" t="str">
        <x:v>Retained</x:v>
      </x:c>
      <x:c r="T3431" s="10" t="n">
        <x:v>0.351536</x:v>
      </x:c>
      <x:c r="U3431" s="4" t="str">
        <x:v>Excluded / unlabelled</x:v>
      </x:c>
    </x:row>
    <x:row r="3432" ht="34" customHeight="1">
      <x:c r="A3432" s="4" t="str">
        <x:v>RS-03431</x:v>
      </x:c>
      <x:c r="B3432" s="8" t="n">
        <x:v>45488</x:v>
      </x:c>
      <x:c r="C3432" s="4" t="str">
        <x:v>PRJ-011</x:v>
      </x:c>
      <x:c r="D3432" s="4" t="str">
        <x:v>Villa</x:v>
      </x:c>
      <x:c r="E3432" s="4" t="str">
        <x:v>Agreement signed</x:v>
      </x:c>
      <x:c r="F3432" s="4" t="str">
        <x:v>CUS-03431</x:v>
      </x:c>
      <x:c r="G3432" s="4" t="str">
        <x:v>UNIT-03431</x:v>
      </x:c>
      <x:c r="H3432" s="9" t="n">
        <x:v>11300000</x:v>
      </x:c>
      <x:c r="I3432" s="10" t="n">
        <x:v>0.01</x:v>
      </x:c>
      <x:c r="J3432" s="11" t="n">
        <x:v>8</x:v>
      </x:c>
      <x:c r="K3432" s="11" t="n">
        <x:v>5</x:v>
      </x:c>
      <x:c r="L3432" s="11" t="n">
        <x:v>1</x:v>
      </x:c>
      <x:c r="M3432" s="9" t="n">
        <x:f>ROUND(H3432*(1-I3432),2)</x:f>
        <x:v>11187000</x:v>
      </x:c>
      <x:c r="N3432" s="4" t="str">
        <x:v>Sales manager</x:v>
      </x:c>
      <x:c r="O3432" s="4" t="str">
        <x:v>BOOK-03431</x:v>
      </x:c>
      <x:c r="P3432" s="9" t="n">
        <x:v>11187000</x:v>
      </x:c>
      <x:c r="Q3432" s="11" t="n">
        <x:v>0</x:v>
      </x:c>
      <x:c r="R3432" s="8" t="n">
        <x:v>45548</x:v>
      </x:c>
      <x:c r="S3432" s="4" t="str">
        <x:v>Retained</x:v>
      </x:c>
      <x:c r="T3432" s="10" t="n">
        <x:v>0.254545</x:v>
      </x:c>
      <x:c r="U3432" s="4" t="str">
        <x:v>Excluded / unlabelled</x:v>
      </x:c>
    </x:row>
    <x:row r="3433" ht="34" customHeight="1">
      <x:c r="A3433" s="4" t="str">
        <x:v>RS-03432</x:v>
      </x:c>
      <x:c r="B3433" s="8" t="n">
        <x:v>45489</x:v>
      </x:c>
      <x:c r="C3433" s="4" t="str">
        <x:v>PRJ-012</x:v>
      </x:c>
      <x:c r="D3433" s="4" t="str">
        <x:v>Office</x:v>
      </x:c>
      <x:c r="E3433" s="4" t="str">
        <x:v>Cancelled</x:v>
      </x:c>
      <x:c r="F3433" s="4" t="str">
        <x:v>CUS-03432</x:v>
      </x:c>
      <x:c r="G3433" s="4" t="str">
        <x:v>UNIT-03432</x:v>
      </x:c>
      <x:c r="H3433" s="9" t="n">
        <x:v>9500000</x:v>
      </x:c>
      <x:c r="I3433" s="10" t="n">
        <x:v>0.09</x:v>
      </x:c>
      <x:c r="J3433" s="11" t="n">
        <x:v>8</x:v>
      </x:c>
      <x:c r="K3433" s="11" t="n">
        <x:v>5</x:v>
      </x:c>
      <x:c r="L3433" s="11" t="n">
        <x:v>1</x:v>
      </x:c>
      <x:c r="M3433" s="9" t="n">
        <x:f>ROUND(H3433*(1-I3433),2)</x:f>
        <x:v>8645000</x:v>
      </x:c>
      <x:c r="N3433" s="4" t="str">
        <x:v>Sales head</x:v>
      </x:c>
      <x:c r="O3433" s="4"/>
      <x:c r="P3433" s="9" t="n">
        <x:v>0</x:v>
      </x:c>
      <x:c r="Q3433" s="11" t="n">
        <x:v>1</x:v>
      </x:c>
      <x:c r="R3433" s="8" t="n">
        <x:v>45549</x:v>
      </x:c>
      <x:c r="S3433" s="4" t="str">
        <x:v>Lost / cancelled</x:v>
      </x:c>
      <x:c r="T3433" s="10" t="n">
        <x:v>0.310195</x:v>
      </x:c>
      <x:c r="U3433" s="4" t="str">
        <x:v>Excluded / unlabelled</x:v>
      </x:c>
    </x:row>
    <x:row r="3434" ht="34" customHeight="1">
      <x:c r="A3434" s="4" t="str">
        <x:v>RS-03433</x:v>
      </x:c>
      <x:c r="B3434" s="8" t="n">
        <x:v>45490</x:v>
      </x:c>
      <x:c r="C3434" s="4" t="str">
        <x:v>PRJ-013</x:v>
      </x:c>
      <x:c r="D3434" s="4" t="str">
        <x:v>Retail</x:v>
      </x:c>
      <x:c r="E3434" s="4" t="str">
        <x:v>Enquiry</x:v>
      </x:c>
      <x:c r="F3434" s="4" t="str">
        <x:v>CUS-03433</x:v>
      </x:c>
      <x:c r="G3434" s="4" t="str">
        <x:v>UNIT-03433</x:v>
      </x:c>
      <x:c r="H3434" s="9" t="n">
        <x:v>12400000</x:v>
      </x:c>
      <x:c r="I3434" s="10" t="n">
        <x:v>0.05</x:v>
      </x:c>
      <x:c r="J3434" s="11" t="n">
        <x:v>9</x:v>
      </x:c>
      <x:c r="K3434" s="11" t="n">
        <x:v>9</x:v>
      </x:c>
      <x:c r="L3434" s="11" t="n">
        <x:v>0</x:v>
      </x:c>
      <x:c r="M3434" s="9" t="n">
        <x:f>ROUND(H3434*(1-I3434),2)</x:f>
        <x:v>11780000</x:v>
      </x:c>
      <x:c r="N3434" s="4" t="str">
        <x:v>Sales manager</x:v>
      </x:c>
      <x:c r="O3434" s="4"/>
      <x:c r="P3434" s="9" t="n">
        <x:v>0</x:v>
      </x:c>
      <x:c r="Q3434" s="11" t="n">
        <x:v>1</x:v>
      </x:c>
      <x:c r="R3434" s="8" t="n">
        <x:v>45550</x:v>
      </x:c>
      <x:c r="S3434" s="4" t="str">
        <x:v>Lost / cancelled</x:v>
      </x:c>
      <x:c r="T3434" s="10" t="n">
        <x:v>0.310195</x:v>
      </x:c>
      <x:c r="U3434" s="4" t="str">
        <x:v>Excluded / unlabelled</x:v>
      </x:c>
    </x:row>
    <x:row r="3435" ht="34" customHeight="1">
      <x:c r="A3435" s="4" t="str">
        <x:v>RS-03434</x:v>
      </x:c>
      <x:c r="B3435" s="8" t="n">
        <x:v>45491</x:v>
      </x:c>
      <x:c r="C3435" s="4" t="str">
        <x:v>PRJ-014</x:v>
      </x:c>
      <x:c r="D3435" s="4" t="str">
        <x:v>Villa</x:v>
      </x:c>
      <x:c r="E3435" s="4" t="str">
        <x:v>Enquiry</x:v>
      </x:c>
      <x:c r="F3435" s="4" t="str">
        <x:v>CUS-03434</x:v>
      </x:c>
      <x:c r="G3435" s="4" t="str">
        <x:v>UNIT-03434</x:v>
      </x:c>
      <x:c r="H3435" s="9" t="n">
        <x:v>17900000</x:v>
      </x:c>
      <x:c r="I3435" s="10" t="n">
        <x:v>0.09</x:v>
      </x:c>
      <x:c r="J3435" s="11" t="n">
        <x:v>9</x:v>
      </x:c>
      <x:c r="K3435" s="11" t="n">
        <x:v>0</x:v>
      </x:c>
      <x:c r="L3435" s="11" t="n">
        <x:v>0</x:v>
      </x:c>
      <x:c r="M3435" s="9" t="n">
        <x:f>ROUND(H3435*(1-I3435),2)</x:f>
        <x:v>16289000</x:v>
      </x:c>
      <x:c r="N3435" s="4" t="str">
        <x:v>Sales head</x:v>
      </x:c>
      <x:c r="O3435" s="4"/>
      <x:c r="P3435" s="9" t="n">
        <x:v>0</x:v>
      </x:c>
      <x:c r="Q3435" s="11" t="n">
        <x:v>1</x:v>
      </x:c>
      <x:c r="R3435" s="8" t="n">
        <x:v>45551</x:v>
      </x:c>
      <x:c r="S3435" s="4" t="str">
        <x:v>Lost / cancelled</x:v>
      </x:c>
      <x:c r="T3435" s="10" t="n">
        <x:v>0.310195</x:v>
      </x:c>
      <x:c r="U3435" s="4" t="str">
        <x:v>Excluded / unlabelled</x:v>
      </x:c>
    </x:row>
    <x:row r="3436" ht="34" customHeight="1">
      <x:c r="A3436" s="4" t="str">
        <x:v>RS-03435</x:v>
      </x:c>
      <x:c r="B3436" s="8" t="n">
        <x:v>45492</x:v>
      </x:c>
      <x:c r="C3436" s="4" t="str">
        <x:v>PRJ-015</x:v>
      </x:c>
      <x:c r="D3436" s="4" t="str">
        <x:v>Retail</x:v>
      </x:c>
      <x:c r="E3436" s="4" t="str">
        <x:v>Agreement signed</x:v>
      </x:c>
      <x:c r="F3436" s="4" t="str">
        <x:v>CUS-03435</x:v>
      </x:c>
      <x:c r="G3436" s="4" t="str">
        <x:v>UNIT-03435</x:v>
      </x:c>
      <x:c r="H3436" s="9" t="n">
        <x:v>18900000</x:v>
      </x:c>
      <x:c r="I3436" s="10" t="n">
        <x:v>0.07</x:v>
      </x:c>
      <x:c r="J3436" s="11" t="n">
        <x:v>11</x:v>
      </x:c>
      <x:c r="K3436" s="11" t="n">
        <x:v>3</x:v>
      </x:c>
      <x:c r="L3436" s="11" t="n">
        <x:v>1</x:v>
      </x:c>
      <x:c r="M3436" s="9" t="n">
        <x:f>ROUND(H3436*(1-I3436),2)</x:f>
        <x:v>17577000</x:v>
      </x:c>
      <x:c r="N3436" s="4" t="str">
        <x:v>Sales manager</x:v>
      </x:c>
      <x:c r="O3436" s="4" t="str">
        <x:v>BOOK-03435</x:v>
      </x:c>
      <x:c r="P3436" s="9" t="n">
        <x:v>17577000</x:v>
      </x:c>
      <x:c r="Q3436" s="11" t="n">
        <x:v>0</x:v>
      </x:c>
      <x:c r="R3436" s="8" t="n">
        <x:v>45552</x:v>
      </x:c>
      <x:c r="S3436" s="4" t="str">
        <x:v>Retained</x:v>
      </x:c>
      <x:c r="T3436" s="10" t="n">
        <x:v>0.351536</x:v>
      </x:c>
      <x:c r="U3436" s="4" t="str">
        <x:v>Excluded / unlabelled</x:v>
      </x:c>
    </x:row>
    <x:row r="3437" ht="34" customHeight="1">
      <x:c r="A3437" s="4" t="str">
        <x:v>RS-03436</x:v>
      </x:c>
      <x:c r="B3437" s="8" t="n">
        <x:v>45493</x:v>
      </x:c>
      <x:c r="C3437" s="4" t="str">
        <x:v>PRJ-016</x:v>
      </x:c>
      <x:c r="D3437" s="4" t="str">
        <x:v>Apartment</x:v>
      </x:c>
      <x:c r="E3437" s="4" t="str">
        <x:v>Reserved</x:v>
      </x:c>
      <x:c r="F3437" s="4" t="str">
        <x:v>CUS-03436</x:v>
      </x:c>
      <x:c r="G3437" s="4" t="str">
        <x:v>UNIT-03436</x:v>
      </x:c>
      <x:c r="H3437" s="9" t="n">
        <x:v>18800000</x:v>
      </x:c>
      <x:c r="I3437" s="10" t="n">
        <x:v>0</x:v>
      </x:c>
      <x:c r="J3437" s="11" t="n">
        <x:v>1</x:v>
      </x:c>
      <x:c r="K3437" s="11" t="n">
        <x:v>7</x:v>
      </x:c>
      <x:c r="L3437" s="11" t="n">
        <x:v>0</x:v>
      </x:c>
      <x:c r="M3437" s="9" t="n">
        <x:f>ROUND(H3437*(1-I3437),2)</x:f>
        <x:v>18800000</x:v>
      </x:c>
      <x:c r="N3437" s="4" t="str">
        <x:v>Sales manager</x:v>
      </x:c>
      <x:c r="O3437" s="4"/>
      <x:c r="P3437" s="9" t="n">
        <x:v>0</x:v>
      </x:c>
      <x:c r="Q3437" s="11" t="n">
        <x:v>0</x:v>
      </x:c>
      <x:c r="R3437" s="8" t="n">
        <x:v>45553</x:v>
      </x:c>
      <x:c r="S3437" s="4" t="str">
        <x:v>Retained</x:v>
      </x:c>
      <x:c r="T3437" s="10" t="n">
        <x:v>0.072165</x:v>
      </x:c>
      <x:c r="U3437" s="4" t="str">
        <x:v>Excluded / unlabelled</x:v>
      </x:c>
    </x:row>
    <x:row r="3438" ht="34" customHeight="1">
      <x:c r="A3438" s="4" t="str">
        <x:v>RS-03437</x:v>
      </x:c>
      <x:c r="B3438" s="8" t="n">
        <x:v>45494</x:v>
      </x:c>
      <x:c r="C3438" s="4" t="str">
        <x:v>PRJ-017</x:v>
      </x:c>
      <x:c r="D3438" s="4" t="str">
        <x:v>Apartment</x:v>
      </x:c>
      <x:c r="E3438" s="4" t="str">
        <x:v>Booked</x:v>
      </x:c>
      <x:c r="F3438" s="4" t="str">
        <x:v>CUS-03437</x:v>
      </x:c>
      <x:c r="G3438" s="4" t="str">
        <x:v>UNIT-03437</x:v>
      </x:c>
      <x:c r="H3438" s="9" t="n">
        <x:v>21400000</x:v>
      </x:c>
      <x:c r="I3438" s="10" t="n">
        <x:v>0</x:v>
      </x:c>
      <x:c r="J3438" s="11" t="n">
        <x:v>0</x:v>
      </x:c>
      <x:c r="K3438" s="11" t="n">
        <x:v>7</x:v>
      </x:c>
      <x:c r="L3438" s="11" t="n">
        <x:v>1</x:v>
      </x:c>
      <x:c r="M3438" s="9" t="n">
        <x:f>ROUND(H3438*(1-I3438),2)</x:f>
        <x:v>21400000</x:v>
      </x:c>
      <x:c r="N3438" s="4" t="str">
        <x:v>Sales manager</x:v>
      </x:c>
      <x:c r="O3438" s="4" t="str">
        <x:v>BOOK-03437</x:v>
      </x:c>
      <x:c r="P3438" s="9" t="n">
        <x:v>5350000</x:v>
      </x:c>
      <x:c r="Q3438" s="11" t="n">
        <x:v>0</x:v>
      </x:c>
      <x:c r="R3438" s="8" t="n">
        <x:v>45554</x:v>
      </x:c>
      <x:c r="S3438" s="4" t="str">
        <x:v>Retained</x:v>
      </x:c>
      <x:c r="T3438" s="10" t="n">
        <x:v>0.072165</x:v>
      </x:c>
      <x:c r="U3438" s="4" t="str">
        <x:v>Excluded / unlabelled</x:v>
      </x:c>
    </x:row>
    <x:row r="3439" ht="34" customHeight="1">
      <x:c r="A3439" s="4" t="str">
        <x:v>RS-03438</x:v>
      </x:c>
      <x:c r="B3439" s="8" t="n">
        <x:v>45495</x:v>
      </x:c>
      <x:c r="C3439" s="4" t="str">
        <x:v>PRJ-018</x:v>
      </x:c>
      <x:c r="D3439" s="4" t="str">
        <x:v>Office</x:v>
      </x:c>
      <x:c r="E3439" s="4" t="str">
        <x:v>Handed over</x:v>
      </x:c>
      <x:c r="F3439" s="4" t="str">
        <x:v>CUS-03438</x:v>
      </x:c>
      <x:c r="G3439" s="4" t="str">
        <x:v>UNIT-03438</x:v>
      </x:c>
      <x:c r="H3439" s="9" t="n">
        <x:v>18700000</x:v>
      </x:c>
      <x:c r="I3439" s="10" t="n">
        <x:v>0.06</x:v>
      </x:c>
      <x:c r="J3439" s="11" t="n">
        <x:v>12</x:v>
      </x:c>
      <x:c r="K3439" s="11" t="n">
        <x:v>7</x:v>
      </x:c>
      <x:c r="L3439" s="11" t="n">
        <x:v>0</x:v>
      </x:c>
      <x:c r="M3439" s="9" t="n">
        <x:f>ROUND(H3439*(1-I3439),2)</x:f>
        <x:v>17578000</x:v>
      </x:c>
      <x:c r="N3439" s="4" t="str">
        <x:v>Sales manager</x:v>
      </x:c>
      <x:c r="O3439" s="4" t="str">
        <x:v>BOOK-03438</x:v>
      </x:c>
      <x:c r="P3439" s="9" t="n">
        <x:v>1757800</x:v>
      </x:c>
      <x:c r="Q3439" s="11" t="n">
        <x:v>0</x:v>
      </x:c>
      <x:c r="R3439" s="8" t="n">
        <x:v>45555</x:v>
      </x:c>
      <x:c r="S3439" s="4" t="str">
        <x:v>Retained</x:v>
      </x:c>
      <x:c r="T3439" s="10" t="n">
        <x:v>0.351536</x:v>
      </x:c>
      <x:c r="U3439" s="4" t="str">
        <x:v>Excluded / unlabelled</x:v>
      </x:c>
    </x:row>
    <x:row r="3440" ht="34" customHeight="1">
      <x:c r="A3440" s="4" t="str">
        <x:v>RS-03439</x:v>
      </x:c>
      <x:c r="B3440" s="8" t="n">
        <x:v>45496</x:v>
      </x:c>
      <x:c r="C3440" s="4" t="str">
        <x:v>PRJ-019</x:v>
      </x:c>
      <x:c r="D3440" s="4" t="str">
        <x:v>Office</x:v>
      </x:c>
      <x:c r="E3440" s="4" t="str">
        <x:v>Reserved</x:v>
      </x:c>
      <x:c r="F3440" s="4" t="str">
        <x:v>CUS-03439</x:v>
      </x:c>
      <x:c r="G3440" s="4" t="str">
        <x:v>UNIT-03439</x:v>
      </x:c>
      <x:c r="H3440" s="9" t="n">
        <x:v>20500000</x:v>
      </x:c>
      <x:c r="I3440" s="10" t="n">
        <x:v>0.02</x:v>
      </x:c>
      <x:c r="J3440" s="11" t="n">
        <x:v>3</x:v>
      </x:c>
      <x:c r="K3440" s="11" t="n">
        <x:v>4</x:v>
      </x:c>
      <x:c r="L3440" s="11" t="n">
        <x:v>0</x:v>
      </x:c>
      <x:c r="M3440" s="9" t="n">
        <x:f>ROUND(H3440*(1-I3440),2)</x:f>
        <x:v>20090000</x:v>
      </x:c>
      <x:c r="N3440" s="4" t="str">
        <x:v>Sales manager</x:v>
      </x:c>
      <x:c r="O3440" s="4"/>
      <x:c r="P3440" s="9" t="n">
        <x:v>0</x:v>
      </x:c>
      <x:c r="Q3440" s="11" t="n">
        <x:v>0</x:v>
      </x:c>
      <x:c r="R3440" s="8" t="n">
        <x:v>45556</x:v>
      </x:c>
      <x:c r="S3440" s="4" t="str">
        <x:v>Retained</x:v>
      </x:c>
      <x:c r="T3440" s="10" t="n">
        <x:v>0.171717</x:v>
      </x:c>
      <x:c r="U3440" s="4" t="str">
        <x:v>Excluded / unlabelled</x:v>
      </x:c>
    </x:row>
    <x:row r="3441" ht="34" customHeight="1">
      <x:c r="A3441" s="4" t="str">
        <x:v>RS-03440</x:v>
      </x:c>
      <x:c r="B3441" s="8" t="n">
        <x:v>45497</x:v>
      </x:c>
      <x:c r="C3441" s="4" t="str">
        <x:v>PRJ-020</x:v>
      </x:c>
      <x:c r="D3441" s="4" t="str">
        <x:v>Office</x:v>
      </x:c>
      <x:c r="E3441" s="4" t="str">
        <x:v>Handed over</x:v>
      </x:c>
      <x:c r="F3441" s="4" t="str">
        <x:v>CUS-03440</x:v>
      </x:c>
      <x:c r="G3441" s="4" t="str">
        <x:v>UNIT-03440</x:v>
      </x:c>
      <x:c r="H3441" s="9" t="n">
        <x:v>11200000</x:v>
      </x:c>
      <x:c r="I3441" s="10" t="n">
        <x:v>0.1</x:v>
      </x:c>
      <x:c r="J3441" s="11" t="n">
        <x:v>12</x:v>
      </x:c>
      <x:c r="K3441" s="11" t="n">
        <x:v>3</x:v>
      </x:c>
      <x:c r="L3441" s="11" t="n">
        <x:v>0</x:v>
      </x:c>
      <x:c r="M3441" s="9" t="n">
        <x:f>ROUND(H3441*(1-I3441),2)</x:f>
        <x:v>10080000</x:v>
      </x:c>
      <x:c r="N3441" s="4" t="str">
        <x:v>Sales head</x:v>
      </x:c>
      <x:c r="O3441" s="4" t="str">
        <x:v>BOOK-03440</x:v>
      </x:c>
      <x:c r="P3441" s="9" t="n">
        <x:v>5040000</x:v>
      </x:c>
      <x:c r="Q3441" s="11" t="n">
        <x:v>0</x:v>
      </x:c>
      <x:c r="R3441" s="8" t="n">
        <x:v>45557</x:v>
      </x:c>
      <x:c r="S3441" s="4" t="str">
        <x:v>Retained</x:v>
      </x:c>
      <x:c r="T3441" s="10" t="n">
        <x:v>0.351536</x:v>
      </x:c>
      <x:c r="U3441" s="4" t="str">
        <x:v>Excluded / unlabelled</x:v>
      </x:c>
    </x:row>
    <x:row r="3442" ht="34" customHeight="1">
      <x:c r="A3442" s="4" t="str">
        <x:v>RS-03441</x:v>
      </x:c>
      <x:c r="B3442" s="8" t="n">
        <x:v>45498</x:v>
      </x:c>
      <x:c r="C3442" s="4" t="str">
        <x:v>PRJ-001</x:v>
      </x:c>
      <x:c r="D3442" s="4" t="str">
        <x:v>Villa</x:v>
      </x:c>
      <x:c r="E3442" s="4" t="str">
        <x:v>Handed over</x:v>
      </x:c>
      <x:c r="F3442" s="4" t="str">
        <x:v>CUS-03441</x:v>
      </x:c>
      <x:c r="G3442" s="4" t="str">
        <x:v>UNIT-03441</x:v>
      </x:c>
      <x:c r="H3442" s="9" t="n">
        <x:v>6200000</x:v>
      </x:c>
      <x:c r="I3442" s="10" t="n">
        <x:v>0.03</x:v>
      </x:c>
      <x:c r="J3442" s="11" t="n">
        <x:v>11</x:v>
      </x:c>
      <x:c r="K3442" s="11" t="n">
        <x:v>3</x:v>
      </x:c>
      <x:c r="L3442" s="11" t="n">
        <x:v>1</x:v>
      </x:c>
      <x:c r="M3442" s="9" t="n">
        <x:f>ROUND(H3442*(1-I3442),2)</x:f>
        <x:v>6014000</x:v>
      </x:c>
      <x:c r="N3442" s="4" t="str">
        <x:v>Sales manager</x:v>
      </x:c>
      <x:c r="O3442" s="4" t="str">
        <x:v>BOOK-03441</x:v>
      </x:c>
      <x:c r="P3442" s="9" t="n">
        <x:v>3007000</x:v>
      </x:c>
      <x:c r="Q3442" s="11" t="n">
        <x:v>0</x:v>
      </x:c>
      <x:c r="R3442" s="8" t="n">
        <x:v>45558</x:v>
      </x:c>
      <x:c r="S3442" s="4" t="str">
        <x:v>Retained</x:v>
      </x:c>
      <x:c r="T3442" s="10" t="n">
        <x:v>0.351536</x:v>
      </x:c>
      <x:c r="U3442" s="4" t="str">
        <x:v>Excluded / unlabelled</x:v>
      </x:c>
    </x:row>
    <x:row r="3443" ht="34" customHeight="1">
      <x:c r="A3443" s="4" t="str">
        <x:v>RS-03442</x:v>
      </x:c>
      <x:c r="B3443" s="8" t="n">
        <x:v>45499</x:v>
      </x:c>
      <x:c r="C3443" s="4" t="str">
        <x:v>PRJ-002</x:v>
      </x:c>
      <x:c r="D3443" s="4" t="str">
        <x:v>Apartment</x:v>
      </x:c>
      <x:c r="E3443" s="4" t="str">
        <x:v>Booked</x:v>
      </x:c>
      <x:c r="F3443" s="4" t="str">
        <x:v>CUS-03442</x:v>
      </x:c>
      <x:c r="G3443" s="4" t="str">
        <x:v>UNIT-03442</x:v>
      </x:c>
      <x:c r="H3443" s="9" t="n">
        <x:v>5800000</x:v>
      </x:c>
      <x:c r="I3443" s="10" t="n">
        <x:v>0.05</x:v>
      </x:c>
      <x:c r="J3443" s="11" t="n">
        <x:v>12</x:v>
      </x:c>
      <x:c r="K3443" s="11" t="n">
        <x:v>5</x:v>
      </x:c>
      <x:c r="L3443" s="11" t="n">
        <x:v>1</x:v>
      </x:c>
      <x:c r="M3443" s="9" t="n">
        <x:f>ROUND(H3443*(1-I3443),2)</x:f>
        <x:v>5510000</x:v>
      </x:c>
      <x:c r="N3443" s="4" t="str">
        <x:v>Sales manager</x:v>
      </x:c>
      <x:c r="O3443" s="4" t="str">
        <x:v>BOOK-03442</x:v>
      </x:c>
      <x:c r="P3443" s="9" t="n">
        <x:v>5510000</x:v>
      </x:c>
      <x:c r="Q3443" s="11" t="n">
        <x:v>0</x:v>
      </x:c>
      <x:c r="R3443" s="8" t="n">
        <x:v>45559</x:v>
      </x:c>
      <x:c r="S3443" s="4" t="str">
        <x:v>Retained</x:v>
      </x:c>
      <x:c r="T3443" s="10" t="n">
        <x:v>0.351536</x:v>
      </x:c>
      <x:c r="U3443" s="4" t="str">
        <x:v>Excluded / unlabelled</x:v>
      </x:c>
    </x:row>
    <x:row r="3444" ht="34" customHeight="1">
      <x:c r="A3444" s="4" t="str">
        <x:v>RS-03443</x:v>
      </x:c>
      <x:c r="B3444" s="8" t="n">
        <x:v>45500</x:v>
      </x:c>
      <x:c r="C3444" s="4" t="str">
        <x:v>PRJ-003</x:v>
      </x:c>
      <x:c r="D3444" s="4" t="str">
        <x:v>Office</x:v>
      </x:c>
      <x:c r="E3444" s="4" t="str">
        <x:v>Handed over</x:v>
      </x:c>
      <x:c r="F3444" s="4" t="str">
        <x:v>CUS-03443</x:v>
      </x:c>
      <x:c r="G3444" s="4" t="str">
        <x:v>UNIT-03443</x:v>
      </x:c>
      <x:c r="H3444" s="9" t="n">
        <x:v>23700000</x:v>
      </x:c>
      <x:c r="I3444" s="10" t="n">
        <x:v>0.04</x:v>
      </x:c>
      <x:c r="J3444" s="11" t="n">
        <x:v>12</x:v>
      </x:c>
      <x:c r="K3444" s="11" t="n">
        <x:v>5</x:v>
      </x:c>
      <x:c r="L3444" s="11" t="n">
        <x:v>1</x:v>
      </x:c>
      <x:c r="M3444" s="9" t="n">
        <x:f>ROUND(H3444*(1-I3444),2)</x:f>
        <x:v>22752000</x:v>
      </x:c>
      <x:c r="N3444" s="4" t="str">
        <x:v>Sales manager</x:v>
      </x:c>
      <x:c r="O3444" s="4" t="str">
        <x:v>BOOK-03443</x:v>
      </x:c>
      <x:c r="P3444" s="9" t="n">
        <x:v>11376000</x:v>
      </x:c>
      <x:c r="Q3444" s="11" t="n">
        <x:v>0</x:v>
      </x:c>
      <x:c r="R3444" s="8" t="n">
        <x:v>45560</x:v>
      </x:c>
      <x:c r="S3444" s="4" t="str">
        <x:v>Retained</x:v>
      </x:c>
      <x:c r="T3444" s="10" t="n">
        <x:v>0.351536</x:v>
      </x:c>
      <x:c r="U3444" s="4" t="str">
        <x:v>Excluded / unlabelled</x:v>
      </x:c>
    </x:row>
    <x:row r="3445" ht="34" customHeight="1">
      <x:c r="A3445" s="4" t="str">
        <x:v>RS-03444</x:v>
      </x:c>
      <x:c r="B3445" s="8" t="n">
        <x:v>45501</x:v>
      </x:c>
      <x:c r="C3445" s="4" t="str">
        <x:v>PRJ-004</x:v>
      </x:c>
      <x:c r="D3445" s="4" t="str">
        <x:v>Retail</x:v>
      </x:c>
      <x:c r="E3445" s="4" t="str">
        <x:v>Reserved</x:v>
      </x:c>
      <x:c r="F3445" s="4" t="str">
        <x:v>CUS-03444</x:v>
      </x:c>
      <x:c r="G3445" s="4" t="str">
        <x:v>UNIT-03444</x:v>
      </x:c>
      <x:c r="H3445" s="9" t="n">
        <x:v>13300000</x:v>
      </x:c>
      <x:c r="I3445" s="10" t="n">
        <x:v>0.07</x:v>
      </x:c>
      <x:c r="J3445" s="11" t="n">
        <x:v>1</x:v>
      </x:c>
      <x:c r="K3445" s="11" t="n">
        <x:v>9</x:v>
      </x:c>
      <x:c r="L3445" s="11" t="n">
        <x:v>1</x:v>
      </x:c>
      <x:c r="M3445" s="9" t="n">
        <x:f>ROUND(H3445*(1-I3445),2)</x:f>
        <x:v>12369000</x:v>
      </x:c>
      <x:c r="N3445" s="4" t="str">
        <x:v>Sales manager</x:v>
      </x:c>
      <x:c r="O3445" s="4"/>
      <x:c r="P3445" s="9" t="n">
        <x:v>0</x:v>
      </x:c>
      <x:c r="Q3445" s="11" t="n">
        <x:v>0</x:v>
      </x:c>
      <x:c r="R3445" s="8" t="n">
        <x:v>45561</x:v>
      </x:c>
      <x:c r="S3445" s="4" t="str">
        <x:v>Retained</x:v>
      </x:c>
      <x:c r="T3445" s="10" t="n">
        <x:v>0.204152</x:v>
      </x:c>
      <x:c r="U3445" s="4" t="str">
        <x:v>Excluded / unlabelled</x:v>
      </x:c>
    </x:row>
    <x:row r="3446" ht="34" customHeight="1">
      <x:c r="A3446" s="4" t="str">
        <x:v>RS-03445</x:v>
      </x:c>
      <x:c r="B3446" s="8" t="n">
        <x:v>45474</x:v>
      </x:c>
      <x:c r="C3446" s="4" t="str">
        <x:v>PRJ-005</x:v>
      </x:c>
      <x:c r="D3446" s="4" t="str">
        <x:v>Apartment</x:v>
      </x:c>
      <x:c r="E3446" s="4" t="str">
        <x:v>Agreement signed</x:v>
      </x:c>
      <x:c r="F3446" s="4" t="str">
        <x:v>CUS-03445</x:v>
      </x:c>
      <x:c r="G3446" s="4" t="str">
        <x:v>UNIT-03445</x:v>
      </x:c>
      <x:c r="H3446" s="9" t="n">
        <x:v>22600000</x:v>
      </x:c>
      <x:c r="I3446" s="10" t="n">
        <x:v>0.08</x:v>
      </x:c>
      <x:c r="J3446" s="11" t="n">
        <x:v>8</x:v>
      </x:c>
      <x:c r="K3446" s="11" t="n">
        <x:v>5</x:v>
      </x:c>
      <x:c r="L3446" s="11" t="n">
        <x:v>0</x:v>
      </x:c>
      <x:c r="M3446" s="9" t="n">
        <x:f>ROUND(H3446*(1-I3446),2)</x:f>
        <x:v>20792000</x:v>
      </x:c>
      <x:c r="N3446" s="4" t="str">
        <x:v>Sales head</x:v>
      </x:c>
      <x:c r="O3446" s="4" t="str">
        <x:v>BOOK-03445</x:v>
      </x:c>
      <x:c r="P3446" s="9" t="n">
        <x:v>10396000</x:v>
      </x:c>
      <x:c r="Q3446" s="11" t="n">
        <x:v>0</x:v>
      </x:c>
      <x:c r="R3446" s="8" t="n">
        <x:v>45534</x:v>
      </x:c>
      <x:c r="S3446" s="4" t="str">
        <x:v>Retained</x:v>
      </x:c>
      <x:c r="T3446" s="10" t="n">
        <x:v>0.310195</x:v>
      </x:c>
      <x:c r="U3446" s="4" t="str">
        <x:v>Excluded / unlabelled</x:v>
      </x:c>
    </x:row>
    <x:row r="3447" ht="34" customHeight="1">
      <x:c r="A3447" s="4" t="str">
        <x:v>RS-03446</x:v>
      </x:c>
      <x:c r="B3447" s="8" t="n">
        <x:v>45475</x:v>
      </x:c>
      <x:c r="C3447" s="4" t="str">
        <x:v>PRJ-006</x:v>
      </x:c>
      <x:c r="D3447" s="4" t="str">
        <x:v>Villa</x:v>
      </x:c>
      <x:c r="E3447" s="4" t="str">
        <x:v>Reserved</x:v>
      </x:c>
      <x:c r="F3447" s="4" t="str">
        <x:v>CUS-03446</x:v>
      </x:c>
      <x:c r="G3447" s="4" t="str">
        <x:v>UNIT-03446</x:v>
      </x:c>
      <x:c r="H3447" s="9" t="n">
        <x:v>12900000</x:v>
      </x:c>
      <x:c r="I3447" s="10" t="n">
        <x:v>0.09</x:v>
      </x:c>
      <x:c r="J3447" s="11" t="n">
        <x:v>12</x:v>
      </x:c>
      <x:c r="K3447" s="11" t="n">
        <x:v>6</x:v>
      </x:c>
      <x:c r="L3447" s="11" t="n">
        <x:v>0</x:v>
      </x:c>
      <x:c r="M3447" s="9" t="n">
        <x:f>ROUND(H3447*(1-I3447),2)</x:f>
        <x:v>11739000</x:v>
      </x:c>
      <x:c r="N3447" s="4" t="str">
        <x:v>Sales head</x:v>
      </x:c>
      <x:c r="O3447" s="4"/>
      <x:c r="P3447" s="9" t="n">
        <x:v>0</x:v>
      </x:c>
      <x:c r="Q3447" s="11" t="n">
        <x:v>0</x:v>
      </x:c>
      <x:c r="R3447" s="8" t="n">
        <x:v>45535</x:v>
      </x:c>
      <x:c r="S3447" s="4" t="str">
        <x:v>Retained</x:v>
      </x:c>
      <x:c r="T3447" s="10" t="n">
        <x:v>0.351536</x:v>
      </x:c>
      <x:c r="U3447" s="4" t="str">
        <x:v>Excluded / unlabelled</x:v>
      </x:c>
    </x:row>
    <x:row r="3448" ht="34" customHeight="1">
      <x:c r="A3448" s="4" t="str">
        <x:v>RS-03447</x:v>
      </x:c>
      <x:c r="B3448" s="8" t="n">
        <x:v>45476</x:v>
      </x:c>
      <x:c r="C3448" s="4" t="str">
        <x:v>PRJ-007</x:v>
      </x:c>
      <x:c r="D3448" s="4" t="str">
        <x:v>Villa</x:v>
      </x:c>
      <x:c r="E3448" s="4" t="str">
        <x:v>Agreement signed</x:v>
      </x:c>
      <x:c r="F3448" s="4" t="str">
        <x:v>CUS-03447</x:v>
      </x:c>
      <x:c r="G3448" s="4" t="str">
        <x:v>UNIT-03447</x:v>
      </x:c>
      <x:c r="H3448" s="9" t="n">
        <x:v>4300000</x:v>
      </x:c>
      <x:c r="I3448" s="10" t="n">
        <x:v>0.08</x:v>
      </x:c>
      <x:c r="J3448" s="11" t="n">
        <x:v>1</x:v>
      </x:c>
      <x:c r="K3448" s="11" t="n">
        <x:v>4</x:v>
      </x:c>
      <x:c r="L3448" s="11" t="n">
        <x:v>1</x:v>
      </x:c>
      <x:c r="M3448" s="9" t="n">
        <x:f>ROUND(H3448*(1-I3448),2)</x:f>
        <x:v>3956000</x:v>
      </x:c>
      <x:c r="N3448" s="4" t="str">
        <x:v>Sales head</x:v>
      </x:c>
      <x:c r="O3448" s="4" t="str">
        <x:v>BOOK-03447</x:v>
      </x:c>
      <x:c r="P3448" s="9" t="n">
        <x:v>989000</x:v>
      </x:c>
      <x:c r="Q3448" s="11" t="n">
        <x:v>0</x:v>
      </x:c>
      <x:c r="R3448" s="8" t="n">
        <x:v>45536</x:v>
      </x:c>
      <x:c r="S3448" s="4" t="str">
        <x:v>Retained</x:v>
      </x:c>
      <x:c r="T3448" s="10" t="n">
        <x:v>0.204152</x:v>
      </x:c>
      <x:c r="U3448" s="4" t="str">
        <x:v>Excluded / unlabelled</x:v>
      </x:c>
    </x:row>
    <x:row r="3449" ht="34" customHeight="1">
      <x:c r="A3449" s="4" t="str">
        <x:v>RS-03448</x:v>
      </x:c>
      <x:c r="B3449" s="8" t="n">
        <x:v>45477</x:v>
      </x:c>
      <x:c r="C3449" s="4" t="str">
        <x:v>PRJ-008</x:v>
      </x:c>
      <x:c r="D3449" s="4" t="str">
        <x:v>Apartment</x:v>
      </x:c>
      <x:c r="E3449" s="4" t="str">
        <x:v>Booked</x:v>
      </x:c>
      <x:c r="F3449" s="4" t="str">
        <x:v>CUS-03448</x:v>
      </x:c>
      <x:c r="G3449" s="4" t="str">
        <x:v>UNIT-03448</x:v>
      </x:c>
      <x:c r="H3449" s="9" t="n">
        <x:v>12200000</x:v>
      </x:c>
      <x:c r="I3449" s="10" t="n">
        <x:v>0.01</x:v>
      </x:c>
      <x:c r="J3449" s="11" t="n">
        <x:v>1</x:v>
      </x:c>
      <x:c r="K3449" s="11" t="n">
        <x:v>9</x:v>
      </x:c>
      <x:c r="L3449" s="11" t="n">
        <x:v>1</x:v>
      </x:c>
      <x:c r="M3449" s="9" t="n">
        <x:f>ROUND(H3449*(1-I3449),2)</x:f>
        <x:v>12078000</x:v>
      </x:c>
      <x:c r="N3449" s="4" t="str">
        <x:v>Sales manager</x:v>
      </x:c>
      <x:c r="O3449" s="4" t="str">
        <x:v>BOOK-03448</x:v>
      </x:c>
      <x:c r="P3449" s="9" t="n">
        <x:v>6039000</x:v>
      </x:c>
      <x:c r="Q3449" s="11" t="n">
        <x:v>0</x:v>
      </x:c>
      <x:c r="R3449" s="8" t="n">
        <x:v>45537</x:v>
      </x:c>
      <x:c r="S3449" s="4" t="str">
        <x:v>Retained</x:v>
      </x:c>
      <x:c r="T3449" s="10" t="n">
        <x:v>0.072165</x:v>
      </x:c>
      <x:c r="U3449" s="4" t="str">
        <x:v>Excluded / unlabelled</x:v>
      </x:c>
    </x:row>
    <x:row r="3450" ht="34" customHeight="1">
      <x:c r="A3450" s="4" t="str">
        <x:v>RS-03449</x:v>
      </x:c>
      <x:c r="B3450" s="8" t="n">
        <x:v>45478</x:v>
      </x:c>
      <x:c r="C3450" s="4" t="str">
        <x:v>PRJ-009</x:v>
      </x:c>
      <x:c r="D3450" s="4" t="str">
        <x:v>Office</x:v>
      </x:c>
      <x:c r="E3450" s="4" t="str">
        <x:v>Handed over</x:v>
      </x:c>
      <x:c r="F3450" s="4" t="str">
        <x:v>CUS-03449</x:v>
      </x:c>
      <x:c r="G3450" s="4" t="str">
        <x:v>UNIT-03449</x:v>
      </x:c>
      <x:c r="H3450" s="9" t="n">
        <x:v>22500000</x:v>
      </x:c>
      <x:c r="I3450" s="10" t="n">
        <x:v>0.11</x:v>
      </x:c>
      <x:c r="J3450" s="11" t="n">
        <x:v>6</x:v>
      </x:c>
      <x:c r="K3450" s="11" t="n">
        <x:v>0</x:v>
      </x:c>
      <x:c r="L3450" s="11" t="n">
        <x:v>0</x:v>
      </x:c>
      <x:c r="M3450" s="9" t="n">
        <x:f>ROUND(H3450*(1-I3450),2)</x:f>
        <x:v>20025000</x:v>
      </x:c>
      <x:c r="N3450" s="4" t="str">
        <x:v>Sales head</x:v>
      </x:c>
      <x:c r="O3450" s="4" t="str">
        <x:v>BOOK-03449</x:v>
      </x:c>
      <x:c r="P3450" s="9" t="n">
        <x:v>10012500</x:v>
      </x:c>
      <x:c r="Q3450" s="11" t="n">
        <x:v>0</x:v>
      </x:c>
      <x:c r="R3450" s="8" t="n">
        <x:v>45538</x:v>
      </x:c>
      <x:c r="S3450" s="4" t="str">
        <x:v>Retained</x:v>
      </x:c>
      <x:c r="T3450" s="10" t="n">
        <x:v>0.226277</x:v>
      </x:c>
      <x:c r="U3450" s="4" t="str">
        <x:v>Excluded / unlabelled</x:v>
      </x:c>
    </x:row>
    <x:row r="3451" ht="34" customHeight="1">
      <x:c r="A3451" s="4" t="str">
        <x:v>RS-03450</x:v>
      </x:c>
      <x:c r="B3451" s="8" t="n">
        <x:v>45479</x:v>
      </x:c>
      <x:c r="C3451" s="4" t="str">
        <x:v>PRJ-010</x:v>
      </x:c>
      <x:c r="D3451" s="4" t="str">
        <x:v>Office</x:v>
      </x:c>
      <x:c r="E3451" s="4" t="str">
        <x:v>Cancelled</x:v>
      </x:c>
      <x:c r="F3451" s="4" t="str">
        <x:v>CUS-03450</x:v>
      </x:c>
      <x:c r="G3451" s="4" t="str">
        <x:v>UNIT-03450</x:v>
      </x:c>
      <x:c r="H3451" s="9" t="n">
        <x:v>16000000</x:v>
      </x:c>
      <x:c r="I3451" s="10" t="n">
        <x:v>0.01</x:v>
      </x:c>
      <x:c r="J3451" s="11" t="n">
        <x:v>10</x:v>
      </x:c>
      <x:c r="K3451" s="11" t="n">
        <x:v>1</x:v>
      </x:c>
      <x:c r="L3451" s="11" t="n">
        <x:v>0</x:v>
      </x:c>
      <x:c r="M3451" s="9" t="n">
        <x:f>ROUND(H3451*(1-I3451),2)</x:f>
        <x:v>15840000</x:v>
      </x:c>
      <x:c r="N3451" s="4" t="str">
        <x:v>Sales manager</x:v>
      </x:c>
      <x:c r="O3451" s="4"/>
      <x:c r="P3451" s="9" t="n">
        <x:v>0</x:v>
      </x:c>
      <x:c r="Q3451" s="11" t="n">
        <x:v>1</x:v>
      </x:c>
      <x:c r="R3451" s="8" t="n">
        <x:v>45539</x:v>
      </x:c>
      <x:c r="S3451" s="4" t="str">
        <x:v>Lost / cancelled</x:v>
      </x:c>
      <x:c r="T3451" s="10" t="n">
        <x:v>0.305556</x:v>
      </x:c>
      <x:c r="U3451" s="4" t="str">
        <x:v>Excluded / unlabelled</x:v>
      </x:c>
    </x:row>
    <x:row r="3452" ht="34" customHeight="1">
      <x:c r="A3452" s="4" t="str">
        <x:v>RS-03451</x:v>
      </x:c>
      <x:c r="B3452" s="8" t="n">
        <x:v>45480</x:v>
      </x:c>
      <x:c r="C3452" s="4" t="str">
        <x:v>PRJ-011</x:v>
      </x:c>
      <x:c r="D3452" s="4" t="str">
        <x:v>Apartment</x:v>
      </x:c>
      <x:c r="E3452" s="4" t="str">
        <x:v>Agreement signed</x:v>
      </x:c>
      <x:c r="F3452" s="4" t="str">
        <x:v>CUS-03451</x:v>
      </x:c>
      <x:c r="G3452" s="4" t="str">
        <x:v>UNIT-03451</x:v>
      </x:c>
      <x:c r="H3452" s="9" t="n">
        <x:v>5200000</x:v>
      </x:c>
      <x:c r="I3452" s="10" t="n">
        <x:v>0.07</x:v>
      </x:c>
      <x:c r="J3452" s="11" t="n">
        <x:v>6</x:v>
      </x:c>
      <x:c r="K3452" s="11" t="n">
        <x:v>6</x:v>
      </x:c>
      <x:c r="L3452" s="11" t="n">
        <x:v>1</x:v>
      </x:c>
      <x:c r="M3452" s="9" t="n">
        <x:f>ROUND(H3452*(1-I3452),2)</x:f>
        <x:v>4836000</x:v>
      </x:c>
      <x:c r="N3452" s="4" t="str">
        <x:v>Sales manager</x:v>
      </x:c>
      <x:c r="O3452" s="4" t="str">
        <x:v>BOOK-03451</x:v>
      </x:c>
      <x:c r="P3452" s="9" t="n">
        <x:v>2418000</x:v>
      </x:c>
      <x:c r="Q3452" s="11" t="n">
        <x:v>0</x:v>
      </x:c>
      <x:c r="R3452" s="8" t="n">
        <x:v>45540</x:v>
      </x:c>
      <x:c r="S3452" s="4" t="str">
        <x:v>Retained</x:v>
      </x:c>
      <x:c r="T3452" s="10" t="n">
        <x:v>0.291946</x:v>
      </x:c>
      <x:c r="U3452" s="4" t="str">
        <x:v>Excluded / unlabelled</x:v>
      </x:c>
    </x:row>
    <x:row r="3453" ht="34" customHeight="1">
      <x:c r="A3453" s="4" t="str">
        <x:v>RS-03452</x:v>
      </x:c>
      <x:c r="B3453" s="8" t="n">
        <x:v>45481</x:v>
      </x:c>
      <x:c r="C3453" s="4" t="str">
        <x:v>PRJ-012</x:v>
      </x:c>
      <x:c r="D3453" s="4" t="str">
        <x:v>Retail</x:v>
      </x:c>
      <x:c r="E3453" s="4" t="str">
        <x:v>Booked</x:v>
      </x:c>
      <x:c r="F3453" s="4" t="str">
        <x:v>CUS-03452</x:v>
      </x:c>
      <x:c r="G3453" s="4" t="str">
        <x:v>UNIT-03452</x:v>
      </x:c>
      <x:c r="H3453" s="9" t="n">
        <x:v>24600000</x:v>
      </x:c>
      <x:c r="I3453" s="10" t="n">
        <x:v>0.06</x:v>
      </x:c>
      <x:c r="J3453" s="11" t="n">
        <x:v>3</x:v>
      </x:c>
      <x:c r="K3453" s="11" t="n">
        <x:v>10</x:v>
      </x:c>
      <x:c r="L3453" s="11" t="n">
        <x:v>1</x:v>
      </x:c>
      <x:c r="M3453" s="9" t="n">
        <x:f>ROUND(H3453*(1-I3453),2)</x:f>
        <x:v>23124000</x:v>
      </x:c>
      <x:c r="N3453" s="4" t="str">
        <x:v>Sales manager</x:v>
      </x:c>
      <x:c r="O3453" s="4" t="str">
        <x:v>BOOK-03452</x:v>
      </x:c>
      <x:c r="P3453" s="9" t="n">
        <x:v>23124000</x:v>
      </x:c>
      <x:c r="Q3453" s="11" t="n">
        <x:v>0</x:v>
      </x:c>
      <x:c r="R3453" s="8" t="n">
        <x:v>45541</x:v>
      </x:c>
      <x:c r="S3453" s="4" t="str">
        <x:v>Retained</x:v>
      </x:c>
      <x:c r="T3453" s="10" t="n">
        <x:v>0.204152</x:v>
      </x:c>
      <x:c r="U3453" s="4" t="str">
        <x:v>Excluded / unlabelled</x:v>
      </x:c>
    </x:row>
    <x:row r="3454" ht="34" customHeight="1">
      <x:c r="A3454" s="4" t="str">
        <x:v>RS-03453</x:v>
      </x:c>
      <x:c r="B3454" s="8" t="n">
        <x:v>45482</x:v>
      </x:c>
      <x:c r="C3454" s="4" t="str">
        <x:v>PRJ-013</x:v>
      </x:c>
      <x:c r="D3454" s="4" t="str">
        <x:v>Office</x:v>
      </x:c>
      <x:c r="E3454" s="4" t="str">
        <x:v>Cancelled</x:v>
      </x:c>
      <x:c r="F3454" s="4" t="str">
        <x:v>CUS-03453</x:v>
      </x:c>
      <x:c r="G3454" s="4" t="str">
        <x:v>UNIT-03453</x:v>
      </x:c>
      <x:c r="H3454" s="9" t="n">
        <x:v>20500000</x:v>
      </x:c>
      <x:c r="I3454" s="10" t="n">
        <x:v>0.03</x:v>
      </x:c>
      <x:c r="J3454" s="11" t="n">
        <x:v>4</x:v>
      </x:c>
      <x:c r="K3454" s="11" t="n">
        <x:v>5</x:v>
      </x:c>
      <x:c r="L3454" s="11" t="n">
        <x:v>0</x:v>
      </x:c>
      <x:c r="M3454" s="9" t="n">
        <x:f>ROUND(H3454*(1-I3454),2)</x:f>
        <x:v>19885000</x:v>
      </x:c>
      <x:c r="N3454" s="4" t="str">
        <x:v>Sales manager</x:v>
      </x:c>
      <x:c r="O3454" s="4"/>
      <x:c r="P3454" s="9" t="n">
        <x:v>0</x:v>
      </x:c>
      <x:c r="Q3454" s="11" t="n">
        <x:v>1</x:v>
      </x:c>
      <x:c r="R3454" s="8" t="n">
        <x:v>45542</x:v>
      </x:c>
      <x:c r="S3454" s="4" t="str">
        <x:v>Lost / cancelled</x:v>
      </x:c>
      <x:c r="T3454" s="10" t="n">
        <x:v>0.145299</x:v>
      </x:c>
      <x:c r="U3454" s="4" t="str">
        <x:v>Excluded / unlabelled</x:v>
      </x:c>
    </x:row>
    <x:row r="3455" ht="34" customHeight="1">
      <x:c r="A3455" s="4" t="str">
        <x:v>RS-03454</x:v>
      </x:c>
      <x:c r="B3455" s="8" t="n">
        <x:v>45483</x:v>
      </x:c>
      <x:c r="C3455" s="4" t="str">
        <x:v>PRJ-014</x:v>
      </x:c>
      <x:c r="D3455" s="4" t="str">
        <x:v>Office</x:v>
      </x:c>
      <x:c r="E3455" s="4" t="str">
        <x:v>Agreement signed</x:v>
      </x:c>
      <x:c r="F3455" s="4" t="str">
        <x:v>CUS-03454</x:v>
      </x:c>
      <x:c r="G3455" s="4" t="str">
        <x:v>UNIT-03454</x:v>
      </x:c>
      <x:c r="H3455" s="9" t="n">
        <x:v>24900000</x:v>
      </x:c>
      <x:c r="I3455" s="10" t="n">
        <x:v>0.02</x:v>
      </x:c>
      <x:c r="J3455" s="11" t="n">
        <x:v>1</x:v>
      </x:c>
      <x:c r="K3455" s="11" t="n">
        <x:v>6</x:v>
      </x:c>
      <x:c r="L3455" s="11" t="n">
        <x:v>1</x:v>
      </x:c>
      <x:c r="M3455" s="9" t="n">
        <x:f>ROUND(H3455*(1-I3455),2)</x:f>
        <x:v>24402000</x:v>
      </x:c>
      <x:c r="N3455" s="4" t="str">
        <x:v>Sales manager</x:v>
      </x:c>
      <x:c r="O3455" s="4" t="str">
        <x:v>BOOK-03454</x:v>
      </x:c>
      <x:c r="P3455" s="9" t="n">
        <x:v>12201000</x:v>
      </x:c>
      <x:c r="Q3455" s="11" t="n">
        <x:v>0</x:v>
      </x:c>
      <x:c r="R3455" s="8" t="n">
        <x:v>45543</x:v>
      </x:c>
      <x:c r="S3455" s="4" t="str">
        <x:v>Retained</x:v>
      </x:c>
      <x:c r="T3455" s="10" t="n">
        <x:v>0.072165</x:v>
      </x:c>
      <x:c r="U3455" s="4" t="str">
        <x:v>Excluded / unlabelled</x:v>
      </x:c>
    </x:row>
    <x:row r="3456" ht="34" customHeight="1">
      <x:c r="A3456" s="4" t="str">
        <x:v>RS-03455</x:v>
      </x:c>
      <x:c r="B3456" s="8" t="n">
        <x:v>45484</x:v>
      </x:c>
      <x:c r="C3456" s="4" t="str">
        <x:v>PRJ-015</x:v>
      </x:c>
      <x:c r="D3456" s="4" t="str">
        <x:v>Apartment</x:v>
      </x:c>
      <x:c r="E3456" s="4" t="str">
        <x:v>Enquiry</x:v>
      </x:c>
      <x:c r="F3456" s="4" t="str">
        <x:v>CUS-03455</x:v>
      </x:c>
      <x:c r="G3456" s="4" t="str">
        <x:v>UNIT-03455</x:v>
      </x:c>
      <x:c r="H3456" s="9" t="n">
        <x:v>18600000</x:v>
      </x:c>
      <x:c r="I3456" s="10" t="n">
        <x:v>0.09</x:v>
      </x:c>
      <x:c r="J3456" s="11" t="n">
        <x:v>10</x:v>
      </x:c>
      <x:c r="K3456" s="11" t="n">
        <x:v>0</x:v>
      </x:c>
      <x:c r="L3456" s="11" t="n">
        <x:v>0</x:v>
      </x:c>
      <x:c r="M3456" s="9" t="n">
        <x:f>ROUND(H3456*(1-I3456),2)</x:f>
        <x:v>16926000</x:v>
      </x:c>
      <x:c r="N3456" s="4" t="str">
        <x:v>Sales head</x:v>
      </x:c>
      <x:c r="O3456" s="4"/>
      <x:c r="P3456" s="9" t="n">
        <x:v>0</x:v>
      </x:c>
      <x:c r="Q3456" s="11" t="n">
        <x:v>1</x:v>
      </x:c>
      <x:c r="R3456" s="8" t="n">
        <x:v>45544</x:v>
      </x:c>
      <x:c r="S3456" s="4" t="str">
        <x:v>Lost / cancelled</x:v>
      </x:c>
      <x:c r="T3456" s="10" t="n">
        <x:v>0.310195</x:v>
      </x:c>
      <x:c r="U3456" s="4" t="str">
        <x:v>Excluded / unlabelled</x:v>
      </x:c>
    </x:row>
    <x:row r="3457" ht="34" customHeight="1">
      <x:c r="A3457" s="4" t="str">
        <x:v>RS-03456</x:v>
      </x:c>
      <x:c r="B3457" s="8" t="n">
        <x:v>45485</x:v>
      </x:c>
      <x:c r="C3457" s="4" t="str">
        <x:v>PRJ-016</x:v>
      </x:c>
      <x:c r="D3457" s="4" t="str">
        <x:v>Villa</x:v>
      </x:c>
      <x:c r="E3457" s="4" t="str">
        <x:v>Handed over</x:v>
      </x:c>
      <x:c r="F3457" s="4" t="str">
        <x:v>CUS-03456</x:v>
      </x:c>
      <x:c r="G3457" s="4" t="str">
        <x:v>UNIT-03456</x:v>
      </x:c>
      <x:c r="H3457" s="9" t="n">
        <x:v>17700000</x:v>
      </x:c>
      <x:c r="I3457" s="10" t="n">
        <x:v>0.09</x:v>
      </x:c>
      <x:c r="J3457" s="11" t="n">
        <x:v>12</x:v>
      </x:c>
      <x:c r="K3457" s="11" t="n">
        <x:v>9</x:v>
      </x:c>
      <x:c r="L3457" s="11" t="n">
        <x:v>1</x:v>
      </x:c>
      <x:c r="M3457" s="9" t="n">
        <x:f>ROUND(H3457*(1-I3457),2)</x:f>
        <x:v>16107000</x:v>
      </x:c>
      <x:c r="N3457" s="4" t="str">
        <x:v>Sales head</x:v>
      </x:c>
      <x:c r="O3457" s="4" t="str">
        <x:v>BOOK-03456</x:v>
      </x:c>
      <x:c r="P3457" s="9" t="n">
        <x:v>1610700</x:v>
      </x:c>
      <x:c r="Q3457" s="11" t="n">
        <x:v>0</x:v>
      </x:c>
      <x:c r="R3457" s="8" t="n">
        <x:v>45545</x:v>
      </x:c>
      <x:c r="S3457" s="4" t="str">
        <x:v>Retained</x:v>
      </x:c>
      <x:c r="T3457" s="10" t="n">
        <x:v>0.351536</x:v>
      </x:c>
      <x:c r="U3457" s="4" t="str">
        <x:v>Excluded / unlabelled</x:v>
      </x:c>
    </x:row>
    <x:row r="3458" ht="34" customHeight="1">
      <x:c r="A3458" s="4" t="str">
        <x:v>RS-03457</x:v>
      </x:c>
      <x:c r="B3458" s="8" t="n">
        <x:v>45486</x:v>
      </x:c>
      <x:c r="C3458" s="4" t="str">
        <x:v>PRJ-017</x:v>
      </x:c>
      <x:c r="D3458" s="4" t="str">
        <x:v>Villa</x:v>
      </x:c>
      <x:c r="E3458" s="4" t="str">
        <x:v>Agreement signed</x:v>
      </x:c>
      <x:c r="F3458" s="4" t="str">
        <x:v>CUS-03457</x:v>
      </x:c>
      <x:c r="G3458" s="4" t="str">
        <x:v>UNIT-03457</x:v>
      </x:c>
      <x:c r="H3458" s="9" t="n">
        <x:v>21200000</x:v>
      </x:c>
      <x:c r="I3458" s="10" t="n">
        <x:v>0.07</x:v>
      </x:c>
      <x:c r="J3458" s="11" t="n">
        <x:v>3</x:v>
      </x:c>
      <x:c r="K3458" s="11" t="n">
        <x:v>4</x:v>
      </x:c>
      <x:c r="L3458" s="11" t="n">
        <x:v>0</x:v>
      </x:c>
      <x:c r="M3458" s="9" t="n">
        <x:f>ROUND(H3458*(1-I3458),2)</x:f>
        <x:v>19716000</x:v>
      </x:c>
      <x:c r="N3458" s="4" t="str">
        <x:v>Sales manager</x:v>
      </x:c>
      <x:c r="O3458" s="4" t="str">
        <x:v>BOOK-03457</x:v>
      </x:c>
      <x:c r="P3458" s="9" t="n">
        <x:v>9858000</x:v>
      </x:c>
      <x:c r="Q3458" s="11" t="n">
        <x:v>0</x:v>
      </x:c>
      <x:c r="R3458" s="8" t="n">
        <x:v>45546</x:v>
      </x:c>
      <x:c r="S3458" s="4" t="str">
        <x:v>Retained</x:v>
      </x:c>
      <x:c r="T3458" s="10" t="n">
        <x:v>0.204152</x:v>
      </x:c>
      <x:c r="U3458" s="4" t="str">
        <x:v>Excluded / unlabelled</x:v>
      </x:c>
    </x:row>
    <x:row r="3459" ht="34" customHeight="1">
      <x:c r="A3459" s="4" t="str">
        <x:v>RS-03458</x:v>
      </x:c>
      <x:c r="B3459" s="8" t="n">
        <x:v>45487</x:v>
      </x:c>
      <x:c r="C3459" s="4" t="str">
        <x:v>PRJ-018</x:v>
      </x:c>
      <x:c r="D3459" s="4" t="str">
        <x:v>Villa</x:v>
      </x:c>
      <x:c r="E3459" s="4" t="str">
        <x:v>Cancelled</x:v>
      </x:c>
      <x:c r="F3459" s="4" t="str">
        <x:v>CUS-03458</x:v>
      </x:c>
      <x:c r="G3459" s="4" t="str">
        <x:v>UNIT-03458</x:v>
      </x:c>
      <x:c r="H3459" s="9" t="n">
        <x:v>8800000</x:v>
      </x:c>
      <x:c r="I3459" s="10" t="n">
        <x:v>0.09</x:v>
      </x:c>
      <x:c r="J3459" s="11" t="n">
        <x:v>5</x:v>
      </x:c>
      <x:c r="K3459" s="11" t="n">
        <x:v>0</x:v>
      </x:c>
      <x:c r="L3459" s="11" t="n">
        <x:v>0</x:v>
      </x:c>
      <x:c r="M3459" s="9" t="n">
        <x:f>ROUND(H3459*(1-I3459),2)</x:f>
        <x:v>8008000</x:v>
      </x:c>
      <x:c r="N3459" s="4" t="str">
        <x:v>Sales head</x:v>
      </x:c>
      <x:c r="O3459" s="4"/>
      <x:c r="P3459" s="9" t="n">
        <x:v>0</x:v>
      </x:c>
      <x:c r="Q3459" s="11" t="n">
        <x:v>1</x:v>
      </x:c>
      <x:c r="R3459" s="8" t="n">
        <x:v>45547</x:v>
      </x:c>
      <x:c r="S3459" s="4" t="str">
        <x:v>Lost / cancelled</x:v>
      </x:c>
      <x:c r="T3459" s="10" t="n">
        <x:v>0.226277</x:v>
      </x:c>
      <x:c r="U3459" s="4" t="str">
        <x:v>Excluded / unlabelled</x:v>
      </x:c>
    </x:row>
    <x:row r="3460" ht="34" customHeight="1">
      <x:c r="A3460" s="4" t="str">
        <x:v>RS-03459</x:v>
      </x:c>
      <x:c r="B3460" s="8" t="n">
        <x:v>45488</x:v>
      </x:c>
      <x:c r="C3460" s="4" t="str">
        <x:v>PRJ-019</x:v>
      </x:c>
      <x:c r="D3460" s="4" t="str">
        <x:v>Villa</x:v>
      </x:c>
      <x:c r="E3460" s="4" t="str">
        <x:v>Agreement signed</x:v>
      </x:c>
      <x:c r="F3460" s="4" t="str">
        <x:v>CUS-03459</x:v>
      </x:c>
      <x:c r="G3460" s="4" t="str">
        <x:v>UNIT-03459</x:v>
      </x:c>
      <x:c r="H3460" s="9" t="n">
        <x:v>13500000</x:v>
      </x:c>
      <x:c r="I3460" s="10" t="n">
        <x:v>0.12</x:v>
      </x:c>
      <x:c r="J3460" s="11" t="n">
        <x:v>7</x:v>
      </x:c>
      <x:c r="K3460" s="11" t="n">
        <x:v>9</x:v>
      </x:c>
      <x:c r="L3460" s="11" t="n">
        <x:v>0</x:v>
      </x:c>
      <x:c r="M3460" s="9" t="n">
        <x:f>ROUND(H3460*(1-I3460),2)</x:f>
        <x:v>11880000</x:v>
      </x:c>
      <x:c r="N3460" s="4" t="str">
        <x:v>Sales head</x:v>
      </x:c>
      <x:c r="O3460" s="4" t="str">
        <x:v>BOOK-03459</x:v>
      </x:c>
      <x:c r="P3460" s="9" t="n">
        <x:v>11880000</x:v>
      </x:c>
      <x:c r="Q3460" s="11" t="n">
        <x:v>0</x:v>
      </x:c>
      <x:c r="R3460" s="8" t="n">
        <x:v>45548</x:v>
      </x:c>
      <x:c r="S3460" s="4" t="str">
        <x:v>Retained</x:v>
      </x:c>
      <x:c r="T3460" s="10" t="n">
        <x:v>0.226277</x:v>
      </x:c>
      <x:c r="U3460" s="4" t="str">
        <x:v>Excluded / unlabelled</x:v>
      </x:c>
    </x:row>
    <x:row r="3461" ht="34" customHeight="1">
      <x:c r="A3461" s="4" t="str">
        <x:v>RS-03460</x:v>
      </x:c>
      <x:c r="B3461" s="8" t="n">
        <x:v>45489</x:v>
      </x:c>
      <x:c r="C3461" s="4" t="str">
        <x:v>PRJ-020</x:v>
      </x:c>
      <x:c r="D3461" s="4" t="str">
        <x:v>Villa</x:v>
      </x:c>
      <x:c r="E3461" s="4" t="str">
        <x:v>Enquiry</x:v>
      </x:c>
      <x:c r="F3461" s="4" t="str">
        <x:v>CUS-03460</x:v>
      </x:c>
      <x:c r="G3461" s="4" t="str">
        <x:v>UNIT-03460</x:v>
      </x:c>
      <x:c r="H3461" s="9" t="n">
        <x:v>21800000</x:v>
      </x:c>
      <x:c r="I3461" s="10" t="n">
        <x:v>0.09</x:v>
      </x:c>
      <x:c r="J3461" s="11" t="n">
        <x:v>7</x:v>
      </x:c>
      <x:c r="K3461" s="11" t="n">
        <x:v>5</x:v>
      </x:c>
      <x:c r="L3461" s="11" t="n">
        <x:v>0</x:v>
      </x:c>
      <x:c r="M3461" s="9" t="n">
        <x:f>ROUND(H3461*(1-I3461),2)</x:f>
        <x:v>19838000</x:v>
      </x:c>
      <x:c r="N3461" s="4" t="str">
        <x:v>Sales head</x:v>
      </x:c>
      <x:c r="O3461" s="4"/>
      <x:c r="P3461" s="9" t="n">
        <x:v>0</x:v>
      </x:c>
      <x:c r="Q3461" s="11" t="n">
        <x:v>0</x:v>
      </x:c>
      <x:c r="R3461" s="8" t="n">
        <x:v>45549</x:v>
      </x:c>
      <x:c r="S3461" s="4" t="str">
        <x:v>Retained</x:v>
      </x:c>
      <x:c r="T3461" s="10" t="n">
        <x:v>0.226277</x:v>
      </x:c>
      <x:c r="U3461" s="4" t="str">
        <x:v>Excluded / unlabelled</x:v>
      </x:c>
    </x:row>
    <x:row r="3462" ht="34" customHeight="1">
      <x:c r="A3462" s="4" t="str">
        <x:v>RS-03461</x:v>
      </x:c>
      <x:c r="B3462" s="8" t="n">
        <x:v>45490</x:v>
      </x:c>
      <x:c r="C3462" s="4" t="str">
        <x:v>PRJ-001</x:v>
      </x:c>
      <x:c r="D3462" s="4" t="str">
        <x:v>Apartment</x:v>
      </x:c>
      <x:c r="E3462" s="4" t="str">
        <x:v>Agreement signed</x:v>
      </x:c>
      <x:c r="F3462" s="4" t="str">
        <x:v>CUS-03461</x:v>
      </x:c>
      <x:c r="G3462" s="4" t="str">
        <x:v>UNIT-03461</x:v>
      </x:c>
      <x:c r="H3462" s="9" t="n">
        <x:v>21400000</x:v>
      </x:c>
      <x:c r="I3462" s="10" t="n">
        <x:v>0.04</x:v>
      </x:c>
      <x:c r="J3462" s="11" t="n">
        <x:v>2</x:v>
      </x:c>
      <x:c r="K3462" s="11" t="n">
        <x:v>9</x:v>
      </x:c>
      <x:c r="L3462" s="11" t="n">
        <x:v>0</x:v>
      </x:c>
      <x:c r="M3462" s="9" t="n">
        <x:f>ROUND(H3462*(1-I3462),2)</x:f>
        <x:v>20544000</x:v>
      </x:c>
      <x:c r="N3462" s="4" t="str">
        <x:v>Sales manager</x:v>
      </x:c>
      <x:c r="O3462" s="4" t="str">
        <x:v>BOOK-03461</x:v>
      </x:c>
      <x:c r="P3462" s="9" t="n">
        <x:v>20544000</x:v>
      </x:c>
      <x:c r="Q3462" s="11" t="n">
        <x:v>0</x:v>
      </x:c>
      <x:c r="R3462" s="8" t="n">
        <x:v>45550</x:v>
      </x:c>
      <x:c r="S3462" s="4" t="str">
        <x:v>Retained</x:v>
      </x:c>
      <x:c r="T3462" s="10" t="n">
        <x:v>0.204152</x:v>
      </x:c>
      <x:c r="U3462" s="4" t="str">
        <x:v>Excluded / unlabelled</x:v>
      </x:c>
    </x:row>
    <x:row r="3463" ht="34" customHeight="1">
      <x:c r="A3463" s="4" t="str">
        <x:v>RS-03462</x:v>
      </x:c>
      <x:c r="B3463" s="8" t="n">
        <x:v>45491</x:v>
      </x:c>
      <x:c r="C3463" s="4" t="str">
        <x:v>PRJ-002</x:v>
      </x:c>
      <x:c r="D3463" s="4" t="str">
        <x:v>Apartment</x:v>
      </x:c>
      <x:c r="E3463" s="4" t="str">
        <x:v>Handed over</x:v>
      </x:c>
      <x:c r="F3463" s="4" t="str">
        <x:v>CUS-03462</x:v>
      </x:c>
      <x:c r="G3463" s="4" t="str">
        <x:v>UNIT-03462</x:v>
      </x:c>
      <x:c r="H3463" s="9" t="n">
        <x:v>17900000</x:v>
      </x:c>
      <x:c r="I3463" s="10" t="n">
        <x:v>0</x:v>
      </x:c>
      <x:c r="J3463" s="11" t="n">
        <x:v>4</x:v>
      </x:c>
      <x:c r="K3463" s="11" t="n">
        <x:v>4</x:v>
      </x:c>
      <x:c r="L3463" s="11" t="n">
        <x:v>1</x:v>
      </x:c>
      <x:c r="M3463" s="9" t="n">
        <x:f>ROUND(H3463*(1-I3463),2)</x:f>
        <x:v>17900000</x:v>
      </x:c>
      <x:c r="N3463" s="4" t="str">
        <x:v>Sales manager</x:v>
      </x:c>
      <x:c r="O3463" s="4" t="str">
        <x:v>BOOK-03462</x:v>
      </x:c>
      <x:c r="P3463" s="9" t="n">
        <x:v>17900000</x:v>
      </x:c>
      <x:c r="Q3463" s="11" t="n">
        <x:v>0</x:v>
      </x:c>
      <x:c r="R3463" s="8" t="n">
        <x:v>45551</x:v>
      </x:c>
      <x:c r="S3463" s="4" t="str">
        <x:v>Retained</x:v>
      </x:c>
      <x:c r="T3463" s="10" t="n">
        <x:v>0.298969</x:v>
      </x:c>
      <x:c r="U3463" s="4" t="str">
        <x:v>Excluded / unlabelled</x:v>
      </x:c>
    </x:row>
    <x:row r="3464" ht="34" customHeight="1">
      <x:c r="A3464" s="4" t="str">
        <x:v>RS-03463</x:v>
      </x:c>
      <x:c r="B3464" s="8" t="n">
        <x:v>45492</x:v>
      </x:c>
      <x:c r="C3464" s="4" t="str">
        <x:v>PRJ-003</x:v>
      </x:c>
      <x:c r="D3464" s="4" t="str">
        <x:v>Apartment</x:v>
      </x:c>
      <x:c r="E3464" s="4" t="str">
        <x:v>Handed over</x:v>
      </x:c>
      <x:c r="F3464" s="4" t="str">
        <x:v>CUS-03463</x:v>
      </x:c>
      <x:c r="G3464" s="4" t="str">
        <x:v>UNIT-03463</x:v>
      </x:c>
      <x:c r="H3464" s="9" t="n">
        <x:v>21900000</x:v>
      </x:c>
      <x:c r="I3464" s="10" t="n">
        <x:v>0.11</x:v>
      </x:c>
      <x:c r="J3464" s="11" t="n">
        <x:v>12</x:v>
      </x:c>
      <x:c r="K3464" s="11" t="n">
        <x:v>6</x:v>
      </x:c>
      <x:c r="L3464" s="11" t="n">
        <x:v>1</x:v>
      </x:c>
      <x:c r="M3464" s="9" t="n">
        <x:f>ROUND(H3464*(1-I3464),2)</x:f>
        <x:v>19491000</x:v>
      </x:c>
      <x:c r="N3464" s="4" t="str">
        <x:v>Sales head</x:v>
      </x:c>
      <x:c r="O3464" s="4" t="str">
        <x:v>BOOK-03463</x:v>
      </x:c>
      <x:c r="P3464" s="9" t="n">
        <x:v>9745500</x:v>
      </x:c>
      <x:c r="Q3464" s="11" t="n">
        <x:v>0</x:v>
      </x:c>
      <x:c r="R3464" s="8" t="n">
        <x:v>45552</x:v>
      </x:c>
      <x:c r="S3464" s="4" t="str">
        <x:v>Retained</x:v>
      </x:c>
      <x:c r="T3464" s="10" t="n">
        <x:v>0.351536</x:v>
      </x:c>
      <x:c r="U3464" s="4" t="str">
        <x:v>Excluded / unlabelled</x:v>
      </x:c>
    </x:row>
    <x:row r="3465" ht="34" customHeight="1">
      <x:c r="A3465" s="4" t="str">
        <x:v>RS-03464</x:v>
      </x:c>
      <x:c r="B3465" s="8" t="n">
        <x:v>45493</x:v>
      </x:c>
      <x:c r="C3465" s="4" t="str">
        <x:v>PRJ-004</x:v>
      </x:c>
      <x:c r="D3465" s="4" t="str">
        <x:v>Villa</x:v>
      </x:c>
      <x:c r="E3465" s="4" t="str">
        <x:v>Handed over</x:v>
      </x:c>
      <x:c r="F3465" s="4" t="str">
        <x:v>CUS-03464</x:v>
      </x:c>
      <x:c r="G3465" s="4" t="str">
        <x:v>UNIT-03464</x:v>
      </x:c>
      <x:c r="H3465" s="9" t="n">
        <x:v>12000000</x:v>
      </x:c>
      <x:c r="I3465" s="10" t="n">
        <x:v>0.03</x:v>
      </x:c>
      <x:c r="J3465" s="11" t="n">
        <x:v>1</x:v>
      </x:c>
      <x:c r="K3465" s="11" t="n">
        <x:v>8</x:v>
      </x:c>
      <x:c r="L3465" s="11" t="n">
        <x:v>1</x:v>
      </x:c>
      <x:c r="M3465" s="9" t="n">
        <x:f>ROUND(H3465*(1-I3465),2)</x:f>
        <x:v>11640000</x:v>
      </x:c>
      <x:c r="N3465" s="4" t="str">
        <x:v>Sales manager</x:v>
      </x:c>
      <x:c r="O3465" s="4" t="str">
        <x:v>BOOK-03464</x:v>
      </x:c>
      <x:c r="P3465" s="9" t="n">
        <x:v>1164000</x:v>
      </x:c>
      <x:c r="Q3465" s="11" t="n">
        <x:v>0</x:v>
      </x:c>
      <x:c r="R3465" s="8" t="n">
        <x:v>45553</x:v>
      </x:c>
      <x:c r="S3465" s="4" t="str">
        <x:v>Retained</x:v>
      </x:c>
      <x:c r="T3465" s="10" t="n">
        <x:v>0.072165</x:v>
      </x:c>
      <x:c r="U3465" s="4" t="str">
        <x:v>Excluded / unlabelled</x:v>
      </x:c>
    </x:row>
    <x:row r="3466" ht="34" customHeight="1">
      <x:c r="A3466" s="4" t="str">
        <x:v>RS-03465</x:v>
      </x:c>
      <x:c r="B3466" s="8" t="n">
        <x:v>45494</x:v>
      </x:c>
      <x:c r="C3466" s="4" t="str">
        <x:v>PRJ-005</x:v>
      </x:c>
      <x:c r="D3466" s="4" t="str">
        <x:v>Villa</x:v>
      </x:c>
      <x:c r="E3466" s="4" t="str">
        <x:v>Handed over</x:v>
      </x:c>
      <x:c r="F3466" s="4" t="str">
        <x:v>CUS-03465</x:v>
      </x:c>
      <x:c r="G3466" s="4" t="str">
        <x:v>UNIT-03465</x:v>
      </x:c>
      <x:c r="H3466" s="9" t="n">
        <x:v>9700000</x:v>
      </x:c>
      <x:c r="I3466" s="10" t="n">
        <x:v>0.07</x:v>
      </x:c>
      <x:c r="J3466" s="11" t="n">
        <x:v>1</x:v>
      </x:c>
      <x:c r="K3466" s="11" t="n">
        <x:v>6</x:v>
      </x:c>
      <x:c r="L3466" s="11" t="n">
        <x:v>0</x:v>
      </x:c>
      <x:c r="M3466" s="9" t="n">
        <x:f>ROUND(H3466*(1-I3466),2)</x:f>
        <x:v>9021000</x:v>
      </x:c>
      <x:c r="N3466" s="4" t="str">
        <x:v>Sales manager</x:v>
      </x:c>
      <x:c r="O3466" s="4" t="str">
        <x:v>BOOK-03465</x:v>
      </x:c>
      <x:c r="P3466" s="9" t="n">
        <x:v>2255250</x:v>
      </x:c>
      <x:c r="Q3466" s="11" t="n">
        <x:v>0</x:v>
      </x:c>
      <x:c r="R3466" s="8" t="n">
        <x:v>45554</x:v>
      </x:c>
      <x:c r="S3466" s="4" t="str">
        <x:v>Retained</x:v>
      </x:c>
      <x:c r="T3466" s="10" t="n">
        <x:v>0.204152</x:v>
      </x:c>
      <x:c r="U3466" s="4" t="str">
        <x:v>Excluded / unlabelled</x:v>
      </x:c>
    </x:row>
    <x:row r="3467" ht="34" customHeight="1">
      <x:c r="A3467" s="4" t="str">
        <x:v>RS-03466</x:v>
      </x:c>
      <x:c r="B3467" s="8" t="n">
        <x:v>45495</x:v>
      </x:c>
      <x:c r="C3467" s="4" t="str">
        <x:v>PRJ-006</x:v>
      </x:c>
      <x:c r="D3467" s="4" t="str">
        <x:v>Apartment</x:v>
      </x:c>
      <x:c r="E3467" s="4" t="str">
        <x:v>Cancelled</x:v>
      </x:c>
      <x:c r="F3467" s="4" t="str">
        <x:v>CUS-03466</x:v>
      </x:c>
      <x:c r="G3467" s="4" t="str">
        <x:v>UNIT-03466</x:v>
      </x:c>
      <x:c r="H3467" s="9" t="n">
        <x:v>6000000</x:v>
      </x:c>
      <x:c r="I3467" s="10" t="n">
        <x:v>0.01</x:v>
      </x:c>
      <x:c r="J3467" s="11" t="n">
        <x:v>4</x:v>
      </x:c>
      <x:c r="K3467" s="11" t="n">
        <x:v>10</x:v>
      </x:c>
      <x:c r="L3467" s="11" t="n">
        <x:v>0</x:v>
      </x:c>
      <x:c r="M3467" s="9" t="n">
        <x:f>ROUND(H3467*(1-I3467),2)</x:f>
        <x:v>5940000</x:v>
      </x:c>
      <x:c r="N3467" s="4" t="str">
        <x:v>Sales manager</x:v>
      </x:c>
      <x:c r="O3467" s="4"/>
      <x:c r="P3467" s="9" t="n">
        <x:v>0</x:v>
      </x:c>
      <x:c r="Q3467" s="11" t="n">
        <x:v>1</x:v>
      </x:c>
      <x:c r="R3467" s="8" t="n">
        <x:v>45555</x:v>
      </x:c>
      <x:c r="S3467" s="4" t="str">
        <x:v>Lost / cancelled</x:v>
      </x:c>
      <x:c r="T3467" s="10" t="n">
        <x:v>0.145299</x:v>
      </x:c>
      <x:c r="U3467" s="4" t="str">
        <x:v>Excluded / unlabelled</x:v>
      </x:c>
    </x:row>
    <x:row r="3468" ht="34" customHeight="1">
      <x:c r="A3468" s="4" t="str">
        <x:v>RS-03467</x:v>
      </x:c>
      <x:c r="B3468" s="8" t="n">
        <x:v>45496</x:v>
      </x:c>
      <x:c r="C3468" s="4" t="str">
        <x:v>PRJ-007</x:v>
      </x:c>
      <x:c r="D3468" s="4" t="str">
        <x:v>Villa</x:v>
      </x:c>
      <x:c r="E3468" s="4" t="str">
        <x:v>Cancelled</x:v>
      </x:c>
      <x:c r="F3468" s="4" t="str">
        <x:v>CUS-03467</x:v>
      </x:c>
      <x:c r="G3468" s="4" t="str">
        <x:v>UNIT-03467</x:v>
      </x:c>
      <x:c r="H3468" s="9" t="n">
        <x:v>17400000</x:v>
      </x:c>
      <x:c r="I3468" s="10" t="n">
        <x:v>0.08</x:v>
      </x:c>
      <x:c r="J3468" s="11" t="n">
        <x:v>3</x:v>
      </x:c>
      <x:c r="K3468" s="11" t="n">
        <x:v>4</x:v>
      </x:c>
      <x:c r="L3468" s="11" t="n">
        <x:v>0</x:v>
      </x:c>
      <x:c r="M3468" s="9" t="n">
        <x:f>ROUND(H3468*(1-I3468),2)</x:f>
        <x:v>16008000</x:v>
      </x:c>
      <x:c r="N3468" s="4" t="str">
        <x:v>Sales head</x:v>
      </x:c>
      <x:c r="O3468" s="4"/>
      <x:c r="P3468" s="9" t="n">
        <x:v>0</x:v>
      </x:c>
      <x:c r="Q3468" s="11" t="n">
        <x:v>1</x:v>
      </x:c>
      <x:c r="R3468" s="8" t="n">
        <x:v>45556</x:v>
      </x:c>
      <x:c r="S3468" s="4" t="str">
        <x:v>Lost / cancelled</x:v>
      </x:c>
      <x:c r="T3468" s="10" t="n">
        <x:v>0.204152</x:v>
      </x:c>
      <x:c r="U3468" s="4" t="str">
        <x:v>Excluded / unlabelled</x:v>
      </x:c>
    </x:row>
    <x:row r="3469" ht="34" customHeight="1">
      <x:c r="A3469" s="4" t="str">
        <x:v>RS-03468</x:v>
      </x:c>
      <x:c r="B3469" s="8" t="n">
        <x:v>45497</x:v>
      </x:c>
      <x:c r="C3469" s="4" t="str">
        <x:v>PRJ-008</x:v>
      </x:c>
      <x:c r="D3469" s="4" t="str">
        <x:v>Office</x:v>
      </x:c>
      <x:c r="E3469" s="4" t="str">
        <x:v>Booked</x:v>
      </x:c>
      <x:c r="F3469" s="4" t="str">
        <x:v>CUS-03468</x:v>
      </x:c>
      <x:c r="G3469" s="4" t="str">
        <x:v>UNIT-03468</x:v>
      </x:c>
      <x:c r="H3469" s="9" t="n">
        <x:v>4300000</x:v>
      </x:c>
      <x:c r="I3469" s="10" t="n">
        <x:v>0.1</x:v>
      </x:c>
      <x:c r="J3469" s="11" t="n">
        <x:v>2</x:v>
      </x:c>
      <x:c r="K3469" s="11" t="n">
        <x:v>6</x:v>
      </x:c>
      <x:c r="L3469" s="11" t="n">
        <x:v>1</x:v>
      </x:c>
      <x:c r="M3469" s="9" t="n">
        <x:f>ROUND(H3469*(1-I3469),2)</x:f>
        <x:v>3870000</x:v>
      </x:c>
      <x:c r="N3469" s="4" t="str">
        <x:v>Sales head</x:v>
      </x:c>
      <x:c r="O3469" s="4" t="str">
        <x:v>BOOK-03468</x:v>
      </x:c>
      <x:c r="P3469" s="9" t="n">
        <x:v>967500</x:v>
      </x:c>
      <x:c r="Q3469" s="11" t="n">
        <x:v>0</x:v>
      </x:c>
      <x:c r="R3469" s="8" t="n">
        <x:v>45557</x:v>
      </x:c>
      <x:c r="S3469" s="4" t="str">
        <x:v>Retained</x:v>
      </x:c>
      <x:c r="T3469" s="10" t="n">
        <x:v>0.145833</x:v>
      </x:c>
      <x:c r="U3469" s="4" t="str">
        <x:v>Excluded / unlabelled</x:v>
      </x:c>
    </x:row>
    <x:row r="3470" ht="34" customHeight="1">
      <x:c r="A3470" s="4" t="str">
        <x:v>RS-03469</x:v>
      </x:c>
      <x:c r="B3470" s="8" t="n">
        <x:v>45498</x:v>
      </x:c>
      <x:c r="C3470" s="4" t="str">
        <x:v>PRJ-009</x:v>
      </x:c>
      <x:c r="D3470" s="4" t="str">
        <x:v>Villa</x:v>
      </x:c>
      <x:c r="E3470" s="4" t="str">
        <x:v>Cancelled</x:v>
      </x:c>
      <x:c r="F3470" s="4" t="str">
        <x:v>CUS-03469</x:v>
      </x:c>
      <x:c r="G3470" s="4" t="str">
        <x:v>UNIT-03469</x:v>
      </x:c>
      <x:c r="H3470" s="9" t="n">
        <x:v>6600000</x:v>
      </x:c>
      <x:c r="I3470" s="10" t="n">
        <x:v>0.04</x:v>
      </x:c>
      <x:c r="J3470" s="11" t="n">
        <x:v>10</x:v>
      </x:c>
      <x:c r="K3470" s="11" t="n">
        <x:v>8</x:v>
      </x:c>
      <x:c r="L3470" s="11" t="n">
        <x:v>0</x:v>
      </x:c>
      <x:c r="M3470" s="9" t="n">
        <x:f>ROUND(H3470*(1-I3470),2)</x:f>
        <x:v>6336000</x:v>
      </x:c>
      <x:c r="N3470" s="4" t="str">
        <x:v>Sales manager</x:v>
      </x:c>
      <x:c r="O3470" s="4"/>
      <x:c r="P3470" s="9" t="n">
        <x:v>0</x:v>
      </x:c>
      <x:c r="Q3470" s="11" t="n">
        <x:v>1</x:v>
      </x:c>
      <x:c r="R3470" s="8" t="n">
        <x:v>45558</x:v>
      </x:c>
      <x:c r="S3470" s="4" t="str">
        <x:v>Lost / cancelled</x:v>
      </x:c>
      <x:c r="T3470" s="10" t="n">
        <x:v>0.310195</x:v>
      </x:c>
      <x:c r="U3470" s="4" t="str">
        <x:v>Excluded / unlabelled</x:v>
      </x:c>
    </x:row>
    <x:row r="3471" ht="34" customHeight="1">
      <x:c r="A3471" s="4" t="str">
        <x:v>RS-03470</x:v>
      </x:c>
      <x:c r="B3471" s="8" t="n">
        <x:v>45499</x:v>
      </x:c>
      <x:c r="C3471" s="4" t="str">
        <x:v>PRJ-010</x:v>
      </x:c>
      <x:c r="D3471" s="4" t="str">
        <x:v>Villa</x:v>
      </x:c>
      <x:c r="E3471" s="4" t="str">
        <x:v>Booked</x:v>
      </x:c>
      <x:c r="F3471" s="4" t="str">
        <x:v>CUS-03470</x:v>
      </x:c>
      <x:c r="G3471" s="4" t="str">
        <x:v>UNIT-03470</x:v>
      </x:c>
      <x:c r="H3471" s="9" t="n">
        <x:v>4800000</x:v>
      </x:c>
      <x:c r="I3471" s="10" t="n">
        <x:v>0.06</x:v>
      </x:c>
      <x:c r="J3471" s="11" t="n">
        <x:v>4</x:v>
      </x:c>
      <x:c r="K3471" s="11" t="n">
        <x:v>8</x:v>
      </x:c>
      <x:c r="L3471" s="11" t="n">
        <x:v>1</x:v>
      </x:c>
      <x:c r="M3471" s="9" t="n">
        <x:f>ROUND(H3471*(1-I3471),2)</x:f>
        <x:v>4512000</x:v>
      </x:c>
      <x:c r="N3471" s="4" t="str">
        <x:v>Sales manager</x:v>
      </x:c>
      <x:c r="O3471" s="4" t="str">
        <x:v>BOOK-03470</x:v>
      </x:c>
      <x:c r="P3471" s="9" t="n">
        <x:v>4512000</x:v>
      </x:c>
      <x:c r="Q3471" s="11" t="n">
        <x:v>0</x:v>
      </x:c>
      <x:c r="R3471" s="8" t="n">
        <x:v>45559</x:v>
      </x:c>
      <x:c r="S3471" s="4" t="str">
        <x:v>Retained</x:v>
      </x:c>
      <x:c r="T3471" s="10" t="n">
        <x:v>0.291946</x:v>
      </x:c>
      <x:c r="U3471" s="4" t="str">
        <x:v>Excluded / unlabelled</x:v>
      </x:c>
    </x:row>
    <x:row r="3472" ht="34" customHeight="1">
      <x:c r="A3472" s="4" t="str">
        <x:v>RS-03471</x:v>
      </x:c>
      <x:c r="B3472" s="8" t="n">
        <x:v>45500</x:v>
      </x:c>
      <x:c r="C3472" s="4" t="str">
        <x:v>PRJ-011</x:v>
      </x:c>
      <x:c r="D3472" s="4" t="str">
        <x:v>Retail</x:v>
      </x:c>
      <x:c r="E3472" s="4" t="str">
        <x:v>Handed over</x:v>
      </x:c>
      <x:c r="F3472" s="4" t="str">
        <x:v>CUS-03471</x:v>
      </x:c>
      <x:c r="G3472" s="4" t="str">
        <x:v>UNIT-03471</x:v>
      </x:c>
      <x:c r="H3472" s="9" t="n">
        <x:v>15500000</x:v>
      </x:c>
      <x:c r="I3472" s="10" t="n">
        <x:v>0.12</x:v>
      </x:c>
      <x:c r="J3472" s="11" t="n">
        <x:v>12</x:v>
      </x:c>
      <x:c r="K3472" s="11" t="n">
        <x:v>9</x:v>
      </x:c>
      <x:c r="L3472" s="11" t="n">
        <x:v>0</x:v>
      </x:c>
      <x:c r="M3472" s="9" t="n">
        <x:f>ROUND(H3472*(1-I3472),2)</x:f>
        <x:v>13640000</x:v>
      </x:c>
      <x:c r="N3472" s="4" t="str">
        <x:v>Sales head</x:v>
      </x:c>
      <x:c r="O3472" s="4" t="str">
        <x:v>BOOK-03471</x:v>
      </x:c>
      <x:c r="P3472" s="9" t="n">
        <x:v>1364000</x:v>
      </x:c>
      <x:c r="Q3472" s="11" t="n">
        <x:v>0</x:v>
      </x:c>
      <x:c r="R3472" s="8" t="n">
        <x:v>45560</x:v>
      </x:c>
      <x:c r="S3472" s="4" t="str">
        <x:v>Retained</x:v>
      </x:c>
      <x:c r="T3472" s="10" t="n">
        <x:v>0.351536</x:v>
      </x:c>
      <x:c r="U3472" s="4" t="str">
        <x:v>Excluded / unlabelled</x:v>
      </x:c>
    </x:row>
    <x:row r="3473" ht="34" customHeight="1">
      <x:c r="A3473" s="4" t="str">
        <x:v>RS-03472</x:v>
      </x:c>
      <x:c r="B3473" s="8" t="n">
        <x:v>45501</x:v>
      </x:c>
      <x:c r="C3473" s="4" t="str">
        <x:v>PRJ-012</x:v>
      </x:c>
      <x:c r="D3473" s="4" t="str">
        <x:v>Office</x:v>
      </x:c>
      <x:c r="E3473" s="4" t="str">
        <x:v>Reserved</x:v>
      </x:c>
      <x:c r="F3473" s="4" t="str">
        <x:v>CUS-03472</x:v>
      </x:c>
      <x:c r="G3473" s="4" t="str">
        <x:v>UNIT-03472</x:v>
      </x:c>
      <x:c r="H3473" s="9" t="n">
        <x:v>3100000</x:v>
      </x:c>
      <x:c r="I3473" s="10" t="n">
        <x:v>0.11</x:v>
      </x:c>
      <x:c r="J3473" s="11" t="n">
        <x:v>9</x:v>
      </x:c>
      <x:c r="K3473" s="11" t="n">
        <x:v>7</x:v>
      </x:c>
      <x:c r="L3473" s="11" t="n">
        <x:v>0</x:v>
      </x:c>
      <x:c r="M3473" s="9" t="n">
        <x:f>ROUND(H3473*(1-I3473),2)</x:f>
        <x:v>2759000</x:v>
      </x:c>
      <x:c r="N3473" s="4" t="str">
        <x:v>Sales head</x:v>
      </x:c>
      <x:c r="O3473" s="4"/>
      <x:c r="P3473" s="9" t="n">
        <x:v>0</x:v>
      </x:c>
      <x:c r="Q3473" s="11" t="n">
        <x:v>1</x:v>
      </x:c>
      <x:c r="R3473" s="8" t="n">
        <x:v>45561</x:v>
      </x:c>
      <x:c r="S3473" s="4" t="str">
        <x:v>Lost / cancelled</x:v>
      </x:c>
      <x:c r="T3473" s="10" t="n">
        <x:v>0.310195</x:v>
      </x:c>
      <x:c r="U3473" s="4" t="str">
        <x:v>Excluded / unlabelled</x:v>
      </x:c>
    </x:row>
    <x:row r="3474" ht="34" customHeight="1">
      <x:c r="A3474" s="4" t="str">
        <x:v>RS-03473</x:v>
      </x:c>
      <x:c r="B3474" s="8" t="n">
        <x:v>45474</x:v>
      </x:c>
      <x:c r="C3474" s="4" t="str">
        <x:v>PRJ-013</x:v>
      </x:c>
      <x:c r="D3474" s="4" t="str">
        <x:v>Apartment</x:v>
      </x:c>
      <x:c r="E3474" s="4" t="str">
        <x:v>Enquiry</x:v>
      </x:c>
      <x:c r="F3474" s="4" t="str">
        <x:v>CUS-03473</x:v>
      </x:c>
      <x:c r="G3474" s="4" t="str">
        <x:v>UNIT-03473</x:v>
      </x:c>
      <x:c r="H3474" s="9" t="n">
        <x:v>22600000</x:v>
      </x:c>
      <x:c r="I3474" s="10" t="n">
        <x:v>0.11</x:v>
      </x:c>
      <x:c r="J3474" s="11" t="n">
        <x:v>6</x:v>
      </x:c>
      <x:c r="K3474" s="11" t="n">
        <x:v>7</x:v>
      </x:c>
      <x:c r="L3474" s="11" t="n">
        <x:v>1</x:v>
      </x:c>
      <x:c r="M3474" s="9" t="n">
        <x:f>ROUND(H3474*(1-I3474),2)</x:f>
        <x:v>20114000</x:v>
      </x:c>
      <x:c r="N3474" s="4" t="str">
        <x:v>Sales head</x:v>
      </x:c>
      <x:c r="O3474" s="4"/>
      <x:c r="P3474" s="9" t="n">
        <x:v>0</x:v>
      </x:c>
      <x:c r="Q3474" s="11" t="n">
        <x:v>1</x:v>
      </x:c>
      <x:c r="R3474" s="8" t="n">
        <x:v>45534</x:v>
      </x:c>
      <x:c r="S3474" s="4" t="str">
        <x:v>Lost / cancelled</x:v>
      </x:c>
      <x:c r="T3474" s="10" t="n">
        <x:v>0.291946</x:v>
      </x:c>
      <x:c r="U3474" s="4" t="str">
        <x:v>Excluded / unlabelled</x:v>
      </x:c>
    </x:row>
    <x:row r="3475" ht="34" customHeight="1">
      <x:c r="A3475" s="4" t="str">
        <x:v>RS-03474</x:v>
      </x:c>
      <x:c r="B3475" s="8" t="n">
        <x:v>45475</x:v>
      </x:c>
      <x:c r="C3475" s="4" t="str">
        <x:v>PRJ-014</x:v>
      </x:c>
      <x:c r="D3475" s="4" t="str">
        <x:v>Office</x:v>
      </x:c>
      <x:c r="E3475" s="4" t="str">
        <x:v>Cancelled</x:v>
      </x:c>
      <x:c r="F3475" s="4" t="str">
        <x:v>CUS-03474</x:v>
      </x:c>
      <x:c r="G3475" s="4" t="str">
        <x:v>UNIT-03474</x:v>
      </x:c>
      <x:c r="H3475" s="9" t="n">
        <x:v>19400000</x:v>
      </x:c>
      <x:c r="I3475" s="10" t="n">
        <x:v>0.04</x:v>
      </x:c>
      <x:c r="J3475" s="11" t="n">
        <x:v>7</x:v>
      </x:c>
      <x:c r="K3475" s="11" t="n">
        <x:v>3</x:v>
      </x:c>
      <x:c r="L3475" s="11" t="n">
        <x:v>0</x:v>
      </x:c>
      <x:c r="M3475" s="9" t="n">
        <x:f>ROUND(H3475*(1-I3475),2)</x:f>
        <x:v>18624000</x:v>
      </x:c>
      <x:c r="N3475" s="4" t="str">
        <x:v>Sales manager</x:v>
      </x:c>
      <x:c r="O3475" s="4"/>
      <x:c r="P3475" s="9" t="n">
        <x:v>0</x:v>
      </x:c>
      <x:c r="Q3475" s="11" t="n">
        <x:v>1</x:v>
      </x:c>
      <x:c r="R3475" s="8" t="n">
        <x:v>45535</x:v>
      </x:c>
      <x:c r="S3475" s="4" t="str">
        <x:v>Lost / cancelled</x:v>
      </x:c>
      <x:c r="T3475" s="10" t="n">
        <x:v>0.226277</x:v>
      </x:c>
      <x:c r="U3475" s="4" t="str">
        <x:v>Excluded / unlabelled</x:v>
      </x:c>
    </x:row>
    <x:row r="3476" ht="34" customHeight="1">
      <x:c r="A3476" s="4" t="str">
        <x:v>RS-03475</x:v>
      </x:c>
      <x:c r="B3476" s="8" t="n">
        <x:v>45476</x:v>
      </x:c>
      <x:c r="C3476" s="4" t="str">
        <x:v>PRJ-015</x:v>
      </x:c>
      <x:c r="D3476" s="4" t="str">
        <x:v>Retail</x:v>
      </x:c>
      <x:c r="E3476" s="4" t="str">
        <x:v>Handed over</x:v>
      </x:c>
      <x:c r="F3476" s="4" t="str">
        <x:v>CUS-03475</x:v>
      </x:c>
      <x:c r="G3476" s="4" t="str">
        <x:v>UNIT-03475</x:v>
      </x:c>
      <x:c r="H3476" s="9" t="n">
        <x:v>19800000</x:v>
      </x:c>
      <x:c r="I3476" s="10" t="n">
        <x:v>0</x:v>
      </x:c>
      <x:c r="J3476" s="11" t="n">
        <x:v>7</x:v>
      </x:c>
      <x:c r="K3476" s="11" t="n">
        <x:v>10</x:v>
      </x:c>
      <x:c r="L3476" s="11" t="n">
        <x:v>0</x:v>
      </x:c>
      <x:c r="M3476" s="9" t="n">
        <x:f>ROUND(H3476*(1-I3476),2)</x:f>
        <x:v>19800000</x:v>
      </x:c>
      <x:c r="N3476" s="4" t="str">
        <x:v>Sales manager</x:v>
      </x:c>
      <x:c r="O3476" s="4" t="str">
        <x:v>BOOK-03475</x:v>
      </x:c>
      <x:c r="P3476" s="9" t="n">
        <x:v>4950000</x:v>
      </x:c>
      <x:c r="Q3476" s="11" t="n">
        <x:v>0</x:v>
      </x:c>
      <x:c r="R3476" s="8" t="n">
        <x:v>45536</x:v>
      </x:c>
      <x:c r="S3476" s="4" t="str">
        <x:v>Retained</x:v>
      </x:c>
      <x:c r="T3476" s="10" t="n">
        <x:v>0.145299</x:v>
      </x:c>
      <x:c r="U3476" s="4" t="str">
        <x:v>Excluded / unlabelled</x:v>
      </x:c>
    </x:row>
    <x:row r="3477" ht="34" customHeight="1">
      <x:c r="A3477" s="4" t="str">
        <x:v>RS-03476</x:v>
      </x:c>
      <x:c r="B3477" s="8" t="n">
        <x:v>45477</x:v>
      </x:c>
      <x:c r="C3477" s="4" t="str">
        <x:v>PRJ-016</x:v>
      </x:c>
      <x:c r="D3477" s="4" t="str">
        <x:v>Villa</x:v>
      </x:c>
      <x:c r="E3477" s="4" t="str">
        <x:v>Reserved</x:v>
      </x:c>
      <x:c r="F3477" s="4" t="str">
        <x:v>CUS-03476</x:v>
      </x:c>
      <x:c r="G3477" s="4" t="str">
        <x:v>UNIT-03476</x:v>
      </x:c>
      <x:c r="H3477" s="9" t="n">
        <x:v>3800000</x:v>
      </x:c>
      <x:c r="I3477" s="10" t="n">
        <x:v>0.03</x:v>
      </x:c>
      <x:c r="J3477" s="11" t="n">
        <x:v>3</x:v>
      </x:c>
      <x:c r="K3477" s="11" t="n">
        <x:v>2</x:v>
      </x:c>
      <x:c r="L3477" s="11" t="n">
        <x:v>0</x:v>
      </x:c>
      <x:c r="M3477" s="9" t="n">
        <x:f>ROUND(H3477*(1-I3477),2)</x:f>
        <x:v>3686000</x:v>
      </x:c>
      <x:c r="N3477" s="4" t="str">
        <x:v>Sales manager</x:v>
      </x:c>
      <x:c r="O3477" s="4"/>
      <x:c r="P3477" s="9" t="n">
        <x:v>0</x:v>
      </x:c>
      <x:c r="Q3477" s="11" t="n">
        <x:v>0</x:v>
      </x:c>
      <x:c r="R3477" s="8" t="n">
        <x:v>45537</x:v>
      </x:c>
      <x:c r="S3477" s="4" t="str">
        <x:v>Retained</x:v>
      </x:c>
      <x:c r="T3477" s="10" t="n">
        <x:v>0.171717</x:v>
      </x:c>
      <x:c r="U3477" s="4" t="str">
        <x:v>Excluded / unlabelled</x:v>
      </x:c>
    </x:row>
    <x:row r="3478" ht="34" customHeight="1">
      <x:c r="A3478" s="4" t="str">
        <x:v>RS-03477</x:v>
      </x:c>
      <x:c r="B3478" s="8" t="n">
        <x:v>45478</x:v>
      </x:c>
      <x:c r="C3478" s="4" t="str">
        <x:v>PRJ-017</x:v>
      </x:c>
      <x:c r="D3478" s="4" t="str">
        <x:v>Office</x:v>
      </x:c>
      <x:c r="E3478" s="4" t="str">
        <x:v>Handed over</x:v>
      </x:c>
      <x:c r="F3478" s="4" t="str">
        <x:v>CUS-03477</x:v>
      </x:c>
      <x:c r="G3478" s="4" t="str">
        <x:v>UNIT-03477</x:v>
      </x:c>
      <x:c r="H3478" s="9" t="n">
        <x:v>22200000</x:v>
      </x:c>
      <x:c r="I3478" s="10" t="n">
        <x:v>0.06</x:v>
      </x:c>
      <x:c r="J3478" s="11" t="n">
        <x:v>4</x:v>
      </x:c>
      <x:c r="K3478" s="11" t="n">
        <x:v>10</x:v>
      </x:c>
      <x:c r="L3478" s="11" t="n">
        <x:v>0</x:v>
      </x:c>
      <x:c r="M3478" s="9" t="n">
        <x:f>ROUND(H3478*(1-I3478),2)</x:f>
        <x:v>20868000</x:v>
      </x:c>
      <x:c r="N3478" s="4" t="str">
        <x:v>Sales manager</x:v>
      </x:c>
      <x:c r="O3478" s="4" t="str">
        <x:v>BOOK-03477</x:v>
      </x:c>
      <x:c r="P3478" s="9" t="n">
        <x:v>2086800</x:v>
      </x:c>
      <x:c r="Q3478" s="11" t="n">
        <x:v>0</x:v>
      </x:c>
      <x:c r="R3478" s="8" t="n">
        <x:v>45538</x:v>
      </x:c>
      <x:c r="S3478" s="4" t="str">
        <x:v>Retained</x:v>
      </x:c>
      <x:c r="T3478" s="10" t="n">
        <x:v>0.226277</x:v>
      </x:c>
      <x:c r="U3478" s="4" t="str">
        <x:v>Excluded / unlabelled</x:v>
      </x:c>
    </x:row>
    <x:row r="3479" ht="34" customHeight="1">
      <x:c r="A3479" s="4" t="str">
        <x:v>RS-03478</x:v>
      </x:c>
      <x:c r="B3479" s="8" t="n">
        <x:v>45479</x:v>
      </x:c>
      <x:c r="C3479" s="4" t="str">
        <x:v>PRJ-018</x:v>
      </x:c>
      <x:c r="D3479" s="4" t="str">
        <x:v>Apartment</x:v>
      </x:c>
      <x:c r="E3479" s="4" t="str">
        <x:v>Booked</x:v>
      </x:c>
      <x:c r="F3479" s="4" t="str">
        <x:v>CUS-03478</x:v>
      </x:c>
      <x:c r="G3479" s="4" t="str">
        <x:v>UNIT-03478</x:v>
      </x:c>
      <x:c r="H3479" s="9" t="n">
        <x:v>8600000</x:v>
      </x:c>
      <x:c r="I3479" s="10" t="n">
        <x:v>0.04</x:v>
      </x:c>
      <x:c r="J3479" s="11" t="n">
        <x:v>9</x:v>
      </x:c>
      <x:c r="K3479" s="11" t="n">
        <x:v>6</x:v>
      </x:c>
      <x:c r="L3479" s="11" t="n">
        <x:v>1</x:v>
      </x:c>
      <x:c r="M3479" s="9" t="n">
        <x:f>ROUND(H3479*(1-I3479),2)</x:f>
        <x:v>8256000</x:v>
      </x:c>
      <x:c r="N3479" s="4" t="str">
        <x:v>Sales manager</x:v>
      </x:c>
      <x:c r="O3479" s="4" t="str">
        <x:v>BOOK-03478</x:v>
      </x:c>
      <x:c r="P3479" s="9" t="n">
        <x:v>4128000</x:v>
      </x:c>
      <x:c r="Q3479" s="11" t="n">
        <x:v>0</x:v>
      </x:c>
      <x:c r="R3479" s="8" t="n">
        <x:v>45539</x:v>
      </x:c>
      <x:c r="S3479" s="4" t="str">
        <x:v>Retained</x:v>
      </x:c>
      <x:c r="T3479" s="10" t="n">
        <x:v>0.310195</x:v>
      </x:c>
      <x:c r="U3479" s="4" t="str">
        <x:v>Excluded / unlabelled</x:v>
      </x:c>
    </x:row>
    <x:row r="3480" ht="34" customHeight="1">
      <x:c r="A3480" s="4" t="str">
        <x:v>RS-03479</x:v>
      </x:c>
      <x:c r="B3480" s="8" t="n">
        <x:v>45480</x:v>
      </x:c>
      <x:c r="C3480" s="4" t="str">
        <x:v>PRJ-019</x:v>
      </x:c>
      <x:c r="D3480" s="4" t="str">
        <x:v>Retail</x:v>
      </x:c>
      <x:c r="E3480" s="4" t="str">
        <x:v>Agreement signed</x:v>
      </x:c>
      <x:c r="F3480" s="4" t="str">
        <x:v>CUS-03479</x:v>
      </x:c>
      <x:c r="G3480" s="4" t="str">
        <x:v>UNIT-03479</x:v>
      </x:c>
      <x:c r="H3480" s="9" t="n">
        <x:v>10800000</x:v>
      </x:c>
      <x:c r="I3480" s="10" t="n">
        <x:v>0.04</x:v>
      </x:c>
      <x:c r="J3480" s="11" t="n">
        <x:v>1</x:v>
      </x:c>
      <x:c r="K3480" s="11" t="n">
        <x:v>0</x:v>
      </x:c>
      <x:c r="L3480" s="11" t="n">
        <x:v>0</x:v>
      </x:c>
      <x:c r="M3480" s="9" t="n">
        <x:f>ROUND(H3480*(1-I3480),2)</x:f>
        <x:v>10368000</x:v>
      </x:c>
      <x:c r="N3480" s="4" t="str">
        <x:v>Sales manager</x:v>
      </x:c>
      <x:c r="O3480" s="4" t="str">
        <x:v>BOOK-03479</x:v>
      </x:c>
      <x:c r="P3480" s="9" t="n">
        <x:v>5184000</x:v>
      </x:c>
      <x:c r="Q3480" s="11" t="n">
        <x:v>0</x:v>
      </x:c>
      <x:c r="R3480" s="8" t="n">
        <x:v>45540</x:v>
      </x:c>
      <x:c r="S3480" s="4" t="str">
        <x:v>Retained</x:v>
      </x:c>
      <x:c r="T3480" s="10" t="n">
        <x:v>0.276923</x:v>
      </x:c>
      <x:c r="U3480" s="4" t="str">
        <x:v>Excluded / unlabelled</x:v>
      </x:c>
    </x:row>
    <x:row r="3481" ht="34" customHeight="1">
      <x:c r="A3481" s="4" t="str">
        <x:v>RS-03480</x:v>
      </x:c>
      <x:c r="B3481" s="8" t="n">
        <x:v>45481</x:v>
      </x:c>
      <x:c r="C3481" s="4" t="str">
        <x:v>PRJ-020</x:v>
      </x:c>
      <x:c r="D3481" s="4" t="str">
        <x:v>Office</x:v>
      </x:c>
      <x:c r="E3481" s="4" t="str">
        <x:v>Handed over</x:v>
      </x:c>
      <x:c r="F3481" s="4" t="str">
        <x:v>CUS-03480</x:v>
      </x:c>
      <x:c r="G3481" s="4" t="str">
        <x:v>UNIT-03480</x:v>
      </x:c>
      <x:c r="H3481" s="9" t="n">
        <x:v>5600000</x:v>
      </x:c>
      <x:c r="I3481" s="10" t="n">
        <x:v>0.05</x:v>
      </x:c>
      <x:c r="J3481" s="11" t="n">
        <x:v>12</x:v>
      </x:c>
      <x:c r="K3481" s="11" t="n">
        <x:v>9</x:v>
      </x:c>
      <x:c r="L3481" s="11" t="n">
        <x:v>0</x:v>
      </x:c>
      <x:c r="M3481" s="9" t="n">
        <x:f>ROUND(H3481*(1-I3481),2)</x:f>
        <x:v>5320000</x:v>
      </x:c>
      <x:c r="N3481" s="4" t="str">
        <x:v>Sales manager</x:v>
      </x:c>
      <x:c r="O3481" s="4" t="str">
        <x:v>BOOK-03480</x:v>
      </x:c>
      <x:c r="P3481" s="9" t="n">
        <x:v>2660000</x:v>
      </x:c>
      <x:c r="Q3481" s="11" t="n">
        <x:v>0</x:v>
      </x:c>
      <x:c r="R3481" s="8" t="n">
        <x:v>45541</x:v>
      </x:c>
      <x:c r="S3481" s="4" t="str">
        <x:v>Retained</x:v>
      </x:c>
      <x:c r="T3481" s="10" t="n">
        <x:v>0.351536</x:v>
      </x:c>
      <x:c r="U3481" s="4" t="str">
        <x:v>Excluded / unlabelled</x:v>
      </x:c>
    </x:row>
    <x:row r="3482" ht="34" customHeight="1">
      <x:c r="A3482" s="4" t="str">
        <x:v>RS-03481</x:v>
      </x:c>
      <x:c r="B3482" s="8" t="n">
        <x:v>45482</x:v>
      </x:c>
      <x:c r="C3482" s="4" t="str">
        <x:v>PRJ-001</x:v>
      </x:c>
      <x:c r="D3482" s="4" t="str">
        <x:v>Apartment</x:v>
      </x:c>
      <x:c r="E3482" s="4" t="str">
        <x:v>Enquiry</x:v>
      </x:c>
      <x:c r="F3482" s="4" t="str">
        <x:v>CUS-03481</x:v>
      </x:c>
      <x:c r="G3482" s="4" t="str">
        <x:v>UNIT-03481</x:v>
      </x:c>
      <x:c r="H3482" s="9" t="n">
        <x:v>16700000</x:v>
      </x:c>
      <x:c r="I3482" s="10" t="n">
        <x:v>0.06</x:v>
      </x:c>
      <x:c r="J3482" s="11" t="n">
        <x:v>12</x:v>
      </x:c>
      <x:c r="K3482" s="11" t="n">
        <x:v>4</x:v>
      </x:c>
      <x:c r="L3482" s="11" t="n">
        <x:v>0</x:v>
      </x:c>
      <x:c r="M3482" s="9" t="n">
        <x:f>ROUND(H3482*(1-I3482),2)</x:f>
        <x:v>15698000</x:v>
      </x:c>
      <x:c r="N3482" s="4" t="str">
        <x:v>Sales manager</x:v>
      </x:c>
      <x:c r="O3482" s="4"/>
      <x:c r="P3482" s="9" t="n">
        <x:v>0</x:v>
      </x:c>
      <x:c r="Q3482" s="11" t="n">
        <x:v>0</x:v>
      </x:c>
      <x:c r="R3482" s="8" t="n">
        <x:v>45542</x:v>
      </x:c>
      <x:c r="S3482" s="4" t="str">
        <x:v>Retained</x:v>
      </x:c>
      <x:c r="T3482" s="10" t="n">
        <x:v>0.351536</x:v>
      </x:c>
      <x:c r="U3482" s="4" t="str">
        <x:v>Excluded / unlabelled</x:v>
      </x:c>
    </x:row>
    <x:row r="3483" ht="34" customHeight="1">
      <x:c r="A3483" s="4" t="str">
        <x:v>RS-03482</x:v>
      </x:c>
      <x:c r="B3483" s="8" t="n">
        <x:v>45483</x:v>
      </x:c>
      <x:c r="C3483" s="4" t="str">
        <x:v>PRJ-002</x:v>
      </x:c>
      <x:c r="D3483" s="4" t="str">
        <x:v>Villa</x:v>
      </x:c>
      <x:c r="E3483" s="4" t="str">
        <x:v>Enquiry</x:v>
      </x:c>
      <x:c r="F3483" s="4" t="str">
        <x:v>CUS-03482</x:v>
      </x:c>
      <x:c r="G3483" s="4" t="str">
        <x:v>UNIT-03482</x:v>
      </x:c>
      <x:c r="H3483" s="9" t="n">
        <x:v>23400000</x:v>
      </x:c>
      <x:c r="I3483" s="10" t="n">
        <x:v>0.08</x:v>
      </x:c>
      <x:c r="J3483" s="11" t="n">
        <x:v>2</x:v>
      </x:c>
      <x:c r="K3483" s="11" t="n">
        <x:v>2</x:v>
      </x:c>
      <x:c r="L3483" s="11" t="n">
        <x:v>0</x:v>
      </x:c>
      <x:c r="M3483" s="9" t="n">
        <x:f>ROUND(H3483*(1-I3483),2)</x:f>
        <x:v>21528000</x:v>
      </x:c>
      <x:c r="N3483" s="4" t="str">
        <x:v>Sales head</x:v>
      </x:c>
      <x:c r="O3483" s="4"/>
      <x:c r="P3483" s="9" t="n">
        <x:v>0</x:v>
      </x:c>
      <x:c r="Q3483" s="11" t="n">
        <x:v>0</x:v>
      </x:c>
      <x:c r="R3483" s="8" t="n">
        <x:v>45543</x:v>
      </x:c>
      <x:c r="S3483" s="4" t="str">
        <x:v>Retained</x:v>
      </x:c>
      <x:c r="T3483" s="10" t="n">
        <x:v>0.204152</x:v>
      </x:c>
      <x:c r="U3483" s="4" t="str">
        <x:v>Excluded / unlabelled</x:v>
      </x:c>
    </x:row>
    <x:row r="3484" ht="34" customHeight="1">
      <x:c r="A3484" s="4" t="str">
        <x:v>RS-03483</x:v>
      </x:c>
      <x:c r="B3484" s="8" t="n">
        <x:v>45484</x:v>
      </x:c>
      <x:c r="C3484" s="4" t="str">
        <x:v>PRJ-003</x:v>
      </x:c>
      <x:c r="D3484" s="4" t="str">
        <x:v>Apartment</x:v>
      </x:c>
      <x:c r="E3484" s="4" t="str">
        <x:v>Agreement signed</x:v>
      </x:c>
      <x:c r="F3484" s="4" t="str">
        <x:v>CUS-03483</x:v>
      </x:c>
      <x:c r="G3484" s="4" t="str">
        <x:v>UNIT-03483</x:v>
      </x:c>
      <x:c r="H3484" s="9" t="n">
        <x:v>20900000</x:v>
      </x:c>
      <x:c r="I3484" s="10" t="n">
        <x:v>0.09</x:v>
      </x:c>
      <x:c r="J3484" s="11" t="n">
        <x:v>6</x:v>
      </x:c>
      <x:c r="K3484" s="11" t="n">
        <x:v>5</x:v>
      </x:c>
      <x:c r="L3484" s="11" t="n">
        <x:v>1</x:v>
      </x:c>
      <x:c r="M3484" s="9" t="n">
        <x:f>ROUND(H3484*(1-I3484),2)</x:f>
        <x:v>19019000</x:v>
      </x:c>
      <x:c r="N3484" s="4" t="str">
        <x:v>Sales head</x:v>
      </x:c>
      <x:c r="O3484" s="4" t="str">
        <x:v>BOOK-03483</x:v>
      </x:c>
      <x:c r="P3484" s="9" t="n">
        <x:v>1901900</x:v>
      </x:c>
      <x:c r="Q3484" s="11" t="n">
        <x:v>0</x:v>
      </x:c>
      <x:c r="R3484" s="8" t="n">
        <x:v>45544</x:v>
      </x:c>
      <x:c r="S3484" s="4" t="str">
        <x:v>Retained</x:v>
      </x:c>
      <x:c r="T3484" s="10" t="n">
        <x:v>0.291946</x:v>
      </x:c>
      <x:c r="U3484" s="4" t="str">
        <x:v>Excluded / unlabelled</x:v>
      </x:c>
    </x:row>
    <x:row r="3485" ht="34" customHeight="1">
      <x:c r="A3485" s="4" t="str">
        <x:v>RS-03484</x:v>
      </x:c>
      <x:c r="B3485" s="8" t="n">
        <x:v>45485</x:v>
      </x:c>
      <x:c r="C3485" s="4" t="str">
        <x:v>PRJ-004</x:v>
      </x:c>
      <x:c r="D3485" s="4" t="str">
        <x:v>Office</x:v>
      </x:c>
      <x:c r="E3485" s="4" t="str">
        <x:v>Handed over</x:v>
      </x:c>
      <x:c r="F3485" s="4" t="str">
        <x:v>CUS-03484</x:v>
      </x:c>
      <x:c r="G3485" s="4" t="str">
        <x:v>UNIT-03484</x:v>
      </x:c>
      <x:c r="H3485" s="9" t="n">
        <x:v>5700000</x:v>
      </x:c>
      <x:c r="I3485" s="10" t="n">
        <x:v>0.11</x:v>
      </x:c>
      <x:c r="J3485" s="11" t="n">
        <x:v>7</x:v>
      </x:c>
      <x:c r="K3485" s="11" t="n">
        <x:v>3</x:v>
      </x:c>
      <x:c r="L3485" s="11" t="n">
        <x:v>1</x:v>
      </x:c>
      <x:c r="M3485" s="9" t="n">
        <x:f>ROUND(H3485*(1-I3485),2)</x:f>
        <x:v>5073000</x:v>
      </x:c>
      <x:c r="N3485" s="4" t="str">
        <x:v>Sales head</x:v>
      </x:c>
      <x:c r="O3485" s="4" t="str">
        <x:v>BOOK-03484</x:v>
      </x:c>
      <x:c r="P3485" s="9" t="n">
        <x:v>2536500</x:v>
      </x:c>
      <x:c r="Q3485" s="11" t="n">
        <x:v>0</x:v>
      </x:c>
      <x:c r="R3485" s="8" t="n">
        <x:v>45545</x:v>
      </x:c>
      <x:c r="S3485" s="4" t="str">
        <x:v>Retained</x:v>
      </x:c>
      <x:c r="T3485" s="10" t="n">
        <x:v>0.291946</x:v>
      </x:c>
      <x:c r="U3485" s="4" t="str">
        <x:v>Excluded / unlabelled</x:v>
      </x:c>
    </x:row>
    <x:row r="3486" ht="34" customHeight="1">
      <x:c r="A3486" s="4" t="str">
        <x:v>RS-03485</x:v>
      </x:c>
      <x:c r="B3486" s="8" t="n">
        <x:v>45486</x:v>
      </x:c>
      <x:c r="C3486" s="4" t="str">
        <x:v>PRJ-005</x:v>
      </x:c>
      <x:c r="D3486" s="4" t="str">
        <x:v>Office</x:v>
      </x:c>
      <x:c r="E3486" s="4" t="str">
        <x:v>Reserved</x:v>
      </x:c>
      <x:c r="F3486" s="4" t="str">
        <x:v>CUS-03485</x:v>
      </x:c>
      <x:c r="G3486" s="4" t="str">
        <x:v>UNIT-03485</x:v>
      </x:c>
      <x:c r="H3486" s="9" t="n">
        <x:v>14700000</x:v>
      </x:c>
      <x:c r="I3486" s="10" t="n">
        <x:v>0.08</x:v>
      </x:c>
      <x:c r="J3486" s="11" t="n">
        <x:v>12</x:v>
      </x:c>
      <x:c r="K3486" s="11" t="n">
        <x:v>7</x:v>
      </x:c>
      <x:c r="L3486" s="11" t="n">
        <x:v>0</x:v>
      </x:c>
      <x:c r="M3486" s="9" t="n">
        <x:f>ROUND(H3486*(1-I3486),2)</x:f>
        <x:v>13524000</x:v>
      </x:c>
      <x:c r="N3486" s="4" t="str">
        <x:v>Sales head</x:v>
      </x:c>
      <x:c r="O3486" s="4"/>
      <x:c r="P3486" s="9" t="n">
        <x:v>0</x:v>
      </x:c>
      <x:c r="Q3486" s="11" t="n">
        <x:v>1</x:v>
      </x:c>
      <x:c r="R3486" s="8" t="n">
        <x:v>45546</x:v>
      </x:c>
      <x:c r="S3486" s="4" t="str">
        <x:v>Lost / cancelled</x:v>
      </x:c>
      <x:c r="T3486" s="10" t="n">
        <x:v>0.351536</x:v>
      </x:c>
      <x:c r="U3486" s="4" t="str">
        <x:v>Excluded / unlabelled</x:v>
      </x:c>
    </x:row>
    <x:row r="3487" ht="34" customHeight="1">
      <x:c r="A3487" s="4" t="str">
        <x:v>RS-03486</x:v>
      </x:c>
      <x:c r="B3487" s="8" t="n">
        <x:v>45487</x:v>
      </x:c>
      <x:c r="C3487" s="4" t="str">
        <x:v>PRJ-006</x:v>
      </x:c>
      <x:c r="D3487" s="4" t="str">
        <x:v>Apartment</x:v>
      </x:c>
      <x:c r="E3487" s="4" t="str">
        <x:v>Cancelled</x:v>
      </x:c>
      <x:c r="F3487" s="4" t="str">
        <x:v>CUS-03486</x:v>
      </x:c>
      <x:c r="G3487" s="4" t="str">
        <x:v>UNIT-03486</x:v>
      </x:c>
      <x:c r="H3487" s="9" t="n">
        <x:v>14800000</x:v>
      </x:c>
      <x:c r="I3487" s="10" t="n">
        <x:v>0.08</x:v>
      </x:c>
      <x:c r="J3487" s="11" t="n">
        <x:v>6</x:v>
      </x:c>
      <x:c r="K3487" s="11" t="n">
        <x:v>8</x:v>
      </x:c>
      <x:c r="L3487" s="11" t="n">
        <x:v>0</x:v>
      </x:c>
      <x:c r="M3487" s="9" t="n">
        <x:f>ROUND(H3487*(1-I3487),2)</x:f>
        <x:v>13616000</x:v>
      </x:c>
      <x:c r="N3487" s="4" t="str">
        <x:v>Sales head</x:v>
      </x:c>
      <x:c r="O3487" s="4"/>
      <x:c r="P3487" s="9" t="n">
        <x:v>0</x:v>
      </x:c>
      <x:c r="Q3487" s="11" t="n">
        <x:v>1</x:v>
      </x:c>
      <x:c r="R3487" s="8" t="n">
        <x:v>45547</x:v>
      </x:c>
      <x:c r="S3487" s="4" t="str">
        <x:v>Lost / cancelled</x:v>
      </x:c>
      <x:c r="T3487" s="10" t="n">
        <x:v>0.226277</x:v>
      </x:c>
      <x:c r="U3487" s="4" t="str">
        <x:v>Excluded / unlabelled</x:v>
      </x:c>
    </x:row>
    <x:row r="3488" ht="34" customHeight="1">
      <x:c r="A3488" s="4" t="str">
        <x:v>RS-03487</x:v>
      </x:c>
      <x:c r="B3488" s="8" t="n">
        <x:v>45488</x:v>
      </x:c>
      <x:c r="C3488" s="4" t="str">
        <x:v>PRJ-007</x:v>
      </x:c>
      <x:c r="D3488" s="4" t="str">
        <x:v>Apartment</x:v>
      </x:c>
      <x:c r="E3488" s="4" t="str">
        <x:v>Reserved</x:v>
      </x:c>
      <x:c r="F3488" s="4" t="str">
        <x:v>CUS-03487</x:v>
      </x:c>
      <x:c r="G3488" s="4" t="str">
        <x:v>UNIT-03487</x:v>
      </x:c>
      <x:c r="H3488" s="9" t="n">
        <x:v>7500000</x:v>
      </x:c>
      <x:c r="I3488" s="10" t="n">
        <x:v>0.04</x:v>
      </x:c>
      <x:c r="J3488" s="11" t="n">
        <x:v>5</x:v>
      </x:c>
      <x:c r="K3488" s="11" t="n">
        <x:v>7</x:v>
      </x:c>
      <x:c r="L3488" s="11" t="n">
        <x:v>1</x:v>
      </x:c>
      <x:c r="M3488" s="9" t="n">
        <x:f>ROUND(H3488*(1-I3488),2)</x:f>
        <x:v>7200000</x:v>
      </x:c>
      <x:c r="N3488" s="4" t="str">
        <x:v>Sales manager</x:v>
      </x:c>
      <x:c r="O3488" s="4"/>
      <x:c r="P3488" s="9" t="n">
        <x:v>0</x:v>
      </x:c>
      <x:c r="Q3488" s="11" t="n">
        <x:v>0</x:v>
      </x:c>
      <x:c r="R3488" s="8" t="n">
        <x:v>45548</x:v>
      </x:c>
      <x:c r="S3488" s="4" t="str">
        <x:v>Retained</x:v>
      </x:c>
      <x:c r="T3488" s="10" t="n">
        <x:v>0.291946</x:v>
      </x:c>
      <x:c r="U3488" s="4" t="str">
        <x:v>Excluded / unlabelled</x:v>
      </x:c>
    </x:row>
    <x:row r="3489" ht="34" customHeight="1">
      <x:c r="A3489" s="4" t="str">
        <x:v>RS-03488</x:v>
      </x:c>
      <x:c r="B3489" s="8" t="n">
        <x:v>45489</x:v>
      </x:c>
      <x:c r="C3489" s="4" t="str">
        <x:v>PRJ-008</x:v>
      </x:c>
      <x:c r="D3489" s="4" t="str">
        <x:v>Office</x:v>
      </x:c>
      <x:c r="E3489" s="4" t="str">
        <x:v>Agreement signed</x:v>
      </x:c>
      <x:c r="F3489" s="4" t="str">
        <x:v>CUS-03488</x:v>
      </x:c>
      <x:c r="G3489" s="4" t="str">
        <x:v>UNIT-03488</x:v>
      </x:c>
      <x:c r="H3489" s="9" t="n">
        <x:v>4300000</x:v>
      </x:c>
      <x:c r="I3489" s="10" t="n">
        <x:v>0.04</x:v>
      </x:c>
      <x:c r="J3489" s="11" t="n">
        <x:v>5</x:v>
      </x:c>
      <x:c r="K3489" s="11" t="n">
        <x:v>8</x:v>
      </x:c>
      <x:c r="L3489" s="11" t="n">
        <x:v>0</x:v>
      </x:c>
      <x:c r="M3489" s="9" t="n">
        <x:f>ROUND(H3489*(1-I3489),2)</x:f>
        <x:v>4128000</x:v>
      </x:c>
      <x:c r="N3489" s="4" t="str">
        <x:v>Sales manager</x:v>
      </x:c>
      <x:c r="O3489" s="4" t="str">
        <x:v>BOOK-03488</x:v>
      </x:c>
      <x:c r="P3489" s="9" t="n">
        <x:v>1032000</x:v>
      </x:c>
      <x:c r="Q3489" s="11" t="n">
        <x:v>0</x:v>
      </x:c>
      <x:c r="R3489" s="8" t="n">
        <x:v>45549</x:v>
      </x:c>
      <x:c r="S3489" s="4" t="str">
        <x:v>Retained</x:v>
      </x:c>
      <x:c r="T3489" s="10" t="n">
        <x:v>0.226277</x:v>
      </x:c>
      <x:c r="U3489" s="4" t="str">
        <x:v>Excluded / unlabelled</x:v>
      </x:c>
    </x:row>
    <x:row r="3490" ht="34" customHeight="1">
      <x:c r="A3490" s="4" t="str">
        <x:v>RS-03489</x:v>
      </x:c>
      <x:c r="B3490" s="8" t="n">
        <x:v>45490</x:v>
      </x:c>
      <x:c r="C3490" s="4" t="str">
        <x:v>PRJ-009</x:v>
      </x:c>
      <x:c r="D3490" s="4" t="str">
        <x:v>Office</x:v>
      </x:c>
      <x:c r="E3490" s="4" t="str">
        <x:v>Handed over</x:v>
      </x:c>
      <x:c r="F3490" s="4" t="str">
        <x:v>CUS-03489</x:v>
      </x:c>
      <x:c r="G3490" s="4" t="str">
        <x:v>UNIT-03489</x:v>
      </x:c>
      <x:c r="H3490" s="9" t="n">
        <x:v>4900000</x:v>
      </x:c>
      <x:c r="I3490" s="10" t="n">
        <x:v>0.08</x:v>
      </x:c>
      <x:c r="J3490" s="11" t="n">
        <x:v>2</x:v>
      </x:c>
      <x:c r="K3490" s="11" t="n">
        <x:v>4</x:v>
      </x:c>
      <x:c r="L3490" s="11" t="n">
        <x:v>0</x:v>
      </x:c>
      <x:c r="M3490" s="9" t="n">
        <x:f>ROUND(H3490*(1-I3490),2)</x:f>
        <x:v>4508000</x:v>
      </x:c>
      <x:c r="N3490" s="4" t="str">
        <x:v>Sales head</x:v>
      </x:c>
      <x:c r="O3490" s="4" t="str">
        <x:v>BOOK-03489</x:v>
      </x:c>
      <x:c r="P3490" s="9" t="n">
        <x:v>4508000</x:v>
      </x:c>
      <x:c r="Q3490" s="11" t="n">
        <x:v>0</x:v>
      </x:c>
      <x:c r="R3490" s="8" t="n">
        <x:v>45550</x:v>
      </x:c>
      <x:c r="S3490" s="4" t="str">
        <x:v>Retained</x:v>
      </x:c>
      <x:c r="T3490" s="10" t="n">
        <x:v>0.204152</x:v>
      </x:c>
      <x:c r="U3490" s="4" t="str">
        <x:v>Excluded / unlabelled</x:v>
      </x:c>
    </x:row>
    <x:row r="3491" ht="34" customHeight="1">
      <x:c r="A3491" s="4" t="str">
        <x:v>RS-03490</x:v>
      </x:c>
      <x:c r="B3491" s="8" t="n">
        <x:v>45491</x:v>
      </x:c>
      <x:c r="C3491" s="4" t="str">
        <x:v>PRJ-010</x:v>
      </x:c>
      <x:c r="D3491" s="4" t="str">
        <x:v>Office</x:v>
      </x:c>
      <x:c r="E3491" s="4" t="str">
        <x:v>Enquiry</x:v>
      </x:c>
      <x:c r="F3491" s="4" t="str">
        <x:v>CUS-03490</x:v>
      </x:c>
      <x:c r="G3491" s="4" t="str">
        <x:v>UNIT-03490</x:v>
      </x:c>
      <x:c r="H3491" s="9" t="n">
        <x:v>15100000</x:v>
      </x:c>
      <x:c r="I3491" s="10" t="n">
        <x:v>0.04</x:v>
      </x:c>
      <x:c r="J3491" s="11" t="n">
        <x:v>11</x:v>
      </x:c>
      <x:c r="K3491" s="11" t="n">
        <x:v>3</x:v>
      </x:c>
      <x:c r="L3491" s="11" t="n">
        <x:v>0</x:v>
      </x:c>
      <x:c r="M3491" s="9" t="n">
        <x:f>ROUND(H3491*(1-I3491),2)</x:f>
        <x:v>14496000</x:v>
      </x:c>
      <x:c r="N3491" s="4" t="str">
        <x:v>Sales manager</x:v>
      </x:c>
      <x:c r="O3491" s="4"/>
      <x:c r="P3491" s="9" t="n">
        <x:v>0</x:v>
      </x:c>
      <x:c r="Q3491" s="11" t="n">
        <x:v>0</x:v>
      </x:c>
      <x:c r="R3491" s="8" t="n">
        <x:v>45551</x:v>
      </x:c>
      <x:c r="S3491" s="4" t="str">
        <x:v>Retained</x:v>
      </x:c>
      <x:c r="T3491" s="10" t="n">
        <x:v>0.351536</x:v>
      </x:c>
      <x:c r="U3491" s="4" t="str">
        <x:v>Excluded / unlabelled</x:v>
      </x:c>
    </x:row>
    <x:row r="3492" ht="34" customHeight="1">
      <x:c r="A3492" s="4" t="str">
        <x:v>RS-03491</x:v>
      </x:c>
      <x:c r="B3492" s="8" t="n">
        <x:v>45492</x:v>
      </x:c>
      <x:c r="C3492" s="4" t="str">
        <x:v>PRJ-011</x:v>
      </x:c>
      <x:c r="D3492" s="4" t="str">
        <x:v>Retail</x:v>
      </x:c>
      <x:c r="E3492" s="4" t="str">
        <x:v>Reserved</x:v>
      </x:c>
      <x:c r="F3492" s="4" t="str">
        <x:v>CUS-03491</x:v>
      </x:c>
      <x:c r="G3492" s="4" t="str">
        <x:v>UNIT-03491</x:v>
      </x:c>
      <x:c r="H3492" s="9" t="n">
        <x:v>23400000</x:v>
      </x:c>
      <x:c r="I3492" s="10" t="n">
        <x:v>0.09</x:v>
      </x:c>
      <x:c r="J3492" s="11" t="n">
        <x:v>4</x:v>
      </x:c>
      <x:c r="K3492" s="11" t="n">
        <x:v>9</x:v>
      </x:c>
      <x:c r="L3492" s="11" t="n">
        <x:v>0</x:v>
      </x:c>
      <x:c r="M3492" s="9" t="n">
        <x:f>ROUND(H3492*(1-I3492),2)</x:f>
        <x:v>21294000</x:v>
      </x:c>
      <x:c r="N3492" s="4" t="str">
        <x:v>Sales head</x:v>
      </x:c>
      <x:c r="O3492" s="4"/>
      <x:c r="P3492" s="9" t="n">
        <x:v>0</x:v>
      </x:c>
      <x:c r="Q3492" s="11" t="n">
        <x:v>0</x:v>
      </x:c>
      <x:c r="R3492" s="8" t="n">
        <x:v>45552</x:v>
      </x:c>
      <x:c r="S3492" s="4" t="str">
        <x:v>Retained</x:v>
      </x:c>
      <x:c r="T3492" s="10" t="n">
        <x:v>0.226277</x:v>
      </x:c>
      <x:c r="U3492" s="4" t="str">
        <x:v>Excluded / unlabelled</x:v>
      </x:c>
    </x:row>
    <x:row r="3493" ht="34" customHeight="1">
      <x:c r="A3493" s="4" t="str">
        <x:v>RS-03492</x:v>
      </x:c>
      <x:c r="B3493" s="8" t="n">
        <x:v>45493</x:v>
      </x:c>
      <x:c r="C3493" s="4" t="str">
        <x:v>PRJ-012</x:v>
      </x:c>
      <x:c r="D3493" s="4" t="str">
        <x:v>Office</x:v>
      </x:c>
      <x:c r="E3493" s="4" t="str">
        <x:v>Agreement signed</x:v>
      </x:c>
      <x:c r="F3493" s="4" t="str">
        <x:v>CUS-03492</x:v>
      </x:c>
      <x:c r="G3493" s="4" t="str">
        <x:v>UNIT-03492</x:v>
      </x:c>
      <x:c r="H3493" s="9" t="n">
        <x:v>14900000</x:v>
      </x:c>
      <x:c r="I3493" s="10" t="n">
        <x:v>0.04</x:v>
      </x:c>
      <x:c r="J3493" s="11" t="n">
        <x:v>2</x:v>
      </x:c>
      <x:c r="K3493" s="11" t="n">
        <x:v>1</x:v>
      </x:c>
      <x:c r="L3493" s="11" t="n">
        <x:v>0</x:v>
      </x:c>
      <x:c r="M3493" s="9" t="n">
        <x:f>ROUND(H3493*(1-I3493),2)</x:f>
        <x:v>14304000</x:v>
      </x:c>
      <x:c r="N3493" s="4" t="str">
        <x:v>Sales manager</x:v>
      </x:c>
      <x:c r="O3493" s="4" t="str">
        <x:v>BOOK-03492</x:v>
      </x:c>
      <x:c r="P3493" s="9" t="n">
        <x:v>3576000</x:v>
      </x:c>
      <x:c r="Q3493" s="11" t="n">
        <x:v>0</x:v>
      </x:c>
      <x:c r="R3493" s="8" t="n">
        <x:v>45553</x:v>
      </x:c>
      <x:c r="S3493" s="4" t="str">
        <x:v>Retained</x:v>
      </x:c>
      <x:c r="T3493" s="10" t="n">
        <x:v>0.204152</x:v>
      </x:c>
      <x:c r="U3493" s="4" t="str">
        <x:v>Excluded / unlabelled</x:v>
      </x:c>
    </x:row>
    <x:row r="3494" ht="34" customHeight="1">
      <x:c r="A3494" s="4" t="str">
        <x:v>RS-03493</x:v>
      </x:c>
      <x:c r="B3494" s="8" t="n">
        <x:v>45494</x:v>
      </x:c>
      <x:c r="C3494" s="4" t="str">
        <x:v>PRJ-013</x:v>
      </x:c>
      <x:c r="D3494" s="4" t="str">
        <x:v>Retail</x:v>
      </x:c>
      <x:c r="E3494" s="4" t="str">
        <x:v>Handed over</x:v>
      </x:c>
      <x:c r="F3494" s="4" t="str">
        <x:v>CUS-03493</x:v>
      </x:c>
      <x:c r="G3494" s="4" t="str">
        <x:v>UNIT-03493</x:v>
      </x:c>
      <x:c r="H3494" s="9" t="n">
        <x:v>8900000</x:v>
      </x:c>
      <x:c r="I3494" s="10" t="n">
        <x:v>0.01</x:v>
      </x:c>
      <x:c r="J3494" s="11" t="n">
        <x:v>9</x:v>
      </x:c>
      <x:c r="K3494" s="11" t="n">
        <x:v>3</x:v>
      </x:c>
      <x:c r="L3494" s="11" t="n">
        <x:v>0</x:v>
      </x:c>
      <x:c r="M3494" s="9" t="n">
        <x:f>ROUND(H3494*(1-I3494),2)</x:f>
        <x:v>8811000</x:v>
      </x:c>
      <x:c r="N3494" s="4" t="str">
        <x:v>Sales manager</x:v>
      </x:c>
      <x:c r="O3494" s="4" t="str">
        <x:v>BOOK-03493</x:v>
      </x:c>
      <x:c r="P3494" s="9" t="n">
        <x:v>8811000</x:v>
      </x:c>
      <x:c r="Q3494" s="11" t="n">
        <x:v>0</x:v>
      </x:c>
      <x:c r="R3494" s="8" t="n">
        <x:v>45554</x:v>
      </x:c>
      <x:c r="S3494" s="4" t="str">
        <x:v>Retained</x:v>
      </x:c>
      <x:c r="T3494" s="10" t="n">
        <x:v>0.305556</x:v>
      </x:c>
      <x:c r="U3494" s="4" t="str">
        <x:v>Excluded / unlabelled</x:v>
      </x:c>
    </x:row>
    <x:row r="3495" ht="34" customHeight="1">
      <x:c r="A3495" s="4" t="str">
        <x:v>RS-03494</x:v>
      </x:c>
      <x:c r="B3495" s="8" t="n">
        <x:v>45495</x:v>
      </x:c>
      <x:c r="C3495" s="4" t="str">
        <x:v>PRJ-014</x:v>
      </x:c>
      <x:c r="D3495" s="4" t="str">
        <x:v>Retail</x:v>
      </x:c>
      <x:c r="E3495" s="4" t="str">
        <x:v>Agreement signed</x:v>
      </x:c>
      <x:c r="F3495" s="4" t="str">
        <x:v>CUS-03494</x:v>
      </x:c>
      <x:c r="G3495" s="4" t="str">
        <x:v>UNIT-03494</x:v>
      </x:c>
      <x:c r="H3495" s="9" t="n">
        <x:v>6300000</x:v>
      </x:c>
      <x:c r="I3495" s="10" t="n">
        <x:v>0.07</x:v>
      </x:c>
      <x:c r="J3495" s="11" t="n">
        <x:v>5</x:v>
      </x:c>
      <x:c r="K3495" s="11" t="n">
        <x:v>3</x:v>
      </x:c>
      <x:c r="L3495" s="11" t="n">
        <x:v>1</x:v>
      </x:c>
      <x:c r="M3495" s="9" t="n">
        <x:f>ROUND(H3495*(1-I3495),2)</x:f>
        <x:v>5859000</x:v>
      </x:c>
      <x:c r="N3495" s="4" t="str">
        <x:v>Sales manager</x:v>
      </x:c>
      <x:c r="O3495" s="4" t="str">
        <x:v>BOOK-03494</x:v>
      </x:c>
      <x:c r="P3495" s="9" t="n">
        <x:v>585900</x:v>
      </x:c>
      <x:c r="Q3495" s="11" t="n">
        <x:v>0</x:v>
      </x:c>
      <x:c r="R3495" s="8" t="n">
        <x:v>45555</x:v>
      </x:c>
      <x:c r="S3495" s="4" t="str">
        <x:v>Retained</x:v>
      </x:c>
      <x:c r="T3495" s="10" t="n">
        <x:v>0.291946</x:v>
      </x:c>
      <x:c r="U3495" s="4" t="str">
        <x:v>Excluded / unlabelled</x:v>
      </x:c>
    </x:row>
    <x:row r="3496" ht="34" customHeight="1">
      <x:c r="A3496" s="4" t="str">
        <x:v>RS-03495</x:v>
      </x:c>
      <x:c r="B3496" s="8" t="n">
        <x:v>45496</x:v>
      </x:c>
      <x:c r="C3496" s="4" t="str">
        <x:v>PRJ-015</x:v>
      </x:c>
      <x:c r="D3496" s="4" t="str">
        <x:v>Apartment</x:v>
      </x:c>
      <x:c r="E3496" s="4" t="str">
        <x:v>Booked</x:v>
      </x:c>
      <x:c r="F3496" s="4" t="str">
        <x:v>CUS-03495</x:v>
      </x:c>
      <x:c r="G3496" s="4" t="str">
        <x:v>UNIT-03495</x:v>
      </x:c>
      <x:c r="H3496" s="9" t="n">
        <x:v>4100000</x:v>
      </x:c>
      <x:c r="I3496" s="10" t="n">
        <x:v>0.07</x:v>
      </x:c>
      <x:c r="J3496" s="11" t="n">
        <x:v>3</x:v>
      </x:c>
      <x:c r="K3496" s="11" t="n">
        <x:v>9</x:v>
      </x:c>
      <x:c r="L3496" s="11" t="n">
        <x:v>0</x:v>
      </x:c>
      <x:c r="M3496" s="9" t="n">
        <x:f>ROUND(H3496*(1-I3496),2)</x:f>
        <x:v>3813000</x:v>
      </x:c>
      <x:c r="N3496" s="4" t="str">
        <x:v>Sales manager</x:v>
      </x:c>
      <x:c r="O3496" s="4" t="str">
        <x:v>BOOK-03495</x:v>
      </x:c>
      <x:c r="P3496" s="9" t="n">
        <x:v>3813000</x:v>
      </x:c>
      <x:c r="Q3496" s="11" t="n">
        <x:v>0</x:v>
      </x:c>
      <x:c r="R3496" s="8" t="n">
        <x:v>45556</x:v>
      </x:c>
      <x:c r="S3496" s="4" t="str">
        <x:v>Retained</x:v>
      </x:c>
      <x:c r="T3496" s="10" t="n">
        <x:v>0.204152</x:v>
      </x:c>
      <x:c r="U3496" s="4" t="str">
        <x:v>Excluded / unlabelled</x:v>
      </x:c>
    </x:row>
    <x:row r="3497" ht="34" customHeight="1">
      <x:c r="A3497" s="4" t="str">
        <x:v>RS-03496</x:v>
      </x:c>
      <x:c r="B3497" s="8" t="n">
        <x:v>45497</x:v>
      </x:c>
      <x:c r="C3497" s="4" t="str">
        <x:v>PRJ-016</x:v>
      </x:c>
      <x:c r="D3497" s="4" t="str">
        <x:v>Retail</x:v>
      </x:c>
      <x:c r="E3497" s="4" t="str">
        <x:v>Handed over</x:v>
      </x:c>
      <x:c r="F3497" s="4" t="str">
        <x:v>CUS-03496</x:v>
      </x:c>
      <x:c r="G3497" s="4" t="str">
        <x:v>UNIT-03496</x:v>
      </x:c>
      <x:c r="H3497" s="9" t="n">
        <x:v>13200000</x:v>
      </x:c>
      <x:c r="I3497" s="10" t="n">
        <x:v>0.06</x:v>
      </x:c>
      <x:c r="J3497" s="11" t="n">
        <x:v>4</x:v>
      </x:c>
      <x:c r="K3497" s="11" t="n">
        <x:v>1</x:v>
      </x:c>
      <x:c r="L3497" s="11" t="n">
        <x:v>0</x:v>
      </x:c>
      <x:c r="M3497" s="9" t="n">
        <x:f>ROUND(H3497*(1-I3497),2)</x:f>
        <x:v>12408000</x:v>
      </x:c>
      <x:c r="N3497" s="4" t="str">
        <x:v>Sales manager</x:v>
      </x:c>
      <x:c r="O3497" s="4" t="str">
        <x:v>BOOK-03496</x:v>
      </x:c>
      <x:c r="P3497" s="9" t="n">
        <x:v>6204000</x:v>
      </x:c>
      <x:c r="Q3497" s="11" t="n">
        <x:v>0</x:v>
      </x:c>
      <x:c r="R3497" s="8" t="n">
        <x:v>45557</x:v>
      </x:c>
      <x:c r="S3497" s="4" t="str">
        <x:v>Retained</x:v>
      </x:c>
      <x:c r="T3497" s="10" t="n">
        <x:v>0.226277</x:v>
      </x:c>
      <x:c r="U3497" s="4" t="str">
        <x:v>Excluded / unlabelled</x:v>
      </x:c>
    </x:row>
    <x:row r="3498" ht="34" customHeight="1">
      <x:c r="A3498" s="4" t="str">
        <x:v>RS-03497</x:v>
      </x:c>
      <x:c r="B3498" s="8" t="n">
        <x:v>45498</x:v>
      </x:c>
      <x:c r="C3498" s="4" t="str">
        <x:v>PRJ-017</x:v>
      </x:c>
      <x:c r="D3498" s="4" t="str">
        <x:v>Office</x:v>
      </x:c>
      <x:c r="E3498" s="4" t="str">
        <x:v>Booked</x:v>
      </x:c>
      <x:c r="F3498" s="4" t="str">
        <x:v>CUS-03497</x:v>
      </x:c>
      <x:c r="G3498" s="4" t="str">
        <x:v>UNIT-03497</x:v>
      </x:c>
      <x:c r="H3498" s="9" t="n">
        <x:v>16200000</x:v>
      </x:c>
      <x:c r="I3498" s="10" t="n">
        <x:v>0.09</x:v>
      </x:c>
      <x:c r="J3498" s="11" t="n">
        <x:v>1</x:v>
      </x:c>
      <x:c r="K3498" s="11" t="n">
        <x:v>3</x:v>
      </x:c>
      <x:c r="L3498" s="11" t="n">
        <x:v>0</x:v>
      </x:c>
      <x:c r="M3498" s="9" t="n">
        <x:f>ROUND(H3498*(1-I3498),2)</x:f>
        <x:v>14742000</x:v>
      </x:c>
      <x:c r="N3498" s="4" t="str">
        <x:v>Sales head</x:v>
      </x:c>
      <x:c r="O3498" s="4" t="str">
        <x:v>BOOK-03497</x:v>
      </x:c>
      <x:c r="P3498" s="9" t="n">
        <x:v>14742000</x:v>
      </x:c>
      <x:c r="Q3498" s="11" t="n">
        <x:v>0</x:v>
      </x:c>
      <x:c r="R3498" s="8" t="n">
        <x:v>45558</x:v>
      </x:c>
      <x:c r="S3498" s="4" t="str">
        <x:v>Retained</x:v>
      </x:c>
      <x:c r="T3498" s="10" t="n">
        <x:v>0.145833</x:v>
      </x:c>
      <x:c r="U3498" s="4" t="str">
        <x:v>Excluded / unlabelled</x:v>
      </x:c>
    </x:row>
    <x:row r="3499" ht="34" customHeight="1">
      <x:c r="A3499" s="4" t="str">
        <x:v>RS-03498</x:v>
      </x:c>
      <x:c r="B3499" s="8" t="n">
        <x:v>45499</x:v>
      </x:c>
      <x:c r="C3499" s="4" t="str">
        <x:v>PRJ-018</x:v>
      </x:c>
      <x:c r="D3499" s="4" t="str">
        <x:v>Apartment</x:v>
      </x:c>
      <x:c r="E3499" s="4" t="str">
        <x:v>Agreement signed</x:v>
      </x:c>
      <x:c r="F3499" s="4" t="str">
        <x:v>CUS-03498</x:v>
      </x:c>
      <x:c r="G3499" s="4" t="str">
        <x:v>UNIT-03498</x:v>
      </x:c>
      <x:c r="H3499" s="9" t="n">
        <x:v>4400000</x:v>
      </x:c>
      <x:c r="I3499" s="10" t="n">
        <x:v>0.1</x:v>
      </x:c>
      <x:c r="J3499" s="11" t="n">
        <x:v>2</x:v>
      </x:c>
      <x:c r="K3499" s="11" t="n">
        <x:v>1</x:v>
      </x:c>
      <x:c r="L3499" s="11" t="n">
        <x:v>0</x:v>
      </x:c>
      <x:c r="M3499" s="9" t="n">
        <x:f>ROUND(H3499*(1-I3499),2)</x:f>
        <x:v>3960000</x:v>
      </x:c>
      <x:c r="N3499" s="4" t="str">
        <x:v>Sales head</x:v>
      </x:c>
      <x:c r="O3499" s="4" t="str">
        <x:v>BOOK-03498</x:v>
      </x:c>
      <x:c r="P3499" s="9" t="n">
        <x:v>396000</x:v>
      </x:c>
      <x:c r="Q3499" s="11" t="n">
        <x:v>0</x:v>
      </x:c>
      <x:c r="R3499" s="8" t="n">
        <x:v>45559</x:v>
      </x:c>
      <x:c r="S3499" s="4" t="str">
        <x:v>Retained</x:v>
      </x:c>
      <x:c r="T3499" s="10" t="n">
        <x:v>0.145833</x:v>
      </x:c>
      <x:c r="U3499" s="4" t="str">
        <x:v>Excluded / unlabelled</x:v>
      </x:c>
    </x:row>
    <x:row r="3500" ht="34" customHeight="1">
      <x:c r="A3500" s="4" t="str">
        <x:v>RS-03499</x:v>
      </x:c>
      <x:c r="B3500" s="8" t="n">
        <x:v>45500</x:v>
      </x:c>
      <x:c r="C3500" s="4" t="str">
        <x:v>PRJ-019</x:v>
      </x:c>
      <x:c r="D3500" s="4" t="str">
        <x:v>Apartment</x:v>
      </x:c>
      <x:c r="E3500" s="4" t="str">
        <x:v>Cancelled</x:v>
      </x:c>
      <x:c r="F3500" s="4" t="str">
        <x:v>CUS-03499</x:v>
      </x:c>
      <x:c r="G3500" s="4" t="str">
        <x:v>UNIT-03499</x:v>
      </x:c>
      <x:c r="H3500" s="9" t="n">
        <x:v>22500000</x:v>
      </x:c>
      <x:c r="I3500" s="10" t="n">
        <x:v>0.1</x:v>
      </x:c>
      <x:c r="J3500" s="11" t="n">
        <x:v>12</x:v>
      </x:c>
      <x:c r="K3500" s="11" t="n">
        <x:v>9</x:v>
      </x:c>
      <x:c r="L3500" s="11" t="n">
        <x:v>0</x:v>
      </x:c>
      <x:c r="M3500" s="9" t="n">
        <x:f>ROUND(H3500*(1-I3500),2)</x:f>
        <x:v>20250000</x:v>
      </x:c>
      <x:c r="N3500" s="4" t="str">
        <x:v>Sales head</x:v>
      </x:c>
      <x:c r="O3500" s="4"/>
      <x:c r="P3500" s="9" t="n">
        <x:v>0</x:v>
      </x:c>
      <x:c r="Q3500" s="11" t="n">
        <x:v>1</x:v>
      </x:c>
      <x:c r="R3500" s="8" t="n">
        <x:v>45560</x:v>
      </x:c>
      <x:c r="S3500" s="4" t="str">
        <x:v>Lost / cancelled</x:v>
      </x:c>
      <x:c r="T3500" s="10" t="n">
        <x:v>0.351536</x:v>
      </x:c>
      <x:c r="U3500" s="4" t="str">
        <x:v>Excluded / unlabelled</x:v>
      </x:c>
    </x:row>
    <x:row r="3501" ht="34" customHeight="1">
      <x:c r="A3501" s="4" t="str">
        <x:v>RS-03500</x:v>
      </x:c>
      <x:c r="B3501" s="8" t="n">
        <x:v>45501</x:v>
      </x:c>
      <x:c r="C3501" s="4" t="str">
        <x:v>PRJ-020</x:v>
      </x:c>
      <x:c r="D3501" s="4" t="str">
        <x:v>Office</x:v>
      </x:c>
      <x:c r="E3501" s="4" t="str">
        <x:v>Handed over</x:v>
      </x:c>
      <x:c r="F3501" s="4" t="str">
        <x:v>CUS-03500</x:v>
      </x:c>
      <x:c r="G3501" s="4" t="str">
        <x:v>UNIT-03500</x:v>
      </x:c>
      <x:c r="H3501" s="9" t="n">
        <x:v>14500000</x:v>
      </x:c>
      <x:c r="I3501" s="10" t="n">
        <x:v>0.05</x:v>
      </x:c>
      <x:c r="J3501" s="11" t="n">
        <x:v>6</x:v>
      </x:c>
      <x:c r="K3501" s="11" t="n">
        <x:v>1</x:v>
      </x:c>
      <x:c r="L3501" s="11" t="n">
        <x:v>0</x:v>
      </x:c>
      <x:c r="M3501" s="9" t="n">
        <x:f>ROUND(H3501*(1-I3501),2)</x:f>
        <x:v>13775000</x:v>
      </x:c>
      <x:c r="N3501" s="4" t="str">
        <x:v>Sales manager</x:v>
      </x:c>
      <x:c r="O3501" s="4" t="str">
        <x:v>BOOK-03500</x:v>
      </x:c>
      <x:c r="P3501" s="9" t="n">
        <x:v>6887500</x:v>
      </x:c>
      <x:c r="Q3501" s="11" t="n">
        <x:v>0</x:v>
      </x:c>
      <x:c r="R3501" s="8" t="n">
        <x:v>45561</x:v>
      </x:c>
      <x:c r="S3501" s="4" t="str">
        <x:v>Retained</x:v>
      </x:c>
      <x:c r="T3501" s="10" t="n">
        <x:v>0.226277</x:v>
      </x:c>
      <x:c r="U3501" s="4" t="str">
        <x:v>Excluded / unlabelled</x:v>
      </x:c>
    </x:row>
    <x:row r="3502" ht="34" customHeight="1">
      <x:c r="A3502" s="4" t="str">
        <x:v>RS-03501</x:v>
      </x:c>
      <x:c r="B3502" s="8" t="n">
        <x:v>45505</x:v>
      </x:c>
      <x:c r="C3502" s="4" t="str">
        <x:v>PRJ-001</x:v>
      </x:c>
      <x:c r="D3502" s="4" t="str">
        <x:v>Villa</x:v>
      </x:c>
      <x:c r="E3502" s="4" t="str">
        <x:v>Reserved</x:v>
      </x:c>
      <x:c r="F3502" s="4" t="str">
        <x:v>CUS-03501</x:v>
      </x:c>
      <x:c r="G3502" s="4" t="str">
        <x:v>UNIT-03501</x:v>
      </x:c>
      <x:c r="H3502" s="9" t="n">
        <x:v>9600000</x:v>
      </x:c>
      <x:c r="I3502" s="10" t="n">
        <x:v>0.05</x:v>
      </x:c>
      <x:c r="J3502" s="11" t="n">
        <x:v>8</x:v>
      </x:c>
      <x:c r="K3502" s="11" t="n">
        <x:v>6</x:v>
      </x:c>
      <x:c r="L3502" s="11" t="n">
        <x:v>1</x:v>
      </x:c>
      <x:c r="M3502" s="9" t="n">
        <x:f>ROUND(H3502*(1-I3502),2)</x:f>
        <x:v>9120000</x:v>
      </x:c>
      <x:c r="N3502" s="4" t="str">
        <x:v>Sales manager</x:v>
      </x:c>
      <x:c r="O3502" s="4"/>
      <x:c r="P3502" s="9" t="n">
        <x:v>0</x:v>
      </x:c>
      <x:c r="Q3502" s="11" t="n">
        <x:v>1</x:v>
      </x:c>
      <x:c r="R3502" s="8" t="n">
        <x:v>45565</x:v>
      </x:c>
      <x:c r="S3502" s="4" t="str">
        <x:v>Lost / cancelled</x:v>
      </x:c>
      <x:c r="T3502" s="10" t="n">
        <x:v>0.310195</x:v>
      </x:c>
      <x:c r="U3502" s="4" t="str">
        <x:v>Test</x:v>
      </x:c>
    </x:row>
    <x:row r="3503" ht="34" customHeight="1">
      <x:c r="A3503" s="4" t="str">
        <x:v>RS-03502</x:v>
      </x:c>
      <x:c r="B3503" s="8" t="n">
        <x:v>45506</x:v>
      </x:c>
      <x:c r="C3503" s="4" t="str">
        <x:v>PRJ-002</x:v>
      </x:c>
      <x:c r="D3503" s="4" t="str">
        <x:v>Villa</x:v>
      </x:c>
      <x:c r="E3503" s="4" t="str">
        <x:v>Enquiry</x:v>
      </x:c>
      <x:c r="F3503" s="4" t="str">
        <x:v>CUS-03502</x:v>
      </x:c>
      <x:c r="G3503" s="4" t="str">
        <x:v>UNIT-03502</x:v>
      </x:c>
      <x:c r="H3503" s="9" t="n">
        <x:v>6300000</x:v>
      </x:c>
      <x:c r="I3503" s="10" t="n">
        <x:v>0</x:v>
      </x:c>
      <x:c r="J3503" s="11" t="n">
        <x:v>1</x:v>
      </x:c>
      <x:c r="K3503" s="11" t="n">
        <x:v>9</x:v>
      </x:c>
      <x:c r="L3503" s="11" t="n">
        <x:v>1</x:v>
      </x:c>
      <x:c r="M3503" s="9" t="n">
        <x:f>ROUND(H3503*(1-I3503),2)</x:f>
        <x:v>6300000</x:v>
      </x:c>
      <x:c r="N3503" s="4" t="str">
        <x:v>Sales manager</x:v>
      </x:c>
      <x:c r="O3503" s="4"/>
      <x:c r="P3503" s="9" t="n">
        <x:v>0</x:v>
      </x:c>
      <x:c r="Q3503" s="11" t="n">
        <x:v>0</x:v>
      </x:c>
      <x:c r="R3503" s="8" t="n">
        <x:v>45566</x:v>
      </x:c>
      <x:c r="S3503" s="4" t="str">
        <x:v>Retained</x:v>
      </x:c>
      <x:c r="T3503" s="10" t="n">
        <x:v>0.072165</x:v>
      </x:c>
      <x:c r="U3503" s="4" t="str">
        <x:v>Test</x:v>
      </x:c>
    </x:row>
    <x:row r="3504" ht="34" customHeight="1">
      <x:c r="A3504" s="4" t="str">
        <x:v>RS-03503</x:v>
      </x:c>
      <x:c r="B3504" s="8" t="n">
        <x:v>45507</x:v>
      </x:c>
      <x:c r="C3504" s="4" t="str">
        <x:v>PRJ-003</x:v>
      </x:c>
      <x:c r="D3504" s="4" t="str">
        <x:v>Office</x:v>
      </x:c>
      <x:c r="E3504" s="4" t="str">
        <x:v>Handed over</x:v>
      </x:c>
      <x:c r="F3504" s="4" t="str">
        <x:v>CUS-03503</x:v>
      </x:c>
      <x:c r="G3504" s="4" t="str">
        <x:v>UNIT-03503</x:v>
      </x:c>
      <x:c r="H3504" s="9" t="n">
        <x:v>12200000</x:v>
      </x:c>
      <x:c r="I3504" s="10" t="n">
        <x:v>0.08</x:v>
      </x:c>
      <x:c r="J3504" s="11" t="n">
        <x:v>4</x:v>
      </x:c>
      <x:c r="K3504" s="11" t="n">
        <x:v>7</x:v>
      </x:c>
      <x:c r="L3504" s="11" t="n">
        <x:v>0</x:v>
      </x:c>
      <x:c r="M3504" s="9" t="n">
        <x:f>ROUND(H3504*(1-I3504),2)</x:f>
        <x:v>11224000</x:v>
      </x:c>
      <x:c r="N3504" s="4" t="str">
        <x:v>Sales head</x:v>
      </x:c>
      <x:c r="O3504" s="4" t="str">
        <x:v>BOOK-03503</x:v>
      </x:c>
      <x:c r="P3504" s="9" t="n">
        <x:v>11224000</x:v>
      </x:c>
      <x:c r="Q3504" s="11" t="n">
        <x:v>0</x:v>
      </x:c>
      <x:c r="R3504" s="8" t="n">
        <x:v>45567</x:v>
      </x:c>
      <x:c r="S3504" s="4" t="str">
        <x:v>Retained</x:v>
      </x:c>
      <x:c r="T3504" s="10" t="n">
        <x:v>0.226277</x:v>
      </x:c>
      <x:c r="U3504" s="4" t="str">
        <x:v>Test</x:v>
      </x:c>
    </x:row>
    <x:row r="3505" ht="34" customHeight="1">
      <x:c r="A3505" s="4" t="str">
        <x:v>RS-03504</x:v>
      </x:c>
      <x:c r="B3505" s="8" t="n">
        <x:v>45508</x:v>
      </x:c>
      <x:c r="C3505" s="4" t="str">
        <x:v>PRJ-004</x:v>
      </x:c>
      <x:c r="D3505" s="4" t="str">
        <x:v>Office</x:v>
      </x:c>
      <x:c r="E3505" s="4" t="str">
        <x:v>Booked</x:v>
      </x:c>
      <x:c r="F3505" s="4" t="str">
        <x:v>CUS-03504</x:v>
      </x:c>
      <x:c r="G3505" s="4" t="str">
        <x:v>UNIT-03504</x:v>
      </x:c>
      <x:c r="H3505" s="9" t="n">
        <x:v>6900000</x:v>
      </x:c>
      <x:c r="I3505" s="10" t="n">
        <x:v>0</x:v>
      </x:c>
      <x:c r="J3505" s="11" t="n">
        <x:v>1</x:v>
      </x:c>
      <x:c r="K3505" s="11" t="n">
        <x:v>6</x:v>
      </x:c>
      <x:c r="L3505" s="11" t="n">
        <x:v>0</x:v>
      </x:c>
      <x:c r="M3505" s="9" t="n">
        <x:f>ROUND(H3505*(1-I3505),2)</x:f>
        <x:v>6900000</x:v>
      </x:c>
      <x:c r="N3505" s="4" t="str">
        <x:v>Sales manager</x:v>
      </x:c>
      <x:c r="O3505" s="4" t="str">
        <x:v>BOOK-03504</x:v>
      </x:c>
      <x:c r="P3505" s="9" t="n">
        <x:v>6900000</x:v>
      </x:c>
      <x:c r="Q3505" s="11" t="n">
        <x:v>0</x:v>
      </x:c>
      <x:c r="R3505" s="8" t="n">
        <x:v>45568</x:v>
      </x:c>
      <x:c r="S3505" s="4" t="str">
        <x:v>Retained</x:v>
      </x:c>
      <x:c r="T3505" s="10" t="n">
        <x:v>0.072165</x:v>
      </x:c>
      <x:c r="U3505" s="4" t="str">
        <x:v>Test</x:v>
      </x:c>
    </x:row>
    <x:row r="3506" ht="34" customHeight="1">
      <x:c r="A3506" s="4" t="str">
        <x:v>RS-03505</x:v>
      </x:c>
      <x:c r="B3506" s="8" t="n">
        <x:v>45509</x:v>
      </x:c>
      <x:c r="C3506" s="4" t="str">
        <x:v>PRJ-005</x:v>
      </x:c>
      <x:c r="D3506" s="4" t="str">
        <x:v>Office</x:v>
      </x:c>
      <x:c r="E3506" s="4" t="str">
        <x:v>Booked</x:v>
      </x:c>
      <x:c r="F3506" s="4" t="str">
        <x:v>CUS-03505</x:v>
      </x:c>
      <x:c r="G3506" s="4" t="str">
        <x:v>UNIT-03505</x:v>
      </x:c>
      <x:c r="H3506" s="9" t="n">
        <x:v>24000000</x:v>
      </x:c>
      <x:c r="I3506" s="10" t="n">
        <x:v>0.1</x:v>
      </x:c>
      <x:c r="J3506" s="11" t="n">
        <x:v>0</x:v>
      </x:c>
      <x:c r="K3506" s="11" t="n">
        <x:v>10</x:v>
      </x:c>
      <x:c r="L3506" s="11" t="n">
        <x:v>0</x:v>
      </x:c>
      <x:c r="M3506" s="9" t="n">
        <x:f>ROUND(H3506*(1-I3506),2)</x:f>
        <x:v>21600000</x:v>
      </x:c>
      <x:c r="N3506" s="4" t="str">
        <x:v>Sales head</x:v>
      </x:c>
      <x:c r="O3506" s="4" t="str">
        <x:v>BOOK-03505</x:v>
      </x:c>
      <x:c r="P3506" s="9" t="n">
        <x:v>10800000</x:v>
      </x:c>
      <x:c r="Q3506" s="11" t="n">
        <x:v>0</x:v>
      </x:c>
      <x:c r="R3506" s="8" t="n">
        <x:v>45569</x:v>
      </x:c>
      <x:c r="S3506" s="4" t="str">
        <x:v>Retained</x:v>
      </x:c>
      <x:c r="T3506" s="10" t="n">
        <x:v>0.145833</x:v>
      </x:c>
      <x:c r="U3506" s="4" t="str">
        <x:v>Test</x:v>
      </x:c>
    </x:row>
    <x:row r="3507" ht="34" customHeight="1">
      <x:c r="A3507" s="4" t="str">
        <x:v>RS-03506</x:v>
      </x:c>
      <x:c r="B3507" s="8" t="n">
        <x:v>45510</x:v>
      </x:c>
      <x:c r="C3507" s="4" t="str">
        <x:v>PRJ-006</x:v>
      </x:c>
      <x:c r="D3507" s="4" t="str">
        <x:v>Office</x:v>
      </x:c>
      <x:c r="E3507" s="4" t="str">
        <x:v>Enquiry</x:v>
      </x:c>
      <x:c r="F3507" s="4" t="str">
        <x:v>CUS-03506</x:v>
      </x:c>
      <x:c r="G3507" s="4" t="str">
        <x:v>UNIT-03506</x:v>
      </x:c>
      <x:c r="H3507" s="9" t="n">
        <x:v>24600000</x:v>
      </x:c>
      <x:c r="I3507" s="10" t="n">
        <x:v>0.07</x:v>
      </x:c>
      <x:c r="J3507" s="11" t="n">
        <x:v>4</x:v>
      </x:c>
      <x:c r="K3507" s="11" t="n">
        <x:v>0</x:v>
      </x:c>
      <x:c r="L3507" s="11" t="n">
        <x:v>0</x:v>
      </x:c>
      <x:c r="M3507" s="9" t="n">
        <x:f>ROUND(H3507*(1-I3507),2)</x:f>
        <x:v>22878000</x:v>
      </x:c>
      <x:c r="N3507" s="4" t="str">
        <x:v>Sales manager</x:v>
      </x:c>
      <x:c r="O3507" s="4"/>
      <x:c r="P3507" s="9" t="n">
        <x:v>0</x:v>
      </x:c>
      <x:c r="Q3507" s="11" t="n">
        <x:v>0</x:v>
      </x:c>
      <x:c r="R3507" s="8" t="n">
        <x:v>45570</x:v>
      </x:c>
      <x:c r="S3507" s="4" t="str">
        <x:v>Retained</x:v>
      </x:c>
      <x:c r="T3507" s="10" t="n">
        <x:v>0.226277</x:v>
      </x:c>
      <x:c r="U3507" s="4" t="str">
        <x:v>Test</x:v>
      </x:c>
    </x:row>
    <x:row r="3508" ht="34" customHeight="1">
      <x:c r="A3508" s="4" t="str">
        <x:v>RS-03507</x:v>
      </x:c>
      <x:c r="B3508" s="8" t="n">
        <x:v>45511</x:v>
      </x:c>
      <x:c r="C3508" s="4" t="str">
        <x:v>PRJ-007</x:v>
      </x:c>
      <x:c r="D3508" s="4" t="str">
        <x:v>Retail</x:v>
      </x:c>
      <x:c r="E3508" s="4" t="str">
        <x:v>Booked</x:v>
      </x:c>
      <x:c r="F3508" s="4" t="str">
        <x:v>CUS-03507</x:v>
      </x:c>
      <x:c r="G3508" s="4" t="str">
        <x:v>UNIT-03507</x:v>
      </x:c>
      <x:c r="H3508" s="9" t="n">
        <x:v>24900000</x:v>
      </x:c>
      <x:c r="I3508" s="10" t="n">
        <x:v>0.06</x:v>
      </x:c>
      <x:c r="J3508" s="11" t="n">
        <x:v>7</x:v>
      </x:c>
      <x:c r="K3508" s="11" t="n">
        <x:v>0</x:v>
      </x:c>
      <x:c r="L3508" s="11" t="n">
        <x:v>0</x:v>
      </x:c>
      <x:c r="M3508" s="9" t="n">
        <x:f>ROUND(H3508*(1-I3508),2)</x:f>
        <x:v>23406000</x:v>
      </x:c>
      <x:c r="N3508" s="4" t="str">
        <x:v>Sales manager</x:v>
      </x:c>
      <x:c r="O3508" s="4" t="str">
        <x:v>BOOK-03507</x:v>
      </x:c>
      <x:c r="P3508" s="9" t="n">
        <x:v>2340600</x:v>
      </x:c>
      <x:c r="Q3508" s="11" t="n">
        <x:v>0</x:v>
      </x:c>
      <x:c r="R3508" s="8" t="n">
        <x:v>45571</x:v>
      </x:c>
      <x:c r="S3508" s="4" t="str">
        <x:v>Retained</x:v>
      </x:c>
      <x:c r="T3508" s="10" t="n">
        <x:v>0.226277</x:v>
      </x:c>
      <x:c r="U3508" s="4" t="str">
        <x:v>Test</x:v>
      </x:c>
    </x:row>
    <x:row r="3509" ht="34" customHeight="1">
      <x:c r="A3509" s="4" t="str">
        <x:v>RS-03508</x:v>
      </x:c>
      <x:c r="B3509" s="8" t="n">
        <x:v>45512</x:v>
      </x:c>
      <x:c r="C3509" s="4" t="str">
        <x:v>PRJ-008</x:v>
      </x:c>
      <x:c r="D3509" s="4" t="str">
        <x:v>Apartment</x:v>
      </x:c>
      <x:c r="E3509" s="4" t="str">
        <x:v>Agreement signed</x:v>
      </x:c>
      <x:c r="F3509" s="4" t="str">
        <x:v>CUS-03508</x:v>
      </x:c>
      <x:c r="G3509" s="4" t="str">
        <x:v>UNIT-03508</x:v>
      </x:c>
      <x:c r="H3509" s="9" t="n">
        <x:v>15700000</x:v>
      </x:c>
      <x:c r="I3509" s="10" t="n">
        <x:v>0.01</x:v>
      </x:c>
      <x:c r="J3509" s="11" t="n">
        <x:v>6</x:v>
      </x:c>
      <x:c r="K3509" s="11" t="n">
        <x:v>0</x:v>
      </x:c>
      <x:c r="L3509" s="11" t="n">
        <x:v>0</x:v>
      </x:c>
      <x:c r="M3509" s="9" t="n">
        <x:f>ROUND(H3509*(1-I3509),2)</x:f>
        <x:v>15543000</x:v>
      </x:c>
      <x:c r="N3509" s="4" t="str">
        <x:v>Sales manager</x:v>
      </x:c>
      <x:c r="O3509" s="4" t="str">
        <x:v>BOOK-03508</x:v>
      </x:c>
      <x:c r="P3509" s="9" t="n">
        <x:v>15543000</x:v>
      </x:c>
      <x:c r="Q3509" s="11" t="n">
        <x:v>0</x:v>
      </x:c>
      <x:c r="R3509" s="8" t="n">
        <x:v>45572</x:v>
      </x:c>
      <x:c r="S3509" s="4" t="str">
        <x:v>Retained</x:v>
      </x:c>
      <x:c r="T3509" s="10" t="n">
        <x:v>0.298969</x:v>
      </x:c>
      <x:c r="U3509" s="4" t="str">
        <x:v>Test</x:v>
      </x:c>
    </x:row>
    <x:row r="3510" ht="34" customHeight="1">
      <x:c r="A3510" s="4" t="str">
        <x:v>RS-03509</x:v>
      </x:c>
      <x:c r="B3510" s="8" t="n">
        <x:v>45513</x:v>
      </x:c>
      <x:c r="C3510" s="4" t="str">
        <x:v>PRJ-009</x:v>
      </x:c>
      <x:c r="D3510" s="4" t="str">
        <x:v>Office</x:v>
      </x:c>
      <x:c r="E3510" s="4" t="str">
        <x:v>Agreement signed</x:v>
      </x:c>
      <x:c r="F3510" s="4" t="str">
        <x:v>CUS-03509</x:v>
      </x:c>
      <x:c r="G3510" s="4" t="str">
        <x:v>UNIT-03509</x:v>
      </x:c>
      <x:c r="H3510" s="9" t="n">
        <x:v>9200000</x:v>
      </x:c>
      <x:c r="I3510" s="10" t="n">
        <x:v>0.09</x:v>
      </x:c>
      <x:c r="J3510" s="11" t="n">
        <x:v>2</x:v>
      </x:c>
      <x:c r="K3510" s="11" t="n">
        <x:v>10</x:v>
      </x:c>
      <x:c r="L3510" s="11" t="n">
        <x:v>1</x:v>
      </x:c>
      <x:c r="M3510" s="9" t="n">
        <x:f>ROUND(H3510*(1-I3510),2)</x:f>
        <x:v>8372000</x:v>
      </x:c>
      <x:c r="N3510" s="4" t="str">
        <x:v>Sales head</x:v>
      </x:c>
      <x:c r="O3510" s="4" t="str">
        <x:v>BOOK-03509</x:v>
      </x:c>
      <x:c r="P3510" s="9" t="n">
        <x:v>8372000</x:v>
      </x:c>
      <x:c r="Q3510" s="11" t="n">
        <x:v>0</x:v>
      </x:c>
      <x:c r="R3510" s="8" t="n">
        <x:v>45573</x:v>
      </x:c>
      <x:c r="S3510" s="4" t="str">
        <x:v>Retained</x:v>
      </x:c>
      <x:c r="T3510" s="10" t="n">
        <x:v>0.145833</x:v>
      </x:c>
      <x:c r="U3510" s="4" t="str">
        <x:v>Test</x:v>
      </x:c>
    </x:row>
    <x:row r="3511" ht="34" customHeight="1">
      <x:c r="A3511" s="4" t="str">
        <x:v>RS-03510</x:v>
      </x:c>
      <x:c r="B3511" s="8" t="n">
        <x:v>45514</x:v>
      </x:c>
      <x:c r="C3511" s="4" t="str">
        <x:v>PRJ-010</x:v>
      </x:c>
      <x:c r="D3511" s="4" t="str">
        <x:v>Retail</x:v>
      </x:c>
      <x:c r="E3511" s="4" t="str">
        <x:v>Enquiry</x:v>
      </x:c>
      <x:c r="F3511" s="4" t="str">
        <x:v>CUS-03510</x:v>
      </x:c>
      <x:c r="G3511" s="4" t="str">
        <x:v>UNIT-03510</x:v>
      </x:c>
      <x:c r="H3511" s="9" t="n">
        <x:v>3300000</x:v>
      </x:c>
      <x:c r="I3511" s="10" t="n">
        <x:v>0.09</x:v>
      </x:c>
      <x:c r="J3511" s="11" t="n">
        <x:v>3</x:v>
      </x:c>
      <x:c r="K3511" s="11" t="n">
        <x:v>1</x:v>
      </x:c>
      <x:c r="L3511" s="11" t="n">
        <x:v>1</x:v>
      </x:c>
      <x:c r="M3511" s="9" t="n">
        <x:f>ROUND(H3511*(1-I3511),2)</x:f>
        <x:v>3003000</x:v>
      </x:c>
      <x:c r="N3511" s="4" t="str">
        <x:v>Sales head</x:v>
      </x:c>
      <x:c r="O3511" s="4"/>
      <x:c r="P3511" s="9" t="n">
        <x:v>0</x:v>
      </x:c>
      <x:c r="Q3511" s="11" t="n">
        <x:v>0</x:v>
      </x:c>
      <x:c r="R3511" s="8" t="n">
        <x:v>45574</x:v>
      </x:c>
      <x:c r="S3511" s="4" t="str">
        <x:v>Retained</x:v>
      </x:c>
      <x:c r="T3511" s="10" t="n">
        <x:v>0.145833</x:v>
      </x:c>
      <x:c r="U3511" s="4" t="str">
        <x:v>Test</x:v>
      </x:c>
    </x:row>
    <x:row r="3512" ht="34" customHeight="1">
      <x:c r="A3512" s="4" t="str">
        <x:v>RS-03511</x:v>
      </x:c>
      <x:c r="B3512" s="8" t="n">
        <x:v>45515</x:v>
      </x:c>
      <x:c r="C3512" s="4" t="str">
        <x:v>PRJ-011</x:v>
      </x:c>
      <x:c r="D3512" s="4" t="str">
        <x:v>Villa</x:v>
      </x:c>
      <x:c r="E3512" s="4" t="str">
        <x:v>Cancelled</x:v>
      </x:c>
      <x:c r="F3512" s="4" t="str">
        <x:v>CUS-03511</x:v>
      </x:c>
      <x:c r="G3512" s="4" t="str">
        <x:v>UNIT-03511</x:v>
      </x:c>
      <x:c r="H3512" s="9" t="n">
        <x:v>16700000</x:v>
      </x:c>
      <x:c r="I3512" s="10" t="n">
        <x:v>0.11</x:v>
      </x:c>
      <x:c r="J3512" s="11" t="n">
        <x:v>7</x:v>
      </x:c>
      <x:c r="K3512" s="11" t="n">
        <x:v>1</x:v>
      </x:c>
      <x:c r="L3512" s="11" t="n">
        <x:v>0</x:v>
      </x:c>
      <x:c r="M3512" s="9" t="n">
        <x:f>ROUND(H3512*(1-I3512),2)</x:f>
        <x:v>14863000</x:v>
      </x:c>
      <x:c r="N3512" s="4" t="str">
        <x:v>Sales head</x:v>
      </x:c>
      <x:c r="O3512" s="4"/>
      <x:c r="P3512" s="9" t="n">
        <x:v>0</x:v>
      </x:c>
      <x:c r="Q3512" s="11" t="n">
        <x:v>1</x:v>
      </x:c>
      <x:c r="R3512" s="8" t="n">
        <x:v>45575</x:v>
      </x:c>
      <x:c r="S3512" s="4" t="str">
        <x:v>Lost / cancelled</x:v>
      </x:c>
      <x:c r="T3512" s="10" t="n">
        <x:v>0.226277</x:v>
      </x:c>
      <x:c r="U3512" s="4" t="str">
        <x:v>Test</x:v>
      </x:c>
    </x:row>
    <x:row r="3513" ht="34" customHeight="1">
      <x:c r="A3513" s="4" t="str">
        <x:v>RS-03512</x:v>
      </x:c>
      <x:c r="B3513" s="8" t="n">
        <x:v>45516</x:v>
      </x:c>
      <x:c r="C3513" s="4" t="str">
        <x:v>PRJ-012</x:v>
      </x:c>
      <x:c r="D3513" s="4" t="str">
        <x:v>Office</x:v>
      </x:c>
      <x:c r="E3513" s="4" t="str">
        <x:v>Handed over</x:v>
      </x:c>
      <x:c r="F3513" s="4" t="str">
        <x:v>CUS-03512</x:v>
      </x:c>
      <x:c r="G3513" s="4" t="str">
        <x:v>UNIT-03512</x:v>
      </x:c>
      <x:c r="H3513" s="9" t="n">
        <x:v>18000000</x:v>
      </x:c>
      <x:c r="I3513" s="10" t="n">
        <x:v>0.11</x:v>
      </x:c>
      <x:c r="J3513" s="11" t="n">
        <x:v>12</x:v>
      </x:c>
      <x:c r="K3513" s="11" t="n">
        <x:v>2</x:v>
      </x:c>
      <x:c r="L3513" s="11" t="n">
        <x:v>0</x:v>
      </x:c>
      <x:c r="M3513" s="9" t="n">
        <x:f>ROUND(H3513*(1-I3513),2)</x:f>
        <x:v>16020000</x:v>
      </x:c>
      <x:c r="N3513" s="4" t="str">
        <x:v>Sales head</x:v>
      </x:c>
      <x:c r="O3513" s="4" t="str">
        <x:v>BOOK-03512</x:v>
      </x:c>
      <x:c r="P3513" s="9" t="n">
        <x:v>16020000</x:v>
      </x:c>
      <x:c r="Q3513" s="11" t="n">
        <x:v>0</x:v>
      </x:c>
      <x:c r="R3513" s="8" t="n">
        <x:v>45576</x:v>
      </x:c>
      <x:c r="S3513" s="4" t="str">
        <x:v>Retained</x:v>
      </x:c>
      <x:c r="T3513" s="10" t="n">
        <x:v>0.351536</x:v>
      </x:c>
      <x:c r="U3513" s="4" t="str">
        <x:v>Test</x:v>
      </x:c>
    </x:row>
    <x:row r="3514" ht="34" customHeight="1">
      <x:c r="A3514" s="4" t="str">
        <x:v>RS-03513</x:v>
      </x:c>
      <x:c r="B3514" s="8" t="n">
        <x:v>45517</x:v>
      </x:c>
      <x:c r="C3514" s="4" t="str">
        <x:v>PRJ-013</x:v>
      </x:c>
      <x:c r="D3514" s="4" t="str">
        <x:v>Office</x:v>
      </x:c>
      <x:c r="E3514" s="4" t="str">
        <x:v>Booked</x:v>
      </x:c>
      <x:c r="F3514" s="4" t="str">
        <x:v>CUS-03513</x:v>
      </x:c>
      <x:c r="G3514" s="4" t="str">
        <x:v>UNIT-03513</x:v>
      </x:c>
      <x:c r="H3514" s="9" t="n">
        <x:v>19200000</x:v>
      </x:c>
      <x:c r="I3514" s="10" t="n">
        <x:v>0.02</x:v>
      </x:c>
      <x:c r="J3514" s="11" t="n">
        <x:v>1</x:v>
      </x:c>
      <x:c r="K3514" s="11" t="n">
        <x:v>1</x:v>
      </x:c>
      <x:c r="L3514" s="11" t="n">
        <x:v>1</x:v>
      </x:c>
      <x:c r="M3514" s="9" t="n">
        <x:f>ROUND(H3514*(1-I3514),2)</x:f>
        <x:v>18816000</x:v>
      </x:c>
      <x:c r="N3514" s="4" t="str">
        <x:v>Sales manager</x:v>
      </x:c>
      <x:c r="O3514" s="4" t="str">
        <x:v>BOOK-03513</x:v>
      </x:c>
      <x:c r="P3514" s="9" t="n">
        <x:v>9408000</x:v>
      </x:c>
      <x:c r="Q3514" s="11" t="n">
        <x:v>0</x:v>
      </x:c>
      <x:c r="R3514" s="8" t="n">
        <x:v>45577</x:v>
      </x:c>
      <x:c r="S3514" s="4" t="str">
        <x:v>Retained</x:v>
      </x:c>
      <x:c r="T3514" s="10" t="n">
        <x:v>0.072165</x:v>
      </x:c>
      <x:c r="U3514" s="4" t="str">
        <x:v>Test</x:v>
      </x:c>
    </x:row>
    <x:row r="3515" ht="34" customHeight="1">
      <x:c r="A3515" s="4" t="str">
        <x:v>RS-03514</x:v>
      </x:c>
      <x:c r="B3515" s="8" t="n">
        <x:v>45518</x:v>
      </x:c>
      <x:c r="C3515" s="4" t="str">
        <x:v>PRJ-014</x:v>
      </x:c>
      <x:c r="D3515" s="4" t="str">
        <x:v>Apartment</x:v>
      </x:c>
      <x:c r="E3515" s="4" t="str">
        <x:v>Booked</x:v>
      </x:c>
      <x:c r="F3515" s="4" t="str">
        <x:v>CUS-03514</x:v>
      </x:c>
      <x:c r="G3515" s="4" t="str">
        <x:v>UNIT-03514</x:v>
      </x:c>
      <x:c r="H3515" s="9" t="n">
        <x:v>3700000</x:v>
      </x:c>
      <x:c r="I3515" s="10" t="n">
        <x:v>0.03</x:v>
      </x:c>
      <x:c r="J3515" s="11" t="n">
        <x:v>1</x:v>
      </x:c>
      <x:c r="K3515" s="11" t="n">
        <x:v>6</x:v>
      </x:c>
      <x:c r="L3515" s="11" t="n">
        <x:v>0</x:v>
      </x:c>
      <x:c r="M3515" s="9" t="n">
        <x:f>ROUND(H3515*(1-I3515),2)</x:f>
        <x:v>3589000</x:v>
      </x:c>
      <x:c r="N3515" s="4" t="str">
        <x:v>Sales manager</x:v>
      </x:c>
      <x:c r="O3515" s="4" t="str">
        <x:v>BOOK-03514</x:v>
      </x:c>
      <x:c r="P3515" s="9" t="n">
        <x:v>358900</x:v>
      </x:c>
      <x:c r="Q3515" s="11" t="n">
        <x:v>0</x:v>
      </x:c>
      <x:c r="R3515" s="8" t="n">
        <x:v>45578</x:v>
      </x:c>
      <x:c r="S3515" s="4" t="str">
        <x:v>Retained</x:v>
      </x:c>
      <x:c r="T3515" s="10" t="n">
        <x:v>0.072165</x:v>
      </x:c>
      <x:c r="U3515" s="4" t="str">
        <x:v>Test</x:v>
      </x:c>
    </x:row>
    <x:row r="3516" ht="34" customHeight="1">
      <x:c r="A3516" s="4" t="str">
        <x:v>RS-03515</x:v>
      </x:c>
      <x:c r="B3516" s="8" t="n">
        <x:v>45519</x:v>
      </x:c>
      <x:c r="C3516" s="4" t="str">
        <x:v>PRJ-015</x:v>
      </x:c>
      <x:c r="D3516" s="4" t="str">
        <x:v>Retail</x:v>
      </x:c>
      <x:c r="E3516" s="4" t="str">
        <x:v>Enquiry</x:v>
      </x:c>
      <x:c r="F3516" s="4" t="str">
        <x:v>CUS-03515</x:v>
      </x:c>
      <x:c r="G3516" s="4" t="str">
        <x:v>UNIT-03515</x:v>
      </x:c>
      <x:c r="H3516" s="9" t="n">
        <x:v>11700000</x:v>
      </x:c>
      <x:c r="I3516" s="10" t="n">
        <x:v>0.01</x:v>
      </x:c>
      <x:c r="J3516" s="11" t="n">
        <x:v>9</x:v>
      </x:c>
      <x:c r="K3516" s="11" t="n">
        <x:v>2</x:v>
      </x:c>
      <x:c r="L3516" s="11" t="n">
        <x:v>1</x:v>
      </x:c>
      <x:c r="M3516" s="9" t="n">
        <x:f>ROUND(H3516*(1-I3516),2)</x:f>
        <x:v>11583000</x:v>
      </x:c>
      <x:c r="N3516" s="4" t="str">
        <x:v>Sales manager</x:v>
      </x:c>
      <x:c r="O3516" s="4"/>
      <x:c r="P3516" s="9" t="n">
        <x:v>0</x:v>
      </x:c>
      <x:c r="Q3516" s="11" t="n">
        <x:v>0</x:v>
      </x:c>
      <x:c r="R3516" s="8" t="n">
        <x:v>45579</x:v>
      </x:c>
      <x:c r="S3516" s="4" t="str">
        <x:v>Retained</x:v>
      </x:c>
      <x:c r="T3516" s="10" t="n">
        <x:v>0.254545</x:v>
      </x:c>
      <x:c r="U3516" s="4" t="str">
        <x:v>Test</x:v>
      </x:c>
    </x:row>
    <x:row r="3517" ht="34" customHeight="1">
      <x:c r="A3517" s="4" t="str">
        <x:v>RS-03516</x:v>
      </x:c>
      <x:c r="B3517" s="8" t="n">
        <x:v>45520</x:v>
      </x:c>
      <x:c r="C3517" s="4" t="str">
        <x:v>PRJ-016</x:v>
      </x:c>
      <x:c r="D3517" s="4" t="str">
        <x:v>Apartment</x:v>
      </x:c>
      <x:c r="E3517" s="4" t="str">
        <x:v>Agreement signed</x:v>
      </x:c>
      <x:c r="F3517" s="4" t="str">
        <x:v>CUS-03516</x:v>
      </x:c>
      <x:c r="G3517" s="4" t="str">
        <x:v>UNIT-03516</x:v>
      </x:c>
      <x:c r="H3517" s="9" t="n">
        <x:v>20000000</x:v>
      </x:c>
      <x:c r="I3517" s="10" t="n">
        <x:v>0.05</x:v>
      </x:c>
      <x:c r="J3517" s="11" t="n">
        <x:v>5</x:v>
      </x:c>
      <x:c r="K3517" s="11" t="n">
        <x:v>2</x:v>
      </x:c>
      <x:c r="L3517" s="11" t="n">
        <x:v>1</x:v>
      </x:c>
      <x:c r="M3517" s="9" t="n">
        <x:f>ROUND(H3517*(1-I3517),2)</x:f>
        <x:v>19000000</x:v>
      </x:c>
      <x:c r="N3517" s="4" t="str">
        <x:v>Sales manager</x:v>
      </x:c>
      <x:c r="O3517" s="4" t="str">
        <x:v>BOOK-03516</x:v>
      </x:c>
      <x:c r="P3517" s="9" t="n">
        <x:v>1900000</x:v>
      </x:c>
      <x:c r="Q3517" s="11" t="n">
        <x:v>0</x:v>
      </x:c>
      <x:c r="R3517" s="8" t="n">
        <x:v>45580</x:v>
      </x:c>
      <x:c r="S3517" s="4" t="str">
        <x:v>Retained</x:v>
      </x:c>
      <x:c r="T3517" s="10" t="n">
        <x:v>0.291946</x:v>
      </x:c>
      <x:c r="U3517" s="4" t="str">
        <x:v>Test</x:v>
      </x:c>
    </x:row>
    <x:row r="3518" ht="34" customHeight="1">
      <x:c r="A3518" s="4" t="str">
        <x:v>RS-03517</x:v>
      </x:c>
      <x:c r="B3518" s="8" t="n">
        <x:v>45521</x:v>
      </x:c>
      <x:c r="C3518" s="4" t="str">
        <x:v>PRJ-017</x:v>
      </x:c>
      <x:c r="D3518" s="4" t="str">
        <x:v>Office</x:v>
      </x:c>
      <x:c r="E3518" s="4" t="str">
        <x:v>Enquiry</x:v>
      </x:c>
      <x:c r="F3518" s="4" t="str">
        <x:v>CUS-03517</x:v>
      </x:c>
      <x:c r="G3518" s="4" t="str">
        <x:v>UNIT-03517</x:v>
      </x:c>
      <x:c r="H3518" s="9" t="n">
        <x:v>3600000</x:v>
      </x:c>
      <x:c r="I3518" s="10" t="n">
        <x:v>0.04</x:v>
      </x:c>
      <x:c r="J3518" s="11" t="n">
        <x:v>5</x:v>
      </x:c>
      <x:c r="K3518" s="11" t="n">
        <x:v>3</x:v>
      </x:c>
      <x:c r="L3518" s="11" t="n">
        <x:v>0</x:v>
      </x:c>
      <x:c r="M3518" s="9" t="n">
        <x:f>ROUND(H3518*(1-I3518),2)</x:f>
        <x:v>3456000</x:v>
      </x:c>
      <x:c r="N3518" s="4" t="str">
        <x:v>Sales manager</x:v>
      </x:c>
      <x:c r="O3518" s="4"/>
      <x:c r="P3518" s="9" t="n">
        <x:v>0</x:v>
      </x:c>
      <x:c r="Q3518" s="11" t="n">
        <x:v>0</x:v>
      </x:c>
      <x:c r="R3518" s="8" t="n">
        <x:v>45581</x:v>
      </x:c>
      <x:c r="S3518" s="4" t="str">
        <x:v>Retained</x:v>
      </x:c>
      <x:c r="T3518" s="10" t="n">
        <x:v>0.226277</x:v>
      </x:c>
      <x:c r="U3518" s="4" t="str">
        <x:v>Test</x:v>
      </x:c>
    </x:row>
    <x:row r="3519" ht="34" customHeight="1">
      <x:c r="A3519" s="4" t="str">
        <x:v>RS-03518</x:v>
      </x:c>
      <x:c r="B3519" s="8" t="n">
        <x:v>45522</x:v>
      </x:c>
      <x:c r="C3519" s="4" t="str">
        <x:v>PRJ-018</x:v>
      </x:c>
      <x:c r="D3519" s="4" t="str">
        <x:v>Apartment</x:v>
      </x:c>
      <x:c r="E3519" s="4" t="str">
        <x:v>Agreement signed</x:v>
      </x:c>
      <x:c r="F3519" s="4" t="str">
        <x:v>CUS-03518</x:v>
      </x:c>
      <x:c r="G3519" s="4" t="str">
        <x:v>UNIT-03518</x:v>
      </x:c>
      <x:c r="H3519" s="9" t="n">
        <x:v>16700000</x:v>
      </x:c>
      <x:c r="I3519" s="10" t="n">
        <x:v>0.04</x:v>
      </x:c>
      <x:c r="J3519" s="11" t="n">
        <x:v>10</x:v>
      </x:c>
      <x:c r="K3519" s="11" t="n">
        <x:v>7</x:v>
      </x:c>
      <x:c r="L3519" s="11" t="n">
        <x:v>0</x:v>
      </x:c>
      <x:c r="M3519" s="9" t="n">
        <x:f>ROUND(H3519*(1-I3519),2)</x:f>
        <x:v>16032000</x:v>
      </x:c>
      <x:c r="N3519" s="4" t="str">
        <x:v>Sales manager</x:v>
      </x:c>
      <x:c r="O3519" s="4" t="str">
        <x:v>BOOK-03518</x:v>
      </x:c>
      <x:c r="P3519" s="9" t="n">
        <x:v>1603200</x:v>
      </x:c>
      <x:c r="Q3519" s="11" t="n">
        <x:v>0</x:v>
      </x:c>
      <x:c r="R3519" s="8" t="n">
        <x:v>45582</x:v>
      </x:c>
      <x:c r="S3519" s="4" t="str">
        <x:v>Retained</x:v>
      </x:c>
      <x:c r="T3519" s="10" t="n">
        <x:v>0.310195</x:v>
      </x:c>
      <x:c r="U3519" s="4" t="str">
        <x:v>Test</x:v>
      </x:c>
    </x:row>
    <x:row r="3520" ht="34" customHeight="1">
      <x:c r="A3520" s="4" t="str">
        <x:v>RS-03519</x:v>
      </x:c>
      <x:c r="B3520" s="8" t="n">
        <x:v>45523</x:v>
      </x:c>
      <x:c r="C3520" s="4" t="str">
        <x:v>PRJ-019</x:v>
      </x:c>
      <x:c r="D3520" s="4" t="str">
        <x:v>Apartment</x:v>
      </x:c>
      <x:c r="E3520" s="4" t="str">
        <x:v>Agreement signed</x:v>
      </x:c>
      <x:c r="F3520" s="4" t="str">
        <x:v>CUS-03519</x:v>
      </x:c>
      <x:c r="G3520" s="4" t="str">
        <x:v>UNIT-03519</x:v>
      </x:c>
      <x:c r="H3520" s="9" t="n">
        <x:v>14600000</x:v>
      </x:c>
      <x:c r="I3520" s="10" t="n">
        <x:v>0.11</x:v>
      </x:c>
      <x:c r="J3520" s="11" t="n">
        <x:v>0</x:v>
      </x:c>
      <x:c r="K3520" s="11" t="n">
        <x:v>2</x:v>
      </x:c>
      <x:c r="L3520" s="11" t="n">
        <x:v>1</x:v>
      </x:c>
      <x:c r="M3520" s="9" t="n">
        <x:f>ROUND(H3520*(1-I3520),2)</x:f>
        <x:v>12994000</x:v>
      </x:c>
      <x:c r="N3520" s="4" t="str">
        <x:v>Sales head</x:v>
      </x:c>
      <x:c r="O3520" s="4" t="str">
        <x:v>BOOK-03519</x:v>
      </x:c>
      <x:c r="P3520" s="9" t="n">
        <x:v>1299400</x:v>
      </x:c>
      <x:c r="Q3520" s="11" t="n">
        <x:v>0</x:v>
      </x:c>
      <x:c r="R3520" s="8" t="n">
        <x:v>45583</x:v>
      </x:c>
      <x:c r="S3520" s="4" t="str">
        <x:v>Retained</x:v>
      </x:c>
      <x:c r="T3520" s="10" t="n">
        <x:v>0.145833</x:v>
      </x:c>
      <x:c r="U3520" s="4" t="str">
        <x:v>Test</x:v>
      </x:c>
    </x:row>
    <x:row r="3521" ht="34" customHeight="1">
      <x:c r="A3521" s="4" t="str">
        <x:v>RS-03520</x:v>
      </x:c>
      <x:c r="B3521" s="8" t="n">
        <x:v>45524</x:v>
      </x:c>
      <x:c r="C3521" s="4" t="str">
        <x:v>PRJ-020</x:v>
      </x:c>
      <x:c r="D3521" s="4" t="str">
        <x:v>Office</x:v>
      </x:c>
      <x:c r="E3521" s="4" t="str">
        <x:v>Enquiry</x:v>
      </x:c>
      <x:c r="F3521" s="4" t="str">
        <x:v>CUS-03520</x:v>
      </x:c>
      <x:c r="G3521" s="4" t="str">
        <x:v>UNIT-03520</x:v>
      </x:c>
      <x:c r="H3521" s="9" t="n">
        <x:v>10900000</x:v>
      </x:c>
      <x:c r="I3521" s="10" t="n">
        <x:v>0.05</x:v>
      </x:c>
      <x:c r="J3521" s="11" t="n">
        <x:v>1</x:v>
      </x:c>
      <x:c r="K3521" s="11" t="n">
        <x:v>3</x:v>
      </x:c>
      <x:c r="L3521" s="11" t="n">
        <x:v>1</x:v>
      </x:c>
      <x:c r="M3521" s="9" t="n">
        <x:f>ROUND(H3521*(1-I3521),2)</x:f>
        <x:v>10355000</x:v>
      </x:c>
      <x:c r="N3521" s="4" t="str">
        <x:v>Sales manager</x:v>
      </x:c>
      <x:c r="O3521" s="4"/>
      <x:c r="P3521" s="9" t="n">
        <x:v>0</x:v>
      </x:c>
      <x:c r="Q3521" s="11" t="n">
        <x:v>1</x:v>
      </x:c>
      <x:c r="R3521" s="8" t="n">
        <x:v>45584</x:v>
      </x:c>
      <x:c r="S3521" s="4" t="str">
        <x:v>Lost / cancelled</x:v>
      </x:c>
      <x:c r="T3521" s="10" t="n">
        <x:v>0.204152</x:v>
      </x:c>
      <x:c r="U3521" s="4" t="str">
        <x:v>Test</x:v>
      </x:c>
    </x:row>
    <x:row r="3522" ht="34" customHeight="1">
      <x:c r="A3522" s="4" t="str">
        <x:v>RS-03521</x:v>
      </x:c>
      <x:c r="B3522" s="8" t="n">
        <x:v>45525</x:v>
      </x:c>
      <x:c r="C3522" s="4" t="str">
        <x:v>PRJ-001</x:v>
      </x:c>
      <x:c r="D3522" s="4" t="str">
        <x:v>Apartment</x:v>
      </x:c>
      <x:c r="E3522" s="4" t="str">
        <x:v>Handed over</x:v>
      </x:c>
      <x:c r="F3522" s="4" t="str">
        <x:v>CUS-03521</x:v>
      </x:c>
      <x:c r="G3522" s="4" t="str">
        <x:v>UNIT-03521</x:v>
      </x:c>
      <x:c r="H3522" s="9" t="n">
        <x:v>5800000</x:v>
      </x:c>
      <x:c r="I3522" s="10" t="n">
        <x:v>0.06</x:v>
      </x:c>
      <x:c r="J3522" s="11" t="n">
        <x:v>10</x:v>
      </x:c>
      <x:c r="K3522" s="11" t="n">
        <x:v>8</x:v>
      </x:c>
      <x:c r="L3522" s="11" t="n">
        <x:v>0</x:v>
      </x:c>
      <x:c r="M3522" s="9" t="n">
        <x:f>ROUND(H3522*(1-I3522),2)</x:f>
        <x:v>5452000</x:v>
      </x:c>
      <x:c r="N3522" s="4" t="str">
        <x:v>Sales manager</x:v>
      </x:c>
      <x:c r="O3522" s="4" t="str">
        <x:v>BOOK-03521</x:v>
      </x:c>
      <x:c r="P3522" s="9" t="n">
        <x:v>1363000</x:v>
      </x:c>
      <x:c r="Q3522" s="11" t="n">
        <x:v>0</x:v>
      </x:c>
      <x:c r="R3522" s="8" t="n">
        <x:v>45585</x:v>
      </x:c>
      <x:c r="S3522" s="4" t="str">
        <x:v>Retained</x:v>
      </x:c>
      <x:c r="T3522" s="10" t="n">
        <x:v>0.310195</x:v>
      </x:c>
      <x:c r="U3522" s="4" t="str">
        <x:v>Test</x:v>
      </x:c>
    </x:row>
    <x:row r="3523" ht="34" customHeight="1">
      <x:c r="A3523" s="4" t="str">
        <x:v>RS-03522</x:v>
      </x:c>
      <x:c r="B3523" s="8" t="n">
        <x:v>45526</x:v>
      </x:c>
      <x:c r="C3523" s="4" t="str">
        <x:v>PRJ-002</x:v>
      </x:c>
      <x:c r="D3523" s="4" t="str">
        <x:v>Apartment</x:v>
      </x:c>
      <x:c r="E3523" s="4" t="str">
        <x:v>Agreement signed</x:v>
      </x:c>
      <x:c r="F3523" s="4" t="str">
        <x:v>CUS-03522</x:v>
      </x:c>
      <x:c r="G3523" s="4" t="str">
        <x:v>UNIT-03522</x:v>
      </x:c>
      <x:c r="H3523" s="9" t="n">
        <x:v>6200000</x:v>
      </x:c>
      <x:c r="I3523" s="10" t="n">
        <x:v>0.08</x:v>
      </x:c>
      <x:c r="J3523" s="11" t="n">
        <x:v>0</x:v>
      </x:c>
      <x:c r="K3523" s="11" t="n">
        <x:v>1</x:v>
      </x:c>
      <x:c r="L3523" s="11" t="n">
        <x:v>1</x:v>
      </x:c>
      <x:c r="M3523" s="9" t="n">
        <x:f>ROUND(H3523*(1-I3523),2)</x:f>
        <x:v>5704000</x:v>
      </x:c>
      <x:c r="N3523" s="4" t="str">
        <x:v>Sales head</x:v>
      </x:c>
      <x:c r="O3523" s="4" t="str">
        <x:v>BOOK-03522</x:v>
      </x:c>
      <x:c r="P3523" s="9" t="n">
        <x:v>1426000</x:v>
      </x:c>
      <x:c r="Q3523" s="11" t="n">
        <x:v>0</x:v>
      </x:c>
      <x:c r="R3523" s="8" t="n">
        <x:v>45586</x:v>
      </x:c>
      <x:c r="S3523" s="4" t="str">
        <x:v>Retained</x:v>
      </x:c>
      <x:c r="T3523" s="10" t="n">
        <x:v>0.204152</x:v>
      </x:c>
      <x:c r="U3523" s="4" t="str">
        <x:v>Test</x:v>
      </x:c>
    </x:row>
    <x:row r="3524" ht="34" customHeight="1">
      <x:c r="A3524" s="4" t="str">
        <x:v>RS-03523</x:v>
      </x:c>
      <x:c r="B3524" s="8" t="n">
        <x:v>45527</x:v>
      </x:c>
      <x:c r="C3524" s="4" t="str">
        <x:v>PRJ-003</x:v>
      </x:c>
      <x:c r="D3524" s="4" t="str">
        <x:v>Apartment</x:v>
      </x:c>
      <x:c r="E3524" s="4" t="str">
        <x:v>Agreement signed</x:v>
      </x:c>
      <x:c r="F3524" s="4" t="str">
        <x:v>CUS-03523</x:v>
      </x:c>
      <x:c r="G3524" s="4" t="str">
        <x:v>UNIT-03523</x:v>
      </x:c>
      <x:c r="H3524" s="9" t="n">
        <x:v>11600000</x:v>
      </x:c>
      <x:c r="I3524" s="10" t="n">
        <x:v>0.06</x:v>
      </x:c>
      <x:c r="J3524" s="11" t="n">
        <x:v>10</x:v>
      </x:c>
      <x:c r="K3524" s="11" t="n">
        <x:v>8</x:v>
      </x:c>
      <x:c r="L3524" s="11" t="n">
        <x:v>0</x:v>
      </x:c>
      <x:c r="M3524" s="9" t="n">
        <x:f>ROUND(H3524*(1-I3524),2)</x:f>
        <x:v>10904000</x:v>
      </x:c>
      <x:c r="N3524" s="4" t="str">
        <x:v>Sales manager</x:v>
      </x:c>
      <x:c r="O3524" s="4" t="str">
        <x:v>BOOK-03523</x:v>
      </x:c>
      <x:c r="P3524" s="9" t="n">
        <x:v>1090400</x:v>
      </x:c>
      <x:c r="Q3524" s="11" t="n">
        <x:v>0</x:v>
      </x:c>
      <x:c r="R3524" s="8" t="n">
        <x:v>45587</x:v>
      </x:c>
      <x:c r="S3524" s="4" t="str">
        <x:v>Retained</x:v>
      </x:c>
      <x:c r="T3524" s="10" t="n">
        <x:v>0.310195</x:v>
      </x:c>
      <x:c r="U3524" s="4" t="str">
        <x:v>Test</x:v>
      </x:c>
    </x:row>
    <x:row r="3525" ht="34" customHeight="1">
      <x:c r="A3525" s="4" t="str">
        <x:v>RS-03524</x:v>
      </x:c>
      <x:c r="B3525" s="8" t="n">
        <x:v>45528</x:v>
      </x:c>
      <x:c r="C3525" s="4" t="str">
        <x:v>PRJ-004</x:v>
      </x:c>
      <x:c r="D3525" s="4" t="str">
        <x:v>Office</x:v>
      </x:c>
      <x:c r="E3525" s="4" t="str">
        <x:v>Handed over</x:v>
      </x:c>
      <x:c r="F3525" s="4" t="str">
        <x:v>CUS-03524</x:v>
      </x:c>
      <x:c r="G3525" s="4" t="str">
        <x:v>UNIT-03524</x:v>
      </x:c>
      <x:c r="H3525" s="9" t="n">
        <x:v>4900000</x:v>
      </x:c>
      <x:c r="I3525" s="10" t="n">
        <x:v>0.01</x:v>
      </x:c>
      <x:c r="J3525" s="11" t="n">
        <x:v>12</x:v>
      </x:c>
      <x:c r="K3525" s="11" t="n">
        <x:v>9</x:v>
      </x:c>
      <x:c r="L3525" s="11" t="n">
        <x:v>0</x:v>
      </x:c>
      <x:c r="M3525" s="9" t="n">
        <x:f>ROUND(H3525*(1-I3525),2)</x:f>
        <x:v>4851000</x:v>
      </x:c>
      <x:c r="N3525" s="4" t="str">
        <x:v>Sales manager</x:v>
      </x:c>
      <x:c r="O3525" s="4" t="str">
        <x:v>BOOK-03524</x:v>
      </x:c>
      <x:c r="P3525" s="9" t="n">
        <x:v>2425500</x:v>
      </x:c>
      <x:c r="Q3525" s="11" t="n">
        <x:v>0</x:v>
      </x:c>
      <x:c r="R3525" s="8" t="n">
        <x:v>45588</x:v>
      </x:c>
      <x:c r="S3525" s="4" t="str">
        <x:v>Retained</x:v>
      </x:c>
      <x:c r="T3525" s="10" t="n">
        <x:v>0.305556</x:v>
      </x:c>
      <x:c r="U3525" s="4" t="str">
        <x:v>Test</x:v>
      </x:c>
    </x:row>
    <x:row r="3526" ht="34" customHeight="1">
      <x:c r="A3526" s="4" t="str">
        <x:v>RS-03525</x:v>
      </x:c>
      <x:c r="B3526" s="8" t="n">
        <x:v>45529</x:v>
      </x:c>
      <x:c r="C3526" s="4" t="str">
        <x:v>PRJ-005</x:v>
      </x:c>
      <x:c r="D3526" s="4" t="str">
        <x:v>Apartment</x:v>
      </x:c>
      <x:c r="E3526" s="4" t="str">
        <x:v>Cancelled</x:v>
      </x:c>
      <x:c r="F3526" s="4" t="str">
        <x:v>CUS-03525</x:v>
      </x:c>
      <x:c r="G3526" s="4" t="str">
        <x:v>UNIT-03525</x:v>
      </x:c>
      <x:c r="H3526" s="9" t="n">
        <x:v>17900000</x:v>
      </x:c>
      <x:c r="I3526" s="10" t="n">
        <x:v>0.11</x:v>
      </x:c>
      <x:c r="J3526" s="11" t="n">
        <x:v>10</x:v>
      </x:c>
      <x:c r="K3526" s="11" t="n">
        <x:v>1</x:v>
      </x:c>
      <x:c r="L3526" s="11" t="n">
        <x:v>1</x:v>
      </x:c>
      <x:c r="M3526" s="9" t="n">
        <x:f>ROUND(H3526*(1-I3526),2)</x:f>
        <x:v>15931000</x:v>
      </x:c>
      <x:c r="N3526" s="4" t="str">
        <x:v>Sales head</x:v>
      </x:c>
      <x:c r="O3526" s="4"/>
      <x:c r="P3526" s="9" t="n">
        <x:v>0</x:v>
      </x:c>
      <x:c r="Q3526" s="11" t="n">
        <x:v>1</x:v>
      </x:c>
      <x:c r="R3526" s="8" t="n">
        <x:v>45589</x:v>
      </x:c>
      <x:c r="S3526" s="4" t="str">
        <x:v>Lost / cancelled</x:v>
      </x:c>
      <x:c r="T3526" s="10" t="n">
        <x:v>0.310195</x:v>
      </x:c>
      <x:c r="U3526" s="4" t="str">
        <x:v>Test</x:v>
      </x:c>
    </x:row>
    <x:row r="3527" ht="34" customHeight="1">
      <x:c r="A3527" s="4" t="str">
        <x:v>RS-03526</x:v>
      </x:c>
      <x:c r="B3527" s="8" t="n">
        <x:v>45530</x:v>
      </x:c>
      <x:c r="C3527" s="4" t="str">
        <x:v>PRJ-006</x:v>
      </x:c>
      <x:c r="D3527" s="4" t="str">
        <x:v>Retail</x:v>
      </x:c>
      <x:c r="E3527" s="4" t="str">
        <x:v>Reserved</x:v>
      </x:c>
      <x:c r="F3527" s="4" t="str">
        <x:v>CUS-03526</x:v>
      </x:c>
      <x:c r="G3527" s="4" t="str">
        <x:v>UNIT-03526</x:v>
      </x:c>
      <x:c r="H3527" s="9" t="n">
        <x:v>8700000</x:v>
      </x:c>
      <x:c r="I3527" s="10" t="n">
        <x:v>0.09</x:v>
      </x:c>
      <x:c r="J3527" s="11" t="n">
        <x:v>10</x:v>
      </x:c>
      <x:c r="K3527" s="11" t="n">
        <x:v>2</x:v>
      </x:c>
      <x:c r="L3527" s="11" t="n">
        <x:v>1</x:v>
      </x:c>
      <x:c r="M3527" s="9" t="n">
        <x:f>ROUND(H3527*(1-I3527),2)</x:f>
        <x:v>7917000</x:v>
      </x:c>
      <x:c r="N3527" s="4" t="str">
        <x:v>Sales head</x:v>
      </x:c>
      <x:c r="O3527" s="4"/>
      <x:c r="P3527" s="9" t="n">
        <x:v>0</x:v>
      </x:c>
      <x:c r="Q3527" s="11" t="n">
        <x:v>1</x:v>
      </x:c>
      <x:c r="R3527" s="8" t="n">
        <x:v>45590</x:v>
      </x:c>
      <x:c r="S3527" s="4" t="str">
        <x:v>Lost / cancelled</x:v>
      </x:c>
      <x:c r="T3527" s="10" t="n">
        <x:v>0.310195</x:v>
      </x:c>
      <x:c r="U3527" s="4" t="str">
        <x:v>Test</x:v>
      </x:c>
    </x:row>
    <x:row r="3528" ht="34" customHeight="1">
      <x:c r="A3528" s="4" t="str">
        <x:v>RS-03527</x:v>
      </x:c>
      <x:c r="B3528" s="8" t="n">
        <x:v>45531</x:v>
      </x:c>
      <x:c r="C3528" s="4" t="str">
        <x:v>PRJ-007</x:v>
      </x:c>
      <x:c r="D3528" s="4" t="str">
        <x:v>Office</x:v>
      </x:c>
      <x:c r="E3528" s="4" t="str">
        <x:v>Booked</x:v>
      </x:c>
      <x:c r="F3528" s="4" t="str">
        <x:v>CUS-03527</x:v>
      </x:c>
      <x:c r="G3528" s="4" t="str">
        <x:v>UNIT-03527</x:v>
      </x:c>
      <x:c r="H3528" s="9" t="n">
        <x:v>6600000</x:v>
      </x:c>
      <x:c r="I3528" s="10" t="n">
        <x:v>0.07</x:v>
      </x:c>
      <x:c r="J3528" s="11" t="n">
        <x:v>12</x:v>
      </x:c>
      <x:c r="K3528" s="11" t="n">
        <x:v>9</x:v>
      </x:c>
      <x:c r="L3528" s="11" t="n">
        <x:v>0</x:v>
      </x:c>
      <x:c r="M3528" s="9" t="n">
        <x:f>ROUND(H3528*(1-I3528),2)</x:f>
        <x:v>6138000</x:v>
      </x:c>
      <x:c r="N3528" s="4" t="str">
        <x:v>Sales manager</x:v>
      </x:c>
      <x:c r="O3528" s="4" t="str">
        <x:v>BOOK-03527</x:v>
      </x:c>
      <x:c r="P3528" s="9" t="n">
        <x:v>6138000</x:v>
      </x:c>
      <x:c r="Q3528" s="11" t="n">
        <x:v>0</x:v>
      </x:c>
      <x:c r="R3528" s="8" t="n">
        <x:v>45591</x:v>
      </x:c>
      <x:c r="S3528" s="4" t="str">
        <x:v>Retained</x:v>
      </x:c>
      <x:c r="T3528" s="10" t="n">
        <x:v>0.351536</x:v>
      </x:c>
      <x:c r="U3528" s="4" t="str">
        <x:v>Test</x:v>
      </x:c>
    </x:row>
    <x:row r="3529" ht="34" customHeight="1">
      <x:c r="A3529" s="4" t="str">
        <x:v>RS-03528</x:v>
      </x:c>
      <x:c r="B3529" s="8" t="n">
        <x:v>45532</x:v>
      </x:c>
      <x:c r="C3529" s="4" t="str">
        <x:v>PRJ-008</x:v>
      </x:c>
      <x:c r="D3529" s="4" t="str">
        <x:v>Retail</x:v>
      </x:c>
      <x:c r="E3529" s="4" t="str">
        <x:v>Booked</x:v>
      </x:c>
      <x:c r="F3529" s="4" t="str">
        <x:v>CUS-03528</x:v>
      </x:c>
      <x:c r="G3529" s="4" t="str">
        <x:v>UNIT-03528</x:v>
      </x:c>
      <x:c r="H3529" s="9" t="n">
        <x:v>9300000</x:v>
      </x:c>
      <x:c r="I3529" s="10" t="n">
        <x:v>0.08</x:v>
      </x:c>
      <x:c r="J3529" s="11" t="n">
        <x:v>0</x:v>
      </x:c>
      <x:c r="K3529" s="11" t="n">
        <x:v>9</x:v>
      </x:c>
      <x:c r="L3529" s="11" t="n">
        <x:v>1</x:v>
      </x:c>
      <x:c r="M3529" s="9" t="n">
        <x:f>ROUND(H3529*(1-I3529),2)</x:f>
        <x:v>8556000</x:v>
      </x:c>
      <x:c r="N3529" s="4" t="str">
        <x:v>Sales head</x:v>
      </x:c>
      <x:c r="O3529" s="4" t="str">
        <x:v>BOOK-03528</x:v>
      </x:c>
      <x:c r="P3529" s="9" t="n">
        <x:v>4278000</x:v>
      </x:c>
      <x:c r="Q3529" s="11" t="n">
        <x:v>0</x:v>
      </x:c>
      <x:c r="R3529" s="8" t="n">
        <x:v>45592</x:v>
      </x:c>
      <x:c r="S3529" s="4" t="str">
        <x:v>Retained</x:v>
      </x:c>
      <x:c r="T3529" s="10" t="n">
        <x:v>0.204152</x:v>
      </x:c>
      <x:c r="U3529" s="4" t="str">
        <x:v>Test</x:v>
      </x:c>
    </x:row>
    <x:row r="3530" ht="34" customHeight="1">
      <x:c r="A3530" s="4" t="str">
        <x:v>RS-03529</x:v>
      </x:c>
      <x:c r="B3530" s="8" t="n">
        <x:v>45505</x:v>
      </x:c>
      <x:c r="C3530" s="4" t="str">
        <x:v>PRJ-009</x:v>
      </x:c>
      <x:c r="D3530" s="4" t="str">
        <x:v>Villa</x:v>
      </x:c>
      <x:c r="E3530" s="4" t="str">
        <x:v>Handed over</x:v>
      </x:c>
      <x:c r="F3530" s="4" t="str">
        <x:v>CUS-03529</x:v>
      </x:c>
      <x:c r="G3530" s="4" t="str">
        <x:v>UNIT-03529</x:v>
      </x:c>
      <x:c r="H3530" s="9" t="n">
        <x:v>17600000</x:v>
      </x:c>
      <x:c r="I3530" s="10" t="n">
        <x:v>0.1</x:v>
      </x:c>
      <x:c r="J3530" s="11" t="n">
        <x:v>9</x:v>
      </x:c>
      <x:c r="K3530" s="11" t="n">
        <x:v>3</x:v>
      </x:c>
      <x:c r="L3530" s="11" t="n">
        <x:v>0</x:v>
      </x:c>
      <x:c r="M3530" s="9" t="n">
        <x:f>ROUND(H3530*(1-I3530),2)</x:f>
        <x:v>15840000</x:v>
      </x:c>
      <x:c r="N3530" s="4" t="str">
        <x:v>Sales head</x:v>
      </x:c>
      <x:c r="O3530" s="4" t="str">
        <x:v>BOOK-03529</x:v>
      </x:c>
      <x:c r="P3530" s="9" t="n">
        <x:v>3960000</x:v>
      </x:c>
      <x:c r="Q3530" s="11" t="n">
        <x:v>0</x:v>
      </x:c>
      <x:c r="R3530" s="8" t="n">
        <x:v>45565</x:v>
      </x:c>
      <x:c r="S3530" s="4" t="str">
        <x:v>Retained</x:v>
      </x:c>
      <x:c r="T3530" s="10" t="n">
        <x:v>0.310195</x:v>
      </x:c>
      <x:c r="U3530" s="4" t="str">
        <x:v>Test</x:v>
      </x:c>
    </x:row>
    <x:row r="3531" ht="34" customHeight="1">
      <x:c r="A3531" s="4" t="str">
        <x:v>RS-03530</x:v>
      </x:c>
      <x:c r="B3531" s="8" t="n">
        <x:v>45506</x:v>
      </x:c>
      <x:c r="C3531" s="4" t="str">
        <x:v>PRJ-010</x:v>
      </x:c>
      <x:c r="D3531" s="4" t="str">
        <x:v>Retail</x:v>
      </x:c>
      <x:c r="E3531" s="4" t="str">
        <x:v>Cancelled</x:v>
      </x:c>
      <x:c r="F3531" s="4" t="str">
        <x:v>CUS-03530</x:v>
      </x:c>
      <x:c r="G3531" s="4" t="str">
        <x:v>UNIT-03530</x:v>
      </x:c>
      <x:c r="H3531" s="9" t="n">
        <x:v>3400000</x:v>
      </x:c>
      <x:c r="I3531" s="10" t="n">
        <x:v>0.08</x:v>
      </x:c>
      <x:c r="J3531" s="11" t="n">
        <x:v>9</x:v>
      </x:c>
      <x:c r="K3531" s="11" t="n">
        <x:v>5</x:v>
      </x:c>
      <x:c r="L3531" s="11" t="n">
        <x:v>1</x:v>
      </x:c>
      <x:c r="M3531" s="9" t="n">
        <x:f>ROUND(H3531*(1-I3531),2)</x:f>
        <x:v>3128000</x:v>
      </x:c>
      <x:c r="N3531" s="4" t="str">
        <x:v>Sales head</x:v>
      </x:c>
      <x:c r="O3531" s="4"/>
      <x:c r="P3531" s="9" t="n">
        <x:v>0</x:v>
      </x:c>
      <x:c r="Q3531" s="11" t="n">
        <x:v>1</x:v>
      </x:c>
      <x:c r="R3531" s="8" t="n">
        <x:v>45566</x:v>
      </x:c>
      <x:c r="S3531" s="4" t="str">
        <x:v>Lost / cancelled</x:v>
      </x:c>
      <x:c r="T3531" s="10" t="n">
        <x:v>0.310195</x:v>
      </x:c>
      <x:c r="U3531" s="4" t="str">
        <x:v>Test</x:v>
      </x:c>
    </x:row>
    <x:row r="3532" ht="34" customHeight="1">
      <x:c r="A3532" s="4" t="str">
        <x:v>RS-03531</x:v>
      </x:c>
      <x:c r="B3532" s="8" t="n">
        <x:v>45507</x:v>
      </x:c>
      <x:c r="C3532" s="4" t="str">
        <x:v>PRJ-011</x:v>
      </x:c>
      <x:c r="D3532" s="4" t="str">
        <x:v>Villa</x:v>
      </x:c>
      <x:c r="E3532" s="4" t="str">
        <x:v>Reserved</x:v>
      </x:c>
      <x:c r="F3532" s="4" t="str">
        <x:v>CUS-03531</x:v>
      </x:c>
      <x:c r="G3532" s="4" t="str">
        <x:v>UNIT-03531</x:v>
      </x:c>
      <x:c r="H3532" s="9" t="n">
        <x:v>11400000</x:v>
      </x:c>
      <x:c r="I3532" s="10" t="n">
        <x:v>0.08</x:v>
      </x:c>
      <x:c r="J3532" s="11" t="n">
        <x:v>2</x:v>
      </x:c>
      <x:c r="K3532" s="11" t="n">
        <x:v>8</x:v>
      </x:c>
      <x:c r="L3532" s="11" t="n">
        <x:v>0</x:v>
      </x:c>
      <x:c r="M3532" s="9" t="n">
        <x:f>ROUND(H3532*(1-I3532),2)</x:f>
        <x:v>10488000</x:v>
      </x:c>
      <x:c r="N3532" s="4" t="str">
        <x:v>Sales head</x:v>
      </x:c>
      <x:c r="O3532" s="4"/>
      <x:c r="P3532" s="9" t="n">
        <x:v>0</x:v>
      </x:c>
      <x:c r="Q3532" s="11" t="n">
        <x:v>0</x:v>
      </x:c>
      <x:c r="R3532" s="8" t="n">
        <x:v>45567</x:v>
      </x:c>
      <x:c r="S3532" s="4" t="str">
        <x:v>Retained</x:v>
      </x:c>
      <x:c r="T3532" s="10" t="n">
        <x:v>0.204152</x:v>
      </x:c>
      <x:c r="U3532" s="4" t="str">
        <x:v>Test</x:v>
      </x:c>
    </x:row>
    <x:row r="3533" ht="34" customHeight="1">
      <x:c r="A3533" s="4" t="str">
        <x:v>RS-03532</x:v>
      </x:c>
      <x:c r="B3533" s="8" t="n">
        <x:v>45508</x:v>
      </x:c>
      <x:c r="C3533" s="4" t="str">
        <x:v>PRJ-012</x:v>
      </x:c>
      <x:c r="D3533" s="4" t="str">
        <x:v>Retail</x:v>
      </x:c>
      <x:c r="E3533" s="4" t="str">
        <x:v>Booked</x:v>
      </x:c>
      <x:c r="F3533" s="4" t="str">
        <x:v>CUS-03532</x:v>
      </x:c>
      <x:c r="G3533" s="4" t="str">
        <x:v>UNIT-03532</x:v>
      </x:c>
      <x:c r="H3533" s="9" t="n">
        <x:v>20000000</x:v>
      </x:c>
      <x:c r="I3533" s="10" t="n">
        <x:v>0.04</x:v>
      </x:c>
      <x:c r="J3533" s="11" t="n">
        <x:v>6</x:v>
      </x:c>
      <x:c r="K3533" s="11" t="n">
        <x:v>5</x:v>
      </x:c>
      <x:c r="L3533" s="11" t="n">
        <x:v>1</x:v>
      </x:c>
      <x:c r="M3533" s="9" t="n">
        <x:f>ROUND(H3533*(1-I3533),2)</x:f>
        <x:v>19200000</x:v>
      </x:c>
      <x:c r="N3533" s="4" t="str">
        <x:v>Sales manager</x:v>
      </x:c>
      <x:c r="O3533" s="4" t="str">
        <x:v>BOOK-03532</x:v>
      </x:c>
      <x:c r="P3533" s="9" t="n">
        <x:v>19200000</x:v>
      </x:c>
      <x:c r="Q3533" s="11" t="n">
        <x:v>0</x:v>
      </x:c>
      <x:c r="R3533" s="8" t="n">
        <x:v>45568</x:v>
      </x:c>
      <x:c r="S3533" s="4" t="str">
        <x:v>Retained</x:v>
      </x:c>
      <x:c r="T3533" s="10" t="n">
        <x:v>0.291946</x:v>
      </x:c>
      <x:c r="U3533" s="4" t="str">
        <x:v>Test</x:v>
      </x:c>
    </x:row>
    <x:row r="3534" ht="34" customHeight="1">
      <x:c r="A3534" s="4" t="str">
        <x:v>RS-03533</x:v>
      </x:c>
      <x:c r="B3534" s="8" t="n">
        <x:v>45509</x:v>
      </x:c>
      <x:c r="C3534" s="4" t="str">
        <x:v>PRJ-013</x:v>
      </x:c>
      <x:c r="D3534" s="4" t="str">
        <x:v>Office</x:v>
      </x:c>
      <x:c r="E3534" s="4" t="str">
        <x:v>Booked</x:v>
      </x:c>
      <x:c r="F3534" s="4" t="str">
        <x:v>CUS-03533</x:v>
      </x:c>
      <x:c r="G3534" s="4" t="str">
        <x:v>UNIT-03533</x:v>
      </x:c>
      <x:c r="H3534" s="9" t="n">
        <x:v>13100000</x:v>
      </x:c>
      <x:c r="I3534" s="10" t="n">
        <x:v>0.05</x:v>
      </x:c>
      <x:c r="J3534" s="11" t="n">
        <x:v>2</x:v>
      </x:c>
      <x:c r="K3534" s="11" t="n">
        <x:v>8</x:v>
      </x:c>
      <x:c r="L3534" s="11" t="n">
        <x:v>0</x:v>
      </x:c>
      <x:c r="M3534" s="9" t="n">
        <x:f>ROUND(H3534*(1-I3534),2)</x:f>
        <x:v>12445000</x:v>
      </x:c>
      <x:c r="N3534" s="4" t="str">
        <x:v>Sales manager</x:v>
      </x:c>
      <x:c r="O3534" s="4" t="str">
        <x:v>BOOK-03533</x:v>
      </x:c>
      <x:c r="P3534" s="9" t="n">
        <x:v>3111250</x:v>
      </x:c>
      <x:c r="Q3534" s="11" t="n">
        <x:v>0</x:v>
      </x:c>
      <x:c r="R3534" s="8" t="n">
        <x:v>45569</x:v>
      </x:c>
      <x:c r="S3534" s="4" t="str">
        <x:v>Retained</x:v>
      </x:c>
      <x:c r="T3534" s="10" t="n">
        <x:v>0.204152</x:v>
      </x:c>
      <x:c r="U3534" s="4" t="str">
        <x:v>Test</x:v>
      </x:c>
    </x:row>
    <x:row r="3535" ht="34" customHeight="1">
      <x:c r="A3535" s="4" t="str">
        <x:v>RS-03534</x:v>
      </x:c>
      <x:c r="B3535" s="8" t="n">
        <x:v>45510</x:v>
      </x:c>
      <x:c r="C3535" s="4" t="str">
        <x:v>PRJ-014</x:v>
      </x:c>
      <x:c r="D3535" s="4" t="str">
        <x:v>Apartment</x:v>
      </x:c>
      <x:c r="E3535" s="4" t="str">
        <x:v>Cancelled</x:v>
      </x:c>
      <x:c r="F3535" s="4" t="str">
        <x:v>CUS-03534</x:v>
      </x:c>
      <x:c r="G3535" s="4" t="str">
        <x:v>UNIT-03534</x:v>
      </x:c>
      <x:c r="H3535" s="9" t="n">
        <x:v>22400000</x:v>
      </x:c>
      <x:c r="I3535" s="10" t="n">
        <x:v>0.09</x:v>
      </x:c>
      <x:c r="J3535" s="11" t="n">
        <x:v>5</x:v>
      </x:c>
      <x:c r="K3535" s="11" t="n">
        <x:v>10</x:v>
      </x:c>
      <x:c r="L3535" s="11" t="n">
        <x:v>0</x:v>
      </x:c>
      <x:c r="M3535" s="9" t="n">
        <x:f>ROUND(H3535*(1-I3535),2)</x:f>
        <x:v>20384000</x:v>
      </x:c>
      <x:c r="N3535" s="4" t="str">
        <x:v>Sales head</x:v>
      </x:c>
      <x:c r="O3535" s="4"/>
      <x:c r="P3535" s="9" t="n">
        <x:v>0</x:v>
      </x:c>
      <x:c r="Q3535" s="11" t="n">
        <x:v>1</x:v>
      </x:c>
      <x:c r="R3535" s="8" t="n">
        <x:v>45570</x:v>
      </x:c>
      <x:c r="S3535" s="4" t="str">
        <x:v>Lost / cancelled</x:v>
      </x:c>
      <x:c r="T3535" s="10" t="n">
        <x:v>0.226277</x:v>
      </x:c>
      <x:c r="U3535" s="4" t="str">
        <x:v>Test</x:v>
      </x:c>
    </x:row>
    <x:row r="3536" ht="34" customHeight="1">
      <x:c r="A3536" s="4" t="str">
        <x:v>RS-03535</x:v>
      </x:c>
      <x:c r="B3536" s="8" t="n">
        <x:v>45511</x:v>
      </x:c>
      <x:c r="C3536" s="4" t="str">
        <x:v>PRJ-015</x:v>
      </x:c>
      <x:c r="D3536" s="4" t="str">
        <x:v>Retail</x:v>
      </x:c>
      <x:c r="E3536" s="4" t="str">
        <x:v>Enquiry</x:v>
      </x:c>
      <x:c r="F3536" s="4" t="str">
        <x:v>CUS-03535</x:v>
      </x:c>
      <x:c r="G3536" s="4" t="str">
        <x:v>UNIT-03535</x:v>
      </x:c>
      <x:c r="H3536" s="9" t="n">
        <x:v>20900000</x:v>
      </x:c>
      <x:c r="I3536" s="10" t="n">
        <x:v>0.07</x:v>
      </x:c>
      <x:c r="J3536" s="11" t="n">
        <x:v>8</x:v>
      </x:c>
      <x:c r="K3536" s="11" t="n">
        <x:v>1</x:v>
      </x:c>
      <x:c r="L3536" s="11" t="n">
        <x:v>0</x:v>
      </x:c>
      <x:c r="M3536" s="9" t="n">
        <x:f>ROUND(H3536*(1-I3536),2)</x:f>
        <x:v>19437000</x:v>
      </x:c>
      <x:c r="N3536" s="4" t="str">
        <x:v>Sales manager</x:v>
      </x:c>
      <x:c r="O3536" s="4"/>
      <x:c r="P3536" s="9" t="n">
        <x:v>0</x:v>
      </x:c>
      <x:c r="Q3536" s="11" t="n">
        <x:v>0</x:v>
      </x:c>
      <x:c r="R3536" s="8" t="n">
        <x:v>45571</x:v>
      </x:c>
      <x:c r="S3536" s="4" t="str">
        <x:v>Retained</x:v>
      </x:c>
      <x:c r="T3536" s="10" t="n">
        <x:v>0.310195</x:v>
      </x:c>
      <x:c r="U3536" s="4" t="str">
        <x:v>Test</x:v>
      </x:c>
    </x:row>
    <x:row r="3537" ht="34" customHeight="1">
      <x:c r="A3537" s="4" t="str">
        <x:v>RS-03536</x:v>
      </x:c>
      <x:c r="B3537" s="8" t="n">
        <x:v>45512</x:v>
      </x:c>
      <x:c r="C3537" s="4" t="str">
        <x:v>PRJ-016</x:v>
      </x:c>
      <x:c r="D3537" s="4" t="str">
        <x:v>Apartment</x:v>
      </x:c>
      <x:c r="E3537" s="4" t="str">
        <x:v>Enquiry</x:v>
      </x:c>
      <x:c r="F3537" s="4" t="str">
        <x:v>CUS-03536</x:v>
      </x:c>
      <x:c r="G3537" s="4" t="str">
        <x:v>UNIT-03536</x:v>
      </x:c>
      <x:c r="H3537" s="9" t="n">
        <x:v>13300000</x:v>
      </x:c>
      <x:c r="I3537" s="10" t="n">
        <x:v>0.11</x:v>
      </x:c>
      <x:c r="J3537" s="11" t="n">
        <x:v>1</x:v>
      </x:c>
      <x:c r="K3537" s="11" t="n">
        <x:v>3</x:v>
      </x:c>
      <x:c r="L3537" s="11" t="n">
        <x:v>1</x:v>
      </x:c>
      <x:c r="M3537" s="9" t="n">
        <x:f>ROUND(H3537*(1-I3537),2)</x:f>
        <x:v>11837000</x:v>
      </x:c>
      <x:c r="N3537" s="4" t="str">
        <x:v>Sales head</x:v>
      </x:c>
      <x:c r="O3537" s="4"/>
      <x:c r="P3537" s="9" t="n">
        <x:v>0</x:v>
      </x:c>
      <x:c r="Q3537" s="11" t="n">
        <x:v>0</x:v>
      </x:c>
      <x:c r="R3537" s="8" t="n">
        <x:v>45572</x:v>
      </x:c>
      <x:c r="S3537" s="4" t="str">
        <x:v>Retained</x:v>
      </x:c>
      <x:c r="T3537" s="10" t="n">
        <x:v>0.145833</x:v>
      </x:c>
      <x:c r="U3537" s="4" t="str">
        <x:v>Test</x:v>
      </x:c>
    </x:row>
    <x:row r="3538" ht="34" customHeight="1">
      <x:c r="A3538" s="4" t="str">
        <x:v>RS-03537</x:v>
      </x:c>
      <x:c r="B3538" s="8" t="n">
        <x:v>45513</x:v>
      </x:c>
      <x:c r="C3538" s="4" t="str">
        <x:v>PRJ-017</x:v>
      </x:c>
      <x:c r="D3538" s="4" t="str">
        <x:v>Retail</x:v>
      </x:c>
      <x:c r="E3538" s="4" t="str">
        <x:v>Booked</x:v>
      </x:c>
      <x:c r="F3538" s="4" t="str">
        <x:v>CUS-03537</x:v>
      </x:c>
      <x:c r="G3538" s="4" t="str">
        <x:v>UNIT-03537</x:v>
      </x:c>
      <x:c r="H3538" s="9" t="n">
        <x:v>7600000</x:v>
      </x:c>
      <x:c r="I3538" s="10" t="n">
        <x:v>0.08</x:v>
      </x:c>
      <x:c r="J3538" s="11" t="n">
        <x:v>6</x:v>
      </x:c>
      <x:c r="K3538" s="11" t="n">
        <x:v>7</x:v>
      </x:c>
      <x:c r="L3538" s="11" t="n">
        <x:v>1</x:v>
      </x:c>
      <x:c r="M3538" s="9" t="n">
        <x:f>ROUND(H3538*(1-I3538),2)</x:f>
        <x:v>6992000</x:v>
      </x:c>
      <x:c r="N3538" s="4" t="str">
        <x:v>Sales head</x:v>
      </x:c>
      <x:c r="O3538" s="4" t="str">
        <x:v>BOOK-03537</x:v>
      </x:c>
      <x:c r="P3538" s="9" t="n">
        <x:v>6992000</x:v>
      </x:c>
      <x:c r="Q3538" s="11" t="n">
        <x:v>0</x:v>
      </x:c>
      <x:c r="R3538" s="8" t="n">
        <x:v>45573</x:v>
      </x:c>
      <x:c r="S3538" s="4" t="str">
        <x:v>Retained</x:v>
      </x:c>
      <x:c r="T3538" s="10" t="n">
        <x:v>0.291946</x:v>
      </x:c>
      <x:c r="U3538" s="4" t="str">
        <x:v>Test</x:v>
      </x:c>
    </x:row>
    <x:row r="3539" ht="34" customHeight="1">
      <x:c r="A3539" s="4" t="str">
        <x:v>RS-03538</x:v>
      </x:c>
      <x:c r="B3539" s="8" t="n">
        <x:v>45514</x:v>
      </x:c>
      <x:c r="C3539" s="4" t="str">
        <x:v>PRJ-018</x:v>
      </x:c>
      <x:c r="D3539" s="4" t="str">
        <x:v>Villa</x:v>
      </x:c>
      <x:c r="E3539" s="4" t="str">
        <x:v>Cancelled</x:v>
      </x:c>
      <x:c r="F3539" s="4" t="str">
        <x:v>CUS-03538</x:v>
      </x:c>
      <x:c r="G3539" s="4" t="str">
        <x:v>UNIT-03538</x:v>
      </x:c>
      <x:c r="H3539" s="9" t="n">
        <x:v>11600000</x:v>
      </x:c>
      <x:c r="I3539" s="10" t="n">
        <x:v>0.08</x:v>
      </x:c>
      <x:c r="J3539" s="11" t="n">
        <x:v>2</x:v>
      </x:c>
      <x:c r="K3539" s="11" t="n">
        <x:v>8</x:v>
      </x:c>
      <x:c r="L3539" s="11" t="n">
        <x:v>1</x:v>
      </x:c>
      <x:c r="M3539" s="9" t="n">
        <x:f>ROUND(H3539*(1-I3539),2)</x:f>
        <x:v>10672000</x:v>
      </x:c>
      <x:c r="N3539" s="4" t="str">
        <x:v>Sales head</x:v>
      </x:c>
      <x:c r="O3539" s="4"/>
      <x:c r="P3539" s="9" t="n">
        <x:v>0</x:v>
      </x:c>
      <x:c r="Q3539" s="11" t="n">
        <x:v>1</x:v>
      </x:c>
      <x:c r="R3539" s="8" t="n">
        <x:v>45574</x:v>
      </x:c>
      <x:c r="S3539" s="4" t="str">
        <x:v>Lost / cancelled</x:v>
      </x:c>
      <x:c r="T3539" s="10" t="n">
        <x:v>0.204152</x:v>
      </x:c>
      <x:c r="U3539" s="4" t="str">
        <x:v>Test</x:v>
      </x:c>
    </x:row>
    <x:row r="3540" ht="34" customHeight="1">
      <x:c r="A3540" s="4" t="str">
        <x:v>RS-03539</x:v>
      </x:c>
      <x:c r="B3540" s="8" t="n">
        <x:v>45515</x:v>
      </x:c>
      <x:c r="C3540" s="4" t="str">
        <x:v>PRJ-019</x:v>
      </x:c>
      <x:c r="D3540" s="4" t="str">
        <x:v>Office</x:v>
      </x:c>
      <x:c r="E3540" s="4" t="str">
        <x:v>Reserved</x:v>
      </x:c>
      <x:c r="F3540" s="4" t="str">
        <x:v>CUS-03539</x:v>
      </x:c>
      <x:c r="G3540" s="4" t="str">
        <x:v>UNIT-03539</x:v>
      </x:c>
      <x:c r="H3540" s="9" t="n">
        <x:v>6200000</x:v>
      </x:c>
      <x:c r="I3540" s="10" t="n">
        <x:v>0.04</x:v>
      </x:c>
      <x:c r="J3540" s="11" t="n">
        <x:v>9</x:v>
      </x:c>
      <x:c r="K3540" s="11" t="n">
        <x:v>0</x:v>
      </x:c>
      <x:c r="L3540" s="11" t="n">
        <x:v>0</x:v>
      </x:c>
      <x:c r="M3540" s="9" t="n">
        <x:f>ROUND(H3540*(1-I3540),2)</x:f>
        <x:v>5952000</x:v>
      </x:c>
      <x:c r="N3540" s="4" t="str">
        <x:v>Sales manager</x:v>
      </x:c>
      <x:c r="O3540" s="4"/>
      <x:c r="P3540" s="9" t="n">
        <x:v>0</x:v>
      </x:c>
      <x:c r="Q3540" s="11" t="n">
        <x:v>0</x:v>
      </x:c>
      <x:c r="R3540" s="8" t="n">
        <x:v>45575</x:v>
      </x:c>
      <x:c r="S3540" s="4" t="str">
        <x:v>Retained</x:v>
      </x:c>
      <x:c r="T3540" s="10" t="n">
        <x:v>0.310195</x:v>
      </x:c>
      <x:c r="U3540" s="4" t="str">
        <x:v>Test</x:v>
      </x:c>
    </x:row>
    <x:row r="3541" ht="34" customHeight="1">
      <x:c r="A3541" s="4" t="str">
        <x:v>RS-03540</x:v>
      </x:c>
      <x:c r="B3541" s="8" t="n">
        <x:v>45516</x:v>
      </x:c>
      <x:c r="C3541" s="4" t="str">
        <x:v>PRJ-020</x:v>
      </x:c>
      <x:c r="D3541" s="4" t="str">
        <x:v>Office</x:v>
      </x:c>
      <x:c r="E3541" s="4" t="str">
        <x:v>Booked</x:v>
      </x:c>
      <x:c r="F3541" s="4" t="str">
        <x:v>CUS-03540</x:v>
      </x:c>
      <x:c r="G3541" s="4" t="str">
        <x:v>UNIT-03540</x:v>
      </x:c>
      <x:c r="H3541" s="9" t="n">
        <x:v>13200000</x:v>
      </x:c>
      <x:c r="I3541" s="10" t="n">
        <x:v>0.11</x:v>
      </x:c>
      <x:c r="J3541" s="11" t="n">
        <x:v>10</x:v>
      </x:c>
      <x:c r="K3541" s="11" t="n">
        <x:v>1</x:v>
      </x:c>
      <x:c r="L3541" s="11" t="n">
        <x:v>1</x:v>
      </x:c>
      <x:c r="M3541" s="9" t="n">
        <x:f>ROUND(H3541*(1-I3541),2)</x:f>
        <x:v>11748000</x:v>
      </x:c>
      <x:c r="N3541" s="4" t="str">
        <x:v>Sales head</x:v>
      </x:c>
      <x:c r="O3541" s="4" t="str">
        <x:v>BOOK-03540</x:v>
      </x:c>
      <x:c r="P3541" s="9" t="n">
        <x:v>1174800</x:v>
      </x:c>
      <x:c r="Q3541" s="11" t="n">
        <x:v>0</x:v>
      </x:c>
      <x:c r="R3541" s="8" t="n">
        <x:v>45576</x:v>
      </x:c>
      <x:c r="S3541" s="4" t="str">
        <x:v>Retained</x:v>
      </x:c>
      <x:c r="T3541" s="10" t="n">
        <x:v>0.310195</x:v>
      </x:c>
      <x:c r="U3541" s="4" t="str">
        <x:v>Test</x:v>
      </x:c>
    </x:row>
    <x:row r="3542" ht="34" customHeight="1">
      <x:c r="A3542" s="4" t="str">
        <x:v>RS-03541</x:v>
      </x:c>
      <x:c r="B3542" s="8" t="n">
        <x:v>45517</x:v>
      </x:c>
      <x:c r="C3542" s="4" t="str">
        <x:v>PRJ-001</x:v>
      </x:c>
      <x:c r="D3542" s="4" t="str">
        <x:v>Apartment</x:v>
      </x:c>
      <x:c r="E3542" s="4" t="str">
        <x:v>Booked</x:v>
      </x:c>
      <x:c r="F3542" s="4" t="str">
        <x:v>CUS-03541</x:v>
      </x:c>
      <x:c r="G3542" s="4" t="str">
        <x:v>UNIT-03541</x:v>
      </x:c>
      <x:c r="H3542" s="9" t="n">
        <x:v>8100000</x:v>
      </x:c>
      <x:c r="I3542" s="10" t="n">
        <x:v>0.01</x:v>
      </x:c>
      <x:c r="J3542" s="11" t="n">
        <x:v>4</x:v>
      </x:c>
      <x:c r="K3542" s="11" t="n">
        <x:v>6</x:v>
      </x:c>
      <x:c r="L3542" s="11" t="n">
        <x:v>0</x:v>
      </x:c>
      <x:c r="M3542" s="9" t="n">
        <x:f>ROUND(H3542*(1-I3542),2)</x:f>
        <x:v>8019000</x:v>
      </x:c>
      <x:c r="N3542" s="4" t="str">
        <x:v>Sales manager</x:v>
      </x:c>
      <x:c r="O3542" s="4" t="str">
        <x:v>BOOK-03541</x:v>
      </x:c>
      <x:c r="P3542" s="9" t="n">
        <x:v>2004750</x:v>
      </x:c>
      <x:c r="Q3542" s="11" t="n">
        <x:v>0</x:v>
      </x:c>
      <x:c r="R3542" s="8" t="n">
        <x:v>45577</x:v>
      </x:c>
      <x:c r="S3542" s="4" t="str">
        <x:v>Retained</x:v>
      </x:c>
      <x:c r="T3542" s="10" t="n">
        <x:v>0.145299</x:v>
      </x:c>
      <x:c r="U3542" s="4" t="str">
        <x:v>Test</x:v>
      </x:c>
    </x:row>
    <x:row r="3543" ht="34" customHeight="1">
      <x:c r="A3543" s="4" t="str">
        <x:v>RS-03542</x:v>
      </x:c>
      <x:c r="B3543" s="8" t="n">
        <x:v>45518</x:v>
      </x:c>
      <x:c r="C3543" s="4" t="str">
        <x:v>PRJ-002</x:v>
      </x:c>
      <x:c r="D3543" s="4" t="str">
        <x:v>Retail</x:v>
      </x:c>
      <x:c r="E3543" s="4" t="str">
        <x:v>Handed over</x:v>
      </x:c>
      <x:c r="F3543" s="4" t="str">
        <x:v>CUS-03542</x:v>
      </x:c>
      <x:c r="G3543" s="4" t="str">
        <x:v>UNIT-03542</x:v>
      </x:c>
      <x:c r="H3543" s="9" t="n">
        <x:v>17100000</x:v>
      </x:c>
      <x:c r="I3543" s="10" t="n">
        <x:v>0.07</x:v>
      </x:c>
      <x:c r="J3543" s="11" t="n">
        <x:v>8</x:v>
      </x:c>
      <x:c r="K3543" s="11" t="n">
        <x:v>9</x:v>
      </x:c>
      <x:c r="L3543" s="11" t="n">
        <x:v>0</x:v>
      </x:c>
      <x:c r="M3543" s="9" t="n">
        <x:f>ROUND(H3543*(1-I3543),2)</x:f>
        <x:v>15903000</x:v>
      </x:c>
      <x:c r="N3543" s="4" t="str">
        <x:v>Sales manager</x:v>
      </x:c>
      <x:c r="O3543" s="4" t="str">
        <x:v>BOOK-03542</x:v>
      </x:c>
      <x:c r="P3543" s="9" t="n">
        <x:v>1590300</x:v>
      </x:c>
      <x:c r="Q3543" s="11" t="n">
        <x:v>0</x:v>
      </x:c>
      <x:c r="R3543" s="8" t="n">
        <x:v>45578</x:v>
      </x:c>
      <x:c r="S3543" s="4" t="str">
        <x:v>Retained</x:v>
      </x:c>
      <x:c r="T3543" s="10" t="n">
        <x:v>0.310195</x:v>
      </x:c>
      <x:c r="U3543" s="4" t="str">
        <x:v>Test</x:v>
      </x:c>
    </x:row>
    <x:row r="3544" ht="34" customHeight="1">
      <x:c r="A3544" s="4" t="str">
        <x:v>RS-03543</x:v>
      </x:c>
      <x:c r="B3544" s="8" t="n">
        <x:v>45519</x:v>
      </x:c>
      <x:c r="C3544" s="4" t="str">
        <x:v>PRJ-003</x:v>
      </x:c>
      <x:c r="D3544" s="4" t="str">
        <x:v>Retail</x:v>
      </x:c>
      <x:c r="E3544" s="4" t="str">
        <x:v>Handed over</x:v>
      </x:c>
      <x:c r="F3544" s="4" t="str">
        <x:v>CUS-03543</x:v>
      </x:c>
      <x:c r="G3544" s="4" t="str">
        <x:v>UNIT-03543</x:v>
      </x:c>
      <x:c r="H3544" s="9" t="n">
        <x:v>18500000</x:v>
      </x:c>
      <x:c r="I3544" s="10" t="n">
        <x:v>0.09</x:v>
      </x:c>
      <x:c r="J3544" s="11" t="n">
        <x:v>0</x:v>
      </x:c>
      <x:c r="K3544" s="11" t="n">
        <x:v>2</x:v>
      </x:c>
      <x:c r="L3544" s="11" t="n">
        <x:v>1</x:v>
      </x:c>
      <x:c r="M3544" s="9" t="n">
        <x:f>ROUND(H3544*(1-I3544),2)</x:f>
        <x:v>16835000</x:v>
      </x:c>
      <x:c r="N3544" s="4" t="str">
        <x:v>Sales head</x:v>
      </x:c>
      <x:c r="O3544" s="4" t="str">
        <x:v>BOOK-03543</x:v>
      </x:c>
      <x:c r="P3544" s="9" t="n">
        <x:v>8417500</x:v>
      </x:c>
      <x:c r="Q3544" s="11" t="n">
        <x:v>0</x:v>
      </x:c>
      <x:c r="R3544" s="8" t="n">
        <x:v>45579</x:v>
      </x:c>
      <x:c r="S3544" s="4" t="str">
        <x:v>Retained</x:v>
      </x:c>
      <x:c r="T3544" s="10" t="n">
        <x:v>0.145833</x:v>
      </x:c>
      <x:c r="U3544" s="4" t="str">
        <x:v>Test</x:v>
      </x:c>
    </x:row>
    <x:row r="3545" ht="34" customHeight="1">
      <x:c r="A3545" s="4" t="str">
        <x:v>RS-03544</x:v>
      </x:c>
      <x:c r="B3545" s="8" t="n">
        <x:v>45520</x:v>
      </x:c>
      <x:c r="C3545" s="4" t="str">
        <x:v>PRJ-004</x:v>
      </x:c>
      <x:c r="D3545" s="4" t="str">
        <x:v>Apartment</x:v>
      </x:c>
      <x:c r="E3545" s="4" t="str">
        <x:v>Agreement signed</x:v>
      </x:c>
      <x:c r="F3545" s="4" t="str">
        <x:v>CUS-03544</x:v>
      </x:c>
      <x:c r="G3545" s="4" t="str">
        <x:v>UNIT-03544</x:v>
      </x:c>
      <x:c r="H3545" s="9" t="n">
        <x:v>19100000</x:v>
      </x:c>
      <x:c r="I3545" s="10" t="n">
        <x:v>0.12</x:v>
      </x:c>
      <x:c r="J3545" s="11" t="n">
        <x:v>6</x:v>
      </x:c>
      <x:c r="K3545" s="11" t="n">
        <x:v>7</x:v>
      </x:c>
      <x:c r="L3545" s="11" t="n">
        <x:v>0</x:v>
      </x:c>
      <x:c r="M3545" s="9" t="n">
        <x:f>ROUND(H3545*(1-I3545),2)</x:f>
        <x:v>16808000</x:v>
      </x:c>
      <x:c r="N3545" s="4" t="str">
        <x:v>Sales head</x:v>
      </x:c>
      <x:c r="O3545" s="4" t="str">
        <x:v>BOOK-03544</x:v>
      </x:c>
      <x:c r="P3545" s="9" t="n">
        <x:v>8404000</x:v>
      </x:c>
      <x:c r="Q3545" s="11" t="n">
        <x:v>0</x:v>
      </x:c>
      <x:c r="R3545" s="8" t="n">
        <x:v>45580</x:v>
      </x:c>
      <x:c r="S3545" s="4" t="str">
        <x:v>Retained</x:v>
      </x:c>
      <x:c r="T3545" s="10" t="n">
        <x:v>0.226277</x:v>
      </x:c>
      <x:c r="U3545" s="4" t="str">
        <x:v>Test</x:v>
      </x:c>
    </x:row>
    <x:row r="3546" ht="34" customHeight="1">
      <x:c r="A3546" s="4" t="str">
        <x:v>RS-03545</x:v>
      </x:c>
      <x:c r="B3546" s="8" t="n">
        <x:v>45521</x:v>
      </x:c>
      <x:c r="C3546" s="4" t="str">
        <x:v>PRJ-005</x:v>
      </x:c>
      <x:c r="D3546" s="4" t="str">
        <x:v>Retail</x:v>
      </x:c>
      <x:c r="E3546" s="4" t="str">
        <x:v>Enquiry</x:v>
      </x:c>
      <x:c r="F3546" s="4" t="str">
        <x:v>CUS-03545</x:v>
      </x:c>
      <x:c r="G3546" s="4" t="str">
        <x:v>UNIT-03545</x:v>
      </x:c>
      <x:c r="H3546" s="9" t="n">
        <x:v>12400000</x:v>
      </x:c>
      <x:c r="I3546" s="10" t="n">
        <x:v>0.1</x:v>
      </x:c>
      <x:c r="J3546" s="11" t="n">
        <x:v>12</x:v>
      </x:c>
      <x:c r="K3546" s="11" t="n">
        <x:v>9</x:v>
      </x:c>
      <x:c r="L3546" s="11" t="n">
        <x:v>1</x:v>
      </x:c>
      <x:c r="M3546" s="9" t="n">
        <x:f>ROUND(H3546*(1-I3546),2)</x:f>
        <x:v>11160000</x:v>
      </x:c>
      <x:c r="N3546" s="4" t="str">
        <x:v>Sales head</x:v>
      </x:c>
      <x:c r="O3546" s="4"/>
      <x:c r="P3546" s="9" t="n">
        <x:v>0</x:v>
      </x:c>
      <x:c r="Q3546" s="11" t="n">
        <x:v>0</x:v>
      </x:c>
      <x:c r="R3546" s="8" t="n">
        <x:v>45581</x:v>
      </x:c>
      <x:c r="S3546" s="4" t="str">
        <x:v>Retained</x:v>
      </x:c>
      <x:c r="T3546" s="10" t="n">
        <x:v>0.351536</x:v>
      </x:c>
      <x:c r="U3546" s="4" t="str">
        <x:v>Test</x:v>
      </x:c>
    </x:row>
    <x:row r="3547" ht="34" customHeight="1">
      <x:c r="A3547" s="4" t="str">
        <x:v>RS-03546</x:v>
      </x:c>
      <x:c r="B3547" s="8" t="n">
        <x:v>45522</x:v>
      </x:c>
      <x:c r="C3547" s="4" t="str">
        <x:v>PRJ-006</x:v>
      </x:c>
      <x:c r="D3547" s="4" t="str">
        <x:v>Office</x:v>
      </x:c>
      <x:c r="E3547" s="4" t="str">
        <x:v>Cancelled</x:v>
      </x:c>
      <x:c r="F3547" s="4" t="str">
        <x:v>CUS-03546</x:v>
      </x:c>
      <x:c r="G3547" s="4" t="str">
        <x:v>UNIT-03546</x:v>
      </x:c>
      <x:c r="H3547" s="9" t="n">
        <x:v>4200000</x:v>
      </x:c>
      <x:c r="I3547" s="10" t="n">
        <x:v>0.07</x:v>
      </x:c>
      <x:c r="J3547" s="11" t="n">
        <x:v>3</x:v>
      </x:c>
      <x:c r="K3547" s="11" t="n">
        <x:v>10</x:v>
      </x:c>
      <x:c r="L3547" s="11" t="n">
        <x:v>0</x:v>
      </x:c>
      <x:c r="M3547" s="9" t="n">
        <x:f>ROUND(H3547*(1-I3547),2)</x:f>
        <x:v>3906000</x:v>
      </x:c>
      <x:c r="N3547" s="4" t="str">
        <x:v>Sales manager</x:v>
      </x:c>
      <x:c r="O3547" s="4"/>
      <x:c r="P3547" s="9" t="n">
        <x:v>0</x:v>
      </x:c>
      <x:c r="Q3547" s="11" t="n">
        <x:v>1</x:v>
      </x:c>
      <x:c r="R3547" s="8" t="n">
        <x:v>45582</x:v>
      </x:c>
      <x:c r="S3547" s="4" t="str">
        <x:v>Lost / cancelled</x:v>
      </x:c>
      <x:c r="T3547" s="10" t="n">
        <x:v>0.204152</x:v>
      </x:c>
      <x:c r="U3547" s="4" t="str">
        <x:v>Test</x:v>
      </x:c>
    </x:row>
    <x:row r="3548" ht="34" customHeight="1">
      <x:c r="A3548" s="4" t="str">
        <x:v>RS-03547</x:v>
      </x:c>
      <x:c r="B3548" s="8" t="n">
        <x:v>45523</x:v>
      </x:c>
      <x:c r="C3548" s="4" t="str">
        <x:v>PRJ-007</x:v>
      </x:c>
      <x:c r="D3548" s="4" t="str">
        <x:v>Apartment</x:v>
      </x:c>
      <x:c r="E3548" s="4" t="str">
        <x:v>Handed over</x:v>
      </x:c>
      <x:c r="F3548" s="4" t="str">
        <x:v>CUS-03547</x:v>
      </x:c>
      <x:c r="G3548" s="4" t="str">
        <x:v>UNIT-03547</x:v>
      </x:c>
      <x:c r="H3548" s="9" t="n">
        <x:v>13900000</x:v>
      </x:c>
      <x:c r="I3548" s="10" t="n">
        <x:v>0.11</x:v>
      </x:c>
      <x:c r="J3548" s="11" t="n">
        <x:v>3</x:v>
      </x:c>
      <x:c r="K3548" s="11" t="n">
        <x:v>1</x:v>
      </x:c>
      <x:c r="L3548" s="11" t="n">
        <x:v>1</x:v>
      </x:c>
      <x:c r="M3548" s="9" t="n">
        <x:f>ROUND(H3548*(1-I3548),2)</x:f>
        <x:v>12371000</x:v>
      </x:c>
      <x:c r="N3548" s="4" t="str">
        <x:v>Sales head</x:v>
      </x:c>
      <x:c r="O3548" s="4" t="str">
        <x:v>BOOK-03547</x:v>
      </x:c>
      <x:c r="P3548" s="9" t="n">
        <x:v>12371000</x:v>
      </x:c>
      <x:c r="Q3548" s="11" t="n">
        <x:v>0</x:v>
      </x:c>
      <x:c r="R3548" s="8" t="n">
        <x:v>45583</x:v>
      </x:c>
      <x:c r="S3548" s="4" t="str">
        <x:v>Retained</x:v>
      </x:c>
      <x:c r="T3548" s="10" t="n">
        <x:v>0.145833</x:v>
      </x:c>
      <x:c r="U3548" s="4" t="str">
        <x:v>Test</x:v>
      </x:c>
    </x:row>
    <x:row r="3549" ht="34" customHeight="1">
      <x:c r="A3549" s="4" t="str">
        <x:v>RS-03548</x:v>
      </x:c>
      <x:c r="B3549" s="8" t="n">
        <x:v>45524</x:v>
      </x:c>
      <x:c r="C3549" s="4" t="str">
        <x:v>PRJ-008</x:v>
      </x:c>
      <x:c r="D3549" s="4" t="str">
        <x:v>Villa</x:v>
      </x:c>
      <x:c r="E3549" s="4" t="str">
        <x:v>Agreement signed</x:v>
      </x:c>
      <x:c r="F3549" s="4" t="str">
        <x:v>CUS-03548</x:v>
      </x:c>
      <x:c r="G3549" s="4" t="str">
        <x:v>UNIT-03548</x:v>
      </x:c>
      <x:c r="H3549" s="9" t="n">
        <x:v>20000000</x:v>
      </x:c>
      <x:c r="I3549" s="10" t="n">
        <x:v>0.01</x:v>
      </x:c>
      <x:c r="J3549" s="11" t="n">
        <x:v>1</x:v>
      </x:c>
      <x:c r="K3549" s="11" t="n">
        <x:v>0</x:v>
      </x:c>
      <x:c r="L3549" s="11" t="n">
        <x:v>1</x:v>
      </x:c>
      <x:c r="M3549" s="9" t="n">
        <x:f>ROUND(H3549*(1-I3549),2)</x:f>
        <x:v>19800000</x:v>
      </x:c>
      <x:c r="N3549" s="4" t="str">
        <x:v>Sales manager</x:v>
      </x:c>
      <x:c r="O3549" s="4" t="str">
        <x:v>BOOK-03548</x:v>
      </x:c>
      <x:c r="P3549" s="9" t="n">
        <x:v>9900000</x:v>
      </x:c>
      <x:c r="Q3549" s="11" t="n">
        <x:v>0</x:v>
      </x:c>
      <x:c r="R3549" s="8" t="n">
        <x:v>45584</x:v>
      </x:c>
      <x:c r="S3549" s="4" t="str">
        <x:v>Retained</x:v>
      </x:c>
      <x:c r="T3549" s="10" t="n">
        <x:v>0.276923</x:v>
      </x:c>
      <x:c r="U3549" s="4" t="str">
        <x:v>Test</x:v>
      </x:c>
    </x:row>
    <x:row r="3550" ht="34" customHeight="1">
      <x:c r="A3550" s="4" t="str">
        <x:v>RS-03549</x:v>
      </x:c>
      <x:c r="B3550" s="8" t="n">
        <x:v>45525</x:v>
      </x:c>
      <x:c r="C3550" s="4" t="str">
        <x:v>PRJ-009</x:v>
      </x:c>
      <x:c r="D3550" s="4" t="str">
        <x:v>Office</x:v>
      </x:c>
      <x:c r="E3550" s="4" t="str">
        <x:v>Booked</x:v>
      </x:c>
      <x:c r="F3550" s="4" t="str">
        <x:v>CUS-03549</x:v>
      </x:c>
      <x:c r="G3550" s="4" t="str">
        <x:v>UNIT-03549</x:v>
      </x:c>
      <x:c r="H3550" s="9" t="n">
        <x:v>12000000</x:v>
      </x:c>
      <x:c r="I3550" s="10" t="n">
        <x:v>0.07</x:v>
      </x:c>
      <x:c r="J3550" s="11" t="n">
        <x:v>5</x:v>
      </x:c>
      <x:c r="K3550" s="11" t="n">
        <x:v>2</x:v>
      </x:c>
      <x:c r="L3550" s="11" t="n">
        <x:v>1</x:v>
      </x:c>
      <x:c r="M3550" s="9" t="n">
        <x:f>ROUND(H3550*(1-I3550),2)</x:f>
        <x:v>11160000</x:v>
      </x:c>
      <x:c r="N3550" s="4" t="str">
        <x:v>Sales manager</x:v>
      </x:c>
      <x:c r="O3550" s="4" t="str">
        <x:v>BOOK-03549</x:v>
      </x:c>
      <x:c r="P3550" s="9" t="n">
        <x:v>11160000</x:v>
      </x:c>
      <x:c r="Q3550" s="11" t="n">
        <x:v>0</x:v>
      </x:c>
      <x:c r="R3550" s="8" t="n">
        <x:v>45585</x:v>
      </x:c>
      <x:c r="S3550" s="4" t="str">
        <x:v>Retained</x:v>
      </x:c>
      <x:c r="T3550" s="10" t="n">
        <x:v>0.291946</x:v>
      </x:c>
      <x:c r="U3550" s="4" t="str">
        <x:v>Test</x:v>
      </x:c>
    </x:row>
    <x:row r="3551" ht="34" customHeight="1">
      <x:c r="A3551" s="4" t="str">
        <x:v>RS-03550</x:v>
      </x:c>
      <x:c r="B3551" s="8" t="n">
        <x:v>45526</x:v>
      </x:c>
      <x:c r="C3551" s="4" t="str">
        <x:v>PRJ-010</x:v>
      </x:c>
      <x:c r="D3551" s="4" t="str">
        <x:v>Apartment</x:v>
      </x:c>
      <x:c r="E3551" s="4" t="str">
        <x:v>Reserved</x:v>
      </x:c>
      <x:c r="F3551" s="4" t="str">
        <x:v>CUS-03550</x:v>
      </x:c>
      <x:c r="G3551" s="4" t="str">
        <x:v>UNIT-03550</x:v>
      </x:c>
      <x:c r="H3551" s="9" t="n">
        <x:v>23000000</x:v>
      </x:c>
      <x:c r="I3551" s="10" t="n">
        <x:v>0.07</x:v>
      </x:c>
      <x:c r="J3551" s="11" t="n">
        <x:v>4</x:v>
      </x:c>
      <x:c r="K3551" s="11" t="n">
        <x:v>6</x:v>
      </x:c>
      <x:c r="L3551" s="11" t="n">
        <x:v>0</x:v>
      </x:c>
      <x:c r="M3551" s="9" t="n">
        <x:f>ROUND(H3551*(1-I3551),2)</x:f>
        <x:v>21390000</x:v>
      </x:c>
      <x:c r="N3551" s="4" t="str">
        <x:v>Sales manager</x:v>
      </x:c>
      <x:c r="O3551" s="4"/>
      <x:c r="P3551" s="9" t="n">
        <x:v>0</x:v>
      </x:c>
      <x:c r="Q3551" s="11" t="n">
        <x:v>0</x:v>
      </x:c>
      <x:c r="R3551" s="8" t="n">
        <x:v>45586</x:v>
      </x:c>
      <x:c r="S3551" s="4" t="str">
        <x:v>Retained</x:v>
      </x:c>
      <x:c r="T3551" s="10" t="n">
        <x:v>0.226277</x:v>
      </x:c>
      <x:c r="U3551" s="4" t="str">
        <x:v>Test</x:v>
      </x:c>
    </x:row>
    <x:row r="3552" ht="34" customHeight="1">
      <x:c r="A3552" s="4" t="str">
        <x:v>RS-03551</x:v>
      </x:c>
      <x:c r="B3552" s="8" t="n">
        <x:v>45527</x:v>
      </x:c>
      <x:c r="C3552" s="4" t="str">
        <x:v>PRJ-011</x:v>
      </x:c>
      <x:c r="D3552" s="4" t="str">
        <x:v>Apartment</x:v>
      </x:c>
      <x:c r="E3552" s="4" t="str">
        <x:v>Reserved</x:v>
      </x:c>
      <x:c r="F3552" s="4" t="str">
        <x:v>CUS-03551</x:v>
      </x:c>
      <x:c r="G3552" s="4" t="str">
        <x:v>UNIT-03551</x:v>
      </x:c>
      <x:c r="H3552" s="9" t="n">
        <x:v>12300000</x:v>
      </x:c>
      <x:c r="I3552" s="10" t="n">
        <x:v>0.06</x:v>
      </x:c>
      <x:c r="J3552" s="11" t="n">
        <x:v>5</x:v>
      </x:c>
      <x:c r="K3552" s="11" t="n">
        <x:v>0</x:v>
      </x:c>
      <x:c r="L3552" s="11" t="n">
        <x:v>0</x:v>
      </x:c>
      <x:c r="M3552" s="9" t="n">
        <x:f>ROUND(H3552*(1-I3552),2)</x:f>
        <x:v>11562000</x:v>
      </x:c>
      <x:c r="N3552" s="4" t="str">
        <x:v>Sales manager</x:v>
      </x:c>
      <x:c r="O3552" s="4"/>
      <x:c r="P3552" s="9" t="n">
        <x:v>0</x:v>
      </x:c>
      <x:c r="Q3552" s="11" t="n">
        <x:v>0</x:v>
      </x:c>
      <x:c r="R3552" s="8" t="n">
        <x:v>45587</x:v>
      </x:c>
      <x:c r="S3552" s="4" t="str">
        <x:v>Retained</x:v>
      </x:c>
      <x:c r="T3552" s="10" t="n">
        <x:v>0.226277</x:v>
      </x:c>
      <x:c r="U3552" s="4" t="str">
        <x:v>Test</x:v>
      </x:c>
    </x:row>
    <x:row r="3553" ht="34" customHeight="1">
      <x:c r="A3553" s="4" t="str">
        <x:v>RS-03552</x:v>
      </x:c>
      <x:c r="B3553" s="8" t="n">
        <x:v>45528</x:v>
      </x:c>
      <x:c r="C3553" s="4" t="str">
        <x:v>PRJ-012</x:v>
      </x:c>
      <x:c r="D3553" s="4" t="str">
        <x:v>Retail</x:v>
      </x:c>
      <x:c r="E3553" s="4" t="str">
        <x:v>Enquiry</x:v>
      </x:c>
      <x:c r="F3553" s="4" t="str">
        <x:v>CUS-03552</x:v>
      </x:c>
      <x:c r="G3553" s="4" t="str">
        <x:v>UNIT-03552</x:v>
      </x:c>
      <x:c r="H3553" s="9" t="n">
        <x:v>14000000</x:v>
      </x:c>
      <x:c r="I3553" s="10" t="n">
        <x:v>0.03</x:v>
      </x:c>
      <x:c r="J3553" s="11" t="n">
        <x:v>7</x:v>
      </x:c>
      <x:c r="K3553" s="11" t="n">
        <x:v>1</x:v>
      </x:c>
      <x:c r="L3553" s="11" t="n">
        <x:v>1</x:v>
      </x:c>
      <x:c r="M3553" s="9" t="n">
        <x:f>ROUND(H3553*(1-I3553),2)</x:f>
        <x:v>13580000</x:v>
      </x:c>
      <x:c r="N3553" s="4" t="str">
        <x:v>Sales manager</x:v>
      </x:c>
      <x:c r="O3553" s="4"/>
      <x:c r="P3553" s="9" t="n">
        <x:v>0</x:v>
      </x:c>
      <x:c r="Q3553" s="11" t="n">
        <x:v>1</x:v>
      </x:c>
      <x:c r="R3553" s="8" t="n">
        <x:v>45588</x:v>
      </x:c>
      <x:c r="S3553" s="4" t="str">
        <x:v>Lost / cancelled</x:v>
      </x:c>
      <x:c r="T3553" s="10" t="n">
        <x:v>0.298969</x:v>
      </x:c>
      <x:c r="U3553" s="4" t="str">
        <x:v>Test</x:v>
      </x:c>
    </x:row>
    <x:row r="3554" ht="34" customHeight="1">
      <x:c r="A3554" s="4" t="str">
        <x:v>RS-03553</x:v>
      </x:c>
      <x:c r="B3554" s="8" t="n">
        <x:v>45529</x:v>
      </x:c>
      <x:c r="C3554" s="4" t="str">
        <x:v>PRJ-013</x:v>
      </x:c>
      <x:c r="D3554" s="4" t="str">
        <x:v>Retail</x:v>
      </x:c>
      <x:c r="E3554" s="4" t="str">
        <x:v>Enquiry</x:v>
      </x:c>
      <x:c r="F3554" s="4" t="str">
        <x:v>CUS-03553</x:v>
      </x:c>
      <x:c r="G3554" s="4" t="str">
        <x:v>UNIT-03553</x:v>
      </x:c>
      <x:c r="H3554" s="9" t="n">
        <x:v>4600000</x:v>
      </x:c>
      <x:c r="I3554" s="10" t="n">
        <x:v>0.07</x:v>
      </x:c>
      <x:c r="J3554" s="11" t="n">
        <x:v>5</x:v>
      </x:c>
      <x:c r="K3554" s="11" t="n">
        <x:v>0</x:v>
      </x:c>
      <x:c r="L3554" s="11" t="n">
        <x:v>1</x:v>
      </x:c>
      <x:c r="M3554" s="9" t="n">
        <x:f>ROUND(H3554*(1-I3554),2)</x:f>
        <x:v>4278000</x:v>
      </x:c>
      <x:c r="N3554" s="4" t="str">
        <x:v>Sales manager</x:v>
      </x:c>
      <x:c r="O3554" s="4"/>
      <x:c r="P3554" s="9" t="n">
        <x:v>0</x:v>
      </x:c>
      <x:c r="Q3554" s="11" t="n">
        <x:v>0</x:v>
      </x:c>
      <x:c r="R3554" s="8" t="n">
        <x:v>45589</x:v>
      </x:c>
      <x:c r="S3554" s="4" t="str">
        <x:v>Retained</x:v>
      </x:c>
      <x:c r="T3554" s="10" t="n">
        <x:v>0.291946</x:v>
      </x:c>
      <x:c r="U3554" s="4" t="str">
        <x:v>Test</x:v>
      </x:c>
    </x:row>
    <x:row r="3555" ht="34" customHeight="1">
      <x:c r="A3555" s="4" t="str">
        <x:v>RS-03554</x:v>
      </x:c>
      <x:c r="B3555" s="8" t="n">
        <x:v>45530</x:v>
      </x:c>
      <x:c r="C3555" s="4" t="str">
        <x:v>PRJ-014</x:v>
      </x:c>
      <x:c r="D3555" s="4" t="str">
        <x:v>Retail</x:v>
      </x:c>
      <x:c r="E3555" s="4" t="str">
        <x:v>Handed over</x:v>
      </x:c>
      <x:c r="F3555" s="4" t="str">
        <x:v>CUS-03554</x:v>
      </x:c>
      <x:c r="G3555" s="4" t="str">
        <x:v>UNIT-03554</x:v>
      </x:c>
      <x:c r="H3555" s="9" t="n">
        <x:v>9300000</x:v>
      </x:c>
      <x:c r="I3555" s="10" t="n">
        <x:v>0.04</x:v>
      </x:c>
      <x:c r="J3555" s="11" t="n">
        <x:v>12</x:v>
      </x:c>
      <x:c r="K3555" s="11" t="n">
        <x:v>7</x:v>
      </x:c>
      <x:c r="L3555" s="11" t="n">
        <x:v>1</x:v>
      </x:c>
      <x:c r="M3555" s="9" t="n">
        <x:f>ROUND(H3555*(1-I3555),2)</x:f>
        <x:v>8928000</x:v>
      </x:c>
      <x:c r="N3555" s="4" t="str">
        <x:v>Sales manager</x:v>
      </x:c>
      <x:c r="O3555" s="4" t="str">
        <x:v>BOOK-03554</x:v>
      </x:c>
      <x:c r="P3555" s="9" t="n">
        <x:v>8928000</x:v>
      </x:c>
      <x:c r="Q3555" s="11" t="n">
        <x:v>0</x:v>
      </x:c>
      <x:c r="R3555" s="8" t="n">
        <x:v>45590</x:v>
      </x:c>
      <x:c r="S3555" s="4" t="str">
        <x:v>Retained</x:v>
      </x:c>
      <x:c r="T3555" s="10" t="n">
        <x:v>0.351536</x:v>
      </x:c>
      <x:c r="U3555" s="4" t="str">
        <x:v>Test</x:v>
      </x:c>
    </x:row>
    <x:row r="3556" ht="34" customHeight="1">
      <x:c r="A3556" s="4" t="str">
        <x:v>RS-03555</x:v>
      </x:c>
      <x:c r="B3556" s="8" t="n">
        <x:v>45531</x:v>
      </x:c>
      <x:c r="C3556" s="4" t="str">
        <x:v>PRJ-015</x:v>
      </x:c>
      <x:c r="D3556" s="4" t="str">
        <x:v>Office</x:v>
      </x:c>
      <x:c r="E3556" s="4" t="str">
        <x:v>Booked</x:v>
      </x:c>
      <x:c r="F3556" s="4" t="str">
        <x:v>CUS-03555</x:v>
      </x:c>
      <x:c r="G3556" s="4" t="str">
        <x:v>UNIT-03555</x:v>
      </x:c>
      <x:c r="H3556" s="9" t="n">
        <x:v>8600000</x:v>
      </x:c>
      <x:c r="I3556" s="10" t="n">
        <x:v>0.08</x:v>
      </x:c>
      <x:c r="J3556" s="11" t="n">
        <x:v>8</x:v>
      </x:c>
      <x:c r="K3556" s="11" t="n">
        <x:v>4</x:v>
      </x:c>
      <x:c r="L3556" s="11" t="n">
        <x:v>1</x:v>
      </x:c>
      <x:c r="M3556" s="9" t="n">
        <x:f>ROUND(H3556*(1-I3556),2)</x:f>
        <x:v>7912000</x:v>
      </x:c>
      <x:c r="N3556" s="4" t="str">
        <x:v>Sales head</x:v>
      </x:c>
      <x:c r="O3556" s="4" t="str">
        <x:v>BOOK-03555</x:v>
      </x:c>
      <x:c r="P3556" s="9" t="n">
        <x:v>3956000</x:v>
      </x:c>
      <x:c r="Q3556" s="11" t="n">
        <x:v>0</x:v>
      </x:c>
      <x:c r="R3556" s="8" t="n">
        <x:v>45591</x:v>
      </x:c>
      <x:c r="S3556" s="4" t="str">
        <x:v>Retained</x:v>
      </x:c>
      <x:c r="T3556" s="10" t="n">
        <x:v>0.310195</x:v>
      </x:c>
      <x:c r="U3556" s="4" t="str">
        <x:v>Test</x:v>
      </x:c>
    </x:row>
    <x:row r="3557" ht="34" customHeight="1">
      <x:c r="A3557" s="4" t="str">
        <x:v>RS-03556</x:v>
      </x:c>
      <x:c r="B3557" s="8" t="n">
        <x:v>45532</x:v>
      </x:c>
      <x:c r="C3557" s="4" t="str">
        <x:v>PRJ-016</x:v>
      </x:c>
      <x:c r="D3557" s="4" t="str">
        <x:v>Villa</x:v>
      </x:c>
      <x:c r="E3557" s="4" t="str">
        <x:v>Reserved</x:v>
      </x:c>
      <x:c r="F3557" s="4" t="str">
        <x:v>CUS-03556</x:v>
      </x:c>
      <x:c r="G3557" s="4" t="str">
        <x:v>UNIT-03556</x:v>
      </x:c>
      <x:c r="H3557" s="9" t="n">
        <x:v>7900000</x:v>
      </x:c>
      <x:c r="I3557" s="10" t="n">
        <x:v>0.04</x:v>
      </x:c>
      <x:c r="J3557" s="11" t="n">
        <x:v>7</x:v>
      </x:c>
      <x:c r="K3557" s="11" t="n">
        <x:v>5</x:v>
      </x:c>
      <x:c r="L3557" s="11" t="n">
        <x:v>0</x:v>
      </x:c>
      <x:c r="M3557" s="9" t="n">
        <x:f>ROUND(H3557*(1-I3557),2)</x:f>
        <x:v>7584000</x:v>
      </x:c>
      <x:c r="N3557" s="4" t="str">
        <x:v>Sales manager</x:v>
      </x:c>
      <x:c r="O3557" s="4"/>
      <x:c r="P3557" s="9" t="n">
        <x:v>0</x:v>
      </x:c>
      <x:c r="Q3557" s="11" t="n">
        <x:v>0</x:v>
      </x:c>
      <x:c r="R3557" s="8" t="n">
        <x:v>45592</x:v>
      </x:c>
      <x:c r="S3557" s="4" t="str">
        <x:v>Retained</x:v>
      </x:c>
      <x:c r="T3557" s="10" t="n">
        <x:v>0.226277</x:v>
      </x:c>
      <x:c r="U3557" s="4" t="str">
        <x:v>Test</x:v>
      </x:c>
    </x:row>
    <x:row r="3558" ht="34" customHeight="1">
      <x:c r="A3558" s="4" t="str">
        <x:v>RS-03557</x:v>
      </x:c>
      <x:c r="B3558" s="8" t="n">
        <x:v>45505</x:v>
      </x:c>
      <x:c r="C3558" s="4" t="str">
        <x:v>PRJ-017</x:v>
      </x:c>
      <x:c r="D3558" s="4" t="str">
        <x:v>Retail</x:v>
      </x:c>
      <x:c r="E3558" s="4" t="str">
        <x:v>Enquiry</x:v>
      </x:c>
      <x:c r="F3558" s="4" t="str">
        <x:v>CUS-03557</x:v>
      </x:c>
      <x:c r="G3558" s="4" t="str">
        <x:v>UNIT-03557</x:v>
      </x:c>
      <x:c r="H3558" s="9" t="n">
        <x:v>7800000</x:v>
      </x:c>
      <x:c r="I3558" s="10" t="n">
        <x:v>0.03</x:v>
      </x:c>
      <x:c r="J3558" s="11" t="n">
        <x:v>2</x:v>
      </x:c>
      <x:c r="K3558" s="11" t="n">
        <x:v>9</x:v>
      </x:c>
      <x:c r="L3558" s="11" t="n">
        <x:v>0</x:v>
      </x:c>
      <x:c r="M3558" s="9" t="n">
        <x:f>ROUND(H3558*(1-I3558),2)</x:f>
        <x:v>7566000</x:v>
      </x:c>
      <x:c r="N3558" s="4" t="str">
        <x:v>Sales manager</x:v>
      </x:c>
      <x:c r="O3558" s="4"/>
      <x:c r="P3558" s="9" t="n">
        <x:v>0</x:v>
      </x:c>
      <x:c r="Q3558" s="11" t="n">
        <x:v>0</x:v>
      </x:c>
      <x:c r="R3558" s="8" t="n">
        <x:v>45565</x:v>
      </x:c>
      <x:c r="S3558" s="4" t="str">
        <x:v>Retained</x:v>
      </x:c>
      <x:c r="T3558" s="10" t="n">
        <x:v>0.171717</x:v>
      </x:c>
      <x:c r="U3558" s="4" t="str">
        <x:v>Test</x:v>
      </x:c>
    </x:row>
    <x:row r="3559" ht="34" customHeight="1">
      <x:c r="A3559" s="4" t="str">
        <x:v>RS-03558</x:v>
      </x:c>
      <x:c r="B3559" s="8" t="n">
        <x:v>45506</x:v>
      </x:c>
      <x:c r="C3559" s="4" t="str">
        <x:v>PRJ-018</x:v>
      </x:c>
      <x:c r="D3559" s="4" t="str">
        <x:v>Retail</x:v>
      </x:c>
      <x:c r="E3559" s="4" t="str">
        <x:v>Enquiry</x:v>
      </x:c>
      <x:c r="F3559" s="4" t="str">
        <x:v>CUS-03558</x:v>
      </x:c>
      <x:c r="G3559" s="4" t="str">
        <x:v>UNIT-03558</x:v>
      </x:c>
      <x:c r="H3559" s="9" t="n">
        <x:v>5000000</x:v>
      </x:c>
      <x:c r="I3559" s="10" t="n">
        <x:v>0.06</x:v>
      </x:c>
      <x:c r="J3559" s="11" t="n">
        <x:v>0</x:v>
      </x:c>
      <x:c r="K3559" s="11" t="n">
        <x:v>8</x:v>
      </x:c>
      <x:c r="L3559" s="11" t="n">
        <x:v>1</x:v>
      </x:c>
      <x:c r="M3559" s="9" t="n">
        <x:f>ROUND(H3559*(1-I3559),2)</x:f>
        <x:v>4700000</x:v>
      </x:c>
      <x:c r="N3559" s="4" t="str">
        <x:v>Sales manager</x:v>
      </x:c>
      <x:c r="O3559" s="4"/>
      <x:c r="P3559" s="9" t="n">
        <x:v>0</x:v>
      </x:c>
      <x:c r="Q3559" s="11" t="n">
        <x:v>0</x:v>
      </x:c>
      <x:c r="R3559" s="8" t="n">
        <x:v>45566</x:v>
      </x:c>
      <x:c r="S3559" s="4" t="str">
        <x:v>Retained</x:v>
      </x:c>
      <x:c r="T3559" s="10" t="n">
        <x:v>0.204152</x:v>
      </x:c>
      <x:c r="U3559" s="4" t="str">
        <x:v>Test</x:v>
      </x:c>
    </x:row>
    <x:row r="3560" ht="34" customHeight="1">
      <x:c r="A3560" s="4" t="str">
        <x:v>RS-03559</x:v>
      </x:c>
      <x:c r="B3560" s="8" t="n">
        <x:v>45507</x:v>
      </x:c>
      <x:c r="C3560" s="4" t="str">
        <x:v>PRJ-019</x:v>
      </x:c>
      <x:c r="D3560" s="4" t="str">
        <x:v>Villa</x:v>
      </x:c>
      <x:c r="E3560" s="4" t="str">
        <x:v>Cancelled</x:v>
      </x:c>
      <x:c r="F3560" s="4" t="str">
        <x:v>CUS-03559</x:v>
      </x:c>
      <x:c r="G3560" s="4" t="str">
        <x:v>UNIT-03559</x:v>
      </x:c>
      <x:c r="H3560" s="9" t="n">
        <x:v>5600000</x:v>
      </x:c>
      <x:c r="I3560" s="10" t="n">
        <x:v>0.06</x:v>
      </x:c>
      <x:c r="J3560" s="11" t="n">
        <x:v>4</x:v>
      </x:c>
      <x:c r="K3560" s="11" t="n">
        <x:v>5</x:v>
      </x:c>
      <x:c r="L3560" s="11" t="n">
        <x:v>1</x:v>
      </x:c>
      <x:c r="M3560" s="9" t="n">
        <x:f>ROUND(H3560*(1-I3560),2)</x:f>
        <x:v>5264000</x:v>
      </x:c>
      <x:c r="N3560" s="4" t="str">
        <x:v>Sales manager</x:v>
      </x:c>
      <x:c r="O3560" s="4"/>
      <x:c r="P3560" s="9" t="n">
        <x:v>0</x:v>
      </x:c>
      <x:c r="Q3560" s="11" t="n">
        <x:v>1</x:v>
      </x:c>
      <x:c r="R3560" s="8" t="n">
        <x:v>45567</x:v>
      </x:c>
      <x:c r="S3560" s="4" t="str">
        <x:v>Lost / cancelled</x:v>
      </x:c>
      <x:c r="T3560" s="10" t="n">
        <x:v>0.291946</x:v>
      </x:c>
      <x:c r="U3560" s="4" t="str">
        <x:v>Test</x:v>
      </x:c>
    </x:row>
    <x:row r="3561" ht="34" customHeight="1">
      <x:c r="A3561" s="4" t="str">
        <x:v>RS-03560</x:v>
      </x:c>
      <x:c r="B3561" s="8" t="n">
        <x:v>45508</x:v>
      </x:c>
      <x:c r="C3561" s="4" t="str">
        <x:v>PRJ-020</x:v>
      </x:c>
      <x:c r="D3561" s="4" t="str">
        <x:v>Retail</x:v>
      </x:c>
      <x:c r="E3561" s="4" t="str">
        <x:v>Handed over</x:v>
      </x:c>
      <x:c r="F3561" s="4" t="str">
        <x:v>CUS-03560</x:v>
      </x:c>
      <x:c r="G3561" s="4" t="str">
        <x:v>UNIT-03560</x:v>
      </x:c>
      <x:c r="H3561" s="9" t="n">
        <x:v>24700000</x:v>
      </x:c>
      <x:c r="I3561" s="10" t="n">
        <x:v>0.09</x:v>
      </x:c>
      <x:c r="J3561" s="11" t="n">
        <x:v>2</x:v>
      </x:c>
      <x:c r="K3561" s="11" t="n">
        <x:v>8</x:v>
      </x:c>
      <x:c r="L3561" s="11" t="n">
        <x:v>1</x:v>
      </x:c>
      <x:c r="M3561" s="9" t="n">
        <x:f>ROUND(H3561*(1-I3561),2)</x:f>
        <x:v>22477000</x:v>
      </x:c>
      <x:c r="N3561" s="4" t="str">
        <x:v>Sales head</x:v>
      </x:c>
      <x:c r="O3561" s="4" t="str">
        <x:v>BOOK-03560</x:v>
      </x:c>
      <x:c r="P3561" s="9" t="n">
        <x:v>5619250</x:v>
      </x:c>
      <x:c r="Q3561" s="11" t="n">
        <x:v>0</x:v>
      </x:c>
      <x:c r="R3561" s="8" t="n">
        <x:v>45568</x:v>
      </x:c>
      <x:c r="S3561" s="4" t="str">
        <x:v>Retained</x:v>
      </x:c>
      <x:c r="T3561" s="10" t="n">
        <x:v>0.145833</x:v>
      </x:c>
      <x:c r="U3561" s="4" t="str">
        <x:v>Test</x:v>
      </x:c>
    </x:row>
    <x:row r="3562" ht="34" customHeight="1">
      <x:c r="A3562" s="4" t="str">
        <x:v>RS-03561</x:v>
      </x:c>
      <x:c r="B3562" s="8" t="n">
        <x:v>45509</x:v>
      </x:c>
      <x:c r="C3562" s="4" t="str">
        <x:v>PRJ-001</x:v>
      </x:c>
      <x:c r="D3562" s="4" t="str">
        <x:v>Retail</x:v>
      </x:c>
      <x:c r="E3562" s="4" t="str">
        <x:v>Handed over</x:v>
      </x:c>
      <x:c r="F3562" s="4" t="str">
        <x:v>CUS-03561</x:v>
      </x:c>
      <x:c r="G3562" s="4" t="str">
        <x:v>UNIT-03561</x:v>
      </x:c>
      <x:c r="H3562" s="9" t="n">
        <x:v>16300000</x:v>
      </x:c>
      <x:c r="I3562" s="10" t="n">
        <x:v>0.08</x:v>
      </x:c>
      <x:c r="J3562" s="11" t="n">
        <x:v>6</x:v>
      </x:c>
      <x:c r="K3562" s="11" t="n">
        <x:v>5</x:v>
      </x:c>
      <x:c r="L3562" s="11" t="n">
        <x:v>0</x:v>
      </x:c>
      <x:c r="M3562" s="9" t="n">
        <x:f>ROUND(H3562*(1-I3562),2)</x:f>
        <x:v>14996000</x:v>
      </x:c>
      <x:c r="N3562" s="4" t="str">
        <x:v>Sales head</x:v>
      </x:c>
      <x:c r="O3562" s="4" t="str">
        <x:v>BOOK-03561</x:v>
      </x:c>
      <x:c r="P3562" s="9" t="n">
        <x:v>3749000</x:v>
      </x:c>
      <x:c r="Q3562" s="11" t="n">
        <x:v>0</x:v>
      </x:c>
      <x:c r="R3562" s="8" t="n">
        <x:v>45569</x:v>
      </x:c>
      <x:c r="S3562" s="4" t="str">
        <x:v>Retained</x:v>
      </x:c>
      <x:c r="T3562" s="10" t="n">
        <x:v>0.226277</x:v>
      </x:c>
      <x:c r="U3562" s="4" t="str">
        <x:v>Test</x:v>
      </x:c>
    </x:row>
    <x:row r="3563" ht="34" customHeight="1">
      <x:c r="A3563" s="4" t="str">
        <x:v>RS-03562</x:v>
      </x:c>
      <x:c r="B3563" s="8" t="n">
        <x:v>45510</x:v>
      </x:c>
      <x:c r="C3563" s="4" t="str">
        <x:v>PRJ-002</x:v>
      </x:c>
      <x:c r="D3563" s="4" t="str">
        <x:v>Retail</x:v>
      </x:c>
      <x:c r="E3563" s="4" t="str">
        <x:v>Agreement signed</x:v>
      </x:c>
      <x:c r="F3563" s="4" t="str">
        <x:v>CUS-03562</x:v>
      </x:c>
      <x:c r="G3563" s="4" t="str">
        <x:v>UNIT-03562</x:v>
      </x:c>
      <x:c r="H3563" s="9" t="n">
        <x:v>9500000</x:v>
      </x:c>
      <x:c r="I3563" s="10" t="n">
        <x:v>0.11</x:v>
      </x:c>
      <x:c r="J3563" s="11" t="n">
        <x:v>0</x:v>
      </x:c>
      <x:c r="K3563" s="11" t="n">
        <x:v>1</x:v>
      </x:c>
      <x:c r="L3563" s="11" t="n">
        <x:v>1</x:v>
      </x:c>
      <x:c r="M3563" s="9" t="n">
        <x:f>ROUND(H3563*(1-I3563),2)</x:f>
        <x:v>8455000</x:v>
      </x:c>
      <x:c r="N3563" s="4" t="str">
        <x:v>Sales head</x:v>
      </x:c>
      <x:c r="O3563" s="4" t="str">
        <x:v>BOOK-03562</x:v>
      </x:c>
      <x:c r="P3563" s="9" t="n">
        <x:v>4227500</x:v>
      </x:c>
      <x:c r="Q3563" s="11" t="n">
        <x:v>0</x:v>
      </x:c>
      <x:c r="R3563" s="8" t="n">
        <x:v>45570</x:v>
      </x:c>
      <x:c r="S3563" s="4" t="str">
        <x:v>Retained</x:v>
      </x:c>
      <x:c r="T3563" s="10" t="n">
        <x:v>0.145833</x:v>
      </x:c>
      <x:c r="U3563" s="4" t="str">
        <x:v>Test</x:v>
      </x:c>
    </x:row>
    <x:row r="3564" ht="34" customHeight="1">
      <x:c r="A3564" s="4" t="str">
        <x:v>RS-03563</x:v>
      </x:c>
      <x:c r="B3564" s="8" t="n">
        <x:v>45511</x:v>
      </x:c>
      <x:c r="C3564" s="4" t="str">
        <x:v>PRJ-003</x:v>
      </x:c>
      <x:c r="D3564" s="4" t="str">
        <x:v>Villa</x:v>
      </x:c>
      <x:c r="E3564" s="4" t="str">
        <x:v>Booked</x:v>
      </x:c>
      <x:c r="F3564" s="4" t="str">
        <x:v>CUS-03563</x:v>
      </x:c>
      <x:c r="G3564" s="4" t="str">
        <x:v>UNIT-03563</x:v>
      </x:c>
      <x:c r="H3564" s="9" t="n">
        <x:v>7800000</x:v>
      </x:c>
      <x:c r="I3564" s="10" t="n">
        <x:v>0.06</x:v>
      </x:c>
      <x:c r="J3564" s="11" t="n">
        <x:v>5</x:v>
      </x:c>
      <x:c r="K3564" s="11" t="n">
        <x:v>8</x:v>
      </x:c>
      <x:c r="L3564" s="11" t="n">
        <x:v>1</x:v>
      </x:c>
      <x:c r="M3564" s="9" t="n">
        <x:f>ROUND(H3564*(1-I3564),2)</x:f>
        <x:v>7332000</x:v>
      </x:c>
      <x:c r="N3564" s="4" t="str">
        <x:v>Sales manager</x:v>
      </x:c>
      <x:c r="O3564" s="4" t="str">
        <x:v>BOOK-03563</x:v>
      </x:c>
      <x:c r="P3564" s="9" t="n">
        <x:v>3666000</x:v>
      </x:c>
      <x:c r="Q3564" s="11" t="n">
        <x:v>0</x:v>
      </x:c>
      <x:c r="R3564" s="8" t="n">
        <x:v>45571</x:v>
      </x:c>
      <x:c r="S3564" s="4" t="str">
        <x:v>Retained</x:v>
      </x:c>
      <x:c r="T3564" s="10" t="n">
        <x:v>0.291946</x:v>
      </x:c>
      <x:c r="U3564" s="4" t="str">
        <x:v>Test</x:v>
      </x:c>
    </x:row>
    <x:row r="3565" ht="34" customHeight="1">
      <x:c r="A3565" s="4" t="str">
        <x:v>RS-03564</x:v>
      </x:c>
      <x:c r="B3565" s="8" t="n">
        <x:v>45512</x:v>
      </x:c>
      <x:c r="C3565" s="4" t="str">
        <x:v>PRJ-004</x:v>
      </x:c>
      <x:c r="D3565" s="4" t="str">
        <x:v>Retail</x:v>
      </x:c>
      <x:c r="E3565" s="4" t="str">
        <x:v>Booked</x:v>
      </x:c>
      <x:c r="F3565" s="4" t="str">
        <x:v>CUS-03564</x:v>
      </x:c>
      <x:c r="G3565" s="4" t="str">
        <x:v>UNIT-03564</x:v>
      </x:c>
      <x:c r="H3565" s="9" t="n">
        <x:v>12800000</x:v>
      </x:c>
      <x:c r="I3565" s="10" t="n">
        <x:v>0.08</x:v>
      </x:c>
      <x:c r="J3565" s="11" t="n">
        <x:v>4</x:v>
      </x:c>
      <x:c r="K3565" s="11" t="n">
        <x:v>5</x:v>
      </x:c>
      <x:c r="L3565" s="11" t="n">
        <x:v>0</x:v>
      </x:c>
      <x:c r="M3565" s="9" t="n">
        <x:f>ROUND(H3565*(1-I3565),2)</x:f>
        <x:v>11776000</x:v>
      </x:c>
      <x:c r="N3565" s="4" t="str">
        <x:v>Sales head</x:v>
      </x:c>
      <x:c r="O3565" s="4" t="str">
        <x:v>BOOK-03564</x:v>
      </x:c>
      <x:c r="P3565" s="9" t="n">
        <x:v>1177600</x:v>
      </x:c>
      <x:c r="Q3565" s="11" t="n">
        <x:v>0</x:v>
      </x:c>
      <x:c r="R3565" s="8" t="n">
        <x:v>45572</x:v>
      </x:c>
      <x:c r="S3565" s="4" t="str">
        <x:v>Retained</x:v>
      </x:c>
      <x:c r="T3565" s="10" t="n">
        <x:v>0.226277</x:v>
      </x:c>
      <x:c r="U3565" s="4" t="str">
        <x:v>Test</x:v>
      </x:c>
    </x:row>
    <x:row r="3566" ht="34" customHeight="1">
      <x:c r="A3566" s="4" t="str">
        <x:v>RS-03565</x:v>
      </x:c>
      <x:c r="B3566" s="8" t="n">
        <x:v>45513</x:v>
      </x:c>
      <x:c r="C3566" s="4" t="str">
        <x:v>PRJ-005</x:v>
      </x:c>
      <x:c r="D3566" s="4" t="str">
        <x:v>Retail</x:v>
      </x:c>
      <x:c r="E3566" s="4" t="str">
        <x:v>Booked</x:v>
      </x:c>
      <x:c r="F3566" s="4" t="str">
        <x:v>CUS-03565</x:v>
      </x:c>
      <x:c r="G3566" s="4" t="str">
        <x:v>UNIT-03565</x:v>
      </x:c>
      <x:c r="H3566" s="9" t="n">
        <x:v>21600000</x:v>
      </x:c>
      <x:c r="I3566" s="10" t="n">
        <x:v>0.08</x:v>
      </x:c>
      <x:c r="J3566" s="11" t="n">
        <x:v>2</x:v>
      </x:c>
      <x:c r="K3566" s="11" t="n">
        <x:v>7</x:v>
      </x:c>
      <x:c r="L3566" s="11" t="n">
        <x:v>1</x:v>
      </x:c>
      <x:c r="M3566" s="9" t="n">
        <x:f>ROUND(H3566*(1-I3566),2)</x:f>
        <x:v>19872000</x:v>
      </x:c>
      <x:c r="N3566" s="4" t="str">
        <x:v>Sales head</x:v>
      </x:c>
      <x:c r="O3566" s="4" t="str">
        <x:v>BOOK-03565</x:v>
      </x:c>
      <x:c r="P3566" s="9" t="n">
        <x:v>9936000</x:v>
      </x:c>
      <x:c r="Q3566" s="11" t="n">
        <x:v>0</x:v>
      </x:c>
      <x:c r="R3566" s="8" t="n">
        <x:v>45573</x:v>
      </x:c>
      <x:c r="S3566" s="4" t="str">
        <x:v>Retained</x:v>
      </x:c>
      <x:c r="T3566" s="10" t="n">
        <x:v>0.204152</x:v>
      </x:c>
      <x:c r="U3566" s="4" t="str">
        <x:v>Test</x:v>
      </x:c>
    </x:row>
    <x:row r="3567" ht="34" customHeight="1">
      <x:c r="A3567" s="4" t="str">
        <x:v>RS-03566</x:v>
      </x:c>
      <x:c r="B3567" s="8" t="n">
        <x:v>45514</x:v>
      </x:c>
      <x:c r="C3567" s="4" t="str">
        <x:v>PRJ-006</x:v>
      </x:c>
      <x:c r="D3567" s="4" t="str">
        <x:v>Office</x:v>
      </x:c>
      <x:c r="E3567" s="4" t="str">
        <x:v>Booked</x:v>
      </x:c>
      <x:c r="F3567" s="4" t="str">
        <x:v>CUS-03566</x:v>
      </x:c>
      <x:c r="G3567" s="4" t="str">
        <x:v>UNIT-03566</x:v>
      </x:c>
      <x:c r="H3567" s="9" t="n">
        <x:v>13700000</x:v>
      </x:c>
      <x:c r="I3567" s="10" t="n">
        <x:v>0.03</x:v>
      </x:c>
      <x:c r="J3567" s="11" t="n">
        <x:v>9</x:v>
      </x:c>
      <x:c r="K3567" s="11" t="n">
        <x:v>3</x:v>
      </x:c>
      <x:c r="L3567" s="11" t="n">
        <x:v>1</x:v>
      </x:c>
      <x:c r="M3567" s="9" t="n">
        <x:f>ROUND(H3567*(1-I3567),2)</x:f>
        <x:v>13289000</x:v>
      </x:c>
      <x:c r="N3567" s="4" t="str">
        <x:v>Sales manager</x:v>
      </x:c>
      <x:c r="O3567" s="4" t="str">
        <x:v>BOOK-03566</x:v>
      </x:c>
      <x:c r="P3567" s="9" t="n">
        <x:v>6644500</x:v>
      </x:c>
      <x:c r="Q3567" s="11" t="n">
        <x:v>0</x:v>
      </x:c>
      <x:c r="R3567" s="8" t="n">
        <x:v>45574</x:v>
      </x:c>
      <x:c r="S3567" s="4" t="str">
        <x:v>Retained</x:v>
      </x:c>
      <x:c r="T3567" s="10" t="n">
        <x:v>0.310195</x:v>
      </x:c>
      <x:c r="U3567" s="4" t="str">
        <x:v>Test</x:v>
      </x:c>
    </x:row>
    <x:row r="3568" ht="34" customHeight="1">
      <x:c r="A3568" s="4" t="str">
        <x:v>RS-03567</x:v>
      </x:c>
      <x:c r="B3568" s="8" t="n">
        <x:v>45515</x:v>
      </x:c>
      <x:c r="C3568" s="4" t="str">
        <x:v>PRJ-007</x:v>
      </x:c>
      <x:c r="D3568" s="4" t="str">
        <x:v>Villa</x:v>
      </x:c>
      <x:c r="E3568" s="4" t="str">
        <x:v>Agreement signed</x:v>
      </x:c>
      <x:c r="F3568" s="4" t="str">
        <x:v>CUS-03567</x:v>
      </x:c>
      <x:c r="G3568" s="4" t="str">
        <x:v>UNIT-03567</x:v>
      </x:c>
      <x:c r="H3568" s="9" t="n">
        <x:v>6300000</x:v>
      </x:c>
      <x:c r="I3568" s="10" t="n">
        <x:v>0.07</x:v>
      </x:c>
      <x:c r="J3568" s="11" t="n">
        <x:v>5</x:v>
      </x:c>
      <x:c r="K3568" s="11" t="n">
        <x:v>5</x:v>
      </x:c>
      <x:c r="L3568" s="11" t="n">
        <x:v>0</x:v>
      </x:c>
      <x:c r="M3568" s="9" t="n">
        <x:f>ROUND(H3568*(1-I3568),2)</x:f>
        <x:v>5859000</x:v>
      </x:c>
      <x:c r="N3568" s="4" t="str">
        <x:v>Sales manager</x:v>
      </x:c>
      <x:c r="O3568" s="4" t="str">
        <x:v>BOOK-03567</x:v>
      </x:c>
      <x:c r="P3568" s="9" t="n">
        <x:v>2929500</x:v>
      </x:c>
      <x:c r="Q3568" s="11" t="n">
        <x:v>0</x:v>
      </x:c>
      <x:c r="R3568" s="8" t="n">
        <x:v>45575</x:v>
      </x:c>
      <x:c r="S3568" s="4" t="str">
        <x:v>Retained</x:v>
      </x:c>
      <x:c r="T3568" s="10" t="n">
        <x:v>0.226277</x:v>
      </x:c>
      <x:c r="U3568" s="4" t="str">
        <x:v>Test</x:v>
      </x:c>
    </x:row>
    <x:row r="3569" ht="34" customHeight="1">
      <x:c r="A3569" s="4" t="str">
        <x:v>RS-03568</x:v>
      </x:c>
      <x:c r="B3569" s="8" t="n">
        <x:v>45516</x:v>
      </x:c>
      <x:c r="C3569" s="4" t="str">
        <x:v>PRJ-008</x:v>
      </x:c>
      <x:c r="D3569" s="4" t="str">
        <x:v>Villa</x:v>
      </x:c>
      <x:c r="E3569" s="4" t="str">
        <x:v>Agreement signed</x:v>
      </x:c>
      <x:c r="F3569" s="4" t="str">
        <x:v>CUS-03568</x:v>
      </x:c>
      <x:c r="G3569" s="4" t="str">
        <x:v>UNIT-03568</x:v>
      </x:c>
      <x:c r="H3569" s="9" t="n">
        <x:v>4400000</x:v>
      </x:c>
      <x:c r="I3569" s="10" t="n">
        <x:v>0.03</x:v>
      </x:c>
      <x:c r="J3569" s="11" t="n">
        <x:v>6</x:v>
      </x:c>
      <x:c r="K3569" s="11" t="n">
        <x:v>10</x:v>
      </x:c>
      <x:c r="L3569" s="11" t="n">
        <x:v>1</x:v>
      </x:c>
      <x:c r="M3569" s="9" t="n">
        <x:f>ROUND(H3569*(1-I3569),2)</x:f>
        <x:v>4268000</x:v>
      </x:c>
      <x:c r="N3569" s="4" t="str">
        <x:v>Sales manager</x:v>
      </x:c>
      <x:c r="O3569" s="4" t="str">
        <x:v>BOOK-03568</x:v>
      </x:c>
      <x:c r="P3569" s="9" t="n">
        <x:v>426800</x:v>
      </x:c>
      <x:c r="Q3569" s="11" t="n">
        <x:v>0</x:v>
      </x:c>
      <x:c r="R3569" s="8" t="n">
        <x:v>45576</x:v>
      </x:c>
      <x:c r="S3569" s="4" t="str">
        <x:v>Retained</x:v>
      </x:c>
      <x:c r="T3569" s="10" t="n">
        <x:v>0.145299</x:v>
      </x:c>
      <x:c r="U3569" s="4" t="str">
        <x:v>Test</x:v>
      </x:c>
    </x:row>
    <x:row r="3570" ht="34" customHeight="1">
      <x:c r="A3570" s="4" t="str">
        <x:v>RS-03569</x:v>
      </x:c>
      <x:c r="B3570" s="8" t="n">
        <x:v>45517</x:v>
      </x:c>
      <x:c r="C3570" s="4" t="str">
        <x:v>PRJ-009</x:v>
      </x:c>
      <x:c r="D3570" s="4" t="str">
        <x:v>Apartment</x:v>
      </x:c>
      <x:c r="E3570" s="4" t="str">
        <x:v>Cancelled</x:v>
      </x:c>
      <x:c r="F3570" s="4" t="str">
        <x:v>CUS-03569</x:v>
      </x:c>
      <x:c r="G3570" s="4" t="str">
        <x:v>UNIT-03569</x:v>
      </x:c>
      <x:c r="H3570" s="9" t="n">
        <x:v>5500000</x:v>
      </x:c>
      <x:c r="I3570" s="10" t="n">
        <x:v>0.04</x:v>
      </x:c>
      <x:c r="J3570" s="11" t="n">
        <x:v>6</x:v>
      </x:c>
      <x:c r="K3570" s="11" t="n">
        <x:v>6</x:v>
      </x:c>
      <x:c r="L3570" s="11" t="n">
        <x:v>0</x:v>
      </x:c>
      <x:c r="M3570" s="9" t="n">
        <x:f>ROUND(H3570*(1-I3570),2)</x:f>
        <x:v>5280000</x:v>
      </x:c>
      <x:c r="N3570" s="4" t="str">
        <x:v>Sales manager</x:v>
      </x:c>
      <x:c r="O3570" s="4"/>
      <x:c r="P3570" s="9" t="n">
        <x:v>0</x:v>
      </x:c>
      <x:c r="Q3570" s="11" t="n">
        <x:v>1</x:v>
      </x:c>
      <x:c r="R3570" s="8" t="n">
        <x:v>45577</x:v>
      </x:c>
      <x:c r="S3570" s="4" t="str">
        <x:v>Lost / cancelled</x:v>
      </x:c>
      <x:c r="T3570" s="10" t="n">
        <x:v>0.226277</x:v>
      </x:c>
      <x:c r="U3570" s="4" t="str">
        <x:v>Test</x:v>
      </x:c>
    </x:row>
    <x:row r="3571" ht="34" customHeight="1">
      <x:c r="A3571" s="4" t="str">
        <x:v>RS-03570</x:v>
      </x:c>
      <x:c r="B3571" s="8" t="n">
        <x:v>45518</x:v>
      </x:c>
      <x:c r="C3571" s="4" t="str">
        <x:v>PRJ-010</x:v>
      </x:c>
      <x:c r="D3571" s="4" t="str">
        <x:v>Apartment</x:v>
      </x:c>
      <x:c r="E3571" s="4" t="str">
        <x:v>Agreement signed</x:v>
      </x:c>
      <x:c r="F3571" s="4" t="str">
        <x:v>CUS-03570</x:v>
      </x:c>
      <x:c r="G3571" s="4" t="str">
        <x:v>UNIT-03570</x:v>
      </x:c>
      <x:c r="H3571" s="9" t="n">
        <x:v>17600000</x:v>
      </x:c>
      <x:c r="I3571" s="10" t="n">
        <x:v>0.07</x:v>
      </x:c>
      <x:c r="J3571" s="11" t="n">
        <x:v>4</x:v>
      </x:c>
      <x:c r="K3571" s="11" t="n">
        <x:v>0</x:v>
      </x:c>
      <x:c r="L3571" s="11" t="n">
        <x:v>1</x:v>
      </x:c>
      <x:c r="M3571" s="9" t="n">
        <x:f>ROUND(H3571*(1-I3571),2)</x:f>
        <x:v>16368000</x:v>
      </x:c>
      <x:c r="N3571" s="4" t="str">
        <x:v>Sales manager</x:v>
      </x:c>
      <x:c r="O3571" s="4" t="str">
        <x:v>BOOK-03570</x:v>
      </x:c>
      <x:c r="P3571" s="9" t="n">
        <x:v>1636800</x:v>
      </x:c>
      <x:c r="Q3571" s="11" t="n">
        <x:v>0</x:v>
      </x:c>
      <x:c r="R3571" s="8" t="n">
        <x:v>45578</x:v>
      </x:c>
      <x:c r="S3571" s="4" t="str">
        <x:v>Retained</x:v>
      </x:c>
      <x:c r="T3571" s="10" t="n">
        <x:v>0.291946</x:v>
      </x:c>
      <x:c r="U3571" s="4" t="str">
        <x:v>Test</x:v>
      </x:c>
    </x:row>
    <x:row r="3572" ht="34" customHeight="1">
      <x:c r="A3572" s="4" t="str">
        <x:v>RS-03571</x:v>
      </x:c>
      <x:c r="B3572" s="8" t="n">
        <x:v>45519</x:v>
      </x:c>
      <x:c r="C3572" s="4" t="str">
        <x:v>PRJ-011</x:v>
      </x:c>
      <x:c r="D3572" s="4" t="str">
        <x:v>Villa</x:v>
      </x:c>
      <x:c r="E3572" s="4" t="str">
        <x:v>Reserved</x:v>
      </x:c>
      <x:c r="F3572" s="4" t="str">
        <x:v>CUS-03571</x:v>
      </x:c>
      <x:c r="G3572" s="4" t="str">
        <x:v>UNIT-03571</x:v>
      </x:c>
      <x:c r="H3572" s="9" t="n">
        <x:v>13800000</x:v>
      </x:c>
      <x:c r="I3572" s="10" t="n">
        <x:v>0.11</x:v>
      </x:c>
      <x:c r="J3572" s="11" t="n">
        <x:v>7</x:v>
      </x:c>
      <x:c r="K3572" s="11" t="n">
        <x:v>7</x:v>
      </x:c>
      <x:c r="L3572" s="11" t="n">
        <x:v>0</x:v>
      </x:c>
      <x:c r="M3572" s="9" t="n">
        <x:f>ROUND(H3572*(1-I3572),2)</x:f>
        <x:v>12282000</x:v>
      </x:c>
      <x:c r="N3572" s="4" t="str">
        <x:v>Sales head</x:v>
      </x:c>
      <x:c r="O3572" s="4"/>
      <x:c r="P3572" s="9" t="n">
        <x:v>0</x:v>
      </x:c>
      <x:c r="Q3572" s="11" t="n">
        <x:v>0</x:v>
      </x:c>
      <x:c r="R3572" s="8" t="n">
        <x:v>45579</x:v>
      </x:c>
      <x:c r="S3572" s="4" t="str">
        <x:v>Retained</x:v>
      </x:c>
      <x:c r="T3572" s="10" t="n">
        <x:v>0.226277</x:v>
      </x:c>
      <x:c r="U3572" s="4" t="str">
        <x:v>Test</x:v>
      </x:c>
    </x:row>
    <x:row r="3573" ht="34" customHeight="1">
      <x:c r="A3573" s="4" t="str">
        <x:v>RS-03572</x:v>
      </x:c>
      <x:c r="B3573" s="8" t="n">
        <x:v>45520</x:v>
      </x:c>
      <x:c r="C3573" s="4" t="str">
        <x:v>PRJ-012</x:v>
      </x:c>
      <x:c r="D3573" s="4" t="str">
        <x:v>Retail</x:v>
      </x:c>
      <x:c r="E3573" s="4" t="str">
        <x:v>Handed over</x:v>
      </x:c>
      <x:c r="F3573" s="4" t="str">
        <x:v>CUS-03572</x:v>
      </x:c>
      <x:c r="G3573" s="4" t="str">
        <x:v>UNIT-03572</x:v>
      </x:c>
      <x:c r="H3573" s="9" t="n">
        <x:v>8900000</x:v>
      </x:c>
      <x:c r="I3573" s="10" t="n">
        <x:v>0.04</x:v>
      </x:c>
      <x:c r="J3573" s="11" t="n">
        <x:v>5</x:v>
      </x:c>
      <x:c r="K3573" s="11" t="n">
        <x:v>8</x:v>
      </x:c>
      <x:c r="L3573" s="11" t="n">
        <x:v>1</x:v>
      </x:c>
      <x:c r="M3573" s="9" t="n">
        <x:f>ROUND(H3573*(1-I3573),2)</x:f>
        <x:v>8544000</x:v>
      </x:c>
      <x:c r="N3573" s="4" t="str">
        <x:v>Sales manager</x:v>
      </x:c>
      <x:c r="O3573" s="4" t="str">
        <x:v>BOOK-03572</x:v>
      </x:c>
      <x:c r="P3573" s="9" t="n">
        <x:v>4272000</x:v>
      </x:c>
      <x:c r="Q3573" s="11" t="n">
        <x:v>0</x:v>
      </x:c>
      <x:c r="R3573" s="8" t="n">
        <x:v>45580</x:v>
      </x:c>
      <x:c r="S3573" s="4" t="str">
        <x:v>Retained</x:v>
      </x:c>
      <x:c r="T3573" s="10" t="n">
        <x:v>0.291946</x:v>
      </x:c>
      <x:c r="U3573" s="4" t="str">
        <x:v>Test</x:v>
      </x:c>
    </x:row>
    <x:row r="3574" ht="34" customHeight="1">
      <x:c r="A3574" s="4" t="str">
        <x:v>RS-03573</x:v>
      </x:c>
      <x:c r="B3574" s="8" t="n">
        <x:v>45521</x:v>
      </x:c>
      <x:c r="C3574" s="4" t="str">
        <x:v>PRJ-013</x:v>
      </x:c>
      <x:c r="D3574" s="4" t="str">
        <x:v>Villa</x:v>
      </x:c>
      <x:c r="E3574" s="4" t="str">
        <x:v>Agreement signed</x:v>
      </x:c>
      <x:c r="F3574" s="4" t="str">
        <x:v>CUS-03573</x:v>
      </x:c>
      <x:c r="G3574" s="4" t="str">
        <x:v>UNIT-03573</x:v>
      </x:c>
      <x:c r="H3574" s="9" t="n">
        <x:v>9800000</x:v>
      </x:c>
      <x:c r="I3574" s="10" t="n">
        <x:v>0.08</x:v>
      </x:c>
      <x:c r="J3574" s="11" t="n">
        <x:v>12</x:v>
      </x:c>
      <x:c r="K3574" s="11" t="n">
        <x:v>7</x:v>
      </x:c>
      <x:c r="L3574" s="11" t="n">
        <x:v>0</x:v>
      </x:c>
      <x:c r="M3574" s="9" t="n">
        <x:f>ROUND(H3574*(1-I3574),2)</x:f>
        <x:v>9016000</x:v>
      </x:c>
      <x:c r="N3574" s="4" t="str">
        <x:v>Sales head</x:v>
      </x:c>
      <x:c r="O3574" s="4" t="str">
        <x:v>BOOK-03573</x:v>
      </x:c>
      <x:c r="P3574" s="9" t="n">
        <x:v>901600</x:v>
      </x:c>
      <x:c r="Q3574" s="11" t="n">
        <x:v>0</x:v>
      </x:c>
      <x:c r="R3574" s="8" t="n">
        <x:v>45581</x:v>
      </x:c>
      <x:c r="S3574" s="4" t="str">
        <x:v>Retained</x:v>
      </x:c>
      <x:c r="T3574" s="10" t="n">
        <x:v>0.351536</x:v>
      </x:c>
      <x:c r="U3574" s="4" t="str">
        <x:v>Test</x:v>
      </x:c>
    </x:row>
    <x:row r="3575" ht="34" customHeight="1">
      <x:c r="A3575" s="4" t="str">
        <x:v>RS-03574</x:v>
      </x:c>
      <x:c r="B3575" s="8" t="n">
        <x:v>45522</x:v>
      </x:c>
      <x:c r="C3575" s="4" t="str">
        <x:v>PRJ-014</x:v>
      </x:c>
      <x:c r="D3575" s="4" t="str">
        <x:v>Retail</x:v>
      </x:c>
      <x:c r="E3575" s="4" t="str">
        <x:v>Booked</x:v>
      </x:c>
      <x:c r="F3575" s="4" t="str">
        <x:v>CUS-03574</x:v>
      </x:c>
      <x:c r="G3575" s="4" t="str">
        <x:v>UNIT-03574</x:v>
      </x:c>
      <x:c r="H3575" s="9" t="n">
        <x:v>16300000</x:v>
      </x:c>
      <x:c r="I3575" s="10" t="n">
        <x:v>0.08</x:v>
      </x:c>
      <x:c r="J3575" s="11" t="n">
        <x:v>6</x:v>
      </x:c>
      <x:c r="K3575" s="11" t="n">
        <x:v>0</x:v>
      </x:c>
      <x:c r="L3575" s="11" t="n">
        <x:v>0</x:v>
      </x:c>
      <x:c r="M3575" s="9" t="n">
        <x:f>ROUND(H3575*(1-I3575),2)</x:f>
        <x:v>14996000</x:v>
      </x:c>
      <x:c r="N3575" s="4" t="str">
        <x:v>Sales head</x:v>
      </x:c>
      <x:c r="O3575" s="4" t="str">
        <x:v>BOOK-03574</x:v>
      </x:c>
      <x:c r="P3575" s="9" t="n">
        <x:v>1499600</x:v>
      </x:c>
      <x:c r="Q3575" s="11" t="n">
        <x:v>0</x:v>
      </x:c>
      <x:c r="R3575" s="8" t="n">
        <x:v>45582</x:v>
      </x:c>
      <x:c r="S3575" s="4" t="str">
        <x:v>Retained</x:v>
      </x:c>
      <x:c r="T3575" s="10" t="n">
        <x:v>0.226277</x:v>
      </x:c>
      <x:c r="U3575" s="4" t="str">
        <x:v>Test</x:v>
      </x:c>
    </x:row>
    <x:row r="3576" ht="34" customHeight="1">
      <x:c r="A3576" s="4" t="str">
        <x:v>RS-03575</x:v>
      </x:c>
      <x:c r="B3576" s="8" t="n">
        <x:v>45523</x:v>
      </x:c>
      <x:c r="C3576" s="4" t="str">
        <x:v>PRJ-015</x:v>
      </x:c>
      <x:c r="D3576" s="4" t="str">
        <x:v>Office</x:v>
      </x:c>
      <x:c r="E3576" s="4" t="str">
        <x:v>Handed over</x:v>
      </x:c>
      <x:c r="F3576" s="4" t="str">
        <x:v>CUS-03575</x:v>
      </x:c>
      <x:c r="G3576" s="4" t="str">
        <x:v>UNIT-03575</x:v>
      </x:c>
      <x:c r="H3576" s="9" t="n">
        <x:v>10200000</x:v>
      </x:c>
      <x:c r="I3576" s="10" t="n">
        <x:v>0.11</x:v>
      </x:c>
      <x:c r="J3576" s="11" t="n">
        <x:v>3</x:v>
      </x:c>
      <x:c r="K3576" s="11" t="n">
        <x:v>10</x:v>
      </x:c>
      <x:c r="L3576" s="11" t="n">
        <x:v>0</x:v>
      </x:c>
      <x:c r="M3576" s="9" t="n">
        <x:f>ROUND(H3576*(1-I3576),2)</x:f>
        <x:v>9078000</x:v>
      </x:c>
      <x:c r="N3576" s="4" t="str">
        <x:v>Sales head</x:v>
      </x:c>
      <x:c r="O3576" s="4" t="str">
        <x:v>BOOK-03575</x:v>
      </x:c>
      <x:c r="P3576" s="9" t="n">
        <x:v>9078000</x:v>
      </x:c>
      <x:c r="Q3576" s="11" t="n">
        <x:v>0</x:v>
      </x:c>
      <x:c r="R3576" s="8" t="n">
        <x:v>45583</x:v>
      </x:c>
      <x:c r="S3576" s="4" t="str">
        <x:v>Retained</x:v>
      </x:c>
      <x:c r="T3576" s="10" t="n">
        <x:v>0.145833</x:v>
      </x:c>
      <x:c r="U3576" s="4" t="str">
        <x:v>Test</x:v>
      </x:c>
    </x:row>
    <x:row r="3577" ht="34" customHeight="1">
      <x:c r="A3577" s="4" t="str">
        <x:v>RS-03576</x:v>
      </x:c>
      <x:c r="B3577" s="8" t="n">
        <x:v>45524</x:v>
      </x:c>
      <x:c r="C3577" s="4" t="str">
        <x:v>PRJ-016</x:v>
      </x:c>
      <x:c r="D3577" s="4" t="str">
        <x:v>Villa</x:v>
      </x:c>
      <x:c r="E3577" s="4" t="str">
        <x:v>Reserved</x:v>
      </x:c>
      <x:c r="F3577" s="4" t="str">
        <x:v>CUS-03576</x:v>
      </x:c>
      <x:c r="G3577" s="4" t="str">
        <x:v>UNIT-03576</x:v>
      </x:c>
      <x:c r="H3577" s="9" t="n">
        <x:v>8000000</x:v>
      </x:c>
      <x:c r="I3577" s="10" t="n">
        <x:v>0.04</x:v>
      </x:c>
      <x:c r="J3577" s="11" t="n">
        <x:v>3</x:v>
      </x:c>
      <x:c r="K3577" s="11" t="n">
        <x:v>2</x:v>
      </x:c>
      <x:c r="L3577" s="11" t="n">
        <x:v>0</x:v>
      </x:c>
      <x:c r="M3577" s="9" t="n">
        <x:f>ROUND(H3577*(1-I3577),2)</x:f>
        <x:v>7680000</x:v>
      </x:c>
      <x:c r="N3577" s="4" t="str">
        <x:v>Sales manager</x:v>
      </x:c>
      <x:c r="O3577" s="4"/>
      <x:c r="P3577" s="9" t="n">
        <x:v>0</x:v>
      </x:c>
      <x:c r="Q3577" s="11" t="n">
        <x:v>0</x:v>
      </x:c>
      <x:c r="R3577" s="8" t="n">
        <x:v>45584</x:v>
      </x:c>
      <x:c r="S3577" s="4" t="str">
        <x:v>Retained</x:v>
      </x:c>
      <x:c r="T3577" s="10" t="n">
        <x:v>0.204152</x:v>
      </x:c>
      <x:c r="U3577" s="4" t="str">
        <x:v>Test</x:v>
      </x:c>
    </x:row>
    <x:row r="3578" ht="34" customHeight="1">
      <x:c r="A3578" s="4" t="str">
        <x:v>RS-03577</x:v>
      </x:c>
      <x:c r="B3578" s="8" t="n">
        <x:v>45525</x:v>
      </x:c>
      <x:c r="C3578" s="4" t="str">
        <x:v>PRJ-017</x:v>
      </x:c>
      <x:c r="D3578" s="4" t="str">
        <x:v>Apartment</x:v>
      </x:c>
      <x:c r="E3578" s="4" t="str">
        <x:v>Cancelled</x:v>
      </x:c>
      <x:c r="F3578" s="4" t="str">
        <x:v>CUS-03577</x:v>
      </x:c>
      <x:c r="G3578" s="4" t="str">
        <x:v>UNIT-03577</x:v>
      </x:c>
      <x:c r="H3578" s="9" t="n">
        <x:v>18400000</x:v>
      </x:c>
      <x:c r="I3578" s="10" t="n">
        <x:v>0.1</x:v>
      </x:c>
      <x:c r="J3578" s="11" t="n">
        <x:v>3</x:v>
      </x:c>
      <x:c r="K3578" s="11" t="n">
        <x:v>3</x:v>
      </x:c>
      <x:c r="L3578" s="11" t="n">
        <x:v>0</x:v>
      </x:c>
      <x:c r="M3578" s="9" t="n">
        <x:f>ROUND(H3578*(1-I3578),2)</x:f>
        <x:v>16560000</x:v>
      </x:c>
      <x:c r="N3578" s="4" t="str">
        <x:v>Sales head</x:v>
      </x:c>
      <x:c r="O3578" s="4"/>
      <x:c r="P3578" s="9" t="n">
        <x:v>0</x:v>
      </x:c>
      <x:c r="Q3578" s="11" t="n">
        <x:v>1</x:v>
      </x:c>
      <x:c r="R3578" s="8" t="n">
        <x:v>45585</x:v>
      </x:c>
      <x:c r="S3578" s="4" t="str">
        <x:v>Lost / cancelled</x:v>
      </x:c>
      <x:c r="T3578" s="10" t="n">
        <x:v>0.145833</x:v>
      </x:c>
      <x:c r="U3578" s="4" t="str">
        <x:v>Test</x:v>
      </x:c>
    </x:row>
    <x:row r="3579" ht="34" customHeight="1">
      <x:c r="A3579" s="4" t="str">
        <x:v>RS-03578</x:v>
      </x:c>
      <x:c r="B3579" s="8" t="n">
        <x:v>45526</x:v>
      </x:c>
      <x:c r="C3579" s="4" t="str">
        <x:v>PRJ-018</x:v>
      </x:c>
      <x:c r="D3579" s="4" t="str">
        <x:v>Villa</x:v>
      </x:c>
      <x:c r="E3579" s="4" t="str">
        <x:v>Handed over</x:v>
      </x:c>
      <x:c r="F3579" s="4" t="str">
        <x:v>CUS-03578</x:v>
      </x:c>
      <x:c r="G3579" s="4" t="str">
        <x:v>UNIT-03578</x:v>
      </x:c>
      <x:c r="H3579" s="9" t="n">
        <x:v>10900000</x:v>
      </x:c>
      <x:c r="I3579" s="10" t="n">
        <x:v>0.09</x:v>
      </x:c>
      <x:c r="J3579" s="11" t="n">
        <x:v>2</x:v>
      </x:c>
      <x:c r="K3579" s="11" t="n">
        <x:v>4</x:v>
      </x:c>
      <x:c r="L3579" s="11" t="n">
        <x:v>0</x:v>
      </x:c>
      <x:c r="M3579" s="9" t="n">
        <x:f>ROUND(H3579*(1-I3579),2)</x:f>
        <x:v>9919000</x:v>
      </x:c>
      <x:c r="N3579" s="4" t="str">
        <x:v>Sales head</x:v>
      </x:c>
      <x:c r="O3579" s="4" t="str">
        <x:v>BOOK-03578</x:v>
      </x:c>
      <x:c r="P3579" s="9" t="n">
        <x:v>9919000</x:v>
      </x:c>
      <x:c r="Q3579" s="11" t="n">
        <x:v>0</x:v>
      </x:c>
      <x:c r="R3579" s="8" t="n">
        <x:v>45586</x:v>
      </x:c>
      <x:c r="S3579" s="4" t="str">
        <x:v>Retained</x:v>
      </x:c>
      <x:c r="T3579" s="10" t="n">
        <x:v>0.145833</x:v>
      </x:c>
      <x:c r="U3579" s="4" t="str">
        <x:v>Test</x:v>
      </x:c>
    </x:row>
    <x:row r="3580" ht="34" customHeight="1">
      <x:c r="A3580" s="4" t="str">
        <x:v>RS-03579</x:v>
      </x:c>
      <x:c r="B3580" s="8" t="n">
        <x:v>45527</x:v>
      </x:c>
      <x:c r="C3580" s="4" t="str">
        <x:v>PRJ-019</x:v>
      </x:c>
      <x:c r="D3580" s="4" t="str">
        <x:v>Villa</x:v>
      </x:c>
      <x:c r="E3580" s="4" t="str">
        <x:v>Booked</x:v>
      </x:c>
      <x:c r="F3580" s="4" t="str">
        <x:v>CUS-03579</x:v>
      </x:c>
      <x:c r="G3580" s="4" t="str">
        <x:v>UNIT-03579</x:v>
      </x:c>
      <x:c r="H3580" s="9" t="n">
        <x:v>19700000</x:v>
      </x:c>
      <x:c r="I3580" s="10" t="n">
        <x:v>0.06</x:v>
      </x:c>
      <x:c r="J3580" s="11" t="n">
        <x:v>9</x:v>
      </x:c>
      <x:c r="K3580" s="11" t="n">
        <x:v>3</x:v>
      </x:c>
      <x:c r="L3580" s="11" t="n">
        <x:v>1</x:v>
      </x:c>
      <x:c r="M3580" s="9" t="n">
        <x:f>ROUND(H3580*(1-I3580),2)</x:f>
        <x:v>18518000</x:v>
      </x:c>
      <x:c r="N3580" s="4" t="str">
        <x:v>Sales manager</x:v>
      </x:c>
      <x:c r="O3580" s="4" t="str">
        <x:v>BOOK-03579</x:v>
      </x:c>
      <x:c r="P3580" s="9" t="n">
        <x:v>18518000</x:v>
      </x:c>
      <x:c r="Q3580" s="11" t="n">
        <x:v>0</x:v>
      </x:c>
      <x:c r="R3580" s="8" t="n">
        <x:v>45587</x:v>
      </x:c>
      <x:c r="S3580" s="4" t="str">
        <x:v>Retained</x:v>
      </x:c>
      <x:c r="T3580" s="10" t="n">
        <x:v>0.310195</x:v>
      </x:c>
      <x:c r="U3580" s="4" t="str">
        <x:v>Test</x:v>
      </x:c>
    </x:row>
    <x:row r="3581" ht="34" customHeight="1">
      <x:c r="A3581" s="4" t="str">
        <x:v>RS-03580</x:v>
      </x:c>
      <x:c r="B3581" s="8" t="n">
        <x:v>45528</x:v>
      </x:c>
      <x:c r="C3581" s="4" t="str">
        <x:v>PRJ-020</x:v>
      </x:c>
      <x:c r="D3581" s="4" t="str">
        <x:v>Office</x:v>
      </x:c>
      <x:c r="E3581" s="4" t="str">
        <x:v>Enquiry</x:v>
      </x:c>
      <x:c r="F3581" s="4" t="str">
        <x:v>CUS-03580</x:v>
      </x:c>
      <x:c r="G3581" s="4" t="str">
        <x:v>UNIT-03580</x:v>
      </x:c>
      <x:c r="H3581" s="9" t="n">
        <x:v>10100000</x:v>
      </x:c>
      <x:c r="I3581" s="10" t="n">
        <x:v>0.11</x:v>
      </x:c>
      <x:c r="J3581" s="11" t="n">
        <x:v>11</x:v>
      </x:c>
      <x:c r="K3581" s="11" t="n">
        <x:v>10</x:v>
      </x:c>
      <x:c r="L3581" s="11" t="n">
        <x:v>1</x:v>
      </x:c>
      <x:c r="M3581" s="9" t="n">
        <x:f>ROUND(H3581*(1-I3581),2)</x:f>
        <x:v>8989000</x:v>
      </x:c>
      <x:c r="N3581" s="4" t="str">
        <x:v>Sales head</x:v>
      </x:c>
      <x:c r="O3581" s="4"/>
      <x:c r="P3581" s="9" t="n">
        <x:v>0</x:v>
      </x:c>
      <x:c r="Q3581" s="11" t="n">
        <x:v>1</x:v>
      </x:c>
      <x:c r="R3581" s="8" t="n">
        <x:v>45588</x:v>
      </x:c>
      <x:c r="S3581" s="4" t="str">
        <x:v>Lost / cancelled</x:v>
      </x:c>
      <x:c r="T3581" s="10" t="n">
        <x:v>0.351536</x:v>
      </x:c>
      <x:c r="U3581" s="4" t="str">
        <x:v>Test</x:v>
      </x:c>
    </x:row>
    <x:row r="3582" ht="34" customHeight="1">
      <x:c r="A3582" s="4" t="str">
        <x:v>RS-03581</x:v>
      </x:c>
      <x:c r="B3582" s="8" t="n">
        <x:v>45529</x:v>
      </x:c>
      <x:c r="C3582" s="4" t="str">
        <x:v>PRJ-001</x:v>
      </x:c>
      <x:c r="D3582" s="4" t="str">
        <x:v>Villa</x:v>
      </x:c>
      <x:c r="E3582" s="4" t="str">
        <x:v>Cancelled</x:v>
      </x:c>
      <x:c r="F3582" s="4" t="str">
        <x:v>CUS-03581</x:v>
      </x:c>
      <x:c r="G3582" s="4" t="str">
        <x:v>UNIT-03581</x:v>
      </x:c>
      <x:c r="H3582" s="9" t="n">
        <x:v>23200000</x:v>
      </x:c>
      <x:c r="I3582" s="10" t="n">
        <x:v>0.12</x:v>
      </x:c>
      <x:c r="J3582" s="11" t="n">
        <x:v>9</x:v>
      </x:c>
      <x:c r="K3582" s="11" t="n">
        <x:v>0</x:v>
      </x:c>
      <x:c r="L3582" s="11" t="n">
        <x:v>1</x:v>
      </x:c>
      <x:c r="M3582" s="9" t="n">
        <x:f>ROUND(H3582*(1-I3582),2)</x:f>
        <x:v>20416000</x:v>
      </x:c>
      <x:c r="N3582" s="4" t="str">
        <x:v>Sales head</x:v>
      </x:c>
      <x:c r="O3582" s="4"/>
      <x:c r="P3582" s="9" t="n">
        <x:v>0</x:v>
      </x:c>
      <x:c r="Q3582" s="11" t="n">
        <x:v>1</x:v>
      </x:c>
      <x:c r="R3582" s="8" t="n">
        <x:v>45589</x:v>
      </x:c>
      <x:c r="S3582" s="4" t="str">
        <x:v>Lost / cancelled</x:v>
      </x:c>
      <x:c r="T3582" s="10" t="n">
        <x:v>0.310195</x:v>
      </x:c>
      <x:c r="U3582" s="4" t="str">
        <x:v>Test</x:v>
      </x:c>
    </x:row>
    <x:row r="3583" ht="34" customHeight="1">
      <x:c r="A3583" s="4" t="str">
        <x:v>RS-03582</x:v>
      </x:c>
      <x:c r="B3583" s="8" t="n">
        <x:v>45530</x:v>
      </x:c>
      <x:c r="C3583" s="4" t="str">
        <x:v>PRJ-002</x:v>
      </x:c>
      <x:c r="D3583" s="4" t="str">
        <x:v>Retail</x:v>
      </x:c>
      <x:c r="E3583" s="4" t="str">
        <x:v>Handed over</x:v>
      </x:c>
      <x:c r="F3583" s="4" t="str">
        <x:v>CUS-03582</x:v>
      </x:c>
      <x:c r="G3583" s="4" t="str">
        <x:v>UNIT-03582</x:v>
      </x:c>
      <x:c r="H3583" s="9" t="n">
        <x:v>21200000</x:v>
      </x:c>
      <x:c r="I3583" s="10" t="n">
        <x:v>0.08</x:v>
      </x:c>
      <x:c r="J3583" s="11" t="n">
        <x:v>10</x:v>
      </x:c>
      <x:c r="K3583" s="11" t="n">
        <x:v>7</x:v>
      </x:c>
      <x:c r="L3583" s="11" t="n">
        <x:v>1</x:v>
      </x:c>
      <x:c r="M3583" s="9" t="n">
        <x:f>ROUND(H3583*(1-I3583),2)</x:f>
        <x:v>19504000</x:v>
      </x:c>
      <x:c r="N3583" s="4" t="str">
        <x:v>Sales head</x:v>
      </x:c>
      <x:c r="O3583" s="4" t="str">
        <x:v>BOOK-03582</x:v>
      </x:c>
      <x:c r="P3583" s="9" t="n">
        <x:v>4876000</x:v>
      </x:c>
      <x:c r="Q3583" s="11" t="n">
        <x:v>0</x:v>
      </x:c>
      <x:c r="R3583" s="8" t="n">
        <x:v>45590</x:v>
      </x:c>
      <x:c r="S3583" s="4" t="str">
        <x:v>Retained</x:v>
      </x:c>
      <x:c r="T3583" s="10" t="n">
        <x:v>0.310195</x:v>
      </x:c>
      <x:c r="U3583" s="4" t="str">
        <x:v>Test</x:v>
      </x:c>
    </x:row>
    <x:row r="3584" ht="34" customHeight="1">
      <x:c r="A3584" s="4" t="str">
        <x:v>RS-03583</x:v>
      </x:c>
      <x:c r="B3584" s="8" t="n">
        <x:v>45531</x:v>
      </x:c>
      <x:c r="C3584" s="4" t="str">
        <x:v>PRJ-003</x:v>
      </x:c>
      <x:c r="D3584" s="4" t="str">
        <x:v>Retail</x:v>
      </x:c>
      <x:c r="E3584" s="4" t="str">
        <x:v>Agreement signed</x:v>
      </x:c>
      <x:c r="F3584" s="4" t="str">
        <x:v>CUS-03583</x:v>
      </x:c>
      <x:c r="G3584" s="4" t="str">
        <x:v>UNIT-03583</x:v>
      </x:c>
      <x:c r="H3584" s="9" t="n">
        <x:v>14800000</x:v>
      </x:c>
      <x:c r="I3584" s="10" t="n">
        <x:v>0</x:v>
      </x:c>
      <x:c r="J3584" s="11" t="n">
        <x:v>3</x:v>
      </x:c>
      <x:c r="K3584" s="11" t="n">
        <x:v>10</x:v>
      </x:c>
      <x:c r="L3584" s="11" t="n">
        <x:v>1</x:v>
      </x:c>
      <x:c r="M3584" s="9" t="n">
        <x:f>ROUND(H3584*(1-I3584),2)</x:f>
        <x:v>14800000</x:v>
      </x:c>
      <x:c r="N3584" s="4" t="str">
        <x:v>Sales manager</x:v>
      </x:c>
      <x:c r="O3584" s="4" t="str">
        <x:v>BOOK-03583</x:v>
      </x:c>
      <x:c r="P3584" s="9" t="n">
        <x:v>7400000</x:v>
      </x:c>
      <x:c r="Q3584" s="11" t="n">
        <x:v>0</x:v>
      </x:c>
      <x:c r="R3584" s="8" t="n">
        <x:v>45591</x:v>
      </x:c>
      <x:c r="S3584" s="4" t="str">
        <x:v>Retained</x:v>
      </x:c>
      <x:c r="T3584" s="10" t="n">
        <x:v>0.171717</x:v>
      </x:c>
      <x:c r="U3584" s="4" t="str">
        <x:v>Test</x:v>
      </x:c>
    </x:row>
    <x:row r="3585" ht="34" customHeight="1">
      <x:c r="A3585" s="4" t="str">
        <x:v>RS-03584</x:v>
      </x:c>
      <x:c r="B3585" s="8" t="n">
        <x:v>45532</x:v>
      </x:c>
      <x:c r="C3585" s="4" t="str">
        <x:v>PRJ-004</x:v>
      </x:c>
      <x:c r="D3585" s="4" t="str">
        <x:v>Villa</x:v>
      </x:c>
      <x:c r="E3585" s="4" t="str">
        <x:v>Cancelled</x:v>
      </x:c>
      <x:c r="F3585" s="4" t="str">
        <x:v>CUS-03584</x:v>
      </x:c>
      <x:c r="G3585" s="4" t="str">
        <x:v>UNIT-03584</x:v>
      </x:c>
      <x:c r="H3585" s="9" t="n">
        <x:v>15900000</x:v>
      </x:c>
      <x:c r="I3585" s="10" t="n">
        <x:v>0.07</x:v>
      </x:c>
      <x:c r="J3585" s="11" t="n">
        <x:v>0</x:v>
      </x:c>
      <x:c r="K3585" s="11" t="n">
        <x:v>6</x:v>
      </x:c>
      <x:c r="L3585" s="11" t="n">
        <x:v>0</x:v>
      </x:c>
      <x:c r="M3585" s="9" t="n">
        <x:f>ROUND(H3585*(1-I3585),2)</x:f>
        <x:v>14787000</x:v>
      </x:c>
      <x:c r="N3585" s="4" t="str">
        <x:v>Sales manager</x:v>
      </x:c>
      <x:c r="O3585" s="4"/>
      <x:c r="P3585" s="9" t="n">
        <x:v>0</x:v>
      </x:c>
      <x:c r="Q3585" s="11" t="n">
        <x:v>1</x:v>
      </x:c>
      <x:c r="R3585" s="8" t="n">
        <x:v>45592</x:v>
      </x:c>
      <x:c r="S3585" s="4" t="str">
        <x:v>Lost / cancelled</x:v>
      </x:c>
      <x:c r="T3585" s="10" t="n">
        <x:v>0.204152</x:v>
      </x:c>
      <x:c r="U3585" s="4" t="str">
        <x:v>Test</x:v>
      </x:c>
    </x:row>
    <x:row r="3586" ht="34" customHeight="1">
      <x:c r="A3586" s="4" t="str">
        <x:v>RS-03585</x:v>
      </x:c>
      <x:c r="B3586" s="8" t="n">
        <x:v>45505</x:v>
      </x:c>
      <x:c r="C3586" s="4" t="str">
        <x:v>PRJ-005</x:v>
      </x:c>
      <x:c r="D3586" s="4" t="str">
        <x:v>Retail</x:v>
      </x:c>
      <x:c r="E3586" s="4" t="str">
        <x:v>Booked</x:v>
      </x:c>
      <x:c r="F3586" s="4" t="str">
        <x:v>CUS-03585</x:v>
      </x:c>
      <x:c r="G3586" s="4" t="str">
        <x:v>UNIT-03585</x:v>
      </x:c>
      <x:c r="H3586" s="9" t="n">
        <x:v>17100000</x:v>
      </x:c>
      <x:c r="I3586" s="10" t="n">
        <x:v>0.02</x:v>
      </x:c>
      <x:c r="J3586" s="11" t="n">
        <x:v>9</x:v>
      </x:c>
      <x:c r="K3586" s="11" t="n">
        <x:v>9</x:v>
      </x:c>
      <x:c r="L3586" s="11" t="n">
        <x:v>0</x:v>
      </x:c>
      <x:c r="M3586" s="9" t="n">
        <x:f>ROUND(H3586*(1-I3586),2)</x:f>
        <x:v>16758000</x:v>
      </x:c>
      <x:c r="N3586" s="4" t="str">
        <x:v>Sales manager</x:v>
      </x:c>
      <x:c r="O3586" s="4" t="str">
        <x:v>BOOK-03585</x:v>
      </x:c>
      <x:c r="P3586" s="9" t="n">
        <x:v>16758000</x:v>
      </x:c>
      <x:c r="Q3586" s="11" t="n">
        <x:v>0</x:v>
      </x:c>
      <x:c r="R3586" s="8" t="n">
        <x:v>45565</x:v>
      </x:c>
      <x:c r="S3586" s="4" t="str">
        <x:v>Retained</x:v>
      </x:c>
      <x:c r="T3586" s="10" t="n">
        <x:v>0.305556</x:v>
      </x:c>
      <x:c r="U3586" s="4" t="str">
        <x:v>Test</x:v>
      </x:c>
    </x:row>
    <x:row r="3587" ht="34" customHeight="1">
      <x:c r="A3587" s="4" t="str">
        <x:v>RS-03586</x:v>
      </x:c>
      <x:c r="B3587" s="8" t="n">
        <x:v>45506</x:v>
      </x:c>
      <x:c r="C3587" s="4" t="str">
        <x:v>PRJ-006</x:v>
      </x:c>
      <x:c r="D3587" s="4" t="str">
        <x:v>Villa</x:v>
      </x:c>
      <x:c r="E3587" s="4" t="str">
        <x:v>Booked</x:v>
      </x:c>
      <x:c r="F3587" s="4" t="str">
        <x:v>CUS-03586</x:v>
      </x:c>
      <x:c r="G3587" s="4" t="str">
        <x:v>UNIT-03586</x:v>
      </x:c>
      <x:c r="H3587" s="9" t="n">
        <x:v>20400000</x:v>
      </x:c>
      <x:c r="I3587" s="10" t="n">
        <x:v>0.05</x:v>
      </x:c>
      <x:c r="J3587" s="11" t="n">
        <x:v>6</x:v>
      </x:c>
      <x:c r="K3587" s="11" t="n">
        <x:v>6</x:v>
      </x:c>
      <x:c r="L3587" s="11" t="n">
        <x:v>0</x:v>
      </x:c>
      <x:c r="M3587" s="9" t="n">
        <x:f>ROUND(H3587*(1-I3587),2)</x:f>
        <x:v>19380000</x:v>
      </x:c>
      <x:c r="N3587" s="4" t="str">
        <x:v>Sales manager</x:v>
      </x:c>
      <x:c r="O3587" s="4" t="str">
        <x:v>BOOK-03586</x:v>
      </x:c>
      <x:c r="P3587" s="9" t="n">
        <x:v>1938000</x:v>
      </x:c>
      <x:c r="Q3587" s="11" t="n">
        <x:v>0</x:v>
      </x:c>
      <x:c r="R3587" s="8" t="n">
        <x:v>45566</x:v>
      </x:c>
      <x:c r="S3587" s="4" t="str">
        <x:v>Retained</x:v>
      </x:c>
      <x:c r="T3587" s="10" t="n">
        <x:v>0.226277</x:v>
      </x:c>
      <x:c r="U3587" s="4" t="str">
        <x:v>Test</x:v>
      </x:c>
    </x:row>
    <x:row r="3588" ht="34" customHeight="1">
      <x:c r="A3588" s="4" t="str">
        <x:v>RS-03587</x:v>
      </x:c>
      <x:c r="B3588" s="8" t="n">
        <x:v>45507</x:v>
      </x:c>
      <x:c r="C3588" s="4" t="str">
        <x:v>PRJ-007</x:v>
      </x:c>
      <x:c r="D3588" s="4" t="str">
        <x:v>Office</x:v>
      </x:c>
      <x:c r="E3588" s="4" t="str">
        <x:v>Handed over</x:v>
      </x:c>
      <x:c r="F3588" s="4" t="str">
        <x:v>CUS-03587</x:v>
      </x:c>
      <x:c r="G3588" s="4" t="str">
        <x:v>UNIT-03587</x:v>
      </x:c>
      <x:c r="H3588" s="9" t="n">
        <x:v>6300000</x:v>
      </x:c>
      <x:c r="I3588" s="10" t="n">
        <x:v>0.01</x:v>
      </x:c>
      <x:c r="J3588" s="11" t="n">
        <x:v>2</x:v>
      </x:c>
      <x:c r="K3588" s="11" t="n">
        <x:v>8</x:v>
      </x:c>
      <x:c r="L3588" s="11" t="n">
        <x:v>0</x:v>
      </x:c>
      <x:c r="M3588" s="9" t="n">
        <x:f>ROUND(H3588*(1-I3588),2)</x:f>
        <x:v>6237000</x:v>
      </x:c>
      <x:c r="N3588" s="4" t="str">
        <x:v>Sales manager</x:v>
      </x:c>
      <x:c r="O3588" s="4" t="str">
        <x:v>BOOK-03587</x:v>
      </x:c>
      <x:c r="P3588" s="9" t="n">
        <x:v>3118500</x:v>
      </x:c>
      <x:c r="Q3588" s="11" t="n">
        <x:v>0</x:v>
      </x:c>
      <x:c r="R3588" s="8" t="n">
        <x:v>45567</x:v>
      </x:c>
      <x:c r="S3588" s="4" t="str">
        <x:v>Retained</x:v>
      </x:c>
      <x:c r="T3588" s="10" t="n">
        <x:v>0.171717</x:v>
      </x:c>
      <x:c r="U3588" s="4" t="str">
        <x:v>Test</x:v>
      </x:c>
    </x:row>
    <x:row r="3589" ht="34" customHeight="1">
      <x:c r="A3589" s="4" t="str">
        <x:v>RS-03588</x:v>
      </x:c>
      <x:c r="B3589" s="8" t="n">
        <x:v>45508</x:v>
      </x:c>
      <x:c r="C3589" s="4" t="str">
        <x:v>PRJ-008</x:v>
      </x:c>
      <x:c r="D3589" s="4" t="str">
        <x:v>Office</x:v>
      </x:c>
      <x:c r="E3589" s="4" t="str">
        <x:v>Handed over</x:v>
      </x:c>
      <x:c r="F3589" s="4" t="str">
        <x:v>CUS-03588</x:v>
      </x:c>
      <x:c r="G3589" s="4" t="str">
        <x:v>UNIT-03588</x:v>
      </x:c>
      <x:c r="H3589" s="9" t="n">
        <x:v>7800000</x:v>
      </x:c>
      <x:c r="I3589" s="10" t="n">
        <x:v>0.1</x:v>
      </x:c>
      <x:c r="J3589" s="11" t="n">
        <x:v>12</x:v>
      </x:c>
      <x:c r="K3589" s="11" t="n">
        <x:v>7</x:v>
      </x:c>
      <x:c r="L3589" s="11" t="n">
        <x:v>0</x:v>
      </x:c>
      <x:c r="M3589" s="9" t="n">
        <x:f>ROUND(H3589*(1-I3589),2)</x:f>
        <x:v>7020000</x:v>
      </x:c>
      <x:c r="N3589" s="4" t="str">
        <x:v>Sales head</x:v>
      </x:c>
      <x:c r="O3589" s="4" t="str">
        <x:v>BOOK-03588</x:v>
      </x:c>
      <x:c r="P3589" s="9" t="n">
        <x:v>1755000</x:v>
      </x:c>
      <x:c r="Q3589" s="11" t="n">
        <x:v>0</x:v>
      </x:c>
      <x:c r="R3589" s="8" t="n">
        <x:v>45568</x:v>
      </x:c>
      <x:c r="S3589" s="4" t="str">
        <x:v>Retained</x:v>
      </x:c>
      <x:c r="T3589" s="10" t="n">
        <x:v>0.351536</x:v>
      </x:c>
      <x:c r="U3589" s="4" t="str">
        <x:v>Test</x:v>
      </x:c>
    </x:row>
    <x:row r="3590" ht="34" customHeight="1">
      <x:c r="A3590" s="4" t="str">
        <x:v>RS-03589</x:v>
      </x:c>
      <x:c r="B3590" s="8" t="n">
        <x:v>45509</x:v>
      </x:c>
      <x:c r="C3590" s="4" t="str">
        <x:v>PRJ-009</x:v>
      </x:c>
      <x:c r="D3590" s="4" t="str">
        <x:v>Apartment</x:v>
      </x:c>
      <x:c r="E3590" s="4" t="str">
        <x:v>Enquiry</x:v>
      </x:c>
      <x:c r="F3590" s="4" t="str">
        <x:v>CUS-03589</x:v>
      </x:c>
      <x:c r="G3590" s="4" t="str">
        <x:v>UNIT-03589</x:v>
      </x:c>
      <x:c r="H3590" s="9" t="n">
        <x:v>24900000</x:v>
      </x:c>
      <x:c r="I3590" s="10" t="n">
        <x:v>0.01</x:v>
      </x:c>
      <x:c r="J3590" s="11" t="n">
        <x:v>3</x:v>
      </x:c>
      <x:c r="K3590" s="11" t="n">
        <x:v>7</x:v>
      </x:c>
      <x:c r="L3590" s="11" t="n">
        <x:v>0</x:v>
      </x:c>
      <x:c r="M3590" s="9" t="n">
        <x:f>ROUND(H3590*(1-I3590),2)</x:f>
        <x:v>24651000</x:v>
      </x:c>
      <x:c r="N3590" s="4" t="str">
        <x:v>Sales manager</x:v>
      </x:c>
      <x:c r="O3590" s="4"/>
      <x:c r="P3590" s="9" t="n">
        <x:v>0</x:v>
      </x:c>
      <x:c r="Q3590" s="11" t="n">
        <x:v>0</x:v>
      </x:c>
      <x:c r="R3590" s="8" t="n">
        <x:v>45569</x:v>
      </x:c>
      <x:c r="S3590" s="4" t="str">
        <x:v>Retained</x:v>
      </x:c>
      <x:c r="T3590" s="10" t="n">
        <x:v>0.171717</x:v>
      </x:c>
      <x:c r="U3590" s="4" t="str">
        <x:v>Test</x:v>
      </x:c>
    </x:row>
    <x:row r="3591" ht="34" customHeight="1">
      <x:c r="A3591" s="4" t="str">
        <x:v>RS-03590</x:v>
      </x:c>
      <x:c r="B3591" s="8" t="n">
        <x:v>45510</x:v>
      </x:c>
      <x:c r="C3591" s="4" t="str">
        <x:v>PRJ-010</x:v>
      </x:c>
      <x:c r="D3591" s="4" t="str">
        <x:v>Apartment</x:v>
      </x:c>
      <x:c r="E3591" s="4" t="str">
        <x:v>Agreement signed</x:v>
      </x:c>
      <x:c r="F3591" s="4" t="str">
        <x:v>CUS-03590</x:v>
      </x:c>
      <x:c r="G3591" s="4" t="str">
        <x:v>UNIT-03590</x:v>
      </x:c>
      <x:c r="H3591" s="9" t="n">
        <x:v>18100000</x:v>
      </x:c>
      <x:c r="I3591" s="10" t="n">
        <x:v>0.03</x:v>
      </x:c>
      <x:c r="J3591" s="11" t="n">
        <x:v>1</x:v>
      </x:c>
      <x:c r="K3591" s="11" t="n">
        <x:v>7</x:v>
      </x:c>
      <x:c r="L3591" s="11" t="n">
        <x:v>0</x:v>
      </x:c>
      <x:c r="M3591" s="9" t="n">
        <x:f>ROUND(H3591*(1-I3591),2)</x:f>
        <x:v>17557000</x:v>
      </x:c>
      <x:c r="N3591" s="4" t="str">
        <x:v>Sales manager</x:v>
      </x:c>
      <x:c r="O3591" s="4" t="str">
        <x:v>BOOK-03590</x:v>
      </x:c>
      <x:c r="P3591" s="9" t="n">
        <x:v>17557000</x:v>
      </x:c>
      <x:c r="Q3591" s="11" t="n">
        <x:v>0</x:v>
      </x:c>
      <x:c r="R3591" s="8" t="n">
        <x:v>45570</x:v>
      </x:c>
      <x:c r="S3591" s="4" t="str">
        <x:v>Retained</x:v>
      </x:c>
      <x:c r="T3591" s="10" t="n">
        <x:v>0.072165</x:v>
      </x:c>
      <x:c r="U3591" s="4" t="str">
        <x:v>Test</x:v>
      </x:c>
    </x:row>
    <x:row r="3592" ht="34" customHeight="1">
      <x:c r="A3592" s="4" t="str">
        <x:v>RS-03591</x:v>
      </x:c>
      <x:c r="B3592" s="8" t="n">
        <x:v>45511</x:v>
      </x:c>
      <x:c r="C3592" s="4" t="str">
        <x:v>PRJ-011</x:v>
      </x:c>
      <x:c r="D3592" s="4" t="str">
        <x:v>Apartment</x:v>
      </x:c>
      <x:c r="E3592" s="4" t="str">
        <x:v>Enquiry</x:v>
      </x:c>
      <x:c r="F3592" s="4" t="str">
        <x:v>CUS-03591</x:v>
      </x:c>
      <x:c r="G3592" s="4" t="str">
        <x:v>UNIT-03591</x:v>
      </x:c>
      <x:c r="H3592" s="9" t="n">
        <x:v>15600000</x:v>
      </x:c>
      <x:c r="I3592" s="10" t="n">
        <x:v>0.09</x:v>
      </x:c>
      <x:c r="J3592" s="11" t="n">
        <x:v>7</x:v>
      </x:c>
      <x:c r="K3592" s="11" t="n">
        <x:v>9</x:v>
      </x:c>
      <x:c r="L3592" s="11" t="n">
        <x:v>0</x:v>
      </x:c>
      <x:c r="M3592" s="9" t="n">
        <x:f>ROUND(H3592*(1-I3592),2)</x:f>
        <x:v>14196000</x:v>
      </x:c>
      <x:c r="N3592" s="4" t="str">
        <x:v>Sales head</x:v>
      </x:c>
      <x:c r="O3592" s="4"/>
      <x:c r="P3592" s="9" t="n">
        <x:v>0</x:v>
      </x:c>
      <x:c r="Q3592" s="11" t="n">
        <x:v>0</x:v>
      </x:c>
      <x:c r="R3592" s="8" t="n">
        <x:v>45571</x:v>
      </x:c>
      <x:c r="S3592" s="4" t="str">
        <x:v>Retained</x:v>
      </x:c>
      <x:c r="T3592" s="10" t="n">
        <x:v>0.226277</x:v>
      </x:c>
      <x:c r="U3592" s="4" t="str">
        <x:v>Test</x:v>
      </x:c>
    </x:row>
    <x:row r="3593" ht="34" customHeight="1">
      <x:c r="A3593" s="4" t="str">
        <x:v>RS-03592</x:v>
      </x:c>
      <x:c r="B3593" s="8" t="n">
        <x:v>45512</x:v>
      </x:c>
      <x:c r="C3593" s="4" t="str">
        <x:v>PRJ-012</x:v>
      </x:c>
      <x:c r="D3593" s="4" t="str">
        <x:v>Office</x:v>
      </x:c>
      <x:c r="E3593" s="4" t="str">
        <x:v>Reserved</x:v>
      </x:c>
      <x:c r="F3593" s="4" t="str">
        <x:v>CUS-03592</x:v>
      </x:c>
      <x:c r="G3593" s="4" t="str">
        <x:v>UNIT-03592</x:v>
      </x:c>
      <x:c r="H3593" s="9" t="n">
        <x:v>24100000</x:v>
      </x:c>
      <x:c r="I3593" s="10" t="n">
        <x:v>0.08</x:v>
      </x:c>
      <x:c r="J3593" s="11" t="n">
        <x:v>11</x:v>
      </x:c>
      <x:c r="K3593" s="11" t="n">
        <x:v>7</x:v>
      </x:c>
      <x:c r="L3593" s="11" t="n">
        <x:v>1</x:v>
      </x:c>
      <x:c r="M3593" s="9" t="n">
        <x:f>ROUND(H3593*(1-I3593),2)</x:f>
        <x:v>22172000</x:v>
      </x:c>
      <x:c r="N3593" s="4" t="str">
        <x:v>Sales head</x:v>
      </x:c>
      <x:c r="O3593" s="4"/>
      <x:c r="P3593" s="9" t="n">
        <x:v>0</x:v>
      </x:c>
      <x:c r="Q3593" s="11" t="n">
        <x:v>0</x:v>
      </x:c>
      <x:c r="R3593" s="8" t="n">
        <x:v>45572</x:v>
      </x:c>
      <x:c r="S3593" s="4" t="str">
        <x:v>Retained</x:v>
      </x:c>
      <x:c r="T3593" s="10" t="n">
        <x:v>0.351536</x:v>
      </x:c>
      <x:c r="U3593" s="4" t="str">
        <x:v>Test</x:v>
      </x:c>
    </x:row>
    <x:row r="3594" ht="34" customHeight="1">
      <x:c r="A3594" s="4" t="str">
        <x:v>RS-03593</x:v>
      </x:c>
      <x:c r="B3594" s="8" t="n">
        <x:v>45513</x:v>
      </x:c>
      <x:c r="C3594" s="4" t="str">
        <x:v>PRJ-013</x:v>
      </x:c>
      <x:c r="D3594" s="4" t="str">
        <x:v>Office</x:v>
      </x:c>
      <x:c r="E3594" s="4" t="str">
        <x:v>Agreement signed</x:v>
      </x:c>
      <x:c r="F3594" s="4" t="str">
        <x:v>CUS-03593</x:v>
      </x:c>
      <x:c r="G3594" s="4" t="str">
        <x:v>UNIT-03593</x:v>
      </x:c>
      <x:c r="H3594" s="9" t="n">
        <x:v>24500000</x:v>
      </x:c>
      <x:c r="I3594" s="10" t="n">
        <x:v>0.09</x:v>
      </x:c>
      <x:c r="J3594" s="11" t="n">
        <x:v>7</x:v>
      </x:c>
      <x:c r="K3594" s="11" t="n">
        <x:v>3</x:v>
      </x:c>
      <x:c r="L3594" s="11" t="n">
        <x:v>0</x:v>
      </x:c>
      <x:c r="M3594" s="9" t="n">
        <x:f>ROUND(H3594*(1-I3594),2)</x:f>
        <x:v>22295000</x:v>
      </x:c>
      <x:c r="N3594" s="4" t="str">
        <x:v>Sales head</x:v>
      </x:c>
      <x:c r="O3594" s="4" t="str">
        <x:v>BOOK-03593</x:v>
      </x:c>
      <x:c r="P3594" s="9" t="n">
        <x:v>5573750</x:v>
      </x:c>
      <x:c r="Q3594" s="11" t="n">
        <x:v>0</x:v>
      </x:c>
      <x:c r="R3594" s="8" t="n">
        <x:v>45573</x:v>
      </x:c>
      <x:c r="S3594" s="4" t="str">
        <x:v>Retained</x:v>
      </x:c>
      <x:c r="T3594" s="10" t="n">
        <x:v>0.226277</x:v>
      </x:c>
      <x:c r="U3594" s="4" t="str">
        <x:v>Test</x:v>
      </x:c>
    </x:row>
    <x:row r="3595" ht="34" customHeight="1">
      <x:c r="A3595" s="4" t="str">
        <x:v>RS-03594</x:v>
      </x:c>
      <x:c r="B3595" s="8" t="n">
        <x:v>45514</x:v>
      </x:c>
      <x:c r="C3595" s="4" t="str">
        <x:v>PRJ-014</x:v>
      </x:c>
      <x:c r="D3595" s="4" t="str">
        <x:v>Apartment</x:v>
      </x:c>
      <x:c r="E3595" s="4" t="str">
        <x:v>Booked</x:v>
      </x:c>
      <x:c r="F3595" s="4" t="str">
        <x:v>CUS-03594</x:v>
      </x:c>
      <x:c r="G3595" s="4" t="str">
        <x:v>UNIT-03594</x:v>
      </x:c>
      <x:c r="H3595" s="9" t="n">
        <x:v>8100000</x:v>
      </x:c>
      <x:c r="I3595" s="10" t="n">
        <x:v>0.08</x:v>
      </x:c>
      <x:c r="J3595" s="11" t="n">
        <x:v>7</x:v>
      </x:c>
      <x:c r="K3595" s="11" t="n">
        <x:v>7</x:v>
      </x:c>
      <x:c r="L3595" s="11" t="n">
        <x:v>1</x:v>
      </x:c>
      <x:c r="M3595" s="9" t="n">
        <x:f>ROUND(H3595*(1-I3595),2)</x:f>
        <x:v>7452000</x:v>
      </x:c>
      <x:c r="N3595" s="4" t="str">
        <x:v>Sales head</x:v>
      </x:c>
      <x:c r="O3595" s="4" t="str">
        <x:v>BOOK-03594</x:v>
      </x:c>
      <x:c r="P3595" s="9" t="n">
        <x:v>745200</x:v>
      </x:c>
      <x:c r="Q3595" s="11" t="n">
        <x:v>0</x:v>
      </x:c>
      <x:c r="R3595" s="8" t="n">
        <x:v>45574</x:v>
      </x:c>
      <x:c r="S3595" s="4" t="str">
        <x:v>Retained</x:v>
      </x:c>
      <x:c r="T3595" s="10" t="n">
        <x:v>0.291946</x:v>
      </x:c>
      <x:c r="U3595" s="4" t="str">
        <x:v>Test</x:v>
      </x:c>
    </x:row>
    <x:row r="3596" ht="34" customHeight="1">
      <x:c r="A3596" s="4" t="str">
        <x:v>RS-03595</x:v>
      </x:c>
      <x:c r="B3596" s="8" t="n">
        <x:v>45515</x:v>
      </x:c>
      <x:c r="C3596" s="4" t="str">
        <x:v>PRJ-015</x:v>
      </x:c>
      <x:c r="D3596" s="4" t="str">
        <x:v>Apartment</x:v>
      </x:c>
      <x:c r="E3596" s="4" t="str">
        <x:v>Enquiry</x:v>
      </x:c>
      <x:c r="F3596" s="4" t="str">
        <x:v>CUS-03595</x:v>
      </x:c>
      <x:c r="G3596" s="4" t="str">
        <x:v>UNIT-03595</x:v>
      </x:c>
      <x:c r="H3596" s="9" t="n">
        <x:v>12300000</x:v>
      </x:c>
      <x:c r="I3596" s="10" t="n">
        <x:v>0.09</x:v>
      </x:c>
      <x:c r="J3596" s="11" t="n">
        <x:v>8</x:v>
      </x:c>
      <x:c r="K3596" s="11" t="n">
        <x:v>5</x:v>
      </x:c>
      <x:c r="L3596" s="11" t="n">
        <x:v>1</x:v>
      </x:c>
      <x:c r="M3596" s="9" t="n">
        <x:f>ROUND(H3596*(1-I3596),2)</x:f>
        <x:v>11193000</x:v>
      </x:c>
      <x:c r="N3596" s="4" t="str">
        <x:v>Sales head</x:v>
      </x:c>
      <x:c r="O3596" s="4"/>
      <x:c r="P3596" s="9" t="n">
        <x:v>0</x:v>
      </x:c>
      <x:c r="Q3596" s="11" t="n">
        <x:v>1</x:v>
      </x:c>
      <x:c r="R3596" s="8" t="n">
        <x:v>45575</x:v>
      </x:c>
      <x:c r="S3596" s="4" t="str">
        <x:v>Lost / cancelled</x:v>
      </x:c>
      <x:c r="T3596" s="10" t="n">
        <x:v>0.310195</x:v>
      </x:c>
      <x:c r="U3596" s="4" t="str">
        <x:v>Test</x:v>
      </x:c>
    </x:row>
    <x:row r="3597" ht="34" customHeight="1">
      <x:c r="A3597" s="4" t="str">
        <x:v>RS-03596</x:v>
      </x:c>
      <x:c r="B3597" s="8" t="n">
        <x:v>45516</x:v>
      </x:c>
      <x:c r="C3597" s="4" t="str">
        <x:v>PRJ-016</x:v>
      </x:c>
      <x:c r="D3597" s="4" t="str">
        <x:v>Apartment</x:v>
      </x:c>
      <x:c r="E3597" s="4" t="str">
        <x:v>Cancelled</x:v>
      </x:c>
      <x:c r="F3597" s="4" t="str">
        <x:v>CUS-03596</x:v>
      </x:c>
      <x:c r="G3597" s="4" t="str">
        <x:v>UNIT-03596</x:v>
      </x:c>
      <x:c r="H3597" s="9" t="n">
        <x:v>15600000</x:v>
      </x:c>
      <x:c r="I3597" s="10" t="n">
        <x:v>0.01</x:v>
      </x:c>
      <x:c r="J3597" s="11" t="n">
        <x:v>2</x:v>
      </x:c>
      <x:c r="K3597" s="11" t="n">
        <x:v>1</x:v>
      </x:c>
      <x:c r="L3597" s="11" t="n">
        <x:v>1</x:v>
      </x:c>
      <x:c r="M3597" s="9" t="n">
        <x:f>ROUND(H3597*(1-I3597),2)</x:f>
        <x:v>15444000</x:v>
      </x:c>
      <x:c r="N3597" s="4" t="str">
        <x:v>Sales manager</x:v>
      </x:c>
      <x:c r="O3597" s="4"/>
      <x:c r="P3597" s="9" t="n">
        <x:v>0</x:v>
      </x:c>
      <x:c r="Q3597" s="11" t="n">
        <x:v>1</x:v>
      </x:c>
      <x:c r="R3597" s="8" t="n">
        <x:v>45576</x:v>
      </x:c>
      <x:c r="S3597" s="4" t="str">
        <x:v>Lost / cancelled</x:v>
      </x:c>
      <x:c r="T3597" s="10" t="n">
        <x:v>0.171717</x:v>
      </x:c>
      <x:c r="U3597" s="4" t="str">
        <x:v>Test</x:v>
      </x:c>
    </x:row>
    <x:row r="3598" ht="34" customHeight="1">
      <x:c r="A3598" s="4" t="str">
        <x:v>RS-03597</x:v>
      </x:c>
      <x:c r="B3598" s="8" t="n">
        <x:v>45517</x:v>
      </x:c>
      <x:c r="C3598" s="4" t="str">
        <x:v>PRJ-017</x:v>
      </x:c>
      <x:c r="D3598" s="4" t="str">
        <x:v>Villa</x:v>
      </x:c>
      <x:c r="E3598" s="4" t="str">
        <x:v>Agreement signed</x:v>
      </x:c>
      <x:c r="F3598" s="4" t="str">
        <x:v>CUS-03597</x:v>
      </x:c>
      <x:c r="G3598" s="4" t="str">
        <x:v>UNIT-03597</x:v>
      </x:c>
      <x:c r="H3598" s="9" t="n">
        <x:v>23500000</x:v>
      </x:c>
      <x:c r="I3598" s="10" t="n">
        <x:v>0.03</x:v>
      </x:c>
      <x:c r="J3598" s="11" t="n">
        <x:v>0</x:v>
      </x:c>
      <x:c r="K3598" s="11" t="n">
        <x:v>7</x:v>
      </x:c>
      <x:c r="L3598" s="11" t="n">
        <x:v>0</x:v>
      </x:c>
      <x:c r="M3598" s="9" t="n">
        <x:f>ROUND(H3598*(1-I3598),2)</x:f>
        <x:v>22795000</x:v>
      </x:c>
      <x:c r="N3598" s="4" t="str">
        <x:v>Sales manager</x:v>
      </x:c>
      <x:c r="O3598" s="4" t="str">
        <x:v>BOOK-03597</x:v>
      </x:c>
      <x:c r="P3598" s="9" t="n">
        <x:v>22795000</x:v>
      </x:c>
      <x:c r="Q3598" s="11" t="n">
        <x:v>0</x:v>
      </x:c>
      <x:c r="R3598" s="8" t="n">
        <x:v>45577</x:v>
      </x:c>
      <x:c r="S3598" s="4" t="str">
        <x:v>Retained</x:v>
      </x:c>
      <x:c r="T3598" s="10" t="n">
        <x:v>0.072165</x:v>
      </x:c>
      <x:c r="U3598" s="4" t="str">
        <x:v>Test</x:v>
      </x:c>
    </x:row>
    <x:row r="3599" ht="34" customHeight="1">
      <x:c r="A3599" s="4" t="str">
        <x:v>RS-03598</x:v>
      </x:c>
      <x:c r="B3599" s="8" t="n">
        <x:v>45518</x:v>
      </x:c>
      <x:c r="C3599" s="4" t="str">
        <x:v>PRJ-018</x:v>
      </x:c>
      <x:c r="D3599" s="4" t="str">
        <x:v>Office</x:v>
      </x:c>
      <x:c r="E3599" s="4" t="str">
        <x:v>Enquiry</x:v>
      </x:c>
      <x:c r="F3599" s="4" t="str">
        <x:v>CUS-03598</x:v>
      </x:c>
      <x:c r="G3599" s="4" t="str">
        <x:v>UNIT-03598</x:v>
      </x:c>
      <x:c r="H3599" s="9" t="n">
        <x:v>16000000</x:v>
      </x:c>
      <x:c r="I3599" s="10" t="n">
        <x:v>0.09</x:v>
      </x:c>
      <x:c r="J3599" s="11" t="n">
        <x:v>10</x:v>
      </x:c>
      <x:c r="K3599" s="11" t="n">
        <x:v>2</x:v>
      </x:c>
      <x:c r="L3599" s="11" t="n">
        <x:v>1</x:v>
      </x:c>
      <x:c r="M3599" s="9" t="n">
        <x:f>ROUND(H3599*(1-I3599),2)</x:f>
        <x:v>14560000</x:v>
      </x:c>
      <x:c r="N3599" s="4" t="str">
        <x:v>Sales head</x:v>
      </x:c>
      <x:c r="O3599" s="4"/>
      <x:c r="P3599" s="9" t="n">
        <x:v>0</x:v>
      </x:c>
      <x:c r="Q3599" s="11" t="n">
        <x:v>1</x:v>
      </x:c>
      <x:c r="R3599" s="8" t="n">
        <x:v>45578</x:v>
      </x:c>
      <x:c r="S3599" s="4" t="str">
        <x:v>Lost / cancelled</x:v>
      </x:c>
      <x:c r="T3599" s="10" t="n">
        <x:v>0.310195</x:v>
      </x:c>
      <x:c r="U3599" s="4" t="str">
        <x:v>Test</x:v>
      </x:c>
    </x:row>
    <x:row r="3600" ht="34" customHeight="1">
      <x:c r="A3600" s="4" t="str">
        <x:v>RS-03599</x:v>
      </x:c>
      <x:c r="B3600" s="8" t="n">
        <x:v>45519</x:v>
      </x:c>
      <x:c r="C3600" s="4" t="str">
        <x:v>PRJ-019</x:v>
      </x:c>
      <x:c r="D3600" s="4" t="str">
        <x:v>Apartment</x:v>
      </x:c>
      <x:c r="E3600" s="4" t="str">
        <x:v>Booked</x:v>
      </x:c>
      <x:c r="F3600" s="4" t="str">
        <x:v>CUS-03599</x:v>
      </x:c>
      <x:c r="G3600" s="4" t="str">
        <x:v>UNIT-03599</x:v>
      </x:c>
      <x:c r="H3600" s="9" t="n">
        <x:v>16800000</x:v>
      </x:c>
      <x:c r="I3600" s="10" t="n">
        <x:v>0.1</x:v>
      </x:c>
      <x:c r="J3600" s="11" t="n">
        <x:v>6</x:v>
      </x:c>
      <x:c r="K3600" s="11" t="n">
        <x:v>2</x:v>
      </x:c>
      <x:c r="L3600" s="11" t="n">
        <x:v>1</x:v>
      </x:c>
      <x:c r="M3600" s="9" t="n">
        <x:f>ROUND(H3600*(1-I3600),2)</x:f>
        <x:v>15120000</x:v>
      </x:c>
      <x:c r="N3600" s="4" t="str">
        <x:v>Sales head</x:v>
      </x:c>
      <x:c r="O3600" s="4" t="str">
        <x:v>BOOK-03599</x:v>
      </x:c>
      <x:c r="P3600" s="9" t="n">
        <x:v>1512000</x:v>
      </x:c>
      <x:c r="Q3600" s="11" t="n">
        <x:v>0</x:v>
      </x:c>
      <x:c r="R3600" s="8" t="n">
        <x:v>45579</x:v>
      </x:c>
      <x:c r="S3600" s="4" t="str">
        <x:v>Retained</x:v>
      </x:c>
      <x:c r="T3600" s="10" t="n">
        <x:v>0.291946</x:v>
      </x:c>
      <x:c r="U3600" s="4" t="str">
        <x:v>Test</x:v>
      </x:c>
    </x:row>
    <x:row r="3601" ht="34" customHeight="1">
      <x:c r="A3601" s="4" t="str">
        <x:v>RS-03600</x:v>
      </x:c>
      <x:c r="B3601" s="8" t="n">
        <x:v>45520</x:v>
      </x:c>
      <x:c r="C3601" s="4" t="str">
        <x:v>PRJ-020</x:v>
      </x:c>
      <x:c r="D3601" s="4" t="str">
        <x:v>Villa</x:v>
      </x:c>
      <x:c r="E3601" s="4" t="str">
        <x:v>Reserved</x:v>
      </x:c>
      <x:c r="F3601" s="4" t="str">
        <x:v>CUS-03600</x:v>
      </x:c>
      <x:c r="G3601" s="4" t="str">
        <x:v>UNIT-03600</x:v>
      </x:c>
      <x:c r="H3601" s="9" t="n">
        <x:v>5400000</x:v>
      </x:c>
      <x:c r="I3601" s="10" t="n">
        <x:v>0</x:v>
      </x:c>
      <x:c r="J3601" s="11" t="n">
        <x:v>0</x:v>
      </x:c>
      <x:c r="K3601" s="11" t="n">
        <x:v>5</x:v>
      </x:c>
      <x:c r="L3601" s="11" t="n">
        <x:v>1</x:v>
      </x:c>
      <x:c r="M3601" s="9" t="n">
        <x:f>ROUND(H3601*(1-I3601),2)</x:f>
        <x:v>5400000</x:v>
      </x:c>
      <x:c r="N3601" s="4" t="str">
        <x:v>Sales manager</x:v>
      </x:c>
      <x:c r="O3601" s="4"/>
      <x:c r="P3601" s="9" t="n">
        <x:v>0</x:v>
      </x:c>
      <x:c r="Q3601" s="11" t="n">
        <x:v>0</x:v>
      </x:c>
      <x:c r="R3601" s="8" t="n">
        <x:v>45580</x:v>
      </x:c>
      <x:c r="S3601" s="4" t="str">
        <x:v>Retained</x:v>
      </x:c>
      <x:c r="T3601" s="10" t="n">
        <x:v>0.072165</x:v>
      </x:c>
      <x:c r="U3601" s="4" t="str">
        <x:v>Test</x:v>
      </x:c>
    </x:row>
    <x:row r="3602" ht="34" customHeight="1">
      <x:c r="A3602" s="4" t="str">
        <x:v>RS-03601</x:v>
      </x:c>
      <x:c r="B3602" s="8" t="n">
        <x:v>45521</x:v>
      </x:c>
      <x:c r="C3602" s="4" t="str">
        <x:v>PRJ-001</x:v>
      </x:c>
      <x:c r="D3602" s="4" t="str">
        <x:v>Apartment</x:v>
      </x:c>
      <x:c r="E3602" s="4" t="str">
        <x:v>Booked</x:v>
      </x:c>
      <x:c r="F3602" s="4" t="str">
        <x:v>CUS-03601</x:v>
      </x:c>
      <x:c r="G3602" s="4" t="str">
        <x:v>UNIT-03601</x:v>
      </x:c>
      <x:c r="H3602" s="9" t="n">
        <x:v>15900000</x:v>
      </x:c>
      <x:c r="I3602" s="10" t="n">
        <x:v>0</x:v>
      </x:c>
      <x:c r="J3602" s="11" t="n">
        <x:v>5</x:v>
      </x:c>
      <x:c r="K3602" s="11" t="n">
        <x:v>7</x:v>
      </x:c>
      <x:c r="L3602" s="11" t="n">
        <x:v>1</x:v>
      </x:c>
      <x:c r="M3602" s="9" t="n">
        <x:f>ROUND(H3602*(1-I3602),2)</x:f>
        <x:v>15900000</x:v>
      </x:c>
      <x:c r="N3602" s="4" t="str">
        <x:v>Sales manager</x:v>
      </x:c>
      <x:c r="O3602" s="4" t="str">
        <x:v>BOOK-03601</x:v>
      </x:c>
      <x:c r="P3602" s="9" t="n">
        <x:v>3975000</x:v>
      </x:c>
      <x:c r="Q3602" s="11" t="n">
        <x:v>0</x:v>
      </x:c>
      <x:c r="R3602" s="8" t="n">
        <x:v>45581</x:v>
      </x:c>
      <x:c r="S3602" s="4" t="str">
        <x:v>Retained</x:v>
      </x:c>
      <x:c r="T3602" s="10" t="n">
        <x:v>0.145299</x:v>
      </x:c>
      <x:c r="U3602" s="4" t="str">
        <x:v>Test</x:v>
      </x:c>
    </x:row>
    <x:row r="3603" ht="34" customHeight="1">
      <x:c r="A3603" s="4" t="str">
        <x:v>RS-03602</x:v>
      </x:c>
      <x:c r="B3603" s="8" t="n">
        <x:v>45522</x:v>
      </x:c>
      <x:c r="C3603" s="4" t="str">
        <x:v>PRJ-002</x:v>
      </x:c>
      <x:c r="D3603" s="4" t="str">
        <x:v>Apartment</x:v>
      </x:c>
      <x:c r="E3603" s="4" t="str">
        <x:v>Handed over</x:v>
      </x:c>
      <x:c r="F3603" s="4" t="str">
        <x:v>CUS-03602</x:v>
      </x:c>
      <x:c r="G3603" s="4" t="str">
        <x:v>UNIT-03602</x:v>
      </x:c>
      <x:c r="H3603" s="9" t="n">
        <x:v>5300000</x:v>
      </x:c>
      <x:c r="I3603" s="10" t="n">
        <x:v>0.06</x:v>
      </x:c>
      <x:c r="J3603" s="11" t="n">
        <x:v>9</x:v>
      </x:c>
      <x:c r="K3603" s="11" t="n">
        <x:v>0</x:v>
      </x:c>
      <x:c r="L3603" s="11" t="n">
        <x:v>1</x:v>
      </x:c>
      <x:c r="M3603" s="9" t="n">
        <x:f>ROUND(H3603*(1-I3603),2)</x:f>
        <x:v>4982000</x:v>
      </x:c>
      <x:c r="N3603" s="4" t="str">
        <x:v>Sales manager</x:v>
      </x:c>
      <x:c r="O3603" s="4" t="str">
        <x:v>BOOK-03602</x:v>
      </x:c>
      <x:c r="P3603" s="9" t="n">
        <x:v>4982000</x:v>
      </x:c>
      <x:c r="Q3603" s="11" t="n">
        <x:v>0</x:v>
      </x:c>
      <x:c r="R3603" s="8" t="n">
        <x:v>45582</x:v>
      </x:c>
      <x:c r="S3603" s="4" t="str">
        <x:v>Retained</x:v>
      </x:c>
      <x:c r="T3603" s="10" t="n">
        <x:v>0.310195</x:v>
      </x:c>
      <x:c r="U3603" s="4" t="str">
        <x:v>Test</x:v>
      </x:c>
    </x:row>
    <x:row r="3604" ht="34" customHeight="1">
      <x:c r="A3604" s="4" t="str">
        <x:v>RS-03603</x:v>
      </x:c>
      <x:c r="B3604" s="8" t="n">
        <x:v>45523</x:v>
      </x:c>
      <x:c r="C3604" s="4" t="str">
        <x:v>PRJ-003</x:v>
      </x:c>
      <x:c r="D3604" s="4" t="str">
        <x:v>Office</x:v>
      </x:c>
      <x:c r="E3604" s="4" t="str">
        <x:v>Agreement signed</x:v>
      </x:c>
      <x:c r="F3604" s="4" t="str">
        <x:v>CUS-03603</x:v>
      </x:c>
      <x:c r="G3604" s="4" t="str">
        <x:v>UNIT-03603</x:v>
      </x:c>
      <x:c r="H3604" s="9" t="n">
        <x:v>23300000</x:v>
      </x:c>
      <x:c r="I3604" s="10" t="n">
        <x:v>0.06</x:v>
      </x:c>
      <x:c r="J3604" s="11" t="n">
        <x:v>6</x:v>
      </x:c>
      <x:c r="K3604" s="11" t="n">
        <x:v>8</x:v>
      </x:c>
      <x:c r="L3604" s="11" t="n">
        <x:v>0</x:v>
      </x:c>
      <x:c r="M3604" s="9" t="n">
        <x:f>ROUND(H3604*(1-I3604),2)</x:f>
        <x:v>21902000</x:v>
      </x:c>
      <x:c r="N3604" s="4" t="str">
        <x:v>Sales manager</x:v>
      </x:c>
      <x:c r="O3604" s="4" t="str">
        <x:v>BOOK-03603</x:v>
      </x:c>
      <x:c r="P3604" s="9" t="n">
        <x:v>2190200</x:v>
      </x:c>
      <x:c r="Q3604" s="11" t="n">
        <x:v>0</x:v>
      </x:c>
      <x:c r="R3604" s="8" t="n">
        <x:v>45583</x:v>
      </x:c>
      <x:c r="S3604" s="4" t="str">
        <x:v>Retained</x:v>
      </x:c>
      <x:c r="T3604" s="10" t="n">
        <x:v>0.226277</x:v>
      </x:c>
      <x:c r="U3604" s="4" t="str">
        <x:v>Test</x:v>
      </x:c>
    </x:row>
    <x:row r="3605" ht="34" customHeight="1">
      <x:c r="A3605" s="4" t="str">
        <x:v>RS-03604</x:v>
      </x:c>
      <x:c r="B3605" s="8" t="n">
        <x:v>45524</x:v>
      </x:c>
      <x:c r="C3605" s="4" t="str">
        <x:v>PRJ-004</x:v>
      </x:c>
      <x:c r="D3605" s="4" t="str">
        <x:v>Villa</x:v>
      </x:c>
      <x:c r="E3605" s="4" t="str">
        <x:v>Enquiry</x:v>
      </x:c>
      <x:c r="F3605" s="4" t="str">
        <x:v>CUS-03604</x:v>
      </x:c>
      <x:c r="G3605" s="4" t="str">
        <x:v>UNIT-03604</x:v>
      </x:c>
      <x:c r="H3605" s="9" t="n">
        <x:v>15200000</x:v>
      </x:c>
      <x:c r="I3605" s="10" t="n">
        <x:v>0.05</x:v>
      </x:c>
      <x:c r="J3605" s="11" t="n">
        <x:v>7</x:v>
      </x:c>
      <x:c r="K3605" s="11" t="n">
        <x:v>8</x:v>
      </x:c>
      <x:c r="L3605" s="11" t="n">
        <x:v>1</x:v>
      </x:c>
      <x:c r="M3605" s="9" t="n">
        <x:f>ROUND(H3605*(1-I3605),2)</x:f>
        <x:v>14440000</x:v>
      </x:c>
      <x:c r="N3605" s="4" t="str">
        <x:v>Sales manager</x:v>
      </x:c>
      <x:c r="O3605" s="4"/>
      <x:c r="P3605" s="9" t="n">
        <x:v>0</x:v>
      </x:c>
      <x:c r="Q3605" s="11" t="n">
        <x:v>1</x:v>
      </x:c>
      <x:c r="R3605" s="8" t="n">
        <x:v>45584</x:v>
      </x:c>
      <x:c r="S3605" s="4" t="str">
        <x:v>Lost / cancelled</x:v>
      </x:c>
      <x:c r="T3605" s="10" t="n">
        <x:v>0.291946</x:v>
      </x:c>
      <x:c r="U3605" s="4" t="str">
        <x:v>Test</x:v>
      </x:c>
    </x:row>
    <x:row r="3606" ht="34" customHeight="1">
      <x:c r="A3606" s="4" t="str">
        <x:v>RS-03605</x:v>
      </x:c>
      <x:c r="B3606" s="8" t="n">
        <x:v>45525</x:v>
      </x:c>
      <x:c r="C3606" s="4" t="str">
        <x:v>PRJ-005</x:v>
      </x:c>
      <x:c r="D3606" s="4" t="str">
        <x:v>Office</x:v>
      </x:c>
      <x:c r="E3606" s="4" t="str">
        <x:v>Agreement signed</x:v>
      </x:c>
      <x:c r="F3606" s="4" t="str">
        <x:v>CUS-03605</x:v>
      </x:c>
      <x:c r="G3606" s="4" t="str">
        <x:v>UNIT-03605</x:v>
      </x:c>
      <x:c r="H3606" s="9" t="n">
        <x:v>24500000</x:v>
      </x:c>
      <x:c r="I3606" s="10" t="n">
        <x:v>0.07</x:v>
      </x:c>
      <x:c r="J3606" s="11" t="n">
        <x:v>9</x:v>
      </x:c>
      <x:c r="K3606" s="11" t="n">
        <x:v>6</x:v>
      </x:c>
      <x:c r="L3606" s="11" t="n">
        <x:v>1</x:v>
      </x:c>
      <x:c r="M3606" s="9" t="n">
        <x:f>ROUND(H3606*(1-I3606),2)</x:f>
        <x:v>22785000</x:v>
      </x:c>
      <x:c r="N3606" s="4" t="str">
        <x:v>Sales manager</x:v>
      </x:c>
      <x:c r="O3606" s="4" t="str">
        <x:v>BOOK-03605</x:v>
      </x:c>
      <x:c r="P3606" s="9" t="n">
        <x:v>5696250</x:v>
      </x:c>
      <x:c r="Q3606" s="11" t="n">
        <x:v>0</x:v>
      </x:c>
      <x:c r="R3606" s="8" t="n">
        <x:v>45585</x:v>
      </x:c>
      <x:c r="S3606" s="4" t="str">
        <x:v>Retained</x:v>
      </x:c>
      <x:c r="T3606" s="10" t="n">
        <x:v>0.310195</x:v>
      </x:c>
      <x:c r="U3606" s="4" t="str">
        <x:v>Test</x:v>
      </x:c>
    </x:row>
    <x:row r="3607" ht="34" customHeight="1">
      <x:c r="A3607" s="4" t="str">
        <x:v>RS-03606</x:v>
      </x:c>
      <x:c r="B3607" s="8" t="n">
        <x:v>45526</x:v>
      </x:c>
      <x:c r="C3607" s="4" t="str">
        <x:v>PRJ-006</x:v>
      </x:c>
      <x:c r="D3607" s="4" t="str">
        <x:v>Retail</x:v>
      </x:c>
      <x:c r="E3607" s="4" t="str">
        <x:v>Cancelled</x:v>
      </x:c>
      <x:c r="F3607" s="4" t="str">
        <x:v>CUS-03606</x:v>
      </x:c>
      <x:c r="G3607" s="4" t="str">
        <x:v>UNIT-03606</x:v>
      </x:c>
      <x:c r="H3607" s="9" t="n">
        <x:v>6000000</x:v>
      </x:c>
      <x:c r="I3607" s="10" t="n">
        <x:v>0.05</x:v>
      </x:c>
      <x:c r="J3607" s="11" t="n">
        <x:v>11</x:v>
      </x:c>
      <x:c r="K3607" s="11" t="n">
        <x:v>6</x:v>
      </x:c>
      <x:c r="L3607" s="11" t="n">
        <x:v>1</x:v>
      </x:c>
      <x:c r="M3607" s="9" t="n">
        <x:f>ROUND(H3607*(1-I3607),2)</x:f>
        <x:v>5700000</x:v>
      </x:c>
      <x:c r="N3607" s="4" t="str">
        <x:v>Sales manager</x:v>
      </x:c>
      <x:c r="O3607" s="4"/>
      <x:c r="P3607" s="9" t="n">
        <x:v>0</x:v>
      </x:c>
      <x:c r="Q3607" s="11" t="n">
        <x:v>1</x:v>
      </x:c>
      <x:c r="R3607" s="8" t="n">
        <x:v>45586</x:v>
      </x:c>
      <x:c r="S3607" s="4" t="str">
        <x:v>Lost / cancelled</x:v>
      </x:c>
      <x:c r="T3607" s="10" t="n">
        <x:v>0.351536</x:v>
      </x:c>
      <x:c r="U3607" s="4" t="str">
        <x:v>Test</x:v>
      </x:c>
    </x:row>
    <x:row r="3608" ht="34" customHeight="1">
      <x:c r="A3608" s="4" t="str">
        <x:v>RS-03607</x:v>
      </x:c>
      <x:c r="B3608" s="8" t="n">
        <x:v>45527</x:v>
      </x:c>
      <x:c r="C3608" s="4" t="str">
        <x:v>PRJ-007</x:v>
      </x:c>
      <x:c r="D3608" s="4" t="str">
        <x:v>Office</x:v>
      </x:c>
      <x:c r="E3608" s="4" t="str">
        <x:v>Agreement signed</x:v>
      </x:c>
      <x:c r="F3608" s="4" t="str">
        <x:v>CUS-03607</x:v>
      </x:c>
      <x:c r="G3608" s="4" t="str">
        <x:v>UNIT-03607</x:v>
      </x:c>
      <x:c r="H3608" s="9" t="n">
        <x:v>16800000</x:v>
      </x:c>
      <x:c r="I3608" s="10" t="n">
        <x:v>0.12</x:v>
      </x:c>
      <x:c r="J3608" s="11" t="n">
        <x:v>7</x:v>
      </x:c>
      <x:c r="K3608" s="11" t="n">
        <x:v>5</x:v>
      </x:c>
      <x:c r="L3608" s="11" t="n">
        <x:v>1</x:v>
      </x:c>
      <x:c r="M3608" s="9" t="n">
        <x:f>ROUND(H3608*(1-I3608),2)</x:f>
        <x:v>14784000</x:v>
      </x:c>
      <x:c r="N3608" s="4" t="str">
        <x:v>Sales head</x:v>
      </x:c>
      <x:c r="O3608" s="4" t="str">
        <x:v>BOOK-03607</x:v>
      </x:c>
      <x:c r="P3608" s="9" t="n">
        <x:v>1478400</x:v>
      </x:c>
      <x:c r="Q3608" s="11" t="n">
        <x:v>0</x:v>
      </x:c>
      <x:c r="R3608" s="8" t="n">
        <x:v>45587</x:v>
      </x:c>
      <x:c r="S3608" s="4" t="str">
        <x:v>Retained</x:v>
      </x:c>
      <x:c r="T3608" s="10" t="n">
        <x:v>0.291946</x:v>
      </x:c>
      <x:c r="U3608" s="4" t="str">
        <x:v>Test</x:v>
      </x:c>
    </x:row>
    <x:row r="3609" ht="34" customHeight="1">
      <x:c r="A3609" s="4" t="str">
        <x:v>RS-03608</x:v>
      </x:c>
      <x:c r="B3609" s="8" t="n">
        <x:v>45528</x:v>
      </x:c>
      <x:c r="C3609" s="4" t="str">
        <x:v>PRJ-008</x:v>
      </x:c>
      <x:c r="D3609" s="4" t="str">
        <x:v>Apartment</x:v>
      </x:c>
      <x:c r="E3609" s="4" t="str">
        <x:v>Cancelled</x:v>
      </x:c>
      <x:c r="F3609" s="4" t="str">
        <x:v>CUS-03608</x:v>
      </x:c>
      <x:c r="G3609" s="4" t="str">
        <x:v>UNIT-03608</x:v>
      </x:c>
      <x:c r="H3609" s="9" t="n">
        <x:v>16700000</x:v>
      </x:c>
      <x:c r="I3609" s="10" t="n">
        <x:v>0.03</x:v>
      </x:c>
      <x:c r="J3609" s="11" t="n">
        <x:v>3</x:v>
      </x:c>
      <x:c r="K3609" s="11" t="n">
        <x:v>5</x:v>
      </x:c>
      <x:c r="L3609" s="11" t="n">
        <x:v>1</x:v>
      </x:c>
      <x:c r="M3609" s="9" t="n">
        <x:f>ROUND(H3609*(1-I3609),2)</x:f>
        <x:v>16199000</x:v>
      </x:c>
      <x:c r="N3609" s="4" t="str">
        <x:v>Sales manager</x:v>
      </x:c>
      <x:c r="O3609" s="4"/>
      <x:c r="P3609" s="9" t="n">
        <x:v>0</x:v>
      </x:c>
      <x:c r="Q3609" s="11" t="n">
        <x:v>1</x:v>
      </x:c>
      <x:c r="R3609" s="8" t="n">
        <x:v>45588</x:v>
      </x:c>
      <x:c r="S3609" s="4" t="str">
        <x:v>Lost / cancelled</x:v>
      </x:c>
      <x:c r="T3609" s="10" t="n">
        <x:v>0.171717</x:v>
      </x:c>
      <x:c r="U3609" s="4" t="str">
        <x:v>Test</x:v>
      </x:c>
    </x:row>
    <x:row r="3610" ht="34" customHeight="1">
      <x:c r="A3610" s="4" t="str">
        <x:v>RS-03609</x:v>
      </x:c>
      <x:c r="B3610" s="8" t="n">
        <x:v>45529</x:v>
      </x:c>
      <x:c r="C3610" s="4" t="str">
        <x:v>PRJ-009</x:v>
      </x:c>
      <x:c r="D3610" s="4" t="str">
        <x:v>Villa</x:v>
      </x:c>
      <x:c r="E3610" s="4" t="str">
        <x:v>Booked</x:v>
      </x:c>
      <x:c r="F3610" s="4" t="str">
        <x:v>CUS-03609</x:v>
      </x:c>
      <x:c r="G3610" s="4" t="str">
        <x:v>UNIT-03609</x:v>
      </x:c>
      <x:c r="H3610" s="9" t="n">
        <x:v>22600000</x:v>
      </x:c>
      <x:c r="I3610" s="10" t="n">
        <x:v>0.09</x:v>
      </x:c>
      <x:c r="J3610" s="11" t="n">
        <x:v>9</x:v>
      </x:c>
      <x:c r="K3610" s="11" t="n">
        <x:v>0</x:v>
      </x:c>
      <x:c r="L3610" s="11" t="n">
        <x:v>1</x:v>
      </x:c>
      <x:c r="M3610" s="9" t="n">
        <x:f>ROUND(H3610*(1-I3610),2)</x:f>
        <x:v>20566000</x:v>
      </x:c>
      <x:c r="N3610" s="4" t="str">
        <x:v>Sales head</x:v>
      </x:c>
      <x:c r="O3610" s="4" t="str">
        <x:v>BOOK-03609</x:v>
      </x:c>
      <x:c r="P3610" s="9" t="n">
        <x:v>20566000</x:v>
      </x:c>
      <x:c r="Q3610" s="11" t="n">
        <x:v>0</x:v>
      </x:c>
      <x:c r="R3610" s="8" t="n">
        <x:v>45589</x:v>
      </x:c>
      <x:c r="S3610" s="4" t="str">
        <x:v>Retained</x:v>
      </x:c>
      <x:c r="T3610" s="10" t="n">
        <x:v>0.310195</x:v>
      </x:c>
      <x:c r="U3610" s="4" t="str">
        <x:v>Test</x:v>
      </x:c>
    </x:row>
    <x:row r="3611" ht="34" customHeight="1">
      <x:c r="A3611" s="4" t="str">
        <x:v>RS-03610</x:v>
      </x:c>
      <x:c r="B3611" s="8" t="n">
        <x:v>45530</x:v>
      </x:c>
      <x:c r="C3611" s="4" t="str">
        <x:v>PRJ-010</x:v>
      </x:c>
      <x:c r="D3611" s="4" t="str">
        <x:v>Apartment</x:v>
      </x:c>
      <x:c r="E3611" s="4" t="str">
        <x:v>Agreement signed</x:v>
      </x:c>
      <x:c r="F3611" s="4" t="str">
        <x:v>CUS-03610</x:v>
      </x:c>
      <x:c r="G3611" s="4" t="str">
        <x:v>UNIT-03610</x:v>
      </x:c>
      <x:c r="H3611" s="9" t="n">
        <x:v>7800000</x:v>
      </x:c>
      <x:c r="I3611" s="10" t="n">
        <x:v>0.04</x:v>
      </x:c>
      <x:c r="J3611" s="11" t="n">
        <x:v>9</x:v>
      </x:c>
      <x:c r="K3611" s="11" t="n">
        <x:v>8</x:v>
      </x:c>
      <x:c r="L3611" s="11" t="n">
        <x:v>1</x:v>
      </x:c>
      <x:c r="M3611" s="9" t="n">
        <x:f>ROUND(H3611*(1-I3611),2)</x:f>
        <x:v>7488000</x:v>
      </x:c>
      <x:c r="N3611" s="4" t="str">
        <x:v>Sales manager</x:v>
      </x:c>
      <x:c r="O3611" s="4" t="str">
        <x:v>BOOK-03610</x:v>
      </x:c>
      <x:c r="P3611" s="9" t="n">
        <x:v>7488000</x:v>
      </x:c>
      <x:c r="Q3611" s="11" t="n">
        <x:v>0</x:v>
      </x:c>
      <x:c r="R3611" s="8" t="n">
        <x:v>45590</x:v>
      </x:c>
      <x:c r="S3611" s="4" t="str">
        <x:v>Retained</x:v>
      </x:c>
      <x:c r="T3611" s="10" t="n">
        <x:v>0.310195</x:v>
      </x:c>
      <x:c r="U3611" s="4" t="str">
        <x:v>Test</x:v>
      </x:c>
    </x:row>
    <x:row r="3612" ht="34" customHeight="1">
      <x:c r="A3612" s="4" t="str">
        <x:v>RS-03611</x:v>
      </x:c>
      <x:c r="B3612" s="8" t="n">
        <x:v>45531</x:v>
      </x:c>
      <x:c r="C3612" s="4" t="str">
        <x:v>PRJ-011</x:v>
      </x:c>
      <x:c r="D3612" s="4" t="str">
        <x:v>Apartment</x:v>
      </x:c>
      <x:c r="E3612" s="4" t="str">
        <x:v>Agreement signed</x:v>
      </x:c>
      <x:c r="F3612" s="4" t="str">
        <x:v>CUS-03611</x:v>
      </x:c>
      <x:c r="G3612" s="4" t="str">
        <x:v>UNIT-03611</x:v>
      </x:c>
      <x:c r="H3612" s="9" t="n">
        <x:v>7100000</x:v>
      </x:c>
      <x:c r="I3612" s="10" t="n">
        <x:v>0.06</x:v>
      </x:c>
      <x:c r="J3612" s="11" t="n">
        <x:v>12</x:v>
      </x:c>
      <x:c r="K3612" s="11" t="n">
        <x:v>3</x:v>
      </x:c>
      <x:c r="L3612" s="11" t="n">
        <x:v>1</x:v>
      </x:c>
      <x:c r="M3612" s="9" t="n">
        <x:f>ROUND(H3612*(1-I3612),2)</x:f>
        <x:v>6674000</x:v>
      </x:c>
      <x:c r="N3612" s="4" t="str">
        <x:v>Sales manager</x:v>
      </x:c>
      <x:c r="O3612" s="4" t="str">
        <x:v>BOOK-03611</x:v>
      </x:c>
      <x:c r="P3612" s="9" t="n">
        <x:v>6674000</x:v>
      </x:c>
      <x:c r="Q3612" s="11" t="n">
        <x:v>0</x:v>
      </x:c>
      <x:c r="R3612" s="8" t="n">
        <x:v>45591</x:v>
      </x:c>
      <x:c r="S3612" s="4" t="str">
        <x:v>Retained</x:v>
      </x:c>
      <x:c r="T3612" s="10" t="n">
        <x:v>0.351536</x:v>
      </x:c>
      <x:c r="U3612" s="4" t="str">
        <x:v>Test</x:v>
      </x:c>
    </x:row>
    <x:row r="3613" ht="34" customHeight="1">
      <x:c r="A3613" s="4" t="str">
        <x:v>RS-03612</x:v>
      </x:c>
      <x:c r="B3613" s="8" t="n">
        <x:v>45532</x:v>
      </x:c>
      <x:c r="C3613" s="4" t="str">
        <x:v>PRJ-012</x:v>
      </x:c>
      <x:c r="D3613" s="4" t="str">
        <x:v>Apartment</x:v>
      </x:c>
      <x:c r="E3613" s="4" t="str">
        <x:v>Booked</x:v>
      </x:c>
      <x:c r="F3613" s="4" t="str">
        <x:v>CUS-03612</x:v>
      </x:c>
      <x:c r="G3613" s="4" t="str">
        <x:v>UNIT-03612</x:v>
      </x:c>
      <x:c r="H3613" s="9" t="n">
        <x:v>15600000</x:v>
      </x:c>
      <x:c r="I3613" s="10" t="n">
        <x:v>0.06</x:v>
      </x:c>
      <x:c r="J3613" s="11" t="n">
        <x:v>5</x:v>
      </x:c>
      <x:c r="K3613" s="11" t="n">
        <x:v>10</x:v>
      </x:c>
      <x:c r="L3613" s="11" t="n">
        <x:v>1</x:v>
      </x:c>
      <x:c r="M3613" s="9" t="n">
        <x:f>ROUND(H3613*(1-I3613),2)</x:f>
        <x:v>14664000</x:v>
      </x:c>
      <x:c r="N3613" s="4" t="str">
        <x:v>Sales manager</x:v>
      </x:c>
      <x:c r="O3613" s="4" t="str">
        <x:v>BOOK-03612</x:v>
      </x:c>
      <x:c r="P3613" s="9" t="n">
        <x:v>3666000</x:v>
      </x:c>
      <x:c r="Q3613" s="11" t="n">
        <x:v>0</x:v>
      </x:c>
      <x:c r="R3613" s="8" t="n">
        <x:v>45592</x:v>
      </x:c>
      <x:c r="S3613" s="4" t="str">
        <x:v>Retained</x:v>
      </x:c>
      <x:c r="T3613" s="10" t="n">
        <x:v>0.291946</x:v>
      </x:c>
      <x:c r="U3613" s="4" t="str">
        <x:v>Test</x:v>
      </x:c>
    </x:row>
    <x:row r="3614" ht="34" customHeight="1">
      <x:c r="A3614" s="4" t="str">
        <x:v>RS-03613</x:v>
      </x:c>
      <x:c r="B3614" s="8" t="n">
        <x:v>45505</x:v>
      </x:c>
      <x:c r="C3614" s="4" t="str">
        <x:v>PRJ-013</x:v>
      </x:c>
      <x:c r="D3614" s="4" t="str">
        <x:v>Office</x:v>
      </x:c>
      <x:c r="E3614" s="4" t="str">
        <x:v>Enquiry</x:v>
      </x:c>
      <x:c r="F3614" s="4" t="str">
        <x:v>CUS-03613</x:v>
      </x:c>
      <x:c r="G3614" s="4" t="str">
        <x:v>UNIT-03613</x:v>
      </x:c>
      <x:c r="H3614" s="9" t="n">
        <x:v>22300000</x:v>
      </x:c>
      <x:c r="I3614" s="10" t="n">
        <x:v>0.04</x:v>
      </x:c>
      <x:c r="J3614" s="11" t="n">
        <x:v>2</x:v>
      </x:c>
      <x:c r="K3614" s="11" t="n">
        <x:v>4</x:v>
      </x:c>
      <x:c r="L3614" s="11" t="n">
        <x:v>0</x:v>
      </x:c>
      <x:c r="M3614" s="9" t="n">
        <x:f>ROUND(H3614*(1-I3614),2)</x:f>
        <x:v>21408000</x:v>
      </x:c>
      <x:c r="N3614" s="4" t="str">
        <x:v>Sales manager</x:v>
      </x:c>
      <x:c r="O3614" s="4"/>
      <x:c r="P3614" s="9" t="n">
        <x:v>0</x:v>
      </x:c>
      <x:c r="Q3614" s="11" t="n">
        <x:v>1</x:v>
      </x:c>
      <x:c r="R3614" s="8" t="n">
        <x:v>45565</x:v>
      </x:c>
      <x:c r="S3614" s="4" t="str">
        <x:v>Lost / cancelled</x:v>
      </x:c>
      <x:c r="T3614" s="10" t="n">
        <x:v>0.204152</x:v>
      </x:c>
      <x:c r="U3614" s="4" t="str">
        <x:v>Test</x:v>
      </x:c>
    </x:row>
    <x:row r="3615" ht="34" customHeight="1">
      <x:c r="A3615" s="4" t="str">
        <x:v>RS-03614</x:v>
      </x:c>
      <x:c r="B3615" s="8" t="n">
        <x:v>45506</x:v>
      </x:c>
      <x:c r="C3615" s="4" t="str">
        <x:v>PRJ-014</x:v>
      </x:c>
      <x:c r="D3615" s="4" t="str">
        <x:v>Apartment</x:v>
      </x:c>
      <x:c r="E3615" s="4" t="str">
        <x:v>Reserved</x:v>
      </x:c>
      <x:c r="F3615" s="4" t="str">
        <x:v>CUS-03614</x:v>
      </x:c>
      <x:c r="G3615" s="4" t="str">
        <x:v>UNIT-03614</x:v>
      </x:c>
      <x:c r="H3615" s="9" t="n">
        <x:v>17000000</x:v>
      </x:c>
      <x:c r="I3615" s="10" t="n">
        <x:v>0.03</x:v>
      </x:c>
      <x:c r="J3615" s="11" t="n">
        <x:v>12</x:v>
      </x:c>
      <x:c r="K3615" s="11" t="n">
        <x:v>1</x:v>
      </x:c>
      <x:c r="L3615" s="11" t="n">
        <x:v>1</x:v>
      </x:c>
      <x:c r="M3615" s="9" t="n">
        <x:f>ROUND(H3615*(1-I3615),2)</x:f>
        <x:v>16490000</x:v>
      </x:c>
      <x:c r="N3615" s="4" t="str">
        <x:v>Sales manager</x:v>
      </x:c>
      <x:c r="O3615" s="4"/>
      <x:c r="P3615" s="9" t="n">
        <x:v>0</x:v>
      </x:c>
      <x:c r="Q3615" s="11" t="n">
        <x:v>1</x:v>
      </x:c>
      <x:c r="R3615" s="8" t="n">
        <x:v>45566</x:v>
      </x:c>
      <x:c r="S3615" s="4" t="str">
        <x:v>Lost / cancelled</x:v>
      </x:c>
      <x:c r="T3615" s="10" t="n">
        <x:v>0.351536</x:v>
      </x:c>
      <x:c r="U3615" s="4" t="str">
        <x:v>Test</x:v>
      </x:c>
    </x:row>
    <x:row r="3616" ht="34" customHeight="1">
      <x:c r="A3616" s="4" t="str">
        <x:v>RS-03615</x:v>
      </x:c>
      <x:c r="B3616" s="8" t="n">
        <x:v>45507</x:v>
      </x:c>
      <x:c r="C3616" s="4" t="str">
        <x:v>PRJ-015</x:v>
      </x:c>
      <x:c r="D3616" s="4" t="str">
        <x:v>Retail</x:v>
      </x:c>
      <x:c r="E3616" s="4" t="str">
        <x:v>Reserved</x:v>
      </x:c>
      <x:c r="F3616" s="4" t="str">
        <x:v>CUS-03615</x:v>
      </x:c>
      <x:c r="G3616" s="4" t="str">
        <x:v>UNIT-03615</x:v>
      </x:c>
      <x:c r="H3616" s="9" t="n">
        <x:v>23700000</x:v>
      </x:c>
      <x:c r="I3616" s="10" t="n">
        <x:v>0.1</x:v>
      </x:c>
      <x:c r="J3616" s="11" t="n">
        <x:v>8</x:v>
      </x:c>
      <x:c r="K3616" s="11" t="n">
        <x:v>6</x:v>
      </x:c>
      <x:c r="L3616" s="11" t="n">
        <x:v>0</x:v>
      </x:c>
      <x:c r="M3616" s="9" t="n">
        <x:f>ROUND(H3616*(1-I3616),2)</x:f>
        <x:v>21330000</x:v>
      </x:c>
      <x:c r="N3616" s="4" t="str">
        <x:v>Sales head</x:v>
      </x:c>
      <x:c r="O3616" s="4"/>
      <x:c r="P3616" s="9" t="n">
        <x:v>0</x:v>
      </x:c>
      <x:c r="Q3616" s="11" t="n">
        <x:v>0</x:v>
      </x:c>
      <x:c r="R3616" s="8" t="n">
        <x:v>45567</x:v>
      </x:c>
      <x:c r="S3616" s="4" t="str">
        <x:v>Retained</x:v>
      </x:c>
      <x:c r="T3616" s="10" t="n">
        <x:v>0.310195</x:v>
      </x:c>
      <x:c r="U3616" s="4" t="str">
        <x:v>Test</x:v>
      </x:c>
    </x:row>
    <x:row r="3617" ht="34" customHeight="1">
      <x:c r="A3617" s="4" t="str">
        <x:v>RS-03616</x:v>
      </x:c>
      <x:c r="B3617" s="8" t="n">
        <x:v>45508</x:v>
      </x:c>
      <x:c r="C3617" s="4" t="str">
        <x:v>PRJ-016</x:v>
      </x:c>
      <x:c r="D3617" s="4" t="str">
        <x:v>Retail</x:v>
      </x:c>
      <x:c r="E3617" s="4" t="str">
        <x:v>Agreement signed</x:v>
      </x:c>
      <x:c r="F3617" s="4" t="str">
        <x:v>CUS-03616</x:v>
      </x:c>
      <x:c r="G3617" s="4" t="str">
        <x:v>UNIT-03616</x:v>
      </x:c>
      <x:c r="H3617" s="9" t="n">
        <x:v>20200000</x:v>
      </x:c>
      <x:c r="I3617" s="10" t="n">
        <x:v>0.08</x:v>
      </x:c>
      <x:c r="J3617" s="11" t="n">
        <x:v>8</x:v>
      </x:c>
      <x:c r="K3617" s="11" t="n">
        <x:v>3</x:v>
      </x:c>
      <x:c r="L3617" s="11" t="n">
        <x:v>0</x:v>
      </x:c>
      <x:c r="M3617" s="9" t="n">
        <x:f>ROUND(H3617*(1-I3617),2)</x:f>
        <x:v>18584000</x:v>
      </x:c>
      <x:c r="N3617" s="4" t="str">
        <x:v>Sales head</x:v>
      </x:c>
      <x:c r="O3617" s="4" t="str">
        <x:v>BOOK-03616</x:v>
      </x:c>
      <x:c r="P3617" s="9" t="n">
        <x:v>1858400</x:v>
      </x:c>
      <x:c r="Q3617" s="11" t="n">
        <x:v>0</x:v>
      </x:c>
      <x:c r="R3617" s="8" t="n">
        <x:v>45568</x:v>
      </x:c>
      <x:c r="S3617" s="4" t="str">
        <x:v>Retained</x:v>
      </x:c>
      <x:c r="T3617" s="10" t="n">
        <x:v>0.310195</x:v>
      </x:c>
      <x:c r="U3617" s="4" t="str">
        <x:v>Test</x:v>
      </x:c>
    </x:row>
    <x:row r="3618" ht="34" customHeight="1">
      <x:c r="A3618" s="4" t="str">
        <x:v>RS-03617</x:v>
      </x:c>
      <x:c r="B3618" s="8" t="n">
        <x:v>45509</x:v>
      </x:c>
      <x:c r="C3618" s="4" t="str">
        <x:v>PRJ-017</x:v>
      </x:c>
      <x:c r="D3618" s="4" t="str">
        <x:v>Retail</x:v>
      </x:c>
      <x:c r="E3618" s="4" t="str">
        <x:v>Handed over</x:v>
      </x:c>
      <x:c r="F3618" s="4" t="str">
        <x:v>CUS-03617</x:v>
      </x:c>
      <x:c r="G3618" s="4" t="str">
        <x:v>UNIT-03617</x:v>
      </x:c>
      <x:c r="H3618" s="9" t="n">
        <x:v>17500000</x:v>
      </x:c>
      <x:c r="I3618" s="10" t="n">
        <x:v>0.03</x:v>
      </x:c>
      <x:c r="J3618" s="11" t="n">
        <x:v>5</x:v>
      </x:c>
      <x:c r="K3618" s="11" t="n">
        <x:v>8</x:v>
      </x:c>
      <x:c r="L3618" s="11" t="n">
        <x:v>1</x:v>
      </x:c>
      <x:c r="M3618" s="9" t="n">
        <x:f>ROUND(H3618*(1-I3618),2)</x:f>
        <x:v>16975000</x:v>
      </x:c>
      <x:c r="N3618" s="4" t="str">
        <x:v>Sales manager</x:v>
      </x:c>
      <x:c r="O3618" s="4" t="str">
        <x:v>BOOK-03617</x:v>
      </x:c>
      <x:c r="P3618" s="9" t="n">
        <x:v>16975000</x:v>
      </x:c>
      <x:c r="Q3618" s="11" t="n">
        <x:v>0</x:v>
      </x:c>
      <x:c r="R3618" s="8" t="n">
        <x:v>45569</x:v>
      </x:c>
      <x:c r="S3618" s="4" t="str">
        <x:v>Retained</x:v>
      </x:c>
      <x:c r="T3618" s="10" t="n">
        <x:v>0.145299</x:v>
      </x:c>
      <x:c r="U3618" s="4" t="str">
        <x:v>Test</x:v>
      </x:c>
    </x:row>
    <x:row r="3619" ht="34" customHeight="1">
      <x:c r="A3619" s="4" t="str">
        <x:v>RS-03618</x:v>
      </x:c>
      <x:c r="B3619" s="8" t="n">
        <x:v>45510</x:v>
      </x:c>
      <x:c r="C3619" s="4" t="str">
        <x:v>PRJ-018</x:v>
      </x:c>
      <x:c r="D3619" s="4" t="str">
        <x:v>Office</x:v>
      </x:c>
      <x:c r="E3619" s="4" t="str">
        <x:v>Booked</x:v>
      </x:c>
      <x:c r="F3619" s="4" t="str">
        <x:v>CUS-03618</x:v>
      </x:c>
      <x:c r="G3619" s="4" t="str">
        <x:v>UNIT-03618</x:v>
      </x:c>
      <x:c r="H3619" s="9" t="n">
        <x:v>4900000</x:v>
      </x:c>
      <x:c r="I3619" s="10" t="n">
        <x:v>0.06</x:v>
      </x:c>
      <x:c r="J3619" s="11" t="n">
        <x:v>1</x:v>
      </x:c>
      <x:c r="K3619" s="11" t="n">
        <x:v>4</x:v>
      </x:c>
      <x:c r="L3619" s="11" t="n">
        <x:v>1</x:v>
      </x:c>
      <x:c r="M3619" s="9" t="n">
        <x:f>ROUND(H3619*(1-I3619),2)</x:f>
        <x:v>4606000</x:v>
      </x:c>
      <x:c r="N3619" s="4" t="str">
        <x:v>Sales manager</x:v>
      </x:c>
      <x:c r="O3619" s="4" t="str">
        <x:v>BOOK-03618</x:v>
      </x:c>
      <x:c r="P3619" s="9" t="n">
        <x:v>1151500</x:v>
      </x:c>
      <x:c r="Q3619" s="11" t="n">
        <x:v>0</x:v>
      </x:c>
      <x:c r="R3619" s="8" t="n">
        <x:v>45570</x:v>
      </x:c>
      <x:c r="S3619" s="4" t="str">
        <x:v>Retained</x:v>
      </x:c>
      <x:c r="T3619" s="10" t="n">
        <x:v>0.204152</x:v>
      </x:c>
      <x:c r="U3619" s="4" t="str">
        <x:v>Test</x:v>
      </x:c>
    </x:row>
    <x:row r="3620" ht="34" customHeight="1">
      <x:c r="A3620" s="4" t="str">
        <x:v>RS-03619</x:v>
      </x:c>
      <x:c r="B3620" s="8" t="n">
        <x:v>45511</x:v>
      </x:c>
      <x:c r="C3620" s="4" t="str">
        <x:v>PRJ-019</x:v>
      </x:c>
      <x:c r="D3620" s="4" t="str">
        <x:v>Retail</x:v>
      </x:c>
      <x:c r="E3620" s="4" t="str">
        <x:v>Handed over</x:v>
      </x:c>
      <x:c r="F3620" s="4" t="str">
        <x:v>CUS-03619</x:v>
      </x:c>
      <x:c r="G3620" s="4" t="str">
        <x:v>UNIT-03619</x:v>
      </x:c>
      <x:c r="H3620" s="9" t="n">
        <x:v>21100000</x:v>
      </x:c>
      <x:c r="I3620" s="10" t="n">
        <x:v>0.05</x:v>
      </x:c>
      <x:c r="J3620" s="11" t="n">
        <x:v>11</x:v>
      </x:c>
      <x:c r="K3620" s="11" t="n">
        <x:v>5</x:v>
      </x:c>
      <x:c r="L3620" s="11" t="n">
        <x:v>1</x:v>
      </x:c>
      <x:c r="M3620" s="9" t="n">
        <x:f>ROUND(H3620*(1-I3620),2)</x:f>
        <x:v>20045000</x:v>
      </x:c>
      <x:c r="N3620" s="4" t="str">
        <x:v>Sales manager</x:v>
      </x:c>
      <x:c r="O3620" s="4" t="str">
        <x:v>BOOK-03619</x:v>
      </x:c>
      <x:c r="P3620" s="9" t="n">
        <x:v>20045000</x:v>
      </x:c>
      <x:c r="Q3620" s="11" t="n">
        <x:v>0</x:v>
      </x:c>
      <x:c r="R3620" s="8" t="n">
        <x:v>45571</x:v>
      </x:c>
      <x:c r="S3620" s="4" t="str">
        <x:v>Retained</x:v>
      </x:c>
      <x:c r="T3620" s="10" t="n">
        <x:v>0.351536</x:v>
      </x:c>
      <x:c r="U3620" s="4" t="str">
        <x:v>Test</x:v>
      </x:c>
    </x:row>
    <x:row r="3621" ht="34" customHeight="1">
      <x:c r="A3621" s="4" t="str">
        <x:v>RS-03620</x:v>
      </x:c>
      <x:c r="B3621" s="8" t="n">
        <x:v>45512</x:v>
      </x:c>
      <x:c r="C3621" s="4" t="str">
        <x:v>PRJ-020</x:v>
      </x:c>
      <x:c r="D3621" s="4" t="str">
        <x:v>Office</x:v>
      </x:c>
      <x:c r="E3621" s="4" t="str">
        <x:v>Cancelled</x:v>
      </x:c>
      <x:c r="F3621" s="4" t="str">
        <x:v>CUS-03620</x:v>
      </x:c>
      <x:c r="G3621" s="4" t="str">
        <x:v>UNIT-03620</x:v>
      </x:c>
      <x:c r="H3621" s="9" t="n">
        <x:v>13200000</x:v>
      </x:c>
      <x:c r="I3621" s="10" t="n">
        <x:v>0.01</x:v>
      </x:c>
      <x:c r="J3621" s="11" t="n">
        <x:v>5</x:v>
      </x:c>
      <x:c r="K3621" s="11" t="n">
        <x:v>3</x:v>
      </x:c>
      <x:c r="L3621" s="11" t="n">
        <x:v>0</x:v>
      </x:c>
      <x:c r="M3621" s="9" t="n">
        <x:f>ROUND(H3621*(1-I3621),2)</x:f>
        <x:v>13068000</x:v>
      </x:c>
      <x:c r="N3621" s="4" t="str">
        <x:v>Sales manager</x:v>
      </x:c>
      <x:c r="O3621" s="4"/>
      <x:c r="P3621" s="9" t="n">
        <x:v>0</x:v>
      </x:c>
      <x:c r="Q3621" s="11" t="n">
        <x:v>1</x:v>
      </x:c>
      <x:c r="R3621" s="8" t="n">
        <x:v>45572</x:v>
      </x:c>
      <x:c r="S3621" s="4" t="str">
        <x:v>Lost / cancelled</x:v>
      </x:c>
      <x:c r="T3621" s="10" t="n">
        <x:v>0.298969</x:v>
      </x:c>
      <x:c r="U3621" s="4" t="str">
        <x:v>Test</x:v>
      </x:c>
    </x:row>
    <x:row r="3622" ht="34" customHeight="1">
      <x:c r="A3622" s="4" t="str">
        <x:v>RS-03621</x:v>
      </x:c>
      <x:c r="B3622" s="8" t="n">
        <x:v>45513</x:v>
      </x:c>
      <x:c r="C3622" s="4" t="str">
        <x:v>PRJ-001</x:v>
      </x:c>
      <x:c r="D3622" s="4" t="str">
        <x:v>Office</x:v>
      </x:c>
      <x:c r="E3622" s="4" t="str">
        <x:v>Booked</x:v>
      </x:c>
      <x:c r="F3622" s="4" t="str">
        <x:v>CUS-03621</x:v>
      </x:c>
      <x:c r="G3622" s="4" t="str">
        <x:v>UNIT-03621</x:v>
      </x:c>
      <x:c r="H3622" s="9" t="n">
        <x:v>21700000</x:v>
      </x:c>
      <x:c r="I3622" s="10" t="n">
        <x:v>0.02</x:v>
      </x:c>
      <x:c r="J3622" s="11" t="n">
        <x:v>2</x:v>
      </x:c>
      <x:c r="K3622" s="11" t="n">
        <x:v>6</x:v>
      </x:c>
      <x:c r="L3622" s="11" t="n">
        <x:v>1</x:v>
      </x:c>
      <x:c r="M3622" s="9" t="n">
        <x:f>ROUND(H3622*(1-I3622),2)</x:f>
        <x:v>21266000</x:v>
      </x:c>
      <x:c r="N3622" s="4" t="str">
        <x:v>Sales manager</x:v>
      </x:c>
      <x:c r="O3622" s="4" t="str">
        <x:v>BOOK-03621</x:v>
      </x:c>
      <x:c r="P3622" s="9" t="n">
        <x:v>21266000</x:v>
      </x:c>
      <x:c r="Q3622" s="11" t="n">
        <x:v>0</x:v>
      </x:c>
      <x:c r="R3622" s="8" t="n">
        <x:v>45573</x:v>
      </x:c>
      <x:c r="S3622" s="4" t="str">
        <x:v>Retained</x:v>
      </x:c>
      <x:c r="T3622" s="10" t="n">
        <x:v>0.171717</x:v>
      </x:c>
      <x:c r="U3622" s="4" t="str">
        <x:v>Test</x:v>
      </x:c>
    </x:row>
    <x:row r="3623" ht="34" customHeight="1">
      <x:c r="A3623" s="4" t="str">
        <x:v>RS-03622</x:v>
      </x:c>
      <x:c r="B3623" s="8" t="n">
        <x:v>45514</x:v>
      </x:c>
      <x:c r="C3623" s="4" t="str">
        <x:v>PRJ-002</x:v>
      </x:c>
      <x:c r="D3623" s="4" t="str">
        <x:v>Apartment</x:v>
      </x:c>
      <x:c r="E3623" s="4" t="str">
        <x:v>Booked</x:v>
      </x:c>
      <x:c r="F3623" s="4" t="str">
        <x:v>CUS-03622</x:v>
      </x:c>
      <x:c r="G3623" s="4" t="str">
        <x:v>UNIT-03622</x:v>
      </x:c>
      <x:c r="H3623" s="9" t="n">
        <x:v>4700000</x:v>
      </x:c>
      <x:c r="I3623" s="10" t="n">
        <x:v>0.05</x:v>
      </x:c>
      <x:c r="J3623" s="11" t="n">
        <x:v>8</x:v>
      </x:c>
      <x:c r="K3623" s="11" t="n">
        <x:v>10</x:v>
      </x:c>
      <x:c r="L3623" s="11" t="n">
        <x:v>0</x:v>
      </x:c>
      <x:c r="M3623" s="9" t="n">
        <x:f>ROUND(H3623*(1-I3623),2)</x:f>
        <x:v>4465000</x:v>
      </x:c>
      <x:c r="N3623" s="4" t="str">
        <x:v>Sales manager</x:v>
      </x:c>
      <x:c r="O3623" s="4" t="str">
        <x:v>BOOK-03622</x:v>
      </x:c>
      <x:c r="P3623" s="9" t="n">
        <x:v>1116250</x:v>
      </x:c>
      <x:c r="Q3623" s="11" t="n">
        <x:v>0</x:v>
      </x:c>
      <x:c r="R3623" s="8" t="n">
        <x:v>45574</x:v>
      </x:c>
      <x:c r="S3623" s="4" t="str">
        <x:v>Retained</x:v>
      </x:c>
      <x:c r="T3623" s="10" t="n">
        <x:v>0.310195</x:v>
      </x:c>
      <x:c r="U3623" s="4" t="str">
        <x:v>Test</x:v>
      </x:c>
    </x:row>
    <x:row r="3624" ht="34" customHeight="1">
      <x:c r="A3624" s="4" t="str">
        <x:v>RS-03623</x:v>
      </x:c>
      <x:c r="B3624" s="8" t="n">
        <x:v>45515</x:v>
      </x:c>
      <x:c r="C3624" s="4" t="str">
        <x:v>PRJ-003</x:v>
      </x:c>
      <x:c r="D3624" s="4" t="str">
        <x:v>Villa</x:v>
      </x:c>
      <x:c r="E3624" s="4" t="str">
        <x:v>Handed over</x:v>
      </x:c>
      <x:c r="F3624" s="4" t="str">
        <x:v>CUS-03623</x:v>
      </x:c>
      <x:c r="G3624" s="4" t="str">
        <x:v>UNIT-03623</x:v>
      </x:c>
      <x:c r="H3624" s="9" t="n">
        <x:v>9800000</x:v>
      </x:c>
      <x:c r="I3624" s="10" t="n">
        <x:v>0.08</x:v>
      </x:c>
      <x:c r="J3624" s="11" t="n">
        <x:v>8</x:v>
      </x:c>
      <x:c r="K3624" s="11" t="n">
        <x:v>1</x:v>
      </x:c>
      <x:c r="L3624" s="11" t="n">
        <x:v>1</x:v>
      </x:c>
      <x:c r="M3624" s="9" t="n">
        <x:f>ROUND(H3624*(1-I3624),2)</x:f>
        <x:v>9016000</x:v>
      </x:c>
      <x:c r="N3624" s="4" t="str">
        <x:v>Sales head</x:v>
      </x:c>
      <x:c r="O3624" s="4" t="str">
        <x:v>BOOK-03623</x:v>
      </x:c>
      <x:c r="P3624" s="9" t="n">
        <x:v>9016000</x:v>
      </x:c>
      <x:c r="Q3624" s="11" t="n">
        <x:v>0</x:v>
      </x:c>
      <x:c r="R3624" s="8" t="n">
        <x:v>45575</x:v>
      </x:c>
      <x:c r="S3624" s="4" t="str">
        <x:v>Retained</x:v>
      </x:c>
      <x:c r="T3624" s="10" t="n">
        <x:v>0.310195</x:v>
      </x:c>
      <x:c r="U3624" s="4" t="str">
        <x:v>Test</x:v>
      </x:c>
    </x:row>
    <x:row r="3625" ht="34" customHeight="1">
      <x:c r="A3625" s="4" t="str">
        <x:v>RS-03624</x:v>
      </x:c>
      <x:c r="B3625" s="8" t="n">
        <x:v>45516</x:v>
      </x:c>
      <x:c r="C3625" s="4" t="str">
        <x:v>PRJ-004</x:v>
      </x:c>
      <x:c r="D3625" s="4" t="str">
        <x:v>Retail</x:v>
      </x:c>
      <x:c r="E3625" s="4" t="str">
        <x:v>Agreement signed</x:v>
      </x:c>
      <x:c r="F3625" s="4" t="str">
        <x:v>CUS-03624</x:v>
      </x:c>
      <x:c r="G3625" s="4" t="str">
        <x:v>UNIT-03624</x:v>
      </x:c>
      <x:c r="H3625" s="9" t="n">
        <x:v>15700000</x:v>
      </x:c>
      <x:c r="I3625" s="10" t="n">
        <x:v>0.07</x:v>
      </x:c>
      <x:c r="J3625" s="11" t="n">
        <x:v>4</x:v>
      </x:c>
      <x:c r="K3625" s="11" t="n">
        <x:v>6</x:v>
      </x:c>
      <x:c r="L3625" s="11" t="n">
        <x:v>1</x:v>
      </x:c>
      <x:c r="M3625" s="9" t="n">
        <x:f>ROUND(H3625*(1-I3625),2)</x:f>
        <x:v>14601000</x:v>
      </x:c>
      <x:c r="N3625" s="4" t="str">
        <x:v>Sales manager</x:v>
      </x:c>
      <x:c r="O3625" s="4" t="str">
        <x:v>BOOK-03624</x:v>
      </x:c>
      <x:c r="P3625" s="9" t="n">
        <x:v>7300500</x:v>
      </x:c>
      <x:c r="Q3625" s="11" t="n">
        <x:v>0</x:v>
      </x:c>
      <x:c r="R3625" s="8" t="n">
        <x:v>45576</x:v>
      </x:c>
      <x:c r="S3625" s="4" t="str">
        <x:v>Retained</x:v>
      </x:c>
      <x:c r="T3625" s="10" t="n">
        <x:v>0.291946</x:v>
      </x:c>
      <x:c r="U3625" s="4" t="str">
        <x:v>Test</x:v>
      </x:c>
    </x:row>
    <x:row r="3626" ht="34" customHeight="1">
      <x:c r="A3626" s="4" t="str">
        <x:v>RS-03625</x:v>
      </x:c>
      <x:c r="B3626" s="8" t="n">
        <x:v>45517</x:v>
      </x:c>
      <x:c r="C3626" s="4" t="str">
        <x:v>PRJ-005</x:v>
      </x:c>
      <x:c r="D3626" s="4" t="str">
        <x:v>Apartment</x:v>
      </x:c>
      <x:c r="E3626" s="4" t="str">
        <x:v>Cancelled</x:v>
      </x:c>
      <x:c r="F3626" s="4" t="str">
        <x:v>CUS-03625</x:v>
      </x:c>
      <x:c r="G3626" s="4" t="str">
        <x:v>UNIT-03625</x:v>
      </x:c>
      <x:c r="H3626" s="9" t="n">
        <x:v>18100000</x:v>
      </x:c>
      <x:c r="I3626" s="10" t="n">
        <x:v>0.04</x:v>
      </x:c>
      <x:c r="J3626" s="11" t="n">
        <x:v>6</x:v>
      </x:c>
      <x:c r="K3626" s="11" t="n">
        <x:v>4</x:v>
      </x:c>
      <x:c r="L3626" s="11" t="n">
        <x:v>0</x:v>
      </x:c>
      <x:c r="M3626" s="9" t="n">
        <x:f>ROUND(H3626*(1-I3626),2)</x:f>
        <x:v>17376000</x:v>
      </x:c>
      <x:c r="N3626" s="4" t="str">
        <x:v>Sales manager</x:v>
      </x:c>
      <x:c r="O3626" s="4"/>
      <x:c r="P3626" s="9" t="n">
        <x:v>0</x:v>
      </x:c>
      <x:c r="Q3626" s="11" t="n">
        <x:v>1</x:v>
      </x:c>
      <x:c r="R3626" s="8" t="n">
        <x:v>45577</x:v>
      </x:c>
      <x:c r="S3626" s="4" t="str">
        <x:v>Lost / cancelled</x:v>
      </x:c>
      <x:c r="T3626" s="10" t="n">
        <x:v>0.226277</x:v>
      </x:c>
      <x:c r="U3626" s="4" t="str">
        <x:v>Test</x:v>
      </x:c>
    </x:row>
    <x:row r="3627" ht="34" customHeight="1">
      <x:c r="A3627" s="4" t="str">
        <x:v>RS-03626</x:v>
      </x:c>
      <x:c r="B3627" s="8" t="n">
        <x:v>45518</x:v>
      </x:c>
      <x:c r="C3627" s="4" t="str">
        <x:v>PRJ-006</x:v>
      </x:c>
      <x:c r="D3627" s="4" t="str">
        <x:v>Villa</x:v>
      </x:c>
      <x:c r="E3627" s="4" t="str">
        <x:v>Handed over</x:v>
      </x:c>
      <x:c r="F3627" s="4" t="str">
        <x:v>CUS-03626</x:v>
      </x:c>
      <x:c r="G3627" s="4" t="str">
        <x:v>UNIT-03626</x:v>
      </x:c>
      <x:c r="H3627" s="9" t="n">
        <x:v>17800000</x:v>
      </x:c>
      <x:c r="I3627" s="10" t="n">
        <x:v>0.07</x:v>
      </x:c>
      <x:c r="J3627" s="11" t="n">
        <x:v>10</x:v>
      </x:c>
      <x:c r="K3627" s="11" t="n">
        <x:v>6</x:v>
      </x:c>
      <x:c r="L3627" s="11" t="n">
        <x:v>0</x:v>
      </x:c>
      <x:c r="M3627" s="9" t="n">
        <x:f>ROUND(H3627*(1-I3627),2)</x:f>
        <x:v>16554000</x:v>
      </x:c>
      <x:c r="N3627" s="4" t="str">
        <x:v>Sales manager</x:v>
      </x:c>
      <x:c r="O3627" s="4" t="str">
        <x:v>BOOK-03626</x:v>
      </x:c>
      <x:c r="P3627" s="9" t="n">
        <x:v>1655400</x:v>
      </x:c>
      <x:c r="Q3627" s="11" t="n">
        <x:v>0</x:v>
      </x:c>
      <x:c r="R3627" s="8" t="n">
        <x:v>45578</x:v>
      </x:c>
      <x:c r="S3627" s="4" t="str">
        <x:v>Retained</x:v>
      </x:c>
      <x:c r="T3627" s="10" t="n">
        <x:v>0.310195</x:v>
      </x:c>
      <x:c r="U3627" s="4" t="str">
        <x:v>Test</x:v>
      </x:c>
    </x:row>
    <x:row r="3628" ht="34" customHeight="1">
      <x:c r="A3628" s="4" t="str">
        <x:v>RS-03627</x:v>
      </x:c>
      <x:c r="B3628" s="8" t="n">
        <x:v>45519</x:v>
      </x:c>
      <x:c r="C3628" s="4" t="str">
        <x:v>PRJ-007</x:v>
      </x:c>
      <x:c r="D3628" s="4" t="str">
        <x:v>Retail</x:v>
      </x:c>
      <x:c r="E3628" s="4" t="str">
        <x:v>Agreement signed</x:v>
      </x:c>
      <x:c r="F3628" s="4" t="str">
        <x:v>CUS-03627</x:v>
      </x:c>
      <x:c r="G3628" s="4" t="str">
        <x:v>UNIT-03627</x:v>
      </x:c>
      <x:c r="H3628" s="9" t="n">
        <x:v>12600000</x:v>
      </x:c>
      <x:c r="I3628" s="10" t="n">
        <x:v>0.01</x:v>
      </x:c>
      <x:c r="J3628" s="11" t="n">
        <x:v>5</x:v>
      </x:c>
      <x:c r="K3628" s="11" t="n">
        <x:v>3</x:v>
      </x:c>
      <x:c r="L3628" s="11" t="n">
        <x:v>0</x:v>
      </x:c>
      <x:c r="M3628" s="9" t="n">
        <x:f>ROUND(H3628*(1-I3628),2)</x:f>
        <x:v>12474000</x:v>
      </x:c>
      <x:c r="N3628" s="4" t="str">
        <x:v>Sales manager</x:v>
      </x:c>
      <x:c r="O3628" s="4" t="str">
        <x:v>BOOK-03627</x:v>
      </x:c>
      <x:c r="P3628" s="9" t="n">
        <x:v>6237000</x:v>
      </x:c>
      <x:c r="Q3628" s="11" t="n">
        <x:v>0</x:v>
      </x:c>
      <x:c r="R3628" s="8" t="n">
        <x:v>45579</x:v>
      </x:c>
      <x:c r="S3628" s="4" t="str">
        <x:v>Retained</x:v>
      </x:c>
      <x:c r="T3628" s="10" t="n">
        <x:v>0.298969</x:v>
      </x:c>
      <x:c r="U3628" s="4" t="str">
        <x:v>Test</x:v>
      </x:c>
    </x:row>
    <x:row r="3629" ht="34" customHeight="1">
      <x:c r="A3629" s="4" t="str">
        <x:v>RS-03628</x:v>
      </x:c>
      <x:c r="B3629" s="8" t="n">
        <x:v>45520</x:v>
      </x:c>
      <x:c r="C3629" s="4" t="str">
        <x:v>PRJ-008</x:v>
      </x:c>
      <x:c r="D3629" s="4" t="str">
        <x:v>Retail</x:v>
      </x:c>
      <x:c r="E3629" s="4" t="str">
        <x:v>Enquiry</x:v>
      </x:c>
      <x:c r="F3629" s="4" t="str">
        <x:v>CUS-03628</x:v>
      </x:c>
      <x:c r="G3629" s="4" t="str">
        <x:v>UNIT-03628</x:v>
      </x:c>
      <x:c r="H3629" s="9" t="n">
        <x:v>12700000</x:v>
      </x:c>
      <x:c r="I3629" s="10" t="n">
        <x:v>0.03</x:v>
      </x:c>
      <x:c r="J3629" s="11" t="n">
        <x:v>3</x:v>
      </x:c>
      <x:c r="K3629" s="11" t="n">
        <x:v>5</x:v>
      </x:c>
      <x:c r="L3629" s="11" t="n">
        <x:v>1</x:v>
      </x:c>
      <x:c r="M3629" s="9" t="n">
        <x:f>ROUND(H3629*(1-I3629),2)</x:f>
        <x:v>12319000</x:v>
      </x:c>
      <x:c r="N3629" s="4" t="str">
        <x:v>Sales manager</x:v>
      </x:c>
      <x:c r="O3629" s="4"/>
      <x:c r="P3629" s="9" t="n">
        <x:v>0</x:v>
      </x:c>
      <x:c r="Q3629" s="11" t="n">
        <x:v>0</x:v>
      </x:c>
      <x:c r="R3629" s="8" t="n">
        <x:v>45580</x:v>
      </x:c>
      <x:c r="S3629" s="4" t="str">
        <x:v>Retained</x:v>
      </x:c>
      <x:c r="T3629" s="10" t="n">
        <x:v>0.171717</x:v>
      </x:c>
      <x:c r="U3629" s="4" t="str">
        <x:v>Test</x:v>
      </x:c>
    </x:row>
    <x:row r="3630" ht="34" customHeight="1">
      <x:c r="A3630" s="4" t="str">
        <x:v>RS-03629</x:v>
      </x:c>
      <x:c r="B3630" s="8" t="n">
        <x:v>45521</x:v>
      </x:c>
      <x:c r="C3630" s="4" t="str">
        <x:v>PRJ-009</x:v>
      </x:c>
      <x:c r="D3630" s="4" t="str">
        <x:v>Retail</x:v>
      </x:c>
      <x:c r="E3630" s="4" t="str">
        <x:v>Cancelled</x:v>
      </x:c>
      <x:c r="F3630" s="4" t="str">
        <x:v>CUS-03629</x:v>
      </x:c>
      <x:c r="G3630" s="4" t="str">
        <x:v>UNIT-03629</x:v>
      </x:c>
      <x:c r="H3630" s="9" t="n">
        <x:v>6900000</x:v>
      </x:c>
      <x:c r="I3630" s="10" t="n">
        <x:v>0.11</x:v>
      </x:c>
      <x:c r="J3630" s="11" t="n">
        <x:v>8</x:v>
      </x:c>
      <x:c r="K3630" s="11" t="n">
        <x:v>5</x:v>
      </x:c>
      <x:c r="L3630" s="11" t="n">
        <x:v>1</x:v>
      </x:c>
      <x:c r="M3630" s="9" t="n">
        <x:f>ROUND(H3630*(1-I3630),2)</x:f>
        <x:v>6141000</x:v>
      </x:c>
      <x:c r="N3630" s="4" t="str">
        <x:v>Sales head</x:v>
      </x:c>
      <x:c r="O3630" s="4"/>
      <x:c r="P3630" s="9" t="n">
        <x:v>0</x:v>
      </x:c>
      <x:c r="Q3630" s="11" t="n">
        <x:v>1</x:v>
      </x:c>
      <x:c r="R3630" s="8" t="n">
        <x:v>45581</x:v>
      </x:c>
      <x:c r="S3630" s="4" t="str">
        <x:v>Lost / cancelled</x:v>
      </x:c>
      <x:c r="T3630" s="10" t="n">
        <x:v>0.310195</x:v>
      </x:c>
      <x:c r="U3630" s="4" t="str">
        <x:v>Test</x:v>
      </x:c>
    </x:row>
    <x:row r="3631" ht="34" customHeight="1">
      <x:c r="A3631" s="4" t="str">
        <x:v>RS-03630</x:v>
      </x:c>
      <x:c r="B3631" s="8" t="n">
        <x:v>45522</x:v>
      </x:c>
      <x:c r="C3631" s="4" t="str">
        <x:v>PRJ-010</x:v>
      </x:c>
      <x:c r="D3631" s="4" t="str">
        <x:v>Office</x:v>
      </x:c>
      <x:c r="E3631" s="4" t="str">
        <x:v>Cancelled</x:v>
      </x:c>
      <x:c r="F3631" s="4" t="str">
        <x:v>CUS-03630</x:v>
      </x:c>
      <x:c r="G3631" s="4" t="str">
        <x:v>UNIT-03630</x:v>
      </x:c>
      <x:c r="H3631" s="9" t="n">
        <x:v>21600000</x:v>
      </x:c>
      <x:c r="I3631" s="10" t="n">
        <x:v>0.02</x:v>
      </x:c>
      <x:c r="J3631" s="11" t="n">
        <x:v>10</x:v>
      </x:c>
      <x:c r="K3631" s="11" t="n">
        <x:v>7</x:v>
      </x:c>
      <x:c r="L3631" s="11" t="n">
        <x:v>1</x:v>
      </x:c>
      <x:c r="M3631" s="9" t="n">
        <x:f>ROUND(H3631*(1-I3631),2)</x:f>
        <x:v>21168000</x:v>
      </x:c>
      <x:c r="N3631" s="4" t="str">
        <x:v>Sales manager</x:v>
      </x:c>
      <x:c r="O3631" s="4"/>
      <x:c r="P3631" s="9" t="n">
        <x:v>0</x:v>
      </x:c>
      <x:c r="Q3631" s="11" t="n">
        <x:v>1</x:v>
      </x:c>
      <x:c r="R3631" s="8" t="n">
        <x:v>45582</x:v>
      </x:c>
      <x:c r="S3631" s="4" t="str">
        <x:v>Lost / cancelled</x:v>
      </x:c>
      <x:c r="T3631" s="10" t="n">
        <x:v>0.254545</x:v>
      </x:c>
      <x:c r="U3631" s="4" t="str">
        <x:v>Test</x:v>
      </x:c>
    </x:row>
    <x:row r="3632" ht="34" customHeight="1">
      <x:c r="A3632" s="4" t="str">
        <x:v>RS-03631</x:v>
      </x:c>
      <x:c r="B3632" s="8" t="n">
        <x:v>45523</x:v>
      </x:c>
      <x:c r="C3632" s="4" t="str">
        <x:v>PRJ-011</x:v>
      </x:c>
      <x:c r="D3632" s="4" t="str">
        <x:v>Retail</x:v>
      </x:c>
      <x:c r="E3632" s="4" t="str">
        <x:v>Booked</x:v>
      </x:c>
      <x:c r="F3632" s="4" t="str">
        <x:v>CUS-03631</x:v>
      </x:c>
      <x:c r="G3632" s="4" t="str">
        <x:v>UNIT-03631</x:v>
      </x:c>
      <x:c r="H3632" s="9" t="n">
        <x:v>21700000</x:v>
      </x:c>
      <x:c r="I3632" s="10" t="n">
        <x:v>0.01</x:v>
      </x:c>
      <x:c r="J3632" s="11" t="n">
        <x:v>6</x:v>
      </x:c>
      <x:c r="K3632" s="11" t="n">
        <x:v>9</x:v>
      </x:c>
      <x:c r="L3632" s="11" t="n">
        <x:v>1</x:v>
      </x:c>
      <x:c r="M3632" s="9" t="n">
        <x:f>ROUND(H3632*(1-I3632),2)</x:f>
        <x:v>21483000</x:v>
      </x:c>
      <x:c r="N3632" s="4" t="str">
        <x:v>Sales manager</x:v>
      </x:c>
      <x:c r="O3632" s="4" t="str">
        <x:v>BOOK-03631</x:v>
      </x:c>
      <x:c r="P3632" s="9" t="n">
        <x:v>2148300</x:v>
      </x:c>
      <x:c r="Q3632" s="11" t="n">
        <x:v>0</x:v>
      </x:c>
      <x:c r="R3632" s="8" t="n">
        <x:v>45583</x:v>
      </x:c>
      <x:c r="S3632" s="4" t="str">
        <x:v>Retained</x:v>
      </x:c>
      <x:c r="T3632" s="10" t="n">
        <x:v>0.145299</x:v>
      </x:c>
      <x:c r="U3632" s="4" t="str">
        <x:v>Test</x:v>
      </x:c>
    </x:row>
    <x:row r="3633" ht="34" customHeight="1">
      <x:c r="A3633" s="4" t="str">
        <x:v>RS-03632</x:v>
      </x:c>
      <x:c r="B3633" s="8" t="n">
        <x:v>45524</x:v>
      </x:c>
      <x:c r="C3633" s="4" t="str">
        <x:v>PRJ-012</x:v>
      </x:c>
      <x:c r="D3633" s="4" t="str">
        <x:v>Apartment</x:v>
      </x:c>
      <x:c r="E3633" s="4" t="str">
        <x:v>Handed over</x:v>
      </x:c>
      <x:c r="F3633" s="4" t="str">
        <x:v>CUS-03632</x:v>
      </x:c>
      <x:c r="G3633" s="4" t="str">
        <x:v>UNIT-03632</x:v>
      </x:c>
      <x:c r="H3633" s="9" t="n">
        <x:v>19800000</x:v>
      </x:c>
      <x:c r="I3633" s="10" t="n">
        <x:v>0.01</x:v>
      </x:c>
      <x:c r="J3633" s="11" t="n">
        <x:v>8</x:v>
      </x:c>
      <x:c r="K3633" s="11" t="n">
        <x:v>1</x:v>
      </x:c>
      <x:c r="L3633" s="11" t="n">
        <x:v>1</x:v>
      </x:c>
      <x:c r="M3633" s="9" t="n">
        <x:f>ROUND(H3633*(1-I3633),2)</x:f>
        <x:v>19602000</x:v>
      </x:c>
      <x:c r="N3633" s="4" t="str">
        <x:v>Sales manager</x:v>
      </x:c>
      <x:c r="O3633" s="4" t="str">
        <x:v>BOOK-03632</x:v>
      </x:c>
      <x:c r="P3633" s="9" t="n">
        <x:v>1960200</x:v>
      </x:c>
      <x:c r="Q3633" s="11" t="n">
        <x:v>0</x:v>
      </x:c>
      <x:c r="R3633" s="8" t="n">
        <x:v>45584</x:v>
      </x:c>
      <x:c r="S3633" s="4" t="str">
        <x:v>Retained</x:v>
      </x:c>
      <x:c r="T3633" s="10" t="n">
        <x:v>0.254545</x:v>
      </x:c>
      <x:c r="U3633" s="4" t="str">
        <x:v>Test</x:v>
      </x:c>
    </x:row>
    <x:row r="3634" ht="34" customHeight="1">
      <x:c r="A3634" s="4" t="str">
        <x:v>RS-03633</x:v>
      </x:c>
      <x:c r="B3634" s="8" t="n">
        <x:v>45525</x:v>
      </x:c>
      <x:c r="C3634" s="4" t="str">
        <x:v>PRJ-013</x:v>
      </x:c>
      <x:c r="D3634" s="4" t="str">
        <x:v>Retail</x:v>
      </x:c>
      <x:c r="E3634" s="4" t="str">
        <x:v>Agreement signed</x:v>
      </x:c>
      <x:c r="F3634" s="4" t="str">
        <x:v>CUS-03633</x:v>
      </x:c>
      <x:c r="G3634" s="4" t="str">
        <x:v>UNIT-03633</x:v>
      </x:c>
      <x:c r="H3634" s="9" t="n">
        <x:v>7200000</x:v>
      </x:c>
      <x:c r="I3634" s="10" t="n">
        <x:v>0</x:v>
      </x:c>
      <x:c r="J3634" s="11" t="n">
        <x:v>12</x:v>
      </x:c>
      <x:c r="K3634" s="11" t="n">
        <x:v>2</x:v>
      </x:c>
      <x:c r="L3634" s="11" t="n">
        <x:v>1</x:v>
      </x:c>
      <x:c r="M3634" s="9" t="n">
        <x:f>ROUND(H3634*(1-I3634),2)</x:f>
        <x:v>7200000</x:v>
      </x:c>
      <x:c r="N3634" s="4" t="str">
        <x:v>Sales manager</x:v>
      </x:c>
      <x:c r="O3634" s="4" t="str">
        <x:v>BOOK-03633</x:v>
      </x:c>
      <x:c r="P3634" s="9" t="n">
        <x:v>720000</x:v>
      </x:c>
      <x:c r="Q3634" s="11" t="n">
        <x:v>0</x:v>
      </x:c>
      <x:c r="R3634" s="8" t="n">
        <x:v>45585</x:v>
      </x:c>
      <x:c r="S3634" s="4" t="str">
        <x:v>Retained</x:v>
      </x:c>
      <x:c r="T3634" s="10" t="n">
        <x:v>0.254545</x:v>
      </x:c>
      <x:c r="U3634" s="4" t="str">
        <x:v>Test</x:v>
      </x:c>
    </x:row>
    <x:row r="3635" ht="34" customHeight="1">
      <x:c r="A3635" s="4" t="str">
        <x:v>RS-03634</x:v>
      </x:c>
      <x:c r="B3635" s="8" t="n">
        <x:v>45526</x:v>
      </x:c>
      <x:c r="C3635" s="4" t="str">
        <x:v>PRJ-014</x:v>
      </x:c>
      <x:c r="D3635" s="4" t="str">
        <x:v>Villa</x:v>
      </x:c>
      <x:c r="E3635" s="4" t="str">
        <x:v>Handed over</x:v>
      </x:c>
      <x:c r="F3635" s="4" t="str">
        <x:v>CUS-03634</x:v>
      </x:c>
      <x:c r="G3635" s="4" t="str">
        <x:v>UNIT-03634</x:v>
      </x:c>
      <x:c r="H3635" s="9" t="n">
        <x:v>22600000</x:v>
      </x:c>
      <x:c r="I3635" s="10" t="n">
        <x:v>0.08</x:v>
      </x:c>
      <x:c r="J3635" s="11" t="n">
        <x:v>11</x:v>
      </x:c>
      <x:c r="K3635" s="11" t="n">
        <x:v>3</x:v>
      </x:c>
      <x:c r="L3635" s="11" t="n">
        <x:v>0</x:v>
      </x:c>
      <x:c r="M3635" s="9" t="n">
        <x:f>ROUND(H3635*(1-I3635),2)</x:f>
        <x:v>20792000</x:v>
      </x:c>
      <x:c r="N3635" s="4" t="str">
        <x:v>Sales head</x:v>
      </x:c>
      <x:c r="O3635" s="4" t="str">
        <x:v>BOOK-03634</x:v>
      </x:c>
      <x:c r="P3635" s="9" t="n">
        <x:v>5198000</x:v>
      </x:c>
      <x:c r="Q3635" s="11" t="n">
        <x:v>0</x:v>
      </x:c>
      <x:c r="R3635" s="8" t="n">
        <x:v>45586</x:v>
      </x:c>
      <x:c r="S3635" s="4" t="str">
        <x:v>Retained</x:v>
      </x:c>
      <x:c r="T3635" s="10" t="n">
        <x:v>0.351536</x:v>
      </x:c>
      <x:c r="U3635" s="4" t="str">
        <x:v>Test</x:v>
      </x:c>
    </x:row>
    <x:row r="3636" ht="34" customHeight="1">
      <x:c r="A3636" s="4" t="str">
        <x:v>RS-03635</x:v>
      </x:c>
      <x:c r="B3636" s="8" t="n">
        <x:v>45527</x:v>
      </x:c>
      <x:c r="C3636" s="4" t="str">
        <x:v>PRJ-015</x:v>
      </x:c>
      <x:c r="D3636" s="4" t="str">
        <x:v>Office</x:v>
      </x:c>
      <x:c r="E3636" s="4" t="str">
        <x:v>Agreement signed</x:v>
      </x:c>
      <x:c r="F3636" s="4" t="str">
        <x:v>CUS-03635</x:v>
      </x:c>
      <x:c r="G3636" s="4" t="str">
        <x:v>UNIT-03635</x:v>
      </x:c>
      <x:c r="H3636" s="9" t="n">
        <x:v>23800000</x:v>
      </x:c>
      <x:c r="I3636" s="10" t="n">
        <x:v>0.02</x:v>
      </x:c>
      <x:c r="J3636" s="11" t="n">
        <x:v>7</x:v>
      </x:c>
      <x:c r="K3636" s="11" t="n">
        <x:v>1</x:v>
      </x:c>
      <x:c r="L3636" s="11" t="n">
        <x:v>1</x:v>
      </x:c>
      <x:c r="M3636" s="9" t="n">
        <x:f>ROUND(H3636*(1-I3636),2)</x:f>
        <x:v>23324000</x:v>
      </x:c>
      <x:c r="N3636" s="4" t="str">
        <x:v>Sales manager</x:v>
      </x:c>
      <x:c r="O3636" s="4" t="str">
        <x:v>BOOK-03635</x:v>
      </x:c>
      <x:c r="P3636" s="9" t="n">
        <x:v>5831000</x:v>
      </x:c>
      <x:c r="Q3636" s="11" t="n">
        <x:v>0</x:v>
      </x:c>
      <x:c r="R3636" s="8" t="n">
        <x:v>45587</x:v>
      </x:c>
      <x:c r="S3636" s="4" t="str">
        <x:v>Retained</x:v>
      </x:c>
      <x:c r="T3636" s="10" t="n">
        <x:v>0.298969</x:v>
      </x:c>
      <x:c r="U3636" s="4" t="str">
        <x:v>Test</x:v>
      </x:c>
    </x:row>
    <x:row r="3637" ht="34" customHeight="1">
      <x:c r="A3637" s="4" t="str">
        <x:v>RS-03636</x:v>
      </x:c>
      <x:c r="B3637" s="8" t="n">
        <x:v>45528</x:v>
      </x:c>
      <x:c r="C3637" s="4" t="str">
        <x:v>PRJ-016</x:v>
      </x:c>
      <x:c r="D3637" s="4" t="str">
        <x:v>Apartment</x:v>
      </x:c>
      <x:c r="E3637" s="4" t="str">
        <x:v>Agreement signed</x:v>
      </x:c>
      <x:c r="F3637" s="4" t="str">
        <x:v>CUS-03636</x:v>
      </x:c>
      <x:c r="G3637" s="4" t="str">
        <x:v>UNIT-03636</x:v>
      </x:c>
      <x:c r="H3637" s="9" t="n">
        <x:v>3100000</x:v>
      </x:c>
      <x:c r="I3637" s="10" t="n">
        <x:v>0.03</x:v>
      </x:c>
      <x:c r="J3637" s="11" t="n">
        <x:v>10</x:v>
      </x:c>
      <x:c r="K3637" s="11" t="n">
        <x:v>2</x:v>
      </x:c>
      <x:c r="L3637" s="11" t="n">
        <x:v>0</x:v>
      </x:c>
      <x:c r="M3637" s="9" t="n">
        <x:f>ROUND(H3637*(1-I3637),2)</x:f>
        <x:v>3007000</x:v>
      </x:c>
      <x:c r="N3637" s="4" t="str">
        <x:v>Sales manager</x:v>
      </x:c>
      <x:c r="O3637" s="4" t="str">
        <x:v>BOOK-03636</x:v>
      </x:c>
      <x:c r="P3637" s="9" t="n">
        <x:v>300700</x:v>
      </x:c>
      <x:c r="Q3637" s="11" t="n">
        <x:v>0</x:v>
      </x:c>
      <x:c r="R3637" s="8" t="n">
        <x:v>45588</x:v>
      </x:c>
      <x:c r="S3637" s="4" t="str">
        <x:v>Retained</x:v>
      </x:c>
      <x:c r="T3637" s="10" t="n">
        <x:v>0.310195</x:v>
      </x:c>
      <x:c r="U3637" s="4" t="str">
        <x:v>Test</x:v>
      </x:c>
    </x:row>
    <x:row r="3638" ht="34" customHeight="1">
      <x:c r="A3638" s="4" t="str">
        <x:v>RS-03637</x:v>
      </x:c>
      <x:c r="B3638" s="8" t="n">
        <x:v>45529</x:v>
      </x:c>
      <x:c r="C3638" s="4" t="str">
        <x:v>PRJ-017</x:v>
      </x:c>
      <x:c r="D3638" s="4" t="str">
        <x:v>Villa</x:v>
      </x:c>
      <x:c r="E3638" s="4" t="str">
        <x:v>Reserved</x:v>
      </x:c>
      <x:c r="F3638" s="4" t="str">
        <x:v>CUS-03637</x:v>
      </x:c>
      <x:c r="G3638" s="4" t="str">
        <x:v>UNIT-03637</x:v>
      </x:c>
      <x:c r="H3638" s="9" t="n">
        <x:v>8300000</x:v>
      </x:c>
      <x:c r="I3638" s="10" t="n">
        <x:v>0.09</x:v>
      </x:c>
      <x:c r="J3638" s="11" t="n">
        <x:v>10</x:v>
      </x:c>
      <x:c r="K3638" s="11" t="n">
        <x:v>0</x:v>
      </x:c>
      <x:c r="L3638" s="11" t="n">
        <x:v>1</x:v>
      </x:c>
      <x:c r="M3638" s="9" t="n">
        <x:f>ROUND(H3638*(1-I3638),2)</x:f>
        <x:v>7553000</x:v>
      </x:c>
      <x:c r="N3638" s="4" t="str">
        <x:v>Sales head</x:v>
      </x:c>
      <x:c r="O3638" s="4"/>
      <x:c r="P3638" s="9" t="n">
        <x:v>0</x:v>
      </x:c>
      <x:c r="Q3638" s="11" t="n">
        <x:v>0</x:v>
      </x:c>
      <x:c r="R3638" s="8" t="n">
        <x:v>45589</x:v>
      </x:c>
      <x:c r="S3638" s="4" t="str">
        <x:v>Retained</x:v>
      </x:c>
      <x:c r="T3638" s="10" t="n">
        <x:v>0.310195</x:v>
      </x:c>
      <x:c r="U3638" s="4" t="str">
        <x:v>Test</x:v>
      </x:c>
    </x:row>
    <x:row r="3639" ht="34" customHeight="1">
      <x:c r="A3639" s="4" t="str">
        <x:v>RS-03638</x:v>
      </x:c>
      <x:c r="B3639" s="8" t="n">
        <x:v>45530</x:v>
      </x:c>
      <x:c r="C3639" s="4" t="str">
        <x:v>PRJ-018</x:v>
      </x:c>
      <x:c r="D3639" s="4" t="str">
        <x:v>Villa</x:v>
      </x:c>
      <x:c r="E3639" s="4" t="str">
        <x:v>Handed over</x:v>
      </x:c>
      <x:c r="F3639" s="4" t="str">
        <x:v>CUS-03638</x:v>
      </x:c>
      <x:c r="G3639" s="4" t="str">
        <x:v>UNIT-03638</x:v>
      </x:c>
      <x:c r="H3639" s="9" t="n">
        <x:v>8200000</x:v>
      </x:c>
      <x:c r="I3639" s="10" t="n">
        <x:v>0.09</x:v>
      </x:c>
      <x:c r="J3639" s="11" t="n">
        <x:v>12</x:v>
      </x:c>
      <x:c r="K3639" s="11" t="n">
        <x:v>2</x:v>
      </x:c>
      <x:c r="L3639" s="11" t="n">
        <x:v>0</x:v>
      </x:c>
      <x:c r="M3639" s="9" t="n">
        <x:f>ROUND(H3639*(1-I3639),2)</x:f>
        <x:v>7462000</x:v>
      </x:c>
      <x:c r="N3639" s="4" t="str">
        <x:v>Sales head</x:v>
      </x:c>
      <x:c r="O3639" s="4" t="str">
        <x:v>BOOK-03638</x:v>
      </x:c>
      <x:c r="P3639" s="9" t="n">
        <x:v>7462000</x:v>
      </x:c>
      <x:c r="Q3639" s="11" t="n">
        <x:v>0</x:v>
      </x:c>
      <x:c r="R3639" s="8" t="n">
        <x:v>45590</x:v>
      </x:c>
      <x:c r="S3639" s="4" t="str">
        <x:v>Retained</x:v>
      </x:c>
      <x:c r="T3639" s="10" t="n">
        <x:v>0.351536</x:v>
      </x:c>
      <x:c r="U3639" s="4" t="str">
        <x:v>Test</x:v>
      </x:c>
    </x:row>
    <x:row r="3640" ht="34" customHeight="1">
      <x:c r="A3640" s="4" t="str">
        <x:v>RS-03639</x:v>
      </x:c>
      <x:c r="B3640" s="8" t="n">
        <x:v>45531</x:v>
      </x:c>
      <x:c r="C3640" s="4" t="str">
        <x:v>PRJ-019</x:v>
      </x:c>
      <x:c r="D3640" s="4" t="str">
        <x:v>Apartment</x:v>
      </x:c>
      <x:c r="E3640" s="4" t="str">
        <x:v>Handed over</x:v>
      </x:c>
      <x:c r="F3640" s="4" t="str">
        <x:v>CUS-03639</x:v>
      </x:c>
      <x:c r="G3640" s="4" t="str">
        <x:v>UNIT-03639</x:v>
      </x:c>
      <x:c r="H3640" s="9" t="n">
        <x:v>20600000</x:v>
      </x:c>
      <x:c r="I3640" s="10" t="n">
        <x:v>0.06</x:v>
      </x:c>
      <x:c r="J3640" s="11" t="n">
        <x:v>7</x:v>
      </x:c>
      <x:c r="K3640" s="11" t="n">
        <x:v>1</x:v>
      </x:c>
      <x:c r="L3640" s="11" t="n">
        <x:v>0</x:v>
      </x:c>
      <x:c r="M3640" s="9" t="n">
        <x:f>ROUND(H3640*(1-I3640),2)</x:f>
        <x:v>19364000</x:v>
      </x:c>
      <x:c r="N3640" s="4" t="str">
        <x:v>Sales manager</x:v>
      </x:c>
      <x:c r="O3640" s="4" t="str">
        <x:v>BOOK-03639</x:v>
      </x:c>
      <x:c r="P3640" s="9" t="n">
        <x:v>19364000</x:v>
      </x:c>
      <x:c r="Q3640" s="11" t="n">
        <x:v>0</x:v>
      </x:c>
      <x:c r="R3640" s="8" t="n">
        <x:v>45591</x:v>
      </x:c>
      <x:c r="S3640" s="4" t="str">
        <x:v>Retained</x:v>
      </x:c>
      <x:c r="T3640" s="10" t="n">
        <x:v>0.226277</x:v>
      </x:c>
      <x:c r="U3640" s="4" t="str">
        <x:v>Test</x:v>
      </x:c>
    </x:row>
    <x:row r="3641" ht="34" customHeight="1">
      <x:c r="A3641" s="4" t="str">
        <x:v>RS-03640</x:v>
      </x:c>
      <x:c r="B3641" s="8" t="n">
        <x:v>45532</x:v>
      </x:c>
      <x:c r="C3641" s="4" t="str">
        <x:v>PRJ-020</x:v>
      </x:c>
      <x:c r="D3641" s="4" t="str">
        <x:v>Retail</x:v>
      </x:c>
      <x:c r="E3641" s="4" t="str">
        <x:v>Cancelled</x:v>
      </x:c>
      <x:c r="F3641" s="4" t="str">
        <x:v>CUS-03640</x:v>
      </x:c>
      <x:c r="G3641" s="4" t="str">
        <x:v>UNIT-03640</x:v>
      </x:c>
      <x:c r="H3641" s="9" t="n">
        <x:v>25000000</x:v>
      </x:c>
      <x:c r="I3641" s="10" t="n">
        <x:v>0.01</x:v>
      </x:c>
      <x:c r="J3641" s="11" t="n">
        <x:v>4</x:v>
      </x:c>
      <x:c r="K3641" s="11" t="n">
        <x:v>5</x:v>
      </x:c>
      <x:c r="L3641" s="11" t="n">
        <x:v>1</x:v>
      </x:c>
      <x:c r="M3641" s="9" t="n">
        <x:f>ROUND(H3641*(1-I3641),2)</x:f>
        <x:v>24750000</x:v>
      </x:c>
      <x:c r="N3641" s="4" t="str">
        <x:v>Sales manager</x:v>
      </x:c>
      <x:c r="O3641" s="4"/>
      <x:c r="P3641" s="9" t="n">
        <x:v>0</x:v>
      </x:c>
      <x:c r="Q3641" s="11" t="n">
        <x:v>1</x:v>
      </x:c>
      <x:c r="R3641" s="8" t="n">
        <x:v>45592</x:v>
      </x:c>
      <x:c r="S3641" s="4" t="str">
        <x:v>Lost / cancelled</x:v>
      </x:c>
      <x:c r="T3641" s="10" t="n">
        <x:v>0.145299</x:v>
      </x:c>
      <x:c r="U3641" s="4" t="str">
        <x:v>Test</x:v>
      </x:c>
    </x:row>
    <x:row r="3642" ht="34" customHeight="1">
      <x:c r="A3642" s="4" t="str">
        <x:v>RS-03641</x:v>
      </x:c>
      <x:c r="B3642" s="8" t="n">
        <x:v>45505</x:v>
      </x:c>
      <x:c r="C3642" s="4" t="str">
        <x:v>PRJ-001</x:v>
      </x:c>
      <x:c r="D3642" s="4" t="str">
        <x:v>Retail</x:v>
      </x:c>
      <x:c r="E3642" s="4" t="str">
        <x:v>Reserved</x:v>
      </x:c>
      <x:c r="F3642" s="4" t="str">
        <x:v>CUS-03641</x:v>
      </x:c>
      <x:c r="G3642" s="4" t="str">
        <x:v>UNIT-03641</x:v>
      </x:c>
      <x:c r="H3642" s="9" t="n">
        <x:v>21400000</x:v>
      </x:c>
      <x:c r="I3642" s="10" t="n">
        <x:v>0.09</x:v>
      </x:c>
      <x:c r="J3642" s="11" t="n">
        <x:v>7</x:v>
      </x:c>
      <x:c r="K3642" s="11" t="n">
        <x:v>5</x:v>
      </x:c>
      <x:c r="L3642" s="11" t="n">
        <x:v>1</x:v>
      </x:c>
      <x:c r="M3642" s="9" t="n">
        <x:f>ROUND(H3642*(1-I3642),2)</x:f>
        <x:v>19474000</x:v>
      </x:c>
      <x:c r="N3642" s="4" t="str">
        <x:v>Sales head</x:v>
      </x:c>
      <x:c r="O3642" s="4"/>
      <x:c r="P3642" s="9" t="n">
        <x:v>0</x:v>
      </x:c>
      <x:c r="Q3642" s="11" t="n">
        <x:v>0</x:v>
      </x:c>
      <x:c r="R3642" s="8" t="n">
        <x:v>45565</x:v>
      </x:c>
      <x:c r="S3642" s="4" t="str">
        <x:v>Retained</x:v>
      </x:c>
      <x:c r="T3642" s="10" t="n">
        <x:v>0.291946</x:v>
      </x:c>
      <x:c r="U3642" s="4" t="str">
        <x:v>Test</x:v>
      </x:c>
    </x:row>
    <x:row r="3643" ht="34" customHeight="1">
      <x:c r="A3643" s="4" t="str">
        <x:v>RS-03642</x:v>
      </x:c>
      <x:c r="B3643" s="8" t="n">
        <x:v>45506</x:v>
      </x:c>
      <x:c r="C3643" s="4" t="str">
        <x:v>PRJ-002</x:v>
      </x:c>
      <x:c r="D3643" s="4" t="str">
        <x:v>Villa</x:v>
      </x:c>
      <x:c r="E3643" s="4" t="str">
        <x:v>Enquiry</x:v>
      </x:c>
      <x:c r="F3643" s="4" t="str">
        <x:v>CUS-03642</x:v>
      </x:c>
      <x:c r="G3643" s="4" t="str">
        <x:v>UNIT-03642</x:v>
      </x:c>
      <x:c r="H3643" s="9" t="n">
        <x:v>23600000</x:v>
      </x:c>
      <x:c r="I3643" s="10" t="n">
        <x:v>0.09</x:v>
      </x:c>
      <x:c r="J3643" s="11" t="n">
        <x:v>0</x:v>
      </x:c>
      <x:c r="K3643" s="11" t="n">
        <x:v>7</x:v>
      </x:c>
      <x:c r="L3643" s="11" t="n">
        <x:v>0</x:v>
      </x:c>
      <x:c r="M3643" s="9" t="n">
        <x:f>ROUND(H3643*(1-I3643),2)</x:f>
        <x:v>21476000</x:v>
      </x:c>
      <x:c r="N3643" s="4" t="str">
        <x:v>Sales head</x:v>
      </x:c>
      <x:c r="O3643" s="4"/>
      <x:c r="P3643" s="9" t="n">
        <x:v>0</x:v>
      </x:c>
      <x:c r="Q3643" s="11" t="n">
        <x:v>0</x:v>
      </x:c>
      <x:c r="R3643" s="8" t="n">
        <x:v>45566</x:v>
      </x:c>
      <x:c r="S3643" s="4" t="str">
        <x:v>Retained</x:v>
      </x:c>
      <x:c r="T3643" s="10" t="n">
        <x:v>0.145833</x:v>
      </x:c>
      <x:c r="U3643" s="4" t="str">
        <x:v>Test</x:v>
      </x:c>
    </x:row>
    <x:row r="3644" ht="34" customHeight="1">
      <x:c r="A3644" s="4" t="str">
        <x:v>RS-03643</x:v>
      </x:c>
      <x:c r="B3644" s="8" t="n">
        <x:v>45507</x:v>
      </x:c>
      <x:c r="C3644" s="4" t="str">
        <x:v>PRJ-003</x:v>
      </x:c>
      <x:c r="D3644" s="4" t="str">
        <x:v>Office</x:v>
      </x:c>
      <x:c r="E3644" s="4" t="str">
        <x:v>Agreement signed</x:v>
      </x:c>
      <x:c r="F3644" s="4" t="str">
        <x:v>CUS-03643</x:v>
      </x:c>
      <x:c r="G3644" s="4" t="str">
        <x:v>UNIT-03643</x:v>
      </x:c>
      <x:c r="H3644" s="9" t="n">
        <x:v>20200000</x:v>
      </x:c>
      <x:c r="I3644" s="10" t="n">
        <x:v>0.02</x:v>
      </x:c>
      <x:c r="J3644" s="11" t="n">
        <x:v>4</x:v>
      </x:c>
      <x:c r="K3644" s="11" t="n">
        <x:v>9</x:v>
      </x:c>
      <x:c r="L3644" s="11" t="n">
        <x:v>1</x:v>
      </x:c>
      <x:c r="M3644" s="9" t="n">
        <x:f>ROUND(H3644*(1-I3644),2)</x:f>
        <x:v>19796000</x:v>
      </x:c>
      <x:c r="N3644" s="4" t="str">
        <x:v>Sales manager</x:v>
      </x:c>
      <x:c r="O3644" s="4" t="str">
        <x:v>BOOK-03643</x:v>
      </x:c>
      <x:c r="P3644" s="9" t="n">
        <x:v>9898000</x:v>
      </x:c>
      <x:c r="Q3644" s="11" t="n">
        <x:v>0</x:v>
      </x:c>
      <x:c r="R3644" s="8" t="n">
        <x:v>45567</x:v>
      </x:c>
      <x:c r="S3644" s="4" t="str">
        <x:v>Retained</x:v>
      </x:c>
      <x:c r="T3644" s="10" t="n">
        <x:v>0.145299</x:v>
      </x:c>
      <x:c r="U3644" s="4" t="str">
        <x:v>Test</x:v>
      </x:c>
    </x:row>
    <x:row r="3645" ht="34" customHeight="1">
      <x:c r="A3645" s="4" t="str">
        <x:v>RS-03644</x:v>
      </x:c>
      <x:c r="B3645" s="8" t="n">
        <x:v>45508</x:v>
      </x:c>
      <x:c r="C3645" s="4" t="str">
        <x:v>PRJ-004</x:v>
      </x:c>
      <x:c r="D3645" s="4" t="str">
        <x:v>Apartment</x:v>
      </x:c>
      <x:c r="E3645" s="4" t="str">
        <x:v>Booked</x:v>
      </x:c>
      <x:c r="F3645" s="4" t="str">
        <x:v>CUS-03644</x:v>
      </x:c>
      <x:c r="G3645" s="4" t="str">
        <x:v>UNIT-03644</x:v>
      </x:c>
      <x:c r="H3645" s="9" t="n">
        <x:v>17900000</x:v>
      </x:c>
      <x:c r="I3645" s="10" t="n">
        <x:v>0.09</x:v>
      </x:c>
      <x:c r="J3645" s="11" t="n">
        <x:v>10</x:v>
      </x:c>
      <x:c r="K3645" s="11" t="n">
        <x:v>4</x:v>
      </x:c>
      <x:c r="L3645" s="11" t="n">
        <x:v>1</x:v>
      </x:c>
      <x:c r="M3645" s="9" t="n">
        <x:f>ROUND(H3645*(1-I3645),2)</x:f>
        <x:v>16289000</x:v>
      </x:c>
      <x:c r="N3645" s="4" t="str">
        <x:v>Sales head</x:v>
      </x:c>
      <x:c r="O3645" s="4" t="str">
        <x:v>BOOK-03644</x:v>
      </x:c>
      <x:c r="P3645" s="9" t="n">
        <x:v>1628900</x:v>
      </x:c>
      <x:c r="Q3645" s="11" t="n">
        <x:v>0</x:v>
      </x:c>
      <x:c r="R3645" s="8" t="n">
        <x:v>45568</x:v>
      </x:c>
      <x:c r="S3645" s="4" t="str">
        <x:v>Retained</x:v>
      </x:c>
      <x:c r="T3645" s="10" t="n">
        <x:v>0.310195</x:v>
      </x:c>
      <x:c r="U3645" s="4" t="str">
        <x:v>Test</x:v>
      </x:c>
    </x:row>
    <x:row r="3646" ht="34" customHeight="1">
      <x:c r="A3646" s="4" t="str">
        <x:v>RS-03645</x:v>
      </x:c>
      <x:c r="B3646" s="8" t="n">
        <x:v>45509</x:v>
      </x:c>
      <x:c r="C3646" s="4" t="str">
        <x:v>PRJ-005</x:v>
      </x:c>
      <x:c r="D3646" s="4" t="str">
        <x:v>Villa</x:v>
      </x:c>
      <x:c r="E3646" s="4" t="str">
        <x:v>Enquiry</x:v>
      </x:c>
      <x:c r="F3646" s="4" t="str">
        <x:v>CUS-03645</x:v>
      </x:c>
      <x:c r="G3646" s="4" t="str">
        <x:v>UNIT-03645</x:v>
      </x:c>
      <x:c r="H3646" s="9" t="n">
        <x:v>21300000</x:v>
      </x:c>
      <x:c r="I3646" s="10" t="n">
        <x:v>0.06</x:v>
      </x:c>
      <x:c r="J3646" s="11" t="n">
        <x:v>10</x:v>
      </x:c>
      <x:c r="K3646" s="11" t="n">
        <x:v>3</x:v>
      </x:c>
      <x:c r="L3646" s="11" t="n">
        <x:v>1</x:v>
      </x:c>
      <x:c r="M3646" s="9" t="n">
        <x:f>ROUND(H3646*(1-I3646),2)</x:f>
        <x:v>20022000</x:v>
      </x:c>
      <x:c r="N3646" s="4" t="str">
        <x:v>Sales manager</x:v>
      </x:c>
      <x:c r="O3646" s="4"/>
      <x:c r="P3646" s="9" t="n">
        <x:v>0</x:v>
      </x:c>
      <x:c r="Q3646" s="11" t="n">
        <x:v>0</x:v>
      </x:c>
      <x:c r="R3646" s="8" t="n">
        <x:v>45569</x:v>
      </x:c>
      <x:c r="S3646" s="4" t="str">
        <x:v>Retained</x:v>
      </x:c>
      <x:c r="T3646" s="10" t="n">
        <x:v>0.310195</x:v>
      </x:c>
      <x:c r="U3646" s="4" t="str">
        <x:v>Test</x:v>
      </x:c>
    </x:row>
    <x:row r="3647" ht="34" customHeight="1">
      <x:c r="A3647" s="4" t="str">
        <x:v>RS-03646</x:v>
      </x:c>
      <x:c r="B3647" s="8" t="n">
        <x:v>45510</x:v>
      </x:c>
      <x:c r="C3647" s="4" t="str">
        <x:v>PRJ-006</x:v>
      </x:c>
      <x:c r="D3647" s="4" t="str">
        <x:v>Villa</x:v>
      </x:c>
      <x:c r="E3647" s="4" t="str">
        <x:v>Handed over</x:v>
      </x:c>
      <x:c r="F3647" s="4" t="str">
        <x:v>CUS-03646</x:v>
      </x:c>
      <x:c r="G3647" s="4" t="str">
        <x:v>UNIT-03646</x:v>
      </x:c>
      <x:c r="H3647" s="9" t="n">
        <x:v>16000000</x:v>
      </x:c>
      <x:c r="I3647" s="10" t="n">
        <x:v>0.01</x:v>
      </x:c>
      <x:c r="J3647" s="11" t="n">
        <x:v>4</x:v>
      </x:c>
      <x:c r="K3647" s="11" t="n">
        <x:v>3</x:v>
      </x:c>
      <x:c r="L3647" s="11" t="n">
        <x:v>0</x:v>
      </x:c>
      <x:c r="M3647" s="9" t="n">
        <x:f>ROUND(H3647*(1-I3647),2)</x:f>
        <x:v>15840000</x:v>
      </x:c>
      <x:c r="N3647" s="4" t="str">
        <x:v>Sales manager</x:v>
      </x:c>
      <x:c r="O3647" s="4" t="str">
        <x:v>BOOK-03646</x:v>
      </x:c>
      <x:c r="P3647" s="9" t="n">
        <x:v>7920000</x:v>
      </x:c>
      <x:c r="Q3647" s="11" t="n">
        <x:v>0</x:v>
      </x:c>
      <x:c r="R3647" s="8" t="n">
        <x:v>45570</x:v>
      </x:c>
      <x:c r="S3647" s="4" t="str">
        <x:v>Retained</x:v>
      </x:c>
      <x:c r="T3647" s="10" t="n">
        <x:v>0.298969</x:v>
      </x:c>
      <x:c r="U3647" s="4" t="str">
        <x:v>Test</x:v>
      </x:c>
    </x:row>
    <x:row r="3648" ht="34" customHeight="1">
      <x:c r="A3648" s="4" t="str">
        <x:v>RS-03647</x:v>
      </x:c>
      <x:c r="B3648" s="8" t="n">
        <x:v>45511</x:v>
      </x:c>
      <x:c r="C3648" s="4" t="str">
        <x:v>PRJ-007</x:v>
      </x:c>
      <x:c r="D3648" s="4" t="str">
        <x:v>Apartment</x:v>
      </x:c>
      <x:c r="E3648" s="4" t="str">
        <x:v>Handed over</x:v>
      </x:c>
      <x:c r="F3648" s="4" t="str">
        <x:v>CUS-03647</x:v>
      </x:c>
      <x:c r="G3648" s="4" t="str">
        <x:v>UNIT-03647</x:v>
      </x:c>
      <x:c r="H3648" s="9" t="n">
        <x:v>12800000</x:v>
      </x:c>
      <x:c r="I3648" s="10" t="n">
        <x:v>0.08</x:v>
      </x:c>
      <x:c r="J3648" s="11" t="n">
        <x:v>7</x:v>
      </x:c>
      <x:c r="K3648" s="11" t="n">
        <x:v>4</x:v>
      </x:c>
      <x:c r="L3648" s="11" t="n">
        <x:v>0</x:v>
      </x:c>
      <x:c r="M3648" s="9" t="n">
        <x:f>ROUND(H3648*(1-I3648),2)</x:f>
        <x:v>11776000</x:v>
      </x:c>
      <x:c r="N3648" s="4" t="str">
        <x:v>Sales head</x:v>
      </x:c>
      <x:c r="O3648" s="4" t="str">
        <x:v>BOOK-03647</x:v>
      </x:c>
      <x:c r="P3648" s="9" t="n">
        <x:v>5888000</x:v>
      </x:c>
      <x:c r="Q3648" s="11" t="n">
        <x:v>0</x:v>
      </x:c>
      <x:c r="R3648" s="8" t="n">
        <x:v>45571</x:v>
      </x:c>
      <x:c r="S3648" s="4" t="str">
        <x:v>Retained</x:v>
      </x:c>
      <x:c r="T3648" s="10" t="n">
        <x:v>0.226277</x:v>
      </x:c>
      <x:c r="U3648" s="4" t="str">
        <x:v>Test</x:v>
      </x:c>
    </x:row>
    <x:row r="3649" ht="34" customHeight="1">
      <x:c r="A3649" s="4" t="str">
        <x:v>RS-03648</x:v>
      </x:c>
      <x:c r="B3649" s="8" t="n">
        <x:v>45512</x:v>
      </x:c>
      <x:c r="C3649" s="4" t="str">
        <x:v>PRJ-008</x:v>
      </x:c>
      <x:c r="D3649" s="4" t="str">
        <x:v>Apartment</x:v>
      </x:c>
      <x:c r="E3649" s="4" t="str">
        <x:v>Handed over</x:v>
      </x:c>
      <x:c r="F3649" s="4" t="str">
        <x:v>CUS-03648</x:v>
      </x:c>
      <x:c r="G3649" s="4" t="str">
        <x:v>UNIT-03648</x:v>
      </x:c>
      <x:c r="H3649" s="9" t="n">
        <x:v>23800000</x:v>
      </x:c>
      <x:c r="I3649" s="10" t="n">
        <x:v>0.02</x:v>
      </x:c>
      <x:c r="J3649" s="11" t="n">
        <x:v>11</x:v>
      </x:c>
      <x:c r="K3649" s="11" t="n">
        <x:v>1</x:v>
      </x:c>
      <x:c r="L3649" s="11" t="n">
        <x:v>0</x:v>
      </x:c>
      <x:c r="M3649" s="9" t="n">
        <x:f>ROUND(H3649*(1-I3649),2)</x:f>
        <x:v>23324000</x:v>
      </x:c>
      <x:c r="N3649" s="4" t="str">
        <x:v>Sales manager</x:v>
      </x:c>
      <x:c r="O3649" s="4" t="str">
        <x:v>BOOK-03648</x:v>
      </x:c>
      <x:c r="P3649" s="9" t="n">
        <x:v>23324000</x:v>
      </x:c>
      <x:c r="Q3649" s="11" t="n">
        <x:v>0</x:v>
      </x:c>
      <x:c r="R3649" s="8" t="n">
        <x:v>45572</x:v>
      </x:c>
      <x:c r="S3649" s="4" t="str">
        <x:v>Retained</x:v>
      </x:c>
      <x:c r="T3649" s="10" t="n">
        <x:v>0.305556</x:v>
      </x:c>
      <x:c r="U3649" s="4" t="str">
        <x:v>Test</x:v>
      </x:c>
    </x:row>
    <x:row r="3650" ht="34" customHeight="1">
      <x:c r="A3650" s="4" t="str">
        <x:v>RS-03649</x:v>
      </x:c>
      <x:c r="B3650" s="8" t="n">
        <x:v>45513</x:v>
      </x:c>
      <x:c r="C3650" s="4" t="str">
        <x:v>PRJ-009</x:v>
      </x:c>
      <x:c r="D3650" s="4" t="str">
        <x:v>Villa</x:v>
      </x:c>
      <x:c r="E3650" s="4" t="str">
        <x:v>Enquiry</x:v>
      </x:c>
      <x:c r="F3650" s="4" t="str">
        <x:v>CUS-03649</x:v>
      </x:c>
      <x:c r="G3650" s="4" t="str">
        <x:v>UNIT-03649</x:v>
      </x:c>
      <x:c r="H3650" s="9" t="n">
        <x:v>7800000</x:v>
      </x:c>
      <x:c r="I3650" s="10" t="n">
        <x:v>0.07</x:v>
      </x:c>
      <x:c r="J3650" s="11" t="n">
        <x:v>10</x:v>
      </x:c>
      <x:c r="K3650" s="11" t="n">
        <x:v>0</x:v>
      </x:c>
      <x:c r="L3650" s="11" t="n">
        <x:v>1</x:v>
      </x:c>
      <x:c r="M3650" s="9" t="n">
        <x:f>ROUND(H3650*(1-I3650),2)</x:f>
        <x:v>7254000</x:v>
      </x:c>
      <x:c r="N3650" s="4" t="str">
        <x:v>Sales manager</x:v>
      </x:c>
      <x:c r="O3650" s="4"/>
      <x:c r="P3650" s="9" t="n">
        <x:v>0</x:v>
      </x:c>
      <x:c r="Q3650" s="11" t="n">
        <x:v>1</x:v>
      </x:c>
      <x:c r="R3650" s="8" t="n">
        <x:v>45573</x:v>
      </x:c>
      <x:c r="S3650" s="4" t="str">
        <x:v>Lost / cancelled</x:v>
      </x:c>
      <x:c r="T3650" s="10" t="n">
        <x:v>0.310195</x:v>
      </x:c>
      <x:c r="U3650" s="4" t="str">
        <x:v>Test</x:v>
      </x:c>
    </x:row>
    <x:row r="3651" ht="34" customHeight="1">
      <x:c r="A3651" s="4" t="str">
        <x:v>RS-03650</x:v>
      </x:c>
      <x:c r="B3651" s="8" t="n">
        <x:v>45514</x:v>
      </x:c>
      <x:c r="C3651" s="4" t="str">
        <x:v>PRJ-010</x:v>
      </x:c>
      <x:c r="D3651" s="4" t="str">
        <x:v>Villa</x:v>
      </x:c>
      <x:c r="E3651" s="4" t="str">
        <x:v>Handed over</x:v>
      </x:c>
      <x:c r="F3651" s="4" t="str">
        <x:v>CUS-03650</x:v>
      </x:c>
      <x:c r="G3651" s="4" t="str">
        <x:v>UNIT-03650</x:v>
      </x:c>
      <x:c r="H3651" s="9" t="n">
        <x:v>13000000</x:v>
      </x:c>
      <x:c r="I3651" s="10" t="n">
        <x:v>0</x:v>
      </x:c>
      <x:c r="J3651" s="11" t="n">
        <x:v>10</x:v>
      </x:c>
      <x:c r="K3651" s="11" t="n">
        <x:v>6</x:v>
      </x:c>
      <x:c r="L3651" s="11" t="n">
        <x:v>0</x:v>
      </x:c>
      <x:c r="M3651" s="9" t="n">
        <x:f>ROUND(H3651*(1-I3651),2)</x:f>
        <x:v>13000000</x:v>
      </x:c>
      <x:c r="N3651" s="4" t="str">
        <x:v>Sales manager</x:v>
      </x:c>
      <x:c r="O3651" s="4" t="str">
        <x:v>BOOK-03650</x:v>
      </x:c>
      <x:c r="P3651" s="9" t="n">
        <x:v>13000000</x:v>
      </x:c>
      <x:c r="Q3651" s="11" t="n">
        <x:v>0</x:v>
      </x:c>
      <x:c r="R3651" s="8" t="n">
        <x:v>45574</x:v>
      </x:c>
      <x:c r="S3651" s="4" t="str">
        <x:v>Retained</x:v>
      </x:c>
      <x:c r="T3651" s="10" t="n">
        <x:v>0.305556</x:v>
      </x:c>
      <x:c r="U3651" s="4" t="str">
        <x:v>Test</x:v>
      </x:c>
    </x:row>
    <x:row r="3652" ht="34" customHeight="1">
      <x:c r="A3652" s="4" t="str">
        <x:v>RS-03651</x:v>
      </x:c>
      <x:c r="B3652" s="8" t="n">
        <x:v>45515</x:v>
      </x:c>
      <x:c r="C3652" s="4" t="str">
        <x:v>PRJ-011</x:v>
      </x:c>
      <x:c r="D3652" s="4" t="str">
        <x:v>Villa</x:v>
      </x:c>
      <x:c r="E3652" s="4" t="str">
        <x:v>Cancelled</x:v>
      </x:c>
      <x:c r="F3652" s="4" t="str">
        <x:v>CUS-03651</x:v>
      </x:c>
      <x:c r="G3652" s="4" t="str">
        <x:v>UNIT-03651</x:v>
      </x:c>
      <x:c r="H3652" s="9" t="n">
        <x:v>20800000</x:v>
      </x:c>
      <x:c r="I3652" s="10" t="n">
        <x:v>0.04</x:v>
      </x:c>
      <x:c r="J3652" s="11" t="n">
        <x:v>9</x:v>
      </x:c>
      <x:c r="K3652" s="11" t="n">
        <x:v>1</x:v>
      </x:c>
      <x:c r="L3652" s="11" t="n">
        <x:v>0</x:v>
      </x:c>
      <x:c r="M3652" s="9" t="n">
        <x:f>ROUND(H3652*(1-I3652),2)</x:f>
        <x:v>19968000</x:v>
      </x:c>
      <x:c r="N3652" s="4" t="str">
        <x:v>Sales manager</x:v>
      </x:c>
      <x:c r="O3652" s="4"/>
      <x:c r="P3652" s="9" t="n">
        <x:v>0</x:v>
      </x:c>
      <x:c r="Q3652" s="11" t="n">
        <x:v>1</x:v>
      </x:c>
      <x:c r="R3652" s="8" t="n">
        <x:v>45575</x:v>
      </x:c>
      <x:c r="S3652" s="4" t="str">
        <x:v>Lost / cancelled</x:v>
      </x:c>
      <x:c r="T3652" s="10" t="n">
        <x:v>0.310195</x:v>
      </x:c>
      <x:c r="U3652" s="4" t="str">
        <x:v>Test</x:v>
      </x:c>
    </x:row>
    <x:row r="3653" ht="34" customHeight="1">
      <x:c r="A3653" s="4" t="str">
        <x:v>RS-03652</x:v>
      </x:c>
      <x:c r="B3653" s="8" t="n">
        <x:v>45516</x:v>
      </x:c>
      <x:c r="C3653" s="4" t="str">
        <x:v>PRJ-012</x:v>
      </x:c>
      <x:c r="D3653" s="4" t="str">
        <x:v>Retail</x:v>
      </x:c>
      <x:c r="E3653" s="4" t="str">
        <x:v>Booked</x:v>
      </x:c>
      <x:c r="F3653" s="4" t="str">
        <x:v>CUS-03652</x:v>
      </x:c>
      <x:c r="G3653" s="4" t="str">
        <x:v>UNIT-03652</x:v>
      </x:c>
      <x:c r="H3653" s="9" t="n">
        <x:v>8900000</x:v>
      </x:c>
      <x:c r="I3653" s="10" t="n">
        <x:v>0.1</x:v>
      </x:c>
      <x:c r="J3653" s="11" t="n">
        <x:v>0</x:v>
      </x:c>
      <x:c r="K3653" s="11" t="n">
        <x:v>1</x:v>
      </x:c>
      <x:c r="L3653" s="11" t="n">
        <x:v>0</x:v>
      </x:c>
      <x:c r="M3653" s="9" t="n">
        <x:f>ROUND(H3653*(1-I3653),2)</x:f>
        <x:v>8010000</x:v>
      </x:c>
      <x:c r="N3653" s="4" t="str">
        <x:v>Sales head</x:v>
      </x:c>
      <x:c r="O3653" s="4" t="str">
        <x:v>BOOK-03652</x:v>
      </x:c>
      <x:c r="P3653" s="9" t="n">
        <x:v>2002500</x:v>
      </x:c>
      <x:c r="Q3653" s="11" t="n">
        <x:v>0</x:v>
      </x:c>
      <x:c r="R3653" s="8" t="n">
        <x:v>45576</x:v>
      </x:c>
      <x:c r="S3653" s="4" t="str">
        <x:v>Retained</x:v>
      </x:c>
      <x:c r="T3653" s="10" t="n">
        <x:v>0.145833</x:v>
      </x:c>
      <x:c r="U3653" s="4" t="str">
        <x:v>Test</x:v>
      </x:c>
    </x:row>
    <x:row r="3654" ht="34" customHeight="1">
      <x:c r="A3654" s="4" t="str">
        <x:v>RS-03653</x:v>
      </x:c>
      <x:c r="B3654" s="8" t="n">
        <x:v>45517</x:v>
      </x:c>
      <x:c r="C3654" s="4" t="str">
        <x:v>PRJ-013</x:v>
      </x:c>
      <x:c r="D3654" s="4" t="str">
        <x:v>Villa</x:v>
      </x:c>
      <x:c r="E3654" s="4" t="str">
        <x:v>Reserved</x:v>
      </x:c>
      <x:c r="F3654" s="4" t="str">
        <x:v>CUS-03653</x:v>
      </x:c>
      <x:c r="G3654" s="4" t="str">
        <x:v>UNIT-03653</x:v>
      </x:c>
      <x:c r="H3654" s="9" t="n">
        <x:v>18500000</x:v>
      </x:c>
      <x:c r="I3654" s="10" t="n">
        <x:v>0.08</x:v>
      </x:c>
      <x:c r="J3654" s="11" t="n">
        <x:v>3</x:v>
      </x:c>
      <x:c r="K3654" s="11" t="n">
        <x:v>5</x:v>
      </x:c>
      <x:c r="L3654" s="11" t="n">
        <x:v>0</x:v>
      </x:c>
      <x:c r="M3654" s="9" t="n">
        <x:f>ROUND(H3654*(1-I3654),2)</x:f>
        <x:v>17020000</x:v>
      </x:c>
      <x:c r="N3654" s="4" t="str">
        <x:v>Sales head</x:v>
      </x:c>
      <x:c r="O3654" s="4"/>
      <x:c r="P3654" s="9" t="n">
        <x:v>0</x:v>
      </x:c>
      <x:c r="Q3654" s="11" t="n">
        <x:v>0</x:v>
      </x:c>
      <x:c r="R3654" s="8" t="n">
        <x:v>45577</x:v>
      </x:c>
      <x:c r="S3654" s="4" t="str">
        <x:v>Retained</x:v>
      </x:c>
      <x:c r="T3654" s="10" t="n">
        <x:v>0.204152</x:v>
      </x:c>
      <x:c r="U3654" s="4" t="str">
        <x:v>Test</x:v>
      </x:c>
    </x:row>
    <x:row r="3655" ht="34" customHeight="1">
      <x:c r="A3655" s="4" t="str">
        <x:v>RS-03654</x:v>
      </x:c>
      <x:c r="B3655" s="8" t="n">
        <x:v>45518</x:v>
      </x:c>
      <x:c r="C3655" s="4" t="str">
        <x:v>PRJ-014</x:v>
      </x:c>
      <x:c r="D3655" s="4" t="str">
        <x:v>Villa</x:v>
      </x:c>
      <x:c r="E3655" s="4" t="str">
        <x:v>Enquiry</x:v>
      </x:c>
      <x:c r="F3655" s="4" t="str">
        <x:v>CUS-03654</x:v>
      </x:c>
      <x:c r="G3655" s="4" t="str">
        <x:v>UNIT-03654</x:v>
      </x:c>
      <x:c r="H3655" s="9" t="n">
        <x:v>12800000</x:v>
      </x:c>
      <x:c r="I3655" s="10" t="n">
        <x:v>0.04</x:v>
      </x:c>
      <x:c r="J3655" s="11" t="n">
        <x:v>10</x:v>
      </x:c>
      <x:c r="K3655" s="11" t="n">
        <x:v>3</x:v>
      </x:c>
      <x:c r="L3655" s="11" t="n">
        <x:v>0</x:v>
      </x:c>
      <x:c r="M3655" s="9" t="n">
        <x:f>ROUND(H3655*(1-I3655),2)</x:f>
        <x:v>12288000</x:v>
      </x:c>
      <x:c r="N3655" s="4" t="str">
        <x:v>Sales manager</x:v>
      </x:c>
      <x:c r="O3655" s="4"/>
      <x:c r="P3655" s="9" t="n">
        <x:v>0</x:v>
      </x:c>
      <x:c r="Q3655" s="11" t="n">
        <x:v>1</x:v>
      </x:c>
      <x:c r="R3655" s="8" t="n">
        <x:v>45578</x:v>
      </x:c>
      <x:c r="S3655" s="4" t="str">
        <x:v>Lost / cancelled</x:v>
      </x:c>
      <x:c r="T3655" s="10" t="n">
        <x:v>0.310195</x:v>
      </x:c>
      <x:c r="U3655" s="4" t="str">
        <x:v>Test</x:v>
      </x:c>
    </x:row>
    <x:row r="3656" ht="34" customHeight="1">
      <x:c r="A3656" s="4" t="str">
        <x:v>RS-03655</x:v>
      </x:c>
      <x:c r="B3656" s="8" t="n">
        <x:v>45519</x:v>
      </x:c>
      <x:c r="C3656" s="4" t="str">
        <x:v>PRJ-015</x:v>
      </x:c>
      <x:c r="D3656" s="4" t="str">
        <x:v>Office</x:v>
      </x:c>
      <x:c r="E3656" s="4" t="str">
        <x:v>Reserved</x:v>
      </x:c>
      <x:c r="F3656" s="4" t="str">
        <x:v>CUS-03655</x:v>
      </x:c>
      <x:c r="G3656" s="4" t="str">
        <x:v>UNIT-03655</x:v>
      </x:c>
      <x:c r="H3656" s="9" t="n">
        <x:v>9300000</x:v>
      </x:c>
      <x:c r="I3656" s="10" t="n">
        <x:v>0.1</x:v>
      </x:c>
      <x:c r="J3656" s="11" t="n">
        <x:v>5</x:v>
      </x:c>
      <x:c r="K3656" s="11" t="n">
        <x:v>4</x:v>
      </x:c>
      <x:c r="L3656" s="11" t="n">
        <x:v>1</x:v>
      </x:c>
      <x:c r="M3656" s="9" t="n">
        <x:f>ROUND(H3656*(1-I3656),2)</x:f>
        <x:v>8370000</x:v>
      </x:c>
      <x:c r="N3656" s="4" t="str">
        <x:v>Sales head</x:v>
      </x:c>
      <x:c r="O3656" s="4"/>
      <x:c r="P3656" s="9" t="n">
        <x:v>0</x:v>
      </x:c>
      <x:c r="Q3656" s="11" t="n">
        <x:v>1</x:v>
      </x:c>
      <x:c r="R3656" s="8" t="n">
        <x:v>45579</x:v>
      </x:c>
      <x:c r="S3656" s="4" t="str">
        <x:v>Lost / cancelled</x:v>
      </x:c>
      <x:c r="T3656" s="10" t="n">
        <x:v>0.291946</x:v>
      </x:c>
      <x:c r="U3656" s="4" t="str">
        <x:v>Test</x:v>
      </x:c>
    </x:row>
    <x:row r="3657" ht="34" customHeight="1">
      <x:c r="A3657" s="4" t="str">
        <x:v>RS-03656</x:v>
      </x:c>
      <x:c r="B3657" s="8" t="n">
        <x:v>45520</x:v>
      </x:c>
      <x:c r="C3657" s="4" t="str">
        <x:v>PRJ-016</x:v>
      </x:c>
      <x:c r="D3657" s="4" t="str">
        <x:v>Apartment</x:v>
      </x:c>
      <x:c r="E3657" s="4" t="str">
        <x:v>Reserved</x:v>
      </x:c>
      <x:c r="F3657" s="4" t="str">
        <x:v>CUS-03656</x:v>
      </x:c>
      <x:c r="G3657" s="4" t="str">
        <x:v>UNIT-03656</x:v>
      </x:c>
      <x:c r="H3657" s="9" t="n">
        <x:v>5900000</x:v>
      </x:c>
      <x:c r="I3657" s="10" t="n">
        <x:v>0.08</x:v>
      </x:c>
      <x:c r="J3657" s="11" t="n">
        <x:v>10</x:v>
      </x:c>
      <x:c r="K3657" s="11" t="n">
        <x:v>0</x:v>
      </x:c>
      <x:c r="L3657" s="11" t="n">
        <x:v>1</x:v>
      </x:c>
      <x:c r="M3657" s="9" t="n">
        <x:f>ROUND(H3657*(1-I3657),2)</x:f>
        <x:v>5428000</x:v>
      </x:c>
      <x:c r="N3657" s="4" t="str">
        <x:v>Sales head</x:v>
      </x:c>
      <x:c r="O3657" s="4"/>
      <x:c r="P3657" s="9" t="n">
        <x:v>0</x:v>
      </x:c>
      <x:c r="Q3657" s="11" t="n">
        <x:v>1</x:v>
      </x:c>
      <x:c r="R3657" s="8" t="n">
        <x:v>45580</x:v>
      </x:c>
      <x:c r="S3657" s="4" t="str">
        <x:v>Lost / cancelled</x:v>
      </x:c>
      <x:c r="T3657" s="10" t="n">
        <x:v>0.310195</x:v>
      </x:c>
      <x:c r="U3657" s="4" t="str">
        <x:v>Test</x:v>
      </x:c>
    </x:row>
    <x:row r="3658" ht="34" customHeight="1">
      <x:c r="A3658" s="4" t="str">
        <x:v>RS-03657</x:v>
      </x:c>
      <x:c r="B3658" s="8" t="n">
        <x:v>45521</x:v>
      </x:c>
      <x:c r="C3658" s="4" t="str">
        <x:v>PRJ-017</x:v>
      </x:c>
      <x:c r="D3658" s="4" t="str">
        <x:v>Apartment</x:v>
      </x:c>
      <x:c r="E3658" s="4" t="str">
        <x:v>Enquiry</x:v>
      </x:c>
      <x:c r="F3658" s="4" t="str">
        <x:v>CUS-03657</x:v>
      </x:c>
      <x:c r="G3658" s="4" t="str">
        <x:v>UNIT-03657</x:v>
      </x:c>
      <x:c r="H3658" s="9" t="n">
        <x:v>21900000</x:v>
      </x:c>
      <x:c r="I3658" s="10" t="n">
        <x:v>0.07</x:v>
      </x:c>
      <x:c r="J3658" s="11" t="n">
        <x:v>9</x:v>
      </x:c>
      <x:c r="K3658" s="11" t="n">
        <x:v>0</x:v>
      </x:c>
      <x:c r="L3658" s="11" t="n">
        <x:v>1</x:v>
      </x:c>
      <x:c r="M3658" s="9" t="n">
        <x:f>ROUND(H3658*(1-I3658),2)</x:f>
        <x:v>20367000</x:v>
      </x:c>
      <x:c r="N3658" s="4" t="str">
        <x:v>Sales manager</x:v>
      </x:c>
      <x:c r="O3658" s="4"/>
      <x:c r="P3658" s="9" t="n">
        <x:v>0</x:v>
      </x:c>
      <x:c r="Q3658" s="11" t="n">
        <x:v>1</x:v>
      </x:c>
      <x:c r="R3658" s="8" t="n">
        <x:v>45581</x:v>
      </x:c>
      <x:c r="S3658" s="4" t="str">
        <x:v>Lost / cancelled</x:v>
      </x:c>
      <x:c r="T3658" s="10" t="n">
        <x:v>0.310195</x:v>
      </x:c>
      <x:c r="U3658" s="4" t="str">
        <x:v>Test</x:v>
      </x:c>
    </x:row>
    <x:row r="3659" ht="34" customHeight="1">
      <x:c r="A3659" s="4" t="str">
        <x:v>RS-03658</x:v>
      </x:c>
      <x:c r="B3659" s="8" t="n">
        <x:v>45522</x:v>
      </x:c>
      <x:c r="C3659" s="4" t="str">
        <x:v>PRJ-018</x:v>
      </x:c>
      <x:c r="D3659" s="4" t="str">
        <x:v>Retail</x:v>
      </x:c>
      <x:c r="E3659" s="4" t="str">
        <x:v>Agreement signed</x:v>
      </x:c>
      <x:c r="F3659" s="4" t="str">
        <x:v>CUS-03658</x:v>
      </x:c>
      <x:c r="G3659" s="4" t="str">
        <x:v>UNIT-03658</x:v>
      </x:c>
      <x:c r="H3659" s="9" t="n">
        <x:v>24500000</x:v>
      </x:c>
      <x:c r="I3659" s="10" t="n">
        <x:v>0.08</x:v>
      </x:c>
      <x:c r="J3659" s="11" t="n">
        <x:v>7</x:v>
      </x:c>
      <x:c r="K3659" s="11" t="n">
        <x:v>6</x:v>
      </x:c>
      <x:c r="L3659" s="11" t="n">
        <x:v>0</x:v>
      </x:c>
      <x:c r="M3659" s="9" t="n">
        <x:f>ROUND(H3659*(1-I3659),2)</x:f>
        <x:v>22540000</x:v>
      </x:c>
      <x:c r="N3659" s="4" t="str">
        <x:v>Sales head</x:v>
      </x:c>
      <x:c r="O3659" s="4" t="str">
        <x:v>BOOK-03658</x:v>
      </x:c>
      <x:c r="P3659" s="9" t="n">
        <x:v>5635000</x:v>
      </x:c>
      <x:c r="Q3659" s="11" t="n">
        <x:v>0</x:v>
      </x:c>
      <x:c r="R3659" s="8" t="n">
        <x:v>45582</x:v>
      </x:c>
      <x:c r="S3659" s="4" t="str">
        <x:v>Retained</x:v>
      </x:c>
      <x:c r="T3659" s="10" t="n">
        <x:v>0.226277</x:v>
      </x:c>
      <x:c r="U3659" s="4" t="str">
        <x:v>Test</x:v>
      </x:c>
    </x:row>
    <x:row r="3660" ht="34" customHeight="1">
      <x:c r="A3660" s="4" t="str">
        <x:v>RS-03659</x:v>
      </x:c>
      <x:c r="B3660" s="8" t="n">
        <x:v>45523</x:v>
      </x:c>
      <x:c r="C3660" s="4" t="str">
        <x:v>PRJ-019</x:v>
      </x:c>
      <x:c r="D3660" s="4" t="str">
        <x:v>Apartment</x:v>
      </x:c>
      <x:c r="E3660" s="4" t="str">
        <x:v>Handed over</x:v>
      </x:c>
      <x:c r="F3660" s="4" t="str">
        <x:v>CUS-03659</x:v>
      </x:c>
      <x:c r="G3660" s="4" t="str">
        <x:v>UNIT-03659</x:v>
      </x:c>
      <x:c r="H3660" s="9" t="n">
        <x:v>21700000</x:v>
      </x:c>
      <x:c r="I3660" s="10" t="n">
        <x:v>0</x:v>
      </x:c>
      <x:c r="J3660" s="11" t="n">
        <x:v>8</x:v>
      </x:c>
      <x:c r="K3660" s="11" t="n">
        <x:v>1</x:v>
      </x:c>
      <x:c r="L3660" s="11" t="n">
        <x:v>0</x:v>
      </x:c>
      <x:c r="M3660" s="9" t="n">
        <x:f>ROUND(H3660*(1-I3660),2)</x:f>
        <x:v>21700000</x:v>
      </x:c>
      <x:c r="N3660" s="4" t="str">
        <x:v>Sales manager</x:v>
      </x:c>
      <x:c r="O3660" s="4" t="str">
        <x:v>BOOK-03659</x:v>
      </x:c>
      <x:c r="P3660" s="9" t="n">
        <x:v>21700000</x:v>
      </x:c>
      <x:c r="Q3660" s="11" t="n">
        <x:v>0</x:v>
      </x:c>
      <x:c r="R3660" s="8" t="n">
        <x:v>45583</x:v>
      </x:c>
      <x:c r="S3660" s="4" t="str">
        <x:v>Retained</x:v>
      </x:c>
      <x:c r="T3660" s="10" t="n">
        <x:v>0.305556</x:v>
      </x:c>
      <x:c r="U3660" s="4" t="str">
        <x:v>Test</x:v>
      </x:c>
    </x:row>
    <x:row r="3661" ht="34" customHeight="1">
      <x:c r="A3661" s="4" t="str">
        <x:v>RS-03660</x:v>
      </x:c>
      <x:c r="B3661" s="8" t="n">
        <x:v>45524</x:v>
      </x:c>
      <x:c r="C3661" s="4" t="str">
        <x:v>PRJ-020</x:v>
      </x:c>
      <x:c r="D3661" s="4" t="str">
        <x:v>Retail</x:v>
      </x:c>
      <x:c r="E3661" s="4" t="str">
        <x:v>Enquiry</x:v>
      </x:c>
      <x:c r="F3661" s="4" t="str">
        <x:v>CUS-03660</x:v>
      </x:c>
      <x:c r="G3661" s="4" t="str">
        <x:v>UNIT-03660</x:v>
      </x:c>
      <x:c r="H3661" s="9" t="n">
        <x:v>13000000</x:v>
      </x:c>
      <x:c r="I3661" s="10" t="n">
        <x:v>0.09</x:v>
      </x:c>
      <x:c r="J3661" s="11" t="n">
        <x:v>2</x:v>
      </x:c>
      <x:c r="K3661" s="11" t="n">
        <x:v>7</x:v>
      </x:c>
      <x:c r="L3661" s="11" t="n">
        <x:v>1</x:v>
      </x:c>
      <x:c r="M3661" s="9" t="n">
        <x:f>ROUND(H3661*(1-I3661),2)</x:f>
        <x:v>11830000</x:v>
      </x:c>
      <x:c r="N3661" s="4" t="str">
        <x:v>Sales head</x:v>
      </x:c>
      <x:c r="O3661" s="4"/>
      <x:c r="P3661" s="9" t="n">
        <x:v>0</x:v>
      </x:c>
      <x:c r="Q3661" s="11" t="n">
        <x:v>1</x:v>
      </x:c>
      <x:c r="R3661" s="8" t="n">
        <x:v>45584</x:v>
      </x:c>
      <x:c r="S3661" s="4" t="str">
        <x:v>Lost / cancelled</x:v>
      </x:c>
      <x:c r="T3661" s="10" t="n">
        <x:v>0.145833</x:v>
      </x:c>
      <x:c r="U3661" s="4" t="str">
        <x:v>Test</x:v>
      </x:c>
    </x:row>
    <x:row r="3662" ht="34" customHeight="1">
      <x:c r="A3662" s="4" t="str">
        <x:v>RS-03661</x:v>
      </x:c>
      <x:c r="B3662" s="8" t="n">
        <x:v>45525</x:v>
      </x:c>
      <x:c r="C3662" s="4" t="str">
        <x:v>PRJ-001</x:v>
      </x:c>
      <x:c r="D3662" s="4" t="str">
        <x:v>Apartment</x:v>
      </x:c>
      <x:c r="E3662" s="4" t="str">
        <x:v>Cancelled</x:v>
      </x:c>
      <x:c r="F3662" s="4" t="str">
        <x:v>CUS-03661</x:v>
      </x:c>
      <x:c r="G3662" s="4" t="str">
        <x:v>UNIT-03661</x:v>
      </x:c>
      <x:c r="H3662" s="9" t="n">
        <x:v>5600000</x:v>
      </x:c>
      <x:c r="I3662" s="10" t="n">
        <x:v>0.01</x:v>
      </x:c>
      <x:c r="J3662" s="11" t="n">
        <x:v>11</x:v>
      </x:c>
      <x:c r="K3662" s="11" t="n">
        <x:v>1</x:v>
      </x:c>
      <x:c r="L3662" s="11" t="n">
        <x:v>0</x:v>
      </x:c>
      <x:c r="M3662" s="9" t="n">
        <x:f>ROUND(H3662*(1-I3662),2)</x:f>
        <x:v>5544000</x:v>
      </x:c>
      <x:c r="N3662" s="4" t="str">
        <x:v>Sales manager</x:v>
      </x:c>
      <x:c r="O3662" s="4"/>
      <x:c r="P3662" s="9" t="n">
        <x:v>0</x:v>
      </x:c>
      <x:c r="Q3662" s="11" t="n">
        <x:v>1</x:v>
      </x:c>
      <x:c r="R3662" s="8" t="n">
        <x:v>45585</x:v>
      </x:c>
      <x:c r="S3662" s="4" t="str">
        <x:v>Lost / cancelled</x:v>
      </x:c>
      <x:c r="T3662" s="10" t="n">
        <x:v>0.305556</x:v>
      </x:c>
      <x:c r="U3662" s="4" t="str">
        <x:v>Test</x:v>
      </x:c>
    </x:row>
    <x:row r="3663" ht="34" customHeight="1">
      <x:c r="A3663" s="4" t="str">
        <x:v>RS-03662</x:v>
      </x:c>
      <x:c r="B3663" s="8" t="n">
        <x:v>45526</x:v>
      </x:c>
      <x:c r="C3663" s="4" t="str">
        <x:v>PRJ-002</x:v>
      </x:c>
      <x:c r="D3663" s="4" t="str">
        <x:v>Villa</x:v>
      </x:c>
      <x:c r="E3663" s="4" t="str">
        <x:v>Reserved</x:v>
      </x:c>
      <x:c r="F3663" s="4" t="str">
        <x:v>CUS-03662</x:v>
      </x:c>
      <x:c r="G3663" s="4" t="str">
        <x:v>UNIT-03662</x:v>
      </x:c>
      <x:c r="H3663" s="9" t="n">
        <x:v>20000000</x:v>
      </x:c>
      <x:c r="I3663" s="10" t="n">
        <x:v>0.12</x:v>
      </x:c>
      <x:c r="J3663" s="11" t="n">
        <x:v>7</x:v>
      </x:c>
      <x:c r="K3663" s="11" t="n">
        <x:v>4</x:v>
      </x:c>
      <x:c r="L3663" s="11" t="n">
        <x:v>1</x:v>
      </x:c>
      <x:c r="M3663" s="9" t="n">
        <x:f>ROUND(H3663*(1-I3663),2)</x:f>
        <x:v>17600000</x:v>
      </x:c>
      <x:c r="N3663" s="4" t="str">
        <x:v>Sales head</x:v>
      </x:c>
      <x:c r="O3663" s="4"/>
      <x:c r="P3663" s="9" t="n">
        <x:v>0</x:v>
      </x:c>
      <x:c r="Q3663" s="11" t="n">
        <x:v>0</x:v>
      </x:c>
      <x:c r="R3663" s="8" t="n">
        <x:v>45586</x:v>
      </x:c>
      <x:c r="S3663" s="4" t="str">
        <x:v>Retained</x:v>
      </x:c>
      <x:c r="T3663" s="10" t="n">
        <x:v>0.291946</x:v>
      </x:c>
      <x:c r="U3663" s="4" t="str">
        <x:v>Test</x:v>
      </x:c>
    </x:row>
    <x:row r="3664" ht="34" customHeight="1">
      <x:c r="A3664" s="4" t="str">
        <x:v>RS-03663</x:v>
      </x:c>
      <x:c r="B3664" s="8" t="n">
        <x:v>45527</x:v>
      </x:c>
      <x:c r="C3664" s="4" t="str">
        <x:v>PRJ-003</x:v>
      </x:c>
      <x:c r="D3664" s="4" t="str">
        <x:v>Office</x:v>
      </x:c>
      <x:c r="E3664" s="4" t="str">
        <x:v>Booked</x:v>
      </x:c>
      <x:c r="F3664" s="4" t="str">
        <x:v>CUS-03663</x:v>
      </x:c>
      <x:c r="G3664" s="4" t="str">
        <x:v>UNIT-03663</x:v>
      </x:c>
      <x:c r="H3664" s="9" t="n">
        <x:v>24900000</x:v>
      </x:c>
      <x:c r="I3664" s="10" t="n">
        <x:v>0.06</x:v>
      </x:c>
      <x:c r="J3664" s="11" t="n">
        <x:v>1</x:v>
      </x:c>
      <x:c r="K3664" s="11" t="n">
        <x:v>6</x:v>
      </x:c>
      <x:c r="L3664" s="11" t="n">
        <x:v>1</x:v>
      </x:c>
      <x:c r="M3664" s="9" t="n">
        <x:f>ROUND(H3664*(1-I3664),2)</x:f>
        <x:v>23406000</x:v>
      </x:c>
      <x:c r="N3664" s="4" t="str">
        <x:v>Sales manager</x:v>
      </x:c>
      <x:c r="O3664" s="4" t="str">
        <x:v>BOOK-03663</x:v>
      </x:c>
      <x:c r="P3664" s="9" t="n">
        <x:v>2340600</x:v>
      </x:c>
      <x:c r="Q3664" s="11" t="n">
        <x:v>0</x:v>
      </x:c>
      <x:c r="R3664" s="8" t="n">
        <x:v>45587</x:v>
      </x:c>
      <x:c r="S3664" s="4" t="str">
        <x:v>Retained</x:v>
      </x:c>
      <x:c r="T3664" s="10" t="n">
        <x:v>0.204152</x:v>
      </x:c>
      <x:c r="U3664" s="4" t="str">
        <x:v>Test</x:v>
      </x:c>
    </x:row>
    <x:row r="3665" ht="34" customHeight="1">
      <x:c r="A3665" s="4" t="str">
        <x:v>RS-03664</x:v>
      </x:c>
      <x:c r="B3665" s="8" t="n">
        <x:v>45528</x:v>
      </x:c>
      <x:c r="C3665" s="4" t="str">
        <x:v>PRJ-004</x:v>
      </x:c>
      <x:c r="D3665" s="4" t="str">
        <x:v>Apartment</x:v>
      </x:c>
      <x:c r="E3665" s="4" t="str">
        <x:v>Agreement signed</x:v>
      </x:c>
      <x:c r="F3665" s="4" t="str">
        <x:v>CUS-03664</x:v>
      </x:c>
      <x:c r="G3665" s="4" t="str">
        <x:v>UNIT-03664</x:v>
      </x:c>
      <x:c r="H3665" s="9" t="n">
        <x:v>5200000</x:v>
      </x:c>
      <x:c r="I3665" s="10" t="n">
        <x:v>0.11</x:v>
      </x:c>
      <x:c r="J3665" s="11" t="n">
        <x:v>12</x:v>
      </x:c>
      <x:c r="K3665" s="11" t="n">
        <x:v>7</x:v>
      </x:c>
      <x:c r="L3665" s="11" t="n">
        <x:v>0</x:v>
      </x:c>
      <x:c r="M3665" s="9" t="n">
        <x:f>ROUND(H3665*(1-I3665),2)</x:f>
        <x:v>4628000</x:v>
      </x:c>
      <x:c r="N3665" s="4" t="str">
        <x:v>Sales head</x:v>
      </x:c>
      <x:c r="O3665" s="4" t="str">
        <x:v>BOOK-03664</x:v>
      </x:c>
      <x:c r="P3665" s="9" t="n">
        <x:v>462800</x:v>
      </x:c>
      <x:c r="Q3665" s="11" t="n">
        <x:v>0</x:v>
      </x:c>
      <x:c r="R3665" s="8" t="n">
        <x:v>45588</x:v>
      </x:c>
      <x:c r="S3665" s="4" t="str">
        <x:v>Retained</x:v>
      </x:c>
      <x:c r="T3665" s="10" t="n">
        <x:v>0.351536</x:v>
      </x:c>
      <x:c r="U3665" s="4" t="str">
        <x:v>Test</x:v>
      </x:c>
    </x:row>
    <x:row r="3666" ht="34" customHeight="1">
      <x:c r="A3666" s="4" t="str">
        <x:v>RS-03665</x:v>
      </x:c>
      <x:c r="B3666" s="8" t="n">
        <x:v>45529</x:v>
      </x:c>
      <x:c r="C3666" s="4" t="str">
        <x:v>PRJ-005</x:v>
      </x:c>
      <x:c r="D3666" s="4" t="str">
        <x:v>Villa</x:v>
      </x:c>
      <x:c r="E3666" s="4" t="str">
        <x:v>Reserved</x:v>
      </x:c>
      <x:c r="F3666" s="4" t="str">
        <x:v>CUS-03665</x:v>
      </x:c>
      <x:c r="G3666" s="4" t="str">
        <x:v>UNIT-03665</x:v>
      </x:c>
      <x:c r="H3666" s="9" t="n">
        <x:v>22000000</x:v>
      </x:c>
      <x:c r="I3666" s="10" t="n">
        <x:v>0.08</x:v>
      </x:c>
      <x:c r="J3666" s="11" t="n">
        <x:v>11</x:v>
      </x:c>
      <x:c r="K3666" s="11" t="n">
        <x:v>6</x:v>
      </x:c>
      <x:c r="L3666" s="11" t="n">
        <x:v>1</x:v>
      </x:c>
      <x:c r="M3666" s="9" t="n">
        <x:f>ROUND(H3666*(1-I3666),2)</x:f>
        <x:v>20240000</x:v>
      </x:c>
      <x:c r="N3666" s="4" t="str">
        <x:v>Sales head</x:v>
      </x:c>
      <x:c r="O3666" s="4"/>
      <x:c r="P3666" s="9" t="n">
        <x:v>0</x:v>
      </x:c>
      <x:c r="Q3666" s="11" t="n">
        <x:v>1</x:v>
      </x:c>
      <x:c r="R3666" s="8" t="n">
        <x:v>45589</x:v>
      </x:c>
      <x:c r="S3666" s="4" t="str">
        <x:v>Lost / cancelled</x:v>
      </x:c>
      <x:c r="T3666" s="10" t="n">
        <x:v>0.351536</x:v>
      </x:c>
      <x:c r="U3666" s="4" t="str">
        <x:v>Test</x:v>
      </x:c>
    </x:row>
    <x:row r="3667" ht="34" customHeight="1">
      <x:c r="A3667" s="4" t="str">
        <x:v>RS-03666</x:v>
      </x:c>
      <x:c r="B3667" s="8" t="n">
        <x:v>45530</x:v>
      </x:c>
      <x:c r="C3667" s="4" t="str">
        <x:v>PRJ-006</x:v>
      </x:c>
      <x:c r="D3667" s="4" t="str">
        <x:v>Apartment</x:v>
      </x:c>
      <x:c r="E3667" s="4" t="str">
        <x:v>Enquiry</x:v>
      </x:c>
      <x:c r="F3667" s="4" t="str">
        <x:v>CUS-03666</x:v>
      </x:c>
      <x:c r="G3667" s="4" t="str">
        <x:v>UNIT-03666</x:v>
      </x:c>
      <x:c r="H3667" s="9" t="n">
        <x:v>6700000</x:v>
      </x:c>
      <x:c r="I3667" s="10" t="n">
        <x:v>0.03</x:v>
      </x:c>
      <x:c r="J3667" s="11" t="n">
        <x:v>10</x:v>
      </x:c>
      <x:c r="K3667" s="11" t="n">
        <x:v>7</x:v>
      </x:c>
      <x:c r="L3667" s="11" t="n">
        <x:v>0</x:v>
      </x:c>
      <x:c r="M3667" s="9" t="n">
        <x:f>ROUND(H3667*(1-I3667),2)</x:f>
        <x:v>6499000</x:v>
      </x:c>
      <x:c r="N3667" s="4" t="str">
        <x:v>Sales manager</x:v>
      </x:c>
      <x:c r="O3667" s="4"/>
      <x:c r="P3667" s="9" t="n">
        <x:v>0</x:v>
      </x:c>
      <x:c r="Q3667" s="11" t="n">
        <x:v>0</x:v>
      </x:c>
      <x:c r="R3667" s="8" t="n">
        <x:v>45590</x:v>
      </x:c>
      <x:c r="S3667" s="4" t="str">
        <x:v>Retained</x:v>
      </x:c>
      <x:c r="T3667" s="10" t="n">
        <x:v>0.310195</x:v>
      </x:c>
      <x:c r="U3667" s="4" t="str">
        <x:v>Test</x:v>
      </x:c>
    </x:row>
    <x:row r="3668" ht="34" customHeight="1">
      <x:c r="A3668" s="4" t="str">
        <x:v>RS-03667</x:v>
      </x:c>
      <x:c r="B3668" s="8" t="n">
        <x:v>45531</x:v>
      </x:c>
      <x:c r="C3668" s="4" t="str">
        <x:v>PRJ-007</x:v>
      </x:c>
      <x:c r="D3668" s="4" t="str">
        <x:v>Apartment</x:v>
      </x:c>
      <x:c r="E3668" s="4" t="str">
        <x:v>Handed over</x:v>
      </x:c>
      <x:c r="F3668" s="4" t="str">
        <x:v>CUS-03667</x:v>
      </x:c>
      <x:c r="G3668" s="4" t="str">
        <x:v>UNIT-03667</x:v>
      </x:c>
      <x:c r="H3668" s="9" t="n">
        <x:v>24500000</x:v>
      </x:c>
      <x:c r="I3668" s="10" t="n">
        <x:v>0.06</x:v>
      </x:c>
      <x:c r="J3668" s="11" t="n">
        <x:v>10</x:v>
      </x:c>
      <x:c r="K3668" s="11" t="n">
        <x:v>5</x:v>
      </x:c>
      <x:c r="L3668" s="11" t="n">
        <x:v>1</x:v>
      </x:c>
      <x:c r="M3668" s="9" t="n">
        <x:f>ROUND(H3668*(1-I3668),2)</x:f>
        <x:v>23030000</x:v>
      </x:c>
      <x:c r="N3668" s="4" t="str">
        <x:v>Sales manager</x:v>
      </x:c>
      <x:c r="O3668" s="4" t="str">
        <x:v>BOOK-03667</x:v>
      </x:c>
      <x:c r="P3668" s="9" t="n">
        <x:v>5757500</x:v>
      </x:c>
      <x:c r="Q3668" s="11" t="n">
        <x:v>0</x:v>
      </x:c>
      <x:c r="R3668" s="8" t="n">
        <x:v>45591</x:v>
      </x:c>
      <x:c r="S3668" s="4" t="str">
        <x:v>Retained</x:v>
      </x:c>
      <x:c r="T3668" s="10" t="n">
        <x:v>0.310195</x:v>
      </x:c>
      <x:c r="U3668" s="4" t="str">
        <x:v>Test</x:v>
      </x:c>
    </x:row>
    <x:row r="3669" ht="34" customHeight="1">
      <x:c r="A3669" s="4" t="str">
        <x:v>RS-03668</x:v>
      </x:c>
      <x:c r="B3669" s="8" t="n">
        <x:v>45532</x:v>
      </x:c>
      <x:c r="C3669" s="4" t="str">
        <x:v>PRJ-008</x:v>
      </x:c>
      <x:c r="D3669" s="4" t="str">
        <x:v>Villa</x:v>
      </x:c>
      <x:c r="E3669" s="4" t="str">
        <x:v>Cancelled</x:v>
      </x:c>
      <x:c r="F3669" s="4" t="str">
        <x:v>CUS-03668</x:v>
      </x:c>
      <x:c r="G3669" s="4" t="str">
        <x:v>UNIT-03668</x:v>
      </x:c>
      <x:c r="H3669" s="9" t="n">
        <x:v>6700000</x:v>
      </x:c>
      <x:c r="I3669" s="10" t="n">
        <x:v>0.08</x:v>
      </x:c>
      <x:c r="J3669" s="11" t="n">
        <x:v>7</x:v>
      </x:c>
      <x:c r="K3669" s="11" t="n">
        <x:v>3</x:v>
      </x:c>
      <x:c r="L3669" s="11" t="n">
        <x:v>1</x:v>
      </x:c>
      <x:c r="M3669" s="9" t="n">
        <x:f>ROUND(H3669*(1-I3669),2)</x:f>
        <x:v>6164000</x:v>
      </x:c>
      <x:c r="N3669" s="4" t="str">
        <x:v>Sales head</x:v>
      </x:c>
      <x:c r="O3669" s="4"/>
      <x:c r="P3669" s="9" t="n">
        <x:v>0</x:v>
      </x:c>
      <x:c r="Q3669" s="11" t="n">
        <x:v>1</x:v>
      </x:c>
      <x:c r="R3669" s="8" t="n">
        <x:v>45592</x:v>
      </x:c>
      <x:c r="S3669" s="4" t="str">
        <x:v>Lost / cancelled</x:v>
      </x:c>
      <x:c r="T3669" s="10" t="n">
        <x:v>0.291946</x:v>
      </x:c>
      <x:c r="U3669" s="4" t="str">
        <x:v>Test</x:v>
      </x:c>
    </x:row>
    <x:row r="3670" ht="34" customHeight="1">
      <x:c r="A3670" s="4" t="str">
        <x:v>RS-03669</x:v>
      </x:c>
      <x:c r="B3670" s="8" t="n">
        <x:v>45505</x:v>
      </x:c>
      <x:c r="C3670" s="4" t="str">
        <x:v>PRJ-009</x:v>
      </x:c>
      <x:c r="D3670" s="4" t="str">
        <x:v>Retail</x:v>
      </x:c>
      <x:c r="E3670" s="4" t="str">
        <x:v>Handed over</x:v>
      </x:c>
      <x:c r="F3670" s="4" t="str">
        <x:v>CUS-03669</x:v>
      </x:c>
      <x:c r="G3670" s="4" t="str">
        <x:v>UNIT-03669</x:v>
      </x:c>
      <x:c r="H3670" s="9" t="n">
        <x:v>16700000</x:v>
      </x:c>
      <x:c r="I3670" s="10" t="n">
        <x:v>0.07</x:v>
      </x:c>
      <x:c r="J3670" s="11" t="n">
        <x:v>9</x:v>
      </x:c>
      <x:c r="K3670" s="11" t="n">
        <x:v>3</x:v>
      </x:c>
      <x:c r="L3670" s="11" t="n">
        <x:v>0</x:v>
      </x:c>
      <x:c r="M3670" s="9" t="n">
        <x:f>ROUND(H3670*(1-I3670),2)</x:f>
        <x:v>15531000</x:v>
      </x:c>
      <x:c r="N3670" s="4" t="str">
        <x:v>Sales manager</x:v>
      </x:c>
      <x:c r="O3670" s="4" t="str">
        <x:v>BOOK-03669</x:v>
      </x:c>
      <x:c r="P3670" s="9" t="n">
        <x:v>15531000</x:v>
      </x:c>
      <x:c r="Q3670" s="11" t="n">
        <x:v>0</x:v>
      </x:c>
      <x:c r="R3670" s="8" t="n">
        <x:v>45565</x:v>
      </x:c>
      <x:c r="S3670" s="4" t="str">
        <x:v>Retained</x:v>
      </x:c>
      <x:c r="T3670" s="10" t="n">
        <x:v>0.310195</x:v>
      </x:c>
      <x:c r="U3670" s="4" t="str">
        <x:v>Test</x:v>
      </x:c>
    </x:row>
    <x:row r="3671" ht="34" customHeight="1">
      <x:c r="A3671" s="4" t="str">
        <x:v>RS-03670</x:v>
      </x:c>
      <x:c r="B3671" s="8" t="n">
        <x:v>45506</x:v>
      </x:c>
      <x:c r="C3671" s="4" t="str">
        <x:v>PRJ-010</x:v>
      </x:c>
      <x:c r="D3671" s="4" t="str">
        <x:v>Office</x:v>
      </x:c>
      <x:c r="E3671" s="4" t="str">
        <x:v>Handed over</x:v>
      </x:c>
      <x:c r="F3671" s="4" t="str">
        <x:v>CUS-03670</x:v>
      </x:c>
      <x:c r="G3671" s="4" t="str">
        <x:v>UNIT-03670</x:v>
      </x:c>
      <x:c r="H3671" s="9" t="n">
        <x:v>11200000</x:v>
      </x:c>
      <x:c r="I3671" s="10" t="n">
        <x:v>0.06</x:v>
      </x:c>
      <x:c r="J3671" s="11" t="n">
        <x:v>3</x:v>
      </x:c>
      <x:c r="K3671" s="11" t="n">
        <x:v>9</x:v>
      </x:c>
      <x:c r="L3671" s="11" t="n">
        <x:v>1</x:v>
      </x:c>
      <x:c r="M3671" s="9" t="n">
        <x:f>ROUND(H3671*(1-I3671),2)</x:f>
        <x:v>10528000</x:v>
      </x:c>
      <x:c r="N3671" s="4" t="str">
        <x:v>Sales manager</x:v>
      </x:c>
      <x:c r="O3671" s="4" t="str">
        <x:v>BOOK-03670</x:v>
      </x:c>
      <x:c r="P3671" s="9" t="n">
        <x:v>5264000</x:v>
      </x:c>
      <x:c r="Q3671" s="11" t="n">
        <x:v>0</x:v>
      </x:c>
      <x:c r="R3671" s="8" t="n">
        <x:v>45566</x:v>
      </x:c>
      <x:c r="S3671" s="4" t="str">
        <x:v>Retained</x:v>
      </x:c>
      <x:c r="T3671" s="10" t="n">
        <x:v>0.204152</x:v>
      </x:c>
      <x:c r="U3671" s="4" t="str">
        <x:v>Test</x:v>
      </x:c>
    </x:row>
    <x:row r="3672" ht="34" customHeight="1">
      <x:c r="A3672" s="4" t="str">
        <x:v>RS-03671</x:v>
      </x:c>
      <x:c r="B3672" s="8" t="n">
        <x:v>45507</x:v>
      </x:c>
      <x:c r="C3672" s="4" t="str">
        <x:v>PRJ-011</x:v>
      </x:c>
      <x:c r="D3672" s="4" t="str">
        <x:v>Apartment</x:v>
      </x:c>
      <x:c r="E3672" s="4" t="str">
        <x:v>Cancelled</x:v>
      </x:c>
      <x:c r="F3672" s="4" t="str">
        <x:v>CUS-03671</x:v>
      </x:c>
      <x:c r="G3672" s="4" t="str">
        <x:v>UNIT-03671</x:v>
      </x:c>
      <x:c r="H3672" s="9" t="n">
        <x:v>19700000</x:v>
      </x:c>
      <x:c r="I3672" s="10" t="n">
        <x:v>0.07</x:v>
      </x:c>
      <x:c r="J3672" s="11" t="n">
        <x:v>10</x:v>
      </x:c>
      <x:c r="K3672" s="11" t="n">
        <x:v>10</x:v>
      </x:c>
      <x:c r="L3672" s="11" t="n">
        <x:v>1</x:v>
      </x:c>
      <x:c r="M3672" s="9" t="n">
        <x:f>ROUND(H3672*(1-I3672),2)</x:f>
        <x:v>18321000</x:v>
      </x:c>
      <x:c r="N3672" s="4" t="str">
        <x:v>Sales manager</x:v>
      </x:c>
      <x:c r="O3672" s="4"/>
      <x:c r="P3672" s="9" t="n">
        <x:v>0</x:v>
      </x:c>
      <x:c r="Q3672" s="11" t="n">
        <x:v>1</x:v>
      </x:c>
      <x:c r="R3672" s="8" t="n">
        <x:v>45567</x:v>
      </x:c>
      <x:c r="S3672" s="4" t="str">
        <x:v>Lost / cancelled</x:v>
      </x:c>
      <x:c r="T3672" s="10" t="n">
        <x:v>0.310195</x:v>
      </x:c>
      <x:c r="U3672" s="4" t="str">
        <x:v>Test</x:v>
      </x:c>
    </x:row>
    <x:row r="3673" ht="34" customHeight="1">
      <x:c r="A3673" s="4" t="str">
        <x:v>RS-03672</x:v>
      </x:c>
      <x:c r="B3673" s="8" t="n">
        <x:v>45508</x:v>
      </x:c>
      <x:c r="C3673" s="4" t="str">
        <x:v>PRJ-012</x:v>
      </x:c>
      <x:c r="D3673" s="4" t="str">
        <x:v>Villa</x:v>
      </x:c>
      <x:c r="E3673" s="4" t="str">
        <x:v>Booked</x:v>
      </x:c>
      <x:c r="F3673" s="4" t="str">
        <x:v>CUS-03672</x:v>
      </x:c>
      <x:c r="G3673" s="4" t="str">
        <x:v>UNIT-03672</x:v>
      </x:c>
      <x:c r="H3673" s="9" t="n">
        <x:v>11700000</x:v>
      </x:c>
      <x:c r="I3673" s="10" t="n">
        <x:v>0.07</x:v>
      </x:c>
      <x:c r="J3673" s="11" t="n">
        <x:v>7</x:v>
      </x:c>
      <x:c r="K3673" s="11" t="n">
        <x:v>5</x:v>
      </x:c>
      <x:c r="L3673" s="11" t="n">
        <x:v>1</x:v>
      </x:c>
      <x:c r="M3673" s="9" t="n">
        <x:f>ROUND(H3673*(1-I3673),2)</x:f>
        <x:v>10881000</x:v>
      </x:c>
      <x:c r="N3673" s="4" t="str">
        <x:v>Sales manager</x:v>
      </x:c>
      <x:c r="O3673" s="4" t="str">
        <x:v>BOOK-03672</x:v>
      </x:c>
      <x:c r="P3673" s="9" t="n">
        <x:v>5440500</x:v>
      </x:c>
      <x:c r="Q3673" s="11" t="n">
        <x:v>0</x:v>
      </x:c>
      <x:c r="R3673" s="8" t="n">
        <x:v>45568</x:v>
      </x:c>
      <x:c r="S3673" s="4" t="str">
        <x:v>Retained</x:v>
      </x:c>
      <x:c r="T3673" s="10" t="n">
        <x:v>0.291946</x:v>
      </x:c>
      <x:c r="U3673" s="4" t="str">
        <x:v>Test</x:v>
      </x:c>
    </x:row>
    <x:row r="3674" ht="34" customHeight="1">
      <x:c r="A3674" s="4" t="str">
        <x:v>RS-03673</x:v>
      </x:c>
      <x:c r="B3674" s="8" t="n">
        <x:v>45509</x:v>
      </x:c>
      <x:c r="C3674" s="4" t="str">
        <x:v>PRJ-013</x:v>
      </x:c>
      <x:c r="D3674" s="4" t="str">
        <x:v>Villa</x:v>
      </x:c>
      <x:c r="E3674" s="4" t="str">
        <x:v>Booked</x:v>
      </x:c>
      <x:c r="F3674" s="4" t="str">
        <x:v>CUS-03673</x:v>
      </x:c>
      <x:c r="G3674" s="4" t="str">
        <x:v>UNIT-03673</x:v>
      </x:c>
      <x:c r="H3674" s="9" t="n">
        <x:v>3300000</x:v>
      </x:c>
      <x:c r="I3674" s="10" t="n">
        <x:v>0.06</x:v>
      </x:c>
      <x:c r="J3674" s="11" t="n">
        <x:v>0</x:v>
      </x:c>
      <x:c r="K3674" s="11" t="n">
        <x:v>7</x:v>
      </x:c>
      <x:c r="L3674" s="11" t="n">
        <x:v>1</x:v>
      </x:c>
      <x:c r="M3674" s="9" t="n">
        <x:f>ROUND(H3674*(1-I3674),2)</x:f>
        <x:v>3102000</x:v>
      </x:c>
      <x:c r="N3674" s="4" t="str">
        <x:v>Sales manager</x:v>
      </x:c>
      <x:c r="O3674" s="4" t="str">
        <x:v>BOOK-03673</x:v>
      </x:c>
      <x:c r="P3674" s="9" t="n">
        <x:v>1551000</x:v>
      </x:c>
      <x:c r="Q3674" s="11" t="n">
        <x:v>0</x:v>
      </x:c>
      <x:c r="R3674" s="8" t="n">
        <x:v>45569</x:v>
      </x:c>
      <x:c r="S3674" s="4" t="str">
        <x:v>Retained</x:v>
      </x:c>
      <x:c r="T3674" s="10" t="n">
        <x:v>0.204152</x:v>
      </x:c>
      <x:c r="U3674" s="4" t="str">
        <x:v>Test</x:v>
      </x:c>
    </x:row>
    <x:row r="3675" ht="34" customHeight="1">
      <x:c r="A3675" s="4" t="str">
        <x:v>RS-03674</x:v>
      </x:c>
      <x:c r="B3675" s="8" t="n">
        <x:v>45510</x:v>
      </x:c>
      <x:c r="C3675" s="4" t="str">
        <x:v>PRJ-014</x:v>
      </x:c>
      <x:c r="D3675" s="4" t="str">
        <x:v>Villa</x:v>
      </x:c>
      <x:c r="E3675" s="4" t="str">
        <x:v>Agreement signed</x:v>
      </x:c>
      <x:c r="F3675" s="4" t="str">
        <x:v>CUS-03674</x:v>
      </x:c>
      <x:c r="G3675" s="4" t="str">
        <x:v>UNIT-03674</x:v>
      </x:c>
      <x:c r="H3675" s="9" t="n">
        <x:v>19800000</x:v>
      </x:c>
      <x:c r="I3675" s="10" t="n">
        <x:v>0.02</x:v>
      </x:c>
      <x:c r="J3675" s="11" t="n">
        <x:v>10</x:v>
      </x:c>
      <x:c r="K3675" s="11" t="n">
        <x:v>0</x:v>
      </x:c>
      <x:c r="L3675" s="11" t="n">
        <x:v>0</x:v>
      </x:c>
      <x:c r="M3675" s="9" t="n">
        <x:f>ROUND(H3675*(1-I3675),2)</x:f>
        <x:v>19404000</x:v>
      </x:c>
      <x:c r="N3675" s="4" t="str">
        <x:v>Sales manager</x:v>
      </x:c>
      <x:c r="O3675" s="4" t="str">
        <x:v>BOOK-03674</x:v>
      </x:c>
      <x:c r="P3675" s="9" t="n">
        <x:v>19404000</x:v>
      </x:c>
      <x:c r="Q3675" s="11" t="n">
        <x:v>0</x:v>
      </x:c>
      <x:c r="R3675" s="8" t="n">
        <x:v>45570</x:v>
      </x:c>
      <x:c r="S3675" s="4" t="str">
        <x:v>Retained</x:v>
      </x:c>
      <x:c r="T3675" s="10" t="n">
        <x:v>0.305556</x:v>
      </x:c>
      <x:c r="U3675" s="4" t="str">
        <x:v>Test</x:v>
      </x:c>
    </x:row>
    <x:row r="3676" ht="34" customHeight="1">
      <x:c r="A3676" s="4" t="str">
        <x:v>RS-03675</x:v>
      </x:c>
      <x:c r="B3676" s="8" t="n">
        <x:v>45511</x:v>
      </x:c>
      <x:c r="C3676" s="4" t="str">
        <x:v>PRJ-015</x:v>
      </x:c>
      <x:c r="D3676" s="4" t="str">
        <x:v>Retail</x:v>
      </x:c>
      <x:c r="E3676" s="4" t="str">
        <x:v>Booked</x:v>
      </x:c>
      <x:c r="F3676" s="4" t="str">
        <x:v>CUS-03675</x:v>
      </x:c>
      <x:c r="G3676" s="4" t="str">
        <x:v>UNIT-03675</x:v>
      </x:c>
      <x:c r="H3676" s="9" t="n">
        <x:v>15500000</x:v>
      </x:c>
      <x:c r="I3676" s="10" t="n">
        <x:v>0.03</x:v>
      </x:c>
      <x:c r="J3676" s="11" t="n">
        <x:v>4</x:v>
      </x:c>
      <x:c r="K3676" s="11" t="n">
        <x:v>10</x:v>
      </x:c>
      <x:c r="L3676" s="11" t="n">
        <x:v>1</x:v>
      </x:c>
      <x:c r="M3676" s="9" t="n">
        <x:f>ROUND(H3676*(1-I3676),2)</x:f>
        <x:v>15035000</x:v>
      </x:c>
      <x:c r="N3676" s="4" t="str">
        <x:v>Sales manager</x:v>
      </x:c>
      <x:c r="O3676" s="4" t="str">
        <x:v>BOOK-03675</x:v>
      </x:c>
      <x:c r="P3676" s="9" t="n">
        <x:v>15035000</x:v>
      </x:c>
      <x:c r="Q3676" s="11" t="n">
        <x:v>0</x:v>
      </x:c>
      <x:c r="R3676" s="8" t="n">
        <x:v>45571</x:v>
      </x:c>
      <x:c r="S3676" s="4" t="str">
        <x:v>Retained</x:v>
      </x:c>
      <x:c r="T3676" s="10" t="n">
        <x:v>0.145299</x:v>
      </x:c>
      <x:c r="U3676" s="4" t="str">
        <x:v>Test</x:v>
      </x:c>
    </x:row>
    <x:row r="3677" ht="34" customHeight="1">
      <x:c r="A3677" s="4" t="str">
        <x:v>RS-03676</x:v>
      </x:c>
      <x:c r="B3677" s="8" t="n">
        <x:v>45512</x:v>
      </x:c>
      <x:c r="C3677" s="4" t="str">
        <x:v>PRJ-016</x:v>
      </x:c>
      <x:c r="D3677" s="4" t="str">
        <x:v>Office</x:v>
      </x:c>
      <x:c r="E3677" s="4" t="str">
        <x:v>Booked</x:v>
      </x:c>
      <x:c r="F3677" s="4" t="str">
        <x:v>CUS-03676</x:v>
      </x:c>
      <x:c r="G3677" s="4" t="str">
        <x:v>UNIT-03676</x:v>
      </x:c>
      <x:c r="H3677" s="9" t="n">
        <x:v>22600000</x:v>
      </x:c>
      <x:c r="I3677" s="10" t="n">
        <x:v>0.09</x:v>
      </x:c>
      <x:c r="J3677" s="11" t="n">
        <x:v>2</x:v>
      </x:c>
      <x:c r="K3677" s="11" t="n">
        <x:v>5</x:v>
      </x:c>
      <x:c r="L3677" s="11" t="n">
        <x:v>1</x:v>
      </x:c>
      <x:c r="M3677" s="9" t="n">
        <x:f>ROUND(H3677*(1-I3677),2)</x:f>
        <x:v>20566000</x:v>
      </x:c>
      <x:c r="N3677" s="4" t="str">
        <x:v>Sales head</x:v>
      </x:c>
      <x:c r="O3677" s="4" t="str">
        <x:v>BOOK-03676</x:v>
      </x:c>
      <x:c r="P3677" s="9" t="n">
        <x:v>10283000</x:v>
      </x:c>
      <x:c r="Q3677" s="11" t="n">
        <x:v>0</x:v>
      </x:c>
      <x:c r="R3677" s="8" t="n">
        <x:v>45572</x:v>
      </x:c>
      <x:c r="S3677" s="4" t="str">
        <x:v>Retained</x:v>
      </x:c>
      <x:c r="T3677" s="10" t="n">
        <x:v>0.145833</x:v>
      </x:c>
      <x:c r="U3677" s="4" t="str">
        <x:v>Test</x:v>
      </x:c>
    </x:row>
    <x:row r="3678" ht="34" customHeight="1">
      <x:c r="A3678" s="4" t="str">
        <x:v>RS-03677</x:v>
      </x:c>
      <x:c r="B3678" s="8" t="n">
        <x:v>45513</x:v>
      </x:c>
      <x:c r="C3678" s="4" t="str">
        <x:v>PRJ-017</x:v>
      </x:c>
      <x:c r="D3678" s="4" t="str">
        <x:v>Office</x:v>
      </x:c>
      <x:c r="E3678" s="4" t="str">
        <x:v>Booked</x:v>
      </x:c>
      <x:c r="F3678" s="4" t="str">
        <x:v>CUS-03677</x:v>
      </x:c>
      <x:c r="G3678" s="4" t="str">
        <x:v>UNIT-03677</x:v>
      </x:c>
      <x:c r="H3678" s="9" t="n">
        <x:v>22200000</x:v>
      </x:c>
      <x:c r="I3678" s="10" t="n">
        <x:v>0</x:v>
      </x:c>
      <x:c r="J3678" s="11" t="n">
        <x:v>9</x:v>
      </x:c>
      <x:c r="K3678" s="11" t="n">
        <x:v>4</x:v>
      </x:c>
      <x:c r="L3678" s="11" t="n">
        <x:v>0</x:v>
      </x:c>
      <x:c r="M3678" s="9" t="n">
        <x:f>ROUND(H3678*(1-I3678),2)</x:f>
        <x:v>22200000</x:v>
      </x:c>
      <x:c r="N3678" s="4" t="str">
        <x:v>Sales manager</x:v>
      </x:c>
      <x:c r="O3678" s="4" t="str">
        <x:v>BOOK-03677</x:v>
      </x:c>
      <x:c r="P3678" s="9" t="n">
        <x:v>5550000</x:v>
      </x:c>
      <x:c r="Q3678" s="11" t="n">
        <x:v>0</x:v>
      </x:c>
      <x:c r="R3678" s="8" t="n">
        <x:v>45573</x:v>
      </x:c>
      <x:c r="S3678" s="4" t="str">
        <x:v>Retained</x:v>
      </x:c>
      <x:c r="T3678" s="10" t="n">
        <x:v>0.305556</x:v>
      </x:c>
      <x:c r="U3678" s="4" t="str">
        <x:v>Test</x:v>
      </x:c>
    </x:row>
    <x:row r="3679" ht="34" customHeight="1">
      <x:c r="A3679" s="4" t="str">
        <x:v>RS-03678</x:v>
      </x:c>
      <x:c r="B3679" s="8" t="n">
        <x:v>45514</x:v>
      </x:c>
      <x:c r="C3679" s="4" t="str">
        <x:v>PRJ-018</x:v>
      </x:c>
      <x:c r="D3679" s="4" t="str">
        <x:v>Retail</x:v>
      </x:c>
      <x:c r="E3679" s="4" t="str">
        <x:v>Cancelled</x:v>
      </x:c>
      <x:c r="F3679" s="4" t="str">
        <x:v>CUS-03678</x:v>
      </x:c>
      <x:c r="G3679" s="4" t="str">
        <x:v>UNIT-03678</x:v>
      </x:c>
      <x:c r="H3679" s="9" t="n">
        <x:v>21200000</x:v>
      </x:c>
      <x:c r="I3679" s="10" t="n">
        <x:v>0.03</x:v>
      </x:c>
      <x:c r="J3679" s="11" t="n">
        <x:v>9</x:v>
      </x:c>
      <x:c r="K3679" s="11" t="n">
        <x:v>4</x:v>
      </x:c>
      <x:c r="L3679" s="11" t="n">
        <x:v>1</x:v>
      </x:c>
      <x:c r="M3679" s="9" t="n">
        <x:f>ROUND(H3679*(1-I3679),2)</x:f>
        <x:v>20564000</x:v>
      </x:c>
      <x:c r="N3679" s="4" t="str">
        <x:v>Sales manager</x:v>
      </x:c>
      <x:c r="O3679" s="4"/>
      <x:c r="P3679" s="9" t="n">
        <x:v>0</x:v>
      </x:c>
      <x:c r="Q3679" s="11" t="n">
        <x:v>1</x:v>
      </x:c>
      <x:c r="R3679" s="8" t="n">
        <x:v>45574</x:v>
      </x:c>
      <x:c r="S3679" s="4" t="str">
        <x:v>Lost / cancelled</x:v>
      </x:c>
      <x:c r="T3679" s="10" t="n">
        <x:v>0.310195</x:v>
      </x:c>
      <x:c r="U3679" s="4" t="str">
        <x:v>Test</x:v>
      </x:c>
    </x:row>
    <x:row r="3680" ht="34" customHeight="1">
      <x:c r="A3680" s="4" t="str">
        <x:v>RS-03679</x:v>
      </x:c>
      <x:c r="B3680" s="8" t="n">
        <x:v>45515</x:v>
      </x:c>
      <x:c r="C3680" s="4" t="str">
        <x:v>PRJ-019</x:v>
      </x:c>
      <x:c r="D3680" s="4" t="str">
        <x:v>Office</x:v>
      </x:c>
      <x:c r="E3680" s="4" t="str">
        <x:v>Handed over</x:v>
      </x:c>
      <x:c r="F3680" s="4" t="str">
        <x:v>CUS-03679</x:v>
      </x:c>
      <x:c r="G3680" s="4" t="str">
        <x:v>UNIT-03679</x:v>
      </x:c>
      <x:c r="H3680" s="9" t="n">
        <x:v>8400000</x:v>
      </x:c>
      <x:c r="I3680" s="10" t="n">
        <x:v>0.08</x:v>
      </x:c>
      <x:c r="J3680" s="11" t="n">
        <x:v>0</x:v>
      </x:c>
      <x:c r="K3680" s="11" t="n">
        <x:v>4</x:v>
      </x:c>
      <x:c r="L3680" s="11" t="n">
        <x:v>0</x:v>
      </x:c>
      <x:c r="M3680" s="9" t="n">
        <x:f>ROUND(H3680*(1-I3680),2)</x:f>
        <x:v>7728000</x:v>
      </x:c>
      <x:c r="N3680" s="4" t="str">
        <x:v>Sales head</x:v>
      </x:c>
      <x:c r="O3680" s="4" t="str">
        <x:v>BOOK-03679</x:v>
      </x:c>
      <x:c r="P3680" s="9" t="n">
        <x:v>772800</x:v>
      </x:c>
      <x:c r="Q3680" s="11" t="n">
        <x:v>0</x:v>
      </x:c>
      <x:c r="R3680" s="8" t="n">
        <x:v>45575</x:v>
      </x:c>
      <x:c r="S3680" s="4" t="str">
        <x:v>Retained</x:v>
      </x:c>
      <x:c r="T3680" s="10" t="n">
        <x:v>0.204152</x:v>
      </x:c>
      <x:c r="U3680" s="4" t="str">
        <x:v>Test</x:v>
      </x:c>
    </x:row>
    <x:row r="3681" ht="34" customHeight="1">
      <x:c r="A3681" s="4" t="str">
        <x:v>RS-03680</x:v>
      </x:c>
      <x:c r="B3681" s="8" t="n">
        <x:v>45516</x:v>
      </x:c>
      <x:c r="C3681" s="4" t="str">
        <x:v>PRJ-020</x:v>
      </x:c>
      <x:c r="D3681" s="4" t="str">
        <x:v>Retail</x:v>
      </x:c>
      <x:c r="E3681" s="4" t="str">
        <x:v>Agreement signed</x:v>
      </x:c>
      <x:c r="F3681" s="4" t="str">
        <x:v>CUS-03680</x:v>
      </x:c>
      <x:c r="G3681" s="4" t="str">
        <x:v>UNIT-03680</x:v>
      </x:c>
      <x:c r="H3681" s="9" t="n">
        <x:v>21500000</x:v>
      </x:c>
      <x:c r="I3681" s="10" t="n">
        <x:v>0.02</x:v>
      </x:c>
      <x:c r="J3681" s="11" t="n">
        <x:v>4</x:v>
      </x:c>
      <x:c r="K3681" s="11" t="n">
        <x:v>2</x:v>
      </x:c>
      <x:c r="L3681" s="11" t="n">
        <x:v>0</x:v>
      </x:c>
      <x:c r="M3681" s="9" t="n">
        <x:f>ROUND(H3681*(1-I3681),2)</x:f>
        <x:v>21070000</x:v>
      </x:c>
      <x:c r="N3681" s="4" t="str">
        <x:v>Sales manager</x:v>
      </x:c>
      <x:c r="O3681" s="4" t="str">
        <x:v>BOOK-03680</x:v>
      </x:c>
      <x:c r="P3681" s="9" t="n">
        <x:v>2107000</x:v>
      </x:c>
      <x:c r="Q3681" s="11" t="n">
        <x:v>0</x:v>
      </x:c>
      <x:c r="R3681" s="8" t="n">
        <x:v>45576</x:v>
      </x:c>
      <x:c r="S3681" s="4" t="str">
        <x:v>Retained</x:v>
      </x:c>
      <x:c r="T3681" s="10" t="n">
        <x:v>0.298969</x:v>
      </x:c>
      <x:c r="U3681" s="4" t="str">
        <x:v>Test</x:v>
      </x:c>
    </x:row>
    <x:row r="3682" ht="34" customHeight="1">
      <x:c r="A3682" s="4" t="str">
        <x:v>RS-03681</x:v>
      </x:c>
      <x:c r="B3682" s="8" t="n">
        <x:v>45517</x:v>
      </x:c>
      <x:c r="C3682" s="4" t="str">
        <x:v>PRJ-001</x:v>
      </x:c>
      <x:c r="D3682" s="4" t="str">
        <x:v>Office</x:v>
      </x:c>
      <x:c r="E3682" s="4" t="str">
        <x:v>Agreement signed</x:v>
      </x:c>
      <x:c r="F3682" s="4" t="str">
        <x:v>CUS-03681</x:v>
      </x:c>
      <x:c r="G3682" s="4" t="str">
        <x:v>UNIT-03681</x:v>
      </x:c>
      <x:c r="H3682" s="9" t="n">
        <x:v>18800000</x:v>
      </x:c>
      <x:c r="I3682" s="10" t="n">
        <x:v>0.07</x:v>
      </x:c>
      <x:c r="J3682" s="11" t="n">
        <x:v>12</x:v>
      </x:c>
      <x:c r="K3682" s="11" t="n">
        <x:v>8</x:v>
      </x:c>
      <x:c r="L3682" s="11" t="n">
        <x:v>1</x:v>
      </x:c>
      <x:c r="M3682" s="9" t="n">
        <x:f>ROUND(H3682*(1-I3682),2)</x:f>
        <x:v>17484000</x:v>
      </x:c>
      <x:c r="N3682" s="4" t="str">
        <x:v>Sales manager</x:v>
      </x:c>
      <x:c r="O3682" s="4" t="str">
        <x:v>BOOK-03681</x:v>
      </x:c>
      <x:c r="P3682" s="9" t="n">
        <x:v>8742000</x:v>
      </x:c>
      <x:c r="Q3682" s="11" t="n">
        <x:v>0</x:v>
      </x:c>
      <x:c r="R3682" s="8" t="n">
        <x:v>45577</x:v>
      </x:c>
      <x:c r="S3682" s="4" t="str">
        <x:v>Retained</x:v>
      </x:c>
      <x:c r="T3682" s="10" t="n">
        <x:v>0.351536</x:v>
      </x:c>
      <x:c r="U3682" s="4" t="str">
        <x:v>Test</x:v>
      </x:c>
    </x:row>
    <x:row r="3683" ht="34" customHeight="1">
      <x:c r="A3683" s="4" t="str">
        <x:v>RS-03682</x:v>
      </x:c>
      <x:c r="B3683" s="8" t="n">
        <x:v>45518</x:v>
      </x:c>
      <x:c r="C3683" s="4" t="str">
        <x:v>PRJ-002</x:v>
      </x:c>
      <x:c r="D3683" s="4" t="str">
        <x:v>Villa</x:v>
      </x:c>
      <x:c r="E3683" s="4" t="str">
        <x:v>Agreement signed</x:v>
      </x:c>
      <x:c r="F3683" s="4" t="str">
        <x:v>CUS-03682</x:v>
      </x:c>
      <x:c r="G3683" s="4" t="str">
        <x:v>UNIT-03682</x:v>
      </x:c>
      <x:c r="H3683" s="9" t="n">
        <x:v>19700000</x:v>
      </x:c>
      <x:c r="I3683" s="10" t="n">
        <x:v>0.05</x:v>
      </x:c>
      <x:c r="J3683" s="11" t="n">
        <x:v>12</x:v>
      </x:c>
      <x:c r="K3683" s="11" t="n">
        <x:v>6</x:v>
      </x:c>
      <x:c r="L3683" s="11" t="n">
        <x:v>1</x:v>
      </x:c>
      <x:c r="M3683" s="9" t="n">
        <x:f>ROUND(H3683*(1-I3683),2)</x:f>
        <x:v>18715000</x:v>
      </x:c>
      <x:c r="N3683" s="4" t="str">
        <x:v>Sales manager</x:v>
      </x:c>
      <x:c r="O3683" s="4" t="str">
        <x:v>BOOK-03682</x:v>
      </x:c>
      <x:c r="P3683" s="9" t="n">
        <x:v>18715000</x:v>
      </x:c>
      <x:c r="Q3683" s="11" t="n">
        <x:v>0</x:v>
      </x:c>
      <x:c r="R3683" s="8" t="n">
        <x:v>45578</x:v>
      </x:c>
      <x:c r="S3683" s="4" t="str">
        <x:v>Retained</x:v>
      </x:c>
      <x:c r="T3683" s="10" t="n">
        <x:v>0.351536</x:v>
      </x:c>
      <x:c r="U3683" s="4" t="str">
        <x:v>Test</x:v>
      </x:c>
    </x:row>
    <x:row r="3684" ht="34" customHeight="1">
      <x:c r="A3684" s="4" t="str">
        <x:v>RS-03683</x:v>
      </x:c>
      <x:c r="B3684" s="8" t="n">
        <x:v>45519</x:v>
      </x:c>
      <x:c r="C3684" s="4" t="str">
        <x:v>PRJ-003</x:v>
      </x:c>
      <x:c r="D3684" s="4" t="str">
        <x:v>Office</x:v>
      </x:c>
      <x:c r="E3684" s="4" t="str">
        <x:v>Reserved</x:v>
      </x:c>
      <x:c r="F3684" s="4" t="str">
        <x:v>CUS-03683</x:v>
      </x:c>
      <x:c r="G3684" s="4" t="str">
        <x:v>UNIT-03683</x:v>
      </x:c>
      <x:c r="H3684" s="9" t="n">
        <x:v>14700000</x:v>
      </x:c>
      <x:c r="I3684" s="10" t="n">
        <x:v>0</x:v>
      </x:c>
      <x:c r="J3684" s="11" t="n">
        <x:v>3</x:v>
      </x:c>
      <x:c r="K3684" s="11" t="n">
        <x:v>6</x:v>
      </x:c>
      <x:c r="L3684" s="11" t="n">
        <x:v>0</x:v>
      </x:c>
      <x:c r="M3684" s="9" t="n">
        <x:f>ROUND(H3684*(1-I3684),2)</x:f>
        <x:v>14700000</x:v>
      </x:c>
      <x:c r="N3684" s="4" t="str">
        <x:v>Sales manager</x:v>
      </x:c>
      <x:c r="O3684" s="4"/>
      <x:c r="P3684" s="9" t="n">
        <x:v>0</x:v>
      </x:c>
      <x:c r="Q3684" s="11" t="n">
        <x:v>0</x:v>
      </x:c>
      <x:c r="R3684" s="8" t="n">
        <x:v>45579</x:v>
      </x:c>
      <x:c r="S3684" s="4" t="str">
        <x:v>Retained</x:v>
      </x:c>
      <x:c r="T3684" s="10" t="n">
        <x:v>0.171717</x:v>
      </x:c>
      <x:c r="U3684" s="4" t="str">
        <x:v>Test</x:v>
      </x:c>
    </x:row>
    <x:row r="3685" ht="34" customHeight="1">
      <x:c r="A3685" s="4" t="str">
        <x:v>RS-03684</x:v>
      </x:c>
      <x:c r="B3685" s="8" t="n">
        <x:v>45520</x:v>
      </x:c>
      <x:c r="C3685" s="4" t="str">
        <x:v>PRJ-004</x:v>
      </x:c>
      <x:c r="D3685" s="4" t="str">
        <x:v>Apartment</x:v>
      </x:c>
      <x:c r="E3685" s="4" t="str">
        <x:v>Reserved</x:v>
      </x:c>
      <x:c r="F3685" s="4" t="str">
        <x:v>CUS-03684</x:v>
      </x:c>
      <x:c r="G3685" s="4" t="str">
        <x:v>UNIT-03684</x:v>
      </x:c>
      <x:c r="H3685" s="9" t="n">
        <x:v>7100000</x:v>
      </x:c>
      <x:c r="I3685" s="10" t="n">
        <x:v>0.11</x:v>
      </x:c>
      <x:c r="J3685" s="11" t="n">
        <x:v>2</x:v>
      </x:c>
      <x:c r="K3685" s="11" t="n">
        <x:v>4</x:v>
      </x:c>
      <x:c r="L3685" s="11" t="n">
        <x:v>0</x:v>
      </x:c>
      <x:c r="M3685" s="9" t="n">
        <x:f>ROUND(H3685*(1-I3685),2)</x:f>
        <x:v>6319000</x:v>
      </x:c>
      <x:c r="N3685" s="4" t="str">
        <x:v>Sales head</x:v>
      </x:c>
      <x:c r="O3685" s="4"/>
      <x:c r="P3685" s="9" t="n">
        <x:v>0</x:v>
      </x:c>
      <x:c r="Q3685" s="11" t="n">
        <x:v>0</x:v>
      </x:c>
      <x:c r="R3685" s="8" t="n">
        <x:v>45580</x:v>
      </x:c>
      <x:c r="S3685" s="4" t="str">
        <x:v>Retained</x:v>
      </x:c>
      <x:c r="T3685" s="10" t="n">
        <x:v>0.145833</x:v>
      </x:c>
      <x:c r="U3685" s="4" t="str">
        <x:v>Test</x:v>
      </x:c>
    </x:row>
    <x:row r="3686" ht="34" customHeight="1">
      <x:c r="A3686" s="4" t="str">
        <x:v>RS-03685</x:v>
      </x:c>
      <x:c r="B3686" s="8" t="n">
        <x:v>45521</x:v>
      </x:c>
      <x:c r="C3686" s="4" t="str">
        <x:v>PRJ-005</x:v>
      </x:c>
      <x:c r="D3686" s="4" t="str">
        <x:v>Villa</x:v>
      </x:c>
      <x:c r="E3686" s="4" t="str">
        <x:v>Cancelled</x:v>
      </x:c>
      <x:c r="F3686" s="4" t="str">
        <x:v>CUS-03685</x:v>
      </x:c>
      <x:c r="G3686" s="4" t="str">
        <x:v>UNIT-03685</x:v>
      </x:c>
      <x:c r="H3686" s="9" t="n">
        <x:v>6900000</x:v>
      </x:c>
      <x:c r="I3686" s="10" t="n">
        <x:v>0.08</x:v>
      </x:c>
      <x:c r="J3686" s="11" t="n">
        <x:v>11</x:v>
      </x:c>
      <x:c r="K3686" s="11" t="n">
        <x:v>9</x:v>
      </x:c>
      <x:c r="L3686" s="11" t="n">
        <x:v>1</x:v>
      </x:c>
      <x:c r="M3686" s="9" t="n">
        <x:f>ROUND(H3686*(1-I3686),2)</x:f>
        <x:v>6348000</x:v>
      </x:c>
      <x:c r="N3686" s="4" t="str">
        <x:v>Sales head</x:v>
      </x:c>
      <x:c r="O3686" s="4"/>
      <x:c r="P3686" s="9" t="n">
        <x:v>0</x:v>
      </x:c>
      <x:c r="Q3686" s="11" t="n">
        <x:v>1</x:v>
      </x:c>
      <x:c r="R3686" s="8" t="n">
        <x:v>45581</x:v>
      </x:c>
      <x:c r="S3686" s="4" t="str">
        <x:v>Lost / cancelled</x:v>
      </x:c>
      <x:c r="T3686" s="10" t="n">
        <x:v>0.351536</x:v>
      </x:c>
      <x:c r="U3686" s="4" t="str">
        <x:v>Test</x:v>
      </x:c>
    </x:row>
    <x:row r="3687" ht="34" customHeight="1">
      <x:c r="A3687" s="4" t="str">
        <x:v>RS-03686</x:v>
      </x:c>
      <x:c r="B3687" s="8" t="n">
        <x:v>45522</x:v>
      </x:c>
      <x:c r="C3687" s="4" t="str">
        <x:v>PRJ-006</x:v>
      </x:c>
      <x:c r="D3687" s="4" t="str">
        <x:v>Apartment</x:v>
      </x:c>
      <x:c r="E3687" s="4" t="str">
        <x:v>Cancelled</x:v>
      </x:c>
      <x:c r="F3687" s="4" t="str">
        <x:v>CUS-03686</x:v>
      </x:c>
      <x:c r="G3687" s="4" t="str">
        <x:v>UNIT-03686</x:v>
      </x:c>
      <x:c r="H3687" s="9" t="n">
        <x:v>3300000</x:v>
      </x:c>
      <x:c r="I3687" s="10" t="n">
        <x:v>0.06</x:v>
      </x:c>
      <x:c r="J3687" s="11" t="n">
        <x:v>10</x:v>
      </x:c>
      <x:c r="K3687" s="11" t="n">
        <x:v>6</x:v>
      </x:c>
      <x:c r="L3687" s="11" t="n">
        <x:v>0</x:v>
      </x:c>
      <x:c r="M3687" s="9" t="n">
        <x:f>ROUND(H3687*(1-I3687),2)</x:f>
        <x:v>3102000</x:v>
      </x:c>
      <x:c r="N3687" s="4" t="str">
        <x:v>Sales manager</x:v>
      </x:c>
      <x:c r="O3687" s="4"/>
      <x:c r="P3687" s="9" t="n">
        <x:v>0</x:v>
      </x:c>
      <x:c r="Q3687" s="11" t="n">
        <x:v>1</x:v>
      </x:c>
      <x:c r="R3687" s="8" t="n">
        <x:v>45582</x:v>
      </x:c>
      <x:c r="S3687" s="4" t="str">
        <x:v>Lost / cancelled</x:v>
      </x:c>
      <x:c r="T3687" s="10" t="n">
        <x:v>0.310195</x:v>
      </x:c>
      <x:c r="U3687" s="4" t="str">
        <x:v>Test</x:v>
      </x:c>
    </x:row>
    <x:row r="3688" ht="34" customHeight="1">
      <x:c r="A3688" s="4" t="str">
        <x:v>RS-03687</x:v>
      </x:c>
      <x:c r="B3688" s="8" t="n">
        <x:v>45523</x:v>
      </x:c>
      <x:c r="C3688" s="4" t="str">
        <x:v>PRJ-007</x:v>
      </x:c>
      <x:c r="D3688" s="4" t="str">
        <x:v>Apartment</x:v>
      </x:c>
      <x:c r="E3688" s="4" t="str">
        <x:v>Booked</x:v>
      </x:c>
      <x:c r="F3688" s="4" t="str">
        <x:v>CUS-03687</x:v>
      </x:c>
      <x:c r="G3688" s="4" t="str">
        <x:v>UNIT-03687</x:v>
      </x:c>
      <x:c r="H3688" s="9" t="n">
        <x:v>9200000</x:v>
      </x:c>
      <x:c r="I3688" s="10" t="n">
        <x:v>0.07</x:v>
      </x:c>
      <x:c r="J3688" s="11" t="n">
        <x:v>2</x:v>
      </x:c>
      <x:c r="K3688" s="11" t="n">
        <x:v>4</x:v>
      </x:c>
      <x:c r="L3688" s="11" t="n">
        <x:v>1</x:v>
      </x:c>
      <x:c r="M3688" s="9" t="n">
        <x:f>ROUND(H3688*(1-I3688),2)</x:f>
        <x:v>8556000</x:v>
      </x:c>
      <x:c r="N3688" s="4" t="str">
        <x:v>Sales manager</x:v>
      </x:c>
      <x:c r="O3688" s="4" t="str">
        <x:v>BOOK-03687</x:v>
      </x:c>
      <x:c r="P3688" s="9" t="n">
        <x:v>2139000</x:v>
      </x:c>
      <x:c r="Q3688" s="11" t="n">
        <x:v>0</x:v>
      </x:c>
      <x:c r="R3688" s="8" t="n">
        <x:v>45583</x:v>
      </x:c>
      <x:c r="S3688" s="4" t="str">
        <x:v>Retained</x:v>
      </x:c>
      <x:c r="T3688" s="10" t="n">
        <x:v>0.204152</x:v>
      </x:c>
      <x:c r="U3688" s="4" t="str">
        <x:v>Test</x:v>
      </x:c>
    </x:row>
    <x:row r="3689" ht="34" customHeight="1">
      <x:c r="A3689" s="4" t="str">
        <x:v>RS-03688</x:v>
      </x:c>
      <x:c r="B3689" s="8" t="n">
        <x:v>45524</x:v>
      </x:c>
      <x:c r="C3689" s="4" t="str">
        <x:v>PRJ-008</x:v>
      </x:c>
      <x:c r="D3689" s="4" t="str">
        <x:v>Retail</x:v>
      </x:c>
      <x:c r="E3689" s="4" t="str">
        <x:v>Enquiry</x:v>
      </x:c>
      <x:c r="F3689" s="4" t="str">
        <x:v>CUS-03688</x:v>
      </x:c>
      <x:c r="G3689" s="4" t="str">
        <x:v>UNIT-03688</x:v>
      </x:c>
      <x:c r="H3689" s="9" t="n">
        <x:v>5900000</x:v>
      </x:c>
      <x:c r="I3689" s="10" t="n">
        <x:v>0.09</x:v>
      </x:c>
      <x:c r="J3689" s="11" t="n">
        <x:v>3</x:v>
      </x:c>
      <x:c r="K3689" s="11" t="n">
        <x:v>2</x:v>
      </x:c>
      <x:c r="L3689" s="11" t="n">
        <x:v>0</x:v>
      </x:c>
      <x:c r="M3689" s="9" t="n">
        <x:f>ROUND(H3689*(1-I3689),2)</x:f>
        <x:v>5369000</x:v>
      </x:c>
      <x:c r="N3689" s="4" t="str">
        <x:v>Sales head</x:v>
      </x:c>
      <x:c r="O3689" s="4"/>
      <x:c r="P3689" s="9" t="n">
        <x:v>0</x:v>
      </x:c>
      <x:c r="Q3689" s="11" t="n">
        <x:v>0</x:v>
      </x:c>
      <x:c r="R3689" s="8" t="n">
        <x:v>45584</x:v>
      </x:c>
      <x:c r="S3689" s="4" t="str">
        <x:v>Retained</x:v>
      </x:c>
      <x:c r="T3689" s="10" t="n">
        <x:v>0.145833</x:v>
      </x:c>
      <x:c r="U3689" s="4" t="str">
        <x:v>Test</x:v>
      </x:c>
    </x:row>
    <x:row r="3690" ht="34" customHeight="1">
      <x:c r="A3690" s="4" t="str">
        <x:v>RS-03689</x:v>
      </x:c>
      <x:c r="B3690" s="8" t="n">
        <x:v>45525</x:v>
      </x:c>
      <x:c r="C3690" s="4" t="str">
        <x:v>PRJ-009</x:v>
      </x:c>
      <x:c r="D3690" s="4" t="str">
        <x:v>Apartment</x:v>
      </x:c>
      <x:c r="E3690" s="4" t="str">
        <x:v>Booked</x:v>
      </x:c>
      <x:c r="F3690" s="4" t="str">
        <x:v>CUS-03689</x:v>
      </x:c>
      <x:c r="G3690" s="4" t="str">
        <x:v>UNIT-03689</x:v>
      </x:c>
      <x:c r="H3690" s="9" t="n">
        <x:v>10600000</x:v>
      </x:c>
      <x:c r="I3690" s="10" t="n">
        <x:v>0.11</x:v>
      </x:c>
      <x:c r="J3690" s="11" t="n">
        <x:v>4</x:v>
      </x:c>
      <x:c r="K3690" s="11" t="n">
        <x:v>4</x:v>
      </x:c>
      <x:c r="L3690" s="11" t="n">
        <x:v>1</x:v>
      </x:c>
      <x:c r="M3690" s="9" t="n">
        <x:f>ROUND(H3690*(1-I3690),2)</x:f>
        <x:v>9434000</x:v>
      </x:c>
      <x:c r="N3690" s="4" t="str">
        <x:v>Sales head</x:v>
      </x:c>
      <x:c r="O3690" s="4" t="str">
        <x:v>BOOK-03689</x:v>
      </x:c>
      <x:c r="P3690" s="9" t="n">
        <x:v>943400</x:v>
      </x:c>
      <x:c r="Q3690" s="11" t="n">
        <x:v>0</x:v>
      </x:c>
      <x:c r="R3690" s="8" t="n">
        <x:v>45585</x:v>
      </x:c>
      <x:c r="S3690" s="4" t="str">
        <x:v>Retained</x:v>
      </x:c>
      <x:c r="T3690" s="10" t="n">
        <x:v>0.291946</x:v>
      </x:c>
      <x:c r="U3690" s="4" t="str">
        <x:v>Test</x:v>
      </x:c>
    </x:row>
    <x:row r="3691" ht="34" customHeight="1">
      <x:c r="A3691" s="4" t="str">
        <x:v>RS-03690</x:v>
      </x:c>
      <x:c r="B3691" s="8" t="n">
        <x:v>45526</x:v>
      </x:c>
      <x:c r="C3691" s="4" t="str">
        <x:v>PRJ-010</x:v>
      </x:c>
      <x:c r="D3691" s="4" t="str">
        <x:v>Apartment</x:v>
      </x:c>
      <x:c r="E3691" s="4" t="str">
        <x:v>Cancelled</x:v>
      </x:c>
      <x:c r="F3691" s="4" t="str">
        <x:v>CUS-03690</x:v>
      </x:c>
      <x:c r="G3691" s="4" t="str">
        <x:v>UNIT-03690</x:v>
      </x:c>
      <x:c r="H3691" s="9" t="n">
        <x:v>5400000</x:v>
      </x:c>
      <x:c r="I3691" s="10" t="n">
        <x:v>0.11</x:v>
      </x:c>
      <x:c r="J3691" s="11" t="n">
        <x:v>3</x:v>
      </x:c>
      <x:c r="K3691" s="11" t="n">
        <x:v>0</x:v>
      </x:c>
      <x:c r="L3691" s="11" t="n">
        <x:v>1</x:v>
      </x:c>
      <x:c r="M3691" s="9" t="n">
        <x:f>ROUND(H3691*(1-I3691),2)</x:f>
        <x:v>4806000</x:v>
      </x:c>
      <x:c r="N3691" s="4" t="str">
        <x:v>Sales head</x:v>
      </x:c>
      <x:c r="O3691" s="4"/>
      <x:c r="P3691" s="9" t="n">
        <x:v>0</x:v>
      </x:c>
      <x:c r="Q3691" s="11" t="n">
        <x:v>1</x:v>
      </x:c>
      <x:c r="R3691" s="8" t="n">
        <x:v>45586</x:v>
      </x:c>
      <x:c r="S3691" s="4" t="str">
        <x:v>Lost / cancelled</x:v>
      </x:c>
      <x:c r="T3691" s="10" t="n">
        <x:v>0.276923</x:v>
      </x:c>
      <x:c r="U3691" s="4" t="str">
        <x:v>Test</x:v>
      </x:c>
    </x:row>
    <x:row r="3692" ht="34" customHeight="1">
      <x:c r="A3692" s="4" t="str">
        <x:v>RS-03691</x:v>
      </x:c>
      <x:c r="B3692" s="8" t="n">
        <x:v>45527</x:v>
      </x:c>
      <x:c r="C3692" s="4" t="str">
        <x:v>PRJ-011</x:v>
      </x:c>
      <x:c r="D3692" s="4" t="str">
        <x:v>Retail</x:v>
      </x:c>
      <x:c r="E3692" s="4" t="str">
        <x:v>Reserved</x:v>
      </x:c>
      <x:c r="F3692" s="4" t="str">
        <x:v>CUS-03691</x:v>
      </x:c>
      <x:c r="G3692" s="4" t="str">
        <x:v>UNIT-03691</x:v>
      </x:c>
      <x:c r="H3692" s="9" t="n">
        <x:v>22200000</x:v>
      </x:c>
      <x:c r="I3692" s="10" t="n">
        <x:v>0.1</x:v>
      </x:c>
      <x:c r="J3692" s="11" t="n">
        <x:v>7</x:v>
      </x:c>
      <x:c r="K3692" s="11" t="n">
        <x:v>2</x:v>
      </x:c>
      <x:c r="L3692" s="11" t="n">
        <x:v>0</x:v>
      </x:c>
      <x:c r="M3692" s="9" t="n">
        <x:f>ROUND(H3692*(1-I3692),2)</x:f>
        <x:v>19980000</x:v>
      </x:c>
      <x:c r="N3692" s="4" t="str">
        <x:v>Sales head</x:v>
      </x:c>
      <x:c r="O3692" s="4"/>
      <x:c r="P3692" s="9" t="n">
        <x:v>0</x:v>
      </x:c>
      <x:c r="Q3692" s="11" t="n">
        <x:v>0</x:v>
      </x:c>
      <x:c r="R3692" s="8" t="n">
        <x:v>45587</x:v>
      </x:c>
      <x:c r="S3692" s="4" t="str">
        <x:v>Retained</x:v>
      </x:c>
      <x:c r="T3692" s="10" t="n">
        <x:v>0.226277</x:v>
      </x:c>
      <x:c r="U3692" s="4" t="str">
        <x:v>Test</x:v>
      </x:c>
    </x:row>
    <x:row r="3693" ht="34" customHeight="1">
      <x:c r="A3693" s="4" t="str">
        <x:v>RS-03692</x:v>
      </x:c>
      <x:c r="B3693" s="8" t="n">
        <x:v>45528</x:v>
      </x:c>
      <x:c r="C3693" s="4" t="str">
        <x:v>PRJ-012</x:v>
      </x:c>
      <x:c r="D3693" s="4" t="str">
        <x:v>Apartment</x:v>
      </x:c>
      <x:c r="E3693" s="4" t="str">
        <x:v>Reserved</x:v>
      </x:c>
      <x:c r="F3693" s="4" t="str">
        <x:v>CUS-03692</x:v>
      </x:c>
      <x:c r="G3693" s="4" t="str">
        <x:v>UNIT-03692</x:v>
      </x:c>
      <x:c r="H3693" s="9" t="n">
        <x:v>18800000</x:v>
      </x:c>
      <x:c r="I3693" s="10" t="n">
        <x:v>0.1</x:v>
      </x:c>
      <x:c r="J3693" s="11" t="n">
        <x:v>6</x:v>
      </x:c>
      <x:c r="K3693" s="11" t="n">
        <x:v>6</x:v>
      </x:c>
      <x:c r="L3693" s="11" t="n">
        <x:v>1</x:v>
      </x:c>
      <x:c r="M3693" s="9" t="n">
        <x:f>ROUND(H3693*(1-I3693),2)</x:f>
        <x:v>16920000</x:v>
      </x:c>
      <x:c r="N3693" s="4" t="str">
        <x:v>Sales head</x:v>
      </x:c>
      <x:c r="O3693" s="4"/>
      <x:c r="P3693" s="9" t="n">
        <x:v>0</x:v>
      </x:c>
      <x:c r="Q3693" s="11" t="n">
        <x:v>1</x:v>
      </x:c>
      <x:c r="R3693" s="8" t="n">
        <x:v>45588</x:v>
      </x:c>
      <x:c r="S3693" s="4" t="str">
        <x:v>Lost / cancelled</x:v>
      </x:c>
      <x:c r="T3693" s="10" t="n">
        <x:v>0.291946</x:v>
      </x:c>
      <x:c r="U3693" s="4" t="str">
        <x:v>Test</x:v>
      </x:c>
    </x:row>
    <x:row r="3694" ht="34" customHeight="1">
      <x:c r="A3694" s="4" t="str">
        <x:v>RS-03693</x:v>
      </x:c>
      <x:c r="B3694" s="8" t="n">
        <x:v>45529</x:v>
      </x:c>
      <x:c r="C3694" s="4" t="str">
        <x:v>PRJ-013</x:v>
      </x:c>
      <x:c r="D3694" s="4" t="str">
        <x:v>Retail</x:v>
      </x:c>
      <x:c r="E3694" s="4" t="str">
        <x:v>Handed over</x:v>
      </x:c>
      <x:c r="F3694" s="4" t="str">
        <x:v>CUS-03693</x:v>
      </x:c>
      <x:c r="G3694" s="4" t="str">
        <x:v>UNIT-03693</x:v>
      </x:c>
      <x:c r="H3694" s="9" t="n">
        <x:v>14100000</x:v>
      </x:c>
      <x:c r="I3694" s="10" t="n">
        <x:v>0.07</x:v>
      </x:c>
      <x:c r="J3694" s="11" t="n">
        <x:v>0</x:v>
      </x:c>
      <x:c r="K3694" s="11" t="n">
        <x:v>10</x:v>
      </x:c>
      <x:c r="L3694" s="11" t="n">
        <x:v>1</x:v>
      </x:c>
      <x:c r="M3694" s="9" t="n">
        <x:f>ROUND(H3694*(1-I3694),2)</x:f>
        <x:v>13113000</x:v>
      </x:c>
      <x:c r="N3694" s="4" t="str">
        <x:v>Sales manager</x:v>
      </x:c>
      <x:c r="O3694" s="4" t="str">
        <x:v>BOOK-03693</x:v>
      </x:c>
      <x:c r="P3694" s="9" t="n">
        <x:v>3278250</x:v>
      </x:c>
      <x:c r="Q3694" s="11" t="n">
        <x:v>0</x:v>
      </x:c>
      <x:c r="R3694" s="8" t="n">
        <x:v>45589</x:v>
      </x:c>
      <x:c r="S3694" s="4" t="str">
        <x:v>Retained</x:v>
      </x:c>
      <x:c r="T3694" s="10" t="n">
        <x:v>0.204152</x:v>
      </x:c>
      <x:c r="U3694" s="4" t="str">
        <x:v>Test</x:v>
      </x:c>
    </x:row>
    <x:row r="3695" ht="34" customHeight="1">
      <x:c r="A3695" s="4" t="str">
        <x:v>RS-03694</x:v>
      </x:c>
      <x:c r="B3695" s="8" t="n">
        <x:v>45530</x:v>
      </x:c>
      <x:c r="C3695" s="4" t="str">
        <x:v>PRJ-014</x:v>
      </x:c>
      <x:c r="D3695" s="4" t="str">
        <x:v>Retail</x:v>
      </x:c>
      <x:c r="E3695" s="4" t="str">
        <x:v>Cancelled</x:v>
      </x:c>
      <x:c r="F3695" s="4" t="str">
        <x:v>CUS-03694</x:v>
      </x:c>
      <x:c r="G3695" s="4" t="str">
        <x:v>UNIT-03694</x:v>
      </x:c>
      <x:c r="H3695" s="9" t="n">
        <x:v>17700000</x:v>
      </x:c>
      <x:c r="I3695" s="10" t="n">
        <x:v>0.1</x:v>
      </x:c>
      <x:c r="J3695" s="11" t="n">
        <x:v>8</x:v>
      </x:c>
      <x:c r="K3695" s="11" t="n">
        <x:v>9</x:v>
      </x:c>
      <x:c r="L3695" s="11" t="n">
        <x:v>1</x:v>
      </x:c>
      <x:c r="M3695" s="9" t="n">
        <x:f>ROUND(H3695*(1-I3695),2)</x:f>
        <x:v>15930000</x:v>
      </x:c>
      <x:c r="N3695" s="4" t="str">
        <x:v>Sales head</x:v>
      </x:c>
      <x:c r="O3695" s="4"/>
      <x:c r="P3695" s="9" t="n">
        <x:v>0</x:v>
      </x:c>
      <x:c r="Q3695" s="11" t="n">
        <x:v>1</x:v>
      </x:c>
      <x:c r="R3695" s="8" t="n">
        <x:v>45590</x:v>
      </x:c>
      <x:c r="S3695" s="4" t="str">
        <x:v>Lost / cancelled</x:v>
      </x:c>
      <x:c r="T3695" s="10" t="n">
        <x:v>0.310195</x:v>
      </x:c>
      <x:c r="U3695" s="4" t="str">
        <x:v>Test</x:v>
      </x:c>
    </x:row>
    <x:row r="3696" ht="34" customHeight="1">
      <x:c r="A3696" s="4" t="str">
        <x:v>RS-03695</x:v>
      </x:c>
      <x:c r="B3696" s="8" t="n">
        <x:v>45531</x:v>
      </x:c>
      <x:c r="C3696" s="4" t="str">
        <x:v>PRJ-015</x:v>
      </x:c>
      <x:c r="D3696" s="4" t="str">
        <x:v>Apartment</x:v>
      </x:c>
      <x:c r="E3696" s="4" t="str">
        <x:v>Enquiry</x:v>
      </x:c>
      <x:c r="F3696" s="4" t="str">
        <x:v>CUS-03695</x:v>
      </x:c>
      <x:c r="G3696" s="4" t="str">
        <x:v>UNIT-03695</x:v>
      </x:c>
      <x:c r="H3696" s="9" t="n">
        <x:v>18600000</x:v>
      </x:c>
      <x:c r="I3696" s="10" t="n">
        <x:v>0.06</x:v>
      </x:c>
      <x:c r="J3696" s="11" t="n">
        <x:v>5</x:v>
      </x:c>
      <x:c r="K3696" s="11" t="n">
        <x:v>0</x:v>
      </x:c>
      <x:c r="L3696" s="11" t="n">
        <x:v>1</x:v>
      </x:c>
      <x:c r="M3696" s="9" t="n">
        <x:f>ROUND(H3696*(1-I3696),2)</x:f>
        <x:v>17484000</x:v>
      </x:c>
      <x:c r="N3696" s="4" t="str">
        <x:v>Sales manager</x:v>
      </x:c>
      <x:c r="O3696" s="4"/>
      <x:c r="P3696" s="9" t="n">
        <x:v>0</x:v>
      </x:c>
      <x:c r="Q3696" s="11" t="n">
        <x:v>1</x:v>
      </x:c>
      <x:c r="R3696" s="8" t="n">
        <x:v>45591</x:v>
      </x:c>
      <x:c r="S3696" s="4" t="str">
        <x:v>Lost / cancelled</x:v>
      </x:c>
      <x:c r="T3696" s="10" t="n">
        <x:v>0.291946</x:v>
      </x:c>
      <x:c r="U3696" s="4" t="str">
        <x:v>Test</x:v>
      </x:c>
    </x:row>
    <x:row r="3697" ht="34" customHeight="1">
      <x:c r="A3697" s="4" t="str">
        <x:v>RS-03696</x:v>
      </x:c>
      <x:c r="B3697" s="8" t="n">
        <x:v>45532</x:v>
      </x:c>
      <x:c r="C3697" s="4" t="str">
        <x:v>PRJ-016</x:v>
      </x:c>
      <x:c r="D3697" s="4" t="str">
        <x:v>Retail</x:v>
      </x:c>
      <x:c r="E3697" s="4" t="str">
        <x:v>Handed over</x:v>
      </x:c>
      <x:c r="F3697" s="4" t="str">
        <x:v>CUS-03696</x:v>
      </x:c>
      <x:c r="G3697" s="4" t="str">
        <x:v>UNIT-03696</x:v>
      </x:c>
      <x:c r="H3697" s="9" t="n">
        <x:v>23500000</x:v>
      </x:c>
      <x:c r="I3697" s="10" t="n">
        <x:v>0</x:v>
      </x:c>
      <x:c r="J3697" s="11" t="n">
        <x:v>9</x:v>
      </x:c>
      <x:c r="K3697" s="11" t="n">
        <x:v>7</x:v>
      </x:c>
      <x:c r="L3697" s="11" t="n">
        <x:v>0</x:v>
      </x:c>
      <x:c r="M3697" s="9" t="n">
        <x:f>ROUND(H3697*(1-I3697),2)</x:f>
        <x:v>23500000</x:v>
      </x:c>
      <x:c r="N3697" s="4" t="str">
        <x:v>Sales manager</x:v>
      </x:c>
      <x:c r="O3697" s="4" t="str">
        <x:v>BOOK-03696</x:v>
      </x:c>
      <x:c r="P3697" s="9" t="n">
        <x:v>11750000</x:v>
      </x:c>
      <x:c r="Q3697" s="11" t="n">
        <x:v>0</x:v>
      </x:c>
      <x:c r="R3697" s="8" t="n">
        <x:v>45592</x:v>
      </x:c>
      <x:c r="S3697" s="4" t="str">
        <x:v>Retained</x:v>
      </x:c>
      <x:c r="T3697" s="10" t="n">
        <x:v>0.305556</x:v>
      </x:c>
      <x:c r="U3697" s="4" t="str">
        <x:v>Test</x:v>
      </x:c>
    </x:row>
    <x:row r="3698" ht="34" customHeight="1">
      <x:c r="A3698" s="4" t="str">
        <x:v>RS-03697</x:v>
      </x:c>
      <x:c r="B3698" s="8" t="n">
        <x:v>45505</x:v>
      </x:c>
      <x:c r="C3698" s="4" t="str">
        <x:v>PRJ-017</x:v>
      </x:c>
      <x:c r="D3698" s="4" t="str">
        <x:v>Retail</x:v>
      </x:c>
      <x:c r="E3698" s="4" t="str">
        <x:v>Booked</x:v>
      </x:c>
      <x:c r="F3698" s="4" t="str">
        <x:v>CUS-03697</x:v>
      </x:c>
      <x:c r="G3698" s="4" t="str">
        <x:v>UNIT-03697</x:v>
      </x:c>
      <x:c r="H3698" s="9" t="n">
        <x:v>15900000</x:v>
      </x:c>
      <x:c r="I3698" s="10" t="n">
        <x:v>0.08</x:v>
      </x:c>
      <x:c r="J3698" s="11" t="n">
        <x:v>1</x:v>
      </x:c>
      <x:c r="K3698" s="11" t="n">
        <x:v>6</x:v>
      </x:c>
      <x:c r="L3698" s="11" t="n">
        <x:v>0</x:v>
      </x:c>
      <x:c r="M3698" s="9" t="n">
        <x:f>ROUND(H3698*(1-I3698),2)</x:f>
        <x:v>14628000</x:v>
      </x:c>
      <x:c r="N3698" s="4" t="str">
        <x:v>Sales head</x:v>
      </x:c>
      <x:c r="O3698" s="4" t="str">
        <x:v>BOOK-03697</x:v>
      </x:c>
      <x:c r="P3698" s="9" t="n">
        <x:v>1462800</x:v>
      </x:c>
      <x:c r="Q3698" s="11" t="n">
        <x:v>0</x:v>
      </x:c>
      <x:c r="R3698" s="8" t="n">
        <x:v>45565</x:v>
      </x:c>
      <x:c r="S3698" s="4" t="str">
        <x:v>Retained</x:v>
      </x:c>
      <x:c r="T3698" s="10" t="n">
        <x:v>0.204152</x:v>
      </x:c>
      <x:c r="U3698" s="4" t="str">
        <x:v>Test</x:v>
      </x:c>
    </x:row>
    <x:row r="3699" ht="34" customHeight="1">
      <x:c r="A3699" s="4" t="str">
        <x:v>RS-03698</x:v>
      </x:c>
      <x:c r="B3699" s="8" t="n">
        <x:v>45506</x:v>
      </x:c>
      <x:c r="C3699" s="4" t="str">
        <x:v>PRJ-018</x:v>
      </x:c>
      <x:c r="D3699" s="4" t="str">
        <x:v>Apartment</x:v>
      </x:c>
      <x:c r="E3699" s="4" t="str">
        <x:v>Enquiry</x:v>
      </x:c>
      <x:c r="F3699" s="4" t="str">
        <x:v>CUS-03698</x:v>
      </x:c>
      <x:c r="G3699" s="4" t="str">
        <x:v>UNIT-03698</x:v>
      </x:c>
      <x:c r="H3699" s="9" t="n">
        <x:v>7700000</x:v>
      </x:c>
      <x:c r="I3699" s="10" t="n">
        <x:v>0.07</x:v>
      </x:c>
      <x:c r="J3699" s="11" t="n">
        <x:v>5</x:v>
      </x:c>
      <x:c r="K3699" s="11" t="n">
        <x:v>3</x:v>
      </x:c>
      <x:c r="L3699" s="11" t="n">
        <x:v>0</x:v>
      </x:c>
      <x:c r="M3699" s="9" t="n">
        <x:f>ROUND(H3699*(1-I3699),2)</x:f>
        <x:v>7161000</x:v>
      </x:c>
      <x:c r="N3699" s="4" t="str">
        <x:v>Sales manager</x:v>
      </x:c>
      <x:c r="O3699" s="4"/>
      <x:c r="P3699" s="9" t="n">
        <x:v>0</x:v>
      </x:c>
      <x:c r="Q3699" s="11" t="n">
        <x:v>0</x:v>
      </x:c>
      <x:c r="R3699" s="8" t="n">
        <x:v>45566</x:v>
      </x:c>
      <x:c r="S3699" s="4" t="str">
        <x:v>Retained</x:v>
      </x:c>
      <x:c r="T3699" s="10" t="n">
        <x:v>0.226277</x:v>
      </x:c>
      <x:c r="U3699" s="4" t="str">
        <x:v>Test</x:v>
      </x:c>
    </x:row>
    <x:row r="3700" ht="34" customHeight="1">
      <x:c r="A3700" s="4" t="str">
        <x:v>RS-03699</x:v>
      </x:c>
      <x:c r="B3700" s="8" t="n">
        <x:v>45507</x:v>
      </x:c>
      <x:c r="C3700" s="4" t="str">
        <x:v>PRJ-019</x:v>
      </x:c>
      <x:c r="D3700" s="4" t="str">
        <x:v>Apartment</x:v>
      </x:c>
      <x:c r="E3700" s="4" t="str">
        <x:v>Booked</x:v>
      </x:c>
      <x:c r="F3700" s="4" t="str">
        <x:v>CUS-03699</x:v>
      </x:c>
      <x:c r="G3700" s="4" t="str">
        <x:v>UNIT-03699</x:v>
      </x:c>
      <x:c r="H3700" s="9" t="n">
        <x:v>7600000</x:v>
      </x:c>
      <x:c r="I3700" s="10" t="n">
        <x:v>0.02</x:v>
      </x:c>
      <x:c r="J3700" s="11" t="n">
        <x:v>8</x:v>
      </x:c>
      <x:c r="K3700" s="11" t="n">
        <x:v>7</x:v>
      </x:c>
      <x:c r="L3700" s="11" t="n">
        <x:v>1</x:v>
      </x:c>
      <x:c r="M3700" s="9" t="n">
        <x:f>ROUND(H3700*(1-I3700),2)</x:f>
        <x:v>7448000</x:v>
      </x:c>
      <x:c r="N3700" s="4" t="str">
        <x:v>Sales manager</x:v>
      </x:c>
      <x:c r="O3700" s="4" t="str">
        <x:v>BOOK-03699</x:v>
      </x:c>
      <x:c r="P3700" s="9" t="n">
        <x:v>1862000</x:v>
      </x:c>
      <x:c r="Q3700" s="11" t="n">
        <x:v>0</x:v>
      </x:c>
      <x:c r="R3700" s="8" t="n">
        <x:v>45567</x:v>
      </x:c>
      <x:c r="S3700" s="4" t="str">
        <x:v>Retained</x:v>
      </x:c>
      <x:c r="T3700" s="10" t="n">
        <x:v>0.254545</x:v>
      </x:c>
      <x:c r="U3700" s="4" t="str">
        <x:v>Test</x:v>
      </x:c>
    </x:row>
    <x:row r="3701" ht="34" customHeight="1">
      <x:c r="A3701" s="4" t="str">
        <x:v>RS-03700</x:v>
      </x:c>
      <x:c r="B3701" s="8" t="n">
        <x:v>45508</x:v>
      </x:c>
      <x:c r="C3701" s="4" t="str">
        <x:v>PRJ-020</x:v>
      </x:c>
      <x:c r="D3701" s="4" t="str">
        <x:v>Retail</x:v>
      </x:c>
      <x:c r="E3701" s="4" t="str">
        <x:v>Enquiry</x:v>
      </x:c>
      <x:c r="F3701" s="4" t="str">
        <x:v>CUS-03700</x:v>
      </x:c>
      <x:c r="G3701" s="4" t="str">
        <x:v>UNIT-03700</x:v>
      </x:c>
      <x:c r="H3701" s="9" t="n">
        <x:v>14000000</x:v>
      </x:c>
      <x:c r="I3701" s="10" t="n">
        <x:v>0.08</x:v>
      </x:c>
      <x:c r="J3701" s="11" t="n">
        <x:v>10</x:v>
      </x:c>
      <x:c r="K3701" s="11" t="n">
        <x:v>6</x:v>
      </x:c>
      <x:c r="L3701" s="11" t="n">
        <x:v>1</x:v>
      </x:c>
      <x:c r="M3701" s="9" t="n">
        <x:f>ROUND(H3701*(1-I3701),2)</x:f>
        <x:v>12880000</x:v>
      </x:c>
      <x:c r="N3701" s="4" t="str">
        <x:v>Sales head</x:v>
      </x:c>
      <x:c r="O3701" s="4"/>
      <x:c r="P3701" s="9" t="n">
        <x:v>0</x:v>
      </x:c>
      <x:c r="Q3701" s="11" t="n">
        <x:v>0</x:v>
      </x:c>
      <x:c r="R3701" s="8" t="n">
        <x:v>45568</x:v>
      </x:c>
      <x:c r="S3701" s="4" t="str">
        <x:v>Retained</x:v>
      </x:c>
      <x:c r="T3701" s="10" t="n">
        <x:v>0.310195</x:v>
      </x:c>
      <x:c r="U3701" s="4" t="str">
        <x:v>Test</x:v>
      </x:c>
    </x:row>
    <x:row r="3702" ht="34" customHeight="1">
      <x:c r="A3702" s="4" t="str">
        <x:v>RS-03701</x:v>
      </x:c>
      <x:c r="B3702" s="8" t="n">
        <x:v>45509</x:v>
      </x:c>
      <x:c r="C3702" s="4" t="str">
        <x:v>PRJ-001</x:v>
      </x:c>
      <x:c r="D3702" s="4" t="str">
        <x:v>Office</x:v>
      </x:c>
      <x:c r="E3702" s="4" t="str">
        <x:v>Cancelled</x:v>
      </x:c>
      <x:c r="F3702" s="4" t="str">
        <x:v>CUS-03701</x:v>
      </x:c>
      <x:c r="G3702" s="4" t="str">
        <x:v>UNIT-03701</x:v>
      </x:c>
      <x:c r="H3702" s="9" t="n">
        <x:v>8400000</x:v>
      </x:c>
      <x:c r="I3702" s="10" t="n">
        <x:v>0.09</x:v>
      </x:c>
      <x:c r="J3702" s="11" t="n">
        <x:v>12</x:v>
      </x:c>
      <x:c r="K3702" s="11" t="n">
        <x:v>2</x:v>
      </x:c>
      <x:c r="L3702" s="11" t="n">
        <x:v>1</x:v>
      </x:c>
      <x:c r="M3702" s="9" t="n">
        <x:f>ROUND(H3702*(1-I3702),2)</x:f>
        <x:v>7644000</x:v>
      </x:c>
      <x:c r="N3702" s="4" t="str">
        <x:v>Sales head</x:v>
      </x:c>
      <x:c r="O3702" s="4"/>
      <x:c r="P3702" s="9" t="n">
        <x:v>0</x:v>
      </x:c>
      <x:c r="Q3702" s="11" t="n">
        <x:v>1</x:v>
      </x:c>
      <x:c r="R3702" s="8" t="n">
        <x:v>45569</x:v>
      </x:c>
      <x:c r="S3702" s="4" t="str">
        <x:v>Lost / cancelled</x:v>
      </x:c>
      <x:c r="T3702" s="10" t="n">
        <x:v>0.351536</x:v>
      </x:c>
      <x:c r="U3702" s="4" t="str">
        <x:v>Test</x:v>
      </x:c>
    </x:row>
    <x:row r="3703" ht="34" customHeight="1">
      <x:c r="A3703" s="4" t="str">
        <x:v>RS-03702</x:v>
      </x:c>
      <x:c r="B3703" s="8" t="n">
        <x:v>45510</x:v>
      </x:c>
      <x:c r="C3703" s="4" t="str">
        <x:v>PRJ-002</x:v>
      </x:c>
      <x:c r="D3703" s="4" t="str">
        <x:v>Office</x:v>
      </x:c>
      <x:c r="E3703" s="4" t="str">
        <x:v>Booked</x:v>
      </x:c>
      <x:c r="F3703" s="4" t="str">
        <x:v>CUS-03702</x:v>
      </x:c>
      <x:c r="G3703" s="4" t="str">
        <x:v>UNIT-03702</x:v>
      </x:c>
      <x:c r="H3703" s="9" t="n">
        <x:v>5400000</x:v>
      </x:c>
      <x:c r="I3703" s="10" t="n">
        <x:v>0.1</x:v>
      </x:c>
      <x:c r="J3703" s="11" t="n">
        <x:v>8</x:v>
      </x:c>
      <x:c r="K3703" s="11" t="n">
        <x:v>4</x:v>
      </x:c>
      <x:c r="L3703" s="11" t="n">
        <x:v>0</x:v>
      </x:c>
      <x:c r="M3703" s="9" t="n">
        <x:f>ROUND(H3703*(1-I3703),2)</x:f>
        <x:v>4860000</x:v>
      </x:c>
      <x:c r="N3703" s="4" t="str">
        <x:v>Sales head</x:v>
      </x:c>
      <x:c r="O3703" s="4" t="str">
        <x:v>BOOK-03702</x:v>
      </x:c>
      <x:c r="P3703" s="9" t="n">
        <x:v>486000</x:v>
      </x:c>
      <x:c r="Q3703" s="11" t="n">
        <x:v>0</x:v>
      </x:c>
      <x:c r="R3703" s="8" t="n">
        <x:v>45570</x:v>
      </x:c>
      <x:c r="S3703" s="4" t="str">
        <x:v>Retained</x:v>
      </x:c>
      <x:c r="T3703" s="10" t="n">
        <x:v>0.310195</x:v>
      </x:c>
      <x:c r="U3703" s="4" t="str">
        <x:v>Test</x:v>
      </x:c>
    </x:row>
    <x:row r="3704" ht="34" customHeight="1">
      <x:c r="A3704" s="4" t="str">
        <x:v>RS-03703</x:v>
      </x:c>
      <x:c r="B3704" s="8" t="n">
        <x:v>45511</x:v>
      </x:c>
      <x:c r="C3704" s="4" t="str">
        <x:v>PRJ-003</x:v>
      </x:c>
      <x:c r="D3704" s="4" t="str">
        <x:v>Office</x:v>
      </x:c>
      <x:c r="E3704" s="4" t="str">
        <x:v>Booked</x:v>
      </x:c>
      <x:c r="F3704" s="4" t="str">
        <x:v>CUS-03703</x:v>
      </x:c>
      <x:c r="G3704" s="4" t="str">
        <x:v>UNIT-03703</x:v>
      </x:c>
      <x:c r="H3704" s="9" t="n">
        <x:v>9600000</x:v>
      </x:c>
      <x:c r="I3704" s="10" t="n">
        <x:v>0.09</x:v>
      </x:c>
      <x:c r="J3704" s="11" t="n">
        <x:v>3</x:v>
      </x:c>
      <x:c r="K3704" s="11" t="n">
        <x:v>8</x:v>
      </x:c>
      <x:c r="L3704" s="11" t="n">
        <x:v>0</x:v>
      </x:c>
      <x:c r="M3704" s="9" t="n">
        <x:f>ROUND(H3704*(1-I3704),2)</x:f>
        <x:v>8736000</x:v>
      </x:c>
      <x:c r="N3704" s="4" t="str">
        <x:v>Sales head</x:v>
      </x:c>
      <x:c r="O3704" s="4" t="str">
        <x:v>BOOK-03703</x:v>
      </x:c>
      <x:c r="P3704" s="9" t="n">
        <x:v>8736000</x:v>
      </x:c>
      <x:c r="Q3704" s="11" t="n">
        <x:v>0</x:v>
      </x:c>
      <x:c r="R3704" s="8" t="n">
        <x:v>45571</x:v>
      </x:c>
      <x:c r="S3704" s="4" t="str">
        <x:v>Retained</x:v>
      </x:c>
      <x:c r="T3704" s="10" t="n">
        <x:v>0.145833</x:v>
      </x:c>
      <x:c r="U3704" s="4" t="str">
        <x:v>Test</x:v>
      </x:c>
    </x:row>
    <x:row r="3705" ht="34" customHeight="1">
      <x:c r="A3705" s="4" t="str">
        <x:v>RS-03704</x:v>
      </x:c>
      <x:c r="B3705" s="8" t="n">
        <x:v>45512</x:v>
      </x:c>
      <x:c r="C3705" s="4" t="str">
        <x:v>PRJ-004</x:v>
      </x:c>
      <x:c r="D3705" s="4" t="str">
        <x:v>Retail</x:v>
      </x:c>
      <x:c r="E3705" s="4" t="str">
        <x:v>Cancelled</x:v>
      </x:c>
      <x:c r="F3705" s="4" t="str">
        <x:v>CUS-03704</x:v>
      </x:c>
      <x:c r="G3705" s="4" t="str">
        <x:v>UNIT-03704</x:v>
      </x:c>
      <x:c r="H3705" s="9" t="n">
        <x:v>17900000</x:v>
      </x:c>
      <x:c r="I3705" s="10" t="n">
        <x:v>0.07</x:v>
      </x:c>
      <x:c r="J3705" s="11" t="n">
        <x:v>1</x:v>
      </x:c>
      <x:c r="K3705" s="11" t="n">
        <x:v>2</x:v>
      </x:c>
      <x:c r="L3705" s="11" t="n">
        <x:v>1</x:v>
      </x:c>
      <x:c r="M3705" s="9" t="n">
        <x:f>ROUND(H3705*(1-I3705),2)</x:f>
        <x:v>16647000</x:v>
      </x:c>
      <x:c r="N3705" s="4" t="str">
        <x:v>Sales manager</x:v>
      </x:c>
      <x:c r="O3705" s="4"/>
      <x:c r="P3705" s="9" t="n">
        <x:v>0</x:v>
      </x:c>
      <x:c r="Q3705" s="11" t="n">
        <x:v>1</x:v>
      </x:c>
      <x:c r="R3705" s="8" t="n">
        <x:v>45572</x:v>
      </x:c>
      <x:c r="S3705" s="4" t="str">
        <x:v>Lost / cancelled</x:v>
      </x:c>
      <x:c r="T3705" s="10" t="n">
        <x:v>0.204152</x:v>
      </x:c>
      <x:c r="U3705" s="4" t="str">
        <x:v>Test</x:v>
      </x:c>
    </x:row>
    <x:row r="3706" ht="34" customHeight="1">
      <x:c r="A3706" s="4" t="str">
        <x:v>RS-03705</x:v>
      </x:c>
      <x:c r="B3706" s="8" t="n">
        <x:v>45513</x:v>
      </x:c>
      <x:c r="C3706" s="4" t="str">
        <x:v>PRJ-005</x:v>
      </x:c>
      <x:c r="D3706" s="4" t="str">
        <x:v>Apartment</x:v>
      </x:c>
      <x:c r="E3706" s="4" t="str">
        <x:v>Agreement signed</x:v>
      </x:c>
      <x:c r="F3706" s="4" t="str">
        <x:v>CUS-03705</x:v>
      </x:c>
      <x:c r="G3706" s="4" t="str">
        <x:v>UNIT-03705</x:v>
      </x:c>
      <x:c r="H3706" s="9" t="n">
        <x:v>6600000</x:v>
      </x:c>
      <x:c r="I3706" s="10" t="n">
        <x:v>0.09</x:v>
      </x:c>
      <x:c r="J3706" s="11" t="n">
        <x:v>7</x:v>
      </x:c>
      <x:c r="K3706" s="11" t="n">
        <x:v>0</x:v>
      </x:c>
      <x:c r="L3706" s="11" t="n">
        <x:v>0</x:v>
      </x:c>
      <x:c r="M3706" s="9" t="n">
        <x:f>ROUND(H3706*(1-I3706),2)</x:f>
        <x:v>6006000</x:v>
      </x:c>
      <x:c r="N3706" s="4" t="str">
        <x:v>Sales head</x:v>
      </x:c>
      <x:c r="O3706" s="4" t="str">
        <x:v>BOOK-03705</x:v>
      </x:c>
      <x:c r="P3706" s="9" t="n">
        <x:v>6006000</x:v>
      </x:c>
      <x:c r="Q3706" s="11" t="n">
        <x:v>0</x:v>
      </x:c>
      <x:c r="R3706" s="8" t="n">
        <x:v>45573</x:v>
      </x:c>
      <x:c r="S3706" s="4" t="str">
        <x:v>Retained</x:v>
      </x:c>
      <x:c r="T3706" s="10" t="n">
        <x:v>0.226277</x:v>
      </x:c>
      <x:c r="U3706" s="4" t="str">
        <x:v>Test</x:v>
      </x:c>
    </x:row>
    <x:row r="3707" ht="34" customHeight="1">
      <x:c r="A3707" s="4" t="str">
        <x:v>RS-03706</x:v>
      </x:c>
      <x:c r="B3707" s="8" t="n">
        <x:v>45514</x:v>
      </x:c>
      <x:c r="C3707" s="4" t="str">
        <x:v>PRJ-006</x:v>
      </x:c>
      <x:c r="D3707" s="4" t="str">
        <x:v>Apartment</x:v>
      </x:c>
      <x:c r="E3707" s="4" t="str">
        <x:v>Agreement signed</x:v>
      </x:c>
      <x:c r="F3707" s="4" t="str">
        <x:v>CUS-03706</x:v>
      </x:c>
      <x:c r="G3707" s="4" t="str">
        <x:v>UNIT-03706</x:v>
      </x:c>
      <x:c r="H3707" s="9" t="n">
        <x:v>25000000</x:v>
      </x:c>
      <x:c r="I3707" s="10" t="n">
        <x:v>0.09</x:v>
      </x:c>
      <x:c r="J3707" s="11" t="n">
        <x:v>1</x:v>
      </x:c>
      <x:c r="K3707" s="11" t="n">
        <x:v>1</x:v>
      </x:c>
      <x:c r="L3707" s="11" t="n">
        <x:v>0</x:v>
      </x:c>
      <x:c r="M3707" s="9" t="n">
        <x:f>ROUND(H3707*(1-I3707),2)</x:f>
        <x:v>22750000</x:v>
      </x:c>
      <x:c r="N3707" s="4" t="str">
        <x:v>Sales head</x:v>
      </x:c>
      <x:c r="O3707" s="4" t="str">
        <x:v>BOOK-03706</x:v>
      </x:c>
      <x:c r="P3707" s="9" t="n">
        <x:v>22750000</x:v>
      </x:c>
      <x:c r="Q3707" s="11" t="n">
        <x:v>0</x:v>
      </x:c>
      <x:c r="R3707" s="8" t="n">
        <x:v>45574</x:v>
      </x:c>
      <x:c r="S3707" s="4" t="str">
        <x:v>Retained</x:v>
      </x:c>
      <x:c r="T3707" s="10" t="n">
        <x:v>0.145833</x:v>
      </x:c>
      <x:c r="U3707" s="4" t="str">
        <x:v>Test</x:v>
      </x:c>
    </x:row>
    <x:row r="3708" ht="34" customHeight="1">
      <x:c r="A3708" s="4" t="str">
        <x:v>RS-03707</x:v>
      </x:c>
      <x:c r="B3708" s="8" t="n">
        <x:v>45515</x:v>
      </x:c>
      <x:c r="C3708" s="4" t="str">
        <x:v>PRJ-007</x:v>
      </x:c>
      <x:c r="D3708" s="4" t="str">
        <x:v>Retail</x:v>
      </x:c>
      <x:c r="E3708" s="4" t="str">
        <x:v>Cancelled</x:v>
      </x:c>
      <x:c r="F3708" s="4" t="str">
        <x:v>CUS-03707</x:v>
      </x:c>
      <x:c r="G3708" s="4" t="str">
        <x:v>UNIT-03707</x:v>
      </x:c>
      <x:c r="H3708" s="9" t="n">
        <x:v>19400000</x:v>
      </x:c>
      <x:c r="I3708" s="10" t="n">
        <x:v>0.04</x:v>
      </x:c>
      <x:c r="J3708" s="11" t="n">
        <x:v>11</x:v>
      </x:c>
      <x:c r="K3708" s="11" t="n">
        <x:v>1</x:v>
      </x:c>
      <x:c r="L3708" s="11" t="n">
        <x:v>0</x:v>
      </x:c>
      <x:c r="M3708" s="9" t="n">
        <x:f>ROUND(H3708*(1-I3708),2)</x:f>
        <x:v>18624000</x:v>
      </x:c>
      <x:c r="N3708" s="4" t="str">
        <x:v>Sales manager</x:v>
      </x:c>
      <x:c r="O3708" s="4"/>
      <x:c r="P3708" s="9" t="n">
        <x:v>0</x:v>
      </x:c>
      <x:c r="Q3708" s="11" t="n">
        <x:v>1</x:v>
      </x:c>
      <x:c r="R3708" s="8" t="n">
        <x:v>45575</x:v>
      </x:c>
      <x:c r="S3708" s="4" t="str">
        <x:v>Lost / cancelled</x:v>
      </x:c>
      <x:c r="T3708" s="10" t="n">
        <x:v>0.351536</x:v>
      </x:c>
      <x:c r="U3708" s="4" t="str">
        <x:v>Test</x:v>
      </x:c>
    </x:row>
    <x:row r="3709" ht="34" customHeight="1">
      <x:c r="A3709" s="4" t="str">
        <x:v>RS-03708</x:v>
      </x:c>
      <x:c r="B3709" s="8" t="n">
        <x:v>45516</x:v>
      </x:c>
      <x:c r="C3709" s="4" t="str">
        <x:v>PRJ-008</x:v>
      </x:c>
      <x:c r="D3709" s="4" t="str">
        <x:v>Apartment</x:v>
      </x:c>
      <x:c r="E3709" s="4" t="str">
        <x:v>Booked</x:v>
      </x:c>
      <x:c r="F3709" s="4" t="str">
        <x:v>CUS-03708</x:v>
      </x:c>
      <x:c r="G3709" s="4" t="str">
        <x:v>UNIT-03708</x:v>
      </x:c>
      <x:c r="H3709" s="9" t="n">
        <x:v>22500000</x:v>
      </x:c>
      <x:c r="I3709" s="10" t="n">
        <x:v>0.01</x:v>
      </x:c>
      <x:c r="J3709" s="11" t="n">
        <x:v>5</x:v>
      </x:c>
      <x:c r="K3709" s="11" t="n">
        <x:v>5</x:v>
      </x:c>
      <x:c r="L3709" s="11" t="n">
        <x:v>1</x:v>
      </x:c>
      <x:c r="M3709" s="9" t="n">
        <x:f>ROUND(H3709*(1-I3709),2)</x:f>
        <x:v>22275000</x:v>
      </x:c>
      <x:c r="N3709" s="4" t="str">
        <x:v>Sales manager</x:v>
      </x:c>
      <x:c r="O3709" s="4" t="str">
        <x:v>BOOK-03708</x:v>
      </x:c>
      <x:c r="P3709" s="9" t="n">
        <x:v>5568750</x:v>
      </x:c>
      <x:c r="Q3709" s="11" t="n">
        <x:v>0</x:v>
      </x:c>
      <x:c r="R3709" s="8" t="n">
        <x:v>45576</x:v>
      </x:c>
      <x:c r="S3709" s="4" t="str">
        <x:v>Retained</x:v>
      </x:c>
      <x:c r="T3709" s="10" t="n">
        <x:v>0.145299</x:v>
      </x:c>
      <x:c r="U3709" s="4" t="str">
        <x:v>Test</x:v>
      </x:c>
    </x:row>
    <x:row r="3710" ht="34" customHeight="1">
      <x:c r="A3710" s="4" t="str">
        <x:v>RS-03709</x:v>
      </x:c>
      <x:c r="B3710" s="8" t="n">
        <x:v>45517</x:v>
      </x:c>
      <x:c r="C3710" s="4" t="str">
        <x:v>PRJ-009</x:v>
      </x:c>
      <x:c r="D3710" s="4" t="str">
        <x:v>Villa</x:v>
      </x:c>
      <x:c r="E3710" s="4" t="str">
        <x:v>Booked</x:v>
      </x:c>
      <x:c r="F3710" s="4" t="str">
        <x:v>CUS-03709</x:v>
      </x:c>
      <x:c r="G3710" s="4" t="str">
        <x:v>UNIT-03709</x:v>
      </x:c>
      <x:c r="H3710" s="9" t="n">
        <x:v>9300000</x:v>
      </x:c>
      <x:c r="I3710" s="10" t="n">
        <x:v>0.03</x:v>
      </x:c>
      <x:c r="J3710" s="11" t="n">
        <x:v>9</x:v>
      </x:c>
      <x:c r="K3710" s="11" t="n">
        <x:v>9</x:v>
      </x:c>
      <x:c r="L3710" s="11" t="n">
        <x:v>0</x:v>
      </x:c>
      <x:c r="M3710" s="9" t="n">
        <x:f>ROUND(H3710*(1-I3710),2)</x:f>
        <x:v>9021000</x:v>
      </x:c>
      <x:c r="N3710" s="4" t="str">
        <x:v>Sales manager</x:v>
      </x:c>
      <x:c r="O3710" s="4" t="str">
        <x:v>BOOK-03709</x:v>
      </x:c>
      <x:c r="P3710" s="9" t="n">
        <x:v>9021000</x:v>
      </x:c>
      <x:c r="Q3710" s="11" t="n">
        <x:v>0</x:v>
      </x:c>
      <x:c r="R3710" s="8" t="n">
        <x:v>45577</x:v>
      </x:c>
      <x:c r="S3710" s="4" t="str">
        <x:v>Retained</x:v>
      </x:c>
      <x:c r="T3710" s="10" t="n">
        <x:v>0.310195</x:v>
      </x:c>
      <x:c r="U3710" s="4" t="str">
        <x:v>Test</x:v>
      </x:c>
    </x:row>
    <x:row r="3711" ht="34" customHeight="1">
      <x:c r="A3711" s="4" t="str">
        <x:v>RS-03710</x:v>
      </x:c>
      <x:c r="B3711" s="8" t="n">
        <x:v>45518</x:v>
      </x:c>
      <x:c r="C3711" s="4" t="str">
        <x:v>PRJ-010</x:v>
      </x:c>
      <x:c r="D3711" s="4" t="str">
        <x:v>Retail</x:v>
      </x:c>
      <x:c r="E3711" s="4" t="str">
        <x:v>Enquiry</x:v>
      </x:c>
      <x:c r="F3711" s="4" t="str">
        <x:v>CUS-03710</x:v>
      </x:c>
      <x:c r="G3711" s="4" t="str">
        <x:v>UNIT-03710</x:v>
      </x:c>
      <x:c r="H3711" s="9" t="n">
        <x:v>19300000</x:v>
      </x:c>
      <x:c r="I3711" s="10" t="n">
        <x:v>0.1</x:v>
      </x:c>
      <x:c r="J3711" s="11" t="n">
        <x:v>8</x:v>
      </x:c>
      <x:c r="K3711" s="11" t="n">
        <x:v>6</x:v>
      </x:c>
      <x:c r="L3711" s="11" t="n">
        <x:v>0</x:v>
      </x:c>
      <x:c r="M3711" s="9" t="n">
        <x:f>ROUND(H3711*(1-I3711),2)</x:f>
        <x:v>17370000</x:v>
      </x:c>
      <x:c r="N3711" s="4" t="str">
        <x:v>Sales head</x:v>
      </x:c>
      <x:c r="O3711" s="4"/>
      <x:c r="P3711" s="9" t="n">
        <x:v>0</x:v>
      </x:c>
      <x:c r="Q3711" s="11" t="n">
        <x:v>1</x:v>
      </x:c>
      <x:c r="R3711" s="8" t="n">
        <x:v>45578</x:v>
      </x:c>
      <x:c r="S3711" s="4" t="str">
        <x:v>Lost / cancelled</x:v>
      </x:c>
      <x:c r="T3711" s="10" t="n">
        <x:v>0.310195</x:v>
      </x:c>
      <x:c r="U3711" s="4" t="str">
        <x:v>Test</x:v>
      </x:c>
    </x:row>
    <x:row r="3712" ht="34" customHeight="1">
      <x:c r="A3712" s="4" t="str">
        <x:v>RS-03711</x:v>
      </x:c>
      <x:c r="B3712" s="8" t="n">
        <x:v>45519</x:v>
      </x:c>
      <x:c r="C3712" s="4" t="str">
        <x:v>PRJ-011</x:v>
      </x:c>
      <x:c r="D3712" s="4" t="str">
        <x:v>Retail</x:v>
      </x:c>
      <x:c r="E3712" s="4" t="str">
        <x:v>Cancelled</x:v>
      </x:c>
      <x:c r="F3712" s="4" t="str">
        <x:v>CUS-03711</x:v>
      </x:c>
      <x:c r="G3712" s="4" t="str">
        <x:v>UNIT-03711</x:v>
      </x:c>
      <x:c r="H3712" s="9" t="n">
        <x:v>17000000</x:v>
      </x:c>
      <x:c r="I3712" s="10" t="n">
        <x:v>0.01</x:v>
      </x:c>
      <x:c r="J3712" s="11" t="n">
        <x:v>11</x:v>
      </x:c>
      <x:c r="K3712" s="11" t="n">
        <x:v>9</x:v>
      </x:c>
      <x:c r="L3712" s="11" t="n">
        <x:v>0</x:v>
      </x:c>
      <x:c r="M3712" s="9" t="n">
        <x:f>ROUND(H3712*(1-I3712),2)</x:f>
        <x:v>16830000</x:v>
      </x:c>
      <x:c r="N3712" s="4" t="str">
        <x:v>Sales manager</x:v>
      </x:c>
      <x:c r="O3712" s="4"/>
      <x:c r="P3712" s="9" t="n">
        <x:v>0</x:v>
      </x:c>
      <x:c r="Q3712" s="11" t="n">
        <x:v>1</x:v>
      </x:c>
      <x:c r="R3712" s="8" t="n">
        <x:v>45579</x:v>
      </x:c>
      <x:c r="S3712" s="4" t="str">
        <x:v>Lost / cancelled</x:v>
      </x:c>
      <x:c r="T3712" s="10" t="n">
        <x:v>0.305556</x:v>
      </x:c>
      <x:c r="U3712" s="4" t="str">
        <x:v>Test</x:v>
      </x:c>
    </x:row>
    <x:row r="3713" ht="34" customHeight="1">
      <x:c r="A3713" s="4" t="str">
        <x:v>RS-03712</x:v>
      </x:c>
      <x:c r="B3713" s="8" t="n">
        <x:v>45520</x:v>
      </x:c>
      <x:c r="C3713" s="4" t="str">
        <x:v>PRJ-012</x:v>
      </x:c>
      <x:c r="D3713" s="4" t="str">
        <x:v>Villa</x:v>
      </x:c>
      <x:c r="E3713" s="4" t="str">
        <x:v>Handed over</x:v>
      </x:c>
      <x:c r="F3713" s="4" t="str">
        <x:v>CUS-03712</x:v>
      </x:c>
      <x:c r="G3713" s="4" t="str">
        <x:v>UNIT-03712</x:v>
      </x:c>
      <x:c r="H3713" s="9" t="n">
        <x:v>14500000</x:v>
      </x:c>
      <x:c r="I3713" s="10" t="n">
        <x:v>0.03</x:v>
      </x:c>
      <x:c r="J3713" s="11" t="n">
        <x:v>10</x:v>
      </x:c>
      <x:c r="K3713" s="11" t="n">
        <x:v>3</x:v>
      </x:c>
      <x:c r="L3713" s="11" t="n">
        <x:v>0</x:v>
      </x:c>
      <x:c r="M3713" s="9" t="n">
        <x:f>ROUND(H3713*(1-I3713),2)</x:f>
        <x:v>14065000</x:v>
      </x:c>
      <x:c r="N3713" s="4" t="str">
        <x:v>Sales manager</x:v>
      </x:c>
      <x:c r="O3713" s="4" t="str">
        <x:v>BOOK-03712</x:v>
      </x:c>
      <x:c r="P3713" s="9" t="n">
        <x:v>1406500</x:v>
      </x:c>
      <x:c r="Q3713" s="11" t="n">
        <x:v>0</x:v>
      </x:c>
      <x:c r="R3713" s="8" t="n">
        <x:v>45580</x:v>
      </x:c>
      <x:c r="S3713" s="4" t="str">
        <x:v>Retained</x:v>
      </x:c>
      <x:c r="T3713" s="10" t="n">
        <x:v>0.310195</x:v>
      </x:c>
      <x:c r="U3713" s="4" t="str">
        <x:v>Test</x:v>
      </x:c>
    </x:row>
    <x:row r="3714" ht="34" customHeight="1">
      <x:c r="A3714" s="4" t="str">
        <x:v>RS-03713</x:v>
      </x:c>
      <x:c r="B3714" s="8" t="n">
        <x:v>45521</x:v>
      </x:c>
      <x:c r="C3714" s="4" t="str">
        <x:v>PRJ-013</x:v>
      </x:c>
      <x:c r="D3714" s="4" t="str">
        <x:v>Retail</x:v>
      </x:c>
      <x:c r="E3714" s="4" t="str">
        <x:v>Reserved</x:v>
      </x:c>
      <x:c r="F3714" s="4" t="str">
        <x:v>CUS-03713</x:v>
      </x:c>
      <x:c r="G3714" s="4" t="str">
        <x:v>UNIT-03713</x:v>
      </x:c>
      <x:c r="H3714" s="9" t="n">
        <x:v>12000000</x:v>
      </x:c>
      <x:c r="I3714" s="10" t="n">
        <x:v>0.02</x:v>
      </x:c>
      <x:c r="J3714" s="11" t="n">
        <x:v>4</x:v>
      </x:c>
      <x:c r="K3714" s="11" t="n">
        <x:v>1</x:v>
      </x:c>
      <x:c r="L3714" s="11" t="n">
        <x:v>1</x:v>
      </x:c>
      <x:c r="M3714" s="9" t="n">
        <x:f>ROUND(H3714*(1-I3714),2)</x:f>
        <x:v>11760000</x:v>
      </x:c>
      <x:c r="N3714" s="4" t="str">
        <x:v>Sales manager</x:v>
      </x:c>
      <x:c r="O3714" s="4"/>
      <x:c r="P3714" s="9" t="n">
        <x:v>0</x:v>
      </x:c>
      <x:c r="Q3714" s="11" t="n">
        <x:v>0</x:v>
      </x:c>
      <x:c r="R3714" s="8" t="n">
        <x:v>45581</x:v>
      </x:c>
      <x:c r="S3714" s="4" t="str">
        <x:v>Retained</x:v>
      </x:c>
      <x:c r="T3714" s="10" t="n">
        <x:v>0.298969</x:v>
      </x:c>
      <x:c r="U3714" s="4" t="str">
        <x:v>Test</x:v>
      </x:c>
    </x:row>
    <x:row r="3715" ht="34" customHeight="1">
      <x:c r="A3715" s="4" t="str">
        <x:v>RS-03714</x:v>
      </x:c>
      <x:c r="B3715" s="8" t="n">
        <x:v>45522</x:v>
      </x:c>
      <x:c r="C3715" s="4" t="str">
        <x:v>PRJ-014</x:v>
      </x:c>
      <x:c r="D3715" s="4" t="str">
        <x:v>Apartment</x:v>
      </x:c>
      <x:c r="E3715" s="4" t="str">
        <x:v>Enquiry</x:v>
      </x:c>
      <x:c r="F3715" s="4" t="str">
        <x:v>CUS-03714</x:v>
      </x:c>
      <x:c r="G3715" s="4" t="str">
        <x:v>UNIT-03714</x:v>
      </x:c>
      <x:c r="H3715" s="9" t="n">
        <x:v>8500000</x:v>
      </x:c>
      <x:c r="I3715" s="10" t="n">
        <x:v>0.03</x:v>
      </x:c>
      <x:c r="J3715" s="11" t="n">
        <x:v>11</x:v>
      </x:c>
      <x:c r="K3715" s="11" t="n">
        <x:v>4</x:v>
      </x:c>
      <x:c r="L3715" s="11" t="n">
        <x:v>0</x:v>
      </x:c>
      <x:c r="M3715" s="9" t="n">
        <x:f>ROUND(H3715*(1-I3715),2)</x:f>
        <x:v>8245000</x:v>
      </x:c>
      <x:c r="N3715" s="4" t="str">
        <x:v>Sales manager</x:v>
      </x:c>
      <x:c r="O3715" s="4"/>
      <x:c r="P3715" s="9" t="n">
        <x:v>0</x:v>
      </x:c>
      <x:c r="Q3715" s="11" t="n">
        <x:v>1</x:v>
      </x:c>
      <x:c r="R3715" s="8" t="n">
        <x:v>45582</x:v>
      </x:c>
      <x:c r="S3715" s="4" t="str">
        <x:v>Lost / cancelled</x:v>
      </x:c>
      <x:c r="T3715" s="10" t="n">
        <x:v>0.351536</x:v>
      </x:c>
      <x:c r="U3715" s="4" t="str">
        <x:v>Test</x:v>
      </x:c>
    </x:row>
    <x:row r="3716" ht="34" customHeight="1">
      <x:c r="A3716" s="4" t="str">
        <x:v>RS-03715</x:v>
      </x:c>
      <x:c r="B3716" s="8" t="n">
        <x:v>45523</x:v>
      </x:c>
      <x:c r="C3716" s="4" t="str">
        <x:v>PRJ-015</x:v>
      </x:c>
      <x:c r="D3716" s="4" t="str">
        <x:v>Office</x:v>
      </x:c>
      <x:c r="E3716" s="4" t="str">
        <x:v>Booked</x:v>
      </x:c>
      <x:c r="F3716" s="4" t="str">
        <x:v>CUS-03715</x:v>
      </x:c>
      <x:c r="G3716" s="4" t="str">
        <x:v>UNIT-03715</x:v>
      </x:c>
      <x:c r="H3716" s="9" t="n">
        <x:v>6300000</x:v>
      </x:c>
      <x:c r="I3716" s="10" t="n">
        <x:v>0.07</x:v>
      </x:c>
      <x:c r="J3716" s="11" t="n">
        <x:v>0</x:v>
      </x:c>
      <x:c r="K3716" s="11" t="n">
        <x:v>8</x:v>
      </x:c>
      <x:c r="L3716" s="11" t="n">
        <x:v>1</x:v>
      </x:c>
      <x:c r="M3716" s="9" t="n">
        <x:f>ROUND(H3716*(1-I3716),2)</x:f>
        <x:v>5859000</x:v>
      </x:c>
      <x:c r="N3716" s="4" t="str">
        <x:v>Sales manager</x:v>
      </x:c>
      <x:c r="O3716" s="4" t="str">
        <x:v>BOOK-03715</x:v>
      </x:c>
      <x:c r="P3716" s="9" t="n">
        <x:v>585900</x:v>
      </x:c>
      <x:c r="Q3716" s="11" t="n">
        <x:v>0</x:v>
      </x:c>
      <x:c r="R3716" s="8" t="n">
        <x:v>45583</x:v>
      </x:c>
      <x:c r="S3716" s="4" t="str">
        <x:v>Retained</x:v>
      </x:c>
      <x:c r="T3716" s="10" t="n">
        <x:v>0.204152</x:v>
      </x:c>
      <x:c r="U3716" s="4" t="str">
        <x:v>Test</x:v>
      </x:c>
    </x:row>
    <x:row r="3717" ht="34" customHeight="1">
      <x:c r="A3717" s="4" t="str">
        <x:v>RS-03716</x:v>
      </x:c>
      <x:c r="B3717" s="8" t="n">
        <x:v>45524</x:v>
      </x:c>
      <x:c r="C3717" s="4" t="str">
        <x:v>PRJ-016</x:v>
      </x:c>
      <x:c r="D3717" s="4" t="str">
        <x:v>Retail</x:v>
      </x:c>
      <x:c r="E3717" s="4" t="str">
        <x:v>Cancelled</x:v>
      </x:c>
      <x:c r="F3717" s="4" t="str">
        <x:v>CUS-03716</x:v>
      </x:c>
      <x:c r="G3717" s="4" t="str">
        <x:v>UNIT-03716</x:v>
      </x:c>
      <x:c r="H3717" s="9" t="n">
        <x:v>16300000</x:v>
      </x:c>
      <x:c r="I3717" s="10" t="n">
        <x:v>0.04</x:v>
      </x:c>
      <x:c r="J3717" s="11" t="n">
        <x:v>7</x:v>
      </x:c>
      <x:c r="K3717" s="11" t="n">
        <x:v>3</x:v>
      </x:c>
      <x:c r="L3717" s="11" t="n">
        <x:v>1</x:v>
      </x:c>
      <x:c r="M3717" s="9" t="n">
        <x:f>ROUND(H3717*(1-I3717),2)</x:f>
        <x:v>15648000</x:v>
      </x:c>
      <x:c r="N3717" s="4" t="str">
        <x:v>Sales manager</x:v>
      </x:c>
      <x:c r="O3717" s="4"/>
      <x:c r="P3717" s="9" t="n">
        <x:v>0</x:v>
      </x:c>
      <x:c r="Q3717" s="11" t="n">
        <x:v>1</x:v>
      </x:c>
      <x:c r="R3717" s="8" t="n">
        <x:v>45584</x:v>
      </x:c>
      <x:c r="S3717" s="4" t="str">
        <x:v>Lost / cancelled</x:v>
      </x:c>
      <x:c r="T3717" s="10" t="n">
        <x:v>0.291946</x:v>
      </x:c>
      <x:c r="U3717" s="4" t="str">
        <x:v>Test</x:v>
      </x:c>
    </x:row>
    <x:row r="3718" ht="34" customHeight="1">
      <x:c r="A3718" s="4" t="str">
        <x:v>RS-03717</x:v>
      </x:c>
      <x:c r="B3718" s="8" t="n">
        <x:v>45525</x:v>
      </x:c>
      <x:c r="C3718" s="4" t="str">
        <x:v>PRJ-017</x:v>
      </x:c>
      <x:c r="D3718" s="4" t="str">
        <x:v>Villa</x:v>
      </x:c>
      <x:c r="E3718" s="4" t="str">
        <x:v>Cancelled</x:v>
      </x:c>
      <x:c r="F3718" s="4" t="str">
        <x:v>CUS-03717</x:v>
      </x:c>
      <x:c r="G3718" s="4" t="str">
        <x:v>UNIT-03717</x:v>
      </x:c>
      <x:c r="H3718" s="9" t="n">
        <x:v>17200000</x:v>
      </x:c>
      <x:c r="I3718" s="10" t="n">
        <x:v>0.11</x:v>
      </x:c>
      <x:c r="J3718" s="11" t="n">
        <x:v>8</x:v>
      </x:c>
      <x:c r="K3718" s="11" t="n">
        <x:v>1</x:v>
      </x:c>
      <x:c r="L3718" s="11" t="n">
        <x:v>1</x:v>
      </x:c>
      <x:c r="M3718" s="9" t="n">
        <x:f>ROUND(H3718*(1-I3718),2)</x:f>
        <x:v>15308000</x:v>
      </x:c>
      <x:c r="N3718" s="4" t="str">
        <x:v>Sales head</x:v>
      </x:c>
      <x:c r="O3718" s="4"/>
      <x:c r="P3718" s="9" t="n">
        <x:v>0</x:v>
      </x:c>
      <x:c r="Q3718" s="11" t="n">
        <x:v>1</x:v>
      </x:c>
      <x:c r="R3718" s="8" t="n">
        <x:v>45585</x:v>
      </x:c>
      <x:c r="S3718" s="4" t="str">
        <x:v>Lost / cancelled</x:v>
      </x:c>
      <x:c r="T3718" s="10" t="n">
        <x:v>0.310195</x:v>
      </x:c>
      <x:c r="U3718" s="4" t="str">
        <x:v>Test</x:v>
      </x:c>
    </x:row>
    <x:row r="3719" ht="34" customHeight="1">
      <x:c r="A3719" s="4" t="str">
        <x:v>RS-03718</x:v>
      </x:c>
      <x:c r="B3719" s="8" t="n">
        <x:v>45526</x:v>
      </x:c>
      <x:c r="C3719" s="4" t="str">
        <x:v>PRJ-018</x:v>
      </x:c>
      <x:c r="D3719" s="4" t="str">
        <x:v>Office</x:v>
      </x:c>
      <x:c r="E3719" s="4" t="str">
        <x:v>Cancelled</x:v>
      </x:c>
      <x:c r="F3719" s="4" t="str">
        <x:v>CUS-03718</x:v>
      </x:c>
      <x:c r="G3719" s="4" t="str">
        <x:v>UNIT-03718</x:v>
      </x:c>
      <x:c r="H3719" s="9" t="n">
        <x:v>3600000</x:v>
      </x:c>
      <x:c r="I3719" s="10" t="n">
        <x:v>0.04</x:v>
      </x:c>
      <x:c r="J3719" s="11" t="n">
        <x:v>10</x:v>
      </x:c>
      <x:c r="K3719" s="11" t="n">
        <x:v>4</x:v>
      </x:c>
      <x:c r="L3719" s="11" t="n">
        <x:v>1</x:v>
      </x:c>
      <x:c r="M3719" s="9" t="n">
        <x:f>ROUND(H3719*(1-I3719),2)</x:f>
        <x:v>3456000</x:v>
      </x:c>
      <x:c r="N3719" s="4" t="str">
        <x:v>Sales manager</x:v>
      </x:c>
      <x:c r="O3719" s="4"/>
      <x:c r="P3719" s="9" t="n">
        <x:v>0</x:v>
      </x:c>
      <x:c r="Q3719" s="11" t="n">
        <x:v>1</x:v>
      </x:c>
      <x:c r="R3719" s="8" t="n">
        <x:v>45586</x:v>
      </x:c>
      <x:c r="S3719" s="4" t="str">
        <x:v>Lost / cancelled</x:v>
      </x:c>
      <x:c r="T3719" s="10" t="n">
        <x:v>0.310195</x:v>
      </x:c>
      <x:c r="U3719" s="4" t="str">
        <x:v>Test</x:v>
      </x:c>
    </x:row>
    <x:row r="3720" ht="34" customHeight="1">
      <x:c r="A3720" s="4" t="str">
        <x:v>RS-03719</x:v>
      </x:c>
      <x:c r="B3720" s="8" t="n">
        <x:v>45527</x:v>
      </x:c>
      <x:c r="C3720" s="4" t="str">
        <x:v>PRJ-019</x:v>
      </x:c>
      <x:c r="D3720" s="4" t="str">
        <x:v>Office</x:v>
      </x:c>
      <x:c r="E3720" s="4" t="str">
        <x:v>Enquiry</x:v>
      </x:c>
      <x:c r="F3720" s="4" t="str">
        <x:v>CUS-03719</x:v>
      </x:c>
      <x:c r="G3720" s="4" t="str">
        <x:v>UNIT-03719</x:v>
      </x:c>
      <x:c r="H3720" s="9" t="n">
        <x:v>16800000</x:v>
      </x:c>
      <x:c r="I3720" s="10" t="n">
        <x:v>0.02</x:v>
      </x:c>
      <x:c r="J3720" s="11" t="n">
        <x:v>6</x:v>
      </x:c>
      <x:c r="K3720" s="11" t="n">
        <x:v>0</x:v>
      </x:c>
      <x:c r="L3720" s="11" t="n">
        <x:v>0</x:v>
      </x:c>
      <x:c r="M3720" s="9" t="n">
        <x:f>ROUND(H3720*(1-I3720),2)</x:f>
        <x:v>16464000</x:v>
      </x:c>
      <x:c r="N3720" s="4" t="str">
        <x:v>Sales manager</x:v>
      </x:c>
      <x:c r="O3720" s="4"/>
      <x:c r="P3720" s="9" t="n">
        <x:v>0</x:v>
      </x:c>
      <x:c r="Q3720" s="11" t="n">
        <x:v>0</x:v>
      </x:c>
      <x:c r="R3720" s="8" t="n">
        <x:v>45587</x:v>
      </x:c>
      <x:c r="S3720" s="4" t="str">
        <x:v>Retained</x:v>
      </x:c>
      <x:c r="T3720" s="10" t="n">
        <x:v>0.298969</x:v>
      </x:c>
      <x:c r="U3720" s="4" t="str">
        <x:v>Test</x:v>
      </x:c>
    </x:row>
    <x:row r="3721" ht="34" customHeight="1">
      <x:c r="A3721" s="4" t="str">
        <x:v>RS-03720</x:v>
      </x:c>
      <x:c r="B3721" s="8" t="n">
        <x:v>45528</x:v>
      </x:c>
      <x:c r="C3721" s="4" t="str">
        <x:v>PRJ-020</x:v>
      </x:c>
      <x:c r="D3721" s="4" t="str">
        <x:v>Villa</x:v>
      </x:c>
      <x:c r="E3721" s="4" t="str">
        <x:v>Booked</x:v>
      </x:c>
      <x:c r="F3721" s="4" t="str">
        <x:v>CUS-03720</x:v>
      </x:c>
      <x:c r="G3721" s="4" t="str">
        <x:v>UNIT-03720</x:v>
      </x:c>
      <x:c r="H3721" s="9" t="n">
        <x:v>21700000</x:v>
      </x:c>
      <x:c r="I3721" s="10" t="n">
        <x:v>0.02</x:v>
      </x:c>
      <x:c r="J3721" s="11" t="n">
        <x:v>6</x:v>
      </x:c>
      <x:c r="K3721" s="11" t="n">
        <x:v>10</x:v>
      </x:c>
      <x:c r="L3721" s="11" t="n">
        <x:v>0</x:v>
      </x:c>
      <x:c r="M3721" s="9" t="n">
        <x:f>ROUND(H3721*(1-I3721),2)</x:f>
        <x:v>21266000</x:v>
      </x:c>
      <x:c r="N3721" s="4" t="str">
        <x:v>Sales manager</x:v>
      </x:c>
      <x:c r="O3721" s="4" t="str">
        <x:v>BOOK-03720</x:v>
      </x:c>
      <x:c r="P3721" s="9" t="n">
        <x:v>10633000</x:v>
      </x:c>
      <x:c r="Q3721" s="11" t="n">
        <x:v>0</x:v>
      </x:c>
      <x:c r="R3721" s="8" t="n">
        <x:v>45588</x:v>
      </x:c>
      <x:c r="S3721" s="4" t="str">
        <x:v>Retained</x:v>
      </x:c>
      <x:c r="T3721" s="10" t="n">
        <x:v>0.145299</x:v>
      </x:c>
      <x:c r="U3721" s="4" t="str">
        <x:v>Test</x:v>
      </x:c>
    </x:row>
    <x:row r="3722" ht="34" customHeight="1">
      <x:c r="A3722" s="4" t="str">
        <x:v>RS-03721</x:v>
      </x:c>
      <x:c r="B3722" s="8" t="n">
        <x:v>45529</x:v>
      </x:c>
      <x:c r="C3722" s="4" t="str">
        <x:v>PRJ-001</x:v>
      </x:c>
      <x:c r="D3722" s="4" t="str">
        <x:v>Apartment</x:v>
      </x:c>
      <x:c r="E3722" s="4" t="str">
        <x:v>Handed over</x:v>
      </x:c>
      <x:c r="F3722" s="4" t="str">
        <x:v>CUS-03721</x:v>
      </x:c>
      <x:c r="G3722" s="4" t="str">
        <x:v>UNIT-03721</x:v>
      </x:c>
      <x:c r="H3722" s="9" t="n">
        <x:v>13600000</x:v>
      </x:c>
      <x:c r="I3722" s="10" t="n">
        <x:v>0.07</x:v>
      </x:c>
      <x:c r="J3722" s="11" t="n">
        <x:v>10</x:v>
      </x:c>
      <x:c r="K3722" s="11" t="n">
        <x:v>6</x:v>
      </x:c>
      <x:c r="L3722" s="11" t="n">
        <x:v>1</x:v>
      </x:c>
      <x:c r="M3722" s="9" t="n">
        <x:f>ROUND(H3722*(1-I3722),2)</x:f>
        <x:v>12648000</x:v>
      </x:c>
      <x:c r="N3722" s="4" t="str">
        <x:v>Sales manager</x:v>
      </x:c>
      <x:c r="O3722" s="4" t="str">
        <x:v>BOOK-03721</x:v>
      </x:c>
      <x:c r="P3722" s="9" t="n">
        <x:v>6324000</x:v>
      </x:c>
      <x:c r="Q3722" s="11" t="n">
        <x:v>0</x:v>
      </x:c>
      <x:c r="R3722" s="8" t="n">
        <x:v>45589</x:v>
      </x:c>
      <x:c r="S3722" s="4" t="str">
        <x:v>Retained</x:v>
      </x:c>
      <x:c r="T3722" s="10" t="n">
        <x:v>0.310195</x:v>
      </x:c>
      <x:c r="U3722" s="4" t="str">
        <x:v>Test</x:v>
      </x:c>
    </x:row>
    <x:row r="3723" ht="34" customHeight="1">
      <x:c r="A3723" s="4" t="str">
        <x:v>RS-03722</x:v>
      </x:c>
      <x:c r="B3723" s="8" t="n">
        <x:v>45530</x:v>
      </x:c>
      <x:c r="C3723" s="4" t="str">
        <x:v>PRJ-002</x:v>
      </x:c>
      <x:c r="D3723" s="4" t="str">
        <x:v>Villa</x:v>
      </x:c>
      <x:c r="E3723" s="4" t="str">
        <x:v>Enquiry</x:v>
      </x:c>
      <x:c r="F3723" s="4" t="str">
        <x:v>CUS-03722</x:v>
      </x:c>
      <x:c r="G3723" s="4" t="str">
        <x:v>UNIT-03722</x:v>
      </x:c>
      <x:c r="H3723" s="9" t="n">
        <x:v>23100000</x:v>
      </x:c>
      <x:c r="I3723" s="10" t="n">
        <x:v>0.09</x:v>
      </x:c>
      <x:c r="J3723" s="11" t="n">
        <x:v>8</x:v>
      </x:c>
      <x:c r="K3723" s="11" t="n">
        <x:v>7</x:v>
      </x:c>
      <x:c r="L3723" s="11" t="n">
        <x:v>1</x:v>
      </x:c>
      <x:c r="M3723" s="9" t="n">
        <x:f>ROUND(H3723*(1-I3723),2)</x:f>
        <x:v>21021000</x:v>
      </x:c>
      <x:c r="N3723" s="4" t="str">
        <x:v>Sales head</x:v>
      </x:c>
      <x:c r="O3723" s="4"/>
      <x:c r="P3723" s="9" t="n">
        <x:v>0</x:v>
      </x:c>
      <x:c r="Q3723" s="11" t="n">
        <x:v>0</x:v>
      </x:c>
      <x:c r="R3723" s="8" t="n">
        <x:v>45590</x:v>
      </x:c>
      <x:c r="S3723" s="4" t="str">
        <x:v>Retained</x:v>
      </x:c>
      <x:c r="T3723" s="10" t="n">
        <x:v>0.310195</x:v>
      </x:c>
      <x:c r="U3723" s="4" t="str">
        <x:v>Test</x:v>
      </x:c>
    </x:row>
    <x:row r="3724" ht="34" customHeight="1">
      <x:c r="A3724" s="4" t="str">
        <x:v>RS-03723</x:v>
      </x:c>
      <x:c r="B3724" s="8" t="n">
        <x:v>45531</x:v>
      </x:c>
      <x:c r="C3724" s="4" t="str">
        <x:v>PRJ-003</x:v>
      </x:c>
      <x:c r="D3724" s="4" t="str">
        <x:v>Villa</x:v>
      </x:c>
      <x:c r="E3724" s="4" t="str">
        <x:v>Enquiry</x:v>
      </x:c>
      <x:c r="F3724" s="4" t="str">
        <x:v>CUS-03723</x:v>
      </x:c>
      <x:c r="G3724" s="4" t="str">
        <x:v>UNIT-03723</x:v>
      </x:c>
      <x:c r="H3724" s="9" t="n">
        <x:v>23400000</x:v>
      </x:c>
      <x:c r="I3724" s="10" t="n">
        <x:v>0.03</x:v>
      </x:c>
      <x:c r="J3724" s="11" t="n">
        <x:v>9</x:v>
      </x:c>
      <x:c r="K3724" s="11" t="n">
        <x:v>10</x:v>
      </x:c>
      <x:c r="L3724" s="11" t="n">
        <x:v>0</x:v>
      </x:c>
      <x:c r="M3724" s="9" t="n">
        <x:f>ROUND(H3724*(1-I3724),2)</x:f>
        <x:v>22698000</x:v>
      </x:c>
      <x:c r="N3724" s="4" t="str">
        <x:v>Sales manager</x:v>
      </x:c>
      <x:c r="O3724" s="4"/>
      <x:c r="P3724" s="9" t="n">
        <x:v>0</x:v>
      </x:c>
      <x:c r="Q3724" s="11" t="n">
        <x:v>0</x:v>
      </x:c>
      <x:c r="R3724" s="8" t="n">
        <x:v>45591</x:v>
      </x:c>
      <x:c r="S3724" s="4" t="str">
        <x:v>Retained</x:v>
      </x:c>
      <x:c r="T3724" s="10" t="n">
        <x:v>0.310195</x:v>
      </x:c>
      <x:c r="U3724" s="4" t="str">
        <x:v>Test</x:v>
      </x:c>
    </x:row>
    <x:row r="3725" ht="34" customHeight="1">
      <x:c r="A3725" s="4" t="str">
        <x:v>RS-03724</x:v>
      </x:c>
      <x:c r="B3725" s="8" t="n">
        <x:v>45532</x:v>
      </x:c>
      <x:c r="C3725" s="4" t="str">
        <x:v>PRJ-004</x:v>
      </x:c>
      <x:c r="D3725" s="4" t="str">
        <x:v>Apartment</x:v>
      </x:c>
      <x:c r="E3725" s="4" t="str">
        <x:v>Handed over</x:v>
      </x:c>
      <x:c r="F3725" s="4" t="str">
        <x:v>CUS-03724</x:v>
      </x:c>
      <x:c r="G3725" s="4" t="str">
        <x:v>UNIT-03724</x:v>
      </x:c>
      <x:c r="H3725" s="9" t="n">
        <x:v>10700000</x:v>
      </x:c>
      <x:c r="I3725" s="10" t="n">
        <x:v>0.05</x:v>
      </x:c>
      <x:c r="J3725" s="11" t="n">
        <x:v>11</x:v>
      </x:c>
      <x:c r="K3725" s="11" t="n">
        <x:v>8</x:v>
      </x:c>
      <x:c r="L3725" s="11" t="n">
        <x:v>0</x:v>
      </x:c>
      <x:c r="M3725" s="9" t="n">
        <x:f>ROUND(H3725*(1-I3725),2)</x:f>
        <x:v>10165000</x:v>
      </x:c>
      <x:c r="N3725" s="4" t="str">
        <x:v>Sales manager</x:v>
      </x:c>
      <x:c r="O3725" s="4" t="str">
        <x:v>BOOK-03724</x:v>
      </x:c>
      <x:c r="P3725" s="9" t="n">
        <x:v>10165000</x:v>
      </x:c>
      <x:c r="Q3725" s="11" t="n">
        <x:v>0</x:v>
      </x:c>
      <x:c r="R3725" s="8" t="n">
        <x:v>45592</x:v>
      </x:c>
      <x:c r="S3725" s="4" t="str">
        <x:v>Retained</x:v>
      </x:c>
      <x:c r="T3725" s="10" t="n">
        <x:v>0.351536</x:v>
      </x:c>
      <x:c r="U3725" s="4" t="str">
        <x:v>Test</x:v>
      </x:c>
    </x:row>
    <x:row r="3726" ht="34" customHeight="1">
      <x:c r="A3726" s="4" t="str">
        <x:v>RS-03725</x:v>
      </x:c>
      <x:c r="B3726" s="8" t="n">
        <x:v>45505</x:v>
      </x:c>
      <x:c r="C3726" s="4" t="str">
        <x:v>PRJ-005</x:v>
      </x:c>
      <x:c r="D3726" s="4" t="str">
        <x:v>Retail</x:v>
      </x:c>
      <x:c r="E3726" s="4" t="str">
        <x:v>Handed over</x:v>
      </x:c>
      <x:c r="F3726" s="4" t="str">
        <x:v>CUS-03725</x:v>
      </x:c>
      <x:c r="G3726" s="4" t="str">
        <x:v>UNIT-03725</x:v>
      </x:c>
      <x:c r="H3726" s="9" t="n">
        <x:v>6500000</x:v>
      </x:c>
      <x:c r="I3726" s="10" t="n">
        <x:v>0.08</x:v>
      </x:c>
      <x:c r="J3726" s="11" t="n">
        <x:v>9</x:v>
      </x:c>
      <x:c r="K3726" s="11" t="n">
        <x:v>10</x:v>
      </x:c>
      <x:c r="L3726" s="11" t="n">
        <x:v>0</x:v>
      </x:c>
      <x:c r="M3726" s="9" t="n">
        <x:f>ROUND(H3726*(1-I3726),2)</x:f>
        <x:v>5980000</x:v>
      </x:c>
      <x:c r="N3726" s="4" t="str">
        <x:v>Sales head</x:v>
      </x:c>
      <x:c r="O3726" s="4" t="str">
        <x:v>BOOK-03725</x:v>
      </x:c>
      <x:c r="P3726" s="9" t="n">
        <x:v>1495000</x:v>
      </x:c>
      <x:c r="Q3726" s="11" t="n">
        <x:v>0</x:v>
      </x:c>
      <x:c r="R3726" s="8" t="n">
        <x:v>45565</x:v>
      </x:c>
      <x:c r="S3726" s="4" t="str">
        <x:v>Retained</x:v>
      </x:c>
      <x:c r="T3726" s="10" t="n">
        <x:v>0.310195</x:v>
      </x:c>
      <x:c r="U3726" s="4" t="str">
        <x:v>Test</x:v>
      </x:c>
    </x:row>
    <x:row r="3727" ht="34" customHeight="1">
      <x:c r="A3727" s="4" t="str">
        <x:v>RS-03726</x:v>
      </x:c>
      <x:c r="B3727" s="8" t="n">
        <x:v>45506</x:v>
      </x:c>
      <x:c r="C3727" s="4" t="str">
        <x:v>PRJ-006</x:v>
      </x:c>
      <x:c r="D3727" s="4" t="str">
        <x:v>Villa</x:v>
      </x:c>
      <x:c r="E3727" s="4" t="str">
        <x:v>Handed over</x:v>
      </x:c>
      <x:c r="F3727" s="4" t="str">
        <x:v>CUS-03726</x:v>
      </x:c>
      <x:c r="G3727" s="4" t="str">
        <x:v>UNIT-03726</x:v>
      </x:c>
      <x:c r="H3727" s="9" t="n">
        <x:v>15700000</x:v>
      </x:c>
      <x:c r="I3727" s="10" t="n">
        <x:v>0.09</x:v>
      </x:c>
      <x:c r="J3727" s="11" t="n">
        <x:v>11</x:v>
      </x:c>
      <x:c r="K3727" s="11" t="n">
        <x:v>2</x:v>
      </x:c>
      <x:c r="L3727" s="11" t="n">
        <x:v>1</x:v>
      </x:c>
      <x:c r="M3727" s="9" t="n">
        <x:f>ROUND(H3727*(1-I3727),2)</x:f>
        <x:v>14287000</x:v>
      </x:c>
      <x:c r="N3727" s="4" t="str">
        <x:v>Sales head</x:v>
      </x:c>
      <x:c r="O3727" s="4" t="str">
        <x:v>BOOK-03726</x:v>
      </x:c>
      <x:c r="P3727" s="9" t="n">
        <x:v>3571750</x:v>
      </x:c>
      <x:c r="Q3727" s="11" t="n">
        <x:v>0</x:v>
      </x:c>
      <x:c r="R3727" s="8" t="n">
        <x:v>45566</x:v>
      </x:c>
      <x:c r="S3727" s="4" t="str">
        <x:v>Retained</x:v>
      </x:c>
      <x:c r="T3727" s="10" t="n">
        <x:v>0.351536</x:v>
      </x:c>
      <x:c r="U3727" s="4" t="str">
        <x:v>Test</x:v>
      </x:c>
    </x:row>
    <x:row r="3728" ht="34" customHeight="1">
      <x:c r="A3728" s="4" t="str">
        <x:v>RS-03727</x:v>
      </x:c>
      <x:c r="B3728" s="8" t="n">
        <x:v>45507</x:v>
      </x:c>
      <x:c r="C3728" s="4" t="str">
        <x:v>PRJ-007</x:v>
      </x:c>
      <x:c r="D3728" s="4" t="str">
        <x:v>Villa</x:v>
      </x:c>
      <x:c r="E3728" s="4" t="str">
        <x:v>Cancelled</x:v>
      </x:c>
      <x:c r="F3728" s="4" t="str">
        <x:v>CUS-03727</x:v>
      </x:c>
      <x:c r="G3728" s="4" t="str">
        <x:v>UNIT-03727</x:v>
      </x:c>
      <x:c r="H3728" s="9" t="n">
        <x:v>14200000</x:v>
      </x:c>
      <x:c r="I3728" s="10" t="n">
        <x:v>0.07</x:v>
      </x:c>
      <x:c r="J3728" s="11" t="n">
        <x:v>1</x:v>
      </x:c>
      <x:c r="K3728" s="11" t="n">
        <x:v>9</x:v>
      </x:c>
      <x:c r="L3728" s="11" t="n">
        <x:v>0</x:v>
      </x:c>
      <x:c r="M3728" s="9" t="n">
        <x:f>ROUND(H3728*(1-I3728),2)</x:f>
        <x:v>13206000</x:v>
      </x:c>
      <x:c r="N3728" s="4" t="str">
        <x:v>Sales manager</x:v>
      </x:c>
      <x:c r="O3728" s="4"/>
      <x:c r="P3728" s="9" t="n">
        <x:v>0</x:v>
      </x:c>
      <x:c r="Q3728" s="11" t="n">
        <x:v>1</x:v>
      </x:c>
      <x:c r="R3728" s="8" t="n">
        <x:v>45567</x:v>
      </x:c>
      <x:c r="S3728" s="4" t="str">
        <x:v>Lost / cancelled</x:v>
      </x:c>
      <x:c r="T3728" s="10" t="n">
        <x:v>0.204152</x:v>
      </x:c>
      <x:c r="U3728" s="4" t="str">
        <x:v>Test</x:v>
      </x:c>
    </x:row>
    <x:row r="3729" ht="34" customHeight="1">
      <x:c r="A3729" s="4" t="str">
        <x:v>RS-03728</x:v>
      </x:c>
      <x:c r="B3729" s="8" t="n">
        <x:v>45508</x:v>
      </x:c>
      <x:c r="C3729" s="4" t="str">
        <x:v>PRJ-008</x:v>
      </x:c>
      <x:c r="D3729" s="4" t="str">
        <x:v>Retail</x:v>
      </x:c>
      <x:c r="E3729" s="4" t="str">
        <x:v>Handed over</x:v>
      </x:c>
      <x:c r="F3729" s="4" t="str">
        <x:v>CUS-03728</x:v>
      </x:c>
      <x:c r="G3729" s="4" t="str">
        <x:v>UNIT-03728</x:v>
      </x:c>
      <x:c r="H3729" s="9" t="n">
        <x:v>15600000</x:v>
      </x:c>
      <x:c r="I3729" s="10" t="n">
        <x:v>0.09</x:v>
      </x:c>
      <x:c r="J3729" s="11" t="n">
        <x:v>2</x:v>
      </x:c>
      <x:c r="K3729" s="11" t="n">
        <x:v>7</x:v>
      </x:c>
      <x:c r="L3729" s="11" t="n">
        <x:v>1</x:v>
      </x:c>
      <x:c r="M3729" s="9" t="n">
        <x:f>ROUND(H3729*(1-I3729),2)</x:f>
        <x:v>14196000</x:v>
      </x:c>
      <x:c r="N3729" s="4" t="str">
        <x:v>Sales head</x:v>
      </x:c>
      <x:c r="O3729" s="4" t="str">
        <x:v>BOOK-03728</x:v>
      </x:c>
      <x:c r="P3729" s="9" t="n">
        <x:v>1419600</x:v>
      </x:c>
      <x:c r="Q3729" s="11" t="n">
        <x:v>0</x:v>
      </x:c>
      <x:c r="R3729" s="8" t="n">
        <x:v>45568</x:v>
      </x:c>
      <x:c r="S3729" s="4" t="str">
        <x:v>Retained</x:v>
      </x:c>
      <x:c r="T3729" s="10" t="n">
        <x:v>0.145833</x:v>
      </x:c>
      <x:c r="U3729" s="4" t="str">
        <x:v>Test</x:v>
      </x:c>
    </x:row>
    <x:row r="3730" ht="34" customHeight="1">
      <x:c r="A3730" s="4" t="str">
        <x:v>RS-03729</x:v>
      </x:c>
      <x:c r="B3730" s="8" t="n">
        <x:v>45509</x:v>
      </x:c>
      <x:c r="C3730" s="4" t="str">
        <x:v>PRJ-009</x:v>
      </x:c>
      <x:c r="D3730" s="4" t="str">
        <x:v>Villa</x:v>
      </x:c>
      <x:c r="E3730" s="4" t="str">
        <x:v>Cancelled</x:v>
      </x:c>
      <x:c r="F3730" s="4" t="str">
        <x:v>CUS-03729</x:v>
      </x:c>
      <x:c r="G3730" s="4" t="str">
        <x:v>UNIT-03729</x:v>
      </x:c>
      <x:c r="H3730" s="9" t="n">
        <x:v>22200000</x:v>
      </x:c>
      <x:c r="I3730" s="10" t="n">
        <x:v>0.08</x:v>
      </x:c>
      <x:c r="J3730" s="11" t="n">
        <x:v>12</x:v>
      </x:c>
      <x:c r="K3730" s="11" t="n">
        <x:v>10</x:v>
      </x:c>
      <x:c r="L3730" s="11" t="n">
        <x:v>1</x:v>
      </x:c>
      <x:c r="M3730" s="9" t="n">
        <x:f>ROUND(H3730*(1-I3730),2)</x:f>
        <x:v>20424000</x:v>
      </x:c>
      <x:c r="N3730" s="4" t="str">
        <x:v>Sales head</x:v>
      </x:c>
      <x:c r="O3730" s="4"/>
      <x:c r="P3730" s="9" t="n">
        <x:v>0</x:v>
      </x:c>
      <x:c r="Q3730" s="11" t="n">
        <x:v>1</x:v>
      </x:c>
      <x:c r="R3730" s="8" t="n">
        <x:v>45569</x:v>
      </x:c>
      <x:c r="S3730" s="4" t="str">
        <x:v>Lost / cancelled</x:v>
      </x:c>
      <x:c r="T3730" s="10" t="n">
        <x:v>0.351536</x:v>
      </x:c>
      <x:c r="U3730" s="4" t="str">
        <x:v>Test</x:v>
      </x:c>
    </x:row>
    <x:row r="3731" ht="34" customHeight="1">
      <x:c r="A3731" s="4" t="str">
        <x:v>RS-03730</x:v>
      </x:c>
      <x:c r="B3731" s="8" t="n">
        <x:v>45510</x:v>
      </x:c>
      <x:c r="C3731" s="4" t="str">
        <x:v>PRJ-010</x:v>
      </x:c>
      <x:c r="D3731" s="4" t="str">
        <x:v>Villa</x:v>
      </x:c>
      <x:c r="E3731" s="4" t="str">
        <x:v>Enquiry</x:v>
      </x:c>
      <x:c r="F3731" s="4" t="str">
        <x:v>CUS-03730</x:v>
      </x:c>
      <x:c r="G3731" s="4" t="str">
        <x:v>UNIT-03730</x:v>
      </x:c>
      <x:c r="H3731" s="9" t="n">
        <x:v>8800000</x:v>
      </x:c>
      <x:c r="I3731" s="10" t="n">
        <x:v>0.01</x:v>
      </x:c>
      <x:c r="J3731" s="11" t="n">
        <x:v>6</x:v>
      </x:c>
      <x:c r="K3731" s="11" t="n">
        <x:v>10</x:v>
      </x:c>
      <x:c r="L3731" s="11" t="n">
        <x:v>0</x:v>
      </x:c>
      <x:c r="M3731" s="9" t="n">
        <x:f>ROUND(H3731*(1-I3731),2)</x:f>
        <x:v>8712000</x:v>
      </x:c>
      <x:c r="N3731" s="4" t="str">
        <x:v>Sales manager</x:v>
      </x:c>
      <x:c r="O3731" s="4"/>
      <x:c r="P3731" s="9" t="n">
        <x:v>0</x:v>
      </x:c>
      <x:c r="Q3731" s="11" t="n">
        <x:v>0</x:v>
      </x:c>
      <x:c r="R3731" s="8" t="n">
        <x:v>45570</x:v>
      </x:c>
      <x:c r="S3731" s="4" t="str">
        <x:v>Retained</x:v>
      </x:c>
      <x:c r="T3731" s="10" t="n">
        <x:v>0.145299</x:v>
      </x:c>
      <x:c r="U3731" s="4" t="str">
        <x:v>Test</x:v>
      </x:c>
    </x:row>
    <x:row r="3732" ht="34" customHeight="1">
      <x:c r="A3732" s="4" t="str">
        <x:v>RS-03731</x:v>
      </x:c>
      <x:c r="B3732" s="8" t="n">
        <x:v>45511</x:v>
      </x:c>
      <x:c r="C3732" s="4" t="str">
        <x:v>PRJ-011</x:v>
      </x:c>
      <x:c r="D3732" s="4" t="str">
        <x:v>Office</x:v>
      </x:c>
      <x:c r="E3732" s="4" t="str">
        <x:v>Booked</x:v>
      </x:c>
      <x:c r="F3732" s="4" t="str">
        <x:v>CUS-03731</x:v>
      </x:c>
      <x:c r="G3732" s="4" t="str">
        <x:v>UNIT-03731</x:v>
      </x:c>
      <x:c r="H3732" s="9" t="n">
        <x:v>20700000</x:v>
      </x:c>
      <x:c r="I3732" s="10" t="n">
        <x:v>0.09</x:v>
      </x:c>
      <x:c r="J3732" s="11" t="n">
        <x:v>7</x:v>
      </x:c>
      <x:c r="K3732" s="11" t="n">
        <x:v>7</x:v>
      </x:c>
      <x:c r="L3732" s="11" t="n">
        <x:v>0</x:v>
      </x:c>
      <x:c r="M3732" s="9" t="n">
        <x:f>ROUND(H3732*(1-I3732),2)</x:f>
        <x:v>18837000</x:v>
      </x:c>
      <x:c r="N3732" s="4" t="str">
        <x:v>Sales head</x:v>
      </x:c>
      <x:c r="O3732" s="4" t="str">
        <x:v>BOOK-03731</x:v>
      </x:c>
      <x:c r="P3732" s="9" t="n">
        <x:v>9418500</x:v>
      </x:c>
      <x:c r="Q3732" s="11" t="n">
        <x:v>0</x:v>
      </x:c>
      <x:c r="R3732" s="8" t="n">
        <x:v>45571</x:v>
      </x:c>
      <x:c r="S3732" s="4" t="str">
        <x:v>Retained</x:v>
      </x:c>
      <x:c r="T3732" s="10" t="n">
        <x:v>0.226277</x:v>
      </x:c>
      <x:c r="U3732" s="4" t="str">
        <x:v>Test</x:v>
      </x:c>
    </x:row>
    <x:row r="3733" ht="34" customHeight="1">
      <x:c r="A3733" s="4" t="str">
        <x:v>RS-03732</x:v>
      </x:c>
      <x:c r="B3733" s="8" t="n">
        <x:v>45512</x:v>
      </x:c>
      <x:c r="C3733" s="4" t="str">
        <x:v>PRJ-012</x:v>
      </x:c>
      <x:c r="D3733" s="4" t="str">
        <x:v>Retail</x:v>
      </x:c>
      <x:c r="E3733" s="4" t="str">
        <x:v>Reserved</x:v>
      </x:c>
      <x:c r="F3733" s="4" t="str">
        <x:v>CUS-03732</x:v>
      </x:c>
      <x:c r="G3733" s="4" t="str">
        <x:v>UNIT-03732</x:v>
      </x:c>
      <x:c r="H3733" s="9" t="n">
        <x:v>11600000</x:v>
      </x:c>
      <x:c r="I3733" s="10" t="n">
        <x:v>0.12</x:v>
      </x:c>
      <x:c r="J3733" s="11" t="n">
        <x:v>3</x:v>
      </x:c>
      <x:c r="K3733" s="11" t="n">
        <x:v>4</x:v>
      </x:c>
      <x:c r="L3733" s="11" t="n">
        <x:v>1</x:v>
      </x:c>
      <x:c r="M3733" s="9" t="n">
        <x:f>ROUND(H3733*(1-I3733),2)</x:f>
        <x:v>10208000</x:v>
      </x:c>
      <x:c r="N3733" s="4" t="str">
        <x:v>Sales head</x:v>
      </x:c>
      <x:c r="O3733" s="4"/>
      <x:c r="P3733" s="9" t="n">
        <x:v>0</x:v>
      </x:c>
      <x:c r="Q3733" s="11" t="n">
        <x:v>1</x:v>
      </x:c>
      <x:c r="R3733" s="8" t="n">
        <x:v>45572</x:v>
      </x:c>
      <x:c r="S3733" s="4" t="str">
        <x:v>Lost / cancelled</x:v>
      </x:c>
      <x:c r="T3733" s="10" t="n">
        <x:v>0.145833</x:v>
      </x:c>
      <x:c r="U3733" s="4" t="str">
        <x:v>Test</x:v>
      </x:c>
    </x:row>
    <x:row r="3734" ht="34" customHeight="1">
      <x:c r="A3734" s="4" t="str">
        <x:v>RS-03733</x:v>
      </x:c>
      <x:c r="B3734" s="8" t="n">
        <x:v>45513</x:v>
      </x:c>
      <x:c r="C3734" s="4" t="str">
        <x:v>PRJ-013</x:v>
      </x:c>
      <x:c r="D3734" s="4" t="str">
        <x:v>Office</x:v>
      </x:c>
      <x:c r="E3734" s="4" t="str">
        <x:v>Enquiry</x:v>
      </x:c>
      <x:c r="F3734" s="4" t="str">
        <x:v>CUS-03733</x:v>
      </x:c>
      <x:c r="G3734" s="4" t="str">
        <x:v>UNIT-03733</x:v>
      </x:c>
      <x:c r="H3734" s="9" t="n">
        <x:v>17800000</x:v>
      </x:c>
      <x:c r="I3734" s="10" t="n">
        <x:v>0.08</x:v>
      </x:c>
      <x:c r="J3734" s="11" t="n">
        <x:v>7</x:v>
      </x:c>
      <x:c r="K3734" s="11" t="n">
        <x:v>5</x:v>
      </x:c>
      <x:c r="L3734" s="11" t="n">
        <x:v>1</x:v>
      </x:c>
      <x:c r="M3734" s="9" t="n">
        <x:f>ROUND(H3734*(1-I3734),2)</x:f>
        <x:v>16376000</x:v>
      </x:c>
      <x:c r="N3734" s="4" t="str">
        <x:v>Sales head</x:v>
      </x:c>
      <x:c r="O3734" s="4"/>
      <x:c r="P3734" s="9" t="n">
        <x:v>0</x:v>
      </x:c>
      <x:c r="Q3734" s="11" t="n">
        <x:v>0</x:v>
      </x:c>
      <x:c r="R3734" s="8" t="n">
        <x:v>45573</x:v>
      </x:c>
      <x:c r="S3734" s="4" t="str">
        <x:v>Retained</x:v>
      </x:c>
      <x:c r="T3734" s="10" t="n">
        <x:v>0.291946</x:v>
      </x:c>
      <x:c r="U3734" s="4" t="str">
        <x:v>Test</x:v>
      </x:c>
    </x:row>
    <x:row r="3735" ht="34" customHeight="1">
      <x:c r="A3735" s="4" t="str">
        <x:v>RS-03734</x:v>
      </x:c>
      <x:c r="B3735" s="8" t="n">
        <x:v>45514</x:v>
      </x:c>
      <x:c r="C3735" s="4" t="str">
        <x:v>PRJ-014</x:v>
      </x:c>
      <x:c r="D3735" s="4" t="str">
        <x:v>Office</x:v>
      </x:c>
      <x:c r="E3735" s="4" t="str">
        <x:v>Enquiry</x:v>
      </x:c>
      <x:c r="F3735" s="4" t="str">
        <x:v>CUS-03734</x:v>
      </x:c>
      <x:c r="G3735" s="4" t="str">
        <x:v>UNIT-03734</x:v>
      </x:c>
      <x:c r="H3735" s="9" t="n">
        <x:v>9800000</x:v>
      </x:c>
      <x:c r="I3735" s="10" t="n">
        <x:v>0.11</x:v>
      </x:c>
      <x:c r="J3735" s="11" t="n">
        <x:v>5</x:v>
      </x:c>
      <x:c r="K3735" s="11" t="n">
        <x:v>6</x:v>
      </x:c>
      <x:c r="L3735" s="11" t="n">
        <x:v>1</x:v>
      </x:c>
      <x:c r="M3735" s="9" t="n">
        <x:f>ROUND(H3735*(1-I3735),2)</x:f>
        <x:v>8722000</x:v>
      </x:c>
      <x:c r="N3735" s="4" t="str">
        <x:v>Sales head</x:v>
      </x:c>
      <x:c r="O3735" s="4"/>
      <x:c r="P3735" s="9" t="n">
        <x:v>0</x:v>
      </x:c>
      <x:c r="Q3735" s="11" t="n">
        <x:v>1</x:v>
      </x:c>
      <x:c r="R3735" s="8" t="n">
        <x:v>45574</x:v>
      </x:c>
      <x:c r="S3735" s="4" t="str">
        <x:v>Lost / cancelled</x:v>
      </x:c>
      <x:c r="T3735" s="10" t="n">
        <x:v>0.291946</x:v>
      </x:c>
      <x:c r="U3735" s="4" t="str">
        <x:v>Test</x:v>
      </x:c>
    </x:row>
    <x:row r="3736" ht="34" customHeight="1">
      <x:c r="A3736" s="4" t="str">
        <x:v>RS-03735</x:v>
      </x:c>
      <x:c r="B3736" s="8" t="n">
        <x:v>45515</x:v>
      </x:c>
      <x:c r="C3736" s="4" t="str">
        <x:v>PRJ-015</x:v>
      </x:c>
      <x:c r="D3736" s="4" t="str">
        <x:v>Office</x:v>
      </x:c>
      <x:c r="E3736" s="4" t="str">
        <x:v>Handed over</x:v>
      </x:c>
      <x:c r="F3736" s="4" t="str">
        <x:v>CUS-03735</x:v>
      </x:c>
      <x:c r="G3736" s="4" t="str">
        <x:v>UNIT-03735</x:v>
      </x:c>
      <x:c r="H3736" s="9" t="n">
        <x:v>6200000</x:v>
      </x:c>
      <x:c r="I3736" s="10" t="n">
        <x:v>0.05</x:v>
      </x:c>
      <x:c r="J3736" s="11" t="n">
        <x:v>0</x:v>
      </x:c>
      <x:c r="K3736" s="11" t="n">
        <x:v>5</x:v>
      </x:c>
      <x:c r="L3736" s="11" t="n">
        <x:v>0</x:v>
      </x:c>
      <x:c r="M3736" s="9" t="n">
        <x:f>ROUND(H3736*(1-I3736),2)</x:f>
        <x:v>5890000</x:v>
      </x:c>
      <x:c r="N3736" s="4" t="str">
        <x:v>Sales manager</x:v>
      </x:c>
      <x:c r="O3736" s="4" t="str">
        <x:v>BOOK-03735</x:v>
      </x:c>
      <x:c r="P3736" s="9" t="n">
        <x:v>1472500</x:v>
      </x:c>
      <x:c r="Q3736" s="11" t="n">
        <x:v>0</x:v>
      </x:c>
      <x:c r="R3736" s="8" t="n">
        <x:v>45575</x:v>
      </x:c>
      <x:c r="S3736" s="4" t="str">
        <x:v>Retained</x:v>
      </x:c>
      <x:c r="T3736" s="10" t="n">
        <x:v>0.204152</x:v>
      </x:c>
      <x:c r="U3736" s="4" t="str">
        <x:v>Test</x:v>
      </x:c>
    </x:row>
    <x:row r="3737" ht="34" customHeight="1">
      <x:c r="A3737" s="4" t="str">
        <x:v>RS-03736</x:v>
      </x:c>
      <x:c r="B3737" s="8" t="n">
        <x:v>45516</x:v>
      </x:c>
      <x:c r="C3737" s="4" t="str">
        <x:v>PRJ-016</x:v>
      </x:c>
      <x:c r="D3737" s="4" t="str">
        <x:v>Retail</x:v>
      </x:c>
      <x:c r="E3737" s="4" t="str">
        <x:v>Cancelled</x:v>
      </x:c>
      <x:c r="F3737" s="4" t="str">
        <x:v>CUS-03736</x:v>
      </x:c>
      <x:c r="G3737" s="4" t="str">
        <x:v>UNIT-03736</x:v>
      </x:c>
      <x:c r="H3737" s="9" t="n">
        <x:v>5200000</x:v>
      </x:c>
      <x:c r="I3737" s="10" t="n">
        <x:v>0.1</x:v>
      </x:c>
      <x:c r="J3737" s="11" t="n">
        <x:v>1</x:v>
      </x:c>
      <x:c r="K3737" s="11" t="n">
        <x:v>8</x:v>
      </x:c>
      <x:c r="L3737" s="11" t="n">
        <x:v>0</x:v>
      </x:c>
      <x:c r="M3737" s="9" t="n">
        <x:f>ROUND(H3737*(1-I3737),2)</x:f>
        <x:v>4680000</x:v>
      </x:c>
      <x:c r="N3737" s="4" t="str">
        <x:v>Sales head</x:v>
      </x:c>
      <x:c r="O3737" s="4"/>
      <x:c r="P3737" s="9" t="n">
        <x:v>0</x:v>
      </x:c>
      <x:c r="Q3737" s="11" t="n">
        <x:v>1</x:v>
      </x:c>
      <x:c r="R3737" s="8" t="n">
        <x:v>45576</x:v>
      </x:c>
      <x:c r="S3737" s="4" t="str">
        <x:v>Lost / cancelled</x:v>
      </x:c>
      <x:c r="T3737" s="10" t="n">
        <x:v>0.145833</x:v>
      </x:c>
      <x:c r="U3737" s="4" t="str">
        <x:v>Test</x:v>
      </x:c>
    </x:row>
    <x:row r="3738" ht="34" customHeight="1">
      <x:c r="A3738" s="4" t="str">
        <x:v>RS-03737</x:v>
      </x:c>
      <x:c r="B3738" s="8" t="n">
        <x:v>45517</x:v>
      </x:c>
      <x:c r="C3738" s="4" t="str">
        <x:v>PRJ-017</x:v>
      </x:c>
      <x:c r="D3738" s="4" t="str">
        <x:v>Retail</x:v>
      </x:c>
      <x:c r="E3738" s="4" t="str">
        <x:v>Agreement signed</x:v>
      </x:c>
      <x:c r="F3738" s="4" t="str">
        <x:v>CUS-03737</x:v>
      </x:c>
      <x:c r="G3738" s="4" t="str">
        <x:v>UNIT-03737</x:v>
      </x:c>
      <x:c r="H3738" s="9" t="n">
        <x:v>8100000</x:v>
      </x:c>
      <x:c r="I3738" s="10" t="n">
        <x:v>0.12</x:v>
      </x:c>
      <x:c r="J3738" s="11" t="n">
        <x:v>3</x:v>
      </x:c>
      <x:c r="K3738" s="11" t="n">
        <x:v>5</x:v>
      </x:c>
      <x:c r="L3738" s="11" t="n">
        <x:v>1</x:v>
      </x:c>
      <x:c r="M3738" s="9" t="n">
        <x:f>ROUND(H3738*(1-I3738),2)</x:f>
        <x:v>7128000</x:v>
      </x:c>
      <x:c r="N3738" s="4" t="str">
        <x:v>Sales head</x:v>
      </x:c>
      <x:c r="O3738" s="4" t="str">
        <x:v>BOOK-03737</x:v>
      </x:c>
      <x:c r="P3738" s="9" t="n">
        <x:v>1782000</x:v>
      </x:c>
      <x:c r="Q3738" s="11" t="n">
        <x:v>0</x:v>
      </x:c>
      <x:c r="R3738" s="8" t="n">
        <x:v>45577</x:v>
      </x:c>
      <x:c r="S3738" s="4" t="str">
        <x:v>Retained</x:v>
      </x:c>
      <x:c r="T3738" s="10" t="n">
        <x:v>0.145833</x:v>
      </x:c>
      <x:c r="U3738" s="4" t="str">
        <x:v>Test</x:v>
      </x:c>
    </x:row>
    <x:row r="3739" ht="34" customHeight="1">
      <x:c r="A3739" s="4" t="str">
        <x:v>RS-03738</x:v>
      </x:c>
      <x:c r="B3739" s="8" t="n">
        <x:v>45518</x:v>
      </x:c>
      <x:c r="C3739" s="4" t="str">
        <x:v>PRJ-018</x:v>
      </x:c>
      <x:c r="D3739" s="4" t="str">
        <x:v>Retail</x:v>
      </x:c>
      <x:c r="E3739" s="4" t="str">
        <x:v>Enquiry</x:v>
      </x:c>
      <x:c r="F3739" s="4" t="str">
        <x:v>CUS-03738</x:v>
      </x:c>
      <x:c r="G3739" s="4" t="str">
        <x:v>UNIT-03738</x:v>
      </x:c>
      <x:c r="H3739" s="9" t="n">
        <x:v>4300000</x:v>
      </x:c>
      <x:c r="I3739" s="10" t="n">
        <x:v>0.09</x:v>
      </x:c>
      <x:c r="J3739" s="11" t="n">
        <x:v>11</x:v>
      </x:c>
      <x:c r="K3739" s="11" t="n">
        <x:v>6</x:v>
      </x:c>
      <x:c r="L3739" s="11" t="n">
        <x:v>0</x:v>
      </x:c>
      <x:c r="M3739" s="9" t="n">
        <x:f>ROUND(H3739*(1-I3739),2)</x:f>
        <x:v>3913000</x:v>
      </x:c>
      <x:c r="N3739" s="4" t="str">
        <x:v>Sales head</x:v>
      </x:c>
      <x:c r="O3739" s="4"/>
      <x:c r="P3739" s="9" t="n">
        <x:v>0</x:v>
      </x:c>
      <x:c r="Q3739" s="11" t="n">
        <x:v>0</x:v>
      </x:c>
      <x:c r="R3739" s="8" t="n">
        <x:v>45578</x:v>
      </x:c>
      <x:c r="S3739" s="4" t="str">
        <x:v>Retained</x:v>
      </x:c>
      <x:c r="T3739" s="10" t="n">
        <x:v>0.351536</x:v>
      </x:c>
      <x:c r="U3739" s="4" t="str">
        <x:v>Test</x:v>
      </x:c>
    </x:row>
    <x:row r="3740" ht="34" customHeight="1">
      <x:c r="A3740" s="4" t="str">
        <x:v>RS-03739</x:v>
      </x:c>
      <x:c r="B3740" s="8" t="n">
        <x:v>45519</x:v>
      </x:c>
      <x:c r="C3740" s="4" t="str">
        <x:v>PRJ-019</x:v>
      </x:c>
      <x:c r="D3740" s="4" t="str">
        <x:v>Office</x:v>
      </x:c>
      <x:c r="E3740" s="4" t="str">
        <x:v>Cancelled</x:v>
      </x:c>
      <x:c r="F3740" s="4" t="str">
        <x:v>CUS-03739</x:v>
      </x:c>
      <x:c r="G3740" s="4" t="str">
        <x:v>UNIT-03739</x:v>
      </x:c>
      <x:c r="H3740" s="9" t="n">
        <x:v>25000000</x:v>
      </x:c>
      <x:c r="I3740" s="10" t="n">
        <x:v>0.06</x:v>
      </x:c>
      <x:c r="J3740" s="11" t="n">
        <x:v>9</x:v>
      </x:c>
      <x:c r="K3740" s="11" t="n">
        <x:v>6</x:v>
      </x:c>
      <x:c r="L3740" s="11" t="n">
        <x:v>1</x:v>
      </x:c>
      <x:c r="M3740" s="9" t="n">
        <x:f>ROUND(H3740*(1-I3740),2)</x:f>
        <x:v>23500000</x:v>
      </x:c>
      <x:c r="N3740" s="4" t="str">
        <x:v>Sales manager</x:v>
      </x:c>
      <x:c r="O3740" s="4"/>
      <x:c r="P3740" s="9" t="n">
        <x:v>0</x:v>
      </x:c>
      <x:c r="Q3740" s="11" t="n">
        <x:v>1</x:v>
      </x:c>
      <x:c r="R3740" s="8" t="n">
        <x:v>45579</x:v>
      </x:c>
      <x:c r="S3740" s="4" t="str">
        <x:v>Lost / cancelled</x:v>
      </x:c>
      <x:c r="T3740" s="10" t="n">
        <x:v>0.310195</x:v>
      </x:c>
      <x:c r="U3740" s="4" t="str">
        <x:v>Test</x:v>
      </x:c>
    </x:row>
    <x:row r="3741" ht="34" customHeight="1">
      <x:c r="A3741" s="4" t="str">
        <x:v>RS-03740</x:v>
      </x:c>
      <x:c r="B3741" s="8" t="n">
        <x:v>45520</x:v>
      </x:c>
      <x:c r="C3741" s="4" t="str">
        <x:v>PRJ-020</x:v>
      </x:c>
      <x:c r="D3741" s="4" t="str">
        <x:v>Office</x:v>
      </x:c>
      <x:c r="E3741" s="4" t="str">
        <x:v>Reserved</x:v>
      </x:c>
      <x:c r="F3741" s="4" t="str">
        <x:v>CUS-03740</x:v>
      </x:c>
      <x:c r="G3741" s="4" t="str">
        <x:v>UNIT-03740</x:v>
      </x:c>
      <x:c r="H3741" s="9" t="n">
        <x:v>17100000</x:v>
      </x:c>
      <x:c r="I3741" s="10" t="n">
        <x:v>0.02</x:v>
      </x:c>
      <x:c r="J3741" s="11" t="n">
        <x:v>11</x:v>
      </x:c>
      <x:c r="K3741" s="11" t="n">
        <x:v>1</x:v>
      </x:c>
      <x:c r="L3741" s="11" t="n">
        <x:v>1</x:v>
      </x:c>
      <x:c r="M3741" s="9" t="n">
        <x:f>ROUND(H3741*(1-I3741),2)</x:f>
        <x:v>16758000</x:v>
      </x:c>
      <x:c r="N3741" s="4" t="str">
        <x:v>Sales manager</x:v>
      </x:c>
      <x:c r="O3741" s="4"/>
      <x:c r="P3741" s="9" t="n">
        <x:v>0</x:v>
      </x:c>
      <x:c r="Q3741" s="11" t="n">
        <x:v>0</x:v>
      </x:c>
      <x:c r="R3741" s="8" t="n">
        <x:v>45580</x:v>
      </x:c>
      <x:c r="S3741" s="4" t="str">
        <x:v>Retained</x:v>
      </x:c>
      <x:c r="T3741" s="10" t="n">
        <x:v>0.254545</x:v>
      </x:c>
      <x:c r="U3741" s="4" t="str">
        <x:v>Test</x:v>
      </x:c>
    </x:row>
    <x:row r="3742" ht="34" customHeight="1">
      <x:c r="A3742" s="4" t="str">
        <x:v>RS-03741</x:v>
      </x:c>
      <x:c r="B3742" s="8" t="n">
        <x:v>45521</x:v>
      </x:c>
      <x:c r="C3742" s="4" t="str">
        <x:v>PRJ-001</x:v>
      </x:c>
      <x:c r="D3742" s="4" t="str">
        <x:v>Office</x:v>
      </x:c>
      <x:c r="E3742" s="4" t="str">
        <x:v>Handed over</x:v>
      </x:c>
      <x:c r="F3742" s="4" t="str">
        <x:v>CUS-03741</x:v>
      </x:c>
      <x:c r="G3742" s="4" t="str">
        <x:v>UNIT-03741</x:v>
      </x:c>
      <x:c r="H3742" s="9" t="n">
        <x:v>7000000</x:v>
      </x:c>
      <x:c r="I3742" s="10" t="n">
        <x:v>0.03</x:v>
      </x:c>
      <x:c r="J3742" s="11" t="n">
        <x:v>8</x:v>
      </x:c>
      <x:c r="K3742" s="11" t="n">
        <x:v>7</x:v>
      </x:c>
      <x:c r="L3742" s="11" t="n">
        <x:v>1</x:v>
      </x:c>
      <x:c r="M3742" s="9" t="n">
        <x:f>ROUND(H3742*(1-I3742),2)</x:f>
        <x:v>6790000</x:v>
      </x:c>
      <x:c r="N3742" s="4" t="str">
        <x:v>Sales manager</x:v>
      </x:c>
      <x:c r="O3742" s="4" t="str">
        <x:v>BOOK-03741</x:v>
      </x:c>
      <x:c r="P3742" s="9" t="n">
        <x:v>3395000</x:v>
      </x:c>
      <x:c r="Q3742" s="11" t="n">
        <x:v>0</x:v>
      </x:c>
      <x:c r="R3742" s="8" t="n">
        <x:v>45581</x:v>
      </x:c>
      <x:c r="S3742" s="4" t="str">
        <x:v>Retained</x:v>
      </x:c>
      <x:c r="T3742" s="10" t="n">
        <x:v>0.310195</x:v>
      </x:c>
      <x:c r="U3742" s="4" t="str">
        <x:v>Test</x:v>
      </x:c>
    </x:row>
    <x:row r="3743" ht="34" customHeight="1">
      <x:c r="A3743" s="4" t="str">
        <x:v>RS-03742</x:v>
      </x:c>
      <x:c r="B3743" s="8" t="n">
        <x:v>45522</x:v>
      </x:c>
      <x:c r="C3743" s="4" t="str">
        <x:v>PRJ-002</x:v>
      </x:c>
      <x:c r="D3743" s="4" t="str">
        <x:v>Villa</x:v>
      </x:c>
      <x:c r="E3743" s="4" t="str">
        <x:v>Handed over</x:v>
      </x:c>
      <x:c r="F3743" s="4" t="str">
        <x:v>CUS-03742</x:v>
      </x:c>
      <x:c r="G3743" s="4" t="str">
        <x:v>UNIT-03742</x:v>
      </x:c>
      <x:c r="H3743" s="9" t="n">
        <x:v>4400000</x:v>
      </x:c>
      <x:c r="I3743" s="10" t="n">
        <x:v>0.11</x:v>
      </x:c>
      <x:c r="J3743" s="11" t="n">
        <x:v>7</x:v>
      </x:c>
      <x:c r="K3743" s="11" t="n">
        <x:v>4</x:v>
      </x:c>
      <x:c r="L3743" s="11" t="n">
        <x:v>1</x:v>
      </x:c>
      <x:c r="M3743" s="9" t="n">
        <x:f>ROUND(H3743*(1-I3743),2)</x:f>
        <x:v>3916000</x:v>
      </x:c>
      <x:c r="N3743" s="4" t="str">
        <x:v>Sales head</x:v>
      </x:c>
      <x:c r="O3743" s="4" t="str">
        <x:v>BOOK-03742</x:v>
      </x:c>
      <x:c r="P3743" s="9" t="n">
        <x:v>3916000</x:v>
      </x:c>
      <x:c r="Q3743" s="11" t="n">
        <x:v>0</x:v>
      </x:c>
      <x:c r="R3743" s="8" t="n">
        <x:v>45582</x:v>
      </x:c>
      <x:c r="S3743" s="4" t="str">
        <x:v>Retained</x:v>
      </x:c>
      <x:c r="T3743" s="10" t="n">
        <x:v>0.291946</x:v>
      </x:c>
      <x:c r="U3743" s="4" t="str">
        <x:v>Test</x:v>
      </x:c>
    </x:row>
    <x:row r="3744" ht="34" customHeight="1">
      <x:c r="A3744" s="4" t="str">
        <x:v>RS-03743</x:v>
      </x:c>
      <x:c r="B3744" s="8" t="n">
        <x:v>45523</x:v>
      </x:c>
      <x:c r="C3744" s="4" t="str">
        <x:v>PRJ-003</x:v>
      </x:c>
      <x:c r="D3744" s="4" t="str">
        <x:v>Office</x:v>
      </x:c>
      <x:c r="E3744" s="4" t="str">
        <x:v>Enquiry</x:v>
      </x:c>
      <x:c r="F3744" s="4" t="str">
        <x:v>CUS-03743</x:v>
      </x:c>
      <x:c r="G3744" s="4" t="str">
        <x:v>UNIT-03743</x:v>
      </x:c>
      <x:c r="H3744" s="9" t="n">
        <x:v>5300000</x:v>
      </x:c>
      <x:c r="I3744" s="10" t="n">
        <x:v>0.05</x:v>
      </x:c>
      <x:c r="J3744" s="11" t="n">
        <x:v>0</x:v>
      </x:c>
      <x:c r="K3744" s="11" t="n">
        <x:v>7</x:v>
      </x:c>
      <x:c r="L3744" s="11" t="n">
        <x:v>1</x:v>
      </x:c>
      <x:c r="M3744" s="9" t="n">
        <x:f>ROUND(H3744*(1-I3744),2)</x:f>
        <x:v>5035000</x:v>
      </x:c>
      <x:c r="N3744" s="4" t="str">
        <x:v>Sales manager</x:v>
      </x:c>
      <x:c r="O3744" s="4"/>
      <x:c r="P3744" s="9" t="n">
        <x:v>0</x:v>
      </x:c>
      <x:c r="Q3744" s="11" t="n">
        <x:v>0</x:v>
      </x:c>
      <x:c r="R3744" s="8" t="n">
        <x:v>45583</x:v>
      </x:c>
      <x:c r="S3744" s="4" t="str">
        <x:v>Retained</x:v>
      </x:c>
      <x:c r="T3744" s="10" t="n">
        <x:v>0.204152</x:v>
      </x:c>
      <x:c r="U3744" s="4" t="str">
        <x:v>Test</x:v>
      </x:c>
    </x:row>
    <x:row r="3745" ht="34" customHeight="1">
      <x:c r="A3745" s="4" t="str">
        <x:v>RS-03744</x:v>
      </x:c>
      <x:c r="B3745" s="8" t="n">
        <x:v>45524</x:v>
      </x:c>
      <x:c r="C3745" s="4" t="str">
        <x:v>PRJ-004</x:v>
      </x:c>
      <x:c r="D3745" s="4" t="str">
        <x:v>Retail</x:v>
      </x:c>
      <x:c r="E3745" s="4" t="str">
        <x:v>Reserved</x:v>
      </x:c>
      <x:c r="F3745" s="4" t="str">
        <x:v>CUS-03744</x:v>
      </x:c>
      <x:c r="G3745" s="4" t="str">
        <x:v>UNIT-03744</x:v>
      </x:c>
      <x:c r="H3745" s="9" t="n">
        <x:v>20500000</x:v>
      </x:c>
      <x:c r="I3745" s="10" t="n">
        <x:v>0.04</x:v>
      </x:c>
      <x:c r="J3745" s="11" t="n">
        <x:v>1</x:v>
      </x:c>
      <x:c r="K3745" s="11" t="n">
        <x:v>4</x:v>
      </x:c>
      <x:c r="L3745" s="11" t="n">
        <x:v>0</x:v>
      </x:c>
      <x:c r="M3745" s="9" t="n">
        <x:f>ROUND(H3745*(1-I3745),2)</x:f>
        <x:v>19680000</x:v>
      </x:c>
      <x:c r="N3745" s="4" t="str">
        <x:v>Sales manager</x:v>
      </x:c>
      <x:c r="O3745" s="4"/>
      <x:c r="P3745" s="9" t="n">
        <x:v>0</x:v>
      </x:c>
      <x:c r="Q3745" s="11" t="n">
        <x:v>0</x:v>
      </x:c>
      <x:c r="R3745" s="8" t="n">
        <x:v>45584</x:v>
      </x:c>
      <x:c r="S3745" s="4" t="str">
        <x:v>Retained</x:v>
      </x:c>
      <x:c r="T3745" s="10" t="n">
        <x:v>0.204152</x:v>
      </x:c>
      <x:c r="U3745" s="4" t="str">
        <x:v>Test</x:v>
      </x:c>
    </x:row>
    <x:row r="3746" ht="34" customHeight="1">
      <x:c r="A3746" s="4" t="str">
        <x:v>RS-03745</x:v>
      </x:c>
      <x:c r="B3746" s="8" t="n">
        <x:v>45525</x:v>
      </x:c>
      <x:c r="C3746" s="4" t="str">
        <x:v>PRJ-005</x:v>
      </x:c>
      <x:c r="D3746" s="4" t="str">
        <x:v>Office</x:v>
      </x:c>
      <x:c r="E3746" s="4" t="str">
        <x:v>Reserved</x:v>
      </x:c>
      <x:c r="F3746" s="4" t="str">
        <x:v>CUS-03745</x:v>
      </x:c>
      <x:c r="G3746" s="4" t="str">
        <x:v>UNIT-03745</x:v>
      </x:c>
      <x:c r="H3746" s="9" t="n">
        <x:v>13800000</x:v>
      </x:c>
      <x:c r="I3746" s="10" t="n">
        <x:v>0.06</x:v>
      </x:c>
      <x:c r="J3746" s="11" t="n">
        <x:v>7</x:v>
      </x:c>
      <x:c r="K3746" s="11" t="n">
        <x:v>2</x:v>
      </x:c>
      <x:c r="L3746" s="11" t="n">
        <x:v>1</x:v>
      </x:c>
      <x:c r="M3746" s="9" t="n">
        <x:f>ROUND(H3746*(1-I3746),2)</x:f>
        <x:v>12972000</x:v>
      </x:c>
      <x:c r="N3746" s="4" t="str">
        <x:v>Sales manager</x:v>
      </x:c>
      <x:c r="O3746" s="4"/>
      <x:c r="P3746" s="9" t="n">
        <x:v>0</x:v>
      </x:c>
      <x:c r="Q3746" s="11" t="n">
        <x:v>1</x:v>
      </x:c>
      <x:c r="R3746" s="8" t="n">
        <x:v>45585</x:v>
      </x:c>
      <x:c r="S3746" s="4" t="str">
        <x:v>Lost / cancelled</x:v>
      </x:c>
      <x:c r="T3746" s="10" t="n">
        <x:v>0.291946</x:v>
      </x:c>
      <x:c r="U3746" s="4" t="str">
        <x:v>Test</x:v>
      </x:c>
    </x:row>
    <x:row r="3747" ht="34" customHeight="1">
      <x:c r="A3747" s="4" t="str">
        <x:v>RS-03746</x:v>
      </x:c>
      <x:c r="B3747" s="8" t="n">
        <x:v>45526</x:v>
      </x:c>
      <x:c r="C3747" s="4" t="str">
        <x:v>PRJ-006</x:v>
      </x:c>
      <x:c r="D3747" s="4" t="str">
        <x:v>Office</x:v>
      </x:c>
      <x:c r="E3747" s="4" t="str">
        <x:v>Handed over</x:v>
      </x:c>
      <x:c r="F3747" s="4" t="str">
        <x:v>CUS-03746</x:v>
      </x:c>
      <x:c r="G3747" s="4" t="str">
        <x:v>UNIT-03746</x:v>
      </x:c>
      <x:c r="H3747" s="9" t="n">
        <x:v>24200000</x:v>
      </x:c>
      <x:c r="I3747" s="10" t="n">
        <x:v>0.04</x:v>
      </x:c>
      <x:c r="J3747" s="11" t="n">
        <x:v>9</x:v>
      </x:c>
      <x:c r="K3747" s="11" t="n">
        <x:v>0</x:v>
      </x:c>
      <x:c r="L3747" s="11" t="n">
        <x:v>0</x:v>
      </x:c>
      <x:c r="M3747" s="9" t="n">
        <x:f>ROUND(H3747*(1-I3747),2)</x:f>
        <x:v>23232000</x:v>
      </x:c>
      <x:c r="N3747" s="4" t="str">
        <x:v>Sales manager</x:v>
      </x:c>
      <x:c r="O3747" s="4" t="str">
        <x:v>BOOK-03746</x:v>
      </x:c>
      <x:c r="P3747" s="9" t="n">
        <x:v>23232000</x:v>
      </x:c>
      <x:c r="Q3747" s="11" t="n">
        <x:v>0</x:v>
      </x:c>
      <x:c r="R3747" s="8" t="n">
        <x:v>45586</x:v>
      </x:c>
      <x:c r="S3747" s="4" t="str">
        <x:v>Retained</x:v>
      </x:c>
      <x:c r="T3747" s="10" t="n">
        <x:v>0.310195</x:v>
      </x:c>
      <x:c r="U3747" s="4" t="str">
        <x:v>Test</x:v>
      </x:c>
    </x:row>
    <x:row r="3748" ht="34" customHeight="1">
      <x:c r="A3748" s="4" t="str">
        <x:v>RS-03747</x:v>
      </x:c>
      <x:c r="B3748" s="8" t="n">
        <x:v>45527</x:v>
      </x:c>
      <x:c r="C3748" s="4" t="str">
        <x:v>PRJ-007</x:v>
      </x:c>
      <x:c r="D3748" s="4" t="str">
        <x:v>Office</x:v>
      </x:c>
      <x:c r="E3748" s="4" t="str">
        <x:v>Enquiry</x:v>
      </x:c>
      <x:c r="F3748" s="4" t="str">
        <x:v>CUS-03747</x:v>
      </x:c>
      <x:c r="G3748" s="4" t="str">
        <x:v>UNIT-03747</x:v>
      </x:c>
      <x:c r="H3748" s="9" t="n">
        <x:v>10900000</x:v>
      </x:c>
      <x:c r="I3748" s="10" t="n">
        <x:v>0.07</x:v>
      </x:c>
      <x:c r="J3748" s="11" t="n">
        <x:v>3</x:v>
      </x:c>
      <x:c r="K3748" s="11" t="n">
        <x:v>9</x:v>
      </x:c>
      <x:c r="L3748" s="11" t="n">
        <x:v>1</x:v>
      </x:c>
      <x:c r="M3748" s="9" t="n">
        <x:f>ROUND(H3748*(1-I3748),2)</x:f>
        <x:v>10137000</x:v>
      </x:c>
      <x:c r="N3748" s="4" t="str">
        <x:v>Sales manager</x:v>
      </x:c>
      <x:c r="O3748" s="4"/>
      <x:c r="P3748" s="9" t="n">
        <x:v>0</x:v>
      </x:c>
      <x:c r="Q3748" s="11" t="n">
        <x:v>1</x:v>
      </x:c>
      <x:c r="R3748" s="8" t="n">
        <x:v>45587</x:v>
      </x:c>
      <x:c r="S3748" s="4" t="str">
        <x:v>Lost / cancelled</x:v>
      </x:c>
      <x:c r="T3748" s="10" t="n">
        <x:v>0.204152</x:v>
      </x:c>
      <x:c r="U3748" s="4" t="str">
        <x:v>Test</x:v>
      </x:c>
    </x:row>
    <x:row r="3749" ht="34" customHeight="1">
      <x:c r="A3749" s="4" t="str">
        <x:v>RS-03748</x:v>
      </x:c>
      <x:c r="B3749" s="8" t="n">
        <x:v>45528</x:v>
      </x:c>
      <x:c r="C3749" s="4" t="str">
        <x:v>PRJ-008</x:v>
      </x:c>
      <x:c r="D3749" s="4" t="str">
        <x:v>Villa</x:v>
      </x:c>
      <x:c r="E3749" s="4" t="str">
        <x:v>Cancelled</x:v>
      </x:c>
      <x:c r="F3749" s="4" t="str">
        <x:v>CUS-03748</x:v>
      </x:c>
      <x:c r="G3749" s="4" t="str">
        <x:v>UNIT-03748</x:v>
      </x:c>
      <x:c r="H3749" s="9" t="n">
        <x:v>12100000</x:v>
      </x:c>
      <x:c r="I3749" s="10" t="n">
        <x:v>0.07</x:v>
      </x:c>
      <x:c r="J3749" s="11" t="n">
        <x:v>11</x:v>
      </x:c>
      <x:c r="K3749" s="11" t="n">
        <x:v>3</x:v>
      </x:c>
      <x:c r="L3749" s="11" t="n">
        <x:v>0</x:v>
      </x:c>
      <x:c r="M3749" s="9" t="n">
        <x:f>ROUND(H3749*(1-I3749),2)</x:f>
        <x:v>11253000</x:v>
      </x:c>
      <x:c r="N3749" s="4" t="str">
        <x:v>Sales manager</x:v>
      </x:c>
      <x:c r="O3749" s="4"/>
      <x:c r="P3749" s="9" t="n">
        <x:v>0</x:v>
      </x:c>
      <x:c r="Q3749" s="11" t="n">
        <x:v>1</x:v>
      </x:c>
      <x:c r="R3749" s="8" t="n">
        <x:v>45588</x:v>
      </x:c>
      <x:c r="S3749" s="4" t="str">
        <x:v>Lost / cancelled</x:v>
      </x:c>
      <x:c r="T3749" s="10" t="n">
        <x:v>0.351536</x:v>
      </x:c>
      <x:c r="U3749" s="4" t="str">
        <x:v>Test</x:v>
      </x:c>
    </x:row>
    <x:row r="3750" ht="34" customHeight="1">
      <x:c r="A3750" s="4" t="str">
        <x:v>RS-03749</x:v>
      </x:c>
      <x:c r="B3750" s="8" t="n">
        <x:v>45529</x:v>
      </x:c>
      <x:c r="C3750" s="4" t="str">
        <x:v>PRJ-009</x:v>
      </x:c>
      <x:c r="D3750" s="4" t="str">
        <x:v>Office</x:v>
      </x:c>
      <x:c r="E3750" s="4" t="str">
        <x:v>Booked</x:v>
      </x:c>
      <x:c r="F3750" s="4" t="str">
        <x:v>CUS-03749</x:v>
      </x:c>
      <x:c r="G3750" s="4" t="str">
        <x:v>UNIT-03749</x:v>
      </x:c>
      <x:c r="H3750" s="9" t="n">
        <x:v>16000000</x:v>
      </x:c>
      <x:c r="I3750" s="10" t="n">
        <x:v>0.01</x:v>
      </x:c>
      <x:c r="J3750" s="11" t="n">
        <x:v>11</x:v>
      </x:c>
      <x:c r="K3750" s="11" t="n">
        <x:v>0</x:v>
      </x:c>
      <x:c r="L3750" s="11" t="n">
        <x:v>1</x:v>
      </x:c>
      <x:c r="M3750" s="9" t="n">
        <x:f>ROUND(H3750*(1-I3750),2)</x:f>
        <x:v>15840000</x:v>
      </x:c>
      <x:c r="N3750" s="4" t="str">
        <x:v>Sales manager</x:v>
      </x:c>
      <x:c r="O3750" s="4" t="str">
        <x:v>BOOK-03749</x:v>
      </x:c>
      <x:c r="P3750" s="9" t="n">
        <x:v>15840000</x:v>
      </x:c>
      <x:c r="Q3750" s="11" t="n">
        <x:v>0</x:v>
      </x:c>
      <x:c r="R3750" s="8" t="n">
        <x:v>45589</x:v>
      </x:c>
      <x:c r="S3750" s="4" t="str">
        <x:v>Retained</x:v>
      </x:c>
      <x:c r="T3750" s="10" t="n">
        <x:v>0.254545</x:v>
      </x:c>
      <x:c r="U3750" s="4" t="str">
        <x:v>Test</x:v>
      </x:c>
    </x:row>
    <x:row r="3751" ht="34" customHeight="1">
      <x:c r="A3751" s="4" t="str">
        <x:v>RS-03750</x:v>
      </x:c>
      <x:c r="B3751" s="8" t="n">
        <x:v>45530</x:v>
      </x:c>
      <x:c r="C3751" s="4" t="str">
        <x:v>PRJ-010</x:v>
      </x:c>
      <x:c r="D3751" s="4" t="str">
        <x:v>Apartment</x:v>
      </x:c>
      <x:c r="E3751" s="4" t="str">
        <x:v>Handed over</x:v>
      </x:c>
      <x:c r="F3751" s="4" t="str">
        <x:v>CUS-03750</x:v>
      </x:c>
      <x:c r="G3751" s="4" t="str">
        <x:v>UNIT-03750</x:v>
      </x:c>
      <x:c r="H3751" s="9" t="n">
        <x:v>16000000</x:v>
      </x:c>
      <x:c r="I3751" s="10" t="n">
        <x:v>0.09</x:v>
      </x:c>
      <x:c r="J3751" s="11" t="n">
        <x:v>3</x:v>
      </x:c>
      <x:c r="K3751" s="11" t="n">
        <x:v>5</x:v>
      </x:c>
      <x:c r="L3751" s="11" t="n">
        <x:v>1</x:v>
      </x:c>
      <x:c r="M3751" s="9" t="n">
        <x:f>ROUND(H3751*(1-I3751),2)</x:f>
        <x:v>14560000</x:v>
      </x:c>
      <x:c r="N3751" s="4" t="str">
        <x:v>Sales head</x:v>
      </x:c>
      <x:c r="O3751" s="4" t="str">
        <x:v>BOOK-03750</x:v>
      </x:c>
      <x:c r="P3751" s="9" t="n">
        <x:v>3640000</x:v>
      </x:c>
      <x:c r="Q3751" s="11" t="n">
        <x:v>0</x:v>
      </x:c>
      <x:c r="R3751" s="8" t="n">
        <x:v>45590</x:v>
      </x:c>
      <x:c r="S3751" s="4" t="str">
        <x:v>Retained</x:v>
      </x:c>
      <x:c r="T3751" s="10" t="n">
        <x:v>0.145833</x:v>
      </x:c>
      <x:c r="U3751" s="4" t="str">
        <x:v>Test</x:v>
      </x:c>
    </x:row>
    <x:row r="3752" ht="34" customHeight="1">
      <x:c r="A3752" s="4" t="str">
        <x:v>RS-03751</x:v>
      </x:c>
      <x:c r="B3752" s="8" t="n">
        <x:v>45531</x:v>
      </x:c>
      <x:c r="C3752" s="4" t="str">
        <x:v>PRJ-011</x:v>
      </x:c>
      <x:c r="D3752" s="4" t="str">
        <x:v>Apartment</x:v>
      </x:c>
      <x:c r="E3752" s="4" t="str">
        <x:v>Reserved</x:v>
      </x:c>
      <x:c r="F3752" s="4" t="str">
        <x:v>CUS-03751</x:v>
      </x:c>
      <x:c r="G3752" s="4" t="str">
        <x:v>UNIT-03751</x:v>
      </x:c>
      <x:c r="H3752" s="9" t="n">
        <x:v>19600000</x:v>
      </x:c>
      <x:c r="I3752" s="10" t="n">
        <x:v>0.06</x:v>
      </x:c>
      <x:c r="J3752" s="11" t="n">
        <x:v>10</x:v>
      </x:c>
      <x:c r="K3752" s="11" t="n">
        <x:v>5</x:v>
      </x:c>
      <x:c r="L3752" s="11" t="n">
        <x:v>0</x:v>
      </x:c>
      <x:c r="M3752" s="9" t="n">
        <x:f>ROUND(H3752*(1-I3752),2)</x:f>
        <x:v>18424000</x:v>
      </x:c>
      <x:c r="N3752" s="4" t="str">
        <x:v>Sales manager</x:v>
      </x:c>
      <x:c r="O3752" s="4"/>
      <x:c r="P3752" s="9" t="n">
        <x:v>0</x:v>
      </x:c>
      <x:c r="Q3752" s="11" t="n">
        <x:v>1</x:v>
      </x:c>
      <x:c r="R3752" s="8" t="n">
        <x:v>45591</x:v>
      </x:c>
      <x:c r="S3752" s="4" t="str">
        <x:v>Lost / cancelled</x:v>
      </x:c>
      <x:c r="T3752" s="10" t="n">
        <x:v>0.310195</x:v>
      </x:c>
      <x:c r="U3752" s="4" t="str">
        <x:v>Test</x:v>
      </x:c>
    </x:row>
    <x:row r="3753" ht="34" customHeight="1">
      <x:c r="A3753" s="4" t="str">
        <x:v>RS-03752</x:v>
      </x:c>
      <x:c r="B3753" s="8" t="n">
        <x:v>45532</x:v>
      </x:c>
      <x:c r="C3753" s="4" t="str">
        <x:v>PRJ-012</x:v>
      </x:c>
      <x:c r="D3753" s="4" t="str">
        <x:v>Retail</x:v>
      </x:c>
      <x:c r="E3753" s="4" t="str">
        <x:v>Agreement signed</x:v>
      </x:c>
      <x:c r="F3753" s="4" t="str">
        <x:v>CUS-03752</x:v>
      </x:c>
      <x:c r="G3753" s="4" t="str">
        <x:v>UNIT-03752</x:v>
      </x:c>
      <x:c r="H3753" s="9" t="n">
        <x:v>19600000</x:v>
      </x:c>
      <x:c r="I3753" s="10" t="n">
        <x:v>0.11</x:v>
      </x:c>
      <x:c r="J3753" s="11" t="n">
        <x:v>7</x:v>
      </x:c>
      <x:c r="K3753" s="11" t="n">
        <x:v>8</x:v>
      </x:c>
      <x:c r="L3753" s="11" t="n">
        <x:v>1</x:v>
      </x:c>
      <x:c r="M3753" s="9" t="n">
        <x:f>ROUND(H3753*(1-I3753),2)</x:f>
        <x:v>17444000</x:v>
      </x:c>
      <x:c r="N3753" s="4" t="str">
        <x:v>Sales head</x:v>
      </x:c>
      <x:c r="O3753" s="4" t="str">
        <x:v>BOOK-03752</x:v>
      </x:c>
      <x:c r="P3753" s="9" t="n">
        <x:v>4361000</x:v>
      </x:c>
      <x:c r="Q3753" s="11" t="n">
        <x:v>0</x:v>
      </x:c>
      <x:c r="R3753" s="8" t="n">
        <x:v>45592</x:v>
      </x:c>
      <x:c r="S3753" s="4" t="str">
        <x:v>Retained</x:v>
      </x:c>
      <x:c r="T3753" s="10" t="n">
        <x:v>0.291946</x:v>
      </x:c>
      <x:c r="U3753" s="4" t="str">
        <x:v>Test</x:v>
      </x:c>
    </x:row>
    <x:row r="3754" ht="34" customHeight="1">
      <x:c r="A3754" s="4" t="str">
        <x:v>RS-03753</x:v>
      </x:c>
      <x:c r="B3754" s="8" t="n">
        <x:v>45505</x:v>
      </x:c>
      <x:c r="C3754" s="4" t="str">
        <x:v>PRJ-013</x:v>
      </x:c>
      <x:c r="D3754" s="4" t="str">
        <x:v>Retail</x:v>
      </x:c>
      <x:c r="E3754" s="4" t="str">
        <x:v>Handed over</x:v>
      </x:c>
      <x:c r="F3754" s="4" t="str">
        <x:v>CUS-03753</x:v>
      </x:c>
      <x:c r="G3754" s="4" t="str">
        <x:v>UNIT-03753</x:v>
      </x:c>
      <x:c r="H3754" s="9" t="n">
        <x:v>17700000</x:v>
      </x:c>
      <x:c r="I3754" s="10" t="n">
        <x:v>0.01</x:v>
      </x:c>
      <x:c r="J3754" s="11" t="n">
        <x:v>0</x:v>
      </x:c>
      <x:c r="K3754" s="11" t="n">
        <x:v>3</x:v>
      </x:c>
      <x:c r="L3754" s="11" t="n">
        <x:v>0</x:v>
      </x:c>
      <x:c r="M3754" s="9" t="n">
        <x:f>ROUND(H3754*(1-I3754),2)</x:f>
        <x:v>17523000</x:v>
      </x:c>
      <x:c r="N3754" s="4" t="str">
        <x:v>Sales manager</x:v>
      </x:c>
      <x:c r="O3754" s="4" t="str">
        <x:v>BOOK-03753</x:v>
      </x:c>
      <x:c r="P3754" s="9" t="n">
        <x:v>17523000</x:v>
      </x:c>
      <x:c r="Q3754" s="11" t="n">
        <x:v>0</x:v>
      </x:c>
      <x:c r="R3754" s="8" t="n">
        <x:v>45565</x:v>
      </x:c>
      <x:c r="S3754" s="4" t="str">
        <x:v>Retained</x:v>
      </x:c>
      <x:c r="T3754" s="10" t="n">
        <x:v>0.072165</x:v>
      </x:c>
      <x:c r="U3754" s="4" t="str">
        <x:v>Test</x:v>
      </x:c>
    </x:row>
    <x:row r="3755" ht="34" customHeight="1">
      <x:c r="A3755" s="4" t="str">
        <x:v>RS-03754</x:v>
      </x:c>
      <x:c r="B3755" s="8" t="n">
        <x:v>45506</x:v>
      </x:c>
      <x:c r="C3755" s="4" t="str">
        <x:v>PRJ-014</x:v>
      </x:c>
      <x:c r="D3755" s="4" t="str">
        <x:v>Apartment</x:v>
      </x:c>
      <x:c r="E3755" s="4" t="str">
        <x:v>Handed over</x:v>
      </x:c>
      <x:c r="F3755" s="4" t="str">
        <x:v>CUS-03754</x:v>
      </x:c>
      <x:c r="G3755" s="4" t="str">
        <x:v>UNIT-03754</x:v>
      </x:c>
      <x:c r="H3755" s="9" t="n">
        <x:v>4900000</x:v>
      </x:c>
      <x:c r="I3755" s="10" t="n">
        <x:v>0.11</x:v>
      </x:c>
      <x:c r="J3755" s="11" t="n">
        <x:v>11</x:v>
      </x:c>
      <x:c r="K3755" s="11" t="n">
        <x:v>2</x:v>
      </x:c>
      <x:c r="L3755" s="11" t="n">
        <x:v>1</x:v>
      </x:c>
      <x:c r="M3755" s="9" t="n">
        <x:f>ROUND(H3755*(1-I3755),2)</x:f>
        <x:v>4361000</x:v>
      </x:c>
      <x:c r="N3755" s="4" t="str">
        <x:v>Sales head</x:v>
      </x:c>
      <x:c r="O3755" s="4" t="str">
        <x:v>BOOK-03754</x:v>
      </x:c>
      <x:c r="P3755" s="9" t="n">
        <x:v>1090250</x:v>
      </x:c>
      <x:c r="Q3755" s="11" t="n">
        <x:v>0</x:v>
      </x:c>
      <x:c r="R3755" s="8" t="n">
        <x:v>45566</x:v>
      </x:c>
      <x:c r="S3755" s="4" t="str">
        <x:v>Retained</x:v>
      </x:c>
      <x:c r="T3755" s="10" t="n">
        <x:v>0.351536</x:v>
      </x:c>
      <x:c r="U3755" s="4" t="str">
        <x:v>Test</x:v>
      </x:c>
    </x:row>
    <x:row r="3756" ht="34" customHeight="1">
      <x:c r="A3756" s="4" t="str">
        <x:v>RS-03755</x:v>
      </x:c>
      <x:c r="B3756" s="8" t="n">
        <x:v>45507</x:v>
      </x:c>
      <x:c r="C3756" s="4" t="str">
        <x:v>PRJ-015</x:v>
      </x:c>
      <x:c r="D3756" s="4" t="str">
        <x:v>Office</x:v>
      </x:c>
      <x:c r="E3756" s="4" t="str">
        <x:v>Enquiry</x:v>
      </x:c>
      <x:c r="F3756" s="4" t="str">
        <x:v>CUS-03755</x:v>
      </x:c>
      <x:c r="G3756" s="4" t="str">
        <x:v>UNIT-03755</x:v>
      </x:c>
      <x:c r="H3756" s="9" t="n">
        <x:v>3100000</x:v>
      </x:c>
      <x:c r="I3756" s="10" t="n">
        <x:v>0.08</x:v>
      </x:c>
      <x:c r="J3756" s="11" t="n">
        <x:v>1</x:v>
      </x:c>
      <x:c r="K3756" s="11" t="n">
        <x:v>9</x:v>
      </x:c>
      <x:c r="L3756" s="11" t="n">
        <x:v>1</x:v>
      </x:c>
      <x:c r="M3756" s="9" t="n">
        <x:f>ROUND(H3756*(1-I3756),2)</x:f>
        <x:v>2852000</x:v>
      </x:c>
      <x:c r="N3756" s="4" t="str">
        <x:v>Sales head</x:v>
      </x:c>
      <x:c r="O3756" s="4"/>
      <x:c r="P3756" s="9" t="n">
        <x:v>0</x:v>
      </x:c>
      <x:c r="Q3756" s="11" t="n">
        <x:v>0</x:v>
      </x:c>
      <x:c r="R3756" s="8" t="n">
        <x:v>45567</x:v>
      </x:c>
      <x:c r="S3756" s="4" t="str">
        <x:v>Retained</x:v>
      </x:c>
      <x:c r="T3756" s="10" t="n">
        <x:v>0.204152</x:v>
      </x:c>
      <x:c r="U3756" s="4" t="str">
        <x:v>Test</x:v>
      </x:c>
    </x:row>
    <x:row r="3757" ht="34" customHeight="1">
      <x:c r="A3757" s="4" t="str">
        <x:v>RS-03756</x:v>
      </x:c>
      <x:c r="B3757" s="8" t="n">
        <x:v>45508</x:v>
      </x:c>
      <x:c r="C3757" s="4" t="str">
        <x:v>PRJ-016</x:v>
      </x:c>
      <x:c r="D3757" s="4" t="str">
        <x:v>Villa</x:v>
      </x:c>
      <x:c r="E3757" s="4" t="str">
        <x:v>Handed over</x:v>
      </x:c>
      <x:c r="F3757" s="4" t="str">
        <x:v>CUS-03756</x:v>
      </x:c>
      <x:c r="G3757" s="4" t="str">
        <x:v>UNIT-03756</x:v>
      </x:c>
      <x:c r="H3757" s="9" t="n">
        <x:v>19000000</x:v>
      </x:c>
      <x:c r="I3757" s="10" t="n">
        <x:v>0.03</x:v>
      </x:c>
      <x:c r="J3757" s="11" t="n">
        <x:v>6</x:v>
      </x:c>
      <x:c r="K3757" s="11" t="n">
        <x:v>1</x:v>
      </x:c>
      <x:c r="L3757" s="11" t="n">
        <x:v>0</x:v>
      </x:c>
      <x:c r="M3757" s="9" t="n">
        <x:f>ROUND(H3757*(1-I3757),2)</x:f>
        <x:v>18430000</x:v>
      </x:c>
      <x:c r="N3757" s="4" t="str">
        <x:v>Sales manager</x:v>
      </x:c>
      <x:c r="O3757" s="4" t="str">
        <x:v>BOOK-03756</x:v>
      </x:c>
      <x:c r="P3757" s="9" t="n">
        <x:v>1843000</x:v>
      </x:c>
      <x:c r="Q3757" s="11" t="n">
        <x:v>0</x:v>
      </x:c>
      <x:c r="R3757" s="8" t="n">
        <x:v>45568</x:v>
      </x:c>
      <x:c r="S3757" s="4" t="str">
        <x:v>Retained</x:v>
      </x:c>
      <x:c r="T3757" s="10" t="n">
        <x:v>0.298969</x:v>
      </x:c>
      <x:c r="U3757" s="4" t="str">
        <x:v>Test</x:v>
      </x:c>
    </x:row>
    <x:row r="3758" ht="34" customHeight="1">
      <x:c r="A3758" s="4" t="str">
        <x:v>RS-03757</x:v>
      </x:c>
      <x:c r="B3758" s="8" t="n">
        <x:v>45509</x:v>
      </x:c>
      <x:c r="C3758" s="4" t="str">
        <x:v>PRJ-017</x:v>
      </x:c>
      <x:c r="D3758" s="4" t="str">
        <x:v>Office</x:v>
      </x:c>
      <x:c r="E3758" s="4" t="str">
        <x:v>Enquiry</x:v>
      </x:c>
      <x:c r="F3758" s="4" t="str">
        <x:v>CUS-03757</x:v>
      </x:c>
      <x:c r="G3758" s="4" t="str">
        <x:v>UNIT-03757</x:v>
      </x:c>
      <x:c r="H3758" s="9" t="n">
        <x:v>17600000</x:v>
      </x:c>
      <x:c r="I3758" s="10" t="n">
        <x:v>0.07</x:v>
      </x:c>
      <x:c r="J3758" s="11" t="n">
        <x:v>6</x:v>
      </x:c>
      <x:c r="K3758" s="11" t="n">
        <x:v>0</x:v>
      </x:c>
      <x:c r="L3758" s="11" t="n">
        <x:v>0</x:v>
      </x:c>
      <x:c r="M3758" s="9" t="n">
        <x:f>ROUND(H3758*(1-I3758),2)</x:f>
        <x:v>16368000</x:v>
      </x:c>
      <x:c r="N3758" s="4" t="str">
        <x:v>Sales manager</x:v>
      </x:c>
      <x:c r="O3758" s="4"/>
      <x:c r="P3758" s="9" t="n">
        <x:v>0</x:v>
      </x:c>
      <x:c r="Q3758" s="11" t="n">
        <x:v>0</x:v>
      </x:c>
      <x:c r="R3758" s="8" t="n">
        <x:v>45569</x:v>
      </x:c>
      <x:c r="S3758" s="4" t="str">
        <x:v>Retained</x:v>
      </x:c>
      <x:c r="T3758" s="10" t="n">
        <x:v>0.226277</x:v>
      </x:c>
      <x:c r="U3758" s="4" t="str">
        <x:v>Test</x:v>
      </x:c>
    </x:row>
    <x:row r="3759" ht="34" customHeight="1">
      <x:c r="A3759" s="4" t="str">
        <x:v>RS-03758</x:v>
      </x:c>
      <x:c r="B3759" s="8" t="n">
        <x:v>45510</x:v>
      </x:c>
      <x:c r="C3759" s="4" t="str">
        <x:v>PRJ-018</x:v>
      </x:c>
      <x:c r="D3759" s="4" t="str">
        <x:v>Office</x:v>
      </x:c>
      <x:c r="E3759" s="4" t="str">
        <x:v>Agreement signed</x:v>
      </x:c>
      <x:c r="F3759" s="4" t="str">
        <x:v>CUS-03758</x:v>
      </x:c>
      <x:c r="G3759" s="4" t="str">
        <x:v>UNIT-03758</x:v>
      </x:c>
      <x:c r="H3759" s="9" t="n">
        <x:v>10300000</x:v>
      </x:c>
      <x:c r="I3759" s="10" t="n">
        <x:v>0.06</x:v>
      </x:c>
      <x:c r="J3759" s="11" t="n">
        <x:v>5</x:v>
      </x:c>
      <x:c r="K3759" s="11" t="n">
        <x:v>0</x:v>
      </x:c>
      <x:c r="L3759" s="11" t="n">
        <x:v>0</x:v>
      </x:c>
      <x:c r="M3759" s="9" t="n">
        <x:f>ROUND(H3759*(1-I3759),2)</x:f>
        <x:v>9682000</x:v>
      </x:c>
      <x:c r="N3759" s="4" t="str">
        <x:v>Sales manager</x:v>
      </x:c>
      <x:c r="O3759" s="4" t="str">
        <x:v>BOOK-03758</x:v>
      </x:c>
      <x:c r="P3759" s="9" t="n">
        <x:v>4841000</x:v>
      </x:c>
      <x:c r="Q3759" s="11" t="n">
        <x:v>0</x:v>
      </x:c>
      <x:c r="R3759" s="8" t="n">
        <x:v>45570</x:v>
      </x:c>
      <x:c r="S3759" s="4" t="str">
        <x:v>Retained</x:v>
      </x:c>
      <x:c r="T3759" s="10" t="n">
        <x:v>0.226277</x:v>
      </x:c>
      <x:c r="U3759" s="4" t="str">
        <x:v>Test</x:v>
      </x:c>
    </x:row>
    <x:row r="3760" ht="34" customHeight="1">
      <x:c r="A3760" s="4" t="str">
        <x:v>RS-03759</x:v>
      </x:c>
      <x:c r="B3760" s="8" t="n">
        <x:v>45511</x:v>
      </x:c>
      <x:c r="C3760" s="4" t="str">
        <x:v>PRJ-019</x:v>
      </x:c>
      <x:c r="D3760" s="4" t="str">
        <x:v>Retail</x:v>
      </x:c>
      <x:c r="E3760" s="4" t="str">
        <x:v>Booked</x:v>
      </x:c>
      <x:c r="F3760" s="4" t="str">
        <x:v>CUS-03759</x:v>
      </x:c>
      <x:c r="G3760" s="4" t="str">
        <x:v>UNIT-03759</x:v>
      </x:c>
      <x:c r="H3760" s="9" t="n">
        <x:v>7000000</x:v>
      </x:c>
      <x:c r="I3760" s="10" t="n">
        <x:v>0.09</x:v>
      </x:c>
      <x:c r="J3760" s="11" t="n">
        <x:v>3</x:v>
      </x:c>
      <x:c r="K3760" s="11" t="n">
        <x:v>9</x:v>
      </x:c>
      <x:c r="L3760" s="11" t="n">
        <x:v>0</x:v>
      </x:c>
      <x:c r="M3760" s="9" t="n">
        <x:f>ROUND(H3760*(1-I3760),2)</x:f>
        <x:v>6370000</x:v>
      </x:c>
      <x:c r="N3760" s="4" t="str">
        <x:v>Sales head</x:v>
      </x:c>
      <x:c r="O3760" s="4" t="str">
        <x:v>BOOK-03759</x:v>
      </x:c>
      <x:c r="P3760" s="9" t="n">
        <x:v>6370000</x:v>
      </x:c>
      <x:c r="Q3760" s="11" t="n">
        <x:v>0</x:v>
      </x:c>
      <x:c r="R3760" s="8" t="n">
        <x:v>45571</x:v>
      </x:c>
      <x:c r="S3760" s="4" t="str">
        <x:v>Retained</x:v>
      </x:c>
      <x:c r="T3760" s="10" t="n">
        <x:v>0.145833</x:v>
      </x:c>
      <x:c r="U3760" s="4" t="str">
        <x:v>Test</x:v>
      </x:c>
    </x:row>
    <x:row r="3761" ht="34" customHeight="1">
      <x:c r="A3761" s="4" t="str">
        <x:v>RS-03760</x:v>
      </x:c>
      <x:c r="B3761" s="8" t="n">
        <x:v>45512</x:v>
      </x:c>
      <x:c r="C3761" s="4" t="str">
        <x:v>PRJ-020</x:v>
      </x:c>
      <x:c r="D3761" s="4" t="str">
        <x:v>Office</x:v>
      </x:c>
      <x:c r="E3761" s="4" t="str">
        <x:v>Handed over</x:v>
      </x:c>
      <x:c r="F3761" s="4" t="str">
        <x:v>CUS-03760</x:v>
      </x:c>
      <x:c r="G3761" s="4" t="str">
        <x:v>UNIT-03760</x:v>
      </x:c>
      <x:c r="H3761" s="9" t="n">
        <x:v>21400000</x:v>
      </x:c>
      <x:c r="I3761" s="10" t="n">
        <x:v>0.08</x:v>
      </x:c>
      <x:c r="J3761" s="11" t="n">
        <x:v>5</x:v>
      </x:c>
      <x:c r="K3761" s="11" t="n">
        <x:v>0</x:v>
      </x:c>
      <x:c r="L3761" s="11" t="n">
        <x:v>1</x:v>
      </x:c>
      <x:c r="M3761" s="9" t="n">
        <x:f>ROUND(H3761*(1-I3761),2)</x:f>
        <x:v>19688000</x:v>
      </x:c>
      <x:c r="N3761" s="4" t="str">
        <x:v>Sales head</x:v>
      </x:c>
      <x:c r="O3761" s="4" t="str">
        <x:v>BOOK-03760</x:v>
      </x:c>
      <x:c r="P3761" s="9" t="n">
        <x:v>4922000</x:v>
      </x:c>
      <x:c r="Q3761" s="11" t="n">
        <x:v>0</x:v>
      </x:c>
      <x:c r="R3761" s="8" t="n">
        <x:v>45572</x:v>
      </x:c>
      <x:c r="S3761" s="4" t="str">
        <x:v>Retained</x:v>
      </x:c>
      <x:c r="T3761" s="10" t="n">
        <x:v>0.291946</x:v>
      </x:c>
      <x:c r="U3761" s="4" t="str">
        <x:v>Test</x:v>
      </x:c>
    </x:row>
    <x:row r="3762" ht="34" customHeight="1">
      <x:c r="A3762" s="4" t="str">
        <x:v>RS-03761</x:v>
      </x:c>
      <x:c r="B3762" s="8" t="n">
        <x:v>45513</x:v>
      </x:c>
      <x:c r="C3762" s="4" t="str">
        <x:v>PRJ-001</x:v>
      </x:c>
      <x:c r="D3762" s="4" t="str">
        <x:v>Villa</x:v>
      </x:c>
      <x:c r="E3762" s="4" t="str">
        <x:v>Agreement signed</x:v>
      </x:c>
      <x:c r="F3762" s="4" t="str">
        <x:v>CUS-03761</x:v>
      </x:c>
      <x:c r="G3762" s="4" t="str">
        <x:v>UNIT-03761</x:v>
      </x:c>
      <x:c r="H3762" s="9" t="n">
        <x:v>6400000</x:v>
      </x:c>
      <x:c r="I3762" s="10" t="n">
        <x:v>0.11</x:v>
      </x:c>
      <x:c r="J3762" s="11" t="n">
        <x:v>10</x:v>
      </x:c>
      <x:c r="K3762" s="11" t="n">
        <x:v>6</x:v>
      </x:c>
      <x:c r="L3762" s="11" t="n">
        <x:v>1</x:v>
      </x:c>
      <x:c r="M3762" s="9" t="n">
        <x:f>ROUND(H3762*(1-I3762),2)</x:f>
        <x:v>5696000</x:v>
      </x:c>
      <x:c r="N3762" s="4" t="str">
        <x:v>Sales head</x:v>
      </x:c>
      <x:c r="O3762" s="4" t="str">
        <x:v>BOOK-03761</x:v>
      </x:c>
      <x:c r="P3762" s="9" t="n">
        <x:v>2848000</x:v>
      </x:c>
      <x:c r="Q3762" s="11" t="n">
        <x:v>0</x:v>
      </x:c>
      <x:c r="R3762" s="8" t="n">
        <x:v>45573</x:v>
      </x:c>
      <x:c r="S3762" s="4" t="str">
        <x:v>Retained</x:v>
      </x:c>
      <x:c r="T3762" s="10" t="n">
        <x:v>0.310195</x:v>
      </x:c>
      <x:c r="U3762" s="4" t="str">
        <x:v>Test</x:v>
      </x:c>
    </x:row>
    <x:row r="3763" ht="34" customHeight="1">
      <x:c r="A3763" s="4" t="str">
        <x:v>RS-03762</x:v>
      </x:c>
      <x:c r="B3763" s="8" t="n">
        <x:v>45514</x:v>
      </x:c>
      <x:c r="C3763" s="4" t="str">
        <x:v>PRJ-002</x:v>
      </x:c>
      <x:c r="D3763" s="4" t="str">
        <x:v>Retail</x:v>
      </x:c>
      <x:c r="E3763" s="4" t="str">
        <x:v>Cancelled</x:v>
      </x:c>
      <x:c r="F3763" s="4" t="str">
        <x:v>CUS-03762</x:v>
      </x:c>
      <x:c r="G3763" s="4" t="str">
        <x:v>UNIT-03762</x:v>
      </x:c>
      <x:c r="H3763" s="9" t="n">
        <x:v>19800000</x:v>
      </x:c>
      <x:c r="I3763" s="10" t="n">
        <x:v>0.05</x:v>
      </x:c>
      <x:c r="J3763" s="11" t="n">
        <x:v>4</x:v>
      </x:c>
      <x:c r="K3763" s="11" t="n">
        <x:v>3</x:v>
      </x:c>
      <x:c r="L3763" s="11" t="n">
        <x:v>0</x:v>
      </x:c>
      <x:c r="M3763" s="9" t="n">
        <x:f>ROUND(H3763*(1-I3763),2)</x:f>
        <x:v>18810000</x:v>
      </x:c>
      <x:c r="N3763" s="4" t="str">
        <x:v>Sales manager</x:v>
      </x:c>
      <x:c r="O3763" s="4"/>
      <x:c r="P3763" s="9" t="n">
        <x:v>0</x:v>
      </x:c>
      <x:c r="Q3763" s="11" t="n">
        <x:v>1</x:v>
      </x:c>
      <x:c r="R3763" s="8" t="n">
        <x:v>45574</x:v>
      </x:c>
      <x:c r="S3763" s="4" t="str">
        <x:v>Lost / cancelled</x:v>
      </x:c>
      <x:c r="T3763" s="10" t="n">
        <x:v>0.226277</x:v>
      </x:c>
      <x:c r="U3763" s="4" t="str">
        <x:v>Test</x:v>
      </x:c>
    </x:row>
    <x:row r="3764" ht="34" customHeight="1">
      <x:c r="A3764" s="4" t="str">
        <x:v>RS-03763</x:v>
      </x:c>
      <x:c r="B3764" s="8" t="n">
        <x:v>45515</x:v>
      </x:c>
      <x:c r="C3764" s="4" t="str">
        <x:v>PRJ-003</x:v>
      </x:c>
      <x:c r="D3764" s="4" t="str">
        <x:v>Office</x:v>
      </x:c>
      <x:c r="E3764" s="4" t="str">
        <x:v>Enquiry</x:v>
      </x:c>
      <x:c r="F3764" s="4" t="str">
        <x:v>CUS-03763</x:v>
      </x:c>
      <x:c r="G3764" s="4" t="str">
        <x:v>UNIT-03763</x:v>
      </x:c>
      <x:c r="H3764" s="9" t="n">
        <x:v>4100000</x:v>
      </x:c>
      <x:c r="I3764" s="10" t="n">
        <x:v>0.02</x:v>
      </x:c>
      <x:c r="J3764" s="11" t="n">
        <x:v>7</x:v>
      </x:c>
      <x:c r="K3764" s="11" t="n">
        <x:v>9</x:v>
      </x:c>
      <x:c r="L3764" s="11" t="n">
        <x:v>1</x:v>
      </x:c>
      <x:c r="M3764" s="9" t="n">
        <x:f>ROUND(H3764*(1-I3764),2)</x:f>
        <x:v>4018000</x:v>
      </x:c>
      <x:c r="N3764" s="4" t="str">
        <x:v>Sales manager</x:v>
      </x:c>
      <x:c r="O3764" s="4"/>
      <x:c r="P3764" s="9" t="n">
        <x:v>0</x:v>
      </x:c>
      <x:c r="Q3764" s="11" t="n">
        <x:v>0</x:v>
      </x:c>
      <x:c r="R3764" s="8" t="n">
        <x:v>45575</x:v>
      </x:c>
      <x:c r="S3764" s="4" t="str">
        <x:v>Retained</x:v>
      </x:c>
      <x:c r="T3764" s="10" t="n">
        <x:v>0.145299</x:v>
      </x:c>
      <x:c r="U3764" s="4" t="str">
        <x:v>Test</x:v>
      </x:c>
    </x:row>
    <x:row r="3765" ht="34" customHeight="1">
      <x:c r="A3765" s="4" t="str">
        <x:v>RS-03764</x:v>
      </x:c>
      <x:c r="B3765" s="8" t="n">
        <x:v>45516</x:v>
      </x:c>
      <x:c r="C3765" s="4" t="str">
        <x:v>PRJ-004</x:v>
      </x:c>
      <x:c r="D3765" s="4" t="str">
        <x:v>Villa</x:v>
      </x:c>
      <x:c r="E3765" s="4" t="str">
        <x:v>Handed over</x:v>
      </x:c>
      <x:c r="F3765" s="4" t="str">
        <x:v>CUS-03764</x:v>
      </x:c>
      <x:c r="G3765" s="4" t="str">
        <x:v>UNIT-03764</x:v>
      </x:c>
      <x:c r="H3765" s="9" t="n">
        <x:v>5300000</x:v>
      </x:c>
      <x:c r="I3765" s="10" t="n">
        <x:v>0.09</x:v>
      </x:c>
      <x:c r="J3765" s="11" t="n">
        <x:v>4</x:v>
      </x:c>
      <x:c r="K3765" s="11" t="n">
        <x:v>6</x:v>
      </x:c>
      <x:c r="L3765" s="11" t="n">
        <x:v>0</x:v>
      </x:c>
      <x:c r="M3765" s="9" t="n">
        <x:f>ROUND(H3765*(1-I3765),2)</x:f>
        <x:v>4823000</x:v>
      </x:c>
      <x:c r="N3765" s="4" t="str">
        <x:v>Sales head</x:v>
      </x:c>
      <x:c r="O3765" s="4" t="str">
        <x:v>BOOK-03764</x:v>
      </x:c>
      <x:c r="P3765" s="9" t="n">
        <x:v>4823000</x:v>
      </x:c>
      <x:c r="Q3765" s="11" t="n">
        <x:v>0</x:v>
      </x:c>
      <x:c r="R3765" s="8" t="n">
        <x:v>45576</x:v>
      </x:c>
      <x:c r="S3765" s="4" t="str">
        <x:v>Retained</x:v>
      </x:c>
      <x:c r="T3765" s="10" t="n">
        <x:v>0.226277</x:v>
      </x:c>
      <x:c r="U3765" s="4" t="str">
        <x:v>Test</x:v>
      </x:c>
    </x:row>
    <x:row r="3766" ht="34" customHeight="1">
      <x:c r="A3766" s="4" t="str">
        <x:v>RS-03765</x:v>
      </x:c>
      <x:c r="B3766" s="8" t="n">
        <x:v>45517</x:v>
      </x:c>
      <x:c r="C3766" s="4" t="str">
        <x:v>PRJ-005</x:v>
      </x:c>
      <x:c r="D3766" s="4" t="str">
        <x:v>Office</x:v>
      </x:c>
      <x:c r="E3766" s="4" t="str">
        <x:v>Agreement signed</x:v>
      </x:c>
      <x:c r="F3766" s="4" t="str">
        <x:v>CUS-03765</x:v>
      </x:c>
      <x:c r="G3766" s="4" t="str">
        <x:v>UNIT-03765</x:v>
      </x:c>
      <x:c r="H3766" s="9" t="n">
        <x:v>13500000</x:v>
      </x:c>
      <x:c r="I3766" s="10" t="n">
        <x:v>0.05</x:v>
      </x:c>
      <x:c r="J3766" s="11" t="n">
        <x:v>2</x:v>
      </x:c>
      <x:c r="K3766" s="11" t="n">
        <x:v>1</x:v>
      </x:c>
      <x:c r="L3766" s="11" t="n">
        <x:v>1</x:v>
      </x:c>
      <x:c r="M3766" s="9" t="n">
        <x:f>ROUND(H3766*(1-I3766),2)</x:f>
        <x:v>12825000</x:v>
      </x:c>
      <x:c r="N3766" s="4" t="str">
        <x:v>Sales manager</x:v>
      </x:c>
      <x:c r="O3766" s="4" t="str">
        <x:v>BOOK-03765</x:v>
      </x:c>
      <x:c r="P3766" s="9" t="n">
        <x:v>12825000</x:v>
      </x:c>
      <x:c r="Q3766" s="11" t="n">
        <x:v>0</x:v>
      </x:c>
      <x:c r="R3766" s="8" t="n">
        <x:v>45577</x:v>
      </x:c>
      <x:c r="S3766" s="4" t="str">
        <x:v>Retained</x:v>
      </x:c>
      <x:c r="T3766" s="10" t="n">
        <x:v>0.204152</x:v>
      </x:c>
      <x:c r="U3766" s="4" t="str">
        <x:v>Test</x:v>
      </x:c>
    </x:row>
    <x:row r="3767" ht="34" customHeight="1">
      <x:c r="A3767" s="4" t="str">
        <x:v>RS-03766</x:v>
      </x:c>
      <x:c r="B3767" s="8" t="n">
        <x:v>45518</x:v>
      </x:c>
      <x:c r="C3767" s="4" t="str">
        <x:v>PRJ-006</x:v>
      </x:c>
      <x:c r="D3767" s="4" t="str">
        <x:v>Apartment</x:v>
      </x:c>
      <x:c r="E3767" s="4" t="str">
        <x:v>Enquiry</x:v>
      </x:c>
      <x:c r="F3767" s="4" t="str">
        <x:v>CUS-03766</x:v>
      </x:c>
      <x:c r="G3767" s="4" t="str">
        <x:v>UNIT-03766</x:v>
      </x:c>
      <x:c r="H3767" s="9" t="n">
        <x:v>22000000</x:v>
      </x:c>
      <x:c r="I3767" s="10" t="n">
        <x:v>0.04</x:v>
      </x:c>
      <x:c r="J3767" s="11" t="n">
        <x:v>1</x:v>
      </x:c>
      <x:c r="K3767" s="11" t="n">
        <x:v>2</x:v>
      </x:c>
      <x:c r="L3767" s="11" t="n">
        <x:v>0</x:v>
      </x:c>
      <x:c r="M3767" s="9" t="n">
        <x:f>ROUND(H3767*(1-I3767),2)</x:f>
        <x:v>21120000</x:v>
      </x:c>
      <x:c r="N3767" s="4" t="str">
        <x:v>Sales manager</x:v>
      </x:c>
      <x:c r="O3767" s="4"/>
      <x:c r="P3767" s="9" t="n">
        <x:v>0</x:v>
      </x:c>
      <x:c r="Q3767" s="11" t="n">
        <x:v>0</x:v>
      </x:c>
      <x:c r="R3767" s="8" t="n">
        <x:v>45578</x:v>
      </x:c>
      <x:c r="S3767" s="4" t="str">
        <x:v>Retained</x:v>
      </x:c>
      <x:c r="T3767" s="10" t="n">
        <x:v>0.204152</x:v>
      </x:c>
      <x:c r="U3767" s="4" t="str">
        <x:v>Test</x:v>
      </x:c>
    </x:row>
    <x:row r="3768" ht="34" customHeight="1">
      <x:c r="A3768" s="4" t="str">
        <x:v>RS-03767</x:v>
      </x:c>
      <x:c r="B3768" s="8" t="n">
        <x:v>45519</x:v>
      </x:c>
      <x:c r="C3768" s="4" t="str">
        <x:v>PRJ-007</x:v>
      </x:c>
      <x:c r="D3768" s="4" t="str">
        <x:v>Office</x:v>
      </x:c>
      <x:c r="E3768" s="4" t="str">
        <x:v>Handed over</x:v>
      </x:c>
      <x:c r="F3768" s="4" t="str">
        <x:v>CUS-03767</x:v>
      </x:c>
      <x:c r="G3768" s="4" t="str">
        <x:v>UNIT-03767</x:v>
      </x:c>
      <x:c r="H3768" s="9" t="n">
        <x:v>22100000</x:v>
      </x:c>
      <x:c r="I3768" s="10" t="n">
        <x:v>0.01</x:v>
      </x:c>
      <x:c r="J3768" s="11" t="n">
        <x:v>8</x:v>
      </x:c>
      <x:c r="K3768" s="11" t="n">
        <x:v>10</x:v>
      </x:c>
      <x:c r="L3768" s="11" t="n">
        <x:v>1</x:v>
      </x:c>
      <x:c r="M3768" s="9" t="n">
        <x:f>ROUND(H3768*(1-I3768),2)</x:f>
        <x:v>21879000</x:v>
      </x:c>
      <x:c r="N3768" s="4" t="str">
        <x:v>Sales manager</x:v>
      </x:c>
      <x:c r="O3768" s="4" t="str">
        <x:v>BOOK-03767</x:v>
      </x:c>
      <x:c r="P3768" s="9" t="n">
        <x:v>2187900</x:v>
      </x:c>
      <x:c r="Q3768" s="11" t="n">
        <x:v>0</x:v>
      </x:c>
      <x:c r="R3768" s="8" t="n">
        <x:v>45579</x:v>
      </x:c>
      <x:c r="S3768" s="4" t="str">
        <x:v>Retained</x:v>
      </x:c>
      <x:c r="T3768" s="10" t="n">
        <x:v>0.254545</x:v>
      </x:c>
      <x:c r="U3768" s="4" t="str">
        <x:v>Test</x:v>
      </x:c>
    </x:row>
    <x:row r="3769" ht="34" customHeight="1">
      <x:c r="A3769" s="4" t="str">
        <x:v>RS-03768</x:v>
      </x:c>
      <x:c r="B3769" s="8" t="n">
        <x:v>45520</x:v>
      </x:c>
      <x:c r="C3769" s="4" t="str">
        <x:v>PRJ-008</x:v>
      </x:c>
      <x:c r="D3769" s="4" t="str">
        <x:v>Office</x:v>
      </x:c>
      <x:c r="E3769" s="4" t="str">
        <x:v>Handed over</x:v>
      </x:c>
      <x:c r="F3769" s="4" t="str">
        <x:v>CUS-03768</x:v>
      </x:c>
      <x:c r="G3769" s="4" t="str">
        <x:v>UNIT-03768</x:v>
      </x:c>
      <x:c r="H3769" s="9" t="n">
        <x:v>7000000</x:v>
      </x:c>
      <x:c r="I3769" s="10" t="n">
        <x:v>0.11</x:v>
      </x:c>
      <x:c r="J3769" s="11" t="n">
        <x:v>7</x:v>
      </x:c>
      <x:c r="K3769" s="11" t="n">
        <x:v>9</x:v>
      </x:c>
      <x:c r="L3769" s="11" t="n">
        <x:v>1</x:v>
      </x:c>
      <x:c r="M3769" s="9" t="n">
        <x:f>ROUND(H3769*(1-I3769),2)</x:f>
        <x:v>6230000</x:v>
      </x:c>
      <x:c r="N3769" s="4" t="str">
        <x:v>Sales head</x:v>
      </x:c>
      <x:c r="O3769" s="4" t="str">
        <x:v>BOOK-03768</x:v>
      </x:c>
      <x:c r="P3769" s="9" t="n">
        <x:v>623000</x:v>
      </x:c>
      <x:c r="Q3769" s="11" t="n">
        <x:v>0</x:v>
      </x:c>
      <x:c r="R3769" s="8" t="n">
        <x:v>45580</x:v>
      </x:c>
      <x:c r="S3769" s="4" t="str">
        <x:v>Retained</x:v>
      </x:c>
      <x:c r="T3769" s="10" t="n">
        <x:v>0.291946</x:v>
      </x:c>
      <x:c r="U3769" s="4" t="str">
        <x:v>Test</x:v>
      </x:c>
    </x:row>
    <x:row r="3770" ht="34" customHeight="1">
      <x:c r="A3770" s="4" t="str">
        <x:v>RS-03769</x:v>
      </x:c>
      <x:c r="B3770" s="8" t="n">
        <x:v>45521</x:v>
      </x:c>
      <x:c r="C3770" s="4" t="str">
        <x:v>PRJ-009</x:v>
      </x:c>
      <x:c r="D3770" s="4" t="str">
        <x:v>Retail</x:v>
      </x:c>
      <x:c r="E3770" s="4" t="str">
        <x:v>Agreement signed</x:v>
      </x:c>
      <x:c r="F3770" s="4" t="str">
        <x:v>CUS-03769</x:v>
      </x:c>
      <x:c r="G3770" s="4" t="str">
        <x:v>UNIT-03769</x:v>
      </x:c>
      <x:c r="H3770" s="9" t="n">
        <x:v>20400000</x:v>
      </x:c>
      <x:c r="I3770" s="10" t="n">
        <x:v>0.09</x:v>
      </x:c>
      <x:c r="J3770" s="11" t="n">
        <x:v>6</x:v>
      </x:c>
      <x:c r="K3770" s="11" t="n">
        <x:v>8</x:v>
      </x:c>
      <x:c r="L3770" s="11" t="n">
        <x:v>1</x:v>
      </x:c>
      <x:c r="M3770" s="9" t="n">
        <x:f>ROUND(H3770*(1-I3770),2)</x:f>
        <x:v>18564000</x:v>
      </x:c>
      <x:c r="N3770" s="4" t="str">
        <x:v>Sales head</x:v>
      </x:c>
      <x:c r="O3770" s="4" t="str">
        <x:v>BOOK-03769</x:v>
      </x:c>
      <x:c r="P3770" s="9" t="n">
        <x:v>1856400</x:v>
      </x:c>
      <x:c r="Q3770" s="11" t="n">
        <x:v>0</x:v>
      </x:c>
      <x:c r="R3770" s="8" t="n">
        <x:v>45581</x:v>
      </x:c>
      <x:c r="S3770" s="4" t="str">
        <x:v>Retained</x:v>
      </x:c>
      <x:c r="T3770" s="10" t="n">
        <x:v>0.291946</x:v>
      </x:c>
      <x:c r="U3770" s="4" t="str">
        <x:v>Test</x:v>
      </x:c>
    </x:row>
    <x:row r="3771" ht="34" customHeight="1">
      <x:c r="A3771" s="4" t="str">
        <x:v>RS-03770</x:v>
      </x:c>
      <x:c r="B3771" s="8" t="n">
        <x:v>45522</x:v>
      </x:c>
      <x:c r="C3771" s="4" t="str">
        <x:v>PRJ-010</x:v>
      </x:c>
      <x:c r="D3771" s="4" t="str">
        <x:v>Office</x:v>
      </x:c>
      <x:c r="E3771" s="4" t="str">
        <x:v>Booked</x:v>
      </x:c>
      <x:c r="F3771" s="4" t="str">
        <x:v>CUS-03770</x:v>
      </x:c>
      <x:c r="G3771" s="4" t="str">
        <x:v>UNIT-03770</x:v>
      </x:c>
      <x:c r="H3771" s="9" t="n">
        <x:v>15700000</x:v>
      </x:c>
      <x:c r="I3771" s="10" t="n">
        <x:v>0.11</x:v>
      </x:c>
      <x:c r="J3771" s="11" t="n">
        <x:v>4</x:v>
      </x:c>
      <x:c r="K3771" s="11" t="n">
        <x:v>7</x:v>
      </x:c>
      <x:c r="L3771" s="11" t="n">
        <x:v>0</x:v>
      </x:c>
      <x:c r="M3771" s="9" t="n">
        <x:f>ROUND(H3771*(1-I3771),2)</x:f>
        <x:v>13973000</x:v>
      </x:c>
      <x:c r="N3771" s="4" t="str">
        <x:v>Sales head</x:v>
      </x:c>
      <x:c r="O3771" s="4" t="str">
        <x:v>BOOK-03770</x:v>
      </x:c>
      <x:c r="P3771" s="9" t="n">
        <x:v>1397300</x:v>
      </x:c>
      <x:c r="Q3771" s="11" t="n">
        <x:v>0</x:v>
      </x:c>
      <x:c r="R3771" s="8" t="n">
        <x:v>45582</x:v>
      </x:c>
      <x:c r="S3771" s="4" t="str">
        <x:v>Retained</x:v>
      </x:c>
      <x:c r="T3771" s="10" t="n">
        <x:v>0.226277</x:v>
      </x:c>
      <x:c r="U3771" s="4" t="str">
        <x:v>Test</x:v>
      </x:c>
    </x:row>
    <x:row r="3772" ht="34" customHeight="1">
      <x:c r="A3772" s="4" t="str">
        <x:v>RS-03771</x:v>
      </x:c>
      <x:c r="B3772" s="8" t="n">
        <x:v>45523</x:v>
      </x:c>
      <x:c r="C3772" s="4" t="str">
        <x:v>PRJ-011</x:v>
      </x:c>
      <x:c r="D3772" s="4" t="str">
        <x:v>Office</x:v>
      </x:c>
      <x:c r="E3772" s="4" t="str">
        <x:v>Handed over</x:v>
      </x:c>
      <x:c r="F3772" s="4" t="str">
        <x:v>CUS-03771</x:v>
      </x:c>
      <x:c r="G3772" s="4" t="str">
        <x:v>UNIT-03771</x:v>
      </x:c>
      <x:c r="H3772" s="9" t="n">
        <x:v>10900000</x:v>
      </x:c>
      <x:c r="I3772" s="10" t="n">
        <x:v>0.08</x:v>
      </x:c>
      <x:c r="J3772" s="11" t="n">
        <x:v>2</x:v>
      </x:c>
      <x:c r="K3772" s="11" t="n">
        <x:v>6</x:v>
      </x:c>
      <x:c r="L3772" s="11" t="n">
        <x:v>0</x:v>
      </x:c>
      <x:c r="M3772" s="9" t="n">
        <x:f>ROUND(H3772*(1-I3772),2)</x:f>
        <x:v>10028000</x:v>
      </x:c>
      <x:c r="N3772" s="4" t="str">
        <x:v>Sales head</x:v>
      </x:c>
      <x:c r="O3772" s="4" t="str">
        <x:v>BOOK-03771</x:v>
      </x:c>
      <x:c r="P3772" s="9" t="n">
        <x:v>10028000</x:v>
      </x:c>
      <x:c r="Q3772" s="11" t="n">
        <x:v>0</x:v>
      </x:c>
      <x:c r="R3772" s="8" t="n">
        <x:v>45583</x:v>
      </x:c>
      <x:c r="S3772" s="4" t="str">
        <x:v>Retained</x:v>
      </x:c>
      <x:c r="T3772" s="10" t="n">
        <x:v>0.204152</x:v>
      </x:c>
      <x:c r="U3772" s="4" t="str">
        <x:v>Test</x:v>
      </x:c>
    </x:row>
    <x:row r="3773" ht="34" customHeight="1">
      <x:c r="A3773" s="4" t="str">
        <x:v>RS-03772</x:v>
      </x:c>
      <x:c r="B3773" s="8" t="n">
        <x:v>45524</x:v>
      </x:c>
      <x:c r="C3773" s="4" t="str">
        <x:v>PRJ-012</x:v>
      </x:c>
      <x:c r="D3773" s="4" t="str">
        <x:v>Retail</x:v>
      </x:c>
      <x:c r="E3773" s="4" t="str">
        <x:v>Cancelled</x:v>
      </x:c>
      <x:c r="F3773" s="4" t="str">
        <x:v>CUS-03772</x:v>
      </x:c>
      <x:c r="G3773" s="4" t="str">
        <x:v>UNIT-03772</x:v>
      </x:c>
      <x:c r="H3773" s="9" t="n">
        <x:v>16500000</x:v>
      </x:c>
      <x:c r="I3773" s="10" t="n">
        <x:v>0.01</x:v>
      </x:c>
      <x:c r="J3773" s="11" t="n">
        <x:v>3</x:v>
      </x:c>
      <x:c r="K3773" s="11" t="n">
        <x:v>8</x:v>
      </x:c>
      <x:c r="L3773" s="11" t="n">
        <x:v>1</x:v>
      </x:c>
      <x:c r="M3773" s="9" t="n">
        <x:f>ROUND(H3773*(1-I3773),2)</x:f>
        <x:v>16335000</x:v>
      </x:c>
      <x:c r="N3773" s="4" t="str">
        <x:v>Sales manager</x:v>
      </x:c>
      <x:c r="O3773" s="4"/>
      <x:c r="P3773" s="9" t="n">
        <x:v>0</x:v>
      </x:c>
      <x:c r="Q3773" s="11" t="n">
        <x:v>1</x:v>
      </x:c>
      <x:c r="R3773" s="8" t="n">
        <x:v>45584</x:v>
      </x:c>
      <x:c r="S3773" s="4" t="str">
        <x:v>Lost / cancelled</x:v>
      </x:c>
      <x:c r="T3773" s="10" t="n">
        <x:v>0.171717</x:v>
      </x:c>
      <x:c r="U3773" s="4" t="str">
        <x:v>Test</x:v>
      </x:c>
    </x:row>
    <x:row r="3774" ht="34" customHeight="1">
      <x:c r="A3774" s="4" t="str">
        <x:v>RS-03773</x:v>
      </x:c>
      <x:c r="B3774" s="8" t="n">
        <x:v>45525</x:v>
      </x:c>
      <x:c r="C3774" s="4" t="str">
        <x:v>PRJ-013</x:v>
      </x:c>
      <x:c r="D3774" s="4" t="str">
        <x:v>Apartment</x:v>
      </x:c>
      <x:c r="E3774" s="4" t="str">
        <x:v>Enquiry</x:v>
      </x:c>
      <x:c r="F3774" s="4" t="str">
        <x:v>CUS-03773</x:v>
      </x:c>
      <x:c r="G3774" s="4" t="str">
        <x:v>UNIT-03773</x:v>
      </x:c>
      <x:c r="H3774" s="9" t="n">
        <x:v>4500000</x:v>
      </x:c>
      <x:c r="I3774" s="10" t="n">
        <x:v>0.06</x:v>
      </x:c>
      <x:c r="J3774" s="11" t="n">
        <x:v>0</x:v>
      </x:c>
      <x:c r="K3774" s="11" t="n">
        <x:v>7</x:v>
      </x:c>
      <x:c r="L3774" s="11" t="n">
        <x:v>0</x:v>
      </x:c>
      <x:c r="M3774" s="9" t="n">
        <x:f>ROUND(H3774*(1-I3774),2)</x:f>
        <x:v>4230000</x:v>
      </x:c>
      <x:c r="N3774" s="4" t="str">
        <x:v>Sales manager</x:v>
      </x:c>
      <x:c r="O3774" s="4"/>
      <x:c r="P3774" s="9" t="n">
        <x:v>0</x:v>
      </x:c>
      <x:c r="Q3774" s="11" t="n">
        <x:v>0</x:v>
      </x:c>
      <x:c r="R3774" s="8" t="n">
        <x:v>45585</x:v>
      </x:c>
      <x:c r="S3774" s="4" t="str">
        <x:v>Retained</x:v>
      </x:c>
      <x:c r="T3774" s="10" t="n">
        <x:v>0.204152</x:v>
      </x:c>
      <x:c r="U3774" s="4" t="str">
        <x:v>Test</x:v>
      </x:c>
    </x:row>
    <x:row r="3775" ht="34" customHeight="1">
      <x:c r="A3775" s="4" t="str">
        <x:v>RS-03774</x:v>
      </x:c>
      <x:c r="B3775" s="8" t="n">
        <x:v>45526</x:v>
      </x:c>
      <x:c r="C3775" s="4" t="str">
        <x:v>PRJ-014</x:v>
      </x:c>
      <x:c r="D3775" s="4" t="str">
        <x:v>Villa</x:v>
      </x:c>
      <x:c r="E3775" s="4" t="str">
        <x:v>Cancelled</x:v>
      </x:c>
      <x:c r="F3775" s="4" t="str">
        <x:v>CUS-03774</x:v>
      </x:c>
      <x:c r="G3775" s="4" t="str">
        <x:v>UNIT-03774</x:v>
      </x:c>
      <x:c r="H3775" s="9" t="n">
        <x:v>21600000</x:v>
      </x:c>
      <x:c r="I3775" s="10" t="n">
        <x:v>0.09</x:v>
      </x:c>
      <x:c r="J3775" s="11" t="n">
        <x:v>1</x:v>
      </x:c>
      <x:c r="K3775" s="11" t="n">
        <x:v>4</x:v>
      </x:c>
      <x:c r="L3775" s="11" t="n">
        <x:v>1</x:v>
      </x:c>
      <x:c r="M3775" s="9" t="n">
        <x:f>ROUND(H3775*(1-I3775),2)</x:f>
        <x:v>19656000</x:v>
      </x:c>
      <x:c r="N3775" s="4" t="str">
        <x:v>Sales head</x:v>
      </x:c>
      <x:c r="O3775" s="4"/>
      <x:c r="P3775" s="9" t="n">
        <x:v>0</x:v>
      </x:c>
      <x:c r="Q3775" s="11" t="n">
        <x:v>1</x:v>
      </x:c>
      <x:c r="R3775" s="8" t="n">
        <x:v>45586</x:v>
      </x:c>
      <x:c r="S3775" s="4" t="str">
        <x:v>Lost / cancelled</x:v>
      </x:c>
      <x:c r="T3775" s="10" t="n">
        <x:v>0.145833</x:v>
      </x:c>
      <x:c r="U3775" s="4" t="str">
        <x:v>Test</x:v>
      </x:c>
    </x:row>
    <x:row r="3776" ht="34" customHeight="1">
      <x:c r="A3776" s="4" t="str">
        <x:v>RS-03775</x:v>
      </x:c>
      <x:c r="B3776" s="8" t="n">
        <x:v>45527</x:v>
      </x:c>
      <x:c r="C3776" s="4" t="str">
        <x:v>PRJ-015</x:v>
      </x:c>
      <x:c r="D3776" s="4" t="str">
        <x:v>Villa</x:v>
      </x:c>
      <x:c r="E3776" s="4" t="str">
        <x:v>Cancelled</x:v>
      </x:c>
      <x:c r="F3776" s="4" t="str">
        <x:v>CUS-03775</x:v>
      </x:c>
      <x:c r="G3776" s="4" t="str">
        <x:v>UNIT-03775</x:v>
      </x:c>
      <x:c r="H3776" s="9" t="n">
        <x:v>24400000</x:v>
      </x:c>
      <x:c r="I3776" s="10" t="n">
        <x:v>0.04</x:v>
      </x:c>
      <x:c r="J3776" s="11" t="n">
        <x:v>12</x:v>
      </x:c>
      <x:c r="K3776" s="11" t="n">
        <x:v>6</x:v>
      </x:c>
      <x:c r="L3776" s="11" t="n">
        <x:v>1</x:v>
      </x:c>
      <x:c r="M3776" s="9" t="n">
        <x:f>ROUND(H3776*(1-I3776),2)</x:f>
        <x:v>23424000</x:v>
      </x:c>
      <x:c r="N3776" s="4" t="str">
        <x:v>Sales manager</x:v>
      </x:c>
      <x:c r="O3776" s="4"/>
      <x:c r="P3776" s="9" t="n">
        <x:v>0</x:v>
      </x:c>
      <x:c r="Q3776" s="11" t="n">
        <x:v>1</x:v>
      </x:c>
      <x:c r="R3776" s="8" t="n">
        <x:v>45587</x:v>
      </x:c>
      <x:c r="S3776" s="4" t="str">
        <x:v>Lost / cancelled</x:v>
      </x:c>
      <x:c r="T3776" s="10" t="n">
        <x:v>0.351536</x:v>
      </x:c>
      <x:c r="U3776" s="4" t="str">
        <x:v>Test</x:v>
      </x:c>
    </x:row>
    <x:row r="3777" ht="34" customHeight="1">
      <x:c r="A3777" s="4" t="str">
        <x:v>RS-03776</x:v>
      </x:c>
      <x:c r="B3777" s="8" t="n">
        <x:v>45528</x:v>
      </x:c>
      <x:c r="C3777" s="4" t="str">
        <x:v>PRJ-016</x:v>
      </x:c>
      <x:c r="D3777" s="4" t="str">
        <x:v>Villa</x:v>
      </x:c>
      <x:c r="E3777" s="4" t="str">
        <x:v>Cancelled</x:v>
      </x:c>
      <x:c r="F3777" s="4" t="str">
        <x:v>CUS-03776</x:v>
      </x:c>
      <x:c r="G3777" s="4" t="str">
        <x:v>UNIT-03776</x:v>
      </x:c>
      <x:c r="H3777" s="9" t="n">
        <x:v>14900000</x:v>
      </x:c>
      <x:c r="I3777" s="10" t="n">
        <x:v>0.04</x:v>
      </x:c>
      <x:c r="J3777" s="11" t="n">
        <x:v>1</x:v>
      </x:c>
      <x:c r="K3777" s="11" t="n">
        <x:v>4</x:v>
      </x:c>
      <x:c r="L3777" s="11" t="n">
        <x:v>1</x:v>
      </x:c>
      <x:c r="M3777" s="9" t="n">
        <x:f>ROUND(H3777*(1-I3777),2)</x:f>
        <x:v>14304000</x:v>
      </x:c>
      <x:c r="N3777" s="4" t="str">
        <x:v>Sales manager</x:v>
      </x:c>
      <x:c r="O3777" s="4"/>
      <x:c r="P3777" s="9" t="n">
        <x:v>0</x:v>
      </x:c>
      <x:c r="Q3777" s="11" t="n">
        <x:v>1</x:v>
      </x:c>
      <x:c r="R3777" s="8" t="n">
        <x:v>45588</x:v>
      </x:c>
      <x:c r="S3777" s="4" t="str">
        <x:v>Lost / cancelled</x:v>
      </x:c>
      <x:c r="T3777" s="10" t="n">
        <x:v>0.204152</x:v>
      </x:c>
      <x:c r="U3777" s="4" t="str">
        <x:v>Test</x:v>
      </x:c>
    </x:row>
    <x:row r="3778" ht="34" customHeight="1">
      <x:c r="A3778" s="4" t="str">
        <x:v>RS-03777</x:v>
      </x:c>
      <x:c r="B3778" s="8" t="n">
        <x:v>45529</x:v>
      </x:c>
      <x:c r="C3778" s="4" t="str">
        <x:v>PRJ-017</x:v>
      </x:c>
      <x:c r="D3778" s="4" t="str">
        <x:v>Apartment</x:v>
      </x:c>
      <x:c r="E3778" s="4" t="str">
        <x:v>Agreement signed</x:v>
      </x:c>
      <x:c r="F3778" s="4" t="str">
        <x:v>CUS-03777</x:v>
      </x:c>
      <x:c r="G3778" s="4" t="str">
        <x:v>UNIT-03777</x:v>
      </x:c>
      <x:c r="H3778" s="9" t="n">
        <x:v>3100000</x:v>
      </x:c>
      <x:c r="I3778" s="10" t="n">
        <x:v>0.03</x:v>
      </x:c>
      <x:c r="J3778" s="11" t="n">
        <x:v>9</x:v>
      </x:c>
      <x:c r="K3778" s="11" t="n">
        <x:v>1</x:v>
      </x:c>
      <x:c r="L3778" s="11" t="n">
        <x:v>0</x:v>
      </x:c>
      <x:c r="M3778" s="9" t="n">
        <x:f>ROUND(H3778*(1-I3778),2)</x:f>
        <x:v>3007000</x:v>
      </x:c>
      <x:c r="N3778" s="4" t="str">
        <x:v>Sales manager</x:v>
      </x:c>
      <x:c r="O3778" s="4" t="str">
        <x:v>BOOK-03777</x:v>
      </x:c>
      <x:c r="P3778" s="9" t="n">
        <x:v>1503500</x:v>
      </x:c>
      <x:c r="Q3778" s="11" t="n">
        <x:v>0</x:v>
      </x:c>
      <x:c r="R3778" s="8" t="n">
        <x:v>45589</x:v>
      </x:c>
      <x:c r="S3778" s="4" t="str">
        <x:v>Retained</x:v>
      </x:c>
      <x:c r="T3778" s="10" t="n">
        <x:v>0.310195</x:v>
      </x:c>
      <x:c r="U3778" s="4" t="str">
        <x:v>Test</x:v>
      </x:c>
    </x:row>
    <x:row r="3779" ht="34" customHeight="1">
      <x:c r="A3779" s="4" t="str">
        <x:v>RS-03778</x:v>
      </x:c>
      <x:c r="B3779" s="8" t="n">
        <x:v>45530</x:v>
      </x:c>
      <x:c r="C3779" s="4" t="str">
        <x:v>PRJ-018</x:v>
      </x:c>
      <x:c r="D3779" s="4" t="str">
        <x:v>Apartment</x:v>
      </x:c>
      <x:c r="E3779" s="4" t="str">
        <x:v>Handed over</x:v>
      </x:c>
      <x:c r="F3779" s="4" t="str">
        <x:v>CUS-03778</x:v>
      </x:c>
      <x:c r="G3779" s="4" t="str">
        <x:v>UNIT-03778</x:v>
      </x:c>
      <x:c r="H3779" s="9" t="n">
        <x:v>10100000</x:v>
      </x:c>
      <x:c r="I3779" s="10" t="n">
        <x:v>0.07</x:v>
      </x:c>
      <x:c r="J3779" s="11" t="n">
        <x:v>6</x:v>
      </x:c>
      <x:c r="K3779" s="11" t="n">
        <x:v>9</x:v>
      </x:c>
      <x:c r="L3779" s="11" t="n">
        <x:v>0</x:v>
      </x:c>
      <x:c r="M3779" s="9" t="n">
        <x:f>ROUND(H3779*(1-I3779),2)</x:f>
        <x:v>9393000</x:v>
      </x:c>
      <x:c r="N3779" s="4" t="str">
        <x:v>Sales manager</x:v>
      </x:c>
      <x:c r="O3779" s="4" t="str">
        <x:v>BOOK-03778</x:v>
      </x:c>
      <x:c r="P3779" s="9" t="n">
        <x:v>9393000</x:v>
      </x:c>
      <x:c r="Q3779" s="11" t="n">
        <x:v>0</x:v>
      </x:c>
      <x:c r="R3779" s="8" t="n">
        <x:v>45590</x:v>
      </x:c>
      <x:c r="S3779" s="4" t="str">
        <x:v>Retained</x:v>
      </x:c>
      <x:c r="T3779" s="10" t="n">
        <x:v>0.226277</x:v>
      </x:c>
      <x:c r="U3779" s="4" t="str">
        <x:v>Test</x:v>
      </x:c>
    </x:row>
    <x:row r="3780" ht="34" customHeight="1">
      <x:c r="A3780" s="4" t="str">
        <x:v>RS-03779</x:v>
      </x:c>
      <x:c r="B3780" s="8" t="n">
        <x:v>45531</x:v>
      </x:c>
      <x:c r="C3780" s="4" t="str">
        <x:v>PRJ-019</x:v>
      </x:c>
      <x:c r="D3780" s="4" t="str">
        <x:v>Apartment</x:v>
      </x:c>
      <x:c r="E3780" s="4" t="str">
        <x:v>Enquiry</x:v>
      </x:c>
      <x:c r="F3780" s="4" t="str">
        <x:v>CUS-03779</x:v>
      </x:c>
      <x:c r="G3780" s="4" t="str">
        <x:v>UNIT-03779</x:v>
      </x:c>
      <x:c r="H3780" s="9" t="n">
        <x:v>14100000</x:v>
      </x:c>
      <x:c r="I3780" s="10" t="n">
        <x:v>0.06</x:v>
      </x:c>
      <x:c r="J3780" s="11" t="n">
        <x:v>12</x:v>
      </x:c>
      <x:c r="K3780" s="11" t="n">
        <x:v>4</x:v>
      </x:c>
      <x:c r="L3780" s="11" t="n">
        <x:v>1</x:v>
      </x:c>
      <x:c r="M3780" s="9" t="n">
        <x:f>ROUND(H3780*(1-I3780),2)</x:f>
        <x:v>13254000</x:v>
      </x:c>
      <x:c r="N3780" s="4" t="str">
        <x:v>Sales manager</x:v>
      </x:c>
      <x:c r="O3780" s="4"/>
      <x:c r="P3780" s="9" t="n">
        <x:v>0</x:v>
      </x:c>
      <x:c r="Q3780" s="11" t="n">
        <x:v>0</x:v>
      </x:c>
      <x:c r="R3780" s="8" t="n">
        <x:v>45591</x:v>
      </x:c>
      <x:c r="S3780" s="4" t="str">
        <x:v>Retained</x:v>
      </x:c>
      <x:c r="T3780" s="10" t="n">
        <x:v>0.351536</x:v>
      </x:c>
      <x:c r="U3780" s="4" t="str">
        <x:v>Test</x:v>
      </x:c>
    </x:row>
    <x:row r="3781" ht="34" customHeight="1">
      <x:c r="A3781" s="4" t="str">
        <x:v>RS-03780</x:v>
      </x:c>
      <x:c r="B3781" s="8" t="n">
        <x:v>45532</x:v>
      </x:c>
      <x:c r="C3781" s="4" t="str">
        <x:v>PRJ-020</x:v>
      </x:c>
      <x:c r="D3781" s="4" t="str">
        <x:v>Apartment</x:v>
      </x:c>
      <x:c r="E3781" s="4" t="str">
        <x:v>Cancelled</x:v>
      </x:c>
      <x:c r="F3781" s="4" t="str">
        <x:v>CUS-03780</x:v>
      </x:c>
      <x:c r="G3781" s="4" t="str">
        <x:v>UNIT-03780</x:v>
      </x:c>
      <x:c r="H3781" s="9" t="n">
        <x:v>4400000</x:v>
      </x:c>
      <x:c r="I3781" s="10" t="n">
        <x:v>0.04</x:v>
      </x:c>
      <x:c r="J3781" s="11" t="n">
        <x:v>12</x:v>
      </x:c>
      <x:c r="K3781" s="11" t="n">
        <x:v>1</x:v>
      </x:c>
      <x:c r="L3781" s="11" t="n">
        <x:v>0</x:v>
      </x:c>
      <x:c r="M3781" s="9" t="n">
        <x:f>ROUND(H3781*(1-I3781),2)</x:f>
        <x:v>4224000</x:v>
      </x:c>
      <x:c r="N3781" s="4" t="str">
        <x:v>Sales manager</x:v>
      </x:c>
      <x:c r="O3781" s="4"/>
      <x:c r="P3781" s="9" t="n">
        <x:v>0</x:v>
      </x:c>
      <x:c r="Q3781" s="11" t="n">
        <x:v>1</x:v>
      </x:c>
      <x:c r="R3781" s="8" t="n">
        <x:v>45592</x:v>
      </x:c>
      <x:c r="S3781" s="4" t="str">
        <x:v>Lost / cancelled</x:v>
      </x:c>
      <x:c r="T3781" s="10" t="n">
        <x:v>0.351536</x:v>
      </x:c>
      <x:c r="U3781" s="4" t="str">
        <x:v>Test</x:v>
      </x:c>
    </x:row>
    <x:row r="3782" ht="34" customHeight="1">
      <x:c r="A3782" s="4" t="str">
        <x:v>RS-03781</x:v>
      </x:c>
      <x:c r="B3782" s="8" t="n">
        <x:v>45505</x:v>
      </x:c>
      <x:c r="C3782" s="4" t="str">
        <x:v>PRJ-001</x:v>
      </x:c>
      <x:c r="D3782" s="4" t="str">
        <x:v>Office</x:v>
      </x:c>
      <x:c r="E3782" s="4" t="str">
        <x:v>Booked</x:v>
      </x:c>
      <x:c r="F3782" s="4" t="str">
        <x:v>CUS-03781</x:v>
      </x:c>
      <x:c r="G3782" s="4" t="str">
        <x:v>UNIT-03781</x:v>
      </x:c>
      <x:c r="H3782" s="9" t="n">
        <x:v>13600000</x:v>
      </x:c>
      <x:c r="I3782" s="10" t="n">
        <x:v>0</x:v>
      </x:c>
      <x:c r="J3782" s="11" t="n">
        <x:v>8</x:v>
      </x:c>
      <x:c r="K3782" s="11" t="n">
        <x:v>4</x:v>
      </x:c>
      <x:c r="L3782" s="11" t="n">
        <x:v>0</x:v>
      </x:c>
      <x:c r="M3782" s="9" t="n">
        <x:f>ROUND(H3782*(1-I3782),2)</x:f>
        <x:v>13600000</x:v>
      </x:c>
      <x:c r="N3782" s="4" t="str">
        <x:v>Sales manager</x:v>
      </x:c>
      <x:c r="O3782" s="4" t="str">
        <x:v>BOOK-03781</x:v>
      </x:c>
      <x:c r="P3782" s="9" t="n">
        <x:v>13600000</x:v>
      </x:c>
      <x:c r="Q3782" s="11" t="n">
        <x:v>0</x:v>
      </x:c>
      <x:c r="R3782" s="8" t="n">
        <x:v>45565</x:v>
      </x:c>
      <x:c r="S3782" s="4" t="str">
        <x:v>Retained</x:v>
      </x:c>
      <x:c r="T3782" s="10" t="n">
        <x:v>0.305556</x:v>
      </x:c>
      <x:c r="U3782" s="4" t="str">
        <x:v>Test</x:v>
      </x:c>
    </x:row>
    <x:row r="3783" ht="34" customHeight="1">
      <x:c r="A3783" s="4" t="str">
        <x:v>RS-03782</x:v>
      </x:c>
      <x:c r="B3783" s="8" t="n">
        <x:v>45506</x:v>
      </x:c>
      <x:c r="C3783" s="4" t="str">
        <x:v>PRJ-002</x:v>
      </x:c>
      <x:c r="D3783" s="4" t="str">
        <x:v>Retail</x:v>
      </x:c>
      <x:c r="E3783" s="4" t="str">
        <x:v>Enquiry</x:v>
      </x:c>
      <x:c r="F3783" s="4" t="str">
        <x:v>CUS-03782</x:v>
      </x:c>
      <x:c r="G3783" s="4" t="str">
        <x:v>UNIT-03782</x:v>
      </x:c>
      <x:c r="H3783" s="9" t="n">
        <x:v>8200000</x:v>
      </x:c>
      <x:c r="I3783" s="10" t="n">
        <x:v>0.01</x:v>
      </x:c>
      <x:c r="J3783" s="11" t="n">
        <x:v>10</x:v>
      </x:c>
      <x:c r="K3783" s="11" t="n">
        <x:v>9</x:v>
      </x:c>
      <x:c r="L3783" s="11" t="n">
        <x:v>0</x:v>
      </x:c>
      <x:c r="M3783" s="9" t="n">
        <x:f>ROUND(H3783*(1-I3783),2)</x:f>
        <x:v>8118000</x:v>
      </x:c>
      <x:c r="N3783" s="4" t="str">
        <x:v>Sales manager</x:v>
      </x:c>
      <x:c r="O3783" s="4"/>
      <x:c r="P3783" s="9" t="n">
        <x:v>0</x:v>
      </x:c>
      <x:c r="Q3783" s="11" t="n">
        <x:v>1</x:v>
      </x:c>
      <x:c r="R3783" s="8" t="n">
        <x:v>45566</x:v>
      </x:c>
      <x:c r="S3783" s="4" t="str">
        <x:v>Lost / cancelled</x:v>
      </x:c>
      <x:c r="T3783" s="10" t="n">
        <x:v>0.305556</x:v>
      </x:c>
      <x:c r="U3783" s="4" t="str">
        <x:v>Test</x:v>
      </x:c>
    </x:row>
    <x:row r="3784" ht="34" customHeight="1">
      <x:c r="A3784" s="4" t="str">
        <x:v>RS-03783</x:v>
      </x:c>
      <x:c r="B3784" s="8" t="n">
        <x:v>45507</x:v>
      </x:c>
      <x:c r="C3784" s="4" t="str">
        <x:v>PRJ-003</x:v>
      </x:c>
      <x:c r="D3784" s="4" t="str">
        <x:v>Apartment</x:v>
      </x:c>
      <x:c r="E3784" s="4" t="str">
        <x:v>Booked</x:v>
      </x:c>
      <x:c r="F3784" s="4" t="str">
        <x:v>CUS-03783</x:v>
      </x:c>
      <x:c r="G3784" s="4" t="str">
        <x:v>UNIT-03783</x:v>
      </x:c>
      <x:c r="H3784" s="9" t="n">
        <x:v>19400000</x:v>
      </x:c>
      <x:c r="I3784" s="10" t="n">
        <x:v>0.11</x:v>
      </x:c>
      <x:c r="J3784" s="11" t="n">
        <x:v>7</x:v>
      </x:c>
      <x:c r="K3784" s="11" t="n">
        <x:v>10</x:v>
      </x:c>
      <x:c r="L3784" s="11" t="n">
        <x:v>0</x:v>
      </x:c>
      <x:c r="M3784" s="9" t="n">
        <x:f>ROUND(H3784*(1-I3784),2)</x:f>
        <x:v>17266000</x:v>
      </x:c>
      <x:c r="N3784" s="4" t="str">
        <x:v>Sales head</x:v>
      </x:c>
      <x:c r="O3784" s="4" t="str">
        <x:v>BOOK-03783</x:v>
      </x:c>
      <x:c r="P3784" s="9" t="n">
        <x:v>4316500</x:v>
      </x:c>
      <x:c r="Q3784" s="11" t="n">
        <x:v>0</x:v>
      </x:c>
      <x:c r="R3784" s="8" t="n">
        <x:v>45567</x:v>
      </x:c>
      <x:c r="S3784" s="4" t="str">
        <x:v>Retained</x:v>
      </x:c>
      <x:c r="T3784" s="10" t="n">
        <x:v>0.226277</x:v>
      </x:c>
      <x:c r="U3784" s="4" t="str">
        <x:v>Test</x:v>
      </x:c>
    </x:row>
    <x:row r="3785" ht="34" customHeight="1">
      <x:c r="A3785" s="4" t="str">
        <x:v>RS-03784</x:v>
      </x:c>
      <x:c r="B3785" s="8" t="n">
        <x:v>45508</x:v>
      </x:c>
      <x:c r="C3785" s="4" t="str">
        <x:v>PRJ-004</x:v>
      </x:c>
      <x:c r="D3785" s="4" t="str">
        <x:v>Apartment</x:v>
      </x:c>
      <x:c r="E3785" s="4" t="str">
        <x:v>Enquiry</x:v>
      </x:c>
      <x:c r="F3785" s="4" t="str">
        <x:v>CUS-03784</x:v>
      </x:c>
      <x:c r="G3785" s="4" t="str">
        <x:v>UNIT-03784</x:v>
      </x:c>
      <x:c r="H3785" s="9" t="n">
        <x:v>10600000</x:v>
      </x:c>
      <x:c r="I3785" s="10" t="n">
        <x:v>0.04</x:v>
      </x:c>
      <x:c r="J3785" s="11" t="n">
        <x:v>0</x:v>
      </x:c>
      <x:c r="K3785" s="11" t="n">
        <x:v>5</x:v>
      </x:c>
      <x:c r="L3785" s="11" t="n">
        <x:v>0</x:v>
      </x:c>
      <x:c r="M3785" s="9" t="n">
        <x:f>ROUND(H3785*(1-I3785),2)</x:f>
        <x:v>10176000</x:v>
      </x:c>
      <x:c r="N3785" s="4" t="str">
        <x:v>Sales manager</x:v>
      </x:c>
      <x:c r="O3785" s="4"/>
      <x:c r="P3785" s="9" t="n">
        <x:v>0</x:v>
      </x:c>
      <x:c r="Q3785" s="11" t="n">
        <x:v>0</x:v>
      </x:c>
      <x:c r="R3785" s="8" t="n">
        <x:v>45568</x:v>
      </x:c>
      <x:c r="S3785" s="4" t="str">
        <x:v>Retained</x:v>
      </x:c>
      <x:c r="T3785" s="10" t="n">
        <x:v>0.204152</x:v>
      </x:c>
      <x:c r="U3785" s="4" t="str">
        <x:v>Test</x:v>
      </x:c>
    </x:row>
    <x:row r="3786" ht="34" customHeight="1">
      <x:c r="A3786" s="4" t="str">
        <x:v>RS-03785</x:v>
      </x:c>
      <x:c r="B3786" s="8" t="n">
        <x:v>45509</x:v>
      </x:c>
      <x:c r="C3786" s="4" t="str">
        <x:v>PRJ-005</x:v>
      </x:c>
      <x:c r="D3786" s="4" t="str">
        <x:v>Apartment</x:v>
      </x:c>
      <x:c r="E3786" s="4" t="str">
        <x:v>Agreement signed</x:v>
      </x:c>
      <x:c r="F3786" s="4" t="str">
        <x:v>CUS-03785</x:v>
      </x:c>
      <x:c r="G3786" s="4" t="str">
        <x:v>UNIT-03785</x:v>
      </x:c>
      <x:c r="H3786" s="9" t="n">
        <x:v>23600000</x:v>
      </x:c>
      <x:c r="I3786" s="10" t="n">
        <x:v>0.01</x:v>
      </x:c>
      <x:c r="J3786" s="11" t="n">
        <x:v>6</x:v>
      </x:c>
      <x:c r="K3786" s="11" t="n">
        <x:v>4</x:v>
      </x:c>
      <x:c r="L3786" s="11" t="n">
        <x:v>1</x:v>
      </x:c>
      <x:c r="M3786" s="9" t="n">
        <x:f>ROUND(H3786*(1-I3786),2)</x:f>
        <x:v>23364000</x:v>
      </x:c>
      <x:c r="N3786" s="4" t="str">
        <x:v>Sales manager</x:v>
      </x:c>
      <x:c r="O3786" s="4" t="str">
        <x:v>BOOK-03785</x:v>
      </x:c>
      <x:c r="P3786" s="9" t="n">
        <x:v>2336400</x:v>
      </x:c>
      <x:c r="Q3786" s="11" t="n">
        <x:v>0</x:v>
      </x:c>
      <x:c r="R3786" s="8" t="n">
        <x:v>45569</x:v>
      </x:c>
      <x:c r="S3786" s="4" t="str">
        <x:v>Retained</x:v>
      </x:c>
      <x:c r="T3786" s="10" t="n">
        <x:v>0.298969</x:v>
      </x:c>
      <x:c r="U3786" s="4" t="str">
        <x:v>Test</x:v>
      </x:c>
    </x:row>
    <x:row r="3787" ht="34" customHeight="1">
      <x:c r="A3787" s="4" t="str">
        <x:v>RS-03786</x:v>
      </x:c>
      <x:c r="B3787" s="8" t="n">
        <x:v>45510</x:v>
      </x:c>
      <x:c r="C3787" s="4" t="str">
        <x:v>PRJ-006</x:v>
      </x:c>
      <x:c r="D3787" s="4" t="str">
        <x:v>Villa</x:v>
      </x:c>
      <x:c r="E3787" s="4" t="str">
        <x:v>Reserved</x:v>
      </x:c>
      <x:c r="F3787" s="4" t="str">
        <x:v>CUS-03786</x:v>
      </x:c>
      <x:c r="G3787" s="4" t="str">
        <x:v>UNIT-03786</x:v>
      </x:c>
      <x:c r="H3787" s="9" t="n">
        <x:v>13600000</x:v>
      </x:c>
      <x:c r="I3787" s="10" t="n">
        <x:v>0.11</x:v>
      </x:c>
      <x:c r="J3787" s="11" t="n">
        <x:v>5</x:v>
      </x:c>
      <x:c r="K3787" s="11" t="n">
        <x:v>1</x:v>
      </x:c>
      <x:c r="L3787" s="11" t="n">
        <x:v>0</x:v>
      </x:c>
      <x:c r="M3787" s="9" t="n">
        <x:f>ROUND(H3787*(1-I3787),2)</x:f>
        <x:v>12104000</x:v>
      </x:c>
      <x:c r="N3787" s="4" t="str">
        <x:v>Sales head</x:v>
      </x:c>
      <x:c r="O3787" s="4"/>
      <x:c r="P3787" s="9" t="n">
        <x:v>0</x:v>
      </x:c>
      <x:c r="Q3787" s="11" t="n">
        <x:v>0</x:v>
      </x:c>
      <x:c r="R3787" s="8" t="n">
        <x:v>45570</x:v>
      </x:c>
      <x:c r="S3787" s="4" t="str">
        <x:v>Retained</x:v>
      </x:c>
      <x:c r="T3787" s="10" t="n">
        <x:v>0.226277</x:v>
      </x:c>
      <x:c r="U3787" s="4" t="str">
        <x:v>Test</x:v>
      </x:c>
    </x:row>
    <x:row r="3788" ht="34" customHeight="1">
      <x:c r="A3788" s="4" t="str">
        <x:v>RS-03787</x:v>
      </x:c>
      <x:c r="B3788" s="8" t="n">
        <x:v>45511</x:v>
      </x:c>
      <x:c r="C3788" s="4" t="str">
        <x:v>PRJ-007</x:v>
      </x:c>
      <x:c r="D3788" s="4" t="str">
        <x:v>Villa</x:v>
      </x:c>
      <x:c r="E3788" s="4" t="str">
        <x:v>Cancelled</x:v>
      </x:c>
      <x:c r="F3788" s="4" t="str">
        <x:v>CUS-03787</x:v>
      </x:c>
      <x:c r="G3788" s="4" t="str">
        <x:v>UNIT-03787</x:v>
      </x:c>
      <x:c r="H3788" s="9" t="n">
        <x:v>20000000</x:v>
      </x:c>
      <x:c r="I3788" s="10" t="n">
        <x:v>0.08</x:v>
      </x:c>
      <x:c r="J3788" s="11" t="n">
        <x:v>1</x:v>
      </x:c>
      <x:c r="K3788" s="11" t="n">
        <x:v>3</x:v>
      </x:c>
      <x:c r="L3788" s="11" t="n">
        <x:v>1</x:v>
      </x:c>
      <x:c r="M3788" s="9" t="n">
        <x:f>ROUND(H3788*(1-I3788),2)</x:f>
        <x:v>18400000</x:v>
      </x:c>
      <x:c r="N3788" s="4" t="str">
        <x:v>Sales head</x:v>
      </x:c>
      <x:c r="O3788" s="4"/>
      <x:c r="P3788" s="9" t="n">
        <x:v>0</x:v>
      </x:c>
      <x:c r="Q3788" s="11" t="n">
        <x:v>1</x:v>
      </x:c>
      <x:c r="R3788" s="8" t="n">
        <x:v>45571</x:v>
      </x:c>
      <x:c r="S3788" s="4" t="str">
        <x:v>Lost / cancelled</x:v>
      </x:c>
      <x:c r="T3788" s="10" t="n">
        <x:v>0.204152</x:v>
      </x:c>
      <x:c r="U3788" s="4" t="str">
        <x:v>Test</x:v>
      </x:c>
    </x:row>
    <x:row r="3789" ht="34" customHeight="1">
      <x:c r="A3789" s="4" t="str">
        <x:v>RS-03788</x:v>
      </x:c>
      <x:c r="B3789" s="8" t="n">
        <x:v>45512</x:v>
      </x:c>
      <x:c r="C3789" s="4" t="str">
        <x:v>PRJ-008</x:v>
      </x:c>
      <x:c r="D3789" s="4" t="str">
        <x:v>Apartment</x:v>
      </x:c>
      <x:c r="E3789" s="4" t="str">
        <x:v>Enquiry</x:v>
      </x:c>
      <x:c r="F3789" s="4" t="str">
        <x:v>CUS-03788</x:v>
      </x:c>
      <x:c r="G3789" s="4" t="str">
        <x:v>UNIT-03788</x:v>
      </x:c>
      <x:c r="H3789" s="9" t="n">
        <x:v>20200000</x:v>
      </x:c>
      <x:c r="I3789" s="10" t="n">
        <x:v>0.04</x:v>
      </x:c>
      <x:c r="J3789" s="11" t="n">
        <x:v>8</x:v>
      </x:c>
      <x:c r="K3789" s="11" t="n">
        <x:v>9</x:v>
      </x:c>
      <x:c r="L3789" s="11" t="n">
        <x:v>0</x:v>
      </x:c>
      <x:c r="M3789" s="9" t="n">
        <x:f>ROUND(H3789*(1-I3789),2)</x:f>
        <x:v>19392000</x:v>
      </x:c>
      <x:c r="N3789" s="4" t="str">
        <x:v>Sales manager</x:v>
      </x:c>
      <x:c r="O3789" s="4"/>
      <x:c r="P3789" s="9" t="n">
        <x:v>0</x:v>
      </x:c>
      <x:c r="Q3789" s="11" t="n">
        <x:v>0</x:v>
      </x:c>
      <x:c r="R3789" s="8" t="n">
        <x:v>45572</x:v>
      </x:c>
      <x:c r="S3789" s="4" t="str">
        <x:v>Retained</x:v>
      </x:c>
      <x:c r="T3789" s="10" t="n">
        <x:v>0.310195</x:v>
      </x:c>
      <x:c r="U3789" s="4" t="str">
        <x:v>Test</x:v>
      </x:c>
    </x:row>
    <x:row r="3790" ht="34" customHeight="1">
      <x:c r="A3790" s="4" t="str">
        <x:v>RS-03789</x:v>
      </x:c>
      <x:c r="B3790" s="8" t="n">
        <x:v>45513</x:v>
      </x:c>
      <x:c r="C3790" s="4" t="str">
        <x:v>PRJ-009</x:v>
      </x:c>
      <x:c r="D3790" s="4" t="str">
        <x:v>Retail</x:v>
      </x:c>
      <x:c r="E3790" s="4" t="str">
        <x:v>Cancelled</x:v>
      </x:c>
      <x:c r="F3790" s="4" t="str">
        <x:v>CUS-03789</x:v>
      </x:c>
      <x:c r="G3790" s="4" t="str">
        <x:v>UNIT-03789</x:v>
      </x:c>
      <x:c r="H3790" s="9" t="n">
        <x:v>19600000</x:v>
      </x:c>
      <x:c r="I3790" s="10" t="n">
        <x:v>0.12</x:v>
      </x:c>
      <x:c r="J3790" s="11" t="n">
        <x:v>6</x:v>
      </x:c>
      <x:c r="K3790" s="11" t="n">
        <x:v>10</x:v>
      </x:c>
      <x:c r="L3790" s="11" t="n">
        <x:v>1</x:v>
      </x:c>
      <x:c r="M3790" s="9" t="n">
        <x:f>ROUND(H3790*(1-I3790),2)</x:f>
        <x:v>17248000</x:v>
      </x:c>
      <x:c r="N3790" s="4" t="str">
        <x:v>Sales head</x:v>
      </x:c>
      <x:c r="O3790" s="4"/>
      <x:c r="P3790" s="9" t="n">
        <x:v>0</x:v>
      </x:c>
      <x:c r="Q3790" s="11" t="n">
        <x:v>1</x:v>
      </x:c>
      <x:c r="R3790" s="8" t="n">
        <x:v>45573</x:v>
      </x:c>
      <x:c r="S3790" s="4" t="str">
        <x:v>Lost / cancelled</x:v>
      </x:c>
      <x:c r="T3790" s="10" t="n">
        <x:v>0.291946</x:v>
      </x:c>
      <x:c r="U3790" s="4" t="str">
        <x:v>Test</x:v>
      </x:c>
    </x:row>
    <x:row r="3791" ht="34" customHeight="1">
      <x:c r="A3791" s="4" t="str">
        <x:v>RS-03790</x:v>
      </x:c>
      <x:c r="B3791" s="8" t="n">
        <x:v>45514</x:v>
      </x:c>
      <x:c r="C3791" s="4" t="str">
        <x:v>PRJ-010</x:v>
      </x:c>
      <x:c r="D3791" s="4" t="str">
        <x:v>Apartment</x:v>
      </x:c>
      <x:c r="E3791" s="4" t="str">
        <x:v>Cancelled</x:v>
      </x:c>
      <x:c r="F3791" s="4" t="str">
        <x:v>CUS-03790</x:v>
      </x:c>
      <x:c r="G3791" s="4" t="str">
        <x:v>UNIT-03790</x:v>
      </x:c>
      <x:c r="H3791" s="9" t="n">
        <x:v>24000000</x:v>
      </x:c>
      <x:c r="I3791" s="10" t="n">
        <x:v>0.07</x:v>
      </x:c>
      <x:c r="J3791" s="11" t="n">
        <x:v>12</x:v>
      </x:c>
      <x:c r="K3791" s="11" t="n">
        <x:v>6</x:v>
      </x:c>
      <x:c r="L3791" s="11" t="n">
        <x:v>0</x:v>
      </x:c>
      <x:c r="M3791" s="9" t="n">
        <x:f>ROUND(H3791*(1-I3791),2)</x:f>
        <x:v>22320000</x:v>
      </x:c>
      <x:c r="N3791" s="4" t="str">
        <x:v>Sales manager</x:v>
      </x:c>
      <x:c r="O3791" s="4"/>
      <x:c r="P3791" s="9" t="n">
        <x:v>0</x:v>
      </x:c>
      <x:c r="Q3791" s="11" t="n">
        <x:v>1</x:v>
      </x:c>
      <x:c r="R3791" s="8" t="n">
        <x:v>45574</x:v>
      </x:c>
      <x:c r="S3791" s="4" t="str">
        <x:v>Lost / cancelled</x:v>
      </x:c>
      <x:c r="T3791" s="10" t="n">
        <x:v>0.351536</x:v>
      </x:c>
      <x:c r="U3791" s="4" t="str">
        <x:v>Test</x:v>
      </x:c>
    </x:row>
    <x:row r="3792" ht="34" customHeight="1">
      <x:c r="A3792" s="4" t="str">
        <x:v>RS-03791</x:v>
      </x:c>
      <x:c r="B3792" s="8" t="n">
        <x:v>45515</x:v>
      </x:c>
      <x:c r="C3792" s="4" t="str">
        <x:v>PRJ-011</x:v>
      </x:c>
      <x:c r="D3792" s="4" t="str">
        <x:v>Apartment</x:v>
      </x:c>
      <x:c r="E3792" s="4" t="str">
        <x:v>Agreement signed</x:v>
      </x:c>
      <x:c r="F3792" s="4" t="str">
        <x:v>CUS-03791</x:v>
      </x:c>
      <x:c r="G3792" s="4" t="str">
        <x:v>UNIT-03791</x:v>
      </x:c>
      <x:c r="H3792" s="9" t="n">
        <x:v>11500000</x:v>
      </x:c>
      <x:c r="I3792" s="10" t="n">
        <x:v>0.03</x:v>
      </x:c>
      <x:c r="J3792" s="11" t="n">
        <x:v>6</x:v>
      </x:c>
      <x:c r="K3792" s="11" t="n">
        <x:v>0</x:v>
      </x:c>
      <x:c r="L3792" s="11" t="n">
        <x:v>0</x:v>
      </x:c>
      <x:c r="M3792" s="9" t="n">
        <x:f>ROUND(H3792*(1-I3792),2)</x:f>
        <x:v>11155000</x:v>
      </x:c>
      <x:c r="N3792" s="4" t="str">
        <x:v>Sales manager</x:v>
      </x:c>
      <x:c r="O3792" s="4" t="str">
        <x:v>BOOK-03791</x:v>
      </x:c>
      <x:c r="P3792" s="9" t="n">
        <x:v>2788750</x:v>
      </x:c>
      <x:c r="Q3792" s="11" t="n">
        <x:v>0</x:v>
      </x:c>
      <x:c r="R3792" s="8" t="n">
        <x:v>45575</x:v>
      </x:c>
      <x:c r="S3792" s="4" t="str">
        <x:v>Retained</x:v>
      </x:c>
      <x:c r="T3792" s="10" t="n">
        <x:v>0.298969</x:v>
      </x:c>
      <x:c r="U3792" s="4" t="str">
        <x:v>Test</x:v>
      </x:c>
    </x:row>
    <x:row r="3793" ht="34" customHeight="1">
      <x:c r="A3793" s="4" t="str">
        <x:v>RS-03792</x:v>
      </x:c>
      <x:c r="B3793" s="8" t="n">
        <x:v>45516</x:v>
      </x:c>
      <x:c r="C3793" s="4" t="str">
        <x:v>PRJ-012</x:v>
      </x:c>
      <x:c r="D3793" s="4" t="str">
        <x:v>Office</x:v>
      </x:c>
      <x:c r="E3793" s="4" t="str">
        <x:v>Booked</x:v>
      </x:c>
      <x:c r="F3793" s="4" t="str">
        <x:v>CUS-03792</x:v>
      </x:c>
      <x:c r="G3793" s="4" t="str">
        <x:v>UNIT-03792</x:v>
      </x:c>
      <x:c r="H3793" s="9" t="n">
        <x:v>15100000</x:v>
      </x:c>
      <x:c r="I3793" s="10" t="n">
        <x:v>0.11</x:v>
      </x:c>
      <x:c r="J3793" s="11" t="n">
        <x:v>11</x:v>
      </x:c>
      <x:c r="K3793" s="11" t="n">
        <x:v>0</x:v>
      </x:c>
      <x:c r="L3793" s="11" t="n">
        <x:v>0</x:v>
      </x:c>
      <x:c r="M3793" s="9" t="n">
        <x:f>ROUND(H3793*(1-I3793),2)</x:f>
        <x:v>13439000</x:v>
      </x:c>
      <x:c r="N3793" s="4" t="str">
        <x:v>Sales head</x:v>
      </x:c>
      <x:c r="O3793" s="4" t="str">
        <x:v>BOOK-03792</x:v>
      </x:c>
      <x:c r="P3793" s="9" t="n">
        <x:v>13439000</x:v>
      </x:c>
      <x:c r="Q3793" s="11" t="n">
        <x:v>0</x:v>
      </x:c>
      <x:c r="R3793" s="8" t="n">
        <x:v>45576</x:v>
      </x:c>
      <x:c r="S3793" s="4" t="str">
        <x:v>Retained</x:v>
      </x:c>
      <x:c r="T3793" s="10" t="n">
        <x:v>0.351536</x:v>
      </x:c>
      <x:c r="U3793" s="4" t="str">
        <x:v>Test</x:v>
      </x:c>
    </x:row>
    <x:row r="3794" ht="34" customHeight="1">
      <x:c r="A3794" s="4" t="str">
        <x:v>RS-03793</x:v>
      </x:c>
      <x:c r="B3794" s="8" t="n">
        <x:v>45517</x:v>
      </x:c>
      <x:c r="C3794" s="4" t="str">
        <x:v>PRJ-013</x:v>
      </x:c>
      <x:c r="D3794" s="4" t="str">
        <x:v>Retail</x:v>
      </x:c>
      <x:c r="E3794" s="4" t="str">
        <x:v>Agreement signed</x:v>
      </x:c>
      <x:c r="F3794" s="4" t="str">
        <x:v>CUS-03793</x:v>
      </x:c>
      <x:c r="G3794" s="4" t="str">
        <x:v>UNIT-03793</x:v>
      </x:c>
      <x:c r="H3794" s="9" t="n">
        <x:v>23000000</x:v>
      </x:c>
      <x:c r="I3794" s="10" t="n">
        <x:v>0.03</x:v>
      </x:c>
      <x:c r="J3794" s="11" t="n">
        <x:v>5</x:v>
      </x:c>
      <x:c r="K3794" s="11" t="n">
        <x:v>9</x:v>
      </x:c>
      <x:c r="L3794" s="11" t="n">
        <x:v>1</x:v>
      </x:c>
      <x:c r="M3794" s="9" t="n">
        <x:f>ROUND(H3794*(1-I3794),2)</x:f>
        <x:v>22310000</x:v>
      </x:c>
      <x:c r="N3794" s="4" t="str">
        <x:v>Sales manager</x:v>
      </x:c>
      <x:c r="O3794" s="4" t="str">
        <x:v>BOOK-03793</x:v>
      </x:c>
      <x:c r="P3794" s="9" t="n">
        <x:v>22310000</x:v>
      </x:c>
      <x:c r="Q3794" s="11" t="n">
        <x:v>0</x:v>
      </x:c>
      <x:c r="R3794" s="8" t="n">
        <x:v>45577</x:v>
      </x:c>
      <x:c r="S3794" s="4" t="str">
        <x:v>Retained</x:v>
      </x:c>
      <x:c r="T3794" s="10" t="n">
        <x:v>0.145299</x:v>
      </x:c>
      <x:c r="U3794" s="4" t="str">
        <x:v>Test</x:v>
      </x:c>
    </x:row>
    <x:row r="3795" ht="34" customHeight="1">
      <x:c r="A3795" s="4" t="str">
        <x:v>RS-03794</x:v>
      </x:c>
      <x:c r="B3795" s="8" t="n">
        <x:v>45518</x:v>
      </x:c>
      <x:c r="C3795" s="4" t="str">
        <x:v>PRJ-014</x:v>
      </x:c>
      <x:c r="D3795" s="4" t="str">
        <x:v>Villa</x:v>
      </x:c>
      <x:c r="E3795" s="4" t="str">
        <x:v>Handed over</x:v>
      </x:c>
      <x:c r="F3795" s="4" t="str">
        <x:v>CUS-03794</x:v>
      </x:c>
      <x:c r="G3795" s="4" t="str">
        <x:v>UNIT-03794</x:v>
      </x:c>
      <x:c r="H3795" s="9" t="n">
        <x:v>7500000</x:v>
      </x:c>
      <x:c r="I3795" s="10" t="n">
        <x:v>0.12</x:v>
      </x:c>
      <x:c r="J3795" s="11" t="n">
        <x:v>7</x:v>
      </x:c>
      <x:c r="K3795" s="11" t="n">
        <x:v>6</x:v>
      </x:c>
      <x:c r="L3795" s="11" t="n">
        <x:v>1</x:v>
      </x:c>
      <x:c r="M3795" s="9" t="n">
        <x:f>ROUND(H3795*(1-I3795),2)</x:f>
        <x:v>6600000</x:v>
      </x:c>
      <x:c r="N3795" s="4" t="str">
        <x:v>Sales head</x:v>
      </x:c>
      <x:c r="O3795" s="4" t="str">
        <x:v>BOOK-03794</x:v>
      </x:c>
      <x:c r="P3795" s="9" t="n">
        <x:v>3300000</x:v>
      </x:c>
      <x:c r="Q3795" s="11" t="n">
        <x:v>0</x:v>
      </x:c>
      <x:c r="R3795" s="8" t="n">
        <x:v>45578</x:v>
      </x:c>
      <x:c r="S3795" s="4" t="str">
        <x:v>Retained</x:v>
      </x:c>
      <x:c r="T3795" s="10" t="n">
        <x:v>0.291946</x:v>
      </x:c>
      <x:c r="U3795" s="4" t="str">
        <x:v>Test</x:v>
      </x:c>
    </x:row>
    <x:row r="3796" ht="34" customHeight="1">
      <x:c r="A3796" s="4" t="str">
        <x:v>RS-03795</x:v>
      </x:c>
      <x:c r="B3796" s="8" t="n">
        <x:v>45519</x:v>
      </x:c>
      <x:c r="C3796" s="4" t="str">
        <x:v>PRJ-015</x:v>
      </x:c>
      <x:c r="D3796" s="4" t="str">
        <x:v>Retail</x:v>
      </x:c>
      <x:c r="E3796" s="4" t="str">
        <x:v>Reserved</x:v>
      </x:c>
      <x:c r="F3796" s="4" t="str">
        <x:v>CUS-03795</x:v>
      </x:c>
      <x:c r="G3796" s="4" t="str">
        <x:v>UNIT-03795</x:v>
      </x:c>
      <x:c r="H3796" s="9" t="n">
        <x:v>8800000</x:v>
      </x:c>
      <x:c r="I3796" s="10" t="n">
        <x:v>0.06</x:v>
      </x:c>
      <x:c r="J3796" s="11" t="n">
        <x:v>8</x:v>
      </x:c>
      <x:c r="K3796" s="11" t="n">
        <x:v>0</x:v>
      </x:c>
      <x:c r="L3796" s="11" t="n">
        <x:v>0</x:v>
      </x:c>
      <x:c r="M3796" s="9" t="n">
        <x:f>ROUND(H3796*(1-I3796),2)</x:f>
        <x:v>8272000</x:v>
      </x:c>
      <x:c r="N3796" s="4" t="str">
        <x:v>Sales manager</x:v>
      </x:c>
      <x:c r="O3796" s="4"/>
      <x:c r="P3796" s="9" t="n">
        <x:v>0</x:v>
      </x:c>
      <x:c r="Q3796" s="11" t="n">
        <x:v>0</x:v>
      </x:c>
      <x:c r="R3796" s="8" t="n">
        <x:v>45579</x:v>
      </x:c>
      <x:c r="S3796" s="4" t="str">
        <x:v>Retained</x:v>
      </x:c>
      <x:c r="T3796" s="10" t="n">
        <x:v>0.310195</x:v>
      </x:c>
      <x:c r="U3796" s="4" t="str">
        <x:v>Test</x:v>
      </x:c>
    </x:row>
    <x:row r="3797" ht="34" customHeight="1">
      <x:c r="A3797" s="4" t="str">
        <x:v>RS-03796</x:v>
      </x:c>
      <x:c r="B3797" s="8" t="n">
        <x:v>45520</x:v>
      </x:c>
      <x:c r="C3797" s="4" t="str">
        <x:v>PRJ-016</x:v>
      </x:c>
      <x:c r="D3797" s="4" t="str">
        <x:v>Retail</x:v>
      </x:c>
      <x:c r="E3797" s="4" t="str">
        <x:v>Cancelled</x:v>
      </x:c>
      <x:c r="F3797" s="4" t="str">
        <x:v>CUS-03796</x:v>
      </x:c>
      <x:c r="G3797" s="4" t="str">
        <x:v>UNIT-03796</x:v>
      </x:c>
      <x:c r="H3797" s="9" t="n">
        <x:v>11200000</x:v>
      </x:c>
      <x:c r="I3797" s="10" t="n">
        <x:v>0.09</x:v>
      </x:c>
      <x:c r="J3797" s="11" t="n">
        <x:v>10</x:v>
      </x:c>
      <x:c r="K3797" s="11" t="n">
        <x:v>8</x:v>
      </x:c>
      <x:c r="L3797" s="11" t="n">
        <x:v>0</x:v>
      </x:c>
      <x:c r="M3797" s="9" t="n">
        <x:f>ROUND(H3797*(1-I3797),2)</x:f>
        <x:v>10192000</x:v>
      </x:c>
      <x:c r="N3797" s="4" t="str">
        <x:v>Sales head</x:v>
      </x:c>
      <x:c r="O3797" s="4"/>
      <x:c r="P3797" s="9" t="n">
        <x:v>0</x:v>
      </x:c>
      <x:c r="Q3797" s="11" t="n">
        <x:v>1</x:v>
      </x:c>
      <x:c r="R3797" s="8" t="n">
        <x:v>45580</x:v>
      </x:c>
      <x:c r="S3797" s="4" t="str">
        <x:v>Lost / cancelled</x:v>
      </x:c>
      <x:c r="T3797" s="10" t="n">
        <x:v>0.310195</x:v>
      </x:c>
      <x:c r="U3797" s="4" t="str">
        <x:v>Test</x:v>
      </x:c>
    </x:row>
    <x:row r="3798" ht="34" customHeight="1">
      <x:c r="A3798" s="4" t="str">
        <x:v>RS-03797</x:v>
      </x:c>
      <x:c r="B3798" s="8" t="n">
        <x:v>45521</x:v>
      </x:c>
      <x:c r="C3798" s="4" t="str">
        <x:v>PRJ-017</x:v>
      </x:c>
      <x:c r="D3798" s="4" t="str">
        <x:v>Apartment</x:v>
      </x:c>
      <x:c r="E3798" s="4" t="str">
        <x:v>Handed over</x:v>
      </x:c>
      <x:c r="F3798" s="4" t="str">
        <x:v>CUS-03797</x:v>
      </x:c>
      <x:c r="G3798" s="4" t="str">
        <x:v>UNIT-03797</x:v>
      </x:c>
      <x:c r="H3798" s="9" t="n">
        <x:v>8200000</x:v>
      </x:c>
      <x:c r="I3798" s="10" t="n">
        <x:v>0.08</x:v>
      </x:c>
      <x:c r="J3798" s="11" t="n">
        <x:v>7</x:v>
      </x:c>
      <x:c r="K3798" s="11" t="n">
        <x:v>7</x:v>
      </x:c>
      <x:c r="L3798" s="11" t="n">
        <x:v>1</x:v>
      </x:c>
      <x:c r="M3798" s="9" t="n">
        <x:f>ROUND(H3798*(1-I3798),2)</x:f>
        <x:v>7544000</x:v>
      </x:c>
      <x:c r="N3798" s="4" t="str">
        <x:v>Sales head</x:v>
      </x:c>
      <x:c r="O3798" s="4" t="str">
        <x:v>BOOK-03797</x:v>
      </x:c>
      <x:c r="P3798" s="9" t="n">
        <x:v>754400</x:v>
      </x:c>
      <x:c r="Q3798" s="11" t="n">
        <x:v>0</x:v>
      </x:c>
      <x:c r="R3798" s="8" t="n">
        <x:v>45581</x:v>
      </x:c>
      <x:c r="S3798" s="4" t="str">
        <x:v>Retained</x:v>
      </x:c>
      <x:c r="T3798" s="10" t="n">
        <x:v>0.291946</x:v>
      </x:c>
      <x:c r="U3798" s="4" t="str">
        <x:v>Test</x:v>
      </x:c>
    </x:row>
    <x:row r="3799" ht="34" customHeight="1">
      <x:c r="A3799" s="4" t="str">
        <x:v>RS-03798</x:v>
      </x:c>
      <x:c r="B3799" s="8" t="n">
        <x:v>45522</x:v>
      </x:c>
      <x:c r="C3799" s="4" t="str">
        <x:v>PRJ-018</x:v>
      </x:c>
      <x:c r="D3799" s="4" t="str">
        <x:v>Apartment</x:v>
      </x:c>
      <x:c r="E3799" s="4" t="str">
        <x:v>Handed over</x:v>
      </x:c>
      <x:c r="F3799" s="4" t="str">
        <x:v>CUS-03798</x:v>
      </x:c>
      <x:c r="G3799" s="4" t="str">
        <x:v>UNIT-03798</x:v>
      </x:c>
      <x:c r="H3799" s="9" t="n">
        <x:v>16900000</x:v>
      </x:c>
      <x:c r="I3799" s="10" t="n">
        <x:v>0.07</x:v>
      </x:c>
      <x:c r="J3799" s="11" t="n">
        <x:v>5</x:v>
      </x:c>
      <x:c r="K3799" s="11" t="n">
        <x:v>10</x:v>
      </x:c>
      <x:c r="L3799" s="11" t="n">
        <x:v>0</x:v>
      </x:c>
      <x:c r="M3799" s="9" t="n">
        <x:f>ROUND(H3799*(1-I3799),2)</x:f>
        <x:v>15717000</x:v>
      </x:c>
      <x:c r="N3799" s="4" t="str">
        <x:v>Sales manager</x:v>
      </x:c>
      <x:c r="O3799" s="4" t="str">
        <x:v>BOOK-03798</x:v>
      </x:c>
      <x:c r="P3799" s="9" t="n">
        <x:v>15717000</x:v>
      </x:c>
      <x:c r="Q3799" s="11" t="n">
        <x:v>0</x:v>
      </x:c>
      <x:c r="R3799" s="8" t="n">
        <x:v>45582</x:v>
      </x:c>
      <x:c r="S3799" s="4" t="str">
        <x:v>Retained</x:v>
      </x:c>
      <x:c r="T3799" s="10" t="n">
        <x:v>0.226277</x:v>
      </x:c>
      <x:c r="U3799" s="4" t="str">
        <x:v>Test</x:v>
      </x:c>
    </x:row>
    <x:row r="3800" ht="34" customHeight="1">
      <x:c r="A3800" s="4" t="str">
        <x:v>RS-03799</x:v>
      </x:c>
      <x:c r="B3800" s="8" t="n">
        <x:v>45523</x:v>
      </x:c>
      <x:c r="C3800" s="4" t="str">
        <x:v>PRJ-019</x:v>
      </x:c>
      <x:c r="D3800" s="4" t="str">
        <x:v>Villa</x:v>
      </x:c>
      <x:c r="E3800" s="4" t="str">
        <x:v>Enquiry</x:v>
      </x:c>
      <x:c r="F3800" s="4" t="str">
        <x:v>CUS-03799</x:v>
      </x:c>
      <x:c r="G3800" s="4" t="str">
        <x:v>UNIT-03799</x:v>
      </x:c>
      <x:c r="H3800" s="9" t="n">
        <x:v>11300000</x:v>
      </x:c>
      <x:c r="I3800" s="10" t="n">
        <x:v>0.1</x:v>
      </x:c>
      <x:c r="J3800" s="11" t="n">
        <x:v>0</x:v>
      </x:c>
      <x:c r="K3800" s="11" t="n">
        <x:v>0</x:v>
      </x:c>
      <x:c r="L3800" s="11" t="n">
        <x:v>0</x:v>
      </x:c>
      <x:c r="M3800" s="9" t="n">
        <x:f>ROUND(H3800*(1-I3800),2)</x:f>
        <x:v>10170000</x:v>
      </x:c>
      <x:c r="N3800" s="4" t="str">
        <x:v>Sales head</x:v>
      </x:c>
      <x:c r="O3800" s="4"/>
      <x:c r="P3800" s="9" t="n">
        <x:v>0</x:v>
      </x:c>
      <x:c r="Q3800" s="11" t="n">
        <x:v>0</x:v>
      </x:c>
      <x:c r="R3800" s="8" t="n">
        <x:v>45583</x:v>
      </x:c>
      <x:c r="S3800" s="4" t="str">
        <x:v>Retained</x:v>
      </x:c>
      <x:c r="T3800" s="10" t="n">
        <x:v>0.276923</x:v>
      </x:c>
      <x:c r="U3800" s="4" t="str">
        <x:v>Test</x:v>
      </x:c>
    </x:row>
    <x:row r="3801" ht="34" customHeight="1">
      <x:c r="A3801" s="4" t="str">
        <x:v>RS-03800</x:v>
      </x:c>
      <x:c r="B3801" s="8" t="n">
        <x:v>45524</x:v>
      </x:c>
      <x:c r="C3801" s="4" t="str">
        <x:v>PRJ-020</x:v>
      </x:c>
      <x:c r="D3801" s="4" t="str">
        <x:v>Retail</x:v>
      </x:c>
      <x:c r="E3801" s="4" t="str">
        <x:v>Handed over</x:v>
      </x:c>
      <x:c r="F3801" s="4" t="str">
        <x:v>CUS-03800</x:v>
      </x:c>
      <x:c r="G3801" s="4" t="str">
        <x:v>UNIT-03800</x:v>
      </x:c>
      <x:c r="H3801" s="9" t="n">
        <x:v>10300000</x:v>
      </x:c>
      <x:c r="I3801" s="10" t="n">
        <x:v>0.03</x:v>
      </x:c>
      <x:c r="J3801" s="11" t="n">
        <x:v>3</x:v>
      </x:c>
      <x:c r="K3801" s="11" t="n">
        <x:v>1</x:v>
      </x:c>
      <x:c r="L3801" s="11" t="n">
        <x:v>1</x:v>
      </x:c>
      <x:c r="M3801" s="9" t="n">
        <x:f>ROUND(H3801*(1-I3801),2)</x:f>
        <x:v>9991000</x:v>
      </x:c>
      <x:c r="N3801" s="4" t="str">
        <x:v>Sales manager</x:v>
      </x:c>
      <x:c r="O3801" s="4" t="str">
        <x:v>BOOK-03800</x:v>
      </x:c>
      <x:c r="P3801" s="9" t="n">
        <x:v>2497750</x:v>
      </x:c>
      <x:c r="Q3801" s="11" t="n">
        <x:v>0</x:v>
      </x:c>
      <x:c r="R3801" s="8" t="n">
        <x:v>45584</x:v>
      </x:c>
      <x:c r="S3801" s="4" t="str">
        <x:v>Retained</x:v>
      </x:c>
      <x:c r="T3801" s="10" t="n">
        <x:v>0.171717</x:v>
      </x:c>
      <x:c r="U3801" s="4" t="str">
        <x:v>Test</x:v>
      </x:c>
    </x:row>
    <x:row r="3802" ht="34" customHeight="1">
      <x:c r="A3802" s="4" t="str">
        <x:v>RS-03801</x:v>
      </x:c>
      <x:c r="B3802" s="8" t="n">
        <x:v>45525</x:v>
      </x:c>
      <x:c r="C3802" s="4" t="str">
        <x:v>PRJ-001</x:v>
      </x:c>
      <x:c r="D3802" s="4" t="str">
        <x:v>Office</x:v>
      </x:c>
      <x:c r="E3802" s="4" t="str">
        <x:v>Reserved</x:v>
      </x:c>
      <x:c r="F3802" s="4" t="str">
        <x:v>CUS-03801</x:v>
      </x:c>
      <x:c r="G3802" s="4" t="str">
        <x:v>UNIT-03801</x:v>
      </x:c>
      <x:c r="H3802" s="9" t="n">
        <x:v>23700000</x:v>
      </x:c>
      <x:c r="I3802" s="10" t="n">
        <x:v>0.12</x:v>
      </x:c>
      <x:c r="J3802" s="11" t="n">
        <x:v>0</x:v>
      </x:c>
      <x:c r="K3802" s="11" t="n">
        <x:v>9</x:v>
      </x:c>
      <x:c r="L3802" s="11" t="n">
        <x:v>0</x:v>
      </x:c>
      <x:c r="M3802" s="9" t="n">
        <x:f>ROUND(H3802*(1-I3802),2)</x:f>
        <x:v>20856000</x:v>
      </x:c>
      <x:c r="N3802" s="4" t="str">
        <x:v>Sales head</x:v>
      </x:c>
      <x:c r="O3802" s="4"/>
      <x:c r="P3802" s="9" t="n">
        <x:v>0</x:v>
      </x:c>
      <x:c r="Q3802" s="11" t="n">
        <x:v>0</x:v>
      </x:c>
      <x:c r="R3802" s="8" t="n">
        <x:v>45585</x:v>
      </x:c>
      <x:c r="S3802" s="4" t="str">
        <x:v>Retained</x:v>
      </x:c>
      <x:c r="T3802" s="10" t="n">
        <x:v>0.145833</x:v>
      </x:c>
      <x:c r="U3802" s="4" t="str">
        <x:v>Test</x:v>
      </x:c>
    </x:row>
    <x:row r="3803" ht="34" customHeight="1">
      <x:c r="A3803" s="4" t="str">
        <x:v>RS-03802</x:v>
      </x:c>
      <x:c r="B3803" s="8" t="n">
        <x:v>45526</x:v>
      </x:c>
      <x:c r="C3803" s="4" t="str">
        <x:v>PRJ-002</x:v>
      </x:c>
      <x:c r="D3803" s="4" t="str">
        <x:v>Apartment</x:v>
      </x:c>
      <x:c r="E3803" s="4" t="str">
        <x:v>Booked</x:v>
      </x:c>
      <x:c r="F3803" s="4" t="str">
        <x:v>CUS-03802</x:v>
      </x:c>
      <x:c r="G3803" s="4" t="str">
        <x:v>UNIT-03802</x:v>
      </x:c>
      <x:c r="H3803" s="9" t="n">
        <x:v>16600000</x:v>
      </x:c>
      <x:c r="I3803" s="10" t="n">
        <x:v>0.1</x:v>
      </x:c>
      <x:c r="J3803" s="11" t="n">
        <x:v>2</x:v>
      </x:c>
      <x:c r="K3803" s="11" t="n">
        <x:v>8</x:v>
      </x:c>
      <x:c r="L3803" s="11" t="n">
        <x:v>1</x:v>
      </x:c>
      <x:c r="M3803" s="9" t="n">
        <x:f>ROUND(H3803*(1-I3803),2)</x:f>
        <x:v>14940000</x:v>
      </x:c>
      <x:c r="N3803" s="4" t="str">
        <x:v>Sales head</x:v>
      </x:c>
      <x:c r="O3803" s="4" t="str">
        <x:v>BOOK-03802</x:v>
      </x:c>
      <x:c r="P3803" s="9" t="n">
        <x:v>1494000</x:v>
      </x:c>
      <x:c r="Q3803" s="11" t="n">
        <x:v>0</x:v>
      </x:c>
      <x:c r="R3803" s="8" t="n">
        <x:v>45586</x:v>
      </x:c>
      <x:c r="S3803" s="4" t="str">
        <x:v>Retained</x:v>
      </x:c>
      <x:c r="T3803" s="10" t="n">
        <x:v>0.145833</x:v>
      </x:c>
      <x:c r="U3803" s="4" t="str">
        <x:v>Test</x:v>
      </x:c>
    </x:row>
    <x:row r="3804" ht="34" customHeight="1">
      <x:c r="A3804" s="4" t="str">
        <x:v>RS-03803</x:v>
      </x:c>
      <x:c r="B3804" s="8" t="n">
        <x:v>45527</x:v>
      </x:c>
      <x:c r="C3804" s="4" t="str">
        <x:v>PRJ-003</x:v>
      </x:c>
      <x:c r="D3804" s="4" t="str">
        <x:v>Office</x:v>
      </x:c>
      <x:c r="E3804" s="4" t="str">
        <x:v>Reserved</x:v>
      </x:c>
      <x:c r="F3804" s="4" t="str">
        <x:v>CUS-03803</x:v>
      </x:c>
      <x:c r="G3804" s="4" t="str">
        <x:v>UNIT-03803</x:v>
      </x:c>
      <x:c r="H3804" s="9" t="n">
        <x:v>7800000</x:v>
      </x:c>
      <x:c r="I3804" s="10" t="n">
        <x:v>0.06</x:v>
      </x:c>
      <x:c r="J3804" s="11" t="n">
        <x:v>0</x:v>
      </x:c>
      <x:c r="K3804" s="11" t="n">
        <x:v>4</x:v>
      </x:c>
      <x:c r="L3804" s="11" t="n">
        <x:v>0</x:v>
      </x:c>
      <x:c r="M3804" s="9" t="n">
        <x:f>ROUND(H3804*(1-I3804),2)</x:f>
        <x:v>7332000</x:v>
      </x:c>
      <x:c r="N3804" s="4" t="str">
        <x:v>Sales manager</x:v>
      </x:c>
      <x:c r="O3804" s="4"/>
      <x:c r="P3804" s="9" t="n">
        <x:v>0</x:v>
      </x:c>
      <x:c r="Q3804" s="11" t="n">
        <x:v>0</x:v>
      </x:c>
      <x:c r="R3804" s="8" t="n">
        <x:v>45587</x:v>
      </x:c>
      <x:c r="S3804" s="4" t="str">
        <x:v>Retained</x:v>
      </x:c>
      <x:c r="T3804" s="10" t="n">
        <x:v>0.204152</x:v>
      </x:c>
      <x:c r="U3804" s="4" t="str">
        <x:v>Test</x:v>
      </x:c>
    </x:row>
    <x:row r="3805" ht="34" customHeight="1">
      <x:c r="A3805" s="4" t="str">
        <x:v>RS-03804</x:v>
      </x:c>
      <x:c r="B3805" s="8" t="n">
        <x:v>45528</x:v>
      </x:c>
      <x:c r="C3805" s="4" t="str">
        <x:v>PRJ-004</x:v>
      </x:c>
      <x:c r="D3805" s="4" t="str">
        <x:v>Villa</x:v>
      </x:c>
      <x:c r="E3805" s="4" t="str">
        <x:v>Reserved</x:v>
      </x:c>
      <x:c r="F3805" s="4" t="str">
        <x:v>CUS-03804</x:v>
      </x:c>
      <x:c r="G3805" s="4" t="str">
        <x:v>UNIT-03804</x:v>
      </x:c>
      <x:c r="H3805" s="9" t="n">
        <x:v>4500000</x:v>
      </x:c>
      <x:c r="I3805" s="10" t="n">
        <x:v>0.1</x:v>
      </x:c>
      <x:c r="J3805" s="11" t="n">
        <x:v>11</x:v>
      </x:c>
      <x:c r="K3805" s="11" t="n">
        <x:v>9</x:v>
      </x:c>
      <x:c r="L3805" s="11" t="n">
        <x:v>0</x:v>
      </x:c>
      <x:c r="M3805" s="9" t="n">
        <x:f>ROUND(H3805*(1-I3805),2)</x:f>
        <x:v>4050000</x:v>
      </x:c>
      <x:c r="N3805" s="4" t="str">
        <x:v>Sales head</x:v>
      </x:c>
      <x:c r="O3805" s="4"/>
      <x:c r="P3805" s="9" t="n">
        <x:v>0</x:v>
      </x:c>
      <x:c r="Q3805" s="11" t="n">
        <x:v>0</x:v>
      </x:c>
      <x:c r="R3805" s="8" t="n">
        <x:v>45588</x:v>
      </x:c>
      <x:c r="S3805" s="4" t="str">
        <x:v>Retained</x:v>
      </x:c>
      <x:c r="T3805" s="10" t="n">
        <x:v>0.351536</x:v>
      </x:c>
      <x:c r="U3805" s="4" t="str">
        <x:v>Test</x:v>
      </x:c>
    </x:row>
    <x:row r="3806" ht="34" customHeight="1">
      <x:c r="A3806" s="4" t="str">
        <x:v>RS-03805</x:v>
      </x:c>
      <x:c r="B3806" s="8" t="n">
        <x:v>45529</x:v>
      </x:c>
      <x:c r="C3806" s="4" t="str">
        <x:v>PRJ-005</x:v>
      </x:c>
      <x:c r="D3806" s="4" t="str">
        <x:v>Office</x:v>
      </x:c>
      <x:c r="E3806" s="4" t="str">
        <x:v>Agreement signed</x:v>
      </x:c>
      <x:c r="F3806" s="4" t="str">
        <x:v>CUS-03805</x:v>
      </x:c>
      <x:c r="G3806" s="4" t="str">
        <x:v>UNIT-03805</x:v>
      </x:c>
      <x:c r="H3806" s="9" t="n">
        <x:v>14100000</x:v>
      </x:c>
      <x:c r="I3806" s="10" t="n">
        <x:v>0.01</x:v>
      </x:c>
      <x:c r="J3806" s="11" t="n">
        <x:v>12</x:v>
      </x:c>
      <x:c r="K3806" s="11" t="n">
        <x:v>1</x:v>
      </x:c>
      <x:c r="L3806" s="11" t="n">
        <x:v>0</x:v>
      </x:c>
      <x:c r="M3806" s="9" t="n">
        <x:f>ROUND(H3806*(1-I3806),2)</x:f>
        <x:v>13959000</x:v>
      </x:c>
      <x:c r="N3806" s="4" t="str">
        <x:v>Sales manager</x:v>
      </x:c>
      <x:c r="O3806" s="4" t="str">
        <x:v>BOOK-03805</x:v>
      </x:c>
      <x:c r="P3806" s="9" t="n">
        <x:v>3489750</x:v>
      </x:c>
      <x:c r="Q3806" s="11" t="n">
        <x:v>0</x:v>
      </x:c>
      <x:c r="R3806" s="8" t="n">
        <x:v>45589</x:v>
      </x:c>
      <x:c r="S3806" s="4" t="str">
        <x:v>Retained</x:v>
      </x:c>
      <x:c r="T3806" s="10" t="n">
        <x:v>0.305556</x:v>
      </x:c>
      <x:c r="U3806" s="4" t="str">
        <x:v>Test</x:v>
      </x:c>
    </x:row>
    <x:row r="3807" ht="34" customHeight="1">
      <x:c r="A3807" s="4" t="str">
        <x:v>RS-03806</x:v>
      </x:c>
      <x:c r="B3807" s="8" t="n">
        <x:v>45530</x:v>
      </x:c>
      <x:c r="C3807" s="4" t="str">
        <x:v>PRJ-006</x:v>
      </x:c>
      <x:c r="D3807" s="4" t="str">
        <x:v>Retail</x:v>
      </x:c>
      <x:c r="E3807" s="4" t="str">
        <x:v>Agreement signed</x:v>
      </x:c>
      <x:c r="F3807" s="4" t="str">
        <x:v>CUS-03806</x:v>
      </x:c>
      <x:c r="G3807" s="4" t="str">
        <x:v>UNIT-03806</x:v>
      </x:c>
      <x:c r="H3807" s="9" t="n">
        <x:v>4100000</x:v>
      </x:c>
      <x:c r="I3807" s="10" t="n">
        <x:v>0.1</x:v>
      </x:c>
      <x:c r="J3807" s="11" t="n">
        <x:v>9</x:v>
      </x:c>
      <x:c r="K3807" s="11" t="n">
        <x:v>2</x:v>
      </x:c>
      <x:c r="L3807" s="11" t="n">
        <x:v>0</x:v>
      </x:c>
      <x:c r="M3807" s="9" t="n">
        <x:f>ROUND(H3807*(1-I3807),2)</x:f>
        <x:v>3690000</x:v>
      </x:c>
      <x:c r="N3807" s="4" t="str">
        <x:v>Sales head</x:v>
      </x:c>
      <x:c r="O3807" s="4" t="str">
        <x:v>BOOK-03806</x:v>
      </x:c>
      <x:c r="P3807" s="9" t="n">
        <x:v>3690000</x:v>
      </x:c>
      <x:c r="Q3807" s="11" t="n">
        <x:v>0</x:v>
      </x:c>
      <x:c r="R3807" s="8" t="n">
        <x:v>45590</x:v>
      </x:c>
      <x:c r="S3807" s="4" t="str">
        <x:v>Retained</x:v>
      </x:c>
      <x:c r="T3807" s="10" t="n">
        <x:v>0.310195</x:v>
      </x:c>
      <x:c r="U3807" s="4" t="str">
        <x:v>Test</x:v>
      </x:c>
    </x:row>
    <x:row r="3808" ht="34" customHeight="1">
      <x:c r="A3808" s="4" t="str">
        <x:v>RS-03807</x:v>
      </x:c>
      <x:c r="B3808" s="8" t="n">
        <x:v>45531</x:v>
      </x:c>
      <x:c r="C3808" s="4" t="str">
        <x:v>PRJ-007</x:v>
      </x:c>
      <x:c r="D3808" s="4" t="str">
        <x:v>Villa</x:v>
      </x:c>
      <x:c r="E3808" s="4" t="str">
        <x:v>Booked</x:v>
      </x:c>
      <x:c r="F3808" s="4" t="str">
        <x:v>CUS-03807</x:v>
      </x:c>
      <x:c r="G3808" s="4" t="str">
        <x:v>UNIT-03807</x:v>
      </x:c>
      <x:c r="H3808" s="9" t="n">
        <x:v>24000000</x:v>
      </x:c>
      <x:c r="I3808" s="10" t="n">
        <x:v>0.03</x:v>
      </x:c>
      <x:c r="J3808" s="11" t="n">
        <x:v>3</x:v>
      </x:c>
      <x:c r="K3808" s="11" t="n">
        <x:v>0</x:v>
      </x:c>
      <x:c r="L3808" s="11" t="n">
        <x:v>0</x:v>
      </x:c>
      <x:c r="M3808" s="9" t="n">
        <x:f>ROUND(H3808*(1-I3808),2)</x:f>
        <x:v>23280000</x:v>
      </x:c>
      <x:c r="N3808" s="4" t="str">
        <x:v>Sales manager</x:v>
      </x:c>
      <x:c r="O3808" s="4" t="str">
        <x:v>BOOK-03807</x:v>
      </x:c>
      <x:c r="P3808" s="9" t="n">
        <x:v>2328000</x:v>
      </x:c>
      <x:c r="Q3808" s="11" t="n">
        <x:v>0</x:v>
      </x:c>
      <x:c r="R3808" s="8" t="n">
        <x:v>45591</x:v>
      </x:c>
      <x:c r="S3808" s="4" t="str">
        <x:v>Retained</x:v>
      </x:c>
      <x:c r="T3808" s="10" t="n">
        <x:v>0.276923</x:v>
      </x:c>
      <x:c r="U3808" s="4" t="str">
        <x:v>Test</x:v>
      </x:c>
    </x:row>
    <x:row r="3809" ht="34" customHeight="1">
      <x:c r="A3809" s="4" t="str">
        <x:v>RS-03808</x:v>
      </x:c>
      <x:c r="B3809" s="8" t="n">
        <x:v>45532</x:v>
      </x:c>
      <x:c r="C3809" s="4" t="str">
        <x:v>PRJ-008</x:v>
      </x:c>
      <x:c r="D3809" s="4" t="str">
        <x:v>Apartment</x:v>
      </x:c>
      <x:c r="E3809" s="4" t="str">
        <x:v>Enquiry</x:v>
      </x:c>
      <x:c r="F3809" s="4" t="str">
        <x:v>CUS-03808</x:v>
      </x:c>
      <x:c r="G3809" s="4" t="str">
        <x:v>UNIT-03808</x:v>
      </x:c>
      <x:c r="H3809" s="9" t="n">
        <x:v>15300000</x:v>
      </x:c>
      <x:c r="I3809" s="10" t="n">
        <x:v>0.05</x:v>
      </x:c>
      <x:c r="J3809" s="11" t="n">
        <x:v>11</x:v>
      </x:c>
      <x:c r="K3809" s="11" t="n">
        <x:v>10</x:v>
      </x:c>
      <x:c r="L3809" s="11" t="n">
        <x:v>1</x:v>
      </x:c>
      <x:c r="M3809" s="9" t="n">
        <x:f>ROUND(H3809*(1-I3809),2)</x:f>
        <x:v>14535000</x:v>
      </x:c>
      <x:c r="N3809" s="4" t="str">
        <x:v>Sales manager</x:v>
      </x:c>
      <x:c r="O3809" s="4"/>
      <x:c r="P3809" s="9" t="n">
        <x:v>0</x:v>
      </x:c>
      <x:c r="Q3809" s="11" t="n">
        <x:v>0</x:v>
      </x:c>
      <x:c r="R3809" s="8" t="n">
        <x:v>45592</x:v>
      </x:c>
      <x:c r="S3809" s="4" t="str">
        <x:v>Retained</x:v>
      </x:c>
      <x:c r="T3809" s="10" t="n">
        <x:v>0.351536</x:v>
      </x:c>
      <x:c r="U3809" s="4" t="str">
        <x:v>Test</x:v>
      </x:c>
    </x:row>
    <x:row r="3810" ht="34" customHeight="1">
      <x:c r="A3810" s="4" t="str">
        <x:v>RS-03809</x:v>
      </x:c>
      <x:c r="B3810" s="8" t="n">
        <x:v>45505</x:v>
      </x:c>
      <x:c r="C3810" s="4" t="str">
        <x:v>PRJ-009</x:v>
      </x:c>
      <x:c r="D3810" s="4" t="str">
        <x:v>Apartment</x:v>
      </x:c>
      <x:c r="E3810" s="4" t="str">
        <x:v>Booked</x:v>
      </x:c>
      <x:c r="F3810" s="4" t="str">
        <x:v>CUS-03809</x:v>
      </x:c>
      <x:c r="G3810" s="4" t="str">
        <x:v>UNIT-03809</x:v>
      </x:c>
      <x:c r="H3810" s="9" t="n">
        <x:v>10200000</x:v>
      </x:c>
      <x:c r="I3810" s="10" t="n">
        <x:v>0.09</x:v>
      </x:c>
      <x:c r="J3810" s="11" t="n">
        <x:v>12</x:v>
      </x:c>
      <x:c r="K3810" s="11" t="n">
        <x:v>6</x:v>
      </x:c>
      <x:c r="L3810" s="11" t="n">
        <x:v>0</x:v>
      </x:c>
      <x:c r="M3810" s="9" t="n">
        <x:f>ROUND(H3810*(1-I3810),2)</x:f>
        <x:v>9282000</x:v>
      </x:c>
      <x:c r="N3810" s="4" t="str">
        <x:v>Sales head</x:v>
      </x:c>
      <x:c r="O3810" s="4" t="str">
        <x:v>BOOK-03809</x:v>
      </x:c>
      <x:c r="P3810" s="9" t="n">
        <x:v>4641000</x:v>
      </x:c>
      <x:c r="Q3810" s="11" t="n">
        <x:v>0</x:v>
      </x:c>
      <x:c r="R3810" s="8" t="n">
        <x:v>45565</x:v>
      </x:c>
      <x:c r="S3810" s="4" t="str">
        <x:v>Retained</x:v>
      </x:c>
      <x:c r="T3810" s="10" t="n">
        <x:v>0.351536</x:v>
      </x:c>
      <x:c r="U3810" s="4" t="str">
        <x:v>Test</x:v>
      </x:c>
    </x:row>
    <x:row r="3811" ht="34" customHeight="1">
      <x:c r="A3811" s="4" t="str">
        <x:v>RS-03810</x:v>
      </x:c>
      <x:c r="B3811" s="8" t="n">
        <x:v>45506</x:v>
      </x:c>
      <x:c r="C3811" s="4" t="str">
        <x:v>PRJ-010</x:v>
      </x:c>
      <x:c r="D3811" s="4" t="str">
        <x:v>Office</x:v>
      </x:c>
      <x:c r="E3811" s="4" t="str">
        <x:v>Handed over</x:v>
      </x:c>
      <x:c r="F3811" s="4" t="str">
        <x:v>CUS-03810</x:v>
      </x:c>
      <x:c r="G3811" s="4" t="str">
        <x:v>UNIT-03810</x:v>
      </x:c>
      <x:c r="H3811" s="9" t="n">
        <x:v>21100000</x:v>
      </x:c>
      <x:c r="I3811" s="10" t="n">
        <x:v>0.09</x:v>
      </x:c>
      <x:c r="J3811" s="11" t="n">
        <x:v>12</x:v>
      </x:c>
      <x:c r="K3811" s="11" t="n">
        <x:v>4</x:v>
      </x:c>
      <x:c r="L3811" s="11" t="n">
        <x:v>1</x:v>
      </x:c>
      <x:c r="M3811" s="9" t="n">
        <x:f>ROUND(H3811*(1-I3811),2)</x:f>
        <x:v>19201000</x:v>
      </x:c>
      <x:c r="N3811" s="4" t="str">
        <x:v>Sales head</x:v>
      </x:c>
      <x:c r="O3811" s="4" t="str">
        <x:v>BOOK-03810</x:v>
      </x:c>
      <x:c r="P3811" s="9" t="n">
        <x:v>4800250</x:v>
      </x:c>
      <x:c r="Q3811" s="11" t="n">
        <x:v>0</x:v>
      </x:c>
      <x:c r="R3811" s="8" t="n">
        <x:v>45566</x:v>
      </x:c>
      <x:c r="S3811" s="4" t="str">
        <x:v>Retained</x:v>
      </x:c>
      <x:c r="T3811" s="10" t="n">
        <x:v>0.351536</x:v>
      </x:c>
      <x:c r="U3811" s="4" t="str">
        <x:v>Test</x:v>
      </x:c>
    </x:row>
    <x:row r="3812" ht="34" customHeight="1">
      <x:c r="A3812" s="4" t="str">
        <x:v>RS-03811</x:v>
      </x:c>
      <x:c r="B3812" s="8" t="n">
        <x:v>45507</x:v>
      </x:c>
      <x:c r="C3812" s="4" t="str">
        <x:v>PRJ-011</x:v>
      </x:c>
      <x:c r="D3812" s="4" t="str">
        <x:v>Retail</x:v>
      </x:c>
      <x:c r="E3812" s="4" t="str">
        <x:v>Reserved</x:v>
      </x:c>
      <x:c r="F3812" s="4" t="str">
        <x:v>CUS-03811</x:v>
      </x:c>
      <x:c r="G3812" s="4" t="str">
        <x:v>UNIT-03811</x:v>
      </x:c>
      <x:c r="H3812" s="9" t="n">
        <x:v>16100000</x:v>
      </x:c>
      <x:c r="I3812" s="10" t="n">
        <x:v>0.02</x:v>
      </x:c>
      <x:c r="J3812" s="11" t="n">
        <x:v>8</x:v>
      </x:c>
      <x:c r="K3812" s="11" t="n">
        <x:v>10</x:v>
      </x:c>
      <x:c r="L3812" s="11" t="n">
        <x:v>1</x:v>
      </x:c>
      <x:c r="M3812" s="9" t="n">
        <x:f>ROUND(H3812*(1-I3812),2)</x:f>
        <x:v>15778000</x:v>
      </x:c>
      <x:c r="N3812" s="4" t="str">
        <x:v>Sales manager</x:v>
      </x:c>
      <x:c r="O3812" s="4"/>
      <x:c r="P3812" s="9" t="n">
        <x:v>0</x:v>
      </x:c>
      <x:c r="Q3812" s="11" t="n">
        <x:v>1</x:v>
      </x:c>
      <x:c r="R3812" s="8" t="n">
        <x:v>45567</x:v>
      </x:c>
      <x:c r="S3812" s="4" t="str">
        <x:v>Lost / cancelled</x:v>
      </x:c>
      <x:c r="T3812" s="10" t="n">
        <x:v>0.254545</x:v>
      </x:c>
      <x:c r="U3812" s="4" t="str">
        <x:v>Test</x:v>
      </x:c>
    </x:row>
    <x:row r="3813" ht="34" customHeight="1">
      <x:c r="A3813" s="4" t="str">
        <x:v>RS-03812</x:v>
      </x:c>
      <x:c r="B3813" s="8" t="n">
        <x:v>45508</x:v>
      </x:c>
      <x:c r="C3813" s="4" t="str">
        <x:v>PRJ-012</x:v>
      </x:c>
      <x:c r="D3813" s="4" t="str">
        <x:v>Retail</x:v>
      </x:c>
      <x:c r="E3813" s="4" t="str">
        <x:v>Handed over</x:v>
      </x:c>
      <x:c r="F3813" s="4" t="str">
        <x:v>CUS-03812</x:v>
      </x:c>
      <x:c r="G3813" s="4" t="str">
        <x:v>UNIT-03812</x:v>
      </x:c>
      <x:c r="H3813" s="9" t="n">
        <x:v>19400000</x:v>
      </x:c>
      <x:c r="I3813" s="10" t="n">
        <x:v>0.04</x:v>
      </x:c>
      <x:c r="J3813" s="11" t="n">
        <x:v>3</x:v>
      </x:c>
      <x:c r="K3813" s="11" t="n">
        <x:v>8</x:v>
      </x:c>
      <x:c r="L3813" s="11" t="n">
        <x:v>0</x:v>
      </x:c>
      <x:c r="M3813" s="9" t="n">
        <x:f>ROUND(H3813*(1-I3813),2)</x:f>
        <x:v>18624000</x:v>
      </x:c>
      <x:c r="N3813" s="4" t="str">
        <x:v>Sales manager</x:v>
      </x:c>
      <x:c r="O3813" s="4" t="str">
        <x:v>BOOK-03812</x:v>
      </x:c>
      <x:c r="P3813" s="9" t="n">
        <x:v>9312000</x:v>
      </x:c>
      <x:c r="Q3813" s="11" t="n">
        <x:v>0</x:v>
      </x:c>
      <x:c r="R3813" s="8" t="n">
        <x:v>45568</x:v>
      </x:c>
      <x:c r="S3813" s="4" t="str">
        <x:v>Retained</x:v>
      </x:c>
      <x:c r="T3813" s="10" t="n">
        <x:v>0.204152</x:v>
      </x:c>
      <x:c r="U3813" s="4" t="str">
        <x:v>Test</x:v>
      </x:c>
    </x:row>
    <x:row r="3814" ht="34" customHeight="1">
      <x:c r="A3814" s="4" t="str">
        <x:v>RS-03813</x:v>
      </x:c>
      <x:c r="B3814" s="8" t="n">
        <x:v>45509</x:v>
      </x:c>
      <x:c r="C3814" s="4" t="str">
        <x:v>PRJ-013</x:v>
      </x:c>
      <x:c r="D3814" s="4" t="str">
        <x:v>Apartment</x:v>
      </x:c>
      <x:c r="E3814" s="4" t="str">
        <x:v>Booked</x:v>
      </x:c>
      <x:c r="F3814" s="4" t="str">
        <x:v>CUS-03813</x:v>
      </x:c>
      <x:c r="G3814" s="4" t="str">
        <x:v>UNIT-03813</x:v>
      </x:c>
      <x:c r="H3814" s="9" t="n">
        <x:v>5100000</x:v>
      </x:c>
      <x:c r="I3814" s="10" t="n">
        <x:v>0.08</x:v>
      </x:c>
      <x:c r="J3814" s="11" t="n">
        <x:v>3</x:v>
      </x:c>
      <x:c r="K3814" s="11" t="n">
        <x:v>5</x:v>
      </x:c>
      <x:c r="L3814" s="11" t="n">
        <x:v>0</x:v>
      </x:c>
      <x:c r="M3814" s="9" t="n">
        <x:f>ROUND(H3814*(1-I3814),2)</x:f>
        <x:v>4692000</x:v>
      </x:c>
      <x:c r="N3814" s="4" t="str">
        <x:v>Sales head</x:v>
      </x:c>
      <x:c r="O3814" s="4" t="str">
        <x:v>BOOK-03813</x:v>
      </x:c>
      <x:c r="P3814" s="9" t="n">
        <x:v>469200</x:v>
      </x:c>
      <x:c r="Q3814" s="11" t="n">
        <x:v>0</x:v>
      </x:c>
      <x:c r="R3814" s="8" t="n">
        <x:v>45569</x:v>
      </x:c>
      <x:c r="S3814" s="4" t="str">
        <x:v>Retained</x:v>
      </x:c>
      <x:c r="T3814" s="10" t="n">
        <x:v>0.204152</x:v>
      </x:c>
      <x:c r="U3814" s="4" t="str">
        <x:v>Test</x:v>
      </x:c>
    </x:row>
    <x:row r="3815" ht="34" customHeight="1">
      <x:c r="A3815" s="4" t="str">
        <x:v>RS-03814</x:v>
      </x:c>
      <x:c r="B3815" s="8" t="n">
        <x:v>45510</x:v>
      </x:c>
      <x:c r="C3815" s="4" t="str">
        <x:v>PRJ-014</x:v>
      </x:c>
      <x:c r="D3815" s="4" t="str">
        <x:v>Villa</x:v>
      </x:c>
      <x:c r="E3815" s="4" t="str">
        <x:v>Agreement signed</x:v>
      </x:c>
      <x:c r="F3815" s="4" t="str">
        <x:v>CUS-03814</x:v>
      </x:c>
      <x:c r="G3815" s="4" t="str">
        <x:v>UNIT-03814</x:v>
      </x:c>
      <x:c r="H3815" s="9" t="n">
        <x:v>13900000</x:v>
      </x:c>
      <x:c r="I3815" s="10" t="n">
        <x:v>0.06</x:v>
      </x:c>
      <x:c r="J3815" s="11" t="n">
        <x:v>7</x:v>
      </x:c>
      <x:c r="K3815" s="11" t="n">
        <x:v>4</x:v>
      </x:c>
      <x:c r="L3815" s="11" t="n">
        <x:v>0</x:v>
      </x:c>
      <x:c r="M3815" s="9" t="n">
        <x:f>ROUND(H3815*(1-I3815),2)</x:f>
        <x:v>13066000</x:v>
      </x:c>
      <x:c r="N3815" s="4" t="str">
        <x:v>Sales manager</x:v>
      </x:c>
      <x:c r="O3815" s="4" t="str">
        <x:v>BOOK-03814</x:v>
      </x:c>
      <x:c r="P3815" s="9" t="n">
        <x:v>3266500</x:v>
      </x:c>
      <x:c r="Q3815" s="11" t="n">
        <x:v>0</x:v>
      </x:c>
      <x:c r="R3815" s="8" t="n">
        <x:v>45570</x:v>
      </x:c>
      <x:c r="S3815" s="4" t="str">
        <x:v>Retained</x:v>
      </x:c>
      <x:c r="T3815" s="10" t="n">
        <x:v>0.226277</x:v>
      </x:c>
      <x:c r="U3815" s="4" t="str">
        <x:v>Test</x:v>
      </x:c>
    </x:row>
    <x:row r="3816" ht="34" customHeight="1">
      <x:c r="A3816" s="4" t="str">
        <x:v>RS-03815</x:v>
      </x:c>
      <x:c r="B3816" s="8" t="n">
        <x:v>45511</x:v>
      </x:c>
      <x:c r="C3816" s="4" t="str">
        <x:v>PRJ-015</x:v>
      </x:c>
      <x:c r="D3816" s="4" t="str">
        <x:v>Retail</x:v>
      </x:c>
      <x:c r="E3816" s="4" t="str">
        <x:v>Enquiry</x:v>
      </x:c>
      <x:c r="F3816" s="4" t="str">
        <x:v>CUS-03815</x:v>
      </x:c>
      <x:c r="G3816" s="4" t="str">
        <x:v>UNIT-03815</x:v>
      </x:c>
      <x:c r="H3816" s="9" t="n">
        <x:v>5600000</x:v>
      </x:c>
      <x:c r="I3816" s="10" t="n">
        <x:v>0.09</x:v>
      </x:c>
      <x:c r="J3816" s="11" t="n">
        <x:v>8</x:v>
      </x:c>
      <x:c r="K3816" s="11" t="n">
        <x:v>7</x:v>
      </x:c>
      <x:c r="L3816" s="11" t="n">
        <x:v>0</x:v>
      </x:c>
      <x:c r="M3816" s="9" t="n">
        <x:f>ROUND(H3816*(1-I3816),2)</x:f>
        <x:v>5096000</x:v>
      </x:c>
      <x:c r="N3816" s="4" t="str">
        <x:v>Sales head</x:v>
      </x:c>
      <x:c r="O3816" s="4"/>
      <x:c r="P3816" s="9" t="n">
        <x:v>0</x:v>
      </x:c>
      <x:c r="Q3816" s="11" t="n">
        <x:v>0</x:v>
      </x:c>
      <x:c r="R3816" s="8" t="n">
        <x:v>45571</x:v>
      </x:c>
      <x:c r="S3816" s="4" t="str">
        <x:v>Retained</x:v>
      </x:c>
      <x:c r="T3816" s="10" t="n">
        <x:v>0.310195</x:v>
      </x:c>
      <x:c r="U3816" s="4" t="str">
        <x:v>Test</x:v>
      </x:c>
    </x:row>
    <x:row r="3817" ht="34" customHeight="1">
      <x:c r="A3817" s="4" t="str">
        <x:v>RS-03816</x:v>
      </x:c>
      <x:c r="B3817" s="8" t="n">
        <x:v>45512</x:v>
      </x:c>
      <x:c r="C3817" s="4" t="str">
        <x:v>PRJ-016</x:v>
      </x:c>
      <x:c r="D3817" s="4" t="str">
        <x:v>Villa</x:v>
      </x:c>
      <x:c r="E3817" s="4" t="str">
        <x:v>Reserved</x:v>
      </x:c>
      <x:c r="F3817" s="4" t="str">
        <x:v>CUS-03816</x:v>
      </x:c>
      <x:c r="G3817" s="4" t="str">
        <x:v>UNIT-03816</x:v>
      </x:c>
      <x:c r="H3817" s="9" t="n">
        <x:v>13700000</x:v>
      </x:c>
      <x:c r="I3817" s="10" t="n">
        <x:v>0.05</x:v>
      </x:c>
      <x:c r="J3817" s="11" t="n">
        <x:v>7</x:v>
      </x:c>
      <x:c r="K3817" s="11" t="n">
        <x:v>0</x:v>
      </x:c>
      <x:c r="L3817" s="11" t="n">
        <x:v>0</x:v>
      </x:c>
      <x:c r="M3817" s="9" t="n">
        <x:f>ROUND(H3817*(1-I3817),2)</x:f>
        <x:v>13015000</x:v>
      </x:c>
      <x:c r="N3817" s="4" t="str">
        <x:v>Sales manager</x:v>
      </x:c>
      <x:c r="O3817" s="4"/>
      <x:c r="P3817" s="9" t="n">
        <x:v>0</x:v>
      </x:c>
      <x:c r="Q3817" s="11" t="n">
        <x:v>1</x:v>
      </x:c>
      <x:c r="R3817" s="8" t="n">
        <x:v>45572</x:v>
      </x:c>
      <x:c r="S3817" s="4" t="str">
        <x:v>Lost / cancelled</x:v>
      </x:c>
      <x:c r="T3817" s="10" t="n">
        <x:v>0.226277</x:v>
      </x:c>
      <x:c r="U3817" s="4" t="str">
        <x:v>Test</x:v>
      </x:c>
    </x:row>
    <x:row r="3818" ht="34" customHeight="1">
      <x:c r="A3818" s="4" t="str">
        <x:v>RS-03817</x:v>
      </x:c>
      <x:c r="B3818" s="8" t="n">
        <x:v>45513</x:v>
      </x:c>
      <x:c r="C3818" s="4" t="str">
        <x:v>PRJ-017</x:v>
      </x:c>
      <x:c r="D3818" s="4" t="str">
        <x:v>Apartment</x:v>
      </x:c>
      <x:c r="E3818" s="4" t="str">
        <x:v>Agreement signed</x:v>
      </x:c>
      <x:c r="F3818" s="4" t="str">
        <x:v>CUS-03817</x:v>
      </x:c>
      <x:c r="G3818" s="4" t="str">
        <x:v>UNIT-03817</x:v>
      </x:c>
      <x:c r="H3818" s="9" t="n">
        <x:v>23200000</x:v>
      </x:c>
      <x:c r="I3818" s="10" t="n">
        <x:v>0.04</x:v>
      </x:c>
      <x:c r="J3818" s="11" t="n">
        <x:v>10</x:v>
      </x:c>
      <x:c r="K3818" s="11" t="n">
        <x:v>8</x:v>
      </x:c>
      <x:c r="L3818" s="11" t="n">
        <x:v>1</x:v>
      </x:c>
      <x:c r="M3818" s="9" t="n">
        <x:f>ROUND(H3818*(1-I3818),2)</x:f>
        <x:v>22272000</x:v>
      </x:c>
      <x:c r="N3818" s="4" t="str">
        <x:v>Sales manager</x:v>
      </x:c>
      <x:c r="O3818" s="4" t="str">
        <x:v>BOOK-03817</x:v>
      </x:c>
      <x:c r="P3818" s="9" t="n">
        <x:v>22272000</x:v>
      </x:c>
      <x:c r="Q3818" s="11" t="n">
        <x:v>0</x:v>
      </x:c>
      <x:c r="R3818" s="8" t="n">
        <x:v>45573</x:v>
      </x:c>
      <x:c r="S3818" s="4" t="str">
        <x:v>Retained</x:v>
      </x:c>
      <x:c r="T3818" s="10" t="n">
        <x:v>0.310195</x:v>
      </x:c>
      <x:c r="U3818" s="4" t="str">
        <x:v>Test</x:v>
      </x:c>
    </x:row>
    <x:row r="3819" ht="34" customHeight="1">
      <x:c r="A3819" s="4" t="str">
        <x:v>RS-03818</x:v>
      </x:c>
      <x:c r="B3819" s="8" t="n">
        <x:v>45514</x:v>
      </x:c>
      <x:c r="C3819" s="4" t="str">
        <x:v>PRJ-018</x:v>
      </x:c>
      <x:c r="D3819" s="4" t="str">
        <x:v>Retail</x:v>
      </x:c>
      <x:c r="E3819" s="4" t="str">
        <x:v>Booked</x:v>
      </x:c>
      <x:c r="F3819" s="4" t="str">
        <x:v>CUS-03818</x:v>
      </x:c>
      <x:c r="G3819" s="4" t="str">
        <x:v>UNIT-03818</x:v>
      </x:c>
      <x:c r="H3819" s="9" t="n">
        <x:v>14300000</x:v>
      </x:c>
      <x:c r="I3819" s="10" t="n">
        <x:v>0.01</x:v>
      </x:c>
      <x:c r="J3819" s="11" t="n">
        <x:v>9</x:v>
      </x:c>
      <x:c r="K3819" s="11" t="n">
        <x:v>4</x:v>
      </x:c>
      <x:c r="L3819" s="11" t="n">
        <x:v>1</x:v>
      </x:c>
      <x:c r="M3819" s="9" t="n">
        <x:f>ROUND(H3819*(1-I3819),2)</x:f>
        <x:v>14157000</x:v>
      </x:c>
      <x:c r="N3819" s="4" t="str">
        <x:v>Sales manager</x:v>
      </x:c>
      <x:c r="O3819" s="4" t="str">
        <x:v>BOOK-03818</x:v>
      </x:c>
      <x:c r="P3819" s="9" t="n">
        <x:v>14157000</x:v>
      </x:c>
      <x:c r="Q3819" s="11" t="n">
        <x:v>0</x:v>
      </x:c>
      <x:c r="R3819" s="8" t="n">
        <x:v>45574</x:v>
      </x:c>
      <x:c r="S3819" s="4" t="str">
        <x:v>Retained</x:v>
      </x:c>
      <x:c r="T3819" s="10" t="n">
        <x:v>0.254545</x:v>
      </x:c>
      <x:c r="U3819" s="4" t="str">
        <x:v>Test</x:v>
      </x:c>
    </x:row>
    <x:row r="3820" ht="34" customHeight="1">
      <x:c r="A3820" s="4" t="str">
        <x:v>RS-03819</x:v>
      </x:c>
      <x:c r="B3820" s="8" t="n">
        <x:v>45515</x:v>
      </x:c>
      <x:c r="C3820" s="4" t="str">
        <x:v>PRJ-019</x:v>
      </x:c>
      <x:c r="D3820" s="4" t="str">
        <x:v>Office</x:v>
      </x:c>
      <x:c r="E3820" s="4" t="str">
        <x:v>Agreement signed</x:v>
      </x:c>
      <x:c r="F3820" s="4" t="str">
        <x:v>CUS-03819</x:v>
      </x:c>
      <x:c r="G3820" s="4" t="str">
        <x:v>UNIT-03819</x:v>
      </x:c>
      <x:c r="H3820" s="9" t="n">
        <x:v>10600000</x:v>
      </x:c>
      <x:c r="I3820" s="10" t="n">
        <x:v>0.01</x:v>
      </x:c>
      <x:c r="J3820" s="11" t="n">
        <x:v>6</x:v>
      </x:c>
      <x:c r="K3820" s="11" t="n">
        <x:v>1</x:v>
      </x:c>
      <x:c r="L3820" s="11" t="n">
        <x:v>0</x:v>
      </x:c>
      <x:c r="M3820" s="9" t="n">
        <x:f>ROUND(H3820*(1-I3820),2)</x:f>
        <x:v>10494000</x:v>
      </x:c>
      <x:c r="N3820" s="4" t="str">
        <x:v>Sales manager</x:v>
      </x:c>
      <x:c r="O3820" s="4" t="str">
        <x:v>BOOK-03819</x:v>
      </x:c>
      <x:c r="P3820" s="9" t="n">
        <x:v>1049400</x:v>
      </x:c>
      <x:c r="Q3820" s="11" t="n">
        <x:v>0</x:v>
      </x:c>
      <x:c r="R3820" s="8" t="n">
        <x:v>45575</x:v>
      </x:c>
      <x:c r="S3820" s="4" t="str">
        <x:v>Retained</x:v>
      </x:c>
      <x:c r="T3820" s="10" t="n">
        <x:v>0.298969</x:v>
      </x:c>
      <x:c r="U3820" s="4" t="str">
        <x:v>Test</x:v>
      </x:c>
    </x:row>
    <x:row r="3821" ht="34" customHeight="1">
      <x:c r="A3821" s="4" t="str">
        <x:v>RS-03820</x:v>
      </x:c>
      <x:c r="B3821" s="8" t="n">
        <x:v>45516</x:v>
      </x:c>
      <x:c r="C3821" s="4" t="str">
        <x:v>PRJ-020</x:v>
      </x:c>
      <x:c r="D3821" s="4" t="str">
        <x:v>Apartment</x:v>
      </x:c>
      <x:c r="E3821" s="4" t="str">
        <x:v>Cancelled</x:v>
      </x:c>
      <x:c r="F3821" s="4" t="str">
        <x:v>CUS-03820</x:v>
      </x:c>
      <x:c r="G3821" s="4" t="str">
        <x:v>UNIT-03820</x:v>
      </x:c>
      <x:c r="H3821" s="9" t="n">
        <x:v>23200000</x:v>
      </x:c>
      <x:c r="I3821" s="10" t="n">
        <x:v>0.02</x:v>
      </x:c>
      <x:c r="J3821" s="11" t="n">
        <x:v>8</x:v>
      </x:c>
      <x:c r="K3821" s="11" t="n">
        <x:v>9</x:v>
      </x:c>
      <x:c r="L3821" s="11" t="n">
        <x:v>1</x:v>
      </x:c>
      <x:c r="M3821" s="9" t="n">
        <x:f>ROUND(H3821*(1-I3821),2)</x:f>
        <x:v>22736000</x:v>
      </x:c>
      <x:c r="N3821" s="4" t="str">
        <x:v>Sales manager</x:v>
      </x:c>
      <x:c r="O3821" s="4"/>
      <x:c r="P3821" s="9" t="n">
        <x:v>0</x:v>
      </x:c>
      <x:c r="Q3821" s="11" t="n">
        <x:v>1</x:v>
      </x:c>
      <x:c r="R3821" s="8" t="n">
        <x:v>45576</x:v>
      </x:c>
      <x:c r="S3821" s="4" t="str">
        <x:v>Lost / cancelled</x:v>
      </x:c>
      <x:c r="T3821" s="10" t="n">
        <x:v>0.254545</x:v>
      </x:c>
      <x:c r="U3821" s="4" t="str">
        <x:v>Test</x:v>
      </x:c>
    </x:row>
    <x:row r="3822" ht="34" customHeight="1">
      <x:c r="A3822" s="4" t="str">
        <x:v>RS-03821</x:v>
      </x:c>
      <x:c r="B3822" s="8" t="n">
        <x:v>45517</x:v>
      </x:c>
      <x:c r="C3822" s="4" t="str">
        <x:v>PRJ-001</x:v>
      </x:c>
      <x:c r="D3822" s="4" t="str">
        <x:v>Retail</x:v>
      </x:c>
      <x:c r="E3822" s="4" t="str">
        <x:v>Enquiry</x:v>
      </x:c>
      <x:c r="F3822" s="4" t="str">
        <x:v>CUS-03821</x:v>
      </x:c>
      <x:c r="G3822" s="4" t="str">
        <x:v>UNIT-03821</x:v>
      </x:c>
      <x:c r="H3822" s="9" t="n">
        <x:v>9700000</x:v>
      </x:c>
      <x:c r="I3822" s="10" t="n">
        <x:v>0.06</x:v>
      </x:c>
      <x:c r="J3822" s="11" t="n">
        <x:v>10</x:v>
      </x:c>
      <x:c r="K3822" s="11" t="n">
        <x:v>5</x:v>
      </x:c>
      <x:c r="L3822" s="11" t="n">
        <x:v>0</x:v>
      </x:c>
      <x:c r="M3822" s="9" t="n">
        <x:f>ROUND(H3822*(1-I3822),2)</x:f>
        <x:v>9118000</x:v>
      </x:c>
      <x:c r="N3822" s="4" t="str">
        <x:v>Sales manager</x:v>
      </x:c>
      <x:c r="O3822" s="4"/>
      <x:c r="P3822" s="9" t="n">
        <x:v>0</x:v>
      </x:c>
      <x:c r="Q3822" s="11" t="n">
        <x:v>1</x:v>
      </x:c>
      <x:c r="R3822" s="8" t="n">
        <x:v>45577</x:v>
      </x:c>
      <x:c r="S3822" s="4" t="str">
        <x:v>Lost / cancelled</x:v>
      </x:c>
      <x:c r="T3822" s="10" t="n">
        <x:v>0.310195</x:v>
      </x:c>
      <x:c r="U3822" s="4" t="str">
        <x:v>Test</x:v>
      </x:c>
    </x:row>
    <x:row r="3823" ht="34" customHeight="1">
      <x:c r="A3823" s="4" t="str">
        <x:v>RS-03822</x:v>
      </x:c>
      <x:c r="B3823" s="8" t="n">
        <x:v>45518</x:v>
      </x:c>
      <x:c r="C3823" s="4" t="str">
        <x:v>PRJ-002</x:v>
      </x:c>
      <x:c r="D3823" s="4" t="str">
        <x:v>Retail</x:v>
      </x:c>
      <x:c r="E3823" s="4" t="str">
        <x:v>Enquiry</x:v>
      </x:c>
      <x:c r="F3823" s="4" t="str">
        <x:v>CUS-03822</x:v>
      </x:c>
      <x:c r="G3823" s="4" t="str">
        <x:v>UNIT-03822</x:v>
      </x:c>
      <x:c r="H3823" s="9" t="n">
        <x:v>25000000</x:v>
      </x:c>
      <x:c r="I3823" s="10" t="n">
        <x:v>0.02</x:v>
      </x:c>
      <x:c r="J3823" s="11" t="n">
        <x:v>11</x:v>
      </x:c>
      <x:c r="K3823" s="11" t="n">
        <x:v>3</x:v>
      </x:c>
      <x:c r="L3823" s="11" t="n">
        <x:v>1</x:v>
      </x:c>
      <x:c r="M3823" s="9" t="n">
        <x:f>ROUND(H3823*(1-I3823),2)</x:f>
        <x:v>24500000</x:v>
      </x:c>
      <x:c r="N3823" s="4" t="str">
        <x:v>Sales manager</x:v>
      </x:c>
      <x:c r="O3823" s="4"/>
      <x:c r="P3823" s="9" t="n">
        <x:v>0</x:v>
      </x:c>
      <x:c r="Q3823" s="11" t="n">
        <x:v>0</x:v>
      </x:c>
      <x:c r="R3823" s="8" t="n">
        <x:v>45578</x:v>
      </x:c>
      <x:c r="S3823" s="4" t="str">
        <x:v>Retained</x:v>
      </x:c>
      <x:c r="T3823" s="10" t="n">
        <x:v>0.254545</x:v>
      </x:c>
      <x:c r="U3823" s="4" t="str">
        <x:v>Test</x:v>
      </x:c>
    </x:row>
    <x:row r="3824" ht="34" customHeight="1">
      <x:c r="A3824" s="4" t="str">
        <x:v>RS-03823</x:v>
      </x:c>
      <x:c r="B3824" s="8" t="n">
        <x:v>45519</x:v>
      </x:c>
      <x:c r="C3824" s="4" t="str">
        <x:v>PRJ-003</x:v>
      </x:c>
      <x:c r="D3824" s="4" t="str">
        <x:v>Villa</x:v>
      </x:c>
      <x:c r="E3824" s="4" t="str">
        <x:v>Reserved</x:v>
      </x:c>
      <x:c r="F3824" s="4" t="str">
        <x:v>CUS-03823</x:v>
      </x:c>
      <x:c r="G3824" s="4" t="str">
        <x:v>UNIT-03823</x:v>
      </x:c>
      <x:c r="H3824" s="9" t="n">
        <x:v>20600000</x:v>
      </x:c>
      <x:c r="I3824" s="10" t="n">
        <x:v>0.05</x:v>
      </x:c>
      <x:c r="J3824" s="11" t="n">
        <x:v>1</x:v>
      </x:c>
      <x:c r="K3824" s="11" t="n">
        <x:v>2</x:v>
      </x:c>
      <x:c r="L3824" s="11" t="n">
        <x:v>1</x:v>
      </x:c>
      <x:c r="M3824" s="9" t="n">
        <x:f>ROUND(H3824*(1-I3824),2)</x:f>
        <x:v>19570000</x:v>
      </x:c>
      <x:c r="N3824" s="4" t="str">
        <x:v>Sales manager</x:v>
      </x:c>
      <x:c r="O3824" s="4"/>
      <x:c r="P3824" s="9" t="n">
        <x:v>0</x:v>
      </x:c>
      <x:c r="Q3824" s="11" t="n">
        <x:v>0</x:v>
      </x:c>
      <x:c r="R3824" s="8" t="n">
        <x:v>45579</x:v>
      </x:c>
      <x:c r="S3824" s="4" t="str">
        <x:v>Retained</x:v>
      </x:c>
      <x:c r="T3824" s="10" t="n">
        <x:v>0.204152</x:v>
      </x:c>
      <x:c r="U3824" s="4" t="str">
        <x:v>Test</x:v>
      </x:c>
    </x:row>
    <x:row r="3825" ht="34" customHeight="1">
      <x:c r="A3825" s="4" t="str">
        <x:v>RS-03824</x:v>
      </x:c>
      <x:c r="B3825" s="8" t="n">
        <x:v>45520</x:v>
      </x:c>
      <x:c r="C3825" s="4" t="str">
        <x:v>PRJ-004</x:v>
      </x:c>
      <x:c r="D3825" s="4" t="str">
        <x:v>Retail</x:v>
      </x:c>
      <x:c r="E3825" s="4" t="str">
        <x:v>Booked</x:v>
      </x:c>
      <x:c r="F3825" s="4" t="str">
        <x:v>CUS-03824</x:v>
      </x:c>
      <x:c r="G3825" s="4" t="str">
        <x:v>UNIT-03824</x:v>
      </x:c>
      <x:c r="H3825" s="9" t="n">
        <x:v>7000000</x:v>
      </x:c>
      <x:c r="I3825" s="10" t="n">
        <x:v>0.03</x:v>
      </x:c>
      <x:c r="J3825" s="11" t="n">
        <x:v>12</x:v>
      </x:c>
      <x:c r="K3825" s="11" t="n">
        <x:v>9</x:v>
      </x:c>
      <x:c r="L3825" s="11" t="n">
        <x:v>1</x:v>
      </x:c>
      <x:c r="M3825" s="9" t="n">
        <x:f>ROUND(H3825*(1-I3825),2)</x:f>
        <x:v>6790000</x:v>
      </x:c>
      <x:c r="N3825" s="4" t="str">
        <x:v>Sales manager</x:v>
      </x:c>
      <x:c r="O3825" s="4" t="str">
        <x:v>BOOK-03824</x:v>
      </x:c>
      <x:c r="P3825" s="9" t="n">
        <x:v>6790000</x:v>
      </x:c>
      <x:c r="Q3825" s="11" t="n">
        <x:v>0</x:v>
      </x:c>
      <x:c r="R3825" s="8" t="n">
        <x:v>45580</x:v>
      </x:c>
      <x:c r="S3825" s="4" t="str">
        <x:v>Retained</x:v>
      </x:c>
      <x:c r="T3825" s="10" t="n">
        <x:v>0.351536</x:v>
      </x:c>
      <x:c r="U3825" s="4" t="str">
        <x:v>Test</x:v>
      </x:c>
    </x:row>
    <x:row r="3826" ht="34" customHeight="1">
      <x:c r="A3826" s="4" t="str">
        <x:v>RS-03825</x:v>
      </x:c>
      <x:c r="B3826" s="8" t="n">
        <x:v>45521</x:v>
      </x:c>
      <x:c r="C3826" s="4" t="str">
        <x:v>PRJ-005</x:v>
      </x:c>
      <x:c r="D3826" s="4" t="str">
        <x:v>Office</x:v>
      </x:c>
      <x:c r="E3826" s="4" t="str">
        <x:v>Cancelled</x:v>
      </x:c>
      <x:c r="F3826" s="4" t="str">
        <x:v>CUS-03825</x:v>
      </x:c>
      <x:c r="G3826" s="4" t="str">
        <x:v>UNIT-03825</x:v>
      </x:c>
      <x:c r="H3826" s="9" t="n">
        <x:v>19400000</x:v>
      </x:c>
      <x:c r="I3826" s="10" t="n">
        <x:v>0.03</x:v>
      </x:c>
      <x:c r="J3826" s="11" t="n">
        <x:v>4</x:v>
      </x:c>
      <x:c r="K3826" s="11" t="n">
        <x:v>9</x:v>
      </x:c>
      <x:c r="L3826" s="11" t="n">
        <x:v>0</x:v>
      </x:c>
      <x:c r="M3826" s="9" t="n">
        <x:f>ROUND(H3826*(1-I3826),2)</x:f>
        <x:v>18818000</x:v>
      </x:c>
      <x:c r="N3826" s="4" t="str">
        <x:v>Sales manager</x:v>
      </x:c>
      <x:c r="O3826" s="4"/>
      <x:c r="P3826" s="9" t="n">
        <x:v>0</x:v>
      </x:c>
      <x:c r="Q3826" s="11" t="n">
        <x:v>1</x:v>
      </x:c>
      <x:c r="R3826" s="8" t="n">
        <x:v>45581</x:v>
      </x:c>
      <x:c r="S3826" s="4" t="str">
        <x:v>Lost / cancelled</x:v>
      </x:c>
      <x:c r="T3826" s="10" t="n">
        <x:v>0.145299</x:v>
      </x:c>
      <x:c r="U3826" s="4" t="str">
        <x:v>Test</x:v>
      </x:c>
    </x:row>
    <x:row r="3827" ht="34" customHeight="1">
      <x:c r="A3827" s="4" t="str">
        <x:v>RS-03826</x:v>
      </x:c>
      <x:c r="B3827" s="8" t="n">
        <x:v>45522</x:v>
      </x:c>
      <x:c r="C3827" s="4" t="str">
        <x:v>PRJ-006</x:v>
      </x:c>
      <x:c r="D3827" s="4" t="str">
        <x:v>Office</x:v>
      </x:c>
      <x:c r="E3827" s="4" t="str">
        <x:v>Handed over</x:v>
      </x:c>
      <x:c r="F3827" s="4" t="str">
        <x:v>CUS-03826</x:v>
      </x:c>
      <x:c r="G3827" s="4" t="str">
        <x:v>UNIT-03826</x:v>
      </x:c>
      <x:c r="H3827" s="9" t="n">
        <x:v>7300000</x:v>
      </x:c>
      <x:c r="I3827" s="10" t="n">
        <x:v>0.02</x:v>
      </x:c>
      <x:c r="J3827" s="11" t="n">
        <x:v>4</x:v>
      </x:c>
      <x:c r="K3827" s="11" t="n">
        <x:v>0</x:v>
      </x:c>
      <x:c r="L3827" s="11" t="n">
        <x:v>0</x:v>
      </x:c>
      <x:c r="M3827" s="9" t="n">
        <x:f>ROUND(H3827*(1-I3827),2)</x:f>
        <x:v>7154000</x:v>
      </x:c>
      <x:c r="N3827" s="4" t="str">
        <x:v>Sales manager</x:v>
      </x:c>
      <x:c r="O3827" s="4" t="str">
        <x:v>BOOK-03826</x:v>
      </x:c>
      <x:c r="P3827" s="9" t="n">
        <x:v>715400</x:v>
      </x:c>
      <x:c r="Q3827" s="11" t="n">
        <x:v>0</x:v>
      </x:c>
      <x:c r="R3827" s="8" t="n">
        <x:v>45582</x:v>
      </x:c>
      <x:c r="S3827" s="4" t="str">
        <x:v>Retained</x:v>
      </x:c>
      <x:c r="T3827" s="10" t="n">
        <x:v>0.298969</x:v>
      </x:c>
      <x:c r="U3827" s="4" t="str">
        <x:v>Test</x:v>
      </x:c>
    </x:row>
    <x:row r="3828" ht="34" customHeight="1">
      <x:c r="A3828" s="4" t="str">
        <x:v>RS-03827</x:v>
      </x:c>
      <x:c r="B3828" s="8" t="n">
        <x:v>45523</x:v>
      </x:c>
      <x:c r="C3828" s="4" t="str">
        <x:v>PRJ-007</x:v>
      </x:c>
      <x:c r="D3828" s="4" t="str">
        <x:v>Villa</x:v>
      </x:c>
      <x:c r="E3828" s="4" t="str">
        <x:v>Enquiry</x:v>
      </x:c>
      <x:c r="F3828" s="4" t="str">
        <x:v>CUS-03827</x:v>
      </x:c>
      <x:c r="G3828" s="4" t="str">
        <x:v>UNIT-03827</x:v>
      </x:c>
      <x:c r="H3828" s="9" t="n">
        <x:v>17200000</x:v>
      </x:c>
      <x:c r="I3828" s="10" t="n">
        <x:v>0.04</x:v>
      </x:c>
      <x:c r="J3828" s="11" t="n">
        <x:v>4</x:v>
      </x:c>
      <x:c r="K3828" s="11" t="n">
        <x:v>3</x:v>
      </x:c>
      <x:c r="L3828" s="11" t="n">
        <x:v>0</x:v>
      </x:c>
      <x:c r="M3828" s="9" t="n">
        <x:f>ROUND(H3828*(1-I3828),2)</x:f>
        <x:v>16512000</x:v>
      </x:c>
      <x:c r="N3828" s="4" t="str">
        <x:v>Sales manager</x:v>
      </x:c>
      <x:c r="O3828" s="4"/>
      <x:c r="P3828" s="9" t="n">
        <x:v>0</x:v>
      </x:c>
      <x:c r="Q3828" s="11" t="n">
        <x:v>0</x:v>
      </x:c>
      <x:c r="R3828" s="8" t="n">
        <x:v>45583</x:v>
      </x:c>
      <x:c r="S3828" s="4" t="str">
        <x:v>Retained</x:v>
      </x:c>
      <x:c r="T3828" s="10" t="n">
        <x:v>0.226277</x:v>
      </x:c>
      <x:c r="U3828" s="4" t="str">
        <x:v>Test</x:v>
      </x:c>
    </x:row>
    <x:row r="3829" ht="34" customHeight="1">
      <x:c r="A3829" s="4" t="str">
        <x:v>RS-03828</x:v>
      </x:c>
      <x:c r="B3829" s="8" t="n">
        <x:v>45524</x:v>
      </x:c>
      <x:c r="C3829" s="4" t="str">
        <x:v>PRJ-008</x:v>
      </x:c>
      <x:c r="D3829" s="4" t="str">
        <x:v>Villa</x:v>
      </x:c>
      <x:c r="E3829" s="4" t="str">
        <x:v>Reserved</x:v>
      </x:c>
      <x:c r="F3829" s="4" t="str">
        <x:v>CUS-03828</x:v>
      </x:c>
      <x:c r="G3829" s="4" t="str">
        <x:v>UNIT-03828</x:v>
      </x:c>
      <x:c r="H3829" s="9" t="n">
        <x:v>10800000</x:v>
      </x:c>
      <x:c r="I3829" s="10" t="n">
        <x:v>0.08</x:v>
      </x:c>
      <x:c r="J3829" s="11" t="n">
        <x:v>1</x:v>
      </x:c>
      <x:c r="K3829" s="11" t="n">
        <x:v>7</x:v>
      </x:c>
      <x:c r="L3829" s="11" t="n">
        <x:v>1</x:v>
      </x:c>
      <x:c r="M3829" s="9" t="n">
        <x:f>ROUND(H3829*(1-I3829),2)</x:f>
        <x:v>9936000</x:v>
      </x:c>
      <x:c r="N3829" s="4" t="str">
        <x:v>Sales head</x:v>
      </x:c>
      <x:c r="O3829" s="4"/>
      <x:c r="P3829" s="9" t="n">
        <x:v>0</x:v>
      </x:c>
      <x:c r="Q3829" s="11" t="n">
        <x:v>0</x:v>
      </x:c>
      <x:c r="R3829" s="8" t="n">
        <x:v>45584</x:v>
      </x:c>
      <x:c r="S3829" s="4" t="str">
        <x:v>Retained</x:v>
      </x:c>
      <x:c r="T3829" s="10" t="n">
        <x:v>0.204152</x:v>
      </x:c>
      <x:c r="U3829" s="4" t="str">
        <x:v>Test</x:v>
      </x:c>
    </x:row>
    <x:row r="3830" ht="34" customHeight="1">
      <x:c r="A3830" s="4" t="str">
        <x:v>RS-03829</x:v>
      </x:c>
      <x:c r="B3830" s="8" t="n">
        <x:v>45525</x:v>
      </x:c>
      <x:c r="C3830" s="4" t="str">
        <x:v>PRJ-009</x:v>
      </x:c>
      <x:c r="D3830" s="4" t="str">
        <x:v>Villa</x:v>
      </x:c>
      <x:c r="E3830" s="4" t="str">
        <x:v>Reserved</x:v>
      </x:c>
      <x:c r="F3830" s="4" t="str">
        <x:v>CUS-03829</x:v>
      </x:c>
      <x:c r="G3830" s="4" t="str">
        <x:v>UNIT-03829</x:v>
      </x:c>
      <x:c r="H3830" s="9" t="n">
        <x:v>18400000</x:v>
      </x:c>
      <x:c r="I3830" s="10" t="n">
        <x:v>0.01</x:v>
      </x:c>
      <x:c r="J3830" s="11" t="n">
        <x:v>10</x:v>
      </x:c>
      <x:c r="K3830" s="11" t="n">
        <x:v>6</x:v>
      </x:c>
      <x:c r="L3830" s="11" t="n">
        <x:v>1</x:v>
      </x:c>
      <x:c r="M3830" s="9" t="n">
        <x:f>ROUND(H3830*(1-I3830),2)</x:f>
        <x:v>18216000</x:v>
      </x:c>
      <x:c r="N3830" s="4" t="str">
        <x:v>Sales manager</x:v>
      </x:c>
      <x:c r="O3830" s="4"/>
      <x:c r="P3830" s="9" t="n">
        <x:v>0</x:v>
      </x:c>
      <x:c r="Q3830" s="11" t="n">
        <x:v>0</x:v>
      </x:c>
      <x:c r="R3830" s="8" t="n">
        <x:v>45585</x:v>
      </x:c>
      <x:c r="S3830" s="4" t="str">
        <x:v>Retained</x:v>
      </x:c>
      <x:c r="T3830" s="10" t="n">
        <x:v>0.254545</x:v>
      </x:c>
      <x:c r="U3830" s="4" t="str">
        <x:v>Test</x:v>
      </x:c>
    </x:row>
    <x:row r="3831" ht="34" customHeight="1">
      <x:c r="A3831" s="4" t="str">
        <x:v>RS-03830</x:v>
      </x:c>
      <x:c r="B3831" s="8" t="n">
        <x:v>45526</x:v>
      </x:c>
      <x:c r="C3831" s="4" t="str">
        <x:v>PRJ-010</x:v>
      </x:c>
      <x:c r="D3831" s="4" t="str">
        <x:v>Apartment</x:v>
      </x:c>
      <x:c r="E3831" s="4" t="str">
        <x:v>Cancelled</x:v>
      </x:c>
      <x:c r="F3831" s="4" t="str">
        <x:v>CUS-03830</x:v>
      </x:c>
      <x:c r="G3831" s="4" t="str">
        <x:v>UNIT-03830</x:v>
      </x:c>
      <x:c r="H3831" s="9" t="n">
        <x:v>6700000</x:v>
      </x:c>
      <x:c r="I3831" s="10" t="n">
        <x:v>0.06</x:v>
      </x:c>
      <x:c r="J3831" s="11" t="n">
        <x:v>3</x:v>
      </x:c>
      <x:c r="K3831" s="11" t="n">
        <x:v>7</x:v>
      </x:c>
      <x:c r="L3831" s="11" t="n">
        <x:v>1</x:v>
      </x:c>
      <x:c r="M3831" s="9" t="n">
        <x:f>ROUND(H3831*(1-I3831),2)</x:f>
        <x:v>6298000</x:v>
      </x:c>
      <x:c r="N3831" s="4" t="str">
        <x:v>Sales manager</x:v>
      </x:c>
      <x:c r="O3831" s="4"/>
      <x:c r="P3831" s="9" t="n">
        <x:v>0</x:v>
      </x:c>
      <x:c r="Q3831" s="11" t="n">
        <x:v>1</x:v>
      </x:c>
      <x:c r="R3831" s="8" t="n">
        <x:v>45586</x:v>
      </x:c>
      <x:c r="S3831" s="4" t="str">
        <x:v>Lost / cancelled</x:v>
      </x:c>
      <x:c r="T3831" s="10" t="n">
        <x:v>0.204152</x:v>
      </x:c>
      <x:c r="U3831" s="4" t="str">
        <x:v>Test</x:v>
      </x:c>
    </x:row>
    <x:row r="3832" ht="34" customHeight="1">
      <x:c r="A3832" s="4" t="str">
        <x:v>RS-03831</x:v>
      </x:c>
      <x:c r="B3832" s="8" t="n">
        <x:v>45527</x:v>
      </x:c>
      <x:c r="C3832" s="4" t="str">
        <x:v>PRJ-011</x:v>
      </x:c>
      <x:c r="D3832" s="4" t="str">
        <x:v>Villa</x:v>
      </x:c>
      <x:c r="E3832" s="4" t="str">
        <x:v>Enquiry</x:v>
      </x:c>
      <x:c r="F3832" s="4" t="str">
        <x:v>CUS-03831</x:v>
      </x:c>
      <x:c r="G3832" s="4" t="str">
        <x:v>UNIT-03831</x:v>
      </x:c>
      <x:c r="H3832" s="9" t="n">
        <x:v>3200000</x:v>
      </x:c>
      <x:c r="I3832" s="10" t="n">
        <x:v>0.04</x:v>
      </x:c>
      <x:c r="J3832" s="11" t="n">
        <x:v>8</x:v>
      </x:c>
      <x:c r="K3832" s="11" t="n">
        <x:v>6</x:v>
      </x:c>
      <x:c r="L3832" s="11" t="n">
        <x:v>0</x:v>
      </x:c>
      <x:c r="M3832" s="9" t="n">
        <x:f>ROUND(H3832*(1-I3832),2)</x:f>
        <x:v>3072000</x:v>
      </x:c>
      <x:c r="N3832" s="4" t="str">
        <x:v>Sales manager</x:v>
      </x:c>
      <x:c r="O3832" s="4"/>
      <x:c r="P3832" s="9" t="n">
        <x:v>0</x:v>
      </x:c>
      <x:c r="Q3832" s="11" t="n">
        <x:v>0</x:v>
      </x:c>
      <x:c r="R3832" s="8" t="n">
        <x:v>45587</x:v>
      </x:c>
      <x:c r="S3832" s="4" t="str">
        <x:v>Retained</x:v>
      </x:c>
      <x:c r="T3832" s="10" t="n">
        <x:v>0.310195</x:v>
      </x:c>
      <x:c r="U3832" s="4" t="str">
        <x:v>Test</x:v>
      </x:c>
    </x:row>
    <x:row r="3833" ht="34" customHeight="1">
      <x:c r="A3833" s="4" t="str">
        <x:v>RS-03832</x:v>
      </x:c>
      <x:c r="B3833" s="8" t="n">
        <x:v>45528</x:v>
      </x:c>
      <x:c r="C3833" s="4" t="str">
        <x:v>PRJ-012</x:v>
      </x:c>
      <x:c r="D3833" s="4" t="str">
        <x:v>Villa</x:v>
      </x:c>
      <x:c r="E3833" s="4" t="str">
        <x:v>Booked</x:v>
      </x:c>
      <x:c r="F3833" s="4" t="str">
        <x:v>CUS-03832</x:v>
      </x:c>
      <x:c r="G3833" s="4" t="str">
        <x:v>UNIT-03832</x:v>
      </x:c>
      <x:c r="H3833" s="9" t="n">
        <x:v>23800000</x:v>
      </x:c>
      <x:c r="I3833" s="10" t="n">
        <x:v>0.07</x:v>
      </x:c>
      <x:c r="J3833" s="11" t="n">
        <x:v>8</x:v>
      </x:c>
      <x:c r="K3833" s="11" t="n">
        <x:v>4</x:v>
      </x:c>
      <x:c r="L3833" s="11" t="n">
        <x:v>0</x:v>
      </x:c>
      <x:c r="M3833" s="9" t="n">
        <x:f>ROUND(H3833*(1-I3833),2)</x:f>
        <x:v>22134000</x:v>
      </x:c>
      <x:c r="N3833" s="4" t="str">
        <x:v>Sales manager</x:v>
      </x:c>
      <x:c r="O3833" s="4" t="str">
        <x:v>BOOK-03832</x:v>
      </x:c>
      <x:c r="P3833" s="9" t="n">
        <x:v>2213400</x:v>
      </x:c>
      <x:c r="Q3833" s="11" t="n">
        <x:v>0</x:v>
      </x:c>
      <x:c r="R3833" s="8" t="n">
        <x:v>45588</x:v>
      </x:c>
      <x:c r="S3833" s="4" t="str">
        <x:v>Retained</x:v>
      </x:c>
      <x:c r="T3833" s="10" t="n">
        <x:v>0.310195</x:v>
      </x:c>
      <x:c r="U3833" s="4" t="str">
        <x:v>Test</x:v>
      </x:c>
    </x:row>
    <x:row r="3834" ht="34" customHeight="1">
      <x:c r="A3834" s="4" t="str">
        <x:v>RS-03833</x:v>
      </x:c>
      <x:c r="B3834" s="8" t="n">
        <x:v>45529</x:v>
      </x:c>
      <x:c r="C3834" s="4" t="str">
        <x:v>PRJ-013</x:v>
      </x:c>
      <x:c r="D3834" s="4" t="str">
        <x:v>Villa</x:v>
      </x:c>
      <x:c r="E3834" s="4" t="str">
        <x:v>Cancelled</x:v>
      </x:c>
      <x:c r="F3834" s="4" t="str">
        <x:v>CUS-03833</x:v>
      </x:c>
      <x:c r="G3834" s="4" t="str">
        <x:v>UNIT-03833</x:v>
      </x:c>
      <x:c r="H3834" s="9" t="n">
        <x:v>10700000</x:v>
      </x:c>
      <x:c r="I3834" s="10" t="n">
        <x:v>0.1</x:v>
      </x:c>
      <x:c r="J3834" s="11" t="n">
        <x:v>0</x:v>
      </x:c>
      <x:c r="K3834" s="11" t="n">
        <x:v>7</x:v>
      </x:c>
      <x:c r="L3834" s="11" t="n">
        <x:v>0</x:v>
      </x:c>
      <x:c r="M3834" s="9" t="n">
        <x:f>ROUND(H3834*(1-I3834),2)</x:f>
        <x:v>9630000</x:v>
      </x:c>
      <x:c r="N3834" s="4" t="str">
        <x:v>Sales head</x:v>
      </x:c>
      <x:c r="O3834" s="4"/>
      <x:c r="P3834" s="9" t="n">
        <x:v>0</x:v>
      </x:c>
      <x:c r="Q3834" s="11" t="n">
        <x:v>1</x:v>
      </x:c>
      <x:c r="R3834" s="8" t="n">
        <x:v>45589</x:v>
      </x:c>
      <x:c r="S3834" s="4" t="str">
        <x:v>Lost / cancelled</x:v>
      </x:c>
      <x:c r="T3834" s="10" t="n">
        <x:v>0.145833</x:v>
      </x:c>
      <x:c r="U3834" s="4" t="str">
        <x:v>Test</x:v>
      </x:c>
    </x:row>
    <x:row r="3835" ht="34" customHeight="1">
      <x:c r="A3835" s="4" t="str">
        <x:v>RS-03834</x:v>
      </x:c>
      <x:c r="B3835" s="8" t="n">
        <x:v>45530</x:v>
      </x:c>
      <x:c r="C3835" s="4" t="str">
        <x:v>PRJ-014</x:v>
      </x:c>
      <x:c r="D3835" s="4" t="str">
        <x:v>Retail</x:v>
      </x:c>
      <x:c r="E3835" s="4" t="str">
        <x:v>Booked</x:v>
      </x:c>
      <x:c r="F3835" s="4" t="str">
        <x:v>CUS-03834</x:v>
      </x:c>
      <x:c r="G3835" s="4" t="str">
        <x:v>UNIT-03834</x:v>
      </x:c>
      <x:c r="H3835" s="9" t="n">
        <x:v>3000000</x:v>
      </x:c>
      <x:c r="I3835" s="10" t="n">
        <x:v>0.01</x:v>
      </x:c>
      <x:c r="J3835" s="11" t="n">
        <x:v>9</x:v>
      </x:c>
      <x:c r="K3835" s="11" t="n">
        <x:v>4</x:v>
      </x:c>
      <x:c r="L3835" s="11" t="n">
        <x:v>1</x:v>
      </x:c>
      <x:c r="M3835" s="9" t="n">
        <x:f>ROUND(H3835*(1-I3835),2)</x:f>
        <x:v>2970000</x:v>
      </x:c>
      <x:c r="N3835" s="4" t="str">
        <x:v>Sales manager</x:v>
      </x:c>
      <x:c r="O3835" s="4" t="str">
        <x:v>BOOK-03834</x:v>
      </x:c>
      <x:c r="P3835" s="9" t="n">
        <x:v>2970000</x:v>
      </x:c>
      <x:c r="Q3835" s="11" t="n">
        <x:v>0</x:v>
      </x:c>
      <x:c r="R3835" s="8" t="n">
        <x:v>45590</x:v>
      </x:c>
      <x:c r="S3835" s="4" t="str">
        <x:v>Retained</x:v>
      </x:c>
      <x:c r="T3835" s="10" t="n">
        <x:v>0.254545</x:v>
      </x:c>
      <x:c r="U3835" s="4" t="str">
        <x:v>Test</x:v>
      </x:c>
    </x:row>
    <x:row r="3836" ht="34" customHeight="1">
      <x:c r="A3836" s="4" t="str">
        <x:v>RS-03835</x:v>
      </x:c>
      <x:c r="B3836" s="8" t="n">
        <x:v>45531</x:v>
      </x:c>
      <x:c r="C3836" s="4" t="str">
        <x:v>PRJ-015</x:v>
      </x:c>
      <x:c r="D3836" s="4" t="str">
        <x:v>Villa</x:v>
      </x:c>
      <x:c r="E3836" s="4" t="str">
        <x:v>Agreement signed</x:v>
      </x:c>
      <x:c r="F3836" s="4" t="str">
        <x:v>CUS-03835</x:v>
      </x:c>
      <x:c r="G3836" s="4" t="str">
        <x:v>UNIT-03835</x:v>
      </x:c>
      <x:c r="H3836" s="9" t="n">
        <x:v>13200000</x:v>
      </x:c>
      <x:c r="I3836" s="10" t="n">
        <x:v>0.05</x:v>
      </x:c>
      <x:c r="J3836" s="11" t="n">
        <x:v>9</x:v>
      </x:c>
      <x:c r="K3836" s="11" t="n">
        <x:v>8</x:v>
      </x:c>
      <x:c r="L3836" s="11" t="n">
        <x:v>0</x:v>
      </x:c>
      <x:c r="M3836" s="9" t="n">
        <x:f>ROUND(H3836*(1-I3836),2)</x:f>
        <x:v>12540000</x:v>
      </x:c>
      <x:c r="N3836" s="4" t="str">
        <x:v>Sales manager</x:v>
      </x:c>
      <x:c r="O3836" s="4" t="str">
        <x:v>BOOK-03835</x:v>
      </x:c>
      <x:c r="P3836" s="9" t="n">
        <x:v>3135000</x:v>
      </x:c>
      <x:c r="Q3836" s="11" t="n">
        <x:v>0</x:v>
      </x:c>
      <x:c r="R3836" s="8" t="n">
        <x:v>45591</x:v>
      </x:c>
      <x:c r="S3836" s="4" t="str">
        <x:v>Retained</x:v>
      </x:c>
      <x:c r="T3836" s="10" t="n">
        <x:v>0.310195</x:v>
      </x:c>
      <x:c r="U3836" s="4" t="str">
        <x:v>Test</x:v>
      </x:c>
    </x:row>
    <x:row r="3837" ht="34" customHeight="1">
      <x:c r="A3837" s="4" t="str">
        <x:v>RS-03836</x:v>
      </x:c>
      <x:c r="B3837" s="8" t="n">
        <x:v>45532</x:v>
      </x:c>
      <x:c r="C3837" s="4" t="str">
        <x:v>PRJ-016</x:v>
      </x:c>
      <x:c r="D3837" s="4" t="str">
        <x:v>Office</x:v>
      </x:c>
      <x:c r="E3837" s="4" t="str">
        <x:v>Reserved</x:v>
      </x:c>
      <x:c r="F3837" s="4" t="str">
        <x:v>CUS-03836</x:v>
      </x:c>
      <x:c r="G3837" s="4" t="str">
        <x:v>UNIT-03836</x:v>
      </x:c>
      <x:c r="H3837" s="9" t="n">
        <x:v>19300000</x:v>
      </x:c>
      <x:c r="I3837" s="10" t="n">
        <x:v>0.01</x:v>
      </x:c>
      <x:c r="J3837" s="11" t="n">
        <x:v>1</x:v>
      </x:c>
      <x:c r="K3837" s="11" t="n">
        <x:v>10</x:v>
      </x:c>
      <x:c r="L3837" s="11" t="n">
        <x:v>1</x:v>
      </x:c>
      <x:c r="M3837" s="9" t="n">
        <x:f>ROUND(H3837*(1-I3837),2)</x:f>
        <x:v>19107000</x:v>
      </x:c>
      <x:c r="N3837" s="4" t="str">
        <x:v>Sales manager</x:v>
      </x:c>
      <x:c r="O3837" s="4"/>
      <x:c r="P3837" s="9" t="n">
        <x:v>0</x:v>
      </x:c>
      <x:c r="Q3837" s="11" t="n">
        <x:v>0</x:v>
      </x:c>
      <x:c r="R3837" s="8" t="n">
        <x:v>45592</x:v>
      </x:c>
      <x:c r="S3837" s="4" t="str">
        <x:v>Retained</x:v>
      </x:c>
      <x:c r="T3837" s="10" t="n">
        <x:v>0.072165</x:v>
      </x:c>
      <x:c r="U3837" s="4" t="str">
        <x:v>Test</x:v>
      </x:c>
    </x:row>
    <x:row r="3838" ht="34" customHeight="1">
      <x:c r="A3838" s="4" t="str">
        <x:v>RS-03837</x:v>
      </x:c>
      <x:c r="B3838" s="8" t="n">
        <x:v>45505</x:v>
      </x:c>
      <x:c r="C3838" s="4" t="str">
        <x:v>PRJ-017</x:v>
      </x:c>
      <x:c r="D3838" s="4" t="str">
        <x:v>Villa</x:v>
      </x:c>
      <x:c r="E3838" s="4" t="str">
        <x:v>Agreement signed</x:v>
      </x:c>
      <x:c r="F3838" s="4" t="str">
        <x:v>CUS-03837</x:v>
      </x:c>
      <x:c r="G3838" s="4" t="str">
        <x:v>UNIT-03837</x:v>
      </x:c>
      <x:c r="H3838" s="9" t="n">
        <x:v>11700000</x:v>
      </x:c>
      <x:c r="I3838" s="10" t="n">
        <x:v>0.08</x:v>
      </x:c>
      <x:c r="J3838" s="11" t="n">
        <x:v>4</x:v>
      </x:c>
      <x:c r="K3838" s="11" t="n">
        <x:v>5</x:v>
      </x:c>
      <x:c r="L3838" s="11" t="n">
        <x:v>0</x:v>
      </x:c>
      <x:c r="M3838" s="9" t="n">
        <x:f>ROUND(H3838*(1-I3838),2)</x:f>
        <x:v>10764000</x:v>
      </x:c>
      <x:c r="N3838" s="4" t="str">
        <x:v>Sales head</x:v>
      </x:c>
      <x:c r="O3838" s="4" t="str">
        <x:v>BOOK-03837</x:v>
      </x:c>
      <x:c r="P3838" s="9" t="n">
        <x:v>10764000</x:v>
      </x:c>
      <x:c r="Q3838" s="11" t="n">
        <x:v>0</x:v>
      </x:c>
      <x:c r="R3838" s="8" t="n">
        <x:v>45565</x:v>
      </x:c>
      <x:c r="S3838" s="4" t="str">
        <x:v>Retained</x:v>
      </x:c>
      <x:c r="T3838" s="10" t="n">
        <x:v>0.226277</x:v>
      </x:c>
      <x:c r="U3838" s="4" t="str">
        <x:v>Test</x:v>
      </x:c>
    </x:row>
    <x:row r="3839" ht="34" customHeight="1">
      <x:c r="A3839" s="4" t="str">
        <x:v>RS-03838</x:v>
      </x:c>
      <x:c r="B3839" s="8" t="n">
        <x:v>45506</x:v>
      </x:c>
      <x:c r="C3839" s="4" t="str">
        <x:v>PRJ-018</x:v>
      </x:c>
      <x:c r="D3839" s="4" t="str">
        <x:v>Retail</x:v>
      </x:c>
      <x:c r="E3839" s="4" t="str">
        <x:v>Cancelled</x:v>
      </x:c>
      <x:c r="F3839" s="4" t="str">
        <x:v>CUS-03838</x:v>
      </x:c>
      <x:c r="G3839" s="4" t="str">
        <x:v>UNIT-03838</x:v>
      </x:c>
      <x:c r="H3839" s="9" t="n">
        <x:v>23700000</x:v>
      </x:c>
      <x:c r="I3839" s="10" t="n">
        <x:v>0.02</x:v>
      </x:c>
      <x:c r="J3839" s="11" t="n">
        <x:v>5</x:v>
      </x:c>
      <x:c r="K3839" s="11" t="n">
        <x:v>9</x:v>
      </x:c>
      <x:c r="L3839" s="11" t="n">
        <x:v>1</x:v>
      </x:c>
      <x:c r="M3839" s="9" t="n">
        <x:f>ROUND(H3839*(1-I3839),2)</x:f>
        <x:v>23226000</x:v>
      </x:c>
      <x:c r="N3839" s="4" t="str">
        <x:v>Sales manager</x:v>
      </x:c>
      <x:c r="O3839" s="4"/>
      <x:c r="P3839" s="9" t="n">
        <x:v>0</x:v>
      </x:c>
      <x:c r="Q3839" s="11" t="n">
        <x:v>1</x:v>
      </x:c>
      <x:c r="R3839" s="8" t="n">
        <x:v>45566</x:v>
      </x:c>
      <x:c r="S3839" s="4" t="str">
        <x:v>Lost / cancelled</x:v>
      </x:c>
      <x:c r="T3839" s="10" t="n">
        <x:v>0.145299</x:v>
      </x:c>
      <x:c r="U3839" s="4" t="str">
        <x:v>Test</x:v>
      </x:c>
    </x:row>
    <x:row r="3840" ht="34" customHeight="1">
      <x:c r="A3840" s="4" t="str">
        <x:v>RS-03839</x:v>
      </x:c>
      <x:c r="B3840" s="8" t="n">
        <x:v>45507</x:v>
      </x:c>
      <x:c r="C3840" s="4" t="str">
        <x:v>PRJ-019</x:v>
      </x:c>
      <x:c r="D3840" s="4" t="str">
        <x:v>Villa</x:v>
      </x:c>
      <x:c r="E3840" s="4" t="str">
        <x:v>Enquiry</x:v>
      </x:c>
      <x:c r="F3840" s="4" t="str">
        <x:v>CUS-03839</x:v>
      </x:c>
      <x:c r="G3840" s="4" t="str">
        <x:v>UNIT-03839</x:v>
      </x:c>
      <x:c r="H3840" s="9" t="n">
        <x:v>23600000</x:v>
      </x:c>
      <x:c r="I3840" s="10" t="n">
        <x:v>0.01</x:v>
      </x:c>
      <x:c r="J3840" s="11" t="n">
        <x:v>6</x:v>
      </x:c>
      <x:c r="K3840" s="11" t="n">
        <x:v>8</x:v>
      </x:c>
      <x:c r="L3840" s="11" t="n">
        <x:v>0</x:v>
      </x:c>
      <x:c r="M3840" s="9" t="n">
        <x:f>ROUND(H3840*(1-I3840),2)</x:f>
        <x:v>23364000</x:v>
      </x:c>
      <x:c r="N3840" s="4" t="str">
        <x:v>Sales manager</x:v>
      </x:c>
      <x:c r="O3840" s="4"/>
      <x:c r="P3840" s="9" t="n">
        <x:v>0</x:v>
      </x:c>
      <x:c r="Q3840" s="11" t="n">
        <x:v>0</x:v>
      </x:c>
      <x:c r="R3840" s="8" t="n">
        <x:v>45567</x:v>
      </x:c>
      <x:c r="S3840" s="4" t="str">
        <x:v>Retained</x:v>
      </x:c>
      <x:c r="T3840" s="10" t="n">
        <x:v>0.145299</x:v>
      </x:c>
      <x:c r="U3840" s="4" t="str">
        <x:v>Test</x:v>
      </x:c>
    </x:row>
    <x:row r="3841" ht="34" customHeight="1">
      <x:c r="A3841" s="4" t="str">
        <x:v>RS-03840</x:v>
      </x:c>
      <x:c r="B3841" s="8" t="n">
        <x:v>45508</x:v>
      </x:c>
      <x:c r="C3841" s="4" t="str">
        <x:v>PRJ-020</x:v>
      </x:c>
      <x:c r="D3841" s="4" t="str">
        <x:v>Office</x:v>
      </x:c>
      <x:c r="E3841" s="4" t="str">
        <x:v>Booked</x:v>
      </x:c>
      <x:c r="F3841" s="4" t="str">
        <x:v>CUS-03840</x:v>
      </x:c>
      <x:c r="G3841" s="4" t="str">
        <x:v>UNIT-03840</x:v>
      </x:c>
      <x:c r="H3841" s="9" t="n">
        <x:v>4500000</x:v>
      </x:c>
      <x:c r="I3841" s="10" t="n">
        <x:v>0.1</x:v>
      </x:c>
      <x:c r="J3841" s="11" t="n">
        <x:v>11</x:v>
      </x:c>
      <x:c r="K3841" s="11" t="n">
        <x:v>2</x:v>
      </x:c>
      <x:c r="L3841" s="11" t="n">
        <x:v>0</x:v>
      </x:c>
      <x:c r="M3841" s="9" t="n">
        <x:f>ROUND(H3841*(1-I3841),2)</x:f>
        <x:v>4050000</x:v>
      </x:c>
      <x:c r="N3841" s="4" t="str">
        <x:v>Sales head</x:v>
      </x:c>
      <x:c r="O3841" s="4" t="str">
        <x:v>BOOK-03840</x:v>
      </x:c>
      <x:c r="P3841" s="9" t="n">
        <x:v>405000</x:v>
      </x:c>
      <x:c r="Q3841" s="11" t="n">
        <x:v>0</x:v>
      </x:c>
      <x:c r="R3841" s="8" t="n">
        <x:v>45568</x:v>
      </x:c>
      <x:c r="S3841" s="4" t="str">
        <x:v>Retained</x:v>
      </x:c>
      <x:c r="T3841" s="10" t="n">
        <x:v>0.351536</x:v>
      </x:c>
      <x:c r="U3841" s="4" t="str">
        <x:v>Test</x:v>
      </x:c>
    </x:row>
    <x:row r="3842" ht="34" customHeight="1">
      <x:c r="A3842" s="4" t="str">
        <x:v>RS-03841</x:v>
      </x:c>
      <x:c r="B3842" s="8" t="n">
        <x:v>45509</x:v>
      </x:c>
      <x:c r="C3842" s="4" t="str">
        <x:v>PRJ-001</x:v>
      </x:c>
      <x:c r="D3842" s="4" t="str">
        <x:v>Villa</x:v>
      </x:c>
      <x:c r="E3842" s="4" t="str">
        <x:v>Handed over</x:v>
      </x:c>
      <x:c r="F3842" s="4" t="str">
        <x:v>CUS-03841</x:v>
      </x:c>
      <x:c r="G3842" s="4" t="str">
        <x:v>UNIT-03841</x:v>
      </x:c>
      <x:c r="H3842" s="9" t="n">
        <x:v>6800000</x:v>
      </x:c>
      <x:c r="I3842" s="10" t="n">
        <x:v>0.07</x:v>
      </x:c>
      <x:c r="J3842" s="11" t="n">
        <x:v>5</x:v>
      </x:c>
      <x:c r="K3842" s="11" t="n">
        <x:v>1</x:v>
      </x:c>
      <x:c r="L3842" s="11" t="n">
        <x:v>1</x:v>
      </x:c>
      <x:c r="M3842" s="9" t="n">
        <x:f>ROUND(H3842*(1-I3842),2)</x:f>
        <x:v>6324000</x:v>
      </x:c>
      <x:c r="N3842" s="4" t="str">
        <x:v>Sales manager</x:v>
      </x:c>
      <x:c r="O3842" s="4" t="str">
        <x:v>BOOK-03841</x:v>
      </x:c>
      <x:c r="P3842" s="9" t="n">
        <x:v>6324000</x:v>
      </x:c>
      <x:c r="Q3842" s="11" t="n">
        <x:v>0</x:v>
      </x:c>
      <x:c r="R3842" s="8" t="n">
        <x:v>45569</x:v>
      </x:c>
      <x:c r="S3842" s="4" t="str">
        <x:v>Retained</x:v>
      </x:c>
      <x:c r="T3842" s="10" t="n">
        <x:v>0.291946</x:v>
      </x:c>
      <x:c r="U3842" s="4" t="str">
        <x:v>Test</x:v>
      </x:c>
    </x:row>
    <x:row r="3843" ht="34" customHeight="1">
      <x:c r="A3843" s="4" t="str">
        <x:v>RS-03842</x:v>
      </x:c>
      <x:c r="B3843" s="8" t="n">
        <x:v>45510</x:v>
      </x:c>
      <x:c r="C3843" s="4" t="str">
        <x:v>PRJ-002</x:v>
      </x:c>
      <x:c r="D3843" s="4" t="str">
        <x:v>Villa</x:v>
      </x:c>
      <x:c r="E3843" s="4" t="str">
        <x:v>Agreement signed</x:v>
      </x:c>
      <x:c r="F3843" s="4" t="str">
        <x:v>CUS-03842</x:v>
      </x:c>
      <x:c r="G3843" s="4" t="str">
        <x:v>UNIT-03842</x:v>
      </x:c>
      <x:c r="H3843" s="9" t="n">
        <x:v>4000000</x:v>
      </x:c>
      <x:c r="I3843" s="10" t="n">
        <x:v>0.1</x:v>
      </x:c>
      <x:c r="J3843" s="11" t="n">
        <x:v>12</x:v>
      </x:c>
      <x:c r="K3843" s="11" t="n">
        <x:v>7</x:v>
      </x:c>
      <x:c r="L3843" s="11" t="n">
        <x:v>1</x:v>
      </x:c>
      <x:c r="M3843" s="9" t="n">
        <x:f>ROUND(H3843*(1-I3843),2)</x:f>
        <x:v>3600000</x:v>
      </x:c>
      <x:c r="N3843" s="4" t="str">
        <x:v>Sales head</x:v>
      </x:c>
      <x:c r="O3843" s="4" t="str">
        <x:v>BOOK-03842</x:v>
      </x:c>
      <x:c r="P3843" s="9" t="n">
        <x:v>3600000</x:v>
      </x:c>
      <x:c r="Q3843" s="11" t="n">
        <x:v>0</x:v>
      </x:c>
      <x:c r="R3843" s="8" t="n">
        <x:v>45570</x:v>
      </x:c>
      <x:c r="S3843" s="4" t="str">
        <x:v>Retained</x:v>
      </x:c>
      <x:c r="T3843" s="10" t="n">
        <x:v>0.351536</x:v>
      </x:c>
      <x:c r="U3843" s="4" t="str">
        <x:v>Test</x:v>
      </x:c>
    </x:row>
    <x:row r="3844" ht="34" customHeight="1">
      <x:c r="A3844" s="4" t="str">
        <x:v>RS-03843</x:v>
      </x:c>
      <x:c r="B3844" s="8" t="n">
        <x:v>45511</x:v>
      </x:c>
      <x:c r="C3844" s="4" t="str">
        <x:v>PRJ-003</x:v>
      </x:c>
      <x:c r="D3844" s="4" t="str">
        <x:v>Villa</x:v>
      </x:c>
      <x:c r="E3844" s="4" t="str">
        <x:v>Enquiry</x:v>
      </x:c>
      <x:c r="F3844" s="4" t="str">
        <x:v>CUS-03843</x:v>
      </x:c>
      <x:c r="G3844" s="4" t="str">
        <x:v>UNIT-03843</x:v>
      </x:c>
      <x:c r="H3844" s="9" t="n">
        <x:v>10000000</x:v>
      </x:c>
      <x:c r="I3844" s="10" t="n">
        <x:v>0.02</x:v>
      </x:c>
      <x:c r="J3844" s="11" t="n">
        <x:v>6</x:v>
      </x:c>
      <x:c r="K3844" s="11" t="n">
        <x:v>7</x:v>
      </x:c>
      <x:c r="L3844" s="11" t="n">
        <x:v>0</x:v>
      </x:c>
      <x:c r="M3844" s="9" t="n">
        <x:f>ROUND(H3844*(1-I3844),2)</x:f>
        <x:v>9800000</x:v>
      </x:c>
      <x:c r="N3844" s="4" t="str">
        <x:v>Sales manager</x:v>
      </x:c>
      <x:c r="O3844" s="4"/>
      <x:c r="P3844" s="9" t="n">
        <x:v>0</x:v>
      </x:c>
      <x:c r="Q3844" s="11" t="n">
        <x:v>0</x:v>
      </x:c>
      <x:c r="R3844" s="8" t="n">
        <x:v>45571</x:v>
      </x:c>
      <x:c r="S3844" s="4" t="str">
        <x:v>Retained</x:v>
      </x:c>
      <x:c r="T3844" s="10" t="n">
        <x:v>0.145299</x:v>
      </x:c>
      <x:c r="U3844" s="4" t="str">
        <x:v>Test</x:v>
      </x:c>
    </x:row>
    <x:row r="3845" ht="34" customHeight="1">
      <x:c r="A3845" s="4" t="str">
        <x:v>RS-03844</x:v>
      </x:c>
      <x:c r="B3845" s="8" t="n">
        <x:v>45512</x:v>
      </x:c>
      <x:c r="C3845" s="4" t="str">
        <x:v>PRJ-004</x:v>
      </x:c>
      <x:c r="D3845" s="4" t="str">
        <x:v>Apartment</x:v>
      </x:c>
      <x:c r="E3845" s="4" t="str">
        <x:v>Enquiry</x:v>
      </x:c>
      <x:c r="F3845" s="4" t="str">
        <x:v>CUS-03844</x:v>
      </x:c>
      <x:c r="G3845" s="4" t="str">
        <x:v>UNIT-03844</x:v>
      </x:c>
      <x:c r="H3845" s="9" t="n">
        <x:v>16700000</x:v>
      </x:c>
      <x:c r="I3845" s="10" t="n">
        <x:v>0.07</x:v>
      </x:c>
      <x:c r="J3845" s="11" t="n">
        <x:v>11</x:v>
      </x:c>
      <x:c r="K3845" s="11" t="n">
        <x:v>2</x:v>
      </x:c>
      <x:c r="L3845" s="11" t="n">
        <x:v>0</x:v>
      </x:c>
      <x:c r="M3845" s="9" t="n">
        <x:f>ROUND(H3845*(1-I3845),2)</x:f>
        <x:v>15531000</x:v>
      </x:c>
      <x:c r="N3845" s="4" t="str">
        <x:v>Sales manager</x:v>
      </x:c>
      <x:c r="O3845" s="4"/>
      <x:c r="P3845" s="9" t="n">
        <x:v>0</x:v>
      </x:c>
      <x:c r="Q3845" s="11" t="n">
        <x:v>1</x:v>
      </x:c>
      <x:c r="R3845" s="8" t="n">
        <x:v>45572</x:v>
      </x:c>
      <x:c r="S3845" s="4" t="str">
        <x:v>Lost / cancelled</x:v>
      </x:c>
      <x:c r="T3845" s="10" t="n">
        <x:v>0.351536</x:v>
      </x:c>
      <x:c r="U3845" s="4" t="str">
        <x:v>Test</x:v>
      </x:c>
    </x:row>
    <x:row r="3846" ht="34" customHeight="1">
      <x:c r="A3846" s="4" t="str">
        <x:v>RS-03845</x:v>
      </x:c>
      <x:c r="B3846" s="8" t="n">
        <x:v>45513</x:v>
      </x:c>
      <x:c r="C3846" s="4" t="str">
        <x:v>PRJ-005</x:v>
      </x:c>
      <x:c r="D3846" s="4" t="str">
        <x:v>Villa</x:v>
      </x:c>
      <x:c r="E3846" s="4" t="str">
        <x:v>Cancelled</x:v>
      </x:c>
      <x:c r="F3846" s="4" t="str">
        <x:v>CUS-03845</x:v>
      </x:c>
      <x:c r="G3846" s="4" t="str">
        <x:v>UNIT-03845</x:v>
      </x:c>
      <x:c r="H3846" s="9" t="n">
        <x:v>23400000</x:v>
      </x:c>
      <x:c r="I3846" s="10" t="n">
        <x:v>0.04</x:v>
      </x:c>
      <x:c r="J3846" s="11" t="n">
        <x:v>11</x:v>
      </x:c>
      <x:c r="K3846" s="11" t="n">
        <x:v>2</x:v>
      </x:c>
      <x:c r="L3846" s="11" t="n">
        <x:v>0</x:v>
      </x:c>
      <x:c r="M3846" s="9" t="n">
        <x:f>ROUND(H3846*(1-I3846),2)</x:f>
        <x:v>22464000</x:v>
      </x:c>
      <x:c r="N3846" s="4" t="str">
        <x:v>Sales manager</x:v>
      </x:c>
      <x:c r="O3846" s="4"/>
      <x:c r="P3846" s="9" t="n">
        <x:v>0</x:v>
      </x:c>
      <x:c r="Q3846" s="11" t="n">
        <x:v>1</x:v>
      </x:c>
      <x:c r="R3846" s="8" t="n">
        <x:v>45573</x:v>
      </x:c>
      <x:c r="S3846" s="4" t="str">
        <x:v>Lost / cancelled</x:v>
      </x:c>
      <x:c r="T3846" s="10" t="n">
        <x:v>0.351536</x:v>
      </x:c>
      <x:c r="U3846" s="4" t="str">
        <x:v>Test</x:v>
      </x:c>
    </x:row>
    <x:row r="3847" ht="34" customHeight="1">
      <x:c r="A3847" s="4" t="str">
        <x:v>RS-03846</x:v>
      </x:c>
      <x:c r="B3847" s="8" t="n">
        <x:v>45514</x:v>
      </x:c>
      <x:c r="C3847" s="4" t="str">
        <x:v>PRJ-006</x:v>
      </x:c>
      <x:c r="D3847" s="4" t="str">
        <x:v>Office</x:v>
      </x:c>
      <x:c r="E3847" s="4" t="str">
        <x:v>Agreement signed</x:v>
      </x:c>
      <x:c r="F3847" s="4" t="str">
        <x:v>CUS-03846</x:v>
      </x:c>
      <x:c r="G3847" s="4" t="str">
        <x:v>UNIT-03846</x:v>
      </x:c>
      <x:c r="H3847" s="9" t="n">
        <x:v>5600000</x:v>
      </x:c>
      <x:c r="I3847" s="10" t="n">
        <x:v>0.11</x:v>
      </x:c>
      <x:c r="J3847" s="11" t="n">
        <x:v>12</x:v>
      </x:c>
      <x:c r="K3847" s="11" t="n">
        <x:v>9</x:v>
      </x:c>
      <x:c r="L3847" s="11" t="n">
        <x:v>1</x:v>
      </x:c>
      <x:c r="M3847" s="9" t="n">
        <x:f>ROUND(H3847*(1-I3847),2)</x:f>
        <x:v>4984000</x:v>
      </x:c>
      <x:c r="N3847" s="4" t="str">
        <x:v>Sales head</x:v>
      </x:c>
      <x:c r="O3847" s="4" t="str">
        <x:v>BOOK-03846</x:v>
      </x:c>
      <x:c r="P3847" s="9" t="n">
        <x:v>1246000</x:v>
      </x:c>
      <x:c r="Q3847" s="11" t="n">
        <x:v>0</x:v>
      </x:c>
      <x:c r="R3847" s="8" t="n">
        <x:v>45574</x:v>
      </x:c>
      <x:c r="S3847" s="4" t="str">
        <x:v>Retained</x:v>
      </x:c>
      <x:c r="T3847" s="10" t="n">
        <x:v>0.351536</x:v>
      </x:c>
      <x:c r="U3847" s="4" t="str">
        <x:v>Test</x:v>
      </x:c>
    </x:row>
    <x:row r="3848" ht="34" customHeight="1">
      <x:c r="A3848" s="4" t="str">
        <x:v>RS-03847</x:v>
      </x:c>
      <x:c r="B3848" s="8" t="n">
        <x:v>45515</x:v>
      </x:c>
      <x:c r="C3848" s="4" t="str">
        <x:v>PRJ-007</x:v>
      </x:c>
      <x:c r="D3848" s="4" t="str">
        <x:v>Office</x:v>
      </x:c>
      <x:c r="E3848" s="4" t="str">
        <x:v>Enquiry</x:v>
      </x:c>
      <x:c r="F3848" s="4" t="str">
        <x:v>CUS-03847</x:v>
      </x:c>
      <x:c r="G3848" s="4" t="str">
        <x:v>UNIT-03847</x:v>
      </x:c>
      <x:c r="H3848" s="9" t="n">
        <x:v>21600000</x:v>
      </x:c>
      <x:c r="I3848" s="10" t="n">
        <x:v>0.02</x:v>
      </x:c>
      <x:c r="J3848" s="11" t="n">
        <x:v>10</x:v>
      </x:c>
      <x:c r="K3848" s="11" t="n">
        <x:v>0</x:v>
      </x:c>
      <x:c r="L3848" s="11" t="n">
        <x:v>1</x:v>
      </x:c>
      <x:c r="M3848" s="9" t="n">
        <x:f>ROUND(H3848*(1-I3848),2)</x:f>
        <x:v>21168000</x:v>
      </x:c>
      <x:c r="N3848" s="4" t="str">
        <x:v>Sales manager</x:v>
      </x:c>
      <x:c r="O3848" s="4"/>
      <x:c r="P3848" s="9" t="n">
        <x:v>0</x:v>
      </x:c>
      <x:c r="Q3848" s="11" t="n">
        <x:v>1</x:v>
      </x:c>
      <x:c r="R3848" s="8" t="n">
        <x:v>45575</x:v>
      </x:c>
      <x:c r="S3848" s="4" t="str">
        <x:v>Lost / cancelled</x:v>
      </x:c>
      <x:c r="T3848" s="10" t="n">
        <x:v>0.254545</x:v>
      </x:c>
      <x:c r="U3848" s="4" t="str">
        <x:v>Test</x:v>
      </x:c>
    </x:row>
    <x:row r="3849" ht="34" customHeight="1">
      <x:c r="A3849" s="4" t="str">
        <x:v>RS-03848</x:v>
      </x:c>
      <x:c r="B3849" s="8" t="n">
        <x:v>45516</x:v>
      </x:c>
      <x:c r="C3849" s="4" t="str">
        <x:v>PRJ-008</x:v>
      </x:c>
      <x:c r="D3849" s="4" t="str">
        <x:v>Office</x:v>
      </x:c>
      <x:c r="E3849" s="4" t="str">
        <x:v>Booked</x:v>
      </x:c>
      <x:c r="F3849" s="4" t="str">
        <x:v>CUS-03848</x:v>
      </x:c>
      <x:c r="G3849" s="4" t="str">
        <x:v>UNIT-03848</x:v>
      </x:c>
      <x:c r="H3849" s="9" t="n">
        <x:v>8900000</x:v>
      </x:c>
      <x:c r="I3849" s="10" t="n">
        <x:v>0</x:v>
      </x:c>
      <x:c r="J3849" s="11" t="n">
        <x:v>8</x:v>
      </x:c>
      <x:c r="K3849" s="11" t="n">
        <x:v>3</x:v>
      </x:c>
      <x:c r="L3849" s="11" t="n">
        <x:v>0</x:v>
      </x:c>
      <x:c r="M3849" s="9" t="n">
        <x:f>ROUND(H3849*(1-I3849),2)</x:f>
        <x:v>8900000</x:v>
      </x:c>
      <x:c r="N3849" s="4" t="str">
        <x:v>Sales manager</x:v>
      </x:c>
      <x:c r="O3849" s="4" t="str">
        <x:v>BOOK-03848</x:v>
      </x:c>
      <x:c r="P3849" s="9" t="n">
        <x:v>8900000</x:v>
      </x:c>
      <x:c r="Q3849" s="11" t="n">
        <x:v>0</x:v>
      </x:c>
      <x:c r="R3849" s="8" t="n">
        <x:v>45576</x:v>
      </x:c>
      <x:c r="S3849" s="4" t="str">
        <x:v>Retained</x:v>
      </x:c>
      <x:c r="T3849" s="10" t="n">
        <x:v>0.305556</x:v>
      </x:c>
      <x:c r="U3849" s="4" t="str">
        <x:v>Test</x:v>
      </x:c>
    </x:row>
    <x:row r="3850" ht="34" customHeight="1">
      <x:c r="A3850" s="4" t="str">
        <x:v>RS-03849</x:v>
      </x:c>
      <x:c r="B3850" s="8" t="n">
        <x:v>45517</x:v>
      </x:c>
      <x:c r="C3850" s="4" t="str">
        <x:v>PRJ-009</x:v>
      </x:c>
      <x:c r="D3850" s="4" t="str">
        <x:v>Apartment</x:v>
      </x:c>
      <x:c r="E3850" s="4" t="str">
        <x:v>Handed over</x:v>
      </x:c>
      <x:c r="F3850" s="4" t="str">
        <x:v>CUS-03849</x:v>
      </x:c>
      <x:c r="G3850" s="4" t="str">
        <x:v>UNIT-03849</x:v>
      </x:c>
      <x:c r="H3850" s="9" t="n">
        <x:v>13400000</x:v>
      </x:c>
      <x:c r="I3850" s="10" t="n">
        <x:v>0.1</x:v>
      </x:c>
      <x:c r="J3850" s="11" t="n">
        <x:v>8</x:v>
      </x:c>
      <x:c r="K3850" s="11" t="n">
        <x:v>0</x:v>
      </x:c>
      <x:c r="L3850" s="11" t="n">
        <x:v>0</x:v>
      </x:c>
      <x:c r="M3850" s="9" t="n">
        <x:f>ROUND(H3850*(1-I3850),2)</x:f>
        <x:v>12060000</x:v>
      </x:c>
      <x:c r="N3850" s="4" t="str">
        <x:v>Sales head</x:v>
      </x:c>
      <x:c r="O3850" s="4" t="str">
        <x:v>BOOK-03849</x:v>
      </x:c>
      <x:c r="P3850" s="9" t="n">
        <x:v>6030000</x:v>
      </x:c>
      <x:c r="Q3850" s="11" t="n">
        <x:v>0</x:v>
      </x:c>
      <x:c r="R3850" s="8" t="n">
        <x:v>45577</x:v>
      </x:c>
      <x:c r="S3850" s="4" t="str">
        <x:v>Retained</x:v>
      </x:c>
      <x:c r="T3850" s="10" t="n">
        <x:v>0.310195</x:v>
      </x:c>
      <x:c r="U3850" s="4" t="str">
        <x:v>Test</x:v>
      </x:c>
    </x:row>
    <x:row r="3851" ht="34" customHeight="1">
      <x:c r="A3851" s="4" t="str">
        <x:v>RS-03850</x:v>
      </x:c>
      <x:c r="B3851" s="8" t="n">
        <x:v>45518</x:v>
      </x:c>
      <x:c r="C3851" s="4" t="str">
        <x:v>PRJ-010</x:v>
      </x:c>
      <x:c r="D3851" s="4" t="str">
        <x:v>Villa</x:v>
      </x:c>
      <x:c r="E3851" s="4" t="str">
        <x:v>Enquiry</x:v>
      </x:c>
      <x:c r="F3851" s="4" t="str">
        <x:v>CUS-03850</x:v>
      </x:c>
      <x:c r="G3851" s="4" t="str">
        <x:v>UNIT-03850</x:v>
      </x:c>
      <x:c r="H3851" s="9" t="n">
        <x:v>16800000</x:v>
      </x:c>
      <x:c r="I3851" s="10" t="n">
        <x:v>0.06</x:v>
      </x:c>
      <x:c r="J3851" s="11" t="n">
        <x:v>0</x:v>
      </x:c>
      <x:c r="K3851" s="11" t="n">
        <x:v>5</x:v>
      </x:c>
      <x:c r="L3851" s="11" t="n">
        <x:v>0</x:v>
      </x:c>
      <x:c r="M3851" s="9" t="n">
        <x:f>ROUND(H3851*(1-I3851),2)</x:f>
        <x:v>15792000</x:v>
      </x:c>
      <x:c r="N3851" s="4" t="str">
        <x:v>Sales manager</x:v>
      </x:c>
      <x:c r="O3851" s="4"/>
      <x:c r="P3851" s="9" t="n">
        <x:v>0</x:v>
      </x:c>
      <x:c r="Q3851" s="11" t="n">
        <x:v>0</x:v>
      </x:c>
      <x:c r="R3851" s="8" t="n">
        <x:v>45578</x:v>
      </x:c>
      <x:c r="S3851" s="4" t="str">
        <x:v>Retained</x:v>
      </x:c>
      <x:c r="T3851" s="10" t="n">
        <x:v>0.204152</x:v>
      </x:c>
      <x:c r="U3851" s="4" t="str">
        <x:v>Test</x:v>
      </x:c>
    </x:row>
    <x:row r="3852" ht="34" customHeight="1">
      <x:c r="A3852" s="4" t="str">
        <x:v>RS-03851</x:v>
      </x:c>
      <x:c r="B3852" s="8" t="n">
        <x:v>45519</x:v>
      </x:c>
      <x:c r="C3852" s="4" t="str">
        <x:v>PRJ-011</x:v>
      </x:c>
      <x:c r="D3852" s="4" t="str">
        <x:v>Retail</x:v>
      </x:c>
      <x:c r="E3852" s="4" t="str">
        <x:v>Booked</x:v>
      </x:c>
      <x:c r="F3852" s="4" t="str">
        <x:v>CUS-03851</x:v>
      </x:c>
      <x:c r="G3852" s="4" t="str">
        <x:v>UNIT-03851</x:v>
      </x:c>
      <x:c r="H3852" s="9" t="n">
        <x:v>19300000</x:v>
      </x:c>
      <x:c r="I3852" s="10" t="n">
        <x:v>0</x:v>
      </x:c>
      <x:c r="J3852" s="11" t="n">
        <x:v>12</x:v>
      </x:c>
      <x:c r="K3852" s="11" t="n">
        <x:v>2</x:v>
      </x:c>
      <x:c r="L3852" s="11" t="n">
        <x:v>1</x:v>
      </x:c>
      <x:c r="M3852" s="9" t="n">
        <x:f>ROUND(H3852*(1-I3852),2)</x:f>
        <x:v>19300000</x:v>
      </x:c>
      <x:c r="N3852" s="4" t="str">
        <x:v>Sales manager</x:v>
      </x:c>
      <x:c r="O3852" s="4" t="str">
        <x:v>BOOK-03851</x:v>
      </x:c>
      <x:c r="P3852" s="9" t="n">
        <x:v>19300000</x:v>
      </x:c>
      <x:c r="Q3852" s="11" t="n">
        <x:v>0</x:v>
      </x:c>
      <x:c r="R3852" s="8" t="n">
        <x:v>45579</x:v>
      </x:c>
      <x:c r="S3852" s="4" t="str">
        <x:v>Retained</x:v>
      </x:c>
      <x:c r="T3852" s="10" t="n">
        <x:v>0.254545</x:v>
      </x:c>
      <x:c r="U3852" s="4" t="str">
        <x:v>Test</x:v>
      </x:c>
    </x:row>
    <x:row r="3853" ht="34" customHeight="1">
      <x:c r="A3853" s="4" t="str">
        <x:v>RS-03852</x:v>
      </x:c>
      <x:c r="B3853" s="8" t="n">
        <x:v>45520</x:v>
      </x:c>
      <x:c r="C3853" s="4" t="str">
        <x:v>PRJ-012</x:v>
      </x:c>
      <x:c r="D3853" s="4" t="str">
        <x:v>Retail</x:v>
      </x:c>
      <x:c r="E3853" s="4" t="str">
        <x:v>Enquiry</x:v>
      </x:c>
      <x:c r="F3853" s="4" t="str">
        <x:v>CUS-03852</x:v>
      </x:c>
      <x:c r="G3853" s="4" t="str">
        <x:v>UNIT-03852</x:v>
      </x:c>
      <x:c r="H3853" s="9" t="n">
        <x:v>4900000</x:v>
      </x:c>
      <x:c r="I3853" s="10" t="n">
        <x:v>0.04</x:v>
      </x:c>
      <x:c r="J3853" s="11" t="n">
        <x:v>6</x:v>
      </x:c>
      <x:c r="K3853" s="11" t="n">
        <x:v>4</x:v>
      </x:c>
      <x:c r="L3853" s="11" t="n">
        <x:v>0</x:v>
      </x:c>
      <x:c r="M3853" s="9" t="n">
        <x:f>ROUND(H3853*(1-I3853),2)</x:f>
        <x:v>4704000</x:v>
      </x:c>
      <x:c r="N3853" s="4" t="str">
        <x:v>Sales manager</x:v>
      </x:c>
      <x:c r="O3853" s="4"/>
      <x:c r="P3853" s="9" t="n">
        <x:v>0</x:v>
      </x:c>
      <x:c r="Q3853" s="11" t="n">
        <x:v>0</x:v>
      </x:c>
      <x:c r="R3853" s="8" t="n">
        <x:v>45580</x:v>
      </x:c>
      <x:c r="S3853" s="4" t="str">
        <x:v>Retained</x:v>
      </x:c>
      <x:c r="T3853" s="10" t="n">
        <x:v>0.226277</x:v>
      </x:c>
      <x:c r="U3853" s="4" t="str">
        <x:v>Test</x:v>
      </x:c>
    </x:row>
    <x:row r="3854" ht="34" customHeight="1">
      <x:c r="A3854" s="4" t="str">
        <x:v>RS-03853</x:v>
      </x:c>
      <x:c r="B3854" s="8" t="n">
        <x:v>45521</x:v>
      </x:c>
      <x:c r="C3854" s="4" t="str">
        <x:v>PRJ-013</x:v>
      </x:c>
      <x:c r="D3854" s="4" t="str">
        <x:v>Retail</x:v>
      </x:c>
      <x:c r="E3854" s="4" t="str">
        <x:v>Agreement signed</x:v>
      </x:c>
      <x:c r="F3854" s="4" t="str">
        <x:v>CUS-03853</x:v>
      </x:c>
      <x:c r="G3854" s="4" t="str">
        <x:v>UNIT-03853</x:v>
      </x:c>
      <x:c r="H3854" s="9" t="n">
        <x:v>21300000</x:v>
      </x:c>
      <x:c r="I3854" s="10" t="n">
        <x:v>0.12</x:v>
      </x:c>
      <x:c r="J3854" s="11" t="n">
        <x:v>6</x:v>
      </x:c>
      <x:c r="K3854" s="11" t="n">
        <x:v>4</x:v>
      </x:c>
      <x:c r="L3854" s="11" t="n">
        <x:v>1</x:v>
      </x:c>
      <x:c r="M3854" s="9" t="n">
        <x:f>ROUND(H3854*(1-I3854),2)</x:f>
        <x:v>18744000</x:v>
      </x:c>
      <x:c r="N3854" s="4" t="str">
        <x:v>Sales head</x:v>
      </x:c>
      <x:c r="O3854" s="4" t="str">
        <x:v>BOOK-03853</x:v>
      </x:c>
      <x:c r="P3854" s="9" t="n">
        <x:v>18744000</x:v>
      </x:c>
      <x:c r="Q3854" s="11" t="n">
        <x:v>0</x:v>
      </x:c>
      <x:c r="R3854" s="8" t="n">
        <x:v>45581</x:v>
      </x:c>
      <x:c r="S3854" s="4" t="str">
        <x:v>Retained</x:v>
      </x:c>
      <x:c r="T3854" s="10" t="n">
        <x:v>0.291946</x:v>
      </x:c>
      <x:c r="U3854" s="4" t="str">
        <x:v>Test</x:v>
      </x:c>
    </x:row>
    <x:row r="3855" ht="34" customHeight="1">
      <x:c r="A3855" s="4" t="str">
        <x:v>RS-03854</x:v>
      </x:c>
      <x:c r="B3855" s="8" t="n">
        <x:v>45522</x:v>
      </x:c>
      <x:c r="C3855" s="4" t="str">
        <x:v>PRJ-014</x:v>
      </x:c>
      <x:c r="D3855" s="4" t="str">
        <x:v>Retail</x:v>
      </x:c>
      <x:c r="E3855" s="4" t="str">
        <x:v>Enquiry</x:v>
      </x:c>
      <x:c r="F3855" s="4" t="str">
        <x:v>CUS-03854</x:v>
      </x:c>
      <x:c r="G3855" s="4" t="str">
        <x:v>UNIT-03854</x:v>
      </x:c>
      <x:c r="H3855" s="9" t="n">
        <x:v>5100000</x:v>
      </x:c>
      <x:c r="I3855" s="10" t="n">
        <x:v>0.06</x:v>
      </x:c>
      <x:c r="J3855" s="11" t="n">
        <x:v>12</x:v>
      </x:c>
      <x:c r="K3855" s="11" t="n">
        <x:v>2</x:v>
      </x:c>
      <x:c r="L3855" s="11" t="n">
        <x:v>0</x:v>
      </x:c>
      <x:c r="M3855" s="9" t="n">
        <x:f>ROUND(H3855*(1-I3855),2)</x:f>
        <x:v>4794000</x:v>
      </x:c>
      <x:c r="N3855" s="4" t="str">
        <x:v>Sales manager</x:v>
      </x:c>
      <x:c r="O3855" s="4"/>
      <x:c r="P3855" s="9" t="n">
        <x:v>0</x:v>
      </x:c>
      <x:c r="Q3855" s="11" t="n">
        <x:v>0</x:v>
      </x:c>
      <x:c r="R3855" s="8" t="n">
        <x:v>45582</x:v>
      </x:c>
      <x:c r="S3855" s="4" t="str">
        <x:v>Retained</x:v>
      </x:c>
      <x:c r="T3855" s="10" t="n">
        <x:v>0.351536</x:v>
      </x:c>
      <x:c r="U3855" s="4" t="str">
        <x:v>Test</x:v>
      </x:c>
    </x:row>
    <x:row r="3856" ht="34" customHeight="1">
      <x:c r="A3856" s="4" t="str">
        <x:v>RS-03855</x:v>
      </x:c>
      <x:c r="B3856" s="8" t="n">
        <x:v>45523</x:v>
      </x:c>
      <x:c r="C3856" s="4" t="str">
        <x:v>PRJ-015</x:v>
      </x:c>
      <x:c r="D3856" s="4" t="str">
        <x:v>Villa</x:v>
      </x:c>
      <x:c r="E3856" s="4" t="str">
        <x:v>Enquiry</x:v>
      </x:c>
      <x:c r="F3856" s="4" t="str">
        <x:v>CUS-03855</x:v>
      </x:c>
      <x:c r="G3856" s="4" t="str">
        <x:v>UNIT-03855</x:v>
      </x:c>
      <x:c r="H3856" s="9" t="n">
        <x:v>10300000</x:v>
      </x:c>
      <x:c r="I3856" s="10" t="n">
        <x:v>0.12</x:v>
      </x:c>
      <x:c r="J3856" s="11" t="n">
        <x:v>6</x:v>
      </x:c>
      <x:c r="K3856" s="11" t="n">
        <x:v>3</x:v>
      </x:c>
      <x:c r="L3856" s="11" t="n">
        <x:v>0</x:v>
      </x:c>
      <x:c r="M3856" s="9" t="n">
        <x:f>ROUND(H3856*(1-I3856),2)</x:f>
        <x:v>9064000</x:v>
      </x:c>
      <x:c r="N3856" s="4" t="str">
        <x:v>Sales head</x:v>
      </x:c>
      <x:c r="O3856" s="4"/>
      <x:c r="P3856" s="9" t="n">
        <x:v>0</x:v>
      </x:c>
      <x:c r="Q3856" s="11" t="n">
        <x:v>0</x:v>
      </x:c>
      <x:c r="R3856" s="8" t="n">
        <x:v>45583</x:v>
      </x:c>
      <x:c r="S3856" s="4" t="str">
        <x:v>Retained</x:v>
      </x:c>
      <x:c r="T3856" s="10" t="n">
        <x:v>0.226277</x:v>
      </x:c>
      <x:c r="U3856" s="4" t="str">
        <x:v>Test</x:v>
      </x:c>
    </x:row>
    <x:row r="3857" ht="34" customHeight="1">
      <x:c r="A3857" s="4" t="str">
        <x:v>RS-03856</x:v>
      </x:c>
      <x:c r="B3857" s="8" t="n">
        <x:v>45524</x:v>
      </x:c>
      <x:c r="C3857" s="4" t="str">
        <x:v>PRJ-016</x:v>
      </x:c>
      <x:c r="D3857" s="4" t="str">
        <x:v>Apartment</x:v>
      </x:c>
      <x:c r="E3857" s="4" t="str">
        <x:v>Reserved</x:v>
      </x:c>
      <x:c r="F3857" s="4" t="str">
        <x:v>CUS-03856</x:v>
      </x:c>
      <x:c r="G3857" s="4" t="str">
        <x:v>UNIT-03856</x:v>
      </x:c>
      <x:c r="H3857" s="9" t="n">
        <x:v>3100000</x:v>
      </x:c>
      <x:c r="I3857" s="10" t="n">
        <x:v>0.04</x:v>
      </x:c>
      <x:c r="J3857" s="11" t="n">
        <x:v>7</x:v>
      </x:c>
      <x:c r="K3857" s="11" t="n">
        <x:v>4</x:v>
      </x:c>
      <x:c r="L3857" s="11" t="n">
        <x:v>1</x:v>
      </x:c>
      <x:c r="M3857" s="9" t="n">
        <x:f>ROUND(H3857*(1-I3857),2)</x:f>
        <x:v>2976000</x:v>
      </x:c>
      <x:c r="N3857" s="4" t="str">
        <x:v>Sales manager</x:v>
      </x:c>
      <x:c r="O3857" s="4"/>
      <x:c r="P3857" s="9" t="n">
        <x:v>0</x:v>
      </x:c>
      <x:c r="Q3857" s="11" t="n">
        <x:v>1</x:v>
      </x:c>
      <x:c r="R3857" s="8" t="n">
        <x:v>45584</x:v>
      </x:c>
      <x:c r="S3857" s="4" t="str">
        <x:v>Lost / cancelled</x:v>
      </x:c>
      <x:c r="T3857" s="10" t="n">
        <x:v>0.291946</x:v>
      </x:c>
      <x:c r="U3857" s="4" t="str">
        <x:v>Test</x:v>
      </x:c>
    </x:row>
    <x:row r="3858" ht="34" customHeight="1">
      <x:c r="A3858" s="4" t="str">
        <x:v>RS-03857</x:v>
      </x:c>
      <x:c r="B3858" s="8" t="n">
        <x:v>45525</x:v>
      </x:c>
      <x:c r="C3858" s="4" t="str">
        <x:v>PRJ-017</x:v>
      </x:c>
      <x:c r="D3858" s="4" t="str">
        <x:v>Villa</x:v>
      </x:c>
      <x:c r="E3858" s="4" t="str">
        <x:v>Booked</x:v>
      </x:c>
      <x:c r="F3858" s="4" t="str">
        <x:v>CUS-03857</x:v>
      </x:c>
      <x:c r="G3858" s="4" t="str">
        <x:v>UNIT-03857</x:v>
      </x:c>
      <x:c r="H3858" s="9" t="n">
        <x:v>22500000</x:v>
      </x:c>
      <x:c r="I3858" s="10" t="n">
        <x:v>0.12</x:v>
      </x:c>
      <x:c r="J3858" s="11" t="n">
        <x:v>8</x:v>
      </x:c>
      <x:c r="K3858" s="11" t="n">
        <x:v>8</x:v>
      </x:c>
      <x:c r="L3858" s="11" t="n">
        <x:v>1</x:v>
      </x:c>
      <x:c r="M3858" s="9" t="n">
        <x:f>ROUND(H3858*(1-I3858),2)</x:f>
        <x:v>19800000</x:v>
      </x:c>
      <x:c r="N3858" s="4" t="str">
        <x:v>Sales head</x:v>
      </x:c>
      <x:c r="O3858" s="4" t="str">
        <x:v>BOOK-03857</x:v>
      </x:c>
      <x:c r="P3858" s="9" t="n">
        <x:v>9900000</x:v>
      </x:c>
      <x:c r="Q3858" s="11" t="n">
        <x:v>0</x:v>
      </x:c>
      <x:c r="R3858" s="8" t="n">
        <x:v>45585</x:v>
      </x:c>
      <x:c r="S3858" s="4" t="str">
        <x:v>Retained</x:v>
      </x:c>
      <x:c r="T3858" s="10" t="n">
        <x:v>0.310195</x:v>
      </x:c>
      <x:c r="U3858" s="4" t="str">
        <x:v>Test</x:v>
      </x:c>
    </x:row>
    <x:row r="3859" ht="34" customHeight="1">
      <x:c r="A3859" s="4" t="str">
        <x:v>RS-03858</x:v>
      </x:c>
      <x:c r="B3859" s="8" t="n">
        <x:v>45526</x:v>
      </x:c>
      <x:c r="C3859" s="4" t="str">
        <x:v>PRJ-018</x:v>
      </x:c>
      <x:c r="D3859" s="4" t="str">
        <x:v>Retail</x:v>
      </x:c>
      <x:c r="E3859" s="4" t="str">
        <x:v>Booked</x:v>
      </x:c>
      <x:c r="F3859" s="4" t="str">
        <x:v>CUS-03858</x:v>
      </x:c>
      <x:c r="G3859" s="4" t="str">
        <x:v>UNIT-03858</x:v>
      </x:c>
      <x:c r="H3859" s="9" t="n">
        <x:v>6300000</x:v>
      </x:c>
      <x:c r="I3859" s="10" t="n">
        <x:v>0.1</x:v>
      </x:c>
      <x:c r="J3859" s="11" t="n">
        <x:v>11</x:v>
      </x:c>
      <x:c r="K3859" s="11" t="n">
        <x:v>9</x:v>
      </x:c>
      <x:c r="L3859" s="11" t="n">
        <x:v>1</x:v>
      </x:c>
      <x:c r="M3859" s="9" t="n">
        <x:f>ROUND(H3859*(1-I3859),2)</x:f>
        <x:v>5670000</x:v>
      </x:c>
      <x:c r="N3859" s="4" t="str">
        <x:v>Sales head</x:v>
      </x:c>
      <x:c r="O3859" s="4" t="str">
        <x:v>BOOK-03858</x:v>
      </x:c>
      <x:c r="P3859" s="9" t="n">
        <x:v>5670000</x:v>
      </x:c>
      <x:c r="Q3859" s="11" t="n">
        <x:v>0</x:v>
      </x:c>
      <x:c r="R3859" s="8" t="n">
        <x:v>45586</x:v>
      </x:c>
      <x:c r="S3859" s="4" t="str">
        <x:v>Retained</x:v>
      </x:c>
      <x:c r="T3859" s="10" t="n">
        <x:v>0.351536</x:v>
      </x:c>
      <x:c r="U3859" s="4" t="str">
        <x:v>Test</x:v>
      </x:c>
    </x:row>
    <x:row r="3860" ht="34" customHeight="1">
      <x:c r="A3860" s="4" t="str">
        <x:v>RS-03859</x:v>
      </x:c>
      <x:c r="B3860" s="8" t="n">
        <x:v>45527</x:v>
      </x:c>
      <x:c r="C3860" s="4" t="str">
        <x:v>PRJ-019</x:v>
      </x:c>
      <x:c r="D3860" s="4" t="str">
        <x:v>Retail</x:v>
      </x:c>
      <x:c r="E3860" s="4" t="str">
        <x:v>Reserved</x:v>
      </x:c>
      <x:c r="F3860" s="4" t="str">
        <x:v>CUS-03859</x:v>
      </x:c>
      <x:c r="G3860" s="4" t="str">
        <x:v>UNIT-03859</x:v>
      </x:c>
      <x:c r="H3860" s="9" t="n">
        <x:v>19200000</x:v>
      </x:c>
      <x:c r="I3860" s="10" t="n">
        <x:v>0.04</x:v>
      </x:c>
      <x:c r="J3860" s="11" t="n">
        <x:v>10</x:v>
      </x:c>
      <x:c r="K3860" s="11" t="n">
        <x:v>3</x:v>
      </x:c>
      <x:c r="L3860" s="11" t="n">
        <x:v>1</x:v>
      </x:c>
      <x:c r="M3860" s="9" t="n">
        <x:f>ROUND(H3860*(1-I3860),2)</x:f>
        <x:v>18432000</x:v>
      </x:c>
      <x:c r="N3860" s="4" t="str">
        <x:v>Sales manager</x:v>
      </x:c>
      <x:c r="O3860" s="4"/>
      <x:c r="P3860" s="9" t="n">
        <x:v>0</x:v>
      </x:c>
      <x:c r="Q3860" s="11" t="n">
        <x:v>1</x:v>
      </x:c>
      <x:c r="R3860" s="8" t="n">
        <x:v>45587</x:v>
      </x:c>
      <x:c r="S3860" s="4" t="str">
        <x:v>Lost / cancelled</x:v>
      </x:c>
      <x:c r="T3860" s="10" t="n">
        <x:v>0.310195</x:v>
      </x:c>
      <x:c r="U3860" s="4" t="str">
        <x:v>Test</x:v>
      </x:c>
    </x:row>
    <x:row r="3861" ht="34" customHeight="1">
      <x:c r="A3861" s="4" t="str">
        <x:v>RS-03860</x:v>
      </x:c>
      <x:c r="B3861" s="8" t="n">
        <x:v>45528</x:v>
      </x:c>
      <x:c r="C3861" s="4" t="str">
        <x:v>PRJ-020</x:v>
      </x:c>
      <x:c r="D3861" s="4" t="str">
        <x:v>Retail</x:v>
      </x:c>
      <x:c r="E3861" s="4" t="str">
        <x:v>Handed over</x:v>
      </x:c>
      <x:c r="F3861" s="4" t="str">
        <x:v>CUS-03860</x:v>
      </x:c>
      <x:c r="G3861" s="4" t="str">
        <x:v>UNIT-03860</x:v>
      </x:c>
      <x:c r="H3861" s="9" t="n">
        <x:v>14100000</x:v>
      </x:c>
      <x:c r="I3861" s="10" t="n">
        <x:v>0.1</x:v>
      </x:c>
      <x:c r="J3861" s="11" t="n">
        <x:v>4</x:v>
      </x:c>
      <x:c r="K3861" s="11" t="n">
        <x:v>10</x:v>
      </x:c>
      <x:c r="L3861" s="11" t="n">
        <x:v>1</x:v>
      </x:c>
      <x:c r="M3861" s="9" t="n">
        <x:f>ROUND(H3861*(1-I3861),2)</x:f>
        <x:v>12690000</x:v>
      </x:c>
      <x:c r="N3861" s="4" t="str">
        <x:v>Sales head</x:v>
      </x:c>
      <x:c r="O3861" s="4" t="str">
        <x:v>BOOK-03860</x:v>
      </x:c>
      <x:c r="P3861" s="9" t="n">
        <x:v>12690000</x:v>
      </x:c>
      <x:c r="Q3861" s="11" t="n">
        <x:v>0</x:v>
      </x:c>
      <x:c r="R3861" s="8" t="n">
        <x:v>45588</x:v>
      </x:c>
      <x:c r="S3861" s="4" t="str">
        <x:v>Retained</x:v>
      </x:c>
      <x:c r="T3861" s="10" t="n">
        <x:v>0.291946</x:v>
      </x:c>
      <x:c r="U3861" s="4" t="str">
        <x:v>Test</x:v>
      </x:c>
    </x:row>
    <x:row r="3862" ht="34" customHeight="1">
      <x:c r="A3862" s="4" t="str">
        <x:v>RS-03861</x:v>
      </x:c>
      <x:c r="B3862" s="8" t="n">
        <x:v>45529</x:v>
      </x:c>
      <x:c r="C3862" s="4" t="str">
        <x:v>PRJ-001</x:v>
      </x:c>
      <x:c r="D3862" s="4" t="str">
        <x:v>Office</x:v>
      </x:c>
      <x:c r="E3862" s="4" t="str">
        <x:v>Cancelled</x:v>
      </x:c>
      <x:c r="F3862" s="4" t="str">
        <x:v>CUS-03861</x:v>
      </x:c>
      <x:c r="G3862" s="4" t="str">
        <x:v>UNIT-03861</x:v>
      </x:c>
      <x:c r="H3862" s="9" t="n">
        <x:v>13300000</x:v>
      </x:c>
      <x:c r="I3862" s="10" t="n">
        <x:v>0.07</x:v>
      </x:c>
      <x:c r="J3862" s="11" t="n">
        <x:v>10</x:v>
      </x:c>
      <x:c r="K3862" s="11" t="n">
        <x:v>9</x:v>
      </x:c>
      <x:c r="L3862" s="11" t="n">
        <x:v>1</x:v>
      </x:c>
      <x:c r="M3862" s="9" t="n">
        <x:f>ROUND(H3862*(1-I3862),2)</x:f>
        <x:v>12369000</x:v>
      </x:c>
      <x:c r="N3862" s="4" t="str">
        <x:v>Sales manager</x:v>
      </x:c>
      <x:c r="O3862" s="4"/>
      <x:c r="P3862" s="9" t="n">
        <x:v>0</x:v>
      </x:c>
      <x:c r="Q3862" s="11" t="n">
        <x:v>1</x:v>
      </x:c>
      <x:c r="R3862" s="8" t="n">
        <x:v>45589</x:v>
      </x:c>
      <x:c r="S3862" s="4" t="str">
        <x:v>Lost / cancelled</x:v>
      </x:c>
      <x:c r="T3862" s="10" t="n">
        <x:v>0.310195</x:v>
      </x:c>
      <x:c r="U3862" s="4" t="str">
        <x:v>Test</x:v>
      </x:c>
    </x:row>
    <x:row r="3863" ht="34" customHeight="1">
      <x:c r="A3863" s="4" t="str">
        <x:v>RS-03862</x:v>
      </x:c>
      <x:c r="B3863" s="8" t="n">
        <x:v>45530</x:v>
      </x:c>
      <x:c r="C3863" s="4" t="str">
        <x:v>PRJ-002</x:v>
      </x:c>
      <x:c r="D3863" s="4" t="str">
        <x:v>Apartment</x:v>
      </x:c>
      <x:c r="E3863" s="4" t="str">
        <x:v>Booked</x:v>
      </x:c>
      <x:c r="F3863" s="4" t="str">
        <x:v>CUS-03862</x:v>
      </x:c>
      <x:c r="G3863" s="4" t="str">
        <x:v>UNIT-03862</x:v>
      </x:c>
      <x:c r="H3863" s="9" t="n">
        <x:v>13800000</x:v>
      </x:c>
      <x:c r="I3863" s="10" t="n">
        <x:v>0.02</x:v>
      </x:c>
      <x:c r="J3863" s="11" t="n">
        <x:v>10</x:v>
      </x:c>
      <x:c r="K3863" s="11" t="n">
        <x:v>2</x:v>
      </x:c>
      <x:c r="L3863" s="11" t="n">
        <x:v>0</x:v>
      </x:c>
      <x:c r="M3863" s="9" t="n">
        <x:f>ROUND(H3863*(1-I3863),2)</x:f>
        <x:v>13524000</x:v>
      </x:c>
      <x:c r="N3863" s="4" t="str">
        <x:v>Sales manager</x:v>
      </x:c>
      <x:c r="O3863" s="4" t="str">
        <x:v>BOOK-03862</x:v>
      </x:c>
      <x:c r="P3863" s="9" t="n">
        <x:v>1352400</x:v>
      </x:c>
      <x:c r="Q3863" s="11" t="n">
        <x:v>0</x:v>
      </x:c>
      <x:c r="R3863" s="8" t="n">
        <x:v>45590</x:v>
      </x:c>
      <x:c r="S3863" s="4" t="str">
        <x:v>Retained</x:v>
      </x:c>
      <x:c r="T3863" s="10" t="n">
        <x:v>0.305556</x:v>
      </x:c>
      <x:c r="U3863" s="4" t="str">
        <x:v>Test</x:v>
      </x:c>
    </x:row>
    <x:row r="3864" ht="34" customHeight="1">
      <x:c r="A3864" s="4" t="str">
        <x:v>RS-03863</x:v>
      </x:c>
      <x:c r="B3864" s="8" t="n">
        <x:v>45531</x:v>
      </x:c>
      <x:c r="C3864" s="4" t="str">
        <x:v>PRJ-003</x:v>
      </x:c>
      <x:c r="D3864" s="4" t="str">
        <x:v>Apartment</x:v>
      </x:c>
      <x:c r="E3864" s="4" t="str">
        <x:v>Enquiry</x:v>
      </x:c>
      <x:c r="F3864" s="4" t="str">
        <x:v>CUS-03863</x:v>
      </x:c>
      <x:c r="G3864" s="4" t="str">
        <x:v>UNIT-03863</x:v>
      </x:c>
      <x:c r="H3864" s="9" t="n">
        <x:v>20200000</x:v>
      </x:c>
      <x:c r="I3864" s="10" t="n">
        <x:v>0</x:v>
      </x:c>
      <x:c r="J3864" s="11" t="n">
        <x:v>11</x:v>
      </x:c>
      <x:c r="K3864" s="11" t="n">
        <x:v>5</x:v>
      </x:c>
      <x:c r="L3864" s="11" t="n">
        <x:v>1</x:v>
      </x:c>
      <x:c r="M3864" s="9" t="n">
        <x:f>ROUND(H3864*(1-I3864),2)</x:f>
        <x:v>20200000</x:v>
      </x:c>
      <x:c r="N3864" s="4" t="str">
        <x:v>Sales manager</x:v>
      </x:c>
      <x:c r="O3864" s="4"/>
      <x:c r="P3864" s="9" t="n">
        <x:v>0</x:v>
      </x:c>
      <x:c r="Q3864" s="11" t="n">
        <x:v>1</x:v>
      </x:c>
      <x:c r="R3864" s="8" t="n">
        <x:v>45591</x:v>
      </x:c>
      <x:c r="S3864" s="4" t="str">
        <x:v>Lost / cancelled</x:v>
      </x:c>
      <x:c r="T3864" s="10" t="n">
        <x:v>0.254545</x:v>
      </x:c>
      <x:c r="U3864" s="4" t="str">
        <x:v>Test</x:v>
      </x:c>
    </x:row>
    <x:row r="3865" ht="34" customHeight="1">
      <x:c r="A3865" s="4" t="str">
        <x:v>RS-03864</x:v>
      </x:c>
      <x:c r="B3865" s="8" t="n">
        <x:v>45532</x:v>
      </x:c>
      <x:c r="C3865" s="4" t="str">
        <x:v>PRJ-004</x:v>
      </x:c>
      <x:c r="D3865" s="4" t="str">
        <x:v>Villa</x:v>
      </x:c>
      <x:c r="E3865" s="4" t="str">
        <x:v>Reserved</x:v>
      </x:c>
      <x:c r="F3865" s="4" t="str">
        <x:v>CUS-03864</x:v>
      </x:c>
      <x:c r="G3865" s="4" t="str">
        <x:v>UNIT-03864</x:v>
      </x:c>
      <x:c r="H3865" s="9" t="n">
        <x:v>23300000</x:v>
      </x:c>
      <x:c r="I3865" s="10" t="n">
        <x:v>0.03</x:v>
      </x:c>
      <x:c r="J3865" s="11" t="n">
        <x:v>10</x:v>
      </x:c>
      <x:c r="K3865" s="11" t="n">
        <x:v>7</x:v>
      </x:c>
      <x:c r="L3865" s="11" t="n">
        <x:v>0</x:v>
      </x:c>
      <x:c r="M3865" s="9" t="n">
        <x:f>ROUND(H3865*(1-I3865),2)</x:f>
        <x:v>22601000</x:v>
      </x:c>
      <x:c r="N3865" s="4" t="str">
        <x:v>Sales manager</x:v>
      </x:c>
      <x:c r="O3865" s="4"/>
      <x:c r="P3865" s="9" t="n">
        <x:v>0</x:v>
      </x:c>
      <x:c r="Q3865" s="11" t="n">
        <x:v>1</x:v>
      </x:c>
      <x:c r="R3865" s="8" t="n">
        <x:v>45592</x:v>
      </x:c>
      <x:c r="S3865" s="4" t="str">
        <x:v>Lost / cancelled</x:v>
      </x:c>
      <x:c r="T3865" s="10" t="n">
        <x:v>0.310195</x:v>
      </x:c>
      <x:c r="U3865" s="4" t="str">
        <x:v>Test</x:v>
      </x:c>
    </x:row>
    <x:row r="3866" ht="34" customHeight="1">
      <x:c r="A3866" s="4" t="str">
        <x:v>RS-03865</x:v>
      </x:c>
      <x:c r="B3866" s="8" t="n">
        <x:v>45505</x:v>
      </x:c>
      <x:c r="C3866" s="4" t="str">
        <x:v>PRJ-005</x:v>
      </x:c>
      <x:c r="D3866" s="4" t="str">
        <x:v>Apartment</x:v>
      </x:c>
      <x:c r="E3866" s="4" t="str">
        <x:v>Cancelled</x:v>
      </x:c>
      <x:c r="F3866" s="4" t="str">
        <x:v>CUS-03865</x:v>
      </x:c>
      <x:c r="G3866" s="4" t="str">
        <x:v>UNIT-03865</x:v>
      </x:c>
      <x:c r="H3866" s="9" t="n">
        <x:v>20700000</x:v>
      </x:c>
      <x:c r="I3866" s="10" t="n">
        <x:v>0.09</x:v>
      </x:c>
      <x:c r="J3866" s="11" t="n">
        <x:v>5</x:v>
      </x:c>
      <x:c r="K3866" s="11" t="n">
        <x:v>8</x:v>
      </x:c>
      <x:c r="L3866" s="11" t="n">
        <x:v>1</x:v>
      </x:c>
      <x:c r="M3866" s="9" t="n">
        <x:f>ROUND(H3866*(1-I3866),2)</x:f>
        <x:v>18837000</x:v>
      </x:c>
      <x:c r="N3866" s="4" t="str">
        <x:v>Sales head</x:v>
      </x:c>
      <x:c r="O3866" s="4"/>
      <x:c r="P3866" s="9" t="n">
        <x:v>0</x:v>
      </x:c>
      <x:c r="Q3866" s="11" t="n">
        <x:v>1</x:v>
      </x:c>
      <x:c r="R3866" s="8" t="n">
        <x:v>45565</x:v>
      </x:c>
      <x:c r="S3866" s="4" t="str">
        <x:v>Lost / cancelled</x:v>
      </x:c>
      <x:c r="T3866" s="10" t="n">
        <x:v>0.291946</x:v>
      </x:c>
      <x:c r="U3866" s="4" t="str">
        <x:v>Test</x:v>
      </x:c>
    </x:row>
    <x:row r="3867" ht="34" customHeight="1">
      <x:c r="A3867" s="4" t="str">
        <x:v>RS-03866</x:v>
      </x:c>
      <x:c r="B3867" s="8" t="n">
        <x:v>45506</x:v>
      </x:c>
      <x:c r="C3867" s="4" t="str">
        <x:v>PRJ-006</x:v>
      </x:c>
      <x:c r="D3867" s="4" t="str">
        <x:v>Office</x:v>
      </x:c>
      <x:c r="E3867" s="4" t="str">
        <x:v>Agreement signed</x:v>
      </x:c>
      <x:c r="F3867" s="4" t="str">
        <x:v>CUS-03866</x:v>
      </x:c>
      <x:c r="G3867" s="4" t="str">
        <x:v>UNIT-03866</x:v>
      </x:c>
      <x:c r="H3867" s="9" t="n">
        <x:v>19100000</x:v>
      </x:c>
      <x:c r="I3867" s="10" t="n">
        <x:v>0</x:v>
      </x:c>
      <x:c r="J3867" s="11" t="n">
        <x:v>1</x:v>
      </x:c>
      <x:c r="K3867" s="11" t="n">
        <x:v>10</x:v>
      </x:c>
      <x:c r="L3867" s="11" t="n">
        <x:v>0</x:v>
      </x:c>
      <x:c r="M3867" s="9" t="n">
        <x:f>ROUND(H3867*(1-I3867),2)</x:f>
        <x:v>19100000</x:v>
      </x:c>
      <x:c r="N3867" s="4" t="str">
        <x:v>Sales manager</x:v>
      </x:c>
      <x:c r="O3867" s="4" t="str">
        <x:v>BOOK-03866</x:v>
      </x:c>
      <x:c r="P3867" s="9" t="n">
        <x:v>4775000</x:v>
      </x:c>
      <x:c r="Q3867" s="11" t="n">
        <x:v>0</x:v>
      </x:c>
      <x:c r="R3867" s="8" t="n">
        <x:v>45566</x:v>
      </x:c>
      <x:c r="S3867" s="4" t="str">
        <x:v>Retained</x:v>
      </x:c>
      <x:c r="T3867" s="10" t="n">
        <x:v>0.072165</x:v>
      </x:c>
      <x:c r="U3867" s="4" t="str">
        <x:v>Test</x:v>
      </x:c>
    </x:row>
    <x:row r="3868" ht="34" customHeight="1">
      <x:c r="A3868" s="4" t="str">
        <x:v>RS-03867</x:v>
      </x:c>
      <x:c r="B3868" s="8" t="n">
        <x:v>45507</x:v>
      </x:c>
      <x:c r="C3868" s="4" t="str">
        <x:v>PRJ-007</x:v>
      </x:c>
      <x:c r="D3868" s="4" t="str">
        <x:v>Apartment</x:v>
      </x:c>
      <x:c r="E3868" s="4" t="str">
        <x:v>Handed over</x:v>
      </x:c>
      <x:c r="F3868" s="4" t="str">
        <x:v>CUS-03867</x:v>
      </x:c>
      <x:c r="G3868" s="4" t="str">
        <x:v>UNIT-03867</x:v>
      </x:c>
      <x:c r="H3868" s="9" t="n">
        <x:v>14000000</x:v>
      </x:c>
      <x:c r="I3868" s="10" t="n">
        <x:v>0.08</x:v>
      </x:c>
      <x:c r="J3868" s="11" t="n">
        <x:v>10</x:v>
      </x:c>
      <x:c r="K3868" s="11" t="n">
        <x:v>4</x:v>
      </x:c>
      <x:c r="L3868" s="11" t="n">
        <x:v>1</x:v>
      </x:c>
      <x:c r="M3868" s="9" t="n">
        <x:f>ROUND(H3868*(1-I3868),2)</x:f>
        <x:v>12880000</x:v>
      </x:c>
      <x:c r="N3868" s="4" t="str">
        <x:v>Sales head</x:v>
      </x:c>
      <x:c r="O3868" s="4" t="str">
        <x:v>BOOK-03867</x:v>
      </x:c>
      <x:c r="P3868" s="9" t="n">
        <x:v>6440000</x:v>
      </x:c>
      <x:c r="Q3868" s="11" t="n">
        <x:v>0</x:v>
      </x:c>
      <x:c r="R3868" s="8" t="n">
        <x:v>45567</x:v>
      </x:c>
      <x:c r="S3868" s="4" t="str">
        <x:v>Retained</x:v>
      </x:c>
      <x:c r="T3868" s="10" t="n">
        <x:v>0.310195</x:v>
      </x:c>
      <x:c r="U3868" s="4" t="str">
        <x:v>Test</x:v>
      </x:c>
    </x:row>
    <x:row r="3869" ht="34" customHeight="1">
      <x:c r="A3869" s="4" t="str">
        <x:v>RS-03868</x:v>
      </x:c>
      <x:c r="B3869" s="8" t="n">
        <x:v>45508</x:v>
      </x:c>
      <x:c r="C3869" s="4" t="str">
        <x:v>PRJ-008</x:v>
      </x:c>
      <x:c r="D3869" s="4" t="str">
        <x:v>Office</x:v>
      </x:c>
      <x:c r="E3869" s="4" t="str">
        <x:v>Reserved</x:v>
      </x:c>
      <x:c r="F3869" s="4" t="str">
        <x:v>CUS-03868</x:v>
      </x:c>
      <x:c r="G3869" s="4" t="str">
        <x:v>UNIT-03868</x:v>
      </x:c>
      <x:c r="H3869" s="9" t="n">
        <x:v>16900000</x:v>
      </x:c>
      <x:c r="I3869" s="10" t="n">
        <x:v>0.1</x:v>
      </x:c>
      <x:c r="J3869" s="11" t="n">
        <x:v>10</x:v>
      </x:c>
      <x:c r="K3869" s="11" t="n">
        <x:v>9</x:v>
      </x:c>
      <x:c r="L3869" s="11" t="n">
        <x:v>1</x:v>
      </x:c>
      <x:c r="M3869" s="9" t="n">
        <x:f>ROUND(H3869*(1-I3869),2)</x:f>
        <x:v>15210000</x:v>
      </x:c>
      <x:c r="N3869" s="4" t="str">
        <x:v>Sales head</x:v>
      </x:c>
      <x:c r="O3869" s="4"/>
      <x:c r="P3869" s="9" t="n">
        <x:v>0</x:v>
      </x:c>
      <x:c r="Q3869" s="11" t="n">
        <x:v>0</x:v>
      </x:c>
      <x:c r="R3869" s="8" t="n">
        <x:v>45568</x:v>
      </x:c>
      <x:c r="S3869" s="4" t="str">
        <x:v>Retained</x:v>
      </x:c>
      <x:c r="T3869" s="10" t="n">
        <x:v>0.310195</x:v>
      </x:c>
      <x:c r="U3869" s="4" t="str">
        <x:v>Test</x:v>
      </x:c>
    </x:row>
    <x:row r="3870" ht="34" customHeight="1">
      <x:c r="A3870" s="4" t="str">
        <x:v>RS-03869</x:v>
      </x:c>
      <x:c r="B3870" s="8" t="n">
        <x:v>45509</x:v>
      </x:c>
      <x:c r="C3870" s="4" t="str">
        <x:v>PRJ-009</x:v>
      </x:c>
      <x:c r="D3870" s="4" t="str">
        <x:v>Villa</x:v>
      </x:c>
      <x:c r="E3870" s="4" t="str">
        <x:v>Booked</x:v>
      </x:c>
      <x:c r="F3870" s="4" t="str">
        <x:v>CUS-03869</x:v>
      </x:c>
      <x:c r="G3870" s="4" t="str">
        <x:v>UNIT-03869</x:v>
      </x:c>
      <x:c r="H3870" s="9" t="n">
        <x:v>9300000</x:v>
      </x:c>
      <x:c r="I3870" s="10" t="n">
        <x:v>0.06</x:v>
      </x:c>
      <x:c r="J3870" s="11" t="n">
        <x:v>9</x:v>
      </x:c>
      <x:c r="K3870" s="11" t="n">
        <x:v>10</x:v>
      </x:c>
      <x:c r="L3870" s="11" t="n">
        <x:v>0</x:v>
      </x:c>
      <x:c r="M3870" s="9" t="n">
        <x:f>ROUND(H3870*(1-I3870),2)</x:f>
        <x:v>8742000</x:v>
      </x:c>
      <x:c r="N3870" s="4" t="str">
        <x:v>Sales manager</x:v>
      </x:c>
      <x:c r="O3870" s="4" t="str">
        <x:v>BOOK-03869</x:v>
      </x:c>
      <x:c r="P3870" s="9" t="n">
        <x:v>8742000</x:v>
      </x:c>
      <x:c r="Q3870" s="11" t="n">
        <x:v>0</x:v>
      </x:c>
      <x:c r="R3870" s="8" t="n">
        <x:v>45569</x:v>
      </x:c>
      <x:c r="S3870" s="4" t="str">
        <x:v>Retained</x:v>
      </x:c>
      <x:c r="T3870" s="10" t="n">
        <x:v>0.310195</x:v>
      </x:c>
      <x:c r="U3870" s="4" t="str">
        <x:v>Test</x:v>
      </x:c>
    </x:row>
    <x:row r="3871" ht="34" customHeight="1">
      <x:c r="A3871" s="4" t="str">
        <x:v>RS-03870</x:v>
      </x:c>
      <x:c r="B3871" s="8" t="n">
        <x:v>45510</x:v>
      </x:c>
      <x:c r="C3871" s="4" t="str">
        <x:v>PRJ-010</x:v>
      </x:c>
      <x:c r="D3871" s="4" t="str">
        <x:v>Retail</x:v>
      </x:c>
      <x:c r="E3871" s="4" t="str">
        <x:v>Enquiry</x:v>
      </x:c>
      <x:c r="F3871" s="4" t="str">
        <x:v>CUS-03870</x:v>
      </x:c>
      <x:c r="G3871" s="4" t="str">
        <x:v>UNIT-03870</x:v>
      </x:c>
      <x:c r="H3871" s="9" t="n">
        <x:v>13500000</x:v>
      </x:c>
      <x:c r="I3871" s="10" t="n">
        <x:v>0.02</x:v>
      </x:c>
      <x:c r="J3871" s="11" t="n">
        <x:v>5</x:v>
      </x:c>
      <x:c r="K3871" s="11" t="n">
        <x:v>1</x:v>
      </x:c>
      <x:c r="L3871" s="11" t="n">
        <x:v>1</x:v>
      </x:c>
      <x:c r="M3871" s="9" t="n">
        <x:f>ROUND(H3871*(1-I3871),2)</x:f>
        <x:v>13230000</x:v>
      </x:c>
      <x:c r="N3871" s="4" t="str">
        <x:v>Sales manager</x:v>
      </x:c>
      <x:c r="O3871" s="4"/>
      <x:c r="P3871" s="9" t="n">
        <x:v>0</x:v>
      </x:c>
      <x:c r="Q3871" s="11" t="n">
        <x:v>0</x:v>
      </x:c>
      <x:c r="R3871" s="8" t="n">
        <x:v>45570</x:v>
      </x:c>
      <x:c r="S3871" s="4" t="str">
        <x:v>Retained</x:v>
      </x:c>
      <x:c r="T3871" s="10" t="n">
        <x:v>0.298969</x:v>
      </x:c>
      <x:c r="U3871" s="4" t="str">
        <x:v>Test</x:v>
      </x:c>
    </x:row>
    <x:row r="3872" ht="34" customHeight="1">
      <x:c r="A3872" s="4" t="str">
        <x:v>RS-03871</x:v>
      </x:c>
      <x:c r="B3872" s="8" t="n">
        <x:v>45511</x:v>
      </x:c>
      <x:c r="C3872" s="4" t="str">
        <x:v>PRJ-011</x:v>
      </x:c>
      <x:c r="D3872" s="4" t="str">
        <x:v>Office</x:v>
      </x:c>
      <x:c r="E3872" s="4" t="str">
        <x:v>Cancelled</x:v>
      </x:c>
      <x:c r="F3872" s="4" t="str">
        <x:v>CUS-03871</x:v>
      </x:c>
      <x:c r="G3872" s="4" t="str">
        <x:v>UNIT-03871</x:v>
      </x:c>
      <x:c r="H3872" s="9" t="n">
        <x:v>6400000</x:v>
      </x:c>
      <x:c r="I3872" s="10" t="n">
        <x:v>0.02</x:v>
      </x:c>
      <x:c r="J3872" s="11" t="n">
        <x:v>9</x:v>
      </x:c>
      <x:c r="K3872" s="11" t="n">
        <x:v>7</x:v>
      </x:c>
      <x:c r="L3872" s="11" t="n">
        <x:v>1</x:v>
      </x:c>
      <x:c r="M3872" s="9" t="n">
        <x:f>ROUND(H3872*(1-I3872),2)</x:f>
        <x:v>6272000</x:v>
      </x:c>
      <x:c r="N3872" s="4" t="str">
        <x:v>Sales manager</x:v>
      </x:c>
      <x:c r="O3872" s="4"/>
      <x:c r="P3872" s="9" t="n">
        <x:v>0</x:v>
      </x:c>
      <x:c r="Q3872" s="11" t="n">
        <x:v>1</x:v>
      </x:c>
      <x:c r="R3872" s="8" t="n">
        <x:v>45571</x:v>
      </x:c>
      <x:c r="S3872" s="4" t="str">
        <x:v>Lost / cancelled</x:v>
      </x:c>
      <x:c r="T3872" s="10" t="n">
        <x:v>0.254545</x:v>
      </x:c>
      <x:c r="U3872" s="4" t="str">
        <x:v>Test</x:v>
      </x:c>
    </x:row>
    <x:row r="3873" ht="34" customHeight="1">
      <x:c r="A3873" s="4" t="str">
        <x:v>RS-03872</x:v>
      </x:c>
      <x:c r="B3873" s="8" t="n">
        <x:v>45512</x:v>
      </x:c>
      <x:c r="C3873" s="4" t="str">
        <x:v>PRJ-012</x:v>
      </x:c>
      <x:c r="D3873" s="4" t="str">
        <x:v>Villa</x:v>
      </x:c>
      <x:c r="E3873" s="4" t="str">
        <x:v>Enquiry</x:v>
      </x:c>
      <x:c r="F3873" s="4" t="str">
        <x:v>CUS-03872</x:v>
      </x:c>
      <x:c r="G3873" s="4" t="str">
        <x:v>UNIT-03872</x:v>
      </x:c>
      <x:c r="H3873" s="9" t="n">
        <x:v>23500000</x:v>
      </x:c>
      <x:c r="I3873" s="10" t="n">
        <x:v>0.09</x:v>
      </x:c>
      <x:c r="J3873" s="11" t="n">
        <x:v>7</x:v>
      </x:c>
      <x:c r="K3873" s="11" t="n">
        <x:v>0</x:v>
      </x:c>
      <x:c r="L3873" s="11" t="n">
        <x:v>0</x:v>
      </x:c>
      <x:c r="M3873" s="9" t="n">
        <x:f>ROUND(H3873*(1-I3873),2)</x:f>
        <x:v>21385000</x:v>
      </x:c>
      <x:c r="N3873" s="4" t="str">
        <x:v>Sales head</x:v>
      </x:c>
      <x:c r="O3873" s="4"/>
      <x:c r="P3873" s="9" t="n">
        <x:v>0</x:v>
      </x:c>
      <x:c r="Q3873" s="11" t="n">
        <x:v>0</x:v>
      </x:c>
      <x:c r="R3873" s="8" t="n">
        <x:v>45572</x:v>
      </x:c>
      <x:c r="S3873" s="4" t="str">
        <x:v>Retained</x:v>
      </x:c>
      <x:c r="T3873" s="10" t="n">
        <x:v>0.226277</x:v>
      </x:c>
      <x:c r="U3873" s="4" t="str">
        <x:v>Test</x:v>
      </x:c>
    </x:row>
    <x:row r="3874" ht="34" customHeight="1">
      <x:c r="A3874" s="4" t="str">
        <x:v>RS-03873</x:v>
      </x:c>
      <x:c r="B3874" s="8" t="n">
        <x:v>45513</x:v>
      </x:c>
      <x:c r="C3874" s="4" t="str">
        <x:v>PRJ-013</x:v>
      </x:c>
      <x:c r="D3874" s="4" t="str">
        <x:v>Apartment</x:v>
      </x:c>
      <x:c r="E3874" s="4" t="str">
        <x:v>Booked</x:v>
      </x:c>
      <x:c r="F3874" s="4" t="str">
        <x:v>CUS-03873</x:v>
      </x:c>
      <x:c r="G3874" s="4" t="str">
        <x:v>UNIT-03873</x:v>
      </x:c>
      <x:c r="H3874" s="9" t="n">
        <x:v>20200000</x:v>
      </x:c>
      <x:c r="I3874" s="10" t="n">
        <x:v>0.06</x:v>
      </x:c>
      <x:c r="J3874" s="11" t="n">
        <x:v>6</x:v>
      </x:c>
      <x:c r="K3874" s="11" t="n">
        <x:v>6</x:v>
      </x:c>
      <x:c r="L3874" s="11" t="n">
        <x:v>0</x:v>
      </x:c>
      <x:c r="M3874" s="9" t="n">
        <x:f>ROUND(H3874*(1-I3874),2)</x:f>
        <x:v>18988000</x:v>
      </x:c>
      <x:c r="N3874" s="4" t="str">
        <x:v>Sales manager</x:v>
      </x:c>
      <x:c r="O3874" s="4" t="str">
        <x:v>BOOK-03873</x:v>
      </x:c>
      <x:c r="P3874" s="9" t="n">
        <x:v>1898800</x:v>
      </x:c>
      <x:c r="Q3874" s="11" t="n">
        <x:v>0</x:v>
      </x:c>
      <x:c r="R3874" s="8" t="n">
        <x:v>45573</x:v>
      </x:c>
      <x:c r="S3874" s="4" t="str">
        <x:v>Retained</x:v>
      </x:c>
      <x:c r="T3874" s="10" t="n">
        <x:v>0.226277</x:v>
      </x:c>
      <x:c r="U3874" s="4" t="str">
        <x:v>Test</x:v>
      </x:c>
    </x:row>
    <x:row r="3875" ht="34" customHeight="1">
      <x:c r="A3875" s="4" t="str">
        <x:v>RS-03874</x:v>
      </x:c>
      <x:c r="B3875" s="8" t="n">
        <x:v>45514</x:v>
      </x:c>
      <x:c r="C3875" s="4" t="str">
        <x:v>PRJ-014</x:v>
      </x:c>
      <x:c r="D3875" s="4" t="str">
        <x:v>Villa</x:v>
      </x:c>
      <x:c r="E3875" s="4" t="str">
        <x:v>Reserved</x:v>
      </x:c>
      <x:c r="F3875" s="4" t="str">
        <x:v>CUS-03874</x:v>
      </x:c>
      <x:c r="G3875" s="4" t="str">
        <x:v>UNIT-03874</x:v>
      </x:c>
      <x:c r="H3875" s="9" t="n">
        <x:v>13700000</x:v>
      </x:c>
      <x:c r="I3875" s="10" t="n">
        <x:v>0.09</x:v>
      </x:c>
      <x:c r="J3875" s="11" t="n">
        <x:v>11</x:v>
      </x:c>
      <x:c r="K3875" s="11" t="n">
        <x:v>6</x:v>
      </x:c>
      <x:c r="L3875" s="11" t="n">
        <x:v>1</x:v>
      </x:c>
      <x:c r="M3875" s="9" t="n">
        <x:f>ROUND(H3875*(1-I3875),2)</x:f>
        <x:v>12467000</x:v>
      </x:c>
      <x:c r="N3875" s="4" t="str">
        <x:v>Sales head</x:v>
      </x:c>
      <x:c r="O3875" s="4"/>
      <x:c r="P3875" s="9" t="n">
        <x:v>0</x:v>
      </x:c>
      <x:c r="Q3875" s="11" t="n">
        <x:v>0</x:v>
      </x:c>
      <x:c r="R3875" s="8" t="n">
        <x:v>45574</x:v>
      </x:c>
      <x:c r="S3875" s="4" t="str">
        <x:v>Retained</x:v>
      </x:c>
      <x:c r="T3875" s="10" t="n">
        <x:v>0.351536</x:v>
      </x:c>
      <x:c r="U3875" s="4" t="str">
        <x:v>Test</x:v>
      </x:c>
    </x:row>
    <x:row r="3876" ht="34" customHeight="1">
      <x:c r="A3876" s="4" t="str">
        <x:v>RS-03875</x:v>
      </x:c>
      <x:c r="B3876" s="8" t="n">
        <x:v>45515</x:v>
      </x:c>
      <x:c r="C3876" s="4" t="str">
        <x:v>PRJ-015</x:v>
      </x:c>
      <x:c r="D3876" s="4" t="str">
        <x:v>Villa</x:v>
      </x:c>
      <x:c r="E3876" s="4" t="str">
        <x:v>Enquiry</x:v>
      </x:c>
      <x:c r="F3876" s="4" t="str">
        <x:v>CUS-03875</x:v>
      </x:c>
      <x:c r="G3876" s="4" t="str">
        <x:v>UNIT-03875</x:v>
      </x:c>
      <x:c r="H3876" s="9" t="n">
        <x:v>18300000</x:v>
      </x:c>
      <x:c r="I3876" s="10" t="n">
        <x:v>0.01</x:v>
      </x:c>
      <x:c r="J3876" s="11" t="n">
        <x:v>9</x:v>
      </x:c>
      <x:c r="K3876" s="11" t="n">
        <x:v>9</x:v>
      </x:c>
      <x:c r="L3876" s="11" t="n">
        <x:v>1</x:v>
      </x:c>
      <x:c r="M3876" s="9" t="n">
        <x:f>ROUND(H3876*(1-I3876),2)</x:f>
        <x:v>18117000</x:v>
      </x:c>
      <x:c r="N3876" s="4" t="str">
        <x:v>Sales manager</x:v>
      </x:c>
      <x:c r="O3876" s="4"/>
      <x:c r="P3876" s="9" t="n">
        <x:v>0</x:v>
      </x:c>
      <x:c r="Q3876" s="11" t="n">
        <x:v>0</x:v>
      </x:c>
      <x:c r="R3876" s="8" t="n">
        <x:v>45575</x:v>
      </x:c>
      <x:c r="S3876" s="4" t="str">
        <x:v>Retained</x:v>
      </x:c>
      <x:c r="T3876" s="10" t="n">
        <x:v>0.254545</x:v>
      </x:c>
      <x:c r="U3876" s="4" t="str">
        <x:v>Test</x:v>
      </x:c>
    </x:row>
    <x:row r="3877" ht="34" customHeight="1">
      <x:c r="A3877" s="4" t="str">
        <x:v>RS-03876</x:v>
      </x:c>
      <x:c r="B3877" s="8" t="n">
        <x:v>45516</x:v>
      </x:c>
      <x:c r="C3877" s="4" t="str">
        <x:v>PRJ-016</x:v>
      </x:c>
      <x:c r="D3877" s="4" t="str">
        <x:v>Office</x:v>
      </x:c>
      <x:c r="E3877" s="4" t="str">
        <x:v>Enquiry</x:v>
      </x:c>
      <x:c r="F3877" s="4" t="str">
        <x:v>CUS-03876</x:v>
      </x:c>
      <x:c r="G3877" s="4" t="str">
        <x:v>UNIT-03876</x:v>
      </x:c>
      <x:c r="H3877" s="9" t="n">
        <x:v>16600000</x:v>
      </x:c>
      <x:c r="I3877" s="10" t="n">
        <x:v>0.04</x:v>
      </x:c>
      <x:c r="J3877" s="11" t="n">
        <x:v>9</x:v>
      </x:c>
      <x:c r="K3877" s="11" t="n">
        <x:v>2</x:v>
      </x:c>
      <x:c r="L3877" s="11" t="n">
        <x:v>1</x:v>
      </x:c>
      <x:c r="M3877" s="9" t="n">
        <x:f>ROUND(H3877*(1-I3877),2)</x:f>
        <x:v>15936000</x:v>
      </x:c>
      <x:c r="N3877" s="4" t="str">
        <x:v>Sales manager</x:v>
      </x:c>
      <x:c r="O3877" s="4"/>
      <x:c r="P3877" s="9" t="n">
        <x:v>0</x:v>
      </x:c>
      <x:c r="Q3877" s="11" t="n">
        <x:v>0</x:v>
      </x:c>
      <x:c r="R3877" s="8" t="n">
        <x:v>45576</x:v>
      </x:c>
      <x:c r="S3877" s="4" t="str">
        <x:v>Retained</x:v>
      </x:c>
      <x:c r="T3877" s="10" t="n">
        <x:v>0.310195</x:v>
      </x:c>
      <x:c r="U3877" s="4" t="str">
        <x:v>Test</x:v>
      </x:c>
    </x:row>
    <x:row r="3878" ht="34" customHeight="1">
      <x:c r="A3878" s="4" t="str">
        <x:v>RS-03877</x:v>
      </x:c>
      <x:c r="B3878" s="8" t="n">
        <x:v>45517</x:v>
      </x:c>
      <x:c r="C3878" s="4" t="str">
        <x:v>PRJ-017</x:v>
      </x:c>
      <x:c r="D3878" s="4" t="str">
        <x:v>Retail</x:v>
      </x:c>
      <x:c r="E3878" s="4" t="str">
        <x:v>Agreement signed</x:v>
      </x:c>
      <x:c r="F3878" s="4" t="str">
        <x:v>CUS-03877</x:v>
      </x:c>
      <x:c r="G3878" s="4" t="str">
        <x:v>UNIT-03877</x:v>
      </x:c>
      <x:c r="H3878" s="9" t="n">
        <x:v>11500000</x:v>
      </x:c>
      <x:c r="I3878" s="10" t="n">
        <x:v>0.04</x:v>
      </x:c>
      <x:c r="J3878" s="11" t="n">
        <x:v>5</x:v>
      </x:c>
      <x:c r="K3878" s="11" t="n">
        <x:v>7</x:v>
      </x:c>
      <x:c r="L3878" s="11" t="n">
        <x:v>1</x:v>
      </x:c>
      <x:c r="M3878" s="9" t="n">
        <x:f>ROUND(H3878*(1-I3878),2)</x:f>
        <x:v>11040000</x:v>
      </x:c>
      <x:c r="N3878" s="4" t="str">
        <x:v>Sales manager</x:v>
      </x:c>
      <x:c r="O3878" s="4" t="str">
        <x:v>BOOK-03877</x:v>
      </x:c>
      <x:c r="P3878" s="9" t="n">
        <x:v>1104000</x:v>
      </x:c>
      <x:c r="Q3878" s="11" t="n">
        <x:v>0</x:v>
      </x:c>
      <x:c r="R3878" s="8" t="n">
        <x:v>45577</x:v>
      </x:c>
      <x:c r="S3878" s="4" t="str">
        <x:v>Retained</x:v>
      </x:c>
      <x:c r="T3878" s="10" t="n">
        <x:v>0.291946</x:v>
      </x:c>
      <x:c r="U3878" s="4" t="str">
        <x:v>Test</x:v>
      </x:c>
    </x:row>
    <x:row r="3879" ht="34" customHeight="1">
      <x:c r="A3879" s="4" t="str">
        <x:v>RS-03878</x:v>
      </x:c>
      <x:c r="B3879" s="8" t="n">
        <x:v>45518</x:v>
      </x:c>
      <x:c r="C3879" s="4" t="str">
        <x:v>PRJ-018</x:v>
      </x:c>
      <x:c r="D3879" s="4" t="str">
        <x:v>Retail</x:v>
      </x:c>
      <x:c r="E3879" s="4" t="str">
        <x:v>Cancelled</x:v>
      </x:c>
      <x:c r="F3879" s="4" t="str">
        <x:v>CUS-03878</x:v>
      </x:c>
      <x:c r="G3879" s="4" t="str">
        <x:v>UNIT-03878</x:v>
      </x:c>
      <x:c r="H3879" s="9" t="n">
        <x:v>21500000</x:v>
      </x:c>
      <x:c r="I3879" s="10" t="n">
        <x:v>0.03</x:v>
      </x:c>
      <x:c r="J3879" s="11" t="n">
        <x:v>2</x:v>
      </x:c>
      <x:c r="K3879" s="11" t="n">
        <x:v>7</x:v>
      </x:c>
      <x:c r="L3879" s="11" t="n">
        <x:v>0</x:v>
      </x:c>
      <x:c r="M3879" s="9" t="n">
        <x:f>ROUND(H3879*(1-I3879),2)</x:f>
        <x:v>20855000</x:v>
      </x:c>
      <x:c r="N3879" s="4" t="str">
        <x:v>Sales manager</x:v>
      </x:c>
      <x:c r="O3879" s="4"/>
      <x:c r="P3879" s="9" t="n">
        <x:v>0</x:v>
      </x:c>
      <x:c r="Q3879" s="11" t="n">
        <x:v>1</x:v>
      </x:c>
      <x:c r="R3879" s="8" t="n">
        <x:v>45578</x:v>
      </x:c>
      <x:c r="S3879" s="4" t="str">
        <x:v>Lost / cancelled</x:v>
      </x:c>
      <x:c r="T3879" s="10" t="n">
        <x:v>0.171717</x:v>
      </x:c>
      <x:c r="U3879" s="4" t="str">
        <x:v>Test</x:v>
      </x:c>
    </x:row>
    <x:row r="3880" ht="34" customHeight="1">
      <x:c r="A3880" s="4" t="str">
        <x:v>RS-03879</x:v>
      </x:c>
      <x:c r="B3880" s="8" t="n">
        <x:v>45519</x:v>
      </x:c>
      <x:c r="C3880" s="4" t="str">
        <x:v>PRJ-019</x:v>
      </x:c>
      <x:c r="D3880" s="4" t="str">
        <x:v>Apartment</x:v>
      </x:c>
      <x:c r="E3880" s="4" t="str">
        <x:v>Agreement signed</x:v>
      </x:c>
      <x:c r="F3880" s="4" t="str">
        <x:v>CUS-03879</x:v>
      </x:c>
      <x:c r="G3880" s="4" t="str">
        <x:v>UNIT-03879</x:v>
      </x:c>
      <x:c r="H3880" s="9" t="n">
        <x:v>8300000</x:v>
      </x:c>
      <x:c r="I3880" s="10" t="n">
        <x:v>0.09</x:v>
      </x:c>
      <x:c r="J3880" s="11" t="n">
        <x:v>12</x:v>
      </x:c>
      <x:c r="K3880" s="11" t="n">
        <x:v>5</x:v>
      </x:c>
      <x:c r="L3880" s="11" t="n">
        <x:v>0</x:v>
      </x:c>
      <x:c r="M3880" s="9" t="n">
        <x:f>ROUND(H3880*(1-I3880),2)</x:f>
        <x:v>7553000</x:v>
      </x:c>
      <x:c r="N3880" s="4" t="str">
        <x:v>Sales head</x:v>
      </x:c>
      <x:c r="O3880" s="4" t="str">
        <x:v>BOOK-03879</x:v>
      </x:c>
      <x:c r="P3880" s="9" t="n">
        <x:v>1888250</x:v>
      </x:c>
      <x:c r="Q3880" s="11" t="n">
        <x:v>0</x:v>
      </x:c>
      <x:c r="R3880" s="8" t="n">
        <x:v>45579</x:v>
      </x:c>
      <x:c r="S3880" s="4" t="str">
        <x:v>Retained</x:v>
      </x:c>
      <x:c r="T3880" s="10" t="n">
        <x:v>0.351536</x:v>
      </x:c>
      <x:c r="U3880" s="4" t="str">
        <x:v>Test</x:v>
      </x:c>
    </x:row>
    <x:row r="3881" ht="34" customHeight="1">
      <x:c r="A3881" s="4" t="str">
        <x:v>RS-03880</x:v>
      </x:c>
      <x:c r="B3881" s="8" t="n">
        <x:v>45520</x:v>
      </x:c>
      <x:c r="C3881" s="4" t="str">
        <x:v>PRJ-020</x:v>
      </x:c>
      <x:c r="D3881" s="4" t="str">
        <x:v>Apartment</x:v>
      </x:c>
      <x:c r="E3881" s="4" t="str">
        <x:v>Reserved</x:v>
      </x:c>
      <x:c r="F3881" s="4" t="str">
        <x:v>CUS-03880</x:v>
      </x:c>
      <x:c r="G3881" s="4" t="str">
        <x:v>UNIT-03880</x:v>
      </x:c>
      <x:c r="H3881" s="9" t="n">
        <x:v>16500000</x:v>
      </x:c>
      <x:c r="I3881" s="10" t="n">
        <x:v>0.07</x:v>
      </x:c>
      <x:c r="J3881" s="11" t="n">
        <x:v>7</x:v>
      </x:c>
      <x:c r="K3881" s="11" t="n">
        <x:v>10</x:v>
      </x:c>
      <x:c r="L3881" s="11" t="n">
        <x:v>1</x:v>
      </x:c>
      <x:c r="M3881" s="9" t="n">
        <x:f>ROUND(H3881*(1-I3881),2)</x:f>
        <x:v>15345000</x:v>
      </x:c>
      <x:c r="N3881" s="4" t="str">
        <x:v>Sales manager</x:v>
      </x:c>
      <x:c r="O3881" s="4"/>
      <x:c r="P3881" s="9" t="n">
        <x:v>0</x:v>
      </x:c>
      <x:c r="Q3881" s="11" t="n">
        <x:v>0</x:v>
      </x:c>
      <x:c r="R3881" s="8" t="n">
        <x:v>45580</x:v>
      </x:c>
      <x:c r="S3881" s="4" t="str">
        <x:v>Retained</x:v>
      </x:c>
      <x:c r="T3881" s="10" t="n">
        <x:v>0.291946</x:v>
      </x:c>
      <x:c r="U3881" s="4" t="str">
        <x:v>Test</x:v>
      </x:c>
    </x:row>
    <x:row r="3882" ht="34" customHeight="1">
      <x:c r="A3882" s="4" t="str">
        <x:v>RS-03881</x:v>
      </x:c>
      <x:c r="B3882" s="8" t="n">
        <x:v>45521</x:v>
      </x:c>
      <x:c r="C3882" s="4" t="str">
        <x:v>PRJ-001</x:v>
      </x:c>
      <x:c r="D3882" s="4" t="str">
        <x:v>Apartment</x:v>
      </x:c>
      <x:c r="E3882" s="4" t="str">
        <x:v>Handed over</x:v>
      </x:c>
      <x:c r="F3882" s="4" t="str">
        <x:v>CUS-03881</x:v>
      </x:c>
      <x:c r="G3882" s="4" t="str">
        <x:v>UNIT-03881</x:v>
      </x:c>
      <x:c r="H3882" s="9" t="n">
        <x:v>4100000</x:v>
      </x:c>
      <x:c r="I3882" s="10" t="n">
        <x:v>0.07</x:v>
      </x:c>
      <x:c r="J3882" s="11" t="n">
        <x:v>5</x:v>
      </x:c>
      <x:c r="K3882" s="11" t="n">
        <x:v>9</x:v>
      </x:c>
      <x:c r="L3882" s="11" t="n">
        <x:v>0</x:v>
      </x:c>
      <x:c r="M3882" s="9" t="n">
        <x:f>ROUND(H3882*(1-I3882),2)</x:f>
        <x:v>3813000</x:v>
      </x:c>
      <x:c r="N3882" s="4" t="str">
        <x:v>Sales manager</x:v>
      </x:c>
      <x:c r="O3882" s="4" t="str">
        <x:v>BOOK-03881</x:v>
      </x:c>
      <x:c r="P3882" s="9" t="n">
        <x:v>381300</x:v>
      </x:c>
      <x:c r="Q3882" s="11" t="n">
        <x:v>0</x:v>
      </x:c>
      <x:c r="R3882" s="8" t="n">
        <x:v>45581</x:v>
      </x:c>
      <x:c r="S3882" s="4" t="str">
        <x:v>Retained</x:v>
      </x:c>
      <x:c r="T3882" s="10" t="n">
        <x:v>0.226277</x:v>
      </x:c>
      <x:c r="U3882" s="4" t="str">
        <x:v>Test</x:v>
      </x:c>
    </x:row>
    <x:row r="3883" ht="34" customHeight="1">
      <x:c r="A3883" s="4" t="str">
        <x:v>RS-03882</x:v>
      </x:c>
      <x:c r="B3883" s="8" t="n">
        <x:v>45522</x:v>
      </x:c>
      <x:c r="C3883" s="4" t="str">
        <x:v>PRJ-002</x:v>
      </x:c>
      <x:c r="D3883" s="4" t="str">
        <x:v>Retail</x:v>
      </x:c>
      <x:c r="E3883" s="4" t="str">
        <x:v>Booked</x:v>
      </x:c>
      <x:c r="F3883" s="4" t="str">
        <x:v>CUS-03882</x:v>
      </x:c>
      <x:c r="G3883" s="4" t="str">
        <x:v>UNIT-03882</x:v>
      </x:c>
      <x:c r="H3883" s="9" t="n">
        <x:v>3300000</x:v>
      </x:c>
      <x:c r="I3883" s="10" t="n">
        <x:v>0.02</x:v>
      </x:c>
      <x:c r="J3883" s="11" t="n">
        <x:v>3</x:v>
      </x:c>
      <x:c r="K3883" s="11" t="n">
        <x:v>10</x:v>
      </x:c>
      <x:c r="L3883" s="11" t="n">
        <x:v>0</x:v>
      </x:c>
      <x:c r="M3883" s="9" t="n">
        <x:f>ROUND(H3883*(1-I3883),2)</x:f>
        <x:v>3234000</x:v>
      </x:c>
      <x:c r="N3883" s="4" t="str">
        <x:v>Sales manager</x:v>
      </x:c>
      <x:c r="O3883" s="4" t="str">
        <x:v>BOOK-03882</x:v>
      </x:c>
      <x:c r="P3883" s="9" t="n">
        <x:v>323400</x:v>
      </x:c>
      <x:c r="Q3883" s="11" t="n">
        <x:v>0</x:v>
      </x:c>
      <x:c r="R3883" s="8" t="n">
        <x:v>45582</x:v>
      </x:c>
      <x:c r="S3883" s="4" t="str">
        <x:v>Retained</x:v>
      </x:c>
      <x:c r="T3883" s="10" t="n">
        <x:v>0.171717</x:v>
      </x:c>
      <x:c r="U3883" s="4" t="str">
        <x:v>Test</x:v>
      </x:c>
    </x:row>
    <x:row r="3884" ht="34" customHeight="1">
      <x:c r="A3884" s="4" t="str">
        <x:v>RS-03883</x:v>
      </x:c>
      <x:c r="B3884" s="8" t="n">
        <x:v>45523</x:v>
      </x:c>
      <x:c r="C3884" s="4" t="str">
        <x:v>PRJ-003</x:v>
      </x:c>
      <x:c r="D3884" s="4" t="str">
        <x:v>Apartment</x:v>
      </x:c>
      <x:c r="E3884" s="4" t="str">
        <x:v>Booked</x:v>
      </x:c>
      <x:c r="F3884" s="4" t="str">
        <x:v>CUS-03883</x:v>
      </x:c>
      <x:c r="G3884" s="4" t="str">
        <x:v>UNIT-03883</x:v>
      </x:c>
      <x:c r="H3884" s="9" t="n">
        <x:v>13400000</x:v>
      </x:c>
      <x:c r="I3884" s="10" t="n">
        <x:v>0.11</x:v>
      </x:c>
      <x:c r="J3884" s="11" t="n">
        <x:v>6</x:v>
      </x:c>
      <x:c r="K3884" s="11" t="n">
        <x:v>3</x:v>
      </x:c>
      <x:c r="L3884" s="11" t="n">
        <x:v>1</x:v>
      </x:c>
      <x:c r="M3884" s="9" t="n">
        <x:f>ROUND(H3884*(1-I3884),2)</x:f>
        <x:v>11926000</x:v>
      </x:c>
      <x:c r="N3884" s="4" t="str">
        <x:v>Sales head</x:v>
      </x:c>
      <x:c r="O3884" s="4" t="str">
        <x:v>BOOK-03883</x:v>
      </x:c>
      <x:c r="P3884" s="9" t="n">
        <x:v>1192600</x:v>
      </x:c>
      <x:c r="Q3884" s="11" t="n">
        <x:v>0</x:v>
      </x:c>
      <x:c r="R3884" s="8" t="n">
        <x:v>45583</x:v>
      </x:c>
      <x:c r="S3884" s="4" t="str">
        <x:v>Retained</x:v>
      </x:c>
      <x:c r="T3884" s="10" t="n">
        <x:v>0.291946</x:v>
      </x:c>
      <x:c r="U3884" s="4" t="str">
        <x:v>Test</x:v>
      </x:c>
    </x:row>
    <x:row r="3885" ht="34" customHeight="1">
      <x:c r="A3885" s="4" t="str">
        <x:v>RS-03884</x:v>
      </x:c>
      <x:c r="B3885" s="8" t="n">
        <x:v>45524</x:v>
      </x:c>
      <x:c r="C3885" s="4" t="str">
        <x:v>PRJ-004</x:v>
      </x:c>
      <x:c r="D3885" s="4" t="str">
        <x:v>Office</x:v>
      </x:c>
      <x:c r="E3885" s="4" t="str">
        <x:v>Agreement signed</x:v>
      </x:c>
      <x:c r="F3885" s="4" t="str">
        <x:v>CUS-03884</x:v>
      </x:c>
      <x:c r="G3885" s="4" t="str">
        <x:v>UNIT-03884</x:v>
      </x:c>
      <x:c r="H3885" s="9" t="n">
        <x:v>19700000</x:v>
      </x:c>
      <x:c r="I3885" s="10" t="n">
        <x:v>0.02</x:v>
      </x:c>
      <x:c r="J3885" s="11" t="n">
        <x:v>5</x:v>
      </x:c>
      <x:c r="K3885" s="11" t="n">
        <x:v>6</x:v>
      </x:c>
      <x:c r="L3885" s="11" t="n">
        <x:v>0</x:v>
      </x:c>
      <x:c r="M3885" s="9" t="n">
        <x:f>ROUND(H3885*(1-I3885),2)</x:f>
        <x:v>19306000</x:v>
      </x:c>
      <x:c r="N3885" s="4" t="str">
        <x:v>Sales manager</x:v>
      </x:c>
      <x:c r="O3885" s="4" t="str">
        <x:v>BOOK-03884</x:v>
      </x:c>
      <x:c r="P3885" s="9" t="n">
        <x:v>19306000</x:v>
      </x:c>
      <x:c r="Q3885" s="11" t="n">
        <x:v>0</x:v>
      </x:c>
      <x:c r="R3885" s="8" t="n">
        <x:v>45584</x:v>
      </x:c>
      <x:c r="S3885" s="4" t="str">
        <x:v>Retained</x:v>
      </x:c>
      <x:c r="T3885" s="10" t="n">
        <x:v>0.145299</x:v>
      </x:c>
      <x:c r="U3885" s="4" t="str">
        <x:v>Test</x:v>
      </x:c>
    </x:row>
    <x:row r="3886" ht="34" customHeight="1">
      <x:c r="A3886" s="4" t="str">
        <x:v>RS-03885</x:v>
      </x:c>
      <x:c r="B3886" s="8" t="n">
        <x:v>45525</x:v>
      </x:c>
      <x:c r="C3886" s="4" t="str">
        <x:v>PRJ-005</x:v>
      </x:c>
      <x:c r="D3886" s="4" t="str">
        <x:v>Office</x:v>
      </x:c>
      <x:c r="E3886" s="4" t="str">
        <x:v>Enquiry</x:v>
      </x:c>
      <x:c r="F3886" s="4" t="str">
        <x:v>CUS-03885</x:v>
      </x:c>
      <x:c r="G3886" s="4" t="str">
        <x:v>UNIT-03885</x:v>
      </x:c>
      <x:c r="H3886" s="9" t="n">
        <x:v>20700000</x:v>
      </x:c>
      <x:c r="I3886" s="10" t="n">
        <x:v>0.06</x:v>
      </x:c>
      <x:c r="J3886" s="11" t="n">
        <x:v>3</x:v>
      </x:c>
      <x:c r="K3886" s="11" t="n">
        <x:v>2</x:v>
      </x:c>
      <x:c r="L3886" s="11" t="n">
        <x:v>1</x:v>
      </x:c>
      <x:c r="M3886" s="9" t="n">
        <x:f>ROUND(H3886*(1-I3886),2)</x:f>
        <x:v>19458000</x:v>
      </x:c>
      <x:c r="N3886" s="4" t="str">
        <x:v>Sales manager</x:v>
      </x:c>
      <x:c r="O3886" s="4"/>
      <x:c r="P3886" s="9" t="n">
        <x:v>0</x:v>
      </x:c>
      <x:c r="Q3886" s="11" t="n">
        <x:v>0</x:v>
      </x:c>
      <x:c r="R3886" s="8" t="n">
        <x:v>45585</x:v>
      </x:c>
      <x:c r="S3886" s="4" t="str">
        <x:v>Retained</x:v>
      </x:c>
      <x:c r="T3886" s="10" t="n">
        <x:v>0.204152</x:v>
      </x:c>
      <x:c r="U3886" s="4" t="str">
        <x:v>Test</x:v>
      </x:c>
    </x:row>
    <x:row r="3887" ht="34" customHeight="1">
      <x:c r="A3887" s="4" t="str">
        <x:v>RS-03886</x:v>
      </x:c>
      <x:c r="B3887" s="8" t="n">
        <x:v>45526</x:v>
      </x:c>
      <x:c r="C3887" s="4" t="str">
        <x:v>PRJ-006</x:v>
      </x:c>
      <x:c r="D3887" s="4" t="str">
        <x:v>Villa</x:v>
      </x:c>
      <x:c r="E3887" s="4" t="str">
        <x:v>Agreement signed</x:v>
      </x:c>
      <x:c r="F3887" s="4" t="str">
        <x:v>CUS-03886</x:v>
      </x:c>
      <x:c r="G3887" s="4" t="str">
        <x:v>UNIT-03886</x:v>
      </x:c>
      <x:c r="H3887" s="9" t="n">
        <x:v>9600000</x:v>
      </x:c>
      <x:c r="I3887" s="10" t="n">
        <x:v>0.03</x:v>
      </x:c>
      <x:c r="J3887" s="11" t="n">
        <x:v>6</x:v>
      </x:c>
      <x:c r="K3887" s="11" t="n">
        <x:v>4</x:v>
      </x:c>
      <x:c r="L3887" s="11" t="n">
        <x:v>0</x:v>
      </x:c>
      <x:c r="M3887" s="9" t="n">
        <x:f>ROUND(H3887*(1-I3887),2)</x:f>
        <x:v>9312000</x:v>
      </x:c>
      <x:c r="N3887" s="4" t="str">
        <x:v>Sales manager</x:v>
      </x:c>
      <x:c r="O3887" s="4" t="str">
        <x:v>BOOK-03886</x:v>
      </x:c>
      <x:c r="P3887" s="9" t="n">
        <x:v>9312000</x:v>
      </x:c>
      <x:c r="Q3887" s="11" t="n">
        <x:v>0</x:v>
      </x:c>
      <x:c r="R3887" s="8" t="n">
        <x:v>45586</x:v>
      </x:c>
      <x:c r="S3887" s="4" t="str">
        <x:v>Retained</x:v>
      </x:c>
      <x:c r="T3887" s="10" t="n">
        <x:v>0.298969</x:v>
      </x:c>
      <x:c r="U3887" s="4" t="str">
        <x:v>Test</x:v>
      </x:c>
    </x:row>
    <x:row r="3888" ht="34" customHeight="1">
      <x:c r="A3888" s="4" t="str">
        <x:v>RS-03887</x:v>
      </x:c>
      <x:c r="B3888" s="8" t="n">
        <x:v>45527</x:v>
      </x:c>
      <x:c r="C3888" s="4" t="str">
        <x:v>PRJ-007</x:v>
      </x:c>
      <x:c r="D3888" s="4" t="str">
        <x:v>Retail</x:v>
      </x:c>
      <x:c r="E3888" s="4" t="str">
        <x:v>Enquiry</x:v>
      </x:c>
      <x:c r="F3888" s="4" t="str">
        <x:v>CUS-03887</x:v>
      </x:c>
      <x:c r="G3888" s="4" t="str">
        <x:v>UNIT-03887</x:v>
      </x:c>
      <x:c r="H3888" s="9" t="n">
        <x:v>4700000</x:v>
      </x:c>
      <x:c r="I3888" s="10" t="n">
        <x:v>0.02</x:v>
      </x:c>
      <x:c r="J3888" s="11" t="n">
        <x:v>11</x:v>
      </x:c>
      <x:c r="K3888" s="11" t="n">
        <x:v>10</x:v>
      </x:c>
      <x:c r="L3888" s="11" t="n">
        <x:v>1</x:v>
      </x:c>
      <x:c r="M3888" s="9" t="n">
        <x:f>ROUND(H3888*(1-I3888),2)</x:f>
        <x:v>4606000</x:v>
      </x:c>
      <x:c r="N3888" s="4" t="str">
        <x:v>Sales manager</x:v>
      </x:c>
      <x:c r="O3888" s="4"/>
      <x:c r="P3888" s="9" t="n">
        <x:v>0</x:v>
      </x:c>
      <x:c r="Q3888" s="11" t="n">
        <x:v>0</x:v>
      </x:c>
      <x:c r="R3888" s="8" t="n">
        <x:v>45587</x:v>
      </x:c>
      <x:c r="S3888" s="4" t="str">
        <x:v>Retained</x:v>
      </x:c>
      <x:c r="T3888" s="10" t="n">
        <x:v>0.254545</x:v>
      </x:c>
      <x:c r="U3888" s="4" t="str">
        <x:v>Test</x:v>
      </x:c>
    </x:row>
    <x:row r="3889" ht="34" customHeight="1">
      <x:c r="A3889" s="4" t="str">
        <x:v>RS-03888</x:v>
      </x:c>
      <x:c r="B3889" s="8" t="n">
        <x:v>45528</x:v>
      </x:c>
      <x:c r="C3889" s="4" t="str">
        <x:v>PRJ-008</x:v>
      </x:c>
      <x:c r="D3889" s="4" t="str">
        <x:v>Office</x:v>
      </x:c>
      <x:c r="E3889" s="4" t="str">
        <x:v>Enquiry</x:v>
      </x:c>
      <x:c r="F3889" s="4" t="str">
        <x:v>CUS-03888</x:v>
      </x:c>
      <x:c r="G3889" s="4" t="str">
        <x:v>UNIT-03888</x:v>
      </x:c>
      <x:c r="H3889" s="9" t="n">
        <x:v>13100000</x:v>
      </x:c>
      <x:c r="I3889" s="10" t="n">
        <x:v>0.03</x:v>
      </x:c>
      <x:c r="J3889" s="11" t="n">
        <x:v>7</x:v>
      </x:c>
      <x:c r="K3889" s="11" t="n">
        <x:v>0</x:v>
      </x:c>
      <x:c r="L3889" s="11" t="n">
        <x:v>0</x:v>
      </x:c>
      <x:c r="M3889" s="9" t="n">
        <x:f>ROUND(H3889*(1-I3889),2)</x:f>
        <x:v>12707000</x:v>
      </x:c>
      <x:c r="N3889" s="4" t="str">
        <x:v>Sales manager</x:v>
      </x:c>
      <x:c r="O3889" s="4"/>
      <x:c r="P3889" s="9" t="n">
        <x:v>0</x:v>
      </x:c>
      <x:c r="Q3889" s="11" t="n">
        <x:v>0</x:v>
      </x:c>
      <x:c r="R3889" s="8" t="n">
        <x:v>45588</x:v>
      </x:c>
      <x:c r="S3889" s="4" t="str">
        <x:v>Retained</x:v>
      </x:c>
      <x:c r="T3889" s="10" t="n">
        <x:v>0.298969</x:v>
      </x:c>
      <x:c r="U3889" s="4" t="str">
        <x:v>Test</x:v>
      </x:c>
    </x:row>
    <x:row r="3890" ht="34" customHeight="1">
      <x:c r="A3890" s="4" t="str">
        <x:v>RS-03889</x:v>
      </x:c>
      <x:c r="B3890" s="8" t="n">
        <x:v>45529</x:v>
      </x:c>
      <x:c r="C3890" s="4" t="str">
        <x:v>PRJ-009</x:v>
      </x:c>
      <x:c r="D3890" s="4" t="str">
        <x:v>Retail</x:v>
      </x:c>
      <x:c r="E3890" s="4" t="str">
        <x:v>Cancelled</x:v>
      </x:c>
      <x:c r="F3890" s="4" t="str">
        <x:v>CUS-03889</x:v>
      </x:c>
      <x:c r="G3890" s="4" t="str">
        <x:v>UNIT-03889</x:v>
      </x:c>
      <x:c r="H3890" s="9" t="n">
        <x:v>23300000</x:v>
      </x:c>
      <x:c r="I3890" s="10" t="n">
        <x:v>0.11</x:v>
      </x:c>
      <x:c r="J3890" s="11" t="n">
        <x:v>4</x:v>
      </x:c>
      <x:c r="K3890" s="11" t="n">
        <x:v>10</x:v>
      </x:c>
      <x:c r="L3890" s="11" t="n">
        <x:v>0</x:v>
      </x:c>
      <x:c r="M3890" s="9" t="n">
        <x:f>ROUND(H3890*(1-I3890),2)</x:f>
        <x:v>20737000</x:v>
      </x:c>
      <x:c r="N3890" s="4" t="str">
        <x:v>Sales head</x:v>
      </x:c>
      <x:c r="O3890" s="4"/>
      <x:c r="P3890" s="9" t="n">
        <x:v>0</x:v>
      </x:c>
      <x:c r="Q3890" s="11" t="n">
        <x:v>1</x:v>
      </x:c>
      <x:c r="R3890" s="8" t="n">
        <x:v>45589</x:v>
      </x:c>
      <x:c r="S3890" s="4" t="str">
        <x:v>Lost / cancelled</x:v>
      </x:c>
      <x:c r="T3890" s="10" t="n">
        <x:v>0.226277</x:v>
      </x:c>
      <x:c r="U3890" s="4" t="str">
        <x:v>Test</x:v>
      </x:c>
    </x:row>
    <x:row r="3891" ht="34" customHeight="1">
      <x:c r="A3891" s="4" t="str">
        <x:v>RS-03890</x:v>
      </x:c>
      <x:c r="B3891" s="8" t="n">
        <x:v>45530</x:v>
      </x:c>
      <x:c r="C3891" s="4" t="str">
        <x:v>PRJ-010</x:v>
      </x:c>
      <x:c r="D3891" s="4" t="str">
        <x:v>Office</x:v>
      </x:c>
      <x:c r="E3891" s="4" t="str">
        <x:v>Agreement signed</x:v>
      </x:c>
      <x:c r="F3891" s="4" t="str">
        <x:v>CUS-03890</x:v>
      </x:c>
      <x:c r="G3891" s="4" t="str">
        <x:v>UNIT-03890</x:v>
      </x:c>
      <x:c r="H3891" s="9" t="n">
        <x:v>20800000</x:v>
      </x:c>
      <x:c r="I3891" s="10" t="n">
        <x:v>0.05</x:v>
      </x:c>
      <x:c r="J3891" s="11" t="n">
        <x:v>9</x:v>
      </x:c>
      <x:c r="K3891" s="11" t="n">
        <x:v>7</x:v>
      </x:c>
      <x:c r="L3891" s="11" t="n">
        <x:v>0</x:v>
      </x:c>
      <x:c r="M3891" s="9" t="n">
        <x:f>ROUND(H3891*(1-I3891),2)</x:f>
        <x:v>19760000</x:v>
      </x:c>
      <x:c r="N3891" s="4" t="str">
        <x:v>Sales manager</x:v>
      </x:c>
      <x:c r="O3891" s="4" t="str">
        <x:v>BOOK-03890</x:v>
      </x:c>
      <x:c r="P3891" s="9" t="n">
        <x:v>9880000</x:v>
      </x:c>
      <x:c r="Q3891" s="11" t="n">
        <x:v>0</x:v>
      </x:c>
      <x:c r="R3891" s="8" t="n">
        <x:v>45590</x:v>
      </x:c>
      <x:c r="S3891" s="4" t="str">
        <x:v>Retained</x:v>
      </x:c>
      <x:c r="T3891" s="10" t="n">
        <x:v>0.310195</x:v>
      </x:c>
      <x:c r="U3891" s="4" t="str">
        <x:v>Test</x:v>
      </x:c>
    </x:row>
    <x:row r="3892" ht="34" customHeight="1">
      <x:c r="A3892" s="4" t="str">
        <x:v>RS-03891</x:v>
      </x:c>
      <x:c r="B3892" s="8" t="n">
        <x:v>45531</x:v>
      </x:c>
      <x:c r="C3892" s="4" t="str">
        <x:v>PRJ-011</x:v>
      </x:c>
      <x:c r="D3892" s="4" t="str">
        <x:v>Villa</x:v>
      </x:c>
      <x:c r="E3892" s="4" t="str">
        <x:v>Agreement signed</x:v>
      </x:c>
      <x:c r="F3892" s="4" t="str">
        <x:v>CUS-03891</x:v>
      </x:c>
      <x:c r="G3892" s="4" t="str">
        <x:v>UNIT-03891</x:v>
      </x:c>
      <x:c r="H3892" s="9" t="n">
        <x:v>24400000</x:v>
      </x:c>
      <x:c r="I3892" s="10" t="n">
        <x:v>0.04</x:v>
      </x:c>
      <x:c r="J3892" s="11" t="n">
        <x:v>5</x:v>
      </x:c>
      <x:c r="K3892" s="11" t="n">
        <x:v>8</x:v>
      </x:c>
      <x:c r="L3892" s="11" t="n">
        <x:v>1</x:v>
      </x:c>
      <x:c r="M3892" s="9" t="n">
        <x:f>ROUND(H3892*(1-I3892),2)</x:f>
        <x:v>23424000</x:v>
      </x:c>
      <x:c r="N3892" s="4" t="str">
        <x:v>Sales manager</x:v>
      </x:c>
      <x:c r="O3892" s="4" t="str">
        <x:v>BOOK-03891</x:v>
      </x:c>
      <x:c r="P3892" s="9" t="n">
        <x:v>11712000</x:v>
      </x:c>
      <x:c r="Q3892" s="11" t="n">
        <x:v>0</x:v>
      </x:c>
      <x:c r="R3892" s="8" t="n">
        <x:v>45591</x:v>
      </x:c>
      <x:c r="S3892" s="4" t="str">
        <x:v>Retained</x:v>
      </x:c>
      <x:c r="T3892" s="10" t="n">
        <x:v>0.291946</x:v>
      </x:c>
      <x:c r="U3892" s="4" t="str">
        <x:v>Test</x:v>
      </x:c>
    </x:row>
    <x:row r="3893" ht="34" customHeight="1">
      <x:c r="A3893" s="4" t="str">
        <x:v>RS-03892</x:v>
      </x:c>
      <x:c r="B3893" s="8" t="n">
        <x:v>45532</x:v>
      </x:c>
      <x:c r="C3893" s="4" t="str">
        <x:v>PRJ-012</x:v>
      </x:c>
      <x:c r="D3893" s="4" t="str">
        <x:v>Retail</x:v>
      </x:c>
      <x:c r="E3893" s="4" t="str">
        <x:v>Booked</x:v>
      </x:c>
      <x:c r="F3893" s="4" t="str">
        <x:v>CUS-03892</x:v>
      </x:c>
      <x:c r="G3893" s="4" t="str">
        <x:v>UNIT-03892</x:v>
      </x:c>
      <x:c r="H3893" s="9" t="n">
        <x:v>6100000</x:v>
      </x:c>
      <x:c r="I3893" s="10" t="n">
        <x:v>0.05</x:v>
      </x:c>
      <x:c r="J3893" s="11" t="n">
        <x:v>7</x:v>
      </x:c>
      <x:c r="K3893" s="11" t="n">
        <x:v>4</x:v>
      </x:c>
      <x:c r="L3893" s="11" t="n">
        <x:v>1</x:v>
      </x:c>
      <x:c r="M3893" s="9" t="n">
        <x:f>ROUND(H3893*(1-I3893),2)</x:f>
        <x:v>5795000</x:v>
      </x:c>
      <x:c r="N3893" s="4" t="str">
        <x:v>Sales manager</x:v>
      </x:c>
      <x:c r="O3893" s="4" t="str">
        <x:v>BOOK-03892</x:v>
      </x:c>
      <x:c r="P3893" s="9" t="n">
        <x:v>1448750</x:v>
      </x:c>
      <x:c r="Q3893" s="11" t="n">
        <x:v>0</x:v>
      </x:c>
      <x:c r="R3893" s="8" t="n">
        <x:v>45592</x:v>
      </x:c>
      <x:c r="S3893" s="4" t="str">
        <x:v>Retained</x:v>
      </x:c>
      <x:c r="T3893" s="10" t="n">
        <x:v>0.291946</x:v>
      </x:c>
      <x:c r="U3893" s="4" t="str">
        <x:v>Test</x:v>
      </x:c>
    </x:row>
    <x:row r="3894" ht="34" customHeight="1">
      <x:c r="A3894" s="4" t="str">
        <x:v>RS-03893</x:v>
      </x:c>
      <x:c r="B3894" s="8" t="n">
        <x:v>45505</x:v>
      </x:c>
      <x:c r="C3894" s="4" t="str">
        <x:v>PRJ-013</x:v>
      </x:c>
      <x:c r="D3894" s="4" t="str">
        <x:v>Office</x:v>
      </x:c>
      <x:c r="E3894" s="4" t="str">
        <x:v>Cancelled</x:v>
      </x:c>
      <x:c r="F3894" s="4" t="str">
        <x:v>CUS-03893</x:v>
      </x:c>
      <x:c r="G3894" s="4" t="str">
        <x:v>UNIT-03893</x:v>
      </x:c>
      <x:c r="H3894" s="9" t="n">
        <x:v>8400000</x:v>
      </x:c>
      <x:c r="I3894" s="10" t="n">
        <x:v>0.12</x:v>
      </x:c>
      <x:c r="J3894" s="11" t="n">
        <x:v>4</x:v>
      </x:c>
      <x:c r="K3894" s="11" t="n">
        <x:v>10</x:v>
      </x:c>
      <x:c r="L3894" s="11" t="n">
        <x:v>1</x:v>
      </x:c>
      <x:c r="M3894" s="9" t="n">
        <x:f>ROUND(H3894*(1-I3894),2)</x:f>
        <x:v>7392000</x:v>
      </x:c>
      <x:c r="N3894" s="4" t="str">
        <x:v>Sales head</x:v>
      </x:c>
      <x:c r="O3894" s="4"/>
      <x:c r="P3894" s="9" t="n">
        <x:v>0</x:v>
      </x:c>
      <x:c r="Q3894" s="11" t="n">
        <x:v>1</x:v>
      </x:c>
      <x:c r="R3894" s="8" t="n">
        <x:v>45565</x:v>
      </x:c>
      <x:c r="S3894" s="4" t="str">
        <x:v>Lost / cancelled</x:v>
      </x:c>
      <x:c r="T3894" s="10" t="n">
        <x:v>0.291946</x:v>
      </x:c>
      <x:c r="U3894" s="4" t="str">
        <x:v>Test</x:v>
      </x:c>
    </x:row>
    <x:row r="3895" ht="34" customHeight="1">
      <x:c r="A3895" s="4" t="str">
        <x:v>RS-03894</x:v>
      </x:c>
      <x:c r="B3895" s="8" t="n">
        <x:v>45506</x:v>
      </x:c>
      <x:c r="C3895" s="4" t="str">
        <x:v>PRJ-014</x:v>
      </x:c>
      <x:c r="D3895" s="4" t="str">
        <x:v>Retail</x:v>
      </x:c>
      <x:c r="E3895" s="4" t="str">
        <x:v>Cancelled</x:v>
      </x:c>
      <x:c r="F3895" s="4" t="str">
        <x:v>CUS-03894</x:v>
      </x:c>
      <x:c r="G3895" s="4" t="str">
        <x:v>UNIT-03894</x:v>
      </x:c>
      <x:c r="H3895" s="9" t="n">
        <x:v>10800000</x:v>
      </x:c>
      <x:c r="I3895" s="10" t="n">
        <x:v>0.07</x:v>
      </x:c>
      <x:c r="J3895" s="11" t="n">
        <x:v>5</x:v>
      </x:c>
      <x:c r="K3895" s="11" t="n">
        <x:v>5</x:v>
      </x:c>
      <x:c r="L3895" s="11" t="n">
        <x:v>0</x:v>
      </x:c>
      <x:c r="M3895" s="9" t="n">
        <x:f>ROUND(H3895*(1-I3895),2)</x:f>
        <x:v>10044000</x:v>
      </x:c>
      <x:c r="N3895" s="4" t="str">
        <x:v>Sales manager</x:v>
      </x:c>
      <x:c r="O3895" s="4"/>
      <x:c r="P3895" s="9" t="n">
        <x:v>0</x:v>
      </x:c>
      <x:c r="Q3895" s="11" t="n">
        <x:v>1</x:v>
      </x:c>
      <x:c r="R3895" s="8" t="n">
        <x:v>45566</x:v>
      </x:c>
      <x:c r="S3895" s="4" t="str">
        <x:v>Lost / cancelled</x:v>
      </x:c>
      <x:c r="T3895" s="10" t="n">
        <x:v>0.226277</x:v>
      </x:c>
      <x:c r="U3895" s="4" t="str">
        <x:v>Test</x:v>
      </x:c>
    </x:row>
    <x:row r="3896" ht="34" customHeight="1">
      <x:c r="A3896" s="4" t="str">
        <x:v>RS-03895</x:v>
      </x:c>
      <x:c r="B3896" s="8" t="n">
        <x:v>45507</x:v>
      </x:c>
      <x:c r="C3896" s="4" t="str">
        <x:v>PRJ-015</x:v>
      </x:c>
      <x:c r="D3896" s="4" t="str">
        <x:v>Apartment</x:v>
      </x:c>
      <x:c r="E3896" s="4" t="str">
        <x:v>Handed over</x:v>
      </x:c>
      <x:c r="F3896" s="4" t="str">
        <x:v>CUS-03895</x:v>
      </x:c>
      <x:c r="G3896" s="4" t="str">
        <x:v>UNIT-03895</x:v>
      </x:c>
      <x:c r="H3896" s="9" t="n">
        <x:v>23300000</x:v>
      </x:c>
      <x:c r="I3896" s="10" t="n">
        <x:v>0.04</x:v>
      </x:c>
      <x:c r="J3896" s="11" t="n">
        <x:v>9</x:v>
      </x:c>
      <x:c r="K3896" s="11" t="n">
        <x:v>9</x:v>
      </x:c>
      <x:c r="L3896" s="11" t="n">
        <x:v>1</x:v>
      </x:c>
      <x:c r="M3896" s="9" t="n">
        <x:f>ROUND(H3896*(1-I3896),2)</x:f>
        <x:v>22368000</x:v>
      </x:c>
      <x:c r="N3896" s="4" t="str">
        <x:v>Sales manager</x:v>
      </x:c>
      <x:c r="O3896" s="4" t="str">
        <x:v>BOOK-03895</x:v>
      </x:c>
      <x:c r="P3896" s="9" t="n">
        <x:v>5592000</x:v>
      </x:c>
      <x:c r="Q3896" s="11" t="n">
        <x:v>0</x:v>
      </x:c>
      <x:c r="R3896" s="8" t="n">
        <x:v>45567</x:v>
      </x:c>
      <x:c r="S3896" s="4" t="str">
        <x:v>Retained</x:v>
      </x:c>
      <x:c r="T3896" s="10" t="n">
        <x:v>0.310195</x:v>
      </x:c>
      <x:c r="U3896" s="4" t="str">
        <x:v>Test</x:v>
      </x:c>
    </x:row>
    <x:row r="3897" ht="34" customHeight="1">
      <x:c r="A3897" s="4" t="str">
        <x:v>RS-03896</x:v>
      </x:c>
      <x:c r="B3897" s="8" t="n">
        <x:v>45508</x:v>
      </x:c>
      <x:c r="C3897" s="4" t="str">
        <x:v>PRJ-016</x:v>
      </x:c>
      <x:c r="D3897" s="4" t="str">
        <x:v>Office</x:v>
      </x:c>
      <x:c r="E3897" s="4" t="str">
        <x:v>Handed over</x:v>
      </x:c>
      <x:c r="F3897" s="4" t="str">
        <x:v>CUS-03896</x:v>
      </x:c>
      <x:c r="G3897" s="4" t="str">
        <x:v>UNIT-03896</x:v>
      </x:c>
      <x:c r="H3897" s="9" t="n">
        <x:v>18500000</x:v>
      </x:c>
      <x:c r="I3897" s="10" t="n">
        <x:v>0.01</x:v>
      </x:c>
      <x:c r="J3897" s="11" t="n">
        <x:v>7</x:v>
      </x:c>
      <x:c r="K3897" s="11" t="n">
        <x:v>7</x:v>
      </x:c>
      <x:c r="L3897" s="11" t="n">
        <x:v>0</x:v>
      </x:c>
      <x:c r="M3897" s="9" t="n">
        <x:f>ROUND(H3897*(1-I3897),2)</x:f>
        <x:v>18315000</x:v>
      </x:c>
      <x:c r="N3897" s="4" t="str">
        <x:v>Sales manager</x:v>
      </x:c>
      <x:c r="O3897" s="4" t="str">
        <x:v>BOOK-03896</x:v>
      </x:c>
      <x:c r="P3897" s="9" t="n">
        <x:v>4578750</x:v>
      </x:c>
      <x:c r="Q3897" s="11" t="n">
        <x:v>0</x:v>
      </x:c>
      <x:c r="R3897" s="8" t="n">
        <x:v>45568</x:v>
      </x:c>
      <x:c r="S3897" s="4" t="str">
        <x:v>Retained</x:v>
      </x:c>
      <x:c r="T3897" s="10" t="n">
        <x:v>0.145299</x:v>
      </x:c>
      <x:c r="U3897" s="4" t="str">
        <x:v>Test</x:v>
      </x:c>
    </x:row>
    <x:row r="3898" ht="34" customHeight="1">
      <x:c r="A3898" s="4" t="str">
        <x:v>RS-03897</x:v>
      </x:c>
      <x:c r="B3898" s="8" t="n">
        <x:v>45509</x:v>
      </x:c>
      <x:c r="C3898" s="4" t="str">
        <x:v>PRJ-017</x:v>
      </x:c>
      <x:c r="D3898" s="4" t="str">
        <x:v>Apartment</x:v>
      </x:c>
      <x:c r="E3898" s="4" t="str">
        <x:v>Agreement signed</x:v>
      </x:c>
      <x:c r="F3898" s="4" t="str">
        <x:v>CUS-03897</x:v>
      </x:c>
      <x:c r="G3898" s="4" t="str">
        <x:v>UNIT-03897</x:v>
      </x:c>
      <x:c r="H3898" s="9" t="n">
        <x:v>17000000</x:v>
      </x:c>
      <x:c r="I3898" s="10" t="n">
        <x:v>0.05</x:v>
      </x:c>
      <x:c r="J3898" s="11" t="n">
        <x:v>5</x:v>
      </x:c>
      <x:c r="K3898" s="11" t="n">
        <x:v>4</x:v>
      </x:c>
      <x:c r="L3898" s="11" t="n">
        <x:v>1</x:v>
      </x:c>
      <x:c r="M3898" s="9" t="n">
        <x:f>ROUND(H3898*(1-I3898),2)</x:f>
        <x:v>16150000</x:v>
      </x:c>
      <x:c r="N3898" s="4" t="str">
        <x:v>Sales manager</x:v>
      </x:c>
      <x:c r="O3898" s="4" t="str">
        <x:v>BOOK-03897</x:v>
      </x:c>
      <x:c r="P3898" s="9" t="n">
        <x:v>16150000</x:v>
      </x:c>
      <x:c r="Q3898" s="11" t="n">
        <x:v>0</x:v>
      </x:c>
      <x:c r="R3898" s="8" t="n">
        <x:v>45569</x:v>
      </x:c>
      <x:c r="S3898" s="4" t="str">
        <x:v>Retained</x:v>
      </x:c>
      <x:c r="T3898" s="10" t="n">
        <x:v>0.291946</x:v>
      </x:c>
      <x:c r="U3898" s="4" t="str">
        <x:v>Test</x:v>
      </x:c>
    </x:row>
    <x:row r="3899" ht="34" customHeight="1">
      <x:c r="A3899" s="4" t="str">
        <x:v>RS-03898</x:v>
      </x:c>
      <x:c r="B3899" s="8" t="n">
        <x:v>45510</x:v>
      </x:c>
      <x:c r="C3899" s="4" t="str">
        <x:v>PRJ-018</x:v>
      </x:c>
      <x:c r="D3899" s="4" t="str">
        <x:v>Apartment</x:v>
      </x:c>
      <x:c r="E3899" s="4" t="str">
        <x:v>Handed over</x:v>
      </x:c>
      <x:c r="F3899" s="4" t="str">
        <x:v>CUS-03898</x:v>
      </x:c>
      <x:c r="G3899" s="4" t="str">
        <x:v>UNIT-03898</x:v>
      </x:c>
      <x:c r="H3899" s="9" t="n">
        <x:v>16000000</x:v>
      </x:c>
      <x:c r="I3899" s="10" t="n">
        <x:v>0.05</x:v>
      </x:c>
      <x:c r="J3899" s="11" t="n">
        <x:v>7</x:v>
      </x:c>
      <x:c r="K3899" s="11" t="n">
        <x:v>7</x:v>
      </x:c>
      <x:c r="L3899" s="11" t="n">
        <x:v>1</x:v>
      </x:c>
      <x:c r="M3899" s="9" t="n">
        <x:f>ROUND(H3899*(1-I3899),2)</x:f>
        <x:v>15200000</x:v>
      </x:c>
      <x:c r="N3899" s="4" t="str">
        <x:v>Sales manager</x:v>
      </x:c>
      <x:c r="O3899" s="4" t="str">
        <x:v>BOOK-03898</x:v>
      </x:c>
      <x:c r="P3899" s="9" t="n">
        <x:v>3800000</x:v>
      </x:c>
      <x:c r="Q3899" s="11" t="n">
        <x:v>0</x:v>
      </x:c>
      <x:c r="R3899" s="8" t="n">
        <x:v>45570</x:v>
      </x:c>
      <x:c r="S3899" s="4" t="str">
        <x:v>Retained</x:v>
      </x:c>
      <x:c r="T3899" s="10" t="n">
        <x:v>0.291946</x:v>
      </x:c>
      <x:c r="U3899" s="4" t="str">
        <x:v>Test</x:v>
      </x:c>
    </x:row>
    <x:row r="3900" ht="34" customHeight="1">
      <x:c r="A3900" s="4" t="str">
        <x:v>RS-03899</x:v>
      </x:c>
      <x:c r="B3900" s="8" t="n">
        <x:v>45511</x:v>
      </x:c>
      <x:c r="C3900" s="4" t="str">
        <x:v>PRJ-019</x:v>
      </x:c>
      <x:c r="D3900" s="4" t="str">
        <x:v>Villa</x:v>
      </x:c>
      <x:c r="E3900" s="4" t="str">
        <x:v>Enquiry</x:v>
      </x:c>
      <x:c r="F3900" s="4" t="str">
        <x:v>CUS-03899</x:v>
      </x:c>
      <x:c r="G3900" s="4" t="str">
        <x:v>UNIT-03899</x:v>
      </x:c>
      <x:c r="H3900" s="9" t="n">
        <x:v>22400000</x:v>
      </x:c>
      <x:c r="I3900" s="10" t="n">
        <x:v>0.05</x:v>
      </x:c>
      <x:c r="J3900" s="11" t="n">
        <x:v>10</x:v>
      </x:c>
      <x:c r="K3900" s="11" t="n">
        <x:v>0</x:v>
      </x:c>
      <x:c r="L3900" s="11" t="n">
        <x:v>1</x:v>
      </x:c>
      <x:c r="M3900" s="9" t="n">
        <x:f>ROUND(H3900*(1-I3900),2)</x:f>
        <x:v>21280000</x:v>
      </x:c>
      <x:c r="N3900" s="4" t="str">
        <x:v>Sales manager</x:v>
      </x:c>
      <x:c r="O3900" s="4"/>
      <x:c r="P3900" s="9" t="n">
        <x:v>0</x:v>
      </x:c>
      <x:c r="Q3900" s="11" t="n">
        <x:v>0</x:v>
      </x:c>
      <x:c r="R3900" s="8" t="n">
        <x:v>45571</x:v>
      </x:c>
      <x:c r="S3900" s="4" t="str">
        <x:v>Retained</x:v>
      </x:c>
      <x:c r="T3900" s="10" t="n">
        <x:v>0.310195</x:v>
      </x:c>
      <x:c r="U3900" s="4" t="str">
        <x:v>Test</x:v>
      </x:c>
    </x:row>
    <x:row r="3901" ht="34" customHeight="1">
      <x:c r="A3901" s="4" t="str">
        <x:v>RS-03900</x:v>
      </x:c>
      <x:c r="B3901" s="8" t="n">
        <x:v>45512</x:v>
      </x:c>
      <x:c r="C3901" s="4" t="str">
        <x:v>PRJ-020</x:v>
      </x:c>
      <x:c r="D3901" s="4" t="str">
        <x:v>Retail</x:v>
      </x:c>
      <x:c r="E3901" s="4" t="str">
        <x:v>Cancelled</x:v>
      </x:c>
      <x:c r="F3901" s="4" t="str">
        <x:v>CUS-03900</x:v>
      </x:c>
      <x:c r="G3901" s="4" t="str">
        <x:v>UNIT-03900</x:v>
      </x:c>
      <x:c r="H3901" s="9" t="n">
        <x:v>10000000</x:v>
      </x:c>
      <x:c r="I3901" s="10" t="n">
        <x:v>0.1</x:v>
      </x:c>
      <x:c r="J3901" s="11" t="n">
        <x:v>12</x:v>
      </x:c>
      <x:c r="K3901" s="11" t="n">
        <x:v>3</x:v>
      </x:c>
      <x:c r="L3901" s="11" t="n">
        <x:v>0</x:v>
      </x:c>
      <x:c r="M3901" s="9" t="n">
        <x:f>ROUND(H3901*(1-I3901),2)</x:f>
        <x:v>9000000</x:v>
      </x:c>
      <x:c r="N3901" s="4" t="str">
        <x:v>Sales head</x:v>
      </x:c>
      <x:c r="O3901" s="4"/>
      <x:c r="P3901" s="9" t="n">
        <x:v>0</x:v>
      </x:c>
      <x:c r="Q3901" s="11" t="n">
        <x:v>1</x:v>
      </x:c>
      <x:c r="R3901" s="8" t="n">
        <x:v>45572</x:v>
      </x:c>
      <x:c r="S3901" s="4" t="str">
        <x:v>Lost / cancelled</x:v>
      </x:c>
      <x:c r="T3901" s="10" t="n">
        <x:v>0.351536</x:v>
      </x:c>
      <x:c r="U3901" s="4" t="str">
        <x:v>Test</x:v>
      </x:c>
    </x:row>
    <x:row r="3902" ht="34" customHeight="1">
      <x:c r="A3902" s="4" t="str">
        <x:v>RS-03901</x:v>
      </x:c>
      <x:c r="B3902" s="8" t="n">
        <x:v>45513</x:v>
      </x:c>
      <x:c r="C3902" s="4" t="str">
        <x:v>PRJ-001</x:v>
      </x:c>
      <x:c r="D3902" s="4" t="str">
        <x:v>Villa</x:v>
      </x:c>
      <x:c r="E3902" s="4" t="str">
        <x:v>Agreement signed</x:v>
      </x:c>
      <x:c r="F3902" s="4" t="str">
        <x:v>CUS-03901</x:v>
      </x:c>
      <x:c r="G3902" s="4" t="str">
        <x:v>UNIT-03901</x:v>
      </x:c>
      <x:c r="H3902" s="9" t="n">
        <x:v>5800000</x:v>
      </x:c>
      <x:c r="I3902" s="10" t="n">
        <x:v>0.03</x:v>
      </x:c>
      <x:c r="J3902" s="11" t="n">
        <x:v>12</x:v>
      </x:c>
      <x:c r="K3902" s="11" t="n">
        <x:v>9</x:v>
      </x:c>
      <x:c r="L3902" s="11" t="n">
        <x:v>1</x:v>
      </x:c>
      <x:c r="M3902" s="9" t="n">
        <x:f>ROUND(H3902*(1-I3902),2)</x:f>
        <x:v>5626000</x:v>
      </x:c>
      <x:c r="N3902" s="4" t="str">
        <x:v>Sales manager</x:v>
      </x:c>
      <x:c r="O3902" s="4" t="str">
        <x:v>BOOK-03901</x:v>
      </x:c>
      <x:c r="P3902" s="9" t="n">
        <x:v>1406500</x:v>
      </x:c>
      <x:c r="Q3902" s="11" t="n">
        <x:v>0</x:v>
      </x:c>
      <x:c r="R3902" s="8" t="n">
        <x:v>45573</x:v>
      </x:c>
      <x:c r="S3902" s="4" t="str">
        <x:v>Retained</x:v>
      </x:c>
      <x:c r="T3902" s="10" t="n">
        <x:v>0.351536</x:v>
      </x:c>
      <x:c r="U3902" s="4" t="str">
        <x:v>Test</x:v>
      </x:c>
    </x:row>
    <x:row r="3903" ht="34" customHeight="1">
      <x:c r="A3903" s="4" t="str">
        <x:v>RS-03902</x:v>
      </x:c>
      <x:c r="B3903" s="8" t="n">
        <x:v>45514</x:v>
      </x:c>
      <x:c r="C3903" s="4" t="str">
        <x:v>PRJ-002</x:v>
      </x:c>
      <x:c r="D3903" s="4" t="str">
        <x:v>Retail</x:v>
      </x:c>
      <x:c r="E3903" s="4" t="str">
        <x:v>Agreement signed</x:v>
      </x:c>
      <x:c r="F3903" s="4" t="str">
        <x:v>CUS-03902</x:v>
      </x:c>
      <x:c r="G3903" s="4" t="str">
        <x:v>UNIT-03902</x:v>
      </x:c>
      <x:c r="H3903" s="9" t="n">
        <x:v>18300000</x:v>
      </x:c>
      <x:c r="I3903" s="10" t="n">
        <x:v>0.05</x:v>
      </x:c>
      <x:c r="J3903" s="11" t="n">
        <x:v>5</x:v>
      </x:c>
      <x:c r="K3903" s="11" t="n">
        <x:v>7</x:v>
      </x:c>
      <x:c r="L3903" s="11" t="n">
        <x:v>0</x:v>
      </x:c>
      <x:c r="M3903" s="9" t="n">
        <x:f>ROUND(H3903*(1-I3903),2)</x:f>
        <x:v>17385000</x:v>
      </x:c>
      <x:c r="N3903" s="4" t="str">
        <x:v>Sales manager</x:v>
      </x:c>
      <x:c r="O3903" s="4" t="str">
        <x:v>BOOK-03902</x:v>
      </x:c>
      <x:c r="P3903" s="9" t="n">
        <x:v>1738500</x:v>
      </x:c>
      <x:c r="Q3903" s="11" t="n">
        <x:v>0</x:v>
      </x:c>
      <x:c r="R3903" s="8" t="n">
        <x:v>45574</x:v>
      </x:c>
      <x:c r="S3903" s="4" t="str">
        <x:v>Retained</x:v>
      </x:c>
      <x:c r="T3903" s="10" t="n">
        <x:v>0.226277</x:v>
      </x:c>
      <x:c r="U3903" s="4" t="str">
        <x:v>Test</x:v>
      </x:c>
    </x:row>
    <x:row r="3904" ht="34" customHeight="1">
      <x:c r="A3904" s="4" t="str">
        <x:v>RS-03903</x:v>
      </x:c>
      <x:c r="B3904" s="8" t="n">
        <x:v>45515</x:v>
      </x:c>
      <x:c r="C3904" s="4" t="str">
        <x:v>PRJ-003</x:v>
      </x:c>
      <x:c r="D3904" s="4" t="str">
        <x:v>Retail</x:v>
      </x:c>
      <x:c r="E3904" s="4" t="str">
        <x:v>Handed over</x:v>
      </x:c>
      <x:c r="F3904" s="4" t="str">
        <x:v>CUS-03903</x:v>
      </x:c>
      <x:c r="G3904" s="4" t="str">
        <x:v>UNIT-03903</x:v>
      </x:c>
      <x:c r="H3904" s="9" t="n">
        <x:v>13400000</x:v>
      </x:c>
      <x:c r="I3904" s="10" t="n">
        <x:v>0.03</x:v>
      </x:c>
      <x:c r="J3904" s="11" t="n">
        <x:v>7</x:v>
      </x:c>
      <x:c r="K3904" s="11" t="n">
        <x:v>2</x:v>
      </x:c>
      <x:c r="L3904" s="11" t="n">
        <x:v>1</x:v>
      </x:c>
      <x:c r="M3904" s="9" t="n">
        <x:f>ROUND(H3904*(1-I3904),2)</x:f>
        <x:v>12998000</x:v>
      </x:c>
      <x:c r="N3904" s="4" t="str">
        <x:v>Sales manager</x:v>
      </x:c>
      <x:c r="O3904" s="4" t="str">
        <x:v>BOOK-03903</x:v>
      </x:c>
      <x:c r="P3904" s="9" t="n">
        <x:v>1299800</x:v>
      </x:c>
      <x:c r="Q3904" s="11" t="n">
        <x:v>0</x:v>
      </x:c>
      <x:c r="R3904" s="8" t="n">
        <x:v>45575</x:v>
      </x:c>
      <x:c r="S3904" s="4" t="str">
        <x:v>Retained</x:v>
      </x:c>
      <x:c r="T3904" s="10" t="n">
        <x:v>0.298969</x:v>
      </x:c>
      <x:c r="U3904" s="4" t="str">
        <x:v>Test</x:v>
      </x:c>
    </x:row>
    <x:row r="3905" ht="34" customHeight="1">
      <x:c r="A3905" s="4" t="str">
        <x:v>RS-03904</x:v>
      </x:c>
      <x:c r="B3905" s="8" t="n">
        <x:v>45516</x:v>
      </x:c>
      <x:c r="C3905" s="4" t="str">
        <x:v>PRJ-004</x:v>
      </x:c>
      <x:c r="D3905" s="4" t="str">
        <x:v>Office</x:v>
      </x:c>
      <x:c r="E3905" s="4" t="str">
        <x:v>Agreement signed</x:v>
      </x:c>
      <x:c r="F3905" s="4" t="str">
        <x:v>CUS-03904</x:v>
      </x:c>
      <x:c r="G3905" s="4" t="str">
        <x:v>UNIT-03904</x:v>
      </x:c>
      <x:c r="H3905" s="9" t="n">
        <x:v>8100000</x:v>
      </x:c>
      <x:c r="I3905" s="10" t="n">
        <x:v>0.05</x:v>
      </x:c>
      <x:c r="J3905" s="11" t="n">
        <x:v>7</x:v>
      </x:c>
      <x:c r="K3905" s="11" t="n">
        <x:v>4</x:v>
      </x:c>
      <x:c r="L3905" s="11" t="n">
        <x:v>1</x:v>
      </x:c>
      <x:c r="M3905" s="9" t="n">
        <x:f>ROUND(H3905*(1-I3905),2)</x:f>
        <x:v>7695000</x:v>
      </x:c>
      <x:c r="N3905" s="4" t="str">
        <x:v>Sales manager</x:v>
      </x:c>
      <x:c r="O3905" s="4" t="str">
        <x:v>BOOK-03904</x:v>
      </x:c>
      <x:c r="P3905" s="9" t="n">
        <x:v>1923750</x:v>
      </x:c>
      <x:c r="Q3905" s="11" t="n">
        <x:v>0</x:v>
      </x:c>
      <x:c r="R3905" s="8" t="n">
        <x:v>45576</x:v>
      </x:c>
      <x:c r="S3905" s="4" t="str">
        <x:v>Retained</x:v>
      </x:c>
      <x:c r="T3905" s="10" t="n">
        <x:v>0.291946</x:v>
      </x:c>
      <x:c r="U3905" s="4" t="str">
        <x:v>Test</x:v>
      </x:c>
    </x:row>
    <x:row r="3906" ht="34" customHeight="1">
      <x:c r="A3906" s="4" t="str">
        <x:v>RS-03905</x:v>
      </x:c>
      <x:c r="B3906" s="8" t="n">
        <x:v>45517</x:v>
      </x:c>
      <x:c r="C3906" s="4" t="str">
        <x:v>PRJ-005</x:v>
      </x:c>
      <x:c r="D3906" s="4" t="str">
        <x:v>Office</x:v>
      </x:c>
      <x:c r="E3906" s="4" t="str">
        <x:v>Agreement signed</x:v>
      </x:c>
      <x:c r="F3906" s="4" t="str">
        <x:v>CUS-03905</x:v>
      </x:c>
      <x:c r="G3906" s="4" t="str">
        <x:v>UNIT-03905</x:v>
      </x:c>
      <x:c r="H3906" s="9" t="n">
        <x:v>23700000</x:v>
      </x:c>
      <x:c r="I3906" s="10" t="n">
        <x:v>0.01</x:v>
      </x:c>
      <x:c r="J3906" s="11" t="n">
        <x:v>9</x:v>
      </x:c>
      <x:c r="K3906" s="11" t="n">
        <x:v>7</x:v>
      </x:c>
      <x:c r="L3906" s="11" t="n">
        <x:v>0</x:v>
      </x:c>
      <x:c r="M3906" s="9" t="n">
        <x:f>ROUND(H3906*(1-I3906),2)</x:f>
        <x:v>23463000</x:v>
      </x:c>
      <x:c r="N3906" s="4" t="str">
        <x:v>Sales manager</x:v>
      </x:c>
      <x:c r="O3906" s="4" t="str">
        <x:v>BOOK-03905</x:v>
      </x:c>
      <x:c r="P3906" s="9" t="n">
        <x:v>5865750</x:v>
      </x:c>
      <x:c r="Q3906" s="11" t="n">
        <x:v>0</x:v>
      </x:c>
      <x:c r="R3906" s="8" t="n">
        <x:v>45577</x:v>
      </x:c>
      <x:c r="S3906" s="4" t="str">
        <x:v>Retained</x:v>
      </x:c>
      <x:c r="T3906" s="10" t="n">
        <x:v>0.305556</x:v>
      </x:c>
      <x:c r="U3906" s="4" t="str">
        <x:v>Test</x:v>
      </x:c>
    </x:row>
    <x:row r="3907" ht="34" customHeight="1">
      <x:c r="A3907" s="4" t="str">
        <x:v>RS-03906</x:v>
      </x:c>
      <x:c r="B3907" s="8" t="n">
        <x:v>45518</x:v>
      </x:c>
      <x:c r="C3907" s="4" t="str">
        <x:v>PRJ-006</x:v>
      </x:c>
      <x:c r="D3907" s="4" t="str">
        <x:v>Retail</x:v>
      </x:c>
      <x:c r="E3907" s="4" t="str">
        <x:v>Handed over</x:v>
      </x:c>
      <x:c r="F3907" s="4" t="str">
        <x:v>CUS-03906</x:v>
      </x:c>
      <x:c r="G3907" s="4" t="str">
        <x:v>UNIT-03906</x:v>
      </x:c>
      <x:c r="H3907" s="9" t="n">
        <x:v>20900000</x:v>
      </x:c>
      <x:c r="I3907" s="10" t="n">
        <x:v>0</x:v>
      </x:c>
      <x:c r="J3907" s="11" t="n">
        <x:v>5</x:v>
      </x:c>
      <x:c r="K3907" s="11" t="n">
        <x:v>0</x:v>
      </x:c>
      <x:c r="L3907" s="11" t="n">
        <x:v>0</x:v>
      </x:c>
      <x:c r="M3907" s="9" t="n">
        <x:f>ROUND(H3907*(1-I3907),2)</x:f>
        <x:v>20900000</x:v>
      </x:c>
      <x:c r="N3907" s="4" t="str">
        <x:v>Sales manager</x:v>
      </x:c>
      <x:c r="O3907" s="4" t="str">
        <x:v>BOOK-03906</x:v>
      </x:c>
      <x:c r="P3907" s="9" t="n">
        <x:v>2090000</x:v>
      </x:c>
      <x:c r="Q3907" s="11" t="n">
        <x:v>0</x:v>
      </x:c>
      <x:c r="R3907" s="8" t="n">
        <x:v>45578</x:v>
      </x:c>
      <x:c r="S3907" s="4" t="str">
        <x:v>Retained</x:v>
      </x:c>
      <x:c r="T3907" s="10" t="n">
        <x:v>0.298969</x:v>
      </x:c>
      <x:c r="U3907" s="4" t="str">
        <x:v>Test</x:v>
      </x:c>
    </x:row>
    <x:row r="3908" ht="34" customHeight="1">
      <x:c r="A3908" s="4" t="str">
        <x:v>RS-03907</x:v>
      </x:c>
      <x:c r="B3908" s="8" t="n">
        <x:v>45519</x:v>
      </x:c>
      <x:c r="C3908" s="4" t="str">
        <x:v>PRJ-007</x:v>
      </x:c>
      <x:c r="D3908" s="4" t="str">
        <x:v>Office</x:v>
      </x:c>
      <x:c r="E3908" s="4" t="str">
        <x:v>Enquiry</x:v>
      </x:c>
      <x:c r="F3908" s="4" t="str">
        <x:v>CUS-03907</x:v>
      </x:c>
      <x:c r="G3908" s="4" t="str">
        <x:v>UNIT-03907</x:v>
      </x:c>
      <x:c r="H3908" s="9" t="n">
        <x:v>19500000</x:v>
      </x:c>
      <x:c r="I3908" s="10" t="n">
        <x:v>0.08</x:v>
      </x:c>
      <x:c r="J3908" s="11" t="n">
        <x:v>4</x:v>
      </x:c>
      <x:c r="K3908" s="11" t="n">
        <x:v>7</x:v>
      </x:c>
      <x:c r="L3908" s="11" t="n">
        <x:v>1</x:v>
      </x:c>
      <x:c r="M3908" s="9" t="n">
        <x:f>ROUND(H3908*(1-I3908),2)</x:f>
        <x:v>17940000</x:v>
      </x:c>
      <x:c r="N3908" s="4" t="str">
        <x:v>Sales head</x:v>
      </x:c>
      <x:c r="O3908" s="4"/>
      <x:c r="P3908" s="9" t="n">
        <x:v>0</x:v>
      </x:c>
      <x:c r="Q3908" s="11" t="n">
        <x:v>0</x:v>
      </x:c>
      <x:c r="R3908" s="8" t="n">
        <x:v>45579</x:v>
      </x:c>
      <x:c r="S3908" s="4" t="str">
        <x:v>Retained</x:v>
      </x:c>
      <x:c r="T3908" s="10" t="n">
        <x:v>0.291946</x:v>
      </x:c>
      <x:c r="U3908" s="4" t="str">
        <x:v>Test</x:v>
      </x:c>
    </x:row>
    <x:row r="3909" ht="34" customHeight="1">
      <x:c r="A3909" s="4" t="str">
        <x:v>RS-03908</x:v>
      </x:c>
      <x:c r="B3909" s="8" t="n">
        <x:v>45520</x:v>
      </x:c>
      <x:c r="C3909" s="4" t="str">
        <x:v>PRJ-008</x:v>
      </x:c>
      <x:c r="D3909" s="4" t="str">
        <x:v>Office</x:v>
      </x:c>
      <x:c r="E3909" s="4" t="str">
        <x:v>Enquiry</x:v>
      </x:c>
      <x:c r="F3909" s="4" t="str">
        <x:v>CUS-03908</x:v>
      </x:c>
      <x:c r="G3909" s="4" t="str">
        <x:v>UNIT-03908</x:v>
      </x:c>
      <x:c r="H3909" s="9" t="n">
        <x:v>6100000</x:v>
      </x:c>
      <x:c r="I3909" s="10" t="n">
        <x:v>0.06</x:v>
      </x:c>
      <x:c r="J3909" s="11" t="n">
        <x:v>0</x:v>
      </x:c>
      <x:c r="K3909" s="11" t="n">
        <x:v>5</x:v>
      </x:c>
      <x:c r="L3909" s="11" t="n">
        <x:v>0</x:v>
      </x:c>
      <x:c r="M3909" s="9" t="n">
        <x:f>ROUND(H3909*(1-I3909),2)</x:f>
        <x:v>5734000</x:v>
      </x:c>
      <x:c r="N3909" s="4" t="str">
        <x:v>Sales manager</x:v>
      </x:c>
      <x:c r="O3909" s="4"/>
      <x:c r="P3909" s="9" t="n">
        <x:v>0</x:v>
      </x:c>
      <x:c r="Q3909" s="11" t="n">
        <x:v>0</x:v>
      </x:c>
      <x:c r="R3909" s="8" t="n">
        <x:v>45580</x:v>
      </x:c>
      <x:c r="S3909" s="4" t="str">
        <x:v>Retained</x:v>
      </x:c>
      <x:c r="T3909" s="10" t="n">
        <x:v>0.204152</x:v>
      </x:c>
      <x:c r="U3909" s="4" t="str">
        <x:v>Test</x:v>
      </x:c>
    </x:row>
    <x:row r="3910" ht="34" customHeight="1">
      <x:c r="A3910" s="4" t="str">
        <x:v>RS-03909</x:v>
      </x:c>
      <x:c r="B3910" s="8" t="n">
        <x:v>45521</x:v>
      </x:c>
      <x:c r="C3910" s="4" t="str">
        <x:v>PRJ-009</x:v>
      </x:c>
      <x:c r="D3910" s="4" t="str">
        <x:v>Retail</x:v>
      </x:c>
      <x:c r="E3910" s="4" t="str">
        <x:v>Booked</x:v>
      </x:c>
      <x:c r="F3910" s="4" t="str">
        <x:v>CUS-03909</x:v>
      </x:c>
      <x:c r="G3910" s="4" t="str">
        <x:v>UNIT-03909</x:v>
      </x:c>
      <x:c r="H3910" s="9" t="n">
        <x:v>23600000</x:v>
      </x:c>
      <x:c r="I3910" s="10" t="n">
        <x:v>0.11</x:v>
      </x:c>
      <x:c r="J3910" s="11" t="n">
        <x:v>11</x:v>
      </x:c>
      <x:c r="K3910" s="11" t="n">
        <x:v>2</x:v>
      </x:c>
      <x:c r="L3910" s="11" t="n">
        <x:v>0</x:v>
      </x:c>
      <x:c r="M3910" s="9" t="n">
        <x:f>ROUND(H3910*(1-I3910),2)</x:f>
        <x:v>21004000</x:v>
      </x:c>
      <x:c r="N3910" s="4" t="str">
        <x:v>Sales head</x:v>
      </x:c>
      <x:c r="O3910" s="4" t="str">
        <x:v>BOOK-03909</x:v>
      </x:c>
      <x:c r="P3910" s="9" t="n">
        <x:v>10502000</x:v>
      </x:c>
      <x:c r="Q3910" s="11" t="n">
        <x:v>0</x:v>
      </x:c>
      <x:c r="R3910" s="8" t="n">
        <x:v>45581</x:v>
      </x:c>
      <x:c r="S3910" s="4" t="str">
        <x:v>Retained</x:v>
      </x:c>
      <x:c r="T3910" s="10" t="n">
        <x:v>0.351536</x:v>
      </x:c>
      <x:c r="U3910" s="4" t="str">
        <x:v>Test</x:v>
      </x:c>
    </x:row>
    <x:row r="3911" ht="34" customHeight="1">
      <x:c r="A3911" s="4" t="str">
        <x:v>RS-03910</x:v>
      </x:c>
      <x:c r="B3911" s="8" t="n">
        <x:v>45522</x:v>
      </x:c>
      <x:c r="C3911" s="4" t="str">
        <x:v>PRJ-010</x:v>
      </x:c>
      <x:c r="D3911" s="4" t="str">
        <x:v>Apartment</x:v>
      </x:c>
      <x:c r="E3911" s="4" t="str">
        <x:v>Handed over</x:v>
      </x:c>
      <x:c r="F3911" s="4" t="str">
        <x:v>CUS-03910</x:v>
      </x:c>
      <x:c r="G3911" s="4" t="str">
        <x:v>UNIT-03910</x:v>
      </x:c>
      <x:c r="H3911" s="9" t="n">
        <x:v>15200000</x:v>
      </x:c>
      <x:c r="I3911" s="10" t="n">
        <x:v>0.12</x:v>
      </x:c>
      <x:c r="J3911" s="11" t="n">
        <x:v>11</x:v>
      </x:c>
      <x:c r="K3911" s="11" t="n">
        <x:v>2</x:v>
      </x:c>
      <x:c r="L3911" s="11" t="n">
        <x:v>1</x:v>
      </x:c>
      <x:c r="M3911" s="9" t="n">
        <x:f>ROUND(H3911*(1-I3911),2)</x:f>
        <x:v>13376000</x:v>
      </x:c>
      <x:c r="N3911" s="4" t="str">
        <x:v>Sales head</x:v>
      </x:c>
      <x:c r="O3911" s="4" t="str">
        <x:v>BOOK-03910</x:v>
      </x:c>
      <x:c r="P3911" s="9" t="n">
        <x:v>1337600</x:v>
      </x:c>
      <x:c r="Q3911" s="11" t="n">
        <x:v>0</x:v>
      </x:c>
      <x:c r="R3911" s="8" t="n">
        <x:v>45582</x:v>
      </x:c>
      <x:c r="S3911" s="4" t="str">
        <x:v>Retained</x:v>
      </x:c>
      <x:c r="T3911" s="10" t="n">
        <x:v>0.351536</x:v>
      </x:c>
      <x:c r="U3911" s="4" t="str">
        <x:v>Test</x:v>
      </x:c>
    </x:row>
    <x:row r="3912" ht="34" customHeight="1">
      <x:c r="A3912" s="4" t="str">
        <x:v>RS-03911</x:v>
      </x:c>
      <x:c r="B3912" s="8" t="n">
        <x:v>45523</x:v>
      </x:c>
      <x:c r="C3912" s="4" t="str">
        <x:v>PRJ-011</x:v>
      </x:c>
      <x:c r="D3912" s="4" t="str">
        <x:v>Apartment</x:v>
      </x:c>
      <x:c r="E3912" s="4" t="str">
        <x:v>Cancelled</x:v>
      </x:c>
      <x:c r="F3912" s="4" t="str">
        <x:v>CUS-03911</x:v>
      </x:c>
      <x:c r="G3912" s="4" t="str">
        <x:v>UNIT-03911</x:v>
      </x:c>
      <x:c r="H3912" s="9" t="n">
        <x:v>21100000</x:v>
      </x:c>
      <x:c r="I3912" s="10" t="n">
        <x:v>0.01</x:v>
      </x:c>
      <x:c r="J3912" s="11" t="n">
        <x:v>7</x:v>
      </x:c>
      <x:c r="K3912" s="11" t="n">
        <x:v>6</x:v>
      </x:c>
      <x:c r="L3912" s="11" t="n">
        <x:v>0</x:v>
      </x:c>
      <x:c r="M3912" s="9" t="n">
        <x:f>ROUND(H3912*(1-I3912),2)</x:f>
        <x:v>20889000</x:v>
      </x:c>
      <x:c r="N3912" s="4" t="str">
        <x:v>Sales manager</x:v>
      </x:c>
      <x:c r="O3912" s="4"/>
      <x:c r="P3912" s="9" t="n">
        <x:v>0</x:v>
      </x:c>
      <x:c r="Q3912" s="11" t="n">
        <x:v>1</x:v>
      </x:c>
      <x:c r="R3912" s="8" t="n">
        <x:v>45583</x:v>
      </x:c>
      <x:c r="S3912" s="4" t="str">
        <x:v>Lost / cancelled</x:v>
      </x:c>
      <x:c r="T3912" s="10" t="n">
        <x:v>0.145299</x:v>
      </x:c>
      <x:c r="U3912" s="4" t="str">
        <x:v>Test</x:v>
      </x:c>
    </x:row>
    <x:row r="3913" ht="34" customHeight="1">
      <x:c r="A3913" s="4" t="str">
        <x:v>RS-03912</x:v>
      </x:c>
      <x:c r="B3913" s="8" t="n">
        <x:v>45524</x:v>
      </x:c>
      <x:c r="C3913" s="4" t="str">
        <x:v>PRJ-012</x:v>
      </x:c>
      <x:c r="D3913" s="4" t="str">
        <x:v>Villa</x:v>
      </x:c>
      <x:c r="E3913" s="4" t="str">
        <x:v>Handed over</x:v>
      </x:c>
      <x:c r="F3913" s="4" t="str">
        <x:v>CUS-03912</x:v>
      </x:c>
      <x:c r="G3913" s="4" t="str">
        <x:v>UNIT-03912</x:v>
      </x:c>
      <x:c r="H3913" s="9" t="n">
        <x:v>11600000</x:v>
      </x:c>
      <x:c r="I3913" s="10" t="n">
        <x:v>0.12</x:v>
      </x:c>
      <x:c r="J3913" s="11" t="n">
        <x:v>10</x:v>
      </x:c>
      <x:c r="K3913" s="11" t="n">
        <x:v>5</x:v>
      </x:c>
      <x:c r="L3913" s="11" t="n">
        <x:v>0</x:v>
      </x:c>
      <x:c r="M3913" s="9" t="n">
        <x:f>ROUND(H3913*(1-I3913),2)</x:f>
        <x:v>10208000</x:v>
      </x:c>
      <x:c r="N3913" s="4" t="str">
        <x:v>Sales head</x:v>
      </x:c>
      <x:c r="O3913" s="4" t="str">
        <x:v>BOOK-03912</x:v>
      </x:c>
      <x:c r="P3913" s="9" t="n">
        <x:v>5104000</x:v>
      </x:c>
      <x:c r="Q3913" s="11" t="n">
        <x:v>0</x:v>
      </x:c>
      <x:c r="R3913" s="8" t="n">
        <x:v>45584</x:v>
      </x:c>
      <x:c r="S3913" s="4" t="str">
        <x:v>Retained</x:v>
      </x:c>
      <x:c r="T3913" s="10" t="n">
        <x:v>0.310195</x:v>
      </x:c>
      <x:c r="U3913" s="4" t="str">
        <x:v>Test</x:v>
      </x:c>
    </x:row>
    <x:row r="3914" ht="34" customHeight="1">
      <x:c r="A3914" s="4" t="str">
        <x:v>RS-03913</x:v>
      </x:c>
      <x:c r="B3914" s="8" t="n">
        <x:v>45525</x:v>
      </x:c>
      <x:c r="C3914" s="4" t="str">
        <x:v>PRJ-013</x:v>
      </x:c>
      <x:c r="D3914" s="4" t="str">
        <x:v>Retail</x:v>
      </x:c>
      <x:c r="E3914" s="4" t="str">
        <x:v>Agreement signed</x:v>
      </x:c>
      <x:c r="F3914" s="4" t="str">
        <x:v>CUS-03913</x:v>
      </x:c>
      <x:c r="G3914" s="4" t="str">
        <x:v>UNIT-03913</x:v>
      </x:c>
      <x:c r="H3914" s="9" t="n">
        <x:v>17000000</x:v>
      </x:c>
      <x:c r="I3914" s="10" t="n">
        <x:v>0.08</x:v>
      </x:c>
      <x:c r="J3914" s="11" t="n">
        <x:v>5</x:v>
      </x:c>
      <x:c r="K3914" s="11" t="n">
        <x:v>0</x:v>
      </x:c>
      <x:c r="L3914" s="11" t="n">
        <x:v>0</x:v>
      </x:c>
      <x:c r="M3914" s="9" t="n">
        <x:f>ROUND(H3914*(1-I3914),2)</x:f>
        <x:v>15640000</x:v>
      </x:c>
      <x:c r="N3914" s="4" t="str">
        <x:v>Sales head</x:v>
      </x:c>
      <x:c r="O3914" s="4" t="str">
        <x:v>BOOK-03913</x:v>
      </x:c>
      <x:c r="P3914" s="9" t="n">
        <x:v>7820000</x:v>
      </x:c>
      <x:c r="Q3914" s="11" t="n">
        <x:v>0</x:v>
      </x:c>
      <x:c r="R3914" s="8" t="n">
        <x:v>45585</x:v>
      </x:c>
      <x:c r="S3914" s="4" t="str">
        <x:v>Retained</x:v>
      </x:c>
      <x:c r="T3914" s="10" t="n">
        <x:v>0.226277</x:v>
      </x:c>
      <x:c r="U3914" s="4" t="str">
        <x:v>Test</x:v>
      </x:c>
    </x:row>
    <x:row r="3915" ht="34" customHeight="1">
      <x:c r="A3915" s="4" t="str">
        <x:v>RS-03914</x:v>
      </x:c>
      <x:c r="B3915" s="8" t="n">
        <x:v>45526</x:v>
      </x:c>
      <x:c r="C3915" s="4" t="str">
        <x:v>PRJ-014</x:v>
      </x:c>
      <x:c r="D3915" s="4" t="str">
        <x:v>Retail</x:v>
      </x:c>
      <x:c r="E3915" s="4" t="str">
        <x:v>Booked</x:v>
      </x:c>
      <x:c r="F3915" s="4" t="str">
        <x:v>CUS-03914</x:v>
      </x:c>
      <x:c r="G3915" s="4" t="str">
        <x:v>UNIT-03914</x:v>
      </x:c>
      <x:c r="H3915" s="9" t="n">
        <x:v>22200000</x:v>
      </x:c>
      <x:c r="I3915" s="10" t="n">
        <x:v>0.03</x:v>
      </x:c>
      <x:c r="J3915" s="11" t="n">
        <x:v>7</x:v>
      </x:c>
      <x:c r="K3915" s="11" t="n">
        <x:v>10</x:v>
      </x:c>
      <x:c r="L3915" s="11" t="n">
        <x:v>1</x:v>
      </x:c>
      <x:c r="M3915" s="9" t="n">
        <x:f>ROUND(H3915*(1-I3915),2)</x:f>
        <x:v>21534000</x:v>
      </x:c>
      <x:c r="N3915" s="4" t="str">
        <x:v>Sales manager</x:v>
      </x:c>
      <x:c r="O3915" s="4" t="str">
        <x:v>BOOK-03914</x:v>
      </x:c>
      <x:c r="P3915" s="9" t="n">
        <x:v>21534000</x:v>
      </x:c>
      <x:c r="Q3915" s="11" t="n">
        <x:v>0</x:v>
      </x:c>
      <x:c r="R3915" s="8" t="n">
        <x:v>45586</x:v>
      </x:c>
      <x:c r="S3915" s="4" t="str">
        <x:v>Retained</x:v>
      </x:c>
      <x:c r="T3915" s="10" t="n">
        <x:v>0.145299</x:v>
      </x:c>
      <x:c r="U3915" s="4" t="str">
        <x:v>Test</x:v>
      </x:c>
    </x:row>
    <x:row r="3916" ht="34" customHeight="1">
      <x:c r="A3916" s="4" t="str">
        <x:v>RS-03915</x:v>
      </x:c>
      <x:c r="B3916" s="8" t="n">
        <x:v>45527</x:v>
      </x:c>
      <x:c r="C3916" s="4" t="str">
        <x:v>PRJ-015</x:v>
      </x:c>
      <x:c r="D3916" s="4" t="str">
        <x:v>Retail</x:v>
      </x:c>
      <x:c r="E3916" s="4" t="str">
        <x:v>Cancelled</x:v>
      </x:c>
      <x:c r="F3916" s="4" t="str">
        <x:v>CUS-03915</x:v>
      </x:c>
      <x:c r="G3916" s="4" t="str">
        <x:v>UNIT-03915</x:v>
      </x:c>
      <x:c r="H3916" s="9" t="n">
        <x:v>23900000</x:v>
      </x:c>
      <x:c r="I3916" s="10" t="n">
        <x:v>0</x:v>
      </x:c>
      <x:c r="J3916" s="11" t="n">
        <x:v>8</x:v>
      </x:c>
      <x:c r="K3916" s="11" t="n">
        <x:v>5</x:v>
      </x:c>
      <x:c r="L3916" s="11" t="n">
        <x:v>0</x:v>
      </x:c>
      <x:c r="M3916" s="9" t="n">
        <x:f>ROUND(H3916*(1-I3916),2)</x:f>
        <x:v>23900000</x:v>
      </x:c>
      <x:c r="N3916" s="4" t="str">
        <x:v>Sales manager</x:v>
      </x:c>
      <x:c r="O3916" s="4"/>
      <x:c r="P3916" s="9" t="n">
        <x:v>0</x:v>
      </x:c>
      <x:c r="Q3916" s="11" t="n">
        <x:v>1</x:v>
      </x:c>
      <x:c r="R3916" s="8" t="n">
        <x:v>45587</x:v>
      </x:c>
      <x:c r="S3916" s="4" t="str">
        <x:v>Lost / cancelled</x:v>
      </x:c>
      <x:c r="T3916" s="10" t="n">
        <x:v>0.305556</x:v>
      </x:c>
      <x:c r="U3916" s="4" t="str">
        <x:v>Test</x:v>
      </x:c>
    </x:row>
    <x:row r="3917" ht="34" customHeight="1">
      <x:c r="A3917" s="4" t="str">
        <x:v>RS-03916</x:v>
      </x:c>
      <x:c r="B3917" s="8" t="n">
        <x:v>45528</x:v>
      </x:c>
      <x:c r="C3917" s="4" t="str">
        <x:v>PRJ-016</x:v>
      </x:c>
      <x:c r="D3917" s="4" t="str">
        <x:v>Retail</x:v>
      </x:c>
      <x:c r="E3917" s="4" t="str">
        <x:v>Reserved</x:v>
      </x:c>
      <x:c r="F3917" s="4" t="str">
        <x:v>CUS-03916</x:v>
      </x:c>
      <x:c r="G3917" s="4" t="str">
        <x:v>UNIT-03916</x:v>
      </x:c>
      <x:c r="H3917" s="9" t="n">
        <x:v>13300000</x:v>
      </x:c>
      <x:c r="I3917" s="10" t="n">
        <x:v>0.05</x:v>
      </x:c>
      <x:c r="J3917" s="11" t="n">
        <x:v>9</x:v>
      </x:c>
      <x:c r="K3917" s="11" t="n">
        <x:v>0</x:v>
      </x:c>
      <x:c r="L3917" s="11" t="n">
        <x:v>1</x:v>
      </x:c>
      <x:c r="M3917" s="9" t="n">
        <x:f>ROUND(H3917*(1-I3917),2)</x:f>
        <x:v>12635000</x:v>
      </x:c>
      <x:c r="N3917" s="4" t="str">
        <x:v>Sales manager</x:v>
      </x:c>
      <x:c r="O3917" s="4"/>
      <x:c r="P3917" s="9" t="n">
        <x:v>0</x:v>
      </x:c>
      <x:c r="Q3917" s="11" t="n">
        <x:v>0</x:v>
      </x:c>
      <x:c r="R3917" s="8" t="n">
        <x:v>45588</x:v>
      </x:c>
      <x:c r="S3917" s="4" t="str">
        <x:v>Retained</x:v>
      </x:c>
      <x:c r="T3917" s="10" t="n">
        <x:v>0.310195</x:v>
      </x:c>
      <x:c r="U3917" s="4" t="str">
        <x:v>Test</x:v>
      </x:c>
    </x:row>
    <x:row r="3918" ht="34" customHeight="1">
      <x:c r="A3918" s="4" t="str">
        <x:v>RS-03917</x:v>
      </x:c>
      <x:c r="B3918" s="8" t="n">
        <x:v>45529</x:v>
      </x:c>
      <x:c r="C3918" s="4" t="str">
        <x:v>PRJ-017</x:v>
      </x:c>
      <x:c r="D3918" s="4" t="str">
        <x:v>Apartment</x:v>
      </x:c>
      <x:c r="E3918" s="4" t="str">
        <x:v>Handed over</x:v>
      </x:c>
      <x:c r="F3918" s="4" t="str">
        <x:v>CUS-03917</x:v>
      </x:c>
      <x:c r="G3918" s="4" t="str">
        <x:v>UNIT-03917</x:v>
      </x:c>
      <x:c r="H3918" s="9" t="n">
        <x:v>10000000</x:v>
      </x:c>
      <x:c r="I3918" s="10" t="n">
        <x:v>0.01</x:v>
      </x:c>
      <x:c r="J3918" s="11" t="n">
        <x:v>6</x:v>
      </x:c>
      <x:c r="K3918" s="11" t="n">
        <x:v>7</x:v>
      </x:c>
      <x:c r="L3918" s="11" t="n">
        <x:v>1</x:v>
      </x:c>
      <x:c r="M3918" s="9" t="n">
        <x:f>ROUND(H3918*(1-I3918),2)</x:f>
        <x:v>9900000</x:v>
      </x:c>
      <x:c r="N3918" s="4" t="str">
        <x:v>Sales manager</x:v>
      </x:c>
      <x:c r="O3918" s="4" t="str">
        <x:v>BOOK-03917</x:v>
      </x:c>
      <x:c r="P3918" s="9" t="n">
        <x:v>990000</x:v>
      </x:c>
      <x:c r="Q3918" s="11" t="n">
        <x:v>0</x:v>
      </x:c>
      <x:c r="R3918" s="8" t="n">
        <x:v>45589</x:v>
      </x:c>
      <x:c r="S3918" s="4" t="str">
        <x:v>Retained</x:v>
      </x:c>
      <x:c r="T3918" s="10" t="n">
        <x:v>0.145299</x:v>
      </x:c>
      <x:c r="U3918" s="4" t="str">
        <x:v>Test</x:v>
      </x:c>
    </x:row>
    <x:row r="3919" ht="34" customHeight="1">
      <x:c r="A3919" s="4" t="str">
        <x:v>RS-03918</x:v>
      </x:c>
      <x:c r="B3919" s="8" t="n">
        <x:v>45530</x:v>
      </x:c>
      <x:c r="C3919" s="4" t="str">
        <x:v>PRJ-018</x:v>
      </x:c>
      <x:c r="D3919" s="4" t="str">
        <x:v>Office</x:v>
      </x:c>
      <x:c r="E3919" s="4" t="str">
        <x:v>Agreement signed</x:v>
      </x:c>
      <x:c r="F3919" s="4" t="str">
        <x:v>CUS-03918</x:v>
      </x:c>
      <x:c r="G3919" s="4" t="str">
        <x:v>UNIT-03918</x:v>
      </x:c>
      <x:c r="H3919" s="9" t="n">
        <x:v>14000000</x:v>
      </x:c>
      <x:c r="I3919" s="10" t="n">
        <x:v>0.04</x:v>
      </x:c>
      <x:c r="J3919" s="11" t="n">
        <x:v>8</x:v>
      </x:c>
      <x:c r="K3919" s="11" t="n">
        <x:v>9</x:v>
      </x:c>
      <x:c r="L3919" s="11" t="n">
        <x:v>1</x:v>
      </x:c>
      <x:c r="M3919" s="9" t="n">
        <x:f>ROUND(H3919*(1-I3919),2)</x:f>
        <x:v>13440000</x:v>
      </x:c>
      <x:c r="N3919" s="4" t="str">
        <x:v>Sales manager</x:v>
      </x:c>
      <x:c r="O3919" s="4" t="str">
        <x:v>BOOK-03918</x:v>
      </x:c>
      <x:c r="P3919" s="9" t="n">
        <x:v>6720000</x:v>
      </x:c>
      <x:c r="Q3919" s="11" t="n">
        <x:v>0</x:v>
      </x:c>
      <x:c r="R3919" s="8" t="n">
        <x:v>45590</x:v>
      </x:c>
      <x:c r="S3919" s="4" t="str">
        <x:v>Retained</x:v>
      </x:c>
      <x:c r="T3919" s="10" t="n">
        <x:v>0.310195</x:v>
      </x:c>
      <x:c r="U3919" s="4" t="str">
        <x:v>Test</x:v>
      </x:c>
    </x:row>
    <x:row r="3920" ht="34" customHeight="1">
      <x:c r="A3920" s="4" t="str">
        <x:v>RS-03919</x:v>
      </x:c>
      <x:c r="B3920" s="8" t="n">
        <x:v>45531</x:v>
      </x:c>
      <x:c r="C3920" s="4" t="str">
        <x:v>PRJ-019</x:v>
      </x:c>
      <x:c r="D3920" s="4" t="str">
        <x:v>Villa</x:v>
      </x:c>
      <x:c r="E3920" s="4" t="str">
        <x:v>Cancelled</x:v>
      </x:c>
      <x:c r="F3920" s="4" t="str">
        <x:v>CUS-03919</x:v>
      </x:c>
      <x:c r="G3920" s="4" t="str">
        <x:v>UNIT-03919</x:v>
      </x:c>
      <x:c r="H3920" s="9" t="n">
        <x:v>9200000</x:v>
      </x:c>
      <x:c r="I3920" s="10" t="n">
        <x:v>0.07</x:v>
      </x:c>
      <x:c r="J3920" s="11" t="n">
        <x:v>1</x:v>
      </x:c>
      <x:c r="K3920" s="11" t="n">
        <x:v>2</x:v>
      </x:c>
      <x:c r="L3920" s="11" t="n">
        <x:v>0</x:v>
      </x:c>
      <x:c r="M3920" s="9" t="n">
        <x:f>ROUND(H3920*(1-I3920),2)</x:f>
        <x:v>8556000</x:v>
      </x:c>
      <x:c r="N3920" s="4" t="str">
        <x:v>Sales manager</x:v>
      </x:c>
      <x:c r="O3920" s="4"/>
      <x:c r="P3920" s="9" t="n">
        <x:v>0</x:v>
      </x:c>
      <x:c r="Q3920" s="11" t="n">
        <x:v>1</x:v>
      </x:c>
      <x:c r="R3920" s="8" t="n">
        <x:v>45591</x:v>
      </x:c>
      <x:c r="S3920" s="4" t="str">
        <x:v>Lost / cancelled</x:v>
      </x:c>
      <x:c r="T3920" s="10" t="n">
        <x:v>0.204152</x:v>
      </x:c>
      <x:c r="U3920" s="4" t="str">
        <x:v>Test</x:v>
      </x:c>
    </x:row>
    <x:row r="3921" ht="34" customHeight="1">
      <x:c r="A3921" s="4" t="str">
        <x:v>RS-03920</x:v>
      </x:c>
      <x:c r="B3921" s="8" t="n">
        <x:v>45532</x:v>
      </x:c>
      <x:c r="C3921" s="4" t="str">
        <x:v>PRJ-020</x:v>
      </x:c>
      <x:c r="D3921" s="4" t="str">
        <x:v>Retail</x:v>
      </x:c>
      <x:c r="E3921" s="4" t="str">
        <x:v>Handed over</x:v>
      </x:c>
      <x:c r="F3921" s="4" t="str">
        <x:v>CUS-03920</x:v>
      </x:c>
      <x:c r="G3921" s="4" t="str">
        <x:v>UNIT-03920</x:v>
      </x:c>
      <x:c r="H3921" s="9" t="n">
        <x:v>17800000</x:v>
      </x:c>
      <x:c r="I3921" s="10" t="n">
        <x:v>0.03</x:v>
      </x:c>
      <x:c r="J3921" s="11" t="n">
        <x:v>5</x:v>
      </x:c>
      <x:c r="K3921" s="11" t="n">
        <x:v>7</x:v>
      </x:c>
      <x:c r="L3921" s="11" t="n">
        <x:v>1</x:v>
      </x:c>
      <x:c r="M3921" s="9" t="n">
        <x:f>ROUND(H3921*(1-I3921),2)</x:f>
        <x:v>17266000</x:v>
      </x:c>
      <x:c r="N3921" s="4" t="str">
        <x:v>Sales manager</x:v>
      </x:c>
      <x:c r="O3921" s="4" t="str">
        <x:v>BOOK-03920</x:v>
      </x:c>
      <x:c r="P3921" s="9" t="n">
        <x:v>8633000</x:v>
      </x:c>
      <x:c r="Q3921" s="11" t="n">
        <x:v>0</x:v>
      </x:c>
      <x:c r="R3921" s="8" t="n">
        <x:v>45592</x:v>
      </x:c>
      <x:c r="S3921" s="4" t="str">
        <x:v>Retained</x:v>
      </x:c>
      <x:c r="T3921" s="10" t="n">
        <x:v>0.145299</x:v>
      </x:c>
      <x:c r="U3921" s="4" t="str">
        <x:v>Test</x:v>
      </x:c>
    </x:row>
    <x:row r="3922" ht="34" customHeight="1">
      <x:c r="A3922" s="4" t="str">
        <x:v>RS-03921</x:v>
      </x:c>
      <x:c r="B3922" s="8" t="n">
        <x:v>45505</x:v>
      </x:c>
      <x:c r="C3922" s="4" t="str">
        <x:v>PRJ-001</x:v>
      </x:c>
      <x:c r="D3922" s="4" t="str">
        <x:v>Retail</x:v>
      </x:c>
      <x:c r="E3922" s="4" t="str">
        <x:v>Agreement signed</x:v>
      </x:c>
      <x:c r="F3922" s="4" t="str">
        <x:v>CUS-03921</x:v>
      </x:c>
      <x:c r="G3922" s="4" t="str">
        <x:v>UNIT-03921</x:v>
      </x:c>
      <x:c r="H3922" s="9" t="n">
        <x:v>15100000</x:v>
      </x:c>
      <x:c r="I3922" s="10" t="n">
        <x:v>0.08</x:v>
      </x:c>
      <x:c r="J3922" s="11" t="n">
        <x:v>2</x:v>
      </x:c>
      <x:c r="K3922" s="11" t="n">
        <x:v>5</x:v>
      </x:c>
      <x:c r="L3922" s="11" t="n">
        <x:v>0</x:v>
      </x:c>
      <x:c r="M3922" s="9" t="n">
        <x:f>ROUND(H3922*(1-I3922),2)</x:f>
        <x:v>13892000</x:v>
      </x:c>
      <x:c r="N3922" s="4" t="str">
        <x:v>Sales head</x:v>
      </x:c>
      <x:c r="O3922" s="4" t="str">
        <x:v>BOOK-03921</x:v>
      </x:c>
      <x:c r="P3922" s="9" t="n">
        <x:v>13892000</x:v>
      </x:c>
      <x:c r="Q3922" s="11" t="n">
        <x:v>0</x:v>
      </x:c>
      <x:c r="R3922" s="8" t="n">
        <x:v>45565</x:v>
      </x:c>
      <x:c r="S3922" s="4" t="str">
        <x:v>Retained</x:v>
      </x:c>
      <x:c r="T3922" s="10" t="n">
        <x:v>0.204152</x:v>
      </x:c>
      <x:c r="U3922" s="4" t="str">
        <x:v>Test</x:v>
      </x:c>
    </x:row>
    <x:row r="3923" ht="34" customHeight="1">
      <x:c r="A3923" s="4" t="str">
        <x:v>RS-03922</x:v>
      </x:c>
      <x:c r="B3923" s="8" t="n">
        <x:v>45506</x:v>
      </x:c>
      <x:c r="C3923" s="4" t="str">
        <x:v>PRJ-002</x:v>
      </x:c>
      <x:c r="D3923" s="4" t="str">
        <x:v>Villa</x:v>
      </x:c>
      <x:c r="E3923" s="4" t="str">
        <x:v>Reserved</x:v>
      </x:c>
      <x:c r="F3923" s="4" t="str">
        <x:v>CUS-03922</x:v>
      </x:c>
      <x:c r="G3923" s="4" t="str">
        <x:v>UNIT-03922</x:v>
      </x:c>
      <x:c r="H3923" s="9" t="n">
        <x:v>14700000</x:v>
      </x:c>
      <x:c r="I3923" s="10" t="n">
        <x:v>0.11</x:v>
      </x:c>
      <x:c r="J3923" s="11" t="n">
        <x:v>1</x:v>
      </x:c>
      <x:c r="K3923" s="11" t="n">
        <x:v>10</x:v>
      </x:c>
      <x:c r="L3923" s="11" t="n">
        <x:v>0</x:v>
      </x:c>
      <x:c r="M3923" s="9" t="n">
        <x:f>ROUND(H3923*(1-I3923),2)</x:f>
        <x:v>13083000</x:v>
      </x:c>
      <x:c r="N3923" s="4" t="str">
        <x:v>Sales head</x:v>
      </x:c>
      <x:c r="O3923" s="4"/>
      <x:c r="P3923" s="9" t="n">
        <x:v>0</x:v>
      </x:c>
      <x:c r="Q3923" s="11" t="n">
        <x:v>0</x:v>
      </x:c>
      <x:c r="R3923" s="8" t="n">
        <x:v>45566</x:v>
      </x:c>
      <x:c r="S3923" s="4" t="str">
        <x:v>Retained</x:v>
      </x:c>
      <x:c r="T3923" s="10" t="n">
        <x:v>0.145833</x:v>
      </x:c>
      <x:c r="U3923" s="4" t="str">
        <x:v>Test</x:v>
      </x:c>
    </x:row>
    <x:row r="3924" ht="34" customHeight="1">
      <x:c r="A3924" s="4" t="str">
        <x:v>RS-03923</x:v>
      </x:c>
      <x:c r="B3924" s="8" t="n">
        <x:v>45507</x:v>
      </x:c>
      <x:c r="C3924" s="4" t="str">
        <x:v>PRJ-003</x:v>
      </x:c>
      <x:c r="D3924" s="4" t="str">
        <x:v>Retail</x:v>
      </x:c>
      <x:c r="E3924" s="4" t="str">
        <x:v>Enquiry</x:v>
      </x:c>
      <x:c r="F3924" s="4" t="str">
        <x:v>CUS-03923</x:v>
      </x:c>
      <x:c r="G3924" s="4" t="str">
        <x:v>UNIT-03923</x:v>
      </x:c>
      <x:c r="H3924" s="9" t="n">
        <x:v>21600000</x:v>
      </x:c>
      <x:c r="I3924" s="10" t="n">
        <x:v>0.11</x:v>
      </x:c>
      <x:c r="J3924" s="11" t="n">
        <x:v>2</x:v>
      </x:c>
      <x:c r="K3924" s="11" t="n">
        <x:v>0</x:v>
      </x:c>
      <x:c r="L3924" s="11" t="n">
        <x:v>1</x:v>
      </x:c>
      <x:c r="M3924" s="9" t="n">
        <x:f>ROUND(H3924*(1-I3924),2)</x:f>
        <x:v>19224000</x:v>
      </x:c>
      <x:c r="N3924" s="4" t="str">
        <x:v>Sales head</x:v>
      </x:c>
      <x:c r="O3924" s="4"/>
      <x:c r="P3924" s="9" t="n">
        <x:v>0</x:v>
      </x:c>
      <x:c r="Q3924" s="11" t="n">
        <x:v>0</x:v>
      </x:c>
      <x:c r="R3924" s="8" t="n">
        <x:v>45567</x:v>
      </x:c>
      <x:c r="S3924" s="4" t="str">
        <x:v>Retained</x:v>
      </x:c>
      <x:c r="T3924" s="10" t="n">
        <x:v>0.276923</x:v>
      </x:c>
      <x:c r="U3924" s="4" t="str">
        <x:v>Test</x:v>
      </x:c>
    </x:row>
    <x:row r="3925" ht="34" customHeight="1">
      <x:c r="A3925" s="4" t="str">
        <x:v>RS-03924</x:v>
      </x:c>
      <x:c r="B3925" s="8" t="n">
        <x:v>45508</x:v>
      </x:c>
      <x:c r="C3925" s="4" t="str">
        <x:v>PRJ-004</x:v>
      </x:c>
      <x:c r="D3925" s="4" t="str">
        <x:v>Retail</x:v>
      </x:c>
      <x:c r="E3925" s="4" t="str">
        <x:v>Reserved</x:v>
      </x:c>
      <x:c r="F3925" s="4" t="str">
        <x:v>CUS-03924</x:v>
      </x:c>
      <x:c r="G3925" s="4" t="str">
        <x:v>UNIT-03924</x:v>
      </x:c>
      <x:c r="H3925" s="9" t="n">
        <x:v>16400000</x:v>
      </x:c>
      <x:c r="I3925" s="10" t="n">
        <x:v>0.09</x:v>
      </x:c>
      <x:c r="J3925" s="11" t="n">
        <x:v>3</x:v>
      </x:c>
      <x:c r="K3925" s="11" t="n">
        <x:v>9</x:v>
      </x:c>
      <x:c r="L3925" s="11" t="n">
        <x:v>0</x:v>
      </x:c>
      <x:c r="M3925" s="9" t="n">
        <x:f>ROUND(H3925*(1-I3925),2)</x:f>
        <x:v>14924000</x:v>
      </x:c>
      <x:c r="N3925" s="4" t="str">
        <x:v>Sales head</x:v>
      </x:c>
      <x:c r="O3925" s="4"/>
      <x:c r="P3925" s="9" t="n">
        <x:v>0</x:v>
      </x:c>
      <x:c r="Q3925" s="11" t="n">
        <x:v>0</x:v>
      </x:c>
      <x:c r="R3925" s="8" t="n">
        <x:v>45568</x:v>
      </x:c>
      <x:c r="S3925" s="4" t="str">
        <x:v>Retained</x:v>
      </x:c>
      <x:c r="T3925" s="10" t="n">
        <x:v>0.145833</x:v>
      </x:c>
      <x:c r="U3925" s="4" t="str">
        <x:v>Test</x:v>
      </x:c>
    </x:row>
    <x:row r="3926" ht="34" customHeight="1">
      <x:c r="A3926" s="4" t="str">
        <x:v>RS-03925</x:v>
      </x:c>
      <x:c r="B3926" s="8" t="n">
        <x:v>45509</x:v>
      </x:c>
      <x:c r="C3926" s="4" t="str">
        <x:v>PRJ-005</x:v>
      </x:c>
      <x:c r="D3926" s="4" t="str">
        <x:v>Retail</x:v>
      </x:c>
      <x:c r="E3926" s="4" t="str">
        <x:v>Booked</x:v>
      </x:c>
      <x:c r="F3926" s="4" t="str">
        <x:v>CUS-03925</x:v>
      </x:c>
      <x:c r="G3926" s="4" t="str">
        <x:v>UNIT-03925</x:v>
      </x:c>
      <x:c r="H3926" s="9" t="n">
        <x:v>23800000</x:v>
      </x:c>
      <x:c r="I3926" s="10" t="n">
        <x:v>0.02</x:v>
      </x:c>
      <x:c r="J3926" s="11" t="n">
        <x:v>3</x:v>
      </x:c>
      <x:c r="K3926" s="11" t="n">
        <x:v>6</x:v>
      </x:c>
      <x:c r="L3926" s="11" t="n">
        <x:v>1</x:v>
      </x:c>
      <x:c r="M3926" s="9" t="n">
        <x:f>ROUND(H3926*(1-I3926),2)</x:f>
        <x:v>23324000</x:v>
      </x:c>
      <x:c r="N3926" s="4" t="str">
        <x:v>Sales manager</x:v>
      </x:c>
      <x:c r="O3926" s="4" t="str">
        <x:v>BOOK-03925</x:v>
      </x:c>
      <x:c r="P3926" s="9" t="n">
        <x:v>2332400</x:v>
      </x:c>
      <x:c r="Q3926" s="11" t="n">
        <x:v>0</x:v>
      </x:c>
      <x:c r="R3926" s="8" t="n">
        <x:v>45569</x:v>
      </x:c>
      <x:c r="S3926" s="4" t="str">
        <x:v>Retained</x:v>
      </x:c>
      <x:c r="T3926" s="10" t="n">
        <x:v>0.171717</x:v>
      </x:c>
      <x:c r="U3926" s="4" t="str">
        <x:v>Test</x:v>
      </x:c>
    </x:row>
    <x:row r="3927" ht="34" customHeight="1">
      <x:c r="A3927" s="4" t="str">
        <x:v>RS-03926</x:v>
      </x:c>
      <x:c r="B3927" s="8" t="n">
        <x:v>45510</x:v>
      </x:c>
      <x:c r="C3927" s="4" t="str">
        <x:v>PRJ-006</x:v>
      </x:c>
      <x:c r="D3927" s="4" t="str">
        <x:v>Retail</x:v>
      </x:c>
      <x:c r="E3927" s="4" t="str">
        <x:v>Cancelled</x:v>
      </x:c>
      <x:c r="F3927" s="4" t="str">
        <x:v>CUS-03926</x:v>
      </x:c>
      <x:c r="G3927" s="4" t="str">
        <x:v>UNIT-03926</x:v>
      </x:c>
      <x:c r="H3927" s="9" t="n">
        <x:v>11000000</x:v>
      </x:c>
      <x:c r="I3927" s="10" t="n">
        <x:v>0.07</x:v>
      </x:c>
      <x:c r="J3927" s="11" t="n">
        <x:v>10</x:v>
      </x:c>
      <x:c r="K3927" s="11" t="n">
        <x:v>8</x:v>
      </x:c>
      <x:c r="L3927" s="11" t="n">
        <x:v>1</x:v>
      </x:c>
      <x:c r="M3927" s="9" t="n">
        <x:f>ROUND(H3927*(1-I3927),2)</x:f>
        <x:v>10230000</x:v>
      </x:c>
      <x:c r="N3927" s="4" t="str">
        <x:v>Sales manager</x:v>
      </x:c>
      <x:c r="O3927" s="4"/>
      <x:c r="P3927" s="9" t="n">
        <x:v>0</x:v>
      </x:c>
      <x:c r="Q3927" s="11" t="n">
        <x:v>1</x:v>
      </x:c>
      <x:c r="R3927" s="8" t="n">
        <x:v>45570</x:v>
      </x:c>
      <x:c r="S3927" s="4" t="str">
        <x:v>Lost / cancelled</x:v>
      </x:c>
      <x:c r="T3927" s="10" t="n">
        <x:v>0.310195</x:v>
      </x:c>
      <x:c r="U3927" s="4" t="str">
        <x:v>Test</x:v>
      </x:c>
    </x:row>
    <x:row r="3928" ht="34" customHeight="1">
      <x:c r="A3928" s="4" t="str">
        <x:v>RS-03927</x:v>
      </x:c>
      <x:c r="B3928" s="8" t="n">
        <x:v>45511</x:v>
      </x:c>
      <x:c r="C3928" s="4" t="str">
        <x:v>PRJ-007</x:v>
      </x:c>
      <x:c r="D3928" s="4" t="str">
        <x:v>Office</x:v>
      </x:c>
      <x:c r="E3928" s="4" t="str">
        <x:v>Handed over</x:v>
      </x:c>
      <x:c r="F3928" s="4" t="str">
        <x:v>CUS-03927</x:v>
      </x:c>
      <x:c r="G3928" s="4" t="str">
        <x:v>UNIT-03927</x:v>
      </x:c>
      <x:c r="H3928" s="9" t="n">
        <x:v>7400000</x:v>
      </x:c>
      <x:c r="I3928" s="10" t="n">
        <x:v>0.03</x:v>
      </x:c>
      <x:c r="J3928" s="11" t="n">
        <x:v>10</x:v>
      </x:c>
      <x:c r="K3928" s="11" t="n">
        <x:v>0</x:v>
      </x:c>
      <x:c r="L3928" s="11" t="n">
        <x:v>1</x:v>
      </x:c>
      <x:c r="M3928" s="9" t="n">
        <x:f>ROUND(H3928*(1-I3928),2)</x:f>
        <x:v>7178000</x:v>
      </x:c>
      <x:c r="N3928" s="4" t="str">
        <x:v>Sales manager</x:v>
      </x:c>
      <x:c r="O3928" s="4" t="str">
        <x:v>BOOK-03927</x:v>
      </x:c>
      <x:c r="P3928" s="9" t="n">
        <x:v>3589000</x:v>
      </x:c>
      <x:c r="Q3928" s="11" t="n">
        <x:v>0</x:v>
      </x:c>
      <x:c r="R3928" s="8" t="n">
        <x:v>45571</x:v>
      </x:c>
      <x:c r="S3928" s="4" t="str">
        <x:v>Retained</x:v>
      </x:c>
      <x:c r="T3928" s="10" t="n">
        <x:v>0.310195</x:v>
      </x:c>
      <x:c r="U3928" s="4" t="str">
        <x:v>Test</x:v>
      </x:c>
    </x:row>
    <x:row r="3929" ht="34" customHeight="1">
      <x:c r="A3929" s="4" t="str">
        <x:v>RS-03928</x:v>
      </x:c>
      <x:c r="B3929" s="8" t="n">
        <x:v>45512</x:v>
      </x:c>
      <x:c r="C3929" s="4" t="str">
        <x:v>PRJ-008</x:v>
      </x:c>
      <x:c r="D3929" s="4" t="str">
        <x:v>Retail</x:v>
      </x:c>
      <x:c r="E3929" s="4" t="str">
        <x:v>Agreement signed</x:v>
      </x:c>
      <x:c r="F3929" s="4" t="str">
        <x:v>CUS-03928</x:v>
      </x:c>
      <x:c r="G3929" s="4" t="str">
        <x:v>UNIT-03928</x:v>
      </x:c>
      <x:c r="H3929" s="9" t="n">
        <x:v>16600000</x:v>
      </x:c>
      <x:c r="I3929" s="10" t="n">
        <x:v>0.04</x:v>
      </x:c>
      <x:c r="J3929" s="11" t="n">
        <x:v>4</x:v>
      </x:c>
      <x:c r="K3929" s="11" t="n">
        <x:v>8</x:v>
      </x:c>
      <x:c r="L3929" s="11" t="n">
        <x:v>1</x:v>
      </x:c>
      <x:c r="M3929" s="9" t="n">
        <x:f>ROUND(H3929*(1-I3929),2)</x:f>
        <x:v>15936000</x:v>
      </x:c>
      <x:c r="N3929" s="4" t="str">
        <x:v>Sales manager</x:v>
      </x:c>
      <x:c r="O3929" s="4" t="str">
        <x:v>BOOK-03928</x:v>
      </x:c>
      <x:c r="P3929" s="9" t="n">
        <x:v>7968000</x:v>
      </x:c>
      <x:c r="Q3929" s="11" t="n">
        <x:v>0</x:v>
      </x:c>
      <x:c r="R3929" s="8" t="n">
        <x:v>45572</x:v>
      </x:c>
      <x:c r="S3929" s="4" t="str">
        <x:v>Retained</x:v>
      </x:c>
      <x:c r="T3929" s="10" t="n">
        <x:v>0.291946</x:v>
      </x:c>
      <x:c r="U3929" s="4" t="str">
        <x:v>Test</x:v>
      </x:c>
    </x:row>
    <x:row r="3930" ht="34" customHeight="1">
      <x:c r="A3930" s="4" t="str">
        <x:v>RS-03929</x:v>
      </x:c>
      <x:c r="B3930" s="8" t="n">
        <x:v>45513</x:v>
      </x:c>
      <x:c r="C3930" s="4" t="str">
        <x:v>PRJ-009</x:v>
      </x:c>
      <x:c r="D3930" s="4" t="str">
        <x:v>Apartment</x:v>
      </x:c>
      <x:c r="E3930" s="4" t="str">
        <x:v>Enquiry</x:v>
      </x:c>
      <x:c r="F3930" s="4" t="str">
        <x:v>CUS-03929</x:v>
      </x:c>
      <x:c r="G3930" s="4" t="str">
        <x:v>UNIT-03929</x:v>
      </x:c>
      <x:c r="H3930" s="9" t="n">
        <x:v>7300000</x:v>
      </x:c>
      <x:c r="I3930" s="10" t="n">
        <x:v>0.02</x:v>
      </x:c>
      <x:c r="J3930" s="11" t="n">
        <x:v>10</x:v>
      </x:c>
      <x:c r="K3930" s="11" t="n">
        <x:v>8</x:v>
      </x:c>
      <x:c r="L3930" s="11" t="n">
        <x:v>0</x:v>
      </x:c>
      <x:c r="M3930" s="9" t="n">
        <x:f>ROUND(H3930*(1-I3930),2)</x:f>
        <x:v>7154000</x:v>
      </x:c>
      <x:c r="N3930" s="4" t="str">
        <x:v>Sales manager</x:v>
      </x:c>
      <x:c r="O3930" s="4"/>
      <x:c r="P3930" s="9" t="n">
        <x:v>0</x:v>
      </x:c>
      <x:c r="Q3930" s="11" t="n">
        <x:v>1</x:v>
      </x:c>
      <x:c r="R3930" s="8" t="n">
        <x:v>45573</x:v>
      </x:c>
      <x:c r="S3930" s="4" t="str">
        <x:v>Lost / cancelled</x:v>
      </x:c>
      <x:c r="T3930" s="10" t="n">
        <x:v>0.305556</x:v>
      </x:c>
      <x:c r="U3930" s="4" t="str">
        <x:v>Test</x:v>
      </x:c>
    </x:row>
    <x:row r="3931" ht="34" customHeight="1">
      <x:c r="A3931" s="4" t="str">
        <x:v>RS-03930</x:v>
      </x:c>
      <x:c r="B3931" s="8" t="n">
        <x:v>45514</x:v>
      </x:c>
      <x:c r="C3931" s="4" t="str">
        <x:v>PRJ-010</x:v>
      </x:c>
      <x:c r="D3931" s="4" t="str">
        <x:v>Villa</x:v>
      </x:c>
      <x:c r="E3931" s="4" t="str">
        <x:v>Handed over</x:v>
      </x:c>
      <x:c r="F3931" s="4" t="str">
        <x:v>CUS-03930</x:v>
      </x:c>
      <x:c r="G3931" s="4" t="str">
        <x:v>UNIT-03930</x:v>
      </x:c>
      <x:c r="H3931" s="9" t="n">
        <x:v>11500000</x:v>
      </x:c>
      <x:c r="I3931" s="10" t="n">
        <x:v>0.01</x:v>
      </x:c>
      <x:c r="J3931" s="11" t="n">
        <x:v>6</x:v>
      </x:c>
      <x:c r="K3931" s="11" t="n">
        <x:v>8</x:v>
      </x:c>
      <x:c r="L3931" s="11" t="n">
        <x:v>0</x:v>
      </x:c>
      <x:c r="M3931" s="9" t="n">
        <x:f>ROUND(H3931*(1-I3931),2)</x:f>
        <x:v>11385000</x:v>
      </x:c>
      <x:c r="N3931" s="4" t="str">
        <x:v>Sales manager</x:v>
      </x:c>
      <x:c r="O3931" s="4" t="str">
        <x:v>BOOK-03930</x:v>
      </x:c>
      <x:c r="P3931" s="9" t="n">
        <x:v>1138500</x:v>
      </x:c>
      <x:c r="Q3931" s="11" t="n">
        <x:v>0</x:v>
      </x:c>
      <x:c r="R3931" s="8" t="n">
        <x:v>45574</x:v>
      </x:c>
      <x:c r="S3931" s="4" t="str">
        <x:v>Retained</x:v>
      </x:c>
      <x:c r="T3931" s="10" t="n">
        <x:v>0.145299</x:v>
      </x:c>
      <x:c r="U3931" s="4" t="str">
        <x:v>Test</x:v>
      </x:c>
    </x:row>
    <x:row r="3932" ht="34" customHeight="1">
      <x:c r="A3932" s="4" t="str">
        <x:v>RS-03931</x:v>
      </x:c>
      <x:c r="B3932" s="8" t="n">
        <x:v>45515</x:v>
      </x:c>
      <x:c r="C3932" s="4" t="str">
        <x:v>PRJ-011</x:v>
      </x:c>
      <x:c r="D3932" s="4" t="str">
        <x:v>Apartment</x:v>
      </x:c>
      <x:c r="E3932" s="4" t="str">
        <x:v>Cancelled</x:v>
      </x:c>
      <x:c r="F3932" s="4" t="str">
        <x:v>CUS-03931</x:v>
      </x:c>
      <x:c r="G3932" s="4" t="str">
        <x:v>UNIT-03931</x:v>
      </x:c>
      <x:c r="H3932" s="9" t="n">
        <x:v>24500000</x:v>
      </x:c>
      <x:c r="I3932" s="10" t="n">
        <x:v>0.04</x:v>
      </x:c>
      <x:c r="J3932" s="11" t="n">
        <x:v>1</x:v>
      </x:c>
      <x:c r="K3932" s="11" t="n">
        <x:v>10</x:v>
      </x:c>
      <x:c r="L3932" s="11" t="n">
        <x:v>1</x:v>
      </x:c>
      <x:c r="M3932" s="9" t="n">
        <x:f>ROUND(H3932*(1-I3932),2)</x:f>
        <x:v>23520000</x:v>
      </x:c>
      <x:c r="N3932" s="4" t="str">
        <x:v>Sales manager</x:v>
      </x:c>
      <x:c r="O3932" s="4"/>
      <x:c r="P3932" s="9" t="n">
        <x:v>0</x:v>
      </x:c>
      <x:c r="Q3932" s="11" t="n">
        <x:v>1</x:v>
      </x:c>
      <x:c r="R3932" s="8" t="n">
        <x:v>45575</x:v>
      </x:c>
      <x:c r="S3932" s="4" t="str">
        <x:v>Lost / cancelled</x:v>
      </x:c>
      <x:c r="T3932" s="10" t="n">
        <x:v>0.204152</x:v>
      </x:c>
      <x:c r="U3932" s="4" t="str">
        <x:v>Test</x:v>
      </x:c>
    </x:row>
    <x:row r="3933" ht="34" customHeight="1">
      <x:c r="A3933" s="4" t="str">
        <x:v>RS-03932</x:v>
      </x:c>
      <x:c r="B3933" s="8" t="n">
        <x:v>45516</x:v>
      </x:c>
      <x:c r="C3933" s="4" t="str">
        <x:v>PRJ-012</x:v>
      </x:c>
      <x:c r="D3933" s="4" t="str">
        <x:v>Office</x:v>
      </x:c>
      <x:c r="E3933" s="4" t="str">
        <x:v>Handed over</x:v>
      </x:c>
      <x:c r="F3933" s="4" t="str">
        <x:v>CUS-03932</x:v>
      </x:c>
      <x:c r="G3933" s="4" t="str">
        <x:v>UNIT-03932</x:v>
      </x:c>
      <x:c r="H3933" s="9" t="n">
        <x:v>8100000</x:v>
      </x:c>
      <x:c r="I3933" s="10" t="n">
        <x:v>0.09</x:v>
      </x:c>
      <x:c r="J3933" s="11" t="n">
        <x:v>10</x:v>
      </x:c>
      <x:c r="K3933" s="11" t="n">
        <x:v>3</x:v>
      </x:c>
      <x:c r="L3933" s="11" t="n">
        <x:v>1</x:v>
      </x:c>
      <x:c r="M3933" s="9" t="n">
        <x:f>ROUND(H3933*(1-I3933),2)</x:f>
        <x:v>7371000</x:v>
      </x:c>
      <x:c r="N3933" s="4" t="str">
        <x:v>Sales head</x:v>
      </x:c>
      <x:c r="O3933" s="4" t="str">
        <x:v>BOOK-03932</x:v>
      </x:c>
      <x:c r="P3933" s="9" t="n">
        <x:v>3685500</x:v>
      </x:c>
      <x:c r="Q3933" s="11" t="n">
        <x:v>0</x:v>
      </x:c>
      <x:c r="R3933" s="8" t="n">
        <x:v>45576</x:v>
      </x:c>
      <x:c r="S3933" s="4" t="str">
        <x:v>Retained</x:v>
      </x:c>
      <x:c r="T3933" s="10" t="n">
        <x:v>0.310195</x:v>
      </x:c>
      <x:c r="U3933" s="4" t="str">
        <x:v>Test</x:v>
      </x:c>
    </x:row>
    <x:row r="3934" ht="34" customHeight="1">
      <x:c r="A3934" s="4" t="str">
        <x:v>RS-03933</x:v>
      </x:c>
      <x:c r="B3934" s="8" t="n">
        <x:v>45517</x:v>
      </x:c>
      <x:c r="C3934" s="4" t="str">
        <x:v>PRJ-013</x:v>
      </x:c>
      <x:c r="D3934" s="4" t="str">
        <x:v>Retail</x:v>
      </x:c>
      <x:c r="E3934" s="4" t="str">
        <x:v>Handed over</x:v>
      </x:c>
      <x:c r="F3934" s="4" t="str">
        <x:v>CUS-03933</x:v>
      </x:c>
      <x:c r="G3934" s="4" t="str">
        <x:v>UNIT-03933</x:v>
      </x:c>
      <x:c r="H3934" s="9" t="n">
        <x:v>5200000</x:v>
      </x:c>
      <x:c r="I3934" s="10" t="n">
        <x:v>0.04</x:v>
      </x:c>
      <x:c r="J3934" s="11" t="n">
        <x:v>8</x:v>
      </x:c>
      <x:c r="K3934" s="11" t="n">
        <x:v>7</x:v>
      </x:c>
      <x:c r="L3934" s="11" t="n">
        <x:v>1</x:v>
      </x:c>
      <x:c r="M3934" s="9" t="n">
        <x:f>ROUND(H3934*(1-I3934),2)</x:f>
        <x:v>4992000</x:v>
      </x:c>
      <x:c r="N3934" s="4" t="str">
        <x:v>Sales manager</x:v>
      </x:c>
      <x:c r="O3934" s="4" t="str">
        <x:v>BOOK-03933</x:v>
      </x:c>
      <x:c r="P3934" s="9" t="n">
        <x:v>1248000</x:v>
      </x:c>
      <x:c r="Q3934" s="11" t="n">
        <x:v>0</x:v>
      </x:c>
      <x:c r="R3934" s="8" t="n">
        <x:v>45577</x:v>
      </x:c>
      <x:c r="S3934" s="4" t="str">
        <x:v>Retained</x:v>
      </x:c>
      <x:c r="T3934" s="10" t="n">
        <x:v>0.310195</x:v>
      </x:c>
      <x:c r="U3934" s="4" t="str">
        <x:v>Test</x:v>
      </x:c>
    </x:row>
    <x:row r="3935" ht="34" customHeight="1">
      <x:c r="A3935" s="4" t="str">
        <x:v>RS-03934</x:v>
      </x:c>
      <x:c r="B3935" s="8" t="n">
        <x:v>45518</x:v>
      </x:c>
      <x:c r="C3935" s="4" t="str">
        <x:v>PRJ-014</x:v>
      </x:c>
      <x:c r="D3935" s="4" t="str">
        <x:v>Retail</x:v>
      </x:c>
      <x:c r="E3935" s="4" t="str">
        <x:v>Enquiry</x:v>
      </x:c>
      <x:c r="F3935" s="4" t="str">
        <x:v>CUS-03934</x:v>
      </x:c>
      <x:c r="G3935" s="4" t="str">
        <x:v>UNIT-03934</x:v>
      </x:c>
      <x:c r="H3935" s="9" t="n">
        <x:v>12400000</x:v>
      </x:c>
      <x:c r="I3935" s="10" t="n">
        <x:v>0.07</x:v>
      </x:c>
      <x:c r="J3935" s="11" t="n">
        <x:v>1</x:v>
      </x:c>
      <x:c r="K3935" s="11" t="n">
        <x:v>2</x:v>
      </x:c>
      <x:c r="L3935" s="11" t="n">
        <x:v>1</x:v>
      </x:c>
      <x:c r="M3935" s="9" t="n">
        <x:f>ROUND(H3935*(1-I3935),2)</x:f>
        <x:v>11532000</x:v>
      </x:c>
      <x:c r="N3935" s="4" t="str">
        <x:v>Sales manager</x:v>
      </x:c>
      <x:c r="O3935" s="4"/>
      <x:c r="P3935" s="9" t="n">
        <x:v>0</x:v>
      </x:c>
      <x:c r="Q3935" s="11" t="n">
        <x:v>0</x:v>
      </x:c>
      <x:c r="R3935" s="8" t="n">
        <x:v>45578</x:v>
      </x:c>
      <x:c r="S3935" s="4" t="str">
        <x:v>Retained</x:v>
      </x:c>
      <x:c r="T3935" s="10" t="n">
        <x:v>0.204152</x:v>
      </x:c>
      <x:c r="U3935" s="4" t="str">
        <x:v>Test</x:v>
      </x:c>
    </x:row>
    <x:row r="3936" ht="34" customHeight="1">
      <x:c r="A3936" s="4" t="str">
        <x:v>RS-03935</x:v>
      </x:c>
      <x:c r="B3936" s="8" t="n">
        <x:v>45519</x:v>
      </x:c>
      <x:c r="C3936" s="4" t="str">
        <x:v>PRJ-015</x:v>
      </x:c>
      <x:c r="D3936" s="4" t="str">
        <x:v>Office</x:v>
      </x:c>
      <x:c r="E3936" s="4" t="str">
        <x:v>Booked</x:v>
      </x:c>
      <x:c r="F3936" s="4" t="str">
        <x:v>CUS-03935</x:v>
      </x:c>
      <x:c r="G3936" s="4" t="str">
        <x:v>UNIT-03935</x:v>
      </x:c>
      <x:c r="H3936" s="9" t="n">
        <x:v>3800000</x:v>
      </x:c>
      <x:c r="I3936" s="10" t="n">
        <x:v>0.05</x:v>
      </x:c>
      <x:c r="J3936" s="11" t="n">
        <x:v>11</x:v>
      </x:c>
      <x:c r="K3936" s="11" t="n">
        <x:v>6</x:v>
      </x:c>
      <x:c r="L3936" s="11" t="n">
        <x:v>0</x:v>
      </x:c>
      <x:c r="M3936" s="9" t="n">
        <x:f>ROUND(H3936*(1-I3936),2)</x:f>
        <x:v>3610000</x:v>
      </x:c>
      <x:c r="N3936" s="4" t="str">
        <x:v>Sales manager</x:v>
      </x:c>
      <x:c r="O3936" s="4" t="str">
        <x:v>BOOK-03935</x:v>
      </x:c>
      <x:c r="P3936" s="9" t="n">
        <x:v>902500</x:v>
      </x:c>
      <x:c r="Q3936" s="11" t="n">
        <x:v>0</x:v>
      </x:c>
      <x:c r="R3936" s="8" t="n">
        <x:v>45579</x:v>
      </x:c>
      <x:c r="S3936" s="4" t="str">
        <x:v>Retained</x:v>
      </x:c>
      <x:c r="T3936" s="10" t="n">
        <x:v>0.351536</x:v>
      </x:c>
      <x:c r="U3936" s="4" t="str">
        <x:v>Test</x:v>
      </x:c>
    </x:row>
    <x:row r="3937" ht="34" customHeight="1">
      <x:c r="A3937" s="4" t="str">
        <x:v>RS-03936</x:v>
      </x:c>
      <x:c r="B3937" s="8" t="n">
        <x:v>45520</x:v>
      </x:c>
      <x:c r="C3937" s="4" t="str">
        <x:v>PRJ-016</x:v>
      </x:c>
      <x:c r="D3937" s="4" t="str">
        <x:v>Villa</x:v>
      </x:c>
      <x:c r="E3937" s="4" t="str">
        <x:v>Enquiry</x:v>
      </x:c>
      <x:c r="F3937" s="4" t="str">
        <x:v>CUS-03936</x:v>
      </x:c>
      <x:c r="G3937" s="4" t="str">
        <x:v>UNIT-03936</x:v>
      </x:c>
      <x:c r="H3937" s="9" t="n">
        <x:v>11800000</x:v>
      </x:c>
      <x:c r="I3937" s="10" t="n">
        <x:v>0</x:v>
      </x:c>
      <x:c r="J3937" s="11" t="n">
        <x:v>5</x:v>
      </x:c>
      <x:c r="K3937" s="11" t="n">
        <x:v>5</x:v>
      </x:c>
      <x:c r="L3937" s="11" t="n">
        <x:v>0</x:v>
      </x:c>
      <x:c r="M3937" s="9" t="n">
        <x:f>ROUND(H3937*(1-I3937),2)</x:f>
        <x:v>11800000</x:v>
      </x:c>
      <x:c r="N3937" s="4" t="str">
        <x:v>Sales manager</x:v>
      </x:c>
      <x:c r="O3937" s="4"/>
      <x:c r="P3937" s="9" t="n">
        <x:v>0</x:v>
      </x:c>
      <x:c r="Q3937" s="11" t="n">
        <x:v>0</x:v>
      </x:c>
      <x:c r="R3937" s="8" t="n">
        <x:v>45580</x:v>
      </x:c>
      <x:c r="S3937" s="4" t="str">
        <x:v>Retained</x:v>
      </x:c>
      <x:c r="T3937" s="10" t="n">
        <x:v>0.145299</x:v>
      </x:c>
      <x:c r="U3937" s="4" t="str">
        <x:v>Test</x:v>
      </x:c>
    </x:row>
    <x:row r="3938" ht="34" customHeight="1">
      <x:c r="A3938" s="4" t="str">
        <x:v>RS-03937</x:v>
      </x:c>
      <x:c r="B3938" s="8" t="n">
        <x:v>45521</x:v>
      </x:c>
      <x:c r="C3938" s="4" t="str">
        <x:v>PRJ-017</x:v>
      </x:c>
      <x:c r="D3938" s="4" t="str">
        <x:v>Retail</x:v>
      </x:c>
      <x:c r="E3938" s="4" t="str">
        <x:v>Handed over</x:v>
      </x:c>
      <x:c r="F3938" s="4" t="str">
        <x:v>CUS-03937</x:v>
      </x:c>
      <x:c r="G3938" s="4" t="str">
        <x:v>UNIT-03937</x:v>
      </x:c>
      <x:c r="H3938" s="9" t="n">
        <x:v>16200000</x:v>
      </x:c>
      <x:c r="I3938" s="10" t="n">
        <x:v>0.04</x:v>
      </x:c>
      <x:c r="J3938" s="11" t="n">
        <x:v>6</x:v>
      </x:c>
      <x:c r="K3938" s="11" t="n">
        <x:v>5</x:v>
      </x:c>
      <x:c r="L3938" s="11" t="n">
        <x:v>1</x:v>
      </x:c>
      <x:c r="M3938" s="9" t="n">
        <x:f>ROUND(H3938*(1-I3938),2)</x:f>
        <x:v>15552000</x:v>
      </x:c>
      <x:c r="N3938" s="4" t="str">
        <x:v>Sales manager</x:v>
      </x:c>
      <x:c r="O3938" s="4" t="str">
        <x:v>BOOK-03937</x:v>
      </x:c>
      <x:c r="P3938" s="9" t="n">
        <x:v>15552000</x:v>
      </x:c>
      <x:c r="Q3938" s="11" t="n">
        <x:v>0</x:v>
      </x:c>
      <x:c r="R3938" s="8" t="n">
        <x:v>45581</x:v>
      </x:c>
      <x:c r="S3938" s="4" t="str">
        <x:v>Retained</x:v>
      </x:c>
      <x:c r="T3938" s="10" t="n">
        <x:v>0.291946</x:v>
      </x:c>
      <x:c r="U3938" s="4" t="str">
        <x:v>Test</x:v>
      </x:c>
    </x:row>
    <x:row r="3939" ht="34" customHeight="1">
      <x:c r="A3939" s="4" t="str">
        <x:v>RS-03938</x:v>
      </x:c>
      <x:c r="B3939" s="8" t="n">
        <x:v>45522</x:v>
      </x:c>
      <x:c r="C3939" s="4" t="str">
        <x:v>PRJ-018</x:v>
      </x:c>
      <x:c r="D3939" s="4" t="str">
        <x:v>Apartment</x:v>
      </x:c>
      <x:c r="E3939" s="4" t="str">
        <x:v>Handed over</x:v>
      </x:c>
      <x:c r="F3939" s="4" t="str">
        <x:v>CUS-03938</x:v>
      </x:c>
      <x:c r="G3939" s="4" t="str">
        <x:v>UNIT-03938</x:v>
      </x:c>
      <x:c r="H3939" s="9" t="n">
        <x:v>14300000</x:v>
      </x:c>
      <x:c r="I3939" s="10" t="n">
        <x:v>0.03</x:v>
      </x:c>
      <x:c r="J3939" s="11" t="n">
        <x:v>6</x:v>
      </x:c>
      <x:c r="K3939" s="11" t="n">
        <x:v>9</x:v>
      </x:c>
      <x:c r="L3939" s="11" t="n">
        <x:v>1</x:v>
      </x:c>
      <x:c r="M3939" s="9" t="n">
        <x:f>ROUND(H3939*(1-I3939),2)</x:f>
        <x:v>13871000</x:v>
      </x:c>
      <x:c r="N3939" s="4" t="str">
        <x:v>Sales manager</x:v>
      </x:c>
      <x:c r="O3939" s="4" t="str">
        <x:v>BOOK-03938</x:v>
      </x:c>
      <x:c r="P3939" s="9" t="n">
        <x:v>3467750</x:v>
      </x:c>
      <x:c r="Q3939" s="11" t="n">
        <x:v>0</x:v>
      </x:c>
      <x:c r="R3939" s="8" t="n">
        <x:v>45582</x:v>
      </x:c>
      <x:c r="S3939" s="4" t="str">
        <x:v>Retained</x:v>
      </x:c>
      <x:c r="T3939" s="10" t="n">
        <x:v>0.145299</x:v>
      </x:c>
      <x:c r="U3939" s="4" t="str">
        <x:v>Test</x:v>
      </x:c>
    </x:row>
    <x:row r="3940" ht="34" customHeight="1">
      <x:c r="A3940" s="4" t="str">
        <x:v>RS-03939</x:v>
      </x:c>
      <x:c r="B3940" s="8" t="n">
        <x:v>45523</x:v>
      </x:c>
      <x:c r="C3940" s="4" t="str">
        <x:v>PRJ-019</x:v>
      </x:c>
      <x:c r="D3940" s="4" t="str">
        <x:v>Apartment</x:v>
      </x:c>
      <x:c r="E3940" s="4" t="str">
        <x:v>Cancelled</x:v>
      </x:c>
      <x:c r="F3940" s="4" t="str">
        <x:v>CUS-03939</x:v>
      </x:c>
      <x:c r="G3940" s="4" t="str">
        <x:v>UNIT-03939</x:v>
      </x:c>
      <x:c r="H3940" s="9" t="n">
        <x:v>12300000</x:v>
      </x:c>
      <x:c r="I3940" s="10" t="n">
        <x:v>0.1</x:v>
      </x:c>
      <x:c r="J3940" s="11" t="n">
        <x:v>2</x:v>
      </x:c>
      <x:c r="K3940" s="11" t="n">
        <x:v>4</x:v>
      </x:c>
      <x:c r="L3940" s="11" t="n">
        <x:v>1</x:v>
      </x:c>
      <x:c r="M3940" s="9" t="n">
        <x:f>ROUND(H3940*(1-I3940),2)</x:f>
        <x:v>11070000</x:v>
      </x:c>
      <x:c r="N3940" s="4" t="str">
        <x:v>Sales head</x:v>
      </x:c>
      <x:c r="O3940" s="4"/>
      <x:c r="P3940" s="9" t="n">
        <x:v>0</x:v>
      </x:c>
      <x:c r="Q3940" s="11" t="n">
        <x:v>1</x:v>
      </x:c>
      <x:c r="R3940" s="8" t="n">
        <x:v>45583</x:v>
      </x:c>
      <x:c r="S3940" s="4" t="str">
        <x:v>Lost / cancelled</x:v>
      </x:c>
      <x:c r="T3940" s="10" t="n">
        <x:v>0.145833</x:v>
      </x:c>
      <x:c r="U3940" s="4" t="str">
        <x:v>Test</x:v>
      </x:c>
    </x:row>
    <x:row r="3941" ht="34" customHeight="1">
      <x:c r="A3941" s="4" t="str">
        <x:v>RS-03940</x:v>
      </x:c>
      <x:c r="B3941" s="8" t="n">
        <x:v>45524</x:v>
      </x:c>
      <x:c r="C3941" s="4" t="str">
        <x:v>PRJ-020</x:v>
      </x:c>
      <x:c r="D3941" s="4" t="str">
        <x:v>Apartment</x:v>
      </x:c>
      <x:c r="E3941" s="4" t="str">
        <x:v>Enquiry</x:v>
      </x:c>
      <x:c r="F3941" s="4" t="str">
        <x:v>CUS-03940</x:v>
      </x:c>
      <x:c r="G3941" s="4" t="str">
        <x:v>UNIT-03940</x:v>
      </x:c>
      <x:c r="H3941" s="9" t="n">
        <x:v>11200000</x:v>
      </x:c>
      <x:c r="I3941" s="10" t="n">
        <x:v>0.08</x:v>
      </x:c>
      <x:c r="J3941" s="11" t="n">
        <x:v>2</x:v>
      </x:c>
      <x:c r="K3941" s="11" t="n">
        <x:v>0</x:v>
      </x:c>
      <x:c r="L3941" s="11" t="n">
        <x:v>1</x:v>
      </x:c>
      <x:c r="M3941" s="9" t="n">
        <x:f>ROUND(H3941*(1-I3941),2)</x:f>
        <x:v>10304000</x:v>
      </x:c>
      <x:c r="N3941" s="4" t="str">
        <x:v>Sales head</x:v>
      </x:c>
      <x:c r="O3941" s="4"/>
      <x:c r="P3941" s="9" t="n">
        <x:v>0</x:v>
      </x:c>
      <x:c r="Q3941" s="11" t="n">
        <x:v>1</x:v>
      </x:c>
      <x:c r="R3941" s="8" t="n">
        <x:v>45584</x:v>
      </x:c>
      <x:c r="S3941" s="4" t="str">
        <x:v>Lost / cancelled</x:v>
      </x:c>
      <x:c r="T3941" s="10" t="n">
        <x:v>0.276923</x:v>
      </x:c>
      <x:c r="U3941" s="4" t="str">
        <x:v>Test</x:v>
      </x:c>
    </x:row>
    <x:row r="3942" ht="34" customHeight="1">
      <x:c r="A3942" s="4" t="str">
        <x:v>RS-03941</x:v>
      </x:c>
      <x:c r="B3942" s="8" t="n">
        <x:v>45525</x:v>
      </x:c>
      <x:c r="C3942" s="4" t="str">
        <x:v>PRJ-001</x:v>
      </x:c>
      <x:c r="D3942" s="4" t="str">
        <x:v>Villa</x:v>
      </x:c>
      <x:c r="E3942" s="4" t="str">
        <x:v>Enquiry</x:v>
      </x:c>
      <x:c r="F3942" s="4" t="str">
        <x:v>CUS-03941</x:v>
      </x:c>
      <x:c r="G3942" s="4" t="str">
        <x:v>UNIT-03941</x:v>
      </x:c>
      <x:c r="H3942" s="9" t="n">
        <x:v>17300000</x:v>
      </x:c>
      <x:c r="I3942" s="10" t="n">
        <x:v>0.03</x:v>
      </x:c>
      <x:c r="J3942" s="11" t="n">
        <x:v>0</x:v>
      </x:c>
      <x:c r="K3942" s="11" t="n">
        <x:v>8</x:v>
      </x:c>
      <x:c r="L3942" s="11" t="n">
        <x:v>1</x:v>
      </x:c>
      <x:c r="M3942" s="9" t="n">
        <x:f>ROUND(H3942*(1-I3942),2)</x:f>
        <x:v>16781000</x:v>
      </x:c>
      <x:c r="N3942" s="4" t="str">
        <x:v>Sales manager</x:v>
      </x:c>
      <x:c r="O3942" s="4"/>
      <x:c r="P3942" s="9" t="n">
        <x:v>0</x:v>
      </x:c>
      <x:c r="Q3942" s="11" t="n">
        <x:v>1</x:v>
      </x:c>
      <x:c r="R3942" s="8" t="n">
        <x:v>45585</x:v>
      </x:c>
      <x:c r="S3942" s="4" t="str">
        <x:v>Lost / cancelled</x:v>
      </x:c>
      <x:c r="T3942" s="10" t="n">
        <x:v>0.072165</x:v>
      </x:c>
      <x:c r="U3942" s="4" t="str">
        <x:v>Test</x:v>
      </x:c>
    </x:row>
    <x:row r="3943" ht="34" customHeight="1">
      <x:c r="A3943" s="4" t="str">
        <x:v>RS-03942</x:v>
      </x:c>
      <x:c r="B3943" s="8" t="n">
        <x:v>45526</x:v>
      </x:c>
      <x:c r="C3943" s="4" t="str">
        <x:v>PRJ-002</x:v>
      </x:c>
      <x:c r="D3943" s="4" t="str">
        <x:v>Villa</x:v>
      </x:c>
      <x:c r="E3943" s="4" t="str">
        <x:v>Booked</x:v>
      </x:c>
      <x:c r="F3943" s="4" t="str">
        <x:v>CUS-03942</x:v>
      </x:c>
      <x:c r="G3943" s="4" t="str">
        <x:v>UNIT-03942</x:v>
      </x:c>
      <x:c r="H3943" s="9" t="n">
        <x:v>24500000</x:v>
      </x:c>
      <x:c r="I3943" s="10" t="n">
        <x:v>0.1</x:v>
      </x:c>
      <x:c r="J3943" s="11" t="n">
        <x:v>10</x:v>
      </x:c>
      <x:c r="K3943" s="11" t="n">
        <x:v>9</x:v>
      </x:c>
      <x:c r="L3943" s="11" t="n">
        <x:v>1</x:v>
      </x:c>
      <x:c r="M3943" s="9" t="n">
        <x:f>ROUND(H3943*(1-I3943),2)</x:f>
        <x:v>22050000</x:v>
      </x:c>
      <x:c r="N3943" s="4" t="str">
        <x:v>Sales head</x:v>
      </x:c>
      <x:c r="O3943" s="4" t="str">
        <x:v>BOOK-03942</x:v>
      </x:c>
      <x:c r="P3943" s="9" t="n">
        <x:v>5512500</x:v>
      </x:c>
      <x:c r="Q3943" s="11" t="n">
        <x:v>0</x:v>
      </x:c>
      <x:c r="R3943" s="8" t="n">
        <x:v>45586</x:v>
      </x:c>
      <x:c r="S3943" s="4" t="str">
        <x:v>Retained</x:v>
      </x:c>
      <x:c r="T3943" s="10" t="n">
        <x:v>0.310195</x:v>
      </x:c>
      <x:c r="U3943" s="4" t="str">
        <x:v>Test</x:v>
      </x:c>
    </x:row>
    <x:row r="3944" ht="34" customHeight="1">
      <x:c r="A3944" s="4" t="str">
        <x:v>RS-03943</x:v>
      </x:c>
      <x:c r="B3944" s="8" t="n">
        <x:v>45527</x:v>
      </x:c>
      <x:c r="C3944" s="4" t="str">
        <x:v>PRJ-003</x:v>
      </x:c>
      <x:c r="D3944" s="4" t="str">
        <x:v>Office</x:v>
      </x:c>
      <x:c r="E3944" s="4" t="str">
        <x:v>Agreement signed</x:v>
      </x:c>
      <x:c r="F3944" s="4" t="str">
        <x:v>CUS-03943</x:v>
      </x:c>
      <x:c r="G3944" s="4" t="str">
        <x:v>UNIT-03943</x:v>
      </x:c>
      <x:c r="H3944" s="9" t="n">
        <x:v>9800000</x:v>
      </x:c>
      <x:c r="I3944" s="10" t="n">
        <x:v>0.06</x:v>
      </x:c>
      <x:c r="J3944" s="11" t="n">
        <x:v>5</x:v>
      </x:c>
      <x:c r="K3944" s="11" t="n">
        <x:v>2</x:v>
      </x:c>
      <x:c r="L3944" s="11" t="n">
        <x:v>0</x:v>
      </x:c>
      <x:c r="M3944" s="9" t="n">
        <x:f>ROUND(H3944*(1-I3944),2)</x:f>
        <x:v>9212000</x:v>
      </x:c>
      <x:c r="N3944" s="4" t="str">
        <x:v>Sales manager</x:v>
      </x:c>
      <x:c r="O3944" s="4" t="str">
        <x:v>BOOK-03943</x:v>
      </x:c>
      <x:c r="P3944" s="9" t="n">
        <x:v>9212000</x:v>
      </x:c>
      <x:c r="Q3944" s="11" t="n">
        <x:v>0</x:v>
      </x:c>
      <x:c r="R3944" s="8" t="n">
        <x:v>45587</x:v>
      </x:c>
      <x:c r="S3944" s="4" t="str">
        <x:v>Retained</x:v>
      </x:c>
      <x:c r="T3944" s="10" t="n">
        <x:v>0.226277</x:v>
      </x:c>
      <x:c r="U3944" s="4" t="str">
        <x:v>Test</x:v>
      </x:c>
    </x:row>
    <x:row r="3945" ht="34" customHeight="1">
      <x:c r="A3945" s="4" t="str">
        <x:v>RS-03944</x:v>
      </x:c>
      <x:c r="B3945" s="8" t="n">
        <x:v>45528</x:v>
      </x:c>
      <x:c r="C3945" s="4" t="str">
        <x:v>PRJ-004</x:v>
      </x:c>
      <x:c r="D3945" s="4" t="str">
        <x:v>Office</x:v>
      </x:c>
      <x:c r="E3945" s="4" t="str">
        <x:v>Booked</x:v>
      </x:c>
      <x:c r="F3945" s="4" t="str">
        <x:v>CUS-03944</x:v>
      </x:c>
      <x:c r="G3945" s="4" t="str">
        <x:v>UNIT-03944</x:v>
      </x:c>
      <x:c r="H3945" s="9" t="n">
        <x:v>17100000</x:v>
      </x:c>
      <x:c r="I3945" s="10" t="n">
        <x:v>0.02</x:v>
      </x:c>
      <x:c r="J3945" s="11" t="n">
        <x:v>1</x:v>
      </x:c>
      <x:c r="K3945" s="11" t="n">
        <x:v>0</x:v>
      </x:c>
      <x:c r="L3945" s="11" t="n">
        <x:v>0</x:v>
      </x:c>
      <x:c r="M3945" s="9" t="n">
        <x:f>ROUND(H3945*(1-I3945),2)</x:f>
        <x:v>16758000</x:v>
      </x:c>
      <x:c r="N3945" s="4" t="str">
        <x:v>Sales manager</x:v>
      </x:c>
      <x:c r="O3945" s="4" t="str">
        <x:v>BOOK-03944</x:v>
      </x:c>
      <x:c r="P3945" s="9" t="n">
        <x:v>8379000</x:v>
      </x:c>
      <x:c r="Q3945" s="11" t="n">
        <x:v>0</x:v>
      </x:c>
      <x:c r="R3945" s="8" t="n">
        <x:v>45588</x:v>
      </x:c>
      <x:c r="S3945" s="4" t="str">
        <x:v>Retained</x:v>
      </x:c>
      <x:c r="T3945" s="10" t="n">
        <x:v>0.276923</x:v>
      </x:c>
      <x:c r="U3945" s="4" t="str">
        <x:v>Test</x:v>
      </x:c>
    </x:row>
    <x:row r="3946" ht="34" customHeight="1">
      <x:c r="A3946" s="4" t="str">
        <x:v>RS-03945</x:v>
      </x:c>
      <x:c r="B3946" s="8" t="n">
        <x:v>45529</x:v>
      </x:c>
      <x:c r="C3946" s="4" t="str">
        <x:v>PRJ-005</x:v>
      </x:c>
      <x:c r="D3946" s="4" t="str">
        <x:v>Villa</x:v>
      </x:c>
      <x:c r="E3946" s="4" t="str">
        <x:v>Agreement signed</x:v>
      </x:c>
      <x:c r="F3946" s="4" t="str">
        <x:v>CUS-03945</x:v>
      </x:c>
      <x:c r="G3946" s="4" t="str">
        <x:v>UNIT-03945</x:v>
      </x:c>
      <x:c r="H3946" s="9" t="n">
        <x:v>4700000</x:v>
      </x:c>
      <x:c r="I3946" s="10" t="n">
        <x:v>0.05</x:v>
      </x:c>
      <x:c r="J3946" s="11" t="n">
        <x:v>9</x:v>
      </x:c>
      <x:c r="K3946" s="11" t="n">
        <x:v>3</x:v>
      </x:c>
      <x:c r="L3946" s="11" t="n">
        <x:v>0</x:v>
      </x:c>
      <x:c r="M3946" s="9" t="n">
        <x:f>ROUND(H3946*(1-I3946),2)</x:f>
        <x:v>4465000</x:v>
      </x:c>
      <x:c r="N3946" s="4" t="str">
        <x:v>Sales manager</x:v>
      </x:c>
      <x:c r="O3946" s="4" t="str">
        <x:v>BOOK-03945</x:v>
      </x:c>
      <x:c r="P3946" s="9" t="n">
        <x:v>4465000</x:v>
      </x:c>
      <x:c r="Q3946" s="11" t="n">
        <x:v>0</x:v>
      </x:c>
      <x:c r="R3946" s="8" t="n">
        <x:v>45589</x:v>
      </x:c>
      <x:c r="S3946" s="4" t="str">
        <x:v>Retained</x:v>
      </x:c>
      <x:c r="T3946" s="10" t="n">
        <x:v>0.310195</x:v>
      </x:c>
      <x:c r="U3946" s="4" t="str">
        <x:v>Test</x:v>
      </x:c>
    </x:row>
    <x:row r="3947" ht="34" customHeight="1">
      <x:c r="A3947" s="4" t="str">
        <x:v>RS-03946</x:v>
      </x:c>
      <x:c r="B3947" s="8" t="n">
        <x:v>45530</x:v>
      </x:c>
      <x:c r="C3947" s="4" t="str">
        <x:v>PRJ-006</x:v>
      </x:c>
      <x:c r="D3947" s="4" t="str">
        <x:v>Retail</x:v>
      </x:c>
      <x:c r="E3947" s="4" t="str">
        <x:v>Handed over</x:v>
      </x:c>
      <x:c r="F3947" s="4" t="str">
        <x:v>CUS-03946</x:v>
      </x:c>
      <x:c r="G3947" s="4" t="str">
        <x:v>UNIT-03946</x:v>
      </x:c>
      <x:c r="H3947" s="9" t="n">
        <x:v>3300000</x:v>
      </x:c>
      <x:c r="I3947" s="10" t="n">
        <x:v>0.02</x:v>
      </x:c>
      <x:c r="J3947" s="11" t="n">
        <x:v>8</x:v>
      </x:c>
      <x:c r="K3947" s="11" t="n">
        <x:v>4</x:v>
      </x:c>
      <x:c r="L3947" s="11" t="n">
        <x:v>0</x:v>
      </x:c>
      <x:c r="M3947" s="9" t="n">
        <x:f>ROUND(H3947*(1-I3947),2)</x:f>
        <x:v>3234000</x:v>
      </x:c>
      <x:c r="N3947" s="4" t="str">
        <x:v>Sales manager</x:v>
      </x:c>
      <x:c r="O3947" s="4" t="str">
        <x:v>BOOK-03946</x:v>
      </x:c>
      <x:c r="P3947" s="9" t="n">
        <x:v>808500</x:v>
      </x:c>
      <x:c r="Q3947" s="11" t="n">
        <x:v>0</x:v>
      </x:c>
      <x:c r="R3947" s="8" t="n">
        <x:v>45590</x:v>
      </x:c>
      <x:c r="S3947" s="4" t="str">
        <x:v>Retained</x:v>
      </x:c>
      <x:c r="T3947" s="10" t="n">
        <x:v>0.305556</x:v>
      </x:c>
      <x:c r="U3947" s="4" t="str">
        <x:v>Test</x:v>
      </x:c>
    </x:row>
    <x:row r="3948" ht="34" customHeight="1">
      <x:c r="A3948" s="4" t="str">
        <x:v>RS-03947</x:v>
      </x:c>
      <x:c r="B3948" s="8" t="n">
        <x:v>45531</x:v>
      </x:c>
      <x:c r="C3948" s="4" t="str">
        <x:v>PRJ-007</x:v>
      </x:c>
      <x:c r="D3948" s="4" t="str">
        <x:v>Apartment</x:v>
      </x:c>
      <x:c r="E3948" s="4" t="str">
        <x:v>Booked</x:v>
      </x:c>
      <x:c r="F3948" s="4" t="str">
        <x:v>CUS-03947</x:v>
      </x:c>
      <x:c r="G3948" s="4" t="str">
        <x:v>UNIT-03947</x:v>
      </x:c>
      <x:c r="H3948" s="9" t="n">
        <x:v>24300000</x:v>
      </x:c>
      <x:c r="I3948" s="10" t="n">
        <x:v>0.01</x:v>
      </x:c>
      <x:c r="J3948" s="11" t="n">
        <x:v>7</x:v>
      </x:c>
      <x:c r="K3948" s="11" t="n">
        <x:v>2</x:v>
      </x:c>
      <x:c r="L3948" s="11" t="n">
        <x:v>0</x:v>
      </x:c>
      <x:c r="M3948" s="9" t="n">
        <x:f>ROUND(H3948*(1-I3948),2)</x:f>
        <x:v>24057000</x:v>
      </x:c>
      <x:c r="N3948" s="4" t="str">
        <x:v>Sales manager</x:v>
      </x:c>
      <x:c r="O3948" s="4" t="str">
        <x:v>BOOK-03947</x:v>
      </x:c>
      <x:c r="P3948" s="9" t="n">
        <x:v>6014250</x:v>
      </x:c>
      <x:c r="Q3948" s="11" t="n">
        <x:v>0</x:v>
      </x:c>
      <x:c r="R3948" s="8" t="n">
        <x:v>45591</x:v>
      </x:c>
      <x:c r="S3948" s="4" t="str">
        <x:v>Retained</x:v>
      </x:c>
      <x:c r="T3948" s="10" t="n">
        <x:v>0.298969</x:v>
      </x:c>
      <x:c r="U3948" s="4" t="str">
        <x:v>Test</x:v>
      </x:c>
    </x:row>
    <x:row r="3949" ht="34" customHeight="1">
      <x:c r="A3949" s="4" t="str">
        <x:v>RS-03948</x:v>
      </x:c>
      <x:c r="B3949" s="8" t="n">
        <x:v>45532</x:v>
      </x:c>
      <x:c r="C3949" s="4" t="str">
        <x:v>PRJ-008</x:v>
      </x:c>
      <x:c r="D3949" s="4" t="str">
        <x:v>Office</x:v>
      </x:c>
      <x:c r="E3949" s="4" t="str">
        <x:v>Booked</x:v>
      </x:c>
      <x:c r="F3949" s="4" t="str">
        <x:v>CUS-03948</x:v>
      </x:c>
      <x:c r="G3949" s="4" t="str">
        <x:v>UNIT-03948</x:v>
      </x:c>
      <x:c r="H3949" s="9" t="n">
        <x:v>17500000</x:v>
      </x:c>
      <x:c r="I3949" s="10" t="n">
        <x:v>0.09</x:v>
      </x:c>
      <x:c r="J3949" s="11" t="n">
        <x:v>9</x:v>
      </x:c>
      <x:c r="K3949" s="11" t="n">
        <x:v>7</x:v>
      </x:c>
      <x:c r="L3949" s="11" t="n">
        <x:v>0</x:v>
      </x:c>
      <x:c r="M3949" s="9" t="n">
        <x:f>ROUND(H3949*(1-I3949),2)</x:f>
        <x:v>15925000</x:v>
      </x:c>
      <x:c r="N3949" s="4" t="str">
        <x:v>Sales head</x:v>
      </x:c>
      <x:c r="O3949" s="4" t="str">
        <x:v>BOOK-03948</x:v>
      </x:c>
      <x:c r="P3949" s="9" t="n">
        <x:v>7962500</x:v>
      </x:c>
      <x:c r="Q3949" s="11" t="n">
        <x:v>0</x:v>
      </x:c>
      <x:c r="R3949" s="8" t="n">
        <x:v>45592</x:v>
      </x:c>
      <x:c r="S3949" s="4" t="str">
        <x:v>Retained</x:v>
      </x:c>
      <x:c r="T3949" s="10" t="n">
        <x:v>0.310195</x:v>
      </x:c>
      <x:c r="U3949" s="4" t="str">
        <x:v>Test</x:v>
      </x:c>
    </x:row>
    <x:row r="3950" ht="34" customHeight="1">
      <x:c r="A3950" s="4" t="str">
        <x:v>RS-03949</x:v>
      </x:c>
      <x:c r="B3950" s="8" t="n">
        <x:v>45505</x:v>
      </x:c>
      <x:c r="C3950" s="4" t="str">
        <x:v>PRJ-009</x:v>
      </x:c>
      <x:c r="D3950" s="4" t="str">
        <x:v>Villa</x:v>
      </x:c>
      <x:c r="E3950" s="4" t="str">
        <x:v>Handed over</x:v>
      </x:c>
      <x:c r="F3950" s="4" t="str">
        <x:v>CUS-03949</x:v>
      </x:c>
      <x:c r="G3950" s="4" t="str">
        <x:v>UNIT-03949</x:v>
      </x:c>
      <x:c r="H3950" s="9" t="n">
        <x:v>17900000</x:v>
      </x:c>
      <x:c r="I3950" s="10" t="n">
        <x:v>0.1</x:v>
      </x:c>
      <x:c r="J3950" s="11" t="n">
        <x:v>12</x:v>
      </x:c>
      <x:c r="K3950" s="11" t="n">
        <x:v>4</x:v>
      </x:c>
      <x:c r="L3950" s="11" t="n">
        <x:v>0</x:v>
      </x:c>
      <x:c r="M3950" s="9" t="n">
        <x:f>ROUND(H3950*(1-I3950),2)</x:f>
        <x:v>16110000</x:v>
      </x:c>
      <x:c r="N3950" s="4" t="str">
        <x:v>Sales head</x:v>
      </x:c>
      <x:c r="O3950" s="4" t="str">
        <x:v>BOOK-03949</x:v>
      </x:c>
      <x:c r="P3950" s="9" t="n">
        <x:v>16110000</x:v>
      </x:c>
      <x:c r="Q3950" s="11" t="n">
        <x:v>0</x:v>
      </x:c>
      <x:c r="R3950" s="8" t="n">
        <x:v>45565</x:v>
      </x:c>
      <x:c r="S3950" s="4" t="str">
        <x:v>Retained</x:v>
      </x:c>
      <x:c r="T3950" s="10" t="n">
        <x:v>0.351536</x:v>
      </x:c>
      <x:c r="U3950" s="4" t="str">
        <x:v>Test</x:v>
      </x:c>
    </x:row>
    <x:row r="3951" ht="34" customHeight="1">
      <x:c r="A3951" s="4" t="str">
        <x:v>RS-03950</x:v>
      </x:c>
      <x:c r="B3951" s="8" t="n">
        <x:v>45506</x:v>
      </x:c>
      <x:c r="C3951" s="4" t="str">
        <x:v>PRJ-010</x:v>
      </x:c>
      <x:c r="D3951" s="4" t="str">
        <x:v>Retail</x:v>
      </x:c>
      <x:c r="E3951" s="4" t="str">
        <x:v>Agreement signed</x:v>
      </x:c>
      <x:c r="F3951" s="4" t="str">
        <x:v>CUS-03950</x:v>
      </x:c>
      <x:c r="G3951" s="4" t="str">
        <x:v>UNIT-03950</x:v>
      </x:c>
      <x:c r="H3951" s="9" t="n">
        <x:v>3400000</x:v>
      </x:c>
      <x:c r="I3951" s="10" t="n">
        <x:v>0.04</x:v>
      </x:c>
      <x:c r="J3951" s="11" t="n">
        <x:v>3</x:v>
      </x:c>
      <x:c r="K3951" s="11" t="n">
        <x:v>1</x:v>
      </x:c>
      <x:c r="L3951" s="11" t="n">
        <x:v>1</x:v>
      </x:c>
      <x:c r="M3951" s="9" t="n">
        <x:f>ROUND(H3951*(1-I3951),2)</x:f>
        <x:v>3264000</x:v>
      </x:c>
      <x:c r="N3951" s="4" t="str">
        <x:v>Sales manager</x:v>
      </x:c>
      <x:c r="O3951" s="4" t="str">
        <x:v>BOOK-03950</x:v>
      </x:c>
      <x:c r="P3951" s="9" t="n">
        <x:v>3264000</x:v>
      </x:c>
      <x:c r="Q3951" s="11" t="n">
        <x:v>0</x:v>
      </x:c>
      <x:c r="R3951" s="8" t="n">
        <x:v>45566</x:v>
      </x:c>
      <x:c r="S3951" s="4" t="str">
        <x:v>Retained</x:v>
      </x:c>
      <x:c r="T3951" s="10" t="n">
        <x:v>0.204152</x:v>
      </x:c>
      <x:c r="U3951" s="4" t="str">
        <x:v>Test</x:v>
      </x:c>
    </x:row>
    <x:row r="3952" ht="34" customHeight="1">
      <x:c r="A3952" s="4" t="str">
        <x:v>RS-03951</x:v>
      </x:c>
      <x:c r="B3952" s="8" t="n">
        <x:v>45507</x:v>
      </x:c>
      <x:c r="C3952" s="4" t="str">
        <x:v>PRJ-011</x:v>
      </x:c>
      <x:c r="D3952" s="4" t="str">
        <x:v>Apartment</x:v>
      </x:c>
      <x:c r="E3952" s="4" t="str">
        <x:v>Reserved</x:v>
      </x:c>
      <x:c r="F3952" s="4" t="str">
        <x:v>CUS-03951</x:v>
      </x:c>
      <x:c r="G3952" s="4" t="str">
        <x:v>UNIT-03951</x:v>
      </x:c>
      <x:c r="H3952" s="9" t="n">
        <x:v>8800000</x:v>
      </x:c>
      <x:c r="I3952" s="10" t="n">
        <x:v>0.04</x:v>
      </x:c>
      <x:c r="J3952" s="11" t="n">
        <x:v>5</x:v>
      </x:c>
      <x:c r="K3952" s="11" t="n">
        <x:v>10</x:v>
      </x:c>
      <x:c r="L3952" s="11" t="n">
        <x:v>0</x:v>
      </x:c>
      <x:c r="M3952" s="9" t="n">
        <x:f>ROUND(H3952*(1-I3952),2)</x:f>
        <x:v>8448000</x:v>
      </x:c>
      <x:c r="N3952" s="4" t="str">
        <x:v>Sales manager</x:v>
      </x:c>
      <x:c r="O3952" s="4"/>
      <x:c r="P3952" s="9" t="n">
        <x:v>0</x:v>
      </x:c>
      <x:c r="Q3952" s="11" t="n">
        <x:v>0</x:v>
      </x:c>
      <x:c r="R3952" s="8" t="n">
        <x:v>45567</x:v>
      </x:c>
      <x:c r="S3952" s="4" t="str">
        <x:v>Retained</x:v>
      </x:c>
      <x:c r="T3952" s="10" t="n">
        <x:v>0.226277</x:v>
      </x:c>
      <x:c r="U3952" s="4" t="str">
        <x:v>Test</x:v>
      </x:c>
    </x:row>
    <x:row r="3953" ht="34" customHeight="1">
      <x:c r="A3953" s="4" t="str">
        <x:v>RS-03952</x:v>
      </x:c>
      <x:c r="B3953" s="8" t="n">
        <x:v>45508</x:v>
      </x:c>
      <x:c r="C3953" s="4" t="str">
        <x:v>PRJ-012</x:v>
      </x:c>
      <x:c r="D3953" s="4" t="str">
        <x:v>Apartment</x:v>
      </x:c>
      <x:c r="E3953" s="4" t="str">
        <x:v>Booked</x:v>
      </x:c>
      <x:c r="F3953" s="4" t="str">
        <x:v>CUS-03952</x:v>
      </x:c>
      <x:c r="G3953" s="4" t="str">
        <x:v>UNIT-03952</x:v>
      </x:c>
      <x:c r="H3953" s="9" t="n">
        <x:v>4100000</x:v>
      </x:c>
      <x:c r="I3953" s="10" t="n">
        <x:v>0.07</x:v>
      </x:c>
      <x:c r="J3953" s="11" t="n">
        <x:v>1</x:v>
      </x:c>
      <x:c r="K3953" s="11" t="n">
        <x:v>3</x:v>
      </x:c>
      <x:c r="L3953" s="11" t="n">
        <x:v>0</x:v>
      </x:c>
      <x:c r="M3953" s="9" t="n">
        <x:f>ROUND(H3953*(1-I3953),2)</x:f>
        <x:v>3813000</x:v>
      </x:c>
      <x:c r="N3953" s="4" t="str">
        <x:v>Sales manager</x:v>
      </x:c>
      <x:c r="O3953" s="4" t="str">
        <x:v>BOOK-03952</x:v>
      </x:c>
      <x:c r="P3953" s="9" t="n">
        <x:v>1906500</x:v>
      </x:c>
      <x:c r="Q3953" s="11" t="n">
        <x:v>0</x:v>
      </x:c>
      <x:c r="R3953" s="8" t="n">
        <x:v>45568</x:v>
      </x:c>
      <x:c r="S3953" s="4" t="str">
        <x:v>Retained</x:v>
      </x:c>
      <x:c r="T3953" s="10" t="n">
        <x:v>0.204152</x:v>
      </x:c>
      <x:c r="U3953" s="4" t="str">
        <x:v>Test</x:v>
      </x:c>
    </x:row>
    <x:row r="3954" ht="34" customHeight="1">
      <x:c r="A3954" s="4" t="str">
        <x:v>RS-03953</x:v>
      </x:c>
      <x:c r="B3954" s="8" t="n">
        <x:v>45509</x:v>
      </x:c>
      <x:c r="C3954" s="4" t="str">
        <x:v>PRJ-013</x:v>
      </x:c>
      <x:c r="D3954" s="4" t="str">
        <x:v>Apartment</x:v>
      </x:c>
      <x:c r="E3954" s="4" t="str">
        <x:v>Enquiry</x:v>
      </x:c>
      <x:c r="F3954" s="4" t="str">
        <x:v>CUS-03953</x:v>
      </x:c>
      <x:c r="G3954" s="4" t="str">
        <x:v>UNIT-03953</x:v>
      </x:c>
      <x:c r="H3954" s="9" t="n">
        <x:v>20700000</x:v>
      </x:c>
      <x:c r="I3954" s="10" t="n">
        <x:v>0.08</x:v>
      </x:c>
      <x:c r="J3954" s="11" t="n">
        <x:v>3</x:v>
      </x:c>
      <x:c r="K3954" s="11" t="n">
        <x:v>3</x:v>
      </x:c>
      <x:c r="L3954" s="11" t="n">
        <x:v>1</x:v>
      </x:c>
      <x:c r="M3954" s="9" t="n">
        <x:f>ROUND(H3954*(1-I3954),2)</x:f>
        <x:v>19044000</x:v>
      </x:c>
      <x:c r="N3954" s="4" t="str">
        <x:v>Sales head</x:v>
      </x:c>
      <x:c r="O3954" s="4"/>
      <x:c r="P3954" s="9" t="n">
        <x:v>0</x:v>
      </x:c>
      <x:c r="Q3954" s="11" t="n">
        <x:v>1</x:v>
      </x:c>
      <x:c r="R3954" s="8" t="n">
        <x:v>45569</x:v>
      </x:c>
      <x:c r="S3954" s="4" t="str">
        <x:v>Lost / cancelled</x:v>
      </x:c>
      <x:c r="T3954" s="10" t="n">
        <x:v>0.204152</x:v>
      </x:c>
      <x:c r="U3954" s="4" t="str">
        <x:v>Test</x:v>
      </x:c>
    </x:row>
    <x:row r="3955" ht="34" customHeight="1">
      <x:c r="A3955" s="4" t="str">
        <x:v>RS-03954</x:v>
      </x:c>
      <x:c r="B3955" s="8" t="n">
        <x:v>45510</x:v>
      </x:c>
      <x:c r="C3955" s="4" t="str">
        <x:v>PRJ-014</x:v>
      </x:c>
      <x:c r="D3955" s="4" t="str">
        <x:v>Apartment</x:v>
      </x:c>
      <x:c r="E3955" s="4" t="str">
        <x:v>Booked</x:v>
      </x:c>
      <x:c r="F3955" s="4" t="str">
        <x:v>CUS-03954</x:v>
      </x:c>
      <x:c r="G3955" s="4" t="str">
        <x:v>UNIT-03954</x:v>
      </x:c>
      <x:c r="H3955" s="9" t="n">
        <x:v>18200000</x:v>
      </x:c>
      <x:c r="I3955" s="10" t="n">
        <x:v>0.07</x:v>
      </x:c>
      <x:c r="J3955" s="11" t="n">
        <x:v>2</x:v>
      </x:c>
      <x:c r="K3955" s="11" t="n">
        <x:v>8</x:v>
      </x:c>
      <x:c r="L3955" s="11" t="n">
        <x:v>1</x:v>
      </x:c>
      <x:c r="M3955" s="9" t="n">
        <x:f>ROUND(H3955*(1-I3955),2)</x:f>
        <x:v>16926000</x:v>
      </x:c>
      <x:c r="N3955" s="4" t="str">
        <x:v>Sales manager</x:v>
      </x:c>
      <x:c r="O3955" s="4" t="str">
        <x:v>BOOK-03954</x:v>
      </x:c>
      <x:c r="P3955" s="9" t="n">
        <x:v>4231500</x:v>
      </x:c>
      <x:c r="Q3955" s="11" t="n">
        <x:v>0</x:v>
      </x:c>
      <x:c r="R3955" s="8" t="n">
        <x:v>45570</x:v>
      </x:c>
      <x:c r="S3955" s="4" t="str">
        <x:v>Retained</x:v>
      </x:c>
      <x:c r="T3955" s="10" t="n">
        <x:v>0.204152</x:v>
      </x:c>
      <x:c r="U3955" s="4" t="str">
        <x:v>Test</x:v>
      </x:c>
    </x:row>
    <x:row r="3956" ht="34" customHeight="1">
      <x:c r="A3956" s="4" t="str">
        <x:v>RS-03955</x:v>
      </x:c>
      <x:c r="B3956" s="8" t="n">
        <x:v>45511</x:v>
      </x:c>
      <x:c r="C3956" s="4" t="str">
        <x:v>PRJ-015</x:v>
      </x:c>
      <x:c r="D3956" s="4" t="str">
        <x:v>Retail</x:v>
      </x:c>
      <x:c r="E3956" s="4" t="str">
        <x:v>Cancelled</x:v>
      </x:c>
      <x:c r="F3956" s="4" t="str">
        <x:v>CUS-03955</x:v>
      </x:c>
      <x:c r="G3956" s="4" t="str">
        <x:v>UNIT-03955</x:v>
      </x:c>
      <x:c r="H3956" s="9" t="n">
        <x:v>17400000</x:v>
      </x:c>
      <x:c r="I3956" s="10" t="n">
        <x:v>0.07</x:v>
      </x:c>
      <x:c r="J3956" s="11" t="n">
        <x:v>4</x:v>
      </x:c>
      <x:c r="K3956" s="11" t="n">
        <x:v>6</x:v>
      </x:c>
      <x:c r="L3956" s="11" t="n">
        <x:v>1</x:v>
      </x:c>
      <x:c r="M3956" s="9" t="n">
        <x:f>ROUND(H3956*(1-I3956),2)</x:f>
        <x:v>16182000</x:v>
      </x:c>
      <x:c r="N3956" s="4" t="str">
        <x:v>Sales manager</x:v>
      </x:c>
      <x:c r="O3956" s="4"/>
      <x:c r="P3956" s="9" t="n">
        <x:v>0</x:v>
      </x:c>
      <x:c r="Q3956" s="11" t="n">
        <x:v>1</x:v>
      </x:c>
      <x:c r="R3956" s="8" t="n">
        <x:v>45571</x:v>
      </x:c>
      <x:c r="S3956" s="4" t="str">
        <x:v>Lost / cancelled</x:v>
      </x:c>
      <x:c r="T3956" s="10" t="n">
        <x:v>0.291946</x:v>
      </x:c>
      <x:c r="U3956" s="4" t="str">
        <x:v>Test</x:v>
      </x:c>
    </x:row>
    <x:row r="3957" ht="34" customHeight="1">
      <x:c r="A3957" s="4" t="str">
        <x:v>RS-03956</x:v>
      </x:c>
      <x:c r="B3957" s="8" t="n">
        <x:v>45512</x:v>
      </x:c>
      <x:c r="C3957" s="4" t="str">
        <x:v>PRJ-016</x:v>
      </x:c>
      <x:c r="D3957" s="4" t="str">
        <x:v>Villa</x:v>
      </x:c>
      <x:c r="E3957" s="4" t="str">
        <x:v>Booked</x:v>
      </x:c>
      <x:c r="F3957" s="4" t="str">
        <x:v>CUS-03956</x:v>
      </x:c>
      <x:c r="G3957" s="4" t="str">
        <x:v>UNIT-03956</x:v>
      </x:c>
      <x:c r="H3957" s="9" t="n">
        <x:v>11200000</x:v>
      </x:c>
      <x:c r="I3957" s="10" t="n">
        <x:v>0.1</x:v>
      </x:c>
      <x:c r="J3957" s="11" t="n">
        <x:v>11</x:v>
      </x:c>
      <x:c r="K3957" s="11" t="n">
        <x:v>9</x:v>
      </x:c>
      <x:c r="L3957" s="11" t="n">
        <x:v>0</x:v>
      </x:c>
      <x:c r="M3957" s="9" t="n">
        <x:f>ROUND(H3957*(1-I3957),2)</x:f>
        <x:v>10080000</x:v>
      </x:c>
      <x:c r="N3957" s="4" t="str">
        <x:v>Sales head</x:v>
      </x:c>
      <x:c r="O3957" s="4" t="str">
        <x:v>BOOK-03956</x:v>
      </x:c>
      <x:c r="P3957" s="9" t="n">
        <x:v>1008000</x:v>
      </x:c>
      <x:c r="Q3957" s="11" t="n">
        <x:v>0</x:v>
      </x:c>
      <x:c r="R3957" s="8" t="n">
        <x:v>45572</x:v>
      </x:c>
      <x:c r="S3957" s="4" t="str">
        <x:v>Retained</x:v>
      </x:c>
      <x:c r="T3957" s="10" t="n">
        <x:v>0.351536</x:v>
      </x:c>
      <x:c r="U3957" s="4" t="str">
        <x:v>Test</x:v>
      </x:c>
    </x:row>
    <x:row r="3958" ht="34" customHeight="1">
      <x:c r="A3958" s="4" t="str">
        <x:v>RS-03957</x:v>
      </x:c>
      <x:c r="B3958" s="8" t="n">
        <x:v>45513</x:v>
      </x:c>
      <x:c r="C3958" s="4" t="str">
        <x:v>PRJ-017</x:v>
      </x:c>
      <x:c r="D3958" s="4" t="str">
        <x:v>Villa</x:v>
      </x:c>
      <x:c r="E3958" s="4" t="str">
        <x:v>Cancelled</x:v>
      </x:c>
      <x:c r="F3958" s="4" t="str">
        <x:v>CUS-03957</x:v>
      </x:c>
      <x:c r="G3958" s="4" t="str">
        <x:v>UNIT-03957</x:v>
      </x:c>
      <x:c r="H3958" s="9" t="n">
        <x:v>20500000</x:v>
      </x:c>
      <x:c r="I3958" s="10" t="n">
        <x:v>0.01</x:v>
      </x:c>
      <x:c r="J3958" s="11" t="n">
        <x:v>7</x:v>
      </x:c>
      <x:c r="K3958" s="11" t="n">
        <x:v>2</x:v>
      </x:c>
      <x:c r="L3958" s="11" t="n">
        <x:v>1</x:v>
      </x:c>
      <x:c r="M3958" s="9" t="n">
        <x:f>ROUND(H3958*(1-I3958),2)</x:f>
        <x:v>20295000</x:v>
      </x:c>
      <x:c r="N3958" s="4" t="str">
        <x:v>Sales manager</x:v>
      </x:c>
      <x:c r="O3958" s="4"/>
      <x:c r="P3958" s="9" t="n">
        <x:v>0</x:v>
      </x:c>
      <x:c r="Q3958" s="11" t="n">
        <x:v>1</x:v>
      </x:c>
      <x:c r="R3958" s="8" t="n">
        <x:v>45573</x:v>
      </x:c>
      <x:c r="S3958" s="4" t="str">
        <x:v>Lost / cancelled</x:v>
      </x:c>
      <x:c r="T3958" s="10" t="n">
        <x:v>0.298969</x:v>
      </x:c>
      <x:c r="U3958" s="4" t="str">
        <x:v>Test</x:v>
      </x:c>
    </x:row>
    <x:row r="3959" ht="34" customHeight="1">
      <x:c r="A3959" s="4" t="str">
        <x:v>RS-03958</x:v>
      </x:c>
      <x:c r="B3959" s="8" t="n">
        <x:v>45514</x:v>
      </x:c>
      <x:c r="C3959" s="4" t="str">
        <x:v>PRJ-018</x:v>
      </x:c>
      <x:c r="D3959" s="4" t="str">
        <x:v>Retail</x:v>
      </x:c>
      <x:c r="E3959" s="4" t="str">
        <x:v>Booked</x:v>
      </x:c>
      <x:c r="F3959" s="4" t="str">
        <x:v>CUS-03958</x:v>
      </x:c>
      <x:c r="G3959" s="4" t="str">
        <x:v>UNIT-03958</x:v>
      </x:c>
      <x:c r="H3959" s="9" t="n">
        <x:v>17900000</x:v>
      </x:c>
      <x:c r="I3959" s="10" t="n">
        <x:v>0.02</x:v>
      </x:c>
      <x:c r="J3959" s="11" t="n">
        <x:v>10</x:v>
      </x:c>
      <x:c r="K3959" s="11" t="n">
        <x:v>1</x:v>
      </x:c>
      <x:c r="L3959" s="11" t="n">
        <x:v>1</x:v>
      </x:c>
      <x:c r="M3959" s="9" t="n">
        <x:f>ROUND(H3959*(1-I3959),2)</x:f>
        <x:v>17542000</x:v>
      </x:c>
      <x:c r="N3959" s="4" t="str">
        <x:v>Sales manager</x:v>
      </x:c>
      <x:c r="O3959" s="4" t="str">
        <x:v>BOOK-03958</x:v>
      </x:c>
      <x:c r="P3959" s="9" t="n">
        <x:v>1754200</x:v>
      </x:c>
      <x:c r="Q3959" s="11" t="n">
        <x:v>0</x:v>
      </x:c>
      <x:c r="R3959" s="8" t="n">
        <x:v>45574</x:v>
      </x:c>
      <x:c r="S3959" s="4" t="str">
        <x:v>Retained</x:v>
      </x:c>
      <x:c r="T3959" s="10" t="n">
        <x:v>0.254545</x:v>
      </x:c>
      <x:c r="U3959" s="4" t="str">
        <x:v>Test</x:v>
      </x:c>
    </x:row>
    <x:row r="3960" ht="34" customHeight="1">
      <x:c r="A3960" s="4" t="str">
        <x:v>RS-03959</x:v>
      </x:c>
      <x:c r="B3960" s="8" t="n">
        <x:v>45515</x:v>
      </x:c>
      <x:c r="C3960" s="4" t="str">
        <x:v>PRJ-019</x:v>
      </x:c>
      <x:c r="D3960" s="4" t="str">
        <x:v>Apartment</x:v>
      </x:c>
      <x:c r="E3960" s="4" t="str">
        <x:v>Enquiry</x:v>
      </x:c>
      <x:c r="F3960" s="4" t="str">
        <x:v>CUS-03959</x:v>
      </x:c>
      <x:c r="G3960" s="4" t="str">
        <x:v>UNIT-03959</x:v>
      </x:c>
      <x:c r="H3960" s="9" t="n">
        <x:v>20100000</x:v>
      </x:c>
      <x:c r="I3960" s="10" t="n">
        <x:v>0.04</x:v>
      </x:c>
      <x:c r="J3960" s="11" t="n">
        <x:v>11</x:v>
      </x:c>
      <x:c r="K3960" s="11" t="n">
        <x:v>5</x:v>
      </x:c>
      <x:c r="L3960" s="11" t="n">
        <x:v>1</x:v>
      </x:c>
      <x:c r="M3960" s="9" t="n">
        <x:f>ROUND(H3960*(1-I3960),2)</x:f>
        <x:v>19296000</x:v>
      </x:c>
      <x:c r="N3960" s="4" t="str">
        <x:v>Sales manager</x:v>
      </x:c>
      <x:c r="O3960" s="4"/>
      <x:c r="P3960" s="9" t="n">
        <x:v>0</x:v>
      </x:c>
      <x:c r="Q3960" s="11" t="n">
        <x:v>1</x:v>
      </x:c>
      <x:c r="R3960" s="8" t="n">
        <x:v>45575</x:v>
      </x:c>
      <x:c r="S3960" s="4" t="str">
        <x:v>Lost / cancelled</x:v>
      </x:c>
      <x:c r="T3960" s="10" t="n">
        <x:v>0.351536</x:v>
      </x:c>
      <x:c r="U3960" s="4" t="str">
        <x:v>Test</x:v>
      </x:c>
    </x:row>
    <x:row r="3961" ht="34" customHeight="1">
      <x:c r="A3961" s="4" t="str">
        <x:v>RS-03960</x:v>
      </x:c>
      <x:c r="B3961" s="8" t="n">
        <x:v>45516</x:v>
      </x:c>
      <x:c r="C3961" s="4" t="str">
        <x:v>PRJ-020</x:v>
      </x:c>
      <x:c r="D3961" s="4" t="str">
        <x:v>Office</x:v>
      </x:c>
      <x:c r="E3961" s="4" t="str">
        <x:v>Cancelled</x:v>
      </x:c>
      <x:c r="F3961" s="4" t="str">
        <x:v>CUS-03960</x:v>
      </x:c>
      <x:c r="G3961" s="4" t="str">
        <x:v>UNIT-03960</x:v>
      </x:c>
      <x:c r="H3961" s="9" t="n">
        <x:v>19500000</x:v>
      </x:c>
      <x:c r="I3961" s="10" t="n">
        <x:v>0.08</x:v>
      </x:c>
      <x:c r="J3961" s="11" t="n">
        <x:v>1</x:v>
      </x:c>
      <x:c r="K3961" s="11" t="n">
        <x:v>2</x:v>
      </x:c>
      <x:c r="L3961" s="11" t="n">
        <x:v>1</x:v>
      </x:c>
      <x:c r="M3961" s="9" t="n">
        <x:f>ROUND(H3961*(1-I3961),2)</x:f>
        <x:v>17940000</x:v>
      </x:c>
      <x:c r="N3961" s="4" t="str">
        <x:v>Sales head</x:v>
      </x:c>
      <x:c r="O3961" s="4"/>
      <x:c r="P3961" s="9" t="n">
        <x:v>0</x:v>
      </x:c>
      <x:c r="Q3961" s="11" t="n">
        <x:v>1</x:v>
      </x:c>
      <x:c r="R3961" s="8" t="n">
        <x:v>45576</x:v>
      </x:c>
      <x:c r="S3961" s="4" t="str">
        <x:v>Lost / cancelled</x:v>
      </x:c>
      <x:c r="T3961" s="10" t="n">
        <x:v>0.204152</x:v>
      </x:c>
      <x:c r="U3961" s="4" t="str">
        <x:v>Test</x:v>
      </x:c>
    </x:row>
    <x:row r="3962" ht="34" customHeight="1">
      <x:c r="A3962" s="4" t="str">
        <x:v>RS-03961</x:v>
      </x:c>
      <x:c r="B3962" s="8" t="n">
        <x:v>45517</x:v>
      </x:c>
      <x:c r="C3962" s="4" t="str">
        <x:v>PRJ-001</x:v>
      </x:c>
      <x:c r="D3962" s="4" t="str">
        <x:v>Apartment</x:v>
      </x:c>
      <x:c r="E3962" s="4" t="str">
        <x:v>Enquiry</x:v>
      </x:c>
      <x:c r="F3962" s="4" t="str">
        <x:v>CUS-03961</x:v>
      </x:c>
      <x:c r="G3962" s="4" t="str">
        <x:v>UNIT-03961</x:v>
      </x:c>
      <x:c r="H3962" s="9" t="n">
        <x:v>24900000</x:v>
      </x:c>
      <x:c r="I3962" s="10" t="n">
        <x:v>0.04</x:v>
      </x:c>
      <x:c r="J3962" s="11" t="n">
        <x:v>5</x:v>
      </x:c>
      <x:c r="K3962" s="11" t="n">
        <x:v>4</x:v>
      </x:c>
      <x:c r="L3962" s="11" t="n">
        <x:v>0</x:v>
      </x:c>
      <x:c r="M3962" s="9" t="n">
        <x:f>ROUND(H3962*(1-I3962),2)</x:f>
        <x:v>23904000</x:v>
      </x:c>
      <x:c r="N3962" s="4" t="str">
        <x:v>Sales manager</x:v>
      </x:c>
      <x:c r="O3962" s="4"/>
      <x:c r="P3962" s="9" t="n">
        <x:v>0</x:v>
      </x:c>
      <x:c r="Q3962" s="11" t="n">
        <x:v>1</x:v>
      </x:c>
      <x:c r="R3962" s="8" t="n">
        <x:v>45577</x:v>
      </x:c>
      <x:c r="S3962" s="4" t="str">
        <x:v>Lost / cancelled</x:v>
      </x:c>
      <x:c r="T3962" s="10" t="n">
        <x:v>0.226277</x:v>
      </x:c>
      <x:c r="U3962" s="4" t="str">
        <x:v>Test</x:v>
      </x:c>
    </x:row>
    <x:row r="3963" ht="34" customHeight="1">
      <x:c r="A3963" s="4" t="str">
        <x:v>RS-03962</x:v>
      </x:c>
      <x:c r="B3963" s="8" t="n">
        <x:v>45518</x:v>
      </x:c>
      <x:c r="C3963" s="4" t="str">
        <x:v>PRJ-002</x:v>
      </x:c>
      <x:c r="D3963" s="4" t="str">
        <x:v>Office</x:v>
      </x:c>
      <x:c r="E3963" s="4" t="str">
        <x:v>Reserved</x:v>
      </x:c>
      <x:c r="F3963" s="4" t="str">
        <x:v>CUS-03962</x:v>
      </x:c>
      <x:c r="G3963" s="4" t="str">
        <x:v>UNIT-03962</x:v>
      </x:c>
      <x:c r="H3963" s="9" t="n">
        <x:v>3100000</x:v>
      </x:c>
      <x:c r="I3963" s="10" t="n">
        <x:v>0.11</x:v>
      </x:c>
      <x:c r="J3963" s="11" t="n">
        <x:v>0</x:v>
      </x:c>
      <x:c r="K3963" s="11" t="n">
        <x:v>5</x:v>
      </x:c>
      <x:c r="L3963" s="11" t="n">
        <x:v>1</x:v>
      </x:c>
      <x:c r="M3963" s="9" t="n">
        <x:f>ROUND(H3963*(1-I3963),2)</x:f>
        <x:v>2759000</x:v>
      </x:c>
      <x:c r="N3963" s="4" t="str">
        <x:v>Sales head</x:v>
      </x:c>
      <x:c r="O3963" s="4"/>
      <x:c r="P3963" s="9" t="n">
        <x:v>0</x:v>
      </x:c>
      <x:c r="Q3963" s="11" t="n">
        <x:v>0</x:v>
      </x:c>
      <x:c r="R3963" s="8" t="n">
        <x:v>45578</x:v>
      </x:c>
      <x:c r="S3963" s="4" t="str">
        <x:v>Retained</x:v>
      </x:c>
      <x:c r="T3963" s="10" t="n">
        <x:v>0.145833</x:v>
      </x:c>
      <x:c r="U3963" s="4" t="str">
        <x:v>Test</x:v>
      </x:c>
    </x:row>
    <x:row r="3964" ht="34" customHeight="1">
      <x:c r="A3964" s="4" t="str">
        <x:v>RS-03963</x:v>
      </x:c>
      <x:c r="B3964" s="8" t="n">
        <x:v>45519</x:v>
      </x:c>
      <x:c r="C3964" s="4" t="str">
        <x:v>PRJ-003</x:v>
      </x:c>
      <x:c r="D3964" s="4" t="str">
        <x:v>Office</x:v>
      </x:c>
      <x:c r="E3964" s="4" t="str">
        <x:v>Agreement signed</x:v>
      </x:c>
      <x:c r="F3964" s="4" t="str">
        <x:v>CUS-03963</x:v>
      </x:c>
      <x:c r="G3964" s="4" t="str">
        <x:v>UNIT-03963</x:v>
      </x:c>
      <x:c r="H3964" s="9" t="n">
        <x:v>11700000</x:v>
      </x:c>
      <x:c r="I3964" s="10" t="n">
        <x:v>0.1</x:v>
      </x:c>
      <x:c r="J3964" s="11" t="n">
        <x:v>1</x:v>
      </x:c>
      <x:c r="K3964" s="11" t="n">
        <x:v>6</x:v>
      </x:c>
      <x:c r="L3964" s="11" t="n">
        <x:v>0</x:v>
      </x:c>
      <x:c r="M3964" s="9" t="n">
        <x:f>ROUND(H3964*(1-I3964),2)</x:f>
        <x:v>10530000</x:v>
      </x:c>
      <x:c r="N3964" s="4" t="str">
        <x:v>Sales head</x:v>
      </x:c>
      <x:c r="O3964" s="4" t="str">
        <x:v>BOOK-03963</x:v>
      </x:c>
      <x:c r="P3964" s="9" t="n">
        <x:v>5265000</x:v>
      </x:c>
      <x:c r="Q3964" s="11" t="n">
        <x:v>0</x:v>
      </x:c>
      <x:c r="R3964" s="8" t="n">
        <x:v>45579</x:v>
      </x:c>
      <x:c r="S3964" s="4" t="str">
        <x:v>Retained</x:v>
      </x:c>
      <x:c r="T3964" s="10" t="n">
        <x:v>0.145833</x:v>
      </x:c>
      <x:c r="U3964" s="4" t="str">
        <x:v>Test</x:v>
      </x:c>
    </x:row>
    <x:row r="3965" ht="34" customHeight="1">
      <x:c r="A3965" s="4" t="str">
        <x:v>RS-03964</x:v>
      </x:c>
      <x:c r="B3965" s="8" t="n">
        <x:v>45520</x:v>
      </x:c>
      <x:c r="C3965" s="4" t="str">
        <x:v>PRJ-004</x:v>
      </x:c>
      <x:c r="D3965" s="4" t="str">
        <x:v>Apartment</x:v>
      </x:c>
      <x:c r="E3965" s="4" t="str">
        <x:v>Reserved</x:v>
      </x:c>
      <x:c r="F3965" s="4" t="str">
        <x:v>CUS-03964</x:v>
      </x:c>
      <x:c r="G3965" s="4" t="str">
        <x:v>UNIT-03964</x:v>
      </x:c>
      <x:c r="H3965" s="9" t="n">
        <x:v>9500000</x:v>
      </x:c>
      <x:c r="I3965" s="10" t="n">
        <x:v>0.04</x:v>
      </x:c>
      <x:c r="J3965" s="11" t="n">
        <x:v>9</x:v>
      </x:c>
      <x:c r="K3965" s="11" t="n">
        <x:v>10</x:v>
      </x:c>
      <x:c r="L3965" s="11" t="n">
        <x:v>0</x:v>
      </x:c>
      <x:c r="M3965" s="9" t="n">
        <x:f>ROUND(H3965*(1-I3965),2)</x:f>
        <x:v>9120000</x:v>
      </x:c>
      <x:c r="N3965" s="4" t="str">
        <x:v>Sales manager</x:v>
      </x:c>
      <x:c r="O3965" s="4"/>
      <x:c r="P3965" s="9" t="n">
        <x:v>0</x:v>
      </x:c>
      <x:c r="Q3965" s="11" t="n">
        <x:v>0</x:v>
      </x:c>
      <x:c r="R3965" s="8" t="n">
        <x:v>45580</x:v>
      </x:c>
      <x:c r="S3965" s="4" t="str">
        <x:v>Retained</x:v>
      </x:c>
      <x:c r="T3965" s="10" t="n">
        <x:v>0.310195</x:v>
      </x:c>
      <x:c r="U3965" s="4" t="str">
        <x:v>Test</x:v>
      </x:c>
    </x:row>
    <x:row r="3966" ht="34" customHeight="1">
      <x:c r="A3966" s="4" t="str">
        <x:v>RS-03965</x:v>
      </x:c>
      <x:c r="B3966" s="8" t="n">
        <x:v>45521</x:v>
      </x:c>
      <x:c r="C3966" s="4" t="str">
        <x:v>PRJ-005</x:v>
      </x:c>
      <x:c r="D3966" s="4" t="str">
        <x:v>Retail</x:v>
      </x:c>
      <x:c r="E3966" s="4" t="str">
        <x:v>Enquiry</x:v>
      </x:c>
      <x:c r="F3966" s="4" t="str">
        <x:v>CUS-03965</x:v>
      </x:c>
      <x:c r="G3966" s="4" t="str">
        <x:v>UNIT-03965</x:v>
      </x:c>
      <x:c r="H3966" s="9" t="n">
        <x:v>9700000</x:v>
      </x:c>
      <x:c r="I3966" s="10" t="n">
        <x:v>0.04</x:v>
      </x:c>
      <x:c r="J3966" s="11" t="n">
        <x:v>12</x:v>
      </x:c>
      <x:c r="K3966" s="11" t="n">
        <x:v>6</x:v>
      </x:c>
      <x:c r="L3966" s="11" t="n">
        <x:v>1</x:v>
      </x:c>
      <x:c r="M3966" s="9" t="n">
        <x:f>ROUND(H3966*(1-I3966),2)</x:f>
        <x:v>9312000</x:v>
      </x:c>
      <x:c r="N3966" s="4" t="str">
        <x:v>Sales manager</x:v>
      </x:c>
      <x:c r="O3966" s="4"/>
      <x:c r="P3966" s="9" t="n">
        <x:v>0</x:v>
      </x:c>
      <x:c r="Q3966" s="11" t="n">
        <x:v>0</x:v>
      </x:c>
      <x:c r="R3966" s="8" t="n">
        <x:v>45581</x:v>
      </x:c>
      <x:c r="S3966" s="4" t="str">
        <x:v>Retained</x:v>
      </x:c>
      <x:c r="T3966" s="10" t="n">
        <x:v>0.351536</x:v>
      </x:c>
      <x:c r="U3966" s="4" t="str">
        <x:v>Test</x:v>
      </x:c>
    </x:row>
    <x:row r="3967" ht="34" customHeight="1">
      <x:c r="A3967" s="4" t="str">
        <x:v>RS-03966</x:v>
      </x:c>
      <x:c r="B3967" s="8" t="n">
        <x:v>45522</x:v>
      </x:c>
      <x:c r="C3967" s="4" t="str">
        <x:v>PRJ-006</x:v>
      </x:c>
      <x:c r="D3967" s="4" t="str">
        <x:v>Apartment</x:v>
      </x:c>
      <x:c r="E3967" s="4" t="str">
        <x:v>Cancelled</x:v>
      </x:c>
      <x:c r="F3967" s="4" t="str">
        <x:v>CUS-03966</x:v>
      </x:c>
      <x:c r="G3967" s="4" t="str">
        <x:v>UNIT-03966</x:v>
      </x:c>
      <x:c r="H3967" s="9" t="n">
        <x:v>14700000</x:v>
      </x:c>
      <x:c r="I3967" s="10" t="n">
        <x:v>0.05</x:v>
      </x:c>
      <x:c r="J3967" s="11" t="n">
        <x:v>6</x:v>
      </x:c>
      <x:c r="K3967" s="11" t="n">
        <x:v>4</x:v>
      </x:c>
      <x:c r="L3967" s="11" t="n">
        <x:v>1</x:v>
      </x:c>
      <x:c r="M3967" s="9" t="n">
        <x:f>ROUND(H3967*(1-I3967),2)</x:f>
        <x:v>13965000</x:v>
      </x:c>
      <x:c r="N3967" s="4" t="str">
        <x:v>Sales manager</x:v>
      </x:c>
      <x:c r="O3967" s="4"/>
      <x:c r="P3967" s="9" t="n">
        <x:v>0</x:v>
      </x:c>
      <x:c r="Q3967" s="11" t="n">
        <x:v>1</x:v>
      </x:c>
      <x:c r="R3967" s="8" t="n">
        <x:v>45582</x:v>
      </x:c>
      <x:c r="S3967" s="4" t="str">
        <x:v>Lost / cancelled</x:v>
      </x:c>
      <x:c r="T3967" s="10" t="n">
        <x:v>0.291946</x:v>
      </x:c>
      <x:c r="U3967" s="4" t="str">
        <x:v>Test</x:v>
      </x:c>
    </x:row>
    <x:row r="3968" ht="34" customHeight="1">
      <x:c r="A3968" s="4" t="str">
        <x:v>RS-03967</x:v>
      </x:c>
      <x:c r="B3968" s="8" t="n">
        <x:v>45523</x:v>
      </x:c>
      <x:c r="C3968" s="4" t="str">
        <x:v>PRJ-007</x:v>
      </x:c>
      <x:c r="D3968" s="4" t="str">
        <x:v>Apartment</x:v>
      </x:c>
      <x:c r="E3968" s="4" t="str">
        <x:v>Booked</x:v>
      </x:c>
      <x:c r="F3968" s="4" t="str">
        <x:v>CUS-03967</x:v>
      </x:c>
      <x:c r="G3968" s="4" t="str">
        <x:v>UNIT-03967</x:v>
      </x:c>
      <x:c r="H3968" s="9" t="n">
        <x:v>17800000</x:v>
      </x:c>
      <x:c r="I3968" s="10" t="n">
        <x:v>0.09</x:v>
      </x:c>
      <x:c r="J3968" s="11" t="n">
        <x:v>4</x:v>
      </x:c>
      <x:c r="K3968" s="11" t="n">
        <x:v>10</x:v>
      </x:c>
      <x:c r="L3968" s="11" t="n">
        <x:v>0</x:v>
      </x:c>
      <x:c r="M3968" s="9" t="n">
        <x:f>ROUND(H3968*(1-I3968),2)</x:f>
        <x:v>16198000</x:v>
      </x:c>
      <x:c r="N3968" s="4" t="str">
        <x:v>Sales head</x:v>
      </x:c>
      <x:c r="O3968" s="4" t="str">
        <x:v>BOOK-03967</x:v>
      </x:c>
      <x:c r="P3968" s="9" t="n">
        <x:v>1619800</x:v>
      </x:c>
      <x:c r="Q3968" s="11" t="n">
        <x:v>0</x:v>
      </x:c>
      <x:c r="R3968" s="8" t="n">
        <x:v>45583</x:v>
      </x:c>
      <x:c r="S3968" s="4" t="str">
        <x:v>Retained</x:v>
      </x:c>
      <x:c r="T3968" s="10" t="n">
        <x:v>0.226277</x:v>
      </x:c>
      <x:c r="U3968" s="4" t="str">
        <x:v>Test</x:v>
      </x:c>
    </x:row>
    <x:row r="3969" ht="34" customHeight="1">
      <x:c r="A3969" s="4" t="str">
        <x:v>RS-03968</x:v>
      </x:c>
      <x:c r="B3969" s="8" t="n">
        <x:v>45524</x:v>
      </x:c>
      <x:c r="C3969" s="4" t="str">
        <x:v>PRJ-008</x:v>
      </x:c>
      <x:c r="D3969" s="4" t="str">
        <x:v>Villa</x:v>
      </x:c>
      <x:c r="E3969" s="4" t="str">
        <x:v>Handed over</x:v>
      </x:c>
      <x:c r="F3969" s="4" t="str">
        <x:v>CUS-03968</x:v>
      </x:c>
      <x:c r="G3969" s="4" t="str">
        <x:v>UNIT-03968</x:v>
      </x:c>
      <x:c r="H3969" s="9" t="n">
        <x:v>19200000</x:v>
      </x:c>
      <x:c r="I3969" s="10" t="n">
        <x:v>0.02</x:v>
      </x:c>
      <x:c r="J3969" s="11" t="n">
        <x:v>1</x:v>
      </x:c>
      <x:c r="K3969" s="11" t="n">
        <x:v>2</x:v>
      </x:c>
      <x:c r="L3969" s="11" t="n">
        <x:v>1</x:v>
      </x:c>
      <x:c r="M3969" s="9" t="n">
        <x:f>ROUND(H3969*(1-I3969),2)</x:f>
        <x:v>18816000</x:v>
      </x:c>
      <x:c r="N3969" s="4" t="str">
        <x:v>Sales manager</x:v>
      </x:c>
      <x:c r="O3969" s="4" t="str">
        <x:v>BOOK-03968</x:v>
      </x:c>
      <x:c r="P3969" s="9" t="n">
        <x:v>9408000</x:v>
      </x:c>
      <x:c r="Q3969" s="11" t="n">
        <x:v>0</x:v>
      </x:c>
      <x:c r="R3969" s="8" t="n">
        <x:v>45584</x:v>
      </x:c>
      <x:c r="S3969" s="4" t="str">
        <x:v>Retained</x:v>
      </x:c>
      <x:c r="T3969" s="10" t="n">
        <x:v>0.072165</x:v>
      </x:c>
      <x:c r="U3969" s="4" t="str">
        <x:v>Test</x:v>
      </x:c>
    </x:row>
    <x:row r="3970" ht="34" customHeight="1">
      <x:c r="A3970" s="4" t="str">
        <x:v>RS-03969</x:v>
      </x:c>
      <x:c r="B3970" s="8" t="n">
        <x:v>45525</x:v>
      </x:c>
      <x:c r="C3970" s="4" t="str">
        <x:v>PRJ-009</x:v>
      </x:c>
      <x:c r="D3970" s="4" t="str">
        <x:v>Office</x:v>
      </x:c>
      <x:c r="E3970" s="4" t="str">
        <x:v>Agreement signed</x:v>
      </x:c>
      <x:c r="F3970" s="4" t="str">
        <x:v>CUS-03969</x:v>
      </x:c>
      <x:c r="G3970" s="4" t="str">
        <x:v>UNIT-03969</x:v>
      </x:c>
      <x:c r="H3970" s="9" t="n">
        <x:v>14100000</x:v>
      </x:c>
      <x:c r="I3970" s="10" t="n">
        <x:v>0.07</x:v>
      </x:c>
      <x:c r="J3970" s="11" t="n">
        <x:v>1</x:v>
      </x:c>
      <x:c r="K3970" s="11" t="n">
        <x:v>2</x:v>
      </x:c>
      <x:c r="L3970" s="11" t="n">
        <x:v>0</x:v>
      </x:c>
      <x:c r="M3970" s="9" t="n">
        <x:f>ROUND(H3970*(1-I3970),2)</x:f>
        <x:v>13113000</x:v>
      </x:c>
      <x:c r="N3970" s="4" t="str">
        <x:v>Sales manager</x:v>
      </x:c>
      <x:c r="O3970" s="4" t="str">
        <x:v>BOOK-03969</x:v>
      </x:c>
      <x:c r="P3970" s="9" t="n">
        <x:v>1311300</x:v>
      </x:c>
      <x:c r="Q3970" s="11" t="n">
        <x:v>0</x:v>
      </x:c>
      <x:c r="R3970" s="8" t="n">
        <x:v>45585</x:v>
      </x:c>
      <x:c r="S3970" s="4" t="str">
        <x:v>Retained</x:v>
      </x:c>
      <x:c r="T3970" s="10" t="n">
        <x:v>0.204152</x:v>
      </x:c>
      <x:c r="U3970" s="4" t="str">
        <x:v>Test</x:v>
      </x:c>
    </x:row>
    <x:row r="3971" ht="34" customHeight="1">
      <x:c r="A3971" s="4" t="str">
        <x:v>RS-03970</x:v>
      </x:c>
      <x:c r="B3971" s="8" t="n">
        <x:v>45526</x:v>
      </x:c>
      <x:c r="C3971" s="4" t="str">
        <x:v>PRJ-010</x:v>
      </x:c>
      <x:c r="D3971" s="4" t="str">
        <x:v>Villa</x:v>
      </x:c>
      <x:c r="E3971" s="4" t="str">
        <x:v>Cancelled</x:v>
      </x:c>
      <x:c r="F3971" s="4" t="str">
        <x:v>CUS-03970</x:v>
      </x:c>
      <x:c r="G3971" s="4" t="str">
        <x:v>UNIT-03970</x:v>
      </x:c>
      <x:c r="H3971" s="9" t="n">
        <x:v>13500000</x:v>
      </x:c>
      <x:c r="I3971" s="10" t="n">
        <x:v>0.09</x:v>
      </x:c>
      <x:c r="J3971" s="11" t="n">
        <x:v>6</x:v>
      </x:c>
      <x:c r="K3971" s="11" t="n">
        <x:v>7</x:v>
      </x:c>
      <x:c r="L3971" s="11" t="n">
        <x:v>0</x:v>
      </x:c>
      <x:c r="M3971" s="9" t="n">
        <x:f>ROUND(H3971*(1-I3971),2)</x:f>
        <x:v>12285000</x:v>
      </x:c>
      <x:c r="N3971" s="4" t="str">
        <x:v>Sales head</x:v>
      </x:c>
      <x:c r="O3971" s="4"/>
      <x:c r="P3971" s="9" t="n">
        <x:v>0</x:v>
      </x:c>
      <x:c r="Q3971" s="11" t="n">
        <x:v>1</x:v>
      </x:c>
      <x:c r="R3971" s="8" t="n">
        <x:v>45586</x:v>
      </x:c>
      <x:c r="S3971" s="4" t="str">
        <x:v>Lost / cancelled</x:v>
      </x:c>
      <x:c r="T3971" s="10" t="n">
        <x:v>0.226277</x:v>
      </x:c>
      <x:c r="U3971" s="4" t="str">
        <x:v>Test</x:v>
      </x:c>
    </x:row>
    <x:row r="3972" ht="34" customHeight="1">
      <x:c r="A3972" s="4" t="str">
        <x:v>RS-03971</x:v>
      </x:c>
      <x:c r="B3972" s="8" t="n">
        <x:v>45527</x:v>
      </x:c>
      <x:c r="C3972" s="4" t="str">
        <x:v>PRJ-011</x:v>
      </x:c>
      <x:c r="D3972" s="4" t="str">
        <x:v>Apartment</x:v>
      </x:c>
      <x:c r="E3972" s="4" t="str">
        <x:v>Booked</x:v>
      </x:c>
      <x:c r="F3972" s="4" t="str">
        <x:v>CUS-03971</x:v>
      </x:c>
      <x:c r="G3972" s="4" t="str">
        <x:v>UNIT-03971</x:v>
      </x:c>
      <x:c r="H3972" s="9" t="n">
        <x:v>15500000</x:v>
      </x:c>
      <x:c r="I3972" s="10" t="n">
        <x:v>0.12</x:v>
      </x:c>
      <x:c r="J3972" s="11" t="n">
        <x:v>5</x:v>
      </x:c>
      <x:c r="K3972" s="11" t="n">
        <x:v>3</x:v>
      </x:c>
      <x:c r="L3972" s="11" t="n">
        <x:v>0</x:v>
      </x:c>
      <x:c r="M3972" s="9" t="n">
        <x:f>ROUND(H3972*(1-I3972),2)</x:f>
        <x:v>13640000</x:v>
      </x:c>
      <x:c r="N3972" s="4" t="str">
        <x:v>Sales head</x:v>
      </x:c>
      <x:c r="O3972" s="4" t="str">
        <x:v>BOOK-03971</x:v>
      </x:c>
      <x:c r="P3972" s="9" t="n">
        <x:v>1364000</x:v>
      </x:c>
      <x:c r="Q3972" s="11" t="n">
        <x:v>0</x:v>
      </x:c>
      <x:c r="R3972" s="8" t="n">
        <x:v>45587</x:v>
      </x:c>
      <x:c r="S3972" s="4" t="str">
        <x:v>Retained</x:v>
      </x:c>
      <x:c r="T3972" s="10" t="n">
        <x:v>0.226277</x:v>
      </x:c>
      <x:c r="U3972" s="4" t="str">
        <x:v>Test</x:v>
      </x:c>
    </x:row>
    <x:row r="3973" ht="34" customHeight="1">
      <x:c r="A3973" s="4" t="str">
        <x:v>RS-03972</x:v>
      </x:c>
      <x:c r="B3973" s="8" t="n">
        <x:v>45528</x:v>
      </x:c>
      <x:c r="C3973" s="4" t="str">
        <x:v>PRJ-012</x:v>
      </x:c>
      <x:c r="D3973" s="4" t="str">
        <x:v>Retail</x:v>
      </x:c>
      <x:c r="E3973" s="4" t="str">
        <x:v>Agreement signed</x:v>
      </x:c>
      <x:c r="F3973" s="4" t="str">
        <x:v>CUS-03972</x:v>
      </x:c>
      <x:c r="G3973" s="4" t="str">
        <x:v>UNIT-03972</x:v>
      </x:c>
      <x:c r="H3973" s="9" t="n">
        <x:v>21400000</x:v>
      </x:c>
      <x:c r="I3973" s="10" t="n">
        <x:v>0.1</x:v>
      </x:c>
      <x:c r="J3973" s="11" t="n">
        <x:v>6</x:v>
      </x:c>
      <x:c r="K3973" s="11" t="n">
        <x:v>9</x:v>
      </x:c>
      <x:c r="L3973" s="11" t="n">
        <x:v>0</x:v>
      </x:c>
      <x:c r="M3973" s="9" t="n">
        <x:f>ROUND(H3973*(1-I3973),2)</x:f>
        <x:v>19260000</x:v>
      </x:c>
      <x:c r="N3973" s="4" t="str">
        <x:v>Sales head</x:v>
      </x:c>
      <x:c r="O3973" s="4" t="str">
        <x:v>BOOK-03972</x:v>
      </x:c>
      <x:c r="P3973" s="9" t="n">
        <x:v>1926000</x:v>
      </x:c>
      <x:c r="Q3973" s="11" t="n">
        <x:v>0</x:v>
      </x:c>
      <x:c r="R3973" s="8" t="n">
        <x:v>45588</x:v>
      </x:c>
      <x:c r="S3973" s="4" t="str">
        <x:v>Retained</x:v>
      </x:c>
      <x:c r="T3973" s="10" t="n">
        <x:v>0.226277</x:v>
      </x:c>
      <x:c r="U3973" s="4" t="str">
        <x:v>Test</x:v>
      </x:c>
    </x:row>
    <x:row r="3974" ht="34" customHeight="1">
      <x:c r="A3974" s="4" t="str">
        <x:v>RS-03973</x:v>
      </x:c>
      <x:c r="B3974" s="8" t="n">
        <x:v>45529</x:v>
      </x:c>
      <x:c r="C3974" s="4" t="str">
        <x:v>PRJ-013</x:v>
      </x:c>
      <x:c r="D3974" s="4" t="str">
        <x:v>Villa</x:v>
      </x:c>
      <x:c r="E3974" s="4" t="str">
        <x:v>Handed over</x:v>
      </x:c>
      <x:c r="F3974" s="4" t="str">
        <x:v>CUS-03973</x:v>
      </x:c>
      <x:c r="G3974" s="4" t="str">
        <x:v>UNIT-03973</x:v>
      </x:c>
      <x:c r="H3974" s="9" t="n">
        <x:v>7100000</x:v>
      </x:c>
      <x:c r="I3974" s="10" t="n">
        <x:v>0.11</x:v>
      </x:c>
      <x:c r="J3974" s="11" t="n">
        <x:v>0</x:v>
      </x:c>
      <x:c r="K3974" s="11" t="n">
        <x:v>7</x:v>
      </x:c>
      <x:c r="L3974" s="11" t="n">
        <x:v>1</x:v>
      </x:c>
      <x:c r="M3974" s="9" t="n">
        <x:f>ROUND(H3974*(1-I3974),2)</x:f>
        <x:v>6319000</x:v>
      </x:c>
      <x:c r="N3974" s="4" t="str">
        <x:v>Sales head</x:v>
      </x:c>
      <x:c r="O3974" s="4" t="str">
        <x:v>BOOK-03973</x:v>
      </x:c>
      <x:c r="P3974" s="9" t="n">
        <x:v>3159500</x:v>
      </x:c>
      <x:c r="Q3974" s="11" t="n">
        <x:v>0</x:v>
      </x:c>
      <x:c r="R3974" s="8" t="n">
        <x:v>45589</x:v>
      </x:c>
      <x:c r="S3974" s="4" t="str">
        <x:v>Retained</x:v>
      </x:c>
      <x:c r="T3974" s="10" t="n">
        <x:v>0.145833</x:v>
      </x:c>
      <x:c r="U3974" s="4" t="str">
        <x:v>Test</x:v>
      </x:c>
    </x:row>
    <x:row r="3975" ht="34" customHeight="1">
      <x:c r="A3975" s="4" t="str">
        <x:v>RS-03974</x:v>
      </x:c>
      <x:c r="B3975" s="8" t="n">
        <x:v>45530</x:v>
      </x:c>
      <x:c r="C3975" s="4" t="str">
        <x:v>PRJ-014</x:v>
      </x:c>
      <x:c r="D3975" s="4" t="str">
        <x:v>Office</x:v>
      </x:c>
      <x:c r="E3975" s="4" t="str">
        <x:v>Cancelled</x:v>
      </x:c>
      <x:c r="F3975" s="4" t="str">
        <x:v>CUS-03974</x:v>
      </x:c>
      <x:c r="G3975" s="4" t="str">
        <x:v>UNIT-03974</x:v>
      </x:c>
      <x:c r="H3975" s="9" t="n">
        <x:v>5400000</x:v>
      </x:c>
      <x:c r="I3975" s="10" t="n">
        <x:v>0.06</x:v>
      </x:c>
      <x:c r="J3975" s="11" t="n">
        <x:v>5</x:v>
      </x:c>
      <x:c r="K3975" s="11" t="n">
        <x:v>1</x:v>
      </x:c>
      <x:c r="L3975" s="11" t="n">
        <x:v>1</x:v>
      </x:c>
      <x:c r="M3975" s="9" t="n">
        <x:f>ROUND(H3975*(1-I3975),2)</x:f>
        <x:v>5076000</x:v>
      </x:c>
      <x:c r="N3975" s="4" t="str">
        <x:v>Sales manager</x:v>
      </x:c>
      <x:c r="O3975" s="4"/>
      <x:c r="P3975" s="9" t="n">
        <x:v>0</x:v>
      </x:c>
      <x:c r="Q3975" s="11" t="n">
        <x:v>1</x:v>
      </x:c>
      <x:c r="R3975" s="8" t="n">
        <x:v>45590</x:v>
      </x:c>
      <x:c r="S3975" s="4" t="str">
        <x:v>Lost / cancelled</x:v>
      </x:c>
      <x:c r="T3975" s="10" t="n">
        <x:v>0.291946</x:v>
      </x:c>
      <x:c r="U3975" s="4" t="str">
        <x:v>Test</x:v>
      </x:c>
    </x:row>
    <x:row r="3976" ht="34" customHeight="1">
      <x:c r="A3976" s="4" t="str">
        <x:v>RS-03975</x:v>
      </x:c>
      <x:c r="B3976" s="8" t="n">
        <x:v>45531</x:v>
      </x:c>
      <x:c r="C3976" s="4" t="str">
        <x:v>PRJ-015</x:v>
      </x:c>
      <x:c r="D3976" s="4" t="str">
        <x:v>Apartment</x:v>
      </x:c>
      <x:c r="E3976" s="4" t="str">
        <x:v>Enquiry</x:v>
      </x:c>
      <x:c r="F3976" s="4" t="str">
        <x:v>CUS-03975</x:v>
      </x:c>
      <x:c r="G3976" s="4" t="str">
        <x:v>UNIT-03975</x:v>
      </x:c>
      <x:c r="H3976" s="9" t="n">
        <x:v>17000000</x:v>
      </x:c>
      <x:c r="I3976" s="10" t="n">
        <x:v>0.07</x:v>
      </x:c>
      <x:c r="J3976" s="11" t="n">
        <x:v>3</x:v>
      </x:c>
      <x:c r="K3976" s="11" t="n">
        <x:v>4</x:v>
      </x:c>
      <x:c r="L3976" s="11" t="n">
        <x:v>1</x:v>
      </x:c>
      <x:c r="M3976" s="9" t="n">
        <x:f>ROUND(H3976*(1-I3976),2)</x:f>
        <x:v>15810000</x:v>
      </x:c>
      <x:c r="N3976" s="4" t="str">
        <x:v>Sales manager</x:v>
      </x:c>
      <x:c r="O3976" s="4"/>
      <x:c r="P3976" s="9" t="n">
        <x:v>0</x:v>
      </x:c>
      <x:c r="Q3976" s="11" t="n">
        <x:v>0</x:v>
      </x:c>
      <x:c r="R3976" s="8" t="n">
        <x:v>45591</x:v>
      </x:c>
      <x:c r="S3976" s="4" t="str">
        <x:v>Retained</x:v>
      </x:c>
      <x:c r="T3976" s="10" t="n">
        <x:v>0.204152</x:v>
      </x:c>
      <x:c r="U3976" s="4" t="str">
        <x:v>Test</x:v>
      </x:c>
    </x:row>
    <x:row r="3977" ht="34" customHeight="1">
      <x:c r="A3977" s="4" t="str">
        <x:v>RS-03976</x:v>
      </x:c>
      <x:c r="B3977" s="8" t="n">
        <x:v>45532</x:v>
      </x:c>
      <x:c r="C3977" s="4" t="str">
        <x:v>PRJ-016</x:v>
      </x:c>
      <x:c r="D3977" s="4" t="str">
        <x:v>Office</x:v>
      </x:c>
      <x:c r="E3977" s="4" t="str">
        <x:v>Cancelled</x:v>
      </x:c>
      <x:c r="F3977" s="4" t="str">
        <x:v>CUS-03976</x:v>
      </x:c>
      <x:c r="G3977" s="4" t="str">
        <x:v>UNIT-03976</x:v>
      </x:c>
      <x:c r="H3977" s="9" t="n">
        <x:v>11900000</x:v>
      </x:c>
      <x:c r="I3977" s="10" t="n">
        <x:v>0.01</x:v>
      </x:c>
      <x:c r="J3977" s="11" t="n">
        <x:v>4</x:v>
      </x:c>
      <x:c r="K3977" s="11" t="n">
        <x:v>10</x:v>
      </x:c>
      <x:c r="L3977" s="11" t="n">
        <x:v>1</x:v>
      </x:c>
      <x:c r="M3977" s="9" t="n">
        <x:f>ROUND(H3977*(1-I3977),2)</x:f>
        <x:v>11781000</x:v>
      </x:c>
      <x:c r="N3977" s="4" t="str">
        <x:v>Sales manager</x:v>
      </x:c>
      <x:c r="O3977" s="4"/>
      <x:c r="P3977" s="9" t="n">
        <x:v>0</x:v>
      </x:c>
      <x:c r="Q3977" s="11" t="n">
        <x:v>1</x:v>
      </x:c>
      <x:c r="R3977" s="8" t="n">
        <x:v>45592</x:v>
      </x:c>
      <x:c r="S3977" s="4" t="str">
        <x:v>Lost / cancelled</x:v>
      </x:c>
      <x:c r="T3977" s="10" t="n">
        <x:v>0.145299</x:v>
      </x:c>
      <x:c r="U3977" s="4" t="str">
        <x:v>Test</x:v>
      </x:c>
    </x:row>
    <x:row r="3978" ht="34" customHeight="1">
      <x:c r="A3978" s="4" t="str">
        <x:v>RS-03977</x:v>
      </x:c>
      <x:c r="B3978" s="8" t="n">
        <x:v>45505</x:v>
      </x:c>
      <x:c r="C3978" s="4" t="str">
        <x:v>PRJ-017</x:v>
      </x:c>
      <x:c r="D3978" s="4" t="str">
        <x:v>Villa</x:v>
      </x:c>
      <x:c r="E3978" s="4" t="str">
        <x:v>Cancelled</x:v>
      </x:c>
      <x:c r="F3978" s="4" t="str">
        <x:v>CUS-03977</x:v>
      </x:c>
      <x:c r="G3978" s="4" t="str">
        <x:v>UNIT-03977</x:v>
      </x:c>
      <x:c r="H3978" s="9" t="n">
        <x:v>24900000</x:v>
      </x:c>
      <x:c r="I3978" s="10" t="n">
        <x:v>0.01</x:v>
      </x:c>
      <x:c r="J3978" s="11" t="n">
        <x:v>6</x:v>
      </x:c>
      <x:c r="K3978" s="11" t="n">
        <x:v>0</x:v>
      </x:c>
      <x:c r="L3978" s="11" t="n">
        <x:v>1</x:v>
      </x:c>
      <x:c r="M3978" s="9" t="n">
        <x:f>ROUND(H3978*(1-I3978),2)</x:f>
        <x:v>24651000</x:v>
      </x:c>
      <x:c r="N3978" s="4" t="str">
        <x:v>Sales manager</x:v>
      </x:c>
      <x:c r="O3978" s="4"/>
      <x:c r="P3978" s="9" t="n">
        <x:v>0</x:v>
      </x:c>
      <x:c r="Q3978" s="11" t="n">
        <x:v>1</x:v>
      </x:c>
      <x:c r="R3978" s="8" t="n">
        <x:v>45565</x:v>
      </x:c>
      <x:c r="S3978" s="4" t="str">
        <x:v>Lost / cancelled</x:v>
      </x:c>
      <x:c r="T3978" s="10" t="n">
        <x:v>0.298969</x:v>
      </x:c>
      <x:c r="U3978" s="4" t="str">
        <x:v>Test</x:v>
      </x:c>
    </x:row>
    <x:row r="3979" ht="34" customHeight="1">
      <x:c r="A3979" s="4" t="str">
        <x:v>RS-03978</x:v>
      </x:c>
      <x:c r="B3979" s="8" t="n">
        <x:v>45506</x:v>
      </x:c>
      <x:c r="C3979" s="4" t="str">
        <x:v>PRJ-018</x:v>
      </x:c>
      <x:c r="D3979" s="4" t="str">
        <x:v>Apartment</x:v>
      </x:c>
      <x:c r="E3979" s="4" t="str">
        <x:v>Reserved</x:v>
      </x:c>
      <x:c r="F3979" s="4" t="str">
        <x:v>CUS-03978</x:v>
      </x:c>
      <x:c r="G3979" s="4" t="str">
        <x:v>UNIT-03978</x:v>
      </x:c>
      <x:c r="H3979" s="9" t="n">
        <x:v>4500000</x:v>
      </x:c>
      <x:c r="I3979" s="10" t="n">
        <x:v>0.01</x:v>
      </x:c>
      <x:c r="J3979" s="11" t="n">
        <x:v>2</x:v>
      </x:c>
      <x:c r="K3979" s="11" t="n">
        <x:v>3</x:v>
      </x:c>
      <x:c r="L3979" s="11" t="n">
        <x:v>1</x:v>
      </x:c>
      <x:c r="M3979" s="9" t="n">
        <x:f>ROUND(H3979*(1-I3979),2)</x:f>
        <x:v>4455000</x:v>
      </x:c>
      <x:c r="N3979" s="4" t="str">
        <x:v>Sales manager</x:v>
      </x:c>
      <x:c r="O3979" s="4"/>
      <x:c r="P3979" s="9" t="n">
        <x:v>0</x:v>
      </x:c>
      <x:c r="Q3979" s="11" t="n">
        <x:v>1</x:v>
      </x:c>
      <x:c r="R3979" s="8" t="n">
        <x:v>45566</x:v>
      </x:c>
      <x:c r="S3979" s="4" t="str">
        <x:v>Lost / cancelled</x:v>
      </x:c>
      <x:c r="T3979" s="10" t="n">
        <x:v>0.171717</x:v>
      </x:c>
      <x:c r="U3979" s="4" t="str">
        <x:v>Test</x:v>
      </x:c>
    </x:row>
    <x:row r="3980" ht="34" customHeight="1">
      <x:c r="A3980" s="4" t="str">
        <x:v>RS-03979</x:v>
      </x:c>
      <x:c r="B3980" s="8" t="n">
        <x:v>45507</x:v>
      </x:c>
      <x:c r="C3980" s="4" t="str">
        <x:v>PRJ-019</x:v>
      </x:c>
      <x:c r="D3980" s="4" t="str">
        <x:v>Villa</x:v>
      </x:c>
      <x:c r="E3980" s="4" t="str">
        <x:v>Handed over</x:v>
      </x:c>
      <x:c r="F3980" s="4" t="str">
        <x:v>CUS-03979</x:v>
      </x:c>
      <x:c r="G3980" s="4" t="str">
        <x:v>UNIT-03979</x:v>
      </x:c>
      <x:c r="H3980" s="9" t="n">
        <x:v>18000000</x:v>
      </x:c>
      <x:c r="I3980" s="10" t="n">
        <x:v>0.11</x:v>
      </x:c>
      <x:c r="J3980" s="11" t="n">
        <x:v>1</x:v>
      </x:c>
      <x:c r="K3980" s="11" t="n">
        <x:v>8</x:v>
      </x:c>
      <x:c r="L3980" s="11" t="n">
        <x:v>1</x:v>
      </x:c>
      <x:c r="M3980" s="9" t="n">
        <x:f>ROUND(H3980*(1-I3980),2)</x:f>
        <x:v>16020000</x:v>
      </x:c>
      <x:c r="N3980" s="4" t="str">
        <x:v>Sales head</x:v>
      </x:c>
      <x:c r="O3980" s="4" t="str">
        <x:v>BOOK-03979</x:v>
      </x:c>
      <x:c r="P3980" s="9" t="n">
        <x:v>16020000</x:v>
      </x:c>
      <x:c r="Q3980" s="11" t="n">
        <x:v>0</x:v>
      </x:c>
      <x:c r="R3980" s="8" t="n">
        <x:v>45567</x:v>
      </x:c>
      <x:c r="S3980" s="4" t="str">
        <x:v>Retained</x:v>
      </x:c>
      <x:c r="T3980" s="10" t="n">
        <x:v>0.145833</x:v>
      </x:c>
      <x:c r="U3980" s="4" t="str">
        <x:v>Test</x:v>
      </x:c>
    </x:row>
    <x:row r="3981" ht="34" customHeight="1">
      <x:c r="A3981" s="4" t="str">
        <x:v>RS-03980</x:v>
      </x:c>
      <x:c r="B3981" s="8" t="n">
        <x:v>45508</x:v>
      </x:c>
      <x:c r="C3981" s="4" t="str">
        <x:v>PRJ-020</x:v>
      </x:c>
      <x:c r="D3981" s="4" t="str">
        <x:v>Retail</x:v>
      </x:c>
      <x:c r="E3981" s="4" t="str">
        <x:v>Enquiry</x:v>
      </x:c>
      <x:c r="F3981" s="4" t="str">
        <x:v>CUS-03980</x:v>
      </x:c>
      <x:c r="G3981" s="4" t="str">
        <x:v>UNIT-03980</x:v>
      </x:c>
      <x:c r="H3981" s="9" t="n">
        <x:v>14600000</x:v>
      </x:c>
      <x:c r="I3981" s="10" t="n">
        <x:v>0.12</x:v>
      </x:c>
      <x:c r="J3981" s="11" t="n">
        <x:v>12</x:v>
      </x:c>
      <x:c r="K3981" s="11" t="n">
        <x:v>3</x:v>
      </x:c>
      <x:c r="L3981" s="11" t="n">
        <x:v>0</x:v>
      </x:c>
      <x:c r="M3981" s="9" t="n">
        <x:f>ROUND(H3981*(1-I3981),2)</x:f>
        <x:v>12848000</x:v>
      </x:c>
      <x:c r="N3981" s="4" t="str">
        <x:v>Sales head</x:v>
      </x:c>
      <x:c r="O3981" s="4"/>
      <x:c r="P3981" s="9" t="n">
        <x:v>0</x:v>
      </x:c>
      <x:c r="Q3981" s="11" t="n">
        <x:v>0</x:v>
      </x:c>
      <x:c r="R3981" s="8" t="n">
        <x:v>45568</x:v>
      </x:c>
      <x:c r="S3981" s="4" t="str">
        <x:v>Retained</x:v>
      </x:c>
      <x:c r="T3981" s="10" t="n">
        <x:v>0.351536</x:v>
      </x:c>
      <x:c r="U3981" s="4" t="str">
        <x:v>Test</x:v>
      </x:c>
    </x:row>
    <x:row r="3982" ht="34" customHeight="1">
      <x:c r="A3982" s="4" t="str">
        <x:v>RS-03981</x:v>
      </x:c>
      <x:c r="B3982" s="8" t="n">
        <x:v>45509</x:v>
      </x:c>
      <x:c r="C3982" s="4" t="str">
        <x:v>PRJ-001</x:v>
      </x:c>
      <x:c r="D3982" s="4" t="str">
        <x:v>Villa</x:v>
      </x:c>
      <x:c r="E3982" s="4" t="str">
        <x:v>Agreement signed</x:v>
      </x:c>
      <x:c r="F3982" s="4" t="str">
        <x:v>CUS-03981</x:v>
      </x:c>
      <x:c r="G3982" s="4" t="str">
        <x:v>UNIT-03981</x:v>
      </x:c>
      <x:c r="H3982" s="9" t="n">
        <x:v>4800000</x:v>
      </x:c>
      <x:c r="I3982" s="10" t="n">
        <x:v>0.02</x:v>
      </x:c>
      <x:c r="J3982" s="11" t="n">
        <x:v>12</x:v>
      </x:c>
      <x:c r="K3982" s="11" t="n">
        <x:v>2</x:v>
      </x:c>
      <x:c r="L3982" s="11" t="n">
        <x:v>1</x:v>
      </x:c>
      <x:c r="M3982" s="9" t="n">
        <x:f>ROUND(H3982*(1-I3982),2)</x:f>
        <x:v>4704000</x:v>
      </x:c>
      <x:c r="N3982" s="4" t="str">
        <x:v>Sales manager</x:v>
      </x:c>
      <x:c r="O3982" s="4" t="str">
        <x:v>BOOK-03981</x:v>
      </x:c>
      <x:c r="P3982" s="9" t="n">
        <x:v>4704000</x:v>
      </x:c>
      <x:c r="Q3982" s="11" t="n">
        <x:v>0</x:v>
      </x:c>
      <x:c r="R3982" s="8" t="n">
        <x:v>45569</x:v>
      </x:c>
      <x:c r="S3982" s="4" t="str">
        <x:v>Retained</x:v>
      </x:c>
      <x:c r="T3982" s="10" t="n">
        <x:v>0.254545</x:v>
      </x:c>
      <x:c r="U3982" s="4" t="str">
        <x:v>Test</x:v>
      </x:c>
    </x:row>
    <x:row r="3983" ht="34" customHeight="1">
      <x:c r="A3983" s="4" t="str">
        <x:v>RS-03982</x:v>
      </x:c>
      <x:c r="B3983" s="8" t="n">
        <x:v>45510</x:v>
      </x:c>
      <x:c r="C3983" s="4" t="str">
        <x:v>PRJ-002</x:v>
      </x:c>
      <x:c r="D3983" s="4" t="str">
        <x:v>Villa</x:v>
      </x:c>
      <x:c r="E3983" s="4" t="str">
        <x:v>Enquiry</x:v>
      </x:c>
      <x:c r="F3983" s="4" t="str">
        <x:v>CUS-03982</x:v>
      </x:c>
      <x:c r="G3983" s="4" t="str">
        <x:v>UNIT-03982</x:v>
      </x:c>
      <x:c r="H3983" s="9" t="n">
        <x:v>16400000</x:v>
      </x:c>
      <x:c r="I3983" s="10" t="n">
        <x:v>0.11</x:v>
      </x:c>
      <x:c r="J3983" s="11" t="n">
        <x:v>4</x:v>
      </x:c>
      <x:c r="K3983" s="11" t="n">
        <x:v>1</x:v>
      </x:c>
      <x:c r="L3983" s="11" t="n">
        <x:v>1</x:v>
      </x:c>
      <x:c r="M3983" s="9" t="n">
        <x:f>ROUND(H3983*(1-I3983),2)</x:f>
        <x:v>14596000</x:v>
      </x:c>
      <x:c r="N3983" s="4" t="str">
        <x:v>Sales head</x:v>
      </x:c>
      <x:c r="O3983" s="4"/>
      <x:c r="P3983" s="9" t="n">
        <x:v>0</x:v>
      </x:c>
      <x:c r="Q3983" s="11" t="n">
        <x:v>0</x:v>
      </x:c>
      <x:c r="R3983" s="8" t="n">
        <x:v>45570</x:v>
      </x:c>
      <x:c r="S3983" s="4" t="str">
        <x:v>Retained</x:v>
      </x:c>
      <x:c r="T3983" s="10" t="n">
        <x:v>0.291946</x:v>
      </x:c>
      <x:c r="U3983" s="4" t="str">
        <x:v>Test</x:v>
      </x:c>
    </x:row>
    <x:row r="3984" ht="34" customHeight="1">
      <x:c r="A3984" s="4" t="str">
        <x:v>RS-03983</x:v>
      </x:c>
      <x:c r="B3984" s="8" t="n">
        <x:v>45511</x:v>
      </x:c>
      <x:c r="C3984" s="4" t="str">
        <x:v>PRJ-003</x:v>
      </x:c>
      <x:c r="D3984" s="4" t="str">
        <x:v>Office</x:v>
      </x:c>
      <x:c r="E3984" s="4" t="str">
        <x:v>Handed over</x:v>
      </x:c>
      <x:c r="F3984" s="4" t="str">
        <x:v>CUS-03983</x:v>
      </x:c>
      <x:c r="G3984" s="4" t="str">
        <x:v>UNIT-03983</x:v>
      </x:c>
      <x:c r="H3984" s="9" t="n">
        <x:v>3000000</x:v>
      </x:c>
      <x:c r="I3984" s="10" t="n">
        <x:v>0</x:v>
      </x:c>
      <x:c r="J3984" s="11" t="n">
        <x:v>6</x:v>
      </x:c>
      <x:c r="K3984" s="11" t="n">
        <x:v>9</x:v>
      </x:c>
      <x:c r="L3984" s="11" t="n">
        <x:v>1</x:v>
      </x:c>
      <x:c r="M3984" s="9" t="n">
        <x:f>ROUND(H3984*(1-I3984),2)</x:f>
        <x:v>3000000</x:v>
      </x:c>
      <x:c r="N3984" s="4" t="str">
        <x:v>Sales manager</x:v>
      </x:c>
      <x:c r="O3984" s="4" t="str">
        <x:v>BOOK-03983</x:v>
      </x:c>
      <x:c r="P3984" s="9" t="n">
        <x:v>300000</x:v>
      </x:c>
      <x:c r="Q3984" s="11" t="n">
        <x:v>0</x:v>
      </x:c>
      <x:c r="R3984" s="8" t="n">
        <x:v>45571</x:v>
      </x:c>
      <x:c r="S3984" s="4" t="str">
        <x:v>Retained</x:v>
      </x:c>
      <x:c r="T3984" s="10" t="n">
        <x:v>0.145299</x:v>
      </x:c>
      <x:c r="U3984" s="4" t="str">
        <x:v>Test</x:v>
      </x:c>
    </x:row>
    <x:row r="3985" ht="34" customHeight="1">
      <x:c r="A3985" s="4" t="str">
        <x:v>RS-03984</x:v>
      </x:c>
      <x:c r="B3985" s="8" t="n">
        <x:v>45512</x:v>
      </x:c>
      <x:c r="C3985" s="4" t="str">
        <x:v>PRJ-004</x:v>
      </x:c>
      <x:c r="D3985" s="4" t="str">
        <x:v>Retail</x:v>
      </x:c>
      <x:c r="E3985" s="4" t="str">
        <x:v>Cancelled</x:v>
      </x:c>
      <x:c r="F3985" s="4" t="str">
        <x:v>CUS-03984</x:v>
      </x:c>
      <x:c r="G3985" s="4" t="str">
        <x:v>UNIT-03984</x:v>
      </x:c>
      <x:c r="H3985" s="9" t="n">
        <x:v>9800000</x:v>
      </x:c>
      <x:c r="I3985" s="10" t="n">
        <x:v>0.07</x:v>
      </x:c>
      <x:c r="J3985" s="11" t="n">
        <x:v>8</x:v>
      </x:c>
      <x:c r="K3985" s="11" t="n">
        <x:v>8</x:v>
      </x:c>
      <x:c r="L3985" s="11" t="n">
        <x:v>1</x:v>
      </x:c>
      <x:c r="M3985" s="9" t="n">
        <x:f>ROUND(H3985*(1-I3985),2)</x:f>
        <x:v>9114000</x:v>
      </x:c>
      <x:c r="N3985" s="4" t="str">
        <x:v>Sales manager</x:v>
      </x:c>
      <x:c r="O3985" s="4"/>
      <x:c r="P3985" s="9" t="n">
        <x:v>0</x:v>
      </x:c>
      <x:c r="Q3985" s="11" t="n">
        <x:v>1</x:v>
      </x:c>
      <x:c r="R3985" s="8" t="n">
        <x:v>45572</x:v>
      </x:c>
      <x:c r="S3985" s="4" t="str">
        <x:v>Lost / cancelled</x:v>
      </x:c>
      <x:c r="T3985" s="10" t="n">
        <x:v>0.310195</x:v>
      </x:c>
      <x:c r="U3985" s="4" t="str">
        <x:v>Test</x:v>
      </x:c>
    </x:row>
    <x:row r="3986" ht="34" customHeight="1">
      <x:c r="A3986" s="4" t="str">
        <x:v>RS-03985</x:v>
      </x:c>
      <x:c r="B3986" s="8" t="n">
        <x:v>45513</x:v>
      </x:c>
      <x:c r="C3986" s="4" t="str">
        <x:v>PRJ-005</x:v>
      </x:c>
      <x:c r="D3986" s="4" t="str">
        <x:v>Villa</x:v>
      </x:c>
      <x:c r="E3986" s="4" t="str">
        <x:v>Booked</x:v>
      </x:c>
      <x:c r="F3986" s="4" t="str">
        <x:v>CUS-03985</x:v>
      </x:c>
      <x:c r="G3986" s="4" t="str">
        <x:v>UNIT-03985</x:v>
      </x:c>
      <x:c r="H3986" s="9" t="n">
        <x:v>20200000</x:v>
      </x:c>
      <x:c r="I3986" s="10" t="n">
        <x:v>0.05</x:v>
      </x:c>
      <x:c r="J3986" s="11" t="n">
        <x:v>12</x:v>
      </x:c>
      <x:c r="K3986" s="11" t="n">
        <x:v>8</x:v>
      </x:c>
      <x:c r="L3986" s="11" t="n">
        <x:v>0</x:v>
      </x:c>
      <x:c r="M3986" s="9" t="n">
        <x:f>ROUND(H3986*(1-I3986),2)</x:f>
        <x:v>19190000</x:v>
      </x:c>
      <x:c r="N3986" s="4" t="str">
        <x:v>Sales manager</x:v>
      </x:c>
      <x:c r="O3986" s="4" t="str">
        <x:v>BOOK-03985</x:v>
      </x:c>
      <x:c r="P3986" s="9" t="n">
        <x:v>1919000</x:v>
      </x:c>
      <x:c r="Q3986" s="11" t="n">
        <x:v>0</x:v>
      </x:c>
      <x:c r="R3986" s="8" t="n">
        <x:v>45573</x:v>
      </x:c>
      <x:c r="S3986" s="4" t="str">
        <x:v>Retained</x:v>
      </x:c>
      <x:c r="T3986" s="10" t="n">
        <x:v>0.351536</x:v>
      </x:c>
      <x:c r="U3986" s="4" t="str">
        <x:v>Test</x:v>
      </x:c>
    </x:row>
    <x:row r="3987" ht="34" customHeight="1">
      <x:c r="A3987" s="4" t="str">
        <x:v>RS-03986</x:v>
      </x:c>
      <x:c r="B3987" s="8" t="n">
        <x:v>45514</x:v>
      </x:c>
      <x:c r="C3987" s="4" t="str">
        <x:v>PRJ-006</x:v>
      </x:c>
      <x:c r="D3987" s="4" t="str">
        <x:v>Apartment</x:v>
      </x:c>
      <x:c r="E3987" s="4" t="str">
        <x:v>Cancelled</x:v>
      </x:c>
      <x:c r="F3987" s="4" t="str">
        <x:v>CUS-03986</x:v>
      </x:c>
      <x:c r="G3987" s="4" t="str">
        <x:v>UNIT-03986</x:v>
      </x:c>
      <x:c r="H3987" s="9" t="n">
        <x:v>3900000</x:v>
      </x:c>
      <x:c r="I3987" s="10" t="n">
        <x:v>0.04</x:v>
      </x:c>
      <x:c r="J3987" s="11" t="n">
        <x:v>8</x:v>
      </x:c>
      <x:c r="K3987" s="11" t="n">
        <x:v>8</x:v>
      </x:c>
      <x:c r="L3987" s="11" t="n">
        <x:v>1</x:v>
      </x:c>
      <x:c r="M3987" s="9" t="n">
        <x:f>ROUND(H3987*(1-I3987),2)</x:f>
        <x:v>3744000</x:v>
      </x:c>
      <x:c r="N3987" s="4" t="str">
        <x:v>Sales manager</x:v>
      </x:c>
      <x:c r="O3987" s="4"/>
      <x:c r="P3987" s="9" t="n">
        <x:v>0</x:v>
      </x:c>
      <x:c r="Q3987" s="11" t="n">
        <x:v>1</x:v>
      </x:c>
      <x:c r="R3987" s="8" t="n">
        <x:v>45574</x:v>
      </x:c>
      <x:c r="S3987" s="4" t="str">
        <x:v>Lost / cancelled</x:v>
      </x:c>
      <x:c r="T3987" s="10" t="n">
        <x:v>0.310195</x:v>
      </x:c>
      <x:c r="U3987" s="4" t="str">
        <x:v>Test</x:v>
      </x:c>
    </x:row>
    <x:row r="3988" ht="34" customHeight="1">
      <x:c r="A3988" s="4" t="str">
        <x:v>RS-03987</x:v>
      </x:c>
      <x:c r="B3988" s="8" t="n">
        <x:v>45515</x:v>
      </x:c>
      <x:c r="C3988" s="4" t="str">
        <x:v>PRJ-007</x:v>
      </x:c>
      <x:c r="D3988" s="4" t="str">
        <x:v>Office</x:v>
      </x:c>
      <x:c r="E3988" s="4" t="str">
        <x:v>Booked</x:v>
      </x:c>
      <x:c r="F3988" s="4" t="str">
        <x:v>CUS-03987</x:v>
      </x:c>
      <x:c r="G3988" s="4" t="str">
        <x:v>UNIT-03987</x:v>
      </x:c>
      <x:c r="H3988" s="9" t="n">
        <x:v>7800000</x:v>
      </x:c>
      <x:c r="I3988" s="10" t="n">
        <x:v>0.05</x:v>
      </x:c>
      <x:c r="J3988" s="11" t="n">
        <x:v>2</x:v>
      </x:c>
      <x:c r="K3988" s="11" t="n">
        <x:v>9</x:v>
      </x:c>
      <x:c r="L3988" s="11" t="n">
        <x:v>0</x:v>
      </x:c>
      <x:c r="M3988" s="9" t="n">
        <x:f>ROUND(H3988*(1-I3988),2)</x:f>
        <x:v>7410000</x:v>
      </x:c>
      <x:c r="N3988" s="4" t="str">
        <x:v>Sales manager</x:v>
      </x:c>
      <x:c r="O3988" s="4" t="str">
        <x:v>BOOK-03987</x:v>
      </x:c>
      <x:c r="P3988" s="9" t="n">
        <x:v>741000</x:v>
      </x:c>
      <x:c r="Q3988" s="11" t="n">
        <x:v>0</x:v>
      </x:c>
      <x:c r="R3988" s="8" t="n">
        <x:v>45575</x:v>
      </x:c>
      <x:c r="S3988" s="4" t="str">
        <x:v>Retained</x:v>
      </x:c>
      <x:c r="T3988" s="10" t="n">
        <x:v>0.204152</x:v>
      </x:c>
      <x:c r="U3988" s="4" t="str">
        <x:v>Test</x:v>
      </x:c>
    </x:row>
    <x:row r="3989" ht="34" customHeight="1">
      <x:c r="A3989" s="4" t="str">
        <x:v>RS-03988</x:v>
      </x:c>
      <x:c r="B3989" s="8" t="n">
        <x:v>45516</x:v>
      </x:c>
      <x:c r="C3989" s="4" t="str">
        <x:v>PRJ-008</x:v>
      </x:c>
      <x:c r="D3989" s="4" t="str">
        <x:v>Villa</x:v>
      </x:c>
      <x:c r="E3989" s="4" t="str">
        <x:v>Cancelled</x:v>
      </x:c>
      <x:c r="F3989" s="4" t="str">
        <x:v>CUS-03988</x:v>
      </x:c>
      <x:c r="G3989" s="4" t="str">
        <x:v>UNIT-03988</x:v>
      </x:c>
      <x:c r="H3989" s="9" t="n">
        <x:v>23800000</x:v>
      </x:c>
      <x:c r="I3989" s="10" t="n">
        <x:v>0.01</x:v>
      </x:c>
      <x:c r="J3989" s="11" t="n">
        <x:v>10</x:v>
      </x:c>
      <x:c r="K3989" s="11" t="n">
        <x:v>9</x:v>
      </x:c>
      <x:c r="L3989" s="11" t="n">
        <x:v>0</x:v>
      </x:c>
      <x:c r="M3989" s="9" t="n">
        <x:f>ROUND(H3989*(1-I3989),2)</x:f>
        <x:v>23562000</x:v>
      </x:c>
      <x:c r="N3989" s="4" t="str">
        <x:v>Sales manager</x:v>
      </x:c>
      <x:c r="O3989" s="4"/>
      <x:c r="P3989" s="9" t="n">
        <x:v>0</x:v>
      </x:c>
      <x:c r="Q3989" s="11" t="n">
        <x:v>1</x:v>
      </x:c>
      <x:c r="R3989" s="8" t="n">
        <x:v>45576</x:v>
      </x:c>
      <x:c r="S3989" s="4" t="str">
        <x:v>Lost / cancelled</x:v>
      </x:c>
      <x:c r="T3989" s="10" t="n">
        <x:v>0.305556</x:v>
      </x:c>
      <x:c r="U3989" s="4" t="str">
        <x:v>Test</x:v>
      </x:c>
    </x:row>
    <x:row r="3990" ht="34" customHeight="1">
      <x:c r="A3990" s="4" t="str">
        <x:v>RS-03989</x:v>
      </x:c>
      <x:c r="B3990" s="8" t="n">
        <x:v>45517</x:v>
      </x:c>
      <x:c r="C3990" s="4" t="str">
        <x:v>PRJ-009</x:v>
      </x:c>
      <x:c r="D3990" s="4" t="str">
        <x:v>Apartment</x:v>
      </x:c>
      <x:c r="E3990" s="4" t="str">
        <x:v>Handed over</x:v>
      </x:c>
      <x:c r="F3990" s="4" t="str">
        <x:v>CUS-03989</x:v>
      </x:c>
      <x:c r="G3990" s="4" t="str">
        <x:v>UNIT-03989</x:v>
      </x:c>
      <x:c r="H3990" s="9" t="n">
        <x:v>12800000</x:v>
      </x:c>
      <x:c r="I3990" s="10" t="n">
        <x:v>0.04</x:v>
      </x:c>
      <x:c r="J3990" s="11" t="n">
        <x:v>11</x:v>
      </x:c>
      <x:c r="K3990" s="11" t="n">
        <x:v>10</x:v>
      </x:c>
      <x:c r="L3990" s="11" t="n">
        <x:v>0</x:v>
      </x:c>
      <x:c r="M3990" s="9" t="n">
        <x:f>ROUND(H3990*(1-I3990),2)</x:f>
        <x:v>12288000</x:v>
      </x:c>
      <x:c r="N3990" s="4" t="str">
        <x:v>Sales manager</x:v>
      </x:c>
      <x:c r="O3990" s="4" t="str">
        <x:v>BOOK-03989</x:v>
      </x:c>
      <x:c r="P3990" s="9" t="n">
        <x:v>6144000</x:v>
      </x:c>
      <x:c r="Q3990" s="11" t="n">
        <x:v>0</x:v>
      </x:c>
      <x:c r="R3990" s="8" t="n">
        <x:v>45577</x:v>
      </x:c>
      <x:c r="S3990" s="4" t="str">
        <x:v>Retained</x:v>
      </x:c>
      <x:c r="T3990" s="10" t="n">
        <x:v>0.351536</x:v>
      </x:c>
      <x:c r="U3990" s="4" t="str">
        <x:v>Test</x:v>
      </x:c>
    </x:row>
    <x:row r="3991" ht="34" customHeight="1">
      <x:c r="A3991" s="4" t="str">
        <x:v>RS-03990</x:v>
      </x:c>
      <x:c r="B3991" s="8" t="n">
        <x:v>45518</x:v>
      </x:c>
      <x:c r="C3991" s="4" t="str">
        <x:v>PRJ-010</x:v>
      </x:c>
      <x:c r="D3991" s="4" t="str">
        <x:v>Retail</x:v>
      </x:c>
      <x:c r="E3991" s="4" t="str">
        <x:v>Cancelled</x:v>
      </x:c>
      <x:c r="F3991" s="4" t="str">
        <x:v>CUS-03990</x:v>
      </x:c>
      <x:c r="G3991" s="4" t="str">
        <x:v>UNIT-03990</x:v>
      </x:c>
      <x:c r="H3991" s="9" t="n">
        <x:v>3400000</x:v>
      </x:c>
      <x:c r="I3991" s="10" t="n">
        <x:v>0.1</x:v>
      </x:c>
      <x:c r="J3991" s="11" t="n">
        <x:v>3</x:v>
      </x:c>
      <x:c r="K3991" s="11" t="n">
        <x:v>2</x:v>
      </x:c>
      <x:c r="L3991" s="11" t="n">
        <x:v>0</x:v>
      </x:c>
      <x:c r="M3991" s="9" t="n">
        <x:f>ROUND(H3991*(1-I3991),2)</x:f>
        <x:v>3060000</x:v>
      </x:c>
      <x:c r="N3991" s="4" t="str">
        <x:v>Sales head</x:v>
      </x:c>
      <x:c r="O3991" s="4"/>
      <x:c r="P3991" s="9" t="n">
        <x:v>0</x:v>
      </x:c>
      <x:c r="Q3991" s="11" t="n">
        <x:v>1</x:v>
      </x:c>
      <x:c r="R3991" s="8" t="n">
        <x:v>45578</x:v>
      </x:c>
      <x:c r="S3991" s="4" t="str">
        <x:v>Lost / cancelled</x:v>
      </x:c>
      <x:c r="T3991" s="10" t="n">
        <x:v>0.145833</x:v>
      </x:c>
      <x:c r="U3991" s="4" t="str">
        <x:v>Test</x:v>
      </x:c>
    </x:row>
    <x:row r="3992" ht="34" customHeight="1">
      <x:c r="A3992" s="4" t="str">
        <x:v>RS-03991</x:v>
      </x:c>
      <x:c r="B3992" s="8" t="n">
        <x:v>45519</x:v>
      </x:c>
      <x:c r="C3992" s="4" t="str">
        <x:v>PRJ-011</x:v>
      </x:c>
      <x:c r="D3992" s="4" t="str">
        <x:v>Apartment</x:v>
      </x:c>
      <x:c r="E3992" s="4" t="str">
        <x:v>Agreement signed</x:v>
      </x:c>
      <x:c r="F3992" s="4" t="str">
        <x:v>CUS-03991</x:v>
      </x:c>
      <x:c r="G3992" s="4" t="str">
        <x:v>UNIT-03991</x:v>
      </x:c>
      <x:c r="H3992" s="9" t="n">
        <x:v>14200000</x:v>
      </x:c>
      <x:c r="I3992" s="10" t="n">
        <x:v>0.04</x:v>
      </x:c>
      <x:c r="J3992" s="11" t="n">
        <x:v>3</x:v>
      </x:c>
      <x:c r="K3992" s="11" t="n">
        <x:v>1</x:v>
      </x:c>
      <x:c r="L3992" s="11" t="n">
        <x:v>1</x:v>
      </x:c>
      <x:c r="M3992" s="9" t="n">
        <x:f>ROUND(H3992*(1-I3992),2)</x:f>
        <x:v>13632000</x:v>
      </x:c>
      <x:c r="N3992" s="4" t="str">
        <x:v>Sales manager</x:v>
      </x:c>
      <x:c r="O3992" s="4" t="str">
        <x:v>BOOK-03991</x:v>
      </x:c>
      <x:c r="P3992" s="9" t="n">
        <x:v>1363200</x:v>
      </x:c>
      <x:c r="Q3992" s="11" t="n">
        <x:v>0</x:v>
      </x:c>
      <x:c r="R3992" s="8" t="n">
        <x:v>45579</x:v>
      </x:c>
      <x:c r="S3992" s="4" t="str">
        <x:v>Retained</x:v>
      </x:c>
      <x:c r="T3992" s="10" t="n">
        <x:v>0.204152</x:v>
      </x:c>
      <x:c r="U3992" s="4" t="str">
        <x:v>Test</x:v>
      </x:c>
    </x:row>
    <x:row r="3993" ht="34" customHeight="1">
      <x:c r="A3993" s="4" t="str">
        <x:v>RS-03992</x:v>
      </x:c>
      <x:c r="B3993" s="8" t="n">
        <x:v>45520</x:v>
      </x:c>
      <x:c r="C3993" s="4" t="str">
        <x:v>PRJ-012</x:v>
      </x:c>
      <x:c r="D3993" s="4" t="str">
        <x:v>Villa</x:v>
      </x:c>
      <x:c r="E3993" s="4" t="str">
        <x:v>Enquiry</x:v>
      </x:c>
      <x:c r="F3993" s="4" t="str">
        <x:v>CUS-03992</x:v>
      </x:c>
      <x:c r="G3993" s="4" t="str">
        <x:v>UNIT-03992</x:v>
      </x:c>
      <x:c r="H3993" s="9" t="n">
        <x:v>15500000</x:v>
      </x:c>
      <x:c r="I3993" s="10" t="n">
        <x:v>0.02</x:v>
      </x:c>
      <x:c r="J3993" s="11" t="n">
        <x:v>9</x:v>
      </x:c>
      <x:c r="K3993" s="11" t="n">
        <x:v>1</x:v>
      </x:c>
      <x:c r="L3993" s="11" t="n">
        <x:v>0</x:v>
      </x:c>
      <x:c r="M3993" s="9" t="n">
        <x:f>ROUND(H3993*(1-I3993),2)</x:f>
        <x:v>15190000</x:v>
      </x:c>
      <x:c r="N3993" s="4" t="str">
        <x:v>Sales manager</x:v>
      </x:c>
      <x:c r="O3993" s="4"/>
      <x:c r="P3993" s="9" t="n">
        <x:v>0</x:v>
      </x:c>
      <x:c r="Q3993" s="11" t="n">
        <x:v>0</x:v>
      </x:c>
      <x:c r="R3993" s="8" t="n">
        <x:v>45580</x:v>
      </x:c>
      <x:c r="S3993" s="4" t="str">
        <x:v>Retained</x:v>
      </x:c>
      <x:c r="T3993" s="10" t="n">
        <x:v>0.305556</x:v>
      </x:c>
      <x:c r="U3993" s="4" t="str">
        <x:v>Test</x:v>
      </x:c>
    </x:row>
    <x:row r="3994" ht="34" customHeight="1">
      <x:c r="A3994" s="4" t="str">
        <x:v>RS-03993</x:v>
      </x:c>
      <x:c r="B3994" s="8" t="n">
        <x:v>45521</x:v>
      </x:c>
      <x:c r="C3994" s="4" t="str">
        <x:v>PRJ-013</x:v>
      </x:c>
      <x:c r="D3994" s="4" t="str">
        <x:v>Retail</x:v>
      </x:c>
      <x:c r="E3994" s="4" t="str">
        <x:v>Cancelled</x:v>
      </x:c>
      <x:c r="F3994" s="4" t="str">
        <x:v>CUS-03993</x:v>
      </x:c>
      <x:c r="G3994" s="4" t="str">
        <x:v>UNIT-03993</x:v>
      </x:c>
      <x:c r="H3994" s="9" t="n">
        <x:v>24100000</x:v>
      </x:c>
      <x:c r="I3994" s="10" t="n">
        <x:v>0.09</x:v>
      </x:c>
      <x:c r="J3994" s="11" t="n">
        <x:v>9</x:v>
      </x:c>
      <x:c r="K3994" s="11" t="n">
        <x:v>7</x:v>
      </x:c>
      <x:c r="L3994" s="11" t="n">
        <x:v>0</x:v>
      </x:c>
      <x:c r="M3994" s="9" t="n">
        <x:f>ROUND(H3994*(1-I3994),2)</x:f>
        <x:v>21931000</x:v>
      </x:c>
      <x:c r="N3994" s="4" t="str">
        <x:v>Sales head</x:v>
      </x:c>
      <x:c r="O3994" s="4"/>
      <x:c r="P3994" s="9" t="n">
        <x:v>0</x:v>
      </x:c>
      <x:c r="Q3994" s="11" t="n">
        <x:v>1</x:v>
      </x:c>
      <x:c r="R3994" s="8" t="n">
        <x:v>45581</x:v>
      </x:c>
      <x:c r="S3994" s="4" t="str">
        <x:v>Lost / cancelled</x:v>
      </x:c>
      <x:c r="T3994" s="10" t="n">
        <x:v>0.310195</x:v>
      </x:c>
      <x:c r="U3994" s="4" t="str">
        <x:v>Test</x:v>
      </x:c>
    </x:row>
    <x:row r="3995" ht="34" customHeight="1">
      <x:c r="A3995" s="4" t="str">
        <x:v>RS-03994</x:v>
      </x:c>
      <x:c r="B3995" s="8" t="n">
        <x:v>45522</x:v>
      </x:c>
      <x:c r="C3995" s="4" t="str">
        <x:v>PRJ-014</x:v>
      </x:c>
      <x:c r="D3995" s="4" t="str">
        <x:v>Villa</x:v>
      </x:c>
      <x:c r="E3995" s="4" t="str">
        <x:v>Enquiry</x:v>
      </x:c>
      <x:c r="F3995" s="4" t="str">
        <x:v>CUS-03994</x:v>
      </x:c>
      <x:c r="G3995" s="4" t="str">
        <x:v>UNIT-03994</x:v>
      </x:c>
      <x:c r="H3995" s="9" t="n">
        <x:v>10100000</x:v>
      </x:c>
      <x:c r="I3995" s="10" t="n">
        <x:v>0.04</x:v>
      </x:c>
      <x:c r="J3995" s="11" t="n">
        <x:v>4</x:v>
      </x:c>
      <x:c r="K3995" s="11" t="n">
        <x:v>9</x:v>
      </x:c>
      <x:c r="L3995" s="11" t="n">
        <x:v>0</x:v>
      </x:c>
      <x:c r="M3995" s="9" t="n">
        <x:f>ROUND(H3995*(1-I3995),2)</x:f>
        <x:v>9696000</x:v>
      </x:c>
      <x:c r="N3995" s="4" t="str">
        <x:v>Sales manager</x:v>
      </x:c>
      <x:c r="O3995" s="4"/>
      <x:c r="P3995" s="9" t="n">
        <x:v>0</x:v>
      </x:c>
      <x:c r="Q3995" s="11" t="n">
        <x:v>0</x:v>
      </x:c>
      <x:c r="R3995" s="8" t="n">
        <x:v>45582</x:v>
      </x:c>
      <x:c r="S3995" s="4" t="str">
        <x:v>Retained</x:v>
      </x:c>
      <x:c r="T3995" s="10" t="n">
        <x:v>0.226277</x:v>
      </x:c>
      <x:c r="U3995" s="4" t="str">
        <x:v>Test</x:v>
      </x:c>
    </x:row>
    <x:row r="3996" ht="34" customHeight="1">
      <x:c r="A3996" s="4" t="str">
        <x:v>RS-03995</x:v>
      </x:c>
      <x:c r="B3996" s="8" t="n">
        <x:v>45523</x:v>
      </x:c>
      <x:c r="C3996" s="4" t="str">
        <x:v>PRJ-015</x:v>
      </x:c>
      <x:c r="D3996" s="4" t="str">
        <x:v>Villa</x:v>
      </x:c>
      <x:c r="E3996" s="4" t="str">
        <x:v>Agreement signed</x:v>
      </x:c>
      <x:c r="F3996" s="4" t="str">
        <x:v>CUS-03995</x:v>
      </x:c>
      <x:c r="G3996" s="4" t="str">
        <x:v>UNIT-03995</x:v>
      </x:c>
      <x:c r="H3996" s="9" t="n">
        <x:v>6900000</x:v>
      </x:c>
      <x:c r="I3996" s="10" t="n">
        <x:v>0.11</x:v>
      </x:c>
      <x:c r="J3996" s="11" t="n">
        <x:v>9</x:v>
      </x:c>
      <x:c r="K3996" s="11" t="n">
        <x:v>3</x:v>
      </x:c>
      <x:c r="L3996" s="11" t="n">
        <x:v>0</x:v>
      </x:c>
      <x:c r="M3996" s="9" t="n">
        <x:f>ROUND(H3996*(1-I3996),2)</x:f>
        <x:v>6141000</x:v>
      </x:c>
      <x:c r="N3996" s="4" t="str">
        <x:v>Sales head</x:v>
      </x:c>
      <x:c r="O3996" s="4" t="str">
        <x:v>BOOK-03995</x:v>
      </x:c>
      <x:c r="P3996" s="9" t="n">
        <x:v>1535250</x:v>
      </x:c>
      <x:c r="Q3996" s="11" t="n">
        <x:v>0</x:v>
      </x:c>
      <x:c r="R3996" s="8" t="n">
        <x:v>45583</x:v>
      </x:c>
      <x:c r="S3996" s="4" t="str">
        <x:v>Retained</x:v>
      </x:c>
      <x:c r="T3996" s="10" t="n">
        <x:v>0.310195</x:v>
      </x:c>
      <x:c r="U3996" s="4" t="str">
        <x:v>Test</x:v>
      </x:c>
    </x:row>
    <x:row r="3997" ht="34" customHeight="1">
      <x:c r="A3997" s="4" t="str">
        <x:v>RS-03996</x:v>
      </x:c>
      <x:c r="B3997" s="8" t="n">
        <x:v>45524</x:v>
      </x:c>
      <x:c r="C3997" s="4" t="str">
        <x:v>PRJ-016</x:v>
      </x:c>
      <x:c r="D3997" s="4" t="str">
        <x:v>Villa</x:v>
      </x:c>
      <x:c r="E3997" s="4" t="str">
        <x:v>Enquiry</x:v>
      </x:c>
      <x:c r="F3997" s="4" t="str">
        <x:v>CUS-03996</x:v>
      </x:c>
      <x:c r="G3997" s="4" t="str">
        <x:v>UNIT-03996</x:v>
      </x:c>
      <x:c r="H3997" s="9" t="n">
        <x:v>16900000</x:v>
      </x:c>
      <x:c r="I3997" s="10" t="n">
        <x:v>0.08</x:v>
      </x:c>
      <x:c r="J3997" s="11" t="n">
        <x:v>1</x:v>
      </x:c>
      <x:c r="K3997" s="11" t="n">
        <x:v>5</x:v>
      </x:c>
      <x:c r="L3997" s="11" t="n">
        <x:v>1</x:v>
      </x:c>
      <x:c r="M3997" s="9" t="n">
        <x:f>ROUND(H3997*(1-I3997),2)</x:f>
        <x:v>15548000</x:v>
      </x:c>
      <x:c r="N3997" s="4" t="str">
        <x:v>Sales head</x:v>
      </x:c>
      <x:c r="O3997" s="4"/>
      <x:c r="P3997" s="9" t="n">
        <x:v>0</x:v>
      </x:c>
      <x:c r="Q3997" s="11" t="n">
        <x:v>0</x:v>
      </x:c>
      <x:c r="R3997" s="8" t="n">
        <x:v>45584</x:v>
      </x:c>
      <x:c r="S3997" s="4" t="str">
        <x:v>Retained</x:v>
      </x:c>
      <x:c r="T3997" s="10" t="n">
        <x:v>0.204152</x:v>
      </x:c>
      <x:c r="U3997" s="4" t="str">
        <x:v>Test</x:v>
      </x:c>
    </x:row>
    <x:row r="3998" ht="34" customHeight="1">
      <x:c r="A3998" s="4" t="str">
        <x:v>RS-03997</x:v>
      </x:c>
      <x:c r="B3998" s="8" t="n">
        <x:v>45525</x:v>
      </x:c>
      <x:c r="C3998" s="4" t="str">
        <x:v>PRJ-017</x:v>
      </x:c>
      <x:c r="D3998" s="4" t="str">
        <x:v>Retail</x:v>
      </x:c>
      <x:c r="E3998" s="4" t="str">
        <x:v>Agreement signed</x:v>
      </x:c>
      <x:c r="F3998" s="4" t="str">
        <x:v>CUS-03997</x:v>
      </x:c>
      <x:c r="G3998" s="4" t="str">
        <x:v>UNIT-03997</x:v>
      </x:c>
      <x:c r="H3998" s="9" t="n">
        <x:v>23100000</x:v>
      </x:c>
      <x:c r="I3998" s="10" t="n">
        <x:v>0.08</x:v>
      </x:c>
      <x:c r="J3998" s="11" t="n">
        <x:v>6</x:v>
      </x:c>
      <x:c r="K3998" s="11" t="n">
        <x:v>0</x:v>
      </x:c>
      <x:c r="L3998" s="11" t="n">
        <x:v>0</x:v>
      </x:c>
      <x:c r="M3998" s="9" t="n">
        <x:f>ROUND(H3998*(1-I3998),2)</x:f>
        <x:v>21252000</x:v>
      </x:c>
      <x:c r="N3998" s="4" t="str">
        <x:v>Sales head</x:v>
      </x:c>
      <x:c r="O3998" s="4" t="str">
        <x:v>BOOK-03997</x:v>
      </x:c>
      <x:c r="P3998" s="9" t="n">
        <x:v>21252000</x:v>
      </x:c>
      <x:c r="Q3998" s="11" t="n">
        <x:v>0</x:v>
      </x:c>
      <x:c r="R3998" s="8" t="n">
        <x:v>45585</x:v>
      </x:c>
      <x:c r="S3998" s="4" t="str">
        <x:v>Retained</x:v>
      </x:c>
      <x:c r="T3998" s="10" t="n">
        <x:v>0.226277</x:v>
      </x:c>
      <x:c r="U3998" s="4" t="str">
        <x:v>Test</x:v>
      </x:c>
    </x:row>
    <x:row r="3999" ht="34" customHeight="1">
      <x:c r="A3999" s="4" t="str">
        <x:v>RS-03998</x:v>
      </x:c>
      <x:c r="B3999" s="8" t="n">
        <x:v>45526</x:v>
      </x:c>
      <x:c r="C3999" s="4" t="str">
        <x:v>PRJ-018</x:v>
      </x:c>
      <x:c r="D3999" s="4" t="str">
        <x:v>Villa</x:v>
      </x:c>
      <x:c r="E3999" s="4" t="str">
        <x:v>Booked</x:v>
      </x:c>
      <x:c r="F3999" s="4" t="str">
        <x:v>CUS-03998</x:v>
      </x:c>
      <x:c r="G3999" s="4" t="str">
        <x:v>UNIT-03998</x:v>
      </x:c>
      <x:c r="H3999" s="9" t="n">
        <x:v>12600000</x:v>
      </x:c>
      <x:c r="I3999" s="10" t="n">
        <x:v>0.07</x:v>
      </x:c>
      <x:c r="J3999" s="11" t="n">
        <x:v>3</x:v>
      </x:c>
      <x:c r="K3999" s="11" t="n">
        <x:v>0</x:v>
      </x:c>
      <x:c r="L3999" s="11" t="n">
        <x:v>1</x:v>
      </x:c>
      <x:c r="M3999" s="9" t="n">
        <x:f>ROUND(H3999*(1-I3999),2)</x:f>
        <x:v>11718000</x:v>
      </x:c>
      <x:c r="N3999" s="4" t="str">
        <x:v>Sales manager</x:v>
      </x:c>
      <x:c r="O3999" s="4" t="str">
        <x:v>BOOK-03998</x:v>
      </x:c>
      <x:c r="P3999" s="9" t="n">
        <x:v>5859000</x:v>
      </x:c>
      <x:c r="Q3999" s="11" t="n">
        <x:v>0</x:v>
      </x:c>
      <x:c r="R3999" s="8" t="n">
        <x:v>45586</x:v>
      </x:c>
      <x:c r="S3999" s="4" t="str">
        <x:v>Retained</x:v>
      </x:c>
      <x:c r="T3999" s="10" t="n">
        <x:v>0.276923</x:v>
      </x:c>
      <x:c r="U3999" s="4" t="str">
        <x:v>Test</x:v>
      </x:c>
    </x:row>
    <x:row r="4000" ht="34" customHeight="1">
      <x:c r="A4000" s="4" t="str">
        <x:v>RS-03999</x:v>
      </x:c>
      <x:c r="B4000" s="8" t="n">
        <x:v>45527</x:v>
      </x:c>
      <x:c r="C4000" s="4" t="str">
        <x:v>PRJ-019</x:v>
      </x:c>
      <x:c r="D4000" s="4" t="str">
        <x:v>Retail</x:v>
      </x:c>
      <x:c r="E4000" s="4" t="str">
        <x:v>Enquiry</x:v>
      </x:c>
      <x:c r="F4000" s="4" t="str">
        <x:v>CUS-03999</x:v>
      </x:c>
      <x:c r="G4000" s="4" t="str">
        <x:v>UNIT-03999</x:v>
      </x:c>
      <x:c r="H4000" s="9" t="n">
        <x:v>12800000</x:v>
      </x:c>
      <x:c r="I4000" s="10" t="n">
        <x:v>0.03</x:v>
      </x:c>
      <x:c r="J4000" s="11" t="n">
        <x:v>0</x:v>
      </x:c>
      <x:c r="K4000" s="11" t="n">
        <x:v>9</x:v>
      </x:c>
      <x:c r="L4000" s="11" t="n">
        <x:v>1</x:v>
      </x:c>
      <x:c r="M4000" s="9" t="n">
        <x:f>ROUND(H4000*(1-I4000),2)</x:f>
        <x:v>12416000</x:v>
      </x:c>
      <x:c r="N4000" s="4" t="str">
        <x:v>Sales manager</x:v>
      </x:c>
      <x:c r="O4000" s="4"/>
      <x:c r="P4000" s="9" t="n">
        <x:v>0</x:v>
      </x:c>
      <x:c r="Q4000" s="11" t="n">
        <x:v>0</x:v>
      </x:c>
      <x:c r="R4000" s="8" t="n">
        <x:v>45587</x:v>
      </x:c>
      <x:c r="S4000" s="4" t="str">
        <x:v>Retained</x:v>
      </x:c>
      <x:c r="T4000" s="10" t="n">
        <x:v>0.072165</x:v>
      </x:c>
      <x:c r="U4000" s="4" t="str">
        <x:v>Test</x:v>
      </x:c>
    </x:row>
    <x:row r="4001" ht="34" customHeight="1">
      <x:c r="A4001" s="4" t="str">
        <x:v>RS-04000</x:v>
      </x:c>
      <x:c r="B4001" s="8" t="n">
        <x:v>45528</x:v>
      </x:c>
      <x:c r="C4001" s="4" t="str">
        <x:v>PRJ-020</x:v>
      </x:c>
      <x:c r="D4001" s="4" t="str">
        <x:v>Villa</x:v>
      </x:c>
      <x:c r="E4001" s="4" t="str">
        <x:v>Reserved</x:v>
      </x:c>
      <x:c r="F4001" s="4" t="str">
        <x:v>CUS-04000</x:v>
      </x:c>
      <x:c r="G4001" s="4" t="str">
        <x:v>UNIT-04000</x:v>
      </x:c>
      <x:c r="H4001" s="9" t="n">
        <x:v>14600000</x:v>
      </x:c>
      <x:c r="I4001" s="10" t="n">
        <x:v>0.07</x:v>
      </x:c>
      <x:c r="J4001" s="11" t="n">
        <x:v>7</x:v>
      </x:c>
      <x:c r="K4001" s="11" t="n">
        <x:v>9</x:v>
      </x:c>
      <x:c r="L4001" s="11" t="n">
        <x:v>1</x:v>
      </x:c>
      <x:c r="M4001" s="9" t="n">
        <x:f>ROUND(H4001*(1-I4001),2)</x:f>
        <x:v>13578000</x:v>
      </x:c>
      <x:c r="N4001" s="4" t="str">
        <x:v>Sales manager</x:v>
      </x:c>
      <x:c r="O4001" s="4"/>
      <x:c r="P4001" s="9" t="n">
        <x:v>0</x:v>
      </x:c>
      <x:c r="Q4001" s="11" t="n">
        <x:v>1</x:v>
      </x:c>
      <x:c r="R4001" s="8" t="n">
        <x:v>45588</x:v>
      </x:c>
      <x:c r="S4001" s="4" t="str">
        <x:v>Lost / cancelled</x:v>
      </x:c>
      <x:c r="T4001" s="10" t="n">
        <x:v>0.291946</x:v>
      </x:c>
      <x:c r="U4001" s="4" t="str">
        <x:v>Test</x:v>
      </x:c>
    </x:row>
    <x:row r="4002" ht="34" customHeight="1">
      <x:c r="A4002" s="4" t="str">
        <x:v>RS-04001</x:v>
      </x:c>
      <x:c r="B4002" s="8" t="n">
        <x:v>45560</x:v>
      </x:c>
      <x:c r="C4002" s="4" t="str">
        <x:v>PRJ-001</x:v>
      </x:c>
      <x:c r="D4002" s="4" t="str">
        <x:v>Office</x:v>
      </x:c>
      <x:c r="E4002" s="4" t="str">
        <x:v>Booked</x:v>
      </x:c>
      <x:c r="F4002" s="4" t="str">
        <x:v>CUS-04001</x:v>
      </x:c>
      <x:c r="G4002" s="4" t="str">
        <x:v>UNIT-04001</x:v>
      </x:c>
      <x:c r="H4002" s="9" t="n">
        <x:v>11500000</x:v>
      </x:c>
      <x:c r="I4002" s="10" t="n">
        <x:v>0.04</x:v>
      </x:c>
      <x:c r="J4002" s="11" t="n">
        <x:v>8</x:v>
      </x:c>
      <x:c r="K4002" s="11" t="n">
        <x:v>3</x:v>
      </x:c>
      <x:c r="L4002" s="11" t="n">
        <x:v>0</x:v>
      </x:c>
      <x:c r="M4002" s="9" t="n">
        <x:f>ROUND(H4002*(1-I4002),2)</x:f>
        <x:v>11040000</x:v>
      </x:c>
      <x:c r="N4002" s="4" t="str">
        <x:v>Sales manager</x:v>
      </x:c>
      <x:c r="O4002" s="4" t="str">
        <x:v>BOOK-04001</x:v>
      </x:c>
      <x:c r="P4002" s="9" t="n">
        <x:v>5520000</x:v>
      </x:c>
      <x:c r="Q4002" s="11" t="n">
        <x:v>0</x:v>
      </x:c>
      <x:c r="R4002" s="8" t="n">
        <x:v>45620</x:v>
      </x:c>
      <x:c r="S4002" s="4" t="str">
        <x:v>Retained</x:v>
      </x:c>
      <x:c r="T4002" s="10" t="n">
        <x:v>0.310195</x:v>
      </x:c>
      <x:c r="U4002" s="4" t="str">
        <x:v>Test</x:v>
      </x:c>
    </x:row>
    <x:row r="4003" ht="34" customHeight="1">
      <x:c r="A4003" s="4" t="str">
        <x:v>RS-04002</x:v>
      </x:c>
      <x:c r="B4003" s="8" t="n">
        <x:v>45561</x:v>
      </x:c>
      <x:c r="C4003" s="4" t="str">
        <x:v>PRJ-002</x:v>
      </x:c>
      <x:c r="D4003" s="4" t="str">
        <x:v>Office</x:v>
      </x:c>
      <x:c r="E4003" s="4" t="str">
        <x:v>Cancelled</x:v>
      </x:c>
      <x:c r="F4003" s="4" t="str">
        <x:v>CUS-04002</x:v>
      </x:c>
      <x:c r="G4003" s="4" t="str">
        <x:v>UNIT-04002</x:v>
      </x:c>
      <x:c r="H4003" s="9" t="n">
        <x:v>13000000</x:v>
      </x:c>
      <x:c r="I4003" s="10" t="n">
        <x:v>0.1</x:v>
      </x:c>
      <x:c r="J4003" s="11" t="n">
        <x:v>11</x:v>
      </x:c>
      <x:c r="K4003" s="11" t="n">
        <x:v>10</x:v>
      </x:c>
      <x:c r="L4003" s="11" t="n">
        <x:v>1</x:v>
      </x:c>
      <x:c r="M4003" s="9" t="n">
        <x:f>ROUND(H4003*(1-I4003),2)</x:f>
        <x:v>11700000</x:v>
      </x:c>
      <x:c r="N4003" s="4" t="str">
        <x:v>Sales head</x:v>
      </x:c>
      <x:c r="O4003" s="4"/>
      <x:c r="P4003" s="9" t="n">
        <x:v>0</x:v>
      </x:c>
      <x:c r="Q4003" s="11" t="n">
        <x:v>1</x:v>
      </x:c>
      <x:c r="R4003" s="8" t="n">
        <x:v>45621</x:v>
      </x:c>
      <x:c r="S4003" s="4" t="str">
        <x:v>Lost / cancelled</x:v>
      </x:c>
      <x:c r="T4003" s="10" t="n">
        <x:v>0.351536</x:v>
      </x:c>
      <x:c r="U4003" s="4" t="str">
        <x:v>Test</x:v>
      </x:c>
    </x:row>
    <x:row r="4004" ht="34" customHeight="1">
      <x:c r="A4004" s="4" t="str">
        <x:v>RS-04003</x:v>
      </x:c>
      <x:c r="B4004" s="8" t="n">
        <x:v>45562</x:v>
      </x:c>
      <x:c r="C4004" s="4" t="str">
        <x:v>PRJ-003</x:v>
      </x:c>
      <x:c r="D4004" s="4" t="str">
        <x:v>Villa</x:v>
      </x:c>
      <x:c r="E4004" s="4" t="str">
        <x:v>Reserved</x:v>
      </x:c>
      <x:c r="F4004" s="4" t="str">
        <x:v>CUS-04003</x:v>
      </x:c>
      <x:c r="G4004" s="4" t="str">
        <x:v>UNIT-04003</x:v>
      </x:c>
      <x:c r="H4004" s="9" t="n">
        <x:v>14600000</x:v>
      </x:c>
      <x:c r="I4004" s="10" t="n">
        <x:v>0</x:v>
      </x:c>
      <x:c r="J4004" s="11" t="n">
        <x:v>9</x:v>
      </x:c>
      <x:c r="K4004" s="11" t="n">
        <x:v>3</x:v>
      </x:c>
      <x:c r="L4004" s="11" t="n">
        <x:v>0</x:v>
      </x:c>
      <x:c r="M4004" s="9" t="n">
        <x:f>ROUND(H4004*(1-I4004),2)</x:f>
        <x:v>14600000</x:v>
      </x:c>
      <x:c r="N4004" s="4" t="str">
        <x:v>Sales manager</x:v>
      </x:c>
      <x:c r="O4004" s="4"/>
      <x:c r="P4004" s="9" t="n">
        <x:v>0</x:v>
      </x:c>
      <x:c r="Q4004" s="11" t="n">
        <x:v>0</x:v>
      </x:c>
      <x:c r="R4004" s="8" t="n">
        <x:v>45622</x:v>
      </x:c>
      <x:c r="S4004" s="4" t="str">
        <x:v>Retained</x:v>
      </x:c>
      <x:c r="T4004" s="10" t="n">
        <x:v>0.305556</x:v>
      </x:c>
      <x:c r="U4004" s="4" t="str">
        <x:v>Test</x:v>
      </x:c>
    </x:row>
    <x:row r="4005" ht="34" customHeight="1">
      <x:c r="A4005" s="4" t="str">
        <x:v>RS-04004</x:v>
      </x:c>
      <x:c r="B4005" s="8" t="n">
        <x:v>45563</x:v>
      </x:c>
      <x:c r="C4005" s="4" t="str">
        <x:v>PRJ-004</x:v>
      </x:c>
      <x:c r="D4005" s="4" t="str">
        <x:v>Office</x:v>
      </x:c>
      <x:c r="E4005" s="4" t="str">
        <x:v>Enquiry</x:v>
      </x:c>
      <x:c r="F4005" s="4" t="str">
        <x:v>CUS-04004</x:v>
      </x:c>
      <x:c r="G4005" s="4" t="str">
        <x:v>UNIT-04004</x:v>
      </x:c>
      <x:c r="H4005" s="9" t="n">
        <x:v>22000000</x:v>
      </x:c>
      <x:c r="I4005" s="10" t="n">
        <x:v>0.05</x:v>
      </x:c>
      <x:c r="J4005" s="11" t="n">
        <x:v>9</x:v>
      </x:c>
      <x:c r="K4005" s="11" t="n">
        <x:v>2</x:v>
      </x:c>
      <x:c r="L4005" s="11" t="n">
        <x:v>1</x:v>
      </x:c>
      <x:c r="M4005" s="9" t="n">
        <x:f>ROUND(H4005*(1-I4005),2)</x:f>
        <x:v>20900000</x:v>
      </x:c>
      <x:c r="N4005" s="4" t="str">
        <x:v>Sales manager</x:v>
      </x:c>
      <x:c r="O4005" s="4"/>
      <x:c r="P4005" s="9" t="n">
        <x:v>0</x:v>
      </x:c>
      <x:c r="Q4005" s="11" t="n">
        <x:v>1</x:v>
      </x:c>
      <x:c r="R4005" s="8" t="n">
        <x:v>45623</x:v>
      </x:c>
      <x:c r="S4005" s="4" t="str">
        <x:v>Lost / cancelled</x:v>
      </x:c>
      <x:c r="T4005" s="10" t="n">
        <x:v>0.310195</x:v>
      </x:c>
      <x:c r="U4005" s="4" t="str">
        <x:v>Test</x:v>
      </x:c>
    </x:row>
    <x:row r="4006" ht="34" customHeight="1">
      <x:c r="A4006" s="4" t="str">
        <x:v>RS-04005</x:v>
      </x:c>
      <x:c r="B4006" s="8" t="n">
        <x:v>45536</x:v>
      </x:c>
      <x:c r="C4006" s="4" t="str">
        <x:v>PRJ-005</x:v>
      </x:c>
      <x:c r="D4006" s="4" t="str">
        <x:v>Apartment</x:v>
      </x:c>
      <x:c r="E4006" s="4" t="str">
        <x:v>Enquiry</x:v>
      </x:c>
      <x:c r="F4006" s="4" t="str">
        <x:v>CUS-04005</x:v>
      </x:c>
      <x:c r="G4006" s="4" t="str">
        <x:v>UNIT-04005</x:v>
      </x:c>
      <x:c r="H4006" s="9" t="n">
        <x:v>18300000</x:v>
      </x:c>
      <x:c r="I4006" s="10" t="n">
        <x:v>0.06</x:v>
      </x:c>
      <x:c r="J4006" s="11" t="n">
        <x:v>7</x:v>
      </x:c>
      <x:c r="K4006" s="11" t="n">
        <x:v>3</x:v>
      </x:c>
      <x:c r="L4006" s="11" t="n">
        <x:v>1</x:v>
      </x:c>
      <x:c r="M4006" s="9" t="n">
        <x:f>ROUND(H4006*(1-I4006),2)</x:f>
        <x:v>17202000</x:v>
      </x:c>
      <x:c r="N4006" s="4" t="str">
        <x:v>Sales manager</x:v>
      </x:c>
      <x:c r="O4006" s="4"/>
      <x:c r="P4006" s="9" t="n">
        <x:v>0</x:v>
      </x:c>
      <x:c r="Q4006" s="11" t="n">
        <x:v>0</x:v>
      </x:c>
      <x:c r="R4006" s="8" t="n">
        <x:v>45596</x:v>
      </x:c>
      <x:c r="S4006" s="4" t="str">
        <x:v>Retained</x:v>
      </x:c>
      <x:c r="T4006" s="10" t="n">
        <x:v>0.291946</x:v>
      </x:c>
      <x:c r="U4006" s="4" t="str">
        <x:v>Test</x:v>
      </x:c>
    </x:row>
    <x:row r="4007" ht="34" customHeight="1">
      <x:c r="A4007" s="4" t="str">
        <x:v>RS-04006</x:v>
      </x:c>
      <x:c r="B4007" s="8" t="n">
        <x:v>45537</x:v>
      </x:c>
      <x:c r="C4007" s="4" t="str">
        <x:v>PRJ-006</x:v>
      </x:c>
      <x:c r="D4007" s="4" t="str">
        <x:v>Villa</x:v>
      </x:c>
      <x:c r="E4007" s="4" t="str">
        <x:v>Reserved</x:v>
      </x:c>
      <x:c r="F4007" s="4" t="str">
        <x:v>CUS-04006</x:v>
      </x:c>
      <x:c r="G4007" s="4" t="str">
        <x:v>UNIT-04006</x:v>
      </x:c>
      <x:c r="H4007" s="9" t="n">
        <x:v>17400000</x:v>
      </x:c>
      <x:c r="I4007" s="10" t="n">
        <x:v>0.07</x:v>
      </x:c>
      <x:c r="J4007" s="11" t="n">
        <x:v>1</x:v>
      </x:c>
      <x:c r="K4007" s="11" t="n">
        <x:v>2</x:v>
      </x:c>
      <x:c r="L4007" s="11" t="n">
        <x:v>1</x:v>
      </x:c>
      <x:c r="M4007" s="9" t="n">
        <x:f>ROUND(H4007*(1-I4007),2)</x:f>
        <x:v>16182000</x:v>
      </x:c>
      <x:c r="N4007" s="4" t="str">
        <x:v>Sales manager</x:v>
      </x:c>
      <x:c r="O4007" s="4"/>
      <x:c r="P4007" s="9" t="n">
        <x:v>0</x:v>
      </x:c>
      <x:c r="Q4007" s="11" t="n">
        <x:v>0</x:v>
      </x:c>
      <x:c r="R4007" s="8" t="n">
        <x:v>45597</x:v>
      </x:c>
      <x:c r="S4007" s="4" t="str">
        <x:v>Retained</x:v>
      </x:c>
      <x:c r="T4007" s="10" t="n">
        <x:v>0.204152</x:v>
      </x:c>
      <x:c r="U4007" s="4" t="str">
        <x:v>Test</x:v>
      </x:c>
    </x:row>
    <x:row r="4008" ht="34" customHeight="1">
      <x:c r="A4008" s="4" t="str">
        <x:v>RS-04007</x:v>
      </x:c>
      <x:c r="B4008" s="8" t="n">
        <x:v>45538</x:v>
      </x:c>
      <x:c r="C4008" s="4" t="str">
        <x:v>PRJ-007</x:v>
      </x:c>
      <x:c r="D4008" s="4" t="str">
        <x:v>Apartment</x:v>
      </x:c>
      <x:c r="E4008" s="4" t="str">
        <x:v>Handed over</x:v>
      </x:c>
      <x:c r="F4008" s="4" t="str">
        <x:v>CUS-04007</x:v>
      </x:c>
      <x:c r="G4008" s="4" t="str">
        <x:v>UNIT-04007</x:v>
      </x:c>
      <x:c r="H4008" s="9" t="n">
        <x:v>17000000</x:v>
      </x:c>
      <x:c r="I4008" s="10" t="n">
        <x:v>0.03</x:v>
      </x:c>
      <x:c r="J4008" s="11" t="n">
        <x:v>4</x:v>
      </x:c>
      <x:c r="K4008" s="11" t="n">
        <x:v>0</x:v>
      </x:c>
      <x:c r="L4008" s="11" t="n">
        <x:v>1</x:v>
      </x:c>
      <x:c r="M4008" s="9" t="n">
        <x:f>ROUND(H4008*(1-I4008),2)</x:f>
        <x:v>16490000</x:v>
      </x:c>
      <x:c r="N4008" s="4" t="str">
        <x:v>Sales manager</x:v>
      </x:c>
      <x:c r="O4008" s="4" t="str">
        <x:v>BOOK-04007</x:v>
      </x:c>
      <x:c r="P4008" s="9" t="n">
        <x:v>4122500</x:v>
      </x:c>
      <x:c r="Q4008" s="11" t="n">
        <x:v>0</x:v>
      </x:c>
      <x:c r="R4008" s="8" t="n">
        <x:v>45598</x:v>
      </x:c>
      <x:c r="S4008" s="4" t="str">
        <x:v>Retained</x:v>
      </x:c>
      <x:c r="T4008" s="10" t="n">
        <x:v>0.298969</x:v>
      </x:c>
      <x:c r="U4008" s="4" t="str">
        <x:v>Test</x:v>
      </x:c>
    </x:row>
    <x:row r="4009" ht="34" customHeight="1">
      <x:c r="A4009" s="4" t="str">
        <x:v>RS-04008</x:v>
      </x:c>
      <x:c r="B4009" s="8" t="n">
        <x:v>45539</x:v>
      </x:c>
      <x:c r="C4009" s="4" t="str">
        <x:v>PRJ-008</x:v>
      </x:c>
      <x:c r="D4009" s="4" t="str">
        <x:v>Villa</x:v>
      </x:c>
      <x:c r="E4009" s="4" t="str">
        <x:v>Handed over</x:v>
      </x:c>
      <x:c r="F4009" s="4" t="str">
        <x:v>CUS-04008</x:v>
      </x:c>
      <x:c r="G4009" s="4" t="str">
        <x:v>UNIT-04008</x:v>
      </x:c>
      <x:c r="H4009" s="9" t="n">
        <x:v>13200000</x:v>
      </x:c>
      <x:c r="I4009" s="10" t="n">
        <x:v>0.07</x:v>
      </x:c>
      <x:c r="J4009" s="11" t="n">
        <x:v>12</x:v>
      </x:c>
      <x:c r="K4009" s="11" t="n">
        <x:v>7</x:v>
      </x:c>
      <x:c r="L4009" s="11" t="n">
        <x:v>0</x:v>
      </x:c>
      <x:c r="M4009" s="9" t="n">
        <x:f>ROUND(H4009*(1-I4009),2)</x:f>
        <x:v>12276000</x:v>
      </x:c>
      <x:c r="N4009" s="4" t="str">
        <x:v>Sales manager</x:v>
      </x:c>
      <x:c r="O4009" s="4" t="str">
        <x:v>BOOK-04008</x:v>
      </x:c>
      <x:c r="P4009" s="9" t="n">
        <x:v>6138000</x:v>
      </x:c>
      <x:c r="Q4009" s="11" t="n">
        <x:v>0</x:v>
      </x:c>
      <x:c r="R4009" s="8" t="n">
        <x:v>45599</x:v>
      </x:c>
      <x:c r="S4009" s="4" t="str">
        <x:v>Retained</x:v>
      </x:c>
      <x:c r="T4009" s="10" t="n">
        <x:v>0.351536</x:v>
      </x:c>
      <x:c r="U4009" s="4" t="str">
        <x:v>Test</x:v>
      </x:c>
    </x:row>
    <x:row r="4010" ht="34" customHeight="1">
      <x:c r="A4010" s="4" t="str">
        <x:v>RS-04009</x:v>
      </x:c>
      <x:c r="B4010" s="8" t="n">
        <x:v>45540</x:v>
      </x:c>
      <x:c r="C4010" s="4" t="str">
        <x:v>PRJ-009</x:v>
      </x:c>
      <x:c r="D4010" s="4" t="str">
        <x:v>Office</x:v>
      </x:c>
      <x:c r="E4010" s="4" t="str">
        <x:v>Agreement signed</x:v>
      </x:c>
      <x:c r="F4010" s="4" t="str">
        <x:v>CUS-04009</x:v>
      </x:c>
      <x:c r="G4010" s="4" t="str">
        <x:v>UNIT-04009</x:v>
      </x:c>
      <x:c r="H4010" s="9" t="n">
        <x:v>18500000</x:v>
      </x:c>
      <x:c r="I4010" s="10" t="n">
        <x:v>0.05</x:v>
      </x:c>
      <x:c r="J4010" s="11" t="n">
        <x:v>7</x:v>
      </x:c>
      <x:c r="K4010" s="11" t="n">
        <x:v>9</x:v>
      </x:c>
      <x:c r="L4010" s="11" t="n">
        <x:v>1</x:v>
      </x:c>
      <x:c r="M4010" s="9" t="n">
        <x:f>ROUND(H4010*(1-I4010),2)</x:f>
        <x:v>17575000</x:v>
      </x:c>
      <x:c r="N4010" s="4" t="str">
        <x:v>Sales manager</x:v>
      </x:c>
      <x:c r="O4010" s="4" t="str">
        <x:v>BOOK-04009</x:v>
      </x:c>
      <x:c r="P4010" s="9" t="n">
        <x:v>1757500</x:v>
      </x:c>
      <x:c r="Q4010" s="11" t="n">
        <x:v>0</x:v>
      </x:c>
      <x:c r="R4010" s="8" t="n">
        <x:v>45600</x:v>
      </x:c>
      <x:c r="S4010" s="4" t="str">
        <x:v>Retained</x:v>
      </x:c>
      <x:c r="T4010" s="10" t="n">
        <x:v>0.291946</x:v>
      </x:c>
      <x:c r="U4010" s="4" t="str">
        <x:v>Test</x:v>
      </x:c>
    </x:row>
    <x:row r="4011" ht="34" customHeight="1">
      <x:c r="A4011" s="4" t="str">
        <x:v>RS-04010</x:v>
      </x:c>
      <x:c r="B4011" s="8" t="n">
        <x:v>45541</x:v>
      </x:c>
      <x:c r="C4011" s="4" t="str">
        <x:v>PRJ-010</x:v>
      </x:c>
      <x:c r="D4011" s="4" t="str">
        <x:v>Apartment</x:v>
      </x:c>
      <x:c r="E4011" s="4" t="str">
        <x:v>Booked</x:v>
      </x:c>
      <x:c r="F4011" s="4" t="str">
        <x:v>CUS-04010</x:v>
      </x:c>
      <x:c r="G4011" s="4" t="str">
        <x:v>UNIT-04010</x:v>
      </x:c>
      <x:c r="H4011" s="9" t="n">
        <x:v>15900000</x:v>
      </x:c>
      <x:c r="I4011" s="10" t="n">
        <x:v>0.02</x:v>
      </x:c>
      <x:c r="J4011" s="11" t="n">
        <x:v>6</x:v>
      </x:c>
      <x:c r="K4011" s="11" t="n">
        <x:v>6</x:v>
      </x:c>
      <x:c r="L4011" s="11" t="n">
        <x:v>1</x:v>
      </x:c>
      <x:c r="M4011" s="9" t="n">
        <x:f>ROUND(H4011*(1-I4011),2)</x:f>
        <x:v>15582000</x:v>
      </x:c>
      <x:c r="N4011" s="4" t="str">
        <x:v>Sales manager</x:v>
      </x:c>
      <x:c r="O4011" s="4" t="str">
        <x:v>BOOK-04010</x:v>
      </x:c>
      <x:c r="P4011" s="9" t="n">
        <x:v>7791000</x:v>
      </x:c>
      <x:c r="Q4011" s="11" t="n">
        <x:v>0</x:v>
      </x:c>
      <x:c r="R4011" s="8" t="n">
        <x:v>45601</x:v>
      </x:c>
      <x:c r="S4011" s="4" t="str">
        <x:v>Retained</x:v>
      </x:c>
      <x:c r="T4011" s="10" t="n">
        <x:v>0.145299</x:v>
      </x:c>
      <x:c r="U4011" s="4" t="str">
        <x:v>Test</x:v>
      </x:c>
    </x:row>
    <x:row r="4012" ht="34" customHeight="1">
      <x:c r="A4012" s="4" t="str">
        <x:v>RS-04011</x:v>
      </x:c>
      <x:c r="B4012" s="8" t="n">
        <x:v>45542</x:v>
      </x:c>
      <x:c r="C4012" s="4" t="str">
        <x:v>PRJ-011</x:v>
      </x:c>
      <x:c r="D4012" s="4" t="str">
        <x:v>Apartment</x:v>
      </x:c>
      <x:c r="E4012" s="4" t="str">
        <x:v>Enquiry</x:v>
      </x:c>
      <x:c r="F4012" s="4" t="str">
        <x:v>CUS-04011</x:v>
      </x:c>
      <x:c r="G4012" s="4" t="str">
        <x:v>UNIT-04011</x:v>
      </x:c>
      <x:c r="H4012" s="9" t="n">
        <x:v>6300000</x:v>
      </x:c>
      <x:c r="I4012" s="10" t="n">
        <x:v>0.05</x:v>
      </x:c>
      <x:c r="J4012" s="11" t="n">
        <x:v>4</x:v>
      </x:c>
      <x:c r="K4012" s="11" t="n">
        <x:v>10</x:v>
      </x:c>
      <x:c r="L4012" s="11" t="n">
        <x:v>1</x:v>
      </x:c>
      <x:c r="M4012" s="9" t="n">
        <x:f>ROUND(H4012*(1-I4012),2)</x:f>
        <x:v>5985000</x:v>
      </x:c>
      <x:c r="N4012" s="4" t="str">
        <x:v>Sales manager</x:v>
      </x:c>
      <x:c r="O4012" s="4"/>
      <x:c r="P4012" s="9" t="n">
        <x:v>0</x:v>
      </x:c>
      <x:c r="Q4012" s="11" t="n">
        <x:v>1</x:v>
      </x:c>
      <x:c r="R4012" s="8" t="n">
        <x:v>45602</x:v>
      </x:c>
      <x:c r="S4012" s="4" t="str">
        <x:v>Lost / cancelled</x:v>
      </x:c>
      <x:c r="T4012" s="10" t="n">
        <x:v>0.291946</x:v>
      </x:c>
      <x:c r="U4012" s="4" t="str">
        <x:v>Test</x:v>
      </x:c>
    </x:row>
    <x:row r="4013" ht="34" customHeight="1">
      <x:c r="A4013" s="4" t="str">
        <x:v>RS-04012</x:v>
      </x:c>
      <x:c r="B4013" s="8" t="n">
        <x:v>45543</x:v>
      </x:c>
      <x:c r="C4013" s="4" t="str">
        <x:v>PRJ-012</x:v>
      </x:c>
      <x:c r="D4013" s="4" t="str">
        <x:v>Apartment</x:v>
      </x:c>
      <x:c r="E4013" s="4" t="str">
        <x:v>Reserved</x:v>
      </x:c>
      <x:c r="F4013" s="4" t="str">
        <x:v>CUS-04012</x:v>
      </x:c>
      <x:c r="G4013" s="4" t="str">
        <x:v>UNIT-04012</x:v>
      </x:c>
      <x:c r="H4013" s="9" t="n">
        <x:v>11500000</x:v>
      </x:c>
      <x:c r="I4013" s="10" t="n">
        <x:v>0.1</x:v>
      </x:c>
      <x:c r="J4013" s="11" t="n">
        <x:v>5</x:v>
      </x:c>
      <x:c r="K4013" s="11" t="n">
        <x:v>8</x:v>
      </x:c>
      <x:c r="L4013" s="11" t="n">
        <x:v>1</x:v>
      </x:c>
      <x:c r="M4013" s="9" t="n">
        <x:f>ROUND(H4013*(1-I4013),2)</x:f>
        <x:v>10350000</x:v>
      </x:c>
      <x:c r="N4013" s="4" t="str">
        <x:v>Sales head</x:v>
      </x:c>
      <x:c r="O4013" s="4"/>
      <x:c r="P4013" s="9" t="n">
        <x:v>0</x:v>
      </x:c>
      <x:c r="Q4013" s="11" t="n">
        <x:v>1</x:v>
      </x:c>
      <x:c r="R4013" s="8" t="n">
        <x:v>45603</x:v>
      </x:c>
      <x:c r="S4013" s="4" t="str">
        <x:v>Lost / cancelled</x:v>
      </x:c>
      <x:c r="T4013" s="10" t="n">
        <x:v>0.291946</x:v>
      </x:c>
      <x:c r="U4013" s="4" t="str">
        <x:v>Test</x:v>
      </x:c>
    </x:row>
    <x:row r="4014" ht="34" customHeight="1">
      <x:c r="A4014" s="4" t="str">
        <x:v>RS-04013</x:v>
      </x:c>
      <x:c r="B4014" s="8" t="n">
        <x:v>45544</x:v>
      </x:c>
      <x:c r="C4014" s="4" t="str">
        <x:v>PRJ-013</x:v>
      </x:c>
      <x:c r="D4014" s="4" t="str">
        <x:v>Retail</x:v>
      </x:c>
      <x:c r="E4014" s="4" t="str">
        <x:v>Handed over</x:v>
      </x:c>
      <x:c r="F4014" s="4" t="str">
        <x:v>CUS-04013</x:v>
      </x:c>
      <x:c r="G4014" s="4" t="str">
        <x:v>UNIT-04013</x:v>
      </x:c>
      <x:c r="H4014" s="9" t="n">
        <x:v>10300000</x:v>
      </x:c>
      <x:c r="I4014" s="10" t="n">
        <x:v>0</x:v>
      </x:c>
      <x:c r="J4014" s="11" t="n">
        <x:v>11</x:v>
      </x:c>
      <x:c r="K4014" s="11" t="n">
        <x:v>5</x:v>
      </x:c>
      <x:c r="L4014" s="11" t="n">
        <x:v>0</x:v>
      </x:c>
      <x:c r="M4014" s="9" t="n">
        <x:f>ROUND(H4014*(1-I4014),2)</x:f>
        <x:v>10300000</x:v>
      </x:c>
      <x:c r="N4014" s="4" t="str">
        <x:v>Sales manager</x:v>
      </x:c>
      <x:c r="O4014" s="4" t="str">
        <x:v>BOOK-04013</x:v>
      </x:c>
      <x:c r="P4014" s="9" t="n">
        <x:v>1030000</x:v>
      </x:c>
      <x:c r="Q4014" s="11" t="n">
        <x:v>0</x:v>
      </x:c>
      <x:c r="R4014" s="8" t="n">
        <x:v>45604</x:v>
      </x:c>
      <x:c r="S4014" s="4" t="str">
        <x:v>Retained</x:v>
      </x:c>
      <x:c r="T4014" s="10" t="n">
        <x:v>0.305556</x:v>
      </x:c>
      <x:c r="U4014" s="4" t="str">
        <x:v>Test</x:v>
      </x:c>
    </x:row>
    <x:row r="4015" ht="34" customHeight="1">
      <x:c r="A4015" s="4" t="str">
        <x:v>RS-04014</x:v>
      </x:c>
      <x:c r="B4015" s="8" t="n">
        <x:v>45545</x:v>
      </x:c>
      <x:c r="C4015" s="4" t="str">
        <x:v>PRJ-014</x:v>
      </x:c>
      <x:c r="D4015" s="4" t="str">
        <x:v>Retail</x:v>
      </x:c>
      <x:c r="E4015" s="4" t="str">
        <x:v>Cancelled</x:v>
      </x:c>
      <x:c r="F4015" s="4" t="str">
        <x:v>CUS-04014</x:v>
      </x:c>
      <x:c r="G4015" s="4" t="str">
        <x:v>UNIT-04014</x:v>
      </x:c>
      <x:c r="H4015" s="9" t="n">
        <x:v>9200000</x:v>
      </x:c>
      <x:c r="I4015" s="10" t="n">
        <x:v>0.1</x:v>
      </x:c>
      <x:c r="J4015" s="11" t="n">
        <x:v>9</x:v>
      </x:c>
      <x:c r="K4015" s="11" t="n">
        <x:v>6</x:v>
      </x:c>
      <x:c r="L4015" s="11" t="n">
        <x:v>0</x:v>
      </x:c>
      <x:c r="M4015" s="9" t="n">
        <x:f>ROUND(H4015*(1-I4015),2)</x:f>
        <x:v>8280000</x:v>
      </x:c>
      <x:c r="N4015" s="4" t="str">
        <x:v>Sales head</x:v>
      </x:c>
      <x:c r="O4015" s="4"/>
      <x:c r="P4015" s="9" t="n">
        <x:v>0</x:v>
      </x:c>
      <x:c r="Q4015" s="11" t="n">
        <x:v>1</x:v>
      </x:c>
      <x:c r="R4015" s="8" t="n">
        <x:v>45605</x:v>
      </x:c>
      <x:c r="S4015" s="4" t="str">
        <x:v>Lost / cancelled</x:v>
      </x:c>
      <x:c r="T4015" s="10" t="n">
        <x:v>0.310195</x:v>
      </x:c>
      <x:c r="U4015" s="4" t="str">
        <x:v>Test</x:v>
      </x:c>
    </x:row>
    <x:row r="4016" ht="34" customHeight="1">
      <x:c r="A4016" s="4" t="str">
        <x:v>RS-04015</x:v>
      </x:c>
      <x:c r="B4016" s="8" t="n">
        <x:v>45546</x:v>
      </x:c>
      <x:c r="C4016" s="4" t="str">
        <x:v>PRJ-015</x:v>
      </x:c>
      <x:c r="D4016" s="4" t="str">
        <x:v>Villa</x:v>
      </x:c>
      <x:c r="E4016" s="4" t="str">
        <x:v>Booked</x:v>
      </x:c>
      <x:c r="F4016" s="4" t="str">
        <x:v>CUS-04015</x:v>
      </x:c>
      <x:c r="G4016" s="4" t="str">
        <x:v>UNIT-04015</x:v>
      </x:c>
      <x:c r="H4016" s="9" t="n">
        <x:v>4100000</x:v>
      </x:c>
      <x:c r="I4016" s="10" t="n">
        <x:v>0.06</x:v>
      </x:c>
      <x:c r="J4016" s="11" t="n">
        <x:v>1</x:v>
      </x:c>
      <x:c r="K4016" s="11" t="n">
        <x:v>6</x:v>
      </x:c>
      <x:c r="L4016" s="11" t="n">
        <x:v>1</x:v>
      </x:c>
      <x:c r="M4016" s="9" t="n">
        <x:f>ROUND(H4016*(1-I4016),2)</x:f>
        <x:v>3854000</x:v>
      </x:c>
      <x:c r="N4016" s="4" t="str">
        <x:v>Sales manager</x:v>
      </x:c>
      <x:c r="O4016" s="4" t="str">
        <x:v>BOOK-04015</x:v>
      </x:c>
      <x:c r="P4016" s="9" t="n">
        <x:v>3854000</x:v>
      </x:c>
      <x:c r="Q4016" s="11" t="n">
        <x:v>0</x:v>
      </x:c>
      <x:c r="R4016" s="8" t="n">
        <x:v>45606</x:v>
      </x:c>
      <x:c r="S4016" s="4" t="str">
        <x:v>Retained</x:v>
      </x:c>
      <x:c r="T4016" s="10" t="n">
        <x:v>0.204152</x:v>
      </x:c>
      <x:c r="U4016" s="4" t="str">
        <x:v>Test</x:v>
      </x:c>
    </x:row>
    <x:row r="4017" ht="34" customHeight="1">
      <x:c r="A4017" s="4" t="str">
        <x:v>RS-04016</x:v>
      </x:c>
      <x:c r="B4017" s="8" t="n">
        <x:v>45547</x:v>
      </x:c>
      <x:c r="C4017" s="4" t="str">
        <x:v>PRJ-016</x:v>
      </x:c>
      <x:c r="D4017" s="4" t="str">
        <x:v>Villa</x:v>
      </x:c>
      <x:c r="E4017" s="4" t="str">
        <x:v>Reserved</x:v>
      </x:c>
      <x:c r="F4017" s="4" t="str">
        <x:v>CUS-04016</x:v>
      </x:c>
      <x:c r="G4017" s="4" t="str">
        <x:v>UNIT-04016</x:v>
      </x:c>
      <x:c r="H4017" s="9" t="n">
        <x:v>22300000</x:v>
      </x:c>
      <x:c r="I4017" s="10" t="n">
        <x:v>0.06</x:v>
      </x:c>
      <x:c r="J4017" s="11" t="n">
        <x:v>4</x:v>
      </x:c>
      <x:c r="K4017" s="11" t="n">
        <x:v>10</x:v>
      </x:c>
      <x:c r="L4017" s="11" t="n">
        <x:v>0</x:v>
      </x:c>
      <x:c r="M4017" s="9" t="n">
        <x:f>ROUND(H4017*(1-I4017),2)</x:f>
        <x:v>20962000</x:v>
      </x:c>
      <x:c r="N4017" s="4" t="str">
        <x:v>Sales manager</x:v>
      </x:c>
      <x:c r="O4017" s="4"/>
      <x:c r="P4017" s="9" t="n">
        <x:v>0</x:v>
      </x:c>
      <x:c r="Q4017" s="11" t="n">
        <x:v>1</x:v>
      </x:c>
      <x:c r="R4017" s="8" t="n">
        <x:v>45607</x:v>
      </x:c>
      <x:c r="S4017" s="4" t="str">
        <x:v>Lost / cancelled</x:v>
      </x:c>
      <x:c r="T4017" s="10" t="n">
        <x:v>0.226277</x:v>
      </x:c>
      <x:c r="U4017" s="4" t="str">
        <x:v>Test</x:v>
      </x:c>
    </x:row>
    <x:row r="4018" ht="34" customHeight="1">
      <x:c r="A4018" s="4" t="str">
        <x:v>RS-04017</x:v>
      </x:c>
      <x:c r="B4018" s="8" t="n">
        <x:v>45548</x:v>
      </x:c>
      <x:c r="C4018" s="4" t="str">
        <x:v>PRJ-017</x:v>
      </x:c>
      <x:c r="D4018" s="4" t="str">
        <x:v>Retail</x:v>
      </x:c>
      <x:c r="E4018" s="4" t="str">
        <x:v>Cancelled</x:v>
      </x:c>
      <x:c r="F4018" s="4" t="str">
        <x:v>CUS-04017</x:v>
      </x:c>
      <x:c r="G4018" s="4" t="str">
        <x:v>UNIT-04017</x:v>
      </x:c>
      <x:c r="H4018" s="9" t="n">
        <x:v>24800000</x:v>
      </x:c>
      <x:c r="I4018" s="10" t="n">
        <x:v>0.11</x:v>
      </x:c>
      <x:c r="J4018" s="11" t="n">
        <x:v>11</x:v>
      </x:c>
      <x:c r="K4018" s="11" t="n">
        <x:v>9</x:v>
      </x:c>
      <x:c r="L4018" s="11" t="n">
        <x:v>1</x:v>
      </x:c>
      <x:c r="M4018" s="9" t="n">
        <x:f>ROUND(H4018*(1-I4018),2)</x:f>
        <x:v>22072000</x:v>
      </x:c>
      <x:c r="N4018" s="4" t="str">
        <x:v>Sales head</x:v>
      </x:c>
      <x:c r="O4018" s="4"/>
      <x:c r="P4018" s="9" t="n">
        <x:v>0</x:v>
      </x:c>
      <x:c r="Q4018" s="11" t="n">
        <x:v>1</x:v>
      </x:c>
      <x:c r="R4018" s="8" t="n">
        <x:v>45608</x:v>
      </x:c>
      <x:c r="S4018" s="4" t="str">
        <x:v>Lost / cancelled</x:v>
      </x:c>
      <x:c r="T4018" s="10" t="n">
        <x:v>0.351536</x:v>
      </x:c>
      <x:c r="U4018" s="4" t="str">
        <x:v>Test</x:v>
      </x:c>
    </x:row>
    <x:row r="4019" ht="34" customHeight="1">
      <x:c r="A4019" s="4" t="str">
        <x:v>RS-04018</x:v>
      </x:c>
      <x:c r="B4019" s="8" t="n">
        <x:v>45549</x:v>
      </x:c>
      <x:c r="C4019" s="4" t="str">
        <x:v>PRJ-018</x:v>
      </x:c>
      <x:c r="D4019" s="4" t="str">
        <x:v>Apartment</x:v>
      </x:c>
      <x:c r="E4019" s="4" t="str">
        <x:v>Booked</x:v>
      </x:c>
      <x:c r="F4019" s="4" t="str">
        <x:v>CUS-04018</x:v>
      </x:c>
      <x:c r="G4019" s="4" t="str">
        <x:v>UNIT-04018</x:v>
      </x:c>
      <x:c r="H4019" s="9" t="n">
        <x:v>13700000</x:v>
      </x:c>
      <x:c r="I4019" s="10" t="n">
        <x:v>0.08</x:v>
      </x:c>
      <x:c r="J4019" s="11" t="n">
        <x:v>5</x:v>
      </x:c>
      <x:c r="K4019" s="11" t="n">
        <x:v>7</x:v>
      </x:c>
      <x:c r="L4019" s="11" t="n">
        <x:v>0</x:v>
      </x:c>
      <x:c r="M4019" s="9" t="n">
        <x:f>ROUND(H4019*(1-I4019),2)</x:f>
        <x:v>12604000</x:v>
      </x:c>
      <x:c r="N4019" s="4" t="str">
        <x:v>Sales head</x:v>
      </x:c>
      <x:c r="O4019" s="4" t="str">
        <x:v>BOOK-04018</x:v>
      </x:c>
      <x:c r="P4019" s="9" t="n">
        <x:v>12604000</x:v>
      </x:c>
      <x:c r="Q4019" s="11" t="n">
        <x:v>0</x:v>
      </x:c>
      <x:c r="R4019" s="8" t="n">
        <x:v>45609</x:v>
      </x:c>
      <x:c r="S4019" s="4" t="str">
        <x:v>Retained</x:v>
      </x:c>
      <x:c r="T4019" s="10" t="n">
        <x:v>0.226277</x:v>
      </x:c>
      <x:c r="U4019" s="4" t="str">
        <x:v>Test</x:v>
      </x:c>
    </x:row>
    <x:row r="4020" ht="34" customHeight="1">
      <x:c r="A4020" s="4" t="str">
        <x:v>RS-04019</x:v>
      </x:c>
      <x:c r="B4020" s="8" t="n">
        <x:v>45550</x:v>
      </x:c>
      <x:c r="C4020" s="4" t="str">
        <x:v>PRJ-019</x:v>
      </x:c>
      <x:c r="D4020" s="4" t="str">
        <x:v>Office</x:v>
      </x:c>
      <x:c r="E4020" s="4" t="str">
        <x:v>Enquiry</x:v>
      </x:c>
      <x:c r="F4020" s="4" t="str">
        <x:v>CUS-04019</x:v>
      </x:c>
      <x:c r="G4020" s="4" t="str">
        <x:v>UNIT-04019</x:v>
      </x:c>
      <x:c r="H4020" s="9" t="n">
        <x:v>18000000</x:v>
      </x:c>
      <x:c r="I4020" s="10" t="n">
        <x:v>0.04</x:v>
      </x:c>
      <x:c r="J4020" s="11" t="n">
        <x:v>1</x:v>
      </x:c>
      <x:c r="K4020" s="11" t="n">
        <x:v>10</x:v>
      </x:c>
      <x:c r="L4020" s="11" t="n">
        <x:v>1</x:v>
      </x:c>
      <x:c r="M4020" s="9" t="n">
        <x:f>ROUND(H4020*(1-I4020),2)</x:f>
        <x:v>17280000</x:v>
      </x:c>
      <x:c r="N4020" s="4" t="str">
        <x:v>Sales manager</x:v>
      </x:c>
      <x:c r="O4020" s="4"/>
      <x:c r="P4020" s="9" t="n">
        <x:v>0</x:v>
      </x:c>
      <x:c r="Q4020" s="11" t="n">
        <x:v>0</x:v>
      </x:c>
      <x:c r="R4020" s="8" t="n">
        <x:v>45610</x:v>
      </x:c>
      <x:c r="S4020" s="4" t="str">
        <x:v>Retained</x:v>
      </x:c>
      <x:c r="T4020" s="10" t="n">
        <x:v>0.204152</x:v>
      </x:c>
      <x:c r="U4020" s="4" t="str">
        <x:v>Test</x:v>
      </x:c>
    </x:row>
    <x:row r="4021" ht="34" customHeight="1">
      <x:c r="A4021" s="4" t="str">
        <x:v>RS-04020</x:v>
      </x:c>
      <x:c r="B4021" s="8" t="n">
        <x:v>45551</x:v>
      </x:c>
      <x:c r="C4021" s="4" t="str">
        <x:v>PRJ-020</x:v>
      </x:c>
      <x:c r="D4021" s="4" t="str">
        <x:v>Apartment</x:v>
      </x:c>
      <x:c r="E4021" s="4" t="str">
        <x:v>Booked</x:v>
      </x:c>
      <x:c r="F4021" s="4" t="str">
        <x:v>CUS-04020</x:v>
      </x:c>
      <x:c r="G4021" s="4" t="str">
        <x:v>UNIT-04020</x:v>
      </x:c>
      <x:c r="H4021" s="9" t="n">
        <x:v>11900000</x:v>
      </x:c>
      <x:c r="I4021" s="10" t="n">
        <x:v>0.03</x:v>
      </x:c>
      <x:c r="J4021" s="11" t="n">
        <x:v>9</x:v>
      </x:c>
      <x:c r="K4021" s="11" t="n">
        <x:v>4</x:v>
      </x:c>
      <x:c r="L4021" s="11" t="n">
        <x:v>0</x:v>
      </x:c>
      <x:c r="M4021" s="9" t="n">
        <x:f>ROUND(H4021*(1-I4021),2)</x:f>
        <x:v>11543000</x:v>
      </x:c>
      <x:c r="N4021" s="4" t="str">
        <x:v>Sales manager</x:v>
      </x:c>
      <x:c r="O4021" s="4" t="str">
        <x:v>BOOK-04020</x:v>
      </x:c>
      <x:c r="P4021" s="9" t="n">
        <x:v>2885750</x:v>
      </x:c>
      <x:c r="Q4021" s="11" t="n">
        <x:v>0</x:v>
      </x:c>
      <x:c r="R4021" s="8" t="n">
        <x:v>45611</x:v>
      </x:c>
      <x:c r="S4021" s="4" t="str">
        <x:v>Retained</x:v>
      </x:c>
      <x:c r="T4021" s="10" t="n">
        <x:v>0.310195</x:v>
      </x:c>
      <x:c r="U4021" s="4" t="str">
        <x:v>Test</x:v>
      </x:c>
    </x:row>
    <x:row r="4022" ht="34" customHeight="1">
      <x:c r="A4022" s="4" t="str">
        <x:v>RS-04021</x:v>
      </x:c>
      <x:c r="B4022" s="8" t="n">
        <x:v>45552</x:v>
      </x:c>
      <x:c r="C4022" s="4" t="str">
        <x:v>PRJ-001</x:v>
      </x:c>
      <x:c r="D4022" s="4" t="str">
        <x:v>Office</x:v>
      </x:c>
      <x:c r="E4022" s="4" t="str">
        <x:v>Handed over</x:v>
      </x:c>
      <x:c r="F4022" s="4" t="str">
        <x:v>CUS-04021</x:v>
      </x:c>
      <x:c r="G4022" s="4" t="str">
        <x:v>UNIT-04021</x:v>
      </x:c>
      <x:c r="H4022" s="9" t="n">
        <x:v>3600000</x:v>
      </x:c>
      <x:c r="I4022" s="10" t="n">
        <x:v>0.11</x:v>
      </x:c>
      <x:c r="J4022" s="11" t="n">
        <x:v>11</x:v>
      </x:c>
      <x:c r="K4022" s="11" t="n">
        <x:v>8</x:v>
      </x:c>
      <x:c r="L4022" s="11" t="n">
        <x:v>1</x:v>
      </x:c>
      <x:c r="M4022" s="9" t="n">
        <x:f>ROUND(H4022*(1-I4022),2)</x:f>
        <x:v>3204000</x:v>
      </x:c>
      <x:c r="N4022" s="4" t="str">
        <x:v>Sales head</x:v>
      </x:c>
      <x:c r="O4022" s="4" t="str">
        <x:v>BOOK-04021</x:v>
      </x:c>
      <x:c r="P4022" s="9" t="n">
        <x:v>1602000</x:v>
      </x:c>
      <x:c r="Q4022" s="11" t="n">
        <x:v>0</x:v>
      </x:c>
      <x:c r="R4022" s="8" t="n">
        <x:v>45612</x:v>
      </x:c>
      <x:c r="S4022" s="4" t="str">
        <x:v>Retained</x:v>
      </x:c>
      <x:c r="T4022" s="10" t="n">
        <x:v>0.351536</x:v>
      </x:c>
      <x:c r="U4022" s="4" t="str">
        <x:v>Test</x:v>
      </x:c>
    </x:row>
    <x:row r="4023" ht="34" customHeight="1">
      <x:c r="A4023" s="4" t="str">
        <x:v>RS-04022</x:v>
      </x:c>
      <x:c r="B4023" s="8" t="n">
        <x:v>45553</x:v>
      </x:c>
      <x:c r="C4023" s="4" t="str">
        <x:v>PRJ-002</x:v>
      </x:c>
      <x:c r="D4023" s="4" t="str">
        <x:v>Office</x:v>
      </x:c>
      <x:c r="E4023" s="4" t="str">
        <x:v>Handed over</x:v>
      </x:c>
      <x:c r="F4023" s="4" t="str">
        <x:v>CUS-04022</x:v>
      </x:c>
      <x:c r="G4023" s="4" t="str">
        <x:v>UNIT-04022</x:v>
      </x:c>
      <x:c r="H4023" s="9" t="n">
        <x:v>14300000</x:v>
      </x:c>
      <x:c r="I4023" s="10" t="n">
        <x:v>0.04</x:v>
      </x:c>
      <x:c r="J4023" s="11" t="n">
        <x:v>12</x:v>
      </x:c>
      <x:c r="K4023" s="11" t="n">
        <x:v>9</x:v>
      </x:c>
      <x:c r="L4023" s="11" t="n">
        <x:v>0</x:v>
      </x:c>
      <x:c r="M4023" s="9" t="n">
        <x:f>ROUND(H4023*(1-I4023),2)</x:f>
        <x:v>13728000</x:v>
      </x:c>
      <x:c r="N4023" s="4" t="str">
        <x:v>Sales manager</x:v>
      </x:c>
      <x:c r="O4023" s="4" t="str">
        <x:v>BOOK-04022</x:v>
      </x:c>
      <x:c r="P4023" s="9" t="n">
        <x:v>3432000</x:v>
      </x:c>
      <x:c r="Q4023" s="11" t="n">
        <x:v>0</x:v>
      </x:c>
      <x:c r="R4023" s="8" t="n">
        <x:v>45613</x:v>
      </x:c>
      <x:c r="S4023" s="4" t="str">
        <x:v>Retained</x:v>
      </x:c>
      <x:c r="T4023" s="10" t="n">
        <x:v>0.351536</x:v>
      </x:c>
      <x:c r="U4023" s="4" t="str">
        <x:v>Test</x:v>
      </x:c>
    </x:row>
    <x:row r="4024" ht="34" customHeight="1">
      <x:c r="A4024" s="4" t="str">
        <x:v>RS-04023</x:v>
      </x:c>
      <x:c r="B4024" s="8" t="n">
        <x:v>45554</x:v>
      </x:c>
      <x:c r="C4024" s="4" t="str">
        <x:v>PRJ-003</x:v>
      </x:c>
      <x:c r="D4024" s="4" t="str">
        <x:v>Apartment</x:v>
      </x:c>
      <x:c r="E4024" s="4" t="str">
        <x:v>Reserved</x:v>
      </x:c>
      <x:c r="F4024" s="4" t="str">
        <x:v>CUS-04023</x:v>
      </x:c>
      <x:c r="G4024" s="4" t="str">
        <x:v>UNIT-04023</x:v>
      </x:c>
      <x:c r="H4024" s="9" t="n">
        <x:v>12000000</x:v>
      </x:c>
      <x:c r="I4024" s="10" t="n">
        <x:v>0.08</x:v>
      </x:c>
      <x:c r="J4024" s="11" t="n">
        <x:v>6</x:v>
      </x:c>
      <x:c r="K4024" s="11" t="n">
        <x:v>3</x:v>
      </x:c>
      <x:c r="L4024" s="11" t="n">
        <x:v>1</x:v>
      </x:c>
      <x:c r="M4024" s="9" t="n">
        <x:f>ROUND(H4024*(1-I4024),2)</x:f>
        <x:v>11040000</x:v>
      </x:c>
      <x:c r="N4024" s="4" t="str">
        <x:v>Sales head</x:v>
      </x:c>
      <x:c r="O4024" s="4"/>
      <x:c r="P4024" s="9" t="n">
        <x:v>0</x:v>
      </x:c>
      <x:c r="Q4024" s="11" t="n">
        <x:v>1</x:v>
      </x:c>
      <x:c r="R4024" s="8" t="n">
        <x:v>45614</x:v>
      </x:c>
      <x:c r="S4024" s="4" t="str">
        <x:v>Lost / cancelled</x:v>
      </x:c>
      <x:c r="T4024" s="10" t="n">
        <x:v>0.291946</x:v>
      </x:c>
      <x:c r="U4024" s="4" t="str">
        <x:v>Test</x:v>
      </x:c>
    </x:row>
    <x:row r="4025" ht="34" customHeight="1">
      <x:c r="A4025" s="4" t="str">
        <x:v>RS-04024</x:v>
      </x:c>
      <x:c r="B4025" s="8" t="n">
        <x:v>45555</x:v>
      </x:c>
      <x:c r="C4025" s="4" t="str">
        <x:v>PRJ-004</x:v>
      </x:c>
      <x:c r="D4025" s="4" t="str">
        <x:v>Apartment</x:v>
      </x:c>
      <x:c r="E4025" s="4" t="str">
        <x:v>Cancelled</x:v>
      </x:c>
      <x:c r="F4025" s="4" t="str">
        <x:v>CUS-04024</x:v>
      </x:c>
      <x:c r="G4025" s="4" t="str">
        <x:v>UNIT-04024</x:v>
      </x:c>
      <x:c r="H4025" s="9" t="n">
        <x:v>6000000</x:v>
      </x:c>
      <x:c r="I4025" s="10" t="n">
        <x:v>0.08</x:v>
      </x:c>
      <x:c r="J4025" s="11" t="n">
        <x:v>1</x:v>
      </x:c>
      <x:c r="K4025" s="11" t="n">
        <x:v>9</x:v>
      </x:c>
      <x:c r="L4025" s="11" t="n">
        <x:v>1</x:v>
      </x:c>
      <x:c r="M4025" s="9" t="n">
        <x:f>ROUND(H4025*(1-I4025),2)</x:f>
        <x:v>5520000</x:v>
      </x:c>
      <x:c r="N4025" s="4" t="str">
        <x:v>Sales head</x:v>
      </x:c>
      <x:c r="O4025" s="4"/>
      <x:c r="P4025" s="9" t="n">
        <x:v>0</x:v>
      </x:c>
      <x:c r="Q4025" s="11" t="n">
        <x:v>1</x:v>
      </x:c>
      <x:c r="R4025" s="8" t="n">
        <x:v>45615</x:v>
      </x:c>
      <x:c r="S4025" s="4" t="str">
        <x:v>Lost / cancelled</x:v>
      </x:c>
      <x:c r="T4025" s="10" t="n">
        <x:v>0.204152</x:v>
      </x:c>
      <x:c r="U4025" s="4" t="str">
        <x:v>Test</x:v>
      </x:c>
    </x:row>
    <x:row r="4026" ht="34" customHeight="1">
      <x:c r="A4026" s="4" t="str">
        <x:v>RS-04025</x:v>
      </x:c>
      <x:c r="B4026" s="8" t="n">
        <x:v>45556</x:v>
      </x:c>
      <x:c r="C4026" s="4" t="str">
        <x:v>PRJ-005</x:v>
      </x:c>
      <x:c r="D4026" s="4" t="str">
        <x:v>Office</x:v>
      </x:c>
      <x:c r="E4026" s="4" t="str">
        <x:v>Cancelled</x:v>
      </x:c>
      <x:c r="F4026" s="4" t="str">
        <x:v>CUS-04025</x:v>
      </x:c>
      <x:c r="G4026" s="4" t="str">
        <x:v>UNIT-04025</x:v>
      </x:c>
      <x:c r="H4026" s="9" t="n">
        <x:v>5800000</x:v>
      </x:c>
      <x:c r="I4026" s="10" t="n">
        <x:v>0.11</x:v>
      </x:c>
      <x:c r="J4026" s="11" t="n">
        <x:v>8</x:v>
      </x:c>
      <x:c r="K4026" s="11" t="n">
        <x:v>2</x:v>
      </x:c>
      <x:c r="L4026" s="11" t="n">
        <x:v>1</x:v>
      </x:c>
      <x:c r="M4026" s="9" t="n">
        <x:f>ROUND(H4026*(1-I4026),2)</x:f>
        <x:v>5162000</x:v>
      </x:c>
      <x:c r="N4026" s="4" t="str">
        <x:v>Sales head</x:v>
      </x:c>
      <x:c r="O4026" s="4"/>
      <x:c r="P4026" s="9" t="n">
        <x:v>0</x:v>
      </x:c>
      <x:c r="Q4026" s="11" t="n">
        <x:v>1</x:v>
      </x:c>
      <x:c r="R4026" s="8" t="n">
        <x:v>45616</x:v>
      </x:c>
      <x:c r="S4026" s="4" t="str">
        <x:v>Lost / cancelled</x:v>
      </x:c>
      <x:c r="T4026" s="10" t="n">
        <x:v>0.310195</x:v>
      </x:c>
      <x:c r="U4026" s="4" t="str">
        <x:v>Test</x:v>
      </x:c>
    </x:row>
    <x:row r="4027" ht="34" customHeight="1">
      <x:c r="A4027" s="4" t="str">
        <x:v>RS-04026</x:v>
      </x:c>
      <x:c r="B4027" s="8" t="n">
        <x:v>45557</x:v>
      </x:c>
      <x:c r="C4027" s="4" t="str">
        <x:v>PRJ-006</x:v>
      </x:c>
      <x:c r="D4027" s="4" t="str">
        <x:v>Apartment</x:v>
      </x:c>
      <x:c r="E4027" s="4" t="str">
        <x:v>Booked</x:v>
      </x:c>
      <x:c r="F4027" s="4" t="str">
        <x:v>CUS-04026</x:v>
      </x:c>
      <x:c r="G4027" s="4" t="str">
        <x:v>UNIT-04026</x:v>
      </x:c>
      <x:c r="H4027" s="9" t="n">
        <x:v>4600000</x:v>
      </x:c>
      <x:c r="I4027" s="10" t="n">
        <x:v>0.12</x:v>
      </x:c>
      <x:c r="J4027" s="11" t="n">
        <x:v>6</x:v>
      </x:c>
      <x:c r="K4027" s="11" t="n">
        <x:v>1</x:v>
      </x:c>
      <x:c r="L4027" s="11" t="n">
        <x:v>1</x:v>
      </x:c>
      <x:c r="M4027" s="9" t="n">
        <x:f>ROUND(H4027*(1-I4027),2)</x:f>
        <x:v>4048000</x:v>
      </x:c>
      <x:c r="N4027" s="4" t="str">
        <x:v>Sales head</x:v>
      </x:c>
      <x:c r="O4027" s="4" t="str">
        <x:v>BOOK-04026</x:v>
      </x:c>
      <x:c r="P4027" s="9" t="n">
        <x:v>4048000</x:v>
      </x:c>
      <x:c r="Q4027" s="11" t="n">
        <x:v>0</x:v>
      </x:c>
      <x:c r="R4027" s="8" t="n">
        <x:v>45617</x:v>
      </x:c>
      <x:c r="S4027" s="4" t="str">
        <x:v>Retained</x:v>
      </x:c>
      <x:c r="T4027" s="10" t="n">
        <x:v>0.291946</x:v>
      </x:c>
      <x:c r="U4027" s="4" t="str">
        <x:v>Test</x:v>
      </x:c>
    </x:row>
    <x:row r="4028" ht="34" customHeight="1">
      <x:c r="A4028" s="4" t="str">
        <x:v>RS-04027</x:v>
      </x:c>
      <x:c r="B4028" s="8" t="n">
        <x:v>45558</x:v>
      </x:c>
      <x:c r="C4028" s="4" t="str">
        <x:v>PRJ-007</x:v>
      </x:c>
      <x:c r="D4028" s="4" t="str">
        <x:v>Office</x:v>
      </x:c>
      <x:c r="E4028" s="4" t="str">
        <x:v>Handed over</x:v>
      </x:c>
      <x:c r="F4028" s="4" t="str">
        <x:v>CUS-04027</x:v>
      </x:c>
      <x:c r="G4028" s="4" t="str">
        <x:v>UNIT-04027</x:v>
      </x:c>
      <x:c r="H4028" s="9" t="n">
        <x:v>7300000</x:v>
      </x:c>
      <x:c r="I4028" s="10" t="n">
        <x:v>0.04</x:v>
      </x:c>
      <x:c r="J4028" s="11" t="n">
        <x:v>8</x:v>
      </x:c>
      <x:c r="K4028" s="11" t="n">
        <x:v>5</x:v>
      </x:c>
      <x:c r="L4028" s="11" t="n">
        <x:v>0</x:v>
      </x:c>
      <x:c r="M4028" s="9" t="n">
        <x:f>ROUND(H4028*(1-I4028),2)</x:f>
        <x:v>7008000</x:v>
      </x:c>
      <x:c r="N4028" s="4" t="str">
        <x:v>Sales manager</x:v>
      </x:c>
      <x:c r="O4028" s="4" t="str">
        <x:v>BOOK-04027</x:v>
      </x:c>
      <x:c r="P4028" s="9" t="n">
        <x:v>3504000</x:v>
      </x:c>
      <x:c r="Q4028" s="11" t="n">
        <x:v>0</x:v>
      </x:c>
      <x:c r="R4028" s="8" t="n">
        <x:v>45618</x:v>
      </x:c>
      <x:c r="S4028" s="4" t="str">
        <x:v>Retained</x:v>
      </x:c>
      <x:c r="T4028" s="10" t="n">
        <x:v>0.310195</x:v>
      </x:c>
      <x:c r="U4028" s="4" t="str">
        <x:v>Test</x:v>
      </x:c>
    </x:row>
    <x:row r="4029" ht="34" customHeight="1">
      <x:c r="A4029" s="4" t="str">
        <x:v>RS-04028</x:v>
      </x:c>
      <x:c r="B4029" s="8" t="n">
        <x:v>45559</x:v>
      </x:c>
      <x:c r="C4029" s="4" t="str">
        <x:v>PRJ-008</x:v>
      </x:c>
      <x:c r="D4029" s="4" t="str">
        <x:v>Villa</x:v>
      </x:c>
      <x:c r="E4029" s="4" t="str">
        <x:v>Enquiry</x:v>
      </x:c>
      <x:c r="F4029" s="4" t="str">
        <x:v>CUS-04028</x:v>
      </x:c>
      <x:c r="G4029" s="4" t="str">
        <x:v>UNIT-04028</x:v>
      </x:c>
      <x:c r="H4029" s="9" t="n">
        <x:v>24200000</x:v>
      </x:c>
      <x:c r="I4029" s="10" t="n">
        <x:v>0.06</x:v>
      </x:c>
      <x:c r="J4029" s="11" t="n">
        <x:v>7</x:v>
      </x:c>
      <x:c r="K4029" s="11" t="n">
        <x:v>2</x:v>
      </x:c>
      <x:c r="L4029" s="11" t="n">
        <x:v>0</x:v>
      </x:c>
      <x:c r="M4029" s="9" t="n">
        <x:f>ROUND(H4029*(1-I4029),2)</x:f>
        <x:v>22748000</x:v>
      </x:c>
      <x:c r="N4029" s="4" t="str">
        <x:v>Sales manager</x:v>
      </x:c>
      <x:c r="O4029" s="4"/>
      <x:c r="P4029" s="9" t="n">
        <x:v>0</x:v>
      </x:c>
      <x:c r="Q4029" s="11" t="n">
        <x:v>0</x:v>
      </x:c>
      <x:c r="R4029" s="8" t="n">
        <x:v>45619</x:v>
      </x:c>
      <x:c r="S4029" s="4" t="str">
        <x:v>Retained</x:v>
      </x:c>
      <x:c r="T4029" s="10" t="n">
        <x:v>0.226277</x:v>
      </x:c>
      <x:c r="U4029" s="4" t="str">
        <x:v>Test</x:v>
      </x:c>
    </x:row>
    <x:row r="4030" ht="34" customHeight="1">
      <x:c r="A4030" s="4" t="str">
        <x:v>RS-04029</x:v>
      </x:c>
      <x:c r="B4030" s="8" t="n">
        <x:v>45560</x:v>
      </x:c>
      <x:c r="C4030" s="4" t="str">
        <x:v>PRJ-009</x:v>
      </x:c>
      <x:c r="D4030" s="4" t="str">
        <x:v>Apartment</x:v>
      </x:c>
      <x:c r="E4030" s="4" t="str">
        <x:v>Reserved</x:v>
      </x:c>
      <x:c r="F4030" s="4" t="str">
        <x:v>CUS-04029</x:v>
      </x:c>
      <x:c r="G4030" s="4" t="str">
        <x:v>UNIT-04029</x:v>
      </x:c>
      <x:c r="H4030" s="9" t="n">
        <x:v>24900000</x:v>
      </x:c>
      <x:c r="I4030" s="10" t="n">
        <x:v>0.1</x:v>
      </x:c>
      <x:c r="J4030" s="11" t="n">
        <x:v>1</x:v>
      </x:c>
      <x:c r="K4030" s="11" t="n">
        <x:v>2</x:v>
      </x:c>
      <x:c r="L4030" s="11" t="n">
        <x:v>0</x:v>
      </x:c>
      <x:c r="M4030" s="9" t="n">
        <x:f>ROUND(H4030*(1-I4030),2)</x:f>
        <x:v>22410000</x:v>
      </x:c>
      <x:c r="N4030" s="4" t="str">
        <x:v>Sales head</x:v>
      </x:c>
      <x:c r="O4030" s="4"/>
      <x:c r="P4030" s="9" t="n">
        <x:v>0</x:v>
      </x:c>
      <x:c r="Q4030" s="11" t="n">
        <x:v>0</x:v>
      </x:c>
      <x:c r="R4030" s="8" t="n">
        <x:v>45620</x:v>
      </x:c>
      <x:c r="S4030" s="4" t="str">
        <x:v>Retained</x:v>
      </x:c>
      <x:c r="T4030" s="10" t="n">
        <x:v>0.145833</x:v>
      </x:c>
      <x:c r="U4030" s="4" t="str">
        <x:v>Test</x:v>
      </x:c>
    </x:row>
    <x:row r="4031" ht="34" customHeight="1">
      <x:c r="A4031" s="4" t="str">
        <x:v>RS-04030</x:v>
      </x:c>
      <x:c r="B4031" s="8" t="n">
        <x:v>45561</x:v>
      </x:c>
      <x:c r="C4031" s="4" t="str">
        <x:v>PRJ-010</x:v>
      </x:c>
      <x:c r="D4031" s="4" t="str">
        <x:v>Retail</x:v>
      </x:c>
      <x:c r="E4031" s="4" t="str">
        <x:v>Agreement signed</x:v>
      </x:c>
      <x:c r="F4031" s="4" t="str">
        <x:v>CUS-04030</x:v>
      </x:c>
      <x:c r="G4031" s="4" t="str">
        <x:v>UNIT-04030</x:v>
      </x:c>
      <x:c r="H4031" s="9" t="n">
        <x:v>11900000</x:v>
      </x:c>
      <x:c r="I4031" s="10" t="n">
        <x:v>0.04</x:v>
      </x:c>
      <x:c r="J4031" s="11" t="n">
        <x:v>2</x:v>
      </x:c>
      <x:c r="K4031" s="11" t="n">
        <x:v>1</x:v>
      </x:c>
      <x:c r="L4031" s="11" t="n">
        <x:v>1</x:v>
      </x:c>
      <x:c r="M4031" s="9" t="n">
        <x:f>ROUND(H4031*(1-I4031),2)</x:f>
        <x:v>11424000</x:v>
      </x:c>
      <x:c r="N4031" s="4" t="str">
        <x:v>Sales manager</x:v>
      </x:c>
      <x:c r="O4031" s="4" t="str">
        <x:v>BOOK-04030</x:v>
      </x:c>
      <x:c r="P4031" s="9" t="n">
        <x:v>2856000</x:v>
      </x:c>
      <x:c r="Q4031" s="11" t="n">
        <x:v>0</x:v>
      </x:c>
      <x:c r="R4031" s="8" t="n">
        <x:v>45621</x:v>
      </x:c>
      <x:c r="S4031" s="4" t="str">
        <x:v>Retained</x:v>
      </x:c>
      <x:c r="T4031" s="10" t="n">
        <x:v>0.204152</x:v>
      </x:c>
      <x:c r="U4031" s="4" t="str">
        <x:v>Test</x:v>
      </x:c>
    </x:row>
    <x:row r="4032" ht="34" customHeight="1">
      <x:c r="A4032" s="4" t="str">
        <x:v>RS-04031</x:v>
      </x:c>
      <x:c r="B4032" s="8" t="n">
        <x:v>45562</x:v>
      </x:c>
      <x:c r="C4032" s="4" t="str">
        <x:v>PRJ-011</x:v>
      </x:c>
      <x:c r="D4032" s="4" t="str">
        <x:v>Villa</x:v>
      </x:c>
      <x:c r="E4032" s="4" t="str">
        <x:v>Enquiry</x:v>
      </x:c>
      <x:c r="F4032" s="4" t="str">
        <x:v>CUS-04031</x:v>
      </x:c>
      <x:c r="G4032" s="4" t="str">
        <x:v>UNIT-04031</x:v>
      </x:c>
      <x:c r="H4032" s="9" t="n">
        <x:v>21800000</x:v>
      </x:c>
      <x:c r="I4032" s="10" t="n">
        <x:v>0.07</x:v>
      </x:c>
      <x:c r="J4032" s="11" t="n">
        <x:v>0</x:v>
      </x:c>
      <x:c r="K4032" s="11" t="n">
        <x:v>3</x:v>
      </x:c>
      <x:c r="L4032" s="11" t="n">
        <x:v>0</x:v>
      </x:c>
      <x:c r="M4032" s="9" t="n">
        <x:f>ROUND(H4032*(1-I4032),2)</x:f>
        <x:v>20274000</x:v>
      </x:c>
      <x:c r="N4032" s="4" t="str">
        <x:v>Sales manager</x:v>
      </x:c>
      <x:c r="O4032" s="4"/>
      <x:c r="P4032" s="9" t="n">
        <x:v>0</x:v>
      </x:c>
      <x:c r="Q4032" s="11" t="n">
        <x:v>1</x:v>
      </x:c>
      <x:c r="R4032" s="8" t="n">
        <x:v>45622</x:v>
      </x:c>
      <x:c r="S4032" s="4" t="str">
        <x:v>Lost / cancelled</x:v>
      </x:c>
      <x:c r="T4032" s="10" t="n">
        <x:v>0.204152</x:v>
      </x:c>
      <x:c r="U4032" s="4" t="str">
        <x:v>Test</x:v>
      </x:c>
    </x:row>
    <x:row r="4033" ht="34" customHeight="1">
      <x:c r="A4033" s="4" t="str">
        <x:v>RS-04032</x:v>
      </x:c>
      <x:c r="B4033" s="8" t="n">
        <x:v>45563</x:v>
      </x:c>
      <x:c r="C4033" s="4" t="str">
        <x:v>PRJ-012</x:v>
      </x:c>
      <x:c r="D4033" s="4" t="str">
        <x:v>Office</x:v>
      </x:c>
      <x:c r="E4033" s="4" t="str">
        <x:v>Handed over</x:v>
      </x:c>
      <x:c r="F4033" s="4" t="str">
        <x:v>CUS-04032</x:v>
      </x:c>
      <x:c r="G4033" s="4" t="str">
        <x:v>UNIT-04032</x:v>
      </x:c>
      <x:c r="H4033" s="9" t="n">
        <x:v>8600000</x:v>
      </x:c>
      <x:c r="I4033" s="10" t="n">
        <x:v>0.12</x:v>
      </x:c>
      <x:c r="J4033" s="11" t="n">
        <x:v>11</x:v>
      </x:c>
      <x:c r="K4033" s="11" t="n">
        <x:v>10</x:v>
      </x:c>
      <x:c r="L4033" s="11" t="n">
        <x:v>0</x:v>
      </x:c>
      <x:c r="M4033" s="9" t="n">
        <x:f>ROUND(H4033*(1-I4033),2)</x:f>
        <x:v>7568000</x:v>
      </x:c>
      <x:c r="N4033" s="4" t="str">
        <x:v>Sales head</x:v>
      </x:c>
      <x:c r="O4033" s="4" t="str">
        <x:v>BOOK-04032</x:v>
      </x:c>
      <x:c r="P4033" s="9" t="n">
        <x:v>7568000</x:v>
      </x:c>
      <x:c r="Q4033" s="11" t="n">
        <x:v>0</x:v>
      </x:c>
      <x:c r="R4033" s="8" t="n">
        <x:v>45623</x:v>
      </x:c>
      <x:c r="S4033" s="4" t="str">
        <x:v>Retained</x:v>
      </x:c>
      <x:c r="T4033" s="10" t="n">
        <x:v>0.351536</x:v>
      </x:c>
      <x:c r="U4033" s="4" t="str">
        <x:v>Test</x:v>
      </x:c>
    </x:row>
    <x:row r="4034" ht="34" customHeight="1">
      <x:c r="A4034" s="4" t="str">
        <x:v>RS-04033</x:v>
      </x:c>
      <x:c r="B4034" s="8" t="n">
        <x:v>45536</x:v>
      </x:c>
      <x:c r="C4034" s="4" t="str">
        <x:v>PRJ-013</x:v>
      </x:c>
      <x:c r="D4034" s="4" t="str">
        <x:v>Apartment</x:v>
      </x:c>
      <x:c r="E4034" s="4" t="str">
        <x:v>Reserved</x:v>
      </x:c>
      <x:c r="F4034" s="4" t="str">
        <x:v>CUS-04033</x:v>
      </x:c>
      <x:c r="G4034" s="4" t="str">
        <x:v>UNIT-04033</x:v>
      </x:c>
      <x:c r="H4034" s="9" t="n">
        <x:v>21700000</x:v>
      </x:c>
      <x:c r="I4034" s="10" t="n">
        <x:v>0.04</x:v>
      </x:c>
      <x:c r="J4034" s="11" t="n">
        <x:v>8</x:v>
      </x:c>
      <x:c r="K4034" s="11" t="n">
        <x:v>0</x:v>
      </x:c>
      <x:c r="L4034" s="11" t="n">
        <x:v>1</x:v>
      </x:c>
      <x:c r="M4034" s="9" t="n">
        <x:f>ROUND(H4034*(1-I4034),2)</x:f>
        <x:v>20832000</x:v>
      </x:c>
      <x:c r="N4034" s="4" t="str">
        <x:v>Sales manager</x:v>
      </x:c>
      <x:c r="O4034" s="4"/>
      <x:c r="P4034" s="9" t="n">
        <x:v>0</x:v>
      </x:c>
      <x:c r="Q4034" s="11" t="n">
        <x:v>0</x:v>
      </x:c>
      <x:c r="R4034" s="8" t="n">
        <x:v>45596</x:v>
      </x:c>
      <x:c r="S4034" s="4" t="str">
        <x:v>Retained</x:v>
      </x:c>
      <x:c r="T4034" s="10" t="n">
        <x:v>0.310195</x:v>
      </x:c>
      <x:c r="U4034" s="4" t="str">
        <x:v>Test</x:v>
      </x:c>
    </x:row>
    <x:row r="4035" ht="34" customHeight="1">
      <x:c r="A4035" s="4" t="str">
        <x:v>RS-04034</x:v>
      </x:c>
      <x:c r="B4035" s="8" t="n">
        <x:v>45537</x:v>
      </x:c>
      <x:c r="C4035" s="4" t="str">
        <x:v>PRJ-014</x:v>
      </x:c>
      <x:c r="D4035" s="4" t="str">
        <x:v>Office</x:v>
      </x:c>
      <x:c r="E4035" s="4" t="str">
        <x:v>Booked</x:v>
      </x:c>
      <x:c r="F4035" s="4" t="str">
        <x:v>CUS-04034</x:v>
      </x:c>
      <x:c r="G4035" s="4" t="str">
        <x:v>UNIT-04034</x:v>
      </x:c>
      <x:c r="H4035" s="9" t="n">
        <x:v>19800000</x:v>
      </x:c>
      <x:c r="I4035" s="10" t="n">
        <x:v>0.04</x:v>
      </x:c>
      <x:c r="J4035" s="11" t="n">
        <x:v>1</x:v>
      </x:c>
      <x:c r="K4035" s="11" t="n">
        <x:v>2</x:v>
      </x:c>
      <x:c r="L4035" s="11" t="n">
        <x:v>1</x:v>
      </x:c>
      <x:c r="M4035" s="9" t="n">
        <x:f>ROUND(H4035*(1-I4035),2)</x:f>
        <x:v>19008000</x:v>
      </x:c>
      <x:c r="N4035" s="4" t="str">
        <x:v>Sales manager</x:v>
      </x:c>
      <x:c r="O4035" s="4" t="str">
        <x:v>BOOK-04034</x:v>
      </x:c>
      <x:c r="P4035" s="9" t="n">
        <x:v>9504000</x:v>
      </x:c>
      <x:c r="Q4035" s="11" t="n">
        <x:v>0</x:v>
      </x:c>
      <x:c r="R4035" s="8" t="n">
        <x:v>45597</x:v>
      </x:c>
      <x:c r="S4035" s="4" t="str">
        <x:v>Retained</x:v>
      </x:c>
      <x:c r="T4035" s="10" t="n">
        <x:v>0.204152</x:v>
      </x:c>
      <x:c r="U4035" s="4" t="str">
        <x:v>Test</x:v>
      </x:c>
    </x:row>
    <x:row r="4036" ht="34" customHeight="1">
      <x:c r="A4036" s="4" t="str">
        <x:v>RS-04035</x:v>
      </x:c>
      <x:c r="B4036" s="8" t="n">
        <x:v>45538</x:v>
      </x:c>
      <x:c r="C4036" s="4" t="str">
        <x:v>PRJ-015</x:v>
      </x:c>
      <x:c r="D4036" s="4" t="str">
        <x:v>Apartment</x:v>
      </x:c>
      <x:c r="E4036" s="4" t="str">
        <x:v>Enquiry</x:v>
      </x:c>
      <x:c r="F4036" s="4" t="str">
        <x:v>CUS-04035</x:v>
      </x:c>
      <x:c r="G4036" s="4" t="str">
        <x:v>UNIT-04035</x:v>
      </x:c>
      <x:c r="H4036" s="9" t="n">
        <x:v>6400000</x:v>
      </x:c>
      <x:c r="I4036" s="10" t="n">
        <x:v>0.11</x:v>
      </x:c>
      <x:c r="J4036" s="11" t="n">
        <x:v>12</x:v>
      </x:c>
      <x:c r="K4036" s="11" t="n">
        <x:v>7</x:v>
      </x:c>
      <x:c r="L4036" s="11" t="n">
        <x:v>0</x:v>
      </x:c>
      <x:c r="M4036" s="9" t="n">
        <x:f>ROUND(H4036*(1-I4036),2)</x:f>
        <x:v>5696000</x:v>
      </x:c>
      <x:c r="N4036" s="4" t="str">
        <x:v>Sales head</x:v>
      </x:c>
      <x:c r="O4036" s="4"/>
      <x:c r="P4036" s="9" t="n">
        <x:v>0</x:v>
      </x:c>
      <x:c r="Q4036" s="11" t="n">
        <x:v>1</x:v>
      </x:c>
      <x:c r="R4036" s="8" t="n">
        <x:v>45598</x:v>
      </x:c>
      <x:c r="S4036" s="4" t="str">
        <x:v>Lost / cancelled</x:v>
      </x:c>
      <x:c r="T4036" s="10" t="n">
        <x:v>0.351536</x:v>
      </x:c>
      <x:c r="U4036" s="4" t="str">
        <x:v>Test</x:v>
      </x:c>
    </x:row>
    <x:row r="4037" ht="34" customHeight="1">
      <x:c r="A4037" s="4" t="str">
        <x:v>RS-04036</x:v>
      </x:c>
      <x:c r="B4037" s="8" t="n">
        <x:v>45539</x:v>
      </x:c>
      <x:c r="C4037" s="4" t="str">
        <x:v>PRJ-016</x:v>
      </x:c>
      <x:c r="D4037" s="4" t="str">
        <x:v>Apartment</x:v>
      </x:c>
      <x:c r="E4037" s="4" t="str">
        <x:v>Cancelled</x:v>
      </x:c>
      <x:c r="F4037" s="4" t="str">
        <x:v>CUS-04036</x:v>
      </x:c>
      <x:c r="G4037" s="4" t="str">
        <x:v>UNIT-04036</x:v>
      </x:c>
      <x:c r="H4037" s="9" t="n">
        <x:v>5900000</x:v>
      </x:c>
      <x:c r="I4037" s="10" t="n">
        <x:v>0.12</x:v>
      </x:c>
      <x:c r="J4037" s="11" t="n">
        <x:v>12</x:v>
      </x:c>
      <x:c r="K4037" s="11" t="n">
        <x:v>0</x:v>
      </x:c>
      <x:c r="L4037" s="11" t="n">
        <x:v>1</x:v>
      </x:c>
      <x:c r="M4037" s="9" t="n">
        <x:f>ROUND(H4037*(1-I4037),2)</x:f>
        <x:v>5192000</x:v>
      </x:c>
      <x:c r="N4037" s="4" t="str">
        <x:v>Sales head</x:v>
      </x:c>
      <x:c r="O4037" s="4"/>
      <x:c r="P4037" s="9" t="n">
        <x:v>0</x:v>
      </x:c>
      <x:c r="Q4037" s="11" t="n">
        <x:v>1</x:v>
      </x:c>
      <x:c r="R4037" s="8" t="n">
        <x:v>45599</x:v>
      </x:c>
      <x:c r="S4037" s="4" t="str">
        <x:v>Lost / cancelled</x:v>
      </x:c>
      <x:c r="T4037" s="10" t="n">
        <x:v>0.351536</x:v>
      </x:c>
      <x:c r="U4037" s="4" t="str">
        <x:v>Test</x:v>
      </x:c>
    </x:row>
    <x:row r="4038" ht="34" customHeight="1">
      <x:c r="A4038" s="4" t="str">
        <x:v>RS-04037</x:v>
      </x:c>
      <x:c r="B4038" s="8" t="n">
        <x:v>45540</x:v>
      </x:c>
      <x:c r="C4038" s="4" t="str">
        <x:v>PRJ-017</x:v>
      </x:c>
      <x:c r="D4038" s="4" t="str">
        <x:v>Apartment</x:v>
      </x:c>
      <x:c r="E4038" s="4" t="str">
        <x:v>Handed over</x:v>
      </x:c>
      <x:c r="F4038" s="4" t="str">
        <x:v>CUS-04037</x:v>
      </x:c>
      <x:c r="G4038" s="4" t="str">
        <x:v>UNIT-04037</x:v>
      </x:c>
      <x:c r="H4038" s="9" t="n">
        <x:v>6000000</x:v>
      </x:c>
      <x:c r="I4038" s="10" t="n">
        <x:v>0.05</x:v>
      </x:c>
      <x:c r="J4038" s="11" t="n">
        <x:v>2</x:v>
      </x:c>
      <x:c r="K4038" s="11" t="n">
        <x:v>10</x:v>
      </x:c>
      <x:c r="L4038" s="11" t="n">
        <x:v>0</x:v>
      </x:c>
      <x:c r="M4038" s="9" t="n">
        <x:f>ROUND(H4038*(1-I4038),2)</x:f>
        <x:v>5700000</x:v>
      </x:c>
      <x:c r="N4038" s="4" t="str">
        <x:v>Sales manager</x:v>
      </x:c>
      <x:c r="O4038" s="4" t="str">
        <x:v>BOOK-04037</x:v>
      </x:c>
      <x:c r="P4038" s="9" t="n">
        <x:v>5700000</x:v>
      </x:c>
      <x:c r="Q4038" s="11" t="n">
        <x:v>0</x:v>
      </x:c>
      <x:c r="R4038" s="8" t="n">
        <x:v>45600</x:v>
      </x:c>
      <x:c r="S4038" s="4" t="str">
        <x:v>Retained</x:v>
      </x:c>
      <x:c r="T4038" s="10" t="n">
        <x:v>0.204152</x:v>
      </x:c>
      <x:c r="U4038" s="4" t="str">
        <x:v>Test</x:v>
      </x:c>
    </x:row>
    <x:row r="4039" ht="34" customHeight="1">
      <x:c r="A4039" s="4" t="str">
        <x:v>RS-04038</x:v>
      </x:c>
      <x:c r="B4039" s="8" t="n">
        <x:v>45541</x:v>
      </x:c>
      <x:c r="C4039" s="4" t="str">
        <x:v>PRJ-018</x:v>
      </x:c>
      <x:c r="D4039" s="4" t="str">
        <x:v>Villa</x:v>
      </x:c>
      <x:c r="E4039" s="4" t="str">
        <x:v>Handed over</x:v>
      </x:c>
      <x:c r="F4039" s="4" t="str">
        <x:v>CUS-04038</x:v>
      </x:c>
      <x:c r="G4039" s="4" t="str">
        <x:v>UNIT-04038</x:v>
      </x:c>
      <x:c r="H4039" s="9" t="n">
        <x:v>10900000</x:v>
      </x:c>
      <x:c r="I4039" s="10" t="n">
        <x:v>0.05</x:v>
      </x:c>
      <x:c r="J4039" s="11" t="n">
        <x:v>6</x:v>
      </x:c>
      <x:c r="K4039" s="11" t="n">
        <x:v>0</x:v>
      </x:c>
      <x:c r="L4039" s="11" t="n">
        <x:v>1</x:v>
      </x:c>
      <x:c r="M4039" s="9" t="n">
        <x:f>ROUND(H4039*(1-I4039),2)</x:f>
        <x:v>10355000</x:v>
      </x:c>
      <x:c r="N4039" s="4" t="str">
        <x:v>Sales manager</x:v>
      </x:c>
      <x:c r="O4039" s="4" t="str">
        <x:v>BOOK-04038</x:v>
      </x:c>
      <x:c r="P4039" s="9" t="n">
        <x:v>5177500</x:v>
      </x:c>
      <x:c r="Q4039" s="11" t="n">
        <x:v>0</x:v>
      </x:c>
      <x:c r="R4039" s="8" t="n">
        <x:v>45601</x:v>
      </x:c>
      <x:c r="S4039" s="4" t="str">
        <x:v>Retained</x:v>
      </x:c>
      <x:c r="T4039" s="10" t="n">
        <x:v>0.291946</x:v>
      </x:c>
      <x:c r="U4039" s="4" t="str">
        <x:v>Test</x:v>
      </x:c>
    </x:row>
    <x:row r="4040" ht="34" customHeight="1">
      <x:c r="A4040" s="4" t="str">
        <x:v>RS-04039</x:v>
      </x:c>
      <x:c r="B4040" s="8" t="n">
        <x:v>45542</x:v>
      </x:c>
      <x:c r="C4040" s="4" t="str">
        <x:v>PRJ-019</x:v>
      </x:c>
      <x:c r="D4040" s="4" t="str">
        <x:v>Office</x:v>
      </x:c>
      <x:c r="E4040" s="4" t="str">
        <x:v>Booked</x:v>
      </x:c>
      <x:c r="F4040" s="4" t="str">
        <x:v>CUS-04039</x:v>
      </x:c>
      <x:c r="G4040" s="4" t="str">
        <x:v>UNIT-04039</x:v>
      </x:c>
      <x:c r="H4040" s="9" t="n">
        <x:v>11400000</x:v>
      </x:c>
      <x:c r="I4040" s="10" t="n">
        <x:v>0.06</x:v>
      </x:c>
      <x:c r="J4040" s="11" t="n">
        <x:v>9</x:v>
      </x:c>
      <x:c r="K4040" s="11" t="n">
        <x:v>1</x:v>
      </x:c>
      <x:c r="L4040" s="11" t="n">
        <x:v>1</x:v>
      </x:c>
      <x:c r="M4040" s="9" t="n">
        <x:f>ROUND(H4040*(1-I4040),2)</x:f>
        <x:v>10716000</x:v>
      </x:c>
      <x:c r="N4040" s="4" t="str">
        <x:v>Sales manager</x:v>
      </x:c>
      <x:c r="O4040" s="4" t="str">
        <x:v>BOOK-04039</x:v>
      </x:c>
      <x:c r="P4040" s="9" t="n">
        <x:v>1071600</x:v>
      </x:c>
      <x:c r="Q4040" s="11" t="n">
        <x:v>0</x:v>
      </x:c>
      <x:c r="R4040" s="8" t="n">
        <x:v>45602</x:v>
      </x:c>
      <x:c r="S4040" s="4" t="str">
        <x:v>Retained</x:v>
      </x:c>
      <x:c r="T4040" s="10" t="n">
        <x:v>0.310195</x:v>
      </x:c>
      <x:c r="U4040" s="4" t="str">
        <x:v>Test</x:v>
      </x:c>
    </x:row>
    <x:row r="4041" ht="34" customHeight="1">
      <x:c r="A4041" s="4" t="str">
        <x:v>RS-04040</x:v>
      </x:c>
      <x:c r="B4041" s="8" t="n">
        <x:v>45543</x:v>
      </x:c>
      <x:c r="C4041" s="4" t="str">
        <x:v>PRJ-020</x:v>
      </x:c>
      <x:c r="D4041" s="4" t="str">
        <x:v>Office</x:v>
      </x:c>
      <x:c r="E4041" s="4" t="str">
        <x:v>Agreement signed</x:v>
      </x:c>
      <x:c r="F4041" s="4" t="str">
        <x:v>CUS-04040</x:v>
      </x:c>
      <x:c r="G4041" s="4" t="str">
        <x:v>UNIT-04040</x:v>
      </x:c>
      <x:c r="H4041" s="9" t="n">
        <x:v>10800000</x:v>
      </x:c>
      <x:c r="I4041" s="10" t="n">
        <x:v>0.1</x:v>
      </x:c>
      <x:c r="J4041" s="11" t="n">
        <x:v>4</x:v>
      </x:c>
      <x:c r="K4041" s="11" t="n">
        <x:v>3</x:v>
      </x:c>
      <x:c r="L4041" s="11" t="n">
        <x:v>0</x:v>
      </x:c>
      <x:c r="M4041" s="9" t="n">
        <x:f>ROUND(H4041*(1-I4041),2)</x:f>
        <x:v>9720000</x:v>
      </x:c>
      <x:c r="N4041" s="4" t="str">
        <x:v>Sales head</x:v>
      </x:c>
      <x:c r="O4041" s="4" t="str">
        <x:v>BOOK-04040</x:v>
      </x:c>
      <x:c r="P4041" s="9" t="n">
        <x:v>9720000</x:v>
      </x:c>
      <x:c r="Q4041" s="11" t="n">
        <x:v>0</x:v>
      </x:c>
      <x:c r="R4041" s="8" t="n">
        <x:v>45603</x:v>
      </x:c>
      <x:c r="S4041" s="4" t="str">
        <x:v>Retained</x:v>
      </x:c>
      <x:c r="T4041" s="10" t="n">
        <x:v>0.226277</x:v>
      </x:c>
      <x:c r="U4041" s="4" t="str">
        <x:v>Test</x:v>
      </x:c>
    </x:row>
    <x:row r="4042" ht="34" customHeight="1">
      <x:c r="A4042" s="4" t="str">
        <x:v>RS-04041</x:v>
      </x:c>
      <x:c r="B4042" s="8" t="n">
        <x:v>45544</x:v>
      </x:c>
      <x:c r="C4042" s="4" t="str">
        <x:v>PRJ-001</x:v>
      </x:c>
      <x:c r="D4042" s="4" t="str">
        <x:v>Apartment</x:v>
      </x:c>
      <x:c r="E4042" s="4" t="str">
        <x:v>Handed over</x:v>
      </x:c>
      <x:c r="F4042" s="4" t="str">
        <x:v>CUS-04041</x:v>
      </x:c>
      <x:c r="G4042" s="4" t="str">
        <x:v>UNIT-04041</x:v>
      </x:c>
      <x:c r="H4042" s="9" t="n">
        <x:v>12000000</x:v>
      </x:c>
      <x:c r="I4042" s="10" t="n">
        <x:v>0.06</x:v>
      </x:c>
      <x:c r="J4042" s="11" t="n">
        <x:v>1</x:v>
      </x:c>
      <x:c r="K4042" s="11" t="n">
        <x:v>2</x:v>
      </x:c>
      <x:c r="L4042" s="11" t="n">
        <x:v>0</x:v>
      </x:c>
      <x:c r="M4042" s="9" t="n">
        <x:f>ROUND(H4042*(1-I4042),2)</x:f>
        <x:v>11280000</x:v>
      </x:c>
      <x:c r="N4042" s="4" t="str">
        <x:v>Sales manager</x:v>
      </x:c>
      <x:c r="O4042" s="4" t="str">
        <x:v>BOOK-04041</x:v>
      </x:c>
      <x:c r="P4042" s="9" t="n">
        <x:v>1128000</x:v>
      </x:c>
      <x:c r="Q4042" s="11" t="n">
        <x:v>0</x:v>
      </x:c>
      <x:c r="R4042" s="8" t="n">
        <x:v>45604</x:v>
      </x:c>
      <x:c r="S4042" s="4" t="str">
        <x:v>Retained</x:v>
      </x:c>
      <x:c r="T4042" s="10" t="n">
        <x:v>0.204152</x:v>
      </x:c>
      <x:c r="U4042" s="4" t="str">
        <x:v>Test</x:v>
      </x:c>
    </x:row>
    <x:row r="4043" ht="34" customHeight="1">
      <x:c r="A4043" s="4" t="str">
        <x:v>RS-04042</x:v>
      </x:c>
      <x:c r="B4043" s="8" t="n">
        <x:v>45545</x:v>
      </x:c>
      <x:c r="C4043" s="4" t="str">
        <x:v>PRJ-002</x:v>
      </x:c>
      <x:c r="D4043" s="4" t="str">
        <x:v>Office</x:v>
      </x:c>
      <x:c r="E4043" s="4" t="str">
        <x:v>Booked</x:v>
      </x:c>
      <x:c r="F4043" s="4" t="str">
        <x:v>CUS-04042</x:v>
      </x:c>
      <x:c r="G4043" s="4" t="str">
        <x:v>UNIT-04042</x:v>
      </x:c>
      <x:c r="H4043" s="9" t="n">
        <x:v>24200000</x:v>
      </x:c>
      <x:c r="I4043" s="10" t="n">
        <x:v>0.08</x:v>
      </x:c>
      <x:c r="J4043" s="11" t="n">
        <x:v>1</x:v>
      </x:c>
      <x:c r="K4043" s="11" t="n">
        <x:v>1</x:v>
      </x:c>
      <x:c r="L4043" s="11" t="n">
        <x:v>0</x:v>
      </x:c>
      <x:c r="M4043" s="9" t="n">
        <x:f>ROUND(H4043*(1-I4043),2)</x:f>
        <x:v>22264000</x:v>
      </x:c>
      <x:c r="N4043" s="4" t="str">
        <x:v>Sales head</x:v>
      </x:c>
      <x:c r="O4043" s="4" t="str">
        <x:v>BOOK-04042</x:v>
      </x:c>
      <x:c r="P4043" s="9" t="n">
        <x:v>11132000</x:v>
      </x:c>
      <x:c r="Q4043" s="11" t="n">
        <x:v>0</x:v>
      </x:c>
      <x:c r="R4043" s="8" t="n">
        <x:v>45605</x:v>
      </x:c>
      <x:c r="S4043" s="4" t="str">
        <x:v>Retained</x:v>
      </x:c>
      <x:c r="T4043" s="10" t="n">
        <x:v>0.204152</x:v>
      </x:c>
      <x:c r="U4043" s="4" t="str">
        <x:v>Test</x:v>
      </x:c>
    </x:row>
    <x:row r="4044" ht="34" customHeight="1">
      <x:c r="A4044" s="4" t="str">
        <x:v>RS-04043</x:v>
      </x:c>
      <x:c r="B4044" s="8" t="n">
        <x:v>45546</x:v>
      </x:c>
      <x:c r="C4044" s="4" t="str">
        <x:v>PRJ-003</x:v>
      </x:c>
      <x:c r="D4044" s="4" t="str">
        <x:v>Villa</x:v>
      </x:c>
      <x:c r="E4044" s="4" t="str">
        <x:v>Agreement signed</x:v>
      </x:c>
      <x:c r="F4044" s="4" t="str">
        <x:v>CUS-04043</x:v>
      </x:c>
      <x:c r="G4044" s="4" t="str">
        <x:v>UNIT-04043</x:v>
      </x:c>
      <x:c r="H4044" s="9" t="n">
        <x:v>21900000</x:v>
      </x:c>
      <x:c r="I4044" s="10" t="n">
        <x:v>0.09</x:v>
      </x:c>
      <x:c r="J4044" s="11" t="n">
        <x:v>7</x:v>
      </x:c>
      <x:c r="K4044" s="11" t="n">
        <x:v>4</x:v>
      </x:c>
      <x:c r="L4044" s="11" t="n">
        <x:v>0</x:v>
      </x:c>
      <x:c r="M4044" s="9" t="n">
        <x:f>ROUND(H4044*(1-I4044),2)</x:f>
        <x:v>19929000</x:v>
      </x:c>
      <x:c r="N4044" s="4" t="str">
        <x:v>Sales head</x:v>
      </x:c>
      <x:c r="O4044" s="4" t="str">
        <x:v>BOOK-04043</x:v>
      </x:c>
      <x:c r="P4044" s="9" t="n">
        <x:v>9964500</x:v>
      </x:c>
      <x:c r="Q4044" s="11" t="n">
        <x:v>0</x:v>
      </x:c>
      <x:c r="R4044" s="8" t="n">
        <x:v>45606</x:v>
      </x:c>
      <x:c r="S4044" s="4" t="str">
        <x:v>Retained</x:v>
      </x:c>
      <x:c r="T4044" s="10" t="n">
        <x:v>0.226277</x:v>
      </x:c>
      <x:c r="U4044" s="4" t="str">
        <x:v>Test</x:v>
      </x:c>
    </x:row>
    <x:row r="4045" ht="34" customHeight="1">
      <x:c r="A4045" s="4" t="str">
        <x:v>RS-04044</x:v>
      </x:c>
      <x:c r="B4045" s="8" t="n">
        <x:v>45547</x:v>
      </x:c>
      <x:c r="C4045" s="4" t="str">
        <x:v>PRJ-004</x:v>
      </x:c>
      <x:c r="D4045" s="4" t="str">
        <x:v>Villa</x:v>
      </x:c>
      <x:c r="E4045" s="4" t="str">
        <x:v>Agreement signed</x:v>
      </x:c>
      <x:c r="F4045" s="4" t="str">
        <x:v>CUS-04044</x:v>
      </x:c>
      <x:c r="G4045" s="4" t="str">
        <x:v>UNIT-04044</x:v>
      </x:c>
      <x:c r="H4045" s="9" t="n">
        <x:v>4500000</x:v>
      </x:c>
      <x:c r="I4045" s="10" t="n">
        <x:v>0.11</x:v>
      </x:c>
      <x:c r="J4045" s="11" t="n">
        <x:v>1</x:v>
      </x:c>
      <x:c r="K4045" s="11" t="n">
        <x:v>2</x:v>
      </x:c>
      <x:c r="L4045" s="11" t="n">
        <x:v>0</x:v>
      </x:c>
      <x:c r="M4045" s="9" t="n">
        <x:f>ROUND(H4045*(1-I4045),2)</x:f>
        <x:v>4005000</x:v>
      </x:c>
      <x:c r="N4045" s="4" t="str">
        <x:v>Sales head</x:v>
      </x:c>
      <x:c r="O4045" s="4" t="str">
        <x:v>BOOK-04044</x:v>
      </x:c>
      <x:c r="P4045" s="9" t="n">
        <x:v>400500</x:v>
      </x:c>
      <x:c r="Q4045" s="11" t="n">
        <x:v>0</x:v>
      </x:c>
      <x:c r="R4045" s="8" t="n">
        <x:v>45607</x:v>
      </x:c>
      <x:c r="S4045" s="4" t="str">
        <x:v>Retained</x:v>
      </x:c>
      <x:c r="T4045" s="10" t="n">
        <x:v>0.145833</x:v>
      </x:c>
      <x:c r="U4045" s="4" t="str">
        <x:v>Test</x:v>
      </x:c>
    </x:row>
    <x:row r="4046" ht="34" customHeight="1">
      <x:c r="A4046" s="4" t="str">
        <x:v>RS-04045</x:v>
      </x:c>
      <x:c r="B4046" s="8" t="n">
        <x:v>45548</x:v>
      </x:c>
      <x:c r="C4046" s="4" t="str">
        <x:v>PRJ-005</x:v>
      </x:c>
      <x:c r="D4046" s="4" t="str">
        <x:v>Villa</x:v>
      </x:c>
      <x:c r="E4046" s="4" t="str">
        <x:v>Booked</x:v>
      </x:c>
      <x:c r="F4046" s="4" t="str">
        <x:v>CUS-04045</x:v>
      </x:c>
      <x:c r="G4046" s="4" t="str">
        <x:v>UNIT-04045</x:v>
      </x:c>
      <x:c r="H4046" s="9" t="n">
        <x:v>24300000</x:v>
      </x:c>
      <x:c r="I4046" s="10" t="n">
        <x:v>0.02</x:v>
      </x:c>
      <x:c r="J4046" s="11" t="n">
        <x:v>7</x:v>
      </x:c>
      <x:c r="K4046" s="11" t="n">
        <x:v>0</x:v>
      </x:c>
      <x:c r="L4046" s="11" t="n">
        <x:v>0</x:v>
      </x:c>
      <x:c r="M4046" s="9" t="n">
        <x:f>ROUND(H4046*(1-I4046),2)</x:f>
        <x:v>23814000</x:v>
      </x:c>
      <x:c r="N4046" s="4" t="str">
        <x:v>Sales manager</x:v>
      </x:c>
      <x:c r="O4046" s="4" t="str">
        <x:v>BOOK-04045</x:v>
      </x:c>
      <x:c r="P4046" s="9" t="n">
        <x:v>2381400</x:v>
      </x:c>
      <x:c r="Q4046" s="11" t="n">
        <x:v>0</x:v>
      </x:c>
      <x:c r="R4046" s="8" t="n">
        <x:v>45608</x:v>
      </x:c>
      <x:c r="S4046" s="4" t="str">
        <x:v>Retained</x:v>
      </x:c>
      <x:c r="T4046" s="10" t="n">
        <x:v>0.298969</x:v>
      </x:c>
      <x:c r="U4046" s="4" t="str">
        <x:v>Test</x:v>
      </x:c>
    </x:row>
    <x:row r="4047" ht="34" customHeight="1">
      <x:c r="A4047" s="4" t="str">
        <x:v>RS-04046</x:v>
      </x:c>
      <x:c r="B4047" s="8" t="n">
        <x:v>45549</x:v>
      </x:c>
      <x:c r="C4047" s="4" t="str">
        <x:v>PRJ-006</x:v>
      </x:c>
      <x:c r="D4047" s="4" t="str">
        <x:v>Retail</x:v>
      </x:c>
      <x:c r="E4047" s="4" t="str">
        <x:v>Reserved</x:v>
      </x:c>
      <x:c r="F4047" s="4" t="str">
        <x:v>CUS-04046</x:v>
      </x:c>
      <x:c r="G4047" s="4" t="str">
        <x:v>UNIT-04046</x:v>
      </x:c>
      <x:c r="H4047" s="9" t="n">
        <x:v>22700000</x:v>
      </x:c>
      <x:c r="I4047" s="10" t="n">
        <x:v>0.08</x:v>
      </x:c>
      <x:c r="J4047" s="11" t="n">
        <x:v>11</x:v>
      </x:c>
      <x:c r="K4047" s="11" t="n">
        <x:v>2</x:v>
      </x:c>
      <x:c r="L4047" s="11" t="n">
        <x:v>1</x:v>
      </x:c>
      <x:c r="M4047" s="9" t="n">
        <x:f>ROUND(H4047*(1-I4047),2)</x:f>
        <x:v>20884000</x:v>
      </x:c>
      <x:c r="N4047" s="4" t="str">
        <x:v>Sales head</x:v>
      </x:c>
      <x:c r="O4047" s="4"/>
      <x:c r="P4047" s="9" t="n">
        <x:v>0</x:v>
      </x:c>
      <x:c r="Q4047" s="11" t="n">
        <x:v>1</x:v>
      </x:c>
      <x:c r="R4047" s="8" t="n">
        <x:v>45609</x:v>
      </x:c>
      <x:c r="S4047" s="4" t="str">
        <x:v>Lost / cancelled</x:v>
      </x:c>
      <x:c r="T4047" s="10" t="n">
        <x:v>0.351536</x:v>
      </x:c>
      <x:c r="U4047" s="4" t="str">
        <x:v>Test</x:v>
      </x:c>
    </x:row>
    <x:row r="4048" ht="34" customHeight="1">
      <x:c r="A4048" s="4" t="str">
        <x:v>RS-04047</x:v>
      </x:c>
      <x:c r="B4048" s="8" t="n">
        <x:v>45550</x:v>
      </x:c>
      <x:c r="C4048" s="4" t="str">
        <x:v>PRJ-007</x:v>
      </x:c>
      <x:c r="D4048" s="4" t="str">
        <x:v>Villa</x:v>
      </x:c>
      <x:c r="E4048" s="4" t="str">
        <x:v>Handed over</x:v>
      </x:c>
      <x:c r="F4048" s="4" t="str">
        <x:v>CUS-04047</x:v>
      </x:c>
      <x:c r="G4048" s="4" t="str">
        <x:v>UNIT-04047</x:v>
      </x:c>
      <x:c r="H4048" s="9" t="n">
        <x:v>19800000</x:v>
      </x:c>
      <x:c r="I4048" s="10" t="n">
        <x:v>0.06</x:v>
      </x:c>
      <x:c r="J4048" s="11" t="n">
        <x:v>5</x:v>
      </x:c>
      <x:c r="K4048" s="11" t="n">
        <x:v>2</x:v>
      </x:c>
      <x:c r="L4048" s="11" t="n">
        <x:v>0</x:v>
      </x:c>
      <x:c r="M4048" s="9" t="n">
        <x:f>ROUND(H4048*(1-I4048),2)</x:f>
        <x:v>18612000</x:v>
      </x:c>
      <x:c r="N4048" s="4" t="str">
        <x:v>Sales manager</x:v>
      </x:c>
      <x:c r="O4048" s="4" t="str">
        <x:v>BOOK-04047</x:v>
      </x:c>
      <x:c r="P4048" s="9" t="n">
        <x:v>18612000</x:v>
      </x:c>
      <x:c r="Q4048" s="11" t="n">
        <x:v>0</x:v>
      </x:c>
      <x:c r="R4048" s="8" t="n">
        <x:v>45610</x:v>
      </x:c>
      <x:c r="S4048" s="4" t="str">
        <x:v>Retained</x:v>
      </x:c>
      <x:c r="T4048" s="10" t="n">
        <x:v>0.226277</x:v>
      </x:c>
      <x:c r="U4048" s="4" t="str">
        <x:v>Test</x:v>
      </x:c>
    </x:row>
    <x:row r="4049" ht="34" customHeight="1">
      <x:c r="A4049" s="4" t="str">
        <x:v>RS-04048</x:v>
      </x:c>
      <x:c r="B4049" s="8" t="n">
        <x:v>45551</x:v>
      </x:c>
      <x:c r="C4049" s="4" t="str">
        <x:v>PRJ-008</x:v>
      </x:c>
      <x:c r="D4049" s="4" t="str">
        <x:v>Retail</x:v>
      </x:c>
      <x:c r="E4049" s="4" t="str">
        <x:v>Agreement signed</x:v>
      </x:c>
      <x:c r="F4049" s="4" t="str">
        <x:v>CUS-04048</x:v>
      </x:c>
      <x:c r="G4049" s="4" t="str">
        <x:v>UNIT-04048</x:v>
      </x:c>
      <x:c r="H4049" s="9" t="n">
        <x:v>22400000</x:v>
      </x:c>
      <x:c r="I4049" s="10" t="n">
        <x:v>0.07</x:v>
      </x:c>
      <x:c r="J4049" s="11" t="n">
        <x:v>12</x:v>
      </x:c>
      <x:c r="K4049" s="11" t="n">
        <x:v>1</x:v>
      </x:c>
      <x:c r="L4049" s="11" t="n">
        <x:v>1</x:v>
      </x:c>
      <x:c r="M4049" s="9" t="n">
        <x:f>ROUND(H4049*(1-I4049),2)</x:f>
        <x:v>20832000</x:v>
      </x:c>
      <x:c r="N4049" s="4" t="str">
        <x:v>Sales manager</x:v>
      </x:c>
      <x:c r="O4049" s="4" t="str">
        <x:v>BOOK-04048</x:v>
      </x:c>
      <x:c r="P4049" s="9" t="n">
        <x:v>2083200</x:v>
      </x:c>
      <x:c r="Q4049" s="11" t="n">
        <x:v>0</x:v>
      </x:c>
      <x:c r="R4049" s="8" t="n">
        <x:v>45611</x:v>
      </x:c>
      <x:c r="S4049" s="4" t="str">
        <x:v>Retained</x:v>
      </x:c>
      <x:c r="T4049" s="10" t="n">
        <x:v>0.351536</x:v>
      </x:c>
      <x:c r="U4049" s="4" t="str">
        <x:v>Test</x:v>
      </x:c>
    </x:row>
    <x:row r="4050" ht="34" customHeight="1">
      <x:c r="A4050" s="4" t="str">
        <x:v>RS-04049</x:v>
      </x:c>
      <x:c r="B4050" s="8" t="n">
        <x:v>45552</x:v>
      </x:c>
      <x:c r="C4050" s="4" t="str">
        <x:v>PRJ-009</x:v>
      </x:c>
      <x:c r="D4050" s="4" t="str">
        <x:v>Retail</x:v>
      </x:c>
      <x:c r="E4050" s="4" t="str">
        <x:v>Handed over</x:v>
      </x:c>
      <x:c r="F4050" s="4" t="str">
        <x:v>CUS-04049</x:v>
      </x:c>
      <x:c r="G4050" s="4" t="str">
        <x:v>UNIT-04049</x:v>
      </x:c>
      <x:c r="H4050" s="9" t="n">
        <x:v>16800000</x:v>
      </x:c>
      <x:c r="I4050" s="10" t="n">
        <x:v>0.06</x:v>
      </x:c>
      <x:c r="J4050" s="11" t="n">
        <x:v>1</x:v>
      </x:c>
      <x:c r="K4050" s="11" t="n">
        <x:v>10</x:v>
      </x:c>
      <x:c r="L4050" s="11" t="n">
        <x:v>1</x:v>
      </x:c>
      <x:c r="M4050" s="9" t="n">
        <x:f>ROUND(H4050*(1-I4050),2)</x:f>
        <x:v>15792000</x:v>
      </x:c>
      <x:c r="N4050" s="4" t="str">
        <x:v>Sales manager</x:v>
      </x:c>
      <x:c r="O4050" s="4" t="str">
        <x:v>BOOK-04049</x:v>
      </x:c>
      <x:c r="P4050" s="9" t="n">
        <x:v>15792000</x:v>
      </x:c>
      <x:c r="Q4050" s="11" t="n">
        <x:v>0</x:v>
      </x:c>
      <x:c r="R4050" s="8" t="n">
        <x:v>45612</x:v>
      </x:c>
      <x:c r="S4050" s="4" t="str">
        <x:v>Retained</x:v>
      </x:c>
      <x:c r="T4050" s="10" t="n">
        <x:v>0.204152</x:v>
      </x:c>
      <x:c r="U4050" s="4" t="str">
        <x:v>Test</x:v>
      </x:c>
    </x:row>
    <x:row r="4051" ht="34" customHeight="1">
      <x:c r="A4051" s="4" t="str">
        <x:v>RS-04050</x:v>
      </x:c>
      <x:c r="B4051" s="8" t="n">
        <x:v>45553</x:v>
      </x:c>
      <x:c r="C4051" s="4" t="str">
        <x:v>PRJ-010</x:v>
      </x:c>
      <x:c r="D4051" s="4" t="str">
        <x:v>Office</x:v>
      </x:c>
      <x:c r="E4051" s="4" t="str">
        <x:v>Agreement signed</x:v>
      </x:c>
      <x:c r="F4051" s="4" t="str">
        <x:v>CUS-04050</x:v>
      </x:c>
      <x:c r="G4051" s="4" t="str">
        <x:v>UNIT-04050</x:v>
      </x:c>
      <x:c r="H4051" s="9" t="n">
        <x:v>9300000</x:v>
      </x:c>
      <x:c r="I4051" s="10" t="n">
        <x:v>0.04</x:v>
      </x:c>
      <x:c r="J4051" s="11" t="n">
        <x:v>10</x:v>
      </x:c>
      <x:c r="K4051" s="11" t="n">
        <x:v>8</x:v>
      </x:c>
      <x:c r="L4051" s="11" t="n">
        <x:v>0</x:v>
      </x:c>
      <x:c r="M4051" s="9" t="n">
        <x:f>ROUND(H4051*(1-I4051),2)</x:f>
        <x:v>8928000</x:v>
      </x:c>
      <x:c r="N4051" s="4" t="str">
        <x:v>Sales manager</x:v>
      </x:c>
      <x:c r="O4051" s="4" t="str">
        <x:v>BOOK-04050</x:v>
      </x:c>
      <x:c r="P4051" s="9" t="n">
        <x:v>2232000</x:v>
      </x:c>
      <x:c r="Q4051" s="11" t="n">
        <x:v>0</x:v>
      </x:c>
      <x:c r="R4051" s="8" t="n">
        <x:v>45613</x:v>
      </x:c>
      <x:c r="S4051" s="4" t="str">
        <x:v>Retained</x:v>
      </x:c>
      <x:c r="T4051" s="10" t="n">
        <x:v>0.310195</x:v>
      </x:c>
      <x:c r="U4051" s="4" t="str">
        <x:v>Test</x:v>
      </x:c>
    </x:row>
    <x:row r="4052" ht="34" customHeight="1">
      <x:c r="A4052" s="4" t="str">
        <x:v>RS-04051</x:v>
      </x:c>
      <x:c r="B4052" s="8" t="n">
        <x:v>45554</x:v>
      </x:c>
      <x:c r="C4052" s="4" t="str">
        <x:v>PRJ-011</x:v>
      </x:c>
      <x:c r="D4052" s="4" t="str">
        <x:v>Retail</x:v>
      </x:c>
      <x:c r="E4052" s="4" t="str">
        <x:v>Cancelled</x:v>
      </x:c>
      <x:c r="F4052" s="4" t="str">
        <x:v>CUS-04051</x:v>
      </x:c>
      <x:c r="G4052" s="4" t="str">
        <x:v>UNIT-04051</x:v>
      </x:c>
      <x:c r="H4052" s="9" t="n">
        <x:v>13800000</x:v>
      </x:c>
      <x:c r="I4052" s="10" t="n">
        <x:v>0.1</x:v>
      </x:c>
      <x:c r="J4052" s="11" t="n">
        <x:v>6</x:v>
      </x:c>
      <x:c r="K4052" s="11" t="n">
        <x:v>7</x:v>
      </x:c>
      <x:c r="L4052" s="11" t="n">
        <x:v>1</x:v>
      </x:c>
      <x:c r="M4052" s="9" t="n">
        <x:f>ROUND(H4052*(1-I4052),2)</x:f>
        <x:v>12420000</x:v>
      </x:c>
      <x:c r="N4052" s="4" t="str">
        <x:v>Sales head</x:v>
      </x:c>
      <x:c r="O4052" s="4"/>
      <x:c r="P4052" s="9" t="n">
        <x:v>0</x:v>
      </x:c>
      <x:c r="Q4052" s="11" t="n">
        <x:v>1</x:v>
      </x:c>
      <x:c r="R4052" s="8" t="n">
        <x:v>45614</x:v>
      </x:c>
      <x:c r="S4052" s="4" t="str">
        <x:v>Lost / cancelled</x:v>
      </x:c>
      <x:c r="T4052" s="10" t="n">
        <x:v>0.291946</x:v>
      </x:c>
      <x:c r="U4052" s="4" t="str">
        <x:v>Test</x:v>
      </x:c>
    </x:row>
    <x:row r="4053" ht="34" customHeight="1">
      <x:c r="A4053" s="4" t="str">
        <x:v>RS-04052</x:v>
      </x:c>
      <x:c r="B4053" s="8" t="n">
        <x:v>45555</x:v>
      </x:c>
      <x:c r="C4053" s="4" t="str">
        <x:v>PRJ-012</x:v>
      </x:c>
      <x:c r="D4053" s="4" t="str">
        <x:v>Apartment</x:v>
      </x:c>
      <x:c r="E4053" s="4" t="str">
        <x:v>Handed over</x:v>
      </x:c>
      <x:c r="F4053" s="4" t="str">
        <x:v>CUS-04052</x:v>
      </x:c>
      <x:c r="G4053" s="4" t="str">
        <x:v>UNIT-04052</x:v>
      </x:c>
      <x:c r="H4053" s="9" t="n">
        <x:v>14300000</x:v>
      </x:c>
      <x:c r="I4053" s="10" t="n">
        <x:v>0.01</x:v>
      </x:c>
      <x:c r="J4053" s="11" t="n">
        <x:v>3</x:v>
      </x:c>
      <x:c r="K4053" s="11" t="n">
        <x:v>1</x:v>
      </x:c>
      <x:c r="L4053" s="11" t="n">
        <x:v>1</x:v>
      </x:c>
      <x:c r="M4053" s="9" t="n">
        <x:f>ROUND(H4053*(1-I4053),2)</x:f>
        <x:v>14157000</x:v>
      </x:c>
      <x:c r="N4053" s="4" t="str">
        <x:v>Sales manager</x:v>
      </x:c>
      <x:c r="O4053" s="4" t="str">
        <x:v>BOOK-04052</x:v>
      </x:c>
      <x:c r="P4053" s="9" t="n">
        <x:v>7078500</x:v>
      </x:c>
      <x:c r="Q4053" s="11" t="n">
        <x:v>0</x:v>
      </x:c>
      <x:c r="R4053" s="8" t="n">
        <x:v>45615</x:v>
      </x:c>
      <x:c r="S4053" s="4" t="str">
        <x:v>Retained</x:v>
      </x:c>
      <x:c r="T4053" s="10" t="n">
        <x:v>0.171717</x:v>
      </x:c>
      <x:c r="U4053" s="4" t="str">
        <x:v>Test</x:v>
      </x:c>
    </x:row>
    <x:row r="4054" ht="34" customHeight="1">
      <x:c r="A4054" s="4" t="str">
        <x:v>RS-04053</x:v>
      </x:c>
      <x:c r="B4054" s="8" t="n">
        <x:v>45556</x:v>
      </x:c>
      <x:c r="C4054" s="4" t="str">
        <x:v>PRJ-013</x:v>
      </x:c>
      <x:c r="D4054" s="4" t="str">
        <x:v>Retail</x:v>
      </x:c>
      <x:c r="E4054" s="4" t="str">
        <x:v>Cancelled</x:v>
      </x:c>
      <x:c r="F4054" s="4" t="str">
        <x:v>CUS-04053</x:v>
      </x:c>
      <x:c r="G4054" s="4" t="str">
        <x:v>UNIT-04053</x:v>
      </x:c>
      <x:c r="H4054" s="9" t="n">
        <x:v>21900000</x:v>
      </x:c>
      <x:c r="I4054" s="10" t="n">
        <x:v>0.07</x:v>
      </x:c>
      <x:c r="J4054" s="11" t="n">
        <x:v>8</x:v>
      </x:c>
      <x:c r="K4054" s="11" t="n">
        <x:v>10</x:v>
      </x:c>
      <x:c r="L4054" s="11" t="n">
        <x:v>0</x:v>
      </x:c>
      <x:c r="M4054" s="9" t="n">
        <x:f>ROUND(H4054*(1-I4054),2)</x:f>
        <x:v>20367000</x:v>
      </x:c>
      <x:c r="N4054" s="4" t="str">
        <x:v>Sales manager</x:v>
      </x:c>
      <x:c r="O4054" s="4"/>
      <x:c r="P4054" s="9" t="n">
        <x:v>0</x:v>
      </x:c>
      <x:c r="Q4054" s="11" t="n">
        <x:v>1</x:v>
      </x:c>
      <x:c r="R4054" s="8" t="n">
        <x:v>45616</x:v>
      </x:c>
      <x:c r="S4054" s="4" t="str">
        <x:v>Lost / cancelled</x:v>
      </x:c>
      <x:c r="T4054" s="10" t="n">
        <x:v>0.310195</x:v>
      </x:c>
      <x:c r="U4054" s="4" t="str">
        <x:v>Test</x:v>
      </x:c>
    </x:row>
    <x:row r="4055" ht="34" customHeight="1">
      <x:c r="A4055" s="4" t="str">
        <x:v>RS-04054</x:v>
      </x:c>
      <x:c r="B4055" s="8" t="n">
        <x:v>45557</x:v>
      </x:c>
      <x:c r="C4055" s="4" t="str">
        <x:v>PRJ-014</x:v>
      </x:c>
      <x:c r="D4055" s="4" t="str">
        <x:v>Villa</x:v>
      </x:c>
      <x:c r="E4055" s="4" t="str">
        <x:v>Enquiry</x:v>
      </x:c>
      <x:c r="F4055" s="4" t="str">
        <x:v>CUS-04054</x:v>
      </x:c>
      <x:c r="G4055" s="4" t="str">
        <x:v>UNIT-04054</x:v>
      </x:c>
      <x:c r="H4055" s="9" t="n">
        <x:v>13900000</x:v>
      </x:c>
      <x:c r="I4055" s="10" t="n">
        <x:v>0.05</x:v>
      </x:c>
      <x:c r="J4055" s="11" t="n">
        <x:v>9</x:v>
      </x:c>
      <x:c r="K4055" s="11" t="n">
        <x:v>0</x:v>
      </x:c>
      <x:c r="L4055" s="11" t="n">
        <x:v>1</x:v>
      </x:c>
      <x:c r="M4055" s="9" t="n">
        <x:f>ROUND(H4055*(1-I4055),2)</x:f>
        <x:v>13205000</x:v>
      </x:c>
      <x:c r="N4055" s="4" t="str">
        <x:v>Sales manager</x:v>
      </x:c>
      <x:c r="O4055" s="4"/>
      <x:c r="P4055" s="9" t="n">
        <x:v>0</x:v>
      </x:c>
      <x:c r="Q4055" s="11" t="n">
        <x:v>1</x:v>
      </x:c>
      <x:c r="R4055" s="8" t="n">
        <x:v>45617</x:v>
      </x:c>
      <x:c r="S4055" s="4" t="str">
        <x:v>Lost / cancelled</x:v>
      </x:c>
      <x:c r="T4055" s="10" t="n">
        <x:v>0.310195</x:v>
      </x:c>
      <x:c r="U4055" s="4" t="str">
        <x:v>Test</x:v>
      </x:c>
    </x:row>
    <x:row r="4056" ht="34" customHeight="1">
      <x:c r="A4056" s="4" t="str">
        <x:v>RS-04055</x:v>
      </x:c>
      <x:c r="B4056" s="8" t="n">
        <x:v>45558</x:v>
      </x:c>
      <x:c r="C4056" s="4" t="str">
        <x:v>PRJ-015</x:v>
      </x:c>
      <x:c r="D4056" s="4" t="str">
        <x:v>Apartment</x:v>
      </x:c>
      <x:c r="E4056" s="4" t="str">
        <x:v>Cancelled</x:v>
      </x:c>
      <x:c r="F4056" s="4" t="str">
        <x:v>CUS-04055</x:v>
      </x:c>
      <x:c r="G4056" s="4" t="str">
        <x:v>UNIT-04055</x:v>
      </x:c>
      <x:c r="H4056" s="9" t="n">
        <x:v>5100000</x:v>
      </x:c>
      <x:c r="I4056" s="10" t="n">
        <x:v>0.04</x:v>
      </x:c>
      <x:c r="J4056" s="11" t="n">
        <x:v>0</x:v>
      </x:c>
      <x:c r="K4056" s="11" t="n">
        <x:v>8</x:v>
      </x:c>
      <x:c r="L4056" s="11" t="n">
        <x:v>0</x:v>
      </x:c>
      <x:c r="M4056" s="9" t="n">
        <x:f>ROUND(H4056*(1-I4056),2)</x:f>
        <x:v>4896000</x:v>
      </x:c>
      <x:c r="N4056" s="4" t="str">
        <x:v>Sales manager</x:v>
      </x:c>
      <x:c r="O4056" s="4"/>
      <x:c r="P4056" s="9" t="n">
        <x:v>0</x:v>
      </x:c>
      <x:c r="Q4056" s="11" t="n">
        <x:v>1</x:v>
      </x:c>
      <x:c r="R4056" s="8" t="n">
        <x:v>45618</x:v>
      </x:c>
      <x:c r="S4056" s="4" t="str">
        <x:v>Lost / cancelled</x:v>
      </x:c>
      <x:c r="T4056" s="10" t="n">
        <x:v>0.204152</x:v>
      </x:c>
      <x:c r="U4056" s="4" t="str">
        <x:v>Test</x:v>
      </x:c>
    </x:row>
    <x:row r="4057" ht="34" customHeight="1">
      <x:c r="A4057" s="4" t="str">
        <x:v>RS-04056</x:v>
      </x:c>
      <x:c r="B4057" s="8" t="n">
        <x:v>45559</x:v>
      </x:c>
      <x:c r="C4057" s="4" t="str">
        <x:v>PRJ-016</x:v>
      </x:c>
      <x:c r="D4057" s="4" t="str">
        <x:v>Office</x:v>
      </x:c>
      <x:c r="E4057" s="4" t="str">
        <x:v>Agreement signed</x:v>
      </x:c>
      <x:c r="F4057" s="4" t="str">
        <x:v>CUS-04056</x:v>
      </x:c>
      <x:c r="G4057" s="4" t="str">
        <x:v>UNIT-04056</x:v>
      </x:c>
      <x:c r="H4057" s="9" t="n">
        <x:v>11500000</x:v>
      </x:c>
      <x:c r="I4057" s="10" t="n">
        <x:v>0.09</x:v>
      </x:c>
      <x:c r="J4057" s="11" t="n">
        <x:v>7</x:v>
      </x:c>
      <x:c r="K4057" s="11" t="n">
        <x:v>8</x:v>
      </x:c>
      <x:c r="L4057" s="11" t="n">
        <x:v>1</x:v>
      </x:c>
      <x:c r="M4057" s="9" t="n">
        <x:f>ROUND(H4057*(1-I4057),2)</x:f>
        <x:v>10465000</x:v>
      </x:c>
      <x:c r="N4057" s="4" t="str">
        <x:v>Sales head</x:v>
      </x:c>
      <x:c r="O4057" s="4" t="str">
        <x:v>BOOK-04056</x:v>
      </x:c>
      <x:c r="P4057" s="9" t="n">
        <x:v>1046500</x:v>
      </x:c>
      <x:c r="Q4057" s="11" t="n">
        <x:v>0</x:v>
      </x:c>
      <x:c r="R4057" s="8" t="n">
        <x:v>45619</x:v>
      </x:c>
      <x:c r="S4057" s="4" t="str">
        <x:v>Retained</x:v>
      </x:c>
      <x:c r="T4057" s="10" t="n">
        <x:v>0.291946</x:v>
      </x:c>
      <x:c r="U4057" s="4" t="str">
        <x:v>Test</x:v>
      </x:c>
    </x:row>
    <x:row r="4058" ht="34" customHeight="1">
      <x:c r="A4058" s="4" t="str">
        <x:v>RS-04057</x:v>
      </x:c>
      <x:c r="B4058" s="8" t="n">
        <x:v>45560</x:v>
      </x:c>
      <x:c r="C4058" s="4" t="str">
        <x:v>PRJ-017</x:v>
      </x:c>
      <x:c r="D4058" s="4" t="str">
        <x:v>Villa</x:v>
      </x:c>
      <x:c r="E4058" s="4" t="str">
        <x:v>Handed over</x:v>
      </x:c>
      <x:c r="F4058" s="4" t="str">
        <x:v>CUS-04057</x:v>
      </x:c>
      <x:c r="G4058" s="4" t="str">
        <x:v>UNIT-04057</x:v>
      </x:c>
      <x:c r="H4058" s="9" t="n">
        <x:v>7300000</x:v>
      </x:c>
      <x:c r="I4058" s="10" t="n">
        <x:v>0.04</x:v>
      </x:c>
      <x:c r="J4058" s="11" t="n">
        <x:v>4</x:v>
      </x:c>
      <x:c r="K4058" s="11" t="n">
        <x:v>0</x:v>
      </x:c>
      <x:c r="L4058" s="11" t="n">
        <x:v>0</x:v>
      </x:c>
      <x:c r="M4058" s="9" t="n">
        <x:f>ROUND(H4058*(1-I4058),2)</x:f>
        <x:v>7008000</x:v>
      </x:c>
      <x:c r="N4058" s="4" t="str">
        <x:v>Sales manager</x:v>
      </x:c>
      <x:c r="O4058" s="4" t="str">
        <x:v>BOOK-04057</x:v>
      </x:c>
      <x:c r="P4058" s="9" t="n">
        <x:v>700800</x:v>
      </x:c>
      <x:c r="Q4058" s="11" t="n">
        <x:v>0</x:v>
      </x:c>
      <x:c r="R4058" s="8" t="n">
        <x:v>45620</x:v>
      </x:c>
      <x:c r="S4058" s="4" t="str">
        <x:v>Retained</x:v>
      </x:c>
      <x:c r="T4058" s="10" t="n">
        <x:v>0.226277</x:v>
      </x:c>
      <x:c r="U4058" s="4" t="str">
        <x:v>Test</x:v>
      </x:c>
    </x:row>
    <x:row r="4059" ht="34" customHeight="1">
      <x:c r="A4059" s="4" t="str">
        <x:v>RS-04058</x:v>
      </x:c>
      <x:c r="B4059" s="8" t="n">
        <x:v>45561</x:v>
      </x:c>
      <x:c r="C4059" s="4" t="str">
        <x:v>PRJ-018</x:v>
      </x:c>
      <x:c r="D4059" s="4" t="str">
        <x:v>Retail</x:v>
      </x:c>
      <x:c r="E4059" s="4" t="str">
        <x:v>Cancelled</x:v>
      </x:c>
      <x:c r="F4059" s="4" t="str">
        <x:v>CUS-04058</x:v>
      </x:c>
      <x:c r="G4059" s="4" t="str">
        <x:v>UNIT-04058</x:v>
      </x:c>
      <x:c r="H4059" s="9" t="n">
        <x:v>11100000</x:v>
      </x:c>
      <x:c r="I4059" s="10" t="n">
        <x:v>0.02</x:v>
      </x:c>
      <x:c r="J4059" s="11" t="n">
        <x:v>11</x:v>
      </x:c>
      <x:c r="K4059" s="11" t="n">
        <x:v>1</x:v>
      </x:c>
      <x:c r="L4059" s="11" t="n">
        <x:v>0</x:v>
      </x:c>
      <x:c r="M4059" s="9" t="n">
        <x:f>ROUND(H4059*(1-I4059),2)</x:f>
        <x:v>10878000</x:v>
      </x:c>
      <x:c r="N4059" s="4" t="str">
        <x:v>Sales manager</x:v>
      </x:c>
      <x:c r="O4059" s="4"/>
      <x:c r="P4059" s="9" t="n">
        <x:v>0</x:v>
      </x:c>
      <x:c r="Q4059" s="11" t="n">
        <x:v>1</x:v>
      </x:c>
      <x:c r="R4059" s="8" t="n">
        <x:v>45621</x:v>
      </x:c>
      <x:c r="S4059" s="4" t="str">
        <x:v>Lost / cancelled</x:v>
      </x:c>
      <x:c r="T4059" s="10" t="n">
        <x:v>0.305556</x:v>
      </x:c>
      <x:c r="U4059" s="4" t="str">
        <x:v>Test</x:v>
      </x:c>
    </x:row>
    <x:row r="4060" ht="34" customHeight="1">
      <x:c r="A4060" s="4" t="str">
        <x:v>RS-04059</x:v>
      </x:c>
      <x:c r="B4060" s="8" t="n">
        <x:v>45562</x:v>
      </x:c>
      <x:c r="C4060" s="4" t="str">
        <x:v>PRJ-019</x:v>
      </x:c>
      <x:c r="D4060" s="4" t="str">
        <x:v>Retail</x:v>
      </x:c>
      <x:c r="E4060" s="4" t="str">
        <x:v>Reserved</x:v>
      </x:c>
      <x:c r="F4060" s="4" t="str">
        <x:v>CUS-04059</x:v>
      </x:c>
      <x:c r="G4060" s="4" t="str">
        <x:v>UNIT-04059</x:v>
      </x:c>
      <x:c r="H4060" s="9" t="n">
        <x:v>9200000</x:v>
      </x:c>
      <x:c r="I4060" s="10" t="n">
        <x:v>0.03</x:v>
      </x:c>
      <x:c r="J4060" s="11" t="n">
        <x:v>7</x:v>
      </x:c>
      <x:c r="K4060" s="11" t="n">
        <x:v>5</x:v>
      </x:c>
      <x:c r="L4060" s="11" t="n">
        <x:v>0</x:v>
      </x:c>
      <x:c r="M4060" s="9" t="n">
        <x:f>ROUND(H4060*(1-I4060),2)</x:f>
        <x:v>8924000</x:v>
      </x:c>
      <x:c r="N4060" s="4" t="str">
        <x:v>Sales manager</x:v>
      </x:c>
      <x:c r="O4060" s="4"/>
      <x:c r="P4060" s="9" t="n">
        <x:v>0</x:v>
      </x:c>
      <x:c r="Q4060" s="11" t="n">
        <x:v>0</x:v>
      </x:c>
      <x:c r="R4060" s="8" t="n">
        <x:v>45622</x:v>
      </x:c>
      <x:c r="S4060" s="4" t="str">
        <x:v>Retained</x:v>
      </x:c>
      <x:c r="T4060" s="10" t="n">
        <x:v>0.145299</x:v>
      </x:c>
      <x:c r="U4060" s="4" t="str">
        <x:v>Test</x:v>
      </x:c>
    </x:row>
    <x:row r="4061" ht="34" customHeight="1">
      <x:c r="A4061" s="4" t="str">
        <x:v>RS-04060</x:v>
      </x:c>
      <x:c r="B4061" s="8" t="n">
        <x:v>45563</x:v>
      </x:c>
      <x:c r="C4061" s="4" t="str">
        <x:v>PRJ-020</x:v>
      </x:c>
      <x:c r="D4061" s="4" t="str">
        <x:v>Office</x:v>
      </x:c>
      <x:c r="E4061" s="4" t="str">
        <x:v>Agreement signed</x:v>
      </x:c>
      <x:c r="F4061" s="4" t="str">
        <x:v>CUS-04060</x:v>
      </x:c>
      <x:c r="G4061" s="4" t="str">
        <x:v>UNIT-04060</x:v>
      </x:c>
      <x:c r="H4061" s="9" t="n">
        <x:v>8900000</x:v>
      </x:c>
      <x:c r="I4061" s="10" t="n">
        <x:v>0.1</x:v>
      </x:c>
      <x:c r="J4061" s="11" t="n">
        <x:v>2</x:v>
      </x:c>
      <x:c r="K4061" s="11" t="n">
        <x:v>10</x:v>
      </x:c>
      <x:c r="L4061" s="11" t="n">
        <x:v>0</x:v>
      </x:c>
      <x:c r="M4061" s="9" t="n">
        <x:f>ROUND(H4061*(1-I4061),2)</x:f>
        <x:v>8010000</x:v>
      </x:c>
      <x:c r="N4061" s="4" t="str">
        <x:v>Sales head</x:v>
      </x:c>
      <x:c r="O4061" s="4" t="str">
        <x:v>BOOK-04060</x:v>
      </x:c>
      <x:c r="P4061" s="9" t="n">
        <x:v>8010000</x:v>
      </x:c>
      <x:c r="Q4061" s="11" t="n">
        <x:v>0</x:v>
      </x:c>
      <x:c r="R4061" s="8" t="n">
        <x:v>45623</x:v>
      </x:c>
      <x:c r="S4061" s="4" t="str">
        <x:v>Retained</x:v>
      </x:c>
      <x:c r="T4061" s="10" t="n">
        <x:v>0.145833</x:v>
      </x:c>
      <x:c r="U4061" s="4" t="str">
        <x:v>Test</x:v>
      </x:c>
    </x:row>
    <x:row r="4062" ht="34" customHeight="1">
      <x:c r="A4062" s="4" t="str">
        <x:v>RS-04061</x:v>
      </x:c>
      <x:c r="B4062" s="8" t="n">
        <x:v>45536</x:v>
      </x:c>
      <x:c r="C4062" s="4" t="str">
        <x:v>PRJ-001</x:v>
      </x:c>
      <x:c r="D4062" s="4" t="str">
        <x:v>Retail</x:v>
      </x:c>
      <x:c r="E4062" s="4" t="str">
        <x:v>Handed over</x:v>
      </x:c>
      <x:c r="F4062" s="4" t="str">
        <x:v>CUS-04061</x:v>
      </x:c>
      <x:c r="G4062" s="4" t="str">
        <x:v>UNIT-04061</x:v>
      </x:c>
      <x:c r="H4062" s="9" t="n">
        <x:v>6800000</x:v>
      </x:c>
      <x:c r="I4062" s="10" t="n">
        <x:v>0.06</x:v>
      </x:c>
      <x:c r="J4062" s="11" t="n">
        <x:v>10</x:v>
      </x:c>
      <x:c r="K4062" s="11" t="n">
        <x:v>4</x:v>
      </x:c>
      <x:c r="L4062" s="11" t="n">
        <x:v>1</x:v>
      </x:c>
      <x:c r="M4062" s="9" t="n">
        <x:f>ROUND(H4062*(1-I4062),2)</x:f>
        <x:v>6392000</x:v>
      </x:c>
      <x:c r="N4062" s="4" t="str">
        <x:v>Sales manager</x:v>
      </x:c>
      <x:c r="O4062" s="4" t="str">
        <x:v>BOOK-04061</x:v>
      </x:c>
      <x:c r="P4062" s="9" t="n">
        <x:v>3196000</x:v>
      </x:c>
      <x:c r="Q4062" s="11" t="n">
        <x:v>0</x:v>
      </x:c>
      <x:c r="R4062" s="8" t="n">
        <x:v>45596</x:v>
      </x:c>
      <x:c r="S4062" s="4" t="str">
        <x:v>Retained</x:v>
      </x:c>
      <x:c r="T4062" s="10" t="n">
        <x:v>0.310195</x:v>
      </x:c>
      <x:c r="U4062" s="4" t="str">
        <x:v>Test</x:v>
      </x:c>
    </x:row>
    <x:row r="4063" ht="34" customHeight="1">
      <x:c r="A4063" s="4" t="str">
        <x:v>RS-04062</x:v>
      </x:c>
      <x:c r="B4063" s="8" t="n">
        <x:v>45537</x:v>
      </x:c>
      <x:c r="C4063" s="4" t="str">
        <x:v>PRJ-002</x:v>
      </x:c>
      <x:c r="D4063" s="4" t="str">
        <x:v>Villa</x:v>
      </x:c>
      <x:c r="E4063" s="4" t="str">
        <x:v>Cancelled</x:v>
      </x:c>
      <x:c r="F4063" s="4" t="str">
        <x:v>CUS-04062</x:v>
      </x:c>
      <x:c r="G4063" s="4" t="str">
        <x:v>UNIT-04062</x:v>
      </x:c>
      <x:c r="H4063" s="9" t="n">
        <x:v>17400000</x:v>
      </x:c>
      <x:c r="I4063" s="10" t="n">
        <x:v>0.06</x:v>
      </x:c>
      <x:c r="J4063" s="11" t="n">
        <x:v>1</x:v>
      </x:c>
      <x:c r="K4063" s="11" t="n">
        <x:v>4</x:v>
      </x:c>
      <x:c r="L4063" s="11" t="n">
        <x:v>1</x:v>
      </x:c>
      <x:c r="M4063" s="9" t="n">
        <x:f>ROUND(H4063*(1-I4063),2)</x:f>
        <x:v>16356000</x:v>
      </x:c>
      <x:c r="N4063" s="4" t="str">
        <x:v>Sales manager</x:v>
      </x:c>
      <x:c r="O4063" s="4"/>
      <x:c r="P4063" s="9" t="n">
        <x:v>0</x:v>
      </x:c>
      <x:c r="Q4063" s="11" t="n">
        <x:v>1</x:v>
      </x:c>
      <x:c r="R4063" s="8" t="n">
        <x:v>45597</x:v>
      </x:c>
      <x:c r="S4063" s="4" t="str">
        <x:v>Lost / cancelled</x:v>
      </x:c>
      <x:c r="T4063" s="10" t="n">
        <x:v>0.204152</x:v>
      </x:c>
      <x:c r="U4063" s="4" t="str">
        <x:v>Test</x:v>
      </x:c>
    </x:row>
    <x:row r="4064" ht="34" customHeight="1">
      <x:c r="A4064" s="4" t="str">
        <x:v>RS-04063</x:v>
      </x:c>
      <x:c r="B4064" s="8" t="n">
        <x:v>45538</x:v>
      </x:c>
      <x:c r="C4064" s="4" t="str">
        <x:v>PRJ-003</x:v>
      </x:c>
      <x:c r="D4064" s="4" t="str">
        <x:v>Office</x:v>
      </x:c>
      <x:c r="E4064" s="4" t="str">
        <x:v>Enquiry</x:v>
      </x:c>
      <x:c r="F4064" s="4" t="str">
        <x:v>CUS-04063</x:v>
      </x:c>
      <x:c r="G4064" s="4" t="str">
        <x:v>UNIT-04063</x:v>
      </x:c>
      <x:c r="H4064" s="9" t="n">
        <x:v>21400000</x:v>
      </x:c>
      <x:c r="I4064" s="10" t="n">
        <x:v>0.11</x:v>
      </x:c>
      <x:c r="J4064" s="11" t="n">
        <x:v>11</x:v>
      </x:c>
      <x:c r="K4064" s="11" t="n">
        <x:v>1</x:v>
      </x:c>
      <x:c r="L4064" s="11" t="n">
        <x:v>0</x:v>
      </x:c>
      <x:c r="M4064" s="9" t="n">
        <x:f>ROUND(H4064*(1-I4064),2)</x:f>
        <x:v>19046000</x:v>
      </x:c>
      <x:c r="N4064" s="4" t="str">
        <x:v>Sales head</x:v>
      </x:c>
      <x:c r="O4064" s="4"/>
      <x:c r="P4064" s="9" t="n">
        <x:v>0</x:v>
      </x:c>
      <x:c r="Q4064" s="11" t="n">
        <x:v>0</x:v>
      </x:c>
      <x:c r="R4064" s="8" t="n">
        <x:v>45598</x:v>
      </x:c>
      <x:c r="S4064" s="4" t="str">
        <x:v>Retained</x:v>
      </x:c>
      <x:c r="T4064" s="10" t="n">
        <x:v>0.351536</x:v>
      </x:c>
      <x:c r="U4064" s="4" t="str">
        <x:v>Test</x:v>
      </x:c>
    </x:row>
    <x:row r="4065" ht="34" customHeight="1">
      <x:c r="A4065" s="4" t="str">
        <x:v>RS-04064</x:v>
      </x:c>
      <x:c r="B4065" s="8" t="n">
        <x:v>45539</x:v>
      </x:c>
      <x:c r="C4065" s="4" t="str">
        <x:v>PRJ-004</x:v>
      </x:c>
      <x:c r="D4065" s="4" t="str">
        <x:v>Villa</x:v>
      </x:c>
      <x:c r="E4065" s="4" t="str">
        <x:v>Handed over</x:v>
      </x:c>
      <x:c r="F4065" s="4" t="str">
        <x:v>CUS-04064</x:v>
      </x:c>
      <x:c r="G4065" s="4" t="str">
        <x:v>UNIT-04064</x:v>
      </x:c>
      <x:c r="H4065" s="9" t="n">
        <x:v>20300000</x:v>
      </x:c>
      <x:c r="I4065" s="10" t="n">
        <x:v>0.01</x:v>
      </x:c>
      <x:c r="J4065" s="11" t="n">
        <x:v>3</x:v>
      </x:c>
      <x:c r="K4065" s="11" t="n">
        <x:v>1</x:v>
      </x:c>
      <x:c r="L4065" s="11" t="n">
        <x:v>1</x:v>
      </x:c>
      <x:c r="M4065" s="9" t="n">
        <x:f>ROUND(H4065*(1-I4065),2)</x:f>
        <x:v>20097000</x:v>
      </x:c>
      <x:c r="N4065" s="4" t="str">
        <x:v>Sales manager</x:v>
      </x:c>
      <x:c r="O4065" s="4" t="str">
        <x:v>BOOK-04064</x:v>
      </x:c>
      <x:c r="P4065" s="9" t="n">
        <x:v>10048500</x:v>
      </x:c>
      <x:c r="Q4065" s="11" t="n">
        <x:v>0</x:v>
      </x:c>
      <x:c r="R4065" s="8" t="n">
        <x:v>45599</x:v>
      </x:c>
      <x:c r="S4065" s="4" t="str">
        <x:v>Retained</x:v>
      </x:c>
      <x:c r="T4065" s="10" t="n">
        <x:v>0.171717</x:v>
      </x:c>
      <x:c r="U4065" s="4" t="str">
        <x:v>Test</x:v>
      </x:c>
    </x:row>
    <x:row r="4066" ht="34" customHeight="1">
      <x:c r="A4066" s="4" t="str">
        <x:v>RS-04065</x:v>
      </x:c>
      <x:c r="B4066" s="8" t="n">
        <x:v>45540</x:v>
      </x:c>
      <x:c r="C4066" s="4" t="str">
        <x:v>PRJ-005</x:v>
      </x:c>
      <x:c r="D4066" s="4" t="str">
        <x:v>Apartment</x:v>
      </x:c>
      <x:c r="E4066" s="4" t="str">
        <x:v>Cancelled</x:v>
      </x:c>
      <x:c r="F4066" s="4" t="str">
        <x:v>CUS-04065</x:v>
      </x:c>
      <x:c r="G4066" s="4" t="str">
        <x:v>UNIT-04065</x:v>
      </x:c>
      <x:c r="H4066" s="9" t="n">
        <x:v>18800000</x:v>
      </x:c>
      <x:c r="I4066" s="10" t="n">
        <x:v>0</x:v>
      </x:c>
      <x:c r="J4066" s="11" t="n">
        <x:v>7</x:v>
      </x:c>
      <x:c r="K4066" s="11" t="n">
        <x:v>7</x:v>
      </x:c>
      <x:c r="L4066" s="11" t="n">
        <x:v>1</x:v>
      </x:c>
      <x:c r="M4066" s="9" t="n">
        <x:f>ROUND(H4066*(1-I4066),2)</x:f>
        <x:v>18800000</x:v>
      </x:c>
      <x:c r="N4066" s="4" t="str">
        <x:v>Sales manager</x:v>
      </x:c>
      <x:c r="O4066" s="4"/>
      <x:c r="P4066" s="9" t="n">
        <x:v>0</x:v>
      </x:c>
      <x:c r="Q4066" s="11" t="n">
        <x:v>1</x:v>
      </x:c>
      <x:c r="R4066" s="8" t="n">
        <x:v>45600</x:v>
      </x:c>
      <x:c r="S4066" s="4" t="str">
        <x:v>Lost / cancelled</x:v>
      </x:c>
      <x:c r="T4066" s="10" t="n">
        <x:v>0.145299</x:v>
      </x:c>
      <x:c r="U4066" s="4" t="str">
        <x:v>Test</x:v>
      </x:c>
    </x:row>
    <x:row r="4067" ht="34" customHeight="1">
      <x:c r="A4067" s="4" t="str">
        <x:v>RS-04066</x:v>
      </x:c>
      <x:c r="B4067" s="8" t="n">
        <x:v>45541</x:v>
      </x:c>
      <x:c r="C4067" s="4" t="str">
        <x:v>PRJ-006</x:v>
      </x:c>
      <x:c r="D4067" s="4" t="str">
        <x:v>Retail</x:v>
      </x:c>
      <x:c r="E4067" s="4" t="str">
        <x:v>Reserved</x:v>
      </x:c>
      <x:c r="F4067" s="4" t="str">
        <x:v>CUS-04066</x:v>
      </x:c>
      <x:c r="G4067" s="4" t="str">
        <x:v>UNIT-04066</x:v>
      </x:c>
      <x:c r="H4067" s="9" t="n">
        <x:v>12500000</x:v>
      </x:c>
      <x:c r="I4067" s="10" t="n">
        <x:v>0.11</x:v>
      </x:c>
      <x:c r="J4067" s="11" t="n">
        <x:v>2</x:v>
      </x:c>
      <x:c r="K4067" s="11" t="n">
        <x:v>4</x:v>
      </x:c>
      <x:c r="L4067" s="11" t="n">
        <x:v>1</x:v>
      </x:c>
      <x:c r="M4067" s="9" t="n">
        <x:f>ROUND(H4067*(1-I4067),2)</x:f>
        <x:v>11125000</x:v>
      </x:c>
      <x:c r="N4067" s="4" t="str">
        <x:v>Sales head</x:v>
      </x:c>
      <x:c r="O4067" s="4"/>
      <x:c r="P4067" s="9" t="n">
        <x:v>0</x:v>
      </x:c>
      <x:c r="Q4067" s="11" t="n">
        <x:v>1</x:v>
      </x:c>
      <x:c r="R4067" s="8" t="n">
        <x:v>45601</x:v>
      </x:c>
      <x:c r="S4067" s="4" t="str">
        <x:v>Lost / cancelled</x:v>
      </x:c>
      <x:c r="T4067" s="10" t="n">
        <x:v>0.145833</x:v>
      </x:c>
      <x:c r="U4067" s="4" t="str">
        <x:v>Test</x:v>
      </x:c>
    </x:row>
    <x:row r="4068" ht="34" customHeight="1">
      <x:c r="A4068" s="4" t="str">
        <x:v>RS-04067</x:v>
      </x:c>
      <x:c r="B4068" s="8" t="n">
        <x:v>45542</x:v>
      </x:c>
      <x:c r="C4068" s="4" t="str">
        <x:v>PRJ-007</x:v>
      </x:c>
      <x:c r="D4068" s="4" t="str">
        <x:v>Office</x:v>
      </x:c>
      <x:c r="E4068" s="4" t="str">
        <x:v>Agreement signed</x:v>
      </x:c>
      <x:c r="F4068" s="4" t="str">
        <x:v>CUS-04067</x:v>
      </x:c>
      <x:c r="G4068" s="4" t="str">
        <x:v>UNIT-04067</x:v>
      </x:c>
      <x:c r="H4068" s="9" t="n">
        <x:v>6500000</x:v>
      </x:c>
      <x:c r="I4068" s="10" t="n">
        <x:v>0.02</x:v>
      </x:c>
      <x:c r="J4068" s="11" t="n">
        <x:v>1</x:v>
      </x:c>
      <x:c r="K4068" s="11" t="n">
        <x:v>8</x:v>
      </x:c>
      <x:c r="L4068" s="11" t="n">
        <x:v>1</x:v>
      </x:c>
      <x:c r="M4068" s="9" t="n">
        <x:f>ROUND(H4068*(1-I4068),2)</x:f>
        <x:v>6370000</x:v>
      </x:c>
      <x:c r="N4068" s="4" t="str">
        <x:v>Sales manager</x:v>
      </x:c>
      <x:c r="O4068" s="4" t="str">
        <x:v>BOOK-04067</x:v>
      </x:c>
      <x:c r="P4068" s="9" t="n">
        <x:v>6370000</x:v>
      </x:c>
      <x:c r="Q4068" s="11" t="n">
        <x:v>0</x:v>
      </x:c>
      <x:c r="R4068" s="8" t="n">
        <x:v>45602</x:v>
      </x:c>
      <x:c r="S4068" s="4" t="str">
        <x:v>Retained</x:v>
      </x:c>
      <x:c r="T4068" s="10" t="n">
        <x:v>0.072165</x:v>
      </x:c>
      <x:c r="U4068" s="4" t="str">
        <x:v>Test</x:v>
      </x:c>
    </x:row>
    <x:row r="4069" ht="34" customHeight="1">
      <x:c r="A4069" s="4" t="str">
        <x:v>RS-04068</x:v>
      </x:c>
      <x:c r="B4069" s="8" t="n">
        <x:v>45543</x:v>
      </x:c>
      <x:c r="C4069" s="4" t="str">
        <x:v>PRJ-008</x:v>
      </x:c>
      <x:c r="D4069" s="4" t="str">
        <x:v>Apartment</x:v>
      </x:c>
      <x:c r="E4069" s="4" t="str">
        <x:v>Enquiry</x:v>
      </x:c>
      <x:c r="F4069" s="4" t="str">
        <x:v>CUS-04068</x:v>
      </x:c>
      <x:c r="G4069" s="4" t="str">
        <x:v>UNIT-04068</x:v>
      </x:c>
      <x:c r="H4069" s="9" t="n">
        <x:v>17600000</x:v>
      </x:c>
      <x:c r="I4069" s="10" t="n">
        <x:v>0.06</x:v>
      </x:c>
      <x:c r="J4069" s="11" t="n">
        <x:v>5</x:v>
      </x:c>
      <x:c r="K4069" s="11" t="n">
        <x:v>7</x:v>
      </x:c>
      <x:c r="L4069" s="11" t="n">
        <x:v>0</x:v>
      </x:c>
      <x:c r="M4069" s="9" t="n">
        <x:f>ROUND(H4069*(1-I4069),2)</x:f>
        <x:v>16544000</x:v>
      </x:c>
      <x:c r="N4069" s="4" t="str">
        <x:v>Sales manager</x:v>
      </x:c>
      <x:c r="O4069" s="4"/>
      <x:c r="P4069" s="9" t="n">
        <x:v>0</x:v>
      </x:c>
      <x:c r="Q4069" s="11" t="n">
        <x:v>0</x:v>
      </x:c>
      <x:c r="R4069" s="8" t="n">
        <x:v>45603</x:v>
      </x:c>
      <x:c r="S4069" s="4" t="str">
        <x:v>Retained</x:v>
      </x:c>
      <x:c r="T4069" s="10" t="n">
        <x:v>0.226277</x:v>
      </x:c>
      <x:c r="U4069" s="4" t="str">
        <x:v>Test</x:v>
      </x:c>
    </x:row>
    <x:row r="4070" ht="34" customHeight="1">
      <x:c r="A4070" s="4" t="str">
        <x:v>RS-04069</x:v>
      </x:c>
      <x:c r="B4070" s="8" t="n">
        <x:v>45544</x:v>
      </x:c>
      <x:c r="C4070" s="4" t="str">
        <x:v>PRJ-009</x:v>
      </x:c>
      <x:c r="D4070" s="4" t="str">
        <x:v>Retail</x:v>
      </x:c>
      <x:c r="E4070" s="4" t="str">
        <x:v>Reserved</x:v>
      </x:c>
      <x:c r="F4070" s="4" t="str">
        <x:v>CUS-04069</x:v>
      </x:c>
      <x:c r="G4070" s="4" t="str">
        <x:v>UNIT-04069</x:v>
      </x:c>
      <x:c r="H4070" s="9" t="n">
        <x:v>17200000</x:v>
      </x:c>
      <x:c r="I4070" s="10" t="n">
        <x:v>0</x:v>
      </x:c>
      <x:c r="J4070" s="11" t="n">
        <x:v>3</x:v>
      </x:c>
      <x:c r="K4070" s="11" t="n">
        <x:v>7</x:v>
      </x:c>
      <x:c r="L4070" s="11" t="n">
        <x:v>0</x:v>
      </x:c>
      <x:c r="M4070" s="9" t="n">
        <x:f>ROUND(H4070*(1-I4070),2)</x:f>
        <x:v>17200000</x:v>
      </x:c>
      <x:c r="N4070" s="4" t="str">
        <x:v>Sales manager</x:v>
      </x:c>
      <x:c r="O4070" s="4"/>
      <x:c r="P4070" s="9" t="n">
        <x:v>0</x:v>
      </x:c>
      <x:c r="Q4070" s="11" t="n">
        <x:v>0</x:v>
      </x:c>
      <x:c r="R4070" s="8" t="n">
        <x:v>45604</x:v>
      </x:c>
      <x:c r="S4070" s="4" t="str">
        <x:v>Retained</x:v>
      </x:c>
      <x:c r="T4070" s="10" t="n">
        <x:v>0.171717</x:v>
      </x:c>
      <x:c r="U4070" s="4" t="str">
        <x:v>Test</x:v>
      </x:c>
    </x:row>
    <x:row r="4071" ht="34" customHeight="1">
      <x:c r="A4071" s="4" t="str">
        <x:v>RS-04070</x:v>
      </x:c>
      <x:c r="B4071" s="8" t="n">
        <x:v>45545</x:v>
      </x:c>
      <x:c r="C4071" s="4" t="str">
        <x:v>PRJ-010</x:v>
      </x:c>
      <x:c r="D4071" s="4" t="str">
        <x:v>Retail</x:v>
      </x:c>
      <x:c r="E4071" s="4" t="str">
        <x:v>Handed over</x:v>
      </x:c>
      <x:c r="F4071" s="4" t="str">
        <x:v>CUS-04070</x:v>
      </x:c>
      <x:c r="G4071" s="4" t="str">
        <x:v>UNIT-04070</x:v>
      </x:c>
      <x:c r="H4071" s="9" t="n">
        <x:v>20800000</x:v>
      </x:c>
      <x:c r="I4071" s="10" t="n">
        <x:v>0.12</x:v>
      </x:c>
      <x:c r="J4071" s="11" t="n">
        <x:v>6</x:v>
      </x:c>
      <x:c r="K4071" s="11" t="n">
        <x:v>9</x:v>
      </x:c>
      <x:c r="L4071" s="11" t="n">
        <x:v>1</x:v>
      </x:c>
      <x:c r="M4071" s="9" t="n">
        <x:f>ROUND(H4071*(1-I4071),2)</x:f>
        <x:v>18304000</x:v>
      </x:c>
      <x:c r="N4071" s="4" t="str">
        <x:v>Sales head</x:v>
      </x:c>
      <x:c r="O4071" s="4" t="str">
        <x:v>BOOK-04070</x:v>
      </x:c>
      <x:c r="P4071" s="9" t="n">
        <x:v>4576000</x:v>
      </x:c>
      <x:c r="Q4071" s="11" t="n">
        <x:v>0</x:v>
      </x:c>
      <x:c r="R4071" s="8" t="n">
        <x:v>45605</x:v>
      </x:c>
      <x:c r="S4071" s="4" t="str">
        <x:v>Retained</x:v>
      </x:c>
      <x:c r="T4071" s="10" t="n">
        <x:v>0.291946</x:v>
      </x:c>
      <x:c r="U4071" s="4" t="str">
        <x:v>Test</x:v>
      </x:c>
    </x:row>
    <x:row r="4072" ht="34" customHeight="1">
      <x:c r="A4072" s="4" t="str">
        <x:v>RS-04071</x:v>
      </x:c>
      <x:c r="B4072" s="8" t="n">
        <x:v>45546</x:v>
      </x:c>
      <x:c r="C4072" s="4" t="str">
        <x:v>PRJ-011</x:v>
      </x:c>
      <x:c r="D4072" s="4" t="str">
        <x:v>Retail</x:v>
      </x:c>
      <x:c r="E4072" s="4" t="str">
        <x:v>Cancelled</x:v>
      </x:c>
      <x:c r="F4072" s="4" t="str">
        <x:v>CUS-04071</x:v>
      </x:c>
      <x:c r="G4072" s="4" t="str">
        <x:v>UNIT-04071</x:v>
      </x:c>
      <x:c r="H4072" s="9" t="n">
        <x:v>17500000</x:v>
      </x:c>
      <x:c r="I4072" s="10" t="n">
        <x:v>0.01</x:v>
      </x:c>
      <x:c r="J4072" s="11" t="n">
        <x:v>1</x:v>
      </x:c>
      <x:c r="K4072" s="11" t="n">
        <x:v>7</x:v>
      </x:c>
      <x:c r="L4072" s="11" t="n">
        <x:v>0</x:v>
      </x:c>
      <x:c r="M4072" s="9" t="n">
        <x:f>ROUND(H4072*(1-I4072),2)</x:f>
        <x:v>17325000</x:v>
      </x:c>
      <x:c r="N4072" s="4" t="str">
        <x:v>Sales manager</x:v>
      </x:c>
      <x:c r="O4072" s="4"/>
      <x:c r="P4072" s="9" t="n">
        <x:v>0</x:v>
      </x:c>
      <x:c r="Q4072" s="11" t="n">
        <x:v>1</x:v>
      </x:c>
      <x:c r="R4072" s="8" t="n">
        <x:v>45606</x:v>
      </x:c>
      <x:c r="S4072" s="4" t="str">
        <x:v>Lost / cancelled</x:v>
      </x:c>
      <x:c r="T4072" s="10" t="n">
        <x:v>0.072165</x:v>
      </x:c>
      <x:c r="U4072" s="4" t="str">
        <x:v>Test</x:v>
      </x:c>
    </x:row>
    <x:row r="4073" ht="34" customHeight="1">
      <x:c r="A4073" s="4" t="str">
        <x:v>RS-04072</x:v>
      </x:c>
      <x:c r="B4073" s="8" t="n">
        <x:v>45547</x:v>
      </x:c>
      <x:c r="C4073" s="4" t="str">
        <x:v>PRJ-012</x:v>
      </x:c>
      <x:c r="D4073" s="4" t="str">
        <x:v>Retail</x:v>
      </x:c>
      <x:c r="E4073" s="4" t="str">
        <x:v>Handed over</x:v>
      </x:c>
      <x:c r="F4073" s="4" t="str">
        <x:v>CUS-04072</x:v>
      </x:c>
      <x:c r="G4073" s="4" t="str">
        <x:v>UNIT-04072</x:v>
      </x:c>
      <x:c r="H4073" s="9" t="n">
        <x:v>12100000</x:v>
      </x:c>
      <x:c r="I4073" s="10" t="n">
        <x:v>0.11</x:v>
      </x:c>
      <x:c r="J4073" s="11" t="n">
        <x:v>10</x:v>
      </x:c>
      <x:c r="K4073" s="11" t="n">
        <x:v>2</x:v>
      </x:c>
      <x:c r="L4073" s="11" t="n">
        <x:v>0</x:v>
      </x:c>
      <x:c r="M4073" s="9" t="n">
        <x:f>ROUND(H4073*(1-I4073),2)</x:f>
        <x:v>10769000</x:v>
      </x:c>
      <x:c r="N4073" s="4" t="str">
        <x:v>Sales head</x:v>
      </x:c>
      <x:c r="O4073" s="4" t="str">
        <x:v>BOOK-04072</x:v>
      </x:c>
      <x:c r="P4073" s="9" t="n">
        <x:v>5384500</x:v>
      </x:c>
      <x:c r="Q4073" s="11" t="n">
        <x:v>0</x:v>
      </x:c>
      <x:c r="R4073" s="8" t="n">
        <x:v>45607</x:v>
      </x:c>
      <x:c r="S4073" s="4" t="str">
        <x:v>Retained</x:v>
      </x:c>
      <x:c r="T4073" s="10" t="n">
        <x:v>0.310195</x:v>
      </x:c>
      <x:c r="U4073" s="4" t="str">
        <x:v>Test</x:v>
      </x:c>
    </x:row>
    <x:row r="4074" ht="34" customHeight="1">
      <x:c r="A4074" s="4" t="str">
        <x:v>RS-04073</x:v>
      </x:c>
      <x:c r="B4074" s="8" t="n">
        <x:v>45548</x:v>
      </x:c>
      <x:c r="C4074" s="4" t="str">
        <x:v>PRJ-013</x:v>
      </x:c>
      <x:c r="D4074" s="4" t="str">
        <x:v>Apartment</x:v>
      </x:c>
      <x:c r="E4074" s="4" t="str">
        <x:v>Handed over</x:v>
      </x:c>
      <x:c r="F4074" s="4" t="str">
        <x:v>CUS-04073</x:v>
      </x:c>
      <x:c r="G4074" s="4" t="str">
        <x:v>UNIT-04073</x:v>
      </x:c>
      <x:c r="H4074" s="9" t="n">
        <x:v>21900000</x:v>
      </x:c>
      <x:c r="I4074" s="10" t="n">
        <x:v>0.08</x:v>
      </x:c>
      <x:c r="J4074" s="11" t="n">
        <x:v>8</x:v>
      </x:c>
      <x:c r="K4074" s="11" t="n">
        <x:v>3</x:v>
      </x:c>
      <x:c r="L4074" s="11" t="n">
        <x:v>1</x:v>
      </x:c>
      <x:c r="M4074" s="9" t="n">
        <x:f>ROUND(H4074*(1-I4074),2)</x:f>
        <x:v>20148000</x:v>
      </x:c>
      <x:c r="N4074" s="4" t="str">
        <x:v>Sales head</x:v>
      </x:c>
      <x:c r="O4074" s="4" t="str">
        <x:v>BOOK-04073</x:v>
      </x:c>
      <x:c r="P4074" s="9" t="n">
        <x:v>2014800</x:v>
      </x:c>
      <x:c r="Q4074" s="11" t="n">
        <x:v>0</x:v>
      </x:c>
      <x:c r="R4074" s="8" t="n">
        <x:v>45608</x:v>
      </x:c>
      <x:c r="S4074" s="4" t="str">
        <x:v>Retained</x:v>
      </x:c>
      <x:c r="T4074" s="10" t="n">
        <x:v>0.310195</x:v>
      </x:c>
      <x:c r="U4074" s="4" t="str">
        <x:v>Test</x:v>
      </x:c>
    </x:row>
    <x:row r="4075" ht="34" customHeight="1">
      <x:c r="A4075" s="4" t="str">
        <x:v>RS-04074</x:v>
      </x:c>
      <x:c r="B4075" s="8" t="n">
        <x:v>45549</x:v>
      </x:c>
      <x:c r="C4075" s="4" t="str">
        <x:v>PRJ-014</x:v>
      </x:c>
      <x:c r="D4075" s="4" t="str">
        <x:v>Apartment</x:v>
      </x:c>
      <x:c r="E4075" s="4" t="str">
        <x:v>Handed over</x:v>
      </x:c>
      <x:c r="F4075" s="4" t="str">
        <x:v>CUS-04074</x:v>
      </x:c>
      <x:c r="G4075" s="4" t="str">
        <x:v>UNIT-04074</x:v>
      </x:c>
      <x:c r="H4075" s="9" t="n">
        <x:v>16500000</x:v>
      </x:c>
      <x:c r="I4075" s="10" t="n">
        <x:v>0.1</x:v>
      </x:c>
      <x:c r="J4075" s="11" t="n">
        <x:v>10</x:v>
      </x:c>
      <x:c r="K4075" s="11" t="n">
        <x:v>5</x:v>
      </x:c>
      <x:c r="L4075" s="11" t="n">
        <x:v>0</x:v>
      </x:c>
      <x:c r="M4075" s="9" t="n">
        <x:f>ROUND(H4075*(1-I4075),2)</x:f>
        <x:v>14850000</x:v>
      </x:c>
      <x:c r="N4075" s="4" t="str">
        <x:v>Sales head</x:v>
      </x:c>
      <x:c r="O4075" s="4" t="str">
        <x:v>BOOK-04074</x:v>
      </x:c>
      <x:c r="P4075" s="9" t="n">
        <x:v>7425000</x:v>
      </x:c>
      <x:c r="Q4075" s="11" t="n">
        <x:v>0</x:v>
      </x:c>
      <x:c r="R4075" s="8" t="n">
        <x:v>45609</x:v>
      </x:c>
      <x:c r="S4075" s="4" t="str">
        <x:v>Retained</x:v>
      </x:c>
      <x:c r="T4075" s="10" t="n">
        <x:v>0.310195</x:v>
      </x:c>
      <x:c r="U4075" s="4" t="str">
        <x:v>Test</x:v>
      </x:c>
    </x:row>
    <x:row r="4076" ht="34" customHeight="1">
      <x:c r="A4076" s="4" t="str">
        <x:v>RS-04075</x:v>
      </x:c>
      <x:c r="B4076" s="8" t="n">
        <x:v>45550</x:v>
      </x:c>
      <x:c r="C4076" s="4" t="str">
        <x:v>PRJ-015</x:v>
      </x:c>
      <x:c r="D4076" s="4" t="str">
        <x:v>Villa</x:v>
      </x:c>
      <x:c r="E4076" s="4" t="str">
        <x:v>Enquiry</x:v>
      </x:c>
      <x:c r="F4076" s="4" t="str">
        <x:v>CUS-04075</x:v>
      </x:c>
      <x:c r="G4076" s="4" t="str">
        <x:v>UNIT-04075</x:v>
      </x:c>
      <x:c r="H4076" s="9" t="n">
        <x:v>23100000</x:v>
      </x:c>
      <x:c r="I4076" s="10" t="n">
        <x:v>0.04</x:v>
      </x:c>
      <x:c r="J4076" s="11" t="n">
        <x:v>10</x:v>
      </x:c>
      <x:c r="K4076" s="11" t="n">
        <x:v>10</x:v>
      </x:c>
      <x:c r="L4076" s="11" t="n">
        <x:v>1</x:v>
      </x:c>
      <x:c r="M4076" s="9" t="n">
        <x:f>ROUND(H4076*(1-I4076),2)</x:f>
        <x:v>22176000</x:v>
      </x:c>
      <x:c r="N4076" s="4" t="str">
        <x:v>Sales manager</x:v>
      </x:c>
      <x:c r="O4076" s="4"/>
      <x:c r="P4076" s="9" t="n">
        <x:v>0</x:v>
      </x:c>
      <x:c r="Q4076" s="11" t="n">
        <x:v>1</x:v>
      </x:c>
      <x:c r="R4076" s="8" t="n">
        <x:v>45610</x:v>
      </x:c>
      <x:c r="S4076" s="4" t="str">
        <x:v>Lost / cancelled</x:v>
      </x:c>
      <x:c r="T4076" s="10" t="n">
        <x:v>0.310195</x:v>
      </x:c>
      <x:c r="U4076" s="4" t="str">
        <x:v>Test</x:v>
      </x:c>
    </x:row>
    <x:row r="4077" ht="34" customHeight="1">
      <x:c r="A4077" s="4" t="str">
        <x:v>RS-04076</x:v>
      </x:c>
      <x:c r="B4077" s="8" t="n">
        <x:v>45551</x:v>
      </x:c>
      <x:c r="C4077" s="4" t="str">
        <x:v>PRJ-016</x:v>
      </x:c>
      <x:c r="D4077" s="4" t="str">
        <x:v>Office</x:v>
      </x:c>
      <x:c r="E4077" s="4" t="str">
        <x:v>Agreement signed</x:v>
      </x:c>
      <x:c r="F4077" s="4" t="str">
        <x:v>CUS-04076</x:v>
      </x:c>
      <x:c r="G4077" s="4" t="str">
        <x:v>UNIT-04076</x:v>
      </x:c>
      <x:c r="H4077" s="9" t="n">
        <x:v>16100000</x:v>
      </x:c>
      <x:c r="I4077" s="10" t="n">
        <x:v>0.05</x:v>
      </x:c>
      <x:c r="J4077" s="11" t="n">
        <x:v>1</x:v>
      </x:c>
      <x:c r="K4077" s="11" t="n">
        <x:v>1</x:v>
      </x:c>
      <x:c r="L4077" s="11" t="n">
        <x:v>0</x:v>
      </x:c>
      <x:c r="M4077" s="9" t="n">
        <x:f>ROUND(H4077*(1-I4077),2)</x:f>
        <x:v>15295000</x:v>
      </x:c>
      <x:c r="N4077" s="4" t="str">
        <x:v>Sales manager</x:v>
      </x:c>
      <x:c r="O4077" s="4" t="str">
        <x:v>BOOK-04076</x:v>
      </x:c>
      <x:c r="P4077" s="9" t="n">
        <x:v>1529500</x:v>
      </x:c>
      <x:c r="Q4077" s="11" t="n">
        <x:v>0</x:v>
      </x:c>
      <x:c r="R4077" s="8" t="n">
        <x:v>45611</x:v>
      </x:c>
      <x:c r="S4077" s="4" t="str">
        <x:v>Retained</x:v>
      </x:c>
      <x:c r="T4077" s="10" t="n">
        <x:v>0.204152</x:v>
      </x:c>
      <x:c r="U4077" s="4" t="str">
        <x:v>Test</x:v>
      </x:c>
    </x:row>
    <x:row r="4078" ht="34" customHeight="1">
      <x:c r="A4078" s="4" t="str">
        <x:v>RS-04077</x:v>
      </x:c>
      <x:c r="B4078" s="8" t="n">
        <x:v>45552</x:v>
      </x:c>
      <x:c r="C4078" s="4" t="str">
        <x:v>PRJ-017</x:v>
      </x:c>
      <x:c r="D4078" s="4" t="str">
        <x:v>Villa</x:v>
      </x:c>
      <x:c r="E4078" s="4" t="str">
        <x:v>Handed over</x:v>
      </x:c>
      <x:c r="F4078" s="4" t="str">
        <x:v>CUS-04077</x:v>
      </x:c>
      <x:c r="G4078" s="4" t="str">
        <x:v>UNIT-04077</x:v>
      </x:c>
      <x:c r="H4078" s="9" t="n">
        <x:v>10000000</x:v>
      </x:c>
      <x:c r="I4078" s="10" t="n">
        <x:v>0.1</x:v>
      </x:c>
      <x:c r="J4078" s="11" t="n">
        <x:v>0</x:v>
      </x:c>
      <x:c r="K4078" s="11" t="n">
        <x:v>4</x:v>
      </x:c>
      <x:c r="L4078" s="11" t="n">
        <x:v>0</x:v>
      </x:c>
      <x:c r="M4078" s="9" t="n">
        <x:f>ROUND(H4078*(1-I4078),2)</x:f>
        <x:v>9000000</x:v>
      </x:c>
      <x:c r="N4078" s="4" t="str">
        <x:v>Sales head</x:v>
      </x:c>
      <x:c r="O4078" s="4" t="str">
        <x:v>BOOK-04077</x:v>
      </x:c>
      <x:c r="P4078" s="9" t="n">
        <x:v>900000</x:v>
      </x:c>
      <x:c r="Q4078" s="11" t="n">
        <x:v>0</x:v>
      </x:c>
      <x:c r="R4078" s="8" t="n">
        <x:v>45612</x:v>
      </x:c>
      <x:c r="S4078" s="4" t="str">
        <x:v>Retained</x:v>
      </x:c>
      <x:c r="T4078" s="10" t="n">
        <x:v>0.145833</x:v>
      </x:c>
      <x:c r="U4078" s="4" t="str">
        <x:v>Test</x:v>
      </x:c>
    </x:row>
    <x:row r="4079" ht="34" customHeight="1">
      <x:c r="A4079" s="4" t="str">
        <x:v>RS-04078</x:v>
      </x:c>
      <x:c r="B4079" s="8" t="n">
        <x:v>45553</x:v>
      </x:c>
      <x:c r="C4079" s="4" t="str">
        <x:v>PRJ-018</x:v>
      </x:c>
      <x:c r="D4079" s="4" t="str">
        <x:v>Office</x:v>
      </x:c>
      <x:c r="E4079" s="4" t="str">
        <x:v>Reserved</x:v>
      </x:c>
      <x:c r="F4079" s="4" t="str">
        <x:v>CUS-04078</x:v>
      </x:c>
      <x:c r="G4079" s="4" t="str">
        <x:v>UNIT-04078</x:v>
      </x:c>
      <x:c r="H4079" s="9" t="n">
        <x:v>24800000</x:v>
      </x:c>
      <x:c r="I4079" s="10" t="n">
        <x:v>0.05</x:v>
      </x:c>
      <x:c r="J4079" s="11" t="n">
        <x:v>9</x:v>
      </x:c>
      <x:c r="K4079" s="11" t="n">
        <x:v>1</x:v>
      </x:c>
      <x:c r="L4079" s="11" t="n">
        <x:v>1</x:v>
      </x:c>
      <x:c r="M4079" s="9" t="n">
        <x:f>ROUND(H4079*(1-I4079),2)</x:f>
        <x:v>23560000</x:v>
      </x:c>
      <x:c r="N4079" s="4" t="str">
        <x:v>Sales manager</x:v>
      </x:c>
      <x:c r="O4079" s="4"/>
      <x:c r="P4079" s="9" t="n">
        <x:v>0</x:v>
      </x:c>
      <x:c r="Q4079" s="11" t="n">
        <x:v>0</x:v>
      </x:c>
      <x:c r="R4079" s="8" t="n">
        <x:v>45613</x:v>
      </x:c>
      <x:c r="S4079" s="4" t="str">
        <x:v>Retained</x:v>
      </x:c>
      <x:c r="T4079" s="10" t="n">
        <x:v>0.310195</x:v>
      </x:c>
      <x:c r="U4079" s="4" t="str">
        <x:v>Test</x:v>
      </x:c>
    </x:row>
    <x:row r="4080" ht="34" customHeight="1">
      <x:c r="A4080" s="4" t="str">
        <x:v>RS-04079</x:v>
      </x:c>
      <x:c r="B4080" s="8" t="n">
        <x:v>45554</x:v>
      </x:c>
      <x:c r="C4080" s="4" t="str">
        <x:v>PRJ-019</x:v>
      </x:c>
      <x:c r="D4080" s="4" t="str">
        <x:v>Villa</x:v>
      </x:c>
      <x:c r="E4080" s="4" t="str">
        <x:v>Enquiry</x:v>
      </x:c>
      <x:c r="F4080" s="4" t="str">
        <x:v>CUS-04079</x:v>
      </x:c>
      <x:c r="G4080" s="4" t="str">
        <x:v>UNIT-04079</x:v>
      </x:c>
      <x:c r="H4080" s="9" t="n">
        <x:v>10100000</x:v>
      </x:c>
      <x:c r="I4080" s="10" t="n">
        <x:v>0.02</x:v>
      </x:c>
      <x:c r="J4080" s="11" t="n">
        <x:v>9</x:v>
      </x:c>
      <x:c r="K4080" s="11" t="n">
        <x:v>1</x:v>
      </x:c>
      <x:c r="L4080" s="11" t="n">
        <x:v>1</x:v>
      </x:c>
      <x:c r="M4080" s="9" t="n">
        <x:f>ROUND(H4080*(1-I4080),2)</x:f>
        <x:v>9898000</x:v>
      </x:c>
      <x:c r="N4080" s="4" t="str">
        <x:v>Sales manager</x:v>
      </x:c>
      <x:c r="O4080" s="4"/>
      <x:c r="P4080" s="9" t="n">
        <x:v>0</x:v>
      </x:c>
      <x:c r="Q4080" s="11" t="n">
        <x:v>0</x:v>
      </x:c>
      <x:c r="R4080" s="8" t="n">
        <x:v>45614</x:v>
      </x:c>
      <x:c r="S4080" s="4" t="str">
        <x:v>Retained</x:v>
      </x:c>
      <x:c r="T4080" s="10" t="n">
        <x:v>0.254545</x:v>
      </x:c>
      <x:c r="U4080" s="4" t="str">
        <x:v>Test</x:v>
      </x:c>
    </x:row>
    <x:row r="4081" ht="34" customHeight="1">
      <x:c r="A4081" s="4" t="str">
        <x:v>RS-04080</x:v>
      </x:c>
      <x:c r="B4081" s="8" t="n">
        <x:v>45555</x:v>
      </x:c>
      <x:c r="C4081" s="4" t="str">
        <x:v>PRJ-020</x:v>
      </x:c>
      <x:c r="D4081" s="4" t="str">
        <x:v>Villa</x:v>
      </x:c>
      <x:c r="E4081" s="4" t="str">
        <x:v>Handed over</x:v>
      </x:c>
      <x:c r="F4081" s="4" t="str">
        <x:v>CUS-04080</x:v>
      </x:c>
      <x:c r="G4081" s="4" t="str">
        <x:v>UNIT-04080</x:v>
      </x:c>
      <x:c r="H4081" s="9" t="n">
        <x:v>17700000</x:v>
      </x:c>
      <x:c r="I4081" s="10" t="n">
        <x:v>0.05</x:v>
      </x:c>
      <x:c r="J4081" s="11" t="n">
        <x:v>8</x:v>
      </x:c>
      <x:c r="K4081" s="11" t="n">
        <x:v>9</x:v>
      </x:c>
      <x:c r="L4081" s="11" t="n">
        <x:v>0</x:v>
      </x:c>
      <x:c r="M4081" s="9" t="n">
        <x:f>ROUND(H4081*(1-I4081),2)</x:f>
        <x:v>16815000</x:v>
      </x:c>
      <x:c r="N4081" s="4" t="str">
        <x:v>Sales manager</x:v>
      </x:c>
      <x:c r="O4081" s="4" t="str">
        <x:v>BOOK-04080</x:v>
      </x:c>
      <x:c r="P4081" s="9" t="n">
        <x:v>4203750</x:v>
      </x:c>
      <x:c r="Q4081" s="11" t="n">
        <x:v>0</x:v>
      </x:c>
      <x:c r="R4081" s="8" t="n">
        <x:v>45615</x:v>
      </x:c>
      <x:c r="S4081" s="4" t="str">
        <x:v>Retained</x:v>
      </x:c>
      <x:c r="T4081" s="10" t="n">
        <x:v>0.310195</x:v>
      </x:c>
      <x:c r="U4081" s="4" t="str">
        <x:v>Test</x:v>
      </x:c>
    </x:row>
    <x:row r="4082" ht="34" customHeight="1">
      <x:c r="A4082" s="4" t="str">
        <x:v>RS-04081</x:v>
      </x:c>
      <x:c r="B4082" s="8" t="n">
        <x:v>45556</x:v>
      </x:c>
      <x:c r="C4082" s="4" t="str">
        <x:v>PRJ-001</x:v>
      </x:c>
      <x:c r="D4082" s="4" t="str">
        <x:v>Office</x:v>
      </x:c>
      <x:c r="E4082" s="4" t="str">
        <x:v>Enquiry</x:v>
      </x:c>
      <x:c r="F4082" s="4" t="str">
        <x:v>CUS-04081</x:v>
      </x:c>
      <x:c r="G4082" s="4" t="str">
        <x:v>UNIT-04081</x:v>
      </x:c>
      <x:c r="H4082" s="9" t="n">
        <x:v>18800000</x:v>
      </x:c>
      <x:c r="I4082" s="10" t="n">
        <x:v>0.07</x:v>
      </x:c>
      <x:c r="J4082" s="11" t="n">
        <x:v>4</x:v>
      </x:c>
      <x:c r="K4082" s="11" t="n">
        <x:v>5</x:v>
      </x:c>
      <x:c r="L4082" s="11" t="n">
        <x:v>1</x:v>
      </x:c>
      <x:c r="M4082" s="9" t="n">
        <x:f>ROUND(H4082*(1-I4082),2)</x:f>
        <x:v>17484000</x:v>
      </x:c>
      <x:c r="N4082" s="4" t="str">
        <x:v>Sales manager</x:v>
      </x:c>
      <x:c r="O4082" s="4"/>
      <x:c r="P4082" s="9" t="n">
        <x:v>0</x:v>
      </x:c>
      <x:c r="Q4082" s="11" t="n">
        <x:v>0</x:v>
      </x:c>
      <x:c r="R4082" s="8" t="n">
        <x:v>45616</x:v>
      </x:c>
      <x:c r="S4082" s="4" t="str">
        <x:v>Retained</x:v>
      </x:c>
      <x:c r="T4082" s="10" t="n">
        <x:v>0.291946</x:v>
      </x:c>
      <x:c r="U4082" s="4" t="str">
        <x:v>Test</x:v>
      </x:c>
    </x:row>
    <x:row r="4083" ht="34" customHeight="1">
      <x:c r="A4083" s="4" t="str">
        <x:v>RS-04082</x:v>
      </x:c>
      <x:c r="B4083" s="8" t="n">
        <x:v>45557</x:v>
      </x:c>
      <x:c r="C4083" s="4" t="str">
        <x:v>PRJ-002</x:v>
      </x:c>
      <x:c r="D4083" s="4" t="str">
        <x:v>Villa</x:v>
      </x:c>
      <x:c r="E4083" s="4" t="str">
        <x:v>Agreement signed</x:v>
      </x:c>
      <x:c r="F4083" s="4" t="str">
        <x:v>CUS-04082</x:v>
      </x:c>
      <x:c r="G4083" s="4" t="str">
        <x:v>UNIT-04082</x:v>
      </x:c>
      <x:c r="H4083" s="9" t="n">
        <x:v>22600000</x:v>
      </x:c>
      <x:c r="I4083" s="10" t="n">
        <x:v>0.11</x:v>
      </x:c>
      <x:c r="J4083" s="11" t="n">
        <x:v>2</x:v>
      </x:c>
      <x:c r="K4083" s="11" t="n">
        <x:v>9</x:v>
      </x:c>
      <x:c r="L4083" s="11" t="n">
        <x:v>1</x:v>
      </x:c>
      <x:c r="M4083" s="9" t="n">
        <x:f>ROUND(H4083*(1-I4083),2)</x:f>
        <x:v>20114000</x:v>
      </x:c>
      <x:c r="N4083" s="4" t="str">
        <x:v>Sales head</x:v>
      </x:c>
      <x:c r="O4083" s="4" t="str">
        <x:v>BOOK-04082</x:v>
      </x:c>
      <x:c r="P4083" s="9" t="n">
        <x:v>20114000</x:v>
      </x:c>
      <x:c r="Q4083" s="11" t="n">
        <x:v>0</x:v>
      </x:c>
      <x:c r="R4083" s="8" t="n">
        <x:v>45617</x:v>
      </x:c>
      <x:c r="S4083" s="4" t="str">
        <x:v>Retained</x:v>
      </x:c>
      <x:c r="T4083" s="10" t="n">
        <x:v>0.145833</x:v>
      </x:c>
      <x:c r="U4083" s="4" t="str">
        <x:v>Test</x:v>
      </x:c>
    </x:row>
    <x:row r="4084" ht="34" customHeight="1">
      <x:c r="A4084" s="4" t="str">
        <x:v>RS-04083</x:v>
      </x:c>
      <x:c r="B4084" s="8" t="n">
        <x:v>45558</x:v>
      </x:c>
      <x:c r="C4084" s="4" t="str">
        <x:v>PRJ-003</x:v>
      </x:c>
      <x:c r="D4084" s="4" t="str">
        <x:v>Office</x:v>
      </x:c>
      <x:c r="E4084" s="4" t="str">
        <x:v>Agreement signed</x:v>
      </x:c>
      <x:c r="F4084" s="4" t="str">
        <x:v>CUS-04083</x:v>
      </x:c>
      <x:c r="G4084" s="4" t="str">
        <x:v>UNIT-04083</x:v>
      </x:c>
      <x:c r="H4084" s="9" t="n">
        <x:v>19700000</x:v>
      </x:c>
      <x:c r="I4084" s="10" t="n">
        <x:v>0.08</x:v>
      </x:c>
      <x:c r="J4084" s="11" t="n">
        <x:v>7</x:v>
      </x:c>
      <x:c r="K4084" s="11" t="n">
        <x:v>3</x:v>
      </x:c>
      <x:c r="L4084" s="11" t="n">
        <x:v>0</x:v>
      </x:c>
      <x:c r="M4084" s="9" t="n">
        <x:f>ROUND(H4084*(1-I4084),2)</x:f>
        <x:v>18124000</x:v>
      </x:c>
      <x:c r="N4084" s="4" t="str">
        <x:v>Sales head</x:v>
      </x:c>
      <x:c r="O4084" s="4" t="str">
        <x:v>BOOK-04083</x:v>
      </x:c>
      <x:c r="P4084" s="9" t="n">
        <x:v>18124000</x:v>
      </x:c>
      <x:c r="Q4084" s="11" t="n">
        <x:v>0</x:v>
      </x:c>
      <x:c r="R4084" s="8" t="n">
        <x:v>45618</x:v>
      </x:c>
      <x:c r="S4084" s="4" t="str">
        <x:v>Retained</x:v>
      </x:c>
      <x:c r="T4084" s="10" t="n">
        <x:v>0.226277</x:v>
      </x:c>
      <x:c r="U4084" s="4" t="str">
        <x:v>Test</x:v>
      </x:c>
    </x:row>
    <x:row r="4085" ht="34" customHeight="1">
      <x:c r="A4085" s="4" t="str">
        <x:v>RS-04084</x:v>
      </x:c>
      <x:c r="B4085" s="8" t="n">
        <x:v>45559</x:v>
      </x:c>
      <x:c r="C4085" s="4" t="str">
        <x:v>PRJ-004</x:v>
      </x:c>
      <x:c r="D4085" s="4" t="str">
        <x:v>Retail</x:v>
      </x:c>
      <x:c r="E4085" s="4" t="str">
        <x:v>Agreement signed</x:v>
      </x:c>
      <x:c r="F4085" s="4" t="str">
        <x:v>CUS-04084</x:v>
      </x:c>
      <x:c r="G4085" s="4" t="str">
        <x:v>UNIT-04084</x:v>
      </x:c>
      <x:c r="H4085" s="9" t="n">
        <x:v>16700000</x:v>
      </x:c>
      <x:c r="I4085" s="10" t="n">
        <x:v>0.09</x:v>
      </x:c>
      <x:c r="J4085" s="11" t="n">
        <x:v>12</x:v>
      </x:c>
      <x:c r="K4085" s="11" t="n">
        <x:v>2</x:v>
      </x:c>
      <x:c r="L4085" s="11" t="n">
        <x:v>1</x:v>
      </x:c>
      <x:c r="M4085" s="9" t="n">
        <x:f>ROUND(H4085*(1-I4085),2)</x:f>
        <x:v>15197000</x:v>
      </x:c>
      <x:c r="N4085" s="4" t="str">
        <x:v>Sales head</x:v>
      </x:c>
      <x:c r="O4085" s="4" t="str">
        <x:v>BOOK-04084</x:v>
      </x:c>
      <x:c r="P4085" s="9" t="n">
        <x:v>7598500</x:v>
      </x:c>
      <x:c r="Q4085" s="11" t="n">
        <x:v>0</x:v>
      </x:c>
      <x:c r="R4085" s="8" t="n">
        <x:v>45619</x:v>
      </x:c>
      <x:c r="S4085" s="4" t="str">
        <x:v>Retained</x:v>
      </x:c>
      <x:c r="T4085" s="10" t="n">
        <x:v>0.351536</x:v>
      </x:c>
      <x:c r="U4085" s="4" t="str">
        <x:v>Test</x:v>
      </x:c>
    </x:row>
    <x:row r="4086" ht="34" customHeight="1">
      <x:c r="A4086" s="4" t="str">
        <x:v>RS-04085</x:v>
      </x:c>
      <x:c r="B4086" s="8" t="n">
        <x:v>45560</x:v>
      </x:c>
      <x:c r="C4086" s="4" t="str">
        <x:v>PRJ-005</x:v>
      </x:c>
      <x:c r="D4086" s="4" t="str">
        <x:v>Retail</x:v>
      </x:c>
      <x:c r="E4086" s="4" t="str">
        <x:v>Enquiry</x:v>
      </x:c>
      <x:c r="F4086" s="4" t="str">
        <x:v>CUS-04085</x:v>
      </x:c>
      <x:c r="G4086" s="4" t="str">
        <x:v>UNIT-04085</x:v>
      </x:c>
      <x:c r="H4086" s="9" t="n">
        <x:v>17700000</x:v>
      </x:c>
      <x:c r="I4086" s="10" t="n">
        <x:v>0.09</x:v>
      </x:c>
      <x:c r="J4086" s="11" t="n">
        <x:v>1</x:v>
      </x:c>
      <x:c r="K4086" s="11" t="n">
        <x:v>6</x:v>
      </x:c>
      <x:c r="L4086" s="11" t="n">
        <x:v>0</x:v>
      </x:c>
      <x:c r="M4086" s="9" t="n">
        <x:f>ROUND(H4086*(1-I4086),2)</x:f>
        <x:v>16107000</x:v>
      </x:c>
      <x:c r="N4086" s="4" t="str">
        <x:v>Sales head</x:v>
      </x:c>
      <x:c r="O4086" s="4"/>
      <x:c r="P4086" s="9" t="n">
        <x:v>0</x:v>
      </x:c>
      <x:c r="Q4086" s="11" t="n">
        <x:v>0</x:v>
      </x:c>
      <x:c r="R4086" s="8" t="n">
        <x:v>45620</x:v>
      </x:c>
      <x:c r="S4086" s="4" t="str">
        <x:v>Retained</x:v>
      </x:c>
      <x:c r="T4086" s="10" t="n">
        <x:v>0.145833</x:v>
      </x:c>
      <x:c r="U4086" s="4" t="str">
        <x:v>Test</x:v>
      </x:c>
    </x:row>
    <x:row r="4087" ht="34" customHeight="1">
      <x:c r="A4087" s="4" t="str">
        <x:v>RS-04086</x:v>
      </x:c>
      <x:c r="B4087" s="8" t="n">
        <x:v>45561</x:v>
      </x:c>
      <x:c r="C4087" s="4" t="str">
        <x:v>PRJ-006</x:v>
      </x:c>
      <x:c r="D4087" s="4" t="str">
        <x:v>Apartment</x:v>
      </x:c>
      <x:c r="E4087" s="4" t="str">
        <x:v>Handed over</x:v>
      </x:c>
      <x:c r="F4087" s="4" t="str">
        <x:v>CUS-04086</x:v>
      </x:c>
      <x:c r="G4087" s="4" t="str">
        <x:v>UNIT-04086</x:v>
      </x:c>
      <x:c r="H4087" s="9" t="n">
        <x:v>6700000</x:v>
      </x:c>
      <x:c r="I4087" s="10" t="n">
        <x:v>0.1</x:v>
      </x:c>
      <x:c r="J4087" s="11" t="n">
        <x:v>7</x:v>
      </x:c>
      <x:c r="K4087" s="11" t="n">
        <x:v>2</x:v>
      </x:c>
      <x:c r="L4087" s="11" t="n">
        <x:v>1</x:v>
      </x:c>
      <x:c r="M4087" s="9" t="n">
        <x:f>ROUND(H4087*(1-I4087),2)</x:f>
        <x:v>6030000</x:v>
      </x:c>
      <x:c r="N4087" s="4" t="str">
        <x:v>Sales head</x:v>
      </x:c>
      <x:c r="O4087" s="4" t="str">
        <x:v>BOOK-04086</x:v>
      </x:c>
      <x:c r="P4087" s="9" t="n">
        <x:v>6030000</x:v>
      </x:c>
      <x:c r="Q4087" s="11" t="n">
        <x:v>0</x:v>
      </x:c>
      <x:c r="R4087" s="8" t="n">
        <x:v>45621</x:v>
      </x:c>
      <x:c r="S4087" s="4" t="str">
        <x:v>Retained</x:v>
      </x:c>
      <x:c r="T4087" s="10" t="n">
        <x:v>0.291946</x:v>
      </x:c>
      <x:c r="U4087" s="4" t="str">
        <x:v>Test</x:v>
      </x:c>
    </x:row>
    <x:row r="4088" ht="34" customHeight="1">
      <x:c r="A4088" s="4" t="str">
        <x:v>RS-04087</x:v>
      </x:c>
      <x:c r="B4088" s="8" t="n">
        <x:v>45562</x:v>
      </x:c>
      <x:c r="C4088" s="4" t="str">
        <x:v>PRJ-007</x:v>
      </x:c>
      <x:c r="D4088" s="4" t="str">
        <x:v>Office</x:v>
      </x:c>
      <x:c r="E4088" s="4" t="str">
        <x:v>Handed over</x:v>
      </x:c>
      <x:c r="F4088" s="4" t="str">
        <x:v>CUS-04087</x:v>
      </x:c>
      <x:c r="G4088" s="4" t="str">
        <x:v>UNIT-04087</x:v>
      </x:c>
      <x:c r="H4088" s="9" t="n">
        <x:v>8800000</x:v>
      </x:c>
      <x:c r="I4088" s="10" t="n">
        <x:v>0.02</x:v>
      </x:c>
      <x:c r="J4088" s="11" t="n">
        <x:v>10</x:v>
      </x:c>
      <x:c r="K4088" s="11" t="n">
        <x:v>7</x:v>
      </x:c>
      <x:c r="L4088" s="11" t="n">
        <x:v>0</x:v>
      </x:c>
      <x:c r="M4088" s="9" t="n">
        <x:f>ROUND(H4088*(1-I4088),2)</x:f>
        <x:v>8624000</x:v>
      </x:c>
      <x:c r="N4088" s="4" t="str">
        <x:v>Sales manager</x:v>
      </x:c>
      <x:c r="O4088" s="4" t="str">
        <x:v>BOOK-04087</x:v>
      </x:c>
      <x:c r="P4088" s="9" t="n">
        <x:v>862400</x:v>
      </x:c>
      <x:c r="Q4088" s="11" t="n">
        <x:v>0</x:v>
      </x:c>
      <x:c r="R4088" s="8" t="n">
        <x:v>45622</x:v>
      </x:c>
      <x:c r="S4088" s="4" t="str">
        <x:v>Retained</x:v>
      </x:c>
      <x:c r="T4088" s="10" t="n">
        <x:v>0.305556</x:v>
      </x:c>
      <x:c r="U4088" s="4" t="str">
        <x:v>Test</x:v>
      </x:c>
    </x:row>
    <x:row r="4089" ht="34" customHeight="1">
      <x:c r="A4089" s="4" t="str">
        <x:v>RS-04088</x:v>
      </x:c>
      <x:c r="B4089" s="8" t="n">
        <x:v>45563</x:v>
      </x:c>
      <x:c r="C4089" s="4" t="str">
        <x:v>PRJ-008</x:v>
      </x:c>
      <x:c r="D4089" s="4" t="str">
        <x:v>Office</x:v>
      </x:c>
      <x:c r="E4089" s="4" t="str">
        <x:v>Booked</x:v>
      </x:c>
      <x:c r="F4089" s="4" t="str">
        <x:v>CUS-04088</x:v>
      </x:c>
      <x:c r="G4089" s="4" t="str">
        <x:v>UNIT-04088</x:v>
      </x:c>
      <x:c r="H4089" s="9" t="n">
        <x:v>18800000</x:v>
      </x:c>
      <x:c r="I4089" s="10" t="n">
        <x:v>0.01</x:v>
      </x:c>
      <x:c r="J4089" s="11" t="n">
        <x:v>4</x:v>
      </x:c>
      <x:c r="K4089" s="11" t="n">
        <x:v>2</x:v>
      </x:c>
      <x:c r="L4089" s="11" t="n">
        <x:v>1</x:v>
      </x:c>
      <x:c r="M4089" s="9" t="n">
        <x:f>ROUND(H4089*(1-I4089),2)</x:f>
        <x:v>18612000</x:v>
      </x:c>
      <x:c r="N4089" s="4" t="str">
        <x:v>Sales manager</x:v>
      </x:c>
      <x:c r="O4089" s="4" t="str">
        <x:v>BOOK-04088</x:v>
      </x:c>
      <x:c r="P4089" s="9" t="n">
        <x:v>9306000</x:v>
      </x:c>
      <x:c r="Q4089" s="11" t="n">
        <x:v>0</x:v>
      </x:c>
      <x:c r="R4089" s="8" t="n">
        <x:v>45623</x:v>
      </x:c>
      <x:c r="S4089" s="4" t="str">
        <x:v>Retained</x:v>
      </x:c>
      <x:c r="T4089" s="10" t="n">
        <x:v>0.298969</x:v>
      </x:c>
      <x:c r="U4089" s="4" t="str">
        <x:v>Test</x:v>
      </x:c>
    </x:row>
    <x:row r="4090" ht="34" customHeight="1">
      <x:c r="A4090" s="4" t="str">
        <x:v>RS-04089</x:v>
      </x:c>
      <x:c r="B4090" s="8" t="n">
        <x:v>45536</x:v>
      </x:c>
      <x:c r="C4090" s="4" t="str">
        <x:v>PRJ-009</x:v>
      </x:c>
      <x:c r="D4090" s="4" t="str">
        <x:v>Villa</x:v>
      </x:c>
      <x:c r="E4090" s="4" t="str">
        <x:v>Cancelled</x:v>
      </x:c>
      <x:c r="F4090" s="4" t="str">
        <x:v>CUS-04089</x:v>
      </x:c>
      <x:c r="G4090" s="4" t="str">
        <x:v>UNIT-04089</x:v>
      </x:c>
      <x:c r="H4090" s="9" t="n">
        <x:v>6700000</x:v>
      </x:c>
      <x:c r="I4090" s="10" t="n">
        <x:v>0.05</x:v>
      </x:c>
      <x:c r="J4090" s="11" t="n">
        <x:v>10</x:v>
      </x:c>
      <x:c r="K4090" s="11" t="n">
        <x:v>7</x:v>
      </x:c>
      <x:c r="L4090" s="11" t="n">
        <x:v>0</x:v>
      </x:c>
      <x:c r="M4090" s="9" t="n">
        <x:f>ROUND(H4090*(1-I4090),2)</x:f>
        <x:v>6365000</x:v>
      </x:c>
      <x:c r="N4090" s="4" t="str">
        <x:v>Sales manager</x:v>
      </x:c>
      <x:c r="O4090" s="4"/>
      <x:c r="P4090" s="9" t="n">
        <x:v>0</x:v>
      </x:c>
      <x:c r="Q4090" s="11" t="n">
        <x:v>1</x:v>
      </x:c>
      <x:c r="R4090" s="8" t="n">
        <x:v>45596</x:v>
      </x:c>
      <x:c r="S4090" s="4" t="str">
        <x:v>Lost / cancelled</x:v>
      </x:c>
      <x:c r="T4090" s="10" t="n">
        <x:v>0.310195</x:v>
      </x:c>
      <x:c r="U4090" s="4" t="str">
        <x:v>Test</x:v>
      </x:c>
    </x:row>
    <x:row r="4091" ht="34" customHeight="1">
      <x:c r="A4091" s="4" t="str">
        <x:v>RS-04090</x:v>
      </x:c>
      <x:c r="B4091" s="8" t="n">
        <x:v>45537</x:v>
      </x:c>
      <x:c r="C4091" s="4" t="str">
        <x:v>PRJ-010</x:v>
      </x:c>
      <x:c r="D4091" s="4" t="str">
        <x:v>Apartment</x:v>
      </x:c>
      <x:c r="E4091" s="4" t="str">
        <x:v>Handed over</x:v>
      </x:c>
      <x:c r="F4091" s="4" t="str">
        <x:v>CUS-04090</x:v>
      </x:c>
      <x:c r="G4091" s="4" t="str">
        <x:v>UNIT-04090</x:v>
      </x:c>
      <x:c r="H4091" s="9" t="n">
        <x:v>18200000</x:v>
      </x:c>
      <x:c r="I4091" s="10" t="n">
        <x:v>0.12</x:v>
      </x:c>
      <x:c r="J4091" s="11" t="n">
        <x:v>2</x:v>
      </x:c>
      <x:c r="K4091" s="11" t="n">
        <x:v>3</x:v>
      </x:c>
      <x:c r="L4091" s="11" t="n">
        <x:v>1</x:v>
      </x:c>
      <x:c r="M4091" s="9" t="n">
        <x:f>ROUND(H4091*(1-I4091),2)</x:f>
        <x:v>16016000</x:v>
      </x:c>
      <x:c r="N4091" s="4" t="str">
        <x:v>Sales head</x:v>
      </x:c>
      <x:c r="O4091" s="4" t="str">
        <x:v>BOOK-04090</x:v>
      </x:c>
      <x:c r="P4091" s="9" t="n">
        <x:v>16016000</x:v>
      </x:c>
      <x:c r="Q4091" s="11" t="n">
        <x:v>0</x:v>
      </x:c>
      <x:c r="R4091" s="8" t="n">
        <x:v>45597</x:v>
      </x:c>
      <x:c r="S4091" s="4" t="str">
        <x:v>Retained</x:v>
      </x:c>
      <x:c r="T4091" s="10" t="n">
        <x:v>0.145833</x:v>
      </x:c>
      <x:c r="U4091" s="4" t="str">
        <x:v>Test</x:v>
      </x:c>
    </x:row>
    <x:row r="4092" ht="34" customHeight="1">
      <x:c r="A4092" s="4" t="str">
        <x:v>RS-04091</x:v>
      </x:c>
      <x:c r="B4092" s="8" t="n">
        <x:v>45538</x:v>
      </x:c>
      <x:c r="C4092" s="4" t="str">
        <x:v>PRJ-011</x:v>
      </x:c>
      <x:c r="D4092" s="4" t="str">
        <x:v>Villa</x:v>
      </x:c>
      <x:c r="E4092" s="4" t="str">
        <x:v>Handed over</x:v>
      </x:c>
      <x:c r="F4092" s="4" t="str">
        <x:v>CUS-04091</x:v>
      </x:c>
      <x:c r="G4092" s="4" t="str">
        <x:v>UNIT-04091</x:v>
      </x:c>
      <x:c r="H4092" s="9" t="n">
        <x:v>23000000</x:v>
      </x:c>
      <x:c r="I4092" s="10" t="n">
        <x:v>0.07</x:v>
      </x:c>
      <x:c r="J4092" s="11" t="n">
        <x:v>1</x:v>
      </x:c>
      <x:c r="K4092" s="11" t="n">
        <x:v>4</x:v>
      </x:c>
      <x:c r="L4092" s="11" t="n">
        <x:v>1</x:v>
      </x:c>
      <x:c r="M4092" s="9" t="n">
        <x:f>ROUND(H4092*(1-I4092),2)</x:f>
        <x:v>21390000</x:v>
      </x:c>
      <x:c r="N4092" s="4" t="str">
        <x:v>Sales manager</x:v>
      </x:c>
      <x:c r="O4092" s="4" t="str">
        <x:v>BOOK-04091</x:v>
      </x:c>
      <x:c r="P4092" s="9" t="n">
        <x:v>2139000</x:v>
      </x:c>
      <x:c r="Q4092" s="11" t="n">
        <x:v>0</x:v>
      </x:c>
      <x:c r="R4092" s="8" t="n">
        <x:v>45598</x:v>
      </x:c>
      <x:c r="S4092" s="4" t="str">
        <x:v>Retained</x:v>
      </x:c>
      <x:c r="T4092" s="10" t="n">
        <x:v>0.204152</x:v>
      </x:c>
      <x:c r="U4092" s="4" t="str">
        <x:v>Test</x:v>
      </x:c>
    </x:row>
    <x:row r="4093" ht="34" customHeight="1">
      <x:c r="A4093" s="4" t="str">
        <x:v>RS-04092</x:v>
      </x:c>
      <x:c r="B4093" s="8" t="n">
        <x:v>45539</x:v>
      </x:c>
      <x:c r="C4093" s="4" t="str">
        <x:v>PRJ-012</x:v>
      </x:c>
      <x:c r="D4093" s="4" t="str">
        <x:v>Retail</x:v>
      </x:c>
      <x:c r="E4093" s="4" t="str">
        <x:v>Enquiry</x:v>
      </x:c>
      <x:c r="F4093" s="4" t="str">
        <x:v>CUS-04092</x:v>
      </x:c>
      <x:c r="G4093" s="4" t="str">
        <x:v>UNIT-04092</x:v>
      </x:c>
      <x:c r="H4093" s="9" t="n">
        <x:v>23400000</x:v>
      </x:c>
      <x:c r="I4093" s="10" t="n">
        <x:v>0.06</x:v>
      </x:c>
      <x:c r="J4093" s="11" t="n">
        <x:v>9</x:v>
      </x:c>
      <x:c r="K4093" s="11" t="n">
        <x:v>8</x:v>
      </x:c>
      <x:c r="L4093" s="11" t="n">
        <x:v>0</x:v>
      </x:c>
      <x:c r="M4093" s="9" t="n">
        <x:f>ROUND(H4093*(1-I4093),2)</x:f>
        <x:v>21996000</x:v>
      </x:c>
      <x:c r="N4093" s="4" t="str">
        <x:v>Sales manager</x:v>
      </x:c>
      <x:c r="O4093" s="4"/>
      <x:c r="P4093" s="9" t="n">
        <x:v>0</x:v>
      </x:c>
      <x:c r="Q4093" s="11" t="n">
        <x:v>0</x:v>
      </x:c>
      <x:c r="R4093" s="8" t="n">
        <x:v>45599</x:v>
      </x:c>
      <x:c r="S4093" s="4" t="str">
        <x:v>Retained</x:v>
      </x:c>
      <x:c r="T4093" s="10" t="n">
        <x:v>0.310195</x:v>
      </x:c>
      <x:c r="U4093" s="4" t="str">
        <x:v>Test</x:v>
      </x:c>
    </x:row>
    <x:row r="4094" ht="34" customHeight="1">
      <x:c r="A4094" s="4" t="str">
        <x:v>RS-04093</x:v>
      </x:c>
      <x:c r="B4094" s="8" t="n">
        <x:v>45540</x:v>
      </x:c>
      <x:c r="C4094" s="4" t="str">
        <x:v>PRJ-013</x:v>
      </x:c>
      <x:c r="D4094" s="4" t="str">
        <x:v>Apartment</x:v>
      </x:c>
      <x:c r="E4094" s="4" t="str">
        <x:v>Enquiry</x:v>
      </x:c>
      <x:c r="F4094" s="4" t="str">
        <x:v>CUS-04093</x:v>
      </x:c>
      <x:c r="G4094" s="4" t="str">
        <x:v>UNIT-04093</x:v>
      </x:c>
      <x:c r="H4094" s="9" t="n">
        <x:v>15000000</x:v>
      </x:c>
      <x:c r="I4094" s="10" t="n">
        <x:v>0.04</x:v>
      </x:c>
      <x:c r="J4094" s="11" t="n">
        <x:v>9</x:v>
      </x:c>
      <x:c r="K4094" s="11" t="n">
        <x:v>7</x:v>
      </x:c>
      <x:c r="L4094" s="11" t="n">
        <x:v>0</x:v>
      </x:c>
      <x:c r="M4094" s="9" t="n">
        <x:f>ROUND(H4094*(1-I4094),2)</x:f>
        <x:v>14400000</x:v>
      </x:c>
      <x:c r="N4094" s="4" t="str">
        <x:v>Sales manager</x:v>
      </x:c>
      <x:c r="O4094" s="4"/>
      <x:c r="P4094" s="9" t="n">
        <x:v>0</x:v>
      </x:c>
      <x:c r="Q4094" s="11" t="n">
        <x:v>1</x:v>
      </x:c>
      <x:c r="R4094" s="8" t="n">
        <x:v>45600</x:v>
      </x:c>
      <x:c r="S4094" s="4" t="str">
        <x:v>Lost / cancelled</x:v>
      </x:c>
      <x:c r="T4094" s="10" t="n">
        <x:v>0.310195</x:v>
      </x:c>
      <x:c r="U4094" s="4" t="str">
        <x:v>Test</x:v>
      </x:c>
    </x:row>
    <x:row r="4095" ht="34" customHeight="1">
      <x:c r="A4095" s="4" t="str">
        <x:v>RS-04094</x:v>
      </x:c>
      <x:c r="B4095" s="8" t="n">
        <x:v>45541</x:v>
      </x:c>
      <x:c r="C4095" s="4" t="str">
        <x:v>PRJ-014</x:v>
      </x:c>
      <x:c r="D4095" s="4" t="str">
        <x:v>Retail</x:v>
      </x:c>
      <x:c r="E4095" s="4" t="str">
        <x:v>Reserved</x:v>
      </x:c>
      <x:c r="F4095" s="4" t="str">
        <x:v>CUS-04094</x:v>
      </x:c>
      <x:c r="G4095" s="4" t="str">
        <x:v>UNIT-04094</x:v>
      </x:c>
      <x:c r="H4095" s="9" t="n">
        <x:v>14500000</x:v>
      </x:c>
      <x:c r="I4095" s="10" t="n">
        <x:v>0.12</x:v>
      </x:c>
      <x:c r="J4095" s="11" t="n">
        <x:v>10</x:v>
      </x:c>
      <x:c r="K4095" s="11" t="n">
        <x:v>10</x:v>
      </x:c>
      <x:c r="L4095" s="11" t="n">
        <x:v>1</x:v>
      </x:c>
      <x:c r="M4095" s="9" t="n">
        <x:f>ROUND(H4095*(1-I4095),2)</x:f>
        <x:v>12760000</x:v>
      </x:c>
      <x:c r="N4095" s="4" t="str">
        <x:v>Sales head</x:v>
      </x:c>
      <x:c r="O4095" s="4"/>
      <x:c r="P4095" s="9" t="n">
        <x:v>0</x:v>
      </x:c>
      <x:c r="Q4095" s="11" t="n">
        <x:v>1</x:v>
      </x:c>
      <x:c r="R4095" s="8" t="n">
        <x:v>45601</x:v>
      </x:c>
      <x:c r="S4095" s="4" t="str">
        <x:v>Lost / cancelled</x:v>
      </x:c>
      <x:c r="T4095" s="10" t="n">
        <x:v>0.310195</x:v>
      </x:c>
      <x:c r="U4095" s="4" t="str">
        <x:v>Test</x:v>
      </x:c>
    </x:row>
    <x:row r="4096" ht="34" customHeight="1">
      <x:c r="A4096" s="4" t="str">
        <x:v>RS-04095</x:v>
      </x:c>
      <x:c r="B4096" s="8" t="n">
        <x:v>45542</x:v>
      </x:c>
      <x:c r="C4096" s="4" t="str">
        <x:v>PRJ-015</x:v>
      </x:c>
      <x:c r="D4096" s="4" t="str">
        <x:v>Villa</x:v>
      </x:c>
      <x:c r="E4096" s="4" t="str">
        <x:v>Reserved</x:v>
      </x:c>
      <x:c r="F4096" s="4" t="str">
        <x:v>CUS-04095</x:v>
      </x:c>
      <x:c r="G4096" s="4" t="str">
        <x:v>UNIT-04095</x:v>
      </x:c>
      <x:c r="H4096" s="9" t="n">
        <x:v>4000000</x:v>
      </x:c>
      <x:c r="I4096" s="10" t="n">
        <x:v>0.1</x:v>
      </x:c>
      <x:c r="J4096" s="11" t="n">
        <x:v>0</x:v>
      </x:c>
      <x:c r="K4096" s="11" t="n">
        <x:v>8</x:v>
      </x:c>
      <x:c r="L4096" s="11" t="n">
        <x:v>0</x:v>
      </x:c>
      <x:c r="M4096" s="9" t="n">
        <x:f>ROUND(H4096*(1-I4096),2)</x:f>
        <x:v>3600000</x:v>
      </x:c>
      <x:c r="N4096" s="4" t="str">
        <x:v>Sales head</x:v>
      </x:c>
      <x:c r="O4096" s="4"/>
      <x:c r="P4096" s="9" t="n">
        <x:v>0</x:v>
      </x:c>
      <x:c r="Q4096" s="11" t="n">
        <x:v>0</x:v>
      </x:c>
      <x:c r="R4096" s="8" t="n">
        <x:v>45602</x:v>
      </x:c>
      <x:c r="S4096" s="4" t="str">
        <x:v>Retained</x:v>
      </x:c>
      <x:c r="T4096" s="10" t="n">
        <x:v>0.145833</x:v>
      </x:c>
      <x:c r="U4096" s="4" t="str">
        <x:v>Test</x:v>
      </x:c>
    </x:row>
    <x:row r="4097" ht="34" customHeight="1">
      <x:c r="A4097" s="4" t="str">
        <x:v>RS-04096</x:v>
      </x:c>
      <x:c r="B4097" s="8" t="n">
        <x:v>45543</x:v>
      </x:c>
      <x:c r="C4097" s="4" t="str">
        <x:v>PRJ-016</x:v>
      </x:c>
      <x:c r="D4097" s="4" t="str">
        <x:v>Apartment</x:v>
      </x:c>
      <x:c r="E4097" s="4" t="str">
        <x:v>Reserved</x:v>
      </x:c>
      <x:c r="F4097" s="4" t="str">
        <x:v>CUS-04096</x:v>
      </x:c>
      <x:c r="G4097" s="4" t="str">
        <x:v>UNIT-04096</x:v>
      </x:c>
      <x:c r="H4097" s="9" t="n">
        <x:v>20000000</x:v>
      </x:c>
      <x:c r="I4097" s="10" t="n">
        <x:v>0.1</x:v>
      </x:c>
      <x:c r="J4097" s="11" t="n">
        <x:v>2</x:v>
      </x:c>
      <x:c r="K4097" s="11" t="n">
        <x:v>1</x:v>
      </x:c>
      <x:c r="L4097" s="11" t="n">
        <x:v>0</x:v>
      </x:c>
      <x:c r="M4097" s="9" t="n">
        <x:f>ROUND(H4097*(1-I4097),2)</x:f>
        <x:v>18000000</x:v>
      </x:c>
      <x:c r="N4097" s="4" t="str">
        <x:v>Sales head</x:v>
      </x:c>
      <x:c r="O4097" s="4"/>
      <x:c r="P4097" s="9" t="n">
        <x:v>0</x:v>
      </x:c>
      <x:c r="Q4097" s="11" t="n">
        <x:v>0</x:v>
      </x:c>
      <x:c r="R4097" s="8" t="n">
        <x:v>45603</x:v>
      </x:c>
      <x:c r="S4097" s="4" t="str">
        <x:v>Retained</x:v>
      </x:c>
      <x:c r="T4097" s="10" t="n">
        <x:v>0.145833</x:v>
      </x:c>
      <x:c r="U4097" s="4" t="str">
        <x:v>Test</x:v>
      </x:c>
    </x:row>
    <x:row r="4098" ht="34" customHeight="1">
      <x:c r="A4098" s="4" t="str">
        <x:v>RS-04097</x:v>
      </x:c>
      <x:c r="B4098" s="8" t="n">
        <x:v>45544</x:v>
      </x:c>
      <x:c r="C4098" s="4" t="str">
        <x:v>PRJ-017</x:v>
      </x:c>
      <x:c r="D4098" s="4" t="str">
        <x:v>Retail</x:v>
      </x:c>
      <x:c r="E4098" s="4" t="str">
        <x:v>Handed over</x:v>
      </x:c>
      <x:c r="F4098" s="4" t="str">
        <x:v>CUS-04097</x:v>
      </x:c>
      <x:c r="G4098" s="4" t="str">
        <x:v>UNIT-04097</x:v>
      </x:c>
      <x:c r="H4098" s="9" t="n">
        <x:v>12500000</x:v>
      </x:c>
      <x:c r="I4098" s="10" t="n">
        <x:v>0.1</x:v>
      </x:c>
      <x:c r="J4098" s="11" t="n">
        <x:v>4</x:v>
      </x:c>
      <x:c r="K4098" s="11" t="n">
        <x:v>0</x:v>
      </x:c>
      <x:c r="L4098" s="11" t="n">
        <x:v>1</x:v>
      </x:c>
      <x:c r="M4098" s="9" t="n">
        <x:f>ROUND(H4098*(1-I4098),2)</x:f>
        <x:v>11250000</x:v>
      </x:c>
      <x:c r="N4098" s="4" t="str">
        <x:v>Sales head</x:v>
      </x:c>
      <x:c r="O4098" s="4" t="str">
        <x:v>BOOK-04097</x:v>
      </x:c>
      <x:c r="P4098" s="9" t="n">
        <x:v>5625000</x:v>
      </x:c>
      <x:c r="Q4098" s="11" t="n">
        <x:v>0</x:v>
      </x:c>
      <x:c r="R4098" s="8" t="n">
        <x:v>45604</x:v>
      </x:c>
      <x:c r="S4098" s="4" t="str">
        <x:v>Retained</x:v>
      </x:c>
      <x:c r="T4098" s="10" t="n">
        <x:v>0.291946</x:v>
      </x:c>
      <x:c r="U4098" s="4" t="str">
        <x:v>Test</x:v>
      </x:c>
    </x:row>
    <x:row r="4099" ht="34" customHeight="1">
      <x:c r="A4099" s="4" t="str">
        <x:v>RS-04098</x:v>
      </x:c>
      <x:c r="B4099" s="8" t="n">
        <x:v>45545</x:v>
      </x:c>
      <x:c r="C4099" s="4" t="str">
        <x:v>PRJ-018</x:v>
      </x:c>
      <x:c r="D4099" s="4" t="str">
        <x:v>Apartment</x:v>
      </x:c>
      <x:c r="E4099" s="4" t="str">
        <x:v>Enquiry</x:v>
      </x:c>
      <x:c r="F4099" s="4" t="str">
        <x:v>CUS-04098</x:v>
      </x:c>
      <x:c r="G4099" s="4" t="str">
        <x:v>UNIT-04098</x:v>
      </x:c>
      <x:c r="H4099" s="9" t="n">
        <x:v>16400000</x:v>
      </x:c>
      <x:c r="I4099" s="10" t="n">
        <x:v>0.03</x:v>
      </x:c>
      <x:c r="J4099" s="11" t="n">
        <x:v>0</x:v>
      </x:c>
      <x:c r="K4099" s="11" t="n">
        <x:v>10</x:v>
      </x:c>
      <x:c r="L4099" s="11" t="n">
        <x:v>0</x:v>
      </x:c>
      <x:c r="M4099" s="9" t="n">
        <x:f>ROUND(H4099*(1-I4099),2)</x:f>
        <x:v>15908000</x:v>
      </x:c>
      <x:c r="N4099" s="4" t="str">
        <x:v>Sales manager</x:v>
      </x:c>
      <x:c r="O4099" s="4"/>
      <x:c r="P4099" s="9" t="n">
        <x:v>0</x:v>
      </x:c>
      <x:c r="Q4099" s="11" t="n">
        <x:v>0</x:v>
      </x:c>
      <x:c r="R4099" s="8" t="n">
        <x:v>45605</x:v>
      </x:c>
      <x:c r="S4099" s="4" t="str">
        <x:v>Retained</x:v>
      </x:c>
      <x:c r="T4099" s="10" t="n">
        <x:v>0.072165</x:v>
      </x:c>
      <x:c r="U4099" s="4" t="str">
        <x:v>Test</x:v>
      </x:c>
    </x:row>
    <x:row r="4100" ht="34" customHeight="1">
      <x:c r="A4100" s="4" t="str">
        <x:v>RS-04099</x:v>
      </x:c>
      <x:c r="B4100" s="8" t="n">
        <x:v>45546</x:v>
      </x:c>
      <x:c r="C4100" s="4" t="str">
        <x:v>PRJ-019</x:v>
      </x:c>
      <x:c r="D4100" s="4" t="str">
        <x:v>Villa</x:v>
      </x:c>
      <x:c r="E4100" s="4" t="str">
        <x:v>Agreement signed</x:v>
      </x:c>
      <x:c r="F4100" s="4" t="str">
        <x:v>CUS-04099</x:v>
      </x:c>
      <x:c r="G4100" s="4" t="str">
        <x:v>UNIT-04099</x:v>
      </x:c>
      <x:c r="H4100" s="9" t="n">
        <x:v>3500000</x:v>
      </x:c>
      <x:c r="I4100" s="10" t="n">
        <x:v>0.03</x:v>
      </x:c>
      <x:c r="J4100" s="11" t="n">
        <x:v>3</x:v>
      </x:c>
      <x:c r="K4100" s="11" t="n">
        <x:v>9</x:v>
      </x:c>
      <x:c r="L4100" s="11" t="n">
        <x:v>1</x:v>
      </x:c>
      <x:c r="M4100" s="9" t="n">
        <x:f>ROUND(H4100*(1-I4100),2)</x:f>
        <x:v>3395000</x:v>
      </x:c>
      <x:c r="N4100" s="4" t="str">
        <x:v>Sales manager</x:v>
      </x:c>
      <x:c r="O4100" s="4" t="str">
        <x:v>BOOK-04099</x:v>
      </x:c>
      <x:c r="P4100" s="9" t="n">
        <x:v>1697500</x:v>
      </x:c>
      <x:c r="Q4100" s="11" t="n">
        <x:v>0</x:v>
      </x:c>
      <x:c r="R4100" s="8" t="n">
        <x:v>45606</x:v>
      </x:c>
      <x:c r="S4100" s="4" t="str">
        <x:v>Retained</x:v>
      </x:c>
      <x:c r="T4100" s="10" t="n">
        <x:v>0.171717</x:v>
      </x:c>
      <x:c r="U4100" s="4" t="str">
        <x:v>Test</x:v>
      </x:c>
    </x:row>
    <x:row r="4101" ht="34" customHeight="1">
      <x:c r="A4101" s="4" t="str">
        <x:v>RS-04100</x:v>
      </x:c>
      <x:c r="B4101" s="8" t="n">
        <x:v>45547</x:v>
      </x:c>
      <x:c r="C4101" s="4" t="str">
        <x:v>PRJ-020</x:v>
      </x:c>
      <x:c r="D4101" s="4" t="str">
        <x:v>Office</x:v>
      </x:c>
      <x:c r="E4101" s="4" t="str">
        <x:v>Reserved</x:v>
      </x:c>
      <x:c r="F4101" s="4" t="str">
        <x:v>CUS-04100</x:v>
      </x:c>
      <x:c r="G4101" s="4" t="str">
        <x:v>UNIT-04100</x:v>
      </x:c>
      <x:c r="H4101" s="9" t="n">
        <x:v>5100000</x:v>
      </x:c>
      <x:c r="I4101" s="10" t="n">
        <x:v>0.01</x:v>
      </x:c>
      <x:c r="J4101" s="11" t="n">
        <x:v>0</x:v>
      </x:c>
      <x:c r="K4101" s="11" t="n">
        <x:v>0</x:v>
      </x:c>
      <x:c r="L4101" s="11" t="n">
        <x:v>1</x:v>
      </x:c>
      <x:c r="M4101" s="9" t="n">
        <x:f>ROUND(H4101*(1-I4101),2)</x:f>
        <x:v>5049000</x:v>
      </x:c>
      <x:c r="N4101" s="4" t="str">
        <x:v>Sales manager</x:v>
      </x:c>
      <x:c r="O4101" s="4"/>
      <x:c r="P4101" s="9" t="n">
        <x:v>0</x:v>
      </x:c>
      <x:c r="Q4101" s="11" t="n">
        <x:v>0</x:v>
      </x:c>
      <x:c r="R4101" s="8" t="n">
        <x:v>45607</x:v>
      </x:c>
      <x:c r="S4101" s="4" t="str">
        <x:v>Retained</x:v>
      </x:c>
      <x:c r="T4101" s="10" t="n">
        <x:v>0.276923</x:v>
      </x:c>
      <x:c r="U4101" s="4" t="str">
        <x:v>Test</x:v>
      </x:c>
    </x:row>
    <x:row r="4102" ht="34" customHeight="1">
      <x:c r="A4102" s="4" t="str">
        <x:v>RS-04101</x:v>
      </x:c>
      <x:c r="B4102" s="8" t="n">
        <x:v>45548</x:v>
      </x:c>
      <x:c r="C4102" s="4" t="str">
        <x:v>PRJ-001</x:v>
      </x:c>
      <x:c r="D4102" s="4" t="str">
        <x:v>Apartment</x:v>
      </x:c>
      <x:c r="E4102" s="4" t="str">
        <x:v>Agreement signed</x:v>
      </x:c>
      <x:c r="F4102" s="4" t="str">
        <x:v>CUS-04101</x:v>
      </x:c>
      <x:c r="G4102" s="4" t="str">
        <x:v>UNIT-04101</x:v>
      </x:c>
      <x:c r="H4102" s="9" t="n">
        <x:v>8100000</x:v>
      </x:c>
      <x:c r="I4102" s="10" t="n">
        <x:v>0.03</x:v>
      </x:c>
      <x:c r="J4102" s="11" t="n">
        <x:v>2</x:v>
      </x:c>
      <x:c r="K4102" s="11" t="n">
        <x:v>6</x:v>
      </x:c>
      <x:c r="L4102" s="11" t="n">
        <x:v>1</x:v>
      </x:c>
      <x:c r="M4102" s="9" t="n">
        <x:f>ROUND(H4102*(1-I4102),2)</x:f>
        <x:v>7857000</x:v>
      </x:c>
      <x:c r="N4102" s="4" t="str">
        <x:v>Sales manager</x:v>
      </x:c>
      <x:c r="O4102" s="4" t="str">
        <x:v>BOOK-04101</x:v>
      </x:c>
      <x:c r="P4102" s="9" t="n">
        <x:v>3928500</x:v>
      </x:c>
      <x:c r="Q4102" s="11" t="n">
        <x:v>0</x:v>
      </x:c>
      <x:c r="R4102" s="8" t="n">
        <x:v>45608</x:v>
      </x:c>
      <x:c r="S4102" s="4" t="str">
        <x:v>Retained</x:v>
      </x:c>
      <x:c r="T4102" s="10" t="n">
        <x:v>0.171717</x:v>
      </x:c>
      <x:c r="U4102" s="4" t="str">
        <x:v>Test</x:v>
      </x:c>
    </x:row>
    <x:row r="4103" ht="34" customHeight="1">
      <x:c r="A4103" s="4" t="str">
        <x:v>RS-04102</x:v>
      </x:c>
      <x:c r="B4103" s="8" t="n">
        <x:v>45549</x:v>
      </x:c>
      <x:c r="C4103" s="4" t="str">
        <x:v>PRJ-002</x:v>
      </x:c>
      <x:c r="D4103" s="4" t="str">
        <x:v>Villa</x:v>
      </x:c>
      <x:c r="E4103" s="4" t="str">
        <x:v>Enquiry</x:v>
      </x:c>
      <x:c r="F4103" s="4" t="str">
        <x:v>CUS-04102</x:v>
      </x:c>
      <x:c r="G4103" s="4" t="str">
        <x:v>UNIT-04102</x:v>
      </x:c>
      <x:c r="H4103" s="9" t="n">
        <x:v>12100000</x:v>
      </x:c>
      <x:c r="I4103" s="10" t="n">
        <x:v>0.08</x:v>
      </x:c>
      <x:c r="J4103" s="11" t="n">
        <x:v>9</x:v>
      </x:c>
      <x:c r="K4103" s="11" t="n">
        <x:v>6</x:v>
      </x:c>
      <x:c r="L4103" s="11" t="n">
        <x:v>1</x:v>
      </x:c>
      <x:c r="M4103" s="9" t="n">
        <x:f>ROUND(H4103*(1-I4103),2)</x:f>
        <x:v>11132000</x:v>
      </x:c>
      <x:c r="N4103" s="4" t="str">
        <x:v>Sales head</x:v>
      </x:c>
      <x:c r="O4103" s="4"/>
      <x:c r="P4103" s="9" t="n">
        <x:v>0</x:v>
      </x:c>
      <x:c r="Q4103" s="11" t="n">
        <x:v>1</x:v>
      </x:c>
      <x:c r="R4103" s="8" t="n">
        <x:v>45609</x:v>
      </x:c>
      <x:c r="S4103" s="4" t="str">
        <x:v>Lost / cancelled</x:v>
      </x:c>
      <x:c r="T4103" s="10" t="n">
        <x:v>0.310195</x:v>
      </x:c>
      <x:c r="U4103" s="4" t="str">
        <x:v>Test</x:v>
      </x:c>
    </x:row>
    <x:row r="4104" ht="34" customHeight="1">
      <x:c r="A4104" s="4" t="str">
        <x:v>RS-04103</x:v>
      </x:c>
      <x:c r="B4104" s="8" t="n">
        <x:v>45550</x:v>
      </x:c>
      <x:c r="C4104" s="4" t="str">
        <x:v>PRJ-003</x:v>
      </x:c>
      <x:c r="D4104" s="4" t="str">
        <x:v>Retail</x:v>
      </x:c>
      <x:c r="E4104" s="4" t="str">
        <x:v>Booked</x:v>
      </x:c>
      <x:c r="F4104" s="4" t="str">
        <x:v>CUS-04103</x:v>
      </x:c>
      <x:c r="G4104" s="4" t="str">
        <x:v>UNIT-04103</x:v>
      </x:c>
      <x:c r="H4104" s="9" t="n">
        <x:v>23700000</x:v>
      </x:c>
      <x:c r="I4104" s="10" t="n">
        <x:v>0.06</x:v>
      </x:c>
      <x:c r="J4104" s="11" t="n">
        <x:v>4</x:v>
      </x:c>
      <x:c r="K4104" s="11" t="n">
        <x:v>8</x:v>
      </x:c>
      <x:c r="L4104" s="11" t="n">
        <x:v>1</x:v>
      </x:c>
      <x:c r="M4104" s="9" t="n">
        <x:f>ROUND(H4104*(1-I4104),2)</x:f>
        <x:v>22278000</x:v>
      </x:c>
      <x:c r="N4104" s="4" t="str">
        <x:v>Sales manager</x:v>
      </x:c>
      <x:c r="O4104" s="4" t="str">
        <x:v>BOOK-04103</x:v>
      </x:c>
      <x:c r="P4104" s="9" t="n">
        <x:v>22278000</x:v>
      </x:c>
      <x:c r="Q4104" s="11" t="n">
        <x:v>0</x:v>
      </x:c>
      <x:c r="R4104" s="8" t="n">
        <x:v>45610</x:v>
      </x:c>
      <x:c r="S4104" s="4" t="str">
        <x:v>Retained</x:v>
      </x:c>
      <x:c r="T4104" s="10" t="n">
        <x:v>0.291946</x:v>
      </x:c>
      <x:c r="U4104" s="4" t="str">
        <x:v>Test</x:v>
      </x:c>
    </x:row>
    <x:row r="4105" ht="34" customHeight="1">
      <x:c r="A4105" s="4" t="str">
        <x:v>RS-04104</x:v>
      </x:c>
      <x:c r="B4105" s="8" t="n">
        <x:v>45551</x:v>
      </x:c>
      <x:c r="C4105" s="4" t="str">
        <x:v>PRJ-004</x:v>
      </x:c>
      <x:c r="D4105" s="4" t="str">
        <x:v>Apartment</x:v>
      </x:c>
      <x:c r="E4105" s="4" t="str">
        <x:v>Reserved</x:v>
      </x:c>
      <x:c r="F4105" s="4" t="str">
        <x:v>CUS-04104</x:v>
      </x:c>
      <x:c r="G4105" s="4" t="str">
        <x:v>UNIT-04104</x:v>
      </x:c>
      <x:c r="H4105" s="9" t="n">
        <x:v>24400000</x:v>
      </x:c>
      <x:c r="I4105" s="10" t="n">
        <x:v>0.05</x:v>
      </x:c>
      <x:c r="J4105" s="11" t="n">
        <x:v>10</x:v>
      </x:c>
      <x:c r="K4105" s="11" t="n">
        <x:v>10</x:v>
      </x:c>
      <x:c r="L4105" s="11" t="n">
        <x:v>1</x:v>
      </x:c>
      <x:c r="M4105" s="9" t="n">
        <x:f>ROUND(H4105*(1-I4105),2)</x:f>
        <x:v>23180000</x:v>
      </x:c>
      <x:c r="N4105" s="4" t="str">
        <x:v>Sales manager</x:v>
      </x:c>
      <x:c r="O4105" s="4"/>
      <x:c r="P4105" s="9" t="n">
        <x:v>0</x:v>
      </x:c>
      <x:c r="Q4105" s="11" t="n">
        <x:v>0</x:v>
      </x:c>
      <x:c r="R4105" s="8" t="n">
        <x:v>45611</x:v>
      </x:c>
      <x:c r="S4105" s="4" t="str">
        <x:v>Retained</x:v>
      </x:c>
      <x:c r="T4105" s="10" t="n">
        <x:v>0.310195</x:v>
      </x:c>
      <x:c r="U4105" s="4" t="str">
        <x:v>Test</x:v>
      </x:c>
    </x:row>
    <x:row r="4106" ht="34" customHeight="1">
      <x:c r="A4106" s="4" t="str">
        <x:v>RS-04105</x:v>
      </x:c>
      <x:c r="B4106" s="8" t="n">
        <x:v>45552</x:v>
      </x:c>
      <x:c r="C4106" s="4" t="str">
        <x:v>PRJ-005</x:v>
      </x:c>
      <x:c r="D4106" s="4" t="str">
        <x:v>Apartment</x:v>
      </x:c>
      <x:c r="E4106" s="4" t="str">
        <x:v>Enquiry</x:v>
      </x:c>
      <x:c r="F4106" s="4" t="str">
        <x:v>CUS-04105</x:v>
      </x:c>
      <x:c r="G4106" s="4" t="str">
        <x:v>UNIT-04105</x:v>
      </x:c>
      <x:c r="H4106" s="9" t="n">
        <x:v>18600000</x:v>
      </x:c>
      <x:c r="I4106" s="10" t="n">
        <x:v>0.12</x:v>
      </x:c>
      <x:c r="J4106" s="11" t="n">
        <x:v>2</x:v>
      </x:c>
      <x:c r="K4106" s="11" t="n">
        <x:v>6</x:v>
      </x:c>
      <x:c r="L4106" s="11" t="n">
        <x:v>1</x:v>
      </x:c>
      <x:c r="M4106" s="9" t="n">
        <x:f>ROUND(H4106*(1-I4106),2)</x:f>
        <x:v>16368000</x:v>
      </x:c>
      <x:c r="N4106" s="4" t="str">
        <x:v>Sales head</x:v>
      </x:c>
      <x:c r="O4106" s="4"/>
      <x:c r="P4106" s="9" t="n">
        <x:v>0</x:v>
      </x:c>
      <x:c r="Q4106" s="11" t="n">
        <x:v>0</x:v>
      </x:c>
      <x:c r="R4106" s="8" t="n">
        <x:v>45612</x:v>
      </x:c>
      <x:c r="S4106" s="4" t="str">
        <x:v>Retained</x:v>
      </x:c>
      <x:c r="T4106" s="10" t="n">
        <x:v>0.145833</x:v>
      </x:c>
      <x:c r="U4106" s="4" t="str">
        <x:v>Test</x:v>
      </x:c>
    </x:row>
    <x:row r="4107" ht="34" customHeight="1">
      <x:c r="A4107" s="4" t="str">
        <x:v>RS-04106</x:v>
      </x:c>
      <x:c r="B4107" s="8" t="n">
        <x:v>45553</x:v>
      </x:c>
      <x:c r="C4107" s="4" t="str">
        <x:v>PRJ-006</x:v>
      </x:c>
      <x:c r="D4107" s="4" t="str">
        <x:v>Villa</x:v>
      </x:c>
      <x:c r="E4107" s="4" t="str">
        <x:v>Handed over</x:v>
      </x:c>
      <x:c r="F4107" s="4" t="str">
        <x:v>CUS-04106</x:v>
      </x:c>
      <x:c r="G4107" s="4" t="str">
        <x:v>UNIT-04106</x:v>
      </x:c>
      <x:c r="H4107" s="9" t="n">
        <x:v>7100000</x:v>
      </x:c>
      <x:c r="I4107" s="10" t="n">
        <x:v>0.02</x:v>
      </x:c>
      <x:c r="J4107" s="11" t="n">
        <x:v>9</x:v>
      </x:c>
      <x:c r="K4107" s="11" t="n">
        <x:v>4</x:v>
      </x:c>
      <x:c r="L4107" s="11" t="n">
        <x:v>1</x:v>
      </x:c>
      <x:c r="M4107" s="9" t="n">
        <x:f>ROUND(H4107*(1-I4107),2)</x:f>
        <x:v>6958000</x:v>
      </x:c>
      <x:c r="N4107" s="4" t="str">
        <x:v>Sales manager</x:v>
      </x:c>
      <x:c r="O4107" s="4" t="str">
        <x:v>BOOK-04106</x:v>
      </x:c>
      <x:c r="P4107" s="9" t="n">
        <x:v>1739500</x:v>
      </x:c>
      <x:c r="Q4107" s="11" t="n">
        <x:v>0</x:v>
      </x:c>
      <x:c r="R4107" s="8" t="n">
        <x:v>45613</x:v>
      </x:c>
      <x:c r="S4107" s="4" t="str">
        <x:v>Retained</x:v>
      </x:c>
      <x:c r="T4107" s="10" t="n">
        <x:v>0.254545</x:v>
      </x:c>
      <x:c r="U4107" s="4" t="str">
        <x:v>Test</x:v>
      </x:c>
    </x:row>
    <x:row r="4108" ht="34" customHeight="1">
      <x:c r="A4108" s="4" t="str">
        <x:v>RS-04107</x:v>
      </x:c>
      <x:c r="B4108" s="8" t="n">
        <x:v>45554</x:v>
      </x:c>
      <x:c r="C4108" s="4" t="str">
        <x:v>PRJ-007</x:v>
      </x:c>
      <x:c r="D4108" s="4" t="str">
        <x:v>Office</x:v>
      </x:c>
      <x:c r="E4108" s="4" t="str">
        <x:v>Handed over</x:v>
      </x:c>
      <x:c r="F4108" s="4" t="str">
        <x:v>CUS-04107</x:v>
      </x:c>
      <x:c r="G4108" s="4" t="str">
        <x:v>UNIT-04107</x:v>
      </x:c>
      <x:c r="H4108" s="9" t="n">
        <x:v>10400000</x:v>
      </x:c>
      <x:c r="I4108" s="10" t="n">
        <x:v>0.05</x:v>
      </x:c>
      <x:c r="J4108" s="11" t="n">
        <x:v>2</x:v>
      </x:c>
      <x:c r="K4108" s="11" t="n">
        <x:v>8</x:v>
      </x:c>
      <x:c r="L4108" s="11" t="n">
        <x:v>1</x:v>
      </x:c>
      <x:c r="M4108" s="9" t="n">
        <x:f>ROUND(H4108*(1-I4108),2)</x:f>
        <x:v>9880000</x:v>
      </x:c>
      <x:c r="N4108" s="4" t="str">
        <x:v>Sales manager</x:v>
      </x:c>
      <x:c r="O4108" s="4" t="str">
        <x:v>BOOK-04107</x:v>
      </x:c>
      <x:c r="P4108" s="9" t="n">
        <x:v>2470000</x:v>
      </x:c>
      <x:c r="Q4108" s="11" t="n">
        <x:v>0</x:v>
      </x:c>
      <x:c r="R4108" s="8" t="n">
        <x:v>45614</x:v>
      </x:c>
      <x:c r="S4108" s="4" t="str">
        <x:v>Retained</x:v>
      </x:c>
      <x:c r="T4108" s="10" t="n">
        <x:v>0.204152</x:v>
      </x:c>
      <x:c r="U4108" s="4" t="str">
        <x:v>Test</x:v>
      </x:c>
    </x:row>
    <x:row r="4109" ht="34" customHeight="1">
      <x:c r="A4109" s="4" t="str">
        <x:v>RS-04108</x:v>
      </x:c>
      <x:c r="B4109" s="8" t="n">
        <x:v>45555</x:v>
      </x:c>
      <x:c r="C4109" s="4" t="str">
        <x:v>PRJ-008</x:v>
      </x:c>
      <x:c r="D4109" s="4" t="str">
        <x:v>Retail</x:v>
      </x:c>
      <x:c r="E4109" s="4" t="str">
        <x:v>Reserved</x:v>
      </x:c>
      <x:c r="F4109" s="4" t="str">
        <x:v>CUS-04108</x:v>
      </x:c>
      <x:c r="G4109" s="4" t="str">
        <x:v>UNIT-04108</x:v>
      </x:c>
      <x:c r="H4109" s="9" t="n">
        <x:v>8800000</x:v>
      </x:c>
      <x:c r="I4109" s="10" t="n">
        <x:v>0.04</x:v>
      </x:c>
      <x:c r="J4109" s="11" t="n">
        <x:v>11</x:v>
      </x:c>
      <x:c r="K4109" s="11" t="n">
        <x:v>1</x:v>
      </x:c>
      <x:c r="L4109" s="11" t="n">
        <x:v>1</x:v>
      </x:c>
      <x:c r="M4109" s="9" t="n">
        <x:f>ROUND(H4109*(1-I4109),2)</x:f>
        <x:v>8448000</x:v>
      </x:c>
      <x:c r="N4109" s="4" t="str">
        <x:v>Sales manager</x:v>
      </x:c>
      <x:c r="O4109" s="4"/>
      <x:c r="P4109" s="9" t="n">
        <x:v>0</x:v>
      </x:c>
      <x:c r="Q4109" s="11" t="n">
        <x:v>1</x:v>
      </x:c>
      <x:c r="R4109" s="8" t="n">
        <x:v>45615</x:v>
      </x:c>
      <x:c r="S4109" s="4" t="str">
        <x:v>Lost / cancelled</x:v>
      </x:c>
      <x:c r="T4109" s="10" t="n">
        <x:v>0.351536</x:v>
      </x:c>
      <x:c r="U4109" s="4" t="str">
        <x:v>Test</x:v>
      </x:c>
    </x:row>
    <x:row r="4110" ht="34" customHeight="1">
      <x:c r="A4110" s="4" t="str">
        <x:v>RS-04109</x:v>
      </x:c>
      <x:c r="B4110" s="8" t="n">
        <x:v>45556</x:v>
      </x:c>
      <x:c r="C4110" s="4" t="str">
        <x:v>PRJ-009</x:v>
      </x:c>
      <x:c r="D4110" s="4" t="str">
        <x:v>Apartment</x:v>
      </x:c>
      <x:c r="E4110" s="4" t="str">
        <x:v>Reserved</x:v>
      </x:c>
      <x:c r="F4110" s="4" t="str">
        <x:v>CUS-04109</x:v>
      </x:c>
      <x:c r="G4110" s="4" t="str">
        <x:v>UNIT-04109</x:v>
      </x:c>
      <x:c r="H4110" s="9" t="n">
        <x:v>18200000</x:v>
      </x:c>
      <x:c r="I4110" s="10" t="n">
        <x:v>0.08</x:v>
      </x:c>
      <x:c r="J4110" s="11" t="n">
        <x:v>7</x:v>
      </x:c>
      <x:c r="K4110" s="11" t="n">
        <x:v>0</x:v>
      </x:c>
      <x:c r="L4110" s="11" t="n">
        <x:v>1</x:v>
      </x:c>
      <x:c r="M4110" s="9" t="n">
        <x:f>ROUND(H4110*(1-I4110),2)</x:f>
        <x:v>16744000</x:v>
      </x:c>
      <x:c r="N4110" s="4" t="str">
        <x:v>Sales head</x:v>
      </x:c>
      <x:c r="O4110" s="4"/>
      <x:c r="P4110" s="9" t="n">
        <x:v>0</x:v>
      </x:c>
      <x:c r="Q4110" s="11" t="n">
        <x:v>1</x:v>
      </x:c>
      <x:c r="R4110" s="8" t="n">
        <x:v>45616</x:v>
      </x:c>
      <x:c r="S4110" s="4" t="str">
        <x:v>Lost / cancelled</x:v>
      </x:c>
      <x:c r="T4110" s="10" t="n">
        <x:v>0.291946</x:v>
      </x:c>
      <x:c r="U4110" s="4" t="str">
        <x:v>Test</x:v>
      </x:c>
    </x:row>
    <x:row r="4111" ht="34" customHeight="1">
      <x:c r="A4111" s="4" t="str">
        <x:v>RS-04110</x:v>
      </x:c>
      <x:c r="B4111" s="8" t="n">
        <x:v>45557</x:v>
      </x:c>
      <x:c r="C4111" s="4" t="str">
        <x:v>PRJ-010</x:v>
      </x:c>
      <x:c r="D4111" s="4" t="str">
        <x:v>Retail</x:v>
      </x:c>
      <x:c r="E4111" s="4" t="str">
        <x:v>Agreement signed</x:v>
      </x:c>
      <x:c r="F4111" s="4" t="str">
        <x:v>CUS-04110</x:v>
      </x:c>
      <x:c r="G4111" s="4" t="str">
        <x:v>UNIT-04110</x:v>
      </x:c>
      <x:c r="H4111" s="9" t="n">
        <x:v>23000000</x:v>
      </x:c>
      <x:c r="I4111" s="10" t="n">
        <x:v>0.1</x:v>
      </x:c>
      <x:c r="J4111" s="11" t="n">
        <x:v>11</x:v>
      </x:c>
      <x:c r="K4111" s="11" t="n">
        <x:v>0</x:v>
      </x:c>
      <x:c r="L4111" s="11" t="n">
        <x:v>0</x:v>
      </x:c>
      <x:c r="M4111" s="9" t="n">
        <x:f>ROUND(H4111*(1-I4111),2)</x:f>
        <x:v>20700000</x:v>
      </x:c>
      <x:c r="N4111" s="4" t="str">
        <x:v>Sales head</x:v>
      </x:c>
      <x:c r="O4111" s="4" t="str">
        <x:v>BOOK-04110</x:v>
      </x:c>
      <x:c r="P4111" s="9" t="n">
        <x:v>10350000</x:v>
      </x:c>
      <x:c r="Q4111" s="11" t="n">
        <x:v>0</x:v>
      </x:c>
      <x:c r="R4111" s="8" t="n">
        <x:v>45617</x:v>
      </x:c>
      <x:c r="S4111" s="4" t="str">
        <x:v>Retained</x:v>
      </x:c>
      <x:c r="T4111" s="10" t="n">
        <x:v>0.351536</x:v>
      </x:c>
      <x:c r="U4111" s="4" t="str">
        <x:v>Test</x:v>
      </x:c>
    </x:row>
    <x:row r="4112" ht="34" customHeight="1">
      <x:c r="A4112" s="4" t="str">
        <x:v>RS-04111</x:v>
      </x:c>
      <x:c r="B4112" s="8" t="n">
        <x:v>45558</x:v>
      </x:c>
      <x:c r="C4112" s="4" t="str">
        <x:v>PRJ-011</x:v>
      </x:c>
      <x:c r="D4112" s="4" t="str">
        <x:v>Retail</x:v>
      </x:c>
      <x:c r="E4112" s="4" t="str">
        <x:v>Agreement signed</x:v>
      </x:c>
      <x:c r="F4112" s="4" t="str">
        <x:v>CUS-04111</x:v>
      </x:c>
      <x:c r="G4112" s="4" t="str">
        <x:v>UNIT-04111</x:v>
      </x:c>
      <x:c r="H4112" s="9" t="n">
        <x:v>11900000</x:v>
      </x:c>
      <x:c r="I4112" s="10" t="n">
        <x:v>0.05</x:v>
      </x:c>
      <x:c r="J4112" s="11" t="n">
        <x:v>4</x:v>
      </x:c>
      <x:c r="K4112" s="11" t="n">
        <x:v>5</x:v>
      </x:c>
      <x:c r="L4112" s="11" t="n">
        <x:v>0</x:v>
      </x:c>
      <x:c r="M4112" s="9" t="n">
        <x:f>ROUND(H4112*(1-I4112),2)</x:f>
        <x:v>11305000</x:v>
      </x:c>
      <x:c r="N4112" s="4" t="str">
        <x:v>Sales manager</x:v>
      </x:c>
      <x:c r="O4112" s="4" t="str">
        <x:v>BOOK-04111</x:v>
      </x:c>
      <x:c r="P4112" s="9" t="n">
        <x:v>5652500</x:v>
      </x:c>
      <x:c r="Q4112" s="11" t="n">
        <x:v>0</x:v>
      </x:c>
      <x:c r="R4112" s="8" t="n">
        <x:v>45618</x:v>
      </x:c>
      <x:c r="S4112" s="4" t="str">
        <x:v>Retained</x:v>
      </x:c>
      <x:c r="T4112" s="10" t="n">
        <x:v>0.226277</x:v>
      </x:c>
      <x:c r="U4112" s="4" t="str">
        <x:v>Test</x:v>
      </x:c>
    </x:row>
    <x:row r="4113" ht="34" customHeight="1">
      <x:c r="A4113" s="4" t="str">
        <x:v>RS-04112</x:v>
      </x:c>
      <x:c r="B4113" s="8" t="n">
        <x:v>45559</x:v>
      </x:c>
      <x:c r="C4113" s="4" t="str">
        <x:v>PRJ-012</x:v>
      </x:c>
      <x:c r="D4113" s="4" t="str">
        <x:v>Office</x:v>
      </x:c>
      <x:c r="E4113" s="4" t="str">
        <x:v>Agreement signed</x:v>
      </x:c>
      <x:c r="F4113" s="4" t="str">
        <x:v>CUS-04112</x:v>
      </x:c>
      <x:c r="G4113" s="4" t="str">
        <x:v>UNIT-04112</x:v>
      </x:c>
      <x:c r="H4113" s="9" t="n">
        <x:v>13100000</x:v>
      </x:c>
      <x:c r="I4113" s="10" t="n">
        <x:v>0.08</x:v>
      </x:c>
      <x:c r="J4113" s="11" t="n">
        <x:v>5</x:v>
      </x:c>
      <x:c r="K4113" s="11" t="n">
        <x:v>5</x:v>
      </x:c>
      <x:c r="L4113" s="11" t="n">
        <x:v>0</x:v>
      </x:c>
      <x:c r="M4113" s="9" t="n">
        <x:f>ROUND(H4113*(1-I4113),2)</x:f>
        <x:v>12052000</x:v>
      </x:c>
      <x:c r="N4113" s="4" t="str">
        <x:v>Sales head</x:v>
      </x:c>
      <x:c r="O4113" s="4" t="str">
        <x:v>BOOK-04112</x:v>
      </x:c>
      <x:c r="P4113" s="9" t="n">
        <x:v>3013000</x:v>
      </x:c>
      <x:c r="Q4113" s="11" t="n">
        <x:v>0</x:v>
      </x:c>
      <x:c r="R4113" s="8" t="n">
        <x:v>45619</x:v>
      </x:c>
      <x:c r="S4113" s="4" t="str">
        <x:v>Retained</x:v>
      </x:c>
      <x:c r="T4113" s="10" t="n">
        <x:v>0.226277</x:v>
      </x:c>
      <x:c r="U4113" s="4" t="str">
        <x:v>Test</x:v>
      </x:c>
    </x:row>
    <x:row r="4114" ht="34" customHeight="1">
      <x:c r="A4114" s="4" t="str">
        <x:v>RS-04113</x:v>
      </x:c>
      <x:c r="B4114" s="8" t="n">
        <x:v>45560</x:v>
      </x:c>
      <x:c r="C4114" s="4" t="str">
        <x:v>PRJ-013</x:v>
      </x:c>
      <x:c r="D4114" s="4" t="str">
        <x:v>Villa</x:v>
      </x:c>
      <x:c r="E4114" s="4" t="str">
        <x:v>Enquiry</x:v>
      </x:c>
      <x:c r="F4114" s="4" t="str">
        <x:v>CUS-04113</x:v>
      </x:c>
      <x:c r="G4114" s="4" t="str">
        <x:v>UNIT-04113</x:v>
      </x:c>
      <x:c r="H4114" s="9" t="n">
        <x:v>20200000</x:v>
      </x:c>
      <x:c r="I4114" s="10" t="n">
        <x:v>0.01</x:v>
      </x:c>
      <x:c r="J4114" s="11" t="n">
        <x:v>3</x:v>
      </x:c>
      <x:c r="K4114" s="11" t="n">
        <x:v>8</x:v>
      </x:c>
      <x:c r="L4114" s="11" t="n">
        <x:v>0</x:v>
      </x:c>
      <x:c r="M4114" s="9" t="n">
        <x:f>ROUND(H4114*(1-I4114),2)</x:f>
        <x:v>19998000</x:v>
      </x:c>
      <x:c r="N4114" s="4" t="str">
        <x:v>Sales manager</x:v>
      </x:c>
      <x:c r="O4114" s="4"/>
      <x:c r="P4114" s="9" t="n">
        <x:v>0</x:v>
      </x:c>
      <x:c r="Q4114" s="11" t="n">
        <x:v>0</x:v>
      </x:c>
      <x:c r="R4114" s="8" t="n">
        <x:v>45620</x:v>
      </x:c>
      <x:c r="S4114" s="4" t="str">
        <x:v>Retained</x:v>
      </x:c>
      <x:c r="T4114" s="10" t="n">
        <x:v>0.171717</x:v>
      </x:c>
      <x:c r="U4114" s="4" t="str">
        <x:v>Test</x:v>
      </x:c>
    </x:row>
    <x:row r="4115" ht="34" customHeight="1">
      <x:c r="A4115" s="4" t="str">
        <x:v>RS-04114</x:v>
      </x:c>
      <x:c r="B4115" s="8" t="n">
        <x:v>45561</x:v>
      </x:c>
      <x:c r="C4115" s="4" t="str">
        <x:v>PRJ-014</x:v>
      </x:c>
      <x:c r="D4115" s="4" t="str">
        <x:v>Retail</x:v>
      </x:c>
      <x:c r="E4115" s="4" t="str">
        <x:v>Reserved</x:v>
      </x:c>
      <x:c r="F4115" s="4" t="str">
        <x:v>CUS-04114</x:v>
      </x:c>
      <x:c r="G4115" s="4" t="str">
        <x:v>UNIT-04114</x:v>
      </x:c>
      <x:c r="H4115" s="9" t="n">
        <x:v>6000000</x:v>
      </x:c>
      <x:c r="I4115" s="10" t="n">
        <x:v>0.1</x:v>
      </x:c>
      <x:c r="J4115" s="11" t="n">
        <x:v>7</x:v>
      </x:c>
      <x:c r="K4115" s="11" t="n">
        <x:v>8</x:v>
      </x:c>
      <x:c r="L4115" s="11" t="n">
        <x:v>0</x:v>
      </x:c>
      <x:c r="M4115" s="9" t="n">
        <x:f>ROUND(H4115*(1-I4115),2)</x:f>
        <x:v>5400000</x:v>
      </x:c>
      <x:c r="N4115" s="4" t="str">
        <x:v>Sales head</x:v>
      </x:c>
      <x:c r="O4115" s="4"/>
      <x:c r="P4115" s="9" t="n">
        <x:v>0</x:v>
      </x:c>
      <x:c r="Q4115" s="11" t="n">
        <x:v>0</x:v>
      </x:c>
      <x:c r="R4115" s="8" t="n">
        <x:v>45621</x:v>
      </x:c>
      <x:c r="S4115" s="4" t="str">
        <x:v>Retained</x:v>
      </x:c>
      <x:c r="T4115" s="10" t="n">
        <x:v>0.226277</x:v>
      </x:c>
      <x:c r="U4115" s="4" t="str">
        <x:v>Test</x:v>
      </x:c>
    </x:row>
    <x:row r="4116" ht="34" customHeight="1">
      <x:c r="A4116" s="4" t="str">
        <x:v>RS-04115</x:v>
      </x:c>
      <x:c r="B4116" s="8" t="n">
        <x:v>45562</x:v>
      </x:c>
      <x:c r="C4116" s="4" t="str">
        <x:v>PRJ-015</x:v>
      </x:c>
      <x:c r="D4116" s="4" t="str">
        <x:v>Office</x:v>
      </x:c>
      <x:c r="E4116" s="4" t="str">
        <x:v>Reserved</x:v>
      </x:c>
      <x:c r="F4116" s="4" t="str">
        <x:v>CUS-04115</x:v>
      </x:c>
      <x:c r="G4116" s="4" t="str">
        <x:v>UNIT-04115</x:v>
      </x:c>
      <x:c r="H4116" s="9" t="n">
        <x:v>10500000</x:v>
      </x:c>
      <x:c r="I4116" s="10" t="n">
        <x:v>0.11</x:v>
      </x:c>
      <x:c r="J4116" s="11" t="n">
        <x:v>0</x:v>
      </x:c>
      <x:c r="K4116" s="11" t="n">
        <x:v>10</x:v>
      </x:c>
      <x:c r="L4116" s="11" t="n">
        <x:v>0</x:v>
      </x:c>
      <x:c r="M4116" s="9" t="n">
        <x:f>ROUND(H4116*(1-I4116),2)</x:f>
        <x:v>9345000</x:v>
      </x:c>
      <x:c r="N4116" s="4" t="str">
        <x:v>Sales head</x:v>
      </x:c>
      <x:c r="O4116" s="4"/>
      <x:c r="P4116" s="9" t="n">
        <x:v>0</x:v>
      </x:c>
      <x:c r="Q4116" s="11" t="n">
        <x:v>0</x:v>
      </x:c>
      <x:c r="R4116" s="8" t="n">
        <x:v>45622</x:v>
      </x:c>
      <x:c r="S4116" s="4" t="str">
        <x:v>Retained</x:v>
      </x:c>
      <x:c r="T4116" s="10" t="n">
        <x:v>0.145833</x:v>
      </x:c>
      <x:c r="U4116" s="4" t="str">
        <x:v>Test</x:v>
      </x:c>
    </x:row>
    <x:row r="4117" ht="34" customHeight="1">
      <x:c r="A4117" s="4" t="str">
        <x:v>RS-04116</x:v>
      </x:c>
      <x:c r="B4117" s="8" t="n">
        <x:v>45563</x:v>
      </x:c>
      <x:c r="C4117" s="4" t="str">
        <x:v>PRJ-016</x:v>
      </x:c>
      <x:c r="D4117" s="4" t="str">
        <x:v>Retail</x:v>
      </x:c>
      <x:c r="E4117" s="4" t="str">
        <x:v>Handed over</x:v>
      </x:c>
      <x:c r="F4117" s="4" t="str">
        <x:v>CUS-04116</x:v>
      </x:c>
      <x:c r="G4117" s="4" t="str">
        <x:v>UNIT-04116</x:v>
      </x:c>
      <x:c r="H4117" s="9" t="n">
        <x:v>7600000</x:v>
      </x:c>
      <x:c r="I4117" s="10" t="n">
        <x:v>0.05</x:v>
      </x:c>
      <x:c r="J4117" s="11" t="n">
        <x:v>11</x:v>
      </x:c>
      <x:c r="K4117" s="11" t="n">
        <x:v>1</x:v>
      </x:c>
      <x:c r="L4117" s="11" t="n">
        <x:v>0</x:v>
      </x:c>
      <x:c r="M4117" s="9" t="n">
        <x:f>ROUND(H4117*(1-I4117),2)</x:f>
        <x:v>7220000</x:v>
      </x:c>
      <x:c r="N4117" s="4" t="str">
        <x:v>Sales manager</x:v>
      </x:c>
      <x:c r="O4117" s="4" t="str">
        <x:v>BOOK-04116</x:v>
      </x:c>
      <x:c r="P4117" s="9" t="n">
        <x:v>3610000</x:v>
      </x:c>
      <x:c r="Q4117" s="11" t="n">
        <x:v>0</x:v>
      </x:c>
      <x:c r="R4117" s="8" t="n">
        <x:v>45623</x:v>
      </x:c>
      <x:c r="S4117" s="4" t="str">
        <x:v>Retained</x:v>
      </x:c>
      <x:c r="T4117" s="10" t="n">
        <x:v>0.351536</x:v>
      </x:c>
      <x:c r="U4117" s="4" t="str">
        <x:v>Test</x:v>
      </x:c>
    </x:row>
    <x:row r="4118" ht="34" customHeight="1">
      <x:c r="A4118" s="4" t="str">
        <x:v>RS-04117</x:v>
      </x:c>
      <x:c r="B4118" s="8" t="n">
        <x:v>45536</x:v>
      </x:c>
      <x:c r="C4118" s="4" t="str">
        <x:v>PRJ-017</x:v>
      </x:c>
      <x:c r="D4118" s="4" t="str">
        <x:v>Villa</x:v>
      </x:c>
      <x:c r="E4118" s="4" t="str">
        <x:v>Reserved</x:v>
      </x:c>
      <x:c r="F4118" s="4" t="str">
        <x:v>CUS-04117</x:v>
      </x:c>
      <x:c r="G4118" s="4" t="str">
        <x:v>UNIT-04117</x:v>
      </x:c>
      <x:c r="H4118" s="9" t="n">
        <x:v>13000000</x:v>
      </x:c>
      <x:c r="I4118" s="10" t="n">
        <x:v>0.12</x:v>
      </x:c>
      <x:c r="J4118" s="11" t="n">
        <x:v>6</x:v>
      </x:c>
      <x:c r="K4118" s="11" t="n">
        <x:v>0</x:v>
      </x:c>
      <x:c r="L4118" s="11" t="n">
        <x:v>1</x:v>
      </x:c>
      <x:c r="M4118" s="9" t="n">
        <x:f>ROUND(H4118*(1-I4118),2)</x:f>
        <x:v>11440000</x:v>
      </x:c>
      <x:c r="N4118" s="4" t="str">
        <x:v>Sales head</x:v>
      </x:c>
      <x:c r="O4118" s="4"/>
      <x:c r="P4118" s="9" t="n">
        <x:v>0</x:v>
      </x:c>
      <x:c r="Q4118" s="11" t="n">
        <x:v>1</x:v>
      </x:c>
      <x:c r="R4118" s="8" t="n">
        <x:v>45596</x:v>
      </x:c>
      <x:c r="S4118" s="4" t="str">
        <x:v>Lost / cancelled</x:v>
      </x:c>
      <x:c r="T4118" s="10" t="n">
        <x:v>0.291946</x:v>
      </x:c>
      <x:c r="U4118" s="4" t="str">
        <x:v>Test</x:v>
      </x:c>
    </x:row>
    <x:row r="4119" ht="34" customHeight="1">
      <x:c r="A4119" s="4" t="str">
        <x:v>RS-04118</x:v>
      </x:c>
      <x:c r="B4119" s="8" t="n">
        <x:v>45537</x:v>
      </x:c>
      <x:c r="C4119" s="4" t="str">
        <x:v>PRJ-018</x:v>
      </x:c>
      <x:c r="D4119" s="4" t="str">
        <x:v>Apartment</x:v>
      </x:c>
      <x:c r="E4119" s="4" t="str">
        <x:v>Handed over</x:v>
      </x:c>
      <x:c r="F4119" s="4" t="str">
        <x:v>CUS-04118</x:v>
      </x:c>
      <x:c r="G4119" s="4" t="str">
        <x:v>UNIT-04118</x:v>
      </x:c>
      <x:c r="H4119" s="9" t="n">
        <x:v>21600000</x:v>
      </x:c>
      <x:c r="I4119" s="10" t="n">
        <x:v>0.01</x:v>
      </x:c>
      <x:c r="J4119" s="11" t="n">
        <x:v>8</x:v>
      </x:c>
      <x:c r="K4119" s="11" t="n">
        <x:v>0</x:v>
      </x:c>
      <x:c r="L4119" s="11" t="n">
        <x:v>0</x:v>
      </x:c>
      <x:c r="M4119" s="9" t="n">
        <x:f>ROUND(H4119*(1-I4119),2)</x:f>
        <x:v>21384000</x:v>
      </x:c>
      <x:c r="N4119" s="4" t="str">
        <x:v>Sales manager</x:v>
      </x:c>
      <x:c r="O4119" s="4" t="str">
        <x:v>BOOK-04118</x:v>
      </x:c>
      <x:c r="P4119" s="9" t="n">
        <x:v>5346000</x:v>
      </x:c>
      <x:c r="Q4119" s="11" t="n">
        <x:v>0</x:v>
      </x:c>
      <x:c r="R4119" s="8" t="n">
        <x:v>45597</x:v>
      </x:c>
      <x:c r="S4119" s="4" t="str">
        <x:v>Retained</x:v>
      </x:c>
      <x:c r="T4119" s="10" t="n">
        <x:v>0.305556</x:v>
      </x:c>
      <x:c r="U4119" s="4" t="str">
        <x:v>Test</x:v>
      </x:c>
    </x:row>
    <x:row r="4120" ht="34" customHeight="1">
      <x:c r="A4120" s="4" t="str">
        <x:v>RS-04119</x:v>
      </x:c>
      <x:c r="B4120" s="8" t="n">
        <x:v>45538</x:v>
      </x:c>
      <x:c r="C4120" s="4" t="str">
        <x:v>PRJ-019</x:v>
      </x:c>
      <x:c r="D4120" s="4" t="str">
        <x:v>Apartment</x:v>
      </x:c>
      <x:c r="E4120" s="4" t="str">
        <x:v>Cancelled</x:v>
      </x:c>
      <x:c r="F4120" s="4" t="str">
        <x:v>CUS-04119</x:v>
      </x:c>
      <x:c r="G4120" s="4" t="str">
        <x:v>UNIT-04119</x:v>
      </x:c>
      <x:c r="H4120" s="9" t="n">
        <x:v>5700000</x:v>
      </x:c>
      <x:c r="I4120" s="10" t="n">
        <x:v>0</x:v>
      </x:c>
      <x:c r="J4120" s="11" t="n">
        <x:v>12</x:v>
      </x:c>
      <x:c r="K4120" s="11" t="n">
        <x:v>7</x:v>
      </x:c>
      <x:c r="L4120" s="11" t="n">
        <x:v>1</x:v>
      </x:c>
      <x:c r="M4120" s="9" t="n">
        <x:f>ROUND(H4120*(1-I4120),2)</x:f>
        <x:v>5700000</x:v>
      </x:c>
      <x:c r="N4120" s="4" t="str">
        <x:v>Sales manager</x:v>
      </x:c>
      <x:c r="O4120" s="4"/>
      <x:c r="P4120" s="9" t="n">
        <x:v>0</x:v>
      </x:c>
      <x:c r="Q4120" s="11" t="n">
        <x:v>1</x:v>
      </x:c>
      <x:c r="R4120" s="8" t="n">
        <x:v>45598</x:v>
      </x:c>
      <x:c r="S4120" s="4" t="str">
        <x:v>Lost / cancelled</x:v>
      </x:c>
      <x:c r="T4120" s="10" t="n">
        <x:v>0.254545</x:v>
      </x:c>
      <x:c r="U4120" s="4" t="str">
        <x:v>Test</x:v>
      </x:c>
    </x:row>
    <x:row r="4121" ht="34" customHeight="1">
      <x:c r="A4121" s="4" t="str">
        <x:v>RS-04120</x:v>
      </x:c>
      <x:c r="B4121" s="8" t="n">
        <x:v>45539</x:v>
      </x:c>
      <x:c r="C4121" s="4" t="str">
        <x:v>PRJ-020</x:v>
      </x:c>
      <x:c r="D4121" s="4" t="str">
        <x:v>Villa</x:v>
      </x:c>
      <x:c r="E4121" s="4" t="str">
        <x:v>Reserved</x:v>
      </x:c>
      <x:c r="F4121" s="4" t="str">
        <x:v>CUS-04120</x:v>
      </x:c>
      <x:c r="G4121" s="4" t="str">
        <x:v>UNIT-04120</x:v>
      </x:c>
      <x:c r="H4121" s="9" t="n">
        <x:v>23300000</x:v>
      </x:c>
      <x:c r="I4121" s="10" t="n">
        <x:v>0.01</x:v>
      </x:c>
      <x:c r="J4121" s="11" t="n">
        <x:v>4</x:v>
      </x:c>
      <x:c r="K4121" s="11" t="n">
        <x:v>1</x:v>
      </x:c>
      <x:c r="L4121" s="11" t="n">
        <x:v>1</x:v>
      </x:c>
      <x:c r="M4121" s="9" t="n">
        <x:f>ROUND(H4121*(1-I4121),2)</x:f>
        <x:v>23067000</x:v>
      </x:c>
      <x:c r="N4121" s="4" t="str">
        <x:v>Sales manager</x:v>
      </x:c>
      <x:c r="O4121" s="4"/>
      <x:c r="P4121" s="9" t="n">
        <x:v>0</x:v>
      </x:c>
      <x:c r="Q4121" s="11" t="n">
        <x:v>0</x:v>
      </x:c>
      <x:c r="R4121" s="8" t="n">
        <x:v>45599</x:v>
      </x:c>
      <x:c r="S4121" s="4" t="str">
        <x:v>Retained</x:v>
      </x:c>
      <x:c r="T4121" s="10" t="n">
        <x:v>0.298969</x:v>
      </x:c>
      <x:c r="U4121" s="4" t="str">
        <x:v>Test</x:v>
      </x:c>
    </x:row>
    <x:row r="4122" ht="34" customHeight="1">
      <x:c r="A4122" s="4" t="str">
        <x:v>RS-04121</x:v>
      </x:c>
      <x:c r="B4122" s="8" t="n">
        <x:v>45540</x:v>
      </x:c>
      <x:c r="C4122" s="4" t="str">
        <x:v>PRJ-001</x:v>
      </x:c>
      <x:c r="D4122" s="4" t="str">
        <x:v>Retail</x:v>
      </x:c>
      <x:c r="E4122" s="4" t="str">
        <x:v>Handed over</x:v>
      </x:c>
      <x:c r="F4122" s="4" t="str">
        <x:v>CUS-04121</x:v>
      </x:c>
      <x:c r="G4122" s="4" t="str">
        <x:v>UNIT-04121</x:v>
      </x:c>
      <x:c r="H4122" s="9" t="n">
        <x:v>6100000</x:v>
      </x:c>
      <x:c r="I4122" s="10" t="n">
        <x:v>0.02</x:v>
      </x:c>
      <x:c r="J4122" s="11" t="n">
        <x:v>4</x:v>
      </x:c>
      <x:c r="K4122" s="11" t="n">
        <x:v>9</x:v>
      </x:c>
      <x:c r="L4122" s="11" t="n">
        <x:v>1</x:v>
      </x:c>
      <x:c r="M4122" s="9" t="n">
        <x:f>ROUND(H4122*(1-I4122),2)</x:f>
        <x:v>5978000</x:v>
      </x:c>
      <x:c r="N4122" s="4" t="str">
        <x:v>Sales manager</x:v>
      </x:c>
      <x:c r="O4122" s="4" t="str">
        <x:v>BOOK-04121</x:v>
      </x:c>
      <x:c r="P4122" s="9" t="n">
        <x:v>5978000</x:v>
      </x:c>
      <x:c r="Q4122" s="11" t="n">
        <x:v>0</x:v>
      </x:c>
      <x:c r="R4122" s="8" t="n">
        <x:v>45600</x:v>
      </x:c>
      <x:c r="S4122" s="4" t="str">
        <x:v>Retained</x:v>
      </x:c>
      <x:c r="T4122" s="10" t="n">
        <x:v>0.145299</x:v>
      </x:c>
      <x:c r="U4122" s="4" t="str">
        <x:v>Test</x:v>
      </x:c>
    </x:row>
    <x:row r="4123" ht="34" customHeight="1">
      <x:c r="A4123" s="4" t="str">
        <x:v>RS-04122</x:v>
      </x:c>
      <x:c r="B4123" s="8" t="n">
        <x:v>45541</x:v>
      </x:c>
      <x:c r="C4123" s="4" t="str">
        <x:v>PRJ-002</x:v>
      </x:c>
      <x:c r="D4123" s="4" t="str">
        <x:v>Apartment</x:v>
      </x:c>
      <x:c r="E4123" s="4" t="str">
        <x:v>Enquiry</x:v>
      </x:c>
      <x:c r="F4123" s="4" t="str">
        <x:v>CUS-04122</x:v>
      </x:c>
      <x:c r="G4123" s="4" t="str">
        <x:v>UNIT-04122</x:v>
      </x:c>
      <x:c r="H4123" s="9" t="n">
        <x:v>15700000</x:v>
      </x:c>
      <x:c r="I4123" s="10" t="n">
        <x:v>0.06</x:v>
      </x:c>
      <x:c r="J4123" s="11" t="n">
        <x:v>11</x:v>
      </x:c>
      <x:c r="K4123" s="11" t="n">
        <x:v>4</x:v>
      </x:c>
      <x:c r="L4123" s="11" t="n">
        <x:v>1</x:v>
      </x:c>
      <x:c r="M4123" s="9" t="n">
        <x:f>ROUND(H4123*(1-I4123),2)</x:f>
        <x:v>14758000</x:v>
      </x:c>
      <x:c r="N4123" s="4" t="str">
        <x:v>Sales manager</x:v>
      </x:c>
      <x:c r="O4123" s="4"/>
      <x:c r="P4123" s="9" t="n">
        <x:v>0</x:v>
      </x:c>
      <x:c r="Q4123" s="11" t="n">
        <x:v>0</x:v>
      </x:c>
      <x:c r="R4123" s="8" t="n">
        <x:v>45601</x:v>
      </x:c>
      <x:c r="S4123" s="4" t="str">
        <x:v>Retained</x:v>
      </x:c>
      <x:c r="T4123" s="10" t="n">
        <x:v>0.351536</x:v>
      </x:c>
      <x:c r="U4123" s="4" t="str">
        <x:v>Test</x:v>
      </x:c>
    </x:row>
    <x:row r="4124" ht="34" customHeight="1">
      <x:c r="A4124" s="4" t="str">
        <x:v>RS-04123</x:v>
      </x:c>
      <x:c r="B4124" s="8" t="n">
        <x:v>45542</x:v>
      </x:c>
      <x:c r="C4124" s="4" t="str">
        <x:v>PRJ-003</x:v>
      </x:c>
      <x:c r="D4124" s="4" t="str">
        <x:v>Apartment</x:v>
      </x:c>
      <x:c r="E4124" s="4" t="str">
        <x:v>Agreement signed</x:v>
      </x:c>
      <x:c r="F4124" s="4" t="str">
        <x:v>CUS-04123</x:v>
      </x:c>
      <x:c r="G4124" s="4" t="str">
        <x:v>UNIT-04123</x:v>
      </x:c>
      <x:c r="H4124" s="9" t="n">
        <x:v>7400000</x:v>
      </x:c>
      <x:c r="I4124" s="10" t="n">
        <x:v>0.11</x:v>
      </x:c>
      <x:c r="J4124" s="11" t="n">
        <x:v>2</x:v>
      </x:c>
      <x:c r="K4124" s="11" t="n">
        <x:v>8</x:v>
      </x:c>
      <x:c r="L4124" s="11" t="n">
        <x:v>0</x:v>
      </x:c>
      <x:c r="M4124" s="9" t="n">
        <x:f>ROUND(H4124*(1-I4124),2)</x:f>
        <x:v>6586000</x:v>
      </x:c>
      <x:c r="N4124" s="4" t="str">
        <x:v>Sales head</x:v>
      </x:c>
      <x:c r="O4124" s="4" t="str">
        <x:v>BOOK-04123</x:v>
      </x:c>
      <x:c r="P4124" s="9" t="n">
        <x:v>6586000</x:v>
      </x:c>
      <x:c r="Q4124" s="11" t="n">
        <x:v>0</x:v>
      </x:c>
      <x:c r="R4124" s="8" t="n">
        <x:v>45602</x:v>
      </x:c>
      <x:c r="S4124" s="4" t="str">
        <x:v>Retained</x:v>
      </x:c>
      <x:c r="T4124" s="10" t="n">
        <x:v>0.145833</x:v>
      </x:c>
      <x:c r="U4124" s="4" t="str">
        <x:v>Test</x:v>
      </x:c>
    </x:row>
    <x:row r="4125" ht="34" customHeight="1">
      <x:c r="A4125" s="4" t="str">
        <x:v>RS-04124</x:v>
      </x:c>
      <x:c r="B4125" s="8" t="n">
        <x:v>45543</x:v>
      </x:c>
      <x:c r="C4125" s="4" t="str">
        <x:v>PRJ-004</x:v>
      </x:c>
      <x:c r="D4125" s="4" t="str">
        <x:v>Office</x:v>
      </x:c>
      <x:c r="E4125" s="4" t="str">
        <x:v>Booked</x:v>
      </x:c>
      <x:c r="F4125" s="4" t="str">
        <x:v>CUS-04124</x:v>
      </x:c>
      <x:c r="G4125" s="4" t="str">
        <x:v>UNIT-04124</x:v>
      </x:c>
      <x:c r="H4125" s="9" t="n">
        <x:v>8700000</x:v>
      </x:c>
      <x:c r="I4125" s="10" t="n">
        <x:v>0.01</x:v>
      </x:c>
      <x:c r="J4125" s="11" t="n">
        <x:v>4</x:v>
      </x:c>
      <x:c r="K4125" s="11" t="n">
        <x:v>10</x:v>
      </x:c>
      <x:c r="L4125" s="11" t="n">
        <x:v>1</x:v>
      </x:c>
      <x:c r="M4125" s="9" t="n">
        <x:f>ROUND(H4125*(1-I4125),2)</x:f>
        <x:v>8613000</x:v>
      </x:c>
      <x:c r="N4125" s="4" t="str">
        <x:v>Sales manager</x:v>
      </x:c>
      <x:c r="O4125" s="4" t="str">
        <x:v>BOOK-04124</x:v>
      </x:c>
      <x:c r="P4125" s="9" t="n">
        <x:v>861300</x:v>
      </x:c>
      <x:c r="Q4125" s="11" t="n">
        <x:v>0</x:v>
      </x:c>
      <x:c r="R4125" s="8" t="n">
        <x:v>45603</x:v>
      </x:c>
      <x:c r="S4125" s="4" t="str">
        <x:v>Retained</x:v>
      </x:c>
      <x:c r="T4125" s="10" t="n">
        <x:v>0.145299</x:v>
      </x:c>
      <x:c r="U4125" s="4" t="str">
        <x:v>Test</x:v>
      </x:c>
    </x:row>
    <x:row r="4126" ht="34" customHeight="1">
      <x:c r="A4126" s="4" t="str">
        <x:v>RS-04125</x:v>
      </x:c>
      <x:c r="B4126" s="8" t="n">
        <x:v>45544</x:v>
      </x:c>
      <x:c r="C4126" s="4" t="str">
        <x:v>PRJ-005</x:v>
      </x:c>
      <x:c r="D4126" s="4" t="str">
        <x:v>Apartment</x:v>
      </x:c>
      <x:c r="E4126" s="4" t="str">
        <x:v>Enquiry</x:v>
      </x:c>
      <x:c r="F4126" s="4" t="str">
        <x:v>CUS-04125</x:v>
      </x:c>
      <x:c r="G4126" s="4" t="str">
        <x:v>UNIT-04125</x:v>
      </x:c>
      <x:c r="H4126" s="9" t="n">
        <x:v>11600000</x:v>
      </x:c>
      <x:c r="I4126" s="10" t="n">
        <x:v>0.07</x:v>
      </x:c>
      <x:c r="J4126" s="11" t="n">
        <x:v>4</x:v>
      </x:c>
      <x:c r="K4126" s="11" t="n">
        <x:v>9</x:v>
      </x:c>
      <x:c r="L4126" s="11" t="n">
        <x:v>1</x:v>
      </x:c>
      <x:c r="M4126" s="9" t="n">
        <x:f>ROUND(H4126*(1-I4126),2)</x:f>
        <x:v>10788000</x:v>
      </x:c>
      <x:c r="N4126" s="4" t="str">
        <x:v>Sales manager</x:v>
      </x:c>
      <x:c r="O4126" s="4"/>
      <x:c r="P4126" s="9" t="n">
        <x:v>0</x:v>
      </x:c>
      <x:c r="Q4126" s="11" t="n">
        <x:v>0</x:v>
      </x:c>
      <x:c r="R4126" s="8" t="n">
        <x:v>45604</x:v>
      </x:c>
      <x:c r="S4126" s="4" t="str">
        <x:v>Retained</x:v>
      </x:c>
      <x:c r="T4126" s="10" t="n">
        <x:v>0.291946</x:v>
      </x:c>
      <x:c r="U4126" s="4" t="str">
        <x:v>Test</x:v>
      </x:c>
    </x:row>
    <x:row r="4127" ht="34" customHeight="1">
      <x:c r="A4127" s="4" t="str">
        <x:v>RS-04126</x:v>
      </x:c>
      <x:c r="B4127" s="8" t="n">
        <x:v>45545</x:v>
      </x:c>
      <x:c r="C4127" s="4" t="str">
        <x:v>PRJ-006</x:v>
      </x:c>
      <x:c r="D4127" s="4" t="str">
        <x:v>Retail</x:v>
      </x:c>
      <x:c r="E4127" s="4" t="str">
        <x:v>Agreement signed</x:v>
      </x:c>
      <x:c r="F4127" s="4" t="str">
        <x:v>CUS-04126</x:v>
      </x:c>
      <x:c r="G4127" s="4" t="str">
        <x:v>UNIT-04126</x:v>
      </x:c>
      <x:c r="H4127" s="9" t="n">
        <x:v>16400000</x:v>
      </x:c>
      <x:c r="I4127" s="10" t="n">
        <x:v>0.03</x:v>
      </x:c>
      <x:c r="J4127" s="11" t="n">
        <x:v>8</x:v>
      </x:c>
      <x:c r="K4127" s="11" t="n">
        <x:v>5</x:v>
      </x:c>
      <x:c r="L4127" s="11" t="n">
        <x:v>1</x:v>
      </x:c>
      <x:c r="M4127" s="9" t="n">
        <x:f>ROUND(H4127*(1-I4127),2)</x:f>
        <x:v>15908000</x:v>
      </x:c>
      <x:c r="N4127" s="4" t="str">
        <x:v>Sales manager</x:v>
      </x:c>
      <x:c r="O4127" s="4" t="str">
        <x:v>BOOK-04126</x:v>
      </x:c>
      <x:c r="P4127" s="9" t="n">
        <x:v>7954000</x:v>
      </x:c>
      <x:c r="Q4127" s="11" t="n">
        <x:v>0</x:v>
      </x:c>
      <x:c r="R4127" s="8" t="n">
        <x:v>45605</x:v>
      </x:c>
      <x:c r="S4127" s="4" t="str">
        <x:v>Retained</x:v>
      </x:c>
      <x:c r="T4127" s="10" t="n">
        <x:v>0.310195</x:v>
      </x:c>
      <x:c r="U4127" s="4" t="str">
        <x:v>Test</x:v>
      </x:c>
    </x:row>
    <x:row r="4128" ht="34" customHeight="1">
      <x:c r="A4128" s="4" t="str">
        <x:v>RS-04127</x:v>
      </x:c>
      <x:c r="B4128" s="8" t="n">
        <x:v>45546</x:v>
      </x:c>
      <x:c r="C4128" s="4" t="str">
        <x:v>PRJ-007</x:v>
      </x:c>
      <x:c r="D4128" s="4" t="str">
        <x:v>Apartment</x:v>
      </x:c>
      <x:c r="E4128" s="4" t="str">
        <x:v>Booked</x:v>
      </x:c>
      <x:c r="F4128" s="4" t="str">
        <x:v>CUS-04127</x:v>
      </x:c>
      <x:c r="G4128" s="4" t="str">
        <x:v>UNIT-04127</x:v>
      </x:c>
      <x:c r="H4128" s="9" t="n">
        <x:v>4800000</x:v>
      </x:c>
      <x:c r="I4128" s="10" t="n">
        <x:v>0.01</x:v>
      </x:c>
      <x:c r="J4128" s="11" t="n">
        <x:v>9</x:v>
      </x:c>
      <x:c r="K4128" s="11" t="n">
        <x:v>5</x:v>
      </x:c>
      <x:c r="L4128" s="11" t="n">
        <x:v>0</x:v>
      </x:c>
      <x:c r="M4128" s="9" t="n">
        <x:f>ROUND(H4128*(1-I4128),2)</x:f>
        <x:v>4752000</x:v>
      </x:c>
      <x:c r="N4128" s="4" t="str">
        <x:v>Sales manager</x:v>
      </x:c>
      <x:c r="O4128" s="4" t="str">
        <x:v>BOOK-04127</x:v>
      </x:c>
      <x:c r="P4128" s="9" t="n">
        <x:v>4752000</x:v>
      </x:c>
      <x:c r="Q4128" s="11" t="n">
        <x:v>0</x:v>
      </x:c>
      <x:c r="R4128" s="8" t="n">
        <x:v>45606</x:v>
      </x:c>
      <x:c r="S4128" s="4" t="str">
        <x:v>Retained</x:v>
      </x:c>
      <x:c r="T4128" s="10" t="n">
        <x:v>0.305556</x:v>
      </x:c>
      <x:c r="U4128" s="4" t="str">
        <x:v>Test</x:v>
      </x:c>
    </x:row>
    <x:row r="4129" ht="34" customHeight="1">
      <x:c r="A4129" s="4" t="str">
        <x:v>RS-04128</x:v>
      </x:c>
      <x:c r="B4129" s="8" t="n">
        <x:v>45547</x:v>
      </x:c>
      <x:c r="C4129" s="4" t="str">
        <x:v>PRJ-008</x:v>
      </x:c>
      <x:c r="D4129" s="4" t="str">
        <x:v>Villa</x:v>
      </x:c>
      <x:c r="E4129" s="4" t="str">
        <x:v>Reserved</x:v>
      </x:c>
      <x:c r="F4129" s="4" t="str">
        <x:v>CUS-04128</x:v>
      </x:c>
      <x:c r="G4129" s="4" t="str">
        <x:v>UNIT-04128</x:v>
      </x:c>
      <x:c r="H4129" s="9" t="n">
        <x:v>19100000</x:v>
      </x:c>
      <x:c r="I4129" s="10" t="n">
        <x:v>0.05</x:v>
      </x:c>
      <x:c r="J4129" s="11" t="n">
        <x:v>7</x:v>
      </x:c>
      <x:c r="K4129" s="11" t="n">
        <x:v>9</x:v>
      </x:c>
      <x:c r="L4129" s="11" t="n">
        <x:v>0</x:v>
      </x:c>
      <x:c r="M4129" s="9" t="n">
        <x:f>ROUND(H4129*(1-I4129),2)</x:f>
        <x:v>18145000</x:v>
      </x:c>
      <x:c r="N4129" s="4" t="str">
        <x:v>Sales manager</x:v>
      </x:c>
      <x:c r="O4129" s="4"/>
      <x:c r="P4129" s="9" t="n">
        <x:v>0</x:v>
      </x:c>
      <x:c r="Q4129" s="11" t="n">
        <x:v>0</x:v>
      </x:c>
      <x:c r="R4129" s="8" t="n">
        <x:v>45607</x:v>
      </x:c>
      <x:c r="S4129" s="4" t="str">
        <x:v>Retained</x:v>
      </x:c>
      <x:c r="T4129" s="10" t="n">
        <x:v>0.226277</x:v>
      </x:c>
      <x:c r="U4129" s="4" t="str">
        <x:v>Test</x:v>
      </x:c>
    </x:row>
    <x:row r="4130" ht="34" customHeight="1">
      <x:c r="A4130" s="4" t="str">
        <x:v>RS-04129</x:v>
      </x:c>
      <x:c r="B4130" s="8" t="n">
        <x:v>45548</x:v>
      </x:c>
      <x:c r="C4130" s="4" t="str">
        <x:v>PRJ-009</x:v>
      </x:c>
      <x:c r="D4130" s="4" t="str">
        <x:v>Apartment</x:v>
      </x:c>
      <x:c r="E4130" s="4" t="str">
        <x:v>Booked</x:v>
      </x:c>
      <x:c r="F4130" s="4" t="str">
        <x:v>CUS-04129</x:v>
      </x:c>
      <x:c r="G4130" s="4" t="str">
        <x:v>UNIT-04129</x:v>
      </x:c>
      <x:c r="H4130" s="9" t="n">
        <x:v>7600000</x:v>
      </x:c>
      <x:c r="I4130" s="10" t="n">
        <x:v>0.07</x:v>
      </x:c>
      <x:c r="J4130" s="11" t="n">
        <x:v>5</x:v>
      </x:c>
      <x:c r="K4130" s="11" t="n">
        <x:v>3</x:v>
      </x:c>
      <x:c r="L4130" s="11" t="n">
        <x:v>0</x:v>
      </x:c>
      <x:c r="M4130" s="9" t="n">
        <x:f>ROUND(H4130*(1-I4130),2)</x:f>
        <x:v>7068000</x:v>
      </x:c>
      <x:c r="N4130" s="4" t="str">
        <x:v>Sales manager</x:v>
      </x:c>
      <x:c r="O4130" s="4" t="str">
        <x:v>BOOK-04129</x:v>
      </x:c>
      <x:c r="P4130" s="9" t="n">
        <x:v>7068000</x:v>
      </x:c>
      <x:c r="Q4130" s="11" t="n">
        <x:v>0</x:v>
      </x:c>
      <x:c r="R4130" s="8" t="n">
        <x:v>45608</x:v>
      </x:c>
      <x:c r="S4130" s="4" t="str">
        <x:v>Retained</x:v>
      </x:c>
      <x:c r="T4130" s="10" t="n">
        <x:v>0.226277</x:v>
      </x:c>
      <x:c r="U4130" s="4" t="str">
        <x:v>Test</x:v>
      </x:c>
    </x:row>
    <x:row r="4131" ht="34" customHeight="1">
      <x:c r="A4131" s="4" t="str">
        <x:v>RS-04130</x:v>
      </x:c>
      <x:c r="B4131" s="8" t="n">
        <x:v>45549</x:v>
      </x:c>
      <x:c r="C4131" s="4" t="str">
        <x:v>PRJ-010</x:v>
      </x:c>
      <x:c r="D4131" s="4" t="str">
        <x:v>Apartment</x:v>
      </x:c>
      <x:c r="E4131" s="4" t="str">
        <x:v>Cancelled</x:v>
      </x:c>
      <x:c r="F4131" s="4" t="str">
        <x:v>CUS-04130</x:v>
      </x:c>
      <x:c r="G4131" s="4" t="str">
        <x:v>UNIT-04130</x:v>
      </x:c>
      <x:c r="H4131" s="9" t="n">
        <x:v>21700000</x:v>
      </x:c>
      <x:c r="I4131" s="10" t="n">
        <x:v>0.11</x:v>
      </x:c>
      <x:c r="J4131" s="11" t="n">
        <x:v>7</x:v>
      </x:c>
      <x:c r="K4131" s="11" t="n">
        <x:v>6</x:v>
      </x:c>
      <x:c r="L4131" s="11" t="n">
        <x:v>0</x:v>
      </x:c>
      <x:c r="M4131" s="9" t="n">
        <x:f>ROUND(H4131*(1-I4131),2)</x:f>
        <x:v>19313000</x:v>
      </x:c>
      <x:c r="N4131" s="4" t="str">
        <x:v>Sales head</x:v>
      </x:c>
      <x:c r="O4131" s="4"/>
      <x:c r="P4131" s="9" t="n">
        <x:v>0</x:v>
      </x:c>
      <x:c r="Q4131" s="11" t="n">
        <x:v>1</x:v>
      </x:c>
      <x:c r="R4131" s="8" t="n">
        <x:v>45609</x:v>
      </x:c>
      <x:c r="S4131" s="4" t="str">
        <x:v>Lost / cancelled</x:v>
      </x:c>
      <x:c r="T4131" s="10" t="n">
        <x:v>0.226277</x:v>
      </x:c>
      <x:c r="U4131" s="4" t="str">
        <x:v>Test</x:v>
      </x:c>
    </x:row>
    <x:row r="4132" ht="34" customHeight="1">
      <x:c r="A4132" s="4" t="str">
        <x:v>RS-04131</x:v>
      </x:c>
      <x:c r="B4132" s="8" t="n">
        <x:v>45550</x:v>
      </x:c>
      <x:c r="C4132" s="4" t="str">
        <x:v>PRJ-011</x:v>
      </x:c>
      <x:c r="D4132" s="4" t="str">
        <x:v>Apartment</x:v>
      </x:c>
      <x:c r="E4132" s="4" t="str">
        <x:v>Handed over</x:v>
      </x:c>
      <x:c r="F4132" s="4" t="str">
        <x:v>CUS-04131</x:v>
      </x:c>
      <x:c r="G4132" s="4" t="str">
        <x:v>UNIT-04131</x:v>
      </x:c>
      <x:c r="H4132" s="9" t="n">
        <x:v>25000000</x:v>
      </x:c>
      <x:c r="I4132" s="10" t="n">
        <x:v>0</x:v>
      </x:c>
      <x:c r="J4132" s="11" t="n">
        <x:v>10</x:v>
      </x:c>
      <x:c r="K4132" s="11" t="n">
        <x:v>5</x:v>
      </x:c>
      <x:c r="L4132" s="11" t="n">
        <x:v>0</x:v>
      </x:c>
      <x:c r="M4132" s="9" t="n">
        <x:f>ROUND(H4132*(1-I4132),2)</x:f>
        <x:v>25000000</x:v>
      </x:c>
      <x:c r="N4132" s="4" t="str">
        <x:v>Sales manager</x:v>
      </x:c>
      <x:c r="O4132" s="4" t="str">
        <x:v>BOOK-04131</x:v>
      </x:c>
      <x:c r="P4132" s="9" t="n">
        <x:v>25000000</x:v>
      </x:c>
      <x:c r="Q4132" s="11" t="n">
        <x:v>0</x:v>
      </x:c>
      <x:c r="R4132" s="8" t="n">
        <x:v>45610</x:v>
      </x:c>
      <x:c r="S4132" s="4" t="str">
        <x:v>Retained</x:v>
      </x:c>
      <x:c r="T4132" s="10" t="n">
        <x:v>0.305556</x:v>
      </x:c>
      <x:c r="U4132" s="4" t="str">
        <x:v>Test</x:v>
      </x:c>
    </x:row>
    <x:row r="4133" ht="34" customHeight="1">
      <x:c r="A4133" s="4" t="str">
        <x:v>RS-04132</x:v>
      </x:c>
      <x:c r="B4133" s="8" t="n">
        <x:v>45551</x:v>
      </x:c>
      <x:c r="C4133" s="4" t="str">
        <x:v>PRJ-012</x:v>
      </x:c>
      <x:c r="D4133" s="4" t="str">
        <x:v>Retail</x:v>
      </x:c>
      <x:c r="E4133" s="4" t="str">
        <x:v>Handed over</x:v>
      </x:c>
      <x:c r="F4133" s="4" t="str">
        <x:v>CUS-04132</x:v>
      </x:c>
      <x:c r="G4133" s="4" t="str">
        <x:v>UNIT-04132</x:v>
      </x:c>
      <x:c r="H4133" s="9" t="n">
        <x:v>10100000</x:v>
      </x:c>
      <x:c r="I4133" s="10" t="n">
        <x:v>0.05</x:v>
      </x:c>
      <x:c r="J4133" s="11" t="n">
        <x:v>4</x:v>
      </x:c>
      <x:c r="K4133" s="11" t="n">
        <x:v>4</x:v>
      </x:c>
      <x:c r="L4133" s="11" t="n">
        <x:v>1</x:v>
      </x:c>
      <x:c r="M4133" s="9" t="n">
        <x:f>ROUND(H4133*(1-I4133),2)</x:f>
        <x:v>9595000</x:v>
      </x:c>
      <x:c r="N4133" s="4" t="str">
        <x:v>Sales manager</x:v>
      </x:c>
      <x:c r="O4133" s="4" t="str">
        <x:v>BOOK-04132</x:v>
      </x:c>
      <x:c r="P4133" s="9" t="n">
        <x:v>2398750</x:v>
      </x:c>
      <x:c r="Q4133" s="11" t="n">
        <x:v>0</x:v>
      </x:c>
      <x:c r="R4133" s="8" t="n">
        <x:v>45611</x:v>
      </x:c>
      <x:c r="S4133" s="4" t="str">
        <x:v>Retained</x:v>
      </x:c>
      <x:c r="T4133" s="10" t="n">
        <x:v>0.291946</x:v>
      </x:c>
      <x:c r="U4133" s="4" t="str">
        <x:v>Test</x:v>
      </x:c>
    </x:row>
    <x:row r="4134" ht="34" customHeight="1">
      <x:c r="A4134" s="4" t="str">
        <x:v>RS-04133</x:v>
      </x:c>
      <x:c r="B4134" s="8" t="n">
        <x:v>45552</x:v>
      </x:c>
      <x:c r="C4134" s="4" t="str">
        <x:v>PRJ-013</x:v>
      </x:c>
      <x:c r="D4134" s="4" t="str">
        <x:v>Office</x:v>
      </x:c>
      <x:c r="E4134" s="4" t="str">
        <x:v>Handed over</x:v>
      </x:c>
      <x:c r="F4134" s="4" t="str">
        <x:v>CUS-04133</x:v>
      </x:c>
      <x:c r="G4134" s="4" t="str">
        <x:v>UNIT-04133</x:v>
      </x:c>
      <x:c r="H4134" s="9" t="n">
        <x:v>15900000</x:v>
      </x:c>
      <x:c r="I4134" s="10" t="n">
        <x:v>0.11</x:v>
      </x:c>
      <x:c r="J4134" s="11" t="n">
        <x:v>0</x:v>
      </x:c>
      <x:c r="K4134" s="11" t="n">
        <x:v>1</x:v>
      </x:c>
      <x:c r="L4134" s="11" t="n">
        <x:v>1</x:v>
      </x:c>
      <x:c r="M4134" s="9" t="n">
        <x:f>ROUND(H4134*(1-I4134),2)</x:f>
        <x:v>14151000</x:v>
      </x:c>
      <x:c r="N4134" s="4" t="str">
        <x:v>Sales head</x:v>
      </x:c>
      <x:c r="O4134" s="4" t="str">
        <x:v>BOOK-04133</x:v>
      </x:c>
      <x:c r="P4134" s="9" t="n">
        <x:v>1415100</x:v>
      </x:c>
      <x:c r="Q4134" s="11" t="n">
        <x:v>0</x:v>
      </x:c>
      <x:c r="R4134" s="8" t="n">
        <x:v>45612</x:v>
      </x:c>
      <x:c r="S4134" s="4" t="str">
        <x:v>Retained</x:v>
      </x:c>
      <x:c r="T4134" s="10" t="n">
        <x:v>0.145833</x:v>
      </x:c>
      <x:c r="U4134" s="4" t="str">
        <x:v>Test</x:v>
      </x:c>
    </x:row>
    <x:row r="4135" ht="34" customHeight="1">
      <x:c r="A4135" s="4" t="str">
        <x:v>RS-04134</x:v>
      </x:c>
      <x:c r="B4135" s="8" t="n">
        <x:v>45553</x:v>
      </x:c>
      <x:c r="C4135" s="4" t="str">
        <x:v>PRJ-014</x:v>
      </x:c>
      <x:c r="D4135" s="4" t="str">
        <x:v>Apartment</x:v>
      </x:c>
      <x:c r="E4135" s="4" t="str">
        <x:v>Cancelled</x:v>
      </x:c>
      <x:c r="F4135" s="4" t="str">
        <x:v>CUS-04134</x:v>
      </x:c>
      <x:c r="G4135" s="4" t="str">
        <x:v>UNIT-04134</x:v>
      </x:c>
      <x:c r="H4135" s="9" t="n">
        <x:v>13500000</x:v>
      </x:c>
      <x:c r="I4135" s="10" t="n">
        <x:v>0.06</x:v>
      </x:c>
      <x:c r="J4135" s="11" t="n">
        <x:v>11</x:v>
      </x:c>
      <x:c r="K4135" s="11" t="n">
        <x:v>6</x:v>
      </x:c>
      <x:c r="L4135" s="11" t="n">
        <x:v>1</x:v>
      </x:c>
      <x:c r="M4135" s="9" t="n">
        <x:f>ROUND(H4135*(1-I4135),2)</x:f>
        <x:v>12690000</x:v>
      </x:c>
      <x:c r="N4135" s="4" t="str">
        <x:v>Sales manager</x:v>
      </x:c>
      <x:c r="O4135" s="4"/>
      <x:c r="P4135" s="9" t="n">
        <x:v>0</x:v>
      </x:c>
      <x:c r="Q4135" s="11" t="n">
        <x:v>1</x:v>
      </x:c>
      <x:c r="R4135" s="8" t="n">
        <x:v>45613</x:v>
      </x:c>
      <x:c r="S4135" s="4" t="str">
        <x:v>Lost / cancelled</x:v>
      </x:c>
      <x:c r="T4135" s="10" t="n">
        <x:v>0.351536</x:v>
      </x:c>
      <x:c r="U4135" s="4" t="str">
        <x:v>Test</x:v>
      </x:c>
    </x:row>
    <x:row r="4136" ht="34" customHeight="1">
      <x:c r="A4136" s="4" t="str">
        <x:v>RS-04135</x:v>
      </x:c>
      <x:c r="B4136" s="8" t="n">
        <x:v>45554</x:v>
      </x:c>
      <x:c r="C4136" s="4" t="str">
        <x:v>PRJ-015</x:v>
      </x:c>
      <x:c r="D4136" s="4" t="str">
        <x:v>Apartment</x:v>
      </x:c>
      <x:c r="E4136" s="4" t="str">
        <x:v>Reserved</x:v>
      </x:c>
      <x:c r="F4136" s="4" t="str">
        <x:v>CUS-04135</x:v>
      </x:c>
      <x:c r="G4136" s="4" t="str">
        <x:v>UNIT-04135</x:v>
      </x:c>
      <x:c r="H4136" s="9" t="n">
        <x:v>6700000</x:v>
      </x:c>
      <x:c r="I4136" s="10" t="n">
        <x:v>0.07</x:v>
      </x:c>
      <x:c r="J4136" s="11" t="n">
        <x:v>8</x:v>
      </x:c>
      <x:c r="K4136" s="11" t="n">
        <x:v>1</x:v>
      </x:c>
      <x:c r="L4136" s="11" t="n">
        <x:v>0</x:v>
      </x:c>
      <x:c r="M4136" s="9" t="n">
        <x:f>ROUND(H4136*(1-I4136),2)</x:f>
        <x:v>6231000</x:v>
      </x:c>
      <x:c r="N4136" s="4" t="str">
        <x:v>Sales manager</x:v>
      </x:c>
      <x:c r="O4136" s="4"/>
      <x:c r="P4136" s="9" t="n">
        <x:v>0</x:v>
      </x:c>
      <x:c r="Q4136" s="11" t="n">
        <x:v>0</x:v>
      </x:c>
      <x:c r="R4136" s="8" t="n">
        <x:v>45614</x:v>
      </x:c>
      <x:c r="S4136" s="4" t="str">
        <x:v>Retained</x:v>
      </x:c>
      <x:c r="T4136" s="10" t="n">
        <x:v>0.310195</x:v>
      </x:c>
      <x:c r="U4136" s="4" t="str">
        <x:v>Test</x:v>
      </x:c>
    </x:row>
    <x:row r="4137" ht="34" customHeight="1">
      <x:c r="A4137" s="4" t="str">
        <x:v>RS-04136</x:v>
      </x:c>
      <x:c r="B4137" s="8" t="n">
        <x:v>45555</x:v>
      </x:c>
      <x:c r="C4137" s="4" t="str">
        <x:v>PRJ-016</x:v>
      </x:c>
      <x:c r="D4137" s="4" t="str">
        <x:v>Apartment</x:v>
      </x:c>
      <x:c r="E4137" s="4" t="str">
        <x:v>Reserved</x:v>
      </x:c>
      <x:c r="F4137" s="4" t="str">
        <x:v>CUS-04136</x:v>
      </x:c>
      <x:c r="G4137" s="4" t="str">
        <x:v>UNIT-04136</x:v>
      </x:c>
      <x:c r="H4137" s="9" t="n">
        <x:v>21000000</x:v>
      </x:c>
      <x:c r="I4137" s="10" t="n">
        <x:v>0</x:v>
      </x:c>
      <x:c r="J4137" s="11" t="n">
        <x:v>5</x:v>
      </x:c>
      <x:c r="K4137" s="11" t="n">
        <x:v>0</x:v>
      </x:c>
      <x:c r="L4137" s="11" t="n">
        <x:v>0</x:v>
      </x:c>
      <x:c r="M4137" s="9" t="n">
        <x:f>ROUND(H4137*(1-I4137),2)</x:f>
        <x:v>21000000</x:v>
      </x:c>
      <x:c r="N4137" s="4" t="str">
        <x:v>Sales manager</x:v>
      </x:c>
      <x:c r="O4137" s="4"/>
      <x:c r="P4137" s="9" t="n">
        <x:v>0</x:v>
      </x:c>
      <x:c r="Q4137" s="11" t="n">
        <x:v>0</x:v>
      </x:c>
      <x:c r="R4137" s="8" t="n">
        <x:v>45615</x:v>
      </x:c>
      <x:c r="S4137" s="4" t="str">
        <x:v>Retained</x:v>
      </x:c>
      <x:c r="T4137" s="10" t="n">
        <x:v>0.298969</x:v>
      </x:c>
      <x:c r="U4137" s="4" t="str">
        <x:v>Test</x:v>
      </x:c>
    </x:row>
    <x:row r="4138" ht="34" customHeight="1">
      <x:c r="A4138" s="4" t="str">
        <x:v>RS-04137</x:v>
      </x:c>
      <x:c r="B4138" s="8" t="n">
        <x:v>45556</x:v>
      </x:c>
      <x:c r="C4138" s="4" t="str">
        <x:v>PRJ-017</x:v>
      </x:c>
      <x:c r="D4138" s="4" t="str">
        <x:v>Office</x:v>
      </x:c>
      <x:c r="E4138" s="4" t="str">
        <x:v>Booked</x:v>
      </x:c>
      <x:c r="F4138" s="4" t="str">
        <x:v>CUS-04137</x:v>
      </x:c>
      <x:c r="G4138" s="4" t="str">
        <x:v>UNIT-04137</x:v>
      </x:c>
      <x:c r="H4138" s="9" t="n">
        <x:v>7700000</x:v>
      </x:c>
      <x:c r="I4138" s="10" t="n">
        <x:v>0.06</x:v>
      </x:c>
      <x:c r="J4138" s="11" t="n">
        <x:v>6</x:v>
      </x:c>
      <x:c r="K4138" s="11" t="n">
        <x:v>0</x:v>
      </x:c>
      <x:c r="L4138" s="11" t="n">
        <x:v>1</x:v>
      </x:c>
      <x:c r="M4138" s="9" t="n">
        <x:f>ROUND(H4138*(1-I4138),2)</x:f>
        <x:v>7238000</x:v>
      </x:c>
      <x:c r="N4138" s="4" t="str">
        <x:v>Sales manager</x:v>
      </x:c>
      <x:c r="O4138" s="4" t="str">
        <x:v>BOOK-04137</x:v>
      </x:c>
      <x:c r="P4138" s="9" t="n">
        <x:v>3619000</x:v>
      </x:c>
      <x:c r="Q4138" s="11" t="n">
        <x:v>0</x:v>
      </x:c>
      <x:c r="R4138" s="8" t="n">
        <x:v>45616</x:v>
      </x:c>
      <x:c r="S4138" s="4" t="str">
        <x:v>Retained</x:v>
      </x:c>
      <x:c r="T4138" s="10" t="n">
        <x:v>0.291946</x:v>
      </x:c>
      <x:c r="U4138" s="4" t="str">
        <x:v>Test</x:v>
      </x:c>
    </x:row>
    <x:row r="4139" ht="34" customHeight="1">
      <x:c r="A4139" s="4" t="str">
        <x:v>RS-04138</x:v>
      </x:c>
      <x:c r="B4139" s="8" t="n">
        <x:v>45557</x:v>
      </x:c>
      <x:c r="C4139" s="4" t="str">
        <x:v>PRJ-018</x:v>
      </x:c>
      <x:c r="D4139" s="4" t="str">
        <x:v>Apartment</x:v>
      </x:c>
      <x:c r="E4139" s="4" t="str">
        <x:v>Booked</x:v>
      </x:c>
      <x:c r="F4139" s="4" t="str">
        <x:v>CUS-04138</x:v>
      </x:c>
      <x:c r="G4139" s="4" t="str">
        <x:v>UNIT-04138</x:v>
      </x:c>
      <x:c r="H4139" s="9" t="n">
        <x:v>21000000</x:v>
      </x:c>
      <x:c r="I4139" s="10" t="n">
        <x:v>0.08</x:v>
      </x:c>
      <x:c r="J4139" s="11" t="n">
        <x:v>1</x:v>
      </x:c>
      <x:c r="K4139" s="11" t="n">
        <x:v>5</x:v>
      </x:c>
      <x:c r="L4139" s="11" t="n">
        <x:v>1</x:v>
      </x:c>
      <x:c r="M4139" s="9" t="n">
        <x:f>ROUND(H4139*(1-I4139),2)</x:f>
        <x:v>19320000</x:v>
      </x:c>
      <x:c r="N4139" s="4" t="str">
        <x:v>Sales head</x:v>
      </x:c>
      <x:c r="O4139" s="4" t="str">
        <x:v>BOOK-04138</x:v>
      </x:c>
      <x:c r="P4139" s="9" t="n">
        <x:v>4830000</x:v>
      </x:c>
      <x:c r="Q4139" s="11" t="n">
        <x:v>0</x:v>
      </x:c>
      <x:c r="R4139" s="8" t="n">
        <x:v>45617</x:v>
      </x:c>
      <x:c r="S4139" s="4" t="str">
        <x:v>Retained</x:v>
      </x:c>
      <x:c r="T4139" s="10" t="n">
        <x:v>0.204152</x:v>
      </x:c>
      <x:c r="U4139" s="4" t="str">
        <x:v>Test</x:v>
      </x:c>
    </x:row>
    <x:row r="4140" ht="34" customHeight="1">
      <x:c r="A4140" s="4" t="str">
        <x:v>RS-04139</x:v>
      </x:c>
      <x:c r="B4140" s="8" t="n">
        <x:v>45558</x:v>
      </x:c>
      <x:c r="C4140" s="4" t="str">
        <x:v>PRJ-019</x:v>
      </x:c>
      <x:c r="D4140" s="4" t="str">
        <x:v>Retail</x:v>
      </x:c>
      <x:c r="E4140" s="4" t="str">
        <x:v>Cancelled</x:v>
      </x:c>
      <x:c r="F4140" s="4" t="str">
        <x:v>CUS-04139</x:v>
      </x:c>
      <x:c r="G4140" s="4" t="str">
        <x:v>UNIT-04139</x:v>
      </x:c>
      <x:c r="H4140" s="9" t="n">
        <x:v>19000000</x:v>
      </x:c>
      <x:c r="I4140" s="10" t="n">
        <x:v>0.11</x:v>
      </x:c>
      <x:c r="J4140" s="11" t="n">
        <x:v>8</x:v>
      </x:c>
      <x:c r="K4140" s="11" t="n">
        <x:v>8</x:v>
      </x:c>
      <x:c r="L4140" s="11" t="n">
        <x:v>0</x:v>
      </x:c>
      <x:c r="M4140" s="9" t="n">
        <x:f>ROUND(H4140*(1-I4140),2)</x:f>
        <x:v>16910000</x:v>
      </x:c>
      <x:c r="N4140" s="4" t="str">
        <x:v>Sales head</x:v>
      </x:c>
      <x:c r="O4140" s="4"/>
      <x:c r="P4140" s="9" t="n">
        <x:v>0</x:v>
      </x:c>
      <x:c r="Q4140" s="11" t="n">
        <x:v>1</x:v>
      </x:c>
      <x:c r="R4140" s="8" t="n">
        <x:v>45618</x:v>
      </x:c>
      <x:c r="S4140" s="4" t="str">
        <x:v>Lost / cancelled</x:v>
      </x:c>
      <x:c r="T4140" s="10" t="n">
        <x:v>0.310195</x:v>
      </x:c>
      <x:c r="U4140" s="4" t="str">
        <x:v>Test</x:v>
      </x:c>
    </x:row>
    <x:row r="4141" ht="34" customHeight="1">
      <x:c r="A4141" s="4" t="str">
        <x:v>RS-04140</x:v>
      </x:c>
      <x:c r="B4141" s="8" t="n">
        <x:v>45559</x:v>
      </x:c>
      <x:c r="C4141" s="4" t="str">
        <x:v>PRJ-020</x:v>
      </x:c>
      <x:c r="D4141" s="4" t="str">
        <x:v>Office</x:v>
      </x:c>
      <x:c r="E4141" s="4" t="str">
        <x:v>Enquiry</x:v>
      </x:c>
      <x:c r="F4141" s="4" t="str">
        <x:v>CUS-04140</x:v>
      </x:c>
      <x:c r="G4141" s="4" t="str">
        <x:v>UNIT-04140</x:v>
      </x:c>
      <x:c r="H4141" s="9" t="n">
        <x:v>5300000</x:v>
      </x:c>
      <x:c r="I4141" s="10" t="n">
        <x:v>0.08</x:v>
      </x:c>
      <x:c r="J4141" s="11" t="n">
        <x:v>11</x:v>
      </x:c>
      <x:c r="K4141" s="11" t="n">
        <x:v>3</x:v>
      </x:c>
      <x:c r="L4141" s="11" t="n">
        <x:v>0</x:v>
      </x:c>
      <x:c r="M4141" s="9" t="n">
        <x:f>ROUND(H4141*(1-I4141),2)</x:f>
        <x:v>4876000</x:v>
      </x:c>
      <x:c r="N4141" s="4" t="str">
        <x:v>Sales head</x:v>
      </x:c>
      <x:c r="O4141" s="4"/>
      <x:c r="P4141" s="9" t="n">
        <x:v>0</x:v>
      </x:c>
      <x:c r="Q4141" s="11" t="n">
        <x:v>1</x:v>
      </x:c>
      <x:c r="R4141" s="8" t="n">
        <x:v>45619</x:v>
      </x:c>
      <x:c r="S4141" s="4" t="str">
        <x:v>Lost / cancelled</x:v>
      </x:c>
      <x:c r="T4141" s="10" t="n">
        <x:v>0.351536</x:v>
      </x:c>
      <x:c r="U4141" s="4" t="str">
        <x:v>Test</x:v>
      </x:c>
    </x:row>
    <x:row r="4142" ht="34" customHeight="1">
      <x:c r="A4142" s="4" t="str">
        <x:v>RS-04141</x:v>
      </x:c>
      <x:c r="B4142" s="8" t="n">
        <x:v>45560</x:v>
      </x:c>
      <x:c r="C4142" s="4" t="str">
        <x:v>PRJ-001</x:v>
      </x:c>
      <x:c r="D4142" s="4" t="str">
        <x:v>Apartment</x:v>
      </x:c>
      <x:c r="E4142" s="4" t="str">
        <x:v>Reserved</x:v>
      </x:c>
      <x:c r="F4142" s="4" t="str">
        <x:v>CUS-04141</x:v>
      </x:c>
      <x:c r="G4142" s="4" t="str">
        <x:v>UNIT-04141</x:v>
      </x:c>
      <x:c r="H4142" s="9" t="n">
        <x:v>10700000</x:v>
      </x:c>
      <x:c r="I4142" s="10" t="n">
        <x:v>0.03</x:v>
      </x:c>
      <x:c r="J4142" s="11" t="n">
        <x:v>11</x:v>
      </x:c>
      <x:c r="K4142" s="11" t="n">
        <x:v>10</x:v>
      </x:c>
      <x:c r="L4142" s="11" t="n">
        <x:v>0</x:v>
      </x:c>
      <x:c r="M4142" s="9" t="n">
        <x:f>ROUND(H4142*(1-I4142),2)</x:f>
        <x:v>10379000</x:v>
      </x:c>
      <x:c r="N4142" s="4" t="str">
        <x:v>Sales manager</x:v>
      </x:c>
      <x:c r="O4142" s="4"/>
      <x:c r="P4142" s="9" t="n">
        <x:v>0</x:v>
      </x:c>
      <x:c r="Q4142" s="11" t="n">
        <x:v>0</x:v>
      </x:c>
      <x:c r="R4142" s="8" t="n">
        <x:v>45620</x:v>
      </x:c>
      <x:c r="S4142" s="4" t="str">
        <x:v>Retained</x:v>
      </x:c>
      <x:c r="T4142" s="10" t="n">
        <x:v>0.351536</x:v>
      </x:c>
      <x:c r="U4142" s="4" t="str">
        <x:v>Test</x:v>
      </x:c>
    </x:row>
    <x:row r="4143" ht="34" customHeight="1">
      <x:c r="A4143" s="4" t="str">
        <x:v>RS-04142</x:v>
      </x:c>
      <x:c r="B4143" s="8" t="n">
        <x:v>45561</x:v>
      </x:c>
      <x:c r="C4143" s="4" t="str">
        <x:v>PRJ-002</x:v>
      </x:c>
      <x:c r="D4143" s="4" t="str">
        <x:v>Villa</x:v>
      </x:c>
      <x:c r="E4143" s="4" t="str">
        <x:v>Cancelled</x:v>
      </x:c>
      <x:c r="F4143" s="4" t="str">
        <x:v>CUS-04142</x:v>
      </x:c>
      <x:c r="G4143" s="4" t="str">
        <x:v>UNIT-04142</x:v>
      </x:c>
      <x:c r="H4143" s="9" t="n">
        <x:v>17800000</x:v>
      </x:c>
      <x:c r="I4143" s="10" t="n">
        <x:v>0.04</x:v>
      </x:c>
      <x:c r="J4143" s="11" t="n">
        <x:v>1</x:v>
      </x:c>
      <x:c r="K4143" s="11" t="n">
        <x:v>3</x:v>
      </x:c>
      <x:c r="L4143" s="11" t="n">
        <x:v>0</x:v>
      </x:c>
      <x:c r="M4143" s="9" t="n">
        <x:f>ROUND(H4143*(1-I4143),2)</x:f>
        <x:v>17088000</x:v>
      </x:c>
      <x:c r="N4143" s="4" t="str">
        <x:v>Sales manager</x:v>
      </x:c>
      <x:c r="O4143" s="4"/>
      <x:c r="P4143" s="9" t="n">
        <x:v>0</x:v>
      </x:c>
      <x:c r="Q4143" s="11" t="n">
        <x:v>1</x:v>
      </x:c>
      <x:c r="R4143" s="8" t="n">
        <x:v>45621</x:v>
      </x:c>
      <x:c r="S4143" s="4" t="str">
        <x:v>Lost / cancelled</x:v>
      </x:c>
      <x:c r="T4143" s="10" t="n">
        <x:v>0.204152</x:v>
      </x:c>
      <x:c r="U4143" s="4" t="str">
        <x:v>Test</x:v>
      </x:c>
    </x:row>
    <x:row r="4144" ht="34" customHeight="1">
      <x:c r="A4144" s="4" t="str">
        <x:v>RS-04143</x:v>
      </x:c>
      <x:c r="B4144" s="8" t="n">
        <x:v>45562</x:v>
      </x:c>
      <x:c r="C4144" s="4" t="str">
        <x:v>PRJ-003</x:v>
      </x:c>
      <x:c r="D4144" s="4" t="str">
        <x:v>Retail</x:v>
      </x:c>
      <x:c r="E4144" s="4" t="str">
        <x:v>Agreement signed</x:v>
      </x:c>
      <x:c r="F4144" s="4" t="str">
        <x:v>CUS-04143</x:v>
      </x:c>
      <x:c r="G4144" s="4" t="str">
        <x:v>UNIT-04143</x:v>
      </x:c>
      <x:c r="H4144" s="9" t="n">
        <x:v>9200000</x:v>
      </x:c>
      <x:c r="I4144" s="10" t="n">
        <x:v>0.1</x:v>
      </x:c>
      <x:c r="J4144" s="11" t="n">
        <x:v>11</x:v>
      </x:c>
      <x:c r="K4144" s="11" t="n">
        <x:v>0</x:v>
      </x:c>
      <x:c r="L4144" s="11" t="n">
        <x:v>0</x:v>
      </x:c>
      <x:c r="M4144" s="9" t="n">
        <x:f>ROUND(H4144*(1-I4144),2)</x:f>
        <x:v>8280000</x:v>
      </x:c>
      <x:c r="N4144" s="4" t="str">
        <x:v>Sales head</x:v>
      </x:c>
      <x:c r="O4144" s="4" t="str">
        <x:v>BOOK-04143</x:v>
      </x:c>
      <x:c r="P4144" s="9" t="n">
        <x:v>4140000</x:v>
      </x:c>
      <x:c r="Q4144" s="11" t="n">
        <x:v>0</x:v>
      </x:c>
      <x:c r="R4144" s="8" t="n">
        <x:v>45622</x:v>
      </x:c>
      <x:c r="S4144" s="4" t="str">
        <x:v>Retained</x:v>
      </x:c>
      <x:c r="T4144" s="10" t="n">
        <x:v>0.351536</x:v>
      </x:c>
      <x:c r="U4144" s="4" t="str">
        <x:v>Test</x:v>
      </x:c>
    </x:row>
    <x:row r="4145" ht="34" customHeight="1">
      <x:c r="A4145" s="4" t="str">
        <x:v>RS-04144</x:v>
      </x:c>
      <x:c r="B4145" s="8" t="n">
        <x:v>45563</x:v>
      </x:c>
      <x:c r="C4145" s="4" t="str">
        <x:v>PRJ-004</x:v>
      </x:c>
      <x:c r="D4145" s="4" t="str">
        <x:v>Villa</x:v>
      </x:c>
      <x:c r="E4145" s="4" t="str">
        <x:v>Cancelled</x:v>
      </x:c>
      <x:c r="F4145" s="4" t="str">
        <x:v>CUS-04144</x:v>
      </x:c>
      <x:c r="G4145" s="4" t="str">
        <x:v>UNIT-04144</x:v>
      </x:c>
      <x:c r="H4145" s="9" t="n">
        <x:v>11900000</x:v>
      </x:c>
      <x:c r="I4145" s="10" t="n">
        <x:v>0.12</x:v>
      </x:c>
      <x:c r="J4145" s="11" t="n">
        <x:v>8</x:v>
      </x:c>
      <x:c r="K4145" s="11" t="n">
        <x:v>6</x:v>
      </x:c>
      <x:c r="L4145" s="11" t="n">
        <x:v>0</x:v>
      </x:c>
      <x:c r="M4145" s="9" t="n">
        <x:f>ROUND(H4145*(1-I4145),2)</x:f>
        <x:v>10472000</x:v>
      </x:c>
      <x:c r="N4145" s="4" t="str">
        <x:v>Sales head</x:v>
      </x:c>
      <x:c r="O4145" s="4"/>
      <x:c r="P4145" s="9" t="n">
        <x:v>0</x:v>
      </x:c>
      <x:c r="Q4145" s="11" t="n">
        <x:v>1</x:v>
      </x:c>
      <x:c r="R4145" s="8" t="n">
        <x:v>45623</x:v>
      </x:c>
      <x:c r="S4145" s="4" t="str">
        <x:v>Lost / cancelled</x:v>
      </x:c>
      <x:c r="T4145" s="10" t="n">
        <x:v>0.310195</x:v>
      </x:c>
      <x:c r="U4145" s="4" t="str">
        <x:v>Test</x:v>
      </x:c>
    </x:row>
    <x:row r="4146" ht="34" customHeight="1">
      <x:c r="A4146" s="4" t="str">
        <x:v>RS-04145</x:v>
      </x:c>
      <x:c r="B4146" s="8" t="n">
        <x:v>45536</x:v>
      </x:c>
      <x:c r="C4146" s="4" t="str">
        <x:v>PRJ-005</x:v>
      </x:c>
      <x:c r="D4146" s="4" t="str">
        <x:v>Apartment</x:v>
      </x:c>
      <x:c r="E4146" s="4" t="str">
        <x:v>Handed over</x:v>
      </x:c>
      <x:c r="F4146" s="4" t="str">
        <x:v>CUS-04145</x:v>
      </x:c>
      <x:c r="G4146" s="4" t="str">
        <x:v>UNIT-04145</x:v>
      </x:c>
      <x:c r="H4146" s="9" t="n">
        <x:v>5500000</x:v>
      </x:c>
      <x:c r="I4146" s="10" t="n">
        <x:v>0.05</x:v>
      </x:c>
      <x:c r="J4146" s="11" t="n">
        <x:v>0</x:v>
      </x:c>
      <x:c r="K4146" s="11" t="n">
        <x:v>9</x:v>
      </x:c>
      <x:c r="L4146" s="11" t="n">
        <x:v>0</x:v>
      </x:c>
      <x:c r="M4146" s="9" t="n">
        <x:f>ROUND(H4146*(1-I4146),2)</x:f>
        <x:v>5225000</x:v>
      </x:c>
      <x:c r="N4146" s="4" t="str">
        <x:v>Sales manager</x:v>
      </x:c>
      <x:c r="O4146" s="4" t="str">
        <x:v>BOOK-04145</x:v>
      </x:c>
      <x:c r="P4146" s="9" t="n">
        <x:v>1306250</x:v>
      </x:c>
      <x:c r="Q4146" s="11" t="n">
        <x:v>0</x:v>
      </x:c>
      <x:c r="R4146" s="8" t="n">
        <x:v>45596</x:v>
      </x:c>
      <x:c r="S4146" s="4" t="str">
        <x:v>Retained</x:v>
      </x:c>
      <x:c r="T4146" s="10" t="n">
        <x:v>0.204152</x:v>
      </x:c>
      <x:c r="U4146" s="4" t="str">
        <x:v>Test</x:v>
      </x:c>
    </x:row>
    <x:row r="4147" ht="34" customHeight="1">
      <x:c r="A4147" s="4" t="str">
        <x:v>RS-04146</x:v>
      </x:c>
      <x:c r="B4147" s="8" t="n">
        <x:v>45537</x:v>
      </x:c>
      <x:c r="C4147" s="4" t="str">
        <x:v>PRJ-006</x:v>
      </x:c>
      <x:c r="D4147" s="4" t="str">
        <x:v>Apartment</x:v>
      </x:c>
      <x:c r="E4147" s="4" t="str">
        <x:v>Enquiry</x:v>
      </x:c>
      <x:c r="F4147" s="4" t="str">
        <x:v>CUS-04146</x:v>
      </x:c>
      <x:c r="G4147" s="4" t="str">
        <x:v>UNIT-04146</x:v>
      </x:c>
      <x:c r="H4147" s="9" t="n">
        <x:v>8200000</x:v>
      </x:c>
      <x:c r="I4147" s="10" t="n">
        <x:v>0.02</x:v>
      </x:c>
      <x:c r="J4147" s="11" t="n">
        <x:v>0</x:v>
      </x:c>
      <x:c r="K4147" s="11" t="n">
        <x:v>3</x:v>
      </x:c>
      <x:c r="L4147" s="11" t="n">
        <x:v>1</x:v>
      </x:c>
      <x:c r="M4147" s="9" t="n">
        <x:f>ROUND(H4147*(1-I4147),2)</x:f>
        <x:v>8036000</x:v>
      </x:c>
      <x:c r="N4147" s="4" t="str">
        <x:v>Sales manager</x:v>
      </x:c>
      <x:c r="O4147" s="4"/>
      <x:c r="P4147" s="9" t="n">
        <x:v>0</x:v>
      </x:c>
      <x:c r="Q4147" s="11" t="n">
        <x:v>1</x:v>
      </x:c>
      <x:c r="R4147" s="8" t="n">
        <x:v>45597</x:v>
      </x:c>
      <x:c r="S4147" s="4" t="str">
        <x:v>Lost / cancelled</x:v>
      </x:c>
      <x:c r="T4147" s="10" t="n">
        <x:v>0.072165</x:v>
      </x:c>
      <x:c r="U4147" s="4" t="str">
        <x:v>Test</x:v>
      </x:c>
    </x:row>
    <x:row r="4148" ht="34" customHeight="1">
      <x:c r="A4148" s="4" t="str">
        <x:v>RS-04147</x:v>
      </x:c>
      <x:c r="B4148" s="8" t="n">
        <x:v>45538</x:v>
      </x:c>
      <x:c r="C4148" s="4" t="str">
        <x:v>PRJ-007</x:v>
      </x:c>
      <x:c r="D4148" s="4" t="str">
        <x:v>Office</x:v>
      </x:c>
      <x:c r="E4148" s="4" t="str">
        <x:v>Handed over</x:v>
      </x:c>
      <x:c r="F4148" s="4" t="str">
        <x:v>CUS-04147</x:v>
      </x:c>
      <x:c r="G4148" s="4" t="str">
        <x:v>UNIT-04147</x:v>
      </x:c>
      <x:c r="H4148" s="9" t="n">
        <x:v>8100000</x:v>
      </x:c>
      <x:c r="I4148" s="10" t="n">
        <x:v>0.09</x:v>
      </x:c>
      <x:c r="J4148" s="11" t="n">
        <x:v>11</x:v>
      </x:c>
      <x:c r="K4148" s="11" t="n">
        <x:v>0</x:v>
      </x:c>
      <x:c r="L4148" s="11" t="n">
        <x:v>0</x:v>
      </x:c>
      <x:c r="M4148" s="9" t="n">
        <x:f>ROUND(H4148*(1-I4148),2)</x:f>
        <x:v>7371000</x:v>
      </x:c>
      <x:c r="N4148" s="4" t="str">
        <x:v>Sales head</x:v>
      </x:c>
      <x:c r="O4148" s="4" t="str">
        <x:v>BOOK-04147</x:v>
      </x:c>
      <x:c r="P4148" s="9" t="n">
        <x:v>1842750</x:v>
      </x:c>
      <x:c r="Q4148" s="11" t="n">
        <x:v>0</x:v>
      </x:c>
      <x:c r="R4148" s="8" t="n">
        <x:v>45598</x:v>
      </x:c>
      <x:c r="S4148" s="4" t="str">
        <x:v>Retained</x:v>
      </x:c>
      <x:c r="T4148" s="10" t="n">
        <x:v>0.351536</x:v>
      </x:c>
      <x:c r="U4148" s="4" t="str">
        <x:v>Test</x:v>
      </x:c>
    </x:row>
    <x:row r="4149" ht="34" customHeight="1">
      <x:c r="A4149" s="4" t="str">
        <x:v>RS-04148</x:v>
      </x:c>
      <x:c r="B4149" s="8" t="n">
        <x:v>45539</x:v>
      </x:c>
      <x:c r="C4149" s="4" t="str">
        <x:v>PRJ-008</x:v>
      </x:c>
      <x:c r="D4149" s="4" t="str">
        <x:v>Retail</x:v>
      </x:c>
      <x:c r="E4149" s="4" t="str">
        <x:v>Enquiry</x:v>
      </x:c>
      <x:c r="F4149" s="4" t="str">
        <x:v>CUS-04148</x:v>
      </x:c>
      <x:c r="G4149" s="4" t="str">
        <x:v>UNIT-04148</x:v>
      </x:c>
      <x:c r="H4149" s="9" t="n">
        <x:v>4700000</x:v>
      </x:c>
      <x:c r="I4149" s="10" t="n">
        <x:v>0.12</x:v>
      </x:c>
      <x:c r="J4149" s="11" t="n">
        <x:v>9</x:v>
      </x:c>
      <x:c r="K4149" s="11" t="n">
        <x:v>8</x:v>
      </x:c>
      <x:c r="L4149" s="11" t="n">
        <x:v>1</x:v>
      </x:c>
      <x:c r="M4149" s="9" t="n">
        <x:f>ROUND(H4149*(1-I4149),2)</x:f>
        <x:v>4136000</x:v>
      </x:c>
      <x:c r="N4149" s="4" t="str">
        <x:v>Sales head</x:v>
      </x:c>
      <x:c r="O4149" s="4"/>
      <x:c r="P4149" s="9" t="n">
        <x:v>0</x:v>
      </x:c>
      <x:c r="Q4149" s="11" t="n">
        <x:v>0</x:v>
      </x:c>
      <x:c r="R4149" s="8" t="n">
        <x:v>45599</x:v>
      </x:c>
      <x:c r="S4149" s="4" t="str">
        <x:v>Retained</x:v>
      </x:c>
      <x:c r="T4149" s="10" t="n">
        <x:v>0.310195</x:v>
      </x:c>
      <x:c r="U4149" s="4" t="str">
        <x:v>Test</x:v>
      </x:c>
    </x:row>
    <x:row r="4150" ht="34" customHeight="1">
      <x:c r="A4150" s="4" t="str">
        <x:v>RS-04149</x:v>
      </x:c>
      <x:c r="B4150" s="8" t="n">
        <x:v>45540</x:v>
      </x:c>
      <x:c r="C4150" s="4" t="str">
        <x:v>PRJ-009</x:v>
      </x:c>
      <x:c r="D4150" s="4" t="str">
        <x:v>Retail</x:v>
      </x:c>
      <x:c r="E4150" s="4" t="str">
        <x:v>Reserved</x:v>
      </x:c>
      <x:c r="F4150" s="4" t="str">
        <x:v>CUS-04149</x:v>
      </x:c>
      <x:c r="G4150" s="4" t="str">
        <x:v>UNIT-04149</x:v>
      </x:c>
      <x:c r="H4150" s="9" t="n">
        <x:v>7400000</x:v>
      </x:c>
      <x:c r="I4150" s="10" t="n">
        <x:v>0.04</x:v>
      </x:c>
      <x:c r="J4150" s="11" t="n">
        <x:v>0</x:v>
      </x:c>
      <x:c r="K4150" s="11" t="n">
        <x:v>3</x:v>
      </x:c>
      <x:c r="L4150" s="11" t="n">
        <x:v>0</x:v>
      </x:c>
      <x:c r="M4150" s="9" t="n">
        <x:f>ROUND(H4150*(1-I4150),2)</x:f>
        <x:v>7104000</x:v>
      </x:c>
      <x:c r="N4150" s="4" t="str">
        <x:v>Sales manager</x:v>
      </x:c>
      <x:c r="O4150" s="4"/>
      <x:c r="P4150" s="9" t="n">
        <x:v>0</x:v>
      </x:c>
      <x:c r="Q4150" s="11" t="n">
        <x:v>0</x:v>
      </x:c>
      <x:c r="R4150" s="8" t="n">
        <x:v>45600</x:v>
      </x:c>
      <x:c r="S4150" s="4" t="str">
        <x:v>Retained</x:v>
      </x:c>
      <x:c r="T4150" s="10" t="n">
        <x:v>0.204152</x:v>
      </x:c>
      <x:c r="U4150" s="4" t="str">
        <x:v>Test</x:v>
      </x:c>
    </x:row>
    <x:row r="4151" ht="34" customHeight="1">
      <x:c r="A4151" s="4" t="str">
        <x:v>RS-04150</x:v>
      </x:c>
      <x:c r="B4151" s="8" t="n">
        <x:v>45541</x:v>
      </x:c>
      <x:c r="C4151" s="4" t="str">
        <x:v>PRJ-010</x:v>
      </x:c>
      <x:c r="D4151" s="4" t="str">
        <x:v>Office</x:v>
      </x:c>
      <x:c r="E4151" s="4" t="str">
        <x:v>Agreement signed</x:v>
      </x:c>
      <x:c r="F4151" s="4" t="str">
        <x:v>CUS-04150</x:v>
      </x:c>
      <x:c r="G4151" s="4" t="str">
        <x:v>UNIT-04150</x:v>
      </x:c>
      <x:c r="H4151" s="9" t="n">
        <x:v>15900000</x:v>
      </x:c>
      <x:c r="I4151" s="10" t="n">
        <x:v>0.11</x:v>
      </x:c>
      <x:c r="J4151" s="11" t="n">
        <x:v>9</x:v>
      </x:c>
      <x:c r="K4151" s="11" t="n">
        <x:v>7</x:v>
      </x:c>
      <x:c r="L4151" s="11" t="n">
        <x:v>0</x:v>
      </x:c>
      <x:c r="M4151" s="9" t="n">
        <x:f>ROUND(H4151*(1-I4151),2)</x:f>
        <x:v>14151000</x:v>
      </x:c>
      <x:c r="N4151" s="4" t="str">
        <x:v>Sales head</x:v>
      </x:c>
      <x:c r="O4151" s="4" t="str">
        <x:v>BOOK-04150</x:v>
      </x:c>
      <x:c r="P4151" s="9" t="n">
        <x:v>7075500</x:v>
      </x:c>
      <x:c r="Q4151" s="11" t="n">
        <x:v>0</x:v>
      </x:c>
      <x:c r="R4151" s="8" t="n">
        <x:v>45601</x:v>
      </x:c>
      <x:c r="S4151" s="4" t="str">
        <x:v>Retained</x:v>
      </x:c>
      <x:c r="T4151" s="10" t="n">
        <x:v>0.310195</x:v>
      </x:c>
      <x:c r="U4151" s="4" t="str">
        <x:v>Test</x:v>
      </x:c>
    </x:row>
    <x:row r="4152" ht="34" customHeight="1">
      <x:c r="A4152" s="4" t="str">
        <x:v>RS-04151</x:v>
      </x:c>
      <x:c r="B4152" s="8" t="n">
        <x:v>45542</x:v>
      </x:c>
      <x:c r="C4152" s="4" t="str">
        <x:v>PRJ-011</x:v>
      </x:c>
      <x:c r="D4152" s="4" t="str">
        <x:v>Apartment</x:v>
      </x:c>
      <x:c r="E4152" s="4" t="str">
        <x:v>Enquiry</x:v>
      </x:c>
      <x:c r="F4152" s="4" t="str">
        <x:v>CUS-04151</x:v>
      </x:c>
      <x:c r="G4152" s="4" t="str">
        <x:v>UNIT-04151</x:v>
      </x:c>
      <x:c r="H4152" s="9" t="n">
        <x:v>4100000</x:v>
      </x:c>
      <x:c r="I4152" s="10" t="n">
        <x:v>0.06</x:v>
      </x:c>
      <x:c r="J4152" s="11" t="n">
        <x:v>7</x:v>
      </x:c>
      <x:c r="K4152" s="11" t="n">
        <x:v>6</x:v>
      </x:c>
      <x:c r="L4152" s="11" t="n">
        <x:v>1</x:v>
      </x:c>
      <x:c r="M4152" s="9" t="n">
        <x:f>ROUND(H4152*(1-I4152),2)</x:f>
        <x:v>3854000</x:v>
      </x:c>
      <x:c r="N4152" s="4" t="str">
        <x:v>Sales manager</x:v>
      </x:c>
      <x:c r="O4152" s="4"/>
      <x:c r="P4152" s="9" t="n">
        <x:v>0</x:v>
      </x:c>
      <x:c r="Q4152" s="11" t="n">
        <x:v>0</x:v>
      </x:c>
      <x:c r="R4152" s="8" t="n">
        <x:v>45602</x:v>
      </x:c>
      <x:c r="S4152" s="4" t="str">
        <x:v>Retained</x:v>
      </x:c>
      <x:c r="T4152" s="10" t="n">
        <x:v>0.291946</x:v>
      </x:c>
      <x:c r="U4152" s="4" t="str">
        <x:v>Test</x:v>
      </x:c>
    </x:row>
    <x:row r="4153" ht="34" customHeight="1">
      <x:c r="A4153" s="4" t="str">
        <x:v>RS-04152</x:v>
      </x:c>
      <x:c r="B4153" s="8" t="n">
        <x:v>45543</x:v>
      </x:c>
      <x:c r="C4153" s="4" t="str">
        <x:v>PRJ-012</x:v>
      </x:c>
      <x:c r="D4153" s="4" t="str">
        <x:v>Apartment</x:v>
      </x:c>
      <x:c r="E4153" s="4" t="str">
        <x:v>Cancelled</x:v>
      </x:c>
      <x:c r="F4153" s="4" t="str">
        <x:v>CUS-04152</x:v>
      </x:c>
      <x:c r="G4153" s="4" t="str">
        <x:v>UNIT-04152</x:v>
      </x:c>
      <x:c r="H4153" s="9" t="n">
        <x:v>16800000</x:v>
      </x:c>
      <x:c r="I4153" s="10" t="n">
        <x:v>0.12</x:v>
      </x:c>
      <x:c r="J4153" s="11" t="n">
        <x:v>11</x:v>
      </x:c>
      <x:c r="K4153" s="11" t="n">
        <x:v>10</x:v>
      </x:c>
      <x:c r="L4153" s="11" t="n">
        <x:v>0</x:v>
      </x:c>
      <x:c r="M4153" s="9" t="n">
        <x:f>ROUND(H4153*(1-I4153),2)</x:f>
        <x:v>14784000</x:v>
      </x:c>
      <x:c r="N4153" s="4" t="str">
        <x:v>Sales head</x:v>
      </x:c>
      <x:c r="O4153" s="4"/>
      <x:c r="P4153" s="9" t="n">
        <x:v>0</x:v>
      </x:c>
      <x:c r="Q4153" s="11" t="n">
        <x:v>1</x:v>
      </x:c>
      <x:c r="R4153" s="8" t="n">
        <x:v>45603</x:v>
      </x:c>
      <x:c r="S4153" s="4" t="str">
        <x:v>Lost / cancelled</x:v>
      </x:c>
      <x:c r="T4153" s="10" t="n">
        <x:v>0.351536</x:v>
      </x:c>
      <x:c r="U4153" s="4" t="str">
        <x:v>Test</x:v>
      </x:c>
    </x:row>
    <x:row r="4154" ht="34" customHeight="1">
      <x:c r="A4154" s="4" t="str">
        <x:v>RS-04153</x:v>
      </x:c>
      <x:c r="B4154" s="8" t="n">
        <x:v>45544</x:v>
      </x:c>
      <x:c r="C4154" s="4" t="str">
        <x:v>PRJ-013</x:v>
      </x:c>
      <x:c r="D4154" s="4" t="str">
        <x:v>Office</x:v>
      </x:c>
      <x:c r="E4154" s="4" t="str">
        <x:v>Cancelled</x:v>
      </x:c>
      <x:c r="F4154" s="4" t="str">
        <x:v>CUS-04153</x:v>
      </x:c>
      <x:c r="G4154" s="4" t="str">
        <x:v>UNIT-04153</x:v>
      </x:c>
      <x:c r="H4154" s="9" t="n">
        <x:v>18700000</x:v>
      </x:c>
      <x:c r="I4154" s="10" t="n">
        <x:v>0.1</x:v>
      </x:c>
      <x:c r="J4154" s="11" t="n">
        <x:v>2</x:v>
      </x:c>
      <x:c r="K4154" s="11" t="n">
        <x:v>0</x:v>
      </x:c>
      <x:c r="L4154" s="11" t="n">
        <x:v>0</x:v>
      </x:c>
      <x:c r="M4154" s="9" t="n">
        <x:f>ROUND(H4154*(1-I4154),2)</x:f>
        <x:v>16830000</x:v>
      </x:c>
      <x:c r="N4154" s="4" t="str">
        <x:v>Sales head</x:v>
      </x:c>
      <x:c r="O4154" s="4"/>
      <x:c r="P4154" s="9" t="n">
        <x:v>0</x:v>
      </x:c>
      <x:c r="Q4154" s="11" t="n">
        <x:v>1</x:v>
      </x:c>
      <x:c r="R4154" s="8" t="n">
        <x:v>45604</x:v>
      </x:c>
      <x:c r="S4154" s="4" t="str">
        <x:v>Lost / cancelled</x:v>
      </x:c>
      <x:c r="T4154" s="10" t="n">
        <x:v>0.276923</x:v>
      </x:c>
      <x:c r="U4154" s="4" t="str">
        <x:v>Test</x:v>
      </x:c>
    </x:row>
    <x:row r="4155" ht="34" customHeight="1">
      <x:c r="A4155" s="4" t="str">
        <x:v>RS-04154</x:v>
      </x:c>
      <x:c r="B4155" s="8" t="n">
        <x:v>45545</x:v>
      </x:c>
      <x:c r="C4155" s="4" t="str">
        <x:v>PRJ-014</x:v>
      </x:c>
      <x:c r="D4155" s="4" t="str">
        <x:v>Office</x:v>
      </x:c>
      <x:c r="E4155" s="4" t="str">
        <x:v>Booked</x:v>
      </x:c>
      <x:c r="F4155" s="4" t="str">
        <x:v>CUS-04154</x:v>
      </x:c>
      <x:c r="G4155" s="4" t="str">
        <x:v>UNIT-04154</x:v>
      </x:c>
      <x:c r="H4155" s="9" t="n">
        <x:v>4100000</x:v>
      </x:c>
      <x:c r="I4155" s="10" t="n">
        <x:v>0.05</x:v>
      </x:c>
      <x:c r="J4155" s="11" t="n">
        <x:v>5</x:v>
      </x:c>
      <x:c r="K4155" s="11" t="n">
        <x:v>8</x:v>
      </x:c>
      <x:c r="L4155" s="11" t="n">
        <x:v>0</x:v>
      </x:c>
      <x:c r="M4155" s="9" t="n">
        <x:f>ROUND(H4155*(1-I4155),2)</x:f>
        <x:v>3895000</x:v>
      </x:c>
      <x:c r="N4155" s="4" t="str">
        <x:v>Sales manager</x:v>
      </x:c>
      <x:c r="O4155" s="4" t="str">
        <x:v>BOOK-04154</x:v>
      </x:c>
      <x:c r="P4155" s="9" t="n">
        <x:v>1947500</x:v>
      </x:c>
      <x:c r="Q4155" s="11" t="n">
        <x:v>0</x:v>
      </x:c>
      <x:c r="R4155" s="8" t="n">
        <x:v>45605</x:v>
      </x:c>
      <x:c r="S4155" s="4" t="str">
        <x:v>Retained</x:v>
      </x:c>
      <x:c r="T4155" s="10" t="n">
        <x:v>0.226277</x:v>
      </x:c>
      <x:c r="U4155" s="4" t="str">
        <x:v>Test</x:v>
      </x:c>
    </x:row>
    <x:row r="4156" ht="34" customHeight="1">
      <x:c r="A4156" s="4" t="str">
        <x:v>RS-04155</x:v>
      </x:c>
      <x:c r="B4156" s="8" t="n">
        <x:v>45546</x:v>
      </x:c>
      <x:c r="C4156" s="4" t="str">
        <x:v>PRJ-015</x:v>
      </x:c>
      <x:c r="D4156" s="4" t="str">
        <x:v>Apartment</x:v>
      </x:c>
      <x:c r="E4156" s="4" t="str">
        <x:v>Enquiry</x:v>
      </x:c>
      <x:c r="F4156" s="4" t="str">
        <x:v>CUS-04155</x:v>
      </x:c>
      <x:c r="G4156" s="4" t="str">
        <x:v>UNIT-04155</x:v>
      </x:c>
      <x:c r="H4156" s="9" t="n">
        <x:v>17800000</x:v>
      </x:c>
      <x:c r="I4156" s="10" t="n">
        <x:v>0.03</x:v>
      </x:c>
      <x:c r="J4156" s="11" t="n">
        <x:v>8</x:v>
      </x:c>
      <x:c r="K4156" s="11" t="n">
        <x:v>4</x:v>
      </x:c>
      <x:c r="L4156" s="11" t="n">
        <x:v>1</x:v>
      </x:c>
      <x:c r="M4156" s="9" t="n">
        <x:f>ROUND(H4156*(1-I4156),2)</x:f>
        <x:v>17266000</x:v>
      </x:c>
      <x:c r="N4156" s="4" t="str">
        <x:v>Sales manager</x:v>
      </x:c>
      <x:c r="O4156" s="4"/>
      <x:c r="P4156" s="9" t="n">
        <x:v>0</x:v>
      </x:c>
      <x:c r="Q4156" s="11" t="n">
        <x:v>1</x:v>
      </x:c>
      <x:c r="R4156" s="8" t="n">
        <x:v>45606</x:v>
      </x:c>
      <x:c r="S4156" s="4" t="str">
        <x:v>Lost / cancelled</x:v>
      </x:c>
      <x:c r="T4156" s="10" t="n">
        <x:v>0.310195</x:v>
      </x:c>
      <x:c r="U4156" s="4" t="str">
        <x:v>Test</x:v>
      </x:c>
    </x:row>
    <x:row r="4157" ht="34" customHeight="1">
      <x:c r="A4157" s="4" t="str">
        <x:v>RS-04156</x:v>
      </x:c>
      <x:c r="B4157" s="8" t="n">
        <x:v>45547</x:v>
      </x:c>
      <x:c r="C4157" s="4" t="str">
        <x:v>PRJ-016</x:v>
      </x:c>
      <x:c r="D4157" s="4" t="str">
        <x:v>Villa</x:v>
      </x:c>
      <x:c r="E4157" s="4" t="str">
        <x:v>Booked</x:v>
      </x:c>
      <x:c r="F4157" s="4" t="str">
        <x:v>CUS-04156</x:v>
      </x:c>
      <x:c r="G4157" s="4" t="str">
        <x:v>UNIT-04156</x:v>
      </x:c>
      <x:c r="H4157" s="9" t="n">
        <x:v>19800000</x:v>
      </x:c>
      <x:c r="I4157" s="10" t="n">
        <x:v>0.02</x:v>
      </x:c>
      <x:c r="J4157" s="11" t="n">
        <x:v>10</x:v>
      </x:c>
      <x:c r="K4157" s="11" t="n">
        <x:v>2</x:v>
      </x:c>
      <x:c r="L4157" s="11" t="n">
        <x:v>1</x:v>
      </x:c>
      <x:c r="M4157" s="9" t="n">
        <x:f>ROUND(H4157*(1-I4157),2)</x:f>
        <x:v>19404000</x:v>
      </x:c>
      <x:c r="N4157" s="4" t="str">
        <x:v>Sales manager</x:v>
      </x:c>
      <x:c r="O4157" s="4" t="str">
        <x:v>BOOK-04156</x:v>
      </x:c>
      <x:c r="P4157" s="9" t="n">
        <x:v>9702000</x:v>
      </x:c>
      <x:c r="Q4157" s="11" t="n">
        <x:v>0</x:v>
      </x:c>
      <x:c r="R4157" s="8" t="n">
        <x:v>45607</x:v>
      </x:c>
      <x:c r="S4157" s="4" t="str">
        <x:v>Retained</x:v>
      </x:c>
      <x:c r="T4157" s="10" t="n">
        <x:v>0.254545</x:v>
      </x:c>
      <x:c r="U4157" s="4" t="str">
        <x:v>Test</x:v>
      </x:c>
    </x:row>
    <x:row r="4158" ht="34" customHeight="1">
      <x:c r="A4158" s="4" t="str">
        <x:v>RS-04157</x:v>
      </x:c>
      <x:c r="B4158" s="8" t="n">
        <x:v>45548</x:v>
      </x:c>
      <x:c r="C4158" s="4" t="str">
        <x:v>PRJ-017</x:v>
      </x:c>
      <x:c r="D4158" s="4" t="str">
        <x:v>Office</x:v>
      </x:c>
      <x:c r="E4158" s="4" t="str">
        <x:v>Reserved</x:v>
      </x:c>
      <x:c r="F4158" s="4" t="str">
        <x:v>CUS-04157</x:v>
      </x:c>
      <x:c r="G4158" s="4" t="str">
        <x:v>UNIT-04157</x:v>
      </x:c>
      <x:c r="H4158" s="9" t="n">
        <x:v>21700000</x:v>
      </x:c>
      <x:c r="I4158" s="10" t="n">
        <x:v>0.04</x:v>
      </x:c>
      <x:c r="J4158" s="11" t="n">
        <x:v>8</x:v>
      </x:c>
      <x:c r="K4158" s="11" t="n">
        <x:v>1</x:v>
      </x:c>
      <x:c r="L4158" s="11" t="n">
        <x:v>1</x:v>
      </x:c>
      <x:c r="M4158" s="9" t="n">
        <x:f>ROUND(H4158*(1-I4158),2)</x:f>
        <x:v>20832000</x:v>
      </x:c>
      <x:c r="N4158" s="4" t="str">
        <x:v>Sales manager</x:v>
      </x:c>
      <x:c r="O4158" s="4"/>
      <x:c r="P4158" s="9" t="n">
        <x:v>0</x:v>
      </x:c>
      <x:c r="Q4158" s="11" t="n">
        <x:v>1</x:v>
      </x:c>
      <x:c r="R4158" s="8" t="n">
        <x:v>45608</x:v>
      </x:c>
      <x:c r="S4158" s="4" t="str">
        <x:v>Lost / cancelled</x:v>
      </x:c>
      <x:c r="T4158" s="10" t="n">
        <x:v>0.310195</x:v>
      </x:c>
      <x:c r="U4158" s="4" t="str">
        <x:v>Test</x:v>
      </x:c>
    </x:row>
    <x:row r="4159" ht="34" customHeight="1">
      <x:c r="A4159" s="4" t="str">
        <x:v>RS-04158</x:v>
      </x:c>
      <x:c r="B4159" s="8" t="n">
        <x:v>45549</x:v>
      </x:c>
      <x:c r="C4159" s="4" t="str">
        <x:v>PRJ-018</x:v>
      </x:c>
      <x:c r="D4159" s="4" t="str">
        <x:v>Apartment</x:v>
      </x:c>
      <x:c r="E4159" s="4" t="str">
        <x:v>Agreement signed</x:v>
      </x:c>
      <x:c r="F4159" s="4" t="str">
        <x:v>CUS-04158</x:v>
      </x:c>
      <x:c r="G4159" s="4" t="str">
        <x:v>UNIT-04158</x:v>
      </x:c>
      <x:c r="H4159" s="9" t="n">
        <x:v>15900000</x:v>
      </x:c>
      <x:c r="I4159" s="10" t="n">
        <x:v>0.04</x:v>
      </x:c>
      <x:c r="J4159" s="11" t="n">
        <x:v>3</x:v>
      </x:c>
      <x:c r="K4159" s="11" t="n">
        <x:v>9</x:v>
      </x:c>
      <x:c r="L4159" s="11" t="n">
        <x:v>0</x:v>
      </x:c>
      <x:c r="M4159" s="9" t="n">
        <x:f>ROUND(H4159*(1-I4159),2)</x:f>
        <x:v>15264000</x:v>
      </x:c>
      <x:c r="N4159" s="4" t="str">
        <x:v>Sales manager</x:v>
      </x:c>
      <x:c r="O4159" s="4" t="str">
        <x:v>BOOK-04158</x:v>
      </x:c>
      <x:c r="P4159" s="9" t="n">
        <x:v>1526400</x:v>
      </x:c>
      <x:c r="Q4159" s="11" t="n">
        <x:v>0</x:v>
      </x:c>
      <x:c r="R4159" s="8" t="n">
        <x:v>45609</x:v>
      </x:c>
      <x:c r="S4159" s="4" t="str">
        <x:v>Retained</x:v>
      </x:c>
      <x:c r="T4159" s="10" t="n">
        <x:v>0.204152</x:v>
      </x:c>
      <x:c r="U4159" s="4" t="str">
        <x:v>Test</x:v>
      </x:c>
    </x:row>
    <x:row r="4160" ht="34" customHeight="1">
      <x:c r="A4160" s="4" t="str">
        <x:v>RS-04159</x:v>
      </x:c>
      <x:c r="B4160" s="8" t="n">
        <x:v>45550</x:v>
      </x:c>
      <x:c r="C4160" s="4" t="str">
        <x:v>PRJ-019</x:v>
      </x:c>
      <x:c r="D4160" s="4" t="str">
        <x:v>Retail</x:v>
      </x:c>
      <x:c r="E4160" s="4" t="str">
        <x:v>Reserved</x:v>
      </x:c>
      <x:c r="F4160" s="4" t="str">
        <x:v>CUS-04159</x:v>
      </x:c>
      <x:c r="G4160" s="4" t="str">
        <x:v>UNIT-04159</x:v>
      </x:c>
      <x:c r="H4160" s="9" t="n">
        <x:v>7200000</x:v>
      </x:c>
      <x:c r="I4160" s="10" t="n">
        <x:v>0.01</x:v>
      </x:c>
      <x:c r="J4160" s="11" t="n">
        <x:v>4</x:v>
      </x:c>
      <x:c r="K4160" s="11" t="n">
        <x:v>0</x:v>
      </x:c>
      <x:c r="L4160" s="11" t="n">
        <x:v>1</x:v>
      </x:c>
      <x:c r="M4160" s="9" t="n">
        <x:f>ROUND(H4160*(1-I4160),2)</x:f>
        <x:v>7128000</x:v>
      </x:c>
      <x:c r="N4160" s="4" t="str">
        <x:v>Sales manager</x:v>
      </x:c>
      <x:c r="O4160" s="4"/>
      <x:c r="P4160" s="9" t="n">
        <x:v>0</x:v>
      </x:c>
      <x:c r="Q4160" s="11" t="n">
        <x:v>1</x:v>
      </x:c>
      <x:c r="R4160" s="8" t="n">
        <x:v>45610</x:v>
      </x:c>
      <x:c r="S4160" s="4" t="str">
        <x:v>Lost / cancelled</x:v>
      </x:c>
      <x:c r="T4160" s="10" t="n">
        <x:v>0.298969</x:v>
      </x:c>
      <x:c r="U4160" s="4" t="str">
        <x:v>Test</x:v>
      </x:c>
    </x:row>
    <x:row r="4161" ht="34" customHeight="1">
      <x:c r="A4161" s="4" t="str">
        <x:v>RS-04160</x:v>
      </x:c>
      <x:c r="B4161" s="8" t="n">
        <x:v>45551</x:v>
      </x:c>
      <x:c r="C4161" s="4" t="str">
        <x:v>PRJ-020</x:v>
      </x:c>
      <x:c r="D4161" s="4" t="str">
        <x:v>Villa</x:v>
      </x:c>
      <x:c r="E4161" s="4" t="str">
        <x:v>Enquiry</x:v>
      </x:c>
      <x:c r="F4161" s="4" t="str">
        <x:v>CUS-04160</x:v>
      </x:c>
      <x:c r="G4161" s="4" t="str">
        <x:v>UNIT-04160</x:v>
      </x:c>
      <x:c r="H4161" s="9" t="n">
        <x:v>17000000</x:v>
      </x:c>
      <x:c r="I4161" s="10" t="n">
        <x:v>0.04</x:v>
      </x:c>
      <x:c r="J4161" s="11" t="n">
        <x:v>5</x:v>
      </x:c>
      <x:c r="K4161" s="11" t="n">
        <x:v>6</x:v>
      </x:c>
      <x:c r="L4161" s="11" t="n">
        <x:v>1</x:v>
      </x:c>
      <x:c r="M4161" s="9" t="n">
        <x:f>ROUND(H4161*(1-I4161),2)</x:f>
        <x:v>16320000</x:v>
      </x:c>
      <x:c r="N4161" s="4" t="str">
        <x:v>Sales manager</x:v>
      </x:c>
      <x:c r="O4161" s="4"/>
      <x:c r="P4161" s="9" t="n">
        <x:v>0</x:v>
      </x:c>
      <x:c r="Q4161" s="11" t="n">
        <x:v>0</x:v>
      </x:c>
      <x:c r="R4161" s="8" t="n">
        <x:v>45611</x:v>
      </x:c>
      <x:c r="S4161" s="4" t="str">
        <x:v>Retained</x:v>
      </x:c>
      <x:c r="T4161" s="10" t="n">
        <x:v>0.291946</x:v>
      </x:c>
      <x:c r="U4161" s="4" t="str">
        <x:v>Test</x:v>
      </x:c>
    </x:row>
    <x:row r="4162" ht="34" customHeight="1">
      <x:c r="A4162" s="4" t="str">
        <x:v>RS-04161</x:v>
      </x:c>
      <x:c r="B4162" s="8" t="n">
        <x:v>45552</x:v>
      </x:c>
      <x:c r="C4162" s="4" t="str">
        <x:v>PRJ-001</x:v>
      </x:c>
      <x:c r="D4162" s="4" t="str">
        <x:v>Apartment</x:v>
      </x:c>
      <x:c r="E4162" s="4" t="str">
        <x:v>Cancelled</x:v>
      </x:c>
      <x:c r="F4162" s="4" t="str">
        <x:v>CUS-04161</x:v>
      </x:c>
      <x:c r="G4162" s="4" t="str">
        <x:v>UNIT-04161</x:v>
      </x:c>
      <x:c r="H4162" s="9" t="n">
        <x:v>21000000</x:v>
      </x:c>
      <x:c r="I4162" s="10" t="n">
        <x:v>0.12</x:v>
      </x:c>
      <x:c r="J4162" s="11" t="n">
        <x:v>10</x:v>
      </x:c>
      <x:c r="K4162" s="11" t="n">
        <x:v>4</x:v>
      </x:c>
      <x:c r="L4162" s="11" t="n">
        <x:v>1</x:v>
      </x:c>
      <x:c r="M4162" s="9" t="n">
        <x:f>ROUND(H4162*(1-I4162),2)</x:f>
        <x:v>18480000</x:v>
      </x:c>
      <x:c r="N4162" s="4" t="str">
        <x:v>Sales head</x:v>
      </x:c>
      <x:c r="O4162" s="4"/>
      <x:c r="P4162" s="9" t="n">
        <x:v>0</x:v>
      </x:c>
      <x:c r="Q4162" s="11" t="n">
        <x:v>1</x:v>
      </x:c>
      <x:c r="R4162" s="8" t="n">
        <x:v>45612</x:v>
      </x:c>
      <x:c r="S4162" s="4" t="str">
        <x:v>Lost / cancelled</x:v>
      </x:c>
      <x:c r="T4162" s="10" t="n">
        <x:v>0.310195</x:v>
      </x:c>
      <x:c r="U4162" s="4" t="str">
        <x:v>Test</x:v>
      </x:c>
    </x:row>
    <x:row r="4163" ht="34" customHeight="1">
      <x:c r="A4163" s="4" t="str">
        <x:v>RS-04162</x:v>
      </x:c>
      <x:c r="B4163" s="8" t="n">
        <x:v>45553</x:v>
      </x:c>
      <x:c r="C4163" s="4" t="str">
        <x:v>PRJ-002</x:v>
      </x:c>
      <x:c r="D4163" s="4" t="str">
        <x:v>Office</x:v>
      </x:c>
      <x:c r="E4163" s="4" t="str">
        <x:v>Cancelled</x:v>
      </x:c>
      <x:c r="F4163" s="4" t="str">
        <x:v>CUS-04162</x:v>
      </x:c>
      <x:c r="G4163" s="4" t="str">
        <x:v>UNIT-04162</x:v>
      </x:c>
      <x:c r="H4163" s="9" t="n">
        <x:v>10400000</x:v>
      </x:c>
      <x:c r="I4163" s="10" t="n">
        <x:v>0</x:v>
      </x:c>
      <x:c r="J4163" s="11" t="n">
        <x:v>5</x:v>
      </x:c>
      <x:c r="K4163" s="11" t="n">
        <x:v>4</x:v>
      </x:c>
      <x:c r="L4163" s="11" t="n">
        <x:v>0</x:v>
      </x:c>
      <x:c r="M4163" s="9" t="n">
        <x:f>ROUND(H4163*(1-I4163),2)</x:f>
        <x:v>10400000</x:v>
      </x:c>
      <x:c r="N4163" s="4" t="str">
        <x:v>Sales manager</x:v>
      </x:c>
      <x:c r="O4163" s="4"/>
      <x:c r="P4163" s="9" t="n">
        <x:v>0</x:v>
      </x:c>
      <x:c r="Q4163" s="11" t="n">
        <x:v>1</x:v>
      </x:c>
      <x:c r="R4163" s="8" t="n">
        <x:v>45613</x:v>
      </x:c>
      <x:c r="S4163" s="4" t="str">
        <x:v>Lost / cancelled</x:v>
      </x:c>
      <x:c r="T4163" s="10" t="n">
        <x:v>0.298969</x:v>
      </x:c>
      <x:c r="U4163" s="4" t="str">
        <x:v>Test</x:v>
      </x:c>
    </x:row>
    <x:row r="4164" ht="34" customHeight="1">
      <x:c r="A4164" s="4" t="str">
        <x:v>RS-04163</x:v>
      </x:c>
      <x:c r="B4164" s="8" t="n">
        <x:v>45554</x:v>
      </x:c>
      <x:c r="C4164" s="4" t="str">
        <x:v>PRJ-003</x:v>
      </x:c>
      <x:c r="D4164" s="4" t="str">
        <x:v>Villa</x:v>
      </x:c>
      <x:c r="E4164" s="4" t="str">
        <x:v>Booked</x:v>
      </x:c>
      <x:c r="F4164" s="4" t="str">
        <x:v>CUS-04163</x:v>
      </x:c>
      <x:c r="G4164" s="4" t="str">
        <x:v>UNIT-04163</x:v>
      </x:c>
      <x:c r="H4164" s="9" t="n">
        <x:v>12900000</x:v>
      </x:c>
      <x:c r="I4164" s="10" t="n">
        <x:v>0.02</x:v>
      </x:c>
      <x:c r="J4164" s="11" t="n">
        <x:v>5</x:v>
      </x:c>
      <x:c r="K4164" s="11" t="n">
        <x:v>2</x:v>
      </x:c>
      <x:c r="L4164" s="11" t="n">
        <x:v>0</x:v>
      </x:c>
      <x:c r="M4164" s="9" t="n">
        <x:f>ROUND(H4164*(1-I4164),2)</x:f>
        <x:v>12642000</x:v>
      </x:c>
      <x:c r="N4164" s="4" t="str">
        <x:v>Sales manager</x:v>
      </x:c>
      <x:c r="O4164" s="4" t="str">
        <x:v>BOOK-04163</x:v>
      </x:c>
      <x:c r="P4164" s="9" t="n">
        <x:v>3160500</x:v>
      </x:c>
      <x:c r="Q4164" s="11" t="n">
        <x:v>0</x:v>
      </x:c>
      <x:c r="R4164" s="8" t="n">
        <x:v>45614</x:v>
      </x:c>
      <x:c r="S4164" s="4" t="str">
        <x:v>Retained</x:v>
      </x:c>
      <x:c r="T4164" s="10" t="n">
        <x:v>0.298969</x:v>
      </x:c>
      <x:c r="U4164" s="4" t="str">
        <x:v>Test</x:v>
      </x:c>
    </x:row>
    <x:row r="4165" ht="34" customHeight="1">
      <x:c r="A4165" s="4" t="str">
        <x:v>RS-04164</x:v>
      </x:c>
      <x:c r="B4165" s="8" t="n">
        <x:v>45555</x:v>
      </x:c>
      <x:c r="C4165" s="4" t="str">
        <x:v>PRJ-004</x:v>
      </x:c>
      <x:c r="D4165" s="4" t="str">
        <x:v>Villa</x:v>
      </x:c>
      <x:c r="E4165" s="4" t="str">
        <x:v>Handed over</x:v>
      </x:c>
      <x:c r="F4165" s="4" t="str">
        <x:v>CUS-04164</x:v>
      </x:c>
      <x:c r="G4165" s="4" t="str">
        <x:v>UNIT-04164</x:v>
      </x:c>
      <x:c r="H4165" s="9" t="n">
        <x:v>12600000</x:v>
      </x:c>
      <x:c r="I4165" s="10" t="n">
        <x:v>0.01</x:v>
      </x:c>
      <x:c r="J4165" s="11" t="n">
        <x:v>10</x:v>
      </x:c>
      <x:c r="K4165" s="11" t="n">
        <x:v>8</x:v>
      </x:c>
      <x:c r="L4165" s="11" t="n">
        <x:v>0</x:v>
      </x:c>
      <x:c r="M4165" s="9" t="n">
        <x:f>ROUND(H4165*(1-I4165),2)</x:f>
        <x:v>12474000</x:v>
      </x:c>
      <x:c r="N4165" s="4" t="str">
        <x:v>Sales manager</x:v>
      </x:c>
      <x:c r="O4165" s="4" t="str">
        <x:v>BOOK-04164</x:v>
      </x:c>
      <x:c r="P4165" s="9" t="n">
        <x:v>1247400</x:v>
      </x:c>
      <x:c r="Q4165" s="11" t="n">
        <x:v>0</x:v>
      </x:c>
      <x:c r="R4165" s="8" t="n">
        <x:v>45615</x:v>
      </x:c>
      <x:c r="S4165" s="4" t="str">
        <x:v>Retained</x:v>
      </x:c>
      <x:c r="T4165" s="10" t="n">
        <x:v>0.305556</x:v>
      </x:c>
      <x:c r="U4165" s="4" t="str">
        <x:v>Test</x:v>
      </x:c>
    </x:row>
    <x:row r="4166" ht="34" customHeight="1">
      <x:c r="A4166" s="4" t="str">
        <x:v>RS-04165</x:v>
      </x:c>
      <x:c r="B4166" s="8" t="n">
        <x:v>45556</x:v>
      </x:c>
      <x:c r="C4166" s="4" t="str">
        <x:v>PRJ-005</x:v>
      </x:c>
      <x:c r="D4166" s="4" t="str">
        <x:v>Retail</x:v>
      </x:c>
      <x:c r="E4166" s="4" t="str">
        <x:v>Reserved</x:v>
      </x:c>
      <x:c r="F4166" s="4" t="str">
        <x:v>CUS-04165</x:v>
      </x:c>
      <x:c r="G4166" s="4" t="str">
        <x:v>UNIT-04165</x:v>
      </x:c>
      <x:c r="H4166" s="9" t="n">
        <x:v>10700000</x:v>
      </x:c>
      <x:c r="I4166" s="10" t="n">
        <x:v>0.09</x:v>
      </x:c>
      <x:c r="J4166" s="11" t="n">
        <x:v>7</x:v>
      </x:c>
      <x:c r="K4166" s="11" t="n">
        <x:v>6</x:v>
      </x:c>
      <x:c r="L4166" s="11" t="n">
        <x:v>0</x:v>
      </x:c>
      <x:c r="M4166" s="9" t="n">
        <x:f>ROUND(H4166*(1-I4166),2)</x:f>
        <x:v>9737000</x:v>
      </x:c>
      <x:c r="N4166" s="4" t="str">
        <x:v>Sales head</x:v>
      </x:c>
      <x:c r="O4166" s="4"/>
      <x:c r="P4166" s="9" t="n">
        <x:v>0</x:v>
      </x:c>
      <x:c r="Q4166" s="11" t="n">
        <x:v>1</x:v>
      </x:c>
      <x:c r="R4166" s="8" t="n">
        <x:v>45616</x:v>
      </x:c>
      <x:c r="S4166" s="4" t="str">
        <x:v>Lost / cancelled</x:v>
      </x:c>
      <x:c r="T4166" s="10" t="n">
        <x:v>0.226277</x:v>
      </x:c>
      <x:c r="U4166" s="4" t="str">
        <x:v>Test</x:v>
      </x:c>
    </x:row>
    <x:row r="4167" ht="34" customHeight="1">
      <x:c r="A4167" s="4" t="str">
        <x:v>RS-04166</x:v>
      </x:c>
      <x:c r="B4167" s="8" t="n">
        <x:v>45557</x:v>
      </x:c>
      <x:c r="C4167" s="4" t="str">
        <x:v>PRJ-006</x:v>
      </x:c>
      <x:c r="D4167" s="4" t="str">
        <x:v>Apartment</x:v>
      </x:c>
      <x:c r="E4167" s="4" t="str">
        <x:v>Reserved</x:v>
      </x:c>
      <x:c r="F4167" s="4" t="str">
        <x:v>CUS-04166</x:v>
      </x:c>
      <x:c r="G4167" s="4" t="str">
        <x:v>UNIT-04166</x:v>
      </x:c>
      <x:c r="H4167" s="9" t="n">
        <x:v>23800000</x:v>
      </x:c>
      <x:c r="I4167" s="10" t="n">
        <x:v>0.09</x:v>
      </x:c>
      <x:c r="J4167" s="11" t="n">
        <x:v>7</x:v>
      </x:c>
      <x:c r="K4167" s="11" t="n">
        <x:v>2</x:v>
      </x:c>
      <x:c r="L4167" s="11" t="n">
        <x:v>1</x:v>
      </x:c>
      <x:c r="M4167" s="9" t="n">
        <x:f>ROUND(H4167*(1-I4167),2)</x:f>
        <x:v>21658000</x:v>
      </x:c>
      <x:c r="N4167" s="4" t="str">
        <x:v>Sales head</x:v>
      </x:c>
      <x:c r="O4167" s="4"/>
      <x:c r="P4167" s="9" t="n">
        <x:v>0</x:v>
      </x:c>
      <x:c r="Q4167" s="11" t="n">
        <x:v>0</x:v>
      </x:c>
      <x:c r="R4167" s="8" t="n">
        <x:v>45617</x:v>
      </x:c>
      <x:c r="S4167" s="4" t="str">
        <x:v>Retained</x:v>
      </x:c>
      <x:c r="T4167" s="10" t="n">
        <x:v>0.291946</x:v>
      </x:c>
      <x:c r="U4167" s="4" t="str">
        <x:v>Test</x:v>
      </x:c>
    </x:row>
    <x:row r="4168" ht="34" customHeight="1">
      <x:c r="A4168" s="4" t="str">
        <x:v>RS-04167</x:v>
      </x:c>
      <x:c r="B4168" s="8" t="n">
        <x:v>45558</x:v>
      </x:c>
      <x:c r="C4168" s="4" t="str">
        <x:v>PRJ-007</x:v>
      </x:c>
      <x:c r="D4168" s="4" t="str">
        <x:v>Apartment</x:v>
      </x:c>
      <x:c r="E4168" s="4" t="str">
        <x:v>Cancelled</x:v>
      </x:c>
      <x:c r="F4168" s="4" t="str">
        <x:v>CUS-04167</x:v>
      </x:c>
      <x:c r="G4168" s="4" t="str">
        <x:v>UNIT-04167</x:v>
      </x:c>
      <x:c r="H4168" s="9" t="n">
        <x:v>7300000</x:v>
      </x:c>
      <x:c r="I4168" s="10" t="n">
        <x:v>0.03</x:v>
      </x:c>
      <x:c r="J4168" s="11" t="n">
        <x:v>5</x:v>
      </x:c>
      <x:c r="K4168" s="11" t="n">
        <x:v>1</x:v>
      </x:c>
      <x:c r="L4168" s="11" t="n">
        <x:v>1</x:v>
      </x:c>
      <x:c r="M4168" s="9" t="n">
        <x:f>ROUND(H4168*(1-I4168),2)</x:f>
        <x:v>7081000</x:v>
      </x:c>
      <x:c r="N4168" s="4" t="str">
        <x:v>Sales manager</x:v>
      </x:c>
      <x:c r="O4168" s="4"/>
      <x:c r="P4168" s="9" t="n">
        <x:v>0</x:v>
      </x:c>
      <x:c r="Q4168" s="11" t="n">
        <x:v>1</x:v>
      </x:c>
      <x:c r="R4168" s="8" t="n">
        <x:v>45618</x:v>
      </x:c>
      <x:c r="S4168" s="4" t="str">
        <x:v>Lost / cancelled</x:v>
      </x:c>
      <x:c r="T4168" s="10" t="n">
        <x:v>0.298969</x:v>
      </x:c>
      <x:c r="U4168" s="4" t="str">
        <x:v>Test</x:v>
      </x:c>
    </x:row>
    <x:row r="4169" ht="34" customHeight="1">
      <x:c r="A4169" s="4" t="str">
        <x:v>RS-04168</x:v>
      </x:c>
      <x:c r="B4169" s="8" t="n">
        <x:v>45559</x:v>
      </x:c>
      <x:c r="C4169" s="4" t="str">
        <x:v>PRJ-008</x:v>
      </x:c>
      <x:c r="D4169" s="4" t="str">
        <x:v>Retail</x:v>
      </x:c>
      <x:c r="E4169" s="4" t="str">
        <x:v>Cancelled</x:v>
      </x:c>
      <x:c r="F4169" s="4" t="str">
        <x:v>CUS-04168</x:v>
      </x:c>
      <x:c r="G4169" s="4" t="str">
        <x:v>UNIT-04168</x:v>
      </x:c>
      <x:c r="H4169" s="9" t="n">
        <x:v>8100000</x:v>
      </x:c>
      <x:c r="I4169" s="10" t="n">
        <x:v>0.06</x:v>
      </x:c>
      <x:c r="J4169" s="11" t="n">
        <x:v>12</x:v>
      </x:c>
      <x:c r="K4169" s="11" t="n">
        <x:v>4</x:v>
      </x:c>
      <x:c r="L4169" s="11" t="n">
        <x:v>0</x:v>
      </x:c>
      <x:c r="M4169" s="9" t="n">
        <x:f>ROUND(H4169*(1-I4169),2)</x:f>
        <x:v>7614000</x:v>
      </x:c>
      <x:c r="N4169" s="4" t="str">
        <x:v>Sales manager</x:v>
      </x:c>
      <x:c r="O4169" s="4"/>
      <x:c r="P4169" s="9" t="n">
        <x:v>0</x:v>
      </x:c>
      <x:c r="Q4169" s="11" t="n">
        <x:v>1</x:v>
      </x:c>
      <x:c r="R4169" s="8" t="n">
        <x:v>45619</x:v>
      </x:c>
      <x:c r="S4169" s="4" t="str">
        <x:v>Lost / cancelled</x:v>
      </x:c>
      <x:c r="T4169" s="10" t="n">
        <x:v>0.351536</x:v>
      </x:c>
      <x:c r="U4169" s="4" t="str">
        <x:v>Test</x:v>
      </x:c>
    </x:row>
    <x:row r="4170" ht="34" customHeight="1">
      <x:c r="A4170" s="4" t="str">
        <x:v>RS-04169</x:v>
      </x:c>
      <x:c r="B4170" s="8" t="n">
        <x:v>45560</x:v>
      </x:c>
      <x:c r="C4170" s="4" t="str">
        <x:v>PRJ-009</x:v>
      </x:c>
      <x:c r="D4170" s="4" t="str">
        <x:v>Apartment</x:v>
      </x:c>
      <x:c r="E4170" s="4" t="str">
        <x:v>Agreement signed</x:v>
      </x:c>
      <x:c r="F4170" s="4" t="str">
        <x:v>CUS-04169</x:v>
      </x:c>
      <x:c r="G4170" s="4" t="str">
        <x:v>UNIT-04169</x:v>
      </x:c>
      <x:c r="H4170" s="9" t="n">
        <x:v>10700000</x:v>
      </x:c>
      <x:c r="I4170" s="10" t="n">
        <x:v>0.05</x:v>
      </x:c>
      <x:c r="J4170" s="11" t="n">
        <x:v>1</x:v>
      </x:c>
      <x:c r="K4170" s="11" t="n">
        <x:v>4</x:v>
      </x:c>
      <x:c r="L4170" s="11" t="n">
        <x:v>1</x:v>
      </x:c>
      <x:c r="M4170" s="9" t="n">
        <x:f>ROUND(H4170*(1-I4170),2)</x:f>
        <x:v>10165000</x:v>
      </x:c>
      <x:c r="N4170" s="4" t="str">
        <x:v>Sales manager</x:v>
      </x:c>
      <x:c r="O4170" s="4" t="str">
        <x:v>BOOK-04169</x:v>
      </x:c>
      <x:c r="P4170" s="9" t="n">
        <x:v>1016500</x:v>
      </x:c>
      <x:c r="Q4170" s="11" t="n">
        <x:v>0</x:v>
      </x:c>
      <x:c r="R4170" s="8" t="n">
        <x:v>45620</x:v>
      </x:c>
      <x:c r="S4170" s="4" t="str">
        <x:v>Retained</x:v>
      </x:c>
      <x:c r="T4170" s="10" t="n">
        <x:v>0.204152</x:v>
      </x:c>
      <x:c r="U4170" s="4" t="str">
        <x:v>Test</x:v>
      </x:c>
    </x:row>
    <x:row r="4171" ht="34" customHeight="1">
      <x:c r="A4171" s="4" t="str">
        <x:v>RS-04170</x:v>
      </x:c>
      <x:c r="B4171" s="8" t="n">
        <x:v>45561</x:v>
      </x:c>
      <x:c r="C4171" s="4" t="str">
        <x:v>PRJ-010</x:v>
      </x:c>
      <x:c r="D4171" s="4" t="str">
        <x:v>Apartment</x:v>
      </x:c>
      <x:c r="E4171" s="4" t="str">
        <x:v>Handed over</x:v>
      </x:c>
      <x:c r="F4171" s="4" t="str">
        <x:v>CUS-04170</x:v>
      </x:c>
      <x:c r="G4171" s="4" t="str">
        <x:v>UNIT-04170</x:v>
      </x:c>
      <x:c r="H4171" s="9" t="n">
        <x:v>19300000</x:v>
      </x:c>
      <x:c r="I4171" s="10" t="n">
        <x:v>0.11</x:v>
      </x:c>
      <x:c r="J4171" s="11" t="n">
        <x:v>11</x:v>
      </x:c>
      <x:c r="K4171" s="11" t="n">
        <x:v>6</x:v>
      </x:c>
      <x:c r="L4171" s="11" t="n">
        <x:v>0</x:v>
      </x:c>
      <x:c r="M4171" s="9" t="n">
        <x:f>ROUND(H4171*(1-I4171),2)</x:f>
        <x:v>17177000</x:v>
      </x:c>
      <x:c r="N4171" s="4" t="str">
        <x:v>Sales head</x:v>
      </x:c>
      <x:c r="O4171" s="4" t="str">
        <x:v>BOOK-04170</x:v>
      </x:c>
      <x:c r="P4171" s="9" t="n">
        <x:v>8588500</x:v>
      </x:c>
      <x:c r="Q4171" s="11" t="n">
        <x:v>0</x:v>
      </x:c>
      <x:c r="R4171" s="8" t="n">
        <x:v>45621</x:v>
      </x:c>
      <x:c r="S4171" s="4" t="str">
        <x:v>Retained</x:v>
      </x:c>
      <x:c r="T4171" s="10" t="n">
        <x:v>0.351536</x:v>
      </x:c>
      <x:c r="U4171" s="4" t="str">
        <x:v>Test</x:v>
      </x:c>
    </x:row>
    <x:row r="4172" ht="34" customHeight="1">
      <x:c r="A4172" s="4" t="str">
        <x:v>RS-04171</x:v>
      </x:c>
      <x:c r="B4172" s="8" t="n">
        <x:v>45562</x:v>
      </x:c>
      <x:c r="C4172" s="4" t="str">
        <x:v>PRJ-011</x:v>
      </x:c>
      <x:c r="D4172" s="4" t="str">
        <x:v>Apartment</x:v>
      </x:c>
      <x:c r="E4172" s="4" t="str">
        <x:v>Agreement signed</x:v>
      </x:c>
      <x:c r="F4172" s="4" t="str">
        <x:v>CUS-04171</x:v>
      </x:c>
      <x:c r="G4172" s="4" t="str">
        <x:v>UNIT-04171</x:v>
      </x:c>
      <x:c r="H4172" s="9" t="n">
        <x:v>21900000</x:v>
      </x:c>
      <x:c r="I4172" s="10" t="n">
        <x:v>0.06</x:v>
      </x:c>
      <x:c r="J4172" s="11" t="n">
        <x:v>10</x:v>
      </x:c>
      <x:c r="K4172" s="11" t="n">
        <x:v>2</x:v>
      </x:c>
      <x:c r="L4172" s="11" t="n">
        <x:v>0</x:v>
      </x:c>
      <x:c r="M4172" s="9" t="n">
        <x:f>ROUND(H4172*(1-I4172),2)</x:f>
        <x:v>20586000</x:v>
      </x:c>
      <x:c r="N4172" s="4" t="str">
        <x:v>Sales manager</x:v>
      </x:c>
      <x:c r="O4172" s="4" t="str">
        <x:v>BOOK-04171</x:v>
      </x:c>
      <x:c r="P4172" s="9" t="n">
        <x:v>10293000</x:v>
      </x:c>
      <x:c r="Q4172" s="11" t="n">
        <x:v>0</x:v>
      </x:c>
      <x:c r="R4172" s="8" t="n">
        <x:v>45622</x:v>
      </x:c>
      <x:c r="S4172" s="4" t="str">
        <x:v>Retained</x:v>
      </x:c>
      <x:c r="T4172" s="10" t="n">
        <x:v>0.310195</x:v>
      </x:c>
      <x:c r="U4172" s="4" t="str">
        <x:v>Test</x:v>
      </x:c>
    </x:row>
    <x:row r="4173" ht="34" customHeight="1">
      <x:c r="A4173" s="4" t="str">
        <x:v>RS-04172</x:v>
      </x:c>
      <x:c r="B4173" s="8" t="n">
        <x:v>45563</x:v>
      </x:c>
      <x:c r="C4173" s="4" t="str">
        <x:v>PRJ-012</x:v>
      </x:c>
      <x:c r="D4173" s="4" t="str">
        <x:v>Apartment</x:v>
      </x:c>
      <x:c r="E4173" s="4" t="str">
        <x:v>Cancelled</x:v>
      </x:c>
      <x:c r="F4173" s="4" t="str">
        <x:v>CUS-04172</x:v>
      </x:c>
      <x:c r="G4173" s="4" t="str">
        <x:v>UNIT-04172</x:v>
      </x:c>
      <x:c r="H4173" s="9" t="n">
        <x:v>16400000</x:v>
      </x:c>
      <x:c r="I4173" s="10" t="n">
        <x:v>0.04</x:v>
      </x:c>
      <x:c r="J4173" s="11" t="n">
        <x:v>5</x:v>
      </x:c>
      <x:c r="K4173" s="11" t="n">
        <x:v>9</x:v>
      </x:c>
      <x:c r="L4173" s="11" t="n">
        <x:v>0</x:v>
      </x:c>
      <x:c r="M4173" s="9" t="n">
        <x:f>ROUND(H4173*(1-I4173),2)</x:f>
        <x:v>15744000</x:v>
      </x:c>
      <x:c r="N4173" s="4" t="str">
        <x:v>Sales manager</x:v>
      </x:c>
      <x:c r="O4173" s="4"/>
      <x:c r="P4173" s="9" t="n">
        <x:v>0</x:v>
      </x:c>
      <x:c r="Q4173" s="11" t="n">
        <x:v>1</x:v>
      </x:c>
      <x:c r="R4173" s="8" t="n">
        <x:v>45623</x:v>
      </x:c>
      <x:c r="S4173" s="4" t="str">
        <x:v>Lost / cancelled</x:v>
      </x:c>
      <x:c r="T4173" s="10" t="n">
        <x:v>0.226277</x:v>
      </x:c>
      <x:c r="U4173" s="4" t="str">
        <x:v>Test</x:v>
      </x:c>
    </x:row>
    <x:row r="4174" ht="34" customHeight="1">
      <x:c r="A4174" s="4" t="str">
        <x:v>RS-04173</x:v>
      </x:c>
      <x:c r="B4174" s="8" t="n">
        <x:v>45536</x:v>
      </x:c>
      <x:c r="C4174" s="4" t="str">
        <x:v>PRJ-013</x:v>
      </x:c>
      <x:c r="D4174" s="4" t="str">
        <x:v>Apartment</x:v>
      </x:c>
      <x:c r="E4174" s="4" t="str">
        <x:v>Handed over</x:v>
      </x:c>
      <x:c r="F4174" s="4" t="str">
        <x:v>CUS-04173</x:v>
      </x:c>
      <x:c r="G4174" s="4" t="str">
        <x:v>UNIT-04173</x:v>
      </x:c>
      <x:c r="H4174" s="9" t="n">
        <x:v>15300000</x:v>
      </x:c>
      <x:c r="I4174" s="10" t="n">
        <x:v>0.02</x:v>
      </x:c>
      <x:c r="J4174" s="11" t="n">
        <x:v>7</x:v>
      </x:c>
      <x:c r="K4174" s="11" t="n">
        <x:v>8</x:v>
      </x:c>
      <x:c r="L4174" s="11" t="n">
        <x:v>0</x:v>
      </x:c>
      <x:c r="M4174" s="9" t="n">
        <x:f>ROUND(H4174*(1-I4174),2)</x:f>
        <x:v>14994000</x:v>
      </x:c>
      <x:c r="N4174" s="4" t="str">
        <x:v>Sales manager</x:v>
      </x:c>
      <x:c r="O4174" s="4" t="str">
        <x:v>BOOK-04173</x:v>
      </x:c>
      <x:c r="P4174" s="9" t="n">
        <x:v>7497000</x:v>
      </x:c>
      <x:c r="Q4174" s="11" t="n">
        <x:v>0</x:v>
      </x:c>
      <x:c r="R4174" s="8" t="n">
        <x:v>45596</x:v>
      </x:c>
      <x:c r="S4174" s="4" t="str">
        <x:v>Retained</x:v>
      </x:c>
      <x:c r="T4174" s="10" t="n">
        <x:v>0.145299</x:v>
      </x:c>
      <x:c r="U4174" s="4" t="str">
        <x:v>Test</x:v>
      </x:c>
    </x:row>
    <x:row r="4175" ht="34" customHeight="1">
      <x:c r="A4175" s="4" t="str">
        <x:v>RS-04174</x:v>
      </x:c>
      <x:c r="B4175" s="8" t="n">
        <x:v>45537</x:v>
      </x:c>
      <x:c r="C4175" s="4" t="str">
        <x:v>PRJ-014</x:v>
      </x:c>
      <x:c r="D4175" s="4" t="str">
        <x:v>Office</x:v>
      </x:c>
      <x:c r="E4175" s="4" t="str">
        <x:v>Booked</x:v>
      </x:c>
      <x:c r="F4175" s="4" t="str">
        <x:v>CUS-04174</x:v>
      </x:c>
      <x:c r="G4175" s="4" t="str">
        <x:v>UNIT-04174</x:v>
      </x:c>
      <x:c r="H4175" s="9" t="n">
        <x:v>24400000</x:v>
      </x:c>
      <x:c r="I4175" s="10" t="n">
        <x:v>0.05</x:v>
      </x:c>
      <x:c r="J4175" s="11" t="n">
        <x:v>6</x:v>
      </x:c>
      <x:c r="K4175" s="11" t="n">
        <x:v>2</x:v>
      </x:c>
      <x:c r="L4175" s="11" t="n">
        <x:v>0</x:v>
      </x:c>
      <x:c r="M4175" s="9" t="n">
        <x:f>ROUND(H4175*(1-I4175),2)</x:f>
        <x:v>23180000</x:v>
      </x:c>
      <x:c r="N4175" s="4" t="str">
        <x:v>Sales manager</x:v>
      </x:c>
      <x:c r="O4175" s="4" t="str">
        <x:v>BOOK-04174</x:v>
      </x:c>
      <x:c r="P4175" s="9" t="n">
        <x:v>23180000</x:v>
      </x:c>
      <x:c r="Q4175" s="11" t="n">
        <x:v>0</x:v>
      </x:c>
      <x:c r="R4175" s="8" t="n">
        <x:v>45597</x:v>
      </x:c>
      <x:c r="S4175" s="4" t="str">
        <x:v>Retained</x:v>
      </x:c>
      <x:c r="T4175" s="10" t="n">
        <x:v>0.226277</x:v>
      </x:c>
      <x:c r="U4175" s="4" t="str">
        <x:v>Test</x:v>
      </x:c>
    </x:row>
    <x:row r="4176" ht="34" customHeight="1">
      <x:c r="A4176" s="4" t="str">
        <x:v>RS-04175</x:v>
      </x:c>
      <x:c r="B4176" s="8" t="n">
        <x:v>45538</x:v>
      </x:c>
      <x:c r="C4176" s="4" t="str">
        <x:v>PRJ-015</x:v>
      </x:c>
      <x:c r="D4176" s="4" t="str">
        <x:v>Office</x:v>
      </x:c>
      <x:c r="E4176" s="4" t="str">
        <x:v>Booked</x:v>
      </x:c>
      <x:c r="F4176" s="4" t="str">
        <x:v>CUS-04175</x:v>
      </x:c>
      <x:c r="G4176" s="4" t="str">
        <x:v>UNIT-04175</x:v>
      </x:c>
      <x:c r="H4176" s="9" t="n">
        <x:v>8200000</x:v>
      </x:c>
      <x:c r="I4176" s="10" t="n">
        <x:v>0.06</x:v>
      </x:c>
      <x:c r="J4176" s="11" t="n">
        <x:v>0</x:v>
      </x:c>
      <x:c r="K4176" s="11" t="n">
        <x:v>2</x:v>
      </x:c>
      <x:c r="L4176" s="11" t="n">
        <x:v>0</x:v>
      </x:c>
      <x:c r="M4176" s="9" t="n">
        <x:f>ROUND(H4176*(1-I4176),2)</x:f>
        <x:v>7708000</x:v>
      </x:c>
      <x:c r="N4176" s="4" t="str">
        <x:v>Sales manager</x:v>
      </x:c>
      <x:c r="O4176" s="4" t="str">
        <x:v>BOOK-04175</x:v>
      </x:c>
      <x:c r="P4176" s="9" t="n">
        <x:v>1927000</x:v>
      </x:c>
      <x:c r="Q4176" s="11" t="n">
        <x:v>0</x:v>
      </x:c>
      <x:c r="R4176" s="8" t="n">
        <x:v>45598</x:v>
      </x:c>
      <x:c r="S4176" s="4" t="str">
        <x:v>Retained</x:v>
      </x:c>
      <x:c r="T4176" s="10" t="n">
        <x:v>0.204152</x:v>
      </x:c>
      <x:c r="U4176" s="4" t="str">
        <x:v>Test</x:v>
      </x:c>
    </x:row>
    <x:row r="4177" ht="34" customHeight="1">
      <x:c r="A4177" s="4" t="str">
        <x:v>RS-04176</x:v>
      </x:c>
      <x:c r="B4177" s="8" t="n">
        <x:v>45539</x:v>
      </x:c>
      <x:c r="C4177" s="4" t="str">
        <x:v>PRJ-016</x:v>
      </x:c>
      <x:c r="D4177" s="4" t="str">
        <x:v>Villa</x:v>
      </x:c>
      <x:c r="E4177" s="4" t="str">
        <x:v>Handed over</x:v>
      </x:c>
      <x:c r="F4177" s="4" t="str">
        <x:v>CUS-04176</x:v>
      </x:c>
      <x:c r="G4177" s="4" t="str">
        <x:v>UNIT-04176</x:v>
      </x:c>
      <x:c r="H4177" s="9" t="n">
        <x:v>22500000</x:v>
      </x:c>
      <x:c r="I4177" s="10" t="n">
        <x:v>0.12</x:v>
      </x:c>
      <x:c r="J4177" s="11" t="n">
        <x:v>2</x:v>
      </x:c>
      <x:c r="K4177" s="11" t="n">
        <x:v>6</x:v>
      </x:c>
      <x:c r="L4177" s="11" t="n">
        <x:v>1</x:v>
      </x:c>
      <x:c r="M4177" s="9" t="n">
        <x:f>ROUND(H4177*(1-I4177),2)</x:f>
        <x:v>19800000</x:v>
      </x:c>
      <x:c r="N4177" s="4" t="str">
        <x:v>Sales head</x:v>
      </x:c>
      <x:c r="O4177" s="4" t="str">
        <x:v>BOOK-04176</x:v>
      </x:c>
      <x:c r="P4177" s="9" t="n">
        <x:v>9900000</x:v>
      </x:c>
      <x:c r="Q4177" s="11" t="n">
        <x:v>0</x:v>
      </x:c>
      <x:c r="R4177" s="8" t="n">
        <x:v>45599</x:v>
      </x:c>
      <x:c r="S4177" s="4" t="str">
        <x:v>Retained</x:v>
      </x:c>
      <x:c r="T4177" s="10" t="n">
        <x:v>0.145833</x:v>
      </x:c>
      <x:c r="U4177" s="4" t="str">
        <x:v>Test</x:v>
      </x:c>
    </x:row>
    <x:row r="4178" ht="34" customHeight="1">
      <x:c r="A4178" s="4" t="str">
        <x:v>RS-04177</x:v>
      </x:c>
      <x:c r="B4178" s="8" t="n">
        <x:v>45540</x:v>
      </x:c>
      <x:c r="C4178" s="4" t="str">
        <x:v>PRJ-017</x:v>
      </x:c>
      <x:c r="D4178" s="4" t="str">
        <x:v>Apartment</x:v>
      </x:c>
      <x:c r="E4178" s="4" t="str">
        <x:v>Cancelled</x:v>
      </x:c>
      <x:c r="F4178" s="4" t="str">
        <x:v>CUS-04177</x:v>
      </x:c>
      <x:c r="G4178" s="4" t="str">
        <x:v>UNIT-04177</x:v>
      </x:c>
      <x:c r="H4178" s="9" t="n">
        <x:v>23400000</x:v>
      </x:c>
      <x:c r="I4178" s="10" t="n">
        <x:v>0.03</x:v>
      </x:c>
      <x:c r="J4178" s="11" t="n">
        <x:v>7</x:v>
      </x:c>
      <x:c r="K4178" s="11" t="n">
        <x:v>7</x:v>
      </x:c>
      <x:c r="L4178" s="11" t="n">
        <x:v>1</x:v>
      </x:c>
      <x:c r="M4178" s="9" t="n">
        <x:f>ROUND(H4178*(1-I4178),2)</x:f>
        <x:v>22698000</x:v>
      </x:c>
      <x:c r="N4178" s="4" t="str">
        <x:v>Sales manager</x:v>
      </x:c>
      <x:c r="O4178" s="4"/>
      <x:c r="P4178" s="9" t="n">
        <x:v>0</x:v>
      </x:c>
      <x:c r="Q4178" s="11" t="n">
        <x:v>1</x:v>
      </x:c>
      <x:c r="R4178" s="8" t="n">
        <x:v>45600</x:v>
      </x:c>
      <x:c r="S4178" s="4" t="str">
        <x:v>Lost / cancelled</x:v>
      </x:c>
      <x:c r="T4178" s="10" t="n">
        <x:v>0.145299</x:v>
      </x:c>
      <x:c r="U4178" s="4" t="str">
        <x:v>Test</x:v>
      </x:c>
    </x:row>
    <x:row r="4179" ht="34" customHeight="1">
      <x:c r="A4179" s="4" t="str">
        <x:v>RS-04178</x:v>
      </x:c>
      <x:c r="B4179" s="8" t="n">
        <x:v>45541</x:v>
      </x:c>
      <x:c r="C4179" s="4" t="str">
        <x:v>PRJ-018</x:v>
      </x:c>
      <x:c r="D4179" s="4" t="str">
        <x:v>Villa</x:v>
      </x:c>
      <x:c r="E4179" s="4" t="str">
        <x:v>Handed over</x:v>
      </x:c>
      <x:c r="F4179" s="4" t="str">
        <x:v>CUS-04178</x:v>
      </x:c>
      <x:c r="G4179" s="4" t="str">
        <x:v>UNIT-04178</x:v>
      </x:c>
      <x:c r="H4179" s="9" t="n">
        <x:v>5500000</x:v>
      </x:c>
      <x:c r="I4179" s="10" t="n">
        <x:v>0.1</x:v>
      </x:c>
      <x:c r="J4179" s="11" t="n">
        <x:v>10</x:v>
      </x:c>
      <x:c r="K4179" s="11" t="n">
        <x:v>5</x:v>
      </x:c>
      <x:c r="L4179" s="11" t="n">
        <x:v>0</x:v>
      </x:c>
      <x:c r="M4179" s="9" t="n">
        <x:f>ROUND(H4179*(1-I4179),2)</x:f>
        <x:v>4950000</x:v>
      </x:c>
      <x:c r="N4179" s="4" t="str">
        <x:v>Sales head</x:v>
      </x:c>
      <x:c r="O4179" s="4" t="str">
        <x:v>BOOK-04178</x:v>
      </x:c>
      <x:c r="P4179" s="9" t="n">
        <x:v>495000</x:v>
      </x:c>
      <x:c r="Q4179" s="11" t="n">
        <x:v>0</x:v>
      </x:c>
      <x:c r="R4179" s="8" t="n">
        <x:v>45601</x:v>
      </x:c>
      <x:c r="S4179" s="4" t="str">
        <x:v>Retained</x:v>
      </x:c>
      <x:c r="T4179" s="10" t="n">
        <x:v>0.310195</x:v>
      </x:c>
      <x:c r="U4179" s="4" t="str">
        <x:v>Test</x:v>
      </x:c>
    </x:row>
    <x:row r="4180" ht="34" customHeight="1">
      <x:c r="A4180" s="4" t="str">
        <x:v>RS-04179</x:v>
      </x:c>
      <x:c r="B4180" s="8" t="n">
        <x:v>45542</x:v>
      </x:c>
      <x:c r="C4180" s="4" t="str">
        <x:v>PRJ-019</x:v>
      </x:c>
      <x:c r="D4180" s="4" t="str">
        <x:v>Villa</x:v>
      </x:c>
      <x:c r="E4180" s="4" t="str">
        <x:v>Agreement signed</x:v>
      </x:c>
      <x:c r="F4180" s="4" t="str">
        <x:v>CUS-04179</x:v>
      </x:c>
      <x:c r="G4180" s="4" t="str">
        <x:v>UNIT-04179</x:v>
      </x:c>
      <x:c r="H4180" s="9" t="n">
        <x:v>19600000</x:v>
      </x:c>
      <x:c r="I4180" s="10" t="n">
        <x:v>0.12</x:v>
      </x:c>
      <x:c r="J4180" s="11" t="n">
        <x:v>6</x:v>
      </x:c>
      <x:c r="K4180" s="11" t="n">
        <x:v>0</x:v>
      </x:c>
      <x:c r="L4180" s="11" t="n">
        <x:v>1</x:v>
      </x:c>
      <x:c r="M4180" s="9" t="n">
        <x:f>ROUND(H4180*(1-I4180),2)</x:f>
        <x:v>17248000</x:v>
      </x:c>
      <x:c r="N4180" s="4" t="str">
        <x:v>Sales head</x:v>
      </x:c>
      <x:c r="O4180" s="4" t="str">
        <x:v>BOOK-04179</x:v>
      </x:c>
      <x:c r="P4180" s="9" t="n">
        <x:v>4312000</x:v>
      </x:c>
      <x:c r="Q4180" s="11" t="n">
        <x:v>0</x:v>
      </x:c>
      <x:c r="R4180" s="8" t="n">
        <x:v>45602</x:v>
      </x:c>
      <x:c r="S4180" s="4" t="str">
        <x:v>Retained</x:v>
      </x:c>
      <x:c r="T4180" s="10" t="n">
        <x:v>0.291946</x:v>
      </x:c>
      <x:c r="U4180" s="4" t="str">
        <x:v>Test</x:v>
      </x:c>
    </x:row>
    <x:row r="4181" ht="34" customHeight="1">
      <x:c r="A4181" s="4" t="str">
        <x:v>RS-04180</x:v>
      </x:c>
      <x:c r="B4181" s="8" t="n">
        <x:v>45543</x:v>
      </x:c>
      <x:c r="C4181" s="4" t="str">
        <x:v>PRJ-020</x:v>
      </x:c>
      <x:c r="D4181" s="4" t="str">
        <x:v>Apartment</x:v>
      </x:c>
      <x:c r="E4181" s="4" t="str">
        <x:v>Booked</x:v>
      </x:c>
      <x:c r="F4181" s="4" t="str">
        <x:v>CUS-04180</x:v>
      </x:c>
      <x:c r="G4181" s="4" t="str">
        <x:v>UNIT-04180</x:v>
      </x:c>
      <x:c r="H4181" s="9" t="n">
        <x:v>4300000</x:v>
      </x:c>
      <x:c r="I4181" s="10" t="n">
        <x:v>0.02</x:v>
      </x:c>
      <x:c r="J4181" s="11" t="n">
        <x:v>2</x:v>
      </x:c>
      <x:c r="K4181" s="11" t="n">
        <x:v>2</x:v>
      </x:c>
      <x:c r="L4181" s="11" t="n">
        <x:v>0</x:v>
      </x:c>
      <x:c r="M4181" s="9" t="n">
        <x:f>ROUND(H4181*(1-I4181),2)</x:f>
        <x:v>4214000</x:v>
      </x:c>
      <x:c r="N4181" s="4" t="str">
        <x:v>Sales manager</x:v>
      </x:c>
      <x:c r="O4181" s="4" t="str">
        <x:v>BOOK-04180</x:v>
      </x:c>
      <x:c r="P4181" s="9" t="n">
        <x:v>2107000</x:v>
      </x:c>
      <x:c r="Q4181" s="11" t="n">
        <x:v>0</x:v>
      </x:c>
      <x:c r="R4181" s="8" t="n">
        <x:v>45603</x:v>
      </x:c>
      <x:c r="S4181" s="4" t="str">
        <x:v>Retained</x:v>
      </x:c>
      <x:c r="T4181" s="10" t="n">
        <x:v>0.171717</x:v>
      </x:c>
      <x:c r="U4181" s="4" t="str">
        <x:v>Test</x:v>
      </x:c>
    </x:row>
    <x:row r="4182" ht="34" customHeight="1">
      <x:c r="A4182" s="4" t="str">
        <x:v>RS-04181</x:v>
      </x:c>
      <x:c r="B4182" s="8" t="n">
        <x:v>45544</x:v>
      </x:c>
      <x:c r="C4182" s="4" t="str">
        <x:v>PRJ-001</x:v>
      </x:c>
      <x:c r="D4182" s="4" t="str">
        <x:v>Office</x:v>
      </x:c>
      <x:c r="E4182" s="4" t="str">
        <x:v>Enquiry</x:v>
      </x:c>
      <x:c r="F4182" s="4" t="str">
        <x:v>CUS-04181</x:v>
      </x:c>
      <x:c r="G4182" s="4" t="str">
        <x:v>UNIT-04181</x:v>
      </x:c>
      <x:c r="H4182" s="9" t="n">
        <x:v>23400000</x:v>
      </x:c>
      <x:c r="I4182" s="10" t="n">
        <x:v>0.1</x:v>
      </x:c>
      <x:c r="J4182" s="11" t="n">
        <x:v>7</x:v>
      </x:c>
      <x:c r="K4182" s="11" t="n">
        <x:v>4</x:v>
      </x:c>
      <x:c r="L4182" s="11" t="n">
        <x:v>0</x:v>
      </x:c>
      <x:c r="M4182" s="9" t="n">
        <x:f>ROUND(H4182*(1-I4182),2)</x:f>
        <x:v>21060000</x:v>
      </x:c>
      <x:c r="N4182" s="4" t="str">
        <x:v>Sales head</x:v>
      </x:c>
      <x:c r="O4182" s="4"/>
      <x:c r="P4182" s="9" t="n">
        <x:v>0</x:v>
      </x:c>
      <x:c r="Q4182" s="11" t="n">
        <x:v>1</x:v>
      </x:c>
      <x:c r="R4182" s="8" t="n">
        <x:v>45604</x:v>
      </x:c>
      <x:c r="S4182" s="4" t="str">
        <x:v>Lost / cancelled</x:v>
      </x:c>
      <x:c r="T4182" s="10" t="n">
        <x:v>0.226277</x:v>
      </x:c>
      <x:c r="U4182" s="4" t="str">
        <x:v>Test</x:v>
      </x:c>
    </x:row>
    <x:row r="4183" ht="34" customHeight="1">
      <x:c r="A4183" s="4" t="str">
        <x:v>RS-04182</x:v>
      </x:c>
      <x:c r="B4183" s="8" t="n">
        <x:v>45545</x:v>
      </x:c>
      <x:c r="C4183" s="4" t="str">
        <x:v>PRJ-002</x:v>
      </x:c>
      <x:c r="D4183" s="4" t="str">
        <x:v>Office</x:v>
      </x:c>
      <x:c r="E4183" s="4" t="str">
        <x:v>Reserved</x:v>
      </x:c>
      <x:c r="F4183" s="4" t="str">
        <x:v>CUS-04182</x:v>
      </x:c>
      <x:c r="G4183" s="4" t="str">
        <x:v>UNIT-04182</x:v>
      </x:c>
      <x:c r="H4183" s="9" t="n">
        <x:v>3600000</x:v>
      </x:c>
      <x:c r="I4183" s="10" t="n">
        <x:v>0.05</x:v>
      </x:c>
      <x:c r="J4183" s="11" t="n">
        <x:v>0</x:v>
      </x:c>
      <x:c r="K4183" s="11" t="n">
        <x:v>8</x:v>
      </x:c>
      <x:c r="L4183" s="11" t="n">
        <x:v>0</x:v>
      </x:c>
      <x:c r="M4183" s="9" t="n">
        <x:f>ROUND(H4183*(1-I4183),2)</x:f>
        <x:v>3420000</x:v>
      </x:c>
      <x:c r="N4183" s="4" t="str">
        <x:v>Sales manager</x:v>
      </x:c>
      <x:c r="O4183" s="4"/>
      <x:c r="P4183" s="9" t="n">
        <x:v>0</x:v>
      </x:c>
      <x:c r="Q4183" s="11" t="n">
        <x:v>0</x:v>
      </x:c>
      <x:c r="R4183" s="8" t="n">
        <x:v>45605</x:v>
      </x:c>
      <x:c r="S4183" s="4" t="str">
        <x:v>Retained</x:v>
      </x:c>
      <x:c r="T4183" s="10" t="n">
        <x:v>0.204152</x:v>
      </x:c>
      <x:c r="U4183" s="4" t="str">
        <x:v>Test</x:v>
      </x:c>
    </x:row>
    <x:row r="4184" ht="34" customHeight="1">
      <x:c r="A4184" s="4" t="str">
        <x:v>RS-04183</x:v>
      </x:c>
      <x:c r="B4184" s="8" t="n">
        <x:v>45546</x:v>
      </x:c>
      <x:c r="C4184" s="4" t="str">
        <x:v>PRJ-003</x:v>
      </x:c>
      <x:c r="D4184" s="4" t="str">
        <x:v>Office</x:v>
      </x:c>
      <x:c r="E4184" s="4" t="str">
        <x:v>Enquiry</x:v>
      </x:c>
      <x:c r="F4184" s="4" t="str">
        <x:v>CUS-04183</x:v>
      </x:c>
      <x:c r="G4184" s="4" t="str">
        <x:v>UNIT-04183</x:v>
      </x:c>
      <x:c r="H4184" s="9" t="n">
        <x:v>18000000</x:v>
      </x:c>
      <x:c r="I4184" s="10" t="n">
        <x:v>0.03</x:v>
      </x:c>
      <x:c r="J4184" s="11" t="n">
        <x:v>7</x:v>
      </x:c>
      <x:c r="K4184" s="11" t="n">
        <x:v>8</x:v>
      </x:c>
      <x:c r="L4184" s="11" t="n">
        <x:v>1</x:v>
      </x:c>
      <x:c r="M4184" s="9" t="n">
        <x:f>ROUND(H4184*(1-I4184),2)</x:f>
        <x:v>17460000</x:v>
      </x:c>
      <x:c r="N4184" s="4" t="str">
        <x:v>Sales manager</x:v>
      </x:c>
      <x:c r="O4184" s="4"/>
      <x:c r="P4184" s="9" t="n">
        <x:v>0</x:v>
      </x:c>
      <x:c r="Q4184" s="11" t="n">
        <x:v>0</x:v>
      </x:c>
      <x:c r="R4184" s="8" t="n">
        <x:v>45606</x:v>
      </x:c>
      <x:c r="S4184" s="4" t="str">
        <x:v>Retained</x:v>
      </x:c>
      <x:c r="T4184" s="10" t="n">
        <x:v>0.145299</x:v>
      </x:c>
      <x:c r="U4184" s="4" t="str">
        <x:v>Test</x:v>
      </x:c>
    </x:row>
    <x:row r="4185" ht="34" customHeight="1">
      <x:c r="A4185" s="4" t="str">
        <x:v>RS-04184</x:v>
      </x:c>
      <x:c r="B4185" s="8" t="n">
        <x:v>45547</x:v>
      </x:c>
      <x:c r="C4185" s="4" t="str">
        <x:v>PRJ-004</x:v>
      </x:c>
      <x:c r="D4185" s="4" t="str">
        <x:v>Villa</x:v>
      </x:c>
      <x:c r="E4185" s="4" t="str">
        <x:v>Booked</x:v>
      </x:c>
      <x:c r="F4185" s="4" t="str">
        <x:v>CUS-04184</x:v>
      </x:c>
      <x:c r="G4185" s="4" t="str">
        <x:v>UNIT-04184</x:v>
      </x:c>
      <x:c r="H4185" s="9" t="n">
        <x:v>16100000</x:v>
      </x:c>
      <x:c r="I4185" s="10" t="n">
        <x:v>0.09</x:v>
      </x:c>
      <x:c r="J4185" s="11" t="n">
        <x:v>6</x:v>
      </x:c>
      <x:c r="K4185" s="11" t="n">
        <x:v>4</x:v>
      </x:c>
      <x:c r="L4185" s="11" t="n">
        <x:v>1</x:v>
      </x:c>
      <x:c r="M4185" s="9" t="n">
        <x:f>ROUND(H4185*(1-I4185),2)</x:f>
        <x:v>14651000</x:v>
      </x:c>
      <x:c r="N4185" s="4" t="str">
        <x:v>Sales head</x:v>
      </x:c>
      <x:c r="O4185" s="4" t="str">
        <x:v>BOOK-04184</x:v>
      </x:c>
      <x:c r="P4185" s="9" t="n">
        <x:v>7325500</x:v>
      </x:c>
      <x:c r="Q4185" s="11" t="n">
        <x:v>0</x:v>
      </x:c>
      <x:c r="R4185" s="8" t="n">
        <x:v>45607</x:v>
      </x:c>
      <x:c r="S4185" s="4" t="str">
        <x:v>Retained</x:v>
      </x:c>
      <x:c r="T4185" s="10" t="n">
        <x:v>0.291946</x:v>
      </x:c>
      <x:c r="U4185" s="4" t="str">
        <x:v>Test</x:v>
      </x:c>
    </x:row>
    <x:row r="4186" ht="34" customHeight="1">
      <x:c r="A4186" s="4" t="str">
        <x:v>RS-04185</x:v>
      </x:c>
      <x:c r="B4186" s="8" t="n">
        <x:v>45548</x:v>
      </x:c>
      <x:c r="C4186" s="4" t="str">
        <x:v>PRJ-005</x:v>
      </x:c>
      <x:c r="D4186" s="4" t="str">
        <x:v>Office</x:v>
      </x:c>
      <x:c r="E4186" s="4" t="str">
        <x:v>Agreement signed</x:v>
      </x:c>
      <x:c r="F4186" s="4" t="str">
        <x:v>CUS-04185</x:v>
      </x:c>
      <x:c r="G4186" s="4" t="str">
        <x:v>UNIT-04185</x:v>
      </x:c>
      <x:c r="H4186" s="9" t="n">
        <x:v>14000000</x:v>
      </x:c>
      <x:c r="I4186" s="10" t="n">
        <x:v>0</x:v>
      </x:c>
      <x:c r="J4186" s="11" t="n">
        <x:v>0</x:v>
      </x:c>
      <x:c r="K4186" s="11" t="n">
        <x:v>7</x:v>
      </x:c>
      <x:c r="L4186" s="11" t="n">
        <x:v>1</x:v>
      </x:c>
      <x:c r="M4186" s="9" t="n">
        <x:f>ROUND(H4186*(1-I4186),2)</x:f>
        <x:v>14000000</x:v>
      </x:c>
      <x:c r="N4186" s="4" t="str">
        <x:v>Sales manager</x:v>
      </x:c>
      <x:c r="O4186" s="4" t="str">
        <x:v>BOOK-04185</x:v>
      </x:c>
      <x:c r="P4186" s="9" t="n">
        <x:v>7000000</x:v>
      </x:c>
      <x:c r="Q4186" s="11" t="n">
        <x:v>0</x:v>
      </x:c>
      <x:c r="R4186" s="8" t="n">
        <x:v>45608</x:v>
      </x:c>
      <x:c r="S4186" s="4" t="str">
        <x:v>Retained</x:v>
      </x:c>
      <x:c r="T4186" s="10" t="n">
        <x:v>0.072165</x:v>
      </x:c>
      <x:c r="U4186" s="4" t="str">
        <x:v>Test</x:v>
      </x:c>
    </x:row>
    <x:row r="4187" ht="34" customHeight="1">
      <x:c r="A4187" s="4" t="str">
        <x:v>RS-04186</x:v>
      </x:c>
      <x:c r="B4187" s="8" t="n">
        <x:v>45549</x:v>
      </x:c>
      <x:c r="C4187" s="4" t="str">
        <x:v>PRJ-006</x:v>
      </x:c>
      <x:c r="D4187" s="4" t="str">
        <x:v>Apartment</x:v>
      </x:c>
      <x:c r="E4187" s="4" t="str">
        <x:v>Reserved</x:v>
      </x:c>
      <x:c r="F4187" s="4" t="str">
        <x:v>CUS-04186</x:v>
      </x:c>
      <x:c r="G4187" s="4" t="str">
        <x:v>UNIT-04186</x:v>
      </x:c>
      <x:c r="H4187" s="9" t="n">
        <x:v>21500000</x:v>
      </x:c>
      <x:c r="I4187" s="10" t="n">
        <x:v>0.09</x:v>
      </x:c>
      <x:c r="J4187" s="11" t="n">
        <x:v>8</x:v>
      </x:c>
      <x:c r="K4187" s="11" t="n">
        <x:v>0</x:v>
      </x:c>
      <x:c r="L4187" s="11" t="n">
        <x:v>1</x:v>
      </x:c>
      <x:c r="M4187" s="9" t="n">
        <x:f>ROUND(H4187*(1-I4187),2)</x:f>
        <x:v>19565000</x:v>
      </x:c>
      <x:c r="N4187" s="4" t="str">
        <x:v>Sales head</x:v>
      </x:c>
      <x:c r="O4187" s="4"/>
      <x:c r="P4187" s="9" t="n">
        <x:v>0</x:v>
      </x:c>
      <x:c r="Q4187" s="11" t="n">
        <x:v>0</x:v>
      </x:c>
      <x:c r="R4187" s="8" t="n">
        <x:v>45609</x:v>
      </x:c>
      <x:c r="S4187" s="4" t="str">
        <x:v>Retained</x:v>
      </x:c>
      <x:c r="T4187" s="10" t="n">
        <x:v>0.310195</x:v>
      </x:c>
      <x:c r="U4187" s="4" t="str">
        <x:v>Test</x:v>
      </x:c>
    </x:row>
    <x:row r="4188" ht="34" customHeight="1">
      <x:c r="A4188" s="4" t="str">
        <x:v>RS-04187</x:v>
      </x:c>
      <x:c r="B4188" s="8" t="n">
        <x:v>45550</x:v>
      </x:c>
      <x:c r="C4188" s="4" t="str">
        <x:v>PRJ-007</x:v>
      </x:c>
      <x:c r="D4188" s="4" t="str">
        <x:v>Retail</x:v>
      </x:c>
      <x:c r="E4188" s="4" t="str">
        <x:v>Cancelled</x:v>
      </x:c>
      <x:c r="F4188" s="4" t="str">
        <x:v>CUS-04187</x:v>
      </x:c>
      <x:c r="G4188" s="4" t="str">
        <x:v>UNIT-04187</x:v>
      </x:c>
      <x:c r="H4188" s="9" t="n">
        <x:v>8700000</x:v>
      </x:c>
      <x:c r="I4188" s="10" t="n">
        <x:v>0.09</x:v>
      </x:c>
      <x:c r="J4188" s="11" t="n">
        <x:v>2</x:v>
      </x:c>
      <x:c r="K4188" s="11" t="n">
        <x:v>1</x:v>
      </x:c>
      <x:c r="L4188" s="11" t="n">
        <x:v>0</x:v>
      </x:c>
      <x:c r="M4188" s="9" t="n">
        <x:f>ROUND(H4188*(1-I4188),2)</x:f>
        <x:v>7917000</x:v>
      </x:c>
      <x:c r="N4188" s="4" t="str">
        <x:v>Sales head</x:v>
      </x:c>
      <x:c r="O4188" s="4"/>
      <x:c r="P4188" s="9" t="n">
        <x:v>0</x:v>
      </x:c>
      <x:c r="Q4188" s="11" t="n">
        <x:v>1</x:v>
      </x:c>
      <x:c r="R4188" s="8" t="n">
        <x:v>45610</x:v>
      </x:c>
      <x:c r="S4188" s="4" t="str">
        <x:v>Lost / cancelled</x:v>
      </x:c>
      <x:c r="T4188" s="10" t="n">
        <x:v>0.145833</x:v>
      </x:c>
      <x:c r="U4188" s="4" t="str">
        <x:v>Test</x:v>
      </x:c>
    </x:row>
    <x:row r="4189" ht="34" customHeight="1">
      <x:c r="A4189" s="4" t="str">
        <x:v>RS-04188</x:v>
      </x:c>
      <x:c r="B4189" s="8" t="n">
        <x:v>45551</x:v>
      </x:c>
      <x:c r="C4189" s="4" t="str">
        <x:v>PRJ-008</x:v>
      </x:c>
      <x:c r="D4189" s="4" t="str">
        <x:v>Retail</x:v>
      </x:c>
      <x:c r="E4189" s="4" t="str">
        <x:v>Booked</x:v>
      </x:c>
      <x:c r="F4189" s="4" t="str">
        <x:v>CUS-04188</x:v>
      </x:c>
      <x:c r="G4189" s="4" t="str">
        <x:v>UNIT-04188</x:v>
      </x:c>
      <x:c r="H4189" s="9" t="n">
        <x:v>8800000</x:v>
      </x:c>
      <x:c r="I4189" s="10" t="n">
        <x:v>0</x:v>
      </x:c>
      <x:c r="J4189" s="11" t="n">
        <x:v>9</x:v>
      </x:c>
      <x:c r="K4189" s="11" t="n">
        <x:v>3</x:v>
      </x:c>
      <x:c r="L4189" s="11" t="n">
        <x:v>1</x:v>
      </x:c>
      <x:c r="M4189" s="9" t="n">
        <x:f>ROUND(H4189*(1-I4189),2)</x:f>
        <x:v>8800000</x:v>
      </x:c>
      <x:c r="N4189" s="4" t="str">
        <x:v>Sales manager</x:v>
      </x:c>
      <x:c r="O4189" s="4" t="str">
        <x:v>BOOK-04188</x:v>
      </x:c>
      <x:c r="P4189" s="9" t="n">
        <x:v>2200000</x:v>
      </x:c>
      <x:c r="Q4189" s="11" t="n">
        <x:v>0</x:v>
      </x:c>
      <x:c r="R4189" s="8" t="n">
        <x:v>45611</x:v>
      </x:c>
      <x:c r="S4189" s="4" t="str">
        <x:v>Retained</x:v>
      </x:c>
      <x:c r="T4189" s="10" t="n">
        <x:v>0.254545</x:v>
      </x:c>
      <x:c r="U4189" s="4" t="str">
        <x:v>Test</x:v>
      </x:c>
    </x:row>
    <x:row r="4190" ht="34" customHeight="1">
      <x:c r="A4190" s="4" t="str">
        <x:v>RS-04189</x:v>
      </x:c>
      <x:c r="B4190" s="8" t="n">
        <x:v>45552</x:v>
      </x:c>
      <x:c r="C4190" s="4" t="str">
        <x:v>PRJ-009</x:v>
      </x:c>
      <x:c r="D4190" s="4" t="str">
        <x:v>Retail</x:v>
      </x:c>
      <x:c r="E4190" s="4" t="str">
        <x:v>Booked</x:v>
      </x:c>
      <x:c r="F4190" s="4" t="str">
        <x:v>CUS-04189</x:v>
      </x:c>
      <x:c r="G4190" s="4" t="str">
        <x:v>UNIT-04189</x:v>
      </x:c>
      <x:c r="H4190" s="9" t="n">
        <x:v>8000000</x:v>
      </x:c>
      <x:c r="I4190" s="10" t="n">
        <x:v>0.06</x:v>
      </x:c>
      <x:c r="J4190" s="11" t="n">
        <x:v>7</x:v>
      </x:c>
      <x:c r="K4190" s="11" t="n">
        <x:v>1</x:v>
      </x:c>
      <x:c r="L4190" s="11" t="n">
        <x:v>1</x:v>
      </x:c>
      <x:c r="M4190" s="9" t="n">
        <x:f>ROUND(H4190*(1-I4190),2)</x:f>
        <x:v>7520000</x:v>
      </x:c>
      <x:c r="N4190" s="4" t="str">
        <x:v>Sales manager</x:v>
      </x:c>
      <x:c r="O4190" s="4" t="str">
        <x:v>BOOK-04189</x:v>
      </x:c>
      <x:c r="P4190" s="9" t="n">
        <x:v>7520000</x:v>
      </x:c>
      <x:c r="Q4190" s="11" t="n">
        <x:v>0</x:v>
      </x:c>
      <x:c r="R4190" s="8" t="n">
        <x:v>45612</x:v>
      </x:c>
      <x:c r="S4190" s="4" t="str">
        <x:v>Retained</x:v>
      </x:c>
      <x:c r="T4190" s="10" t="n">
        <x:v>0.291946</x:v>
      </x:c>
      <x:c r="U4190" s="4" t="str">
        <x:v>Test</x:v>
      </x:c>
    </x:row>
    <x:row r="4191" ht="34" customHeight="1">
      <x:c r="A4191" s="4" t="str">
        <x:v>RS-04190</x:v>
      </x:c>
      <x:c r="B4191" s="8" t="n">
        <x:v>45553</x:v>
      </x:c>
      <x:c r="C4191" s="4" t="str">
        <x:v>PRJ-010</x:v>
      </x:c>
      <x:c r="D4191" s="4" t="str">
        <x:v>Office</x:v>
      </x:c>
      <x:c r="E4191" s="4" t="str">
        <x:v>Handed over</x:v>
      </x:c>
      <x:c r="F4191" s="4" t="str">
        <x:v>CUS-04190</x:v>
      </x:c>
      <x:c r="G4191" s="4" t="str">
        <x:v>UNIT-04190</x:v>
      </x:c>
      <x:c r="H4191" s="9" t="n">
        <x:v>5100000</x:v>
      </x:c>
      <x:c r="I4191" s="10" t="n">
        <x:v>0.07</x:v>
      </x:c>
      <x:c r="J4191" s="11" t="n">
        <x:v>3</x:v>
      </x:c>
      <x:c r="K4191" s="11" t="n">
        <x:v>10</x:v>
      </x:c>
      <x:c r="L4191" s="11" t="n">
        <x:v>1</x:v>
      </x:c>
      <x:c r="M4191" s="9" t="n">
        <x:f>ROUND(H4191*(1-I4191),2)</x:f>
        <x:v>4743000</x:v>
      </x:c>
      <x:c r="N4191" s="4" t="str">
        <x:v>Sales manager</x:v>
      </x:c>
      <x:c r="O4191" s="4" t="str">
        <x:v>BOOK-04190</x:v>
      </x:c>
      <x:c r="P4191" s="9" t="n">
        <x:v>2371500</x:v>
      </x:c>
      <x:c r="Q4191" s="11" t="n">
        <x:v>0</x:v>
      </x:c>
      <x:c r="R4191" s="8" t="n">
        <x:v>45613</x:v>
      </x:c>
      <x:c r="S4191" s="4" t="str">
        <x:v>Retained</x:v>
      </x:c>
      <x:c r="T4191" s="10" t="n">
        <x:v>0.204152</x:v>
      </x:c>
      <x:c r="U4191" s="4" t="str">
        <x:v>Test</x:v>
      </x:c>
    </x:row>
    <x:row r="4192" ht="34" customHeight="1">
      <x:c r="A4192" s="4" t="str">
        <x:v>RS-04191</x:v>
      </x:c>
      <x:c r="B4192" s="8" t="n">
        <x:v>45554</x:v>
      </x:c>
      <x:c r="C4192" s="4" t="str">
        <x:v>PRJ-011</x:v>
      </x:c>
      <x:c r="D4192" s="4" t="str">
        <x:v>Retail</x:v>
      </x:c>
      <x:c r="E4192" s="4" t="str">
        <x:v>Reserved</x:v>
      </x:c>
      <x:c r="F4192" s="4" t="str">
        <x:v>CUS-04191</x:v>
      </x:c>
      <x:c r="G4192" s="4" t="str">
        <x:v>UNIT-04191</x:v>
      </x:c>
      <x:c r="H4192" s="9" t="n">
        <x:v>18700000</x:v>
      </x:c>
      <x:c r="I4192" s="10" t="n">
        <x:v>0.01</x:v>
      </x:c>
      <x:c r="J4192" s="11" t="n">
        <x:v>6</x:v>
      </x:c>
      <x:c r="K4192" s="11" t="n">
        <x:v>4</x:v>
      </x:c>
      <x:c r="L4192" s="11" t="n">
        <x:v>1</x:v>
      </x:c>
      <x:c r="M4192" s="9" t="n">
        <x:f>ROUND(H4192*(1-I4192),2)</x:f>
        <x:v>18513000</x:v>
      </x:c>
      <x:c r="N4192" s="4" t="str">
        <x:v>Sales manager</x:v>
      </x:c>
      <x:c r="O4192" s="4"/>
      <x:c r="P4192" s="9" t="n">
        <x:v>0</x:v>
      </x:c>
      <x:c r="Q4192" s="11" t="n">
        <x:v>0</x:v>
      </x:c>
      <x:c r="R4192" s="8" t="n">
        <x:v>45614</x:v>
      </x:c>
      <x:c r="S4192" s="4" t="str">
        <x:v>Retained</x:v>
      </x:c>
      <x:c r="T4192" s="10" t="n">
        <x:v>0.298969</x:v>
      </x:c>
      <x:c r="U4192" s="4" t="str">
        <x:v>Test</x:v>
      </x:c>
    </x:row>
    <x:row r="4193" ht="34" customHeight="1">
      <x:c r="A4193" s="4" t="str">
        <x:v>RS-04192</x:v>
      </x:c>
      <x:c r="B4193" s="8" t="n">
        <x:v>45555</x:v>
      </x:c>
      <x:c r="C4193" s="4" t="str">
        <x:v>PRJ-012</x:v>
      </x:c>
      <x:c r="D4193" s="4" t="str">
        <x:v>Retail</x:v>
      </x:c>
      <x:c r="E4193" s="4" t="str">
        <x:v>Enquiry</x:v>
      </x:c>
      <x:c r="F4193" s="4" t="str">
        <x:v>CUS-04192</x:v>
      </x:c>
      <x:c r="G4193" s="4" t="str">
        <x:v>UNIT-04192</x:v>
      </x:c>
      <x:c r="H4193" s="9" t="n">
        <x:v>17200000</x:v>
      </x:c>
      <x:c r="I4193" s="10" t="n">
        <x:v>0.02</x:v>
      </x:c>
      <x:c r="J4193" s="11" t="n">
        <x:v>0</x:v>
      </x:c>
      <x:c r="K4193" s="11" t="n">
        <x:v>2</x:v>
      </x:c>
      <x:c r="L4193" s="11" t="n">
        <x:v>1</x:v>
      </x:c>
      <x:c r="M4193" s="9" t="n">
        <x:f>ROUND(H4193*(1-I4193),2)</x:f>
        <x:v>16856000</x:v>
      </x:c>
      <x:c r="N4193" s="4" t="str">
        <x:v>Sales manager</x:v>
      </x:c>
      <x:c r="O4193" s="4"/>
      <x:c r="P4193" s="9" t="n">
        <x:v>0</x:v>
      </x:c>
      <x:c r="Q4193" s="11" t="n">
        <x:v>0</x:v>
      </x:c>
      <x:c r="R4193" s="8" t="n">
        <x:v>45615</x:v>
      </x:c>
      <x:c r="S4193" s="4" t="str">
        <x:v>Retained</x:v>
      </x:c>
      <x:c r="T4193" s="10" t="n">
        <x:v>0.072165</x:v>
      </x:c>
      <x:c r="U4193" s="4" t="str">
        <x:v>Test</x:v>
      </x:c>
    </x:row>
    <x:row r="4194" ht="34" customHeight="1">
      <x:c r="A4194" s="4" t="str">
        <x:v>RS-04193</x:v>
      </x:c>
      <x:c r="B4194" s="8" t="n">
        <x:v>45556</x:v>
      </x:c>
      <x:c r="C4194" s="4" t="str">
        <x:v>PRJ-013</x:v>
      </x:c>
      <x:c r="D4194" s="4" t="str">
        <x:v>Retail</x:v>
      </x:c>
      <x:c r="E4194" s="4" t="str">
        <x:v>Reserved</x:v>
      </x:c>
      <x:c r="F4194" s="4" t="str">
        <x:v>CUS-04193</x:v>
      </x:c>
      <x:c r="G4194" s="4" t="str">
        <x:v>UNIT-04193</x:v>
      </x:c>
      <x:c r="H4194" s="9" t="n">
        <x:v>6100000</x:v>
      </x:c>
      <x:c r="I4194" s="10" t="n">
        <x:v>0.1</x:v>
      </x:c>
      <x:c r="J4194" s="11" t="n">
        <x:v>6</x:v>
      </x:c>
      <x:c r="K4194" s="11" t="n">
        <x:v>9</x:v>
      </x:c>
      <x:c r="L4194" s="11" t="n">
        <x:v>1</x:v>
      </x:c>
      <x:c r="M4194" s="9" t="n">
        <x:f>ROUND(H4194*(1-I4194),2)</x:f>
        <x:v>5490000</x:v>
      </x:c>
      <x:c r="N4194" s="4" t="str">
        <x:v>Sales head</x:v>
      </x:c>
      <x:c r="O4194" s="4"/>
      <x:c r="P4194" s="9" t="n">
        <x:v>0</x:v>
      </x:c>
      <x:c r="Q4194" s="11" t="n">
        <x:v>0</x:v>
      </x:c>
      <x:c r="R4194" s="8" t="n">
        <x:v>45616</x:v>
      </x:c>
      <x:c r="S4194" s="4" t="str">
        <x:v>Retained</x:v>
      </x:c>
      <x:c r="T4194" s="10" t="n">
        <x:v>0.291946</x:v>
      </x:c>
      <x:c r="U4194" s="4" t="str">
        <x:v>Test</x:v>
      </x:c>
    </x:row>
    <x:row r="4195" ht="34" customHeight="1">
      <x:c r="A4195" s="4" t="str">
        <x:v>RS-04194</x:v>
      </x:c>
      <x:c r="B4195" s="8" t="n">
        <x:v>45557</x:v>
      </x:c>
      <x:c r="C4195" s="4" t="str">
        <x:v>PRJ-014</x:v>
      </x:c>
      <x:c r="D4195" s="4" t="str">
        <x:v>Office</x:v>
      </x:c>
      <x:c r="E4195" s="4" t="str">
        <x:v>Cancelled</x:v>
      </x:c>
      <x:c r="F4195" s="4" t="str">
        <x:v>CUS-04194</x:v>
      </x:c>
      <x:c r="G4195" s="4" t="str">
        <x:v>UNIT-04194</x:v>
      </x:c>
      <x:c r="H4195" s="9" t="n">
        <x:v>7700000</x:v>
      </x:c>
      <x:c r="I4195" s="10" t="n">
        <x:v>0.04</x:v>
      </x:c>
      <x:c r="J4195" s="11" t="n">
        <x:v>2</x:v>
      </x:c>
      <x:c r="K4195" s="11" t="n">
        <x:v>1</x:v>
      </x:c>
      <x:c r="L4195" s="11" t="n">
        <x:v>1</x:v>
      </x:c>
      <x:c r="M4195" s="9" t="n">
        <x:f>ROUND(H4195*(1-I4195),2)</x:f>
        <x:v>7392000</x:v>
      </x:c>
      <x:c r="N4195" s="4" t="str">
        <x:v>Sales manager</x:v>
      </x:c>
      <x:c r="O4195" s="4"/>
      <x:c r="P4195" s="9" t="n">
        <x:v>0</x:v>
      </x:c>
      <x:c r="Q4195" s="11" t="n">
        <x:v>1</x:v>
      </x:c>
      <x:c r="R4195" s="8" t="n">
        <x:v>45617</x:v>
      </x:c>
      <x:c r="S4195" s="4" t="str">
        <x:v>Lost / cancelled</x:v>
      </x:c>
      <x:c r="T4195" s="10" t="n">
        <x:v>0.204152</x:v>
      </x:c>
      <x:c r="U4195" s="4" t="str">
        <x:v>Test</x:v>
      </x:c>
    </x:row>
    <x:row r="4196" ht="34" customHeight="1">
      <x:c r="A4196" s="4" t="str">
        <x:v>RS-04195</x:v>
      </x:c>
      <x:c r="B4196" s="8" t="n">
        <x:v>45558</x:v>
      </x:c>
      <x:c r="C4196" s="4" t="str">
        <x:v>PRJ-015</x:v>
      </x:c>
      <x:c r="D4196" s="4" t="str">
        <x:v>Office</x:v>
      </x:c>
      <x:c r="E4196" s="4" t="str">
        <x:v>Booked</x:v>
      </x:c>
      <x:c r="F4196" s="4" t="str">
        <x:v>CUS-04195</x:v>
      </x:c>
      <x:c r="G4196" s="4" t="str">
        <x:v>UNIT-04195</x:v>
      </x:c>
      <x:c r="H4196" s="9" t="n">
        <x:v>24800000</x:v>
      </x:c>
      <x:c r="I4196" s="10" t="n">
        <x:v>0.08</x:v>
      </x:c>
      <x:c r="J4196" s="11" t="n">
        <x:v>0</x:v>
      </x:c>
      <x:c r="K4196" s="11" t="n">
        <x:v>7</x:v>
      </x:c>
      <x:c r="L4196" s="11" t="n">
        <x:v>1</x:v>
      </x:c>
      <x:c r="M4196" s="9" t="n">
        <x:f>ROUND(H4196*(1-I4196),2)</x:f>
        <x:v>22816000</x:v>
      </x:c>
      <x:c r="N4196" s="4" t="str">
        <x:v>Sales head</x:v>
      </x:c>
      <x:c r="O4196" s="4" t="str">
        <x:v>BOOK-04195</x:v>
      </x:c>
      <x:c r="P4196" s="9" t="n">
        <x:v>22816000</x:v>
      </x:c>
      <x:c r="Q4196" s="11" t="n">
        <x:v>0</x:v>
      </x:c>
      <x:c r="R4196" s="8" t="n">
        <x:v>45618</x:v>
      </x:c>
      <x:c r="S4196" s="4" t="str">
        <x:v>Retained</x:v>
      </x:c>
      <x:c r="T4196" s="10" t="n">
        <x:v>0.204152</x:v>
      </x:c>
      <x:c r="U4196" s="4" t="str">
        <x:v>Test</x:v>
      </x:c>
    </x:row>
    <x:row r="4197" ht="34" customHeight="1">
      <x:c r="A4197" s="4" t="str">
        <x:v>RS-04196</x:v>
      </x:c>
      <x:c r="B4197" s="8" t="n">
        <x:v>45559</x:v>
      </x:c>
      <x:c r="C4197" s="4" t="str">
        <x:v>PRJ-016</x:v>
      </x:c>
      <x:c r="D4197" s="4" t="str">
        <x:v>Retail</x:v>
      </x:c>
      <x:c r="E4197" s="4" t="str">
        <x:v>Handed over</x:v>
      </x:c>
      <x:c r="F4197" s="4" t="str">
        <x:v>CUS-04196</x:v>
      </x:c>
      <x:c r="G4197" s="4" t="str">
        <x:v>UNIT-04196</x:v>
      </x:c>
      <x:c r="H4197" s="9" t="n">
        <x:v>7400000</x:v>
      </x:c>
      <x:c r="I4197" s="10" t="n">
        <x:v>0.08</x:v>
      </x:c>
      <x:c r="J4197" s="11" t="n">
        <x:v>6</x:v>
      </x:c>
      <x:c r="K4197" s="11" t="n">
        <x:v>10</x:v>
      </x:c>
      <x:c r="L4197" s="11" t="n">
        <x:v>1</x:v>
      </x:c>
      <x:c r="M4197" s="9" t="n">
        <x:f>ROUND(H4197*(1-I4197),2)</x:f>
        <x:v>6808000</x:v>
      </x:c>
      <x:c r="N4197" s="4" t="str">
        <x:v>Sales head</x:v>
      </x:c>
      <x:c r="O4197" s="4" t="str">
        <x:v>BOOK-04196</x:v>
      </x:c>
      <x:c r="P4197" s="9" t="n">
        <x:v>3404000</x:v>
      </x:c>
      <x:c r="Q4197" s="11" t="n">
        <x:v>0</x:v>
      </x:c>
      <x:c r="R4197" s="8" t="n">
        <x:v>45619</x:v>
      </x:c>
      <x:c r="S4197" s="4" t="str">
        <x:v>Retained</x:v>
      </x:c>
      <x:c r="T4197" s="10" t="n">
        <x:v>0.291946</x:v>
      </x:c>
      <x:c r="U4197" s="4" t="str">
        <x:v>Test</x:v>
      </x:c>
    </x:row>
    <x:row r="4198" ht="34" customHeight="1">
      <x:c r="A4198" s="4" t="str">
        <x:v>RS-04197</x:v>
      </x:c>
      <x:c r="B4198" s="8" t="n">
        <x:v>45560</x:v>
      </x:c>
      <x:c r="C4198" s="4" t="str">
        <x:v>PRJ-017</x:v>
      </x:c>
      <x:c r="D4198" s="4" t="str">
        <x:v>Office</x:v>
      </x:c>
      <x:c r="E4198" s="4" t="str">
        <x:v>Enquiry</x:v>
      </x:c>
      <x:c r="F4198" s="4" t="str">
        <x:v>CUS-04197</x:v>
      </x:c>
      <x:c r="G4198" s="4" t="str">
        <x:v>UNIT-04197</x:v>
      </x:c>
      <x:c r="H4198" s="9" t="n">
        <x:v>10200000</x:v>
      </x:c>
      <x:c r="I4198" s="10" t="n">
        <x:v>0.09</x:v>
      </x:c>
      <x:c r="J4198" s="11" t="n">
        <x:v>11</x:v>
      </x:c>
      <x:c r="K4198" s="11" t="n">
        <x:v>4</x:v>
      </x:c>
      <x:c r="L4198" s="11" t="n">
        <x:v>0</x:v>
      </x:c>
      <x:c r="M4198" s="9" t="n">
        <x:f>ROUND(H4198*(1-I4198),2)</x:f>
        <x:v>9282000</x:v>
      </x:c>
      <x:c r="N4198" s="4" t="str">
        <x:v>Sales head</x:v>
      </x:c>
      <x:c r="O4198" s="4"/>
      <x:c r="P4198" s="9" t="n">
        <x:v>0</x:v>
      </x:c>
      <x:c r="Q4198" s="11" t="n">
        <x:v>0</x:v>
      </x:c>
      <x:c r="R4198" s="8" t="n">
        <x:v>45620</x:v>
      </x:c>
      <x:c r="S4198" s="4" t="str">
        <x:v>Retained</x:v>
      </x:c>
      <x:c r="T4198" s="10" t="n">
        <x:v>0.351536</x:v>
      </x:c>
      <x:c r="U4198" s="4" t="str">
        <x:v>Test</x:v>
      </x:c>
    </x:row>
    <x:row r="4199" ht="34" customHeight="1">
      <x:c r="A4199" s="4" t="str">
        <x:v>RS-04198</x:v>
      </x:c>
      <x:c r="B4199" s="8" t="n">
        <x:v>45561</x:v>
      </x:c>
      <x:c r="C4199" s="4" t="str">
        <x:v>PRJ-018</x:v>
      </x:c>
      <x:c r="D4199" s="4" t="str">
        <x:v>Apartment</x:v>
      </x:c>
      <x:c r="E4199" s="4" t="str">
        <x:v>Cancelled</x:v>
      </x:c>
      <x:c r="F4199" s="4" t="str">
        <x:v>CUS-04198</x:v>
      </x:c>
      <x:c r="G4199" s="4" t="str">
        <x:v>UNIT-04198</x:v>
      </x:c>
      <x:c r="H4199" s="9" t="n">
        <x:v>24200000</x:v>
      </x:c>
      <x:c r="I4199" s="10" t="n">
        <x:v>0.06</x:v>
      </x:c>
      <x:c r="J4199" s="11" t="n">
        <x:v>7</x:v>
      </x:c>
      <x:c r="K4199" s="11" t="n">
        <x:v>4</x:v>
      </x:c>
      <x:c r="L4199" s="11" t="n">
        <x:v>1</x:v>
      </x:c>
      <x:c r="M4199" s="9" t="n">
        <x:f>ROUND(H4199*(1-I4199),2)</x:f>
        <x:v>22748000</x:v>
      </x:c>
      <x:c r="N4199" s="4" t="str">
        <x:v>Sales manager</x:v>
      </x:c>
      <x:c r="O4199" s="4"/>
      <x:c r="P4199" s="9" t="n">
        <x:v>0</x:v>
      </x:c>
      <x:c r="Q4199" s="11" t="n">
        <x:v>1</x:v>
      </x:c>
      <x:c r="R4199" s="8" t="n">
        <x:v>45621</x:v>
      </x:c>
      <x:c r="S4199" s="4" t="str">
        <x:v>Lost / cancelled</x:v>
      </x:c>
      <x:c r="T4199" s="10" t="n">
        <x:v>0.291946</x:v>
      </x:c>
      <x:c r="U4199" s="4" t="str">
        <x:v>Test</x:v>
      </x:c>
    </x:row>
    <x:row r="4200" ht="34" customHeight="1">
      <x:c r="A4200" s="4" t="str">
        <x:v>RS-04199</x:v>
      </x:c>
      <x:c r="B4200" s="8" t="n">
        <x:v>45562</x:v>
      </x:c>
      <x:c r="C4200" s="4" t="str">
        <x:v>PRJ-019</x:v>
      </x:c>
      <x:c r="D4200" s="4" t="str">
        <x:v>Villa</x:v>
      </x:c>
      <x:c r="E4200" s="4" t="str">
        <x:v>Handed over</x:v>
      </x:c>
      <x:c r="F4200" s="4" t="str">
        <x:v>CUS-04199</x:v>
      </x:c>
      <x:c r="G4200" s="4" t="str">
        <x:v>UNIT-04199</x:v>
      </x:c>
      <x:c r="H4200" s="9" t="n">
        <x:v>22700000</x:v>
      </x:c>
      <x:c r="I4200" s="10" t="n">
        <x:v>0.12</x:v>
      </x:c>
      <x:c r="J4200" s="11" t="n">
        <x:v>6</x:v>
      </x:c>
      <x:c r="K4200" s="11" t="n">
        <x:v>5</x:v>
      </x:c>
      <x:c r="L4200" s="11" t="n">
        <x:v>0</x:v>
      </x:c>
      <x:c r="M4200" s="9" t="n">
        <x:f>ROUND(H4200*(1-I4200),2)</x:f>
        <x:v>19976000</x:v>
      </x:c>
      <x:c r="N4200" s="4" t="str">
        <x:v>Sales head</x:v>
      </x:c>
      <x:c r="O4200" s="4" t="str">
        <x:v>BOOK-04199</x:v>
      </x:c>
      <x:c r="P4200" s="9" t="n">
        <x:v>4994000</x:v>
      </x:c>
      <x:c r="Q4200" s="11" t="n">
        <x:v>0</x:v>
      </x:c>
      <x:c r="R4200" s="8" t="n">
        <x:v>45622</x:v>
      </x:c>
      <x:c r="S4200" s="4" t="str">
        <x:v>Retained</x:v>
      </x:c>
      <x:c r="T4200" s="10" t="n">
        <x:v>0.226277</x:v>
      </x:c>
      <x:c r="U4200" s="4" t="str">
        <x:v>Test</x:v>
      </x:c>
    </x:row>
    <x:row r="4201" ht="34" customHeight="1">
      <x:c r="A4201" s="4" t="str">
        <x:v>RS-04200</x:v>
      </x:c>
      <x:c r="B4201" s="8" t="n">
        <x:v>45563</x:v>
      </x:c>
      <x:c r="C4201" s="4" t="str">
        <x:v>PRJ-020</x:v>
      </x:c>
      <x:c r="D4201" s="4" t="str">
        <x:v>Apartment</x:v>
      </x:c>
      <x:c r="E4201" s="4" t="str">
        <x:v>Cancelled</x:v>
      </x:c>
      <x:c r="F4201" s="4" t="str">
        <x:v>CUS-04200</x:v>
      </x:c>
      <x:c r="G4201" s="4" t="str">
        <x:v>UNIT-04200</x:v>
      </x:c>
      <x:c r="H4201" s="9" t="n">
        <x:v>18200000</x:v>
      </x:c>
      <x:c r="I4201" s="10" t="n">
        <x:v>0.08</x:v>
      </x:c>
      <x:c r="J4201" s="11" t="n">
        <x:v>1</x:v>
      </x:c>
      <x:c r="K4201" s="11" t="n">
        <x:v>8</x:v>
      </x:c>
      <x:c r="L4201" s="11" t="n">
        <x:v>0</x:v>
      </x:c>
      <x:c r="M4201" s="9" t="n">
        <x:f>ROUND(H4201*(1-I4201),2)</x:f>
        <x:v>16744000</x:v>
      </x:c>
      <x:c r="N4201" s="4" t="str">
        <x:v>Sales head</x:v>
      </x:c>
      <x:c r="O4201" s="4"/>
      <x:c r="P4201" s="9" t="n">
        <x:v>0</x:v>
      </x:c>
      <x:c r="Q4201" s="11" t="n">
        <x:v>1</x:v>
      </x:c>
      <x:c r="R4201" s="8" t="n">
        <x:v>45623</x:v>
      </x:c>
      <x:c r="S4201" s="4" t="str">
        <x:v>Lost / cancelled</x:v>
      </x:c>
      <x:c r="T4201" s="10" t="n">
        <x:v>0.204152</x:v>
      </x:c>
      <x:c r="U4201" s="4" t="str">
        <x:v>Test</x:v>
      </x:c>
    </x:row>
    <x:row r="4202" ht="34" customHeight="1">
      <x:c r="A4202" s="4" t="str">
        <x:v>RS-04201</x:v>
      </x:c>
      <x:c r="B4202" s="8" t="n">
        <x:v>45536</x:v>
      </x:c>
      <x:c r="C4202" s="4" t="str">
        <x:v>PRJ-001</x:v>
      </x:c>
      <x:c r="D4202" s="4" t="str">
        <x:v>Office</x:v>
      </x:c>
      <x:c r="E4202" s="4" t="str">
        <x:v>Enquiry</x:v>
      </x:c>
      <x:c r="F4202" s="4" t="str">
        <x:v>CUS-04201</x:v>
      </x:c>
      <x:c r="G4202" s="4" t="str">
        <x:v>UNIT-04201</x:v>
      </x:c>
      <x:c r="H4202" s="9" t="n">
        <x:v>5200000</x:v>
      </x:c>
      <x:c r="I4202" s="10" t="n">
        <x:v>0.04</x:v>
      </x:c>
      <x:c r="J4202" s="11" t="n">
        <x:v>11</x:v>
      </x:c>
      <x:c r="K4202" s="11" t="n">
        <x:v>2</x:v>
      </x:c>
      <x:c r="L4202" s="11" t="n">
        <x:v>1</x:v>
      </x:c>
      <x:c r="M4202" s="9" t="n">
        <x:f>ROUND(H4202*(1-I4202),2)</x:f>
        <x:v>4992000</x:v>
      </x:c>
      <x:c r="N4202" s="4" t="str">
        <x:v>Sales manager</x:v>
      </x:c>
      <x:c r="O4202" s="4"/>
      <x:c r="P4202" s="9" t="n">
        <x:v>0</x:v>
      </x:c>
      <x:c r="Q4202" s="11" t="n">
        <x:v>1</x:v>
      </x:c>
      <x:c r="R4202" s="8" t="n">
        <x:v>45596</x:v>
      </x:c>
      <x:c r="S4202" s="4" t="str">
        <x:v>Lost / cancelled</x:v>
      </x:c>
      <x:c r="T4202" s="10" t="n">
        <x:v>0.351536</x:v>
      </x:c>
      <x:c r="U4202" s="4" t="str">
        <x:v>Test</x:v>
      </x:c>
    </x:row>
    <x:row r="4203" ht="34" customHeight="1">
      <x:c r="A4203" s="4" t="str">
        <x:v>RS-04202</x:v>
      </x:c>
      <x:c r="B4203" s="8" t="n">
        <x:v>45537</x:v>
      </x:c>
      <x:c r="C4203" s="4" t="str">
        <x:v>PRJ-002</x:v>
      </x:c>
      <x:c r="D4203" s="4" t="str">
        <x:v>Villa</x:v>
      </x:c>
      <x:c r="E4203" s="4" t="str">
        <x:v>Enquiry</x:v>
      </x:c>
      <x:c r="F4203" s="4" t="str">
        <x:v>CUS-04202</x:v>
      </x:c>
      <x:c r="G4203" s="4" t="str">
        <x:v>UNIT-04202</x:v>
      </x:c>
      <x:c r="H4203" s="9" t="n">
        <x:v>8300000</x:v>
      </x:c>
      <x:c r="I4203" s="10" t="n">
        <x:v>0</x:v>
      </x:c>
      <x:c r="J4203" s="11" t="n">
        <x:v>1</x:v>
      </x:c>
      <x:c r="K4203" s="11" t="n">
        <x:v>10</x:v>
      </x:c>
      <x:c r="L4203" s="11" t="n">
        <x:v>1</x:v>
      </x:c>
      <x:c r="M4203" s="9" t="n">
        <x:f>ROUND(H4203*(1-I4203),2)</x:f>
        <x:v>8300000</x:v>
      </x:c>
      <x:c r="N4203" s="4" t="str">
        <x:v>Sales manager</x:v>
      </x:c>
      <x:c r="O4203" s="4"/>
      <x:c r="P4203" s="9" t="n">
        <x:v>0</x:v>
      </x:c>
      <x:c r="Q4203" s="11" t="n">
        <x:v>0</x:v>
      </x:c>
      <x:c r="R4203" s="8" t="n">
        <x:v>45597</x:v>
      </x:c>
      <x:c r="S4203" s="4" t="str">
        <x:v>Retained</x:v>
      </x:c>
      <x:c r="T4203" s="10" t="n">
        <x:v>0.072165</x:v>
      </x:c>
      <x:c r="U4203" s="4" t="str">
        <x:v>Test</x:v>
      </x:c>
    </x:row>
    <x:row r="4204" ht="34" customHeight="1">
      <x:c r="A4204" s="4" t="str">
        <x:v>RS-04203</x:v>
      </x:c>
      <x:c r="B4204" s="8" t="n">
        <x:v>45538</x:v>
      </x:c>
      <x:c r="C4204" s="4" t="str">
        <x:v>PRJ-003</x:v>
      </x:c>
      <x:c r="D4204" s="4" t="str">
        <x:v>Office</x:v>
      </x:c>
      <x:c r="E4204" s="4" t="str">
        <x:v>Enquiry</x:v>
      </x:c>
      <x:c r="F4204" s="4" t="str">
        <x:v>CUS-04203</x:v>
      </x:c>
      <x:c r="G4204" s="4" t="str">
        <x:v>UNIT-04203</x:v>
      </x:c>
      <x:c r="H4204" s="9" t="n">
        <x:v>4900000</x:v>
      </x:c>
      <x:c r="I4204" s="10" t="n">
        <x:v>0.11</x:v>
      </x:c>
      <x:c r="J4204" s="11" t="n">
        <x:v>8</x:v>
      </x:c>
      <x:c r="K4204" s="11" t="n">
        <x:v>5</x:v>
      </x:c>
      <x:c r="L4204" s="11" t="n">
        <x:v>1</x:v>
      </x:c>
      <x:c r="M4204" s="9" t="n">
        <x:f>ROUND(H4204*(1-I4204),2)</x:f>
        <x:v>4361000</x:v>
      </x:c>
      <x:c r="N4204" s="4" t="str">
        <x:v>Sales head</x:v>
      </x:c>
      <x:c r="O4204" s="4"/>
      <x:c r="P4204" s="9" t="n">
        <x:v>0</x:v>
      </x:c>
      <x:c r="Q4204" s="11" t="n">
        <x:v>0</x:v>
      </x:c>
      <x:c r="R4204" s="8" t="n">
        <x:v>45598</x:v>
      </x:c>
      <x:c r="S4204" s="4" t="str">
        <x:v>Retained</x:v>
      </x:c>
      <x:c r="T4204" s="10" t="n">
        <x:v>0.310195</x:v>
      </x:c>
      <x:c r="U4204" s="4" t="str">
        <x:v>Test</x:v>
      </x:c>
    </x:row>
    <x:row r="4205" ht="34" customHeight="1">
      <x:c r="A4205" s="4" t="str">
        <x:v>RS-04204</x:v>
      </x:c>
      <x:c r="B4205" s="8" t="n">
        <x:v>45539</x:v>
      </x:c>
      <x:c r="C4205" s="4" t="str">
        <x:v>PRJ-004</x:v>
      </x:c>
      <x:c r="D4205" s="4" t="str">
        <x:v>Apartment</x:v>
      </x:c>
      <x:c r="E4205" s="4" t="str">
        <x:v>Reserved</x:v>
      </x:c>
      <x:c r="F4205" s="4" t="str">
        <x:v>CUS-04204</x:v>
      </x:c>
      <x:c r="G4205" s="4" t="str">
        <x:v>UNIT-04204</x:v>
      </x:c>
      <x:c r="H4205" s="9" t="n">
        <x:v>11600000</x:v>
      </x:c>
      <x:c r="I4205" s="10" t="n">
        <x:v>0.08</x:v>
      </x:c>
      <x:c r="J4205" s="11" t="n">
        <x:v>10</x:v>
      </x:c>
      <x:c r="K4205" s="11" t="n">
        <x:v>1</x:v>
      </x:c>
      <x:c r="L4205" s="11" t="n">
        <x:v>1</x:v>
      </x:c>
      <x:c r="M4205" s="9" t="n">
        <x:f>ROUND(H4205*(1-I4205),2)</x:f>
        <x:v>10672000</x:v>
      </x:c>
      <x:c r="N4205" s="4" t="str">
        <x:v>Sales head</x:v>
      </x:c>
      <x:c r="O4205" s="4"/>
      <x:c r="P4205" s="9" t="n">
        <x:v>0</x:v>
      </x:c>
      <x:c r="Q4205" s="11" t="n">
        <x:v>0</x:v>
      </x:c>
      <x:c r="R4205" s="8" t="n">
        <x:v>45599</x:v>
      </x:c>
      <x:c r="S4205" s="4" t="str">
        <x:v>Retained</x:v>
      </x:c>
      <x:c r="T4205" s="10" t="n">
        <x:v>0.310195</x:v>
      </x:c>
      <x:c r="U4205" s="4" t="str">
        <x:v>Test</x:v>
      </x:c>
    </x:row>
    <x:row r="4206" ht="34" customHeight="1">
      <x:c r="A4206" s="4" t="str">
        <x:v>RS-04205</x:v>
      </x:c>
      <x:c r="B4206" s="8" t="n">
        <x:v>45540</x:v>
      </x:c>
      <x:c r="C4206" s="4" t="str">
        <x:v>PRJ-005</x:v>
      </x:c>
      <x:c r="D4206" s="4" t="str">
        <x:v>Retail</x:v>
      </x:c>
      <x:c r="E4206" s="4" t="str">
        <x:v>Reserved</x:v>
      </x:c>
      <x:c r="F4206" s="4" t="str">
        <x:v>CUS-04205</x:v>
      </x:c>
      <x:c r="G4206" s="4" t="str">
        <x:v>UNIT-04205</x:v>
      </x:c>
      <x:c r="H4206" s="9" t="n">
        <x:v>22200000</x:v>
      </x:c>
      <x:c r="I4206" s="10" t="n">
        <x:v>0.06</x:v>
      </x:c>
      <x:c r="J4206" s="11" t="n">
        <x:v>11</x:v>
      </x:c>
      <x:c r="K4206" s="11" t="n">
        <x:v>8</x:v>
      </x:c>
      <x:c r="L4206" s="11" t="n">
        <x:v>1</x:v>
      </x:c>
      <x:c r="M4206" s="9" t="n">
        <x:f>ROUND(H4206*(1-I4206),2)</x:f>
        <x:v>20868000</x:v>
      </x:c>
      <x:c r="N4206" s="4" t="str">
        <x:v>Sales manager</x:v>
      </x:c>
      <x:c r="O4206" s="4"/>
      <x:c r="P4206" s="9" t="n">
        <x:v>0</x:v>
      </x:c>
      <x:c r="Q4206" s="11" t="n">
        <x:v>0</x:v>
      </x:c>
      <x:c r="R4206" s="8" t="n">
        <x:v>45600</x:v>
      </x:c>
      <x:c r="S4206" s="4" t="str">
        <x:v>Retained</x:v>
      </x:c>
      <x:c r="T4206" s="10" t="n">
        <x:v>0.351536</x:v>
      </x:c>
      <x:c r="U4206" s="4" t="str">
        <x:v>Test</x:v>
      </x:c>
    </x:row>
    <x:row r="4207" ht="34" customHeight="1">
      <x:c r="A4207" s="4" t="str">
        <x:v>RS-04206</x:v>
      </x:c>
      <x:c r="B4207" s="8" t="n">
        <x:v>45541</x:v>
      </x:c>
      <x:c r="C4207" s="4" t="str">
        <x:v>PRJ-006</x:v>
      </x:c>
      <x:c r="D4207" s="4" t="str">
        <x:v>Apartment</x:v>
      </x:c>
      <x:c r="E4207" s="4" t="str">
        <x:v>Reserved</x:v>
      </x:c>
      <x:c r="F4207" s="4" t="str">
        <x:v>CUS-04206</x:v>
      </x:c>
      <x:c r="G4207" s="4" t="str">
        <x:v>UNIT-04206</x:v>
      </x:c>
      <x:c r="H4207" s="9" t="n">
        <x:v>22600000</x:v>
      </x:c>
      <x:c r="I4207" s="10" t="n">
        <x:v>0.09</x:v>
      </x:c>
      <x:c r="J4207" s="11" t="n">
        <x:v>3</x:v>
      </x:c>
      <x:c r="K4207" s="11" t="n">
        <x:v>2</x:v>
      </x:c>
      <x:c r="L4207" s="11" t="n">
        <x:v>1</x:v>
      </x:c>
      <x:c r="M4207" s="9" t="n">
        <x:f>ROUND(H4207*(1-I4207),2)</x:f>
        <x:v>20566000</x:v>
      </x:c>
      <x:c r="N4207" s="4" t="str">
        <x:v>Sales head</x:v>
      </x:c>
      <x:c r="O4207" s="4"/>
      <x:c r="P4207" s="9" t="n">
        <x:v>0</x:v>
      </x:c>
      <x:c r="Q4207" s="11" t="n">
        <x:v>0</x:v>
      </x:c>
      <x:c r="R4207" s="8" t="n">
        <x:v>45601</x:v>
      </x:c>
      <x:c r="S4207" s="4" t="str">
        <x:v>Retained</x:v>
      </x:c>
      <x:c r="T4207" s="10" t="n">
        <x:v>0.145833</x:v>
      </x:c>
      <x:c r="U4207" s="4" t="str">
        <x:v>Test</x:v>
      </x:c>
    </x:row>
    <x:row r="4208" ht="34" customHeight="1">
      <x:c r="A4208" s="4" t="str">
        <x:v>RS-04207</x:v>
      </x:c>
      <x:c r="B4208" s="8" t="n">
        <x:v>45542</x:v>
      </x:c>
      <x:c r="C4208" s="4" t="str">
        <x:v>PRJ-007</x:v>
      </x:c>
      <x:c r="D4208" s="4" t="str">
        <x:v>Retail</x:v>
      </x:c>
      <x:c r="E4208" s="4" t="str">
        <x:v>Handed over</x:v>
      </x:c>
      <x:c r="F4208" s="4" t="str">
        <x:v>CUS-04207</x:v>
      </x:c>
      <x:c r="G4208" s="4" t="str">
        <x:v>UNIT-04207</x:v>
      </x:c>
      <x:c r="H4208" s="9" t="n">
        <x:v>12100000</x:v>
      </x:c>
      <x:c r="I4208" s="10" t="n">
        <x:v>0.02</x:v>
      </x:c>
      <x:c r="J4208" s="11" t="n">
        <x:v>0</x:v>
      </x:c>
      <x:c r="K4208" s="11" t="n">
        <x:v>2</x:v>
      </x:c>
      <x:c r="L4208" s="11" t="n">
        <x:v>1</x:v>
      </x:c>
      <x:c r="M4208" s="9" t="n">
        <x:f>ROUND(H4208*(1-I4208),2)</x:f>
        <x:v>11858000</x:v>
      </x:c>
      <x:c r="N4208" s="4" t="str">
        <x:v>Sales manager</x:v>
      </x:c>
      <x:c r="O4208" s="4" t="str">
        <x:v>BOOK-04207</x:v>
      </x:c>
      <x:c r="P4208" s="9" t="n">
        <x:v>2964500</x:v>
      </x:c>
      <x:c r="Q4208" s="11" t="n">
        <x:v>0</x:v>
      </x:c>
      <x:c r="R4208" s="8" t="n">
        <x:v>45602</x:v>
      </x:c>
      <x:c r="S4208" s="4" t="str">
        <x:v>Retained</x:v>
      </x:c>
      <x:c r="T4208" s="10" t="n">
        <x:v>0.072165</x:v>
      </x:c>
      <x:c r="U4208" s="4" t="str">
        <x:v>Test</x:v>
      </x:c>
    </x:row>
    <x:row r="4209" ht="34" customHeight="1">
      <x:c r="A4209" s="4" t="str">
        <x:v>RS-04208</x:v>
      </x:c>
      <x:c r="B4209" s="8" t="n">
        <x:v>45543</x:v>
      </x:c>
      <x:c r="C4209" s="4" t="str">
        <x:v>PRJ-008</x:v>
      </x:c>
      <x:c r="D4209" s="4" t="str">
        <x:v>Apartment</x:v>
      </x:c>
      <x:c r="E4209" s="4" t="str">
        <x:v>Agreement signed</x:v>
      </x:c>
      <x:c r="F4209" s="4" t="str">
        <x:v>CUS-04208</x:v>
      </x:c>
      <x:c r="G4209" s="4" t="str">
        <x:v>UNIT-04208</x:v>
      </x:c>
      <x:c r="H4209" s="9" t="n">
        <x:v>24300000</x:v>
      </x:c>
      <x:c r="I4209" s="10" t="n">
        <x:v>0.05</x:v>
      </x:c>
      <x:c r="J4209" s="11" t="n">
        <x:v>0</x:v>
      </x:c>
      <x:c r="K4209" s="11" t="n">
        <x:v>7</x:v>
      </x:c>
      <x:c r="L4209" s="11" t="n">
        <x:v>0</x:v>
      </x:c>
      <x:c r="M4209" s="9" t="n">
        <x:f>ROUND(H4209*(1-I4209),2)</x:f>
        <x:v>23085000</x:v>
      </x:c>
      <x:c r="N4209" s="4" t="str">
        <x:v>Sales manager</x:v>
      </x:c>
      <x:c r="O4209" s="4" t="str">
        <x:v>BOOK-04208</x:v>
      </x:c>
      <x:c r="P4209" s="9" t="n">
        <x:v>23085000</x:v>
      </x:c>
      <x:c r="Q4209" s="11" t="n">
        <x:v>0</x:v>
      </x:c>
      <x:c r="R4209" s="8" t="n">
        <x:v>45603</x:v>
      </x:c>
      <x:c r="S4209" s="4" t="str">
        <x:v>Retained</x:v>
      </x:c>
      <x:c r="T4209" s="10" t="n">
        <x:v>0.204152</x:v>
      </x:c>
      <x:c r="U4209" s="4" t="str">
        <x:v>Test</x:v>
      </x:c>
    </x:row>
    <x:row r="4210" ht="34" customHeight="1">
      <x:c r="A4210" s="4" t="str">
        <x:v>RS-04209</x:v>
      </x:c>
      <x:c r="B4210" s="8" t="n">
        <x:v>45544</x:v>
      </x:c>
      <x:c r="C4210" s="4" t="str">
        <x:v>PRJ-009</x:v>
      </x:c>
      <x:c r="D4210" s="4" t="str">
        <x:v>Villa</x:v>
      </x:c>
      <x:c r="E4210" s="4" t="str">
        <x:v>Handed over</x:v>
      </x:c>
      <x:c r="F4210" s="4" t="str">
        <x:v>CUS-04209</x:v>
      </x:c>
      <x:c r="G4210" s="4" t="str">
        <x:v>UNIT-04209</x:v>
      </x:c>
      <x:c r="H4210" s="9" t="n">
        <x:v>16500000</x:v>
      </x:c>
      <x:c r="I4210" s="10" t="n">
        <x:v>0.04</x:v>
      </x:c>
      <x:c r="J4210" s="11" t="n">
        <x:v>0</x:v>
      </x:c>
      <x:c r="K4210" s="11" t="n">
        <x:v>0</x:v>
      </x:c>
      <x:c r="L4210" s="11" t="n">
        <x:v>0</x:v>
      </x:c>
      <x:c r="M4210" s="9" t="n">
        <x:f>ROUND(H4210*(1-I4210),2)</x:f>
        <x:v>15840000</x:v>
      </x:c>
      <x:c r="N4210" s="4" t="str">
        <x:v>Sales manager</x:v>
      </x:c>
      <x:c r="O4210" s="4" t="str">
        <x:v>BOOK-04209</x:v>
      </x:c>
      <x:c r="P4210" s="9" t="n">
        <x:v>3960000</x:v>
      </x:c>
      <x:c r="Q4210" s="11" t="n">
        <x:v>0</x:v>
      </x:c>
      <x:c r="R4210" s="8" t="n">
        <x:v>45604</x:v>
      </x:c>
      <x:c r="S4210" s="4" t="str">
        <x:v>Retained</x:v>
      </x:c>
      <x:c r="T4210" s="10" t="n">
        <x:v>0.276923</x:v>
      </x:c>
      <x:c r="U4210" s="4" t="str">
        <x:v>Test</x:v>
      </x:c>
    </x:row>
    <x:row r="4211" ht="34" customHeight="1">
      <x:c r="A4211" s="4" t="str">
        <x:v>RS-04210</x:v>
      </x:c>
      <x:c r="B4211" s="8" t="n">
        <x:v>45545</x:v>
      </x:c>
      <x:c r="C4211" s="4" t="str">
        <x:v>PRJ-010</x:v>
      </x:c>
      <x:c r="D4211" s="4" t="str">
        <x:v>Retail</x:v>
      </x:c>
      <x:c r="E4211" s="4" t="str">
        <x:v>Cancelled</x:v>
      </x:c>
      <x:c r="F4211" s="4" t="str">
        <x:v>CUS-04210</x:v>
      </x:c>
      <x:c r="G4211" s="4" t="str">
        <x:v>UNIT-04210</x:v>
      </x:c>
      <x:c r="H4211" s="9" t="n">
        <x:v>7700000</x:v>
      </x:c>
      <x:c r="I4211" s="10" t="n">
        <x:v>0.07</x:v>
      </x:c>
      <x:c r="J4211" s="11" t="n">
        <x:v>3</x:v>
      </x:c>
      <x:c r="K4211" s="11" t="n">
        <x:v>6</x:v>
      </x:c>
      <x:c r="L4211" s="11" t="n">
        <x:v>0</x:v>
      </x:c>
      <x:c r="M4211" s="9" t="n">
        <x:f>ROUND(H4211*(1-I4211),2)</x:f>
        <x:v>7161000</x:v>
      </x:c>
      <x:c r="N4211" s="4" t="str">
        <x:v>Sales manager</x:v>
      </x:c>
      <x:c r="O4211" s="4"/>
      <x:c r="P4211" s="9" t="n">
        <x:v>0</x:v>
      </x:c>
      <x:c r="Q4211" s="11" t="n">
        <x:v>1</x:v>
      </x:c>
      <x:c r="R4211" s="8" t="n">
        <x:v>45605</x:v>
      </x:c>
      <x:c r="S4211" s="4" t="str">
        <x:v>Lost / cancelled</x:v>
      </x:c>
      <x:c r="T4211" s="10" t="n">
        <x:v>0.204152</x:v>
      </x:c>
      <x:c r="U4211" s="4" t="str">
        <x:v>Test</x:v>
      </x:c>
    </x:row>
    <x:row r="4212" ht="34" customHeight="1">
      <x:c r="A4212" s="4" t="str">
        <x:v>RS-04211</x:v>
      </x:c>
      <x:c r="B4212" s="8" t="n">
        <x:v>45546</x:v>
      </x:c>
      <x:c r="C4212" s="4" t="str">
        <x:v>PRJ-011</x:v>
      </x:c>
      <x:c r="D4212" s="4" t="str">
        <x:v>Villa</x:v>
      </x:c>
      <x:c r="E4212" s="4" t="str">
        <x:v>Enquiry</x:v>
      </x:c>
      <x:c r="F4212" s="4" t="str">
        <x:v>CUS-04211</x:v>
      </x:c>
      <x:c r="G4212" s="4" t="str">
        <x:v>UNIT-04211</x:v>
      </x:c>
      <x:c r="H4212" s="9" t="n">
        <x:v>11700000</x:v>
      </x:c>
      <x:c r="I4212" s="10" t="n">
        <x:v>0.01</x:v>
      </x:c>
      <x:c r="J4212" s="11" t="n">
        <x:v>5</x:v>
      </x:c>
      <x:c r="K4212" s="11" t="n">
        <x:v>0</x:v>
      </x:c>
      <x:c r="L4212" s="11" t="n">
        <x:v>1</x:v>
      </x:c>
      <x:c r="M4212" s="9" t="n">
        <x:f>ROUND(H4212*(1-I4212),2)</x:f>
        <x:v>11583000</x:v>
      </x:c>
      <x:c r="N4212" s="4" t="str">
        <x:v>Sales manager</x:v>
      </x:c>
      <x:c r="O4212" s="4"/>
      <x:c r="P4212" s="9" t="n">
        <x:v>0</x:v>
      </x:c>
      <x:c r="Q4212" s="11" t="n">
        <x:v>0</x:v>
      </x:c>
      <x:c r="R4212" s="8" t="n">
        <x:v>45606</x:v>
      </x:c>
      <x:c r="S4212" s="4" t="str">
        <x:v>Retained</x:v>
      </x:c>
      <x:c r="T4212" s="10" t="n">
        <x:v>0.298969</x:v>
      </x:c>
      <x:c r="U4212" s="4" t="str">
        <x:v>Test</x:v>
      </x:c>
    </x:row>
    <x:row r="4213" ht="34" customHeight="1">
      <x:c r="A4213" s="4" t="str">
        <x:v>RS-04212</x:v>
      </x:c>
      <x:c r="B4213" s="8" t="n">
        <x:v>45547</x:v>
      </x:c>
      <x:c r="C4213" s="4" t="str">
        <x:v>PRJ-012</x:v>
      </x:c>
      <x:c r="D4213" s="4" t="str">
        <x:v>Retail</x:v>
      </x:c>
      <x:c r="E4213" s="4" t="str">
        <x:v>Handed over</x:v>
      </x:c>
      <x:c r="F4213" s="4" t="str">
        <x:v>CUS-04212</x:v>
      </x:c>
      <x:c r="G4213" s="4" t="str">
        <x:v>UNIT-04212</x:v>
      </x:c>
      <x:c r="H4213" s="9" t="n">
        <x:v>12900000</x:v>
      </x:c>
      <x:c r="I4213" s="10" t="n">
        <x:v>0.05</x:v>
      </x:c>
      <x:c r="J4213" s="11" t="n">
        <x:v>8</x:v>
      </x:c>
      <x:c r="K4213" s="11" t="n">
        <x:v>9</x:v>
      </x:c>
      <x:c r="L4213" s="11" t="n">
        <x:v>1</x:v>
      </x:c>
      <x:c r="M4213" s="9" t="n">
        <x:f>ROUND(H4213*(1-I4213),2)</x:f>
        <x:v>12255000</x:v>
      </x:c>
      <x:c r="N4213" s="4" t="str">
        <x:v>Sales manager</x:v>
      </x:c>
      <x:c r="O4213" s="4" t="str">
        <x:v>BOOK-04212</x:v>
      </x:c>
      <x:c r="P4213" s="9" t="n">
        <x:v>6127500</x:v>
      </x:c>
      <x:c r="Q4213" s="11" t="n">
        <x:v>0</x:v>
      </x:c>
      <x:c r="R4213" s="8" t="n">
        <x:v>45607</x:v>
      </x:c>
      <x:c r="S4213" s="4" t="str">
        <x:v>Retained</x:v>
      </x:c>
      <x:c r="T4213" s="10" t="n">
        <x:v>0.310195</x:v>
      </x:c>
      <x:c r="U4213" s="4" t="str">
        <x:v>Test</x:v>
      </x:c>
    </x:row>
    <x:row r="4214" ht="34" customHeight="1">
      <x:c r="A4214" s="4" t="str">
        <x:v>RS-04213</x:v>
      </x:c>
      <x:c r="B4214" s="8" t="n">
        <x:v>45548</x:v>
      </x:c>
      <x:c r="C4214" s="4" t="str">
        <x:v>PRJ-013</x:v>
      </x:c>
      <x:c r="D4214" s="4" t="str">
        <x:v>Apartment</x:v>
      </x:c>
      <x:c r="E4214" s="4" t="str">
        <x:v>Cancelled</x:v>
      </x:c>
      <x:c r="F4214" s="4" t="str">
        <x:v>CUS-04213</x:v>
      </x:c>
      <x:c r="G4214" s="4" t="str">
        <x:v>UNIT-04213</x:v>
      </x:c>
      <x:c r="H4214" s="9" t="n">
        <x:v>8600000</x:v>
      </x:c>
      <x:c r="I4214" s="10" t="n">
        <x:v>0.06</x:v>
      </x:c>
      <x:c r="J4214" s="11" t="n">
        <x:v>10</x:v>
      </x:c>
      <x:c r="K4214" s="11" t="n">
        <x:v>0</x:v>
      </x:c>
      <x:c r="L4214" s="11" t="n">
        <x:v>0</x:v>
      </x:c>
      <x:c r="M4214" s="9" t="n">
        <x:f>ROUND(H4214*(1-I4214),2)</x:f>
        <x:v>8084000</x:v>
      </x:c>
      <x:c r="N4214" s="4" t="str">
        <x:v>Sales manager</x:v>
      </x:c>
      <x:c r="O4214" s="4"/>
      <x:c r="P4214" s="9" t="n">
        <x:v>0</x:v>
      </x:c>
      <x:c r="Q4214" s="11" t="n">
        <x:v>1</x:v>
      </x:c>
      <x:c r="R4214" s="8" t="n">
        <x:v>45608</x:v>
      </x:c>
      <x:c r="S4214" s="4" t="str">
        <x:v>Lost / cancelled</x:v>
      </x:c>
      <x:c r="T4214" s="10" t="n">
        <x:v>0.310195</x:v>
      </x:c>
      <x:c r="U4214" s="4" t="str">
        <x:v>Test</x:v>
      </x:c>
    </x:row>
    <x:row r="4215" ht="34" customHeight="1">
      <x:c r="A4215" s="4" t="str">
        <x:v>RS-04214</x:v>
      </x:c>
      <x:c r="B4215" s="8" t="n">
        <x:v>45549</x:v>
      </x:c>
      <x:c r="C4215" s="4" t="str">
        <x:v>PRJ-014</x:v>
      </x:c>
      <x:c r="D4215" s="4" t="str">
        <x:v>Retail</x:v>
      </x:c>
      <x:c r="E4215" s="4" t="str">
        <x:v>Reserved</x:v>
      </x:c>
      <x:c r="F4215" s="4" t="str">
        <x:v>CUS-04214</x:v>
      </x:c>
      <x:c r="G4215" s="4" t="str">
        <x:v>UNIT-04214</x:v>
      </x:c>
      <x:c r="H4215" s="9" t="n">
        <x:v>14200000</x:v>
      </x:c>
      <x:c r="I4215" s="10" t="n">
        <x:v>0.01</x:v>
      </x:c>
      <x:c r="J4215" s="11" t="n">
        <x:v>9</x:v>
      </x:c>
      <x:c r="K4215" s="11" t="n">
        <x:v>5</x:v>
      </x:c>
      <x:c r="L4215" s="11" t="n">
        <x:v>0</x:v>
      </x:c>
      <x:c r="M4215" s="9" t="n">
        <x:f>ROUND(H4215*(1-I4215),2)</x:f>
        <x:v>14058000</x:v>
      </x:c>
      <x:c r="N4215" s="4" t="str">
        <x:v>Sales manager</x:v>
      </x:c>
      <x:c r="O4215" s="4"/>
      <x:c r="P4215" s="9" t="n">
        <x:v>0</x:v>
      </x:c>
      <x:c r="Q4215" s="11" t="n">
        <x:v>0</x:v>
      </x:c>
      <x:c r="R4215" s="8" t="n">
        <x:v>45609</x:v>
      </x:c>
      <x:c r="S4215" s="4" t="str">
        <x:v>Retained</x:v>
      </x:c>
      <x:c r="T4215" s="10" t="n">
        <x:v>0.305556</x:v>
      </x:c>
      <x:c r="U4215" s="4" t="str">
        <x:v>Test</x:v>
      </x:c>
    </x:row>
    <x:row r="4216" ht="34" customHeight="1">
      <x:c r="A4216" s="4" t="str">
        <x:v>RS-04215</x:v>
      </x:c>
      <x:c r="B4216" s="8" t="n">
        <x:v>45550</x:v>
      </x:c>
      <x:c r="C4216" s="4" t="str">
        <x:v>PRJ-015</x:v>
      </x:c>
      <x:c r="D4216" s="4" t="str">
        <x:v>Apartment</x:v>
      </x:c>
      <x:c r="E4216" s="4" t="str">
        <x:v>Reserved</x:v>
      </x:c>
      <x:c r="F4216" s="4" t="str">
        <x:v>CUS-04215</x:v>
      </x:c>
      <x:c r="G4216" s="4" t="str">
        <x:v>UNIT-04215</x:v>
      </x:c>
      <x:c r="H4216" s="9" t="n">
        <x:v>13600000</x:v>
      </x:c>
      <x:c r="I4216" s="10" t="n">
        <x:v>0.01</x:v>
      </x:c>
      <x:c r="J4216" s="11" t="n">
        <x:v>4</x:v>
      </x:c>
      <x:c r="K4216" s="11" t="n">
        <x:v>0</x:v>
      </x:c>
      <x:c r="L4216" s="11" t="n">
        <x:v>1</x:v>
      </x:c>
      <x:c r="M4216" s="9" t="n">
        <x:f>ROUND(H4216*(1-I4216),2)</x:f>
        <x:v>13464000</x:v>
      </x:c>
      <x:c r="N4216" s="4" t="str">
        <x:v>Sales manager</x:v>
      </x:c>
      <x:c r="O4216" s="4"/>
      <x:c r="P4216" s="9" t="n">
        <x:v>0</x:v>
      </x:c>
      <x:c r="Q4216" s="11" t="n">
        <x:v>1</x:v>
      </x:c>
      <x:c r="R4216" s="8" t="n">
        <x:v>45610</x:v>
      </x:c>
      <x:c r="S4216" s="4" t="str">
        <x:v>Lost / cancelled</x:v>
      </x:c>
      <x:c r="T4216" s="10" t="n">
        <x:v>0.298969</x:v>
      </x:c>
      <x:c r="U4216" s="4" t="str">
        <x:v>Test</x:v>
      </x:c>
    </x:row>
    <x:row r="4217" ht="34" customHeight="1">
      <x:c r="A4217" s="4" t="str">
        <x:v>RS-04216</x:v>
      </x:c>
      <x:c r="B4217" s="8" t="n">
        <x:v>45551</x:v>
      </x:c>
      <x:c r="C4217" s="4" t="str">
        <x:v>PRJ-016</x:v>
      </x:c>
      <x:c r="D4217" s="4" t="str">
        <x:v>Apartment</x:v>
      </x:c>
      <x:c r="E4217" s="4" t="str">
        <x:v>Cancelled</x:v>
      </x:c>
      <x:c r="F4217" s="4" t="str">
        <x:v>CUS-04216</x:v>
      </x:c>
      <x:c r="G4217" s="4" t="str">
        <x:v>UNIT-04216</x:v>
      </x:c>
      <x:c r="H4217" s="9" t="n">
        <x:v>13800000</x:v>
      </x:c>
      <x:c r="I4217" s="10" t="n">
        <x:v>0.01</x:v>
      </x:c>
      <x:c r="J4217" s="11" t="n">
        <x:v>6</x:v>
      </x:c>
      <x:c r="K4217" s="11" t="n">
        <x:v>7</x:v>
      </x:c>
      <x:c r="L4217" s="11" t="n">
        <x:v>1</x:v>
      </x:c>
      <x:c r="M4217" s="9" t="n">
        <x:f>ROUND(H4217*(1-I4217),2)</x:f>
        <x:v>13662000</x:v>
      </x:c>
      <x:c r="N4217" s="4" t="str">
        <x:v>Sales manager</x:v>
      </x:c>
      <x:c r="O4217" s="4"/>
      <x:c r="P4217" s="9" t="n">
        <x:v>0</x:v>
      </x:c>
      <x:c r="Q4217" s="11" t="n">
        <x:v>1</x:v>
      </x:c>
      <x:c r="R4217" s="8" t="n">
        <x:v>45611</x:v>
      </x:c>
      <x:c r="S4217" s="4" t="str">
        <x:v>Lost / cancelled</x:v>
      </x:c>
      <x:c r="T4217" s="10" t="n">
        <x:v>0.145299</x:v>
      </x:c>
      <x:c r="U4217" s="4" t="str">
        <x:v>Test</x:v>
      </x:c>
    </x:row>
    <x:row r="4218" ht="34" customHeight="1">
      <x:c r="A4218" s="4" t="str">
        <x:v>RS-04217</x:v>
      </x:c>
      <x:c r="B4218" s="8" t="n">
        <x:v>45552</x:v>
      </x:c>
      <x:c r="C4218" s="4" t="str">
        <x:v>PRJ-017</x:v>
      </x:c>
      <x:c r="D4218" s="4" t="str">
        <x:v>Retail</x:v>
      </x:c>
      <x:c r="E4218" s="4" t="str">
        <x:v>Agreement signed</x:v>
      </x:c>
      <x:c r="F4218" s="4" t="str">
        <x:v>CUS-04217</x:v>
      </x:c>
      <x:c r="G4218" s="4" t="str">
        <x:v>UNIT-04217</x:v>
      </x:c>
      <x:c r="H4218" s="9" t="n">
        <x:v>22400000</x:v>
      </x:c>
      <x:c r="I4218" s="10" t="n">
        <x:v>0.08</x:v>
      </x:c>
      <x:c r="J4218" s="11" t="n">
        <x:v>5</x:v>
      </x:c>
      <x:c r="K4218" s="11" t="n">
        <x:v>8</x:v>
      </x:c>
      <x:c r="L4218" s="11" t="n">
        <x:v>1</x:v>
      </x:c>
      <x:c r="M4218" s="9" t="n">
        <x:f>ROUND(H4218*(1-I4218),2)</x:f>
        <x:v>20608000</x:v>
      </x:c>
      <x:c r="N4218" s="4" t="str">
        <x:v>Sales head</x:v>
      </x:c>
      <x:c r="O4218" s="4" t="str">
        <x:v>BOOK-04217</x:v>
      </x:c>
      <x:c r="P4218" s="9" t="n">
        <x:v>5152000</x:v>
      </x:c>
      <x:c r="Q4218" s="11" t="n">
        <x:v>0</x:v>
      </x:c>
      <x:c r="R4218" s="8" t="n">
        <x:v>45612</x:v>
      </x:c>
      <x:c r="S4218" s="4" t="str">
        <x:v>Retained</x:v>
      </x:c>
      <x:c r="T4218" s="10" t="n">
        <x:v>0.291946</x:v>
      </x:c>
      <x:c r="U4218" s="4" t="str">
        <x:v>Test</x:v>
      </x:c>
    </x:row>
    <x:row r="4219" ht="34" customHeight="1">
      <x:c r="A4219" s="4" t="str">
        <x:v>RS-04218</x:v>
      </x:c>
      <x:c r="B4219" s="8" t="n">
        <x:v>45553</x:v>
      </x:c>
      <x:c r="C4219" s="4" t="str">
        <x:v>PRJ-018</x:v>
      </x:c>
      <x:c r="D4219" s="4" t="str">
        <x:v>Office</x:v>
      </x:c>
      <x:c r="E4219" s="4" t="str">
        <x:v>Handed over</x:v>
      </x:c>
      <x:c r="F4219" s="4" t="str">
        <x:v>CUS-04218</x:v>
      </x:c>
      <x:c r="G4219" s="4" t="str">
        <x:v>UNIT-04218</x:v>
      </x:c>
      <x:c r="H4219" s="9" t="n">
        <x:v>24000000</x:v>
      </x:c>
      <x:c r="I4219" s="10" t="n">
        <x:v>0.11</x:v>
      </x:c>
      <x:c r="J4219" s="11" t="n">
        <x:v>5</x:v>
      </x:c>
      <x:c r="K4219" s="11" t="n">
        <x:v>3</x:v>
      </x:c>
      <x:c r="L4219" s="11" t="n">
        <x:v>0</x:v>
      </x:c>
      <x:c r="M4219" s="9" t="n">
        <x:f>ROUND(H4219*(1-I4219),2)</x:f>
        <x:v>21360000</x:v>
      </x:c>
      <x:c r="N4219" s="4" t="str">
        <x:v>Sales head</x:v>
      </x:c>
      <x:c r="O4219" s="4" t="str">
        <x:v>BOOK-04218</x:v>
      </x:c>
      <x:c r="P4219" s="9" t="n">
        <x:v>21360000</x:v>
      </x:c>
      <x:c r="Q4219" s="11" t="n">
        <x:v>0</x:v>
      </x:c>
      <x:c r="R4219" s="8" t="n">
        <x:v>45613</x:v>
      </x:c>
      <x:c r="S4219" s="4" t="str">
        <x:v>Retained</x:v>
      </x:c>
      <x:c r="T4219" s="10" t="n">
        <x:v>0.226277</x:v>
      </x:c>
      <x:c r="U4219" s="4" t="str">
        <x:v>Test</x:v>
      </x:c>
    </x:row>
    <x:row r="4220" ht="34" customHeight="1">
      <x:c r="A4220" s="4" t="str">
        <x:v>RS-04219</x:v>
      </x:c>
      <x:c r="B4220" s="8" t="n">
        <x:v>45554</x:v>
      </x:c>
      <x:c r="C4220" s="4" t="str">
        <x:v>PRJ-019</x:v>
      </x:c>
      <x:c r="D4220" s="4" t="str">
        <x:v>Retail</x:v>
      </x:c>
      <x:c r="E4220" s="4" t="str">
        <x:v>Booked</x:v>
      </x:c>
      <x:c r="F4220" s="4" t="str">
        <x:v>CUS-04219</x:v>
      </x:c>
      <x:c r="G4220" s="4" t="str">
        <x:v>UNIT-04219</x:v>
      </x:c>
      <x:c r="H4220" s="9" t="n">
        <x:v>6700000</x:v>
      </x:c>
      <x:c r="I4220" s="10" t="n">
        <x:v>0.08</x:v>
      </x:c>
      <x:c r="J4220" s="11" t="n">
        <x:v>6</x:v>
      </x:c>
      <x:c r="K4220" s="11" t="n">
        <x:v>2</x:v>
      </x:c>
      <x:c r="L4220" s="11" t="n">
        <x:v>0</x:v>
      </x:c>
      <x:c r="M4220" s="9" t="n">
        <x:f>ROUND(H4220*(1-I4220),2)</x:f>
        <x:v>6164000</x:v>
      </x:c>
      <x:c r="N4220" s="4" t="str">
        <x:v>Sales head</x:v>
      </x:c>
      <x:c r="O4220" s="4" t="str">
        <x:v>BOOK-04219</x:v>
      </x:c>
      <x:c r="P4220" s="9" t="n">
        <x:v>1541000</x:v>
      </x:c>
      <x:c r="Q4220" s="11" t="n">
        <x:v>0</x:v>
      </x:c>
      <x:c r="R4220" s="8" t="n">
        <x:v>45614</x:v>
      </x:c>
      <x:c r="S4220" s="4" t="str">
        <x:v>Retained</x:v>
      </x:c>
      <x:c r="T4220" s="10" t="n">
        <x:v>0.226277</x:v>
      </x:c>
      <x:c r="U4220" s="4" t="str">
        <x:v>Test</x:v>
      </x:c>
    </x:row>
    <x:row r="4221" ht="34" customHeight="1">
      <x:c r="A4221" s="4" t="str">
        <x:v>RS-04220</x:v>
      </x:c>
      <x:c r="B4221" s="8" t="n">
        <x:v>45555</x:v>
      </x:c>
      <x:c r="C4221" s="4" t="str">
        <x:v>PRJ-020</x:v>
      </x:c>
      <x:c r="D4221" s="4" t="str">
        <x:v>Apartment</x:v>
      </x:c>
      <x:c r="E4221" s="4" t="str">
        <x:v>Booked</x:v>
      </x:c>
      <x:c r="F4221" s="4" t="str">
        <x:v>CUS-04220</x:v>
      </x:c>
      <x:c r="G4221" s="4" t="str">
        <x:v>UNIT-04220</x:v>
      </x:c>
      <x:c r="H4221" s="9" t="n">
        <x:v>20100000</x:v>
      </x:c>
      <x:c r="I4221" s="10" t="n">
        <x:v>0.11</x:v>
      </x:c>
      <x:c r="J4221" s="11" t="n">
        <x:v>3</x:v>
      </x:c>
      <x:c r="K4221" s="11" t="n">
        <x:v>9</x:v>
      </x:c>
      <x:c r="L4221" s="11" t="n">
        <x:v>0</x:v>
      </x:c>
      <x:c r="M4221" s="9" t="n">
        <x:f>ROUND(H4221*(1-I4221),2)</x:f>
        <x:v>17889000</x:v>
      </x:c>
      <x:c r="N4221" s="4" t="str">
        <x:v>Sales head</x:v>
      </x:c>
      <x:c r="O4221" s="4" t="str">
        <x:v>BOOK-04220</x:v>
      </x:c>
      <x:c r="P4221" s="9" t="n">
        <x:v>4472250</x:v>
      </x:c>
      <x:c r="Q4221" s="11" t="n">
        <x:v>0</x:v>
      </x:c>
      <x:c r="R4221" s="8" t="n">
        <x:v>45615</x:v>
      </x:c>
      <x:c r="S4221" s="4" t="str">
        <x:v>Retained</x:v>
      </x:c>
      <x:c r="T4221" s="10" t="n">
        <x:v>0.145833</x:v>
      </x:c>
      <x:c r="U4221" s="4" t="str">
        <x:v>Test</x:v>
      </x:c>
    </x:row>
    <x:row r="4222" ht="34" customHeight="1">
      <x:c r="A4222" s="4" t="str">
        <x:v>RS-04221</x:v>
      </x:c>
      <x:c r="B4222" s="8" t="n">
        <x:v>45556</x:v>
      </x:c>
      <x:c r="C4222" s="4" t="str">
        <x:v>PRJ-001</x:v>
      </x:c>
      <x:c r="D4222" s="4" t="str">
        <x:v>Office</x:v>
      </x:c>
      <x:c r="E4222" s="4" t="str">
        <x:v>Handed over</x:v>
      </x:c>
      <x:c r="F4222" s="4" t="str">
        <x:v>CUS-04221</x:v>
      </x:c>
      <x:c r="G4222" s="4" t="str">
        <x:v>UNIT-04221</x:v>
      </x:c>
      <x:c r="H4222" s="9" t="n">
        <x:v>12200000</x:v>
      </x:c>
      <x:c r="I4222" s="10" t="n">
        <x:v>0.1</x:v>
      </x:c>
      <x:c r="J4222" s="11" t="n">
        <x:v>8</x:v>
      </x:c>
      <x:c r="K4222" s="11" t="n">
        <x:v>9</x:v>
      </x:c>
      <x:c r="L4222" s="11" t="n">
        <x:v>1</x:v>
      </x:c>
      <x:c r="M4222" s="9" t="n">
        <x:f>ROUND(H4222*(1-I4222),2)</x:f>
        <x:v>10980000</x:v>
      </x:c>
      <x:c r="N4222" s="4" t="str">
        <x:v>Sales head</x:v>
      </x:c>
      <x:c r="O4222" s="4" t="str">
        <x:v>BOOK-04221</x:v>
      </x:c>
      <x:c r="P4222" s="9" t="n">
        <x:v>1098000</x:v>
      </x:c>
      <x:c r="Q4222" s="11" t="n">
        <x:v>0</x:v>
      </x:c>
      <x:c r="R4222" s="8" t="n">
        <x:v>45616</x:v>
      </x:c>
      <x:c r="S4222" s="4" t="str">
        <x:v>Retained</x:v>
      </x:c>
      <x:c r="T4222" s="10" t="n">
        <x:v>0.310195</x:v>
      </x:c>
      <x:c r="U4222" s="4" t="str">
        <x:v>Test</x:v>
      </x:c>
    </x:row>
    <x:row r="4223" ht="34" customHeight="1">
      <x:c r="A4223" s="4" t="str">
        <x:v>RS-04222</x:v>
      </x:c>
      <x:c r="B4223" s="8" t="n">
        <x:v>45557</x:v>
      </x:c>
      <x:c r="C4223" s="4" t="str">
        <x:v>PRJ-002</x:v>
      </x:c>
      <x:c r="D4223" s="4" t="str">
        <x:v>Apartment</x:v>
      </x:c>
      <x:c r="E4223" s="4" t="str">
        <x:v>Handed over</x:v>
      </x:c>
      <x:c r="F4223" s="4" t="str">
        <x:v>CUS-04222</x:v>
      </x:c>
      <x:c r="G4223" s="4" t="str">
        <x:v>UNIT-04222</x:v>
      </x:c>
      <x:c r="H4223" s="9" t="n">
        <x:v>13400000</x:v>
      </x:c>
      <x:c r="I4223" s="10" t="n">
        <x:v>0.03</x:v>
      </x:c>
      <x:c r="J4223" s="11" t="n">
        <x:v>10</x:v>
      </x:c>
      <x:c r="K4223" s="11" t="n">
        <x:v>7</x:v>
      </x:c>
      <x:c r="L4223" s="11" t="n">
        <x:v>0</x:v>
      </x:c>
      <x:c r="M4223" s="9" t="n">
        <x:f>ROUND(H4223*(1-I4223),2)</x:f>
        <x:v>12998000</x:v>
      </x:c>
      <x:c r="N4223" s="4" t="str">
        <x:v>Sales manager</x:v>
      </x:c>
      <x:c r="O4223" s="4" t="str">
        <x:v>BOOK-04222</x:v>
      </x:c>
      <x:c r="P4223" s="9" t="n">
        <x:v>1299800</x:v>
      </x:c>
      <x:c r="Q4223" s="11" t="n">
        <x:v>0</x:v>
      </x:c>
      <x:c r="R4223" s="8" t="n">
        <x:v>45617</x:v>
      </x:c>
      <x:c r="S4223" s="4" t="str">
        <x:v>Retained</x:v>
      </x:c>
      <x:c r="T4223" s="10" t="n">
        <x:v>0.310195</x:v>
      </x:c>
      <x:c r="U4223" s="4" t="str">
        <x:v>Test</x:v>
      </x:c>
    </x:row>
    <x:row r="4224" ht="34" customHeight="1">
      <x:c r="A4224" s="4" t="str">
        <x:v>RS-04223</x:v>
      </x:c>
      <x:c r="B4224" s="8" t="n">
        <x:v>45558</x:v>
      </x:c>
      <x:c r="C4224" s="4" t="str">
        <x:v>PRJ-003</x:v>
      </x:c>
      <x:c r="D4224" s="4" t="str">
        <x:v>Retail</x:v>
      </x:c>
      <x:c r="E4224" s="4" t="str">
        <x:v>Enquiry</x:v>
      </x:c>
      <x:c r="F4224" s="4" t="str">
        <x:v>CUS-04223</x:v>
      </x:c>
      <x:c r="G4224" s="4" t="str">
        <x:v>UNIT-04223</x:v>
      </x:c>
      <x:c r="H4224" s="9" t="n">
        <x:v>23500000</x:v>
      </x:c>
      <x:c r="I4224" s="10" t="n">
        <x:v>0.11</x:v>
      </x:c>
      <x:c r="J4224" s="11" t="n">
        <x:v>0</x:v>
      </x:c>
      <x:c r="K4224" s="11" t="n">
        <x:v>2</x:v>
      </x:c>
      <x:c r="L4224" s="11" t="n">
        <x:v>0</x:v>
      </x:c>
      <x:c r="M4224" s="9" t="n">
        <x:f>ROUND(H4224*(1-I4224),2)</x:f>
        <x:v>20915000</x:v>
      </x:c>
      <x:c r="N4224" s="4" t="str">
        <x:v>Sales head</x:v>
      </x:c>
      <x:c r="O4224" s="4"/>
      <x:c r="P4224" s="9" t="n">
        <x:v>0</x:v>
      </x:c>
      <x:c r="Q4224" s="11" t="n">
        <x:v>0</x:v>
      </x:c>
      <x:c r="R4224" s="8" t="n">
        <x:v>45618</x:v>
      </x:c>
      <x:c r="S4224" s="4" t="str">
        <x:v>Retained</x:v>
      </x:c>
      <x:c r="T4224" s="10" t="n">
        <x:v>0.145833</x:v>
      </x:c>
      <x:c r="U4224" s="4" t="str">
        <x:v>Test</x:v>
      </x:c>
    </x:row>
    <x:row r="4225" ht="34" customHeight="1">
      <x:c r="A4225" s="4" t="str">
        <x:v>RS-04224</x:v>
      </x:c>
      <x:c r="B4225" s="8" t="n">
        <x:v>45559</x:v>
      </x:c>
      <x:c r="C4225" s="4" t="str">
        <x:v>PRJ-004</x:v>
      </x:c>
      <x:c r="D4225" s="4" t="str">
        <x:v>Retail</x:v>
      </x:c>
      <x:c r="E4225" s="4" t="str">
        <x:v>Handed over</x:v>
      </x:c>
      <x:c r="F4225" s="4" t="str">
        <x:v>CUS-04224</x:v>
      </x:c>
      <x:c r="G4225" s="4" t="str">
        <x:v>UNIT-04224</x:v>
      </x:c>
      <x:c r="H4225" s="9" t="n">
        <x:v>11300000</x:v>
      </x:c>
      <x:c r="I4225" s="10" t="n">
        <x:v>0.07</x:v>
      </x:c>
      <x:c r="J4225" s="11" t="n">
        <x:v>5</x:v>
      </x:c>
      <x:c r="K4225" s="11" t="n">
        <x:v>9</x:v>
      </x:c>
      <x:c r="L4225" s="11" t="n">
        <x:v>1</x:v>
      </x:c>
      <x:c r="M4225" s="9" t="n">
        <x:f>ROUND(H4225*(1-I4225),2)</x:f>
        <x:v>10509000</x:v>
      </x:c>
      <x:c r="N4225" s="4" t="str">
        <x:v>Sales manager</x:v>
      </x:c>
      <x:c r="O4225" s="4" t="str">
        <x:v>BOOK-04224</x:v>
      </x:c>
      <x:c r="P4225" s="9" t="n">
        <x:v>5254500</x:v>
      </x:c>
      <x:c r="Q4225" s="11" t="n">
        <x:v>0</x:v>
      </x:c>
      <x:c r="R4225" s="8" t="n">
        <x:v>45619</x:v>
      </x:c>
      <x:c r="S4225" s="4" t="str">
        <x:v>Retained</x:v>
      </x:c>
      <x:c r="T4225" s="10" t="n">
        <x:v>0.291946</x:v>
      </x:c>
      <x:c r="U4225" s="4" t="str">
        <x:v>Test</x:v>
      </x:c>
    </x:row>
    <x:row r="4226" ht="34" customHeight="1">
      <x:c r="A4226" s="4" t="str">
        <x:v>RS-04225</x:v>
      </x:c>
      <x:c r="B4226" s="8" t="n">
        <x:v>45560</x:v>
      </x:c>
      <x:c r="C4226" s="4" t="str">
        <x:v>PRJ-005</x:v>
      </x:c>
      <x:c r="D4226" s="4" t="str">
        <x:v>Office</x:v>
      </x:c>
      <x:c r="E4226" s="4" t="str">
        <x:v>Enquiry</x:v>
      </x:c>
      <x:c r="F4226" s="4" t="str">
        <x:v>CUS-04225</x:v>
      </x:c>
      <x:c r="G4226" s="4" t="str">
        <x:v>UNIT-04225</x:v>
      </x:c>
      <x:c r="H4226" s="9" t="n">
        <x:v>21000000</x:v>
      </x:c>
      <x:c r="I4226" s="10" t="n">
        <x:v>0.01</x:v>
      </x:c>
      <x:c r="J4226" s="11" t="n">
        <x:v>9</x:v>
      </x:c>
      <x:c r="K4226" s="11" t="n">
        <x:v>7</x:v>
      </x:c>
      <x:c r="L4226" s="11" t="n">
        <x:v>0</x:v>
      </x:c>
      <x:c r="M4226" s="9" t="n">
        <x:f>ROUND(H4226*(1-I4226),2)</x:f>
        <x:v>20790000</x:v>
      </x:c>
      <x:c r="N4226" s="4" t="str">
        <x:v>Sales manager</x:v>
      </x:c>
      <x:c r="O4226" s="4"/>
      <x:c r="P4226" s="9" t="n">
        <x:v>0</x:v>
      </x:c>
      <x:c r="Q4226" s="11" t="n">
        <x:v>0</x:v>
      </x:c>
      <x:c r="R4226" s="8" t="n">
        <x:v>45620</x:v>
      </x:c>
      <x:c r="S4226" s="4" t="str">
        <x:v>Retained</x:v>
      </x:c>
      <x:c r="T4226" s="10" t="n">
        <x:v>0.305556</x:v>
      </x:c>
      <x:c r="U4226" s="4" t="str">
        <x:v>Test</x:v>
      </x:c>
    </x:row>
    <x:row r="4227" ht="34" customHeight="1">
      <x:c r="A4227" s="4" t="str">
        <x:v>RS-04226</x:v>
      </x:c>
      <x:c r="B4227" s="8" t="n">
        <x:v>45561</x:v>
      </x:c>
      <x:c r="C4227" s="4" t="str">
        <x:v>PRJ-006</x:v>
      </x:c>
      <x:c r="D4227" s="4" t="str">
        <x:v>Office</x:v>
      </x:c>
      <x:c r="E4227" s="4" t="str">
        <x:v>Booked</x:v>
      </x:c>
      <x:c r="F4227" s="4" t="str">
        <x:v>CUS-04226</x:v>
      </x:c>
      <x:c r="G4227" s="4" t="str">
        <x:v>UNIT-04226</x:v>
      </x:c>
      <x:c r="H4227" s="9" t="n">
        <x:v>12400000</x:v>
      </x:c>
      <x:c r="I4227" s="10" t="n">
        <x:v>0.01</x:v>
      </x:c>
      <x:c r="J4227" s="11" t="n">
        <x:v>2</x:v>
      </x:c>
      <x:c r="K4227" s="11" t="n">
        <x:v>2</x:v>
      </x:c>
      <x:c r="L4227" s="11" t="n">
        <x:v>0</x:v>
      </x:c>
      <x:c r="M4227" s="9" t="n">
        <x:f>ROUND(H4227*(1-I4227),2)</x:f>
        <x:v>12276000</x:v>
      </x:c>
      <x:c r="N4227" s="4" t="str">
        <x:v>Sales manager</x:v>
      </x:c>
      <x:c r="O4227" s="4" t="str">
        <x:v>BOOK-04226</x:v>
      </x:c>
      <x:c r="P4227" s="9" t="n">
        <x:v>6138000</x:v>
      </x:c>
      <x:c r="Q4227" s="11" t="n">
        <x:v>0</x:v>
      </x:c>
      <x:c r="R4227" s="8" t="n">
        <x:v>45621</x:v>
      </x:c>
      <x:c r="S4227" s="4" t="str">
        <x:v>Retained</x:v>
      </x:c>
      <x:c r="T4227" s="10" t="n">
        <x:v>0.171717</x:v>
      </x:c>
      <x:c r="U4227" s="4" t="str">
        <x:v>Test</x:v>
      </x:c>
    </x:row>
    <x:row r="4228" ht="34" customHeight="1">
      <x:c r="A4228" s="4" t="str">
        <x:v>RS-04227</x:v>
      </x:c>
      <x:c r="B4228" s="8" t="n">
        <x:v>45562</x:v>
      </x:c>
      <x:c r="C4228" s="4" t="str">
        <x:v>PRJ-007</x:v>
      </x:c>
      <x:c r="D4228" s="4" t="str">
        <x:v>Villa</x:v>
      </x:c>
      <x:c r="E4228" s="4" t="str">
        <x:v>Reserved</x:v>
      </x:c>
      <x:c r="F4228" s="4" t="str">
        <x:v>CUS-04227</x:v>
      </x:c>
      <x:c r="G4228" s="4" t="str">
        <x:v>UNIT-04227</x:v>
      </x:c>
      <x:c r="H4228" s="9" t="n">
        <x:v>16100000</x:v>
      </x:c>
      <x:c r="I4228" s="10" t="n">
        <x:v>0.04</x:v>
      </x:c>
      <x:c r="J4228" s="11" t="n">
        <x:v>7</x:v>
      </x:c>
      <x:c r="K4228" s="11" t="n">
        <x:v>0</x:v>
      </x:c>
      <x:c r="L4228" s="11" t="n">
        <x:v>1</x:v>
      </x:c>
      <x:c r="M4228" s="9" t="n">
        <x:f>ROUND(H4228*(1-I4228),2)</x:f>
        <x:v>15456000</x:v>
      </x:c>
      <x:c r="N4228" s="4" t="str">
        <x:v>Sales manager</x:v>
      </x:c>
      <x:c r="O4228" s="4"/>
      <x:c r="P4228" s="9" t="n">
        <x:v>0</x:v>
      </x:c>
      <x:c r="Q4228" s="11" t="n">
        <x:v>0</x:v>
      </x:c>
      <x:c r="R4228" s="8" t="n">
        <x:v>45622</x:v>
      </x:c>
      <x:c r="S4228" s="4" t="str">
        <x:v>Retained</x:v>
      </x:c>
      <x:c r="T4228" s="10" t="n">
        <x:v>0.291946</x:v>
      </x:c>
      <x:c r="U4228" s="4" t="str">
        <x:v>Test</x:v>
      </x:c>
    </x:row>
    <x:row r="4229" ht="34" customHeight="1">
      <x:c r="A4229" s="4" t="str">
        <x:v>RS-04228</x:v>
      </x:c>
      <x:c r="B4229" s="8" t="n">
        <x:v>45563</x:v>
      </x:c>
      <x:c r="C4229" s="4" t="str">
        <x:v>PRJ-008</x:v>
      </x:c>
      <x:c r="D4229" s="4" t="str">
        <x:v>Villa</x:v>
      </x:c>
      <x:c r="E4229" s="4" t="str">
        <x:v>Cancelled</x:v>
      </x:c>
      <x:c r="F4229" s="4" t="str">
        <x:v>CUS-04228</x:v>
      </x:c>
      <x:c r="G4229" s="4" t="str">
        <x:v>UNIT-04228</x:v>
      </x:c>
      <x:c r="H4229" s="9" t="n">
        <x:v>10200000</x:v>
      </x:c>
      <x:c r="I4229" s="10" t="n">
        <x:v>0.07</x:v>
      </x:c>
      <x:c r="J4229" s="11" t="n">
        <x:v>2</x:v>
      </x:c>
      <x:c r="K4229" s="11" t="n">
        <x:v>0</x:v>
      </x:c>
      <x:c r="L4229" s="11" t="n">
        <x:v>0</x:v>
      </x:c>
      <x:c r="M4229" s="9" t="n">
        <x:f>ROUND(H4229*(1-I4229),2)</x:f>
        <x:v>9486000</x:v>
      </x:c>
      <x:c r="N4229" s="4" t="str">
        <x:v>Sales manager</x:v>
      </x:c>
      <x:c r="O4229" s="4"/>
      <x:c r="P4229" s="9" t="n">
        <x:v>0</x:v>
      </x:c>
      <x:c r="Q4229" s="11" t="n">
        <x:v>1</x:v>
      </x:c>
      <x:c r="R4229" s="8" t="n">
        <x:v>45623</x:v>
      </x:c>
      <x:c r="S4229" s="4" t="str">
        <x:v>Lost / cancelled</x:v>
      </x:c>
      <x:c r="T4229" s="10" t="n">
        <x:v>0.276923</x:v>
      </x:c>
      <x:c r="U4229" s="4" t="str">
        <x:v>Test</x:v>
      </x:c>
    </x:row>
    <x:row r="4230" ht="34" customHeight="1">
      <x:c r="A4230" s="4" t="str">
        <x:v>RS-04229</x:v>
      </x:c>
      <x:c r="B4230" s="8" t="n">
        <x:v>45536</x:v>
      </x:c>
      <x:c r="C4230" s="4" t="str">
        <x:v>PRJ-009</x:v>
      </x:c>
      <x:c r="D4230" s="4" t="str">
        <x:v>Villa</x:v>
      </x:c>
      <x:c r="E4230" s="4" t="str">
        <x:v>Handed over</x:v>
      </x:c>
      <x:c r="F4230" s="4" t="str">
        <x:v>CUS-04229</x:v>
      </x:c>
      <x:c r="G4230" s="4" t="str">
        <x:v>UNIT-04229</x:v>
      </x:c>
      <x:c r="H4230" s="9" t="n">
        <x:v>4200000</x:v>
      </x:c>
      <x:c r="I4230" s="10" t="n">
        <x:v>0.02</x:v>
      </x:c>
      <x:c r="J4230" s="11" t="n">
        <x:v>10</x:v>
      </x:c>
      <x:c r="K4230" s="11" t="n">
        <x:v>4</x:v>
      </x:c>
      <x:c r="L4230" s="11" t="n">
        <x:v>1</x:v>
      </x:c>
      <x:c r="M4230" s="9" t="n">
        <x:f>ROUND(H4230*(1-I4230),2)</x:f>
        <x:v>4116000</x:v>
      </x:c>
      <x:c r="N4230" s="4" t="str">
        <x:v>Sales manager</x:v>
      </x:c>
      <x:c r="O4230" s="4" t="str">
        <x:v>BOOK-04229</x:v>
      </x:c>
      <x:c r="P4230" s="9" t="n">
        <x:v>4116000</x:v>
      </x:c>
      <x:c r="Q4230" s="11" t="n">
        <x:v>0</x:v>
      </x:c>
      <x:c r="R4230" s="8" t="n">
        <x:v>45596</x:v>
      </x:c>
      <x:c r="S4230" s="4" t="str">
        <x:v>Retained</x:v>
      </x:c>
      <x:c r="T4230" s="10" t="n">
        <x:v>0.254545</x:v>
      </x:c>
      <x:c r="U4230" s="4" t="str">
        <x:v>Test</x:v>
      </x:c>
    </x:row>
    <x:row r="4231" ht="34" customHeight="1">
      <x:c r="A4231" s="4" t="str">
        <x:v>RS-04230</x:v>
      </x:c>
      <x:c r="B4231" s="8" t="n">
        <x:v>45537</x:v>
      </x:c>
      <x:c r="C4231" s="4" t="str">
        <x:v>PRJ-010</x:v>
      </x:c>
      <x:c r="D4231" s="4" t="str">
        <x:v>Office</x:v>
      </x:c>
      <x:c r="E4231" s="4" t="str">
        <x:v>Enquiry</x:v>
      </x:c>
      <x:c r="F4231" s="4" t="str">
        <x:v>CUS-04230</x:v>
      </x:c>
      <x:c r="G4231" s="4" t="str">
        <x:v>UNIT-04230</x:v>
      </x:c>
      <x:c r="H4231" s="9" t="n">
        <x:v>20300000</x:v>
      </x:c>
      <x:c r="I4231" s="10" t="n">
        <x:v>0.05</x:v>
      </x:c>
      <x:c r="J4231" s="11" t="n">
        <x:v>1</x:v>
      </x:c>
      <x:c r="K4231" s="11" t="n">
        <x:v>10</x:v>
      </x:c>
      <x:c r="L4231" s="11" t="n">
        <x:v>0</x:v>
      </x:c>
      <x:c r="M4231" s="9" t="n">
        <x:f>ROUND(H4231*(1-I4231),2)</x:f>
        <x:v>19285000</x:v>
      </x:c>
      <x:c r="N4231" s="4" t="str">
        <x:v>Sales manager</x:v>
      </x:c>
      <x:c r="O4231" s="4"/>
      <x:c r="P4231" s="9" t="n">
        <x:v>0</x:v>
      </x:c>
      <x:c r="Q4231" s="11" t="n">
        <x:v>0</x:v>
      </x:c>
      <x:c r="R4231" s="8" t="n">
        <x:v>45597</x:v>
      </x:c>
      <x:c r="S4231" s="4" t="str">
        <x:v>Retained</x:v>
      </x:c>
      <x:c r="T4231" s="10" t="n">
        <x:v>0.204152</x:v>
      </x:c>
      <x:c r="U4231" s="4" t="str">
        <x:v>Test</x:v>
      </x:c>
    </x:row>
    <x:row r="4232" ht="34" customHeight="1">
      <x:c r="A4232" s="4" t="str">
        <x:v>RS-04231</x:v>
      </x:c>
      <x:c r="B4232" s="8" t="n">
        <x:v>45538</x:v>
      </x:c>
      <x:c r="C4232" s="4" t="str">
        <x:v>PRJ-011</x:v>
      </x:c>
      <x:c r="D4232" s="4" t="str">
        <x:v>Apartment</x:v>
      </x:c>
      <x:c r="E4232" s="4" t="str">
        <x:v>Reserved</x:v>
      </x:c>
      <x:c r="F4232" s="4" t="str">
        <x:v>CUS-04231</x:v>
      </x:c>
      <x:c r="G4232" s="4" t="str">
        <x:v>UNIT-04231</x:v>
      </x:c>
      <x:c r="H4232" s="9" t="n">
        <x:v>14900000</x:v>
      </x:c>
      <x:c r="I4232" s="10" t="n">
        <x:v>0.05</x:v>
      </x:c>
      <x:c r="J4232" s="11" t="n">
        <x:v>9</x:v>
      </x:c>
      <x:c r="K4232" s="11" t="n">
        <x:v>9</x:v>
      </x:c>
      <x:c r="L4232" s="11" t="n">
        <x:v>0</x:v>
      </x:c>
      <x:c r="M4232" s="9" t="n">
        <x:f>ROUND(H4232*(1-I4232),2)</x:f>
        <x:v>14155000</x:v>
      </x:c>
      <x:c r="N4232" s="4" t="str">
        <x:v>Sales manager</x:v>
      </x:c>
      <x:c r="O4232" s="4"/>
      <x:c r="P4232" s="9" t="n">
        <x:v>0</x:v>
      </x:c>
      <x:c r="Q4232" s="11" t="n">
        <x:v>0</x:v>
      </x:c>
      <x:c r="R4232" s="8" t="n">
        <x:v>45598</x:v>
      </x:c>
      <x:c r="S4232" s="4" t="str">
        <x:v>Retained</x:v>
      </x:c>
      <x:c r="T4232" s="10" t="n">
        <x:v>0.310195</x:v>
      </x:c>
      <x:c r="U4232" s="4" t="str">
        <x:v>Test</x:v>
      </x:c>
    </x:row>
    <x:row r="4233" ht="34" customHeight="1">
      <x:c r="A4233" s="4" t="str">
        <x:v>RS-04232</x:v>
      </x:c>
      <x:c r="B4233" s="8" t="n">
        <x:v>45539</x:v>
      </x:c>
      <x:c r="C4233" s="4" t="str">
        <x:v>PRJ-012</x:v>
      </x:c>
      <x:c r="D4233" s="4" t="str">
        <x:v>Apartment</x:v>
      </x:c>
      <x:c r="E4233" s="4" t="str">
        <x:v>Handed over</x:v>
      </x:c>
      <x:c r="F4233" s="4" t="str">
        <x:v>CUS-04232</x:v>
      </x:c>
      <x:c r="G4233" s="4" t="str">
        <x:v>UNIT-04232</x:v>
      </x:c>
      <x:c r="H4233" s="9" t="n">
        <x:v>16500000</x:v>
      </x:c>
      <x:c r="I4233" s="10" t="n">
        <x:v>0.11</x:v>
      </x:c>
      <x:c r="J4233" s="11" t="n">
        <x:v>8</x:v>
      </x:c>
      <x:c r="K4233" s="11" t="n">
        <x:v>9</x:v>
      </x:c>
      <x:c r="L4233" s="11" t="n">
        <x:v>0</x:v>
      </x:c>
      <x:c r="M4233" s="9" t="n">
        <x:f>ROUND(H4233*(1-I4233),2)</x:f>
        <x:v>14685000</x:v>
      </x:c>
      <x:c r="N4233" s="4" t="str">
        <x:v>Sales head</x:v>
      </x:c>
      <x:c r="O4233" s="4" t="str">
        <x:v>BOOK-04232</x:v>
      </x:c>
      <x:c r="P4233" s="9" t="n">
        <x:v>14685000</x:v>
      </x:c>
      <x:c r="Q4233" s="11" t="n">
        <x:v>0</x:v>
      </x:c>
      <x:c r="R4233" s="8" t="n">
        <x:v>45599</x:v>
      </x:c>
      <x:c r="S4233" s="4" t="str">
        <x:v>Retained</x:v>
      </x:c>
      <x:c r="T4233" s="10" t="n">
        <x:v>0.310195</x:v>
      </x:c>
      <x:c r="U4233" s="4" t="str">
        <x:v>Test</x:v>
      </x:c>
    </x:row>
    <x:row r="4234" ht="34" customHeight="1">
      <x:c r="A4234" s="4" t="str">
        <x:v>RS-04233</x:v>
      </x:c>
      <x:c r="B4234" s="8" t="n">
        <x:v>45540</x:v>
      </x:c>
      <x:c r="C4234" s="4" t="str">
        <x:v>PRJ-013</x:v>
      </x:c>
      <x:c r="D4234" s="4" t="str">
        <x:v>Villa</x:v>
      </x:c>
      <x:c r="E4234" s="4" t="str">
        <x:v>Cancelled</x:v>
      </x:c>
      <x:c r="F4234" s="4" t="str">
        <x:v>CUS-04233</x:v>
      </x:c>
      <x:c r="G4234" s="4" t="str">
        <x:v>UNIT-04233</x:v>
      </x:c>
      <x:c r="H4234" s="9" t="n">
        <x:v>17900000</x:v>
      </x:c>
      <x:c r="I4234" s="10" t="n">
        <x:v>0.1</x:v>
      </x:c>
      <x:c r="J4234" s="11" t="n">
        <x:v>10</x:v>
      </x:c>
      <x:c r="K4234" s="11" t="n">
        <x:v>3</x:v>
      </x:c>
      <x:c r="L4234" s="11" t="n">
        <x:v>1</x:v>
      </x:c>
      <x:c r="M4234" s="9" t="n">
        <x:f>ROUND(H4234*(1-I4234),2)</x:f>
        <x:v>16110000</x:v>
      </x:c>
      <x:c r="N4234" s="4" t="str">
        <x:v>Sales head</x:v>
      </x:c>
      <x:c r="O4234" s="4"/>
      <x:c r="P4234" s="9" t="n">
        <x:v>0</x:v>
      </x:c>
      <x:c r="Q4234" s="11" t="n">
        <x:v>1</x:v>
      </x:c>
      <x:c r="R4234" s="8" t="n">
        <x:v>45600</x:v>
      </x:c>
      <x:c r="S4234" s="4" t="str">
        <x:v>Lost / cancelled</x:v>
      </x:c>
      <x:c r="T4234" s="10" t="n">
        <x:v>0.310195</x:v>
      </x:c>
      <x:c r="U4234" s="4" t="str">
        <x:v>Test</x:v>
      </x:c>
    </x:row>
    <x:row r="4235" ht="34" customHeight="1">
      <x:c r="A4235" s="4" t="str">
        <x:v>RS-04234</x:v>
      </x:c>
      <x:c r="B4235" s="8" t="n">
        <x:v>45541</x:v>
      </x:c>
      <x:c r="C4235" s="4" t="str">
        <x:v>PRJ-014</x:v>
      </x:c>
      <x:c r="D4235" s="4" t="str">
        <x:v>Villa</x:v>
      </x:c>
      <x:c r="E4235" s="4" t="str">
        <x:v>Booked</x:v>
      </x:c>
      <x:c r="F4235" s="4" t="str">
        <x:v>CUS-04234</x:v>
      </x:c>
      <x:c r="G4235" s="4" t="str">
        <x:v>UNIT-04234</x:v>
      </x:c>
      <x:c r="H4235" s="9" t="n">
        <x:v>13900000</x:v>
      </x:c>
      <x:c r="I4235" s="10" t="n">
        <x:v>0.06</x:v>
      </x:c>
      <x:c r="J4235" s="11" t="n">
        <x:v>10</x:v>
      </x:c>
      <x:c r="K4235" s="11" t="n">
        <x:v>7</x:v>
      </x:c>
      <x:c r="L4235" s="11" t="n">
        <x:v>1</x:v>
      </x:c>
      <x:c r="M4235" s="9" t="n">
        <x:f>ROUND(H4235*(1-I4235),2)</x:f>
        <x:v>13066000</x:v>
      </x:c>
      <x:c r="N4235" s="4" t="str">
        <x:v>Sales manager</x:v>
      </x:c>
      <x:c r="O4235" s="4" t="str">
        <x:v>BOOK-04234</x:v>
      </x:c>
      <x:c r="P4235" s="9" t="n">
        <x:v>1306600</x:v>
      </x:c>
      <x:c r="Q4235" s="11" t="n">
        <x:v>0</x:v>
      </x:c>
      <x:c r="R4235" s="8" t="n">
        <x:v>45601</x:v>
      </x:c>
      <x:c r="S4235" s="4" t="str">
        <x:v>Retained</x:v>
      </x:c>
      <x:c r="T4235" s="10" t="n">
        <x:v>0.310195</x:v>
      </x:c>
      <x:c r="U4235" s="4" t="str">
        <x:v>Test</x:v>
      </x:c>
    </x:row>
    <x:row r="4236" ht="34" customHeight="1">
      <x:c r="A4236" s="4" t="str">
        <x:v>RS-04235</x:v>
      </x:c>
      <x:c r="B4236" s="8" t="n">
        <x:v>45542</x:v>
      </x:c>
      <x:c r="C4236" s="4" t="str">
        <x:v>PRJ-015</x:v>
      </x:c>
      <x:c r="D4236" s="4" t="str">
        <x:v>Villa</x:v>
      </x:c>
      <x:c r="E4236" s="4" t="str">
        <x:v>Handed over</x:v>
      </x:c>
      <x:c r="F4236" s="4" t="str">
        <x:v>CUS-04235</x:v>
      </x:c>
      <x:c r="G4236" s="4" t="str">
        <x:v>UNIT-04235</x:v>
      </x:c>
      <x:c r="H4236" s="9" t="n">
        <x:v>9800000</x:v>
      </x:c>
      <x:c r="I4236" s="10" t="n">
        <x:v>0.09</x:v>
      </x:c>
      <x:c r="J4236" s="11" t="n">
        <x:v>1</x:v>
      </x:c>
      <x:c r="K4236" s="11" t="n">
        <x:v>7</x:v>
      </x:c>
      <x:c r="L4236" s="11" t="n">
        <x:v>0</x:v>
      </x:c>
      <x:c r="M4236" s="9" t="n">
        <x:f>ROUND(H4236*(1-I4236),2)</x:f>
        <x:v>8918000</x:v>
      </x:c>
      <x:c r="N4236" s="4" t="str">
        <x:v>Sales head</x:v>
      </x:c>
      <x:c r="O4236" s="4" t="str">
        <x:v>BOOK-04235</x:v>
      </x:c>
      <x:c r="P4236" s="9" t="n">
        <x:v>8918000</x:v>
      </x:c>
      <x:c r="Q4236" s="11" t="n">
        <x:v>0</x:v>
      </x:c>
      <x:c r="R4236" s="8" t="n">
        <x:v>45602</x:v>
      </x:c>
      <x:c r="S4236" s="4" t="str">
        <x:v>Retained</x:v>
      </x:c>
      <x:c r="T4236" s="10" t="n">
        <x:v>0.145833</x:v>
      </x:c>
      <x:c r="U4236" s="4" t="str">
        <x:v>Test</x:v>
      </x:c>
    </x:row>
    <x:row r="4237" ht="34" customHeight="1">
      <x:c r="A4237" s="4" t="str">
        <x:v>RS-04236</x:v>
      </x:c>
      <x:c r="B4237" s="8" t="n">
        <x:v>45543</x:v>
      </x:c>
      <x:c r="C4237" s="4" t="str">
        <x:v>PRJ-016</x:v>
      </x:c>
      <x:c r="D4237" s="4" t="str">
        <x:v>Apartment</x:v>
      </x:c>
      <x:c r="E4237" s="4" t="str">
        <x:v>Booked</x:v>
      </x:c>
      <x:c r="F4237" s="4" t="str">
        <x:v>CUS-04236</x:v>
      </x:c>
      <x:c r="G4237" s="4" t="str">
        <x:v>UNIT-04236</x:v>
      </x:c>
      <x:c r="H4237" s="9" t="n">
        <x:v>12000000</x:v>
      </x:c>
      <x:c r="I4237" s="10" t="n">
        <x:v>0.1</x:v>
      </x:c>
      <x:c r="J4237" s="11" t="n">
        <x:v>11</x:v>
      </x:c>
      <x:c r="K4237" s="11" t="n">
        <x:v>3</x:v>
      </x:c>
      <x:c r="L4237" s="11" t="n">
        <x:v>1</x:v>
      </x:c>
      <x:c r="M4237" s="9" t="n">
        <x:f>ROUND(H4237*(1-I4237),2)</x:f>
        <x:v>10800000</x:v>
      </x:c>
      <x:c r="N4237" s="4" t="str">
        <x:v>Sales head</x:v>
      </x:c>
      <x:c r="O4237" s="4" t="str">
        <x:v>BOOK-04236</x:v>
      </x:c>
      <x:c r="P4237" s="9" t="n">
        <x:v>2700000</x:v>
      </x:c>
      <x:c r="Q4237" s="11" t="n">
        <x:v>0</x:v>
      </x:c>
      <x:c r="R4237" s="8" t="n">
        <x:v>45603</x:v>
      </x:c>
      <x:c r="S4237" s="4" t="str">
        <x:v>Retained</x:v>
      </x:c>
      <x:c r="T4237" s="10" t="n">
        <x:v>0.351536</x:v>
      </x:c>
      <x:c r="U4237" s="4" t="str">
        <x:v>Test</x:v>
      </x:c>
    </x:row>
    <x:row r="4238" ht="34" customHeight="1">
      <x:c r="A4238" s="4" t="str">
        <x:v>RS-04237</x:v>
      </x:c>
      <x:c r="B4238" s="8" t="n">
        <x:v>45544</x:v>
      </x:c>
      <x:c r="C4238" s="4" t="str">
        <x:v>PRJ-017</x:v>
      </x:c>
      <x:c r="D4238" s="4" t="str">
        <x:v>Office</x:v>
      </x:c>
      <x:c r="E4238" s="4" t="str">
        <x:v>Agreement signed</x:v>
      </x:c>
      <x:c r="F4238" s="4" t="str">
        <x:v>CUS-04237</x:v>
      </x:c>
      <x:c r="G4238" s="4" t="str">
        <x:v>UNIT-04237</x:v>
      </x:c>
      <x:c r="H4238" s="9" t="n">
        <x:v>21700000</x:v>
      </x:c>
      <x:c r="I4238" s="10" t="n">
        <x:v>0.03</x:v>
      </x:c>
      <x:c r="J4238" s="11" t="n">
        <x:v>11</x:v>
      </x:c>
      <x:c r="K4238" s="11" t="n">
        <x:v>5</x:v>
      </x:c>
      <x:c r="L4238" s="11" t="n">
        <x:v>0</x:v>
      </x:c>
      <x:c r="M4238" s="9" t="n">
        <x:f>ROUND(H4238*(1-I4238),2)</x:f>
        <x:v>21049000</x:v>
      </x:c>
      <x:c r="N4238" s="4" t="str">
        <x:v>Sales manager</x:v>
      </x:c>
      <x:c r="O4238" s="4" t="str">
        <x:v>BOOK-04237</x:v>
      </x:c>
      <x:c r="P4238" s="9" t="n">
        <x:v>2104900</x:v>
      </x:c>
      <x:c r="Q4238" s="11" t="n">
        <x:v>0</x:v>
      </x:c>
      <x:c r="R4238" s="8" t="n">
        <x:v>45604</x:v>
      </x:c>
      <x:c r="S4238" s="4" t="str">
        <x:v>Retained</x:v>
      </x:c>
      <x:c r="T4238" s="10" t="n">
        <x:v>0.351536</x:v>
      </x:c>
      <x:c r="U4238" s="4" t="str">
        <x:v>Test</x:v>
      </x:c>
    </x:row>
    <x:row r="4239" ht="34" customHeight="1">
      <x:c r="A4239" s="4" t="str">
        <x:v>RS-04238</x:v>
      </x:c>
      <x:c r="B4239" s="8" t="n">
        <x:v>45545</x:v>
      </x:c>
      <x:c r="C4239" s="4" t="str">
        <x:v>PRJ-018</x:v>
      </x:c>
      <x:c r="D4239" s="4" t="str">
        <x:v>Retail</x:v>
      </x:c>
      <x:c r="E4239" s="4" t="str">
        <x:v>Booked</x:v>
      </x:c>
      <x:c r="F4239" s="4" t="str">
        <x:v>CUS-04238</x:v>
      </x:c>
      <x:c r="G4239" s="4" t="str">
        <x:v>UNIT-04238</x:v>
      </x:c>
      <x:c r="H4239" s="9" t="n">
        <x:v>13100000</x:v>
      </x:c>
      <x:c r="I4239" s="10" t="n">
        <x:v>0.02</x:v>
      </x:c>
      <x:c r="J4239" s="11" t="n">
        <x:v>7</x:v>
      </x:c>
      <x:c r="K4239" s="11" t="n">
        <x:v>0</x:v>
      </x:c>
      <x:c r="L4239" s="11" t="n">
        <x:v>1</x:v>
      </x:c>
      <x:c r="M4239" s="9" t="n">
        <x:f>ROUND(H4239*(1-I4239),2)</x:f>
        <x:v>12838000</x:v>
      </x:c>
      <x:c r="N4239" s="4" t="str">
        <x:v>Sales manager</x:v>
      </x:c>
      <x:c r="O4239" s="4" t="str">
        <x:v>BOOK-04238</x:v>
      </x:c>
      <x:c r="P4239" s="9" t="n">
        <x:v>1283800</x:v>
      </x:c>
      <x:c r="Q4239" s="11" t="n">
        <x:v>0</x:v>
      </x:c>
      <x:c r="R4239" s="8" t="n">
        <x:v>45605</x:v>
      </x:c>
      <x:c r="S4239" s="4" t="str">
        <x:v>Retained</x:v>
      </x:c>
      <x:c r="T4239" s="10" t="n">
        <x:v>0.298969</x:v>
      </x:c>
      <x:c r="U4239" s="4" t="str">
        <x:v>Test</x:v>
      </x:c>
    </x:row>
    <x:row r="4240" ht="34" customHeight="1">
      <x:c r="A4240" s="4" t="str">
        <x:v>RS-04239</x:v>
      </x:c>
      <x:c r="B4240" s="8" t="n">
        <x:v>45546</x:v>
      </x:c>
      <x:c r="C4240" s="4" t="str">
        <x:v>PRJ-019</x:v>
      </x:c>
      <x:c r="D4240" s="4" t="str">
        <x:v>Villa</x:v>
      </x:c>
      <x:c r="E4240" s="4" t="str">
        <x:v>Handed over</x:v>
      </x:c>
      <x:c r="F4240" s="4" t="str">
        <x:v>CUS-04239</x:v>
      </x:c>
      <x:c r="G4240" s="4" t="str">
        <x:v>UNIT-04239</x:v>
      </x:c>
      <x:c r="H4240" s="9" t="n">
        <x:v>24800000</x:v>
      </x:c>
      <x:c r="I4240" s="10" t="n">
        <x:v>0.04</x:v>
      </x:c>
      <x:c r="J4240" s="11" t="n">
        <x:v>6</x:v>
      </x:c>
      <x:c r="K4240" s="11" t="n">
        <x:v>7</x:v>
      </x:c>
      <x:c r="L4240" s="11" t="n">
        <x:v>0</x:v>
      </x:c>
      <x:c r="M4240" s="9" t="n">
        <x:f>ROUND(H4240*(1-I4240),2)</x:f>
        <x:v>23808000</x:v>
      </x:c>
      <x:c r="N4240" s="4" t="str">
        <x:v>Sales manager</x:v>
      </x:c>
      <x:c r="O4240" s="4" t="str">
        <x:v>BOOK-04239</x:v>
      </x:c>
      <x:c r="P4240" s="9" t="n">
        <x:v>23808000</x:v>
      </x:c>
      <x:c r="Q4240" s="11" t="n">
        <x:v>0</x:v>
      </x:c>
      <x:c r="R4240" s="8" t="n">
        <x:v>45606</x:v>
      </x:c>
      <x:c r="S4240" s="4" t="str">
        <x:v>Retained</x:v>
      </x:c>
      <x:c r="T4240" s="10" t="n">
        <x:v>0.226277</x:v>
      </x:c>
      <x:c r="U4240" s="4" t="str">
        <x:v>Test</x:v>
      </x:c>
    </x:row>
    <x:row r="4241" ht="34" customHeight="1">
      <x:c r="A4241" s="4" t="str">
        <x:v>RS-04240</x:v>
      </x:c>
      <x:c r="B4241" s="8" t="n">
        <x:v>45547</x:v>
      </x:c>
      <x:c r="C4241" s="4" t="str">
        <x:v>PRJ-020</x:v>
      </x:c>
      <x:c r="D4241" s="4" t="str">
        <x:v>Retail</x:v>
      </x:c>
      <x:c r="E4241" s="4" t="str">
        <x:v>Agreement signed</x:v>
      </x:c>
      <x:c r="F4241" s="4" t="str">
        <x:v>CUS-04240</x:v>
      </x:c>
      <x:c r="G4241" s="4" t="str">
        <x:v>UNIT-04240</x:v>
      </x:c>
      <x:c r="H4241" s="9" t="n">
        <x:v>21900000</x:v>
      </x:c>
      <x:c r="I4241" s="10" t="n">
        <x:v>0.02</x:v>
      </x:c>
      <x:c r="J4241" s="11" t="n">
        <x:v>10</x:v>
      </x:c>
      <x:c r="K4241" s="11" t="n">
        <x:v>7</x:v>
      </x:c>
      <x:c r="L4241" s="11" t="n">
        <x:v>0</x:v>
      </x:c>
      <x:c r="M4241" s="9" t="n">
        <x:f>ROUND(H4241*(1-I4241),2)</x:f>
        <x:v>21462000</x:v>
      </x:c>
      <x:c r="N4241" s="4" t="str">
        <x:v>Sales manager</x:v>
      </x:c>
      <x:c r="O4241" s="4" t="str">
        <x:v>BOOK-04240</x:v>
      </x:c>
      <x:c r="P4241" s="9" t="n">
        <x:v>21462000</x:v>
      </x:c>
      <x:c r="Q4241" s="11" t="n">
        <x:v>0</x:v>
      </x:c>
      <x:c r="R4241" s="8" t="n">
        <x:v>45607</x:v>
      </x:c>
      <x:c r="S4241" s="4" t="str">
        <x:v>Retained</x:v>
      </x:c>
      <x:c r="T4241" s="10" t="n">
        <x:v>0.305556</x:v>
      </x:c>
      <x:c r="U4241" s="4" t="str">
        <x:v>Test</x:v>
      </x:c>
    </x:row>
    <x:row r="4242" ht="34" customHeight="1">
      <x:c r="A4242" s="4" t="str">
        <x:v>RS-04241</x:v>
      </x:c>
      <x:c r="B4242" s="8" t="n">
        <x:v>45548</x:v>
      </x:c>
      <x:c r="C4242" s="4" t="str">
        <x:v>PRJ-001</x:v>
      </x:c>
      <x:c r="D4242" s="4" t="str">
        <x:v>Villa</x:v>
      </x:c>
      <x:c r="E4242" s="4" t="str">
        <x:v>Handed over</x:v>
      </x:c>
      <x:c r="F4242" s="4" t="str">
        <x:v>CUS-04241</x:v>
      </x:c>
      <x:c r="G4242" s="4" t="str">
        <x:v>UNIT-04241</x:v>
      </x:c>
      <x:c r="H4242" s="9" t="n">
        <x:v>18600000</x:v>
      </x:c>
      <x:c r="I4242" s="10" t="n">
        <x:v>0.12</x:v>
      </x:c>
      <x:c r="J4242" s="11" t="n">
        <x:v>3</x:v>
      </x:c>
      <x:c r="K4242" s="11" t="n">
        <x:v>3</x:v>
      </x:c>
      <x:c r="L4242" s="11" t="n">
        <x:v>0</x:v>
      </x:c>
      <x:c r="M4242" s="9" t="n">
        <x:f>ROUND(H4242*(1-I4242),2)</x:f>
        <x:v>16368000</x:v>
      </x:c>
      <x:c r="N4242" s="4" t="str">
        <x:v>Sales head</x:v>
      </x:c>
      <x:c r="O4242" s="4" t="str">
        <x:v>BOOK-04241</x:v>
      </x:c>
      <x:c r="P4242" s="9" t="n">
        <x:v>1636800</x:v>
      </x:c>
      <x:c r="Q4242" s="11" t="n">
        <x:v>0</x:v>
      </x:c>
      <x:c r="R4242" s="8" t="n">
        <x:v>45608</x:v>
      </x:c>
      <x:c r="S4242" s="4" t="str">
        <x:v>Retained</x:v>
      </x:c>
      <x:c r="T4242" s="10" t="n">
        <x:v>0.145833</x:v>
      </x:c>
      <x:c r="U4242" s="4" t="str">
        <x:v>Test</x:v>
      </x:c>
    </x:row>
    <x:row r="4243" ht="34" customHeight="1">
      <x:c r="A4243" s="4" t="str">
        <x:v>RS-04242</x:v>
      </x:c>
      <x:c r="B4243" s="8" t="n">
        <x:v>45549</x:v>
      </x:c>
      <x:c r="C4243" s="4" t="str">
        <x:v>PRJ-002</x:v>
      </x:c>
      <x:c r="D4243" s="4" t="str">
        <x:v>Office</x:v>
      </x:c>
      <x:c r="E4243" s="4" t="str">
        <x:v>Handed over</x:v>
      </x:c>
      <x:c r="F4243" s="4" t="str">
        <x:v>CUS-04242</x:v>
      </x:c>
      <x:c r="G4243" s="4" t="str">
        <x:v>UNIT-04242</x:v>
      </x:c>
      <x:c r="H4243" s="9" t="n">
        <x:v>13600000</x:v>
      </x:c>
      <x:c r="I4243" s="10" t="n">
        <x:v>0.09</x:v>
      </x:c>
      <x:c r="J4243" s="11" t="n">
        <x:v>5</x:v>
      </x:c>
      <x:c r="K4243" s="11" t="n">
        <x:v>6</x:v>
      </x:c>
      <x:c r="L4243" s="11" t="n">
        <x:v>0</x:v>
      </x:c>
      <x:c r="M4243" s="9" t="n">
        <x:f>ROUND(H4243*(1-I4243),2)</x:f>
        <x:v>12376000</x:v>
      </x:c>
      <x:c r="N4243" s="4" t="str">
        <x:v>Sales head</x:v>
      </x:c>
      <x:c r="O4243" s="4" t="str">
        <x:v>BOOK-04242</x:v>
      </x:c>
      <x:c r="P4243" s="9" t="n">
        <x:v>12376000</x:v>
      </x:c>
      <x:c r="Q4243" s="11" t="n">
        <x:v>0</x:v>
      </x:c>
      <x:c r="R4243" s="8" t="n">
        <x:v>45609</x:v>
      </x:c>
      <x:c r="S4243" s="4" t="str">
        <x:v>Retained</x:v>
      </x:c>
      <x:c r="T4243" s="10" t="n">
        <x:v>0.226277</x:v>
      </x:c>
      <x:c r="U4243" s="4" t="str">
        <x:v>Test</x:v>
      </x:c>
    </x:row>
    <x:row r="4244" ht="34" customHeight="1">
      <x:c r="A4244" s="4" t="str">
        <x:v>RS-04243</x:v>
      </x:c>
      <x:c r="B4244" s="8" t="n">
        <x:v>45550</x:v>
      </x:c>
      <x:c r="C4244" s="4" t="str">
        <x:v>PRJ-003</x:v>
      </x:c>
      <x:c r="D4244" s="4" t="str">
        <x:v>Retail</x:v>
      </x:c>
      <x:c r="E4244" s="4" t="str">
        <x:v>Handed over</x:v>
      </x:c>
      <x:c r="F4244" s="4" t="str">
        <x:v>CUS-04243</x:v>
      </x:c>
      <x:c r="G4244" s="4" t="str">
        <x:v>UNIT-04243</x:v>
      </x:c>
      <x:c r="H4244" s="9" t="n">
        <x:v>5000000</x:v>
      </x:c>
      <x:c r="I4244" s="10" t="n">
        <x:v>0.08</x:v>
      </x:c>
      <x:c r="J4244" s="11" t="n">
        <x:v>12</x:v>
      </x:c>
      <x:c r="K4244" s="11" t="n">
        <x:v>0</x:v>
      </x:c>
      <x:c r="L4244" s="11" t="n">
        <x:v>0</x:v>
      </x:c>
      <x:c r="M4244" s="9" t="n">
        <x:f>ROUND(H4244*(1-I4244),2)</x:f>
        <x:v>4600000</x:v>
      </x:c>
      <x:c r="N4244" s="4" t="str">
        <x:v>Sales head</x:v>
      </x:c>
      <x:c r="O4244" s="4" t="str">
        <x:v>BOOK-04243</x:v>
      </x:c>
      <x:c r="P4244" s="9" t="n">
        <x:v>1150000</x:v>
      </x:c>
      <x:c r="Q4244" s="11" t="n">
        <x:v>0</x:v>
      </x:c>
      <x:c r="R4244" s="8" t="n">
        <x:v>45610</x:v>
      </x:c>
      <x:c r="S4244" s="4" t="str">
        <x:v>Retained</x:v>
      </x:c>
      <x:c r="T4244" s="10" t="n">
        <x:v>0.351536</x:v>
      </x:c>
      <x:c r="U4244" s="4" t="str">
        <x:v>Test</x:v>
      </x:c>
    </x:row>
    <x:row r="4245" ht="34" customHeight="1">
      <x:c r="A4245" s="4" t="str">
        <x:v>RS-04244</x:v>
      </x:c>
      <x:c r="B4245" s="8" t="n">
        <x:v>45551</x:v>
      </x:c>
      <x:c r="C4245" s="4" t="str">
        <x:v>PRJ-004</x:v>
      </x:c>
      <x:c r="D4245" s="4" t="str">
        <x:v>Office</x:v>
      </x:c>
      <x:c r="E4245" s="4" t="str">
        <x:v>Cancelled</x:v>
      </x:c>
      <x:c r="F4245" s="4" t="str">
        <x:v>CUS-04244</x:v>
      </x:c>
      <x:c r="G4245" s="4" t="str">
        <x:v>UNIT-04244</x:v>
      </x:c>
      <x:c r="H4245" s="9" t="n">
        <x:v>5300000</x:v>
      </x:c>
      <x:c r="I4245" s="10" t="n">
        <x:v>0.02</x:v>
      </x:c>
      <x:c r="J4245" s="11" t="n">
        <x:v>11</x:v>
      </x:c>
      <x:c r="K4245" s="11" t="n">
        <x:v>9</x:v>
      </x:c>
      <x:c r="L4245" s="11" t="n">
        <x:v>1</x:v>
      </x:c>
      <x:c r="M4245" s="9" t="n">
        <x:f>ROUND(H4245*(1-I4245),2)</x:f>
        <x:v>5194000</x:v>
      </x:c>
      <x:c r="N4245" s="4" t="str">
        <x:v>Sales manager</x:v>
      </x:c>
      <x:c r="O4245" s="4"/>
      <x:c r="P4245" s="9" t="n">
        <x:v>0</x:v>
      </x:c>
      <x:c r="Q4245" s="11" t="n">
        <x:v>1</x:v>
      </x:c>
      <x:c r="R4245" s="8" t="n">
        <x:v>45611</x:v>
      </x:c>
      <x:c r="S4245" s="4" t="str">
        <x:v>Lost / cancelled</x:v>
      </x:c>
      <x:c r="T4245" s="10" t="n">
        <x:v>0.254545</x:v>
      </x:c>
      <x:c r="U4245" s="4" t="str">
        <x:v>Test</x:v>
      </x:c>
    </x:row>
    <x:row r="4246" ht="34" customHeight="1">
      <x:c r="A4246" s="4" t="str">
        <x:v>RS-04245</x:v>
      </x:c>
      <x:c r="B4246" s="8" t="n">
        <x:v>45552</x:v>
      </x:c>
      <x:c r="C4246" s="4" t="str">
        <x:v>PRJ-005</x:v>
      </x:c>
      <x:c r="D4246" s="4" t="str">
        <x:v>Villa</x:v>
      </x:c>
      <x:c r="E4246" s="4" t="str">
        <x:v>Agreement signed</x:v>
      </x:c>
      <x:c r="F4246" s="4" t="str">
        <x:v>CUS-04245</x:v>
      </x:c>
      <x:c r="G4246" s="4" t="str">
        <x:v>UNIT-04245</x:v>
      </x:c>
      <x:c r="H4246" s="9" t="n">
        <x:v>20800000</x:v>
      </x:c>
      <x:c r="I4246" s="10" t="n">
        <x:v>0.1</x:v>
      </x:c>
      <x:c r="J4246" s="11" t="n">
        <x:v>4</x:v>
      </x:c>
      <x:c r="K4246" s="11" t="n">
        <x:v>10</x:v>
      </x:c>
      <x:c r="L4246" s="11" t="n">
        <x:v>0</x:v>
      </x:c>
      <x:c r="M4246" s="9" t="n">
        <x:f>ROUND(H4246*(1-I4246),2)</x:f>
        <x:v>18720000</x:v>
      </x:c>
      <x:c r="N4246" s="4" t="str">
        <x:v>Sales head</x:v>
      </x:c>
      <x:c r="O4246" s="4" t="str">
        <x:v>BOOK-04245</x:v>
      </x:c>
      <x:c r="P4246" s="9" t="n">
        <x:v>9360000</x:v>
      </x:c>
      <x:c r="Q4246" s="11" t="n">
        <x:v>0</x:v>
      </x:c>
      <x:c r="R4246" s="8" t="n">
        <x:v>45612</x:v>
      </x:c>
      <x:c r="S4246" s="4" t="str">
        <x:v>Retained</x:v>
      </x:c>
      <x:c r="T4246" s="10" t="n">
        <x:v>0.226277</x:v>
      </x:c>
      <x:c r="U4246" s="4" t="str">
        <x:v>Test</x:v>
      </x:c>
    </x:row>
    <x:row r="4247" ht="34" customHeight="1">
      <x:c r="A4247" s="4" t="str">
        <x:v>RS-04246</x:v>
      </x:c>
      <x:c r="B4247" s="8" t="n">
        <x:v>45553</x:v>
      </x:c>
      <x:c r="C4247" s="4" t="str">
        <x:v>PRJ-006</x:v>
      </x:c>
      <x:c r="D4247" s="4" t="str">
        <x:v>Retail</x:v>
      </x:c>
      <x:c r="E4247" s="4" t="str">
        <x:v>Booked</x:v>
      </x:c>
      <x:c r="F4247" s="4" t="str">
        <x:v>CUS-04246</x:v>
      </x:c>
      <x:c r="G4247" s="4" t="str">
        <x:v>UNIT-04246</x:v>
      </x:c>
      <x:c r="H4247" s="9" t="n">
        <x:v>18700000</x:v>
      </x:c>
      <x:c r="I4247" s="10" t="n">
        <x:v>0.02</x:v>
      </x:c>
      <x:c r="J4247" s="11" t="n">
        <x:v>10</x:v>
      </x:c>
      <x:c r="K4247" s="11" t="n">
        <x:v>2</x:v>
      </x:c>
      <x:c r="L4247" s="11" t="n">
        <x:v>0</x:v>
      </x:c>
      <x:c r="M4247" s="9" t="n">
        <x:f>ROUND(H4247*(1-I4247),2)</x:f>
        <x:v>18326000</x:v>
      </x:c>
      <x:c r="N4247" s="4" t="str">
        <x:v>Sales manager</x:v>
      </x:c>
      <x:c r="O4247" s="4" t="str">
        <x:v>BOOK-04246</x:v>
      </x:c>
      <x:c r="P4247" s="9" t="n">
        <x:v>9163000</x:v>
      </x:c>
      <x:c r="Q4247" s="11" t="n">
        <x:v>0</x:v>
      </x:c>
      <x:c r="R4247" s="8" t="n">
        <x:v>45613</x:v>
      </x:c>
      <x:c r="S4247" s="4" t="str">
        <x:v>Retained</x:v>
      </x:c>
      <x:c r="T4247" s="10" t="n">
        <x:v>0.305556</x:v>
      </x:c>
      <x:c r="U4247" s="4" t="str">
        <x:v>Test</x:v>
      </x:c>
    </x:row>
    <x:row r="4248" ht="34" customHeight="1">
      <x:c r="A4248" s="4" t="str">
        <x:v>RS-04247</x:v>
      </x:c>
      <x:c r="B4248" s="8" t="n">
        <x:v>45554</x:v>
      </x:c>
      <x:c r="C4248" s="4" t="str">
        <x:v>PRJ-007</x:v>
      </x:c>
      <x:c r="D4248" s="4" t="str">
        <x:v>Apartment</x:v>
      </x:c>
      <x:c r="E4248" s="4" t="str">
        <x:v>Booked</x:v>
      </x:c>
      <x:c r="F4248" s="4" t="str">
        <x:v>CUS-04247</x:v>
      </x:c>
      <x:c r="G4248" s="4" t="str">
        <x:v>UNIT-04247</x:v>
      </x:c>
      <x:c r="H4248" s="9" t="n">
        <x:v>9400000</x:v>
      </x:c>
      <x:c r="I4248" s="10" t="n">
        <x:v>0.12</x:v>
      </x:c>
      <x:c r="J4248" s="11" t="n">
        <x:v>6</x:v>
      </x:c>
      <x:c r="K4248" s="11" t="n">
        <x:v>9</x:v>
      </x:c>
      <x:c r="L4248" s="11" t="n">
        <x:v>1</x:v>
      </x:c>
      <x:c r="M4248" s="9" t="n">
        <x:f>ROUND(H4248*(1-I4248),2)</x:f>
        <x:v>8272000</x:v>
      </x:c>
      <x:c r="N4248" s="4" t="str">
        <x:v>Sales head</x:v>
      </x:c>
      <x:c r="O4248" s="4" t="str">
        <x:v>BOOK-04247</x:v>
      </x:c>
      <x:c r="P4248" s="9" t="n">
        <x:v>4136000</x:v>
      </x:c>
      <x:c r="Q4248" s="11" t="n">
        <x:v>0</x:v>
      </x:c>
      <x:c r="R4248" s="8" t="n">
        <x:v>45614</x:v>
      </x:c>
      <x:c r="S4248" s="4" t="str">
        <x:v>Retained</x:v>
      </x:c>
      <x:c r="T4248" s="10" t="n">
        <x:v>0.291946</x:v>
      </x:c>
      <x:c r="U4248" s="4" t="str">
        <x:v>Test</x:v>
      </x:c>
    </x:row>
    <x:row r="4249" ht="34" customHeight="1">
      <x:c r="A4249" s="4" t="str">
        <x:v>RS-04248</x:v>
      </x:c>
      <x:c r="B4249" s="8" t="n">
        <x:v>45555</x:v>
      </x:c>
      <x:c r="C4249" s="4" t="str">
        <x:v>PRJ-008</x:v>
      </x:c>
      <x:c r="D4249" s="4" t="str">
        <x:v>Retail</x:v>
      </x:c>
      <x:c r="E4249" s="4" t="str">
        <x:v>Reserved</x:v>
      </x:c>
      <x:c r="F4249" s="4" t="str">
        <x:v>CUS-04248</x:v>
      </x:c>
      <x:c r="G4249" s="4" t="str">
        <x:v>UNIT-04248</x:v>
      </x:c>
      <x:c r="H4249" s="9" t="n">
        <x:v>6900000</x:v>
      </x:c>
      <x:c r="I4249" s="10" t="n">
        <x:v>0.08</x:v>
      </x:c>
      <x:c r="J4249" s="11" t="n">
        <x:v>1</x:v>
      </x:c>
      <x:c r="K4249" s="11" t="n">
        <x:v>3</x:v>
      </x:c>
      <x:c r="L4249" s="11" t="n">
        <x:v>1</x:v>
      </x:c>
      <x:c r="M4249" s="9" t="n">
        <x:f>ROUND(H4249*(1-I4249),2)</x:f>
        <x:v>6348000</x:v>
      </x:c>
      <x:c r="N4249" s="4" t="str">
        <x:v>Sales head</x:v>
      </x:c>
      <x:c r="O4249" s="4"/>
      <x:c r="P4249" s="9" t="n">
        <x:v>0</x:v>
      </x:c>
      <x:c r="Q4249" s="11" t="n">
        <x:v>0</x:v>
      </x:c>
      <x:c r="R4249" s="8" t="n">
        <x:v>45615</x:v>
      </x:c>
      <x:c r="S4249" s="4" t="str">
        <x:v>Retained</x:v>
      </x:c>
      <x:c r="T4249" s="10" t="n">
        <x:v>0.204152</x:v>
      </x:c>
      <x:c r="U4249" s="4" t="str">
        <x:v>Test</x:v>
      </x:c>
    </x:row>
    <x:row r="4250" ht="34" customHeight="1">
      <x:c r="A4250" s="4" t="str">
        <x:v>RS-04249</x:v>
      </x:c>
      <x:c r="B4250" s="8" t="n">
        <x:v>45556</x:v>
      </x:c>
      <x:c r="C4250" s="4" t="str">
        <x:v>PRJ-009</x:v>
      </x:c>
      <x:c r="D4250" s="4" t="str">
        <x:v>Office</x:v>
      </x:c>
      <x:c r="E4250" s="4" t="str">
        <x:v>Cancelled</x:v>
      </x:c>
      <x:c r="F4250" s="4" t="str">
        <x:v>CUS-04249</x:v>
      </x:c>
      <x:c r="G4250" s="4" t="str">
        <x:v>UNIT-04249</x:v>
      </x:c>
      <x:c r="H4250" s="9" t="n">
        <x:v>19400000</x:v>
      </x:c>
      <x:c r="I4250" s="10" t="n">
        <x:v>0.01</x:v>
      </x:c>
      <x:c r="J4250" s="11" t="n">
        <x:v>9</x:v>
      </x:c>
      <x:c r="K4250" s="11" t="n">
        <x:v>2</x:v>
      </x:c>
      <x:c r="L4250" s="11" t="n">
        <x:v>1</x:v>
      </x:c>
      <x:c r="M4250" s="9" t="n">
        <x:f>ROUND(H4250*(1-I4250),2)</x:f>
        <x:v>19206000</x:v>
      </x:c>
      <x:c r="N4250" s="4" t="str">
        <x:v>Sales manager</x:v>
      </x:c>
      <x:c r="O4250" s="4"/>
      <x:c r="P4250" s="9" t="n">
        <x:v>0</x:v>
      </x:c>
      <x:c r="Q4250" s="11" t="n">
        <x:v>1</x:v>
      </x:c>
      <x:c r="R4250" s="8" t="n">
        <x:v>45616</x:v>
      </x:c>
      <x:c r="S4250" s="4" t="str">
        <x:v>Lost / cancelled</x:v>
      </x:c>
      <x:c r="T4250" s="10" t="n">
        <x:v>0.254545</x:v>
      </x:c>
      <x:c r="U4250" s="4" t="str">
        <x:v>Test</x:v>
      </x:c>
    </x:row>
    <x:row r="4251" ht="34" customHeight="1">
      <x:c r="A4251" s="4" t="str">
        <x:v>RS-04250</x:v>
      </x:c>
      <x:c r="B4251" s="8" t="n">
        <x:v>45557</x:v>
      </x:c>
      <x:c r="C4251" s="4" t="str">
        <x:v>PRJ-010</x:v>
      </x:c>
      <x:c r="D4251" s="4" t="str">
        <x:v>Office</x:v>
      </x:c>
      <x:c r="E4251" s="4" t="str">
        <x:v>Agreement signed</x:v>
      </x:c>
      <x:c r="F4251" s="4" t="str">
        <x:v>CUS-04250</x:v>
      </x:c>
      <x:c r="G4251" s="4" t="str">
        <x:v>UNIT-04250</x:v>
      </x:c>
      <x:c r="H4251" s="9" t="n">
        <x:v>23800000</x:v>
      </x:c>
      <x:c r="I4251" s="10" t="n">
        <x:v>0.1</x:v>
      </x:c>
      <x:c r="J4251" s="11" t="n">
        <x:v>10</x:v>
      </x:c>
      <x:c r="K4251" s="11" t="n">
        <x:v>9</x:v>
      </x:c>
      <x:c r="L4251" s="11" t="n">
        <x:v>1</x:v>
      </x:c>
      <x:c r="M4251" s="9" t="n">
        <x:f>ROUND(H4251*(1-I4251),2)</x:f>
        <x:v>21420000</x:v>
      </x:c>
      <x:c r="N4251" s="4" t="str">
        <x:v>Sales head</x:v>
      </x:c>
      <x:c r="O4251" s="4" t="str">
        <x:v>BOOK-04250</x:v>
      </x:c>
      <x:c r="P4251" s="9" t="n">
        <x:v>10710000</x:v>
      </x:c>
      <x:c r="Q4251" s="11" t="n">
        <x:v>0</x:v>
      </x:c>
      <x:c r="R4251" s="8" t="n">
        <x:v>45617</x:v>
      </x:c>
      <x:c r="S4251" s="4" t="str">
        <x:v>Retained</x:v>
      </x:c>
      <x:c r="T4251" s="10" t="n">
        <x:v>0.310195</x:v>
      </x:c>
      <x:c r="U4251" s="4" t="str">
        <x:v>Test</x:v>
      </x:c>
    </x:row>
    <x:row r="4252" ht="34" customHeight="1">
      <x:c r="A4252" s="4" t="str">
        <x:v>RS-04251</x:v>
      </x:c>
      <x:c r="B4252" s="8" t="n">
        <x:v>45558</x:v>
      </x:c>
      <x:c r="C4252" s="4" t="str">
        <x:v>PRJ-011</x:v>
      </x:c>
      <x:c r="D4252" s="4" t="str">
        <x:v>Apartment</x:v>
      </x:c>
      <x:c r="E4252" s="4" t="str">
        <x:v>Agreement signed</x:v>
      </x:c>
      <x:c r="F4252" s="4" t="str">
        <x:v>CUS-04251</x:v>
      </x:c>
      <x:c r="G4252" s="4" t="str">
        <x:v>UNIT-04251</x:v>
      </x:c>
      <x:c r="H4252" s="9" t="n">
        <x:v>24400000</x:v>
      </x:c>
      <x:c r="I4252" s="10" t="n">
        <x:v>0.01</x:v>
      </x:c>
      <x:c r="J4252" s="11" t="n">
        <x:v>8</x:v>
      </x:c>
      <x:c r="K4252" s="11" t="n">
        <x:v>2</x:v>
      </x:c>
      <x:c r="L4252" s="11" t="n">
        <x:v>1</x:v>
      </x:c>
      <x:c r="M4252" s="9" t="n">
        <x:f>ROUND(H4252*(1-I4252),2)</x:f>
        <x:v>24156000</x:v>
      </x:c>
      <x:c r="N4252" s="4" t="str">
        <x:v>Sales manager</x:v>
      </x:c>
      <x:c r="O4252" s="4" t="str">
        <x:v>BOOK-04251</x:v>
      </x:c>
      <x:c r="P4252" s="9" t="n">
        <x:v>2415600</x:v>
      </x:c>
      <x:c r="Q4252" s="11" t="n">
        <x:v>0</x:v>
      </x:c>
      <x:c r="R4252" s="8" t="n">
        <x:v>45618</x:v>
      </x:c>
      <x:c r="S4252" s="4" t="str">
        <x:v>Retained</x:v>
      </x:c>
      <x:c r="T4252" s="10" t="n">
        <x:v>0.254545</x:v>
      </x:c>
      <x:c r="U4252" s="4" t="str">
        <x:v>Test</x:v>
      </x:c>
    </x:row>
    <x:row r="4253" ht="34" customHeight="1">
      <x:c r="A4253" s="4" t="str">
        <x:v>RS-04252</x:v>
      </x:c>
      <x:c r="B4253" s="8" t="n">
        <x:v>45559</x:v>
      </x:c>
      <x:c r="C4253" s="4" t="str">
        <x:v>PRJ-012</x:v>
      </x:c>
      <x:c r="D4253" s="4" t="str">
        <x:v>Office</x:v>
      </x:c>
      <x:c r="E4253" s="4" t="str">
        <x:v>Handed over</x:v>
      </x:c>
      <x:c r="F4253" s="4" t="str">
        <x:v>CUS-04252</x:v>
      </x:c>
      <x:c r="G4253" s="4" t="str">
        <x:v>UNIT-04252</x:v>
      </x:c>
      <x:c r="H4253" s="9" t="n">
        <x:v>17400000</x:v>
      </x:c>
      <x:c r="I4253" s="10" t="n">
        <x:v>0.07</x:v>
      </x:c>
      <x:c r="J4253" s="11" t="n">
        <x:v>8</x:v>
      </x:c>
      <x:c r="K4253" s="11" t="n">
        <x:v>10</x:v>
      </x:c>
      <x:c r="L4253" s="11" t="n">
        <x:v>0</x:v>
      </x:c>
      <x:c r="M4253" s="9" t="n">
        <x:f>ROUND(H4253*(1-I4253),2)</x:f>
        <x:v>16182000</x:v>
      </x:c>
      <x:c r="N4253" s="4" t="str">
        <x:v>Sales manager</x:v>
      </x:c>
      <x:c r="O4253" s="4" t="str">
        <x:v>BOOK-04252</x:v>
      </x:c>
      <x:c r="P4253" s="9" t="n">
        <x:v>4045500</x:v>
      </x:c>
      <x:c r="Q4253" s="11" t="n">
        <x:v>0</x:v>
      </x:c>
      <x:c r="R4253" s="8" t="n">
        <x:v>45619</x:v>
      </x:c>
      <x:c r="S4253" s="4" t="str">
        <x:v>Retained</x:v>
      </x:c>
      <x:c r="T4253" s="10" t="n">
        <x:v>0.310195</x:v>
      </x:c>
      <x:c r="U4253" s="4" t="str">
        <x:v>Test</x:v>
      </x:c>
    </x:row>
    <x:row r="4254" ht="34" customHeight="1">
      <x:c r="A4254" s="4" t="str">
        <x:v>RS-04253</x:v>
      </x:c>
      <x:c r="B4254" s="8" t="n">
        <x:v>45560</x:v>
      </x:c>
      <x:c r="C4254" s="4" t="str">
        <x:v>PRJ-013</x:v>
      </x:c>
      <x:c r="D4254" s="4" t="str">
        <x:v>Retail</x:v>
      </x:c>
      <x:c r="E4254" s="4" t="str">
        <x:v>Cancelled</x:v>
      </x:c>
      <x:c r="F4254" s="4" t="str">
        <x:v>CUS-04253</x:v>
      </x:c>
      <x:c r="G4254" s="4" t="str">
        <x:v>UNIT-04253</x:v>
      </x:c>
      <x:c r="H4254" s="9" t="n">
        <x:v>18500000</x:v>
      </x:c>
      <x:c r="I4254" s="10" t="n">
        <x:v>0.07</x:v>
      </x:c>
      <x:c r="J4254" s="11" t="n">
        <x:v>5</x:v>
      </x:c>
      <x:c r="K4254" s="11" t="n">
        <x:v>9</x:v>
      </x:c>
      <x:c r="L4254" s="11" t="n">
        <x:v>0</x:v>
      </x:c>
      <x:c r="M4254" s="9" t="n">
        <x:f>ROUND(H4254*(1-I4254),2)</x:f>
        <x:v>17205000</x:v>
      </x:c>
      <x:c r="N4254" s="4" t="str">
        <x:v>Sales manager</x:v>
      </x:c>
      <x:c r="O4254" s="4"/>
      <x:c r="P4254" s="9" t="n">
        <x:v>0</x:v>
      </x:c>
      <x:c r="Q4254" s="11" t="n">
        <x:v>1</x:v>
      </x:c>
      <x:c r="R4254" s="8" t="n">
        <x:v>45620</x:v>
      </x:c>
      <x:c r="S4254" s="4" t="str">
        <x:v>Lost / cancelled</x:v>
      </x:c>
      <x:c r="T4254" s="10" t="n">
        <x:v>0.226277</x:v>
      </x:c>
      <x:c r="U4254" s="4" t="str">
        <x:v>Test</x:v>
      </x:c>
    </x:row>
    <x:row r="4255" ht="34" customHeight="1">
      <x:c r="A4255" s="4" t="str">
        <x:v>RS-04254</x:v>
      </x:c>
      <x:c r="B4255" s="8" t="n">
        <x:v>45561</x:v>
      </x:c>
      <x:c r="C4255" s="4" t="str">
        <x:v>PRJ-014</x:v>
      </x:c>
      <x:c r="D4255" s="4" t="str">
        <x:v>Villa</x:v>
      </x:c>
      <x:c r="E4255" s="4" t="str">
        <x:v>Agreement signed</x:v>
      </x:c>
      <x:c r="F4255" s="4" t="str">
        <x:v>CUS-04254</x:v>
      </x:c>
      <x:c r="G4255" s="4" t="str">
        <x:v>UNIT-04254</x:v>
      </x:c>
      <x:c r="H4255" s="9" t="n">
        <x:v>24400000</x:v>
      </x:c>
      <x:c r="I4255" s="10" t="n">
        <x:v>0.1</x:v>
      </x:c>
      <x:c r="J4255" s="11" t="n">
        <x:v>9</x:v>
      </x:c>
      <x:c r="K4255" s="11" t="n">
        <x:v>7</x:v>
      </x:c>
      <x:c r="L4255" s="11" t="n">
        <x:v>1</x:v>
      </x:c>
      <x:c r="M4255" s="9" t="n">
        <x:f>ROUND(H4255*(1-I4255),2)</x:f>
        <x:v>21960000</x:v>
      </x:c>
      <x:c r="N4255" s="4" t="str">
        <x:v>Sales head</x:v>
      </x:c>
      <x:c r="O4255" s="4" t="str">
        <x:v>BOOK-04254</x:v>
      </x:c>
      <x:c r="P4255" s="9" t="n">
        <x:v>10980000</x:v>
      </x:c>
      <x:c r="Q4255" s="11" t="n">
        <x:v>0</x:v>
      </x:c>
      <x:c r="R4255" s="8" t="n">
        <x:v>45621</x:v>
      </x:c>
      <x:c r="S4255" s="4" t="str">
        <x:v>Retained</x:v>
      </x:c>
      <x:c r="T4255" s="10" t="n">
        <x:v>0.310195</x:v>
      </x:c>
      <x:c r="U4255" s="4" t="str">
        <x:v>Test</x:v>
      </x:c>
    </x:row>
    <x:row r="4256" ht="34" customHeight="1">
      <x:c r="A4256" s="4" t="str">
        <x:v>RS-04255</x:v>
      </x:c>
      <x:c r="B4256" s="8" t="n">
        <x:v>45562</x:v>
      </x:c>
      <x:c r="C4256" s="4" t="str">
        <x:v>PRJ-015</x:v>
      </x:c>
      <x:c r="D4256" s="4" t="str">
        <x:v>Apartment</x:v>
      </x:c>
      <x:c r="E4256" s="4" t="str">
        <x:v>Booked</x:v>
      </x:c>
      <x:c r="F4256" s="4" t="str">
        <x:v>CUS-04255</x:v>
      </x:c>
      <x:c r="G4256" s="4" t="str">
        <x:v>UNIT-04255</x:v>
      </x:c>
      <x:c r="H4256" s="9" t="n">
        <x:v>22400000</x:v>
      </x:c>
      <x:c r="I4256" s="10" t="n">
        <x:v>0.03</x:v>
      </x:c>
      <x:c r="J4256" s="11" t="n">
        <x:v>6</x:v>
      </x:c>
      <x:c r="K4256" s="11" t="n">
        <x:v>2</x:v>
      </x:c>
      <x:c r="L4256" s="11" t="n">
        <x:v>1</x:v>
      </x:c>
      <x:c r="M4256" s="9" t="n">
        <x:f>ROUND(H4256*(1-I4256),2)</x:f>
        <x:v>21728000</x:v>
      </x:c>
      <x:c r="N4256" s="4" t="str">
        <x:v>Sales manager</x:v>
      </x:c>
      <x:c r="O4256" s="4" t="str">
        <x:v>BOOK-04255</x:v>
      </x:c>
      <x:c r="P4256" s="9" t="n">
        <x:v>2172800</x:v>
      </x:c>
      <x:c r="Q4256" s="11" t="n">
        <x:v>0</x:v>
      </x:c>
      <x:c r="R4256" s="8" t="n">
        <x:v>45622</x:v>
      </x:c>
      <x:c r="S4256" s="4" t="str">
        <x:v>Retained</x:v>
      </x:c>
      <x:c r="T4256" s="10" t="n">
        <x:v>0.298969</x:v>
      </x:c>
      <x:c r="U4256" s="4" t="str">
        <x:v>Test</x:v>
      </x:c>
    </x:row>
    <x:row r="4257" ht="34" customHeight="1">
      <x:c r="A4257" s="4" t="str">
        <x:v>RS-04256</x:v>
      </x:c>
      <x:c r="B4257" s="8" t="n">
        <x:v>45563</x:v>
      </x:c>
      <x:c r="C4257" s="4" t="str">
        <x:v>PRJ-016</x:v>
      </x:c>
      <x:c r="D4257" s="4" t="str">
        <x:v>Villa</x:v>
      </x:c>
      <x:c r="E4257" s="4" t="str">
        <x:v>Reserved</x:v>
      </x:c>
      <x:c r="F4257" s="4" t="str">
        <x:v>CUS-04256</x:v>
      </x:c>
      <x:c r="G4257" s="4" t="str">
        <x:v>UNIT-04256</x:v>
      </x:c>
      <x:c r="H4257" s="9" t="n">
        <x:v>15900000</x:v>
      </x:c>
      <x:c r="I4257" s="10" t="n">
        <x:v>0.07</x:v>
      </x:c>
      <x:c r="J4257" s="11" t="n">
        <x:v>0</x:v>
      </x:c>
      <x:c r="K4257" s="11" t="n">
        <x:v>2</x:v>
      </x:c>
      <x:c r="L4257" s="11" t="n">
        <x:v>1</x:v>
      </x:c>
      <x:c r="M4257" s="9" t="n">
        <x:f>ROUND(H4257*(1-I4257),2)</x:f>
        <x:v>14787000</x:v>
      </x:c>
      <x:c r="N4257" s="4" t="str">
        <x:v>Sales manager</x:v>
      </x:c>
      <x:c r="O4257" s="4"/>
      <x:c r="P4257" s="9" t="n">
        <x:v>0</x:v>
      </x:c>
      <x:c r="Q4257" s="11" t="n">
        <x:v>0</x:v>
      </x:c>
      <x:c r="R4257" s="8" t="n">
        <x:v>45623</x:v>
      </x:c>
      <x:c r="S4257" s="4" t="str">
        <x:v>Retained</x:v>
      </x:c>
      <x:c r="T4257" s="10" t="n">
        <x:v>0.204152</x:v>
      </x:c>
      <x:c r="U4257" s="4" t="str">
        <x:v>Test</x:v>
      </x:c>
    </x:row>
    <x:row r="4258" ht="34" customHeight="1">
      <x:c r="A4258" s="4" t="str">
        <x:v>RS-04257</x:v>
      </x:c>
      <x:c r="B4258" s="8" t="n">
        <x:v>45536</x:v>
      </x:c>
      <x:c r="C4258" s="4" t="str">
        <x:v>PRJ-017</x:v>
      </x:c>
      <x:c r="D4258" s="4" t="str">
        <x:v>Apartment</x:v>
      </x:c>
      <x:c r="E4258" s="4" t="str">
        <x:v>Booked</x:v>
      </x:c>
      <x:c r="F4258" s="4" t="str">
        <x:v>CUS-04257</x:v>
      </x:c>
      <x:c r="G4258" s="4" t="str">
        <x:v>UNIT-04257</x:v>
      </x:c>
      <x:c r="H4258" s="9" t="n">
        <x:v>10900000</x:v>
      </x:c>
      <x:c r="I4258" s="10" t="n">
        <x:v>0.1</x:v>
      </x:c>
      <x:c r="J4258" s="11" t="n">
        <x:v>2</x:v>
      </x:c>
      <x:c r="K4258" s="11" t="n">
        <x:v>7</x:v>
      </x:c>
      <x:c r="L4258" s="11" t="n">
        <x:v>0</x:v>
      </x:c>
      <x:c r="M4258" s="9" t="n">
        <x:f>ROUND(H4258*(1-I4258),2)</x:f>
        <x:v>9810000</x:v>
      </x:c>
      <x:c r="N4258" s="4" t="str">
        <x:v>Sales head</x:v>
      </x:c>
      <x:c r="O4258" s="4" t="str">
        <x:v>BOOK-04257</x:v>
      </x:c>
      <x:c r="P4258" s="9" t="n">
        <x:v>2452500</x:v>
      </x:c>
      <x:c r="Q4258" s="11" t="n">
        <x:v>0</x:v>
      </x:c>
      <x:c r="R4258" s="8" t="n">
        <x:v>45596</x:v>
      </x:c>
      <x:c r="S4258" s="4" t="str">
        <x:v>Retained</x:v>
      </x:c>
      <x:c r="T4258" s="10" t="n">
        <x:v>0.145833</x:v>
      </x:c>
      <x:c r="U4258" s="4" t="str">
        <x:v>Test</x:v>
      </x:c>
    </x:row>
    <x:row r="4259" ht="34" customHeight="1">
      <x:c r="A4259" s="4" t="str">
        <x:v>RS-04258</x:v>
      </x:c>
      <x:c r="B4259" s="8" t="n">
        <x:v>45537</x:v>
      </x:c>
      <x:c r="C4259" s="4" t="str">
        <x:v>PRJ-018</x:v>
      </x:c>
      <x:c r="D4259" s="4" t="str">
        <x:v>Office</x:v>
      </x:c>
      <x:c r="E4259" s="4" t="str">
        <x:v>Booked</x:v>
      </x:c>
      <x:c r="F4259" s="4" t="str">
        <x:v>CUS-04258</x:v>
      </x:c>
      <x:c r="G4259" s="4" t="str">
        <x:v>UNIT-04258</x:v>
      </x:c>
      <x:c r="H4259" s="9" t="n">
        <x:v>15800000</x:v>
      </x:c>
      <x:c r="I4259" s="10" t="n">
        <x:v>0.08</x:v>
      </x:c>
      <x:c r="J4259" s="11" t="n">
        <x:v>4</x:v>
      </x:c>
      <x:c r="K4259" s="11" t="n">
        <x:v>5</x:v>
      </x:c>
      <x:c r="L4259" s="11" t="n">
        <x:v>1</x:v>
      </x:c>
      <x:c r="M4259" s="9" t="n">
        <x:f>ROUND(H4259*(1-I4259),2)</x:f>
        <x:v>14536000</x:v>
      </x:c>
      <x:c r="N4259" s="4" t="str">
        <x:v>Sales head</x:v>
      </x:c>
      <x:c r="O4259" s="4" t="str">
        <x:v>BOOK-04258</x:v>
      </x:c>
      <x:c r="P4259" s="9" t="n">
        <x:v>1453600</x:v>
      </x:c>
      <x:c r="Q4259" s="11" t="n">
        <x:v>0</x:v>
      </x:c>
      <x:c r="R4259" s="8" t="n">
        <x:v>45597</x:v>
      </x:c>
      <x:c r="S4259" s="4" t="str">
        <x:v>Retained</x:v>
      </x:c>
      <x:c r="T4259" s="10" t="n">
        <x:v>0.291946</x:v>
      </x:c>
      <x:c r="U4259" s="4" t="str">
        <x:v>Test</x:v>
      </x:c>
    </x:row>
    <x:row r="4260" ht="34" customHeight="1">
      <x:c r="A4260" s="4" t="str">
        <x:v>RS-04259</x:v>
      </x:c>
      <x:c r="B4260" s="8" t="n">
        <x:v>45538</x:v>
      </x:c>
      <x:c r="C4260" s="4" t="str">
        <x:v>PRJ-019</x:v>
      </x:c>
      <x:c r="D4260" s="4" t="str">
        <x:v>Retail</x:v>
      </x:c>
      <x:c r="E4260" s="4" t="str">
        <x:v>Handed over</x:v>
      </x:c>
      <x:c r="F4260" s="4" t="str">
        <x:v>CUS-04259</x:v>
      </x:c>
      <x:c r="G4260" s="4" t="str">
        <x:v>UNIT-04259</x:v>
      </x:c>
      <x:c r="H4260" s="9" t="n">
        <x:v>14100000</x:v>
      </x:c>
      <x:c r="I4260" s="10" t="n">
        <x:v>0.03</x:v>
      </x:c>
      <x:c r="J4260" s="11" t="n">
        <x:v>4</x:v>
      </x:c>
      <x:c r="K4260" s="11" t="n">
        <x:v>4</x:v>
      </x:c>
      <x:c r="L4260" s="11" t="n">
        <x:v>0</x:v>
      </x:c>
      <x:c r="M4260" s="9" t="n">
        <x:f>ROUND(H4260*(1-I4260),2)</x:f>
        <x:v>13677000</x:v>
      </x:c>
      <x:c r="N4260" s="4" t="str">
        <x:v>Sales manager</x:v>
      </x:c>
      <x:c r="O4260" s="4" t="str">
        <x:v>BOOK-04259</x:v>
      </x:c>
      <x:c r="P4260" s="9" t="n">
        <x:v>13677000</x:v>
      </x:c>
      <x:c r="Q4260" s="11" t="n">
        <x:v>0</x:v>
      </x:c>
      <x:c r="R4260" s="8" t="n">
        <x:v>45598</x:v>
      </x:c>
      <x:c r="S4260" s="4" t="str">
        <x:v>Retained</x:v>
      </x:c>
      <x:c r="T4260" s="10" t="n">
        <x:v>0.298969</x:v>
      </x:c>
      <x:c r="U4260" s="4" t="str">
        <x:v>Test</x:v>
      </x:c>
    </x:row>
    <x:row r="4261" ht="34" customHeight="1">
      <x:c r="A4261" s="4" t="str">
        <x:v>RS-04260</x:v>
      </x:c>
      <x:c r="B4261" s="8" t="n">
        <x:v>45539</x:v>
      </x:c>
      <x:c r="C4261" s="4" t="str">
        <x:v>PRJ-020</x:v>
      </x:c>
      <x:c r="D4261" s="4" t="str">
        <x:v>Villa</x:v>
      </x:c>
      <x:c r="E4261" s="4" t="str">
        <x:v>Enquiry</x:v>
      </x:c>
      <x:c r="F4261" s="4" t="str">
        <x:v>CUS-04260</x:v>
      </x:c>
      <x:c r="G4261" s="4" t="str">
        <x:v>UNIT-04260</x:v>
      </x:c>
      <x:c r="H4261" s="9" t="n">
        <x:v>21700000</x:v>
      </x:c>
      <x:c r="I4261" s="10" t="n">
        <x:v>0.09</x:v>
      </x:c>
      <x:c r="J4261" s="11" t="n">
        <x:v>4</x:v>
      </x:c>
      <x:c r="K4261" s="11" t="n">
        <x:v>7</x:v>
      </x:c>
      <x:c r="L4261" s="11" t="n">
        <x:v>1</x:v>
      </x:c>
      <x:c r="M4261" s="9" t="n">
        <x:f>ROUND(H4261*(1-I4261),2)</x:f>
        <x:v>19747000</x:v>
      </x:c>
      <x:c r="N4261" s="4" t="str">
        <x:v>Sales head</x:v>
      </x:c>
      <x:c r="O4261" s="4"/>
      <x:c r="P4261" s="9" t="n">
        <x:v>0</x:v>
      </x:c>
      <x:c r="Q4261" s="11" t="n">
        <x:v>1</x:v>
      </x:c>
      <x:c r="R4261" s="8" t="n">
        <x:v>45599</x:v>
      </x:c>
      <x:c r="S4261" s="4" t="str">
        <x:v>Lost / cancelled</x:v>
      </x:c>
      <x:c r="T4261" s="10" t="n">
        <x:v>0.291946</x:v>
      </x:c>
      <x:c r="U4261" s="4" t="str">
        <x:v>Test</x:v>
      </x:c>
    </x:row>
    <x:row r="4262" ht="34" customHeight="1">
      <x:c r="A4262" s="4" t="str">
        <x:v>RS-04261</x:v>
      </x:c>
      <x:c r="B4262" s="8" t="n">
        <x:v>45540</x:v>
      </x:c>
      <x:c r="C4262" s="4" t="str">
        <x:v>PRJ-001</x:v>
      </x:c>
      <x:c r="D4262" s="4" t="str">
        <x:v>Villa</x:v>
      </x:c>
      <x:c r="E4262" s="4" t="str">
        <x:v>Agreement signed</x:v>
      </x:c>
      <x:c r="F4262" s="4" t="str">
        <x:v>CUS-04261</x:v>
      </x:c>
      <x:c r="G4262" s="4" t="str">
        <x:v>UNIT-04261</x:v>
      </x:c>
      <x:c r="H4262" s="9" t="n">
        <x:v>24300000</x:v>
      </x:c>
      <x:c r="I4262" s="10" t="n">
        <x:v>0.01</x:v>
      </x:c>
      <x:c r="J4262" s="11" t="n">
        <x:v>3</x:v>
      </x:c>
      <x:c r="K4262" s="11" t="n">
        <x:v>3</x:v>
      </x:c>
      <x:c r="L4262" s="11" t="n">
        <x:v>1</x:v>
      </x:c>
      <x:c r="M4262" s="9" t="n">
        <x:f>ROUND(H4262*(1-I4262),2)</x:f>
        <x:v>24057000</x:v>
      </x:c>
      <x:c r="N4262" s="4" t="str">
        <x:v>Sales manager</x:v>
      </x:c>
      <x:c r="O4262" s="4" t="str">
        <x:v>BOOK-04261</x:v>
      </x:c>
      <x:c r="P4262" s="9" t="n">
        <x:v>12028500</x:v>
      </x:c>
      <x:c r="Q4262" s="11" t="n">
        <x:v>0</x:v>
      </x:c>
      <x:c r="R4262" s="8" t="n">
        <x:v>45600</x:v>
      </x:c>
      <x:c r="S4262" s="4" t="str">
        <x:v>Retained</x:v>
      </x:c>
      <x:c r="T4262" s="10" t="n">
        <x:v>0.171717</x:v>
      </x:c>
      <x:c r="U4262" s="4" t="str">
        <x:v>Test</x:v>
      </x:c>
    </x:row>
    <x:row r="4263" ht="34" customHeight="1">
      <x:c r="A4263" s="4" t="str">
        <x:v>RS-04262</x:v>
      </x:c>
      <x:c r="B4263" s="8" t="n">
        <x:v>45541</x:v>
      </x:c>
      <x:c r="C4263" s="4" t="str">
        <x:v>PRJ-002</x:v>
      </x:c>
      <x:c r="D4263" s="4" t="str">
        <x:v>Villa</x:v>
      </x:c>
      <x:c r="E4263" s="4" t="str">
        <x:v>Booked</x:v>
      </x:c>
      <x:c r="F4263" s="4" t="str">
        <x:v>CUS-04262</x:v>
      </x:c>
      <x:c r="G4263" s="4" t="str">
        <x:v>UNIT-04262</x:v>
      </x:c>
      <x:c r="H4263" s="9" t="n">
        <x:v>3800000</x:v>
      </x:c>
      <x:c r="I4263" s="10" t="n">
        <x:v>0.05</x:v>
      </x:c>
      <x:c r="J4263" s="11" t="n">
        <x:v>3</x:v>
      </x:c>
      <x:c r="K4263" s="11" t="n">
        <x:v>3</x:v>
      </x:c>
      <x:c r="L4263" s="11" t="n">
        <x:v>0</x:v>
      </x:c>
      <x:c r="M4263" s="9" t="n">
        <x:f>ROUND(H4263*(1-I4263),2)</x:f>
        <x:v>3610000</x:v>
      </x:c>
      <x:c r="N4263" s="4" t="str">
        <x:v>Sales manager</x:v>
      </x:c>
      <x:c r="O4263" s="4" t="str">
        <x:v>BOOK-04262</x:v>
      </x:c>
      <x:c r="P4263" s="9" t="n">
        <x:v>361000</x:v>
      </x:c>
      <x:c r="Q4263" s="11" t="n">
        <x:v>0</x:v>
      </x:c>
      <x:c r="R4263" s="8" t="n">
        <x:v>45601</x:v>
      </x:c>
      <x:c r="S4263" s="4" t="str">
        <x:v>Retained</x:v>
      </x:c>
      <x:c r="T4263" s="10" t="n">
        <x:v>0.204152</x:v>
      </x:c>
      <x:c r="U4263" s="4" t="str">
        <x:v>Test</x:v>
      </x:c>
    </x:row>
    <x:row r="4264" ht="34" customHeight="1">
      <x:c r="A4264" s="4" t="str">
        <x:v>RS-04263</x:v>
      </x:c>
      <x:c r="B4264" s="8" t="n">
        <x:v>45542</x:v>
      </x:c>
      <x:c r="C4264" s="4" t="str">
        <x:v>PRJ-003</x:v>
      </x:c>
      <x:c r="D4264" s="4" t="str">
        <x:v>Apartment</x:v>
      </x:c>
      <x:c r="E4264" s="4" t="str">
        <x:v>Agreement signed</x:v>
      </x:c>
      <x:c r="F4264" s="4" t="str">
        <x:v>CUS-04263</x:v>
      </x:c>
      <x:c r="G4264" s="4" t="str">
        <x:v>UNIT-04263</x:v>
      </x:c>
      <x:c r="H4264" s="9" t="n">
        <x:v>16700000</x:v>
      </x:c>
      <x:c r="I4264" s="10" t="n">
        <x:v>0.1</x:v>
      </x:c>
      <x:c r="J4264" s="11" t="n">
        <x:v>5</x:v>
      </x:c>
      <x:c r="K4264" s="11" t="n">
        <x:v>10</x:v>
      </x:c>
      <x:c r="L4264" s="11" t="n">
        <x:v>0</x:v>
      </x:c>
      <x:c r="M4264" s="9" t="n">
        <x:f>ROUND(H4264*(1-I4264),2)</x:f>
        <x:v>15030000</x:v>
      </x:c>
      <x:c r="N4264" s="4" t="str">
        <x:v>Sales head</x:v>
      </x:c>
      <x:c r="O4264" s="4" t="str">
        <x:v>BOOK-04263</x:v>
      </x:c>
      <x:c r="P4264" s="9" t="n">
        <x:v>7515000</x:v>
      </x:c>
      <x:c r="Q4264" s="11" t="n">
        <x:v>0</x:v>
      </x:c>
      <x:c r="R4264" s="8" t="n">
        <x:v>45602</x:v>
      </x:c>
      <x:c r="S4264" s="4" t="str">
        <x:v>Retained</x:v>
      </x:c>
      <x:c r="T4264" s="10" t="n">
        <x:v>0.226277</x:v>
      </x:c>
      <x:c r="U4264" s="4" t="str">
        <x:v>Test</x:v>
      </x:c>
    </x:row>
    <x:row r="4265" ht="34" customHeight="1">
      <x:c r="A4265" s="4" t="str">
        <x:v>RS-04264</x:v>
      </x:c>
      <x:c r="B4265" s="8" t="n">
        <x:v>45543</x:v>
      </x:c>
      <x:c r="C4265" s="4" t="str">
        <x:v>PRJ-004</x:v>
      </x:c>
      <x:c r="D4265" s="4" t="str">
        <x:v>Office</x:v>
      </x:c>
      <x:c r="E4265" s="4" t="str">
        <x:v>Booked</x:v>
      </x:c>
      <x:c r="F4265" s="4" t="str">
        <x:v>CUS-04264</x:v>
      </x:c>
      <x:c r="G4265" s="4" t="str">
        <x:v>UNIT-04264</x:v>
      </x:c>
      <x:c r="H4265" s="9" t="n">
        <x:v>19900000</x:v>
      </x:c>
      <x:c r="I4265" s="10" t="n">
        <x:v>0.11</x:v>
      </x:c>
      <x:c r="J4265" s="11" t="n">
        <x:v>9</x:v>
      </x:c>
      <x:c r="K4265" s="11" t="n">
        <x:v>8</x:v>
      </x:c>
      <x:c r="L4265" s="11" t="n">
        <x:v>1</x:v>
      </x:c>
      <x:c r="M4265" s="9" t="n">
        <x:f>ROUND(H4265*(1-I4265),2)</x:f>
        <x:v>17711000</x:v>
      </x:c>
      <x:c r="N4265" s="4" t="str">
        <x:v>Sales head</x:v>
      </x:c>
      <x:c r="O4265" s="4" t="str">
        <x:v>BOOK-04264</x:v>
      </x:c>
      <x:c r="P4265" s="9" t="n">
        <x:v>1771100</x:v>
      </x:c>
      <x:c r="Q4265" s="11" t="n">
        <x:v>0</x:v>
      </x:c>
      <x:c r="R4265" s="8" t="n">
        <x:v>45603</x:v>
      </x:c>
      <x:c r="S4265" s="4" t="str">
        <x:v>Retained</x:v>
      </x:c>
      <x:c r="T4265" s="10" t="n">
        <x:v>0.310195</x:v>
      </x:c>
      <x:c r="U4265" s="4" t="str">
        <x:v>Test</x:v>
      </x:c>
    </x:row>
    <x:row r="4266" ht="34" customHeight="1">
      <x:c r="A4266" s="4" t="str">
        <x:v>RS-04265</x:v>
      </x:c>
      <x:c r="B4266" s="8" t="n">
        <x:v>45544</x:v>
      </x:c>
      <x:c r="C4266" s="4" t="str">
        <x:v>PRJ-005</x:v>
      </x:c>
      <x:c r="D4266" s="4" t="str">
        <x:v>Office</x:v>
      </x:c>
      <x:c r="E4266" s="4" t="str">
        <x:v>Enquiry</x:v>
      </x:c>
      <x:c r="F4266" s="4" t="str">
        <x:v>CUS-04265</x:v>
      </x:c>
      <x:c r="G4266" s="4" t="str">
        <x:v>UNIT-04265</x:v>
      </x:c>
      <x:c r="H4266" s="9" t="n">
        <x:v>24000000</x:v>
      </x:c>
      <x:c r="I4266" s="10" t="n">
        <x:v>0.09</x:v>
      </x:c>
      <x:c r="J4266" s="11" t="n">
        <x:v>5</x:v>
      </x:c>
      <x:c r="K4266" s="11" t="n">
        <x:v>6</x:v>
      </x:c>
      <x:c r="L4266" s="11" t="n">
        <x:v>1</x:v>
      </x:c>
      <x:c r="M4266" s="9" t="n">
        <x:f>ROUND(H4266*(1-I4266),2)</x:f>
        <x:v>21840000</x:v>
      </x:c>
      <x:c r="N4266" s="4" t="str">
        <x:v>Sales head</x:v>
      </x:c>
      <x:c r="O4266" s="4"/>
      <x:c r="P4266" s="9" t="n">
        <x:v>0</x:v>
      </x:c>
      <x:c r="Q4266" s="11" t="n">
        <x:v>0</x:v>
      </x:c>
      <x:c r="R4266" s="8" t="n">
        <x:v>45604</x:v>
      </x:c>
      <x:c r="S4266" s="4" t="str">
        <x:v>Retained</x:v>
      </x:c>
      <x:c r="T4266" s="10" t="n">
        <x:v>0.291946</x:v>
      </x:c>
      <x:c r="U4266" s="4" t="str">
        <x:v>Test</x:v>
      </x:c>
    </x:row>
    <x:row r="4267" ht="34" customHeight="1">
      <x:c r="A4267" s="4" t="str">
        <x:v>RS-04266</x:v>
      </x:c>
      <x:c r="B4267" s="8" t="n">
        <x:v>45545</x:v>
      </x:c>
      <x:c r="C4267" s="4" t="str">
        <x:v>PRJ-006</x:v>
      </x:c>
      <x:c r="D4267" s="4" t="str">
        <x:v>Villa</x:v>
      </x:c>
      <x:c r="E4267" s="4" t="str">
        <x:v>Handed over</x:v>
      </x:c>
      <x:c r="F4267" s="4" t="str">
        <x:v>CUS-04266</x:v>
      </x:c>
      <x:c r="G4267" s="4" t="str">
        <x:v>UNIT-04266</x:v>
      </x:c>
      <x:c r="H4267" s="9" t="n">
        <x:v>10600000</x:v>
      </x:c>
      <x:c r="I4267" s="10" t="n">
        <x:v>0.03</x:v>
      </x:c>
      <x:c r="J4267" s="11" t="n">
        <x:v>6</x:v>
      </x:c>
      <x:c r="K4267" s="11" t="n">
        <x:v>2</x:v>
      </x:c>
      <x:c r="L4267" s="11" t="n">
        <x:v>1</x:v>
      </x:c>
      <x:c r="M4267" s="9" t="n">
        <x:f>ROUND(H4267*(1-I4267),2)</x:f>
        <x:v>10282000</x:v>
      </x:c>
      <x:c r="N4267" s="4" t="str">
        <x:v>Sales manager</x:v>
      </x:c>
      <x:c r="O4267" s="4" t="str">
        <x:v>BOOK-04266</x:v>
      </x:c>
      <x:c r="P4267" s="9" t="n">
        <x:v>5141000</x:v>
      </x:c>
      <x:c r="Q4267" s="11" t="n">
        <x:v>0</x:v>
      </x:c>
      <x:c r="R4267" s="8" t="n">
        <x:v>45605</x:v>
      </x:c>
      <x:c r="S4267" s="4" t="str">
        <x:v>Retained</x:v>
      </x:c>
      <x:c r="T4267" s="10" t="n">
        <x:v>0.298969</x:v>
      </x:c>
      <x:c r="U4267" s="4" t="str">
        <x:v>Test</x:v>
      </x:c>
    </x:row>
    <x:row r="4268" ht="34" customHeight="1">
      <x:c r="A4268" s="4" t="str">
        <x:v>RS-04267</x:v>
      </x:c>
      <x:c r="B4268" s="8" t="n">
        <x:v>45546</x:v>
      </x:c>
      <x:c r="C4268" s="4" t="str">
        <x:v>PRJ-007</x:v>
      </x:c>
      <x:c r="D4268" s="4" t="str">
        <x:v>Villa</x:v>
      </x:c>
      <x:c r="E4268" s="4" t="str">
        <x:v>Enquiry</x:v>
      </x:c>
      <x:c r="F4268" s="4" t="str">
        <x:v>CUS-04267</x:v>
      </x:c>
      <x:c r="G4268" s="4" t="str">
        <x:v>UNIT-04267</x:v>
      </x:c>
      <x:c r="H4268" s="9" t="n">
        <x:v>20400000</x:v>
      </x:c>
      <x:c r="I4268" s="10" t="n">
        <x:v>0.07</x:v>
      </x:c>
      <x:c r="J4268" s="11" t="n">
        <x:v>1</x:v>
      </x:c>
      <x:c r="K4268" s="11" t="n">
        <x:v>4</x:v>
      </x:c>
      <x:c r="L4268" s="11" t="n">
        <x:v>1</x:v>
      </x:c>
      <x:c r="M4268" s="9" t="n">
        <x:f>ROUND(H4268*(1-I4268),2)</x:f>
        <x:v>18972000</x:v>
      </x:c>
      <x:c r="N4268" s="4" t="str">
        <x:v>Sales manager</x:v>
      </x:c>
      <x:c r="O4268" s="4"/>
      <x:c r="P4268" s="9" t="n">
        <x:v>0</x:v>
      </x:c>
      <x:c r="Q4268" s="11" t="n">
        <x:v>0</x:v>
      </x:c>
      <x:c r="R4268" s="8" t="n">
        <x:v>45606</x:v>
      </x:c>
      <x:c r="S4268" s="4" t="str">
        <x:v>Retained</x:v>
      </x:c>
      <x:c r="T4268" s="10" t="n">
        <x:v>0.204152</x:v>
      </x:c>
      <x:c r="U4268" s="4" t="str">
        <x:v>Test</x:v>
      </x:c>
    </x:row>
    <x:row r="4269" ht="34" customHeight="1">
      <x:c r="A4269" s="4" t="str">
        <x:v>RS-04268</x:v>
      </x:c>
      <x:c r="B4269" s="8" t="n">
        <x:v>45547</x:v>
      </x:c>
      <x:c r="C4269" s="4" t="str">
        <x:v>PRJ-008</x:v>
      </x:c>
      <x:c r="D4269" s="4" t="str">
        <x:v>Office</x:v>
      </x:c>
      <x:c r="E4269" s="4" t="str">
        <x:v>Booked</x:v>
      </x:c>
      <x:c r="F4269" s="4" t="str">
        <x:v>CUS-04268</x:v>
      </x:c>
      <x:c r="G4269" s="4" t="str">
        <x:v>UNIT-04268</x:v>
      </x:c>
      <x:c r="H4269" s="9" t="n">
        <x:v>23900000</x:v>
      </x:c>
      <x:c r="I4269" s="10" t="n">
        <x:v>0.1</x:v>
      </x:c>
      <x:c r="J4269" s="11" t="n">
        <x:v>6</x:v>
      </x:c>
      <x:c r="K4269" s="11" t="n">
        <x:v>10</x:v>
      </x:c>
      <x:c r="L4269" s="11" t="n">
        <x:v>1</x:v>
      </x:c>
      <x:c r="M4269" s="9" t="n">
        <x:f>ROUND(H4269*(1-I4269),2)</x:f>
        <x:v>21510000</x:v>
      </x:c>
      <x:c r="N4269" s="4" t="str">
        <x:v>Sales head</x:v>
      </x:c>
      <x:c r="O4269" s="4" t="str">
        <x:v>BOOK-04268</x:v>
      </x:c>
      <x:c r="P4269" s="9" t="n">
        <x:v>2151000</x:v>
      </x:c>
      <x:c r="Q4269" s="11" t="n">
        <x:v>0</x:v>
      </x:c>
      <x:c r="R4269" s="8" t="n">
        <x:v>45607</x:v>
      </x:c>
      <x:c r="S4269" s="4" t="str">
        <x:v>Retained</x:v>
      </x:c>
      <x:c r="T4269" s="10" t="n">
        <x:v>0.291946</x:v>
      </x:c>
      <x:c r="U4269" s="4" t="str">
        <x:v>Test</x:v>
      </x:c>
    </x:row>
    <x:row r="4270" ht="34" customHeight="1">
      <x:c r="A4270" s="4" t="str">
        <x:v>RS-04269</x:v>
      </x:c>
      <x:c r="B4270" s="8" t="n">
        <x:v>45548</x:v>
      </x:c>
      <x:c r="C4270" s="4" t="str">
        <x:v>PRJ-009</x:v>
      </x:c>
      <x:c r="D4270" s="4" t="str">
        <x:v>Office</x:v>
      </x:c>
      <x:c r="E4270" s="4" t="str">
        <x:v>Cancelled</x:v>
      </x:c>
      <x:c r="F4270" s="4" t="str">
        <x:v>CUS-04269</x:v>
      </x:c>
      <x:c r="G4270" s="4" t="str">
        <x:v>UNIT-04269</x:v>
      </x:c>
      <x:c r="H4270" s="9" t="n">
        <x:v>14100000</x:v>
      </x:c>
      <x:c r="I4270" s="10" t="n">
        <x:v>0.03</x:v>
      </x:c>
      <x:c r="J4270" s="11" t="n">
        <x:v>2</x:v>
      </x:c>
      <x:c r="K4270" s="11" t="n">
        <x:v>5</x:v>
      </x:c>
      <x:c r="L4270" s="11" t="n">
        <x:v>1</x:v>
      </x:c>
      <x:c r="M4270" s="9" t="n">
        <x:f>ROUND(H4270*(1-I4270),2)</x:f>
        <x:v>13677000</x:v>
      </x:c>
      <x:c r="N4270" s="4" t="str">
        <x:v>Sales manager</x:v>
      </x:c>
      <x:c r="O4270" s="4"/>
      <x:c r="P4270" s="9" t="n">
        <x:v>0</x:v>
      </x:c>
      <x:c r="Q4270" s="11" t="n">
        <x:v>1</x:v>
      </x:c>
      <x:c r="R4270" s="8" t="n">
        <x:v>45608</x:v>
      </x:c>
      <x:c r="S4270" s="4" t="str">
        <x:v>Lost / cancelled</x:v>
      </x:c>
      <x:c r="T4270" s="10" t="n">
        <x:v>0.171717</x:v>
      </x:c>
      <x:c r="U4270" s="4" t="str">
        <x:v>Test</x:v>
      </x:c>
    </x:row>
    <x:row r="4271" ht="34" customHeight="1">
      <x:c r="A4271" s="4" t="str">
        <x:v>RS-04270</x:v>
      </x:c>
      <x:c r="B4271" s="8" t="n">
        <x:v>45549</x:v>
      </x:c>
      <x:c r="C4271" s="4" t="str">
        <x:v>PRJ-010</x:v>
      </x:c>
      <x:c r="D4271" s="4" t="str">
        <x:v>Apartment</x:v>
      </x:c>
      <x:c r="E4271" s="4" t="str">
        <x:v>Agreement signed</x:v>
      </x:c>
      <x:c r="F4271" s="4" t="str">
        <x:v>CUS-04270</x:v>
      </x:c>
      <x:c r="G4271" s="4" t="str">
        <x:v>UNIT-04270</x:v>
      </x:c>
      <x:c r="H4271" s="9" t="n">
        <x:v>8800000</x:v>
      </x:c>
      <x:c r="I4271" s="10" t="n">
        <x:v>0.03</x:v>
      </x:c>
      <x:c r="J4271" s="11" t="n">
        <x:v>3</x:v>
      </x:c>
      <x:c r="K4271" s="11" t="n">
        <x:v>9</x:v>
      </x:c>
      <x:c r="L4271" s="11" t="n">
        <x:v>0</x:v>
      </x:c>
      <x:c r="M4271" s="9" t="n">
        <x:f>ROUND(H4271*(1-I4271),2)</x:f>
        <x:v>8536000</x:v>
      </x:c>
      <x:c r="N4271" s="4" t="str">
        <x:v>Sales manager</x:v>
      </x:c>
      <x:c r="O4271" s="4" t="str">
        <x:v>BOOK-04270</x:v>
      </x:c>
      <x:c r="P4271" s="9" t="n">
        <x:v>853600</x:v>
      </x:c>
      <x:c r="Q4271" s="11" t="n">
        <x:v>0</x:v>
      </x:c>
      <x:c r="R4271" s="8" t="n">
        <x:v>45609</x:v>
      </x:c>
      <x:c r="S4271" s="4" t="str">
        <x:v>Retained</x:v>
      </x:c>
      <x:c r="T4271" s="10" t="n">
        <x:v>0.171717</x:v>
      </x:c>
      <x:c r="U4271" s="4" t="str">
        <x:v>Test</x:v>
      </x:c>
    </x:row>
    <x:row r="4272" ht="34" customHeight="1">
      <x:c r="A4272" s="4" t="str">
        <x:v>RS-04271</x:v>
      </x:c>
      <x:c r="B4272" s="8" t="n">
        <x:v>45550</x:v>
      </x:c>
      <x:c r="C4272" s="4" t="str">
        <x:v>PRJ-011</x:v>
      </x:c>
      <x:c r="D4272" s="4" t="str">
        <x:v>Retail</x:v>
      </x:c>
      <x:c r="E4272" s="4" t="str">
        <x:v>Handed over</x:v>
      </x:c>
      <x:c r="F4272" s="4" t="str">
        <x:v>CUS-04271</x:v>
      </x:c>
      <x:c r="G4272" s="4" t="str">
        <x:v>UNIT-04271</x:v>
      </x:c>
      <x:c r="H4272" s="9" t="n">
        <x:v>5100000</x:v>
      </x:c>
      <x:c r="I4272" s="10" t="n">
        <x:v>0.09</x:v>
      </x:c>
      <x:c r="J4272" s="11" t="n">
        <x:v>12</x:v>
      </x:c>
      <x:c r="K4272" s="11" t="n">
        <x:v>9</x:v>
      </x:c>
      <x:c r="L4272" s="11" t="n">
        <x:v>0</x:v>
      </x:c>
      <x:c r="M4272" s="9" t="n">
        <x:f>ROUND(H4272*(1-I4272),2)</x:f>
        <x:v>4641000</x:v>
      </x:c>
      <x:c r="N4272" s="4" t="str">
        <x:v>Sales head</x:v>
      </x:c>
      <x:c r="O4272" s="4" t="str">
        <x:v>BOOK-04271</x:v>
      </x:c>
      <x:c r="P4272" s="9" t="n">
        <x:v>4641000</x:v>
      </x:c>
      <x:c r="Q4272" s="11" t="n">
        <x:v>0</x:v>
      </x:c>
      <x:c r="R4272" s="8" t="n">
        <x:v>45610</x:v>
      </x:c>
      <x:c r="S4272" s="4" t="str">
        <x:v>Retained</x:v>
      </x:c>
      <x:c r="T4272" s="10" t="n">
        <x:v>0.351536</x:v>
      </x:c>
      <x:c r="U4272" s="4" t="str">
        <x:v>Test</x:v>
      </x:c>
    </x:row>
    <x:row r="4273" ht="34" customHeight="1">
      <x:c r="A4273" s="4" t="str">
        <x:v>RS-04272</x:v>
      </x:c>
      <x:c r="B4273" s="8" t="n">
        <x:v>45551</x:v>
      </x:c>
      <x:c r="C4273" s="4" t="str">
        <x:v>PRJ-012</x:v>
      </x:c>
      <x:c r="D4273" s="4" t="str">
        <x:v>Retail</x:v>
      </x:c>
      <x:c r="E4273" s="4" t="str">
        <x:v>Agreement signed</x:v>
      </x:c>
      <x:c r="F4273" s="4" t="str">
        <x:v>CUS-04272</x:v>
      </x:c>
      <x:c r="G4273" s="4" t="str">
        <x:v>UNIT-04272</x:v>
      </x:c>
      <x:c r="H4273" s="9" t="n">
        <x:v>17200000</x:v>
      </x:c>
      <x:c r="I4273" s="10" t="n">
        <x:v>0.06</x:v>
      </x:c>
      <x:c r="J4273" s="11" t="n">
        <x:v>3</x:v>
      </x:c>
      <x:c r="K4273" s="11" t="n">
        <x:v>0</x:v>
      </x:c>
      <x:c r="L4273" s="11" t="n">
        <x:v>0</x:v>
      </x:c>
      <x:c r="M4273" s="9" t="n">
        <x:f>ROUND(H4273*(1-I4273),2)</x:f>
        <x:v>16168000</x:v>
      </x:c>
      <x:c r="N4273" s="4" t="str">
        <x:v>Sales manager</x:v>
      </x:c>
      <x:c r="O4273" s="4" t="str">
        <x:v>BOOK-04272</x:v>
      </x:c>
      <x:c r="P4273" s="9" t="n">
        <x:v>16168000</x:v>
      </x:c>
      <x:c r="Q4273" s="11" t="n">
        <x:v>0</x:v>
      </x:c>
      <x:c r="R4273" s="8" t="n">
        <x:v>45611</x:v>
      </x:c>
      <x:c r="S4273" s="4" t="str">
        <x:v>Retained</x:v>
      </x:c>
      <x:c r="T4273" s="10" t="n">
        <x:v>0.276923</x:v>
      </x:c>
      <x:c r="U4273" s="4" t="str">
        <x:v>Test</x:v>
      </x:c>
    </x:row>
    <x:row r="4274" ht="34" customHeight="1">
      <x:c r="A4274" s="4" t="str">
        <x:v>RS-04273</x:v>
      </x:c>
      <x:c r="B4274" s="8" t="n">
        <x:v>45552</x:v>
      </x:c>
      <x:c r="C4274" s="4" t="str">
        <x:v>PRJ-013</x:v>
      </x:c>
      <x:c r="D4274" s="4" t="str">
        <x:v>Retail</x:v>
      </x:c>
      <x:c r="E4274" s="4" t="str">
        <x:v>Enquiry</x:v>
      </x:c>
      <x:c r="F4274" s="4" t="str">
        <x:v>CUS-04273</x:v>
      </x:c>
      <x:c r="G4274" s="4" t="str">
        <x:v>UNIT-04273</x:v>
      </x:c>
      <x:c r="H4274" s="9" t="n">
        <x:v>22500000</x:v>
      </x:c>
      <x:c r="I4274" s="10" t="n">
        <x:v>0.11</x:v>
      </x:c>
      <x:c r="J4274" s="11" t="n">
        <x:v>4</x:v>
      </x:c>
      <x:c r="K4274" s="11" t="n">
        <x:v>0</x:v>
      </x:c>
      <x:c r="L4274" s="11" t="n">
        <x:v>1</x:v>
      </x:c>
      <x:c r="M4274" s="9" t="n">
        <x:f>ROUND(H4274*(1-I4274),2)</x:f>
        <x:v>20025000</x:v>
      </x:c>
      <x:c r="N4274" s="4" t="str">
        <x:v>Sales head</x:v>
      </x:c>
      <x:c r="O4274" s="4"/>
      <x:c r="P4274" s="9" t="n">
        <x:v>0</x:v>
      </x:c>
      <x:c r="Q4274" s="11" t="n">
        <x:v>0</x:v>
      </x:c>
      <x:c r="R4274" s="8" t="n">
        <x:v>45612</x:v>
      </x:c>
      <x:c r="S4274" s="4" t="str">
        <x:v>Retained</x:v>
      </x:c>
      <x:c r="T4274" s="10" t="n">
        <x:v>0.291946</x:v>
      </x:c>
      <x:c r="U4274" s="4" t="str">
        <x:v>Test</x:v>
      </x:c>
    </x:row>
    <x:row r="4275" ht="34" customHeight="1">
      <x:c r="A4275" s="4" t="str">
        <x:v>RS-04274</x:v>
      </x:c>
      <x:c r="B4275" s="8" t="n">
        <x:v>45553</x:v>
      </x:c>
      <x:c r="C4275" s="4" t="str">
        <x:v>PRJ-014</x:v>
      </x:c>
      <x:c r="D4275" s="4" t="str">
        <x:v>Villa</x:v>
      </x:c>
      <x:c r="E4275" s="4" t="str">
        <x:v>Cancelled</x:v>
      </x:c>
      <x:c r="F4275" s="4" t="str">
        <x:v>CUS-04274</x:v>
      </x:c>
      <x:c r="G4275" s="4" t="str">
        <x:v>UNIT-04274</x:v>
      </x:c>
      <x:c r="H4275" s="9" t="n">
        <x:v>5800000</x:v>
      </x:c>
      <x:c r="I4275" s="10" t="n">
        <x:v>0.09</x:v>
      </x:c>
      <x:c r="J4275" s="11" t="n">
        <x:v>12</x:v>
      </x:c>
      <x:c r="K4275" s="11" t="n">
        <x:v>2</x:v>
      </x:c>
      <x:c r="L4275" s="11" t="n">
        <x:v>0</x:v>
      </x:c>
      <x:c r="M4275" s="9" t="n">
        <x:f>ROUND(H4275*(1-I4275),2)</x:f>
        <x:v>5278000</x:v>
      </x:c>
      <x:c r="N4275" s="4" t="str">
        <x:v>Sales head</x:v>
      </x:c>
      <x:c r="O4275" s="4"/>
      <x:c r="P4275" s="9" t="n">
        <x:v>0</x:v>
      </x:c>
      <x:c r="Q4275" s="11" t="n">
        <x:v>1</x:v>
      </x:c>
      <x:c r="R4275" s="8" t="n">
        <x:v>45613</x:v>
      </x:c>
      <x:c r="S4275" s="4" t="str">
        <x:v>Lost / cancelled</x:v>
      </x:c>
      <x:c r="T4275" s="10" t="n">
        <x:v>0.351536</x:v>
      </x:c>
      <x:c r="U4275" s="4" t="str">
        <x:v>Test</x:v>
      </x:c>
    </x:row>
    <x:row r="4276" ht="34" customHeight="1">
      <x:c r="A4276" s="4" t="str">
        <x:v>RS-04275</x:v>
      </x:c>
      <x:c r="B4276" s="8" t="n">
        <x:v>45554</x:v>
      </x:c>
      <x:c r="C4276" s="4" t="str">
        <x:v>PRJ-015</x:v>
      </x:c>
      <x:c r="D4276" s="4" t="str">
        <x:v>Apartment</x:v>
      </x:c>
      <x:c r="E4276" s="4" t="str">
        <x:v>Reserved</x:v>
      </x:c>
      <x:c r="F4276" s="4" t="str">
        <x:v>CUS-04275</x:v>
      </x:c>
      <x:c r="G4276" s="4" t="str">
        <x:v>UNIT-04275</x:v>
      </x:c>
      <x:c r="H4276" s="9" t="n">
        <x:v>19900000</x:v>
      </x:c>
      <x:c r="I4276" s="10" t="n">
        <x:v>0.09</x:v>
      </x:c>
      <x:c r="J4276" s="11" t="n">
        <x:v>12</x:v>
      </x:c>
      <x:c r="K4276" s="11" t="n">
        <x:v>2</x:v>
      </x:c>
      <x:c r="L4276" s="11" t="n">
        <x:v>1</x:v>
      </x:c>
      <x:c r="M4276" s="9" t="n">
        <x:f>ROUND(H4276*(1-I4276),2)</x:f>
        <x:v>18109000</x:v>
      </x:c>
      <x:c r="N4276" s="4" t="str">
        <x:v>Sales head</x:v>
      </x:c>
      <x:c r="O4276" s="4"/>
      <x:c r="P4276" s="9" t="n">
        <x:v>0</x:v>
      </x:c>
      <x:c r="Q4276" s="11" t="n">
        <x:v>1</x:v>
      </x:c>
      <x:c r="R4276" s="8" t="n">
        <x:v>45614</x:v>
      </x:c>
      <x:c r="S4276" s="4" t="str">
        <x:v>Lost / cancelled</x:v>
      </x:c>
      <x:c r="T4276" s="10" t="n">
        <x:v>0.351536</x:v>
      </x:c>
      <x:c r="U4276" s="4" t="str">
        <x:v>Test</x:v>
      </x:c>
    </x:row>
    <x:row r="4277" ht="34" customHeight="1">
      <x:c r="A4277" s="4" t="str">
        <x:v>RS-04276</x:v>
      </x:c>
      <x:c r="B4277" s="8" t="n">
        <x:v>45555</x:v>
      </x:c>
      <x:c r="C4277" s="4" t="str">
        <x:v>PRJ-016</x:v>
      </x:c>
      <x:c r="D4277" s="4" t="str">
        <x:v>Villa</x:v>
      </x:c>
      <x:c r="E4277" s="4" t="str">
        <x:v>Reserved</x:v>
      </x:c>
      <x:c r="F4277" s="4" t="str">
        <x:v>CUS-04276</x:v>
      </x:c>
      <x:c r="G4277" s="4" t="str">
        <x:v>UNIT-04276</x:v>
      </x:c>
      <x:c r="H4277" s="9" t="n">
        <x:v>6200000</x:v>
      </x:c>
      <x:c r="I4277" s="10" t="n">
        <x:v>0.1</x:v>
      </x:c>
      <x:c r="J4277" s="11" t="n">
        <x:v>4</x:v>
      </x:c>
      <x:c r="K4277" s="11" t="n">
        <x:v>9</x:v>
      </x:c>
      <x:c r="L4277" s="11" t="n">
        <x:v>1</x:v>
      </x:c>
      <x:c r="M4277" s="9" t="n">
        <x:f>ROUND(H4277*(1-I4277),2)</x:f>
        <x:v>5580000</x:v>
      </x:c>
      <x:c r="N4277" s="4" t="str">
        <x:v>Sales head</x:v>
      </x:c>
      <x:c r="O4277" s="4"/>
      <x:c r="P4277" s="9" t="n">
        <x:v>0</x:v>
      </x:c>
      <x:c r="Q4277" s="11" t="n">
        <x:v>0</x:v>
      </x:c>
      <x:c r="R4277" s="8" t="n">
        <x:v>45615</x:v>
      </x:c>
      <x:c r="S4277" s="4" t="str">
        <x:v>Retained</x:v>
      </x:c>
      <x:c r="T4277" s="10" t="n">
        <x:v>0.291946</x:v>
      </x:c>
      <x:c r="U4277" s="4" t="str">
        <x:v>Test</x:v>
      </x:c>
    </x:row>
    <x:row r="4278" ht="34" customHeight="1">
      <x:c r="A4278" s="4" t="str">
        <x:v>RS-04277</x:v>
      </x:c>
      <x:c r="B4278" s="8" t="n">
        <x:v>45556</x:v>
      </x:c>
      <x:c r="C4278" s="4" t="str">
        <x:v>PRJ-017</x:v>
      </x:c>
      <x:c r="D4278" s="4" t="str">
        <x:v>Villa</x:v>
      </x:c>
      <x:c r="E4278" s="4" t="str">
        <x:v>Agreement signed</x:v>
      </x:c>
      <x:c r="F4278" s="4" t="str">
        <x:v>CUS-04277</x:v>
      </x:c>
      <x:c r="G4278" s="4" t="str">
        <x:v>UNIT-04277</x:v>
      </x:c>
      <x:c r="H4278" s="9" t="n">
        <x:v>14100000</x:v>
      </x:c>
      <x:c r="I4278" s="10" t="n">
        <x:v>0.07</x:v>
      </x:c>
      <x:c r="J4278" s="11" t="n">
        <x:v>5</x:v>
      </x:c>
      <x:c r="K4278" s="11" t="n">
        <x:v>1</x:v>
      </x:c>
      <x:c r="L4278" s="11" t="n">
        <x:v>0</x:v>
      </x:c>
      <x:c r="M4278" s="9" t="n">
        <x:f>ROUND(H4278*(1-I4278),2)</x:f>
        <x:v>13113000</x:v>
      </x:c>
      <x:c r="N4278" s="4" t="str">
        <x:v>Sales manager</x:v>
      </x:c>
      <x:c r="O4278" s="4" t="str">
        <x:v>BOOK-04277</x:v>
      </x:c>
      <x:c r="P4278" s="9" t="n">
        <x:v>3278250</x:v>
      </x:c>
      <x:c r="Q4278" s="11" t="n">
        <x:v>0</x:v>
      </x:c>
      <x:c r="R4278" s="8" t="n">
        <x:v>45616</x:v>
      </x:c>
      <x:c r="S4278" s="4" t="str">
        <x:v>Retained</x:v>
      </x:c>
      <x:c r="T4278" s="10" t="n">
        <x:v>0.226277</x:v>
      </x:c>
      <x:c r="U4278" s="4" t="str">
        <x:v>Test</x:v>
      </x:c>
    </x:row>
    <x:row r="4279" ht="34" customHeight="1">
      <x:c r="A4279" s="4" t="str">
        <x:v>RS-04278</x:v>
      </x:c>
      <x:c r="B4279" s="8" t="n">
        <x:v>45557</x:v>
      </x:c>
      <x:c r="C4279" s="4" t="str">
        <x:v>PRJ-018</x:v>
      </x:c>
      <x:c r="D4279" s="4" t="str">
        <x:v>Office</x:v>
      </x:c>
      <x:c r="E4279" s="4" t="str">
        <x:v>Enquiry</x:v>
      </x:c>
      <x:c r="F4279" s="4" t="str">
        <x:v>CUS-04278</x:v>
      </x:c>
      <x:c r="G4279" s="4" t="str">
        <x:v>UNIT-04278</x:v>
      </x:c>
      <x:c r="H4279" s="9" t="n">
        <x:v>7600000</x:v>
      </x:c>
      <x:c r="I4279" s="10" t="n">
        <x:v>0.11</x:v>
      </x:c>
      <x:c r="J4279" s="11" t="n">
        <x:v>6</x:v>
      </x:c>
      <x:c r="K4279" s="11" t="n">
        <x:v>4</x:v>
      </x:c>
      <x:c r="L4279" s="11" t="n">
        <x:v>0</x:v>
      </x:c>
      <x:c r="M4279" s="9" t="n">
        <x:f>ROUND(H4279*(1-I4279),2)</x:f>
        <x:v>6764000</x:v>
      </x:c>
      <x:c r="N4279" s="4" t="str">
        <x:v>Sales head</x:v>
      </x:c>
      <x:c r="O4279" s="4"/>
      <x:c r="P4279" s="9" t="n">
        <x:v>0</x:v>
      </x:c>
      <x:c r="Q4279" s="11" t="n">
        <x:v>0</x:v>
      </x:c>
      <x:c r="R4279" s="8" t="n">
        <x:v>45617</x:v>
      </x:c>
      <x:c r="S4279" s="4" t="str">
        <x:v>Retained</x:v>
      </x:c>
      <x:c r="T4279" s="10" t="n">
        <x:v>0.226277</x:v>
      </x:c>
      <x:c r="U4279" s="4" t="str">
        <x:v>Test</x:v>
      </x:c>
    </x:row>
    <x:row r="4280" ht="34" customHeight="1">
      <x:c r="A4280" s="4" t="str">
        <x:v>RS-04279</x:v>
      </x:c>
      <x:c r="B4280" s="8" t="n">
        <x:v>45558</x:v>
      </x:c>
      <x:c r="C4280" s="4" t="str">
        <x:v>PRJ-019</x:v>
      </x:c>
      <x:c r="D4280" s="4" t="str">
        <x:v>Apartment</x:v>
      </x:c>
      <x:c r="E4280" s="4" t="str">
        <x:v>Cancelled</x:v>
      </x:c>
      <x:c r="F4280" s="4" t="str">
        <x:v>CUS-04279</x:v>
      </x:c>
      <x:c r="G4280" s="4" t="str">
        <x:v>UNIT-04279</x:v>
      </x:c>
      <x:c r="H4280" s="9" t="n">
        <x:v>23300000</x:v>
      </x:c>
      <x:c r="I4280" s="10" t="n">
        <x:v>0.02</x:v>
      </x:c>
      <x:c r="J4280" s="11" t="n">
        <x:v>5</x:v>
      </x:c>
      <x:c r="K4280" s="11" t="n">
        <x:v>9</x:v>
      </x:c>
      <x:c r="L4280" s="11" t="n">
        <x:v>1</x:v>
      </x:c>
      <x:c r="M4280" s="9" t="n">
        <x:f>ROUND(H4280*(1-I4280),2)</x:f>
        <x:v>22834000</x:v>
      </x:c>
      <x:c r="N4280" s="4" t="str">
        <x:v>Sales manager</x:v>
      </x:c>
      <x:c r="O4280" s="4"/>
      <x:c r="P4280" s="9" t="n">
        <x:v>0</x:v>
      </x:c>
      <x:c r="Q4280" s="11" t="n">
        <x:v>1</x:v>
      </x:c>
      <x:c r="R4280" s="8" t="n">
        <x:v>45618</x:v>
      </x:c>
      <x:c r="S4280" s="4" t="str">
        <x:v>Lost / cancelled</x:v>
      </x:c>
      <x:c r="T4280" s="10" t="n">
        <x:v>0.145299</x:v>
      </x:c>
      <x:c r="U4280" s="4" t="str">
        <x:v>Test</x:v>
      </x:c>
    </x:row>
    <x:row r="4281" ht="34" customHeight="1">
      <x:c r="A4281" s="4" t="str">
        <x:v>RS-04280</x:v>
      </x:c>
      <x:c r="B4281" s="8" t="n">
        <x:v>45559</x:v>
      </x:c>
      <x:c r="C4281" s="4" t="str">
        <x:v>PRJ-020</x:v>
      </x:c>
      <x:c r="D4281" s="4" t="str">
        <x:v>Office</x:v>
      </x:c>
      <x:c r="E4281" s="4" t="str">
        <x:v>Reserved</x:v>
      </x:c>
      <x:c r="F4281" s="4" t="str">
        <x:v>CUS-04280</x:v>
      </x:c>
      <x:c r="G4281" s="4" t="str">
        <x:v>UNIT-04280</x:v>
      </x:c>
      <x:c r="H4281" s="9" t="n">
        <x:v>20600000</x:v>
      </x:c>
      <x:c r="I4281" s="10" t="n">
        <x:v>0.05</x:v>
      </x:c>
      <x:c r="J4281" s="11" t="n">
        <x:v>10</x:v>
      </x:c>
      <x:c r="K4281" s="11" t="n">
        <x:v>7</x:v>
      </x:c>
      <x:c r="L4281" s="11" t="n">
        <x:v>1</x:v>
      </x:c>
      <x:c r="M4281" s="9" t="n">
        <x:f>ROUND(H4281*(1-I4281),2)</x:f>
        <x:v>19570000</x:v>
      </x:c>
      <x:c r="N4281" s="4" t="str">
        <x:v>Sales manager</x:v>
      </x:c>
      <x:c r="O4281" s="4"/>
      <x:c r="P4281" s="9" t="n">
        <x:v>0</x:v>
      </x:c>
      <x:c r="Q4281" s="11" t="n">
        <x:v>0</x:v>
      </x:c>
      <x:c r="R4281" s="8" t="n">
        <x:v>45619</x:v>
      </x:c>
      <x:c r="S4281" s="4" t="str">
        <x:v>Retained</x:v>
      </x:c>
      <x:c r="T4281" s="10" t="n">
        <x:v>0.310195</x:v>
      </x:c>
      <x:c r="U4281" s="4" t="str">
        <x:v>Test</x:v>
      </x:c>
    </x:row>
    <x:row r="4282" ht="34" customHeight="1">
      <x:c r="A4282" s="4" t="str">
        <x:v>RS-04281</x:v>
      </x:c>
      <x:c r="B4282" s="8" t="n">
        <x:v>45560</x:v>
      </x:c>
      <x:c r="C4282" s="4" t="str">
        <x:v>PRJ-001</x:v>
      </x:c>
      <x:c r="D4282" s="4" t="str">
        <x:v>Office</x:v>
      </x:c>
      <x:c r="E4282" s="4" t="str">
        <x:v>Agreement signed</x:v>
      </x:c>
      <x:c r="F4282" s="4" t="str">
        <x:v>CUS-04281</x:v>
      </x:c>
      <x:c r="G4282" s="4" t="str">
        <x:v>UNIT-04281</x:v>
      </x:c>
      <x:c r="H4282" s="9" t="n">
        <x:v>21500000</x:v>
      </x:c>
      <x:c r="I4282" s="10" t="n">
        <x:v>0.07</x:v>
      </x:c>
      <x:c r="J4282" s="11" t="n">
        <x:v>12</x:v>
      </x:c>
      <x:c r="K4282" s="11" t="n">
        <x:v>1</x:v>
      </x:c>
      <x:c r="L4282" s="11" t="n">
        <x:v>1</x:v>
      </x:c>
      <x:c r="M4282" s="9" t="n">
        <x:f>ROUND(H4282*(1-I4282),2)</x:f>
        <x:v>19995000</x:v>
      </x:c>
      <x:c r="N4282" s="4" t="str">
        <x:v>Sales manager</x:v>
      </x:c>
      <x:c r="O4282" s="4" t="str">
        <x:v>BOOK-04281</x:v>
      </x:c>
      <x:c r="P4282" s="9" t="n">
        <x:v>1999500</x:v>
      </x:c>
      <x:c r="Q4282" s="11" t="n">
        <x:v>0</x:v>
      </x:c>
      <x:c r="R4282" s="8" t="n">
        <x:v>45620</x:v>
      </x:c>
      <x:c r="S4282" s="4" t="str">
        <x:v>Retained</x:v>
      </x:c>
      <x:c r="T4282" s="10" t="n">
        <x:v>0.351536</x:v>
      </x:c>
      <x:c r="U4282" s="4" t="str">
        <x:v>Test</x:v>
      </x:c>
    </x:row>
    <x:row r="4283" ht="34" customHeight="1">
      <x:c r="A4283" s="4" t="str">
        <x:v>RS-04282</x:v>
      </x:c>
      <x:c r="B4283" s="8" t="n">
        <x:v>45561</x:v>
      </x:c>
      <x:c r="C4283" s="4" t="str">
        <x:v>PRJ-002</x:v>
      </x:c>
      <x:c r="D4283" s="4" t="str">
        <x:v>Apartment</x:v>
      </x:c>
      <x:c r="E4283" s="4" t="str">
        <x:v>Enquiry</x:v>
      </x:c>
      <x:c r="F4283" s="4" t="str">
        <x:v>CUS-04282</x:v>
      </x:c>
      <x:c r="G4283" s="4" t="str">
        <x:v>UNIT-04282</x:v>
      </x:c>
      <x:c r="H4283" s="9" t="n">
        <x:v>24500000</x:v>
      </x:c>
      <x:c r="I4283" s="10" t="n">
        <x:v>0.03</x:v>
      </x:c>
      <x:c r="J4283" s="11" t="n">
        <x:v>0</x:v>
      </x:c>
      <x:c r="K4283" s="11" t="n">
        <x:v>4</x:v>
      </x:c>
      <x:c r="L4283" s="11" t="n">
        <x:v>1</x:v>
      </x:c>
      <x:c r="M4283" s="9" t="n">
        <x:f>ROUND(H4283*(1-I4283),2)</x:f>
        <x:v>23765000</x:v>
      </x:c>
      <x:c r="N4283" s="4" t="str">
        <x:v>Sales manager</x:v>
      </x:c>
      <x:c r="O4283" s="4"/>
      <x:c r="P4283" s="9" t="n">
        <x:v>0</x:v>
      </x:c>
      <x:c r="Q4283" s="11" t="n">
        <x:v>0</x:v>
      </x:c>
      <x:c r="R4283" s="8" t="n">
        <x:v>45621</x:v>
      </x:c>
      <x:c r="S4283" s="4" t="str">
        <x:v>Retained</x:v>
      </x:c>
      <x:c r="T4283" s="10" t="n">
        <x:v>0.072165</x:v>
      </x:c>
      <x:c r="U4283" s="4" t="str">
        <x:v>Test</x:v>
      </x:c>
    </x:row>
    <x:row r="4284" ht="34" customHeight="1">
      <x:c r="A4284" s="4" t="str">
        <x:v>RS-04283</x:v>
      </x:c>
      <x:c r="B4284" s="8" t="n">
        <x:v>45562</x:v>
      </x:c>
      <x:c r="C4284" s="4" t="str">
        <x:v>PRJ-003</x:v>
      </x:c>
      <x:c r="D4284" s="4" t="str">
        <x:v>Retail</x:v>
      </x:c>
      <x:c r="E4284" s="4" t="str">
        <x:v>Handed over</x:v>
      </x:c>
      <x:c r="F4284" s="4" t="str">
        <x:v>CUS-04283</x:v>
      </x:c>
      <x:c r="G4284" s="4" t="str">
        <x:v>UNIT-04283</x:v>
      </x:c>
      <x:c r="H4284" s="9" t="n">
        <x:v>14200000</x:v>
      </x:c>
      <x:c r="I4284" s="10" t="n">
        <x:v>0.05</x:v>
      </x:c>
      <x:c r="J4284" s="11" t="n">
        <x:v>7</x:v>
      </x:c>
      <x:c r="K4284" s="11" t="n">
        <x:v>3</x:v>
      </x:c>
      <x:c r="L4284" s="11" t="n">
        <x:v>1</x:v>
      </x:c>
      <x:c r="M4284" s="9" t="n">
        <x:f>ROUND(H4284*(1-I4284),2)</x:f>
        <x:v>13490000</x:v>
      </x:c>
      <x:c r="N4284" s="4" t="str">
        <x:v>Sales manager</x:v>
      </x:c>
      <x:c r="O4284" s="4" t="str">
        <x:v>BOOK-04283</x:v>
      </x:c>
      <x:c r="P4284" s="9" t="n">
        <x:v>3372500</x:v>
      </x:c>
      <x:c r="Q4284" s="11" t="n">
        <x:v>0</x:v>
      </x:c>
      <x:c r="R4284" s="8" t="n">
        <x:v>45622</x:v>
      </x:c>
      <x:c r="S4284" s="4" t="str">
        <x:v>Retained</x:v>
      </x:c>
      <x:c r="T4284" s="10" t="n">
        <x:v>0.291946</x:v>
      </x:c>
      <x:c r="U4284" s="4" t="str">
        <x:v>Test</x:v>
      </x:c>
    </x:row>
    <x:row r="4285" ht="34" customHeight="1">
      <x:c r="A4285" s="4" t="str">
        <x:v>RS-04284</x:v>
      </x:c>
      <x:c r="B4285" s="8" t="n">
        <x:v>45563</x:v>
      </x:c>
      <x:c r="C4285" s="4" t="str">
        <x:v>PRJ-004</x:v>
      </x:c>
      <x:c r="D4285" s="4" t="str">
        <x:v>Retail</x:v>
      </x:c>
      <x:c r="E4285" s="4" t="str">
        <x:v>Cancelled</x:v>
      </x:c>
      <x:c r="F4285" s="4" t="str">
        <x:v>CUS-04284</x:v>
      </x:c>
      <x:c r="G4285" s="4" t="str">
        <x:v>UNIT-04284</x:v>
      </x:c>
      <x:c r="H4285" s="9" t="n">
        <x:v>16900000</x:v>
      </x:c>
      <x:c r="I4285" s="10" t="n">
        <x:v>0.1</x:v>
      </x:c>
      <x:c r="J4285" s="11" t="n">
        <x:v>4</x:v>
      </x:c>
      <x:c r="K4285" s="11" t="n">
        <x:v>0</x:v>
      </x:c>
      <x:c r="L4285" s="11" t="n">
        <x:v>0</x:v>
      </x:c>
      <x:c r="M4285" s="9" t="n">
        <x:f>ROUND(H4285*(1-I4285),2)</x:f>
        <x:v>15210000</x:v>
      </x:c>
      <x:c r="N4285" s="4" t="str">
        <x:v>Sales head</x:v>
      </x:c>
      <x:c r="O4285" s="4"/>
      <x:c r="P4285" s="9" t="n">
        <x:v>0</x:v>
      </x:c>
      <x:c r="Q4285" s="11" t="n">
        <x:v>1</x:v>
      </x:c>
      <x:c r="R4285" s="8" t="n">
        <x:v>45623</x:v>
      </x:c>
      <x:c r="S4285" s="4" t="str">
        <x:v>Lost / cancelled</x:v>
      </x:c>
      <x:c r="T4285" s="10" t="n">
        <x:v>0.226277</x:v>
      </x:c>
      <x:c r="U4285" s="4" t="str">
        <x:v>Test</x:v>
      </x:c>
    </x:row>
    <x:row r="4286" ht="34" customHeight="1">
      <x:c r="A4286" s="4" t="str">
        <x:v>RS-04285</x:v>
      </x:c>
      <x:c r="B4286" s="8" t="n">
        <x:v>45536</x:v>
      </x:c>
      <x:c r="C4286" s="4" t="str">
        <x:v>PRJ-005</x:v>
      </x:c>
      <x:c r="D4286" s="4" t="str">
        <x:v>Villa</x:v>
      </x:c>
      <x:c r="E4286" s="4" t="str">
        <x:v>Reserved</x:v>
      </x:c>
      <x:c r="F4286" s="4" t="str">
        <x:v>CUS-04285</x:v>
      </x:c>
      <x:c r="G4286" s="4" t="str">
        <x:v>UNIT-04285</x:v>
      </x:c>
      <x:c r="H4286" s="9" t="n">
        <x:v>5300000</x:v>
      </x:c>
      <x:c r="I4286" s="10" t="n">
        <x:v>0.11</x:v>
      </x:c>
      <x:c r="J4286" s="11" t="n">
        <x:v>10</x:v>
      </x:c>
      <x:c r="K4286" s="11" t="n">
        <x:v>5</x:v>
      </x:c>
      <x:c r="L4286" s="11" t="n">
        <x:v>1</x:v>
      </x:c>
      <x:c r="M4286" s="9" t="n">
        <x:f>ROUND(H4286*(1-I4286),2)</x:f>
        <x:v>4717000</x:v>
      </x:c>
      <x:c r="N4286" s="4" t="str">
        <x:v>Sales head</x:v>
      </x:c>
      <x:c r="O4286" s="4"/>
      <x:c r="P4286" s="9" t="n">
        <x:v>0</x:v>
      </x:c>
      <x:c r="Q4286" s="11" t="n">
        <x:v>1</x:v>
      </x:c>
      <x:c r="R4286" s="8" t="n">
        <x:v>45596</x:v>
      </x:c>
      <x:c r="S4286" s="4" t="str">
        <x:v>Lost / cancelled</x:v>
      </x:c>
      <x:c r="T4286" s="10" t="n">
        <x:v>0.310195</x:v>
      </x:c>
      <x:c r="U4286" s="4" t="str">
        <x:v>Test</x:v>
      </x:c>
    </x:row>
    <x:row r="4287" ht="34" customHeight="1">
      <x:c r="A4287" s="4" t="str">
        <x:v>RS-04286</x:v>
      </x:c>
      <x:c r="B4287" s="8" t="n">
        <x:v>45537</x:v>
      </x:c>
      <x:c r="C4287" s="4" t="str">
        <x:v>PRJ-006</x:v>
      </x:c>
      <x:c r="D4287" s="4" t="str">
        <x:v>Apartment</x:v>
      </x:c>
      <x:c r="E4287" s="4" t="str">
        <x:v>Handed over</x:v>
      </x:c>
      <x:c r="F4287" s="4" t="str">
        <x:v>CUS-04286</x:v>
      </x:c>
      <x:c r="G4287" s="4" t="str">
        <x:v>UNIT-04286</x:v>
      </x:c>
      <x:c r="H4287" s="9" t="n">
        <x:v>10400000</x:v>
      </x:c>
      <x:c r="I4287" s="10" t="n">
        <x:v>0.05</x:v>
      </x:c>
      <x:c r="J4287" s="11" t="n">
        <x:v>1</x:v>
      </x:c>
      <x:c r="K4287" s="11" t="n">
        <x:v>0</x:v>
      </x:c>
      <x:c r="L4287" s="11" t="n">
        <x:v>1</x:v>
      </x:c>
      <x:c r="M4287" s="9" t="n">
        <x:f>ROUND(H4287*(1-I4287),2)</x:f>
        <x:v>9880000</x:v>
      </x:c>
      <x:c r="N4287" s="4" t="str">
        <x:v>Sales manager</x:v>
      </x:c>
      <x:c r="O4287" s="4" t="str">
        <x:v>BOOK-04286</x:v>
      </x:c>
      <x:c r="P4287" s="9" t="n">
        <x:v>9880000</x:v>
      </x:c>
      <x:c r="Q4287" s="11" t="n">
        <x:v>0</x:v>
      </x:c>
      <x:c r="R4287" s="8" t="n">
        <x:v>45597</x:v>
      </x:c>
      <x:c r="S4287" s="4" t="str">
        <x:v>Retained</x:v>
      </x:c>
      <x:c r="T4287" s="10" t="n">
        <x:v>0.276923</x:v>
      </x:c>
      <x:c r="U4287" s="4" t="str">
        <x:v>Test</x:v>
      </x:c>
    </x:row>
    <x:row r="4288" ht="34" customHeight="1">
      <x:c r="A4288" s="4" t="str">
        <x:v>RS-04287</x:v>
      </x:c>
      <x:c r="B4288" s="8" t="n">
        <x:v>45538</x:v>
      </x:c>
      <x:c r="C4288" s="4" t="str">
        <x:v>PRJ-007</x:v>
      </x:c>
      <x:c r="D4288" s="4" t="str">
        <x:v>Office</x:v>
      </x:c>
      <x:c r="E4288" s="4" t="str">
        <x:v>Booked</x:v>
      </x:c>
      <x:c r="F4288" s="4" t="str">
        <x:v>CUS-04287</x:v>
      </x:c>
      <x:c r="G4288" s="4" t="str">
        <x:v>UNIT-04287</x:v>
      </x:c>
      <x:c r="H4288" s="9" t="n">
        <x:v>6900000</x:v>
      </x:c>
      <x:c r="I4288" s="10" t="n">
        <x:v>0.12</x:v>
      </x:c>
      <x:c r="J4288" s="11" t="n">
        <x:v>4</x:v>
      </x:c>
      <x:c r="K4288" s="11" t="n">
        <x:v>3</x:v>
      </x:c>
      <x:c r="L4288" s="11" t="n">
        <x:v>1</x:v>
      </x:c>
      <x:c r="M4288" s="9" t="n">
        <x:f>ROUND(H4288*(1-I4288),2)</x:f>
        <x:v>6072000</x:v>
      </x:c>
      <x:c r="N4288" s="4" t="str">
        <x:v>Sales head</x:v>
      </x:c>
      <x:c r="O4288" s="4" t="str">
        <x:v>BOOK-04287</x:v>
      </x:c>
      <x:c r="P4288" s="9" t="n">
        <x:v>607200</x:v>
      </x:c>
      <x:c r="Q4288" s="11" t="n">
        <x:v>0</x:v>
      </x:c>
      <x:c r="R4288" s="8" t="n">
        <x:v>45598</x:v>
      </x:c>
      <x:c r="S4288" s="4" t="str">
        <x:v>Retained</x:v>
      </x:c>
      <x:c r="T4288" s="10" t="n">
        <x:v>0.291946</x:v>
      </x:c>
      <x:c r="U4288" s="4" t="str">
        <x:v>Test</x:v>
      </x:c>
    </x:row>
    <x:row r="4289" ht="34" customHeight="1">
      <x:c r="A4289" s="4" t="str">
        <x:v>RS-04288</x:v>
      </x:c>
      <x:c r="B4289" s="8" t="n">
        <x:v>45539</x:v>
      </x:c>
      <x:c r="C4289" s="4" t="str">
        <x:v>PRJ-008</x:v>
      </x:c>
      <x:c r="D4289" s="4" t="str">
        <x:v>Apartment</x:v>
      </x:c>
      <x:c r="E4289" s="4" t="str">
        <x:v>Agreement signed</x:v>
      </x:c>
      <x:c r="F4289" s="4" t="str">
        <x:v>CUS-04288</x:v>
      </x:c>
      <x:c r="G4289" s="4" t="str">
        <x:v>UNIT-04288</x:v>
      </x:c>
      <x:c r="H4289" s="9" t="n">
        <x:v>20300000</x:v>
      </x:c>
      <x:c r="I4289" s="10" t="n">
        <x:v>0.1</x:v>
      </x:c>
      <x:c r="J4289" s="11" t="n">
        <x:v>1</x:v>
      </x:c>
      <x:c r="K4289" s="11" t="n">
        <x:v>10</x:v>
      </x:c>
      <x:c r="L4289" s="11" t="n">
        <x:v>1</x:v>
      </x:c>
      <x:c r="M4289" s="9" t="n">
        <x:f>ROUND(H4289*(1-I4289),2)</x:f>
        <x:v>18270000</x:v>
      </x:c>
      <x:c r="N4289" s="4" t="str">
        <x:v>Sales head</x:v>
      </x:c>
      <x:c r="O4289" s="4" t="str">
        <x:v>BOOK-04288</x:v>
      </x:c>
      <x:c r="P4289" s="9" t="n">
        <x:v>9135000</x:v>
      </x:c>
      <x:c r="Q4289" s="11" t="n">
        <x:v>0</x:v>
      </x:c>
      <x:c r="R4289" s="8" t="n">
        <x:v>45599</x:v>
      </x:c>
      <x:c r="S4289" s="4" t="str">
        <x:v>Retained</x:v>
      </x:c>
      <x:c r="T4289" s="10" t="n">
        <x:v>0.145833</x:v>
      </x:c>
      <x:c r="U4289" s="4" t="str">
        <x:v>Test</x:v>
      </x:c>
    </x:row>
    <x:row r="4290" ht="34" customHeight="1">
      <x:c r="A4290" s="4" t="str">
        <x:v>RS-04289</x:v>
      </x:c>
      <x:c r="B4290" s="8" t="n">
        <x:v>45540</x:v>
      </x:c>
      <x:c r="C4290" s="4" t="str">
        <x:v>PRJ-009</x:v>
      </x:c>
      <x:c r="D4290" s="4" t="str">
        <x:v>Apartment</x:v>
      </x:c>
      <x:c r="E4290" s="4" t="str">
        <x:v>Handed over</x:v>
      </x:c>
      <x:c r="F4290" s="4" t="str">
        <x:v>CUS-04289</x:v>
      </x:c>
      <x:c r="G4290" s="4" t="str">
        <x:v>UNIT-04289</x:v>
      </x:c>
      <x:c r="H4290" s="9" t="n">
        <x:v>23800000</x:v>
      </x:c>
      <x:c r="I4290" s="10" t="n">
        <x:v>0.11</x:v>
      </x:c>
      <x:c r="J4290" s="11" t="n">
        <x:v>6</x:v>
      </x:c>
      <x:c r="K4290" s="11" t="n">
        <x:v>1</x:v>
      </x:c>
      <x:c r="L4290" s="11" t="n">
        <x:v>1</x:v>
      </x:c>
      <x:c r="M4290" s="9" t="n">
        <x:f>ROUND(H4290*(1-I4290),2)</x:f>
        <x:v>21182000</x:v>
      </x:c>
      <x:c r="N4290" s="4" t="str">
        <x:v>Sales head</x:v>
      </x:c>
      <x:c r="O4290" s="4" t="str">
        <x:v>BOOK-04289</x:v>
      </x:c>
      <x:c r="P4290" s="9" t="n">
        <x:v>2118200</x:v>
      </x:c>
      <x:c r="Q4290" s="11" t="n">
        <x:v>0</x:v>
      </x:c>
      <x:c r="R4290" s="8" t="n">
        <x:v>45600</x:v>
      </x:c>
      <x:c r="S4290" s="4" t="str">
        <x:v>Retained</x:v>
      </x:c>
      <x:c r="T4290" s="10" t="n">
        <x:v>0.291946</x:v>
      </x:c>
      <x:c r="U4290" s="4" t="str">
        <x:v>Test</x:v>
      </x:c>
    </x:row>
    <x:row r="4291" ht="34" customHeight="1">
      <x:c r="A4291" s="4" t="str">
        <x:v>RS-04290</x:v>
      </x:c>
      <x:c r="B4291" s="8" t="n">
        <x:v>45541</x:v>
      </x:c>
      <x:c r="C4291" s="4" t="str">
        <x:v>PRJ-010</x:v>
      </x:c>
      <x:c r="D4291" s="4" t="str">
        <x:v>Office</x:v>
      </x:c>
      <x:c r="E4291" s="4" t="str">
        <x:v>Cancelled</x:v>
      </x:c>
      <x:c r="F4291" s="4" t="str">
        <x:v>CUS-04290</x:v>
      </x:c>
      <x:c r="G4291" s="4" t="str">
        <x:v>UNIT-04290</x:v>
      </x:c>
      <x:c r="H4291" s="9" t="n">
        <x:v>15800000</x:v>
      </x:c>
      <x:c r="I4291" s="10" t="n">
        <x:v>0.09</x:v>
      </x:c>
      <x:c r="J4291" s="11" t="n">
        <x:v>7</x:v>
      </x:c>
      <x:c r="K4291" s="11" t="n">
        <x:v>7</x:v>
      </x:c>
      <x:c r="L4291" s="11" t="n">
        <x:v>1</x:v>
      </x:c>
      <x:c r="M4291" s="9" t="n">
        <x:f>ROUND(H4291*(1-I4291),2)</x:f>
        <x:v>14378000</x:v>
      </x:c>
      <x:c r="N4291" s="4" t="str">
        <x:v>Sales head</x:v>
      </x:c>
      <x:c r="O4291" s="4"/>
      <x:c r="P4291" s="9" t="n">
        <x:v>0</x:v>
      </x:c>
      <x:c r="Q4291" s="11" t="n">
        <x:v>1</x:v>
      </x:c>
      <x:c r="R4291" s="8" t="n">
        <x:v>45601</x:v>
      </x:c>
      <x:c r="S4291" s="4" t="str">
        <x:v>Lost / cancelled</x:v>
      </x:c>
      <x:c r="T4291" s="10" t="n">
        <x:v>0.291946</x:v>
      </x:c>
      <x:c r="U4291" s="4" t="str">
        <x:v>Test</x:v>
      </x:c>
    </x:row>
    <x:row r="4292" ht="34" customHeight="1">
      <x:c r="A4292" s="4" t="str">
        <x:v>RS-04291</x:v>
      </x:c>
      <x:c r="B4292" s="8" t="n">
        <x:v>45542</x:v>
      </x:c>
      <x:c r="C4292" s="4" t="str">
        <x:v>PRJ-011</x:v>
      </x:c>
      <x:c r="D4292" s="4" t="str">
        <x:v>Apartment</x:v>
      </x:c>
      <x:c r="E4292" s="4" t="str">
        <x:v>Enquiry</x:v>
      </x:c>
      <x:c r="F4292" s="4" t="str">
        <x:v>CUS-04291</x:v>
      </x:c>
      <x:c r="G4292" s="4" t="str">
        <x:v>UNIT-04291</x:v>
      </x:c>
      <x:c r="H4292" s="9" t="n">
        <x:v>7200000</x:v>
      </x:c>
      <x:c r="I4292" s="10" t="n">
        <x:v>0.07</x:v>
      </x:c>
      <x:c r="J4292" s="11" t="n">
        <x:v>2</x:v>
      </x:c>
      <x:c r="K4292" s="11" t="n">
        <x:v>7</x:v>
      </x:c>
      <x:c r="L4292" s="11" t="n">
        <x:v>1</x:v>
      </x:c>
      <x:c r="M4292" s="9" t="n">
        <x:f>ROUND(H4292*(1-I4292),2)</x:f>
        <x:v>6696000</x:v>
      </x:c>
      <x:c r="N4292" s="4" t="str">
        <x:v>Sales manager</x:v>
      </x:c>
      <x:c r="O4292" s="4"/>
      <x:c r="P4292" s="9" t="n">
        <x:v>0</x:v>
      </x:c>
      <x:c r="Q4292" s="11" t="n">
        <x:v>0</x:v>
      </x:c>
      <x:c r="R4292" s="8" t="n">
        <x:v>45602</x:v>
      </x:c>
      <x:c r="S4292" s="4" t="str">
        <x:v>Retained</x:v>
      </x:c>
      <x:c r="T4292" s="10" t="n">
        <x:v>0.204152</x:v>
      </x:c>
      <x:c r="U4292" s="4" t="str">
        <x:v>Test</x:v>
      </x:c>
    </x:row>
    <x:row r="4293" ht="34" customHeight="1">
      <x:c r="A4293" s="4" t="str">
        <x:v>RS-04292</x:v>
      </x:c>
      <x:c r="B4293" s="8" t="n">
        <x:v>45543</x:v>
      </x:c>
      <x:c r="C4293" s="4" t="str">
        <x:v>PRJ-012</x:v>
      </x:c>
      <x:c r="D4293" s="4" t="str">
        <x:v>Villa</x:v>
      </x:c>
      <x:c r="E4293" s="4" t="str">
        <x:v>Reserved</x:v>
      </x:c>
      <x:c r="F4293" s="4" t="str">
        <x:v>CUS-04292</x:v>
      </x:c>
      <x:c r="G4293" s="4" t="str">
        <x:v>UNIT-04292</x:v>
      </x:c>
      <x:c r="H4293" s="9" t="n">
        <x:v>17900000</x:v>
      </x:c>
      <x:c r="I4293" s="10" t="n">
        <x:v>0.12</x:v>
      </x:c>
      <x:c r="J4293" s="11" t="n">
        <x:v>3</x:v>
      </x:c>
      <x:c r="K4293" s="11" t="n">
        <x:v>8</x:v>
      </x:c>
      <x:c r="L4293" s="11" t="n">
        <x:v>1</x:v>
      </x:c>
      <x:c r="M4293" s="9" t="n">
        <x:f>ROUND(H4293*(1-I4293),2)</x:f>
        <x:v>15752000</x:v>
      </x:c>
      <x:c r="N4293" s="4" t="str">
        <x:v>Sales head</x:v>
      </x:c>
      <x:c r="O4293" s="4"/>
      <x:c r="P4293" s="9" t="n">
        <x:v>0</x:v>
      </x:c>
      <x:c r="Q4293" s="11" t="n">
        <x:v>1</x:v>
      </x:c>
      <x:c r="R4293" s="8" t="n">
        <x:v>45603</x:v>
      </x:c>
      <x:c r="S4293" s="4" t="str">
        <x:v>Lost / cancelled</x:v>
      </x:c>
      <x:c r="T4293" s="10" t="n">
        <x:v>0.145833</x:v>
      </x:c>
      <x:c r="U4293" s="4" t="str">
        <x:v>Test</x:v>
      </x:c>
    </x:row>
    <x:row r="4294" ht="34" customHeight="1">
      <x:c r="A4294" s="4" t="str">
        <x:v>RS-04293</x:v>
      </x:c>
      <x:c r="B4294" s="8" t="n">
        <x:v>45544</x:v>
      </x:c>
      <x:c r="C4294" s="4" t="str">
        <x:v>PRJ-013</x:v>
      </x:c>
      <x:c r="D4294" s="4" t="str">
        <x:v>Villa</x:v>
      </x:c>
      <x:c r="E4294" s="4" t="str">
        <x:v>Agreement signed</x:v>
      </x:c>
      <x:c r="F4294" s="4" t="str">
        <x:v>CUS-04293</x:v>
      </x:c>
      <x:c r="G4294" s="4" t="str">
        <x:v>UNIT-04293</x:v>
      </x:c>
      <x:c r="H4294" s="9" t="n">
        <x:v>12300000</x:v>
      </x:c>
      <x:c r="I4294" s="10" t="n">
        <x:v>0.07</x:v>
      </x:c>
      <x:c r="J4294" s="11" t="n">
        <x:v>12</x:v>
      </x:c>
      <x:c r="K4294" s="11" t="n">
        <x:v>1</x:v>
      </x:c>
      <x:c r="L4294" s="11" t="n">
        <x:v>0</x:v>
      </x:c>
      <x:c r="M4294" s="9" t="n">
        <x:f>ROUND(H4294*(1-I4294),2)</x:f>
        <x:v>11439000</x:v>
      </x:c>
      <x:c r="N4294" s="4" t="str">
        <x:v>Sales manager</x:v>
      </x:c>
      <x:c r="O4294" s="4" t="str">
        <x:v>BOOK-04293</x:v>
      </x:c>
      <x:c r="P4294" s="9" t="n">
        <x:v>1143900</x:v>
      </x:c>
      <x:c r="Q4294" s="11" t="n">
        <x:v>0</x:v>
      </x:c>
      <x:c r="R4294" s="8" t="n">
        <x:v>45604</x:v>
      </x:c>
      <x:c r="S4294" s="4" t="str">
        <x:v>Retained</x:v>
      </x:c>
      <x:c r="T4294" s="10" t="n">
        <x:v>0.351536</x:v>
      </x:c>
      <x:c r="U4294" s="4" t="str">
        <x:v>Test</x:v>
      </x:c>
    </x:row>
    <x:row r="4295" ht="34" customHeight="1">
      <x:c r="A4295" s="4" t="str">
        <x:v>RS-04294</x:v>
      </x:c>
      <x:c r="B4295" s="8" t="n">
        <x:v>45545</x:v>
      </x:c>
      <x:c r="C4295" s="4" t="str">
        <x:v>PRJ-014</x:v>
      </x:c>
      <x:c r="D4295" s="4" t="str">
        <x:v>Office</x:v>
      </x:c>
      <x:c r="E4295" s="4" t="str">
        <x:v>Booked</x:v>
      </x:c>
      <x:c r="F4295" s="4" t="str">
        <x:v>CUS-04294</x:v>
      </x:c>
      <x:c r="G4295" s="4" t="str">
        <x:v>UNIT-04294</x:v>
      </x:c>
      <x:c r="H4295" s="9" t="n">
        <x:v>4700000</x:v>
      </x:c>
      <x:c r="I4295" s="10" t="n">
        <x:v>0.08</x:v>
      </x:c>
      <x:c r="J4295" s="11" t="n">
        <x:v>9</x:v>
      </x:c>
      <x:c r="K4295" s="11" t="n">
        <x:v>1</x:v>
      </x:c>
      <x:c r="L4295" s="11" t="n">
        <x:v>0</x:v>
      </x:c>
      <x:c r="M4295" s="9" t="n">
        <x:f>ROUND(H4295*(1-I4295),2)</x:f>
        <x:v>4324000</x:v>
      </x:c>
      <x:c r="N4295" s="4" t="str">
        <x:v>Sales head</x:v>
      </x:c>
      <x:c r="O4295" s="4" t="str">
        <x:v>BOOK-04294</x:v>
      </x:c>
      <x:c r="P4295" s="9" t="n">
        <x:v>2162000</x:v>
      </x:c>
      <x:c r="Q4295" s="11" t="n">
        <x:v>0</x:v>
      </x:c>
      <x:c r="R4295" s="8" t="n">
        <x:v>45605</x:v>
      </x:c>
      <x:c r="S4295" s="4" t="str">
        <x:v>Retained</x:v>
      </x:c>
      <x:c r="T4295" s="10" t="n">
        <x:v>0.310195</x:v>
      </x:c>
      <x:c r="U4295" s="4" t="str">
        <x:v>Test</x:v>
      </x:c>
    </x:row>
    <x:row r="4296" ht="34" customHeight="1">
      <x:c r="A4296" s="4" t="str">
        <x:v>RS-04295</x:v>
      </x:c>
      <x:c r="B4296" s="8" t="n">
        <x:v>45546</x:v>
      </x:c>
      <x:c r="C4296" s="4" t="str">
        <x:v>PRJ-015</x:v>
      </x:c>
      <x:c r="D4296" s="4" t="str">
        <x:v>Apartment</x:v>
      </x:c>
      <x:c r="E4296" s="4" t="str">
        <x:v>Reserved</x:v>
      </x:c>
      <x:c r="F4296" s="4" t="str">
        <x:v>CUS-04295</x:v>
      </x:c>
      <x:c r="G4296" s="4" t="str">
        <x:v>UNIT-04295</x:v>
      </x:c>
      <x:c r="H4296" s="9" t="n">
        <x:v>11900000</x:v>
      </x:c>
      <x:c r="I4296" s="10" t="n">
        <x:v>0.01</x:v>
      </x:c>
      <x:c r="J4296" s="11" t="n">
        <x:v>3</x:v>
      </x:c>
      <x:c r="K4296" s="11" t="n">
        <x:v>8</x:v>
      </x:c>
      <x:c r="L4296" s="11" t="n">
        <x:v>1</x:v>
      </x:c>
      <x:c r="M4296" s="9" t="n">
        <x:f>ROUND(H4296*(1-I4296),2)</x:f>
        <x:v>11781000</x:v>
      </x:c>
      <x:c r="N4296" s="4" t="str">
        <x:v>Sales manager</x:v>
      </x:c>
      <x:c r="O4296" s="4"/>
      <x:c r="P4296" s="9" t="n">
        <x:v>0</x:v>
      </x:c>
      <x:c r="Q4296" s="11" t="n">
        <x:v>0</x:v>
      </x:c>
      <x:c r="R4296" s="8" t="n">
        <x:v>45606</x:v>
      </x:c>
      <x:c r="S4296" s="4" t="str">
        <x:v>Retained</x:v>
      </x:c>
      <x:c r="T4296" s="10" t="n">
        <x:v>0.171717</x:v>
      </x:c>
      <x:c r="U4296" s="4" t="str">
        <x:v>Test</x:v>
      </x:c>
    </x:row>
    <x:row r="4297" ht="34" customHeight="1">
      <x:c r="A4297" s="4" t="str">
        <x:v>RS-04296</x:v>
      </x:c>
      <x:c r="B4297" s="8" t="n">
        <x:v>45547</x:v>
      </x:c>
      <x:c r="C4297" s="4" t="str">
        <x:v>PRJ-016</x:v>
      </x:c>
      <x:c r="D4297" s="4" t="str">
        <x:v>Office</x:v>
      </x:c>
      <x:c r="E4297" s="4" t="str">
        <x:v>Enquiry</x:v>
      </x:c>
      <x:c r="F4297" s="4" t="str">
        <x:v>CUS-04296</x:v>
      </x:c>
      <x:c r="G4297" s="4" t="str">
        <x:v>UNIT-04296</x:v>
      </x:c>
      <x:c r="H4297" s="9" t="n">
        <x:v>12500000</x:v>
      </x:c>
      <x:c r="I4297" s="10" t="n">
        <x:v>0.1</x:v>
      </x:c>
      <x:c r="J4297" s="11" t="n">
        <x:v>1</x:v>
      </x:c>
      <x:c r="K4297" s="11" t="n">
        <x:v>6</x:v>
      </x:c>
      <x:c r="L4297" s="11" t="n">
        <x:v>1</x:v>
      </x:c>
      <x:c r="M4297" s="9" t="n">
        <x:f>ROUND(H4297*(1-I4297),2)</x:f>
        <x:v>11250000</x:v>
      </x:c>
      <x:c r="N4297" s="4" t="str">
        <x:v>Sales head</x:v>
      </x:c>
      <x:c r="O4297" s="4"/>
      <x:c r="P4297" s="9" t="n">
        <x:v>0</x:v>
      </x:c>
      <x:c r="Q4297" s="11" t="n">
        <x:v>0</x:v>
      </x:c>
      <x:c r="R4297" s="8" t="n">
        <x:v>45607</x:v>
      </x:c>
      <x:c r="S4297" s="4" t="str">
        <x:v>Retained</x:v>
      </x:c>
      <x:c r="T4297" s="10" t="n">
        <x:v>0.145833</x:v>
      </x:c>
      <x:c r="U4297" s="4" t="str">
        <x:v>Test</x:v>
      </x:c>
    </x:row>
    <x:row r="4298" ht="34" customHeight="1">
      <x:c r="A4298" s="4" t="str">
        <x:v>RS-04297</x:v>
      </x:c>
      <x:c r="B4298" s="8" t="n">
        <x:v>45548</x:v>
      </x:c>
      <x:c r="C4298" s="4" t="str">
        <x:v>PRJ-017</x:v>
      </x:c>
      <x:c r="D4298" s="4" t="str">
        <x:v>Villa</x:v>
      </x:c>
      <x:c r="E4298" s="4" t="str">
        <x:v>Enquiry</x:v>
      </x:c>
      <x:c r="F4298" s="4" t="str">
        <x:v>CUS-04297</x:v>
      </x:c>
      <x:c r="G4298" s="4" t="str">
        <x:v>UNIT-04297</x:v>
      </x:c>
      <x:c r="H4298" s="9" t="n">
        <x:v>12000000</x:v>
      </x:c>
      <x:c r="I4298" s="10" t="n">
        <x:v>0.06</x:v>
      </x:c>
      <x:c r="J4298" s="11" t="n">
        <x:v>0</x:v>
      </x:c>
      <x:c r="K4298" s="11" t="n">
        <x:v>0</x:v>
      </x:c>
      <x:c r="L4298" s="11" t="n">
        <x:v>0</x:v>
      </x:c>
      <x:c r="M4298" s="9" t="n">
        <x:f>ROUND(H4298*(1-I4298),2)</x:f>
        <x:v>11280000</x:v>
      </x:c>
      <x:c r="N4298" s="4" t="str">
        <x:v>Sales manager</x:v>
      </x:c>
      <x:c r="O4298" s="4"/>
      <x:c r="P4298" s="9" t="n">
        <x:v>0</x:v>
      </x:c>
      <x:c r="Q4298" s="11" t="n">
        <x:v>0</x:v>
      </x:c>
      <x:c r="R4298" s="8" t="n">
        <x:v>45608</x:v>
      </x:c>
      <x:c r="S4298" s="4" t="str">
        <x:v>Retained</x:v>
      </x:c>
      <x:c r="T4298" s="10" t="n">
        <x:v>0.276923</x:v>
      </x:c>
      <x:c r="U4298" s="4" t="str">
        <x:v>Test</x:v>
      </x:c>
    </x:row>
    <x:row r="4299" ht="34" customHeight="1">
      <x:c r="A4299" s="4" t="str">
        <x:v>RS-04298</x:v>
      </x:c>
      <x:c r="B4299" s="8" t="n">
        <x:v>45549</x:v>
      </x:c>
      <x:c r="C4299" s="4" t="str">
        <x:v>PRJ-018</x:v>
      </x:c>
      <x:c r="D4299" s="4" t="str">
        <x:v>Retail</x:v>
      </x:c>
      <x:c r="E4299" s="4" t="str">
        <x:v>Agreement signed</x:v>
      </x:c>
      <x:c r="F4299" s="4" t="str">
        <x:v>CUS-04298</x:v>
      </x:c>
      <x:c r="G4299" s="4" t="str">
        <x:v>UNIT-04298</x:v>
      </x:c>
      <x:c r="H4299" s="9" t="n">
        <x:v>16800000</x:v>
      </x:c>
      <x:c r="I4299" s="10" t="n">
        <x:v>0.08</x:v>
      </x:c>
      <x:c r="J4299" s="11" t="n">
        <x:v>12</x:v>
      </x:c>
      <x:c r="K4299" s="11" t="n">
        <x:v>8</x:v>
      </x:c>
      <x:c r="L4299" s="11" t="n">
        <x:v>1</x:v>
      </x:c>
      <x:c r="M4299" s="9" t="n">
        <x:f>ROUND(H4299*(1-I4299),2)</x:f>
        <x:v>15456000</x:v>
      </x:c>
      <x:c r="N4299" s="4" t="str">
        <x:v>Sales head</x:v>
      </x:c>
      <x:c r="O4299" s="4" t="str">
        <x:v>BOOK-04298</x:v>
      </x:c>
      <x:c r="P4299" s="9" t="n">
        <x:v>7728000</x:v>
      </x:c>
      <x:c r="Q4299" s="11" t="n">
        <x:v>0</x:v>
      </x:c>
      <x:c r="R4299" s="8" t="n">
        <x:v>45609</x:v>
      </x:c>
      <x:c r="S4299" s="4" t="str">
        <x:v>Retained</x:v>
      </x:c>
      <x:c r="T4299" s="10" t="n">
        <x:v>0.351536</x:v>
      </x:c>
      <x:c r="U4299" s="4" t="str">
        <x:v>Test</x:v>
      </x:c>
    </x:row>
    <x:row r="4300" ht="34" customHeight="1">
      <x:c r="A4300" s="4" t="str">
        <x:v>RS-04299</x:v>
      </x:c>
      <x:c r="B4300" s="8" t="n">
        <x:v>45550</x:v>
      </x:c>
      <x:c r="C4300" s="4" t="str">
        <x:v>PRJ-019</x:v>
      </x:c>
      <x:c r="D4300" s="4" t="str">
        <x:v>Apartment</x:v>
      </x:c>
      <x:c r="E4300" s="4" t="str">
        <x:v>Booked</x:v>
      </x:c>
      <x:c r="F4300" s="4" t="str">
        <x:v>CUS-04299</x:v>
      </x:c>
      <x:c r="G4300" s="4" t="str">
        <x:v>UNIT-04299</x:v>
      </x:c>
      <x:c r="H4300" s="9" t="n">
        <x:v>22700000</x:v>
      </x:c>
      <x:c r="I4300" s="10" t="n">
        <x:v>0.06</x:v>
      </x:c>
      <x:c r="J4300" s="11" t="n">
        <x:v>7</x:v>
      </x:c>
      <x:c r="K4300" s="11" t="n">
        <x:v>8</x:v>
      </x:c>
      <x:c r="L4300" s="11" t="n">
        <x:v>0</x:v>
      </x:c>
      <x:c r="M4300" s="9" t="n">
        <x:f>ROUND(H4300*(1-I4300),2)</x:f>
        <x:v>21338000</x:v>
      </x:c>
      <x:c r="N4300" s="4" t="str">
        <x:v>Sales manager</x:v>
      </x:c>
      <x:c r="O4300" s="4" t="str">
        <x:v>BOOK-04299</x:v>
      </x:c>
      <x:c r="P4300" s="9" t="n">
        <x:v>21338000</x:v>
      </x:c>
      <x:c r="Q4300" s="11" t="n">
        <x:v>0</x:v>
      </x:c>
      <x:c r="R4300" s="8" t="n">
        <x:v>45610</x:v>
      </x:c>
      <x:c r="S4300" s="4" t="str">
        <x:v>Retained</x:v>
      </x:c>
      <x:c r="T4300" s="10" t="n">
        <x:v>0.226277</x:v>
      </x:c>
      <x:c r="U4300" s="4" t="str">
        <x:v>Test</x:v>
      </x:c>
    </x:row>
    <x:row r="4301" ht="34" customHeight="1">
      <x:c r="A4301" s="4" t="str">
        <x:v>RS-04300</x:v>
      </x:c>
      <x:c r="B4301" s="8" t="n">
        <x:v>45551</x:v>
      </x:c>
      <x:c r="C4301" s="4" t="str">
        <x:v>PRJ-020</x:v>
      </x:c>
      <x:c r="D4301" s="4" t="str">
        <x:v>Villa</x:v>
      </x:c>
      <x:c r="E4301" s="4" t="str">
        <x:v>Cancelled</x:v>
      </x:c>
      <x:c r="F4301" s="4" t="str">
        <x:v>CUS-04300</x:v>
      </x:c>
      <x:c r="G4301" s="4" t="str">
        <x:v>UNIT-04300</x:v>
      </x:c>
      <x:c r="H4301" s="9" t="n">
        <x:v>24000000</x:v>
      </x:c>
      <x:c r="I4301" s="10" t="n">
        <x:v>0.03</x:v>
      </x:c>
      <x:c r="J4301" s="11" t="n">
        <x:v>1</x:v>
      </x:c>
      <x:c r="K4301" s="11" t="n">
        <x:v>4</x:v>
      </x:c>
      <x:c r="L4301" s="11" t="n">
        <x:v>0</x:v>
      </x:c>
      <x:c r="M4301" s="9" t="n">
        <x:f>ROUND(H4301*(1-I4301),2)</x:f>
        <x:v>23280000</x:v>
      </x:c>
      <x:c r="N4301" s="4" t="str">
        <x:v>Sales manager</x:v>
      </x:c>
      <x:c r="O4301" s="4"/>
      <x:c r="P4301" s="9" t="n">
        <x:v>0</x:v>
      </x:c>
      <x:c r="Q4301" s="11" t="n">
        <x:v>1</x:v>
      </x:c>
      <x:c r="R4301" s="8" t="n">
        <x:v>45611</x:v>
      </x:c>
      <x:c r="S4301" s="4" t="str">
        <x:v>Lost / cancelled</x:v>
      </x:c>
      <x:c r="T4301" s="10" t="n">
        <x:v>0.072165</x:v>
      </x:c>
      <x:c r="U4301" s="4" t="str">
        <x:v>Test</x:v>
      </x:c>
    </x:row>
    <x:row r="4302" ht="34" customHeight="1">
      <x:c r="A4302" s="4" t="str">
        <x:v>RS-04301</x:v>
      </x:c>
      <x:c r="B4302" s="8" t="n">
        <x:v>45552</x:v>
      </x:c>
      <x:c r="C4302" s="4" t="str">
        <x:v>PRJ-001</x:v>
      </x:c>
      <x:c r="D4302" s="4" t="str">
        <x:v>Apartment</x:v>
      </x:c>
      <x:c r="E4302" s="4" t="str">
        <x:v>Booked</x:v>
      </x:c>
      <x:c r="F4302" s="4" t="str">
        <x:v>CUS-04301</x:v>
      </x:c>
      <x:c r="G4302" s="4" t="str">
        <x:v>UNIT-04301</x:v>
      </x:c>
      <x:c r="H4302" s="9" t="n">
        <x:v>6100000</x:v>
      </x:c>
      <x:c r="I4302" s="10" t="n">
        <x:v>0.05</x:v>
      </x:c>
      <x:c r="J4302" s="11" t="n">
        <x:v>7</x:v>
      </x:c>
      <x:c r="K4302" s="11" t="n">
        <x:v>10</x:v>
      </x:c>
      <x:c r="L4302" s="11" t="n">
        <x:v>1</x:v>
      </x:c>
      <x:c r="M4302" s="9" t="n">
        <x:f>ROUND(H4302*(1-I4302),2)</x:f>
        <x:v>5795000</x:v>
      </x:c>
      <x:c r="N4302" s="4" t="str">
        <x:v>Sales manager</x:v>
      </x:c>
      <x:c r="O4302" s="4" t="str">
        <x:v>BOOK-04301</x:v>
      </x:c>
      <x:c r="P4302" s="9" t="n">
        <x:v>579500</x:v>
      </x:c>
      <x:c r="Q4302" s="11" t="n">
        <x:v>0</x:v>
      </x:c>
      <x:c r="R4302" s="8" t="n">
        <x:v>45612</x:v>
      </x:c>
      <x:c r="S4302" s="4" t="str">
        <x:v>Retained</x:v>
      </x:c>
      <x:c r="T4302" s="10" t="n">
        <x:v>0.291946</x:v>
      </x:c>
      <x:c r="U4302" s="4" t="str">
        <x:v>Test</x:v>
      </x:c>
    </x:row>
    <x:row r="4303" ht="34" customHeight="1">
      <x:c r="A4303" s="4" t="str">
        <x:v>RS-04302</x:v>
      </x:c>
      <x:c r="B4303" s="8" t="n">
        <x:v>45553</x:v>
      </x:c>
      <x:c r="C4303" s="4" t="str">
        <x:v>PRJ-002</x:v>
      </x:c>
      <x:c r="D4303" s="4" t="str">
        <x:v>Retail</x:v>
      </x:c>
      <x:c r="E4303" s="4" t="str">
        <x:v>Cancelled</x:v>
      </x:c>
      <x:c r="F4303" s="4" t="str">
        <x:v>CUS-04302</x:v>
      </x:c>
      <x:c r="G4303" s="4" t="str">
        <x:v>UNIT-04302</x:v>
      </x:c>
      <x:c r="H4303" s="9" t="n">
        <x:v>23000000</x:v>
      </x:c>
      <x:c r="I4303" s="10" t="n">
        <x:v>0.08</x:v>
      </x:c>
      <x:c r="J4303" s="11" t="n">
        <x:v>1</x:v>
      </x:c>
      <x:c r="K4303" s="11" t="n">
        <x:v>5</x:v>
      </x:c>
      <x:c r="L4303" s="11" t="n">
        <x:v>0</x:v>
      </x:c>
      <x:c r="M4303" s="9" t="n">
        <x:f>ROUND(H4303*(1-I4303),2)</x:f>
        <x:v>21160000</x:v>
      </x:c>
      <x:c r="N4303" s="4" t="str">
        <x:v>Sales head</x:v>
      </x:c>
      <x:c r="O4303" s="4"/>
      <x:c r="P4303" s="9" t="n">
        <x:v>0</x:v>
      </x:c>
      <x:c r="Q4303" s="11" t="n">
        <x:v>1</x:v>
      </x:c>
      <x:c r="R4303" s="8" t="n">
        <x:v>45613</x:v>
      </x:c>
      <x:c r="S4303" s="4" t="str">
        <x:v>Lost / cancelled</x:v>
      </x:c>
      <x:c r="T4303" s="10" t="n">
        <x:v>0.204152</x:v>
      </x:c>
      <x:c r="U4303" s="4" t="str">
        <x:v>Test</x:v>
      </x:c>
    </x:row>
    <x:row r="4304" ht="34" customHeight="1">
      <x:c r="A4304" s="4" t="str">
        <x:v>RS-04303</x:v>
      </x:c>
      <x:c r="B4304" s="8" t="n">
        <x:v>45554</x:v>
      </x:c>
      <x:c r="C4304" s="4" t="str">
        <x:v>PRJ-003</x:v>
      </x:c>
      <x:c r="D4304" s="4" t="str">
        <x:v>Apartment</x:v>
      </x:c>
      <x:c r="E4304" s="4" t="str">
        <x:v>Enquiry</x:v>
      </x:c>
      <x:c r="F4304" s="4" t="str">
        <x:v>CUS-04303</x:v>
      </x:c>
      <x:c r="G4304" s="4" t="str">
        <x:v>UNIT-04303</x:v>
      </x:c>
      <x:c r="H4304" s="9" t="n">
        <x:v>19400000</x:v>
      </x:c>
      <x:c r="I4304" s="10" t="n">
        <x:v>0.11</x:v>
      </x:c>
      <x:c r="J4304" s="11" t="n">
        <x:v>0</x:v>
      </x:c>
      <x:c r="K4304" s="11" t="n">
        <x:v>2</x:v>
      </x:c>
      <x:c r="L4304" s="11" t="n">
        <x:v>1</x:v>
      </x:c>
      <x:c r="M4304" s="9" t="n">
        <x:f>ROUND(H4304*(1-I4304),2)</x:f>
        <x:v>17266000</x:v>
      </x:c>
      <x:c r="N4304" s="4" t="str">
        <x:v>Sales head</x:v>
      </x:c>
      <x:c r="O4304" s="4"/>
      <x:c r="P4304" s="9" t="n">
        <x:v>0</x:v>
      </x:c>
      <x:c r="Q4304" s="11" t="n">
        <x:v>0</x:v>
      </x:c>
      <x:c r="R4304" s="8" t="n">
        <x:v>45614</x:v>
      </x:c>
      <x:c r="S4304" s="4" t="str">
        <x:v>Retained</x:v>
      </x:c>
      <x:c r="T4304" s="10" t="n">
        <x:v>0.145833</x:v>
      </x:c>
      <x:c r="U4304" s="4" t="str">
        <x:v>Test</x:v>
      </x:c>
    </x:row>
    <x:row r="4305" ht="34" customHeight="1">
      <x:c r="A4305" s="4" t="str">
        <x:v>RS-04304</x:v>
      </x:c>
      <x:c r="B4305" s="8" t="n">
        <x:v>45555</x:v>
      </x:c>
      <x:c r="C4305" s="4" t="str">
        <x:v>PRJ-004</x:v>
      </x:c>
      <x:c r="D4305" s="4" t="str">
        <x:v>Apartment</x:v>
      </x:c>
      <x:c r="E4305" s="4" t="str">
        <x:v>Booked</x:v>
      </x:c>
      <x:c r="F4305" s="4" t="str">
        <x:v>CUS-04304</x:v>
      </x:c>
      <x:c r="G4305" s="4" t="str">
        <x:v>UNIT-04304</x:v>
      </x:c>
      <x:c r="H4305" s="9" t="n">
        <x:v>4000000</x:v>
      </x:c>
      <x:c r="I4305" s="10" t="n">
        <x:v>0.02</x:v>
      </x:c>
      <x:c r="J4305" s="11" t="n">
        <x:v>6</x:v>
      </x:c>
      <x:c r="K4305" s="11" t="n">
        <x:v>4</x:v>
      </x:c>
      <x:c r="L4305" s="11" t="n">
        <x:v>1</x:v>
      </x:c>
      <x:c r="M4305" s="9" t="n">
        <x:f>ROUND(H4305*(1-I4305),2)</x:f>
        <x:v>3920000</x:v>
      </x:c>
      <x:c r="N4305" s="4" t="str">
        <x:v>Sales manager</x:v>
      </x:c>
      <x:c r="O4305" s="4" t="str">
        <x:v>BOOK-04304</x:v>
      </x:c>
      <x:c r="P4305" s="9" t="n">
        <x:v>980000</x:v>
      </x:c>
      <x:c r="Q4305" s="11" t="n">
        <x:v>0</x:v>
      </x:c>
      <x:c r="R4305" s="8" t="n">
        <x:v>45615</x:v>
      </x:c>
      <x:c r="S4305" s="4" t="str">
        <x:v>Retained</x:v>
      </x:c>
      <x:c r="T4305" s="10" t="n">
        <x:v>0.298969</x:v>
      </x:c>
      <x:c r="U4305" s="4" t="str">
        <x:v>Test</x:v>
      </x:c>
    </x:row>
    <x:row r="4306" ht="34" customHeight="1">
      <x:c r="A4306" s="4" t="str">
        <x:v>RS-04305</x:v>
      </x:c>
      <x:c r="B4306" s="8" t="n">
        <x:v>45556</x:v>
      </x:c>
      <x:c r="C4306" s="4" t="str">
        <x:v>PRJ-005</x:v>
      </x:c>
      <x:c r="D4306" s="4" t="str">
        <x:v>Office</x:v>
      </x:c>
      <x:c r="E4306" s="4" t="str">
        <x:v>Agreement signed</x:v>
      </x:c>
      <x:c r="F4306" s="4" t="str">
        <x:v>CUS-04305</x:v>
      </x:c>
      <x:c r="G4306" s="4" t="str">
        <x:v>UNIT-04305</x:v>
      </x:c>
      <x:c r="H4306" s="9" t="n">
        <x:v>24600000</x:v>
      </x:c>
      <x:c r="I4306" s="10" t="n">
        <x:v>0.03</x:v>
      </x:c>
      <x:c r="J4306" s="11" t="n">
        <x:v>3</x:v>
      </x:c>
      <x:c r="K4306" s="11" t="n">
        <x:v>5</x:v>
      </x:c>
      <x:c r="L4306" s="11" t="n">
        <x:v>1</x:v>
      </x:c>
      <x:c r="M4306" s="9" t="n">
        <x:f>ROUND(H4306*(1-I4306),2)</x:f>
        <x:v>23862000</x:v>
      </x:c>
      <x:c r="N4306" s="4" t="str">
        <x:v>Sales manager</x:v>
      </x:c>
      <x:c r="O4306" s="4" t="str">
        <x:v>BOOK-04305</x:v>
      </x:c>
      <x:c r="P4306" s="9" t="n">
        <x:v>5965500</x:v>
      </x:c>
      <x:c r="Q4306" s="11" t="n">
        <x:v>0</x:v>
      </x:c>
      <x:c r="R4306" s="8" t="n">
        <x:v>45616</x:v>
      </x:c>
      <x:c r="S4306" s="4" t="str">
        <x:v>Retained</x:v>
      </x:c>
      <x:c r="T4306" s="10" t="n">
        <x:v>0.171717</x:v>
      </x:c>
      <x:c r="U4306" s="4" t="str">
        <x:v>Test</x:v>
      </x:c>
    </x:row>
    <x:row r="4307" ht="34" customHeight="1">
      <x:c r="A4307" s="4" t="str">
        <x:v>RS-04306</x:v>
      </x:c>
      <x:c r="B4307" s="8" t="n">
        <x:v>45557</x:v>
      </x:c>
      <x:c r="C4307" s="4" t="str">
        <x:v>PRJ-006</x:v>
      </x:c>
      <x:c r="D4307" s="4" t="str">
        <x:v>Apartment</x:v>
      </x:c>
      <x:c r="E4307" s="4" t="str">
        <x:v>Reserved</x:v>
      </x:c>
      <x:c r="F4307" s="4" t="str">
        <x:v>CUS-04306</x:v>
      </x:c>
      <x:c r="G4307" s="4" t="str">
        <x:v>UNIT-04306</x:v>
      </x:c>
      <x:c r="H4307" s="9" t="n">
        <x:v>14300000</x:v>
      </x:c>
      <x:c r="I4307" s="10" t="n">
        <x:v>0.11</x:v>
      </x:c>
      <x:c r="J4307" s="11" t="n">
        <x:v>10</x:v>
      </x:c>
      <x:c r="K4307" s="11" t="n">
        <x:v>9</x:v>
      </x:c>
      <x:c r="L4307" s="11" t="n">
        <x:v>0</x:v>
      </x:c>
      <x:c r="M4307" s="9" t="n">
        <x:f>ROUND(H4307*(1-I4307),2)</x:f>
        <x:v>12727000</x:v>
      </x:c>
      <x:c r="N4307" s="4" t="str">
        <x:v>Sales head</x:v>
      </x:c>
      <x:c r="O4307" s="4"/>
      <x:c r="P4307" s="9" t="n">
        <x:v>0</x:v>
      </x:c>
      <x:c r="Q4307" s="11" t="n">
        <x:v>1</x:v>
      </x:c>
      <x:c r="R4307" s="8" t="n">
        <x:v>45617</x:v>
      </x:c>
      <x:c r="S4307" s="4" t="str">
        <x:v>Lost / cancelled</x:v>
      </x:c>
      <x:c r="T4307" s="10" t="n">
        <x:v>0.310195</x:v>
      </x:c>
      <x:c r="U4307" s="4" t="str">
        <x:v>Test</x:v>
      </x:c>
    </x:row>
    <x:row r="4308" ht="34" customHeight="1">
      <x:c r="A4308" s="4" t="str">
        <x:v>RS-04307</x:v>
      </x:c>
      <x:c r="B4308" s="8" t="n">
        <x:v>45558</x:v>
      </x:c>
      <x:c r="C4308" s="4" t="str">
        <x:v>PRJ-007</x:v>
      </x:c>
      <x:c r="D4308" s="4" t="str">
        <x:v>Apartment</x:v>
      </x:c>
      <x:c r="E4308" s="4" t="str">
        <x:v>Handed over</x:v>
      </x:c>
      <x:c r="F4308" s="4" t="str">
        <x:v>CUS-04307</x:v>
      </x:c>
      <x:c r="G4308" s="4" t="str">
        <x:v>UNIT-04307</x:v>
      </x:c>
      <x:c r="H4308" s="9" t="n">
        <x:v>8600000</x:v>
      </x:c>
      <x:c r="I4308" s="10" t="n">
        <x:v>0.04</x:v>
      </x:c>
      <x:c r="J4308" s="11" t="n">
        <x:v>0</x:v>
      </x:c>
      <x:c r="K4308" s="11" t="n">
        <x:v>5</x:v>
      </x:c>
      <x:c r="L4308" s="11" t="n">
        <x:v>0</x:v>
      </x:c>
      <x:c r="M4308" s="9" t="n">
        <x:f>ROUND(H4308*(1-I4308),2)</x:f>
        <x:v>8256000</x:v>
      </x:c>
      <x:c r="N4308" s="4" t="str">
        <x:v>Sales manager</x:v>
      </x:c>
      <x:c r="O4308" s="4" t="str">
        <x:v>BOOK-04307</x:v>
      </x:c>
      <x:c r="P4308" s="9" t="n">
        <x:v>2064000</x:v>
      </x:c>
      <x:c r="Q4308" s="11" t="n">
        <x:v>0</x:v>
      </x:c>
      <x:c r="R4308" s="8" t="n">
        <x:v>45618</x:v>
      </x:c>
      <x:c r="S4308" s="4" t="str">
        <x:v>Retained</x:v>
      </x:c>
      <x:c r="T4308" s="10" t="n">
        <x:v>0.204152</x:v>
      </x:c>
      <x:c r="U4308" s="4" t="str">
        <x:v>Test</x:v>
      </x:c>
    </x:row>
    <x:row r="4309" ht="34" customHeight="1">
      <x:c r="A4309" s="4" t="str">
        <x:v>RS-04308</x:v>
      </x:c>
      <x:c r="B4309" s="8" t="n">
        <x:v>45559</x:v>
      </x:c>
      <x:c r="C4309" s="4" t="str">
        <x:v>PRJ-008</x:v>
      </x:c>
      <x:c r="D4309" s="4" t="str">
        <x:v>Retail</x:v>
      </x:c>
      <x:c r="E4309" s="4" t="str">
        <x:v>Enquiry</x:v>
      </x:c>
      <x:c r="F4309" s="4" t="str">
        <x:v>CUS-04308</x:v>
      </x:c>
      <x:c r="G4309" s="4" t="str">
        <x:v>UNIT-04308</x:v>
      </x:c>
      <x:c r="H4309" s="9" t="n">
        <x:v>21300000</x:v>
      </x:c>
      <x:c r="I4309" s="10" t="n">
        <x:v>0.07</x:v>
      </x:c>
      <x:c r="J4309" s="11" t="n">
        <x:v>11</x:v>
      </x:c>
      <x:c r="K4309" s="11" t="n">
        <x:v>0</x:v>
      </x:c>
      <x:c r="L4309" s="11" t="n">
        <x:v>1</x:v>
      </x:c>
      <x:c r="M4309" s="9" t="n">
        <x:f>ROUND(H4309*(1-I4309),2)</x:f>
        <x:v>19809000</x:v>
      </x:c>
      <x:c r="N4309" s="4" t="str">
        <x:v>Sales manager</x:v>
      </x:c>
      <x:c r="O4309" s="4"/>
      <x:c r="P4309" s="9" t="n">
        <x:v>0</x:v>
      </x:c>
      <x:c r="Q4309" s="11" t="n">
        <x:v>1</x:v>
      </x:c>
      <x:c r="R4309" s="8" t="n">
        <x:v>45619</x:v>
      </x:c>
      <x:c r="S4309" s="4" t="str">
        <x:v>Lost / cancelled</x:v>
      </x:c>
      <x:c r="T4309" s="10" t="n">
        <x:v>0.351536</x:v>
      </x:c>
      <x:c r="U4309" s="4" t="str">
        <x:v>Test</x:v>
      </x:c>
    </x:row>
    <x:row r="4310" ht="34" customHeight="1">
      <x:c r="A4310" s="4" t="str">
        <x:v>RS-04309</x:v>
      </x:c>
      <x:c r="B4310" s="8" t="n">
        <x:v>45560</x:v>
      </x:c>
      <x:c r="C4310" s="4" t="str">
        <x:v>PRJ-009</x:v>
      </x:c>
      <x:c r="D4310" s="4" t="str">
        <x:v>Apartment</x:v>
      </x:c>
      <x:c r="E4310" s="4" t="str">
        <x:v>Reserved</x:v>
      </x:c>
      <x:c r="F4310" s="4" t="str">
        <x:v>CUS-04309</x:v>
      </x:c>
      <x:c r="G4310" s="4" t="str">
        <x:v>UNIT-04309</x:v>
      </x:c>
      <x:c r="H4310" s="9" t="n">
        <x:v>5900000</x:v>
      </x:c>
      <x:c r="I4310" s="10" t="n">
        <x:v>0.02</x:v>
      </x:c>
      <x:c r="J4310" s="11" t="n">
        <x:v>0</x:v>
      </x:c>
      <x:c r="K4310" s="11" t="n">
        <x:v>10</x:v>
      </x:c>
      <x:c r="L4310" s="11" t="n">
        <x:v>1</x:v>
      </x:c>
      <x:c r="M4310" s="9" t="n">
        <x:f>ROUND(H4310*(1-I4310),2)</x:f>
        <x:v>5782000</x:v>
      </x:c>
      <x:c r="N4310" s="4" t="str">
        <x:v>Sales manager</x:v>
      </x:c>
      <x:c r="O4310" s="4"/>
      <x:c r="P4310" s="9" t="n">
        <x:v>0</x:v>
      </x:c>
      <x:c r="Q4310" s="11" t="n">
        <x:v>0</x:v>
      </x:c>
      <x:c r="R4310" s="8" t="n">
        <x:v>45620</x:v>
      </x:c>
      <x:c r="S4310" s="4" t="str">
        <x:v>Retained</x:v>
      </x:c>
      <x:c r="T4310" s="10" t="n">
        <x:v>0.072165</x:v>
      </x:c>
      <x:c r="U4310" s="4" t="str">
        <x:v>Test</x:v>
      </x:c>
    </x:row>
    <x:row r="4311" ht="34" customHeight="1">
      <x:c r="A4311" s="4" t="str">
        <x:v>RS-04310</x:v>
      </x:c>
      <x:c r="B4311" s="8" t="n">
        <x:v>45561</x:v>
      </x:c>
      <x:c r="C4311" s="4" t="str">
        <x:v>PRJ-010</x:v>
      </x:c>
      <x:c r="D4311" s="4" t="str">
        <x:v>Retail</x:v>
      </x:c>
      <x:c r="E4311" s="4" t="str">
        <x:v>Enquiry</x:v>
      </x:c>
      <x:c r="F4311" s="4" t="str">
        <x:v>CUS-04310</x:v>
      </x:c>
      <x:c r="G4311" s="4" t="str">
        <x:v>UNIT-04310</x:v>
      </x:c>
      <x:c r="H4311" s="9" t="n">
        <x:v>14300000</x:v>
      </x:c>
      <x:c r="I4311" s="10" t="n">
        <x:v>0.09</x:v>
      </x:c>
      <x:c r="J4311" s="11" t="n">
        <x:v>4</x:v>
      </x:c>
      <x:c r="K4311" s="11" t="n">
        <x:v>8</x:v>
      </x:c>
      <x:c r="L4311" s="11" t="n">
        <x:v>0</x:v>
      </x:c>
      <x:c r="M4311" s="9" t="n">
        <x:f>ROUND(H4311*(1-I4311),2)</x:f>
        <x:v>13013000</x:v>
      </x:c>
      <x:c r="N4311" s="4" t="str">
        <x:v>Sales head</x:v>
      </x:c>
      <x:c r="O4311" s="4"/>
      <x:c r="P4311" s="9" t="n">
        <x:v>0</x:v>
      </x:c>
      <x:c r="Q4311" s="11" t="n">
        <x:v>0</x:v>
      </x:c>
      <x:c r="R4311" s="8" t="n">
        <x:v>45621</x:v>
      </x:c>
      <x:c r="S4311" s="4" t="str">
        <x:v>Retained</x:v>
      </x:c>
      <x:c r="T4311" s="10" t="n">
        <x:v>0.226277</x:v>
      </x:c>
      <x:c r="U4311" s="4" t="str">
        <x:v>Test</x:v>
      </x:c>
    </x:row>
    <x:row r="4312" ht="34" customHeight="1">
      <x:c r="A4312" s="4" t="str">
        <x:v>RS-04311</x:v>
      </x:c>
      <x:c r="B4312" s="8" t="n">
        <x:v>45562</x:v>
      </x:c>
      <x:c r="C4312" s="4" t="str">
        <x:v>PRJ-011</x:v>
      </x:c>
      <x:c r="D4312" s="4" t="str">
        <x:v>Apartment</x:v>
      </x:c>
      <x:c r="E4312" s="4" t="str">
        <x:v>Booked</x:v>
      </x:c>
      <x:c r="F4312" s="4" t="str">
        <x:v>CUS-04311</x:v>
      </x:c>
      <x:c r="G4312" s="4" t="str">
        <x:v>UNIT-04311</x:v>
      </x:c>
      <x:c r="H4312" s="9" t="n">
        <x:v>4600000</x:v>
      </x:c>
      <x:c r="I4312" s="10" t="n">
        <x:v>0.1</x:v>
      </x:c>
      <x:c r="J4312" s="11" t="n">
        <x:v>1</x:v>
      </x:c>
      <x:c r="K4312" s="11" t="n">
        <x:v>2</x:v>
      </x:c>
      <x:c r="L4312" s="11" t="n">
        <x:v>1</x:v>
      </x:c>
      <x:c r="M4312" s="9" t="n">
        <x:f>ROUND(H4312*(1-I4312),2)</x:f>
        <x:v>4140000</x:v>
      </x:c>
      <x:c r="N4312" s="4" t="str">
        <x:v>Sales head</x:v>
      </x:c>
      <x:c r="O4312" s="4" t="str">
        <x:v>BOOK-04311</x:v>
      </x:c>
      <x:c r="P4312" s="9" t="n">
        <x:v>2070000</x:v>
      </x:c>
      <x:c r="Q4312" s="11" t="n">
        <x:v>0</x:v>
      </x:c>
      <x:c r="R4312" s="8" t="n">
        <x:v>45622</x:v>
      </x:c>
      <x:c r="S4312" s="4" t="str">
        <x:v>Retained</x:v>
      </x:c>
      <x:c r="T4312" s="10" t="n">
        <x:v>0.145833</x:v>
      </x:c>
      <x:c r="U4312" s="4" t="str">
        <x:v>Test</x:v>
      </x:c>
    </x:row>
    <x:row r="4313" ht="34" customHeight="1">
      <x:c r="A4313" s="4" t="str">
        <x:v>RS-04312</x:v>
      </x:c>
      <x:c r="B4313" s="8" t="n">
        <x:v>45563</x:v>
      </x:c>
      <x:c r="C4313" s="4" t="str">
        <x:v>PRJ-012</x:v>
      </x:c>
      <x:c r="D4313" s="4" t="str">
        <x:v>Office</x:v>
      </x:c>
      <x:c r="E4313" s="4" t="str">
        <x:v>Reserved</x:v>
      </x:c>
      <x:c r="F4313" s="4" t="str">
        <x:v>CUS-04312</x:v>
      </x:c>
      <x:c r="G4313" s="4" t="str">
        <x:v>UNIT-04312</x:v>
      </x:c>
      <x:c r="H4313" s="9" t="n">
        <x:v>5500000</x:v>
      </x:c>
      <x:c r="I4313" s="10" t="n">
        <x:v>0.01</x:v>
      </x:c>
      <x:c r="J4313" s="11" t="n">
        <x:v>5</x:v>
      </x:c>
      <x:c r="K4313" s="11" t="n">
        <x:v>1</x:v>
      </x:c>
      <x:c r="L4313" s="11" t="n">
        <x:v>1</x:v>
      </x:c>
      <x:c r="M4313" s="9" t="n">
        <x:f>ROUND(H4313*(1-I4313),2)</x:f>
        <x:v>5445000</x:v>
      </x:c>
      <x:c r="N4313" s="4" t="str">
        <x:v>Sales manager</x:v>
      </x:c>
      <x:c r="O4313" s="4"/>
      <x:c r="P4313" s="9" t="n">
        <x:v>0</x:v>
      </x:c>
      <x:c r="Q4313" s="11" t="n">
        <x:v>0</x:v>
      </x:c>
      <x:c r="R4313" s="8" t="n">
        <x:v>45623</x:v>
      </x:c>
      <x:c r="S4313" s="4" t="str">
        <x:v>Retained</x:v>
      </x:c>
      <x:c r="T4313" s="10" t="n">
        <x:v>0.298969</x:v>
      </x:c>
      <x:c r="U4313" s="4" t="str">
        <x:v>Test</x:v>
      </x:c>
    </x:row>
    <x:row r="4314" ht="34" customHeight="1">
      <x:c r="A4314" s="4" t="str">
        <x:v>RS-04313</x:v>
      </x:c>
      <x:c r="B4314" s="8" t="n">
        <x:v>45536</x:v>
      </x:c>
      <x:c r="C4314" s="4" t="str">
        <x:v>PRJ-013</x:v>
      </x:c>
      <x:c r="D4314" s="4" t="str">
        <x:v>Apartment</x:v>
      </x:c>
      <x:c r="E4314" s="4" t="str">
        <x:v>Cancelled</x:v>
      </x:c>
      <x:c r="F4314" s="4" t="str">
        <x:v>CUS-04313</x:v>
      </x:c>
      <x:c r="G4314" s="4" t="str">
        <x:v>UNIT-04313</x:v>
      </x:c>
      <x:c r="H4314" s="9" t="n">
        <x:v>19000000</x:v>
      </x:c>
      <x:c r="I4314" s="10" t="n">
        <x:v>0.01</x:v>
      </x:c>
      <x:c r="J4314" s="11" t="n">
        <x:v>3</x:v>
      </x:c>
      <x:c r="K4314" s="11" t="n">
        <x:v>9</x:v>
      </x:c>
      <x:c r="L4314" s="11" t="n">
        <x:v>1</x:v>
      </x:c>
      <x:c r="M4314" s="9" t="n">
        <x:f>ROUND(H4314*(1-I4314),2)</x:f>
        <x:v>18810000</x:v>
      </x:c>
      <x:c r="N4314" s="4" t="str">
        <x:v>Sales manager</x:v>
      </x:c>
      <x:c r="O4314" s="4"/>
      <x:c r="P4314" s="9" t="n">
        <x:v>0</x:v>
      </x:c>
      <x:c r="Q4314" s="11" t="n">
        <x:v>1</x:v>
      </x:c>
      <x:c r="R4314" s="8" t="n">
        <x:v>45596</x:v>
      </x:c>
      <x:c r="S4314" s="4" t="str">
        <x:v>Lost / cancelled</x:v>
      </x:c>
      <x:c r="T4314" s="10" t="n">
        <x:v>0.171717</x:v>
      </x:c>
      <x:c r="U4314" s="4" t="str">
        <x:v>Test</x:v>
      </x:c>
    </x:row>
    <x:row r="4315" ht="34" customHeight="1">
      <x:c r="A4315" s="4" t="str">
        <x:v>RS-04314</x:v>
      </x:c>
      <x:c r="B4315" s="8" t="n">
        <x:v>45537</x:v>
      </x:c>
      <x:c r="C4315" s="4" t="str">
        <x:v>PRJ-014</x:v>
      </x:c>
      <x:c r="D4315" s="4" t="str">
        <x:v>Villa</x:v>
      </x:c>
      <x:c r="E4315" s="4" t="str">
        <x:v>Cancelled</x:v>
      </x:c>
      <x:c r="F4315" s="4" t="str">
        <x:v>CUS-04314</x:v>
      </x:c>
      <x:c r="G4315" s="4" t="str">
        <x:v>UNIT-04314</x:v>
      </x:c>
      <x:c r="H4315" s="9" t="n">
        <x:v>18700000</x:v>
      </x:c>
      <x:c r="I4315" s="10" t="n">
        <x:v>0.08</x:v>
      </x:c>
      <x:c r="J4315" s="11" t="n">
        <x:v>3</x:v>
      </x:c>
      <x:c r="K4315" s="11" t="n">
        <x:v>3</x:v>
      </x:c>
      <x:c r="L4315" s="11" t="n">
        <x:v>0</x:v>
      </x:c>
      <x:c r="M4315" s="9" t="n">
        <x:f>ROUND(H4315*(1-I4315),2)</x:f>
        <x:v>17204000</x:v>
      </x:c>
      <x:c r="N4315" s="4" t="str">
        <x:v>Sales head</x:v>
      </x:c>
      <x:c r="O4315" s="4"/>
      <x:c r="P4315" s="9" t="n">
        <x:v>0</x:v>
      </x:c>
      <x:c r="Q4315" s="11" t="n">
        <x:v>1</x:v>
      </x:c>
      <x:c r="R4315" s="8" t="n">
        <x:v>45597</x:v>
      </x:c>
      <x:c r="S4315" s="4" t="str">
        <x:v>Lost / cancelled</x:v>
      </x:c>
      <x:c r="T4315" s="10" t="n">
        <x:v>0.204152</x:v>
      </x:c>
      <x:c r="U4315" s="4" t="str">
        <x:v>Test</x:v>
      </x:c>
    </x:row>
    <x:row r="4316" ht="34" customHeight="1">
      <x:c r="A4316" s="4" t="str">
        <x:v>RS-04315</x:v>
      </x:c>
      <x:c r="B4316" s="8" t="n">
        <x:v>45538</x:v>
      </x:c>
      <x:c r="C4316" s="4" t="str">
        <x:v>PRJ-015</x:v>
      </x:c>
      <x:c r="D4316" s="4" t="str">
        <x:v>Villa</x:v>
      </x:c>
      <x:c r="E4316" s="4" t="str">
        <x:v>Booked</x:v>
      </x:c>
      <x:c r="F4316" s="4" t="str">
        <x:v>CUS-04315</x:v>
      </x:c>
      <x:c r="G4316" s="4" t="str">
        <x:v>UNIT-04315</x:v>
      </x:c>
      <x:c r="H4316" s="9" t="n">
        <x:v>23700000</x:v>
      </x:c>
      <x:c r="I4316" s="10" t="n">
        <x:v>0</x:v>
      </x:c>
      <x:c r="J4316" s="11" t="n">
        <x:v>8</x:v>
      </x:c>
      <x:c r="K4316" s="11" t="n">
        <x:v>5</x:v>
      </x:c>
      <x:c r="L4316" s="11" t="n">
        <x:v>0</x:v>
      </x:c>
      <x:c r="M4316" s="9" t="n">
        <x:f>ROUND(H4316*(1-I4316),2)</x:f>
        <x:v>23700000</x:v>
      </x:c>
      <x:c r="N4316" s="4" t="str">
        <x:v>Sales manager</x:v>
      </x:c>
      <x:c r="O4316" s="4" t="str">
        <x:v>BOOK-04315</x:v>
      </x:c>
      <x:c r="P4316" s="9" t="n">
        <x:v>5925000</x:v>
      </x:c>
      <x:c r="Q4316" s="11" t="n">
        <x:v>0</x:v>
      </x:c>
      <x:c r="R4316" s="8" t="n">
        <x:v>45598</x:v>
      </x:c>
      <x:c r="S4316" s="4" t="str">
        <x:v>Retained</x:v>
      </x:c>
      <x:c r="T4316" s="10" t="n">
        <x:v>0.305556</x:v>
      </x:c>
      <x:c r="U4316" s="4" t="str">
        <x:v>Test</x:v>
      </x:c>
    </x:row>
    <x:row r="4317" ht="34" customHeight="1">
      <x:c r="A4317" s="4" t="str">
        <x:v>RS-04316</x:v>
      </x:c>
      <x:c r="B4317" s="8" t="n">
        <x:v>45539</x:v>
      </x:c>
      <x:c r="C4317" s="4" t="str">
        <x:v>PRJ-016</x:v>
      </x:c>
      <x:c r="D4317" s="4" t="str">
        <x:v>Retail</x:v>
      </x:c>
      <x:c r="E4317" s="4" t="str">
        <x:v>Reserved</x:v>
      </x:c>
      <x:c r="F4317" s="4" t="str">
        <x:v>CUS-04316</x:v>
      </x:c>
      <x:c r="G4317" s="4" t="str">
        <x:v>UNIT-04316</x:v>
      </x:c>
      <x:c r="H4317" s="9" t="n">
        <x:v>3600000</x:v>
      </x:c>
      <x:c r="I4317" s="10" t="n">
        <x:v>0.01</x:v>
      </x:c>
      <x:c r="J4317" s="11" t="n">
        <x:v>3</x:v>
      </x:c>
      <x:c r="K4317" s="11" t="n">
        <x:v>5</x:v>
      </x:c>
      <x:c r="L4317" s="11" t="n">
        <x:v>0</x:v>
      </x:c>
      <x:c r="M4317" s="9" t="n">
        <x:f>ROUND(H4317*(1-I4317),2)</x:f>
        <x:v>3564000</x:v>
      </x:c>
      <x:c r="N4317" s="4" t="str">
        <x:v>Sales manager</x:v>
      </x:c>
      <x:c r="O4317" s="4"/>
      <x:c r="P4317" s="9" t="n">
        <x:v>0</x:v>
      </x:c>
      <x:c r="Q4317" s="11" t="n">
        <x:v>0</x:v>
      </x:c>
      <x:c r="R4317" s="8" t="n">
        <x:v>45599</x:v>
      </x:c>
      <x:c r="S4317" s="4" t="str">
        <x:v>Retained</x:v>
      </x:c>
      <x:c r="T4317" s="10" t="n">
        <x:v>0.171717</x:v>
      </x:c>
      <x:c r="U4317" s="4" t="str">
        <x:v>Test</x:v>
      </x:c>
    </x:row>
    <x:row r="4318" ht="34" customHeight="1">
      <x:c r="A4318" s="4" t="str">
        <x:v>RS-04317</x:v>
      </x:c>
      <x:c r="B4318" s="8" t="n">
        <x:v>45540</x:v>
      </x:c>
      <x:c r="C4318" s="4" t="str">
        <x:v>PRJ-017</x:v>
      </x:c>
      <x:c r="D4318" s="4" t="str">
        <x:v>Apartment</x:v>
      </x:c>
      <x:c r="E4318" s="4" t="str">
        <x:v>Agreement signed</x:v>
      </x:c>
      <x:c r="F4318" s="4" t="str">
        <x:v>CUS-04317</x:v>
      </x:c>
      <x:c r="G4318" s="4" t="str">
        <x:v>UNIT-04317</x:v>
      </x:c>
      <x:c r="H4318" s="9" t="n">
        <x:v>5400000</x:v>
      </x:c>
      <x:c r="I4318" s="10" t="n">
        <x:v>0.1</x:v>
      </x:c>
      <x:c r="J4318" s="11" t="n">
        <x:v>12</x:v>
      </x:c>
      <x:c r="K4318" s="11" t="n">
        <x:v>8</x:v>
      </x:c>
      <x:c r="L4318" s="11" t="n">
        <x:v>1</x:v>
      </x:c>
      <x:c r="M4318" s="9" t="n">
        <x:f>ROUND(H4318*(1-I4318),2)</x:f>
        <x:v>4860000</x:v>
      </x:c>
      <x:c r="N4318" s="4" t="str">
        <x:v>Sales head</x:v>
      </x:c>
      <x:c r="O4318" s="4" t="str">
        <x:v>BOOK-04317</x:v>
      </x:c>
      <x:c r="P4318" s="9" t="n">
        <x:v>2430000</x:v>
      </x:c>
      <x:c r="Q4318" s="11" t="n">
        <x:v>0</x:v>
      </x:c>
      <x:c r="R4318" s="8" t="n">
        <x:v>45600</x:v>
      </x:c>
      <x:c r="S4318" s="4" t="str">
        <x:v>Retained</x:v>
      </x:c>
      <x:c r="T4318" s="10" t="n">
        <x:v>0.351536</x:v>
      </x:c>
      <x:c r="U4318" s="4" t="str">
        <x:v>Test</x:v>
      </x:c>
    </x:row>
    <x:row r="4319" ht="34" customHeight="1">
      <x:c r="A4319" s="4" t="str">
        <x:v>RS-04318</x:v>
      </x:c>
      <x:c r="B4319" s="8" t="n">
        <x:v>45541</x:v>
      </x:c>
      <x:c r="C4319" s="4" t="str">
        <x:v>PRJ-018</x:v>
      </x:c>
      <x:c r="D4319" s="4" t="str">
        <x:v>Office</x:v>
      </x:c>
      <x:c r="E4319" s="4" t="str">
        <x:v>Cancelled</x:v>
      </x:c>
      <x:c r="F4319" s="4" t="str">
        <x:v>CUS-04318</x:v>
      </x:c>
      <x:c r="G4319" s="4" t="str">
        <x:v>UNIT-04318</x:v>
      </x:c>
      <x:c r="H4319" s="9" t="n">
        <x:v>22300000</x:v>
      </x:c>
      <x:c r="I4319" s="10" t="n">
        <x:v>0.02</x:v>
      </x:c>
      <x:c r="J4319" s="11" t="n">
        <x:v>6</x:v>
      </x:c>
      <x:c r="K4319" s="11" t="n">
        <x:v>10</x:v>
      </x:c>
      <x:c r="L4319" s="11" t="n">
        <x:v>0</x:v>
      </x:c>
      <x:c r="M4319" s="9" t="n">
        <x:f>ROUND(H4319*(1-I4319),2)</x:f>
        <x:v>21854000</x:v>
      </x:c>
      <x:c r="N4319" s="4" t="str">
        <x:v>Sales manager</x:v>
      </x:c>
      <x:c r="O4319" s="4"/>
      <x:c r="P4319" s="9" t="n">
        <x:v>0</x:v>
      </x:c>
      <x:c r="Q4319" s="11" t="n">
        <x:v>1</x:v>
      </x:c>
      <x:c r="R4319" s="8" t="n">
        <x:v>45601</x:v>
      </x:c>
      <x:c r="S4319" s="4" t="str">
        <x:v>Lost / cancelled</x:v>
      </x:c>
      <x:c r="T4319" s="10" t="n">
        <x:v>0.145299</x:v>
      </x:c>
      <x:c r="U4319" s="4" t="str">
        <x:v>Test</x:v>
      </x:c>
    </x:row>
    <x:row r="4320" ht="34" customHeight="1">
      <x:c r="A4320" s="4" t="str">
        <x:v>RS-04319</x:v>
      </x:c>
      <x:c r="B4320" s="8" t="n">
        <x:v>45542</x:v>
      </x:c>
      <x:c r="C4320" s="4" t="str">
        <x:v>PRJ-019</x:v>
      </x:c>
      <x:c r="D4320" s="4" t="str">
        <x:v>Villa</x:v>
      </x:c>
      <x:c r="E4320" s="4" t="str">
        <x:v>Cancelled</x:v>
      </x:c>
      <x:c r="F4320" s="4" t="str">
        <x:v>CUS-04319</x:v>
      </x:c>
      <x:c r="G4320" s="4" t="str">
        <x:v>UNIT-04319</x:v>
      </x:c>
      <x:c r="H4320" s="9" t="n">
        <x:v>21800000</x:v>
      </x:c>
      <x:c r="I4320" s="10" t="n">
        <x:v>0.08</x:v>
      </x:c>
      <x:c r="J4320" s="11" t="n">
        <x:v>7</x:v>
      </x:c>
      <x:c r="K4320" s="11" t="n">
        <x:v>6</x:v>
      </x:c>
      <x:c r="L4320" s="11" t="n">
        <x:v>0</x:v>
      </x:c>
      <x:c r="M4320" s="9" t="n">
        <x:f>ROUND(H4320*(1-I4320),2)</x:f>
        <x:v>20056000</x:v>
      </x:c>
      <x:c r="N4320" s="4" t="str">
        <x:v>Sales head</x:v>
      </x:c>
      <x:c r="O4320" s="4"/>
      <x:c r="P4320" s="9" t="n">
        <x:v>0</x:v>
      </x:c>
      <x:c r="Q4320" s="11" t="n">
        <x:v>1</x:v>
      </x:c>
      <x:c r="R4320" s="8" t="n">
        <x:v>45602</x:v>
      </x:c>
      <x:c r="S4320" s="4" t="str">
        <x:v>Lost / cancelled</x:v>
      </x:c>
      <x:c r="T4320" s="10" t="n">
        <x:v>0.226277</x:v>
      </x:c>
      <x:c r="U4320" s="4" t="str">
        <x:v>Test</x:v>
      </x:c>
    </x:row>
    <x:row r="4321" ht="34" customHeight="1">
      <x:c r="A4321" s="4" t="str">
        <x:v>RS-04320</x:v>
      </x:c>
      <x:c r="B4321" s="8" t="n">
        <x:v>45543</x:v>
      </x:c>
      <x:c r="C4321" s="4" t="str">
        <x:v>PRJ-020</x:v>
      </x:c>
      <x:c r="D4321" s="4" t="str">
        <x:v>Retail</x:v>
      </x:c>
      <x:c r="E4321" s="4" t="str">
        <x:v>Handed over</x:v>
      </x:c>
      <x:c r="F4321" s="4" t="str">
        <x:v>CUS-04320</x:v>
      </x:c>
      <x:c r="G4321" s="4" t="str">
        <x:v>UNIT-04320</x:v>
      </x:c>
      <x:c r="H4321" s="9" t="n">
        <x:v>5500000</x:v>
      </x:c>
      <x:c r="I4321" s="10" t="n">
        <x:v>0.01</x:v>
      </x:c>
      <x:c r="J4321" s="11" t="n">
        <x:v>0</x:v>
      </x:c>
      <x:c r="K4321" s="11" t="n">
        <x:v>3</x:v>
      </x:c>
      <x:c r="L4321" s="11" t="n">
        <x:v>0</x:v>
      </x:c>
      <x:c r="M4321" s="9" t="n">
        <x:f>ROUND(H4321*(1-I4321),2)</x:f>
        <x:v>5445000</x:v>
      </x:c>
      <x:c r="N4321" s="4" t="str">
        <x:v>Sales manager</x:v>
      </x:c>
      <x:c r="O4321" s="4" t="str">
        <x:v>BOOK-04320</x:v>
      </x:c>
      <x:c r="P4321" s="9" t="n">
        <x:v>2722500</x:v>
      </x:c>
      <x:c r="Q4321" s="11" t="n">
        <x:v>0</x:v>
      </x:c>
      <x:c r="R4321" s="8" t="n">
        <x:v>45603</x:v>
      </x:c>
      <x:c r="S4321" s="4" t="str">
        <x:v>Retained</x:v>
      </x:c>
      <x:c r="T4321" s="10" t="n">
        <x:v>0.072165</x:v>
      </x:c>
      <x:c r="U4321" s="4" t="str">
        <x:v>Test</x:v>
      </x:c>
    </x:row>
    <x:row r="4322" ht="34" customHeight="1">
      <x:c r="A4322" s="4" t="str">
        <x:v>RS-04321</x:v>
      </x:c>
      <x:c r="B4322" s="8" t="n">
        <x:v>45544</x:v>
      </x:c>
      <x:c r="C4322" s="4" t="str">
        <x:v>PRJ-001</x:v>
      </x:c>
      <x:c r="D4322" s="4" t="str">
        <x:v>Apartment</x:v>
      </x:c>
      <x:c r="E4322" s="4" t="str">
        <x:v>Booked</x:v>
      </x:c>
      <x:c r="F4322" s="4" t="str">
        <x:v>CUS-04321</x:v>
      </x:c>
      <x:c r="G4322" s="4" t="str">
        <x:v>UNIT-04321</x:v>
      </x:c>
      <x:c r="H4322" s="9" t="n">
        <x:v>10600000</x:v>
      </x:c>
      <x:c r="I4322" s="10" t="n">
        <x:v>0.11</x:v>
      </x:c>
      <x:c r="J4322" s="11" t="n">
        <x:v>5</x:v>
      </x:c>
      <x:c r="K4322" s="11" t="n">
        <x:v>7</x:v>
      </x:c>
      <x:c r="L4322" s="11" t="n">
        <x:v>1</x:v>
      </x:c>
      <x:c r="M4322" s="9" t="n">
        <x:f>ROUND(H4322*(1-I4322),2)</x:f>
        <x:v>9434000</x:v>
      </x:c>
      <x:c r="N4322" s="4" t="str">
        <x:v>Sales head</x:v>
      </x:c>
      <x:c r="O4322" s="4" t="str">
        <x:v>BOOK-04321</x:v>
      </x:c>
      <x:c r="P4322" s="9" t="n">
        <x:v>4717000</x:v>
      </x:c>
      <x:c r="Q4322" s="11" t="n">
        <x:v>0</x:v>
      </x:c>
      <x:c r="R4322" s="8" t="n">
        <x:v>45604</x:v>
      </x:c>
      <x:c r="S4322" s="4" t="str">
        <x:v>Retained</x:v>
      </x:c>
      <x:c r="T4322" s="10" t="n">
        <x:v>0.291946</x:v>
      </x:c>
      <x:c r="U4322" s="4" t="str">
        <x:v>Test</x:v>
      </x:c>
    </x:row>
    <x:row r="4323" ht="34" customHeight="1">
      <x:c r="A4323" s="4" t="str">
        <x:v>RS-04322</x:v>
      </x:c>
      <x:c r="B4323" s="8" t="n">
        <x:v>45545</x:v>
      </x:c>
      <x:c r="C4323" s="4" t="str">
        <x:v>PRJ-002</x:v>
      </x:c>
      <x:c r="D4323" s="4" t="str">
        <x:v>Apartment</x:v>
      </x:c>
      <x:c r="E4323" s="4" t="str">
        <x:v>Agreement signed</x:v>
      </x:c>
      <x:c r="F4323" s="4" t="str">
        <x:v>CUS-04322</x:v>
      </x:c>
      <x:c r="G4323" s="4" t="str">
        <x:v>UNIT-04322</x:v>
      </x:c>
      <x:c r="H4323" s="9" t="n">
        <x:v>7500000</x:v>
      </x:c>
      <x:c r="I4323" s="10" t="n">
        <x:v>0.07</x:v>
      </x:c>
      <x:c r="J4323" s="11" t="n">
        <x:v>12</x:v>
      </x:c>
      <x:c r="K4323" s="11" t="n">
        <x:v>8</x:v>
      </x:c>
      <x:c r="L4323" s="11" t="n">
        <x:v>1</x:v>
      </x:c>
      <x:c r="M4323" s="9" t="n">
        <x:f>ROUND(H4323*(1-I4323),2)</x:f>
        <x:v>6975000</x:v>
      </x:c>
      <x:c r="N4323" s="4" t="str">
        <x:v>Sales manager</x:v>
      </x:c>
      <x:c r="O4323" s="4" t="str">
        <x:v>BOOK-04322</x:v>
      </x:c>
      <x:c r="P4323" s="9" t="n">
        <x:v>3487500</x:v>
      </x:c>
      <x:c r="Q4323" s="11" t="n">
        <x:v>0</x:v>
      </x:c>
      <x:c r="R4323" s="8" t="n">
        <x:v>45605</x:v>
      </x:c>
      <x:c r="S4323" s="4" t="str">
        <x:v>Retained</x:v>
      </x:c>
      <x:c r="T4323" s="10" t="n">
        <x:v>0.351536</x:v>
      </x:c>
      <x:c r="U4323" s="4" t="str">
        <x:v>Test</x:v>
      </x:c>
    </x:row>
    <x:row r="4324" ht="34" customHeight="1">
      <x:c r="A4324" s="4" t="str">
        <x:v>RS-04323</x:v>
      </x:c>
      <x:c r="B4324" s="8" t="n">
        <x:v>45546</x:v>
      </x:c>
      <x:c r="C4324" s="4" t="str">
        <x:v>PRJ-003</x:v>
      </x:c>
      <x:c r="D4324" s="4" t="str">
        <x:v>Office</x:v>
      </x:c>
      <x:c r="E4324" s="4" t="str">
        <x:v>Handed over</x:v>
      </x:c>
      <x:c r="F4324" s="4" t="str">
        <x:v>CUS-04323</x:v>
      </x:c>
      <x:c r="G4324" s="4" t="str">
        <x:v>UNIT-04323</x:v>
      </x:c>
      <x:c r="H4324" s="9" t="n">
        <x:v>19200000</x:v>
      </x:c>
      <x:c r="I4324" s="10" t="n">
        <x:v>0</x:v>
      </x:c>
      <x:c r="J4324" s="11" t="n">
        <x:v>10</x:v>
      </x:c>
      <x:c r="K4324" s="11" t="n">
        <x:v>0</x:v>
      </x:c>
      <x:c r="L4324" s="11" t="n">
        <x:v>1</x:v>
      </x:c>
      <x:c r="M4324" s="9" t="n">
        <x:f>ROUND(H4324*(1-I4324),2)</x:f>
        <x:v>19200000</x:v>
      </x:c>
      <x:c r="N4324" s="4" t="str">
        <x:v>Sales manager</x:v>
      </x:c>
      <x:c r="O4324" s="4" t="str">
        <x:v>BOOK-04323</x:v>
      </x:c>
      <x:c r="P4324" s="9" t="n">
        <x:v>4800000</x:v>
      </x:c>
      <x:c r="Q4324" s="11" t="n">
        <x:v>0</x:v>
      </x:c>
      <x:c r="R4324" s="8" t="n">
        <x:v>45606</x:v>
      </x:c>
      <x:c r="S4324" s="4" t="str">
        <x:v>Retained</x:v>
      </x:c>
      <x:c r="T4324" s="10" t="n">
        <x:v>0.254545</x:v>
      </x:c>
      <x:c r="U4324" s="4" t="str">
        <x:v>Test</x:v>
      </x:c>
    </x:row>
    <x:row r="4325" ht="34" customHeight="1">
      <x:c r="A4325" s="4" t="str">
        <x:v>RS-04324</x:v>
      </x:c>
      <x:c r="B4325" s="8" t="n">
        <x:v>45547</x:v>
      </x:c>
      <x:c r="C4325" s="4" t="str">
        <x:v>PRJ-004</x:v>
      </x:c>
      <x:c r="D4325" s="4" t="str">
        <x:v>Office</x:v>
      </x:c>
      <x:c r="E4325" s="4" t="str">
        <x:v>Agreement signed</x:v>
      </x:c>
      <x:c r="F4325" s="4" t="str">
        <x:v>CUS-04324</x:v>
      </x:c>
      <x:c r="G4325" s="4" t="str">
        <x:v>UNIT-04324</x:v>
      </x:c>
      <x:c r="H4325" s="9" t="n">
        <x:v>10900000</x:v>
      </x:c>
      <x:c r="I4325" s="10" t="n">
        <x:v>0.05</x:v>
      </x:c>
      <x:c r="J4325" s="11" t="n">
        <x:v>2</x:v>
      </x:c>
      <x:c r="K4325" s="11" t="n">
        <x:v>10</x:v>
      </x:c>
      <x:c r="L4325" s="11" t="n">
        <x:v>1</x:v>
      </x:c>
      <x:c r="M4325" s="9" t="n">
        <x:f>ROUND(H4325*(1-I4325),2)</x:f>
        <x:v>10355000</x:v>
      </x:c>
      <x:c r="N4325" s="4" t="str">
        <x:v>Sales manager</x:v>
      </x:c>
      <x:c r="O4325" s="4" t="str">
        <x:v>BOOK-04324</x:v>
      </x:c>
      <x:c r="P4325" s="9" t="n">
        <x:v>2588750</x:v>
      </x:c>
      <x:c r="Q4325" s="11" t="n">
        <x:v>0</x:v>
      </x:c>
      <x:c r="R4325" s="8" t="n">
        <x:v>45607</x:v>
      </x:c>
      <x:c r="S4325" s="4" t="str">
        <x:v>Retained</x:v>
      </x:c>
      <x:c r="T4325" s="10" t="n">
        <x:v>0.204152</x:v>
      </x:c>
      <x:c r="U4325" s="4" t="str">
        <x:v>Test</x:v>
      </x:c>
    </x:row>
    <x:row r="4326" ht="34" customHeight="1">
      <x:c r="A4326" s="4" t="str">
        <x:v>RS-04325</x:v>
      </x:c>
      <x:c r="B4326" s="8" t="n">
        <x:v>45548</x:v>
      </x:c>
      <x:c r="C4326" s="4" t="str">
        <x:v>PRJ-005</x:v>
      </x:c>
      <x:c r="D4326" s="4" t="str">
        <x:v>Villa</x:v>
      </x:c>
      <x:c r="E4326" s="4" t="str">
        <x:v>Enquiry</x:v>
      </x:c>
      <x:c r="F4326" s="4" t="str">
        <x:v>CUS-04325</x:v>
      </x:c>
      <x:c r="G4326" s="4" t="str">
        <x:v>UNIT-04325</x:v>
      </x:c>
      <x:c r="H4326" s="9" t="n">
        <x:v>19300000</x:v>
      </x:c>
      <x:c r="I4326" s="10" t="n">
        <x:v>0</x:v>
      </x:c>
      <x:c r="J4326" s="11" t="n">
        <x:v>0</x:v>
      </x:c>
      <x:c r="K4326" s="11" t="n">
        <x:v>1</x:v>
      </x:c>
      <x:c r="L4326" s="11" t="n">
        <x:v>1</x:v>
      </x:c>
      <x:c r="M4326" s="9" t="n">
        <x:f>ROUND(H4326*(1-I4326),2)</x:f>
        <x:v>19300000</x:v>
      </x:c>
      <x:c r="N4326" s="4" t="str">
        <x:v>Sales manager</x:v>
      </x:c>
      <x:c r="O4326" s="4"/>
      <x:c r="P4326" s="9" t="n">
        <x:v>0</x:v>
      </x:c>
      <x:c r="Q4326" s="11" t="n">
        <x:v>0</x:v>
      </x:c>
      <x:c r="R4326" s="8" t="n">
        <x:v>45608</x:v>
      </x:c>
      <x:c r="S4326" s="4" t="str">
        <x:v>Retained</x:v>
      </x:c>
      <x:c r="T4326" s="10" t="n">
        <x:v>0.072165</x:v>
      </x:c>
      <x:c r="U4326" s="4" t="str">
        <x:v>Test</x:v>
      </x:c>
    </x:row>
    <x:row r="4327" ht="34" customHeight="1">
      <x:c r="A4327" s="4" t="str">
        <x:v>RS-04326</x:v>
      </x:c>
      <x:c r="B4327" s="8" t="n">
        <x:v>45549</x:v>
      </x:c>
      <x:c r="C4327" s="4" t="str">
        <x:v>PRJ-006</x:v>
      </x:c>
      <x:c r="D4327" s="4" t="str">
        <x:v>Office</x:v>
      </x:c>
      <x:c r="E4327" s="4" t="str">
        <x:v>Reserved</x:v>
      </x:c>
      <x:c r="F4327" s="4" t="str">
        <x:v>CUS-04326</x:v>
      </x:c>
      <x:c r="G4327" s="4" t="str">
        <x:v>UNIT-04326</x:v>
      </x:c>
      <x:c r="H4327" s="9" t="n">
        <x:v>6800000</x:v>
      </x:c>
      <x:c r="I4327" s="10" t="n">
        <x:v>0.08</x:v>
      </x:c>
      <x:c r="J4327" s="11" t="n">
        <x:v>2</x:v>
      </x:c>
      <x:c r="K4327" s="11" t="n">
        <x:v>2</x:v>
      </x:c>
      <x:c r="L4327" s="11" t="n">
        <x:v>1</x:v>
      </x:c>
      <x:c r="M4327" s="9" t="n">
        <x:f>ROUND(H4327*(1-I4327),2)</x:f>
        <x:v>6256000</x:v>
      </x:c>
      <x:c r="N4327" s="4" t="str">
        <x:v>Sales head</x:v>
      </x:c>
      <x:c r="O4327" s="4"/>
      <x:c r="P4327" s="9" t="n">
        <x:v>0</x:v>
      </x:c>
      <x:c r="Q4327" s="11" t="n">
        <x:v>0</x:v>
      </x:c>
      <x:c r="R4327" s="8" t="n">
        <x:v>45609</x:v>
      </x:c>
      <x:c r="S4327" s="4" t="str">
        <x:v>Retained</x:v>
      </x:c>
      <x:c r="T4327" s="10" t="n">
        <x:v>0.204152</x:v>
      </x:c>
      <x:c r="U4327" s="4" t="str">
        <x:v>Test</x:v>
      </x:c>
    </x:row>
    <x:row r="4328" ht="34" customHeight="1">
      <x:c r="A4328" s="4" t="str">
        <x:v>RS-04327</x:v>
      </x:c>
      <x:c r="B4328" s="8" t="n">
        <x:v>45550</x:v>
      </x:c>
      <x:c r="C4328" s="4" t="str">
        <x:v>PRJ-007</x:v>
      </x:c>
      <x:c r="D4328" s="4" t="str">
        <x:v>Villa</x:v>
      </x:c>
      <x:c r="E4328" s="4" t="str">
        <x:v>Cancelled</x:v>
      </x:c>
      <x:c r="F4328" s="4" t="str">
        <x:v>CUS-04327</x:v>
      </x:c>
      <x:c r="G4328" s="4" t="str">
        <x:v>UNIT-04327</x:v>
      </x:c>
      <x:c r="H4328" s="9" t="n">
        <x:v>22900000</x:v>
      </x:c>
      <x:c r="I4328" s="10" t="n">
        <x:v>0.04</x:v>
      </x:c>
      <x:c r="J4328" s="11" t="n">
        <x:v>0</x:v>
      </x:c>
      <x:c r="K4328" s="11" t="n">
        <x:v>0</x:v>
      </x:c>
      <x:c r="L4328" s="11" t="n">
        <x:v>0</x:v>
      </x:c>
      <x:c r="M4328" s="9" t="n">
        <x:f>ROUND(H4328*(1-I4328),2)</x:f>
        <x:v>21984000</x:v>
      </x:c>
      <x:c r="N4328" s="4" t="str">
        <x:v>Sales manager</x:v>
      </x:c>
      <x:c r="O4328" s="4"/>
      <x:c r="P4328" s="9" t="n">
        <x:v>0</x:v>
      </x:c>
      <x:c r="Q4328" s="11" t="n">
        <x:v>1</x:v>
      </x:c>
      <x:c r="R4328" s="8" t="n">
        <x:v>45610</x:v>
      </x:c>
      <x:c r="S4328" s="4" t="str">
        <x:v>Lost / cancelled</x:v>
      </x:c>
      <x:c r="T4328" s="10" t="n">
        <x:v>0.276923</x:v>
      </x:c>
      <x:c r="U4328" s="4" t="str">
        <x:v>Test</x:v>
      </x:c>
    </x:row>
    <x:row r="4329" ht="34" customHeight="1">
      <x:c r="A4329" s="4" t="str">
        <x:v>RS-04328</x:v>
      </x:c>
      <x:c r="B4329" s="8" t="n">
        <x:v>45551</x:v>
      </x:c>
      <x:c r="C4329" s="4" t="str">
        <x:v>PRJ-008</x:v>
      </x:c>
      <x:c r="D4329" s="4" t="str">
        <x:v>Villa</x:v>
      </x:c>
      <x:c r="E4329" s="4" t="str">
        <x:v>Handed over</x:v>
      </x:c>
      <x:c r="F4329" s="4" t="str">
        <x:v>CUS-04328</x:v>
      </x:c>
      <x:c r="G4329" s="4" t="str">
        <x:v>UNIT-04328</x:v>
      </x:c>
      <x:c r="H4329" s="9" t="n">
        <x:v>11000000</x:v>
      </x:c>
      <x:c r="I4329" s="10" t="n">
        <x:v>0.04</x:v>
      </x:c>
      <x:c r="J4329" s="11" t="n">
        <x:v>3</x:v>
      </x:c>
      <x:c r="K4329" s="11" t="n">
        <x:v>7</x:v>
      </x:c>
      <x:c r="L4329" s="11" t="n">
        <x:v>0</x:v>
      </x:c>
      <x:c r="M4329" s="9" t="n">
        <x:f>ROUND(H4329*(1-I4329),2)</x:f>
        <x:v>10560000</x:v>
      </x:c>
      <x:c r="N4329" s="4" t="str">
        <x:v>Sales manager</x:v>
      </x:c>
      <x:c r="O4329" s="4" t="str">
        <x:v>BOOK-04328</x:v>
      </x:c>
      <x:c r="P4329" s="9" t="n">
        <x:v>5280000</x:v>
      </x:c>
      <x:c r="Q4329" s="11" t="n">
        <x:v>0</x:v>
      </x:c>
      <x:c r="R4329" s="8" t="n">
        <x:v>45611</x:v>
      </x:c>
      <x:c r="S4329" s="4" t="str">
        <x:v>Retained</x:v>
      </x:c>
      <x:c r="T4329" s="10" t="n">
        <x:v>0.204152</x:v>
      </x:c>
      <x:c r="U4329" s="4" t="str">
        <x:v>Test</x:v>
      </x:c>
    </x:row>
    <x:row r="4330" ht="34" customHeight="1">
      <x:c r="A4330" s="4" t="str">
        <x:v>RS-04329</x:v>
      </x:c>
      <x:c r="B4330" s="8" t="n">
        <x:v>45552</x:v>
      </x:c>
      <x:c r="C4330" s="4" t="str">
        <x:v>PRJ-009</x:v>
      </x:c>
      <x:c r="D4330" s="4" t="str">
        <x:v>Villa</x:v>
      </x:c>
      <x:c r="E4330" s="4" t="str">
        <x:v>Handed over</x:v>
      </x:c>
      <x:c r="F4330" s="4" t="str">
        <x:v>CUS-04329</x:v>
      </x:c>
      <x:c r="G4330" s="4" t="str">
        <x:v>UNIT-04329</x:v>
      </x:c>
      <x:c r="H4330" s="9" t="n">
        <x:v>8700000</x:v>
      </x:c>
      <x:c r="I4330" s="10" t="n">
        <x:v>0.01</x:v>
      </x:c>
      <x:c r="J4330" s="11" t="n">
        <x:v>11</x:v>
      </x:c>
      <x:c r="K4330" s="11" t="n">
        <x:v>0</x:v>
      </x:c>
      <x:c r="L4330" s="11" t="n">
        <x:v>0</x:v>
      </x:c>
      <x:c r="M4330" s="9" t="n">
        <x:f>ROUND(H4330*(1-I4330),2)</x:f>
        <x:v>8613000</x:v>
      </x:c>
      <x:c r="N4330" s="4" t="str">
        <x:v>Sales manager</x:v>
      </x:c>
      <x:c r="O4330" s="4" t="str">
        <x:v>BOOK-04329</x:v>
      </x:c>
      <x:c r="P4330" s="9" t="n">
        <x:v>4306500</x:v>
      </x:c>
      <x:c r="Q4330" s="11" t="n">
        <x:v>0</x:v>
      </x:c>
      <x:c r="R4330" s="8" t="n">
        <x:v>45612</x:v>
      </x:c>
      <x:c r="S4330" s="4" t="str">
        <x:v>Retained</x:v>
      </x:c>
      <x:c r="T4330" s="10" t="n">
        <x:v>0.305556</x:v>
      </x:c>
      <x:c r="U4330" s="4" t="str">
        <x:v>Test</x:v>
      </x:c>
    </x:row>
    <x:row r="4331" ht="34" customHeight="1">
      <x:c r="A4331" s="4" t="str">
        <x:v>RS-04330</x:v>
      </x:c>
      <x:c r="B4331" s="8" t="n">
        <x:v>45553</x:v>
      </x:c>
      <x:c r="C4331" s="4" t="str">
        <x:v>PRJ-010</x:v>
      </x:c>
      <x:c r="D4331" s="4" t="str">
        <x:v>Office</x:v>
      </x:c>
      <x:c r="E4331" s="4" t="str">
        <x:v>Handed over</x:v>
      </x:c>
      <x:c r="F4331" s="4" t="str">
        <x:v>CUS-04330</x:v>
      </x:c>
      <x:c r="G4331" s="4" t="str">
        <x:v>UNIT-04330</x:v>
      </x:c>
      <x:c r="H4331" s="9" t="n">
        <x:v>9100000</x:v>
      </x:c>
      <x:c r="I4331" s="10" t="n">
        <x:v>0.04</x:v>
      </x:c>
      <x:c r="J4331" s="11" t="n">
        <x:v>3</x:v>
      </x:c>
      <x:c r="K4331" s="11" t="n">
        <x:v>2</x:v>
      </x:c>
      <x:c r="L4331" s="11" t="n">
        <x:v>1</x:v>
      </x:c>
      <x:c r="M4331" s="9" t="n">
        <x:f>ROUND(H4331*(1-I4331),2)</x:f>
        <x:v>8736000</x:v>
      </x:c>
      <x:c r="N4331" s="4" t="str">
        <x:v>Sales manager</x:v>
      </x:c>
      <x:c r="O4331" s="4" t="str">
        <x:v>BOOK-04330</x:v>
      </x:c>
      <x:c r="P4331" s="9" t="n">
        <x:v>4368000</x:v>
      </x:c>
      <x:c r="Q4331" s="11" t="n">
        <x:v>0</x:v>
      </x:c>
      <x:c r="R4331" s="8" t="n">
        <x:v>45613</x:v>
      </x:c>
      <x:c r="S4331" s="4" t="str">
        <x:v>Retained</x:v>
      </x:c>
      <x:c r="T4331" s="10" t="n">
        <x:v>0.204152</x:v>
      </x:c>
      <x:c r="U4331" s="4" t="str">
        <x:v>Test</x:v>
      </x:c>
    </x:row>
    <x:row r="4332" ht="34" customHeight="1">
      <x:c r="A4332" s="4" t="str">
        <x:v>RS-04331</x:v>
      </x:c>
      <x:c r="B4332" s="8" t="n">
        <x:v>45554</x:v>
      </x:c>
      <x:c r="C4332" s="4" t="str">
        <x:v>PRJ-011</x:v>
      </x:c>
      <x:c r="D4332" s="4" t="str">
        <x:v>Retail</x:v>
      </x:c>
      <x:c r="E4332" s="4" t="str">
        <x:v>Enquiry</x:v>
      </x:c>
      <x:c r="F4332" s="4" t="str">
        <x:v>CUS-04331</x:v>
      </x:c>
      <x:c r="G4332" s="4" t="str">
        <x:v>UNIT-04331</x:v>
      </x:c>
      <x:c r="H4332" s="9" t="n">
        <x:v>12100000</x:v>
      </x:c>
      <x:c r="I4332" s="10" t="n">
        <x:v>0</x:v>
      </x:c>
      <x:c r="J4332" s="11" t="n">
        <x:v>12</x:v>
      </x:c>
      <x:c r="K4332" s="11" t="n">
        <x:v>1</x:v>
      </x:c>
      <x:c r="L4332" s="11" t="n">
        <x:v>0</x:v>
      </x:c>
      <x:c r="M4332" s="9" t="n">
        <x:f>ROUND(H4332*(1-I4332),2)</x:f>
        <x:v>12100000</x:v>
      </x:c>
      <x:c r="N4332" s="4" t="str">
        <x:v>Sales manager</x:v>
      </x:c>
      <x:c r="O4332" s="4"/>
      <x:c r="P4332" s="9" t="n">
        <x:v>0</x:v>
      </x:c>
      <x:c r="Q4332" s="11" t="n">
        <x:v>1</x:v>
      </x:c>
      <x:c r="R4332" s="8" t="n">
        <x:v>45614</x:v>
      </x:c>
      <x:c r="S4332" s="4" t="str">
        <x:v>Lost / cancelled</x:v>
      </x:c>
      <x:c r="T4332" s="10" t="n">
        <x:v>0.305556</x:v>
      </x:c>
      <x:c r="U4332" s="4" t="str">
        <x:v>Test</x:v>
      </x:c>
    </x:row>
    <x:row r="4333" ht="34" customHeight="1">
      <x:c r="A4333" s="4" t="str">
        <x:v>RS-04332</x:v>
      </x:c>
      <x:c r="B4333" s="8" t="n">
        <x:v>45555</x:v>
      </x:c>
      <x:c r="C4333" s="4" t="str">
        <x:v>PRJ-012</x:v>
      </x:c>
      <x:c r="D4333" s="4" t="str">
        <x:v>Retail</x:v>
      </x:c>
      <x:c r="E4333" s="4" t="str">
        <x:v>Enquiry</x:v>
      </x:c>
      <x:c r="F4333" s="4" t="str">
        <x:v>CUS-04332</x:v>
      </x:c>
      <x:c r="G4333" s="4" t="str">
        <x:v>UNIT-04332</x:v>
      </x:c>
      <x:c r="H4333" s="9" t="n">
        <x:v>14800000</x:v>
      </x:c>
      <x:c r="I4333" s="10" t="n">
        <x:v>0.12</x:v>
      </x:c>
      <x:c r="J4333" s="11" t="n">
        <x:v>3</x:v>
      </x:c>
      <x:c r="K4333" s="11" t="n">
        <x:v>7</x:v>
      </x:c>
      <x:c r="L4333" s="11" t="n">
        <x:v>1</x:v>
      </x:c>
      <x:c r="M4333" s="9" t="n">
        <x:f>ROUND(H4333*(1-I4333),2)</x:f>
        <x:v>13024000</x:v>
      </x:c>
      <x:c r="N4333" s="4" t="str">
        <x:v>Sales head</x:v>
      </x:c>
      <x:c r="O4333" s="4"/>
      <x:c r="P4333" s="9" t="n">
        <x:v>0</x:v>
      </x:c>
      <x:c r="Q4333" s="11" t="n">
        <x:v>0</x:v>
      </x:c>
      <x:c r="R4333" s="8" t="n">
        <x:v>45615</x:v>
      </x:c>
      <x:c r="S4333" s="4" t="str">
        <x:v>Retained</x:v>
      </x:c>
      <x:c r="T4333" s="10" t="n">
        <x:v>0.145833</x:v>
      </x:c>
      <x:c r="U4333" s="4" t="str">
        <x:v>Test</x:v>
      </x:c>
    </x:row>
    <x:row r="4334" ht="34" customHeight="1">
      <x:c r="A4334" s="4" t="str">
        <x:v>RS-04333</x:v>
      </x:c>
      <x:c r="B4334" s="8" t="n">
        <x:v>45556</x:v>
      </x:c>
      <x:c r="C4334" s="4" t="str">
        <x:v>PRJ-013</x:v>
      </x:c>
      <x:c r="D4334" s="4" t="str">
        <x:v>Apartment</x:v>
      </x:c>
      <x:c r="E4334" s="4" t="str">
        <x:v>Booked</x:v>
      </x:c>
      <x:c r="F4334" s="4" t="str">
        <x:v>CUS-04333</x:v>
      </x:c>
      <x:c r="G4334" s="4" t="str">
        <x:v>UNIT-04333</x:v>
      </x:c>
      <x:c r="H4334" s="9" t="n">
        <x:v>19000000</x:v>
      </x:c>
      <x:c r="I4334" s="10" t="n">
        <x:v>0.09</x:v>
      </x:c>
      <x:c r="J4334" s="11" t="n">
        <x:v>3</x:v>
      </x:c>
      <x:c r="K4334" s="11" t="n">
        <x:v>10</x:v>
      </x:c>
      <x:c r="L4334" s="11" t="n">
        <x:v>1</x:v>
      </x:c>
      <x:c r="M4334" s="9" t="n">
        <x:f>ROUND(H4334*(1-I4334),2)</x:f>
        <x:v>17290000</x:v>
      </x:c>
      <x:c r="N4334" s="4" t="str">
        <x:v>Sales head</x:v>
      </x:c>
      <x:c r="O4334" s="4" t="str">
        <x:v>BOOK-04333</x:v>
      </x:c>
      <x:c r="P4334" s="9" t="n">
        <x:v>8645000</x:v>
      </x:c>
      <x:c r="Q4334" s="11" t="n">
        <x:v>0</x:v>
      </x:c>
      <x:c r="R4334" s="8" t="n">
        <x:v>45616</x:v>
      </x:c>
      <x:c r="S4334" s="4" t="str">
        <x:v>Retained</x:v>
      </x:c>
      <x:c r="T4334" s="10" t="n">
        <x:v>0.145833</x:v>
      </x:c>
      <x:c r="U4334" s="4" t="str">
        <x:v>Test</x:v>
      </x:c>
    </x:row>
    <x:row r="4335" ht="34" customHeight="1">
      <x:c r="A4335" s="4" t="str">
        <x:v>RS-04334</x:v>
      </x:c>
      <x:c r="B4335" s="8" t="n">
        <x:v>45557</x:v>
      </x:c>
      <x:c r="C4335" s="4" t="str">
        <x:v>PRJ-014</x:v>
      </x:c>
      <x:c r="D4335" s="4" t="str">
        <x:v>Apartment</x:v>
      </x:c>
      <x:c r="E4335" s="4" t="str">
        <x:v>Handed over</x:v>
      </x:c>
      <x:c r="F4335" s="4" t="str">
        <x:v>CUS-04334</x:v>
      </x:c>
      <x:c r="G4335" s="4" t="str">
        <x:v>UNIT-04334</x:v>
      </x:c>
      <x:c r="H4335" s="9" t="n">
        <x:v>16700000</x:v>
      </x:c>
      <x:c r="I4335" s="10" t="n">
        <x:v>0.04</x:v>
      </x:c>
      <x:c r="J4335" s="11" t="n">
        <x:v>4</x:v>
      </x:c>
      <x:c r="K4335" s="11" t="n">
        <x:v>0</x:v>
      </x:c>
      <x:c r="L4335" s="11" t="n">
        <x:v>0</x:v>
      </x:c>
      <x:c r="M4335" s="9" t="n">
        <x:f>ROUND(H4335*(1-I4335),2)</x:f>
        <x:v>16032000</x:v>
      </x:c>
      <x:c r="N4335" s="4" t="str">
        <x:v>Sales manager</x:v>
      </x:c>
      <x:c r="O4335" s="4" t="str">
        <x:v>BOOK-04334</x:v>
      </x:c>
      <x:c r="P4335" s="9" t="n">
        <x:v>1603200</x:v>
      </x:c>
      <x:c r="Q4335" s="11" t="n">
        <x:v>0</x:v>
      </x:c>
      <x:c r="R4335" s="8" t="n">
        <x:v>45617</x:v>
      </x:c>
      <x:c r="S4335" s="4" t="str">
        <x:v>Retained</x:v>
      </x:c>
      <x:c r="T4335" s="10" t="n">
        <x:v>0.226277</x:v>
      </x:c>
      <x:c r="U4335" s="4" t="str">
        <x:v>Test</x:v>
      </x:c>
    </x:row>
    <x:row r="4336" ht="34" customHeight="1">
      <x:c r="A4336" s="4" t="str">
        <x:v>RS-04335</x:v>
      </x:c>
      <x:c r="B4336" s="8" t="n">
        <x:v>45558</x:v>
      </x:c>
      <x:c r="C4336" s="4" t="str">
        <x:v>PRJ-015</x:v>
      </x:c>
      <x:c r="D4336" s="4" t="str">
        <x:v>Villa</x:v>
      </x:c>
      <x:c r="E4336" s="4" t="str">
        <x:v>Reserved</x:v>
      </x:c>
      <x:c r="F4336" s="4" t="str">
        <x:v>CUS-04335</x:v>
      </x:c>
      <x:c r="G4336" s="4" t="str">
        <x:v>UNIT-04335</x:v>
      </x:c>
      <x:c r="H4336" s="9" t="n">
        <x:v>20900000</x:v>
      </x:c>
      <x:c r="I4336" s="10" t="n">
        <x:v>0.06</x:v>
      </x:c>
      <x:c r="J4336" s="11" t="n">
        <x:v>9</x:v>
      </x:c>
      <x:c r="K4336" s="11" t="n">
        <x:v>9</x:v>
      </x:c>
      <x:c r="L4336" s="11" t="n">
        <x:v>1</x:v>
      </x:c>
      <x:c r="M4336" s="9" t="n">
        <x:f>ROUND(H4336*(1-I4336),2)</x:f>
        <x:v>19646000</x:v>
      </x:c>
      <x:c r="N4336" s="4" t="str">
        <x:v>Sales manager</x:v>
      </x:c>
      <x:c r="O4336" s="4"/>
      <x:c r="P4336" s="9" t="n">
        <x:v>0</x:v>
      </x:c>
      <x:c r="Q4336" s="11" t="n">
        <x:v>1</x:v>
      </x:c>
      <x:c r="R4336" s="8" t="n">
        <x:v>45618</x:v>
      </x:c>
      <x:c r="S4336" s="4" t="str">
        <x:v>Lost / cancelled</x:v>
      </x:c>
      <x:c r="T4336" s="10" t="n">
        <x:v>0.310195</x:v>
      </x:c>
      <x:c r="U4336" s="4" t="str">
        <x:v>Test</x:v>
      </x:c>
    </x:row>
    <x:row r="4337" ht="34" customHeight="1">
      <x:c r="A4337" s="4" t="str">
        <x:v>RS-04336</x:v>
      </x:c>
      <x:c r="B4337" s="8" t="n">
        <x:v>45559</x:v>
      </x:c>
      <x:c r="C4337" s="4" t="str">
        <x:v>PRJ-016</x:v>
      </x:c>
      <x:c r="D4337" s="4" t="str">
        <x:v>Office</x:v>
      </x:c>
      <x:c r="E4337" s="4" t="str">
        <x:v>Cancelled</x:v>
      </x:c>
      <x:c r="F4337" s="4" t="str">
        <x:v>CUS-04336</x:v>
      </x:c>
      <x:c r="G4337" s="4" t="str">
        <x:v>UNIT-04336</x:v>
      </x:c>
      <x:c r="H4337" s="9" t="n">
        <x:v>4200000</x:v>
      </x:c>
      <x:c r="I4337" s="10" t="n">
        <x:v>0.07</x:v>
      </x:c>
      <x:c r="J4337" s="11" t="n">
        <x:v>3</x:v>
      </x:c>
      <x:c r="K4337" s="11" t="n">
        <x:v>10</x:v>
      </x:c>
      <x:c r="L4337" s="11" t="n">
        <x:v>0</x:v>
      </x:c>
      <x:c r="M4337" s="9" t="n">
        <x:f>ROUND(H4337*(1-I4337),2)</x:f>
        <x:v>3906000</x:v>
      </x:c>
      <x:c r="N4337" s="4" t="str">
        <x:v>Sales manager</x:v>
      </x:c>
      <x:c r="O4337" s="4"/>
      <x:c r="P4337" s="9" t="n">
        <x:v>0</x:v>
      </x:c>
      <x:c r="Q4337" s="11" t="n">
        <x:v>1</x:v>
      </x:c>
      <x:c r="R4337" s="8" t="n">
        <x:v>45619</x:v>
      </x:c>
      <x:c r="S4337" s="4" t="str">
        <x:v>Lost / cancelled</x:v>
      </x:c>
      <x:c r="T4337" s="10" t="n">
        <x:v>0.204152</x:v>
      </x:c>
      <x:c r="U4337" s="4" t="str">
        <x:v>Test</x:v>
      </x:c>
    </x:row>
    <x:row r="4338" ht="34" customHeight="1">
      <x:c r="A4338" s="4" t="str">
        <x:v>RS-04337</x:v>
      </x:c>
      <x:c r="B4338" s="8" t="n">
        <x:v>45560</x:v>
      </x:c>
      <x:c r="C4338" s="4" t="str">
        <x:v>PRJ-017</x:v>
      </x:c>
      <x:c r="D4338" s="4" t="str">
        <x:v>Retail</x:v>
      </x:c>
      <x:c r="E4338" s="4" t="str">
        <x:v>Handed over</x:v>
      </x:c>
      <x:c r="F4338" s="4" t="str">
        <x:v>CUS-04337</x:v>
      </x:c>
      <x:c r="G4338" s="4" t="str">
        <x:v>UNIT-04337</x:v>
      </x:c>
      <x:c r="H4338" s="9" t="n">
        <x:v>12400000</x:v>
      </x:c>
      <x:c r="I4338" s="10" t="n">
        <x:v>0.08</x:v>
      </x:c>
      <x:c r="J4338" s="11" t="n">
        <x:v>9</x:v>
      </x:c>
      <x:c r="K4338" s="11" t="n">
        <x:v>10</x:v>
      </x:c>
      <x:c r="L4338" s="11" t="n">
        <x:v>1</x:v>
      </x:c>
      <x:c r="M4338" s="9" t="n">
        <x:f>ROUND(H4338*(1-I4338),2)</x:f>
        <x:v>11408000</x:v>
      </x:c>
      <x:c r="N4338" s="4" t="str">
        <x:v>Sales head</x:v>
      </x:c>
      <x:c r="O4338" s="4" t="str">
        <x:v>BOOK-04337</x:v>
      </x:c>
      <x:c r="P4338" s="9" t="n">
        <x:v>11408000</x:v>
      </x:c>
      <x:c r="Q4338" s="11" t="n">
        <x:v>0</x:v>
      </x:c>
      <x:c r="R4338" s="8" t="n">
        <x:v>45620</x:v>
      </x:c>
      <x:c r="S4338" s="4" t="str">
        <x:v>Retained</x:v>
      </x:c>
      <x:c r="T4338" s="10" t="n">
        <x:v>0.310195</x:v>
      </x:c>
      <x:c r="U4338" s="4" t="str">
        <x:v>Test</x:v>
      </x:c>
    </x:row>
    <x:row r="4339" ht="34" customHeight="1">
      <x:c r="A4339" s="4" t="str">
        <x:v>RS-04338</x:v>
      </x:c>
      <x:c r="B4339" s="8" t="n">
        <x:v>45561</x:v>
      </x:c>
      <x:c r="C4339" s="4" t="str">
        <x:v>PRJ-018</x:v>
      </x:c>
      <x:c r="D4339" s="4" t="str">
        <x:v>Apartment</x:v>
      </x:c>
      <x:c r="E4339" s="4" t="str">
        <x:v>Handed over</x:v>
      </x:c>
      <x:c r="F4339" s="4" t="str">
        <x:v>CUS-04338</x:v>
      </x:c>
      <x:c r="G4339" s="4" t="str">
        <x:v>UNIT-04338</x:v>
      </x:c>
      <x:c r="H4339" s="9" t="n">
        <x:v>3500000</x:v>
      </x:c>
      <x:c r="I4339" s="10" t="n">
        <x:v>0.07</x:v>
      </x:c>
      <x:c r="J4339" s="11" t="n">
        <x:v>4</x:v>
      </x:c>
      <x:c r="K4339" s="11" t="n">
        <x:v>5</x:v>
      </x:c>
      <x:c r="L4339" s="11" t="n">
        <x:v>1</x:v>
      </x:c>
      <x:c r="M4339" s="9" t="n">
        <x:f>ROUND(H4339*(1-I4339),2)</x:f>
        <x:v>3255000</x:v>
      </x:c>
      <x:c r="N4339" s="4" t="str">
        <x:v>Sales manager</x:v>
      </x:c>
      <x:c r="O4339" s="4" t="str">
        <x:v>BOOK-04338</x:v>
      </x:c>
      <x:c r="P4339" s="9" t="n">
        <x:v>3255000</x:v>
      </x:c>
      <x:c r="Q4339" s="11" t="n">
        <x:v>0</x:v>
      </x:c>
      <x:c r="R4339" s="8" t="n">
        <x:v>45621</x:v>
      </x:c>
      <x:c r="S4339" s="4" t="str">
        <x:v>Retained</x:v>
      </x:c>
      <x:c r="T4339" s="10" t="n">
        <x:v>0.291946</x:v>
      </x:c>
      <x:c r="U4339" s="4" t="str">
        <x:v>Test</x:v>
      </x:c>
    </x:row>
    <x:row r="4340" ht="34" customHeight="1">
      <x:c r="A4340" s="4" t="str">
        <x:v>RS-04339</x:v>
      </x:c>
      <x:c r="B4340" s="8" t="n">
        <x:v>45562</x:v>
      </x:c>
      <x:c r="C4340" s="4" t="str">
        <x:v>PRJ-019</x:v>
      </x:c>
      <x:c r="D4340" s="4" t="str">
        <x:v>Apartment</x:v>
      </x:c>
      <x:c r="E4340" s="4" t="str">
        <x:v>Handed over</x:v>
      </x:c>
      <x:c r="F4340" s="4" t="str">
        <x:v>CUS-04339</x:v>
      </x:c>
      <x:c r="G4340" s="4" t="str">
        <x:v>UNIT-04339</x:v>
      </x:c>
      <x:c r="H4340" s="9" t="n">
        <x:v>18400000</x:v>
      </x:c>
      <x:c r="I4340" s="10" t="n">
        <x:v>0.11</x:v>
      </x:c>
      <x:c r="J4340" s="11" t="n">
        <x:v>1</x:v>
      </x:c>
      <x:c r="K4340" s="11" t="n">
        <x:v>8</x:v>
      </x:c>
      <x:c r="L4340" s="11" t="n">
        <x:v>0</x:v>
      </x:c>
      <x:c r="M4340" s="9" t="n">
        <x:f>ROUND(H4340*(1-I4340),2)</x:f>
        <x:v>16376000</x:v>
      </x:c>
      <x:c r="N4340" s="4" t="str">
        <x:v>Sales head</x:v>
      </x:c>
      <x:c r="O4340" s="4" t="str">
        <x:v>BOOK-04339</x:v>
      </x:c>
      <x:c r="P4340" s="9" t="n">
        <x:v>1637600</x:v>
      </x:c>
      <x:c r="Q4340" s="11" t="n">
        <x:v>0</x:v>
      </x:c>
      <x:c r="R4340" s="8" t="n">
        <x:v>45622</x:v>
      </x:c>
      <x:c r="S4340" s="4" t="str">
        <x:v>Retained</x:v>
      </x:c>
      <x:c r="T4340" s="10" t="n">
        <x:v>0.145833</x:v>
      </x:c>
      <x:c r="U4340" s="4" t="str">
        <x:v>Test</x:v>
      </x:c>
    </x:row>
    <x:row r="4341" ht="34" customHeight="1">
      <x:c r="A4341" s="4" t="str">
        <x:v>RS-04340</x:v>
      </x:c>
      <x:c r="B4341" s="8" t="n">
        <x:v>45563</x:v>
      </x:c>
      <x:c r="C4341" s="4" t="str">
        <x:v>PRJ-020</x:v>
      </x:c>
      <x:c r="D4341" s="4" t="str">
        <x:v>Villa</x:v>
      </x:c>
      <x:c r="E4341" s="4" t="str">
        <x:v>Handed over</x:v>
      </x:c>
      <x:c r="F4341" s="4" t="str">
        <x:v>CUS-04340</x:v>
      </x:c>
      <x:c r="G4341" s="4" t="str">
        <x:v>UNIT-04340</x:v>
      </x:c>
      <x:c r="H4341" s="9" t="n">
        <x:v>6700000</x:v>
      </x:c>
      <x:c r="I4341" s="10" t="n">
        <x:v>0.11</x:v>
      </x:c>
      <x:c r="J4341" s="11" t="n">
        <x:v>10</x:v>
      </x:c>
      <x:c r="K4341" s="11" t="n">
        <x:v>4</x:v>
      </x:c>
      <x:c r="L4341" s="11" t="n">
        <x:v>1</x:v>
      </x:c>
      <x:c r="M4341" s="9" t="n">
        <x:f>ROUND(H4341*(1-I4341),2)</x:f>
        <x:v>5963000</x:v>
      </x:c>
      <x:c r="N4341" s="4" t="str">
        <x:v>Sales head</x:v>
      </x:c>
      <x:c r="O4341" s="4" t="str">
        <x:v>BOOK-04340</x:v>
      </x:c>
      <x:c r="P4341" s="9" t="n">
        <x:v>596300</x:v>
      </x:c>
      <x:c r="Q4341" s="11" t="n">
        <x:v>0</x:v>
      </x:c>
      <x:c r="R4341" s="8" t="n">
        <x:v>45623</x:v>
      </x:c>
      <x:c r="S4341" s="4" t="str">
        <x:v>Retained</x:v>
      </x:c>
      <x:c r="T4341" s="10" t="n">
        <x:v>0.310195</x:v>
      </x:c>
      <x:c r="U4341" s="4" t="str">
        <x:v>Test</x:v>
      </x:c>
    </x:row>
    <x:row r="4342" ht="34" customHeight="1">
      <x:c r="A4342" s="4" t="str">
        <x:v>RS-04341</x:v>
      </x:c>
      <x:c r="B4342" s="8" t="n">
        <x:v>45536</x:v>
      </x:c>
      <x:c r="C4342" s="4" t="str">
        <x:v>PRJ-001</x:v>
      </x:c>
      <x:c r="D4342" s="4" t="str">
        <x:v>Retail</x:v>
      </x:c>
      <x:c r="E4342" s="4" t="str">
        <x:v>Agreement signed</x:v>
      </x:c>
      <x:c r="F4342" s="4" t="str">
        <x:v>CUS-04341</x:v>
      </x:c>
      <x:c r="G4342" s="4" t="str">
        <x:v>UNIT-04341</x:v>
      </x:c>
      <x:c r="H4342" s="9" t="n">
        <x:v>5400000</x:v>
      </x:c>
      <x:c r="I4342" s="10" t="n">
        <x:v>0.05</x:v>
      </x:c>
      <x:c r="J4342" s="11" t="n">
        <x:v>2</x:v>
      </x:c>
      <x:c r="K4342" s="11" t="n">
        <x:v>10</x:v>
      </x:c>
      <x:c r="L4342" s="11" t="n">
        <x:v>0</x:v>
      </x:c>
      <x:c r="M4342" s="9" t="n">
        <x:f>ROUND(H4342*(1-I4342),2)</x:f>
        <x:v>5130000</x:v>
      </x:c>
      <x:c r="N4342" s="4" t="str">
        <x:v>Sales manager</x:v>
      </x:c>
      <x:c r="O4342" s="4" t="str">
        <x:v>BOOK-04341</x:v>
      </x:c>
      <x:c r="P4342" s="9" t="n">
        <x:v>1282500</x:v>
      </x:c>
      <x:c r="Q4342" s="11" t="n">
        <x:v>0</x:v>
      </x:c>
      <x:c r="R4342" s="8" t="n">
        <x:v>45596</x:v>
      </x:c>
      <x:c r="S4342" s="4" t="str">
        <x:v>Retained</x:v>
      </x:c>
      <x:c r="T4342" s="10" t="n">
        <x:v>0.204152</x:v>
      </x:c>
      <x:c r="U4342" s="4" t="str">
        <x:v>Test</x:v>
      </x:c>
    </x:row>
    <x:row r="4343" ht="34" customHeight="1">
      <x:c r="A4343" s="4" t="str">
        <x:v>RS-04342</x:v>
      </x:c>
      <x:c r="B4343" s="8" t="n">
        <x:v>45537</x:v>
      </x:c>
      <x:c r="C4343" s="4" t="str">
        <x:v>PRJ-002</x:v>
      </x:c>
      <x:c r="D4343" s="4" t="str">
        <x:v>Retail</x:v>
      </x:c>
      <x:c r="E4343" s="4" t="str">
        <x:v>Cancelled</x:v>
      </x:c>
      <x:c r="F4343" s="4" t="str">
        <x:v>CUS-04342</x:v>
      </x:c>
      <x:c r="G4343" s="4" t="str">
        <x:v>UNIT-04342</x:v>
      </x:c>
      <x:c r="H4343" s="9" t="n">
        <x:v>15200000</x:v>
      </x:c>
      <x:c r="I4343" s="10" t="n">
        <x:v>0.02</x:v>
      </x:c>
      <x:c r="J4343" s="11" t="n">
        <x:v>10</x:v>
      </x:c>
      <x:c r="K4343" s="11" t="n">
        <x:v>4</x:v>
      </x:c>
      <x:c r="L4343" s="11" t="n">
        <x:v>1</x:v>
      </x:c>
      <x:c r="M4343" s="9" t="n">
        <x:f>ROUND(H4343*(1-I4343),2)</x:f>
        <x:v>14896000</x:v>
      </x:c>
      <x:c r="N4343" s="4" t="str">
        <x:v>Sales manager</x:v>
      </x:c>
      <x:c r="O4343" s="4"/>
      <x:c r="P4343" s="9" t="n">
        <x:v>0</x:v>
      </x:c>
      <x:c r="Q4343" s="11" t="n">
        <x:v>1</x:v>
      </x:c>
      <x:c r="R4343" s="8" t="n">
        <x:v>45597</x:v>
      </x:c>
      <x:c r="S4343" s="4" t="str">
        <x:v>Lost / cancelled</x:v>
      </x:c>
      <x:c r="T4343" s="10" t="n">
        <x:v>0.254545</x:v>
      </x:c>
      <x:c r="U4343" s="4" t="str">
        <x:v>Test</x:v>
      </x:c>
    </x:row>
    <x:row r="4344" ht="34" customHeight="1">
      <x:c r="A4344" s="4" t="str">
        <x:v>RS-04343</x:v>
      </x:c>
      <x:c r="B4344" s="8" t="n">
        <x:v>45538</x:v>
      </x:c>
      <x:c r="C4344" s="4" t="str">
        <x:v>PRJ-003</x:v>
      </x:c>
      <x:c r="D4344" s="4" t="str">
        <x:v>Villa</x:v>
      </x:c>
      <x:c r="E4344" s="4" t="str">
        <x:v>Agreement signed</x:v>
      </x:c>
      <x:c r="F4344" s="4" t="str">
        <x:v>CUS-04343</x:v>
      </x:c>
      <x:c r="G4344" s="4" t="str">
        <x:v>UNIT-04343</x:v>
      </x:c>
      <x:c r="H4344" s="9" t="n">
        <x:v>23800000</x:v>
      </x:c>
      <x:c r="I4344" s="10" t="n">
        <x:v>0.09</x:v>
      </x:c>
      <x:c r="J4344" s="11" t="n">
        <x:v>6</x:v>
      </x:c>
      <x:c r="K4344" s="11" t="n">
        <x:v>9</x:v>
      </x:c>
      <x:c r="L4344" s="11" t="n">
        <x:v>1</x:v>
      </x:c>
      <x:c r="M4344" s="9" t="n">
        <x:f>ROUND(H4344*(1-I4344),2)</x:f>
        <x:v>21658000</x:v>
      </x:c>
      <x:c r="N4344" s="4" t="str">
        <x:v>Sales head</x:v>
      </x:c>
      <x:c r="O4344" s="4" t="str">
        <x:v>BOOK-04343</x:v>
      </x:c>
      <x:c r="P4344" s="9" t="n">
        <x:v>21658000</x:v>
      </x:c>
      <x:c r="Q4344" s="11" t="n">
        <x:v>0</x:v>
      </x:c>
      <x:c r="R4344" s="8" t="n">
        <x:v>45598</x:v>
      </x:c>
      <x:c r="S4344" s="4" t="str">
        <x:v>Retained</x:v>
      </x:c>
      <x:c r="T4344" s="10" t="n">
        <x:v>0.291946</x:v>
      </x:c>
      <x:c r="U4344" s="4" t="str">
        <x:v>Test</x:v>
      </x:c>
    </x:row>
    <x:row r="4345" ht="34" customHeight="1">
      <x:c r="A4345" s="4" t="str">
        <x:v>RS-04344</x:v>
      </x:c>
      <x:c r="B4345" s="8" t="n">
        <x:v>45539</x:v>
      </x:c>
      <x:c r="C4345" s="4" t="str">
        <x:v>PRJ-004</x:v>
      </x:c>
      <x:c r="D4345" s="4" t="str">
        <x:v>Retail</x:v>
      </x:c>
      <x:c r="E4345" s="4" t="str">
        <x:v>Enquiry</x:v>
      </x:c>
      <x:c r="F4345" s="4" t="str">
        <x:v>CUS-04344</x:v>
      </x:c>
      <x:c r="G4345" s="4" t="str">
        <x:v>UNIT-04344</x:v>
      </x:c>
      <x:c r="H4345" s="9" t="n">
        <x:v>11900000</x:v>
      </x:c>
      <x:c r="I4345" s="10" t="n">
        <x:v>0.03</x:v>
      </x:c>
      <x:c r="J4345" s="11" t="n">
        <x:v>2</x:v>
      </x:c>
      <x:c r="K4345" s="11" t="n">
        <x:v>6</x:v>
      </x:c>
      <x:c r="L4345" s="11" t="n">
        <x:v>0</x:v>
      </x:c>
      <x:c r="M4345" s="9" t="n">
        <x:f>ROUND(H4345*(1-I4345),2)</x:f>
        <x:v>11543000</x:v>
      </x:c>
      <x:c r="N4345" s="4" t="str">
        <x:v>Sales manager</x:v>
      </x:c>
      <x:c r="O4345" s="4"/>
      <x:c r="P4345" s="9" t="n">
        <x:v>0</x:v>
      </x:c>
      <x:c r="Q4345" s="11" t="n">
        <x:v>0</x:v>
      </x:c>
      <x:c r="R4345" s="8" t="n">
        <x:v>45599</x:v>
      </x:c>
      <x:c r="S4345" s="4" t="str">
        <x:v>Retained</x:v>
      </x:c>
      <x:c r="T4345" s="10" t="n">
        <x:v>0.171717</x:v>
      </x:c>
      <x:c r="U4345" s="4" t="str">
        <x:v>Test</x:v>
      </x:c>
    </x:row>
    <x:row r="4346" ht="34" customHeight="1">
      <x:c r="A4346" s="4" t="str">
        <x:v>RS-04345</x:v>
      </x:c>
      <x:c r="B4346" s="8" t="n">
        <x:v>45540</x:v>
      </x:c>
      <x:c r="C4346" s="4" t="str">
        <x:v>PRJ-005</x:v>
      </x:c>
      <x:c r="D4346" s="4" t="str">
        <x:v>Apartment</x:v>
      </x:c>
      <x:c r="E4346" s="4" t="str">
        <x:v>Reserved</x:v>
      </x:c>
      <x:c r="F4346" s="4" t="str">
        <x:v>CUS-04345</x:v>
      </x:c>
      <x:c r="G4346" s="4" t="str">
        <x:v>UNIT-04345</x:v>
      </x:c>
      <x:c r="H4346" s="9" t="n">
        <x:v>9500000</x:v>
      </x:c>
      <x:c r="I4346" s="10" t="n">
        <x:v>0.05</x:v>
      </x:c>
      <x:c r="J4346" s="11" t="n">
        <x:v>12</x:v>
      </x:c>
      <x:c r="K4346" s="11" t="n">
        <x:v>1</x:v>
      </x:c>
      <x:c r="L4346" s="11" t="n">
        <x:v>1</x:v>
      </x:c>
      <x:c r="M4346" s="9" t="n">
        <x:f>ROUND(H4346*(1-I4346),2)</x:f>
        <x:v>9025000</x:v>
      </x:c>
      <x:c r="N4346" s="4" t="str">
        <x:v>Sales manager</x:v>
      </x:c>
      <x:c r="O4346" s="4"/>
      <x:c r="P4346" s="9" t="n">
        <x:v>0</x:v>
      </x:c>
      <x:c r="Q4346" s="11" t="n">
        <x:v>1</x:v>
      </x:c>
      <x:c r="R4346" s="8" t="n">
        <x:v>45600</x:v>
      </x:c>
      <x:c r="S4346" s="4" t="str">
        <x:v>Lost / cancelled</x:v>
      </x:c>
      <x:c r="T4346" s="10" t="n">
        <x:v>0.351536</x:v>
      </x:c>
      <x:c r="U4346" s="4" t="str">
        <x:v>Test</x:v>
      </x:c>
    </x:row>
    <x:row r="4347" ht="34" customHeight="1">
      <x:c r="A4347" s="4" t="str">
        <x:v>RS-04346</x:v>
      </x:c>
      <x:c r="B4347" s="8" t="n">
        <x:v>45541</x:v>
      </x:c>
      <x:c r="C4347" s="4" t="str">
        <x:v>PRJ-006</x:v>
      </x:c>
      <x:c r="D4347" s="4" t="str">
        <x:v>Retail</x:v>
      </x:c>
      <x:c r="E4347" s="4" t="str">
        <x:v>Enquiry</x:v>
      </x:c>
      <x:c r="F4347" s="4" t="str">
        <x:v>CUS-04346</x:v>
      </x:c>
      <x:c r="G4347" s="4" t="str">
        <x:v>UNIT-04346</x:v>
      </x:c>
      <x:c r="H4347" s="9" t="n">
        <x:v>23100000</x:v>
      </x:c>
      <x:c r="I4347" s="10" t="n">
        <x:v>0.07</x:v>
      </x:c>
      <x:c r="J4347" s="11" t="n">
        <x:v>3</x:v>
      </x:c>
      <x:c r="K4347" s="11" t="n">
        <x:v>1</x:v>
      </x:c>
      <x:c r="L4347" s="11" t="n">
        <x:v>0</x:v>
      </x:c>
      <x:c r="M4347" s="9" t="n">
        <x:f>ROUND(H4347*(1-I4347),2)</x:f>
        <x:v>21483000</x:v>
      </x:c>
      <x:c r="N4347" s="4" t="str">
        <x:v>Sales manager</x:v>
      </x:c>
      <x:c r="O4347" s="4"/>
      <x:c r="P4347" s="9" t="n">
        <x:v>0</x:v>
      </x:c>
      <x:c r="Q4347" s="11" t="n">
        <x:v>0</x:v>
      </x:c>
      <x:c r="R4347" s="8" t="n">
        <x:v>45601</x:v>
      </x:c>
      <x:c r="S4347" s="4" t="str">
        <x:v>Retained</x:v>
      </x:c>
      <x:c r="T4347" s="10" t="n">
        <x:v>0.204152</x:v>
      </x:c>
      <x:c r="U4347" s="4" t="str">
        <x:v>Test</x:v>
      </x:c>
    </x:row>
    <x:row r="4348" ht="34" customHeight="1">
      <x:c r="A4348" s="4" t="str">
        <x:v>RS-04347</x:v>
      </x:c>
      <x:c r="B4348" s="8" t="n">
        <x:v>45542</x:v>
      </x:c>
      <x:c r="C4348" s="4" t="str">
        <x:v>PRJ-007</x:v>
      </x:c>
      <x:c r="D4348" s="4" t="str">
        <x:v>Apartment</x:v>
      </x:c>
      <x:c r="E4348" s="4" t="str">
        <x:v>Agreement signed</x:v>
      </x:c>
      <x:c r="F4348" s="4" t="str">
        <x:v>CUS-04347</x:v>
      </x:c>
      <x:c r="G4348" s="4" t="str">
        <x:v>UNIT-04347</x:v>
      </x:c>
      <x:c r="H4348" s="9" t="n">
        <x:v>11500000</x:v>
      </x:c>
      <x:c r="I4348" s="10" t="n">
        <x:v>0.07</x:v>
      </x:c>
      <x:c r="J4348" s="11" t="n">
        <x:v>6</x:v>
      </x:c>
      <x:c r="K4348" s="11" t="n">
        <x:v>6</x:v>
      </x:c>
      <x:c r="L4348" s="11" t="n">
        <x:v>0</x:v>
      </x:c>
      <x:c r="M4348" s="9" t="n">
        <x:f>ROUND(H4348*(1-I4348),2)</x:f>
        <x:v>10695000</x:v>
      </x:c>
      <x:c r="N4348" s="4" t="str">
        <x:v>Sales manager</x:v>
      </x:c>
      <x:c r="O4348" s="4" t="str">
        <x:v>BOOK-04347</x:v>
      </x:c>
      <x:c r="P4348" s="9" t="n">
        <x:v>1069500</x:v>
      </x:c>
      <x:c r="Q4348" s="11" t="n">
        <x:v>0</x:v>
      </x:c>
      <x:c r="R4348" s="8" t="n">
        <x:v>45602</x:v>
      </x:c>
      <x:c r="S4348" s="4" t="str">
        <x:v>Retained</x:v>
      </x:c>
      <x:c r="T4348" s="10" t="n">
        <x:v>0.226277</x:v>
      </x:c>
      <x:c r="U4348" s="4" t="str">
        <x:v>Test</x:v>
      </x:c>
    </x:row>
    <x:row r="4349" ht="34" customHeight="1">
      <x:c r="A4349" s="4" t="str">
        <x:v>RS-04348</x:v>
      </x:c>
      <x:c r="B4349" s="8" t="n">
        <x:v>45543</x:v>
      </x:c>
      <x:c r="C4349" s="4" t="str">
        <x:v>PRJ-008</x:v>
      </x:c>
      <x:c r="D4349" s="4" t="str">
        <x:v>Retail</x:v>
      </x:c>
      <x:c r="E4349" s="4" t="str">
        <x:v>Agreement signed</x:v>
      </x:c>
      <x:c r="F4349" s="4" t="str">
        <x:v>CUS-04348</x:v>
      </x:c>
      <x:c r="G4349" s="4" t="str">
        <x:v>UNIT-04348</x:v>
      </x:c>
      <x:c r="H4349" s="9" t="n">
        <x:v>4000000</x:v>
      </x:c>
      <x:c r="I4349" s="10" t="n">
        <x:v>0.09</x:v>
      </x:c>
      <x:c r="J4349" s="11" t="n">
        <x:v>8</x:v>
      </x:c>
      <x:c r="K4349" s="11" t="n">
        <x:v>3</x:v>
      </x:c>
      <x:c r="L4349" s="11" t="n">
        <x:v>0</x:v>
      </x:c>
      <x:c r="M4349" s="9" t="n">
        <x:f>ROUND(H4349*(1-I4349),2)</x:f>
        <x:v>3640000</x:v>
      </x:c>
      <x:c r="N4349" s="4" t="str">
        <x:v>Sales head</x:v>
      </x:c>
      <x:c r="O4349" s="4" t="str">
        <x:v>BOOK-04348</x:v>
      </x:c>
      <x:c r="P4349" s="9" t="n">
        <x:v>910000</x:v>
      </x:c>
      <x:c r="Q4349" s="11" t="n">
        <x:v>0</x:v>
      </x:c>
      <x:c r="R4349" s="8" t="n">
        <x:v>45603</x:v>
      </x:c>
      <x:c r="S4349" s="4" t="str">
        <x:v>Retained</x:v>
      </x:c>
      <x:c r="T4349" s="10" t="n">
        <x:v>0.310195</x:v>
      </x:c>
      <x:c r="U4349" s="4" t="str">
        <x:v>Test</x:v>
      </x:c>
    </x:row>
    <x:row r="4350" ht="34" customHeight="1">
      <x:c r="A4350" s="4" t="str">
        <x:v>RS-04349</x:v>
      </x:c>
      <x:c r="B4350" s="8" t="n">
        <x:v>45544</x:v>
      </x:c>
      <x:c r="C4350" s="4" t="str">
        <x:v>PRJ-009</x:v>
      </x:c>
      <x:c r="D4350" s="4" t="str">
        <x:v>Office</x:v>
      </x:c>
      <x:c r="E4350" s="4" t="str">
        <x:v>Handed over</x:v>
      </x:c>
      <x:c r="F4350" s="4" t="str">
        <x:v>CUS-04349</x:v>
      </x:c>
      <x:c r="G4350" s="4" t="str">
        <x:v>UNIT-04349</x:v>
      </x:c>
      <x:c r="H4350" s="9" t="n">
        <x:v>17600000</x:v>
      </x:c>
      <x:c r="I4350" s="10" t="n">
        <x:v>0.09</x:v>
      </x:c>
      <x:c r="J4350" s="11" t="n">
        <x:v>6</x:v>
      </x:c>
      <x:c r="K4350" s="11" t="n">
        <x:v>8</x:v>
      </x:c>
      <x:c r="L4350" s="11" t="n">
        <x:v>1</x:v>
      </x:c>
      <x:c r="M4350" s="9" t="n">
        <x:f>ROUND(H4350*(1-I4350),2)</x:f>
        <x:v>16016000</x:v>
      </x:c>
      <x:c r="N4350" s="4" t="str">
        <x:v>Sales head</x:v>
      </x:c>
      <x:c r="O4350" s="4" t="str">
        <x:v>BOOK-04349</x:v>
      </x:c>
      <x:c r="P4350" s="9" t="n">
        <x:v>8008000</x:v>
      </x:c>
      <x:c r="Q4350" s="11" t="n">
        <x:v>0</x:v>
      </x:c>
      <x:c r="R4350" s="8" t="n">
        <x:v>45604</x:v>
      </x:c>
      <x:c r="S4350" s="4" t="str">
        <x:v>Retained</x:v>
      </x:c>
      <x:c r="T4350" s="10" t="n">
        <x:v>0.291946</x:v>
      </x:c>
      <x:c r="U4350" s="4" t="str">
        <x:v>Test</x:v>
      </x:c>
    </x:row>
    <x:row r="4351" ht="34" customHeight="1">
      <x:c r="A4351" s="4" t="str">
        <x:v>RS-04350</x:v>
      </x:c>
      <x:c r="B4351" s="8" t="n">
        <x:v>45545</x:v>
      </x:c>
      <x:c r="C4351" s="4" t="str">
        <x:v>PRJ-010</x:v>
      </x:c>
      <x:c r="D4351" s="4" t="str">
        <x:v>Villa</x:v>
      </x:c>
      <x:c r="E4351" s="4" t="str">
        <x:v>Cancelled</x:v>
      </x:c>
      <x:c r="F4351" s="4" t="str">
        <x:v>CUS-04350</x:v>
      </x:c>
      <x:c r="G4351" s="4" t="str">
        <x:v>UNIT-04350</x:v>
      </x:c>
      <x:c r="H4351" s="9" t="n">
        <x:v>13900000</x:v>
      </x:c>
      <x:c r="I4351" s="10" t="n">
        <x:v>0.09</x:v>
      </x:c>
      <x:c r="J4351" s="11" t="n">
        <x:v>3</x:v>
      </x:c>
      <x:c r="K4351" s="11" t="n">
        <x:v>5</x:v>
      </x:c>
      <x:c r="L4351" s="11" t="n">
        <x:v>0</x:v>
      </x:c>
      <x:c r="M4351" s="9" t="n">
        <x:f>ROUND(H4351*(1-I4351),2)</x:f>
        <x:v>12649000</x:v>
      </x:c>
      <x:c r="N4351" s="4" t="str">
        <x:v>Sales head</x:v>
      </x:c>
      <x:c r="O4351" s="4"/>
      <x:c r="P4351" s="9" t="n">
        <x:v>0</x:v>
      </x:c>
      <x:c r="Q4351" s="11" t="n">
        <x:v>1</x:v>
      </x:c>
      <x:c r="R4351" s="8" t="n">
        <x:v>45605</x:v>
      </x:c>
      <x:c r="S4351" s="4" t="str">
        <x:v>Lost / cancelled</x:v>
      </x:c>
      <x:c r="T4351" s="10" t="n">
        <x:v>0.145833</x:v>
      </x:c>
      <x:c r="U4351" s="4" t="str">
        <x:v>Test</x:v>
      </x:c>
    </x:row>
    <x:row r="4352" ht="34" customHeight="1">
      <x:c r="A4352" s="4" t="str">
        <x:v>RS-04351</x:v>
      </x:c>
      <x:c r="B4352" s="8" t="n">
        <x:v>45546</x:v>
      </x:c>
      <x:c r="C4352" s="4" t="str">
        <x:v>PRJ-011</x:v>
      </x:c>
      <x:c r="D4352" s="4" t="str">
        <x:v>Office</x:v>
      </x:c>
      <x:c r="E4352" s="4" t="str">
        <x:v>Reserved</x:v>
      </x:c>
      <x:c r="F4352" s="4" t="str">
        <x:v>CUS-04351</x:v>
      </x:c>
      <x:c r="G4352" s="4" t="str">
        <x:v>UNIT-04351</x:v>
      </x:c>
      <x:c r="H4352" s="9" t="n">
        <x:v>23000000</x:v>
      </x:c>
      <x:c r="I4352" s="10" t="n">
        <x:v>0.11</x:v>
      </x:c>
      <x:c r="J4352" s="11" t="n">
        <x:v>2</x:v>
      </x:c>
      <x:c r="K4352" s="11" t="n">
        <x:v>4</x:v>
      </x:c>
      <x:c r="L4352" s="11" t="n">
        <x:v>0</x:v>
      </x:c>
      <x:c r="M4352" s="9" t="n">
        <x:f>ROUND(H4352*(1-I4352),2)</x:f>
        <x:v>20470000</x:v>
      </x:c>
      <x:c r="N4352" s="4" t="str">
        <x:v>Sales head</x:v>
      </x:c>
      <x:c r="O4352" s="4"/>
      <x:c r="P4352" s="9" t="n">
        <x:v>0</x:v>
      </x:c>
      <x:c r="Q4352" s="11" t="n">
        <x:v>0</x:v>
      </x:c>
      <x:c r="R4352" s="8" t="n">
        <x:v>45606</x:v>
      </x:c>
      <x:c r="S4352" s="4" t="str">
        <x:v>Retained</x:v>
      </x:c>
      <x:c r="T4352" s="10" t="n">
        <x:v>0.145833</x:v>
      </x:c>
      <x:c r="U4352" s="4" t="str">
        <x:v>Test</x:v>
      </x:c>
    </x:row>
    <x:row r="4353" ht="34" customHeight="1">
      <x:c r="A4353" s="4" t="str">
        <x:v>RS-04352</x:v>
      </x:c>
      <x:c r="B4353" s="8" t="n">
        <x:v>45547</x:v>
      </x:c>
      <x:c r="C4353" s="4" t="str">
        <x:v>PRJ-012</x:v>
      </x:c>
      <x:c r="D4353" s="4" t="str">
        <x:v>Villa</x:v>
      </x:c>
      <x:c r="E4353" s="4" t="str">
        <x:v>Cancelled</x:v>
      </x:c>
      <x:c r="F4353" s="4" t="str">
        <x:v>CUS-04352</x:v>
      </x:c>
      <x:c r="G4353" s="4" t="str">
        <x:v>UNIT-04352</x:v>
      </x:c>
      <x:c r="H4353" s="9" t="n">
        <x:v>24100000</x:v>
      </x:c>
      <x:c r="I4353" s="10" t="n">
        <x:v>0.01</x:v>
      </x:c>
      <x:c r="J4353" s="11" t="n">
        <x:v>6</x:v>
      </x:c>
      <x:c r="K4353" s="11" t="n">
        <x:v>9</x:v>
      </x:c>
      <x:c r="L4353" s="11" t="n">
        <x:v>1</x:v>
      </x:c>
      <x:c r="M4353" s="9" t="n">
        <x:f>ROUND(H4353*(1-I4353),2)</x:f>
        <x:v>23859000</x:v>
      </x:c>
      <x:c r="N4353" s="4" t="str">
        <x:v>Sales manager</x:v>
      </x:c>
      <x:c r="O4353" s="4"/>
      <x:c r="P4353" s="9" t="n">
        <x:v>0</x:v>
      </x:c>
      <x:c r="Q4353" s="11" t="n">
        <x:v>1</x:v>
      </x:c>
      <x:c r="R4353" s="8" t="n">
        <x:v>45607</x:v>
      </x:c>
      <x:c r="S4353" s="4" t="str">
        <x:v>Lost / cancelled</x:v>
      </x:c>
      <x:c r="T4353" s="10" t="n">
        <x:v>0.145299</x:v>
      </x:c>
      <x:c r="U4353" s="4" t="str">
        <x:v>Test</x:v>
      </x:c>
    </x:row>
    <x:row r="4354" ht="34" customHeight="1">
      <x:c r="A4354" s="4" t="str">
        <x:v>RS-04353</x:v>
      </x:c>
      <x:c r="B4354" s="8" t="n">
        <x:v>45548</x:v>
      </x:c>
      <x:c r="C4354" s="4" t="str">
        <x:v>PRJ-013</x:v>
      </x:c>
      <x:c r="D4354" s="4" t="str">
        <x:v>Apartment</x:v>
      </x:c>
      <x:c r="E4354" s="4" t="str">
        <x:v>Enquiry</x:v>
      </x:c>
      <x:c r="F4354" s="4" t="str">
        <x:v>CUS-04353</x:v>
      </x:c>
      <x:c r="G4354" s="4" t="str">
        <x:v>UNIT-04353</x:v>
      </x:c>
      <x:c r="H4354" s="9" t="n">
        <x:v>19000000</x:v>
      </x:c>
      <x:c r="I4354" s="10" t="n">
        <x:v>0.09</x:v>
      </x:c>
      <x:c r="J4354" s="11" t="n">
        <x:v>10</x:v>
      </x:c>
      <x:c r="K4354" s="11" t="n">
        <x:v>2</x:v>
      </x:c>
      <x:c r="L4354" s="11" t="n">
        <x:v>0</x:v>
      </x:c>
      <x:c r="M4354" s="9" t="n">
        <x:f>ROUND(H4354*(1-I4354),2)</x:f>
        <x:v>17290000</x:v>
      </x:c>
      <x:c r="N4354" s="4" t="str">
        <x:v>Sales head</x:v>
      </x:c>
      <x:c r="O4354" s="4"/>
      <x:c r="P4354" s="9" t="n">
        <x:v>0</x:v>
      </x:c>
      <x:c r="Q4354" s="11" t="n">
        <x:v>0</x:v>
      </x:c>
      <x:c r="R4354" s="8" t="n">
        <x:v>45608</x:v>
      </x:c>
      <x:c r="S4354" s="4" t="str">
        <x:v>Retained</x:v>
      </x:c>
      <x:c r="T4354" s="10" t="n">
        <x:v>0.310195</x:v>
      </x:c>
      <x:c r="U4354" s="4" t="str">
        <x:v>Test</x:v>
      </x:c>
    </x:row>
    <x:row r="4355" ht="34" customHeight="1">
      <x:c r="A4355" s="4" t="str">
        <x:v>RS-04354</x:v>
      </x:c>
      <x:c r="B4355" s="8" t="n">
        <x:v>45549</x:v>
      </x:c>
      <x:c r="C4355" s="4" t="str">
        <x:v>PRJ-014</x:v>
      </x:c>
      <x:c r="D4355" s="4" t="str">
        <x:v>Office</x:v>
      </x:c>
      <x:c r="E4355" s="4" t="str">
        <x:v>Booked</x:v>
      </x:c>
      <x:c r="F4355" s="4" t="str">
        <x:v>CUS-04354</x:v>
      </x:c>
      <x:c r="G4355" s="4" t="str">
        <x:v>UNIT-04354</x:v>
      </x:c>
      <x:c r="H4355" s="9" t="n">
        <x:v>24800000</x:v>
      </x:c>
      <x:c r="I4355" s="10" t="n">
        <x:v>0.08</x:v>
      </x:c>
      <x:c r="J4355" s="11" t="n">
        <x:v>6</x:v>
      </x:c>
      <x:c r="K4355" s="11" t="n">
        <x:v>0</x:v>
      </x:c>
      <x:c r="L4355" s="11" t="n">
        <x:v>0</x:v>
      </x:c>
      <x:c r="M4355" s="9" t="n">
        <x:f>ROUND(H4355*(1-I4355),2)</x:f>
        <x:v>22816000</x:v>
      </x:c>
      <x:c r="N4355" s="4" t="str">
        <x:v>Sales head</x:v>
      </x:c>
      <x:c r="O4355" s="4" t="str">
        <x:v>BOOK-04354</x:v>
      </x:c>
      <x:c r="P4355" s="9" t="n">
        <x:v>2281600</x:v>
      </x:c>
      <x:c r="Q4355" s="11" t="n">
        <x:v>0</x:v>
      </x:c>
      <x:c r="R4355" s="8" t="n">
        <x:v>45609</x:v>
      </x:c>
      <x:c r="S4355" s="4" t="str">
        <x:v>Retained</x:v>
      </x:c>
      <x:c r="T4355" s="10" t="n">
        <x:v>0.226277</x:v>
      </x:c>
      <x:c r="U4355" s="4" t="str">
        <x:v>Test</x:v>
      </x:c>
    </x:row>
    <x:row r="4356" ht="34" customHeight="1">
      <x:c r="A4356" s="4" t="str">
        <x:v>RS-04355</x:v>
      </x:c>
      <x:c r="B4356" s="8" t="n">
        <x:v>45550</x:v>
      </x:c>
      <x:c r="C4356" s="4" t="str">
        <x:v>PRJ-015</x:v>
      </x:c>
      <x:c r="D4356" s="4" t="str">
        <x:v>Apartment</x:v>
      </x:c>
      <x:c r="E4356" s="4" t="str">
        <x:v>Cancelled</x:v>
      </x:c>
      <x:c r="F4356" s="4" t="str">
        <x:v>CUS-04355</x:v>
      </x:c>
      <x:c r="G4356" s="4" t="str">
        <x:v>UNIT-04355</x:v>
      </x:c>
      <x:c r="H4356" s="9" t="n">
        <x:v>5300000</x:v>
      </x:c>
      <x:c r="I4356" s="10" t="n">
        <x:v>0.11</x:v>
      </x:c>
      <x:c r="J4356" s="11" t="n">
        <x:v>5</x:v>
      </x:c>
      <x:c r="K4356" s="11" t="n">
        <x:v>4</x:v>
      </x:c>
      <x:c r="L4356" s="11" t="n">
        <x:v>1</x:v>
      </x:c>
      <x:c r="M4356" s="9" t="n">
        <x:f>ROUND(H4356*(1-I4356),2)</x:f>
        <x:v>4717000</x:v>
      </x:c>
      <x:c r="N4356" s="4" t="str">
        <x:v>Sales head</x:v>
      </x:c>
      <x:c r="O4356" s="4"/>
      <x:c r="P4356" s="9" t="n">
        <x:v>0</x:v>
      </x:c>
      <x:c r="Q4356" s="11" t="n">
        <x:v>1</x:v>
      </x:c>
      <x:c r="R4356" s="8" t="n">
        <x:v>45610</x:v>
      </x:c>
      <x:c r="S4356" s="4" t="str">
        <x:v>Lost / cancelled</x:v>
      </x:c>
      <x:c r="T4356" s="10" t="n">
        <x:v>0.291946</x:v>
      </x:c>
      <x:c r="U4356" s="4" t="str">
        <x:v>Test</x:v>
      </x:c>
    </x:row>
    <x:row r="4357" ht="34" customHeight="1">
      <x:c r="A4357" s="4" t="str">
        <x:v>RS-04356</x:v>
      </x:c>
      <x:c r="B4357" s="8" t="n">
        <x:v>45551</x:v>
      </x:c>
      <x:c r="C4357" s="4" t="str">
        <x:v>PRJ-016</x:v>
      </x:c>
      <x:c r="D4357" s="4" t="str">
        <x:v>Office</x:v>
      </x:c>
      <x:c r="E4357" s="4" t="str">
        <x:v>Enquiry</x:v>
      </x:c>
      <x:c r="F4357" s="4" t="str">
        <x:v>CUS-04356</x:v>
      </x:c>
      <x:c r="G4357" s="4" t="str">
        <x:v>UNIT-04356</x:v>
      </x:c>
      <x:c r="H4357" s="9" t="n">
        <x:v>6500000</x:v>
      </x:c>
      <x:c r="I4357" s="10" t="n">
        <x:v>0.08</x:v>
      </x:c>
      <x:c r="J4357" s="11" t="n">
        <x:v>5</x:v>
      </x:c>
      <x:c r="K4357" s="11" t="n">
        <x:v>10</x:v>
      </x:c>
      <x:c r="L4357" s="11" t="n">
        <x:v>1</x:v>
      </x:c>
      <x:c r="M4357" s="9" t="n">
        <x:f>ROUND(H4357*(1-I4357),2)</x:f>
        <x:v>5980000</x:v>
      </x:c>
      <x:c r="N4357" s="4" t="str">
        <x:v>Sales head</x:v>
      </x:c>
      <x:c r="O4357" s="4"/>
      <x:c r="P4357" s="9" t="n">
        <x:v>0</x:v>
      </x:c>
      <x:c r="Q4357" s="11" t="n">
        <x:v>0</x:v>
      </x:c>
      <x:c r="R4357" s="8" t="n">
        <x:v>45611</x:v>
      </x:c>
      <x:c r="S4357" s="4" t="str">
        <x:v>Retained</x:v>
      </x:c>
      <x:c r="T4357" s="10" t="n">
        <x:v>0.291946</x:v>
      </x:c>
      <x:c r="U4357" s="4" t="str">
        <x:v>Test</x:v>
      </x:c>
    </x:row>
    <x:row r="4358" ht="34" customHeight="1">
      <x:c r="A4358" s="4" t="str">
        <x:v>RS-04357</x:v>
      </x:c>
      <x:c r="B4358" s="8" t="n">
        <x:v>45552</x:v>
      </x:c>
      <x:c r="C4358" s="4" t="str">
        <x:v>PRJ-017</x:v>
      </x:c>
      <x:c r="D4358" s="4" t="str">
        <x:v>Apartment</x:v>
      </x:c>
      <x:c r="E4358" s="4" t="str">
        <x:v>Agreement signed</x:v>
      </x:c>
      <x:c r="F4358" s="4" t="str">
        <x:v>CUS-04357</x:v>
      </x:c>
      <x:c r="G4358" s="4" t="str">
        <x:v>UNIT-04357</x:v>
      </x:c>
      <x:c r="H4358" s="9" t="n">
        <x:v>5100000</x:v>
      </x:c>
      <x:c r="I4358" s="10" t="n">
        <x:v>0.03</x:v>
      </x:c>
      <x:c r="J4358" s="11" t="n">
        <x:v>2</x:v>
      </x:c>
      <x:c r="K4358" s="11" t="n">
        <x:v>10</x:v>
      </x:c>
      <x:c r="L4358" s="11" t="n">
        <x:v>0</x:v>
      </x:c>
      <x:c r="M4358" s="9" t="n">
        <x:f>ROUND(H4358*(1-I4358),2)</x:f>
        <x:v>4947000</x:v>
      </x:c>
      <x:c r="N4358" s="4" t="str">
        <x:v>Sales manager</x:v>
      </x:c>
      <x:c r="O4358" s="4" t="str">
        <x:v>BOOK-04357</x:v>
      </x:c>
      <x:c r="P4358" s="9" t="n">
        <x:v>4947000</x:v>
      </x:c>
      <x:c r="Q4358" s="11" t="n">
        <x:v>0</x:v>
      </x:c>
      <x:c r="R4358" s="8" t="n">
        <x:v>45612</x:v>
      </x:c>
      <x:c r="S4358" s="4" t="str">
        <x:v>Retained</x:v>
      </x:c>
      <x:c r="T4358" s="10" t="n">
        <x:v>0.171717</x:v>
      </x:c>
      <x:c r="U4358" s="4" t="str">
        <x:v>Test</x:v>
      </x:c>
    </x:row>
    <x:row r="4359" ht="34" customHeight="1">
      <x:c r="A4359" s="4" t="str">
        <x:v>RS-04358</x:v>
      </x:c>
      <x:c r="B4359" s="8" t="n">
        <x:v>45553</x:v>
      </x:c>
      <x:c r="C4359" s="4" t="str">
        <x:v>PRJ-018</x:v>
      </x:c>
      <x:c r="D4359" s="4" t="str">
        <x:v>Apartment</x:v>
      </x:c>
      <x:c r="E4359" s="4" t="str">
        <x:v>Enquiry</x:v>
      </x:c>
      <x:c r="F4359" s="4" t="str">
        <x:v>CUS-04358</x:v>
      </x:c>
      <x:c r="G4359" s="4" t="str">
        <x:v>UNIT-04358</x:v>
      </x:c>
      <x:c r="H4359" s="9" t="n">
        <x:v>5000000</x:v>
      </x:c>
      <x:c r="I4359" s="10" t="n">
        <x:v>0.09</x:v>
      </x:c>
      <x:c r="J4359" s="11" t="n">
        <x:v>2</x:v>
      </x:c>
      <x:c r="K4359" s="11" t="n">
        <x:v>2</x:v>
      </x:c>
      <x:c r="L4359" s="11" t="n">
        <x:v>0</x:v>
      </x:c>
      <x:c r="M4359" s="9" t="n">
        <x:f>ROUND(H4359*(1-I4359),2)</x:f>
        <x:v>4550000</x:v>
      </x:c>
      <x:c r="N4359" s="4" t="str">
        <x:v>Sales head</x:v>
      </x:c>
      <x:c r="O4359" s="4"/>
      <x:c r="P4359" s="9" t="n">
        <x:v>0</x:v>
      </x:c>
      <x:c r="Q4359" s="11" t="n">
        <x:v>0</x:v>
      </x:c>
      <x:c r="R4359" s="8" t="n">
        <x:v>45613</x:v>
      </x:c>
      <x:c r="S4359" s="4" t="str">
        <x:v>Retained</x:v>
      </x:c>
      <x:c r="T4359" s="10" t="n">
        <x:v>0.145833</x:v>
      </x:c>
      <x:c r="U4359" s="4" t="str">
        <x:v>Test</x:v>
      </x:c>
    </x:row>
    <x:row r="4360" ht="34" customHeight="1">
      <x:c r="A4360" s="4" t="str">
        <x:v>RS-04359</x:v>
      </x:c>
      <x:c r="B4360" s="8" t="n">
        <x:v>45554</x:v>
      </x:c>
      <x:c r="C4360" s="4" t="str">
        <x:v>PRJ-019</x:v>
      </x:c>
      <x:c r="D4360" s="4" t="str">
        <x:v>Villa</x:v>
      </x:c>
      <x:c r="E4360" s="4" t="str">
        <x:v>Handed over</x:v>
      </x:c>
      <x:c r="F4360" s="4" t="str">
        <x:v>CUS-04359</x:v>
      </x:c>
      <x:c r="G4360" s="4" t="str">
        <x:v>UNIT-04359</x:v>
      </x:c>
      <x:c r="H4360" s="9" t="n">
        <x:v>9500000</x:v>
      </x:c>
      <x:c r="I4360" s="10" t="n">
        <x:v>0.09</x:v>
      </x:c>
      <x:c r="J4360" s="11" t="n">
        <x:v>12</x:v>
      </x:c>
      <x:c r="K4360" s="11" t="n">
        <x:v>9</x:v>
      </x:c>
      <x:c r="L4360" s="11" t="n">
        <x:v>0</x:v>
      </x:c>
      <x:c r="M4360" s="9" t="n">
        <x:f>ROUND(H4360*(1-I4360),2)</x:f>
        <x:v>8645000</x:v>
      </x:c>
      <x:c r="N4360" s="4" t="str">
        <x:v>Sales head</x:v>
      </x:c>
      <x:c r="O4360" s="4" t="str">
        <x:v>BOOK-04359</x:v>
      </x:c>
      <x:c r="P4360" s="9" t="n">
        <x:v>4322500</x:v>
      </x:c>
      <x:c r="Q4360" s="11" t="n">
        <x:v>0</x:v>
      </x:c>
      <x:c r="R4360" s="8" t="n">
        <x:v>45614</x:v>
      </x:c>
      <x:c r="S4360" s="4" t="str">
        <x:v>Retained</x:v>
      </x:c>
      <x:c r="T4360" s="10" t="n">
        <x:v>0.351536</x:v>
      </x:c>
      <x:c r="U4360" s="4" t="str">
        <x:v>Test</x:v>
      </x:c>
    </x:row>
    <x:row r="4361" ht="34" customHeight="1">
      <x:c r="A4361" s="4" t="str">
        <x:v>RS-04360</x:v>
      </x:c>
      <x:c r="B4361" s="8" t="n">
        <x:v>45555</x:v>
      </x:c>
      <x:c r="C4361" s="4" t="str">
        <x:v>PRJ-020</x:v>
      </x:c>
      <x:c r="D4361" s="4" t="str">
        <x:v>Retail</x:v>
      </x:c>
      <x:c r="E4361" s="4" t="str">
        <x:v>Handed over</x:v>
      </x:c>
      <x:c r="F4361" s="4" t="str">
        <x:v>CUS-04360</x:v>
      </x:c>
      <x:c r="G4361" s="4" t="str">
        <x:v>UNIT-04360</x:v>
      </x:c>
      <x:c r="H4361" s="9" t="n">
        <x:v>19400000</x:v>
      </x:c>
      <x:c r="I4361" s="10" t="n">
        <x:v>0.02</x:v>
      </x:c>
      <x:c r="J4361" s="11" t="n">
        <x:v>7</x:v>
      </x:c>
      <x:c r="K4361" s="11" t="n">
        <x:v>9</x:v>
      </x:c>
      <x:c r="L4361" s="11" t="n">
        <x:v>0</x:v>
      </x:c>
      <x:c r="M4361" s="9" t="n">
        <x:f>ROUND(H4361*(1-I4361),2)</x:f>
        <x:v>19012000</x:v>
      </x:c>
      <x:c r="N4361" s="4" t="str">
        <x:v>Sales manager</x:v>
      </x:c>
      <x:c r="O4361" s="4" t="str">
        <x:v>BOOK-04360</x:v>
      </x:c>
      <x:c r="P4361" s="9" t="n">
        <x:v>1901200</x:v>
      </x:c>
      <x:c r="Q4361" s="11" t="n">
        <x:v>0</x:v>
      </x:c>
      <x:c r="R4361" s="8" t="n">
        <x:v>45615</x:v>
      </x:c>
      <x:c r="S4361" s="4" t="str">
        <x:v>Retained</x:v>
      </x:c>
      <x:c r="T4361" s="10" t="n">
        <x:v>0.145299</x:v>
      </x:c>
      <x:c r="U4361" s="4" t="str">
        <x:v>Test</x:v>
      </x:c>
    </x:row>
    <x:row r="4362" ht="34" customHeight="1">
      <x:c r="A4362" s="4" t="str">
        <x:v>RS-04361</x:v>
      </x:c>
      <x:c r="B4362" s="8" t="n">
        <x:v>45556</x:v>
      </x:c>
      <x:c r="C4362" s="4" t="str">
        <x:v>PRJ-001</x:v>
      </x:c>
      <x:c r="D4362" s="4" t="str">
        <x:v>Office</x:v>
      </x:c>
      <x:c r="E4362" s="4" t="str">
        <x:v>Handed over</x:v>
      </x:c>
      <x:c r="F4362" s="4" t="str">
        <x:v>CUS-04361</x:v>
      </x:c>
      <x:c r="G4362" s="4" t="str">
        <x:v>UNIT-04361</x:v>
      </x:c>
      <x:c r="H4362" s="9" t="n">
        <x:v>22600000</x:v>
      </x:c>
      <x:c r="I4362" s="10" t="n">
        <x:v>0.02</x:v>
      </x:c>
      <x:c r="J4362" s="11" t="n">
        <x:v>7</x:v>
      </x:c>
      <x:c r="K4362" s="11" t="n">
        <x:v>10</x:v>
      </x:c>
      <x:c r="L4362" s="11" t="n">
        <x:v>1</x:v>
      </x:c>
      <x:c r="M4362" s="9" t="n">
        <x:f>ROUND(H4362*(1-I4362),2)</x:f>
        <x:v>22148000</x:v>
      </x:c>
      <x:c r="N4362" s="4" t="str">
        <x:v>Sales manager</x:v>
      </x:c>
      <x:c r="O4362" s="4" t="str">
        <x:v>BOOK-04361</x:v>
      </x:c>
      <x:c r="P4362" s="9" t="n">
        <x:v>5537000</x:v>
      </x:c>
      <x:c r="Q4362" s="11" t="n">
        <x:v>0</x:v>
      </x:c>
      <x:c r="R4362" s="8" t="n">
        <x:v>45616</x:v>
      </x:c>
      <x:c r="S4362" s="4" t="str">
        <x:v>Retained</x:v>
      </x:c>
      <x:c r="T4362" s="10" t="n">
        <x:v>0.145299</x:v>
      </x:c>
      <x:c r="U4362" s="4" t="str">
        <x:v>Test</x:v>
      </x:c>
    </x:row>
    <x:row r="4363" ht="34" customHeight="1">
      <x:c r="A4363" s="4" t="str">
        <x:v>RS-04362</x:v>
      </x:c>
      <x:c r="B4363" s="8" t="n">
        <x:v>45557</x:v>
      </x:c>
      <x:c r="C4363" s="4" t="str">
        <x:v>PRJ-002</x:v>
      </x:c>
      <x:c r="D4363" s="4" t="str">
        <x:v>Retail</x:v>
      </x:c>
      <x:c r="E4363" s="4" t="str">
        <x:v>Handed over</x:v>
      </x:c>
      <x:c r="F4363" s="4" t="str">
        <x:v>CUS-04362</x:v>
      </x:c>
      <x:c r="G4363" s="4" t="str">
        <x:v>UNIT-04362</x:v>
      </x:c>
      <x:c r="H4363" s="9" t="n">
        <x:v>17900000</x:v>
      </x:c>
      <x:c r="I4363" s="10" t="n">
        <x:v>0.04</x:v>
      </x:c>
      <x:c r="J4363" s="11" t="n">
        <x:v>8</x:v>
      </x:c>
      <x:c r="K4363" s="11" t="n">
        <x:v>1</x:v>
      </x:c>
      <x:c r="L4363" s="11" t="n">
        <x:v>1</x:v>
      </x:c>
      <x:c r="M4363" s="9" t="n">
        <x:f>ROUND(H4363*(1-I4363),2)</x:f>
        <x:v>17184000</x:v>
      </x:c>
      <x:c r="N4363" s="4" t="str">
        <x:v>Sales manager</x:v>
      </x:c>
      <x:c r="O4363" s="4" t="str">
        <x:v>BOOK-04362</x:v>
      </x:c>
      <x:c r="P4363" s="9" t="n">
        <x:v>1718400</x:v>
      </x:c>
      <x:c r="Q4363" s="11" t="n">
        <x:v>0</x:v>
      </x:c>
      <x:c r="R4363" s="8" t="n">
        <x:v>45617</x:v>
      </x:c>
      <x:c r="S4363" s="4" t="str">
        <x:v>Retained</x:v>
      </x:c>
      <x:c r="T4363" s="10" t="n">
        <x:v>0.310195</x:v>
      </x:c>
      <x:c r="U4363" s="4" t="str">
        <x:v>Test</x:v>
      </x:c>
    </x:row>
    <x:row r="4364" ht="34" customHeight="1">
      <x:c r="A4364" s="4" t="str">
        <x:v>RS-04363</x:v>
      </x:c>
      <x:c r="B4364" s="8" t="n">
        <x:v>45558</x:v>
      </x:c>
      <x:c r="C4364" s="4" t="str">
        <x:v>PRJ-003</x:v>
      </x:c>
      <x:c r="D4364" s="4" t="str">
        <x:v>Office</x:v>
      </x:c>
      <x:c r="E4364" s="4" t="str">
        <x:v>Booked</x:v>
      </x:c>
      <x:c r="F4364" s="4" t="str">
        <x:v>CUS-04363</x:v>
      </x:c>
      <x:c r="G4364" s="4" t="str">
        <x:v>UNIT-04363</x:v>
      </x:c>
      <x:c r="H4364" s="9" t="n">
        <x:v>8300000</x:v>
      </x:c>
      <x:c r="I4364" s="10" t="n">
        <x:v>0.1</x:v>
      </x:c>
      <x:c r="J4364" s="11" t="n">
        <x:v>4</x:v>
      </x:c>
      <x:c r="K4364" s="11" t="n">
        <x:v>3</x:v>
      </x:c>
      <x:c r="L4364" s="11" t="n">
        <x:v>1</x:v>
      </x:c>
      <x:c r="M4364" s="9" t="n">
        <x:f>ROUND(H4364*(1-I4364),2)</x:f>
        <x:v>7470000</x:v>
      </x:c>
      <x:c r="N4364" s="4" t="str">
        <x:v>Sales head</x:v>
      </x:c>
      <x:c r="O4364" s="4" t="str">
        <x:v>BOOK-04363</x:v>
      </x:c>
      <x:c r="P4364" s="9" t="n">
        <x:v>1867500</x:v>
      </x:c>
      <x:c r="Q4364" s="11" t="n">
        <x:v>0</x:v>
      </x:c>
      <x:c r="R4364" s="8" t="n">
        <x:v>45618</x:v>
      </x:c>
      <x:c r="S4364" s="4" t="str">
        <x:v>Retained</x:v>
      </x:c>
      <x:c r="T4364" s="10" t="n">
        <x:v>0.291946</x:v>
      </x:c>
      <x:c r="U4364" s="4" t="str">
        <x:v>Test</x:v>
      </x:c>
    </x:row>
    <x:row r="4365" ht="34" customHeight="1">
      <x:c r="A4365" s="4" t="str">
        <x:v>RS-04364</x:v>
      </x:c>
      <x:c r="B4365" s="8" t="n">
        <x:v>45559</x:v>
      </x:c>
      <x:c r="C4365" s="4" t="str">
        <x:v>PRJ-004</x:v>
      </x:c>
      <x:c r="D4365" s="4" t="str">
        <x:v>Office</x:v>
      </x:c>
      <x:c r="E4365" s="4" t="str">
        <x:v>Enquiry</x:v>
      </x:c>
      <x:c r="F4365" s="4" t="str">
        <x:v>CUS-04364</x:v>
      </x:c>
      <x:c r="G4365" s="4" t="str">
        <x:v>UNIT-04364</x:v>
      </x:c>
      <x:c r="H4365" s="9" t="n">
        <x:v>3300000</x:v>
      </x:c>
      <x:c r="I4365" s="10" t="n">
        <x:v>0.04</x:v>
      </x:c>
      <x:c r="J4365" s="11" t="n">
        <x:v>3</x:v>
      </x:c>
      <x:c r="K4365" s="11" t="n">
        <x:v>0</x:v>
      </x:c>
      <x:c r="L4365" s="11" t="n">
        <x:v>1</x:v>
      </x:c>
      <x:c r="M4365" s="9" t="n">
        <x:f>ROUND(H4365*(1-I4365),2)</x:f>
        <x:v>3168000</x:v>
      </x:c>
      <x:c r="N4365" s="4" t="str">
        <x:v>Sales manager</x:v>
      </x:c>
      <x:c r="O4365" s="4"/>
      <x:c r="P4365" s="9" t="n">
        <x:v>0</x:v>
      </x:c>
      <x:c r="Q4365" s="11" t="n">
        <x:v>0</x:v>
      </x:c>
      <x:c r="R4365" s="8" t="n">
        <x:v>45619</x:v>
      </x:c>
      <x:c r="S4365" s="4" t="str">
        <x:v>Retained</x:v>
      </x:c>
      <x:c r="T4365" s="10" t="n">
        <x:v>0.276923</x:v>
      </x:c>
      <x:c r="U4365" s="4" t="str">
        <x:v>Test</x:v>
      </x:c>
    </x:row>
    <x:row r="4366" ht="34" customHeight="1">
      <x:c r="A4366" s="4" t="str">
        <x:v>RS-04365</x:v>
      </x:c>
      <x:c r="B4366" s="8" t="n">
        <x:v>45560</x:v>
      </x:c>
      <x:c r="C4366" s="4" t="str">
        <x:v>PRJ-005</x:v>
      </x:c>
      <x:c r="D4366" s="4" t="str">
        <x:v>Retail</x:v>
      </x:c>
      <x:c r="E4366" s="4" t="str">
        <x:v>Reserved</x:v>
      </x:c>
      <x:c r="F4366" s="4" t="str">
        <x:v>CUS-04365</x:v>
      </x:c>
      <x:c r="G4366" s="4" t="str">
        <x:v>UNIT-04365</x:v>
      </x:c>
      <x:c r="H4366" s="9" t="n">
        <x:v>16100000</x:v>
      </x:c>
      <x:c r="I4366" s="10" t="n">
        <x:v>0.03</x:v>
      </x:c>
      <x:c r="J4366" s="11" t="n">
        <x:v>10</x:v>
      </x:c>
      <x:c r="K4366" s="11" t="n">
        <x:v>2</x:v>
      </x:c>
      <x:c r="L4366" s="11" t="n">
        <x:v>0</x:v>
      </x:c>
      <x:c r="M4366" s="9" t="n">
        <x:f>ROUND(H4366*(1-I4366),2)</x:f>
        <x:v>15617000</x:v>
      </x:c>
      <x:c r="N4366" s="4" t="str">
        <x:v>Sales manager</x:v>
      </x:c>
      <x:c r="O4366" s="4"/>
      <x:c r="P4366" s="9" t="n">
        <x:v>0</x:v>
      </x:c>
      <x:c r="Q4366" s="11" t="n">
        <x:v>1</x:v>
      </x:c>
      <x:c r="R4366" s="8" t="n">
        <x:v>45620</x:v>
      </x:c>
      <x:c r="S4366" s="4" t="str">
        <x:v>Lost / cancelled</x:v>
      </x:c>
      <x:c r="T4366" s="10" t="n">
        <x:v>0.310195</x:v>
      </x:c>
      <x:c r="U4366" s="4" t="str">
        <x:v>Test</x:v>
      </x:c>
    </x:row>
    <x:row r="4367" ht="34" customHeight="1">
      <x:c r="A4367" s="4" t="str">
        <x:v>RS-04366</x:v>
      </x:c>
      <x:c r="B4367" s="8" t="n">
        <x:v>45561</x:v>
      </x:c>
      <x:c r="C4367" s="4" t="str">
        <x:v>PRJ-006</x:v>
      </x:c>
      <x:c r="D4367" s="4" t="str">
        <x:v>Apartment</x:v>
      </x:c>
      <x:c r="E4367" s="4" t="str">
        <x:v>Agreement signed</x:v>
      </x:c>
      <x:c r="F4367" s="4" t="str">
        <x:v>CUS-04366</x:v>
      </x:c>
      <x:c r="G4367" s="4" t="str">
        <x:v>UNIT-04366</x:v>
      </x:c>
      <x:c r="H4367" s="9" t="n">
        <x:v>22800000</x:v>
      </x:c>
      <x:c r="I4367" s="10" t="n">
        <x:v>0.08</x:v>
      </x:c>
      <x:c r="J4367" s="11" t="n">
        <x:v>7</x:v>
      </x:c>
      <x:c r="K4367" s="11" t="n">
        <x:v>10</x:v>
      </x:c>
      <x:c r="L4367" s="11" t="n">
        <x:v>1</x:v>
      </x:c>
      <x:c r="M4367" s="9" t="n">
        <x:f>ROUND(H4367*(1-I4367),2)</x:f>
        <x:v>20976000</x:v>
      </x:c>
      <x:c r="N4367" s="4" t="str">
        <x:v>Sales head</x:v>
      </x:c>
      <x:c r="O4367" s="4" t="str">
        <x:v>BOOK-04366</x:v>
      </x:c>
      <x:c r="P4367" s="9" t="n">
        <x:v>10488000</x:v>
      </x:c>
      <x:c r="Q4367" s="11" t="n">
        <x:v>0</x:v>
      </x:c>
      <x:c r="R4367" s="8" t="n">
        <x:v>45621</x:v>
      </x:c>
      <x:c r="S4367" s="4" t="str">
        <x:v>Retained</x:v>
      </x:c>
      <x:c r="T4367" s="10" t="n">
        <x:v>0.291946</x:v>
      </x:c>
      <x:c r="U4367" s="4" t="str">
        <x:v>Test</x:v>
      </x:c>
    </x:row>
    <x:row r="4368" ht="34" customHeight="1">
      <x:c r="A4368" s="4" t="str">
        <x:v>RS-04367</x:v>
      </x:c>
      <x:c r="B4368" s="8" t="n">
        <x:v>45562</x:v>
      </x:c>
      <x:c r="C4368" s="4" t="str">
        <x:v>PRJ-007</x:v>
      </x:c>
      <x:c r="D4368" s="4" t="str">
        <x:v>Office</x:v>
      </x:c>
      <x:c r="E4368" s="4" t="str">
        <x:v>Enquiry</x:v>
      </x:c>
      <x:c r="F4368" s="4" t="str">
        <x:v>CUS-04367</x:v>
      </x:c>
      <x:c r="G4368" s="4" t="str">
        <x:v>UNIT-04367</x:v>
      </x:c>
      <x:c r="H4368" s="9" t="n">
        <x:v>8900000</x:v>
      </x:c>
      <x:c r="I4368" s="10" t="n">
        <x:v>0.03</x:v>
      </x:c>
      <x:c r="J4368" s="11" t="n">
        <x:v>10</x:v>
      </x:c>
      <x:c r="K4368" s="11" t="n">
        <x:v>4</x:v>
      </x:c>
      <x:c r="L4368" s="11" t="n">
        <x:v>1</x:v>
      </x:c>
      <x:c r="M4368" s="9" t="n">
        <x:f>ROUND(H4368*(1-I4368),2)</x:f>
        <x:v>8633000</x:v>
      </x:c>
      <x:c r="N4368" s="4" t="str">
        <x:v>Sales manager</x:v>
      </x:c>
      <x:c r="O4368" s="4"/>
      <x:c r="P4368" s="9" t="n">
        <x:v>0</x:v>
      </x:c>
      <x:c r="Q4368" s="11" t="n">
        <x:v>1</x:v>
      </x:c>
      <x:c r="R4368" s="8" t="n">
        <x:v>45622</x:v>
      </x:c>
      <x:c r="S4368" s="4" t="str">
        <x:v>Lost / cancelled</x:v>
      </x:c>
      <x:c r="T4368" s="10" t="n">
        <x:v>0.310195</x:v>
      </x:c>
      <x:c r="U4368" s="4" t="str">
        <x:v>Test</x:v>
      </x:c>
    </x:row>
    <x:row r="4369" ht="34" customHeight="1">
      <x:c r="A4369" s="4" t="str">
        <x:v>RS-04368</x:v>
      </x:c>
      <x:c r="B4369" s="8" t="n">
        <x:v>45563</x:v>
      </x:c>
      <x:c r="C4369" s="4" t="str">
        <x:v>PRJ-008</x:v>
      </x:c>
      <x:c r="D4369" s="4" t="str">
        <x:v>Villa</x:v>
      </x:c>
      <x:c r="E4369" s="4" t="str">
        <x:v>Enquiry</x:v>
      </x:c>
      <x:c r="F4369" s="4" t="str">
        <x:v>CUS-04368</x:v>
      </x:c>
      <x:c r="G4369" s="4" t="str">
        <x:v>UNIT-04368</x:v>
      </x:c>
      <x:c r="H4369" s="9" t="n">
        <x:v>13500000</x:v>
      </x:c>
      <x:c r="I4369" s="10" t="n">
        <x:v>0.12</x:v>
      </x:c>
      <x:c r="J4369" s="11" t="n">
        <x:v>11</x:v>
      </x:c>
      <x:c r="K4369" s="11" t="n">
        <x:v>1</x:v>
      </x:c>
      <x:c r="L4369" s="11" t="n">
        <x:v>1</x:v>
      </x:c>
      <x:c r="M4369" s="9" t="n">
        <x:f>ROUND(H4369*(1-I4369),2)</x:f>
        <x:v>11880000</x:v>
      </x:c>
      <x:c r="N4369" s="4" t="str">
        <x:v>Sales head</x:v>
      </x:c>
      <x:c r="O4369" s="4"/>
      <x:c r="P4369" s="9" t="n">
        <x:v>0</x:v>
      </x:c>
      <x:c r="Q4369" s="11" t="n">
        <x:v>1</x:v>
      </x:c>
      <x:c r="R4369" s="8" t="n">
        <x:v>45623</x:v>
      </x:c>
      <x:c r="S4369" s="4" t="str">
        <x:v>Lost / cancelled</x:v>
      </x:c>
      <x:c r="T4369" s="10" t="n">
        <x:v>0.351536</x:v>
      </x:c>
      <x:c r="U4369" s="4" t="str">
        <x:v>Test</x:v>
      </x:c>
    </x:row>
    <x:row r="4370" ht="34" customHeight="1">
      <x:c r="A4370" s="4" t="str">
        <x:v>RS-04369</x:v>
      </x:c>
      <x:c r="B4370" s="8" t="n">
        <x:v>45536</x:v>
      </x:c>
      <x:c r="C4370" s="4" t="str">
        <x:v>PRJ-009</x:v>
      </x:c>
      <x:c r="D4370" s="4" t="str">
        <x:v>Apartment</x:v>
      </x:c>
      <x:c r="E4370" s="4" t="str">
        <x:v>Reserved</x:v>
      </x:c>
      <x:c r="F4370" s="4" t="str">
        <x:v>CUS-04369</x:v>
      </x:c>
      <x:c r="G4370" s="4" t="str">
        <x:v>UNIT-04369</x:v>
      </x:c>
      <x:c r="H4370" s="9" t="n">
        <x:v>19000000</x:v>
      </x:c>
      <x:c r="I4370" s="10" t="n">
        <x:v>0.1</x:v>
      </x:c>
      <x:c r="J4370" s="11" t="n">
        <x:v>0</x:v>
      </x:c>
      <x:c r="K4370" s="11" t="n">
        <x:v>2</x:v>
      </x:c>
      <x:c r="L4370" s="11" t="n">
        <x:v>1</x:v>
      </x:c>
      <x:c r="M4370" s="9" t="n">
        <x:f>ROUND(H4370*(1-I4370),2)</x:f>
        <x:v>17100000</x:v>
      </x:c>
      <x:c r="N4370" s="4" t="str">
        <x:v>Sales head</x:v>
      </x:c>
      <x:c r="O4370" s="4"/>
      <x:c r="P4370" s="9" t="n">
        <x:v>0</x:v>
      </x:c>
      <x:c r="Q4370" s="11" t="n">
        <x:v>0</x:v>
      </x:c>
      <x:c r="R4370" s="8" t="n">
        <x:v>45596</x:v>
      </x:c>
      <x:c r="S4370" s="4" t="str">
        <x:v>Retained</x:v>
      </x:c>
      <x:c r="T4370" s="10" t="n">
        <x:v>0.145833</x:v>
      </x:c>
      <x:c r="U4370" s="4" t="str">
        <x:v>Test</x:v>
      </x:c>
    </x:row>
    <x:row r="4371" ht="34" customHeight="1">
      <x:c r="A4371" s="4" t="str">
        <x:v>RS-04370</x:v>
      </x:c>
      <x:c r="B4371" s="8" t="n">
        <x:v>45537</x:v>
      </x:c>
      <x:c r="C4371" s="4" t="str">
        <x:v>PRJ-010</x:v>
      </x:c>
      <x:c r="D4371" s="4" t="str">
        <x:v>Office</x:v>
      </x:c>
      <x:c r="E4371" s="4" t="str">
        <x:v>Reserved</x:v>
      </x:c>
      <x:c r="F4371" s="4" t="str">
        <x:v>CUS-04370</x:v>
      </x:c>
      <x:c r="G4371" s="4" t="str">
        <x:v>UNIT-04370</x:v>
      </x:c>
      <x:c r="H4371" s="9" t="n">
        <x:v>13500000</x:v>
      </x:c>
      <x:c r="I4371" s="10" t="n">
        <x:v>0.05</x:v>
      </x:c>
      <x:c r="J4371" s="11" t="n">
        <x:v>6</x:v>
      </x:c>
      <x:c r="K4371" s="11" t="n">
        <x:v>8</x:v>
      </x:c>
      <x:c r="L4371" s="11" t="n">
        <x:v>1</x:v>
      </x:c>
      <x:c r="M4371" s="9" t="n">
        <x:f>ROUND(H4371*(1-I4371),2)</x:f>
        <x:v>12825000</x:v>
      </x:c>
      <x:c r="N4371" s="4" t="str">
        <x:v>Sales manager</x:v>
      </x:c>
      <x:c r="O4371" s="4"/>
      <x:c r="P4371" s="9" t="n">
        <x:v>0</x:v>
      </x:c>
      <x:c r="Q4371" s="11" t="n">
        <x:v>0</x:v>
      </x:c>
      <x:c r="R4371" s="8" t="n">
        <x:v>45597</x:v>
      </x:c>
      <x:c r="S4371" s="4" t="str">
        <x:v>Retained</x:v>
      </x:c>
      <x:c r="T4371" s="10" t="n">
        <x:v>0.291946</x:v>
      </x:c>
      <x:c r="U4371" s="4" t="str">
        <x:v>Test</x:v>
      </x:c>
    </x:row>
    <x:row r="4372" ht="34" customHeight="1">
      <x:c r="A4372" s="4" t="str">
        <x:v>RS-04371</x:v>
      </x:c>
      <x:c r="B4372" s="8" t="n">
        <x:v>45538</x:v>
      </x:c>
      <x:c r="C4372" s="4" t="str">
        <x:v>PRJ-011</x:v>
      </x:c>
      <x:c r="D4372" s="4" t="str">
        <x:v>Apartment</x:v>
      </x:c>
      <x:c r="E4372" s="4" t="str">
        <x:v>Enquiry</x:v>
      </x:c>
      <x:c r="F4372" s="4" t="str">
        <x:v>CUS-04371</x:v>
      </x:c>
      <x:c r="G4372" s="4" t="str">
        <x:v>UNIT-04371</x:v>
      </x:c>
      <x:c r="H4372" s="9" t="n">
        <x:v>10600000</x:v>
      </x:c>
      <x:c r="I4372" s="10" t="n">
        <x:v>0.07</x:v>
      </x:c>
      <x:c r="J4372" s="11" t="n">
        <x:v>9</x:v>
      </x:c>
      <x:c r="K4372" s="11" t="n">
        <x:v>9</x:v>
      </x:c>
      <x:c r="L4372" s="11" t="n">
        <x:v>0</x:v>
      </x:c>
      <x:c r="M4372" s="9" t="n">
        <x:f>ROUND(H4372*(1-I4372),2)</x:f>
        <x:v>9858000</x:v>
      </x:c>
      <x:c r="N4372" s="4" t="str">
        <x:v>Sales manager</x:v>
      </x:c>
      <x:c r="O4372" s="4"/>
      <x:c r="P4372" s="9" t="n">
        <x:v>0</x:v>
      </x:c>
      <x:c r="Q4372" s="11" t="n">
        <x:v>1</x:v>
      </x:c>
      <x:c r="R4372" s="8" t="n">
        <x:v>45598</x:v>
      </x:c>
      <x:c r="S4372" s="4" t="str">
        <x:v>Lost / cancelled</x:v>
      </x:c>
      <x:c r="T4372" s="10" t="n">
        <x:v>0.310195</x:v>
      </x:c>
      <x:c r="U4372" s="4" t="str">
        <x:v>Test</x:v>
      </x:c>
    </x:row>
    <x:row r="4373" ht="34" customHeight="1">
      <x:c r="A4373" s="4" t="str">
        <x:v>RS-04372</x:v>
      </x:c>
      <x:c r="B4373" s="8" t="n">
        <x:v>45539</x:v>
      </x:c>
      <x:c r="C4373" s="4" t="str">
        <x:v>PRJ-012</x:v>
      </x:c>
      <x:c r="D4373" s="4" t="str">
        <x:v>Apartment</x:v>
      </x:c>
      <x:c r="E4373" s="4" t="str">
        <x:v>Agreement signed</x:v>
      </x:c>
      <x:c r="F4373" s="4" t="str">
        <x:v>CUS-04372</x:v>
      </x:c>
      <x:c r="G4373" s="4" t="str">
        <x:v>UNIT-04372</x:v>
      </x:c>
      <x:c r="H4373" s="9" t="n">
        <x:v>4600000</x:v>
      </x:c>
      <x:c r="I4373" s="10" t="n">
        <x:v>0.02</x:v>
      </x:c>
      <x:c r="J4373" s="11" t="n">
        <x:v>11</x:v>
      </x:c>
      <x:c r="K4373" s="11" t="n">
        <x:v>1</x:v>
      </x:c>
      <x:c r="L4373" s="11" t="n">
        <x:v>1</x:v>
      </x:c>
      <x:c r="M4373" s="9" t="n">
        <x:f>ROUND(H4373*(1-I4373),2)</x:f>
        <x:v>4508000</x:v>
      </x:c>
      <x:c r="N4373" s="4" t="str">
        <x:v>Sales manager</x:v>
      </x:c>
      <x:c r="O4373" s="4" t="str">
        <x:v>BOOK-04372</x:v>
      </x:c>
      <x:c r="P4373" s="9" t="n">
        <x:v>450800</x:v>
      </x:c>
      <x:c r="Q4373" s="11" t="n">
        <x:v>0</x:v>
      </x:c>
      <x:c r="R4373" s="8" t="n">
        <x:v>45599</x:v>
      </x:c>
      <x:c r="S4373" s="4" t="str">
        <x:v>Retained</x:v>
      </x:c>
      <x:c r="T4373" s="10" t="n">
        <x:v>0.254545</x:v>
      </x:c>
      <x:c r="U4373" s="4" t="str">
        <x:v>Test</x:v>
      </x:c>
    </x:row>
    <x:row r="4374" ht="34" customHeight="1">
      <x:c r="A4374" s="4" t="str">
        <x:v>RS-04373</x:v>
      </x:c>
      <x:c r="B4374" s="8" t="n">
        <x:v>45540</x:v>
      </x:c>
      <x:c r="C4374" s="4" t="str">
        <x:v>PRJ-013</x:v>
      </x:c>
      <x:c r="D4374" s="4" t="str">
        <x:v>Villa</x:v>
      </x:c>
      <x:c r="E4374" s="4" t="str">
        <x:v>Agreement signed</x:v>
      </x:c>
      <x:c r="F4374" s="4" t="str">
        <x:v>CUS-04373</x:v>
      </x:c>
      <x:c r="G4374" s="4" t="str">
        <x:v>UNIT-04373</x:v>
      </x:c>
      <x:c r="H4374" s="9" t="n">
        <x:v>12200000</x:v>
      </x:c>
      <x:c r="I4374" s="10" t="n">
        <x:v>0.11</x:v>
      </x:c>
      <x:c r="J4374" s="11" t="n">
        <x:v>11</x:v>
      </x:c>
      <x:c r="K4374" s="11" t="n">
        <x:v>6</x:v>
      </x:c>
      <x:c r="L4374" s="11" t="n">
        <x:v>0</x:v>
      </x:c>
      <x:c r="M4374" s="9" t="n">
        <x:f>ROUND(H4374*(1-I4374),2)</x:f>
        <x:v>10858000</x:v>
      </x:c>
      <x:c r="N4374" s="4" t="str">
        <x:v>Sales head</x:v>
      </x:c>
      <x:c r="O4374" s="4" t="str">
        <x:v>BOOK-04373</x:v>
      </x:c>
      <x:c r="P4374" s="9" t="n">
        <x:v>1085800</x:v>
      </x:c>
      <x:c r="Q4374" s="11" t="n">
        <x:v>0</x:v>
      </x:c>
      <x:c r="R4374" s="8" t="n">
        <x:v>45600</x:v>
      </x:c>
      <x:c r="S4374" s="4" t="str">
        <x:v>Retained</x:v>
      </x:c>
      <x:c r="T4374" s="10" t="n">
        <x:v>0.351536</x:v>
      </x:c>
      <x:c r="U4374" s="4" t="str">
        <x:v>Test</x:v>
      </x:c>
    </x:row>
    <x:row r="4375" ht="34" customHeight="1">
      <x:c r="A4375" s="4" t="str">
        <x:v>RS-04374</x:v>
      </x:c>
      <x:c r="B4375" s="8" t="n">
        <x:v>45541</x:v>
      </x:c>
      <x:c r="C4375" s="4" t="str">
        <x:v>PRJ-014</x:v>
      </x:c>
      <x:c r="D4375" s="4" t="str">
        <x:v>Apartment</x:v>
      </x:c>
      <x:c r="E4375" s="4" t="str">
        <x:v>Reserved</x:v>
      </x:c>
      <x:c r="F4375" s="4" t="str">
        <x:v>CUS-04374</x:v>
      </x:c>
      <x:c r="G4375" s="4" t="str">
        <x:v>UNIT-04374</x:v>
      </x:c>
      <x:c r="H4375" s="9" t="n">
        <x:v>16700000</x:v>
      </x:c>
      <x:c r="I4375" s="10" t="n">
        <x:v>0.08</x:v>
      </x:c>
      <x:c r="J4375" s="11" t="n">
        <x:v>11</x:v>
      </x:c>
      <x:c r="K4375" s="11" t="n">
        <x:v>10</x:v>
      </x:c>
      <x:c r="L4375" s="11" t="n">
        <x:v>0</x:v>
      </x:c>
      <x:c r="M4375" s="9" t="n">
        <x:f>ROUND(H4375*(1-I4375),2)</x:f>
        <x:v>15364000</x:v>
      </x:c>
      <x:c r="N4375" s="4" t="str">
        <x:v>Sales head</x:v>
      </x:c>
      <x:c r="O4375" s="4"/>
      <x:c r="P4375" s="9" t="n">
        <x:v>0</x:v>
      </x:c>
      <x:c r="Q4375" s="11" t="n">
        <x:v>0</x:v>
      </x:c>
      <x:c r="R4375" s="8" t="n">
        <x:v>45601</x:v>
      </x:c>
      <x:c r="S4375" s="4" t="str">
        <x:v>Retained</x:v>
      </x:c>
      <x:c r="T4375" s="10" t="n">
        <x:v>0.351536</x:v>
      </x:c>
      <x:c r="U4375" s="4" t="str">
        <x:v>Test</x:v>
      </x:c>
    </x:row>
    <x:row r="4376" ht="34" customHeight="1">
      <x:c r="A4376" s="4" t="str">
        <x:v>RS-04375</x:v>
      </x:c>
      <x:c r="B4376" s="8" t="n">
        <x:v>45542</x:v>
      </x:c>
      <x:c r="C4376" s="4" t="str">
        <x:v>PRJ-015</x:v>
      </x:c>
      <x:c r="D4376" s="4" t="str">
        <x:v>Retail</x:v>
      </x:c>
      <x:c r="E4376" s="4" t="str">
        <x:v>Agreement signed</x:v>
      </x:c>
      <x:c r="F4376" s="4" t="str">
        <x:v>CUS-04375</x:v>
      </x:c>
      <x:c r="G4376" s="4" t="str">
        <x:v>UNIT-04375</x:v>
      </x:c>
      <x:c r="H4376" s="9" t="n">
        <x:v>8600000</x:v>
      </x:c>
      <x:c r="I4376" s="10" t="n">
        <x:v>0.02</x:v>
      </x:c>
      <x:c r="J4376" s="11" t="n">
        <x:v>8</x:v>
      </x:c>
      <x:c r="K4376" s="11" t="n">
        <x:v>8</x:v>
      </x:c>
      <x:c r="L4376" s="11" t="n">
        <x:v>0</x:v>
      </x:c>
      <x:c r="M4376" s="9" t="n">
        <x:f>ROUND(H4376*(1-I4376),2)</x:f>
        <x:v>8428000</x:v>
      </x:c>
      <x:c r="N4376" s="4" t="str">
        <x:v>Sales manager</x:v>
      </x:c>
      <x:c r="O4376" s="4" t="str">
        <x:v>BOOK-04375</x:v>
      </x:c>
      <x:c r="P4376" s="9" t="n">
        <x:v>842800</x:v>
      </x:c>
      <x:c r="Q4376" s="11" t="n">
        <x:v>0</x:v>
      </x:c>
      <x:c r="R4376" s="8" t="n">
        <x:v>45602</x:v>
      </x:c>
      <x:c r="S4376" s="4" t="str">
        <x:v>Retained</x:v>
      </x:c>
      <x:c r="T4376" s="10" t="n">
        <x:v>0.305556</x:v>
      </x:c>
      <x:c r="U4376" s="4" t="str">
        <x:v>Test</x:v>
      </x:c>
    </x:row>
    <x:row r="4377" ht="34" customHeight="1">
      <x:c r="A4377" s="4" t="str">
        <x:v>RS-04376</x:v>
      </x:c>
      <x:c r="B4377" s="8" t="n">
        <x:v>45543</x:v>
      </x:c>
      <x:c r="C4377" s="4" t="str">
        <x:v>PRJ-016</x:v>
      </x:c>
      <x:c r="D4377" s="4" t="str">
        <x:v>Apartment</x:v>
      </x:c>
      <x:c r="E4377" s="4" t="str">
        <x:v>Reserved</x:v>
      </x:c>
      <x:c r="F4377" s="4" t="str">
        <x:v>CUS-04376</x:v>
      </x:c>
      <x:c r="G4377" s="4" t="str">
        <x:v>UNIT-04376</x:v>
      </x:c>
      <x:c r="H4377" s="9" t="n">
        <x:v>17000000</x:v>
      </x:c>
      <x:c r="I4377" s="10" t="n">
        <x:v>0.08</x:v>
      </x:c>
      <x:c r="J4377" s="11" t="n">
        <x:v>6</x:v>
      </x:c>
      <x:c r="K4377" s="11" t="n">
        <x:v>1</x:v>
      </x:c>
      <x:c r="L4377" s="11" t="n">
        <x:v>0</x:v>
      </x:c>
      <x:c r="M4377" s="9" t="n">
        <x:f>ROUND(H4377*(1-I4377),2)</x:f>
        <x:v>15640000</x:v>
      </x:c>
      <x:c r="N4377" s="4" t="str">
        <x:v>Sales head</x:v>
      </x:c>
      <x:c r="O4377" s="4"/>
      <x:c r="P4377" s="9" t="n">
        <x:v>0</x:v>
      </x:c>
      <x:c r="Q4377" s="11" t="n">
        <x:v>0</x:v>
      </x:c>
      <x:c r="R4377" s="8" t="n">
        <x:v>45603</x:v>
      </x:c>
      <x:c r="S4377" s="4" t="str">
        <x:v>Retained</x:v>
      </x:c>
      <x:c r="T4377" s="10" t="n">
        <x:v>0.226277</x:v>
      </x:c>
      <x:c r="U4377" s="4" t="str">
        <x:v>Test</x:v>
      </x:c>
    </x:row>
    <x:row r="4378" ht="34" customHeight="1">
      <x:c r="A4378" s="4" t="str">
        <x:v>RS-04377</x:v>
      </x:c>
      <x:c r="B4378" s="8" t="n">
        <x:v>45544</x:v>
      </x:c>
      <x:c r="C4378" s="4" t="str">
        <x:v>PRJ-017</x:v>
      </x:c>
      <x:c r="D4378" s="4" t="str">
        <x:v>Apartment</x:v>
      </x:c>
      <x:c r="E4378" s="4" t="str">
        <x:v>Reserved</x:v>
      </x:c>
      <x:c r="F4378" s="4" t="str">
        <x:v>CUS-04377</x:v>
      </x:c>
      <x:c r="G4378" s="4" t="str">
        <x:v>UNIT-04377</x:v>
      </x:c>
      <x:c r="H4378" s="9" t="n">
        <x:v>18800000</x:v>
      </x:c>
      <x:c r="I4378" s="10" t="n">
        <x:v>0.11</x:v>
      </x:c>
      <x:c r="J4378" s="11" t="n">
        <x:v>9</x:v>
      </x:c>
      <x:c r="K4378" s="11" t="n">
        <x:v>8</x:v>
      </x:c>
      <x:c r="L4378" s="11" t="n">
        <x:v>1</x:v>
      </x:c>
      <x:c r="M4378" s="9" t="n">
        <x:f>ROUND(H4378*(1-I4378),2)</x:f>
        <x:v>16732000</x:v>
      </x:c>
      <x:c r="N4378" s="4" t="str">
        <x:v>Sales head</x:v>
      </x:c>
      <x:c r="O4378" s="4"/>
      <x:c r="P4378" s="9" t="n">
        <x:v>0</x:v>
      </x:c>
      <x:c r="Q4378" s="11" t="n">
        <x:v>1</x:v>
      </x:c>
      <x:c r="R4378" s="8" t="n">
        <x:v>45604</x:v>
      </x:c>
      <x:c r="S4378" s="4" t="str">
        <x:v>Lost / cancelled</x:v>
      </x:c>
      <x:c r="T4378" s="10" t="n">
        <x:v>0.310195</x:v>
      </x:c>
      <x:c r="U4378" s="4" t="str">
        <x:v>Test</x:v>
      </x:c>
    </x:row>
    <x:row r="4379" ht="34" customHeight="1">
      <x:c r="A4379" s="4" t="str">
        <x:v>RS-04378</x:v>
      </x:c>
      <x:c r="B4379" s="8" t="n">
        <x:v>45545</x:v>
      </x:c>
      <x:c r="C4379" s="4" t="str">
        <x:v>PRJ-018</x:v>
      </x:c>
      <x:c r="D4379" s="4" t="str">
        <x:v>Office</x:v>
      </x:c>
      <x:c r="E4379" s="4" t="str">
        <x:v>Handed over</x:v>
      </x:c>
      <x:c r="F4379" s="4" t="str">
        <x:v>CUS-04378</x:v>
      </x:c>
      <x:c r="G4379" s="4" t="str">
        <x:v>UNIT-04378</x:v>
      </x:c>
      <x:c r="H4379" s="9" t="n">
        <x:v>18300000</x:v>
      </x:c>
      <x:c r="I4379" s="10" t="n">
        <x:v>0.06</x:v>
      </x:c>
      <x:c r="J4379" s="11" t="n">
        <x:v>1</x:v>
      </x:c>
      <x:c r="K4379" s="11" t="n">
        <x:v>6</x:v>
      </x:c>
      <x:c r="L4379" s="11" t="n">
        <x:v>0</x:v>
      </x:c>
      <x:c r="M4379" s="9" t="n">
        <x:f>ROUND(H4379*(1-I4379),2)</x:f>
        <x:v>17202000</x:v>
      </x:c>
      <x:c r="N4379" s="4" t="str">
        <x:v>Sales manager</x:v>
      </x:c>
      <x:c r="O4379" s="4" t="str">
        <x:v>BOOK-04378</x:v>
      </x:c>
      <x:c r="P4379" s="9" t="n">
        <x:v>1720200</x:v>
      </x:c>
      <x:c r="Q4379" s="11" t="n">
        <x:v>0</x:v>
      </x:c>
      <x:c r="R4379" s="8" t="n">
        <x:v>45605</x:v>
      </x:c>
      <x:c r="S4379" s="4" t="str">
        <x:v>Retained</x:v>
      </x:c>
      <x:c r="T4379" s="10" t="n">
        <x:v>0.204152</x:v>
      </x:c>
      <x:c r="U4379" s="4" t="str">
        <x:v>Test</x:v>
      </x:c>
    </x:row>
    <x:row r="4380" ht="34" customHeight="1">
      <x:c r="A4380" s="4" t="str">
        <x:v>RS-04379</x:v>
      </x:c>
      <x:c r="B4380" s="8" t="n">
        <x:v>45546</x:v>
      </x:c>
      <x:c r="C4380" s="4" t="str">
        <x:v>PRJ-019</x:v>
      </x:c>
      <x:c r="D4380" s="4" t="str">
        <x:v>Office</x:v>
      </x:c>
      <x:c r="E4380" s="4" t="str">
        <x:v>Agreement signed</x:v>
      </x:c>
      <x:c r="F4380" s="4" t="str">
        <x:v>CUS-04379</x:v>
      </x:c>
      <x:c r="G4380" s="4" t="str">
        <x:v>UNIT-04379</x:v>
      </x:c>
      <x:c r="H4380" s="9" t="n">
        <x:v>13600000</x:v>
      </x:c>
      <x:c r="I4380" s="10" t="n">
        <x:v>0.08</x:v>
      </x:c>
      <x:c r="J4380" s="11" t="n">
        <x:v>6</x:v>
      </x:c>
      <x:c r="K4380" s="11" t="n">
        <x:v>1</x:v>
      </x:c>
      <x:c r="L4380" s="11" t="n">
        <x:v>1</x:v>
      </x:c>
      <x:c r="M4380" s="9" t="n">
        <x:f>ROUND(H4380*(1-I4380),2)</x:f>
        <x:v>12512000</x:v>
      </x:c>
      <x:c r="N4380" s="4" t="str">
        <x:v>Sales head</x:v>
      </x:c>
      <x:c r="O4380" s="4" t="str">
        <x:v>BOOK-04379</x:v>
      </x:c>
      <x:c r="P4380" s="9" t="n">
        <x:v>12512000</x:v>
      </x:c>
      <x:c r="Q4380" s="11" t="n">
        <x:v>0</x:v>
      </x:c>
      <x:c r="R4380" s="8" t="n">
        <x:v>45606</x:v>
      </x:c>
      <x:c r="S4380" s="4" t="str">
        <x:v>Retained</x:v>
      </x:c>
      <x:c r="T4380" s="10" t="n">
        <x:v>0.291946</x:v>
      </x:c>
      <x:c r="U4380" s="4" t="str">
        <x:v>Test</x:v>
      </x:c>
    </x:row>
    <x:row r="4381" ht="34" customHeight="1">
      <x:c r="A4381" s="4" t="str">
        <x:v>RS-04380</x:v>
      </x:c>
      <x:c r="B4381" s="8" t="n">
        <x:v>45547</x:v>
      </x:c>
      <x:c r="C4381" s="4" t="str">
        <x:v>PRJ-020</x:v>
      </x:c>
      <x:c r="D4381" s="4" t="str">
        <x:v>Apartment</x:v>
      </x:c>
      <x:c r="E4381" s="4" t="str">
        <x:v>Agreement signed</x:v>
      </x:c>
      <x:c r="F4381" s="4" t="str">
        <x:v>CUS-04380</x:v>
      </x:c>
      <x:c r="G4381" s="4" t="str">
        <x:v>UNIT-04380</x:v>
      </x:c>
      <x:c r="H4381" s="9" t="n">
        <x:v>8700000</x:v>
      </x:c>
      <x:c r="I4381" s="10" t="n">
        <x:v>0.07</x:v>
      </x:c>
      <x:c r="J4381" s="11" t="n">
        <x:v>8</x:v>
      </x:c>
      <x:c r="K4381" s="11" t="n">
        <x:v>3</x:v>
      </x:c>
      <x:c r="L4381" s="11" t="n">
        <x:v>1</x:v>
      </x:c>
      <x:c r="M4381" s="9" t="n">
        <x:f>ROUND(H4381*(1-I4381),2)</x:f>
        <x:v>8091000</x:v>
      </x:c>
      <x:c r="N4381" s="4" t="str">
        <x:v>Sales manager</x:v>
      </x:c>
      <x:c r="O4381" s="4" t="str">
        <x:v>BOOK-04380</x:v>
      </x:c>
      <x:c r="P4381" s="9" t="n">
        <x:v>8091000</x:v>
      </x:c>
      <x:c r="Q4381" s="11" t="n">
        <x:v>0</x:v>
      </x:c>
      <x:c r="R4381" s="8" t="n">
        <x:v>45607</x:v>
      </x:c>
      <x:c r="S4381" s="4" t="str">
        <x:v>Retained</x:v>
      </x:c>
      <x:c r="T4381" s="10" t="n">
        <x:v>0.310195</x:v>
      </x:c>
      <x:c r="U4381" s="4" t="str">
        <x:v>Test</x:v>
      </x:c>
    </x:row>
    <x:row r="4382" ht="34" customHeight="1">
      <x:c r="A4382" s="4" t="str">
        <x:v>RS-04381</x:v>
      </x:c>
      <x:c r="B4382" s="8" t="n">
        <x:v>45548</x:v>
      </x:c>
      <x:c r="C4382" s="4" t="str">
        <x:v>PRJ-001</x:v>
      </x:c>
      <x:c r="D4382" s="4" t="str">
        <x:v>Apartment</x:v>
      </x:c>
      <x:c r="E4382" s="4" t="str">
        <x:v>Reserved</x:v>
      </x:c>
      <x:c r="F4382" s="4" t="str">
        <x:v>CUS-04381</x:v>
      </x:c>
      <x:c r="G4382" s="4" t="str">
        <x:v>UNIT-04381</x:v>
      </x:c>
      <x:c r="H4382" s="9" t="n">
        <x:v>7000000</x:v>
      </x:c>
      <x:c r="I4382" s="10" t="n">
        <x:v>0.04</x:v>
      </x:c>
      <x:c r="J4382" s="11" t="n">
        <x:v>4</x:v>
      </x:c>
      <x:c r="K4382" s="11" t="n">
        <x:v>4</x:v>
      </x:c>
      <x:c r="L4382" s="11" t="n">
        <x:v>0</x:v>
      </x:c>
      <x:c r="M4382" s="9" t="n">
        <x:f>ROUND(H4382*(1-I4382),2)</x:f>
        <x:v>6720000</x:v>
      </x:c>
      <x:c r="N4382" s="4" t="str">
        <x:v>Sales manager</x:v>
      </x:c>
      <x:c r="O4382" s="4"/>
      <x:c r="P4382" s="9" t="n">
        <x:v>0</x:v>
      </x:c>
      <x:c r="Q4382" s="11" t="n">
        <x:v>0</x:v>
      </x:c>
      <x:c r="R4382" s="8" t="n">
        <x:v>45608</x:v>
      </x:c>
      <x:c r="S4382" s="4" t="str">
        <x:v>Retained</x:v>
      </x:c>
      <x:c r="T4382" s="10" t="n">
        <x:v>0.226277</x:v>
      </x:c>
      <x:c r="U4382" s="4" t="str">
        <x:v>Test</x:v>
      </x:c>
    </x:row>
    <x:row r="4383" ht="34" customHeight="1">
      <x:c r="A4383" s="4" t="str">
        <x:v>RS-04382</x:v>
      </x:c>
      <x:c r="B4383" s="8" t="n">
        <x:v>45549</x:v>
      </x:c>
      <x:c r="C4383" s="4" t="str">
        <x:v>PRJ-002</x:v>
      </x:c>
      <x:c r="D4383" s="4" t="str">
        <x:v>Villa</x:v>
      </x:c>
      <x:c r="E4383" s="4" t="str">
        <x:v>Enquiry</x:v>
      </x:c>
      <x:c r="F4383" s="4" t="str">
        <x:v>CUS-04382</x:v>
      </x:c>
      <x:c r="G4383" s="4" t="str">
        <x:v>UNIT-04382</x:v>
      </x:c>
      <x:c r="H4383" s="9" t="n">
        <x:v>21800000</x:v>
      </x:c>
      <x:c r="I4383" s="10" t="n">
        <x:v>0.11</x:v>
      </x:c>
      <x:c r="J4383" s="11" t="n">
        <x:v>2</x:v>
      </x:c>
      <x:c r="K4383" s="11" t="n">
        <x:v>8</x:v>
      </x:c>
      <x:c r="L4383" s="11" t="n">
        <x:v>0</x:v>
      </x:c>
      <x:c r="M4383" s="9" t="n">
        <x:f>ROUND(H4383*(1-I4383),2)</x:f>
        <x:v>19402000</x:v>
      </x:c>
      <x:c r="N4383" s="4" t="str">
        <x:v>Sales head</x:v>
      </x:c>
      <x:c r="O4383" s="4"/>
      <x:c r="P4383" s="9" t="n">
        <x:v>0</x:v>
      </x:c>
      <x:c r="Q4383" s="11" t="n">
        <x:v>0</x:v>
      </x:c>
      <x:c r="R4383" s="8" t="n">
        <x:v>45609</x:v>
      </x:c>
      <x:c r="S4383" s="4" t="str">
        <x:v>Retained</x:v>
      </x:c>
      <x:c r="T4383" s="10" t="n">
        <x:v>0.145833</x:v>
      </x:c>
      <x:c r="U4383" s="4" t="str">
        <x:v>Test</x:v>
      </x:c>
    </x:row>
    <x:row r="4384" ht="34" customHeight="1">
      <x:c r="A4384" s="4" t="str">
        <x:v>RS-04383</x:v>
      </x:c>
      <x:c r="B4384" s="8" t="n">
        <x:v>45550</x:v>
      </x:c>
      <x:c r="C4384" s="4" t="str">
        <x:v>PRJ-003</x:v>
      </x:c>
      <x:c r="D4384" s="4" t="str">
        <x:v>Villa</x:v>
      </x:c>
      <x:c r="E4384" s="4" t="str">
        <x:v>Reserved</x:v>
      </x:c>
      <x:c r="F4384" s="4" t="str">
        <x:v>CUS-04383</x:v>
      </x:c>
      <x:c r="G4384" s="4" t="str">
        <x:v>UNIT-04383</x:v>
      </x:c>
      <x:c r="H4384" s="9" t="n">
        <x:v>21100000</x:v>
      </x:c>
      <x:c r="I4384" s="10" t="n">
        <x:v>0.04</x:v>
      </x:c>
      <x:c r="J4384" s="11" t="n">
        <x:v>6</x:v>
      </x:c>
      <x:c r="K4384" s="11" t="n">
        <x:v>3</x:v>
      </x:c>
      <x:c r="L4384" s="11" t="n">
        <x:v>0</x:v>
      </x:c>
      <x:c r="M4384" s="9" t="n">
        <x:f>ROUND(H4384*(1-I4384),2)</x:f>
        <x:v>20256000</x:v>
      </x:c>
      <x:c r="N4384" s="4" t="str">
        <x:v>Sales manager</x:v>
      </x:c>
      <x:c r="O4384" s="4"/>
      <x:c r="P4384" s="9" t="n">
        <x:v>0</x:v>
      </x:c>
      <x:c r="Q4384" s="11" t="n">
        <x:v>1</x:v>
      </x:c>
      <x:c r="R4384" s="8" t="n">
        <x:v>45610</x:v>
      </x:c>
      <x:c r="S4384" s="4" t="str">
        <x:v>Lost / cancelled</x:v>
      </x:c>
      <x:c r="T4384" s="10" t="n">
        <x:v>0.226277</x:v>
      </x:c>
      <x:c r="U4384" s="4" t="str">
        <x:v>Test</x:v>
      </x:c>
    </x:row>
    <x:row r="4385" ht="34" customHeight="1">
      <x:c r="A4385" s="4" t="str">
        <x:v>RS-04384</x:v>
      </x:c>
      <x:c r="B4385" s="8" t="n">
        <x:v>45551</x:v>
      </x:c>
      <x:c r="C4385" s="4" t="str">
        <x:v>PRJ-004</x:v>
      </x:c>
      <x:c r="D4385" s="4" t="str">
        <x:v>Apartment</x:v>
      </x:c>
      <x:c r="E4385" s="4" t="str">
        <x:v>Booked</x:v>
      </x:c>
      <x:c r="F4385" s="4" t="str">
        <x:v>CUS-04384</x:v>
      </x:c>
      <x:c r="G4385" s="4" t="str">
        <x:v>UNIT-04384</x:v>
      </x:c>
      <x:c r="H4385" s="9" t="n">
        <x:v>14200000</x:v>
      </x:c>
      <x:c r="I4385" s="10" t="n">
        <x:v>0.11</x:v>
      </x:c>
      <x:c r="J4385" s="11" t="n">
        <x:v>10</x:v>
      </x:c>
      <x:c r="K4385" s="11" t="n">
        <x:v>0</x:v>
      </x:c>
      <x:c r="L4385" s="11" t="n">
        <x:v>1</x:v>
      </x:c>
      <x:c r="M4385" s="9" t="n">
        <x:f>ROUND(H4385*(1-I4385),2)</x:f>
        <x:v>12638000</x:v>
      </x:c>
      <x:c r="N4385" s="4" t="str">
        <x:v>Sales head</x:v>
      </x:c>
      <x:c r="O4385" s="4" t="str">
        <x:v>BOOK-04384</x:v>
      </x:c>
      <x:c r="P4385" s="9" t="n">
        <x:v>12638000</x:v>
      </x:c>
      <x:c r="Q4385" s="11" t="n">
        <x:v>0</x:v>
      </x:c>
      <x:c r="R4385" s="8" t="n">
        <x:v>45611</x:v>
      </x:c>
      <x:c r="S4385" s="4" t="str">
        <x:v>Retained</x:v>
      </x:c>
      <x:c r="T4385" s="10" t="n">
        <x:v>0.310195</x:v>
      </x:c>
      <x:c r="U4385" s="4" t="str">
        <x:v>Test</x:v>
      </x:c>
    </x:row>
    <x:row r="4386" ht="34" customHeight="1">
      <x:c r="A4386" s="4" t="str">
        <x:v>RS-04385</x:v>
      </x:c>
      <x:c r="B4386" s="8" t="n">
        <x:v>45552</x:v>
      </x:c>
      <x:c r="C4386" s="4" t="str">
        <x:v>PRJ-005</x:v>
      </x:c>
      <x:c r="D4386" s="4" t="str">
        <x:v>Apartment</x:v>
      </x:c>
      <x:c r="E4386" s="4" t="str">
        <x:v>Handed over</x:v>
      </x:c>
      <x:c r="F4386" s="4" t="str">
        <x:v>CUS-04385</x:v>
      </x:c>
      <x:c r="G4386" s="4" t="str">
        <x:v>UNIT-04385</x:v>
      </x:c>
      <x:c r="H4386" s="9" t="n">
        <x:v>3000000</x:v>
      </x:c>
      <x:c r="I4386" s="10" t="n">
        <x:v>0.03</x:v>
      </x:c>
      <x:c r="J4386" s="11" t="n">
        <x:v>7</x:v>
      </x:c>
      <x:c r="K4386" s="11" t="n">
        <x:v>0</x:v>
      </x:c>
      <x:c r="L4386" s="11" t="n">
        <x:v>1</x:v>
      </x:c>
      <x:c r="M4386" s="9" t="n">
        <x:f>ROUND(H4386*(1-I4386),2)</x:f>
        <x:v>2910000</x:v>
      </x:c>
      <x:c r="N4386" s="4" t="str">
        <x:v>Sales manager</x:v>
      </x:c>
      <x:c r="O4386" s="4" t="str">
        <x:v>BOOK-04385</x:v>
      </x:c>
      <x:c r="P4386" s="9" t="n">
        <x:v>2910000</x:v>
      </x:c>
      <x:c r="Q4386" s="11" t="n">
        <x:v>0</x:v>
      </x:c>
      <x:c r="R4386" s="8" t="n">
        <x:v>45612</x:v>
      </x:c>
      <x:c r="S4386" s="4" t="str">
        <x:v>Retained</x:v>
      </x:c>
      <x:c r="T4386" s="10" t="n">
        <x:v>0.298969</x:v>
      </x:c>
      <x:c r="U4386" s="4" t="str">
        <x:v>Test</x:v>
      </x:c>
    </x:row>
    <x:row r="4387" ht="34" customHeight="1">
      <x:c r="A4387" s="4" t="str">
        <x:v>RS-04386</x:v>
      </x:c>
      <x:c r="B4387" s="8" t="n">
        <x:v>45553</x:v>
      </x:c>
      <x:c r="C4387" s="4" t="str">
        <x:v>PRJ-006</x:v>
      </x:c>
      <x:c r="D4387" s="4" t="str">
        <x:v>Office</x:v>
      </x:c>
      <x:c r="E4387" s="4" t="str">
        <x:v>Handed over</x:v>
      </x:c>
      <x:c r="F4387" s="4" t="str">
        <x:v>CUS-04386</x:v>
      </x:c>
      <x:c r="G4387" s="4" t="str">
        <x:v>UNIT-04386</x:v>
      </x:c>
      <x:c r="H4387" s="9" t="n">
        <x:v>21400000</x:v>
      </x:c>
      <x:c r="I4387" s="10" t="n">
        <x:v>0.04</x:v>
      </x:c>
      <x:c r="J4387" s="11" t="n">
        <x:v>12</x:v>
      </x:c>
      <x:c r="K4387" s="11" t="n">
        <x:v>3</x:v>
      </x:c>
      <x:c r="L4387" s="11" t="n">
        <x:v>0</x:v>
      </x:c>
      <x:c r="M4387" s="9" t="n">
        <x:f>ROUND(H4387*(1-I4387),2)</x:f>
        <x:v>20544000</x:v>
      </x:c>
      <x:c r="N4387" s="4" t="str">
        <x:v>Sales manager</x:v>
      </x:c>
      <x:c r="O4387" s="4" t="str">
        <x:v>BOOK-04386</x:v>
      </x:c>
      <x:c r="P4387" s="9" t="n">
        <x:v>2054400</x:v>
      </x:c>
      <x:c r="Q4387" s="11" t="n">
        <x:v>0</x:v>
      </x:c>
      <x:c r="R4387" s="8" t="n">
        <x:v>45613</x:v>
      </x:c>
      <x:c r="S4387" s="4" t="str">
        <x:v>Retained</x:v>
      </x:c>
      <x:c r="T4387" s="10" t="n">
        <x:v>0.351536</x:v>
      </x:c>
      <x:c r="U4387" s="4" t="str">
        <x:v>Test</x:v>
      </x:c>
    </x:row>
    <x:row r="4388" ht="34" customHeight="1">
      <x:c r="A4388" s="4" t="str">
        <x:v>RS-04387</x:v>
      </x:c>
      <x:c r="B4388" s="8" t="n">
        <x:v>45554</x:v>
      </x:c>
      <x:c r="C4388" s="4" t="str">
        <x:v>PRJ-007</x:v>
      </x:c>
      <x:c r="D4388" s="4" t="str">
        <x:v>Retail</x:v>
      </x:c>
      <x:c r="E4388" s="4" t="str">
        <x:v>Agreement signed</x:v>
      </x:c>
      <x:c r="F4388" s="4" t="str">
        <x:v>CUS-04387</x:v>
      </x:c>
      <x:c r="G4388" s="4" t="str">
        <x:v>UNIT-04387</x:v>
      </x:c>
      <x:c r="H4388" s="9" t="n">
        <x:v>10200000</x:v>
      </x:c>
      <x:c r="I4388" s="10" t="n">
        <x:v>0.02</x:v>
      </x:c>
      <x:c r="J4388" s="11" t="n">
        <x:v>5</x:v>
      </x:c>
      <x:c r="K4388" s="11" t="n">
        <x:v>6</x:v>
      </x:c>
      <x:c r="L4388" s="11" t="n">
        <x:v>1</x:v>
      </x:c>
      <x:c r="M4388" s="9" t="n">
        <x:f>ROUND(H4388*(1-I4388),2)</x:f>
        <x:v>9996000</x:v>
      </x:c>
      <x:c r="N4388" s="4" t="str">
        <x:v>Sales manager</x:v>
      </x:c>
      <x:c r="O4388" s="4" t="str">
        <x:v>BOOK-04387</x:v>
      </x:c>
      <x:c r="P4388" s="9" t="n">
        <x:v>9996000</x:v>
      </x:c>
      <x:c r="Q4388" s="11" t="n">
        <x:v>0</x:v>
      </x:c>
      <x:c r="R4388" s="8" t="n">
        <x:v>45614</x:v>
      </x:c>
      <x:c r="S4388" s="4" t="str">
        <x:v>Retained</x:v>
      </x:c>
      <x:c r="T4388" s="10" t="n">
        <x:v>0.145299</x:v>
      </x:c>
      <x:c r="U4388" s="4" t="str">
        <x:v>Test</x:v>
      </x:c>
    </x:row>
    <x:row r="4389" ht="34" customHeight="1">
      <x:c r="A4389" s="4" t="str">
        <x:v>RS-04388</x:v>
      </x:c>
      <x:c r="B4389" s="8" t="n">
        <x:v>45555</x:v>
      </x:c>
      <x:c r="C4389" s="4" t="str">
        <x:v>PRJ-008</x:v>
      </x:c>
      <x:c r="D4389" s="4" t="str">
        <x:v>Villa</x:v>
      </x:c>
      <x:c r="E4389" s="4" t="str">
        <x:v>Agreement signed</x:v>
      </x:c>
      <x:c r="F4389" s="4" t="str">
        <x:v>CUS-04388</x:v>
      </x:c>
      <x:c r="G4389" s="4" t="str">
        <x:v>UNIT-04388</x:v>
      </x:c>
      <x:c r="H4389" s="9" t="n">
        <x:v>19200000</x:v>
      </x:c>
      <x:c r="I4389" s="10" t="n">
        <x:v>0</x:v>
      </x:c>
      <x:c r="J4389" s="11" t="n">
        <x:v>6</x:v>
      </x:c>
      <x:c r="K4389" s="11" t="n">
        <x:v>3</x:v>
      </x:c>
      <x:c r="L4389" s="11" t="n">
        <x:v>0</x:v>
      </x:c>
      <x:c r="M4389" s="9" t="n">
        <x:f>ROUND(H4389*(1-I4389),2)</x:f>
        <x:v>19200000</x:v>
      </x:c>
      <x:c r="N4389" s="4" t="str">
        <x:v>Sales manager</x:v>
      </x:c>
      <x:c r="O4389" s="4" t="str">
        <x:v>BOOK-04388</x:v>
      </x:c>
      <x:c r="P4389" s="9" t="n">
        <x:v>19200000</x:v>
      </x:c>
      <x:c r="Q4389" s="11" t="n">
        <x:v>0</x:v>
      </x:c>
      <x:c r="R4389" s="8" t="n">
        <x:v>45615</x:v>
      </x:c>
      <x:c r="S4389" s="4" t="str">
        <x:v>Retained</x:v>
      </x:c>
      <x:c r="T4389" s="10" t="n">
        <x:v>0.298969</x:v>
      </x:c>
      <x:c r="U4389" s="4" t="str">
        <x:v>Test</x:v>
      </x:c>
    </x:row>
    <x:row r="4390" ht="34" customHeight="1">
      <x:c r="A4390" s="4" t="str">
        <x:v>RS-04389</x:v>
      </x:c>
      <x:c r="B4390" s="8" t="n">
        <x:v>45556</x:v>
      </x:c>
      <x:c r="C4390" s="4" t="str">
        <x:v>PRJ-009</x:v>
      </x:c>
      <x:c r="D4390" s="4" t="str">
        <x:v>Apartment</x:v>
      </x:c>
      <x:c r="E4390" s="4" t="str">
        <x:v>Reserved</x:v>
      </x:c>
      <x:c r="F4390" s="4" t="str">
        <x:v>CUS-04389</x:v>
      </x:c>
      <x:c r="G4390" s="4" t="str">
        <x:v>UNIT-04389</x:v>
      </x:c>
      <x:c r="H4390" s="9" t="n">
        <x:v>18200000</x:v>
      </x:c>
      <x:c r="I4390" s="10" t="n">
        <x:v>0.11</x:v>
      </x:c>
      <x:c r="J4390" s="11" t="n">
        <x:v>10</x:v>
      </x:c>
      <x:c r="K4390" s="11" t="n">
        <x:v>0</x:v>
      </x:c>
      <x:c r="L4390" s="11" t="n">
        <x:v>0</x:v>
      </x:c>
      <x:c r="M4390" s="9" t="n">
        <x:f>ROUND(H4390*(1-I4390),2)</x:f>
        <x:v>16198000</x:v>
      </x:c>
      <x:c r="N4390" s="4" t="str">
        <x:v>Sales head</x:v>
      </x:c>
      <x:c r="O4390" s="4"/>
      <x:c r="P4390" s="9" t="n">
        <x:v>0</x:v>
      </x:c>
      <x:c r="Q4390" s="11" t="n">
        <x:v>1</x:v>
      </x:c>
      <x:c r="R4390" s="8" t="n">
        <x:v>45616</x:v>
      </x:c>
      <x:c r="S4390" s="4" t="str">
        <x:v>Lost / cancelled</x:v>
      </x:c>
      <x:c r="T4390" s="10" t="n">
        <x:v>0.310195</x:v>
      </x:c>
      <x:c r="U4390" s="4" t="str">
        <x:v>Test</x:v>
      </x:c>
    </x:row>
    <x:row r="4391" ht="34" customHeight="1">
      <x:c r="A4391" s="4" t="str">
        <x:v>RS-04390</x:v>
      </x:c>
      <x:c r="B4391" s="8" t="n">
        <x:v>45557</x:v>
      </x:c>
      <x:c r="C4391" s="4" t="str">
        <x:v>PRJ-010</x:v>
      </x:c>
      <x:c r="D4391" s="4" t="str">
        <x:v>Villa</x:v>
      </x:c>
      <x:c r="E4391" s="4" t="str">
        <x:v>Booked</x:v>
      </x:c>
      <x:c r="F4391" s="4" t="str">
        <x:v>CUS-04390</x:v>
      </x:c>
      <x:c r="G4391" s="4" t="str">
        <x:v>UNIT-04390</x:v>
      </x:c>
      <x:c r="H4391" s="9" t="n">
        <x:v>13800000</x:v>
      </x:c>
      <x:c r="I4391" s="10" t="n">
        <x:v>0.11</x:v>
      </x:c>
      <x:c r="J4391" s="11" t="n">
        <x:v>11</x:v>
      </x:c>
      <x:c r="K4391" s="11" t="n">
        <x:v>10</x:v>
      </x:c>
      <x:c r="L4391" s="11" t="n">
        <x:v>1</x:v>
      </x:c>
      <x:c r="M4391" s="9" t="n">
        <x:f>ROUND(H4391*(1-I4391),2)</x:f>
        <x:v>12282000</x:v>
      </x:c>
      <x:c r="N4391" s="4" t="str">
        <x:v>Sales head</x:v>
      </x:c>
      <x:c r="O4391" s="4" t="str">
        <x:v>BOOK-04390</x:v>
      </x:c>
      <x:c r="P4391" s="9" t="n">
        <x:v>6141000</x:v>
      </x:c>
      <x:c r="Q4391" s="11" t="n">
        <x:v>0</x:v>
      </x:c>
      <x:c r="R4391" s="8" t="n">
        <x:v>45617</x:v>
      </x:c>
      <x:c r="S4391" s="4" t="str">
        <x:v>Retained</x:v>
      </x:c>
      <x:c r="T4391" s="10" t="n">
        <x:v>0.351536</x:v>
      </x:c>
      <x:c r="U4391" s="4" t="str">
        <x:v>Test</x:v>
      </x:c>
    </x:row>
    <x:row r="4392" ht="34" customHeight="1">
      <x:c r="A4392" s="4" t="str">
        <x:v>RS-04391</x:v>
      </x:c>
      <x:c r="B4392" s="8" t="n">
        <x:v>45558</x:v>
      </x:c>
      <x:c r="C4392" s="4" t="str">
        <x:v>PRJ-011</x:v>
      </x:c>
      <x:c r="D4392" s="4" t="str">
        <x:v>Retail</x:v>
      </x:c>
      <x:c r="E4392" s="4" t="str">
        <x:v>Agreement signed</x:v>
      </x:c>
      <x:c r="F4392" s="4" t="str">
        <x:v>CUS-04391</x:v>
      </x:c>
      <x:c r="G4392" s="4" t="str">
        <x:v>UNIT-04391</x:v>
      </x:c>
      <x:c r="H4392" s="9" t="n">
        <x:v>23700000</x:v>
      </x:c>
      <x:c r="I4392" s="10" t="n">
        <x:v>0.05</x:v>
      </x:c>
      <x:c r="J4392" s="11" t="n">
        <x:v>0</x:v>
      </x:c>
      <x:c r="K4392" s="11" t="n">
        <x:v>3</x:v>
      </x:c>
      <x:c r="L4392" s="11" t="n">
        <x:v>0</x:v>
      </x:c>
      <x:c r="M4392" s="9" t="n">
        <x:f>ROUND(H4392*(1-I4392),2)</x:f>
        <x:v>22515000</x:v>
      </x:c>
      <x:c r="N4392" s="4" t="str">
        <x:v>Sales manager</x:v>
      </x:c>
      <x:c r="O4392" s="4" t="str">
        <x:v>BOOK-04391</x:v>
      </x:c>
      <x:c r="P4392" s="9" t="n">
        <x:v>22515000</x:v>
      </x:c>
      <x:c r="Q4392" s="11" t="n">
        <x:v>0</x:v>
      </x:c>
      <x:c r="R4392" s="8" t="n">
        <x:v>45618</x:v>
      </x:c>
      <x:c r="S4392" s="4" t="str">
        <x:v>Retained</x:v>
      </x:c>
      <x:c r="T4392" s="10" t="n">
        <x:v>0.204152</x:v>
      </x:c>
      <x:c r="U4392" s="4" t="str">
        <x:v>Test</x:v>
      </x:c>
    </x:row>
    <x:row r="4393" ht="34" customHeight="1">
      <x:c r="A4393" s="4" t="str">
        <x:v>RS-04392</x:v>
      </x:c>
      <x:c r="B4393" s="8" t="n">
        <x:v>45559</x:v>
      </x:c>
      <x:c r="C4393" s="4" t="str">
        <x:v>PRJ-012</x:v>
      </x:c>
      <x:c r="D4393" s="4" t="str">
        <x:v>Villa</x:v>
      </x:c>
      <x:c r="E4393" s="4" t="str">
        <x:v>Handed over</x:v>
      </x:c>
      <x:c r="F4393" s="4" t="str">
        <x:v>CUS-04392</x:v>
      </x:c>
      <x:c r="G4393" s="4" t="str">
        <x:v>UNIT-04392</x:v>
      </x:c>
      <x:c r="H4393" s="9" t="n">
        <x:v>14400000</x:v>
      </x:c>
      <x:c r="I4393" s="10" t="n">
        <x:v>0.05</x:v>
      </x:c>
      <x:c r="J4393" s="11" t="n">
        <x:v>6</x:v>
      </x:c>
      <x:c r="K4393" s="11" t="n">
        <x:v>10</x:v>
      </x:c>
      <x:c r="L4393" s="11" t="n">
        <x:v>1</x:v>
      </x:c>
      <x:c r="M4393" s="9" t="n">
        <x:f>ROUND(H4393*(1-I4393),2)</x:f>
        <x:v>13680000</x:v>
      </x:c>
      <x:c r="N4393" s="4" t="str">
        <x:v>Sales manager</x:v>
      </x:c>
      <x:c r="O4393" s="4" t="str">
        <x:v>BOOK-04392</x:v>
      </x:c>
      <x:c r="P4393" s="9" t="n">
        <x:v>3420000</x:v>
      </x:c>
      <x:c r="Q4393" s="11" t="n">
        <x:v>0</x:v>
      </x:c>
      <x:c r="R4393" s="8" t="n">
        <x:v>45619</x:v>
      </x:c>
      <x:c r="S4393" s="4" t="str">
        <x:v>Retained</x:v>
      </x:c>
      <x:c r="T4393" s="10" t="n">
        <x:v>0.291946</x:v>
      </x:c>
      <x:c r="U4393" s="4" t="str">
        <x:v>Test</x:v>
      </x:c>
    </x:row>
    <x:row r="4394" ht="34" customHeight="1">
      <x:c r="A4394" s="4" t="str">
        <x:v>RS-04393</x:v>
      </x:c>
      <x:c r="B4394" s="8" t="n">
        <x:v>45560</x:v>
      </x:c>
      <x:c r="C4394" s="4" t="str">
        <x:v>PRJ-013</x:v>
      </x:c>
      <x:c r="D4394" s="4" t="str">
        <x:v>Office</x:v>
      </x:c>
      <x:c r="E4394" s="4" t="str">
        <x:v>Enquiry</x:v>
      </x:c>
      <x:c r="F4394" s="4" t="str">
        <x:v>CUS-04393</x:v>
      </x:c>
      <x:c r="G4394" s="4" t="str">
        <x:v>UNIT-04393</x:v>
      </x:c>
      <x:c r="H4394" s="9" t="n">
        <x:v>21200000</x:v>
      </x:c>
      <x:c r="I4394" s="10" t="n">
        <x:v>0.11</x:v>
      </x:c>
      <x:c r="J4394" s="11" t="n">
        <x:v>0</x:v>
      </x:c>
      <x:c r="K4394" s="11" t="n">
        <x:v>1</x:v>
      </x:c>
      <x:c r="L4394" s="11" t="n">
        <x:v>0</x:v>
      </x:c>
      <x:c r="M4394" s="9" t="n">
        <x:f>ROUND(H4394*(1-I4394),2)</x:f>
        <x:v>18868000</x:v>
      </x:c>
      <x:c r="N4394" s="4" t="str">
        <x:v>Sales head</x:v>
      </x:c>
      <x:c r="O4394" s="4"/>
      <x:c r="P4394" s="9" t="n">
        <x:v>0</x:v>
      </x:c>
      <x:c r="Q4394" s="11" t="n">
        <x:v>0</x:v>
      </x:c>
      <x:c r="R4394" s="8" t="n">
        <x:v>45620</x:v>
      </x:c>
      <x:c r="S4394" s="4" t="str">
        <x:v>Retained</x:v>
      </x:c>
      <x:c r="T4394" s="10" t="n">
        <x:v>0.145833</x:v>
      </x:c>
      <x:c r="U4394" s="4" t="str">
        <x:v>Test</x:v>
      </x:c>
    </x:row>
    <x:row r="4395" ht="34" customHeight="1">
      <x:c r="A4395" s="4" t="str">
        <x:v>RS-04394</x:v>
      </x:c>
      <x:c r="B4395" s="8" t="n">
        <x:v>45561</x:v>
      </x:c>
      <x:c r="C4395" s="4" t="str">
        <x:v>PRJ-014</x:v>
      </x:c>
      <x:c r="D4395" s="4" t="str">
        <x:v>Villa</x:v>
      </x:c>
      <x:c r="E4395" s="4" t="str">
        <x:v>Cancelled</x:v>
      </x:c>
      <x:c r="F4395" s="4" t="str">
        <x:v>CUS-04394</x:v>
      </x:c>
      <x:c r="G4395" s="4" t="str">
        <x:v>UNIT-04394</x:v>
      </x:c>
      <x:c r="H4395" s="9" t="n">
        <x:v>19000000</x:v>
      </x:c>
      <x:c r="I4395" s="10" t="n">
        <x:v>0.01</x:v>
      </x:c>
      <x:c r="J4395" s="11" t="n">
        <x:v>9</x:v>
      </x:c>
      <x:c r="K4395" s="11" t="n">
        <x:v>0</x:v>
      </x:c>
      <x:c r="L4395" s="11" t="n">
        <x:v>1</x:v>
      </x:c>
      <x:c r="M4395" s="9" t="n">
        <x:f>ROUND(H4395*(1-I4395),2)</x:f>
        <x:v>18810000</x:v>
      </x:c>
      <x:c r="N4395" s="4" t="str">
        <x:v>Sales manager</x:v>
      </x:c>
      <x:c r="O4395" s="4"/>
      <x:c r="P4395" s="9" t="n">
        <x:v>0</x:v>
      </x:c>
      <x:c r="Q4395" s="11" t="n">
        <x:v>1</x:v>
      </x:c>
      <x:c r="R4395" s="8" t="n">
        <x:v>45621</x:v>
      </x:c>
      <x:c r="S4395" s="4" t="str">
        <x:v>Lost / cancelled</x:v>
      </x:c>
      <x:c r="T4395" s="10" t="n">
        <x:v>0.254545</x:v>
      </x:c>
      <x:c r="U4395" s="4" t="str">
        <x:v>Test</x:v>
      </x:c>
    </x:row>
    <x:row r="4396" ht="34" customHeight="1">
      <x:c r="A4396" s="4" t="str">
        <x:v>RS-04395</x:v>
      </x:c>
      <x:c r="B4396" s="8" t="n">
        <x:v>45562</x:v>
      </x:c>
      <x:c r="C4396" s="4" t="str">
        <x:v>PRJ-015</x:v>
      </x:c>
      <x:c r="D4396" s="4" t="str">
        <x:v>Office</x:v>
      </x:c>
      <x:c r="E4396" s="4" t="str">
        <x:v>Reserved</x:v>
      </x:c>
      <x:c r="F4396" s="4" t="str">
        <x:v>CUS-04395</x:v>
      </x:c>
      <x:c r="G4396" s="4" t="str">
        <x:v>UNIT-04395</x:v>
      </x:c>
      <x:c r="H4396" s="9" t="n">
        <x:v>17000000</x:v>
      </x:c>
      <x:c r="I4396" s="10" t="n">
        <x:v>0.01</x:v>
      </x:c>
      <x:c r="J4396" s="11" t="n">
        <x:v>10</x:v>
      </x:c>
      <x:c r="K4396" s="11" t="n">
        <x:v>4</x:v>
      </x:c>
      <x:c r="L4396" s="11" t="n">
        <x:v>1</x:v>
      </x:c>
      <x:c r="M4396" s="9" t="n">
        <x:f>ROUND(H4396*(1-I4396),2)</x:f>
        <x:v>16830000</x:v>
      </x:c>
      <x:c r="N4396" s="4" t="str">
        <x:v>Sales manager</x:v>
      </x:c>
      <x:c r="O4396" s="4"/>
      <x:c r="P4396" s="9" t="n">
        <x:v>0</x:v>
      </x:c>
      <x:c r="Q4396" s="11" t="n">
        <x:v>0</x:v>
      </x:c>
      <x:c r="R4396" s="8" t="n">
        <x:v>45622</x:v>
      </x:c>
      <x:c r="S4396" s="4" t="str">
        <x:v>Retained</x:v>
      </x:c>
      <x:c r="T4396" s="10" t="n">
        <x:v>0.254545</x:v>
      </x:c>
      <x:c r="U4396" s="4" t="str">
        <x:v>Test</x:v>
      </x:c>
    </x:row>
    <x:row r="4397" ht="34" customHeight="1">
      <x:c r="A4397" s="4" t="str">
        <x:v>RS-04396</x:v>
      </x:c>
      <x:c r="B4397" s="8" t="n">
        <x:v>45563</x:v>
      </x:c>
      <x:c r="C4397" s="4" t="str">
        <x:v>PRJ-016</x:v>
      </x:c>
      <x:c r="D4397" s="4" t="str">
        <x:v>Retail</x:v>
      </x:c>
      <x:c r="E4397" s="4" t="str">
        <x:v>Reserved</x:v>
      </x:c>
      <x:c r="F4397" s="4" t="str">
        <x:v>CUS-04396</x:v>
      </x:c>
      <x:c r="G4397" s="4" t="str">
        <x:v>UNIT-04396</x:v>
      </x:c>
      <x:c r="H4397" s="9" t="n">
        <x:v>14000000</x:v>
      </x:c>
      <x:c r="I4397" s="10" t="n">
        <x:v>0.03</x:v>
      </x:c>
      <x:c r="J4397" s="11" t="n">
        <x:v>3</x:v>
      </x:c>
      <x:c r="K4397" s="11" t="n">
        <x:v>4</x:v>
      </x:c>
      <x:c r="L4397" s="11" t="n">
        <x:v>1</x:v>
      </x:c>
      <x:c r="M4397" s="9" t="n">
        <x:f>ROUND(H4397*(1-I4397),2)</x:f>
        <x:v>13580000</x:v>
      </x:c>
      <x:c r="N4397" s="4" t="str">
        <x:v>Sales manager</x:v>
      </x:c>
      <x:c r="O4397" s="4"/>
      <x:c r="P4397" s="9" t="n">
        <x:v>0</x:v>
      </x:c>
      <x:c r="Q4397" s="11" t="n">
        <x:v>0</x:v>
      </x:c>
      <x:c r="R4397" s="8" t="n">
        <x:v>45623</x:v>
      </x:c>
      <x:c r="S4397" s="4" t="str">
        <x:v>Retained</x:v>
      </x:c>
      <x:c r="T4397" s="10" t="n">
        <x:v>0.171717</x:v>
      </x:c>
      <x:c r="U4397" s="4" t="str">
        <x:v>Test</x:v>
      </x:c>
    </x:row>
    <x:row r="4398" ht="34" customHeight="1">
      <x:c r="A4398" s="4" t="str">
        <x:v>RS-04397</x:v>
      </x:c>
      <x:c r="B4398" s="8" t="n">
        <x:v>45536</x:v>
      </x:c>
      <x:c r="C4398" s="4" t="str">
        <x:v>PRJ-017</x:v>
      </x:c>
      <x:c r="D4398" s="4" t="str">
        <x:v>Villa</x:v>
      </x:c>
      <x:c r="E4398" s="4" t="str">
        <x:v>Enquiry</x:v>
      </x:c>
      <x:c r="F4398" s="4" t="str">
        <x:v>CUS-04397</x:v>
      </x:c>
      <x:c r="G4398" s="4" t="str">
        <x:v>UNIT-04397</x:v>
      </x:c>
      <x:c r="H4398" s="9" t="n">
        <x:v>23500000</x:v>
      </x:c>
      <x:c r="I4398" s="10" t="n">
        <x:v>0.02</x:v>
      </x:c>
      <x:c r="J4398" s="11" t="n">
        <x:v>3</x:v>
      </x:c>
      <x:c r="K4398" s="11" t="n">
        <x:v>5</x:v>
      </x:c>
      <x:c r="L4398" s="11" t="n">
        <x:v>1</x:v>
      </x:c>
      <x:c r="M4398" s="9" t="n">
        <x:f>ROUND(H4398*(1-I4398),2)</x:f>
        <x:v>23030000</x:v>
      </x:c>
      <x:c r="N4398" s="4" t="str">
        <x:v>Sales manager</x:v>
      </x:c>
      <x:c r="O4398" s="4"/>
      <x:c r="P4398" s="9" t="n">
        <x:v>0</x:v>
      </x:c>
      <x:c r="Q4398" s="11" t="n">
        <x:v>0</x:v>
      </x:c>
      <x:c r="R4398" s="8" t="n">
        <x:v>45596</x:v>
      </x:c>
      <x:c r="S4398" s="4" t="str">
        <x:v>Retained</x:v>
      </x:c>
      <x:c r="T4398" s="10" t="n">
        <x:v>0.171717</x:v>
      </x:c>
      <x:c r="U4398" s="4" t="str">
        <x:v>Test</x:v>
      </x:c>
    </x:row>
    <x:row r="4399" ht="34" customHeight="1">
      <x:c r="A4399" s="4" t="str">
        <x:v>RS-04398</x:v>
      </x:c>
      <x:c r="B4399" s="8" t="n">
        <x:v>45537</x:v>
      </x:c>
      <x:c r="C4399" s="4" t="str">
        <x:v>PRJ-018</x:v>
      </x:c>
      <x:c r="D4399" s="4" t="str">
        <x:v>Apartment</x:v>
      </x:c>
      <x:c r="E4399" s="4" t="str">
        <x:v>Cancelled</x:v>
      </x:c>
      <x:c r="F4399" s="4" t="str">
        <x:v>CUS-04398</x:v>
      </x:c>
      <x:c r="G4399" s="4" t="str">
        <x:v>UNIT-04398</x:v>
      </x:c>
      <x:c r="H4399" s="9" t="n">
        <x:v>20500000</x:v>
      </x:c>
      <x:c r="I4399" s="10" t="n">
        <x:v>0.03</x:v>
      </x:c>
      <x:c r="J4399" s="11" t="n">
        <x:v>9</x:v>
      </x:c>
      <x:c r="K4399" s="11" t="n">
        <x:v>8</x:v>
      </x:c>
      <x:c r="L4399" s="11" t="n">
        <x:v>1</x:v>
      </x:c>
      <x:c r="M4399" s="9" t="n">
        <x:f>ROUND(H4399*(1-I4399),2)</x:f>
        <x:v>19885000</x:v>
      </x:c>
      <x:c r="N4399" s="4" t="str">
        <x:v>Sales manager</x:v>
      </x:c>
      <x:c r="O4399" s="4"/>
      <x:c r="P4399" s="9" t="n">
        <x:v>0</x:v>
      </x:c>
      <x:c r="Q4399" s="11" t="n">
        <x:v>1</x:v>
      </x:c>
      <x:c r="R4399" s="8" t="n">
        <x:v>45597</x:v>
      </x:c>
      <x:c r="S4399" s="4" t="str">
        <x:v>Lost / cancelled</x:v>
      </x:c>
      <x:c r="T4399" s="10" t="n">
        <x:v>0.310195</x:v>
      </x:c>
      <x:c r="U4399" s="4" t="str">
        <x:v>Test</x:v>
      </x:c>
    </x:row>
    <x:row r="4400" ht="34" customHeight="1">
      <x:c r="A4400" s="4" t="str">
        <x:v>RS-04399</x:v>
      </x:c>
      <x:c r="B4400" s="8" t="n">
        <x:v>45538</x:v>
      </x:c>
      <x:c r="C4400" s="4" t="str">
        <x:v>PRJ-019</x:v>
      </x:c>
      <x:c r="D4400" s="4" t="str">
        <x:v>Retail</x:v>
      </x:c>
      <x:c r="E4400" s="4" t="str">
        <x:v>Agreement signed</x:v>
      </x:c>
      <x:c r="F4400" s="4" t="str">
        <x:v>CUS-04399</x:v>
      </x:c>
      <x:c r="G4400" s="4" t="str">
        <x:v>UNIT-04399</x:v>
      </x:c>
      <x:c r="H4400" s="9" t="n">
        <x:v>15900000</x:v>
      </x:c>
      <x:c r="I4400" s="10" t="n">
        <x:v>0.01</x:v>
      </x:c>
      <x:c r="J4400" s="11" t="n">
        <x:v>6</x:v>
      </x:c>
      <x:c r="K4400" s="11" t="n">
        <x:v>3</x:v>
      </x:c>
      <x:c r="L4400" s="11" t="n">
        <x:v>1</x:v>
      </x:c>
      <x:c r="M4400" s="9" t="n">
        <x:f>ROUND(H4400*(1-I4400),2)</x:f>
        <x:v>15741000</x:v>
      </x:c>
      <x:c r="N4400" s="4" t="str">
        <x:v>Sales manager</x:v>
      </x:c>
      <x:c r="O4400" s="4" t="str">
        <x:v>BOOK-04399</x:v>
      </x:c>
      <x:c r="P4400" s="9" t="n">
        <x:v>1574100</x:v>
      </x:c>
      <x:c r="Q4400" s="11" t="n">
        <x:v>0</x:v>
      </x:c>
      <x:c r="R4400" s="8" t="n">
        <x:v>45598</x:v>
      </x:c>
      <x:c r="S4400" s="4" t="str">
        <x:v>Retained</x:v>
      </x:c>
      <x:c r="T4400" s="10" t="n">
        <x:v>0.298969</x:v>
      </x:c>
      <x:c r="U4400" s="4" t="str">
        <x:v>Test</x:v>
      </x:c>
    </x:row>
    <x:row r="4401" ht="34" customHeight="1">
      <x:c r="A4401" s="4" t="str">
        <x:v>RS-04400</x:v>
      </x:c>
      <x:c r="B4401" s="8" t="n">
        <x:v>45539</x:v>
      </x:c>
      <x:c r="C4401" s="4" t="str">
        <x:v>PRJ-020</x:v>
      </x:c>
      <x:c r="D4401" s="4" t="str">
        <x:v>Apartment</x:v>
      </x:c>
      <x:c r="E4401" s="4" t="str">
        <x:v>Enquiry</x:v>
      </x:c>
      <x:c r="F4401" s="4" t="str">
        <x:v>CUS-04400</x:v>
      </x:c>
      <x:c r="G4401" s="4" t="str">
        <x:v>UNIT-04400</x:v>
      </x:c>
      <x:c r="H4401" s="9" t="n">
        <x:v>19700000</x:v>
      </x:c>
      <x:c r="I4401" s="10" t="n">
        <x:v>0.01</x:v>
      </x:c>
      <x:c r="J4401" s="11" t="n">
        <x:v>0</x:v>
      </x:c>
      <x:c r="K4401" s="11" t="n">
        <x:v>6</x:v>
      </x:c>
      <x:c r="L4401" s="11" t="n">
        <x:v>0</x:v>
      </x:c>
      <x:c r="M4401" s="9" t="n">
        <x:f>ROUND(H4401*(1-I4401),2)</x:f>
        <x:v>19503000</x:v>
      </x:c>
      <x:c r="N4401" s="4" t="str">
        <x:v>Sales manager</x:v>
      </x:c>
      <x:c r="O4401" s="4"/>
      <x:c r="P4401" s="9" t="n">
        <x:v>0</x:v>
      </x:c>
      <x:c r="Q4401" s="11" t="n">
        <x:v>0</x:v>
      </x:c>
      <x:c r="R4401" s="8" t="n">
        <x:v>45599</x:v>
      </x:c>
      <x:c r="S4401" s="4" t="str">
        <x:v>Retained</x:v>
      </x:c>
      <x:c r="T4401" s="10" t="n">
        <x:v>0.072165</x:v>
      </x:c>
      <x:c r="U4401" s="4" t="str">
        <x:v>Test</x:v>
      </x:c>
    </x:row>
    <x:row r="4402" ht="34" customHeight="1">
      <x:c r="A4402" s="4" t="str">
        <x:v>RS-04401</x:v>
      </x:c>
      <x:c r="B4402" s="8" t="n">
        <x:v>45540</x:v>
      </x:c>
      <x:c r="C4402" s="4" t="str">
        <x:v>PRJ-001</x:v>
      </x:c>
      <x:c r="D4402" s="4" t="str">
        <x:v>Apartment</x:v>
      </x:c>
      <x:c r="E4402" s="4" t="str">
        <x:v>Cancelled</x:v>
      </x:c>
      <x:c r="F4402" s="4" t="str">
        <x:v>CUS-04401</x:v>
      </x:c>
      <x:c r="G4402" s="4" t="str">
        <x:v>UNIT-04401</x:v>
      </x:c>
      <x:c r="H4402" s="9" t="n">
        <x:v>21100000</x:v>
      </x:c>
      <x:c r="I4402" s="10" t="n">
        <x:v>0.01</x:v>
      </x:c>
      <x:c r="J4402" s="11" t="n">
        <x:v>2</x:v>
      </x:c>
      <x:c r="K4402" s="11" t="n">
        <x:v>3</x:v>
      </x:c>
      <x:c r="L4402" s="11" t="n">
        <x:v>0</x:v>
      </x:c>
      <x:c r="M4402" s="9" t="n">
        <x:f>ROUND(H4402*(1-I4402),2)</x:f>
        <x:v>20889000</x:v>
      </x:c>
      <x:c r="N4402" s="4" t="str">
        <x:v>Sales manager</x:v>
      </x:c>
      <x:c r="O4402" s="4"/>
      <x:c r="P4402" s="9" t="n">
        <x:v>0</x:v>
      </x:c>
      <x:c r="Q4402" s="11" t="n">
        <x:v>1</x:v>
      </x:c>
      <x:c r="R4402" s="8" t="n">
        <x:v>45600</x:v>
      </x:c>
      <x:c r="S4402" s="4" t="str">
        <x:v>Lost / cancelled</x:v>
      </x:c>
      <x:c r="T4402" s="10" t="n">
        <x:v>0.171717</x:v>
      </x:c>
      <x:c r="U4402" s="4" t="str">
        <x:v>Test</x:v>
      </x:c>
    </x:row>
    <x:row r="4403" ht="34" customHeight="1">
      <x:c r="A4403" s="4" t="str">
        <x:v>RS-04402</x:v>
      </x:c>
      <x:c r="B4403" s="8" t="n">
        <x:v>45541</x:v>
      </x:c>
      <x:c r="C4403" s="4" t="str">
        <x:v>PRJ-002</x:v>
      </x:c>
      <x:c r="D4403" s="4" t="str">
        <x:v>Villa</x:v>
      </x:c>
      <x:c r="E4403" s="4" t="str">
        <x:v>Enquiry</x:v>
      </x:c>
      <x:c r="F4403" s="4" t="str">
        <x:v>CUS-04402</x:v>
      </x:c>
      <x:c r="G4403" s="4" t="str">
        <x:v>UNIT-04402</x:v>
      </x:c>
      <x:c r="H4403" s="9" t="n">
        <x:v>21800000</x:v>
      </x:c>
      <x:c r="I4403" s="10" t="n">
        <x:v>0.04</x:v>
      </x:c>
      <x:c r="J4403" s="11" t="n">
        <x:v>9</x:v>
      </x:c>
      <x:c r="K4403" s="11" t="n">
        <x:v>10</x:v>
      </x:c>
      <x:c r="L4403" s="11" t="n">
        <x:v>1</x:v>
      </x:c>
      <x:c r="M4403" s="9" t="n">
        <x:f>ROUND(H4403*(1-I4403),2)</x:f>
        <x:v>20928000</x:v>
      </x:c>
      <x:c r="N4403" s="4" t="str">
        <x:v>Sales manager</x:v>
      </x:c>
      <x:c r="O4403" s="4"/>
      <x:c r="P4403" s="9" t="n">
        <x:v>0</x:v>
      </x:c>
      <x:c r="Q4403" s="11" t="n">
        <x:v>0</x:v>
      </x:c>
      <x:c r="R4403" s="8" t="n">
        <x:v>45601</x:v>
      </x:c>
      <x:c r="S4403" s="4" t="str">
        <x:v>Retained</x:v>
      </x:c>
      <x:c r="T4403" s="10" t="n">
        <x:v>0.310195</x:v>
      </x:c>
      <x:c r="U4403" s="4" t="str">
        <x:v>Test</x:v>
      </x:c>
    </x:row>
    <x:row r="4404" ht="34" customHeight="1">
      <x:c r="A4404" s="4" t="str">
        <x:v>RS-04403</x:v>
      </x:c>
      <x:c r="B4404" s="8" t="n">
        <x:v>45542</x:v>
      </x:c>
      <x:c r="C4404" s="4" t="str">
        <x:v>PRJ-003</x:v>
      </x:c>
      <x:c r="D4404" s="4" t="str">
        <x:v>Villa</x:v>
      </x:c>
      <x:c r="E4404" s="4" t="str">
        <x:v>Reserved</x:v>
      </x:c>
      <x:c r="F4404" s="4" t="str">
        <x:v>CUS-04403</x:v>
      </x:c>
      <x:c r="G4404" s="4" t="str">
        <x:v>UNIT-04403</x:v>
      </x:c>
      <x:c r="H4404" s="9" t="n">
        <x:v>9200000</x:v>
      </x:c>
      <x:c r="I4404" s="10" t="n">
        <x:v>0.11</x:v>
      </x:c>
      <x:c r="J4404" s="11" t="n">
        <x:v>6</x:v>
      </x:c>
      <x:c r="K4404" s="11" t="n">
        <x:v>8</x:v>
      </x:c>
      <x:c r="L4404" s="11" t="n">
        <x:v>1</x:v>
      </x:c>
      <x:c r="M4404" s="9" t="n">
        <x:f>ROUND(H4404*(1-I4404),2)</x:f>
        <x:v>8188000</x:v>
      </x:c>
      <x:c r="N4404" s="4" t="str">
        <x:v>Sales head</x:v>
      </x:c>
      <x:c r="O4404" s="4"/>
      <x:c r="P4404" s="9" t="n">
        <x:v>0</x:v>
      </x:c>
      <x:c r="Q4404" s="11" t="n">
        <x:v>0</x:v>
      </x:c>
      <x:c r="R4404" s="8" t="n">
        <x:v>45602</x:v>
      </x:c>
      <x:c r="S4404" s="4" t="str">
        <x:v>Retained</x:v>
      </x:c>
      <x:c r="T4404" s="10" t="n">
        <x:v>0.291946</x:v>
      </x:c>
      <x:c r="U4404" s="4" t="str">
        <x:v>Test</x:v>
      </x:c>
    </x:row>
    <x:row r="4405" ht="34" customHeight="1">
      <x:c r="A4405" s="4" t="str">
        <x:v>RS-04404</x:v>
      </x:c>
      <x:c r="B4405" s="8" t="n">
        <x:v>45543</x:v>
      </x:c>
      <x:c r="C4405" s="4" t="str">
        <x:v>PRJ-004</x:v>
      </x:c>
      <x:c r="D4405" s="4" t="str">
        <x:v>Office</x:v>
      </x:c>
      <x:c r="E4405" s="4" t="str">
        <x:v>Enquiry</x:v>
      </x:c>
      <x:c r="F4405" s="4" t="str">
        <x:v>CUS-04404</x:v>
      </x:c>
      <x:c r="G4405" s="4" t="str">
        <x:v>UNIT-04404</x:v>
      </x:c>
      <x:c r="H4405" s="9" t="n">
        <x:v>11900000</x:v>
      </x:c>
      <x:c r="I4405" s="10" t="n">
        <x:v>0.06</x:v>
      </x:c>
      <x:c r="J4405" s="11" t="n">
        <x:v>1</x:v>
      </x:c>
      <x:c r="K4405" s="11" t="n">
        <x:v>10</x:v>
      </x:c>
      <x:c r="L4405" s="11" t="n">
        <x:v>1</x:v>
      </x:c>
      <x:c r="M4405" s="9" t="n">
        <x:f>ROUND(H4405*(1-I4405),2)</x:f>
        <x:v>11186000</x:v>
      </x:c>
      <x:c r="N4405" s="4" t="str">
        <x:v>Sales manager</x:v>
      </x:c>
      <x:c r="O4405" s="4"/>
      <x:c r="P4405" s="9" t="n">
        <x:v>0</x:v>
      </x:c>
      <x:c r="Q4405" s="11" t="n">
        <x:v>0</x:v>
      </x:c>
      <x:c r="R4405" s="8" t="n">
        <x:v>45603</x:v>
      </x:c>
      <x:c r="S4405" s="4" t="str">
        <x:v>Retained</x:v>
      </x:c>
      <x:c r="T4405" s="10" t="n">
        <x:v>0.204152</x:v>
      </x:c>
      <x:c r="U4405" s="4" t="str">
        <x:v>Test</x:v>
      </x:c>
    </x:row>
    <x:row r="4406" ht="34" customHeight="1">
      <x:c r="A4406" s="4" t="str">
        <x:v>RS-04405</x:v>
      </x:c>
      <x:c r="B4406" s="8" t="n">
        <x:v>45544</x:v>
      </x:c>
      <x:c r="C4406" s="4" t="str">
        <x:v>PRJ-005</x:v>
      </x:c>
      <x:c r="D4406" s="4" t="str">
        <x:v>Retail</x:v>
      </x:c>
      <x:c r="E4406" s="4" t="str">
        <x:v>Handed over</x:v>
      </x:c>
      <x:c r="F4406" s="4" t="str">
        <x:v>CUS-04405</x:v>
      </x:c>
      <x:c r="G4406" s="4" t="str">
        <x:v>UNIT-04405</x:v>
      </x:c>
      <x:c r="H4406" s="9" t="n">
        <x:v>23400000</x:v>
      </x:c>
      <x:c r="I4406" s="10" t="n">
        <x:v>0.02</x:v>
      </x:c>
      <x:c r="J4406" s="11" t="n">
        <x:v>3</x:v>
      </x:c>
      <x:c r="K4406" s="11" t="n">
        <x:v>0</x:v>
      </x:c>
      <x:c r="L4406" s="11" t="n">
        <x:v>1</x:v>
      </x:c>
      <x:c r="M4406" s="9" t="n">
        <x:f>ROUND(H4406*(1-I4406),2)</x:f>
        <x:v>22932000</x:v>
      </x:c>
      <x:c r="N4406" s="4" t="str">
        <x:v>Sales manager</x:v>
      </x:c>
      <x:c r="O4406" s="4" t="str">
        <x:v>BOOK-04405</x:v>
      </x:c>
      <x:c r="P4406" s="9" t="n">
        <x:v>22932000</x:v>
      </x:c>
      <x:c r="Q4406" s="11" t="n">
        <x:v>0</x:v>
      </x:c>
      <x:c r="R4406" s="8" t="n">
        <x:v>45604</x:v>
      </x:c>
      <x:c r="S4406" s="4" t="str">
        <x:v>Retained</x:v>
      </x:c>
      <x:c r="T4406" s="10" t="n">
        <x:v>0.276923</x:v>
      </x:c>
      <x:c r="U4406" s="4" t="str">
        <x:v>Test</x:v>
      </x:c>
    </x:row>
    <x:row r="4407" ht="34" customHeight="1">
      <x:c r="A4407" s="4" t="str">
        <x:v>RS-04406</x:v>
      </x:c>
      <x:c r="B4407" s="8" t="n">
        <x:v>45545</x:v>
      </x:c>
      <x:c r="C4407" s="4" t="str">
        <x:v>PRJ-006</x:v>
      </x:c>
      <x:c r="D4407" s="4" t="str">
        <x:v>Retail</x:v>
      </x:c>
      <x:c r="E4407" s="4" t="str">
        <x:v>Enquiry</x:v>
      </x:c>
      <x:c r="F4407" s="4" t="str">
        <x:v>CUS-04406</x:v>
      </x:c>
      <x:c r="G4407" s="4" t="str">
        <x:v>UNIT-04406</x:v>
      </x:c>
      <x:c r="H4407" s="9" t="n">
        <x:v>9100000</x:v>
      </x:c>
      <x:c r="I4407" s="10" t="n">
        <x:v>0.03</x:v>
      </x:c>
      <x:c r="J4407" s="11" t="n">
        <x:v>11</x:v>
      </x:c>
      <x:c r="K4407" s="11" t="n">
        <x:v>9</x:v>
      </x:c>
      <x:c r="L4407" s="11" t="n">
        <x:v>0</x:v>
      </x:c>
      <x:c r="M4407" s="9" t="n">
        <x:f>ROUND(H4407*(1-I4407),2)</x:f>
        <x:v>8827000</x:v>
      </x:c>
      <x:c r="N4407" s="4" t="str">
        <x:v>Sales manager</x:v>
      </x:c>
      <x:c r="O4407" s="4"/>
      <x:c r="P4407" s="9" t="n">
        <x:v>0</x:v>
      </x:c>
      <x:c r="Q4407" s="11" t="n">
        <x:v>1</x:v>
      </x:c>
      <x:c r="R4407" s="8" t="n">
        <x:v>45605</x:v>
      </x:c>
      <x:c r="S4407" s="4" t="str">
        <x:v>Lost / cancelled</x:v>
      </x:c>
      <x:c r="T4407" s="10" t="n">
        <x:v>0.351536</x:v>
      </x:c>
      <x:c r="U4407" s="4" t="str">
        <x:v>Test</x:v>
      </x:c>
    </x:row>
    <x:row r="4408" ht="34" customHeight="1">
      <x:c r="A4408" s="4" t="str">
        <x:v>RS-04407</x:v>
      </x:c>
      <x:c r="B4408" s="8" t="n">
        <x:v>45546</x:v>
      </x:c>
      <x:c r="C4408" s="4" t="str">
        <x:v>PRJ-007</x:v>
      </x:c>
      <x:c r="D4408" s="4" t="str">
        <x:v>Villa</x:v>
      </x:c>
      <x:c r="E4408" s="4" t="str">
        <x:v>Agreement signed</x:v>
      </x:c>
      <x:c r="F4408" s="4" t="str">
        <x:v>CUS-04407</x:v>
      </x:c>
      <x:c r="G4408" s="4" t="str">
        <x:v>UNIT-04407</x:v>
      </x:c>
      <x:c r="H4408" s="9" t="n">
        <x:v>24800000</x:v>
      </x:c>
      <x:c r="I4408" s="10" t="n">
        <x:v>0.06</x:v>
      </x:c>
      <x:c r="J4408" s="11" t="n">
        <x:v>10</x:v>
      </x:c>
      <x:c r="K4408" s="11" t="n">
        <x:v>0</x:v>
      </x:c>
      <x:c r="L4408" s="11" t="n">
        <x:v>1</x:v>
      </x:c>
      <x:c r="M4408" s="9" t="n">
        <x:f>ROUND(H4408*(1-I4408),2)</x:f>
        <x:v>23312000</x:v>
      </x:c>
      <x:c r="N4408" s="4" t="str">
        <x:v>Sales manager</x:v>
      </x:c>
      <x:c r="O4408" s="4" t="str">
        <x:v>BOOK-04407</x:v>
      </x:c>
      <x:c r="P4408" s="9" t="n">
        <x:v>23312000</x:v>
      </x:c>
      <x:c r="Q4408" s="11" t="n">
        <x:v>0</x:v>
      </x:c>
      <x:c r="R4408" s="8" t="n">
        <x:v>45606</x:v>
      </x:c>
      <x:c r="S4408" s="4" t="str">
        <x:v>Retained</x:v>
      </x:c>
      <x:c r="T4408" s="10" t="n">
        <x:v>0.310195</x:v>
      </x:c>
      <x:c r="U4408" s="4" t="str">
        <x:v>Test</x:v>
      </x:c>
    </x:row>
    <x:row r="4409" ht="34" customHeight="1">
      <x:c r="A4409" s="4" t="str">
        <x:v>RS-04408</x:v>
      </x:c>
      <x:c r="B4409" s="8" t="n">
        <x:v>45547</x:v>
      </x:c>
      <x:c r="C4409" s="4" t="str">
        <x:v>PRJ-008</x:v>
      </x:c>
      <x:c r="D4409" s="4" t="str">
        <x:v>Apartment</x:v>
      </x:c>
      <x:c r="E4409" s="4" t="str">
        <x:v>Handed over</x:v>
      </x:c>
      <x:c r="F4409" s="4" t="str">
        <x:v>CUS-04408</x:v>
      </x:c>
      <x:c r="G4409" s="4" t="str">
        <x:v>UNIT-04408</x:v>
      </x:c>
      <x:c r="H4409" s="9" t="n">
        <x:v>12000000</x:v>
      </x:c>
      <x:c r="I4409" s="10" t="n">
        <x:v>0.07</x:v>
      </x:c>
      <x:c r="J4409" s="11" t="n">
        <x:v>7</x:v>
      </x:c>
      <x:c r="K4409" s="11" t="n">
        <x:v>2</x:v>
      </x:c>
      <x:c r="L4409" s="11" t="n">
        <x:v>1</x:v>
      </x:c>
      <x:c r="M4409" s="9" t="n">
        <x:f>ROUND(H4409*(1-I4409),2)</x:f>
        <x:v>11160000</x:v>
      </x:c>
      <x:c r="N4409" s="4" t="str">
        <x:v>Sales manager</x:v>
      </x:c>
      <x:c r="O4409" s="4" t="str">
        <x:v>BOOK-04408</x:v>
      </x:c>
      <x:c r="P4409" s="9" t="n">
        <x:v>2790000</x:v>
      </x:c>
      <x:c r="Q4409" s="11" t="n">
        <x:v>0</x:v>
      </x:c>
      <x:c r="R4409" s="8" t="n">
        <x:v>45607</x:v>
      </x:c>
      <x:c r="S4409" s="4" t="str">
        <x:v>Retained</x:v>
      </x:c>
      <x:c r="T4409" s="10" t="n">
        <x:v>0.291946</x:v>
      </x:c>
      <x:c r="U4409" s="4" t="str">
        <x:v>Test</x:v>
      </x:c>
    </x:row>
    <x:row r="4410" ht="34" customHeight="1">
      <x:c r="A4410" s="4" t="str">
        <x:v>RS-04409</x:v>
      </x:c>
      <x:c r="B4410" s="8" t="n">
        <x:v>45548</x:v>
      </x:c>
      <x:c r="C4410" s="4" t="str">
        <x:v>PRJ-009</x:v>
      </x:c>
      <x:c r="D4410" s="4" t="str">
        <x:v>Villa</x:v>
      </x:c>
      <x:c r="E4410" s="4" t="str">
        <x:v>Reserved</x:v>
      </x:c>
      <x:c r="F4410" s="4" t="str">
        <x:v>CUS-04409</x:v>
      </x:c>
      <x:c r="G4410" s="4" t="str">
        <x:v>UNIT-04409</x:v>
      </x:c>
      <x:c r="H4410" s="9" t="n">
        <x:v>22500000</x:v>
      </x:c>
      <x:c r="I4410" s="10" t="n">
        <x:v>0.04</x:v>
      </x:c>
      <x:c r="J4410" s="11" t="n">
        <x:v>2</x:v>
      </x:c>
      <x:c r="K4410" s="11" t="n">
        <x:v>9</x:v>
      </x:c>
      <x:c r="L4410" s="11" t="n">
        <x:v>1</x:v>
      </x:c>
      <x:c r="M4410" s="9" t="n">
        <x:f>ROUND(H4410*(1-I4410),2)</x:f>
        <x:v>21600000</x:v>
      </x:c>
      <x:c r="N4410" s="4" t="str">
        <x:v>Sales manager</x:v>
      </x:c>
      <x:c r="O4410" s="4"/>
      <x:c r="P4410" s="9" t="n">
        <x:v>0</x:v>
      </x:c>
      <x:c r="Q4410" s="11" t="n">
        <x:v>0</x:v>
      </x:c>
      <x:c r="R4410" s="8" t="n">
        <x:v>45608</x:v>
      </x:c>
      <x:c r="S4410" s="4" t="str">
        <x:v>Retained</x:v>
      </x:c>
      <x:c r="T4410" s="10" t="n">
        <x:v>0.204152</x:v>
      </x:c>
      <x:c r="U4410" s="4" t="str">
        <x:v>Test</x:v>
      </x:c>
    </x:row>
    <x:row r="4411" ht="34" customHeight="1">
      <x:c r="A4411" s="4" t="str">
        <x:v>RS-04410</x:v>
      </x:c>
      <x:c r="B4411" s="8" t="n">
        <x:v>45549</x:v>
      </x:c>
      <x:c r="C4411" s="4" t="str">
        <x:v>PRJ-010</x:v>
      </x:c>
      <x:c r="D4411" s="4" t="str">
        <x:v>Retail</x:v>
      </x:c>
      <x:c r="E4411" s="4" t="str">
        <x:v>Reserved</x:v>
      </x:c>
      <x:c r="F4411" s="4" t="str">
        <x:v>CUS-04410</x:v>
      </x:c>
      <x:c r="G4411" s="4" t="str">
        <x:v>UNIT-04410</x:v>
      </x:c>
      <x:c r="H4411" s="9" t="n">
        <x:v>12200000</x:v>
      </x:c>
      <x:c r="I4411" s="10" t="n">
        <x:v>0.07</x:v>
      </x:c>
      <x:c r="J4411" s="11" t="n">
        <x:v>3</x:v>
      </x:c>
      <x:c r="K4411" s="11" t="n">
        <x:v>3</x:v>
      </x:c>
      <x:c r="L4411" s="11" t="n">
        <x:v>0</x:v>
      </x:c>
      <x:c r="M4411" s="9" t="n">
        <x:f>ROUND(H4411*(1-I4411),2)</x:f>
        <x:v>11346000</x:v>
      </x:c>
      <x:c r="N4411" s="4" t="str">
        <x:v>Sales manager</x:v>
      </x:c>
      <x:c r="O4411" s="4"/>
      <x:c r="P4411" s="9" t="n">
        <x:v>0</x:v>
      </x:c>
      <x:c r="Q4411" s="11" t="n">
        <x:v>0</x:v>
      </x:c>
      <x:c r="R4411" s="8" t="n">
        <x:v>45609</x:v>
      </x:c>
      <x:c r="S4411" s="4" t="str">
        <x:v>Retained</x:v>
      </x:c>
      <x:c r="T4411" s="10" t="n">
        <x:v>0.204152</x:v>
      </x:c>
      <x:c r="U4411" s="4" t="str">
        <x:v>Test</x:v>
      </x:c>
    </x:row>
    <x:row r="4412" ht="34" customHeight="1">
      <x:c r="A4412" s="4" t="str">
        <x:v>RS-04411</x:v>
      </x:c>
      <x:c r="B4412" s="8" t="n">
        <x:v>45550</x:v>
      </x:c>
      <x:c r="C4412" s="4" t="str">
        <x:v>PRJ-011</x:v>
      </x:c>
      <x:c r="D4412" s="4" t="str">
        <x:v>Retail</x:v>
      </x:c>
      <x:c r="E4412" s="4" t="str">
        <x:v>Enquiry</x:v>
      </x:c>
      <x:c r="F4412" s="4" t="str">
        <x:v>CUS-04411</x:v>
      </x:c>
      <x:c r="G4412" s="4" t="str">
        <x:v>UNIT-04411</x:v>
      </x:c>
      <x:c r="H4412" s="9" t="n">
        <x:v>20200000</x:v>
      </x:c>
      <x:c r="I4412" s="10" t="n">
        <x:v>0.1</x:v>
      </x:c>
      <x:c r="J4412" s="11" t="n">
        <x:v>4</x:v>
      </x:c>
      <x:c r="K4412" s="11" t="n">
        <x:v>8</x:v>
      </x:c>
      <x:c r="L4412" s="11" t="n">
        <x:v>1</x:v>
      </x:c>
      <x:c r="M4412" s="9" t="n">
        <x:f>ROUND(H4412*(1-I4412),2)</x:f>
        <x:v>18180000</x:v>
      </x:c>
      <x:c r="N4412" s="4" t="str">
        <x:v>Sales head</x:v>
      </x:c>
      <x:c r="O4412" s="4"/>
      <x:c r="P4412" s="9" t="n">
        <x:v>0</x:v>
      </x:c>
      <x:c r="Q4412" s="11" t="n">
        <x:v>1</x:v>
      </x:c>
      <x:c r="R4412" s="8" t="n">
        <x:v>45610</x:v>
      </x:c>
      <x:c r="S4412" s="4" t="str">
        <x:v>Lost / cancelled</x:v>
      </x:c>
      <x:c r="T4412" s="10" t="n">
        <x:v>0.291946</x:v>
      </x:c>
      <x:c r="U4412" s="4" t="str">
        <x:v>Test</x:v>
      </x:c>
    </x:row>
    <x:row r="4413" ht="34" customHeight="1">
      <x:c r="A4413" s="4" t="str">
        <x:v>RS-04412</x:v>
      </x:c>
      <x:c r="B4413" s="8" t="n">
        <x:v>45551</x:v>
      </x:c>
      <x:c r="C4413" s="4" t="str">
        <x:v>PRJ-012</x:v>
      </x:c>
      <x:c r="D4413" s="4" t="str">
        <x:v>Villa</x:v>
      </x:c>
      <x:c r="E4413" s="4" t="str">
        <x:v>Enquiry</x:v>
      </x:c>
      <x:c r="F4413" s="4" t="str">
        <x:v>CUS-04412</x:v>
      </x:c>
      <x:c r="G4413" s="4" t="str">
        <x:v>UNIT-04412</x:v>
      </x:c>
      <x:c r="H4413" s="9" t="n">
        <x:v>6000000</x:v>
      </x:c>
      <x:c r="I4413" s="10" t="n">
        <x:v>0.03</x:v>
      </x:c>
      <x:c r="J4413" s="11" t="n">
        <x:v>12</x:v>
      </x:c>
      <x:c r="K4413" s="11" t="n">
        <x:v>0</x:v>
      </x:c>
      <x:c r="L4413" s="11" t="n">
        <x:v>0</x:v>
      </x:c>
      <x:c r="M4413" s="9" t="n">
        <x:f>ROUND(H4413*(1-I4413),2)</x:f>
        <x:v>5820000</x:v>
      </x:c>
      <x:c r="N4413" s="4" t="str">
        <x:v>Sales manager</x:v>
      </x:c>
      <x:c r="O4413" s="4"/>
      <x:c r="P4413" s="9" t="n">
        <x:v>0</x:v>
      </x:c>
      <x:c r="Q4413" s="11" t="n">
        <x:v>0</x:v>
      </x:c>
      <x:c r="R4413" s="8" t="n">
        <x:v>45611</x:v>
      </x:c>
      <x:c r="S4413" s="4" t="str">
        <x:v>Retained</x:v>
      </x:c>
      <x:c r="T4413" s="10" t="n">
        <x:v>0.351536</x:v>
      </x:c>
      <x:c r="U4413" s="4" t="str">
        <x:v>Test</x:v>
      </x:c>
    </x:row>
    <x:row r="4414" ht="34" customHeight="1">
      <x:c r="A4414" s="4" t="str">
        <x:v>RS-04413</x:v>
      </x:c>
      <x:c r="B4414" s="8" t="n">
        <x:v>45552</x:v>
      </x:c>
      <x:c r="C4414" s="4" t="str">
        <x:v>PRJ-013</x:v>
      </x:c>
      <x:c r="D4414" s="4" t="str">
        <x:v>Villa</x:v>
      </x:c>
      <x:c r="E4414" s="4" t="str">
        <x:v>Cancelled</x:v>
      </x:c>
      <x:c r="F4414" s="4" t="str">
        <x:v>CUS-04413</x:v>
      </x:c>
      <x:c r="G4414" s="4" t="str">
        <x:v>UNIT-04413</x:v>
      </x:c>
      <x:c r="H4414" s="9" t="n">
        <x:v>17700000</x:v>
      </x:c>
      <x:c r="I4414" s="10" t="n">
        <x:v>0.08</x:v>
      </x:c>
      <x:c r="J4414" s="11" t="n">
        <x:v>8</x:v>
      </x:c>
      <x:c r="K4414" s="11" t="n">
        <x:v>6</x:v>
      </x:c>
      <x:c r="L4414" s="11" t="n">
        <x:v>1</x:v>
      </x:c>
      <x:c r="M4414" s="9" t="n">
        <x:f>ROUND(H4414*(1-I4414),2)</x:f>
        <x:v>16284000</x:v>
      </x:c>
      <x:c r="N4414" s="4" t="str">
        <x:v>Sales head</x:v>
      </x:c>
      <x:c r="O4414" s="4"/>
      <x:c r="P4414" s="9" t="n">
        <x:v>0</x:v>
      </x:c>
      <x:c r="Q4414" s="11" t="n">
        <x:v>1</x:v>
      </x:c>
      <x:c r="R4414" s="8" t="n">
        <x:v>45612</x:v>
      </x:c>
      <x:c r="S4414" s="4" t="str">
        <x:v>Lost / cancelled</x:v>
      </x:c>
      <x:c r="T4414" s="10" t="n">
        <x:v>0.310195</x:v>
      </x:c>
      <x:c r="U4414" s="4" t="str">
        <x:v>Test</x:v>
      </x:c>
    </x:row>
    <x:row r="4415" ht="34" customHeight="1">
      <x:c r="A4415" s="4" t="str">
        <x:v>RS-04414</x:v>
      </x:c>
      <x:c r="B4415" s="8" t="n">
        <x:v>45553</x:v>
      </x:c>
      <x:c r="C4415" s="4" t="str">
        <x:v>PRJ-014</x:v>
      </x:c>
      <x:c r="D4415" s="4" t="str">
        <x:v>Apartment</x:v>
      </x:c>
      <x:c r="E4415" s="4" t="str">
        <x:v>Handed over</x:v>
      </x:c>
      <x:c r="F4415" s="4" t="str">
        <x:v>CUS-04414</x:v>
      </x:c>
      <x:c r="G4415" s="4" t="str">
        <x:v>UNIT-04414</x:v>
      </x:c>
      <x:c r="H4415" s="9" t="n">
        <x:v>5000000</x:v>
      </x:c>
      <x:c r="I4415" s="10" t="n">
        <x:v>0.04</x:v>
      </x:c>
      <x:c r="J4415" s="11" t="n">
        <x:v>10</x:v>
      </x:c>
      <x:c r="K4415" s="11" t="n">
        <x:v>1</x:v>
      </x:c>
      <x:c r="L4415" s="11" t="n">
        <x:v>1</x:v>
      </x:c>
      <x:c r="M4415" s="9" t="n">
        <x:f>ROUND(H4415*(1-I4415),2)</x:f>
        <x:v>4800000</x:v>
      </x:c>
      <x:c r="N4415" s="4" t="str">
        <x:v>Sales manager</x:v>
      </x:c>
      <x:c r="O4415" s="4" t="str">
        <x:v>BOOK-04414</x:v>
      </x:c>
      <x:c r="P4415" s="9" t="n">
        <x:v>1200000</x:v>
      </x:c>
      <x:c r="Q4415" s="11" t="n">
        <x:v>0</x:v>
      </x:c>
      <x:c r="R4415" s="8" t="n">
        <x:v>45613</x:v>
      </x:c>
      <x:c r="S4415" s="4" t="str">
        <x:v>Retained</x:v>
      </x:c>
      <x:c r="T4415" s="10" t="n">
        <x:v>0.310195</x:v>
      </x:c>
      <x:c r="U4415" s="4" t="str">
        <x:v>Test</x:v>
      </x:c>
    </x:row>
    <x:row r="4416" ht="34" customHeight="1">
      <x:c r="A4416" s="4" t="str">
        <x:v>RS-04415</x:v>
      </x:c>
      <x:c r="B4416" s="8" t="n">
        <x:v>45554</x:v>
      </x:c>
      <x:c r="C4416" s="4" t="str">
        <x:v>PRJ-015</x:v>
      </x:c>
      <x:c r="D4416" s="4" t="str">
        <x:v>Villa</x:v>
      </x:c>
      <x:c r="E4416" s="4" t="str">
        <x:v>Cancelled</x:v>
      </x:c>
      <x:c r="F4416" s="4" t="str">
        <x:v>CUS-04415</x:v>
      </x:c>
      <x:c r="G4416" s="4" t="str">
        <x:v>UNIT-04415</x:v>
      </x:c>
      <x:c r="H4416" s="9" t="n">
        <x:v>11000000</x:v>
      </x:c>
      <x:c r="I4416" s="10" t="n">
        <x:v>0.05</x:v>
      </x:c>
      <x:c r="J4416" s="11" t="n">
        <x:v>3</x:v>
      </x:c>
      <x:c r="K4416" s="11" t="n">
        <x:v>0</x:v>
      </x:c>
      <x:c r="L4416" s="11" t="n">
        <x:v>0</x:v>
      </x:c>
      <x:c r="M4416" s="9" t="n">
        <x:f>ROUND(H4416*(1-I4416),2)</x:f>
        <x:v>10450000</x:v>
      </x:c>
      <x:c r="N4416" s="4" t="str">
        <x:v>Sales manager</x:v>
      </x:c>
      <x:c r="O4416" s="4"/>
      <x:c r="P4416" s="9" t="n">
        <x:v>0</x:v>
      </x:c>
      <x:c r="Q4416" s="11" t="n">
        <x:v>1</x:v>
      </x:c>
      <x:c r="R4416" s="8" t="n">
        <x:v>45614</x:v>
      </x:c>
      <x:c r="S4416" s="4" t="str">
        <x:v>Lost / cancelled</x:v>
      </x:c>
      <x:c r="T4416" s="10" t="n">
        <x:v>0.276923</x:v>
      </x:c>
      <x:c r="U4416" s="4" t="str">
        <x:v>Test</x:v>
      </x:c>
    </x:row>
    <x:row r="4417" ht="34" customHeight="1">
      <x:c r="A4417" s="4" t="str">
        <x:v>RS-04416</x:v>
      </x:c>
      <x:c r="B4417" s="8" t="n">
        <x:v>45555</x:v>
      </x:c>
      <x:c r="C4417" s="4" t="str">
        <x:v>PRJ-016</x:v>
      </x:c>
      <x:c r="D4417" s="4" t="str">
        <x:v>Office</x:v>
      </x:c>
      <x:c r="E4417" s="4" t="str">
        <x:v>Reserved</x:v>
      </x:c>
      <x:c r="F4417" s="4" t="str">
        <x:v>CUS-04416</x:v>
      </x:c>
      <x:c r="G4417" s="4" t="str">
        <x:v>UNIT-04416</x:v>
      </x:c>
      <x:c r="H4417" s="9" t="n">
        <x:v>20200000</x:v>
      </x:c>
      <x:c r="I4417" s="10" t="n">
        <x:v>0.02</x:v>
      </x:c>
      <x:c r="J4417" s="11" t="n">
        <x:v>7</x:v>
      </x:c>
      <x:c r="K4417" s="11" t="n">
        <x:v>2</x:v>
      </x:c>
      <x:c r="L4417" s="11" t="n">
        <x:v>0</x:v>
      </x:c>
      <x:c r="M4417" s="9" t="n">
        <x:f>ROUND(H4417*(1-I4417),2)</x:f>
        <x:v>19796000</x:v>
      </x:c>
      <x:c r="N4417" s="4" t="str">
        <x:v>Sales manager</x:v>
      </x:c>
      <x:c r="O4417" s="4"/>
      <x:c r="P4417" s="9" t="n">
        <x:v>0</x:v>
      </x:c>
      <x:c r="Q4417" s="11" t="n">
        <x:v>0</x:v>
      </x:c>
      <x:c r="R4417" s="8" t="n">
        <x:v>45615</x:v>
      </x:c>
      <x:c r="S4417" s="4" t="str">
        <x:v>Retained</x:v>
      </x:c>
      <x:c r="T4417" s="10" t="n">
        <x:v>0.298969</x:v>
      </x:c>
      <x:c r="U4417" s="4" t="str">
        <x:v>Test</x:v>
      </x:c>
    </x:row>
    <x:row r="4418" ht="34" customHeight="1">
      <x:c r="A4418" s="4" t="str">
        <x:v>RS-04417</x:v>
      </x:c>
      <x:c r="B4418" s="8" t="n">
        <x:v>45556</x:v>
      </x:c>
      <x:c r="C4418" s="4" t="str">
        <x:v>PRJ-017</x:v>
      </x:c>
      <x:c r="D4418" s="4" t="str">
        <x:v>Apartment</x:v>
      </x:c>
      <x:c r="E4418" s="4" t="str">
        <x:v>Enquiry</x:v>
      </x:c>
      <x:c r="F4418" s="4" t="str">
        <x:v>CUS-04417</x:v>
      </x:c>
      <x:c r="G4418" s="4" t="str">
        <x:v>UNIT-04417</x:v>
      </x:c>
      <x:c r="H4418" s="9" t="n">
        <x:v>5100000</x:v>
      </x:c>
      <x:c r="I4418" s="10" t="n">
        <x:v>0.07</x:v>
      </x:c>
      <x:c r="J4418" s="11" t="n">
        <x:v>10</x:v>
      </x:c>
      <x:c r="K4418" s="11" t="n">
        <x:v>0</x:v>
      </x:c>
      <x:c r="L4418" s="11" t="n">
        <x:v>0</x:v>
      </x:c>
      <x:c r="M4418" s="9" t="n">
        <x:f>ROUND(H4418*(1-I4418),2)</x:f>
        <x:v>4743000</x:v>
      </x:c>
      <x:c r="N4418" s="4" t="str">
        <x:v>Sales manager</x:v>
      </x:c>
      <x:c r="O4418" s="4"/>
      <x:c r="P4418" s="9" t="n">
        <x:v>0</x:v>
      </x:c>
      <x:c r="Q4418" s="11" t="n">
        <x:v>0</x:v>
      </x:c>
      <x:c r="R4418" s="8" t="n">
        <x:v>45616</x:v>
      </x:c>
      <x:c r="S4418" s="4" t="str">
        <x:v>Retained</x:v>
      </x:c>
      <x:c r="T4418" s="10" t="n">
        <x:v>0.310195</x:v>
      </x:c>
      <x:c r="U4418" s="4" t="str">
        <x:v>Test</x:v>
      </x:c>
    </x:row>
    <x:row r="4419" ht="34" customHeight="1">
      <x:c r="A4419" s="4" t="str">
        <x:v>RS-04418</x:v>
      </x:c>
      <x:c r="B4419" s="8" t="n">
        <x:v>45557</x:v>
      </x:c>
      <x:c r="C4419" s="4" t="str">
        <x:v>PRJ-018</x:v>
      </x:c>
      <x:c r="D4419" s="4" t="str">
        <x:v>Apartment</x:v>
      </x:c>
      <x:c r="E4419" s="4" t="str">
        <x:v>Agreement signed</x:v>
      </x:c>
      <x:c r="F4419" s="4" t="str">
        <x:v>CUS-04418</x:v>
      </x:c>
      <x:c r="G4419" s="4" t="str">
        <x:v>UNIT-04418</x:v>
      </x:c>
      <x:c r="H4419" s="9" t="n">
        <x:v>6900000</x:v>
      </x:c>
      <x:c r="I4419" s="10" t="n">
        <x:v>0.1</x:v>
      </x:c>
      <x:c r="J4419" s="11" t="n">
        <x:v>8</x:v>
      </x:c>
      <x:c r="K4419" s="11" t="n">
        <x:v>8</x:v>
      </x:c>
      <x:c r="L4419" s="11" t="n">
        <x:v>1</x:v>
      </x:c>
      <x:c r="M4419" s="9" t="n">
        <x:f>ROUND(H4419*(1-I4419),2)</x:f>
        <x:v>6210000</x:v>
      </x:c>
      <x:c r="N4419" s="4" t="str">
        <x:v>Sales head</x:v>
      </x:c>
      <x:c r="O4419" s="4" t="str">
        <x:v>BOOK-04418</x:v>
      </x:c>
      <x:c r="P4419" s="9" t="n">
        <x:v>6210000</x:v>
      </x:c>
      <x:c r="Q4419" s="11" t="n">
        <x:v>0</x:v>
      </x:c>
      <x:c r="R4419" s="8" t="n">
        <x:v>45617</x:v>
      </x:c>
      <x:c r="S4419" s="4" t="str">
        <x:v>Retained</x:v>
      </x:c>
      <x:c r="T4419" s="10" t="n">
        <x:v>0.310195</x:v>
      </x:c>
      <x:c r="U4419" s="4" t="str">
        <x:v>Test</x:v>
      </x:c>
    </x:row>
    <x:row r="4420" ht="34" customHeight="1">
      <x:c r="A4420" s="4" t="str">
        <x:v>RS-04419</x:v>
      </x:c>
      <x:c r="B4420" s="8" t="n">
        <x:v>45558</x:v>
      </x:c>
      <x:c r="C4420" s="4" t="str">
        <x:v>PRJ-019</x:v>
      </x:c>
      <x:c r="D4420" s="4" t="str">
        <x:v>Office</x:v>
      </x:c>
      <x:c r="E4420" s="4" t="str">
        <x:v>Cancelled</x:v>
      </x:c>
      <x:c r="F4420" s="4" t="str">
        <x:v>CUS-04419</x:v>
      </x:c>
      <x:c r="G4420" s="4" t="str">
        <x:v>UNIT-04419</x:v>
      </x:c>
      <x:c r="H4420" s="9" t="n">
        <x:v>22300000</x:v>
      </x:c>
      <x:c r="I4420" s="10" t="n">
        <x:v>0.08</x:v>
      </x:c>
      <x:c r="J4420" s="11" t="n">
        <x:v>3</x:v>
      </x:c>
      <x:c r="K4420" s="11" t="n">
        <x:v>1</x:v>
      </x:c>
      <x:c r="L4420" s="11" t="n">
        <x:v>1</x:v>
      </x:c>
      <x:c r="M4420" s="9" t="n">
        <x:f>ROUND(H4420*(1-I4420),2)</x:f>
        <x:v>20516000</x:v>
      </x:c>
      <x:c r="N4420" s="4" t="str">
        <x:v>Sales head</x:v>
      </x:c>
      <x:c r="O4420" s="4"/>
      <x:c r="P4420" s="9" t="n">
        <x:v>0</x:v>
      </x:c>
      <x:c r="Q4420" s="11" t="n">
        <x:v>1</x:v>
      </x:c>
      <x:c r="R4420" s="8" t="n">
        <x:v>45618</x:v>
      </x:c>
      <x:c r="S4420" s="4" t="str">
        <x:v>Lost / cancelled</x:v>
      </x:c>
      <x:c r="T4420" s="10" t="n">
        <x:v>0.204152</x:v>
      </x:c>
      <x:c r="U4420" s="4" t="str">
        <x:v>Test</x:v>
      </x:c>
    </x:row>
    <x:row r="4421" ht="34" customHeight="1">
      <x:c r="A4421" s="4" t="str">
        <x:v>RS-04420</x:v>
      </x:c>
      <x:c r="B4421" s="8" t="n">
        <x:v>45559</x:v>
      </x:c>
      <x:c r="C4421" s="4" t="str">
        <x:v>PRJ-020</x:v>
      </x:c>
      <x:c r="D4421" s="4" t="str">
        <x:v>Apartment</x:v>
      </x:c>
      <x:c r="E4421" s="4" t="str">
        <x:v>Agreement signed</x:v>
      </x:c>
      <x:c r="F4421" s="4" t="str">
        <x:v>CUS-04420</x:v>
      </x:c>
      <x:c r="G4421" s="4" t="str">
        <x:v>UNIT-04420</x:v>
      </x:c>
      <x:c r="H4421" s="9" t="n">
        <x:v>23100000</x:v>
      </x:c>
      <x:c r="I4421" s="10" t="n">
        <x:v>0.06</x:v>
      </x:c>
      <x:c r="J4421" s="11" t="n">
        <x:v>5</x:v>
      </x:c>
      <x:c r="K4421" s="11" t="n">
        <x:v>2</x:v>
      </x:c>
      <x:c r="L4421" s="11" t="n">
        <x:v>0</x:v>
      </x:c>
      <x:c r="M4421" s="9" t="n">
        <x:f>ROUND(H4421*(1-I4421),2)</x:f>
        <x:v>21714000</x:v>
      </x:c>
      <x:c r="N4421" s="4" t="str">
        <x:v>Sales manager</x:v>
      </x:c>
      <x:c r="O4421" s="4" t="str">
        <x:v>BOOK-04420</x:v>
      </x:c>
      <x:c r="P4421" s="9" t="n">
        <x:v>5428500</x:v>
      </x:c>
      <x:c r="Q4421" s="11" t="n">
        <x:v>0</x:v>
      </x:c>
      <x:c r="R4421" s="8" t="n">
        <x:v>45619</x:v>
      </x:c>
      <x:c r="S4421" s="4" t="str">
        <x:v>Retained</x:v>
      </x:c>
      <x:c r="T4421" s="10" t="n">
        <x:v>0.226277</x:v>
      </x:c>
      <x:c r="U4421" s="4" t="str">
        <x:v>Test</x:v>
      </x:c>
    </x:row>
    <x:row r="4422" ht="34" customHeight="1">
      <x:c r="A4422" s="4" t="str">
        <x:v>RS-04421</x:v>
      </x:c>
      <x:c r="B4422" s="8" t="n">
        <x:v>45560</x:v>
      </x:c>
      <x:c r="C4422" s="4" t="str">
        <x:v>PRJ-001</x:v>
      </x:c>
      <x:c r="D4422" s="4" t="str">
        <x:v>Apartment</x:v>
      </x:c>
      <x:c r="E4422" s="4" t="str">
        <x:v>Cancelled</x:v>
      </x:c>
      <x:c r="F4422" s="4" t="str">
        <x:v>CUS-04421</x:v>
      </x:c>
      <x:c r="G4422" s="4" t="str">
        <x:v>UNIT-04421</x:v>
      </x:c>
      <x:c r="H4422" s="9" t="n">
        <x:v>9000000</x:v>
      </x:c>
      <x:c r="I4422" s="10" t="n">
        <x:v>0.06</x:v>
      </x:c>
      <x:c r="J4422" s="11" t="n">
        <x:v>0</x:v>
      </x:c>
      <x:c r="K4422" s="11" t="n">
        <x:v>1</x:v>
      </x:c>
      <x:c r="L4422" s="11" t="n">
        <x:v>0</x:v>
      </x:c>
      <x:c r="M4422" s="9" t="n">
        <x:f>ROUND(H4422*(1-I4422),2)</x:f>
        <x:v>8460000</x:v>
      </x:c>
      <x:c r="N4422" s="4" t="str">
        <x:v>Sales manager</x:v>
      </x:c>
      <x:c r="O4422" s="4"/>
      <x:c r="P4422" s="9" t="n">
        <x:v>0</x:v>
      </x:c>
      <x:c r="Q4422" s="11" t="n">
        <x:v>1</x:v>
      </x:c>
      <x:c r="R4422" s="8" t="n">
        <x:v>45620</x:v>
      </x:c>
      <x:c r="S4422" s="4" t="str">
        <x:v>Lost / cancelled</x:v>
      </x:c>
      <x:c r="T4422" s="10" t="n">
        <x:v>0.204152</x:v>
      </x:c>
      <x:c r="U4422" s="4" t="str">
        <x:v>Test</x:v>
      </x:c>
    </x:row>
    <x:row r="4423" ht="34" customHeight="1">
      <x:c r="A4423" s="4" t="str">
        <x:v>RS-04422</x:v>
      </x:c>
      <x:c r="B4423" s="8" t="n">
        <x:v>45561</x:v>
      </x:c>
      <x:c r="C4423" s="4" t="str">
        <x:v>PRJ-002</x:v>
      </x:c>
      <x:c r="D4423" s="4" t="str">
        <x:v>Office</x:v>
      </x:c>
      <x:c r="E4423" s="4" t="str">
        <x:v>Enquiry</x:v>
      </x:c>
      <x:c r="F4423" s="4" t="str">
        <x:v>CUS-04422</x:v>
      </x:c>
      <x:c r="G4423" s="4" t="str">
        <x:v>UNIT-04422</x:v>
      </x:c>
      <x:c r="H4423" s="9" t="n">
        <x:v>12400000</x:v>
      </x:c>
      <x:c r="I4423" s="10" t="n">
        <x:v>0.01</x:v>
      </x:c>
      <x:c r="J4423" s="11" t="n">
        <x:v>4</x:v>
      </x:c>
      <x:c r="K4423" s="11" t="n">
        <x:v>5</x:v>
      </x:c>
      <x:c r="L4423" s="11" t="n">
        <x:v>1</x:v>
      </x:c>
      <x:c r="M4423" s="9" t="n">
        <x:f>ROUND(H4423*(1-I4423),2)</x:f>
        <x:v>12276000</x:v>
      </x:c>
      <x:c r="N4423" s="4" t="str">
        <x:v>Sales manager</x:v>
      </x:c>
      <x:c r="O4423" s="4"/>
      <x:c r="P4423" s="9" t="n">
        <x:v>0</x:v>
      </x:c>
      <x:c r="Q4423" s="11" t="n">
        <x:v>1</x:v>
      </x:c>
      <x:c r="R4423" s="8" t="n">
        <x:v>45621</x:v>
      </x:c>
      <x:c r="S4423" s="4" t="str">
        <x:v>Lost / cancelled</x:v>
      </x:c>
      <x:c r="T4423" s="10" t="n">
        <x:v>0.145299</x:v>
      </x:c>
      <x:c r="U4423" s="4" t="str">
        <x:v>Test</x:v>
      </x:c>
    </x:row>
    <x:row r="4424" ht="34" customHeight="1">
      <x:c r="A4424" s="4" t="str">
        <x:v>RS-04423</x:v>
      </x:c>
      <x:c r="B4424" s="8" t="n">
        <x:v>45562</x:v>
      </x:c>
      <x:c r="C4424" s="4" t="str">
        <x:v>PRJ-003</x:v>
      </x:c>
      <x:c r="D4424" s="4" t="str">
        <x:v>Apartment</x:v>
      </x:c>
      <x:c r="E4424" s="4" t="str">
        <x:v>Enquiry</x:v>
      </x:c>
      <x:c r="F4424" s="4" t="str">
        <x:v>CUS-04423</x:v>
      </x:c>
      <x:c r="G4424" s="4" t="str">
        <x:v>UNIT-04423</x:v>
      </x:c>
      <x:c r="H4424" s="9" t="n">
        <x:v>9300000</x:v>
      </x:c>
      <x:c r="I4424" s="10" t="n">
        <x:v>0.09</x:v>
      </x:c>
      <x:c r="J4424" s="11" t="n">
        <x:v>7</x:v>
      </x:c>
      <x:c r="K4424" s="11" t="n">
        <x:v>0</x:v>
      </x:c>
      <x:c r="L4424" s="11" t="n">
        <x:v>0</x:v>
      </x:c>
      <x:c r="M4424" s="9" t="n">
        <x:f>ROUND(H4424*(1-I4424),2)</x:f>
        <x:v>8463000</x:v>
      </x:c>
      <x:c r="N4424" s="4" t="str">
        <x:v>Sales head</x:v>
      </x:c>
      <x:c r="O4424" s="4"/>
      <x:c r="P4424" s="9" t="n">
        <x:v>0</x:v>
      </x:c>
      <x:c r="Q4424" s="11" t="n">
        <x:v>1</x:v>
      </x:c>
      <x:c r="R4424" s="8" t="n">
        <x:v>45622</x:v>
      </x:c>
      <x:c r="S4424" s="4" t="str">
        <x:v>Lost / cancelled</x:v>
      </x:c>
      <x:c r="T4424" s="10" t="n">
        <x:v>0.226277</x:v>
      </x:c>
      <x:c r="U4424" s="4" t="str">
        <x:v>Test</x:v>
      </x:c>
    </x:row>
    <x:row r="4425" ht="34" customHeight="1">
      <x:c r="A4425" s="4" t="str">
        <x:v>RS-04424</x:v>
      </x:c>
      <x:c r="B4425" s="8" t="n">
        <x:v>45563</x:v>
      </x:c>
      <x:c r="C4425" s="4" t="str">
        <x:v>PRJ-004</x:v>
      </x:c>
      <x:c r="D4425" s="4" t="str">
        <x:v>Retail</x:v>
      </x:c>
      <x:c r="E4425" s="4" t="str">
        <x:v>Handed over</x:v>
      </x:c>
      <x:c r="F4425" s="4" t="str">
        <x:v>CUS-04424</x:v>
      </x:c>
      <x:c r="G4425" s="4" t="str">
        <x:v>UNIT-04424</x:v>
      </x:c>
      <x:c r="H4425" s="9" t="n">
        <x:v>18000000</x:v>
      </x:c>
      <x:c r="I4425" s="10" t="n">
        <x:v>0.07</x:v>
      </x:c>
      <x:c r="J4425" s="11" t="n">
        <x:v>3</x:v>
      </x:c>
      <x:c r="K4425" s="11" t="n">
        <x:v>2</x:v>
      </x:c>
      <x:c r="L4425" s="11" t="n">
        <x:v>0</x:v>
      </x:c>
      <x:c r="M4425" s="9" t="n">
        <x:f>ROUND(H4425*(1-I4425),2)</x:f>
        <x:v>16740000</x:v>
      </x:c>
      <x:c r="N4425" s="4" t="str">
        <x:v>Sales manager</x:v>
      </x:c>
      <x:c r="O4425" s="4" t="str">
        <x:v>BOOK-04424</x:v>
      </x:c>
      <x:c r="P4425" s="9" t="n">
        <x:v>8370000</x:v>
      </x:c>
      <x:c r="Q4425" s="11" t="n">
        <x:v>0</x:v>
      </x:c>
      <x:c r="R4425" s="8" t="n">
        <x:v>45623</x:v>
      </x:c>
      <x:c r="S4425" s="4" t="str">
        <x:v>Retained</x:v>
      </x:c>
      <x:c r="T4425" s="10" t="n">
        <x:v>0.204152</x:v>
      </x:c>
      <x:c r="U4425" s="4" t="str">
        <x:v>Test</x:v>
      </x:c>
    </x:row>
    <x:row r="4426" ht="34" customHeight="1">
      <x:c r="A4426" s="4" t="str">
        <x:v>RS-04425</x:v>
      </x:c>
      <x:c r="B4426" s="8" t="n">
        <x:v>45536</x:v>
      </x:c>
      <x:c r="C4426" s="4" t="str">
        <x:v>PRJ-005</x:v>
      </x:c>
      <x:c r="D4426" s="4" t="str">
        <x:v>Retail</x:v>
      </x:c>
      <x:c r="E4426" s="4" t="str">
        <x:v>Cancelled</x:v>
      </x:c>
      <x:c r="F4426" s="4" t="str">
        <x:v>CUS-04425</x:v>
      </x:c>
      <x:c r="G4426" s="4" t="str">
        <x:v>UNIT-04425</x:v>
      </x:c>
      <x:c r="H4426" s="9" t="n">
        <x:v>16000000</x:v>
      </x:c>
      <x:c r="I4426" s="10" t="n">
        <x:v>0.05</x:v>
      </x:c>
      <x:c r="J4426" s="11" t="n">
        <x:v>2</x:v>
      </x:c>
      <x:c r="K4426" s="11" t="n">
        <x:v>6</x:v>
      </x:c>
      <x:c r="L4426" s="11" t="n">
        <x:v>0</x:v>
      </x:c>
      <x:c r="M4426" s="9" t="n">
        <x:f>ROUND(H4426*(1-I4426),2)</x:f>
        <x:v>15200000</x:v>
      </x:c>
      <x:c r="N4426" s="4" t="str">
        <x:v>Sales manager</x:v>
      </x:c>
      <x:c r="O4426" s="4"/>
      <x:c r="P4426" s="9" t="n">
        <x:v>0</x:v>
      </x:c>
      <x:c r="Q4426" s="11" t="n">
        <x:v>1</x:v>
      </x:c>
      <x:c r="R4426" s="8" t="n">
        <x:v>45596</x:v>
      </x:c>
      <x:c r="S4426" s="4" t="str">
        <x:v>Lost / cancelled</x:v>
      </x:c>
      <x:c r="T4426" s="10" t="n">
        <x:v>0.204152</x:v>
      </x:c>
      <x:c r="U4426" s="4" t="str">
        <x:v>Test</x:v>
      </x:c>
    </x:row>
    <x:row r="4427" ht="34" customHeight="1">
      <x:c r="A4427" s="4" t="str">
        <x:v>RS-04426</x:v>
      </x:c>
      <x:c r="B4427" s="8" t="n">
        <x:v>45537</x:v>
      </x:c>
      <x:c r="C4427" s="4" t="str">
        <x:v>PRJ-006</x:v>
      </x:c>
      <x:c r="D4427" s="4" t="str">
        <x:v>Apartment</x:v>
      </x:c>
      <x:c r="E4427" s="4" t="str">
        <x:v>Agreement signed</x:v>
      </x:c>
      <x:c r="F4427" s="4" t="str">
        <x:v>CUS-04426</x:v>
      </x:c>
      <x:c r="G4427" s="4" t="str">
        <x:v>UNIT-04426</x:v>
      </x:c>
      <x:c r="H4427" s="9" t="n">
        <x:v>14500000</x:v>
      </x:c>
      <x:c r="I4427" s="10" t="n">
        <x:v>0.08</x:v>
      </x:c>
      <x:c r="J4427" s="11" t="n">
        <x:v>2</x:v>
      </x:c>
      <x:c r="K4427" s="11" t="n">
        <x:v>4</x:v>
      </x:c>
      <x:c r="L4427" s="11" t="n">
        <x:v>1</x:v>
      </x:c>
      <x:c r="M4427" s="9" t="n">
        <x:f>ROUND(H4427*(1-I4427),2)</x:f>
        <x:v>13340000</x:v>
      </x:c>
      <x:c r="N4427" s="4" t="str">
        <x:v>Sales head</x:v>
      </x:c>
      <x:c r="O4427" s="4" t="str">
        <x:v>BOOK-04426</x:v>
      </x:c>
      <x:c r="P4427" s="9" t="n">
        <x:v>1334000</x:v>
      </x:c>
      <x:c r="Q4427" s="11" t="n">
        <x:v>0</x:v>
      </x:c>
      <x:c r="R4427" s="8" t="n">
        <x:v>45597</x:v>
      </x:c>
      <x:c r="S4427" s="4" t="str">
        <x:v>Retained</x:v>
      </x:c>
      <x:c r="T4427" s="10" t="n">
        <x:v>0.204152</x:v>
      </x:c>
      <x:c r="U4427" s="4" t="str">
        <x:v>Test</x:v>
      </x:c>
    </x:row>
    <x:row r="4428" ht="34" customHeight="1">
      <x:c r="A4428" s="4" t="str">
        <x:v>RS-04427</x:v>
      </x:c>
      <x:c r="B4428" s="8" t="n">
        <x:v>45538</x:v>
      </x:c>
      <x:c r="C4428" s="4" t="str">
        <x:v>PRJ-007</x:v>
      </x:c>
      <x:c r="D4428" s="4" t="str">
        <x:v>Villa</x:v>
      </x:c>
      <x:c r="E4428" s="4" t="str">
        <x:v>Reserved</x:v>
      </x:c>
      <x:c r="F4428" s="4" t="str">
        <x:v>CUS-04427</x:v>
      </x:c>
      <x:c r="G4428" s="4" t="str">
        <x:v>UNIT-04427</x:v>
      </x:c>
      <x:c r="H4428" s="9" t="n">
        <x:v>11600000</x:v>
      </x:c>
      <x:c r="I4428" s="10" t="n">
        <x:v>0.1</x:v>
      </x:c>
      <x:c r="J4428" s="11" t="n">
        <x:v>2</x:v>
      </x:c>
      <x:c r="K4428" s="11" t="n">
        <x:v>10</x:v>
      </x:c>
      <x:c r="L4428" s="11" t="n">
        <x:v>0</x:v>
      </x:c>
      <x:c r="M4428" s="9" t="n">
        <x:f>ROUND(H4428*(1-I4428),2)</x:f>
        <x:v>10440000</x:v>
      </x:c>
      <x:c r="N4428" s="4" t="str">
        <x:v>Sales head</x:v>
      </x:c>
      <x:c r="O4428" s="4"/>
      <x:c r="P4428" s="9" t="n">
        <x:v>0</x:v>
      </x:c>
      <x:c r="Q4428" s="11" t="n">
        <x:v>0</x:v>
      </x:c>
      <x:c r="R4428" s="8" t="n">
        <x:v>45598</x:v>
      </x:c>
      <x:c r="S4428" s="4" t="str">
        <x:v>Retained</x:v>
      </x:c>
      <x:c r="T4428" s="10" t="n">
        <x:v>0.145833</x:v>
      </x:c>
      <x:c r="U4428" s="4" t="str">
        <x:v>Test</x:v>
      </x:c>
    </x:row>
    <x:row r="4429" ht="34" customHeight="1">
      <x:c r="A4429" s="4" t="str">
        <x:v>RS-04428</x:v>
      </x:c>
      <x:c r="B4429" s="8" t="n">
        <x:v>45539</x:v>
      </x:c>
      <x:c r="C4429" s="4" t="str">
        <x:v>PRJ-008</x:v>
      </x:c>
      <x:c r="D4429" s="4" t="str">
        <x:v>Apartment</x:v>
      </x:c>
      <x:c r="E4429" s="4" t="str">
        <x:v>Reserved</x:v>
      </x:c>
      <x:c r="F4429" s="4" t="str">
        <x:v>CUS-04428</x:v>
      </x:c>
      <x:c r="G4429" s="4" t="str">
        <x:v>UNIT-04428</x:v>
      </x:c>
      <x:c r="H4429" s="9" t="n">
        <x:v>22200000</x:v>
      </x:c>
      <x:c r="I4429" s="10" t="n">
        <x:v>0.06</x:v>
      </x:c>
      <x:c r="J4429" s="11" t="n">
        <x:v>10</x:v>
      </x:c>
      <x:c r="K4429" s="11" t="n">
        <x:v>8</x:v>
      </x:c>
      <x:c r="L4429" s="11" t="n">
        <x:v>1</x:v>
      </x:c>
      <x:c r="M4429" s="9" t="n">
        <x:f>ROUND(H4429*(1-I4429),2)</x:f>
        <x:v>20868000</x:v>
      </x:c>
      <x:c r="N4429" s="4" t="str">
        <x:v>Sales manager</x:v>
      </x:c>
      <x:c r="O4429" s="4"/>
      <x:c r="P4429" s="9" t="n">
        <x:v>0</x:v>
      </x:c>
      <x:c r="Q4429" s="11" t="n">
        <x:v>0</x:v>
      </x:c>
      <x:c r="R4429" s="8" t="n">
        <x:v>45599</x:v>
      </x:c>
      <x:c r="S4429" s="4" t="str">
        <x:v>Retained</x:v>
      </x:c>
      <x:c r="T4429" s="10" t="n">
        <x:v>0.310195</x:v>
      </x:c>
      <x:c r="U4429" s="4" t="str">
        <x:v>Test</x:v>
      </x:c>
    </x:row>
    <x:row r="4430" ht="34" customHeight="1">
      <x:c r="A4430" s="4" t="str">
        <x:v>RS-04429</x:v>
      </x:c>
      <x:c r="B4430" s="8" t="n">
        <x:v>45540</x:v>
      </x:c>
      <x:c r="C4430" s="4" t="str">
        <x:v>PRJ-009</x:v>
      </x:c>
      <x:c r="D4430" s="4" t="str">
        <x:v>Retail</x:v>
      </x:c>
      <x:c r="E4430" s="4" t="str">
        <x:v>Agreement signed</x:v>
      </x:c>
      <x:c r="F4430" s="4" t="str">
        <x:v>CUS-04429</x:v>
      </x:c>
      <x:c r="G4430" s="4" t="str">
        <x:v>UNIT-04429</x:v>
      </x:c>
      <x:c r="H4430" s="9" t="n">
        <x:v>12000000</x:v>
      </x:c>
      <x:c r="I4430" s="10" t="n">
        <x:v>0.04</x:v>
      </x:c>
      <x:c r="J4430" s="11" t="n">
        <x:v>11</x:v>
      </x:c>
      <x:c r="K4430" s="11" t="n">
        <x:v>8</x:v>
      </x:c>
      <x:c r="L4430" s="11" t="n">
        <x:v>1</x:v>
      </x:c>
      <x:c r="M4430" s="9" t="n">
        <x:f>ROUND(H4430*(1-I4430),2)</x:f>
        <x:v>11520000</x:v>
      </x:c>
      <x:c r="N4430" s="4" t="str">
        <x:v>Sales manager</x:v>
      </x:c>
      <x:c r="O4430" s="4" t="str">
        <x:v>BOOK-04429</x:v>
      </x:c>
      <x:c r="P4430" s="9" t="n">
        <x:v>11520000</x:v>
      </x:c>
      <x:c r="Q4430" s="11" t="n">
        <x:v>0</x:v>
      </x:c>
      <x:c r="R4430" s="8" t="n">
        <x:v>45600</x:v>
      </x:c>
      <x:c r="S4430" s="4" t="str">
        <x:v>Retained</x:v>
      </x:c>
      <x:c r="T4430" s="10" t="n">
        <x:v>0.351536</x:v>
      </x:c>
      <x:c r="U4430" s="4" t="str">
        <x:v>Test</x:v>
      </x:c>
    </x:row>
    <x:row r="4431" ht="34" customHeight="1">
      <x:c r="A4431" s="4" t="str">
        <x:v>RS-04430</x:v>
      </x:c>
      <x:c r="B4431" s="8" t="n">
        <x:v>45541</x:v>
      </x:c>
      <x:c r="C4431" s="4" t="str">
        <x:v>PRJ-010</x:v>
      </x:c>
      <x:c r="D4431" s="4" t="str">
        <x:v>Office</x:v>
      </x:c>
      <x:c r="E4431" s="4" t="str">
        <x:v>Agreement signed</x:v>
      </x:c>
      <x:c r="F4431" s="4" t="str">
        <x:v>CUS-04430</x:v>
      </x:c>
      <x:c r="G4431" s="4" t="str">
        <x:v>UNIT-04430</x:v>
      </x:c>
      <x:c r="H4431" s="9" t="n">
        <x:v>24300000</x:v>
      </x:c>
      <x:c r="I4431" s="10" t="n">
        <x:v>0.03</x:v>
      </x:c>
      <x:c r="J4431" s="11" t="n">
        <x:v>5</x:v>
      </x:c>
      <x:c r="K4431" s="11" t="n">
        <x:v>0</x:v>
      </x:c>
      <x:c r="L4431" s="11" t="n">
        <x:v>0</x:v>
      </x:c>
      <x:c r="M4431" s="9" t="n">
        <x:f>ROUND(H4431*(1-I4431),2)</x:f>
        <x:v>23571000</x:v>
      </x:c>
      <x:c r="N4431" s="4" t="str">
        <x:v>Sales manager</x:v>
      </x:c>
      <x:c r="O4431" s="4" t="str">
        <x:v>BOOK-04430</x:v>
      </x:c>
      <x:c r="P4431" s="9" t="n">
        <x:v>5892750</x:v>
      </x:c>
      <x:c r="Q4431" s="11" t="n">
        <x:v>0</x:v>
      </x:c>
      <x:c r="R4431" s="8" t="n">
        <x:v>45601</x:v>
      </x:c>
      <x:c r="S4431" s="4" t="str">
        <x:v>Retained</x:v>
      </x:c>
      <x:c r="T4431" s="10" t="n">
        <x:v>0.298969</x:v>
      </x:c>
      <x:c r="U4431" s="4" t="str">
        <x:v>Test</x:v>
      </x:c>
    </x:row>
    <x:row r="4432" ht="34" customHeight="1">
      <x:c r="A4432" s="4" t="str">
        <x:v>RS-04431</x:v>
      </x:c>
      <x:c r="B4432" s="8" t="n">
        <x:v>45542</x:v>
      </x:c>
      <x:c r="C4432" s="4" t="str">
        <x:v>PRJ-011</x:v>
      </x:c>
      <x:c r="D4432" s="4" t="str">
        <x:v>Apartment</x:v>
      </x:c>
      <x:c r="E4432" s="4" t="str">
        <x:v>Handed over</x:v>
      </x:c>
      <x:c r="F4432" s="4" t="str">
        <x:v>CUS-04431</x:v>
      </x:c>
      <x:c r="G4432" s="4" t="str">
        <x:v>UNIT-04431</x:v>
      </x:c>
      <x:c r="H4432" s="9" t="n">
        <x:v>21900000</x:v>
      </x:c>
      <x:c r="I4432" s="10" t="n">
        <x:v>0.1</x:v>
      </x:c>
      <x:c r="J4432" s="11" t="n">
        <x:v>8</x:v>
      </x:c>
      <x:c r="K4432" s="11" t="n">
        <x:v>1</x:v>
      </x:c>
      <x:c r="L4432" s="11" t="n">
        <x:v>1</x:v>
      </x:c>
      <x:c r="M4432" s="9" t="n">
        <x:f>ROUND(H4432*(1-I4432),2)</x:f>
        <x:v>19710000</x:v>
      </x:c>
      <x:c r="N4432" s="4" t="str">
        <x:v>Sales head</x:v>
      </x:c>
      <x:c r="O4432" s="4" t="str">
        <x:v>BOOK-04431</x:v>
      </x:c>
      <x:c r="P4432" s="9" t="n">
        <x:v>4927500</x:v>
      </x:c>
      <x:c r="Q4432" s="11" t="n">
        <x:v>0</x:v>
      </x:c>
      <x:c r="R4432" s="8" t="n">
        <x:v>45602</x:v>
      </x:c>
      <x:c r="S4432" s="4" t="str">
        <x:v>Retained</x:v>
      </x:c>
      <x:c r="T4432" s="10" t="n">
        <x:v>0.310195</x:v>
      </x:c>
      <x:c r="U4432" s="4" t="str">
        <x:v>Test</x:v>
      </x:c>
    </x:row>
    <x:row r="4433" ht="34" customHeight="1">
      <x:c r="A4433" s="4" t="str">
        <x:v>RS-04432</x:v>
      </x:c>
      <x:c r="B4433" s="8" t="n">
        <x:v>45543</x:v>
      </x:c>
      <x:c r="C4433" s="4" t="str">
        <x:v>PRJ-012</x:v>
      </x:c>
      <x:c r="D4433" s="4" t="str">
        <x:v>Retail</x:v>
      </x:c>
      <x:c r="E4433" s="4" t="str">
        <x:v>Agreement signed</x:v>
      </x:c>
      <x:c r="F4433" s="4" t="str">
        <x:v>CUS-04432</x:v>
      </x:c>
      <x:c r="G4433" s="4" t="str">
        <x:v>UNIT-04432</x:v>
      </x:c>
      <x:c r="H4433" s="9" t="n">
        <x:v>7200000</x:v>
      </x:c>
      <x:c r="I4433" s="10" t="n">
        <x:v>0.08</x:v>
      </x:c>
      <x:c r="J4433" s="11" t="n">
        <x:v>12</x:v>
      </x:c>
      <x:c r="K4433" s="11" t="n">
        <x:v>0</x:v>
      </x:c>
      <x:c r="L4433" s="11" t="n">
        <x:v>1</x:v>
      </x:c>
      <x:c r="M4433" s="9" t="n">
        <x:f>ROUND(H4433*(1-I4433),2)</x:f>
        <x:v>6624000</x:v>
      </x:c>
      <x:c r="N4433" s="4" t="str">
        <x:v>Sales head</x:v>
      </x:c>
      <x:c r="O4433" s="4" t="str">
        <x:v>BOOK-04432</x:v>
      </x:c>
      <x:c r="P4433" s="9" t="n">
        <x:v>3312000</x:v>
      </x:c>
      <x:c r="Q4433" s="11" t="n">
        <x:v>0</x:v>
      </x:c>
      <x:c r="R4433" s="8" t="n">
        <x:v>45603</x:v>
      </x:c>
      <x:c r="S4433" s="4" t="str">
        <x:v>Retained</x:v>
      </x:c>
      <x:c r="T4433" s="10" t="n">
        <x:v>0.351536</x:v>
      </x:c>
      <x:c r="U4433" s="4" t="str">
        <x:v>Test</x:v>
      </x:c>
    </x:row>
    <x:row r="4434" ht="34" customHeight="1">
      <x:c r="A4434" s="4" t="str">
        <x:v>RS-04433</x:v>
      </x:c>
      <x:c r="B4434" s="8" t="n">
        <x:v>45544</x:v>
      </x:c>
      <x:c r="C4434" s="4" t="str">
        <x:v>PRJ-013</x:v>
      </x:c>
      <x:c r="D4434" s="4" t="str">
        <x:v>Apartment</x:v>
      </x:c>
      <x:c r="E4434" s="4" t="str">
        <x:v>Reserved</x:v>
      </x:c>
      <x:c r="F4434" s="4" t="str">
        <x:v>CUS-04433</x:v>
      </x:c>
      <x:c r="G4434" s="4" t="str">
        <x:v>UNIT-04433</x:v>
      </x:c>
      <x:c r="H4434" s="9" t="n">
        <x:v>3800000</x:v>
      </x:c>
      <x:c r="I4434" s="10" t="n">
        <x:v>0.07</x:v>
      </x:c>
      <x:c r="J4434" s="11" t="n">
        <x:v>9</x:v>
      </x:c>
      <x:c r="K4434" s="11" t="n">
        <x:v>4</x:v>
      </x:c>
      <x:c r="L4434" s="11" t="n">
        <x:v>1</x:v>
      </x:c>
      <x:c r="M4434" s="9" t="n">
        <x:f>ROUND(H4434*(1-I4434),2)</x:f>
        <x:v>3534000</x:v>
      </x:c>
      <x:c r="N4434" s="4" t="str">
        <x:v>Sales manager</x:v>
      </x:c>
      <x:c r="O4434" s="4"/>
      <x:c r="P4434" s="9" t="n">
        <x:v>0</x:v>
      </x:c>
      <x:c r="Q4434" s="11" t="n">
        <x:v>0</x:v>
      </x:c>
      <x:c r="R4434" s="8" t="n">
        <x:v>45604</x:v>
      </x:c>
      <x:c r="S4434" s="4" t="str">
        <x:v>Retained</x:v>
      </x:c>
      <x:c r="T4434" s="10" t="n">
        <x:v>0.310195</x:v>
      </x:c>
      <x:c r="U4434" s="4" t="str">
        <x:v>Test</x:v>
      </x:c>
    </x:row>
    <x:row r="4435" ht="34" customHeight="1">
      <x:c r="A4435" s="4" t="str">
        <x:v>RS-04434</x:v>
      </x:c>
      <x:c r="B4435" s="8" t="n">
        <x:v>45545</x:v>
      </x:c>
      <x:c r="C4435" s="4" t="str">
        <x:v>PRJ-014</x:v>
      </x:c>
      <x:c r="D4435" s="4" t="str">
        <x:v>Retail</x:v>
      </x:c>
      <x:c r="E4435" s="4" t="str">
        <x:v>Agreement signed</x:v>
      </x:c>
      <x:c r="F4435" s="4" t="str">
        <x:v>CUS-04434</x:v>
      </x:c>
      <x:c r="G4435" s="4" t="str">
        <x:v>UNIT-04434</x:v>
      </x:c>
      <x:c r="H4435" s="9" t="n">
        <x:v>6600000</x:v>
      </x:c>
      <x:c r="I4435" s="10" t="n">
        <x:v>0.09</x:v>
      </x:c>
      <x:c r="J4435" s="11" t="n">
        <x:v>0</x:v>
      </x:c>
      <x:c r="K4435" s="11" t="n">
        <x:v>5</x:v>
      </x:c>
      <x:c r="L4435" s="11" t="n">
        <x:v>1</x:v>
      </x:c>
      <x:c r="M4435" s="9" t="n">
        <x:f>ROUND(H4435*(1-I4435),2)</x:f>
        <x:v>6006000</x:v>
      </x:c>
      <x:c r="N4435" s="4" t="str">
        <x:v>Sales head</x:v>
      </x:c>
      <x:c r="O4435" s="4" t="str">
        <x:v>BOOK-04434</x:v>
      </x:c>
      <x:c r="P4435" s="9" t="n">
        <x:v>1501500</x:v>
      </x:c>
      <x:c r="Q4435" s="11" t="n">
        <x:v>0</x:v>
      </x:c>
      <x:c r="R4435" s="8" t="n">
        <x:v>45605</x:v>
      </x:c>
      <x:c r="S4435" s="4" t="str">
        <x:v>Retained</x:v>
      </x:c>
      <x:c r="T4435" s="10" t="n">
        <x:v>0.145833</x:v>
      </x:c>
      <x:c r="U4435" s="4" t="str">
        <x:v>Test</x:v>
      </x:c>
    </x:row>
    <x:row r="4436" ht="34" customHeight="1">
      <x:c r="A4436" s="4" t="str">
        <x:v>RS-04435</x:v>
      </x:c>
      <x:c r="B4436" s="8" t="n">
        <x:v>45546</x:v>
      </x:c>
      <x:c r="C4436" s="4" t="str">
        <x:v>PRJ-015</x:v>
      </x:c>
      <x:c r="D4436" s="4" t="str">
        <x:v>Apartment</x:v>
      </x:c>
      <x:c r="E4436" s="4" t="str">
        <x:v>Booked</x:v>
      </x:c>
      <x:c r="F4436" s="4" t="str">
        <x:v>CUS-04435</x:v>
      </x:c>
      <x:c r="G4436" s="4" t="str">
        <x:v>UNIT-04435</x:v>
      </x:c>
      <x:c r="H4436" s="9" t="n">
        <x:v>17000000</x:v>
      </x:c>
      <x:c r="I4436" s="10" t="n">
        <x:v>0.05</x:v>
      </x:c>
      <x:c r="J4436" s="11" t="n">
        <x:v>12</x:v>
      </x:c>
      <x:c r="K4436" s="11" t="n">
        <x:v>1</x:v>
      </x:c>
      <x:c r="L4436" s="11" t="n">
        <x:v>0</x:v>
      </x:c>
      <x:c r="M4436" s="9" t="n">
        <x:f>ROUND(H4436*(1-I4436),2)</x:f>
        <x:v>16150000</x:v>
      </x:c>
      <x:c r="N4436" s="4" t="str">
        <x:v>Sales manager</x:v>
      </x:c>
      <x:c r="O4436" s="4" t="str">
        <x:v>BOOK-04435</x:v>
      </x:c>
      <x:c r="P4436" s="9" t="n">
        <x:v>1615000</x:v>
      </x:c>
      <x:c r="Q4436" s="11" t="n">
        <x:v>0</x:v>
      </x:c>
      <x:c r="R4436" s="8" t="n">
        <x:v>45606</x:v>
      </x:c>
      <x:c r="S4436" s="4" t="str">
        <x:v>Retained</x:v>
      </x:c>
      <x:c r="T4436" s="10" t="n">
        <x:v>0.351536</x:v>
      </x:c>
      <x:c r="U4436" s="4" t="str">
        <x:v>Test</x:v>
      </x:c>
    </x:row>
    <x:row r="4437" ht="34" customHeight="1">
      <x:c r="A4437" s="4" t="str">
        <x:v>RS-04436</x:v>
      </x:c>
      <x:c r="B4437" s="8" t="n">
        <x:v>45547</x:v>
      </x:c>
      <x:c r="C4437" s="4" t="str">
        <x:v>PRJ-016</x:v>
      </x:c>
      <x:c r="D4437" s="4" t="str">
        <x:v>Villa</x:v>
      </x:c>
      <x:c r="E4437" s="4" t="str">
        <x:v>Enquiry</x:v>
      </x:c>
      <x:c r="F4437" s="4" t="str">
        <x:v>CUS-04436</x:v>
      </x:c>
      <x:c r="G4437" s="4" t="str">
        <x:v>UNIT-04436</x:v>
      </x:c>
      <x:c r="H4437" s="9" t="n">
        <x:v>9700000</x:v>
      </x:c>
      <x:c r="I4437" s="10" t="n">
        <x:v>0.12</x:v>
      </x:c>
      <x:c r="J4437" s="11" t="n">
        <x:v>3</x:v>
      </x:c>
      <x:c r="K4437" s="11" t="n">
        <x:v>2</x:v>
      </x:c>
      <x:c r="L4437" s="11" t="n">
        <x:v>0</x:v>
      </x:c>
      <x:c r="M4437" s="9" t="n">
        <x:f>ROUND(H4437*(1-I4437),2)</x:f>
        <x:v>8536000</x:v>
      </x:c>
      <x:c r="N4437" s="4" t="str">
        <x:v>Sales head</x:v>
      </x:c>
      <x:c r="O4437" s="4"/>
      <x:c r="P4437" s="9" t="n">
        <x:v>0</x:v>
      </x:c>
      <x:c r="Q4437" s="11" t="n">
        <x:v>0</x:v>
      </x:c>
      <x:c r="R4437" s="8" t="n">
        <x:v>45607</x:v>
      </x:c>
      <x:c r="S4437" s="4" t="str">
        <x:v>Retained</x:v>
      </x:c>
      <x:c r="T4437" s="10" t="n">
        <x:v>0.145833</x:v>
      </x:c>
      <x:c r="U4437" s="4" t="str">
        <x:v>Test</x:v>
      </x:c>
    </x:row>
    <x:row r="4438" ht="34" customHeight="1">
      <x:c r="A4438" s="4" t="str">
        <x:v>RS-04437</x:v>
      </x:c>
      <x:c r="B4438" s="8" t="n">
        <x:v>45548</x:v>
      </x:c>
      <x:c r="C4438" s="4" t="str">
        <x:v>PRJ-017</x:v>
      </x:c>
      <x:c r="D4438" s="4" t="str">
        <x:v>Office</x:v>
      </x:c>
      <x:c r="E4438" s="4" t="str">
        <x:v>Booked</x:v>
      </x:c>
      <x:c r="F4438" s="4" t="str">
        <x:v>CUS-04437</x:v>
      </x:c>
      <x:c r="G4438" s="4" t="str">
        <x:v>UNIT-04437</x:v>
      </x:c>
      <x:c r="H4438" s="9" t="n">
        <x:v>4500000</x:v>
      </x:c>
      <x:c r="I4438" s="10" t="n">
        <x:v>0.06</x:v>
      </x:c>
      <x:c r="J4438" s="11" t="n">
        <x:v>6</x:v>
      </x:c>
      <x:c r="K4438" s="11" t="n">
        <x:v>0</x:v>
      </x:c>
      <x:c r="L4438" s="11" t="n">
        <x:v>1</x:v>
      </x:c>
      <x:c r="M4438" s="9" t="n">
        <x:f>ROUND(H4438*(1-I4438),2)</x:f>
        <x:v>4230000</x:v>
      </x:c>
      <x:c r="N4438" s="4" t="str">
        <x:v>Sales manager</x:v>
      </x:c>
      <x:c r="O4438" s="4" t="str">
        <x:v>BOOK-04437</x:v>
      </x:c>
      <x:c r="P4438" s="9" t="n">
        <x:v>4230000</x:v>
      </x:c>
      <x:c r="Q4438" s="11" t="n">
        <x:v>0</x:v>
      </x:c>
      <x:c r="R4438" s="8" t="n">
        <x:v>45608</x:v>
      </x:c>
      <x:c r="S4438" s="4" t="str">
        <x:v>Retained</x:v>
      </x:c>
      <x:c r="T4438" s="10" t="n">
        <x:v>0.291946</x:v>
      </x:c>
      <x:c r="U4438" s="4" t="str">
        <x:v>Test</x:v>
      </x:c>
    </x:row>
    <x:row r="4439" ht="34" customHeight="1">
      <x:c r="A4439" s="4" t="str">
        <x:v>RS-04438</x:v>
      </x:c>
      <x:c r="B4439" s="8" t="n">
        <x:v>45549</x:v>
      </x:c>
      <x:c r="C4439" s="4" t="str">
        <x:v>PRJ-018</x:v>
      </x:c>
      <x:c r="D4439" s="4" t="str">
        <x:v>Apartment</x:v>
      </x:c>
      <x:c r="E4439" s="4" t="str">
        <x:v>Enquiry</x:v>
      </x:c>
      <x:c r="F4439" s="4" t="str">
        <x:v>CUS-04438</x:v>
      </x:c>
      <x:c r="G4439" s="4" t="str">
        <x:v>UNIT-04438</x:v>
      </x:c>
      <x:c r="H4439" s="9" t="n">
        <x:v>10100000</x:v>
      </x:c>
      <x:c r="I4439" s="10" t="n">
        <x:v>0.01</x:v>
      </x:c>
      <x:c r="J4439" s="11" t="n">
        <x:v>4</x:v>
      </x:c>
      <x:c r="K4439" s="11" t="n">
        <x:v>6</x:v>
      </x:c>
      <x:c r="L4439" s="11" t="n">
        <x:v>1</x:v>
      </x:c>
      <x:c r="M4439" s="9" t="n">
        <x:f>ROUND(H4439*(1-I4439),2)</x:f>
        <x:v>9999000</x:v>
      </x:c>
      <x:c r="N4439" s="4" t="str">
        <x:v>Sales manager</x:v>
      </x:c>
      <x:c r="O4439" s="4"/>
      <x:c r="P4439" s="9" t="n">
        <x:v>0</x:v>
      </x:c>
      <x:c r="Q4439" s="11" t="n">
        <x:v>0</x:v>
      </x:c>
      <x:c r="R4439" s="8" t="n">
        <x:v>45609</x:v>
      </x:c>
      <x:c r="S4439" s="4" t="str">
        <x:v>Retained</x:v>
      </x:c>
      <x:c r="T4439" s="10" t="n">
        <x:v>0.145299</x:v>
      </x:c>
      <x:c r="U4439" s="4" t="str">
        <x:v>Test</x:v>
      </x:c>
    </x:row>
    <x:row r="4440" ht="34" customHeight="1">
      <x:c r="A4440" s="4" t="str">
        <x:v>RS-04439</x:v>
      </x:c>
      <x:c r="B4440" s="8" t="n">
        <x:v>45550</x:v>
      </x:c>
      <x:c r="C4440" s="4" t="str">
        <x:v>PRJ-019</x:v>
      </x:c>
      <x:c r="D4440" s="4" t="str">
        <x:v>Office</x:v>
      </x:c>
      <x:c r="E4440" s="4" t="str">
        <x:v>Booked</x:v>
      </x:c>
      <x:c r="F4440" s="4" t="str">
        <x:v>CUS-04439</x:v>
      </x:c>
      <x:c r="G4440" s="4" t="str">
        <x:v>UNIT-04439</x:v>
      </x:c>
      <x:c r="H4440" s="9" t="n">
        <x:v>24100000</x:v>
      </x:c>
      <x:c r="I4440" s="10" t="n">
        <x:v>0.04</x:v>
      </x:c>
      <x:c r="J4440" s="11" t="n">
        <x:v>9</x:v>
      </x:c>
      <x:c r="K4440" s="11" t="n">
        <x:v>8</x:v>
      </x:c>
      <x:c r="L4440" s="11" t="n">
        <x:v>1</x:v>
      </x:c>
      <x:c r="M4440" s="9" t="n">
        <x:f>ROUND(H4440*(1-I4440),2)</x:f>
        <x:v>23136000</x:v>
      </x:c>
      <x:c r="N4440" s="4" t="str">
        <x:v>Sales manager</x:v>
      </x:c>
      <x:c r="O4440" s="4" t="str">
        <x:v>BOOK-04439</x:v>
      </x:c>
      <x:c r="P4440" s="9" t="n">
        <x:v>23136000</x:v>
      </x:c>
      <x:c r="Q4440" s="11" t="n">
        <x:v>0</x:v>
      </x:c>
      <x:c r="R4440" s="8" t="n">
        <x:v>45610</x:v>
      </x:c>
      <x:c r="S4440" s="4" t="str">
        <x:v>Retained</x:v>
      </x:c>
      <x:c r="T4440" s="10" t="n">
        <x:v>0.310195</x:v>
      </x:c>
      <x:c r="U4440" s="4" t="str">
        <x:v>Test</x:v>
      </x:c>
    </x:row>
    <x:row r="4441" ht="34" customHeight="1">
      <x:c r="A4441" s="4" t="str">
        <x:v>RS-04440</x:v>
      </x:c>
      <x:c r="B4441" s="8" t="n">
        <x:v>45551</x:v>
      </x:c>
      <x:c r="C4441" s="4" t="str">
        <x:v>PRJ-020</x:v>
      </x:c>
      <x:c r="D4441" s="4" t="str">
        <x:v>Apartment</x:v>
      </x:c>
      <x:c r="E4441" s="4" t="str">
        <x:v>Handed over</x:v>
      </x:c>
      <x:c r="F4441" s="4" t="str">
        <x:v>CUS-04440</x:v>
      </x:c>
      <x:c r="G4441" s="4" t="str">
        <x:v>UNIT-04440</x:v>
      </x:c>
      <x:c r="H4441" s="9" t="n">
        <x:v>14600000</x:v>
      </x:c>
      <x:c r="I4441" s="10" t="n">
        <x:v>0.08</x:v>
      </x:c>
      <x:c r="J4441" s="11" t="n">
        <x:v>5</x:v>
      </x:c>
      <x:c r="K4441" s="11" t="n">
        <x:v>2</x:v>
      </x:c>
      <x:c r="L4441" s="11" t="n">
        <x:v>1</x:v>
      </x:c>
      <x:c r="M4441" s="9" t="n">
        <x:f>ROUND(H4441*(1-I4441),2)</x:f>
        <x:v>13432000</x:v>
      </x:c>
      <x:c r="N4441" s="4" t="str">
        <x:v>Sales head</x:v>
      </x:c>
      <x:c r="O4441" s="4" t="str">
        <x:v>BOOK-04440</x:v>
      </x:c>
      <x:c r="P4441" s="9" t="n">
        <x:v>13432000</x:v>
      </x:c>
      <x:c r="Q4441" s="11" t="n">
        <x:v>0</x:v>
      </x:c>
      <x:c r="R4441" s="8" t="n">
        <x:v>45611</x:v>
      </x:c>
      <x:c r="S4441" s="4" t="str">
        <x:v>Retained</x:v>
      </x:c>
      <x:c r="T4441" s="10" t="n">
        <x:v>0.291946</x:v>
      </x:c>
      <x:c r="U4441" s="4" t="str">
        <x:v>Test</x:v>
      </x:c>
    </x:row>
    <x:row r="4442" ht="34" customHeight="1">
      <x:c r="A4442" s="4" t="str">
        <x:v>RS-04441</x:v>
      </x:c>
      <x:c r="B4442" s="8" t="n">
        <x:v>45552</x:v>
      </x:c>
      <x:c r="C4442" s="4" t="str">
        <x:v>PRJ-001</x:v>
      </x:c>
      <x:c r="D4442" s="4" t="str">
        <x:v>Office</x:v>
      </x:c>
      <x:c r="E4442" s="4" t="str">
        <x:v>Agreement signed</x:v>
      </x:c>
      <x:c r="F4442" s="4" t="str">
        <x:v>CUS-04441</x:v>
      </x:c>
      <x:c r="G4442" s="4" t="str">
        <x:v>UNIT-04441</x:v>
      </x:c>
      <x:c r="H4442" s="9" t="n">
        <x:v>6800000</x:v>
      </x:c>
      <x:c r="I4442" s="10" t="n">
        <x:v>0.05</x:v>
      </x:c>
      <x:c r="J4442" s="11" t="n">
        <x:v>8</x:v>
      </x:c>
      <x:c r="K4442" s="11" t="n">
        <x:v>8</x:v>
      </x:c>
      <x:c r="L4442" s="11" t="n">
        <x:v>0</x:v>
      </x:c>
      <x:c r="M4442" s="9" t="n">
        <x:f>ROUND(H4442*(1-I4442),2)</x:f>
        <x:v>6460000</x:v>
      </x:c>
      <x:c r="N4442" s="4" t="str">
        <x:v>Sales manager</x:v>
      </x:c>
      <x:c r="O4442" s="4" t="str">
        <x:v>BOOK-04441</x:v>
      </x:c>
      <x:c r="P4442" s="9" t="n">
        <x:v>1615000</x:v>
      </x:c>
      <x:c r="Q4442" s="11" t="n">
        <x:v>0</x:v>
      </x:c>
      <x:c r="R4442" s="8" t="n">
        <x:v>45612</x:v>
      </x:c>
      <x:c r="S4442" s="4" t="str">
        <x:v>Retained</x:v>
      </x:c>
      <x:c r="T4442" s="10" t="n">
        <x:v>0.310195</x:v>
      </x:c>
      <x:c r="U4442" s="4" t="str">
        <x:v>Test</x:v>
      </x:c>
    </x:row>
    <x:row r="4443" ht="34" customHeight="1">
      <x:c r="A4443" s="4" t="str">
        <x:v>RS-04442</x:v>
      </x:c>
      <x:c r="B4443" s="8" t="n">
        <x:v>45553</x:v>
      </x:c>
      <x:c r="C4443" s="4" t="str">
        <x:v>PRJ-002</x:v>
      </x:c>
      <x:c r="D4443" s="4" t="str">
        <x:v>Retail</x:v>
      </x:c>
      <x:c r="E4443" s="4" t="str">
        <x:v>Enquiry</x:v>
      </x:c>
      <x:c r="F4443" s="4" t="str">
        <x:v>CUS-04442</x:v>
      </x:c>
      <x:c r="G4443" s="4" t="str">
        <x:v>UNIT-04442</x:v>
      </x:c>
      <x:c r="H4443" s="9" t="n">
        <x:v>7600000</x:v>
      </x:c>
      <x:c r="I4443" s="10" t="n">
        <x:v>0.05</x:v>
      </x:c>
      <x:c r="J4443" s="11" t="n">
        <x:v>9</x:v>
      </x:c>
      <x:c r="K4443" s="11" t="n">
        <x:v>4</x:v>
      </x:c>
      <x:c r="L4443" s="11" t="n">
        <x:v>1</x:v>
      </x:c>
      <x:c r="M4443" s="9" t="n">
        <x:f>ROUND(H4443*(1-I4443),2)</x:f>
        <x:v>7220000</x:v>
      </x:c>
      <x:c r="N4443" s="4" t="str">
        <x:v>Sales manager</x:v>
      </x:c>
      <x:c r="O4443" s="4"/>
      <x:c r="P4443" s="9" t="n">
        <x:v>0</x:v>
      </x:c>
      <x:c r="Q4443" s="11" t="n">
        <x:v>0</x:v>
      </x:c>
      <x:c r="R4443" s="8" t="n">
        <x:v>45613</x:v>
      </x:c>
      <x:c r="S4443" s="4" t="str">
        <x:v>Retained</x:v>
      </x:c>
      <x:c r="T4443" s="10" t="n">
        <x:v>0.310195</x:v>
      </x:c>
      <x:c r="U4443" s="4" t="str">
        <x:v>Test</x:v>
      </x:c>
    </x:row>
    <x:row r="4444" ht="34" customHeight="1">
      <x:c r="A4444" s="4" t="str">
        <x:v>RS-04443</x:v>
      </x:c>
      <x:c r="B4444" s="8" t="n">
        <x:v>45554</x:v>
      </x:c>
      <x:c r="C4444" s="4" t="str">
        <x:v>PRJ-003</x:v>
      </x:c>
      <x:c r="D4444" s="4" t="str">
        <x:v>Office</x:v>
      </x:c>
      <x:c r="E4444" s="4" t="str">
        <x:v>Handed over</x:v>
      </x:c>
      <x:c r="F4444" s="4" t="str">
        <x:v>CUS-04443</x:v>
      </x:c>
      <x:c r="G4444" s="4" t="str">
        <x:v>UNIT-04443</x:v>
      </x:c>
      <x:c r="H4444" s="9" t="n">
        <x:v>3600000</x:v>
      </x:c>
      <x:c r="I4444" s="10" t="n">
        <x:v>0.03</x:v>
      </x:c>
      <x:c r="J4444" s="11" t="n">
        <x:v>1</x:v>
      </x:c>
      <x:c r="K4444" s="11" t="n">
        <x:v>9</x:v>
      </x:c>
      <x:c r="L4444" s="11" t="n">
        <x:v>1</x:v>
      </x:c>
      <x:c r="M4444" s="9" t="n">
        <x:f>ROUND(H4444*(1-I4444),2)</x:f>
        <x:v>3492000</x:v>
      </x:c>
      <x:c r="N4444" s="4" t="str">
        <x:v>Sales manager</x:v>
      </x:c>
      <x:c r="O4444" s="4" t="str">
        <x:v>BOOK-04443</x:v>
      </x:c>
      <x:c r="P4444" s="9" t="n">
        <x:v>349200</x:v>
      </x:c>
      <x:c r="Q4444" s="11" t="n">
        <x:v>0</x:v>
      </x:c>
      <x:c r="R4444" s="8" t="n">
        <x:v>45614</x:v>
      </x:c>
      <x:c r="S4444" s="4" t="str">
        <x:v>Retained</x:v>
      </x:c>
      <x:c r="T4444" s="10" t="n">
        <x:v>0.072165</x:v>
      </x:c>
      <x:c r="U4444" s="4" t="str">
        <x:v>Test</x:v>
      </x:c>
    </x:row>
    <x:row r="4445" ht="34" customHeight="1">
      <x:c r="A4445" s="4" t="str">
        <x:v>RS-04444</x:v>
      </x:c>
      <x:c r="B4445" s="8" t="n">
        <x:v>45555</x:v>
      </x:c>
      <x:c r="C4445" s="4" t="str">
        <x:v>PRJ-004</x:v>
      </x:c>
      <x:c r="D4445" s="4" t="str">
        <x:v>Villa</x:v>
      </x:c>
      <x:c r="E4445" s="4" t="str">
        <x:v>Booked</x:v>
      </x:c>
      <x:c r="F4445" s="4" t="str">
        <x:v>CUS-04444</x:v>
      </x:c>
      <x:c r="G4445" s="4" t="str">
        <x:v>UNIT-04444</x:v>
      </x:c>
      <x:c r="H4445" s="9" t="n">
        <x:v>4000000</x:v>
      </x:c>
      <x:c r="I4445" s="10" t="n">
        <x:v>0.08</x:v>
      </x:c>
      <x:c r="J4445" s="11" t="n">
        <x:v>3</x:v>
      </x:c>
      <x:c r="K4445" s="11" t="n">
        <x:v>1</x:v>
      </x:c>
      <x:c r="L4445" s="11" t="n">
        <x:v>1</x:v>
      </x:c>
      <x:c r="M4445" s="9" t="n">
        <x:f>ROUND(H4445*(1-I4445),2)</x:f>
        <x:v>3680000</x:v>
      </x:c>
      <x:c r="N4445" s="4" t="str">
        <x:v>Sales head</x:v>
      </x:c>
      <x:c r="O4445" s="4" t="str">
        <x:v>BOOK-04444</x:v>
      </x:c>
      <x:c r="P4445" s="9" t="n">
        <x:v>3680000</x:v>
      </x:c>
      <x:c r="Q4445" s="11" t="n">
        <x:v>0</x:v>
      </x:c>
      <x:c r="R4445" s="8" t="n">
        <x:v>45615</x:v>
      </x:c>
      <x:c r="S4445" s="4" t="str">
        <x:v>Retained</x:v>
      </x:c>
      <x:c r="T4445" s="10" t="n">
        <x:v>0.204152</x:v>
      </x:c>
      <x:c r="U4445" s="4" t="str">
        <x:v>Test</x:v>
      </x:c>
    </x:row>
    <x:row r="4446" ht="34" customHeight="1">
      <x:c r="A4446" s="4" t="str">
        <x:v>RS-04445</x:v>
      </x:c>
      <x:c r="B4446" s="8" t="n">
        <x:v>45556</x:v>
      </x:c>
      <x:c r="C4446" s="4" t="str">
        <x:v>PRJ-005</x:v>
      </x:c>
      <x:c r="D4446" s="4" t="str">
        <x:v>Office</x:v>
      </x:c>
      <x:c r="E4446" s="4" t="str">
        <x:v>Reserved</x:v>
      </x:c>
      <x:c r="F4446" s="4" t="str">
        <x:v>CUS-04445</x:v>
      </x:c>
      <x:c r="G4446" s="4" t="str">
        <x:v>UNIT-04445</x:v>
      </x:c>
      <x:c r="H4446" s="9" t="n">
        <x:v>12800000</x:v>
      </x:c>
      <x:c r="I4446" s="10" t="n">
        <x:v>0.04</x:v>
      </x:c>
      <x:c r="J4446" s="11" t="n">
        <x:v>11</x:v>
      </x:c>
      <x:c r="K4446" s="11" t="n">
        <x:v>7</x:v>
      </x:c>
      <x:c r="L4446" s="11" t="n">
        <x:v>1</x:v>
      </x:c>
      <x:c r="M4446" s="9" t="n">
        <x:f>ROUND(H4446*(1-I4446),2)</x:f>
        <x:v>12288000</x:v>
      </x:c>
      <x:c r="N4446" s="4" t="str">
        <x:v>Sales manager</x:v>
      </x:c>
      <x:c r="O4446" s="4"/>
      <x:c r="P4446" s="9" t="n">
        <x:v>0</x:v>
      </x:c>
      <x:c r="Q4446" s="11" t="n">
        <x:v>1</x:v>
      </x:c>
      <x:c r="R4446" s="8" t="n">
        <x:v>45616</x:v>
      </x:c>
      <x:c r="S4446" s="4" t="str">
        <x:v>Lost / cancelled</x:v>
      </x:c>
      <x:c r="T4446" s="10" t="n">
        <x:v>0.351536</x:v>
      </x:c>
      <x:c r="U4446" s="4" t="str">
        <x:v>Test</x:v>
      </x:c>
    </x:row>
    <x:row r="4447" ht="34" customHeight="1">
      <x:c r="A4447" s="4" t="str">
        <x:v>RS-04446</x:v>
      </x:c>
      <x:c r="B4447" s="8" t="n">
        <x:v>45557</x:v>
      </x:c>
      <x:c r="C4447" s="4" t="str">
        <x:v>PRJ-006</x:v>
      </x:c>
      <x:c r="D4447" s="4" t="str">
        <x:v>Retail</x:v>
      </x:c>
      <x:c r="E4447" s="4" t="str">
        <x:v>Handed over</x:v>
      </x:c>
      <x:c r="F4447" s="4" t="str">
        <x:v>CUS-04446</x:v>
      </x:c>
      <x:c r="G4447" s="4" t="str">
        <x:v>UNIT-04446</x:v>
      </x:c>
      <x:c r="H4447" s="9" t="n">
        <x:v>16300000</x:v>
      </x:c>
      <x:c r="I4447" s="10" t="n">
        <x:v>0.09</x:v>
      </x:c>
      <x:c r="J4447" s="11" t="n">
        <x:v>5</x:v>
      </x:c>
      <x:c r="K4447" s="11" t="n">
        <x:v>3</x:v>
      </x:c>
      <x:c r="L4447" s="11" t="n">
        <x:v>1</x:v>
      </x:c>
      <x:c r="M4447" s="9" t="n">
        <x:f>ROUND(H4447*(1-I4447),2)</x:f>
        <x:v>14833000</x:v>
      </x:c>
      <x:c r="N4447" s="4" t="str">
        <x:v>Sales head</x:v>
      </x:c>
      <x:c r="O4447" s="4" t="str">
        <x:v>BOOK-04446</x:v>
      </x:c>
      <x:c r="P4447" s="9" t="n">
        <x:v>1483300</x:v>
      </x:c>
      <x:c r="Q4447" s="11" t="n">
        <x:v>0</x:v>
      </x:c>
      <x:c r="R4447" s="8" t="n">
        <x:v>45617</x:v>
      </x:c>
      <x:c r="S4447" s="4" t="str">
        <x:v>Retained</x:v>
      </x:c>
      <x:c r="T4447" s="10" t="n">
        <x:v>0.291946</x:v>
      </x:c>
      <x:c r="U4447" s="4" t="str">
        <x:v>Test</x:v>
      </x:c>
    </x:row>
    <x:row r="4448" ht="34" customHeight="1">
      <x:c r="A4448" s="4" t="str">
        <x:v>RS-04447</x:v>
      </x:c>
      <x:c r="B4448" s="8" t="n">
        <x:v>45558</x:v>
      </x:c>
      <x:c r="C4448" s="4" t="str">
        <x:v>PRJ-007</x:v>
      </x:c>
      <x:c r="D4448" s="4" t="str">
        <x:v>Office</x:v>
      </x:c>
      <x:c r="E4448" s="4" t="str">
        <x:v>Agreement signed</x:v>
      </x:c>
      <x:c r="F4448" s="4" t="str">
        <x:v>CUS-04447</x:v>
      </x:c>
      <x:c r="G4448" s="4" t="str">
        <x:v>UNIT-04447</x:v>
      </x:c>
      <x:c r="H4448" s="9" t="n">
        <x:v>4100000</x:v>
      </x:c>
      <x:c r="I4448" s="10" t="n">
        <x:v>0.09</x:v>
      </x:c>
      <x:c r="J4448" s="11" t="n">
        <x:v>0</x:v>
      </x:c>
      <x:c r="K4448" s="11" t="n">
        <x:v>9</x:v>
      </x:c>
      <x:c r="L4448" s="11" t="n">
        <x:v>0</x:v>
      </x:c>
      <x:c r="M4448" s="9" t="n">
        <x:f>ROUND(H4448*(1-I4448),2)</x:f>
        <x:v>3731000</x:v>
      </x:c>
      <x:c r="N4448" s="4" t="str">
        <x:v>Sales head</x:v>
      </x:c>
      <x:c r="O4448" s="4" t="str">
        <x:v>BOOK-04447</x:v>
      </x:c>
      <x:c r="P4448" s="9" t="n">
        <x:v>932750</x:v>
      </x:c>
      <x:c r="Q4448" s="11" t="n">
        <x:v>0</x:v>
      </x:c>
      <x:c r="R4448" s="8" t="n">
        <x:v>45618</x:v>
      </x:c>
      <x:c r="S4448" s="4" t="str">
        <x:v>Retained</x:v>
      </x:c>
      <x:c r="T4448" s="10" t="n">
        <x:v>0.145833</x:v>
      </x:c>
      <x:c r="U4448" s="4" t="str">
        <x:v>Test</x:v>
      </x:c>
    </x:row>
    <x:row r="4449" ht="34" customHeight="1">
      <x:c r="A4449" s="4" t="str">
        <x:v>RS-04448</x:v>
      </x:c>
      <x:c r="B4449" s="8" t="n">
        <x:v>45559</x:v>
      </x:c>
      <x:c r="C4449" s="4" t="str">
        <x:v>PRJ-008</x:v>
      </x:c>
      <x:c r="D4449" s="4" t="str">
        <x:v>Apartment</x:v>
      </x:c>
      <x:c r="E4449" s="4" t="str">
        <x:v>Booked</x:v>
      </x:c>
      <x:c r="F4449" s="4" t="str">
        <x:v>CUS-04448</x:v>
      </x:c>
      <x:c r="G4449" s="4" t="str">
        <x:v>UNIT-04448</x:v>
      </x:c>
      <x:c r="H4449" s="9" t="n">
        <x:v>9700000</x:v>
      </x:c>
      <x:c r="I4449" s="10" t="n">
        <x:v>0.01</x:v>
      </x:c>
      <x:c r="J4449" s="11" t="n">
        <x:v>6</x:v>
      </x:c>
      <x:c r="K4449" s="11" t="n">
        <x:v>10</x:v>
      </x:c>
      <x:c r="L4449" s="11" t="n">
        <x:v>1</x:v>
      </x:c>
      <x:c r="M4449" s="9" t="n">
        <x:f>ROUND(H4449*(1-I4449),2)</x:f>
        <x:v>9603000</x:v>
      </x:c>
      <x:c r="N4449" s="4" t="str">
        <x:v>Sales manager</x:v>
      </x:c>
      <x:c r="O4449" s="4" t="str">
        <x:v>BOOK-04448</x:v>
      </x:c>
      <x:c r="P4449" s="9" t="n">
        <x:v>9603000</x:v>
      </x:c>
      <x:c r="Q4449" s="11" t="n">
        <x:v>0</x:v>
      </x:c>
      <x:c r="R4449" s="8" t="n">
        <x:v>45619</x:v>
      </x:c>
      <x:c r="S4449" s="4" t="str">
        <x:v>Retained</x:v>
      </x:c>
      <x:c r="T4449" s="10" t="n">
        <x:v>0.145299</x:v>
      </x:c>
      <x:c r="U4449" s="4" t="str">
        <x:v>Test</x:v>
      </x:c>
    </x:row>
    <x:row r="4450" ht="34" customHeight="1">
      <x:c r="A4450" s="4" t="str">
        <x:v>RS-04449</x:v>
      </x:c>
      <x:c r="B4450" s="8" t="n">
        <x:v>45560</x:v>
      </x:c>
      <x:c r="C4450" s="4" t="str">
        <x:v>PRJ-009</x:v>
      </x:c>
      <x:c r="D4450" s="4" t="str">
        <x:v>Retail</x:v>
      </x:c>
      <x:c r="E4450" s="4" t="str">
        <x:v>Booked</x:v>
      </x:c>
      <x:c r="F4450" s="4" t="str">
        <x:v>CUS-04449</x:v>
      </x:c>
      <x:c r="G4450" s="4" t="str">
        <x:v>UNIT-04449</x:v>
      </x:c>
      <x:c r="H4450" s="9" t="n">
        <x:v>6700000</x:v>
      </x:c>
      <x:c r="I4450" s="10" t="n">
        <x:v>0.04</x:v>
      </x:c>
      <x:c r="J4450" s="11" t="n">
        <x:v>5</x:v>
      </x:c>
      <x:c r="K4450" s="11" t="n">
        <x:v>1</x:v>
      </x:c>
      <x:c r="L4450" s="11" t="n">
        <x:v>0</x:v>
      </x:c>
      <x:c r="M4450" s="9" t="n">
        <x:f>ROUND(H4450*(1-I4450),2)</x:f>
        <x:v>6432000</x:v>
      </x:c>
      <x:c r="N4450" s="4" t="str">
        <x:v>Sales manager</x:v>
      </x:c>
      <x:c r="O4450" s="4" t="str">
        <x:v>BOOK-04449</x:v>
      </x:c>
      <x:c r="P4450" s="9" t="n">
        <x:v>643200</x:v>
      </x:c>
      <x:c r="Q4450" s="11" t="n">
        <x:v>0</x:v>
      </x:c>
      <x:c r="R4450" s="8" t="n">
        <x:v>45620</x:v>
      </x:c>
      <x:c r="S4450" s="4" t="str">
        <x:v>Retained</x:v>
      </x:c>
      <x:c r="T4450" s="10" t="n">
        <x:v>0.226277</x:v>
      </x:c>
      <x:c r="U4450" s="4" t="str">
        <x:v>Test</x:v>
      </x:c>
    </x:row>
    <x:row r="4451" ht="34" customHeight="1">
      <x:c r="A4451" s="4" t="str">
        <x:v>RS-04450</x:v>
      </x:c>
      <x:c r="B4451" s="8" t="n">
        <x:v>45561</x:v>
      </x:c>
      <x:c r="C4451" s="4" t="str">
        <x:v>PRJ-010</x:v>
      </x:c>
      <x:c r="D4451" s="4" t="str">
        <x:v>Villa</x:v>
      </x:c>
      <x:c r="E4451" s="4" t="str">
        <x:v>Booked</x:v>
      </x:c>
      <x:c r="F4451" s="4" t="str">
        <x:v>CUS-04450</x:v>
      </x:c>
      <x:c r="G4451" s="4" t="str">
        <x:v>UNIT-04450</x:v>
      </x:c>
      <x:c r="H4451" s="9" t="n">
        <x:v>10000000</x:v>
      </x:c>
      <x:c r="I4451" s="10" t="n">
        <x:v>0.06</x:v>
      </x:c>
      <x:c r="J4451" s="11" t="n">
        <x:v>8</x:v>
      </x:c>
      <x:c r="K4451" s="11" t="n">
        <x:v>6</x:v>
      </x:c>
      <x:c r="L4451" s="11" t="n">
        <x:v>1</x:v>
      </x:c>
      <x:c r="M4451" s="9" t="n">
        <x:f>ROUND(H4451*(1-I4451),2)</x:f>
        <x:v>9400000</x:v>
      </x:c>
      <x:c r="N4451" s="4" t="str">
        <x:v>Sales manager</x:v>
      </x:c>
      <x:c r="O4451" s="4" t="str">
        <x:v>BOOK-04450</x:v>
      </x:c>
      <x:c r="P4451" s="9" t="n">
        <x:v>4700000</x:v>
      </x:c>
      <x:c r="Q4451" s="11" t="n">
        <x:v>0</x:v>
      </x:c>
      <x:c r="R4451" s="8" t="n">
        <x:v>45621</x:v>
      </x:c>
      <x:c r="S4451" s="4" t="str">
        <x:v>Retained</x:v>
      </x:c>
      <x:c r="T4451" s="10" t="n">
        <x:v>0.310195</x:v>
      </x:c>
      <x:c r="U4451" s="4" t="str">
        <x:v>Test</x:v>
      </x:c>
    </x:row>
    <x:row r="4452" ht="34" customHeight="1">
      <x:c r="A4452" s="4" t="str">
        <x:v>RS-04451</x:v>
      </x:c>
      <x:c r="B4452" s="8" t="n">
        <x:v>45562</x:v>
      </x:c>
      <x:c r="C4452" s="4" t="str">
        <x:v>PRJ-011</x:v>
      </x:c>
      <x:c r="D4452" s="4" t="str">
        <x:v>Retail</x:v>
      </x:c>
      <x:c r="E4452" s="4" t="str">
        <x:v>Agreement signed</x:v>
      </x:c>
      <x:c r="F4452" s="4" t="str">
        <x:v>CUS-04451</x:v>
      </x:c>
      <x:c r="G4452" s="4" t="str">
        <x:v>UNIT-04451</x:v>
      </x:c>
      <x:c r="H4452" s="9" t="n">
        <x:v>11800000</x:v>
      </x:c>
      <x:c r="I4452" s="10" t="n">
        <x:v>0.02</x:v>
      </x:c>
      <x:c r="J4452" s="11" t="n">
        <x:v>1</x:v>
      </x:c>
      <x:c r="K4452" s="11" t="n">
        <x:v>4</x:v>
      </x:c>
      <x:c r="L4452" s="11" t="n">
        <x:v>1</x:v>
      </x:c>
      <x:c r="M4452" s="9" t="n">
        <x:f>ROUND(H4452*(1-I4452),2)</x:f>
        <x:v>11564000</x:v>
      </x:c>
      <x:c r="N4452" s="4" t="str">
        <x:v>Sales manager</x:v>
      </x:c>
      <x:c r="O4452" s="4" t="str">
        <x:v>BOOK-04451</x:v>
      </x:c>
      <x:c r="P4452" s="9" t="n">
        <x:v>1156400</x:v>
      </x:c>
      <x:c r="Q4452" s="11" t="n">
        <x:v>0</x:v>
      </x:c>
      <x:c r="R4452" s="8" t="n">
        <x:v>45622</x:v>
      </x:c>
      <x:c r="S4452" s="4" t="str">
        <x:v>Retained</x:v>
      </x:c>
      <x:c r="T4452" s="10" t="n">
        <x:v>0.072165</x:v>
      </x:c>
      <x:c r="U4452" s="4" t="str">
        <x:v>Test</x:v>
      </x:c>
    </x:row>
    <x:row r="4453" ht="34" customHeight="1">
      <x:c r="A4453" s="4" t="str">
        <x:v>RS-04452</x:v>
      </x:c>
      <x:c r="B4453" s="8" t="n">
        <x:v>45563</x:v>
      </x:c>
      <x:c r="C4453" s="4" t="str">
        <x:v>PRJ-012</x:v>
      </x:c>
      <x:c r="D4453" s="4" t="str">
        <x:v>Office</x:v>
      </x:c>
      <x:c r="E4453" s="4" t="str">
        <x:v>Enquiry</x:v>
      </x:c>
      <x:c r="F4453" s="4" t="str">
        <x:v>CUS-04452</x:v>
      </x:c>
      <x:c r="G4453" s="4" t="str">
        <x:v>UNIT-04452</x:v>
      </x:c>
      <x:c r="H4453" s="9" t="n">
        <x:v>18500000</x:v>
      </x:c>
      <x:c r="I4453" s="10" t="n">
        <x:v>0.05</x:v>
      </x:c>
      <x:c r="J4453" s="11" t="n">
        <x:v>0</x:v>
      </x:c>
      <x:c r="K4453" s="11" t="n">
        <x:v>10</x:v>
      </x:c>
      <x:c r="L4453" s="11" t="n">
        <x:v>0</x:v>
      </x:c>
      <x:c r="M4453" s="9" t="n">
        <x:f>ROUND(H4453*(1-I4453),2)</x:f>
        <x:v>17575000</x:v>
      </x:c>
      <x:c r="N4453" s="4" t="str">
        <x:v>Sales manager</x:v>
      </x:c>
      <x:c r="O4453" s="4"/>
      <x:c r="P4453" s="9" t="n">
        <x:v>0</x:v>
      </x:c>
      <x:c r="Q4453" s="11" t="n">
        <x:v>0</x:v>
      </x:c>
      <x:c r="R4453" s="8" t="n">
        <x:v>45623</x:v>
      </x:c>
      <x:c r="S4453" s="4" t="str">
        <x:v>Retained</x:v>
      </x:c>
      <x:c r="T4453" s="10" t="n">
        <x:v>0.204152</x:v>
      </x:c>
      <x:c r="U4453" s="4" t="str">
        <x:v>Test</x:v>
      </x:c>
    </x:row>
    <x:row r="4454" ht="34" customHeight="1">
      <x:c r="A4454" s="4" t="str">
        <x:v>RS-04453</x:v>
      </x:c>
      <x:c r="B4454" s="8" t="n">
        <x:v>45536</x:v>
      </x:c>
      <x:c r="C4454" s="4" t="str">
        <x:v>PRJ-013</x:v>
      </x:c>
      <x:c r="D4454" s="4" t="str">
        <x:v>Office</x:v>
      </x:c>
      <x:c r="E4454" s="4" t="str">
        <x:v>Booked</x:v>
      </x:c>
      <x:c r="F4454" s="4" t="str">
        <x:v>CUS-04453</x:v>
      </x:c>
      <x:c r="G4454" s="4" t="str">
        <x:v>UNIT-04453</x:v>
      </x:c>
      <x:c r="H4454" s="9" t="n">
        <x:v>12200000</x:v>
      </x:c>
      <x:c r="I4454" s="10" t="n">
        <x:v>0.12</x:v>
      </x:c>
      <x:c r="J4454" s="11" t="n">
        <x:v>5</x:v>
      </x:c>
      <x:c r="K4454" s="11" t="n">
        <x:v>5</x:v>
      </x:c>
      <x:c r="L4454" s="11" t="n">
        <x:v>1</x:v>
      </x:c>
      <x:c r="M4454" s="9" t="n">
        <x:f>ROUND(H4454*(1-I4454),2)</x:f>
        <x:v>10736000</x:v>
      </x:c>
      <x:c r="N4454" s="4" t="str">
        <x:v>Sales head</x:v>
      </x:c>
      <x:c r="O4454" s="4" t="str">
        <x:v>BOOK-04453</x:v>
      </x:c>
      <x:c r="P4454" s="9" t="n">
        <x:v>2684000</x:v>
      </x:c>
      <x:c r="Q4454" s="11" t="n">
        <x:v>0</x:v>
      </x:c>
      <x:c r="R4454" s="8" t="n">
        <x:v>45596</x:v>
      </x:c>
      <x:c r="S4454" s="4" t="str">
        <x:v>Retained</x:v>
      </x:c>
      <x:c r="T4454" s="10" t="n">
        <x:v>0.291946</x:v>
      </x:c>
      <x:c r="U4454" s="4" t="str">
        <x:v>Test</x:v>
      </x:c>
    </x:row>
    <x:row r="4455" ht="34" customHeight="1">
      <x:c r="A4455" s="4" t="str">
        <x:v>RS-04454</x:v>
      </x:c>
      <x:c r="B4455" s="8" t="n">
        <x:v>45537</x:v>
      </x:c>
      <x:c r="C4455" s="4" t="str">
        <x:v>PRJ-014</x:v>
      </x:c>
      <x:c r="D4455" s="4" t="str">
        <x:v>Apartment</x:v>
      </x:c>
      <x:c r="E4455" s="4" t="str">
        <x:v>Enquiry</x:v>
      </x:c>
      <x:c r="F4455" s="4" t="str">
        <x:v>CUS-04454</x:v>
      </x:c>
      <x:c r="G4455" s="4" t="str">
        <x:v>UNIT-04454</x:v>
      </x:c>
      <x:c r="H4455" s="9" t="n">
        <x:v>11500000</x:v>
      </x:c>
      <x:c r="I4455" s="10" t="n">
        <x:v>0.08</x:v>
      </x:c>
      <x:c r="J4455" s="11" t="n">
        <x:v>5</x:v>
      </x:c>
      <x:c r="K4455" s="11" t="n">
        <x:v>6</x:v>
      </x:c>
      <x:c r="L4455" s="11" t="n">
        <x:v>1</x:v>
      </x:c>
      <x:c r="M4455" s="9" t="n">
        <x:f>ROUND(H4455*(1-I4455),2)</x:f>
        <x:v>10580000</x:v>
      </x:c>
      <x:c r="N4455" s="4" t="str">
        <x:v>Sales head</x:v>
      </x:c>
      <x:c r="O4455" s="4"/>
      <x:c r="P4455" s="9" t="n">
        <x:v>0</x:v>
      </x:c>
      <x:c r="Q4455" s="11" t="n">
        <x:v>0</x:v>
      </x:c>
      <x:c r="R4455" s="8" t="n">
        <x:v>45597</x:v>
      </x:c>
      <x:c r="S4455" s="4" t="str">
        <x:v>Retained</x:v>
      </x:c>
      <x:c r="T4455" s="10" t="n">
        <x:v>0.291946</x:v>
      </x:c>
      <x:c r="U4455" s="4" t="str">
        <x:v>Test</x:v>
      </x:c>
    </x:row>
    <x:row r="4456" ht="34" customHeight="1">
      <x:c r="A4456" s="4" t="str">
        <x:v>RS-04455</x:v>
      </x:c>
      <x:c r="B4456" s="8" t="n">
        <x:v>45538</x:v>
      </x:c>
      <x:c r="C4456" s="4" t="str">
        <x:v>PRJ-015</x:v>
      </x:c>
      <x:c r="D4456" s="4" t="str">
        <x:v>Office</x:v>
      </x:c>
      <x:c r="E4456" s="4" t="str">
        <x:v>Booked</x:v>
      </x:c>
      <x:c r="F4456" s="4" t="str">
        <x:v>CUS-04455</x:v>
      </x:c>
      <x:c r="G4456" s="4" t="str">
        <x:v>UNIT-04455</x:v>
      </x:c>
      <x:c r="H4456" s="9" t="n">
        <x:v>22300000</x:v>
      </x:c>
      <x:c r="I4456" s="10" t="n">
        <x:v>0.07</x:v>
      </x:c>
      <x:c r="J4456" s="11" t="n">
        <x:v>11</x:v>
      </x:c>
      <x:c r="K4456" s="11" t="n">
        <x:v>10</x:v>
      </x:c>
      <x:c r="L4456" s="11" t="n">
        <x:v>0</x:v>
      </x:c>
      <x:c r="M4456" s="9" t="n">
        <x:f>ROUND(H4456*(1-I4456),2)</x:f>
        <x:v>20739000</x:v>
      </x:c>
      <x:c r="N4456" s="4" t="str">
        <x:v>Sales manager</x:v>
      </x:c>
      <x:c r="O4456" s="4" t="str">
        <x:v>BOOK-04455</x:v>
      </x:c>
      <x:c r="P4456" s="9" t="n">
        <x:v>10369500</x:v>
      </x:c>
      <x:c r="Q4456" s="11" t="n">
        <x:v>0</x:v>
      </x:c>
      <x:c r="R4456" s="8" t="n">
        <x:v>45598</x:v>
      </x:c>
      <x:c r="S4456" s="4" t="str">
        <x:v>Retained</x:v>
      </x:c>
      <x:c r="T4456" s="10" t="n">
        <x:v>0.351536</x:v>
      </x:c>
      <x:c r="U4456" s="4" t="str">
        <x:v>Test</x:v>
      </x:c>
    </x:row>
    <x:row r="4457" ht="34" customHeight="1">
      <x:c r="A4457" s="4" t="str">
        <x:v>RS-04456</x:v>
      </x:c>
      <x:c r="B4457" s="8" t="n">
        <x:v>45539</x:v>
      </x:c>
      <x:c r="C4457" s="4" t="str">
        <x:v>PRJ-016</x:v>
      </x:c>
      <x:c r="D4457" s="4" t="str">
        <x:v>Apartment</x:v>
      </x:c>
      <x:c r="E4457" s="4" t="str">
        <x:v>Enquiry</x:v>
      </x:c>
      <x:c r="F4457" s="4" t="str">
        <x:v>CUS-04456</x:v>
      </x:c>
      <x:c r="G4457" s="4" t="str">
        <x:v>UNIT-04456</x:v>
      </x:c>
      <x:c r="H4457" s="9" t="n">
        <x:v>8400000</x:v>
      </x:c>
      <x:c r="I4457" s="10" t="n">
        <x:v>0.05</x:v>
      </x:c>
      <x:c r="J4457" s="11" t="n">
        <x:v>7</x:v>
      </x:c>
      <x:c r="K4457" s="11" t="n">
        <x:v>7</x:v>
      </x:c>
      <x:c r="L4457" s="11" t="n">
        <x:v>0</x:v>
      </x:c>
      <x:c r="M4457" s="9" t="n">
        <x:f>ROUND(H4457*(1-I4457),2)</x:f>
        <x:v>7980000</x:v>
      </x:c>
      <x:c r="N4457" s="4" t="str">
        <x:v>Sales manager</x:v>
      </x:c>
      <x:c r="O4457" s="4"/>
      <x:c r="P4457" s="9" t="n">
        <x:v>0</x:v>
      </x:c>
      <x:c r="Q4457" s="11" t="n">
        <x:v>0</x:v>
      </x:c>
      <x:c r="R4457" s="8" t="n">
        <x:v>45599</x:v>
      </x:c>
      <x:c r="S4457" s="4" t="str">
        <x:v>Retained</x:v>
      </x:c>
      <x:c r="T4457" s="10" t="n">
        <x:v>0.226277</x:v>
      </x:c>
      <x:c r="U4457" s="4" t="str">
        <x:v>Test</x:v>
      </x:c>
    </x:row>
    <x:row r="4458" ht="34" customHeight="1">
      <x:c r="A4458" s="4" t="str">
        <x:v>RS-04457</x:v>
      </x:c>
      <x:c r="B4458" s="8" t="n">
        <x:v>45540</x:v>
      </x:c>
      <x:c r="C4458" s="4" t="str">
        <x:v>PRJ-017</x:v>
      </x:c>
      <x:c r="D4458" s="4" t="str">
        <x:v>Apartment</x:v>
      </x:c>
      <x:c r="E4458" s="4" t="str">
        <x:v>Booked</x:v>
      </x:c>
      <x:c r="F4458" s="4" t="str">
        <x:v>CUS-04457</x:v>
      </x:c>
      <x:c r="G4458" s="4" t="str">
        <x:v>UNIT-04457</x:v>
      </x:c>
      <x:c r="H4458" s="9" t="n">
        <x:v>25000000</x:v>
      </x:c>
      <x:c r="I4458" s="10" t="n">
        <x:v>0.11</x:v>
      </x:c>
      <x:c r="J4458" s="11" t="n">
        <x:v>5</x:v>
      </x:c>
      <x:c r="K4458" s="11" t="n">
        <x:v>9</x:v>
      </x:c>
      <x:c r="L4458" s="11" t="n">
        <x:v>0</x:v>
      </x:c>
      <x:c r="M4458" s="9" t="n">
        <x:f>ROUND(H4458*(1-I4458),2)</x:f>
        <x:v>22250000</x:v>
      </x:c>
      <x:c r="N4458" s="4" t="str">
        <x:v>Sales head</x:v>
      </x:c>
      <x:c r="O4458" s="4" t="str">
        <x:v>BOOK-04457</x:v>
      </x:c>
      <x:c r="P4458" s="9" t="n">
        <x:v>22250000</x:v>
      </x:c>
      <x:c r="Q4458" s="11" t="n">
        <x:v>0</x:v>
      </x:c>
      <x:c r="R4458" s="8" t="n">
        <x:v>45600</x:v>
      </x:c>
      <x:c r="S4458" s="4" t="str">
        <x:v>Retained</x:v>
      </x:c>
      <x:c r="T4458" s="10" t="n">
        <x:v>0.226277</x:v>
      </x:c>
      <x:c r="U4458" s="4" t="str">
        <x:v>Test</x:v>
      </x:c>
    </x:row>
    <x:row r="4459" ht="34" customHeight="1">
      <x:c r="A4459" s="4" t="str">
        <x:v>RS-04458</x:v>
      </x:c>
      <x:c r="B4459" s="8" t="n">
        <x:v>45541</x:v>
      </x:c>
      <x:c r="C4459" s="4" t="str">
        <x:v>PRJ-018</x:v>
      </x:c>
      <x:c r="D4459" s="4" t="str">
        <x:v>Office</x:v>
      </x:c>
      <x:c r="E4459" s="4" t="str">
        <x:v>Cancelled</x:v>
      </x:c>
      <x:c r="F4459" s="4" t="str">
        <x:v>CUS-04458</x:v>
      </x:c>
      <x:c r="G4459" s="4" t="str">
        <x:v>UNIT-04458</x:v>
      </x:c>
      <x:c r="H4459" s="9" t="n">
        <x:v>3500000</x:v>
      </x:c>
      <x:c r="I4459" s="10" t="n">
        <x:v>0.1</x:v>
      </x:c>
      <x:c r="J4459" s="11" t="n">
        <x:v>11</x:v>
      </x:c>
      <x:c r="K4459" s="11" t="n">
        <x:v>4</x:v>
      </x:c>
      <x:c r="L4459" s="11" t="n">
        <x:v>1</x:v>
      </x:c>
      <x:c r="M4459" s="9" t="n">
        <x:f>ROUND(H4459*(1-I4459),2)</x:f>
        <x:v>3150000</x:v>
      </x:c>
      <x:c r="N4459" s="4" t="str">
        <x:v>Sales head</x:v>
      </x:c>
      <x:c r="O4459" s="4"/>
      <x:c r="P4459" s="9" t="n">
        <x:v>0</x:v>
      </x:c>
      <x:c r="Q4459" s="11" t="n">
        <x:v>1</x:v>
      </x:c>
      <x:c r="R4459" s="8" t="n">
        <x:v>45601</x:v>
      </x:c>
      <x:c r="S4459" s="4" t="str">
        <x:v>Lost / cancelled</x:v>
      </x:c>
      <x:c r="T4459" s="10" t="n">
        <x:v>0.351536</x:v>
      </x:c>
      <x:c r="U4459" s="4" t="str">
        <x:v>Test</x:v>
      </x:c>
    </x:row>
    <x:row r="4460" ht="34" customHeight="1">
      <x:c r="A4460" s="4" t="str">
        <x:v>RS-04459</x:v>
      </x:c>
      <x:c r="B4460" s="8" t="n">
        <x:v>45542</x:v>
      </x:c>
      <x:c r="C4460" s="4" t="str">
        <x:v>PRJ-019</x:v>
      </x:c>
      <x:c r="D4460" s="4" t="str">
        <x:v>Retail</x:v>
      </x:c>
      <x:c r="E4460" s="4" t="str">
        <x:v>Handed over</x:v>
      </x:c>
      <x:c r="F4460" s="4" t="str">
        <x:v>CUS-04459</x:v>
      </x:c>
      <x:c r="G4460" s="4" t="str">
        <x:v>UNIT-04459</x:v>
      </x:c>
      <x:c r="H4460" s="9" t="n">
        <x:v>21100000</x:v>
      </x:c>
      <x:c r="I4460" s="10" t="n">
        <x:v>0.05</x:v>
      </x:c>
      <x:c r="J4460" s="11" t="n">
        <x:v>3</x:v>
      </x:c>
      <x:c r="K4460" s="11" t="n">
        <x:v>2</x:v>
      </x:c>
      <x:c r="L4460" s="11" t="n">
        <x:v>1</x:v>
      </x:c>
      <x:c r="M4460" s="9" t="n">
        <x:f>ROUND(H4460*(1-I4460),2)</x:f>
        <x:v>20045000</x:v>
      </x:c>
      <x:c r="N4460" s="4" t="str">
        <x:v>Sales manager</x:v>
      </x:c>
      <x:c r="O4460" s="4" t="str">
        <x:v>BOOK-04459</x:v>
      </x:c>
      <x:c r="P4460" s="9" t="n">
        <x:v>5011250</x:v>
      </x:c>
      <x:c r="Q4460" s="11" t="n">
        <x:v>0</x:v>
      </x:c>
      <x:c r="R4460" s="8" t="n">
        <x:v>45602</x:v>
      </x:c>
      <x:c r="S4460" s="4" t="str">
        <x:v>Retained</x:v>
      </x:c>
      <x:c r="T4460" s="10" t="n">
        <x:v>0.204152</x:v>
      </x:c>
      <x:c r="U4460" s="4" t="str">
        <x:v>Test</x:v>
      </x:c>
    </x:row>
    <x:row r="4461" ht="34" customHeight="1">
      <x:c r="A4461" s="4" t="str">
        <x:v>RS-04460</x:v>
      </x:c>
      <x:c r="B4461" s="8" t="n">
        <x:v>45543</x:v>
      </x:c>
      <x:c r="C4461" s="4" t="str">
        <x:v>PRJ-020</x:v>
      </x:c>
      <x:c r="D4461" s="4" t="str">
        <x:v>Apartment</x:v>
      </x:c>
      <x:c r="E4461" s="4" t="str">
        <x:v>Reserved</x:v>
      </x:c>
      <x:c r="F4461" s="4" t="str">
        <x:v>CUS-04460</x:v>
      </x:c>
      <x:c r="G4461" s="4" t="str">
        <x:v>UNIT-04460</x:v>
      </x:c>
      <x:c r="H4461" s="9" t="n">
        <x:v>18700000</x:v>
      </x:c>
      <x:c r="I4461" s="10" t="n">
        <x:v>0.06</x:v>
      </x:c>
      <x:c r="J4461" s="11" t="n">
        <x:v>10</x:v>
      </x:c>
      <x:c r="K4461" s="11" t="n">
        <x:v>8</x:v>
      </x:c>
      <x:c r="L4461" s="11" t="n">
        <x:v>0</x:v>
      </x:c>
      <x:c r="M4461" s="9" t="n">
        <x:f>ROUND(H4461*(1-I4461),2)</x:f>
        <x:v>17578000</x:v>
      </x:c>
      <x:c r="N4461" s="4" t="str">
        <x:v>Sales manager</x:v>
      </x:c>
      <x:c r="O4461" s="4"/>
      <x:c r="P4461" s="9" t="n">
        <x:v>0</x:v>
      </x:c>
      <x:c r="Q4461" s="11" t="n">
        <x:v>1</x:v>
      </x:c>
      <x:c r="R4461" s="8" t="n">
        <x:v>45603</x:v>
      </x:c>
      <x:c r="S4461" s="4" t="str">
        <x:v>Lost / cancelled</x:v>
      </x:c>
      <x:c r="T4461" s="10" t="n">
        <x:v>0.310195</x:v>
      </x:c>
      <x:c r="U4461" s="4" t="str">
        <x:v>Test</x:v>
      </x:c>
    </x:row>
    <x:row r="4462" ht="34" customHeight="1">
      <x:c r="A4462" s="4" t="str">
        <x:v>RS-04461</x:v>
      </x:c>
      <x:c r="B4462" s="8" t="n">
        <x:v>45544</x:v>
      </x:c>
      <x:c r="C4462" s="4" t="str">
        <x:v>PRJ-001</x:v>
      </x:c>
      <x:c r="D4462" s="4" t="str">
        <x:v>Villa</x:v>
      </x:c>
      <x:c r="E4462" s="4" t="str">
        <x:v>Reserved</x:v>
      </x:c>
      <x:c r="F4462" s="4" t="str">
        <x:v>CUS-04461</x:v>
      </x:c>
      <x:c r="G4462" s="4" t="str">
        <x:v>UNIT-04461</x:v>
      </x:c>
      <x:c r="H4462" s="9" t="n">
        <x:v>5100000</x:v>
      </x:c>
      <x:c r="I4462" s="10" t="n">
        <x:v>0.06</x:v>
      </x:c>
      <x:c r="J4462" s="11" t="n">
        <x:v>2</x:v>
      </x:c>
      <x:c r="K4462" s="11" t="n">
        <x:v>5</x:v>
      </x:c>
      <x:c r="L4462" s="11" t="n">
        <x:v>0</x:v>
      </x:c>
      <x:c r="M4462" s="9" t="n">
        <x:f>ROUND(H4462*(1-I4462),2)</x:f>
        <x:v>4794000</x:v>
      </x:c>
      <x:c r="N4462" s="4" t="str">
        <x:v>Sales manager</x:v>
      </x:c>
      <x:c r="O4462" s="4"/>
      <x:c r="P4462" s="9" t="n">
        <x:v>0</x:v>
      </x:c>
      <x:c r="Q4462" s="11" t="n">
        <x:v>1</x:v>
      </x:c>
      <x:c r="R4462" s="8" t="n">
        <x:v>45604</x:v>
      </x:c>
      <x:c r="S4462" s="4" t="str">
        <x:v>Lost / cancelled</x:v>
      </x:c>
      <x:c r="T4462" s="10" t="n">
        <x:v>0.204152</x:v>
      </x:c>
      <x:c r="U4462" s="4" t="str">
        <x:v>Test</x:v>
      </x:c>
    </x:row>
    <x:row r="4463" ht="34" customHeight="1">
      <x:c r="A4463" s="4" t="str">
        <x:v>RS-04462</x:v>
      </x:c>
      <x:c r="B4463" s="8" t="n">
        <x:v>45545</x:v>
      </x:c>
      <x:c r="C4463" s="4" t="str">
        <x:v>PRJ-002</x:v>
      </x:c>
      <x:c r="D4463" s="4" t="str">
        <x:v>Villa</x:v>
      </x:c>
      <x:c r="E4463" s="4" t="str">
        <x:v>Reserved</x:v>
      </x:c>
      <x:c r="F4463" s="4" t="str">
        <x:v>CUS-04462</x:v>
      </x:c>
      <x:c r="G4463" s="4" t="str">
        <x:v>UNIT-04462</x:v>
      </x:c>
      <x:c r="H4463" s="9" t="n">
        <x:v>13400000</x:v>
      </x:c>
      <x:c r="I4463" s="10" t="n">
        <x:v>0.09</x:v>
      </x:c>
      <x:c r="J4463" s="11" t="n">
        <x:v>12</x:v>
      </x:c>
      <x:c r="K4463" s="11" t="n">
        <x:v>6</x:v>
      </x:c>
      <x:c r="L4463" s="11" t="n">
        <x:v>1</x:v>
      </x:c>
      <x:c r="M4463" s="9" t="n">
        <x:f>ROUND(H4463*(1-I4463),2)</x:f>
        <x:v>12194000</x:v>
      </x:c>
      <x:c r="N4463" s="4" t="str">
        <x:v>Sales head</x:v>
      </x:c>
      <x:c r="O4463" s="4"/>
      <x:c r="P4463" s="9" t="n">
        <x:v>0</x:v>
      </x:c>
      <x:c r="Q4463" s="11" t="n">
        <x:v>1</x:v>
      </x:c>
      <x:c r="R4463" s="8" t="n">
        <x:v>45605</x:v>
      </x:c>
      <x:c r="S4463" s="4" t="str">
        <x:v>Lost / cancelled</x:v>
      </x:c>
      <x:c r="T4463" s="10" t="n">
        <x:v>0.351536</x:v>
      </x:c>
      <x:c r="U4463" s="4" t="str">
        <x:v>Test</x:v>
      </x:c>
    </x:row>
    <x:row r="4464" ht="34" customHeight="1">
      <x:c r="A4464" s="4" t="str">
        <x:v>RS-04463</x:v>
      </x:c>
      <x:c r="B4464" s="8" t="n">
        <x:v>45546</x:v>
      </x:c>
      <x:c r="C4464" s="4" t="str">
        <x:v>PRJ-003</x:v>
      </x:c>
      <x:c r="D4464" s="4" t="str">
        <x:v>Office</x:v>
      </x:c>
      <x:c r="E4464" s="4" t="str">
        <x:v>Booked</x:v>
      </x:c>
      <x:c r="F4464" s="4" t="str">
        <x:v>CUS-04463</x:v>
      </x:c>
      <x:c r="G4464" s="4" t="str">
        <x:v>UNIT-04463</x:v>
      </x:c>
      <x:c r="H4464" s="9" t="n">
        <x:v>14800000</x:v>
      </x:c>
      <x:c r="I4464" s="10" t="n">
        <x:v>0.11</x:v>
      </x:c>
      <x:c r="J4464" s="11" t="n">
        <x:v>11</x:v>
      </x:c>
      <x:c r="K4464" s="11" t="n">
        <x:v>1</x:v>
      </x:c>
      <x:c r="L4464" s="11" t="n">
        <x:v>0</x:v>
      </x:c>
      <x:c r="M4464" s="9" t="n">
        <x:f>ROUND(H4464*(1-I4464),2)</x:f>
        <x:v>13172000</x:v>
      </x:c>
      <x:c r="N4464" s="4" t="str">
        <x:v>Sales head</x:v>
      </x:c>
      <x:c r="O4464" s="4" t="str">
        <x:v>BOOK-04463</x:v>
      </x:c>
      <x:c r="P4464" s="9" t="n">
        <x:v>1317200</x:v>
      </x:c>
      <x:c r="Q4464" s="11" t="n">
        <x:v>0</x:v>
      </x:c>
      <x:c r="R4464" s="8" t="n">
        <x:v>45606</x:v>
      </x:c>
      <x:c r="S4464" s="4" t="str">
        <x:v>Retained</x:v>
      </x:c>
      <x:c r="T4464" s="10" t="n">
        <x:v>0.351536</x:v>
      </x:c>
      <x:c r="U4464" s="4" t="str">
        <x:v>Test</x:v>
      </x:c>
    </x:row>
    <x:row r="4465" ht="34" customHeight="1">
      <x:c r="A4465" s="4" t="str">
        <x:v>RS-04464</x:v>
      </x:c>
      <x:c r="B4465" s="8" t="n">
        <x:v>45547</x:v>
      </x:c>
      <x:c r="C4465" s="4" t="str">
        <x:v>PRJ-004</x:v>
      </x:c>
      <x:c r="D4465" s="4" t="str">
        <x:v>Apartment</x:v>
      </x:c>
      <x:c r="E4465" s="4" t="str">
        <x:v>Handed over</x:v>
      </x:c>
      <x:c r="F4465" s="4" t="str">
        <x:v>CUS-04464</x:v>
      </x:c>
      <x:c r="G4465" s="4" t="str">
        <x:v>UNIT-04464</x:v>
      </x:c>
      <x:c r="H4465" s="9" t="n">
        <x:v>23400000</x:v>
      </x:c>
      <x:c r="I4465" s="10" t="n">
        <x:v>0.02</x:v>
      </x:c>
      <x:c r="J4465" s="11" t="n">
        <x:v>2</x:v>
      </x:c>
      <x:c r="K4465" s="11" t="n">
        <x:v>2</x:v>
      </x:c>
      <x:c r="L4465" s="11" t="n">
        <x:v>0</x:v>
      </x:c>
      <x:c r="M4465" s="9" t="n">
        <x:f>ROUND(H4465*(1-I4465),2)</x:f>
        <x:v>22932000</x:v>
      </x:c>
      <x:c r="N4465" s="4" t="str">
        <x:v>Sales manager</x:v>
      </x:c>
      <x:c r="O4465" s="4" t="str">
        <x:v>BOOK-04464</x:v>
      </x:c>
      <x:c r="P4465" s="9" t="n">
        <x:v>22932000</x:v>
      </x:c>
      <x:c r="Q4465" s="11" t="n">
        <x:v>0</x:v>
      </x:c>
      <x:c r="R4465" s="8" t="n">
        <x:v>45607</x:v>
      </x:c>
      <x:c r="S4465" s="4" t="str">
        <x:v>Retained</x:v>
      </x:c>
      <x:c r="T4465" s="10" t="n">
        <x:v>0.171717</x:v>
      </x:c>
      <x:c r="U4465" s="4" t="str">
        <x:v>Test</x:v>
      </x:c>
    </x:row>
    <x:row r="4466" ht="34" customHeight="1">
      <x:c r="A4466" s="4" t="str">
        <x:v>RS-04465</x:v>
      </x:c>
      <x:c r="B4466" s="8" t="n">
        <x:v>45548</x:v>
      </x:c>
      <x:c r="C4466" s="4" t="str">
        <x:v>PRJ-005</x:v>
      </x:c>
      <x:c r="D4466" s="4" t="str">
        <x:v>Villa</x:v>
      </x:c>
      <x:c r="E4466" s="4" t="str">
        <x:v>Handed over</x:v>
      </x:c>
      <x:c r="F4466" s="4" t="str">
        <x:v>CUS-04465</x:v>
      </x:c>
      <x:c r="G4466" s="4" t="str">
        <x:v>UNIT-04465</x:v>
      </x:c>
      <x:c r="H4466" s="9" t="n">
        <x:v>4600000</x:v>
      </x:c>
      <x:c r="I4466" s="10" t="n">
        <x:v>0.07</x:v>
      </x:c>
      <x:c r="J4466" s="11" t="n">
        <x:v>5</x:v>
      </x:c>
      <x:c r="K4466" s="11" t="n">
        <x:v>10</x:v>
      </x:c>
      <x:c r="L4466" s="11" t="n">
        <x:v>0</x:v>
      </x:c>
      <x:c r="M4466" s="9" t="n">
        <x:f>ROUND(H4466*(1-I4466),2)</x:f>
        <x:v>4278000</x:v>
      </x:c>
      <x:c r="N4466" s="4" t="str">
        <x:v>Sales manager</x:v>
      </x:c>
      <x:c r="O4466" s="4" t="str">
        <x:v>BOOK-04465</x:v>
      </x:c>
      <x:c r="P4466" s="9" t="n">
        <x:v>1069500</x:v>
      </x:c>
      <x:c r="Q4466" s="11" t="n">
        <x:v>0</x:v>
      </x:c>
      <x:c r="R4466" s="8" t="n">
        <x:v>45608</x:v>
      </x:c>
      <x:c r="S4466" s="4" t="str">
        <x:v>Retained</x:v>
      </x:c>
      <x:c r="T4466" s="10" t="n">
        <x:v>0.226277</x:v>
      </x:c>
      <x:c r="U4466" s="4" t="str">
        <x:v>Test</x:v>
      </x:c>
    </x:row>
    <x:row r="4467" ht="34" customHeight="1">
      <x:c r="A4467" s="4" t="str">
        <x:v>RS-04466</x:v>
      </x:c>
      <x:c r="B4467" s="8" t="n">
        <x:v>45549</x:v>
      </x:c>
      <x:c r="C4467" s="4" t="str">
        <x:v>PRJ-006</x:v>
      </x:c>
      <x:c r="D4467" s="4" t="str">
        <x:v>Villa</x:v>
      </x:c>
      <x:c r="E4467" s="4" t="str">
        <x:v>Handed over</x:v>
      </x:c>
      <x:c r="F4467" s="4" t="str">
        <x:v>CUS-04466</x:v>
      </x:c>
      <x:c r="G4467" s="4" t="str">
        <x:v>UNIT-04466</x:v>
      </x:c>
      <x:c r="H4467" s="9" t="n">
        <x:v>13600000</x:v>
      </x:c>
      <x:c r="I4467" s="10" t="n">
        <x:v>0.11</x:v>
      </x:c>
      <x:c r="J4467" s="11" t="n">
        <x:v>1</x:v>
      </x:c>
      <x:c r="K4467" s="11" t="n">
        <x:v>0</x:v>
      </x:c>
      <x:c r="L4467" s="11" t="n">
        <x:v>0</x:v>
      </x:c>
      <x:c r="M4467" s="9" t="n">
        <x:f>ROUND(H4467*(1-I4467),2)</x:f>
        <x:v>12104000</x:v>
      </x:c>
      <x:c r="N4467" s="4" t="str">
        <x:v>Sales head</x:v>
      </x:c>
      <x:c r="O4467" s="4" t="str">
        <x:v>BOOK-04466</x:v>
      </x:c>
      <x:c r="P4467" s="9" t="n">
        <x:v>6052000</x:v>
      </x:c>
      <x:c r="Q4467" s="11" t="n">
        <x:v>0</x:v>
      </x:c>
      <x:c r="R4467" s="8" t="n">
        <x:v>45609</x:v>
      </x:c>
      <x:c r="S4467" s="4" t="str">
        <x:v>Retained</x:v>
      </x:c>
      <x:c r="T4467" s="10" t="n">
        <x:v>0.276923</x:v>
      </x:c>
      <x:c r="U4467" s="4" t="str">
        <x:v>Test</x:v>
      </x:c>
    </x:row>
    <x:row r="4468" ht="34" customHeight="1">
      <x:c r="A4468" s="4" t="str">
        <x:v>RS-04467</x:v>
      </x:c>
      <x:c r="B4468" s="8" t="n">
        <x:v>45550</x:v>
      </x:c>
      <x:c r="C4468" s="4" t="str">
        <x:v>PRJ-007</x:v>
      </x:c>
      <x:c r="D4468" s="4" t="str">
        <x:v>Apartment</x:v>
      </x:c>
      <x:c r="E4468" s="4" t="str">
        <x:v>Handed over</x:v>
      </x:c>
      <x:c r="F4468" s="4" t="str">
        <x:v>CUS-04467</x:v>
      </x:c>
      <x:c r="G4468" s="4" t="str">
        <x:v>UNIT-04467</x:v>
      </x:c>
      <x:c r="H4468" s="9" t="n">
        <x:v>12900000</x:v>
      </x:c>
      <x:c r="I4468" s="10" t="n">
        <x:v>0</x:v>
      </x:c>
      <x:c r="J4468" s="11" t="n">
        <x:v>5</x:v>
      </x:c>
      <x:c r="K4468" s="11" t="n">
        <x:v>2</x:v>
      </x:c>
      <x:c r="L4468" s="11" t="n">
        <x:v>0</x:v>
      </x:c>
      <x:c r="M4468" s="9" t="n">
        <x:f>ROUND(H4468*(1-I4468),2)</x:f>
        <x:v>12900000</x:v>
      </x:c>
      <x:c r="N4468" s="4" t="str">
        <x:v>Sales manager</x:v>
      </x:c>
      <x:c r="O4468" s="4" t="str">
        <x:v>BOOK-04467</x:v>
      </x:c>
      <x:c r="P4468" s="9" t="n">
        <x:v>1290000</x:v>
      </x:c>
      <x:c r="Q4468" s="11" t="n">
        <x:v>0</x:v>
      </x:c>
      <x:c r="R4468" s="8" t="n">
        <x:v>45610</x:v>
      </x:c>
      <x:c r="S4468" s="4" t="str">
        <x:v>Retained</x:v>
      </x:c>
      <x:c r="T4468" s="10" t="n">
        <x:v>0.298969</x:v>
      </x:c>
      <x:c r="U4468" s="4" t="str">
        <x:v>Test</x:v>
      </x:c>
    </x:row>
    <x:row r="4469" ht="34" customHeight="1">
      <x:c r="A4469" s="4" t="str">
        <x:v>RS-04468</x:v>
      </x:c>
      <x:c r="B4469" s="8" t="n">
        <x:v>45551</x:v>
      </x:c>
      <x:c r="C4469" s="4" t="str">
        <x:v>PRJ-008</x:v>
      </x:c>
      <x:c r="D4469" s="4" t="str">
        <x:v>Retail</x:v>
      </x:c>
      <x:c r="E4469" s="4" t="str">
        <x:v>Booked</x:v>
      </x:c>
      <x:c r="F4469" s="4" t="str">
        <x:v>CUS-04468</x:v>
      </x:c>
      <x:c r="G4469" s="4" t="str">
        <x:v>UNIT-04468</x:v>
      </x:c>
      <x:c r="H4469" s="9" t="n">
        <x:v>11000000</x:v>
      </x:c>
      <x:c r="I4469" s="10" t="n">
        <x:v>0.07</x:v>
      </x:c>
      <x:c r="J4469" s="11" t="n">
        <x:v>7</x:v>
      </x:c>
      <x:c r="K4469" s="11" t="n">
        <x:v>6</x:v>
      </x:c>
      <x:c r="L4469" s="11" t="n">
        <x:v>0</x:v>
      </x:c>
      <x:c r="M4469" s="9" t="n">
        <x:f>ROUND(H4469*(1-I4469),2)</x:f>
        <x:v>10230000</x:v>
      </x:c>
      <x:c r="N4469" s="4" t="str">
        <x:v>Sales manager</x:v>
      </x:c>
      <x:c r="O4469" s="4" t="str">
        <x:v>BOOK-04468</x:v>
      </x:c>
      <x:c r="P4469" s="9" t="n">
        <x:v>1023000</x:v>
      </x:c>
      <x:c r="Q4469" s="11" t="n">
        <x:v>0</x:v>
      </x:c>
      <x:c r="R4469" s="8" t="n">
        <x:v>45611</x:v>
      </x:c>
      <x:c r="S4469" s="4" t="str">
        <x:v>Retained</x:v>
      </x:c>
      <x:c r="T4469" s="10" t="n">
        <x:v>0.226277</x:v>
      </x:c>
      <x:c r="U4469" s="4" t="str">
        <x:v>Test</x:v>
      </x:c>
    </x:row>
    <x:row r="4470" ht="34" customHeight="1">
      <x:c r="A4470" s="4" t="str">
        <x:v>RS-04469</x:v>
      </x:c>
      <x:c r="B4470" s="8" t="n">
        <x:v>45552</x:v>
      </x:c>
      <x:c r="C4470" s="4" t="str">
        <x:v>PRJ-009</x:v>
      </x:c>
      <x:c r="D4470" s="4" t="str">
        <x:v>Apartment</x:v>
      </x:c>
      <x:c r="E4470" s="4" t="str">
        <x:v>Agreement signed</x:v>
      </x:c>
      <x:c r="F4470" s="4" t="str">
        <x:v>CUS-04469</x:v>
      </x:c>
      <x:c r="G4470" s="4" t="str">
        <x:v>UNIT-04469</x:v>
      </x:c>
      <x:c r="H4470" s="9" t="n">
        <x:v>22600000</x:v>
      </x:c>
      <x:c r="I4470" s="10" t="n">
        <x:v>0.01</x:v>
      </x:c>
      <x:c r="J4470" s="11" t="n">
        <x:v>2</x:v>
      </x:c>
      <x:c r="K4470" s="11" t="n">
        <x:v>0</x:v>
      </x:c>
      <x:c r="L4470" s="11" t="n">
        <x:v>1</x:v>
      </x:c>
      <x:c r="M4470" s="9" t="n">
        <x:f>ROUND(H4470*(1-I4470),2)</x:f>
        <x:v>22374000</x:v>
      </x:c>
      <x:c r="N4470" s="4" t="str">
        <x:v>Sales manager</x:v>
      </x:c>
      <x:c r="O4470" s="4" t="str">
        <x:v>BOOK-04469</x:v>
      </x:c>
      <x:c r="P4470" s="9" t="n">
        <x:v>11187000</x:v>
      </x:c>
      <x:c r="Q4470" s="11" t="n">
        <x:v>0</x:v>
      </x:c>
      <x:c r="R4470" s="8" t="n">
        <x:v>45612</x:v>
      </x:c>
      <x:c r="S4470" s="4" t="str">
        <x:v>Retained</x:v>
      </x:c>
      <x:c r="T4470" s="10" t="n">
        <x:v>0.276923</x:v>
      </x:c>
      <x:c r="U4470" s="4" t="str">
        <x:v>Test</x:v>
      </x:c>
    </x:row>
    <x:row r="4471" ht="34" customHeight="1">
      <x:c r="A4471" s="4" t="str">
        <x:v>RS-04470</x:v>
      </x:c>
      <x:c r="B4471" s="8" t="n">
        <x:v>45553</x:v>
      </x:c>
      <x:c r="C4471" s="4" t="str">
        <x:v>PRJ-010</x:v>
      </x:c>
      <x:c r="D4471" s="4" t="str">
        <x:v>Office</x:v>
      </x:c>
      <x:c r="E4471" s="4" t="str">
        <x:v>Enquiry</x:v>
      </x:c>
      <x:c r="F4471" s="4" t="str">
        <x:v>CUS-04470</x:v>
      </x:c>
      <x:c r="G4471" s="4" t="str">
        <x:v>UNIT-04470</x:v>
      </x:c>
      <x:c r="H4471" s="9" t="n">
        <x:v>7600000</x:v>
      </x:c>
      <x:c r="I4471" s="10" t="n">
        <x:v>0</x:v>
      </x:c>
      <x:c r="J4471" s="11" t="n">
        <x:v>4</x:v>
      </x:c>
      <x:c r="K4471" s="11" t="n">
        <x:v>10</x:v>
      </x:c>
      <x:c r="L4471" s="11" t="n">
        <x:v>0</x:v>
      </x:c>
      <x:c r="M4471" s="9" t="n">
        <x:f>ROUND(H4471*(1-I4471),2)</x:f>
        <x:v>7600000</x:v>
      </x:c>
      <x:c r="N4471" s="4" t="str">
        <x:v>Sales manager</x:v>
      </x:c>
      <x:c r="O4471" s="4"/>
      <x:c r="P4471" s="9" t="n">
        <x:v>0</x:v>
      </x:c>
      <x:c r="Q4471" s="11" t="n">
        <x:v>0</x:v>
      </x:c>
      <x:c r="R4471" s="8" t="n">
        <x:v>45613</x:v>
      </x:c>
      <x:c r="S4471" s="4" t="str">
        <x:v>Retained</x:v>
      </x:c>
      <x:c r="T4471" s="10" t="n">
        <x:v>0.145299</x:v>
      </x:c>
      <x:c r="U4471" s="4" t="str">
        <x:v>Test</x:v>
      </x:c>
    </x:row>
    <x:row r="4472" ht="34" customHeight="1">
      <x:c r="A4472" s="4" t="str">
        <x:v>RS-04471</x:v>
      </x:c>
      <x:c r="B4472" s="8" t="n">
        <x:v>45554</x:v>
      </x:c>
      <x:c r="C4472" s="4" t="str">
        <x:v>PRJ-011</x:v>
      </x:c>
      <x:c r="D4472" s="4" t="str">
        <x:v>Retail</x:v>
      </x:c>
      <x:c r="E4472" s="4" t="str">
        <x:v>Enquiry</x:v>
      </x:c>
      <x:c r="F4472" s="4" t="str">
        <x:v>CUS-04471</x:v>
      </x:c>
      <x:c r="G4472" s="4" t="str">
        <x:v>UNIT-04471</x:v>
      </x:c>
      <x:c r="H4472" s="9" t="n">
        <x:v>13400000</x:v>
      </x:c>
      <x:c r="I4472" s="10" t="n">
        <x:v>0.11</x:v>
      </x:c>
      <x:c r="J4472" s="11" t="n">
        <x:v>6</x:v>
      </x:c>
      <x:c r="K4472" s="11" t="n">
        <x:v>4</x:v>
      </x:c>
      <x:c r="L4472" s="11" t="n">
        <x:v>1</x:v>
      </x:c>
      <x:c r="M4472" s="9" t="n">
        <x:f>ROUND(H4472*(1-I4472),2)</x:f>
        <x:v>11926000</x:v>
      </x:c>
      <x:c r="N4472" s="4" t="str">
        <x:v>Sales head</x:v>
      </x:c>
      <x:c r="O4472" s="4"/>
      <x:c r="P4472" s="9" t="n">
        <x:v>0</x:v>
      </x:c>
      <x:c r="Q4472" s="11" t="n">
        <x:v>1</x:v>
      </x:c>
      <x:c r="R4472" s="8" t="n">
        <x:v>45614</x:v>
      </x:c>
      <x:c r="S4472" s="4" t="str">
        <x:v>Lost / cancelled</x:v>
      </x:c>
      <x:c r="T4472" s="10" t="n">
        <x:v>0.291946</x:v>
      </x:c>
      <x:c r="U4472" s="4" t="str">
        <x:v>Test</x:v>
      </x:c>
    </x:row>
    <x:row r="4473" ht="34" customHeight="1">
      <x:c r="A4473" s="4" t="str">
        <x:v>RS-04472</x:v>
      </x:c>
      <x:c r="B4473" s="8" t="n">
        <x:v>45555</x:v>
      </x:c>
      <x:c r="C4473" s="4" t="str">
        <x:v>PRJ-012</x:v>
      </x:c>
      <x:c r="D4473" s="4" t="str">
        <x:v>Apartment</x:v>
      </x:c>
      <x:c r="E4473" s="4" t="str">
        <x:v>Handed over</x:v>
      </x:c>
      <x:c r="F4473" s="4" t="str">
        <x:v>CUS-04472</x:v>
      </x:c>
      <x:c r="G4473" s="4" t="str">
        <x:v>UNIT-04472</x:v>
      </x:c>
      <x:c r="H4473" s="9" t="n">
        <x:v>15900000</x:v>
      </x:c>
      <x:c r="I4473" s="10" t="n">
        <x:v>0.11</x:v>
      </x:c>
      <x:c r="J4473" s="11" t="n">
        <x:v>11</x:v>
      </x:c>
      <x:c r="K4473" s="11" t="n">
        <x:v>7</x:v>
      </x:c>
      <x:c r="L4473" s="11" t="n">
        <x:v>1</x:v>
      </x:c>
      <x:c r="M4473" s="9" t="n">
        <x:f>ROUND(H4473*(1-I4473),2)</x:f>
        <x:v>14151000</x:v>
      </x:c>
      <x:c r="N4473" s="4" t="str">
        <x:v>Sales head</x:v>
      </x:c>
      <x:c r="O4473" s="4" t="str">
        <x:v>BOOK-04472</x:v>
      </x:c>
      <x:c r="P4473" s="9" t="n">
        <x:v>1415100</x:v>
      </x:c>
      <x:c r="Q4473" s="11" t="n">
        <x:v>0</x:v>
      </x:c>
      <x:c r="R4473" s="8" t="n">
        <x:v>45615</x:v>
      </x:c>
      <x:c r="S4473" s="4" t="str">
        <x:v>Retained</x:v>
      </x:c>
      <x:c r="T4473" s="10" t="n">
        <x:v>0.351536</x:v>
      </x:c>
      <x:c r="U4473" s="4" t="str">
        <x:v>Test</x:v>
      </x:c>
    </x:row>
    <x:row r="4474" ht="34" customHeight="1">
      <x:c r="A4474" s="4" t="str">
        <x:v>RS-04473</x:v>
      </x:c>
      <x:c r="B4474" s="8" t="n">
        <x:v>45556</x:v>
      </x:c>
      <x:c r="C4474" s="4" t="str">
        <x:v>PRJ-013</x:v>
      </x:c>
      <x:c r="D4474" s="4" t="str">
        <x:v>Apartment</x:v>
      </x:c>
      <x:c r="E4474" s="4" t="str">
        <x:v>Agreement signed</x:v>
      </x:c>
      <x:c r="F4474" s="4" t="str">
        <x:v>CUS-04473</x:v>
      </x:c>
      <x:c r="G4474" s="4" t="str">
        <x:v>UNIT-04473</x:v>
      </x:c>
      <x:c r="H4474" s="9" t="n">
        <x:v>21800000</x:v>
      </x:c>
      <x:c r="I4474" s="10" t="n">
        <x:v>0.07</x:v>
      </x:c>
      <x:c r="J4474" s="11" t="n">
        <x:v>5</x:v>
      </x:c>
      <x:c r="K4474" s="11" t="n">
        <x:v>9</x:v>
      </x:c>
      <x:c r="L4474" s="11" t="n">
        <x:v>1</x:v>
      </x:c>
      <x:c r="M4474" s="9" t="n">
        <x:f>ROUND(H4474*(1-I4474),2)</x:f>
        <x:v>20274000</x:v>
      </x:c>
      <x:c r="N4474" s="4" t="str">
        <x:v>Sales manager</x:v>
      </x:c>
      <x:c r="O4474" s="4" t="str">
        <x:v>BOOK-04473</x:v>
      </x:c>
      <x:c r="P4474" s="9" t="n">
        <x:v>20274000</x:v>
      </x:c>
      <x:c r="Q4474" s="11" t="n">
        <x:v>0</x:v>
      </x:c>
      <x:c r="R4474" s="8" t="n">
        <x:v>45616</x:v>
      </x:c>
      <x:c r="S4474" s="4" t="str">
        <x:v>Retained</x:v>
      </x:c>
      <x:c r="T4474" s="10" t="n">
        <x:v>0.291946</x:v>
      </x:c>
      <x:c r="U4474" s="4" t="str">
        <x:v>Test</x:v>
      </x:c>
    </x:row>
    <x:row r="4475" ht="34" customHeight="1">
      <x:c r="A4475" s="4" t="str">
        <x:v>RS-04474</x:v>
      </x:c>
      <x:c r="B4475" s="8" t="n">
        <x:v>45557</x:v>
      </x:c>
      <x:c r="C4475" s="4" t="str">
        <x:v>PRJ-014</x:v>
      </x:c>
      <x:c r="D4475" s="4" t="str">
        <x:v>Office</x:v>
      </x:c>
      <x:c r="E4475" s="4" t="str">
        <x:v>Booked</x:v>
      </x:c>
      <x:c r="F4475" s="4" t="str">
        <x:v>CUS-04474</x:v>
      </x:c>
      <x:c r="G4475" s="4" t="str">
        <x:v>UNIT-04474</x:v>
      </x:c>
      <x:c r="H4475" s="9" t="n">
        <x:v>12300000</x:v>
      </x:c>
      <x:c r="I4475" s="10" t="n">
        <x:v>0.05</x:v>
      </x:c>
      <x:c r="J4475" s="11" t="n">
        <x:v>1</x:v>
      </x:c>
      <x:c r="K4475" s="11" t="n">
        <x:v>1</x:v>
      </x:c>
      <x:c r="L4475" s="11" t="n">
        <x:v>0</x:v>
      </x:c>
      <x:c r="M4475" s="9" t="n">
        <x:f>ROUND(H4475*(1-I4475),2)</x:f>
        <x:v>11685000</x:v>
      </x:c>
      <x:c r="N4475" s="4" t="str">
        <x:v>Sales manager</x:v>
      </x:c>
      <x:c r="O4475" s="4" t="str">
        <x:v>BOOK-04474</x:v>
      </x:c>
      <x:c r="P4475" s="9" t="n">
        <x:v>2921250</x:v>
      </x:c>
      <x:c r="Q4475" s="11" t="n">
        <x:v>0</x:v>
      </x:c>
      <x:c r="R4475" s="8" t="n">
        <x:v>45617</x:v>
      </x:c>
      <x:c r="S4475" s="4" t="str">
        <x:v>Retained</x:v>
      </x:c>
      <x:c r="T4475" s="10" t="n">
        <x:v>0.204152</x:v>
      </x:c>
      <x:c r="U4475" s="4" t="str">
        <x:v>Test</x:v>
      </x:c>
    </x:row>
    <x:row r="4476" ht="34" customHeight="1">
      <x:c r="A4476" s="4" t="str">
        <x:v>RS-04475</x:v>
      </x:c>
      <x:c r="B4476" s="8" t="n">
        <x:v>45558</x:v>
      </x:c>
      <x:c r="C4476" s="4" t="str">
        <x:v>PRJ-015</x:v>
      </x:c>
      <x:c r="D4476" s="4" t="str">
        <x:v>Villa</x:v>
      </x:c>
      <x:c r="E4476" s="4" t="str">
        <x:v>Cancelled</x:v>
      </x:c>
      <x:c r="F4476" s="4" t="str">
        <x:v>CUS-04475</x:v>
      </x:c>
      <x:c r="G4476" s="4" t="str">
        <x:v>UNIT-04475</x:v>
      </x:c>
      <x:c r="H4476" s="9" t="n">
        <x:v>12800000</x:v>
      </x:c>
      <x:c r="I4476" s="10" t="n">
        <x:v>0.04</x:v>
      </x:c>
      <x:c r="J4476" s="11" t="n">
        <x:v>8</x:v>
      </x:c>
      <x:c r="K4476" s="11" t="n">
        <x:v>4</x:v>
      </x:c>
      <x:c r="L4476" s="11" t="n">
        <x:v>0</x:v>
      </x:c>
      <x:c r="M4476" s="9" t="n">
        <x:f>ROUND(H4476*(1-I4476),2)</x:f>
        <x:v>12288000</x:v>
      </x:c>
      <x:c r="N4476" s="4" t="str">
        <x:v>Sales manager</x:v>
      </x:c>
      <x:c r="O4476" s="4"/>
      <x:c r="P4476" s="9" t="n">
        <x:v>0</x:v>
      </x:c>
      <x:c r="Q4476" s="11" t="n">
        <x:v>1</x:v>
      </x:c>
      <x:c r="R4476" s="8" t="n">
        <x:v>45618</x:v>
      </x:c>
      <x:c r="S4476" s="4" t="str">
        <x:v>Lost / cancelled</x:v>
      </x:c>
      <x:c r="T4476" s="10" t="n">
        <x:v>0.310195</x:v>
      </x:c>
      <x:c r="U4476" s="4" t="str">
        <x:v>Test</x:v>
      </x:c>
    </x:row>
    <x:row r="4477" ht="34" customHeight="1">
      <x:c r="A4477" s="4" t="str">
        <x:v>RS-04476</x:v>
      </x:c>
      <x:c r="B4477" s="8" t="n">
        <x:v>45559</x:v>
      </x:c>
      <x:c r="C4477" s="4" t="str">
        <x:v>PRJ-016</x:v>
      </x:c>
      <x:c r="D4477" s="4" t="str">
        <x:v>Retail</x:v>
      </x:c>
      <x:c r="E4477" s="4" t="str">
        <x:v>Agreement signed</x:v>
      </x:c>
      <x:c r="F4477" s="4" t="str">
        <x:v>CUS-04476</x:v>
      </x:c>
      <x:c r="G4477" s="4" t="str">
        <x:v>UNIT-04476</x:v>
      </x:c>
      <x:c r="H4477" s="9" t="n">
        <x:v>21900000</x:v>
      </x:c>
      <x:c r="I4477" s="10" t="n">
        <x:v>0.07</x:v>
      </x:c>
      <x:c r="J4477" s="11" t="n">
        <x:v>1</x:v>
      </x:c>
      <x:c r="K4477" s="11" t="n">
        <x:v>9</x:v>
      </x:c>
      <x:c r="L4477" s="11" t="n">
        <x:v>1</x:v>
      </x:c>
      <x:c r="M4477" s="9" t="n">
        <x:f>ROUND(H4477*(1-I4477),2)</x:f>
        <x:v>20367000</x:v>
      </x:c>
      <x:c r="N4477" s="4" t="str">
        <x:v>Sales manager</x:v>
      </x:c>
      <x:c r="O4477" s="4" t="str">
        <x:v>BOOK-04476</x:v>
      </x:c>
      <x:c r="P4477" s="9" t="n">
        <x:v>10183500</x:v>
      </x:c>
      <x:c r="Q4477" s="11" t="n">
        <x:v>0</x:v>
      </x:c>
      <x:c r="R4477" s="8" t="n">
        <x:v>45619</x:v>
      </x:c>
      <x:c r="S4477" s="4" t="str">
        <x:v>Retained</x:v>
      </x:c>
      <x:c r="T4477" s="10" t="n">
        <x:v>0.204152</x:v>
      </x:c>
      <x:c r="U4477" s="4" t="str">
        <x:v>Test</x:v>
      </x:c>
    </x:row>
    <x:row r="4478" ht="34" customHeight="1">
      <x:c r="A4478" s="4" t="str">
        <x:v>RS-04477</x:v>
      </x:c>
      <x:c r="B4478" s="8" t="n">
        <x:v>45560</x:v>
      </x:c>
      <x:c r="C4478" s="4" t="str">
        <x:v>PRJ-017</x:v>
      </x:c>
      <x:c r="D4478" s="4" t="str">
        <x:v>Office</x:v>
      </x:c>
      <x:c r="E4478" s="4" t="str">
        <x:v>Agreement signed</x:v>
      </x:c>
      <x:c r="F4478" s="4" t="str">
        <x:v>CUS-04477</x:v>
      </x:c>
      <x:c r="G4478" s="4" t="str">
        <x:v>UNIT-04477</x:v>
      </x:c>
      <x:c r="H4478" s="9" t="n">
        <x:v>17200000</x:v>
      </x:c>
      <x:c r="I4478" s="10" t="n">
        <x:v>0.05</x:v>
      </x:c>
      <x:c r="J4478" s="11" t="n">
        <x:v>2</x:v>
      </x:c>
      <x:c r="K4478" s="11" t="n">
        <x:v>7</x:v>
      </x:c>
      <x:c r="L4478" s="11" t="n">
        <x:v>1</x:v>
      </x:c>
      <x:c r="M4478" s="9" t="n">
        <x:f>ROUND(H4478*(1-I4478),2)</x:f>
        <x:v>16340000</x:v>
      </x:c>
      <x:c r="N4478" s="4" t="str">
        <x:v>Sales manager</x:v>
      </x:c>
      <x:c r="O4478" s="4" t="str">
        <x:v>BOOK-04477</x:v>
      </x:c>
      <x:c r="P4478" s="9" t="n">
        <x:v>4085000</x:v>
      </x:c>
      <x:c r="Q4478" s="11" t="n">
        <x:v>0</x:v>
      </x:c>
      <x:c r="R4478" s="8" t="n">
        <x:v>45620</x:v>
      </x:c>
      <x:c r="S4478" s="4" t="str">
        <x:v>Retained</x:v>
      </x:c>
      <x:c r="T4478" s="10" t="n">
        <x:v>0.204152</x:v>
      </x:c>
      <x:c r="U4478" s="4" t="str">
        <x:v>Test</x:v>
      </x:c>
    </x:row>
    <x:row r="4479" ht="34" customHeight="1">
      <x:c r="A4479" s="4" t="str">
        <x:v>RS-04478</x:v>
      </x:c>
      <x:c r="B4479" s="8" t="n">
        <x:v>45561</x:v>
      </x:c>
      <x:c r="C4479" s="4" t="str">
        <x:v>PRJ-018</x:v>
      </x:c>
      <x:c r="D4479" s="4" t="str">
        <x:v>Retail</x:v>
      </x:c>
      <x:c r="E4479" s="4" t="str">
        <x:v>Cancelled</x:v>
      </x:c>
      <x:c r="F4479" s="4" t="str">
        <x:v>CUS-04478</x:v>
      </x:c>
      <x:c r="G4479" s="4" t="str">
        <x:v>UNIT-04478</x:v>
      </x:c>
      <x:c r="H4479" s="9" t="n">
        <x:v>16400000</x:v>
      </x:c>
      <x:c r="I4479" s="10" t="n">
        <x:v>0.09</x:v>
      </x:c>
      <x:c r="J4479" s="11" t="n">
        <x:v>3</x:v>
      </x:c>
      <x:c r="K4479" s="11" t="n">
        <x:v>0</x:v>
      </x:c>
      <x:c r="L4479" s="11" t="n">
        <x:v>1</x:v>
      </x:c>
      <x:c r="M4479" s="9" t="n">
        <x:f>ROUND(H4479*(1-I4479),2)</x:f>
        <x:v>14924000</x:v>
      </x:c>
      <x:c r="N4479" s="4" t="str">
        <x:v>Sales head</x:v>
      </x:c>
      <x:c r="O4479" s="4"/>
      <x:c r="P4479" s="9" t="n">
        <x:v>0</x:v>
      </x:c>
      <x:c r="Q4479" s="11" t="n">
        <x:v>1</x:v>
      </x:c>
      <x:c r="R4479" s="8" t="n">
        <x:v>45621</x:v>
      </x:c>
      <x:c r="S4479" s="4" t="str">
        <x:v>Lost / cancelled</x:v>
      </x:c>
      <x:c r="T4479" s="10" t="n">
        <x:v>0.276923</x:v>
      </x:c>
      <x:c r="U4479" s="4" t="str">
        <x:v>Test</x:v>
      </x:c>
    </x:row>
    <x:row r="4480" ht="34" customHeight="1">
      <x:c r="A4480" s="4" t="str">
        <x:v>RS-04479</x:v>
      </x:c>
      <x:c r="B4480" s="8" t="n">
        <x:v>45562</x:v>
      </x:c>
      <x:c r="C4480" s="4" t="str">
        <x:v>PRJ-019</x:v>
      </x:c>
      <x:c r="D4480" s="4" t="str">
        <x:v>Office</x:v>
      </x:c>
      <x:c r="E4480" s="4" t="str">
        <x:v>Cancelled</x:v>
      </x:c>
      <x:c r="F4480" s="4" t="str">
        <x:v>CUS-04479</x:v>
      </x:c>
      <x:c r="G4480" s="4" t="str">
        <x:v>UNIT-04479</x:v>
      </x:c>
      <x:c r="H4480" s="9" t="n">
        <x:v>23900000</x:v>
      </x:c>
      <x:c r="I4480" s="10" t="n">
        <x:v>0.09</x:v>
      </x:c>
      <x:c r="J4480" s="11" t="n">
        <x:v>11</x:v>
      </x:c>
      <x:c r="K4480" s="11" t="n">
        <x:v>0</x:v>
      </x:c>
      <x:c r="L4480" s="11" t="n">
        <x:v>0</x:v>
      </x:c>
      <x:c r="M4480" s="9" t="n">
        <x:f>ROUND(H4480*(1-I4480),2)</x:f>
        <x:v>21749000</x:v>
      </x:c>
      <x:c r="N4480" s="4" t="str">
        <x:v>Sales head</x:v>
      </x:c>
      <x:c r="O4480" s="4"/>
      <x:c r="P4480" s="9" t="n">
        <x:v>0</x:v>
      </x:c>
      <x:c r="Q4480" s="11" t="n">
        <x:v>1</x:v>
      </x:c>
      <x:c r="R4480" s="8" t="n">
        <x:v>45622</x:v>
      </x:c>
      <x:c r="S4480" s="4" t="str">
        <x:v>Lost / cancelled</x:v>
      </x:c>
      <x:c r="T4480" s="10" t="n">
        <x:v>0.351536</x:v>
      </x:c>
      <x:c r="U4480" s="4" t="str">
        <x:v>Test</x:v>
      </x:c>
    </x:row>
    <x:row r="4481" ht="34" customHeight="1">
      <x:c r="A4481" s="4" t="str">
        <x:v>RS-04480</x:v>
      </x:c>
      <x:c r="B4481" s="8" t="n">
        <x:v>45563</x:v>
      </x:c>
      <x:c r="C4481" s="4" t="str">
        <x:v>PRJ-020</x:v>
      </x:c>
      <x:c r="D4481" s="4" t="str">
        <x:v>Villa</x:v>
      </x:c>
      <x:c r="E4481" s="4" t="str">
        <x:v>Agreement signed</x:v>
      </x:c>
      <x:c r="F4481" s="4" t="str">
        <x:v>CUS-04480</x:v>
      </x:c>
      <x:c r="G4481" s="4" t="str">
        <x:v>UNIT-04480</x:v>
      </x:c>
      <x:c r="H4481" s="9" t="n">
        <x:v>3700000</x:v>
      </x:c>
      <x:c r="I4481" s="10" t="n">
        <x:v>0.04</x:v>
      </x:c>
      <x:c r="J4481" s="11" t="n">
        <x:v>12</x:v>
      </x:c>
      <x:c r="K4481" s="11" t="n">
        <x:v>4</x:v>
      </x:c>
      <x:c r="L4481" s="11" t="n">
        <x:v>0</x:v>
      </x:c>
      <x:c r="M4481" s="9" t="n">
        <x:f>ROUND(H4481*(1-I4481),2)</x:f>
        <x:v>3552000</x:v>
      </x:c>
      <x:c r="N4481" s="4" t="str">
        <x:v>Sales manager</x:v>
      </x:c>
      <x:c r="O4481" s="4" t="str">
        <x:v>BOOK-04480</x:v>
      </x:c>
      <x:c r="P4481" s="9" t="n">
        <x:v>355200</x:v>
      </x:c>
      <x:c r="Q4481" s="11" t="n">
        <x:v>0</x:v>
      </x:c>
      <x:c r="R4481" s="8" t="n">
        <x:v>45623</x:v>
      </x:c>
      <x:c r="S4481" s="4" t="str">
        <x:v>Retained</x:v>
      </x:c>
      <x:c r="T4481" s="10" t="n">
        <x:v>0.351536</x:v>
      </x:c>
      <x:c r="U4481" s="4" t="str">
        <x:v>Test</x:v>
      </x:c>
    </x:row>
    <x:row r="4482" ht="34" customHeight="1">
      <x:c r="A4482" s="4" t="str">
        <x:v>RS-04481</x:v>
      </x:c>
      <x:c r="B4482" s="8" t="n">
        <x:v>45536</x:v>
      </x:c>
      <x:c r="C4482" s="4" t="str">
        <x:v>PRJ-001</x:v>
      </x:c>
      <x:c r="D4482" s="4" t="str">
        <x:v>Office</x:v>
      </x:c>
      <x:c r="E4482" s="4" t="str">
        <x:v>Agreement signed</x:v>
      </x:c>
      <x:c r="F4482" s="4" t="str">
        <x:v>CUS-04481</x:v>
      </x:c>
      <x:c r="G4482" s="4" t="str">
        <x:v>UNIT-04481</x:v>
      </x:c>
      <x:c r="H4482" s="9" t="n">
        <x:v>11000000</x:v>
      </x:c>
      <x:c r="I4482" s="10" t="n">
        <x:v>0</x:v>
      </x:c>
      <x:c r="J4482" s="11" t="n">
        <x:v>9</x:v>
      </x:c>
      <x:c r="K4482" s="11" t="n">
        <x:v>6</x:v>
      </x:c>
      <x:c r="L4482" s="11" t="n">
        <x:v>0</x:v>
      </x:c>
      <x:c r="M4482" s="9" t="n">
        <x:f>ROUND(H4482*(1-I4482),2)</x:f>
        <x:v>11000000</x:v>
      </x:c>
      <x:c r="N4482" s="4" t="str">
        <x:v>Sales manager</x:v>
      </x:c>
      <x:c r="O4482" s="4" t="str">
        <x:v>BOOK-04481</x:v>
      </x:c>
      <x:c r="P4482" s="9" t="n">
        <x:v>2750000</x:v>
      </x:c>
      <x:c r="Q4482" s="11" t="n">
        <x:v>0</x:v>
      </x:c>
      <x:c r="R4482" s="8" t="n">
        <x:v>45596</x:v>
      </x:c>
      <x:c r="S4482" s="4" t="str">
        <x:v>Retained</x:v>
      </x:c>
      <x:c r="T4482" s="10" t="n">
        <x:v>0.305556</x:v>
      </x:c>
      <x:c r="U4482" s="4" t="str">
        <x:v>Test</x:v>
      </x:c>
    </x:row>
    <x:row r="4483" ht="34" customHeight="1">
      <x:c r="A4483" s="4" t="str">
        <x:v>RS-04482</x:v>
      </x:c>
      <x:c r="B4483" s="8" t="n">
        <x:v>45537</x:v>
      </x:c>
      <x:c r="C4483" s="4" t="str">
        <x:v>PRJ-002</x:v>
      </x:c>
      <x:c r="D4483" s="4" t="str">
        <x:v>Villa</x:v>
      </x:c>
      <x:c r="E4483" s="4" t="str">
        <x:v>Handed over</x:v>
      </x:c>
      <x:c r="F4483" s="4" t="str">
        <x:v>CUS-04482</x:v>
      </x:c>
      <x:c r="G4483" s="4" t="str">
        <x:v>UNIT-04482</x:v>
      </x:c>
      <x:c r="H4483" s="9" t="n">
        <x:v>25000000</x:v>
      </x:c>
      <x:c r="I4483" s="10" t="n">
        <x:v>0.09</x:v>
      </x:c>
      <x:c r="J4483" s="11" t="n">
        <x:v>4</x:v>
      </x:c>
      <x:c r="K4483" s="11" t="n">
        <x:v>5</x:v>
      </x:c>
      <x:c r="L4483" s="11" t="n">
        <x:v>0</x:v>
      </x:c>
      <x:c r="M4483" s="9" t="n">
        <x:f>ROUND(H4483*(1-I4483),2)</x:f>
        <x:v>22750000</x:v>
      </x:c>
      <x:c r="N4483" s="4" t="str">
        <x:v>Sales head</x:v>
      </x:c>
      <x:c r="O4483" s="4" t="str">
        <x:v>BOOK-04482</x:v>
      </x:c>
      <x:c r="P4483" s="9" t="n">
        <x:v>5687500</x:v>
      </x:c>
      <x:c r="Q4483" s="11" t="n">
        <x:v>0</x:v>
      </x:c>
      <x:c r="R4483" s="8" t="n">
        <x:v>45597</x:v>
      </x:c>
      <x:c r="S4483" s="4" t="str">
        <x:v>Retained</x:v>
      </x:c>
      <x:c r="T4483" s="10" t="n">
        <x:v>0.226277</x:v>
      </x:c>
      <x:c r="U4483" s="4" t="str">
        <x:v>Test</x:v>
      </x:c>
    </x:row>
    <x:row r="4484" ht="34" customHeight="1">
      <x:c r="A4484" s="4" t="str">
        <x:v>RS-04483</x:v>
      </x:c>
      <x:c r="B4484" s="8" t="n">
        <x:v>45538</x:v>
      </x:c>
      <x:c r="C4484" s="4" t="str">
        <x:v>PRJ-003</x:v>
      </x:c>
      <x:c r="D4484" s="4" t="str">
        <x:v>Villa</x:v>
      </x:c>
      <x:c r="E4484" s="4" t="str">
        <x:v>Reserved</x:v>
      </x:c>
      <x:c r="F4484" s="4" t="str">
        <x:v>CUS-04483</x:v>
      </x:c>
      <x:c r="G4484" s="4" t="str">
        <x:v>UNIT-04483</x:v>
      </x:c>
      <x:c r="H4484" s="9" t="n">
        <x:v>8700000</x:v>
      </x:c>
      <x:c r="I4484" s="10" t="n">
        <x:v>0.1</x:v>
      </x:c>
      <x:c r="J4484" s="11" t="n">
        <x:v>5</x:v>
      </x:c>
      <x:c r="K4484" s="11" t="n">
        <x:v>5</x:v>
      </x:c>
      <x:c r="L4484" s="11" t="n">
        <x:v>1</x:v>
      </x:c>
      <x:c r="M4484" s="9" t="n">
        <x:f>ROUND(H4484*(1-I4484),2)</x:f>
        <x:v>7830000</x:v>
      </x:c>
      <x:c r="N4484" s="4" t="str">
        <x:v>Sales head</x:v>
      </x:c>
      <x:c r="O4484" s="4"/>
      <x:c r="P4484" s="9" t="n">
        <x:v>0</x:v>
      </x:c>
      <x:c r="Q4484" s="11" t="n">
        <x:v>1</x:v>
      </x:c>
      <x:c r="R4484" s="8" t="n">
        <x:v>45598</x:v>
      </x:c>
      <x:c r="S4484" s="4" t="str">
        <x:v>Lost / cancelled</x:v>
      </x:c>
      <x:c r="T4484" s="10" t="n">
        <x:v>0.291946</x:v>
      </x:c>
      <x:c r="U4484" s="4" t="str">
        <x:v>Test</x:v>
      </x:c>
    </x:row>
    <x:row r="4485" ht="34" customHeight="1">
      <x:c r="A4485" s="4" t="str">
        <x:v>RS-04484</x:v>
      </x:c>
      <x:c r="B4485" s="8" t="n">
        <x:v>45539</x:v>
      </x:c>
      <x:c r="C4485" s="4" t="str">
        <x:v>PRJ-004</x:v>
      </x:c>
      <x:c r="D4485" s="4" t="str">
        <x:v>Villa</x:v>
      </x:c>
      <x:c r="E4485" s="4" t="str">
        <x:v>Booked</x:v>
      </x:c>
      <x:c r="F4485" s="4" t="str">
        <x:v>CUS-04484</x:v>
      </x:c>
      <x:c r="G4485" s="4" t="str">
        <x:v>UNIT-04484</x:v>
      </x:c>
      <x:c r="H4485" s="9" t="n">
        <x:v>8900000</x:v>
      </x:c>
      <x:c r="I4485" s="10" t="n">
        <x:v>0.09</x:v>
      </x:c>
      <x:c r="J4485" s="11" t="n">
        <x:v>0</x:v>
      </x:c>
      <x:c r="K4485" s="11" t="n">
        <x:v>8</x:v>
      </x:c>
      <x:c r="L4485" s="11" t="n">
        <x:v>0</x:v>
      </x:c>
      <x:c r="M4485" s="9" t="n">
        <x:f>ROUND(H4485*(1-I4485),2)</x:f>
        <x:v>8099000</x:v>
      </x:c>
      <x:c r="N4485" s="4" t="str">
        <x:v>Sales head</x:v>
      </x:c>
      <x:c r="O4485" s="4" t="str">
        <x:v>BOOK-04484</x:v>
      </x:c>
      <x:c r="P4485" s="9" t="n">
        <x:v>2024750</x:v>
      </x:c>
      <x:c r="Q4485" s="11" t="n">
        <x:v>0</x:v>
      </x:c>
      <x:c r="R4485" s="8" t="n">
        <x:v>45599</x:v>
      </x:c>
      <x:c r="S4485" s="4" t="str">
        <x:v>Retained</x:v>
      </x:c>
      <x:c r="T4485" s="10" t="n">
        <x:v>0.145833</x:v>
      </x:c>
      <x:c r="U4485" s="4" t="str">
        <x:v>Test</x:v>
      </x:c>
    </x:row>
    <x:row r="4486" ht="34" customHeight="1">
      <x:c r="A4486" s="4" t="str">
        <x:v>RS-04485</x:v>
      </x:c>
      <x:c r="B4486" s="8" t="n">
        <x:v>45540</x:v>
      </x:c>
      <x:c r="C4486" s="4" t="str">
        <x:v>PRJ-005</x:v>
      </x:c>
      <x:c r="D4486" s="4" t="str">
        <x:v>Office</x:v>
      </x:c>
      <x:c r="E4486" s="4" t="str">
        <x:v>Reserved</x:v>
      </x:c>
      <x:c r="F4486" s="4" t="str">
        <x:v>CUS-04485</x:v>
      </x:c>
      <x:c r="G4486" s="4" t="str">
        <x:v>UNIT-04485</x:v>
      </x:c>
      <x:c r="H4486" s="9" t="n">
        <x:v>20100000</x:v>
      </x:c>
      <x:c r="I4486" s="10" t="n">
        <x:v>0.07</x:v>
      </x:c>
      <x:c r="J4486" s="11" t="n">
        <x:v>12</x:v>
      </x:c>
      <x:c r="K4486" s="11" t="n">
        <x:v>9</x:v>
      </x:c>
      <x:c r="L4486" s="11" t="n">
        <x:v>0</x:v>
      </x:c>
      <x:c r="M4486" s="9" t="n">
        <x:f>ROUND(H4486*(1-I4486),2)</x:f>
        <x:v>18693000</x:v>
      </x:c>
      <x:c r="N4486" s="4" t="str">
        <x:v>Sales manager</x:v>
      </x:c>
      <x:c r="O4486" s="4"/>
      <x:c r="P4486" s="9" t="n">
        <x:v>0</x:v>
      </x:c>
      <x:c r="Q4486" s="11" t="n">
        <x:v>0</x:v>
      </x:c>
      <x:c r="R4486" s="8" t="n">
        <x:v>45600</x:v>
      </x:c>
      <x:c r="S4486" s="4" t="str">
        <x:v>Retained</x:v>
      </x:c>
      <x:c r="T4486" s="10" t="n">
        <x:v>0.351536</x:v>
      </x:c>
      <x:c r="U4486" s="4" t="str">
        <x:v>Test</x:v>
      </x:c>
    </x:row>
    <x:row r="4487" ht="34" customHeight="1">
      <x:c r="A4487" s="4" t="str">
        <x:v>RS-04486</x:v>
      </x:c>
      <x:c r="B4487" s="8" t="n">
        <x:v>45541</x:v>
      </x:c>
      <x:c r="C4487" s="4" t="str">
        <x:v>PRJ-006</x:v>
      </x:c>
      <x:c r="D4487" s="4" t="str">
        <x:v>Villa</x:v>
      </x:c>
      <x:c r="E4487" s="4" t="str">
        <x:v>Enquiry</x:v>
      </x:c>
      <x:c r="F4487" s="4" t="str">
        <x:v>CUS-04486</x:v>
      </x:c>
      <x:c r="G4487" s="4" t="str">
        <x:v>UNIT-04486</x:v>
      </x:c>
      <x:c r="H4487" s="9" t="n">
        <x:v>7700000</x:v>
      </x:c>
      <x:c r="I4487" s="10" t="n">
        <x:v>0.07</x:v>
      </x:c>
      <x:c r="J4487" s="11" t="n">
        <x:v>8</x:v>
      </x:c>
      <x:c r="K4487" s="11" t="n">
        <x:v>0</x:v>
      </x:c>
      <x:c r="L4487" s="11" t="n">
        <x:v>0</x:v>
      </x:c>
      <x:c r="M4487" s="9" t="n">
        <x:f>ROUND(H4487*(1-I4487),2)</x:f>
        <x:v>7161000</x:v>
      </x:c>
      <x:c r="N4487" s="4" t="str">
        <x:v>Sales manager</x:v>
      </x:c>
      <x:c r="O4487" s="4"/>
      <x:c r="P4487" s="9" t="n">
        <x:v>0</x:v>
      </x:c>
      <x:c r="Q4487" s="11" t="n">
        <x:v>1</x:v>
      </x:c>
      <x:c r="R4487" s="8" t="n">
        <x:v>45601</x:v>
      </x:c>
      <x:c r="S4487" s="4" t="str">
        <x:v>Lost / cancelled</x:v>
      </x:c>
      <x:c r="T4487" s="10" t="n">
        <x:v>0.310195</x:v>
      </x:c>
      <x:c r="U4487" s="4" t="str">
        <x:v>Test</x:v>
      </x:c>
    </x:row>
    <x:row r="4488" ht="34" customHeight="1">
      <x:c r="A4488" s="4" t="str">
        <x:v>RS-04487</x:v>
      </x:c>
      <x:c r="B4488" s="8" t="n">
        <x:v>45542</x:v>
      </x:c>
      <x:c r="C4488" s="4" t="str">
        <x:v>PRJ-007</x:v>
      </x:c>
      <x:c r="D4488" s="4" t="str">
        <x:v>Villa</x:v>
      </x:c>
      <x:c r="E4488" s="4" t="str">
        <x:v>Enquiry</x:v>
      </x:c>
      <x:c r="F4488" s="4" t="str">
        <x:v>CUS-04487</x:v>
      </x:c>
      <x:c r="G4488" s="4" t="str">
        <x:v>UNIT-04487</x:v>
      </x:c>
      <x:c r="H4488" s="9" t="n">
        <x:v>20100000</x:v>
      </x:c>
      <x:c r="I4488" s="10" t="n">
        <x:v>0.06</x:v>
      </x:c>
      <x:c r="J4488" s="11" t="n">
        <x:v>0</x:v>
      </x:c>
      <x:c r="K4488" s="11" t="n">
        <x:v>8</x:v>
      </x:c>
      <x:c r="L4488" s="11" t="n">
        <x:v>0</x:v>
      </x:c>
      <x:c r="M4488" s="9" t="n">
        <x:f>ROUND(H4488*(1-I4488),2)</x:f>
        <x:v>18894000</x:v>
      </x:c>
      <x:c r="N4488" s="4" t="str">
        <x:v>Sales manager</x:v>
      </x:c>
      <x:c r="O4488" s="4"/>
      <x:c r="P4488" s="9" t="n">
        <x:v>0</x:v>
      </x:c>
      <x:c r="Q4488" s="11" t="n">
        <x:v>0</x:v>
      </x:c>
      <x:c r="R4488" s="8" t="n">
        <x:v>45602</x:v>
      </x:c>
      <x:c r="S4488" s="4" t="str">
        <x:v>Retained</x:v>
      </x:c>
      <x:c r="T4488" s="10" t="n">
        <x:v>0.204152</x:v>
      </x:c>
      <x:c r="U4488" s="4" t="str">
        <x:v>Test</x:v>
      </x:c>
    </x:row>
    <x:row r="4489" ht="34" customHeight="1">
      <x:c r="A4489" s="4" t="str">
        <x:v>RS-04488</x:v>
      </x:c>
      <x:c r="B4489" s="8" t="n">
        <x:v>45543</x:v>
      </x:c>
      <x:c r="C4489" s="4" t="str">
        <x:v>PRJ-008</x:v>
      </x:c>
      <x:c r="D4489" s="4" t="str">
        <x:v>Apartment</x:v>
      </x:c>
      <x:c r="E4489" s="4" t="str">
        <x:v>Handed over</x:v>
      </x:c>
      <x:c r="F4489" s="4" t="str">
        <x:v>CUS-04488</x:v>
      </x:c>
      <x:c r="G4489" s="4" t="str">
        <x:v>UNIT-04488</x:v>
      </x:c>
      <x:c r="H4489" s="9" t="n">
        <x:v>6500000</x:v>
      </x:c>
      <x:c r="I4489" s="10" t="n">
        <x:v>0.06</x:v>
      </x:c>
      <x:c r="J4489" s="11" t="n">
        <x:v>6</x:v>
      </x:c>
      <x:c r="K4489" s="11" t="n">
        <x:v>1</x:v>
      </x:c>
      <x:c r="L4489" s="11" t="n">
        <x:v>1</x:v>
      </x:c>
      <x:c r="M4489" s="9" t="n">
        <x:f>ROUND(H4489*(1-I4489),2)</x:f>
        <x:v>6110000</x:v>
      </x:c>
      <x:c r="N4489" s="4" t="str">
        <x:v>Sales manager</x:v>
      </x:c>
      <x:c r="O4489" s="4" t="str">
        <x:v>BOOK-04488</x:v>
      </x:c>
      <x:c r="P4489" s="9" t="n">
        <x:v>1527500</x:v>
      </x:c>
      <x:c r="Q4489" s="11" t="n">
        <x:v>0</x:v>
      </x:c>
      <x:c r="R4489" s="8" t="n">
        <x:v>45603</x:v>
      </x:c>
      <x:c r="S4489" s="4" t="str">
        <x:v>Retained</x:v>
      </x:c>
      <x:c r="T4489" s="10" t="n">
        <x:v>0.291946</x:v>
      </x:c>
      <x:c r="U4489" s="4" t="str">
        <x:v>Test</x:v>
      </x:c>
    </x:row>
    <x:row r="4490" ht="34" customHeight="1">
      <x:c r="A4490" s="4" t="str">
        <x:v>RS-04489</x:v>
      </x:c>
      <x:c r="B4490" s="8" t="n">
        <x:v>45544</x:v>
      </x:c>
      <x:c r="C4490" s="4" t="str">
        <x:v>PRJ-009</x:v>
      </x:c>
      <x:c r="D4490" s="4" t="str">
        <x:v>Office</x:v>
      </x:c>
      <x:c r="E4490" s="4" t="str">
        <x:v>Agreement signed</x:v>
      </x:c>
      <x:c r="F4490" s="4" t="str">
        <x:v>CUS-04489</x:v>
      </x:c>
      <x:c r="G4490" s="4" t="str">
        <x:v>UNIT-04489</x:v>
      </x:c>
      <x:c r="H4490" s="9" t="n">
        <x:v>6200000</x:v>
      </x:c>
      <x:c r="I4490" s="10" t="n">
        <x:v>0.03</x:v>
      </x:c>
      <x:c r="J4490" s="11" t="n">
        <x:v>9</x:v>
      </x:c>
      <x:c r="K4490" s="11" t="n">
        <x:v>5</x:v>
      </x:c>
      <x:c r="L4490" s="11" t="n">
        <x:v>0</x:v>
      </x:c>
      <x:c r="M4490" s="9" t="n">
        <x:f>ROUND(H4490*(1-I4490),2)</x:f>
        <x:v>6014000</x:v>
      </x:c>
      <x:c r="N4490" s="4" t="str">
        <x:v>Sales manager</x:v>
      </x:c>
      <x:c r="O4490" s="4" t="str">
        <x:v>BOOK-04489</x:v>
      </x:c>
      <x:c r="P4490" s="9" t="n">
        <x:v>6014000</x:v>
      </x:c>
      <x:c r="Q4490" s="11" t="n">
        <x:v>0</x:v>
      </x:c>
      <x:c r="R4490" s="8" t="n">
        <x:v>45604</x:v>
      </x:c>
      <x:c r="S4490" s="4" t="str">
        <x:v>Retained</x:v>
      </x:c>
      <x:c r="T4490" s="10" t="n">
        <x:v>0.310195</x:v>
      </x:c>
      <x:c r="U4490" s="4" t="str">
        <x:v>Test</x:v>
      </x:c>
    </x:row>
    <x:row r="4491" ht="34" customHeight="1">
      <x:c r="A4491" s="4" t="str">
        <x:v>RS-04490</x:v>
      </x:c>
      <x:c r="B4491" s="8" t="n">
        <x:v>45545</x:v>
      </x:c>
      <x:c r="C4491" s="4" t="str">
        <x:v>PRJ-010</x:v>
      </x:c>
      <x:c r="D4491" s="4" t="str">
        <x:v>Retail</x:v>
      </x:c>
      <x:c r="E4491" s="4" t="str">
        <x:v>Enquiry</x:v>
      </x:c>
      <x:c r="F4491" s="4" t="str">
        <x:v>CUS-04490</x:v>
      </x:c>
      <x:c r="G4491" s="4" t="str">
        <x:v>UNIT-04490</x:v>
      </x:c>
      <x:c r="H4491" s="9" t="n">
        <x:v>23600000</x:v>
      </x:c>
      <x:c r="I4491" s="10" t="n">
        <x:v>0.12</x:v>
      </x:c>
      <x:c r="J4491" s="11" t="n">
        <x:v>2</x:v>
      </x:c>
      <x:c r="K4491" s="11" t="n">
        <x:v>5</x:v>
      </x:c>
      <x:c r="L4491" s="11" t="n">
        <x:v>0</x:v>
      </x:c>
      <x:c r="M4491" s="9" t="n">
        <x:f>ROUND(H4491*(1-I4491),2)</x:f>
        <x:v>20768000</x:v>
      </x:c>
      <x:c r="N4491" s="4" t="str">
        <x:v>Sales head</x:v>
      </x:c>
      <x:c r="O4491" s="4"/>
      <x:c r="P4491" s="9" t="n">
        <x:v>0</x:v>
      </x:c>
      <x:c r="Q4491" s="11" t="n">
        <x:v>0</x:v>
      </x:c>
      <x:c r="R4491" s="8" t="n">
        <x:v>45605</x:v>
      </x:c>
      <x:c r="S4491" s="4" t="str">
        <x:v>Retained</x:v>
      </x:c>
      <x:c r="T4491" s="10" t="n">
        <x:v>0.145833</x:v>
      </x:c>
      <x:c r="U4491" s="4" t="str">
        <x:v>Test</x:v>
      </x:c>
    </x:row>
    <x:row r="4492" ht="34" customHeight="1">
      <x:c r="A4492" s="4" t="str">
        <x:v>RS-04491</x:v>
      </x:c>
      <x:c r="B4492" s="8" t="n">
        <x:v>45546</x:v>
      </x:c>
      <x:c r="C4492" s="4" t="str">
        <x:v>PRJ-011</x:v>
      </x:c>
      <x:c r="D4492" s="4" t="str">
        <x:v>Retail</x:v>
      </x:c>
      <x:c r="E4492" s="4" t="str">
        <x:v>Enquiry</x:v>
      </x:c>
      <x:c r="F4492" s="4" t="str">
        <x:v>CUS-04491</x:v>
      </x:c>
      <x:c r="G4492" s="4" t="str">
        <x:v>UNIT-04491</x:v>
      </x:c>
      <x:c r="H4492" s="9" t="n">
        <x:v>24600000</x:v>
      </x:c>
      <x:c r="I4492" s="10" t="n">
        <x:v>0.09</x:v>
      </x:c>
      <x:c r="J4492" s="11" t="n">
        <x:v>1</x:v>
      </x:c>
      <x:c r="K4492" s="11" t="n">
        <x:v>1</x:v>
      </x:c>
      <x:c r="L4492" s="11" t="n">
        <x:v>0</x:v>
      </x:c>
      <x:c r="M4492" s="9" t="n">
        <x:f>ROUND(H4492*(1-I4492),2)</x:f>
        <x:v>22386000</x:v>
      </x:c>
      <x:c r="N4492" s="4" t="str">
        <x:v>Sales head</x:v>
      </x:c>
      <x:c r="O4492" s="4"/>
      <x:c r="P4492" s="9" t="n">
        <x:v>0</x:v>
      </x:c>
      <x:c r="Q4492" s="11" t="n">
        <x:v>0</x:v>
      </x:c>
      <x:c r="R4492" s="8" t="n">
        <x:v>45606</x:v>
      </x:c>
      <x:c r="S4492" s="4" t="str">
        <x:v>Retained</x:v>
      </x:c>
      <x:c r="T4492" s="10" t="n">
        <x:v>0.145833</x:v>
      </x:c>
      <x:c r="U4492" s="4" t="str">
        <x:v>Test</x:v>
      </x:c>
    </x:row>
    <x:row r="4493" ht="34" customHeight="1">
      <x:c r="A4493" s="4" t="str">
        <x:v>RS-04492</x:v>
      </x:c>
      <x:c r="B4493" s="8" t="n">
        <x:v>45547</x:v>
      </x:c>
      <x:c r="C4493" s="4" t="str">
        <x:v>PRJ-012</x:v>
      </x:c>
      <x:c r="D4493" s="4" t="str">
        <x:v>Villa</x:v>
      </x:c>
      <x:c r="E4493" s="4" t="str">
        <x:v>Enquiry</x:v>
      </x:c>
      <x:c r="F4493" s="4" t="str">
        <x:v>CUS-04492</x:v>
      </x:c>
      <x:c r="G4493" s="4" t="str">
        <x:v>UNIT-04492</x:v>
      </x:c>
      <x:c r="H4493" s="9" t="n">
        <x:v>6000000</x:v>
      </x:c>
      <x:c r="I4493" s="10" t="n">
        <x:v>0.1</x:v>
      </x:c>
      <x:c r="J4493" s="11" t="n">
        <x:v>11</x:v>
      </x:c>
      <x:c r="K4493" s="11" t="n">
        <x:v>7</x:v>
      </x:c>
      <x:c r="L4493" s="11" t="n">
        <x:v>1</x:v>
      </x:c>
      <x:c r="M4493" s="9" t="n">
        <x:f>ROUND(H4493*(1-I4493),2)</x:f>
        <x:v>5400000</x:v>
      </x:c>
      <x:c r="N4493" s="4" t="str">
        <x:v>Sales head</x:v>
      </x:c>
      <x:c r="O4493" s="4"/>
      <x:c r="P4493" s="9" t="n">
        <x:v>0</x:v>
      </x:c>
      <x:c r="Q4493" s="11" t="n">
        <x:v>1</x:v>
      </x:c>
      <x:c r="R4493" s="8" t="n">
        <x:v>45607</x:v>
      </x:c>
      <x:c r="S4493" s="4" t="str">
        <x:v>Lost / cancelled</x:v>
      </x:c>
      <x:c r="T4493" s="10" t="n">
        <x:v>0.351536</x:v>
      </x:c>
      <x:c r="U4493" s="4" t="str">
        <x:v>Test</x:v>
      </x:c>
    </x:row>
    <x:row r="4494" ht="34" customHeight="1">
      <x:c r="A4494" s="4" t="str">
        <x:v>RS-04493</x:v>
      </x:c>
      <x:c r="B4494" s="8" t="n">
        <x:v>45548</x:v>
      </x:c>
      <x:c r="C4494" s="4" t="str">
        <x:v>PRJ-013</x:v>
      </x:c>
      <x:c r="D4494" s="4" t="str">
        <x:v>Villa</x:v>
      </x:c>
      <x:c r="E4494" s="4" t="str">
        <x:v>Booked</x:v>
      </x:c>
      <x:c r="F4494" s="4" t="str">
        <x:v>CUS-04493</x:v>
      </x:c>
      <x:c r="G4494" s="4" t="str">
        <x:v>UNIT-04493</x:v>
      </x:c>
      <x:c r="H4494" s="9" t="n">
        <x:v>15100000</x:v>
      </x:c>
      <x:c r="I4494" s="10" t="n">
        <x:v>0.06</x:v>
      </x:c>
      <x:c r="J4494" s="11" t="n">
        <x:v>1</x:v>
      </x:c>
      <x:c r="K4494" s="11" t="n">
        <x:v>9</x:v>
      </x:c>
      <x:c r="L4494" s="11" t="n">
        <x:v>0</x:v>
      </x:c>
      <x:c r="M4494" s="9" t="n">
        <x:f>ROUND(H4494*(1-I4494),2)</x:f>
        <x:v>14194000</x:v>
      </x:c>
      <x:c r="N4494" s="4" t="str">
        <x:v>Sales manager</x:v>
      </x:c>
      <x:c r="O4494" s="4" t="str">
        <x:v>BOOK-04493</x:v>
      </x:c>
      <x:c r="P4494" s="9" t="n">
        <x:v>14194000</x:v>
      </x:c>
      <x:c r="Q4494" s="11" t="n">
        <x:v>0</x:v>
      </x:c>
      <x:c r="R4494" s="8" t="n">
        <x:v>45608</x:v>
      </x:c>
      <x:c r="S4494" s="4" t="str">
        <x:v>Retained</x:v>
      </x:c>
      <x:c r="T4494" s="10" t="n">
        <x:v>0.204152</x:v>
      </x:c>
      <x:c r="U4494" s="4" t="str">
        <x:v>Test</x:v>
      </x:c>
    </x:row>
    <x:row r="4495" ht="34" customHeight="1">
      <x:c r="A4495" s="4" t="str">
        <x:v>RS-04494</x:v>
      </x:c>
      <x:c r="B4495" s="8" t="n">
        <x:v>45549</x:v>
      </x:c>
      <x:c r="C4495" s="4" t="str">
        <x:v>PRJ-014</x:v>
      </x:c>
      <x:c r="D4495" s="4" t="str">
        <x:v>Apartment</x:v>
      </x:c>
      <x:c r="E4495" s="4" t="str">
        <x:v>Enquiry</x:v>
      </x:c>
      <x:c r="F4495" s="4" t="str">
        <x:v>CUS-04494</x:v>
      </x:c>
      <x:c r="G4495" s="4" t="str">
        <x:v>UNIT-04494</x:v>
      </x:c>
      <x:c r="H4495" s="9" t="n">
        <x:v>17100000</x:v>
      </x:c>
      <x:c r="I4495" s="10" t="n">
        <x:v>0.02</x:v>
      </x:c>
      <x:c r="J4495" s="11" t="n">
        <x:v>5</x:v>
      </x:c>
      <x:c r="K4495" s="11" t="n">
        <x:v>5</x:v>
      </x:c>
      <x:c r="L4495" s="11" t="n">
        <x:v>0</x:v>
      </x:c>
      <x:c r="M4495" s="9" t="n">
        <x:f>ROUND(H4495*(1-I4495),2)</x:f>
        <x:v>16758000</x:v>
      </x:c>
      <x:c r="N4495" s="4" t="str">
        <x:v>Sales manager</x:v>
      </x:c>
      <x:c r="O4495" s="4"/>
      <x:c r="P4495" s="9" t="n">
        <x:v>0</x:v>
      </x:c>
      <x:c r="Q4495" s="11" t="n">
        <x:v>0</x:v>
      </x:c>
      <x:c r="R4495" s="8" t="n">
        <x:v>45609</x:v>
      </x:c>
      <x:c r="S4495" s="4" t="str">
        <x:v>Retained</x:v>
      </x:c>
      <x:c r="T4495" s="10" t="n">
        <x:v>0.145299</x:v>
      </x:c>
      <x:c r="U4495" s="4" t="str">
        <x:v>Test</x:v>
      </x:c>
    </x:row>
    <x:row r="4496" ht="34" customHeight="1">
      <x:c r="A4496" s="4" t="str">
        <x:v>RS-04495</x:v>
      </x:c>
      <x:c r="B4496" s="8" t="n">
        <x:v>45550</x:v>
      </x:c>
      <x:c r="C4496" s="4" t="str">
        <x:v>PRJ-015</x:v>
      </x:c>
      <x:c r="D4496" s="4" t="str">
        <x:v>Villa</x:v>
      </x:c>
      <x:c r="E4496" s="4" t="str">
        <x:v>Enquiry</x:v>
      </x:c>
      <x:c r="F4496" s="4" t="str">
        <x:v>CUS-04495</x:v>
      </x:c>
      <x:c r="G4496" s="4" t="str">
        <x:v>UNIT-04495</x:v>
      </x:c>
      <x:c r="H4496" s="9" t="n">
        <x:v>20300000</x:v>
      </x:c>
      <x:c r="I4496" s="10" t="n">
        <x:v>0.08</x:v>
      </x:c>
      <x:c r="J4496" s="11" t="n">
        <x:v>2</x:v>
      </x:c>
      <x:c r="K4496" s="11" t="n">
        <x:v>7</x:v>
      </x:c>
      <x:c r="L4496" s="11" t="n">
        <x:v>0</x:v>
      </x:c>
      <x:c r="M4496" s="9" t="n">
        <x:f>ROUND(H4496*(1-I4496),2)</x:f>
        <x:v>18676000</x:v>
      </x:c>
      <x:c r="N4496" s="4" t="str">
        <x:v>Sales head</x:v>
      </x:c>
      <x:c r="O4496" s="4"/>
      <x:c r="P4496" s="9" t="n">
        <x:v>0</x:v>
      </x:c>
      <x:c r="Q4496" s="11" t="n">
        <x:v>0</x:v>
      </x:c>
      <x:c r="R4496" s="8" t="n">
        <x:v>45610</x:v>
      </x:c>
      <x:c r="S4496" s="4" t="str">
        <x:v>Retained</x:v>
      </x:c>
      <x:c r="T4496" s="10" t="n">
        <x:v>0.204152</x:v>
      </x:c>
      <x:c r="U4496" s="4" t="str">
        <x:v>Test</x:v>
      </x:c>
    </x:row>
    <x:row r="4497" ht="34" customHeight="1">
      <x:c r="A4497" s="4" t="str">
        <x:v>RS-04496</x:v>
      </x:c>
      <x:c r="B4497" s="8" t="n">
        <x:v>45551</x:v>
      </x:c>
      <x:c r="C4497" s="4" t="str">
        <x:v>PRJ-016</x:v>
      </x:c>
      <x:c r="D4497" s="4" t="str">
        <x:v>Office</x:v>
      </x:c>
      <x:c r="E4497" s="4" t="str">
        <x:v>Agreement signed</x:v>
      </x:c>
      <x:c r="F4497" s="4" t="str">
        <x:v>CUS-04496</x:v>
      </x:c>
      <x:c r="G4497" s="4" t="str">
        <x:v>UNIT-04496</x:v>
      </x:c>
      <x:c r="H4497" s="9" t="n">
        <x:v>10800000</x:v>
      </x:c>
      <x:c r="I4497" s="10" t="n">
        <x:v>0.02</x:v>
      </x:c>
      <x:c r="J4497" s="11" t="n">
        <x:v>9</x:v>
      </x:c>
      <x:c r="K4497" s="11" t="n">
        <x:v>5</x:v>
      </x:c>
      <x:c r="L4497" s="11" t="n">
        <x:v>1</x:v>
      </x:c>
      <x:c r="M4497" s="9" t="n">
        <x:f>ROUND(H4497*(1-I4497),2)</x:f>
        <x:v>10584000</x:v>
      </x:c>
      <x:c r="N4497" s="4" t="str">
        <x:v>Sales manager</x:v>
      </x:c>
      <x:c r="O4497" s="4" t="str">
        <x:v>BOOK-04496</x:v>
      </x:c>
      <x:c r="P4497" s="9" t="n">
        <x:v>10584000</x:v>
      </x:c>
      <x:c r="Q4497" s="11" t="n">
        <x:v>0</x:v>
      </x:c>
      <x:c r="R4497" s="8" t="n">
        <x:v>45611</x:v>
      </x:c>
      <x:c r="S4497" s="4" t="str">
        <x:v>Retained</x:v>
      </x:c>
      <x:c r="T4497" s="10" t="n">
        <x:v>0.254545</x:v>
      </x:c>
      <x:c r="U4497" s="4" t="str">
        <x:v>Test</x:v>
      </x:c>
    </x:row>
    <x:row r="4498" ht="34" customHeight="1">
      <x:c r="A4498" s="4" t="str">
        <x:v>RS-04497</x:v>
      </x:c>
      <x:c r="B4498" s="8" t="n">
        <x:v>45552</x:v>
      </x:c>
      <x:c r="C4498" s="4" t="str">
        <x:v>PRJ-017</x:v>
      </x:c>
      <x:c r="D4498" s="4" t="str">
        <x:v>Office</x:v>
      </x:c>
      <x:c r="E4498" s="4" t="str">
        <x:v>Handed over</x:v>
      </x:c>
      <x:c r="F4498" s="4" t="str">
        <x:v>CUS-04497</x:v>
      </x:c>
      <x:c r="G4498" s="4" t="str">
        <x:v>UNIT-04497</x:v>
      </x:c>
      <x:c r="H4498" s="9" t="n">
        <x:v>13800000</x:v>
      </x:c>
      <x:c r="I4498" s="10" t="n">
        <x:v>0.03</x:v>
      </x:c>
      <x:c r="J4498" s="11" t="n">
        <x:v>1</x:v>
      </x:c>
      <x:c r="K4498" s="11" t="n">
        <x:v>0</x:v>
      </x:c>
      <x:c r="L4498" s="11" t="n">
        <x:v>0</x:v>
      </x:c>
      <x:c r="M4498" s="9" t="n">
        <x:f>ROUND(H4498*(1-I4498),2)</x:f>
        <x:v>13386000</x:v>
      </x:c>
      <x:c r="N4498" s="4" t="str">
        <x:v>Sales manager</x:v>
      </x:c>
      <x:c r="O4498" s="4" t="str">
        <x:v>BOOK-04497</x:v>
      </x:c>
      <x:c r="P4498" s="9" t="n">
        <x:v>1338600</x:v>
      </x:c>
      <x:c r="Q4498" s="11" t="n">
        <x:v>0</x:v>
      </x:c>
      <x:c r="R4498" s="8" t="n">
        <x:v>45612</x:v>
      </x:c>
      <x:c r="S4498" s="4" t="str">
        <x:v>Retained</x:v>
      </x:c>
      <x:c r="T4498" s="10" t="n">
        <x:v>0.276923</x:v>
      </x:c>
      <x:c r="U4498" s="4" t="str">
        <x:v>Test</x:v>
      </x:c>
    </x:row>
    <x:row r="4499" ht="34" customHeight="1">
      <x:c r="A4499" s="4" t="str">
        <x:v>RS-04498</x:v>
      </x:c>
      <x:c r="B4499" s="8" t="n">
        <x:v>45553</x:v>
      </x:c>
      <x:c r="C4499" s="4" t="str">
        <x:v>PRJ-018</x:v>
      </x:c>
      <x:c r="D4499" s="4" t="str">
        <x:v>Office</x:v>
      </x:c>
      <x:c r="E4499" s="4" t="str">
        <x:v>Handed over</x:v>
      </x:c>
      <x:c r="F4499" s="4" t="str">
        <x:v>CUS-04498</x:v>
      </x:c>
      <x:c r="G4499" s="4" t="str">
        <x:v>UNIT-04498</x:v>
      </x:c>
      <x:c r="H4499" s="9" t="n">
        <x:v>8100000</x:v>
      </x:c>
      <x:c r="I4499" s="10" t="n">
        <x:v>0.04</x:v>
      </x:c>
      <x:c r="J4499" s="11" t="n">
        <x:v>6</x:v>
      </x:c>
      <x:c r="K4499" s="11" t="n">
        <x:v>7</x:v>
      </x:c>
      <x:c r="L4499" s="11" t="n">
        <x:v>1</x:v>
      </x:c>
      <x:c r="M4499" s="9" t="n">
        <x:f>ROUND(H4499*(1-I4499),2)</x:f>
        <x:v>7776000</x:v>
      </x:c>
      <x:c r="N4499" s="4" t="str">
        <x:v>Sales manager</x:v>
      </x:c>
      <x:c r="O4499" s="4" t="str">
        <x:v>BOOK-04498</x:v>
      </x:c>
      <x:c r="P4499" s="9" t="n">
        <x:v>3888000</x:v>
      </x:c>
      <x:c r="Q4499" s="11" t="n">
        <x:v>0</x:v>
      </x:c>
      <x:c r="R4499" s="8" t="n">
        <x:v>45613</x:v>
      </x:c>
      <x:c r="S4499" s="4" t="str">
        <x:v>Retained</x:v>
      </x:c>
      <x:c r="T4499" s="10" t="n">
        <x:v>0.291946</x:v>
      </x:c>
      <x:c r="U4499" s="4" t="str">
        <x:v>Test</x:v>
      </x:c>
    </x:row>
    <x:row r="4500" ht="34" customHeight="1">
      <x:c r="A4500" s="4" t="str">
        <x:v>RS-04499</x:v>
      </x:c>
      <x:c r="B4500" s="8" t="n">
        <x:v>45554</x:v>
      </x:c>
      <x:c r="C4500" s="4" t="str">
        <x:v>PRJ-019</x:v>
      </x:c>
      <x:c r="D4500" s="4" t="str">
        <x:v>Villa</x:v>
      </x:c>
      <x:c r="E4500" s="4" t="str">
        <x:v>Reserved</x:v>
      </x:c>
      <x:c r="F4500" s="4" t="str">
        <x:v>CUS-04499</x:v>
      </x:c>
      <x:c r="G4500" s="4" t="str">
        <x:v>UNIT-04499</x:v>
      </x:c>
      <x:c r="H4500" s="9" t="n">
        <x:v>4100000</x:v>
      </x:c>
      <x:c r="I4500" s="10" t="n">
        <x:v>0.01</x:v>
      </x:c>
      <x:c r="J4500" s="11" t="n">
        <x:v>0</x:v>
      </x:c>
      <x:c r="K4500" s="11" t="n">
        <x:v>8</x:v>
      </x:c>
      <x:c r="L4500" s="11" t="n">
        <x:v>0</x:v>
      </x:c>
      <x:c r="M4500" s="9" t="n">
        <x:f>ROUND(H4500*(1-I4500),2)</x:f>
        <x:v>4059000</x:v>
      </x:c>
      <x:c r="N4500" s="4" t="str">
        <x:v>Sales manager</x:v>
      </x:c>
      <x:c r="O4500" s="4"/>
      <x:c r="P4500" s="9" t="n">
        <x:v>0</x:v>
      </x:c>
      <x:c r="Q4500" s="11" t="n">
        <x:v>0</x:v>
      </x:c>
      <x:c r="R4500" s="8" t="n">
        <x:v>45614</x:v>
      </x:c>
      <x:c r="S4500" s="4" t="str">
        <x:v>Retained</x:v>
      </x:c>
      <x:c r="T4500" s="10" t="n">
        <x:v>0.072165</x:v>
      </x:c>
      <x:c r="U4500" s="4" t="str">
        <x:v>Test</x:v>
      </x:c>
    </x:row>
    <x:row r="4501" ht="34" customHeight="1">
      <x:c r="A4501" s="4" t="str">
        <x:v>RS-04500</x:v>
      </x:c>
      <x:c r="B4501" s="8" t="n">
        <x:v>45555</x:v>
      </x:c>
      <x:c r="C4501" s="4" t="str">
        <x:v>PRJ-020</x:v>
      </x:c>
      <x:c r="D4501" s="4" t="str">
        <x:v>Apartment</x:v>
      </x:c>
      <x:c r="E4501" s="4" t="str">
        <x:v>Agreement signed</x:v>
      </x:c>
      <x:c r="F4501" s="4" t="str">
        <x:v>CUS-04500</x:v>
      </x:c>
      <x:c r="G4501" s="4" t="str">
        <x:v>UNIT-04500</x:v>
      </x:c>
      <x:c r="H4501" s="9" t="n">
        <x:v>15400000</x:v>
      </x:c>
      <x:c r="I4501" s="10" t="n">
        <x:v>0.08</x:v>
      </x:c>
      <x:c r="J4501" s="11" t="n">
        <x:v>3</x:v>
      </x:c>
      <x:c r="K4501" s="11" t="n">
        <x:v>0</x:v>
      </x:c>
      <x:c r="L4501" s="11" t="n">
        <x:v>1</x:v>
      </x:c>
      <x:c r="M4501" s="9" t="n">
        <x:f>ROUND(H4501*(1-I4501),2)</x:f>
        <x:v>14168000</x:v>
      </x:c>
      <x:c r="N4501" s="4" t="str">
        <x:v>Sales head</x:v>
      </x:c>
      <x:c r="O4501" s="4" t="str">
        <x:v>BOOK-04500</x:v>
      </x:c>
      <x:c r="P4501" s="9" t="n">
        <x:v>1416800</x:v>
      </x:c>
      <x:c r="Q4501" s="11" t="n">
        <x:v>0</x:v>
      </x:c>
      <x:c r="R4501" s="8" t="n">
        <x:v>45615</x:v>
      </x:c>
      <x:c r="S4501" s="4" t="str">
        <x:v>Retained</x:v>
      </x:c>
      <x:c r="T4501" s="10" t="n">
        <x:v>0.276923</x:v>
      </x:c>
      <x:c r="U4501" s="4" t="str">
        <x:v>Test</x:v>
      </x:c>
    </x:row>
    <x:row r="4502" ht="34" customHeight="1">
      <x:c r="A4502" s="4" t="str">
        <x:v>RS-04501</x:v>
      </x:c>
      <x:c r="B4502" s="8" t="n">
        <x:v>45586</x:v>
      </x:c>
      <x:c r="C4502" s="4" t="str">
        <x:v>PRJ-001</x:v>
      </x:c>
      <x:c r="D4502" s="4" t="str">
        <x:v>Villa</x:v>
      </x:c>
      <x:c r="E4502" s="4" t="str">
        <x:v>Reserved</x:v>
      </x:c>
      <x:c r="F4502" s="4" t="str">
        <x:v>CUS-04501</x:v>
      </x:c>
      <x:c r="G4502" s="4" t="str">
        <x:v>UNIT-04501</x:v>
      </x:c>
      <x:c r="H4502" s="9" t="n">
        <x:v>4700000</x:v>
      </x:c>
      <x:c r="I4502" s="10" t="n">
        <x:v>0.05</x:v>
      </x:c>
      <x:c r="J4502" s="11" t="n">
        <x:v>9</x:v>
      </x:c>
      <x:c r="K4502" s="11" t="n">
        <x:v>2</x:v>
      </x:c>
      <x:c r="L4502" s="11" t="n">
        <x:v>1</x:v>
      </x:c>
      <x:c r="M4502" s="9" t="n">
        <x:f>ROUND(H4502*(1-I4502),2)</x:f>
        <x:v>4465000</x:v>
      </x:c>
      <x:c r="N4502" s="4" t="str">
        <x:v>Sales manager</x:v>
      </x:c>
      <x:c r="O4502" s="4"/>
      <x:c r="P4502" s="9" t="n">
        <x:v>0</x:v>
      </x:c>
      <x:c r="Q4502" s="11" t="n">
        <x:v>0</x:v>
      </x:c>
      <x:c r="R4502" s="8" t="n">
        <x:v>45646</x:v>
      </x:c>
      <x:c r="S4502" s="4" t="str">
        <x:v>Retained</x:v>
      </x:c>
      <x:c r="T4502" s="10" t="n">
        <x:v>0.310195</x:v>
      </x:c>
      <x:c r="U4502" s="4" t="str">
        <x:v>Test</x:v>
      </x:c>
    </x:row>
    <x:row r="4503" ht="34" customHeight="1">
      <x:c r="A4503" s="4" t="str">
        <x:v>RS-04502</x:v>
      </x:c>
      <x:c r="B4503" s="8" t="n">
        <x:v>45587</x:v>
      </x:c>
      <x:c r="C4503" s="4" t="str">
        <x:v>PRJ-002</x:v>
      </x:c>
      <x:c r="D4503" s="4" t="str">
        <x:v>Apartment</x:v>
      </x:c>
      <x:c r="E4503" s="4" t="str">
        <x:v>Reserved</x:v>
      </x:c>
      <x:c r="F4503" s="4" t="str">
        <x:v>CUS-04502</x:v>
      </x:c>
      <x:c r="G4503" s="4" t="str">
        <x:v>UNIT-04502</x:v>
      </x:c>
      <x:c r="H4503" s="9" t="n">
        <x:v>4000000</x:v>
      </x:c>
      <x:c r="I4503" s="10" t="n">
        <x:v>0</x:v>
      </x:c>
      <x:c r="J4503" s="11" t="n">
        <x:v>5</x:v>
      </x:c>
      <x:c r="K4503" s="11" t="n">
        <x:v>2</x:v>
      </x:c>
      <x:c r="L4503" s="11" t="n">
        <x:v>1</x:v>
      </x:c>
      <x:c r="M4503" s="9" t="n">
        <x:f>ROUND(H4503*(1-I4503),2)</x:f>
        <x:v>4000000</x:v>
      </x:c>
      <x:c r="N4503" s="4" t="str">
        <x:v>Sales manager</x:v>
      </x:c>
      <x:c r="O4503" s="4"/>
      <x:c r="P4503" s="9" t="n">
        <x:v>0</x:v>
      </x:c>
      <x:c r="Q4503" s="11" t="n">
        <x:v>1</x:v>
      </x:c>
      <x:c r="R4503" s="8" t="n">
        <x:v>45647</x:v>
      </x:c>
      <x:c r="S4503" s="4" t="str">
        <x:v>Lost / cancelled</x:v>
      </x:c>
      <x:c r="T4503" s="10" t="n">
        <x:v>0.298969</x:v>
      </x:c>
      <x:c r="U4503" s="4" t="str">
        <x:v>Test</x:v>
      </x:c>
    </x:row>
    <x:row r="4504" ht="34" customHeight="1">
      <x:c r="A4504" s="4" t="str">
        <x:v>RS-04503</x:v>
      </x:c>
      <x:c r="B4504" s="8" t="n">
        <x:v>45588</x:v>
      </x:c>
      <x:c r="C4504" s="4" t="str">
        <x:v>PRJ-003</x:v>
      </x:c>
      <x:c r="D4504" s="4" t="str">
        <x:v>Villa</x:v>
      </x:c>
      <x:c r="E4504" s="4" t="str">
        <x:v>Cancelled</x:v>
      </x:c>
      <x:c r="F4504" s="4" t="str">
        <x:v>CUS-04503</x:v>
      </x:c>
      <x:c r="G4504" s="4" t="str">
        <x:v>UNIT-04503</x:v>
      </x:c>
      <x:c r="H4504" s="9" t="n">
        <x:v>11800000</x:v>
      </x:c>
      <x:c r="I4504" s="10" t="n">
        <x:v>0.07</x:v>
      </x:c>
      <x:c r="J4504" s="11" t="n">
        <x:v>4</x:v>
      </x:c>
      <x:c r="K4504" s="11" t="n">
        <x:v>10</x:v>
      </x:c>
      <x:c r="L4504" s="11" t="n">
        <x:v>1</x:v>
      </x:c>
      <x:c r="M4504" s="9" t="n">
        <x:f>ROUND(H4504*(1-I4504),2)</x:f>
        <x:v>10974000</x:v>
      </x:c>
      <x:c r="N4504" s="4" t="str">
        <x:v>Sales manager</x:v>
      </x:c>
      <x:c r="O4504" s="4"/>
      <x:c r="P4504" s="9" t="n">
        <x:v>0</x:v>
      </x:c>
      <x:c r="Q4504" s="11" t="n">
        <x:v>1</x:v>
      </x:c>
      <x:c r="R4504" s="8" t="n">
        <x:v>45648</x:v>
      </x:c>
      <x:c r="S4504" s="4" t="str">
        <x:v>Lost / cancelled</x:v>
      </x:c>
      <x:c r="T4504" s="10" t="n">
        <x:v>0.291946</x:v>
      </x:c>
      <x:c r="U4504" s="4" t="str">
        <x:v>Test</x:v>
      </x:c>
    </x:row>
    <x:row r="4505" ht="34" customHeight="1">
      <x:c r="A4505" s="4" t="str">
        <x:v>RS-04504</x:v>
      </x:c>
      <x:c r="B4505" s="8" t="n">
        <x:v>45589</x:v>
      </x:c>
      <x:c r="C4505" s="4" t="str">
        <x:v>PRJ-004</x:v>
      </x:c>
      <x:c r="D4505" s="4" t="str">
        <x:v>Apartment</x:v>
      </x:c>
      <x:c r="E4505" s="4" t="str">
        <x:v>Cancelled</x:v>
      </x:c>
      <x:c r="F4505" s="4" t="str">
        <x:v>CUS-04504</x:v>
      </x:c>
      <x:c r="G4505" s="4" t="str">
        <x:v>UNIT-04504</x:v>
      </x:c>
      <x:c r="H4505" s="9" t="n">
        <x:v>10100000</x:v>
      </x:c>
      <x:c r="I4505" s="10" t="n">
        <x:v>0.06</x:v>
      </x:c>
      <x:c r="J4505" s="11" t="n">
        <x:v>11</x:v>
      </x:c>
      <x:c r="K4505" s="11" t="n">
        <x:v>8</x:v>
      </x:c>
      <x:c r="L4505" s="11" t="n">
        <x:v>1</x:v>
      </x:c>
      <x:c r="M4505" s="9" t="n">
        <x:f>ROUND(H4505*(1-I4505),2)</x:f>
        <x:v>9494000</x:v>
      </x:c>
      <x:c r="N4505" s="4" t="str">
        <x:v>Sales manager</x:v>
      </x:c>
      <x:c r="O4505" s="4"/>
      <x:c r="P4505" s="9" t="n">
        <x:v>0</x:v>
      </x:c>
      <x:c r="Q4505" s="11" t="n">
        <x:v>1</x:v>
      </x:c>
      <x:c r="R4505" s="8" t="n">
        <x:v>45649</x:v>
      </x:c>
      <x:c r="S4505" s="4" t="str">
        <x:v>Lost / cancelled</x:v>
      </x:c>
      <x:c r="T4505" s="10" t="n">
        <x:v>0.351536</x:v>
      </x:c>
      <x:c r="U4505" s="4" t="str">
        <x:v>Test</x:v>
      </x:c>
    </x:row>
    <x:row r="4506" ht="34" customHeight="1">
      <x:c r="A4506" s="4" t="str">
        <x:v>RS-04505</x:v>
      </x:c>
      <x:c r="B4506" s="8" t="n">
        <x:v>45590</x:v>
      </x:c>
      <x:c r="C4506" s="4" t="str">
        <x:v>PRJ-005</x:v>
      </x:c>
      <x:c r="D4506" s="4" t="str">
        <x:v>Office</x:v>
      </x:c>
      <x:c r="E4506" s="4" t="str">
        <x:v>Reserved</x:v>
      </x:c>
      <x:c r="F4506" s="4" t="str">
        <x:v>CUS-04505</x:v>
      </x:c>
      <x:c r="G4506" s="4" t="str">
        <x:v>UNIT-04505</x:v>
      </x:c>
      <x:c r="H4506" s="9" t="n">
        <x:v>10900000</x:v>
      </x:c>
      <x:c r="I4506" s="10" t="n">
        <x:v>0</x:v>
      </x:c>
      <x:c r="J4506" s="11" t="n">
        <x:v>10</x:v>
      </x:c>
      <x:c r="K4506" s="11" t="n">
        <x:v>1</x:v>
      </x:c>
      <x:c r="L4506" s="11" t="n">
        <x:v>1</x:v>
      </x:c>
      <x:c r="M4506" s="9" t="n">
        <x:f>ROUND(H4506*(1-I4506),2)</x:f>
        <x:v>10900000</x:v>
      </x:c>
      <x:c r="N4506" s="4" t="str">
        <x:v>Sales manager</x:v>
      </x:c>
      <x:c r="O4506" s="4"/>
      <x:c r="P4506" s="9" t="n">
        <x:v>0</x:v>
      </x:c>
      <x:c r="Q4506" s="11" t="n">
        <x:v>1</x:v>
      </x:c>
      <x:c r="R4506" s="8" t="n">
        <x:v>45650</x:v>
      </x:c>
      <x:c r="S4506" s="4" t="str">
        <x:v>Lost / cancelled</x:v>
      </x:c>
      <x:c r="T4506" s="10" t="n">
        <x:v>0.254545</x:v>
      </x:c>
      <x:c r="U4506" s="4" t="str">
        <x:v>Test</x:v>
      </x:c>
    </x:row>
    <x:row r="4507" ht="34" customHeight="1">
      <x:c r="A4507" s="4" t="str">
        <x:v>RS-04506</x:v>
      </x:c>
      <x:c r="B4507" s="8" t="n">
        <x:v>45591</x:v>
      </x:c>
      <x:c r="C4507" s="4" t="str">
        <x:v>PRJ-006</x:v>
      </x:c>
      <x:c r="D4507" s="4" t="str">
        <x:v>Villa</x:v>
      </x:c>
      <x:c r="E4507" s="4" t="str">
        <x:v>Booked</x:v>
      </x:c>
      <x:c r="F4507" s="4" t="str">
        <x:v>CUS-04506</x:v>
      </x:c>
      <x:c r="G4507" s="4" t="str">
        <x:v>UNIT-04506</x:v>
      </x:c>
      <x:c r="H4507" s="9" t="n">
        <x:v>24100000</x:v>
      </x:c>
      <x:c r="I4507" s="10" t="n">
        <x:v>0.05</x:v>
      </x:c>
      <x:c r="J4507" s="11" t="n">
        <x:v>4</x:v>
      </x:c>
      <x:c r="K4507" s="11" t="n">
        <x:v>1</x:v>
      </x:c>
      <x:c r="L4507" s="11" t="n">
        <x:v>0</x:v>
      </x:c>
      <x:c r="M4507" s="9" t="n">
        <x:f>ROUND(H4507*(1-I4507),2)</x:f>
        <x:v>22895000</x:v>
      </x:c>
      <x:c r="N4507" s="4" t="str">
        <x:v>Sales manager</x:v>
      </x:c>
      <x:c r="O4507" s="4" t="str">
        <x:v>BOOK-04506</x:v>
      </x:c>
      <x:c r="P4507" s="9" t="n">
        <x:v>22895000</x:v>
      </x:c>
      <x:c r="Q4507" s="11" t="n">
        <x:v>0</x:v>
      </x:c>
      <x:c r="R4507" s="8" t="n">
        <x:v>45651</x:v>
      </x:c>
      <x:c r="S4507" s="4" t="str">
        <x:v>Retained</x:v>
      </x:c>
      <x:c r="T4507" s="10" t="n">
        <x:v>0.226277</x:v>
      </x:c>
      <x:c r="U4507" s="4" t="str">
        <x:v>Test</x:v>
      </x:c>
    </x:row>
    <x:row r="4508" ht="34" customHeight="1">
      <x:c r="A4508" s="4" t="str">
        <x:v>RS-04507</x:v>
      </x:c>
      <x:c r="B4508" s="8" t="n">
        <x:v>45592</x:v>
      </x:c>
      <x:c r="C4508" s="4" t="str">
        <x:v>PRJ-007</x:v>
      </x:c>
      <x:c r="D4508" s="4" t="str">
        <x:v>Office</x:v>
      </x:c>
      <x:c r="E4508" s="4" t="str">
        <x:v>Booked</x:v>
      </x:c>
      <x:c r="F4508" s="4" t="str">
        <x:v>CUS-04507</x:v>
      </x:c>
      <x:c r="G4508" s="4" t="str">
        <x:v>UNIT-04507</x:v>
      </x:c>
      <x:c r="H4508" s="9" t="n">
        <x:v>16500000</x:v>
      </x:c>
      <x:c r="I4508" s="10" t="n">
        <x:v>0.04</x:v>
      </x:c>
      <x:c r="J4508" s="11" t="n">
        <x:v>10</x:v>
      </x:c>
      <x:c r="K4508" s="11" t="n">
        <x:v>5</x:v>
      </x:c>
      <x:c r="L4508" s="11" t="n">
        <x:v>0</x:v>
      </x:c>
      <x:c r="M4508" s="9" t="n">
        <x:f>ROUND(H4508*(1-I4508),2)</x:f>
        <x:v>15840000</x:v>
      </x:c>
      <x:c r="N4508" s="4" t="str">
        <x:v>Sales manager</x:v>
      </x:c>
      <x:c r="O4508" s="4" t="str">
        <x:v>BOOK-04507</x:v>
      </x:c>
      <x:c r="P4508" s="9" t="n">
        <x:v>3960000</x:v>
      </x:c>
      <x:c r="Q4508" s="11" t="n">
        <x:v>0</x:v>
      </x:c>
      <x:c r="R4508" s="8" t="n">
        <x:v>45652</x:v>
      </x:c>
      <x:c r="S4508" s="4" t="str">
        <x:v>Retained</x:v>
      </x:c>
      <x:c r="T4508" s="10" t="n">
        <x:v>0.310195</x:v>
      </x:c>
      <x:c r="U4508" s="4" t="str">
        <x:v>Test</x:v>
      </x:c>
    </x:row>
    <x:row r="4509" ht="34" customHeight="1">
      <x:c r="A4509" s="4" t="str">
        <x:v>RS-04508</x:v>
      </x:c>
      <x:c r="B4509" s="8" t="n">
        <x:v>45593</x:v>
      </x:c>
      <x:c r="C4509" s="4" t="str">
        <x:v>PRJ-008</x:v>
      </x:c>
      <x:c r="D4509" s="4" t="str">
        <x:v>Office</x:v>
      </x:c>
      <x:c r="E4509" s="4" t="str">
        <x:v>Booked</x:v>
      </x:c>
      <x:c r="F4509" s="4" t="str">
        <x:v>CUS-04508</x:v>
      </x:c>
      <x:c r="G4509" s="4" t="str">
        <x:v>UNIT-04508</x:v>
      </x:c>
      <x:c r="H4509" s="9" t="n">
        <x:v>3700000</x:v>
      </x:c>
      <x:c r="I4509" s="10" t="n">
        <x:v>0.02</x:v>
      </x:c>
      <x:c r="J4509" s="11" t="n">
        <x:v>3</x:v>
      </x:c>
      <x:c r="K4509" s="11" t="n">
        <x:v>1</x:v>
      </x:c>
      <x:c r="L4509" s="11" t="n">
        <x:v>0</x:v>
      </x:c>
      <x:c r="M4509" s="9" t="n">
        <x:f>ROUND(H4509*(1-I4509),2)</x:f>
        <x:v>3626000</x:v>
      </x:c>
      <x:c r="N4509" s="4" t="str">
        <x:v>Sales manager</x:v>
      </x:c>
      <x:c r="O4509" s="4" t="str">
        <x:v>BOOK-04508</x:v>
      </x:c>
      <x:c r="P4509" s="9" t="n">
        <x:v>362600</x:v>
      </x:c>
      <x:c r="Q4509" s="11" t="n">
        <x:v>0</x:v>
      </x:c>
      <x:c r="R4509" s="8" t="n">
        <x:v>45653</x:v>
      </x:c>
      <x:c r="S4509" s="4" t="str">
        <x:v>Retained</x:v>
      </x:c>
      <x:c r="T4509" s="10" t="n">
        <x:v>0.171717</x:v>
      </x:c>
      <x:c r="U4509" s="4" t="str">
        <x:v>Test</x:v>
      </x:c>
    </x:row>
    <x:row r="4510" ht="34" customHeight="1">
      <x:c r="A4510" s="4" t="str">
        <x:v>RS-04509</x:v>
      </x:c>
      <x:c r="B4510" s="8" t="n">
        <x:v>45566</x:v>
      </x:c>
      <x:c r="C4510" s="4" t="str">
        <x:v>PRJ-009</x:v>
      </x:c>
      <x:c r="D4510" s="4" t="str">
        <x:v>Villa</x:v>
      </x:c>
      <x:c r="E4510" s="4" t="str">
        <x:v>Cancelled</x:v>
      </x:c>
      <x:c r="F4510" s="4" t="str">
        <x:v>CUS-04509</x:v>
      </x:c>
      <x:c r="G4510" s="4" t="str">
        <x:v>UNIT-04509</x:v>
      </x:c>
      <x:c r="H4510" s="9" t="n">
        <x:v>22200000</x:v>
      </x:c>
      <x:c r="I4510" s="10" t="n">
        <x:v>0.07</x:v>
      </x:c>
      <x:c r="J4510" s="11" t="n">
        <x:v>6</x:v>
      </x:c>
      <x:c r="K4510" s="11" t="n">
        <x:v>8</x:v>
      </x:c>
      <x:c r="L4510" s="11" t="n">
        <x:v>1</x:v>
      </x:c>
      <x:c r="M4510" s="9" t="n">
        <x:f>ROUND(H4510*(1-I4510),2)</x:f>
        <x:v>20646000</x:v>
      </x:c>
      <x:c r="N4510" s="4" t="str">
        <x:v>Sales manager</x:v>
      </x:c>
      <x:c r="O4510" s="4"/>
      <x:c r="P4510" s="9" t="n">
        <x:v>0</x:v>
      </x:c>
      <x:c r="Q4510" s="11" t="n">
        <x:v>1</x:v>
      </x:c>
      <x:c r="R4510" s="8" t="n">
        <x:v>45626</x:v>
      </x:c>
      <x:c r="S4510" s="4" t="str">
        <x:v>Lost / cancelled</x:v>
      </x:c>
      <x:c r="T4510" s="10" t="n">
        <x:v>0.291946</x:v>
      </x:c>
      <x:c r="U4510" s="4" t="str">
        <x:v>Test</x:v>
      </x:c>
    </x:row>
    <x:row r="4511" ht="34" customHeight="1">
      <x:c r="A4511" s="4" t="str">
        <x:v>RS-04510</x:v>
      </x:c>
      <x:c r="B4511" s="8" t="n">
        <x:v>45567</x:v>
      </x:c>
      <x:c r="C4511" s="4" t="str">
        <x:v>PRJ-010</x:v>
      </x:c>
      <x:c r="D4511" s="4" t="str">
        <x:v>Office</x:v>
      </x:c>
      <x:c r="E4511" s="4" t="str">
        <x:v>Handed over</x:v>
      </x:c>
      <x:c r="F4511" s="4" t="str">
        <x:v>CUS-04510</x:v>
      </x:c>
      <x:c r="G4511" s="4" t="str">
        <x:v>UNIT-04510</x:v>
      </x:c>
      <x:c r="H4511" s="9" t="n">
        <x:v>15400000</x:v>
      </x:c>
      <x:c r="I4511" s="10" t="n">
        <x:v>0.02</x:v>
      </x:c>
      <x:c r="J4511" s="11" t="n">
        <x:v>6</x:v>
      </x:c>
      <x:c r="K4511" s="11" t="n">
        <x:v>9</x:v>
      </x:c>
      <x:c r="L4511" s="11" t="n">
        <x:v>0</x:v>
      </x:c>
      <x:c r="M4511" s="9" t="n">
        <x:f>ROUND(H4511*(1-I4511),2)</x:f>
        <x:v>15092000</x:v>
      </x:c>
      <x:c r="N4511" s="4" t="str">
        <x:v>Sales manager</x:v>
      </x:c>
      <x:c r="O4511" s="4" t="str">
        <x:v>BOOK-04510</x:v>
      </x:c>
      <x:c r="P4511" s="9" t="n">
        <x:v>7546000</x:v>
      </x:c>
      <x:c r="Q4511" s="11" t="n">
        <x:v>0</x:v>
      </x:c>
      <x:c r="R4511" s="8" t="n">
        <x:v>45627</x:v>
      </x:c>
      <x:c r="S4511" s="4" t="str">
        <x:v>Retained</x:v>
      </x:c>
      <x:c r="T4511" s="10" t="n">
        <x:v>0.145299</x:v>
      </x:c>
      <x:c r="U4511" s="4" t="str">
        <x:v>Test</x:v>
      </x:c>
    </x:row>
    <x:row r="4512" ht="34" customHeight="1">
      <x:c r="A4512" s="4" t="str">
        <x:v>RS-04511</x:v>
      </x:c>
      <x:c r="B4512" s="8" t="n">
        <x:v>45568</x:v>
      </x:c>
      <x:c r="C4512" s="4" t="str">
        <x:v>PRJ-011</x:v>
      </x:c>
      <x:c r="D4512" s="4" t="str">
        <x:v>Retail</x:v>
      </x:c>
      <x:c r="E4512" s="4" t="str">
        <x:v>Agreement signed</x:v>
      </x:c>
      <x:c r="F4512" s="4" t="str">
        <x:v>CUS-04511</x:v>
      </x:c>
      <x:c r="G4512" s="4" t="str">
        <x:v>UNIT-04511</x:v>
      </x:c>
      <x:c r="H4512" s="9" t="n">
        <x:v>20200000</x:v>
      </x:c>
      <x:c r="I4512" s="10" t="n">
        <x:v>0.07</x:v>
      </x:c>
      <x:c r="J4512" s="11" t="n">
        <x:v>11</x:v>
      </x:c>
      <x:c r="K4512" s="11" t="n">
        <x:v>4</x:v>
      </x:c>
      <x:c r="L4512" s="11" t="n">
        <x:v>1</x:v>
      </x:c>
      <x:c r="M4512" s="9" t="n">
        <x:f>ROUND(H4512*(1-I4512),2)</x:f>
        <x:v>18786000</x:v>
      </x:c>
      <x:c r="N4512" s="4" t="str">
        <x:v>Sales manager</x:v>
      </x:c>
      <x:c r="O4512" s="4" t="str">
        <x:v>BOOK-04511</x:v>
      </x:c>
      <x:c r="P4512" s="9" t="n">
        <x:v>4696500</x:v>
      </x:c>
      <x:c r="Q4512" s="11" t="n">
        <x:v>0</x:v>
      </x:c>
      <x:c r="R4512" s="8" t="n">
        <x:v>45628</x:v>
      </x:c>
      <x:c r="S4512" s="4" t="str">
        <x:v>Retained</x:v>
      </x:c>
      <x:c r="T4512" s="10" t="n">
        <x:v>0.351536</x:v>
      </x:c>
      <x:c r="U4512" s="4" t="str">
        <x:v>Test</x:v>
      </x:c>
    </x:row>
    <x:row r="4513" ht="34" customHeight="1">
      <x:c r="A4513" s="4" t="str">
        <x:v>RS-04512</x:v>
      </x:c>
      <x:c r="B4513" s="8" t="n">
        <x:v>45569</x:v>
      </x:c>
      <x:c r="C4513" s="4" t="str">
        <x:v>PRJ-012</x:v>
      </x:c>
      <x:c r="D4513" s="4" t="str">
        <x:v>Retail</x:v>
      </x:c>
      <x:c r="E4513" s="4" t="str">
        <x:v>Handed over</x:v>
      </x:c>
      <x:c r="F4513" s="4" t="str">
        <x:v>CUS-04512</x:v>
      </x:c>
      <x:c r="G4513" s="4" t="str">
        <x:v>UNIT-04512</x:v>
      </x:c>
      <x:c r="H4513" s="9" t="n">
        <x:v>25000000</x:v>
      </x:c>
      <x:c r="I4513" s="10" t="n">
        <x:v>0.05</x:v>
      </x:c>
      <x:c r="J4513" s="11" t="n">
        <x:v>10</x:v>
      </x:c>
      <x:c r="K4513" s="11" t="n">
        <x:v>4</x:v>
      </x:c>
      <x:c r="L4513" s="11" t="n">
        <x:v>1</x:v>
      </x:c>
      <x:c r="M4513" s="9" t="n">
        <x:f>ROUND(H4513*(1-I4513),2)</x:f>
        <x:v>23750000</x:v>
      </x:c>
      <x:c r="N4513" s="4" t="str">
        <x:v>Sales manager</x:v>
      </x:c>
      <x:c r="O4513" s="4" t="str">
        <x:v>BOOK-04512</x:v>
      </x:c>
      <x:c r="P4513" s="9" t="n">
        <x:v>5937500</x:v>
      </x:c>
      <x:c r="Q4513" s="11" t="n">
        <x:v>0</x:v>
      </x:c>
      <x:c r="R4513" s="8" t="n">
        <x:v>45629</x:v>
      </x:c>
      <x:c r="S4513" s="4" t="str">
        <x:v>Retained</x:v>
      </x:c>
      <x:c r="T4513" s="10" t="n">
        <x:v>0.310195</x:v>
      </x:c>
      <x:c r="U4513" s="4" t="str">
        <x:v>Test</x:v>
      </x:c>
    </x:row>
    <x:row r="4514" ht="34" customHeight="1">
      <x:c r="A4514" s="4" t="str">
        <x:v>RS-04513</x:v>
      </x:c>
      <x:c r="B4514" s="8" t="n">
        <x:v>45570</x:v>
      </x:c>
      <x:c r="C4514" s="4" t="str">
        <x:v>PRJ-013</x:v>
      </x:c>
      <x:c r="D4514" s="4" t="str">
        <x:v>Apartment</x:v>
      </x:c>
      <x:c r="E4514" s="4" t="str">
        <x:v>Enquiry</x:v>
      </x:c>
      <x:c r="F4514" s="4" t="str">
        <x:v>CUS-04513</x:v>
      </x:c>
      <x:c r="G4514" s="4" t="str">
        <x:v>UNIT-04513</x:v>
      </x:c>
      <x:c r="H4514" s="9" t="n">
        <x:v>4300000</x:v>
      </x:c>
      <x:c r="I4514" s="10" t="n">
        <x:v>0.04</x:v>
      </x:c>
      <x:c r="J4514" s="11" t="n">
        <x:v>4</x:v>
      </x:c>
      <x:c r="K4514" s="11" t="n">
        <x:v>5</x:v>
      </x:c>
      <x:c r="L4514" s="11" t="n">
        <x:v>1</x:v>
      </x:c>
      <x:c r="M4514" s="9" t="n">
        <x:f>ROUND(H4514*(1-I4514),2)</x:f>
        <x:v>4128000</x:v>
      </x:c>
      <x:c r="N4514" s="4" t="str">
        <x:v>Sales manager</x:v>
      </x:c>
      <x:c r="O4514" s="4"/>
      <x:c r="P4514" s="9" t="n">
        <x:v>0</x:v>
      </x:c>
      <x:c r="Q4514" s="11" t="n">
        <x:v>0</x:v>
      </x:c>
      <x:c r="R4514" s="8" t="n">
        <x:v>45630</x:v>
      </x:c>
      <x:c r="S4514" s="4" t="str">
        <x:v>Retained</x:v>
      </x:c>
      <x:c r="T4514" s="10" t="n">
        <x:v>0.291946</x:v>
      </x:c>
      <x:c r="U4514" s="4" t="str">
        <x:v>Test</x:v>
      </x:c>
    </x:row>
    <x:row r="4515" ht="34" customHeight="1">
      <x:c r="A4515" s="4" t="str">
        <x:v>RS-04514</x:v>
      </x:c>
      <x:c r="B4515" s="8" t="n">
        <x:v>45571</x:v>
      </x:c>
      <x:c r="C4515" s="4" t="str">
        <x:v>PRJ-014</x:v>
      </x:c>
      <x:c r="D4515" s="4" t="str">
        <x:v>Office</x:v>
      </x:c>
      <x:c r="E4515" s="4" t="str">
        <x:v>Booked</x:v>
      </x:c>
      <x:c r="F4515" s="4" t="str">
        <x:v>CUS-04514</x:v>
      </x:c>
      <x:c r="G4515" s="4" t="str">
        <x:v>UNIT-04514</x:v>
      </x:c>
      <x:c r="H4515" s="9" t="n">
        <x:v>14500000</x:v>
      </x:c>
      <x:c r="I4515" s="10" t="n">
        <x:v>0.02</x:v>
      </x:c>
      <x:c r="J4515" s="11" t="n">
        <x:v>8</x:v>
      </x:c>
      <x:c r="K4515" s="11" t="n">
        <x:v>5</x:v>
      </x:c>
      <x:c r="L4515" s="11" t="n">
        <x:v>0</x:v>
      </x:c>
      <x:c r="M4515" s="9" t="n">
        <x:f>ROUND(H4515*(1-I4515),2)</x:f>
        <x:v>14210000</x:v>
      </x:c>
      <x:c r="N4515" s="4" t="str">
        <x:v>Sales manager</x:v>
      </x:c>
      <x:c r="O4515" s="4" t="str">
        <x:v>BOOK-04514</x:v>
      </x:c>
      <x:c r="P4515" s="9" t="n">
        <x:v>3552500</x:v>
      </x:c>
      <x:c r="Q4515" s="11" t="n">
        <x:v>0</x:v>
      </x:c>
      <x:c r="R4515" s="8" t="n">
        <x:v>45631</x:v>
      </x:c>
      <x:c r="S4515" s="4" t="str">
        <x:v>Retained</x:v>
      </x:c>
      <x:c r="T4515" s="10" t="n">
        <x:v>0.305556</x:v>
      </x:c>
      <x:c r="U4515" s="4" t="str">
        <x:v>Test</x:v>
      </x:c>
    </x:row>
    <x:row r="4516" ht="34" customHeight="1">
      <x:c r="A4516" s="4" t="str">
        <x:v>RS-04515</x:v>
      </x:c>
      <x:c r="B4516" s="8" t="n">
        <x:v>45572</x:v>
      </x:c>
      <x:c r="C4516" s="4" t="str">
        <x:v>PRJ-015</x:v>
      </x:c>
      <x:c r="D4516" s="4" t="str">
        <x:v>Office</x:v>
      </x:c>
      <x:c r="E4516" s="4" t="str">
        <x:v>Booked</x:v>
      </x:c>
      <x:c r="F4516" s="4" t="str">
        <x:v>CUS-04515</x:v>
      </x:c>
      <x:c r="G4516" s="4" t="str">
        <x:v>UNIT-04515</x:v>
      </x:c>
      <x:c r="H4516" s="9" t="n">
        <x:v>19100000</x:v>
      </x:c>
      <x:c r="I4516" s="10" t="n">
        <x:v>0.01</x:v>
      </x:c>
      <x:c r="J4516" s="11" t="n">
        <x:v>11</x:v>
      </x:c>
      <x:c r="K4516" s="11" t="n">
        <x:v>5</x:v>
      </x:c>
      <x:c r="L4516" s="11" t="n">
        <x:v>1</x:v>
      </x:c>
      <x:c r="M4516" s="9" t="n">
        <x:f>ROUND(H4516*(1-I4516),2)</x:f>
        <x:v>18909000</x:v>
      </x:c>
      <x:c r="N4516" s="4" t="str">
        <x:v>Sales manager</x:v>
      </x:c>
      <x:c r="O4516" s="4" t="str">
        <x:v>BOOK-04515</x:v>
      </x:c>
      <x:c r="P4516" s="9" t="n">
        <x:v>18909000</x:v>
      </x:c>
      <x:c r="Q4516" s="11" t="n">
        <x:v>0</x:v>
      </x:c>
      <x:c r="R4516" s="8" t="n">
        <x:v>45632</x:v>
      </x:c>
      <x:c r="S4516" s="4" t="str">
        <x:v>Retained</x:v>
      </x:c>
      <x:c r="T4516" s="10" t="n">
        <x:v>0.254545</x:v>
      </x:c>
      <x:c r="U4516" s="4" t="str">
        <x:v>Test</x:v>
      </x:c>
    </x:row>
    <x:row r="4517" ht="34" customHeight="1">
      <x:c r="A4517" s="4" t="str">
        <x:v>RS-04516</x:v>
      </x:c>
      <x:c r="B4517" s="8" t="n">
        <x:v>45573</x:v>
      </x:c>
      <x:c r="C4517" s="4" t="str">
        <x:v>PRJ-016</x:v>
      </x:c>
      <x:c r="D4517" s="4" t="str">
        <x:v>Retail</x:v>
      </x:c>
      <x:c r="E4517" s="4" t="str">
        <x:v>Booked</x:v>
      </x:c>
      <x:c r="F4517" s="4" t="str">
        <x:v>CUS-04516</x:v>
      </x:c>
      <x:c r="G4517" s="4" t="str">
        <x:v>UNIT-04516</x:v>
      </x:c>
      <x:c r="H4517" s="9" t="n">
        <x:v>21600000</x:v>
      </x:c>
      <x:c r="I4517" s="10" t="n">
        <x:v>0.04</x:v>
      </x:c>
      <x:c r="J4517" s="11" t="n">
        <x:v>12</x:v>
      </x:c>
      <x:c r="K4517" s="11" t="n">
        <x:v>10</x:v>
      </x:c>
      <x:c r="L4517" s="11" t="n">
        <x:v>0</x:v>
      </x:c>
      <x:c r="M4517" s="9" t="n">
        <x:f>ROUND(H4517*(1-I4517),2)</x:f>
        <x:v>20736000</x:v>
      </x:c>
      <x:c r="N4517" s="4" t="str">
        <x:v>Sales manager</x:v>
      </x:c>
      <x:c r="O4517" s="4" t="str">
        <x:v>BOOK-04516</x:v>
      </x:c>
      <x:c r="P4517" s="9" t="n">
        <x:v>10368000</x:v>
      </x:c>
      <x:c r="Q4517" s="11" t="n">
        <x:v>0</x:v>
      </x:c>
      <x:c r="R4517" s="8" t="n">
        <x:v>45633</x:v>
      </x:c>
      <x:c r="S4517" s="4" t="str">
        <x:v>Retained</x:v>
      </x:c>
      <x:c r="T4517" s="10" t="n">
        <x:v>0.351536</x:v>
      </x:c>
      <x:c r="U4517" s="4" t="str">
        <x:v>Test</x:v>
      </x:c>
    </x:row>
    <x:row r="4518" ht="34" customHeight="1">
      <x:c r="A4518" s="4" t="str">
        <x:v>RS-04517</x:v>
      </x:c>
      <x:c r="B4518" s="8" t="n">
        <x:v>45574</x:v>
      </x:c>
      <x:c r="C4518" s="4" t="str">
        <x:v>PRJ-017</x:v>
      </x:c>
      <x:c r="D4518" s="4" t="str">
        <x:v>Villa</x:v>
      </x:c>
      <x:c r="E4518" s="4" t="str">
        <x:v>Handed over</x:v>
      </x:c>
      <x:c r="F4518" s="4" t="str">
        <x:v>CUS-04517</x:v>
      </x:c>
      <x:c r="G4518" s="4" t="str">
        <x:v>UNIT-04517</x:v>
      </x:c>
      <x:c r="H4518" s="9" t="n">
        <x:v>3900000</x:v>
      </x:c>
      <x:c r="I4518" s="10" t="n">
        <x:v>0.11</x:v>
      </x:c>
      <x:c r="J4518" s="11" t="n">
        <x:v>1</x:v>
      </x:c>
      <x:c r="K4518" s="11" t="n">
        <x:v>10</x:v>
      </x:c>
      <x:c r="L4518" s="11" t="n">
        <x:v>0</x:v>
      </x:c>
      <x:c r="M4518" s="9" t="n">
        <x:f>ROUND(H4518*(1-I4518),2)</x:f>
        <x:v>3471000</x:v>
      </x:c>
      <x:c r="N4518" s="4" t="str">
        <x:v>Sales head</x:v>
      </x:c>
      <x:c r="O4518" s="4" t="str">
        <x:v>BOOK-04517</x:v>
      </x:c>
      <x:c r="P4518" s="9" t="n">
        <x:v>867750</x:v>
      </x:c>
      <x:c r="Q4518" s="11" t="n">
        <x:v>0</x:v>
      </x:c>
      <x:c r="R4518" s="8" t="n">
        <x:v>45634</x:v>
      </x:c>
      <x:c r="S4518" s="4" t="str">
        <x:v>Retained</x:v>
      </x:c>
      <x:c r="T4518" s="10" t="n">
        <x:v>0.145833</x:v>
      </x:c>
      <x:c r="U4518" s="4" t="str">
        <x:v>Test</x:v>
      </x:c>
    </x:row>
    <x:row r="4519" ht="34" customHeight="1">
      <x:c r="A4519" s="4" t="str">
        <x:v>RS-04518</x:v>
      </x:c>
      <x:c r="B4519" s="8" t="n">
        <x:v>45575</x:v>
      </x:c>
      <x:c r="C4519" s="4" t="str">
        <x:v>PRJ-018</x:v>
      </x:c>
      <x:c r="D4519" s="4" t="str">
        <x:v>Office</x:v>
      </x:c>
      <x:c r="E4519" s="4" t="str">
        <x:v>Enquiry</x:v>
      </x:c>
      <x:c r="F4519" s="4" t="str">
        <x:v>CUS-04518</x:v>
      </x:c>
      <x:c r="G4519" s="4" t="str">
        <x:v>UNIT-04518</x:v>
      </x:c>
      <x:c r="H4519" s="9" t="n">
        <x:v>9700000</x:v>
      </x:c>
      <x:c r="I4519" s="10" t="n">
        <x:v>0.11</x:v>
      </x:c>
      <x:c r="J4519" s="11" t="n">
        <x:v>5</x:v>
      </x:c>
      <x:c r="K4519" s="11" t="n">
        <x:v>9</x:v>
      </x:c>
      <x:c r="L4519" s="11" t="n">
        <x:v>1</x:v>
      </x:c>
      <x:c r="M4519" s="9" t="n">
        <x:f>ROUND(H4519*(1-I4519),2)</x:f>
        <x:v>8633000</x:v>
      </x:c>
      <x:c r="N4519" s="4" t="str">
        <x:v>Sales head</x:v>
      </x:c>
      <x:c r="O4519" s="4"/>
      <x:c r="P4519" s="9" t="n">
        <x:v>0</x:v>
      </x:c>
      <x:c r="Q4519" s="11" t="n">
        <x:v>0</x:v>
      </x:c>
      <x:c r="R4519" s="8" t="n">
        <x:v>45635</x:v>
      </x:c>
      <x:c r="S4519" s="4" t="str">
        <x:v>Retained</x:v>
      </x:c>
      <x:c r="T4519" s="10" t="n">
        <x:v>0.291946</x:v>
      </x:c>
      <x:c r="U4519" s="4" t="str">
        <x:v>Test</x:v>
      </x:c>
    </x:row>
    <x:row r="4520" ht="34" customHeight="1">
      <x:c r="A4520" s="4" t="str">
        <x:v>RS-04519</x:v>
      </x:c>
      <x:c r="B4520" s="8" t="n">
        <x:v>45576</x:v>
      </x:c>
      <x:c r="C4520" s="4" t="str">
        <x:v>PRJ-019</x:v>
      </x:c>
      <x:c r="D4520" s="4" t="str">
        <x:v>Retail</x:v>
      </x:c>
      <x:c r="E4520" s="4" t="str">
        <x:v>Cancelled</x:v>
      </x:c>
      <x:c r="F4520" s="4" t="str">
        <x:v>CUS-04519</x:v>
      </x:c>
      <x:c r="G4520" s="4" t="str">
        <x:v>UNIT-04519</x:v>
      </x:c>
      <x:c r="H4520" s="9" t="n">
        <x:v>4700000</x:v>
      </x:c>
      <x:c r="I4520" s="10" t="n">
        <x:v>0.05</x:v>
      </x:c>
      <x:c r="J4520" s="11" t="n">
        <x:v>6</x:v>
      </x:c>
      <x:c r="K4520" s="11" t="n">
        <x:v>5</x:v>
      </x:c>
      <x:c r="L4520" s="11" t="n">
        <x:v>1</x:v>
      </x:c>
      <x:c r="M4520" s="9" t="n">
        <x:f>ROUND(H4520*(1-I4520),2)</x:f>
        <x:v>4465000</x:v>
      </x:c>
      <x:c r="N4520" s="4" t="str">
        <x:v>Sales manager</x:v>
      </x:c>
      <x:c r="O4520" s="4"/>
      <x:c r="P4520" s="9" t="n">
        <x:v>0</x:v>
      </x:c>
      <x:c r="Q4520" s="11" t="n">
        <x:v>1</x:v>
      </x:c>
      <x:c r="R4520" s="8" t="n">
        <x:v>45636</x:v>
      </x:c>
      <x:c r="S4520" s="4" t="str">
        <x:v>Lost / cancelled</x:v>
      </x:c>
      <x:c r="T4520" s="10" t="n">
        <x:v>0.291946</x:v>
      </x:c>
      <x:c r="U4520" s="4" t="str">
        <x:v>Test</x:v>
      </x:c>
    </x:row>
    <x:row r="4521" ht="34" customHeight="1">
      <x:c r="A4521" s="4" t="str">
        <x:v>RS-04520</x:v>
      </x:c>
      <x:c r="B4521" s="8" t="n">
        <x:v>45577</x:v>
      </x:c>
      <x:c r="C4521" s="4" t="str">
        <x:v>PRJ-020</x:v>
      </x:c>
      <x:c r="D4521" s="4" t="str">
        <x:v>Villa</x:v>
      </x:c>
      <x:c r="E4521" s="4" t="str">
        <x:v>Enquiry</x:v>
      </x:c>
      <x:c r="F4521" s="4" t="str">
        <x:v>CUS-04520</x:v>
      </x:c>
      <x:c r="G4521" s="4" t="str">
        <x:v>UNIT-04520</x:v>
      </x:c>
      <x:c r="H4521" s="9" t="n">
        <x:v>11500000</x:v>
      </x:c>
      <x:c r="I4521" s="10" t="n">
        <x:v>0.06</x:v>
      </x:c>
      <x:c r="J4521" s="11" t="n">
        <x:v>11</x:v>
      </x:c>
      <x:c r="K4521" s="11" t="n">
        <x:v>7</x:v>
      </x:c>
      <x:c r="L4521" s="11" t="n">
        <x:v>0</x:v>
      </x:c>
      <x:c r="M4521" s="9" t="n">
        <x:f>ROUND(H4521*(1-I4521),2)</x:f>
        <x:v>10810000</x:v>
      </x:c>
      <x:c r="N4521" s="4" t="str">
        <x:v>Sales manager</x:v>
      </x:c>
      <x:c r="O4521" s="4"/>
      <x:c r="P4521" s="9" t="n">
        <x:v>0</x:v>
      </x:c>
      <x:c r="Q4521" s="11" t="n">
        <x:v>0</x:v>
      </x:c>
      <x:c r="R4521" s="8" t="n">
        <x:v>45637</x:v>
      </x:c>
      <x:c r="S4521" s="4" t="str">
        <x:v>Retained</x:v>
      </x:c>
      <x:c r="T4521" s="10" t="n">
        <x:v>0.351536</x:v>
      </x:c>
      <x:c r="U4521" s="4" t="str">
        <x:v>Test</x:v>
      </x:c>
    </x:row>
    <x:row r="4522" ht="34" customHeight="1">
      <x:c r="A4522" s="4" t="str">
        <x:v>RS-04521</x:v>
      </x:c>
      <x:c r="B4522" s="8" t="n">
        <x:v>45578</x:v>
      </x:c>
      <x:c r="C4522" s="4" t="str">
        <x:v>PRJ-001</x:v>
      </x:c>
      <x:c r="D4522" s="4" t="str">
        <x:v>Villa</x:v>
      </x:c>
      <x:c r="E4522" s="4" t="str">
        <x:v>Cancelled</x:v>
      </x:c>
      <x:c r="F4522" s="4" t="str">
        <x:v>CUS-04521</x:v>
      </x:c>
      <x:c r="G4522" s="4" t="str">
        <x:v>UNIT-04521</x:v>
      </x:c>
      <x:c r="H4522" s="9" t="n">
        <x:v>18800000</x:v>
      </x:c>
      <x:c r="I4522" s="10" t="n">
        <x:v>0.06</x:v>
      </x:c>
      <x:c r="J4522" s="11" t="n">
        <x:v>1</x:v>
      </x:c>
      <x:c r="K4522" s="11" t="n">
        <x:v>3</x:v>
      </x:c>
      <x:c r="L4522" s="11" t="n">
        <x:v>0</x:v>
      </x:c>
      <x:c r="M4522" s="9" t="n">
        <x:f>ROUND(H4522*(1-I4522),2)</x:f>
        <x:v>17672000</x:v>
      </x:c>
      <x:c r="N4522" s="4" t="str">
        <x:v>Sales manager</x:v>
      </x:c>
      <x:c r="O4522" s="4"/>
      <x:c r="P4522" s="9" t="n">
        <x:v>0</x:v>
      </x:c>
      <x:c r="Q4522" s="11" t="n">
        <x:v>1</x:v>
      </x:c>
      <x:c r="R4522" s="8" t="n">
        <x:v>45638</x:v>
      </x:c>
      <x:c r="S4522" s="4" t="str">
        <x:v>Lost / cancelled</x:v>
      </x:c>
      <x:c r="T4522" s="10" t="n">
        <x:v>0.204152</x:v>
      </x:c>
      <x:c r="U4522" s="4" t="str">
        <x:v>Test</x:v>
      </x:c>
    </x:row>
    <x:row r="4523" ht="34" customHeight="1">
      <x:c r="A4523" s="4" t="str">
        <x:v>RS-04522</x:v>
      </x:c>
      <x:c r="B4523" s="8" t="n">
        <x:v>45579</x:v>
      </x:c>
      <x:c r="C4523" s="4" t="str">
        <x:v>PRJ-002</x:v>
      </x:c>
      <x:c r="D4523" s="4" t="str">
        <x:v>Office</x:v>
      </x:c>
      <x:c r="E4523" s="4" t="str">
        <x:v>Cancelled</x:v>
      </x:c>
      <x:c r="F4523" s="4" t="str">
        <x:v>CUS-04522</x:v>
      </x:c>
      <x:c r="G4523" s="4" t="str">
        <x:v>UNIT-04522</x:v>
      </x:c>
      <x:c r="H4523" s="9" t="n">
        <x:v>22900000</x:v>
      </x:c>
      <x:c r="I4523" s="10" t="n">
        <x:v>0.02</x:v>
      </x:c>
      <x:c r="J4523" s="11" t="n">
        <x:v>3</x:v>
      </x:c>
      <x:c r="K4523" s="11" t="n">
        <x:v>2</x:v>
      </x:c>
      <x:c r="L4523" s="11" t="n">
        <x:v>1</x:v>
      </x:c>
      <x:c r="M4523" s="9" t="n">
        <x:f>ROUND(H4523*(1-I4523),2)</x:f>
        <x:v>22442000</x:v>
      </x:c>
      <x:c r="N4523" s="4" t="str">
        <x:v>Sales manager</x:v>
      </x:c>
      <x:c r="O4523" s="4"/>
      <x:c r="P4523" s="9" t="n">
        <x:v>0</x:v>
      </x:c>
      <x:c r="Q4523" s="11" t="n">
        <x:v>1</x:v>
      </x:c>
      <x:c r="R4523" s="8" t="n">
        <x:v>45639</x:v>
      </x:c>
      <x:c r="S4523" s="4" t="str">
        <x:v>Lost / cancelled</x:v>
      </x:c>
      <x:c r="T4523" s="10" t="n">
        <x:v>0.171717</x:v>
      </x:c>
      <x:c r="U4523" s="4" t="str">
        <x:v>Test</x:v>
      </x:c>
    </x:row>
    <x:row r="4524" ht="34" customHeight="1">
      <x:c r="A4524" s="4" t="str">
        <x:v>RS-04523</x:v>
      </x:c>
      <x:c r="B4524" s="8" t="n">
        <x:v>45580</x:v>
      </x:c>
      <x:c r="C4524" s="4" t="str">
        <x:v>PRJ-003</x:v>
      </x:c>
      <x:c r="D4524" s="4" t="str">
        <x:v>Retail</x:v>
      </x:c>
      <x:c r="E4524" s="4" t="str">
        <x:v>Cancelled</x:v>
      </x:c>
      <x:c r="F4524" s="4" t="str">
        <x:v>CUS-04523</x:v>
      </x:c>
      <x:c r="G4524" s="4" t="str">
        <x:v>UNIT-04523</x:v>
      </x:c>
      <x:c r="H4524" s="9" t="n">
        <x:v>8900000</x:v>
      </x:c>
      <x:c r="I4524" s="10" t="n">
        <x:v>0.09</x:v>
      </x:c>
      <x:c r="J4524" s="11" t="n">
        <x:v>5</x:v>
      </x:c>
      <x:c r="K4524" s="11" t="n">
        <x:v>1</x:v>
      </x:c>
      <x:c r="L4524" s="11" t="n">
        <x:v>0</x:v>
      </x:c>
      <x:c r="M4524" s="9" t="n">
        <x:f>ROUND(H4524*(1-I4524),2)</x:f>
        <x:v>8099000</x:v>
      </x:c>
      <x:c r="N4524" s="4" t="str">
        <x:v>Sales head</x:v>
      </x:c>
      <x:c r="O4524" s="4"/>
      <x:c r="P4524" s="9" t="n">
        <x:v>0</x:v>
      </x:c>
      <x:c r="Q4524" s="11" t="n">
        <x:v>1</x:v>
      </x:c>
      <x:c r="R4524" s="8" t="n">
        <x:v>45640</x:v>
      </x:c>
      <x:c r="S4524" s="4" t="str">
        <x:v>Lost / cancelled</x:v>
      </x:c>
      <x:c r="T4524" s="10" t="n">
        <x:v>0.226277</x:v>
      </x:c>
      <x:c r="U4524" s="4" t="str">
        <x:v>Test</x:v>
      </x:c>
    </x:row>
    <x:row r="4525" ht="34" customHeight="1">
      <x:c r="A4525" s="4" t="str">
        <x:v>RS-04524</x:v>
      </x:c>
      <x:c r="B4525" s="8" t="n">
        <x:v>45581</x:v>
      </x:c>
      <x:c r="C4525" s="4" t="str">
        <x:v>PRJ-004</x:v>
      </x:c>
      <x:c r="D4525" s="4" t="str">
        <x:v>Office</x:v>
      </x:c>
      <x:c r="E4525" s="4" t="str">
        <x:v>Handed over</x:v>
      </x:c>
      <x:c r="F4525" s="4" t="str">
        <x:v>CUS-04524</x:v>
      </x:c>
      <x:c r="G4525" s="4" t="str">
        <x:v>UNIT-04524</x:v>
      </x:c>
      <x:c r="H4525" s="9" t="n">
        <x:v>18500000</x:v>
      </x:c>
      <x:c r="I4525" s="10" t="n">
        <x:v>0.01</x:v>
      </x:c>
      <x:c r="J4525" s="11" t="n">
        <x:v>4</x:v>
      </x:c>
      <x:c r="K4525" s="11" t="n">
        <x:v>0</x:v>
      </x:c>
      <x:c r="L4525" s="11" t="n">
        <x:v>0</x:v>
      </x:c>
      <x:c r="M4525" s="9" t="n">
        <x:f>ROUND(H4525*(1-I4525),2)</x:f>
        <x:v>18315000</x:v>
      </x:c>
      <x:c r="N4525" s="4" t="str">
        <x:v>Sales manager</x:v>
      </x:c>
      <x:c r="O4525" s="4" t="str">
        <x:v>BOOK-04524</x:v>
      </x:c>
      <x:c r="P4525" s="9" t="n">
        <x:v>4578750</x:v>
      </x:c>
      <x:c r="Q4525" s="11" t="n">
        <x:v>0</x:v>
      </x:c>
      <x:c r="R4525" s="8" t="n">
        <x:v>45641</x:v>
      </x:c>
      <x:c r="S4525" s="4" t="str">
        <x:v>Retained</x:v>
      </x:c>
      <x:c r="T4525" s="10" t="n">
        <x:v>0.298969</x:v>
      </x:c>
      <x:c r="U4525" s="4" t="str">
        <x:v>Test</x:v>
      </x:c>
    </x:row>
    <x:row r="4526" ht="34" customHeight="1">
      <x:c r="A4526" s="4" t="str">
        <x:v>RS-04525</x:v>
      </x:c>
      <x:c r="B4526" s="8" t="n">
        <x:v>45582</x:v>
      </x:c>
      <x:c r="C4526" s="4" t="str">
        <x:v>PRJ-005</x:v>
      </x:c>
      <x:c r="D4526" s="4" t="str">
        <x:v>Villa</x:v>
      </x:c>
      <x:c r="E4526" s="4" t="str">
        <x:v>Enquiry</x:v>
      </x:c>
      <x:c r="F4526" s="4" t="str">
        <x:v>CUS-04525</x:v>
      </x:c>
      <x:c r="G4526" s="4" t="str">
        <x:v>UNIT-04525</x:v>
      </x:c>
      <x:c r="H4526" s="9" t="n">
        <x:v>19900000</x:v>
      </x:c>
      <x:c r="I4526" s="10" t="n">
        <x:v>0</x:v>
      </x:c>
      <x:c r="J4526" s="11" t="n">
        <x:v>8</x:v>
      </x:c>
      <x:c r="K4526" s="11" t="n">
        <x:v>5</x:v>
      </x:c>
      <x:c r="L4526" s="11" t="n">
        <x:v>1</x:v>
      </x:c>
      <x:c r="M4526" s="9" t="n">
        <x:f>ROUND(H4526*(1-I4526),2)</x:f>
        <x:v>19900000</x:v>
      </x:c>
      <x:c r="N4526" s="4" t="str">
        <x:v>Sales manager</x:v>
      </x:c>
      <x:c r="O4526" s="4"/>
      <x:c r="P4526" s="9" t="n">
        <x:v>0</x:v>
      </x:c>
      <x:c r="Q4526" s="11" t="n">
        <x:v>1</x:v>
      </x:c>
      <x:c r="R4526" s="8" t="n">
        <x:v>45642</x:v>
      </x:c>
      <x:c r="S4526" s="4" t="str">
        <x:v>Lost / cancelled</x:v>
      </x:c>
      <x:c r="T4526" s="10" t="n">
        <x:v>0.254545</x:v>
      </x:c>
      <x:c r="U4526" s="4" t="str">
        <x:v>Test</x:v>
      </x:c>
    </x:row>
    <x:row r="4527" ht="34" customHeight="1">
      <x:c r="A4527" s="4" t="str">
        <x:v>RS-04526</x:v>
      </x:c>
      <x:c r="B4527" s="8" t="n">
        <x:v>45583</x:v>
      </x:c>
      <x:c r="C4527" s="4" t="str">
        <x:v>PRJ-006</x:v>
      </x:c>
      <x:c r="D4527" s="4" t="str">
        <x:v>Apartment</x:v>
      </x:c>
      <x:c r="E4527" s="4" t="str">
        <x:v>Handed over</x:v>
      </x:c>
      <x:c r="F4527" s="4" t="str">
        <x:v>CUS-04526</x:v>
      </x:c>
      <x:c r="G4527" s="4" t="str">
        <x:v>UNIT-04526</x:v>
      </x:c>
      <x:c r="H4527" s="9" t="n">
        <x:v>22000000</x:v>
      </x:c>
      <x:c r="I4527" s="10" t="n">
        <x:v>0.08</x:v>
      </x:c>
      <x:c r="J4527" s="11" t="n">
        <x:v>11</x:v>
      </x:c>
      <x:c r="K4527" s="11" t="n">
        <x:v>9</x:v>
      </x:c>
      <x:c r="L4527" s="11" t="n">
        <x:v>1</x:v>
      </x:c>
      <x:c r="M4527" s="9" t="n">
        <x:f>ROUND(H4527*(1-I4527),2)</x:f>
        <x:v>20240000</x:v>
      </x:c>
      <x:c r="N4527" s="4" t="str">
        <x:v>Sales head</x:v>
      </x:c>
      <x:c r="O4527" s="4" t="str">
        <x:v>BOOK-04526</x:v>
      </x:c>
      <x:c r="P4527" s="9" t="n">
        <x:v>5060000</x:v>
      </x:c>
      <x:c r="Q4527" s="11" t="n">
        <x:v>0</x:v>
      </x:c>
      <x:c r="R4527" s="8" t="n">
        <x:v>45643</x:v>
      </x:c>
      <x:c r="S4527" s="4" t="str">
        <x:v>Retained</x:v>
      </x:c>
      <x:c r="T4527" s="10" t="n">
        <x:v>0.351536</x:v>
      </x:c>
      <x:c r="U4527" s="4" t="str">
        <x:v>Test</x:v>
      </x:c>
    </x:row>
    <x:row r="4528" ht="34" customHeight="1">
      <x:c r="A4528" s="4" t="str">
        <x:v>RS-04527</x:v>
      </x:c>
      <x:c r="B4528" s="8" t="n">
        <x:v>45584</x:v>
      </x:c>
      <x:c r="C4528" s="4" t="str">
        <x:v>PRJ-007</x:v>
      </x:c>
      <x:c r="D4528" s="4" t="str">
        <x:v>Apartment</x:v>
      </x:c>
      <x:c r="E4528" s="4" t="str">
        <x:v>Agreement signed</x:v>
      </x:c>
      <x:c r="F4528" s="4" t="str">
        <x:v>CUS-04527</x:v>
      </x:c>
      <x:c r="G4528" s="4" t="str">
        <x:v>UNIT-04527</x:v>
      </x:c>
      <x:c r="H4528" s="9" t="n">
        <x:v>16900000</x:v>
      </x:c>
      <x:c r="I4528" s="10" t="n">
        <x:v>0.07</x:v>
      </x:c>
      <x:c r="J4528" s="11" t="n">
        <x:v>9</x:v>
      </x:c>
      <x:c r="K4528" s="11" t="n">
        <x:v>1</x:v>
      </x:c>
      <x:c r="L4528" s="11" t="n">
        <x:v>1</x:v>
      </x:c>
      <x:c r="M4528" s="9" t="n">
        <x:f>ROUND(H4528*(1-I4528),2)</x:f>
        <x:v>15717000</x:v>
      </x:c>
      <x:c r="N4528" s="4" t="str">
        <x:v>Sales manager</x:v>
      </x:c>
      <x:c r="O4528" s="4" t="str">
        <x:v>BOOK-04527</x:v>
      </x:c>
      <x:c r="P4528" s="9" t="n">
        <x:v>3929250</x:v>
      </x:c>
      <x:c r="Q4528" s="11" t="n">
        <x:v>0</x:v>
      </x:c>
      <x:c r="R4528" s="8" t="n">
        <x:v>45644</x:v>
      </x:c>
      <x:c r="S4528" s="4" t="str">
        <x:v>Retained</x:v>
      </x:c>
      <x:c r="T4528" s="10" t="n">
        <x:v>0.310195</x:v>
      </x:c>
      <x:c r="U4528" s="4" t="str">
        <x:v>Test</x:v>
      </x:c>
    </x:row>
    <x:row r="4529" ht="34" customHeight="1">
      <x:c r="A4529" s="4" t="str">
        <x:v>RS-04528</x:v>
      </x:c>
      <x:c r="B4529" s="8" t="n">
        <x:v>45585</x:v>
      </x:c>
      <x:c r="C4529" s="4" t="str">
        <x:v>PRJ-008</x:v>
      </x:c>
      <x:c r="D4529" s="4" t="str">
        <x:v>Apartment</x:v>
      </x:c>
      <x:c r="E4529" s="4" t="str">
        <x:v>Booked</x:v>
      </x:c>
      <x:c r="F4529" s="4" t="str">
        <x:v>CUS-04528</x:v>
      </x:c>
      <x:c r="G4529" s="4" t="str">
        <x:v>UNIT-04528</x:v>
      </x:c>
      <x:c r="H4529" s="9" t="n">
        <x:v>20800000</x:v>
      </x:c>
      <x:c r="I4529" s="10" t="n">
        <x:v>0.08</x:v>
      </x:c>
      <x:c r="J4529" s="11" t="n">
        <x:v>11</x:v>
      </x:c>
      <x:c r="K4529" s="11" t="n">
        <x:v>3</x:v>
      </x:c>
      <x:c r="L4529" s="11" t="n">
        <x:v>1</x:v>
      </x:c>
      <x:c r="M4529" s="9" t="n">
        <x:f>ROUND(H4529*(1-I4529),2)</x:f>
        <x:v>19136000</x:v>
      </x:c>
      <x:c r="N4529" s="4" t="str">
        <x:v>Sales head</x:v>
      </x:c>
      <x:c r="O4529" s="4" t="str">
        <x:v>BOOK-04528</x:v>
      </x:c>
      <x:c r="P4529" s="9" t="n">
        <x:v>4784000</x:v>
      </x:c>
      <x:c r="Q4529" s="11" t="n">
        <x:v>0</x:v>
      </x:c>
      <x:c r="R4529" s="8" t="n">
        <x:v>45645</x:v>
      </x:c>
      <x:c r="S4529" s="4" t="str">
        <x:v>Retained</x:v>
      </x:c>
      <x:c r="T4529" s="10" t="n">
        <x:v>0.351536</x:v>
      </x:c>
      <x:c r="U4529" s="4" t="str">
        <x:v>Test</x:v>
      </x:c>
    </x:row>
    <x:row r="4530" ht="34" customHeight="1">
      <x:c r="A4530" s="4" t="str">
        <x:v>RS-04529</x:v>
      </x:c>
      <x:c r="B4530" s="8" t="n">
        <x:v>45586</x:v>
      </x:c>
      <x:c r="C4530" s="4" t="str">
        <x:v>PRJ-009</x:v>
      </x:c>
      <x:c r="D4530" s="4" t="str">
        <x:v>Villa</x:v>
      </x:c>
      <x:c r="E4530" s="4" t="str">
        <x:v>Enquiry</x:v>
      </x:c>
      <x:c r="F4530" s="4" t="str">
        <x:v>CUS-04529</x:v>
      </x:c>
      <x:c r="G4530" s="4" t="str">
        <x:v>UNIT-04529</x:v>
      </x:c>
      <x:c r="H4530" s="9" t="n">
        <x:v>22500000</x:v>
      </x:c>
      <x:c r="I4530" s="10" t="n">
        <x:v>0.01</x:v>
      </x:c>
      <x:c r="J4530" s="11" t="n">
        <x:v>7</x:v>
      </x:c>
      <x:c r="K4530" s="11" t="n">
        <x:v>8</x:v>
      </x:c>
      <x:c r="L4530" s="11" t="n">
        <x:v>1</x:v>
      </x:c>
      <x:c r="M4530" s="9" t="n">
        <x:f>ROUND(H4530*(1-I4530),2)</x:f>
        <x:v>22275000</x:v>
      </x:c>
      <x:c r="N4530" s="4" t="str">
        <x:v>Sales manager</x:v>
      </x:c>
      <x:c r="O4530" s="4"/>
      <x:c r="P4530" s="9" t="n">
        <x:v>0</x:v>
      </x:c>
      <x:c r="Q4530" s="11" t="n">
        <x:v>0</x:v>
      </x:c>
      <x:c r="R4530" s="8" t="n">
        <x:v>45646</x:v>
      </x:c>
      <x:c r="S4530" s="4" t="str">
        <x:v>Retained</x:v>
      </x:c>
      <x:c r="T4530" s="10" t="n">
        <x:v>0.145299</x:v>
      </x:c>
      <x:c r="U4530" s="4" t="str">
        <x:v>Test</x:v>
      </x:c>
    </x:row>
    <x:row r="4531" ht="34" customHeight="1">
      <x:c r="A4531" s="4" t="str">
        <x:v>RS-04530</x:v>
      </x:c>
      <x:c r="B4531" s="8" t="n">
        <x:v>45587</x:v>
      </x:c>
      <x:c r="C4531" s="4" t="str">
        <x:v>PRJ-010</x:v>
      </x:c>
      <x:c r="D4531" s="4" t="str">
        <x:v>Apartment</x:v>
      </x:c>
      <x:c r="E4531" s="4" t="str">
        <x:v>Handed over</x:v>
      </x:c>
      <x:c r="F4531" s="4" t="str">
        <x:v>CUS-04530</x:v>
      </x:c>
      <x:c r="G4531" s="4" t="str">
        <x:v>UNIT-04530</x:v>
      </x:c>
      <x:c r="H4531" s="9" t="n">
        <x:v>24900000</x:v>
      </x:c>
      <x:c r="I4531" s="10" t="n">
        <x:v>0.06</x:v>
      </x:c>
      <x:c r="J4531" s="11" t="n">
        <x:v>11</x:v>
      </x:c>
      <x:c r="K4531" s="11" t="n">
        <x:v>5</x:v>
      </x:c>
      <x:c r="L4531" s="11" t="n">
        <x:v>0</x:v>
      </x:c>
      <x:c r="M4531" s="9" t="n">
        <x:f>ROUND(H4531*(1-I4531),2)</x:f>
        <x:v>23406000</x:v>
      </x:c>
      <x:c r="N4531" s="4" t="str">
        <x:v>Sales manager</x:v>
      </x:c>
      <x:c r="O4531" s="4" t="str">
        <x:v>BOOK-04530</x:v>
      </x:c>
      <x:c r="P4531" s="9" t="n">
        <x:v>23406000</x:v>
      </x:c>
      <x:c r="Q4531" s="11" t="n">
        <x:v>0</x:v>
      </x:c>
      <x:c r="R4531" s="8" t="n">
        <x:v>45647</x:v>
      </x:c>
      <x:c r="S4531" s="4" t="str">
        <x:v>Retained</x:v>
      </x:c>
      <x:c r="T4531" s="10" t="n">
        <x:v>0.351536</x:v>
      </x:c>
      <x:c r="U4531" s="4" t="str">
        <x:v>Test</x:v>
      </x:c>
    </x:row>
    <x:row r="4532" ht="34" customHeight="1">
      <x:c r="A4532" s="4" t="str">
        <x:v>RS-04531</x:v>
      </x:c>
      <x:c r="B4532" s="8" t="n">
        <x:v>45588</x:v>
      </x:c>
      <x:c r="C4532" s="4" t="str">
        <x:v>PRJ-011</x:v>
      </x:c>
      <x:c r="D4532" s="4" t="str">
        <x:v>Office</x:v>
      </x:c>
      <x:c r="E4532" s="4" t="str">
        <x:v>Cancelled</x:v>
      </x:c>
      <x:c r="F4532" s="4" t="str">
        <x:v>CUS-04531</x:v>
      </x:c>
      <x:c r="G4532" s="4" t="str">
        <x:v>UNIT-04531</x:v>
      </x:c>
      <x:c r="H4532" s="9" t="n">
        <x:v>12600000</x:v>
      </x:c>
      <x:c r="I4532" s="10" t="n">
        <x:v>0.09</x:v>
      </x:c>
      <x:c r="J4532" s="11" t="n">
        <x:v>10</x:v>
      </x:c>
      <x:c r="K4532" s="11" t="n">
        <x:v>5</x:v>
      </x:c>
      <x:c r="L4532" s="11" t="n">
        <x:v>1</x:v>
      </x:c>
      <x:c r="M4532" s="9" t="n">
        <x:f>ROUND(H4532*(1-I4532),2)</x:f>
        <x:v>11466000</x:v>
      </x:c>
      <x:c r="N4532" s="4" t="str">
        <x:v>Sales head</x:v>
      </x:c>
      <x:c r="O4532" s="4"/>
      <x:c r="P4532" s="9" t="n">
        <x:v>0</x:v>
      </x:c>
      <x:c r="Q4532" s="11" t="n">
        <x:v>1</x:v>
      </x:c>
      <x:c r="R4532" s="8" t="n">
        <x:v>45648</x:v>
      </x:c>
      <x:c r="S4532" s="4" t="str">
        <x:v>Lost / cancelled</x:v>
      </x:c>
      <x:c r="T4532" s="10" t="n">
        <x:v>0.310195</x:v>
      </x:c>
      <x:c r="U4532" s="4" t="str">
        <x:v>Test</x:v>
      </x:c>
    </x:row>
    <x:row r="4533" ht="34" customHeight="1">
      <x:c r="A4533" s="4" t="str">
        <x:v>RS-04532</x:v>
      </x:c>
      <x:c r="B4533" s="8" t="n">
        <x:v>45589</x:v>
      </x:c>
      <x:c r="C4533" s="4" t="str">
        <x:v>PRJ-012</x:v>
      </x:c>
      <x:c r="D4533" s="4" t="str">
        <x:v>Apartment</x:v>
      </x:c>
      <x:c r="E4533" s="4" t="str">
        <x:v>Cancelled</x:v>
      </x:c>
      <x:c r="F4533" s="4" t="str">
        <x:v>CUS-04532</x:v>
      </x:c>
      <x:c r="G4533" s="4" t="str">
        <x:v>UNIT-04532</x:v>
      </x:c>
      <x:c r="H4533" s="9" t="n">
        <x:v>14300000</x:v>
      </x:c>
      <x:c r="I4533" s="10" t="n">
        <x:v>0</x:v>
      </x:c>
      <x:c r="J4533" s="11" t="n">
        <x:v>7</x:v>
      </x:c>
      <x:c r="K4533" s="11" t="n">
        <x:v>9</x:v>
      </x:c>
      <x:c r="L4533" s="11" t="n">
        <x:v>0</x:v>
      </x:c>
      <x:c r="M4533" s="9" t="n">
        <x:f>ROUND(H4533*(1-I4533),2)</x:f>
        <x:v>14300000</x:v>
      </x:c>
      <x:c r="N4533" s="4" t="str">
        <x:v>Sales manager</x:v>
      </x:c>
      <x:c r="O4533" s="4"/>
      <x:c r="P4533" s="9" t="n">
        <x:v>0</x:v>
      </x:c>
      <x:c r="Q4533" s="11" t="n">
        <x:v>1</x:v>
      </x:c>
      <x:c r="R4533" s="8" t="n">
        <x:v>45649</x:v>
      </x:c>
      <x:c r="S4533" s="4" t="str">
        <x:v>Lost / cancelled</x:v>
      </x:c>
      <x:c r="T4533" s="10" t="n">
        <x:v>0.145299</x:v>
      </x:c>
      <x:c r="U4533" s="4" t="str">
        <x:v>Test</x:v>
      </x:c>
    </x:row>
    <x:row r="4534" ht="34" customHeight="1">
      <x:c r="A4534" s="4" t="str">
        <x:v>RS-04533</x:v>
      </x:c>
      <x:c r="B4534" s="8" t="n">
        <x:v>45590</x:v>
      </x:c>
      <x:c r="C4534" s="4" t="str">
        <x:v>PRJ-013</x:v>
      </x:c>
      <x:c r="D4534" s="4" t="str">
        <x:v>Office</x:v>
      </x:c>
      <x:c r="E4534" s="4" t="str">
        <x:v>Agreement signed</x:v>
      </x:c>
      <x:c r="F4534" s="4" t="str">
        <x:v>CUS-04533</x:v>
      </x:c>
      <x:c r="G4534" s="4" t="str">
        <x:v>UNIT-04533</x:v>
      </x:c>
      <x:c r="H4534" s="9" t="n">
        <x:v>23500000</x:v>
      </x:c>
      <x:c r="I4534" s="10" t="n">
        <x:v>0.11</x:v>
      </x:c>
      <x:c r="J4534" s="11" t="n">
        <x:v>7</x:v>
      </x:c>
      <x:c r="K4534" s="11" t="n">
        <x:v>10</x:v>
      </x:c>
      <x:c r="L4534" s="11" t="n">
        <x:v>0</x:v>
      </x:c>
      <x:c r="M4534" s="9" t="n">
        <x:f>ROUND(H4534*(1-I4534),2)</x:f>
        <x:v>20915000</x:v>
      </x:c>
      <x:c r="N4534" s="4" t="str">
        <x:v>Sales head</x:v>
      </x:c>
      <x:c r="O4534" s="4" t="str">
        <x:v>BOOK-04533</x:v>
      </x:c>
      <x:c r="P4534" s="9" t="n">
        <x:v>5228750</x:v>
      </x:c>
      <x:c r="Q4534" s="11" t="n">
        <x:v>0</x:v>
      </x:c>
      <x:c r="R4534" s="8" t="n">
        <x:v>45650</x:v>
      </x:c>
      <x:c r="S4534" s="4" t="str">
        <x:v>Retained</x:v>
      </x:c>
      <x:c r="T4534" s="10" t="n">
        <x:v>0.226277</x:v>
      </x:c>
      <x:c r="U4534" s="4" t="str">
        <x:v>Test</x:v>
      </x:c>
    </x:row>
    <x:row r="4535" ht="34" customHeight="1">
      <x:c r="A4535" s="4" t="str">
        <x:v>RS-04534</x:v>
      </x:c>
      <x:c r="B4535" s="8" t="n">
        <x:v>45591</x:v>
      </x:c>
      <x:c r="C4535" s="4" t="str">
        <x:v>PRJ-014</x:v>
      </x:c>
      <x:c r="D4535" s="4" t="str">
        <x:v>Villa</x:v>
      </x:c>
      <x:c r="E4535" s="4" t="str">
        <x:v>Enquiry</x:v>
      </x:c>
      <x:c r="F4535" s="4" t="str">
        <x:v>CUS-04534</x:v>
      </x:c>
      <x:c r="G4535" s="4" t="str">
        <x:v>UNIT-04534</x:v>
      </x:c>
      <x:c r="H4535" s="9" t="n">
        <x:v>9400000</x:v>
      </x:c>
      <x:c r="I4535" s="10" t="n">
        <x:v>0.02</x:v>
      </x:c>
      <x:c r="J4535" s="11" t="n">
        <x:v>9</x:v>
      </x:c>
      <x:c r="K4535" s="11" t="n">
        <x:v>5</x:v>
      </x:c>
      <x:c r="L4535" s="11" t="n">
        <x:v>0</x:v>
      </x:c>
      <x:c r="M4535" s="9" t="n">
        <x:f>ROUND(H4535*(1-I4535),2)</x:f>
        <x:v>9212000</x:v>
      </x:c>
      <x:c r="N4535" s="4" t="str">
        <x:v>Sales manager</x:v>
      </x:c>
      <x:c r="O4535" s="4"/>
      <x:c r="P4535" s="9" t="n">
        <x:v>0</x:v>
      </x:c>
      <x:c r="Q4535" s="11" t="n">
        <x:v>0</x:v>
      </x:c>
      <x:c r="R4535" s="8" t="n">
        <x:v>45651</x:v>
      </x:c>
      <x:c r="S4535" s="4" t="str">
        <x:v>Retained</x:v>
      </x:c>
      <x:c r="T4535" s="10" t="n">
        <x:v>0.305556</x:v>
      </x:c>
      <x:c r="U4535" s="4" t="str">
        <x:v>Test</x:v>
      </x:c>
    </x:row>
    <x:row r="4536" ht="34" customHeight="1">
      <x:c r="A4536" s="4" t="str">
        <x:v>RS-04535</x:v>
      </x:c>
      <x:c r="B4536" s="8" t="n">
        <x:v>45592</x:v>
      </x:c>
      <x:c r="C4536" s="4" t="str">
        <x:v>PRJ-015</x:v>
      </x:c>
      <x:c r="D4536" s="4" t="str">
        <x:v>Apartment</x:v>
      </x:c>
      <x:c r="E4536" s="4" t="str">
        <x:v>Enquiry</x:v>
      </x:c>
      <x:c r="F4536" s="4" t="str">
        <x:v>CUS-04535</x:v>
      </x:c>
      <x:c r="G4536" s="4" t="str">
        <x:v>UNIT-04535</x:v>
      </x:c>
      <x:c r="H4536" s="9" t="n">
        <x:v>5500000</x:v>
      </x:c>
      <x:c r="I4536" s="10" t="n">
        <x:v>0.04</x:v>
      </x:c>
      <x:c r="J4536" s="11" t="n">
        <x:v>8</x:v>
      </x:c>
      <x:c r="K4536" s="11" t="n">
        <x:v>0</x:v>
      </x:c>
      <x:c r="L4536" s="11" t="n">
        <x:v>0</x:v>
      </x:c>
      <x:c r="M4536" s="9" t="n">
        <x:f>ROUND(H4536*(1-I4536),2)</x:f>
        <x:v>5280000</x:v>
      </x:c>
      <x:c r="N4536" s="4" t="str">
        <x:v>Sales manager</x:v>
      </x:c>
      <x:c r="O4536" s="4"/>
      <x:c r="P4536" s="9" t="n">
        <x:v>0</x:v>
      </x:c>
      <x:c r="Q4536" s="11" t="n">
        <x:v>0</x:v>
      </x:c>
      <x:c r="R4536" s="8" t="n">
        <x:v>45652</x:v>
      </x:c>
      <x:c r="S4536" s="4" t="str">
        <x:v>Retained</x:v>
      </x:c>
      <x:c r="T4536" s="10" t="n">
        <x:v>0.310195</x:v>
      </x:c>
      <x:c r="U4536" s="4" t="str">
        <x:v>Test</x:v>
      </x:c>
    </x:row>
    <x:row r="4537" ht="34" customHeight="1">
      <x:c r="A4537" s="4" t="str">
        <x:v>RS-04536</x:v>
      </x:c>
      <x:c r="B4537" s="8" t="n">
        <x:v>45593</x:v>
      </x:c>
      <x:c r="C4537" s="4" t="str">
        <x:v>PRJ-016</x:v>
      </x:c>
      <x:c r="D4537" s="4" t="str">
        <x:v>Retail</x:v>
      </x:c>
      <x:c r="E4537" s="4" t="str">
        <x:v>Handed over</x:v>
      </x:c>
      <x:c r="F4537" s="4" t="str">
        <x:v>CUS-04536</x:v>
      </x:c>
      <x:c r="G4537" s="4" t="str">
        <x:v>UNIT-04536</x:v>
      </x:c>
      <x:c r="H4537" s="9" t="n">
        <x:v>23900000</x:v>
      </x:c>
      <x:c r="I4537" s="10" t="n">
        <x:v>0.05</x:v>
      </x:c>
      <x:c r="J4537" s="11" t="n">
        <x:v>3</x:v>
      </x:c>
      <x:c r="K4537" s="11" t="n">
        <x:v>10</x:v>
      </x:c>
      <x:c r="L4537" s="11" t="n">
        <x:v>1</x:v>
      </x:c>
      <x:c r="M4537" s="9" t="n">
        <x:f>ROUND(H4537*(1-I4537),2)</x:f>
        <x:v>22705000</x:v>
      </x:c>
      <x:c r="N4537" s="4" t="str">
        <x:v>Sales manager</x:v>
      </x:c>
      <x:c r="O4537" s="4" t="str">
        <x:v>BOOK-04536</x:v>
      </x:c>
      <x:c r="P4537" s="9" t="n">
        <x:v>2270500</x:v>
      </x:c>
      <x:c r="Q4537" s="11" t="n">
        <x:v>0</x:v>
      </x:c>
      <x:c r="R4537" s="8" t="n">
        <x:v>45653</x:v>
      </x:c>
      <x:c r="S4537" s="4" t="str">
        <x:v>Retained</x:v>
      </x:c>
      <x:c r="T4537" s="10" t="n">
        <x:v>0.204152</x:v>
      </x:c>
      <x:c r="U4537" s="4" t="str">
        <x:v>Test</x:v>
      </x:c>
    </x:row>
    <x:row r="4538" ht="34" customHeight="1">
      <x:c r="A4538" s="4" t="str">
        <x:v>RS-04537</x:v>
      </x:c>
      <x:c r="B4538" s="8" t="n">
        <x:v>45566</x:v>
      </x:c>
      <x:c r="C4538" s="4" t="str">
        <x:v>PRJ-017</x:v>
      </x:c>
      <x:c r="D4538" s="4" t="str">
        <x:v>Office</x:v>
      </x:c>
      <x:c r="E4538" s="4" t="str">
        <x:v>Handed over</x:v>
      </x:c>
      <x:c r="F4538" s="4" t="str">
        <x:v>CUS-04537</x:v>
      </x:c>
      <x:c r="G4538" s="4" t="str">
        <x:v>UNIT-04537</x:v>
      </x:c>
      <x:c r="H4538" s="9" t="n">
        <x:v>16100000</x:v>
      </x:c>
      <x:c r="I4538" s="10" t="n">
        <x:v>0.12</x:v>
      </x:c>
      <x:c r="J4538" s="11" t="n">
        <x:v>6</x:v>
      </x:c>
      <x:c r="K4538" s="11" t="n">
        <x:v>8</x:v>
      </x:c>
      <x:c r="L4538" s="11" t="n">
        <x:v>0</x:v>
      </x:c>
      <x:c r="M4538" s="9" t="n">
        <x:f>ROUND(H4538*(1-I4538),2)</x:f>
        <x:v>14168000</x:v>
      </x:c>
      <x:c r="N4538" s="4" t="str">
        <x:v>Sales head</x:v>
      </x:c>
      <x:c r="O4538" s="4" t="str">
        <x:v>BOOK-04537</x:v>
      </x:c>
      <x:c r="P4538" s="9" t="n">
        <x:v>7084000</x:v>
      </x:c>
      <x:c r="Q4538" s="11" t="n">
        <x:v>0</x:v>
      </x:c>
      <x:c r="R4538" s="8" t="n">
        <x:v>45626</x:v>
      </x:c>
      <x:c r="S4538" s="4" t="str">
        <x:v>Retained</x:v>
      </x:c>
      <x:c r="T4538" s="10" t="n">
        <x:v>0.226277</x:v>
      </x:c>
      <x:c r="U4538" s="4" t="str">
        <x:v>Test</x:v>
      </x:c>
    </x:row>
    <x:row r="4539" ht="34" customHeight="1">
      <x:c r="A4539" s="4" t="str">
        <x:v>RS-04538</x:v>
      </x:c>
      <x:c r="B4539" s="8" t="n">
        <x:v>45567</x:v>
      </x:c>
      <x:c r="C4539" s="4" t="str">
        <x:v>PRJ-018</x:v>
      </x:c>
      <x:c r="D4539" s="4" t="str">
        <x:v>Apartment</x:v>
      </x:c>
      <x:c r="E4539" s="4" t="str">
        <x:v>Handed over</x:v>
      </x:c>
      <x:c r="F4539" s="4" t="str">
        <x:v>CUS-04538</x:v>
      </x:c>
      <x:c r="G4539" s="4" t="str">
        <x:v>UNIT-04538</x:v>
      </x:c>
      <x:c r="H4539" s="9" t="n">
        <x:v>5000000</x:v>
      </x:c>
      <x:c r="I4539" s="10" t="n">
        <x:v>0.11</x:v>
      </x:c>
      <x:c r="J4539" s="11" t="n">
        <x:v>9</x:v>
      </x:c>
      <x:c r="K4539" s="11" t="n">
        <x:v>8</x:v>
      </x:c>
      <x:c r="L4539" s="11" t="n">
        <x:v>1</x:v>
      </x:c>
      <x:c r="M4539" s="9" t="n">
        <x:f>ROUND(H4539*(1-I4539),2)</x:f>
        <x:v>4450000</x:v>
      </x:c>
      <x:c r="N4539" s="4" t="str">
        <x:v>Sales head</x:v>
      </x:c>
      <x:c r="O4539" s="4" t="str">
        <x:v>BOOK-04538</x:v>
      </x:c>
      <x:c r="P4539" s="9" t="n">
        <x:v>4450000</x:v>
      </x:c>
      <x:c r="Q4539" s="11" t="n">
        <x:v>0</x:v>
      </x:c>
      <x:c r="R4539" s="8" t="n">
        <x:v>45627</x:v>
      </x:c>
      <x:c r="S4539" s="4" t="str">
        <x:v>Retained</x:v>
      </x:c>
      <x:c r="T4539" s="10" t="n">
        <x:v>0.310195</x:v>
      </x:c>
      <x:c r="U4539" s="4" t="str">
        <x:v>Test</x:v>
      </x:c>
    </x:row>
    <x:row r="4540" ht="34" customHeight="1">
      <x:c r="A4540" s="4" t="str">
        <x:v>RS-04539</x:v>
      </x:c>
      <x:c r="B4540" s="8" t="n">
        <x:v>45568</x:v>
      </x:c>
      <x:c r="C4540" s="4" t="str">
        <x:v>PRJ-019</x:v>
      </x:c>
      <x:c r="D4540" s="4" t="str">
        <x:v>Apartment</x:v>
      </x:c>
      <x:c r="E4540" s="4" t="str">
        <x:v>Cancelled</x:v>
      </x:c>
      <x:c r="F4540" s="4" t="str">
        <x:v>CUS-04539</x:v>
      </x:c>
      <x:c r="G4540" s="4" t="str">
        <x:v>UNIT-04539</x:v>
      </x:c>
      <x:c r="H4540" s="9" t="n">
        <x:v>3900000</x:v>
      </x:c>
      <x:c r="I4540" s="10" t="n">
        <x:v>0.02</x:v>
      </x:c>
      <x:c r="J4540" s="11" t="n">
        <x:v>0</x:v>
      </x:c>
      <x:c r="K4540" s="11" t="n">
        <x:v>7</x:v>
      </x:c>
      <x:c r="L4540" s="11" t="n">
        <x:v>1</x:v>
      </x:c>
      <x:c r="M4540" s="9" t="n">
        <x:f>ROUND(H4540*(1-I4540),2)</x:f>
        <x:v>3822000</x:v>
      </x:c>
      <x:c r="N4540" s="4" t="str">
        <x:v>Sales manager</x:v>
      </x:c>
      <x:c r="O4540" s="4"/>
      <x:c r="P4540" s="9" t="n">
        <x:v>0</x:v>
      </x:c>
      <x:c r="Q4540" s="11" t="n">
        <x:v>1</x:v>
      </x:c>
      <x:c r="R4540" s="8" t="n">
        <x:v>45628</x:v>
      </x:c>
      <x:c r="S4540" s="4" t="str">
        <x:v>Lost / cancelled</x:v>
      </x:c>
      <x:c r="T4540" s="10" t="n">
        <x:v>0.072165</x:v>
      </x:c>
      <x:c r="U4540" s="4" t="str">
        <x:v>Test</x:v>
      </x:c>
    </x:row>
    <x:row r="4541" ht="34" customHeight="1">
      <x:c r="A4541" s="4" t="str">
        <x:v>RS-04540</x:v>
      </x:c>
      <x:c r="B4541" s="8" t="n">
        <x:v>45569</x:v>
      </x:c>
      <x:c r="C4541" s="4" t="str">
        <x:v>PRJ-020</x:v>
      </x:c>
      <x:c r="D4541" s="4" t="str">
        <x:v>Villa</x:v>
      </x:c>
      <x:c r="E4541" s="4" t="str">
        <x:v>Booked</x:v>
      </x:c>
      <x:c r="F4541" s="4" t="str">
        <x:v>CUS-04540</x:v>
      </x:c>
      <x:c r="G4541" s="4" t="str">
        <x:v>UNIT-04540</x:v>
      </x:c>
      <x:c r="H4541" s="9" t="n">
        <x:v>14900000</x:v>
      </x:c>
      <x:c r="I4541" s="10" t="n">
        <x:v>0.06</x:v>
      </x:c>
      <x:c r="J4541" s="11" t="n">
        <x:v>8</x:v>
      </x:c>
      <x:c r="K4541" s="11" t="n">
        <x:v>10</x:v>
      </x:c>
      <x:c r="L4541" s="11" t="n">
        <x:v>0</x:v>
      </x:c>
      <x:c r="M4541" s="9" t="n">
        <x:f>ROUND(H4541*(1-I4541),2)</x:f>
        <x:v>14006000</x:v>
      </x:c>
      <x:c r="N4541" s="4" t="str">
        <x:v>Sales manager</x:v>
      </x:c>
      <x:c r="O4541" s="4" t="str">
        <x:v>BOOK-04540</x:v>
      </x:c>
      <x:c r="P4541" s="9" t="n">
        <x:v>14006000</x:v>
      </x:c>
      <x:c r="Q4541" s="11" t="n">
        <x:v>0</x:v>
      </x:c>
      <x:c r="R4541" s="8" t="n">
        <x:v>45629</x:v>
      </x:c>
      <x:c r="S4541" s="4" t="str">
        <x:v>Retained</x:v>
      </x:c>
      <x:c r="T4541" s="10" t="n">
        <x:v>0.310195</x:v>
      </x:c>
      <x:c r="U4541" s="4" t="str">
        <x:v>Test</x:v>
      </x:c>
    </x:row>
    <x:row r="4542" ht="34" customHeight="1">
      <x:c r="A4542" s="4" t="str">
        <x:v>RS-04541</x:v>
      </x:c>
      <x:c r="B4542" s="8" t="n">
        <x:v>45570</x:v>
      </x:c>
      <x:c r="C4542" s="4" t="str">
        <x:v>PRJ-001</x:v>
      </x:c>
      <x:c r="D4542" s="4" t="str">
        <x:v>Office</x:v>
      </x:c>
      <x:c r="E4542" s="4" t="str">
        <x:v>Handed over</x:v>
      </x:c>
      <x:c r="F4542" s="4" t="str">
        <x:v>CUS-04541</x:v>
      </x:c>
      <x:c r="G4542" s="4" t="str">
        <x:v>UNIT-04541</x:v>
      </x:c>
      <x:c r="H4542" s="9" t="n">
        <x:v>24400000</x:v>
      </x:c>
      <x:c r="I4542" s="10" t="n">
        <x:v>0.05</x:v>
      </x:c>
      <x:c r="J4542" s="11" t="n">
        <x:v>8</x:v>
      </x:c>
      <x:c r="K4542" s="11" t="n">
        <x:v>0</x:v>
      </x:c>
      <x:c r="L4542" s="11" t="n">
        <x:v>1</x:v>
      </x:c>
      <x:c r="M4542" s="9" t="n">
        <x:f>ROUND(H4542*(1-I4542),2)</x:f>
        <x:v>23180000</x:v>
      </x:c>
      <x:c r="N4542" s="4" t="str">
        <x:v>Sales manager</x:v>
      </x:c>
      <x:c r="O4542" s="4" t="str">
        <x:v>BOOK-04541</x:v>
      </x:c>
      <x:c r="P4542" s="9" t="n">
        <x:v>5795000</x:v>
      </x:c>
      <x:c r="Q4542" s="11" t="n">
        <x:v>0</x:v>
      </x:c>
      <x:c r="R4542" s="8" t="n">
        <x:v>45630</x:v>
      </x:c>
      <x:c r="S4542" s="4" t="str">
        <x:v>Retained</x:v>
      </x:c>
      <x:c r="T4542" s="10" t="n">
        <x:v>0.310195</x:v>
      </x:c>
      <x:c r="U4542" s="4" t="str">
        <x:v>Test</x:v>
      </x:c>
    </x:row>
    <x:row r="4543" ht="34" customHeight="1">
      <x:c r="A4543" s="4" t="str">
        <x:v>RS-04542</x:v>
      </x:c>
      <x:c r="B4543" s="8" t="n">
        <x:v>45571</x:v>
      </x:c>
      <x:c r="C4543" s="4" t="str">
        <x:v>PRJ-002</x:v>
      </x:c>
      <x:c r="D4543" s="4" t="str">
        <x:v>Office</x:v>
      </x:c>
      <x:c r="E4543" s="4" t="str">
        <x:v>Agreement signed</x:v>
      </x:c>
      <x:c r="F4543" s="4" t="str">
        <x:v>CUS-04542</x:v>
      </x:c>
      <x:c r="G4543" s="4" t="str">
        <x:v>UNIT-04542</x:v>
      </x:c>
      <x:c r="H4543" s="9" t="n">
        <x:v>22500000</x:v>
      </x:c>
      <x:c r="I4543" s="10" t="n">
        <x:v>0.07</x:v>
      </x:c>
      <x:c r="J4543" s="11" t="n">
        <x:v>7</x:v>
      </x:c>
      <x:c r="K4543" s="11" t="n">
        <x:v>3</x:v>
      </x:c>
      <x:c r="L4543" s="11" t="n">
        <x:v>1</x:v>
      </x:c>
      <x:c r="M4543" s="9" t="n">
        <x:f>ROUND(H4543*(1-I4543),2)</x:f>
        <x:v>20925000</x:v>
      </x:c>
      <x:c r="N4543" s="4" t="str">
        <x:v>Sales manager</x:v>
      </x:c>
      <x:c r="O4543" s="4" t="str">
        <x:v>BOOK-04542</x:v>
      </x:c>
      <x:c r="P4543" s="9" t="n">
        <x:v>5231250</x:v>
      </x:c>
      <x:c r="Q4543" s="11" t="n">
        <x:v>0</x:v>
      </x:c>
      <x:c r="R4543" s="8" t="n">
        <x:v>45631</x:v>
      </x:c>
      <x:c r="S4543" s="4" t="str">
        <x:v>Retained</x:v>
      </x:c>
      <x:c r="T4543" s="10" t="n">
        <x:v>0.291946</x:v>
      </x:c>
      <x:c r="U4543" s="4" t="str">
        <x:v>Test</x:v>
      </x:c>
    </x:row>
    <x:row r="4544" ht="34" customHeight="1">
      <x:c r="A4544" s="4" t="str">
        <x:v>RS-04543</x:v>
      </x:c>
      <x:c r="B4544" s="8" t="n">
        <x:v>45572</x:v>
      </x:c>
      <x:c r="C4544" s="4" t="str">
        <x:v>PRJ-003</x:v>
      </x:c>
      <x:c r="D4544" s="4" t="str">
        <x:v>Office</x:v>
      </x:c>
      <x:c r="E4544" s="4" t="str">
        <x:v>Handed over</x:v>
      </x:c>
      <x:c r="F4544" s="4" t="str">
        <x:v>CUS-04543</x:v>
      </x:c>
      <x:c r="G4544" s="4" t="str">
        <x:v>UNIT-04543</x:v>
      </x:c>
      <x:c r="H4544" s="9" t="n">
        <x:v>17700000</x:v>
      </x:c>
      <x:c r="I4544" s="10" t="n">
        <x:v>0.07</x:v>
      </x:c>
      <x:c r="J4544" s="11" t="n">
        <x:v>7</x:v>
      </x:c>
      <x:c r="K4544" s="11" t="n">
        <x:v>4</x:v>
      </x:c>
      <x:c r="L4544" s="11" t="n">
        <x:v>1</x:v>
      </x:c>
      <x:c r="M4544" s="9" t="n">
        <x:f>ROUND(H4544*(1-I4544),2)</x:f>
        <x:v>16461000</x:v>
      </x:c>
      <x:c r="N4544" s="4" t="str">
        <x:v>Sales manager</x:v>
      </x:c>
      <x:c r="O4544" s="4" t="str">
        <x:v>BOOK-04543</x:v>
      </x:c>
      <x:c r="P4544" s="9" t="n">
        <x:v>4115250</x:v>
      </x:c>
      <x:c r="Q4544" s="11" t="n">
        <x:v>0</x:v>
      </x:c>
      <x:c r="R4544" s="8" t="n">
        <x:v>45632</x:v>
      </x:c>
      <x:c r="S4544" s="4" t="str">
        <x:v>Retained</x:v>
      </x:c>
      <x:c r="T4544" s="10" t="n">
        <x:v>0.291946</x:v>
      </x:c>
      <x:c r="U4544" s="4" t="str">
        <x:v>Test</x:v>
      </x:c>
    </x:row>
    <x:row r="4545" ht="34" customHeight="1">
      <x:c r="A4545" s="4" t="str">
        <x:v>RS-04544</x:v>
      </x:c>
      <x:c r="B4545" s="8" t="n">
        <x:v>45573</x:v>
      </x:c>
      <x:c r="C4545" s="4" t="str">
        <x:v>PRJ-004</x:v>
      </x:c>
      <x:c r="D4545" s="4" t="str">
        <x:v>Office</x:v>
      </x:c>
      <x:c r="E4545" s="4" t="str">
        <x:v>Reserved</x:v>
      </x:c>
      <x:c r="F4545" s="4" t="str">
        <x:v>CUS-04544</x:v>
      </x:c>
      <x:c r="G4545" s="4" t="str">
        <x:v>UNIT-04544</x:v>
      </x:c>
      <x:c r="H4545" s="9" t="n">
        <x:v>7200000</x:v>
      </x:c>
      <x:c r="I4545" s="10" t="n">
        <x:v>0.09</x:v>
      </x:c>
      <x:c r="J4545" s="11" t="n">
        <x:v>8</x:v>
      </x:c>
      <x:c r="K4545" s="11" t="n">
        <x:v>8</x:v>
      </x:c>
      <x:c r="L4545" s="11" t="n">
        <x:v>1</x:v>
      </x:c>
      <x:c r="M4545" s="9" t="n">
        <x:f>ROUND(H4545*(1-I4545),2)</x:f>
        <x:v>6552000</x:v>
      </x:c>
      <x:c r="N4545" s="4" t="str">
        <x:v>Sales head</x:v>
      </x:c>
      <x:c r="O4545" s="4"/>
      <x:c r="P4545" s="9" t="n">
        <x:v>0</x:v>
      </x:c>
      <x:c r="Q4545" s="11" t="n">
        <x:v>0</x:v>
      </x:c>
      <x:c r="R4545" s="8" t="n">
        <x:v>45633</x:v>
      </x:c>
      <x:c r="S4545" s="4" t="str">
        <x:v>Retained</x:v>
      </x:c>
      <x:c r="T4545" s="10" t="n">
        <x:v>0.310195</x:v>
      </x:c>
      <x:c r="U4545" s="4" t="str">
        <x:v>Test</x:v>
      </x:c>
    </x:row>
    <x:row r="4546" ht="34" customHeight="1">
      <x:c r="A4546" s="4" t="str">
        <x:v>RS-04545</x:v>
      </x:c>
      <x:c r="B4546" s="8" t="n">
        <x:v>45574</x:v>
      </x:c>
      <x:c r="C4546" s="4" t="str">
        <x:v>PRJ-005</x:v>
      </x:c>
      <x:c r="D4546" s="4" t="str">
        <x:v>Villa</x:v>
      </x:c>
      <x:c r="E4546" s="4" t="str">
        <x:v>Handed over</x:v>
      </x:c>
      <x:c r="F4546" s="4" t="str">
        <x:v>CUS-04545</x:v>
      </x:c>
      <x:c r="G4546" s="4" t="str">
        <x:v>UNIT-04545</x:v>
      </x:c>
      <x:c r="H4546" s="9" t="n">
        <x:v>21500000</x:v>
      </x:c>
      <x:c r="I4546" s="10" t="n">
        <x:v>0.11</x:v>
      </x:c>
      <x:c r="J4546" s="11" t="n">
        <x:v>12</x:v>
      </x:c>
      <x:c r="K4546" s="11" t="n">
        <x:v>0</x:v>
      </x:c>
      <x:c r="L4546" s="11" t="n">
        <x:v>1</x:v>
      </x:c>
      <x:c r="M4546" s="9" t="n">
        <x:f>ROUND(H4546*(1-I4546),2)</x:f>
        <x:v>19135000</x:v>
      </x:c>
      <x:c r="N4546" s="4" t="str">
        <x:v>Sales head</x:v>
      </x:c>
      <x:c r="O4546" s="4" t="str">
        <x:v>BOOK-04545</x:v>
      </x:c>
      <x:c r="P4546" s="9" t="n">
        <x:v>1913500</x:v>
      </x:c>
      <x:c r="Q4546" s="11" t="n">
        <x:v>0</x:v>
      </x:c>
      <x:c r="R4546" s="8" t="n">
        <x:v>45634</x:v>
      </x:c>
      <x:c r="S4546" s="4" t="str">
        <x:v>Retained</x:v>
      </x:c>
      <x:c r="T4546" s="10" t="n">
        <x:v>0.351536</x:v>
      </x:c>
      <x:c r="U4546" s="4" t="str">
        <x:v>Test</x:v>
      </x:c>
    </x:row>
    <x:row r="4547" ht="34" customHeight="1">
      <x:c r="A4547" s="4" t="str">
        <x:v>RS-04546</x:v>
      </x:c>
      <x:c r="B4547" s="8" t="n">
        <x:v>45575</x:v>
      </x:c>
      <x:c r="C4547" s="4" t="str">
        <x:v>PRJ-006</x:v>
      </x:c>
      <x:c r="D4547" s="4" t="str">
        <x:v>Villa</x:v>
      </x:c>
      <x:c r="E4547" s="4" t="str">
        <x:v>Booked</x:v>
      </x:c>
      <x:c r="F4547" s="4" t="str">
        <x:v>CUS-04546</x:v>
      </x:c>
      <x:c r="G4547" s="4" t="str">
        <x:v>UNIT-04546</x:v>
      </x:c>
      <x:c r="H4547" s="9" t="n">
        <x:v>18000000</x:v>
      </x:c>
      <x:c r="I4547" s="10" t="n">
        <x:v>0.05</x:v>
      </x:c>
      <x:c r="J4547" s="11" t="n">
        <x:v>11</x:v>
      </x:c>
      <x:c r="K4547" s="11" t="n">
        <x:v>3</x:v>
      </x:c>
      <x:c r="L4547" s="11" t="n">
        <x:v>1</x:v>
      </x:c>
      <x:c r="M4547" s="9" t="n">
        <x:f>ROUND(H4547*(1-I4547),2)</x:f>
        <x:v>17100000</x:v>
      </x:c>
      <x:c r="N4547" s="4" t="str">
        <x:v>Sales manager</x:v>
      </x:c>
      <x:c r="O4547" s="4" t="str">
        <x:v>BOOK-04546</x:v>
      </x:c>
      <x:c r="P4547" s="9" t="n">
        <x:v>1710000</x:v>
      </x:c>
      <x:c r="Q4547" s="11" t="n">
        <x:v>0</x:v>
      </x:c>
      <x:c r="R4547" s="8" t="n">
        <x:v>45635</x:v>
      </x:c>
      <x:c r="S4547" s="4" t="str">
        <x:v>Retained</x:v>
      </x:c>
      <x:c r="T4547" s="10" t="n">
        <x:v>0.351536</x:v>
      </x:c>
      <x:c r="U4547" s="4" t="str">
        <x:v>Test</x:v>
      </x:c>
    </x:row>
    <x:row r="4548" ht="34" customHeight="1">
      <x:c r="A4548" s="4" t="str">
        <x:v>RS-04547</x:v>
      </x:c>
      <x:c r="B4548" s="8" t="n">
        <x:v>45576</x:v>
      </x:c>
      <x:c r="C4548" s="4" t="str">
        <x:v>PRJ-007</x:v>
      </x:c>
      <x:c r="D4548" s="4" t="str">
        <x:v>Villa</x:v>
      </x:c>
      <x:c r="E4548" s="4" t="str">
        <x:v>Agreement signed</x:v>
      </x:c>
      <x:c r="F4548" s="4" t="str">
        <x:v>CUS-04547</x:v>
      </x:c>
      <x:c r="G4548" s="4" t="str">
        <x:v>UNIT-04547</x:v>
      </x:c>
      <x:c r="H4548" s="9" t="n">
        <x:v>10700000</x:v>
      </x:c>
      <x:c r="I4548" s="10" t="n">
        <x:v>0.08</x:v>
      </x:c>
      <x:c r="J4548" s="11" t="n">
        <x:v>10</x:v>
      </x:c>
      <x:c r="K4548" s="11" t="n">
        <x:v>2</x:v>
      </x:c>
      <x:c r="L4548" s="11" t="n">
        <x:v>1</x:v>
      </x:c>
      <x:c r="M4548" s="9" t="n">
        <x:f>ROUND(H4548*(1-I4548),2)</x:f>
        <x:v>9844000</x:v>
      </x:c>
      <x:c r="N4548" s="4" t="str">
        <x:v>Sales head</x:v>
      </x:c>
      <x:c r="O4548" s="4" t="str">
        <x:v>BOOK-04547</x:v>
      </x:c>
      <x:c r="P4548" s="9" t="n">
        <x:v>2461000</x:v>
      </x:c>
      <x:c r="Q4548" s="11" t="n">
        <x:v>0</x:v>
      </x:c>
      <x:c r="R4548" s="8" t="n">
        <x:v>45636</x:v>
      </x:c>
      <x:c r="S4548" s="4" t="str">
        <x:v>Retained</x:v>
      </x:c>
      <x:c r="T4548" s="10" t="n">
        <x:v>0.310195</x:v>
      </x:c>
      <x:c r="U4548" s="4" t="str">
        <x:v>Test</x:v>
      </x:c>
    </x:row>
    <x:row r="4549" ht="34" customHeight="1">
      <x:c r="A4549" s="4" t="str">
        <x:v>RS-04548</x:v>
      </x:c>
      <x:c r="B4549" s="8" t="n">
        <x:v>45577</x:v>
      </x:c>
      <x:c r="C4549" s="4" t="str">
        <x:v>PRJ-008</x:v>
      </x:c>
      <x:c r="D4549" s="4" t="str">
        <x:v>Villa</x:v>
      </x:c>
      <x:c r="E4549" s="4" t="str">
        <x:v>Booked</x:v>
      </x:c>
      <x:c r="F4549" s="4" t="str">
        <x:v>CUS-04548</x:v>
      </x:c>
      <x:c r="G4549" s="4" t="str">
        <x:v>UNIT-04548</x:v>
      </x:c>
      <x:c r="H4549" s="9" t="n">
        <x:v>4200000</x:v>
      </x:c>
      <x:c r="I4549" s="10" t="n">
        <x:v>0</x:v>
      </x:c>
      <x:c r="J4549" s="11" t="n">
        <x:v>11</x:v>
      </x:c>
      <x:c r="K4549" s="11" t="n">
        <x:v>6</x:v>
      </x:c>
      <x:c r="L4549" s="11" t="n">
        <x:v>0</x:v>
      </x:c>
      <x:c r="M4549" s="9" t="n">
        <x:f>ROUND(H4549*(1-I4549),2)</x:f>
        <x:v>4200000</x:v>
      </x:c>
      <x:c r="N4549" s="4" t="str">
        <x:v>Sales manager</x:v>
      </x:c>
      <x:c r="O4549" s="4" t="str">
        <x:v>BOOK-04548</x:v>
      </x:c>
      <x:c r="P4549" s="9" t="n">
        <x:v>4200000</x:v>
      </x:c>
      <x:c r="Q4549" s="11" t="n">
        <x:v>0</x:v>
      </x:c>
      <x:c r="R4549" s="8" t="n">
        <x:v>45637</x:v>
      </x:c>
      <x:c r="S4549" s="4" t="str">
        <x:v>Retained</x:v>
      </x:c>
      <x:c r="T4549" s="10" t="n">
        <x:v>0.305556</x:v>
      </x:c>
      <x:c r="U4549" s="4" t="str">
        <x:v>Test</x:v>
      </x:c>
    </x:row>
    <x:row r="4550" ht="34" customHeight="1">
      <x:c r="A4550" s="4" t="str">
        <x:v>RS-04549</x:v>
      </x:c>
      <x:c r="B4550" s="8" t="n">
        <x:v>45578</x:v>
      </x:c>
      <x:c r="C4550" s="4" t="str">
        <x:v>PRJ-009</x:v>
      </x:c>
      <x:c r="D4550" s="4" t="str">
        <x:v>Villa</x:v>
      </x:c>
      <x:c r="E4550" s="4" t="str">
        <x:v>Handed over</x:v>
      </x:c>
      <x:c r="F4550" s="4" t="str">
        <x:v>CUS-04549</x:v>
      </x:c>
      <x:c r="G4550" s="4" t="str">
        <x:v>UNIT-04549</x:v>
      </x:c>
      <x:c r="H4550" s="9" t="n">
        <x:v>19300000</x:v>
      </x:c>
      <x:c r="I4550" s="10" t="n">
        <x:v>0.06</x:v>
      </x:c>
      <x:c r="J4550" s="11" t="n">
        <x:v>9</x:v>
      </x:c>
      <x:c r="K4550" s="11" t="n">
        <x:v>1</x:v>
      </x:c>
      <x:c r="L4550" s="11" t="n">
        <x:v>0</x:v>
      </x:c>
      <x:c r="M4550" s="9" t="n">
        <x:f>ROUND(H4550*(1-I4550),2)</x:f>
        <x:v>18142000</x:v>
      </x:c>
      <x:c r="N4550" s="4" t="str">
        <x:v>Sales manager</x:v>
      </x:c>
      <x:c r="O4550" s="4" t="str">
        <x:v>BOOK-04549</x:v>
      </x:c>
      <x:c r="P4550" s="9" t="n">
        <x:v>18142000</x:v>
      </x:c>
      <x:c r="Q4550" s="11" t="n">
        <x:v>0</x:v>
      </x:c>
      <x:c r="R4550" s="8" t="n">
        <x:v>45638</x:v>
      </x:c>
      <x:c r="S4550" s="4" t="str">
        <x:v>Retained</x:v>
      </x:c>
      <x:c r="T4550" s="10" t="n">
        <x:v>0.310195</x:v>
      </x:c>
      <x:c r="U4550" s="4" t="str">
        <x:v>Test</x:v>
      </x:c>
    </x:row>
    <x:row r="4551" ht="34" customHeight="1">
      <x:c r="A4551" s="4" t="str">
        <x:v>RS-04550</x:v>
      </x:c>
      <x:c r="B4551" s="8" t="n">
        <x:v>45579</x:v>
      </x:c>
      <x:c r="C4551" s="4" t="str">
        <x:v>PRJ-010</x:v>
      </x:c>
      <x:c r="D4551" s="4" t="str">
        <x:v>Apartment</x:v>
      </x:c>
      <x:c r="E4551" s="4" t="str">
        <x:v>Agreement signed</x:v>
      </x:c>
      <x:c r="F4551" s="4" t="str">
        <x:v>CUS-04550</x:v>
      </x:c>
      <x:c r="G4551" s="4" t="str">
        <x:v>UNIT-04550</x:v>
      </x:c>
      <x:c r="H4551" s="9" t="n">
        <x:v>23600000</x:v>
      </x:c>
      <x:c r="I4551" s="10" t="n">
        <x:v>0.06</x:v>
      </x:c>
      <x:c r="J4551" s="11" t="n">
        <x:v>3</x:v>
      </x:c>
      <x:c r="K4551" s="11" t="n">
        <x:v>6</x:v>
      </x:c>
      <x:c r="L4551" s="11" t="n">
        <x:v>0</x:v>
      </x:c>
      <x:c r="M4551" s="9" t="n">
        <x:f>ROUND(H4551*(1-I4551),2)</x:f>
        <x:v>22184000</x:v>
      </x:c>
      <x:c r="N4551" s="4" t="str">
        <x:v>Sales manager</x:v>
      </x:c>
      <x:c r="O4551" s="4" t="str">
        <x:v>BOOK-04550</x:v>
      </x:c>
      <x:c r="P4551" s="9" t="n">
        <x:v>11092000</x:v>
      </x:c>
      <x:c r="Q4551" s="11" t="n">
        <x:v>0</x:v>
      </x:c>
      <x:c r="R4551" s="8" t="n">
        <x:v>45639</x:v>
      </x:c>
      <x:c r="S4551" s="4" t="str">
        <x:v>Retained</x:v>
      </x:c>
      <x:c r="T4551" s="10" t="n">
        <x:v>0.204152</x:v>
      </x:c>
      <x:c r="U4551" s="4" t="str">
        <x:v>Test</x:v>
      </x:c>
    </x:row>
    <x:row r="4552" ht="34" customHeight="1">
      <x:c r="A4552" s="4" t="str">
        <x:v>RS-04551</x:v>
      </x:c>
      <x:c r="B4552" s="8" t="n">
        <x:v>45580</x:v>
      </x:c>
      <x:c r="C4552" s="4" t="str">
        <x:v>PRJ-011</x:v>
      </x:c>
      <x:c r="D4552" s="4" t="str">
        <x:v>Office</x:v>
      </x:c>
      <x:c r="E4552" s="4" t="str">
        <x:v>Agreement signed</x:v>
      </x:c>
      <x:c r="F4552" s="4" t="str">
        <x:v>CUS-04551</x:v>
      </x:c>
      <x:c r="G4552" s="4" t="str">
        <x:v>UNIT-04551</x:v>
      </x:c>
      <x:c r="H4552" s="9" t="n">
        <x:v>5100000</x:v>
      </x:c>
      <x:c r="I4552" s="10" t="n">
        <x:v>0.08</x:v>
      </x:c>
      <x:c r="J4552" s="11" t="n">
        <x:v>0</x:v>
      </x:c>
      <x:c r="K4552" s="11" t="n">
        <x:v>1</x:v>
      </x:c>
      <x:c r="L4552" s="11" t="n">
        <x:v>0</x:v>
      </x:c>
      <x:c r="M4552" s="9" t="n">
        <x:f>ROUND(H4552*(1-I4552),2)</x:f>
        <x:v>4692000</x:v>
      </x:c>
      <x:c r="N4552" s="4" t="str">
        <x:v>Sales head</x:v>
      </x:c>
      <x:c r="O4552" s="4" t="str">
        <x:v>BOOK-04551</x:v>
      </x:c>
      <x:c r="P4552" s="9" t="n">
        <x:v>469200</x:v>
      </x:c>
      <x:c r="Q4552" s="11" t="n">
        <x:v>0</x:v>
      </x:c>
      <x:c r="R4552" s="8" t="n">
        <x:v>45640</x:v>
      </x:c>
      <x:c r="S4552" s="4" t="str">
        <x:v>Retained</x:v>
      </x:c>
      <x:c r="T4552" s="10" t="n">
        <x:v>0.204152</x:v>
      </x:c>
      <x:c r="U4552" s="4" t="str">
        <x:v>Test</x:v>
      </x:c>
    </x:row>
    <x:row r="4553" ht="34" customHeight="1">
      <x:c r="A4553" s="4" t="str">
        <x:v>RS-04552</x:v>
      </x:c>
      <x:c r="B4553" s="8" t="n">
        <x:v>45581</x:v>
      </x:c>
      <x:c r="C4553" s="4" t="str">
        <x:v>PRJ-012</x:v>
      </x:c>
      <x:c r="D4553" s="4" t="str">
        <x:v>Apartment</x:v>
      </x:c>
      <x:c r="E4553" s="4" t="str">
        <x:v>Cancelled</x:v>
      </x:c>
      <x:c r="F4553" s="4" t="str">
        <x:v>CUS-04552</x:v>
      </x:c>
      <x:c r="G4553" s="4" t="str">
        <x:v>UNIT-04552</x:v>
      </x:c>
      <x:c r="H4553" s="9" t="n">
        <x:v>7200000</x:v>
      </x:c>
      <x:c r="I4553" s="10" t="n">
        <x:v>0.08</x:v>
      </x:c>
      <x:c r="J4553" s="11" t="n">
        <x:v>9</x:v>
      </x:c>
      <x:c r="K4553" s="11" t="n">
        <x:v>3</x:v>
      </x:c>
      <x:c r="L4553" s="11" t="n">
        <x:v>0</x:v>
      </x:c>
      <x:c r="M4553" s="9" t="n">
        <x:f>ROUND(H4553*(1-I4553),2)</x:f>
        <x:v>6624000</x:v>
      </x:c>
      <x:c r="N4553" s="4" t="str">
        <x:v>Sales head</x:v>
      </x:c>
      <x:c r="O4553" s="4"/>
      <x:c r="P4553" s="9" t="n">
        <x:v>0</x:v>
      </x:c>
      <x:c r="Q4553" s="11" t="n">
        <x:v>1</x:v>
      </x:c>
      <x:c r="R4553" s="8" t="n">
        <x:v>45641</x:v>
      </x:c>
      <x:c r="S4553" s="4" t="str">
        <x:v>Lost / cancelled</x:v>
      </x:c>
      <x:c r="T4553" s="10" t="n">
        <x:v>0.310195</x:v>
      </x:c>
      <x:c r="U4553" s="4" t="str">
        <x:v>Test</x:v>
      </x:c>
    </x:row>
    <x:row r="4554" ht="34" customHeight="1">
      <x:c r="A4554" s="4" t="str">
        <x:v>RS-04553</x:v>
      </x:c>
      <x:c r="B4554" s="8" t="n">
        <x:v>45582</x:v>
      </x:c>
      <x:c r="C4554" s="4" t="str">
        <x:v>PRJ-013</x:v>
      </x:c>
      <x:c r="D4554" s="4" t="str">
        <x:v>Office</x:v>
      </x:c>
      <x:c r="E4554" s="4" t="str">
        <x:v>Reserved</x:v>
      </x:c>
      <x:c r="F4554" s="4" t="str">
        <x:v>CUS-04553</x:v>
      </x:c>
      <x:c r="G4554" s="4" t="str">
        <x:v>UNIT-04553</x:v>
      </x:c>
      <x:c r="H4554" s="9" t="n">
        <x:v>23200000</x:v>
      </x:c>
      <x:c r="I4554" s="10" t="n">
        <x:v>0.04</x:v>
      </x:c>
      <x:c r="J4554" s="11" t="n">
        <x:v>12</x:v>
      </x:c>
      <x:c r="K4554" s="11" t="n">
        <x:v>3</x:v>
      </x:c>
      <x:c r="L4554" s="11" t="n">
        <x:v>1</x:v>
      </x:c>
      <x:c r="M4554" s="9" t="n">
        <x:f>ROUND(H4554*(1-I4554),2)</x:f>
        <x:v>22272000</x:v>
      </x:c>
      <x:c r="N4554" s="4" t="str">
        <x:v>Sales manager</x:v>
      </x:c>
      <x:c r="O4554" s="4"/>
      <x:c r="P4554" s="9" t="n">
        <x:v>0</x:v>
      </x:c>
      <x:c r="Q4554" s="11" t="n">
        <x:v>1</x:v>
      </x:c>
      <x:c r="R4554" s="8" t="n">
        <x:v>45642</x:v>
      </x:c>
      <x:c r="S4554" s="4" t="str">
        <x:v>Lost / cancelled</x:v>
      </x:c>
      <x:c r="T4554" s="10" t="n">
        <x:v>0.351536</x:v>
      </x:c>
      <x:c r="U4554" s="4" t="str">
        <x:v>Test</x:v>
      </x:c>
    </x:row>
    <x:row r="4555" ht="34" customHeight="1">
      <x:c r="A4555" s="4" t="str">
        <x:v>RS-04554</x:v>
      </x:c>
      <x:c r="B4555" s="8" t="n">
        <x:v>45583</x:v>
      </x:c>
      <x:c r="C4555" s="4" t="str">
        <x:v>PRJ-014</x:v>
      </x:c>
      <x:c r="D4555" s="4" t="str">
        <x:v>Villa</x:v>
      </x:c>
      <x:c r="E4555" s="4" t="str">
        <x:v>Agreement signed</x:v>
      </x:c>
      <x:c r="F4555" s="4" t="str">
        <x:v>CUS-04554</x:v>
      </x:c>
      <x:c r="G4555" s="4" t="str">
        <x:v>UNIT-04554</x:v>
      </x:c>
      <x:c r="H4555" s="9" t="n">
        <x:v>19800000</x:v>
      </x:c>
      <x:c r="I4555" s="10" t="n">
        <x:v>0.02</x:v>
      </x:c>
      <x:c r="J4555" s="11" t="n">
        <x:v>10</x:v>
      </x:c>
      <x:c r="K4555" s="11" t="n">
        <x:v>10</x:v>
      </x:c>
      <x:c r="L4555" s="11" t="n">
        <x:v>1</x:v>
      </x:c>
      <x:c r="M4555" s="9" t="n">
        <x:f>ROUND(H4555*(1-I4555),2)</x:f>
        <x:v>19404000</x:v>
      </x:c>
      <x:c r="N4555" s="4" t="str">
        <x:v>Sales manager</x:v>
      </x:c>
      <x:c r="O4555" s="4" t="str">
        <x:v>BOOK-04554</x:v>
      </x:c>
      <x:c r="P4555" s="9" t="n">
        <x:v>1940400</x:v>
      </x:c>
      <x:c r="Q4555" s="11" t="n">
        <x:v>0</x:v>
      </x:c>
      <x:c r="R4555" s="8" t="n">
        <x:v>45643</x:v>
      </x:c>
      <x:c r="S4555" s="4" t="str">
        <x:v>Retained</x:v>
      </x:c>
      <x:c r="T4555" s="10" t="n">
        <x:v>0.254545</x:v>
      </x:c>
      <x:c r="U4555" s="4" t="str">
        <x:v>Test</x:v>
      </x:c>
    </x:row>
    <x:row r="4556" ht="34" customHeight="1">
      <x:c r="A4556" s="4" t="str">
        <x:v>RS-04555</x:v>
      </x:c>
      <x:c r="B4556" s="8" t="n">
        <x:v>45584</x:v>
      </x:c>
      <x:c r="C4556" s="4" t="str">
        <x:v>PRJ-015</x:v>
      </x:c>
      <x:c r="D4556" s="4" t="str">
        <x:v>Apartment</x:v>
      </x:c>
      <x:c r="E4556" s="4" t="str">
        <x:v>Handed over</x:v>
      </x:c>
      <x:c r="F4556" s="4" t="str">
        <x:v>CUS-04555</x:v>
      </x:c>
      <x:c r="G4556" s="4" t="str">
        <x:v>UNIT-04555</x:v>
      </x:c>
      <x:c r="H4556" s="9" t="n">
        <x:v>9500000</x:v>
      </x:c>
      <x:c r="I4556" s="10" t="n">
        <x:v>0.07</x:v>
      </x:c>
      <x:c r="J4556" s="11" t="n">
        <x:v>4</x:v>
      </x:c>
      <x:c r="K4556" s="11" t="n">
        <x:v>8</x:v>
      </x:c>
      <x:c r="L4556" s="11" t="n">
        <x:v>1</x:v>
      </x:c>
      <x:c r="M4556" s="9" t="n">
        <x:f>ROUND(H4556*(1-I4556),2)</x:f>
        <x:v>8835000</x:v>
      </x:c>
      <x:c r="N4556" s="4" t="str">
        <x:v>Sales manager</x:v>
      </x:c>
      <x:c r="O4556" s="4" t="str">
        <x:v>BOOK-04555</x:v>
      </x:c>
      <x:c r="P4556" s="9" t="n">
        <x:v>883500</x:v>
      </x:c>
      <x:c r="Q4556" s="11" t="n">
        <x:v>0</x:v>
      </x:c>
      <x:c r="R4556" s="8" t="n">
        <x:v>45644</x:v>
      </x:c>
      <x:c r="S4556" s="4" t="str">
        <x:v>Retained</x:v>
      </x:c>
      <x:c r="T4556" s="10" t="n">
        <x:v>0.291946</x:v>
      </x:c>
      <x:c r="U4556" s="4" t="str">
        <x:v>Test</x:v>
      </x:c>
    </x:row>
    <x:row r="4557" ht="34" customHeight="1">
      <x:c r="A4557" s="4" t="str">
        <x:v>RS-04556</x:v>
      </x:c>
      <x:c r="B4557" s="8" t="n">
        <x:v>45585</x:v>
      </x:c>
      <x:c r="C4557" s="4" t="str">
        <x:v>PRJ-016</x:v>
      </x:c>
      <x:c r="D4557" s="4" t="str">
        <x:v>Office</x:v>
      </x:c>
      <x:c r="E4557" s="4" t="str">
        <x:v>Reserved</x:v>
      </x:c>
      <x:c r="F4557" s="4" t="str">
        <x:v>CUS-04556</x:v>
      </x:c>
      <x:c r="G4557" s="4" t="str">
        <x:v>UNIT-04556</x:v>
      </x:c>
      <x:c r="H4557" s="9" t="n">
        <x:v>5200000</x:v>
      </x:c>
      <x:c r="I4557" s="10" t="n">
        <x:v>0.1</x:v>
      </x:c>
      <x:c r="J4557" s="11" t="n">
        <x:v>8</x:v>
      </x:c>
      <x:c r="K4557" s="11" t="n">
        <x:v>1</x:v>
      </x:c>
      <x:c r="L4557" s="11" t="n">
        <x:v>1</x:v>
      </x:c>
      <x:c r="M4557" s="9" t="n">
        <x:f>ROUND(H4557*(1-I4557),2)</x:f>
        <x:v>4680000</x:v>
      </x:c>
      <x:c r="N4557" s="4" t="str">
        <x:v>Sales head</x:v>
      </x:c>
      <x:c r="O4557" s="4"/>
      <x:c r="P4557" s="9" t="n">
        <x:v>0</x:v>
      </x:c>
      <x:c r="Q4557" s="11" t="n">
        <x:v>1</x:v>
      </x:c>
      <x:c r="R4557" s="8" t="n">
        <x:v>45645</x:v>
      </x:c>
      <x:c r="S4557" s="4" t="str">
        <x:v>Lost / cancelled</x:v>
      </x:c>
      <x:c r="T4557" s="10" t="n">
        <x:v>0.310195</x:v>
      </x:c>
      <x:c r="U4557" s="4" t="str">
        <x:v>Test</x:v>
      </x:c>
    </x:row>
    <x:row r="4558" ht="34" customHeight="1">
      <x:c r="A4558" s="4" t="str">
        <x:v>RS-04557</x:v>
      </x:c>
      <x:c r="B4558" s="8" t="n">
        <x:v>45586</x:v>
      </x:c>
      <x:c r="C4558" s="4" t="str">
        <x:v>PRJ-017</x:v>
      </x:c>
      <x:c r="D4558" s="4" t="str">
        <x:v>Retail</x:v>
      </x:c>
      <x:c r="E4558" s="4" t="str">
        <x:v>Reserved</x:v>
      </x:c>
      <x:c r="F4558" s="4" t="str">
        <x:v>CUS-04557</x:v>
      </x:c>
      <x:c r="G4558" s="4" t="str">
        <x:v>UNIT-04557</x:v>
      </x:c>
      <x:c r="H4558" s="9" t="n">
        <x:v>10100000</x:v>
      </x:c>
      <x:c r="I4558" s="10" t="n">
        <x:v>0.07</x:v>
      </x:c>
      <x:c r="J4558" s="11" t="n">
        <x:v>6</x:v>
      </x:c>
      <x:c r="K4558" s="11" t="n">
        <x:v>10</x:v>
      </x:c>
      <x:c r="L4558" s="11" t="n">
        <x:v>1</x:v>
      </x:c>
      <x:c r="M4558" s="9" t="n">
        <x:f>ROUND(H4558*(1-I4558),2)</x:f>
        <x:v>9393000</x:v>
      </x:c>
      <x:c r="N4558" s="4" t="str">
        <x:v>Sales manager</x:v>
      </x:c>
      <x:c r="O4558" s="4"/>
      <x:c r="P4558" s="9" t="n">
        <x:v>0</x:v>
      </x:c>
      <x:c r="Q4558" s="11" t="n">
        <x:v>0</x:v>
      </x:c>
      <x:c r="R4558" s="8" t="n">
        <x:v>45646</x:v>
      </x:c>
      <x:c r="S4558" s="4" t="str">
        <x:v>Retained</x:v>
      </x:c>
      <x:c r="T4558" s="10" t="n">
        <x:v>0.291946</x:v>
      </x:c>
      <x:c r="U4558" s="4" t="str">
        <x:v>Test</x:v>
      </x:c>
    </x:row>
    <x:row r="4559" ht="34" customHeight="1">
      <x:c r="A4559" s="4" t="str">
        <x:v>RS-04558</x:v>
      </x:c>
      <x:c r="B4559" s="8" t="n">
        <x:v>45587</x:v>
      </x:c>
      <x:c r="C4559" s="4" t="str">
        <x:v>PRJ-018</x:v>
      </x:c>
      <x:c r="D4559" s="4" t="str">
        <x:v>Villa</x:v>
      </x:c>
      <x:c r="E4559" s="4" t="str">
        <x:v>Agreement signed</x:v>
      </x:c>
      <x:c r="F4559" s="4" t="str">
        <x:v>CUS-04558</x:v>
      </x:c>
      <x:c r="G4559" s="4" t="str">
        <x:v>UNIT-04558</x:v>
      </x:c>
      <x:c r="H4559" s="9" t="n">
        <x:v>12900000</x:v>
      </x:c>
      <x:c r="I4559" s="10" t="n">
        <x:v>0.09</x:v>
      </x:c>
      <x:c r="J4559" s="11" t="n">
        <x:v>1</x:v>
      </x:c>
      <x:c r="K4559" s="11" t="n">
        <x:v>6</x:v>
      </x:c>
      <x:c r="L4559" s="11" t="n">
        <x:v>1</x:v>
      </x:c>
      <x:c r="M4559" s="9" t="n">
        <x:f>ROUND(H4559*(1-I4559),2)</x:f>
        <x:v>11739000</x:v>
      </x:c>
      <x:c r="N4559" s="4" t="str">
        <x:v>Sales head</x:v>
      </x:c>
      <x:c r="O4559" s="4" t="str">
        <x:v>BOOK-04558</x:v>
      </x:c>
      <x:c r="P4559" s="9" t="n">
        <x:v>11739000</x:v>
      </x:c>
      <x:c r="Q4559" s="11" t="n">
        <x:v>0</x:v>
      </x:c>
      <x:c r="R4559" s="8" t="n">
        <x:v>45647</x:v>
      </x:c>
      <x:c r="S4559" s="4" t="str">
        <x:v>Retained</x:v>
      </x:c>
      <x:c r="T4559" s="10" t="n">
        <x:v>0.145833</x:v>
      </x:c>
      <x:c r="U4559" s="4" t="str">
        <x:v>Test</x:v>
      </x:c>
    </x:row>
    <x:row r="4560" ht="34" customHeight="1">
      <x:c r="A4560" s="4" t="str">
        <x:v>RS-04559</x:v>
      </x:c>
      <x:c r="B4560" s="8" t="n">
        <x:v>45588</x:v>
      </x:c>
      <x:c r="C4560" s="4" t="str">
        <x:v>PRJ-019</x:v>
      </x:c>
      <x:c r="D4560" s="4" t="str">
        <x:v>Villa</x:v>
      </x:c>
      <x:c r="E4560" s="4" t="str">
        <x:v>Agreement signed</x:v>
      </x:c>
      <x:c r="F4560" s="4" t="str">
        <x:v>CUS-04559</x:v>
      </x:c>
      <x:c r="G4560" s="4" t="str">
        <x:v>UNIT-04559</x:v>
      </x:c>
      <x:c r="H4560" s="9" t="n">
        <x:v>11200000</x:v>
      </x:c>
      <x:c r="I4560" s="10" t="n">
        <x:v>0.09</x:v>
      </x:c>
      <x:c r="J4560" s="11" t="n">
        <x:v>9</x:v>
      </x:c>
      <x:c r="K4560" s="11" t="n">
        <x:v>5</x:v>
      </x:c>
      <x:c r="L4560" s="11" t="n">
        <x:v>1</x:v>
      </x:c>
      <x:c r="M4560" s="9" t="n">
        <x:f>ROUND(H4560*(1-I4560),2)</x:f>
        <x:v>10192000</x:v>
      </x:c>
      <x:c r="N4560" s="4" t="str">
        <x:v>Sales head</x:v>
      </x:c>
      <x:c r="O4560" s="4" t="str">
        <x:v>BOOK-04559</x:v>
      </x:c>
      <x:c r="P4560" s="9" t="n">
        <x:v>5096000</x:v>
      </x:c>
      <x:c r="Q4560" s="11" t="n">
        <x:v>0</x:v>
      </x:c>
      <x:c r="R4560" s="8" t="n">
        <x:v>45648</x:v>
      </x:c>
      <x:c r="S4560" s="4" t="str">
        <x:v>Retained</x:v>
      </x:c>
      <x:c r="T4560" s="10" t="n">
        <x:v>0.310195</x:v>
      </x:c>
      <x:c r="U4560" s="4" t="str">
        <x:v>Test</x:v>
      </x:c>
    </x:row>
    <x:row r="4561" ht="34" customHeight="1">
      <x:c r="A4561" s="4" t="str">
        <x:v>RS-04560</x:v>
      </x:c>
      <x:c r="B4561" s="8" t="n">
        <x:v>45589</x:v>
      </x:c>
      <x:c r="C4561" s="4" t="str">
        <x:v>PRJ-020</x:v>
      </x:c>
      <x:c r="D4561" s="4" t="str">
        <x:v>Retail</x:v>
      </x:c>
      <x:c r="E4561" s="4" t="str">
        <x:v>Enquiry</x:v>
      </x:c>
      <x:c r="F4561" s="4" t="str">
        <x:v>CUS-04560</x:v>
      </x:c>
      <x:c r="G4561" s="4" t="str">
        <x:v>UNIT-04560</x:v>
      </x:c>
      <x:c r="H4561" s="9" t="n">
        <x:v>22000000</x:v>
      </x:c>
      <x:c r="I4561" s="10" t="n">
        <x:v>0.02</x:v>
      </x:c>
      <x:c r="J4561" s="11" t="n">
        <x:v>6</x:v>
      </x:c>
      <x:c r="K4561" s="11" t="n">
        <x:v>7</x:v>
      </x:c>
      <x:c r="L4561" s="11" t="n">
        <x:v>0</x:v>
      </x:c>
      <x:c r="M4561" s="9" t="n">
        <x:f>ROUND(H4561*(1-I4561),2)</x:f>
        <x:v>21560000</x:v>
      </x:c>
      <x:c r="N4561" s="4" t="str">
        <x:v>Sales manager</x:v>
      </x:c>
      <x:c r="O4561" s="4"/>
      <x:c r="P4561" s="9" t="n">
        <x:v>0</x:v>
      </x:c>
      <x:c r="Q4561" s="11" t="n">
        <x:v>1</x:v>
      </x:c>
      <x:c r="R4561" s="8" t="n">
        <x:v>45649</x:v>
      </x:c>
      <x:c r="S4561" s="4" t="str">
        <x:v>Lost / cancelled</x:v>
      </x:c>
      <x:c r="T4561" s="10" t="n">
        <x:v>0.145299</x:v>
      </x:c>
      <x:c r="U4561" s="4" t="str">
        <x:v>Test</x:v>
      </x:c>
    </x:row>
    <x:row r="4562" ht="34" customHeight="1">
      <x:c r="A4562" s="4" t="str">
        <x:v>RS-04561</x:v>
      </x:c>
      <x:c r="B4562" s="8" t="n">
        <x:v>45590</x:v>
      </x:c>
      <x:c r="C4562" s="4" t="str">
        <x:v>PRJ-001</x:v>
      </x:c>
      <x:c r="D4562" s="4" t="str">
        <x:v>Office</x:v>
      </x:c>
      <x:c r="E4562" s="4" t="str">
        <x:v>Agreement signed</x:v>
      </x:c>
      <x:c r="F4562" s="4" t="str">
        <x:v>CUS-04561</x:v>
      </x:c>
      <x:c r="G4562" s="4" t="str">
        <x:v>UNIT-04561</x:v>
      </x:c>
      <x:c r="H4562" s="9" t="n">
        <x:v>20200000</x:v>
      </x:c>
      <x:c r="I4562" s="10" t="n">
        <x:v>0.03</x:v>
      </x:c>
      <x:c r="J4562" s="11" t="n">
        <x:v>0</x:v>
      </x:c>
      <x:c r="K4562" s="11" t="n">
        <x:v>0</x:v>
      </x:c>
      <x:c r="L4562" s="11" t="n">
        <x:v>0</x:v>
      </x:c>
      <x:c r="M4562" s="9" t="n">
        <x:f>ROUND(H4562*(1-I4562),2)</x:f>
        <x:v>19594000</x:v>
      </x:c>
      <x:c r="N4562" s="4" t="str">
        <x:v>Sales manager</x:v>
      </x:c>
      <x:c r="O4562" s="4" t="str">
        <x:v>BOOK-04561</x:v>
      </x:c>
      <x:c r="P4562" s="9" t="n">
        <x:v>19594000</x:v>
      </x:c>
      <x:c r="Q4562" s="11" t="n">
        <x:v>0</x:v>
      </x:c>
      <x:c r="R4562" s="8" t="n">
        <x:v>45650</x:v>
      </x:c>
      <x:c r="S4562" s="4" t="str">
        <x:v>Retained</x:v>
      </x:c>
      <x:c r="T4562" s="10" t="n">
        <x:v>0.276923</x:v>
      </x:c>
      <x:c r="U4562" s="4" t="str">
        <x:v>Test</x:v>
      </x:c>
    </x:row>
    <x:row r="4563" ht="34" customHeight="1">
      <x:c r="A4563" s="4" t="str">
        <x:v>RS-04562</x:v>
      </x:c>
      <x:c r="B4563" s="8" t="n">
        <x:v>45591</x:v>
      </x:c>
      <x:c r="C4563" s="4" t="str">
        <x:v>PRJ-002</x:v>
      </x:c>
      <x:c r="D4563" s="4" t="str">
        <x:v>Apartment</x:v>
      </x:c>
      <x:c r="E4563" s="4" t="str">
        <x:v>Handed over</x:v>
      </x:c>
      <x:c r="F4563" s="4" t="str">
        <x:v>CUS-04562</x:v>
      </x:c>
      <x:c r="G4563" s="4" t="str">
        <x:v>UNIT-04562</x:v>
      </x:c>
      <x:c r="H4563" s="9" t="n">
        <x:v>14400000</x:v>
      </x:c>
      <x:c r="I4563" s="10" t="n">
        <x:v>0.09</x:v>
      </x:c>
      <x:c r="J4563" s="11" t="n">
        <x:v>9</x:v>
      </x:c>
      <x:c r="K4563" s="11" t="n">
        <x:v>9</x:v>
      </x:c>
      <x:c r="L4563" s="11" t="n">
        <x:v>0</x:v>
      </x:c>
      <x:c r="M4563" s="9" t="n">
        <x:f>ROUND(H4563*(1-I4563),2)</x:f>
        <x:v>13104000</x:v>
      </x:c>
      <x:c r="N4563" s="4" t="str">
        <x:v>Sales head</x:v>
      </x:c>
      <x:c r="O4563" s="4" t="str">
        <x:v>BOOK-04562</x:v>
      </x:c>
      <x:c r="P4563" s="9" t="n">
        <x:v>3276000</x:v>
      </x:c>
      <x:c r="Q4563" s="11" t="n">
        <x:v>0</x:v>
      </x:c>
      <x:c r="R4563" s="8" t="n">
        <x:v>45651</x:v>
      </x:c>
      <x:c r="S4563" s="4" t="str">
        <x:v>Retained</x:v>
      </x:c>
      <x:c r="T4563" s="10" t="n">
        <x:v>0.310195</x:v>
      </x:c>
      <x:c r="U4563" s="4" t="str">
        <x:v>Test</x:v>
      </x:c>
    </x:row>
    <x:row r="4564" ht="34" customHeight="1">
      <x:c r="A4564" s="4" t="str">
        <x:v>RS-04563</x:v>
      </x:c>
      <x:c r="B4564" s="8" t="n">
        <x:v>45592</x:v>
      </x:c>
      <x:c r="C4564" s="4" t="str">
        <x:v>PRJ-003</x:v>
      </x:c>
      <x:c r="D4564" s="4" t="str">
        <x:v>Villa</x:v>
      </x:c>
      <x:c r="E4564" s="4" t="str">
        <x:v>Cancelled</x:v>
      </x:c>
      <x:c r="F4564" s="4" t="str">
        <x:v>CUS-04563</x:v>
      </x:c>
      <x:c r="G4564" s="4" t="str">
        <x:v>UNIT-04563</x:v>
      </x:c>
      <x:c r="H4564" s="9" t="n">
        <x:v>22700000</x:v>
      </x:c>
      <x:c r="I4564" s="10" t="n">
        <x:v>0.02</x:v>
      </x:c>
      <x:c r="J4564" s="11" t="n">
        <x:v>6</x:v>
      </x:c>
      <x:c r="K4564" s="11" t="n">
        <x:v>9</x:v>
      </x:c>
      <x:c r="L4564" s="11" t="n">
        <x:v>1</x:v>
      </x:c>
      <x:c r="M4564" s="9" t="n">
        <x:f>ROUND(H4564*(1-I4564),2)</x:f>
        <x:v>22246000</x:v>
      </x:c>
      <x:c r="N4564" s="4" t="str">
        <x:v>Sales manager</x:v>
      </x:c>
      <x:c r="O4564" s="4"/>
      <x:c r="P4564" s="9" t="n">
        <x:v>0</x:v>
      </x:c>
      <x:c r="Q4564" s="11" t="n">
        <x:v>1</x:v>
      </x:c>
      <x:c r="R4564" s="8" t="n">
        <x:v>45652</x:v>
      </x:c>
      <x:c r="S4564" s="4" t="str">
        <x:v>Lost / cancelled</x:v>
      </x:c>
      <x:c r="T4564" s="10" t="n">
        <x:v>0.145299</x:v>
      </x:c>
      <x:c r="U4564" s="4" t="str">
        <x:v>Test</x:v>
      </x:c>
    </x:row>
    <x:row r="4565" ht="34" customHeight="1">
      <x:c r="A4565" s="4" t="str">
        <x:v>RS-04564</x:v>
      </x:c>
      <x:c r="B4565" s="8" t="n">
        <x:v>45593</x:v>
      </x:c>
      <x:c r="C4565" s="4" t="str">
        <x:v>PRJ-004</x:v>
      </x:c>
      <x:c r="D4565" s="4" t="str">
        <x:v>Retail</x:v>
      </x:c>
      <x:c r="E4565" s="4" t="str">
        <x:v>Cancelled</x:v>
      </x:c>
      <x:c r="F4565" s="4" t="str">
        <x:v>CUS-04564</x:v>
      </x:c>
      <x:c r="G4565" s="4" t="str">
        <x:v>UNIT-04564</x:v>
      </x:c>
      <x:c r="H4565" s="9" t="n">
        <x:v>6900000</x:v>
      </x:c>
      <x:c r="I4565" s="10" t="n">
        <x:v>0.06</x:v>
      </x:c>
      <x:c r="J4565" s="11" t="n">
        <x:v>4</x:v>
      </x:c>
      <x:c r="K4565" s="11" t="n">
        <x:v>7</x:v>
      </x:c>
      <x:c r="L4565" s="11" t="n">
        <x:v>1</x:v>
      </x:c>
      <x:c r="M4565" s="9" t="n">
        <x:f>ROUND(H4565*(1-I4565),2)</x:f>
        <x:v>6486000</x:v>
      </x:c>
      <x:c r="N4565" s="4" t="str">
        <x:v>Sales manager</x:v>
      </x:c>
      <x:c r="O4565" s="4"/>
      <x:c r="P4565" s="9" t="n">
        <x:v>0</x:v>
      </x:c>
      <x:c r="Q4565" s="11" t="n">
        <x:v>1</x:v>
      </x:c>
      <x:c r="R4565" s="8" t="n">
        <x:v>45653</x:v>
      </x:c>
      <x:c r="S4565" s="4" t="str">
        <x:v>Lost / cancelled</x:v>
      </x:c>
      <x:c r="T4565" s="10" t="n">
        <x:v>0.291946</x:v>
      </x:c>
      <x:c r="U4565" s="4" t="str">
        <x:v>Test</x:v>
      </x:c>
    </x:row>
    <x:row r="4566" ht="34" customHeight="1">
      <x:c r="A4566" s="4" t="str">
        <x:v>RS-04565</x:v>
      </x:c>
      <x:c r="B4566" s="8" t="n">
        <x:v>45566</x:v>
      </x:c>
      <x:c r="C4566" s="4" t="str">
        <x:v>PRJ-005</x:v>
      </x:c>
      <x:c r="D4566" s="4" t="str">
        <x:v>Retail</x:v>
      </x:c>
      <x:c r="E4566" s="4" t="str">
        <x:v>Enquiry</x:v>
      </x:c>
      <x:c r="F4566" s="4" t="str">
        <x:v>CUS-04565</x:v>
      </x:c>
      <x:c r="G4566" s="4" t="str">
        <x:v>UNIT-04565</x:v>
      </x:c>
      <x:c r="H4566" s="9" t="n">
        <x:v>24700000</x:v>
      </x:c>
      <x:c r="I4566" s="10" t="n">
        <x:v>0.1</x:v>
      </x:c>
      <x:c r="J4566" s="11" t="n">
        <x:v>8</x:v>
      </x:c>
      <x:c r="K4566" s="11" t="n">
        <x:v>6</x:v>
      </x:c>
      <x:c r="L4566" s="11" t="n">
        <x:v>1</x:v>
      </x:c>
      <x:c r="M4566" s="9" t="n">
        <x:f>ROUND(H4566*(1-I4566),2)</x:f>
        <x:v>22230000</x:v>
      </x:c>
      <x:c r="N4566" s="4" t="str">
        <x:v>Sales head</x:v>
      </x:c>
      <x:c r="O4566" s="4"/>
      <x:c r="P4566" s="9" t="n">
        <x:v>0</x:v>
      </x:c>
      <x:c r="Q4566" s="11" t="n">
        <x:v>0</x:v>
      </x:c>
      <x:c r="R4566" s="8" t="n">
        <x:v>45626</x:v>
      </x:c>
      <x:c r="S4566" s="4" t="str">
        <x:v>Retained</x:v>
      </x:c>
      <x:c r="T4566" s="10" t="n">
        <x:v>0.310195</x:v>
      </x:c>
      <x:c r="U4566" s="4" t="str">
        <x:v>Test</x:v>
      </x:c>
    </x:row>
    <x:row r="4567" ht="34" customHeight="1">
      <x:c r="A4567" s="4" t="str">
        <x:v>RS-04566</x:v>
      </x:c>
      <x:c r="B4567" s="8" t="n">
        <x:v>45567</x:v>
      </x:c>
      <x:c r="C4567" s="4" t="str">
        <x:v>PRJ-006</x:v>
      </x:c>
      <x:c r="D4567" s="4" t="str">
        <x:v>Retail</x:v>
      </x:c>
      <x:c r="E4567" s="4" t="str">
        <x:v>Agreement signed</x:v>
      </x:c>
      <x:c r="F4567" s="4" t="str">
        <x:v>CUS-04566</x:v>
      </x:c>
      <x:c r="G4567" s="4" t="str">
        <x:v>UNIT-04566</x:v>
      </x:c>
      <x:c r="H4567" s="9" t="n">
        <x:v>15400000</x:v>
      </x:c>
      <x:c r="I4567" s="10" t="n">
        <x:v>0.07</x:v>
      </x:c>
      <x:c r="J4567" s="11" t="n">
        <x:v>5</x:v>
      </x:c>
      <x:c r="K4567" s="11" t="n">
        <x:v>1</x:v>
      </x:c>
      <x:c r="L4567" s="11" t="n">
        <x:v>0</x:v>
      </x:c>
      <x:c r="M4567" s="9" t="n">
        <x:f>ROUND(H4567*(1-I4567),2)</x:f>
        <x:v>14322000</x:v>
      </x:c>
      <x:c r="N4567" s="4" t="str">
        <x:v>Sales manager</x:v>
      </x:c>
      <x:c r="O4567" s="4" t="str">
        <x:v>BOOK-04566</x:v>
      </x:c>
      <x:c r="P4567" s="9" t="n">
        <x:v>7161000</x:v>
      </x:c>
      <x:c r="Q4567" s="11" t="n">
        <x:v>0</x:v>
      </x:c>
      <x:c r="R4567" s="8" t="n">
        <x:v>45627</x:v>
      </x:c>
      <x:c r="S4567" s="4" t="str">
        <x:v>Retained</x:v>
      </x:c>
      <x:c r="T4567" s="10" t="n">
        <x:v>0.226277</x:v>
      </x:c>
      <x:c r="U4567" s="4" t="str">
        <x:v>Test</x:v>
      </x:c>
    </x:row>
    <x:row r="4568" ht="34" customHeight="1">
      <x:c r="A4568" s="4" t="str">
        <x:v>RS-04567</x:v>
      </x:c>
      <x:c r="B4568" s="8" t="n">
        <x:v>45568</x:v>
      </x:c>
      <x:c r="C4568" s="4" t="str">
        <x:v>PRJ-007</x:v>
      </x:c>
      <x:c r="D4568" s="4" t="str">
        <x:v>Retail</x:v>
      </x:c>
      <x:c r="E4568" s="4" t="str">
        <x:v>Cancelled</x:v>
      </x:c>
      <x:c r="F4568" s="4" t="str">
        <x:v>CUS-04567</x:v>
      </x:c>
      <x:c r="G4568" s="4" t="str">
        <x:v>UNIT-04567</x:v>
      </x:c>
      <x:c r="H4568" s="9" t="n">
        <x:v>14400000</x:v>
      </x:c>
      <x:c r="I4568" s="10" t="n">
        <x:v>0.05</x:v>
      </x:c>
      <x:c r="J4568" s="11" t="n">
        <x:v>7</x:v>
      </x:c>
      <x:c r="K4568" s="11" t="n">
        <x:v>6</x:v>
      </x:c>
      <x:c r="L4568" s="11" t="n">
        <x:v>0</x:v>
      </x:c>
      <x:c r="M4568" s="9" t="n">
        <x:f>ROUND(H4568*(1-I4568),2)</x:f>
        <x:v>13680000</x:v>
      </x:c>
      <x:c r="N4568" s="4" t="str">
        <x:v>Sales manager</x:v>
      </x:c>
      <x:c r="O4568" s="4"/>
      <x:c r="P4568" s="9" t="n">
        <x:v>0</x:v>
      </x:c>
      <x:c r="Q4568" s="11" t="n">
        <x:v>1</x:v>
      </x:c>
      <x:c r="R4568" s="8" t="n">
        <x:v>45628</x:v>
      </x:c>
      <x:c r="S4568" s="4" t="str">
        <x:v>Lost / cancelled</x:v>
      </x:c>
      <x:c r="T4568" s="10" t="n">
        <x:v>0.226277</x:v>
      </x:c>
      <x:c r="U4568" s="4" t="str">
        <x:v>Test</x:v>
      </x:c>
    </x:row>
    <x:row r="4569" ht="34" customHeight="1">
      <x:c r="A4569" s="4" t="str">
        <x:v>RS-04568</x:v>
      </x:c>
      <x:c r="B4569" s="8" t="n">
        <x:v>45569</x:v>
      </x:c>
      <x:c r="C4569" s="4" t="str">
        <x:v>PRJ-008</x:v>
      </x:c>
      <x:c r="D4569" s="4" t="str">
        <x:v>Villa</x:v>
      </x:c>
      <x:c r="E4569" s="4" t="str">
        <x:v>Cancelled</x:v>
      </x:c>
      <x:c r="F4569" s="4" t="str">
        <x:v>CUS-04568</x:v>
      </x:c>
      <x:c r="G4569" s="4" t="str">
        <x:v>UNIT-04568</x:v>
      </x:c>
      <x:c r="H4569" s="9" t="n">
        <x:v>3800000</x:v>
      </x:c>
      <x:c r="I4569" s="10" t="n">
        <x:v>0.02</x:v>
      </x:c>
      <x:c r="J4569" s="11" t="n">
        <x:v>6</x:v>
      </x:c>
      <x:c r="K4569" s="11" t="n">
        <x:v>5</x:v>
      </x:c>
      <x:c r="L4569" s="11" t="n">
        <x:v>0</x:v>
      </x:c>
      <x:c r="M4569" s="9" t="n">
        <x:f>ROUND(H4569*(1-I4569),2)</x:f>
        <x:v>3724000</x:v>
      </x:c>
      <x:c r="N4569" s="4" t="str">
        <x:v>Sales manager</x:v>
      </x:c>
      <x:c r="O4569" s="4"/>
      <x:c r="P4569" s="9" t="n">
        <x:v>0</x:v>
      </x:c>
      <x:c r="Q4569" s="11" t="n">
        <x:v>1</x:v>
      </x:c>
      <x:c r="R4569" s="8" t="n">
        <x:v>45629</x:v>
      </x:c>
      <x:c r="S4569" s="4" t="str">
        <x:v>Lost / cancelled</x:v>
      </x:c>
      <x:c r="T4569" s="10" t="n">
        <x:v>0.145299</x:v>
      </x:c>
      <x:c r="U4569" s="4" t="str">
        <x:v>Test</x:v>
      </x:c>
    </x:row>
    <x:row r="4570" ht="34" customHeight="1">
      <x:c r="A4570" s="4" t="str">
        <x:v>RS-04569</x:v>
      </x:c>
      <x:c r="B4570" s="8" t="n">
        <x:v>45570</x:v>
      </x:c>
      <x:c r="C4570" s="4" t="str">
        <x:v>PRJ-009</x:v>
      </x:c>
      <x:c r="D4570" s="4" t="str">
        <x:v>Apartment</x:v>
      </x:c>
      <x:c r="E4570" s="4" t="str">
        <x:v>Handed over</x:v>
      </x:c>
      <x:c r="F4570" s="4" t="str">
        <x:v>CUS-04569</x:v>
      </x:c>
      <x:c r="G4570" s="4" t="str">
        <x:v>UNIT-04569</x:v>
      </x:c>
      <x:c r="H4570" s="9" t="n">
        <x:v>24100000</x:v>
      </x:c>
      <x:c r="I4570" s="10" t="n">
        <x:v>0.01</x:v>
      </x:c>
      <x:c r="J4570" s="11" t="n">
        <x:v>3</x:v>
      </x:c>
      <x:c r="K4570" s="11" t="n">
        <x:v>10</x:v>
      </x:c>
      <x:c r="L4570" s="11" t="n">
        <x:v>1</x:v>
      </x:c>
      <x:c r="M4570" s="9" t="n">
        <x:f>ROUND(H4570*(1-I4570),2)</x:f>
        <x:v>23859000</x:v>
      </x:c>
      <x:c r="N4570" s="4" t="str">
        <x:v>Sales manager</x:v>
      </x:c>
      <x:c r="O4570" s="4" t="str">
        <x:v>BOOK-04569</x:v>
      </x:c>
      <x:c r="P4570" s="9" t="n">
        <x:v>5964750</x:v>
      </x:c>
      <x:c r="Q4570" s="11" t="n">
        <x:v>0</x:v>
      </x:c>
      <x:c r="R4570" s="8" t="n">
        <x:v>45630</x:v>
      </x:c>
      <x:c r="S4570" s="4" t="str">
        <x:v>Retained</x:v>
      </x:c>
      <x:c r="T4570" s="10" t="n">
        <x:v>0.171717</x:v>
      </x:c>
      <x:c r="U4570" s="4" t="str">
        <x:v>Test</x:v>
      </x:c>
    </x:row>
    <x:row r="4571" ht="34" customHeight="1">
      <x:c r="A4571" s="4" t="str">
        <x:v>RS-04570</x:v>
      </x:c>
      <x:c r="B4571" s="8" t="n">
        <x:v>45571</x:v>
      </x:c>
      <x:c r="C4571" s="4" t="str">
        <x:v>PRJ-010</x:v>
      </x:c>
      <x:c r="D4571" s="4" t="str">
        <x:v>Retail</x:v>
      </x:c>
      <x:c r="E4571" s="4" t="str">
        <x:v>Reserved</x:v>
      </x:c>
      <x:c r="F4571" s="4" t="str">
        <x:v>CUS-04570</x:v>
      </x:c>
      <x:c r="G4571" s="4" t="str">
        <x:v>UNIT-04570</x:v>
      </x:c>
      <x:c r="H4571" s="9" t="n">
        <x:v>6400000</x:v>
      </x:c>
      <x:c r="I4571" s="10" t="n">
        <x:v>0.11</x:v>
      </x:c>
      <x:c r="J4571" s="11" t="n">
        <x:v>8</x:v>
      </x:c>
      <x:c r="K4571" s="11" t="n">
        <x:v>9</x:v>
      </x:c>
      <x:c r="L4571" s="11" t="n">
        <x:v>1</x:v>
      </x:c>
      <x:c r="M4571" s="9" t="n">
        <x:f>ROUND(H4571*(1-I4571),2)</x:f>
        <x:v>5696000</x:v>
      </x:c>
      <x:c r="N4571" s="4" t="str">
        <x:v>Sales head</x:v>
      </x:c>
      <x:c r="O4571" s="4"/>
      <x:c r="P4571" s="9" t="n">
        <x:v>0</x:v>
      </x:c>
      <x:c r="Q4571" s="11" t="n">
        <x:v>1</x:v>
      </x:c>
      <x:c r="R4571" s="8" t="n">
        <x:v>45631</x:v>
      </x:c>
      <x:c r="S4571" s="4" t="str">
        <x:v>Lost / cancelled</x:v>
      </x:c>
      <x:c r="T4571" s="10" t="n">
        <x:v>0.310195</x:v>
      </x:c>
      <x:c r="U4571" s="4" t="str">
        <x:v>Test</x:v>
      </x:c>
    </x:row>
    <x:row r="4572" ht="34" customHeight="1">
      <x:c r="A4572" s="4" t="str">
        <x:v>RS-04571</x:v>
      </x:c>
      <x:c r="B4572" s="8" t="n">
        <x:v>45572</x:v>
      </x:c>
      <x:c r="C4572" s="4" t="str">
        <x:v>PRJ-011</x:v>
      </x:c>
      <x:c r="D4572" s="4" t="str">
        <x:v>Apartment</x:v>
      </x:c>
      <x:c r="E4572" s="4" t="str">
        <x:v>Booked</x:v>
      </x:c>
      <x:c r="F4572" s="4" t="str">
        <x:v>CUS-04571</x:v>
      </x:c>
      <x:c r="G4572" s="4" t="str">
        <x:v>UNIT-04571</x:v>
      </x:c>
      <x:c r="H4572" s="9" t="n">
        <x:v>22300000</x:v>
      </x:c>
      <x:c r="I4572" s="10" t="n">
        <x:v>0.06</x:v>
      </x:c>
      <x:c r="J4572" s="11" t="n">
        <x:v>11</x:v>
      </x:c>
      <x:c r="K4572" s="11" t="n">
        <x:v>4</x:v>
      </x:c>
      <x:c r="L4572" s="11" t="n">
        <x:v>0</x:v>
      </x:c>
      <x:c r="M4572" s="9" t="n">
        <x:f>ROUND(H4572*(1-I4572),2)</x:f>
        <x:v>20962000</x:v>
      </x:c>
      <x:c r="N4572" s="4" t="str">
        <x:v>Sales manager</x:v>
      </x:c>
      <x:c r="O4572" s="4" t="str">
        <x:v>BOOK-04571</x:v>
      </x:c>
      <x:c r="P4572" s="9" t="n">
        <x:v>10481000</x:v>
      </x:c>
      <x:c r="Q4572" s="11" t="n">
        <x:v>0</x:v>
      </x:c>
      <x:c r="R4572" s="8" t="n">
        <x:v>45632</x:v>
      </x:c>
      <x:c r="S4572" s="4" t="str">
        <x:v>Retained</x:v>
      </x:c>
      <x:c r="T4572" s="10" t="n">
        <x:v>0.351536</x:v>
      </x:c>
      <x:c r="U4572" s="4" t="str">
        <x:v>Test</x:v>
      </x:c>
    </x:row>
    <x:row r="4573" ht="34" customHeight="1">
      <x:c r="A4573" s="4" t="str">
        <x:v>RS-04572</x:v>
      </x:c>
      <x:c r="B4573" s="8" t="n">
        <x:v>45573</x:v>
      </x:c>
      <x:c r="C4573" s="4" t="str">
        <x:v>PRJ-012</x:v>
      </x:c>
      <x:c r="D4573" s="4" t="str">
        <x:v>Office</x:v>
      </x:c>
      <x:c r="E4573" s="4" t="str">
        <x:v>Reserved</x:v>
      </x:c>
      <x:c r="F4573" s="4" t="str">
        <x:v>CUS-04572</x:v>
      </x:c>
      <x:c r="G4573" s="4" t="str">
        <x:v>UNIT-04572</x:v>
      </x:c>
      <x:c r="H4573" s="9" t="n">
        <x:v>9600000</x:v>
      </x:c>
      <x:c r="I4573" s="10" t="n">
        <x:v>0.03</x:v>
      </x:c>
      <x:c r="J4573" s="11" t="n">
        <x:v>12</x:v>
      </x:c>
      <x:c r="K4573" s="11" t="n">
        <x:v>6</x:v>
      </x:c>
      <x:c r="L4573" s="11" t="n">
        <x:v>0</x:v>
      </x:c>
      <x:c r="M4573" s="9" t="n">
        <x:f>ROUND(H4573*(1-I4573),2)</x:f>
        <x:v>9312000</x:v>
      </x:c>
      <x:c r="N4573" s="4" t="str">
        <x:v>Sales manager</x:v>
      </x:c>
      <x:c r="O4573" s="4"/>
      <x:c r="P4573" s="9" t="n">
        <x:v>0</x:v>
      </x:c>
      <x:c r="Q4573" s="11" t="n">
        <x:v>0</x:v>
      </x:c>
      <x:c r="R4573" s="8" t="n">
        <x:v>45633</x:v>
      </x:c>
      <x:c r="S4573" s="4" t="str">
        <x:v>Retained</x:v>
      </x:c>
      <x:c r="T4573" s="10" t="n">
        <x:v>0.351536</x:v>
      </x:c>
      <x:c r="U4573" s="4" t="str">
        <x:v>Test</x:v>
      </x:c>
    </x:row>
    <x:row r="4574" ht="34" customHeight="1">
      <x:c r="A4574" s="4" t="str">
        <x:v>RS-04573</x:v>
      </x:c>
      <x:c r="B4574" s="8" t="n">
        <x:v>45574</x:v>
      </x:c>
      <x:c r="C4574" s="4" t="str">
        <x:v>PRJ-013</x:v>
      </x:c>
      <x:c r="D4574" s="4" t="str">
        <x:v>Retail</x:v>
      </x:c>
      <x:c r="E4574" s="4" t="str">
        <x:v>Agreement signed</x:v>
      </x:c>
      <x:c r="F4574" s="4" t="str">
        <x:v>CUS-04573</x:v>
      </x:c>
      <x:c r="G4574" s="4" t="str">
        <x:v>UNIT-04573</x:v>
      </x:c>
      <x:c r="H4574" s="9" t="n">
        <x:v>6500000</x:v>
      </x:c>
      <x:c r="I4574" s="10" t="n">
        <x:v>0.1</x:v>
      </x:c>
      <x:c r="J4574" s="11" t="n">
        <x:v>4</x:v>
      </x:c>
      <x:c r="K4574" s="11" t="n">
        <x:v>0</x:v>
      </x:c>
      <x:c r="L4574" s="11" t="n">
        <x:v>1</x:v>
      </x:c>
      <x:c r="M4574" s="9" t="n">
        <x:f>ROUND(H4574*(1-I4574),2)</x:f>
        <x:v>5850000</x:v>
      </x:c>
      <x:c r="N4574" s="4" t="str">
        <x:v>Sales head</x:v>
      </x:c>
      <x:c r="O4574" s="4" t="str">
        <x:v>BOOK-04573</x:v>
      </x:c>
      <x:c r="P4574" s="9" t="n">
        <x:v>5850000</x:v>
      </x:c>
      <x:c r="Q4574" s="11" t="n">
        <x:v>0</x:v>
      </x:c>
      <x:c r="R4574" s="8" t="n">
        <x:v>45634</x:v>
      </x:c>
      <x:c r="S4574" s="4" t="str">
        <x:v>Retained</x:v>
      </x:c>
      <x:c r="T4574" s="10" t="n">
        <x:v>0.291946</x:v>
      </x:c>
      <x:c r="U4574" s="4" t="str">
        <x:v>Test</x:v>
      </x:c>
    </x:row>
    <x:row r="4575" ht="34" customHeight="1">
      <x:c r="A4575" s="4" t="str">
        <x:v>RS-04574</x:v>
      </x:c>
      <x:c r="B4575" s="8" t="n">
        <x:v>45575</x:v>
      </x:c>
      <x:c r="C4575" s="4" t="str">
        <x:v>PRJ-014</x:v>
      </x:c>
      <x:c r="D4575" s="4" t="str">
        <x:v>Apartment</x:v>
      </x:c>
      <x:c r="E4575" s="4" t="str">
        <x:v>Reserved</x:v>
      </x:c>
      <x:c r="F4575" s="4" t="str">
        <x:v>CUS-04574</x:v>
      </x:c>
      <x:c r="G4575" s="4" t="str">
        <x:v>UNIT-04574</x:v>
      </x:c>
      <x:c r="H4575" s="9" t="n">
        <x:v>23200000</x:v>
      </x:c>
      <x:c r="I4575" s="10" t="n">
        <x:v>0.08</x:v>
      </x:c>
      <x:c r="J4575" s="11" t="n">
        <x:v>9</x:v>
      </x:c>
      <x:c r="K4575" s="11" t="n">
        <x:v>5</x:v>
      </x:c>
      <x:c r="L4575" s="11" t="n">
        <x:v>0</x:v>
      </x:c>
      <x:c r="M4575" s="9" t="n">
        <x:f>ROUND(H4575*(1-I4575),2)</x:f>
        <x:v>21344000</x:v>
      </x:c>
      <x:c r="N4575" s="4" t="str">
        <x:v>Sales head</x:v>
      </x:c>
      <x:c r="O4575" s="4"/>
      <x:c r="P4575" s="9" t="n">
        <x:v>0</x:v>
      </x:c>
      <x:c r="Q4575" s="11" t="n">
        <x:v>0</x:v>
      </x:c>
      <x:c r="R4575" s="8" t="n">
        <x:v>45635</x:v>
      </x:c>
      <x:c r="S4575" s="4" t="str">
        <x:v>Retained</x:v>
      </x:c>
      <x:c r="T4575" s="10" t="n">
        <x:v>0.310195</x:v>
      </x:c>
      <x:c r="U4575" s="4" t="str">
        <x:v>Test</x:v>
      </x:c>
    </x:row>
    <x:row r="4576" ht="34" customHeight="1">
      <x:c r="A4576" s="4" t="str">
        <x:v>RS-04575</x:v>
      </x:c>
      <x:c r="B4576" s="8" t="n">
        <x:v>45576</x:v>
      </x:c>
      <x:c r="C4576" s="4" t="str">
        <x:v>PRJ-015</x:v>
      </x:c>
      <x:c r="D4576" s="4" t="str">
        <x:v>Apartment</x:v>
      </x:c>
      <x:c r="E4576" s="4" t="str">
        <x:v>Handed over</x:v>
      </x:c>
      <x:c r="F4576" s="4" t="str">
        <x:v>CUS-04575</x:v>
      </x:c>
      <x:c r="G4576" s="4" t="str">
        <x:v>UNIT-04575</x:v>
      </x:c>
      <x:c r="H4576" s="9" t="n">
        <x:v>3500000</x:v>
      </x:c>
      <x:c r="I4576" s="10" t="n">
        <x:v>0.1</x:v>
      </x:c>
      <x:c r="J4576" s="11" t="n">
        <x:v>9</x:v>
      </x:c>
      <x:c r="K4576" s="11" t="n">
        <x:v>0</x:v>
      </x:c>
      <x:c r="L4576" s="11" t="n">
        <x:v>1</x:v>
      </x:c>
      <x:c r="M4576" s="9" t="n">
        <x:f>ROUND(H4576*(1-I4576),2)</x:f>
        <x:v>3150000</x:v>
      </x:c>
      <x:c r="N4576" s="4" t="str">
        <x:v>Sales head</x:v>
      </x:c>
      <x:c r="O4576" s="4" t="str">
        <x:v>BOOK-04575</x:v>
      </x:c>
      <x:c r="P4576" s="9" t="n">
        <x:v>3150000</x:v>
      </x:c>
      <x:c r="Q4576" s="11" t="n">
        <x:v>0</x:v>
      </x:c>
      <x:c r="R4576" s="8" t="n">
        <x:v>45636</x:v>
      </x:c>
      <x:c r="S4576" s="4" t="str">
        <x:v>Retained</x:v>
      </x:c>
      <x:c r="T4576" s="10" t="n">
        <x:v>0.310195</x:v>
      </x:c>
      <x:c r="U4576" s="4" t="str">
        <x:v>Test</x:v>
      </x:c>
    </x:row>
    <x:row r="4577" ht="34" customHeight="1">
      <x:c r="A4577" s="4" t="str">
        <x:v>RS-04576</x:v>
      </x:c>
      <x:c r="B4577" s="8" t="n">
        <x:v>45577</x:v>
      </x:c>
      <x:c r="C4577" s="4" t="str">
        <x:v>PRJ-016</x:v>
      </x:c>
      <x:c r="D4577" s="4" t="str">
        <x:v>Villa</x:v>
      </x:c>
      <x:c r="E4577" s="4" t="str">
        <x:v>Cancelled</x:v>
      </x:c>
      <x:c r="F4577" s="4" t="str">
        <x:v>CUS-04576</x:v>
      </x:c>
      <x:c r="G4577" s="4" t="str">
        <x:v>UNIT-04576</x:v>
      </x:c>
      <x:c r="H4577" s="9" t="n">
        <x:v>24400000</x:v>
      </x:c>
      <x:c r="I4577" s="10" t="n">
        <x:v>0.06</x:v>
      </x:c>
      <x:c r="J4577" s="11" t="n">
        <x:v>12</x:v>
      </x:c>
      <x:c r="K4577" s="11" t="n">
        <x:v>1</x:v>
      </x:c>
      <x:c r="L4577" s="11" t="n">
        <x:v>1</x:v>
      </x:c>
      <x:c r="M4577" s="9" t="n">
        <x:f>ROUND(H4577*(1-I4577),2)</x:f>
        <x:v>22936000</x:v>
      </x:c>
      <x:c r="N4577" s="4" t="str">
        <x:v>Sales manager</x:v>
      </x:c>
      <x:c r="O4577" s="4"/>
      <x:c r="P4577" s="9" t="n">
        <x:v>0</x:v>
      </x:c>
      <x:c r="Q4577" s="11" t="n">
        <x:v>1</x:v>
      </x:c>
      <x:c r="R4577" s="8" t="n">
        <x:v>45637</x:v>
      </x:c>
      <x:c r="S4577" s="4" t="str">
        <x:v>Lost / cancelled</x:v>
      </x:c>
      <x:c r="T4577" s="10" t="n">
        <x:v>0.351536</x:v>
      </x:c>
      <x:c r="U4577" s="4" t="str">
        <x:v>Test</x:v>
      </x:c>
    </x:row>
    <x:row r="4578" ht="34" customHeight="1">
      <x:c r="A4578" s="4" t="str">
        <x:v>RS-04577</x:v>
      </x:c>
      <x:c r="B4578" s="8" t="n">
        <x:v>45578</x:v>
      </x:c>
      <x:c r="C4578" s="4" t="str">
        <x:v>PRJ-017</x:v>
      </x:c>
      <x:c r="D4578" s="4" t="str">
        <x:v>Apartment</x:v>
      </x:c>
      <x:c r="E4578" s="4" t="str">
        <x:v>Handed over</x:v>
      </x:c>
      <x:c r="F4578" s="4" t="str">
        <x:v>CUS-04577</x:v>
      </x:c>
      <x:c r="G4578" s="4" t="str">
        <x:v>UNIT-04577</x:v>
      </x:c>
      <x:c r="H4578" s="9" t="n">
        <x:v>12200000</x:v>
      </x:c>
      <x:c r="I4578" s="10" t="n">
        <x:v>0.07</x:v>
      </x:c>
      <x:c r="J4578" s="11" t="n">
        <x:v>0</x:v>
      </x:c>
      <x:c r="K4578" s="11" t="n">
        <x:v>8</x:v>
      </x:c>
      <x:c r="L4578" s="11" t="n">
        <x:v>0</x:v>
      </x:c>
      <x:c r="M4578" s="9" t="n">
        <x:f>ROUND(H4578*(1-I4578),2)</x:f>
        <x:v>11346000</x:v>
      </x:c>
      <x:c r="N4578" s="4" t="str">
        <x:v>Sales manager</x:v>
      </x:c>
      <x:c r="O4578" s="4" t="str">
        <x:v>BOOK-04577</x:v>
      </x:c>
      <x:c r="P4578" s="9" t="n">
        <x:v>5673000</x:v>
      </x:c>
      <x:c r="Q4578" s="11" t="n">
        <x:v>0</x:v>
      </x:c>
      <x:c r="R4578" s="8" t="n">
        <x:v>45638</x:v>
      </x:c>
      <x:c r="S4578" s="4" t="str">
        <x:v>Retained</x:v>
      </x:c>
      <x:c r="T4578" s="10" t="n">
        <x:v>0.204152</x:v>
      </x:c>
      <x:c r="U4578" s="4" t="str">
        <x:v>Test</x:v>
      </x:c>
    </x:row>
    <x:row r="4579" ht="34" customHeight="1">
      <x:c r="A4579" s="4" t="str">
        <x:v>RS-04578</x:v>
      </x:c>
      <x:c r="B4579" s="8" t="n">
        <x:v>45579</x:v>
      </x:c>
      <x:c r="C4579" s="4" t="str">
        <x:v>PRJ-018</x:v>
      </x:c>
      <x:c r="D4579" s="4" t="str">
        <x:v>Office</x:v>
      </x:c>
      <x:c r="E4579" s="4" t="str">
        <x:v>Reserved</x:v>
      </x:c>
      <x:c r="F4579" s="4" t="str">
        <x:v>CUS-04578</x:v>
      </x:c>
      <x:c r="G4579" s="4" t="str">
        <x:v>UNIT-04578</x:v>
      </x:c>
      <x:c r="H4579" s="9" t="n">
        <x:v>8300000</x:v>
      </x:c>
      <x:c r="I4579" s="10" t="n">
        <x:v>0.08</x:v>
      </x:c>
      <x:c r="J4579" s="11" t="n">
        <x:v>11</x:v>
      </x:c>
      <x:c r="K4579" s="11" t="n">
        <x:v>3</x:v>
      </x:c>
      <x:c r="L4579" s="11" t="n">
        <x:v>1</x:v>
      </x:c>
      <x:c r="M4579" s="9" t="n">
        <x:f>ROUND(H4579*(1-I4579),2)</x:f>
        <x:v>7636000</x:v>
      </x:c>
      <x:c r="N4579" s="4" t="str">
        <x:v>Sales head</x:v>
      </x:c>
      <x:c r="O4579" s="4"/>
      <x:c r="P4579" s="9" t="n">
        <x:v>0</x:v>
      </x:c>
      <x:c r="Q4579" s="11" t="n">
        <x:v>1</x:v>
      </x:c>
      <x:c r="R4579" s="8" t="n">
        <x:v>45639</x:v>
      </x:c>
      <x:c r="S4579" s="4" t="str">
        <x:v>Lost / cancelled</x:v>
      </x:c>
      <x:c r="T4579" s="10" t="n">
        <x:v>0.351536</x:v>
      </x:c>
      <x:c r="U4579" s="4" t="str">
        <x:v>Test</x:v>
      </x:c>
    </x:row>
    <x:row r="4580" ht="34" customHeight="1">
      <x:c r="A4580" s="4" t="str">
        <x:v>RS-04579</x:v>
      </x:c>
      <x:c r="B4580" s="8" t="n">
        <x:v>45580</x:v>
      </x:c>
      <x:c r="C4580" s="4" t="str">
        <x:v>PRJ-019</x:v>
      </x:c>
      <x:c r="D4580" s="4" t="str">
        <x:v>Retail</x:v>
      </x:c>
      <x:c r="E4580" s="4" t="str">
        <x:v>Handed over</x:v>
      </x:c>
      <x:c r="F4580" s="4" t="str">
        <x:v>CUS-04579</x:v>
      </x:c>
      <x:c r="G4580" s="4" t="str">
        <x:v>UNIT-04579</x:v>
      </x:c>
      <x:c r="H4580" s="9" t="n">
        <x:v>7100000</x:v>
      </x:c>
      <x:c r="I4580" s="10" t="n">
        <x:v>0.04</x:v>
      </x:c>
      <x:c r="J4580" s="11" t="n">
        <x:v>6</x:v>
      </x:c>
      <x:c r="K4580" s="11" t="n">
        <x:v>0</x:v>
      </x:c>
      <x:c r="L4580" s="11" t="n">
        <x:v>0</x:v>
      </x:c>
      <x:c r="M4580" s="9" t="n">
        <x:f>ROUND(H4580*(1-I4580),2)</x:f>
        <x:v>6816000</x:v>
      </x:c>
      <x:c r="N4580" s="4" t="str">
        <x:v>Sales manager</x:v>
      </x:c>
      <x:c r="O4580" s="4" t="str">
        <x:v>BOOK-04579</x:v>
      </x:c>
      <x:c r="P4580" s="9" t="n">
        <x:v>3408000</x:v>
      </x:c>
      <x:c r="Q4580" s="11" t="n">
        <x:v>0</x:v>
      </x:c>
      <x:c r="R4580" s="8" t="n">
        <x:v>45640</x:v>
      </x:c>
      <x:c r="S4580" s="4" t="str">
        <x:v>Retained</x:v>
      </x:c>
      <x:c r="T4580" s="10" t="n">
        <x:v>0.226277</x:v>
      </x:c>
      <x:c r="U4580" s="4" t="str">
        <x:v>Test</x:v>
      </x:c>
    </x:row>
    <x:row r="4581" ht="34" customHeight="1">
      <x:c r="A4581" s="4" t="str">
        <x:v>RS-04580</x:v>
      </x:c>
      <x:c r="B4581" s="8" t="n">
        <x:v>45581</x:v>
      </x:c>
      <x:c r="C4581" s="4" t="str">
        <x:v>PRJ-020</x:v>
      </x:c>
      <x:c r="D4581" s="4" t="str">
        <x:v>Villa</x:v>
      </x:c>
      <x:c r="E4581" s="4" t="str">
        <x:v>Enquiry</x:v>
      </x:c>
      <x:c r="F4581" s="4" t="str">
        <x:v>CUS-04580</x:v>
      </x:c>
      <x:c r="G4581" s="4" t="str">
        <x:v>UNIT-04580</x:v>
      </x:c>
      <x:c r="H4581" s="9" t="n">
        <x:v>19000000</x:v>
      </x:c>
      <x:c r="I4581" s="10" t="n">
        <x:v>0.11</x:v>
      </x:c>
      <x:c r="J4581" s="11" t="n">
        <x:v>1</x:v>
      </x:c>
      <x:c r="K4581" s="11" t="n">
        <x:v>10</x:v>
      </x:c>
      <x:c r="L4581" s="11" t="n">
        <x:v>0</x:v>
      </x:c>
      <x:c r="M4581" s="9" t="n">
        <x:f>ROUND(H4581*(1-I4581),2)</x:f>
        <x:v>16910000</x:v>
      </x:c>
      <x:c r="N4581" s="4" t="str">
        <x:v>Sales head</x:v>
      </x:c>
      <x:c r="O4581" s="4"/>
      <x:c r="P4581" s="9" t="n">
        <x:v>0</x:v>
      </x:c>
      <x:c r="Q4581" s="11" t="n">
        <x:v>0</x:v>
      </x:c>
      <x:c r="R4581" s="8" t="n">
        <x:v>45641</x:v>
      </x:c>
      <x:c r="S4581" s="4" t="str">
        <x:v>Retained</x:v>
      </x:c>
      <x:c r="T4581" s="10" t="n">
        <x:v>0.145833</x:v>
      </x:c>
      <x:c r="U4581" s="4" t="str">
        <x:v>Test</x:v>
      </x:c>
    </x:row>
    <x:row r="4582" ht="34" customHeight="1">
      <x:c r="A4582" s="4" t="str">
        <x:v>RS-04581</x:v>
      </x:c>
      <x:c r="B4582" s="8" t="n">
        <x:v>45582</x:v>
      </x:c>
      <x:c r="C4582" s="4" t="str">
        <x:v>PRJ-001</x:v>
      </x:c>
      <x:c r="D4582" s="4" t="str">
        <x:v>Villa</x:v>
      </x:c>
      <x:c r="E4582" s="4" t="str">
        <x:v>Cancelled</x:v>
      </x:c>
      <x:c r="F4582" s="4" t="str">
        <x:v>CUS-04581</x:v>
      </x:c>
      <x:c r="G4582" s="4" t="str">
        <x:v>UNIT-04581</x:v>
      </x:c>
      <x:c r="H4582" s="9" t="n">
        <x:v>21800000</x:v>
      </x:c>
      <x:c r="I4582" s="10" t="n">
        <x:v>0.11</x:v>
      </x:c>
      <x:c r="J4582" s="11" t="n">
        <x:v>2</x:v>
      </x:c>
      <x:c r="K4582" s="11" t="n">
        <x:v>7</x:v>
      </x:c>
      <x:c r="L4582" s="11" t="n">
        <x:v>1</x:v>
      </x:c>
      <x:c r="M4582" s="9" t="n">
        <x:f>ROUND(H4582*(1-I4582),2)</x:f>
        <x:v>19402000</x:v>
      </x:c>
      <x:c r="N4582" s="4" t="str">
        <x:v>Sales head</x:v>
      </x:c>
      <x:c r="O4582" s="4"/>
      <x:c r="P4582" s="9" t="n">
        <x:v>0</x:v>
      </x:c>
      <x:c r="Q4582" s="11" t="n">
        <x:v>1</x:v>
      </x:c>
      <x:c r="R4582" s="8" t="n">
        <x:v>45642</x:v>
      </x:c>
      <x:c r="S4582" s="4" t="str">
        <x:v>Lost / cancelled</x:v>
      </x:c>
      <x:c r="T4582" s="10" t="n">
        <x:v>0.145833</x:v>
      </x:c>
      <x:c r="U4582" s="4" t="str">
        <x:v>Test</x:v>
      </x:c>
    </x:row>
    <x:row r="4583" ht="34" customHeight="1">
      <x:c r="A4583" s="4" t="str">
        <x:v>RS-04582</x:v>
      </x:c>
      <x:c r="B4583" s="8" t="n">
        <x:v>45583</x:v>
      </x:c>
      <x:c r="C4583" s="4" t="str">
        <x:v>PRJ-002</x:v>
      </x:c>
      <x:c r="D4583" s="4" t="str">
        <x:v>Villa</x:v>
      </x:c>
      <x:c r="E4583" s="4" t="str">
        <x:v>Cancelled</x:v>
      </x:c>
      <x:c r="F4583" s="4" t="str">
        <x:v>CUS-04582</x:v>
      </x:c>
      <x:c r="G4583" s="4" t="str">
        <x:v>UNIT-04582</x:v>
      </x:c>
      <x:c r="H4583" s="9" t="n">
        <x:v>16000000</x:v>
      </x:c>
      <x:c r="I4583" s="10" t="n">
        <x:v>0.08</x:v>
      </x:c>
      <x:c r="J4583" s="11" t="n">
        <x:v>4</x:v>
      </x:c>
      <x:c r="K4583" s="11" t="n">
        <x:v>7</x:v>
      </x:c>
      <x:c r="L4583" s="11" t="n">
        <x:v>1</x:v>
      </x:c>
      <x:c r="M4583" s="9" t="n">
        <x:f>ROUND(H4583*(1-I4583),2)</x:f>
        <x:v>14720000</x:v>
      </x:c>
      <x:c r="N4583" s="4" t="str">
        <x:v>Sales head</x:v>
      </x:c>
      <x:c r="O4583" s="4"/>
      <x:c r="P4583" s="9" t="n">
        <x:v>0</x:v>
      </x:c>
      <x:c r="Q4583" s="11" t="n">
        <x:v>1</x:v>
      </x:c>
      <x:c r="R4583" s="8" t="n">
        <x:v>45643</x:v>
      </x:c>
      <x:c r="S4583" s="4" t="str">
        <x:v>Lost / cancelled</x:v>
      </x:c>
      <x:c r="T4583" s="10" t="n">
        <x:v>0.291946</x:v>
      </x:c>
      <x:c r="U4583" s="4" t="str">
        <x:v>Test</x:v>
      </x:c>
    </x:row>
    <x:row r="4584" ht="34" customHeight="1">
      <x:c r="A4584" s="4" t="str">
        <x:v>RS-04583</x:v>
      </x:c>
      <x:c r="B4584" s="8" t="n">
        <x:v>45584</x:v>
      </x:c>
      <x:c r="C4584" s="4" t="str">
        <x:v>PRJ-003</x:v>
      </x:c>
      <x:c r="D4584" s="4" t="str">
        <x:v>Office</x:v>
      </x:c>
      <x:c r="E4584" s="4" t="str">
        <x:v>Booked</x:v>
      </x:c>
      <x:c r="F4584" s="4" t="str">
        <x:v>CUS-04583</x:v>
      </x:c>
      <x:c r="G4584" s="4" t="str">
        <x:v>UNIT-04583</x:v>
      </x:c>
      <x:c r="H4584" s="9" t="n">
        <x:v>3600000</x:v>
      </x:c>
      <x:c r="I4584" s="10" t="n">
        <x:v>0.02</x:v>
      </x:c>
      <x:c r="J4584" s="11" t="n">
        <x:v>6</x:v>
      </x:c>
      <x:c r="K4584" s="11" t="n">
        <x:v>8</x:v>
      </x:c>
      <x:c r="L4584" s="11" t="n">
        <x:v>1</x:v>
      </x:c>
      <x:c r="M4584" s="9" t="n">
        <x:f>ROUND(H4584*(1-I4584),2)</x:f>
        <x:v>3528000</x:v>
      </x:c>
      <x:c r="N4584" s="4" t="str">
        <x:v>Sales manager</x:v>
      </x:c>
      <x:c r="O4584" s="4" t="str">
        <x:v>BOOK-04583</x:v>
      </x:c>
      <x:c r="P4584" s="9" t="n">
        <x:v>882000</x:v>
      </x:c>
      <x:c r="Q4584" s="11" t="n">
        <x:v>0</x:v>
      </x:c>
      <x:c r="R4584" s="8" t="n">
        <x:v>45644</x:v>
      </x:c>
      <x:c r="S4584" s="4" t="str">
        <x:v>Retained</x:v>
      </x:c>
      <x:c r="T4584" s="10" t="n">
        <x:v>0.145299</x:v>
      </x:c>
      <x:c r="U4584" s="4" t="str">
        <x:v>Test</x:v>
      </x:c>
    </x:row>
    <x:row r="4585" ht="34" customHeight="1">
      <x:c r="A4585" s="4" t="str">
        <x:v>RS-04584</x:v>
      </x:c>
      <x:c r="B4585" s="8" t="n">
        <x:v>45585</x:v>
      </x:c>
      <x:c r="C4585" s="4" t="str">
        <x:v>PRJ-004</x:v>
      </x:c>
      <x:c r="D4585" s="4" t="str">
        <x:v>Apartment</x:v>
      </x:c>
      <x:c r="E4585" s="4" t="str">
        <x:v>Reserved</x:v>
      </x:c>
      <x:c r="F4585" s="4" t="str">
        <x:v>CUS-04584</x:v>
      </x:c>
      <x:c r="G4585" s="4" t="str">
        <x:v>UNIT-04584</x:v>
      </x:c>
      <x:c r="H4585" s="9" t="n">
        <x:v>20300000</x:v>
      </x:c>
      <x:c r="I4585" s="10" t="n">
        <x:v>0.08</x:v>
      </x:c>
      <x:c r="J4585" s="11" t="n">
        <x:v>1</x:v>
      </x:c>
      <x:c r="K4585" s="11" t="n">
        <x:v>3</x:v>
      </x:c>
      <x:c r="L4585" s="11" t="n">
        <x:v>0</x:v>
      </x:c>
      <x:c r="M4585" s="9" t="n">
        <x:f>ROUND(H4585*(1-I4585),2)</x:f>
        <x:v>18676000</x:v>
      </x:c>
      <x:c r="N4585" s="4" t="str">
        <x:v>Sales head</x:v>
      </x:c>
      <x:c r="O4585" s="4"/>
      <x:c r="P4585" s="9" t="n">
        <x:v>0</x:v>
      </x:c>
      <x:c r="Q4585" s="11" t="n">
        <x:v>0</x:v>
      </x:c>
      <x:c r="R4585" s="8" t="n">
        <x:v>45645</x:v>
      </x:c>
      <x:c r="S4585" s="4" t="str">
        <x:v>Retained</x:v>
      </x:c>
      <x:c r="T4585" s="10" t="n">
        <x:v>0.204152</x:v>
      </x:c>
      <x:c r="U4585" s="4" t="str">
        <x:v>Test</x:v>
      </x:c>
    </x:row>
    <x:row r="4586" ht="34" customHeight="1">
      <x:c r="A4586" s="4" t="str">
        <x:v>RS-04585</x:v>
      </x:c>
      <x:c r="B4586" s="8" t="n">
        <x:v>45586</x:v>
      </x:c>
      <x:c r="C4586" s="4" t="str">
        <x:v>PRJ-005</x:v>
      </x:c>
      <x:c r="D4586" s="4" t="str">
        <x:v>Villa</x:v>
      </x:c>
      <x:c r="E4586" s="4" t="str">
        <x:v>Enquiry</x:v>
      </x:c>
      <x:c r="F4586" s="4" t="str">
        <x:v>CUS-04585</x:v>
      </x:c>
      <x:c r="G4586" s="4" t="str">
        <x:v>UNIT-04585</x:v>
      </x:c>
      <x:c r="H4586" s="9" t="n">
        <x:v>19300000</x:v>
      </x:c>
      <x:c r="I4586" s="10" t="n">
        <x:v>0.11</x:v>
      </x:c>
      <x:c r="J4586" s="11" t="n">
        <x:v>5</x:v>
      </x:c>
      <x:c r="K4586" s="11" t="n">
        <x:v>4</x:v>
      </x:c>
      <x:c r="L4586" s="11" t="n">
        <x:v>0</x:v>
      </x:c>
      <x:c r="M4586" s="9" t="n">
        <x:f>ROUND(H4586*(1-I4586),2)</x:f>
        <x:v>17177000</x:v>
      </x:c>
      <x:c r="N4586" s="4" t="str">
        <x:v>Sales head</x:v>
      </x:c>
      <x:c r="O4586" s="4"/>
      <x:c r="P4586" s="9" t="n">
        <x:v>0</x:v>
      </x:c>
      <x:c r="Q4586" s="11" t="n">
        <x:v>0</x:v>
      </x:c>
      <x:c r="R4586" s="8" t="n">
        <x:v>45646</x:v>
      </x:c>
      <x:c r="S4586" s="4" t="str">
        <x:v>Retained</x:v>
      </x:c>
      <x:c r="T4586" s="10" t="n">
        <x:v>0.226277</x:v>
      </x:c>
      <x:c r="U4586" s="4" t="str">
        <x:v>Test</x:v>
      </x:c>
    </x:row>
    <x:row r="4587" ht="34" customHeight="1">
      <x:c r="A4587" s="4" t="str">
        <x:v>RS-04586</x:v>
      </x:c>
      <x:c r="B4587" s="8" t="n">
        <x:v>45587</x:v>
      </x:c>
      <x:c r="C4587" s="4" t="str">
        <x:v>PRJ-006</x:v>
      </x:c>
      <x:c r="D4587" s="4" t="str">
        <x:v>Retail</x:v>
      </x:c>
      <x:c r="E4587" s="4" t="str">
        <x:v>Handed over</x:v>
      </x:c>
      <x:c r="F4587" s="4" t="str">
        <x:v>CUS-04586</x:v>
      </x:c>
      <x:c r="G4587" s="4" t="str">
        <x:v>UNIT-04586</x:v>
      </x:c>
      <x:c r="H4587" s="9" t="n">
        <x:v>13900000</x:v>
      </x:c>
      <x:c r="I4587" s="10" t="n">
        <x:v>0.02</x:v>
      </x:c>
      <x:c r="J4587" s="11" t="n">
        <x:v>3</x:v>
      </x:c>
      <x:c r="K4587" s="11" t="n">
        <x:v>7</x:v>
      </x:c>
      <x:c r="L4587" s="11" t="n">
        <x:v>0</x:v>
      </x:c>
      <x:c r="M4587" s="9" t="n">
        <x:f>ROUND(H4587*(1-I4587),2)</x:f>
        <x:v>13622000</x:v>
      </x:c>
      <x:c r="N4587" s="4" t="str">
        <x:v>Sales manager</x:v>
      </x:c>
      <x:c r="O4587" s="4" t="str">
        <x:v>BOOK-04586</x:v>
      </x:c>
      <x:c r="P4587" s="9" t="n">
        <x:v>1362200</x:v>
      </x:c>
      <x:c r="Q4587" s="11" t="n">
        <x:v>0</x:v>
      </x:c>
      <x:c r="R4587" s="8" t="n">
        <x:v>45647</x:v>
      </x:c>
      <x:c r="S4587" s="4" t="str">
        <x:v>Retained</x:v>
      </x:c>
      <x:c r="T4587" s="10" t="n">
        <x:v>0.171717</x:v>
      </x:c>
      <x:c r="U4587" s="4" t="str">
        <x:v>Test</x:v>
      </x:c>
    </x:row>
    <x:row r="4588" ht="34" customHeight="1">
      <x:c r="A4588" s="4" t="str">
        <x:v>RS-04587</x:v>
      </x:c>
      <x:c r="B4588" s="8" t="n">
        <x:v>45588</x:v>
      </x:c>
      <x:c r="C4588" s="4" t="str">
        <x:v>PRJ-007</x:v>
      </x:c>
      <x:c r="D4588" s="4" t="str">
        <x:v>Office</x:v>
      </x:c>
      <x:c r="E4588" s="4" t="str">
        <x:v>Agreement signed</x:v>
      </x:c>
      <x:c r="F4588" s="4" t="str">
        <x:v>CUS-04587</x:v>
      </x:c>
      <x:c r="G4588" s="4" t="str">
        <x:v>UNIT-04587</x:v>
      </x:c>
      <x:c r="H4588" s="9" t="n">
        <x:v>12900000</x:v>
      </x:c>
      <x:c r="I4588" s="10" t="n">
        <x:v>0.06</x:v>
      </x:c>
      <x:c r="J4588" s="11" t="n">
        <x:v>11</x:v>
      </x:c>
      <x:c r="K4588" s="11" t="n">
        <x:v>10</x:v>
      </x:c>
      <x:c r="L4588" s="11" t="n">
        <x:v>1</x:v>
      </x:c>
      <x:c r="M4588" s="9" t="n">
        <x:f>ROUND(H4588*(1-I4588),2)</x:f>
        <x:v>12126000</x:v>
      </x:c>
      <x:c r="N4588" s="4" t="str">
        <x:v>Sales manager</x:v>
      </x:c>
      <x:c r="O4588" s="4" t="str">
        <x:v>BOOK-04587</x:v>
      </x:c>
      <x:c r="P4588" s="9" t="n">
        <x:v>6063000</x:v>
      </x:c>
      <x:c r="Q4588" s="11" t="n">
        <x:v>0</x:v>
      </x:c>
      <x:c r="R4588" s="8" t="n">
        <x:v>45648</x:v>
      </x:c>
      <x:c r="S4588" s="4" t="str">
        <x:v>Retained</x:v>
      </x:c>
      <x:c r="T4588" s="10" t="n">
        <x:v>0.351536</x:v>
      </x:c>
      <x:c r="U4588" s="4" t="str">
        <x:v>Test</x:v>
      </x:c>
    </x:row>
    <x:row r="4589" ht="34" customHeight="1">
      <x:c r="A4589" s="4" t="str">
        <x:v>RS-04588</x:v>
      </x:c>
      <x:c r="B4589" s="8" t="n">
        <x:v>45589</x:v>
      </x:c>
      <x:c r="C4589" s="4" t="str">
        <x:v>PRJ-008</x:v>
      </x:c>
      <x:c r="D4589" s="4" t="str">
        <x:v>Retail</x:v>
      </x:c>
      <x:c r="E4589" s="4" t="str">
        <x:v>Handed over</x:v>
      </x:c>
      <x:c r="F4589" s="4" t="str">
        <x:v>CUS-04588</x:v>
      </x:c>
      <x:c r="G4589" s="4" t="str">
        <x:v>UNIT-04588</x:v>
      </x:c>
      <x:c r="H4589" s="9" t="n">
        <x:v>14600000</x:v>
      </x:c>
      <x:c r="I4589" s="10" t="n">
        <x:v>0.11</x:v>
      </x:c>
      <x:c r="J4589" s="11" t="n">
        <x:v>4</x:v>
      </x:c>
      <x:c r="K4589" s="11" t="n">
        <x:v>1</x:v>
      </x:c>
      <x:c r="L4589" s="11" t="n">
        <x:v>0</x:v>
      </x:c>
      <x:c r="M4589" s="9" t="n">
        <x:f>ROUND(H4589*(1-I4589),2)</x:f>
        <x:v>12994000</x:v>
      </x:c>
      <x:c r="N4589" s="4" t="str">
        <x:v>Sales head</x:v>
      </x:c>
      <x:c r="O4589" s="4" t="str">
        <x:v>BOOK-04588</x:v>
      </x:c>
      <x:c r="P4589" s="9" t="n">
        <x:v>6497000</x:v>
      </x:c>
      <x:c r="Q4589" s="11" t="n">
        <x:v>0</x:v>
      </x:c>
      <x:c r="R4589" s="8" t="n">
        <x:v>45649</x:v>
      </x:c>
      <x:c r="S4589" s="4" t="str">
        <x:v>Retained</x:v>
      </x:c>
      <x:c r="T4589" s="10" t="n">
        <x:v>0.226277</x:v>
      </x:c>
      <x:c r="U4589" s="4" t="str">
        <x:v>Test</x:v>
      </x:c>
    </x:row>
    <x:row r="4590" ht="34" customHeight="1">
      <x:c r="A4590" s="4" t="str">
        <x:v>RS-04589</x:v>
      </x:c>
      <x:c r="B4590" s="8" t="n">
        <x:v>45590</x:v>
      </x:c>
      <x:c r="C4590" s="4" t="str">
        <x:v>PRJ-009</x:v>
      </x:c>
      <x:c r="D4590" s="4" t="str">
        <x:v>Retail</x:v>
      </x:c>
      <x:c r="E4590" s="4" t="str">
        <x:v>Reserved</x:v>
      </x:c>
      <x:c r="F4590" s="4" t="str">
        <x:v>CUS-04589</x:v>
      </x:c>
      <x:c r="G4590" s="4" t="str">
        <x:v>UNIT-04589</x:v>
      </x:c>
      <x:c r="H4590" s="9" t="n">
        <x:v>14500000</x:v>
      </x:c>
      <x:c r="I4590" s="10" t="n">
        <x:v>0.07</x:v>
      </x:c>
      <x:c r="J4590" s="11" t="n">
        <x:v>12</x:v>
      </x:c>
      <x:c r="K4590" s="11" t="n">
        <x:v>2</x:v>
      </x:c>
      <x:c r="L4590" s="11" t="n">
        <x:v>0</x:v>
      </x:c>
      <x:c r="M4590" s="9" t="n">
        <x:f>ROUND(H4590*(1-I4590),2)</x:f>
        <x:v>13485000</x:v>
      </x:c>
      <x:c r="N4590" s="4" t="str">
        <x:v>Sales manager</x:v>
      </x:c>
      <x:c r="O4590" s="4"/>
      <x:c r="P4590" s="9" t="n">
        <x:v>0</x:v>
      </x:c>
      <x:c r="Q4590" s="11" t="n">
        <x:v>1</x:v>
      </x:c>
      <x:c r="R4590" s="8" t="n">
        <x:v>45650</x:v>
      </x:c>
      <x:c r="S4590" s="4" t="str">
        <x:v>Lost / cancelled</x:v>
      </x:c>
      <x:c r="T4590" s="10" t="n">
        <x:v>0.351536</x:v>
      </x:c>
      <x:c r="U4590" s="4" t="str">
        <x:v>Test</x:v>
      </x:c>
    </x:row>
    <x:row r="4591" ht="34" customHeight="1">
      <x:c r="A4591" s="4" t="str">
        <x:v>RS-04590</x:v>
      </x:c>
      <x:c r="B4591" s="8" t="n">
        <x:v>45591</x:v>
      </x:c>
      <x:c r="C4591" s="4" t="str">
        <x:v>PRJ-010</x:v>
      </x:c>
      <x:c r="D4591" s="4" t="str">
        <x:v>Office</x:v>
      </x:c>
      <x:c r="E4591" s="4" t="str">
        <x:v>Reserved</x:v>
      </x:c>
      <x:c r="F4591" s="4" t="str">
        <x:v>CUS-04590</x:v>
      </x:c>
      <x:c r="G4591" s="4" t="str">
        <x:v>UNIT-04590</x:v>
      </x:c>
      <x:c r="H4591" s="9" t="n">
        <x:v>16900000</x:v>
      </x:c>
      <x:c r="I4591" s="10" t="n">
        <x:v>0.02</x:v>
      </x:c>
      <x:c r="J4591" s="11" t="n">
        <x:v>2</x:v>
      </x:c>
      <x:c r="K4591" s="11" t="n">
        <x:v>0</x:v>
      </x:c>
      <x:c r="L4591" s="11" t="n">
        <x:v>0</x:v>
      </x:c>
      <x:c r="M4591" s="9" t="n">
        <x:f>ROUND(H4591*(1-I4591),2)</x:f>
        <x:v>16562000</x:v>
      </x:c>
      <x:c r="N4591" s="4" t="str">
        <x:v>Sales manager</x:v>
      </x:c>
      <x:c r="O4591" s="4"/>
      <x:c r="P4591" s="9" t="n">
        <x:v>0</x:v>
      </x:c>
      <x:c r="Q4591" s="11" t="n">
        <x:v>0</x:v>
      </x:c>
      <x:c r="R4591" s="8" t="n">
        <x:v>45651</x:v>
      </x:c>
      <x:c r="S4591" s="4" t="str">
        <x:v>Retained</x:v>
      </x:c>
      <x:c r="T4591" s="10" t="n">
        <x:v>0.276923</x:v>
      </x:c>
      <x:c r="U4591" s="4" t="str">
        <x:v>Test</x:v>
      </x:c>
    </x:row>
    <x:row r="4592" ht="34" customHeight="1">
      <x:c r="A4592" s="4" t="str">
        <x:v>RS-04591</x:v>
      </x:c>
      <x:c r="B4592" s="8" t="n">
        <x:v>45592</x:v>
      </x:c>
      <x:c r="C4592" s="4" t="str">
        <x:v>PRJ-011</x:v>
      </x:c>
      <x:c r="D4592" s="4" t="str">
        <x:v>Apartment</x:v>
      </x:c>
      <x:c r="E4592" s="4" t="str">
        <x:v>Agreement signed</x:v>
      </x:c>
      <x:c r="F4592" s="4" t="str">
        <x:v>CUS-04591</x:v>
      </x:c>
      <x:c r="G4592" s="4" t="str">
        <x:v>UNIT-04591</x:v>
      </x:c>
      <x:c r="H4592" s="9" t="n">
        <x:v>5300000</x:v>
      </x:c>
      <x:c r="I4592" s="10" t="n">
        <x:v>0.11</x:v>
      </x:c>
      <x:c r="J4592" s="11" t="n">
        <x:v>10</x:v>
      </x:c>
      <x:c r="K4592" s="11" t="n">
        <x:v>8</x:v>
      </x:c>
      <x:c r="L4592" s="11" t="n">
        <x:v>1</x:v>
      </x:c>
      <x:c r="M4592" s="9" t="n">
        <x:f>ROUND(H4592*(1-I4592),2)</x:f>
        <x:v>4717000</x:v>
      </x:c>
      <x:c r="N4592" s="4" t="str">
        <x:v>Sales head</x:v>
      </x:c>
      <x:c r="O4592" s="4" t="str">
        <x:v>BOOK-04591</x:v>
      </x:c>
      <x:c r="P4592" s="9" t="n">
        <x:v>1179250</x:v>
      </x:c>
      <x:c r="Q4592" s="11" t="n">
        <x:v>0</x:v>
      </x:c>
      <x:c r="R4592" s="8" t="n">
        <x:v>45652</x:v>
      </x:c>
      <x:c r="S4592" s="4" t="str">
        <x:v>Retained</x:v>
      </x:c>
      <x:c r="T4592" s="10" t="n">
        <x:v>0.310195</x:v>
      </x:c>
      <x:c r="U4592" s="4" t="str">
        <x:v>Test</x:v>
      </x:c>
    </x:row>
    <x:row r="4593" ht="34" customHeight="1">
      <x:c r="A4593" s="4" t="str">
        <x:v>RS-04592</x:v>
      </x:c>
      <x:c r="B4593" s="8" t="n">
        <x:v>45593</x:v>
      </x:c>
      <x:c r="C4593" s="4" t="str">
        <x:v>PRJ-012</x:v>
      </x:c>
      <x:c r="D4593" s="4" t="str">
        <x:v>Apartment</x:v>
      </x:c>
      <x:c r="E4593" s="4" t="str">
        <x:v>Booked</x:v>
      </x:c>
      <x:c r="F4593" s="4" t="str">
        <x:v>CUS-04592</x:v>
      </x:c>
      <x:c r="G4593" s="4" t="str">
        <x:v>UNIT-04592</x:v>
      </x:c>
      <x:c r="H4593" s="9" t="n">
        <x:v>13100000</x:v>
      </x:c>
      <x:c r="I4593" s="10" t="n">
        <x:v>0.03</x:v>
      </x:c>
      <x:c r="J4593" s="11" t="n">
        <x:v>5</x:v>
      </x:c>
      <x:c r="K4593" s="11" t="n">
        <x:v>3</x:v>
      </x:c>
      <x:c r="L4593" s="11" t="n">
        <x:v>0</x:v>
      </x:c>
      <x:c r="M4593" s="9" t="n">
        <x:f>ROUND(H4593*(1-I4593),2)</x:f>
        <x:v>12707000</x:v>
      </x:c>
      <x:c r="N4593" s="4" t="str">
        <x:v>Sales manager</x:v>
      </x:c>
      <x:c r="O4593" s="4" t="str">
        <x:v>BOOK-04592</x:v>
      </x:c>
      <x:c r="P4593" s="9" t="n">
        <x:v>12707000</x:v>
      </x:c>
      <x:c r="Q4593" s="11" t="n">
        <x:v>0</x:v>
      </x:c>
      <x:c r="R4593" s="8" t="n">
        <x:v>45653</x:v>
      </x:c>
      <x:c r="S4593" s="4" t="str">
        <x:v>Retained</x:v>
      </x:c>
      <x:c r="T4593" s="10" t="n">
        <x:v>0.298969</x:v>
      </x:c>
      <x:c r="U4593" s="4" t="str">
        <x:v>Test</x:v>
      </x:c>
    </x:row>
    <x:row r="4594" ht="34" customHeight="1">
      <x:c r="A4594" s="4" t="str">
        <x:v>RS-04593</x:v>
      </x:c>
      <x:c r="B4594" s="8" t="n">
        <x:v>45566</x:v>
      </x:c>
      <x:c r="C4594" s="4" t="str">
        <x:v>PRJ-013</x:v>
      </x:c>
      <x:c r="D4594" s="4" t="str">
        <x:v>Office</x:v>
      </x:c>
      <x:c r="E4594" s="4" t="str">
        <x:v>Enquiry</x:v>
      </x:c>
      <x:c r="F4594" s="4" t="str">
        <x:v>CUS-04593</x:v>
      </x:c>
      <x:c r="G4594" s="4" t="str">
        <x:v>UNIT-04593</x:v>
      </x:c>
      <x:c r="H4594" s="9" t="n">
        <x:v>6800000</x:v>
      </x:c>
      <x:c r="I4594" s="10" t="n">
        <x:v>0.06</x:v>
      </x:c>
      <x:c r="J4594" s="11" t="n">
        <x:v>7</x:v>
      </x:c>
      <x:c r="K4594" s="11" t="n">
        <x:v>3</x:v>
      </x:c>
      <x:c r="L4594" s="11" t="n">
        <x:v>0</x:v>
      </x:c>
      <x:c r="M4594" s="9" t="n">
        <x:f>ROUND(H4594*(1-I4594),2)</x:f>
        <x:v>6392000</x:v>
      </x:c>
      <x:c r="N4594" s="4" t="str">
        <x:v>Sales manager</x:v>
      </x:c>
      <x:c r="O4594" s="4"/>
      <x:c r="P4594" s="9" t="n">
        <x:v>0</x:v>
      </x:c>
      <x:c r="Q4594" s="11" t="n">
        <x:v>0</x:v>
      </x:c>
      <x:c r="R4594" s="8" t="n">
        <x:v>45626</x:v>
      </x:c>
      <x:c r="S4594" s="4" t="str">
        <x:v>Retained</x:v>
      </x:c>
      <x:c r="T4594" s="10" t="n">
        <x:v>0.226277</x:v>
      </x:c>
      <x:c r="U4594" s="4" t="str">
        <x:v>Test</x:v>
      </x:c>
    </x:row>
    <x:row r="4595" ht="34" customHeight="1">
      <x:c r="A4595" s="4" t="str">
        <x:v>RS-04594</x:v>
      </x:c>
      <x:c r="B4595" s="8" t="n">
        <x:v>45567</x:v>
      </x:c>
      <x:c r="C4595" s="4" t="str">
        <x:v>PRJ-014</x:v>
      </x:c>
      <x:c r="D4595" s="4" t="str">
        <x:v>Apartment</x:v>
      </x:c>
      <x:c r="E4595" s="4" t="str">
        <x:v>Enquiry</x:v>
      </x:c>
      <x:c r="F4595" s="4" t="str">
        <x:v>CUS-04594</x:v>
      </x:c>
      <x:c r="G4595" s="4" t="str">
        <x:v>UNIT-04594</x:v>
      </x:c>
      <x:c r="H4595" s="9" t="n">
        <x:v>17300000</x:v>
      </x:c>
      <x:c r="I4595" s="10" t="n">
        <x:v>0.05</x:v>
      </x:c>
      <x:c r="J4595" s="11" t="n">
        <x:v>1</x:v>
      </x:c>
      <x:c r="K4595" s="11" t="n">
        <x:v>5</x:v>
      </x:c>
      <x:c r="L4595" s="11" t="n">
        <x:v>0</x:v>
      </x:c>
      <x:c r="M4595" s="9" t="n">
        <x:f>ROUND(H4595*(1-I4595),2)</x:f>
        <x:v>16435000</x:v>
      </x:c>
      <x:c r="N4595" s="4" t="str">
        <x:v>Sales manager</x:v>
      </x:c>
      <x:c r="O4595" s="4"/>
      <x:c r="P4595" s="9" t="n">
        <x:v>0</x:v>
      </x:c>
      <x:c r="Q4595" s="11" t="n">
        <x:v>0</x:v>
      </x:c>
      <x:c r="R4595" s="8" t="n">
        <x:v>45627</x:v>
      </x:c>
      <x:c r="S4595" s="4" t="str">
        <x:v>Retained</x:v>
      </x:c>
      <x:c r="T4595" s="10" t="n">
        <x:v>0.204152</x:v>
      </x:c>
      <x:c r="U4595" s="4" t="str">
        <x:v>Test</x:v>
      </x:c>
    </x:row>
    <x:row r="4596" ht="34" customHeight="1">
      <x:c r="A4596" s="4" t="str">
        <x:v>RS-04595</x:v>
      </x:c>
      <x:c r="B4596" s="8" t="n">
        <x:v>45568</x:v>
      </x:c>
      <x:c r="C4596" s="4" t="str">
        <x:v>PRJ-015</x:v>
      </x:c>
      <x:c r="D4596" s="4" t="str">
        <x:v>Retail</x:v>
      </x:c>
      <x:c r="E4596" s="4" t="str">
        <x:v>Booked</x:v>
      </x:c>
      <x:c r="F4596" s="4" t="str">
        <x:v>CUS-04595</x:v>
      </x:c>
      <x:c r="G4596" s="4" t="str">
        <x:v>UNIT-04595</x:v>
      </x:c>
      <x:c r="H4596" s="9" t="n">
        <x:v>21600000</x:v>
      </x:c>
      <x:c r="I4596" s="10" t="n">
        <x:v>0.06</x:v>
      </x:c>
      <x:c r="J4596" s="11" t="n">
        <x:v>7</x:v>
      </x:c>
      <x:c r="K4596" s="11" t="n">
        <x:v>8</x:v>
      </x:c>
      <x:c r="L4596" s="11" t="n">
        <x:v>1</x:v>
      </x:c>
      <x:c r="M4596" s="9" t="n">
        <x:f>ROUND(H4596*(1-I4596),2)</x:f>
        <x:v>20304000</x:v>
      </x:c>
      <x:c r="N4596" s="4" t="str">
        <x:v>Sales manager</x:v>
      </x:c>
      <x:c r="O4596" s="4" t="str">
        <x:v>BOOK-04595</x:v>
      </x:c>
      <x:c r="P4596" s="9" t="n">
        <x:v>10152000</x:v>
      </x:c>
      <x:c r="Q4596" s="11" t="n">
        <x:v>0</x:v>
      </x:c>
      <x:c r="R4596" s="8" t="n">
        <x:v>45628</x:v>
      </x:c>
      <x:c r="S4596" s="4" t="str">
        <x:v>Retained</x:v>
      </x:c>
      <x:c r="T4596" s="10" t="n">
        <x:v>0.291946</x:v>
      </x:c>
      <x:c r="U4596" s="4" t="str">
        <x:v>Test</x:v>
      </x:c>
    </x:row>
    <x:row r="4597" ht="34" customHeight="1">
      <x:c r="A4597" s="4" t="str">
        <x:v>RS-04596</x:v>
      </x:c>
      <x:c r="B4597" s="8" t="n">
        <x:v>45569</x:v>
      </x:c>
      <x:c r="C4597" s="4" t="str">
        <x:v>PRJ-016</x:v>
      </x:c>
      <x:c r="D4597" s="4" t="str">
        <x:v>Apartment</x:v>
      </x:c>
      <x:c r="E4597" s="4" t="str">
        <x:v>Booked</x:v>
      </x:c>
      <x:c r="F4597" s="4" t="str">
        <x:v>CUS-04596</x:v>
      </x:c>
      <x:c r="G4597" s="4" t="str">
        <x:v>UNIT-04596</x:v>
      </x:c>
      <x:c r="H4597" s="9" t="n">
        <x:v>18500000</x:v>
      </x:c>
      <x:c r="I4597" s="10" t="n">
        <x:v>0.09</x:v>
      </x:c>
      <x:c r="J4597" s="11" t="n">
        <x:v>12</x:v>
      </x:c>
      <x:c r="K4597" s="11" t="n">
        <x:v>6</x:v>
      </x:c>
      <x:c r="L4597" s="11" t="n">
        <x:v>1</x:v>
      </x:c>
      <x:c r="M4597" s="9" t="n">
        <x:f>ROUND(H4597*(1-I4597),2)</x:f>
        <x:v>16835000</x:v>
      </x:c>
      <x:c r="N4597" s="4" t="str">
        <x:v>Sales head</x:v>
      </x:c>
      <x:c r="O4597" s="4" t="str">
        <x:v>BOOK-04596</x:v>
      </x:c>
      <x:c r="P4597" s="9" t="n">
        <x:v>1683500</x:v>
      </x:c>
      <x:c r="Q4597" s="11" t="n">
        <x:v>0</x:v>
      </x:c>
      <x:c r="R4597" s="8" t="n">
        <x:v>45629</x:v>
      </x:c>
      <x:c r="S4597" s="4" t="str">
        <x:v>Retained</x:v>
      </x:c>
      <x:c r="T4597" s="10" t="n">
        <x:v>0.351536</x:v>
      </x:c>
      <x:c r="U4597" s="4" t="str">
        <x:v>Test</x:v>
      </x:c>
    </x:row>
    <x:row r="4598" ht="34" customHeight="1">
      <x:c r="A4598" s="4" t="str">
        <x:v>RS-04597</x:v>
      </x:c>
      <x:c r="B4598" s="8" t="n">
        <x:v>45570</x:v>
      </x:c>
      <x:c r="C4598" s="4" t="str">
        <x:v>PRJ-017</x:v>
      </x:c>
      <x:c r="D4598" s="4" t="str">
        <x:v>Retail</x:v>
      </x:c>
      <x:c r="E4598" s="4" t="str">
        <x:v>Handed over</x:v>
      </x:c>
      <x:c r="F4598" s="4" t="str">
        <x:v>CUS-04597</x:v>
      </x:c>
      <x:c r="G4598" s="4" t="str">
        <x:v>UNIT-04597</x:v>
      </x:c>
      <x:c r="H4598" s="9" t="n">
        <x:v>8400000</x:v>
      </x:c>
      <x:c r="I4598" s="10" t="n">
        <x:v>0.01</x:v>
      </x:c>
      <x:c r="J4598" s="11" t="n">
        <x:v>10</x:v>
      </x:c>
      <x:c r="K4598" s="11" t="n">
        <x:v>4</x:v>
      </x:c>
      <x:c r="L4598" s="11" t="n">
        <x:v>0</x:v>
      </x:c>
      <x:c r="M4598" s="9" t="n">
        <x:f>ROUND(H4598*(1-I4598),2)</x:f>
        <x:v>8316000</x:v>
      </x:c>
      <x:c r="N4598" s="4" t="str">
        <x:v>Sales manager</x:v>
      </x:c>
      <x:c r="O4598" s="4" t="str">
        <x:v>BOOK-04597</x:v>
      </x:c>
      <x:c r="P4598" s="9" t="n">
        <x:v>8316000</x:v>
      </x:c>
      <x:c r="Q4598" s="11" t="n">
        <x:v>0</x:v>
      </x:c>
      <x:c r="R4598" s="8" t="n">
        <x:v>45630</x:v>
      </x:c>
      <x:c r="S4598" s="4" t="str">
        <x:v>Retained</x:v>
      </x:c>
      <x:c r="T4598" s="10" t="n">
        <x:v>0.305556</x:v>
      </x:c>
      <x:c r="U4598" s="4" t="str">
        <x:v>Test</x:v>
      </x:c>
    </x:row>
    <x:row r="4599" ht="34" customHeight="1">
      <x:c r="A4599" s="4" t="str">
        <x:v>RS-04598</x:v>
      </x:c>
      <x:c r="B4599" s="8" t="n">
        <x:v>45571</x:v>
      </x:c>
      <x:c r="C4599" s="4" t="str">
        <x:v>PRJ-018</x:v>
      </x:c>
      <x:c r="D4599" s="4" t="str">
        <x:v>Office</x:v>
      </x:c>
      <x:c r="E4599" s="4" t="str">
        <x:v>Enquiry</x:v>
      </x:c>
      <x:c r="F4599" s="4" t="str">
        <x:v>CUS-04598</x:v>
      </x:c>
      <x:c r="G4599" s="4" t="str">
        <x:v>UNIT-04598</x:v>
      </x:c>
      <x:c r="H4599" s="9" t="n">
        <x:v>16700000</x:v>
      </x:c>
      <x:c r="I4599" s="10" t="n">
        <x:v>0.02</x:v>
      </x:c>
      <x:c r="J4599" s="11" t="n">
        <x:v>12</x:v>
      </x:c>
      <x:c r="K4599" s="11" t="n">
        <x:v>1</x:v>
      </x:c>
      <x:c r="L4599" s="11" t="n">
        <x:v>1</x:v>
      </x:c>
      <x:c r="M4599" s="9" t="n">
        <x:f>ROUND(H4599*(1-I4599),2)</x:f>
        <x:v>16366000</x:v>
      </x:c>
      <x:c r="N4599" s="4" t="str">
        <x:v>Sales manager</x:v>
      </x:c>
      <x:c r="O4599" s="4"/>
      <x:c r="P4599" s="9" t="n">
        <x:v>0</x:v>
      </x:c>
      <x:c r="Q4599" s="11" t="n">
        <x:v>1</x:v>
      </x:c>
      <x:c r="R4599" s="8" t="n">
        <x:v>45631</x:v>
      </x:c>
      <x:c r="S4599" s="4" t="str">
        <x:v>Lost / cancelled</x:v>
      </x:c>
      <x:c r="T4599" s="10" t="n">
        <x:v>0.254545</x:v>
      </x:c>
      <x:c r="U4599" s="4" t="str">
        <x:v>Test</x:v>
      </x:c>
    </x:row>
    <x:row r="4600" ht="34" customHeight="1">
      <x:c r="A4600" s="4" t="str">
        <x:v>RS-04599</x:v>
      </x:c>
      <x:c r="B4600" s="8" t="n">
        <x:v>45572</x:v>
      </x:c>
      <x:c r="C4600" s="4" t="str">
        <x:v>PRJ-019</x:v>
      </x:c>
      <x:c r="D4600" s="4" t="str">
        <x:v>Apartment</x:v>
      </x:c>
      <x:c r="E4600" s="4" t="str">
        <x:v>Handed over</x:v>
      </x:c>
      <x:c r="F4600" s="4" t="str">
        <x:v>CUS-04599</x:v>
      </x:c>
      <x:c r="G4600" s="4" t="str">
        <x:v>UNIT-04599</x:v>
      </x:c>
      <x:c r="H4600" s="9" t="n">
        <x:v>19700000</x:v>
      </x:c>
      <x:c r="I4600" s="10" t="n">
        <x:v>0.09</x:v>
      </x:c>
      <x:c r="J4600" s="11" t="n">
        <x:v>7</x:v>
      </x:c>
      <x:c r="K4600" s="11" t="n">
        <x:v>0</x:v>
      </x:c>
      <x:c r="L4600" s="11" t="n">
        <x:v>0</x:v>
      </x:c>
      <x:c r="M4600" s="9" t="n">
        <x:f>ROUND(H4600*(1-I4600),2)</x:f>
        <x:v>17927000</x:v>
      </x:c>
      <x:c r="N4600" s="4" t="str">
        <x:v>Sales head</x:v>
      </x:c>
      <x:c r="O4600" s="4" t="str">
        <x:v>BOOK-04599</x:v>
      </x:c>
      <x:c r="P4600" s="9" t="n">
        <x:v>1792700</x:v>
      </x:c>
      <x:c r="Q4600" s="11" t="n">
        <x:v>0</x:v>
      </x:c>
      <x:c r="R4600" s="8" t="n">
        <x:v>45632</x:v>
      </x:c>
      <x:c r="S4600" s="4" t="str">
        <x:v>Retained</x:v>
      </x:c>
      <x:c r="T4600" s="10" t="n">
        <x:v>0.226277</x:v>
      </x:c>
      <x:c r="U4600" s="4" t="str">
        <x:v>Test</x:v>
      </x:c>
    </x:row>
    <x:row r="4601" ht="34" customHeight="1">
      <x:c r="A4601" s="4" t="str">
        <x:v>RS-04600</x:v>
      </x:c>
      <x:c r="B4601" s="8" t="n">
        <x:v>45573</x:v>
      </x:c>
      <x:c r="C4601" s="4" t="str">
        <x:v>PRJ-020</x:v>
      </x:c>
      <x:c r="D4601" s="4" t="str">
        <x:v>Apartment</x:v>
      </x:c>
      <x:c r="E4601" s="4" t="str">
        <x:v>Reserved</x:v>
      </x:c>
      <x:c r="F4601" s="4" t="str">
        <x:v>CUS-04600</x:v>
      </x:c>
      <x:c r="G4601" s="4" t="str">
        <x:v>UNIT-04600</x:v>
      </x:c>
      <x:c r="H4601" s="9" t="n">
        <x:v>14600000</x:v>
      </x:c>
      <x:c r="I4601" s="10" t="n">
        <x:v>0.1</x:v>
      </x:c>
      <x:c r="J4601" s="11" t="n">
        <x:v>5</x:v>
      </x:c>
      <x:c r="K4601" s="11" t="n">
        <x:v>3</x:v>
      </x:c>
      <x:c r="L4601" s="11" t="n">
        <x:v>0</x:v>
      </x:c>
      <x:c r="M4601" s="9" t="n">
        <x:f>ROUND(H4601*(1-I4601),2)</x:f>
        <x:v>13140000</x:v>
      </x:c>
      <x:c r="N4601" s="4" t="str">
        <x:v>Sales head</x:v>
      </x:c>
      <x:c r="O4601" s="4"/>
      <x:c r="P4601" s="9" t="n">
        <x:v>0</x:v>
      </x:c>
      <x:c r="Q4601" s="11" t="n">
        <x:v>0</x:v>
      </x:c>
      <x:c r="R4601" s="8" t="n">
        <x:v>45633</x:v>
      </x:c>
      <x:c r="S4601" s="4" t="str">
        <x:v>Retained</x:v>
      </x:c>
      <x:c r="T4601" s="10" t="n">
        <x:v>0.226277</x:v>
      </x:c>
      <x:c r="U4601" s="4" t="str">
        <x:v>Test</x:v>
      </x:c>
    </x:row>
    <x:row r="4602" ht="34" customHeight="1">
      <x:c r="A4602" s="4" t="str">
        <x:v>RS-04601</x:v>
      </x:c>
      <x:c r="B4602" s="8" t="n">
        <x:v>45574</x:v>
      </x:c>
      <x:c r="C4602" s="4" t="str">
        <x:v>PRJ-001</x:v>
      </x:c>
      <x:c r="D4602" s="4" t="str">
        <x:v>Apartment</x:v>
      </x:c>
      <x:c r="E4602" s="4" t="str">
        <x:v>Reserved</x:v>
      </x:c>
      <x:c r="F4602" s="4" t="str">
        <x:v>CUS-04601</x:v>
      </x:c>
      <x:c r="G4602" s="4" t="str">
        <x:v>UNIT-04601</x:v>
      </x:c>
      <x:c r="H4602" s="9" t="n">
        <x:v>22600000</x:v>
      </x:c>
      <x:c r="I4602" s="10" t="n">
        <x:v>0.04</x:v>
      </x:c>
      <x:c r="J4602" s="11" t="n">
        <x:v>12</x:v>
      </x:c>
      <x:c r="K4602" s="11" t="n">
        <x:v>7</x:v>
      </x:c>
      <x:c r="L4602" s="11" t="n">
        <x:v>1</x:v>
      </x:c>
      <x:c r="M4602" s="9" t="n">
        <x:f>ROUND(H4602*(1-I4602),2)</x:f>
        <x:v>21696000</x:v>
      </x:c>
      <x:c r="N4602" s="4" t="str">
        <x:v>Sales manager</x:v>
      </x:c>
      <x:c r="O4602" s="4"/>
      <x:c r="P4602" s="9" t="n">
        <x:v>0</x:v>
      </x:c>
      <x:c r="Q4602" s="11" t="n">
        <x:v>1</x:v>
      </x:c>
      <x:c r="R4602" s="8" t="n">
        <x:v>45634</x:v>
      </x:c>
      <x:c r="S4602" s="4" t="str">
        <x:v>Lost / cancelled</x:v>
      </x:c>
      <x:c r="T4602" s="10" t="n">
        <x:v>0.351536</x:v>
      </x:c>
      <x:c r="U4602" s="4" t="str">
        <x:v>Test</x:v>
      </x:c>
    </x:row>
    <x:row r="4603" ht="34" customHeight="1">
      <x:c r="A4603" s="4" t="str">
        <x:v>RS-04602</x:v>
      </x:c>
      <x:c r="B4603" s="8" t="n">
        <x:v>45575</x:v>
      </x:c>
      <x:c r="C4603" s="4" t="str">
        <x:v>PRJ-002</x:v>
      </x:c>
      <x:c r="D4603" s="4" t="str">
        <x:v>Retail</x:v>
      </x:c>
      <x:c r="E4603" s="4" t="str">
        <x:v>Cancelled</x:v>
      </x:c>
      <x:c r="F4603" s="4" t="str">
        <x:v>CUS-04602</x:v>
      </x:c>
      <x:c r="G4603" s="4" t="str">
        <x:v>UNIT-04602</x:v>
      </x:c>
      <x:c r="H4603" s="9" t="n">
        <x:v>9800000</x:v>
      </x:c>
      <x:c r="I4603" s="10" t="n">
        <x:v>0.07</x:v>
      </x:c>
      <x:c r="J4603" s="11" t="n">
        <x:v>4</x:v>
      </x:c>
      <x:c r="K4603" s="11" t="n">
        <x:v>10</x:v>
      </x:c>
      <x:c r="L4603" s="11" t="n">
        <x:v>0</x:v>
      </x:c>
      <x:c r="M4603" s="9" t="n">
        <x:f>ROUND(H4603*(1-I4603),2)</x:f>
        <x:v>9114000</x:v>
      </x:c>
      <x:c r="N4603" s="4" t="str">
        <x:v>Sales manager</x:v>
      </x:c>
      <x:c r="O4603" s="4"/>
      <x:c r="P4603" s="9" t="n">
        <x:v>0</x:v>
      </x:c>
      <x:c r="Q4603" s="11" t="n">
        <x:v>1</x:v>
      </x:c>
      <x:c r="R4603" s="8" t="n">
        <x:v>45635</x:v>
      </x:c>
      <x:c r="S4603" s="4" t="str">
        <x:v>Lost / cancelled</x:v>
      </x:c>
      <x:c r="T4603" s="10" t="n">
        <x:v>0.226277</x:v>
      </x:c>
      <x:c r="U4603" s="4" t="str">
        <x:v>Test</x:v>
      </x:c>
    </x:row>
    <x:row r="4604" ht="34" customHeight="1">
      <x:c r="A4604" s="4" t="str">
        <x:v>RS-04603</x:v>
      </x:c>
      <x:c r="B4604" s="8" t="n">
        <x:v>45576</x:v>
      </x:c>
      <x:c r="C4604" s="4" t="str">
        <x:v>PRJ-003</x:v>
      </x:c>
      <x:c r="D4604" s="4" t="str">
        <x:v>Office</x:v>
      </x:c>
      <x:c r="E4604" s="4" t="str">
        <x:v>Agreement signed</x:v>
      </x:c>
      <x:c r="F4604" s="4" t="str">
        <x:v>CUS-04603</x:v>
      </x:c>
      <x:c r="G4604" s="4" t="str">
        <x:v>UNIT-04603</x:v>
      </x:c>
      <x:c r="H4604" s="9" t="n">
        <x:v>24500000</x:v>
      </x:c>
      <x:c r="I4604" s="10" t="n">
        <x:v>0.01</x:v>
      </x:c>
      <x:c r="J4604" s="11" t="n">
        <x:v>5</x:v>
      </x:c>
      <x:c r="K4604" s="11" t="n">
        <x:v>3</x:v>
      </x:c>
      <x:c r="L4604" s="11" t="n">
        <x:v>1</x:v>
      </x:c>
      <x:c r="M4604" s="9" t="n">
        <x:f>ROUND(H4604*(1-I4604),2)</x:f>
        <x:v>24255000</x:v>
      </x:c>
      <x:c r="N4604" s="4" t="str">
        <x:v>Sales manager</x:v>
      </x:c>
      <x:c r="O4604" s="4" t="str">
        <x:v>BOOK-04603</x:v>
      </x:c>
      <x:c r="P4604" s="9" t="n">
        <x:v>2425500</x:v>
      </x:c>
      <x:c r="Q4604" s="11" t="n">
        <x:v>0</x:v>
      </x:c>
      <x:c r="R4604" s="8" t="n">
        <x:v>45636</x:v>
      </x:c>
      <x:c r="S4604" s="4" t="str">
        <x:v>Retained</x:v>
      </x:c>
      <x:c r="T4604" s="10" t="n">
        <x:v>0.298969</x:v>
      </x:c>
      <x:c r="U4604" s="4" t="str">
        <x:v>Test</x:v>
      </x:c>
    </x:row>
    <x:row r="4605" ht="34" customHeight="1">
      <x:c r="A4605" s="4" t="str">
        <x:v>RS-04604</x:v>
      </x:c>
      <x:c r="B4605" s="8" t="n">
        <x:v>45577</x:v>
      </x:c>
      <x:c r="C4605" s="4" t="str">
        <x:v>PRJ-004</x:v>
      </x:c>
      <x:c r="D4605" s="4" t="str">
        <x:v>Villa</x:v>
      </x:c>
      <x:c r="E4605" s="4" t="str">
        <x:v>Reserved</x:v>
      </x:c>
      <x:c r="F4605" s="4" t="str">
        <x:v>CUS-04604</x:v>
      </x:c>
      <x:c r="G4605" s="4" t="str">
        <x:v>UNIT-04604</x:v>
      </x:c>
      <x:c r="H4605" s="9" t="n">
        <x:v>19300000</x:v>
      </x:c>
      <x:c r="I4605" s="10" t="n">
        <x:v>0.07</x:v>
      </x:c>
      <x:c r="J4605" s="11" t="n">
        <x:v>0</x:v>
      </x:c>
      <x:c r="K4605" s="11" t="n">
        <x:v>10</x:v>
      </x:c>
      <x:c r="L4605" s="11" t="n">
        <x:v>0</x:v>
      </x:c>
      <x:c r="M4605" s="9" t="n">
        <x:f>ROUND(H4605*(1-I4605),2)</x:f>
        <x:v>17949000</x:v>
      </x:c>
      <x:c r="N4605" s="4" t="str">
        <x:v>Sales manager</x:v>
      </x:c>
      <x:c r="O4605" s="4"/>
      <x:c r="P4605" s="9" t="n">
        <x:v>0</x:v>
      </x:c>
      <x:c r="Q4605" s="11" t="n">
        <x:v>0</x:v>
      </x:c>
      <x:c r="R4605" s="8" t="n">
        <x:v>45637</x:v>
      </x:c>
      <x:c r="S4605" s="4" t="str">
        <x:v>Retained</x:v>
      </x:c>
      <x:c r="T4605" s="10" t="n">
        <x:v>0.204152</x:v>
      </x:c>
      <x:c r="U4605" s="4" t="str">
        <x:v>Test</x:v>
      </x:c>
    </x:row>
    <x:row r="4606" ht="34" customHeight="1">
      <x:c r="A4606" s="4" t="str">
        <x:v>RS-04605</x:v>
      </x:c>
      <x:c r="B4606" s="8" t="n">
        <x:v>45578</x:v>
      </x:c>
      <x:c r="C4606" s="4" t="str">
        <x:v>PRJ-005</x:v>
      </x:c>
      <x:c r="D4606" s="4" t="str">
        <x:v>Office</x:v>
      </x:c>
      <x:c r="E4606" s="4" t="str">
        <x:v>Cancelled</x:v>
      </x:c>
      <x:c r="F4606" s="4" t="str">
        <x:v>CUS-04605</x:v>
      </x:c>
      <x:c r="G4606" s="4" t="str">
        <x:v>UNIT-04605</x:v>
      </x:c>
      <x:c r="H4606" s="9" t="n">
        <x:v>8900000</x:v>
      </x:c>
      <x:c r="I4606" s="10" t="n">
        <x:v>0.01</x:v>
      </x:c>
      <x:c r="J4606" s="11" t="n">
        <x:v>6</x:v>
      </x:c>
      <x:c r="K4606" s="11" t="n">
        <x:v>5</x:v>
      </x:c>
      <x:c r="L4606" s="11" t="n">
        <x:v>0</x:v>
      </x:c>
      <x:c r="M4606" s="9" t="n">
        <x:f>ROUND(H4606*(1-I4606),2)</x:f>
        <x:v>8811000</x:v>
      </x:c>
      <x:c r="N4606" s="4" t="str">
        <x:v>Sales manager</x:v>
      </x:c>
      <x:c r="O4606" s="4"/>
      <x:c r="P4606" s="9" t="n">
        <x:v>0</x:v>
      </x:c>
      <x:c r="Q4606" s="11" t="n">
        <x:v>1</x:v>
      </x:c>
      <x:c r="R4606" s="8" t="n">
        <x:v>45638</x:v>
      </x:c>
      <x:c r="S4606" s="4" t="str">
        <x:v>Lost / cancelled</x:v>
      </x:c>
      <x:c r="T4606" s="10" t="n">
        <x:v>0.145299</x:v>
      </x:c>
      <x:c r="U4606" s="4" t="str">
        <x:v>Test</x:v>
      </x:c>
    </x:row>
    <x:row r="4607" ht="34" customHeight="1">
      <x:c r="A4607" s="4" t="str">
        <x:v>RS-04606</x:v>
      </x:c>
      <x:c r="B4607" s="8" t="n">
        <x:v>45579</x:v>
      </x:c>
      <x:c r="C4607" s="4" t="str">
        <x:v>PRJ-006</x:v>
      </x:c>
      <x:c r="D4607" s="4" t="str">
        <x:v>Apartment</x:v>
      </x:c>
      <x:c r="E4607" s="4" t="str">
        <x:v>Enquiry</x:v>
      </x:c>
      <x:c r="F4607" s="4" t="str">
        <x:v>CUS-04606</x:v>
      </x:c>
      <x:c r="G4607" s="4" t="str">
        <x:v>UNIT-04606</x:v>
      </x:c>
      <x:c r="H4607" s="9" t="n">
        <x:v>12300000</x:v>
      </x:c>
      <x:c r="I4607" s="10" t="n">
        <x:v>0.08</x:v>
      </x:c>
      <x:c r="J4607" s="11" t="n">
        <x:v>4</x:v>
      </x:c>
      <x:c r="K4607" s="11" t="n">
        <x:v>8</x:v>
      </x:c>
      <x:c r="L4607" s="11" t="n">
        <x:v>0</x:v>
      </x:c>
      <x:c r="M4607" s="9" t="n">
        <x:f>ROUND(H4607*(1-I4607),2)</x:f>
        <x:v>11316000</x:v>
      </x:c>
      <x:c r="N4607" s="4" t="str">
        <x:v>Sales head</x:v>
      </x:c>
      <x:c r="O4607" s="4"/>
      <x:c r="P4607" s="9" t="n">
        <x:v>0</x:v>
      </x:c>
      <x:c r="Q4607" s="11" t="n">
        <x:v>0</x:v>
      </x:c>
      <x:c r="R4607" s="8" t="n">
        <x:v>45639</x:v>
      </x:c>
      <x:c r="S4607" s="4" t="str">
        <x:v>Retained</x:v>
      </x:c>
      <x:c r="T4607" s="10" t="n">
        <x:v>0.226277</x:v>
      </x:c>
      <x:c r="U4607" s="4" t="str">
        <x:v>Test</x:v>
      </x:c>
    </x:row>
    <x:row r="4608" ht="34" customHeight="1">
      <x:c r="A4608" s="4" t="str">
        <x:v>RS-04607</x:v>
      </x:c>
      <x:c r="B4608" s="8" t="n">
        <x:v>45580</x:v>
      </x:c>
      <x:c r="C4608" s="4" t="str">
        <x:v>PRJ-007</x:v>
      </x:c>
      <x:c r="D4608" s="4" t="str">
        <x:v>Apartment</x:v>
      </x:c>
      <x:c r="E4608" s="4" t="str">
        <x:v>Enquiry</x:v>
      </x:c>
      <x:c r="F4608" s="4" t="str">
        <x:v>CUS-04607</x:v>
      </x:c>
      <x:c r="G4608" s="4" t="str">
        <x:v>UNIT-04607</x:v>
      </x:c>
      <x:c r="H4608" s="9" t="n">
        <x:v>4500000</x:v>
      </x:c>
      <x:c r="I4608" s="10" t="n">
        <x:v>0.12</x:v>
      </x:c>
      <x:c r="J4608" s="11" t="n">
        <x:v>4</x:v>
      </x:c>
      <x:c r="K4608" s="11" t="n">
        <x:v>9</x:v>
      </x:c>
      <x:c r="L4608" s="11" t="n">
        <x:v>0</x:v>
      </x:c>
      <x:c r="M4608" s="9" t="n">
        <x:f>ROUND(H4608*(1-I4608),2)</x:f>
        <x:v>3960000</x:v>
      </x:c>
      <x:c r="N4608" s="4" t="str">
        <x:v>Sales head</x:v>
      </x:c>
      <x:c r="O4608" s="4"/>
      <x:c r="P4608" s="9" t="n">
        <x:v>0</x:v>
      </x:c>
      <x:c r="Q4608" s="11" t="n">
        <x:v>0</x:v>
      </x:c>
      <x:c r="R4608" s="8" t="n">
        <x:v>45640</x:v>
      </x:c>
      <x:c r="S4608" s="4" t="str">
        <x:v>Retained</x:v>
      </x:c>
      <x:c r="T4608" s="10" t="n">
        <x:v>0.226277</x:v>
      </x:c>
      <x:c r="U4608" s="4" t="str">
        <x:v>Test</x:v>
      </x:c>
    </x:row>
    <x:row r="4609" ht="34" customHeight="1">
      <x:c r="A4609" s="4" t="str">
        <x:v>RS-04608</x:v>
      </x:c>
      <x:c r="B4609" s="8" t="n">
        <x:v>45581</x:v>
      </x:c>
      <x:c r="C4609" s="4" t="str">
        <x:v>PRJ-008</x:v>
      </x:c>
      <x:c r="D4609" s="4" t="str">
        <x:v>Office</x:v>
      </x:c>
      <x:c r="E4609" s="4" t="str">
        <x:v>Agreement signed</x:v>
      </x:c>
      <x:c r="F4609" s="4" t="str">
        <x:v>CUS-04608</x:v>
      </x:c>
      <x:c r="G4609" s="4" t="str">
        <x:v>UNIT-04608</x:v>
      </x:c>
      <x:c r="H4609" s="9" t="n">
        <x:v>8900000</x:v>
      </x:c>
      <x:c r="I4609" s="10" t="n">
        <x:v>0.04</x:v>
      </x:c>
      <x:c r="J4609" s="11" t="n">
        <x:v>6</x:v>
      </x:c>
      <x:c r="K4609" s="11" t="n">
        <x:v>1</x:v>
      </x:c>
      <x:c r="L4609" s="11" t="n">
        <x:v>1</x:v>
      </x:c>
      <x:c r="M4609" s="9" t="n">
        <x:f>ROUND(H4609*(1-I4609),2)</x:f>
        <x:v>8544000</x:v>
      </x:c>
      <x:c r="N4609" s="4" t="str">
        <x:v>Sales manager</x:v>
      </x:c>
      <x:c r="O4609" s="4" t="str">
        <x:v>BOOK-04608</x:v>
      </x:c>
      <x:c r="P4609" s="9" t="n">
        <x:v>2136000</x:v>
      </x:c>
      <x:c r="Q4609" s="11" t="n">
        <x:v>0</x:v>
      </x:c>
      <x:c r="R4609" s="8" t="n">
        <x:v>45641</x:v>
      </x:c>
      <x:c r="S4609" s="4" t="str">
        <x:v>Retained</x:v>
      </x:c>
      <x:c r="T4609" s="10" t="n">
        <x:v>0.291946</x:v>
      </x:c>
      <x:c r="U4609" s="4" t="str">
        <x:v>Test</x:v>
      </x:c>
    </x:row>
    <x:row r="4610" ht="34" customHeight="1">
      <x:c r="A4610" s="4" t="str">
        <x:v>RS-04609</x:v>
      </x:c>
      <x:c r="B4610" s="8" t="n">
        <x:v>45582</x:v>
      </x:c>
      <x:c r="C4610" s="4" t="str">
        <x:v>PRJ-009</x:v>
      </x:c>
      <x:c r="D4610" s="4" t="str">
        <x:v>Office</x:v>
      </x:c>
      <x:c r="E4610" s="4" t="str">
        <x:v>Cancelled</x:v>
      </x:c>
      <x:c r="F4610" s="4" t="str">
        <x:v>CUS-04609</x:v>
      </x:c>
      <x:c r="G4610" s="4" t="str">
        <x:v>UNIT-04609</x:v>
      </x:c>
      <x:c r="H4610" s="9" t="n">
        <x:v>24100000</x:v>
      </x:c>
      <x:c r="I4610" s="10" t="n">
        <x:v>0</x:v>
      </x:c>
      <x:c r="J4610" s="11" t="n">
        <x:v>10</x:v>
      </x:c>
      <x:c r="K4610" s="11" t="n">
        <x:v>10</x:v>
      </x:c>
      <x:c r="L4610" s="11" t="n">
        <x:v>0</x:v>
      </x:c>
      <x:c r="M4610" s="9" t="n">
        <x:f>ROUND(H4610*(1-I4610),2)</x:f>
        <x:v>24100000</x:v>
      </x:c>
      <x:c r="N4610" s="4" t="str">
        <x:v>Sales manager</x:v>
      </x:c>
      <x:c r="O4610" s="4"/>
      <x:c r="P4610" s="9" t="n">
        <x:v>0</x:v>
      </x:c>
      <x:c r="Q4610" s="11" t="n">
        <x:v>1</x:v>
      </x:c>
      <x:c r="R4610" s="8" t="n">
        <x:v>45642</x:v>
      </x:c>
      <x:c r="S4610" s="4" t="str">
        <x:v>Lost / cancelled</x:v>
      </x:c>
      <x:c r="T4610" s="10" t="n">
        <x:v>0.305556</x:v>
      </x:c>
      <x:c r="U4610" s="4" t="str">
        <x:v>Test</x:v>
      </x:c>
    </x:row>
    <x:row r="4611" ht="34" customHeight="1">
      <x:c r="A4611" s="4" t="str">
        <x:v>RS-04610</x:v>
      </x:c>
      <x:c r="B4611" s="8" t="n">
        <x:v>45583</x:v>
      </x:c>
      <x:c r="C4611" s="4" t="str">
        <x:v>PRJ-010</x:v>
      </x:c>
      <x:c r="D4611" s="4" t="str">
        <x:v>Villa</x:v>
      </x:c>
      <x:c r="E4611" s="4" t="str">
        <x:v>Cancelled</x:v>
      </x:c>
      <x:c r="F4611" s="4" t="str">
        <x:v>CUS-04610</x:v>
      </x:c>
      <x:c r="G4611" s="4" t="str">
        <x:v>UNIT-04610</x:v>
      </x:c>
      <x:c r="H4611" s="9" t="n">
        <x:v>4100000</x:v>
      </x:c>
      <x:c r="I4611" s="10" t="n">
        <x:v>0.11</x:v>
      </x:c>
      <x:c r="J4611" s="11" t="n">
        <x:v>11</x:v>
      </x:c>
      <x:c r="K4611" s="11" t="n">
        <x:v>9</x:v>
      </x:c>
      <x:c r="L4611" s="11" t="n">
        <x:v>0</x:v>
      </x:c>
      <x:c r="M4611" s="9" t="n">
        <x:f>ROUND(H4611*(1-I4611),2)</x:f>
        <x:v>3649000</x:v>
      </x:c>
      <x:c r="N4611" s="4" t="str">
        <x:v>Sales head</x:v>
      </x:c>
      <x:c r="O4611" s="4"/>
      <x:c r="P4611" s="9" t="n">
        <x:v>0</x:v>
      </x:c>
      <x:c r="Q4611" s="11" t="n">
        <x:v>1</x:v>
      </x:c>
      <x:c r="R4611" s="8" t="n">
        <x:v>45643</x:v>
      </x:c>
      <x:c r="S4611" s="4" t="str">
        <x:v>Lost / cancelled</x:v>
      </x:c>
      <x:c r="T4611" s="10" t="n">
        <x:v>0.351536</x:v>
      </x:c>
      <x:c r="U4611" s="4" t="str">
        <x:v>Test</x:v>
      </x:c>
    </x:row>
    <x:row r="4612" ht="34" customHeight="1">
      <x:c r="A4612" s="4" t="str">
        <x:v>RS-04611</x:v>
      </x:c>
      <x:c r="B4612" s="8" t="n">
        <x:v>45584</x:v>
      </x:c>
      <x:c r="C4612" s="4" t="str">
        <x:v>PRJ-011</x:v>
      </x:c>
      <x:c r="D4612" s="4" t="str">
        <x:v>Villa</x:v>
      </x:c>
      <x:c r="E4612" s="4" t="str">
        <x:v>Agreement signed</x:v>
      </x:c>
      <x:c r="F4612" s="4" t="str">
        <x:v>CUS-04611</x:v>
      </x:c>
      <x:c r="G4612" s="4" t="str">
        <x:v>UNIT-04611</x:v>
      </x:c>
      <x:c r="H4612" s="9" t="n">
        <x:v>23600000</x:v>
      </x:c>
      <x:c r="I4612" s="10" t="n">
        <x:v>0.06</x:v>
      </x:c>
      <x:c r="J4612" s="11" t="n">
        <x:v>4</x:v>
      </x:c>
      <x:c r="K4612" s="11" t="n">
        <x:v>3</x:v>
      </x:c>
      <x:c r="L4612" s="11" t="n">
        <x:v>1</x:v>
      </x:c>
      <x:c r="M4612" s="9" t="n">
        <x:f>ROUND(H4612*(1-I4612),2)</x:f>
        <x:v>22184000</x:v>
      </x:c>
      <x:c r="N4612" s="4" t="str">
        <x:v>Sales manager</x:v>
      </x:c>
      <x:c r="O4612" s="4" t="str">
        <x:v>BOOK-04611</x:v>
      </x:c>
      <x:c r="P4612" s="9" t="n">
        <x:v>22184000</x:v>
      </x:c>
      <x:c r="Q4612" s="11" t="n">
        <x:v>0</x:v>
      </x:c>
      <x:c r="R4612" s="8" t="n">
        <x:v>45644</x:v>
      </x:c>
      <x:c r="S4612" s="4" t="str">
        <x:v>Retained</x:v>
      </x:c>
      <x:c r="T4612" s="10" t="n">
        <x:v>0.291946</x:v>
      </x:c>
      <x:c r="U4612" s="4" t="str">
        <x:v>Test</x:v>
      </x:c>
    </x:row>
    <x:row r="4613" ht="34" customHeight="1">
      <x:c r="A4613" s="4" t="str">
        <x:v>RS-04612</x:v>
      </x:c>
      <x:c r="B4613" s="8" t="n">
        <x:v>45585</x:v>
      </x:c>
      <x:c r="C4613" s="4" t="str">
        <x:v>PRJ-012</x:v>
      </x:c>
      <x:c r="D4613" s="4" t="str">
        <x:v>Office</x:v>
      </x:c>
      <x:c r="E4613" s="4" t="str">
        <x:v>Reserved</x:v>
      </x:c>
      <x:c r="F4613" s="4" t="str">
        <x:v>CUS-04612</x:v>
      </x:c>
      <x:c r="G4613" s="4" t="str">
        <x:v>UNIT-04612</x:v>
      </x:c>
      <x:c r="H4613" s="9" t="n">
        <x:v>24200000</x:v>
      </x:c>
      <x:c r="I4613" s="10" t="n">
        <x:v>0.07</x:v>
      </x:c>
      <x:c r="J4613" s="11" t="n">
        <x:v>8</x:v>
      </x:c>
      <x:c r="K4613" s="11" t="n">
        <x:v>7</x:v>
      </x:c>
      <x:c r="L4613" s="11" t="n">
        <x:v>0</x:v>
      </x:c>
      <x:c r="M4613" s="9" t="n">
        <x:f>ROUND(H4613*(1-I4613),2)</x:f>
        <x:v>22506000</x:v>
      </x:c>
      <x:c r="N4613" s="4" t="str">
        <x:v>Sales manager</x:v>
      </x:c>
      <x:c r="O4613" s="4"/>
      <x:c r="P4613" s="9" t="n">
        <x:v>0</x:v>
      </x:c>
      <x:c r="Q4613" s="11" t="n">
        <x:v>0</x:v>
      </x:c>
      <x:c r="R4613" s="8" t="n">
        <x:v>45645</x:v>
      </x:c>
      <x:c r="S4613" s="4" t="str">
        <x:v>Retained</x:v>
      </x:c>
      <x:c r="T4613" s="10" t="n">
        <x:v>0.310195</x:v>
      </x:c>
      <x:c r="U4613" s="4" t="str">
        <x:v>Test</x:v>
      </x:c>
    </x:row>
    <x:row r="4614" ht="34" customHeight="1">
      <x:c r="A4614" s="4" t="str">
        <x:v>RS-04613</x:v>
      </x:c>
      <x:c r="B4614" s="8" t="n">
        <x:v>45586</x:v>
      </x:c>
      <x:c r="C4614" s="4" t="str">
        <x:v>PRJ-013</x:v>
      </x:c>
      <x:c r="D4614" s="4" t="str">
        <x:v>Retail</x:v>
      </x:c>
      <x:c r="E4614" s="4" t="str">
        <x:v>Reserved</x:v>
      </x:c>
      <x:c r="F4614" s="4" t="str">
        <x:v>CUS-04613</x:v>
      </x:c>
      <x:c r="G4614" s="4" t="str">
        <x:v>UNIT-04613</x:v>
      </x:c>
      <x:c r="H4614" s="9" t="n">
        <x:v>10600000</x:v>
      </x:c>
      <x:c r="I4614" s="10" t="n">
        <x:v>0.05</x:v>
      </x:c>
      <x:c r="J4614" s="11" t="n">
        <x:v>2</x:v>
      </x:c>
      <x:c r="K4614" s="11" t="n">
        <x:v>4</x:v>
      </x:c>
      <x:c r="L4614" s="11" t="n">
        <x:v>0</x:v>
      </x:c>
      <x:c r="M4614" s="9" t="n">
        <x:f>ROUND(H4614*(1-I4614),2)</x:f>
        <x:v>10070000</x:v>
      </x:c>
      <x:c r="N4614" s="4" t="str">
        <x:v>Sales manager</x:v>
      </x:c>
      <x:c r="O4614" s="4"/>
      <x:c r="P4614" s="9" t="n">
        <x:v>0</x:v>
      </x:c>
      <x:c r="Q4614" s="11" t="n">
        <x:v>0</x:v>
      </x:c>
      <x:c r="R4614" s="8" t="n">
        <x:v>45646</x:v>
      </x:c>
      <x:c r="S4614" s="4" t="str">
        <x:v>Retained</x:v>
      </x:c>
      <x:c r="T4614" s="10" t="n">
        <x:v>0.204152</x:v>
      </x:c>
      <x:c r="U4614" s="4" t="str">
        <x:v>Test</x:v>
      </x:c>
    </x:row>
    <x:row r="4615" ht="34" customHeight="1">
      <x:c r="A4615" s="4" t="str">
        <x:v>RS-04614</x:v>
      </x:c>
      <x:c r="B4615" s="8" t="n">
        <x:v>45587</x:v>
      </x:c>
      <x:c r="C4615" s="4" t="str">
        <x:v>PRJ-014</x:v>
      </x:c>
      <x:c r="D4615" s="4" t="str">
        <x:v>Apartment</x:v>
      </x:c>
      <x:c r="E4615" s="4" t="str">
        <x:v>Cancelled</x:v>
      </x:c>
      <x:c r="F4615" s="4" t="str">
        <x:v>CUS-04614</x:v>
      </x:c>
      <x:c r="G4615" s="4" t="str">
        <x:v>UNIT-04614</x:v>
      </x:c>
      <x:c r="H4615" s="9" t="n">
        <x:v>13300000</x:v>
      </x:c>
      <x:c r="I4615" s="10" t="n">
        <x:v>0.04</x:v>
      </x:c>
      <x:c r="J4615" s="11" t="n">
        <x:v>4</x:v>
      </x:c>
      <x:c r="K4615" s="11" t="n">
        <x:v>10</x:v>
      </x:c>
      <x:c r="L4615" s="11" t="n">
        <x:v>1</x:v>
      </x:c>
      <x:c r="M4615" s="9" t="n">
        <x:f>ROUND(H4615*(1-I4615),2)</x:f>
        <x:v>12768000</x:v>
      </x:c>
      <x:c r="N4615" s="4" t="str">
        <x:v>Sales manager</x:v>
      </x:c>
      <x:c r="O4615" s="4"/>
      <x:c r="P4615" s="9" t="n">
        <x:v>0</x:v>
      </x:c>
      <x:c r="Q4615" s="11" t="n">
        <x:v>1</x:v>
      </x:c>
      <x:c r="R4615" s="8" t="n">
        <x:v>45647</x:v>
      </x:c>
      <x:c r="S4615" s="4" t="str">
        <x:v>Lost / cancelled</x:v>
      </x:c>
      <x:c r="T4615" s="10" t="n">
        <x:v>0.291946</x:v>
      </x:c>
      <x:c r="U4615" s="4" t="str">
        <x:v>Test</x:v>
      </x:c>
    </x:row>
    <x:row r="4616" ht="34" customHeight="1">
      <x:c r="A4616" s="4" t="str">
        <x:v>RS-04615</x:v>
      </x:c>
      <x:c r="B4616" s="8" t="n">
        <x:v>45588</x:v>
      </x:c>
      <x:c r="C4616" s="4" t="str">
        <x:v>PRJ-015</x:v>
      </x:c>
      <x:c r="D4616" s="4" t="str">
        <x:v>Office</x:v>
      </x:c>
      <x:c r="E4616" s="4" t="str">
        <x:v>Enquiry</x:v>
      </x:c>
      <x:c r="F4616" s="4" t="str">
        <x:v>CUS-04615</x:v>
      </x:c>
      <x:c r="G4616" s="4" t="str">
        <x:v>UNIT-04615</x:v>
      </x:c>
      <x:c r="H4616" s="9" t="n">
        <x:v>11900000</x:v>
      </x:c>
      <x:c r="I4616" s="10" t="n">
        <x:v>0.09</x:v>
      </x:c>
      <x:c r="J4616" s="11" t="n">
        <x:v>9</x:v>
      </x:c>
      <x:c r="K4616" s="11" t="n">
        <x:v>1</x:v>
      </x:c>
      <x:c r="L4616" s="11" t="n">
        <x:v>0</x:v>
      </x:c>
      <x:c r="M4616" s="9" t="n">
        <x:f>ROUND(H4616*(1-I4616),2)</x:f>
        <x:v>10829000</x:v>
      </x:c>
      <x:c r="N4616" s="4" t="str">
        <x:v>Sales head</x:v>
      </x:c>
      <x:c r="O4616" s="4"/>
      <x:c r="P4616" s="9" t="n">
        <x:v>0</x:v>
      </x:c>
      <x:c r="Q4616" s="11" t="n">
        <x:v>0</x:v>
      </x:c>
      <x:c r="R4616" s="8" t="n">
        <x:v>45648</x:v>
      </x:c>
      <x:c r="S4616" s="4" t="str">
        <x:v>Retained</x:v>
      </x:c>
      <x:c r="T4616" s="10" t="n">
        <x:v>0.310195</x:v>
      </x:c>
      <x:c r="U4616" s="4" t="str">
        <x:v>Test</x:v>
      </x:c>
    </x:row>
    <x:row r="4617" ht="34" customHeight="1">
      <x:c r="A4617" s="4" t="str">
        <x:v>RS-04616</x:v>
      </x:c>
      <x:c r="B4617" s="8" t="n">
        <x:v>45589</x:v>
      </x:c>
      <x:c r="C4617" s="4" t="str">
        <x:v>PRJ-016</x:v>
      </x:c>
      <x:c r="D4617" s="4" t="str">
        <x:v>Office</x:v>
      </x:c>
      <x:c r="E4617" s="4" t="str">
        <x:v>Reserved</x:v>
      </x:c>
      <x:c r="F4617" s="4" t="str">
        <x:v>CUS-04616</x:v>
      </x:c>
      <x:c r="G4617" s="4" t="str">
        <x:v>UNIT-04616</x:v>
      </x:c>
      <x:c r="H4617" s="9" t="n">
        <x:v>4700000</x:v>
      </x:c>
      <x:c r="I4617" s="10" t="n">
        <x:v>0.02</x:v>
      </x:c>
      <x:c r="J4617" s="11" t="n">
        <x:v>4</x:v>
      </x:c>
      <x:c r="K4617" s="11" t="n">
        <x:v>0</x:v>
      </x:c>
      <x:c r="L4617" s="11" t="n">
        <x:v>1</x:v>
      </x:c>
      <x:c r="M4617" s="9" t="n">
        <x:f>ROUND(H4617*(1-I4617),2)</x:f>
        <x:v>4606000</x:v>
      </x:c>
      <x:c r="N4617" s="4" t="str">
        <x:v>Sales manager</x:v>
      </x:c>
      <x:c r="O4617" s="4"/>
      <x:c r="P4617" s="9" t="n">
        <x:v>0</x:v>
      </x:c>
      <x:c r="Q4617" s="11" t="n">
        <x:v>0</x:v>
      </x:c>
      <x:c r="R4617" s="8" t="n">
        <x:v>45649</x:v>
      </x:c>
      <x:c r="S4617" s="4" t="str">
        <x:v>Retained</x:v>
      </x:c>
      <x:c r="T4617" s="10" t="n">
        <x:v>0.298969</x:v>
      </x:c>
      <x:c r="U4617" s="4" t="str">
        <x:v>Test</x:v>
      </x:c>
    </x:row>
    <x:row r="4618" ht="34" customHeight="1">
      <x:c r="A4618" s="4" t="str">
        <x:v>RS-04617</x:v>
      </x:c>
      <x:c r="B4618" s="8" t="n">
        <x:v>45590</x:v>
      </x:c>
      <x:c r="C4618" s="4" t="str">
        <x:v>PRJ-017</x:v>
      </x:c>
      <x:c r="D4618" s="4" t="str">
        <x:v>Apartment</x:v>
      </x:c>
      <x:c r="E4618" s="4" t="str">
        <x:v>Reserved</x:v>
      </x:c>
      <x:c r="F4618" s="4" t="str">
        <x:v>CUS-04617</x:v>
      </x:c>
      <x:c r="G4618" s="4" t="str">
        <x:v>UNIT-04617</x:v>
      </x:c>
      <x:c r="H4618" s="9" t="n">
        <x:v>24600000</x:v>
      </x:c>
      <x:c r="I4618" s="10" t="n">
        <x:v>0.06</x:v>
      </x:c>
      <x:c r="J4618" s="11" t="n">
        <x:v>10</x:v>
      </x:c>
      <x:c r="K4618" s="11" t="n">
        <x:v>1</x:v>
      </x:c>
      <x:c r="L4618" s="11" t="n">
        <x:v>0</x:v>
      </x:c>
      <x:c r="M4618" s="9" t="n">
        <x:f>ROUND(H4618*(1-I4618),2)</x:f>
        <x:v>23124000</x:v>
      </x:c>
      <x:c r="N4618" s="4" t="str">
        <x:v>Sales manager</x:v>
      </x:c>
      <x:c r="O4618" s="4"/>
      <x:c r="P4618" s="9" t="n">
        <x:v>0</x:v>
      </x:c>
      <x:c r="Q4618" s="11" t="n">
        <x:v>1</x:v>
      </x:c>
      <x:c r="R4618" s="8" t="n">
        <x:v>45650</x:v>
      </x:c>
      <x:c r="S4618" s="4" t="str">
        <x:v>Lost / cancelled</x:v>
      </x:c>
      <x:c r="T4618" s="10" t="n">
        <x:v>0.310195</x:v>
      </x:c>
      <x:c r="U4618" s="4" t="str">
        <x:v>Test</x:v>
      </x:c>
    </x:row>
    <x:row r="4619" ht="34" customHeight="1">
      <x:c r="A4619" s="4" t="str">
        <x:v>RS-04618</x:v>
      </x:c>
      <x:c r="B4619" s="8" t="n">
        <x:v>45591</x:v>
      </x:c>
      <x:c r="C4619" s="4" t="str">
        <x:v>PRJ-018</x:v>
      </x:c>
      <x:c r="D4619" s="4" t="str">
        <x:v>Villa</x:v>
      </x:c>
      <x:c r="E4619" s="4" t="str">
        <x:v>Handed over</x:v>
      </x:c>
      <x:c r="F4619" s="4" t="str">
        <x:v>CUS-04618</x:v>
      </x:c>
      <x:c r="G4619" s="4" t="str">
        <x:v>UNIT-04618</x:v>
      </x:c>
      <x:c r="H4619" s="9" t="n">
        <x:v>11300000</x:v>
      </x:c>
      <x:c r="I4619" s="10" t="n">
        <x:v>0.06</x:v>
      </x:c>
      <x:c r="J4619" s="11" t="n">
        <x:v>6</x:v>
      </x:c>
      <x:c r="K4619" s="11" t="n">
        <x:v>10</x:v>
      </x:c>
      <x:c r="L4619" s="11" t="n">
        <x:v>1</x:v>
      </x:c>
      <x:c r="M4619" s="9" t="n">
        <x:f>ROUND(H4619*(1-I4619),2)</x:f>
        <x:v>10622000</x:v>
      </x:c>
      <x:c r="N4619" s="4" t="str">
        <x:v>Sales manager</x:v>
      </x:c>
      <x:c r="O4619" s="4" t="str">
        <x:v>BOOK-04618</x:v>
      </x:c>
      <x:c r="P4619" s="9" t="n">
        <x:v>5311000</x:v>
      </x:c>
      <x:c r="Q4619" s="11" t="n">
        <x:v>0</x:v>
      </x:c>
      <x:c r="R4619" s="8" t="n">
        <x:v>45651</x:v>
      </x:c>
      <x:c r="S4619" s="4" t="str">
        <x:v>Retained</x:v>
      </x:c>
      <x:c r="T4619" s="10" t="n">
        <x:v>0.291946</x:v>
      </x:c>
      <x:c r="U4619" s="4" t="str">
        <x:v>Test</x:v>
      </x:c>
    </x:row>
    <x:row r="4620" ht="34" customHeight="1">
      <x:c r="A4620" s="4" t="str">
        <x:v>RS-04619</x:v>
      </x:c>
      <x:c r="B4620" s="8" t="n">
        <x:v>45592</x:v>
      </x:c>
      <x:c r="C4620" s="4" t="str">
        <x:v>PRJ-019</x:v>
      </x:c>
      <x:c r="D4620" s="4" t="str">
        <x:v>Retail</x:v>
      </x:c>
      <x:c r="E4620" s="4" t="str">
        <x:v>Enquiry</x:v>
      </x:c>
      <x:c r="F4620" s="4" t="str">
        <x:v>CUS-04619</x:v>
      </x:c>
      <x:c r="G4620" s="4" t="str">
        <x:v>UNIT-04619</x:v>
      </x:c>
      <x:c r="H4620" s="9" t="n">
        <x:v>18600000</x:v>
      </x:c>
      <x:c r="I4620" s="10" t="n">
        <x:v>0.12</x:v>
      </x:c>
      <x:c r="J4620" s="11" t="n">
        <x:v>11</x:v>
      </x:c>
      <x:c r="K4620" s="11" t="n">
        <x:v>4</x:v>
      </x:c>
      <x:c r="L4620" s="11" t="n">
        <x:v>1</x:v>
      </x:c>
      <x:c r="M4620" s="9" t="n">
        <x:f>ROUND(H4620*(1-I4620),2)</x:f>
        <x:v>16368000</x:v>
      </x:c>
      <x:c r="N4620" s="4" t="str">
        <x:v>Sales head</x:v>
      </x:c>
      <x:c r="O4620" s="4"/>
      <x:c r="P4620" s="9" t="n">
        <x:v>0</x:v>
      </x:c>
      <x:c r="Q4620" s="11" t="n">
        <x:v>1</x:v>
      </x:c>
      <x:c r="R4620" s="8" t="n">
        <x:v>45652</x:v>
      </x:c>
      <x:c r="S4620" s="4" t="str">
        <x:v>Lost / cancelled</x:v>
      </x:c>
      <x:c r="T4620" s="10" t="n">
        <x:v>0.351536</x:v>
      </x:c>
      <x:c r="U4620" s="4" t="str">
        <x:v>Test</x:v>
      </x:c>
    </x:row>
    <x:row r="4621" ht="34" customHeight="1">
      <x:c r="A4621" s="4" t="str">
        <x:v>RS-04620</x:v>
      </x:c>
      <x:c r="B4621" s="8" t="n">
        <x:v>45593</x:v>
      </x:c>
      <x:c r="C4621" s="4" t="str">
        <x:v>PRJ-020</x:v>
      </x:c>
      <x:c r="D4621" s="4" t="str">
        <x:v>Villa</x:v>
      </x:c>
      <x:c r="E4621" s="4" t="str">
        <x:v>Cancelled</x:v>
      </x:c>
      <x:c r="F4621" s="4" t="str">
        <x:v>CUS-04620</x:v>
      </x:c>
      <x:c r="G4621" s="4" t="str">
        <x:v>UNIT-04620</x:v>
      </x:c>
      <x:c r="H4621" s="9" t="n">
        <x:v>5100000</x:v>
      </x:c>
      <x:c r="I4621" s="10" t="n">
        <x:v>0.11</x:v>
      </x:c>
      <x:c r="J4621" s="11" t="n">
        <x:v>6</x:v>
      </x:c>
      <x:c r="K4621" s="11" t="n">
        <x:v>6</x:v>
      </x:c>
      <x:c r="L4621" s="11" t="n">
        <x:v>1</x:v>
      </x:c>
      <x:c r="M4621" s="9" t="n">
        <x:f>ROUND(H4621*(1-I4621),2)</x:f>
        <x:v>4539000</x:v>
      </x:c>
      <x:c r="N4621" s="4" t="str">
        <x:v>Sales head</x:v>
      </x:c>
      <x:c r="O4621" s="4"/>
      <x:c r="P4621" s="9" t="n">
        <x:v>0</x:v>
      </x:c>
      <x:c r="Q4621" s="11" t="n">
        <x:v>1</x:v>
      </x:c>
      <x:c r="R4621" s="8" t="n">
        <x:v>45653</x:v>
      </x:c>
      <x:c r="S4621" s="4" t="str">
        <x:v>Lost / cancelled</x:v>
      </x:c>
      <x:c r="T4621" s="10" t="n">
        <x:v>0.291946</x:v>
      </x:c>
      <x:c r="U4621" s="4" t="str">
        <x:v>Test</x:v>
      </x:c>
    </x:row>
    <x:row r="4622" ht="34" customHeight="1">
      <x:c r="A4622" s="4" t="str">
        <x:v>RS-04621</x:v>
      </x:c>
      <x:c r="B4622" s="8" t="n">
        <x:v>45566</x:v>
      </x:c>
      <x:c r="C4622" s="4" t="str">
        <x:v>PRJ-001</x:v>
      </x:c>
      <x:c r="D4622" s="4" t="str">
        <x:v>Office</x:v>
      </x:c>
      <x:c r="E4622" s="4" t="str">
        <x:v>Booked</x:v>
      </x:c>
      <x:c r="F4622" s="4" t="str">
        <x:v>CUS-04621</x:v>
      </x:c>
      <x:c r="G4622" s="4" t="str">
        <x:v>UNIT-04621</x:v>
      </x:c>
      <x:c r="H4622" s="9" t="n">
        <x:v>22500000</x:v>
      </x:c>
      <x:c r="I4622" s="10" t="n">
        <x:v>0.05</x:v>
      </x:c>
      <x:c r="J4622" s="11" t="n">
        <x:v>7</x:v>
      </x:c>
      <x:c r="K4622" s="11" t="n">
        <x:v>4</x:v>
      </x:c>
      <x:c r="L4622" s="11" t="n">
        <x:v>0</x:v>
      </x:c>
      <x:c r="M4622" s="9" t="n">
        <x:f>ROUND(H4622*(1-I4622),2)</x:f>
        <x:v>21375000</x:v>
      </x:c>
      <x:c r="N4622" s="4" t="str">
        <x:v>Sales manager</x:v>
      </x:c>
      <x:c r="O4622" s="4" t="str">
        <x:v>BOOK-04621</x:v>
      </x:c>
      <x:c r="P4622" s="9" t="n">
        <x:v>2137500</x:v>
      </x:c>
      <x:c r="Q4622" s="11" t="n">
        <x:v>0</x:v>
      </x:c>
      <x:c r="R4622" s="8" t="n">
        <x:v>45626</x:v>
      </x:c>
      <x:c r="S4622" s="4" t="str">
        <x:v>Retained</x:v>
      </x:c>
      <x:c r="T4622" s="10" t="n">
        <x:v>0.226277</x:v>
      </x:c>
      <x:c r="U4622" s="4" t="str">
        <x:v>Test</x:v>
      </x:c>
    </x:row>
    <x:row r="4623" ht="34" customHeight="1">
      <x:c r="A4623" s="4" t="str">
        <x:v>RS-04622</x:v>
      </x:c>
      <x:c r="B4623" s="8" t="n">
        <x:v>45567</x:v>
      </x:c>
      <x:c r="C4623" s="4" t="str">
        <x:v>PRJ-002</x:v>
      </x:c>
      <x:c r="D4623" s="4" t="str">
        <x:v>Villa</x:v>
      </x:c>
      <x:c r="E4623" s="4" t="str">
        <x:v>Agreement signed</x:v>
      </x:c>
      <x:c r="F4623" s="4" t="str">
        <x:v>CUS-04622</x:v>
      </x:c>
      <x:c r="G4623" s="4" t="str">
        <x:v>UNIT-04622</x:v>
      </x:c>
      <x:c r="H4623" s="9" t="n">
        <x:v>23300000</x:v>
      </x:c>
      <x:c r="I4623" s="10" t="n">
        <x:v>0.06</x:v>
      </x:c>
      <x:c r="J4623" s="11" t="n">
        <x:v>6</x:v>
      </x:c>
      <x:c r="K4623" s="11" t="n">
        <x:v>10</x:v>
      </x:c>
      <x:c r="L4623" s="11" t="n">
        <x:v>1</x:v>
      </x:c>
      <x:c r="M4623" s="9" t="n">
        <x:f>ROUND(H4623*(1-I4623),2)</x:f>
        <x:v>21902000</x:v>
      </x:c>
      <x:c r="N4623" s="4" t="str">
        <x:v>Sales manager</x:v>
      </x:c>
      <x:c r="O4623" s="4" t="str">
        <x:v>BOOK-04622</x:v>
      </x:c>
      <x:c r="P4623" s="9" t="n">
        <x:v>5475500</x:v>
      </x:c>
      <x:c r="Q4623" s="11" t="n">
        <x:v>0</x:v>
      </x:c>
      <x:c r="R4623" s="8" t="n">
        <x:v>45627</x:v>
      </x:c>
      <x:c r="S4623" s="4" t="str">
        <x:v>Retained</x:v>
      </x:c>
      <x:c r="T4623" s="10" t="n">
        <x:v>0.291946</x:v>
      </x:c>
      <x:c r="U4623" s="4" t="str">
        <x:v>Test</x:v>
      </x:c>
    </x:row>
    <x:row r="4624" ht="34" customHeight="1">
      <x:c r="A4624" s="4" t="str">
        <x:v>RS-04623</x:v>
      </x:c>
      <x:c r="B4624" s="8" t="n">
        <x:v>45568</x:v>
      </x:c>
      <x:c r="C4624" s="4" t="str">
        <x:v>PRJ-003</x:v>
      </x:c>
      <x:c r="D4624" s="4" t="str">
        <x:v>Villa</x:v>
      </x:c>
      <x:c r="E4624" s="4" t="str">
        <x:v>Reserved</x:v>
      </x:c>
      <x:c r="F4624" s="4" t="str">
        <x:v>CUS-04623</x:v>
      </x:c>
      <x:c r="G4624" s="4" t="str">
        <x:v>UNIT-04623</x:v>
      </x:c>
      <x:c r="H4624" s="9" t="n">
        <x:v>11300000</x:v>
      </x:c>
      <x:c r="I4624" s="10" t="n">
        <x:v>0.11</x:v>
      </x:c>
      <x:c r="J4624" s="11" t="n">
        <x:v>8</x:v>
      </x:c>
      <x:c r="K4624" s="11" t="n">
        <x:v>2</x:v>
      </x:c>
      <x:c r="L4624" s="11" t="n">
        <x:v>1</x:v>
      </x:c>
      <x:c r="M4624" s="9" t="n">
        <x:f>ROUND(H4624*(1-I4624),2)</x:f>
        <x:v>10057000</x:v>
      </x:c>
      <x:c r="N4624" s="4" t="str">
        <x:v>Sales head</x:v>
      </x:c>
      <x:c r="O4624" s="4"/>
      <x:c r="P4624" s="9" t="n">
        <x:v>0</x:v>
      </x:c>
      <x:c r="Q4624" s="11" t="n">
        <x:v>0</x:v>
      </x:c>
      <x:c r="R4624" s="8" t="n">
        <x:v>45628</x:v>
      </x:c>
      <x:c r="S4624" s="4" t="str">
        <x:v>Retained</x:v>
      </x:c>
      <x:c r="T4624" s="10" t="n">
        <x:v>0.310195</x:v>
      </x:c>
      <x:c r="U4624" s="4" t="str">
        <x:v>Test</x:v>
      </x:c>
    </x:row>
    <x:row r="4625" ht="34" customHeight="1">
      <x:c r="A4625" s="4" t="str">
        <x:v>RS-04624</x:v>
      </x:c>
      <x:c r="B4625" s="8" t="n">
        <x:v>45569</x:v>
      </x:c>
      <x:c r="C4625" s="4" t="str">
        <x:v>PRJ-004</x:v>
      </x:c>
      <x:c r="D4625" s="4" t="str">
        <x:v>Office</x:v>
      </x:c>
      <x:c r="E4625" s="4" t="str">
        <x:v>Cancelled</x:v>
      </x:c>
      <x:c r="F4625" s="4" t="str">
        <x:v>CUS-04624</x:v>
      </x:c>
      <x:c r="G4625" s="4" t="str">
        <x:v>UNIT-04624</x:v>
      </x:c>
      <x:c r="H4625" s="9" t="n">
        <x:v>5400000</x:v>
      </x:c>
      <x:c r="I4625" s="10" t="n">
        <x:v>0.01</x:v>
      </x:c>
      <x:c r="J4625" s="11" t="n">
        <x:v>3</x:v>
      </x:c>
      <x:c r="K4625" s="11" t="n">
        <x:v>7</x:v>
      </x:c>
      <x:c r="L4625" s="11" t="n">
        <x:v>0</x:v>
      </x:c>
      <x:c r="M4625" s="9" t="n">
        <x:f>ROUND(H4625*(1-I4625),2)</x:f>
        <x:v>5346000</x:v>
      </x:c>
      <x:c r="N4625" s="4" t="str">
        <x:v>Sales manager</x:v>
      </x:c>
      <x:c r="O4625" s="4"/>
      <x:c r="P4625" s="9" t="n">
        <x:v>0</x:v>
      </x:c>
      <x:c r="Q4625" s="11" t="n">
        <x:v>1</x:v>
      </x:c>
      <x:c r="R4625" s="8" t="n">
        <x:v>45629</x:v>
      </x:c>
      <x:c r="S4625" s="4" t="str">
        <x:v>Lost / cancelled</x:v>
      </x:c>
      <x:c r="T4625" s="10" t="n">
        <x:v>0.171717</x:v>
      </x:c>
      <x:c r="U4625" s="4" t="str">
        <x:v>Test</x:v>
      </x:c>
    </x:row>
    <x:row r="4626" ht="34" customHeight="1">
      <x:c r="A4626" s="4" t="str">
        <x:v>RS-04625</x:v>
      </x:c>
      <x:c r="B4626" s="8" t="n">
        <x:v>45570</x:v>
      </x:c>
      <x:c r="C4626" s="4" t="str">
        <x:v>PRJ-005</x:v>
      </x:c>
      <x:c r="D4626" s="4" t="str">
        <x:v>Villa</x:v>
      </x:c>
      <x:c r="E4626" s="4" t="str">
        <x:v>Reserved</x:v>
      </x:c>
      <x:c r="F4626" s="4" t="str">
        <x:v>CUS-04625</x:v>
      </x:c>
      <x:c r="G4626" s="4" t="str">
        <x:v>UNIT-04625</x:v>
      </x:c>
      <x:c r="H4626" s="9" t="n">
        <x:v>20400000</x:v>
      </x:c>
      <x:c r="I4626" s="10" t="n">
        <x:v>0.11</x:v>
      </x:c>
      <x:c r="J4626" s="11" t="n">
        <x:v>1</x:v>
      </x:c>
      <x:c r="K4626" s="11" t="n">
        <x:v>4</x:v>
      </x:c>
      <x:c r="L4626" s="11" t="n">
        <x:v>1</x:v>
      </x:c>
      <x:c r="M4626" s="9" t="n">
        <x:f>ROUND(H4626*(1-I4626),2)</x:f>
        <x:v>18156000</x:v>
      </x:c>
      <x:c r="N4626" s="4" t="str">
        <x:v>Sales head</x:v>
      </x:c>
      <x:c r="O4626" s="4"/>
      <x:c r="P4626" s="9" t="n">
        <x:v>0</x:v>
      </x:c>
      <x:c r="Q4626" s="11" t="n">
        <x:v>0</x:v>
      </x:c>
      <x:c r="R4626" s="8" t="n">
        <x:v>45630</x:v>
      </x:c>
      <x:c r="S4626" s="4" t="str">
        <x:v>Retained</x:v>
      </x:c>
      <x:c r="T4626" s="10" t="n">
        <x:v>0.145833</x:v>
      </x:c>
      <x:c r="U4626" s="4" t="str">
        <x:v>Test</x:v>
      </x:c>
    </x:row>
    <x:row r="4627" ht="34" customHeight="1">
      <x:c r="A4627" s="4" t="str">
        <x:v>RS-04626</x:v>
      </x:c>
      <x:c r="B4627" s="8" t="n">
        <x:v>45571</x:v>
      </x:c>
      <x:c r="C4627" s="4" t="str">
        <x:v>PRJ-006</x:v>
      </x:c>
      <x:c r="D4627" s="4" t="str">
        <x:v>Retail</x:v>
      </x:c>
      <x:c r="E4627" s="4" t="str">
        <x:v>Handed over</x:v>
      </x:c>
      <x:c r="F4627" s="4" t="str">
        <x:v>CUS-04626</x:v>
      </x:c>
      <x:c r="G4627" s="4" t="str">
        <x:v>UNIT-04626</x:v>
      </x:c>
      <x:c r="H4627" s="9" t="n">
        <x:v>16900000</x:v>
      </x:c>
      <x:c r="I4627" s="10" t="n">
        <x:v>0.08</x:v>
      </x:c>
      <x:c r="J4627" s="11" t="n">
        <x:v>11</x:v>
      </x:c>
      <x:c r="K4627" s="11" t="n">
        <x:v>4</x:v>
      </x:c>
      <x:c r="L4627" s="11" t="n">
        <x:v>0</x:v>
      </x:c>
      <x:c r="M4627" s="9" t="n">
        <x:f>ROUND(H4627*(1-I4627),2)</x:f>
        <x:v>15548000</x:v>
      </x:c>
      <x:c r="N4627" s="4" t="str">
        <x:v>Sales head</x:v>
      </x:c>
      <x:c r="O4627" s="4" t="str">
        <x:v>BOOK-04626</x:v>
      </x:c>
      <x:c r="P4627" s="9" t="n">
        <x:v>7774000</x:v>
      </x:c>
      <x:c r="Q4627" s="11" t="n">
        <x:v>0</x:v>
      </x:c>
      <x:c r="R4627" s="8" t="n">
        <x:v>45631</x:v>
      </x:c>
      <x:c r="S4627" s="4" t="str">
        <x:v>Retained</x:v>
      </x:c>
      <x:c r="T4627" s="10" t="n">
        <x:v>0.351536</x:v>
      </x:c>
      <x:c r="U4627" s="4" t="str">
        <x:v>Test</x:v>
      </x:c>
    </x:row>
    <x:row r="4628" ht="34" customHeight="1">
      <x:c r="A4628" s="4" t="str">
        <x:v>RS-04627</x:v>
      </x:c>
      <x:c r="B4628" s="8" t="n">
        <x:v>45572</x:v>
      </x:c>
      <x:c r="C4628" s="4" t="str">
        <x:v>PRJ-007</x:v>
      </x:c>
      <x:c r="D4628" s="4" t="str">
        <x:v>Retail</x:v>
      </x:c>
      <x:c r="E4628" s="4" t="str">
        <x:v>Agreement signed</x:v>
      </x:c>
      <x:c r="F4628" s="4" t="str">
        <x:v>CUS-04627</x:v>
      </x:c>
      <x:c r="G4628" s="4" t="str">
        <x:v>UNIT-04627</x:v>
      </x:c>
      <x:c r="H4628" s="9" t="n">
        <x:v>5000000</x:v>
      </x:c>
      <x:c r="I4628" s="10" t="n">
        <x:v>0.05</x:v>
      </x:c>
      <x:c r="J4628" s="11" t="n">
        <x:v>4</x:v>
      </x:c>
      <x:c r="K4628" s="11" t="n">
        <x:v>4</x:v>
      </x:c>
      <x:c r="L4628" s="11" t="n">
        <x:v>1</x:v>
      </x:c>
      <x:c r="M4628" s="9" t="n">
        <x:f>ROUND(H4628*(1-I4628),2)</x:f>
        <x:v>4750000</x:v>
      </x:c>
      <x:c r="N4628" s="4" t="str">
        <x:v>Sales manager</x:v>
      </x:c>
      <x:c r="O4628" s="4" t="str">
        <x:v>BOOK-04627</x:v>
      </x:c>
      <x:c r="P4628" s="9" t="n">
        <x:v>4750000</x:v>
      </x:c>
      <x:c r="Q4628" s="11" t="n">
        <x:v>0</x:v>
      </x:c>
      <x:c r="R4628" s="8" t="n">
        <x:v>45632</x:v>
      </x:c>
      <x:c r="S4628" s="4" t="str">
        <x:v>Retained</x:v>
      </x:c>
      <x:c r="T4628" s="10" t="n">
        <x:v>0.291946</x:v>
      </x:c>
      <x:c r="U4628" s="4" t="str">
        <x:v>Test</x:v>
      </x:c>
    </x:row>
    <x:row r="4629" ht="34" customHeight="1">
      <x:c r="A4629" s="4" t="str">
        <x:v>RS-04628</x:v>
      </x:c>
      <x:c r="B4629" s="8" t="n">
        <x:v>45573</x:v>
      </x:c>
      <x:c r="C4629" s="4" t="str">
        <x:v>PRJ-008</x:v>
      </x:c>
      <x:c r="D4629" s="4" t="str">
        <x:v>Apartment</x:v>
      </x:c>
      <x:c r="E4629" s="4" t="str">
        <x:v>Booked</x:v>
      </x:c>
      <x:c r="F4629" s="4" t="str">
        <x:v>CUS-04628</x:v>
      </x:c>
      <x:c r="G4629" s="4" t="str">
        <x:v>UNIT-04628</x:v>
      </x:c>
      <x:c r="H4629" s="9" t="n">
        <x:v>22500000</x:v>
      </x:c>
      <x:c r="I4629" s="10" t="n">
        <x:v>0.08</x:v>
      </x:c>
      <x:c r="J4629" s="11" t="n">
        <x:v>6</x:v>
      </x:c>
      <x:c r="K4629" s="11" t="n">
        <x:v>3</x:v>
      </x:c>
      <x:c r="L4629" s="11" t="n">
        <x:v>1</x:v>
      </x:c>
      <x:c r="M4629" s="9" t="n">
        <x:f>ROUND(H4629*(1-I4629),2)</x:f>
        <x:v>20700000</x:v>
      </x:c>
      <x:c r="N4629" s="4" t="str">
        <x:v>Sales head</x:v>
      </x:c>
      <x:c r="O4629" s="4" t="str">
        <x:v>BOOK-04628</x:v>
      </x:c>
      <x:c r="P4629" s="9" t="n">
        <x:v>2070000</x:v>
      </x:c>
      <x:c r="Q4629" s="11" t="n">
        <x:v>0</x:v>
      </x:c>
      <x:c r="R4629" s="8" t="n">
        <x:v>45633</x:v>
      </x:c>
      <x:c r="S4629" s="4" t="str">
        <x:v>Retained</x:v>
      </x:c>
      <x:c r="T4629" s="10" t="n">
        <x:v>0.291946</x:v>
      </x:c>
      <x:c r="U4629" s="4" t="str">
        <x:v>Test</x:v>
      </x:c>
    </x:row>
    <x:row r="4630" ht="34" customHeight="1">
      <x:c r="A4630" s="4" t="str">
        <x:v>RS-04629</x:v>
      </x:c>
      <x:c r="B4630" s="8" t="n">
        <x:v>45574</x:v>
      </x:c>
      <x:c r="C4630" s="4" t="str">
        <x:v>PRJ-009</x:v>
      </x:c>
      <x:c r="D4630" s="4" t="str">
        <x:v>Apartment</x:v>
      </x:c>
      <x:c r="E4630" s="4" t="str">
        <x:v>Handed over</x:v>
      </x:c>
      <x:c r="F4630" s="4" t="str">
        <x:v>CUS-04629</x:v>
      </x:c>
      <x:c r="G4630" s="4" t="str">
        <x:v>UNIT-04629</x:v>
      </x:c>
      <x:c r="H4630" s="9" t="n">
        <x:v>20500000</x:v>
      </x:c>
      <x:c r="I4630" s="10" t="n">
        <x:v>0.05</x:v>
      </x:c>
      <x:c r="J4630" s="11" t="n">
        <x:v>6</x:v>
      </x:c>
      <x:c r="K4630" s="11" t="n">
        <x:v>8</x:v>
      </x:c>
      <x:c r="L4630" s="11" t="n">
        <x:v>1</x:v>
      </x:c>
      <x:c r="M4630" s="9" t="n">
        <x:f>ROUND(H4630*(1-I4630),2)</x:f>
        <x:v>19475000</x:v>
      </x:c>
      <x:c r="N4630" s="4" t="str">
        <x:v>Sales manager</x:v>
      </x:c>
      <x:c r="O4630" s="4" t="str">
        <x:v>BOOK-04629</x:v>
      </x:c>
      <x:c r="P4630" s="9" t="n">
        <x:v>19475000</x:v>
      </x:c>
      <x:c r="Q4630" s="11" t="n">
        <x:v>0</x:v>
      </x:c>
      <x:c r="R4630" s="8" t="n">
        <x:v>45634</x:v>
      </x:c>
      <x:c r="S4630" s="4" t="str">
        <x:v>Retained</x:v>
      </x:c>
      <x:c r="T4630" s="10" t="n">
        <x:v>0.291946</x:v>
      </x:c>
      <x:c r="U4630" s="4" t="str">
        <x:v>Test</x:v>
      </x:c>
    </x:row>
    <x:row r="4631" ht="34" customHeight="1">
      <x:c r="A4631" s="4" t="str">
        <x:v>RS-04630</x:v>
      </x:c>
      <x:c r="B4631" s="8" t="n">
        <x:v>45575</x:v>
      </x:c>
      <x:c r="C4631" s="4" t="str">
        <x:v>PRJ-010</x:v>
      </x:c>
      <x:c r="D4631" s="4" t="str">
        <x:v>Villa</x:v>
      </x:c>
      <x:c r="E4631" s="4" t="str">
        <x:v>Reserved</x:v>
      </x:c>
      <x:c r="F4631" s="4" t="str">
        <x:v>CUS-04630</x:v>
      </x:c>
      <x:c r="G4631" s="4" t="str">
        <x:v>UNIT-04630</x:v>
      </x:c>
      <x:c r="H4631" s="9" t="n">
        <x:v>6200000</x:v>
      </x:c>
      <x:c r="I4631" s="10" t="n">
        <x:v>0.09</x:v>
      </x:c>
      <x:c r="J4631" s="11" t="n">
        <x:v>1</x:v>
      </x:c>
      <x:c r="K4631" s="11" t="n">
        <x:v>10</x:v>
      </x:c>
      <x:c r="L4631" s="11" t="n">
        <x:v>0</x:v>
      </x:c>
      <x:c r="M4631" s="9" t="n">
        <x:f>ROUND(H4631*(1-I4631),2)</x:f>
        <x:v>5642000</x:v>
      </x:c>
      <x:c r="N4631" s="4" t="str">
        <x:v>Sales head</x:v>
      </x:c>
      <x:c r="O4631" s="4"/>
      <x:c r="P4631" s="9" t="n">
        <x:v>0</x:v>
      </x:c>
      <x:c r="Q4631" s="11" t="n">
        <x:v>0</x:v>
      </x:c>
      <x:c r="R4631" s="8" t="n">
        <x:v>45635</x:v>
      </x:c>
      <x:c r="S4631" s="4" t="str">
        <x:v>Retained</x:v>
      </x:c>
      <x:c r="T4631" s="10" t="n">
        <x:v>0.145833</x:v>
      </x:c>
      <x:c r="U4631" s="4" t="str">
        <x:v>Test</x:v>
      </x:c>
    </x:row>
    <x:row r="4632" ht="34" customHeight="1">
      <x:c r="A4632" s="4" t="str">
        <x:v>RS-04631</x:v>
      </x:c>
      <x:c r="B4632" s="8" t="n">
        <x:v>45576</x:v>
      </x:c>
      <x:c r="C4632" s="4" t="str">
        <x:v>PRJ-011</x:v>
      </x:c>
      <x:c r="D4632" s="4" t="str">
        <x:v>Villa</x:v>
      </x:c>
      <x:c r="E4632" s="4" t="str">
        <x:v>Cancelled</x:v>
      </x:c>
      <x:c r="F4632" s="4" t="str">
        <x:v>CUS-04631</x:v>
      </x:c>
      <x:c r="G4632" s="4" t="str">
        <x:v>UNIT-04631</x:v>
      </x:c>
      <x:c r="H4632" s="9" t="n">
        <x:v>15800000</x:v>
      </x:c>
      <x:c r="I4632" s="10" t="n">
        <x:v>0.08</x:v>
      </x:c>
      <x:c r="J4632" s="11" t="n">
        <x:v>7</x:v>
      </x:c>
      <x:c r="K4632" s="11" t="n">
        <x:v>9</x:v>
      </x:c>
      <x:c r="L4632" s="11" t="n">
        <x:v>0</x:v>
      </x:c>
      <x:c r="M4632" s="9" t="n">
        <x:f>ROUND(H4632*(1-I4632),2)</x:f>
        <x:v>14536000</x:v>
      </x:c>
      <x:c r="N4632" s="4" t="str">
        <x:v>Sales head</x:v>
      </x:c>
      <x:c r="O4632" s="4"/>
      <x:c r="P4632" s="9" t="n">
        <x:v>0</x:v>
      </x:c>
      <x:c r="Q4632" s="11" t="n">
        <x:v>1</x:v>
      </x:c>
      <x:c r="R4632" s="8" t="n">
        <x:v>45636</x:v>
      </x:c>
      <x:c r="S4632" s="4" t="str">
        <x:v>Lost / cancelled</x:v>
      </x:c>
      <x:c r="T4632" s="10" t="n">
        <x:v>0.226277</x:v>
      </x:c>
      <x:c r="U4632" s="4" t="str">
        <x:v>Test</x:v>
      </x:c>
    </x:row>
    <x:row r="4633" ht="34" customHeight="1">
      <x:c r="A4633" s="4" t="str">
        <x:v>RS-04632</x:v>
      </x:c>
      <x:c r="B4633" s="8" t="n">
        <x:v>45577</x:v>
      </x:c>
      <x:c r="C4633" s="4" t="str">
        <x:v>PRJ-012</x:v>
      </x:c>
      <x:c r="D4633" s="4" t="str">
        <x:v>Retail</x:v>
      </x:c>
      <x:c r="E4633" s="4" t="str">
        <x:v>Enquiry</x:v>
      </x:c>
      <x:c r="F4633" s="4" t="str">
        <x:v>CUS-04632</x:v>
      </x:c>
      <x:c r="G4633" s="4" t="str">
        <x:v>UNIT-04632</x:v>
      </x:c>
      <x:c r="H4633" s="9" t="n">
        <x:v>10500000</x:v>
      </x:c>
      <x:c r="I4633" s="10" t="n">
        <x:v>0.12</x:v>
      </x:c>
      <x:c r="J4633" s="11" t="n">
        <x:v>6</x:v>
      </x:c>
      <x:c r="K4633" s="11" t="n">
        <x:v>9</x:v>
      </x:c>
      <x:c r="L4633" s="11" t="n">
        <x:v>1</x:v>
      </x:c>
      <x:c r="M4633" s="9" t="n">
        <x:f>ROUND(H4633*(1-I4633),2)</x:f>
        <x:v>9240000</x:v>
      </x:c>
      <x:c r="N4633" s="4" t="str">
        <x:v>Sales head</x:v>
      </x:c>
      <x:c r="O4633" s="4"/>
      <x:c r="P4633" s="9" t="n">
        <x:v>0</x:v>
      </x:c>
      <x:c r="Q4633" s="11" t="n">
        <x:v>0</x:v>
      </x:c>
      <x:c r="R4633" s="8" t="n">
        <x:v>45637</x:v>
      </x:c>
      <x:c r="S4633" s="4" t="str">
        <x:v>Retained</x:v>
      </x:c>
      <x:c r="T4633" s="10" t="n">
        <x:v>0.291946</x:v>
      </x:c>
      <x:c r="U4633" s="4" t="str">
        <x:v>Test</x:v>
      </x:c>
    </x:row>
    <x:row r="4634" ht="34" customHeight="1">
      <x:c r="A4634" s="4" t="str">
        <x:v>RS-04633</x:v>
      </x:c>
      <x:c r="B4634" s="8" t="n">
        <x:v>45578</x:v>
      </x:c>
      <x:c r="C4634" s="4" t="str">
        <x:v>PRJ-013</x:v>
      </x:c>
      <x:c r="D4634" s="4" t="str">
        <x:v>Apartment</x:v>
      </x:c>
      <x:c r="E4634" s="4" t="str">
        <x:v>Handed over</x:v>
      </x:c>
      <x:c r="F4634" s="4" t="str">
        <x:v>CUS-04633</x:v>
      </x:c>
      <x:c r="G4634" s="4" t="str">
        <x:v>UNIT-04633</x:v>
      </x:c>
      <x:c r="H4634" s="9" t="n">
        <x:v>7300000</x:v>
      </x:c>
      <x:c r="I4634" s="10" t="n">
        <x:v>0.06</x:v>
      </x:c>
      <x:c r="J4634" s="11" t="n">
        <x:v>3</x:v>
      </x:c>
      <x:c r="K4634" s="11" t="n">
        <x:v>6</x:v>
      </x:c>
      <x:c r="L4634" s="11" t="n">
        <x:v>1</x:v>
      </x:c>
      <x:c r="M4634" s="9" t="n">
        <x:f>ROUND(H4634*(1-I4634),2)</x:f>
        <x:v>6862000</x:v>
      </x:c>
      <x:c r="N4634" s="4" t="str">
        <x:v>Sales manager</x:v>
      </x:c>
      <x:c r="O4634" s="4" t="str">
        <x:v>BOOK-04633</x:v>
      </x:c>
      <x:c r="P4634" s="9" t="n">
        <x:v>6862000</x:v>
      </x:c>
      <x:c r="Q4634" s="11" t="n">
        <x:v>0</x:v>
      </x:c>
      <x:c r="R4634" s="8" t="n">
        <x:v>45638</x:v>
      </x:c>
      <x:c r="S4634" s="4" t="str">
        <x:v>Retained</x:v>
      </x:c>
      <x:c r="T4634" s="10" t="n">
        <x:v>0.204152</x:v>
      </x:c>
      <x:c r="U4634" s="4" t="str">
        <x:v>Test</x:v>
      </x:c>
    </x:row>
    <x:row r="4635" ht="34" customHeight="1">
      <x:c r="A4635" s="4" t="str">
        <x:v>RS-04634</x:v>
      </x:c>
      <x:c r="B4635" s="8" t="n">
        <x:v>45579</x:v>
      </x:c>
      <x:c r="C4635" s="4" t="str">
        <x:v>PRJ-014</x:v>
      </x:c>
      <x:c r="D4635" s="4" t="str">
        <x:v>Office</x:v>
      </x:c>
      <x:c r="E4635" s="4" t="str">
        <x:v>Reserved</x:v>
      </x:c>
      <x:c r="F4635" s="4" t="str">
        <x:v>CUS-04634</x:v>
      </x:c>
      <x:c r="G4635" s="4" t="str">
        <x:v>UNIT-04634</x:v>
      </x:c>
      <x:c r="H4635" s="9" t="n">
        <x:v>12200000</x:v>
      </x:c>
      <x:c r="I4635" s="10" t="n">
        <x:v>0.02</x:v>
      </x:c>
      <x:c r="J4635" s="11" t="n">
        <x:v>1</x:v>
      </x:c>
      <x:c r="K4635" s="11" t="n">
        <x:v>5</x:v>
      </x:c>
      <x:c r="L4635" s="11" t="n">
        <x:v>0</x:v>
      </x:c>
      <x:c r="M4635" s="9" t="n">
        <x:f>ROUND(H4635*(1-I4635),2)</x:f>
        <x:v>11956000</x:v>
      </x:c>
      <x:c r="N4635" s="4" t="str">
        <x:v>Sales manager</x:v>
      </x:c>
      <x:c r="O4635" s="4"/>
      <x:c r="P4635" s="9" t="n">
        <x:v>0</x:v>
      </x:c>
      <x:c r="Q4635" s="11" t="n">
        <x:v>0</x:v>
      </x:c>
      <x:c r="R4635" s="8" t="n">
        <x:v>45639</x:v>
      </x:c>
      <x:c r="S4635" s="4" t="str">
        <x:v>Retained</x:v>
      </x:c>
      <x:c r="T4635" s="10" t="n">
        <x:v>0.072165</x:v>
      </x:c>
      <x:c r="U4635" s="4" t="str">
        <x:v>Test</x:v>
      </x:c>
    </x:row>
    <x:row r="4636" ht="34" customHeight="1">
      <x:c r="A4636" s="4" t="str">
        <x:v>RS-04635</x:v>
      </x:c>
      <x:c r="B4636" s="8" t="n">
        <x:v>45580</x:v>
      </x:c>
      <x:c r="C4636" s="4" t="str">
        <x:v>PRJ-015</x:v>
      </x:c>
      <x:c r="D4636" s="4" t="str">
        <x:v>Office</x:v>
      </x:c>
      <x:c r="E4636" s="4" t="str">
        <x:v>Reserved</x:v>
      </x:c>
      <x:c r="F4636" s="4" t="str">
        <x:v>CUS-04635</x:v>
      </x:c>
      <x:c r="G4636" s="4" t="str">
        <x:v>UNIT-04635</x:v>
      </x:c>
      <x:c r="H4636" s="9" t="n">
        <x:v>3200000</x:v>
      </x:c>
      <x:c r="I4636" s="10" t="n">
        <x:v>0.08</x:v>
      </x:c>
      <x:c r="J4636" s="11" t="n">
        <x:v>6</x:v>
      </x:c>
      <x:c r="K4636" s="11" t="n">
        <x:v>3</x:v>
      </x:c>
      <x:c r="L4636" s="11" t="n">
        <x:v>0</x:v>
      </x:c>
      <x:c r="M4636" s="9" t="n">
        <x:f>ROUND(H4636*(1-I4636),2)</x:f>
        <x:v>2944000</x:v>
      </x:c>
      <x:c r="N4636" s="4" t="str">
        <x:v>Sales head</x:v>
      </x:c>
      <x:c r="O4636" s="4"/>
      <x:c r="P4636" s="9" t="n">
        <x:v>0</x:v>
      </x:c>
      <x:c r="Q4636" s="11" t="n">
        <x:v>0</x:v>
      </x:c>
      <x:c r="R4636" s="8" t="n">
        <x:v>45640</x:v>
      </x:c>
      <x:c r="S4636" s="4" t="str">
        <x:v>Retained</x:v>
      </x:c>
      <x:c r="T4636" s="10" t="n">
        <x:v>0.226277</x:v>
      </x:c>
      <x:c r="U4636" s="4" t="str">
        <x:v>Test</x:v>
      </x:c>
    </x:row>
    <x:row r="4637" ht="34" customHeight="1">
      <x:c r="A4637" s="4" t="str">
        <x:v>RS-04636</x:v>
      </x:c>
      <x:c r="B4637" s="8" t="n">
        <x:v>45581</x:v>
      </x:c>
      <x:c r="C4637" s="4" t="str">
        <x:v>PRJ-016</x:v>
      </x:c>
      <x:c r="D4637" s="4" t="str">
        <x:v>Villa</x:v>
      </x:c>
      <x:c r="E4637" s="4" t="str">
        <x:v>Reserved</x:v>
      </x:c>
      <x:c r="F4637" s="4" t="str">
        <x:v>CUS-04636</x:v>
      </x:c>
      <x:c r="G4637" s="4" t="str">
        <x:v>UNIT-04636</x:v>
      </x:c>
      <x:c r="H4637" s="9" t="n">
        <x:v>15600000</x:v>
      </x:c>
      <x:c r="I4637" s="10" t="n">
        <x:v>0.06</x:v>
      </x:c>
      <x:c r="J4637" s="11" t="n">
        <x:v>4</x:v>
      </x:c>
      <x:c r="K4637" s="11" t="n">
        <x:v>1</x:v>
      </x:c>
      <x:c r="L4637" s="11" t="n">
        <x:v>0</x:v>
      </x:c>
      <x:c r="M4637" s="9" t="n">
        <x:f>ROUND(H4637*(1-I4637),2)</x:f>
        <x:v>14664000</x:v>
      </x:c>
      <x:c r="N4637" s="4" t="str">
        <x:v>Sales manager</x:v>
      </x:c>
      <x:c r="O4637" s="4"/>
      <x:c r="P4637" s="9" t="n">
        <x:v>0</x:v>
      </x:c>
      <x:c r="Q4637" s="11" t="n">
        <x:v>0</x:v>
      </x:c>
      <x:c r="R4637" s="8" t="n">
        <x:v>45641</x:v>
      </x:c>
      <x:c r="S4637" s="4" t="str">
        <x:v>Retained</x:v>
      </x:c>
      <x:c r="T4637" s="10" t="n">
        <x:v>0.226277</x:v>
      </x:c>
      <x:c r="U4637" s="4" t="str">
        <x:v>Test</x:v>
      </x:c>
    </x:row>
    <x:row r="4638" ht="34" customHeight="1">
      <x:c r="A4638" s="4" t="str">
        <x:v>RS-04637</x:v>
      </x:c>
      <x:c r="B4638" s="8" t="n">
        <x:v>45582</x:v>
      </x:c>
      <x:c r="C4638" s="4" t="str">
        <x:v>PRJ-017</x:v>
      </x:c>
      <x:c r="D4638" s="4" t="str">
        <x:v>Retail</x:v>
      </x:c>
      <x:c r="E4638" s="4" t="str">
        <x:v>Agreement signed</x:v>
      </x:c>
      <x:c r="F4638" s="4" t="str">
        <x:v>CUS-04637</x:v>
      </x:c>
      <x:c r="G4638" s="4" t="str">
        <x:v>UNIT-04637</x:v>
      </x:c>
      <x:c r="H4638" s="9" t="n">
        <x:v>5400000</x:v>
      </x:c>
      <x:c r="I4638" s="10" t="n">
        <x:v>0.09</x:v>
      </x:c>
      <x:c r="J4638" s="11" t="n">
        <x:v>8</x:v>
      </x:c>
      <x:c r="K4638" s="11" t="n">
        <x:v>8</x:v>
      </x:c>
      <x:c r="L4638" s="11" t="n">
        <x:v>0</x:v>
      </x:c>
      <x:c r="M4638" s="9" t="n">
        <x:f>ROUND(H4638*(1-I4638),2)</x:f>
        <x:v>4914000</x:v>
      </x:c>
      <x:c r="N4638" s="4" t="str">
        <x:v>Sales head</x:v>
      </x:c>
      <x:c r="O4638" s="4" t="str">
        <x:v>BOOK-04637</x:v>
      </x:c>
      <x:c r="P4638" s="9" t="n">
        <x:v>2457000</x:v>
      </x:c>
      <x:c r="Q4638" s="11" t="n">
        <x:v>0</x:v>
      </x:c>
      <x:c r="R4638" s="8" t="n">
        <x:v>45642</x:v>
      </x:c>
      <x:c r="S4638" s="4" t="str">
        <x:v>Retained</x:v>
      </x:c>
      <x:c r="T4638" s="10" t="n">
        <x:v>0.310195</x:v>
      </x:c>
      <x:c r="U4638" s="4" t="str">
        <x:v>Test</x:v>
      </x:c>
    </x:row>
    <x:row r="4639" ht="34" customHeight="1">
      <x:c r="A4639" s="4" t="str">
        <x:v>RS-04638</x:v>
      </x:c>
      <x:c r="B4639" s="8" t="n">
        <x:v>45583</x:v>
      </x:c>
      <x:c r="C4639" s="4" t="str">
        <x:v>PRJ-018</x:v>
      </x:c>
      <x:c r="D4639" s="4" t="str">
        <x:v>Apartment</x:v>
      </x:c>
      <x:c r="E4639" s="4" t="str">
        <x:v>Agreement signed</x:v>
      </x:c>
      <x:c r="F4639" s="4" t="str">
        <x:v>CUS-04638</x:v>
      </x:c>
      <x:c r="G4639" s="4" t="str">
        <x:v>UNIT-04638</x:v>
      </x:c>
      <x:c r="H4639" s="9" t="n">
        <x:v>10600000</x:v>
      </x:c>
      <x:c r="I4639" s="10" t="n">
        <x:v>0.05</x:v>
      </x:c>
      <x:c r="J4639" s="11" t="n">
        <x:v>8</x:v>
      </x:c>
      <x:c r="K4639" s="11" t="n">
        <x:v>9</x:v>
      </x:c>
      <x:c r="L4639" s="11" t="n">
        <x:v>0</x:v>
      </x:c>
      <x:c r="M4639" s="9" t="n">
        <x:f>ROUND(H4639*(1-I4639),2)</x:f>
        <x:v>10070000</x:v>
      </x:c>
      <x:c r="N4639" s="4" t="str">
        <x:v>Sales manager</x:v>
      </x:c>
      <x:c r="O4639" s="4" t="str">
        <x:v>BOOK-04638</x:v>
      </x:c>
      <x:c r="P4639" s="9" t="n">
        <x:v>10070000</x:v>
      </x:c>
      <x:c r="Q4639" s="11" t="n">
        <x:v>0</x:v>
      </x:c>
      <x:c r="R4639" s="8" t="n">
        <x:v>45643</x:v>
      </x:c>
      <x:c r="S4639" s="4" t="str">
        <x:v>Retained</x:v>
      </x:c>
      <x:c r="T4639" s="10" t="n">
        <x:v>0.310195</x:v>
      </x:c>
      <x:c r="U4639" s="4" t="str">
        <x:v>Test</x:v>
      </x:c>
    </x:row>
    <x:row r="4640" ht="34" customHeight="1">
      <x:c r="A4640" s="4" t="str">
        <x:v>RS-04639</x:v>
      </x:c>
      <x:c r="B4640" s="8" t="n">
        <x:v>45584</x:v>
      </x:c>
      <x:c r="C4640" s="4" t="str">
        <x:v>PRJ-019</x:v>
      </x:c>
      <x:c r="D4640" s="4" t="str">
        <x:v>Villa</x:v>
      </x:c>
      <x:c r="E4640" s="4" t="str">
        <x:v>Agreement signed</x:v>
      </x:c>
      <x:c r="F4640" s="4" t="str">
        <x:v>CUS-04639</x:v>
      </x:c>
      <x:c r="G4640" s="4" t="str">
        <x:v>UNIT-04639</x:v>
      </x:c>
      <x:c r="H4640" s="9" t="n">
        <x:v>9900000</x:v>
      </x:c>
      <x:c r="I4640" s="10" t="n">
        <x:v>0.02</x:v>
      </x:c>
      <x:c r="J4640" s="11" t="n">
        <x:v>10</x:v>
      </x:c>
      <x:c r="K4640" s="11" t="n">
        <x:v>9</x:v>
      </x:c>
      <x:c r="L4640" s="11" t="n">
        <x:v>1</x:v>
      </x:c>
      <x:c r="M4640" s="9" t="n">
        <x:f>ROUND(H4640*(1-I4640),2)</x:f>
        <x:v>9702000</x:v>
      </x:c>
      <x:c r="N4640" s="4" t="str">
        <x:v>Sales manager</x:v>
      </x:c>
      <x:c r="O4640" s="4" t="str">
        <x:v>BOOK-04639</x:v>
      </x:c>
      <x:c r="P4640" s="9" t="n">
        <x:v>9702000</x:v>
      </x:c>
      <x:c r="Q4640" s="11" t="n">
        <x:v>0</x:v>
      </x:c>
      <x:c r="R4640" s="8" t="n">
        <x:v>45644</x:v>
      </x:c>
      <x:c r="S4640" s="4" t="str">
        <x:v>Retained</x:v>
      </x:c>
      <x:c r="T4640" s="10" t="n">
        <x:v>0.254545</x:v>
      </x:c>
      <x:c r="U4640" s="4" t="str">
        <x:v>Test</x:v>
      </x:c>
    </x:row>
    <x:row r="4641" ht="34" customHeight="1">
      <x:c r="A4641" s="4" t="str">
        <x:v>RS-04640</x:v>
      </x:c>
      <x:c r="B4641" s="8" t="n">
        <x:v>45585</x:v>
      </x:c>
      <x:c r="C4641" s="4" t="str">
        <x:v>PRJ-020</x:v>
      </x:c>
      <x:c r="D4641" s="4" t="str">
        <x:v>Office</x:v>
      </x:c>
      <x:c r="E4641" s="4" t="str">
        <x:v>Cancelled</x:v>
      </x:c>
      <x:c r="F4641" s="4" t="str">
        <x:v>CUS-04640</x:v>
      </x:c>
      <x:c r="G4641" s="4" t="str">
        <x:v>UNIT-04640</x:v>
      </x:c>
      <x:c r="H4641" s="9" t="n">
        <x:v>3000000</x:v>
      </x:c>
      <x:c r="I4641" s="10" t="n">
        <x:v>0.05</x:v>
      </x:c>
      <x:c r="J4641" s="11" t="n">
        <x:v>1</x:v>
      </x:c>
      <x:c r="K4641" s="11" t="n">
        <x:v>5</x:v>
      </x:c>
      <x:c r="L4641" s="11" t="n">
        <x:v>1</x:v>
      </x:c>
      <x:c r="M4641" s="9" t="n">
        <x:f>ROUND(H4641*(1-I4641),2)</x:f>
        <x:v>2850000</x:v>
      </x:c>
      <x:c r="N4641" s="4" t="str">
        <x:v>Sales manager</x:v>
      </x:c>
      <x:c r="O4641" s="4"/>
      <x:c r="P4641" s="9" t="n">
        <x:v>0</x:v>
      </x:c>
      <x:c r="Q4641" s="11" t="n">
        <x:v>1</x:v>
      </x:c>
      <x:c r="R4641" s="8" t="n">
        <x:v>45645</x:v>
      </x:c>
      <x:c r="S4641" s="4" t="str">
        <x:v>Lost / cancelled</x:v>
      </x:c>
      <x:c r="T4641" s="10" t="n">
        <x:v>0.204152</x:v>
      </x:c>
      <x:c r="U4641" s="4" t="str">
        <x:v>Test</x:v>
      </x:c>
    </x:row>
    <x:row r="4642" ht="34" customHeight="1">
      <x:c r="A4642" s="4" t="str">
        <x:v>RS-04641</x:v>
      </x:c>
      <x:c r="B4642" s="8" t="n">
        <x:v>45586</x:v>
      </x:c>
      <x:c r="C4642" s="4" t="str">
        <x:v>PRJ-001</x:v>
      </x:c>
      <x:c r="D4642" s="4" t="str">
        <x:v>Retail</x:v>
      </x:c>
      <x:c r="E4642" s="4" t="str">
        <x:v>Enquiry</x:v>
      </x:c>
      <x:c r="F4642" s="4" t="str">
        <x:v>CUS-04641</x:v>
      </x:c>
      <x:c r="G4642" s="4" t="str">
        <x:v>UNIT-04641</x:v>
      </x:c>
      <x:c r="H4642" s="9" t="n">
        <x:v>15500000</x:v>
      </x:c>
      <x:c r="I4642" s="10" t="n">
        <x:v>0.09</x:v>
      </x:c>
      <x:c r="J4642" s="11" t="n">
        <x:v>1</x:v>
      </x:c>
      <x:c r="K4642" s="11" t="n">
        <x:v>4</x:v>
      </x:c>
      <x:c r="L4642" s="11" t="n">
        <x:v>0</x:v>
      </x:c>
      <x:c r="M4642" s="9" t="n">
        <x:f>ROUND(H4642*(1-I4642),2)</x:f>
        <x:v>14105000</x:v>
      </x:c>
      <x:c r="N4642" s="4" t="str">
        <x:v>Sales head</x:v>
      </x:c>
      <x:c r="O4642" s="4"/>
      <x:c r="P4642" s="9" t="n">
        <x:v>0</x:v>
      </x:c>
      <x:c r="Q4642" s="11" t="n">
        <x:v>1</x:v>
      </x:c>
      <x:c r="R4642" s="8" t="n">
        <x:v>45646</x:v>
      </x:c>
      <x:c r="S4642" s="4" t="str">
        <x:v>Lost / cancelled</x:v>
      </x:c>
      <x:c r="T4642" s="10" t="n">
        <x:v>0.145833</x:v>
      </x:c>
      <x:c r="U4642" s="4" t="str">
        <x:v>Test</x:v>
      </x:c>
    </x:row>
    <x:row r="4643" ht="34" customHeight="1">
      <x:c r="A4643" s="4" t="str">
        <x:v>RS-04642</x:v>
      </x:c>
      <x:c r="B4643" s="8" t="n">
        <x:v>45587</x:v>
      </x:c>
      <x:c r="C4643" s="4" t="str">
        <x:v>PRJ-002</x:v>
      </x:c>
      <x:c r="D4643" s="4" t="str">
        <x:v>Office</x:v>
      </x:c>
      <x:c r="E4643" s="4" t="str">
        <x:v>Cancelled</x:v>
      </x:c>
      <x:c r="F4643" s="4" t="str">
        <x:v>CUS-04642</x:v>
      </x:c>
      <x:c r="G4643" s="4" t="str">
        <x:v>UNIT-04642</x:v>
      </x:c>
      <x:c r="H4643" s="9" t="n">
        <x:v>17100000</x:v>
      </x:c>
      <x:c r="I4643" s="10" t="n">
        <x:v>0.12</x:v>
      </x:c>
      <x:c r="J4643" s="11" t="n">
        <x:v>1</x:v>
      </x:c>
      <x:c r="K4643" s="11" t="n">
        <x:v>5</x:v>
      </x:c>
      <x:c r="L4643" s="11" t="n">
        <x:v>0</x:v>
      </x:c>
      <x:c r="M4643" s="9" t="n">
        <x:f>ROUND(H4643*(1-I4643),2)</x:f>
        <x:v>15048000</x:v>
      </x:c>
      <x:c r="N4643" s="4" t="str">
        <x:v>Sales head</x:v>
      </x:c>
      <x:c r="O4643" s="4"/>
      <x:c r="P4643" s="9" t="n">
        <x:v>0</x:v>
      </x:c>
      <x:c r="Q4643" s="11" t="n">
        <x:v>1</x:v>
      </x:c>
      <x:c r="R4643" s="8" t="n">
        <x:v>45647</x:v>
      </x:c>
      <x:c r="S4643" s="4" t="str">
        <x:v>Lost / cancelled</x:v>
      </x:c>
      <x:c r="T4643" s="10" t="n">
        <x:v>0.145833</x:v>
      </x:c>
      <x:c r="U4643" s="4" t="str">
        <x:v>Test</x:v>
      </x:c>
    </x:row>
    <x:row r="4644" ht="34" customHeight="1">
      <x:c r="A4644" s="4" t="str">
        <x:v>RS-04643</x:v>
      </x:c>
      <x:c r="B4644" s="8" t="n">
        <x:v>45588</x:v>
      </x:c>
      <x:c r="C4644" s="4" t="str">
        <x:v>PRJ-003</x:v>
      </x:c>
      <x:c r="D4644" s="4" t="str">
        <x:v>Retail</x:v>
      </x:c>
      <x:c r="E4644" s="4" t="str">
        <x:v>Cancelled</x:v>
      </x:c>
      <x:c r="F4644" s="4" t="str">
        <x:v>CUS-04643</x:v>
      </x:c>
      <x:c r="G4644" s="4" t="str">
        <x:v>UNIT-04643</x:v>
      </x:c>
      <x:c r="H4644" s="9" t="n">
        <x:v>12500000</x:v>
      </x:c>
      <x:c r="I4644" s="10" t="n">
        <x:v>0.05</x:v>
      </x:c>
      <x:c r="J4644" s="11" t="n">
        <x:v>3</x:v>
      </x:c>
      <x:c r="K4644" s="11" t="n">
        <x:v>5</x:v>
      </x:c>
      <x:c r="L4644" s="11" t="n">
        <x:v>1</x:v>
      </x:c>
      <x:c r="M4644" s="9" t="n">
        <x:f>ROUND(H4644*(1-I4644),2)</x:f>
        <x:v>11875000</x:v>
      </x:c>
      <x:c r="N4644" s="4" t="str">
        <x:v>Sales manager</x:v>
      </x:c>
      <x:c r="O4644" s="4"/>
      <x:c r="P4644" s="9" t="n">
        <x:v>0</x:v>
      </x:c>
      <x:c r="Q4644" s="11" t="n">
        <x:v>1</x:v>
      </x:c>
      <x:c r="R4644" s="8" t="n">
        <x:v>45648</x:v>
      </x:c>
      <x:c r="S4644" s="4" t="str">
        <x:v>Lost / cancelled</x:v>
      </x:c>
      <x:c r="T4644" s="10" t="n">
        <x:v>0.204152</x:v>
      </x:c>
      <x:c r="U4644" s="4" t="str">
        <x:v>Test</x:v>
      </x:c>
    </x:row>
    <x:row r="4645" ht="34" customHeight="1">
      <x:c r="A4645" s="4" t="str">
        <x:v>RS-04644</x:v>
      </x:c>
      <x:c r="B4645" s="8" t="n">
        <x:v>45589</x:v>
      </x:c>
      <x:c r="C4645" s="4" t="str">
        <x:v>PRJ-004</x:v>
      </x:c>
      <x:c r="D4645" s="4" t="str">
        <x:v>Villa</x:v>
      </x:c>
      <x:c r="E4645" s="4" t="str">
        <x:v>Handed over</x:v>
      </x:c>
      <x:c r="F4645" s="4" t="str">
        <x:v>CUS-04644</x:v>
      </x:c>
      <x:c r="G4645" s="4" t="str">
        <x:v>UNIT-04644</x:v>
      </x:c>
      <x:c r="H4645" s="9" t="n">
        <x:v>10900000</x:v>
      </x:c>
      <x:c r="I4645" s="10" t="n">
        <x:v>0.06</x:v>
      </x:c>
      <x:c r="J4645" s="11" t="n">
        <x:v>5</x:v>
      </x:c>
      <x:c r="K4645" s="11" t="n">
        <x:v>3</x:v>
      </x:c>
      <x:c r="L4645" s="11" t="n">
        <x:v>1</x:v>
      </x:c>
      <x:c r="M4645" s="9" t="n">
        <x:f>ROUND(H4645*(1-I4645),2)</x:f>
        <x:v>10246000</x:v>
      </x:c>
      <x:c r="N4645" s="4" t="str">
        <x:v>Sales manager</x:v>
      </x:c>
      <x:c r="O4645" s="4" t="str">
        <x:v>BOOK-04644</x:v>
      </x:c>
      <x:c r="P4645" s="9" t="n">
        <x:v>1024600</x:v>
      </x:c>
      <x:c r="Q4645" s="11" t="n">
        <x:v>0</x:v>
      </x:c>
      <x:c r="R4645" s="8" t="n">
        <x:v>45649</x:v>
      </x:c>
      <x:c r="S4645" s="4" t="str">
        <x:v>Retained</x:v>
      </x:c>
      <x:c r="T4645" s="10" t="n">
        <x:v>0.291946</x:v>
      </x:c>
      <x:c r="U4645" s="4" t="str">
        <x:v>Test</x:v>
      </x:c>
    </x:row>
    <x:row r="4646" ht="34" customHeight="1">
      <x:c r="A4646" s="4" t="str">
        <x:v>RS-04645</x:v>
      </x:c>
      <x:c r="B4646" s="8" t="n">
        <x:v>45590</x:v>
      </x:c>
      <x:c r="C4646" s="4" t="str">
        <x:v>PRJ-005</x:v>
      </x:c>
      <x:c r="D4646" s="4" t="str">
        <x:v>Villa</x:v>
      </x:c>
      <x:c r="E4646" s="4" t="str">
        <x:v>Enquiry</x:v>
      </x:c>
      <x:c r="F4646" s="4" t="str">
        <x:v>CUS-04645</x:v>
      </x:c>
      <x:c r="G4646" s="4" t="str">
        <x:v>UNIT-04645</x:v>
      </x:c>
      <x:c r="H4646" s="9" t="n">
        <x:v>14300000</x:v>
      </x:c>
      <x:c r="I4646" s="10" t="n">
        <x:v>0.02</x:v>
      </x:c>
      <x:c r="J4646" s="11" t="n">
        <x:v>6</x:v>
      </x:c>
      <x:c r="K4646" s="11" t="n">
        <x:v>9</x:v>
      </x:c>
      <x:c r="L4646" s="11" t="n">
        <x:v>0</x:v>
      </x:c>
      <x:c r="M4646" s="9" t="n">
        <x:f>ROUND(H4646*(1-I4646),2)</x:f>
        <x:v>14014000</x:v>
      </x:c>
      <x:c r="N4646" s="4" t="str">
        <x:v>Sales manager</x:v>
      </x:c>
      <x:c r="O4646" s="4"/>
      <x:c r="P4646" s="9" t="n">
        <x:v>0</x:v>
      </x:c>
      <x:c r="Q4646" s="11" t="n">
        <x:v>0</x:v>
      </x:c>
      <x:c r="R4646" s="8" t="n">
        <x:v>45650</x:v>
      </x:c>
      <x:c r="S4646" s="4" t="str">
        <x:v>Retained</x:v>
      </x:c>
      <x:c r="T4646" s="10" t="n">
        <x:v>0.145299</x:v>
      </x:c>
      <x:c r="U4646" s="4" t="str">
        <x:v>Test</x:v>
      </x:c>
    </x:row>
    <x:row r="4647" ht="34" customHeight="1">
      <x:c r="A4647" s="4" t="str">
        <x:v>RS-04646</x:v>
      </x:c>
      <x:c r="B4647" s="8" t="n">
        <x:v>45591</x:v>
      </x:c>
      <x:c r="C4647" s="4" t="str">
        <x:v>PRJ-006</x:v>
      </x:c>
      <x:c r="D4647" s="4" t="str">
        <x:v>Apartment</x:v>
      </x:c>
      <x:c r="E4647" s="4" t="str">
        <x:v>Handed over</x:v>
      </x:c>
      <x:c r="F4647" s="4" t="str">
        <x:v>CUS-04646</x:v>
      </x:c>
      <x:c r="G4647" s="4" t="str">
        <x:v>UNIT-04646</x:v>
      </x:c>
      <x:c r="H4647" s="9" t="n">
        <x:v>24900000</x:v>
      </x:c>
      <x:c r="I4647" s="10" t="n">
        <x:v>0.08</x:v>
      </x:c>
      <x:c r="J4647" s="11" t="n">
        <x:v>12</x:v>
      </x:c>
      <x:c r="K4647" s="11" t="n">
        <x:v>2</x:v>
      </x:c>
      <x:c r="L4647" s="11" t="n">
        <x:v>1</x:v>
      </x:c>
      <x:c r="M4647" s="9" t="n">
        <x:f>ROUND(H4647*(1-I4647),2)</x:f>
        <x:v>22908000</x:v>
      </x:c>
      <x:c r="N4647" s="4" t="str">
        <x:v>Sales head</x:v>
      </x:c>
      <x:c r="O4647" s="4" t="str">
        <x:v>BOOK-04646</x:v>
      </x:c>
      <x:c r="P4647" s="9" t="n">
        <x:v>11454000</x:v>
      </x:c>
      <x:c r="Q4647" s="11" t="n">
        <x:v>0</x:v>
      </x:c>
      <x:c r="R4647" s="8" t="n">
        <x:v>45651</x:v>
      </x:c>
      <x:c r="S4647" s="4" t="str">
        <x:v>Retained</x:v>
      </x:c>
      <x:c r="T4647" s="10" t="n">
        <x:v>0.351536</x:v>
      </x:c>
      <x:c r="U4647" s="4" t="str">
        <x:v>Test</x:v>
      </x:c>
    </x:row>
    <x:row r="4648" ht="34" customHeight="1">
      <x:c r="A4648" s="4" t="str">
        <x:v>RS-04647</x:v>
      </x:c>
      <x:c r="B4648" s="8" t="n">
        <x:v>45592</x:v>
      </x:c>
      <x:c r="C4648" s="4" t="str">
        <x:v>PRJ-007</x:v>
      </x:c>
      <x:c r="D4648" s="4" t="str">
        <x:v>Retail</x:v>
      </x:c>
      <x:c r="E4648" s="4" t="str">
        <x:v>Enquiry</x:v>
      </x:c>
      <x:c r="F4648" s="4" t="str">
        <x:v>CUS-04647</x:v>
      </x:c>
      <x:c r="G4648" s="4" t="str">
        <x:v>UNIT-04647</x:v>
      </x:c>
      <x:c r="H4648" s="9" t="n">
        <x:v>11700000</x:v>
      </x:c>
      <x:c r="I4648" s="10" t="n">
        <x:v>0.09</x:v>
      </x:c>
      <x:c r="J4648" s="11" t="n">
        <x:v>7</x:v>
      </x:c>
      <x:c r="K4648" s="11" t="n">
        <x:v>5</x:v>
      </x:c>
      <x:c r="L4648" s="11" t="n">
        <x:v>1</x:v>
      </x:c>
      <x:c r="M4648" s="9" t="n">
        <x:f>ROUND(H4648*(1-I4648),2)</x:f>
        <x:v>10647000</x:v>
      </x:c>
      <x:c r="N4648" s="4" t="str">
        <x:v>Sales head</x:v>
      </x:c>
      <x:c r="O4648" s="4"/>
      <x:c r="P4648" s="9" t="n">
        <x:v>0</x:v>
      </x:c>
      <x:c r="Q4648" s="11" t="n">
        <x:v>1</x:v>
      </x:c>
      <x:c r="R4648" s="8" t="n">
        <x:v>45652</x:v>
      </x:c>
      <x:c r="S4648" s="4" t="str">
        <x:v>Lost / cancelled</x:v>
      </x:c>
      <x:c r="T4648" s="10" t="n">
        <x:v>0.291946</x:v>
      </x:c>
      <x:c r="U4648" s="4" t="str">
        <x:v>Test</x:v>
      </x:c>
    </x:row>
    <x:row r="4649" ht="34" customHeight="1">
      <x:c r="A4649" s="4" t="str">
        <x:v>RS-04648</x:v>
      </x:c>
      <x:c r="B4649" s="8" t="n">
        <x:v>45593</x:v>
      </x:c>
      <x:c r="C4649" s="4" t="str">
        <x:v>PRJ-008</x:v>
      </x:c>
      <x:c r="D4649" s="4" t="str">
        <x:v>Retail</x:v>
      </x:c>
      <x:c r="E4649" s="4" t="str">
        <x:v>Enquiry</x:v>
      </x:c>
      <x:c r="F4649" s="4" t="str">
        <x:v>CUS-04648</x:v>
      </x:c>
      <x:c r="G4649" s="4" t="str">
        <x:v>UNIT-04648</x:v>
      </x:c>
      <x:c r="H4649" s="9" t="n">
        <x:v>4900000</x:v>
      </x:c>
      <x:c r="I4649" s="10" t="n">
        <x:v>0.11</x:v>
      </x:c>
      <x:c r="J4649" s="11" t="n">
        <x:v>1</x:v>
      </x:c>
      <x:c r="K4649" s="11" t="n">
        <x:v>5</x:v>
      </x:c>
      <x:c r="L4649" s="11" t="n">
        <x:v>1</x:v>
      </x:c>
      <x:c r="M4649" s="9" t="n">
        <x:f>ROUND(H4649*(1-I4649),2)</x:f>
        <x:v>4361000</x:v>
      </x:c>
      <x:c r="N4649" s="4" t="str">
        <x:v>Sales head</x:v>
      </x:c>
      <x:c r="O4649" s="4"/>
      <x:c r="P4649" s="9" t="n">
        <x:v>0</x:v>
      </x:c>
      <x:c r="Q4649" s="11" t="n">
        <x:v>0</x:v>
      </x:c>
      <x:c r="R4649" s="8" t="n">
        <x:v>45653</x:v>
      </x:c>
      <x:c r="S4649" s="4" t="str">
        <x:v>Retained</x:v>
      </x:c>
      <x:c r="T4649" s="10" t="n">
        <x:v>0.145833</x:v>
      </x:c>
      <x:c r="U4649" s="4" t="str">
        <x:v>Test</x:v>
      </x:c>
    </x:row>
    <x:row r="4650" ht="34" customHeight="1">
      <x:c r="A4650" s="4" t="str">
        <x:v>RS-04649</x:v>
      </x:c>
      <x:c r="B4650" s="8" t="n">
        <x:v>45566</x:v>
      </x:c>
      <x:c r="C4650" s="4" t="str">
        <x:v>PRJ-009</x:v>
      </x:c>
      <x:c r="D4650" s="4" t="str">
        <x:v>Apartment</x:v>
      </x:c>
      <x:c r="E4650" s="4" t="str">
        <x:v>Booked</x:v>
      </x:c>
      <x:c r="F4650" s="4" t="str">
        <x:v>CUS-04649</x:v>
      </x:c>
      <x:c r="G4650" s="4" t="str">
        <x:v>UNIT-04649</x:v>
      </x:c>
      <x:c r="H4650" s="9" t="n">
        <x:v>18000000</x:v>
      </x:c>
      <x:c r="I4650" s="10" t="n">
        <x:v>0.02</x:v>
      </x:c>
      <x:c r="J4650" s="11" t="n">
        <x:v>5</x:v>
      </x:c>
      <x:c r="K4650" s="11" t="n">
        <x:v>3</x:v>
      </x:c>
      <x:c r="L4650" s="11" t="n">
        <x:v>1</x:v>
      </x:c>
      <x:c r="M4650" s="9" t="n">
        <x:f>ROUND(H4650*(1-I4650),2)</x:f>
        <x:v>17640000</x:v>
      </x:c>
      <x:c r="N4650" s="4" t="str">
        <x:v>Sales manager</x:v>
      </x:c>
      <x:c r="O4650" s="4" t="str">
        <x:v>BOOK-04649</x:v>
      </x:c>
      <x:c r="P4650" s="9" t="n">
        <x:v>1764000</x:v>
      </x:c>
      <x:c r="Q4650" s="11" t="n">
        <x:v>0</x:v>
      </x:c>
      <x:c r="R4650" s="8" t="n">
        <x:v>45626</x:v>
      </x:c>
      <x:c r="S4650" s="4" t="str">
        <x:v>Retained</x:v>
      </x:c>
      <x:c r="T4650" s="10" t="n">
        <x:v>0.298969</x:v>
      </x:c>
      <x:c r="U4650" s="4" t="str">
        <x:v>Test</x:v>
      </x:c>
    </x:row>
    <x:row r="4651" ht="34" customHeight="1">
      <x:c r="A4651" s="4" t="str">
        <x:v>RS-04650</x:v>
      </x:c>
      <x:c r="B4651" s="8" t="n">
        <x:v>45567</x:v>
      </x:c>
      <x:c r="C4651" s="4" t="str">
        <x:v>PRJ-010</x:v>
      </x:c>
      <x:c r="D4651" s="4" t="str">
        <x:v>Apartment</x:v>
      </x:c>
      <x:c r="E4651" s="4" t="str">
        <x:v>Cancelled</x:v>
      </x:c>
      <x:c r="F4651" s="4" t="str">
        <x:v>CUS-04650</x:v>
      </x:c>
      <x:c r="G4651" s="4" t="str">
        <x:v>UNIT-04650</x:v>
      </x:c>
      <x:c r="H4651" s="9" t="n">
        <x:v>4600000</x:v>
      </x:c>
      <x:c r="I4651" s="10" t="n">
        <x:v>0.01</x:v>
      </x:c>
      <x:c r="J4651" s="11" t="n">
        <x:v>6</x:v>
      </x:c>
      <x:c r="K4651" s="11" t="n">
        <x:v>0</x:v>
      </x:c>
      <x:c r="L4651" s="11" t="n">
        <x:v>0</x:v>
      </x:c>
      <x:c r="M4651" s="9" t="n">
        <x:f>ROUND(H4651*(1-I4651),2)</x:f>
        <x:v>4554000</x:v>
      </x:c>
      <x:c r="N4651" s="4" t="str">
        <x:v>Sales manager</x:v>
      </x:c>
      <x:c r="O4651" s="4"/>
      <x:c r="P4651" s="9" t="n">
        <x:v>0</x:v>
      </x:c>
      <x:c r="Q4651" s="11" t="n">
        <x:v>1</x:v>
      </x:c>
      <x:c r="R4651" s="8" t="n">
        <x:v>45627</x:v>
      </x:c>
      <x:c r="S4651" s="4" t="str">
        <x:v>Lost / cancelled</x:v>
      </x:c>
      <x:c r="T4651" s="10" t="n">
        <x:v>0.298969</x:v>
      </x:c>
      <x:c r="U4651" s="4" t="str">
        <x:v>Test</x:v>
      </x:c>
    </x:row>
    <x:row r="4652" ht="34" customHeight="1">
      <x:c r="A4652" s="4" t="str">
        <x:v>RS-04651</x:v>
      </x:c>
      <x:c r="B4652" s="8" t="n">
        <x:v>45568</x:v>
      </x:c>
      <x:c r="C4652" s="4" t="str">
        <x:v>PRJ-011</x:v>
      </x:c>
      <x:c r="D4652" s="4" t="str">
        <x:v>Villa</x:v>
      </x:c>
      <x:c r="E4652" s="4" t="str">
        <x:v>Enquiry</x:v>
      </x:c>
      <x:c r="F4652" s="4" t="str">
        <x:v>CUS-04651</x:v>
      </x:c>
      <x:c r="G4652" s="4" t="str">
        <x:v>UNIT-04651</x:v>
      </x:c>
      <x:c r="H4652" s="9" t="n">
        <x:v>4500000</x:v>
      </x:c>
      <x:c r="I4652" s="10" t="n">
        <x:v>0.08</x:v>
      </x:c>
      <x:c r="J4652" s="11" t="n">
        <x:v>4</x:v>
      </x:c>
      <x:c r="K4652" s="11" t="n">
        <x:v>7</x:v>
      </x:c>
      <x:c r="L4652" s="11" t="n">
        <x:v>1</x:v>
      </x:c>
      <x:c r="M4652" s="9" t="n">
        <x:f>ROUND(H4652*(1-I4652),2)</x:f>
        <x:v>4140000</x:v>
      </x:c>
      <x:c r="N4652" s="4" t="str">
        <x:v>Sales head</x:v>
      </x:c>
      <x:c r="O4652" s="4"/>
      <x:c r="P4652" s="9" t="n">
        <x:v>0</x:v>
      </x:c>
      <x:c r="Q4652" s="11" t="n">
        <x:v>1</x:v>
      </x:c>
      <x:c r="R4652" s="8" t="n">
        <x:v>45628</x:v>
      </x:c>
      <x:c r="S4652" s="4" t="str">
        <x:v>Lost / cancelled</x:v>
      </x:c>
      <x:c r="T4652" s="10" t="n">
        <x:v>0.291946</x:v>
      </x:c>
      <x:c r="U4652" s="4" t="str">
        <x:v>Test</x:v>
      </x:c>
    </x:row>
    <x:row r="4653" ht="34" customHeight="1">
      <x:c r="A4653" s="4" t="str">
        <x:v>RS-04652</x:v>
      </x:c>
      <x:c r="B4653" s="8" t="n">
        <x:v>45569</x:v>
      </x:c>
      <x:c r="C4653" s="4" t="str">
        <x:v>PRJ-012</x:v>
      </x:c>
      <x:c r="D4653" s="4" t="str">
        <x:v>Office</x:v>
      </x:c>
      <x:c r="E4653" s="4" t="str">
        <x:v>Booked</x:v>
      </x:c>
      <x:c r="F4653" s="4" t="str">
        <x:v>CUS-04652</x:v>
      </x:c>
      <x:c r="G4653" s="4" t="str">
        <x:v>UNIT-04652</x:v>
      </x:c>
      <x:c r="H4653" s="9" t="n">
        <x:v>12800000</x:v>
      </x:c>
      <x:c r="I4653" s="10" t="n">
        <x:v>0.03</x:v>
      </x:c>
      <x:c r="J4653" s="11" t="n">
        <x:v>2</x:v>
      </x:c>
      <x:c r="K4653" s="11" t="n">
        <x:v>5</x:v>
      </x:c>
      <x:c r="L4653" s="11" t="n">
        <x:v>0</x:v>
      </x:c>
      <x:c r="M4653" s="9" t="n">
        <x:f>ROUND(H4653*(1-I4653),2)</x:f>
        <x:v>12416000</x:v>
      </x:c>
      <x:c r="N4653" s="4" t="str">
        <x:v>Sales manager</x:v>
      </x:c>
      <x:c r="O4653" s="4" t="str">
        <x:v>BOOK-04652</x:v>
      </x:c>
      <x:c r="P4653" s="9" t="n">
        <x:v>12416000</x:v>
      </x:c>
      <x:c r="Q4653" s="11" t="n">
        <x:v>0</x:v>
      </x:c>
      <x:c r="R4653" s="8" t="n">
        <x:v>45629</x:v>
      </x:c>
      <x:c r="S4653" s="4" t="str">
        <x:v>Retained</x:v>
      </x:c>
      <x:c r="T4653" s="10" t="n">
        <x:v>0.171717</x:v>
      </x:c>
      <x:c r="U4653" s="4" t="str">
        <x:v>Test</x:v>
      </x:c>
    </x:row>
    <x:row r="4654" ht="34" customHeight="1">
      <x:c r="A4654" s="4" t="str">
        <x:v>RS-04653</x:v>
      </x:c>
      <x:c r="B4654" s="8" t="n">
        <x:v>45570</x:v>
      </x:c>
      <x:c r="C4654" s="4" t="str">
        <x:v>PRJ-013</x:v>
      </x:c>
      <x:c r="D4654" s="4" t="str">
        <x:v>Villa</x:v>
      </x:c>
      <x:c r="E4654" s="4" t="str">
        <x:v>Agreement signed</x:v>
      </x:c>
      <x:c r="F4654" s="4" t="str">
        <x:v>CUS-04653</x:v>
      </x:c>
      <x:c r="G4654" s="4" t="str">
        <x:v>UNIT-04653</x:v>
      </x:c>
      <x:c r="H4654" s="9" t="n">
        <x:v>7800000</x:v>
      </x:c>
      <x:c r="I4654" s="10" t="n">
        <x:v>0.02</x:v>
      </x:c>
      <x:c r="J4654" s="11" t="n">
        <x:v>1</x:v>
      </x:c>
      <x:c r="K4654" s="11" t="n">
        <x:v>9</x:v>
      </x:c>
      <x:c r="L4654" s="11" t="n">
        <x:v>0</x:v>
      </x:c>
      <x:c r="M4654" s="9" t="n">
        <x:f>ROUND(H4654*(1-I4654),2)</x:f>
        <x:v>7644000</x:v>
      </x:c>
      <x:c r="N4654" s="4" t="str">
        <x:v>Sales manager</x:v>
      </x:c>
      <x:c r="O4654" s="4" t="str">
        <x:v>BOOK-04653</x:v>
      </x:c>
      <x:c r="P4654" s="9" t="n">
        <x:v>764400</x:v>
      </x:c>
      <x:c r="Q4654" s="11" t="n">
        <x:v>0</x:v>
      </x:c>
      <x:c r="R4654" s="8" t="n">
        <x:v>45630</x:v>
      </x:c>
      <x:c r="S4654" s="4" t="str">
        <x:v>Retained</x:v>
      </x:c>
      <x:c r="T4654" s="10" t="n">
        <x:v>0.072165</x:v>
      </x:c>
      <x:c r="U4654" s="4" t="str">
        <x:v>Test</x:v>
      </x:c>
    </x:row>
    <x:row r="4655" ht="34" customHeight="1">
      <x:c r="A4655" s="4" t="str">
        <x:v>RS-04654</x:v>
      </x:c>
      <x:c r="B4655" s="8" t="n">
        <x:v>45571</x:v>
      </x:c>
      <x:c r="C4655" s="4" t="str">
        <x:v>PRJ-014</x:v>
      </x:c>
      <x:c r="D4655" s="4" t="str">
        <x:v>Apartment</x:v>
      </x:c>
      <x:c r="E4655" s="4" t="str">
        <x:v>Agreement signed</x:v>
      </x:c>
      <x:c r="F4655" s="4" t="str">
        <x:v>CUS-04654</x:v>
      </x:c>
      <x:c r="G4655" s="4" t="str">
        <x:v>UNIT-04654</x:v>
      </x:c>
      <x:c r="H4655" s="9" t="n">
        <x:v>10500000</x:v>
      </x:c>
      <x:c r="I4655" s="10" t="n">
        <x:v>0.04</x:v>
      </x:c>
      <x:c r="J4655" s="11" t="n">
        <x:v>1</x:v>
      </x:c>
      <x:c r="K4655" s="11" t="n">
        <x:v>1</x:v>
      </x:c>
      <x:c r="L4655" s="11" t="n">
        <x:v>1</x:v>
      </x:c>
      <x:c r="M4655" s="9" t="n">
        <x:f>ROUND(H4655*(1-I4655),2)</x:f>
        <x:v>10080000</x:v>
      </x:c>
      <x:c r="N4655" s="4" t="str">
        <x:v>Sales manager</x:v>
      </x:c>
      <x:c r="O4655" s="4" t="str">
        <x:v>BOOK-04654</x:v>
      </x:c>
      <x:c r="P4655" s="9" t="n">
        <x:v>1008000</x:v>
      </x:c>
      <x:c r="Q4655" s="11" t="n">
        <x:v>0</x:v>
      </x:c>
      <x:c r="R4655" s="8" t="n">
        <x:v>45631</x:v>
      </x:c>
      <x:c r="S4655" s="4" t="str">
        <x:v>Retained</x:v>
      </x:c>
      <x:c r="T4655" s="10" t="n">
        <x:v>0.204152</x:v>
      </x:c>
      <x:c r="U4655" s="4" t="str">
        <x:v>Test</x:v>
      </x:c>
    </x:row>
    <x:row r="4656" ht="34" customHeight="1">
      <x:c r="A4656" s="4" t="str">
        <x:v>RS-04655</x:v>
      </x:c>
      <x:c r="B4656" s="8" t="n">
        <x:v>45572</x:v>
      </x:c>
      <x:c r="C4656" s="4" t="str">
        <x:v>PRJ-015</x:v>
      </x:c>
      <x:c r="D4656" s="4" t="str">
        <x:v>Retail</x:v>
      </x:c>
      <x:c r="E4656" s="4" t="str">
        <x:v>Enquiry</x:v>
      </x:c>
      <x:c r="F4656" s="4" t="str">
        <x:v>CUS-04655</x:v>
      </x:c>
      <x:c r="G4656" s="4" t="str">
        <x:v>UNIT-04655</x:v>
      </x:c>
      <x:c r="H4656" s="9" t="n">
        <x:v>20300000</x:v>
      </x:c>
      <x:c r="I4656" s="10" t="n">
        <x:v>0.06</x:v>
      </x:c>
      <x:c r="J4656" s="11" t="n">
        <x:v>1</x:v>
      </x:c>
      <x:c r="K4656" s="11" t="n">
        <x:v>7</x:v>
      </x:c>
      <x:c r="L4656" s="11" t="n">
        <x:v>0</x:v>
      </x:c>
      <x:c r="M4656" s="9" t="n">
        <x:f>ROUND(H4656*(1-I4656),2)</x:f>
        <x:v>19082000</x:v>
      </x:c>
      <x:c r="N4656" s="4" t="str">
        <x:v>Sales manager</x:v>
      </x:c>
      <x:c r="O4656" s="4"/>
      <x:c r="P4656" s="9" t="n">
        <x:v>0</x:v>
      </x:c>
      <x:c r="Q4656" s="11" t="n">
        <x:v>0</x:v>
      </x:c>
      <x:c r="R4656" s="8" t="n">
        <x:v>45632</x:v>
      </x:c>
      <x:c r="S4656" s="4" t="str">
        <x:v>Retained</x:v>
      </x:c>
      <x:c r="T4656" s="10" t="n">
        <x:v>0.204152</x:v>
      </x:c>
      <x:c r="U4656" s="4" t="str">
        <x:v>Test</x:v>
      </x:c>
    </x:row>
    <x:row r="4657" ht="34" customHeight="1">
      <x:c r="A4657" s="4" t="str">
        <x:v>RS-04656</x:v>
      </x:c>
      <x:c r="B4657" s="8" t="n">
        <x:v>45573</x:v>
      </x:c>
      <x:c r="C4657" s="4" t="str">
        <x:v>PRJ-016</x:v>
      </x:c>
      <x:c r="D4657" s="4" t="str">
        <x:v>Retail</x:v>
      </x:c>
      <x:c r="E4657" s="4" t="str">
        <x:v>Agreement signed</x:v>
      </x:c>
      <x:c r="F4657" s="4" t="str">
        <x:v>CUS-04656</x:v>
      </x:c>
      <x:c r="G4657" s="4" t="str">
        <x:v>UNIT-04656</x:v>
      </x:c>
      <x:c r="H4657" s="9" t="n">
        <x:v>19100000</x:v>
      </x:c>
      <x:c r="I4657" s="10" t="n">
        <x:v>0.04</x:v>
      </x:c>
      <x:c r="J4657" s="11" t="n">
        <x:v>1</x:v>
      </x:c>
      <x:c r="K4657" s="11" t="n">
        <x:v>9</x:v>
      </x:c>
      <x:c r="L4657" s="11" t="n">
        <x:v>0</x:v>
      </x:c>
      <x:c r="M4657" s="9" t="n">
        <x:f>ROUND(H4657*(1-I4657),2)</x:f>
        <x:v>18336000</x:v>
      </x:c>
      <x:c r="N4657" s="4" t="str">
        <x:v>Sales manager</x:v>
      </x:c>
      <x:c r="O4657" s="4" t="str">
        <x:v>BOOK-04656</x:v>
      </x:c>
      <x:c r="P4657" s="9" t="n">
        <x:v>9168000</x:v>
      </x:c>
      <x:c r="Q4657" s="11" t="n">
        <x:v>0</x:v>
      </x:c>
      <x:c r="R4657" s="8" t="n">
        <x:v>45633</x:v>
      </x:c>
      <x:c r="S4657" s="4" t="str">
        <x:v>Retained</x:v>
      </x:c>
      <x:c r="T4657" s="10" t="n">
        <x:v>0.204152</x:v>
      </x:c>
      <x:c r="U4657" s="4" t="str">
        <x:v>Test</x:v>
      </x:c>
    </x:row>
    <x:row r="4658" ht="34" customHeight="1">
      <x:c r="A4658" s="4" t="str">
        <x:v>RS-04657</x:v>
      </x:c>
      <x:c r="B4658" s="8" t="n">
        <x:v>45574</x:v>
      </x:c>
      <x:c r="C4658" s="4" t="str">
        <x:v>PRJ-017</x:v>
      </x:c>
      <x:c r="D4658" s="4" t="str">
        <x:v>Villa</x:v>
      </x:c>
      <x:c r="E4658" s="4" t="str">
        <x:v>Enquiry</x:v>
      </x:c>
      <x:c r="F4658" s="4" t="str">
        <x:v>CUS-04657</x:v>
      </x:c>
      <x:c r="G4658" s="4" t="str">
        <x:v>UNIT-04657</x:v>
      </x:c>
      <x:c r="H4658" s="9" t="n">
        <x:v>22200000</x:v>
      </x:c>
      <x:c r="I4658" s="10" t="n">
        <x:v>0.04</x:v>
      </x:c>
      <x:c r="J4658" s="11" t="n">
        <x:v>0</x:v>
      </x:c>
      <x:c r="K4658" s="11" t="n">
        <x:v>5</x:v>
      </x:c>
      <x:c r="L4658" s="11" t="n">
        <x:v>0</x:v>
      </x:c>
      <x:c r="M4658" s="9" t="n">
        <x:f>ROUND(H4658*(1-I4658),2)</x:f>
        <x:v>21312000</x:v>
      </x:c>
      <x:c r="N4658" s="4" t="str">
        <x:v>Sales manager</x:v>
      </x:c>
      <x:c r="O4658" s="4"/>
      <x:c r="P4658" s="9" t="n">
        <x:v>0</x:v>
      </x:c>
      <x:c r="Q4658" s="11" t="n">
        <x:v>0</x:v>
      </x:c>
      <x:c r="R4658" s="8" t="n">
        <x:v>45634</x:v>
      </x:c>
      <x:c r="S4658" s="4" t="str">
        <x:v>Retained</x:v>
      </x:c>
      <x:c r="T4658" s="10" t="n">
        <x:v>0.204152</x:v>
      </x:c>
      <x:c r="U4658" s="4" t="str">
        <x:v>Test</x:v>
      </x:c>
    </x:row>
    <x:row r="4659" ht="34" customHeight="1">
      <x:c r="A4659" s="4" t="str">
        <x:v>RS-04658</x:v>
      </x:c>
      <x:c r="B4659" s="8" t="n">
        <x:v>45575</x:v>
      </x:c>
      <x:c r="C4659" s="4" t="str">
        <x:v>PRJ-018</x:v>
      </x:c>
      <x:c r="D4659" s="4" t="str">
        <x:v>Villa</x:v>
      </x:c>
      <x:c r="E4659" s="4" t="str">
        <x:v>Agreement signed</x:v>
      </x:c>
      <x:c r="F4659" s="4" t="str">
        <x:v>CUS-04658</x:v>
      </x:c>
      <x:c r="G4659" s="4" t="str">
        <x:v>UNIT-04658</x:v>
      </x:c>
      <x:c r="H4659" s="9" t="n">
        <x:v>4700000</x:v>
      </x:c>
      <x:c r="I4659" s="10" t="n">
        <x:v>0.06</x:v>
      </x:c>
      <x:c r="J4659" s="11" t="n">
        <x:v>6</x:v>
      </x:c>
      <x:c r="K4659" s="11" t="n">
        <x:v>2</x:v>
      </x:c>
      <x:c r="L4659" s="11" t="n">
        <x:v>0</x:v>
      </x:c>
      <x:c r="M4659" s="9" t="n">
        <x:f>ROUND(H4659*(1-I4659),2)</x:f>
        <x:v>4418000</x:v>
      </x:c>
      <x:c r="N4659" s="4" t="str">
        <x:v>Sales manager</x:v>
      </x:c>
      <x:c r="O4659" s="4" t="str">
        <x:v>BOOK-04658</x:v>
      </x:c>
      <x:c r="P4659" s="9" t="n">
        <x:v>4418000</x:v>
      </x:c>
      <x:c r="Q4659" s="11" t="n">
        <x:v>0</x:v>
      </x:c>
      <x:c r="R4659" s="8" t="n">
        <x:v>45635</x:v>
      </x:c>
      <x:c r="S4659" s="4" t="str">
        <x:v>Retained</x:v>
      </x:c>
      <x:c r="T4659" s="10" t="n">
        <x:v>0.226277</x:v>
      </x:c>
      <x:c r="U4659" s="4" t="str">
        <x:v>Test</x:v>
      </x:c>
    </x:row>
    <x:row r="4660" ht="34" customHeight="1">
      <x:c r="A4660" s="4" t="str">
        <x:v>RS-04659</x:v>
      </x:c>
      <x:c r="B4660" s="8" t="n">
        <x:v>45576</x:v>
      </x:c>
      <x:c r="C4660" s="4" t="str">
        <x:v>PRJ-019</x:v>
      </x:c>
      <x:c r="D4660" s="4" t="str">
        <x:v>Retail</x:v>
      </x:c>
      <x:c r="E4660" s="4" t="str">
        <x:v>Booked</x:v>
      </x:c>
      <x:c r="F4660" s="4" t="str">
        <x:v>CUS-04659</x:v>
      </x:c>
      <x:c r="G4660" s="4" t="str">
        <x:v>UNIT-04659</x:v>
      </x:c>
      <x:c r="H4660" s="9" t="n">
        <x:v>17600000</x:v>
      </x:c>
      <x:c r="I4660" s="10" t="n">
        <x:v>0.11</x:v>
      </x:c>
      <x:c r="J4660" s="11" t="n">
        <x:v>0</x:v>
      </x:c>
      <x:c r="K4660" s="11" t="n">
        <x:v>10</x:v>
      </x:c>
      <x:c r="L4660" s="11" t="n">
        <x:v>0</x:v>
      </x:c>
      <x:c r="M4660" s="9" t="n">
        <x:f>ROUND(H4660*(1-I4660),2)</x:f>
        <x:v>15664000</x:v>
      </x:c>
      <x:c r="N4660" s="4" t="str">
        <x:v>Sales head</x:v>
      </x:c>
      <x:c r="O4660" s="4" t="str">
        <x:v>BOOK-04659</x:v>
      </x:c>
      <x:c r="P4660" s="9" t="n">
        <x:v>15664000</x:v>
      </x:c>
      <x:c r="Q4660" s="11" t="n">
        <x:v>0</x:v>
      </x:c>
      <x:c r="R4660" s="8" t="n">
        <x:v>45636</x:v>
      </x:c>
      <x:c r="S4660" s="4" t="str">
        <x:v>Retained</x:v>
      </x:c>
      <x:c r="T4660" s="10" t="n">
        <x:v>0.145833</x:v>
      </x:c>
      <x:c r="U4660" s="4" t="str">
        <x:v>Test</x:v>
      </x:c>
    </x:row>
    <x:row r="4661" ht="34" customHeight="1">
      <x:c r="A4661" s="4" t="str">
        <x:v>RS-04660</x:v>
      </x:c>
      <x:c r="B4661" s="8" t="n">
        <x:v>45577</x:v>
      </x:c>
      <x:c r="C4661" s="4" t="str">
        <x:v>PRJ-020</x:v>
      </x:c>
      <x:c r="D4661" s="4" t="str">
        <x:v>Office</x:v>
      </x:c>
      <x:c r="E4661" s="4" t="str">
        <x:v>Enquiry</x:v>
      </x:c>
      <x:c r="F4661" s="4" t="str">
        <x:v>CUS-04660</x:v>
      </x:c>
      <x:c r="G4661" s="4" t="str">
        <x:v>UNIT-04660</x:v>
      </x:c>
      <x:c r="H4661" s="9" t="n">
        <x:v>23700000</x:v>
      </x:c>
      <x:c r="I4661" s="10" t="n">
        <x:v>0.11</x:v>
      </x:c>
      <x:c r="J4661" s="11" t="n">
        <x:v>12</x:v>
      </x:c>
      <x:c r="K4661" s="11" t="n">
        <x:v>2</x:v>
      </x:c>
      <x:c r="L4661" s="11" t="n">
        <x:v>0</x:v>
      </x:c>
      <x:c r="M4661" s="9" t="n">
        <x:f>ROUND(H4661*(1-I4661),2)</x:f>
        <x:v>21093000</x:v>
      </x:c>
      <x:c r="N4661" s="4" t="str">
        <x:v>Sales head</x:v>
      </x:c>
      <x:c r="O4661" s="4"/>
      <x:c r="P4661" s="9" t="n">
        <x:v>0</x:v>
      </x:c>
      <x:c r="Q4661" s="11" t="n">
        <x:v>1</x:v>
      </x:c>
      <x:c r="R4661" s="8" t="n">
        <x:v>45637</x:v>
      </x:c>
      <x:c r="S4661" s="4" t="str">
        <x:v>Lost / cancelled</x:v>
      </x:c>
      <x:c r="T4661" s="10" t="n">
        <x:v>0.351536</x:v>
      </x:c>
      <x:c r="U4661" s="4" t="str">
        <x:v>Test</x:v>
      </x:c>
    </x:row>
    <x:row r="4662" ht="34" customHeight="1">
      <x:c r="A4662" s="4" t="str">
        <x:v>RS-04661</x:v>
      </x:c>
      <x:c r="B4662" s="8" t="n">
        <x:v>45578</x:v>
      </x:c>
      <x:c r="C4662" s="4" t="str">
        <x:v>PRJ-001</x:v>
      </x:c>
      <x:c r="D4662" s="4" t="str">
        <x:v>Office</x:v>
      </x:c>
      <x:c r="E4662" s="4" t="str">
        <x:v>Cancelled</x:v>
      </x:c>
      <x:c r="F4662" s="4" t="str">
        <x:v>CUS-04661</x:v>
      </x:c>
      <x:c r="G4662" s="4" t="str">
        <x:v>UNIT-04661</x:v>
      </x:c>
      <x:c r="H4662" s="9" t="n">
        <x:v>19200000</x:v>
      </x:c>
      <x:c r="I4662" s="10" t="n">
        <x:v>0.03</x:v>
      </x:c>
      <x:c r="J4662" s="11" t="n">
        <x:v>11</x:v>
      </x:c>
      <x:c r="K4662" s="11" t="n">
        <x:v>10</x:v>
      </x:c>
      <x:c r="L4662" s="11" t="n">
        <x:v>0</x:v>
      </x:c>
      <x:c r="M4662" s="9" t="n">
        <x:f>ROUND(H4662*(1-I4662),2)</x:f>
        <x:v>18624000</x:v>
      </x:c>
      <x:c r="N4662" s="4" t="str">
        <x:v>Sales manager</x:v>
      </x:c>
      <x:c r="O4662" s="4"/>
      <x:c r="P4662" s="9" t="n">
        <x:v>0</x:v>
      </x:c>
      <x:c r="Q4662" s="11" t="n">
        <x:v>1</x:v>
      </x:c>
      <x:c r="R4662" s="8" t="n">
        <x:v>45638</x:v>
      </x:c>
      <x:c r="S4662" s="4" t="str">
        <x:v>Lost / cancelled</x:v>
      </x:c>
      <x:c r="T4662" s="10" t="n">
        <x:v>0.351536</x:v>
      </x:c>
      <x:c r="U4662" s="4" t="str">
        <x:v>Test</x:v>
      </x:c>
    </x:row>
    <x:row r="4663" ht="34" customHeight="1">
      <x:c r="A4663" s="4" t="str">
        <x:v>RS-04662</x:v>
      </x:c>
      <x:c r="B4663" s="8" t="n">
        <x:v>45579</x:v>
      </x:c>
      <x:c r="C4663" s="4" t="str">
        <x:v>PRJ-002</x:v>
      </x:c>
      <x:c r="D4663" s="4" t="str">
        <x:v>Villa</x:v>
      </x:c>
      <x:c r="E4663" s="4" t="str">
        <x:v>Agreement signed</x:v>
      </x:c>
      <x:c r="F4663" s="4" t="str">
        <x:v>CUS-04662</x:v>
      </x:c>
      <x:c r="G4663" s="4" t="str">
        <x:v>UNIT-04662</x:v>
      </x:c>
      <x:c r="H4663" s="9" t="n">
        <x:v>16400000</x:v>
      </x:c>
      <x:c r="I4663" s="10" t="n">
        <x:v>0.05</x:v>
      </x:c>
      <x:c r="J4663" s="11" t="n">
        <x:v>4</x:v>
      </x:c>
      <x:c r="K4663" s="11" t="n">
        <x:v>2</x:v>
      </x:c>
      <x:c r="L4663" s="11" t="n">
        <x:v>1</x:v>
      </x:c>
      <x:c r="M4663" s="9" t="n">
        <x:f>ROUND(H4663*(1-I4663),2)</x:f>
        <x:v>15580000</x:v>
      </x:c>
      <x:c r="N4663" s="4" t="str">
        <x:v>Sales manager</x:v>
      </x:c>
      <x:c r="O4663" s="4" t="str">
        <x:v>BOOK-04662</x:v>
      </x:c>
      <x:c r="P4663" s="9" t="n">
        <x:v>3895000</x:v>
      </x:c>
      <x:c r="Q4663" s="11" t="n">
        <x:v>0</x:v>
      </x:c>
      <x:c r="R4663" s="8" t="n">
        <x:v>45639</x:v>
      </x:c>
      <x:c r="S4663" s="4" t="str">
        <x:v>Retained</x:v>
      </x:c>
      <x:c r="T4663" s="10" t="n">
        <x:v>0.291946</x:v>
      </x:c>
      <x:c r="U4663" s="4" t="str">
        <x:v>Test</x:v>
      </x:c>
    </x:row>
    <x:row r="4664" ht="34" customHeight="1">
      <x:c r="A4664" s="4" t="str">
        <x:v>RS-04663</x:v>
      </x:c>
      <x:c r="B4664" s="8" t="n">
        <x:v>45580</x:v>
      </x:c>
      <x:c r="C4664" s="4" t="str">
        <x:v>PRJ-003</x:v>
      </x:c>
      <x:c r="D4664" s="4" t="str">
        <x:v>Office</x:v>
      </x:c>
      <x:c r="E4664" s="4" t="str">
        <x:v>Reserved</x:v>
      </x:c>
      <x:c r="F4664" s="4" t="str">
        <x:v>CUS-04663</x:v>
      </x:c>
      <x:c r="G4664" s="4" t="str">
        <x:v>UNIT-04663</x:v>
      </x:c>
      <x:c r="H4664" s="9" t="n">
        <x:v>12800000</x:v>
      </x:c>
      <x:c r="I4664" s="10" t="n">
        <x:v>0.11</x:v>
      </x:c>
      <x:c r="J4664" s="11" t="n">
        <x:v>4</x:v>
      </x:c>
      <x:c r="K4664" s="11" t="n">
        <x:v>3</x:v>
      </x:c>
      <x:c r="L4664" s="11" t="n">
        <x:v>1</x:v>
      </x:c>
      <x:c r="M4664" s="9" t="n">
        <x:f>ROUND(H4664*(1-I4664),2)</x:f>
        <x:v>11392000</x:v>
      </x:c>
      <x:c r="N4664" s="4" t="str">
        <x:v>Sales head</x:v>
      </x:c>
      <x:c r="O4664" s="4"/>
      <x:c r="P4664" s="9" t="n">
        <x:v>0</x:v>
      </x:c>
      <x:c r="Q4664" s="11" t="n">
        <x:v>1</x:v>
      </x:c>
      <x:c r="R4664" s="8" t="n">
        <x:v>45640</x:v>
      </x:c>
      <x:c r="S4664" s="4" t="str">
        <x:v>Lost / cancelled</x:v>
      </x:c>
      <x:c r="T4664" s="10" t="n">
        <x:v>0.291946</x:v>
      </x:c>
      <x:c r="U4664" s="4" t="str">
        <x:v>Test</x:v>
      </x:c>
    </x:row>
    <x:row r="4665" ht="34" customHeight="1">
      <x:c r="A4665" s="4" t="str">
        <x:v>RS-04664</x:v>
      </x:c>
      <x:c r="B4665" s="8" t="n">
        <x:v>45581</x:v>
      </x:c>
      <x:c r="C4665" s="4" t="str">
        <x:v>PRJ-004</x:v>
      </x:c>
      <x:c r="D4665" s="4" t="str">
        <x:v>Apartment</x:v>
      </x:c>
      <x:c r="E4665" s="4" t="str">
        <x:v>Cancelled</x:v>
      </x:c>
      <x:c r="F4665" s="4" t="str">
        <x:v>CUS-04664</x:v>
      </x:c>
      <x:c r="G4665" s="4" t="str">
        <x:v>UNIT-04664</x:v>
      </x:c>
      <x:c r="H4665" s="9" t="n">
        <x:v>6200000</x:v>
      </x:c>
      <x:c r="I4665" s="10" t="n">
        <x:v>0.03</x:v>
      </x:c>
      <x:c r="J4665" s="11" t="n">
        <x:v>6</x:v>
      </x:c>
      <x:c r="K4665" s="11" t="n">
        <x:v>6</x:v>
      </x:c>
      <x:c r="L4665" s="11" t="n">
        <x:v>0</x:v>
      </x:c>
      <x:c r="M4665" s="9" t="n">
        <x:f>ROUND(H4665*(1-I4665),2)</x:f>
        <x:v>6014000</x:v>
      </x:c>
      <x:c r="N4665" s="4" t="str">
        <x:v>Sales manager</x:v>
      </x:c>
      <x:c r="O4665" s="4"/>
      <x:c r="P4665" s="9" t="n">
        <x:v>0</x:v>
      </x:c>
      <x:c r="Q4665" s="11" t="n">
        <x:v>1</x:v>
      </x:c>
      <x:c r="R4665" s="8" t="n">
        <x:v>45641</x:v>
      </x:c>
      <x:c r="S4665" s="4" t="str">
        <x:v>Lost / cancelled</x:v>
      </x:c>
      <x:c r="T4665" s="10" t="n">
        <x:v>0.145299</x:v>
      </x:c>
      <x:c r="U4665" s="4" t="str">
        <x:v>Test</x:v>
      </x:c>
    </x:row>
    <x:row r="4666" ht="34" customHeight="1">
      <x:c r="A4666" s="4" t="str">
        <x:v>RS-04665</x:v>
      </x:c>
      <x:c r="B4666" s="8" t="n">
        <x:v>45582</x:v>
      </x:c>
      <x:c r="C4666" s="4" t="str">
        <x:v>PRJ-005</x:v>
      </x:c>
      <x:c r="D4666" s="4" t="str">
        <x:v>Retail</x:v>
      </x:c>
      <x:c r="E4666" s="4" t="str">
        <x:v>Agreement signed</x:v>
      </x:c>
      <x:c r="F4666" s="4" t="str">
        <x:v>CUS-04665</x:v>
      </x:c>
      <x:c r="G4666" s="4" t="str">
        <x:v>UNIT-04665</x:v>
      </x:c>
      <x:c r="H4666" s="9" t="n">
        <x:v>17200000</x:v>
      </x:c>
      <x:c r="I4666" s="10" t="n">
        <x:v>0</x:v>
      </x:c>
      <x:c r="J4666" s="11" t="n">
        <x:v>9</x:v>
      </x:c>
      <x:c r="K4666" s="11" t="n">
        <x:v>4</x:v>
      </x:c>
      <x:c r="L4666" s="11" t="n">
        <x:v>0</x:v>
      </x:c>
      <x:c r="M4666" s="9" t="n">
        <x:f>ROUND(H4666*(1-I4666),2)</x:f>
        <x:v>17200000</x:v>
      </x:c>
      <x:c r="N4666" s="4" t="str">
        <x:v>Sales manager</x:v>
      </x:c>
      <x:c r="O4666" s="4" t="str">
        <x:v>BOOK-04665</x:v>
      </x:c>
      <x:c r="P4666" s="9" t="n">
        <x:v>4300000</x:v>
      </x:c>
      <x:c r="Q4666" s="11" t="n">
        <x:v>0</x:v>
      </x:c>
      <x:c r="R4666" s="8" t="n">
        <x:v>45642</x:v>
      </x:c>
      <x:c r="S4666" s="4" t="str">
        <x:v>Retained</x:v>
      </x:c>
      <x:c r="T4666" s="10" t="n">
        <x:v>0.305556</x:v>
      </x:c>
      <x:c r="U4666" s="4" t="str">
        <x:v>Test</x:v>
      </x:c>
    </x:row>
    <x:row r="4667" ht="34" customHeight="1">
      <x:c r="A4667" s="4" t="str">
        <x:v>RS-04666</x:v>
      </x:c>
      <x:c r="B4667" s="8" t="n">
        <x:v>45583</x:v>
      </x:c>
      <x:c r="C4667" s="4" t="str">
        <x:v>PRJ-006</x:v>
      </x:c>
      <x:c r="D4667" s="4" t="str">
        <x:v>Office</x:v>
      </x:c>
      <x:c r="E4667" s="4" t="str">
        <x:v>Handed over</x:v>
      </x:c>
      <x:c r="F4667" s="4" t="str">
        <x:v>CUS-04666</x:v>
      </x:c>
      <x:c r="G4667" s="4" t="str">
        <x:v>UNIT-04666</x:v>
      </x:c>
      <x:c r="H4667" s="9" t="n">
        <x:v>22600000</x:v>
      </x:c>
      <x:c r="I4667" s="10" t="n">
        <x:v>0.05</x:v>
      </x:c>
      <x:c r="J4667" s="11" t="n">
        <x:v>12</x:v>
      </x:c>
      <x:c r="K4667" s="11" t="n">
        <x:v>0</x:v>
      </x:c>
      <x:c r="L4667" s="11" t="n">
        <x:v>1</x:v>
      </x:c>
      <x:c r="M4667" s="9" t="n">
        <x:f>ROUND(H4667*(1-I4667),2)</x:f>
        <x:v>21470000</x:v>
      </x:c>
      <x:c r="N4667" s="4" t="str">
        <x:v>Sales manager</x:v>
      </x:c>
      <x:c r="O4667" s="4" t="str">
        <x:v>BOOK-04666</x:v>
      </x:c>
      <x:c r="P4667" s="9" t="n">
        <x:v>10735000</x:v>
      </x:c>
      <x:c r="Q4667" s="11" t="n">
        <x:v>0</x:v>
      </x:c>
      <x:c r="R4667" s="8" t="n">
        <x:v>45643</x:v>
      </x:c>
      <x:c r="S4667" s="4" t="str">
        <x:v>Retained</x:v>
      </x:c>
      <x:c r="T4667" s="10" t="n">
        <x:v>0.351536</x:v>
      </x:c>
      <x:c r="U4667" s="4" t="str">
        <x:v>Test</x:v>
      </x:c>
    </x:row>
    <x:row r="4668" ht="34" customHeight="1">
      <x:c r="A4668" s="4" t="str">
        <x:v>RS-04667</x:v>
      </x:c>
      <x:c r="B4668" s="8" t="n">
        <x:v>45584</x:v>
      </x:c>
      <x:c r="C4668" s="4" t="str">
        <x:v>PRJ-007</x:v>
      </x:c>
      <x:c r="D4668" s="4" t="str">
        <x:v>Retail</x:v>
      </x:c>
      <x:c r="E4668" s="4" t="str">
        <x:v>Enquiry</x:v>
      </x:c>
      <x:c r="F4668" s="4" t="str">
        <x:v>CUS-04667</x:v>
      </x:c>
      <x:c r="G4668" s="4" t="str">
        <x:v>UNIT-04667</x:v>
      </x:c>
      <x:c r="H4668" s="9" t="n">
        <x:v>13800000</x:v>
      </x:c>
      <x:c r="I4668" s="10" t="n">
        <x:v>0.04</x:v>
      </x:c>
      <x:c r="J4668" s="11" t="n">
        <x:v>3</x:v>
      </x:c>
      <x:c r="K4668" s="11" t="n">
        <x:v>6</x:v>
      </x:c>
      <x:c r="L4668" s="11" t="n">
        <x:v>0</x:v>
      </x:c>
      <x:c r="M4668" s="9" t="n">
        <x:f>ROUND(H4668*(1-I4668),2)</x:f>
        <x:v>13248000</x:v>
      </x:c>
      <x:c r="N4668" s="4" t="str">
        <x:v>Sales manager</x:v>
      </x:c>
      <x:c r="O4668" s="4"/>
      <x:c r="P4668" s="9" t="n">
        <x:v>0</x:v>
      </x:c>
      <x:c r="Q4668" s="11" t="n">
        <x:v>0</x:v>
      </x:c>
      <x:c r="R4668" s="8" t="n">
        <x:v>45644</x:v>
      </x:c>
      <x:c r="S4668" s="4" t="str">
        <x:v>Retained</x:v>
      </x:c>
      <x:c r="T4668" s="10" t="n">
        <x:v>0.204152</x:v>
      </x:c>
      <x:c r="U4668" s="4" t="str">
        <x:v>Test</x:v>
      </x:c>
    </x:row>
    <x:row r="4669" ht="34" customHeight="1">
      <x:c r="A4669" s="4" t="str">
        <x:v>RS-04668</x:v>
      </x:c>
      <x:c r="B4669" s="8" t="n">
        <x:v>45585</x:v>
      </x:c>
      <x:c r="C4669" s="4" t="str">
        <x:v>PRJ-008</x:v>
      </x:c>
      <x:c r="D4669" s="4" t="str">
        <x:v>Retail</x:v>
      </x:c>
      <x:c r="E4669" s="4" t="str">
        <x:v>Reserved</x:v>
      </x:c>
      <x:c r="F4669" s="4" t="str">
        <x:v>CUS-04668</x:v>
      </x:c>
      <x:c r="G4669" s="4" t="str">
        <x:v>UNIT-04668</x:v>
      </x:c>
      <x:c r="H4669" s="9" t="n">
        <x:v>15200000</x:v>
      </x:c>
      <x:c r="I4669" s="10" t="n">
        <x:v>0.04</x:v>
      </x:c>
      <x:c r="J4669" s="11" t="n">
        <x:v>9</x:v>
      </x:c>
      <x:c r="K4669" s="11" t="n">
        <x:v>2</x:v>
      </x:c>
      <x:c r="L4669" s="11" t="n">
        <x:v>0</x:v>
      </x:c>
      <x:c r="M4669" s="9" t="n">
        <x:f>ROUND(H4669*(1-I4669),2)</x:f>
        <x:v>14592000</x:v>
      </x:c>
      <x:c r="N4669" s="4" t="str">
        <x:v>Sales manager</x:v>
      </x:c>
      <x:c r="O4669" s="4"/>
      <x:c r="P4669" s="9" t="n">
        <x:v>0</x:v>
      </x:c>
      <x:c r="Q4669" s="11" t="n">
        <x:v>0</x:v>
      </x:c>
      <x:c r="R4669" s="8" t="n">
        <x:v>45645</x:v>
      </x:c>
      <x:c r="S4669" s="4" t="str">
        <x:v>Retained</x:v>
      </x:c>
      <x:c r="T4669" s="10" t="n">
        <x:v>0.310195</x:v>
      </x:c>
      <x:c r="U4669" s="4" t="str">
        <x:v>Test</x:v>
      </x:c>
    </x:row>
    <x:row r="4670" ht="34" customHeight="1">
      <x:c r="A4670" s="4" t="str">
        <x:v>RS-04669</x:v>
      </x:c>
      <x:c r="B4670" s="8" t="n">
        <x:v>45586</x:v>
      </x:c>
      <x:c r="C4670" s="4" t="str">
        <x:v>PRJ-009</x:v>
      </x:c>
      <x:c r="D4670" s="4" t="str">
        <x:v>Retail</x:v>
      </x:c>
      <x:c r="E4670" s="4" t="str">
        <x:v>Cancelled</x:v>
      </x:c>
      <x:c r="F4670" s="4" t="str">
        <x:v>CUS-04669</x:v>
      </x:c>
      <x:c r="G4670" s="4" t="str">
        <x:v>UNIT-04669</x:v>
      </x:c>
      <x:c r="H4670" s="9" t="n">
        <x:v>7600000</x:v>
      </x:c>
      <x:c r="I4670" s="10" t="n">
        <x:v>0.07</x:v>
      </x:c>
      <x:c r="J4670" s="11" t="n">
        <x:v>4</x:v>
      </x:c>
      <x:c r="K4670" s="11" t="n">
        <x:v>1</x:v>
      </x:c>
      <x:c r="L4670" s="11" t="n">
        <x:v>1</x:v>
      </x:c>
      <x:c r="M4670" s="9" t="n">
        <x:f>ROUND(H4670*(1-I4670),2)</x:f>
        <x:v>7068000</x:v>
      </x:c>
      <x:c r="N4670" s="4" t="str">
        <x:v>Sales manager</x:v>
      </x:c>
      <x:c r="O4670" s="4"/>
      <x:c r="P4670" s="9" t="n">
        <x:v>0</x:v>
      </x:c>
      <x:c r="Q4670" s="11" t="n">
        <x:v>1</x:v>
      </x:c>
      <x:c r="R4670" s="8" t="n">
        <x:v>45646</x:v>
      </x:c>
      <x:c r="S4670" s="4" t="str">
        <x:v>Lost / cancelled</x:v>
      </x:c>
      <x:c r="T4670" s="10" t="n">
        <x:v>0.291946</x:v>
      </x:c>
      <x:c r="U4670" s="4" t="str">
        <x:v>Test</x:v>
      </x:c>
    </x:row>
    <x:row r="4671" ht="34" customHeight="1">
      <x:c r="A4671" s="4" t="str">
        <x:v>RS-04670</x:v>
      </x:c>
      <x:c r="B4671" s="8" t="n">
        <x:v>45587</x:v>
      </x:c>
      <x:c r="C4671" s="4" t="str">
        <x:v>PRJ-010</x:v>
      </x:c>
      <x:c r="D4671" s="4" t="str">
        <x:v>Apartment</x:v>
      </x:c>
      <x:c r="E4671" s="4" t="str">
        <x:v>Reserved</x:v>
      </x:c>
      <x:c r="F4671" s="4" t="str">
        <x:v>CUS-04670</x:v>
      </x:c>
      <x:c r="G4671" s="4" t="str">
        <x:v>UNIT-04670</x:v>
      </x:c>
      <x:c r="H4671" s="9" t="n">
        <x:v>15300000</x:v>
      </x:c>
      <x:c r="I4671" s="10" t="n">
        <x:v>0.01</x:v>
      </x:c>
      <x:c r="J4671" s="11" t="n">
        <x:v>11</x:v>
      </x:c>
      <x:c r="K4671" s="11" t="n">
        <x:v>2</x:v>
      </x:c>
      <x:c r="L4671" s="11" t="n">
        <x:v>1</x:v>
      </x:c>
      <x:c r="M4671" s="9" t="n">
        <x:f>ROUND(H4671*(1-I4671),2)</x:f>
        <x:v>15147000</x:v>
      </x:c>
      <x:c r="N4671" s="4" t="str">
        <x:v>Sales manager</x:v>
      </x:c>
      <x:c r="O4671" s="4"/>
      <x:c r="P4671" s="9" t="n">
        <x:v>0</x:v>
      </x:c>
      <x:c r="Q4671" s="11" t="n">
        <x:v>0</x:v>
      </x:c>
      <x:c r="R4671" s="8" t="n">
        <x:v>45647</x:v>
      </x:c>
      <x:c r="S4671" s="4" t="str">
        <x:v>Retained</x:v>
      </x:c>
      <x:c r="T4671" s="10" t="n">
        <x:v>0.254545</x:v>
      </x:c>
      <x:c r="U4671" s="4" t="str">
        <x:v>Test</x:v>
      </x:c>
    </x:row>
    <x:row r="4672" ht="34" customHeight="1">
      <x:c r="A4672" s="4" t="str">
        <x:v>RS-04671</x:v>
      </x:c>
      <x:c r="B4672" s="8" t="n">
        <x:v>45588</x:v>
      </x:c>
      <x:c r="C4672" s="4" t="str">
        <x:v>PRJ-011</x:v>
      </x:c>
      <x:c r="D4672" s="4" t="str">
        <x:v>Retail</x:v>
      </x:c>
      <x:c r="E4672" s="4" t="str">
        <x:v>Agreement signed</x:v>
      </x:c>
      <x:c r="F4672" s="4" t="str">
        <x:v>CUS-04671</x:v>
      </x:c>
      <x:c r="G4672" s="4" t="str">
        <x:v>UNIT-04671</x:v>
      </x:c>
      <x:c r="H4672" s="9" t="n">
        <x:v>3600000</x:v>
      </x:c>
      <x:c r="I4672" s="10" t="n">
        <x:v>0.03</x:v>
      </x:c>
      <x:c r="J4672" s="11" t="n">
        <x:v>10</x:v>
      </x:c>
      <x:c r="K4672" s="11" t="n">
        <x:v>9</x:v>
      </x:c>
      <x:c r="L4672" s="11" t="n">
        <x:v>1</x:v>
      </x:c>
      <x:c r="M4672" s="9" t="n">
        <x:f>ROUND(H4672*(1-I4672),2)</x:f>
        <x:v>3492000</x:v>
      </x:c>
      <x:c r="N4672" s="4" t="str">
        <x:v>Sales manager</x:v>
      </x:c>
      <x:c r="O4672" s="4" t="str">
        <x:v>BOOK-04671</x:v>
      </x:c>
      <x:c r="P4672" s="9" t="n">
        <x:v>3492000</x:v>
      </x:c>
      <x:c r="Q4672" s="11" t="n">
        <x:v>0</x:v>
      </x:c>
      <x:c r="R4672" s="8" t="n">
        <x:v>45648</x:v>
      </x:c>
      <x:c r="S4672" s="4" t="str">
        <x:v>Retained</x:v>
      </x:c>
      <x:c r="T4672" s="10" t="n">
        <x:v>0.310195</x:v>
      </x:c>
      <x:c r="U4672" s="4" t="str">
        <x:v>Test</x:v>
      </x:c>
    </x:row>
    <x:row r="4673" ht="34" customHeight="1">
      <x:c r="A4673" s="4" t="str">
        <x:v>RS-04672</x:v>
      </x:c>
      <x:c r="B4673" s="8" t="n">
        <x:v>45589</x:v>
      </x:c>
      <x:c r="C4673" s="4" t="str">
        <x:v>PRJ-012</x:v>
      </x:c>
      <x:c r="D4673" s="4" t="str">
        <x:v>Villa</x:v>
      </x:c>
      <x:c r="E4673" s="4" t="str">
        <x:v>Agreement signed</x:v>
      </x:c>
      <x:c r="F4673" s="4" t="str">
        <x:v>CUS-04672</x:v>
      </x:c>
      <x:c r="G4673" s="4" t="str">
        <x:v>UNIT-04672</x:v>
      </x:c>
      <x:c r="H4673" s="9" t="n">
        <x:v>20400000</x:v>
      </x:c>
      <x:c r="I4673" s="10" t="n">
        <x:v>0</x:v>
      </x:c>
      <x:c r="J4673" s="11" t="n">
        <x:v>1</x:v>
      </x:c>
      <x:c r="K4673" s="11" t="n">
        <x:v>1</x:v>
      </x:c>
      <x:c r="L4673" s="11" t="n">
        <x:v>1</x:v>
      </x:c>
      <x:c r="M4673" s="9" t="n">
        <x:f>ROUND(H4673*(1-I4673),2)</x:f>
        <x:v>20400000</x:v>
      </x:c>
      <x:c r="N4673" s="4" t="str">
        <x:v>Sales manager</x:v>
      </x:c>
      <x:c r="O4673" s="4" t="str">
        <x:v>BOOK-04672</x:v>
      </x:c>
      <x:c r="P4673" s="9" t="n">
        <x:v>20400000</x:v>
      </x:c>
      <x:c r="Q4673" s="11" t="n">
        <x:v>0</x:v>
      </x:c>
      <x:c r="R4673" s="8" t="n">
        <x:v>45649</x:v>
      </x:c>
      <x:c r="S4673" s="4" t="str">
        <x:v>Retained</x:v>
      </x:c>
      <x:c r="T4673" s="10" t="n">
        <x:v>0.072165</x:v>
      </x:c>
      <x:c r="U4673" s="4" t="str">
        <x:v>Test</x:v>
      </x:c>
    </x:row>
    <x:row r="4674" ht="34" customHeight="1">
      <x:c r="A4674" s="4" t="str">
        <x:v>RS-04673</x:v>
      </x:c>
      <x:c r="B4674" s="8" t="n">
        <x:v>45590</x:v>
      </x:c>
      <x:c r="C4674" s="4" t="str">
        <x:v>PRJ-013</x:v>
      </x:c>
      <x:c r="D4674" s="4" t="str">
        <x:v>Apartment</x:v>
      </x:c>
      <x:c r="E4674" s="4" t="str">
        <x:v>Agreement signed</x:v>
      </x:c>
      <x:c r="F4674" s="4" t="str">
        <x:v>CUS-04673</x:v>
      </x:c>
      <x:c r="G4674" s="4" t="str">
        <x:v>UNIT-04673</x:v>
      </x:c>
      <x:c r="H4674" s="9" t="n">
        <x:v>13100000</x:v>
      </x:c>
      <x:c r="I4674" s="10" t="n">
        <x:v>0.04</x:v>
      </x:c>
      <x:c r="J4674" s="11" t="n">
        <x:v>6</x:v>
      </x:c>
      <x:c r="K4674" s="11" t="n">
        <x:v>1</x:v>
      </x:c>
      <x:c r="L4674" s="11" t="n">
        <x:v>0</x:v>
      </x:c>
      <x:c r="M4674" s="9" t="n">
        <x:f>ROUND(H4674*(1-I4674),2)</x:f>
        <x:v>12576000</x:v>
      </x:c>
      <x:c r="N4674" s="4" t="str">
        <x:v>Sales manager</x:v>
      </x:c>
      <x:c r="O4674" s="4" t="str">
        <x:v>BOOK-04673</x:v>
      </x:c>
      <x:c r="P4674" s="9" t="n">
        <x:v>12576000</x:v>
      </x:c>
      <x:c r="Q4674" s="11" t="n">
        <x:v>0</x:v>
      </x:c>
      <x:c r="R4674" s="8" t="n">
        <x:v>45650</x:v>
      </x:c>
      <x:c r="S4674" s="4" t="str">
        <x:v>Retained</x:v>
      </x:c>
      <x:c r="T4674" s="10" t="n">
        <x:v>0.226277</x:v>
      </x:c>
      <x:c r="U4674" s="4" t="str">
        <x:v>Test</x:v>
      </x:c>
    </x:row>
    <x:row r="4675" ht="34" customHeight="1">
      <x:c r="A4675" s="4" t="str">
        <x:v>RS-04674</x:v>
      </x:c>
      <x:c r="B4675" s="8" t="n">
        <x:v>45591</x:v>
      </x:c>
      <x:c r="C4675" s="4" t="str">
        <x:v>PRJ-014</x:v>
      </x:c>
      <x:c r="D4675" s="4" t="str">
        <x:v>Office</x:v>
      </x:c>
      <x:c r="E4675" s="4" t="str">
        <x:v>Booked</x:v>
      </x:c>
      <x:c r="F4675" s="4" t="str">
        <x:v>CUS-04674</x:v>
      </x:c>
      <x:c r="G4675" s="4" t="str">
        <x:v>UNIT-04674</x:v>
      </x:c>
      <x:c r="H4675" s="9" t="n">
        <x:v>11300000</x:v>
      </x:c>
      <x:c r="I4675" s="10" t="n">
        <x:v>0.07</x:v>
      </x:c>
      <x:c r="J4675" s="11" t="n">
        <x:v>10</x:v>
      </x:c>
      <x:c r="K4675" s="11" t="n">
        <x:v>10</x:v>
      </x:c>
      <x:c r="L4675" s="11" t="n">
        <x:v>0</x:v>
      </x:c>
      <x:c r="M4675" s="9" t="n">
        <x:f>ROUND(H4675*(1-I4675),2)</x:f>
        <x:v>10509000</x:v>
      </x:c>
      <x:c r="N4675" s="4" t="str">
        <x:v>Sales manager</x:v>
      </x:c>
      <x:c r="O4675" s="4" t="str">
        <x:v>BOOK-04674</x:v>
      </x:c>
      <x:c r="P4675" s="9" t="n">
        <x:v>2627250</x:v>
      </x:c>
      <x:c r="Q4675" s="11" t="n">
        <x:v>0</x:v>
      </x:c>
      <x:c r="R4675" s="8" t="n">
        <x:v>45651</x:v>
      </x:c>
      <x:c r="S4675" s="4" t="str">
        <x:v>Retained</x:v>
      </x:c>
      <x:c r="T4675" s="10" t="n">
        <x:v>0.310195</x:v>
      </x:c>
      <x:c r="U4675" s="4" t="str">
        <x:v>Test</x:v>
      </x:c>
    </x:row>
    <x:row r="4676" ht="34" customHeight="1">
      <x:c r="A4676" s="4" t="str">
        <x:v>RS-04675</x:v>
      </x:c>
      <x:c r="B4676" s="8" t="n">
        <x:v>45592</x:v>
      </x:c>
      <x:c r="C4676" s="4" t="str">
        <x:v>PRJ-015</x:v>
      </x:c>
      <x:c r="D4676" s="4" t="str">
        <x:v>Office</x:v>
      </x:c>
      <x:c r="E4676" s="4" t="str">
        <x:v>Handed over</x:v>
      </x:c>
      <x:c r="F4676" s="4" t="str">
        <x:v>CUS-04675</x:v>
      </x:c>
      <x:c r="G4676" s="4" t="str">
        <x:v>UNIT-04675</x:v>
      </x:c>
      <x:c r="H4676" s="9" t="n">
        <x:v>24200000</x:v>
      </x:c>
      <x:c r="I4676" s="10" t="n">
        <x:v>0.09</x:v>
      </x:c>
      <x:c r="J4676" s="11" t="n">
        <x:v>11</x:v>
      </x:c>
      <x:c r="K4676" s="11" t="n">
        <x:v>10</x:v>
      </x:c>
      <x:c r="L4676" s="11" t="n">
        <x:v>1</x:v>
      </x:c>
      <x:c r="M4676" s="9" t="n">
        <x:f>ROUND(H4676*(1-I4676),2)</x:f>
        <x:v>22022000</x:v>
      </x:c>
      <x:c r="N4676" s="4" t="str">
        <x:v>Sales head</x:v>
      </x:c>
      <x:c r="O4676" s="4" t="str">
        <x:v>BOOK-04675</x:v>
      </x:c>
      <x:c r="P4676" s="9" t="n">
        <x:v>22022000</x:v>
      </x:c>
      <x:c r="Q4676" s="11" t="n">
        <x:v>0</x:v>
      </x:c>
      <x:c r="R4676" s="8" t="n">
        <x:v>45652</x:v>
      </x:c>
      <x:c r="S4676" s="4" t="str">
        <x:v>Retained</x:v>
      </x:c>
      <x:c r="T4676" s="10" t="n">
        <x:v>0.351536</x:v>
      </x:c>
      <x:c r="U4676" s="4" t="str">
        <x:v>Test</x:v>
      </x:c>
    </x:row>
    <x:row r="4677" ht="34" customHeight="1">
      <x:c r="A4677" s="4" t="str">
        <x:v>RS-04676</x:v>
      </x:c>
      <x:c r="B4677" s="8" t="n">
        <x:v>45593</x:v>
      </x:c>
      <x:c r="C4677" s="4" t="str">
        <x:v>PRJ-016</x:v>
      </x:c>
      <x:c r="D4677" s="4" t="str">
        <x:v>Retail</x:v>
      </x:c>
      <x:c r="E4677" s="4" t="str">
        <x:v>Enquiry</x:v>
      </x:c>
      <x:c r="F4677" s="4" t="str">
        <x:v>CUS-04676</x:v>
      </x:c>
      <x:c r="G4677" s="4" t="str">
        <x:v>UNIT-04676</x:v>
      </x:c>
      <x:c r="H4677" s="9" t="n">
        <x:v>15000000</x:v>
      </x:c>
      <x:c r="I4677" s="10" t="n">
        <x:v>0.01</x:v>
      </x:c>
      <x:c r="J4677" s="11" t="n">
        <x:v>11</x:v>
      </x:c>
      <x:c r="K4677" s="11" t="n">
        <x:v>1</x:v>
      </x:c>
      <x:c r="L4677" s="11" t="n">
        <x:v>1</x:v>
      </x:c>
      <x:c r="M4677" s="9" t="n">
        <x:f>ROUND(H4677*(1-I4677),2)</x:f>
        <x:v>14850000</x:v>
      </x:c>
      <x:c r="N4677" s="4" t="str">
        <x:v>Sales manager</x:v>
      </x:c>
      <x:c r="O4677" s="4"/>
      <x:c r="P4677" s="9" t="n">
        <x:v>0</x:v>
      </x:c>
      <x:c r="Q4677" s="11" t="n">
        <x:v>1</x:v>
      </x:c>
      <x:c r="R4677" s="8" t="n">
        <x:v>45653</x:v>
      </x:c>
      <x:c r="S4677" s="4" t="str">
        <x:v>Lost / cancelled</x:v>
      </x:c>
      <x:c r="T4677" s="10" t="n">
        <x:v>0.254545</x:v>
      </x:c>
      <x:c r="U4677" s="4" t="str">
        <x:v>Test</x:v>
      </x:c>
    </x:row>
    <x:row r="4678" ht="34" customHeight="1">
      <x:c r="A4678" s="4" t="str">
        <x:v>RS-04677</x:v>
      </x:c>
      <x:c r="B4678" s="8" t="n">
        <x:v>45566</x:v>
      </x:c>
      <x:c r="C4678" s="4" t="str">
        <x:v>PRJ-017</x:v>
      </x:c>
      <x:c r="D4678" s="4" t="str">
        <x:v>Office</x:v>
      </x:c>
      <x:c r="E4678" s="4" t="str">
        <x:v>Reserved</x:v>
      </x:c>
      <x:c r="F4678" s="4" t="str">
        <x:v>CUS-04677</x:v>
      </x:c>
      <x:c r="G4678" s="4" t="str">
        <x:v>UNIT-04677</x:v>
      </x:c>
      <x:c r="H4678" s="9" t="n">
        <x:v>4000000</x:v>
      </x:c>
      <x:c r="I4678" s="10" t="n">
        <x:v>0.09</x:v>
      </x:c>
      <x:c r="J4678" s="11" t="n">
        <x:v>9</x:v>
      </x:c>
      <x:c r="K4678" s="11" t="n">
        <x:v>2</x:v>
      </x:c>
      <x:c r="L4678" s="11" t="n">
        <x:v>1</x:v>
      </x:c>
      <x:c r="M4678" s="9" t="n">
        <x:f>ROUND(H4678*(1-I4678),2)</x:f>
        <x:v>3640000</x:v>
      </x:c>
      <x:c r="N4678" s="4" t="str">
        <x:v>Sales head</x:v>
      </x:c>
      <x:c r="O4678" s="4"/>
      <x:c r="P4678" s="9" t="n">
        <x:v>0</x:v>
      </x:c>
      <x:c r="Q4678" s="11" t="n">
        <x:v>0</x:v>
      </x:c>
      <x:c r="R4678" s="8" t="n">
        <x:v>45626</x:v>
      </x:c>
      <x:c r="S4678" s="4" t="str">
        <x:v>Retained</x:v>
      </x:c>
      <x:c r="T4678" s="10" t="n">
        <x:v>0.310195</x:v>
      </x:c>
      <x:c r="U4678" s="4" t="str">
        <x:v>Test</x:v>
      </x:c>
    </x:row>
    <x:row r="4679" ht="34" customHeight="1">
      <x:c r="A4679" s="4" t="str">
        <x:v>RS-04678</x:v>
      </x:c>
      <x:c r="B4679" s="8" t="n">
        <x:v>45567</x:v>
      </x:c>
      <x:c r="C4679" s="4" t="str">
        <x:v>PRJ-018</x:v>
      </x:c>
      <x:c r="D4679" s="4" t="str">
        <x:v>Apartment</x:v>
      </x:c>
      <x:c r="E4679" s="4" t="str">
        <x:v>Enquiry</x:v>
      </x:c>
      <x:c r="F4679" s="4" t="str">
        <x:v>CUS-04678</x:v>
      </x:c>
      <x:c r="G4679" s="4" t="str">
        <x:v>UNIT-04678</x:v>
      </x:c>
      <x:c r="H4679" s="9" t="n">
        <x:v>8600000</x:v>
      </x:c>
      <x:c r="I4679" s="10" t="n">
        <x:v>0</x:v>
      </x:c>
      <x:c r="J4679" s="11" t="n">
        <x:v>9</x:v>
      </x:c>
      <x:c r="K4679" s="11" t="n">
        <x:v>0</x:v>
      </x:c>
      <x:c r="L4679" s="11" t="n">
        <x:v>0</x:v>
      </x:c>
      <x:c r="M4679" s="9" t="n">
        <x:f>ROUND(H4679*(1-I4679),2)</x:f>
        <x:v>8600000</x:v>
      </x:c>
      <x:c r="N4679" s="4" t="str">
        <x:v>Sales manager</x:v>
      </x:c>
      <x:c r="O4679" s="4"/>
      <x:c r="P4679" s="9" t="n">
        <x:v>0</x:v>
      </x:c>
      <x:c r="Q4679" s="11" t="n">
        <x:v>1</x:v>
      </x:c>
      <x:c r="R4679" s="8" t="n">
        <x:v>45627</x:v>
      </x:c>
      <x:c r="S4679" s="4" t="str">
        <x:v>Lost / cancelled</x:v>
      </x:c>
      <x:c r="T4679" s="10" t="n">
        <x:v>0.305556</x:v>
      </x:c>
      <x:c r="U4679" s="4" t="str">
        <x:v>Test</x:v>
      </x:c>
    </x:row>
    <x:row r="4680" ht="34" customHeight="1">
      <x:c r="A4680" s="4" t="str">
        <x:v>RS-04679</x:v>
      </x:c>
      <x:c r="B4680" s="8" t="n">
        <x:v>45568</x:v>
      </x:c>
      <x:c r="C4680" s="4" t="str">
        <x:v>PRJ-019</x:v>
      </x:c>
      <x:c r="D4680" s="4" t="str">
        <x:v>Retail</x:v>
      </x:c>
      <x:c r="E4680" s="4" t="str">
        <x:v>Agreement signed</x:v>
      </x:c>
      <x:c r="F4680" s="4" t="str">
        <x:v>CUS-04679</x:v>
      </x:c>
      <x:c r="G4680" s="4" t="str">
        <x:v>UNIT-04679</x:v>
      </x:c>
      <x:c r="H4680" s="9" t="n">
        <x:v>15100000</x:v>
      </x:c>
      <x:c r="I4680" s="10" t="n">
        <x:v>0.04</x:v>
      </x:c>
      <x:c r="J4680" s="11" t="n">
        <x:v>5</x:v>
      </x:c>
      <x:c r="K4680" s="11" t="n">
        <x:v>9</x:v>
      </x:c>
      <x:c r="L4680" s="11" t="n">
        <x:v>0</x:v>
      </x:c>
      <x:c r="M4680" s="9" t="n">
        <x:f>ROUND(H4680*(1-I4680),2)</x:f>
        <x:v>14496000</x:v>
      </x:c>
      <x:c r="N4680" s="4" t="str">
        <x:v>Sales manager</x:v>
      </x:c>
      <x:c r="O4680" s="4" t="str">
        <x:v>BOOK-04679</x:v>
      </x:c>
      <x:c r="P4680" s="9" t="n">
        <x:v>7248000</x:v>
      </x:c>
      <x:c r="Q4680" s="11" t="n">
        <x:v>0</x:v>
      </x:c>
      <x:c r="R4680" s="8" t="n">
        <x:v>45628</x:v>
      </x:c>
      <x:c r="S4680" s="4" t="str">
        <x:v>Retained</x:v>
      </x:c>
      <x:c r="T4680" s="10" t="n">
        <x:v>0.226277</x:v>
      </x:c>
      <x:c r="U4680" s="4" t="str">
        <x:v>Test</x:v>
      </x:c>
    </x:row>
    <x:row r="4681" ht="34" customHeight="1">
      <x:c r="A4681" s="4" t="str">
        <x:v>RS-04680</x:v>
      </x:c>
      <x:c r="B4681" s="8" t="n">
        <x:v>45569</x:v>
      </x:c>
      <x:c r="C4681" s="4" t="str">
        <x:v>PRJ-020</x:v>
      </x:c>
      <x:c r="D4681" s="4" t="str">
        <x:v>Retail</x:v>
      </x:c>
      <x:c r="E4681" s="4" t="str">
        <x:v>Booked</x:v>
      </x:c>
      <x:c r="F4681" s="4" t="str">
        <x:v>CUS-04680</x:v>
      </x:c>
      <x:c r="G4681" s="4" t="str">
        <x:v>UNIT-04680</x:v>
      </x:c>
      <x:c r="H4681" s="9" t="n">
        <x:v>10300000</x:v>
      </x:c>
      <x:c r="I4681" s="10" t="n">
        <x:v>0.06</x:v>
      </x:c>
      <x:c r="J4681" s="11" t="n">
        <x:v>6</x:v>
      </x:c>
      <x:c r="K4681" s="11" t="n">
        <x:v>7</x:v>
      </x:c>
      <x:c r="L4681" s="11" t="n">
        <x:v>0</x:v>
      </x:c>
      <x:c r="M4681" s="9" t="n">
        <x:f>ROUND(H4681*(1-I4681),2)</x:f>
        <x:v>9682000</x:v>
      </x:c>
      <x:c r="N4681" s="4" t="str">
        <x:v>Sales manager</x:v>
      </x:c>
      <x:c r="O4681" s="4" t="str">
        <x:v>BOOK-04680</x:v>
      </x:c>
      <x:c r="P4681" s="9" t="n">
        <x:v>4841000</x:v>
      </x:c>
      <x:c r="Q4681" s="11" t="n">
        <x:v>0</x:v>
      </x:c>
      <x:c r="R4681" s="8" t="n">
        <x:v>45629</x:v>
      </x:c>
      <x:c r="S4681" s="4" t="str">
        <x:v>Retained</x:v>
      </x:c>
      <x:c r="T4681" s="10" t="n">
        <x:v>0.226277</x:v>
      </x:c>
      <x:c r="U4681" s="4" t="str">
        <x:v>Test</x:v>
      </x:c>
    </x:row>
    <x:row r="4682" ht="34" customHeight="1">
      <x:c r="A4682" s="4" t="str">
        <x:v>RS-04681</x:v>
      </x:c>
      <x:c r="B4682" s="8" t="n">
        <x:v>45570</x:v>
      </x:c>
      <x:c r="C4682" s="4" t="str">
        <x:v>PRJ-001</x:v>
      </x:c>
      <x:c r="D4682" s="4" t="str">
        <x:v>Office</x:v>
      </x:c>
      <x:c r="E4682" s="4" t="str">
        <x:v>Handed over</x:v>
      </x:c>
      <x:c r="F4682" s="4" t="str">
        <x:v>CUS-04681</x:v>
      </x:c>
      <x:c r="G4682" s="4" t="str">
        <x:v>UNIT-04681</x:v>
      </x:c>
      <x:c r="H4682" s="9" t="n">
        <x:v>5600000</x:v>
      </x:c>
      <x:c r="I4682" s="10" t="n">
        <x:v>0.03</x:v>
      </x:c>
      <x:c r="J4682" s="11" t="n">
        <x:v>12</x:v>
      </x:c>
      <x:c r="K4682" s="11" t="n">
        <x:v>0</x:v>
      </x:c>
      <x:c r="L4682" s="11" t="n">
        <x:v>1</x:v>
      </x:c>
      <x:c r="M4682" s="9" t="n">
        <x:f>ROUND(H4682*(1-I4682),2)</x:f>
        <x:v>5432000</x:v>
      </x:c>
      <x:c r="N4682" s="4" t="str">
        <x:v>Sales manager</x:v>
      </x:c>
      <x:c r="O4682" s="4" t="str">
        <x:v>BOOK-04681</x:v>
      </x:c>
      <x:c r="P4682" s="9" t="n">
        <x:v>5432000</x:v>
      </x:c>
      <x:c r="Q4682" s="11" t="n">
        <x:v>0</x:v>
      </x:c>
      <x:c r="R4682" s="8" t="n">
        <x:v>45630</x:v>
      </x:c>
      <x:c r="S4682" s="4" t="str">
        <x:v>Retained</x:v>
      </x:c>
      <x:c r="T4682" s="10" t="n">
        <x:v>0.351536</x:v>
      </x:c>
      <x:c r="U4682" s="4" t="str">
        <x:v>Test</x:v>
      </x:c>
    </x:row>
    <x:row r="4683" ht="34" customHeight="1">
      <x:c r="A4683" s="4" t="str">
        <x:v>RS-04682</x:v>
      </x:c>
      <x:c r="B4683" s="8" t="n">
        <x:v>45571</x:v>
      </x:c>
      <x:c r="C4683" s="4" t="str">
        <x:v>PRJ-002</x:v>
      </x:c>
      <x:c r="D4683" s="4" t="str">
        <x:v>Retail</x:v>
      </x:c>
      <x:c r="E4683" s="4" t="str">
        <x:v>Booked</x:v>
      </x:c>
      <x:c r="F4683" s="4" t="str">
        <x:v>CUS-04682</x:v>
      </x:c>
      <x:c r="G4683" s="4" t="str">
        <x:v>UNIT-04682</x:v>
      </x:c>
      <x:c r="H4683" s="9" t="n">
        <x:v>17700000</x:v>
      </x:c>
      <x:c r="I4683" s="10" t="n">
        <x:v>0.11</x:v>
      </x:c>
      <x:c r="J4683" s="11" t="n">
        <x:v>7</x:v>
      </x:c>
      <x:c r="K4683" s="11" t="n">
        <x:v>7</x:v>
      </x:c>
      <x:c r="L4683" s="11" t="n">
        <x:v>0</x:v>
      </x:c>
      <x:c r="M4683" s="9" t="n">
        <x:f>ROUND(H4683*(1-I4683),2)</x:f>
        <x:v>15753000</x:v>
      </x:c>
      <x:c r="N4683" s="4" t="str">
        <x:v>Sales head</x:v>
      </x:c>
      <x:c r="O4683" s="4" t="str">
        <x:v>BOOK-04682</x:v>
      </x:c>
      <x:c r="P4683" s="9" t="n">
        <x:v>15753000</x:v>
      </x:c>
      <x:c r="Q4683" s="11" t="n">
        <x:v>0</x:v>
      </x:c>
      <x:c r="R4683" s="8" t="n">
        <x:v>45631</x:v>
      </x:c>
      <x:c r="S4683" s="4" t="str">
        <x:v>Retained</x:v>
      </x:c>
      <x:c r="T4683" s="10" t="n">
        <x:v>0.226277</x:v>
      </x:c>
      <x:c r="U4683" s="4" t="str">
        <x:v>Test</x:v>
      </x:c>
    </x:row>
    <x:row r="4684" ht="34" customHeight="1">
      <x:c r="A4684" s="4" t="str">
        <x:v>RS-04683</x:v>
      </x:c>
      <x:c r="B4684" s="8" t="n">
        <x:v>45572</x:v>
      </x:c>
      <x:c r="C4684" s="4" t="str">
        <x:v>PRJ-003</x:v>
      </x:c>
      <x:c r="D4684" s="4" t="str">
        <x:v>Office</x:v>
      </x:c>
      <x:c r="E4684" s="4" t="str">
        <x:v>Cancelled</x:v>
      </x:c>
      <x:c r="F4684" s="4" t="str">
        <x:v>CUS-04683</x:v>
      </x:c>
      <x:c r="G4684" s="4" t="str">
        <x:v>UNIT-04683</x:v>
      </x:c>
      <x:c r="H4684" s="9" t="n">
        <x:v>11700000</x:v>
      </x:c>
      <x:c r="I4684" s="10" t="n">
        <x:v>0.03</x:v>
      </x:c>
      <x:c r="J4684" s="11" t="n">
        <x:v>10</x:v>
      </x:c>
      <x:c r="K4684" s="11" t="n">
        <x:v>8</x:v>
      </x:c>
      <x:c r="L4684" s="11" t="n">
        <x:v>0</x:v>
      </x:c>
      <x:c r="M4684" s="9" t="n">
        <x:f>ROUND(H4684*(1-I4684),2)</x:f>
        <x:v>11349000</x:v>
      </x:c>
      <x:c r="N4684" s="4" t="str">
        <x:v>Sales manager</x:v>
      </x:c>
      <x:c r="O4684" s="4"/>
      <x:c r="P4684" s="9" t="n">
        <x:v>0</x:v>
      </x:c>
      <x:c r="Q4684" s="11" t="n">
        <x:v>1</x:v>
      </x:c>
      <x:c r="R4684" s="8" t="n">
        <x:v>45632</x:v>
      </x:c>
      <x:c r="S4684" s="4" t="str">
        <x:v>Lost / cancelled</x:v>
      </x:c>
      <x:c r="T4684" s="10" t="n">
        <x:v>0.310195</x:v>
      </x:c>
      <x:c r="U4684" s="4" t="str">
        <x:v>Test</x:v>
      </x:c>
    </x:row>
    <x:row r="4685" ht="34" customHeight="1">
      <x:c r="A4685" s="4" t="str">
        <x:v>RS-04684</x:v>
      </x:c>
      <x:c r="B4685" s="8" t="n">
        <x:v>45573</x:v>
      </x:c>
      <x:c r="C4685" s="4" t="str">
        <x:v>PRJ-004</x:v>
      </x:c>
      <x:c r="D4685" s="4" t="str">
        <x:v>Office</x:v>
      </x:c>
      <x:c r="E4685" s="4" t="str">
        <x:v>Agreement signed</x:v>
      </x:c>
      <x:c r="F4685" s="4" t="str">
        <x:v>CUS-04684</x:v>
      </x:c>
      <x:c r="G4685" s="4" t="str">
        <x:v>UNIT-04684</x:v>
      </x:c>
      <x:c r="H4685" s="9" t="n">
        <x:v>10000000</x:v>
      </x:c>
      <x:c r="I4685" s="10" t="n">
        <x:v>0.07</x:v>
      </x:c>
      <x:c r="J4685" s="11" t="n">
        <x:v>4</x:v>
      </x:c>
      <x:c r="K4685" s="11" t="n">
        <x:v>9</x:v>
      </x:c>
      <x:c r="L4685" s="11" t="n">
        <x:v>1</x:v>
      </x:c>
      <x:c r="M4685" s="9" t="n">
        <x:f>ROUND(H4685*(1-I4685),2)</x:f>
        <x:v>9300000</x:v>
      </x:c>
      <x:c r="N4685" s="4" t="str">
        <x:v>Sales manager</x:v>
      </x:c>
      <x:c r="O4685" s="4" t="str">
        <x:v>BOOK-04684</x:v>
      </x:c>
      <x:c r="P4685" s="9" t="n">
        <x:v>930000</x:v>
      </x:c>
      <x:c r="Q4685" s="11" t="n">
        <x:v>0</x:v>
      </x:c>
      <x:c r="R4685" s="8" t="n">
        <x:v>45633</x:v>
      </x:c>
      <x:c r="S4685" s="4" t="str">
        <x:v>Retained</x:v>
      </x:c>
      <x:c r="T4685" s="10" t="n">
        <x:v>0.291946</x:v>
      </x:c>
      <x:c r="U4685" s="4" t="str">
        <x:v>Test</x:v>
      </x:c>
    </x:row>
    <x:row r="4686" ht="34" customHeight="1">
      <x:c r="A4686" s="4" t="str">
        <x:v>RS-04685</x:v>
      </x:c>
      <x:c r="B4686" s="8" t="n">
        <x:v>45574</x:v>
      </x:c>
      <x:c r="C4686" s="4" t="str">
        <x:v>PRJ-005</x:v>
      </x:c>
      <x:c r="D4686" s="4" t="str">
        <x:v>Office</x:v>
      </x:c>
      <x:c r="E4686" s="4" t="str">
        <x:v>Booked</x:v>
      </x:c>
      <x:c r="F4686" s="4" t="str">
        <x:v>CUS-04685</x:v>
      </x:c>
      <x:c r="G4686" s="4" t="str">
        <x:v>UNIT-04685</x:v>
      </x:c>
      <x:c r="H4686" s="9" t="n">
        <x:v>21200000</x:v>
      </x:c>
      <x:c r="I4686" s="10" t="n">
        <x:v>0.06</x:v>
      </x:c>
      <x:c r="J4686" s="11" t="n">
        <x:v>11</x:v>
      </x:c>
      <x:c r="K4686" s="11" t="n">
        <x:v>0</x:v>
      </x:c>
      <x:c r="L4686" s="11" t="n">
        <x:v>1</x:v>
      </x:c>
      <x:c r="M4686" s="9" t="n">
        <x:f>ROUND(H4686*(1-I4686),2)</x:f>
        <x:v>19928000</x:v>
      </x:c>
      <x:c r="N4686" s="4" t="str">
        <x:v>Sales manager</x:v>
      </x:c>
      <x:c r="O4686" s="4" t="str">
        <x:v>BOOK-04685</x:v>
      </x:c>
      <x:c r="P4686" s="9" t="n">
        <x:v>4982000</x:v>
      </x:c>
      <x:c r="Q4686" s="11" t="n">
        <x:v>0</x:v>
      </x:c>
      <x:c r="R4686" s="8" t="n">
        <x:v>45634</x:v>
      </x:c>
      <x:c r="S4686" s="4" t="str">
        <x:v>Retained</x:v>
      </x:c>
      <x:c r="T4686" s="10" t="n">
        <x:v>0.351536</x:v>
      </x:c>
      <x:c r="U4686" s="4" t="str">
        <x:v>Test</x:v>
      </x:c>
    </x:row>
    <x:row r="4687" ht="34" customHeight="1">
      <x:c r="A4687" s="4" t="str">
        <x:v>RS-04686</x:v>
      </x:c>
      <x:c r="B4687" s="8" t="n">
        <x:v>45575</x:v>
      </x:c>
      <x:c r="C4687" s="4" t="str">
        <x:v>PRJ-006</x:v>
      </x:c>
      <x:c r="D4687" s="4" t="str">
        <x:v>Apartment</x:v>
      </x:c>
      <x:c r="E4687" s="4" t="str">
        <x:v>Agreement signed</x:v>
      </x:c>
      <x:c r="F4687" s="4" t="str">
        <x:v>CUS-04686</x:v>
      </x:c>
      <x:c r="G4687" s="4" t="str">
        <x:v>UNIT-04686</x:v>
      </x:c>
      <x:c r="H4687" s="9" t="n">
        <x:v>14800000</x:v>
      </x:c>
      <x:c r="I4687" s="10" t="n">
        <x:v>0.09</x:v>
      </x:c>
      <x:c r="J4687" s="11" t="n">
        <x:v>1</x:v>
      </x:c>
      <x:c r="K4687" s="11" t="n">
        <x:v>4</x:v>
      </x:c>
      <x:c r="L4687" s="11" t="n">
        <x:v>1</x:v>
      </x:c>
      <x:c r="M4687" s="9" t="n">
        <x:f>ROUND(H4687*(1-I4687),2)</x:f>
        <x:v>13468000</x:v>
      </x:c>
      <x:c r="N4687" s="4" t="str">
        <x:v>Sales head</x:v>
      </x:c>
      <x:c r="O4687" s="4" t="str">
        <x:v>BOOK-04686</x:v>
      </x:c>
      <x:c r="P4687" s="9" t="n">
        <x:v>3367000</x:v>
      </x:c>
      <x:c r="Q4687" s="11" t="n">
        <x:v>0</x:v>
      </x:c>
      <x:c r="R4687" s="8" t="n">
        <x:v>45635</x:v>
      </x:c>
      <x:c r="S4687" s="4" t="str">
        <x:v>Retained</x:v>
      </x:c>
      <x:c r="T4687" s="10" t="n">
        <x:v>0.145833</x:v>
      </x:c>
      <x:c r="U4687" s="4" t="str">
        <x:v>Test</x:v>
      </x:c>
    </x:row>
    <x:row r="4688" ht="34" customHeight="1">
      <x:c r="A4688" s="4" t="str">
        <x:v>RS-04687</x:v>
      </x:c>
      <x:c r="B4688" s="8" t="n">
        <x:v>45576</x:v>
      </x:c>
      <x:c r="C4688" s="4" t="str">
        <x:v>PRJ-007</x:v>
      </x:c>
      <x:c r="D4688" s="4" t="str">
        <x:v>Office</x:v>
      </x:c>
      <x:c r="E4688" s="4" t="str">
        <x:v>Agreement signed</x:v>
      </x:c>
      <x:c r="F4688" s="4" t="str">
        <x:v>CUS-04687</x:v>
      </x:c>
      <x:c r="G4688" s="4" t="str">
        <x:v>UNIT-04687</x:v>
      </x:c>
      <x:c r="H4688" s="9" t="n">
        <x:v>15900000</x:v>
      </x:c>
      <x:c r="I4688" s="10" t="n">
        <x:v>0.11</x:v>
      </x:c>
      <x:c r="J4688" s="11" t="n">
        <x:v>11</x:v>
      </x:c>
      <x:c r="K4688" s="11" t="n">
        <x:v>9</x:v>
      </x:c>
      <x:c r="L4688" s="11" t="n">
        <x:v>1</x:v>
      </x:c>
      <x:c r="M4688" s="9" t="n">
        <x:f>ROUND(H4688*(1-I4688),2)</x:f>
        <x:v>14151000</x:v>
      </x:c>
      <x:c r="N4688" s="4" t="str">
        <x:v>Sales head</x:v>
      </x:c>
      <x:c r="O4688" s="4" t="str">
        <x:v>BOOK-04687</x:v>
      </x:c>
      <x:c r="P4688" s="9" t="n">
        <x:v>7075500</x:v>
      </x:c>
      <x:c r="Q4688" s="11" t="n">
        <x:v>0</x:v>
      </x:c>
      <x:c r="R4688" s="8" t="n">
        <x:v>45636</x:v>
      </x:c>
      <x:c r="S4688" s="4" t="str">
        <x:v>Retained</x:v>
      </x:c>
      <x:c r="T4688" s="10" t="n">
        <x:v>0.351536</x:v>
      </x:c>
      <x:c r="U4688" s="4" t="str">
        <x:v>Test</x:v>
      </x:c>
    </x:row>
    <x:row r="4689" ht="34" customHeight="1">
      <x:c r="A4689" s="4" t="str">
        <x:v>RS-04688</x:v>
      </x:c>
      <x:c r="B4689" s="8" t="n">
        <x:v>45577</x:v>
      </x:c>
      <x:c r="C4689" s="4" t="str">
        <x:v>PRJ-008</x:v>
      </x:c>
      <x:c r="D4689" s="4" t="str">
        <x:v>Villa</x:v>
      </x:c>
      <x:c r="E4689" s="4" t="str">
        <x:v>Reserved</x:v>
      </x:c>
      <x:c r="F4689" s="4" t="str">
        <x:v>CUS-04688</x:v>
      </x:c>
      <x:c r="G4689" s="4" t="str">
        <x:v>UNIT-04688</x:v>
      </x:c>
      <x:c r="H4689" s="9" t="n">
        <x:v>10500000</x:v>
      </x:c>
      <x:c r="I4689" s="10" t="n">
        <x:v>0.09</x:v>
      </x:c>
      <x:c r="J4689" s="11" t="n">
        <x:v>0</x:v>
      </x:c>
      <x:c r="K4689" s="11" t="n">
        <x:v>6</x:v>
      </x:c>
      <x:c r="L4689" s="11" t="n">
        <x:v>1</x:v>
      </x:c>
      <x:c r="M4689" s="9" t="n">
        <x:f>ROUND(H4689*(1-I4689),2)</x:f>
        <x:v>9555000</x:v>
      </x:c>
      <x:c r="N4689" s="4" t="str">
        <x:v>Sales head</x:v>
      </x:c>
      <x:c r="O4689" s="4"/>
      <x:c r="P4689" s="9" t="n">
        <x:v>0</x:v>
      </x:c>
      <x:c r="Q4689" s="11" t="n">
        <x:v>0</x:v>
      </x:c>
      <x:c r="R4689" s="8" t="n">
        <x:v>45637</x:v>
      </x:c>
      <x:c r="S4689" s="4" t="str">
        <x:v>Retained</x:v>
      </x:c>
      <x:c r="T4689" s="10" t="n">
        <x:v>0.145833</x:v>
      </x:c>
      <x:c r="U4689" s="4" t="str">
        <x:v>Test</x:v>
      </x:c>
    </x:row>
    <x:row r="4690" ht="34" customHeight="1">
      <x:c r="A4690" s="4" t="str">
        <x:v>RS-04689</x:v>
      </x:c>
      <x:c r="B4690" s="8" t="n">
        <x:v>45578</x:v>
      </x:c>
      <x:c r="C4690" s="4" t="str">
        <x:v>PRJ-009</x:v>
      </x:c>
      <x:c r="D4690" s="4" t="str">
        <x:v>Villa</x:v>
      </x:c>
      <x:c r="E4690" s="4" t="str">
        <x:v>Agreement signed</x:v>
      </x:c>
      <x:c r="F4690" s="4" t="str">
        <x:v>CUS-04689</x:v>
      </x:c>
      <x:c r="G4690" s="4" t="str">
        <x:v>UNIT-04689</x:v>
      </x:c>
      <x:c r="H4690" s="9" t="n">
        <x:v>10000000</x:v>
      </x:c>
      <x:c r="I4690" s="10" t="n">
        <x:v>0.05</x:v>
      </x:c>
      <x:c r="J4690" s="11" t="n">
        <x:v>1</x:v>
      </x:c>
      <x:c r="K4690" s="11" t="n">
        <x:v>10</x:v>
      </x:c>
      <x:c r="L4690" s="11" t="n">
        <x:v>1</x:v>
      </x:c>
      <x:c r="M4690" s="9" t="n">
        <x:f>ROUND(H4690*(1-I4690),2)</x:f>
        <x:v>9500000</x:v>
      </x:c>
      <x:c r="N4690" s="4" t="str">
        <x:v>Sales manager</x:v>
      </x:c>
      <x:c r="O4690" s="4" t="str">
        <x:v>BOOK-04689</x:v>
      </x:c>
      <x:c r="P4690" s="9" t="n">
        <x:v>9500000</x:v>
      </x:c>
      <x:c r="Q4690" s="11" t="n">
        <x:v>0</x:v>
      </x:c>
      <x:c r="R4690" s="8" t="n">
        <x:v>45638</x:v>
      </x:c>
      <x:c r="S4690" s="4" t="str">
        <x:v>Retained</x:v>
      </x:c>
      <x:c r="T4690" s="10" t="n">
        <x:v>0.204152</x:v>
      </x:c>
      <x:c r="U4690" s="4" t="str">
        <x:v>Test</x:v>
      </x:c>
    </x:row>
    <x:row r="4691" ht="34" customHeight="1">
      <x:c r="A4691" s="4" t="str">
        <x:v>RS-04690</x:v>
      </x:c>
      <x:c r="B4691" s="8" t="n">
        <x:v>45579</x:v>
      </x:c>
      <x:c r="C4691" s="4" t="str">
        <x:v>PRJ-010</x:v>
      </x:c>
      <x:c r="D4691" s="4" t="str">
        <x:v>Retail</x:v>
      </x:c>
      <x:c r="E4691" s="4" t="str">
        <x:v>Reserved</x:v>
      </x:c>
      <x:c r="F4691" s="4" t="str">
        <x:v>CUS-04690</x:v>
      </x:c>
      <x:c r="G4691" s="4" t="str">
        <x:v>UNIT-04690</x:v>
      </x:c>
      <x:c r="H4691" s="9" t="n">
        <x:v>15300000</x:v>
      </x:c>
      <x:c r="I4691" s="10" t="n">
        <x:v>0.04</x:v>
      </x:c>
      <x:c r="J4691" s="11" t="n">
        <x:v>9</x:v>
      </x:c>
      <x:c r="K4691" s="11" t="n">
        <x:v>5</x:v>
      </x:c>
      <x:c r="L4691" s="11" t="n">
        <x:v>1</x:v>
      </x:c>
      <x:c r="M4691" s="9" t="n">
        <x:f>ROUND(H4691*(1-I4691),2)</x:f>
        <x:v>14688000</x:v>
      </x:c>
      <x:c r="N4691" s="4" t="str">
        <x:v>Sales manager</x:v>
      </x:c>
      <x:c r="O4691" s="4"/>
      <x:c r="P4691" s="9" t="n">
        <x:v>0</x:v>
      </x:c>
      <x:c r="Q4691" s="11" t="n">
        <x:v>1</x:v>
      </x:c>
      <x:c r="R4691" s="8" t="n">
        <x:v>45639</x:v>
      </x:c>
      <x:c r="S4691" s="4" t="str">
        <x:v>Lost / cancelled</x:v>
      </x:c>
      <x:c r="T4691" s="10" t="n">
        <x:v>0.310195</x:v>
      </x:c>
      <x:c r="U4691" s="4" t="str">
        <x:v>Test</x:v>
      </x:c>
    </x:row>
    <x:row r="4692" ht="34" customHeight="1">
      <x:c r="A4692" s="4" t="str">
        <x:v>RS-04691</x:v>
      </x:c>
      <x:c r="B4692" s="8" t="n">
        <x:v>45580</x:v>
      </x:c>
      <x:c r="C4692" s="4" t="str">
        <x:v>PRJ-011</x:v>
      </x:c>
      <x:c r="D4692" s="4" t="str">
        <x:v>Office</x:v>
      </x:c>
      <x:c r="E4692" s="4" t="str">
        <x:v>Cancelled</x:v>
      </x:c>
      <x:c r="F4692" s="4" t="str">
        <x:v>CUS-04691</x:v>
      </x:c>
      <x:c r="G4692" s="4" t="str">
        <x:v>UNIT-04691</x:v>
      </x:c>
      <x:c r="H4692" s="9" t="n">
        <x:v>4800000</x:v>
      </x:c>
      <x:c r="I4692" s="10" t="n">
        <x:v>0.02</x:v>
      </x:c>
      <x:c r="J4692" s="11" t="n">
        <x:v>2</x:v>
      </x:c>
      <x:c r="K4692" s="11" t="n">
        <x:v>10</x:v>
      </x:c>
      <x:c r="L4692" s="11" t="n">
        <x:v>0</x:v>
      </x:c>
      <x:c r="M4692" s="9" t="n">
        <x:f>ROUND(H4692*(1-I4692),2)</x:f>
        <x:v>4704000</x:v>
      </x:c>
      <x:c r="N4692" s="4" t="str">
        <x:v>Sales manager</x:v>
      </x:c>
      <x:c r="O4692" s="4"/>
      <x:c r="P4692" s="9" t="n">
        <x:v>0</x:v>
      </x:c>
      <x:c r="Q4692" s="11" t="n">
        <x:v>1</x:v>
      </x:c>
      <x:c r="R4692" s="8" t="n">
        <x:v>45640</x:v>
      </x:c>
      <x:c r="S4692" s="4" t="str">
        <x:v>Lost / cancelled</x:v>
      </x:c>
      <x:c r="T4692" s="10" t="n">
        <x:v>0.171717</x:v>
      </x:c>
      <x:c r="U4692" s="4" t="str">
        <x:v>Test</x:v>
      </x:c>
    </x:row>
    <x:row r="4693" ht="34" customHeight="1">
      <x:c r="A4693" s="4" t="str">
        <x:v>RS-04692</x:v>
      </x:c>
      <x:c r="B4693" s="8" t="n">
        <x:v>45581</x:v>
      </x:c>
      <x:c r="C4693" s="4" t="str">
        <x:v>PRJ-012</x:v>
      </x:c>
      <x:c r="D4693" s="4" t="str">
        <x:v>Office</x:v>
      </x:c>
      <x:c r="E4693" s="4" t="str">
        <x:v>Reserved</x:v>
      </x:c>
      <x:c r="F4693" s="4" t="str">
        <x:v>CUS-04692</x:v>
      </x:c>
      <x:c r="G4693" s="4" t="str">
        <x:v>UNIT-04692</x:v>
      </x:c>
      <x:c r="H4693" s="9" t="n">
        <x:v>12300000</x:v>
      </x:c>
      <x:c r="I4693" s="10" t="n">
        <x:v>0.1</x:v>
      </x:c>
      <x:c r="J4693" s="11" t="n">
        <x:v>11</x:v>
      </x:c>
      <x:c r="K4693" s="11" t="n">
        <x:v>0</x:v>
      </x:c>
      <x:c r="L4693" s="11" t="n">
        <x:v>0</x:v>
      </x:c>
      <x:c r="M4693" s="9" t="n">
        <x:f>ROUND(H4693*(1-I4693),2)</x:f>
        <x:v>11070000</x:v>
      </x:c>
      <x:c r="N4693" s="4" t="str">
        <x:v>Sales head</x:v>
      </x:c>
      <x:c r="O4693" s="4"/>
      <x:c r="P4693" s="9" t="n">
        <x:v>0</x:v>
      </x:c>
      <x:c r="Q4693" s="11" t="n">
        <x:v>1</x:v>
      </x:c>
      <x:c r="R4693" s="8" t="n">
        <x:v>45641</x:v>
      </x:c>
      <x:c r="S4693" s="4" t="str">
        <x:v>Lost / cancelled</x:v>
      </x:c>
      <x:c r="T4693" s="10" t="n">
        <x:v>0.351536</x:v>
      </x:c>
      <x:c r="U4693" s="4" t="str">
        <x:v>Test</x:v>
      </x:c>
    </x:row>
    <x:row r="4694" ht="34" customHeight="1">
      <x:c r="A4694" s="4" t="str">
        <x:v>RS-04693</x:v>
      </x:c>
      <x:c r="B4694" s="8" t="n">
        <x:v>45582</x:v>
      </x:c>
      <x:c r="C4694" s="4" t="str">
        <x:v>PRJ-013</x:v>
      </x:c>
      <x:c r="D4694" s="4" t="str">
        <x:v>Office</x:v>
      </x:c>
      <x:c r="E4694" s="4" t="str">
        <x:v>Booked</x:v>
      </x:c>
      <x:c r="F4694" s="4" t="str">
        <x:v>CUS-04693</x:v>
      </x:c>
      <x:c r="G4694" s="4" t="str">
        <x:v>UNIT-04693</x:v>
      </x:c>
      <x:c r="H4694" s="9" t="n">
        <x:v>21100000</x:v>
      </x:c>
      <x:c r="I4694" s="10" t="n">
        <x:v>0.03</x:v>
      </x:c>
      <x:c r="J4694" s="11" t="n">
        <x:v>9</x:v>
      </x:c>
      <x:c r="K4694" s="11" t="n">
        <x:v>9</x:v>
      </x:c>
      <x:c r="L4694" s="11" t="n">
        <x:v>0</x:v>
      </x:c>
      <x:c r="M4694" s="9" t="n">
        <x:f>ROUND(H4694*(1-I4694),2)</x:f>
        <x:v>20467000</x:v>
      </x:c>
      <x:c r="N4694" s="4" t="str">
        <x:v>Sales manager</x:v>
      </x:c>
      <x:c r="O4694" s="4" t="str">
        <x:v>BOOK-04693</x:v>
      </x:c>
      <x:c r="P4694" s="9" t="n">
        <x:v>5116750</x:v>
      </x:c>
      <x:c r="Q4694" s="11" t="n">
        <x:v>0</x:v>
      </x:c>
      <x:c r="R4694" s="8" t="n">
        <x:v>45642</x:v>
      </x:c>
      <x:c r="S4694" s="4" t="str">
        <x:v>Retained</x:v>
      </x:c>
      <x:c r="T4694" s="10" t="n">
        <x:v>0.310195</x:v>
      </x:c>
      <x:c r="U4694" s="4" t="str">
        <x:v>Test</x:v>
      </x:c>
    </x:row>
    <x:row r="4695" ht="34" customHeight="1">
      <x:c r="A4695" s="4" t="str">
        <x:v>RS-04694</x:v>
      </x:c>
      <x:c r="B4695" s="8" t="n">
        <x:v>45583</x:v>
      </x:c>
      <x:c r="C4695" s="4" t="str">
        <x:v>PRJ-014</x:v>
      </x:c>
      <x:c r="D4695" s="4" t="str">
        <x:v>Office</x:v>
      </x:c>
      <x:c r="E4695" s="4" t="str">
        <x:v>Agreement signed</x:v>
      </x:c>
      <x:c r="F4695" s="4" t="str">
        <x:v>CUS-04694</x:v>
      </x:c>
      <x:c r="G4695" s="4" t="str">
        <x:v>UNIT-04694</x:v>
      </x:c>
      <x:c r="H4695" s="9" t="n">
        <x:v>15300000</x:v>
      </x:c>
      <x:c r="I4695" s="10" t="n">
        <x:v>0.05</x:v>
      </x:c>
      <x:c r="J4695" s="11" t="n">
        <x:v>5</x:v>
      </x:c>
      <x:c r="K4695" s="11" t="n">
        <x:v>2</x:v>
      </x:c>
      <x:c r="L4695" s="11" t="n">
        <x:v>0</x:v>
      </x:c>
      <x:c r="M4695" s="9" t="n">
        <x:f>ROUND(H4695*(1-I4695),2)</x:f>
        <x:v>14535000</x:v>
      </x:c>
      <x:c r="N4695" s="4" t="str">
        <x:v>Sales manager</x:v>
      </x:c>
      <x:c r="O4695" s="4" t="str">
        <x:v>BOOK-04694</x:v>
      </x:c>
      <x:c r="P4695" s="9" t="n">
        <x:v>3633750</x:v>
      </x:c>
      <x:c r="Q4695" s="11" t="n">
        <x:v>0</x:v>
      </x:c>
      <x:c r="R4695" s="8" t="n">
        <x:v>45643</x:v>
      </x:c>
      <x:c r="S4695" s="4" t="str">
        <x:v>Retained</x:v>
      </x:c>
      <x:c r="T4695" s="10" t="n">
        <x:v>0.226277</x:v>
      </x:c>
      <x:c r="U4695" s="4" t="str">
        <x:v>Test</x:v>
      </x:c>
    </x:row>
    <x:row r="4696" ht="34" customHeight="1">
      <x:c r="A4696" s="4" t="str">
        <x:v>RS-04695</x:v>
      </x:c>
      <x:c r="B4696" s="8" t="n">
        <x:v>45584</x:v>
      </x:c>
      <x:c r="C4696" s="4" t="str">
        <x:v>PRJ-015</x:v>
      </x:c>
      <x:c r="D4696" s="4" t="str">
        <x:v>Apartment</x:v>
      </x:c>
      <x:c r="E4696" s="4" t="str">
        <x:v>Booked</x:v>
      </x:c>
      <x:c r="F4696" s="4" t="str">
        <x:v>CUS-04695</x:v>
      </x:c>
      <x:c r="G4696" s="4" t="str">
        <x:v>UNIT-04695</x:v>
      </x:c>
      <x:c r="H4696" s="9" t="n">
        <x:v>24200000</x:v>
      </x:c>
      <x:c r="I4696" s="10" t="n">
        <x:v>0.01</x:v>
      </x:c>
      <x:c r="J4696" s="11" t="n">
        <x:v>1</x:v>
      </x:c>
      <x:c r="K4696" s="11" t="n">
        <x:v>5</x:v>
      </x:c>
      <x:c r="L4696" s="11" t="n">
        <x:v>1</x:v>
      </x:c>
      <x:c r="M4696" s="9" t="n">
        <x:f>ROUND(H4696*(1-I4696),2)</x:f>
        <x:v>23958000</x:v>
      </x:c>
      <x:c r="N4696" s="4" t="str">
        <x:v>Sales manager</x:v>
      </x:c>
      <x:c r="O4696" s="4" t="str">
        <x:v>BOOK-04695</x:v>
      </x:c>
      <x:c r="P4696" s="9" t="n">
        <x:v>5989500</x:v>
      </x:c>
      <x:c r="Q4696" s="11" t="n">
        <x:v>0</x:v>
      </x:c>
      <x:c r="R4696" s="8" t="n">
        <x:v>45644</x:v>
      </x:c>
      <x:c r="S4696" s="4" t="str">
        <x:v>Retained</x:v>
      </x:c>
      <x:c r="T4696" s="10" t="n">
        <x:v>0.072165</x:v>
      </x:c>
      <x:c r="U4696" s="4" t="str">
        <x:v>Test</x:v>
      </x:c>
    </x:row>
    <x:row r="4697" ht="34" customHeight="1">
      <x:c r="A4697" s="4" t="str">
        <x:v>RS-04696</x:v>
      </x:c>
      <x:c r="B4697" s="8" t="n">
        <x:v>45585</x:v>
      </x:c>
      <x:c r="C4697" s="4" t="str">
        <x:v>PRJ-016</x:v>
      </x:c>
      <x:c r="D4697" s="4" t="str">
        <x:v>Retail</x:v>
      </x:c>
      <x:c r="E4697" s="4" t="str">
        <x:v>Handed over</x:v>
      </x:c>
      <x:c r="F4697" s="4" t="str">
        <x:v>CUS-04696</x:v>
      </x:c>
      <x:c r="G4697" s="4" t="str">
        <x:v>UNIT-04696</x:v>
      </x:c>
      <x:c r="H4697" s="9" t="n">
        <x:v>3000000</x:v>
      </x:c>
      <x:c r="I4697" s="10" t="n">
        <x:v>0.03</x:v>
      </x:c>
      <x:c r="J4697" s="11" t="n">
        <x:v>3</x:v>
      </x:c>
      <x:c r="K4697" s="11" t="n">
        <x:v>9</x:v>
      </x:c>
      <x:c r="L4697" s="11" t="n">
        <x:v>1</x:v>
      </x:c>
      <x:c r="M4697" s="9" t="n">
        <x:f>ROUND(H4697*(1-I4697),2)</x:f>
        <x:v>2910000</x:v>
      </x:c>
      <x:c r="N4697" s="4" t="str">
        <x:v>Sales manager</x:v>
      </x:c>
      <x:c r="O4697" s="4" t="str">
        <x:v>BOOK-04696</x:v>
      </x:c>
      <x:c r="P4697" s="9" t="n">
        <x:v>1455000</x:v>
      </x:c>
      <x:c r="Q4697" s="11" t="n">
        <x:v>0</x:v>
      </x:c>
      <x:c r="R4697" s="8" t="n">
        <x:v>45645</x:v>
      </x:c>
      <x:c r="S4697" s="4" t="str">
        <x:v>Retained</x:v>
      </x:c>
      <x:c r="T4697" s="10" t="n">
        <x:v>0.171717</x:v>
      </x:c>
      <x:c r="U4697" s="4" t="str">
        <x:v>Test</x:v>
      </x:c>
    </x:row>
    <x:row r="4698" ht="34" customHeight="1">
      <x:c r="A4698" s="4" t="str">
        <x:v>RS-04697</x:v>
      </x:c>
      <x:c r="B4698" s="8" t="n">
        <x:v>45586</x:v>
      </x:c>
      <x:c r="C4698" s="4" t="str">
        <x:v>PRJ-017</x:v>
      </x:c>
      <x:c r="D4698" s="4" t="str">
        <x:v>Office</x:v>
      </x:c>
      <x:c r="E4698" s="4" t="str">
        <x:v>Booked</x:v>
      </x:c>
      <x:c r="F4698" s="4" t="str">
        <x:v>CUS-04697</x:v>
      </x:c>
      <x:c r="G4698" s="4" t="str">
        <x:v>UNIT-04697</x:v>
      </x:c>
      <x:c r="H4698" s="9" t="n">
        <x:v>11600000</x:v>
      </x:c>
      <x:c r="I4698" s="10" t="n">
        <x:v>0.09</x:v>
      </x:c>
      <x:c r="J4698" s="11" t="n">
        <x:v>1</x:v>
      </x:c>
      <x:c r="K4698" s="11" t="n">
        <x:v>0</x:v>
      </x:c>
      <x:c r="L4698" s="11" t="n">
        <x:v>1</x:v>
      </x:c>
      <x:c r="M4698" s="9" t="n">
        <x:f>ROUND(H4698*(1-I4698),2)</x:f>
        <x:v>10556000</x:v>
      </x:c>
      <x:c r="N4698" s="4" t="str">
        <x:v>Sales head</x:v>
      </x:c>
      <x:c r="O4698" s="4" t="str">
        <x:v>BOOK-04697</x:v>
      </x:c>
      <x:c r="P4698" s="9" t="n">
        <x:v>5278000</x:v>
      </x:c>
      <x:c r="Q4698" s="11" t="n">
        <x:v>0</x:v>
      </x:c>
      <x:c r="R4698" s="8" t="n">
        <x:v>45646</x:v>
      </x:c>
      <x:c r="S4698" s="4" t="str">
        <x:v>Retained</x:v>
      </x:c>
      <x:c r="T4698" s="10" t="n">
        <x:v>0.276923</x:v>
      </x:c>
      <x:c r="U4698" s="4" t="str">
        <x:v>Test</x:v>
      </x:c>
    </x:row>
    <x:row r="4699" ht="34" customHeight="1">
      <x:c r="A4699" s="4" t="str">
        <x:v>RS-04698</x:v>
      </x:c>
      <x:c r="B4699" s="8" t="n">
        <x:v>45587</x:v>
      </x:c>
      <x:c r="C4699" s="4" t="str">
        <x:v>PRJ-018</x:v>
      </x:c>
      <x:c r="D4699" s="4" t="str">
        <x:v>Office</x:v>
      </x:c>
      <x:c r="E4699" s="4" t="str">
        <x:v>Enquiry</x:v>
      </x:c>
      <x:c r="F4699" s="4" t="str">
        <x:v>CUS-04698</x:v>
      </x:c>
      <x:c r="G4699" s="4" t="str">
        <x:v>UNIT-04698</x:v>
      </x:c>
      <x:c r="H4699" s="9" t="n">
        <x:v>3300000</x:v>
      </x:c>
      <x:c r="I4699" s="10" t="n">
        <x:v>0.09</x:v>
      </x:c>
      <x:c r="J4699" s="11" t="n">
        <x:v>10</x:v>
      </x:c>
      <x:c r="K4699" s="11" t="n">
        <x:v>6</x:v>
      </x:c>
      <x:c r="L4699" s="11" t="n">
        <x:v>1</x:v>
      </x:c>
      <x:c r="M4699" s="9" t="n">
        <x:f>ROUND(H4699*(1-I4699),2)</x:f>
        <x:v>3003000</x:v>
      </x:c>
      <x:c r="N4699" s="4" t="str">
        <x:v>Sales head</x:v>
      </x:c>
      <x:c r="O4699" s="4"/>
      <x:c r="P4699" s="9" t="n">
        <x:v>0</x:v>
      </x:c>
      <x:c r="Q4699" s="11" t="n">
        <x:v>0</x:v>
      </x:c>
      <x:c r="R4699" s="8" t="n">
        <x:v>45647</x:v>
      </x:c>
      <x:c r="S4699" s="4" t="str">
        <x:v>Retained</x:v>
      </x:c>
      <x:c r="T4699" s="10" t="n">
        <x:v>0.310195</x:v>
      </x:c>
      <x:c r="U4699" s="4" t="str">
        <x:v>Test</x:v>
      </x:c>
    </x:row>
    <x:row r="4700" ht="34" customHeight="1">
      <x:c r="A4700" s="4" t="str">
        <x:v>RS-04699</x:v>
      </x:c>
      <x:c r="B4700" s="8" t="n">
        <x:v>45588</x:v>
      </x:c>
      <x:c r="C4700" s="4" t="str">
        <x:v>PRJ-019</x:v>
      </x:c>
      <x:c r="D4700" s="4" t="str">
        <x:v>Villa</x:v>
      </x:c>
      <x:c r="E4700" s="4" t="str">
        <x:v>Agreement signed</x:v>
      </x:c>
      <x:c r="F4700" s="4" t="str">
        <x:v>CUS-04699</x:v>
      </x:c>
      <x:c r="G4700" s="4" t="str">
        <x:v>UNIT-04699</x:v>
      </x:c>
      <x:c r="H4700" s="9" t="n">
        <x:v>20400000</x:v>
      </x:c>
      <x:c r="I4700" s="10" t="n">
        <x:v>0.01</x:v>
      </x:c>
      <x:c r="J4700" s="11" t="n">
        <x:v>7</x:v>
      </x:c>
      <x:c r="K4700" s="11" t="n">
        <x:v>1</x:v>
      </x:c>
      <x:c r="L4700" s="11" t="n">
        <x:v>1</x:v>
      </x:c>
      <x:c r="M4700" s="9" t="n">
        <x:f>ROUND(H4700*(1-I4700),2)</x:f>
        <x:v>20196000</x:v>
      </x:c>
      <x:c r="N4700" s="4" t="str">
        <x:v>Sales manager</x:v>
      </x:c>
      <x:c r="O4700" s="4" t="str">
        <x:v>BOOK-04699</x:v>
      </x:c>
      <x:c r="P4700" s="9" t="n">
        <x:v>2019600</x:v>
      </x:c>
      <x:c r="Q4700" s="11" t="n">
        <x:v>0</x:v>
      </x:c>
      <x:c r="R4700" s="8" t="n">
        <x:v>45648</x:v>
      </x:c>
      <x:c r="S4700" s="4" t="str">
        <x:v>Retained</x:v>
      </x:c>
      <x:c r="T4700" s="10" t="n">
        <x:v>0.298969</x:v>
      </x:c>
      <x:c r="U4700" s="4" t="str">
        <x:v>Test</x:v>
      </x:c>
    </x:row>
    <x:row r="4701" ht="34" customHeight="1">
      <x:c r="A4701" s="4" t="str">
        <x:v>RS-04700</x:v>
      </x:c>
      <x:c r="B4701" s="8" t="n">
        <x:v>45589</x:v>
      </x:c>
      <x:c r="C4701" s="4" t="str">
        <x:v>PRJ-020</x:v>
      </x:c>
      <x:c r="D4701" s="4" t="str">
        <x:v>Villa</x:v>
      </x:c>
      <x:c r="E4701" s="4" t="str">
        <x:v>Reserved</x:v>
      </x:c>
      <x:c r="F4701" s="4" t="str">
        <x:v>CUS-04700</x:v>
      </x:c>
      <x:c r="G4701" s="4" t="str">
        <x:v>UNIT-04700</x:v>
      </x:c>
      <x:c r="H4701" s="9" t="n">
        <x:v>10100000</x:v>
      </x:c>
      <x:c r="I4701" s="10" t="n">
        <x:v>0.05</x:v>
      </x:c>
      <x:c r="J4701" s="11" t="n">
        <x:v>3</x:v>
      </x:c>
      <x:c r="K4701" s="11" t="n">
        <x:v>6</x:v>
      </x:c>
      <x:c r="L4701" s="11" t="n">
        <x:v>0</x:v>
      </x:c>
      <x:c r="M4701" s="9" t="n">
        <x:f>ROUND(H4701*(1-I4701),2)</x:f>
        <x:v>9595000</x:v>
      </x:c>
      <x:c r="N4701" s="4" t="str">
        <x:v>Sales manager</x:v>
      </x:c>
      <x:c r="O4701" s="4"/>
      <x:c r="P4701" s="9" t="n">
        <x:v>0</x:v>
      </x:c>
      <x:c r="Q4701" s="11" t="n">
        <x:v>0</x:v>
      </x:c>
      <x:c r="R4701" s="8" t="n">
        <x:v>45649</x:v>
      </x:c>
      <x:c r="S4701" s="4" t="str">
        <x:v>Retained</x:v>
      </x:c>
      <x:c r="T4701" s="10" t="n">
        <x:v>0.204152</x:v>
      </x:c>
      <x:c r="U4701" s="4" t="str">
        <x:v>Test</x:v>
      </x:c>
    </x:row>
    <x:row r="4702" ht="34" customHeight="1">
      <x:c r="A4702" s="4" t="str">
        <x:v>RS-04701</x:v>
      </x:c>
      <x:c r="B4702" s="8" t="n">
        <x:v>45590</x:v>
      </x:c>
      <x:c r="C4702" s="4" t="str">
        <x:v>PRJ-001</x:v>
      </x:c>
      <x:c r="D4702" s="4" t="str">
        <x:v>Office</x:v>
      </x:c>
      <x:c r="E4702" s="4" t="str">
        <x:v>Enquiry</x:v>
      </x:c>
      <x:c r="F4702" s="4" t="str">
        <x:v>CUS-04701</x:v>
      </x:c>
      <x:c r="G4702" s="4" t="str">
        <x:v>UNIT-04701</x:v>
      </x:c>
      <x:c r="H4702" s="9" t="n">
        <x:v>9500000</x:v>
      </x:c>
      <x:c r="I4702" s="10" t="n">
        <x:v>0.02</x:v>
      </x:c>
      <x:c r="J4702" s="11" t="n">
        <x:v>8</x:v>
      </x:c>
      <x:c r="K4702" s="11" t="n">
        <x:v>10</x:v>
      </x:c>
      <x:c r="L4702" s="11" t="n">
        <x:v>0</x:v>
      </x:c>
      <x:c r="M4702" s="9" t="n">
        <x:f>ROUND(H4702*(1-I4702),2)</x:f>
        <x:v>9310000</x:v>
      </x:c>
      <x:c r="N4702" s="4" t="str">
        <x:v>Sales manager</x:v>
      </x:c>
      <x:c r="O4702" s="4"/>
      <x:c r="P4702" s="9" t="n">
        <x:v>0</x:v>
      </x:c>
      <x:c r="Q4702" s="11" t="n">
        <x:v>1</x:v>
      </x:c>
      <x:c r="R4702" s="8" t="n">
        <x:v>45650</x:v>
      </x:c>
      <x:c r="S4702" s="4" t="str">
        <x:v>Lost / cancelled</x:v>
      </x:c>
      <x:c r="T4702" s="10" t="n">
        <x:v>0.305556</x:v>
      </x:c>
      <x:c r="U4702" s="4" t="str">
        <x:v>Test</x:v>
      </x:c>
    </x:row>
    <x:row r="4703" ht="34" customHeight="1">
      <x:c r="A4703" s="4" t="str">
        <x:v>RS-04702</x:v>
      </x:c>
      <x:c r="B4703" s="8" t="n">
        <x:v>45591</x:v>
      </x:c>
      <x:c r="C4703" s="4" t="str">
        <x:v>PRJ-002</x:v>
      </x:c>
      <x:c r="D4703" s="4" t="str">
        <x:v>Villa</x:v>
      </x:c>
      <x:c r="E4703" s="4" t="str">
        <x:v>Agreement signed</x:v>
      </x:c>
      <x:c r="F4703" s="4" t="str">
        <x:v>CUS-04702</x:v>
      </x:c>
      <x:c r="G4703" s="4" t="str">
        <x:v>UNIT-04702</x:v>
      </x:c>
      <x:c r="H4703" s="9" t="n">
        <x:v>11300000</x:v>
      </x:c>
      <x:c r="I4703" s="10" t="n">
        <x:v>0.07</x:v>
      </x:c>
      <x:c r="J4703" s="11" t="n">
        <x:v>0</x:v>
      </x:c>
      <x:c r="K4703" s="11" t="n">
        <x:v>6</x:v>
      </x:c>
      <x:c r="L4703" s="11" t="n">
        <x:v>1</x:v>
      </x:c>
      <x:c r="M4703" s="9" t="n">
        <x:f>ROUND(H4703*(1-I4703),2)</x:f>
        <x:v>10509000</x:v>
      </x:c>
      <x:c r="N4703" s="4" t="str">
        <x:v>Sales manager</x:v>
      </x:c>
      <x:c r="O4703" s="4" t="str">
        <x:v>BOOK-04702</x:v>
      </x:c>
      <x:c r="P4703" s="9" t="n">
        <x:v>5254500</x:v>
      </x:c>
      <x:c r="Q4703" s="11" t="n">
        <x:v>0</x:v>
      </x:c>
      <x:c r="R4703" s="8" t="n">
        <x:v>45651</x:v>
      </x:c>
      <x:c r="S4703" s="4" t="str">
        <x:v>Retained</x:v>
      </x:c>
      <x:c r="T4703" s="10" t="n">
        <x:v>0.204152</x:v>
      </x:c>
      <x:c r="U4703" s="4" t="str">
        <x:v>Test</x:v>
      </x:c>
    </x:row>
    <x:row r="4704" ht="34" customHeight="1">
      <x:c r="A4704" s="4" t="str">
        <x:v>RS-04703</x:v>
      </x:c>
      <x:c r="B4704" s="8" t="n">
        <x:v>45592</x:v>
      </x:c>
      <x:c r="C4704" s="4" t="str">
        <x:v>PRJ-003</x:v>
      </x:c>
      <x:c r="D4704" s="4" t="str">
        <x:v>Apartment</x:v>
      </x:c>
      <x:c r="E4704" s="4" t="str">
        <x:v>Handed over</x:v>
      </x:c>
      <x:c r="F4704" s="4" t="str">
        <x:v>CUS-04703</x:v>
      </x:c>
      <x:c r="G4704" s="4" t="str">
        <x:v>UNIT-04703</x:v>
      </x:c>
      <x:c r="H4704" s="9" t="n">
        <x:v>22000000</x:v>
      </x:c>
      <x:c r="I4704" s="10" t="n">
        <x:v>0.11</x:v>
      </x:c>
      <x:c r="J4704" s="11" t="n">
        <x:v>0</x:v>
      </x:c>
      <x:c r="K4704" s="11" t="n">
        <x:v>6</x:v>
      </x:c>
      <x:c r="L4704" s="11" t="n">
        <x:v>1</x:v>
      </x:c>
      <x:c r="M4704" s="9" t="n">
        <x:f>ROUND(H4704*(1-I4704),2)</x:f>
        <x:v>19580000</x:v>
      </x:c>
      <x:c r="N4704" s="4" t="str">
        <x:v>Sales head</x:v>
      </x:c>
      <x:c r="O4704" s="4" t="str">
        <x:v>BOOK-04703</x:v>
      </x:c>
      <x:c r="P4704" s="9" t="n">
        <x:v>9790000</x:v>
      </x:c>
      <x:c r="Q4704" s="11" t="n">
        <x:v>0</x:v>
      </x:c>
      <x:c r="R4704" s="8" t="n">
        <x:v>45652</x:v>
      </x:c>
      <x:c r="S4704" s="4" t="str">
        <x:v>Retained</x:v>
      </x:c>
      <x:c r="T4704" s="10" t="n">
        <x:v>0.145833</x:v>
      </x:c>
      <x:c r="U4704" s="4" t="str">
        <x:v>Test</x:v>
      </x:c>
    </x:row>
    <x:row r="4705" ht="34" customHeight="1">
      <x:c r="A4705" s="4" t="str">
        <x:v>RS-04704</x:v>
      </x:c>
      <x:c r="B4705" s="8" t="n">
        <x:v>45593</x:v>
      </x:c>
      <x:c r="C4705" s="4" t="str">
        <x:v>PRJ-004</x:v>
      </x:c>
      <x:c r="D4705" s="4" t="str">
        <x:v>Office</x:v>
      </x:c>
      <x:c r="E4705" s="4" t="str">
        <x:v>Cancelled</x:v>
      </x:c>
      <x:c r="F4705" s="4" t="str">
        <x:v>CUS-04704</x:v>
      </x:c>
      <x:c r="G4705" s="4" t="str">
        <x:v>UNIT-04704</x:v>
      </x:c>
      <x:c r="H4705" s="9" t="n">
        <x:v>12800000</x:v>
      </x:c>
      <x:c r="I4705" s="10" t="n">
        <x:v>0.05</x:v>
      </x:c>
      <x:c r="J4705" s="11" t="n">
        <x:v>3</x:v>
      </x:c>
      <x:c r="K4705" s="11" t="n">
        <x:v>2</x:v>
      </x:c>
      <x:c r="L4705" s="11" t="n">
        <x:v>0</x:v>
      </x:c>
      <x:c r="M4705" s="9" t="n">
        <x:f>ROUND(H4705*(1-I4705),2)</x:f>
        <x:v>12160000</x:v>
      </x:c>
      <x:c r="N4705" s="4" t="str">
        <x:v>Sales manager</x:v>
      </x:c>
      <x:c r="O4705" s="4"/>
      <x:c r="P4705" s="9" t="n">
        <x:v>0</x:v>
      </x:c>
      <x:c r="Q4705" s="11" t="n">
        <x:v>1</x:v>
      </x:c>
      <x:c r="R4705" s="8" t="n">
        <x:v>45653</x:v>
      </x:c>
      <x:c r="S4705" s="4" t="str">
        <x:v>Lost / cancelled</x:v>
      </x:c>
      <x:c r="T4705" s="10" t="n">
        <x:v>0.204152</x:v>
      </x:c>
      <x:c r="U4705" s="4" t="str">
        <x:v>Test</x:v>
      </x:c>
    </x:row>
    <x:row r="4706" ht="34" customHeight="1">
      <x:c r="A4706" s="4" t="str">
        <x:v>RS-04705</x:v>
      </x:c>
      <x:c r="B4706" s="8" t="n">
        <x:v>45566</x:v>
      </x:c>
      <x:c r="C4706" s="4" t="str">
        <x:v>PRJ-005</x:v>
      </x:c>
      <x:c r="D4706" s="4" t="str">
        <x:v>Office</x:v>
      </x:c>
      <x:c r="E4706" s="4" t="str">
        <x:v>Reserved</x:v>
      </x:c>
      <x:c r="F4706" s="4" t="str">
        <x:v>CUS-04705</x:v>
      </x:c>
      <x:c r="G4706" s="4" t="str">
        <x:v>UNIT-04705</x:v>
      </x:c>
      <x:c r="H4706" s="9" t="n">
        <x:v>17900000</x:v>
      </x:c>
      <x:c r="I4706" s="10" t="n">
        <x:v>0.08</x:v>
      </x:c>
      <x:c r="J4706" s="11" t="n">
        <x:v>9</x:v>
      </x:c>
      <x:c r="K4706" s="11" t="n">
        <x:v>5</x:v>
      </x:c>
      <x:c r="L4706" s="11" t="n">
        <x:v>1</x:v>
      </x:c>
      <x:c r="M4706" s="9" t="n">
        <x:f>ROUND(H4706*(1-I4706),2)</x:f>
        <x:v>16468000</x:v>
      </x:c>
      <x:c r="N4706" s="4" t="str">
        <x:v>Sales head</x:v>
      </x:c>
      <x:c r="O4706" s="4"/>
      <x:c r="P4706" s="9" t="n">
        <x:v>0</x:v>
      </x:c>
      <x:c r="Q4706" s="11" t="n">
        <x:v>1</x:v>
      </x:c>
      <x:c r="R4706" s="8" t="n">
        <x:v>45626</x:v>
      </x:c>
      <x:c r="S4706" s="4" t="str">
        <x:v>Lost / cancelled</x:v>
      </x:c>
      <x:c r="T4706" s="10" t="n">
        <x:v>0.310195</x:v>
      </x:c>
      <x:c r="U4706" s="4" t="str">
        <x:v>Test</x:v>
      </x:c>
    </x:row>
    <x:row r="4707" ht="34" customHeight="1">
      <x:c r="A4707" s="4" t="str">
        <x:v>RS-04706</x:v>
      </x:c>
      <x:c r="B4707" s="8" t="n">
        <x:v>45567</x:v>
      </x:c>
      <x:c r="C4707" s="4" t="str">
        <x:v>PRJ-006</x:v>
      </x:c>
      <x:c r="D4707" s="4" t="str">
        <x:v>Apartment</x:v>
      </x:c>
      <x:c r="E4707" s="4" t="str">
        <x:v>Handed over</x:v>
      </x:c>
      <x:c r="F4707" s="4" t="str">
        <x:v>CUS-04706</x:v>
      </x:c>
      <x:c r="G4707" s="4" t="str">
        <x:v>UNIT-04706</x:v>
      </x:c>
      <x:c r="H4707" s="9" t="n">
        <x:v>12000000</x:v>
      </x:c>
      <x:c r="I4707" s="10" t="n">
        <x:v>0.04</x:v>
      </x:c>
      <x:c r="J4707" s="11" t="n">
        <x:v>10</x:v>
      </x:c>
      <x:c r="K4707" s="11" t="n">
        <x:v>2</x:v>
      </x:c>
      <x:c r="L4707" s="11" t="n">
        <x:v>0</x:v>
      </x:c>
      <x:c r="M4707" s="9" t="n">
        <x:f>ROUND(H4707*(1-I4707),2)</x:f>
        <x:v>11520000</x:v>
      </x:c>
      <x:c r="N4707" s="4" t="str">
        <x:v>Sales manager</x:v>
      </x:c>
      <x:c r="O4707" s="4" t="str">
        <x:v>BOOK-04706</x:v>
      </x:c>
      <x:c r="P4707" s="9" t="n">
        <x:v>1152000</x:v>
      </x:c>
      <x:c r="Q4707" s="11" t="n">
        <x:v>0</x:v>
      </x:c>
      <x:c r="R4707" s="8" t="n">
        <x:v>45627</x:v>
      </x:c>
      <x:c r="S4707" s="4" t="str">
        <x:v>Retained</x:v>
      </x:c>
      <x:c r="T4707" s="10" t="n">
        <x:v>0.310195</x:v>
      </x:c>
      <x:c r="U4707" s="4" t="str">
        <x:v>Test</x:v>
      </x:c>
    </x:row>
    <x:row r="4708" ht="34" customHeight="1">
      <x:c r="A4708" s="4" t="str">
        <x:v>RS-04707</x:v>
      </x:c>
      <x:c r="B4708" s="8" t="n">
        <x:v>45568</x:v>
      </x:c>
      <x:c r="C4708" s="4" t="str">
        <x:v>PRJ-007</x:v>
      </x:c>
      <x:c r="D4708" s="4" t="str">
        <x:v>Office</x:v>
      </x:c>
      <x:c r="E4708" s="4" t="str">
        <x:v>Enquiry</x:v>
      </x:c>
      <x:c r="F4708" s="4" t="str">
        <x:v>CUS-04707</x:v>
      </x:c>
      <x:c r="G4708" s="4" t="str">
        <x:v>UNIT-04707</x:v>
      </x:c>
      <x:c r="H4708" s="9" t="n">
        <x:v>18300000</x:v>
      </x:c>
      <x:c r="I4708" s="10" t="n">
        <x:v>0.06</x:v>
      </x:c>
      <x:c r="J4708" s="11" t="n">
        <x:v>9</x:v>
      </x:c>
      <x:c r="K4708" s="11" t="n">
        <x:v>7</x:v>
      </x:c>
      <x:c r="L4708" s="11" t="n">
        <x:v>0</x:v>
      </x:c>
      <x:c r="M4708" s="9" t="n">
        <x:f>ROUND(H4708*(1-I4708),2)</x:f>
        <x:v>17202000</x:v>
      </x:c>
      <x:c r="N4708" s="4" t="str">
        <x:v>Sales manager</x:v>
      </x:c>
      <x:c r="O4708" s="4"/>
      <x:c r="P4708" s="9" t="n">
        <x:v>0</x:v>
      </x:c>
      <x:c r="Q4708" s="11" t="n">
        <x:v>1</x:v>
      </x:c>
      <x:c r="R4708" s="8" t="n">
        <x:v>45628</x:v>
      </x:c>
      <x:c r="S4708" s="4" t="str">
        <x:v>Lost / cancelled</x:v>
      </x:c>
      <x:c r="T4708" s="10" t="n">
        <x:v>0.310195</x:v>
      </x:c>
      <x:c r="U4708" s="4" t="str">
        <x:v>Test</x:v>
      </x:c>
    </x:row>
    <x:row r="4709" ht="34" customHeight="1">
      <x:c r="A4709" s="4" t="str">
        <x:v>RS-04708</x:v>
      </x:c>
      <x:c r="B4709" s="8" t="n">
        <x:v>45569</x:v>
      </x:c>
      <x:c r="C4709" s="4" t="str">
        <x:v>PRJ-008</x:v>
      </x:c>
      <x:c r="D4709" s="4" t="str">
        <x:v>Retail</x:v>
      </x:c>
      <x:c r="E4709" s="4" t="str">
        <x:v>Booked</x:v>
      </x:c>
      <x:c r="F4709" s="4" t="str">
        <x:v>CUS-04708</x:v>
      </x:c>
      <x:c r="G4709" s="4" t="str">
        <x:v>UNIT-04708</x:v>
      </x:c>
      <x:c r="H4709" s="9" t="n">
        <x:v>18200000</x:v>
      </x:c>
      <x:c r="I4709" s="10" t="n">
        <x:v>0.04</x:v>
      </x:c>
      <x:c r="J4709" s="11" t="n">
        <x:v>11</x:v>
      </x:c>
      <x:c r="K4709" s="11" t="n">
        <x:v>2</x:v>
      </x:c>
      <x:c r="L4709" s="11" t="n">
        <x:v>1</x:v>
      </x:c>
      <x:c r="M4709" s="9" t="n">
        <x:f>ROUND(H4709*(1-I4709),2)</x:f>
        <x:v>17472000</x:v>
      </x:c>
      <x:c r="N4709" s="4" t="str">
        <x:v>Sales manager</x:v>
      </x:c>
      <x:c r="O4709" s="4" t="str">
        <x:v>BOOK-04708</x:v>
      </x:c>
      <x:c r="P4709" s="9" t="n">
        <x:v>17472000</x:v>
      </x:c>
      <x:c r="Q4709" s="11" t="n">
        <x:v>0</x:v>
      </x:c>
      <x:c r="R4709" s="8" t="n">
        <x:v>45629</x:v>
      </x:c>
      <x:c r="S4709" s="4" t="str">
        <x:v>Retained</x:v>
      </x:c>
      <x:c r="T4709" s="10" t="n">
        <x:v>0.351536</x:v>
      </x:c>
      <x:c r="U4709" s="4" t="str">
        <x:v>Test</x:v>
      </x:c>
    </x:row>
    <x:row r="4710" ht="34" customHeight="1">
      <x:c r="A4710" s="4" t="str">
        <x:v>RS-04709</x:v>
      </x:c>
      <x:c r="B4710" s="8" t="n">
        <x:v>45570</x:v>
      </x:c>
      <x:c r="C4710" s="4" t="str">
        <x:v>PRJ-009</x:v>
      </x:c>
      <x:c r="D4710" s="4" t="str">
        <x:v>Villa</x:v>
      </x:c>
      <x:c r="E4710" s="4" t="str">
        <x:v>Reserved</x:v>
      </x:c>
      <x:c r="F4710" s="4" t="str">
        <x:v>CUS-04709</x:v>
      </x:c>
      <x:c r="G4710" s="4" t="str">
        <x:v>UNIT-04709</x:v>
      </x:c>
      <x:c r="H4710" s="9" t="n">
        <x:v>16200000</x:v>
      </x:c>
      <x:c r="I4710" s="10" t="n">
        <x:v>0.1</x:v>
      </x:c>
      <x:c r="J4710" s="11" t="n">
        <x:v>4</x:v>
      </x:c>
      <x:c r="K4710" s="11" t="n">
        <x:v>9</x:v>
      </x:c>
      <x:c r="L4710" s="11" t="n">
        <x:v>0</x:v>
      </x:c>
      <x:c r="M4710" s="9" t="n">
        <x:f>ROUND(H4710*(1-I4710),2)</x:f>
        <x:v>14580000</x:v>
      </x:c>
      <x:c r="N4710" s="4" t="str">
        <x:v>Sales head</x:v>
      </x:c>
      <x:c r="O4710" s="4"/>
      <x:c r="P4710" s="9" t="n">
        <x:v>0</x:v>
      </x:c>
      <x:c r="Q4710" s="11" t="n">
        <x:v>1</x:v>
      </x:c>
      <x:c r="R4710" s="8" t="n">
        <x:v>45630</x:v>
      </x:c>
      <x:c r="S4710" s="4" t="str">
        <x:v>Lost / cancelled</x:v>
      </x:c>
      <x:c r="T4710" s="10" t="n">
        <x:v>0.226277</x:v>
      </x:c>
      <x:c r="U4710" s="4" t="str">
        <x:v>Test</x:v>
      </x:c>
    </x:row>
    <x:row r="4711" ht="34" customHeight="1">
      <x:c r="A4711" s="4" t="str">
        <x:v>RS-04710</x:v>
      </x:c>
      <x:c r="B4711" s="8" t="n">
        <x:v>45571</x:v>
      </x:c>
      <x:c r="C4711" s="4" t="str">
        <x:v>PRJ-010</x:v>
      </x:c>
      <x:c r="D4711" s="4" t="str">
        <x:v>Retail</x:v>
      </x:c>
      <x:c r="E4711" s="4" t="str">
        <x:v>Reserved</x:v>
      </x:c>
      <x:c r="F4711" s="4" t="str">
        <x:v>CUS-04710</x:v>
      </x:c>
      <x:c r="G4711" s="4" t="str">
        <x:v>UNIT-04710</x:v>
      </x:c>
      <x:c r="H4711" s="9" t="n">
        <x:v>9700000</x:v>
      </x:c>
      <x:c r="I4711" s="10" t="n">
        <x:v>0.06</x:v>
      </x:c>
      <x:c r="J4711" s="11" t="n">
        <x:v>6</x:v>
      </x:c>
      <x:c r="K4711" s="11" t="n">
        <x:v>6</x:v>
      </x:c>
      <x:c r="L4711" s="11" t="n">
        <x:v>1</x:v>
      </x:c>
      <x:c r="M4711" s="9" t="n">
        <x:f>ROUND(H4711*(1-I4711),2)</x:f>
        <x:v>9118000</x:v>
      </x:c>
      <x:c r="N4711" s="4" t="str">
        <x:v>Sales manager</x:v>
      </x:c>
      <x:c r="O4711" s="4"/>
      <x:c r="P4711" s="9" t="n">
        <x:v>0</x:v>
      </x:c>
      <x:c r="Q4711" s="11" t="n">
        <x:v>0</x:v>
      </x:c>
      <x:c r="R4711" s="8" t="n">
        <x:v>45631</x:v>
      </x:c>
      <x:c r="S4711" s="4" t="str">
        <x:v>Retained</x:v>
      </x:c>
      <x:c r="T4711" s="10" t="n">
        <x:v>0.291946</x:v>
      </x:c>
      <x:c r="U4711" s="4" t="str">
        <x:v>Test</x:v>
      </x:c>
    </x:row>
    <x:row r="4712" ht="34" customHeight="1">
      <x:c r="A4712" s="4" t="str">
        <x:v>RS-04711</x:v>
      </x:c>
      <x:c r="B4712" s="8" t="n">
        <x:v>45572</x:v>
      </x:c>
      <x:c r="C4712" s="4" t="str">
        <x:v>PRJ-011</x:v>
      </x:c>
      <x:c r="D4712" s="4" t="str">
        <x:v>Apartment</x:v>
      </x:c>
      <x:c r="E4712" s="4" t="str">
        <x:v>Booked</x:v>
      </x:c>
      <x:c r="F4712" s="4" t="str">
        <x:v>CUS-04711</x:v>
      </x:c>
      <x:c r="G4712" s="4" t="str">
        <x:v>UNIT-04711</x:v>
      </x:c>
      <x:c r="H4712" s="9" t="n">
        <x:v>19200000</x:v>
      </x:c>
      <x:c r="I4712" s="10" t="n">
        <x:v>0.02</x:v>
      </x:c>
      <x:c r="J4712" s="11" t="n">
        <x:v>1</x:v>
      </x:c>
      <x:c r="K4712" s="11" t="n">
        <x:v>4</x:v>
      </x:c>
      <x:c r="L4712" s="11" t="n">
        <x:v>0</x:v>
      </x:c>
      <x:c r="M4712" s="9" t="n">
        <x:f>ROUND(H4712*(1-I4712),2)</x:f>
        <x:v>18816000</x:v>
      </x:c>
      <x:c r="N4712" s="4" t="str">
        <x:v>Sales manager</x:v>
      </x:c>
      <x:c r="O4712" s="4" t="str">
        <x:v>BOOK-04711</x:v>
      </x:c>
      <x:c r="P4712" s="9" t="n">
        <x:v>4704000</x:v>
      </x:c>
      <x:c r="Q4712" s="11" t="n">
        <x:v>0</x:v>
      </x:c>
      <x:c r="R4712" s="8" t="n">
        <x:v>45632</x:v>
      </x:c>
      <x:c r="S4712" s="4" t="str">
        <x:v>Retained</x:v>
      </x:c>
      <x:c r="T4712" s="10" t="n">
        <x:v>0.072165</x:v>
      </x:c>
      <x:c r="U4712" s="4" t="str">
        <x:v>Test</x:v>
      </x:c>
    </x:row>
    <x:row r="4713" ht="34" customHeight="1">
      <x:c r="A4713" s="4" t="str">
        <x:v>RS-04712</x:v>
      </x:c>
      <x:c r="B4713" s="8" t="n">
        <x:v>45573</x:v>
      </x:c>
      <x:c r="C4713" s="4" t="str">
        <x:v>PRJ-012</x:v>
      </x:c>
      <x:c r="D4713" s="4" t="str">
        <x:v>Retail</x:v>
      </x:c>
      <x:c r="E4713" s="4" t="str">
        <x:v>Agreement signed</x:v>
      </x:c>
      <x:c r="F4713" s="4" t="str">
        <x:v>CUS-04712</x:v>
      </x:c>
      <x:c r="G4713" s="4" t="str">
        <x:v>UNIT-04712</x:v>
      </x:c>
      <x:c r="H4713" s="9" t="n">
        <x:v>15900000</x:v>
      </x:c>
      <x:c r="I4713" s="10" t="n">
        <x:v>0.09</x:v>
      </x:c>
      <x:c r="J4713" s="11" t="n">
        <x:v>8</x:v>
      </x:c>
      <x:c r="K4713" s="11" t="n">
        <x:v>6</x:v>
      </x:c>
      <x:c r="L4713" s="11" t="n">
        <x:v>1</x:v>
      </x:c>
      <x:c r="M4713" s="9" t="n">
        <x:f>ROUND(H4713*(1-I4713),2)</x:f>
        <x:v>14469000</x:v>
      </x:c>
      <x:c r="N4713" s="4" t="str">
        <x:v>Sales head</x:v>
      </x:c>
      <x:c r="O4713" s="4" t="str">
        <x:v>BOOK-04712</x:v>
      </x:c>
      <x:c r="P4713" s="9" t="n">
        <x:v>7234500</x:v>
      </x:c>
      <x:c r="Q4713" s="11" t="n">
        <x:v>0</x:v>
      </x:c>
      <x:c r="R4713" s="8" t="n">
        <x:v>45633</x:v>
      </x:c>
      <x:c r="S4713" s="4" t="str">
        <x:v>Retained</x:v>
      </x:c>
      <x:c r="T4713" s="10" t="n">
        <x:v>0.310195</x:v>
      </x:c>
      <x:c r="U4713" s="4" t="str">
        <x:v>Test</x:v>
      </x:c>
    </x:row>
    <x:row r="4714" ht="34" customHeight="1">
      <x:c r="A4714" s="4" t="str">
        <x:v>RS-04713</x:v>
      </x:c>
      <x:c r="B4714" s="8" t="n">
        <x:v>45574</x:v>
      </x:c>
      <x:c r="C4714" s="4" t="str">
        <x:v>PRJ-013</x:v>
      </x:c>
      <x:c r="D4714" s="4" t="str">
        <x:v>Apartment</x:v>
      </x:c>
      <x:c r="E4714" s="4" t="str">
        <x:v>Agreement signed</x:v>
      </x:c>
      <x:c r="F4714" s="4" t="str">
        <x:v>CUS-04713</x:v>
      </x:c>
      <x:c r="G4714" s="4" t="str">
        <x:v>UNIT-04713</x:v>
      </x:c>
      <x:c r="H4714" s="9" t="n">
        <x:v>3900000</x:v>
      </x:c>
      <x:c r="I4714" s="10" t="n">
        <x:v>0.07</x:v>
      </x:c>
      <x:c r="J4714" s="11" t="n">
        <x:v>8</x:v>
      </x:c>
      <x:c r="K4714" s="11" t="n">
        <x:v>0</x:v>
      </x:c>
      <x:c r="L4714" s="11" t="n">
        <x:v>1</x:v>
      </x:c>
      <x:c r="M4714" s="9" t="n">
        <x:f>ROUND(H4714*(1-I4714),2)</x:f>
        <x:v>3627000</x:v>
      </x:c>
      <x:c r="N4714" s="4" t="str">
        <x:v>Sales manager</x:v>
      </x:c>
      <x:c r="O4714" s="4" t="str">
        <x:v>BOOK-04713</x:v>
      </x:c>
      <x:c r="P4714" s="9" t="n">
        <x:v>1813500</x:v>
      </x:c>
      <x:c r="Q4714" s="11" t="n">
        <x:v>0</x:v>
      </x:c>
      <x:c r="R4714" s="8" t="n">
        <x:v>45634</x:v>
      </x:c>
      <x:c r="S4714" s="4" t="str">
        <x:v>Retained</x:v>
      </x:c>
      <x:c r="T4714" s="10" t="n">
        <x:v>0.310195</x:v>
      </x:c>
      <x:c r="U4714" s="4" t="str">
        <x:v>Test</x:v>
      </x:c>
    </x:row>
    <x:row r="4715" ht="34" customHeight="1">
      <x:c r="A4715" s="4" t="str">
        <x:v>RS-04714</x:v>
      </x:c>
      <x:c r="B4715" s="8" t="n">
        <x:v>45575</x:v>
      </x:c>
      <x:c r="C4715" s="4" t="str">
        <x:v>PRJ-014</x:v>
      </x:c>
      <x:c r="D4715" s="4" t="str">
        <x:v>Villa</x:v>
      </x:c>
      <x:c r="E4715" s="4" t="str">
        <x:v>Cancelled</x:v>
      </x:c>
      <x:c r="F4715" s="4" t="str">
        <x:v>CUS-04714</x:v>
      </x:c>
      <x:c r="G4715" s="4" t="str">
        <x:v>UNIT-04714</x:v>
      </x:c>
      <x:c r="H4715" s="9" t="n">
        <x:v>22300000</x:v>
      </x:c>
      <x:c r="I4715" s="10" t="n">
        <x:v>0.09</x:v>
      </x:c>
      <x:c r="J4715" s="11" t="n">
        <x:v>12</x:v>
      </x:c>
      <x:c r="K4715" s="11" t="n">
        <x:v>0</x:v>
      </x:c>
      <x:c r="L4715" s="11" t="n">
        <x:v>1</x:v>
      </x:c>
      <x:c r="M4715" s="9" t="n">
        <x:f>ROUND(H4715*(1-I4715),2)</x:f>
        <x:v>20293000</x:v>
      </x:c>
      <x:c r="N4715" s="4" t="str">
        <x:v>Sales head</x:v>
      </x:c>
      <x:c r="O4715" s="4"/>
      <x:c r="P4715" s="9" t="n">
        <x:v>0</x:v>
      </x:c>
      <x:c r="Q4715" s="11" t="n">
        <x:v>1</x:v>
      </x:c>
      <x:c r="R4715" s="8" t="n">
        <x:v>45635</x:v>
      </x:c>
      <x:c r="S4715" s="4" t="str">
        <x:v>Lost / cancelled</x:v>
      </x:c>
      <x:c r="T4715" s="10" t="n">
        <x:v>0.351536</x:v>
      </x:c>
      <x:c r="U4715" s="4" t="str">
        <x:v>Test</x:v>
      </x:c>
    </x:row>
    <x:row r="4716" ht="34" customHeight="1">
      <x:c r="A4716" s="4" t="str">
        <x:v>RS-04715</x:v>
      </x:c>
      <x:c r="B4716" s="8" t="n">
        <x:v>45576</x:v>
      </x:c>
      <x:c r="C4716" s="4" t="str">
        <x:v>PRJ-015</x:v>
      </x:c>
      <x:c r="D4716" s="4" t="str">
        <x:v>Retail</x:v>
      </x:c>
      <x:c r="E4716" s="4" t="str">
        <x:v>Reserved</x:v>
      </x:c>
      <x:c r="F4716" s="4" t="str">
        <x:v>CUS-04715</x:v>
      </x:c>
      <x:c r="G4716" s="4" t="str">
        <x:v>UNIT-04715</x:v>
      </x:c>
      <x:c r="H4716" s="9" t="n">
        <x:v>16800000</x:v>
      </x:c>
      <x:c r="I4716" s="10" t="n">
        <x:v>0.1</x:v>
      </x:c>
      <x:c r="J4716" s="11" t="n">
        <x:v>12</x:v>
      </x:c>
      <x:c r="K4716" s="11" t="n">
        <x:v>5</x:v>
      </x:c>
      <x:c r="L4716" s="11" t="n">
        <x:v>0</x:v>
      </x:c>
      <x:c r="M4716" s="9" t="n">
        <x:f>ROUND(H4716*(1-I4716),2)</x:f>
        <x:v>15120000</x:v>
      </x:c>
      <x:c r="N4716" s="4" t="str">
        <x:v>Sales head</x:v>
      </x:c>
      <x:c r="O4716" s="4"/>
      <x:c r="P4716" s="9" t="n">
        <x:v>0</x:v>
      </x:c>
      <x:c r="Q4716" s="11" t="n">
        <x:v>1</x:v>
      </x:c>
      <x:c r="R4716" s="8" t="n">
        <x:v>45636</x:v>
      </x:c>
      <x:c r="S4716" s="4" t="str">
        <x:v>Lost / cancelled</x:v>
      </x:c>
      <x:c r="T4716" s="10" t="n">
        <x:v>0.351536</x:v>
      </x:c>
      <x:c r="U4716" s="4" t="str">
        <x:v>Test</x:v>
      </x:c>
    </x:row>
    <x:row r="4717" ht="34" customHeight="1">
      <x:c r="A4717" s="4" t="str">
        <x:v>RS-04716</x:v>
      </x:c>
      <x:c r="B4717" s="8" t="n">
        <x:v>45577</x:v>
      </x:c>
      <x:c r="C4717" s="4" t="str">
        <x:v>PRJ-016</x:v>
      </x:c>
      <x:c r="D4717" s="4" t="str">
        <x:v>Apartment</x:v>
      </x:c>
      <x:c r="E4717" s="4" t="str">
        <x:v>Reserved</x:v>
      </x:c>
      <x:c r="F4717" s="4" t="str">
        <x:v>CUS-04716</x:v>
      </x:c>
      <x:c r="G4717" s="4" t="str">
        <x:v>UNIT-04716</x:v>
      </x:c>
      <x:c r="H4717" s="9" t="n">
        <x:v>3100000</x:v>
      </x:c>
      <x:c r="I4717" s="10" t="n">
        <x:v>0.04</x:v>
      </x:c>
      <x:c r="J4717" s="11" t="n">
        <x:v>12</x:v>
      </x:c>
      <x:c r="K4717" s="11" t="n">
        <x:v>4</x:v>
      </x:c>
      <x:c r="L4717" s="11" t="n">
        <x:v>0</x:v>
      </x:c>
      <x:c r="M4717" s="9" t="n">
        <x:f>ROUND(H4717*(1-I4717),2)</x:f>
        <x:v>2976000</x:v>
      </x:c>
      <x:c r="N4717" s="4" t="str">
        <x:v>Sales manager</x:v>
      </x:c>
      <x:c r="O4717" s="4"/>
      <x:c r="P4717" s="9" t="n">
        <x:v>0</x:v>
      </x:c>
      <x:c r="Q4717" s="11" t="n">
        <x:v>0</x:v>
      </x:c>
      <x:c r="R4717" s="8" t="n">
        <x:v>45637</x:v>
      </x:c>
      <x:c r="S4717" s="4" t="str">
        <x:v>Retained</x:v>
      </x:c>
      <x:c r="T4717" s="10" t="n">
        <x:v>0.351536</x:v>
      </x:c>
      <x:c r="U4717" s="4" t="str">
        <x:v>Test</x:v>
      </x:c>
    </x:row>
    <x:row r="4718" ht="34" customHeight="1">
      <x:c r="A4718" s="4" t="str">
        <x:v>RS-04717</x:v>
      </x:c>
      <x:c r="B4718" s="8" t="n">
        <x:v>45578</x:v>
      </x:c>
      <x:c r="C4718" s="4" t="str">
        <x:v>PRJ-017</x:v>
      </x:c>
      <x:c r="D4718" s="4" t="str">
        <x:v>Retail</x:v>
      </x:c>
      <x:c r="E4718" s="4" t="str">
        <x:v>Booked</x:v>
      </x:c>
      <x:c r="F4718" s="4" t="str">
        <x:v>CUS-04717</x:v>
      </x:c>
      <x:c r="G4718" s="4" t="str">
        <x:v>UNIT-04717</x:v>
      </x:c>
      <x:c r="H4718" s="9" t="n">
        <x:v>20800000</x:v>
      </x:c>
      <x:c r="I4718" s="10" t="n">
        <x:v>0.07</x:v>
      </x:c>
      <x:c r="J4718" s="11" t="n">
        <x:v>3</x:v>
      </x:c>
      <x:c r="K4718" s="11" t="n">
        <x:v>1</x:v>
      </x:c>
      <x:c r="L4718" s="11" t="n">
        <x:v>0</x:v>
      </x:c>
      <x:c r="M4718" s="9" t="n">
        <x:f>ROUND(H4718*(1-I4718),2)</x:f>
        <x:v>19344000</x:v>
      </x:c>
      <x:c r="N4718" s="4" t="str">
        <x:v>Sales manager</x:v>
      </x:c>
      <x:c r="O4718" s="4" t="str">
        <x:v>BOOK-04717</x:v>
      </x:c>
      <x:c r="P4718" s="9" t="n">
        <x:v>1934400</x:v>
      </x:c>
      <x:c r="Q4718" s="11" t="n">
        <x:v>0</x:v>
      </x:c>
      <x:c r="R4718" s="8" t="n">
        <x:v>45638</x:v>
      </x:c>
      <x:c r="S4718" s="4" t="str">
        <x:v>Retained</x:v>
      </x:c>
      <x:c r="T4718" s="10" t="n">
        <x:v>0.204152</x:v>
      </x:c>
      <x:c r="U4718" s="4" t="str">
        <x:v>Test</x:v>
      </x:c>
    </x:row>
    <x:row r="4719" ht="34" customHeight="1">
      <x:c r="A4719" s="4" t="str">
        <x:v>RS-04718</x:v>
      </x:c>
      <x:c r="B4719" s="8" t="n">
        <x:v>45579</x:v>
      </x:c>
      <x:c r="C4719" s="4" t="str">
        <x:v>PRJ-018</x:v>
      </x:c>
      <x:c r="D4719" s="4" t="str">
        <x:v>Apartment</x:v>
      </x:c>
      <x:c r="E4719" s="4" t="str">
        <x:v>Enquiry</x:v>
      </x:c>
      <x:c r="F4719" s="4" t="str">
        <x:v>CUS-04718</x:v>
      </x:c>
      <x:c r="G4719" s="4" t="str">
        <x:v>UNIT-04718</x:v>
      </x:c>
      <x:c r="H4719" s="9" t="n">
        <x:v>14400000</x:v>
      </x:c>
      <x:c r="I4719" s="10" t="n">
        <x:v>0.06</x:v>
      </x:c>
      <x:c r="J4719" s="11" t="n">
        <x:v>1</x:v>
      </x:c>
      <x:c r="K4719" s="11" t="n">
        <x:v>6</x:v>
      </x:c>
      <x:c r="L4719" s="11" t="n">
        <x:v>1</x:v>
      </x:c>
      <x:c r="M4719" s="9" t="n">
        <x:f>ROUND(H4719*(1-I4719),2)</x:f>
        <x:v>13536000</x:v>
      </x:c>
      <x:c r="N4719" s="4" t="str">
        <x:v>Sales manager</x:v>
      </x:c>
      <x:c r="O4719" s="4"/>
      <x:c r="P4719" s="9" t="n">
        <x:v>0</x:v>
      </x:c>
      <x:c r="Q4719" s="11" t="n">
        <x:v>0</x:v>
      </x:c>
      <x:c r="R4719" s="8" t="n">
        <x:v>45639</x:v>
      </x:c>
      <x:c r="S4719" s="4" t="str">
        <x:v>Retained</x:v>
      </x:c>
      <x:c r="T4719" s="10" t="n">
        <x:v>0.204152</x:v>
      </x:c>
      <x:c r="U4719" s="4" t="str">
        <x:v>Test</x:v>
      </x:c>
    </x:row>
    <x:row r="4720" ht="34" customHeight="1">
      <x:c r="A4720" s="4" t="str">
        <x:v>RS-04719</x:v>
      </x:c>
      <x:c r="B4720" s="8" t="n">
        <x:v>45580</x:v>
      </x:c>
      <x:c r="C4720" s="4" t="str">
        <x:v>PRJ-019</x:v>
      </x:c>
      <x:c r="D4720" s="4" t="str">
        <x:v>Office</x:v>
      </x:c>
      <x:c r="E4720" s="4" t="str">
        <x:v>Reserved</x:v>
      </x:c>
      <x:c r="F4720" s="4" t="str">
        <x:v>CUS-04719</x:v>
      </x:c>
      <x:c r="G4720" s="4" t="str">
        <x:v>UNIT-04719</x:v>
      </x:c>
      <x:c r="H4720" s="9" t="n">
        <x:v>15600000</x:v>
      </x:c>
      <x:c r="I4720" s="10" t="n">
        <x:v>0.06</x:v>
      </x:c>
      <x:c r="J4720" s="11" t="n">
        <x:v>3</x:v>
      </x:c>
      <x:c r="K4720" s="11" t="n">
        <x:v>9</x:v>
      </x:c>
      <x:c r="L4720" s="11" t="n">
        <x:v>0</x:v>
      </x:c>
      <x:c r="M4720" s="9" t="n">
        <x:f>ROUND(H4720*(1-I4720),2)</x:f>
        <x:v>14664000</x:v>
      </x:c>
      <x:c r="N4720" s="4" t="str">
        <x:v>Sales manager</x:v>
      </x:c>
      <x:c r="O4720" s="4"/>
      <x:c r="P4720" s="9" t="n">
        <x:v>0</x:v>
      </x:c>
      <x:c r="Q4720" s="11" t="n">
        <x:v>0</x:v>
      </x:c>
      <x:c r="R4720" s="8" t="n">
        <x:v>45640</x:v>
      </x:c>
      <x:c r="S4720" s="4" t="str">
        <x:v>Retained</x:v>
      </x:c>
      <x:c r="T4720" s="10" t="n">
        <x:v>0.204152</x:v>
      </x:c>
      <x:c r="U4720" s="4" t="str">
        <x:v>Test</x:v>
      </x:c>
    </x:row>
    <x:row r="4721" ht="34" customHeight="1">
      <x:c r="A4721" s="4" t="str">
        <x:v>RS-04720</x:v>
      </x:c>
      <x:c r="B4721" s="8" t="n">
        <x:v>45581</x:v>
      </x:c>
      <x:c r="C4721" s="4" t="str">
        <x:v>PRJ-020</x:v>
      </x:c>
      <x:c r="D4721" s="4" t="str">
        <x:v>Apartment</x:v>
      </x:c>
      <x:c r="E4721" s="4" t="str">
        <x:v>Cancelled</x:v>
      </x:c>
      <x:c r="F4721" s="4" t="str">
        <x:v>CUS-04720</x:v>
      </x:c>
      <x:c r="G4721" s="4" t="str">
        <x:v>UNIT-04720</x:v>
      </x:c>
      <x:c r="H4721" s="9" t="n">
        <x:v>9400000</x:v>
      </x:c>
      <x:c r="I4721" s="10" t="n">
        <x:v>0.05</x:v>
      </x:c>
      <x:c r="J4721" s="11" t="n">
        <x:v>0</x:v>
      </x:c>
      <x:c r="K4721" s="11" t="n">
        <x:v>1</x:v>
      </x:c>
      <x:c r="L4721" s="11" t="n">
        <x:v>0</x:v>
      </x:c>
      <x:c r="M4721" s="9" t="n">
        <x:f>ROUND(H4721*(1-I4721),2)</x:f>
        <x:v>8930000</x:v>
      </x:c>
      <x:c r="N4721" s="4" t="str">
        <x:v>Sales manager</x:v>
      </x:c>
      <x:c r="O4721" s="4"/>
      <x:c r="P4721" s="9" t="n">
        <x:v>0</x:v>
      </x:c>
      <x:c r="Q4721" s="11" t="n">
        <x:v>1</x:v>
      </x:c>
      <x:c r="R4721" s="8" t="n">
        <x:v>45641</x:v>
      </x:c>
      <x:c r="S4721" s="4" t="str">
        <x:v>Lost / cancelled</x:v>
      </x:c>
      <x:c r="T4721" s="10" t="n">
        <x:v>0.204152</x:v>
      </x:c>
      <x:c r="U4721" s="4" t="str">
        <x:v>Test</x:v>
      </x:c>
    </x:row>
    <x:row r="4722" ht="34" customHeight="1">
      <x:c r="A4722" s="4" t="str">
        <x:v>RS-04721</x:v>
      </x:c>
      <x:c r="B4722" s="8" t="n">
        <x:v>45582</x:v>
      </x:c>
      <x:c r="C4722" s="4" t="str">
        <x:v>PRJ-001</x:v>
      </x:c>
      <x:c r="D4722" s="4" t="str">
        <x:v>Apartment</x:v>
      </x:c>
      <x:c r="E4722" s="4" t="str">
        <x:v>Handed over</x:v>
      </x:c>
      <x:c r="F4722" s="4" t="str">
        <x:v>CUS-04721</x:v>
      </x:c>
      <x:c r="G4722" s="4" t="str">
        <x:v>UNIT-04721</x:v>
      </x:c>
      <x:c r="H4722" s="9" t="n">
        <x:v>4800000</x:v>
      </x:c>
      <x:c r="I4722" s="10" t="n">
        <x:v>0.12</x:v>
      </x:c>
      <x:c r="J4722" s="11" t="n">
        <x:v>10</x:v>
      </x:c>
      <x:c r="K4722" s="11" t="n">
        <x:v>5</x:v>
      </x:c>
      <x:c r="L4722" s="11" t="n">
        <x:v>1</x:v>
      </x:c>
      <x:c r="M4722" s="9" t="n">
        <x:f>ROUND(H4722*(1-I4722),2)</x:f>
        <x:v>4224000</x:v>
      </x:c>
      <x:c r="N4722" s="4" t="str">
        <x:v>Sales head</x:v>
      </x:c>
      <x:c r="O4722" s="4" t="str">
        <x:v>BOOK-04721</x:v>
      </x:c>
      <x:c r="P4722" s="9" t="n">
        <x:v>4224000</x:v>
      </x:c>
      <x:c r="Q4722" s="11" t="n">
        <x:v>0</x:v>
      </x:c>
      <x:c r="R4722" s="8" t="n">
        <x:v>45642</x:v>
      </x:c>
      <x:c r="S4722" s="4" t="str">
        <x:v>Retained</x:v>
      </x:c>
      <x:c r="T4722" s="10" t="n">
        <x:v>0.310195</x:v>
      </x:c>
      <x:c r="U4722" s="4" t="str">
        <x:v>Test</x:v>
      </x:c>
    </x:row>
    <x:row r="4723" ht="34" customHeight="1">
      <x:c r="A4723" s="4" t="str">
        <x:v>RS-04722</x:v>
      </x:c>
      <x:c r="B4723" s="8" t="n">
        <x:v>45583</x:v>
      </x:c>
      <x:c r="C4723" s="4" t="str">
        <x:v>PRJ-002</x:v>
      </x:c>
      <x:c r="D4723" s="4" t="str">
        <x:v>Office</x:v>
      </x:c>
      <x:c r="E4723" s="4" t="str">
        <x:v>Reserved</x:v>
      </x:c>
      <x:c r="F4723" s="4" t="str">
        <x:v>CUS-04722</x:v>
      </x:c>
      <x:c r="G4723" s="4" t="str">
        <x:v>UNIT-04722</x:v>
      </x:c>
      <x:c r="H4723" s="9" t="n">
        <x:v>19000000</x:v>
      </x:c>
      <x:c r="I4723" s="10" t="n">
        <x:v>0.08</x:v>
      </x:c>
      <x:c r="J4723" s="11" t="n">
        <x:v>9</x:v>
      </x:c>
      <x:c r="K4723" s="11" t="n">
        <x:v>10</x:v>
      </x:c>
      <x:c r="L4723" s="11" t="n">
        <x:v>0</x:v>
      </x:c>
      <x:c r="M4723" s="9" t="n">
        <x:f>ROUND(H4723*(1-I4723),2)</x:f>
        <x:v>17480000</x:v>
      </x:c>
      <x:c r="N4723" s="4" t="str">
        <x:v>Sales head</x:v>
      </x:c>
      <x:c r="O4723" s="4"/>
      <x:c r="P4723" s="9" t="n">
        <x:v>0</x:v>
      </x:c>
      <x:c r="Q4723" s="11" t="n">
        <x:v>0</x:v>
      </x:c>
      <x:c r="R4723" s="8" t="n">
        <x:v>45643</x:v>
      </x:c>
      <x:c r="S4723" s="4" t="str">
        <x:v>Retained</x:v>
      </x:c>
      <x:c r="T4723" s="10" t="n">
        <x:v>0.310195</x:v>
      </x:c>
      <x:c r="U4723" s="4" t="str">
        <x:v>Test</x:v>
      </x:c>
    </x:row>
    <x:row r="4724" ht="34" customHeight="1">
      <x:c r="A4724" s="4" t="str">
        <x:v>RS-04723</x:v>
      </x:c>
      <x:c r="B4724" s="8" t="n">
        <x:v>45584</x:v>
      </x:c>
      <x:c r="C4724" s="4" t="str">
        <x:v>PRJ-003</x:v>
      </x:c>
      <x:c r="D4724" s="4" t="str">
        <x:v>Apartment</x:v>
      </x:c>
      <x:c r="E4724" s="4" t="str">
        <x:v>Reserved</x:v>
      </x:c>
      <x:c r="F4724" s="4" t="str">
        <x:v>CUS-04723</x:v>
      </x:c>
      <x:c r="G4724" s="4" t="str">
        <x:v>UNIT-04723</x:v>
      </x:c>
      <x:c r="H4724" s="9" t="n">
        <x:v>20900000</x:v>
      </x:c>
      <x:c r="I4724" s="10" t="n">
        <x:v>0.04</x:v>
      </x:c>
      <x:c r="J4724" s="11" t="n">
        <x:v>5</x:v>
      </x:c>
      <x:c r="K4724" s="11" t="n">
        <x:v>9</x:v>
      </x:c>
      <x:c r="L4724" s="11" t="n">
        <x:v>0</x:v>
      </x:c>
      <x:c r="M4724" s="9" t="n">
        <x:f>ROUND(H4724*(1-I4724),2)</x:f>
        <x:v>20064000</x:v>
      </x:c>
      <x:c r="N4724" s="4" t="str">
        <x:v>Sales manager</x:v>
      </x:c>
      <x:c r="O4724" s="4"/>
      <x:c r="P4724" s="9" t="n">
        <x:v>0</x:v>
      </x:c>
      <x:c r="Q4724" s="11" t="n">
        <x:v>0</x:v>
      </x:c>
      <x:c r="R4724" s="8" t="n">
        <x:v>45644</x:v>
      </x:c>
      <x:c r="S4724" s="4" t="str">
        <x:v>Retained</x:v>
      </x:c>
      <x:c r="T4724" s="10" t="n">
        <x:v>0.226277</x:v>
      </x:c>
      <x:c r="U4724" s="4" t="str">
        <x:v>Test</x:v>
      </x:c>
    </x:row>
    <x:row r="4725" ht="34" customHeight="1">
      <x:c r="A4725" s="4" t="str">
        <x:v>RS-04724</x:v>
      </x:c>
      <x:c r="B4725" s="8" t="n">
        <x:v>45585</x:v>
      </x:c>
      <x:c r="C4725" s="4" t="str">
        <x:v>PRJ-004</x:v>
      </x:c>
      <x:c r="D4725" s="4" t="str">
        <x:v>Apartment</x:v>
      </x:c>
      <x:c r="E4725" s="4" t="str">
        <x:v>Agreement signed</x:v>
      </x:c>
      <x:c r="F4725" s="4" t="str">
        <x:v>CUS-04724</x:v>
      </x:c>
      <x:c r="G4725" s="4" t="str">
        <x:v>UNIT-04724</x:v>
      </x:c>
      <x:c r="H4725" s="9" t="n">
        <x:v>24500000</x:v>
      </x:c>
      <x:c r="I4725" s="10" t="n">
        <x:v>0.02</x:v>
      </x:c>
      <x:c r="J4725" s="11" t="n">
        <x:v>10</x:v>
      </x:c>
      <x:c r="K4725" s="11" t="n">
        <x:v>7</x:v>
      </x:c>
      <x:c r="L4725" s="11" t="n">
        <x:v>0</x:v>
      </x:c>
      <x:c r="M4725" s="9" t="n">
        <x:f>ROUND(H4725*(1-I4725),2)</x:f>
        <x:v>24010000</x:v>
      </x:c>
      <x:c r="N4725" s="4" t="str">
        <x:v>Sales manager</x:v>
      </x:c>
      <x:c r="O4725" s="4" t="str">
        <x:v>BOOK-04724</x:v>
      </x:c>
      <x:c r="P4725" s="9" t="n">
        <x:v>12005000</x:v>
      </x:c>
      <x:c r="Q4725" s="11" t="n">
        <x:v>0</x:v>
      </x:c>
      <x:c r="R4725" s="8" t="n">
        <x:v>45645</x:v>
      </x:c>
      <x:c r="S4725" s="4" t="str">
        <x:v>Retained</x:v>
      </x:c>
      <x:c r="T4725" s="10" t="n">
        <x:v>0.305556</x:v>
      </x:c>
      <x:c r="U4725" s="4" t="str">
        <x:v>Test</x:v>
      </x:c>
    </x:row>
    <x:row r="4726" ht="34" customHeight="1">
      <x:c r="A4726" s="4" t="str">
        <x:v>RS-04725</x:v>
      </x:c>
      <x:c r="B4726" s="8" t="n">
        <x:v>45586</x:v>
      </x:c>
      <x:c r="C4726" s="4" t="str">
        <x:v>PRJ-005</x:v>
      </x:c>
      <x:c r="D4726" s="4" t="str">
        <x:v>Office</x:v>
      </x:c>
      <x:c r="E4726" s="4" t="str">
        <x:v>Reserved</x:v>
      </x:c>
      <x:c r="F4726" s="4" t="str">
        <x:v>CUS-04725</x:v>
      </x:c>
      <x:c r="G4726" s="4" t="str">
        <x:v>UNIT-04725</x:v>
      </x:c>
      <x:c r="H4726" s="9" t="n">
        <x:v>11300000</x:v>
      </x:c>
      <x:c r="I4726" s="10" t="n">
        <x:v>0.07</x:v>
      </x:c>
      <x:c r="J4726" s="11" t="n">
        <x:v>5</x:v>
      </x:c>
      <x:c r="K4726" s="11" t="n">
        <x:v>10</x:v>
      </x:c>
      <x:c r="L4726" s="11" t="n">
        <x:v>1</x:v>
      </x:c>
      <x:c r="M4726" s="9" t="n">
        <x:f>ROUND(H4726*(1-I4726),2)</x:f>
        <x:v>10509000</x:v>
      </x:c>
      <x:c r="N4726" s="4" t="str">
        <x:v>Sales manager</x:v>
      </x:c>
      <x:c r="O4726" s="4"/>
      <x:c r="P4726" s="9" t="n">
        <x:v>0</x:v>
      </x:c>
      <x:c r="Q4726" s="11" t="n">
        <x:v>0</x:v>
      </x:c>
      <x:c r="R4726" s="8" t="n">
        <x:v>45646</x:v>
      </x:c>
      <x:c r="S4726" s="4" t="str">
        <x:v>Retained</x:v>
      </x:c>
      <x:c r="T4726" s="10" t="n">
        <x:v>0.291946</x:v>
      </x:c>
      <x:c r="U4726" s="4" t="str">
        <x:v>Test</x:v>
      </x:c>
    </x:row>
    <x:row r="4727" ht="34" customHeight="1">
      <x:c r="A4727" s="4" t="str">
        <x:v>RS-04726</x:v>
      </x:c>
      <x:c r="B4727" s="8" t="n">
        <x:v>45587</x:v>
      </x:c>
      <x:c r="C4727" s="4" t="str">
        <x:v>PRJ-006</x:v>
      </x:c>
      <x:c r="D4727" s="4" t="str">
        <x:v>Retail</x:v>
      </x:c>
      <x:c r="E4727" s="4" t="str">
        <x:v>Agreement signed</x:v>
      </x:c>
      <x:c r="F4727" s="4" t="str">
        <x:v>CUS-04726</x:v>
      </x:c>
      <x:c r="G4727" s="4" t="str">
        <x:v>UNIT-04726</x:v>
      </x:c>
      <x:c r="H4727" s="9" t="n">
        <x:v>7200000</x:v>
      </x:c>
      <x:c r="I4727" s="10" t="n">
        <x:v>0.05</x:v>
      </x:c>
      <x:c r="J4727" s="11" t="n">
        <x:v>8</x:v>
      </x:c>
      <x:c r="K4727" s="11" t="n">
        <x:v>8</x:v>
      </x:c>
      <x:c r="L4727" s="11" t="n">
        <x:v>0</x:v>
      </x:c>
      <x:c r="M4727" s="9" t="n">
        <x:f>ROUND(H4727*(1-I4727),2)</x:f>
        <x:v>6840000</x:v>
      </x:c>
      <x:c r="N4727" s="4" t="str">
        <x:v>Sales manager</x:v>
      </x:c>
      <x:c r="O4727" s="4" t="str">
        <x:v>BOOK-04726</x:v>
      </x:c>
      <x:c r="P4727" s="9" t="n">
        <x:v>6840000</x:v>
      </x:c>
      <x:c r="Q4727" s="11" t="n">
        <x:v>0</x:v>
      </x:c>
      <x:c r="R4727" s="8" t="n">
        <x:v>45647</x:v>
      </x:c>
      <x:c r="S4727" s="4" t="str">
        <x:v>Retained</x:v>
      </x:c>
      <x:c r="T4727" s="10" t="n">
        <x:v>0.310195</x:v>
      </x:c>
      <x:c r="U4727" s="4" t="str">
        <x:v>Test</x:v>
      </x:c>
    </x:row>
    <x:row r="4728" ht="34" customHeight="1">
      <x:c r="A4728" s="4" t="str">
        <x:v>RS-04727</x:v>
      </x:c>
      <x:c r="B4728" s="8" t="n">
        <x:v>45588</x:v>
      </x:c>
      <x:c r="C4728" s="4" t="str">
        <x:v>PRJ-007</x:v>
      </x:c>
      <x:c r="D4728" s="4" t="str">
        <x:v>Apartment</x:v>
      </x:c>
      <x:c r="E4728" s="4" t="str">
        <x:v>Booked</x:v>
      </x:c>
      <x:c r="F4728" s="4" t="str">
        <x:v>CUS-04727</x:v>
      </x:c>
      <x:c r="G4728" s="4" t="str">
        <x:v>UNIT-04727</x:v>
      </x:c>
      <x:c r="H4728" s="9" t="n">
        <x:v>9300000</x:v>
      </x:c>
      <x:c r="I4728" s="10" t="n">
        <x:v>0.04</x:v>
      </x:c>
      <x:c r="J4728" s="11" t="n">
        <x:v>2</x:v>
      </x:c>
      <x:c r="K4728" s="11" t="n">
        <x:v>1</x:v>
      </x:c>
      <x:c r="L4728" s="11" t="n">
        <x:v>0</x:v>
      </x:c>
      <x:c r="M4728" s="9" t="n">
        <x:f>ROUND(H4728*(1-I4728),2)</x:f>
        <x:v>8928000</x:v>
      </x:c>
      <x:c r="N4728" s="4" t="str">
        <x:v>Sales manager</x:v>
      </x:c>
      <x:c r="O4728" s="4" t="str">
        <x:v>BOOK-04727</x:v>
      </x:c>
      <x:c r="P4728" s="9" t="n">
        <x:v>892800</x:v>
      </x:c>
      <x:c r="Q4728" s="11" t="n">
        <x:v>0</x:v>
      </x:c>
      <x:c r="R4728" s="8" t="n">
        <x:v>45648</x:v>
      </x:c>
      <x:c r="S4728" s="4" t="str">
        <x:v>Retained</x:v>
      </x:c>
      <x:c r="T4728" s="10" t="n">
        <x:v>0.204152</x:v>
      </x:c>
      <x:c r="U4728" s="4" t="str">
        <x:v>Test</x:v>
      </x:c>
    </x:row>
    <x:row r="4729" ht="34" customHeight="1">
      <x:c r="A4729" s="4" t="str">
        <x:v>RS-04728</x:v>
      </x:c>
      <x:c r="B4729" s="8" t="n">
        <x:v>45589</x:v>
      </x:c>
      <x:c r="C4729" s="4" t="str">
        <x:v>PRJ-008</x:v>
      </x:c>
      <x:c r="D4729" s="4" t="str">
        <x:v>Retail</x:v>
      </x:c>
      <x:c r="E4729" s="4" t="str">
        <x:v>Enquiry</x:v>
      </x:c>
      <x:c r="F4729" s="4" t="str">
        <x:v>CUS-04728</x:v>
      </x:c>
      <x:c r="G4729" s="4" t="str">
        <x:v>UNIT-04728</x:v>
      </x:c>
      <x:c r="H4729" s="9" t="n">
        <x:v>23200000</x:v>
      </x:c>
      <x:c r="I4729" s="10" t="n">
        <x:v>0.04</x:v>
      </x:c>
      <x:c r="J4729" s="11" t="n">
        <x:v>7</x:v>
      </x:c>
      <x:c r="K4729" s="11" t="n">
        <x:v>8</x:v>
      </x:c>
      <x:c r="L4729" s="11" t="n">
        <x:v>0</x:v>
      </x:c>
      <x:c r="M4729" s="9" t="n">
        <x:f>ROUND(H4729*(1-I4729),2)</x:f>
        <x:v>22272000</x:v>
      </x:c>
      <x:c r="N4729" s="4" t="str">
        <x:v>Sales manager</x:v>
      </x:c>
      <x:c r="O4729" s="4"/>
      <x:c r="P4729" s="9" t="n">
        <x:v>0</x:v>
      </x:c>
      <x:c r="Q4729" s="11" t="n">
        <x:v>1</x:v>
      </x:c>
      <x:c r="R4729" s="8" t="n">
        <x:v>45649</x:v>
      </x:c>
      <x:c r="S4729" s="4" t="str">
        <x:v>Lost / cancelled</x:v>
      </x:c>
      <x:c r="T4729" s="10" t="n">
        <x:v>0.226277</x:v>
      </x:c>
      <x:c r="U4729" s="4" t="str">
        <x:v>Test</x:v>
      </x:c>
    </x:row>
    <x:row r="4730" ht="34" customHeight="1">
      <x:c r="A4730" s="4" t="str">
        <x:v>RS-04729</x:v>
      </x:c>
      <x:c r="B4730" s="8" t="n">
        <x:v>45590</x:v>
      </x:c>
      <x:c r="C4730" s="4" t="str">
        <x:v>PRJ-009</x:v>
      </x:c>
      <x:c r="D4730" s="4" t="str">
        <x:v>Apartment</x:v>
      </x:c>
      <x:c r="E4730" s="4" t="str">
        <x:v>Enquiry</x:v>
      </x:c>
      <x:c r="F4730" s="4" t="str">
        <x:v>CUS-04729</x:v>
      </x:c>
      <x:c r="G4730" s="4" t="str">
        <x:v>UNIT-04729</x:v>
      </x:c>
      <x:c r="H4730" s="9" t="n">
        <x:v>10200000</x:v>
      </x:c>
      <x:c r="I4730" s="10" t="n">
        <x:v>0.03</x:v>
      </x:c>
      <x:c r="J4730" s="11" t="n">
        <x:v>8</x:v>
      </x:c>
      <x:c r="K4730" s="11" t="n">
        <x:v>4</x:v>
      </x:c>
      <x:c r="L4730" s="11" t="n">
        <x:v>1</x:v>
      </x:c>
      <x:c r="M4730" s="9" t="n">
        <x:f>ROUND(H4730*(1-I4730),2)</x:f>
        <x:v>9894000</x:v>
      </x:c>
      <x:c r="N4730" s="4" t="str">
        <x:v>Sales manager</x:v>
      </x:c>
      <x:c r="O4730" s="4"/>
      <x:c r="P4730" s="9" t="n">
        <x:v>0</x:v>
      </x:c>
      <x:c r="Q4730" s="11" t="n">
        <x:v>0</x:v>
      </x:c>
      <x:c r="R4730" s="8" t="n">
        <x:v>45650</x:v>
      </x:c>
      <x:c r="S4730" s="4" t="str">
        <x:v>Retained</x:v>
      </x:c>
      <x:c r="T4730" s="10" t="n">
        <x:v>0.310195</x:v>
      </x:c>
      <x:c r="U4730" s="4" t="str">
        <x:v>Test</x:v>
      </x:c>
    </x:row>
    <x:row r="4731" ht="34" customHeight="1">
      <x:c r="A4731" s="4" t="str">
        <x:v>RS-04730</x:v>
      </x:c>
      <x:c r="B4731" s="8" t="n">
        <x:v>45591</x:v>
      </x:c>
      <x:c r="C4731" s="4" t="str">
        <x:v>PRJ-010</x:v>
      </x:c>
      <x:c r="D4731" s="4" t="str">
        <x:v>Villa</x:v>
      </x:c>
      <x:c r="E4731" s="4" t="str">
        <x:v>Handed over</x:v>
      </x:c>
      <x:c r="F4731" s="4" t="str">
        <x:v>CUS-04730</x:v>
      </x:c>
      <x:c r="G4731" s="4" t="str">
        <x:v>UNIT-04730</x:v>
      </x:c>
      <x:c r="H4731" s="9" t="n">
        <x:v>12600000</x:v>
      </x:c>
      <x:c r="I4731" s="10" t="n">
        <x:v>0.01</x:v>
      </x:c>
      <x:c r="J4731" s="11" t="n">
        <x:v>4</x:v>
      </x:c>
      <x:c r="K4731" s="11" t="n">
        <x:v>0</x:v>
      </x:c>
      <x:c r="L4731" s="11" t="n">
        <x:v>1</x:v>
      </x:c>
      <x:c r="M4731" s="9" t="n">
        <x:f>ROUND(H4731*(1-I4731),2)</x:f>
        <x:v>12474000</x:v>
      </x:c>
      <x:c r="N4731" s="4" t="str">
        <x:v>Sales manager</x:v>
      </x:c>
      <x:c r="O4731" s="4" t="str">
        <x:v>BOOK-04730</x:v>
      </x:c>
      <x:c r="P4731" s="9" t="n">
        <x:v>6237000</x:v>
      </x:c>
      <x:c r="Q4731" s="11" t="n">
        <x:v>0</x:v>
      </x:c>
      <x:c r="R4731" s="8" t="n">
        <x:v>45651</x:v>
      </x:c>
      <x:c r="S4731" s="4" t="str">
        <x:v>Retained</x:v>
      </x:c>
      <x:c r="T4731" s="10" t="n">
        <x:v>0.298969</x:v>
      </x:c>
      <x:c r="U4731" s="4" t="str">
        <x:v>Test</x:v>
      </x:c>
    </x:row>
    <x:row r="4732" ht="34" customHeight="1">
      <x:c r="A4732" s="4" t="str">
        <x:v>RS-04731</x:v>
      </x:c>
      <x:c r="B4732" s="8" t="n">
        <x:v>45592</x:v>
      </x:c>
      <x:c r="C4732" s="4" t="str">
        <x:v>PRJ-011</x:v>
      </x:c>
      <x:c r="D4732" s="4" t="str">
        <x:v>Villa</x:v>
      </x:c>
      <x:c r="E4732" s="4" t="str">
        <x:v>Cancelled</x:v>
      </x:c>
      <x:c r="F4732" s="4" t="str">
        <x:v>CUS-04731</x:v>
      </x:c>
      <x:c r="G4732" s="4" t="str">
        <x:v>UNIT-04731</x:v>
      </x:c>
      <x:c r="H4732" s="9" t="n">
        <x:v>18300000</x:v>
      </x:c>
      <x:c r="I4732" s="10" t="n">
        <x:v>0.02</x:v>
      </x:c>
      <x:c r="J4732" s="11" t="n">
        <x:v>7</x:v>
      </x:c>
      <x:c r="K4732" s="11" t="n">
        <x:v>6</x:v>
      </x:c>
      <x:c r="L4732" s="11" t="n">
        <x:v>1</x:v>
      </x:c>
      <x:c r="M4732" s="9" t="n">
        <x:f>ROUND(H4732*(1-I4732),2)</x:f>
        <x:v>17934000</x:v>
      </x:c>
      <x:c r="N4732" s="4" t="str">
        <x:v>Sales manager</x:v>
      </x:c>
      <x:c r="O4732" s="4"/>
      <x:c r="P4732" s="9" t="n">
        <x:v>0</x:v>
      </x:c>
      <x:c r="Q4732" s="11" t="n">
        <x:v>1</x:v>
      </x:c>
      <x:c r="R4732" s="8" t="n">
        <x:v>45652</x:v>
      </x:c>
      <x:c r="S4732" s="4" t="str">
        <x:v>Lost / cancelled</x:v>
      </x:c>
      <x:c r="T4732" s="10" t="n">
        <x:v>0.145299</x:v>
      </x:c>
      <x:c r="U4732" s="4" t="str">
        <x:v>Test</x:v>
      </x:c>
    </x:row>
    <x:row r="4733" ht="34" customHeight="1">
      <x:c r="A4733" s="4" t="str">
        <x:v>RS-04732</x:v>
      </x:c>
      <x:c r="B4733" s="8" t="n">
        <x:v>45593</x:v>
      </x:c>
      <x:c r="C4733" s="4" t="str">
        <x:v>PRJ-012</x:v>
      </x:c>
      <x:c r="D4733" s="4" t="str">
        <x:v>Villa</x:v>
      </x:c>
      <x:c r="E4733" s="4" t="str">
        <x:v>Handed over</x:v>
      </x:c>
      <x:c r="F4733" s="4" t="str">
        <x:v>CUS-04732</x:v>
      </x:c>
      <x:c r="G4733" s="4" t="str">
        <x:v>UNIT-04732</x:v>
      </x:c>
      <x:c r="H4733" s="9" t="n">
        <x:v>11000000</x:v>
      </x:c>
      <x:c r="I4733" s="10" t="n">
        <x:v>0.01</x:v>
      </x:c>
      <x:c r="J4733" s="11" t="n">
        <x:v>4</x:v>
      </x:c>
      <x:c r="K4733" s="11" t="n">
        <x:v>3</x:v>
      </x:c>
      <x:c r="L4733" s="11" t="n">
        <x:v>1</x:v>
      </x:c>
      <x:c r="M4733" s="9" t="n">
        <x:f>ROUND(H4733*(1-I4733),2)</x:f>
        <x:v>10890000</x:v>
      </x:c>
      <x:c r="N4733" s="4" t="str">
        <x:v>Sales manager</x:v>
      </x:c>
      <x:c r="O4733" s="4" t="str">
        <x:v>BOOK-04732</x:v>
      </x:c>
      <x:c r="P4733" s="9" t="n">
        <x:v>2722500</x:v>
      </x:c>
      <x:c r="Q4733" s="11" t="n">
        <x:v>0</x:v>
      </x:c>
      <x:c r="R4733" s="8" t="n">
        <x:v>45653</x:v>
      </x:c>
      <x:c r="S4733" s="4" t="str">
        <x:v>Retained</x:v>
      </x:c>
      <x:c r="T4733" s="10" t="n">
        <x:v>0.298969</x:v>
      </x:c>
      <x:c r="U4733" s="4" t="str">
        <x:v>Test</x:v>
      </x:c>
    </x:row>
    <x:row r="4734" ht="34" customHeight="1">
      <x:c r="A4734" s="4" t="str">
        <x:v>RS-04733</x:v>
      </x:c>
      <x:c r="B4734" s="8" t="n">
        <x:v>45566</x:v>
      </x:c>
      <x:c r="C4734" s="4" t="str">
        <x:v>PRJ-013</x:v>
      </x:c>
      <x:c r="D4734" s="4" t="str">
        <x:v>Retail</x:v>
      </x:c>
      <x:c r="E4734" s="4" t="str">
        <x:v>Reserved</x:v>
      </x:c>
      <x:c r="F4734" s="4" t="str">
        <x:v>CUS-04733</x:v>
      </x:c>
      <x:c r="G4734" s="4" t="str">
        <x:v>UNIT-04733</x:v>
      </x:c>
      <x:c r="H4734" s="9" t="n">
        <x:v>21600000</x:v>
      </x:c>
      <x:c r="I4734" s="10" t="n">
        <x:v>0.09</x:v>
      </x:c>
      <x:c r="J4734" s="11" t="n">
        <x:v>8</x:v>
      </x:c>
      <x:c r="K4734" s="11" t="n">
        <x:v>7</x:v>
      </x:c>
      <x:c r="L4734" s="11" t="n">
        <x:v>0</x:v>
      </x:c>
      <x:c r="M4734" s="9" t="n">
        <x:f>ROUND(H4734*(1-I4734),2)</x:f>
        <x:v>19656000</x:v>
      </x:c>
      <x:c r="N4734" s="4" t="str">
        <x:v>Sales head</x:v>
      </x:c>
      <x:c r="O4734" s="4"/>
      <x:c r="P4734" s="9" t="n">
        <x:v>0</x:v>
      </x:c>
      <x:c r="Q4734" s="11" t="n">
        <x:v>0</x:v>
      </x:c>
      <x:c r="R4734" s="8" t="n">
        <x:v>45626</x:v>
      </x:c>
      <x:c r="S4734" s="4" t="str">
        <x:v>Retained</x:v>
      </x:c>
      <x:c r="T4734" s="10" t="n">
        <x:v>0.310195</x:v>
      </x:c>
      <x:c r="U4734" s="4" t="str">
        <x:v>Test</x:v>
      </x:c>
    </x:row>
    <x:row r="4735" ht="34" customHeight="1">
      <x:c r="A4735" s="4" t="str">
        <x:v>RS-04734</x:v>
      </x:c>
      <x:c r="B4735" s="8" t="n">
        <x:v>45567</x:v>
      </x:c>
      <x:c r="C4735" s="4" t="str">
        <x:v>PRJ-014</x:v>
      </x:c>
      <x:c r="D4735" s="4" t="str">
        <x:v>Retail</x:v>
      </x:c>
      <x:c r="E4735" s="4" t="str">
        <x:v>Handed over</x:v>
      </x:c>
      <x:c r="F4735" s="4" t="str">
        <x:v>CUS-04734</x:v>
      </x:c>
      <x:c r="G4735" s="4" t="str">
        <x:v>UNIT-04734</x:v>
      </x:c>
      <x:c r="H4735" s="9" t="n">
        <x:v>7200000</x:v>
      </x:c>
      <x:c r="I4735" s="10" t="n">
        <x:v>0.07</x:v>
      </x:c>
      <x:c r="J4735" s="11" t="n">
        <x:v>6</x:v>
      </x:c>
      <x:c r="K4735" s="11" t="n">
        <x:v>1</x:v>
      </x:c>
      <x:c r="L4735" s="11" t="n">
        <x:v>0</x:v>
      </x:c>
      <x:c r="M4735" s="9" t="n">
        <x:f>ROUND(H4735*(1-I4735),2)</x:f>
        <x:v>6696000</x:v>
      </x:c>
      <x:c r="N4735" s="4" t="str">
        <x:v>Sales manager</x:v>
      </x:c>
      <x:c r="O4735" s="4" t="str">
        <x:v>BOOK-04734</x:v>
      </x:c>
      <x:c r="P4735" s="9" t="n">
        <x:v>3348000</x:v>
      </x:c>
      <x:c r="Q4735" s="11" t="n">
        <x:v>0</x:v>
      </x:c>
      <x:c r="R4735" s="8" t="n">
        <x:v>45627</x:v>
      </x:c>
      <x:c r="S4735" s="4" t="str">
        <x:v>Retained</x:v>
      </x:c>
      <x:c r="T4735" s="10" t="n">
        <x:v>0.226277</x:v>
      </x:c>
      <x:c r="U4735" s="4" t="str">
        <x:v>Test</x:v>
      </x:c>
    </x:row>
    <x:row r="4736" ht="34" customHeight="1">
      <x:c r="A4736" s="4" t="str">
        <x:v>RS-04735</x:v>
      </x:c>
      <x:c r="B4736" s="8" t="n">
        <x:v>45568</x:v>
      </x:c>
      <x:c r="C4736" s="4" t="str">
        <x:v>PRJ-015</x:v>
      </x:c>
      <x:c r="D4736" s="4" t="str">
        <x:v>Retail</x:v>
      </x:c>
      <x:c r="E4736" s="4" t="str">
        <x:v>Handed over</x:v>
      </x:c>
      <x:c r="F4736" s="4" t="str">
        <x:v>CUS-04735</x:v>
      </x:c>
      <x:c r="G4736" s="4" t="str">
        <x:v>UNIT-04735</x:v>
      </x:c>
      <x:c r="H4736" s="9" t="n">
        <x:v>22800000</x:v>
      </x:c>
      <x:c r="I4736" s="10" t="n">
        <x:v>0</x:v>
      </x:c>
      <x:c r="J4736" s="11" t="n">
        <x:v>4</x:v>
      </x:c>
      <x:c r="K4736" s="11" t="n">
        <x:v>8</x:v>
      </x:c>
      <x:c r="L4736" s="11" t="n">
        <x:v>1</x:v>
      </x:c>
      <x:c r="M4736" s="9" t="n">
        <x:f>ROUND(H4736*(1-I4736),2)</x:f>
        <x:v>22800000</x:v>
      </x:c>
      <x:c r="N4736" s="4" t="str">
        <x:v>Sales manager</x:v>
      </x:c>
      <x:c r="O4736" s="4" t="str">
        <x:v>BOOK-04735</x:v>
      </x:c>
      <x:c r="P4736" s="9" t="n">
        <x:v>22800000</x:v>
      </x:c>
      <x:c r="Q4736" s="11" t="n">
        <x:v>0</x:v>
      </x:c>
      <x:c r="R4736" s="8" t="n">
        <x:v>45628</x:v>
      </x:c>
      <x:c r="S4736" s="4" t="str">
        <x:v>Retained</x:v>
      </x:c>
      <x:c r="T4736" s="10" t="n">
        <x:v>0.145299</x:v>
      </x:c>
      <x:c r="U4736" s="4" t="str">
        <x:v>Test</x:v>
      </x:c>
    </x:row>
    <x:row r="4737" ht="34" customHeight="1">
      <x:c r="A4737" s="4" t="str">
        <x:v>RS-04736</x:v>
      </x:c>
      <x:c r="B4737" s="8" t="n">
        <x:v>45569</x:v>
      </x:c>
      <x:c r="C4737" s="4" t="str">
        <x:v>PRJ-016</x:v>
      </x:c>
      <x:c r="D4737" s="4" t="str">
        <x:v>Retail</x:v>
      </x:c>
      <x:c r="E4737" s="4" t="str">
        <x:v>Handed over</x:v>
      </x:c>
      <x:c r="F4737" s="4" t="str">
        <x:v>CUS-04736</x:v>
      </x:c>
      <x:c r="G4737" s="4" t="str">
        <x:v>UNIT-04736</x:v>
      </x:c>
      <x:c r="H4737" s="9" t="n">
        <x:v>17100000</x:v>
      </x:c>
      <x:c r="I4737" s="10" t="n">
        <x:v>0.1</x:v>
      </x:c>
      <x:c r="J4737" s="11" t="n">
        <x:v>6</x:v>
      </x:c>
      <x:c r="K4737" s="11" t="n">
        <x:v>1</x:v>
      </x:c>
      <x:c r="L4737" s="11" t="n">
        <x:v>1</x:v>
      </x:c>
      <x:c r="M4737" s="9" t="n">
        <x:f>ROUND(H4737*(1-I4737),2)</x:f>
        <x:v>15390000</x:v>
      </x:c>
      <x:c r="N4737" s="4" t="str">
        <x:v>Sales head</x:v>
      </x:c>
      <x:c r="O4737" s="4" t="str">
        <x:v>BOOK-04736</x:v>
      </x:c>
      <x:c r="P4737" s="9" t="n">
        <x:v>7695000</x:v>
      </x:c>
      <x:c r="Q4737" s="11" t="n">
        <x:v>0</x:v>
      </x:c>
      <x:c r="R4737" s="8" t="n">
        <x:v>45629</x:v>
      </x:c>
      <x:c r="S4737" s="4" t="str">
        <x:v>Retained</x:v>
      </x:c>
      <x:c r="T4737" s="10" t="n">
        <x:v>0.291946</x:v>
      </x:c>
      <x:c r="U4737" s="4" t="str">
        <x:v>Test</x:v>
      </x:c>
    </x:row>
    <x:row r="4738" ht="34" customHeight="1">
      <x:c r="A4738" s="4" t="str">
        <x:v>RS-04737</x:v>
      </x:c>
      <x:c r="B4738" s="8" t="n">
        <x:v>45570</x:v>
      </x:c>
      <x:c r="C4738" s="4" t="str">
        <x:v>PRJ-017</x:v>
      </x:c>
      <x:c r="D4738" s="4" t="str">
        <x:v>Apartment</x:v>
      </x:c>
      <x:c r="E4738" s="4" t="str">
        <x:v>Cancelled</x:v>
      </x:c>
      <x:c r="F4738" s="4" t="str">
        <x:v>CUS-04737</x:v>
      </x:c>
      <x:c r="G4738" s="4" t="str">
        <x:v>UNIT-04737</x:v>
      </x:c>
      <x:c r="H4738" s="9" t="n">
        <x:v>13400000</x:v>
      </x:c>
      <x:c r="I4738" s="10" t="n">
        <x:v>0.02</x:v>
      </x:c>
      <x:c r="J4738" s="11" t="n">
        <x:v>2</x:v>
      </x:c>
      <x:c r="K4738" s="11" t="n">
        <x:v>4</x:v>
      </x:c>
      <x:c r="L4738" s="11" t="n">
        <x:v>0</x:v>
      </x:c>
      <x:c r="M4738" s="9" t="n">
        <x:f>ROUND(H4738*(1-I4738),2)</x:f>
        <x:v>13132000</x:v>
      </x:c>
      <x:c r="N4738" s="4" t="str">
        <x:v>Sales manager</x:v>
      </x:c>
      <x:c r="O4738" s="4"/>
      <x:c r="P4738" s="9" t="n">
        <x:v>0</x:v>
      </x:c>
      <x:c r="Q4738" s="11" t="n">
        <x:v>1</x:v>
      </x:c>
      <x:c r="R4738" s="8" t="n">
        <x:v>45630</x:v>
      </x:c>
      <x:c r="S4738" s="4" t="str">
        <x:v>Lost / cancelled</x:v>
      </x:c>
      <x:c r="T4738" s="10" t="n">
        <x:v>0.171717</x:v>
      </x:c>
      <x:c r="U4738" s="4" t="str">
        <x:v>Test</x:v>
      </x:c>
    </x:row>
    <x:row r="4739" ht="34" customHeight="1">
      <x:c r="A4739" s="4" t="str">
        <x:v>RS-04738</x:v>
      </x:c>
      <x:c r="B4739" s="8" t="n">
        <x:v>45571</x:v>
      </x:c>
      <x:c r="C4739" s="4" t="str">
        <x:v>PRJ-018</x:v>
      </x:c>
      <x:c r="D4739" s="4" t="str">
        <x:v>Retail</x:v>
      </x:c>
      <x:c r="E4739" s="4" t="str">
        <x:v>Enquiry</x:v>
      </x:c>
      <x:c r="F4739" s="4" t="str">
        <x:v>CUS-04738</x:v>
      </x:c>
      <x:c r="G4739" s="4" t="str">
        <x:v>UNIT-04738</x:v>
      </x:c>
      <x:c r="H4739" s="9" t="n">
        <x:v>22300000</x:v>
      </x:c>
      <x:c r="I4739" s="10" t="n">
        <x:v>0.01</x:v>
      </x:c>
      <x:c r="J4739" s="11" t="n">
        <x:v>7</x:v>
      </x:c>
      <x:c r="K4739" s="11" t="n">
        <x:v>2</x:v>
      </x:c>
      <x:c r="L4739" s="11" t="n">
        <x:v>0</x:v>
      </x:c>
      <x:c r="M4739" s="9" t="n">
        <x:f>ROUND(H4739*(1-I4739),2)</x:f>
        <x:v>22077000</x:v>
      </x:c>
      <x:c r="N4739" s="4" t="str">
        <x:v>Sales manager</x:v>
      </x:c>
      <x:c r="O4739" s="4"/>
      <x:c r="P4739" s="9" t="n">
        <x:v>0</x:v>
      </x:c>
      <x:c r="Q4739" s="11" t="n">
        <x:v>0</x:v>
      </x:c>
      <x:c r="R4739" s="8" t="n">
        <x:v>45631</x:v>
      </x:c>
      <x:c r="S4739" s="4" t="str">
        <x:v>Retained</x:v>
      </x:c>
      <x:c r="T4739" s="10" t="n">
        <x:v>0.298969</x:v>
      </x:c>
      <x:c r="U4739" s="4" t="str">
        <x:v>Test</x:v>
      </x:c>
    </x:row>
    <x:row r="4740" ht="34" customHeight="1">
      <x:c r="A4740" s="4" t="str">
        <x:v>RS-04739</x:v>
      </x:c>
      <x:c r="B4740" s="8" t="n">
        <x:v>45572</x:v>
      </x:c>
      <x:c r="C4740" s="4" t="str">
        <x:v>PRJ-019</x:v>
      </x:c>
      <x:c r="D4740" s="4" t="str">
        <x:v>Retail</x:v>
      </x:c>
      <x:c r="E4740" s="4" t="str">
        <x:v>Agreement signed</x:v>
      </x:c>
      <x:c r="F4740" s="4" t="str">
        <x:v>CUS-04739</x:v>
      </x:c>
      <x:c r="G4740" s="4" t="str">
        <x:v>UNIT-04739</x:v>
      </x:c>
      <x:c r="H4740" s="9" t="n">
        <x:v>14400000</x:v>
      </x:c>
      <x:c r="I4740" s="10" t="n">
        <x:v>0.06</x:v>
      </x:c>
      <x:c r="J4740" s="11" t="n">
        <x:v>9</x:v>
      </x:c>
      <x:c r="K4740" s="11" t="n">
        <x:v>9</x:v>
      </x:c>
      <x:c r="L4740" s="11" t="n">
        <x:v>1</x:v>
      </x:c>
      <x:c r="M4740" s="9" t="n">
        <x:f>ROUND(H4740*(1-I4740),2)</x:f>
        <x:v>13536000</x:v>
      </x:c>
      <x:c r="N4740" s="4" t="str">
        <x:v>Sales manager</x:v>
      </x:c>
      <x:c r="O4740" s="4" t="str">
        <x:v>BOOK-04739</x:v>
      </x:c>
      <x:c r="P4740" s="9" t="n">
        <x:v>13536000</x:v>
      </x:c>
      <x:c r="Q4740" s="11" t="n">
        <x:v>0</x:v>
      </x:c>
      <x:c r="R4740" s="8" t="n">
        <x:v>45632</x:v>
      </x:c>
      <x:c r="S4740" s="4" t="str">
        <x:v>Retained</x:v>
      </x:c>
      <x:c r="T4740" s="10" t="n">
        <x:v>0.310195</x:v>
      </x:c>
      <x:c r="U4740" s="4" t="str">
        <x:v>Test</x:v>
      </x:c>
    </x:row>
    <x:row r="4741" ht="34" customHeight="1">
      <x:c r="A4741" s="4" t="str">
        <x:v>RS-04740</x:v>
      </x:c>
      <x:c r="B4741" s="8" t="n">
        <x:v>45573</x:v>
      </x:c>
      <x:c r="C4741" s="4" t="str">
        <x:v>PRJ-020</x:v>
      </x:c>
      <x:c r="D4741" s="4" t="str">
        <x:v>Retail</x:v>
      </x:c>
      <x:c r="E4741" s="4" t="str">
        <x:v>Cancelled</x:v>
      </x:c>
      <x:c r="F4741" s="4" t="str">
        <x:v>CUS-04740</x:v>
      </x:c>
      <x:c r="G4741" s="4" t="str">
        <x:v>UNIT-04740</x:v>
      </x:c>
      <x:c r="H4741" s="9" t="n">
        <x:v>20600000</x:v>
      </x:c>
      <x:c r="I4741" s="10" t="n">
        <x:v>0.03</x:v>
      </x:c>
      <x:c r="J4741" s="11" t="n">
        <x:v>7</x:v>
      </x:c>
      <x:c r="K4741" s="11" t="n">
        <x:v>2</x:v>
      </x:c>
      <x:c r="L4741" s="11" t="n">
        <x:v>0</x:v>
      </x:c>
      <x:c r="M4741" s="9" t="n">
        <x:f>ROUND(H4741*(1-I4741),2)</x:f>
        <x:v>19982000</x:v>
      </x:c>
      <x:c r="N4741" s="4" t="str">
        <x:v>Sales manager</x:v>
      </x:c>
      <x:c r="O4741" s="4"/>
      <x:c r="P4741" s="9" t="n">
        <x:v>0</x:v>
      </x:c>
      <x:c r="Q4741" s="11" t="n">
        <x:v>1</x:v>
      </x:c>
      <x:c r="R4741" s="8" t="n">
        <x:v>45633</x:v>
      </x:c>
      <x:c r="S4741" s="4" t="str">
        <x:v>Lost / cancelled</x:v>
      </x:c>
      <x:c r="T4741" s="10" t="n">
        <x:v>0.298969</x:v>
      </x:c>
      <x:c r="U4741" s="4" t="str">
        <x:v>Test</x:v>
      </x:c>
    </x:row>
    <x:row r="4742" ht="34" customHeight="1">
      <x:c r="A4742" s="4" t="str">
        <x:v>RS-04741</x:v>
      </x:c>
      <x:c r="B4742" s="8" t="n">
        <x:v>45574</x:v>
      </x:c>
      <x:c r="C4742" s="4" t="str">
        <x:v>PRJ-001</x:v>
      </x:c>
      <x:c r="D4742" s="4" t="str">
        <x:v>Office</x:v>
      </x:c>
      <x:c r="E4742" s="4" t="str">
        <x:v>Handed over</x:v>
      </x:c>
      <x:c r="F4742" s="4" t="str">
        <x:v>CUS-04741</x:v>
      </x:c>
      <x:c r="G4742" s="4" t="str">
        <x:v>UNIT-04741</x:v>
      </x:c>
      <x:c r="H4742" s="9" t="n">
        <x:v>16400000</x:v>
      </x:c>
      <x:c r="I4742" s="10" t="n">
        <x:v>0.01</x:v>
      </x:c>
      <x:c r="J4742" s="11" t="n">
        <x:v>12</x:v>
      </x:c>
      <x:c r="K4742" s="11" t="n">
        <x:v>6</x:v>
      </x:c>
      <x:c r="L4742" s="11" t="n">
        <x:v>0</x:v>
      </x:c>
      <x:c r="M4742" s="9" t="n">
        <x:f>ROUND(H4742*(1-I4742),2)</x:f>
        <x:v>16236000</x:v>
      </x:c>
      <x:c r="N4742" s="4" t="str">
        <x:v>Sales manager</x:v>
      </x:c>
      <x:c r="O4742" s="4" t="str">
        <x:v>BOOK-04741</x:v>
      </x:c>
      <x:c r="P4742" s="9" t="n">
        <x:v>1623600</x:v>
      </x:c>
      <x:c r="Q4742" s="11" t="n">
        <x:v>0</x:v>
      </x:c>
      <x:c r="R4742" s="8" t="n">
        <x:v>45634</x:v>
      </x:c>
      <x:c r="S4742" s="4" t="str">
        <x:v>Retained</x:v>
      </x:c>
      <x:c r="T4742" s="10" t="n">
        <x:v>0.305556</x:v>
      </x:c>
      <x:c r="U4742" s="4" t="str">
        <x:v>Test</x:v>
      </x:c>
    </x:row>
    <x:row r="4743" ht="34" customHeight="1">
      <x:c r="A4743" s="4" t="str">
        <x:v>RS-04742</x:v>
      </x:c>
      <x:c r="B4743" s="8" t="n">
        <x:v>45575</x:v>
      </x:c>
      <x:c r="C4743" s="4" t="str">
        <x:v>PRJ-002</x:v>
      </x:c>
      <x:c r="D4743" s="4" t="str">
        <x:v>Apartment</x:v>
      </x:c>
      <x:c r="E4743" s="4" t="str">
        <x:v>Handed over</x:v>
      </x:c>
      <x:c r="F4743" s="4" t="str">
        <x:v>CUS-04742</x:v>
      </x:c>
      <x:c r="G4743" s="4" t="str">
        <x:v>UNIT-04742</x:v>
      </x:c>
      <x:c r="H4743" s="9" t="n">
        <x:v>10000000</x:v>
      </x:c>
      <x:c r="I4743" s="10" t="n">
        <x:v>0.06</x:v>
      </x:c>
      <x:c r="J4743" s="11" t="n">
        <x:v>4</x:v>
      </x:c>
      <x:c r="K4743" s="11" t="n">
        <x:v>5</x:v>
      </x:c>
      <x:c r="L4743" s="11" t="n">
        <x:v>1</x:v>
      </x:c>
      <x:c r="M4743" s="9" t="n">
        <x:f>ROUND(H4743*(1-I4743),2)</x:f>
        <x:v>9400000</x:v>
      </x:c>
      <x:c r="N4743" s="4" t="str">
        <x:v>Sales manager</x:v>
      </x:c>
      <x:c r="O4743" s="4" t="str">
        <x:v>BOOK-04742</x:v>
      </x:c>
      <x:c r="P4743" s="9" t="n">
        <x:v>9400000</x:v>
      </x:c>
      <x:c r="Q4743" s="11" t="n">
        <x:v>0</x:v>
      </x:c>
      <x:c r="R4743" s="8" t="n">
        <x:v>45635</x:v>
      </x:c>
      <x:c r="S4743" s="4" t="str">
        <x:v>Retained</x:v>
      </x:c>
      <x:c r="T4743" s="10" t="n">
        <x:v>0.291946</x:v>
      </x:c>
      <x:c r="U4743" s="4" t="str">
        <x:v>Test</x:v>
      </x:c>
    </x:row>
    <x:row r="4744" ht="34" customHeight="1">
      <x:c r="A4744" s="4" t="str">
        <x:v>RS-04743</x:v>
      </x:c>
      <x:c r="B4744" s="8" t="n">
        <x:v>45576</x:v>
      </x:c>
      <x:c r="C4744" s="4" t="str">
        <x:v>PRJ-003</x:v>
      </x:c>
      <x:c r="D4744" s="4" t="str">
        <x:v>Apartment</x:v>
      </x:c>
      <x:c r="E4744" s="4" t="str">
        <x:v>Handed over</x:v>
      </x:c>
      <x:c r="F4744" s="4" t="str">
        <x:v>CUS-04743</x:v>
      </x:c>
      <x:c r="G4744" s="4" t="str">
        <x:v>UNIT-04743</x:v>
      </x:c>
      <x:c r="H4744" s="9" t="n">
        <x:v>4800000</x:v>
      </x:c>
      <x:c r="I4744" s="10" t="n">
        <x:v>0.01</x:v>
      </x:c>
      <x:c r="J4744" s="11" t="n">
        <x:v>7</x:v>
      </x:c>
      <x:c r="K4744" s="11" t="n">
        <x:v>6</x:v>
      </x:c>
      <x:c r="L4744" s="11" t="n">
        <x:v>1</x:v>
      </x:c>
      <x:c r="M4744" s="9" t="n">
        <x:f>ROUND(H4744*(1-I4744),2)</x:f>
        <x:v>4752000</x:v>
      </x:c>
      <x:c r="N4744" s="4" t="str">
        <x:v>Sales manager</x:v>
      </x:c>
      <x:c r="O4744" s="4" t="str">
        <x:v>BOOK-04743</x:v>
      </x:c>
      <x:c r="P4744" s="9" t="n">
        <x:v>2376000</x:v>
      </x:c>
      <x:c r="Q4744" s="11" t="n">
        <x:v>0</x:v>
      </x:c>
      <x:c r="R4744" s="8" t="n">
        <x:v>45636</x:v>
      </x:c>
      <x:c r="S4744" s="4" t="str">
        <x:v>Retained</x:v>
      </x:c>
      <x:c r="T4744" s="10" t="n">
        <x:v>0.145299</x:v>
      </x:c>
      <x:c r="U4744" s="4" t="str">
        <x:v>Test</x:v>
      </x:c>
    </x:row>
    <x:row r="4745" ht="34" customHeight="1">
      <x:c r="A4745" s="4" t="str">
        <x:v>RS-04744</x:v>
      </x:c>
      <x:c r="B4745" s="8" t="n">
        <x:v>45577</x:v>
      </x:c>
      <x:c r="C4745" s="4" t="str">
        <x:v>PRJ-004</x:v>
      </x:c>
      <x:c r="D4745" s="4" t="str">
        <x:v>Apartment</x:v>
      </x:c>
      <x:c r="E4745" s="4" t="str">
        <x:v>Reserved</x:v>
      </x:c>
      <x:c r="F4745" s="4" t="str">
        <x:v>CUS-04744</x:v>
      </x:c>
      <x:c r="G4745" s="4" t="str">
        <x:v>UNIT-04744</x:v>
      </x:c>
      <x:c r="H4745" s="9" t="n">
        <x:v>10300000</x:v>
      </x:c>
      <x:c r="I4745" s="10" t="n">
        <x:v>0.02</x:v>
      </x:c>
      <x:c r="J4745" s="11" t="n">
        <x:v>2</x:v>
      </x:c>
      <x:c r="K4745" s="11" t="n">
        <x:v>10</x:v>
      </x:c>
      <x:c r="L4745" s="11" t="n">
        <x:v>1</x:v>
      </x:c>
      <x:c r="M4745" s="9" t="n">
        <x:f>ROUND(H4745*(1-I4745),2)</x:f>
        <x:v>10094000</x:v>
      </x:c>
      <x:c r="N4745" s="4" t="str">
        <x:v>Sales manager</x:v>
      </x:c>
      <x:c r="O4745" s="4"/>
      <x:c r="P4745" s="9" t="n">
        <x:v>0</x:v>
      </x:c>
      <x:c r="Q4745" s="11" t="n">
        <x:v>0</x:v>
      </x:c>
      <x:c r="R4745" s="8" t="n">
        <x:v>45637</x:v>
      </x:c>
      <x:c r="S4745" s="4" t="str">
        <x:v>Retained</x:v>
      </x:c>
      <x:c r="T4745" s="10" t="n">
        <x:v>0.171717</x:v>
      </x:c>
      <x:c r="U4745" s="4" t="str">
        <x:v>Test</x:v>
      </x:c>
    </x:row>
    <x:row r="4746" ht="34" customHeight="1">
      <x:c r="A4746" s="4" t="str">
        <x:v>RS-04745</x:v>
      </x:c>
      <x:c r="B4746" s="8" t="n">
        <x:v>45578</x:v>
      </x:c>
      <x:c r="C4746" s="4" t="str">
        <x:v>PRJ-005</x:v>
      </x:c>
      <x:c r="D4746" s="4" t="str">
        <x:v>Office</x:v>
      </x:c>
      <x:c r="E4746" s="4" t="str">
        <x:v>Reserved</x:v>
      </x:c>
      <x:c r="F4746" s="4" t="str">
        <x:v>CUS-04745</x:v>
      </x:c>
      <x:c r="G4746" s="4" t="str">
        <x:v>UNIT-04745</x:v>
      </x:c>
      <x:c r="H4746" s="9" t="n">
        <x:v>24600000</x:v>
      </x:c>
      <x:c r="I4746" s="10" t="n">
        <x:v>0.01</x:v>
      </x:c>
      <x:c r="J4746" s="11" t="n">
        <x:v>4</x:v>
      </x:c>
      <x:c r="K4746" s="11" t="n">
        <x:v>7</x:v>
      </x:c>
      <x:c r="L4746" s="11" t="n">
        <x:v>1</x:v>
      </x:c>
      <x:c r="M4746" s="9" t="n">
        <x:f>ROUND(H4746*(1-I4746),2)</x:f>
        <x:v>24354000</x:v>
      </x:c>
      <x:c r="N4746" s="4" t="str">
        <x:v>Sales manager</x:v>
      </x:c>
      <x:c r="O4746" s="4"/>
      <x:c r="P4746" s="9" t="n">
        <x:v>0</x:v>
      </x:c>
      <x:c r="Q4746" s="11" t="n">
        <x:v>0</x:v>
      </x:c>
      <x:c r="R4746" s="8" t="n">
        <x:v>45638</x:v>
      </x:c>
      <x:c r="S4746" s="4" t="str">
        <x:v>Retained</x:v>
      </x:c>
      <x:c r="T4746" s="10" t="n">
        <x:v>0.145299</x:v>
      </x:c>
      <x:c r="U4746" s="4" t="str">
        <x:v>Test</x:v>
      </x:c>
    </x:row>
    <x:row r="4747" ht="34" customHeight="1">
      <x:c r="A4747" s="4" t="str">
        <x:v>RS-04746</x:v>
      </x:c>
      <x:c r="B4747" s="8" t="n">
        <x:v>45579</x:v>
      </x:c>
      <x:c r="C4747" s="4" t="str">
        <x:v>PRJ-006</x:v>
      </x:c>
      <x:c r="D4747" s="4" t="str">
        <x:v>Villa</x:v>
      </x:c>
      <x:c r="E4747" s="4" t="str">
        <x:v>Reserved</x:v>
      </x:c>
      <x:c r="F4747" s="4" t="str">
        <x:v>CUS-04746</x:v>
      </x:c>
      <x:c r="G4747" s="4" t="str">
        <x:v>UNIT-04746</x:v>
      </x:c>
      <x:c r="H4747" s="9" t="n">
        <x:v>14600000</x:v>
      </x:c>
      <x:c r="I4747" s="10" t="n">
        <x:v>0.12</x:v>
      </x:c>
      <x:c r="J4747" s="11" t="n">
        <x:v>8</x:v>
      </x:c>
      <x:c r="K4747" s="11" t="n">
        <x:v>7</x:v>
      </x:c>
      <x:c r="L4747" s="11" t="n">
        <x:v>0</x:v>
      </x:c>
      <x:c r="M4747" s="9" t="n">
        <x:f>ROUND(H4747*(1-I4747),2)</x:f>
        <x:v>12848000</x:v>
      </x:c>
      <x:c r="N4747" s="4" t="str">
        <x:v>Sales head</x:v>
      </x:c>
      <x:c r="O4747" s="4"/>
      <x:c r="P4747" s="9" t="n">
        <x:v>0</x:v>
      </x:c>
      <x:c r="Q4747" s="11" t="n">
        <x:v>0</x:v>
      </x:c>
      <x:c r="R4747" s="8" t="n">
        <x:v>45639</x:v>
      </x:c>
      <x:c r="S4747" s="4" t="str">
        <x:v>Retained</x:v>
      </x:c>
      <x:c r="T4747" s="10" t="n">
        <x:v>0.310195</x:v>
      </x:c>
      <x:c r="U4747" s="4" t="str">
        <x:v>Test</x:v>
      </x:c>
    </x:row>
    <x:row r="4748" ht="34" customHeight="1">
      <x:c r="A4748" s="4" t="str">
        <x:v>RS-04747</x:v>
      </x:c>
      <x:c r="B4748" s="8" t="n">
        <x:v>45580</x:v>
      </x:c>
      <x:c r="C4748" s="4" t="str">
        <x:v>PRJ-007</x:v>
      </x:c>
      <x:c r="D4748" s="4" t="str">
        <x:v>Office</x:v>
      </x:c>
      <x:c r="E4748" s="4" t="str">
        <x:v>Handed over</x:v>
      </x:c>
      <x:c r="F4748" s="4" t="str">
        <x:v>CUS-04747</x:v>
      </x:c>
      <x:c r="G4748" s="4" t="str">
        <x:v>UNIT-04747</x:v>
      </x:c>
      <x:c r="H4748" s="9" t="n">
        <x:v>10000000</x:v>
      </x:c>
      <x:c r="I4748" s="10" t="n">
        <x:v>0.04</x:v>
      </x:c>
      <x:c r="J4748" s="11" t="n">
        <x:v>10</x:v>
      </x:c>
      <x:c r="K4748" s="11" t="n">
        <x:v>8</x:v>
      </x:c>
      <x:c r="L4748" s="11" t="n">
        <x:v>0</x:v>
      </x:c>
      <x:c r="M4748" s="9" t="n">
        <x:f>ROUND(H4748*(1-I4748),2)</x:f>
        <x:v>9600000</x:v>
      </x:c>
      <x:c r="N4748" s="4" t="str">
        <x:v>Sales manager</x:v>
      </x:c>
      <x:c r="O4748" s="4" t="str">
        <x:v>BOOK-04747</x:v>
      </x:c>
      <x:c r="P4748" s="9" t="n">
        <x:v>4800000</x:v>
      </x:c>
      <x:c r="Q4748" s="11" t="n">
        <x:v>0</x:v>
      </x:c>
      <x:c r="R4748" s="8" t="n">
        <x:v>45640</x:v>
      </x:c>
      <x:c r="S4748" s="4" t="str">
        <x:v>Retained</x:v>
      </x:c>
      <x:c r="T4748" s="10" t="n">
        <x:v>0.310195</x:v>
      </x:c>
      <x:c r="U4748" s="4" t="str">
        <x:v>Test</x:v>
      </x:c>
    </x:row>
    <x:row r="4749" ht="34" customHeight="1">
      <x:c r="A4749" s="4" t="str">
        <x:v>RS-04748</x:v>
      </x:c>
      <x:c r="B4749" s="8" t="n">
        <x:v>45581</x:v>
      </x:c>
      <x:c r="C4749" s="4" t="str">
        <x:v>PRJ-008</x:v>
      </x:c>
      <x:c r="D4749" s="4" t="str">
        <x:v>Apartment</x:v>
      </x:c>
      <x:c r="E4749" s="4" t="str">
        <x:v>Agreement signed</x:v>
      </x:c>
      <x:c r="F4749" s="4" t="str">
        <x:v>CUS-04748</x:v>
      </x:c>
      <x:c r="G4749" s="4" t="str">
        <x:v>UNIT-04748</x:v>
      </x:c>
      <x:c r="H4749" s="9" t="n">
        <x:v>23600000</x:v>
      </x:c>
      <x:c r="I4749" s="10" t="n">
        <x:v>0.08</x:v>
      </x:c>
      <x:c r="J4749" s="11" t="n">
        <x:v>5</x:v>
      </x:c>
      <x:c r="K4749" s="11" t="n">
        <x:v>10</x:v>
      </x:c>
      <x:c r="L4749" s="11" t="n">
        <x:v>0</x:v>
      </x:c>
      <x:c r="M4749" s="9" t="n">
        <x:f>ROUND(H4749*(1-I4749),2)</x:f>
        <x:v>21712000</x:v>
      </x:c>
      <x:c r="N4749" s="4" t="str">
        <x:v>Sales head</x:v>
      </x:c>
      <x:c r="O4749" s="4" t="str">
        <x:v>BOOK-04748</x:v>
      </x:c>
      <x:c r="P4749" s="9" t="n">
        <x:v>10856000</x:v>
      </x:c>
      <x:c r="Q4749" s="11" t="n">
        <x:v>0</x:v>
      </x:c>
      <x:c r="R4749" s="8" t="n">
        <x:v>45641</x:v>
      </x:c>
      <x:c r="S4749" s="4" t="str">
        <x:v>Retained</x:v>
      </x:c>
      <x:c r="T4749" s="10" t="n">
        <x:v>0.226277</x:v>
      </x:c>
      <x:c r="U4749" s="4" t="str">
        <x:v>Test</x:v>
      </x:c>
    </x:row>
    <x:row r="4750" ht="34" customHeight="1">
      <x:c r="A4750" s="4" t="str">
        <x:v>RS-04749</x:v>
      </x:c>
      <x:c r="B4750" s="8" t="n">
        <x:v>45582</x:v>
      </x:c>
      <x:c r="C4750" s="4" t="str">
        <x:v>PRJ-009</x:v>
      </x:c>
      <x:c r="D4750" s="4" t="str">
        <x:v>Apartment</x:v>
      </x:c>
      <x:c r="E4750" s="4" t="str">
        <x:v>Handed over</x:v>
      </x:c>
      <x:c r="F4750" s="4" t="str">
        <x:v>CUS-04749</x:v>
      </x:c>
      <x:c r="G4750" s="4" t="str">
        <x:v>UNIT-04749</x:v>
      </x:c>
      <x:c r="H4750" s="9" t="n">
        <x:v>23700000</x:v>
      </x:c>
      <x:c r="I4750" s="10" t="n">
        <x:v>0.07</x:v>
      </x:c>
      <x:c r="J4750" s="11" t="n">
        <x:v>3</x:v>
      </x:c>
      <x:c r="K4750" s="11" t="n">
        <x:v>6</x:v>
      </x:c>
      <x:c r="L4750" s="11" t="n">
        <x:v>0</x:v>
      </x:c>
      <x:c r="M4750" s="9" t="n">
        <x:f>ROUND(H4750*(1-I4750),2)</x:f>
        <x:v>22041000</x:v>
      </x:c>
      <x:c r="N4750" s="4" t="str">
        <x:v>Sales manager</x:v>
      </x:c>
      <x:c r="O4750" s="4" t="str">
        <x:v>BOOK-04749</x:v>
      </x:c>
      <x:c r="P4750" s="9" t="n">
        <x:v>5510250</x:v>
      </x:c>
      <x:c r="Q4750" s="11" t="n">
        <x:v>0</x:v>
      </x:c>
      <x:c r="R4750" s="8" t="n">
        <x:v>45642</x:v>
      </x:c>
      <x:c r="S4750" s="4" t="str">
        <x:v>Retained</x:v>
      </x:c>
      <x:c r="T4750" s="10" t="n">
        <x:v>0.204152</x:v>
      </x:c>
      <x:c r="U4750" s="4" t="str">
        <x:v>Test</x:v>
      </x:c>
    </x:row>
    <x:row r="4751" ht="34" customHeight="1">
      <x:c r="A4751" s="4" t="str">
        <x:v>RS-04750</x:v>
      </x:c>
      <x:c r="B4751" s="8" t="n">
        <x:v>45583</x:v>
      </x:c>
      <x:c r="C4751" s="4" t="str">
        <x:v>PRJ-010</x:v>
      </x:c>
      <x:c r="D4751" s="4" t="str">
        <x:v>Villa</x:v>
      </x:c>
      <x:c r="E4751" s="4" t="str">
        <x:v>Agreement signed</x:v>
      </x:c>
      <x:c r="F4751" s="4" t="str">
        <x:v>CUS-04750</x:v>
      </x:c>
      <x:c r="G4751" s="4" t="str">
        <x:v>UNIT-04750</x:v>
      </x:c>
      <x:c r="H4751" s="9" t="n">
        <x:v>16900000</x:v>
      </x:c>
      <x:c r="I4751" s="10" t="n">
        <x:v>0.09</x:v>
      </x:c>
      <x:c r="J4751" s="11" t="n">
        <x:v>10</x:v>
      </x:c>
      <x:c r="K4751" s="11" t="n">
        <x:v>3</x:v>
      </x:c>
      <x:c r="L4751" s="11" t="n">
        <x:v>1</x:v>
      </x:c>
      <x:c r="M4751" s="9" t="n">
        <x:f>ROUND(H4751*(1-I4751),2)</x:f>
        <x:v>15379000</x:v>
      </x:c>
      <x:c r="N4751" s="4" t="str">
        <x:v>Sales head</x:v>
      </x:c>
      <x:c r="O4751" s="4" t="str">
        <x:v>BOOK-04750</x:v>
      </x:c>
      <x:c r="P4751" s="9" t="n">
        <x:v>1537900</x:v>
      </x:c>
      <x:c r="Q4751" s="11" t="n">
        <x:v>0</x:v>
      </x:c>
      <x:c r="R4751" s="8" t="n">
        <x:v>45643</x:v>
      </x:c>
      <x:c r="S4751" s="4" t="str">
        <x:v>Retained</x:v>
      </x:c>
      <x:c r="T4751" s="10" t="n">
        <x:v>0.310195</x:v>
      </x:c>
      <x:c r="U4751" s="4" t="str">
        <x:v>Test</x:v>
      </x:c>
    </x:row>
    <x:row r="4752" ht="34" customHeight="1">
      <x:c r="A4752" s="4" t="str">
        <x:v>RS-04751</x:v>
      </x:c>
      <x:c r="B4752" s="8" t="n">
        <x:v>45584</x:v>
      </x:c>
      <x:c r="C4752" s="4" t="str">
        <x:v>PRJ-011</x:v>
      </x:c>
      <x:c r="D4752" s="4" t="str">
        <x:v>Villa</x:v>
      </x:c>
      <x:c r="E4752" s="4" t="str">
        <x:v>Booked</x:v>
      </x:c>
      <x:c r="F4752" s="4" t="str">
        <x:v>CUS-04751</x:v>
      </x:c>
      <x:c r="G4752" s="4" t="str">
        <x:v>UNIT-04751</x:v>
      </x:c>
      <x:c r="H4752" s="9" t="n">
        <x:v>12400000</x:v>
      </x:c>
      <x:c r="I4752" s="10" t="n">
        <x:v>0</x:v>
      </x:c>
      <x:c r="J4752" s="11" t="n">
        <x:v>8</x:v>
      </x:c>
      <x:c r="K4752" s="11" t="n">
        <x:v>10</x:v>
      </x:c>
      <x:c r="L4752" s="11" t="n">
        <x:v>1</x:v>
      </x:c>
      <x:c r="M4752" s="9" t="n">
        <x:f>ROUND(H4752*(1-I4752),2)</x:f>
        <x:v>12400000</x:v>
      </x:c>
      <x:c r="N4752" s="4" t="str">
        <x:v>Sales manager</x:v>
      </x:c>
      <x:c r="O4752" s="4" t="str">
        <x:v>BOOK-04751</x:v>
      </x:c>
      <x:c r="P4752" s="9" t="n">
        <x:v>1240000</x:v>
      </x:c>
      <x:c r="Q4752" s="11" t="n">
        <x:v>0</x:v>
      </x:c>
      <x:c r="R4752" s="8" t="n">
        <x:v>45644</x:v>
      </x:c>
      <x:c r="S4752" s="4" t="str">
        <x:v>Retained</x:v>
      </x:c>
      <x:c r="T4752" s="10" t="n">
        <x:v>0.254545</x:v>
      </x:c>
      <x:c r="U4752" s="4" t="str">
        <x:v>Test</x:v>
      </x:c>
    </x:row>
    <x:row r="4753" ht="34" customHeight="1">
      <x:c r="A4753" s="4" t="str">
        <x:v>RS-04752</x:v>
      </x:c>
      <x:c r="B4753" s="8" t="n">
        <x:v>45585</x:v>
      </x:c>
      <x:c r="C4753" s="4" t="str">
        <x:v>PRJ-012</x:v>
      </x:c>
      <x:c r="D4753" s="4" t="str">
        <x:v>Villa</x:v>
      </x:c>
      <x:c r="E4753" s="4" t="str">
        <x:v>Reserved</x:v>
      </x:c>
      <x:c r="F4753" s="4" t="str">
        <x:v>CUS-04752</x:v>
      </x:c>
      <x:c r="G4753" s="4" t="str">
        <x:v>UNIT-04752</x:v>
      </x:c>
      <x:c r="H4753" s="9" t="n">
        <x:v>13000000</x:v>
      </x:c>
      <x:c r="I4753" s="10" t="n">
        <x:v>0.02</x:v>
      </x:c>
      <x:c r="J4753" s="11" t="n">
        <x:v>12</x:v>
      </x:c>
      <x:c r="K4753" s="11" t="n">
        <x:v>10</x:v>
      </x:c>
      <x:c r="L4753" s="11" t="n">
        <x:v>1</x:v>
      </x:c>
      <x:c r="M4753" s="9" t="n">
        <x:f>ROUND(H4753*(1-I4753),2)</x:f>
        <x:v>12740000</x:v>
      </x:c>
      <x:c r="N4753" s="4" t="str">
        <x:v>Sales manager</x:v>
      </x:c>
      <x:c r="O4753" s="4"/>
      <x:c r="P4753" s="9" t="n">
        <x:v>0</x:v>
      </x:c>
      <x:c r="Q4753" s="11" t="n">
        <x:v>0</x:v>
      </x:c>
      <x:c r="R4753" s="8" t="n">
        <x:v>45645</x:v>
      </x:c>
      <x:c r="S4753" s="4" t="str">
        <x:v>Retained</x:v>
      </x:c>
      <x:c r="T4753" s="10" t="n">
        <x:v>0.254545</x:v>
      </x:c>
      <x:c r="U4753" s="4" t="str">
        <x:v>Test</x:v>
      </x:c>
    </x:row>
    <x:row r="4754" ht="34" customHeight="1">
      <x:c r="A4754" s="4" t="str">
        <x:v>RS-04753</x:v>
      </x:c>
      <x:c r="B4754" s="8" t="n">
        <x:v>45586</x:v>
      </x:c>
      <x:c r="C4754" s="4" t="str">
        <x:v>PRJ-013</x:v>
      </x:c>
      <x:c r="D4754" s="4" t="str">
        <x:v>Villa</x:v>
      </x:c>
      <x:c r="E4754" s="4" t="str">
        <x:v>Enquiry</x:v>
      </x:c>
      <x:c r="F4754" s="4" t="str">
        <x:v>CUS-04753</x:v>
      </x:c>
      <x:c r="G4754" s="4" t="str">
        <x:v>UNIT-04753</x:v>
      </x:c>
      <x:c r="H4754" s="9" t="n">
        <x:v>25000000</x:v>
      </x:c>
      <x:c r="I4754" s="10" t="n">
        <x:v>0.1</x:v>
      </x:c>
      <x:c r="J4754" s="11" t="n">
        <x:v>10</x:v>
      </x:c>
      <x:c r="K4754" s="11" t="n">
        <x:v>1</x:v>
      </x:c>
      <x:c r="L4754" s="11" t="n">
        <x:v>0</x:v>
      </x:c>
      <x:c r="M4754" s="9" t="n">
        <x:f>ROUND(H4754*(1-I4754),2)</x:f>
        <x:v>22500000</x:v>
      </x:c>
      <x:c r="N4754" s="4" t="str">
        <x:v>Sales head</x:v>
      </x:c>
      <x:c r="O4754" s="4"/>
      <x:c r="P4754" s="9" t="n">
        <x:v>0</x:v>
      </x:c>
      <x:c r="Q4754" s="11" t="n">
        <x:v>1</x:v>
      </x:c>
      <x:c r="R4754" s="8" t="n">
        <x:v>45646</x:v>
      </x:c>
      <x:c r="S4754" s="4" t="str">
        <x:v>Lost / cancelled</x:v>
      </x:c>
      <x:c r="T4754" s="10" t="n">
        <x:v>0.310195</x:v>
      </x:c>
      <x:c r="U4754" s="4" t="str">
        <x:v>Test</x:v>
      </x:c>
    </x:row>
    <x:row r="4755" ht="34" customHeight="1">
      <x:c r="A4755" s="4" t="str">
        <x:v>RS-04754</x:v>
      </x:c>
      <x:c r="B4755" s="8" t="n">
        <x:v>45587</x:v>
      </x:c>
      <x:c r="C4755" s="4" t="str">
        <x:v>PRJ-014</x:v>
      </x:c>
      <x:c r="D4755" s="4" t="str">
        <x:v>Retail</x:v>
      </x:c>
      <x:c r="E4755" s="4" t="str">
        <x:v>Cancelled</x:v>
      </x:c>
      <x:c r="F4755" s="4" t="str">
        <x:v>CUS-04754</x:v>
      </x:c>
      <x:c r="G4755" s="4" t="str">
        <x:v>UNIT-04754</x:v>
      </x:c>
      <x:c r="H4755" s="9" t="n">
        <x:v>12600000</x:v>
      </x:c>
      <x:c r="I4755" s="10" t="n">
        <x:v>0.12</x:v>
      </x:c>
      <x:c r="J4755" s="11" t="n">
        <x:v>12</x:v>
      </x:c>
      <x:c r="K4755" s="11" t="n">
        <x:v>10</x:v>
      </x:c>
      <x:c r="L4755" s="11" t="n">
        <x:v>0</x:v>
      </x:c>
      <x:c r="M4755" s="9" t="n">
        <x:f>ROUND(H4755*(1-I4755),2)</x:f>
        <x:v>11088000</x:v>
      </x:c>
      <x:c r="N4755" s="4" t="str">
        <x:v>Sales head</x:v>
      </x:c>
      <x:c r="O4755" s="4"/>
      <x:c r="P4755" s="9" t="n">
        <x:v>0</x:v>
      </x:c>
      <x:c r="Q4755" s="11" t="n">
        <x:v>1</x:v>
      </x:c>
      <x:c r="R4755" s="8" t="n">
        <x:v>45647</x:v>
      </x:c>
      <x:c r="S4755" s="4" t="str">
        <x:v>Lost / cancelled</x:v>
      </x:c>
      <x:c r="T4755" s="10" t="n">
        <x:v>0.351536</x:v>
      </x:c>
      <x:c r="U4755" s="4" t="str">
        <x:v>Test</x:v>
      </x:c>
    </x:row>
    <x:row r="4756" ht="34" customHeight="1">
      <x:c r="A4756" s="4" t="str">
        <x:v>RS-04755</x:v>
      </x:c>
      <x:c r="B4756" s="8" t="n">
        <x:v>45588</x:v>
      </x:c>
      <x:c r="C4756" s="4" t="str">
        <x:v>PRJ-015</x:v>
      </x:c>
      <x:c r="D4756" s="4" t="str">
        <x:v>Office</x:v>
      </x:c>
      <x:c r="E4756" s="4" t="str">
        <x:v>Booked</x:v>
      </x:c>
      <x:c r="F4756" s="4" t="str">
        <x:v>CUS-04755</x:v>
      </x:c>
      <x:c r="G4756" s="4" t="str">
        <x:v>UNIT-04755</x:v>
      </x:c>
      <x:c r="H4756" s="9" t="n">
        <x:v>4000000</x:v>
      </x:c>
      <x:c r="I4756" s="10" t="n">
        <x:v>0.12</x:v>
      </x:c>
      <x:c r="J4756" s="11" t="n">
        <x:v>8</x:v>
      </x:c>
      <x:c r="K4756" s="11" t="n">
        <x:v>6</x:v>
      </x:c>
      <x:c r="L4756" s="11" t="n">
        <x:v>0</x:v>
      </x:c>
      <x:c r="M4756" s="9" t="n">
        <x:f>ROUND(H4756*(1-I4756),2)</x:f>
        <x:v>3520000</x:v>
      </x:c>
      <x:c r="N4756" s="4" t="str">
        <x:v>Sales head</x:v>
      </x:c>
      <x:c r="O4756" s="4" t="str">
        <x:v>BOOK-04755</x:v>
      </x:c>
      <x:c r="P4756" s="9" t="n">
        <x:v>1760000</x:v>
      </x:c>
      <x:c r="Q4756" s="11" t="n">
        <x:v>0</x:v>
      </x:c>
      <x:c r="R4756" s="8" t="n">
        <x:v>45648</x:v>
      </x:c>
      <x:c r="S4756" s="4" t="str">
        <x:v>Retained</x:v>
      </x:c>
      <x:c r="T4756" s="10" t="n">
        <x:v>0.310195</x:v>
      </x:c>
      <x:c r="U4756" s="4" t="str">
        <x:v>Test</x:v>
      </x:c>
    </x:row>
    <x:row r="4757" ht="34" customHeight="1">
      <x:c r="A4757" s="4" t="str">
        <x:v>RS-04756</x:v>
      </x:c>
      <x:c r="B4757" s="8" t="n">
        <x:v>45589</x:v>
      </x:c>
      <x:c r="C4757" s="4" t="str">
        <x:v>PRJ-016</x:v>
      </x:c>
      <x:c r="D4757" s="4" t="str">
        <x:v>Apartment</x:v>
      </x:c>
      <x:c r="E4757" s="4" t="str">
        <x:v>Reserved</x:v>
      </x:c>
      <x:c r="F4757" s="4" t="str">
        <x:v>CUS-04756</x:v>
      </x:c>
      <x:c r="G4757" s="4" t="str">
        <x:v>UNIT-04756</x:v>
      </x:c>
      <x:c r="H4757" s="9" t="n">
        <x:v>5600000</x:v>
      </x:c>
      <x:c r="I4757" s="10" t="n">
        <x:v>0.1</x:v>
      </x:c>
      <x:c r="J4757" s="11" t="n">
        <x:v>3</x:v>
      </x:c>
      <x:c r="K4757" s="11" t="n">
        <x:v>3</x:v>
      </x:c>
      <x:c r="L4757" s="11" t="n">
        <x:v>1</x:v>
      </x:c>
      <x:c r="M4757" s="9" t="n">
        <x:f>ROUND(H4757*(1-I4757),2)</x:f>
        <x:v>5040000</x:v>
      </x:c>
      <x:c r="N4757" s="4" t="str">
        <x:v>Sales head</x:v>
      </x:c>
      <x:c r="O4757" s="4"/>
      <x:c r="P4757" s="9" t="n">
        <x:v>0</x:v>
      </x:c>
      <x:c r="Q4757" s="11" t="n">
        <x:v>1</x:v>
      </x:c>
      <x:c r="R4757" s="8" t="n">
        <x:v>45649</x:v>
      </x:c>
      <x:c r="S4757" s="4" t="str">
        <x:v>Lost / cancelled</x:v>
      </x:c>
      <x:c r="T4757" s="10" t="n">
        <x:v>0.145833</x:v>
      </x:c>
      <x:c r="U4757" s="4" t="str">
        <x:v>Test</x:v>
      </x:c>
    </x:row>
    <x:row r="4758" ht="34" customHeight="1">
      <x:c r="A4758" s="4" t="str">
        <x:v>RS-04757</x:v>
      </x:c>
      <x:c r="B4758" s="8" t="n">
        <x:v>45590</x:v>
      </x:c>
      <x:c r="C4758" s="4" t="str">
        <x:v>PRJ-017</x:v>
      </x:c>
      <x:c r="D4758" s="4" t="str">
        <x:v>Villa</x:v>
      </x:c>
      <x:c r="E4758" s="4" t="str">
        <x:v>Cancelled</x:v>
      </x:c>
      <x:c r="F4758" s="4" t="str">
        <x:v>CUS-04757</x:v>
      </x:c>
      <x:c r="G4758" s="4" t="str">
        <x:v>UNIT-04757</x:v>
      </x:c>
      <x:c r="H4758" s="9" t="n">
        <x:v>18500000</x:v>
      </x:c>
      <x:c r="I4758" s="10" t="n">
        <x:v>0.02</x:v>
      </x:c>
      <x:c r="J4758" s="11" t="n">
        <x:v>9</x:v>
      </x:c>
      <x:c r="K4758" s="11" t="n">
        <x:v>5</x:v>
      </x:c>
      <x:c r="L4758" s="11" t="n">
        <x:v>0</x:v>
      </x:c>
      <x:c r="M4758" s="9" t="n">
        <x:f>ROUND(H4758*(1-I4758),2)</x:f>
        <x:v>18130000</x:v>
      </x:c>
      <x:c r="N4758" s="4" t="str">
        <x:v>Sales manager</x:v>
      </x:c>
      <x:c r="O4758" s="4"/>
      <x:c r="P4758" s="9" t="n">
        <x:v>0</x:v>
      </x:c>
      <x:c r="Q4758" s="11" t="n">
        <x:v>1</x:v>
      </x:c>
      <x:c r="R4758" s="8" t="n">
        <x:v>45650</x:v>
      </x:c>
      <x:c r="S4758" s="4" t="str">
        <x:v>Lost / cancelled</x:v>
      </x:c>
      <x:c r="T4758" s="10" t="n">
        <x:v>0.305556</x:v>
      </x:c>
      <x:c r="U4758" s="4" t="str">
        <x:v>Test</x:v>
      </x:c>
    </x:row>
    <x:row r="4759" ht="34" customHeight="1">
      <x:c r="A4759" s="4" t="str">
        <x:v>RS-04758</x:v>
      </x:c>
      <x:c r="B4759" s="8" t="n">
        <x:v>45591</x:v>
      </x:c>
      <x:c r="C4759" s="4" t="str">
        <x:v>PRJ-018</x:v>
      </x:c>
      <x:c r="D4759" s="4" t="str">
        <x:v>Villa</x:v>
      </x:c>
      <x:c r="E4759" s="4" t="str">
        <x:v>Reserved</x:v>
      </x:c>
      <x:c r="F4759" s="4" t="str">
        <x:v>CUS-04758</x:v>
      </x:c>
      <x:c r="G4759" s="4" t="str">
        <x:v>UNIT-04758</x:v>
      </x:c>
      <x:c r="H4759" s="9" t="n">
        <x:v>24000000</x:v>
      </x:c>
      <x:c r="I4759" s="10" t="n">
        <x:v>0.08</x:v>
      </x:c>
      <x:c r="J4759" s="11" t="n">
        <x:v>9</x:v>
      </x:c>
      <x:c r="K4759" s="11" t="n">
        <x:v>9</x:v>
      </x:c>
      <x:c r="L4759" s="11" t="n">
        <x:v>1</x:v>
      </x:c>
      <x:c r="M4759" s="9" t="n">
        <x:f>ROUND(H4759*(1-I4759),2)</x:f>
        <x:v>22080000</x:v>
      </x:c>
      <x:c r="N4759" s="4" t="str">
        <x:v>Sales head</x:v>
      </x:c>
      <x:c r="O4759" s="4"/>
      <x:c r="P4759" s="9" t="n">
        <x:v>0</x:v>
      </x:c>
      <x:c r="Q4759" s="11" t="n">
        <x:v>0</x:v>
      </x:c>
      <x:c r="R4759" s="8" t="n">
        <x:v>45651</x:v>
      </x:c>
      <x:c r="S4759" s="4" t="str">
        <x:v>Retained</x:v>
      </x:c>
      <x:c r="T4759" s="10" t="n">
        <x:v>0.310195</x:v>
      </x:c>
      <x:c r="U4759" s="4" t="str">
        <x:v>Test</x:v>
      </x:c>
    </x:row>
    <x:row r="4760" ht="34" customHeight="1">
      <x:c r="A4760" s="4" t="str">
        <x:v>RS-04759</x:v>
      </x:c>
      <x:c r="B4760" s="8" t="n">
        <x:v>45592</x:v>
      </x:c>
      <x:c r="C4760" s="4" t="str">
        <x:v>PRJ-019</x:v>
      </x:c>
      <x:c r="D4760" s="4" t="str">
        <x:v>Office</x:v>
      </x:c>
      <x:c r="E4760" s="4" t="str">
        <x:v>Agreement signed</x:v>
      </x:c>
      <x:c r="F4760" s="4" t="str">
        <x:v>CUS-04759</x:v>
      </x:c>
      <x:c r="G4760" s="4" t="str">
        <x:v>UNIT-04759</x:v>
      </x:c>
      <x:c r="H4760" s="9" t="n">
        <x:v>3800000</x:v>
      </x:c>
      <x:c r="I4760" s="10" t="n">
        <x:v>0.09</x:v>
      </x:c>
      <x:c r="J4760" s="11" t="n">
        <x:v>4</x:v>
      </x:c>
      <x:c r="K4760" s="11" t="n">
        <x:v>4</x:v>
      </x:c>
      <x:c r="L4760" s="11" t="n">
        <x:v>1</x:v>
      </x:c>
      <x:c r="M4760" s="9" t="n">
        <x:f>ROUND(H4760*(1-I4760),2)</x:f>
        <x:v>3458000</x:v>
      </x:c>
      <x:c r="N4760" s="4" t="str">
        <x:v>Sales head</x:v>
      </x:c>
      <x:c r="O4760" s="4" t="str">
        <x:v>BOOK-04759</x:v>
      </x:c>
      <x:c r="P4760" s="9" t="n">
        <x:v>1729000</x:v>
      </x:c>
      <x:c r="Q4760" s="11" t="n">
        <x:v>0</x:v>
      </x:c>
      <x:c r="R4760" s="8" t="n">
        <x:v>45652</x:v>
      </x:c>
      <x:c r="S4760" s="4" t="str">
        <x:v>Retained</x:v>
      </x:c>
      <x:c r="T4760" s="10" t="n">
        <x:v>0.291946</x:v>
      </x:c>
      <x:c r="U4760" s="4" t="str">
        <x:v>Test</x:v>
      </x:c>
    </x:row>
    <x:row r="4761" ht="34" customHeight="1">
      <x:c r="A4761" s="4" t="str">
        <x:v>RS-04760</x:v>
      </x:c>
      <x:c r="B4761" s="8" t="n">
        <x:v>45593</x:v>
      </x:c>
      <x:c r="C4761" s="4" t="str">
        <x:v>PRJ-020</x:v>
      </x:c>
      <x:c r="D4761" s="4" t="str">
        <x:v>Villa</x:v>
      </x:c>
      <x:c r="E4761" s="4" t="str">
        <x:v>Agreement signed</x:v>
      </x:c>
      <x:c r="F4761" s="4" t="str">
        <x:v>CUS-04760</x:v>
      </x:c>
      <x:c r="G4761" s="4" t="str">
        <x:v>UNIT-04760</x:v>
      </x:c>
      <x:c r="H4761" s="9" t="n">
        <x:v>8700000</x:v>
      </x:c>
      <x:c r="I4761" s="10" t="n">
        <x:v>0.08</x:v>
      </x:c>
      <x:c r="J4761" s="11" t="n">
        <x:v>0</x:v>
      </x:c>
      <x:c r="K4761" s="11" t="n">
        <x:v>1</x:v>
      </x:c>
      <x:c r="L4761" s="11" t="n">
        <x:v>0</x:v>
      </x:c>
      <x:c r="M4761" s="9" t="n">
        <x:f>ROUND(H4761*(1-I4761),2)</x:f>
        <x:v>8004000</x:v>
      </x:c>
      <x:c r="N4761" s="4" t="str">
        <x:v>Sales head</x:v>
      </x:c>
      <x:c r="O4761" s="4" t="str">
        <x:v>BOOK-04760</x:v>
      </x:c>
      <x:c r="P4761" s="9" t="n">
        <x:v>2001000</x:v>
      </x:c>
      <x:c r="Q4761" s="11" t="n">
        <x:v>0</x:v>
      </x:c>
      <x:c r="R4761" s="8" t="n">
        <x:v>45653</x:v>
      </x:c>
      <x:c r="S4761" s="4" t="str">
        <x:v>Retained</x:v>
      </x:c>
      <x:c r="T4761" s="10" t="n">
        <x:v>0.204152</x:v>
      </x:c>
      <x:c r="U4761" s="4" t="str">
        <x:v>Test</x:v>
      </x:c>
    </x:row>
    <x:row r="4762" ht="34" customHeight="1">
      <x:c r="A4762" s="4" t="str">
        <x:v>RS-04761</x:v>
      </x:c>
      <x:c r="B4762" s="8" t="n">
        <x:v>45566</x:v>
      </x:c>
      <x:c r="C4762" s="4" t="str">
        <x:v>PRJ-001</x:v>
      </x:c>
      <x:c r="D4762" s="4" t="str">
        <x:v>Villa</x:v>
      </x:c>
      <x:c r="E4762" s="4" t="str">
        <x:v>Cancelled</x:v>
      </x:c>
      <x:c r="F4762" s="4" t="str">
        <x:v>CUS-04761</x:v>
      </x:c>
      <x:c r="G4762" s="4" t="str">
        <x:v>UNIT-04761</x:v>
      </x:c>
      <x:c r="H4762" s="9" t="n">
        <x:v>3200000</x:v>
      </x:c>
      <x:c r="I4762" s="10" t="n">
        <x:v>0.08</x:v>
      </x:c>
      <x:c r="J4762" s="11" t="n">
        <x:v>0</x:v>
      </x:c>
      <x:c r="K4762" s="11" t="n">
        <x:v>8</x:v>
      </x:c>
      <x:c r="L4762" s="11" t="n">
        <x:v>1</x:v>
      </x:c>
      <x:c r="M4762" s="9" t="n">
        <x:f>ROUND(H4762*(1-I4762),2)</x:f>
        <x:v>2944000</x:v>
      </x:c>
      <x:c r="N4762" s="4" t="str">
        <x:v>Sales head</x:v>
      </x:c>
      <x:c r="O4762" s="4"/>
      <x:c r="P4762" s="9" t="n">
        <x:v>0</x:v>
      </x:c>
      <x:c r="Q4762" s="11" t="n">
        <x:v>1</x:v>
      </x:c>
      <x:c r="R4762" s="8" t="n">
        <x:v>45626</x:v>
      </x:c>
      <x:c r="S4762" s="4" t="str">
        <x:v>Lost / cancelled</x:v>
      </x:c>
      <x:c r="T4762" s="10" t="n">
        <x:v>0.204152</x:v>
      </x:c>
      <x:c r="U4762" s="4" t="str">
        <x:v>Test</x:v>
      </x:c>
    </x:row>
    <x:row r="4763" ht="34" customHeight="1">
      <x:c r="A4763" s="4" t="str">
        <x:v>RS-04762</x:v>
      </x:c>
      <x:c r="B4763" s="8" t="n">
        <x:v>45567</x:v>
      </x:c>
      <x:c r="C4763" s="4" t="str">
        <x:v>PRJ-002</x:v>
      </x:c>
      <x:c r="D4763" s="4" t="str">
        <x:v>Office</x:v>
      </x:c>
      <x:c r="E4763" s="4" t="str">
        <x:v>Enquiry</x:v>
      </x:c>
      <x:c r="F4763" s="4" t="str">
        <x:v>CUS-04762</x:v>
      </x:c>
      <x:c r="G4763" s="4" t="str">
        <x:v>UNIT-04762</x:v>
      </x:c>
      <x:c r="H4763" s="9" t="n">
        <x:v>10800000</x:v>
      </x:c>
      <x:c r="I4763" s="10" t="n">
        <x:v>0</x:v>
      </x:c>
      <x:c r="J4763" s="11" t="n">
        <x:v>3</x:v>
      </x:c>
      <x:c r="K4763" s="11" t="n">
        <x:v>7</x:v>
      </x:c>
      <x:c r="L4763" s="11" t="n">
        <x:v>1</x:v>
      </x:c>
      <x:c r="M4763" s="9" t="n">
        <x:f>ROUND(H4763*(1-I4763),2)</x:f>
        <x:v>10800000</x:v>
      </x:c>
      <x:c r="N4763" s="4" t="str">
        <x:v>Sales manager</x:v>
      </x:c>
      <x:c r="O4763" s="4"/>
      <x:c r="P4763" s="9" t="n">
        <x:v>0</x:v>
      </x:c>
      <x:c r="Q4763" s="11" t="n">
        <x:v>0</x:v>
      </x:c>
      <x:c r="R4763" s="8" t="n">
        <x:v>45627</x:v>
      </x:c>
      <x:c r="S4763" s="4" t="str">
        <x:v>Retained</x:v>
      </x:c>
      <x:c r="T4763" s="10" t="n">
        <x:v>0.171717</x:v>
      </x:c>
      <x:c r="U4763" s="4" t="str">
        <x:v>Test</x:v>
      </x:c>
    </x:row>
    <x:row r="4764" ht="34" customHeight="1">
      <x:c r="A4764" s="4" t="str">
        <x:v>RS-04763</x:v>
      </x:c>
      <x:c r="B4764" s="8" t="n">
        <x:v>45568</x:v>
      </x:c>
      <x:c r="C4764" s="4" t="str">
        <x:v>PRJ-003</x:v>
      </x:c>
      <x:c r="D4764" s="4" t="str">
        <x:v>Retail</x:v>
      </x:c>
      <x:c r="E4764" s="4" t="str">
        <x:v>Agreement signed</x:v>
      </x:c>
      <x:c r="F4764" s="4" t="str">
        <x:v>CUS-04763</x:v>
      </x:c>
      <x:c r="G4764" s="4" t="str">
        <x:v>UNIT-04763</x:v>
      </x:c>
      <x:c r="H4764" s="9" t="n">
        <x:v>24400000</x:v>
      </x:c>
      <x:c r="I4764" s="10" t="n">
        <x:v>0.01</x:v>
      </x:c>
      <x:c r="J4764" s="11" t="n">
        <x:v>11</x:v>
      </x:c>
      <x:c r="K4764" s="11" t="n">
        <x:v>7</x:v>
      </x:c>
      <x:c r="L4764" s="11" t="n">
        <x:v>0</x:v>
      </x:c>
      <x:c r="M4764" s="9" t="n">
        <x:f>ROUND(H4764*(1-I4764),2)</x:f>
        <x:v>24156000</x:v>
      </x:c>
      <x:c r="N4764" s="4" t="str">
        <x:v>Sales manager</x:v>
      </x:c>
      <x:c r="O4764" s="4" t="str">
        <x:v>BOOK-04763</x:v>
      </x:c>
      <x:c r="P4764" s="9" t="n">
        <x:v>2415600</x:v>
      </x:c>
      <x:c r="Q4764" s="11" t="n">
        <x:v>0</x:v>
      </x:c>
      <x:c r="R4764" s="8" t="n">
        <x:v>45628</x:v>
      </x:c>
      <x:c r="S4764" s="4" t="str">
        <x:v>Retained</x:v>
      </x:c>
      <x:c r="T4764" s="10" t="n">
        <x:v>0.305556</x:v>
      </x:c>
      <x:c r="U4764" s="4" t="str">
        <x:v>Test</x:v>
      </x:c>
    </x:row>
    <x:row r="4765" ht="34" customHeight="1">
      <x:c r="A4765" s="4" t="str">
        <x:v>RS-04764</x:v>
      </x:c>
      <x:c r="B4765" s="8" t="n">
        <x:v>45569</x:v>
      </x:c>
      <x:c r="C4765" s="4" t="str">
        <x:v>PRJ-004</x:v>
      </x:c>
      <x:c r="D4765" s="4" t="str">
        <x:v>Retail</x:v>
      </x:c>
      <x:c r="E4765" s="4" t="str">
        <x:v>Cancelled</x:v>
      </x:c>
      <x:c r="F4765" s="4" t="str">
        <x:v>CUS-04764</x:v>
      </x:c>
      <x:c r="G4765" s="4" t="str">
        <x:v>UNIT-04764</x:v>
      </x:c>
      <x:c r="H4765" s="9" t="n">
        <x:v>22000000</x:v>
      </x:c>
      <x:c r="I4765" s="10" t="n">
        <x:v>0.01</x:v>
      </x:c>
      <x:c r="J4765" s="11" t="n">
        <x:v>6</x:v>
      </x:c>
      <x:c r="K4765" s="11" t="n">
        <x:v>10</x:v>
      </x:c>
      <x:c r="L4765" s="11" t="n">
        <x:v>1</x:v>
      </x:c>
      <x:c r="M4765" s="9" t="n">
        <x:f>ROUND(H4765*(1-I4765),2)</x:f>
        <x:v>21780000</x:v>
      </x:c>
      <x:c r="N4765" s="4" t="str">
        <x:v>Sales manager</x:v>
      </x:c>
      <x:c r="O4765" s="4"/>
      <x:c r="P4765" s="9" t="n">
        <x:v>0</x:v>
      </x:c>
      <x:c r="Q4765" s="11" t="n">
        <x:v>1</x:v>
      </x:c>
      <x:c r="R4765" s="8" t="n">
        <x:v>45629</x:v>
      </x:c>
      <x:c r="S4765" s="4" t="str">
        <x:v>Lost / cancelled</x:v>
      </x:c>
      <x:c r="T4765" s="10" t="n">
        <x:v>0.145299</x:v>
      </x:c>
      <x:c r="U4765" s="4" t="str">
        <x:v>Test</x:v>
      </x:c>
    </x:row>
    <x:row r="4766" ht="34" customHeight="1">
      <x:c r="A4766" s="4" t="str">
        <x:v>RS-04765</x:v>
      </x:c>
      <x:c r="B4766" s="8" t="n">
        <x:v>45570</x:v>
      </x:c>
      <x:c r="C4766" s="4" t="str">
        <x:v>PRJ-005</x:v>
      </x:c>
      <x:c r="D4766" s="4" t="str">
        <x:v>Villa</x:v>
      </x:c>
      <x:c r="E4766" s="4" t="str">
        <x:v>Cancelled</x:v>
      </x:c>
      <x:c r="F4766" s="4" t="str">
        <x:v>CUS-04765</x:v>
      </x:c>
      <x:c r="G4766" s="4" t="str">
        <x:v>UNIT-04765</x:v>
      </x:c>
      <x:c r="H4766" s="9" t="n">
        <x:v>5400000</x:v>
      </x:c>
      <x:c r="I4766" s="10" t="n">
        <x:v>0.1</x:v>
      </x:c>
      <x:c r="J4766" s="11" t="n">
        <x:v>12</x:v>
      </x:c>
      <x:c r="K4766" s="11" t="n">
        <x:v>0</x:v>
      </x:c>
      <x:c r="L4766" s="11" t="n">
        <x:v>0</x:v>
      </x:c>
      <x:c r="M4766" s="9" t="n">
        <x:f>ROUND(H4766*(1-I4766),2)</x:f>
        <x:v>4860000</x:v>
      </x:c>
      <x:c r="N4766" s="4" t="str">
        <x:v>Sales head</x:v>
      </x:c>
      <x:c r="O4766" s="4"/>
      <x:c r="P4766" s="9" t="n">
        <x:v>0</x:v>
      </x:c>
      <x:c r="Q4766" s="11" t="n">
        <x:v>1</x:v>
      </x:c>
      <x:c r="R4766" s="8" t="n">
        <x:v>45630</x:v>
      </x:c>
      <x:c r="S4766" s="4" t="str">
        <x:v>Lost / cancelled</x:v>
      </x:c>
      <x:c r="T4766" s="10" t="n">
        <x:v>0.351536</x:v>
      </x:c>
      <x:c r="U4766" s="4" t="str">
        <x:v>Test</x:v>
      </x:c>
    </x:row>
    <x:row r="4767" ht="34" customHeight="1">
      <x:c r="A4767" s="4" t="str">
        <x:v>RS-04766</x:v>
      </x:c>
      <x:c r="B4767" s="8" t="n">
        <x:v>45571</x:v>
      </x:c>
      <x:c r="C4767" s="4" t="str">
        <x:v>PRJ-006</x:v>
      </x:c>
      <x:c r="D4767" s="4" t="str">
        <x:v>Apartment</x:v>
      </x:c>
      <x:c r="E4767" s="4" t="str">
        <x:v>Handed over</x:v>
      </x:c>
      <x:c r="F4767" s="4" t="str">
        <x:v>CUS-04766</x:v>
      </x:c>
      <x:c r="G4767" s="4" t="str">
        <x:v>UNIT-04766</x:v>
      </x:c>
      <x:c r="H4767" s="9" t="n">
        <x:v>10900000</x:v>
      </x:c>
      <x:c r="I4767" s="10" t="n">
        <x:v>0.04</x:v>
      </x:c>
      <x:c r="J4767" s="11" t="n">
        <x:v>5</x:v>
      </x:c>
      <x:c r="K4767" s="11" t="n">
        <x:v>9</x:v>
      </x:c>
      <x:c r="L4767" s="11" t="n">
        <x:v>1</x:v>
      </x:c>
      <x:c r="M4767" s="9" t="n">
        <x:f>ROUND(H4767*(1-I4767),2)</x:f>
        <x:v>10464000</x:v>
      </x:c>
      <x:c r="N4767" s="4" t="str">
        <x:v>Sales manager</x:v>
      </x:c>
      <x:c r="O4767" s="4" t="str">
        <x:v>BOOK-04766</x:v>
      </x:c>
      <x:c r="P4767" s="9" t="n">
        <x:v>10464000</x:v>
      </x:c>
      <x:c r="Q4767" s="11" t="n">
        <x:v>0</x:v>
      </x:c>
      <x:c r="R4767" s="8" t="n">
        <x:v>45631</x:v>
      </x:c>
      <x:c r="S4767" s="4" t="str">
        <x:v>Retained</x:v>
      </x:c>
      <x:c r="T4767" s="10" t="n">
        <x:v>0.291946</x:v>
      </x:c>
      <x:c r="U4767" s="4" t="str">
        <x:v>Test</x:v>
      </x:c>
    </x:row>
    <x:row r="4768" ht="34" customHeight="1">
      <x:c r="A4768" s="4" t="str">
        <x:v>RS-04767</x:v>
      </x:c>
      <x:c r="B4768" s="8" t="n">
        <x:v>45572</x:v>
      </x:c>
      <x:c r="C4768" s="4" t="str">
        <x:v>PRJ-007</x:v>
      </x:c>
      <x:c r="D4768" s="4" t="str">
        <x:v>Retail</x:v>
      </x:c>
      <x:c r="E4768" s="4" t="str">
        <x:v>Booked</x:v>
      </x:c>
      <x:c r="F4768" s="4" t="str">
        <x:v>CUS-04767</x:v>
      </x:c>
      <x:c r="G4768" s="4" t="str">
        <x:v>UNIT-04767</x:v>
      </x:c>
      <x:c r="H4768" s="9" t="n">
        <x:v>5600000</x:v>
      </x:c>
      <x:c r="I4768" s="10" t="n">
        <x:v>0.01</x:v>
      </x:c>
      <x:c r="J4768" s="11" t="n">
        <x:v>3</x:v>
      </x:c>
      <x:c r="K4768" s="11" t="n">
        <x:v>3</x:v>
      </x:c>
      <x:c r="L4768" s="11" t="n">
        <x:v>1</x:v>
      </x:c>
      <x:c r="M4768" s="9" t="n">
        <x:f>ROUND(H4768*(1-I4768),2)</x:f>
        <x:v>5544000</x:v>
      </x:c>
      <x:c r="N4768" s="4" t="str">
        <x:v>Sales manager</x:v>
      </x:c>
      <x:c r="O4768" s="4" t="str">
        <x:v>BOOK-04767</x:v>
      </x:c>
      <x:c r="P4768" s="9" t="n">
        <x:v>554400</x:v>
      </x:c>
      <x:c r="Q4768" s="11" t="n">
        <x:v>0</x:v>
      </x:c>
      <x:c r="R4768" s="8" t="n">
        <x:v>45632</x:v>
      </x:c>
      <x:c r="S4768" s="4" t="str">
        <x:v>Retained</x:v>
      </x:c>
      <x:c r="T4768" s="10" t="n">
        <x:v>0.171717</x:v>
      </x:c>
      <x:c r="U4768" s="4" t="str">
        <x:v>Test</x:v>
      </x:c>
    </x:row>
    <x:row r="4769" ht="34" customHeight="1">
      <x:c r="A4769" s="4" t="str">
        <x:v>RS-04768</x:v>
      </x:c>
      <x:c r="B4769" s="8" t="n">
        <x:v>45573</x:v>
      </x:c>
      <x:c r="C4769" s="4" t="str">
        <x:v>PRJ-008</x:v>
      </x:c>
      <x:c r="D4769" s="4" t="str">
        <x:v>Villa</x:v>
      </x:c>
      <x:c r="E4769" s="4" t="str">
        <x:v>Agreement signed</x:v>
      </x:c>
      <x:c r="F4769" s="4" t="str">
        <x:v>CUS-04768</x:v>
      </x:c>
      <x:c r="G4769" s="4" t="str">
        <x:v>UNIT-04768</x:v>
      </x:c>
      <x:c r="H4769" s="9" t="n">
        <x:v>16500000</x:v>
      </x:c>
      <x:c r="I4769" s="10" t="n">
        <x:v>0.11</x:v>
      </x:c>
      <x:c r="J4769" s="11" t="n">
        <x:v>12</x:v>
      </x:c>
      <x:c r="K4769" s="11" t="n">
        <x:v>5</x:v>
      </x:c>
      <x:c r="L4769" s="11" t="n">
        <x:v>0</x:v>
      </x:c>
      <x:c r="M4769" s="9" t="n">
        <x:f>ROUND(H4769*(1-I4769),2)</x:f>
        <x:v>14685000</x:v>
      </x:c>
      <x:c r="N4769" s="4" t="str">
        <x:v>Sales head</x:v>
      </x:c>
      <x:c r="O4769" s="4" t="str">
        <x:v>BOOK-04768</x:v>
      </x:c>
      <x:c r="P4769" s="9" t="n">
        <x:v>1468500</x:v>
      </x:c>
      <x:c r="Q4769" s="11" t="n">
        <x:v>0</x:v>
      </x:c>
      <x:c r="R4769" s="8" t="n">
        <x:v>45633</x:v>
      </x:c>
      <x:c r="S4769" s="4" t="str">
        <x:v>Retained</x:v>
      </x:c>
      <x:c r="T4769" s="10" t="n">
        <x:v>0.351536</x:v>
      </x:c>
      <x:c r="U4769" s="4" t="str">
        <x:v>Test</x:v>
      </x:c>
    </x:row>
    <x:row r="4770" ht="34" customHeight="1">
      <x:c r="A4770" s="4" t="str">
        <x:v>RS-04769</x:v>
      </x:c>
      <x:c r="B4770" s="8" t="n">
        <x:v>45574</x:v>
      </x:c>
      <x:c r="C4770" s="4" t="str">
        <x:v>PRJ-009</x:v>
      </x:c>
      <x:c r="D4770" s="4" t="str">
        <x:v>Office</x:v>
      </x:c>
      <x:c r="E4770" s="4" t="str">
        <x:v>Booked</x:v>
      </x:c>
      <x:c r="F4770" s="4" t="str">
        <x:v>CUS-04769</x:v>
      </x:c>
      <x:c r="G4770" s="4" t="str">
        <x:v>UNIT-04769</x:v>
      </x:c>
      <x:c r="H4770" s="9" t="n">
        <x:v>22300000</x:v>
      </x:c>
      <x:c r="I4770" s="10" t="n">
        <x:v>0.12</x:v>
      </x:c>
      <x:c r="J4770" s="11" t="n">
        <x:v>2</x:v>
      </x:c>
      <x:c r="K4770" s="11" t="n">
        <x:v>6</x:v>
      </x:c>
      <x:c r="L4770" s="11" t="n">
        <x:v>0</x:v>
      </x:c>
      <x:c r="M4770" s="9" t="n">
        <x:f>ROUND(H4770*(1-I4770),2)</x:f>
        <x:v>19624000</x:v>
      </x:c>
      <x:c r="N4770" s="4" t="str">
        <x:v>Sales head</x:v>
      </x:c>
      <x:c r="O4770" s="4" t="str">
        <x:v>BOOK-04769</x:v>
      </x:c>
      <x:c r="P4770" s="9" t="n">
        <x:v>19624000</x:v>
      </x:c>
      <x:c r="Q4770" s="11" t="n">
        <x:v>0</x:v>
      </x:c>
      <x:c r="R4770" s="8" t="n">
        <x:v>45634</x:v>
      </x:c>
      <x:c r="S4770" s="4" t="str">
        <x:v>Retained</x:v>
      </x:c>
      <x:c r="T4770" s="10" t="n">
        <x:v>0.145833</x:v>
      </x:c>
      <x:c r="U4770" s="4" t="str">
        <x:v>Test</x:v>
      </x:c>
    </x:row>
    <x:row r="4771" ht="34" customHeight="1">
      <x:c r="A4771" s="4" t="str">
        <x:v>RS-04770</x:v>
      </x:c>
      <x:c r="B4771" s="8" t="n">
        <x:v>45575</x:v>
      </x:c>
      <x:c r="C4771" s="4" t="str">
        <x:v>PRJ-010</x:v>
      </x:c>
      <x:c r="D4771" s="4" t="str">
        <x:v>Villa</x:v>
      </x:c>
      <x:c r="E4771" s="4" t="str">
        <x:v>Cancelled</x:v>
      </x:c>
      <x:c r="F4771" s="4" t="str">
        <x:v>CUS-04770</x:v>
      </x:c>
      <x:c r="G4771" s="4" t="str">
        <x:v>UNIT-04770</x:v>
      </x:c>
      <x:c r="H4771" s="9" t="n">
        <x:v>14000000</x:v>
      </x:c>
      <x:c r="I4771" s="10" t="n">
        <x:v>0.08</x:v>
      </x:c>
      <x:c r="J4771" s="11" t="n">
        <x:v>8</x:v>
      </x:c>
      <x:c r="K4771" s="11" t="n">
        <x:v>3</x:v>
      </x:c>
      <x:c r="L4771" s="11" t="n">
        <x:v>1</x:v>
      </x:c>
      <x:c r="M4771" s="9" t="n">
        <x:f>ROUND(H4771*(1-I4771),2)</x:f>
        <x:v>12880000</x:v>
      </x:c>
      <x:c r="N4771" s="4" t="str">
        <x:v>Sales head</x:v>
      </x:c>
      <x:c r="O4771" s="4"/>
      <x:c r="P4771" s="9" t="n">
        <x:v>0</x:v>
      </x:c>
      <x:c r="Q4771" s="11" t="n">
        <x:v>1</x:v>
      </x:c>
      <x:c r="R4771" s="8" t="n">
        <x:v>45635</x:v>
      </x:c>
      <x:c r="S4771" s="4" t="str">
        <x:v>Lost / cancelled</x:v>
      </x:c>
      <x:c r="T4771" s="10" t="n">
        <x:v>0.310195</x:v>
      </x:c>
      <x:c r="U4771" s="4" t="str">
        <x:v>Test</x:v>
      </x:c>
    </x:row>
    <x:row r="4772" ht="34" customHeight="1">
      <x:c r="A4772" s="4" t="str">
        <x:v>RS-04771</x:v>
      </x:c>
      <x:c r="B4772" s="8" t="n">
        <x:v>45576</x:v>
      </x:c>
      <x:c r="C4772" s="4" t="str">
        <x:v>PRJ-011</x:v>
      </x:c>
      <x:c r="D4772" s="4" t="str">
        <x:v>Retail</x:v>
      </x:c>
      <x:c r="E4772" s="4" t="str">
        <x:v>Handed over</x:v>
      </x:c>
      <x:c r="F4772" s="4" t="str">
        <x:v>CUS-04771</x:v>
      </x:c>
      <x:c r="G4772" s="4" t="str">
        <x:v>UNIT-04771</x:v>
      </x:c>
      <x:c r="H4772" s="9" t="n">
        <x:v>13100000</x:v>
      </x:c>
      <x:c r="I4772" s="10" t="n">
        <x:v>0.02</x:v>
      </x:c>
      <x:c r="J4772" s="11" t="n">
        <x:v>12</x:v>
      </x:c>
      <x:c r="K4772" s="11" t="n">
        <x:v>9</x:v>
      </x:c>
      <x:c r="L4772" s="11" t="n">
        <x:v>1</x:v>
      </x:c>
      <x:c r="M4772" s="9" t="n">
        <x:f>ROUND(H4772*(1-I4772),2)</x:f>
        <x:v>12838000</x:v>
      </x:c>
      <x:c r="N4772" s="4" t="str">
        <x:v>Sales manager</x:v>
      </x:c>
      <x:c r="O4772" s="4" t="str">
        <x:v>BOOK-04771</x:v>
      </x:c>
      <x:c r="P4772" s="9" t="n">
        <x:v>6419000</x:v>
      </x:c>
      <x:c r="Q4772" s="11" t="n">
        <x:v>0</x:v>
      </x:c>
      <x:c r="R4772" s="8" t="n">
        <x:v>45636</x:v>
      </x:c>
      <x:c r="S4772" s="4" t="str">
        <x:v>Retained</x:v>
      </x:c>
      <x:c r="T4772" s="10" t="n">
        <x:v>0.254545</x:v>
      </x:c>
      <x:c r="U4772" s="4" t="str">
        <x:v>Test</x:v>
      </x:c>
    </x:row>
    <x:row r="4773" ht="34" customHeight="1">
      <x:c r="A4773" s="4" t="str">
        <x:v>RS-04772</x:v>
      </x:c>
      <x:c r="B4773" s="8" t="n">
        <x:v>45577</x:v>
      </x:c>
      <x:c r="C4773" s="4" t="str">
        <x:v>PRJ-012</x:v>
      </x:c>
      <x:c r="D4773" s="4" t="str">
        <x:v>Retail</x:v>
      </x:c>
      <x:c r="E4773" s="4" t="str">
        <x:v>Enquiry</x:v>
      </x:c>
      <x:c r="F4773" s="4" t="str">
        <x:v>CUS-04772</x:v>
      </x:c>
      <x:c r="G4773" s="4" t="str">
        <x:v>UNIT-04772</x:v>
      </x:c>
      <x:c r="H4773" s="9" t="n">
        <x:v>4100000</x:v>
      </x:c>
      <x:c r="I4773" s="10" t="n">
        <x:v>0.08</x:v>
      </x:c>
      <x:c r="J4773" s="11" t="n">
        <x:v>6</x:v>
      </x:c>
      <x:c r="K4773" s="11" t="n">
        <x:v>7</x:v>
      </x:c>
      <x:c r="L4773" s="11" t="n">
        <x:v>0</x:v>
      </x:c>
      <x:c r="M4773" s="9" t="n">
        <x:f>ROUND(H4773*(1-I4773),2)</x:f>
        <x:v>3772000</x:v>
      </x:c>
      <x:c r="N4773" s="4" t="str">
        <x:v>Sales head</x:v>
      </x:c>
      <x:c r="O4773" s="4"/>
      <x:c r="P4773" s="9" t="n">
        <x:v>0</x:v>
      </x:c>
      <x:c r="Q4773" s="11" t="n">
        <x:v>0</x:v>
      </x:c>
      <x:c r="R4773" s="8" t="n">
        <x:v>45637</x:v>
      </x:c>
      <x:c r="S4773" s="4" t="str">
        <x:v>Retained</x:v>
      </x:c>
      <x:c r="T4773" s="10" t="n">
        <x:v>0.226277</x:v>
      </x:c>
      <x:c r="U4773" s="4" t="str">
        <x:v>Test</x:v>
      </x:c>
    </x:row>
    <x:row r="4774" ht="34" customHeight="1">
      <x:c r="A4774" s="4" t="str">
        <x:v>RS-04773</x:v>
      </x:c>
      <x:c r="B4774" s="8" t="n">
        <x:v>45578</x:v>
      </x:c>
      <x:c r="C4774" s="4" t="str">
        <x:v>PRJ-013</x:v>
      </x:c>
      <x:c r="D4774" s="4" t="str">
        <x:v>Apartment</x:v>
      </x:c>
      <x:c r="E4774" s="4" t="str">
        <x:v>Enquiry</x:v>
      </x:c>
      <x:c r="F4774" s="4" t="str">
        <x:v>CUS-04773</x:v>
      </x:c>
      <x:c r="G4774" s="4" t="str">
        <x:v>UNIT-04773</x:v>
      </x:c>
      <x:c r="H4774" s="9" t="n">
        <x:v>14400000</x:v>
      </x:c>
      <x:c r="I4774" s="10" t="n">
        <x:v>0.01</x:v>
      </x:c>
      <x:c r="J4774" s="11" t="n">
        <x:v>4</x:v>
      </x:c>
      <x:c r="K4774" s="11" t="n">
        <x:v>1</x:v>
      </x:c>
      <x:c r="L4774" s="11" t="n">
        <x:v>0</x:v>
      </x:c>
      <x:c r="M4774" s="9" t="n">
        <x:f>ROUND(H4774*(1-I4774),2)</x:f>
        <x:v>14256000</x:v>
      </x:c>
      <x:c r="N4774" s="4" t="str">
        <x:v>Sales manager</x:v>
      </x:c>
      <x:c r="O4774" s="4"/>
      <x:c r="P4774" s="9" t="n">
        <x:v>0</x:v>
      </x:c>
      <x:c r="Q4774" s="11" t="n">
        <x:v>0</x:v>
      </x:c>
      <x:c r="R4774" s="8" t="n">
        <x:v>45638</x:v>
      </x:c>
      <x:c r="S4774" s="4" t="str">
        <x:v>Retained</x:v>
      </x:c>
      <x:c r="T4774" s="10" t="n">
        <x:v>0.298969</x:v>
      </x:c>
      <x:c r="U4774" s="4" t="str">
        <x:v>Test</x:v>
      </x:c>
    </x:row>
    <x:row r="4775" ht="34" customHeight="1">
      <x:c r="A4775" s="4" t="str">
        <x:v>RS-04774</x:v>
      </x:c>
      <x:c r="B4775" s="8" t="n">
        <x:v>45579</x:v>
      </x:c>
      <x:c r="C4775" s="4" t="str">
        <x:v>PRJ-014</x:v>
      </x:c>
      <x:c r="D4775" s="4" t="str">
        <x:v>Villa</x:v>
      </x:c>
      <x:c r="E4775" s="4" t="str">
        <x:v>Booked</x:v>
      </x:c>
      <x:c r="F4775" s="4" t="str">
        <x:v>CUS-04774</x:v>
      </x:c>
      <x:c r="G4775" s="4" t="str">
        <x:v>UNIT-04774</x:v>
      </x:c>
      <x:c r="H4775" s="9" t="n">
        <x:v>7100000</x:v>
      </x:c>
      <x:c r="I4775" s="10" t="n">
        <x:v>0.07</x:v>
      </x:c>
      <x:c r="J4775" s="11" t="n">
        <x:v>5</x:v>
      </x:c>
      <x:c r="K4775" s="11" t="n">
        <x:v>3</x:v>
      </x:c>
      <x:c r="L4775" s="11" t="n">
        <x:v>0</x:v>
      </x:c>
      <x:c r="M4775" s="9" t="n">
        <x:f>ROUND(H4775*(1-I4775),2)</x:f>
        <x:v>6603000</x:v>
      </x:c>
      <x:c r="N4775" s="4" t="str">
        <x:v>Sales manager</x:v>
      </x:c>
      <x:c r="O4775" s="4" t="str">
        <x:v>BOOK-04774</x:v>
      </x:c>
      <x:c r="P4775" s="9" t="n">
        <x:v>3301500</x:v>
      </x:c>
      <x:c r="Q4775" s="11" t="n">
        <x:v>0</x:v>
      </x:c>
      <x:c r="R4775" s="8" t="n">
        <x:v>45639</x:v>
      </x:c>
      <x:c r="S4775" s="4" t="str">
        <x:v>Retained</x:v>
      </x:c>
      <x:c r="T4775" s="10" t="n">
        <x:v>0.226277</x:v>
      </x:c>
      <x:c r="U4775" s="4" t="str">
        <x:v>Test</x:v>
      </x:c>
    </x:row>
    <x:row r="4776" ht="34" customHeight="1">
      <x:c r="A4776" s="4" t="str">
        <x:v>RS-04775</x:v>
      </x:c>
      <x:c r="B4776" s="8" t="n">
        <x:v>45580</x:v>
      </x:c>
      <x:c r="C4776" s="4" t="str">
        <x:v>PRJ-015</x:v>
      </x:c>
      <x:c r="D4776" s="4" t="str">
        <x:v>Apartment</x:v>
      </x:c>
      <x:c r="E4776" s="4" t="str">
        <x:v>Cancelled</x:v>
      </x:c>
      <x:c r="F4776" s="4" t="str">
        <x:v>CUS-04775</x:v>
      </x:c>
      <x:c r="G4776" s="4" t="str">
        <x:v>UNIT-04775</x:v>
      </x:c>
      <x:c r="H4776" s="9" t="n">
        <x:v>7200000</x:v>
      </x:c>
      <x:c r="I4776" s="10" t="n">
        <x:v>0.02</x:v>
      </x:c>
      <x:c r="J4776" s="11" t="n">
        <x:v>2</x:v>
      </x:c>
      <x:c r="K4776" s="11" t="n">
        <x:v>0</x:v>
      </x:c>
      <x:c r="L4776" s="11" t="n">
        <x:v>1</x:v>
      </x:c>
      <x:c r="M4776" s="9" t="n">
        <x:f>ROUND(H4776*(1-I4776),2)</x:f>
        <x:v>7056000</x:v>
      </x:c>
      <x:c r="N4776" s="4" t="str">
        <x:v>Sales manager</x:v>
      </x:c>
      <x:c r="O4776" s="4"/>
      <x:c r="P4776" s="9" t="n">
        <x:v>0</x:v>
      </x:c>
      <x:c r="Q4776" s="11" t="n">
        <x:v>1</x:v>
      </x:c>
      <x:c r="R4776" s="8" t="n">
        <x:v>45640</x:v>
      </x:c>
      <x:c r="S4776" s="4" t="str">
        <x:v>Lost / cancelled</x:v>
      </x:c>
      <x:c r="T4776" s="10" t="n">
        <x:v>0.276923</x:v>
      </x:c>
      <x:c r="U4776" s="4" t="str">
        <x:v>Test</x:v>
      </x:c>
    </x:row>
    <x:row r="4777" ht="34" customHeight="1">
      <x:c r="A4777" s="4" t="str">
        <x:v>RS-04776</x:v>
      </x:c>
      <x:c r="B4777" s="8" t="n">
        <x:v>45581</x:v>
      </x:c>
      <x:c r="C4777" s="4" t="str">
        <x:v>PRJ-016</x:v>
      </x:c>
      <x:c r="D4777" s="4" t="str">
        <x:v>Villa</x:v>
      </x:c>
      <x:c r="E4777" s="4" t="str">
        <x:v>Agreement signed</x:v>
      </x:c>
      <x:c r="F4777" s="4" t="str">
        <x:v>CUS-04776</x:v>
      </x:c>
      <x:c r="G4777" s="4" t="str">
        <x:v>UNIT-04776</x:v>
      </x:c>
      <x:c r="H4777" s="9" t="n">
        <x:v>22200000</x:v>
      </x:c>
      <x:c r="I4777" s="10" t="n">
        <x:v>0.05</x:v>
      </x:c>
      <x:c r="J4777" s="11" t="n">
        <x:v>1</x:v>
      </x:c>
      <x:c r="K4777" s="11" t="n">
        <x:v>7</x:v>
      </x:c>
      <x:c r="L4777" s="11" t="n">
        <x:v>0</x:v>
      </x:c>
      <x:c r="M4777" s="9" t="n">
        <x:f>ROUND(H4777*(1-I4777),2)</x:f>
        <x:v>21090000</x:v>
      </x:c>
      <x:c r="N4777" s="4" t="str">
        <x:v>Sales manager</x:v>
      </x:c>
      <x:c r="O4777" s="4" t="str">
        <x:v>BOOK-04776</x:v>
      </x:c>
      <x:c r="P4777" s="9" t="n">
        <x:v>10545000</x:v>
      </x:c>
      <x:c r="Q4777" s="11" t="n">
        <x:v>0</x:v>
      </x:c>
      <x:c r="R4777" s="8" t="n">
        <x:v>45641</x:v>
      </x:c>
      <x:c r="S4777" s="4" t="str">
        <x:v>Retained</x:v>
      </x:c>
      <x:c r="T4777" s="10" t="n">
        <x:v>0.204152</x:v>
      </x:c>
      <x:c r="U4777" s="4" t="str">
        <x:v>Test</x:v>
      </x:c>
    </x:row>
    <x:row r="4778" ht="34" customHeight="1">
      <x:c r="A4778" s="4" t="str">
        <x:v>RS-04777</x:v>
      </x:c>
      <x:c r="B4778" s="8" t="n">
        <x:v>45582</x:v>
      </x:c>
      <x:c r="C4778" s="4" t="str">
        <x:v>PRJ-017</x:v>
      </x:c>
      <x:c r="D4778" s="4" t="str">
        <x:v>Office</x:v>
      </x:c>
      <x:c r="E4778" s="4" t="str">
        <x:v>Booked</x:v>
      </x:c>
      <x:c r="F4778" s="4" t="str">
        <x:v>CUS-04777</x:v>
      </x:c>
      <x:c r="G4778" s="4" t="str">
        <x:v>UNIT-04777</x:v>
      </x:c>
      <x:c r="H4778" s="9" t="n">
        <x:v>10100000</x:v>
      </x:c>
      <x:c r="I4778" s="10" t="n">
        <x:v>0.02</x:v>
      </x:c>
      <x:c r="J4778" s="11" t="n">
        <x:v>3</x:v>
      </x:c>
      <x:c r="K4778" s="11" t="n">
        <x:v>1</x:v>
      </x:c>
      <x:c r="L4778" s="11" t="n">
        <x:v>0</x:v>
      </x:c>
      <x:c r="M4778" s="9" t="n">
        <x:f>ROUND(H4778*(1-I4778),2)</x:f>
        <x:v>9898000</x:v>
      </x:c>
      <x:c r="N4778" s="4" t="str">
        <x:v>Sales manager</x:v>
      </x:c>
      <x:c r="O4778" s="4" t="str">
        <x:v>BOOK-04777</x:v>
      </x:c>
      <x:c r="P4778" s="9" t="n">
        <x:v>4949000</x:v>
      </x:c>
      <x:c r="Q4778" s="11" t="n">
        <x:v>0</x:v>
      </x:c>
      <x:c r="R4778" s="8" t="n">
        <x:v>45642</x:v>
      </x:c>
      <x:c r="S4778" s="4" t="str">
        <x:v>Retained</x:v>
      </x:c>
      <x:c r="T4778" s="10" t="n">
        <x:v>0.171717</x:v>
      </x:c>
      <x:c r="U4778" s="4" t="str">
        <x:v>Test</x:v>
      </x:c>
    </x:row>
    <x:row r="4779" ht="34" customHeight="1">
      <x:c r="A4779" s="4" t="str">
        <x:v>RS-04778</x:v>
      </x:c>
      <x:c r="B4779" s="8" t="n">
        <x:v>45583</x:v>
      </x:c>
      <x:c r="C4779" s="4" t="str">
        <x:v>PRJ-018</x:v>
      </x:c>
      <x:c r="D4779" s="4" t="str">
        <x:v>Office</x:v>
      </x:c>
      <x:c r="E4779" s="4" t="str">
        <x:v>Handed over</x:v>
      </x:c>
      <x:c r="F4779" s="4" t="str">
        <x:v>CUS-04778</x:v>
      </x:c>
      <x:c r="G4779" s="4" t="str">
        <x:v>UNIT-04778</x:v>
      </x:c>
      <x:c r="H4779" s="9" t="n">
        <x:v>7300000</x:v>
      </x:c>
      <x:c r="I4779" s="10" t="n">
        <x:v>0</x:v>
      </x:c>
      <x:c r="J4779" s="11" t="n">
        <x:v>11</x:v>
      </x:c>
      <x:c r="K4779" s="11" t="n">
        <x:v>4</x:v>
      </x:c>
      <x:c r="L4779" s="11" t="n">
        <x:v>0</x:v>
      </x:c>
      <x:c r="M4779" s="9" t="n">
        <x:f>ROUND(H4779*(1-I4779),2)</x:f>
        <x:v>7300000</x:v>
      </x:c>
      <x:c r="N4779" s="4" t="str">
        <x:v>Sales manager</x:v>
      </x:c>
      <x:c r="O4779" s="4" t="str">
        <x:v>BOOK-04778</x:v>
      </x:c>
      <x:c r="P4779" s="9" t="n">
        <x:v>7300000</x:v>
      </x:c>
      <x:c r="Q4779" s="11" t="n">
        <x:v>0</x:v>
      </x:c>
      <x:c r="R4779" s="8" t="n">
        <x:v>45643</x:v>
      </x:c>
      <x:c r="S4779" s="4" t="str">
        <x:v>Retained</x:v>
      </x:c>
      <x:c r="T4779" s="10" t="n">
        <x:v>0.305556</x:v>
      </x:c>
      <x:c r="U4779" s="4" t="str">
        <x:v>Test</x:v>
      </x:c>
    </x:row>
    <x:row r="4780" ht="34" customHeight="1">
      <x:c r="A4780" s="4" t="str">
        <x:v>RS-04779</x:v>
      </x:c>
      <x:c r="B4780" s="8" t="n">
        <x:v>45584</x:v>
      </x:c>
      <x:c r="C4780" s="4" t="str">
        <x:v>PRJ-019</x:v>
      </x:c>
      <x:c r="D4780" s="4" t="str">
        <x:v>Retail</x:v>
      </x:c>
      <x:c r="E4780" s="4" t="str">
        <x:v>Booked</x:v>
      </x:c>
      <x:c r="F4780" s="4" t="str">
        <x:v>CUS-04779</x:v>
      </x:c>
      <x:c r="G4780" s="4" t="str">
        <x:v>UNIT-04779</x:v>
      </x:c>
      <x:c r="H4780" s="9" t="n">
        <x:v>20500000</x:v>
      </x:c>
      <x:c r="I4780" s="10" t="n">
        <x:v>0.09</x:v>
      </x:c>
      <x:c r="J4780" s="11" t="n">
        <x:v>6</x:v>
      </x:c>
      <x:c r="K4780" s="11" t="n">
        <x:v>4</x:v>
      </x:c>
      <x:c r="L4780" s="11" t="n">
        <x:v>0</x:v>
      </x:c>
      <x:c r="M4780" s="9" t="n">
        <x:f>ROUND(H4780*(1-I4780),2)</x:f>
        <x:v>18655000</x:v>
      </x:c>
      <x:c r="N4780" s="4" t="str">
        <x:v>Sales head</x:v>
      </x:c>
      <x:c r="O4780" s="4" t="str">
        <x:v>BOOK-04779</x:v>
      </x:c>
      <x:c r="P4780" s="9" t="n">
        <x:v>1865500</x:v>
      </x:c>
      <x:c r="Q4780" s="11" t="n">
        <x:v>0</x:v>
      </x:c>
      <x:c r="R4780" s="8" t="n">
        <x:v>45644</x:v>
      </x:c>
      <x:c r="S4780" s="4" t="str">
        <x:v>Retained</x:v>
      </x:c>
      <x:c r="T4780" s="10" t="n">
        <x:v>0.226277</x:v>
      </x:c>
      <x:c r="U4780" s="4" t="str">
        <x:v>Test</x:v>
      </x:c>
    </x:row>
    <x:row r="4781" ht="34" customHeight="1">
      <x:c r="A4781" s="4" t="str">
        <x:v>RS-04780</x:v>
      </x:c>
      <x:c r="B4781" s="8" t="n">
        <x:v>45585</x:v>
      </x:c>
      <x:c r="C4781" s="4" t="str">
        <x:v>PRJ-020</x:v>
      </x:c>
      <x:c r="D4781" s="4" t="str">
        <x:v>Retail</x:v>
      </x:c>
      <x:c r="E4781" s="4" t="str">
        <x:v>Enquiry</x:v>
      </x:c>
      <x:c r="F4781" s="4" t="str">
        <x:v>CUS-04780</x:v>
      </x:c>
      <x:c r="G4781" s="4" t="str">
        <x:v>UNIT-04780</x:v>
      </x:c>
      <x:c r="H4781" s="9" t="n">
        <x:v>18600000</x:v>
      </x:c>
      <x:c r="I4781" s="10" t="n">
        <x:v>0.01</x:v>
      </x:c>
      <x:c r="J4781" s="11" t="n">
        <x:v>12</x:v>
      </x:c>
      <x:c r="K4781" s="11" t="n">
        <x:v>7</x:v>
      </x:c>
      <x:c r="L4781" s="11" t="n">
        <x:v>1</x:v>
      </x:c>
      <x:c r="M4781" s="9" t="n">
        <x:f>ROUND(H4781*(1-I4781),2)</x:f>
        <x:v>18414000</x:v>
      </x:c>
      <x:c r="N4781" s="4" t="str">
        <x:v>Sales manager</x:v>
      </x:c>
      <x:c r="O4781" s="4"/>
      <x:c r="P4781" s="9" t="n">
        <x:v>0</x:v>
      </x:c>
      <x:c r="Q4781" s="11" t="n">
        <x:v>1</x:v>
      </x:c>
      <x:c r="R4781" s="8" t="n">
        <x:v>45645</x:v>
      </x:c>
      <x:c r="S4781" s="4" t="str">
        <x:v>Lost / cancelled</x:v>
      </x:c>
      <x:c r="T4781" s="10" t="n">
        <x:v>0.254545</x:v>
      </x:c>
      <x:c r="U4781" s="4" t="str">
        <x:v>Test</x:v>
      </x:c>
    </x:row>
    <x:row r="4782" ht="34" customHeight="1">
      <x:c r="A4782" s="4" t="str">
        <x:v>RS-04781</x:v>
      </x:c>
      <x:c r="B4782" s="8" t="n">
        <x:v>45586</x:v>
      </x:c>
      <x:c r="C4782" s="4" t="str">
        <x:v>PRJ-001</x:v>
      </x:c>
      <x:c r="D4782" s="4" t="str">
        <x:v>Apartment</x:v>
      </x:c>
      <x:c r="E4782" s="4" t="str">
        <x:v>Enquiry</x:v>
      </x:c>
      <x:c r="F4782" s="4" t="str">
        <x:v>CUS-04781</x:v>
      </x:c>
      <x:c r="G4782" s="4" t="str">
        <x:v>UNIT-04781</x:v>
      </x:c>
      <x:c r="H4782" s="9" t="n">
        <x:v>18700000</x:v>
      </x:c>
      <x:c r="I4782" s="10" t="n">
        <x:v>0.1</x:v>
      </x:c>
      <x:c r="J4782" s="11" t="n">
        <x:v>1</x:v>
      </x:c>
      <x:c r="K4782" s="11" t="n">
        <x:v>9</x:v>
      </x:c>
      <x:c r="L4782" s="11" t="n">
        <x:v>0</x:v>
      </x:c>
      <x:c r="M4782" s="9" t="n">
        <x:f>ROUND(H4782*(1-I4782),2)</x:f>
        <x:v>16830000</x:v>
      </x:c>
      <x:c r="N4782" s="4" t="str">
        <x:v>Sales head</x:v>
      </x:c>
      <x:c r="O4782" s="4"/>
      <x:c r="P4782" s="9" t="n">
        <x:v>0</x:v>
      </x:c>
      <x:c r="Q4782" s="11" t="n">
        <x:v>0</x:v>
      </x:c>
      <x:c r="R4782" s="8" t="n">
        <x:v>45646</x:v>
      </x:c>
      <x:c r="S4782" s="4" t="str">
        <x:v>Retained</x:v>
      </x:c>
      <x:c r="T4782" s="10" t="n">
        <x:v>0.145833</x:v>
      </x:c>
      <x:c r="U4782" s="4" t="str">
        <x:v>Test</x:v>
      </x:c>
    </x:row>
    <x:row r="4783" ht="34" customHeight="1">
      <x:c r="A4783" s="4" t="str">
        <x:v>RS-04782</x:v>
      </x:c>
      <x:c r="B4783" s="8" t="n">
        <x:v>45587</x:v>
      </x:c>
      <x:c r="C4783" s="4" t="str">
        <x:v>PRJ-002</x:v>
      </x:c>
      <x:c r="D4783" s="4" t="str">
        <x:v>Office</x:v>
      </x:c>
      <x:c r="E4783" s="4" t="str">
        <x:v>Enquiry</x:v>
      </x:c>
      <x:c r="F4783" s="4" t="str">
        <x:v>CUS-04782</x:v>
      </x:c>
      <x:c r="G4783" s="4" t="str">
        <x:v>UNIT-04782</x:v>
      </x:c>
      <x:c r="H4783" s="9" t="n">
        <x:v>4300000</x:v>
      </x:c>
      <x:c r="I4783" s="10" t="n">
        <x:v>0.05</x:v>
      </x:c>
      <x:c r="J4783" s="11" t="n">
        <x:v>8</x:v>
      </x:c>
      <x:c r="K4783" s="11" t="n">
        <x:v>10</x:v>
      </x:c>
      <x:c r="L4783" s="11" t="n">
        <x:v>0</x:v>
      </x:c>
      <x:c r="M4783" s="9" t="n">
        <x:f>ROUND(H4783*(1-I4783),2)</x:f>
        <x:v>4085000</x:v>
      </x:c>
      <x:c r="N4783" s="4" t="str">
        <x:v>Sales manager</x:v>
      </x:c>
      <x:c r="O4783" s="4"/>
      <x:c r="P4783" s="9" t="n">
        <x:v>0</x:v>
      </x:c>
      <x:c r="Q4783" s="11" t="n">
        <x:v>0</x:v>
      </x:c>
      <x:c r="R4783" s="8" t="n">
        <x:v>45647</x:v>
      </x:c>
      <x:c r="S4783" s="4" t="str">
        <x:v>Retained</x:v>
      </x:c>
      <x:c r="T4783" s="10" t="n">
        <x:v>0.310195</x:v>
      </x:c>
      <x:c r="U4783" s="4" t="str">
        <x:v>Test</x:v>
      </x:c>
    </x:row>
    <x:row r="4784" ht="34" customHeight="1">
      <x:c r="A4784" s="4" t="str">
        <x:v>RS-04783</x:v>
      </x:c>
      <x:c r="B4784" s="8" t="n">
        <x:v>45588</x:v>
      </x:c>
      <x:c r="C4784" s="4" t="str">
        <x:v>PRJ-003</x:v>
      </x:c>
      <x:c r="D4784" s="4" t="str">
        <x:v>Villa</x:v>
      </x:c>
      <x:c r="E4784" s="4" t="str">
        <x:v>Handed over</x:v>
      </x:c>
      <x:c r="F4784" s="4" t="str">
        <x:v>CUS-04783</x:v>
      </x:c>
      <x:c r="G4784" s="4" t="str">
        <x:v>UNIT-04783</x:v>
      </x:c>
      <x:c r="H4784" s="9" t="n">
        <x:v>11700000</x:v>
      </x:c>
      <x:c r="I4784" s="10" t="n">
        <x:v>0.05</x:v>
      </x:c>
      <x:c r="J4784" s="11" t="n">
        <x:v>8</x:v>
      </x:c>
      <x:c r="K4784" s="11" t="n">
        <x:v>9</x:v>
      </x:c>
      <x:c r="L4784" s="11" t="n">
        <x:v>1</x:v>
      </x:c>
      <x:c r="M4784" s="9" t="n">
        <x:f>ROUND(H4784*(1-I4784),2)</x:f>
        <x:v>11115000</x:v>
      </x:c>
      <x:c r="N4784" s="4" t="str">
        <x:v>Sales manager</x:v>
      </x:c>
      <x:c r="O4784" s="4" t="str">
        <x:v>BOOK-04783</x:v>
      </x:c>
      <x:c r="P4784" s="9" t="n">
        <x:v>2778750</x:v>
      </x:c>
      <x:c r="Q4784" s="11" t="n">
        <x:v>0</x:v>
      </x:c>
      <x:c r="R4784" s="8" t="n">
        <x:v>45648</x:v>
      </x:c>
      <x:c r="S4784" s="4" t="str">
        <x:v>Retained</x:v>
      </x:c>
      <x:c r="T4784" s="10" t="n">
        <x:v>0.310195</x:v>
      </x:c>
      <x:c r="U4784" s="4" t="str">
        <x:v>Test</x:v>
      </x:c>
    </x:row>
    <x:row r="4785" ht="34" customHeight="1">
      <x:c r="A4785" s="4" t="str">
        <x:v>RS-04784</x:v>
      </x:c>
      <x:c r="B4785" s="8" t="n">
        <x:v>45589</x:v>
      </x:c>
      <x:c r="C4785" s="4" t="str">
        <x:v>PRJ-004</x:v>
      </x:c>
      <x:c r="D4785" s="4" t="str">
        <x:v>Office</x:v>
      </x:c>
      <x:c r="E4785" s="4" t="str">
        <x:v>Cancelled</x:v>
      </x:c>
      <x:c r="F4785" s="4" t="str">
        <x:v>CUS-04784</x:v>
      </x:c>
      <x:c r="G4785" s="4" t="str">
        <x:v>UNIT-04784</x:v>
      </x:c>
      <x:c r="H4785" s="9" t="n">
        <x:v>23100000</x:v>
      </x:c>
      <x:c r="I4785" s="10" t="n">
        <x:v>0.08</x:v>
      </x:c>
      <x:c r="J4785" s="11" t="n">
        <x:v>2</x:v>
      </x:c>
      <x:c r="K4785" s="11" t="n">
        <x:v>4</x:v>
      </x:c>
      <x:c r="L4785" s="11" t="n">
        <x:v>0</x:v>
      </x:c>
      <x:c r="M4785" s="9" t="n">
        <x:f>ROUND(H4785*(1-I4785),2)</x:f>
        <x:v>21252000</x:v>
      </x:c>
      <x:c r="N4785" s="4" t="str">
        <x:v>Sales head</x:v>
      </x:c>
      <x:c r="O4785" s="4"/>
      <x:c r="P4785" s="9" t="n">
        <x:v>0</x:v>
      </x:c>
      <x:c r="Q4785" s="11" t="n">
        <x:v>1</x:v>
      </x:c>
      <x:c r="R4785" s="8" t="n">
        <x:v>45649</x:v>
      </x:c>
      <x:c r="S4785" s="4" t="str">
        <x:v>Lost / cancelled</x:v>
      </x:c>
      <x:c r="T4785" s="10" t="n">
        <x:v>0.204152</x:v>
      </x:c>
      <x:c r="U4785" s="4" t="str">
        <x:v>Test</x:v>
      </x:c>
    </x:row>
    <x:row r="4786" ht="34" customHeight="1">
      <x:c r="A4786" s="4" t="str">
        <x:v>RS-04785</x:v>
      </x:c>
      <x:c r="B4786" s="8" t="n">
        <x:v>45590</x:v>
      </x:c>
      <x:c r="C4786" s="4" t="str">
        <x:v>PRJ-005</x:v>
      </x:c>
      <x:c r="D4786" s="4" t="str">
        <x:v>Villa</x:v>
      </x:c>
      <x:c r="E4786" s="4" t="str">
        <x:v>Enquiry</x:v>
      </x:c>
      <x:c r="F4786" s="4" t="str">
        <x:v>CUS-04785</x:v>
      </x:c>
      <x:c r="G4786" s="4" t="str">
        <x:v>UNIT-04785</x:v>
      </x:c>
      <x:c r="H4786" s="9" t="n">
        <x:v>10600000</x:v>
      </x:c>
      <x:c r="I4786" s="10" t="n">
        <x:v>0.03</x:v>
      </x:c>
      <x:c r="J4786" s="11" t="n">
        <x:v>10</x:v>
      </x:c>
      <x:c r="K4786" s="11" t="n">
        <x:v>1</x:v>
      </x:c>
      <x:c r="L4786" s="11" t="n">
        <x:v>0</x:v>
      </x:c>
      <x:c r="M4786" s="9" t="n">
        <x:f>ROUND(H4786*(1-I4786),2)</x:f>
        <x:v>10282000</x:v>
      </x:c>
      <x:c r="N4786" s="4" t="str">
        <x:v>Sales manager</x:v>
      </x:c>
      <x:c r="O4786" s="4"/>
      <x:c r="P4786" s="9" t="n">
        <x:v>0</x:v>
      </x:c>
      <x:c r="Q4786" s="11" t="n">
        <x:v>0</x:v>
      </x:c>
      <x:c r="R4786" s="8" t="n">
        <x:v>45650</x:v>
      </x:c>
      <x:c r="S4786" s="4" t="str">
        <x:v>Retained</x:v>
      </x:c>
      <x:c r="T4786" s="10" t="n">
        <x:v>0.310195</x:v>
      </x:c>
      <x:c r="U4786" s="4" t="str">
        <x:v>Test</x:v>
      </x:c>
    </x:row>
    <x:row r="4787" ht="34" customHeight="1">
      <x:c r="A4787" s="4" t="str">
        <x:v>RS-04786</x:v>
      </x:c>
      <x:c r="B4787" s="8" t="n">
        <x:v>45591</x:v>
      </x:c>
      <x:c r="C4787" s="4" t="str">
        <x:v>PRJ-006</x:v>
      </x:c>
      <x:c r="D4787" s="4" t="str">
        <x:v>Retail</x:v>
      </x:c>
      <x:c r="E4787" s="4" t="str">
        <x:v>Handed over</x:v>
      </x:c>
      <x:c r="F4787" s="4" t="str">
        <x:v>CUS-04786</x:v>
      </x:c>
      <x:c r="G4787" s="4" t="str">
        <x:v>UNIT-04786</x:v>
      </x:c>
      <x:c r="H4787" s="9" t="n">
        <x:v>4500000</x:v>
      </x:c>
      <x:c r="I4787" s="10" t="n">
        <x:v>0.1</x:v>
      </x:c>
      <x:c r="J4787" s="11" t="n">
        <x:v>12</x:v>
      </x:c>
      <x:c r="K4787" s="11" t="n">
        <x:v>5</x:v>
      </x:c>
      <x:c r="L4787" s="11" t="n">
        <x:v>1</x:v>
      </x:c>
      <x:c r="M4787" s="9" t="n">
        <x:f>ROUND(H4787*(1-I4787),2)</x:f>
        <x:v>4050000</x:v>
      </x:c>
      <x:c r="N4787" s="4" t="str">
        <x:v>Sales head</x:v>
      </x:c>
      <x:c r="O4787" s="4" t="str">
        <x:v>BOOK-04786</x:v>
      </x:c>
      <x:c r="P4787" s="9" t="n">
        <x:v>1012500</x:v>
      </x:c>
      <x:c r="Q4787" s="11" t="n">
        <x:v>0</x:v>
      </x:c>
      <x:c r="R4787" s="8" t="n">
        <x:v>45651</x:v>
      </x:c>
      <x:c r="S4787" s="4" t="str">
        <x:v>Retained</x:v>
      </x:c>
      <x:c r="T4787" s="10" t="n">
        <x:v>0.351536</x:v>
      </x:c>
      <x:c r="U4787" s="4" t="str">
        <x:v>Test</x:v>
      </x:c>
    </x:row>
    <x:row r="4788" ht="34" customHeight="1">
      <x:c r="A4788" s="4" t="str">
        <x:v>RS-04787</x:v>
      </x:c>
      <x:c r="B4788" s="8" t="n">
        <x:v>45592</x:v>
      </x:c>
      <x:c r="C4788" s="4" t="str">
        <x:v>PRJ-007</x:v>
      </x:c>
      <x:c r="D4788" s="4" t="str">
        <x:v>Villa</x:v>
      </x:c>
      <x:c r="E4788" s="4" t="str">
        <x:v>Cancelled</x:v>
      </x:c>
      <x:c r="F4788" s="4" t="str">
        <x:v>CUS-04787</x:v>
      </x:c>
      <x:c r="G4788" s="4" t="str">
        <x:v>UNIT-04787</x:v>
      </x:c>
      <x:c r="H4788" s="9" t="n">
        <x:v>5800000</x:v>
      </x:c>
      <x:c r="I4788" s="10" t="n">
        <x:v>0.04</x:v>
      </x:c>
      <x:c r="J4788" s="11" t="n">
        <x:v>9</x:v>
      </x:c>
      <x:c r="K4788" s="11" t="n">
        <x:v>4</x:v>
      </x:c>
      <x:c r="L4788" s="11" t="n">
        <x:v>0</x:v>
      </x:c>
      <x:c r="M4788" s="9" t="n">
        <x:f>ROUND(H4788*(1-I4788),2)</x:f>
        <x:v>5568000</x:v>
      </x:c>
      <x:c r="N4788" s="4" t="str">
        <x:v>Sales manager</x:v>
      </x:c>
      <x:c r="O4788" s="4"/>
      <x:c r="P4788" s="9" t="n">
        <x:v>0</x:v>
      </x:c>
      <x:c r="Q4788" s="11" t="n">
        <x:v>1</x:v>
      </x:c>
      <x:c r="R4788" s="8" t="n">
        <x:v>45652</x:v>
      </x:c>
      <x:c r="S4788" s="4" t="str">
        <x:v>Lost / cancelled</x:v>
      </x:c>
      <x:c r="T4788" s="10" t="n">
        <x:v>0.310195</x:v>
      </x:c>
      <x:c r="U4788" s="4" t="str">
        <x:v>Test</x:v>
      </x:c>
    </x:row>
    <x:row r="4789" ht="34" customHeight="1">
      <x:c r="A4789" s="4" t="str">
        <x:v>RS-04788</x:v>
      </x:c>
      <x:c r="B4789" s="8" t="n">
        <x:v>45593</x:v>
      </x:c>
      <x:c r="C4789" s="4" t="str">
        <x:v>PRJ-008</x:v>
      </x:c>
      <x:c r="D4789" s="4" t="str">
        <x:v>Villa</x:v>
      </x:c>
      <x:c r="E4789" s="4" t="str">
        <x:v>Handed over</x:v>
      </x:c>
      <x:c r="F4789" s="4" t="str">
        <x:v>CUS-04788</x:v>
      </x:c>
      <x:c r="G4789" s="4" t="str">
        <x:v>UNIT-04788</x:v>
      </x:c>
      <x:c r="H4789" s="9" t="n">
        <x:v>22800000</x:v>
      </x:c>
      <x:c r="I4789" s="10" t="n">
        <x:v>0.06</x:v>
      </x:c>
      <x:c r="J4789" s="11" t="n">
        <x:v>7</x:v>
      </x:c>
      <x:c r="K4789" s="11" t="n">
        <x:v>6</x:v>
      </x:c>
      <x:c r="L4789" s="11" t="n">
        <x:v>1</x:v>
      </x:c>
      <x:c r="M4789" s="9" t="n">
        <x:f>ROUND(H4789*(1-I4789),2)</x:f>
        <x:v>21432000</x:v>
      </x:c>
      <x:c r="N4789" s="4" t="str">
        <x:v>Sales manager</x:v>
      </x:c>
      <x:c r="O4789" s="4" t="str">
        <x:v>BOOK-04788</x:v>
      </x:c>
      <x:c r="P4789" s="9" t="n">
        <x:v>21432000</x:v>
      </x:c>
      <x:c r="Q4789" s="11" t="n">
        <x:v>0</x:v>
      </x:c>
      <x:c r="R4789" s="8" t="n">
        <x:v>45653</x:v>
      </x:c>
      <x:c r="S4789" s="4" t="str">
        <x:v>Retained</x:v>
      </x:c>
      <x:c r="T4789" s="10" t="n">
        <x:v>0.291946</x:v>
      </x:c>
      <x:c r="U4789" s="4" t="str">
        <x:v>Test</x:v>
      </x:c>
    </x:row>
    <x:row r="4790" ht="34" customHeight="1">
      <x:c r="A4790" s="4" t="str">
        <x:v>RS-04789</x:v>
      </x:c>
      <x:c r="B4790" s="8" t="n">
        <x:v>45566</x:v>
      </x:c>
      <x:c r="C4790" s="4" t="str">
        <x:v>PRJ-009</x:v>
      </x:c>
      <x:c r="D4790" s="4" t="str">
        <x:v>Retail</x:v>
      </x:c>
      <x:c r="E4790" s="4" t="str">
        <x:v>Cancelled</x:v>
      </x:c>
      <x:c r="F4790" s="4" t="str">
        <x:v>CUS-04789</x:v>
      </x:c>
      <x:c r="G4790" s="4" t="str">
        <x:v>UNIT-04789</x:v>
      </x:c>
      <x:c r="H4790" s="9" t="n">
        <x:v>13300000</x:v>
      </x:c>
      <x:c r="I4790" s="10" t="n">
        <x:v>0.02</x:v>
      </x:c>
      <x:c r="J4790" s="11" t="n">
        <x:v>11</x:v>
      </x:c>
      <x:c r="K4790" s="11" t="n">
        <x:v>10</x:v>
      </x:c>
      <x:c r="L4790" s="11" t="n">
        <x:v>1</x:v>
      </x:c>
      <x:c r="M4790" s="9" t="n">
        <x:f>ROUND(H4790*(1-I4790),2)</x:f>
        <x:v>13034000</x:v>
      </x:c>
      <x:c r="N4790" s="4" t="str">
        <x:v>Sales manager</x:v>
      </x:c>
      <x:c r="O4790" s="4"/>
      <x:c r="P4790" s="9" t="n">
        <x:v>0</x:v>
      </x:c>
      <x:c r="Q4790" s="11" t="n">
        <x:v>1</x:v>
      </x:c>
      <x:c r="R4790" s="8" t="n">
        <x:v>45626</x:v>
      </x:c>
      <x:c r="S4790" s="4" t="str">
        <x:v>Lost / cancelled</x:v>
      </x:c>
      <x:c r="T4790" s="10" t="n">
        <x:v>0.254545</x:v>
      </x:c>
      <x:c r="U4790" s="4" t="str">
        <x:v>Test</x:v>
      </x:c>
    </x:row>
    <x:row r="4791" ht="34" customHeight="1">
      <x:c r="A4791" s="4" t="str">
        <x:v>RS-04790</x:v>
      </x:c>
      <x:c r="B4791" s="8" t="n">
        <x:v>45567</x:v>
      </x:c>
      <x:c r="C4791" s="4" t="str">
        <x:v>PRJ-010</x:v>
      </x:c>
      <x:c r="D4791" s="4" t="str">
        <x:v>Office</x:v>
      </x:c>
      <x:c r="E4791" s="4" t="str">
        <x:v>Reserved</x:v>
      </x:c>
      <x:c r="F4791" s="4" t="str">
        <x:v>CUS-04790</x:v>
      </x:c>
      <x:c r="G4791" s="4" t="str">
        <x:v>UNIT-04790</x:v>
      </x:c>
      <x:c r="H4791" s="9" t="n">
        <x:v>8400000</x:v>
      </x:c>
      <x:c r="I4791" s="10" t="n">
        <x:v>0.05</x:v>
      </x:c>
      <x:c r="J4791" s="11" t="n">
        <x:v>2</x:v>
      </x:c>
      <x:c r="K4791" s="11" t="n">
        <x:v>4</x:v>
      </x:c>
      <x:c r="L4791" s="11" t="n">
        <x:v>0</x:v>
      </x:c>
      <x:c r="M4791" s="9" t="n">
        <x:f>ROUND(H4791*(1-I4791),2)</x:f>
        <x:v>7980000</x:v>
      </x:c>
      <x:c r="N4791" s="4" t="str">
        <x:v>Sales manager</x:v>
      </x:c>
      <x:c r="O4791" s="4"/>
      <x:c r="P4791" s="9" t="n">
        <x:v>0</x:v>
      </x:c>
      <x:c r="Q4791" s="11" t="n">
        <x:v>0</x:v>
      </x:c>
      <x:c r="R4791" s="8" t="n">
        <x:v>45627</x:v>
      </x:c>
      <x:c r="S4791" s="4" t="str">
        <x:v>Retained</x:v>
      </x:c>
      <x:c r="T4791" s="10" t="n">
        <x:v>0.204152</x:v>
      </x:c>
      <x:c r="U4791" s="4" t="str">
        <x:v>Test</x:v>
      </x:c>
    </x:row>
    <x:row r="4792" ht="34" customHeight="1">
      <x:c r="A4792" s="4" t="str">
        <x:v>RS-04791</x:v>
      </x:c>
      <x:c r="B4792" s="8" t="n">
        <x:v>45568</x:v>
      </x:c>
      <x:c r="C4792" s="4" t="str">
        <x:v>PRJ-011</x:v>
      </x:c>
      <x:c r="D4792" s="4" t="str">
        <x:v>Apartment</x:v>
      </x:c>
      <x:c r="E4792" s="4" t="str">
        <x:v>Cancelled</x:v>
      </x:c>
      <x:c r="F4792" s="4" t="str">
        <x:v>CUS-04791</x:v>
      </x:c>
      <x:c r="G4792" s="4" t="str">
        <x:v>UNIT-04791</x:v>
      </x:c>
      <x:c r="H4792" s="9" t="n">
        <x:v>3800000</x:v>
      </x:c>
      <x:c r="I4792" s="10" t="n">
        <x:v>0.07</x:v>
      </x:c>
      <x:c r="J4792" s="11" t="n">
        <x:v>6</x:v>
      </x:c>
      <x:c r="K4792" s="11" t="n">
        <x:v>10</x:v>
      </x:c>
      <x:c r="L4792" s="11" t="n">
        <x:v>0</x:v>
      </x:c>
      <x:c r="M4792" s="9" t="n">
        <x:f>ROUND(H4792*(1-I4792),2)</x:f>
        <x:v>3534000</x:v>
      </x:c>
      <x:c r="N4792" s="4" t="str">
        <x:v>Sales manager</x:v>
      </x:c>
      <x:c r="O4792" s="4"/>
      <x:c r="P4792" s="9" t="n">
        <x:v>0</x:v>
      </x:c>
      <x:c r="Q4792" s="11" t="n">
        <x:v>1</x:v>
      </x:c>
      <x:c r="R4792" s="8" t="n">
        <x:v>45628</x:v>
      </x:c>
      <x:c r="S4792" s="4" t="str">
        <x:v>Lost / cancelled</x:v>
      </x:c>
      <x:c r="T4792" s="10" t="n">
        <x:v>0.226277</x:v>
      </x:c>
      <x:c r="U4792" s="4" t="str">
        <x:v>Test</x:v>
      </x:c>
    </x:row>
    <x:row r="4793" ht="34" customHeight="1">
      <x:c r="A4793" s="4" t="str">
        <x:v>RS-04792</x:v>
      </x:c>
      <x:c r="B4793" s="8" t="n">
        <x:v>45569</x:v>
      </x:c>
      <x:c r="C4793" s="4" t="str">
        <x:v>PRJ-012</x:v>
      </x:c>
      <x:c r="D4793" s="4" t="str">
        <x:v>Retail</x:v>
      </x:c>
      <x:c r="E4793" s="4" t="str">
        <x:v>Cancelled</x:v>
      </x:c>
      <x:c r="F4793" s="4" t="str">
        <x:v>CUS-04792</x:v>
      </x:c>
      <x:c r="G4793" s="4" t="str">
        <x:v>UNIT-04792</x:v>
      </x:c>
      <x:c r="H4793" s="9" t="n">
        <x:v>19800000</x:v>
      </x:c>
      <x:c r="I4793" s="10" t="n">
        <x:v>0.05</x:v>
      </x:c>
      <x:c r="J4793" s="11" t="n">
        <x:v>1</x:v>
      </x:c>
      <x:c r="K4793" s="11" t="n">
        <x:v>5</x:v>
      </x:c>
      <x:c r="L4793" s="11" t="n">
        <x:v>1</x:v>
      </x:c>
      <x:c r="M4793" s="9" t="n">
        <x:f>ROUND(H4793*(1-I4793),2)</x:f>
        <x:v>18810000</x:v>
      </x:c>
      <x:c r="N4793" s="4" t="str">
        <x:v>Sales manager</x:v>
      </x:c>
      <x:c r="O4793" s="4"/>
      <x:c r="P4793" s="9" t="n">
        <x:v>0</x:v>
      </x:c>
      <x:c r="Q4793" s="11" t="n">
        <x:v>1</x:v>
      </x:c>
      <x:c r="R4793" s="8" t="n">
        <x:v>45629</x:v>
      </x:c>
      <x:c r="S4793" s="4" t="str">
        <x:v>Lost / cancelled</x:v>
      </x:c>
      <x:c r="T4793" s="10" t="n">
        <x:v>0.204152</x:v>
      </x:c>
      <x:c r="U4793" s="4" t="str">
        <x:v>Test</x:v>
      </x:c>
    </x:row>
    <x:row r="4794" ht="34" customHeight="1">
      <x:c r="A4794" s="4" t="str">
        <x:v>RS-04793</x:v>
      </x:c>
      <x:c r="B4794" s="8" t="n">
        <x:v>45570</x:v>
      </x:c>
      <x:c r="C4794" s="4" t="str">
        <x:v>PRJ-013</x:v>
      </x:c>
      <x:c r="D4794" s="4" t="str">
        <x:v>Villa</x:v>
      </x:c>
      <x:c r="E4794" s="4" t="str">
        <x:v>Booked</x:v>
      </x:c>
      <x:c r="F4794" s="4" t="str">
        <x:v>CUS-04793</x:v>
      </x:c>
      <x:c r="G4794" s="4" t="str">
        <x:v>UNIT-04793</x:v>
      </x:c>
      <x:c r="H4794" s="9" t="n">
        <x:v>6800000</x:v>
      </x:c>
      <x:c r="I4794" s="10" t="n">
        <x:v>0.11</x:v>
      </x:c>
      <x:c r="J4794" s="11" t="n">
        <x:v>5</x:v>
      </x:c>
      <x:c r="K4794" s="11" t="n">
        <x:v>8</x:v>
      </x:c>
      <x:c r="L4794" s="11" t="n">
        <x:v>1</x:v>
      </x:c>
      <x:c r="M4794" s="9" t="n">
        <x:f>ROUND(H4794*(1-I4794),2)</x:f>
        <x:v>6052000</x:v>
      </x:c>
      <x:c r="N4794" s="4" t="str">
        <x:v>Sales head</x:v>
      </x:c>
      <x:c r="O4794" s="4" t="str">
        <x:v>BOOK-04793</x:v>
      </x:c>
      <x:c r="P4794" s="9" t="n">
        <x:v>6052000</x:v>
      </x:c>
      <x:c r="Q4794" s="11" t="n">
        <x:v>0</x:v>
      </x:c>
      <x:c r="R4794" s="8" t="n">
        <x:v>45630</x:v>
      </x:c>
      <x:c r="S4794" s="4" t="str">
        <x:v>Retained</x:v>
      </x:c>
      <x:c r="T4794" s="10" t="n">
        <x:v>0.291946</x:v>
      </x:c>
      <x:c r="U4794" s="4" t="str">
        <x:v>Test</x:v>
      </x:c>
    </x:row>
    <x:row r="4795" ht="34" customHeight="1">
      <x:c r="A4795" s="4" t="str">
        <x:v>RS-04794</x:v>
      </x:c>
      <x:c r="B4795" s="8" t="n">
        <x:v>45571</x:v>
      </x:c>
      <x:c r="C4795" s="4" t="str">
        <x:v>PRJ-014</x:v>
      </x:c>
      <x:c r="D4795" s="4" t="str">
        <x:v>Villa</x:v>
      </x:c>
      <x:c r="E4795" s="4" t="str">
        <x:v>Agreement signed</x:v>
      </x:c>
      <x:c r="F4795" s="4" t="str">
        <x:v>CUS-04794</x:v>
      </x:c>
      <x:c r="G4795" s="4" t="str">
        <x:v>UNIT-04794</x:v>
      </x:c>
      <x:c r="H4795" s="9" t="n">
        <x:v>4400000</x:v>
      </x:c>
      <x:c r="I4795" s="10" t="n">
        <x:v>0.1</x:v>
      </x:c>
      <x:c r="J4795" s="11" t="n">
        <x:v>10</x:v>
      </x:c>
      <x:c r="K4795" s="11" t="n">
        <x:v>8</x:v>
      </x:c>
      <x:c r="L4795" s="11" t="n">
        <x:v>1</x:v>
      </x:c>
      <x:c r="M4795" s="9" t="n">
        <x:f>ROUND(H4795*(1-I4795),2)</x:f>
        <x:v>3960000</x:v>
      </x:c>
      <x:c r="N4795" s="4" t="str">
        <x:v>Sales head</x:v>
      </x:c>
      <x:c r="O4795" s="4" t="str">
        <x:v>BOOK-04794</x:v>
      </x:c>
      <x:c r="P4795" s="9" t="n">
        <x:v>396000</x:v>
      </x:c>
      <x:c r="Q4795" s="11" t="n">
        <x:v>0</x:v>
      </x:c>
      <x:c r="R4795" s="8" t="n">
        <x:v>45631</x:v>
      </x:c>
      <x:c r="S4795" s="4" t="str">
        <x:v>Retained</x:v>
      </x:c>
      <x:c r="T4795" s="10" t="n">
        <x:v>0.310195</x:v>
      </x:c>
      <x:c r="U4795" s="4" t="str">
        <x:v>Test</x:v>
      </x:c>
    </x:row>
    <x:row r="4796" ht="34" customHeight="1">
      <x:c r="A4796" s="4" t="str">
        <x:v>RS-04795</x:v>
      </x:c>
      <x:c r="B4796" s="8" t="n">
        <x:v>45572</x:v>
      </x:c>
      <x:c r="C4796" s="4" t="str">
        <x:v>PRJ-015</x:v>
      </x:c>
      <x:c r="D4796" s="4" t="str">
        <x:v>Retail</x:v>
      </x:c>
      <x:c r="E4796" s="4" t="str">
        <x:v>Handed over</x:v>
      </x:c>
      <x:c r="F4796" s="4" t="str">
        <x:v>CUS-04795</x:v>
      </x:c>
      <x:c r="G4796" s="4" t="str">
        <x:v>UNIT-04795</x:v>
      </x:c>
      <x:c r="H4796" s="9" t="n">
        <x:v>15000000</x:v>
      </x:c>
      <x:c r="I4796" s="10" t="n">
        <x:v>0.08</x:v>
      </x:c>
      <x:c r="J4796" s="11" t="n">
        <x:v>6</x:v>
      </x:c>
      <x:c r="K4796" s="11" t="n">
        <x:v>5</x:v>
      </x:c>
      <x:c r="L4796" s="11" t="n">
        <x:v>1</x:v>
      </x:c>
      <x:c r="M4796" s="9" t="n">
        <x:f>ROUND(H4796*(1-I4796),2)</x:f>
        <x:v>13800000</x:v>
      </x:c>
      <x:c r="N4796" s="4" t="str">
        <x:v>Sales head</x:v>
      </x:c>
      <x:c r="O4796" s="4" t="str">
        <x:v>BOOK-04795</x:v>
      </x:c>
      <x:c r="P4796" s="9" t="n">
        <x:v>3450000</x:v>
      </x:c>
      <x:c r="Q4796" s="11" t="n">
        <x:v>0</x:v>
      </x:c>
      <x:c r="R4796" s="8" t="n">
        <x:v>45632</x:v>
      </x:c>
      <x:c r="S4796" s="4" t="str">
        <x:v>Retained</x:v>
      </x:c>
      <x:c r="T4796" s="10" t="n">
        <x:v>0.291946</x:v>
      </x:c>
      <x:c r="U4796" s="4" t="str">
        <x:v>Test</x:v>
      </x:c>
    </x:row>
    <x:row r="4797" ht="34" customHeight="1">
      <x:c r="A4797" s="4" t="str">
        <x:v>RS-04796</x:v>
      </x:c>
      <x:c r="B4797" s="8" t="n">
        <x:v>45573</x:v>
      </x:c>
      <x:c r="C4797" s="4" t="str">
        <x:v>PRJ-016</x:v>
      </x:c>
      <x:c r="D4797" s="4" t="str">
        <x:v>Apartment</x:v>
      </x:c>
      <x:c r="E4797" s="4" t="str">
        <x:v>Agreement signed</x:v>
      </x:c>
      <x:c r="F4797" s="4" t="str">
        <x:v>CUS-04796</x:v>
      </x:c>
      <x:c r="G4797" s="4" t="str">
        <x:v>UNIT-04796</x:v>
      </x:c>
      <x:c r="H4797" s="9" t="n">
        <x:v>10400000</x:v>
      </x:c>
      <x:c r="I4797" s="10" t="n">
        <x:v>0.11</x:v>
      </x:c>
      <x:c r="J4797" s="11" t="n">
        <x:v>1</x:v>
      </x:c>
      <x:c r="K4797" s="11" t="n">
        <x:v>4</x:v>
      </x:c>
      <x:c r="L4797" s="11" t="n">
        <x:v>1</x:v>
      </x:c>
      <x:c r="M4797" s="9" t="n">
        <x:f>ROUND(H4797*(1-I4797),2)</x:f>
        <x:v>9256000</x:v>
      </x:c>
      <x:c r="N4797" s="4" t="str">
        <x:v>Sales head</x:v>
      </x:c>
      <x:c r="O4797" s="4" t="str">
        <x:v>BOOK-04796</x:v>
      </x:c>
      <x:c r="P4797" s="9" t="n">
        <x:v>2314000</x:v>
      </x:c>
      <x:c r="Q4797" s="11" t="n">
        <x:v>0</x:v>
      </x:c>
      <x:c r="R4797" s="8" t="n">
        <x:v>45633</x:v>
      </x:c>
      <x:c r="S4797" s="4" t="str">
        <x:v>Retained</x:v>
      </x:c>
      <x:c r="T4797" s="10" t="n">
        <x:v>0.145833</x:v>
      </x:c>
      <x:c r="U4797" s="4" t="str">
        <x:v>Test</x:v>
      </x:c>
    </x:row>
    <x:row r="4798" ht="34" customHeight="1">
      <x:c r="A4798" s="4" t="str">
        <x:v>RS-04797</x:v>
      </x:c>
      <x:c r="B4798" s="8" t="n">
        <x:v>45574</x:v>
      </x:c>
      <x:c r="C4798" s="4" t="str">
        <x:v>PRJ-017</x:v>
      </x:c>
      <x:c r="D4798" s="4" t="str">
        <x:v>Villa</x:v>
      </x:c>
      <x:c r="E4798" s="4" t="str">
        <x:v>Cancelled</x:v>
      </x:c>
      <x:c r="F4798" s="4" t="str">
        <x:v>CUS-04797</x:v>
      </x:c>
      <x:c r="G4798" s="4" t="str">
        <x:v>UNIT-04797</x:v>
      </x:c>
      <x:c r="H4798" s="9" t="n">
        <x:v>16800000</x:v>
      </x:c>
      <x:c r="I4798" s="10" t="n">
        <x:v>0</x:v>
      </x:c>
      <x:c r="J4798" s="11" t="n">
        <x:v>2</x:v>
      </x:c>
      <x:c r="K4798" s="11" t="n">
        <x:v>6</x:v>
      </x:c>
      <x:c r="L4798" s="11" t="n">
        <x:v>0</x:v>
      </x:c>
      <x:c r="M4798" s="9" t="n">
        <x:f>ROUND(H4798*(1-I4798),2)</x:f>
        <x:v>16800000</x:v>
      </x:c>
      <x:c r="N4798" s="4" t="str">
        <x:v>Sales manager</x:v>
      </x:c>
      <x:c r="O4798" s="4"/>
      <x:c r="P4798" s="9" t="n">
        <x:v>0</x:v>
      </x:c>
      <x:c r="Q4798" s="11" t="n">
        <x:v>1</x:v>
      </x:c>
      <x:c r="R4798" s="8" t="n">
        <x:v>45634</x:v>
      </x:c>
      <x:c r="S4798" s="4" t="str">
        <x:v>Lost / cancelled</x:v>
      </x:c>
      <x:c r="T4798" s="10" t="n">
        <x:v>0.171717</x:v>
      </x:c>
      <x:c r="U4798" s="4" t="str">
        <x:v>Test</x:v>
      </x:c>
    </x:row>
    <x:row r="4799" ht="34" customHeight="1">
      <x:c r="A4799" s="4" t="str">
        <x:v>RS-04798</x:v>
      </x:c>
      <x:c r="B4799" s="8" t="n">
        <x:v>45575</x:v>
      </x:c>
      <x:c r="C4799" s="4" t="str">
        <x:v>PRJ-018</x:v>
      </x:c>
      <x:c r="D4799" s="4" t="str">
        <x:v>Apartment</x:v>
      </x:c>
      <x:c r="E4799" s="4" t="str">
        <x:v>Booked</x:v>
      </x:c>
      <x:c r="F4799" s="4" t="str">
        <x:v>CUS-04798</x:v>
      </x:c>
      <x:c r="G4799" s="4" t="str">
        <x:v>UNIT-04798</x:v>
      </x:c>
      <x:c r="H4799" s="9" t="n">
        <x:v>19900000</x:v>
      </x:c>
      <x:c r="I4799" s="10" t="n">
        <x:v>0.08</x:v>
      </x:c>
      <x:c r="J4799" s="11" t="n">
        <x:v>9</x:v>
      </x:c>
      <x:c r="K4799" s="11" t="n">
        <x:v>1</x:v>
      </x:c>
      <x:c r="L4799" s="11" t="n">
        <x:v>1</x:v>
      </x:c>
      <x:c r="M4799" s="9" t="n">
        <x:f>ROUND(H4799*(1-I4799),2)</x:f>
        <x:v>18308000</x:v>
      </x:c>
      <x:c r="N4799" s="4" t="str">
        <x:v>Sales head</x:v>
      </x:c>
      <x:c r="O4799" s="4" t="str">
        <x:v>BOOK-04798</x:v>
      </x:c>
      <x:c r="P4799" s="9" t="n">
        <x:v>9154000</x:v>
      </x:c>
      <x:c r="Q4799" s="11" t="n">
        <x:v>0</x:v>
      </x:c>
      <x:c r="R4799" s="8" t="n">
        <x:v>45635</x:v>
      </x:c>
      <x:c r="S4799" s="4" t="str">
        <x:v>Retained</x:v>
      </x:c>
      <x:c r="T4799" s="10" t="n">
        <x:v>0.310195</x:v>
      </x:c>
      <x:c r="U4799" s="4" t="str">
        <x:v>Test</x:v>
      </x:c>
    </x:row>
    <x:row r="4800" ht="34" customHeight="1">
      <x:c r="A4800" s="4" t="str">
        <x:v>RS-04799</x:v>
      </x:c>
      <x:c r="B4800" s="8" t="n">
        <x:v>45576</x:v>
      </x:c>
      <x:c r="C4800" s="4" t="str">
        <x:v>PRJ-019</x:v>
      </x:c>
      <x:c r="D4800" s="4" t="str">
        <x:v>Office</x:v>
      </x:c>
      <x:c r="E4800" s="4" t="str">
        <x:v>Booked</x:v>
      </x:c>
      <x:c r="F4800" s="4" t="str">
        <x:v>CUS-04799</x:v>
      </x:c>
      <x:c r="G4800" s="4" t="str">
        <x:v>UNIT-04799</x:v>
      </x:c>
      <x:c r="H4800" s="9" t="n">
        <x:v>21300000</x:v>
      </x:c>
      <x:c r="I4800" s="10" t="n">
        <x:v>0.02</x:v>
      </x:c>
      <x:c r="J4800" s="11" t="n">
        <x:v>12</x:v>
      </x:c>
      <x:c r="K4800" s="11" t="n">
        <x:v>1</x:v>
      </x:c>
      <x:c r="L4800" s="11" t="n">
        <x:v>1</x:v>
      </x:c>
      <x:c r="M4800" s="9" t="n">
        <x:f>ROUND(H4800*(1-I4800),2)</x:f>
        <x:v>20874000</x:v>
      </x:c>
      <x:c r="N4800" s="4" t="str">
        <x:v>Sales manager</x:v>
      </x:c>
      <x:c r="O4800" s="4" t="str">
        <x:v>BOOK-04799</x:v>
      </x:c>
      <x:c r="P4800" s="9" t="n">
        <x:v>5218500</x:v>
      </x:c>
      <x:c r="Q4800" s="11" t="n">
        <x:v>0</x:v>
      </x:c>
      <x:c r="R4800" s="8" t="n">
        <x:v>45636</x:v>
      </x:c>
      <x:c r="S4800" s="4" t="str">
        <x:v>Retained</x:v>
      </x:c>
      <x:c r="T4800" s="10" t="n">
        <x:v>0.254545</x:v>
      </x:c>
      <x:c r="U4800" s="4" t="str">
        <x:v>Test</x:v>
      </x:c>
    </x:row>
    <x:row r="4801" ht="34" customHeight="1">
      <x:c r="A4801" s="4" t="str">
        <x:v>RS-04800</x:v>
      </x:c>
      <x:c r="B4801" s="8" t="n">
        <x:v>45577</x:v>
      </x:c>
      <x:c r="C4801" s="4" t="str">
        <x:v>PRJ-020</x:v>
      </x:c>
      <x:c r="D4801" s="4" t="str">
        <x:v>Villa</x:v>
      </x:c>
      <x:c r="E4801" s="4" t="str">
        <x:v>Enquiry</x:v>
      </x:c>
      <x:c r="F4801" s="4" t="str">
        <x:v>CUS-04800</x:v>
      </x:c>
      <x:c r="G4801" s="4" t="str">
        <x:v>UNIT-04800</x:v>
      </x:c>
      <x:c r="H4801" s="9" t="n">
        <x:v>10100000</x:v>
      </x:c>
      <x:c r="I4801" s="10" t="n">
        <x:v>0.03</x:v>
      </x:c>
      <x:c r="J4801" s="11" t="n">
        <x:v>0</x:v>
      </x:c>
      <x:c r="K4801" s="11" t="n">
        <x:v>1</x:v>
      </x:c>
      <x:c r="L4801" s="11" t="n">
        <x:v>1</x:v>
      </x:c>
      <x:c r="M4801" s="9" t="n">
        <x:f>ROUND(H4801*(1-I4801),2)</x:f>
        <x:v>9797000</x:v>
      </x:c>
      <x:c r="N4801" s="4" t="str">
        <x:v>Sales manager</x:v>
      </x:c>
      <x:c r="O4801" s="4"/>
      <x:c r="P4801" s="9" t="n">
        <x:v>0</x:v>
      </x:c>
      <x:c r="Q4801" s="11" t="n">
        <x:v>1</x:v>
      </x:c>
      <x:c r="R4801" s="8" t="n">
        <x:v>45637</x:v>
      </x:c>
      <x:c r="S4801" s="4" t="str">
        <x:v>Lost / cancelled</x:v>
      </x:c>
      <x:c r="T4801" s="10" t="n">
        <x:v>0.072165</x:v>
      </x:c>
      <x:c r="U4801" s="4" t="str">
        <x:v>Test</x:v>
      </x:c>
    </x:row>
    <x:row r="4802" ht="34" customHeight="1">
      <x:c r="A4802" s="4" t="str">
        <x:v>RS-04801</x:v>
      </x:c>
      <x:c r="B4802" s="8" t="n">
        <x:v>45578</x:v>
      </x:c>
      <x:c r="C4802" s="4" t="str">
        <x:v>PRJ-001</x:v>
      </x:c>
      <x:c r="D4802" s="4" t="str">
        <x:v>Retail</x:v>
      </x:c>
      <x:c r="E4802" s="4" t="str">
        <x:v>Cancelled</x:v>
      </x:c>
      <x:c r="F4802" s="4" t="str">
        <x:v>CUS-04801</x:v>
      </x:c>
      <x:c r="G4802" s="4" t="str">
        <x:v>UNIT-04801</x:v>
      </x:c>
      <x:c r="H4802" s="9" t="n">
        <x:v>23700000</x:v>
      </x:c>
      <x:c r="I4802" s="10" t="n">
        <x:v>0.07</x:v>
      </x:c>
      <x:c r="J4802" s="11" t="n">
        <x:v>2</x:v>
      </x:c>
      <x:c r="K4802" s="11" t="n">
        <x:v>2</x:v>
      </x:c>
      <x:c r="L4802" s="11" t="n">
        <x:v>0</x:v>
      </x:c>
      <x:c r="M4802" s="9" t="n">
        <x:f>ROUND(H4802*(1-I4802),2)</x:f>
        <x:v>22041000</x:v>
      </x:c>
      <x:c r="N4802" s="4" t="str">
        <x:v>Sales manager</x:v>
      </x:c>
      <x:c r="O4802" s="4"/>
      <x:c r="P4802" s="9" t="n">
        <x:v>0</x:v>
      </x:c>
      <x:c r="Q4802" s="11" t="n">
        <x:v>1</x:v>
      </x:c>
      <x:c r="R4802" s="8" t="n">
        <x:v>45638</x:v>
      </x:c>
      <x:c r="S4802" s="4" t="str">
        <x:v>Lost / cancelled</x:v>
      </x:c>
      <x:c r="T4802" s="10" t="n">
        <x:v>0.204152</x:v>
      </x:c>
      <x:c r="U4802" s="4" t="str">
        <x:v>Test</x:v>
      </x:c>
    </x:row>
    <x:row r="4803" ht="34" customHeight="1">
      <x:c r="A4803" s="4" t="str">
        <x:v>RS-04802</x:v>
      </x:c>
      <x:c r="B4803" s="8" t="n">
        <x:v>45579</x:v>
      </x:c>
      <x:c r="C4803" s="4" t="str">
        <x:v>PRJ-002</x:v>
      </x:c>
      <x:c r="D4803" s="4" t="str">
        <x:v>Apartment</x:v>
      </x:c>
      <x:c r="E4803" s="4" t="str">
        <x:v>Reserved</x:v>
      </x:c>
      <x:c r="F4803" s="4" t="str">
        <x:v>CUS-04802</x:v>
      </x:c>
      <x:c r="G4803" s="4" t="str">
        <x:v>UNIT-04802</x:v>
      </x:c>
      <x:c r="H4803" s="9" t="n">
        <x:v>19900000</x:v>
      </x:c>
      <x:c r="I4803" s="10" t="n">
        <x:v>0.09</x:v>
      </x:c>
      <x:c r="J4803" s="11" t="n">
        <x:v>6</x:v>
      </x:c>
      <x:c r="K4803" s="11" t="n">
        <x:v>7</x:v>
      </x:c>
      <x:c r="L4803" s="11" t="n">
        <x:v>0</x:v>
      </x:c>
      <x:c r="M4803" s="9" t="n">
        <x:f>ROUND(H4803*(1-I4803),2)</x:f>
        <x:v>18109000</x:v>
      </x:c>
      <x:c r="N4803" s="4" t="str">
        <x:v>Sales head</x:v>
      </x:c>
      <x:c r="O4803" s="4"/>
      <x:c r="P4803" s="9" t="n">
        <x:v>0</x:v>
      </x:c>
      <x:c r="Q4803" s="11" t="n">
        <x:v>0</x:v>
      </x:c>
      <x:c r="R4803" s="8" t="n">
        <x:v>45639</x:v>
      </x:c>
      <x:c r="S4803" s="4" t="str">
        <x:v>Retained</x:v>
      </x:c>
      <x:c r="T4803" s="10" t="n">
        <x:v>0.226277</x:v>
      </x:c>
      <x:c r="U4803" s="4" t="str">
        <x:v>Test</x:v>
      </x:c>
    </x:row>
    <x:row r="4804" ht="34" customHeight="1">
      <x:c r="A4804" s="4" t="str">
        <x:v>RS-04803</x:v>
      </x:c>
      <x:c r="B4804" s="8" t="n">
        <x:v>45580</x:v>
      </x:c>
      <x:c r="C4804" s="4" t="str">
        <x:v>PRJ-003</x:v>
      </x:c>
      <x:c r="D4804" s="4" t="str">
        <x:v>Villa</x:v>
      </x:c>
      <x:c r="E4804" s="4" t="str">
        <x:v>Reserved</x:v>
      </x:c>
      <x:c r="F4804" s="4" t="str">
        <x:v>CUS-04803</x:v>
      </x:c>
      <x:c r="G4804" s="4" t="str">
        <x:v>UNIT-04803</x:v>
      </x:c>
      <x:c r="H4804" s="9" t="n">
        <x:v>15200000</x:v>
      </x:c>
      <x:c r="I4804" s="10" t="n">
        <x:v>0.01</x:v>
      </x:c>
      <x:c r="J4804" s="11" t="n">
        <x:v>12</x:v>
      </x:c>
      <x:c r="K4804" s="11" t="n">
        <x:v>1</x:v>
      </x:c>
      <x:c r="L4804" s="11" t="n">
        <x:v>0</x:v>
      </x:c>
      <x:c r="M4804" s="9" t="n">
        <x:f>ROUND(H4804*(1-I4804),2)</x:f>
        <x:v>15048000</x:v>
      </x:c>
      <x:c r="N4804" s="4" t="str">
        <x:v>Sales manager</x:v>
      </x:c>
      <x:c r="O4804" s="4"/>
      <x:c r="P4804" s="9" t="n">
        <x:v>0</x:v>
      </x:c>
      <x:c r="Q4804" s="11" t="n">
        <x:v>0</x:v>
      </x:c>
      <x:c r="R4804" s="8" t="n">
        <x:v>45640</x:v>
      </x:c>
      <x:c r="S4804" s="4" t="str">
        <x:v>Retained</x:v>
      </x:c>
      <x:c r="T4804" s="10" t="n">
        <x:v>0.305556</x:v>
      </x:c>
      <x:c r="U4804" s="4" t="str">
        <x:v>Test</x:v>
      </x:c>
    </x:row>
    <x:row r="4805" ht="34" customHeight="1">
      <x:c r="A4805" s="4" t="str">
        <x:v>RS-04804</x:v>
      </x:c>
      <x:c r="B4805" s="8" t="n">
        <x:v>45581</x:v>
      </x:c>
      <x:c r="C4805" s="4" t="str">
        <x:v>PRJ-004</x:v>
      </x:c>
      <x:c r="D4805" s="4" t="str">
        <x:v>Retail</x:v>
      </x:c>
      <x:c r="E4805" s="4" t="str">
        <x:v>Cancelled</x:v>
      </x:c>
      <x:c r="F4805" s="4" t="str">
        <x:v>CUS-04804</x:v>
      </x:c>
      <x:c r="G4805" s="4" t="str">
        <x:v>UNIT-04804</x:v>
      </x:c>
      <x:c r="H4805" s="9" t="n">
        <x:v>16300000</x:v>
      </x:c>
      <x:c r="I4805" s="10" t="n">
        <x:v>0.01</x:v>
      </x:c>
      <x:c r="J4805" s="11" t="n">
        <x:v>6</x:v>
      </x:c>
      <x:c r="K4805" s="11" t="n">
        <x:v>5</x:v>
      </x:c>
      <x:c r="L4805" s="11" t="n">
        <x:v>0</x:v>
      </x:c>
      <x:c r="M4805" s="9" t="n">
        <x:f>ROUND(H4805*(1-I4805),2)</x:f>
        <x:v>16137000</x:v>
      </x:c>
      <x:c r="N4805" s="4" t="str">
        <x:v>Sales manager</x:v>
      </x:c>
      <x:c r="O4805" s="4"/>
      <x:c r="P4805" s="9" t="n">
        <x:v>0</x:v>
      </x:c>
      <x:c r="Q4805" s="11" t="n">
        <x:v>1</x:v>
      </x:c>
      <x:c r="R4805" s="8" t="n">
        <x:v>45641</x:v>
      </x:c>
      <x:c r="S4805" s="4" t="str">
        <x:v>Lost / cancelled</x:v>
      </x:c>
      <x:c r="T4805" s="10" t="n">
        <x:v>0.145299</x:v>
      </x:c>
      <x:c r="U4805" s="4" t="str">
        <x:v>Test</x:v>
      </x:c>
    </x:row>
    <x:row r="4806" ht="34" customHeight="1">
      <x:c r="A4806" s="4" t="str">
        <x:v>RS-04805</x:v>
      </x:c>
      <x:c r="B4806" s="8" t="n">
        <x:v>45582</x:v>
      </x:c>
      <x:c r="C4806" s="4" t="str">
        <x:v>PRJ-005</x:v>
      </x:c>
      <x:c r="D4806" s="4" t="str">
        <x:v>Villa</x:v>
      </x:c>
      <x:c r="E4806" s="4" t="str">
        <x:v>Enquiry</x:v>
      </x:c>
      <x:c r="F4806" s="4" t="str">
        <x:v>CUS-04805</x:v>
      </x:c>
      <x:c r="G4806" s="4" t="str">
        <x:v>UNIT-04805</x:v>
      </x:c>
      <x:c r="H4806" s="9" t="n">
        <x:v>3000000</x:v>
      </x:c>
      <x:c r="I4806" s="10" t="n">
        <x:v>0.09</x:v>
      </x:c>
      <x:c r="J4806" s="11" t="n">
        <x:v>0</x:v>
      </x:c>
      <x:c r="K4806" s="11" t="n">
        <x:v>2</x:v>
      </x:c>
      <x:c r="L4806" s="11" t="n">
        <x:v>1</x:v>
      </x:c>
      <x:c r="M4806" s="9" t="n">
        <x:f>ROUND(H4806*(1-I4806),2)</x:f>
        <x:v>2730000</x:v>
      </x:c>
      <x:c r="N4806" s="4" t="str">
        <x:v>Sales head</x:v>
      </x:c>
      <x:c r="O4806" s="4"/>
      <x:c r="P4806" s="9" t="n">
        <x:v>0</x:v>
      </x:c>
      <x:c r="Q4806" s="11" t="n">
        <x:v>0</x:v>
      </x:c>
      <x:c r="R4806" s="8" t="n">
        <x:v>45642</x:v>
      </x:c>
      <x:c r="S4806" s="4" t="str">
        <x:v>Retained</x:v>
      </x:c>
      <x:c r="T4806" s="10" t="n">
        <x:v>0.145833</x:v>
      </x:c>
      <x:c r="U4806" s="4" t="str">
        <x:v>Test</x:v>
      </x:c>
    </x:row>
    <x:row r="4807" ht="34" customHeight="1">
      <x:c r="A4807" s="4" t="str">
        <x:v>RS-04806</x:v>
      </x:c>
      <x:c r="B4807" s="8" t="n">
        <x:v>45583</x:v>
      </x:c>
      <x:c r="C4807" s="4" t="str">
        <x:v>PRJ-006</x:v>
      </x:c>
      <x:c r="D4807" s="4" t="str">
        <x:v>Retail</x:v>
      </x:c>
      <x:c r="E4807" s="4" t="str">
        <x:v>Handed over</x:v>
      </x:c>
      <x:c r="F4807" s="4" t="str">
        <x:v>CUS-04806</x:v>
      </x:c>
      <x:c r="G4807" s="4" t="str">
        <x:v>UNIT-04806</x:v>
      </x:c>
      <x:c r="H4807" s="9" t="n">
        <x:v>20000000</x:v>
      </x:c>
      <x:c r="I4807" s="10" t="n">
        <x:v>0.01</x:v>
      </x:c>
      <x:c r="J4807" s="11" t="n">
        <x:v>7</x:v>
      </x:c>
      <x:c r="K4807" s="11" t="n">
        <x:v>6</x:v>
      </x:c>
      <x:c r="L4807" s="11" t="n">
        <x:v>0</x:v>
      </x:c>
      <x:c r="M4807" s="9" t="n">
        <x:f>ROUND(H4807*(1-I4807),2)</x:f>
        <x:v>19800000</x:v>
      </x:c>
      <x:c r="N4807" s="4" t="str">
        <x:v>Sales manager</x:v>
      </x:c>
      <x:c r="O4807" s="4" t="str">
        <x:v>BOOK-04806</x:v>
      </x:c>
      <x:c r="P4807" s="9" t="n">
        <x:v>1980000</x:v>
      </x:c>
      <x:c r="Q4807" s="11" t="n">
        <x:v>0</x:v>
      </x:c>
      <x:c r="R4807" s="8" t="n">
        <x:v>45643</x:v>
      </x:c>
      <x:c r="S4807" s="4" t="str">
        <x:v>Retained</x:v>
      </x:c>
      <x:c r="T4807" s="10" t="n">
        <x:v>0.145299</x:v>
      </x:c>
      <x:c r="U4807" s="4" t="str">
        <x:v>Test</x:v>
      </x:c>
    </x:row>
    <x:row r="4808" ht="34" customHeight="1">
      <x:c r="A4808" s="4" t="str">
        <x:v>RS-04807</x:v>
      </x:c>
      <x:c r="B4808" s="8" t="n">
        <x:v>45584</x:v>
      </x:c>
      <x:c r="C4808" s="4" t="str">
        <x:v>PRJ-007</x:v>
      </x:c>
      <x:c r="D4808" s="4" t="str">
        <x:v>Villa</x:v>
      </x:c>
      <x:c r="E4808" s="4" t="str">
        <x:v>Booked</x:v>
      </x:c>
      <x:c r="F4808" s="4" t="str">
        <x:v>CUS-04807</x:v>
      </x:c>
      <x:c r="G4808" s="4" t="str">
        <x:v>UNIT-04807</x:v>
      </x:c>
      <x:c r="H4808" s="9" t="n">
        <x:v>8800000</x:v>
      </x:c>
      <x:c r="I4808" s="10" t="n">
        <x:v>0.1</x:v>
      </x:c>
      <x:c r="J4808" s="11" t="n">
        <x:v>6</x:v>
      </x:c>
      <x:c r="K4808" s="11" t="n">
        <x:v>8</x:v>
      </x:c>
      <x:c r="L4808" s="11" t="n">
        <x:v>0</x:v>
      </x:c>
      <x:c r="M4808" s="9" t="n">
        <x:f>ROUND(H4808*(1-I4808),2)</x:f>
        <x:v>7920000</x:v>
      </x:c>
      <x:c r="N4808" s="4" t="str">
        <x:v>Sales head</x:v>
      </x:c>
      <x:c r="O4808" s="4" t="str">
        <x:v>BOOK-04807</x:v>
      </x:c>
      <x:c r="P4808" s="9" t="n">
        <x:v>3960000</x:v>
      </x:c>
      <x:c r="Q4808" s="11" t="n">
        <x:v>0</x:v>
      </x:c>
      <x:c r="R4808" s="8" t="n">
        <x:v>45644</x:v>
      </x:c>
      <x:c r="S4808" s="4" t="str">
        <x:v>Retained</x:v>
      </x:c>
      <x:c r="T4808" s="10" t="n">
        <x:v>0.226277</x:v>
      </x:c>
      <x:c r="U4808" s="4" t="str">
        <x:v>Test</x:v>
      </x:c>
    </x:row>
    <x:row r="4809" ht="34" customHeight="1">
      <x:c r="A4809" s="4" t="str">
        <x:v>RS-04808</x:v>
      </x:c>
      <x:c r="B4809" s="8" t="n">
        <x:v>45585</x:v>
      </x:c>
      <x:c r="C4809" s="4" t="str">
        <x:v>PRJ-008</x:v>
      </x:c>
      <x:c r="D4809" s="4" t="str">
        <x:v>Office</x:v>
      </x:c>
      <x:c r="E4809" s="4" t="str">
        <x:v>Cancelled</x:v>
      </x:c>
      <x:c r="F4809" s="4" t="str">
        <x:v>CUS-04808</x:v>
      </x:c>
      <x:c r="G4809" s="4" t="str">
        <x:v>UNIT-04808</x:v>
      </x:c>
      <x:c r="H4809" s="9" t="n">
        <x:v>9800000</x:v>
      </x:c>
      <x:c r="I4809" s="10" t="n">
        <x:v>0.04</x:v>
      </x:c>
      <x:c r="J4809" s="11" t="n">
        <x:v>2</x:v>
      </x:c>
      <x:c r="K4809" s="11" t="n">
        <x:v>5</x:v>
      </x:c>
      <x:c r="L4809" s="11" t="n">
        <x:v>0</x:v>
      </x:c>
      <x:c r="M4809" s="9" t="n">
        <x:f>ROUND(H4809*(1-I4809),2)</x:f>
        <x:v>9408000</x:v>
      </x:c>
      <x:c r="N4809" s="4" t="str">
        <x:v>Sales manager</x:v>
      </x:c>
      <x:c r="O4809" s="4"/>
      <x:c r="P4809" s="9" t="n">
        <x:v>0</x:v>
      </x:c>
      <x:c r="Q4809" s="11" t="n">
        <x:v>1</x:v>
      </x:c>
      <x:c r="R4809" s="8" t="n">
        <x:v>45645</x:v>
      </x:c>
      <x:c r="S4809" s="4" t="str">
        <x:v>Lost / cancelled</x:v>
      </x:c>
      <x:c r="T4809" s="10" t="n">
        <x:v>0.204152</x:v>
      </x:c>
      <x:c r="U4809" s="4" t="str">
        <x:v>Test</x:v>
      </x:c>
    </x:row>
    <x:row r="4810" ht="34" customHeight="1">
      <x:c r="A4810" s="4" t="str">
        <x:v>RS-04809</x:v>
      </x:c>
      <x:c r="B4810" s="8" t="n">
        <x:v>45586</x:v>
      </x:c>
      <x:c r="C4810" s="4" t="str">
        <x:v>PRJ-009</x:v>
      </x:c>
      <x:c r="D4810" s="4" t="str">
        <x:v>Retail</x:v>
      </x:c>
      <x:c r="E4810" s="4" t="str">
        <x:v>Enquiry</x:v>
      </x:c>
      <x:c r="F4810" s="4" t="str">
        <x:v>CUS-04809</x:v>
      </x:c>
      <x:c r="G4810" s="4" t="str">
        <x:v>UNIT-04809</x:v>
      </x:c>
      <x:c r="H4810" s="9" t="n">
        <x:v>23800000</x:v>
      </x:c>
      <x:c r="I4810" s="10" t="n">
        <x:v>0.06</x:v>
      </x:c>
      <x:c r="J4810" s="11" t="n">
        <x:v>4</x:v>
      </x:c>
      <x:c r="K4810" s="11" t="n">
        <x:v>5</x:v>
      </x:c>
      <x:c r="L4810" s="11" t="n">
        <x:v>0</x:v>
      </x:c>
      <x:c r="M4810" s="9" t="n">
        <x:f>ROUND(H4810*(1-I4810),2)</x:f>
        <x:v>22372000</x:v>
      </x:c>
      <x:c r="N4810" s="4" t="str">
        <x:v>Sales manager</x:v>
      </x:c>
      <x:c r="O4810" s="4"/>
      <x:c r="P4810" s="9" t="n">
        <x:v>0</x:v>
      </x:c>
      <x:c r="Q4810" s="11" t="n">
        <x:v>0</x:v>
      </x:c>
      <x:c r="R4810" s="8" t="n">
        <x:v>45646</x:v>
      </x:c>
      <x:c r="S4810" s="4" t="str">
        <x:v>Retained</x:v>
      </x:c>
      <x:c r="T4810" s="10" t="n">
        <x:v>0.226277</x:v>
      </x:c>
      <x:c r="U4810" s="4" t="str">
        <x:v>Test</x:v>
      </x:c>
    </x:row>
    <x:row r="4811" ht="34" customHeight="1">
      <x:c r="A4811" s="4" t="str">
        <x:v>RS-04810</x:v>
      </x:c>
      <x:c r="B4811" s="8" t="n">
        <x:v>45587</x:v>
      </x:c>
      <x:c r="C4811" s="4" t="str">
        <x:v>PRJ-010</x:v>
      </x:c>
      <x:c r="D4811" s="4" t="str">
        <x:v>Villa</x:v>
      </x:c>
      <x:c r="E4811" s="4" t="str">
        <x:v>Reserved</x:v>
      </x:c>
      <x:c r="F4811" s="4" t="str">
        <x:v>CUS-04810</x:v>
      </x:c>
      <x:c r="G4811" s="4" t="str">
        <x:v>UNIT-04810</x:v>
      </x:c>
      <x:c r="H4811" s="9" t="n">
        <x:v>11400000</x:v>
      </x:c>
      <x:c r="I4811" s="10" t="n">
        <x:v>0.05</x:v>
      </x:c>
      <x:c r="J4811" s="11" t="n">
        <x:v>10</x:v>
      </x:c>
      <x:c r="K4811" s="11" t="n">
        <x:v>3</x:v>
      </x:c>
      <x:c r="L4811" s="11" t="n">
        <x:v>1</x:v>
      </x:c>
      <x:c r="M4811" s="9" t="n">
        <x:f>ROUND(H4811*(1-I4811),2)</x:f>
        <x:v>10830000</x:v>
      </x:c>
      <x:c r="N4811" s="4" t="str">
        <x:v>Sales manager</x:v>
      </x:c>
      <x:c r="O4811" s="4"/>
      <x:c r="P4811" s="9" t="n">
        <x:v>0</x:v>
      </x:c>
      <x:c r="Q4811" s="11" t="n">
        <x:v>0</x:v>
      </x:c>
      <x:c r="R4811" s="8" t="n">
        <x:v>45647</x:v>
      </x:c>
      <x:c r="S4811" s="4" t="str">
        <x:v>Retained</x:v>
      </x:c>
      <x:c r="T4811" s="10" t="n">
        <x:v>0.310195</x:v>
      </x:c>
      <x:c r="U4811" s="4" t="str">
        <x:v>Test</x:v>
      </x:c>
    </x:row>
    <x:row r="4812" ht="34" customHeight="1">
      <x:c r="A4812" s="4" t="str">
        <x:v>RS-04811</x:v>
      </x:c>
      <x:c r="B4812" s="8" t="n">
        <x:v>45588</x:v>
      </x:c>
      <x:c r="C4812" s="4" t="str">
        <x:v>PRJ-011</x:v>
      </x:c>
      <x:c r="D4812" s="4" t="str">
        <x:v>Villa</x:v>
      </x:c>
      <x:c r="E4812" s="4" t="str">
        <x:v>Booked</x:v>
      </x:c>
      <x:c r="F4812" s="4" t="str">
        <x:v>CUS-04811</x:v>
      </x:c>
      <x:c r="G4812" s="4" t="str">
        <x:v>UNIT-04811</x:v>
      </x:c>
      <x:c r="H4812" s="9" t="n">
        <x:v>23200000</x:v>
      </x:c>
      <x:c r="I4812" s="10" t="n">
        <x:v>0.1</x:v>
      </x:c>
      <x:c r="J4812" s="11" t="n">
        <x:v>3</x:v>
      </x:c>
      <x:c r="K4812" s="11" t="n">
        <x:v>2</x:v>
      </x:c>
      <x:c r="L4812" s="11" t="n">
        <x:v>1</x:v>
      </x:c>
      <x:c r="M4812" s="9" t="n">
        <x:f>ROUND(H4812*(1-I4812),2)</x:f>
        <x:v>20880000</x:v>
      </x:c>
      <x:c r="N4812" s="4" t="str">
        <x:v>Sales head</x:v>
      </x:c>
      <x:c r="O4812" s="4" t="str">
        <x:v>BOOK-04811</x:v>
      </x:c>
      <x:c r="P4812" s="9" t="n">
        <x:v>5220000</x:v>
      </x:c>
      <x:c r="Q4812" s="11" t="n">
        <x:v>0</x:v>
      </x:c>
      <x:c r="R4812" s="8" t="n">
        <x:v>45648</x:v>
      </x:c>
      <x:c r="S4812" s="4" t="str">
        <x:v>Retained</x:v>
      </x:c>
      <x:c r="T4812" s="10" t="n">
        <x:v>0.145833</x:v>
      </x:c>
      <x:c r="U4812" s="4" t="str">
        <x:v>Test</x:v>
      </x:c>
    </x:row>
    <x:row r="4813" ht="34" customHeight="1">
      <x:c r="A4813" s="4" t="str">
        <x:v>RS-04812</x:v>
      </x:c>
      <x:c r="B4813" s="8" t="n">
        <x:v>45589</x:v>
      </x:c>
      <x:c r="C4813" s="4" t="str">
        <x:v>PRJ-012</x:v>
      </x:c>
      <x:c r="D4813" s="4" t="str">
        <x:v>Office</x:v>
      </x:c>
      <x:c r="E4813" s="4" t="str">
        <x:v>Handed over</x:v>
      </x:c>
      <x:c r="F4813" s="4" t="str">
        <x:v>CUS-04812</x:v>
      </x:c>
      <x:c r="G4813" s="4" t="str">
        <x:v>UNIT-04812</x:v>
      </x:c>
      <x:c r="H4813" s="9" t="n">
        <x:v>13500000</x:v>
      </x:c>
      <x:c r="I4813" s="10" t="n">
        <x:v>0.03</x:v>
      </x:c>
      <x:c r="J4813" s="11" t="n">
        <x:v>1</x:v>
      </x:c>
      <x:c r="K4813" s="11" t="n">
        <x:v>4</x:v>
      </x:c>
      <x:c r="L4813" s="11" t="n">
        <x:v>1</x:v>
      </x:c>
      <x:c r="M4813" s="9" t="n">
        <x:f>ROUND(H4813*(1-I4813),2)</x:f>
        <x:v>13095000</x:v>
      </x:c>
      <x:c r="N4813" s="4" t="str">
        <x:v>Sales manager</x:v>
      </x:c>
      <x:c r="O4813" s="4" t="str">
        <x:v>BOOK-04812</x:v>
      </x:c>
      <x:c r="P4813" s="9" t="n">
        <x:v>6547500</x:v>
      </x:c>
      <x:c r="Q4813" s="11" t="n">
        <x:v>0</x:v>
      </x:c>
      <x:c r="R4813" s="8" t="n">
        <x:v>45649</x:v>
      </x:c>
      <x:c r="S4813" s="4" t="str">
        <x:v>Retained</x:v>
      </x:c>
      <x:c r="T4813" s="10" t="n">
        <x:v>0.072165</x:v>
      </x:c>
      <x:c r="U4813" s="4" t="str">
        <x:v>Test</x:v>
      </x:c>
    </x:row>
    <x:row r="4814" ht="34" customHeight="1">
      <x:c r="A4814" s="4" t="str">
        <x:v>RS-04813</x:v>
      </x:c>
      <x:c r="B4814" s="8" t="n">
        <x:v>45590</x:v>
      </x:c>
      <x:c r="C4814" s="4" t="str">
        <x:v>PRJ-013</x:v>
      </x:c>
      <x:c r="D4814" s="4" t="str">
        <x:v>Apartment</x:v>
      </x:c>
      <x:c r="E4814" s="4" t="str">
        <x:v>Enquiry</x:v>
      </x:c>
      <x:c r="F4814" s="4" t="str">
        <x:v>CUS-04813</x:v>
      </x:c>
      <x:c r="G4814" s="4" t="str">
        <x:v>UNIT-04813</x:v>
      </x:c>
      <x:c r="H4814" s="9" t="n">
        <x:v>20900000</x:v>
      </x:c>
      <x:c r="I4814" s="10" t="n">
        <x:v>0.09</x:v>
      </x:c>
      <x:c r="J4814" s="11" t="n">
        <x:v>11</x:v>
      </x:c>
      <x:c r="K4814" s="11" t="n">
        <x:v>4</x:v>
      </x:c>
      <x:c r="L4814" s="11" t="n">
        <x:v>1</x:v>
      </x:c>
      <x:c r="M4814" s="9" t="n">
        <x:f>ROUND(H4814*(1-I4814),2)</x:f>
        <x:v>19019000</x:v>
      </x:c>
      <x:c r="N4814" s="4" t="str">
        <x:v>Sales head</x:v>
      </x:c>
      <x:c r="O4814" s="4"/>
      <x:c r="P4814" s="9" t="n">
        <x:v>0</x:v>
      </x:c>
      <x:c r="Q4814" s="11" t="n">
        <x:v>1</x:v>
      </x:c>
      <x:c r="R4814" s="8" t="n">
        <x:v>45650</x:v>
      </x:c>
      <x:c r="S4814" s="4" t="str">
        <x:v>Lost / cancelled</x:v>
      </x:c>
      <x:c r="T4814" s="10" t="n">
        <x:v>0.351536</x:v>
      </x:c>
      <x:c r="U4814" s="4" t="str">
        <x:v>Test</x:v>
      </x:c>
    </x:row>
    <x:row r="4815" ht="34" customHeight="1">
      <x:c r="A4815" s="4" t="str">
        <x:v>RS-04814</x:v>
      </x:c>
      <x:c r="B4815" s="8" t="n">
        <x:v>45591</x:v>
      </x:c>
      <x:c r="C4815" s="4" t="str">
        <x:v>PRJ-014</x:v>
      </x:c>
      <x:c r="D4815" s="4" t="str">
        <x:v>Apartment</x:v>
      </x:c>
      <x:c r="E4815" s="4" t="str">
        <x:v>Agreement signed</x:v>
      </x:c>
      <x:c r="F4815" s="4" t="str">
        <x:v>CUS-04814</x:v>
      </x:c>
      <x:c r="G4815" s="4" t="str">
        <x:v>UNIT-04814</x:v>
      </x:c>
      <x:c r="H4815" s="9" t="n">
        <x:v>14600000</x:v>
      </x:c>
      <x:c r="I4815" s="10" t="n">
        <x:v>0.1</x:v>
      </x:c>
      <x:c r="J4815" s="11" t="n">
        <x:v>10</x:v>
      </x:c>
      <x:c r="K4815" s="11" t="n">
        <x:v>1</x:v>
      </x:c>
      <x:c r="L4815" s="11" t="n">
        <x:v>0</x:v>
      </x:c>
      <x:c r="M4815" s="9" t="n">
        <x:f>ROUND(H4815*(1-I4815),2)</x:f>
        <x:v>13140000</x:v>
      </x:c>
      <x:c r="N4815" s="4" t="str">
        <x:v>Sales head</x:v>
      </x:c>
      <x:c r="O4815" s="4" t="str">
        <x:v>BOOK-04814</x:v>
      </x:c>
      <x:c r="P4815" s="9" t="n">
        <x:v>13140000</x:v>
      </x:c>
      <x:c r="Q4815" s="11" t="n">
        <x:v>0</x:v>
      </x:c>
      <x:c r="R4815" s="8" t="n">
        <x:v>45651</x:v>
      </x:c>
      <x:c r="S4815" s="4" t="str">
        <x:v>Retained</x:v>
      </x:c>
      <x:c r="T4815" s="10" t="n">
        <x:v>0.310195</x:v>
      </x:c>
      <x:c r="U4815" s="4" t="str">
        <x:v>Test</x:v>
      </x:c>
    </x:row>
    <x:row r="4816" ht="34" customHeight="1">
      <x:c r="A4816" s="4" t="str">
        <x:v>RS-04815</x:v>
      </x:c>
      <x:c r="B4816" s="8" t="n">
        <x:v>45592</x:v>
      </x:c>
      <x:c r="C4816" s="4" t="str">
        <x:v>PRJ-015</x:v>
      </x:c>
      <x:c r="D4816" s="4" t="str">
        <x:v>Office</x:v>
      </x:c>
      <x:c r="E4816" s="4" t="str">
        <x:v>Agreement signed</x:v>
      </x:c>
      <x:c r="F4816" s="4" t="str">
        <x:v>CUS-04815</x:v>
      </x:c>
      <x:c r="G4816" s="4" t="str">
        <x:v>UNIT-04815</x:v>
      </x:c>
      <x:c r="H4816" s="9" t="n">
        <x:v>5700000</x:v>
      </x:c>
      <x:c r="I4816" s="10" t="n">
        <x:v>0.08</x:v>
      </x:c>
      <x:c r="J4816" s="11" t="n">
        <x:v>11</x:v>
      </x:c>
      <x:c r="K4816" s="11" t="n">
        <x:v>8</x:v>
      </x:c>
      <x:c r="L4816" s="11" t="n">
        <x:v>1</x:v>
      </x:c>
      <x:c r="M4816" s="9" t="n">
        <x:f>ROUND(H4816*(1-I4816),2)</x:f>
        <x:v>5244000</x:v>
      </x:c>
      <x:c r="N4816" s="4" t="str">
        <x:v>Sales head</x:v>
      </x:c>
      <x:c r="O4816" s="4" t="str">
        <x:v>BOOK-04815</x:v>
      </x:c>
      <x:c r="P4816" s="9" t="n">
        <x:v>524400</x:v>
      </x:c>
      <x:c r="Q4816" s="11" t="n">
        <x:v>0</x:v>
      </x:c>
      <x:c r="R4816" s="8" t="n">
        <x:v>45652</x:v>
      </x:c>
      <x:c r="S4816" s="4" t="str">
        <x:v>Retained</x:v>
      </x:c>
      <x:c r="T4816" s="10" t="n">
        <x:v>0.351536</x:v>
      </x:c>
      <x:c r="U4816" s="4" t="str">
        <x:v>Test</x:v>
      </x:c>
    </x:row>
    <x:row r="4817" ht="34" customHeight="1">
      <x:c r="A4817" s="4" t="str">
        <x:v>RS-04816</x:v>
      </x:c>
      <x:c r="B4817" s="8" t="n">
        <x:v>45593</x:v>
      </x:c>
      <x:c r="C4817" s="4" t="str">
        <x:v>PRJ-016</x:v>
      </x:c>
      <x:c r="D4817" s="4" t="str">
        <x:v>Retail</x:v>
      </x:c>
      <x:c r="E4817" s="4" t="str">
        <x:v>Cancelled</x:v>
      </x:c>
      <x:c r="F4817" s="4" t="str">
        <x:v>CUS-04816</x:v>
      </x:c>
      <x:c r="G4817" s="4" t="str">
        <x:v>UNIT-04816</x:v>
      </x:c>
      <x:c r="H4817" s="9" t="n">
        <x:v>7000000</x:v>
      </x:c>
      <x:c r="I4817" s="10" t="n">
        <x:v>0.09</x:v>
      </x:c>
      <x:c r="J4817" s="11" t="n">
        <x:v>3</x:v>
      </x:c>
      <x:c r="K4817" s="11" t="n">
        <x:v>9</x:v>
      </x:c>
      <x:c r="L4817" s="11" t="n">
        <x:v>0</x:v>
      </x:c>
      <x:c r="M4817" s="9" t="n">
        <x:f>ROUND(H4817*(1-I4817),2)</x:f>
        <x:v>6370000</x:v>
      </x:c>
      <x:c r="N4817" s="4" t="str">
        <x:v>Sales head</x:v>
      </x:c>
      <x:c r="O4817" s="4"/>
      <x:c r="P4817" s="9" t="n">
        <x:v>0</x:v>
      </x:c>
      <x:c r="Q4817" s="11" t="n">
        <x:v>1</x:v>
      </x:c>
      <x:c r="R4817" s="8" t="n">
        <x:v>45653</x:v>
      </x:c>
      <x:c r="S4817" s="4" t="str">
        <x:v>Lost / cancelled</x:v>
      </x:c>
      <x:c r="T4817" s="10" t="n">
        <x:v>0.145833</x:v>
      </x:c>
      <x:c r="U4817" s="4" t="str">
        <x:v>Test</x:v>
      </x:c>
    </x:row>
    <x:row r="4818" ht="34" customHeight="1">
      <x:c r="A4818" s="4" t="str">
        <x:v>RS-04817</x:v>
      </x:c>
      <x:c r="B4818" s="8" t="n">
        <x:v>45566</x:v>
      </x:c>
      <x:c r="C4818" s="4" t="str">
        <x:v>PRJ-017</x:v>
      </x:c>
      <x:c r="D4818" s="4" t="str">
        <x:v>Retail</x:v>
      </x:c>
      <x:c r="E4818" s="4" t="str">
        <x:v>Reserved</x:v>
      </x:c>
      <x:c r="F4818" s="4" t="str">
        <x:v>CUS-04817</x:v>
      </x:c>
      <x:c r="G4818" s="4" t="str">
        <x:v>UNIT-04817</x:v>
      </x:c>
      <x:c r="H4818" s="9" t="n">
        <x:v>14600000</x:v>
      </x:c>
      <x:c r="I4818" s="10" t="n">
        <x:v>0.01</x:v>
      </x:c>
      <x:c r="J4818" s="11" t="n">
        <x:v>9</x:v>
      </x:c>
      <x:c r="K4818" s="11" t="n">
        <x:v>0</x:v>
      </x:c>
      <x:c r="L4818" s="11" t="n">
        <x:v>0</x:v>
      </x:c>
      <x:c r="M4818" s="9" t="n">
        <x:f>ROUND(H4818*(1-I4818),2)</x:f>
        <x:v>14454000</x:v>
      </x:c>
      <x:c r="N4818" s="4" t="str">
        <x:v>Sales manager</x:v>
      </x:c>
      <x:c r="O4818" s="4"/>
      <x:c r="P4818" s="9" t="n">
        <x:v>0</x:v>
      </x:c>
      <x:c r="Q4818" s="11" t="n">
        <x:v>0</x:v>
      </x:c>
      <x:c r="R4818" s="8" t="n">
        <x:v>45626</x:v>
      </x:c>
      <x:c r="S4818" s="4" t="str">
        <x:v>Retained</x:v>
      </x:c>
      <x:c r="T4818" s="10" t="n">
        <x:v>0.305556</x:v>
      </x:c>
      <x:c r="U4818" s="4" t="str">
        <x:v>Test</x:v>
      </x:c>
    </x:row>
    <x:row r="4819" ht="34" customHeight="1">
      <x:c r="A4819" s="4" t="str">
        <x:v>RS-04818</x:v>
      </x:c>
      <x:c r="B4819" s="8" t="n">
        <x:v>45567</x:v>
      </x:c>
      <x:c r="C4819" s="4" t="str">
        <x:v>PRJ-018</x:v>
      </x:c>
      <x:c r="D4819" s="4" t="str">
        <x:v>Office</x:v>
      </x:c>
      <x:c r="E4819" s="4" t="str">
        <x:v>Enquiry</x:v>
      </x:c>
      <x:c r="F4819" s="4" t="str">
        <x:v>CUS-04818</x:v>
      </x:c>
      <x:c r="G4819" s="4" t="str">
        <x:v>UNIT-04818</x:v>
      </x:c>
      <x:c r="H4819" s="9" t="n">
        <x:v>3900000</x:v>
      </x:c>
      <x:c r="I4819" s="10" t="n">
        <x:v>0.07</x:v>
      </x:c>
      <x:c r="J4819" s="11" t="n">
        <x:v>12</x:v>
      </x:c>
      <x:c r="K4819" s="11" t="n">
        <x:v>3</x:v>
      </x:c>
      <x:c r="L4819" s="11" t="n">
        <x:v>0</x:v>
      </x:c>
      <x:c r="M4819" s="9" t="n">
        <x:f>ROUND(H4819*(1-I4819),2)</x:f>
        <x:v>3627000</x:v>
      </x:c>
      <x:c r="N4819" s="4" t="str">
        <x:v>Sales manager</x:v>
      </x:c>
      <x:c r="O4819" s="4"/>
      <x:c r="P4819" s="9" t="n">
        <x:v>0</x:v>
      </x:c>
      <x:c r="Q4819" s="11" t="n">
        <x:v>0</x:v>
      </x:c>
      <x:c r="R4819" s="8" t="n">
        <x:v>45627</x:v>
      </x:c>
      <x:c r="S4819" s="4" t="str">
        <x:v>Retained</x:v>
      </x:c>
      <x:c r="T4819" s="10" t="n">
        <x:v>0.351536</x:v>
      </x:c>
      <x:c r="U4819" s="4" t="str">
        <x:v>Test</x:v>
      </x:c>
    </x:row>
    <x:row r="4820" ht="34" customHeight="1">
      <x:c r="A4820" s="4" t="str">
        <x:v>RS-04819</x:v>
      </x:c>
      <x:c r="B4820" s="8" t="n">
        <x:v>45568</x:v>
      </x:c>
      <x:c r="C4820" s="4" t="str">
        <x:v>PRJ-019</x:v>
      </x:c>
      <x:c r="D4820" s="4" t="str">
        <x:v>Villa</x:v>
      </x:c>
      <x:c r="E4820" s="4" t="str">
        <x:v>Handed over</x:v>
      </x:c>
      <x:c r="F4820" s="4" t="str">
        <x:v>CUS-04819</x:v>
      </x:c>
      <x:c r="G4820" s="4" t="str">
        <x:v>UNIT-04819</x:v>
      </x:c>
      <x:c r="H4820" s="9" t="n">
        <x:v>9500000</x:v>
      </x:c>
      <x:c r="I4820" s="10" t="n">
        <x:v>0.02</x:v>
      </x:c>
      <x:c r="J4820" s="11" t="n">
        <x:v>10</x:v>
      </x:c>
      <x:c r="K4820" s="11" t="n">
        <x:v>8</x:v>
      </x:c>
      <x:c r="L4820" s="11" t="n">
        <x:v>0</x:v>
      </x:c>
      <x:c r="M4820" s="9" t="n">
        <x:f>ROUND(H4820*(1-I4820),2)</x:f>
        <x:v>9310000</x:v>
      </x:c>
      <x:c r="N4820" s="4" t="str">
        <x:v>Sales manager</x:v>
      </x:c>
      <x:c r="O4820" s="4" t="str">
        <x:v>BOOK-04819</x:v>
      </x:c>
      <x:c r="P4820" s="9" t="n">
        <x:v>2327500</x:v>
      </x:c>
      <x:c r="Q4820" s="11" t="n">
        <x:v>0</x:v>
      </x:c>
      <x:c r="R4820" s="8" t="n">
        <x:v>45628</x:v>
      </x:c>
      <x:c r="S4820" s="4" t="str">
        <x:v>Retained</x:v>
      </x:c>
      <x:c r="T4820" s="10" t="n">
        <x:v>0.305556</x:v>
      </x:c>
      <x:c r="U4820" s="4" t="str">
        <x:v>Test</x:v>
      </x:c>
    </x:row>
    <x:row r="4821" ht="34" customHeight="1">
      <x:c r="A4821" s="4" t="str">
        <x:v>RS-04820</x:v>
      </x:c>
      <x:c r="B4821" s="8" t="n">
        <x:v>45569</x:v>
      </x:c>
      <x:c r="C4821" s="4" t="str">
        <x:v>PRJ-020</x:v>
      </x:c>
      <x:c r="D4821" s="4" t="str">
        <x:v>Retail</x:v>
      </x:c>
      <x:c r="E4821" s="4" t="str">
        <x:v>Enquiry</x:v>
      </x:c>
      <x:c r="F4821" s="4" t="str">
        <x:v>CUS-04820</x:v>
      </x:c>
      <x:c r="G4821" s="4" t="str">
        <x:v>UNIT-04820</x:v>
      </x:c>
      <x:c r="H4821" s="9" t="n">
        <x:v>3600000</x:v>
      </x:c>
      <x:c r="I4821" s="10" t="n">
        <x:v>0.02</x:v>
      </x:c>
      <x:c r="J4821" s="11" t="n">
        <x:v>4</x:v>
      </x:c>
      <x:c r="K4821" s="11" t="n">
        <x:v>0</x:v>
      </x:c>
      <x:c r="L4821" s="11" t="n">
        <x:v>1</x:v>
      </x:c>
      <x:c r="M4821" s="9" t="n">
        <x:f>ROUND(H4821*(1-I4821),2)</x:f>
        <x:v>3528000</x:v>
      </x:c>
      <x:c r="N4821" s="4" t="str">
        <x:v>Sales manager</x:v>
      </x:c>
      <x:c r="O4821" s="4"/>
      <x:c r="P4821" s="9" t="n">
        <x:v>0</x:v>
      </x:c>
      <x:c r="Q4821" s="11" t="n">
        <x:v>0</x:v>
      </x:c>
      <x:c r="R4821" s="8" t="n">
        <x:v>45629</x:v>
      </x:c>
      <x:c r="S4821" s="4" t="str">
        <x:v>Retained</x:v>
      </x:c>
      <x:c r="T4821" s="10" t="n">
        <x:v>0.298969</x:v>
      </x:c>
      <x:c r="U4821" s="4" t="str">
        <x:v>Test</x:v>
      </x:c>
    </x:row>
    <x:row r="4822" ht="34" customHeight="1">
      <x:c r="A4822" s="4" t="str">
        <x:v>RS-04821</x:v>
      </x:c>
      <x:c r="B4822" s="8" t="n">
        <x:v>45570</x:v>
      </x:c>
      <x:c r="C4822" s="4" t="str">
        <x:v>PRJ-001</x:v>
      </x:c>
      <x:c r="D4822" s="4" t="str">
        <x:v>Office</x:v>
      </x:c>
      <x:c r="E4822" s="4" t="str">
        <x:v>Handed over</x:v>
      </x:c>
      <x:c r="F4822" s="4" t="str">
        <x:v>CUS-04821</x:v>
      </x:c>
      <x:c r="G4822" s="4" t="str">
        <x:v>UNIT-04821</x:v>
      </x:c>
      <x:c r="H4822" s="9" t="n">
        <x:v>9600000</x:v>
      </x:c>
      <x:c r="I4822" s="10" t="n">
        <x:v>0.02</x:v>
      </x:c>
      <x:c r="J4822" s="11" t="n">
        <x:v>10</x:v>
      </x:c>
      <x:c r="K4822" s="11" t="n">
        <x:v>2</x:v>
      </x:c>
      <x:c r="L4822" s="11" t="n">
        <x:v>0</x:v>
      </x:c>
      <x:c r="M4822" s="9" t="n">
        <x:f>ROUND(H4822*(1-I4822),2)</x:f>
        <x:v>9408000</x:v>
      </x:c>
      <x:c r="N4822" s="4" t="str">
        <x:v>Sales manager</x:v>
      </x:c>
      <x:c r="O4822" s="4" t="str">
        <x:v>BOOK-04821</x:v>
      </x:c>
      <x:c r="P4822" s="9" t="n">
        <x:v>2352000</x:v>
      </x:c>
      <x:c r="Q4822" s="11" t="n">
        <x:v>0</x:v>
      </x:c>
      <x:c r="R4822" s="8" t="n">
        <x:v>45630</x:v>
      </x:c>
      <x:c r="S4822" s="4" t="str">
        <x:v>Retained</x:v>
      </x:c>
      <x:c r="T4822" s="10" t="n">
        <x:v>0.305556</x:v>
      </x:c>
      <x:c r="U4822" s="4" t="str">
        <x:v>Test</x:v>
      </x:c>
    </x:row>
    <x:row r="4823" ht="34" customHeight="1">
      <x:c r="A4823" s="4" t="str">
        <x:v>RS-04822</x:v>
      </x:c>
      <x:c r="B4823" s="8" t="n">
        <x:v>45571</x:v>
      </x:c>
      <x:c r="C4823" s="4" t="str">
        <x:v>PRJ-002</x:v>
      </x:c>
      <x:c r="D4823" s="4" t="str">
        <x:v>Villa</x:v>
      </x:c>
      <x:c r="E4823" s="4" t="str">
        <x:v>Cancelled</x:v>
      </x:c>
      <x:c r="F4823" s="4" t="str">
        <x:v>CUS-04822</x:v>
      </x:c>
      <x:c r="G4823" s="4" t="str">
        <x:v>UNIT-04822</x:v>
      </x:c>
      <x:c r="H4823" s="9" t="n">
        <x:v>11800000</x:v>
      </x:c>
      <x:c r="I4823" s="10" t="n">
        <x:v>0.11</x:v>
      </x:c>
      <x:c r="J4823" s="11" t="n">
        <x:v>11</x:v>
      </x:c>
      <x:c r="K4823" s="11" t="n">
        <x:v>8</x:v>
      </x:c>
      <x:c r="L4823" s="11" t="n">
        <x:v>1</x:v>
      </x:c>
      <x:c r="M4823" s="9" t="n">
        <x:f>ROUND(H4823*(1-I4823),2)</x:f>
        <x:v>10502000</x:v>
      </x:c>
      <x:c r="N4823" s="4" t="str">
        <x:v>Sales head</x:v>
      </x:c>
      <x:c r="O4823" s="4"/>
      <x:c r="P4823" s="9" t="n">
        <x:v>0</x:v>
      </x:c>
      <x:c r="Q4823" s="11" t="n">
        <x:v>1</x:v>
      </x:c>
      <x:c r="R4823" s="8" t="n">
        <x:v>45631</x:v>
      </x:c>
      <x:c r="S4823" s="4" t="str">
        <x:v>Lost / cancelled</x:v>
      </x:c>
      <x:c r="T4823" s="10" t="n">
        <x:v>0.351536</x:v>
      </x:c>
      <x:c r="U4823" s="4" t="str">
        <x:v>Test</x:v>
      </x:c>
    </x:row>
    <x:row r="4824" ht="34" customHeight="1">
      <x:c r="A4824" s="4" t="str">
        <x:v>RS-04823</x:v>
      </x:c>
      <x:c r="B4824" s="8" t="n">
        <x:v>45572</x:v>
      </x:c>
      <x:c r="C4824" s="4" t="str">
        <x:v>PRJ-003</x:v>
      </x:c>
      <x:c r="D4824" s="4" t="str">
        <x:v>Office</x:v>
      </x:c>
      <x:c r="E4824" s="4" t="str">
        <x:v>Handed over</x:v>
      </x:c>
      <x:c r="F4824" s="4" t="str">
        <x:v>CUS-04823</x:v>
      </x:c>
      <x:c r="G4824" s="4" t="str">
        <x:v>UNIT-04823</x:v>
      </x:c>
      <x:c r="H4824" s="9" t="n">
        <x:v>12400000</x:v>
      </x:c>
      <x:c r="I4824" s="10" t="n">
        <x:v>0.03</x:v>
      </x:c>
      <x:c r="J4824" s="11" t="n">
        <x:v>5</x:v>
      </x:c>
      <x:c r="K4824" s="11" t="n">
        <x:v>6</x:v>
      </x:c>
      <x:c r="L4824" s="11" t="n">
        <x:v>0</x:v>
      </x:c>
      <x:c r="M4824" s="9" t="n">
        <x:f>ROUND(H4824*(1-I4824),2)</x:f>
        <x:v>12028000</x:v>
      </x:c>
      <x:c r="N4824" s="4" t="str">
        <x:v>Sales manager</x:v>
      </x:c>
      <x:c r="O4824" s="4" t="str">
        <x:v>BOOK-04823</x:v>
      </x:c>
      <x:c r="P4824" s="9" t="n">
        <x:v>1202800</x:v>
      </x:c>
      <x:c r="Q4824" s="11" t="n">
        <x:v>0</x:v>
      </x:c>
      <x:c r="R4824" s="8" t="n">
        <x:v>45632</x:v>
      </x:c>
      <x:c r="S4824" s="4" t="str">
        <x:v>Retained</x:v>
      </x:c>
      <x:c r="T4824" s="10" t="n">
        <x:v>0.145299</x:v>
      </x:c>
      <x:c r="U4824" s="4" t="str">
        <x:v>Test</x:v>
      </x:c>
    </x:row>
    <x:row r="4825" ht="34" customHeight="1">
      <x:c r="A4825" s="4" t="str">
        <x:v>RS-04824</x:v>
      </x:c>
      <x:c r="B4825" s="8" t="n">
        <x:v>45573</x:v>
      </x:c>
      <x:c r="C4825" s="4" t="str">
        <x:v>PRJ-004</x:v>
      </x:c>
      <x:c r="D4825" s="4" t="str">
        <x:v>Office</x:v>
      </x:c>
      <x:c r="E4825" s="4" t="str">
        <x:v>Enquiry</x:v>
      </x:c>
      <x:c r="F4825" s="4" t="str">
        <x:v>CUS-04824</x:v>
      </x:c>
      <x:c r="G4825" s="4" t="str">
        <x:v>UNIT-04824</x:v>
      </x:c>
      <x:c r="H4825" s="9" t="n">
        <x:v>16900000</x:v>
      </x:c>
      <x:c r="I4825" s="10" t="n">
        <x:v>0.03</x:v>
      </x:c>
      <x:c r="J4825" s="11" t="n">
        <x:v>6</x:v>
      </x:c>
      <x:c r="K4825" s="11" t="n">
        <x:v>4</x:v>
      </x:c>
      <x:c r="L4825" s="11" t="n">
        <x:v>1</x:v>
      </x:c>
      <x:c r="M4825" s="9" t="n">
        <x:f>ROUND(H4825*(1-I4825),2)</x:f>
        <x:v>16393000</x:v>
      </x:c>
      <x:c r="N4825" s="4" t="str">
        <x:v>Sales manager</x:v>
      </x:c>
      <x:c r="O4825" s="4"/>
      <x:c r="P4825" s="9" t="n">
        <x:v>0</x:v>
      </x:c>
      <x:c r="Q4825" s="11" t="n">
        <x:v>0</x:v>
      </x:c>
      <x:c r="R4825" s="8" t="n">
        <x:v>45633</x:v>
      </x:c>
      <x:c r="S4825" s="4" t="str">
        <x:v>Retained</x:v>
      </x:c>
      <x:c r="T4825" s="10" t="n">
        <x:v>0.298969</x:v>
      </x:c>
      <x:c r="U4825" s="4" t="str">
        <x:v>Test</x:v>
      </x:c>
    </x:row>
    <x:row r="4826" ht="34" customHeight="1">
      <x:c r="A4826" s="4" t="str">
        <x:v>RS-04825</x:v>
      </x:c>
      <x:c r="B4826" s="8" t="n">
        <x:v>45574</x:v>
      </x:c>
      <x:c r="C4826" s="4" t="str">
        <x:v>PRJ-005</x:v>
      </x:c>
      <x:c r="D4826" s="4" t="str">
        <x:v>Retail</x:v>
      </x:c>
      <x:c r="E4826" s="4" t="str">
        <x:v>Enquiry</x:v>
      </x:c>
      <x:c r="F4826" s="4" t="str">
        <x:v>CUS-04825</x:v>
      </x:c>
      <x:c r="G4826" s="4" t="str">
        <x:v>UNIT-04825</x:v>
      </x:c>
      <x:c r="H4826" s="9" t="n">
        <x:v>8200000</x:v>
      </x:c>
      <x:c r="I4826" s="10" t="n">
        <x:v>0.07</x:v>
      </x:c>
      <x:c r="J4826" s="11" t="n">
        <x:v>0</x:v>
      </x:c>
      <x:c r="K4826" s="11" t="n">
        <x:v>3</x:v>
      </x:c>
      <x:c r="L4826" s="11" t="n">
        <x:v>1</x:v>
      </x:c>
      <x:c r="M4826" s="9" t="n">
        <x:f>ROUND(H4826*(1-I4826),2)</x:f>
        <x:v>7626000</x:v>
      </x:c>
      <x:c r="N4826" s="4" t="str">
        <x:v>Sales manager</x:v>
      </x:c>
      <x:c r="O4826" s="4"/>
      <x:c r="P4826" s="9" t="n">
        <x:v>0</x:v>
      </x:c>
      <x:c r="Q4826" s="11" t="n">
        <x:v>0</x:v>
      </x:c>
      <x:c r="R4826" s="8" t="n">
        <x:v>45634</x:v>
      </x:c>
      <x:c r="S4826" s="4" t="str">
        <x:v>Retained</x:v>
      </x:c>
      <x:c r="T4826" s="10" t="n">
        <x:v>0.204152</x:v>
      </x:c>
      <x:c r="U4826" s="4" t="str">
        <x:v>Test</x:v>
      </x:c>
    </x:row>
    <x:row r="4827" ht="34" customHeight="1">
      <x:c r="A4827" s="4" t="str">
        <x:v>RS-04826</x:v>
      </x:c>
      <x:c r="B4827" s="8" t="n">
        <x:v>45575</x:v>
      </x:c>
      <x:c r="C4827" s="4" t="str">
        <x:v>PRJ-006</x:v>
      </x:c>
      <x:c r="D4827" s="4" t="str">
        <x:v>Villa</x:v>
      </x:c>
      <x:c r="E4827" s="4" t="str">
        <x:v>Enquiry</x:v>
      </x:c>
      <x:c r="F4827" s="4" t="str">
        <x:v>CUS-04826</x:v>
      </x:c>
      <x:c r="G4827" s="4" t="str">
        <x:v>UNIT-04826</x:v>
      </x:c>
      <x:c r="H4827" s="9" t="n">
        <x:v>24800000</x:v>
      </x:c>
      <x:c r="I4827" s="10" t="n">
        <x:v>0</x:v>
      </x:c>
      <x:c r="J4827" s="11" t="n">
        <x:v>7</x:v>
      </x:c>
      <x:c r="K4827" s="11" t="n">
        <x:v>7</x:v>
      </x:c>
      <x:c r="L4827" s="11" t="n">
        <x:v>1</x:v>
      </x:c>
      <x:c r="M4827" s="9" t="n">
        <x:f>ROUND(H4827*(1-I4827),2)</x:f>
        <x:v>24800000</x:v>
      </x:c>
      <x:c r="N4827" s="4" t="str">
        <x:v>Sales manager</x:v>
      </x:c>
      <x:c r="O4827" s="4"/>
      <x:c r="P4827" s="9" t="n">
        <x:v>0</x:v>
      </x:c>
      <x:c r="Q4827" s="11" t="n">
        <x:v>0</x:v>
      </x:c>
      <x:c r="R4827" s="8" t="n">
        <x:v>45635</x:v>
      </x:c>
      <x:c r="S4827" s="4" t="str">
        <x:v>Retained</x:v>
      </x:c>
      <x:c r="T4827" s="10" t="n">
        <x:v>0.145299</x:v>
      </x:c>
      <x:c r="U4827" s="4" t="str">
        <x:v>Test</x:v>
      </x:c>
    </x:row>
    <x:row r="4828" ht="34" customHeight="1">
      <x:c r="A4828" s="4" t="str">
        <x:v>RS-04827</x:v>
      </x:c>
      <x:c r="B4828" s="8" t="n">
        <x:v>45576</x:v>
      </x:c>
      <x:c r="C4828" s="4" t="str">
        <x:v>PRJ-007</x:v>
      </x:c>
      <x:c r="D4828" s="4" t="str">
        <x:v>Apartment</x:v>
      </x:c>
      <x:c r="E4828" s="4" t="str">
        <x:v>Booked</x:v>
      </x:c>
      <x:c r="F4828" s="4" t="str">
        <x:v>CUS-04827</x:v>
      </x:c>
      <x:c r="G4828" s="4" t="str">
        <x:v>UNIT-04827</x:v>
      </x:c>
      <x:c r="H4828" s="9" t="n">
        <x:v>6900000</x:v>
      </x:c>
      <x:c r="I4828" s="10" t="n">
        <x:v>0.02</x:v>
      </x:c>
      <x:c r="J4828" s="11" t="n">
        <x:v>11</x:v>
      </x:c>
      <x:c r="K4828" s="11" t="n">
        <x:v>10</x:v>
      </x:c>
      <x:c r="L4828" s="11" t="n">
        <x:v>0</x:v>
      </x:c>
      <x:c r="M4828" s="9" t="n">
        <x:f>ROUND(H4828*(1-I4828),2)</x:f>
        <x:v>6762000</x:v>
      </x:c>
      <x:c r="N4828" s="4" t="str">
        <x:v>Sales manager</x:v>
      </x:c>
      <x:c r="O4828" s="4" t="str">
        <x:v>BOOK-04827</x:v>
      </x:c>
      <x:c r="P4828" s="9" t="n">
        <x:v>6762000</x:v>
      </x:c>
      <x:c r="Q4828" s="11" t="n">
        <x:v>0</x:v>
      </x:c>
      <x:c r="R4828" s="8" t="n">
        <x:v>45636</x:v>
      </x:c>
      <x:c r="S4828" s="4" t="str">
        <x:v>Retained</x:v>
      </x:c>
      <x:c r="T4828" s="10" t="n">
        <x:v>0.305556</x:v>
      </x:c>
      <x:c r="U4828" s="4" t="str">
        <x:v>Test</x:v>
      </x:c>
    </x:row>
    <x:row r="4829" ht="34" customHeight="1">
      <x:c r="A4829" s="4" t="str">
        <x:v>RS-04828</x:v>
      </x:c>
      <x:c r="B4829" s="8" t="n">
        <x:v>45577</x:v>
      </x:c>
      <x:c r="C4829" s="4" t="str">
        <x:v>PRJ-008</x:v>
      </x:c>
      <x:c r="D4829" s="4" t="str">
        <x:v>Apartment</x:v>
      </x:c>
      <x:c r="E4829" s="4" t="str">
        <x:v>Handed over</x:v>
      </x:c>
      <x:c r="F4829" s="4" t="str">
        <x:v>CUS-04828</x:v>
      </x:c>
      <x:c r="G4829" s="4" t="str">
        <x:v>UNIT-04828</x:v>
      </x:c>
      <x:c r="H4829" s="9" t="n">
        <x:v>20200000</x:v>
      </x:c>
      <x:c r="I4829" s="10" t="n">
        <x:v>0.1</x:v>
      </x:c>
      <x:c r="J4829" s="11" t="n">
        <x:v>3</x:v>
      </x:c>
      <x:c r="K4829" s="11" t="n">
        <x:v>5</x:v>
      </x:c>
      <x:c r="L4829" s="11" t="n">
        <x:v>0</x:v>
      </x:c>
      <x:c r="M4829" s="9" t="n">
        <x:f>ROUND(H4829*(1-I4829),2)</x:f>
        <x:v>18180000</x:v>
      </x:c>
      <x:c r="N4829" s="4" t="str">
        <x:v>Sales head</x:v>
      </x:c>
      <x:c r="O4829" s="4" t="str">
        <x:v>BOOK-04828</x:v>
      </x:c>
      <x:c r="P4829" s="9" t="n">
        <x:v>1818000</x:v>
      </x:c>
      <x:c r="Q4829" s="11" t="n">
        <x:v>0</x:v>
      </x:c>
      <x:c r="R4829" s="8" t="n">
        <x:v>45637</x:v>
      </x:c>
      <x:c r="S4829" s="4" t="str">
        <x:v>Retained</x:v>
      </x:c>
      <x:c r="T4829" s="10" t="n">
        <x:v>0.145833</x:v>
      </x:c>
      <x:c r="U4829" s="4" t="str">
        <x:v>Test</x:v>
      </x:c>
    </x:row>
    <x:row r="4830" ht="34" customHeight="1">
      <x:c r="A4830" s="4" t="str">
        <x:v>RS-04829</x:v>
      </x:c>
      <x:c r="B4830" s="8" t="n">
        <x:v>45578</x:v>
      </x:c>
      <x:c r="C4830" s="4" t="str">
        <x:v>PRJ-009</x:v>
      </x:c>
      <x:c r="D4830" s="4" t="str">
        <x:v>Retail</x:v>
      </x:c>
      <x:c r="E4830" s="4" t="str">
        <x:v>Agreement signed</x:v>
      </x:c>
      <x:c r="F4830" s="4" t="str">
        <x:v>CUS-04829</x:v>
      </x:c>
      <x:c r="G4830" s="4" t="str">
        <x:v>UNIT-04829</x:v>
      </x:c>
      <x:c r="H4830" s="9" t="n">
        <x:v>20900000</x:v>
      </x:c>
      <x:c r="I4830" s="10" t="n">
        <x:v>0.1</x:v>
      </x:c>
      <x:c r="J4830" s="11" t="n">
        <x:v>8</x:v>
      </x:c>
      <x:c r="K4830" s="11" t="n">
        <x:v>3</x:v>
      </x:c>
      <x:c r="L4830" s="11" t="n">
        <x:v>1</x:v>
      </x:c>
      <x:c r="M4830" s="9" t="n">
        <x:f>ROUND(H4830*(1-I4830),2)</x:f>
        <x:v>18810000</x:v>
      </x:c>
      <x:c r="N4830" s="4" t="str">
        <x:v>Sales head</x:v>
      </x:c>
      <x:c r="O4830" s="4" t="str">
        <x:v>BOOK-04829</x:v>
      </x:c>
      <x:c r="P4830" s="9" t="n">
        <x:v>4702500</x:v>
      </x:c>
      <x:c r="Q4830" s="11" t="n">
        <x:v>0</x:v>
      </x:c>
      <x:c r="R4830" s="8" t="n">
        <x:v>45638</x:v>
      </x:c>
      <x:c r="S4830" s="4" t="str">
        <x:v>Retained</x:v>
      </x:c>
      <x:c r="T4830" s="10" t="n">
        <x:v>0.310195</x:v>
      </x:c>
      <x:c r="U4830" s="4" t="str">
        <x:v>Test</x:v>
      </x:c>
    </x:row>
    <x:row r="4831" ht="34" customHeight="1">
      <x:c r="A4831" s="4" t="str">
        <x:v>RS-04830</x:v>
      </x:c>
      <x:c r="B4831" s="8" t="n">
        <x:v>45579</x:v>
      </x:c>
      <x:c r="C4831" s="4" t="str">
        <x:v>PRJ-010</x:v>
      </x:c>
      <x:c r="D4831" s="4" t="str">
        <x:v>Apartment</x:v>
      </x:c>
      <x:c r="E4831" s="4" t="str">
        <x:v>Enquiry</x:v>
      </x:c>
      <x:c r="F4831" s="4" t="str">
        <x:v>CUS-04830</x:v>
      </x:c>
      <x:c r="G4831" s="4" t="str">
        <x:v>UNIT-04830</x:v>
      </x:c>
      <x:c r="H4831" s="9" t="n">
        <x:v>5000000</x:v>
      </x:c>
      <x:c r="I4831" s="10" t="n">
        <x:v>0.01</x:v>
      </x:c>
      <x:c r="J4831" s="11" t="n">
        <x:v>5</x:v>
      </x:c>
      <x:c r="K4831" s="11" t="n">
        <x:v>4</x:v>
      </x:c>
      <x:c r="L4831" s="11" t="n">
        <x:v>0</x:v>
      </x:c>
      <x:c r="M4831" s="9" t="n">
        <x:f>ROUND(H4831*(1-I4831),2)</x:f>
        <x:v>4950000</x:v>
      </x:c>
      <x:c r="N4831" s="4" t="str">
        <x:v>Sales manager</x:v>
      </x:c>
      <x:c r="O4831" s="4"/>
      <x:c r="P4831" s="9" t="n">
        <x:v>0</x:v>
      </x:c>
      <x:c r="Q4831" s="11" t="n">
        <x:v>0</x:v>
      </x:c>
      <x:c r="R4831" s="8" t="n">
        <x:v>45639</x:v>
      </x:c>
      <x:c r="S4831" s="4" t="str">
        <x:v>Retained</x:v>
      </x:c>
      <x:c r="T4831" s="10" t="n">
        <x:v>0.298969</x:v>
      </x:c>
      <x:c r="U4831" s="4" t="str">
        <x:v>Test</x:v>
      </x:c>
    </x:row>
    <x:row r="4832" ht="34" customHeight="1">
      <x:c r="A4832" s="4" t="str">
        <x:v>RS-04831</x:v>
      </x:c>
      <x:c r="B4832" s="8" t="n">
        <x:v>45580</x:v>
      </x:c>
      <x:c r="C4832" s="4" t="str">
        <x:v>PRJ-011</x:v>
      </x:c>
      <x:c r="D4832" s="4" t="str">
        <x:v>Villa</x:v>
      </x:c>
      <x:c r="E4832" s="4" t="str">
        <x:v>Reserved</x:v>
      </x:c>
      <x:c r="F4832" s="4" t="str">
        <x:v>CUS-04831</x:v>
      </x:c>
      <x:c r="G4832" s="4" t="str">
        <x:v>UNIT-04831</x:v>
      </x:c>
      <x:c r="H4832" s="9" t="n">
        <x:v>19300000</x:v>
      </x:c>
      <x:c r="I4832" s="10" t="n">
        <x:v>0.02</x:v>
      </x:c>
      <x:c r="J4832" s="11" t="n">
        <x:v>6</x:v>
      </x:c>
      <x:c r="K4832" s="11" t="n">
        <x:v>1</x:v>
      </x:c>
      <x:c r="L4832" s="11" t="n">
        <x:v>0</x:v>
      </x:c>
      <x:c r="M4832" s="9" t="n">
        <x:f>ROUND(H4832*(1-I4832),2)</x:f>
        <x:v>18914000</x:v>
      </x:c>
      <x:c r="N4832" s="4" t="str">
        <x:v>Sales manager</x:v>
      </x:c>
      <x:c r="O4832" s="4"/>
      <x:c r="P4832" s="9" t="n">
        <x:v>0</x:v>
      </x:c>
      <x:c r="Q4832" s="11" t="n">
        <x:v>0</x:v>
      </x:c>
      <x:c r="R4832" s="8" t="n">
        <x:v>45640</x:v>
      </x:c>
      <x:c r="S4832" s="4" t="str">
        <x:v>Retained</x:v>
      </x:c>
      <x:c r="T4832" s="10" t="n">
        <x:v>0.298969</x:v>
      </x:c>
      <x:c r="U4832" s="4" t="str">
        <x:v>Test</x:v>
      </x:c>
    </x:row>
    <x:row r="4833" ht="34" customHeight="1">
      <x:c r="A4833" s="4" t="str">
        <x:v>RS-04832</x:v>
      </x:c>
      <x:c r="B4833" s="8" t="n">
        <x:v>45581</x:v>
      </x:c>
      <x:c r="C4833" s="4" t="str">
        <x:v>PRJ-012</x:v>
      </x:c>
      <x:c r="D4833" s="4" t="str">
        <x:v>Office</x:v>
      </x:c>
      <x:c r="E4833" s="4" t="str">
        <x:v>Handed over</x:v>
      </x:c>
      <x:c r="F4833" s="4" t="str">
        <x:v>CUS-04832</x:v>
      </x:c>
      <x:c r="G4833" s="4" t="str">
        <x:v>UNIT-04832</x:v>
      </x:c>
      <x:c r="H4833" s="9" t="n">
        <x:v>25000000</x:v>
      </x:c>
      <x:c r="I4833" s="10" t="n">
        <x:v>0.04</x:v>
      </x:c>
      <x:c r="J4833" s="11" t="n">
        <x:v>12</x:v>
      </x:c>
      <x:c r="K4833" s="11" t="n">
        <x:v>10</x:v>
      </x:c>
      <x:c r="L4833" s="11" t="n">
        <x:v>0</x:v>
      </x:c>
      <x:c r="M4833" s="9" t="n">
        <x:f>ROUND(H4833*(1-I4833),2)</x:f>
        <x:v>24000000</x:v>
      </x:c>
      <x:c r="N4833" s="4" t="str">
        <x:v>Sales manager</x:v>
      </x:c>
      <x:c r="O4833" s="4" t="str">
        <x:v>BOOK-04832</x:v>
      </x:c>
      <x:c r="P4833" s="9" t="n">
        <x:v>2400000</x:v>
      </x:c>
      <x:c r="Q4833" s="11" t="n">
        <x:v>0</x:v>
      </x:c>
      <x:c r="R4833" s="8" t="n">
        <x:v>45641</x:v>
      </x:c>
      <x:c r="S4833" s="4" t="str">
        <x:v>Retained</x:v>
      </x:c>
      <x:c r="T4833" s="10" t="n">
        <x:v>0.351536</x:v>
      </x:c>
      <x:c r="U4833" s="4" t="str">
        <x:v>Test</x:v>
      </x:c>
    </x:row>
    <x:row r="4834" ht="34" customHeight="1">
      <x:c r="A4834" s="4" t="str">
        <x:v>RS-04833</x:v>
      </x:c>
      <x:c r="B4834" s="8" t="n">
        <x:v>45582</x:v>
      </x:c>
      <x:c r="C4834" s="4" t="str">
        <x:v>PRJ-013</x:v>
      </x:c>
      <x:c r="D4834" s="4" t="str">
        <x:v>Villa</x:v>
      </x:c>
      <x:c r="E4834" s="4" t="str">
        <x:v>Booked</x:v>
      </x:c>
      <x:c r="F4834" s="4" t="str">
        <x:v>CUS-04833</x:v>
      </x:c>
      <x:c r="G4834" s="4" t="str">
        <x:v>UNIT-04833</x:v>
      </x:c>
      <x:c r="H4834" s="9" t="n">
        <x:v>3000000</x:v>
      </x:c>
      <x:c r="I4834" s="10" t="n">
        <x:v>0.01</x:v>
      </x:c>
      <x:c r="J4834" s="11" t="n">
        <x:v>7</x:v>
      </x:c>
      <x:c r="K4834" s="11" t="n">
        <x:v>3</x:v>
      </x:c>
      <x:c r="L4834" s="11" t="n">
        <x:v>1</x:v>
      </x:c>
      <x:c r="M4834" s="9" t="n">
        <x:f>ROUND(H4834*(1-I4834),2)</x:f>
        <x:v>2970000</x:v>
      </x:c>
      <x:c r="N4834" s="4" t="str">
        <x:v>Sales manager</x:v>
      </x:c>
      <x:c r="O4834" s="4" t="str">
        <x:v>BOOK-04833</x:v>
      </x:c>
      <x:c r="P4834" s="9" t="n">
        <x:v>1485000</x:v>
      </x:c>
      <x:c r="Q4834" s="11" t="n">
        <x:v>0</x:v>
      </x:c>
      <x:c r="R4834" s="8" t="n">
        <x:v>45642</x:v>
      </x:c>
      <x:c r="S4834" s="4" t="str">
        <x:v>Retained</x:v>
      </x:c>
      <x:c r="T4834" s="10" t="n">
        <x:v>0.298969</x:v>
      </x:c>
      <x:c r="U4834" s="4" t="str">
        <x:v>Test</x:v>
      </x:c>
    </x:row>
    <x:row r="4835" ht="34" customHeight="1">
      <x:c r="A4835" s="4" t="str">
        <x:v>RS-04834</x:v>
      </x:c>
      <x:c r="B4835" s="8" t="n">
        <x:v>45583</x:v>
      </x:c>
      <x:c r="C4835" s="4" t="str">
        <x:v>PRJ-014</x:v>
      </x:c>
      <x:c r="D4835" s="4" t="str">
        <x:v>Retail</x:v>
      </x:c>
      <x:c r="E4835" s="4" t="str">
        <x:v>Agreement signed</x:v>
      </x:c>
      <x:c r="F4835" s="4" t="str">
        <x:v>CUS-04834</x:v>
      </x:c>
      <x:c r="G4835" s="4" t="str">
        <x:v>UNIT-04834</x:v>
      </x:c>
      <x:c r="H4835" s="9" t="n">
        <x:v>16600000</x:v>
      </x:c>
      <x:c r="I4835" s="10" t="n">
        <x:v>0.04</x:v>
      </x:c>
      <x:c r="J4835" s="11" t="n">
        <x:v>4</x:v>
      </x:c>
      <x:c r="K4835" s="11" t="n">
        <x:v>2</x:v>
      </x:c>
      <x:c r="L4835" s="11" t="n">
        <x:v>1</x:v>
      </x:c>
      <x:c r="M4835" s="9" t="n">
        <x:f>ROUND(H4835*(1-I4835),2)</x:f>
        <x:v>15936000</x:v>
      </x:c>
      <x:c r="N4835" s="4" t="str">
        <x:v>Sales manager</x:v>
      </x:c>
      <x:c r="O4835" s="4" t="str">
        <x:v>BOOK-04834</x:v>
      </x:c>
      <x:c r="P4835" s="9" t="n">
        <x:v>15936000</x:v>
      </x:c>
      <x:c r="Q4835" s="11" t="n">
        <x:v>0</x:v>
      </x:c>
      <x:c r="R4835" s="8" t="n">
        <x:v>45643</x:v>
      </x:c>
      <x:c r="S4835" s="4" t="str">
        <x:v>Retained</x:v>
      </x:c>
      <x:c r="T4835" s="10" t="n">
        <x:v>0.291946</x:v>
      </x:c>
      <x:c r="U4835" s="4" t="str">
        <x:v>Test</x:v>
      </x:c>
    </x:row>
    <x:row r="4836" ht="34" customHeight="1">
      <x:c r="A4836" s="4" t="str">
        <x:v>RS-04835</x:v>
      </x:c>
      <x:c r="B4836" s="8" t="n">
        <x:v>45584</x:v>
      </x:c>
      <x:c r="C4836" s="4" t="str">
        <x:v>PRJ-015</x:v>
      </x:c>
      <x:c r="D4836" s="4" t="str">
        <x:v>Office</x:v>
      </x:c>
      <x:c r="E4836" s="4" t="str">
        <x:v>Handed over</x:v>
      </x:c>
      <x:c r="F4836" s="4" t="str">
        <x:v>CUS-04835</x:v>
      </x:c>
      <x:c r="G4836" s="4" t="str">
        <x:v>UNIT-04835</x:v>
      </x:c>
      <x:c r="H4836" s="9" t="n">
        <x:v>21700000</x:v>
      </x:c>
      <x:c r="I4836" s="10" t="n">
        <x:v>0.02</x:v>
      </x:c>
      <x:c r="J4836" s="11" t="n">
        <x:v>2</x:v>
      </x:c>
      <x:c r="K4836" s="11" t="n">
        <x:v>5</x:v>
      </x:c>
      <x:c r="L4836" s="11" t="n">
        <x:v>0</x:v>
      </x:c>
      <x:c r="M4836" s="9" t="n">
        <x:f>ROUND(H4836*(1-I4836),2)</x:f>
        <x:v>21266000</x:v>
      </x:c>
      <x:c r="N4836" s="4" t="str">
        <x:v>Sales manager</x:v>
      </x:c>
      <x:c r="O4836" s="4" t="str">
        <x:v>BOOK-04835</x:v>
      </x:c>
      <x:c r="P4836" s="9" t="n">
        <x:v>5316500</x:v>
      </x:c>
      <x:c r="Q4836" s="11" t="n">
        <x:v>0</x:v>
      </x:c>
      <x:c r="R4836" s="8" t="n">
        <x:v>45644</x:v>
      </x:c>
      <x:c r="S4836" s="4" t="str">
        <x:v>Retained</x:v>
      </x:c>
      <x:c r="T4836" s="10" t="n">
        <x:v>0.171717</x:v>
      </x:c>
      <x:c r="U4836" s="4" t="str">
        <x:v>Test</x:v>
      </x:c>
    </x:row>
    <x:row r="4837" ht="34" customHeight="1">
      <x:c r="A4837" s="4" t="str">
        <x:v>RS-04836</x:v>
      </x:c>
      <x:c r="B4837" s="8" t="n">
        <x:v>45585</x:v>
      </x:c>
      <x:c r="C4837" s="4" t="str">
        <x:v>PRJ-016</x:v>
      </x:c>
      <x:c r="D4837" s="4" t="str">
        <x:v>Apartment</x:v>
      </x:c>
      <x:c r="E4837" s="4" t="str">
        <x:v>Enquiry</x:v>
      </x:c>
      <x:c r="F4837" s="4" t="str">
        <x:v>CUS-04836</x:v>
      </x:c>
      <x:c r="G4837" s="4" t="str">
        <x:v>UNIT-04836</x:v>
      </x:c>
      <x:c r="H4837" s="9" t="n">
        <x:v>21200000</x:v>
      </x:c>
      <x:c r="I4837" s="10" t="n">
        <x:v>0.04</x:v>
      </x:c>
      <x:c r="J4837" s="11" t="n">
        <x:v>2</x:v>
      </x:c>
      <x:c r="K4837" s="11" t="n">
        <x:v>4</x:v>
      </x:c>
      <x:c r="L4837" s="11" t="n">
        <x:v>1</x:v>
      </x:c>
      <x:c r="M4837" s="9" t="n">
        <x:f>ROUND(H4837*(1-I4837),2)</x:f>
        <x:v>20352000</x:v>
      </x:c>
      <x:c r="N4837" s="4" t="str">
        <x:v>Sales manager</x:v>
      </x:c>
      <x:c r="O4837" s="4"/>
      <x:c r="P4837" s="9" t="n">
        <x:v>0</x:v>
      </x:c>
      <x:c r="Q4837" s="11" t="n">
        <x:v>0</x:v>
      </x:c>
      <x:c r="R4837" s="8" t="n">
        <x:v>45645</x:v>
      </x:c>
      <x:c r="S4837" s="4" t="str">
        <x:v>Retained</x:v>
      </x:c>
      <x:c r="T4837" s="10" t="n">
        <x:v>0.204152</x:v>
      </x:c>
      <x:c r="U4837" s="4" t="str">
        <x:v>Test</x:v>
      </x:c>
    </x:row>
    <x:row r="4838" ht="34" customHeight="1">
      <x:c r="A4838" s="4" t="str">
        <x:v>RS-04837</x:v>
      </x:c>
      <x:c r="B4838" s="8" t="n">
        <x:v>45586</x:v>
      </x:c>
      <x:c r="C4838" s="4" t="str">
        <x:v>PRJ-017</x:v>
      </x:c>
      <x:c r="D4838" s="4" t="str">
        <x:v>Office</x:v>
      </x:c>
      <x:c r="E4838" s="4" t="str">
        <x:v>Handed over</x:v>
      </x:c>
      <x:c r="F4838" s="4" t="str">
        <x:v>CUS-04837</x:v>
      </x:c>
      <x:c r="G4838" s="4" t="str">
        <x:v>UNIT-04837</x:v>
      </x:c>
      <x:c r="H4838" s="9" t="n">
        <x:v>21600000</x:v>
      </x:c>
      <x:c r="I4838" s="10" t="n">
        <x:v>0.07</x:v>
      </x:c>
      <x:c r="J4838" s="11" t="n">
        <x:v>6</x:v>
      </x:c>
      <x:c r="K4838" s="11" t="n">
        <x:v>3</x:v>
      </x:c>
      <x:c r="L4838" s="11" t="n">
        <x:v>1</x:v>
      </x:c>
      <x:c r="M4838" s="9" t="n">
        <x:f>ROUND(H4838*(1-I4838),2)</x:f>
        <x:v>20088000</x:v>
      </x:c>
      <x:c r="N4838" s="4" t="str">
        <x:v>Sales manager</x:v>
      </x:c>
      <x:c r="O4838" s="4" t="str">
        <x:v>BOOK-04837</x:v>
      </x:c>
      <x:c r="P4838" s="9" t="n">
        <x:v>10044000</x:v>
      </x:c>
      <x:c r="Q4838" s="11" t="n">
        <x:v>0</x:v>
      </x:c>
      <x:c r="R4838" s="8" t="n">
        <x:v>45646</x:v>
      </x:c>
      <x:c r="S4838" s="4" t="str">
        <x:v>Retained</x:v>
      </x:c>
      <x:c r="T4838" s="10" t="n">
        <x:v>0.291946</x:v>
      </x:c>
      <x:c r="U4838" s="4" t="str">
        <x:v>Test</x:v>
      </x:c>
    </x:row>
    <x:row r="4839" ht="34" customHeight="1">
      <x:c r="A4839" s="4" t="str">
        <x:v>RS-04838</x:v>
      </x:c>
      <x:c r="B4839" s="8" t="n">
        <x:v>45587</x:v>
      </x:c>
      <x:c r="C4839" s="4" t="str">
        <x:v>PRJ-018</x:v>
      </x:c>
      <x:c r="D4839" s="4" t="str">
        <x:v>Office</x:v>
      </x:c>
      <x:c r="E4839" s="4" t="str">
        <x:v>Booked</x:v>
      </x:c>
      <x:c r="F4839" s="4" t="str">
        <x:v>CUS-04838</x:v>
      </x:c>
      <x:c r="G4839" s="4" t="str">
        <x:v>UNIT-04838</x:v>
      </x:c>
      <x:c r="H4839" s="9" t="n">
        <x:v>16500000</x:v>
      </x:c>
      <x:c r="I4839" s="10" t="n">
        <x:v>0.1</x:v>
      </x:c>
      <x:c r="J4839" s="11" t="n">
        <x:v>4</x:v>
      </x:c>
      <x:c r="K4839" s="11" t="n">
        <x:v>9</x:v>
      </x:c>
      <x:c r="L4839" s="11" t="n">
        <x:v>0</x:v>
      </x:c>
      <x:c r="M4839" s="9" t="n">
        <x:f>ROUND(H4839*(1-I4839),2)</x:f>
        <x:v>14850000</x:v>
      </x:c>
      <x:c r="N4839" s="4" t="str">
        <x:v>Sales head</x:v>
      </x:c>
      <x:c r="O4839" s="4" t="str">
        <x:v>BOOK-04838</x:v>
      </x:c>
      <x:c r="P4839" s="9" t="n">
        <x:v>7425000</x:v>
      </x:c>
      <x:c r="Q4839" s="11" t="n">
        <x:v>0</x:v>
      </x:c>
      <x:c r="R4839" s="8" t="n">
        <x:v>45647</x:v>
      </x:c>
      <x:c r="S4839" s="4" t="str">
        <x:v>Retained</x:v>
      </x:c>
      <x:c r="T4839" s="10" t="n">
        <x:v>0.226277</x:v>
      </x:c>
      <x:c r="U4839" s="4" t="str">
        <x:v>Test</x:v>
      </x:c>
    </x:row>
    <x:row r="4840" ht="34" customHeight="1">
      <x:c r="A4840" s="4" t="str">
        <x:v>RS-04839</x:v>
      </x:c>
      <x:c r="B4840" s="8" t="n">
        <x:v>45588</x:v>
      </x:c>
      <x:c r="C4840" s="4" t="str">
        <x:v>PRJ-019</x:v>
      </x:c>
      <x:c r="D4840" s="4" t="str">
        <x:v>Villa</x:v>
      </x:c>
      <x:c r="E4840" s="4" t="str">
        <x:v>Booked</x:v>
      </x:c>
      <x:c r="F4840" s="4" t="str">
        <x:v>CUS-04839</x:v>
      </x:c>
      <x:c r="G4840" s="4" t="str">
        <x:v>UNIT-04839</x:v>
      </x:c>
      <x:c r="H4840" s="9" t="n">
        <x:v>14200000</x:v>
      </x:c>
      <x:c r="I4840" s="10" t="n">
        <x:v>0.07</x:v>
      </x:c>
      <x:c r="J4840" s="11" t="n">
        <x:v>4</x:v>
      </x:c>
      <x:c r="K4840" s="11" t="n">
        <x:v>4</x:v>
      </x:c>
      <x:c r="L4840" s="11" t="n">
        <x:v>0</x:v>
      </x:c>
      <x:c r="M4840" s="9" t="n">
        <x:f>ROUND(H4840*(1-I4840),2)</x:f>
        <x:v>13206000</x:v>
      </x:c>
      <x:c r="N4840" s="4" t="str">
        <x:v>Sales manager</x:v>
      </x:c>
      <x:c r="O4840" s="4" t="str">
        <x:v>BOOK-04839</x:v>
      </x:c>
      <x:c r="P4840" s="9" t="n">
        <x:v>6603000</x:v>
      </x:c>
      <x:c r="Q4840" s="11" t="n">
        <x:v>0</x:v>
      </x:c>
      <x:c r="R4840" s="8" t="n">
        <x:v>45648</x:v>
      </x:c>
      <x:c r="S4840" s="4" t="str">
        <x:v>Retained</x:v>
      </x:c>
      <x:c r="T4840" s="10" t="n">
        <x:v>0.226277</x:v>
      </x:c>
      <x:c r="U4840" s="4" t="str">
        <x:v>Test</x:v>
      </x:c>
    </x:row>
    <x:row r="4841" ht="34" customHeight="1">
      <x:c r="A4841" s="4" t="str">
        <x:v>RS-04840</x:v>
      </x:c>
      <x:c r="B4841" s="8" t="n">
        <x:v>45589</x:v>
      </x:c>
      <x:c r="C4841" s="4" t="str">
        <x:v>PRJ-020</x:v>
      </x:c>
      <x:c r="D4841" s="4" t="str">
        <x:v>Retail</x:v>
      </x:c>
      <x:c r="E4841" s="4" t="str">
        <x:v>Enquiry</x:v>
      </x:c>
      <x:c r="F4841" s="4" t="str">
        <x:v>CUS-04840</x:v>
      </x:c>
      <x:c r="G4841" s="4" t="str">
        <x:v>UNIT-04840</x:v>
      </x:c>
      <x:c r="H4841" s="9" t="n">
        <x:v>13300000</x:v>
      </x:c>
      <x:c r="I4841" s="10" t="n">
        <x:v>0.06</x:v>
      </x:c>
      <x:c r="J4841" s="11" t="n">
        <x:v>7</x:v>
      </x:c>
      <x:c r="K4841" s="11" t="n">
        <x:v>5</x:v>
      </x:c>
      <x:c r="L4841" s="11" t="n">
        <x:v>1</x:v>
      </x:c>
      <x:c r="M4841" s="9" t="n">
        <x:f>ROUND(H4841*(1-I4841),2)</x:f>
        <x:v>12502000</x:v>
      </x:c>
      <x:c r="N4841" s="4" t="str">
        <x:v>Sales manager</x:v>
      </x:c>
      <x:c r="O4841" s="4"/>
      <x:c r="P4841" s="9" t="n">
        <x:v>0</x:v>
      </x:c>
      <x:c r="Q4841" s="11" t="n">
        <x:v>1</x:v>
      </x:c>
      <x:c r="R4841" s="8" t="n">
        <x:v>45649</x:v>
      </x:c>
      <x:c r="S4841" s="4" t="str">
        <x:v>Lost / cancelled</x:v>
      </x:c>
      <x:c r="T4841" s="10" t="n">
        <x:v>0.291946</x:v>
      </x:c>
      <x:c r="U4841" s="4" t="str">
        <x:v>Test</x:v>
      </x:c>
    </x:row>
    <x:row r="4842" ht="34" customHeight="1">
      <x:c r="A4842" s="4" t="str">
        <x:v>RS-04841</x:v>
      </x:c>
      <x:c r="B4842" s="8" t="n">
        <x:v>45590</x:v>
      </x:c>
      <x:c r="C4842" s="4" t="str">
        <x:v>PRJ-001</x:v>
      </x:c>
      <x:c r="D4842" s="4" t="str">
        <x:v>Apartment</x:v>
      </x:c>
      <x:c r="E4842" s="4" t="str">
        <x:v>Enquiry</x:v>
      </x:c>
      <x:c r="F4842" s="4" t="str">
        <x:v>CUS-04841</x:v>
      </x:c>
      <x:c r="G4842" s="4" t="str">
        <x:v>UNIT-04841</x:v>
      </x:c>
      <x:c r="H4842" s="9" t="n">
        <x:v>16300000</x:v>
      </x:c>
      <x:c r="I4842" s="10" t="n">
        <x:v>0.01</x:v>
      </x:c>
      <x:c r="J4842" s="11" t="n">
        <x:v>0</x:v>
      </x:c>
      <x:c r="K4842" s="11" t="n">
        <x:v>3</x:v>
      </x:c>
      <x:c r="L4842" s="11" t="n">
        <x:v>1</x:v>
      </x:c>
      <x:c r="M4842" s="9" t="n">
        <x:f>ROUND(H4842*(1-I4842),2)</x:f>
        <x:v>16137000</x:v>
      </x:c>
      <x:c r="N4842" s="4" t="str">
        <x:v>Sales manager</x:v>
      </x:c>
      <x:c r="O4842" s="4"/>
      <x:c r="P4842" s="9" t="n">
        <x:v>0</x:v>
      </x:c>
      <x:c r="Q4842" s="11" t="n">
        <x:v>1</x:v>
      </x:c>
      <x:c r="R4842" s="8" t="n">
        <x:v>45650</x:v>
      </x:c>
      <x:c r="S4842" s="4" t="str">
        <x:v>Lost / cancelled</x:v>
      </x:c>
      <x:c r="T4842" s="10" t="n">
        <x:v>0.072165</x:v>
      </x:c>
      <x:c r="U4842" s="4" t="str">
        <x:v>Test</x:v>
      </x:c>
    </x:row>
    <x:row r="4843" ht="34" customHeight="1">
      <x:c r="A4843" s="4" t="str">
        <x:v>RS-04842</x:v>
      </x:c>
      <x:c r="B4843" s="8" t="n">
        <x:v>45591</x:v>
      </x:c>
      <x:c r="C4843" s="4" t="str">
        <x:v>PRJ-002</x:v>
      </x:c>
      <x:c r="D4843" s="4" t="str">
        <x:v>Office</x:v>
      </x:c>
      <x:c r="E4843" s="4" t="str">
        <x:v>Handed over</x:v>
      </x:c>
      <x:c r="F4843" s="4" t="str">
        <x:v>CUS-04842</x:v>
      </x:c>
      <x:c r="G4843" s="4" t="str">
        <x:v>UNIT-04842</x:v>
      </x:c>
      <x:c r="H4843" s="9" t="n">
        <x:v>23900000</x:v>
      </x:c>
      <x:c r="I4843" s="10" t="n">
        <x:v>0.02</x:v>
      </x:c>
      <x:c r="J4843" s="11" t="n">
        <x:v>10</x:v>
      </x:c>
      <x:c r="K4843" s="11" t="n">
        <x:v>8</x:v>
      </x:c>
      <x:c r="L4843" s="11" t="n">
        <x:v>0</x:v>
      </x:c>
      <x:c r="M4843" s="9" t="n">
        <x:f>ROUND(H4843*(1-I4843),2)</x:f>
        <x:v>23422000</x:v>
      </x:c>
      <x:c r="N4843" s="4" t="str">
        <x:v>Sales manager</x:v>
      </x:c>
      <x:c r="O4843" s="4" t="str">
        <x:v>BOOK-04842</x:v>
      </x:c>
      <x:c r="P4843" s="9" t="n">
        <x:v>11711000</x:v>
      </x:c>
      <x:c r="Q4843" s="11" t="n">
        <x:v>0</x:v>
      </x:c>
      <x:c r="R4843" s="8" t="n">
        <x:v>45651</x:v>
      </x:c>
      <x:c r="S4843" s="4" t="str">
        <x:v>Retained</x:v>
      </x:c>
      <x:c r="T4843" s="10" t="n">
        <x:v>0.305556</x:v>
      </x:c>
      <x:c r="U4843" s="4" t="str">
        <x:v>Test</x:v>
      </x:c>
    </x:row>
    <x:row r="4844" ht="34" customHeight="1">
      <x:c r="A4844" s="4" t="str">
        <x:v>RS-04843</x:v>
      </x:c>
      <x:c r="B4844" s="8" t="n">
        <x:v>45592</x:v>
      </x:c>
      <x:c r="C4844" s="4" t="str">
        <x:v>PRJ-003</x:v>
      </x:c>
      <x:c r="D4844" s="4" t="str">
        <x:v>Retail</x:v>
      </x:c>
      <x:c r="E4844" s="4" t="str">
        <x:v>Reserved</x:v>
      </x:c>
      <x:c r="F4844" s="4" t="str">
        <x:v>CUS-04843</x:v>
      </x:c>
      <x:c r="G4844" s="4" t="str">
        <x:v>UNIT-04843</x:v>
      </x:c>
      <x:c r="H4844" s="9" t="n">
        <x:v>22500000</x:v>
      </x:c>
      <x:c r="I4844" s="10" t="n">
        <x:v>0.06</x:v>
      </x:c>
      <x:c r="J4844" s="11" t="n">
        <x:v>2</x:v>
      </x:c>
      <x:c r="K4844" s="11" t="n">
        <x:v>4</x:v>
      </x:c>
      <x:c r="L4844" s="11" t="n">
        <x:v>0</x:v>
      </x:c>
      <x:c r="M4844" s="9" t="n">
        <x:f>ROUND(H4844*(1-I4844),2)</x:f>
        <x:v>21150000</x:v>
      </x:c>
      <x:c r="N4844" s="4" t="str">
        <x:v>Sales manager</x:v>
      </x:c>
      <x:c r="O4844" s="4"/>
      <x:c r="P4844" s="9" t="n">
        <x:v>0</x:v>
      </x:c>
      <x:c r="Q4844" s="11" t="n">
        <x:v>1</x:v>
      </x:c>
      <x:c r="R4844" s="8" t="n">
        <x:v>45652</x:v>
      </x:c>
      <x:c r="S4844" s="4" t="str">
        <x:v>Lost / cancelled</x:v>
      </x:c>
      <x:c r="T4844" s="10" t="n">
        <x:v>0.204152</x:v>
      </x:c>
      <x:c r="U4844" s="4" t="str">
        <x:v>Test</x:v>
      </x:c>
    </x:row>
    <x:row r="4845" ht="34" customHeight="1">
      <x:c r="A4845" s="4" t="str">
        <x:v>RS-04844</x:v>
      </x:c>
      <x:c r="B4845" s="8" t="n">
        <x:v>45593</x:v>
      </x:c>
      <x:c r="C4845" s="4" t="str">
        <x:v>PRJ-004</x:v>
      </x:c>
      <x:c r="D4845" s="4" t="str">
        <x:v>Retail</x:v>
      </x:c>
      <x:c r="E4845" s="4" t="str">
        <x:v>Cancelled</x:v>
      </x:c>
      <x:c r="F4845" s="4" t="str">
        <x:v>CUS-04844</x:v>
      </x:c>
      <x:c r="G4845" s="4" t="str">
        <x:v>UNIT-04844</x:v>
      </x:c>
      <x:c r="H4845" s="9" t="n">
        <x:v>13400000</x:v>
      </x:c>
      <x:c r="I4845" s="10" t="n">
        <x:v>0.05</x:v>
      </x:c>
      <x:c r="J4845" s="11" t="n">
        <x:v>6</x:v>
      </x:c>
      <x:c r="K4845" s="11" t="n">
        <x:v>1</x:v>
      </x:c>
      <x:c r="L4845" s="11" t="n">
        <x:v>1</x:v>
      </x:c>
      <x:c r="M4845" s="9" t="n">
        <x:f>ROUND(H4845*(1-I4845),2)</x:f>
        <x:v>12730000</x:v>
      </x:c>
      <x:c r="N4845" s="4" t="str">
        <x:v>Sales manager</x:v>
      </x:c>
      <x:c r="O4845" s="4"/>
      <x:c r="P4845" s="9" t="n">
        <x:v>0</x:v>
      </x:c>
      <x:c r="Q4845" s="11" t="n">
        <x:v>1</x:v>
      </x:c>
      <x:c r="R4845" s="8" t="n">
        <x:v>45653</x:v>
      </x:c>
      <x:c r="S4845" s="4" t="str">
        <x:v>Lost / cancelled</x:v>
      </x:c>
      <x:c r="T4845" s="10" t="n">
        <x:v>0.291946</x:v>
      </x:c>
      <x:c r="U4845" s="4" t="str">
        <x:v>Test</x:v>
      </x:c>
    </x:row>
    <x:row r="4846" ht="34" customHeight="1">
      <x:c r="A4846" s="4" t="str">
        <x:v>RS-04845</x:v>
      </x:c>
      <x:c r="B4846" s="8" t="n">
        <x:v>45566</x:v>
      </x:c>
      <x:c r="C4846" s="4" t="str">
        <x:v>PRJ-005</x:v>
      </x:c>
      <x:c r="D4846" s="4" t="str">
        <x:v>Villa</x:v>
      </x:c>
      <x:c r="E4846" s="4" t="str">
        <x:v>Cancelled</x:v>
      </x:c>
      <x:c r="F4846" s="4" t="str">
        <x:v>CUS-04845</x:v>
      </x:c>
      <x:c r="G4846" s="4" t="str">
        <x:v>UNIT-04845</x:v>
      </x:c>
      <x:c r="H4846" s="9" t="n">
        <x:v>24900000</x:v>
      </x:c>
      <x:c r="I4846" s="10" t="n">
        <x:v>0.06</x:v>
      </x:c>
      <x:c r="J4846" s="11" t="n">
        <x:v>12</x:v>
      </x:c>
      <x:c r="K4846" s="11" t="n">
        <x:v>6</x:v>
      </x:c>
      <x:c r="L4846" s="11" t="n">
        <x:v>0</x:v>
      </x:c>
      <x:c r="M4846" s="9" t="n">
        <x:f>ROUND(H4846*(1-I4846),2)</x:f>
        <x:v>23406000</x:v>
      </x:c>
      <x:c r="N4846" s="4" t="str">
        <x:v>Sales manager</x:v>
      </x:c>
      <x:c r="O4846" s="4"/>
      <x:c r="P4846" s="9" t="n">
        <x:v>0</x:v>
      </x:c>
      <x:c r="Q4846" s="11" t="n">
        <x:v>1</x:v>
      </x:c>
      <x:c r="R4846" s="8" t="n">
        <x:v>45626</x:v>
      </x:c>
      <x:c r="S4846" s="4" t="str">
        <x:v>Lost / cancelled</x:v>
      </x:c>
      <x:c r="T4846" s="10" t="n">
        <x:v>0.351536</x:v>
      </x:c>
      <x:c r="U4846" s="4" t="str">
        <x:v>Test</x:v>
      </x:c>
    </x:row>
    <x:row r="4847" ht="34" customHeight="1">
      <x:c r="A4847" s="4" t="str">
        <x:v>RS-04846</x:v>
      </x:c>
      <x:c r="B4847" s="8" t="n">
        <x:v>45567</x:v>
      </x:c>
      <x:c r="C4847" s="4" t="str">
        <x:v>PRJ-006</x:v>
      </x:c>
      <x:c r="D4847" s="4" t="str">
        <x:v>Office</x:v>
      </x:c>
      <x:c r="E4847" s="4" t="str">
        <x:v>Handed over</x:v>
      </x:c>
      <x:c r="F4847" s="4" t="str">
        <x:v>CUS-04846</x:v>
      </x:c>
      <x:c r="G4847" s="4" t="str">
        <x:v>UNIT-04846</x:v>
      </x:c>
      <x:c r="H4847" s="9" t="n">
        <x:v>14900000</x:v>
      </x:c>
      <x:c r="I4847" s="10" t="n">
        <x:v>0.02</x:v>
      </x:c>
      <x:c r="J4847" s="11" t="n">
        <x:v>9</x:v>
      </x:c>
      <x:c r="K4847" s="11" t="n">
        <x:v>4</x:v>
      </x:c>
      <x:c r="L4847" s="11" t="n">
        <x:v>1</x:v>
      </x:c>
      <x:c r="M4847" s="9" t="n">
        <x:f>ROUND(H4847*(1-I4847),2)</x:f>
        <x:v>14602000</x:v>
      </x:c>
      <x:c r="N4847" s="4" t="str">
        <x:v>Sales manager</x:v>
      </x:c>
      <x:c r="O4847" s="4" t="str">
        <x:v>BOOK-04846</x:v>
      </x:c>
      <x:c r="P4847" s="9" t="n">
        <x:v>7301000</x:v>
      </x:c>
      <x:c r="Q4847" s="11" t="n">
        <x:v>0</x:v>
      </x:c>
      <x:c r="R4847" s="8" t="n">
        <x:v>45627</x:v>
      </x:c>
      <x:c r="S4847" s="4" t="str">
        <x:v>Retained</x:v>
      </x:c>
      <x:c r="T4847" s="10" t="n">
        <x:v>0.254545</x:v>
      </x:c>
      <x:c r="U4847" s="4" t="str">
        <x:v>Test</x:v>
      </x:c>
    </x:row>
    <x:row r="4848" ht="34" customHeight="1">
      <x:c r="A4848" s="4" t="str">
        <x:v>RS-04847</x:v>
      </x:c>
      <x:c r="B4848" s="8" t="n">
        <x:v>45568</x:v>
      </x:c>
      <x:c r="C4848" s="4" t="str">
        <x:v>PRJ-007</x:v>
      </x:c>
      <x:c r="D4848" s="4" t="str">
        <x:v>Office</x:v>
      </x:c>
      <x:c r="E4848" s="4" t="str">
        <x:v>Cancelled</x:v>
      </x:c>
      <x:c r="F4848" s="4" t="str">
        <x:v>CUS-04847</x:v>
      </x:c>
      <x:c r="G4848" s="4" t="str">
        <x:v>UNIT-04847</x:v>
      </x:c>
      <x:c r="H4848" s="9" t="n">
        <x:v>20400000</x:v>
      </x:c>
      <x:c r="I4848" s="10" t="n">
        <x:v>0.09</x:v>
      </x:c>
      <x:c r="J4848" s="11" t="n">
        <x:v>0</x:v>
      </x:c>
      <x:c r="K4848" s="11" t="n">
        <x:v>7</x:v>
      </x:c>
      <x:c r="L4848" s="11" t="n">
        <x:v>0</x:v>
      </x:c>
      <x:c r="M4848" s="9" t="n">
        <x:f>ROUND(H4848*(1-I4848),2)</x:f>
        <x:v>18564000</x:v>
      </x:c>
      <x:c r="N4848" s="4" t="str">
        <x:v>Sales head</x:v>
      </x:c>
      <x:c r="O4848" s="4"/>
      <x:c r="P4848" s="9" t="n">
        <x:v>0</x:v>
      </x:c>
      <x:c r="Q4848" s="11" t="n">
        <x:v>1</x:v>
      </x:c>
      <x:c r="R4848" s="8" t="n">
        <x:v>45628</x:v>
      </x:c>
      <x:c r="S4848" s="4" t="str">
        <x:v>Lost / cancelled</x:v>
      </x:c>
      <x:c r="T4848" s="10" t="n">
        <x:v>0.145833</x:v>
      </x:c>
      <x:c r="U4848" s="4" t="str">
        <x:v>Test</x:v>
      </x:c>
    </x:row>
    <x:row r="4849" ht="34" customHeight="1">
      <x:c r="A4849" s="4" t="str">
        <x:v>RS-04848</x:v>
      </x:c>
      <x:c r="B4849" s="8" t="n">
        <x:v>45569</x:v>
      </x:c>
      <x:c r="C4849" s="4" t="str">
        <x:v>PRJ-008</x:v>
      </x:c>
      <x:c r="D4849" s="4" t="str">
        <x:v>Villa</x:v>
      </x:c>
      <x:c r="E4849" s="4" t="str">
        <x:v>Reserved</x:v>
      </x:c>
      <x:c r="F4849" s="4" t="str">
        <x:v>CUS-04848</x:v>
      </x:c>
      <x:c r="G4849" s="4" t="str">
        <x:v>UNIT-04848</x:v>
      </x:c>
      <x:c r="H4849" s="9" t="n">
        <x:v>4300000</x:v>
      </x:c>
      <x:c r="I4849" s="10" t="n">
        <x:v>0.03</x:v>
      </x:c>
      <x:c r="J4849" s="11" t="n">
        <x:v>7</x:v>
      </x:c>
      <x:c r="K4849" s="11" t="n">
        <x:v>1</x:v>
      </x:c>
      <x:c r="L4849" s="11" t="n">
        <x:v>1</x:v>
      </x:c>
      <x:c r="M4849" s="9" t="n">
        <x:f>ROUND(H4849*(1-I4849),2)</x:f>
        <x:v>4171000</x:v>
      </x:c>
      <x:c r="N4849" s="4" t="str">
        <x:v>Sales manager</x:v>
      </x:c>
      <x:c r="O4849" s="4"/>
      <x:c r="P4849" s="9" t="n">
        <x:v>0</x:v>
      </x:c>
      <x:c r="Q4849" s="11" t="n">
        <x:v>0</x:v>
      </x:c>
      <x:c r="R4849" s="8" t="n">
        <x:v>45629</x:v>
      </x:c>
      <x:c r="S4849" s="4" t="str">
        <x:v>Retained</x:v>
      </x:c>
      <x:c r="T4849" s="10" t="n">
        <x:v>0.298969</x:v>
      </x:c>
      <x:c r="U4849" s="4" t="str">
        <x:v>Test</x:v>
      </x:c>
    </x:row>
    <x:row r="4850" ht="34" customHeight="1">
      <x:c r="A4850" s="4" t="str">
        <x:v>RS-04849</x:v>
      </x:c>
      <x:c r="B4850" s="8" t="n">
        <x:v>45570</x:v>
      </x:c>
      <x:c r="C4850" s="4" t="str">
        <x:v>PRJ-009</x:v>
      </x:c>
      <x:c r="D4850" s="4" t="str">
        <x:v>Office</x:v>
      </x:c>
      <x:c r="E4850" s="4" t="str">
        <x:v>Handed over</x:v>
      </x:c>
      <x:c r="F4850" s="4" t="str">
        <x:v>CUS-04849</x:v>
      </x:c>
      <x:c r="G4850" s="4" t="str">
        <x:v>UNIT-04849</x:v>
      </x:c>
      <x:c r="H4850" s="9" t="n">
        <x:v>18800000</x:v>
      </x:c>
      <x:c r="I4850" s="10" t="n">
        <x:v>0.1</x:v>
      </x:c>
      <x:c r="J4850" s="11" t="n">
        <x:v>6</x:v>
      </x:c>
      <x:c r="K4850" s="11" t="n">
        <x:v>2</x:v>
      </x:c>
      <x:c r="L4850" s="11" t="n">
        <x:v>1</x:v>
      </x:c>
      <x:c r="M4850" s="9" t="n">
        <x:f>ROUND(H4850*(1-I4850),2)</x:f>
        <x:v>16920000</x:v>
      </x:c>
      <x:c r="N4850" s="4" t="str">
        <x:v>Sales head</x:v>
      </x:c>
      <x:c r="O4850" s="4" t="str">
        <x:v>BOOK-04849</x:v>
      </x:c>
      <x:c r="P4850" s="9" t="n">
        <x:v>1692000</x:v>
      </x:c>
      <x:c r="Q4850" s="11" t="n">
        <x:v>0</x:v>
      </x:c>
      <x:c r="R4850" s="8" t="n">
        <x:v>45630</x:v>
      </x:c>
      <x:c r="S4850" s="4" t="str">
        <x:v>Retained</x:v>
      </x:c>
      <x:c r="T4850" s="10" t="n">
        <x:v>0.291946</x:v>
      </x:c>
      <x:c r="U4850" s="4" t="str">
        <x:v>Test</x:v>
      </x:c>
    </x:row>
    <x:row r="4851" ht="34" customHeight="1">
      <x:c r="A4851" s="4" t="str">
        <x:v>RS-04850</x:v>
      </x:c>
      <x:c r="B4851" s="8" t="n">
        <x:v>45571</x:v>
      </x:c>
      <x:c r="C4851" s="4" t="str">
        <x:v>PRJ-010</x:v>
      </x:c>
      <x:c r="D4851" s="4" t="str">
        <x:v>Retail</x:v>
      </x:c>
      <x:c r="E4851" s="4" t="str">
        <x:v>Cancelled</x:v>
      </x:c>
      <x:c r="F4851" s="4" t="str">
        <x:v>CUS-04850</x:v>
      </x:c>
      <x:c r="G4851" s="4" t="str">
        <x:v>UNIT-04850</x:v>
      </x:c>
      <x:c r="H4851" s="9" t="n">
        <x:v>14200000</x:v>
      </x:c>
      <x:c r="I4851" s="10" t="n">
        <x:v>0.09</x:v>
      </x:c>
      <x:c r="J4851" s="11" t="n">
        <x:v>2</x:v>
      </x:c>
      <x:c r="K4851" s="11" t="n">
        <x:v>10</x:v>
      </x:c>
      <x:c r="L4851" s="11" t="n">
        <x:v>1</x:v>
      </x:c>
      <x:c r="M4851" s="9" t="n">
        <x:f>ROUND(H4851*(1-I4851),2)</x:f>
        <x:v>12922000</x:v>
      </x:c>
      <x:c r="N4851" s="4" t="str">
        <x:v>Sales head</x:v>
      </x:c>
      <x:c r="O4851" s="4"/>
      <x:c r="P4851" s="9" t="n">
        <x:v>0</x:v>
      </x:c>
      <x:c r="Q4851" s="11" t="n">
        <x:v>1</x:v>
      </x:c>
      <x:c r="R4851" s="8" t="n">
        <x:v>45631</x:v>
      </x:c>
      <x:c r="S4851" s="4" t="str">
        <x:v>Lost / cancelled</x:v>
      </x:c>
      <x:c r="T4851" s="10" t="n">
        <x:v>0.145833</x:v>
      </x:c>
      <x:c r="U4851" s="4" t="str">
        <x:v>Test</x:v>
      </x:c>
    </x:row>
    <x:row r="4852" ht="34" customHeight="1">
      <x:c r="A4852" s="4" t="str">
        <x:v>RS-04851</x:v>
      </x:c>
      <x:c r="B4852" s="8" t="n">
        <x:v>45572</x:v>
      </x:c>
      <x:c r="C4852" s="4" t="str">
        <x:v>PRJ-011</x:v>
      </x:c>
      <x:c r="D4852" s="4" t="str">
        <x:v>Office</x:v>
      </x:c>
      <x:c r="E4852" s="4" t="str">
        <x:v>Cancelled</x:v>
      </x:c>
      <x:c r="F4852" s="4" t="str">
        <x:v>CUS-04851</x:v>
      </x:c>
      <x:c r="G4852" s="4" t="str">
        <x:v>UNIT-04851</x:v>
      </x:c>
      <x:c r="H4852" s="9" t="n">
        <x:v>16400000</x:v>
      </x:c>
      <x:c r="I4852" s="10" t="n">
        <x:v>0.04</x:v>
      </x:c>
      <x:c r="J4852" s="11" t="n">
        <x:v>3</x:v>
      </x:c>
      <x:c r="K4852" s="11" t="n">
        <x:v>7</x:v>
      </x:c>
      <x:c r="L4852" s="11" t="n">
        <x:v>1</x:v>
      </x:c>
      <x:c r="M4852" s="9" t="n">
        <x:f>ROUND(H4852*(1-I4852),2)</x:f>
        <x:v>15744000</x:v>
      </x:c>
      <x:c r="N4852" s="4" t="str">
        <x:v>Sales manager</x:v>
      </x:c>
      <x:c r="O4852" s="4"/>
      <x:c r="P4852" s="9" t="n">
        <x:v>0</x:v>
      </x:c>
      <x:c r="Q4852" s="11" t="n">
        <x:v>1</x:v>
      </x:c>
      <x:c r="R4852" s="8" t="n">
        <x:v>45632</x:v>
      </x:c>
      <x:c r="S4852" s="4" t="str">
        <x:v>Lost / cancelled</x:v>
      </x:c>
      <x:c r="T4852" s="10" t="n">
        <x:v>0.204152</x:v>
      </x:c>
      <x:c r="U4852" s="4" t="str">
        <x:v>Test</x:v>
      </x:c>
    </x:row>
    <x:row r="4853" ht="34" customHeight="1">
      <x:c r="A4853" s="4" t="str">
        <x:v>RS-04852</x:v>
      </x:c>
      <x:c r="B4853" s="8" t="n">
        <x:v>45573</x:v>
      </x:c>
      <x:c r="C4853" s="4" t="str">
        <x:v>PRJ-012</x:v>
      </x:c>
      <x:c r="D4853" s="4" t="str">
        <x:v>Apartment</x:v>
      </x:c>
      <x:c r="E4853" s="4" t="str">
        <x:v>Reserved</x:v>
      </x:c>
      <x:c r="F4853" s="4" t="str">
        <x:v>CUS-04852</x:v>
      </x:c>
      <x:c r="G4853" s="4" t="str">
        <x:v>UNIT-04852</x:v>
      </x:c>
      <x:c r="H4853" s="9" t="n">
        <x:v>4200000</x:v>
      </x:c>
      <x:c r="I4853" s="10" t="n">
        <x:v>0.12</x:v>
      </x:c>
      <x:c r="J4853" s="11" t="n">
        <x:v>2</x:v>
      </x:c>
      <x:c r="K4853" s="11" t="n">
        <x:v>6</x:v>
      </x:c>
      <x:c r="L4853" s="11" t="n">
        <x:v>1</x:v>
      </x:c>
      <x:c r="M4853" s="9" t="n">
        <x:f>ROUND(H4853*(1-I4853),2)</x:f>
        <x:v>3696000</x:v>
      </x:c>
      <x:c r="N4853" s="4" t="str">
        <x:v>Sales head</x:v>
      </x:c>
      <x:c r="O4853" s="4"/>
      <x:c r="P4853" s="9" t="n">
        <x:v>0</x:v>
      </x:c>
      <x:c r="Q4853" s="11" t="n">
        <x:v>0</x:v>
      </x:c>
      <x:c r="R4853" s="8" t="n">
        <x:v>45633</x:v>
      </x:c>
      <x:c r="S4853" s="4" t="str">
        <x:v>Retained</x:v>
      </x:c>
      <x:c r="T4853" s="10" t="n">
        <x:v>0.145833</x:v>
      </x:c>
      <x:c r="U4853" s="4" t="str">
        <x:v>Test</x:v>
      </x:c>
    </x:row>
    <x:row r="4854" ht="34" customHeight="1">
      <x:c r="A4854" s="4" t="str">
        <x:v>RS-04853</x:v>
      </x:c>
      <x:c r="B4854" s="8" t="n">
        <x:v>45574</x:v>
      </x:c>
      <x:c r="C4854" s="4" t="str">
        <x:v>PRJ-013</x:v>
      </x:c>
      <x:c r="D4854" s="4" t="str">
        <x:v>Office</x:v>
      </x:c>
      <x:c r="E4854" s="4" t="str">
        <x:v>Handed over</x:v>
      </x:c>
      <x:c r="F4854" s="4" t="str">
        <x:v>CUS-04853</x:v>
      </x:c>
      <x:c r="G4854" s="4" t="str">
        <x:v>UNIT-04853</x:v>
      </x:c>
      <x:c r="H4854" s="9" t="n">
        <x:v>8000000</x:v>
      </x:c>
      <x:c r="I4854" s="10" t="n">
        <x:v>0.07</x:v>
      </x:c>
      <x:c r="J4854" s="11" t="n">
        <x:v>1</x:v>
      </x:c>
      <x:c r="K4854" s="11" t="n">
        <x:v>10</x:v>
      </x:c>
      <x:c r="L4854" s="11" t="n">
        <x:v>1</x:v>
      </x:c>
      <x:c r="M4854" s="9" t="n">
        <x:f>ROUND(H4854*(1-I4854),2)</x:f>
        <x:v>7440000</x:v>
      </x:c>
      <x:c r="N4854" s="4" t="str">
        <x:v>Sales manager</x:v>
      </x:c>
      <x:c r="O4854" s="4" t="str">
        <x:v>BOOK-04853</x:v>
      </x:c>
      <x:c r="P4854" s="9" t="n">
        <x:v>7440000</x:v>
      </x:c>
      <x:c r="Q4854" s="11" t="n">
        <x:v>0</x:v>
      </x:c>
      <x:c r="R4854" s="8" t="n">
        <x:v>45634</x:v>
      </x:c>
      <x:c r="S4854" s="4" t="str">
        <x:v>Retained</x:v>
      </x:c>
      <x:c r="T4854" s="10" t="n">
        <x:v>0.204152</x:v>
      </x:c>
      <x:c r="U4854" s="4" t="str">
        <x:v>Test</x:v>
      </x:c>
    </x:row>
    <x:row r="4855" ht="34" customHeight="1">
      <x:c r="A4855" s="4" t="str">
        <x:v>RS-04854</x:v>
      </x:c>
      <x:c r="B4855" s="8" t="n">
        <x:v>45575</x:v>
      </x:c>
      <x:c r="C4855" s="4" t="str">
        <x:v>PRJ-014</x:v>
      </x:c>
      <x:c r="D4855" s="4" t="str">
        <x:v>Apartment</x:v>
      </x:c>
      <x:c r="E4855" s="4" t="str">
        <x:v>Reserved</x:v>
      </x:c>
      <x:c r="F4855" s="4" t="str">
        <x:v>CUS-04854</x:v>
      </x:c>
      <x:c r="G4855" s="4" t="str">
        <x:v>UNIT-04854</x:v>
      </x:c>
      <x:c r="H4855" s="9" t="n">
        <x:v>7900000</x:v>
      </x:c>
      <x:c r="I4855" s="10" t="n">
        <x:v>0.11</x:v>
      </x:c>
      <x:c r="J4855" s="11" t="n">
        <x:v>12</x:v>
      </x:c>
      <x:c r="K4855" s="11" t="n">
        <x:v>5</x:v>
      </x:c>
      <x:c r="L4855" s="11" t="n">
        <x:v>0</x:v>
      </x:c>
      <x:c r="M4855" s="9" t="n">
        <x:f>ROUND(H4855*(1-I4855),2)</x:f>
        <x:v>7031000</x:v>
      </x:c>
      <x:c r="N4855" s="4" t="str">
        <x:v>Sales head</x:v>
      </x:c>
      <x:c r="O4855" s="4"/>
      <x:c r="P4855" s="9" t="n">
        <x:v>0</x:v>
      </x:c>
      <x:c r="Q4855" s="11" t="n">
        <x:v>0</x:v>
      </x:c>
      <x:c r="R4855" s="8" t="n">
        <x:v>45635</x:v>
      </x:c>
      <x:c r="S4855" s="4" t="str">
        <x:v>Retained</x:v>
      </x:c>
      <x:c r="T4855" s="10" t="n">
        <x:v>0.351536</x:v>
      </x:c>
      <x:c r="U4855" s="4" t="str">
        <x:v>Test</x:v>
      </x:c>
    </x:row>
    <x:row r="4856" ht="34" customHeight="1">
      <x:c r="A4856" s="4" t="str">
        <x:v>RS-04855</x:v>
      </x:c>
      <x:c r="B4856" s="8" t="n">
        <x:v>45576</x:v>
      </x:c>
      <x:c r="C4856" s="4" t="str">
        <x:v>PRJ-015</x:v>
      </x:c>
      <x:c r="D4856" s="4" t="str">
        <x:v>Retail</x:v>
      </x:c>
      <x:c r="E4856" s="4" t="str">
        <x:v>Agreement signed</x:v>
      </x:c>
      <x:c r="F4856" s="4" t="str">
        <x:v>CUS-04855</x:v>
      </x:c>
      <x:c r="G4856" s="4" t="str">
        <x:v>UNIT-04855</x:v>
      </x:c>
      <x:c r="H4856" s="9" t="n">
        <x:v>5500000</x:v>
      </x:c>
      <x:c r="I4856" s="10" t="n">
        <x:v>0.05</x:v>
      </x:c>
      <x:c r="J4856" s="11" t="n">
        <x:v>2</x:v>
      </x:c>
      <x:c r="K4856" s="11" t="n">
        <x:v>9</x:v>
      </x:c>
      <x:c r="L4856" s="11" t="n">
        <x:v>0</x:v>
      </x:c>
      <x:c r="M4856" s="9" t="n">
        <x:f>ROUND(H4856*(1-I4856),2)</x:f>
        <x:v>5225000</x:v>
      </x:c>
      <x:c r="N4856" s="4" t="str">
        <x:v>Sales manager</x:v>
      </x:c>
      <x:c r="O4856" s="4" t="str">
        <x:v>BOOK-04855</x:v>
      </x:c>
      <x:c r="P4856" s="9" t="n">
        <x:v>522500</x:v>
      </x:c>
      <x:c r="Q4856" s="11" t="n">
        <x:v>0</x:v>
      </x:c>
      <x:c r="R4856" s="8" t="n">
        <x:v>45636</x:v>
      </x:c>
      <x:c r="S4856" s="4" t="str">
        <x:v>Retained</x:v>
      </x:c>
      <x:c r="T4856" s="10" t="n">
        <x:v>0.204152</x:v>
      </x:c>
      <x:c r="U4856" s="4" t="str">
        <x:v>Test</x:v>
      </x:c>
    </x:row>
    <x:row r="4857" ht="34" customHeight="1">
      <x:c r="A4857" s="4" t="str">
        <x:v>RS-04856</x:v>
      </x:c>
      <x:c r="B4857" s="8" t="n">
        <x:v>45577</x:v>
      </x:c>
      <x:c r="C4857" s="4" t="str">
        <x:v>PRJ-016</x:v>
      </x:c>
      <x:c r="D4857" s="4" t="str">
        <x:v>Retail</x:v>
      </x:c>
      <x:c r="E4857" s="4" t="str">
        <x:v>Handed over</x:v>
      </x:c>
      <x:c r="F4857" s="4" t="str">
        <x:v>CUS-04856</x:v>
      </x:c>
      <x:c r="G4857" s="4" t="str">
        <x:v>UNIT-04856</x:v>
      </x:c>
      <x:c r="H4857" s="9" t="n">
        <x:v>18800000</x:v>
      </x:c>
      <x:c r="I4857" s="10" t="n">
        <x:v>0.12</x:v>
      </x:c>
      <x:c r="J4857" s="11" t="n">
        <x:v>3</x:v>
      </x:c>
      <x:c r="K4857" s="11" t="n">
        <x:v>7</x:v>
      </x:c>
      <x:c r="L4857" s="11" t="n">
        <x:v>0</x:v>
      </x:c>
      <x:c r="M4857" s="9" t="n">
        <x:f>ROUND(H4857*(1-I4857),2)</x:f>
        <x:v>16544000</x:v>
      </x:c>
      <x:c r="N4857" s="4" t="str">
        <x:v>Sales head</x:v>
      </x:c>
      <x:c r="O4857" s="4" t="str">
        <x:v>BOOK-04856</x:v>
      </x:c>
      <x:c r="P4857" s="9" t="n">
        <x:v>8272000</x:v>
      </x:c>
      <x:c r="Q4857" s="11" t="n">
        <x:v>0</x:v>
      </x:c>
      <x:c r="R4857" s="8" t="n">
        <x:v>45637</x:v>
      </x:c>
      <x:c r="S4857" s="4" t="str">
        <x:v>Retained</x:v>
      </x:c>
      <x:c r="T4857" s="10" t="n">
        <x:v>0.145833</x:v>
      </x:c>
      <x:c r="U4857" s="4" t="str">
        <x:v>Test</x:v>
      </x:c>
    </x:row>
    <x:row r="4858" ht="34" customHeight="1">
      <x:c r="A4858" s="4" t="str">
        <x:v>RS-04857</x:v>
      </x:c>
      <x:c r="B4858" s="8" t="n">
        <x:v>45578</x:v>
      </x:c>
      <x:c r="C4858" s="4" t="str">
        <x:v>PRJ-017</x:v>
      </x:c>
      <x:c r="D4858" s="4" t="str">
        <x:v>Retail</x:v>
      </x:c>
      <x:c r="E4858" s="4" t="str">
        <x:v>Cancelled</x:v>
      </x:c>
      <x:c r="F4858" s="4" t="str">
        <x:v>CUS-04857</x:v>
      </x:c>
      <x:c r="G4858" s="4" t="str">
        <x:v>UNIT-04857</x:v>
      </x:c>
      <x:c r="H4858" s="9" t="n">
        <x:v>15700000</x:v>
      </x:c>
      <x:c r="I4858" s="10" t="n">
        <x:v>0.05</x:v>
      </x:c>
      <x:c r="J4858" s="11" t="n">
        <x:v>2</x:v>
      </x:c>
      <x:c r="K4858" s="11" t="n">
        <x:v>0</x:v>
      </x:c>
      <x:c r="L4858" s="11" t="n">
        <x:v>1</x:v>
      </x:c>
      <x:c r="M4858" s="9" t="n">
        <x:f>ROUND(H4858*(1-I4858),2)</x:f>
        <x:v>14915000</x:v>
      </x:c>
      <x:c r="N4858" s="4" t="str">
        <x:v>Sales manager</x:v>
      </x:c>
      <x:c r="O4858" s="4"/>
      <x:c r="P4858" s="9" t="n">
        <x:v>0</x:v>
      </x:c>
      <x:c r="Q4858" s="11" t="n">
        <x:v>1</x:v>
      </x:c>
      <x:c r="R4858" s="8" t="n">
        <x:v>45638</x:v>
      </x:c>
      <x:c r="S4858" s="4" t="str">
        <x:v>Lost / cancelled</x:v>
      </x:c>
      <x:c r="T4858" s="10" t="n">
        <x:v>0.276923</x:v>
      </x:c>
      <x:c r="U4858" s="4" t="str">
        <x:v>Test</x:v>
      </x:c>
    </x:row>
    <x:row r="4859" ht="34" customHeight="1">
      <x:c r="A4859" s="4" t="str">
        <x:v>RS-04858</x:v>
      </x:c>
      <x:c r="B4859" s="8" t="n">
        <x:v>45579</x:v>
      </x:c>
      <x:c r="C4859" s="4" t="str">
        <x:v>PRJ-018</x:v>
      </x:c>
      <x:c r="D4859" s="4" t="str">
        <x:v>Apartment</x:v>
      </x:c>
      <x:c r="E4859" s="4" t="str">
        <x:v>Agreement signed</x:v>
      </x:c>
      <x:c r="F4859" s="4" t="str">
        <x:v>CUS-04858</x:v>
      </x:c>
      <x:c r="G4859" s="4" t="str">
        <x:v>UNIT-04858</x:v>
      </x:c>
      <x:c r="H4859" s="9" t="n">
        <x:v>12400000</x:v>
      </x:c>
      <x:c r="I4859" s="10" t="n">
        <x:v>0.09</x:v>
      </x:c>
      <x:c r="J4859" s="11" t="n">
        <x:v>1</x:v>
      </x:c>
      <x:c r="K4859" s="11" t="n">
        <x:v>2</x:v>
      </x:c>
      <x:c r="L4859" s="11" t="n">
        <x:v>0</x:v>
      </x:c>
      <x:c r="M4859" s="9" t="n">
        <x:f>ROUND(H4859*(1-I4859),2)</x:f>
        <x:v>11284000</x:v>
      </x:c>
      <x:c r="N4859" s="4" t="str">
        <x:v>Sales head</x:v>
      </x:c>
      <x:c r="O4859" s="4" t="str">
        <x:v>BOOK-04858</x:v>
      </x:c>
      <x:c r="P4859" s="9" t="n">
        <x:v>1128400</x:v>
      </x:c>
      <x:c r="Q4859" s="11" t="n">
        <x:v>0</x:v>
      </x:c>
      <x:c r="R4859" s="8" t="n">
        <x:v>45639</x:v>
      </x:c>
      <x:c r="S4859" s="4" t="str">
        <x:v>Retained</x:v>
      </x:c>
      <x:c r="T4859" s="10" t="n">
        <x:v>0.145833</x:v>
      </x:c>
      <x:c r="U4859" s="4" t="str">
        <x:v>Test</x:v>
      </x:c>
    </x:row>
    <x:row r="4860" ht="34" customHeight="1">
      <x:c r="A4860" s="4" t="str">
        <x:v>RS-04859</x:v>
      </x:c>
      <x:c r="B4860" s="8" t="n">
        <x:v>45580</x:v>
      </x:c>
      <x:c r="C4860" s="4" t="str">
        <x:v>PRJ-019</x:v>
      </x:c>
      <x:c r="D4860" s="4" t="str">
        <x:v>Apartment</x:v>
      </x:c>
      <x:c r="E4860" s="4" t="str">
        <x:v>Booked</x:v>
      </x:c>
      <x:c r="F4860" s="4" t="str">
        <x:v>CUS-04859</x:v>
      </x:c>
      <x:c r="G4860" s="4" t="str">
        <x:v>UNIT-04859</x:v>
      </x:c>
      <x:c r="H4860" s="9" t="n">
        <x:v>15000000</x:v>
      </x:c>
      <x:c r="I4860" s="10" t="n">
        <x:v>0.08</x:v>
      </x:c>
      <x:c r="J4860" s="11" t="n">
        <x:v>0</x:v>
      </x:c>
      <x:c r="K4860" s="11" t="n">
        <x:v>3</x:v>
      </x:c>
      <x:c r="L4860" s="11" t="n">
        <x:v>0</x:v>
      </x:c>
      <x:c r="M4860" s="9" t="n">
        <x:f>ROUND(H4860*(1-I4860),2)</x:f>
        <x:v>13800000</x:v>
      </x:c>
      <x:c r="N4860" s="4" t="str">
        <x:v>Sales head</x:v>
      </x:c>
      <x:c r="O4860" s="4" t="str">
        <x:v>BOOK-04859</x:v>
      </x:c>
      <x:c r="P4860" s="9" t="n">
        <x:v>1380000</x:v>
      </x:c>
      <x:c r="Q4860" s="11" t="n">
        <x:v>0</x:v>
      </x:c>
      <x:c r="R4860" s="8" t="n">
        <x:v>45640</x:v>
      </x:c>
      <x:c r="S4860" s="4" t="str">
        <x:v>Retained</x:v>
      </x:c>
      <x:c r="T4860" s="10" t="n">
        <x:v>0.204152</x:v>
      </x:c>
      <x:c r="U4860" s="4" t="str">
        <x:v>Test</x:v>
      </x:c>
    </x:row>
    <x:row r="4861" ht="34" customHeight="1">
      <x:c r="A4861" s="4" t="str">
        <x:v>RS-04860</x:v>
      </x:c>
      <x:c r="B4861" s="8" t="n">
        <x:v>45581</x:v>
      </x:c>
      <x:c r="C4861" s="4" t="str">
        <x:v>PRJ-020</x:v>
      </x:c>
      <x:c r="D4861" s="4" t="str">
        <x:v>Office</x:v>
      </x:c>
      <x:c r="E4861" s="4" t="str">
        <x:v>Cancelled</x:v>
      </x:c>
      <x:c r="F4861" s="4" t="str">
        <x:v>CUS-04860</x:v>
      </x:c>
      <x:c r="G4861" s="4" t="str">
        <x:v>UNIT-04860</x:v>
      </x:c>
      <x:c r="H4861" s="9" t="n">
        <x:v>18100000</x:v>
      </x:c>
      <x:c r="I4861" s="10" t="n">
        <x:v>0.03</x:v>
      </x:c>
      <x:c r="J4861" s="11" t="n">
        <x:v>7</x:v>
      </x:c>
      <x:c r="K4861" s="11" t="n">
        <x:v>4</x:v>
      </x:c>
      <x:c r="L4861" s="11" t="n">
        <x:v>1</x:v>
      </x:c>
      <x:c r="M4861" s="9" t="n">
        <x:f>ROUND(H4861*(1-I4861),2)</x:f>
        <x:v>17557000</x:v>
      </x:c>
      <x:c r="N4861" s="4" t="str">
        <x:v>Sales manager</x:v>
      </x:c>
      <x:c r="O4861" s="4"/>
      <x:c r="P4861" s="9" t="n">
        <x:v>0</x:v>
      </x:c>
      <x:c r="Q4861" s="11" t="n">
        <x:v>1</x:v>
      </x:c>
      <x:c r="R4861" s="8" t="n">
        <x:v>45641</x:v>
      </x:c>
      <x:c r="S4861" s="4" t="str">
        <x:v>Lost / cancelled</x:v>
      </x:c>
      <x:c r="T4861" s="10" t="n">
        <x:v>0.298969</x:v>
      </x:c>
      <x:c r="U4861" s="4" t="str">
        <x:v>Test</x:v>
      </x:c>
    </x:row>
    <x:row r="4862" ht="34" customHeight="1">
      <x:c r="A4862" s="4" t="str">
        <x:v>RS-04861</x:v>
      </x:c>
      <x:c r="B4862" s="8" t="n">
        <x:v>45582</x:v>
      </x:c>
      <x:c r="C4862" s="4" t="str">
        <x:v>PRJ-001</x:v>
      </x:c>
      <x:c r="D4862" s="4" t="str">
        <x:v>Apartment</x:v>
      </x:c>
      <x:c r="E4862" s="4" t="str">
        <x:v>Handed over</x:v>
      </x:c>
      <x:c r="F4862" s="4" t="str">
        <x:v>CUS-04861</x:v>
      </x:c>
      <x:c r="G4862" s="4" t="str">
        <x:v>UNIT-04861</x:v>
      </x:c>
      <x:c r="H4862" s="9" t="n">
        <x:v>11000000</x:v>
      </x:c>
      <x:c r="I4862" s="10" t="n">
        <x:v>0.07</x:v>
      </x:c>
      <x:c r="J4862" s="11" t="n">
        <x:v>1</x:v>
      </x:c>
      <x:c r="K4862" s="11" t="n">
        <x:v>10</x:v>
      </x:c>
      <x:c r="L4862" s="11" t="n">
        <x:v>0</x:v>
      </x:c>
      <x:c r="M4862" s="9" t="n">
        <x:f>ROUND(H4862*(1-I4862),2)</x:f>
        <x:v>10230000</x:v>
      </x:c>
      <x:c r="N4862" s="4" t="str">
        <x:v>Sales manager</x:v>
      </x:c>
      <x:c r="O4862" s="4" t="str">
        <x:v>BOOK-04861</x:v>
      </x:c>
      <x:c r="P4862" s="9" t="n">
        <x:v>1023000</x:v>
      </x:c>
      <x:c r="Q4862" s="11" t="n">
        <x:v>0</x:v>
      </x:c>
      <x:c r="R4862" s="8" t="n">
        <x:v>45642</x:v>
      </x:c>
      <x:c r="S4862" s="4" t="str">
        <x:v>Retained</x:v>
      </x:c>
      <x:c r="T4862" s="10" t="n">
        <x:v>0.204152</x:v>
      </x:c>
      <x:c r="U4862" s="4" t="str">
        <x:v>Test</x:v>
      </x:c>
    </x:row>
    <x:row r="4863" ht="34" customHeight="1">
      <x:c r="A4863" s="4" t="str">
        <x:v>RS-04862</x:v>
      </x:c>
      <x:c r="B4863" s="8" t="n">
        <x:v>45583</x:v>
      </x:c>
      <x:c r="C4863" s="4" t="str">
        <x:v>PRJ-002</x:v>
      </x:c>
      <x:c r="D4863" s="4" t="str">
        <x:v>Office</x:v>
      </x:c>
      <x:c r="E4863" s="4" t="str">
        <x:v>Booked</x:v>
      </x:c>
      <x:c r="F4863" s="4" t="str">
        <x:v>CUS-04862</x:v>
      </x:c>
      <x:c r="G4863" s="4" t="str">
        <x:v>UNIT-04862</x:v>
      </x:c>
      <x:c r="H4863" s="9" t="n">
        <x:v>3400000</x:v>
      </x:c>
      <x:c r="I4863" s="10" t="n">
        <x:v>0.07</x:v>
      </x:c>
      <x:c r="J4863" s="11" t="n">
        <x:v>7</x:v>
      </x:c>
      <x:c r="K4863" s="11" t="n">
        <x:v>3</x:v>
      </x:c>
      <x:c r="L4863" s="11" t="n">
        <x:v>1</x:v>
      </x:c>
      <x:c r="M4863" s="9" t="n">
        <x:f>ROUND(H4863*(1-I4863),2)</x:f>
        <x:v>3162000</x:v>
      </x:c>
      <x:c r="N4863" s="4" t="str">
        <x:v>Sales manager</x:v>
      </x:c>
      <x:c r="O4863" s="4" t="str">
        <x:v>BOOK-04862</x:v>
      </x:c>
      <x:c r="P4863" s="9" t="n">
        <x:v>1581000</x:v>
      </x:c>
      <x:c r="Q4863" s="11" t="n">
        <x:v>0</x:v>
      </x:c>
      <x:c r="R4863" s="8" t="n">
        <x:v>45643</x:v>
      </x:c>
      <x:c r="S4863" s="4" t="str">
        <x:v>Retained</x:v>
      </x:c>
      <x:c r="T4863" s="10" t="n">
        <x:v>0.291946</x:v>
      </x:c>
      <x:c r="U4863" s="4" t="str">
        <x:v>Test</x:v>
      </x:c>
    </x:row>
    <x:row r="4864" ht="34" customHeight="1">
      <x:c r="A4864" s="4" t="str">
        <x:v>RS-04863</x:v>
      </x:c>
      <x:c r="B4864" s="8" t="n">
        <x:v>45584</x:v>
      </x:c>
      <x:c r="C4864" s="4" t="str">
        <x:v>PRJ-003</x:v>
      </x:c>
      <x:c r="D4864" s="4" t="str">
        <x:v>Office</x:v>
      </x:c>
      <x:c r="E4864" s="4" t="str">
        <x:v>Enquiry</x:v>
      </x:c>
      <x:c r="F4864" s="4" t="str">
        <x:v>CUS-04863</x:v>
      </x:c>
      <x:c r="G4864" s="4" t="str">
        <x:v>UNIT-04863</x:v>
      </x:c>
      <x:c r="H4864" s="9" t="n">
        <x:v>3900000</x:v>
      </x:c>
      <x:c r="I4864" s="10" t="n">
        <x:v>0.08</x:v>
      </x:c>
      <x:c r="J4864" s="11" t="n">
        <x:v>9</x:v>
      </x:c>
      <x:c r="K4864" s="11" t="n">
        <x:v>3</x:v>
      </x:c>
      <x:c r="L4864" s="11" t="n">
        <x:v>1</x:v>
      </x:c>
      <x:c r="M4864" s="9" t="n">
        <x:f>ROUND(H4864*(1-I4864),2)</x:f>
        <x:v>3588000</x:v>
      </x:c>
      <x:c r="N4864" s="4" t="str">
        <x:v>Sales head</x:v>
      </x:c>
      <x:c r="O4864" s="4"/>
      <x:c r="P4864" s="9" t="n">
        <x:v>0</x:v>
      </x:c>
      <x:c r="Q4864" s="11" t="n">
        <x:v>0</x:v>
      </x:c>
      <x:c r="R4864" s="8" t="n">
        <x:v>45644</x:v>
      </x:c>
      <x:c r="S4864" s="4" t="str">
        <x:v>Retained</x:v>
      </x:c>
      <x:c r="T4864" s="10" t="n">
        <x:v>0.310195</x:v>
      </x:c>
      <x:c r="U4864" s="4" t="str">
        <x:v>Test</x:v>
      </x:c>
    </x:row>
    <x:row r="4865" ht="34" customHeight="1">
      <x:c r="A4865" s="4" t="str">
        <x:v>RS-04864</x:v>
      </x:c>
      <x:c r="B4865" s="8" t="n">
        <x:v>45585</x:v>
      </x:c>
      <x:c r="C4865" s="4" t="str">
        <x:v>PRJ-004</x:v>
      </x:c>
      <x:c r="D4865" s="4" t="str">
        <x:v>Office</x:v>
      </x:c>
      <x:c r="E4865" s="4" t="str">
        <x:v>Enquiry</x:v>
      </x:c>
      <x:c r="F4865" s="4" t="str">
        <x:v>CUS-04864</x:v>
      </x:c>
      <x:c r="G4865" s="4" t="str">
        <x:v>UNIT-04864</x:v>
      </x:c>
      <x:c r="H4865" s="9" t="n">
        <x:v>15800000</x:v>
      </x:c>
      <x:c r="I4865" s="10" t="n">
        <x:v>0.01</x:v>
      </x:c>
      <x:c r="J4865" s="11" t="n">
        <x:v>0</x:v>
      </x:c>
      <x:c r="K4865" s="11" t="n">
        <x:v>3</x:v>
      </x:c>
      <x:c r="L4865" s="11" t="n">
        <x:v>0</x:v>
      </x:c>
      <x:c r="M4865" s="9" t="n">
        <x:f>ROUND(H4865*(1-I4865),2)</x:f>
        <x:v>15642000</x:v>
      </x:c>
      <x:c r="N4865" s="4" t="str">
        <x:v>Sales manager</x:v>
      </x:c>
      <x:c r="O4865" s="4"/>
      <x:c r="P4865" s="9" t="n">
        <x:v>0</x:v>
      </x:c>
      <x:c r="Q4865" s="11" t="n">
        <x:v>0</x:v>
      </x:c>
      <x:c r="R4865" s="8" t="n">
        <x:v>45645</x:v>
      </x:c>
      <x:c r="S4865" s="4" t="str">
        <x:v>Retained</x:v>
      </x:c>
      <x:c r="T4865" s="10" t="n">
        <x:v>0.072165</x:v>
      </x:c>
      <x:c r="U4865" s="4" t="str">
        <x:v>Test</x:v>
      </x:c>
    </x:row>
    <x:row r="4866" ht="34" customHeight="1">
      <x:c r="A4866" s="4" t="str">
        <x:v>RS-04865</x:v>
      </x:c>
      <x:c r="B4866" s="8" t="n">
        <x:v>45586</x:v>
      </x:c>
      <x:c r="C4866" s="4" t="str">
        <x:v>PRJ-005</x:v>
      </x:c>
      <x:c r="D4866" s="4" t="str">
        <x:v>Apartment</x:v>
      </x:c>
      <x:c r="E4866" s="4" t="str">
        <x:v>Handed over</x:v>
      </x:c>
      <x:c r="F4866" s="4" t="str">
        <x:v>CUS-04865</x:v>
      </x:c>
      <x:c r="G4866" s="4" t="str">
        <x:v>UNIT-04865</x:v>
      </x:c>
      <x:c r="H4866" s="9" t="n">
        <x:v>21600000</x:v>
      </x:c>
      <x:c r="I4866" s="10" t="n">
        <x:v>0.01</x:v>
      </x:c>
      <x:c r="J4866" s="11" t="n">
        <x:v>7</x:v>
      </x:c>
      <x:c r="K4866" s="11" t="n">
        <x:v>3</x:v>
      </x:c>
      <x:c r="L4866" s="11" t="n">
        <x:v>0</x:v>
      </x:c>
      <x:c r="M4866" s="9" t="n">
        <x:f>ROUND(H4866*(1-I4866),2)</x:f>
        <x:v>21384000</x:v>
      </x:c>
      <x:c r="N4866" s="4" t="str">
        <x:v>Sales manager</x:v>
      </x:c>
      <x:c r="O4866" s="4" t="str">
        <x:v>BOOK-04865</x:v>
      </x:c>
      <x:c r="P4866" s="9" t="n">
        <x:v>5346000</x:v>
      </x:c>
      <x:c r="Q4866" s="11" t="n">
        <x:v>0</x:v>
      </x:c>
      <x:c r="R4866" s="8" t="n">
        <x:v>45646</x:v>
      </x:c>
      <x:c r="S4866" s="4" t="str">
        <x:v>Retained</x:v>
      </x:c>
      <x:c r="T4866" s="10" t="n">
        <x:v>0.298969</x:v>
      </x:c>
      <x:c r="U4866" s="4" t="str">
        <x:v>Test</x:v>
      </x:c>
    </x:row>
    <x:row r="4867" ht="34" customHeight="1">
      <x:c r="A4867" s="4" t="str">
        <x:v>RS-04866</x:v>
      </x:c>
      <x:c r="B4867" s="8" t="n">
        <x:v>45587</x:v>
      </x:c>
      <x:c r="C4867" s="4" t="str">
        <x:v>PRJ-006</x:v>
      </x:c>
      <x:c r="D4867" s="4" t="str">
        <x:v>Apartment</x:v>
      </x:c>
      <x:c r="E4867" s="4" t="str">
        <x:v>Reserved</x:v>
      </x:c>
      <x:c r="F4867" s="4" t="str">
        <x:v>CUS-04866</x:v>
      </x:c>
      <x:c r="G4867" s="4" t="str">
        <x:v>UNIT-04866</x:v>
      </x:c>
      <x:c r="H4867" s="9" t="n">
        <x:v>7300000</x:v>
      </x:c>
      <x:c r="I4867" s="10" t="n">
        <x:v>0.02</x:v>
      </x:c>
      <x:c r="J4867" s="11" t="n">
        <x:v>12</x:v>
      </x:c>
      <x:c r="K4867" s="11" t="n">
        <x:v>1</x:v>
      </x:c>
      <x:c r="L4867" s="11" t="n">
        <x:v>0</x:v>
      </x:c>
      <x:c r="M4867" s="9" t="n">
        <x:f>ROUND(H4867*(1-I4867),2)</x:f>
        <x:v>7154000</x:v>
      </x:c>
      <x:c r="N4867" s="4" t="str">
        <x:v>Sales manager</x:v>
      </x:c>
      <x:c r="O4867" s="4"/>
      <x:c r="P4867" s="9" t="n">
        <x:v>0</x:v>
      </x:c>
      <x:c r="Q4867" s="11" t="n">
        <x:v>0</x:v>
      </x:c>
      <x:c r="R4867" s="8" t="n">
        <x:v>45647</x:v>
      </x:c>
      <x:c r="S4867" s="4" t="str">
        <x:v>Retained</x:v>
      </x:c>
      <x:c r="T4867" s="10" t="n">
        <x:v>0.305556</x:v>
      </x:c>
      <x:c r="U4867" s="4" t="str">
        <x:v>Test</x:v>
      </x:c>
    </x:row>
    <x:row r="4868" ht="34" customHeight="1">
      <x:c r="A4868" s="4" t="str">
        <x:v>RS-04867</x:v>
      </x:c>
      <x:c r="B4868" s="8" t="n">
        <x:v>45588</x:v>
      </x:c>
      <x:c r="C4868" s="4" t="str">
        <x:v>PRJ-007</x:v>
      </x:c>
      <x:c r="D4868" s="4" t="str">
        <x:v>Villa</x:v>
      </x:c>
      <x:c r="E4868" s="4" t="str">
        <x:v>Handed over</x:v>
      </x:c>
      <x:c r="F4868" s="4" t="str">
        <x:v>CUS-04867</x:v>
      </x:c>
      <x:c r="G4868" s="4" t="str">
        <x:v>UNIT-04867</x:v>
      </x:c>
      <x:c r="H4868" s="9" t="n">
        <x:v>4100000</x:v>
      </x:c>
      <x:c r="I4868" s="10" t="n">
        <x:v>0.03</x:v>
      </x:c>
      <x:c r="J4868" s="11" t="n">
        <x:v>9</x:v>
      </x:c>
      <x:c r="K4868" s="11" t="n">
        <x:v>1</x:v>
      </x:c>
      <x:c r="L4868" s="11" t="n">
        <x:v>0</x:v>
      </x:c>
      <x:c r="M4868" s="9" t="n">
        <x:f>ROUND(H4868*(1-I4868),2)</x:f>
        <x:v>3977000</x:v>
      </x:c>
      <x:c r="N4868" s="4" t="str">
        <x:v>Sales manager</x:v>
      </x:c>
      <x:c r="O4868" s="4" t="str">
        <x:v>BOOK-04867</x:v>
      </x:c>
      <x:c r="P4868" s="9" t="n">
        <x:v>3977000</x:v>
      </x:c>
      <x:c r="Q4868" s="11" t="n">
        <x:v>0</x:v>
      </x:c>
      <x:c r="R4868" s="8" t="n">
        <x:v>45648</x:v>
      </x:c>
      <x:c r="S4868" s="4" t="str">
        <x:v>Retained</x:v>
      </x:c>
      <x:c r="T4868" s="10" t="n">
        <x:v>0.310195</x:v>
      </x:c>
      <x:c r="U4868" s="4" t="str">
        <x:v>Test</x:v>
      </x:c>
    </x:row>
    <x:row r="4869" ht="34" customHeight="1">
      <x:c r="A4869" s="4" t="str">
        <x:v>RS-04868</x:v>
      </x:c>
      <x:c r="B4869" s="8" t="n">
        <x:v>45589</x:v>
      </x:c>
      <x:c r="C4869" s="4" t="str">
        <x:v>PRJ-008</x:v>
      </x:c>
      <x:c r="D4869" s="4" t="str">
        <x:v>Villa</x:v>
      </x:c>
      <x:c r="E4869" s="4" t="str">
        <x:v>Handed over</x:v>
      </x:c>
      <x:c r="F4869" s="4" t="str">
        <x:v>CUS-04868</x:v>
      </x:c>
      <x:c r="G4869" s="4" t="str">
        <x:v>UNIT-04868</x:v>
      </x:c>
      <x:c r="H4869" s="9" t="n">
        <x:v>17000000</x:v>
      </x:c>
      <x:c r="I4869" s="10" t="n">
        <x:v>0.03</x:v>
      </x:c>
      <x:c r="J4869" s="11" t="n">
        <x:v>9</x:v>
      </x:c>
      <x:c r="K4869" s="11" t="n">
        <x:v>2</x:v>
      </x:c>
      <x:c r="L4869" s="11" t="n">
        <x:v>0</x:v>
      </x:c>
      <x:c r="M4869" s="9" t="n">
        <x:f>ROUND(H4869*(1-I4869),2)</x:f>
        <x:v>16490000</x:v>
      </x:c>
      <x:c r="N4869" s="4" t="str">
        <x:v>Sales manager</x:v>
      </x:c>
      <x:c r="O4869" s="4" t="str">
        <x:v>BOOK-04868</x:v>
      </x:c>
      <x:c r="P4869" s="9" t="n">
        <x:v>4122500</x:v>
      </x:c>
      <x:c r="Q4869" s="11" t="n">
        <x:v>0</x:v>
      </x:c>
      <x:c r="R4869" s="8" t="n">
        <x:v>45649</x:v>
      </x:c>
      <x:c r="S4869" s="4" t="str">
        <x:v>Retained</x:v>
      </x:c>
      <x:c r="T4869" s="10" t="n">
        <x:v>0.310195</x:v>
      </x:c>
      <x:c r="U4869" s="4" t="str">
        <x:v>Test</x:v>
      </x:c>
    </x:row>
    <x:row r="4870" ht="34" customHeight="1">
      <x:c r="A4870" s="4" t="str">
        <x:v>RS-04869</x:v>
      </x:c>
      <x:c r="B4870" s="8" t="n">
        <x:v>45590</x:v>
      </x:c>
      <x:c r="C4870" s="4" t="str">
        <x:v>PRJ-009</x:v>
      </x:c>
      <x:c r="D4870" s="4" t="str">
        <x:v>Villa</x:v>
      </x:c>
      <x:c r="E4870" s="4" t="str">
        <x:v>Booked</x:v>
      </x:c>
      <x:c r="F4870" s="4" t="str">
        <x:v>CUS-04869</x:v>
      </x:c>
      <x:c r="G4870" s="4" t="str">
        <x:v>UNIT-04869</x:v>
      </x:c>
      <x:c r="H4870" s="9" t="n">
        <x:v>8200000</x:v>
      </x:c>
      <x:c r="I4870" s="10" t="n">
        <x:v>0.09</x:v>
      </x:c>
      <x:c r="J4870" s="11" t="n">
        <x:v>8</x:v>
      </x:c>
      <x:c r="K4870" s="11" t="n">
        <x:v>7</x:v>
      </x:c>
      <x:c r="L4870" s="11" t="n">
        <x:v>1</x:v>
      </x:c>
      <x:c r="M4870" s="9" t="n">
        <x:f>ROUND(H4870*(1-I4870),2)</x:f>
        <x:v>7462000</x:v>
      </x:c>
      <x:c r="N4870" s="4" t="str">
        <x:v>Sales head</x:v>
      </x:c>
      <x:c r="O4870" s="4" t="str">
        <x:v>BOOK-04869</x:v>
      </x:c>
      <x:c r="P4870" s="9" t="n">
        <x:v>746200</x:v>
      </x:c>
      <x:c r="Q4870" s="11" t="n">
        <x:v>0</x:v>
      </x:c>
      <x:c r="R4870" s="8" t="n">
        <x:v>45650</x:v>
      </x:c>
      <x:c r="S4870" s="4" t="str">
        <x:v>Retained</x:v>
      </x:c>
      <x:c r="T4870" s="10" t="n">
        <x:v>0.310195</x:v>
      </x:c>
      <x:c r="U4870" s="4" t="str">
        <x:v>Test</x:v>
      </x:c>
    </x:row>
    <x:row r="4871" ht="34" customHeight="1">
      <x:c r="A4871" s="4" t="str">
        <x:v>RS-04870</x:v>
      </x:c>
      <x:c r="B4871" s="8" t="n">
        <x:v>45591</x:v>
      </x:c>
      <x:c r="C4871" s="4" t="str">
        <x:v>PRJ-010</x:v>
      </x:c>
      <x:c r="D4871" s="4" t="str">
        <x:v>Villa</x:v>
      </x:c>
      <x:c r="E4871" s="4" t="str">
        <x:v>Handed over</x:v>
      </x:c>
      <x:c r="F4871" s="4" t="str">
        <x:v>CUS-04870</x:v>
      </x:c>
      <x:c r="G4871" s="4" t="str">
        <x:v>UNIT-04870</x:v>
      </x:c>
      <x:c r="H4871" s="9" t="n">
        <x:v>24500000</x:v>
      </x:c>
      <x:c r="I4871" s="10" t="n">
        <x:v>0.06</x:v>
      </x:c>
      <x:c r="J4871" s="11" t="n">
        <x:v>4</x:v>
      </x:c>
      <x:c r="K4871" s="11" t="n">
        <x:v>0</x:v>
      </x:c>
      <x:c r="L4871" s="11" t="n">
        <x:v>1</x:v>
      </x:c>
      <x:c r="M4871" s="9" t="n">
        <x:f>ROUND(H4871*(1-I4871),2)</x:f>
        <x:v>23030000</x:v>
      </x:c>
      <x:c r="N4871" s="4" t="str">
        <x:v>Sales manager</x:v>
      </x:c>
      <x:c r="O4871" s="4" t="str">
        <x:v>BOOK-04870</x:v>
      </x:c>
      <x:c r="P4871" s="9" t="n">
        <x:v>11515000</x:v>
      </x:c>
      <x:c r="Q4871" s="11" t="n">
        <x:v>0</x:v>
      </x:c>
      <x:c r="R4871" s="8" t="n">
        <x:v>45651</x:v>
      </x:c>
      <x:c r="S4871" s="4" t="str">
        <x:v>Retained</x:v>
      </x:c>
      <x:c r="T4871" s="10" t="n">
        <x:v>0.291946</x:v>
      </x:c>
      <x:c r="U4871" s="4" t="str">
        <x:v>Test</x:v>
      </x:c>
    </x:row>
    <x:row r="4872" ht="34" customHeight="1">
      <x:c r="A4872" s="4" t="str">
        <x:v>RS-04871</x:v>
      </x:c>
      <x:c r="B4872" s="8" t="n">
        <x:v>45592</x:v>
      </x:c>
      <x:c r="C4872" s="4" t="str">
        <x:v>PRJ-011</x:v>
      </x:c>
      <x:c r="D4872" s="4" t="str">
        <x:v>Villa</x:v>
      </x:c>
      <x:c r="E4872" s="4" t="str">
        <x:v>Enquiry</x:v>
      </x:c>
      <x:c r="F4872" s="4" t="str">
        <x:v>CUS-04871</x:v>
      </x:c>
      <x:c r="G4872" s="4" t="str">
        <x:v>UNIT-04871</x:v>
      </x:c>
      <x:c r="H4872" s="9" t="n">
        <x:v>23800000</x:v>
      </x:c>
      <x:c r="I4872" s="10" t="n">
        <x:v>0.12</x:v>
      </x:c>
      <x:c r="J4872" s="11" t="n">
        <x:v>9</x:v>
      </x:c>
      <x:c r="K4872" s="11" t="n">
        <x:v>2</x:v>
      </x:c>
      <x:c r="L4872" s="11" t="n">
        <x:v>0</x:v>
      </x:c>
      <x:c r="M4872" s="9" t="n">
        <x:f>ROUND(H4872*(1-I4872),2)</x:f>
        <x:v>20944000</x:v>
      </x:c>
      <x:c r="N4872" s="4" t="str">
        <x:v>Sales head</x:v>
      </x:c>
      <x:c r="O4872" s="4"/>
      <x:c r="P4872" s="9" t="n">
        <x:v>0</x:v>
      </x:c>
      <x:c r="Q4872" s="11" t="n">
        <x:v>0</x:v>
      </x:c>
      <x:c r="R4872" s="8" t="n">
        <x:v>45652</x:v>
      </x:c>
      <x:c r="S4872" s="4" t="str">
        <x:v>Retained</x:v>
      </x:c>
      <x:c r="T4872" s="10" t="n">
        <x:v>0.310195</x:v>
      </x:c>
      <x:c r="U4872" s="4" t="str">
        <x:v>Test</x:v>
      </x:c>
    </x:row>
    <x:row r="4873" ht="34" customHeight="1">
      <x:c r="A4873" s="4" t="str">
        <x:v>RS-04872</x:v>
      </x:c>
      <x:c r="B4873" s="8" t="n">
        <x:v>45593</x:v>
      </x:c>
      <x:c r="C4873" s="4" t="str">
        <x:v>PRJ-012</x:v>
      </x:c>
      <x:c r="D4873" s="4" t="str">
        <x:v>Villa</x:v>
      </x:c>
      <x:c r="E4873" s="4" t="str">
        <x:v>Cancelled</x:v>
      </x:c>
      <x:c r="F4873" s="4" t="str">
        <x:v>CUS-04872</x:v>
      </x:c>
      <x:c r="G4873" s="4" t="str">
        <x:v>UNIT-04872</x:v>
      </x:c>
      <x:c r="H4873" s="9" t="n">
        <x:v>14000000</x:v>
      </x:c>
      <x:c r="I4873" s="10" t="n">
        <x:v>0.06</x:v>
      </x:c>
      <x:c r="J4873" s="11" t="n">
        <x:v>12</x:v>
      </x:c>
      <x:c r="K4873" s="11" t="n">
        <x:v>4</x:v>
      </x:c>
      <x:c r="L4873" s="11" t="n">
        <x:v>0</x:v>
      </x:c>
      <x:c r="M4873" s="9" t="n">
        <x:f>ROUND(H4873*(1-I4873),2)</x:f>
        <x:v>13160000</x:v>
      </x:c>
      <x:c r="N4873" s="4" t="str">
        <x:v>Sales manager</x:v>
      </x:c>
      <x:c r="O4873" s="4"/>
      <x:c r="P4873" s="9" t="n">
        <x:v>0</x:v>
      </x:c>
      <x:c r="Q4873" s="11" t="n">
        <x:v>1</x:v>
      </x:c>
      <x:c r="R4873" s="8" t="n">
        <x:v>45653</x:v>
      </x:c>
      <x:c r="S4873" s="4" t="str">
        <x:v>Lost / cancelled</x:v>
      </x:c>
      <x:c r="T4873" s="10" t="n">
        <x:v>0.351536</x:v>
      </x:c>
      <x:c r="U4873" s="4" t="str">
        <x:v>Test</x:v>
      </x:c>
    </x:row>
    <x:row r="4874" ht="34" customHeight="1">
      <x:c r="A4874" s="4" t="str">
        <x:v>RS-04873</x:v>
      </x:c>
      <x:c r="B4874" s="8" t="n">
        <x:v>45566</x:v>
      </x:c>
      <x:c r="C4874" s="4" t="str">
        <x:v>PRJ-013</x:v>
      </x:c>
      <x:c r="D4874" s="4" t="str">
        <x:v>Office</x:v>
      </x:c>
      <x:c r="E4874" s="4" t="str">
        <x:v>Reserved</x:v>
      </x:c>
      <x:c r="F4874" s="4" t="str">
        <x:v>CUS-04873</x:v>
      </x:c>
      <x:c r="G4874" s="4" t="str">
        <x:v>UNIT-04873</x:v>
      </x:c>
      <x:c r="H4874" s="9" t="n">
        <x:v>14800000</x:v>
      </x:c>
      <x:c r="I4874" s="10" t="n">
        <x:v>0.11</x:v>
      </x:c>
      <x:c r="J4874" s="11" t="n">
        <x:v>12</x:v>
      </x:c>
      <x:c r="K4874" s="11" t="n">
        <x:v>5</x:v>
      </x:c>
      <x:c r="L4874" s="11" t="n">
        <x:v>1</x:v>
      </x:c>
      <x:c r="M4874" s="9" t="n">
        <x:f>ROUND(H4874*(1-I4874),2)</x:f>
        <x:v>13172000</x:v>
      </x:c>
      <x:c r="N4874" s="4" t="str">
        <x:v>Sales head</x:v>
      </x:c>
      <x:c r="O4874" s="4"/>
      <x:c r="P4874" s="9" t="n">
        <x:v>0</x:v>
      </x:c>
      <x:c r="Q4874" s="11" t="n">
        <x:v>0</x:v>
      </x:c>
      <x:c r="R4874" s="8" t="n">
        <x:v>45626</x:v>
      </x:c>
      <x:c r="S4874" s="4" t="str">
        <x:v>Retained</x:v>
      </x:c>
      <x:c r="T4874" s="10" t="n">
        <x:v>0.351536</x:v>
      </x:c>
      <x:c r="U4874" s="4" t="str">
        <x:v>Test</x:v>
      </x:c>
    </x:row>
    <x:row r="4875" ht="34" customHeight="1">
      <x:c r="A4875" s="4" t="str">
        <x:v>RS-04874</x:v>
      </x:c>
      <x:c r="B4875" s="8" t="n">
        <x:v>45567</x:v>
      </x:c>
      <x:c r="C4875" s="4" t="str">
        <x:v>PRJ-014</x:v>
      </x:c>
      <x:c r="D4875" s="4" t="str">
        <x:v>Apartment</x:v>
      </x:c>
      <x:c r="E4875" s="4" t="str">
        <x:v>Enquiry</x:v>
      </x:c>
      <x:c r="F4875" s="4" t="str">
        <x:v>CUS-04874</x:v>
      </x:c>
      <x:c r="G4875" s="4" t="str">
        <x:v>UNIT-04874</x:v>
      </x:c>
      <x:c r="H4875" s="9" t="n">
        <x:v>16800000</x:v>
      </x:c>
      <x:c r="I4875" s="10" t="n">
        <x:v>0.01</x:v>
      </x:c>
      <x:c r="J4875" s="11" t="n">
        <x:v>12</x:v>
      </x:c>
      <x:c r="K4875" s="11" t="n">
        <x:v>10</x:v>
      </x:c>
      <x:c r="L4875" s="11" t="n">
        <x:v>1</x:v>
      </x:c>
      <x:c r="M4875" s="9" t="n">
        <x:f>ROUND(H4875*(1-I4875),2)</x:f>
        <x:v>16632000</x:v>
      </x:c>
      <x:c r="N4875" s="4" t="str">
        <x:v>Sales manager</x:v>
      </x:c>
      <x:c r="O4875" s="4"/>
      <x:c r="P4875" s="9" t="n">
        <x:v>0</x:v>
      </x:c>
      <x:c r="Q4875" s="11" t="n">
        <x:v>0</x:v>
      </x:c>
      <x:c r="R4875" s="8" t="n">
        <x:v>45627</x:v>
      </x:c>
      <x:c r="S4875" s="4" t="str">
        <x:v>Retained</x:v>
      </x:c>
      <x:c r="T4875" s="10" t="n">
        <x:v>0.254545</x:v>
      </x:c>
      <x:c r="U4875" s="4" t="str">
        <x:v>Test</x:v>
      </x:c>
    </x:row>
    <x:row r="4876" ht="34" customHeight="1">
      <x:c r="A4876" s="4" t="str">
        <x:v>RS-04875</x:v>
      </x:c>
      <x:c r="B4876" s="8" t="n">
        <x:v>45568</x:v>
      </x:c>
      <x:c r="C4876" s="4" t="str">
        <x:v>PRJ-015</x:v>
      </x:c>
      <x:c r="D4876" s="4" t="str">
        <x:v>Apartment</x:v>
      </x:c>
      <x:c r="E4876" s="4" t="str">
        <x:v>Reserved</x:v>
      </x:c>
      <x:c r="F4876" s="4" t="str">
        <x:v>CUS-04875</x:v>
      </x:c>
      <x:c r="G4876" s="4" t="str">
        <x:v>UNIT-04875</x:v>
      </x:c>
      <x:c r="H4876" s="9" t="n">
        <x:v>8300000</x:v>
      </x:c>
      <x:c r="I4876" s="10" t="n">
        <x:v>0.08</x:v>
      </x:c>
      <x:c r="J4876" s="11" t="n">
        <x:v>12</x:v>
      </x:c>
      <x:c r="K4876" s="11" t="n">
        <x:v>7</x:v>
      </x:c>
      <x:c r="L4876" s="11" t="n">
        <x:v>0</x:v>
      </x:c>
      <x:c r="M4876" s="9" t="n">
        <x:f>ROUND(H4876*(1-I4876),2)</x:f>
        <x:v>7636000</x:v>
      </x:c>
      <x:c r="N4876" s="4" t="str">
        <x:v>Sales head</x:v>
      </x:c>
      <x:c r="O4876" s="4"/>
      <x:c r="P4876" s="9" t="n">
        <x:v>0</x:v>
      </x:c>
      <x:c r="Q4876" s="11" t="n">
        <x:v>1</x:v>
      </x:c>
      <x:c r="R4876" s="8" t="n">
        <x:v>45628</x:v>
      </x:c>
      <x:c r="S4876" s="4" t="str">
        <x:v>Lost / cancelled</x:v>
      </x:c>
      <x:c r="T4876" s="10" t="n">
        <x:v>0.351536</x:v>
      </x:c>
      <x:c r="U4876" s="4" t="str">
        <x:v>Test</x:v>
      </x:c>
    </x:row>
    <x:row r="4877" ht="34" customHeight="1">
      <x:c r="A4877" s="4" t="str">
        <x:v>RS-04876</x:v>
      </x:c>
      <x:c r="B4877" s="8" t="n">
        <x:v>45569</x:v>
      </x:c>
      <x:c r="C4877" s="4" t="str">
        <x:v>PRJ-016</x:v>
      </x:c>
      <x:c r="D4877" s="4" t="str">
        <x:v>Office</x:v>
      </x:c>
      <x:c r="E4877" s="4" t="str">
        <x:v>Handed over</x:v>
      </x:c>
      <x:c r="F4877" s="4" t="str">
        <x:v>CUS-04876</x:v>
      </x:c>
      <x:c r="G4877" s="4" t="str">
        <x:v>UNIT-04876</x:v>
      </x:c>
      <x:c r="H4877" s="9" t="n">
        <x:v>4700000</x:v>
      </x:c>
      <x:c r="I4877" s="10" t="n">
        <x:v>0.04</x:v>
      </x:c>
      <x:c r="J4877" s="11" t="n">
        <x:v>3</x:v>
      </x:c>
      <x:c r="K4877" s="11" t="n">
        <x:v>5</x:v>
      </x:c>
      <x:c r="L4877" s="11" t="n">
        <x:v>0</x:v>
      </x:c>
      <x:c r="M4877" s="9" t="n">
        <x:f>ROUND(H4877*(1-I4877),2)</x:f>
        <x:v>4512000</x:v>
      </x:c>
      <x:c r="N4877" s="4" t="str">
        <x:v>Sales manager</x:v>
      </x:c>
      <x:c r="O4877" s="4" t="str">
        <x:v>BOOK-04876</x:v>
      </x:c>
      <x:c r="P4877" s="9" t="n">
        <x:v>2256000</x:v>
      </x:c>
      <x:c r="Q4877" s="11" t="n">
        <x:v>0</x:v>
      </x:c>
      <x:c r="R4877" s="8" t="n">
        <x:v>45629</x:v>
      </x:c>
      <x:c r="S4877" s="4" t="str">
        <x:v>Retained</x:v>
      </x:c>
      <x:c r="T4877" s="10" t="n">
        <x:v>0.204152</x:v>
      </x:c>
      <x:c r="U4877" s="4" t="str">
        <x:v>Test</x:v>
      </x:c>
    </x:row>
    <x:row r="4878" ht="34" customHeight="1">
      <x:c r="A4878" s="4" t="str">
        <x:v>RS-04877</x:v>
      </x:c>
      <x:c r="B4878" s="8" t="n">
        <x:v>45570</x:v>
      </x:c>
      <x:c r="C4878" s="4" t="str">
        <x:v>PRJ-017</x:v>
      </x:c>
      <x:c r="D4878" s="4" t="str">
        <x:v>Apartment</x:v>
      </x:c>
      <x:c r="E4878" s="4" t="str">
        <x:v>Booked</x:v>
      </x:c>
      <x:c r="F4878" s="4" t="str">
        <x:v>CUS-04877</x:v>
      </x:c>
      <x:c r="G4878" s="4" t="str">
        <x:v>UNIT-04877</x:v>
      </x:c>
      <x:c r="H4878" s="9" t="n">
        <x:v>4100000</x:v>
      </x:c>
      <x:c r="I4878" s="10" t="n">
        <x:v>0.1</x:v>
      </x:c>
      <x:c r="J4878" s="11" t="n">
        <x:v>1</x:v>
      </x:c>
      <x:c r="K4878" s="11" t="n">
        <x:v>10</x:v>
      </x:c>
      <x:c r="L4878" s="11" t="n">
        <x:v>1</x:v>
      </x:c>
      <x:c r="M4878" s="9" t="n">
        <x:f>ROUND(H4878*(1-I4878),2)</x:f>
        <x:v>3690000</x:v>
      </x:c>
      <x:c r="N4878" s="4" t="str">
        <x:v>Sales head</x:v>
      </x:c>
      <x:c r="O4878" s="4" t="str">
        <x:v>BOOK-04877</x:v>
      </x:c>
      <x:c r="P4878" s="9" t="n">
        <x:v>1845000</x:v>
      </x:c>
      <x:c r="Q4878" s="11" t="n">
        <x:v>0</x:v>
      </x:c>
      <x:c r="R4878" s="8" t="n">
        <x:v>45630</x:v>
      </x:c>
      <x:c r="S4878" s="4" t="str">
        <x:v>Retained</x:v>
      </x:c>
      <x:c r="T4878" s="10" t="n">
        <x:v>0.145833</x:v>
      </x:c>
      <x:c r="U4878" s="4" t="str">
        <x:v>Test</x:v>
      </x:c>
    </x:row>
    <x:row r="4879" ht="34" customHeight="1">
      <x:c r="A4879" s="4" t="str">
        <x:v>RS-04878</x:v>
      </x:c>
      <x:c r="B4879" s="8" t="n">
        <x:v>45571</x:v>
      </x:c>
      <x:c r="C4879" s="4" t="str">
        <x:v>PRJ-018</x:v>
      </x:c>
      <x:c r="D4879" s="4" t="str">
        <x:v>Apartment</x:v>
      </x:c>
      <x:c r="E4879" s="4" t="str">
        <x:v>Cancelled</x:v>
      </x:c>
      <x:c r="F4879" s="4" t="str">
        <x:v>CUS-04878</x:v>
      </x:c>
      <x:c r="G4879" s="4" t="str">
        <x:v>UNIT-04878</x:v>
      </x:c>
      <x:c r="H4879" s="9" t="n">
        <x:v>13300000</x:v>
      </x:c>
      <x:c r="I4879" s="10" t="n">
        <x:v>0.1</x:v>
      </x:c>
      <x:c r="J4879" s="11" t="n">
        <x:v>7</x:v>
      </x:c>
      <x:c r="K4879" s="11" t="n">
        <x:v>0</x:v>
      </x:c>
      <x:c r="L4879" s="11" t="n">
        <x:v>1</x:v>
      </x:c>
      <x:c r="M4879" s="9" t="n">
        <x:f>ROUND(H4879*(1-I4879),2)</x:f>
        <x:v>11970000</x:v>
      </x:c>
      <x:c r="N4879" s="4" t="str">
        <x:v>Sales head</x:v>
      </x:c>
      <x:c r="O4879" s="4"/>
      <x:c r="P4879" s="9" t="n">
        <x:v>0</x:v>
      </x:c>
      <x:c r="Q4879" s="11" t="n">
        <x:v>1</x:v>
      </x:c>
      <x:c r="R4879" s="8" t="n">
        <x:v>45631</x:v>
      </x:c>
      <x:c r="S4879" s="4" t="str">
        <x:v>Lost / cancelled</x:v>
      </x:c>
      <x:c r="T4879" s="10" t="n">
        <x:v>0.291946</x:v>
      </x:c>
      <x:c r="U4879" s="4" t="str">
        <x:v>Test</x:v>
      </x:c>
    </x:row>
    <x:row r="4880" ht="34" customHeight="1">
      <x:c r="A4880" s="4" t="str">
        <x:v>RS-04879</x:v>
      </x:c>
      <x:c r="B4880" s="8" t="n">
        <x:v>45572</x:v>
      </x:c>
      <x:c r="C4880" s="4" t="str">
        <x:v>PRJ-019</x:v>
      </x:c>
      <x:c r="D4880" s="4" t="str">
        <x:v>Office</x:v>
      </x:c>
      <x:c r="E4880" s="4" t="str">
        <x:v>Cancelled</x:v>
      </x:c>
      <x:c r="F4880" s="4" t="str">
        <x:v>CUS-04879</x:v>
      </x:c>
      <x:c r="G4880" s="4" t="str">
        <x:v>UNIT-04879</x:v>
      </x:c>
      <x:c r="H4880" s="9" t="n">
        <x:v>22000000</x:v>
      </x:c>
      <x:c r="I4880" s="10" t="n">
        <x:v>0.11</x:v>
      </x:c>
      <x:c r="J4880" s="11" t="n">
        <x:v>1</x:v>
      </x:c>
      <x:c r="K4880" s="11" t="n">
        <x:v>3</x:v>
      </x:c>
      <x:c r="L4880" s="11" t="n">
        <x:v>0</x:v>
      </x:c>
      <x:c r="M4880" s="9" t="n">
        <x:f>ROUND(H4880*(1-I4880),2)</x:f>
        <x:v>19580000</x:v>
      </x:c>
      <x:c r="N4880" s="4" t="str">
        <x:v>Sales head</x:v>
      </x:c>
      <x:c r="O4880" s="4"/>
      <x:c r="P4880" s="9" t="n">
        <x:v>0</x:v>
      </x:c>
      <x:c r="Q4880" s="11" t="n">
        <x:v>1</x:v>
      </x:c>
      <x:c r="R4880" s="8" t="n">
        <x:v>45632</x:v>
      </x:c>
      <x:c r="S4880" s="4" t="str">
        <x:v>Lost / cancelled</x:v>
      </x:c>
      <x:c r="T4880" s="10" t="n">
        <x:v>0.145833</x:v>
      </x:c>
      <x:c r="U4880" s="4" t="str">
        <x:v>Test</x:v>
      </x:c>
    </x:row>
    <x:row r="4881" ht="34" customHeight="1">
      <x:c r="A4881" s="4" t="str">
        <x:v>RS-04880</x:v>
      </x:c>
      <x:c r="B4881" s="8" t="n">
        <x:v>45573</x:v>
      </x:c>
      <x:c r="C4881" s="4" t="str">
        <x:v>PRJ-020</x:v>
      </x:c>
      <x:c r="D4881" s="4" t="str">
        <x:v>Office</x:v>
      </x:c>
      <x:c r="E4881" s="4" t="str">
        <x:v>Booked</x:v>
      </x:c>
      <x:c r="F4881" s="4" t="str">
        <x:v>CUS-04880</x:v>
      </x:c>
      <x:c r="G4881" s="4" t="str">
        <x:v>UNIT-04880</x:v>
      </x:c>
      <x:c r="H4881" s="9" t="n">
        <x:v>14800000</x:v>
      </x:c>
      <x:c r="I4881" s="10" t="n">
        <x:v>0.06</x:v>
      </x:c>
      <x:c r="J4881" s="11" t="n">
        <x:v>12</x:v>
      </x:c>
      <x:c r="K4881" s="11" t="n">
        <x:v>1</x:v>
      </x:c>
      <x:c r="L4881" s="11" t="n">
        <x:v>0</x:v>
      </x:c>
      <x:c r="M4881" s="9" t="n">
        <x:f>ROUND(H4881*(1-I4881),2)</x:f>
        <x:v>13912000</x:v>
      </x:c>
      <x:c r="N4881" s="4" t="str">
        <x:v>Sales manager</x:v>
      </x:c>
      <x:c r="O4881" s="4" t="str">
        <x:v>BOOK-04880</x:v>
      </x:c>
      <x:c r="P4881" s="9" t="n">
        <x:v>1391200</x:v>
      </x:c>
      <x:c r="Q4881" s="11" t="n">
        <x:v>0</x:v>
      </x:c>
      <x:c r="R4881" s="8" t="n">
        <x:v>45633</x:v>
      </x:c>
      <x:c r="S4881" s="4" t="str">
        <x:v>Retained</x:v>
      </x:c>
      <x:c r="T4881" s="10" t="n">
        <x:v>0.351536</x:v>
      </x:c>
      <x:c r="U4881" s="4" t="str">
        <x:v>Test</x:v>
      </x:c>
    </x:row>
    <x:row r="4882" ht="34" customHeight="1">
      <x:c r="A4882" s="4" t="str">
        <x:v>RS-04881</x:v>
      </x:c>
      <x:c r="B4882" s="8" t="n">
        <x:v>45574</x:v>
      </x:c>
      <x:c r="C4882" s="4" t="str">
        <x:v>PRJ-001</x:v>
      </x:c>
      <x:c r="D4882" s="4" t="str">
        <x:v>Apartment</x:v>
      </x:c>
      <x:c r="E4882" s="4" t="str">
        <x:v>Booked</x:v>
      </x:c>
      <x:c r="F4882" s="4" t="str">
        <x:v>CUS-04881</x:v>
      </x:c>
      <x:c r="G4882" s="4" t="str">
        <x:v>UNIT-04881</x:v>
      </x:c>
      <x:c r="H4882" s="9" t="n">
        <x:v>18400000</x:v>
      </x:c>
      <x:c r="I4882" s="10" t="n">
        <x:v>0.03</x:v>
      </x:c>
      <x:c r="J4882" s="11" t="n">
        <x:v>0</x:v>
      </x:c>
      <x:c r="K4882" s="11" t="n">
        <x:v>3</x:v>
      </x:c>
      <x:c r="L4882" s="11" t="n">
        <x:v>1</x:v>
      </x:c>
      <x:c r="M4882" s="9" t="n">
        <x:f>ROUND(H4882*(1-I4882),2)</x:f>
        <x:v>17848000</x:v>
      </x:c>
      <x:c r="N4882" s="4" t="str">
        <x:v>Sales manager</x:v>
      </x:c>
      <x:c r="O4882" s="4" t="str">
        <x:v>BOOK-04881</x:v>
      </x:c>
      <x:c r="P4882" s="9" t="n">
        <x:v>4462000</x:v>
      </x:c>
      <x:c r="Q4882" s="11" t="n">
        <x:v>0</x:v>
      </x:c>
      <x:c r="R4882" s="8" t="n">
        <x:v>45634</x:v>
      </x:c>
      <x:c r="S4882" s="4" t="str">
        <x:v>Retained</x:v>
      </x:c>
      <x:c r="T4882" s="10" t="n">
        <x:v>0.072165</x:v>
      </x:c>
      <x:c r="U4882" s="4" t="str">
        <x:v>Test</x:v>
      </x:c>
    </x:row>
    <x:row r="4883" ht="34" customHeight="1">
      <x:c r="A4883" s="4" t="str">
        <x:v>RS-04882</x:v>
      </x:c>
      <x:c r="B4883" s="8" t="n">
        <x:v>45575</x:v>
      </x:c>
      <x:c r="C4883" s="4" t="str">
        <x:v>PRJ-002</x:v>
      </x:c>
      <x:c r="D4883" s="4" t="str">
        <x:v>Retail</x:v>
      </x:c>
      <x:c r="E4883" s="4" t="str">
        <x:v>Reserved</x:v>
      </x:c>
      <x:c r="F4883" s="4" t="str">
        <x:v>CUS-04882</x:v>
      </x:c>
      <x:c r="G4883" s="4" t="str">
        <x:v>UNIT-04882</x:v>
      </x:c>
      <x:c r="H4883" s="9" t="n">
        <x:v>9200000</x:v>
      </x:c>
      <x:c r="I4883" s="10" t="n">
        <x:v>0.05</x:v>
      </x:c>
      <x:c r="J4883" s="11" t="n">
        <x:v>8</x:v>
      </x:c>
      <x:c r="K4883" s="11" t="n">
        <x:v>4</x:v>
      </x:c>
      <x:c r="L4883" s="11" t="n">
        <x:v>1</x:v>
      </x:c>
      <x:c r="M4883" s="9" t="n">
        <x:f>ROUND(H4883*(1-I4883),2)</x:f>
        <x:v>8740000</x:v>
      </x:c>
      <x:c r="N4883" s="4" t="str">
        <x:v>Sales manager</x:v>
      </x:c>
      <x:c r="O4883" s="4"/>
      <x:c r="P4883" s="9" t="n">
        <x:v>0</x:v>
      </x:c>
      <x:c r="Q4883" s="11" t="n">
        <x:v>1</x:v>
      </x:c>
      <x:c r="R4883" s="8" t="n">
        <x:v>45635</x:v>
      </x:c>
      <x:c r="S4883" s="4" t="str">
        <x:v>Lost / cancelled</x:v>
      </x:c>
      <x:c r="T4883" s="10" t="n">
        <x:v>0.310195</x:v>
      </x:c>
      <x:c r="U4883" s="4" t="str">
        <x:v>Test</x:v>
      </x:c>
    </x:row>
    <x:row r="4884" ht="34" customHeight="1">
      <x:c r="A4884" s="4" t="str">
        <x:v>RS-04883</x:v>
      </x:c>
      <x:c r="B4884" s="8" t="n">
        <x:v>45576</x:v>
      </x:c>
      <x:c r="C4884" s="4" t="str">
        <x:v>PRJ-003</x:v>
      </x:c>
      <x:c r="D4884" s="4" t="str">
        <x:v>Apartment</x:v>
      </x:c>
      <x:c r="E4884" s="4" t="str">
        <x:v>Handed over</x:v>
      </x:c>
      <x:c r="F4884" s="4" t="str">
        <x:v>CUS-04883</x:v>
      </x:c>
      <x:c r="G4884" s="4" t="str">
        <x:v>UNIT-04883</x:v>
      </x:c>
      <x:c r="H4884" s="9" t="n">
        <x:v>9900000</x:v>
      </x:c>
      <x:c r="I4884" s="10" t="n">
        <x:v>0.09</x:v>
      </x:c>
      <x:c r="J4884" s="11" t="n">
        <x:v>2</x:v>
      </x:c>
      <x:c r="K4884" s="11" t="n">
        <x:v>8</x:v>
      </x:c>
      <x:c r="L4884" s="11" t="n">
        <x:v>0</x:v>
      </x:c>
      <x:c r="M4884" s="9" t="n">
        <x:f>ROUND(H4884*(1-I4884),2)</x:f>
        <x:v>9009000</x:v>
      </x:c>
      <x:c r="N4884" s="4" t="str">
        <x:v>Sales head</x:v>
      </x:c>
      <x:c r="O4884" s="4" t="str">
        <x:v>BOOK-04883</x:v>
      </x:c>
      <x:c r="P4884" s="9" t="n">
        <x:v>4504500</x:v>
      </x:c>
      <x:c r="Q4884" s="11" t="n">
        <x:v>0</x:v>
      </x:c>
      <x:c r="R4884" s="8" t="n">
        <x:v>45636</x:v>
      </x:c>
      <x:c r="S4884" s="4" t="str">
        <x:v>Retained</x:v>
      </x:c>
      <x:c r="T4884" s="10" t="n">
        <x:v>0.145833</x:v>
      </x:c>
      <x:c r="U4884" s="4" t="str">
        <x:v>Test</x:v>
      </x:c>
    </x:row>
    <x:row r="4885" ht="34" customHeight="1">
      <x:c r="A4885" s="4" t="str">
        <x:v>RS-04884</x:v>
      </x:c>
      <x:c r="B4885" s="8" t="n">
        <x:v>45577</x:v>
      </x:c>
      <x:c r="C4885" s="4" t="str">
        <x:v>PRJ-004</x:v>
      </x:c>
      <x:c r="D4885" s="4" t="str">
        <x:v>Villa</x:v>
      </x:c>
      <x:c r="E4885" s="4" t="str">
        <x:v>Cancelled</x:v>
      </x:c>
      <x:c r="F4885" s="4" t="str">
        <x:v>CUS-04884</x:v>
      </x:c>
      <x:c r="G4885" s="4" t="str">
        <x:v>UNIT-04884</x:v>
      </x:c>
      <x:c r="H4885" s="9" t="n">
        <x:v>18900000</x:v>
      </x:c>
      <x:c r="I4885" s="10" t="n">
        <x:v>0.03</x:v>
      </x:c>
      <x:c r="J4885" s="11" t="n">
        <x:v>4</x:v>
      </x:c>
      <x:c r="K4885" s="11" t="n">
        <x:v>1</x:v>
      </x:c>
      <x:c r="L4885" s="11" t="n">
        <x:v>0</x:v>
      </x:c>
      <x:c r="M4885" s="9" t="n">
        <x:f>ROUND(H4885*(1-I4885),2)</x:f>
        <x:v>18333000</x:v>
      </x:c>
      <x:c r="N4885" s="4" t="str">
        <x:v>Sales manager</x:v>
      </x:c>
      <x:c r="O4885" s="4"/>
      <x:c r="P4885" s="9" t="n">
        <x:v>0</x:v>
      </x:c>
      <x:c r="Q4885" s="11" t="n">
        <x:v>1</x:v>
      </x:c>
      <x:c r="R4885" s="8" t="n">
        <x:v>45637</x:v>
      </x:c>
      <x:c r="S4885" s="4" t="str">
        <x:v>Lost / cancelled</x:v>
      </x:c>
      <x:c r="T4885" s="10" t="n">
        <x:v>0.298969</x:v>
      </x:c>
      <x:c r="U4885" s="4" t="str">
        <x:v>Test</x:v>
      </x:c>
    </x:row>
    <x:row r="4886" ht="34" customHeight="1">
      <x:c r="A4886" s="4" t="str">
        <x:v>RS-04885</x:v>
      </x:c>
      <x:c r="B4886" s="8" t="n">
        <x:v>45578</x:v>
      </x:c>
      <x:c r="C4886" s="4" t="str">
        <x:v>PRJ-005</x:v>
      </x:c>
      <x:c r="D4886" s="4" t="str">
        <x:v>Apartment</x:v>
      </x:c>
      <x:c r="E4886" s="4" t="str">
        <x:v>Enquiry</x:v>
      </x:c>
      <x:c r="F4886" s="4" t="str">
        <x:v>CUS-04885</x:v>
      </x:c>
      <x:c r="G4886" s="4" t="str">
        <x:v>UNIT-04885</x:v>
      </x:c>
      <x:c r="H4886" s="9" t="n">
        <x:v>7900000</x:v>
      </x:c>
      <x:c r="I4886" s="10" t="n">
        <x:v>0.06</x:v>
      </x:c>
      <x:c r="J4886" s="11" t="n">
        <x:v>1</x:v>
      </x:c>
      <x:c r="K4886" s="11" t="n">
        <x:v>0</x:v>
      </x:c>
      <x:c r="L4886" s="11" t="n">
        <x:v>0</x:v>
      </x:c>
      <x:c r="M4886" s="9" t="n">
        <x:f>ROUND(H4886*(1-I4886),2)</x:f>
        <x:v>7426000</x:v>
      </x:c>
      <x:c r="N4886" s="4" t="str">
        <x:v>Sales manager</x:v>
      </x:c>
      <x:c r="O4886" s="4"/>
      <x:c r="P4886" s="9" t="n">
        <x:v>0</x:v>
      </x:c>
      <x:c r="Q4886" s="11" t="n">
        <x:v>0</x:v>
      </x:c>
      <x:c r="R4886" s="8" t="n">
        <x:v>45638</x:v>
      </x:c>
      <x:c r="S4886" s="4" t="str">
        <x:v>Retained</x:v>
      </x:c>
      <x:c r="T4886" s="10" t="n">
        <x:v>0.276923</x:v>
      </x:c>
      <x:c r="U4886" s="4" t="str">
        <x:v>Test</x:v>
      </x:c>
    </x:row>
    <x:row r="4887" ht="34" customHeight="1">
      <x:c r="A4887" s="4" t="str">
        <x:v>RS-04886</x:v>
      </x:c>
      <x:c r="B4887" s="8" t="n">
        <x:v>45579</x:v>
      </x:c>
      <x:c r="C4887" s="4" t="str">
        <x:v>PRJ-006</x:v>
      </x:c>
      <x:c r="D4887" s="4" t="str">
        <x:v>Villa</x:v>
      </x:c>
      <x:c r="E4887" s="4" t="str">
        <x:v>Reserved</x:v>
      </x:c>
      <x:c r="F4887" s="4" t="str">
        <x:v>CUS-04886</x:v>
      </x:c>
      <x:c r="G4887" s="4" t="str">
        <x:v>UNIT-04886</x:v>
      </x:c>
      <x:c r="H4887" s="9" t="n">
        <x:v>5200000</x:v>
      </x:c>
      <x:c r="I4887" s="10" t="n">
        <x:v>0.02</x:v>
      </x:c>
      <x:c r="J4887" s="11" t="n">
        <x:v>4</x:v>
      </x:c>
      <x:c r="K4887" s="11" t="n">
        <x:v>9</x:v>
      </x:c>
      <x:c r="L4887" s="11" t="n">
        <x:v>1</x:v>
      </x:c>
      <x:c r="M4887" s="9" t="n">
        <x:f>ROUND(H4887*(1-I4887),2)</x:f>
        <x:v>5096000</x:v>
      </x:c>
      <x:c r="N4887" s="4" t="str">
        <x:v>Sales manager</x:v>
      </x:c>
      <x:c r="O4887" s="4"/>
      <x:c r="P4887" s="9" t="n">
        <x:v>0</x:v>
      </x:c>
      <x:c r="Q4887" s="11" t="n">
        <x:v>0</x:v>
      </x:c>
      <x:c r="R4887" s="8" t="n">
        <x:v>45639</x:v>
      </x:c>
      <x:c r="S4887" s="4" t="str">
        <x:v>Retained</x:v>
      </x:c>
      <x:c r="T4887" s="10" t="n">
        <x:v>0.145299</x:v>
      </x:c>
      <x:c r="U4887" s="4" t="str">
        <x:v>Test</x:v>
      </x:c>
    </x:row>
    <x:row r="4888" ht="34" customHeight="1">
      <x:c r="A4888" s="4" t="str">
        <x:v>RS-04887</x:v>
      </x:c>
      <x:c r="B4888" s="8" t="n">
        <x:v>45580</x:v>
      </x:c>
      <x:c r="C4888" s="4" t="str">
        <x:v>PRJ-007</x:v>
      </x:c>
      <x:c r="D4888" s="4" t="str">
        <x:v>Office</x:v>
      </x:c>
      <x:c r="E4888" s="4" t="str">
        <x:v>Enquiry</x:v>
      </x:c>
      <x:c r="F4888" s="4" t="str">
        <x:v>CUS-04887</x:v>
      </x:c>
      <x:c r="G4888" s="4" t="str">
        <x:v>UNIT-04887</x:v>
      </x:c>
      <x:c r="H4888" s="9" t="n">
        <x:v>24700000</x:v>
      </x:c>
      <x:c r="I4888" s="10" t="n">
        <x:v>0.1</x:v>
      </x:c>
      <x:c r="J4888" s="11" t="n">
        <x:v>6</x:v>
      </x:c>
      <x:c r="K4888" s="11" t="n">
        <x:v>10</x:v>
      </x:c>
      <x:c r="L4888" s="11" t="n">
        <x:v>1</x:v>
      </x:c>
      <x:c r="M4888" s="9" t="n">
        <x:f>ROUND(H4888*(1-I4888),2)</x:f>
        <x:v>22230000</x:v>
      </x:c>
      <x:c r="N4888" s="4" t="str">
        <x:v>Sales head</x:v>
      </x:c>
      <x:c r="O4888" s="4"/>
      <x:c r="P4888" s="9" t="n">
        <x:v>0</x:v>
      </x:c>
      <x:c r="Q4888" s="11" t="n">
        <x:v>0</x:v>
      </x:c>
      <x:c r="R4888" s="8" t="n">
        <x:v>45640</x:v>
      </x:c>
      <x:c r="S4888" s="4" t="str">
        <x:v>Retained</x:v>
      </x:c>
      <x:c r="T4888" s="10" t="n">
        <x:v>0.291946</x:v>
      </x:c>
      <x:c r="U4888" s="4" t="str">
        <x:v>Test</x:v>
      </x:c>
    </x:row>
    <x:row r="4889" ht="34" customHeight="1">
      <x:c r="A4889" s="4" t="str">
        <x:v>RS-04888</x:v>
      </x:c>
      <x:c r="B4889" s="8" t="n">
        <x:v>45581</x:v>
      </x:c>
      <x:c r="C4889" s="4" t="str">
        <x:v>PRJ-008</x:v>
      </x:c>
      <x:c r="D4889" s="4" t="str">
        <x:v>Apartment</x:v>
      </x:c>
      <x:c r="E4889" s="4" t="str">
        <x:v>Reserved</x:v>
      </x:c>
      <x:c r="F4889" s="4" t="str">
        <x:v>CUS-04888</x:v>
      </x:c>
      <x:c r="G4889" s="4" t="str">
        <x:v>UNIT-04888</x:v>
      </x:c>
      <x:c r="H4889" s="9" t="n">
        <x:v>4000000</x:v>
      </x:c>
      <x:c r="I4889" s="10" t="n">
        <x:v>0.04</x:v>
      </x:c>
      <x:c r="J4889" s="11" t="n">
        <x:v>2</x:v>
      </x:c>
      <x:c r="K4889" s="11" t="n">
        <x:v>10</x:v>
      </x:c>
      <x:c r="L4889" s="11" t="n">
        <x:v>0</x:v>
      </x:c>
      <x:c r="M4889" s="9" t="n">
        <x:f>ROUND(H4889*(1-I4889),2)</x:f>
        <x:v>3840000</x:v>
      </x:c>
      <x:c r="N4889" s="4" t="str">
        <x:v>Sales manager</x:v>
      </x:c>
      <x:c r="O4889" s="4"/>
      <x:c r="P4889" s="9" t="n">
        <x:v>0</x:v>
      </x:c>
      <x:c r="Q4889" s="11" t="n">
        <x:v>0</x:v>
      </x:c>
      <x:c r="R4889" s="8" t="n">
        <x:v>45641</x:v>
      </x:c>
      <x:c r="S4889" s="4" t="str">
        <x:v>Retained</x:v>
      </x:c>
      <x:c r="T4889" s="10" t="n">
        <x:v>0.204152</x:v>
      </x:c>
      <x:c r="U4889" s="4" t="str">
        <x:v>Test</x:v>
      </x:c>
    </x:row>
    <x:row r="4890" ht="34" customHeight="1">
      <x:c r="A4890" s="4" t="str">
        <x:v>RS-04889</x:v>
      </x:c>
      <x:c r="B4890" s="8" t="n">
        <x:v>45582</x:v>
      </x:c>
      <x:c r="C4890" s="4" t="str">
        <x:v>PRJ-009</x:v>
      </x:c>
      <x:c r="D4890" s="4" t="str">
        <x:v>Office</x:v>
      </x:c>
      <x:c r="E4890" s="4" t="str">
        <x:v>Cancelled</x:v>
      </x:c>
      <x:c r="F4890" s="4" t="str">
        <x:v>CUS-04889</x:v>
      </x:c>
      <x:c r="G4890" s="4" t="str">
        <x:v>UNIT-04889</x:v>
      </x:c>
      <x:c r="H4890" s="9" t="n">
        <x:v>12000000</x:v>
      </x:c>
      <x:c r="I4890" s="10" t="n">
        <x:v>0.01</x:v>
      </x:c>
      <x:c r="J4890" s="11" t="n">
        <x:v>1</x:v>
      </x:c>
      <x:c r="K4890" s="11" t="n">
        <x:v>7</x:v>
      </x:c>
      <x:c r="L4890" s="11" t="n">
        <x:v>0</x:v>
      </x:c>
      <x:c r="M4890" s="9" t="n">
        <x:f>ROUND(H4890*(1-I4890),2)</x:f>
        <x:v>11880000</x:v>
      </x:c>
      <x:c r="N4890" s="4" t="str">
        <x:v>Sales manager</x:v>
      </x:c>
      <x:c r="O4890" s="4"/>
      <x:c r="P4890" s="9" t="n">
        <x:v>0</x:v>
      </x:c>
      <x:c r="Q4890" s="11" t="n">
        <x:v>1</x:v>
      </x:c>
      <x:c r="R4890" s="8" t="n">
        <x:v>45642</x:v>
      </x:c>
      <x:c r="S4890" s="4" t="str">
        <x:v>Lost / cancelled</x:v>
      </x:c>
      <x:c r="T4890" s="10" t="n">
        <x:v>0.072165</x:v>
      </x:c>
      <x:c r="U4890" s="4" t="str">
        <x:v>Test</x:v>
      </x:c>
    </x:row>
    <x:row r="4891" ht="34" customHeight="1">
      <x:c r="A4891" s="4" t="str">
        <x:v>RS-04890</x:v>
      </x:c>
      <x:c r="B4891" s="8" t="n">
        <x:v>45583</x:v>
      </x:c>
      <x:c r="C4891" s="4" t="str">
        <x:v>PRJ-010</x:v>
      </x:c>
      <x:c r="D4891" s="4" t="str">
        <x:v>Apartment</x:v>
      </x:c>
      <x:c r="E4891" s="4" t="str">
        <x:v>Enquiry</x:v>
      </x:c>
      <x:c r="F4891" s="4" t="str">
        <x:v>CUS-04890</x:v>
      </x:c>
      <x:c r="G4891" s="4" t="str">
        <x:v>UNIT-04890</x:v>
      </x:c>
      <x:c r="H4891" s="9" t="n">
        <x:v>18000000</x:v>
      </x:c>
      <x:c r="I4891" s="10" t="n">
        <x:v>0.08</x:v>
      </x:c>
      <x:c r="J4891" s="11" t="n">
        <x:v>3</x:v>
      </x:c>
      <x:c r="K4891" s="11" t="n">
        <x:v>10</x:v>
      </x:c>
      <x:c r="L4891" s="11" t="n">
        <x:v>1</x:v>
      </x:c>
      <x:c r="M4891" s="9" t="n">
        <x:f>ROUND(H4891*(1-I4891),2)</x:f>
        <x:v>16560000</x:v>
      </x:c>
      <x:c r="N4891" s="4" t="str">
        <x:v>Sales head</x:v>
      </x:c>
      <x:c r="O4891" s="4"/>
      <x:c r="P4891" s="9" t="n">
        <x:v>0</x:v>
      </x:c>
      <x:c r="Q4891" s="11" t="n">
        <x:v>0</x:v>
      </x:c>
      <x:c r="R4891" s="8" t="n">
        <x:v>45643</x:v>
      </x:c>
      <x:c r="S4891" s="4" t="str">
        <x:v>Retained</x:v>
      </x:c>
      <x:c r="T4891" s="10" t="n">
        <x:v>0.204152</x:v>
      </x:c>
      <x:c r="U4891" s="4" t="str">
        <x:v>Test</x:v>
      </x:c>
    </x:row>
    <x:row r="4892" ht="34" customHeight="1">
      <x:c r="A4892" s="4" t="str">
        <x:v>RS-04891</x:v>
      </x:c>
      <x:c r="B4892" s="8" t="n">
        <x:v>45584</x:v>
      </x:c>
      <x:c r="C4892" s="4" t="str">
        <x:v>PRJ-011</x:v>
      </x:c>
      <x:c r="D4892" s="4" t="str">
        <x:v>Villa</x:v>
      </x:c>
      <x:c r="E4892" s="4" t="str">
        <x:v>Reserved</x:v>
      </x:c>
      <x:c r="F4892" s="4" t="str">
        <x:v>CUS-04891</x:v>
      </x:c>
      <x:c r="G4892" s="4" t="str">
        <x:v>UNIT-04891</x:v>
      </x:c>
      <x:c r="H4892" s="9" t="n">
        <x:v>6600000</x:v>
      </x:c>
      <x:c r="I4892" s="10" t="n">
        <x:v>0.06</x:v>
      </x:c>
      <x:c r="J4892" s="11" t="n">
        <x:v>7</x:v>
      </x:c>
      <x:c r="K4892" s="11" t="n">
        <x:v>2</x:v>
      </x:c>
      <x:c r="L4892" s="11" t="n">
        <x:v>1</x:v>
      </x:c>
      <x:c r="M4892" s="9" t="n">
        <x:f>ROUND(H4892*(1-I4892),2)</x:f>
        <x:v>6204000</x:v>
      </x:c>
      <x:c r="N4892" s="4" t="str">
        <x:v>Sales manager</x:v>
      </x:c>
      <x:c r="O4892" s="4"/>
      <x:c r="P4892" s="9" t="n">
        <x:v>0</x:v>
      </x:c>
      <x:c r="Q4892" s="11" t="n">
        <x:v>1</x:v>
      </x:c>
      <x:c r="R4892" s="8" t="n">
        <x:v>45644</x:v>
      </x:c>
      <x:c r="S4892" s="4" t="str">
        <x:v>Lost / cancelled</x:v>
      </x:c>
      <x:c r="T4892" s="10" t="n">
        <x:v>0.291946</x:v>
      </x:c>
      <x:c r="U4892" s="4" t="str">
        <x:v>Test</x:v>
      </x:c>
    </x:row>
    <x:row r="4893" ht="34" customHeight="1">
      <x:c r="A4893" s="4" t="str">
        <x:v>RS-04892</x:v>
      </x:c>
      <x:c r="B4893" s="8" t="n">
        <x:v>45585</x:v>
      </x:c>
      <x:c r="C4893" s="4" t="str">
        <x:v>PRJ-012</x:v>
      </x:c>
      <x:c r="D4893" s="4" t="str">
        <x:v>Retail</x:v>
      </x:c>
      <x:c r="E4893" s="4" t="str">
        <x:v>Cancelled</x:v>
      </x:c>
      <x:c r="F4893" s="4" t="str">
        <x:v>CUS-04892</x:v>
      </x:c>
      <x:c r="G4893" s="4" t="str">
        <x:v>UNIT-04892</x:v>
      </x:c>
      <x:c r="H4893" s="9" t="n">
        <x:v>11400000</x:v>
      </x:c>
      <x:c r="I4893" s="10" t="n">
        <x:v>0.02</x:v>
      </x:c>
      <x:c r="J4893" s="11" t="n">
        <x:v>12</x:v>
      </x:c>
      <x:c r="K4893" s="11" t="n">
        <x:v>4</x:v>
      </x:c>
      <x:c r="L4893" s="11" t="n">
        <x:v>1</x:v>
      </x:c>
      <x:c r="M4893" s="9" t="n">
        <x:f>ROUND(H4893*(1-I4893),2)</x:f>
        <x:v>11172000</x:v>
      </x:c>
      <x:c r="N4893" s="4" t="str">
        <x:v>Sales manager</x:v>
      </x:c>
      <x:c r="O4893" s="4"/>
      <x:c r="P4893" s="9" t="n">
        <x:v>0</x:v>
      </x:c>
      <x:c r="Q4893" s="11" t="n">
        <x:v>1</x:v>
      </x:c>
      <x:c r="R4893" s="8" t="n">
        <x:v>45645</x:v>
      </x:c>
      <x:c r="S4893" s="4" t="str">
        <x:v>Lost / cancelled</x:v>
      </x:c>
      <x:c r="T4893" s="10" t="n">
        <x:v>0.254545</x:v>
      </x:c>
      <x:c r="U4893" s="4" t="str">
        <x:v>Test</x:v>
      </x:c>
    </x:row>
    <x:row r="4894" ht="34" customHeight="1">
      <x:c r="A4894" s="4" t="str">
        <x:v>RS-04893</x:v>
      </x:c>
      <x:c r="B4894" s="8" t="n">
        <x:v>45586</x:v>
      </x:c>
      <x:c r="C4894" s="4" t="str">
        <x:v>PRJ-013</x:v>
      </x:c>
      <x:c r="D4894" s="4" t="str">
        <x:v>Villa</x:v>
      </x:c>
      <x:c r="E4894" s="4" t="str">
        <x:v>Booked</x:v>
      </x:c>
      <x:c r="F4894" s="4" t="str">
        <x:v>CUS-04893</x:v>
      </x:c>
      <x:c r="G4894" s="4" t="str">
        <x:v>UNIT-04893</x:v>
      </x:c>
      <x:c r="H4894" s="9" t="n">
        <x:v>19100000</x:v>
      </x:c>
      <x:c r="I4894" s="10" t="n">
        <x:v>0.11</x:v>
      </x:c>
      <x:c r="J4894" s="11" t="n">
        <x:v>7</x:v>
      </x:c>
      <x:c r="K4894" s="11" t="n">
        <x:v>1</x:v>
      </x:c>
      <x:c r="L4894" s="11" t="n">
        <x:v>1</x:v>
      </x:c>
      <x:c r="M4894" s="9" t="n">
        <x:f>ROUND(H4894*(1-I4894),2)</x:f>
        <x:v>16999000</x:v>
      </x:c>
      <x:c r="N4894" s="4" t="str">
        <x:v>Sales head</x:v>
      </x:c>
      <x:c r="O4894" s="4" t="str">
        <x:v>BOOK-04893</x:v>
      </x:c>
      <x:c r="P4894" s="9" t="n">
        <x:v>8499500</x:v>
      </x:c>
      <x:c r="Q4894" s="11" t="n">
        <x:v>0</x:v>
      </x:c>
      <x:c r="R4894" s="8" t="n">
        <x:v>45646</x:v>
      </x:c>
      <x:c r="S4894" s="4" t="str">
        <x:v>Retained</x:v>
      </x:c>
      <x:c r="T4894" s="10" t="n">
        <x:v>0.291946</x:v>
      </x:c>
      <x:c r="U4894" s="4" t="str">
        <x:v>Test</x:v>
      </x:c>
    </x:row>
    <x:row r="4895" ht="34" customHeight="1">
      <x:c r="A4895" s="4" t="str">
        <x:v>RS-04894</x:v>
      </x:c>
      <x:c r="B4895" s="8" t="n">
        <x:v>45587</x:v>
      </x:c>
      <x:c r="C4895" s="4" t="str">
        <x:v>PRJ-014</x:v>
      </x:c>
      <x:c r="D4895" s="4" t="str">
        <x:v>Retail</x:v>
      </x:c>
      <x:c r="E4895" s="4" t="str">
        <x:v>Handed over</x:v>
      </x:c>
      <x:c r="F4895" s="4" t="str">
        <x:v>CUS-04894</x:v>
      </x:c>
      <x:c r="G4895" s="4" t="str">
        <x:v>UNIT-04894</x:v>
      </x:c>
      <x:c r="H4895" s="9" t="n">
        <x:v>4200000</x:v>
      </x:c>
      <x:c r="I4895" s="10" t="n">
        <x:v>0.02</x:v>
      </x:c>
      <x:c r="J4895" s="11" t="n">
        <x:v>6</x:v>
      </x:c>
      <x:c r="K4895" s="11" t="n">
        <x:v>4</x:v>
      </x:c>
      <x:c r="L4895" s="11" t="n">
        <x:v>1</x:v>
      </x:c>
      <x:c r="M4895" s="9" t="n">
        <x:f>ROUND(H4895*(1-I4895),2)</x:f>
        <x:v>4116000</x:v>
      </x:c>
      <x:c r="N4895" s="4" t="str">
        <x:v>Sales manager</x:v>
      </x:c>
      <x:c r="O4895" s="4" t="str">
        <x:v>BOOK-04894</x:v>
      </x:c>
      <x:c r="P4895" s="9" t="n">
        <x:v>2058000</x:v>
      </x:c>
      <x:c r="Q4895" s="11" t="n">
        <x:v>0</x:v>
      </x:c>
      <x:c r="R4895" s="8" t="n">
        <x:v>45647</x:v>
      </x:c>
      <x:c r="S4895" s="4" t="str">
        <x:v>Retained</x:v>
      </x:c>
      <x:c r="T4895" s="10" t="n">
        <x:v>0.298969</x:v>
      </x:c>
      <x:c r="U4895" s="4" t="str">
        <x:v>Test</x:v>
      </x:c>
    </x:row>
    <x:row r="4896" ht="34" customHeight="1">
      <x:c r="A4896" s="4" t="str">
        <x:v>RS-04895</x:v>
      </x:c>
      <x:c r="B4896" s="8" t="n">
        <x:v>45588</x:v>
      </x:c>
      <x:c r="C4896" s="4" t="str">
        <x:v>PRJ-015</x:v>
      </x:c>
      <x:c r="D4896" s="4" t="str">
        <x:v>Office</x:v>
      </x:c>
      <x:c r="E4896" s="4" t="str">
        <x:v>Cancelled</x:v>
      </x:c>
      <x:c r="F4896" s="4" t="str">
        <x:v>CUS-04895</x:v>
      </x:c>
      <x:c r="G4896" s="4" t="str">
        <x:v>UNIT-04895</x:v>
      </x:c>
      <x:c r="H4896" s="9" t="n">
        <x:v>7100000</x:v>
      </x:c>
      <x:c r="I4896" s="10" t="n">
        <x:v>0.06</x:v>
      </x:c>
      <x:c r="J4896" s="11" t="n">
        <x:v>8</x:v>
      </x:c>
      <x:c r="K4896" s="11" t="n">
        <x:v>7</x:v>
      </x:c>
      <x:c r="L4896" s="11" t="n">
        <x:v>1</x:v>
      </x:c>
      <x:c r="M4896" s="9" t="n">
        <x:f>ROUND(H4896*(1-I4896),2)</x:f>
        <x:v>6674000</x:v>
      </x:c>
      <x:c r="N4896" s="4" t="str">
        <x:v>Sales manager</x:v>
      </x:c>
      <x:c r="O4896" s="4"/>
      <x:c r="P4896" s="9" t="n">
        <x:v>0</x:v>
      </x:c>
      <x:c r="Q4896" s="11" t="n">
        <x:v>1</x:v>
      </x:c>
      <x:c r="R4896" s="8" t="n">
        <x:v>45648</x:v>
      </x:c>
      <x:c r="S4896" s="4" t="str">
        <x:v>Lost / cancelled</x:v>
      </x:c>
      <x:c r="T4896" s="10" t="n">
        <x:v>0.310195</x:v>
      </x:c>
      <x:c r="U4896" s="4" t="str">
        <x:v>Test</x:v>
      </x:c>
    </x:row>
    <x:row r="4897" ht="34" customHeight="1">
      <x:c r="A4897" s="4" t="str">
        <x:v>RS-04896</x:v>
      </x:c>
      <x:c r="B4897" s="8" t="n">
        <x:v>45589</x:v>
      </x:c>
      <x:c r="C4897" s="4" t="str">
        <x:v>PRJ-016</x:v>
      </x:c>
      <x:c r="D4897" s="4" t="str">
        <x:v>Apartment</x:v>
      </x:c>
      <x:c r="E4897" s="4" t="str">
        <x:v>Booked</x:v>
      </x:c>
      <x:c r="F4897" s="4" t="str">
        <x:v>CUS-04896</x:v>
      </x:c>
      <x:c r="G4897" s="4" t="str">
        <x:v>UNIT-04896</x:v>
      </x:c>
      <x:c r="H4897" s="9" t="n">
        <x:v>8500000</x:v>
      </x:c>
      <x:c r="I4897" s="10" t="n">
        <x:v>0.02</x:v>
      </x:c>
      <x:c r="J4897" s="11" t="n">
        <x:v>11</x:v>
      </x:c>
      <x:c r="K4897" s="11" t="n">
        <x:v>10</x:v>
      </x:c>
      <x:c r="L4897" s="11" t="n">
        <x:v>0</x:v>
      </x:c>
      <x:c r="M4897" s="9" t="n">
        <x:f>ROUND(H4897*(1-I4897),2)</x:f>
        <x:v>8330000</x:v>
      </x:c>
      <x:c r="N4897" s="4" t="str">
        <x:v>Sales manager</x:v>
      </x:c>
      <x:c r="O4897" s="4" t="str">
        <x:v>BOOK-04896</x:v>
      </x:c>
      <x:c r="P4897" s="9" t="n">
        <x:v>8330000</x:v>
      </x:c>
      <x:c r="Q4897" s="11" t="n">
        <x:v>0</x:v>
      </x:c>
      <x:c r="R4897" s="8" t="n">
        <x:v>45649</x:v>
      </x:c>
      <x:c r="S4897" s="4" t="str">
        <x:v>Retained</x:v>
      </x:c>
      <x:c r="T4897" s="10" t="n">
        <x:v>0.305556</x:v>
      </x:c>
      <x:c r="U4897" s="4" t="str">
        <x:v>Test</x:v>
      </x:c>
    </x:row>
    <x:row r="4898" ht="34" customHeight="1">
      <x:c r="A4898" s="4" t="str">
        <x:v>RS-04897</x:v>
      </x:c>
      <x:c r="B4898" s="8" t="n">
        <x:v>45590</x:v>
      </x:c>
      <x:c r="C4898" s="4" t="str">
        <x:v>PRJ-017</x:v>
      </x:c>
      <x:c r="D4898" s="4" t="str">
        <x:v>Villa</x:v>
      </x:c>
      <x:c r="E4898" s="4" t="str">
        <x:v>Cancelled</x:v>
      </x:c>
      <x:c r="F4898" s="4" t="str">
        <x:v>CUS-04897</x:v>
      </x:c>
      <x:c r="G4898" s="4" t="str">
        <x:v>UNIT-04897</x:v>
      </x:c>
      <x:c r="H4898" s="9" t="n">
        <x:v>5300000</x:v>
      </x:c>
      <x:c r="I4898" s="10" t="n">
        <x:v>0.1</x:v>
      </x:c>
      <x:c r="J4898" s="11" t="n">
        <x:v>6</x:v>
      </x:c>
      <x:c r="K4898" s="11" t="n">
        <x:v>6</x:v>
      </x:c>
      <x:c r="L4898" s="11" t="n">
        <x:v>0</x:v>
      </x:c>
      <x:c r="M4898" s="9" t="n">
        <x:f>ROUND(H4898*(1-I4898),2)</x:f>
        <x:v>4770000</x:v>
      </x:c>
      <x:c r="N4898" s="4" t="str">
        <x:v>Sales head</x:v>
      </x:c>
      <x:c r="O4898" s="4"/>
      <x:c r="P4898" s="9" t="n">
        <x:v>0</x:v>
      </x:c>
      <x:c r="Q4898" s="11" t="n">
        <x:v>1</x:v>
      </x:c>
      <x:c r="R4898" s="8" t="n">
        <x:v>45650</x:v>
      </x:c>
      <x:c r="S4898" s="4" t="str">
        <x:v>Lost / cancelled</x:v>
      </x:c>
      <x:c r="T4898" s="10" t="n">
        <x:v>0.226277</x:v>
      </x:c>
      <x:c r="U4898" s="4" t="str">
        <x:v>Test</x:v>
      </x:c>
    </x:row>
    <x:row r="4899" ht="34" customHeight="1">
      <x:c r="A4899" s="4" t="str">
        <x:v>RS-04898</x:v>
      </x:c>
      <x:c r="B4899" s="8" t="n">
        <x:v>45591</x:v>
      </x:c>
      <x:c r="C4899" s="4" t="str">
        <x:v>PRJ-018</x:v>
      </x:c>
      <x:c r="D4899" s="4" t="str">
        <x:v>Retail</x:v>
      </x:c>
      <x:c r="E4899" s="4" t="str">
        <x:v>Booked</x:v>
      </x:c>
      <x:c r="F4899" s="4" t="str">
        <x:v>CUS-04898</x:v>
      </x:c>
      <x:c r="G4899" s="4" t="str">
        <x:v>UNIT-04898</x:v>
      </x:c>
      <x:c r="H4899" s="9" t="n">
        <x:v>21500000</x:v>
      </x:c>
      <x:c r="I4899" s="10" t="n">
        <x:v>0.04</x:v>
      </x:c>
      <x:c r="J4899" s="11" t="n">
        <x:v>9</x:v>
      </x:c>
      <x:c r="K4899" s="11" t="n">
        <x:v>0</x:v>
      </x:c>
      <x:c r="L4899" s="11" t="n">
        <x:v>1</x:v>
      </x:c>
      <x:c r="M4899" s="9" t="n">
        <x:f>ROUND(H4899*(1-I4899),2)</x:f>
        <x:v>20640000</x:v>
      </x:c>
      <x:c r="N4899" s="4" t="str">
        <x:v>Sales manager</x:v>
      </x:c>
      <x:c r="O4899" s="4" t="str">
        <x:v>BOOK-04898</x:v>
      </x:c>
      <x:c r="P4899" s="9" t="n">
        <x:v>20640000</x:v>
      </x:c>
      <x:c r="Q4899" s="11" t="n">
        <x:v>0</x:v>
      </x:c>
      <x:c r="R4899" s="8" t="n">
        <x:v>45651</x:v>
      </x:c>
      <x:c r="S4899" s="4" t="str">
        <x:v>Retained</x:v>
      </x:c>
      <x:c r="T4899" s="10" t="n">
        <x:v>0.310195</x:v>
      </x:c>
      <x:c r="U4899" s="4" t="str">
        <x:v>Test</x:v>
      </x:c>
    </x:row>
    <x:row r="4900" ht="34" customHeight="1">
      <x:c r="A4900" s="4" t="str">
        <x:v>RS-04899</x:v>
      </x:c>
      <x:c r="B4900" s="8" t="n">
        <x:v>45592</x:v>
      </x:c>
      <x:c r="C4900" s="4" t="str">
        <x:v>PRJ-019</x:v>
      </x:c>
      <x:c r="D4900" s="4" t="str">
        <x:v>Office</x:v>
      </x:c>
      <x:c r="E4900" s="4" t="str">
        <x:v>Handed over</x:v>
      </x:c>
      <x:c r="F4900" s="4" t="str">
        <x:v>CUS-04899</x:v>
      </x:c>
      <x:c r="G4900" s="4" t="str">
        <x:v>UNIT-04899</x:v>
      </x:c>
      <x:c r="H4900" s="9" t="n">
        <x:v>10600000</x:v>
      </x:c>
      <x:c r="I4900" s="10" t="n">
        <x:v>0.02</x:v>
      </x:c>
      <x:c r="J4900" s="11" t="n">
        <x:v>3</x:v>
      </x:c>
      <x:c r="K4900" s="11" t="n">
        <x:v>9</x:v>
      </x:c>
      <x:c r="L4900" s="11" t="n">
        <x:v>0</x:v>
      </x:c>
      <x:c r="M4900" s="9" t="n">
        <x:f>ROUND(H4900*(1-I4900),2)</x:f>
        <x:v>10388000</x:v>
      </x:c>
      <x:c r="N4900" s="4" t="str">
        <x:v>Sales manager</x:v>
      </x:c>
      <x:c r="O4900" s="4" t="str">
        <x:v>BOOK-04899</x:v>
      </x:c>
      <x:c r="P4900" s="9" t="n">
        <x:v>1038800</x:v>
      </x:c>
      <x:c r="Q4900" s="11" t="n">
        <x:v>0</x:v>
      </x:c>
      <x:c r="R4900" s="8" t="n">
        <x:v>45652</x:v>
      </x:c>
      <x:c r="S4900" s="4" t="str">
        <x:v>Retained</x:v>
      </x:c>
      <x:c r="T4900" s="10" t="n">
        <x:v>0.171717</x:v>
      </x:c>
      <x:c r="U4900" s="4" t="str">
        <x:v>Test</x:v>
      </x:c>
    </x:row>
    <x:row r="4901" ht="34" customHeight="1">
      <x:c r="A4901" s="4" t="str">
        <x:v>RS-04900</x:v>
      </x:c>
      <x:c r="B4901" s="8" t="n">
        <x:v>45593</x:v>
      </x:c>
      <x:c r="C4901" s="4" t="str">
        <x:v>PRJ-020</x:v>
      </x:c>
      <x:c r="D4901" s="4" t="str">
        <x:v>Office</x:v>
      </x:c>
      <x:c r="E4901" s="4" t="str">
        <x:v>Booked</x:v>
      </x:c>
      <x:c r="F4901" s="4" t="str">
        <x:v>CUS-04900</x:v>
      </x:c>
      <x:c r="G4901" s="4" t="str">
        <x:v>UNIT-04900</x:v>
      </x:c>
      <x:c r="H4901" s="9" t="n">
        <x:v>22200000</x:v>
      </x:c>
      <x:c r="I4901" s="10" t="n">
        <x:v>0.01</x:v>
      </x:c>
      <x:c r="J4901" s="11" t="n">
        <x:v>9</x:v>
      </x:c>
      <x:c r="K4901" s="11" t="n">
        <x:v>10</x:v>
      </x:c>
      <x:c r="L4901" s="11" t="n">
        <x:v>0</x:v>
      </x:c>
      <x:c r="M4901" s="9" t="n">
        <x:f>ROUND(H4901*(1-I4901),2)</x:f>
        <x:v>21978000</x:v>
      </x:c>
      <x:c r="N4901" s="4" t="str">
        <x:v>Sales manager</x:v>
      </x:c>
      <x:c r="O4901" s="4" t="str">
        <x:v>BOOK-04900</x:v>
      </x:c>
      <x:c r="P4901" s="9" t="n">
        <x:v>5494500</x:v>
      </x:c>
      <x:c r="Q4901" s="11" t="n">
        <x:v>0</x:v>
      </x:c>
      <x:c r="R4901" s="8" t="n">
        <x:v>45653</x:v>
      </x:c>
      <x:c r="S4901" s="4" t="str">
        <x:v>Retained</x:v>
      </x:c>
      <x:c r="T4901" s="10" t="n">
        <x:v>0.305556</x:v>
      </x:c>
      <x:c r="U4901" s="4" t="str">
        <x:v>Test</x:v>
      </x:c>
    </x:row>
    <x:row r="4902" ht="34" customHeight="1">
      <x:c r="A4902" s="4" t="str">
        <x:v>RS-04901</x:v>
      </x:c>
      <x:c r="B4902" s="8" t="n">
        <x:v>45566</x:v>
      </x:c>
      <x:c r="C4902" s="4" t="str">
        <x:v>PRJ-001</x:v>
      </x:c>
      <x:c r="D4902" s="4" t="str">
        <x:v>Apartment</x:v>
      </x:c>
      <x:c r="E4902" s="4" t="str">
        <x:v>Reserved</x:v>
      </x:c>
      <x:c r="F4902" s="4" t="str">
        <x:v>CUS-04901</x:v>
      </x:c>
      <x:c r="G4902" s="4" t="str">
        <x:v>UNIT-04901</x:v>
      </x:c>
      <x:c r="H4902" s="9" t="n">
        <x:v>11800000</x:v>
      </x:c>
      <x:c r="I4902" s="10" t="n">
        <x:v>0.05</x:v>
      </x:c>
      <x:c r="J4902" s="11" t="n">
        <x:v>6</x:v>
      </x:c>
      <x:c r="K4902" s="11" t="n">
        <x:v>0</x:v>
      </x:c>
      <x:c r="L4902" s="11" t="n">
        <x:v>0</x:v>
      </x:c>
      <x:c r="M4902" s="9" t="n">
        <x:f>ROUND(H4902*(1-I4902),2)</x:f>
        <x:v>11210000</x:v>
      </x:c>
      <x:c r="N4902" s="4" t="str">
        <x:v>Sales manager</x:v>
      </x:c>
      <x:c r="O4902" s="4"/>
      <x:c r="P4902" s="9" t="n">
        <x:v>0</x:v>
      </x:c>
      <x:c r="Q4902" s="11" t="n">
        <x:v>0</x:v>
      </x:c>
      <x:c r="R4902" s="8" t="n">
        <x:v>45626</x:v>
      </x:c>
      <x:c r="S4902" s="4" t="str">
        <x:v>Retained</x:v>
      </x:c>
      <x:c r="T4902" s="10" t="n">
        <x:v>0.226277</x:v>
      </x:c>
      <x:c r="U4902" s="4" t="str">
        <x:v>Test</x:v>
      </x:c>
    </x:row>
    <x:row r="4903" ht="34" customHeight="1">
      <x:c r="A4903" s="4" t="str">
        <x:v>RS-04902</x:v>
      </x:c>
      <x:c r="B4903" s="8" t="n">
        <x:v>45567</x:v>
      </x:c>
      <x:c r="C4903" s="4" t="str">
        <x:v>PRJ-002</x:v>
      </x:c>
      <x:c r="D4903" s="4" t="str">
        <x:v>Retail</x:v>
      </x:c>
      <x:c r="E4903" s="4" t="str">
        <x:v>Booked</x:v>
      </x:c>
      <x:c r="F4903" s="4" t="str">
        <x:v>CUS-04902</x:v>
      </x:c>
      <x:c r="G4903" s="4" t="str">
        <x:v>UNIT-04902</x:v>
      </x:c>
      <x:c r="H4903" s="9" t="n">
        <x:v>15500000</x:v>
      </x:c>
      <x:c r="I4903" s="10" t="n">
        <x:v>0.01</x:v>
      </x:c>
      <x:c r="J4903" s="11" t="n">
        <x:v>3</x:v>
      </x:c>
      <x:c r="K4903" s="11" t="n">
        <x:v>1</x:v>
      </x:c>
      <x:c r="L4903" s="11" t="n">
        <x:v>0</x:v>
      </x:c>
      <x:c r="M4903" s="9" t="n">
        <x:f>ROUND(H4903*(1-I4903),2)</x:f>
        <x:v>15345000</x:v>
      </x:c>
      <x:c r="N4903" s="4" t="str">
        <x:v>Sales manager</x:v>
      </x:c>
      <x:c r="O4903" s="4" t="str">
        <x:v>BOOK-04902</x:v>
      </x:c>
      <x:c r="P4903" s="9" t="n">
        <x:v>15345000</x:v>
      </x:c>
      <x:c r="Q4903" s="11" t="n">
        <x:v>0</x:v>
      </x:c>
      <x:c r="R4903" s="8" t="n">
        <x:v>45627</x:v>
      </x:c>
      <x:c r="S4903" s="4" t="str">
        <x:v>Retained</x:v>
      </x:c>
      <x:c r="T4903" s="10" t="n">
        <x:v>0.171717</x:v>
      </x:c>
      <x:c r="U4903" s="4" t="str">
        <x:v>Test</x:v>
      </x:c>
    </x:row>
    <x:row r="4904" ht="34" customHeight="1">
      <x:c r="A4904" s="4" t="str">
        <x:v>RS-04903</x:v>
      </x:c>
      <x:c r="B4904" s="8" t="n">
        <x:v>45568</x:v>
      </x:c>
      <x:c r="C4904" s="4" t="str">
        <x:v>PRJ-003</x:v>
      </x:c>
      <x:c r="D4904" s="4" t="str">
        <x:v>Retail</x:v>
      </x:c>
      <x:c r="E4904" s="4" t="str">
        <x:v>Agreement signed</x:v>
      </x:c>
      <x:c r="F4904" s="4" t="str">
        <x:v>CUS-04903</x:v>
      </x:c>
      <x:c r="G4904" s="4" t="str">
        <x:v>UNIT-04903</x:v>
      </x:c>
      <x:c r="H4904" s="9" t="n">
        <x:v>13800000</x:v>
      </x:c>
      <x:c r="I4904" s="10" t="n">
        <x:v>0.1</x:v>
      </x:c>
      <x:c r="J4904" s="11" t="n">
        <x:v>6</x:v>
      </x:c>
      <x:c r="K4904" s="11" t="n">
        <x:v>10</x:v>
      </x:c>
      <x:c r="L4904" s="11" t="n">
        <x:v>0</x:v>
      </x:c>
      <x:c r="M4904" s="9" t="n">
        <x:f>ROUND(H4904*(1-I4904),2)</x:f>
        <x:v>12420000</x:v>
      </x:c>
      <x:c r="N4904" s="4" t="str">
        <x:v>Sales head</x:v>
      </x:c>
      <x:c r="O4904" s="4" t="str">
        <x:v>BOOK-04903</x:v>
      </x:c>
      <x:c r="P4904" s="9" t="n">
        <x:v>3105000</x:v>
      </x:c>
      <x:c r="Q4904" s="11" t="n">
        <x:v>0</x:v>
      </x:c>
      <x:c r="R4904" s="8" t="n">
        <x:v>45628</x:v>
      </x:c>
      <x:c r="S4904" s="4" t="str">
        <x:v>Retained</x:v>
      </x:c>
      <x:c r="T4904" s="10" t="n">
        <x:v>0.226277</x:v>
      </x:c>
      <x:c r="U4904" s="4" t="str">
        <x:v>Test</x:v>
      </x:c>
    </x:row>
    <x:row r="4905" ht="34" customHeight="1">
      <x:c r="A4905" s="4" t="str">
        <x:v>RS-04904</x:v>
      </x:c>
      <x:c r="B4905" s="8" t="n">
        <x:v>45569</x:v>
      </x:c>
      <x:c r="C4905" s="4" t="str">
        <x:v>PRJ-004</x:v>
      </x:c>
      <x:c r="D4905" s="4" t="str">
        <x:v>Retail</x:v>
      </x:c>
      <x:c r="E4905" s="4" t="str">
        <x:v>Booked</x:v>
      </x:c>
      <x:c r="F4905" s="4" t="str">
        <x:v>CUS-04904</x:v>
      </x:c>
      <x:c r="G4905" s="4" t="str">
        <x:v>UNIT-04904</x:v>
      </x:c>
      <x:c r="H4905" s="9" t="n">
        <x:v>10600000</x:v>
      </x:c>
      <x:c r="I4905" s="10" t="n">
        <x:v>0.09</x:v>
      </x:c>
      <x:c r="J4905" s="11" t="n">
        <x:v>2</x:v>
      </x:c>
      <x:c r="K4905" s="11" t="n">
        <x:v>7</x:v>
      </x:c>
      <x:c r="L4905" s="11" t="n">
        <x:v>0</x:v>
      </x:c>
      <x:c r="M4905" s="9" t="n">
        <x:f>ROUND(H4905*(1-I4905),2)</x:f>
        <x:v>9646000</x:v>
      </x:c>
      <x:c r="N4905" s="4" t="str">
        <x:v>Sales head</x:v>
      </x:c>
      <x:c r="O4905" s="4" t="str">
        <x:v>BOOK-04904</x:v>
      </x:c>
      <x:c r="P4905" s="9" t="n">
        <x:v>2411500</x:v>
      </x:c>
      <x:c r="Q4905" s="11" t="n">
        <x:v>0</x:v>
      </x:c>
      <x:c r="R4905" s="8" t="n">
        <x:v>45629</x:v>
      </x:c>
      <x:c r="S4905" s="4" t="str">
        <x:v>Retained</x:v>
      </x:c>
      <x:c r="T4905" s="10" t="n">
        <x:v>0.145833</x:v>
      </x:c>
      <x:c r="U4905" s="4" t="str">
        <x:v>Test</x:v>
      </x:c>
    </x:row>
    <x:row r="4906" ht="34" customHeight="1">
      <x:c r="A4906" s="4" t="str">
        <x:v>RS-04905</x:v>
      </x:c>
      <x:c r="B4906" s="8" t="n">
        <x:v>45570</x:v>
      </x:c>
      <x:c r="C4906" s="4" t="str">
        <x:v>PRJ-005</x:v>
      </x:c>
      <x:c r="D4906" s="4" t="str">
        <x:v>Retail</x:v>
      </x:c>
      <x:c r="E4906" s="4" t="str">
        <x:v>Reserved</x:v>
      </x:c>
      <x:c r="F4906" s="4" t="str">
        <x:v>CUS-04905</x:v>
      </x:c>
      <x:c r="G4906" s="4" t="str">
        <x:v>UNIT-04905</x:v>
      </x:c>
      <x:c r="H4906" s="9" t="n">
        <x:v>24500000</x:v>
      </x:c>
      <x:c r="I4906" s="10" t="n">
        <x:v>0.11</x:v>
      </x:c>
      <x:c r="J4906" s="11" t="n">
        <x:v>5</x:v>
      </x:c>
      <x:c r="K4906" s="11" t="n">
        <x:v>0</x:v>
      </x:c>
      <x:c r="L4906" s="11" t="n">
        <x:v>1</x:v>
      </x:c>
      <x:c r="M4906" s="9" t="n">
        <x:f>ROUND(H4906*(1-I4906),2)</x:f>
        <x:v>21805000</x:v>
      </x:c>
      <x:c r="N4906" s="4" t="str">
        <x:v>Sales head</x:v>
      </x:c>
      <x:c r="O4906" s="4"/>
      <x:c r="P4906" s="9" t="n">
        <x:v>0</x:v>
      </x:c>
      <x:c r="Q4906" s="11" t="n">
        <x:v>0</x:v>
      </x:c>
      <x:c r="R4906" s="8" t="n">
        <x:v>45630</x:v>
      </x:c>
      <x:c r="S4906" s="4" t="str">
        <x:v>Retained</x:v>
      </x:c>
      <x:c r="T4906" s="10" t="n">
        <x:v>0.291946</x:v>
      </x:c>
      <x:c r="U4906" s="4" t="str">
        <x:v>Test</x:v>
      </x:c>
    </x:row>
    <x:row r="4907" ht="34" customHeight="1">
      <x:c r="A4907" s="4" t="str">
        <x:v>RS-04906</x:v>
      </x:c>
      <x:c r="B4907" s="8" t="n">
        <x:v>45571</x:v>
      </x:c>
      <x:c r="C4907" s="4" t="str">
        <x:v>PRJ-006</x:v>
      </x:c>
      <x:c r="D4907" s="4" t="str">
        <x:v>Apartment</x:v>
      </x:c>
      <x:c r="E4907" s="4" t="str">
        <x:v>Booked</x:v>
      </x:c>
      <x:c r="F4907" s="4" t="str">
        <x:v>CUS-04906</x:v>
      </x:c>
      <x:c r="G4907" s="4" t="str">
        <x:v>UNIT-04906</x:v>
      </x:c>
      <x:c r="H4907" s="9" t="n">
        <x:v>8000000</x:v>
      </x:c>
      <x:c r="I4907" s="10" t="n">
        <x:v>0.03</x:v>
      </x:c>
      <x:c r="J4907" s="11" t="n">
        <x:v>0</x:v>
      </x:c>
      <x:c r="K4907" s="11" t="n">
        <x:v>5</x:v>
      </x:c>
      <x:c r="L4907" s="11" t="n">
        <x:v>0</x:v>
      </x:c>
      <x:c r="M4907" s="9" t="n">
        <x:f>ROUND(H4907*(1-I4907),2)</x:f>
        <x:v>7760000</x:v>
      </x:c>
      <x:c r="N4907" s="4" t="str">
        <x:v>Sales manager</x:v>
      </x:c>
      <x:c r="O4907" s="4" t="str">
        <x:v>BOOK-04906</x:v>
      </x:c>
      <x:c r="P4907" s="9" t="n">
        <x:v>776000</x:v>
      </x:c>
      <x:c r="Q4907" s="11" t="n">
        <x:v>0</x:v>
      </x:c>
      <x:c r="R4907" s="8" t="n">
        <x:v>45631</x:v>
      </x:c>
      <x:c r="S4907" s="4" t="str">
        <x:v>Retained</x:v>
      </x:c>
      <x:c r="T4907" s="10" t="n">
        <x:v>0.072165</x:v>
      </x:c>
      <x:c r="U4907" s="4" t="str">
        <x:v>Test</x:v>
      </x:c>
    </x:row>
    <x:row r="4908" ht="34" customHeight="1">
      <x:c r="A4908" s="4" t="str">
        <x:v>RS-04907</x:v>
      </x:c>
      <x:c r="B4908" s="8" t="n">
        <x:v>45572</x:v>
      </x:c>
      <x:c r="C4908" s="4" t="str">
        <x:v>PRJ-007</x:v>
      </x:c>
      <x:c r="D4908" s="4" t="str">
        <x:v>Office</x:v>
      </x:c>
      <x:c r="E4908" s="4" t="str">
        <x:v>Handed over</x:v>
      </x:c>
      <x:c r="F4908" s="4" t="str">
        <x:v>CUS-04907</x:v>
      </x:c>
      <x:c r="G4908" s="4" t="str">
        <x:v>UNIT-04907</x:v>
      </x:c>
      <x:c r="H4908" s="9" t="n">
        <x:v>17400000</x:v>
      </x:c>
      <x:c r="I4908" s="10" t="n">
        <x:v>0.05</x:v>
      </x:c>
      <x:c r="J4908" s="11" t="n">
        <x:v>0</x:v>
      </x:c>
      <x:c r="K4908" s="11" t="n">
        <x:v>9</x:v>
      </x:c>
      <x:c r="L4908" s="11" t="n">
        <x:v>0</x:v>
      </x:c>
      <x:c r="M4908" s="9" t="n">
        <x:f>ROUND(H4908*(1-I4908),2)</x:f>
        <x:v>16530000</x:v>
      </x:c>
      <x:c r="N4908" s="4" t="str">
        <x:v>Sales manager</x:v>
      </x:c>
      <x:c r="O4908" s="4" t="str">
        <x:v>BOOK-04907</x:v>
      </x:c>
      <x:c r="P4908" s="9" t="n">
        <x:v>4132500</x:v>
      </x:c>
      <x:c r="Q4908" s="11" t="n">
        <x:v>0</x:v>
      </x:c>
      <x:c r="R4908" s="8" t="n">
        <x:v>45632</x:v>
      </x:c>
      <x:c r="S4908" s="4" t="str">
        <x:v>Retained</x:v>
      </x:c>
      <x:c r="T4908" s="10" t="n">
        <x:v>0.204152</x:v>
      </x:c>
      <x:c r="U4908" s="4" t="str">
        <x:v>Test</x:v>
      </x:c>
    </x:row>
    <x:row r="4909" ht="34" customHeight="1">
      <x:c r="A4909" s="4" t="str">
        <x:v>RS-04908</x:v>
      </x:c>
      <x:c r="B4909" s="8" t="n">
        <x:v>45573</x:v>
      </x:c>
      <x:c r="C4909" s="4" t="str">
        <x:v>PRJ-008</x:v>
      </x:c>
      <x:c r="D4909" s="4" t="str">
        <x:v>Office</x:v>
      </x:c>
      <x:c r="E4909" s="4" t="str">
        <x:v>Booked</x:v>
      </x:c>
      <x:c r="F4909" s="4" t="str">
        <x:v>CUS-04908</x:v>
      </x:c>
      <x:c r="G4909" s="4" t="str">
        <x:v>UNIT-04908</x:v>
      </x:c>
      <x:c r="H4909" s="9" t="n">
        <x:v>16300000</x:v>
      </x:c>
      <x:c r="I4909" s="10" t="n">
        <x:v>0.11</x:v>
      </x:c>
      <x:c r="J4909" s="11" t="n">
        <x:v>7</x:v>
      </x:c>
      <x:c r="K4909" s="11" t="n">
        <x:v>0</x:v>
      </x:c>
      <x:c r="L4909" s="11" t="n">
        <x:v>0</x:v>
      </x:c>
      <x:c r="M4909" s="9" t="n">
        <x:f>ROUND(H4909*(1-I4909),2)</x:f>
        <x:v>14507000</x:v>
      </x:c>
      <x:c r="N4909" s="4" t="str">
        <x:v>Sales head</x:v>
      </x:c>
      <x:c r="O4909" s="4" t="str">
        <x:v>BOOK-04908</x:v>
      </x:c>
      <x:c r="P4909" s="9" t="n">
        <x:v>7253500</x:v>
      </x:c>
      <x:c r="Q4909" s="11" t="n">
        <x:v>0</x:v>
      </x:c>
      <x:c r="R4909" s="8" t="n">
        <x:v>45633</x:v>
      </x:c>
      <x:c r="S4909" s="4" t="str">
        <x:v>Retained</x:v>
      </x:c>
      <x:c r="T4909" s="10" t="n">
        <x:v>0.226277</x:v>
      </x:c>
      <x:c r="U4909" s="4" t="str">
        <x:v>Test</x:v>
      </x:c>
    </x:row>
    <x:row r="4910" ht="34" customHeight="1">
      <x:c r="A4910" s="4" t="str">
        <x:v>RS-04909</x:v>
      </x:c>
      <x:c r="B4910" s="8" t="n">
        <x:v>45574</x:v>
      </x:c>
      <x:c r="C4910" s="4" t="str">
        <x:v>PRJ-009</x:v>
      </x:c>
      <x:c r="D4910" s="4" t="str">
        <x:v>Retail</x:v>
      </x:c>
      <x:c r="E4910" s="4" t="str">
        <x:v>Booked</x:v>
      </x:c>
      <x:c r="F4910" s="4" t="str">
        <x:v>CUS-04909</x:v>
      </x:c>
      <x:c r="G4910" s="4" t="str">
        <x:v>UNIT-04909</x:v>
      </x:c>
      <x:c r="H4910" s="9" t="n">
        <x:v>13900000</x:v>
      </x:c>
      <x:c r="I4910" s="10" t="n">
        <x:v>0.11</x:v>
      </x:c>
      <x:c r="J4910" s="11" t="n">
        <x:v>8</x:v>
      </x:c>
      <x:c r="K4910" s="11" t="n">
        <x:v>10</x:v>
      </x:c>
      <x:c r="L4910" s="11" t="n">
        <x:v>1</x:v>
      </x:c>
      <x:c r="M4910" s="9" t="n">
        <x:f>ROUND(H4910*(1-I4910),2)</x:f>
        <x:v>12371000</x:v>
      </x:c>
      <x:c r="N4910" s="4" t="str">
        <x:v>Sales head</x:v>
      </x:c>
      <x:c r="O4910" s="4" t="str">
        <x:v>BOOK-04909</x:v>
      </x:c>
      <x:c r="P4910" s="9" t="n">
        <x:v>12371000</x:v>
      </x:c>
      <x:c r="Q4910" s="11" t="n">
        <x:v>0</x:v>
      </x:c>
      <x:c r="R4910" s="8" t="n">
        <x:v>45634</x:v>
      </x:c>
      <x:c r="S4910" s="4" t="str">
        <x:v>Retained</x:v>
      </x:c>
      <x:c r="T4910" s="10" t="n">
        <x:v>0.310195</x:v>
      </x:c>
      <x:c r="U4910" s="4" t="str">
        <x:v>Test</x:v>
      </x:c>
    </x:row>
    <x:row r="4911" ht="34" customHeight="1">
      <x:c r="A4911" s="4" t="str">
        <x:v>RS-04910</x:v>
      </x:c>
      <x:c r="B4911" s="8" t="n">
        <x:v>45575</x:v>
      </x:c>
      <x:c r="C4911" s="4" t="str">
        <x:v>PRJ-010</x:v>
      </x:c>
      <x:c r="D4911" s="4" t="str">
        <x:v>Retail</x:v>
      </x:c>
      <x:c r="E4911" s="4" t="str">
        <x:v>Booked</x:v>
      </x:c>
      <x:c r="F4911" s="4" t="str">
        <x:v>CUS-04910</x:v>
      </x:c>
      <x:c r="G4911" s="4" t="str">
        <x:v>UNIT-04910</x:v>
      </x:c>
      <x:c r="H4911" s="9" t="n">
        <x:v>15900000</x:v>
      </x:c>
      <x:c r="I4911" s="10" t="n">
        <x:v>0.09</x:v>
      </x:c>
      <x:c r="J4911" s="11" t="n">
        <x:v>3</x:v>
      </x:c>
      <x:c r="K4911" s="11" t="n">
        <x:v>8</x:v>
      </x:c>
      <x:c r="L4911" s="11" t="n">
        <x:v>1</x:v>
      </x:c>
      <x:c r="M4911" s="9" t="n">
        <x:f>ROUND(H4911*(1-I4911),2)</x:f>
        <x:v>14469000</x:v>
      </x:c>
      <x:c r="N4911" s="4" t="str">
        <x:v>Sales head</x:v>
      </x:c>
      <x:c r="O4911" s="4" t="str">
        <x:v>BOOK-04910</x:v>
      </x:c>
      <x:c r="P4911" s="9" t="n">
        <x:v>3617250</x:v>
      </x:c>
      <x:c r="Q4911" s="11" t="n">
        <x:v>0</x:v>
      </x:c>
      <x:c r="R4911" s="8" t="n">
        <x:v>45635</x:v>
      </x:c>
      <x:c r="S4911" s="4" t="str">
        <x:v>Retained</x:v>
      </x:c>
      <x:c r="T4911" s="10" t="n">
        <x:v>0.145833</x:v>
      </x:c>
      <x:c r="U4911" s="4" t="str">
        <x:v>Test</x:v>
      </x:c>
    </x:row>
    <x:row r="4912" ht="34" customHeight="1">
      <x:c r="A4912" s="4" t="str">
        <x:v>RS-04911</x:v>
      </x:c>
      <x:c r="B4912" s="8" t="n">
        <x:v>45576</x:v>
      </x:c>
      <x:c r="C4912" s="4" t="str">
        <x:v>PRJ-011</x:v>
      </x:c>
      <x:c r="D4912" s="4" t="str">
        <x:v>Retail</x:v>
      </x:c>
      <x:c r="E4912" s="4" t="str">
        <x:v>Enquiry</x:v>
      </x:c>
      <x:c r="F4912" s="4" t="str">
        <x:v>CUS-04911</x:v>
      </x:c>
      <x:c r="G4912" s="4" t="str">
        <x:v>UNIT-04911</x:v>
      </x:c>
      <x:c r="H4912" s="9" t="n">
        <x:v>10400000</x:v>
      </x:c>
      <x:c r="I4912" s="10" t="n">
        <x:v>0.12</x:v>
      </x:c>
      <x:c r="J4912" s="11" t="n">
        <x:v>9</x:v>
      </x:c>
      <x:c r="K4912" s="11" t="n">
        <x:v>10</x:v>
      </x:c>
      <x:c r="L4912" s="11" t="n">
        <x:v>1</x:v>
      </x:c>
      <x:c r="M4912" s="9" t="n">
        <x:f>ROUND(H4912*(1-I4912),2)</x:f>
        <x:v>9152000</x:v>
      </x:c>
      <x:c r="N4912" s="4" t="str">
        <x:v>Sales head</x:v>
      </x:c>
      <x:c r="O4912" s="4"/>
      <x:c r="P4912" s="9" t="n">
        <x:v>0</x:v>
      </x:c>
      <x:c r="Q4912" s="11" t="n">
        <x:v>0</x:v>
      </x:c>
      <x:c r="R4912" s="8" t="n">
        <x:v>45636</x:v>
      </x:c>
      <x:c r="S4912" s="4" t="str">
        <x:v>Retained</x:v>
      </x:c>
      <x:c r="T4912" s="10" t="n">
        <x:v>0.310195</x:v>
      </x:c>
      <x:c r="U4912" s="4" t="str">
        <x:v>Test</x:v>
      </x:c>
    </x:row>
    <x:row r="4913" ht="34" customHeight="1">
      <x:c r="A4913" s="4" t="str">
        <x:v>RS-04912</x:v>
      </x:c>
      <x:c r="B4913" s="8" t="n">
        <x:v>45577</x:v>
      </x:c>
      <x:c r="C4913" s="4" t="str">
        <x:v>PRJ-012</x:v>
      </x:c>
      <x:c r="D4913" s="4" t="str">
        <x:v>Retail</x:v>
      </x:c>
      <x:c r="E4913" s="4" t="str">
        <x:v>Booked</x:v>
      </x:c>
      <x:c r="F4913" s="4" t="str">
        <x:v>CUS-04912</x:v>
      </x:c>
      <x:c r="G4913" s="4" t="str">
        <x:v>UNIT-04912</x:v>
      </x:c>
      <x:c r="H4913" s="9" t="n">
        <x:v>8700000</x:v>
      </x:c>
      <x:c r="I4913" s="10" t="n">
        <x:v>0.03</x:v>
      </x:c>
      <x:c r="J4913" s="11" t="n">
        <x:v>9</x:v>
      </x:c>
      <x:c r="K4913" s="11" t="n">
        <x:v>4</x:v>
      </x:c>
      <x:c r="L4913" s="11" t="n">
        <x:v>1</x:v>
      </x:c>
      <x:c r="M4913" s="9" t="n">
        <x:f>ROUND(H4913*(1-I4913),2)</x:f>
        <x:v>8439000</x:v>
      </x:c>
      <x:c r="N4913" s="4" t="str">
        <x:v>Sales manager</x:v>
      </x:c>
      <x:c r="O4913" s="4" t="str">
        <x:v>BOOK-04912</x:v>
      </x:c>
      <x:c r="P4913" s="9" t="n">
        <x:v>4219500</x:v>
      </x:c>
      <x:c r="Q4913" s="11" t="n">
        <x:v>0</x:v>
      </x:c>
      <x:c r="R4913" s="8" t="n">
        <x:v>45637</x:v>
      </x:c>
      <x:c r="S4913" s="4" t="str">
        <x:v>Retained</x:v>
      </x:c>
      <x:c r="T4913" s="10" t="n">
        <x:v>0.310195</x:v>
      </x:c>
      <x:c r="U4913" s="4" t="str">
        <x:v>Test</x:v>
      </x:c>
    </x:row>
    <x:row r="4914" ht="34" customHeight="1">
      <x:c r="A4914" s="4" t="str">
        <x:v>RS-04913</x:v>
      </x:c>
      <x:c r="B4914" s="8" t="n">
        <x:v>45578</x:v>
      </x:c>
      <x:c r="C4914" s="4" t="str">
        <x:v>PRJ-013</x:v>
      </x:c>
      <x:c r="D4914" s="4" t="str">
        <x:v>Retail</x:v>
      </x:c>
      <x:c r="E4914" s="4" t="str">
        <x:v>Handed over</x:v>
      </x:c>
      <x:c r="F4914" s="4" t="str">
        <x:v>CUS-04913</x:v>
      </x:c>
      <x:c r="G4914" s="4" t="str">
        <x:v>UNIT-04913</x:v>
      </x:c>
      <x:c r="H4914" s="9" t="n">
        <x:v>23300000</x:v>
      </x:c>
      <x:c r="I4914" s="10" t="n">
        <x:v>0.09</x:v>
      </x:c>
      <x:c r="J4914" s="11" t="n">
        <x:v>12</x:v>
      </x:c>
      <x:c r="K4914" s="11" t="n">
        <x:v>1</x:v>
      </x:c>
      <x:c r="L4914" s="11" t="n">
        <x:v>0</x:v>
      </x:c>
      <x:c r="M4914" s="9" t="n">
        <x:f>ROUND(H4914*(1-I4914),2)</x:f>
        <x:v>21203000</x:v>
      </x:c>
      <x:c r="N4914" s="4" t="str">
        <x:v>Sales head</x:v>
      </x:c>
      <x:c r="O4914" s="4" t="str">
        <x:v>BOOK-04913</x:v>
      </x:c>
      <x:c r="P4914" s="9" t="n">
        <x:v>2120300</x:v>
      </x:c>
      <x:c r="Q4914" s="11" t="n">
        <x:v>0</x:v>
      </x:c>
      <x:c r="R4914" s="8" t="n">
        <x:v>45638</x:v>
      </x:c>
      <x:c r="S4914" s="4" t="str">
        <x:v>Retained</x:v>
      </x:c>
      <x:c r="T4914" s="10" t="n">
        <x:v>0.351536</x:v>
      </x:c>
      <x:c r="U4914" s="4" t="str">
        <x:v>Test</x:v>
      </x:c>
    </x:row>
    <x:row r="4915" ht="34" customHeight="1">
      <x:c r="A4915" s="4" t="str">
        <x:v>RS-04914</x:v>
      </x:c>
      <x:c r="B4915" s="8" t="n">
        <x:v>45579</x:v>
      </x:c>
      <x:c r="C4915" s="4" t="str">
        <x:v>PRJ-014</x:v>
      </x:c>
      <x:c r="D4915" s="4" t="str">
        <x:v>Retail</x:v>
      </x:c>
      <x:c r="E4915" s="4" t="str">
        <x:v>Cancelled</x:v>
      </x:c>
      <x:c r="F4915" s="4" t="str">
        <x:v>CUS-04914</x:v>
      </x:c>
      <x:c r="G4915" s="4" t="str">
        <x:v>UNIT-04914</x:v>
      </x:c>
      <x:c r="H4915" s="9" t="n">
        <x:v>24000000</x:v>
      </x:c>
      <x:c r="I4915" s="10" t="n">
        <x:v>0.03</x:v>
      </x:c>
      <x:c r="J4915" s="11" t="n">
        <x:v>9</x:v>
      </x:c>
      <x:c r="K4915" s="11" t="n">
        <x:v>3</x:v>
      </x:c>
      <x:c r="L4915" s="11" t="n">
        <x:v>0</x:v>
      </x:c>
      <x:c r="M4915" s="9" t="n">
        <x:f>ROUND(H4915*(1-I4915),2)</x:f>
        <x:v>23280000</x:v>
      </x:c>
      <x:c r="N4915" s="4" t="str">
        <x:v>Sales manager</x:v>
      </x:c>
      <x:c r="O4915" s="4"/>
      <x:c r="P4915" s="9" t="n">
        <x:v>0</x:v>
      </x:c>
      <x:c r="Q4915" s="11" t="n">
        <x:v>1</x:v>
      </x:c>
      <x:c r="R4915" s="8" t="n">
        <x:v>45639</x:v>
      </x:c>
      <x:c r="S4915" s="4" t="str">
        <x:v>Lost / cancelled</x:v>
      </x:c>
      <x:c r="T4915" s="10" t="n">
        <x:v>0.310195</x:v>
      </x:c>
      <x:c r="U4915" s="4" t="str">
        <x:v>Test</x:v>
      </x:c>
    </x:row>
    <x:row r="4916" ht="34" customHeight="1">
      <x:c r="A4916" s="4" t="str">
        <x:v>RS-04915</x:v>
      </x:c>
      <x:c r="B4916" s="8" t="n">
        <x:v>45580</x:v>
      </x:c>
      <x:c r="C4916" s="4" t="str">
        <x:v>PRJ-015</x:v>
      </x:c>
      <x:c r="D4916" s="4" t="str">
        <x:v>Villa</x:v>
      </x:c>
      <x:c r="E4916" s="4" t="str">
        <x:v>Handed over</x:v>
      </x:c>
      <x:c r="F4916" s="4" t="str">
        <x:v>CUS-04915</x:v>
      </x:c>
      <x:c r="G4916" s="4" t="str">
        <x:v>UNIT-04915</x:v>
      </x:c>
      <x:c r="H4916" s="9" t="n">
        <x:v>9100000</x:v>
      </x:c>
      <x:c r="I4916" s="10" t="n">
        <x:v>0.08</x:v>
      </x:c>
      <x:c r="J4916" s="11" t="n">
        <x:v>5</x:v>
      </x:c>
      <x:c r="K4916" s="11" t="n">
        <x:v>9</x:v>
      </x:c>
      <x:c r="L4916" s="11" t="n">
        <x:v>0</x:v>
      </x:c>
      <x:c r="M4916" s="9" t="n">
        <x:f>ROUND(H4916*(1-I4916),2)</x:f>
        <x:v>8372000</x:v>
      </x:c>
      <x:c r="N4916" s="4" t="str">
        <x:v>Sales head</x:v>
      </x:c>
      <x:c r="O4916" s="4" t="str">
        <x:v>BOOK-04915</x:v>
      </x:c>
      <x:c r="P4916" s="9" t="n">
        <x:v>8372000</x:v>
      </x:c>
      <x:c r="Q4916" s="11" t="n">
        <x:v>0</x:v>
      </x:c>
      <x:c r="R4916" s="8" t="n">
        <x:v>45640</x:v>
      </x:c>
      <x:c r="S4916" s="4" t="str">
        <x:v>Retained</x:v>
      </x:c>
      <x:c r="T4916" s="10" t="n">
        <x:v>0.226277</x:v>
      </x:c>
      <x:c r="U4916" s="4" t="str">
        <x:v>Test</x:v>
      </x:c>
    </x:row>
    <x:row r="4917" ht="34" customHeight="1">
      <x:c r="A4917" s="4" t="str">
        <x:v>RS-04916</x:v>
      </x:c>
      <x:c r="B4917" s="8" t="n">
        <x:v>45581</x:v>
      </x:c>
      <x:c r="C4917" s="4" t="str">
        <x:v>PRJ-016</x:v>
      </x:c>
      <x:c r="D4917" s="4" t="str">
        <x:v>Villa</x:v>
      </x:c>
      <x:c r="E4917" s="4" t="str">
        <x:v>Agreement signed</x:v>
      </x:c>
      <x:c r="F4917" s="4" t="str">
        <x:v>CUS-04916</x:v>
      </x:c>
      <x:c r="G4917" s="4" t="str">
        <x:v>UNIT-04916</x:v>
      </x:c>
      <x:c r="H4917" s="9" t="n">
        <x:v>17800000</x:v>
      </x:c>
      <x:c r="I4917" s="10" t="n">
        <x:v>0.11</x:v>
      </x:c>
      <x:c r="J4917" s="11" t="n">
        <x:v>10</x:v>
      </x:c>
      <x:c r="K4917" s="11" t="n">
        <x:v>8</x:v>
      </x:c>
      <x:c r="L4917" s="11" t="n">
        <x:v>1</x:v>
      </x:c>
      <x:c r="M4917" s="9" t="n">
        <x:f>ROUND(H4917*(1-I4917),2)</x:f>
        <x:v>15842000</x:v>
      </x:c>
      <x:c r="N4917" s="4" t="str">
        <x:v>Sales head</x:v>
      </x:c>
      <x:c r="O4917" s="4" t="str">
        <x:v>BOOK-04916</x:v>
      </x:c>
      <x:c r="P4917" s="9" t="n">
        <x:v>7921000</x:v>
      </x:c>
      <x:c r="Q4917" s="11" t="n">
        <x:v>0</x:v>
      </x:c>
      <x:c r="R4917" s="8" t="n">
        <x:v>45641</x:v>
      </x:c>
      <x:c r="S4917" s="4" t="str">
        <x:v>Retained</x:v>
      </x:c>
      <x:c r="T4917" s="10" t="n">
        <x:v>0.310195</x:v>
      </x:c>
      <x:c r="U4917" s="4" t="str">
        <x:v>Test</x:v>
      </x:c>
    </x:row>
    <x:row r="4918" ht="34" customHeight="1">
      <x:c r="A4918" s="4" t="str">
        <x:v>RS-04917</x:v>
      </x:c>
      <x:c r="B4918" s="8" t="n">
        <x:v>45582</x:v>
      </x:c>
      <x:c r="C4918" s="4" t="str">
        <x:v>PRJ-017</x:v>
      </x:c>
      <x:c r="D4918" s="4" t="str">
        <x:v>Villa</x:v>
      </x:c>
      <x:c r="E4918" s="4" t="str">
        <x:v>Booked</x:v>
      </x:c>
      <x:c r="F4918" s="4" t="str">
        <x:v>CUS-04917</x:v>
      </x:c>
      <x:c r="G4918" s="4" t="str">
        <x:v>UNIT-04917</x:v>
      </x:c>
      <x:c r="H4918" s="9" t="n">
        <x:v>20300000</x:v>
      </x:c>
      <x:c r="I4918" s="10" t="n">
        <x:v>0.04</x:v>
      </x:c>
      <x:c r="J4918" s="11" t="n">
        <x:v>3</x:v>
      </x:c>
      <x:c r="K4918" s="11" t="n">
        <x:v>7</x:v>
      </x:c>
      <x:c r="L4918" s="11" t="n">
        <x:v>1</x:v>
      </x:c>
      <x:c r="M4918" s="9" t="n">
        <x:f>ROUND(H4918*(1-I4918),2)</x:f>
        <x:v>19488000</x:v>
      </x:c>
      <x:c r="N4918" s="4" t="str">
        <x:v>Sales manager</x:v>
      </x:c>
      <x:c r="O4918" s="4" t="str">
        <x:v>BOOK-04917</x:v>
      </x:c>
      <x:c r="P4918" s="9" t="n">
        <x:v>4872000</x:v>
      </x:c>
      <x:c r="Q4918" s="11" t="n">
        <x:v>0</x:v>
      </x:c>
      <x:c r="R4918" s="8" t="n">
        <x:v>45642</x:v>
      </x:c>
      <x:c r="S4918" s="4" t="str">
        <x:v>Retained</x:v>
      </x:c>
      <x:c r="T4918" s="10" t="n">
        <x:v>0.204152</x:v>
      </x:c>
      <x:c r="U4918" s="4" t="str">
        <x:v>Test</x:v>
      </x:c>
    </x:row>
    <x:row r="4919" ht="34" customHeight="1">
      <x:c r="A4919" s="4" t="str">
        <x:v>RS-04918</x:v>
      </x:c>
      <x:c r="B4919" s="8" t="n">
        <x:v>45583</x:v>
      </x:c>
      <x:c r="C4919" s="4" t="str">
        <x:v>PRJ-018</x:v>
      </x:c>
      <x:c r="D4919" s="4" t="str">
        <x:v>Villa</x:v>
      </x:c>
      <x:c r="E4919" s="4" t="str">
        <x:v>Booked</x:v>
      </x:c>
      <x:c r="F4919" s="4" t="str">
        <x:v>CUS-04918</x:v>
      </x:c>
      <x:c r="G4919" s="4" t="str">
        <x:v>UNIT-04918</x:v>
      </x:c>
      <x:c r="H4919" s="9" t="n">
        <x:v>18400000</x:v>
      </x:c>
      <x:c r="I4919" s="10" t="n">
        <x:v>0.1</x:v>
      </x:c>
      <x:c r="J4919" s="11" t="n">
        <x:v>1</x:v>
      </x:c>
      <x:c r="K4919" s="11" t="n">
        <x:v>10</x:v>
      </x:c>
      <x:c r="L4919" s="11" t="n">
        <x:v>0</x:v>
      </x:c>
      <x:c r="M4919" s="9" t="n">
        <x:f>ROUND(H4919*(1-I4919),2)</x:f>
        <x:v>16560000</x:v>
      </x:c>
      <x:c r="N4919" s="4" t="str">
        <x:v>Sales head</x:v>
      </x:c>
      <x:c r="O4919" s="4" t="str">
        <x:v>BOOK-04918</x:v>
      </x:c>
      <x:c r="P4919" s="9" t="n">
        <x:v>1656000</x:v>
      </x:c>
      <x:c r="Q4919" s="11" t="n">
        <x:v>0</x:v>
      </x:c>
      <x:c r="R4919" s="8" t="n">
        <x:v>45643</x:v>
      </x:c>
      <x:c r="S4919" s="4" t="str">
        <x:v>Retained</x:v>
      </x:c>
      <x:c r="T4919" s="10" t="n">
        <x:v>0.145833</x:v>
      </x:c>
      <x:c r="U4919" s="4" t="str">
        <x:v>Test</x:v>
      </x:c>
    </x:row>
    <x:row r="4920" ht="34" customHeight="1">
      <x:c r="A4920" s="4" t="str">
        <x:v>RS-04919</x:v>
      </x:c>
      <x:c r="B4920" s="8" t="n">
        <x:v>45584</x:v>
      </x:c>
      <x:c r="C4920" s="4" t="str">
        <x:v>PRJ-019</x:v>
      </x:c>
      <x:c r="D4920" s="4" t="str">
        <x:v>Office</x:v>
      </x:c>
      <x:c r="E4920" s="4" t="str">
        <x:v>Reserved</x:v>
      </x:c>
      <x:c r="F4920" s="4" t="str">
        <x:v>CUS-04919</x:v>
      </x:c>
      <x:c r="G4920" s="4" t="str">
        <x:v>UNIT-04919</x:v>
      </x:c>
      <x:c r="H4920" s="9" t="n">
        <x:v>16500000</x:v>
      </x:c>
      <x:c r="I4920" s="10" t="n">
        <x:v>0.09</x:v>
      </x:c>
      <x:c r="J4920" s="11" t="n">
        <x:v>1</x:v>
      </x:c>
      <x:c r="K4920" s="11" t="n">
        <x:v>3</x:v>
      </x:c>
      <x:c r="L4920" s="11" t="n">
        <x:v>1</x:v>
      </x:c>
      <x:c r="M4920" s="9" t="n">
        <x:f>ROUND(H4920*(1-I4920),2)</x:f>
        <x:v>15015000</x:v>
      </x:c>
      <x:c r="N4920" s="4" t="str">
        <x:v>Sales head</x:v>
      </x:c>
      <x:c r="O4920" s="4"/>
      <x:c r="P4920" s="9" t="n">
        <x:v>0</x:v>
      </x:c>
      <x:c r="Q4920" s="11" t="n">
        <x:v>1</x:v>
      </x:c>
      <x:c r="R4920" s="8" t="n">
        <x:v>45644</x:v>
      </x:c>
      <x:c r="S4920" s="4" t="str">
        <x:v>Lost / cancelled</x:v>
      </x:c>
      <x:c r="T4920" s="10" t="n">
        <x:v>0.145833</x:v>
      </x:c>
      <x:c r="U4920" s="4" t="str">
        <x:v>Test</x:v>
      </x:c>
    </x:row>
    <x:row r="4921" ht="34" customHeight="1">
      <x:c r="A4921" s="4" t="str">
        <x:v>RS-04920</x:v>
      </x:c>
      <x:c r="B4921" s="8" t="n">
        <x:v>45585</x:v>
      </x:c>
      <x:c r="C4921" s="4" t="str">
        <x:v>PRJ-020</x:v>
      </x:c>
      <x:c r="D4921" s="4" t="str">
        <x:v>Villa</x:v>
      </x:c>
      <x:c r="E4921" s="4" t="str">
        <x:v>Handed over</x:v>
      </x:c>
      <x:c r="F4921" s="4" t="str">
        <x:v>CUS-04920</x:v>
      </x:c>
      <x:c r="G4921" s="4" t="str">
        <x:v>UNIT-04920</x:v>
      </x:c>
      <x:c r="H4921" s="9" t="n">
        <x:v>20400000</x:v>
      </x:c>
      <x:c r="I4921" s="10" t="n">
        <x:v>0.06</x:v>
      </x:c>
      <x:c r="J4921" s="11" t="n">
        <x:v>3</x:v>
      </x:c>
      <x:c r="K4921" s="11" t="n">
        <x:v>6</x:v>
      </x:c>
      <x:c r="L4921" s="11" t="n">
        <x:v>1</x:v>
      </x:c>
      <x:c r="M4921" s="9" t="n">
        <x:f>ROUND(H4921*(1-I4921),2)</x:f>
        <x:v>19176000</x:v>
      </x:c>
      <x:c r="N4921" s="4" t="str">
        <x:v>Sales manager</x:v>
      </x:c>
      <x:c r="O4921" s="4" t="str">
        <x:v>BOOK-04920</x:v>
      </x:c>
      <x:c r="P4921" s="9" t="n">
        <x:v>1917600</x:v>
      </x:c>
      <x:c r="Q4921" s="11" t="n">
        <x:v>0</x:v>
      </x:c>
      <x:c r="R4921" s="8" t="n">
        <x:v>45645</x:v>
      </x:c>
      <x:c r="S4921" s="4" t="str">
        <x:v>Retained</x:v>
      </x:c>
      <x:c r="T4921" s="10" t="n">
        <x:v>0.204152</x:v>
      </x:c>
      <x:c r="U4921" s="4" t="str">
        <x:v>Test</x:v>
      </x:c>
    </x:row>
    <x:row r="4922" ht="34" customHeight="1">
      <x:c r="A4922" s="4" t="str">
        <x:v>RS-04921</x:v>
      </x:c>
      <x:c r="B4922" s="8" t="n">
        <x:v>45586</x:v>
      </x:c>
      <x:c r="C4922" s="4" t="str">
        <x:v>PRJ-001</x:v>
      </x:c>
      <x:c r="D4922" s="4" t="str">
        <x:v>Villa</x:v>
      </x:c>
      <x:c r="E4922" s="4" t="str">
        <x:v>Reserved</x:v>
      </x:c>
      <x:c r="F4922" s="4" t="str">
        <x:v>CUS-04921</x:v>
      </x:c>
      <x:c r="G4922" s="4" t="str">
        <x:v>UNIT-04921</x:v>
      </x:c>
      <x:c r="H4922" s="9" t="n">
        <x:v>6100000</x:v>
      </x:c>
      <x:c r="I4922" s="10" t="n">
        <x:v>0.08</x:v>
      </x:c>
      <x:c r="J4922" s="11" t="n">
        <x:v>12</x:v>
      </x:c>
      <x:c r="K4922" s="11" t="n">
        <x:v>8</x:v>
      </x:c>
      <x:c r="L4922" s="11" t="n">
        <x:v>0</x:v>
      </x:c>
      <x:c r="M4922" s="9" t="n">
        <x:f>ROUND(H4922*(1-I4922),2)</x:f>
        <x:v>5612000</x:v>
      </x:c>
      <x:c r="N4922" s="4" t="str">
        <x:v>Sales head</x:v>
      </x:c>
      <x:c r="O4922" s="4"/>
      <x:c r="P4922" s="9" t="n">
        <x:v>0</x:v>
      </x:c>
      <x:c r="Q4922" s="11" t="n">
        <x:v>1</x:v>
      </x:c>
      <x:c r="R4922" s="8" t="n">
        <x:v>45646</x:v>
      </x:c>
      <x:c r="S4922" s="4" t="str">
        <x:v>Lost / cancelled</x:v>
      </x:c>
      <x:c r="T4922" s="10" t="n">
        <x:v>0.351536</x:v>
      </x:c>
      <x:c r="U4922" s="4" t="str">
        <x:v>Test</x:v>
      </x:c>
    </x:row>
    <x:row r="4923" ht="34" customHeight="1">
      <x:c r="A4923" s="4" t="str">
        <x:v>RS-04922</x:v>
      </x:c>
      <x:c r="B4923" s="8" t="n">
        <x:v>45587</x:v>
      </x:c>
      <x:c r="C4923" s="4" t="str">
        <x:v>PRJ-002</x:v>
      </x:c>
      <x:c r="D4923" s="4" t="str">
        <x:v>Villa</x:v>
      </x:c>
      <x:c r="E4923" s="4" t="str">
        <x:v>Reserved</x:v>
      </x:c>
      <x:c r="F4923" s="4" t="str">
        <x:v>CUS-04922</x:v>
      </x:c>
      <x:c r="G4923" s="4" t="str">
        <x:v>UNIT-04922</x:v>
      </x:c>
      <x:c r="H4923" s="9" t="n">
        <x:v>16500000</x:v>
      </x:c>
      <x:c r="I4923" s="10" t="n">
        <x:v>0.11</x:v>
      </x:c>
      <x:c r="J4923" s="11" t="n">
        <x:v>4</x:v>
      </x:c>
      <x:c r="K4923" s="11" t="n">
        <x:v>0</x:v>
      </x:c>
      <x:c r="L4923" s="11" t="n">
        <x:v>1</x:v>
      </x:c>
      <x:c r="M4923" s="9" t="n">
        <x:f>ROUND(H4923*(1-I4923),2)</x:f>
        <x:v>14685000</x:v>
      </x:c>
      <x:c r="N4923" s="4" t="str">
        <x:v>Sales head</x:v>
      </x:c>
      <x:c r="O4923" s="4"/>
      <x:c r="P4923" s="9" t="n">
        <x:v>0</x:v>
      </x:c>
      <x:c r="Q4923" s="11" t="n">
        <x:v>0</x:v>
      </x:c>
      <x:c r="R4923" s="8" t="n">
        <x:v>45647</x:v>
      </x:c>
      <x:c r="S4923" s="4" t="str">
        <x:v>Retained</x:v>
      </x:c>
      <x:c r="T4923" s="10" t="n">
        <x:v>0.291946</x:v>
      </x:c>
      <x:c r="U4923" s="4" t="str">
        <x:v>Test</x:v>
      </x:c>
    </x:row>
    <x:row r="4924" ht="34" customHeight="1">
      <x:c r="A4924" s="4" t="str">
        <x:v>RS-04923</x:v>
      </x:c>
      <x:c r="B4924" s="8" t="n">
        <x:v>45588</x:v>
      </x:c>
      <x:c r="C4924" s="4" t="str">
        <x:v>PRJ-003</x:v>
      </x:c>
      <x:c r="D4924" s="4" t="str">
        <x:v>Apartment</x:v>
      </x:c>
      <x:c r="E4924" s="4" t="str">
        <x:v>Handed over</x:v>
      </x:c>
      <x:c r="F4924" s="4" t="str">
        <x:v>CUS-04923</x:v>
      </x:c>
      <x:c r="G4924" s="4" t="str">
        <x:v>UNIT-04923</x:v>
      </x:c>
      <x:c r="H4924" s="9" t="n">
        <x:v>23800000</x:v>
      </x:c>
      <x:c r="I4924" s="10" t="n">
        <x:v>0.07</x:v>
      </x:c>
      <x:c r="J4924" s="11" t="n">
        <x:v>5</x:v>
      </x:c>
      <x:c r="K4924" s="11" t="n">
        <x:v>10</x:v>
      </x:c>
      <x:c r="L4924" s="11" t="n">
        <x:v>1</x:v>
      </x:c>
      <x:c r="M4924" s="9" t="n">
        <x:f>ROUND(H4924*(1-I4924),2)</x:f>
        <x:v>22134000</x:v>
      </x:c>
      <x:c r="N4924" s="4" t="str">
        <x:v>Sales manager</x:v>
      </x:c>
      <x:c r="O4924" s="4" t="str">
        <x:v>BOOK-04923</x:v>
      </x:c>
      <x:c r="P4924" s="9" t="n">
        <x:v>22134000</x:v>
      </x:c>
      <x:c r="Q4924" s="11" t="n">
        <x:v>0</x:v>
      </x:c>
      <x:c r="R4924" s="8" t="n">
        <x:v>45648</x:v>
      </x:c>
      <x:c r="S4924" s="4" t="str">
        <x:v>Retained</x:v>
      </x:c>
      <x:c r="T4924" s="10" t="n">
        <x:v>0.291946</x:v>
      </x:c>
      <x:c r="U4924" s="4" t="str">
        <x:v>Test</x:v>
      </x:c>
    </x:row>
    <x:row r="4925" ht="34" customHeight="1">
      <x:c r="A4925" s="4" t="str">
        <x:v>RS-04924</x:v>
      </x:c>
      <x:c r="B4925" s="8" t="n">
        <x:v>45589</x:v>
      </x:c>
      <x:c r="C4925" s="4" t="str">
        <x:v>PRJ-004</x:v>
      </x:c>
      <x:c r="D4925" s="4" t="str">
        <x:v>Apartment</x:v>
      </x:c>
      <x:c r="E4925" s="4" t="str">
        <x:v>Booked</x:v>
      </x:c>
      <x:c r="F4925" s="4" t="str">
        <x:v>CUS-04924</x:v>
      </x:c>
      <x:c r="G4925" s="4" t="str">
        <x:v>UNIT-04924</x:v>
      </x:c>
      <x:c r="H4925" s="9" t="n">
        <x:v>15400000</x:v>
      </x:c>
      <x:c r="I4925" s="10" t="n">
        <x:v>0.09</x:v>
      </x:c>
      <x:c r="J4925" s="11" t="n">
        <x:v>0</x:v>
      </x:c>
      <x:c r="K4925" s="11" t="n">
        <x:v>6</x:v>
      </x:c>
      <x:c r="L4925" s="11" t="n">
        <x:v>0</x:v>
      </x:c>
      <x:c r="M4925" s="9" t="n">
        <x:f>ROUND(H4925*(1-I4925),2)</x:f>
        <x:v>14014000</x:v>
      </x:c>
      <x:c r="N4925" s="4" t="str">
        <x:v>Sales head</x:v>
      </x:c>
      <x:c r="O4925" s="4" t="str">
        <x:v>BOOK-04924</x:v>
      </x:c>
      <x:c r="P4925" s="9" t="n">
        <x:v>14014000</x:v>
      </x:c>
      <x:c r="Q4925" s="11" t="n">
        <x:v>0</x:v>
      </x:c>
      <x:c r="R4925" s="8" t="n">
        <x:v>45649</x:v>
      </x:c>
      <x:c r="S4925" s="4" t="str">
        <x:v>Retained</x:v>
      </x:c>
      <x:c r="T4925" s="10" t="n">
        <x:v>0.145833</x:v>
      </x:c>
      <x:c r="U4925" s="4" t="str">
        <x:v>Test</x:v>
      </x:c>
    </x:row>
    <x:row r="4926" ht="34" customHeight="1">
      <x:c r="A4926" s="4" t="str">
        <x:v>RS-04925</x:v>
      </x:c>
      <x:c r="B4926" s="8" t="n">
        <x:v>45590</x:v>
      </x:c>
      <x:c r="C4926" s="4" t="str">
        <x:v>PRJ-005</x:v>
      </x:c>
      <x:c r="D4926" s="4" t="str">
        <x:v>Office</x:v>
      </x:c>
      <x:c r="E4926" s="4" t="str">
        <x:v>Enquiry</x:v>
      </x:c>
      <x:c r="F4926" s="4" t="str">
        <x:v>CUS-04925</x:v>
      </x:c>
      <x:c r="G4926" s="4" t="str">
        <x:v>UNIT-04925</x:v>
      </x:c>
      <x:c r="H4926" s="9" t="n">
        <x:v>22400000</x:v>
      </x:c>
      <x:c r="I4926" s="10" t="n">
        <x:v>0.09</x:v>
      </x:c>
      <x:c r="J4926" s="11" t="n">
        <x:v>2</x:v>
      </x:c>
      <x:c r="K4926" s="11" t="n">
        <x:v>0</x:v>
      </x:c>
      <x:c r="L4926" s="11" t="n">
        <x:v>1</x:v>
      </x:c>
      <x:c r="M4926" s="9" t="n">
        <x:f>ROUND(H4926*(1-I4926),2)</x:f>
        <x:v>20384000</x:v>
      </x:c>
      <x:c r="N4926" s="4" t="str">
        <x:v>Sales head</x:v>
      </x:c>
      <x:c r="O4926" s="4"/>
      <x:c r="P4926" s="9" t="n">
        <x:v>0</x:v>
      </x:c>
      <x:c r="Q4926" s="11" t="n">
        <x:v>0</x:v>
      </x:c>
      <x:c r="R4926" s="8" t="n">
        <x:v>45650</x:v>
      </x:c>
      <x:c r="S4926" s="4" t="str">
        <x:v>Retained</x:v>
      </x:c>
      <x:c r="T4926" s="10" t="n">
        <x:v>0.276923</x:v>
      </x:c>
      <x:c r="U4926" s="4" t="str">
        <x:v>Test</x:v>
      </x:c>
    </x:row>
    <x:row r="4927" ht="34" customHeight="1">
      <x:c r="A4927" s="4" t="str">
        <x:v>RS-04926</x:v>
      </x:c>
      <x:c r="B4927" s="8" t="n">
        <x:v>45591</x:v>
      </x:c>
      <x:c r="C4927" s="4" t="str">
        <x:v>PRJ-006</x:v>
      </x:c>
      <x:c r="D4927" s="4" t="str">
        <x:v>Villa</x:v>
      </x:c>
      <x:c r="E4927" s="4" t="str">
        <x:v>Agreement signed</x:v>
      </x:c>
      <x:c r="F4927" s="4" t="str">
        <x:v>CUS-04926</x:v>
      </x:c>
      <x:c r="G4927" s="4" t="str">
        <x:v>UNIT-04926</x:v>
      </x:c>
      <x:c r="H4927" s="9" t="n">
        <x:v>14600000</x:v>
      </x:c>
      <x:c r="I4927" s="10" t="n">
        <x:v>0.06</x:v>
      </x:c>
      <x:c r="J4927" s="11" t="n">
        <x:v>3</x:v>
      </x:c>
      <x:c r="K4927" s="11" t="n">
        <x:v>3</x:v>
      </x:c>
      <x:c r="L4927" s="11" t="n">
        <x:v>0</x:v>
      </x:c>
      <x:c r="M4927" s="9" t="n">
        <x:f>ROUND(H4927*(1-I4927),2)</x:f>
        <x:v>13724000</x:v>
      </x:c>
      <x:c r="N4927" s="4" t="str">
        <x:v>Sales manager</x:v>
      </x:c>
      <x:c r="O4927" s="4" t="str">
        <x:v>BOOK-04926</x:v>
      </x:c>
      <x:c r="P4927" s="9" t="n">
        <x:v>1372400</x:v>
      </x:c>
      <x:c r="Q4927" s="11" t="n">
        <x:v>0</x:v>
      </x:c>
      <x:c r="R4927" s="8" t="n">
        <x:v>45651</x:v>
      </x:c>
      <x:c r="S4927" s="4" t="str">
        <x:v>Retained</x:v>
      </x:c>
      <x:c r="T4927" s="10" t="n">
        <x:v>0.204152</x:v>
      </x:c>
      <x:c r="U4927" s="4" t="str">
        <x:v>Test</x:v>
      </x:c>
    </x:row>
    <x:row r="4928" ht="34" customHeight="1">
      <x:c r="A4928" s="4" t="str">
        <x:v>RS-04927</x:v>
      </x:c>
      <x:c r="B4928" s="8" t="n">
        <x:v>45592</x:v>
      </x:c>
      <x:c r="C4928" s="4" t="str">
        <x:v>PRJ-007</x:v>
      </x:c>
      <x:c r="D4928" s="4" t="str">
        <x:v>Office</x:v>
      </x:c>
      <x:c r="E4928" s="4" t="str">
        <x:v>Enquiry</x:v>
      </x:c>
      <x:c r="F4928" s="4" t="str">
        <x:v>CUS-04927</x:v>
      </x:c>
      <x:c r="G4928" s="4" t="str">
        <x:v>UNIT-04927</x:v>
      </x:c>
      <x:c r="H4928" s="9" t="n">
        <x:v>16100000</x:v>
      </x:c>
      <x:c r="I4928" s="10" t="n">
        <x:v>0.1</x:v>
      </x:c>
      <x:c r="J4928" s="11" t="n">
        <x:v>5</x:v>
      </x:c>
      <x:c r="K4928" s="11" t="n">
        <x:v>10</x:v>
      </x:c>
      <x:c r="L4928" s="11" t="n">
        <x:v>1</x:v>
      </x:c>
      <x:c r="M4928" s="9" t="n">
        <x:f>ROUND(H4928*(1-I4928),2)</x:f>
        <x:v>14490000</x:v>
      </x:c>
      <x:c r="N4928" s="4" t="str">
        <x:v>Sales head</x:v>
      </x:c>
      <x:c r="O4928" s="4"/>
      <x:c r="P4928" s="9" t="n">
        <x:v>0</x:v>
      </x:c>
      <x:c r="Q4928" s="11" t="n">
        <x:v>1</x:v>
      </x:c>
      <x:c r="R4928" s="8" t="n">
        <x:v>45652</x:v>
      </x:c>
      <x:c r="S4928" s="4" t="str">
        <x:v>Lost / cancelled</x:v>
      </x:c>
      <x:c r="T4928" s="10" t="n">
        <x:v>0.291946</x:v>
      </x:c>
      <x:c r="U4928" s="4" t="str">
        <x:v>Test</x:v>
      </x:c>
    </x:row>
    <x:row r="4929" ht="34" customHeight="1">
      <x:c r="A4929" s="4" t="str">
        <x:v>RS-04928</x:v>
      </x:c>
      <x:c r="B4929" s="8" t="n">
        <x:v>45593</x:v>
      </x:c>
      <x:c r="C4929" s="4" t="str">
        <x:v>PRJ-008</x:v>
      </x:c>
      <x:c r="D4929" s="4" t="str">
        <x:v>Apartment</x:v>
      </x:c>
      <x:c r="E4929" s="4" t="str">
        <x:v>Cancelled</x:v>
      </x:c>
      <x:c r="F4929" s="4" t="str">
        <x:v>CUS-04928</x:v>
      </x:c>
      <x:c r="G4929" s="4" t="str">
        <x:v>UNIT-04928</x:v>
      </x:c>
      <x:c r="H4929" s="9" t="n">
        <x:v>12100000</x:v>
      </x:c>
      <x:c r="I4929" s="10" t="n">
        <x:v>0.09</x:v>
      </x:c>
      <x:c r="J4929" s="11" t="n">
        <x:v>2</x:v>
      </x:c>
      <x:c r="K4929" s="11" t="n">
        <x:v>0</x:v>
      </x:c>
      <x:c r="L4929" s="11" t="n">
        <x:v>0</x:v>
      </x:c>
      <x:c r="M4929" s="9" t="n">
        <x:f>ROUND(H4929*(1-I4929),2)</x:f>
        <x:v>11011000</x:v>
      </x:c>
      <x:c r="N4929" s="4" t="str">
        <x:v>Sales head</x:v>
      </x:c>
      <x:c r="O4929" s="4"/>
      <x:c r="P4929" s="9" t="n">
        <x:v>0</x:v>
      </x:c>
      <x:c r="Q4929" s="11" t="n">
        <x:v>1</x:v>
      </x:c>
      <x:c r="R4929" s="8" t="n">
        <x:v>45653</x:v>
      </x:c>
      <x:c r="S4929" s="4" t="str">
        <x:v>Lost / cancelled</x:v>
      </x:c>
      <x:c r="T4929" s="10" t="n">
        <x:v>0.276923</x:v>
      </x:c>
      <x:c r="U4929" s="4" t="str">
        <x:v>Test</x:v>
      </x:c>
    </x:row>
    <x:row r="4930" ht="34" customHeight="1">
      <x:c r="A4930" s="4" t="str">
        <x:v>RS-04929</x:v>
      </x:c>
      <x:c r="B4930" s="8" t="n">
        <x:v>45566</x:v>
      </x:c>
      <x:c r="C4930" s="4" t="str">
        <x:v>PRJ-009</x:v>
      </x:c>
      <x:c r="D4930" s="4" t="str">
        <x:v>Apartment</x:v>
      </x:c>
      <x:c r="E4930" s="4" t="str">
        <x:v>Enquiry</x:v>
      </x:c>
      <x:c r="F4930" s="4" t="str">
        <x:v>CUS-04929</x:v>
      </x:c>
      <x:c r="G4930" s="4" t="str">
        <x:v>UNIT-04929</x:v>
      </x:c>
      <x:c r="H4930" s="9" t="n">
        <x:v>11700000</x:v>
      </x:c>
      <x:c r="I4930" s="10" t="n">
        <x:v>0.04</x:v>
      </x:c>
      <x:c r="J4930" s="11" t="n">
        <x:v>6</x:v>
      </x:c>
      <x:c r="K4930" s="11" t="n">
        <x:v>3</x:v>
      </x:c>
      <x:c r="L4930" s="11" t="n">
        <x:v>1</x:v>
      </x:c>
      <x:c r="M4930" s="9" t="n">
        <x:f>ROUND(H4930*(1-I4930),2)</x:f>
        <x:v>11232000</x:v>
      </x:c>
      <x:c r="N4930" s="4" t="str">
        <x:v>Sales manager</x:v>
      </x:c>
      <x:c r="O4930" s="4"/>
      <x:c r="P4930" s="9" t="n">
        <x:v>0</x:v>
      </x:c>
      <x:c r="Q4930" s="11" t="n">
        <x:v>0</x:v>
      </x:c>
      <x:c r="R4930" s="8" t="n">
        <x:v>45626</x:v>
      </x:c>
      <x:c r="S4930" s="4" t="str">
        <x:v>Retained</x:v>
      </x:c>
      <x:c r="T4930" s="10" t="n">
        <x:v>0.291946</x:v>
      </x:c>
      <x:c r="U4930" s="4" t="str">
        <x:v>Test</x:v>
      </x:c>
    </x:row>
    <x:row r="4931" ht="34" customHeight="1">
      <x:c r="A4931" s="4" t="str">
        <x:v>RS-04930</x:v>
      </x:c>
      <x:c r="B4931" s="8" t="n">
        <x:v>45567</x:v>
      </x:c>
      <x:c r="C4931" s="4" t="str">
        <x:v>PRJ-010</x:v>
      </x:c>
      <x:c r="D4931" s="4" t="str">
        <x:v>Villa</x:v>
      </x:c>
      <x:c r="E4931" s="4" t="str">
        <x:v>Agreement signed</x:v>
      </x:c>
      <x:c r="F4931" s="4" t="str">
        <x:v>CUS-04930</x:v>
      </x:c>
      <x:c r="G4931" s="4" t="str">
        <x:v>UNIT-04930</x:v>
      </x:c>
      <x:c r="H4931" s="9" t="n">
        <x:v>19400000</x:v>
      </x:c>
      <x:c r="I4931" s="10" t="n">
        <x:v>0.11</x:v>
      </x:c>
      <x:c r="J4931" s="11" t="n">
        <x:v>1</x:v>
      </x:c>
      <x:c r="K4931" s="11" t="n">
        <x:v>7</x:v>
      </x:c>
      <x:c r="L4931" s="11" t="n">
        <x:v>1</x:v>
      </x:c>
      <x:c r="M4931" s="9" t="n">
        <x:f>ROUND(H4931*(1-I4931),2)</x:f>
        <x:v>17266000</x:v>
      </x:c>
      <x:c r="N4931" s="4" t="str">
        <x:v>Sales head</x:v>
      </x:c>
      <x:c r="O4931" s="4" t="str">
        <x:v>BOOK-04930</x:v>
      </x:c>
      <x:c r="P4931" s="9" t="n">
        <x:v>1726600</x:v>
      </x:c>
      <x:c r="Q4931" s="11" t="n">
        <x:v>0</x:v>
      </x:c>
      <x:c r="R4931" s="8" t="n">
        <x:v>45627</x:v>
      </x:c>
      <x:c r="S4931" s="4" t="str">
        <x:v>Retained</x:v>
      </x:c>
      <x:c r="T4931" s="10" t="n">
        <x:v>0.145833</x:v>
      </x:c>
      <x:c r="U4931" s="4" t="str">
        <x:v>Test</x:v>
      </x:c>
    </x:row>
    <x:row r="4932" ht="34" customHeight="1">
      <x:c r="A4932" s="4" t="str">
        <x:v>RS-04931</x:v>
      </x:c>
      <x:c r="B4932" s="8" t="n">
        <x:v>45568</x:v>
      </x:c>
      <x:c r="C4932" s="4" t="str">
        <x:v>PRJ-011</x:v>
      </x:c>
      <x:c r="D4932" s="4" t="str">
        <x:v>Retail</x:v>
      </x:c>
      <x:c r="E4932" s="4" t="str">
        <x:v>Enquiry</x:v>
      </x:c>
      <x:c r="F4932" s="4" t="str">
        <x:v>CUS-04931</x:v>
      </x:c>
      <x:c r="G4932" s="4" t="str">
        <x:v>UNIT-04931</x:v>
      </x:c>
      <x:c r="H4932" s="9" t="n">
        <x:v>12400000</x:v>
      </x:c>
      <x:c r="I4932" s="10" t="n">
        <x:v>0.11</x:v>
      </x:c>
      <x:c r="J4932" s="11" t="n">
        <x:v>10</x:v>
      </x:c>
      <x:c r="K4932" s="11" t="n">
        <x:v>10</x:v>
      </x:c>
      <x:c r="L4932" s="11" t="n">
        <x:v>0</x:v>
      </x:c>
      <x:c r="M4932" s="9" t="n">
        <x:f>ROUND(H4932*(1-I4932),2)</x:f>
        <x:v>11036000</x:v>
      </x:c>
      <x:c r="N4932" s="4" t="str">
        <x:v>Sales head</x:v>
      </x:c>
      <x:c r="O4932" s="4"/>
      <x:c r="P4932" s="9" t="n">
        <x:v>0</x:v>
      </x:c>
      <x:c r="Q4932" s="11" t="n">
        <x:v>0</x:v>
      </x:c>
      <x:c r="R4932" s="8" t="n">
        <x:v>45628</x:v>
      </x:c>
      <x:c r="S4932" s="4" t="str">
        <x:v>Retained</x:v>
      </x:c>
      <x:c r="T4932" s="10" t="n">
        <x:v>0.310195</x:v>
      </x:c>
      <x:c r="U4932" s="4" t="str">
        <x:v>Test</x:v>
      </x:c>
    </x:row>
    <x:row r="4933" ht="34" customHeight="1">
      <x:c r="A4933" s="4" t="str">
        <x:v>RS-04932</x:v>
      </x:c>
      <x:c r="B4933" s="8" t="n">
        <x:v>45569</x:v>
      </x:c>
      <x:c r="C4933" s="4" t="str">
        <x:v>PRJ-012</x:v>
      </x:c>
      <x:c r="D4933" s="4" t="str">
        <x:v>Apartment</x:v>
      </x:c>
      <x:c r="E4933" s="4" t="str">
        <x:v>Cancelled</x:v>
      </x:c>
      <x:c r="F4933" s="4" t="str">
        <x:v>CUS-04932</x:v>
      </x:c>
      <x:c r="G4933" s="4" t="str">
        <x:v>UNIT-04932</x:v>
      </x:c>
      <x:c r="H4933" s="9" t="n">
        <x:v>20500000</x:v>
      </x:c>
      <x:c r="I4933" s="10" t="n">
        <x:v>0.01</x:v>
      </x:c>
      <x:c r="J4933" s="11" t="n">
        <x:v>5</x:v>
      </x:c>
      <x:c r="K4933" s="11" t="n">
        <x:v>9</x:v>
      </x:c>
      <x:c r="L4933" s="11" t="n">
        <x:v>0</x:v>
      </x:c>
      <x:c r="M4933" s="9" t="n">
        <x:f>ROUND(H4933*(1-I4933),2)</x:f>
        <x:v>20295000</x:v>
      </x:c>
      <x:c r="N4933" s="4" t="str">
        <x:v>Sales manager</x:v>
      </x:c>
      <x:c r="O4933" s="4"/>
      <x:c r="P4933" s="9" t="n">
        <x:v>0</x:v>
      </x:c>
      <x:c r="Q4933" s="11" t="n">
        <x:v>1</x:v>
      </x:c>
      <x:c r="R4933" s="8" t="n">
        <x:v>45629</x:v>
      </x:c>
      <x:c r="S4933" s="4" t="str">
        <x:v>Lost / cancelled</x:v>
      </x:c>
      <x:c r="T4933" s="10" t="n">
        <x:v>0.145299</x:v>
      </x:c>
      <x:c r="U4933" s="4" t="str">
        <x:v>Test</x:v>
      </x:c>
    </x:row>
    <x:row r="4934" ht="34" customHeight="1">
      <x:c r="A4934" s="4" t="str">
        <x:v>RS-04933</x:v>
      </x:c>
      <x:c r="B4934" s="8" t="n">
        <x:v>45570</x:v>
      </x:c>
      <x:c r="C4934" s="4" t="str">
        <x:v>PRJ-013</x:v>
      </x:c>
      <x:c r="D4934" s="4" t="str">
        <x:v>Apartment</x:v>
      </x:c>
      <x:c r="E4934" s="4" t="str">
        <x:v>Booked</x:v>
      </x:c>
      <x:c r="F4934" s="4" t="str">
        <x:v>CUS-04933</x:v>
      </x:c>
      <x:c r="G4934" s="4" t="str">
        <x:v>UNIT-04933</x:v>
      </x:c>
      <x:c r="H4934" s="9" t="n">
        <x:v>6500000</x:v>
      </x:c>
      <x:c r="I4934" s="10" t="n">
        <x:v>0.11</x:v>
      </x:c>
      <x:c r="J4934" s="11" t="n">
        <x:v>10</x:v>
      </x:c>
      <x:c r="K4934" s="11" t="n">
        <x:v>1</x:v>
      </x:c>
      <x:c r="L4934" s="11" t="n">
        <x:v>0</x:v>
      </x:c>
      <x:c r="M4934" s="9" t="n">
        <x:f>ROUND(H4934*(1-I4934),2)</x:f>
        <x:v>5785000</x:v>
      </x:c>
      <x:c r="N4934" s="4" t="str">
        <x:v>Sales head</x:v>
      </x:c>
      <x:c r="O4934" s="4" t="str">
        <x:v>BOOK-04933</x:v>
      </x:c>
      <x:c r="P4934" s="9" t="n">
        <x:v>5785000</x:v>
      </x:c>
      <x:c r="Q4934" s="11" t="n">
        <x:v>0</x:v>
      </x:c>
      <x:c r="R4934" s="8" t="n">
        <x:v>45630</x:v>
      </x:c>
      <x:c r="S4934" s="4" t="str">
        <x:v>Retained</x:v>
      </x:c>
      <x:c r="T4934" s="10" t="n">
        <x:v>0.310195</x:v>
      </x:c>
      <x:c r="U4934" s="4" t="str">
        <x:v>Test</x:v>
      </x:c>
    </x:row>
    <x:row r="4935" ht="34" customHeight="1">
      <x:c r="A4935" s="4" t="str">
        <x:v>RS-04934</x:v>
      </x:c>
      <x:c r="B4935" s="8" t="n">
        <x:v>45571</x:v>
      </x:c>
      <x:c r="C4935" s="4" t="str">
        <x:v>PRJ-014</x:v>
      </x:c>
      <x:c r="D4935" s="4" t="str">
        <x:v>Villa</x:v>
      </x:c>
      <x:c r="E4935" s="4" t="str">
        <x:v>Booked</x:v>
      </x:c>
      <x:c r="F4935" s="4" t="str">
        <x:v>CUS-04934</x:v>
      </x:c>
      <x:c r="G4935" s="4" t="str">
        <x:v>UNIT-04934</x:v>
      </x:c>
      <x:c r="H4935" s="9" t="n">
        <x:v>4100000</x:v>
      </x:c>
      <x:c r="I4935" s="10" t="n">
        <x:v>0.09</x:v>
      </x:c>
      <x:c r="J4935" s="11" t="n">
        <x:v>11</x:v>
      </x:c>
      <x:c r="K4935" s="11" t="n">
        <x:v>8</x:v>
      </x:c>
      <x:c r="L4935" s="11" t="n">
        <x:v>0</x:v>
      </x:c>
      <x:c r="M4935" s="9" t="n">
        <x:f>ROUND(H4935*(1-I4935),2)</x:f>
        <x:v>3731000</x:v>
      </x:c>
      <x:c r="N4935" s="4" t="str">
        <x:v>Sales head</x:v>
      </x:c>
      <x:c r="O4935" s="4" t="str">
        <x:v>BOOK-04934</x:v>
      </x:c>
      <x:c r="P4935" s="9" t="n">
        <x:v>373100</x:v>
      </x:c>
      <x:c r="Q4935" s="11" t="n">
        <x:v>0</x:v>
      </x:c>
      <x:c r="R4935" s="8" t="n">
        <x:v>45631</x:v>
      </x:c>
      <x:c r="S4935" s="4" t="str">
        <x:v>Retained</x:v>
      </x:c>
      <x:c r="T4935" s="10" t="n">
        <x:v>0.351536</x:v>
      </x:c>
      <x:c r="U4935" s="4" t="str">
        <x:v>Test</x:v>
      </x:c>
    </x:row>
    <x:row r="4936" ht="34" customHeight="1">
      <x:c r="A4936" s="4" t="str">
        <x:v>RS-04935</x:v>
      </x:c>
      <x:c r="B4936" s="8" t="n">
        <x:v>45572</x:v>
      </x:c>
      <x:c r="C4936" s="4" t="str">
        <x:v>PRJ-015</x:v>
      </x:c>
      <x:c r="D4936" s="4" t="str">
        <x:v>Office</x:v>
      </x:c>
      <x:c r="E4936" s="4" t="str">
        <x:v>Enquiry</x:v>
      </x:c>
      <x:c r="F4936" s="4" t="str">
        <x:v>CUS-04935</x:v>
      </x:c>
      <x:c r="G4936" s="4" t="str">
        <x:v>UNIT-04935</x:v>
      </x:c>
      <x:c r="H4936" s="9" t="n">
        <x:v>21000000</x:v>
      </x:c>
      <x:c r="I4936" s="10" t="n">
        <x:v>0.06</x:v>
      </x:c>
      <x:c r="J4936" s="11" t="n">
        <x:v>4</x:v>
      </x:c>
      <x:c r="K4936" s="11" t="n">
        <x:v>4</x:v>
      </x:c>
      <x:c r="L4936" s="11" t="n">
        <x:v>0</x:v>
      </x:c>
      <x:c r="M4936" s="9" t="n">
        <x:f>ROUND(H4936*(1-I4936),2)</x:f>
        <x:v>19740000</x:v>
      </x:c>
      <x:c r="N4936" s="4" t="str">
        <x:v>Sales manager</x:v>
      </x:c>
      <x:c r="O4936" s="4"/>
      <x:c r="P4936" s="9" t="n">
        <x:v>0</x:v>
      </x:c>
      <x:c r="Q4936" s="11" t="n">
        <x:v>0</x:v>
      </x:c>
      <x:c r="R4936" s="8" t="n">
        <x:v>45632</x:v>
      </x:c>
      <x:c r="S4936" s="4" t="str">
        <x:v>Retained</x:v>
      </x:c>
      <x:c r="T4936" s="10" t="n">
        <x:v>0.226277</x:v>
      </x:c>
      <x:c r="U4936" s="4" t="str">
        <x:v>Test</x:v>
      </x:c>
    </x:row>
    <x:row r="4937" ht="34" customHeight="1">
      <x:c r="A4937" s="4" t="str">
        <x:v>RS-04936</x:v>
      </x:c>
      <x:c r="B4937" s="8" t="n">
        <x:v>45573</x:v>
      </x:c>
      <x:c r="C4937" s="4" t="str">
        <x:v>PRJ-016</x:v>
      </x:c>
      <x:c r="D4937" s="4" t="str">
        <x:v>Retail</x:v>
      </x:c>
      <x:c r="E4937" s="4" t="str">
        <x:v>Cancelled</x:v>
      </x:c>
      <x:c r="F4937" s="4" t="str">
        <x:v>CUS-04936</x:v>
      </x:c>
      <x:c r="G4937" s="4" t="str">
        <x:v>UNIT-04936</x:v>
      </x:c>
      <x:c r="H4937" s="9" t="n">
        <x:v>15600000</x:v>
      </x:c>
      <x:c r="I4937" s="10" t="n">
        <x:v>0.09</x:v>
      </x:c>
      <x:c r="J4937" s="11" t="n">
        <x:v>0</x:v>
      </x:c>
      <x:c r="K4937" s="11" t="n">
        <x:v>2</x:v>
      </x:c>
      <x:c r="L4937" s="11" t="n">
        <x:v>0</x:v>
      </x:c>
      <x:c r="M4937" s="9" t="n">
        <x:f>ROUND(H4937*(1-I4937),2)</x:f>
        <x:v>14196000</x:v>
      </x:c>
      <x:c r="N4937" s="4" t="str">
        <x:v>Sales head</x:v>
      </x:c>
      <x:c r="O4937" s="4"/>
      <x:c r="P4937" s="9" t="n">
        <x:v>0</x:v>
      </x:c>
      <x:c r="Q4937" s="11" t="n">
        <x:v>1</x:v>
      </x:c>
      <x:c r="R4937" s="8" t="n">
        <x:v>45633</x:v>
      </x:c>
      <x:c r="S4937" s="4" t="str">
        <x:v>Lost / cancelled</x:v>
      </x:c>
      <x:c r="T4937" s="10" t="n">
        <x:v>0.145833</x:v>
      </x:c>
      <x:c r="U4937" s="4" t="str">
        <x:v>Test</x:v>
      </x:c>
    </x:row>
    <x:row r="4938" ht="34" customHeight="1">
      <x:c r="A4938" s="4" t="str">
        <x:v>RS-04937</x:v>
      </x:c>
      <x:c r="B4938" s="8" t="n">
        <x:v>45574</x:v>
      </x:c>
      <x:c r="C4938" s="4" t="str">
        <x:v>PRJ-017</x:v>
      </x:c>
      <x:c r="D4938" s="4" t="str">
        <x:v>Office</x:v>
      </x:c>
      <x:c r="E4938" s="4" t="str">
        <x:v>Cancelled</x:v>
      </x:c>
      <x:c r="F4938" s="4" t="str">
        <x:v>CUS-04937</x:v>
      </x:c>
      <x:c r="G4938" s="4" t="str">
        <x:v>UNIT-04937</x:v>
      </x:c>
      <x:c r="H4938" s="9" t="n">
        <x:v>14100000</x:v>
      </x:c>
      <x:c r="I4938" s="10" t="n">
        <x:v>0.11</x:v>
      </x:c>
      <x:c r="J4938" s="11" t="n">
        <x:v>6</x:v>
      </x:c>
      <x:c r="K4938" s="11" t="n">
        <x:v>6</x:v>
      </x:c>
      <x:c r="L4938" s="11" t="n">
        <x:v>0</x:v>
      </x:c>
      <x:c r="M4938" s="9" t="n">
        <x:f>ROUND(H4938*(1-I4938),2)</x:f>
        <x:v>12549000</x:v>
      </x:c>
      <x:c r="N4938" s="4" t="str">
        <x:v>Sales head</x:v>
      </x:c>
      <x:c r="O4938" s="4"/>
      <x:c r="P4938" s="9" t="n">
        <x:v>0</x:v>
      </x:c>
      <x:c r="Q4938" s="11" t="n">
        <x:v>1</x:v>
      </x:c>
      <x:c r="R4938" s="8" t="n">
        <x:v>45634</x:v>
      </x:c>
      <x:c r="S4938" s="4" t="str">
        <x:v>Lost / cancelled</x:v>
      </x:c>
      <x:c r="T4938" s="10" t="n">
        <x:v>0.226277</x:v>
      </x:c>
      <x:c r="U4938" s="4" t="str">
        <x:v>Test</x:v>
      </x:c>
    </x:row>
    <x:row r="4939" ht="34" customHeight="1">
      <x:c r="A4939" s="4" t="str">
        <x:v>RS-04938</x:v>
      </x:c>
      <x:c r="B4939" s="8" t="n">
        <x:v>45575</x:v>
      </x:c>
      <x:c r="C4939" s="4" t="str">
        <x:v>PRJ-018</x:v>
      </x:c>
      <x:c r="D4939" s="4" t="str">
        <x:v>Retail</x:v>
      </x:c>
      <x:c r="E4939" s="4" t="str">
        <x:v>Booked</x:v>
      </x:c>
      <x:c r="F4939" s="4" t="str">
        <x:v>CUS-04938</x:v>
      </x:c>
      <x:c r="G4939" s="4" t="str">
        <x:v>UNIT-04938</x:v>
      </x:c>
      <x:c r="H4939" s="9" t="n">
        <x:v>10900000</x:v>
      </x:c>
      <x:c r="I4939" s="10" t="n">
        <x:v>0.05</x:v>
      </x:c>
      <x:c r="J4939" s="11" t="n">
        <x:v>2</x:v>
      </x:c>
      <x:c r="K4939" s="11" t="n">
        <x:v>1</x:v>
      </x:c>
      <x:c r="L4939" s="11" t="n">
        <x:v>0</x:v>
      </x:c>
      <x:c r="M4939" s="9" t="n">
        <x:f>ROUND(H4939*(1-I4939),2)</x:f>
        <x:v>10355000</x:v>
      </x:c>
      <x:c r="N4939" s="4" t="str">
        <x:v>Sales manager</x:v>
      </x:c>
      <x:c r="O4939" s="4" t="str">
        <x:v>BOOK-04938</x:v>
      </x:c>
      <x:c r="P4939" s="9" t="n">
        <x:v>1035500</x:v>
      </x:c>
      <x:c r="Q4939" s="11" t="n">
        <x:v>0</x:v>
      </x:c>
      <x:c r="R4939" s="8" t="n">
        <x:v>45635</x:v>
      </x:c>
      <x:c r="S4939" s="4" t="str">
        <x:v>Retained</x:v>
      </x:c>
      <x:c r="T4939" s="10" t="n">
        <x:v>0.204152</x:v>
      </x:c>
      <x:c r="U4939" s="4" t="str">
        <x:v>Test</x:v>
      </x:c>
    </x:row>
    <x:row r="4940" ht="34" customHeight="1">
      <x:c r="A4940" s="4" t="str">
        <x:v>RS-04939</x:v>
      </x:c>
      <x:c r="B4940" s="8" t="n">
        <x:v>45576</x:v>
      </x:c>
      <x:c r="C4940" s="4" t="str">
        <x:v>PRJ-019</x:v>
      </x:c>
      <x:c r="D4940" s="4" t="str">
        <x:v>Apartment</x:v>
      </x:c>
      <x:c r="E4940" s="4" t="str">
        <x:v>Cancelled</x:v>
      </x:c>
      <x:c r="F4940" s="4" t="str">
        <x:v>CUS-04939</x:v>
      </x:c>
      <x:c r="G4940" s="4" t="str">
        <x:v>UNIT-04939</x:v>
      </x:c>
      <x:c r="H4940" s="9" t="n">
        <x:v>20900000</x:v>
      </x:c>
      <x:c r="I4940" s="10" t="n">
        <x:v>0.06</x:v>
      </x:c>
      <x:c r="J4940" s="11" t="n">
        <x:v>10</x:v>
      </x:c>
      <x:c r="K4940" s="11" t="n">
        <x:v>8</x:v>
      </x:c>
      <x:c r="L4940" s="11" t="n">
        <x:v>0</x:v>
      </x:c>
      <x:c r="M4940" s="9" t="n">
        <x:f>ROUND(H4940*(1-I4940),2)</x:f>
        <x:v>19646000</x:v>
      </x:c>
      <x:c r="N4940" s="4" t="str">
        <x:v>Sales manager</x:v>
      </x:c>
      <x:c r="O4940" s="4"/>
      <x:c r="P4940" s="9" t="n">
        <x:v>0</x:v>
      </x:c>
      <x:c r="Q4940" s="11" t="n">
        <x:v>1</x:v>
      </x:c>
      <x:c r="R4940" s="8" t="n">
        <x:v>45636</x:v>
      </x:c>
      <x:c r="S4940" s="4" t="str">
        <x:v>Lost / cancelled</x:v>
      </x:c>
      <x:c r="T4940" s="10" t="n">
        <x:v>0.310195</x:v>
      </x:c>
      <x:c r="U4940" s="4" t="str">
        <x:v>Test</x:v>
      </x:c>
    </x:row>
    <x:row r="4941" ht="34" customHeight="1">
      <x:c r="A4941" s="4" t="str">
        <x:v>RS-04940</x:v>
      </x:c>
      <x:c r="B4941" s="8" t="n">
        <x:v>45577</x:v>
      </x:c>
      <x:c r="C4941" s="4" t="str">
        <x:v>PRJ-020</x:v>
      </x:c>
      <x:c r="D4941" s="4" t="str">
        <x:v>Retail</x:v>
      </x:c>
      <x:c r="E4941" s="4" t="str">
        <x:v>Handed over</x:v>
      </x:c>
      <x:c r="F4941" s="4" t="str">
        <x:v>CUS-04940</x:v>
      </x:c>
      <x:c r="G4941" s="4" t="str">
        <x:v>UNIT-04940</x:v>
      </x:c>
      <x:c r="H4941" s="9" t="n">
        <x:v>22500000</x:v>
      </x:c>
      <x:c r="I4941" s="10" t="n">
        <x:v>0.11</x:v>
      </x:c>
      <x:c r="J4941" s="11" t="n">
        <x:v>11</x:v>
      </x:c>
      <x:c r="K4941" s="11" t="n">
        <x:v>7</x:v>
      </x:c>
      <x:c r="L4941" s="11" t="n">
        <x:v>0</x:v>
      </x:c>
      <x:c r="M4941" s="9" t="n">
        <x:f>ROUND(H4941*(1-I4941),2)</x:f>
        <x:v>20025000</x:v>
      </x:c>
      <x:c r="N4941" s="4" t="str">
        <x:v>Sales head</x:v>
      </x:c>
      <x:c r="O4941" s="4" t="str">
        <x:v>BOOK-04940</x:v>
      </x:c>
      <x:c r="P4941" s="9" t="n">
        <x:v>20025000</x:v>
      </x:c>
      <x:c r="Q4941" s="11" t="n">
        <x:v>0</x:v>
      </x:c>
      <x:c r="R4941" s="8" t="n">
        <x:v>45637</x:v>
      </x:c>
      <x:c r="S4941" s="4" t="str">
        <x:v>Retained</x:v>
      </x:c>
      <x:c r="T4941" s="10" t="n">
        <x:v>0.351536</x:v>
      </x:c>
      <x:c r="U4941" s="4" t="str">
        <x:v>Test</x:v>
      </x:c>
    </x:row>
    <x:row r="4942" ht="34" customHeight="1">
      <x:c r="A4942" s="4" t="str">
        <x:v>RS-04941</x:v>
      </x:c>
      <x:c r="B4942" s="8" t="n">
        <x:v>45578</x:v>
      </x:c>
      <x:c r="C4942" s="4" t="str">
        <x:v>PRJ-001</x:v>
      </x:c>
      <x:c r="D4942" s="4" t="str">
        <x:v>Villa</x:v>
      </x:c>
      <x:c r="E4942" s="4" t="str">
        <x:v>Agreement signed</x:v>
      </x:c>
      <x:c r="F4942" s="4" t="str">
        <x:v>CUS-04941</x:v>
      </x:c>
      <x:c r="G4942" s="4" t="str">
        <x:v>UNIT-04941</x:v>
      </x:c>
      <x:c r="H4942" s="9" t="n">
        <x:v>7800000</x:v>
      </x:c>
      <x:c r="I4942" s="10" t="n">
        <x:v>0.12</x:v>
      </x:c>
      <x:c r="J4942" s="11" t="n">
        <x:v>3</x:v>
      </x:c>
      <x:c r="K4942" s="11" t="n">
        <x:v>10</x:v>
      </x:c>
      <x:c r="L4942" s="11" t="n">
        <x:v>0</x:v>
      </x:c>
      <x:c r="M4942" s="9" t="n">
        <x:f>ROUND(H4942*(1-I4942),2)</x:f>
        <x:v>6864000</x:v>
      </x:c>
      <x:c r="N4942" s="4" t="str">
        <x:v>Sales head</x:v>
      </x:c>
      <x:c r="O4942" s="4" t="str">
        <x:v>BOOK-04941</x:v>
      </x:c>
      <x:c r="P4942" s="9" t="n">
        <x:v>3432000</x:v>
      </x:c>
      <x:c r="Q4942" s="11" t="n">
        <x:v>0</x:v>
      </x:c>
      <x:c r="R4942" s="8" t="n">
        <x:v>45638</x:v>
      </x:c>
      <x:c r="S4942" s="4" t="str">
        <x:v>Retained</x:v>
      </x:c>
      <x:c r="T4942" s="10" t="n">
        <x:v>0.145833</x:v>
      </x:c>
      <x:c r="U4942" s="4" t="str">
        <x:v>Test</x:v>
      </x:c>
    </x:row>
    <x:row r="4943" ht="34" customHeight="1">
      <x:c r="A4943" s="4" t="str">
        <x:v>RS-04942</x:v>
      </x:c>
      <x:c r="B4943" s="8" t="n">
        <x:v>45579</x:v>
      </x:c>
      <x:c r="C4943" s="4" t="str">
        <x:v>PRJ-002</x:v>
      </x:c>
      <x:c r="D4943" s="4" t="str">
        <x:v>Office</x:v>
      </x:c>
      <x:c r="E4943" s="4" t="str">
        <x:v>Booked</x:v>
      </x:c>
      <x:c r="F4943" s="4" t="str">
        <x:v>CUS-04942</x:v>
      </x:c>
      <x:c r="G4943" s="4" t="str">
        <x:v>UNIT-04942</x:v>
      </x:c>
      <x:c r="H4943" s="9" t="n">
        <x:v>22100000</x:v>
      </x:c>
      <x:c r="I4943" s="10" t="n">
        <x:v>0.02</x:v>
      </x:c>
      <x:c r="J4943" s="11" t="n">
        <x:v>6</x:v>
      </x:c>
      <x:c r="K4943" s="11" t="n">
        <x:v>2</x:v>
      </x:c>
      <x:c r="L4943" s="11" t="n">
        <x:v>0</x:v>
      </x:c>
      <x:c r="M4943" s="9" t="n">
        <x:f>ROUND(H4943*(1-I4943),2)</x:f>
        <x:v>21658000</x:v>
      </x:c>
      <x:c r="N4943" s="4" t="str">
        <x:v>Sales manager</x:v>
      </x:c>
      <x:c r="O4943" s="4" t="str">
        <x:v>BOOK-04942</x:v>
      </x:c>
      <x:c r="P4943" s="9" t="n">
        <x:v>2165800</x:v>
      </x:c>
      <x:c r="Q4943" s="11" t="n">
        <x:v>0</x:v>
      </x:c>
      <x:c r="R4943" s="8" t="n">
        <x:v>45639</x:v>
      </x:c>
      <x:c r="S4943" s="4" t="str">
        <x:v>Retained</x:v>
      </x:c>
      <x:c r="T4943" s="10" t="n">
        <x:v>0.298969</x:v>
      </x:c>
      <x:c r="U4943" s="4" t="str">
        <x:v>Test</x:v>
      </x:c>
    </x:row>
    <x:row r="4944" ht="34" customHeight="1">
      <x:c r="A4944" s="4" t="str">
        <x:v>RS-04943</x:v>
      </x:c>
      <x:c r="B4944" s="8" t="n">
        <x:v>45580</x:v>
      </x:c>
      <x:c r="C4944" s="4" t="str">
        <x:v>PRJ-003</x:v>
      </x:c>
      <x:c r="D4944" s="4" t="str">
        <x:v>Apartment</x:v>
      </x:c>
      <x:c r="E4944" s="4" t="str">
        <x:v>Enquiry</x:v>
      </x:c>
      <x:c r="F4944" s="4" t="str">
        <x:v>CUS-04943</x:v>
      </x:c>
      <x:c r="G4944" s="4" t="str">
        <x:v>UNIT-04943</x:v>
      </x:c>
      <x:c r="H4944" s="9" t="n">
        <x:v>21300000</x:v>
      </x:c>
      <x:c r="I4944" s="10" t="n">
        <x:v>0.04</x:v>
      </x:c>
      <x:c r="J4944" s="11" t="n">
        <x:v>7</x:v>
      </x:c>
      <x:c r="K4944" s="11" t="n">
        <x:v>1</x:v>
      </x:c>
      <x:c r="L4944" s="11" t="n">
        <x:v>0</x:v>
      </x:c>
      <x:c r="M4944" s="9" t="n">
        <x:f>ROUND(H4944*(1-I4944),2)</x:f>
        <x:v>20448000</x:v>
      </x:c>
      <x:c r="N4944" s="4" t="str">
        <x:v>Sales manager</x:v>
      </x:c>
      <x:c r="O4944" s="4"/>
      <x:c r="P4944" s="9" t="n">
        <x:v>0</x:v>
      </x:c>
      <x:c r="Q4944" s="11" t="n">
        <x:v>0</x:v>
      </x:c>
      <x:c r="R4944" s="8" t="n">
        <x:v>45640</x:v>
      </x:c>
      <x:c r="S4944" s="4" t="str">
        <x:v>Retained</x:v>
      </x:c>
      <x:c r="T4944" s="10" t="n">
        <x:v>0.226277</x:v>
      </x:c>
      <x:c r="U4944" s="4" t="str">
        <x:v>Test</x:v>
      </x:c>
    </x:row>
    <x:row r="4945" ht="34" customHeight="1">
      <x:c r="A4945" s="4" t="str">
        <x:v>RS-04944</x:v>
      </x:c>
      <x:c r="B4945" s="8" t="n">
        <x:v>45581</x:v>
      </x:c>
      <x:c r="C4945" s="4" t="str">
        <x:v>PRJ-004</x:v>
      </x:c>
      <x:c r="D4945" s="4" t="str">
        <x:v>Office</x:v>
      </x:c>
      <x:c r="E4945" s="4" t="str">
        <x:v>Enquiry</x:v>
      </x:c>
      <x:c r="F4945" s="4" t="str">
        <x:v>CUS-04944</x:v>
      </x:c>
      <x:c r="G4945" s="4" t="str">
        <x:v>UNIT-04944</x:v>
      </x:c>
      <x:c r="H4945" s="9" t="n">
        <x:v>23200000</x:v>
      </x:c>
      <x:c r="I4945" s="10" t="n">
        <x:v>0.08</x:v>
      </x:c>
      <x:c r="J4945" s="11" t="n">
        <x:v>0</x:v>
      </x:c>
      <x:c r="K4945" s="11" t="n">
        <x:v>8</x:v>
      </x:c>
      <x:c r="L4945" s="11" t="n">
        <x:v>1</x:v>
      </x:c>
      <x:c r="M4945" s="9" t="n">
        <x:f>ROUND(H4945*(1-I4945),2)</x:f>
        <x:v>21344000</x:v>
      </x:c>
      <x:c r="N4945" s="4" t="str">
        <x:v>Sales head</x:v>
      </x:c>
      <x:c r="O4945" s="4"/>
      <x:c r="P4945" s="9" t="n">
        <x:v>0</x:v>
      </x:c>
      <x:c r="Q4945" s="11" t="n">
        <x:v>1</x:v>
      </x:c>
      <x:c r="R4945" s="8" t="n">
        <x:v>45641</x:v>
      </x:c>
      <x:c r="S4945" s="4" t="str">
        <x:v>Lost / cancelled</x:v>
      </x:c>
      <x:c r="T4945" s="10" t="n">
        <x:v>0.204152</x:v>
      </x:c>
      <x:c r="U4945" s="4" t="str">
        <x:v>Test</x:v>
      </x:c>
    </x:row>
    <x:row r="4946" ht="34" customHeight="1">
      <x:c r="A4946" s="4" t="str">
        <x:v>RS-04945</x:v>
      </x:c>
      <x:c r="B4946" s="8" t="n">
        <x:v>45582</x:v>
      </x:c>
      <x:c r="C4946" s="4" t="str">
        <x:v>PRJ-005</x:v>
      </x:c>
      <x:c r="D4946" s="4" t="str">
        <x:v>Apartment</x:v>
      </x:c>
      <x:c r="E4946" s="4" t="str">
        <x:v>Enquiry</x:v>
      </x:c>
      <x:c r="F4946" s="4" t="str">
        <x:v>CUS-04945</x:v>
      </x:c>
      <x:c r="G4946" s="4" t="str">
        <x:v>UNIT-04945</x:v>
      </x:c>
      <x:c r="H4946" s="9" t="n">
        <x:v>13700000</x:v>
      </x:c>
      <x:c r="I4946" s="10" t="n">
        <x:v>0.08</x:v>
      </x:c>
      <x:c r="J4946" s="11" t="n">
        <x:v>1</x:v>
      </x:c>
      <x:c r="K4946" s="11" t="n">
        <x:v>2</x:v>
      </x:c>
      <x:c r="L4946" s="11" t="n">
        <x:v>1</x:v>
      </x:c>
      <x:c r="M4946" s="9" t="n">
        <x:f>ROUND(H4946*(1-I4946),2)</x:f>
        <x:v>12604000</x:v>
      </x:c>
      <x:c r="N4946" s="4" t="str">
        <x:v>Sales head</x:v>
      </x:c>
      <x:c r="O4946" s="4"/>
      <x:c r="P4946" s="9" t="n">
        <x:v>0</x:v>
      </x:c>
      <x:c r="Q4946" s="11" t="n">
        <x:v>0</x:v>
      </x:c>
      <x:c r="R4946" s="8" t="n">
        <x:v>45642</x:v>
      </x:c>
      <x:c r="S4946" s="4" t="str">
        <x:v>Retained</x:v>
      </x:c>
      <x:c r="T4946" s="10" t="n">
        <x:v>0.204152</x:v>
      </x:c>
      <x:c r="U4946" s="4" t="str">
        <x:v>Test</x:v>
      </x:c>
    </x:row>
    <x:row r="4947" ht="34" customHeight="1">
      <x:c r="A4947" s="4" t="str">
        <x:v>RS-04946</x:v>
      </x:c>
      <x:c r="B4947" s="8" t="n">
        <x:v>45583</x:v>
      </x:c>
      <x:c r="C4947" s="4" t="str">
        <x:v>PRJ-006</x:v>
      </x:c>
      <x:c r="D4947" s="4" t="str">
        <x:v>Villa</x:v>
      </x:c>
      <x:c r="E4947" s="4" t="str">
        <x:v>Handed over</x:v>
      </x:c>
      <x:c r="F4947" s="4" t="str">
        <x:v>CUS-04946</x:v>
      </x:c>
      <x:c r="G4947" s="4" t="str">
        <x:v>UNIT-04946</x:v>
      </x:c>
      <x:c r="H4947" s="9" t="n">
        <x:v>23000000</x:v>
      </x:c>
      <x:c r="I4947" s="10" t="n">
        <x:v>0.04</x:v>
      </x:c>
      <x:c r="J4947" s="11" t="n">
        <x:v>10</x:v>
      </x:c>
      <x:c r="K4947" s="11" t="n">
        <x:v>7</x:v>
      </x:c>
      <x:c r="L4947" s="11" t="n">
        <x:v>0</x:v>
      </x:c>
      <x:c r="M4947" s="9" t="n">
        <x:f>ROUND(H4947*(1-I4947),2)</x:f>
        <x:v>22080000</x:v>
      </x:c>
      <x:c r="N4947" s="4" t="str">
        <x:v>Sales manager</x:v>
      </x:c>
      <x:c r="O4947" s="4" t="str">
        <x:v>BOOK-04946</x:v>
      </x:c>
      <x:c r="P4947" s="9" t="n">
        <x:v>5520000</x:v>
      </x:c>
      <x:c r="Q4947" s="11" t="n">
        <x:v>0</x:v>
      </x:c>
      <x:c r="R4947" s="8" t="n">
        <x:v>45643</x:v>
      </x:c>
      <x:c r="S4947" s="4" t="str">
        <x:v>Retained</x:v>
      </x:c>
      <x:c r="T4947" s="10" t="n">
        <x:v>0.310195</x:v>
      </x:c>
      <x:c r="U4947" s="4" t="str">
        <x:v>Test</x:v>
      </x:c>
    </x:row>
    <x:row r="4948" ht="34" customHeight="1">
      <x:c r="A4948" s="4" t="str">
        <x:v>RS-04947</x:v>
      </x:c>
      <x:c r="B4948" s="8" t="n">
        <x:v>45584</x:v>
      </x:c>
      <x:c r="C4948" s="4" t="str">
        <x:v>PRJ-007</x:v>
      </x:c>
      <x:c r="D4948" s="4" t="str">
        <x:v>Apartment</x:v>
      </x:c>
      <x:c r="E4948" s="4" t="str">
        <x:v>Enquiry</x:v>
      </x:c>
      <x:c r="F4948" s="4" t="str">
        <x:v>CUS-04947</x:v>
      </x:c>
      <x:c r="G4948" s="4" t="str">
        <x:v>UNIT-04947</x:v>
      </x:c>
      <x:c r="H4948" s="9" t="n">
        <x:v>22000000</x:v>
      </x:c>
      <x:c r="I4948" s="10" t="n">
        <x:v>0.1</x:v>
      </x:c>
      <x:c r="J4948" s="11" t="n">
        <x:v>12</x:v>
      </x:c>
      <x:c r="K4948" s="11" t="n">
        <x:v>2</x:v>
      </x:c>
      <x:c r="L4948" s="11" t="n">
        <x:v>0</x:v>
      </x:c>
      <x:c r="M4948" s="9" t="n">
        <x:f>ROUND(H4948*(1-I4948),2)</x:f>
        <x:v>19800000</x:v>
      </x:c>
      <x:c r="N4948" s="4" t="str">
        <x:v>Sales head</x:v>
      </x:c>
      <x:c r="O4948" s="4"/>
      <x:c r="P4948" s="9" t="n">
        <x:v>0</x:v>
      </x:c>
      <x:c r="Q4948" s="11" t="n">
        <x:v>0</x:v>
      </x:c>
      <x:c r="R4948" s="8" t="n">
        <x:v>45644</x:v>
      </x:c>
      <x:c r="S4948" s="4" t="str">
        <x:v>Retained</x:v>
      </x:c>
      <x:c r="T4948" s="10" t="n">
        <x:v>0.351536</x:v>
      </x:c>
      <x:c r="U4948" s="4" t="str">
        <x:v>Test</x:v>
      </x:c>
    </x:row>
    <x:row r="4949" ht="34" customHeight="1">
      <x:c r="A4949" s="4" t="str">
        <x:v>RS-04948</x:v>
      </x:c>
      <x:c r="B4949" s="8" t="n">
        <x:v>45585</x:v>
      </x:c>
      <x:c r="C4949" s="4" t="str">
        <x:v>PRJ-008</x:v>
      </x:c>
      <x:c r="D4949" s="4" t="str">
        <x:v>Villa</x:v>
      </x:c>
      <x:c r="E4949" s="4" t="str">
        <x:v>Handed over</x:v>
      </x:c>
      <x:c r="F4949" s="4" t="str">
        <x:v>CUS-04948</x:v>
      </x:c>
      <x:c r="G4949" s="4" t="str">
        <x:v>UNIT-04948</x:v>
      </x:c>
      <x:c r="H4949" s="9" t="n">
        <x:v>3200000</x:v>
      </x:c>
      <x:c r="I4949" s="10" t="n">
        <x:v>0.03</x:v>
      </x:c>
      <x:c r="J4949" s="11" t="n">
        <x:v>8</x:v>
      </x:c>
      <x:c r="K4949" s="11" t="n">
        <x:v>4</x:v>
      </x:c>
      <x:c r="L4949" s="11" t="n">
        <x:v>1</x:v>
      </x:c>
      <x:c r="M4949" s="9" t="n">
        <x:f>ROUND(H4949*(1-I4949),2)</x:f>
        <x:v>3104000</x:v>
      </x:c>
      <x:c r="N4949" s="4" t="str">
        <x:v>Sales manager</x:v>
      </x:c>
      <x:c r="O4949" s="4" t="str">
        <x:v>BOOK-04948</x:v>
      </x:c>
      <x:c r="P4949" s="9" t="n">
        <x:v>310400</x:v>
      </x:c>
      <x:c r="Q4949" s="11" t="n">
        <x:v>0</x:v>
      </x:c>
      <x:c r="R4949" s="8" t="n">
        <x:v>45645</x:v>
      </x:c>
      <x:c r="S4949" s="4" t="str">
        <x:v>Retained</x:v>
      </x:c>
      <x:c r="T4949" s="10" t="n">
        <x:v>0.310195</x:v>
      </x:c>
      <x:c r="U4949" s="4" t="str">
        <x:v>Test</x:v>
      </x:c>
    </x:row>
    <x:row r="4950" ht="34" customHeight="1">
      <x:c r="A4950" s="4" t="str">
        <x:v>RS-04949</x:v>
      </x:c>
      <x:c r="B4950" s="8" t="n">
        <x:v>45586</x:v>
      </x:c>
      <x:c r="C4950" s="4" t="str">
        <x:v>PRJ-009</x:v>
      </x:c>
      <x:c r="D4950" s="4" t="str">
        <x:v>Apartment</x:v>
      </x:c>
      <x:c r="E4950" s="4" t="str">
        <x:v>Agreement signed</x:v>
      </x:c>
      <x:c r="F4950" s="4" t="str">
        <x:v>CUS-04949</x:v>
      </x:c>
      <x:c r="G4950" s="4" t="str">
        <x:v>UNIT-04949</x:v>
      </x:c>
      <x:c r="H4950" s="9" t="n">
        <x:v>7000000</x:v>
      </x:c>
      <x:c r="I4950" s="10" t="n">
        <x:v>0.04</x:v>
      </x:c>
      <x:c r="J4950" s="11" t="n">
        <x:v>8</x:v>
      </x:c>
      <x:c r="K4950" s="11" t="n">
        <x:v>0</x:v>
      </x:c>
      <x:c r="L4950" s="11" t="n">
        <x:v>0</x:v>
      </x:c>
      <x:c r="M4950" s="9" t="n">
        <x:f>ROUND(H4950*(1-I4950),2)</x:f>
        <x:v>6720000</x:v>
      </x:c>
      <x:c r="N4950" s="4" t="str">
        <x:v>Sales manager</x:v>
      </x:c>
      <x:c r="O4950" s="4" t="str">
        <x:v>BOOK-04949</x:v>
      </x:c>
      <x:c r="P4950" s="9" t="n">
        <x:v>3360000</x:v>
      </x:c>
      <x:c r="Q4950" s="11" t="n">
        <x:v>0</x:v>
      </x:c>
      <x:c r="R4950" s="8" t="n">
        <x:v>45646</x:v>
      </x:c>
      <x:c r="S4950" s="4" t="str">
        <x:v>Retained</x:v>
      </x:c>
      <x:c r="T4950" s="10" t="n">
        <x:v>0.310195</x:v>
      </x:c>
      <x:c r="U4950" s="4" t="str">
        <x:v>Test</x:v>
      </x:c>
    </x:row>
    <x:row r="4951" ht="34" customHeight="1">
      <x:c r="A4951" s="4" t="str">
        <x:v>RS-04950</x:v>
      </x:c>
      <x:c r="B4951" s="8" t="n">
        <x:v>45587</x:v>
      </x:c>
      <x:c r="C4951" s="4" t="str">
        <x:v>PRJ-010</x:v>
      </x:c>
      <x:c r="D4951" s="4" t="str">
        <x:v>Office</x:v>
      </x:c>
      <x:c r="E4951" s="4" t="str">
        <x:v>Handed over</x:v>
      </x:c>
      <x:c r="F4951" s="4" t="str">
        <x:v>CUS-04950</x:v>
      </x:c>
      <x:c r="G4951" s="4" t="str">
        <x:v>UNIT-04950</x:v>
      </x:c>
      <x:c r="H4951" s="9" t="n">
        <x:v>15700000</x:v>
      </x:c>
      <x:c r="I4951" s="10" t="n">
        <x:v>0.01</x:v>
      </x:c>
      <x:c r="J4951" s="11" t="n">
        <x:v>7</x:v>
      </x:c>
      <x:c r="K4951" s="11" t="n">
        <x:v>8</x:v>
      </x:c>
      <x:c r="L4951" s="11" t="n">
        <x:v>1</x:v>
      </x:c>
      <x:c r="M4951" s="9" t="n">
        <x:f>ROUND(H4951*(1-I4951),2)</x:f>
        <x:v>15543000</x:v>
      </x:c>
      <x:c r="N4951" s="4" t="str">
        <x:v>Sales manager</x:v>
      </x:c>
      <x:c r="O4951" s="4" t="str">
        <x:v>BOOK-04950</x:v>
      </x:c>
      <x:c r="P4951" s="9" t="n">
        <x:v>3885750</x:v>
      </x:c>
      <x:c r="Q4951" s="11" t="n">
        <x:v>0</x:v>
      </x:c>
      <x:c r="R4951" s="8" t="n">
        <x:v>45647</x:v>
      </x:c>
      <x:c r="S4951" s="4" t="str">
        <x:v>Retained</x:v>
      </x:c>
      <x:c r="T4951" s="10" t="n">
        <x:v>0.145299</x:v>
      </x:c>
      <x:c r="U4951" s="4" t="str">
        <x:v>Test</x:v>
      </x:c>
    </x:row>
    <x:row r="4952" ht="34" customHeight="1">
      <x:c r="A4952" s="4" t="str">
        <x:v>RS-04951</x:v>
      </x:c>
      <x:c r="B4952" s="8" t="n">
        <x:v>45588</x:v>
      </x:c>
      <x:c r="C4952" s="4" t="str">
        <x:v>PRJ-011</x:v>
      </x:c>
      <x:c r="D4952" s="4" t="str">
        <x:v>Retail</x:v>
      </x:c>
      <x:c r="E4952" s="4" t="str">
        <x:v>Cancelled</x:v>
      </x:c>
      <x:c r="F4952" s="4" t="str">
        <x:v>CUS-04951</x:v>
      </x:c>
      <x:c r="G4952" s="4" t="str">
        <x:v>UNIT-04951</x:v>
      </x:c>
      <x:c r="H4952" s="9" t="n">
        <x:v>19200000</x:v>
      </x:c>
      <x:c r="I4952" s="10" t="n">
        <x:v>0.05</x:v>
      </x:c>
      <x:c r="J4952" s="11" t="n">
        <x:v>9</x:v>
      </x:c>
      <x:c r="K4952" s="11" t="n">
        <x:v>6</x:v>
      </x:c>
      <x:c r="L4952" s="11" t="n">
        <x:v>0</x:v>
      </x:c>
      <x:c r="M4952" s="9" t="n">
        <x:f>ROUND(H4952*(1-I4952),2)</x:f>
        <x:v>18240000</x:v>
      </x:c>
      <x:c r="N4952" s="4" t="str">
        <x:v>Sales manager</x:v>
      </x:c>
      <x:c r="O4952" s="4"/>
      <x:c r="P4952" s="9" t="n">
        <x:v>0</x:v>
      </x:c>
      <x:c r="Q4952" s="11" t="n">
        <x:v>1</x:v>
      </x:c>
      <x:c r="R4952" s="8" t="n">
        <x:v>45648</x:v>
      </x:c>
      <x:c r="S4952" s="4" t="str">
        <x:v>Lost / cancelled</x:v>
      </x:c>
      <x:c r="T4952" s="10" t="n">
        <x:v>0.310195</x:v>
      </x:c>
      <x:c r="U4952" s="4" t="str">
        <x:v>Test</x:v>
      </x:c>
    </x:row>
    <x:row r="4953" ht="34" customHeight="1">
      <x:c r="A4953" s="4" t="str">
        <x:v>RS-04952</x:v>
      </x:c>
      <x:c r="B4953" s="8" t="n">
        <x:v>45589</x:v>
      </x:c>
      <x:c r="C4953" s="4" t="str">
        <x:v>PRJ-012</x:v>
      </x:c>
      <x:c r="D4953" s="4" t="str">
        <x:v>Villa</x:v>
      </x:c>
      <x:c r="E4953" s="4" t="str">
        <x:v>Agreement signed</x:v>
      </x:c>
      <x:c r="F4953" s="4" t="str">
        <x:v>CUS-04952</x:v>
      </x:c>
      <x:c r="G4953" s="4" t="str">
        <x:v>UNIT-04952</x:v>
      </x:c>
      <x:c r="H4953" s="9" t="n">
        <x:v>7200000</x:v>
      </x:c>
      <x:c r="I4953" s="10" t="n">
        <x:v>0.06</x:v>
      </x:c>
      <x:c r="J4953" s="11" t="n">
        <x:v>7</x:v>
      </x:c>
      <x:c r="K4953" s="11" t="n">
        <x:v>7</x:v>
      </x:c>
      <x:c r="L4953" s="11" t="n">
        <x:v>1</x:v>
      </x:c>
      <x:c r="M4953" s="9" t="n">
        <x:f>ROUND(H4953*(1-I4953),2)</x:f>
        <x:v>6768000</x:v>
      </x:c>
      <x:c r="N4953" s="4" t="str">
        <x:v>Sales manager</x:v>
      </x:c>
      <x:c r="O4953" s="4" t="str">
        <x:v>BOOK-04952</x:v>
      </x:c>
      <x:c r="P4953" s="9" t="n">
        <x:v>6768000</x:v>
      </x:c>
      <x:c r="Q4953" s="11" t="n">
        <x:v>0</x:v>
      </x:c>
      <x:c r="R4953" s="8" t="n">
        <x:v>45649</x:v>
      </x:c>
      <x:c r="S4953" s="4" t="str">
        <x:v>Retained</x:v>
      </x:c>
      <x:c r="T4953" s="10" t="n">
        <x:v>0.291946</x:v>
      </x:c>
      <x:c r="U4953" s="4" t="str">
        <x:v>Test</x:v>
      </x:c>
    </x:row>
    <x:row r="4954" ht="34" customHeight="1">
      <x:c r="A4954" s="4" t="str">
        <x:v>RS-04953</x:v>
      </x:c>
      <x:c r="B4954" s="8" t="n">
        <x:v>45590</x:v>
      </x:c>
      <x:c r="C4954" s="4" t="str">
        <x:v>PRJ-013</x:v>
      </x:c>
      <x:c r="D4954" s="4" t="str">
        <x:v>Retail</x:v>
      </x:c>
      <x:c r="E4954" s="4" t="str">
        <x:v>Reserved</x:v>
      </x:c>
      <x:c r="F4954" s="4" t="str">
        <x:v>CUS-04953</x:v>
      </x:c>
      <x:c r="G4954" s="4" t="str">
        <x:v>UNIT-04953</x:v>
      </x:c>
      <x:c r="H4954" s="9" t="n">
        <x:v>12700000</x:v>
      </x:c>
      <x:c r="I4954" s="10" t="n">
        <x:v>0.06</x:v>
      </x:c>
      <x:c r="J4954" s="11" t="n">
        <x:v>8</x:v>
      </x:c>
      <x:c r="K4954" s="11" t="n">
        <x:v>0</x:v>
      </x:c>
      <x:c r="L4954" s="11" t="n">
        <x:v>0</x:v>
      </x:c>
      <x:c r="M4954" s="9" t="n">
        <x:f>ROUND(H4954*(1-I4954),2)</x:f>
        <x:v>11938000</x:v>
      </x:c>
      <x:c r="N4954" s="4" t="str">
        <x:v>Sales manager</x:v>
      </x:c>
      <x:c r="O4954" s="4"/>
      <x:c r="P4954" s="9" t="n">
        <x:v>0</x:v>
      </x:c>
      <x:c r="Q4954" s="11" t="n">
        <x:v>1</x:v>
      </x:c>
      <x:c r="R4954" s="8" t="n">
        <x:v>45650</x:v>
      </x:c>
      <x:c r="S4954" s="4" t="str">
        <x:v>Lost / cancelled</x:v>
      </x:c>
      <x:c r="T4954" s="10" t="n">
        <x:v>0.310195</x:v>
      </x:c>
      <x:c r="U4954" s="4" t="str">
        <x:v>Test</x:v>
      </x:c>
    </x:row>
    <x:row r="4955" ht="34" customHeight="1">
      <x:c r="A4955" s="4" t="str">
        <x:v>RS-04954</x:v>
      </x:c>
      <x:c r="B4955" s="8" t="n">
        <x:v>45591</x:v>
      </x:c>
      <x:c r="C4955" s="4" t="str">
        <x:v>PRJ-014</x:v>
      </x:c>
      <x:c r="D4955" s="4" t="str">
        <x:v>Villa</x:v>
      </x:c>
      <x:c r="E4955" s="4" t="str">
        <x:v>Booked</x:v>
      </x:c>
      <x:c r="F4955" s="4" t="str">
        <x:v>CUS-04954</x:v>
      </x:c>
      <x:c r="G4955" s="4" t="str">
        <x:v>UNIT-04954</x:v>
      </x:c>
      <x:c r="H4955" s="9" t="n">
        <x:v>22900000</x:v>
      </x:c>
      <x:c r="I4955" s="10" t="n">
        <x:v>0.06</x:v>
      </x:c>
      <x:c r="J4955" s="11" t="n">
        <x:v>9</x:v>
      </x:c>
      <x:c r="K4955" s="11" t="n">
        <x:v>8</x:v>
      </x:c>
      <x:c r="L4955" s="11" t="n">
        <x:v>1</x:v>
      </x:c>
      <x:c r="M4955" s="9" t="n">
        <x:f>ROUND(H4955*(1-I4955),2)</x:f>
        <x:v>21526000</x:v>
      </x:c>
      <x:c r="N4955" s="4" t="str">
        <x:v>Sales manager</x:v>
      </x:c>
      <x:c r="O4955" s="4" t="str">
        <x:v>BOOK-04954</x:v>
      </x:c>
      <x:c r="P4955" s="9" t="n">
        <x:v>5381500</x:v>
      </x:c>
      <x:c r="Q4955" s="11" t="n">
        <x:v>0</x:v>
      </x:c>
      <x:c r="R4955" s="8" t="n">
        <x:v>45651</x:v>
      </x:c>
      <x:c r="S4955" s="4" t="str">
        <x:v>Retained</x:v>
      </x:c>
      <x:c r="T4955" s="10" t="n">
        <x:v>0.310195</x:v>
      </x:c>
      <x:c r="U4955" s="4" t="str">
        <x:v>Test</x:v>
      </x:c>
    </x:row>
    <x:row r="4956" ht="34" customHeight="1">
      <x:c r="A4956" s="4" t="str">
        <x:v>RS-04955</x:v>
      </x:c>
      <x:c r="B4956" s="8" t="n">
        <x:v>45592</x:v>
      </x:c>
      <x:c r="C4956" s="4" t="str">
        <x:v>PRJ-015</x:v>
      </x:c>
      <x:c r="D4956" s="4" t="str">
        <x:v>Office</x:v>
      </x:c>
      <x:c r="E4956" s="4" t="str">
        <x:v>Agreement signed</x:v>
      </x:c>
      <x:c r="F4956" s="4" t="str">
        <x:v>CUS-04955</x:v>
      </x:c>
      <x:c r="G4956" s="4" t="str">
        <x:v>UNIT-04955</x:v>
      </x:c>
      <x:c r="H4956" s="9" t="n">
        <x:v>17300000</x:v>
      </x:c>
      <x:c r="I4956" s="10" t="n">
        <x:v>0.1</x:v>
      </x:c>
      <x:c r="J4956" s="11" t="n">
        <x:v>1</x:v>
      </x:c>
      <x:c r="K4956" s="11" t="n">
        <x:v>7</x:v>
      </x:c>
      <x:c r="L4956" s="11" t="n">
        <x:v>1</x:v>
      </x:c>
      <x:c r="M4956" s="9" t="n">
        <x:f>ROUND(H4956*(1-I4956),2)</x:f>
        <x:v>15570000</x:v>
      </x:c>
      <x:c r="N4956" s="4" t="str">
        <x:v>Sales head</x:v>
      </x:c>
      <x:c r="O4956" s="4" t="str">
        <x:v>BOOK-04955</x:v>
      </x:c>
      <x:c r="P4956" s="9" t="n">
        <x:v>15570000</x:v>
      </x:c>
      <x:c r="Q4956" s="11" t="n">
        <x:v>0</x:v>
      </x:c>
      <x:c r="R4956" s="8" t="n">
        <x:v>45652</x:v>
      </x:c>
      <x:c r="S4956" s="4" t="str">
        <x:v>Retained</x:v>
      </x:c>
      <x:c r="T4956" s="10" t="n">
        <x:v>0.145833</x:v>
      </x:c>
      <x:c r="U4956" s="4" t="str">
        <x:v>Test</x:v>
      </x:c>
    </x:row>
    <x:row r="4957" ht="34" customHeight="1">
      <x:c r="A4957" s="4" t="str">
        <x:v>RS-04956</x:v>
      </x:c>
      <x:c r="B4957" s="8" t="n">
        <x:v>45593</x:v>
      </x:c>
      <x:c r="C4957" s="4" t="str">
        <x:v>PRJ-016</x:v>
      </x:c>
      <x:c r="D4957" s="4" t="str">
        <x:v>Office</x:v>
      </x:c>
      <x:c r="E4957" s="4" t="str">
        <x:v>Reserved</x:v>
      </x:c>
      <x:c r="F4957" s="4" t="str">
        <x:v>CUS-04956</x:v>
      </x:c>
      <x:c r="G4957" s="4" t="str">
        <x:v>UNIT-04956</x:v>
      </x:c>
      <x:c r="H4957" s="9" t="n">
        <x:v>17200000</x:v>
      </x:c>
      <x:c r="I4957" s="10" t="n">
        <x:v>0.01</x:v>
      </x:c>
      <x:c r="J4957" s="11" t="n">
        <x:v>8</x:v>
      </x:c>
      <x:c r="K4957" s="11" t="n">
        <x:v>10</x:v>
      </x:c>
      <x:c r="L4957" s="11" t="n">
        <x:v>0</x:v>
      </x:c>
      <x:c r="M4957" s="9" t="n">
        <x:f>ROUND(H4957*(1-I4957),2)</x:f>
        <x:v>17028000</x:v>
      </x:c>
      <x:c r="N4957" s="4" t="str">
        <x:v>Sales manager</x:v>
      </x:c>
      <x:c r="O4957" s="4"/>
      <x:c r="P4957" s="9" t="n">
        <x:v>0</x:v>
      </x:c>
      <x:c r="Q4957" s="11" t="n">
        <x:v>0</x:v>
      </x:c>
      <x:c r="R4957" s="8" t="n">
        <x:v>45653</x:v>
      </x:c>
      <x:c r="S4957" s="4" t="str">
        <x:v>Retained</x:v>
      </x:c>
      <x:c r="T4957" s="10" t="n">
        <x:v>0.305556</x:v>
      </x:c>
      <x:c r="U4957" s="4" t="str">
        <x:v>Test</x:v>
      </x:c>
    </x:row>
    <x:row r="4958" ht="34" customHeight="1">
      <x:c r="A4958" s="4" t="str">
        <x:v>RS-04957</x:v>
      </x:c>
      <x:c r="B4958" s="8" t="n">
        <x:v>45566</x:v>
      </x:c>
      <x:c r="C4958" s="4" t="str">
        <x:v>PRJ-017</x:v>
      </x:c>
      <x:c r="D4958" s="4" t="str">
        <x:v>Retail</x:v>
      </x:c>
      <x:c r="E4958" s="4" t="str">
        <x:v>Cancelled</x:v>
      </x:c>
      <x:c r="F4958" s="4" t="str">
        <x:v>CUS-04957</x:v>
      </x:c>
      <x:c r="G4958" s="4" t="str">
        <x:v>UNIT-04957</x:v>
      </x:c>
      <x:c r="H4958" s="9" t="n">
        <x:v>7600000</x:v>
      </x:c>
      <x:c r="I4958" s="10" t="n">
        <x:v>0.02</x:v>
      </x:c>
      <x:c r="J4958" s="11" t="n">
        <x:v>9</x:v>
      </x:c>
      <x:c r="K4958" s="11" t="n">
        <x:v>6</x:v>
      </x:c>
      <x:c r="L4958" s="11" t="n">
        <x:v>0</x:v>
      </x:c>
      <x:c r="M4958" s="9" t="n">
        <x:f>ROUND(H4958*(1-I4958),2)</x:f>
        <x:v>7448000</x:v>
      </x:c>
      <x:c r="N4958" s="4" t="str">
        <x:v>Sales manager</x:v>
      </x:c>
      <x:c r="O4958" s="4"/>
      <x:c r="P4958" s="9" t="n">
        <x:v>0</x:v>
      </x:c>
      <x:c r="Q4958" s="11" t="n">
        <x:v>1</x:v>
      </x:c>
      <x:c r="R4958" s="8" t="n">
        <x:v>45626</x:v>
      </x:c>
      <x:c r="S4958" s="4" t="str">
        <x:v>Lost / cancelled</x:v>
      </x:c>
      <x:c r="T4958" s="10" t="n">
        <x:v>0.305556</x:v>
      </x:c>
      <x:c r="U4958" s="4" t="str">
        <x:v>Test</x:v>
      </x:c>
    </x:row>
    <x:row r="4959" ht="34" customHeight="1">
      <x:c r="A4959" s="4" t="str">
        <x:v>RS-04958</x:v>
      </x:c>
      <x:c r="B4959" s="8" t="n">
        <x:v>45567</x:v>
      </x:c>
      <x:c r="C4959" s="4" t="str">
        <x:v>PRJ-018</x:v>
      </x:c>
      <x:c r="D4959" s="4" t="str">
        <x:v>Villa</x:v>
      </x:c>
      <x:c r="E4959" s="4" t="str">
        <x:v>Cancelled</x:v>
      </x:c>
      <x:c r="F4959" s="4" t="str">
        <x:v>CUS-04958</x:v>
      </x:c>
      <x:c r="G4959" s="4" t="str">
        <x:v>UNIT-04958</x:v>
      </x:c>
      <x:c r="H4959" s="9" t="n">
        <x:v>4500000</x:v>
      </x:c>
      <x:c r="I4959" s="10" t="n">
        <x:v>0.07</x:v>
      </x:c>
      <x:c r="J4959" s="11" t="n">
        <x:v>6</x:v>
      </x:c>
      <x:c r="K4959" s="11" t="n">
        <x:v>6</x:v>
      </x:c>
      <x:c r="L4959" s="11" t="n">
        <x:v>0</x:v>
      </x:c>
      <x:c r="M4959" s="9" t="n">
        <x:f>ROUND(H4959*(1-I4959),2)</x:f>
        <x:v>4185000</x:v>
      </x:c>
      <x:c r="N4959" s="4" t="str">
        <x:v>Sales manager</x:v>
      </x:c>
      <x:c r="O4959" s="4"/>
      <x:c r="P4959" s="9" t="n">
        <x:v>0</x:v>
      </x:c>
      <x:c r="Q4959" s="11" t="n">
        <x:v>1</x:v>
      </x:c>
      <x:c r="R4959" s="8" t="n">
        <x:v>45627</x:v>
      </x:c>
      <x:c r="S4959" s="4" t="str">
        <x:v>Lost / cancelled</x:v>
      </x:c>
      <x:c r="T4959" s="10" t="n">
        <x:v>0.226277</x:v>
      </x:c>
      <x:c r="U4959" s="4" t="str">
        <x:v>Test</x:v>
      </x:c>
    </x:row>
    <x:row r="4960" ht="34" customHeight="1">
      <x:c r="A4960" s="4" t="str">
        <x:v>RS-04959</x:v>
      </x:c>
      <x:c r="B4960" s="8" t="n">
        <x:v>45568</x:v>
      </x:c>
      <x:c r="C4960" s="4" t="str">
        <x:v>PRJ-019</x:v>
      </x:c>
      <x:c r="D4960" s="4" t="str">
        <x:v>Apartment</x:v>
      </x:c>
      <x:c r="E4960" s="4" t="str">
        <x:v>Agreement signed</x:v>
      </x:c>
      <x:c r="F4960" s="4" t="str">
        <x:v>CUS-04959</x:v>
      </x:c>
      <x:c r="G4960" s="4" t="str">
        <x:v>UNIT-04959</x:v>
      </x:c>
      <x:c r="H4960" s="9" t="n">
        <x:v>17700000</x:v>
      </x:c>
      <x:c r="I4960" s="10" t="n">
        <x:v>0</x:v>
      </x:c>
      <x:c r="J4960" s="11" t="n">
        <x:v>9</x:v>
      </x:c>
      <x:c r="K4960" s="11" t="n">
        <x:v>6</x:v>
      </x:c>
      <x:c r="L4960" s="11" t="n">
        <x:v>1</x:v>
      </x:c>
      <x:c r="M4960" s="9" t="n">
        <x:f>ROUND(H4960*(1-I4960),2)</x:f>
        <x:v>17700000</x:v>
      </x:c>
      <x:c r="N4960" s="4" t="str">
        <x:v>Sales manager</x:v>
      </x:c>
      <x:c r="O4960" s="4" t="str">
        <x:v>BOOK-04959</x:v>
      </x:c>
      <x:c r="P4960" s="9" t="n">
        <x:v>4425000</x:v>
      </x:c>
      <x:c r="Q4960" s="11" t="n">
        <x:v>0</x:v>
      </x:c>
      <x:c r="R4960" s="8" t="n">
        <x:v>45628</x:v>
      </x:c>
      <x:c r="S4960" s="4" t="str">
        <x:v>Retained</x:v>
      </x:c>
      <x:c r="T4960" s="10" t="n">
        <x:v>0.254545</x:v>
      </x:c>
      <x:c r="U4960" s="4" t="str">
        <x:v>Test</x:v>
      </x:c>
    </x:row>
    <x:row r="4961" ht="34" customHeight="1">
      <x:c r="A4961" s="4" t="str">
        <x:v>RS-04960</x:v>
      </x:c>
      <x:c r="B4961" s="8" t="n">
        <x:v>45569</x:v>
      </x:c>
      <x:c r="C4961" s="4" t="str">
        <x:v>PRJ-020</x:v>
      </x:c>
      <x:c r="D4961" s="4" t="str">
        <x:v>Office</x:v>
      </x:c>
      <x:c r="E4961" s="4" t="str">
        <x:v>Handed over</x:v>
      </x:c>
      <x:c r="F4961" s="4" t="str">
        <x:v>CUS-04960</x:v>
      </x:c>
      <x:c r="G4961" s="4" t="str">
        <x:v>UNIT-04960</x:v>
      </x:c>
      <x:c r="H4961" s="9" t="n">
        <x:v>12100000</x:v>
      </x:c>
      <x:c r="I4961" s="10" t="n">
        <x:v>0.01</x:v>
      </x:c>
      <x:c r="J4961" s="11" t="n">
        <x:v>7</x:v>
      </x:c>
      <x:c r="K4961" s="11" t="n">
        <x:v>9</x:v>
      </x:c>
      <x:c r="L4961" s="11" t="n">
        <x:v>0</x:v>
      </x:c>
      <x:c r="M4961" s="9" t="n">
        <x:f>ROUND(H4961*(1-I4961),2)</x:f>
        <x:v>11979000</x:v>
      </x:c>
      <x:c r="N4961" s="4" t="str">
        <x:v>Sales manager</x:v>
      </x:c>
      <x:c r="O4961" s="4" t="str">
        <x:v>BOOK-04960</x:v>
      </x:c>
      <x:c r="P4961" s="9" t="n">
        <x:v>11979000</x:v>
      </x:c>
      <x:c r="Q4961" s="11" t="n">
        <x:v>0</x:v>
      </x:c>
      <x:c r="R4961" s="8" t="n">
        <x:v>45629</x:v>
      </x:c>
      <x:c r="S4961" s="4" t="str">
        <x:v>Retained</x:v>
      </x:c>
      <x:c r="T4961" s="10" t="n">
        <x:v>0.145299</x:v>
      </x:c>
      <x:c r="U4961" s="4" t="str">
        <x:v>Test</x:v>
      </x:c>
    </x:row>
    <x:row r="4962" ht="34" customHeight="1">
      <x:c r="A4962" s="4" t="str">
        <x:v>RS-04961</x:v>
      </x:c>
      <x:c r="B4962" s="8" t="n">
        <x:v>45570</x:v>
      </x:c>
      <x:c r="C4962" s="4" t="str">
        <x:v>PRJ-001</x:v>
      </x:c>
      <x:c r="D4962" s="4" t="str">
        <x:v>Villa</x:v>
      </x:c>
      <x:c r="E4962" s="4" t="str">
        <x:v>Handed over</x:v>
      </x:c>
      <x:c r="F4962" s="4" t="str">
        <x:v>CUS-04961</x:v>
      </x:c>
      <x:c r="G4962" s="4" t="str">
        <x:v>UNIT-04961</x:v>
      </x:c>
      <x:c r="H4962" s="9" t="n">
        <x:v>23400000</x:v>
      </x:c>
      <x:c r="I4962" s="10" t="n">
        <x:v>0.04</x:v>
      </x:c>
      <x:c r="J4962" s="11" t="n">
        <x:v>12</x:v>
      </x:c>
      <x:c r="K4962" s="11" t="n">
        <x:v>1</x:v>
      </x:c>
      <x:c r="L4962" s="11" t="n">
        <x:v>1</x:v>
      </x:c>
      <x:c r="M4962" s="9" t="n">
        <x:f>ROUND(H4962*(1-I4962),2)</x:f>
        <x:v>22464000</x:v>
      </x:c>
      <x:c r="N4962" s="4" t="str">
        <x:v>Sales manager</x:v>
      </x:c>
      <x:c r="O4962" s="4" t="str">
        <x:v>BOOK-04961</x:v>
      </x:c>
      <x:c r="P4962" s="9" t="n">
        <x:v>11232000</x:v>
      </x:c>
      <x:c r="Q4962" s="11" t="n">
        <x:v>0</x:v>
      </x:c>
      <x:c r="R4962" s="8" t="n">
        <x:v>45630</x:v>
      </x:c>
      <x:c r="S4962" s="4" t="str">
        <x:v>Retained</x:v>
      </x:c>
      <x:c r="T4962" s="10" t="n">
        <x:v>0.351536</x:v>
      </x:c>
      <x:c r="U4962" s="4" t="str">
        <x:v>Test</x:v>
      </x:c>
    </x:row>
    <x:row r="4963" ht="34" customHeight="1">
      <x:c r="A4963" s="4" t="str">
        <x:v>RS-04962</x:v>
      </x:c>
      <x:c r="B4963" s="8" t="n">
        <x:v>45571</x:v>
      </x:c>
      <x:c r="C4963" s="4" t="str">
        <x:v>PRJ-002</x:v>
      </x:c>
      <x:c r="D4963" s="4" t="str">
        <x:v>Villa</x:v>
      </x:c>
      <x:c r="E4963" s="4" t="str">
        <x:v>Reserved</x:v>
      </x:c>
      <x:c r="F4963" s="4" t="str">
        <x:v>CUS-04962</x:v>
      </x:c>
      <x:c r="G4963" s="4" t="str">
        <x:v>UNIT-04962</x:v>
      </x:c>
      <x:c r="H4963" s="9" t="n">
        <x:v>19500000</x:v>
      </x:c>
      <x:c r="I4963" s="10" t="n">
        <x:v>0.09</x:v>
      </x:c>
      <x:c r="J4963" s="11" t="n">
        <x:v>1</x:v>
      </x:c>
      <x:c r="K4963" s="11" t="n">
        <x:v>6</x:v>
      </x:c>
      <x:c r="L4963" s="11" t="n">
        <x:v>0</x:v>
      </x:c>
      <x:c r="M4963" s="9" t="n">
        <x:f>ROUND(H4963*(1-I4963),2)</x:f>
        <x:v>17745000</x:v>
      </x:c>
      <x:c r="N4963" s="4" t="str">
        <x:v>Sales head</x:v>
      </x:c>
      <x:c r="O4963" s="4"/>
      <x:c r="P4963" s="9" t="n">
        <x:v>0</x:v>
      </x:c>
      <x:c r="Q4963" s="11" t="n">
        <x:v>1</x:v>
      </x:c>
      <x:c r="R4963" s="8" t="n">
        <x:v>45631</x:v>
      </x:c>
      <x:c r="S4963" s="4" t="str">
        <x:v>Lost / cancelled</x:v>
      </x:c>
      <x:c r="T4963" s="10" t="n">
        <x:v>0.145833</x:v>
      </x:c>
      <x:c r="U4963" s="4" t="str">
        <x:v>Test</x:v>
      </x:c>
    </x:row>
    <x:row r="4964" ht="34" customHeight="1">
      <x:c r="A4964" s="4" t="str">
        <x:v>RS-04963</x:v>
      </x:c>
      <x:c r="B4964" s="8" t="n">
        <x:v>45572</x:v>
      </x:c>
      <x:c r="C4964" s="4" t="str">
        <x:v>PRJ-003</x:v>
      </x:c>
      <x:c r="D4964" s="4" t="str">
        <x:v>Office</x:v>
      </x:c>
      <x:c r="E4964" s="4" t="str">
        <x:v>Handed over</x:v>
      </x:c>
      <x:c r="F4964" s="4" t="str">
        <x:v>CUS-04963</x:v>
      </x:c>
      <x:c r="G4964" s="4" t="str">
        <x:v>UNIT-04963</x:v>
      </x:c>
      <x:c r="H4964" s="9" t="n">
        <x:v>23200000</x:v>
      </x:c>
      <x:c r="I4964" s="10" t="n">
        <x:v>0</x:v>
      </x:c>
      <x:c r="J4964" s="11" t="n">
        <x:v>7</x:v>
      </x:c>
      <x:c r="K4964" s="11" t="n">
        <x:v>7</x:v>
      </x:c>
      <x:c r="L4964" s="11" t="n">
        <x:v>1</x:v>
      </x:c>
      <x:c r="M4964" s="9" t="n">
        <x:f>ROUND(H4964*(1-I4964),2)</x:f>
        <x:v>23200000</x:v>
      </x:c>
      <x:c r="N4964" s="4" t="str">
        <x:v>Sales manager</x:v>
      </x:c>
      <x:c r="O4964" s="4" t="str">
        <x:v>BOOK-04963</x:v>
      </x:c>
      <x:c r="P4964" s="9" t="n">
        <x:v>11600000</x:v>
      </x:c>
      <x:c r="Q4964" s="11" t="n">
        <x:v>0</x:v>
      </x:c>
      <x:c r="R4964" s="8" t="n">
        <x:v>45632</x:v>
      </x:c>
      <x:c r="S4964" s="4" t="str">
        <x:v>Retained</x:v>
      </x:c>
      <x:c r="T4964" s="10" t="n">
        <x:v>0.145299</x:v>
      </x:c>
      <x:c r="U4964" s="4" t="str">
        <x:v>Test</x:v>
      </x:c>
    </x:row>
    <x:row r="4965" ht="34" customHeight="1">
      <x:c r="A4965" s="4" t="str">
        <x:v>RS-04964</x:v>
      </x:c>
      <x:c r="B4965" s="8" t="n">
        <x:v>45573</x:v>
      </x:c>
      <x:c r="C4965" s="4" t="str">
        <x:v>PRJ-004</x:v>
      </x:c>
      <x:c r="D4965" s="4" t="str">
        <x:v>Villa</x:v>
      </x:c>
      <x:c r="E4965" s="4" t="str">
        <x:v>Booked</x:v>
      </x:c>
      <x:c r="F4965" s="4" t="str">
        <x:v>CUS-04964</x:v>
      </x:c>
      <x:c r="G4965" s="4" t="str">
        <x:v>UNIT-04964</x:v>
      </x:c>
      <x:c r="H4965" s="9" t="n">
        <x:v>7000000</x:v>
      </x:c>
      <x:c r="I4965" s="10" t="n">
        <x:v>0.01</x:v>
      </x:c>
      <x:c r="J4965" s="11" t="n">
        <x:v>4</x:v>
      </x:c>
      <x:c r="K4965" s="11" t="n">
        <x:v>9</x:v>
      </x:c>
      <x:c r="L4965" s="11" t="n">
        <x:v>0</x:v>
      </x:c>
      <x:c r="M4965" s="9" t="n">
        <x:f>ROUND(H4965*(1-I4965),2)</x:f>
        <x:v>6930000</x:v>
      </x:c>
      <x:c r="N4965" s="4" t="str">
        <x:v>Sales manager</x:v>
      </x:c>
      <x:c r="O4965" s="4" t="str">
        <x:v>BOOK-04964</x:v>
      </x:c>
      <x:c r="P4965" s="9" t="n">
        <x:v>1732500</x:v>
      </x:c>
      <x:c r="Q4965" s="11" t="n">
        <x:v>0</x:v>
      </x:c>
      <x:c r="R4965" s="8" t="n">
        <x:v>45633</x:v>
      </x:c>
      <x:c r="S4965" s="4" t="str">
        <x:v>Retained</x:v>
      </x:c>
      <x:c r="T4965" s="10" t="n">
        <x:v>0.145299</x:v>
      </x:c>
      <x:c r="U4965" s="4" t="str">
        <x:v>Test</x:v>
      </x:c>
    </x:row>
    <x:row r="4966" ht="34" customHeight="1">
      <x:c r="A4966" s="4" t="str">
        <x:v>RS-04965</x:v>
      </x:c>
      <x:c r="B4966" s="8" t="n">
        <x:v>45574</x:v>
      </x:c>
      <x:c r="C4966" s="4" t="str">
        <x:v>PRJ-005</x:v>
      </x:c>
      <x:c r="D4966" s="4" t="str">
        <x:v>Villa</x:v>
      </x:c>
      <x:c r="E4966" s="4" t="str">
        <x:v>Handed over</x:v>
      </x:c>
      <x:c r="F4966" s="4" t="str">
        <x:v>CUS-04965</x:v>
      </x:c>
      <x:c r="G4966" s="4" t="str">
        <x:v>UNIT-04965</x:v>
      </x:c>
      <x:c r="H4966" s="9" t="n">
        <x:v>7500000</x:v>
      </x:c>
      <x:c r="I4966" s="10" t="n">
        <x:v>0.11</x:v>
      </x:c>
      <x:c r="J4966" s="11" t="n">
        <x:v>2</x:v>
      </x:c>
      <x:c r="K4966" s="11" t="n">
        <x:v>6</x:v>
      </x:c>
      <x:c r="L4966" s="11" t="n">
        <x:v>1</x:v>
      </x:c>
      <x:c r="M4966" s="9" t="n">
        <x:f>ROUND(H4966*(1-I4966),2)</x:f>
        <x:v>6675000</x:v>
      </x:c>
      <x:c r="N4966" s="4" t="str">
        <x:v>Sales head</x:v>
      </x:c>
      <x:c r="O4966" s="4" t="str">
        <x:v>BOOK-04965</x:v>
      </x:c>
      <x:c r="P4966" s="9" t="n">
        <x:v>667500</x:v>
      </x:c>
      <x:c r="Q4966" s="11" t="n">
        <x:v>0</x:v>
      </x:c>
      <x:c r="R4966" s="8" t="n">
        <x:v>45634</x:v>
      </x:c>
      <x:c r="S4966" s="4" t="str">
        <x:v>Retained</x:v>
      </x:c>
      <x:c r="T4966" s="10" t="n">
        <x:v>0.145833</x:v>
      </x:c>
      <x:c r="U4966" s="4" t="str">
        <x:v>Test</x:v>
      </x:c>
    </x:row>
    <x:row r="4967" ht="34" customHeight="1">
      <x:c r="A4967" s="4" t="str">
        <x:v>RS-04966</x:v>
      </x:c>
      <x:c r="B4967" s="8" t="n">
        <x:v>45575</x:v>
      </x:c>
      <x:c r="C4967" s="4" t="str">
        <x:v>PRJ-006</x:v>
      </x:c>
      <x:c r="D4967" s="4" t="str">
        <x:v>Villa</x:v>
      </x:c>
      <x:c r="E4967" s="4" t="str">
        <x:v>Enquiry</x:v>
      </x:c>
      <x:c r="F4967" s="4" t="str">
        <x:v>CUS-04966</x:v>
      </x:c>
      <x:c r="G4967" s="4" t="str">
        <x:v>UNIT-04966</x:v>
      </x:c>
      <x:c r="H4967" s="9" t="n">
        <x:v>22000000</x:v>
      </x:c>
      <x:c r="I4967" s="10" t="n">
        <x:v>0</x:v>
      </x:c>
      <x:c r="J4967" s="11" t="n">
        <x:v>7</x:v>
      </x:c>
      <x:c r="K4967" s="11" t="n">
        <x:v>8</x:v>
      </x:c>
      <x:c r="L4967" s="11" t="n">
        <x:v>1</x:v>
      </x:c>
      <x:c r="M4967" s="9" t="n">
        <x:f>ROUND(H4967*(1-I4967),2)</x:f>
        <x:v>22000000</x:v>
      </x:c>
      <x:c r="N4967" s="4" t="str">
        <x:v>Sales manager</x:v>
      </x:c>
      <x:c r="O4967" s="4"/>
      <x:c r="P4967" s="9" t="n">
        <x:v>0</x:v>
      </x:c>
      <x:c r="Q4967" s="11" t="n">
        <x:v>0</x:v>
      </x:c>
      <x:c r="R4967" s="8" t="n">
        <x:v>45635</x:v>
      </x:c>
      <x:c r="S4967" s="4" t="str">
        <x:v>Retained</x:v>
      </x:c>
      <x:c r="T4967" s="10" t="n">
        <x:v>0.145299</x:v>
      </x:c>
      <x:c r="U4967" s="4" t="str">
        <x:v>Test</x:v>
      </x:c>
    </x:row>
    <x:row r="4968" ht="34" customHeight="1">
      <x:c r="A4968" s="4" t="str">
        <x:v>RS-04967</x:v>
      </x:c>
      <x:c r="B4968" s="8" t="n">
        <x:v>45576</x:v>
      </x:c>
      <x:c r="C4968" s="4" t="str">
        <x:v>PRJ-007</x:v>
      </x:c>
      <x:c r="D4968" s="4" t="str">
        <x:v>Apartment</x:v>
      </x:c>
      <x:c r="E4968" s="4" t="str">
        <x:v>Cancelled</x:v>
      </x:c>
      <x:c r="F4968" s="4" t="str">
        <x:v>CUS-04967</x:v>
      </x:c>
      <x:c r="G4968" s="4" t="str">
        <x:v>UNIT-04967</x:v>
      </x:c>
      <x:c r="H4968" s="9" t="n">
        <x:v>16000000</x:v>
      </x:c>
      <x:c r="I4968" s="10" t="n">
        <x:v>0.11</x:v>
      </x:c>
      <x:c r="J4968" s="11" t="n">
        <x:v>4</x:v>
      </x:c>
      <x:c r="K4968" s="11" t="n">
        <x:v>6</x:v>
      </x:c>
      <x:c r="L4968" s="11" t="n">
        <x:v>0</x:v>
      </x:c>
      <x:c r="M4968" s="9" t="n">
        <x:f>ROUND(H4968*(1-I4968),2)</x:f>
        <x:v>14240000</x:v>
      </x:c>
      <x:c r="N4968" s="4" t="str">
        <x:v>Sales head</x:v>
      </x:c>
      <x:c r="O4968" s="4"/>
      <x:c r="P4968" s="9" t="n">
        <x:v>0</x:v>
      </x:c>
      <x:c r="Q4968" s="11" t="n">
        <x:v>1</x:v>
      </x:c>
      <x:c r="R4968" s="8" t="n">
        <x:v>45636</x:v>
      </x:c>
      <x:c r="S4968" s="4" t="str">
        <x:v>Lost / cancelled</x:v>
      </x:c>
      <x:c r="T4968" s="10" t="n">
        <x:v>0.226277</x:v>
      </x:c>
      <x:c r="U4968" s="4" t="str">
        <x:v>Test</x:v>
      </x:c>
    </x:row>
    <x:row r="4969" ht="34" customHeight="1">
      <x:c r="A4969" s="4" t="str">
        <x:v>RS-04968</x:v>
      </x:c>
      <x:c r="B4969" s="8" t="n">
        <x:v>45577</x:v>
      </x:c>
      <x:c r="C4969" s="4" t="str">
        <x:v>PRJ-008</x:v>
      </x:c>
      <x:c r="D4969" s="4" t="str">
        <x:v>Villa</x:v>
      </x:c>
      <x:c r="E4969" s="4" t="str">
        <x:v>Booked</x:v>
      </x:c>
      <x:c r="F4969" s="4" t="str">
        <x:v>CUS-04968</x:v>
      </x:c>
      <x:c r="G4969" s="4" t="str">
        <x:v>UNIT-04968</x:v>
      </x:c>
      <x:c r="H4969" s="9" t="n">
        <x:v>7400000</x:v>
      </x:c>
      <x:c r="I4969" s="10" t="n">
        <x:v>0.09</x:v>
      </x:c>
      <x:c r="J4969" s="11" t="n">
        <x:v>9</x:v>
      </x:c>
      <x:c r="K4969" s="11" t="n">
        <x:v>6</x:v>
      </x:c>
      <x:c r="L4969" s="11" t="n">
        <x:v>1</x:v>
      </x:c>
      <x:c r="M4969" s="9" t="n">
        <x:f>ROUND(H4969*(1-I4969),2)</x:f>
        <x:v>6734000</x:v>
      </x:c>
      <x:c r="N4969" s="4" t="str">
        <x:v>Sales head</x:v>
      </x:c>
      <x:c r="O4969" s="4" t="str">
        <x:v>BOOK-04968</x:v>
      </x:c>
      <x:c r="P4969" s="9" t="n">
        <x:v>3367000</x:v>
      </x:c>
      <x:c r="Q4969" s="11" t="n">
        <x:v>0</x:v>
      </x:c>
      <x:c r="R4969" s="8" t="n">
        <x:v>45637</x:v>
      </x:c>
      <x:c r="S4969" s="4" t="str">
        <x:v>Retained</x:v>
      </x:c>
      <x:c r="T4969" s="10" t="n">
        <x:v>0.310195</x:v>
      </x:c>
      <x:c r="U4969" s="4" t="str">
        <x:v>Test</x:v>
      </x:c>
    </x:row>
    <x:row r="4970" ht="34" customHeight="1">
      <x:c r="A4970" s="4" t="str">
        <x:v>RS-04969</x:v>
      </x:c>
      <x:c r="B4970" s="8" t="n">
        <x:v>45578</x:v>
      </x:c>
      <x:c r="C4970" s="4" t="str">
        <x:v>PRJ-009</x:v>
      </x:c>
      <x:c r="D4970" s="4" t="str">
        <x:v>Retail</x:v>
      </x:c>
      <x:c r="E4970" s="4" t="str">
        <x:v>Cancelled</x:v>
      </x:c>
      <x:c r="F4970" s="4" t="str">
        <x:v>CUS-04969</x:v>
      </x:c>
      <x:c r="G4970" s="4" t="str">
        <x:v>UNIT-04969</x:v>
      </x:c>
      <x:c r="H4970" s="9" t="n">
        <x:v>12200000</x:v>
      </x:c>
      <x:c r="I4970" s="10" t="n">
        <x:v>0.04</x:v>
      </x:c>
      <x:c r="J4970" s="11" t="n">
        <x:v>9</x:v>
      </x:c>
      <x:c r="K4970" s="11" t="n">
        <x:v>7</x:v>
      </x:c>
      <x:c r="L4970" s="11" t="n">
        <x:v>0</x:v>
      </x:c>
      <x:c r="M4970" s="9" t="n">
        <x:f>ROUND(H4970*(1-I4970),2)</x:f>
        <x:v>11712000</x:v>
      </x:c>
      <x:c r="N4970" s="4" t="str">
        <x:v>Sales manager</x:v>
      </x:c>
      <x:c r="O4970" s="4"/>
      <x:c r="P4970" s="9" t="n">
        <x:v>0</x:v>
      </x:c>
      <x:c r="Q4970" s="11" t="n">
        <x:v>1</x:v>
      </x:c>
      <x:c r="R4970" s="8" t="n">
        <x:v>45638</x:v>
      </x:c>
      <x:c r="S4970" s="4" t="str">
        <x:v>Lost / cancelled</x:v>
      </x:c>
      <x:c r="T4970" s="10" t="n">
        <x:v>0.310195</x:v>
      </x:c>
      <x:c r="U4970" s="4" t="str">
        <x:v>Test</x:v>
      </x:c>
    </x:row>
    <x:row r="4971" ht="34" customHeight="1">
      <x:c r="A4971" s="4" t="str">
        <x:v>RS-04970</x:v>
      </x:c>
      <x:c r="B4971" s="8" t="n">
        <x:v>45579</x:v>
      </x:c>
      <x:c r="C4971" s="4" t="str">
        <x:v>PRJ-010</x:v>
      </x:c>
      <x:c r="D4971" s="4" t="str">
        <x:v>Office</x:v>
      </x:c>
      <x:c r="E4971" s="4" t="str">
        <x:v>Cancelled</x:v>
      </x:c>
      <x:c r="F4971" s="4" t="str">
        <x:v>CUS-04970</x:v>
      </x:c>
      <x:c r="G4971" s="4" t="str">
        <x:v>UNIT-04970</x:v>
      </x:c>
      <x:c r="H4971" s="9" t="n">
        <x:v>12300000</x:v>
      </x:c>
      <x:c r="I4971" s="10" t="n">
        <x:v>0.09</x:v>
      </x:c>
      <x:c r="J4971" s="11" t="n">
        <x:v>12</x:v>
      </x:c>
      <x:c r="K4971" s="11" t="n">
        <x:v>1</x:v>
      </x:c>
      <x:c r="L4971" s="11" t="n">
        <x:v>1</x:v>
      </x:c>
      <x:c r="M4971" s="9" t="n">
        <x:f>ROUND(H4971*(1-I4971),2)</x:f>
        <x:v>11193000</x:v>
      </x:c>
      <x:c r="N4971" s="4" t="str">
        <x:v>Sales head</x:v>
      </x:c>
      <x:c r="O4971" s="4"/>
      <x:c r="P4971" s="9" t="n">
        <x:v>0</x:v>
      </x:c>
      <x:c r="Q4971" s="11" t="n">
        <x:v>1</x:v>
      </x:c>
      <x:c r="R4971" s="8" t="n">
        <x:v>45639</x:v>
      </x:c>
      <x:c r="S4971" s="4" t="str">
        <x:v>Lost / cancelled</x:v>
      </x:c>
      <x:c r="T4971" s="10" t="n">
        <x:v>0.351536</x:v>
      </x:c>
      <x:c r="U4971" s="4" t="str">
        <x:v>Test</x:v>
      </x:c>
    </x:row>
    <x:row r="4972" ht="34" customHeight="1">
      <x:c r="A4972" s="4" t="str">
        <x:v>RS-04971</x:v>
      </x:c>
      <x:c r="B4972" s="8" t="n">
        <x:v>45580</x:v>
      </x:c>
      <x:c r="C4972" s="4" t="str">
        <x:v>PRJ-011</x:v>
      </x:c>
      <x:c r="D4972" s="4" t="str">
        <x:v>Villa</x:v>
      </x:c>
      <x:c r="E4972" s="4" t="str">
        <x:v>Reserved</x:v>
      </x:c>
      <x:c r="F4972" s="4" t="str">
        <x:v>CUS-04971</x:v>
      </x:c>
      <x:c r="G4972" s="4" t="str">
        <x:v>UNIT-04971</x:v>
      </x:c>
      <x:c r="H4972" s="9" t="n">
        <x:v>21900000</x:v>
      </x:c>
      <x:c r="I4972" s="10" t="n">
        <x:v>0.05</x:v>
      </x:c>
      <x:c r="J4972" s="11" t="n">
        <x:v>0</x:v>
      </x:c>
      <x:c r="K4972" s="11" t="n">
        <x:v>9</x:v>
      </x:c>
      <x:c r="L4972" s="11" t="n">
        <x:v>0</x:v>
      </x:c>
      <x:c r="M4972" s="9" t="n">
        <x:f>ROUND(H4972*(1-I4972),2)</x:f>
        <x:v>20805000</x:v>
      </x:c>
      <x:c r="N4972" s="4" t="str">
        <x:v>Sales manager</x:v>
      </x:c>
      <x:c r="O4972" s="4"/>
      <x:c r="P4972" s="9" t="n">
        <x:v>0</x:v>
      </x:c>
      <x:c r="Q4972" s="11" t="n">
        <x:v>0</x:v>
      </x:c>
      <x:c r="R4972" s="8" t="n">
        <x:v>45640</x:v>
      </x:c>
      <x:c r="S4972" s="4" t="str">
        <x:v>Retained</x:v>
      </x:c>
      <x:c r="T4972" s="10" t="n">
        <x:v>0.204152</x:v>
      </x:c>
      <x:c r="U4972" s="4" t="str">
        <x:v>Test</x:v>
      </x:c>
    </x:row>
    <x:row r="4973" ht="34" customHeight="1">
      <x:c r="A4973" s="4" t="str">
        <x:v>RS-04972</x:v>
      </x:c>
      <x:c r="B4973" s="8" t="n">
        <x:v>45581</x:v>
      </x:c>
      <x:c r="C4973" s="4" t="str">
        <x:v>PRJ-012</x:v>
      </x:c>
      <x:c r="D4973" s="4" t="str">
        <x:v>Retail</x:v>
      </x:c>
      <x:c r="E4973" s="4" t="str">
        <x:v>Enquiry</x:v>
      </x:c>
      <x:c r="F4973" s="4" t="str">
        <x:v>CUS-04972</x:v>
      </x:c>
      <x:c r="G4973" s="4" t="str">
        <x:v>UNIT-04972</x:v>
      </x:c>
      <x:c r="H4973" s="9" t="n">
        <x:v>9000000</x:v>
      </x:c>
      <x:c r="I4973" s="10" t="n">
        <x:v>0.02</x:v>
      </x:c>
      <x:c r="J4973" s="11" t="n">
        <x:v>5</x:v>
      </x:c>
      <x:c r="K4973" s="11" t="n">
        <x:v>3</x:v>
      </x:c>
      <x:c r="L4973" s="11" t="n">
        <x:v>0</x:v>
      </x:c>
      <x:c r="M4973" s="9" t="n">
        <x:f>ROUND(H4973*(1-I4973),2)</x:f>
        <x:v>8820000</x:v>
      </x:c>
      <x:c r="N4973" s="4" t="str">
        <x:v>Sales manager</x:v>
      </x:c>
      <x:c r="O4973" s="4"/>
      <x:c r="P4973" s="9" t="n">
        <x:v>0</x:v>
      </x:c>
      <x:c r="Q4973" s="11" t="n">
        <x:v>0</x:v>
      </x:c>
      <x:c r="R4973" s="8" t="n">
        <x:v>45641</x:v>
      </x:c>
      <x:c r="S4973" s="4" t="str">
        <x:v>Retained</x:v>
      </x:c>
      <x:c r="T4973" s="10" t="n">
        <x:v>0.298969</x:v>
      </x:c>
      <x:c r="U4973" s="4" t="str">
        <x:v>Test</x:v>
      </x:c>
    </x:row>
    <x:row r="4974" ht="34" customHeight="1">
      <x:c r="A4974" s="4" t="str">
        <x:v>RS-04973</x:v>
      </x:c>
      <x:c r="B4974" s="8" t="n">
        <x:v>45582</x:v>
      </x:c>
      <x:c r="C4974" s="4" t="str">
        <x:v>PRJ-013</x:v>
      </x:c>
      <x:c r="D4974" s="4" t="str">
        <x:v>Villa</x:v>
      </x:c>
      <x:c r="E4974" s="4" t="str">
        <x:v>Booked</x:v>
      </x:c>
      <x:c r="F4974" s="4" t="str">
        <x:v>CUS-04973</x:v>
      </x:c>
      <x:c r="G4974" s="4" t="str">
        <x:v>UNIT-04973</x:v>
      </x:c>
      <x:c r="H4974" s="9" t="n">
        <x:v>7500000</x:v>
      </x:c>
      <x:c r="I4974" s="10" t="n">
        <x:v>0.02</x:v>
      </x:c>
      <x:c r="J4974" s="11" t="n">
        <x:v>3</x:v>
      </x:c>
      <x:c r="K4974" s="11" t="n">
        <x:v>8</x:v>
      </x:c>
      <x:c r="L4974" s="11" t="n">
        <x:v>1</x:v>
      </x:c>
      <x:c r="M4974" s="9" t="n">
        <x:f>ROUND(H4974*(1-I4974),2)</x:f>
        <x:v>7350000</x:v>
      </x:c>
      <x:c r="N4974" s="4" t="str">
        <x:v>Sales manager</x:v>
      </x:c>
      <x:c r="O4974" s="4" t="str">
        <x:v>BOOK-04973</x:v>
      </x:c>
      <x:c r="P4974" s="9" t="n">
        <x:v>7350000</x:v>
      </x:c>
      <x:c r="Q4974" s="11" t="n">
        <x:v>0</x:v>
      </x:c>
      <x:c r="R4974" s="8" t="n">
        <x:v>45642</x:v>
      </x:c>
      <x:c r="S4974" s="4" t="str">
        <x:v>Retained</x:v>
      </x:c>
      <x:c r="T4974" s="10" t="n">
        <x:v>0.171717</x:v>
      </x:c>
      <x:c r="U4974" s="4" t="str">
        <x:v>Test</x:v>
      </x:c>
    </x:row>
    <x:row r="4975" ht="34" customHeight="1">
      <x:c r="A4975" s="4" t="str">
        <x:v>RS-04974</x:v>
      </x:c>
      <x:c r="B4975" s="8" t="n">
        <x:v>45583</x:v>
      </x:c>
      <x:c r="C4975" s="4" t="str">
        <x:v>PRJ-014</x:v>
      </x:c>
      <x:c r="D4975" s="4" t="str">
        <x:v>Apartment</x:v>
      </x:c>
      <x:c r="E4975" s="4" t="str">
        <x:v>Booked</x:v>
      </x:c>
      <x:c r="F4975" s="4" t="str">
        <x:v>CUS-04974</x:v>
      </x:c>
      <x:c r="G4975" s="4" t="str">
        <x:v>UNIT-04974</x:v>
      </x:c>
      <x:c r="H4975" s="9" t="n">
        <x:v>7200000</x:v>
      </x:c>
      <x:c r="I4975" s="10" t="n">
        <x:v>0.06</x:v>
      </x:c>
      <x:c r="J4975" s="11" t="n">
        <x:v>12</x:v>
      </x:c>
      <x:c r="K4975" s="11" t="n">
        <x:v>0</x:v>
      </x:c>
      <x:c r="L4975" s="11" t="n">
        <x:v>1</x:v>
      </x:c>
      <x:c r="M4975" s="9" t="n">
        <x:f>ROUND(H4975*(1-I4975),2)</x:f>
        <x:v>6768000</x:v>
      </x:c>
      <x:c r="N4975" s="4" t="str">
        <x:v>Sales manager</x:v>
      </x:c>
      <x:c r="O4975" s="4" t="str">
        <x:v>BOOK-04974</x:v>
      </x:c>
      <x:c r="P4975" s="9" t="n">
        <x:v>6768000</x:v>
      </x:c>
      <x:c r="Q4975" s="11" t="n">
        <x:v>0</x:v>
      </x:c>
      <x:c r="R4975" s="8" t="n">
        <x:v>45643</x:v>
      </x:c>
      <x:c r="S4975" s="4" t="str">
        <x:v>Retained</x:v>
      </x:c>
      <x:c r="T4975" s="10" t="n">
        <x:v>0.351536</x:v>
      </x:c>
      <x:c r="U4975" s="4" t="str">
        <x:v>Test</x:v>
      </x:c>
    </x:row>
    <x:row r="4976" ht="34" customHeight="1">
      <x:c r="A4976" s="4" t="str">
        <x:v>RS-04975</x:v>
      </x:c>
      <x:c r="B4976" s="8" t="n">
        <x:v>45584</x:v>
      </x:c>
      <x:c r="C4976" s="4" t="str">
        <x:v>PRJ-015</x:v>
      </x:c>
      <x:c r="D4976" s="4" t="str">
        <x:v>Villa</x:v>
      </x:c>
      <x:c r="E4976" s="4" t="str">
        <x:v>Enquiry</x:v>
      </x:c>
      <x:c r="F4976" s="4" t="str">
        <x:v>CUS-04975</x:v>
      </x:c>
      <x:c r="G4976" s="4" t="str">
        <x:v>UNIT-04975</x:v>
      </x:c>
      <x:c r="H4976" s="9" t="n">
        <x:v>10800000</x:v>
      </x:c>
      <x:c r="I4976" s="10" t="n">
        <x:v>0.07</x:v>
      </x:c>
      <x:c r="J4976" s="11" t="n">
        <x:v>9</x:v>
      </x:c>
      <x:c r="K4976" s="11" t="n">
        <x:v>0</x:v>
      </x:c>
      <x:c r="L4976" s="11" t="n">
        <x:v>0</x:v>
      </x:c>
      <x:c r="M4976" s="9" t="n">
        <x:f>ROUND(H4976*(1-I4976),2)</x:f>
        <x:v>10044000</x:v>
      </x:c>
      <x:c r="N4976" s="4" t="str">
        <x:v>Sales manager</x:v>
      </x:c>
      <x:c r="O4976" s="4"/>
      <x:c r="P4976" s="9" t="n">
        <x:v>0</x:v>
      </x:c>
      <x:c r="Q4976" s="11" t="n">
        <x:v>0</x:v>
      </x:c>
      <x:c r="R4976" s="8" t="n">
        <x:v>45644</x:v>
      </x:c>
      <x:c r="S4976" s="4" t="str">
        <x:v>Retained</x:v>
      </x:c>
      <x:c r="T4976" s="10" t="n">
        <x:v>0.310195</x:v>
      </x:c>
      <x:c r="U4976" s="4" t="str">
        <x:v>Test</x:v>
      </x:c>
    </x:row>
    <x:row r="4977" ht="34" customHeight="1">
      <x:c r="A4977" s="4" t="str">
        <x:v>RS-04976</x:v>
      </x:c>
      <x:c r="B4977" s="8" t="n">
        <x:v>45585</x:v>
      </x:c>
      <x:c r="C4977" s="4" t="str">
        <x:v>PRJ-016</x:v>
      </x:c>
      <x:c r="D4977" s="4" t="str">
        <x:v>Office</x:v>
      </x:c>
      <x:c r="E4977" s="4" t="str">
        <x:v>Enquiry</x:v>
      </x:c>
      <x:c r="F4977" s="4" t="str">
        <x:v>CUS-04976</x:v>
      </x:c>
      <x:c r="G4977" s="4" t="str">
        <x:v>UNIT-04976</x:v>
      </x:c>
      <x:c r="H4977" s="9" t="n">
        <x:v>20400000</x:v>
      </x:c>
      <x:c r="I4977" s="10" t="n">
        <x:v>0.04</x:v>
      </x:c>
      <x:c r="J4977" s="11" t="n">
        <x:v>5</x:v>
      </x:c>
      <x:c r="K4977" s="11" t="n">
        <x:v>8</x:v>
      </x:c>
      <x:c r="L4977" s="11" t="n">
        <x:v>1</x:v>
      </x:c>
      <x:c r="M4977" s="9" t="n">
        <x:f>ROUND(H4977*(1-I4977),2)</x:f>
        <x:v>19584000</x:v>
      </x:c>
      <x:c r="N4977" s="4" t="str">
        <x:v>Sales manager</x:v>
      </x:c>
      <x:c r="O4977" s="4"/>
      <x:c r="P4977" s="9" t="n">
        <x:v>0</x:v>
      </x:c>
      <x:c r="Q4977" s="11" t="n">
        <x:v>0</x:v>
      </x:c>
      <x:c r="R4977" s="8" t="n">
        <x:v>45645</x:v>
      </x:c>
      <x:c r="S4977" s="4" t="str">
        <x:v>Retained</x:v>
      </x:c>
      <x:c r="T4977" s="10" t="n">
        <x:v>0.291946</x:v>
      </x:c>
      <x:c r="U4977" s="4" t="str">
        <x:v>Test</x:v>
      </x:c>
    </x:row>
    <x:row r="4978" ht="34" customHeight="1">
      <x:c r="A4978" s="4" t="str">
        <x:v>RS-04977</x:v>
      </x:c>
      <x:c r="B4978" s="8" t="n">
        <x:v>45586</x:v>
      </x:c>
      <x:c r="C4978" s="4" t="str">
        <x:v>PRJ-017</x:v>
      </x:c>
      <x:c r="D4978" s="4" t="str">
        <x:v>Office</x:v>
      </x:c>
      <x:c r="E4978" s="4" t="str">
        <x:v>Booked</x:v>
      </x:c>
      <x:c r="F4978" s="4" t="str">
        <x:v>CUS-04977</x:v>
      </x:c>
      <x:c r="G4978" s="4" t="str">
        <x:v>UNIT-04977</x:v>
      </x:c>
      <x:c r="H4978" s="9" t="n">
        <x:v>9100000</x:v>
      </x:c>
      <x:c r="I4978" s="10" t="n">
        <x:v>0.12</x:v>
      </x:c>
      <x:c r="J4978" s="11" t="n">
        <x:v>5</x:v>
      </x:c>
      <x:c r="K4978" s="11" t="n">
        <x:v>6</x:v>
      </x:c>
      <x:c r="L4978" s="11" t="n">
        <x:v>1</x:v>
      </x:c>
      <x:c r="M4978" s="9" t="n">
        <x:f>ROUND(H4978*(1-I4978),2)</x:f>
        <x:v>8008000</x:v>
      </x:c>
      <x:c r="N4978" s="4" t="str">
        <x:v>Sales head</x:v>
      </x:c>
      <x:c r="O4978" s="4" t="str">
        <x:v>BOOK-04977</x:v>
      </x:c>
      <x:c r="P4978" s="9" t="n">
        <x:v>800800</x:v>
      </x:c>
      <x:c r="Q4978" s="11" t="n">
        <x:v>0</x:v>
      </x:c>
      <x:c r="R4978" s="8" t="n">
        <x:v>45646</x:v>
      </x:c>
      <x:c r="S4978" s="4" t="str">
        <x:v>Retained</x:v>
      </x:c>
      <x:c r="T4978" s="10" t="n">
        <x:v>0.291946</x:v>
      </x:c>
      <x:c r="U4978" s="4" t="str">
        <x:v>Test</x:v>
      </x:c>
    </x:row>
    <x:row r="4979" ht="34" customHeight="1">
      <x:c r="A4979" s="4" t="str">
        <x:v>RS-04978</x:v>
      </x:c>
      <x:c r="B4979" s="8" t="n">
        <x:v>45587</x:v>
      </x:c>
      <x:c r="C4979" s="4" t="str">
        <x:v>PRJ-018</x:v>
      </x:c>
      <x:c r="D4979" s="4" t="str">
        <x:v>Apartment</x:v>
      </x:c>
      <x:c r="E4979" s="4" t="str">
        <x:v>Agreement signed</x:v>
      </x:c>
      <x:c r="F4979" s="4" t="str">
        <x:v>CUS-04978</x:v>
      </x:c>
      <x:c r="G4979" s="4" t="str">
        <x:v>UNIT-04978</x:v>
      </x:c>
      <x:c r="H4979" s="9" t="n">
        <x:v>3700000</x:v>
      </x:c>
      <x:c r="I4979" s="10" t="n">
        <x:v>0.01</x:v>
      </x:c>
      <x:c r="J4979" s="11" t="n">
        <x:v>7</x:v>
      </x:c>
      <x:c r="K4979" s="11" t="n">
        <x:v>7</x:v>
      </x:c>
      <x:c r="L4979" s="11" t="n">
        <x:v>0</x:v>
      </x:c>
      <x:c r="M4979" s="9" t="n">
        <x:f>ROUND(H4979*(1-I4979),2)</x:f>
        <x:v>3663000</x:v>
      </x:c>
      <x:c r="N4979" s="4" t="str">
        <x:v>Sales manager</x:v>
      </x:c>
      <x:c r="O4979" s="4" t="str">
        <x:v>BOOK-04978</x:v>
      </x:c>
      <x:c r="P4979" s="9" t="n">
        <x:v>3663000</x:v>
      </x:c>
      <x:c r="Q4979" s="11" t="n">
        <x:v>0</x:v>
      </x:c>
      <x:c r="R4979" s="8" t="n">
        <x:v>45647</x:v>
      </x:c>
      <x:c r="S4979" s="4" t="str">
        <x:v>Retained</x:v>
      </x:c>
      <x:c r="T4979" s="10" t="n">
        <x:v>0.145299</x:v>
      </x:c>
      <x:c r="U4979" s="4" t="str">
        <x:v>Test</x:v>
      </x:c>
    </x:row>
    <x:row r="4980" ht="34" customHeight="1">
      <x:c r="A4980" s="4" t="str">
        <x:v>RS-04979</x:v>
      </x:c>
      <x:c r="B4980" s="8" t="n">
        <x:v>45588</x:v>
      </x:c>
      <x:c r="C4980" s="4" t="str">
        <x:v>PRJ-019</x:v>
      </x:c>
      <x:c r="D4980" s="4" t="str">
        <x:v>Villa</x:v>
      </x:c>
      <x:c r="E4980" s="4" t="str">
        <x:v>Agreement signed</x:v>
      </x:c>
      <x:c r="F4980" s="4" t="str">
        <x:v>CUS-04979</x:v>
      </x:c>
      <x:c r="G4980" s="4" t="str">
        <x:v>UNIT-04979</x:v>
      </x:c>
      <x:c r="H4980" s="9" t="n">
        <x:v>9100000</x:v>
      </x:c>
      <x:c r="I4980" s="10" t="n">
        <x:v>0.01</x:v>
      </x:c>
      <x:c r="J4980" s="11" t="n">
        <x:v>12</x:v>
      </x:c>
      <x:c r="K4980" s="11" t="n">
        <x:v>0</x:v>
      </x:c>
      <x:c r="L4980" s="11" t="n">
        <x:v>1</x:v>
      </x:c>
      <x:c r="M4980" s="9" t="n">
        <x:f>ROUND(H4980*(1-I4980),2)</x:f>
        <x:v>9009000</x:v>
      </x:c>
      <x:c r="N4980" s="4" t="str">
        <x:v>Sales manager</x:v>
      </x:c>
      <x:c r="O4980" s="4" t="str">
        <x:v>BOOK-04979</x:v>
      </x:c>
      <x:c r="P4980" s="9" t="n">
        <x:v>2252250</x:v>
      </x:c>
      <x:c r="Q4980" s="11" t="n">
        <x:v>0</x:v>
      </x:c>
      <x:c r="R4980" s="8" t="n">
        <x:v>45648</x:v>
      </x:c>
      <x:c r="S4980" s="4" t="str">
        <x:v>Retained</x:v>
      </x:c>
      <x:c r="T4980" s="10" t="n">
        <x:v>0.254545</x:v>
      </x:c>
      <x:c r="U4980" s="4" t="str">
        <x:v>Test</x:v>
      </x:c>
    </x:row>
    <x:row r="4981" ht="34" customHeight="1">
      <x:c r="A4981" s="4" t="str">
        <x:v>RS-04980</x:v>
      </x:c>
      <x:c r="B4981" s="8" t="n">
        <x:v>45589</x:v>
      </x:c>
      <x:c r="C4981" s="4" t="str">
        <x:v>PRJ-020</x:v>
      </x:c>
      <x:c r="D4981" s="4" t="str">
        <x:v>Apartment</x:v>
      </x:c>
      <x:c r="E4981" s="4" t="str">
        <x:v>Agreement signed</x:v>
      </x:c>
      <x:c r="F4981" s="4" t="str">
        <x:v>CUS-04980</x:v>
      </x:c>
      <x:c r="G4981" s="4" t="str">
        <x:v>UNIT-04980</x:v>
      </x:c>
      <x:c r="H4981" s="9" t="n">
        <x:v>20700000</x:v>
      </x:c>
      <x:c r="I4981" s="10" t="n">
        <x:v>0.06</x:v>
      </x:c>
      <x:c r="J4981" s="11" t="n">
        <x:v>10</x:v>
      </x:c>
      <x:c r="K4981" s="11" t="n">
        <x:v>7</x:v>
      </x:c>
      <x:c r="L4981" s="11" t="n">
        <x:v>0</x:v>
      </x:c>
      <x:c r="M4981" s="9" t="n">
        <x:f>ROUND(H4981*(1-I4981),2)</x:f>
        <x:v>19458000</x:v>
      </x:c>
      <x:c r="N4981" s="4" t="str">
        <x:v>Sales manager</x:v>
      </x:c>
      <x:c r="O4981" s="4" t="str">
        <x:v>BOOK-04980</x:v>
      </x:c>
      <x:c r="P4981" s="9" t="n">
        <x:v>1945800</x:v>
      </x:c>
      <x:c r="Q4981" s="11" t="n">
        <x:v>0</x:v>
      </x:c>
      <x:c r="R4981" s="8" t="n">
        <x:v>45649</x:v>
      </x:c>
      <x:c r="S4981" s="4" t="str">
        <x:v>Retained</x:v>
      </x:c>
      <x:c r="T4981" s="10" t="n">
        <x:v>0.310195</x:v>
      </x:c>
      <x:c r="U4981" s="4" t="str">
        <x:v>Test</x:v>
      </x:c>
    </x:row>
    <x:row r="4982" ht="34" customHeight="1">
      <x:c r="A4982" s="4" t="str">
        <x:v>RS-04981</x:v>
      </x:c>
      <x:c r="B4982" s="8" t="n">
        <x:v>45590</x:v>
      </x:c>
      <x:c r="C4982" s="4" t="str">
        <x:v>PRJ-001</x:v>
      </x:c>
      <x:c r="D4982" s="4" t="str">
        <x:v>Apartment</x:v>
      </x:c>
      <x:c r="E4982" s="4" t="str">
        <x:v>Enquiry</x:v>
      </x:c>
      <x:c r="F4982" s="4" t="str">
        <x:v>CUS-04981</x:v>
      </x:c>
      <x:c r="G4982" s="4" t="str">
        <x:v>UNIT-04981</x:v>
      </x:c>
      <x:c r="H4982" s="9" t="n">
        <x:v>23100000</x:v>
      </x:c>
      <x:c r="I4982" s="10" t="n">
        <x:v>0.11</x:v>
      </x:c>
      <x:c r="J4982" s="11" t="n">
        <x:v>12</x:v>
      </x:c>
      <x:c r="K4982" s="11" t="n">
        <x:v>10</x:v>
      </x:c>
      <x:c r="L4982" s="11" t="n">
        <x:v>0</x:v>
      </x:c>
      <x:c r="M4982" s="9" t="n">
        <x:f>ROUND(H4982*(1-I4982),2)</x:f>
        <x:v>20559000</x:v>
      </x:c>
      <x:c r="N4982" s="4" t="str">
        <x:v>Sales head</x:v>
      </x:c>
      <x:c r="O4982" s="4"/>
      <x:c r="P4982" s="9" t="n">
        <x:v>0</x:v>
      </x:c>
      <x:c r="Q4982" s="11" t="n">
        <x:v>1</x:v>
      </x:c>
      <x:c r="R4982" s="8" t="n">
        <x:v>45650</x:v>
      </x:c>
      <x:c r="S4982" s="4" t="str">
        <x:v>Lost / cancelled</x:v>
      </x:c>
      <x:c r="T4982" s="10" t="n">
        <x:v>0.351536</x:v>
      </x:c>
      <x:c r="U4982" s="4" t="str">
        <x:v>Test</x:v>
      </x:c>
    </x:row>
    <x:row r="4983" ht="34" customHeight="1">
      <x:c r="A4983" s="4" t="str">
        <x:v>RS-04982</x:v>
      </x:c>
      <x:c r="B4983" s="8" t="n">
        <x:v>45591</x:v>
      </x:c>
      <x:c r="C4983" s="4" t="str">
        <x:v>PRJ-002</x:v>
      </x:c>
      <x:c r="D4983" s="4" t="str">
        <x:v>Villa</x:v>
      </x:c>
      <x:c r="E4983" s="4" t="str">
        <x:v>Agreement signed</x:v>
      </x:c>
      <x:c r="F4983" s="4" t="str">
        <x:v>CUS-04982</x:v>
      </x:c>
      <x:c r="G4983" s="4" t="str">
        <x:v>UNIT-04982</x:v>
      </x:c>
      <x:c r="H4983" s="9" t="n">
        <x:v>14800000</x:v>
      </x:c>
      <x:c r="I4983" s="10" t="n">
        <x:v>0.1</x:v>
      </x:c>
      <x:c r="J4983" s="11" t="n">
        <x:v>7</x:v>
      </x:c>
      <x:c r="K4983" s="11" t="n">
        <x:v>0</x:v>
      </x:c>
      <x:c r="L4983" s="11" t="n">
        <x:v>0</x:v>
      </x:c>
      <x:c r="M4983" s="9" t="n">
        <x:f>ROUND(H4983*(1-I4983),2)</x:f>
        <x:v>13320000</x:v>
      </x:c>
      <x:c r="N4983" s="4" t="str">
        <x:v>Sales head</x:v>
      </x:c>
      <x:c r="O4983" s="4" t="str">
        <x:v>BOOK-04982</x:v>
      </x:c>
      <x:c r="P4983" s="9" t="n">
        <x:v>3330000</x:v>
      </x:c>
      <x:c r="Q4983" s="11" t="n">
        <x:v>0</x:v>
      </x:c>
      <x:c r="R4983" s="8" t="n">
        <x:v>45651</x:v>
      </x:c>
      <x:c r="S4983" s="4" t="str">
        <x:v>Retained</x:v>
      </x:c>
      <x:c r="T4983" s="10" t="n">
        <x:v>0.226277</x:v>
      </x:c>
      <x:c r="U4983" s="4" t="str">
        <x:v>Test</x:v>
      </x:c>
    </x:row>
    <x:row r="4984" ht="34" customHeight="1">
      <x:c r="A4984" s="4" t="str">
        <x:v>RS-04983</x:v>
      </x:c>
      <x:c r="B4984" s="8" t="n">
        <x:v>45592</x:v>
      </x:c>
      <x:c r="C4984" s="4" t="str">
        <x:v>PRJ-003</x:v>
      </x:c>
      <x:c r="D4984" s="4" t="str">
        <x:v>Apartment</x:v>
      </x:c>
      <x:c r="E4984" s="4" t="str">
        <x:v>Agreement signed</x:v>
      </x:c>
      <x:c r="F4984" s="4" t="str">
        <x:v>CUS-04983</x:v>
      </x:c>
      <x:c r="G4984" s="4" t="str">
        <x:v>UNIT-04983</x:v>
      </x:c>
      <x:c r="H4984" s="9" t="n">
        <x:v>18100000</x:v>
      </x:c>
      <x:c r="I4984" s="10" t="n">
        <x:v>0.12</x:v>
      </x:c>
      <x:c r="J4984" s="11" t="n">
        <x:v>3</x:v>
      </x:c>
      <x:c r="K4984" s="11" t="n">
        <x:v>8</x:v>
      </x:c>
      <x:c r="L4984" s="11" t="n">
        <x:v>0</x:v>
      </x:c>
      <x:c r="M4984" s="9" t="n">
        <x:f>ROUND(H4984*(1-I4984),2)</x:f>
        <x:v>15928000</x:v>
      </x:c>
      <x:c r="N4984" s="4" t="str">
        <x:v>Sales head</x:v>
      </x:c>
      <x:c r="O4984" s="4" t="str">
        <x:v>BOOK-04983</x:v>
      </x:c>
      <x:c r="P4984" s="9" t="n">
        <x:v>3982000</x:v>
      </x:c>
      <x:c r="Q4984" s="11" t="n">
        <x:v>0</x:v>
      </x:c>
      <x:c r="R4984" s="8" t="n">
        <x:v>45652</x:v>
      </x:c>
      <x:c r="S4984" s="4" t="str">
        <x:v>Retained</x:v>
      </x:c>
      <x:c r="T4984" s="10" t="n">
        <x:v>0.145833</x:v>
      </x:c>
      <x:c r="U4984" s="4" t="str">
        <x:v>Test</x:v>
      </x:c>
    </x:row>
    <x:row r="4985" ht="34" customHeight="1">
      <x:c r="A4985" s="4" t="str">
        <x:v>RS-04984</x:v>
      </x:c>
      <x:c r="B4985" s="8" t="n">
        <x:v>45593</x:v>
      </x:c>
      <x:c r="C4985" s="4" t="str">
        <x:v>PRJ-004</x:v>
      </x:c>
      <x:c r="D4985" s="4" t="str">
        <x:v>Retail</x:v>
      </x:c>
      <x:c r="E4985" s="4" t="str">
        <x:v>Booked</x:v>
      </x:c>
      <x:c r="F4985" s="4" t="str">
        <x:v>CUS-04984</x:v>
      </x:c>
      <x:c r="G4985" s="4" t="str">
        <x:v>UNIT-04984</x:v>
      </x:c>
      <x:c r="H4985" s="9" t="n">
        <x:v>10900000</x:v>
      </x:c>
      <x:c r="I4985" s="10" t="n">
        <x:v>0.12</x:v>
      </x:c>
      <x:c r="J4985" s="11" t="n">
        <x:v>12</x:v>
      </x:c>
      <x:c r="K4985" s="11" t="n">
        <x:v>2</x:v>
      </x:c>
      <x:c r="L4985" s="11" t="n">
        <x:v>1</x:v>
      </x:c>
      <x:c r="M4985" s="9" t="n">
        <x:f>ROUND(H4985*(1-I4985),2)</x:f>
        <x:v>9592000</x:v>
      </x:c>
      <x:c r="N4985" s="4" t="str">
        <x:v>Sales head</x:v>
      </x:c>
      <x:c r="O4985" s="4" t="str">
        <x:v>BOOK-04984</x:v>
      </x:c>
      <x:c r="P4985" s="9" t="n">
        <x:v>959200</x:v>
      </x:c>
      <x:c r="Q4985" s="11" t="n">
        <x:v>0</x:v>
      </x:c>
      <x:c r="R4985" s="8" t="n">
        <x:v>45653</x:v>
      </x:c>
      <x:c r="S4985" s="4" t="str">
        <x:v>Retained</x:v>
      </x:c>
      <x:c r="T4985" s="10" t="n">
        <x:v>0.351536</x:v>
      </x:c>
      <x:c r="U4985" s="4" t="str">
        <x:v>Test</x:v>
      </x:c>
    </x:row>
    <x:row r="4986" ht="34" customHeight="1">
      <x:c r="A4986" s="4" t="str">
        <x:v>RS-04985</x:v>
      </x:c>
      <x:c r="B4986" s="8" t="n">
        <x:v>45566</x:v>
      </x:c>
      <x:c r="C4986" s="4" t="str">
        <x:v>PRJ-005</x:v>
      </x:c>
      <x:c r="D4986" s="4" t="str">
        <x:v>Apartment</x:v>
      </x:c>
      <x:c r="E4986" s="4" t="str">
        <x:v>Enquiry</x:v>
      </x:c>
      <x:c r="F4986" s="4" t="str">
        <x:v>CUS-04985</x:v>
      </x:c>
      <x:c r="G4986" s="4" t="str">
        <x:v>UNIT-04985</x:v>
      </x:c>
      <x:c r="H4986" s="9" t="n">
        <x:v>21700000</x:v>
      </x:c>
      <x:c r="I4986" s="10" t="n">
        <x:v>0.06</x:v>
      </x:c>
      <x:c r="J4986" s="11" t="n">
        <x:v>6</x:v>
      </x:c>
      <x:c r="K4986" s="11" t="n">
        <x:v>10</x:v>
      </x:c>
      <x:c r="L4986" s="11" t="n">
        <x:v>1</x:v>
      </x:c>
      <x:c r="M4986" s="9" t="n">
        <x:f>ROUND(H4986*(1-I4986),2)</x:f>
        <x:v>20398000</x:v>
      </x:c>
      <x:c r="N4986" s="4" t="str">
        <x:v>Sales manager</x:v>
      </x:c>
      <x:c r="O4986" s="4"/>
      <x:c r="P4986" s="9" t="n">
        <x:v>0</x:v>
      </x:c>
      <x:c r="Q4986" s="11" t="n">
        <x:v>0</x:v>
      </x:c>
      <x:c r="R4986" s="8" t="n">
        <x:v>45626</x:v>
      </x:c>
      <x:c r="S4986" s="4" t="str">
        <x:v>Retained</x:v>
      </x:c>
      <x:c r="T4986" s="10" t="n">
        <x:v>0.291946</x:v>
      </x:c>
      <x:c r="U4986" s="4" t="str">
        <x:v>Test</x:v>
      </x:c>
    </x:row>
    <x:row r="4987" ht="34" customHeight="1">
      <x:c r="A4987" s="4" t="str">
        <x:v>RS-04986</x:v>
      </x:c>
      <x:c r="B4987" s="8" t="n">
        <x:v>45567</x:v>
      </x:c>
      <x:c r="C4987" s="4" t="str">
        <x:v>PRJ-006</x:v>
      </x:c>
      <x:c r="D4987" s="4" t="str">
        <x:v>Villa</x:v>
      </x:c>
      <x:c r="E4987" s="4" t="str">
        <x:v>Handed over</x:v>
      </x:c>
      <x:c r="F4987" s="4" t="str">
        <x:v>CUS-04986</x:v>
      </x:c>
      <x:c r="G4987" s="4" t="str">
        <x:v>UNIT-04986</x:v>
      </x:c>
      <x:c r="H4987" s="9" t="n">
        <x:v>7900000</x:v>
      </x:c>
      <x:c r="I4987" s="10" t="n">
        <x:v>0.07</x:v>
      </x:c>
      <x:c r="J4987" s="11" t="n">
        <x:v>1</x:v>
      </x:c>
      <x:c r="K4987" s="11" t="n">
        <x:v>5</x:v>
      </x:c>
      <x:c r="L4987" s="11" t="n">
        <x:v>1</x:v>
      </x:c>
      <x:c r="M4987" s="9" t="n">
        <x:f>ROUND(H4987*(1-I4987),2)</x:f>
        <x:v>7347000</x:v>
      </x:c>
      <x:c r="N4987" s="4" t="str">
        <x:v>Sales manager</x:v>
      </x:c>
      <x:c r="O4987" s="4" t="str">
        <x:v>BOOK-04986</x:v>
      </x:c>
      <x:c r="P4987" s="9" t="n">
        <x:v>734700</x:v>
      </x:c>
      <x:c r="Q4987" s="11" t="n">
        <x:v>0</x:v>
      </x:c>
      <x:c r="R4987" s="8" t="n">
        <x:v>45627</x:v>
      </x:c>
      <x:c r="S4987" s="4" t="str">
        <x:v>Retained</x:v>
      </x:c>
      <x:c r="T4987" s="10" t="n">
        <x:v>0.204152</x:v>
      </x:c>
      <x:c r="U4987" s="4" t="str">
        <x:v>Test</x:v>
      </x:c>
    </x:row>
    <x:row r="4988" ht="34" customHeight="1">
      <x:c r="A4988" s="4" t="str">
        <x:v>RS-04987</x:v>
      </x:c>
      <x:c r="B4988" s="8" t="n">
        <x:v>45568</x:v>
      </x:c>
      <x:c r="C4988" s="4" t="str">
        <x:v>PRJ-007</x:v>
      </x:c>
      <x:c r="D4988" s="4" t="str">
        <x:v>Apartment</x:v>
      </x:c>
      <x:c r="E4988" s="4" t="str">
        <x:v>Cancelled</x:v>
      </x:c>
      <x:c r="F4988" s="4" t="str">
        <x:v>CUS-04987</x:v>
      </x:c>
      <x:c r="G4988" s="4" t="str">
        <x:v>UNIT-04987</x:v>
      </x:c>
      <x:c r="H4988" s="9" t="n">
        <x:v>21300000</x:v>
      </x:c>
      <x:c r="I4988" s="10" t="n">
        <x:v>0.01</x:v>
      </x:c>
      <x:c r="J4988" s="11" t="n">
        <x:v>12</x:v>
      </x:c>
      <x:c r="K4988" s="11" t="n">
        <x:v>1</x:v>
      </x:c>
      <x:c r="L4988" s="11" t="n">
        <x:v>1</x:v>
      </x:c>
      <x:c r="M4988" s="9" t="n">
        <x:f>ROUND(H4988*(1-I4988),2)</x:f>
        <x:v>21087000</x:v>
      </x:c>
      <x:c r="N4988" s="4" t="str">
        <x:v>Sales manager</x:v>
      </x:c>
      <x:c r="O4988" s="4"/>
      <x:c r="P4988" s="9" t="n">
        <x:v>0</x:v>
      </x:c>
      <x:c r="Q4988" s="11" t="n">
        <x:v>1</x:v>
      </x:c>
      <x:c r="R4988" s="8" t="n">
        <x:v>45628</x:v>
      </x:c>
      <x:c r="S4988" s="4" t="str">
        <x:v>Lost / cancelled</x:v>
      </x:c>
      <x:c r="T4988" s="10" t="n">
        <x:v>0.254545</x:v>
      </x:c>
      <x:c r="U4988" s="4" t="str">
        <x:v>Test</x:v>
      </x:c>
    </x:row>
    <x:row r="4989" ht="34" customHeight="1">
      <x:c r="A4989" s="4" t="str">
        <x:v>RS-04988</x:v>
      </x:c>
      <x:c r="B4989" s="8" t="n">
        <x:v>45569</x:v>
      </x:c>
      <x:c r="C4989" s="4" t="str">
        <x:v>PRJ-008</x:v>
      </x:c>
      <x:c r="D4989" s="4" t="str">
        <x:v>Villa</x:v>
      </x:c>
      <x:c r="E4989" s="4" t="str">
        <x:v>Enquiry</x:v>
      </x:c>
      <x:c r="F4989" s="4" t="str">
        <x:v>CUS-04988</x:v>
      </x:c>
      <x:c r="G4989" s="4" t="str">
        <x:v>UNIT-04988</x:v>
      </x:c>
      <x:c r="H4989" s="9" t="n">
        <x:v>14800000</x:v>
      </x:c>
      <x:c r="I4989" s="10" t="n">
        <x:v>0.1</x:v>
      </x:c>
      <x:c r="J4989" s="11" t="n">
        <x:v>5</x:v>
      </x:c>
      <x:c r="K4989" s="11" t="n">
        <x:v>0</x:v>
      </x:c>
      <x:c r="L4989" s="11" t="n">
        <x:v>0</x:v>
      </x:c>
      <x:c r="M4989" s="9" t="n">
        <x:f>ROUND(H4989*(1-I4989),2)</x:f>
        <x:v>13320000</x:v>
      </x:c>
      <x:c r="N4989" s="4" t="str">
        <x:v>Sales head</x:v>
      </x:c>
      <x:c r="O4989" s="4"/>
      <x:c r="P4989" s="9" t="n">
        <x:v>0</x:v>
      </x:c>
      <x:c r="Q4989" s="11" t="n">
        <x:v>0</x:v>
      </x:c>
      <x:c r="R4989" s="8" t="n">
        <x:v>45629</x:v>
      </x:c>
      <x:c r="S4989" s="4" t="str">
        <x:v>Retained</x:v>
      </x:c>
      <x:c r="T4989" s="10" t="n">
        <x:v>0.226277</x:v>
      </x:c>
      <x:c r="U4989" s="4" t="str">
        <x:v>Test</x:v>
      </x:c>
    </x:row>
    <x:row r="4990" ht="34" customHeight="1">
      <x:c r="A4990" s="4" t="str">
        <x:v>RS-04989</x:v>
      </x:c>
      <x:c r="B4990" s="8" t="n">
        <x:v>45570</x:v>
      </x:c>
      <x:c r="C4990" s="4" t="str">
        <x:v>PRJ-009</x:v>
      </x:c>
      <x:c r="D4990" s="4" t="str">
        <x:v>Office</x:v>
      </x:c>
      <x:c r="E4990" s="4" t="str">
        <x:v>Booked</x:v>
      </x:c>
      <x:c r="F4990" s="4" t="str">
        <x:v>CUS-04989</x:v>
      </x:c>
      <x:c r="G4990" s="4" t="str">
        <x:v>UNIT-04989</x:v>
      </x:c>
      <x:c r="H4990" s="9" t="n">
        <x:v>19300000</x:v>
      </x:c>
      <x:c r="I4990" s="10" t="n">
        <x:v>0.03</x:v>
      </x:c>
      <x:c r="J4990" s="11" t="n">
        <x:v>12</x:v>
      </x:c>
      <x:c r="K4990" s="11" t="n">
        <x:v>8</x:v>
      </x:c>
      <x:c r="L4990" s="11" t="n">
        <x:v>1</x:v>
      </x:c>
      <x:c r="M4990" s="9" t="n">
        <x:f>ROUND(H4990*(1-I4990),2)</x:f>
        <x:v>18721000</x:v>
      </x:c>
      <x:c r="N4990" s="4" t="str">
        <x:v>Sales manager</x:v>
      </x:c>
      <x:c r="O4990" s="4" t="str">
        <x:v>BOOK-04989</x:v>
      </x:c>
      <x:c r="P4990" s="9" t="n">
        <x:v>18721000</x:v>
      </x:c>
      <x:c r="Q4990" s="11" t="n">
        <x:v>0</x:v>
      </x:c>
      <x:c r="R4990" s="8" t="n">
        <x:v>45630</x:v>
      </x:c>
      <x:c r="S4990" s="4" t="str">
        <x:v>Retained</x:v>
      </x:c>
      <x:c r="T4990" s="10" t="n">
        <x:v>0.351536</x:v>
      </x:c>
      <x:c r="U4990" s="4" t="str">
        <x:v>Test</x:v>
      </x:c>
    </x:row>
    <x:row r="4991" ht="34" customHeight="1">
      <x:c r="A4991" s="4" t="str">
        <x:v>RS-04990</x:v>
      </x:c>
      <x:c r="B4991" s="8" t="n">
        <x:v>45571</x:v>
      </x:c>
      <x:c r="C4991" s="4" t="str">
        <x:v>PRJ-010</x:v>
      </x:c>
      <x:c r="D4991" s="4" t="str">
        <x:v>Retail</x:v>
      </x:c>
      <x:c r="E4991" s="4" t="str">
        <x:v>Handed over</x:v>
      </x:c>
      <x:c r="F4991" s="4" t="str">
        <x:v>CUS-04990</x:v>
      </x:c>
      <x:c r="G4991" s="4" t="str">
        <x:v>UNIT-04990</x:v>
      </x:c>
      <x:c r="H4991" s="9" t="n">
        <x:v>13300000</x:v>
      </x:c>
      <x:c r="I4991" s="10" t="n">
        <x:v>0.02</x:v>
      </x:c>
      <x:c r="J4991" s="11" t="n">
        <x:v>3</x:v>
      </x:c>
      <x:c r="K4991" s="11" t="n">
        <x:v>2</x:v>
      </x:c>
      <x:c r="L4991" s="11" t="n">
        <x:v>1</x:v>
      </x:c>
      <x:c r="M4991" s="9" t="n">
        <x:f>ROUND(H4991*(1-I4991),2)</x:f>
        <x:v>13034000</x:v>
      </x:c>
      <x:c r="N4991" s="4" t="str">
        <x:v>Sales manager</x:v>
      </x:c>
      <x:c r="O4991" s="4" t="str">
        <x:v>BOOK-04990</x:v>
      </x:c>
      <x:c r="P4991" s="9" t="n">
        <x:v>13034000</x:v>
      </x:c>
      <x:c r="Q4991" s="11" t="n">
        <x:v>0</x:v>
      </x:c>
      <x:c r="R4991" s="8" t="n">
        <x:v>45631</x:v>
      </x:c>
      <x:c r="S4991" s="4" t="str">
        <x:v>Retained</x:v>
      </x:c>
      <x:c r="T4991" s="10" t="n">
        <x:v>0.171717</x:v>
      </x:c>
      <x:c r="U4991" s="4" t="str">
        <x:v>Test</x:v>
      </x:c>
    </x:row>
    <x:row r="4992" ht="34" customHeight="1">
      <x:c r="A4992" s="4" t="str">
        <x:v>RS-04991</x:v>
      </x:c>
      <x:c r="B4992" s="8" t="n">
        <x:v>45572</x:v>
      </x:c>
      <x:c r="C4992" s="4" t="str">
        <x:v>PRJ-011</x:v>
      </x:c>
      <x:c r="D4992" s="4" t="str">
        <x:v>Villa</x:v>
      </x:c>
      <x:c r="E4992" s="4" t="str">
        <x:v>Handed over</x:v>
      </x:c>
      <x:c r="F4992" s="4" t="str">
        <x:v>CUS-04991</x:v>
      </x:c>
      <x:c r="G4992" s="4" t="str">
        <x:v>UNIT-04991</x:v>
      </x:c>
      <x:c r="H4992" s="9" t="n">
        <x:v>9500000</x:v>
      </x:c>
      <x:c r="I4992" s="10" t="n">
        <x:v>0.03</x:v>
      </x:c>
      <x:c r="J4992" s="11" t="n">
        <x:v>12</x:v>
      </x:c>
      <x:c r="K4992" s="11" t="n">
        <x:v>5</x:v>
      </x:c>
      <x:c r="L4992" s="11" t="n">
        <x:v>1</x:v>
      </x:c>
      <x:c r="M4992" s="9" t="n">
        <x:f>ROUND(H4992*(1-I4992),2)</x:f>
        <x:v>9215000</x:v>
      </x:c>
      <x:c r="N4992" s="4" t="str">
        <x:v>Sales manager</x:v>
      </x:c>
      <x:c r="O4992" s="4" t="str">
        <x:v>BOOK-04991</x:v>
      </x:c>
      <x:c r="P4992" s="9" t="n">
        <x:v>2303750</x:v>
      </x:c>
      <x:c r="Q4992" s="11" t="n">
        <x:v>0</x:v>
      </x:c>
      <x:c r="R4992" s="8" t="n">
        <x:v>45632</x:v>
      </x:c>
      <x:c r="S4992" s="4" t="str">
        <x:v>Retained</x:v>
      </x:c>
      <x:c r="T4992" s="10" t="n">
        <x:v>0.351536</x:v>
      </x:c>
      <x:c r="U4992" s="4" t="str">
        <x:v>Test</x:v>
      </x:c>
    </x:row>
    <x:row r="4993" ht="34" customHeight="1">
      <x:c r="A4993" s="4" t="str">
        <x:v>RS-04992</x:v>
      </x:c>
      <x:c r="B4993" s="8" t="n">
        <x:v>45573</x:v>
      </x:c>
      <x:c r="C4993" s="4" t="str">
        <x:v>PRJ-012</x:v>
      </x:c>
      <x:c r="D4993" s="4" t="str">
        <x:v>Apartment</x:v>
      </x:c>
      <x:c r="E4993" s="4" t="str">
        <x:v>Reserved</x:v>
      </x:c>
      <x:c r="F4993" s="4" t="str">
        <x:v>CUS-04992</x:v>
      </x:c>
      <x:c r="G4993" s="4" t="str">
        <x:v>UNIT-04992</x:v>
      </x:c>
      <x:c r="H4993" s="9" t="n">
        <x:v>4700000</x:v>
      </x:c>
      <x:c r="I4993" s="10" t="n">
        <x:v>0.09</x:v>
      </x:c>
      <x:c r="J4993" s="11" t="n">
        <x:v>9</x:v>
      </x:c>
      <x:c r="K4993" s="11" t="n">
        <x:v>3</x:v>
      </x:c>
      <x:c r="L4993" s="11" t="n">
        <x:v>0</x:v>
      </x:c>
      <x:c r="M4993" s="9" t="n">
        <x:f>ROUND(H4993*(1-I4993),2)</x:f>
        <x:v>4277000</x:v>
      </x:c>
      <x:c r="N4993" s="4" t="str">
        <x:v>Sales head</x:v>
      </x:c>
      <x:c r="O4993" s="4"/>
      <x:c r="P4993" s="9" t="n">
        <x:v>0</x:v>
      </x:c>
      <x:c r="Q4993" s="11" t="n">
        <x:v>0</x:v>
      </x:c>
      <x:c r="R4993" s="8" t="n">
        <x:v>45633</x:v>
      </x:c>
      <x:c r="S4993" s="4" t="str">
        <x:v>Retained</x:v>
      </x:c>
      <x:c r="T4993" s="10" t="n">
        <x:v>0.310195</x:v>
      </x:c>
      <x:c r="U4993" s="4" t="str">
        <x:v>Test</x:v>
      </x:c>
    </x:row>
    <x:row r="4994" ht="34" customHeight="1">
      <x:c r="A4994" s="4" t="str">
        <x:v>RS-04993</x:v>
      </x:c>
      <x:c r="B4994" s="8" t="n">
        <x:v>45574</x:v>
      </x:c>
      <x:c r="C4994" s="4" t="str">
        <x:v>PRJ-013</x:v>
      </x:c>
      <x:c r="D4994" s="4" t="str">
        <x:v>Apartment</x:v>
      </x:c>
      <x:c r="E4994" s="4" t="str">
        <x:v>Booked</x:v>
      </x:c>
      <x:c r="F4994" s="4" t="str">
        <x:v>CUS-04993</x:v>
      </x:c>
      <x:c r="G4994" s="4" t="str">
        <x:v>UNIT-04993</x:v>
      </x:c>
      <x:c r="H4994" s="9" t="n">
        <x:v>23000000</x:v>
      </x:c>
      <x:c r="I4994" s="10" t="n">
        <x:v>0.03</x:v>
      </x:c>
      <x:c r="J4994" s="11" t="n">
        <x:v>0</x:v>
      </x:c>
      <x:c r="K4994" s="11" t="n">
        <x:v>4</x:v>
      </x:c>
      <x:c r="L4994" s="11" t="n">
        <x:v>0</x:v>
      </x:c>
      <x:c r="M4994" s="9" t="n">
        <x:f>ROUND(H4994*(1-I4994),2)</x:f>
        <x:v>22310000</x:v>
      </x:c>
      <x:c r="N4994" s="4" t="str">
        <x:v>Sales manager</x:v>
      </x:c>
      <x:c r="O4994" s="4" t="str">
        <x:v>BOOK-04993</x:v>
      </x:c>
      <x:c r="P4994" s="9" t="n">
        <x:v>2231000</x:v>
      </x:c>
      <x:c r="Q4994" s="11" t="n">
        <x:v>0</x:v>
      </x:c>
      <x:c r="R4994" s="8" t="n">
        <x:v>45634</x:v>
      </x:c>
      <x:c r="S4994" s="4" t="str">
        <x:v>Retained</x:v>
      </x:c>
      <x:c r="T4994" s="10" t="n">
        <x:v>0.072165</x:v>
      </x:c>
      <x:c r="U4994" s="4" t="str">
        <x:v>Test</x:v>
      </x:c>
    </x:row>
    <x:row r="4995" ht="34" customHeight="1">
      <x:c r="A4995" s="4" t="str">
        <x:v>RS-04994</x:v>
      </x:c>
      <x:c r="B4995" s="8" t="n">
        <x:v>45575</x:v>
      </x:c>
      <x:c r="C4995" s="4" t="str">
        <x:v>PRJ-014</x:v>
      </x:c>
      <x:c r="D4995" s="4" t="str">
        <x:v>Villa</x:v>
      </x:c>
      <x:c r="E4995" s="4" t="str">
        <x:v>Enquiry</x:v>
      </x:c>
      <x:c r="F4995" s="4" t="str">
        <x:v>CUS-04994</x:v>
      </x:c>
      <x:c r="G4995" s="4" t="str">
        <x:v>UNIT-04994</x:v>
      </x:c>
      <x:c r="H4995" s="9" t="n">
        <x:v>20700000</x:v>
      </x:c>
      <x:c r="I4995" s="10" t="n">
        <x:v>0.07</x:v>
      </x:c>
      <x:c r="J4995" s="11" t="n">
        <x:v>10</x:v>
      </x:c>
      <x:c r="K4995" s="11" t="n">
        <x:v>10</x:v>
      </x:c>
      <x:c r="L4995" s="11" t="n">
        <x:v>0</x:v>
      </x:c>
      <x:c r="M4995" s="9" t="n">
        <x:f>ROUND(H4995*(1-I4995),2)</x:f>
        <x:v>19251000</x:v>
      </x:c>
      <x:c r="N4995" s="4" t="str">
        <x:v>Sales manager</x:v>
      </x:c>
      <x:c r="O4995" s="4"/>
      <x:c r="P4995" s="9" t="n">
        <x:v>0</x:v>
      </x:c>
      <x:c r="Q4995" s="11" t="n">
        <x:v>0</x:v>
      </x:c>
      <x:c r="R4995" s="8" t="n">
        <x:v>45635</x:v>
      </x:c>
      <x:c r="S4995" s="4" t="str">
        <x:v>Retained</x:v>
      </x:c>
      <x:c r="T4995" s="10" t="n">
        <x:v>0.310195</x:v>
      </x:c>
      <x:c r="U4995" s="4" t="str">
        <x:v>Test</x:v>
      </x:c>
    </x:row>
    <x:row r="4996" ht="34" customHeight="1">
      <x:c r="A4996" s="4" t="str">
        <x:v>RS-04995</x:v>
      </x:c>
      <x:c r="B4996" s="8" t="n">
        <x:v>45576</x:v>
      </x:c>
      <x:c r="C4996" s="4" t="str">
        <x:v>PRJ-015</x:v>
      </x:c>
      <x:c r="D4996" s="4" t="str">
        <x:v>Retail</x:v>
      </x:c>
      <x:c r="E4996" s="4" t="str">
        <x:v>Reserved</x:v>
      </x:c>
      <x:c r="F4996" s="4" t="str">
        <x:v>CUS-04995</x:v>
      </x:c>
      <x:c r="G4996" s="4" t="str">
        <x:v>UNIT-04995</x:v>
      </x:c>
      <x:c r="H4996" s="9" t="n">
        <x:v>15800000</x:v>
      </x:c>
      <x:c r="I4996" s="10" t="n">
        <x:v>0.04</x:v>
      </x:c>
      <x:c r="J4996" s="11" t="n">
        <x:v>8</x:v>
      </x:c>
      <x:c r="K4996" s="11" t="n">
        <x:v>4</x:v>
      </x:c>
      <x:c r="L4996" s="11" t="n">
        <x:v>1</x:v>
      </x:c>
      <x:c r="M4996" s="9" t="n">
        <x:f>ROUND(H4996*(1-I4996),2)</x:f>
        <x:v>15168000</x:v>
      </x:c>
      <x:c r="N4996" s="4" t="str">
        <x:v>Sales manager</x:v>
      </x:c>
      <x:c r="O4996" s="4"/>
      <x:c r="P4996" s="9" t="n">
        <x:v>0</x:v>
      </x:c>
      <x:c r="Q4996" s="11" t="n">
        <x:v>1</x:v>
      </x:c>
      <x:c r="R4996" s="8" t="n">
        <x:v>45636</x:v>
      </x:c>
      <x:c r="S4996" s="4" t="str">
        <x:v>Lost / cancelled</x:v>
      </x:c>
      <x:c r="T4996" s="10" t="n">
        <x:v>0.310195</x:v>
      </x:c>
      <x:c r="U4996" s="4" t="str">
        <x:v>Test</x:v>
      </x:c>
    </x:row>
    <x:row r="4997" ht="34" customHeight="1">
      <x:c r="A4997" s="4" t="str">
        <x:v>RS-04996</x:v>
      </x:c>
      <x:c r="B4997" s="8" t="n">
        <x:v>45577</x:v>
      </x:c>
      <x:c r="C4997" s="4" t="str">
        <x:v>PRJ-016</x:v>
      </x:c>
      <x:c r="D4997" s="4" t="str">
        <x:v>Villa</x:v>
      </x:c>
      <x:c r="E4997" s="4" t="str">
        <x:v>Reserved</x:v>
      </x:c>
      <x:c r="F4997" s="4" t="str">
        <x:v>CUS-04996</x:v>
      </x:c>
      <x:c r="G4997" s="4" t="str">
        <x:v>UNIT-04996</x:v>
      </x:c>
      <x:c r="H4997" s="9" t="n">
        <x:v>9300000</x:v>
      </x:c>
      <x:c r="I4997" s="10" t="n">
        <x:v>0.11</x:v>
      </x:c>
      <x:c r="J4997" s="11" t="n">
        <x:v>4</x:v>
      </x:c>
      <x:c r="K4997" s="11" t="n">
        <x:v>4</x:v>
      </x:c>
      <x:c r="L4997" s="11" t="n">
        <x:v>0</x:v>
      </x:c>
      <x:c r="M4997" s="9" t="n">
        <x:f>ROUND(H4997*(1-I4997),2)</x:f>
        <x:v>8277000</x:v>
      </x:c>
      <x:c r="N4997" s="4" t="str">
        <x:v>Sales head</x:v>
      </x:c>
      <x:c r="O4997" s="4"/>
      <x:c r="P4997" s="9" t="n">
        <x:v>0</x:v>
      </x:c>
      <x:c r="Q4997" s="11" t="n">
        <x:v>0</x:v>
      </x:c>
      <x:c r="R4997" s="8" t="n">
        <x:v>45637</x:v>
      </x:c>
      <x:c r="S4997" s="4" t="str">
        <x:v>Retained</x:v>
      </x:c>
      <x:c r="T4997" s="10" t="n">
        <x:v>0.226277</x:v>
      </x:c>
      <x:c r="U4997" s="4" t="str">
        <x:v>Test</x:v>
      </x:c>
    </x:row>
    <x:row r="4998" ht="34" customHeight="1">
      <x:c r="A4998" s="4" t="str">
        <x:v>RS-04997</x:v>
      </x:c>
      <x:c r="B4998" s="8" t="n">
        <x:v>45578</x:v>
      </x:c>
      <x:c r="C4998" s="4" t="str">
        <x:v>PRJ-017</x:v>
      </x:c>
      <x:c r="D4998" s="4" t="str">
        <x:v>Retail</x:v>
      </x:c>
      <x:c r="E4998" s="4" t="str">
        <x:v>Booked</x:v>
      </x:c>
      <x:c r="F4998" s="4" t="str">
        <x:v>CUS-04997</x:v>
      </x:c>
      <x:c r="G4998" s="4" t="str">
        <x:v>UNIT-04997</x:v>
      </x:c>
      <x:c r="H4998" s="9" t="n">
        <x:v>8500000</x:v>
      </x:c>
      <x:c r="I4998" s="10" t="n">
        <x:v>0.02</x:v>
      </x:c>
      <x:c r="J4998" s="11" t="n">
        <x:v>12</x:v>
      </x:c>
      <x:c r="K4998" s="11" t="n">
        <x:v>7</x:v>
      </x:c>
      <x:c r="L4998" s="11" t="n">
        <x:v>0</x:v>
      </x:c>
      <x:c r="M4998" s="9" t="n">
        <x:f>ROUND(H4998*(1-I4998),2)</x:f>
        <x:v>8330000</x:v>
      </x:c>
      <x:c r="N4998" s="4" t="str">
        <x:v>Sales manager</x:v>
      </x:c>
      <x:c r="O4998" s="4" t="str">
        <x:v>BOOK-04997</x:v>
      </x:c>
      <x:c r="P4998" s="9" t="n">
        <x:v>2082500</x:v>
      </x:c>
      <x:c r="Q4998" s="11" t="n">
        <x:v>0</x:v>
      </x:c>
      <x:c r="R4998" s="8" t="n">
        <x:v>45638</x:v>
      </x:c>
      <x:c r="S4998" s="4" t="str">
        <x:v>Retained</x:v>
      </x:c>
      <x:c r="T4998" s="10" t="n">
        <x:v>0.305556</x:v>
      </x:c>
      <x:c r="U4998" s="4" t="str">
        <x:v>Test</x:v>
      </x:c>
    </x:row>
    <x:row r="4999" ht="34" customHeight="1">
      <x:c r="A4999" s="4" t="str">
        <x:v>RS-04998</x:v>
      </x:c>
      <x:c r="B4999" s="8" t="n">
        <x:v>45579</x:v>
      </x:c>
      <x:c r="C4999" s="4" t="str">
        <x:v>PRJ-018</x:v>
      </x:c>
      <x:c r="D4999" s="4" t="str">
        <x:v>Apartment</x:v>
      </x:c>
      <x:c r="E4999" s="4" t="str">
        <x:v>Reserved</x:v>
      </x:c>
      <x:c r="F4999" s="4" t="str">
        <x:v>CUS-04998</x:v>
      </x:c>
      <x:c r="G4999" s="4" t="str">
        <x:v>UNIT-04998</x:v>
      </x:c>
      <x:c r="H4999" s="9" t="n">
        <x:v>6100000</x:v>
      </x:c>
      <x:c r="I4999" s="10" t="n">
        <x:v>0.1</x:v>
      </x:c>
      <x:c r="J4999" s="11" t="n">
        <x:v>2</x:v>
      </x:c>
      <x:c r="K4999" s="11" t="n">
        <x:v>2</x:v>
      </x:c>
      <x:c r="L4999" s="11" t="n">
        <x:v>0</x:v>
      </x:c>
      <x:c r="M4999" s="9" t="n">
        <x:f>ROUND(H4999*(1-I4999),2)</x:f>
        <x:v>5490000</x:v>
      </x:c>
      <x:c r="N4999" s="4" t="str">
        <x:v>Sales head</x:v>
      </x:c>
      <x:c r="O4999" s="4"/>
      <x:c r="P4999" s="9" t="n">
        <x:v>0</x:v>
      </x:c>
      <x:c r="Q4999" s="11" t="n">
        <x:v>0</x:v>
      </x:c>
      <x:c r="R4999" s="8" t="n">
        <x:v>45639</x:v>
      </x:c>
      <x:c r="S4999" s="4" t="str">
        <x:v>Retained</x:v>
      </x:c>
      <x:c r="T4999" s="10" t="n">
        <x:v>0.145833</x:v>
      </x:c>
      <x:c r="U4999" s="4" t="str">
        <x:v>Test</x:v>
      </x:c>
    </x:row>
    <x:row r="5000" ht="34" customHeight="1">
      <x:c r="A5000" s="4" t="str">
        <x:v>RS-04999</x:v>
      </x:c>
      <x:c r="B5000" s="8" t="n">
        <x:v>45580</x:v>
      </x:c>
      <x:c r="C5000" s="4" t="str">
        <x:v>PRJ-019</x:v>
      </x:c>
      <x:c r="D5000" s="4" t="str">
        <x:v>Villa</x:v>
      </x:c>
      <x:c r="E5000" s="4" t="str">
        <x:v>Agreement signed</x:v>
      </x:c>
      <x:c r="F5000" s="4" t="str">
        <x:v>CUS-04999</x:v>
      </x:c>
      <x:c r="G5000" s="4" t="str">
        <x:v>UNIT-04999</x:v>
      </x:c>
      <x:c r="H5000" s="9" t="n">
        <x:v>3500000</x:v>
      </x:c>
      <x:c r="I5000" s="10" t="n">
        <x:v>0.02</x:v>
      </x:c>
      <x:c r="J5000" s="11" t="n">
        <x:v>9</x:v>
      </x:c>
      <x:c r="K5000" s="11" t="n">
        <x:v>2</x:v>
      </x:c>
      <x:c r="L5000" s="11" t="n">
        <x:v>1</x:v>
      </x:c>
      <x:c r="M5000" s="9" t="n">
        <x:f>ROUND(H5000*(1-I5000),2)</x:f>
        <x:v>3430000</x:v>
      </x:c>
      <x:c r="N5000" s="4" t="str">
        <x:v>Sales manager</x:v>
      </x:c>
      <x:c r="O5000" s="4" t="str">
        <x:v>BOOK-04999</x:v>
      </x:c>
      <x:c r="P5000" s="9" t="n">
        <x:v>857500</x:v>
      </x:c>
      <x:c r="Q5000" s="11" t="n">
        <x:v>0</x:v>
      </x:c>
      <x:c r="R5000" s="8" t="n">
        <x:v>45640</x:v>
      </x:c>
      <x:c r="S5000" s="4" t="str">
        <x:v>Retained</x:v>
      </x:c>
      <x:c r="T5000" s="10" t="n">
        <x:v>0.254545</x:v>
      </x:c>
      <x:c r="U5000" s="4" t="str">
        <x:v>Test</x:v>
      </x:c>
    </x:row>
    <x:row r="5001" ht="34" customHeight="1">
      <x:c r="A5001" s="4" t="str">
        <x:v>RS-05000</x:v>
      </x:c>
      <x:c r="B5001" s="8" t="n">
        <x:v>45581</x:v>
      </x:c>
      <x:c r="C5001" s="4" t="str">
        <x:v>PRJ-020</x:v>
      </x:c>
      <x:c r="D5001" s="4" t="str">
        <x:v>Apartment</x:v>
      </x:c>
      <x:c r="E5001" s="4" t="str">
        <x:v>Agreement signed</x:v>
      </x:c>
      <x:c r="F5001" s="4" t="str">
        <x:v>CUS-05000</x:v>
      </x:c>
      <x:c r="G5001" s="4" t="str">
        <x:v>UNIT-05000</x:v>
      </x:c>
      <x:c r="H5001" s="9" t="n">
        <x:v>14900000</x:v>
      </x:c>
      <x:c r="I5001" s="10" t="n">
        <x:v>0.1</x:v>
      </x:c>
      <x:c r="J5001" s="11" t="n">
        <x:v>10</x:v>
      </x:c>
      <x:c r="K5001" s="11" t="n">
        <x:v>7</x:v>
      </x:c>
      <x:c r="L5001" s="11" t="n">
        <x:v>1</x:v>
      </x:c>
      <x:c r="M5001" s="9" t="n">
        <x:f>ROUND(H5001*(1-I5001),2)</x:f>
        <x:v>13410000</x:v>
      </x:c>
      <x:c r="N5001" s="4" t="str">
        <x:v>Sales head</x:v>
      </x:c>
      <x:c r="O5001" s="4" t="str">
        <x:v>BOOK-05000</x:v>
      </x:c>
      <x:c r="P5001" s="9" t="n">
        <x:v>3352500</x:v>
      </x:c>
      <x:c r="Q5001" s="11" t="n">
        <x:v>0</x:v>
      </x:c>
      <x:c r="R5001" s="8" t="n">
        <x:v>45641</x:v>
      </x:c>
      <x:c r="S5001" s="4" t="str">
        <x:v>Retained</x:v>
      </x:c>
      <x:c r="T5001" s="10" t="n">
        <x:v>0.310195</x:v>
      </x:c>
      <x:c r="U5001" s="4" t="str">
        <x:v>Test</x:v>
      </x:c>
    </x:row>
  </x:sheetData>
  <x:pageMargins left="0.7" right="0.7" top="0.75" bottom="0.75" header="0.3" footer="0.3"/>
  <x:tableParts count="1">
    <x:tablePart xmlns:r="http://schemas.openxmlformats.org/officeDocument/2006/relationships" r:id="R7341c0def856410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42" customHeight="1">
      <x:c r="A1" s="7" t="str">
        <x:v>detail_id</x:v>
      </x:c>
      <x:c r="B1" s="7" t="str">
        <x:v>record_id</x:v>
      </x:c>
      <x:c r="C1" s="7" t="str">
        <x:v>installment_no</x:v>
      </x:c>
      <x:c r="D1" s="7" t="str">
        <x:v>due_date</x:v>
      </x:c>
      <x:c r="E1" s="7" t="str">
        <x:v>scheduled_amount</x:v>
      </x:c>
      <x:c r="F1" s="7" t="str">
        <x:v>collected_amount</x:v>
      </x:c>
    </x:row>
    <x:row r="2" ht="34" customHeight="1">
      <x:c r="A2" s="4" t="str">
        <x:v>RS-00002-I1</x:v>
      </x:c>
      <x:c r="B2" s="4" t="str">
        <x:v>RS-00002</x:v>
      </x:c>
      <x:c r="C2" s="9" t="n">
        <x:v>1</x:v>
      </x:c>
      <x:c r="D2" s="8" t="n">
        <x:v>45293</x:v>
      </x:c>
      <x:c r="E2" s="9" t="n">
        <x:v>4766250</x:v>
      </x:c>
      <x:c r="F2" s="9" t="n">
        <x:v>1906500</x:v>
      </x:c>
    </x:row>
    <x:row r="3" ht="34" customHeight="1">
      <x:c r="A3" s="4" t="str">
        <x:v>RS-00002-I2</x:v>
      </x:c>
      <x:c r="B3" s="4" t="str">
        <x:v>RS-00002</x:v>
      </x:c>
      <x:c r="C3" s="9" t="n">
        <x:v>2</x:v>
      </x:c>
      <x:c r="D3" s="8" t="n">
        <x:v>45323</x:v>
      </x:c>
      <x:c r="E3" s="9" t="n">
        <x:v>4766250</x:v>
      </x:c>
      <x:c r="F3" s="9" t="n">
        <x:v>0</x:v>
      </x:c>
    </x:row>
    <x:row r="4" ht="34" customHeight="1">
      <x:c r="A4" s="4" t="str">
        <x:v>RS-00002-I3</x:v>
      </x:c>
      <x:c r="B4" s="4" t="str">
        <x:v>RS-00002</x:v>
      </x:c>
      <x:c r="C4" s="9" t="n">
        <x:v>3</x:v>
      </x:c>
      <x:c r="D4" s="8" t="n">
        <x:v>45353</x:v>
      </x:c>
      <x:c r="E4" s="9" t="n">
        <x:v>4766250</x:v>
      </x:c>
      <x:c r="F4" s="9" t="n">
        <x:v>0</x:v>
      </x:c>
    </x:row>
    <x:row r="5" ht="34" customHeight="1">
      <x:c r="A5" s="4" t="str">
        <x:v>RS-00002-I4</x:v>
      </x:c>
      <x:c r="B5" s="4" t="str">
        <x:v>RS-00002</x:v>
      </x:c>
      <x:c r="C5" s="9" t="n">
        <x:v>4</x:v>
      </x:c>
      <x:c r="D5" s="8" t="n">
        <x:v>45383</x:v>
      </x:c>
      <x:c r="E5" s="9" t="n">
        <x:v>4766250</x:v>
      </x:c>
      <x:c r="F5" s="9" t="n">
        <x:v>0</x:v>
      </x:c>
    </x:row>
    <x:row r="6" ht="34" customHeight="1">
      <x:c r="A6" s="4" t="str">
        <x:v>RS-00003-I1</x:v>
      </x:c>
      <x:c r="B6" s="4" t="str">
        <x:v>RS-00003</x:v>
      </x:c>
      <x:c r="C6" s="9" t="n">
        <x:v>1</x:v>
      </x:c>
      <x:c r="D6" s="8" t="n">
        <x:v>45294</x:v>
      </x:c>
      <x:c r="E6" s="9" t="n">
        <x:v>3705000</x:v>
      </x:c>
      <x:c r="F6" s="9" t="n">
        <x:v>3705000</x:v>
      </x:c>
    </x:row>
    <x:row r="7" ht="34" customHeight="1">
      <x:c r="A7" s="4" t="str">
        <x:v>RS-00003-I2</x:v>
      </x:c>
      <x:c r="B7" s="4" t="str">
        <x:v>RS-00003</x:v>
      </x:c>
      <x:c r="C7" s="9" t="n">
        <x:v>2</x:v>
      </x:c>
      <x:c r="D7" s="8" t="n">
        <x:v>45324</x:v>
      </x:c>
      <x:c r="E7" s="9" t="n">
        <x:v>3705000</x:v>
      </x:c>
      <x:c r="F7" s="9" t="n">
        <x:v>3705000</x:v>
      </x:c>
    </x:row>
    <x:row r="8" ht="34" customHeight="1">
      <x:c r="A8" s="4" t="str">
        <x:v>RS-00003-I3</x:v>
      </x:c>
      <x:c r="B8" s="4" t="str">
        <x:v>RS-00003</x:v>
      </x:c>
      <x:c r="C8" s="9" t="n">
        <x:v>3</x:v>
      </x:c>
      <x:c r="D8" s="8" t="n">
        <x:v>45354</x:v>
      </x:c>
      <x:c r="E8" s="9" t="n">
        <x:v>3705000</x:v>
      </x:c>
      <x:c r="F8" s="9" t="n">
        <x:v>3705000</x:v>
      </x:c>
    </x:row>
    <x:row r="9" ht="34" customHeight="1">
      <x:c r="A9" s="4" t="str">
        <x:v>RS-00003-I4</x:v>
      </x:c>
      <x:c r="B9" s="4" t="str">
        <x:v>RS-00003</x:v>
      </x:c>
      <x:c r="C9" s="9" t="n">
        <x:v>4</x:v>
      </x:c>
      <x:c r="D9" s="8" t="n">
        <x:v>45384</x:v>
      </x:c>
      <x:c r="E9" s="9" t="n">
        <x:v>3705000</x:v>
      </x:c>
      <x:c r="F9" s="9" t="n">
        <x:v>3705000</x:v>
      </x:c>
    </x:row>
    <x:row r="10" ht="34" customHeight="1">
      <x:c r="A10" s="4" t="str">
        <x:v>RS-00004-I1</x:v>
      </x:c>
      <x:c r="B10" s="4" t="str">
        <x:v>RS-00004</x:v>
      </x:c>
      <x:c r="C10" s="9" t="n">
        <x:v>1</x:v>
      </x:c>
      <x:c r="D10" s="8" t="n">
        <x:v>45295</x:v>
      </x:c>
      <x:c r="E10" s="9" t="n">
        <x:v>3855750</x:v>
      </x:c>
      <x:c r="F10" s="9" t="n">
        <x:v>3855750</x:v>
      </x:c>
    </x:row>
    <x:row r="11" ht="34" customHeight="1">
      <x:c r="A11" s="4" t="str">
        <x:v>RS-00004-I2</x:v>
      </x:c>
      <x:c r="B11" s="4" t="str">
        <x:v>RS-00004</x:v>
      </x:c>
      <x:c r="C11" s="9" t="n">
        <x:v>2</x:v>
      </x:c>
      <x:c r="D11" s="8" t="n">
        <x:v>45325</x:v>
      </x:c>
      <x:c r="E11" s="9" t="n">
        <x:v>3855750</x:v>
      </x:c>
      <x:c r="F11" s="9" t="n">
        <x:v>0</x:v>
      </x:c>
    </x:row>
    <x:row r="12" ht="34" customHeight="1">
      <x:c r="A12" s="4" t="str">
        <x:v>RS-00004-I3</x:v>
      </x:c>
      <x:c r="B12" s="4" t="str">
        <x:v>RS-00004</x:v>
      </x:c>
      <x:c r="C12" s="9" t="n">
        <x:v>3</x:v>
      </x:c>
      <x:c r="D12" s="8" t="n">
        <x:v>45355</x:v>
      </x:c>
      <x:c r="E12" s="9" t="n">
        <x:v>3855750</x:v>
      </x:c>
      <x:c r="F12" s="9" t="n">
        <x:v>0</x:v>
      </x:c>
    </x:row>
    <x:row r="13" ht="34" customHeight="1">
      <x:c r="A13" s="4" t="str">
        <x:v>RS-00004-I4</x:v>
      </x:c>
      <x:c r="B13" s="4" t="str">
        <x:v>RS-00004</x:v>
      </x:c>
      <x:c r="C13" s="9" t="n">
        <x:v>4</x:v>
      </x:c>
      <x:c r="D13" s="8" t="n">
        <x:v>45385</x:v>
      </x:c>
      <x:c r="E13" s="9" t="n">
        <x:v>3855750</x:v>
      </x:c>
      <x:c r="F13" s="9" t="n">
        <x:v>0</x:v>
      </x:c>
    </x:row>
    <x:row r="14" ht="34" customHeight="1">
      <x:c r="A14" s="4" t="str">
        <x:v>RS-00007-I1</x:v>
      </x:c>
      <x:c r="B14" s="4" t="str">
        <x:v>RS-00007</x:v>
      </x:c>
      <x:c r="C14" s="9" t="n">
        <x:v>1</x:v>
      </x:c>
      <x:c r="D14" s="8" t="n">
        <x:v>45298</x:v>
      </x:c>
      <x:c r="E14" s="9" t="n">
        <x:v>1715500</x:v>
      </x:c>
      <x:c r="F14" s="9" t="n">
        <x:v>1715500</x:v>
      </x:c>
    </x:row>
    <x:row r="15" ht="34" customHeight="1">
      <x:c r="A15" s="4" t="str">
        <x:v>RS-00007-I2</x:v>
      </x:c>
      <x:c r="B15" s="4" t="str">
        <x:v>RS-00007</x:v>
      </x:c>
      <x:c r="C15" s="9" t="n">
        <x:v>2</x:v>
      </x:c>
      <x:c r="D15" s="8" t="n">
        <x:v>45328</x:v>
      </x:c>
      <x:c r="E15" s="9" t="n">
        <x:v>1715500</x:v>
      </x:c>
      <x:c r="F15" s="9" t="n">
        <x:v>1715500</x:v>
      </x:c>
    </x:row>
    <x:row r="16" ht="34" customHeight="1">
      <x:c r="A16" s="4" t="str">
        <x:v>RS-00007-I3</x:v>
      </x:c>
      <x:c r="B16" s="4" t="str">
        <x:v>RS-00007</x:v>
      </x:c>
      <x:c r="C16" s="9" t="n">
        <x:v>3</x:v>
      </x:c>
      <x:c r="D16" s="8" t="n">
        <x:v>45358</x:v>
      </x:c>
      <x:c r="E16" s="9" t="n">
        <x:v>1715500</x:v>
      </x:c>
      <x:c r="F16" s="9" t="n">
        <x:v>1715500</x:v>
      </x:c>
    </x:row>
    <x:row r="17" ht="34" customHeight="1">
      <x:c r="A17" s="4" t="str">
        <x:v>RS-00007-I4</x:v>
      </x:c>
      <x:c r="B17" s="4" t="str">
        <x:v>RS-00007</x:v>
      </x:c>
      <x:c r="C17" s="9" t="n">
        <x:v>4</x:v>
      </x:c>
      <x:c r="D17" s="8" t="n">
        <x:v>45388</x:v>
      </x:c>
      <x:c r="E17" s="9" t="n">
        <x:v>1715500</x:v>
      </x:c>
      <x:c r="F17" s="9" t="n">
        <x:v>1715500</x:v>
      </x:c>
    </x:row>
    <x:row r="18" ht="34" customHeight="1">
      <x:c r="A18" s="4" t="str">
        <x:v>RS-00009-I1</x:v>
      </x:c>
      <x:c r="B18" s="4" t="str">
        <x:v>RS-00009</x:v>
      </x:c>
      <x:c r="C18" s="9" t="n">
        <x:v>1</x:v>
      </x:c>
      <x:c r="D18" s="8" t="n">
        <x:v>45300</x:v>
      </x:c>
      <x:c r="E18" s="9" t="n">
        <x:v>2596000</x:v>
      </x:c>
      <x:c r="F18" s="9" t="n">
        <x:v>2596000</x:v>
      </x:c>
    </x:row>
    <x:row r="19" ht="34" customHeight="1">
      <x:c r="A19" s="4" t="str">
        <x:v>RS-00009-I2</x:v>
      </x:c>
      <x:c r="B19" s="4" t="str">
        <x:v>RS-00009</x:v>
      </x:c>
      <x:c r="C19" s="9" t="n">
        <x:v>2</x:v>
      </x:c>
      <x:c r="D19" s="8" t="n">
        <x:v>45330</x:v>
      </x:c>
      <x:c r="E19" s="9" t="n">
        <x:v>2596000</x:v>
      </x:c>
      <x:c r="F19" s="9" t="n">
        <x:v>2596000</x:v>
      </x:c>
    </x:row>
    <x:row r="20" ht="34" customHeight="1">
      <x:c r="A20" s="4" t="str">
        <x:v>RS-00009-I3</x:v>
      </x:c>
      <x:c r="B20" s="4" t="str">
        <x:v>RS-00009</x:v>
      </x:c>
      <x:c r="C20" s="9" t="n">
        <x:v>3</x:v>
      </x:c>
      <x:c r="D20" s="8" t="n">
        <x:v>45360</x:v>
      </x:c>
      <x:c r="E20" s="9" t="n">
        <x:v>2596000</x:v>
      </x:c>
      <x:c r="F20" s="9" t="n">
        <x:v>2596000</x:v>
      </x:c>
    </x:row>
    <x:row r="21" ht="34" customHeight="1">
      <x:c r="A21" s="4" t="str">
        <x:v>RS-00009-I4</x:v>
      </x:c>
      <x:c r="B21" s="4" t="str">
        <x:v>RS-00009</x:v>
      </x:c>
      <x:c r="C21" s="9" t="n">
        <x:v>4</x:v>
      </x:c>
      <x:c r="D21" s="8" t="n">
        <x:v>45390</x:v>
      </x:c>
      <x:c r="E21" s="9" t="n">
        <x:v>2596000</x:v>
      </x:c>
      <x:c r="F21" s="9" t="n">
        <x:v>2596000</x:v>
      </x:c>
    </x:row>
    <x:row r="22" ht="34" customHeight="1">
      <x:c r="A22" s="4" t="str">
        <x:v>RS-00011-I1</x:v>
      </x:c>
      <x:c r="B22" s="4" t="str">
        <x:v>RS-00011</x:v>
      </x:c>
      <x:c r="C22" s="9" t="n">
        <x:v>1</x:v>
      </x:c>
      <x:c r="D22" s="8" t="n">
        <x:v>45302</x:v>
      </x:c>
      <x:c r="E22" s="9" t="n">
        <x:v>1806750</x:v>
      </x:c>
      <x:c r="F22" s="9" t="n">
        <x:v>1806750</x:v>
      </x:c>
    </x:row>
    <x:row r="23" ht="34" customHeight="1">
      <x:c r="A23" s="4" t="str">
        <x:v>RS-00011-I2</x:v>
      </x:c>
      <x:c r="B23" s="4" t="str">
        <x:v>RS-00011</x:v>
      </x:c>
      <x:c r="C23" s="9" t="n">
        <x:v>2</x:v>
      </x:c>
      <x:c r="D23" s="8" t="n">
        <x:v>45332</x:v>
      </x:c>
      <x:c r="E23" s="9" t="n">
        <x:v>1806750</x:v>
      </x:c>
      <x:c r="F23" s="9" t="n">
        <x:v>1806750</x:v>
      </x:c>
    </x:row>
    <x:row r="24" ht="34" customHeight="1">
      <x:c r="A24" s="4" t="str">
        <x:v>RS-00011-I3</x:v>
      </x:c>
      <x:c r="B24" s="4" t="str">
        <x:v>RS-00011</x:v>
      </x:c>
      <x:c r="C24" s="9" t="n">
        <x:v>3</x:v>
      </x:c>
      <x:c r="D24" s="8" t="n">
        <x:v>45362</x:v>
      </x:c>
      <x:c r="E24" s="9" t="n">
        <x:v>1806750</x:v>
      </x:c>
      <x:c r="F24" s="9" t="n">
        <x:v>1806750</x:v>
      </x:c>
    </x:row>
    <x:row r="25" ht="34" customHeight="1">
      <x:c r="A25" s="4" t="str">
        <x:v>RS-00011-I4</x:v>
      </x:c>
      <x:c r="B25" s="4" t="str">
        <x:v>RS-00011</x:v>
      </x:c>
      <x:c r="C25" s="9" t="n">
        <x:v>4</x:v>
      </x:c>
      <x:c r="D25" s="8" t="n">
        <x:v>45392</x:v>
      </x:c>
      <x:c r="E25" s="9" t="n">
        <x:v>1806750</x:v>
      </x:c>
      <x:c r="F25" s="9" t="n">
        <x:v>1806750</x:v>
      </x:c>
    </x:row>
    <x:row r="26" ht="34" customHeight="1">
      <x:c r="A26" s="4" t="str">
        <x:v>RS-00013-I1</x:v>
      </x:c>
      <x:c r="B26" s="4" t="str">
        <x:v>RS-00013</x:v>
      </x:c>
      <x:c r="C26" s="9" t="n">
        <x:v>1</x:v>
      </x:c>
      <x:c r="D26" s="8" t="n">
        <x:v>45304</x:v>
      </x:c>
      <x:c r="E26" s="9" t="n">
        <x:v>1543750</x:v>
      </x:c>
      <x:c r="F26" s="9" t="n">
        <x:v>1543750</x:v>
      </x:c>
    </x:row>
    <x:row r="27" ht="34" customHeight="1">
      <x:c r="A27" s="4" t="str">
        <x:v>RS-00013-I2</x:v>
      </x:c>
      <x:c r="B27" s="4" t="str">
        <x:v>RS-00013</x:v>
      </x:c>
      <x:c r="C27" s="9" t="n">
        <x:v>2</x:v>
      </x:c>
      <x:c r="D27" s="8" t="n">
        <x:v>45334</x:v>
      </x:c>
      <x:c r="E27" s="9" t="n">
        <x:v>1543750</x:v>
      </x:c>
      <x:c r="F27" s="9" t="n">
        <x:v>0</x:v>
      </x:c>
    </x:row>
    <x:row r="28" ht="34" customHeight="1">
      <x:c r="A28" s="4" t="str">
        <x:v>RS-00013-I3</x:v>
      </x:c>
      <x:c r="B28" s="4" t="str">
        <x:v>RS-00013</x:v>
      </x:c>
      <x:c r="C28" s="9" t="n">
        <x:v>3</x:v>
      </x:c>
      <x:c r="D28" s="8" t="n">
        <x:v>45364</x:v>
      </x:c>
      <x:c r="E28" s="9" t="n">
        <x:v>1543750</x:v>
      </x:c>
      <x:c r="F28" s="9" t="n">
        <x:v>0</x:v>
      </x:c>
    </x:row>
    <x:row r="29" ht="34" customHeight="1">
      <x:c r="A29" s="4" t="str">
        <x:v>RS-00013-I4</x:v>
      </x:c>
      <x:c r="B29" s="4" t="str">
        <x:v>RS-00013</x:v>
      </x:c>
      <x:c r="C29" s="9" t="n">
        <x:v>4</x:v>
      </x:c>
      <x:c r="D29" s="8" t="n">
        <x:v>45394</x:v>
      </x:c>
      <x:c r="E29" s="9" t="n">
        <x:v>1543750</x:v>
      </x:c>
      <x:c r="F29" s="9" t="n">
        <x:v>0</x:v>
      </x:c>
    </x:row>
    <x:row r="30" ht="34" customHeight="1">
      <x:c r="A30" s="4" t="str">
        <x:v>RS-00015-I1</x:v>
      </x:c>
      <x:c r="B30" s="4" t="str">
        <x:v>RS-00015</x:v>
      </x:c>
      <x:c r="C30" s="9" t="n">
        <x:v>1</x:v>
      </x:c>
      <x:c r="D30" s="8" t="n">
        <x:v>45306</x:v>
      </x:c>
      <x:c r="E30" s="9" t="n">
        <x:v>4999500</x:v>
      </x:c>
      <x:c r="F30" s="9" t="n">
        <x:v>1999800</x:v>
      </x:c>
    </x:row>
    <x:row r="31" ht="34" customHeight="1">
      <x:c r="A31" s="4" t="str">
        <x:v>RS-00015-I2</x:v>
      </x:c>
      <x:c r="B31" s="4" t="str">
        <x:v>RS-00015</x:v>
      </x:c>
      <x:c r="C31" s="9" t="n">
        <x:v>2</x:v>
      </x:c>
      <x:c r="D31" s="8" t="n">
        <x:v>45336</x:v>
      </x:c>
      <x:c r="E31" s="9" t="n">
        <x:v>4999500</x:v>
      </x:c>
      <x:c r="F31" s="9" t="n">
        <x:v>0</x:v>
      </x:c>
    </x:row>
    <x:row r="32" ht="34" customHeight="1">
      <x:c r="A32" s="4" t="str">
        <x:v>RS-00015-I3</x:v>
      </x:c>
      <x:c r="B32" s="4" t="str">
        <x:v>RS-00015</x:v>
      </x:c>
      <x:c r="C32" s="9" t="n">
        <x:v>3</x:v>
      </x:c>
      <x:c r="D32" s="8" t="n">
        <x:v>45366</x:v>
      </x:c>
      <x:c r="E32" s="9" t="n">
        <x:v>4999500</x:v>
      </x:c>
      <x:c r="F32" s="9" t="n">
        <x:v>0</x:v>
      </x:c>
    </x:row>
    <x:row r="33" ht="34" customHeight="1">
      <x:c r="A33" s="4" t="str">
        <x:v>RS-00015-I4</x:v>
      </x:c>
      <x:c r="B33" s="4" t="str">
        <x:v>RS-00015</x:v>
      </x:c>
      <x:c r="C33" s="9" t="n">
        <x:v>4</x:v>
      </x:c>
      <x:c r="D33" s="8" t="n">
        <x:v>45396</x:v>
      </x:c>
      <x:c r="E33" s="9" t="n">
        <x:v>4999500</x:v>
      </x:c>
      <x:c r="F33" s="9" t="n">
        <x:v>0</x:v>
      </x:c>
    </x:row>
    <x:row r="34" ht="34" customHeight="1">
      <x:c r="A34" s="4" t="str">
        <x:v>RS-00017-I1</x:v>
      </x:c>
      <x:c r="B34" s="4" t="str">
        <x:v>RS-00017</x:v>
      </x:c>
      <x:c r="C34" s="9" t="n">
        <x:v>1</x:v>
      </x:c>
      <x:c r="D34" s="8" t="n">
        <x:v>45308</x:v>
      </x:c>
      <x:c r="E34" s="9" t="n">
        <x:v>4686500</x:v>
      </x:c>
      <x:c r="F34" s="9" t="n">
        <x:v>4686500</x:v>
      </x:c>
    </x:row>
    <x:row r="35" ht="34" customHeight="1">
      <x:c r="A35" s="4" t="str">
        <x:v>RS-00017-I2</x:v>
      </x:c>
      <x:c r="B35" s="4" t="str">
        <x:v>RS-00017</x:v>
      </x:c>
      <x:c r="C35" s="9" t="n">
        <x:v>2</x:v>
      </x:c>
      <x:c r="D35" s="8" t="n">
        <x:v>45338</x:v>
      </x:c>
      <x:c r="E35" s="9" t="n">
        <x:v>4686500</x:v>
      </x:c>
      <x:c r="F35" s="9" t="n">
        <x:v>4686500</x:v>
      </x:c>
    </x:row>
    <x:row r="36" ht="34" customHeight="1">
      <x:c r="A36" s="4" t="str">
        <x:v>RS-00017-I3</x:v>
      </x:c>
      <x:c r="B36" s="4" t="str">
        <x:v>RS-00017</x:v>
      </x:c>
      <x:c r="C36" s="9" t="n">
        <x:v>3</x:v>
      </x:c>
      <x:c r="D36" s="8" t="n">
        <x:v>45368</x:v>
      </x:c>
      <x:c r="E36" s="9" t="n">
        <x:v>4686500</x:v>
      </x:c>
      <x:c r="F36" s="9" t="n">
        <x:v>0</x:v>
      </x:c>
    </x:row>
    <x:row r="37" ht="34" customHeight="1">
      <x:c r="A37" s="4" t="str">
        <x:v>RS-00017-I4</x:v>
      </x:c>
      <x:c r="B37" s="4" t="str">
        <x:v>RS-00017</x:v>
      </x:c>
      <x:c r="C37" s="9" t="n">
        <x:v>4</x:v>
      </x:c>
      <x:c r="D37" s="8" t="n">
        <x:v>45398</x:v>
      </x:c>
      <x:c r="E37" s="9" t="n">
        <x:v>4686500</x:v>
      </x:c>
      <x:c r="F37" s="9" t="n">
        <x:v>0</x:v>
      </x:c>
    </x:row>
    <x:row r="38" ht="34" customHeight="1">
      <x:c r="A38" s="4" t="str">
        <x:v>RS-00022-I1</x:v>
      </x:c>
      <x:c r="B38" s="4" t="str">
        <x:v>RS-00022</x:v>
      </x:c>
      <x:c r="C38" s="9" t="n">
        <x:v>1</x:v>
      </x:c>
      <x:c r="D38" s="8" t="n">
        <x:v>45313</x:v>
      </x:c>
      <x:c r="E38" s="9" t="n">
        <x:v>4512000</x:v>
      </x:c>
      <x:c r="F38" s="9" t="n">
        <x:v>1804800</x:v>
      </x:c>
    </x:row>
    <x:row r="39" ht="34" customHeight="1">
      <x:c r="A39" s="4" t="str">
        <x:v>RS-00022-I2</x:v>
      </x:c>
      <x:c r="B39" s="4" t="str">
        <x:v>RS-00022</x:v>
      </x:c>
      <x:c r="C39" s="9" t="n">
        <x:v>2</x:v>
      </x:c>
      <x:c r="D39" s="8" t="n">
        <x:v>45343</x:v>
      </x:c>
      <x:c r="E39" s="9" t="n">
        <x:v>4512000</x:v>
      </x:c>
      <x:c r="F39" s="9" t="n">
        <x:v>0</x:v>
      </x:c>
    </x:row>
    <x:row r="40" ht="34" customHeight="1">
      <x:c r="A40" s="4" t="str">
        <x:v>RS-00022-I3</x:v>
      </x:c>
      <x:c r="B40" s="4" t="str">
        <x:v>RS-00022</x:v>
      </x:c>
      <x:c r="C40" s="9" t="n">
        <x:v>3</x:v>
      </x:c>
      <x:c r="D40" s="8" t="n">
        <x:v>45373</x:v>
      </x:c>
      <x:c r="E40" s="9" t="n">
        <x:v>4512000</x:v>
      </x:c>
      <x:c r="F40" s="9" t="n">
        <x:v>0</x:v>
      </x:c>
    </x:row>
    <x:row r="41" ht="34" customHeight="1">
      <x:c r="A41" s="4" t="str">
        <x:v>RS-00022-I4</x:v>
      </x:c>
      <x:c r="B41" s="4" t="str">
        <x:v>RS-00022</x:v>
      </x:c>
      <x:c r="C41" s="9" t="n">
        <x:v>4</x:v>
      </x:c>
      <x:c r="D41" s="8" t="n">
        <x:v>45403</x:v>
      </x:c>
      <x:c r="E41" s="9" t="n">
        <x:v>4512000</x:v>
      </x:c>
      <x:c r="F41" s="9" t="n">
        <x:v>0</x:v>
      </x:c>
    </x:row>
    <x:row r="42" ht="34" customHeight="1">
      <x:c r="A42" s="4" t="str">
        <x:v>RS-00024-I1</x:v>
      </x:c>
      <x:c r="B42" s="4" t="str">
        <x:v>RS-00024</x:v>
      </x:c>
      <x:c r="C42" s="9" t="n">
        <x:v>1</x:v>
      </x:c>
      <x:c r="D42" s="8" t="n">
        <x:v>45315</x:v>
      </x:c>
      <x:c r="E42" s="9" t="n">
        <x:v>5000000</x:v>
      </x:c>
      <x:c r="F42" s="9" t="n">
        <x:v>2000000</x:v>
      </x:c>
    </x:row>
    <x:row r="43" ht="34" customHeight="1">
      <x:c r="A43" s="4" t="str">
        <x:v>RS-00024-I2</x:v>
      </x:c>
      <x:c r="B43" s="4" t="str">
        <x:v>RS-00024</x:v>
      </x:c>
      <x:c r="C43" s="9" t="n">
        <x:v>2</x:v>
      </x:c>
      <x:c r="D43" s="8" t="n">
        <x:v>45345</x:v>
      </x:c>
      <x:c r="E43" s="9" t="n">
        <x:v>5000000</x:v>
      </x:c>
      <x:c r="F43" s="9" t="n">
        <x:v>0</x:v>
      </x:c>
    </x:row>
    <x:row r="44" ht="34" customHeight="1">
      <x:c r="A44" s="4" t="str">
        <x:v>RS-00024-I3</x:v>
      </x:c>
      <x:c r="B44" s="4" t="str">
        <x:v>RS-00024</x:v>
      </x:c>
      <x:c r="C44" s="9" t="n">
        <x:v>3</x:v>
      </x:c>
      <x:c r="D44" s="8" t="n">
        <x:v>45375</x:v>
      </x:c>
      <x:c r="E44" s="9" t="n">
        <x:v>5000000</x:v>
      </x:c>
      <x:c r="F44" s="9" t="n">
        <x:v>0</x:v>
      </x:c>
    </x:row>
    <x:row r="45" ht="34" customHeight="1">
      <x:c r="A45" s="4" t="str">
        <x:v>RS-00024-I4</x:v>
      </x:c>
      <x:c r="B45" s="4" t="str">
        <x:v>RS-00024</x:v>
      </x:c>
      <x:c r="C45" s="9" t="n">
        <x:v>4</x:v>
      </x:c>
      <x:c r="D45" s="8" t="n">
        <x:v>45405</x:v>
      </x:c>
      <x:c r="E45" s="9" t="n">
        <x:v>5000000</x:v>
      </x:c>
      <x:c r="F45" s="9" t="n">
        <x:v>0</x:v>
      </x:c>
    </x:row>
    <x:row r="46" ht="34" customHeight="1">
      <x:c r="A46" s="4" t="str">
        <x:v>RS-00026-I1</x:v>
      </x:c>
      <x:c r="B46" s="4" t="str">
        <x:v>RS-00026</x:v>
      </x:c>
      <x:c r="C46" s="9" t="n">
        <x:v>1</x:v>
      </x:c>
      <x:c r="D46" s="8" t="n">
        <x:v>45317</x:v>
      </x:c>
      <x:c r="E46" s="9" t="n">
        <x:v>6038250</x:v>
      </x:c>
      <x:c r="F46" s="9" t="n">
        <x:v>6038250</x:v>
      </x:c>
    </x:row>
    <x:row r="47" ht="34" customHeight="1">
      <x:c r="A47" s="4" t="str">
        <x:v>RS-00026-I2</x:v>
      </x:c>
      <x:c r="B47" s="4" t="str">
        <x:v>RS-00026</x:v>
      </x:c>
      <x:c r="C47" s="9" t="n">
        <x:v>2</x:v>
      </x:c>
      <x:c r="D47" s="8" t="n">
        <x:v>45347</x:v>
      </x:c>
      <x:c r="E47" s="9" t="n">
        <x:v>6038250</x:v>
      </x:c>
      <x:c r="F47" s="9" t="n">
        <x:v>0</x:v>
      </x:c>
    </x:row>
    <x:row r="48" ht="34" customHeight="1">
      <x:c r="A48" s="4" t="str">
        <x:v>RS-00026-I3</x:v>
      </x:c>
      <x:c r="B48" s="4" t="str">
        <x:v>RS-00026</x:v>
      </x:c>
      <x:c r="C48" s="9" t="n">
        <x:v>3</x:v>
      </x:c>
      <x:c r="D48" s="8" t="n">
        <x:v>45377</x:v>
      </x:c>
      <x:c r="E48" s="9" t="n">
        <x:v>6038250</x:v>
      </x:c>
      <x:c r="F48" s="9" t="n">
        <x:v>0</x:v>
      </x:c>
    </x:row>
    <x:row r="49" ht="34" customHeight="1">
      <x:c r="A49" s="4" t="str">
        <x:v>RS-00026-I4</x:v>
      </x:c>
      <x:c r="B49" s="4" t="str">
        <x:v>RS-00026</x:v>
      </x:c>
      <x:c r="C49" s="9" t="n">
        <x:v>4</x:v>
      </x:c>
      <x:c r="D49" s="8" t="n">
        <x:v>45407</x:v>
      </x:c>
      <x:c r="E49" s="9" t="n">
        <x:v>6038250</x:v>
      </x:c>
      <x:c r="F49" s="9" t="n">
        <x:v>0</x:v>
      </x:c>
    </x:row>
    <x:row r="50" ht="34" customHeight="1">
      <x:c r="A50" s="4" t="str">
        <x:v>RS-00027-I1</x:v>
      </x:c>
      <x:c r="B50" s="4" t="str">
        <x:v>RS-00027</x:v>
      </x:c>
      <x:c r="C50" s="9" t="n">
        <x:v>1</x:v>
      </x:c>
      <x:c r="D50" s="8" t="n">
        <x:v>45318</x:v>
      </x:c>
      <x:c r="E50" s="9" t="n">
        <x:v>5438750</x:v>
      </x:c>
      <x:c r="F50" s="9" t="n">
        <x:v>5438750</x:v>
      </x:c>
    </x:row>
    <x:row r="51" ht="34" customHeight="1">
      <x:c r="A51" s="4" t="str">
        <x:v>RS-00027-I2</x:v>
      </x:c>
      <x:c r="B51" s="4" t="str">
        <x:v>RS-00027</x:v>
      </x:c>
      <x:c r="C51" s="9" t="n">
        <x:v>2</x:v>
      </x:c>
      <x:c r="D51" s="8" t="n">
        <x:v>45348</x:v>
      </x:c>
      <x:c r="E51" s="9" t="n">
        <x:v>5438750</x:v>
      </x:c>
      <x:c r="F51" s="9" t="n">
        <x:v>5438750</x:v>
      </x:c>
    </x:row>
    <x:row r="52" ht="34" customHeight="1">
      <x:c r="A52" s="4" t="str">
        <x:v>RS-00027-I3</x:v>
      </x:c>
      <x:c r="B52" s="4" t="str">
        <x:v>RS-00027</x:v>
      </x:c>
      <x:c r="C52" s="9" t="n">
        <x:v>3</x:v>
      </x:c>
      <x:c r="D52" s="8" t="n">
        <x:v>45378</x:v>
      </x:c>
      <x:c r="E52" s="9" t="n">
        <x:v>5438750</x:v>
      </x:c>
      <x:c r="F52" s="9" t="n">
        <x:v>0</x:v>
      </x:c>
    </x:row>
    <x:row r="53" ht="34" customHeight="1">
      <x:c r="A53" s="4" t="str">
        <x:v>RS-00027-I4</x:v>
      </x:c>
      <x:c r="B53" s="4" t="str">
        <x:v>RS-00027</x:v>
      </x:c>
      <x:c r="C53" s="9" t="n">
        <x:v>4</x:v>
      </x:c>
      <x:c r="D53" s="8" t="n">
        <x:v>45408</x:v>
      </x:c>
      <x:c r="E53" s="9" t="n">
        <x:v>5438750</x:v>
      </x:c>
      <x:c r="F53" s="9" t="n">
        <x:v>0</x:v>
      </x:c>
    </x:row>
    <x:row r="54" ht="34" customHeight="1">
      <x:c r="A54" s="4" t="str">
        <x:v>RS-00033-I1</x:v>
      </x:c>
      <x:c r="B54" s="4" t="str">
        <x:v>RS-00033</x:v>
      </x:c>
      <x:c r="C54" s="9" t="n">
        <x:v>1</x:v>
      </x:c>
      <x:c r="D54" s="8" t="n">
        <x:v>45296</x:v>
      </x:c>
      <x:c r="E54" s="9" t="n">
        <x:v>5175000</x:v>
      </x:c>
      <x:c r="F54" s="9" t="n">
        <x:v>5175000</x:v>
      </x:c>
    </x:row>
    <x:row r="55" ht="34" customHeight="1">
      <x:c r="A55" s="4" t="str">
        <x:v>RS-00033-I2</x:v>
      </x:c>
      <x:c r="B55" s="4" t="str">
        <x:v>RS-00033</x:v>
      </x:c>
      <x:c r="C55" s="9" t="n">
        <x:v>2</x:v>
      </x:c>
      <x:c r="D55" s="8" t="n">
        <x:v>45326</x:v>
      </x:c>
      <x:c r="E55" s="9" t="n">
        <x:v>5175000</x:v>
      </x:c>
      <x:c r="F55" s="9" t="n">
        <x:v>5175000</x:v>
      </x:c>
    </x:row>
    <x:row r="56" ht="34" customHeight="1">
      <x:c r="A56" s="4" t="str">
        <x:v>RS-00033-I3</x:v>
      </x:c>
      <x:c r="B56" s="4" t="str">
        <x:v>RS-00033</x:v>
      </x:c>
      <x:c r="C56" s="9" t="n">
        <x:v>3</x:v>
      </x:c>
      <x:c r="D56" s="8" t="n">
        <x:v>45356</x:v>
      </x:c>
      <x:c r="E56" s="9" t="n">
        <x:v>5175000</x:v>
      </x:c>
      <x:c r="F56" s="9" t="n">
        <x:v>5175000</x:v>
      </x:c>
    </x:row>
    <x:row r="57" ht="34" customHeight="1">
      <x:c r="A57" s="4" t="str">
        <x:v>RS-00033-I4</x:v>
      </x:c>
      <x:c r="B57" s="4" t="str">
        <x:v>RS-00033</x:v>
      </x:c>
      <x:c r="C57" s="9" t="n">
        <x:v>4</x:v>
      </x:c>
      <x:c r="D57" s="8" t="n">
        <x:v>45386</x:v>
      </x:c>
      <x:c r="E57" s="9" t="n">
        <x:v>5175000</x:v>
      </x:c>
      <x:c r="F57" s="9" t="n">
        <x:v>5175000</x:v>
      </x:c>
    </x:row>
    <x:row r="58" ht="34" customHeight="1">
      <x:c r="A58" s="4" t="str">
        <x:v>RS-00041-I1</x:v>
      </x:c>
      <x:c r="B58" s="4" t="str">
        <x:v>RS-00041</x:v>
      </x:c>
      <x:c r="C58" s="9" t="n">
        <x:v>1</x:v>
      </x:c>
      <x:c r="D58" s="8" t="n">
        <x:v>45304</x:v>
      </x:c>
      <x:c r="E58" s="9" t="n">
        <x:v>5170000</x:v>
      </x:c>
      <x:c r="F58" s="9" t="n">
        <x:v>5170000</x:v>
      </x:c>
    </x:row>
    <x:row r="59" ht="34" customHeight="1">
      <x:c r="A59" s="4" t="str">
        <x:v>RS-00041-I2</x:v>
      </x:c>
      <x:c r="B59" s="4" t="str">
        <x:v>RS-00041</x:v>
      </x:c>
      <x:c r="C59" s="9" t="n">
        <x:v>2</x:v>
      </x:c>
      <x:c r="D59" s="8" t="n">
        <x:v>45334</x:v>
      </x:c>
      <x:c r="E59" s="9" t="n">
        <x:v>5170000</x:v>
      </x:c>
      <x:c r="F59" s="9" t="n">
        <x:v>0</x:v>
      </x:c>
    </x:row>
    <x:row r="60" ht="34" customHeight="1">
      <x:c r="A60" s="4" t="str">
        <x:v>RS-00041-I3</x:v>
      </x:c>
      <x:c r="B60" s="4" t="str">
        <x:v>RS-00041</x:v>
      </x:c>
      <x:c r="C60" s="9" t="n">
        <x:v>3</x:v>
      </x:c>
      <x:c r="D60" s="8" t="n">
        <x:v>45364</x:v>
      </x:c>
      <x:c r="E60" s="9" t="n">
        <x:v>5170000</x:v>
      </x:c>
      <x:c r="F60" s="9" t="n">
        <x:v>0</x:v>
      </x:c>
    </x:row>
    <x:row r="61" ht="34" customHeight="1">
      <x:c r="A61" s="4" t="str">
        <x:v>RS-00041-I4</x:v>
      </x:c>
      <x:c r="B61" s="4" t="str">
        <x:v>RS-00041</x:v>
      </x:c>
      <x:c r="C61" s="9" t="n">
        <x:v>4</x:v>
      </x:c>
      <x:c r="D61" s="8" t="n">
        <x:v>45394</x:v>
      </x:c>
      <x:c r="E61" s="9" t="n">
        <x:v>5170000</x:v>
      </x:c>
      <x:c r="F61" s="9" t="n">
        <x:v>0</x:v>
      </x:c>
    </x:row>
    <x:row r="62" ht="34" customHeight="1">
      <x:c r="A62" s="4" t="str">
        <x:v>RS-00042-I1</x:v>
      </x:c>
      <x:c r="B62" s="4" t="str">
        <x:v>RS-00042</x:v>
      </x:c>
      <x:c r="C62" s="9" t="n">
        <x:v>1</x:v>
      </x:c>
      <x:c r="D62" s="8" t="n">
        <x:v>45305</x:v>
      </x:c>
      <x:c r="E62" s="9" t="n">
        <x:v>1702000</x:v>
      </x:c>
      <x:c r="F62" s="9" t="n">
        <x:v>680800</x:v>
      </x:c>
    </x:row>
    <x:row r="63" ht="34" customHeight="1">
      <x:c r="A63" s="4" t="str">
        <x:v>RS-00042-I2</x:v>
      </x:c>
      <x:c r="B63" s="4" t="str">
        <x:v>RS-00042</x:v>
      </x:c>
      <x:c r="C63" s="9" t="n">
        <x:v>2</x:v>
      </x:c>
      <x:c r="D63" s="8" t="n">
        <x:v>45335</x:v>
      </x:c>
      <x:c r="E63" s="9" t="n">
        <x:v>1702000</x:v>
      </x:c>
      <x:c r="F63" s="9" t="n">
        <x:v>0</x:v>
      </x:c>
    </x:row>
    <x:row r="64" ht="34" customHeight="1">
      <x:c r="A64" s="4" t="str">
        <x:v>RS-00042-I3</x:v>
      </x:c>
      <x:c r="B64" s="4" t="str">
        <x:v>RS-00042</x:v>
      </x:c>
      <x:c r="C64" s="9" t="n">
        <x:v>3</x:v>
      </x:c>
      <x:c r="D64" s="8" t="n">
        <x:v>45365</x:v>
      </x:c>
      <x:c r="E64" s="9" t="n">
        <x:v>1702000</x:v>
      </x:c>
      <x:c r="F64" s="9" t="n">
        <x:v>0</x:v>
      </x:c>
    </x:row>
    <x:row r="65" ht="34" customHeight="1">
      <x:c r="A65" s="4" t="str">
        <x:v>RS-00042-I4</x:v>
      </x:c>
      <x:c r="B65" s="4" t="str">
        <x:v>RS-00042</x:v>
      </x:c>
      <x:c r="C65" s="9" t="n">
        <x:v>4</x:v>
      </x:c>
      <x:c r="D65" s="8" t="n">
        <x:v>45395</x:v>
      </x:c>
      <x:c r="E65" s="9" t="n">
        <x:v>1702000</x:v>
      </x:c>
      <x:c r="F65" s="9" t="n">
        <x:v>0</x:v>
      </x:c>
    </x:row>
    <x:row r="66" ht="34" customHeight="1">
      <x:c r="A66" s="4" t="str">
        <x:v>RS-00043-I1</x:v>
      </x:c>
      <x:c r="B66" s="4" t="str">
        <x:v>RS-00043</x:v>
      </x:c>
      <x:c r="C66" s="9" t="n">
        <x:v>1</x:v>
      </x:c>
      <x:c r="D66" s="8" t="n">
        <x:v>45306</x:v>
      </x:c>
      <x:c r="E66" s="9" t="n">
        <x:v>4900500</x:v>
      </x:c>
      <x:c r="F66" s="9" t="n">
        <x:v>4900500</x:v>
      </x:c>
    </x:row>
    <x:row r="67" ht="34" customHeight="1">
      <x:c r="A67" s="4" t="str">
        <x:v>RS-00043-I2</x:v>
      </x:c>
      <x:c r="B67" s="4" t="str">
        <x:v>RS-00043</x:v>
      </x:c>
      <x:c r="C67" s="9" t="n">
        <x:v>2</x:v>
      </x:c>
      <x:c r="D67" s="8" t="n">
        <x:v>45336</x:v>
      </x:c>
      <x:c r="E67" s="9" t="n">
        <x:v>4900500</x:v>
      </x:c>
      <x:c r="F67" s="9" t="n">
        <x:v>4900500</x:v>
      </x:c>
    </x:row>
    <x:row r="68" ht="34" customHeight="1">
      <x:c r="A68" s="4" t="str">
        <x:v>RS-00043-I3</x:v>
      </x:c>
      <x:c r="B68" s="4" t="str">
        <x:v>RS-00043</x:v>
      </x:c>
      <x:c r="C68" s="9" t="n">
        <x:v>3</x:v>
      </x:c>
      <x:c r="D68" s="8" t="n">
        <x:v>45366</x:v>
      </x:c>
      <x:c r="E68" s="9" t="n">
        <x:v>4900500</x:v>
      </x:c>
      <x:c r="F68" s="9" t="n">
        <x:v>4900500</x:v>
      </x:c>
    </x:row>
    <x:row r="69" ht="34" customHeight="1">
      <x:c r="A69" s="4" t="str">
        <x:v>RS-00043-I4</x:v>
      </x:c>
      <x:c r="B69" s="4" t="str">
        <x:v>RS-00043</x:v>
      </x:c>
      <x:c r="C69" s="9" t="n">
        <x:v>4</x:v>
      </x:c>
      <x:c r="D69" s="8" t="n">
        <x:v>45396</x:v>
      </x:c>
      <x:c r="E69" s="9" t="n">
        <x:v>4900500</x:v>
      </x:c>
      <x:c r="F69" s="9" t="n">
        <x:v>4900500</x:v>
      </x:c>
    </x:row>
    <x:row r="70" ht="34" customHeight="1">
      <x:c r="A70" s="4" t="str">
        <x:v>RS-00047-I1</x:v>
      </x:c>
      <x:c r="B70" s="4" t="str">
        <x:v>RS-00047</x:v>
      </x:c>
      <x:c r="C70" s="9" t="n">
        <x:v>1</x:v>
      </x:c>
      <x:c r="D70" s="8" t="n">
        <x:v>45310</x:v>
      </x:c>
      <x:c r="E70" s="9" t="n">
        <x:v>2842000</x:v>
      </x:c>
      <x:c r="F70" s="9" t="n">
        <x:v>1136800</x:v>
      </x:c>
    </x:row>
    <x:row r="71" ht="34" customHeight="1">
      <x:c r="A71" s="4" t="str">
        <x:v>RS-00047-I2</x:v>
      </x:c>
      <x:c r="B71" s="4" t="str">
        <x:v>RS-00047</x:v>
      </x:c>
      <x:c r="C71" s="9" t="n">
        <x:v>2</x:v>
      </x:c>
      <x:c r="D71" s="8" t="n">
        <x:v>45340</x:v>
      </x:c>
      <x:c r="E71" s="9" t="n">
        <x:v>2842000</x:v>
      </x:c>
      <x:c r="F71" s="9" t="n">
        <x:v>0</x:v>
      </x:c>
    </x:row>
    <x:row r="72" ht="34" customHeight="1">
      <x:c r="A72" s="4" t="str">
        <x:v>RS-00047-I3</x:v>
      </x:c>
      <x:c r="B72" s="4" t="str">
        <x:v>RS-00047</x:v>
      </x:c>
      <x:c r="C72" s="9" t="n">
        <x:v>3</x:v>
      </x:c>
      <x:c r="D72" s="8" t="n">
        <x:v>45370</x:v>
      </x:c>
      <x:c r="E72" s="9" t="n">
        <x:v>2842000</x:v>
      </x:c>
      <x:c r="F72" s="9" t="n">
        <x:v>0</x:v>
      </x:c>
    </x:row>
    <x:row r="73" ht="34" customHeight="1">
      <x:c r="A73" s="4" t="str">
        <x:v>RS-00047-I4</x:v>
      </x:c>
      <x:c r="B73" s="4" t="str">
        <x:v>RS-00047</x:v>
      </x:c>
      <x:c r="C73" s="9" t="n">
        <x:v>4</x:v>
      </x:c>
      <x:c r="D73" s="8" t="n">
        <x:v>45400</x:v>
      </x:c>
      <x:c r="E73" s="9" t="n">
        <x:v>2842000</x:v>
      </x:c>
      <x:c r="F73" s="9" t="n">
        <x:v>0</x:v>
      </x:c>
    </x:row>
    <x:row r="74" ht="34" customHeight="1">
      <x:c r="A74" s="4" t="str">
        <x:v>RS-00051-I1</x:v>
      </x:c>
      <x:c r="B74" s="4" t="str">
        <x:v>RS-00051</x:v>
      </x:c>
      <x:c r="C74" s="9" t="n">
        <x:v>1</x:v>
      </x:c>
      <x:c r="D74" s="8" t="n">
        <x:v>45314</x:v>
      </x:c>
      <x:c r="E74" s="9" t="n">
        <x:v>2945250</x:v>
      </x:c>
      <x:c r="F74" s="9" t="n">
        <x:v>2945250</x:v>
      </x:c>
    </x:row>
    <x:row r="75" ht="34" customHeight="1">
      <x:c r="A75" s="4" t="str">
        <x:v>RS-00051-I2</x:v>
      </x:c>
      <x:c r="B75" s="4" t="str">
        <x:v>RS-00051</x:v>
      </x:c>
      <x:c r="C75" s="9" t="n">
        <x:v>2</x:v>
      </x:c>
      <x:c r="D75" s="8" t="n">
        <x:v>45344</x:v>
      </x:c>
      <x:c r="E75" s="9" t="n">
        <x:v>2945250</x:v>
      </x:c>
      <x:c r="F75" s="9" t="n">
        <x:v>0</x:v>
      </x:c>
    </x:row>
    <x:row r="76" ht="34" customHeight="1">
      <x:c r="A76" s="4" t="str">
        <x:v>RS-00051-I3</x:v>
      </x:c>
      <x:c r="B76" s="4" t="str">
        <x:v>RS-00051</x:v>
      </x:c>
      <x:c r="C76" s="9" t="n">
        <x:v>3</x:v>
      </x:c>
      <x:c r="D76" s="8" t="n">
        <x:v>45374</x:v>
      </x:c>
      <x:c r="E76" s="9" t="n">
        <x:v>2945250</x:v>
      </x:c>
      <x:c r="F76" s="9" t="n">
        <x:v>0</x:v>
      </x:c>
    </x:row>
    <x:row r="77" ht="34" customHeight="1">
      <x:c r="A77" s="4" t="str">
        <x:v>RS-00051-I4</x:v>
      </x:c>
      <x:c r="B77" s="4" t="str">
        <x:v>RS-00051</x:v>
      </x:c>
      <x:c r="C77" s="9" t="n">
        <x:v>4</x:v>
      </x:c>
      <x:c r="D77" s="8" t="n">
        <x:v>45404</x:v>
      </x:c>
      <x:c r="E77" s="9" t="n">
        <x:v>2945250</x:v>
      </x:c>
      <x:c r="F77" s="9" t="n">
        <x:v>0</x:v>
      </x:c>
    </x:row>
    <x:row r="78" ht="34" customHeight="1">
      <x:c r="A78" s="4" t="str">
        <x:v>RS-00052-I1</x:v>
      </x:c>
      <x:c r="B78" s="4" t="str">
        <x:v>RS-00052</x:v>
      </x:c>
      <x:c r="C78" s="9" t="n">
        <x:v>1</x:v>
      </x:c>
      <x:c r="D78" s="8" t="n">
        <x:v>45315</x:v>
      </x:c>
      <x:c r="E78" s="9" t="n">
        <x:v>2376500</x:v>
      </x:c>
      <x:c r="F78" s="9" t="n">
        <x:v>2376500</x:v>
      </x:c>
    </x:row>
    <x:row r="79" ht="34" customHeight="1">
      <x:c r="A79" s="4" t="str">
        <x:v>RS-00052-I2</x:v>
      </x:c>
      <x:c r="B79" s="4" t="str">
        <x:v>RS-00052</x:v>
      </x:c>
      <x:c r="C79" s="9" t="n">
        <x:v>2</x:v>
      </x:c>
      <x:c r="D79" s="8" t="n">
        <x:v>45345</x:v>
      </x:c>
      <x:c r="E79" s="9" t="n">
        <x:v>2376500</x:v>
      </x:c>
      <x:c r="F79" s="9" t="n">
        <x:v>2376500</x:v>
      </x:c>
    </x:row>
    <x:row r="80" ht="34" customHeight="1">
      <x:c r="A80" s="4" t="str">
        <x:v>RS-00052-I3</x:v>
      </x:c>
      <x:c r="B80" s="4" t="str">
        <x:v>RS-00052</x:v>
      </x:c>
      <x:c r="C80" s="9" t="n">
        <x:v>3</x:v>
      </x:c>
      <x:c r="D80" s="8" t="n">
        <x:v>45375</x:v>
      </x:c>
      <x:c r="E80" s="9" t="n">
        <x:v>2376500</x:v>
      </x:c>
      <x:c r="F80" s="9" t="n">
        <x:v>0</x:v>
      </x:c>
    </x:row>
    <x:row r="81" ht="34" customHeight="1">
      <x:c r="A81" s="4" t="str">
        <x:v>RS-00052-I4</x:v>
      </x:c>
      <x:c r="B81" s="4" t="str">
        <x:v>RS-00052</x:v>
      </x:c>
      <x:c r="C81" s="9" t="n">
        <x:v>4</x:v>
      </x:c>
      <x:c r="D81" s="8" t="n">
        <x:v>45405</x:v>
      </x:c>
      <x:c r="E81" s="9" t="n">
        <x:v>2376500</x:v>
      </x:c>
      <x:c r="F81" s="9" t="n">
        <x:v>0</x:v>
      </x:c>
    </x:row>
    <x:row r="82" ht="34" customHeight="1">
      <x:c r="A82" s="4" t="str">
        <x:v>RS-00053-I1</x:v>
      </x:c>
      <x:c r="B82" s="4" t="str">
        <x:v>RS-00053</x:v>
      </x:c>
      <x:c r="C82" s="9" t="n">
        <x:v>1</x:v>
      </x:c>
      <x:c r="D82" s="8" t="n">
        <x:v>45316</x:v>
      </x:c>
      <x:c r="E82" s="9" t="n">
        <x:v>2961000</x:v>
      </x:c>
      <x:c r="F82" s="9" t="n">
        <x:v>2961000</x:v>
      </x:c>
    </x:row>
    <x:row r="83" ht="34" customHeight="1">
      <x:c r="A83" s="4" t="str">
        <x:v>RS-00053-I2</x:v>
      </x:c>
      <x:c r="B83" s="4" t="str">
        <x:v>RS-00053</x:v>
      </x:c>
      <x:c r="C83" s="9" t="n">
        <x:v>2</x:v>
      </x:c>
      <x:c r="D83" s="8" t="n">
        <x:v>45346</x:v>
      </x:c>
      <x:c r="E83" s="9" t="n">
        <x:v>2961000</x:v>
      </x:c>
      <x:c r="F83" s="9" t="n">
        <x:v>2961000</x:v>
      </x:c>
    </x:row>
    <x:row r="84" ht="34" customHeight="1">
      <x:c r="A84" s="4" t="str">
        <x:v>RS-00053-I3</x:v>
      </x:c>
      <x:c r="B84" s="4" t="str">
        <x:v>RS-00053</x:v>
      </x:c>
      <x:c r="C84" s="9" t="n">
        <x:v>3</x:v>
      </x:c>
      <x:c r="D84" s="8" t="n">
        <x:v>45376</x:v>
      </x:c>
      <x:c r="E84" s="9" t="n">
        <x:v>2961000</x:v>
      </x:c>
      <x:c r="F84" s="9" t="n">
        <x:v>2961000</x:v>
      </x:c>
    </x:row>
    <x:row r="85" ht="34" customHeight="1">
      <x:c r="A85" s="4" t="str">
        <x:v>RS-00053-I4</x:v>
      </x:c>
      <x:c r="B85" s="4" t="str">
        <x:v>RS-00053</x:v>
      </x:c>
      <x:c r="C85" s="9" t="n">
        <x:v>4</x:v>
      </x:c>
      <x:c r="D85" s="8" t="n">
        <x:v>45406</x:v>
      </x:c>
      <x:c r="E85" s="9" t="n">
        <x:v>2961000</x:v>
      </x:c>
      <x:c r="F85" s="9" t="n">
        <x:v>2961000</x:v>
      </x:c>
    </x:row>
    <x:row r="86" ht="34" customHeight="1">
      <x:c r="A86" s="4" t="str">
        <x:v>RS-00054-I1</x:v>
      </x:c>
      <x:c r="B86" s="4" t="str">
        <x:v>RS-00054</x:v>
      </x:c>
      <x:c r="C86" s="9" t="n">
        <x:v>1</x:v>
      </x:c>
      <x:c r="D86" s="8" t="n">
        <x:v>45317</x:v>
      </x:c>
      <x:c r="E86" s="9" t="n">
        <x:v>4824000</x:v>
      </x:c>
      <x:c r="F86" s="9" t="n">
        <x:v>4824000</x:v>
      </x:c>
    </x:row>
    <x:row r="87" ht="34" customHeight="1">
      <x:c r="A87" s="4" t="str">
        <x:v>RS-00054-I2</x:v>
      </x:c>
      <x:c r="B87" s="4" t="str">
        <x:v>RS-00054</x:v>
      </x:c>
      <x:c r="C87" s="9" t="n">
        <x:v>2</x:v>
      </x:c>
      <x:c r="D87" s="8" t="n">
        <x:v>45347</x:v>
      </x:c>
      <x:c r="E87" s="9" t="n">
        <x:v>4824000</x:v>
      </x:c>
      <x:c r="F87" s="9" t="n">
        <x:v>0</x:v>
      </x:c>
    </x:row>
    <x:row r="88" ht="34" customHeight="1">
      <x:c r="A88" s="4" t="str">
        <x:v>RS-00054-I3</x:v>
      </x:c>
      <x:c r="B88" s="4" t="str">
        <x:v>RS-00054</x:v>
      </x:c>
      <x:c r="C88" s="9" t="n">
        <x:v>3</x:v>
      </x:c>
      <x:c r="D88" s="8" t="n">
        <x:v>45377</x:v>
      </x:c>
      <x:c r="E88" s="9" t="n">
        <x:v>4824000</x:v>
      </x:c>
      <x:c r="F88" s="9" t="n">
        <x:v>0</x:v>
      </x:c>
    </x:row>
    <x:row r="89" ht="34" customHeight="1">
      <x:c r="A89" s="4" t="str">
        <x:v>RS-00054-I4</x:v>
      </x:c>
      <x:c r="B89" s="4" t="str">
        <x:v>RS-00054</x:v>
      </x:c>
      <x:c r="C89" s="9" t="n">
        <x:v>4</x:v>
      </x:c>
      <x:c r="D89" s="8" t="n">
        <x:v>45407</x:v>
      </x:c>
      <x:c r="E89" s="9" t="n">
        <x:v>4824000</x:v>
      </x:c>
      <x:c r="F89" s="9" t="n">
        <x:v>0</x:v>
      </x:c>
    </x:row>
    <x:row r="90" ht="34" customHeight="1">
      <x:c r="A90" s="4" t="str">
        <x:v>RS-00055-I1</x:v>
      </x:c>
      <x:c r="B90" s="4" t="str">
        <x:v>RS-00055</x:v>
      </x:c>
      <x:c r="C90" s="9" t="n">
        <x:v>1</x:v>
      </x:c>
      <x:c r="D90" s="8" t="n">
        <x:v>45318</x:v>
      </x:c>
      <x:c r="E90" s="9" t="n">
        <x:v>4342500</x:v>
      </x:c>
      <x:c r="F90" s="9" t="n">
        <x:v>1737000</x:v>
      </x:c>
    </x:row>
    <x:row r="91" ht="34" customHeight="1">
      <x:c r="A91" s="4" t="str">
        <x:v>RS-00055-I2</x:v>
      </x:c>
      <x:c r="B91" s="4" t="str">
        <x:v>RS-00055</x:v>
      </x:c>
      <x:c r="C91" s="9" t="n">
        <x:v>2</x:v>
      </x:c>
      <x:c r="D91" s="8" t="n">
        <x:v>45348</x:v>
      </x:c>
      <x:c r="E91" s="9" t="n">
        <x:v>4342500</x:v>
      </x:c>
      <x:c r="F91" s="9" t="n">
        <x:v>0</x:v>
      </x:c>
    </x:row>
    <x:row r="92" ht="34" customHeight="1">
      <x:c r="A92" s="4" t="str">
        <x:v>RS-00055-I3</x:v>
      </x:c>
      <x:c r="B92" s="4" t="str">
        <x:v>RS-00055</x:v>
      </x:c>
      <x:c r="C92" s="9" t="n">
        <x:v>3</x:v>
      </x:c>
      <x:c r="D92" s="8" t="n">
        <x:v>45378</x:v>
      </x:c>
      <x:c r="E92" s="9" t="n">
        <x:v>4342500</x:v>
      </x:c>
      <x:c r="F92" s="9" t="n">
        <x:v>0</x:v>
      </x:c>
    </x:row>
    <x:row r="93" ht="34" customHeight="1">
      <x:c r="A93" s="4" t="str">
        <x:v>RS-00055-I4</x:v>
      </x:c>
      <x:c r="B93" s="4" t="str">
        <x:v>RS-00055</x:v>
      </x:c>
      <x:c r="C93" s="9" t="n">
        <x:v>4</x:v>
      </x:c>
      <x:c r="D93" s="8" t="n">
        <x:v>45408</x:v>
      </x:c>
      <x:c r="E93" s="9" t="n">
        <x:v>4342500</x:v>
      </x:c>
      <x:c r="F93" s="9" t="n">
        <x:v>0</x:v>
      </x:c>
    </x:row>
    <x:row r="94" ht="34" customHeight="1">
      <x:c r="A94" s="4" t="str">
        <x:v>RS-00056-I1</x:v>
      </x:c>
      <x:c r="B94" s="4" t="str">
        <x:v>RS-00056</x:v>
      </x:c>
      <x:c r="C94" s="9" t="n">
        <x:v>1</x:v>
      </x:c>
      <x:c r="D94" s="8" t="n">
        <x:v>45319</x:v>
      </x:c>
      <x:c r="E94" s="9" t="n">
        <x:v>1842750</x:v>
      </x:c>
      <x:c r="F94" s="9" t="n">
        <x:v>1842750</x:v>
      </x:c>
    </x:row>
    <x:row r="95" ht="34" customHeight="1">
      <x:c r="A95" s="4" t="str">
        <x:v>RS-00056-I2</x:v>
      </x:c>
      <x:c r="B95" s="4" t="str">
        <x:v>RS-00056</x:v>
      </x:c>
      <x:c r="C95" s="9" t="n">
        <x:v>2</x:v>
      </x:c>
      <x:c r="D95" s="8" t="n">
        <x:v>45349</x:v>
      </x:c>
      <x:c r="E95" s="9" t="n">
        <x:v>1842750</x:v>
      </x:c>
      <x:c r="F95" s="9" t="n">
        <x:v>1842750</x:v>
      </x:c>
    </x:row>
    <x:row r="96" ht="34" customHeight="1">
      <x:c r="A96" s="4" t="str">
        <x:v>RS-00056-I3</x:v>
      </x:c>
      <x:c r="B96" s="4" t="str">
        <x:v>RS-00056</x:v>
      </x:c>
      <x:c r="C96" s="9" t="n">
        <x:v>3</x:v>
      </x:c>
      <x:c r="D96" s="8" t="n">
        <x:v>45379</x:v>
      </x:c>
      <x:c r="E96" s="9" t="n">
        <x:v>1842750</x:v>
      </x:c>
      <x:c r="F96" s="9" t="n">
        <x:v>0</x:v>
      </x:c>
    </x:row>
    <x:row r="97" ht="34" customHeight="1">
      <x:c r="A97" s="4" t="str">
        <x:v>RS-00056-I4</x:v>
      </x:c>
      <x:c r="B97" s="4" t="str">
        <x:v>RS-00056</x:v>
      </x:c>
      <x:c r="C97" s="9" t="n">
        <x:v>4</x:v>
      </x:c>
      <x:c r="D97" s="8" t="n">
        <x:v>45409</x:v>
      </x:c>
      <x:c r="E97" s="9" t="n">
        <x:v>1842750</x:v>
      </x:c>
      <x:c r="F97" s="9" t="n">
        <x:v>0</x:v>
      </x:c>
    </x:row>
    <x:row r="98" ht="34" customHeight="1">
      <x:c r="A98" s="4" t="str">
        <x:v>RS-00057-I1</x:v>
      </x:c>
      <x:c r="B98" s="4" t="str">
        <x:v>RS-00057</x:v>
      </x:c>
      <x:c r="C98" s="9" t="n">
        <x:v>1</x:v>
      </x:c>
      <x:c r="D98" s="8" t="n">
        <x:v>45292</x:v>
      </x:c>
      <x:c r="E98" s="9" t="n">
        <x:v>1069250</x:v>
      </x:c>
      <x:c r="F98" s="9" t="n">
        <x:v>427700</x:v>
      </x:c>
    </x:row>
    <x:row r="99" ht="34" customHeight="1">
      <x:c r="A99" s="4" t="str">
        <x:v>RS-00057-I2</x:v>
      </x:c>
      <x:c r="B99" s="4" t="str">
        <x:v>RS-00057</x:v>
      </x:c>
      <x:c r="C99" s="9" t="n">
        <x:v>2</x:v>
      </x:c>
      <x:c r="D99" s="8" t="n">
        <x:v>45322</x:v>
      </x:c>
      <x:c r="E99" s="9" t="n">
        <x:v>1069250</x:v>
      </x:c>
      <x:c r="F99" s="9" t="n">
        <x:v>0</x:v>
      </x:c>
    </x:row>
    <x:row r="100" ht="34" customHeight="1">
      <x:c r="A100" s="4" t="str">
        <x:v>RS-00057-I3</x:v>
      </x:c>
      <x:c r="B100" s="4" t="str">
        <x:v>RS-00057</x:v>
      </x:c>
      <x:c r="C100" s="9" t="n">
        <x:v>3</x:v>
      </x:c>
      <x:c r="D100" s="8" t="n">
        <x:v>45352</x:v>
      </x:c>
      <x:c r="E100" s="9" t="n">
        <x:v>1069250</x:v>
      </x:c>
      <x:c r="F100" s="9" t="n">
        <x:v>0</x:v>
      </x:c>
    </x:row>
    <x:row r="101" ht="34" customHeight="1">
      <x:c r="A101" s="4" t="str">
        <x:v>RS-00057-I4</x:v>
      </x:c>
      <x:c r="B101" s="4" t="str">
        <x:v>RS-00057</x:v>
      </x:c>
      <x:c r="C101" s="9" t="n">
        <x:v>4</x:v>
      </x:c>
      <x:c r="D101" s="8" t="n">
        <x:v>45382</x:v>
      </x:c>
      <x:c r="E101" s="9" t="n">
        <x:v>1069250</x:v>
      </x:c>
      <x:c r="F101" s="9" t="n">
        <x:v>0</x:v>
      </x:c>
    </x:row>
    <x:row r="102" ht="34" customHeight="1">
      <x:c r="A102" s="4" t="str">
        <x:v>RS-00058-I1</x:v>
      </x:c>
      <x:c r="B102" s="4" t="str">
        <x:v>RS-00058</x:v>
      </x:c>
      <x:c r="C102" s="9" t="n">
        <x:v>1</x:v>
      </x:c>
      <x:c r="D102" s="8" t="n">
        <x:v>45293</x:v>
      </x:c>
      <x:c r="E102" s="9" t="n">
        <x:v>2400000</x:v>
      </x:c>
      <x:c r="F102" s="9" t="n">
        <x:v>2400000</x:v>
      </x:c>
    </x:row>
    <x:row r="103" ht="34" customHeight="1">
      <x:c r="A103" s="4" t="str">
        <x:v>RS-00058-I2</x:v>
      </x:c>
      <x:c r="B103" s="4" t="str">
        <x:v>RS-00058</x:v>
      </x:c>
      <x:c r="C103" s="9" t="n">
        <x:v>2</x:v>
      </x:c>
      <x:c r="D103" s="8" t="n">
        <x:v>45323</x:v>
      </x:c>
      <x:c r="E103" s="9" t="n">
        <x:v>2400000</x:v>
      </x:c>
      <x:c r="F103" s="9" t="n">
        <x:v>2400000</x:v>
      </x:c>
    </x:row>
    <x:row r="104" ht="34" customHeight="1">
      <x:c r="A104" s="4" t="str">
        <x:v>RS-00058-I3</x:v>
      </x:c>
      <x:c r="B104" s="4" t="str">
        <x:v>RS-00058</x:v>
      </x:c>
      <x:c r="C104" s="9" t="n">
        <x:v>3</x:v>
      </x:c>
      <x:c r="D104" s="8" t="n">
        <x:v>45353</x:v>
      </x:c>
      <x:c r="E104" s="9" t="n">
        <x:v>2400000</x:v>
      </x:c>
      <x:c r="F104" s="9" t="n">
        <x:v>2400000</x:v>
      </x:c>
    </x:row>
    <x:row r="105" ht="34" customHeight="1">
      <x:c r="A105" s="4" t="str">
        <x:v>RS-00058-I4</x:v>
      </x:c>
      <x:c r="B105" s="4" t="str">
        <x:v>RS-00058</x:v>
      </x:c>
      <x:c r="C105" s="9" t="n">
        <x:v>4</x:v>
      </x:c>
      <x:c r="D105" s="8" t="n">
        <x:v>45383</x:v>
      </x:c>
      <x:c r="E105" s="9" t="n">
        <x:v>2400000</x:v>
      </x:c>
      <x:c r="F105" s="9" t="n">
        <x:v>2400000</x:v>
      </x:c>
    </x:row>
    <x:row r="106" ht="34" customHeight="1">
      <x:c r="A106" s="4" t="str">
        <x:v>RS-00065-I1</x:v>
      </x:c>
      <x:c r="B106" s="4" t="str">
        <x:v>RS-00065</x:v>
      </x:c>
      <x:c r="C106" s="9" t="n">
        <x:v>1</x:v>
      </x:c>
      <x:c r="D106" s="8" t="n">
        <x:v>45300</x:v>
      </x:c>
      <x:c r="E106" s="9" t="n">
        <x:v>3031500</x:v>
      </x:c>
      <x:c r="F106" s="9" t="n">
        <x:v>3031500</x:v>
      </x:c>
    </x:row>
    <x:row r="107" ht="34" customHeight="1">
      <x:c r="A107" s="4" t="str">
        <x:v>RS-00065-I2</x:v>
      </x:c>
      <x:c r="B107" s="4" t="str">
        <x:v>RS-00065</x:v>
      </x:c>
      <x:c r="C107" s="9" t="n">
        <x:v>2</x:v>
      </x:c>
      <x:c r="D107" s="8" t="n">
        <x:v>45330</x:v>
      </x:c>
      <x:c r="E107" s="9" t="n">
        <x:v>3031500</x:v>
      </x:c>
      <x:c r="F107" s="9" t="n">
        <x:v>3031500</x:v>
      </x:c>
    </x:row>
    <x:row r="108" ht="34" customHeight="1">
      <x:c r="A108" s="4" t="str">
        <x:v>RS-00065-I3</x:v>
      </x:c>
      <x:c r="B108" s="4" t="str">
        <x:v>RS-00065</x:v>
      </x:c>
      <x:c r="C108" s="9" t="n">
        <x:v>3</x:v>
      </x:c>
      <x:c r="D108" s="8" t="n">
        <x:v>45360</x:v>
      </x:c>
      <x:c r="E108" s="9" t="n">
        <x:v>3031500</x:v>
      </x:c>
      <x:c r="F108" s="9" t="n">
        <x:v>0</x:v>
      </x:c>
    </x:row>
    <x:row r="109" ht="34" customHeight="1">
      <x:c r="A109" s="4" t="str">
        <x:v>RS-00065-I4</x:v>
      </x:c>
      <x:c r="B109" s="4" t="str">
        <x:v>RS-00065</x:v>
      </x:c>
      <x:c r="C109" s="9" t="n">
        <x:v>4</x:v>
      </x:c>
      <x:c r="D109" s="8" t="n">
        <x:v>45390</x:v>
      </x:c>
      <x:c r="E109" s="9" t="n">
        <x:v>3031500</x:v>
      </x:c>
      <x:c r="F109" s="9" t="n">
        <x:v>0</x:v>
      </x:c>
    </x:row>
    <x:row r="110" ht="34" customHeight="1">
      <x:c r="A110" s="4" t="str">
        <x:v>RS-00066-I1</x:v>
      </x:c>
      <x:c r="B110" s="4" t="str">
        <x:v>RS-00066</x:v>
      </x:c>
      <x:c r="C110" s="9" t="n">
        <x:v>1</x:v>
      </x:c>
      <x:c r="D110" s="8" t="n">
        <x:v>45301</x:v>
      </x:c>
      <x:c r="E110" s="9" t="n">
        <x:v>1115500</x:v>
      </x:c>
      <x:c r="F110" s="9" t="n">
        <x:v>1115500</x:v>
      </x:c>
    </x:row>
    <x:row r="111" ht="34" customHeight="1">
      <x:c r="A111" s="4" t="str">
        <x:v>RS-00066-I2</x:v>
      </x:c>
      <x:c r="B111" s="4" t="str">
        <x:v>RS-00066</x:v>
      </x:c>
      <x:c r="C111" s="9" t="n">
        <x:v>2</x:v>
      </x:c>
      <x:c r="D111" s="8" t="n">
        <x:v>45331</x:v>
      </x:c>
      <x:c r="E111" s="9" t="n">
        <x:v>1115500</x:v>
      </x:c>
      <x:c r="F111" s="9" t="n">
        <x:v>1115500</x:v>
      </x:c>
    </x:row>
    <x:row r="112" ht="34" customHeight="1">
      <x:c r="A112" s="4" t="str">
        <x:v>RS-00066-I3</x:v>
      </x:c>
      <x:c r="B112" s="4" t="str">
        <x:v>RS-00066</x:v>
      </x:c>
      <x:c r="C112" s="9" t="n">
        <x:v>3</x:v>
      </x:c>
      <x:c r="D112" s="8" t="n">
        <x:v>45361</x:v>
      </x:c>
      <x:c r="E112" s="9" t="n">
        <x:v>1115500</x:v>
      </x:c>
      <x:c r="F112" s="9" t="n">
        <x:v>0</x:v>
      </x:c>
    </x:row>
    <x:row r="113" ht="34" customHeight="1">
      <x:c r="A113" s="4" t="str">
        <x:v>RS-00066-I4</x:v>
      </x:c>
      <x:c r="B113" s="4" t="str">
        <x:v>RS-00066</x:v>
      </x:c>
      <x:c r="C113" s="9" t="n">
        <x:v>4</x:v>
      </x:c>
      <x:c r="D113" s="8" t="n">
        <x:v>45391</x:v>
      </x:c>
      <x:c r="E113" s="9" t="n">
        <x:v>1115500</x:v>
      </x:c>
      <x:c r="F113" s="9" t="n">
        <x:v>0</x:v>
      </x:c>
    </x:row>
    <x:row r="114" ht="34" customHeight="1">
      <x:c r="A114" s="4" t="str">
        <x:v>RS-00069-I1</x:v>
      </x:c>
      <x:c r="B114" s="4" t="str">
        <x:v>RS-00069</x:v>
      </x:c>
      <x:c r="C114" s="9" t="n">
        <x:v>1</x:v>
      </x:c>
      <x:c r="D114" s="8" t="n">
        <x:v>45304</x:v>
      </x:c>
      <x:c r="E114" s="9" t="n">
        <x:v>3427000</x:v>
      </x:c>
      <x:c r="F114" s="9" t="n">
        <x:v>3427000</x:v>
      </x:c>
    </x:row>
    <x:row r="115" ht="34" customHeight="1">
      <x:c r="A115" s="4" t="str">
        <x:v>RS-00069-I2</x:v>
      </x:c>
      <x:c r="B115" s="4" t="str">
        <x:v>RS-00069</x:v>
      </x:c>
      <x:c r="C115" s="9" t="n">
        <x:v>2</x:v>
      </x:c>
      <x:c r="D115" s="8" t="n">
        <x:v>45334</x:v>
      </x:c>
      <x:c r="E115" s="9" t="n">
        <x:v>3427000</x:v>
      </x:c>
      <x:c r="F115" s="9" t="n">
        <x:v>3427000</x:v>
      </x:c>
    </x:row>
    <x:row r="116" ht="34" customHeight="1">
      <x:c r="A116" s="4" t="str">
        <x:v>RS-00069-I3</x:v>
      </x:c>
      <x:c r="B116" s="4" t="str">
        <x:v>RS-00069</x:v>
      </x:c>
      <x:c r="C116" s="9" t="n">
        <x:v>3</x:v>
      </x:c>
      <x:c r="D116" s="8" t="n">
        <x:v>45364</x:v>
      </x:c>
      <x:c r="E116" s="9" t="n">
        <x:v>3427000</x:v>
      </x:c>
      <x:c r="F116" s="9" t="n">
        <x:v>3427000</x:v>
      </x:c>
    </x:row>
    <x:row r="117" ht="34" customHeight="1">
      <x:c r="A117" s="4" t="str">
        <x:v>RS-00069-I4</x:v>
      </x:c>
      <x:c r="B117" s="4" t="str">
        <x:v>RS-00069</x:v>
      </x:c>
      <x:c r="C117" s="9" t="n">
        <x:v>4</x:v>
      </x:c>
      <x:c r="D117" s="8" t="n">
        <x:v>45394</x:v>
      </x:c>
      <x:c r="E117" s="9" t="n">
        <x:v>3427000</x:v>
      </x:c>
      <x:c r="F117" s="9" t="n">
        <x:v>3427000</x:v>
      </x:c>
    </x:row>
    <x:row r="118" ht="34" customHeight="1">
      <x:c r="A118" s="4" t="str">
        <x:v>RS-00073-I1</x:v>
      </x:c>
      <x:c r="B118" s="4" t="str">
        <x:v>RS-00073</x:v>
      </x:c>
      <x:c r="C118" s="9" t="n">
        <x:v>1</x:v>
      </x:c>
      <x:c r="D118" s="8" t="n">
        <x:v>45308</x:v>
      </x:c>
      <x:c r="E118" s="9" t="n">
        <x:v>1424000</x:v>
      </x:c>
      <x:c r="F118" s="9" t="n">
        <x:v>569600</x:v>
      </x:c>
    </x:row>
    <x:row r="119" ht="34" customHeight="1">
      <x:c r="A119" s="4" t="str">
        <x:v>RS-00073-I2</x:v>
      </x:c>
      <x:c r="B119" s="4" t="str">
        <x:v>RS-00073</x:v>
      </x:c>
      <x:c r="C119" s="9" t="n">
        <x:v>2</x:v>
      </x:c>
      <x:c r="D119" s="8" t="n">
        <x:v>45338</x:v>
      </x:c>
      <x:c r="E119" s="9" t="n">
        <x:v>1424000</x:v>
      </x:c>
      <x:c r="F119" s="9" t="n">
        <x:v>0</x:v>
      </x:c>
    </x:row>
    <x:row r="120" ht="34" customHeight="1">
      <x:c r="A120" s="4" t="str">
        <x:v>RS-00073-I3</x:v>
      </x:c>
      <x:c r="B120" s="4" t="str">
        <x:v>RS-00073</x:v>
      </x:c>
      <x:c r="C120" s="9" t="n">
        <x:v>3</x:v>
      </x:c>
      <x:c r="D120" s="8" t="n">
        <x:v>45368</x:v>
      </x:c>
      <x:c r="E120" s="9" t="n">
        <x:v>1424000</x:v>
      </x:c>
      <x:c r="F120" s="9" t="n">
        <x:v>0</x:v>
      </x:c>
    </x:row>
    <x:row r="121" ht="34" customHeight="1">
      <x:c r="A121" s="4" t="str">
        <x:v>RS-00073-I4</x:v>
      </x:c>
      <x:c r="B121" s="4" t="str">
        <x:v>RS-00073</x:v>
      </x:c>
      <x:c r="C121" s="9" t="n">
        <x:v>4</x:v>
      </x:c>
      <x:c r="D121" s="8" t="n">
        <x:v>45398</x:v>
      </x:c>
      <x:c r="E121" s="9" t="n">
        <x:v>1424000</x:v>
      </x:c>
      <x:c r="F121" s="9" t="n">
        <x:v>0</x:v>
      </x:c>
    </x:row>
    <x:row r="122" ht="34" customHeight="1">
      <x:c r="A122" s="4" t="str">
        <x:v>RS-00076-I1</x:v>
      </x:c>
      <x:c r="B122" s="4" t="str">
        <x:v>RS-00076</x:v>
      </x:c>
      <x:c r="C122" s="9" t="n">
        <x:v>1</x:v>
      </x:c>
      <x:c r="D122" s="8" t="n">
        <x:v>45311</x:v>
      </x:c>
      <x:c r="E122" s="9" t="n">
        <x:v>3846500</x:v>
      </x:c>
      <x:c r="F122" s="9" t="n">
        <x:v>3846500</x:v>
      </x:c>
    </x:row>
    <x:row r="123" ht="34" customHeight="1">
      <x:c r="A123" s="4" t="str">
        <x:v>RS-00076-I2</x:v>
      </x:c>
      <x:c r="B123" s="4" t="str">
        <x:v>RS-00076</x:v>
      </x:c>
      <x:c r="C123" s="9" t="n">
        <x:v>2</x:v>
      </x:c>
      <x:c r="D123" s="8" t="n">
        <x:v>45341</x:v>
      </x:c>
      <x:c r="E123" s="9" t="n">
        <x:v>3846500</x:v>
      </x:c>
      <x:c r="F123" s="9" t="n">
        <x:v>3846500</x:v>
      </x:c>
    </x:row>
    <x:row r="124" ht="34" customHeight="1">
      <x:c r="A124" s="4" t="str">
        <x:v>RS-00076-I3</x:v>
      </x:c>
      <x:c r="B124" s="4" t="str">
        <x:v>RS-00076</x:v>
      </x:c>
      <x:c r="C124" s="9" t="n">
        <x:v>3</x:v>
      </x:c>
      <x:c r="D124" s="8" t="n">
        <x:v>45371</x:v>
      </x:c>
      <x:c r="E124" s="9" t="n">
        <x:v>3846500</x:v>
      </x:c>
      <x:c r="F124" s="9" t="n">
        <x:v>0</x:v>
      </x:c>
    </x:row>
    <x:row r="125" ht="34" customHeight="1">
      <x:c r="A125" s="4" t="str">
        <x:v>RS-00076-I4</x:v>
      </x:c>
      <x:c r="B125" s="4" t="str">
        <x:v>RS-00076</x:v>
      </x:c>
      <x:c r="C125" s="9" t="n">
        <x:v>4</x:v>
      </x:c>
      <x:c r="D125" s="8" t="n">
        <x:v>45401</x:v>
      </x:c>
      <x:c r="E125" s="9" t="n">
        <x:v>3846500</x:v>
      </x:c>
      <x:c r="F125" s="9" t="n">
        <x:v>0</x:v>
      </x:c>
    </x:row>
    <x:row r="126" ht="34" customHeight="1">
      <x:c r="A126" s="4" t="str">
        <x:v>RS-00078-I1</x:v>
      </x:c>
      <x:c r="B126" s="4" t="str">
        <x:v>RS-00078</x:v>
      </x:c>
      <x:c r="C126" s="9" t="n">
        <x:v>1</x:v>
      </x:c>
      <x:c r="D126" s="8" t="n">
        <x:v>45313</x:v>
      </x:c>
      <x:c r="E126" s="9" t="n">
        <x:v>3162250</x:v>
      </x:c>
      <x:c r="F126" s="9" t="n">
        <x:v>3162250</x:v>
      </x:c>
    </x:row>
    <x:row r="127" ht="34" customHeight="1">
      <x:c r="A127" s="4" t="str">
        <x:v>RS-00078-I2</x:v>
      </x:c>
      <x:c r="B127" s="4" t="str">
        <x:v>RS-00078</x:v>
      </x:c>
      <x:c r="C127" s="9" t="n">
        <x:v>2</x:v>
      </x:c>
      <x:c r="D127" s="8" t="n">
        <x:v>45343</x:v>
      </x:c>
      <x:c r="E127" s="9" t="n">
        <x:v>3162250</x:v>
      </x:c>
      <x:c r="F127" s="9" t="n">
        <x:v>3162250</x:v>
      </x:c>
    </x:row>
    <x:row r="128" ht="34" customHeight="1">
      <x:c r="A128" s="4" t="str">
        <x:v>RS-00078-I3</x:v>
      </x:c>
      <x:c r="B128" s="4" t="str">
        <x:v>RS-00078</x:v>
      </x:c>
      <x:c r="C128" s="9" t="n">
        <x:v>3</x:v>
      </x:c>
      <x:c r="D128" s="8" t="n">
        <x:v>45373</x:v>
      </x:c>
      <x:c r="E128" s="9" t="n">
        <x:v>3162250</x:v>
      </x:c>
      <x:c r="F128" s="9" t="n">
        <x:v>0</x:v>
      </x:c>
    </x:row>
    <x:row r="129" ht="34" customHeight="1">
      <x:c r="A129" s="4" t="str">
        <x:v>RS-00078-I4</x:v>
      </x:c>
      <x:c r="B129" s="4" t="str">
        <x:v>RS-00078</x:v>
      </x:c>
      <x:c r="C129" s="9" t="n">
        <x:v>4</x:v>
      </x:c>
      <x:c r="D129" s="8" t="n">
        <x:v>45403</x:v>
      </x:c>
      <x:c r="E129" s="9" t="n">
        <x:v>3162250</x:v>
      </x:c>
      <x:c r="F129" s="9" t="n">
        <x:v>0</x:v>
      </x:c>
    </x:row>
    <x:row r="130" ht="34" customHeight="1">
      <x:c r="A130" s="4" t="str">
        <x:v>RS-00082-I1</x:v>
      </x:c>
      <x:c r="B130" s="4" t="str">
        <x:v>RS-00082</x:v>
      </x:c>
      <x:c r="C130" s="9" t="n">
        <x:v>1</x:v>
      </x:c>
      <x:c r="D130" s="8" t="n">
        <x:v>45317</x:v>
      </x:c>
      <x:c r="E130" s="9" t="n">
        <x:v>2866500</x:v>
      </x:c>
      <x:c r="F130" s="9" t="n">
        <x:v>2866500</x:v>
      </x:c>
    </x:row>
    <x:row r="131" ht="34" customHeight="1">
      <x:c r="A131" s="4" t="str">
        <x:v>RS-00082-I2</x:v>
      </x:c>
      <x:c r="B131" s="4" t="str">
        <x:v>RS-00082</x:v>
      </x:c>
      <x:c r="C131" s="9" t="n">
        <x:v>2</x:v>
      </x:c>
      <x:c r="D131" s="8" t="n">
        <x:v>45347</x:v>
      </x:c>
      <x:c r="E131" s="9" t="n">
        <x:v>2866500</x:v>
      </x:c>
      <x:c r="F131" s="9" t="n">
        <x:v>2866500</x:v>
      </x:c>
    </x:row>
    <x:row r="132" ht="34" customHeight="1">
      <x:c r="A132" s="4" t="str">
        <x:v>RS-00082-I3</x:v>
      </x:c>
      <x:c r="B132" s="4" t="str">
        <x:v>RS-00082</x:v>
      </x:c>
      <x:c r="C132" s="9" t="n">
        <x:v>3</x:v>
      </x:c>
      <x:c r="D132" s="8" t="n">
        <x:v>45377</x:v>
      </x:c>
      <x:c r="E132" s="9" t="n">
        <x:v>2866500</x:v>
      </x:c>
      <x:c r="F132" s="9" t="n">
        <x:v>0</x:v>
      </x:c>
    </x:row>
    <x:row r="133" ht="34" customHeight="1">
      <x:c r="A133" s="4" t="str">
        <x:v>RS-00082-I4</x:v>
      </x:c>
      <x:c r="B133" s="4" t="str">
        <x:v>RS-00082</x:v>
      </x:c>
      <x:c r="C133" s="9" t="n">
        <x:v>4</x:v>
      </x:c>
      <x:c r="D133" s="8" t="n">
        <x:v>45407</x:v>
      </x:c>
      <x:c r="E133" s="9" t="n">
        <x:v>2866500</x:v>
      </x:c>
      <x:c r="F133" s="9" t="n">
        <x:v>0</x:v>
      </x:c>
    </x:row>
    <x:row r="134" ht="34" customHeight="1">
      <x:c r="A134" s="4" t="str">
        <x:v>RS-00085-I1</x:v>
      </x:c>
      <x:c r="B134" s="4" t="str">
        <x:v>RS-00085</x:v>
      </x:c>
      <x:c r="C134" s="9" t="n">
        <x:v>1</x:v>
      </x:c>
      <x:c r="D134" s="8" t="n">
        <x:v>45292</x:v>
      </x:c>
      <x:c r="E134" s="9" t="n">
        <x:v>1876250</x:v>
      </x:c>
      <x:c r="F134" s="9" t="n">
        <x:v>1876250</x:v>
      </x:c>
    </x:row>
    <x:row r="135" ht="34" customHeight="1">
      <x:c r="A135" s="4" t="str">
        <x:v>RS-00085-I2</x:v>
      </x:c>
      <x:c r="B135" s="4" t="str">
        <x:v>RS-00085</x:v>
      </x:c>
      <x:c r="C135" s="9" t="n">
        <x:v>2</x:v>
      </x:c>
      <x:c r="D135" s="8" t="n">
        <x:v>45322</x:v>
      </x:c>
      <x:c r="E135" s="9" t="n">
        <x:v>1876250</x:v>
      </x:c>
      <x:c r="F135" s="9" t="n">
        <x:v>1876250</x:v>
      </x:c>
    </x:row>
    <x:row r="136" ht="34" customHeight="1">
      <x:c r="A136" s="4" t="str">
        <x:v>RS-00085-I3</x:v>
      </x:c>
      <x:c r="B136" s="4" t="str">
        <x:v>RS-00085</x:v>
      </x:c>
      <x:c r="C136" s="9" t="n">
        <x:v>3</x:v>
      </x:c>
      <x:c r="D136" s="8" t="n">
        <x:v>45352</x:v>
      </x:c>
      <x:c r="E136" s="9" t="n">
        <x:v>1876250</x:v>
      </x:c>
      <x:c r="F136" s="9" t="n">
        <x:v>0</x:v>
      </x:c>
    </x:row>
    <x:row r="137" ht="34" customHeight="1">
      <x:c r="A137" s="4" t="str">
        <x:v>RS-00085-I4</x:v>
      </x:c>
      <x:c r="B137" s="4" t="str">
        <x:v>RS-00085</x:v>
      </x:c>
      <x:c r="C137" s="9" t="n">
        <x:v>4</x:v>
      </x:c>
      <x:c r="D137" s="8" t="n">
        <x:v>45382</x:v>
      </x:c>
      <x:c r="E137" s="9" t="n">
        <x:v>1876250</x:v>
      </x:c>
      <x:c r="F137" s="9" t="n">
        <x:v>0</x:v>
      </x:c>
    </x:row>
    <x:row r="138" ht="34" customHeight="1">
      <x:c r="A138" s="4" t="str">
        <x:v>RS-00086-I1</x:v>
      </x:c>
      <x:c r="B138" s="4" t="str">
        <x:v>RS-00086</x:v>
      </x:c>
      <x:c r="C138" s="9" t="n">
        <x:v>1</x:v>
      </x:c>
      <x:c r="D138" s="8" t="n">
        <x:v>45293</x:v>
      </x:c>
      <x:c r="E138" s="9" t="n">
        <x:v>1023750</x:v>
      </x:c>
      <x:c r="F138" s="9" t="n">
        <x:v>409500</x:v>
      </x:c>
    </x:row>
    <x:row r="139" ht="34" customHeight="1">
      <x:c r="A139" s="4" t="str">
        <x:v>RS-00086-I2</x:v>
      </x:c>
      <x:c r="B139" s="4" t="str">
        <x:v>RS-00086</x:v>
      </x:c>
      <x:c r="C139" s="9" t="n">
        <x:v>2</x:v>
      </x:c>
      <x:c r="D139" s="8" t="n">
        <x:v>45323</x:v>
      </x:c>
      <x:c r="E139" s="9" t="n">
        <x:v>1023750</x:v>
      </x:c>
      <x:c r="F139" s="9" t="n">
        <x:v>0</x:v>
      </x:c>
    </x:row>
    <x:row r="140" ht="34" customHeight="1">
      <x:c r="A140" s="4" t="str">
        <x:v>RS-00086-I3</x:v>
      </x:c>
      <x:c r="B140" s="4" t="str">
        <x:v>RS-00086</x:v>
      </x:c>
      <x:c r="C140" s="9" t="n">
        <x:v>3</x:v>
      </x:c>
      <x:c r="D140" s="8" t="n">
        <x:v>45353</x:v>
      </x:c>
      <x:c r="E140" s="9" t="n">
        <x:v>1023750</x:v>
      </x:c>
      <x:c r="F140" s="9" t="n">
        <x:v>0</x:v>
      </x:c>
    </x:row>
    <x:row r="141" ht="34" customHeight="1">
      <x:c r="A141" s="4" t="str">
        <x:v>RS-00086-I4</x:v>
      </x:c>
      <x:c r="B141" s="4" t="str">
        <x:v>RS-00086</x:v>
      </x:c>
      <x:c r="C141" s="9" t="n">
        <x:v>4</x:v>
      </x:c>
      <x:c r="D141" s="8" t="n">
        <x:v>45383</x:v>
      </x:c>
      <x:c r="E141" s="9" t="n">
        <x:v>1023750</x:v>
      </x:c>
      <x:c r="F141" s="9" t="n">
        <x:v>0</x:v>
      </x:c>
    </x:row>
    <x:row r="142" ht="34" customHeight="1">
      <x:c r="A142" s="4" t="str">
        <x:v>RS-00088-I1</x:v>
      </x:c>
      <x:c r="B142" s="4" t="str">
        <x:v>RS-00088</x:v>
      </x:c>
      <x:c r="C142" s="9" t="n">
        <x:v>1</x:v>
      </x:c>
      <x:c r="D142" s="8" t="n">
        <x:v>45295</x:v>
      </x:c>
      <x:c r="E142" s="9" t="n">
        <x:v>3360000</x:v>
      </x:c>
      <x:c r="F142" s="9" t="n">
        <x:v>3360000</x:v>
      </x:c>
    </x:row>
    <x:row r="143" ht="34" customHeight="1">
      <x:c r="A143" s="4" t="str">
        <x:v>RS-00088-I2</x:v>
      </x:c>
      <x:c r="B143" s="4" t="str">
        <x:v>RS-00088</x:v>
      </x:c>
      <x:c r="C143" s="9" t="n">
        <x:v>2</x:v>
      </x:c>
      <x:c r="D143" s="8" t="n">
        <x:v>45325</x:v>
      </x:c>
      <x:c r="E143" s="9" t="n">
        <x:v>3360000</x:v>
      </x:c>
      <x:c r="F143" s="9" t="n">
        <x:v>3360000</x:v>
      </x:c>
    </x:row>
    <x:row r="144" ht="34" customHeight="1">
      <x:c r="A144" s="4" t="str">
        <x:v>RS-00088-I3</x:v>
      </x:c>
      <x:c r="B144" s="4" t="str">
        <x:v>RS-00088</x:v>
      </x:c>
      <x:c r="C144" s="9" t="n">
        <x:v>3</x:v>
      </x:c>
      <x:c r="D144" s="8" t="n">
        <x:v>45355</x:v>
      </x:c>
      <x:c r="E144" s="9" t="n">
        <x:v>3360000</x:v>
      </x:c>
      <x:c r="F144" s="9" t="n">
        <x:v>0</x:v>
      </x:c>
    </x:row>
    <x:row r="145" ht="34" customHeight="1">
      <x:c r="A145" s="4" t="str">
        <x:v>RS-00088-I4</x:v>
      </x:c>
      <x:c r="B145" s="4" t="str">
        <x:v>RS-00088</x:v>
      </x:c>
      <x:c r="C145" s="9" t="n">
        <x:v>4</x:v>
      </x:c>
      <x:c r="D145" s="8" t="n">
        <x:v>45385</x:v>
      </x:c>
      <x:c r="E145" s="9" t="n">
        <x:v>3360000</x:v>
      </x:c>
      <x:c r="F145" s="9" t="n">
        <x:v>0</x:v>
      </x:c>
    </x:row>
    <x:row r="146" ht="34" customHeight="1">
      <x:c r="A146" s="4" t="str">
        <x:v>RS-00090-I1</x:v>
      </x:c>
      <x:c r="B146" s="4" t="str">
        <x:v>RS-00090</x:v>
      </x:c>
      <x:c r="C146" s="9" t="n">
        <x:v>1</x:v>
      </x:c>
      <x:c r="D146" s="8" t="n">
        <x:v>45297</x:v>
      </x:c>
      <x:c r="E146" s="9" t="n">
        <x:v>4715000</x:v>
      </x:c>
      <x:c r="F146" s="9" t="n">
        <x:v>4715000</x:v>
      </x:c>
    </x:row>
    <x:row r="147" ht="34" customHeight="1">
      <x:c r="A147" s="4" t="str">
        <x:v>RS-00090-I2</x:v>
      </x:c>
      <x:c r="B147" s="4" t="str">
        <x:v>RS-00090</x:v>
      </x:c>
      <x:c r="C147" s="9" t="n">
        <x:v>2</x:v>
      </x:c>
      <x:c r="D147" s="8" t="n">
        <x:v>45327</x:v>
      </x:c>
      <x:c r="E147" s="9" t="n">
        <x:v>4715000</x:v>
      </x:c>
      <x:c r="F147" s="9" t="n">
        <x:v>4715000</x:v>
      </x:c>
    </x:row>
    <x:row r="148" ht="34" customHeight="1">
      <x:c r="A148" s="4" t="str">
        <x:v>RS-00090-I3</x:v>
      </x:c>
      <x:c r="B148" s="4" t="str">
        <x:v>RS-00090</x:v>
      </x:c>
      <x:c r="C148" s="9" t="n">
        <x:v>3</x:v>
      </x:c>
      <x:c r="D148" s="8" t="n">
        <x:v>45357</x:v>
      </x:c>
      <x:c r="E148" s="9" t="n">
        <x:v>4715000</x:v>
      </x:c>
      <x:c r="F148" s="9" t="n">
        <x:v>4715000</x:v>
      </x:c>
    </x:row>
    <x:row r="149" ht="34" customHeight="1">
      <x:c r="A149" s="4" t="str">
        <x:v>RS-00090-I4</x:v>
      </x:c>
      <x:c r="B149" s="4" t="str">
        <x:v>RS-00090</x:v>
      </x:c>
      <x:c r="C149" s="9" t="n">
        <x:v>4</x:v>
      </x:c>
      <x:c r="D149" s="8" t="n">
        <x:v>45387</x:v>
      </x:c>
      <x:c r="E149" s="9" t="n">
        <x:v>4715000</x:v>
      </x:c>
      <x:c r="F149" s="9" t="n">
        <x:v>4715000</x:v>
      </x:c>
    </x:row>
    <x:row r="150" ht="34" customHeight="1">
      <x:c r="A150" s="4" t="str">
        <x:v>RS-00091-I1</x:v>
      </x:c>
      <x:c r="B150" s="4" t="str">
        <x:v>RS-00091</x:v>
      </x:c>
      <x:c r="C150" s="9" t="n">
        <x:v>1</x:v>
      </x:c>
      <x:c r="D150" s="8" t="n">
        <x:v>45298</x:v>
      </x:c>
      <x:c r="E150" s="9" t="n">
        <x:v>5187000</x:v>
      </x:c>
      <x:c r="F150" s="9" t="n">
        <x:v>5187000</x:v>
      </x:c>
    </x:row>
    <x:row r="151" ht="34" customHeight="1">
      <x:c r="A151" s="4" t="str">
        <x:v>RS-00091-I2</x:v>
      </x:c>
      <x:c r="B151" s="4" t="str">
        <x:v>RS-00091</x:v>
      </x:c>
      <x:c r="C151" s="9" t="n">
        <x:v>2</x:v>
      </x:c>
      <x:c r="D151" s="8" t="n">
        <x:v>45328</x:v>
      </x:c>
      <x:c r="E151" s="9" t="n">
        <x:v>5187000</x:v>
      </x:c>
      <x:c r="F151" s="9" t="n">
        <x:v>5187000</x:v>
      </x:c>
    </x:row>
    <x:row r="152" ht="34" customHeight="1">
      <x:c r="A152" s="4" t="str">
        <x:v>RS-00091-I3</x:v>
      </x:c>
      <x:c r="B152" s="4" t="str">
        <x:v>RS-00091</x:v>
      </x:c>
      <x:c r="C152" s="9" t="n">
        <x:v>3</x:v>
      </x:c>
      <x:c r="D152" s="8" t="n">
        <x:v>45358</x:v>
      </x:c>
      <x:c r="E152" s="9" t="n">
        <x:v>5187000</x:v>
      </x:c>
      <x:c r="F152" s="9" t="n">
        <x:v>5187000</x:v>
      </x:c>
    </x:row>
    <x:row r="153" ht="34" customHeight="1">
      <x:c r="A153" s="4" t="str">
        <x:v>RS-00091-I4</x:v>
      </x:c>
      <x:c r="B153" s="4" t="str">
        <x:v>RS-00091</x:v>
      </x:c>
      <x:c r="C153" s="9" t="n">
        <x:v>4</x:v>
      </x:c>
      <x:c r="D153" s="8" t="n">
        <x:v>45388</x:v>
      </x:c>
      <x:c r="E153" s="9" t="n">
        <x:v>5187000</x:v>
      </x:c>
      <x:c r="F153" s="9" t="n">
        <x:v>5187000</x:v>
      </x:c>
    </x:row>
    <x:row r="154" ht="34" customHeight="1">
      <x:c r="A154" s="4" t="str">
        <x:v>RS-00093-I1</x:v>
      </x:c>
      <x:c r="B154" s="4" t="str">
        <x:v>RS-00093</x:v>
      </x:c>
      <x:c r="C154" s="9" t="n">
        <x:v>1</x:v>
      </x:c>
      <x:c r="D154" s="8" t="n">
        <x:v>45300</x:v>
      </x:c>
      <x:c r="E154" s="9" t="n">
        <x:v>2750000</x:v>
      </x:c>
      <x:c r="F154" s="9" t="n">
        <x:v>2750000</x:v>
      </x:c>
    </x:row>
    <x:row r="155" ht="34" customHeight="1">
      <x:c r="A155" s="4" t="str">
        <x:v>RS-00093-I2</x:v>
      </x:c>
      <x:c r="B155" s="4" t="str">
        <x:v>RS-00093</x:v>
      </x:c>
      <x:c r="C155" s="9" t="n">
        <x:v>2</x:v>
      </x:c>
      <x:c r="D155" s="8" t="n">
        <x:v>45330</x:v>
      </x:c>
      <x:c r="E155" s="9" t="n">
        <x:v>2750000</x:v>
      </x:c>
      <x:c r="F155" s="9" t="n">
        <x:v>0</x:v>
      </x:c>
    </x:row>
    <x:row r="156" ht="34" customHeight="1">
      <x:c r="A156" s="4" t="str">
        <x:v>RS-00093-I3</x:v>
      </x:c>
      <x:c r="B156" s="4" t="str">
        <x:v>RS-00093</x:v>
      </x:c>
      <x:c r="C156" s="9" t="n">
        <x:v>3</x:v>
      </x:c>
      <x:c r="D156" s="8" t="n">
        <x:v>45360</x:v>
      </x:c>
      <x:c r="E156" s="9" t="n">
        <x:v>2750000</x:v>
      </x:c>
      <x:c r="F156" s="9" t="n">
        <x:v>0</x:v>
      </x:c>
    </x:row>
    <x:row r="157" ht="34" customHeight="1">
      <x:c r="A157" s="4" t="str">
        <x:v>RS-00093-I4</x:v>
      </x:c>
      <x:c r="B157" s="4" t="str">
        <x:v>RS-00093</x:v>
      </x:c>
      <x:c r="C157" s="9" t="n">
        <x:v>4</x:v>
      </x:c>
      <x:c r="D157" s="8" t="n">
        <x:v>45390</x:v>
      </x:c>
      <x:c r="E157" s="9" t="n">
        <x:v>2750000</x:v>
      </x:c>
      <x:c r="F157" s="9" t="n">
        <x:v>0</x:v>
      </x:c>
    </x:row>
    <x:row r="158" ht="34" customHeight="1">
      <x:c r="A158" s="4" t="str">
        <x:v>RS-00096-I1</x:v>
      </x:c>
      <x:c r="B158" s="4" t="str">
        <x:v>RS-00096</x:v>
      </x:c>
      <x:c r="C158" s="9" t="n">
        <x:v>1</x:v>
      </x:c>
      <x:c r="D158" s="8" t="n">
        <x:v>45303</x:v>
      </x:c>
      <x:c r="E158" s="9" t="n">
        <x:v>5855500</x:v>
      </x:c>
      <x:c r="F158" s="9" t="n">
        <x:v>2342200</x:v>
      </x:c>
    </x:row>
    <x:row r="159" ht="34" customHeight="1">
      <x:c r="A159" s="4" t="str">
        <x:v>RS-00096-I2</x:v>
      </x:c>
      <x:c r="B159" s="4" t="str">
        <x:v>RS-00096</x:v>
      </x:c>
      <x:c r="C159" s="9" t="n">
        <x:v>2</x:v>
      </x:c>
      <x:c r="D159" s="8" t="n">
        <x:v>45333</x:v>
      </x:c>
      <x:c r="E159" s="9" t="n">
        <x:v>5855500</x:v>
      </x:c>
      <x:c r="F159" s="9" t="n">
        <x:v>0</x:v>
      </x:c>
    </x:row>
    <x:row r="160" ht="34" customHeight="1">
      <x:c r="A160" s="4" t="str">
        <x:v>RS-00096-I3</x:v>
      </x:c>
      <x:c r="B160" s="4" t="str">
        <x:v>RS-00096</x:v>
      </x:c>
      <x:c r="C160" s="9" t="n">
        <x:v>3</x:v>
      </x:c>
      <x:c r="D160" s="8" t="n">
        <x:v>45363</x:v>
      </x:c>
      <x:c r="E160" s="9" t="n">
        <x:v>5855500</x:v>
      </x:c>
      <x:c r="F160" s="9" t="n">
        <x:v>0</x:v>
      </x:c>
    </x:row>
    <x:row r="161" ht="34" customHeight="1">
      <x:c r="A161" s="4" t="str">
        <x:v>RS-00096-I4</x:v>
      </x:c>
      <x:c r="B161" s="4" t="str">
        <x:v>RS-00096</x:v>
      </x:c>
      <x:c r="C161" s="9" t="n">
        <x:v>4</x:v>
      </x:c>
      <x:c r="D161" s="8" t="n">
        <x:v>45393</x:v>
      </x:c>
      <x:c r="E161" s="9" t="n">
        <x:v>5855500</x:v>
      </x:c>
      <x:c r="F161" s="9" t="n">
        <x:v>0</x:v>
      </x:c>
    </x:row>
    <x:row r="162" ht="34" customHeight="1">
      <x:c r="A162" s="4" t="str">
        <x:v>RS-00099-I1</x:v>
      </x:c>
      <x:c r="B162" s="4" t="str">
        <x:v>RS-00099</x:v>
      </x:c>
      <x:c r="C162" s="9" t="n">
        <x:v>1</x:v>
      </x:c>
      <x:c r="D162" s="8" t="n">
        <x:v>45306</x:v>
      </x:c>
      <x:c r="E162" s="9" t="n">
        <x:v>2599000</x:v>
      </x:c>
      <x:c r="F162" s="9" t="n">
        <x:v>2599000</x:v>
      </x:c>
    </x:row>
    <x:row r="163" ht="34" customHeight="1">
      <x:c r="A163" s="4" t="str">
        <x:v>RS-00099-I2</x:v>
      </x:c>
      <x:c r="B163" s="4" t="str">
        <x:v>RS-00099</x:v>
      </x:c>
      <x:c r="C163" s="9" t="n">
        <x:v>2</x:v>
      </x:c>
      <x:c r="D163" s="8" t="n">
        <x:v>45336</x:v>
      </x:c>
      <x:c r="E163" s="9" t="n">
        <x:v>2599000</x:v>
      </x:c>
      <x:c r="F163" s="9" t="n">
        <x:v>2599000</x:v>
      </x:c>
    </x:row>
    <x:row r="164" ht="34" customHeight="1">
      <x:c r="A164" s="4" t="str">
        <x:v>RS-00099-I3</x:v>
      </x:c>
      <x:c r="B164" s="4" t="str">
        <x:v>RS-00099</x:v>
      </x:c>
      <x:c r="C164" s="9" t="n">
        <x:v>3</x:v>
      </x:c>
      <x:c r="D164" s="8" t="n">
        <x:v>45366</x:v>
      </x:c>
      <x:c r="E164" s="9" t="n">
        <x:v>2599000</x:v>
      </x:c>
      <x:c r="F164" s="9" t="n">
        <x:v>0</x:v>
      </x:c>
    </x:row>
    <x:row r="165" ht="34" customHeight="1">
      <x:c r="A165" s="4" t="str">
        <x:v>RS-00099-I4</x:v>
      </x:c>
      <x:c r="B165" s="4" t="str">
        <x:v>RS-00099</x:v>
      </x:c>
      <x:c r="C165" s="9" t="n">
        <x:v>4</x:v>
      </x:c>
      <x:c r="D165" s="8" t="n">
        <x:v>45396</x:v>
      </x:c>
      <x:c r="E165" s="9" t="n">
        <x:v>2599000</x:v>
      </x:c>
      <x:c r="F165" s="9" t="n">
        <x:v>0</x:v>
      </x:c>
    </x:row>
    <x:row r="166" ht="34" customHeight="1">
      <x:c r="A166" s="4" t="str">
        <x:v>RS-00101-I1</x:v>
      </x:c>
      <x:c r="B166" s="4" t="str">
        <x:v>RS-00101</x:v>
      </x:c>
      <x:c r="C166" s="9" t="n">
        <x:v>1</x:v>
      </x:c>
      <x:c r="D166" s="8" t="n">
        <x:v>45308</x:v>
      </x:c>
      <x:c r="E166" s="9" t="n">
        <x:v>2244000</x:v>
      </x:c>
      <x:c r="F166" s="9" t="n">
        <x:v>2244000</x:v>
      </x:c>
    </x:row>
    <x:row r="167" ht="34" customHeight="1">
      <x:c r="A167" s="4" t="str">
        <x:v>RS-00101-I2</x:v>
      </x:c>
      <x:c r="B167" s="4" t="str">
        <x:v>RS-00101</x:v>
      </x:c>
      <x:c r="C167" s="9" t="n">
        <x:v>2</x:v>
      </x:c>
      <x:c r="D167" s="8" t="n">
        <x:v>45338</x:v>
      </x:c>
      <x:c r="E167" s="9" t="n">
        <x:v>2244000</x:v>
      </x:c>
      <x:c r="F167" s="9" t="n">
        <x:v>0</x:v>
      </x:c>
    </x:row>
    <x:row r="168" ht="34" customHeight="1">
      <x:c r="A168" s="4" t="str">
        <x:v>RS-00101-I3</x:v>
      </x:c>
      <x:c r="B168" s="4" t="str">
        <x:v>RS-00101</x:v>
      </x:c>
      <x:c r="C168" s="9" t="n">
        <x:v>3</x:v>
      </x:c>
      <x:c r="D168" s="8" t="n">
        <x:v>45368</x:v>
      </x:c>
      <x:c r="E168" s="9" t="n">
        <x:v>2244000</x:v>
      </x:c>
      <x:c r="F168" s="9" t="n">
        <x:v>0</x:v>
      </x:c>
    </x:row>
    <x:row r="169" ht="34" customHeight="1">
      <x:c r="A169" s="4" t="str">
        <x:v>RS-00101-I4</x:v>
      </x:c>
      <x:c r="B169" s="4" t="str">
        <x:v>RS-00101</x:v>
      </x:c>
      <x:c r="C169" s="9" t="n">
        <x:v>4</x:v>
      </x:c>
      <x:c r="D169" s="8" t="n">
        <x:v>45398</x:v>
      </x:c>
      <x:c r="E169" s="9" t="n">
        <x:v>2244000</x:v>
      </x:c>
      <x:c r="F169" s="9" t="n">
        <x:v>0</x:v>
      </x:c>
    </x:row>
    <x:row r="170" ht="34" customHeight="1">
      <x:c r="A170" s="4" t="str">
        <x:v>RS-00102-I1</x:v>
      </x:c>
      <x:c r="B170" s="4" t="str">
        <x:v>RS-00102</x:v>
      </x:c>
      <x:c r="C170" s="9" t="n">
        <x:v>1</x:v>
      </x:c>
      <x:c r="D170" s="8" t="n">
        <x:v>45309</x:v>
      </x:c>
      <x:c r="E170" s="9" t="n">
        <x:v>1242000</x:v>
      </x:c>
      <x:c r="F170" s="9" t="n">
        <x:v>1242000</x:v>
      </x:c>
    </x:row>
    <x:row r="171" ht="34" customHeight="1">
      <x:c r="A171" s="4" t="str">
        <x:v>RS-00102-I2</x:v>
      </x:c>
      <x:c r="B171" s="4" t="str">
        <x:v>RS-00102</x:v>
      </x:c>
      <x:c r="C171" s="9" t="n">
        <x:v>2</x:v>
      </x:c>
      <x:c r="D171" s="8" t="n">
        <x:v>45339</x:v>
      </x:c>
      <x:c r="E171" s="9" t="n">
        <x:v>1242000</x:v>
      </x:c>
      <x:c r="F171" s="9" t="n">
        <x:v>0</x:v>
      </x:c>
    </x:row>
    <x:row r="172" ht="34" customHeight="1">
      <x:c r="A172" s="4" t="str">
        <x:v>RS-00102-I3</x:v>
      </x:c>
      <x:c r="B172" s="4" t="str">
        <x:v>RS-00102</x:v>
      </x:c>
      <x:c r="C172" s="9" t="n">
        <x:v>3</x:v>
      </x:c>
      <x:c r="D172" s="8" t="n">
        <x:v>45369</x:v>
      </x:c>
      <x:c r="E172" s="9" t="n">
        <x:v>1242000</x:v>
      </x:c>
      <x:c r="F172" s="9" t="n">
        <x:v>0</x:v>
      </x:c>
    </x:row>
    <x:row r="173" ht="34" customHeight="1">
      <x:c r="A173" s="4" t="str">
        <x:v>RS-00102-I4</x:v>
      </x:c>
      <x:c r="B173" s="4" t="str">
        <x:v>RS-00102</x:v>
      </x:c>
      <x:c r="C173" s="9" t="n">
        <x:v>4</x:v>
      </x:c>
      <x:c r="D173" s="8" t="n">
        <x:v>45399</x:v>
      </x:c>
      <x:c r="E173" s="9" t="n">
        <x:v>1242000</x:v>
      </x:c>
      <x:c r="F173" s="9" t="n">
        <x:v>0</x:v>
      </x:c>
    </x:row>
    <x:row r="174" ht="34" customHeight="1">
      <x:c r="A174" s="4" t="str">
        <x:v>RS-00104-I1</x:v>
      </x:c>
      <x:c r="B174" s="4" t="str">
        <x:v>RS-00104</x:v>
      </x:c>
      <x:c r="C174" s="9" t="n">
        <x:v>1</x:v>
      </x:c>
      <x:c r="D174" s="8" t="n">
        <x:v>45311</x:v>
      </x:c>
      <x:c r="E174" s="9" t="n">
        <x:v>3473000</x:v>
      </x:c>
      <x:c r="F174" s="9" t="n">
        <x:v>3473000</x:v>
      </x:c>
    </x:row>
    <x:row r="175" ht="34" customHeight="1">
      <x:c r="A175" s="4" t="str">
        <x:v>RS-00104-I2</x:v>
      </x:c>
      <x:c r="B175" s="4" t="str">
        <x:v>RS-00104</x:v>
      </x:c>
      <x:c r="C175" s="9" t="n">
        <x:v>2</x:v>
      </x:c>
      <x:c r="D175" s="8" t="n">
        <x:v>45341</x:v>
      </x:c>
      <x:c r="E175" s="9" t="n">
        <x:v>3473000</x:v>
      </x:c>
      <x:c r="F175" s="9" t="n">
        <x:v>3473000</x:v>
      </x:c>
    </x:row>
    <x:row r="176" ht="34" customHeight="1">
      <x:c r="A176" s="4" t="str">
        <x:v>RS-00104-I3</x:v>
      </x:c>
      <x:c r="B176" s="4" t="str">
        <x:v>RS-00104</x:v>
      </x:c>
      <x:c r="C176" s="9" t="n">
        <x:v>3</x:v>
      </x:c>
      <x:c r="D176" s="8" t="n">
        <x:v>45371</x:v>
      </x:c>
      <x:c r="E176" s="9" t="n">
        <x:v>3473000</x:v>
      </x:c>
      <x:c r="F176" s="9" t="n">
        <x:v>3473000</x:v>
      </x:c>
    </x:row>
    <x:row r="177" ht="34" customHeight="1">
      <x:c r="A177" s="4" t="str">
        <x:v>RS-00104-I4</x:v>
      </x:c>
      <x:c r="B177" s="4" t="str">
        <x:v>RS-00104</x:v>
      </x:c>
      <x:c r="C177" s="9" t="n">
        <x:v>4</x:v>
      </x:c>
      <x:c r="D177" s="8" t="n">
        <x:v>45401</x:v>
      </x:c>
      <x:c r="E177" s="9" t="n">
        <x:v>3473000</x:v>
      </x:c>
      <x:c r="F177" s="9" t="n">
        <x:v>3473000</x:v>
      </x:c>
    </x:row>
    <x:row r="178" ht="34" customHeight="1">
      <x:c r="A178" s="4" t="str">
        <x:v>RS-00105-I1</x:v>
      </x:c>
      <x:c r="B178" s="4" t="str">
        <x:v>RS-00105</x:v>
      </x:c>
      <x:c r="C178" s="9" t="n">
        <x:v>1</x:v>
      </x:c>
      <x:c r="D178" s="8" t="n">
        <x:v>45312</x:v>
      </x:c>
      <x:c r="E178" s="9" t="n">
        <x:v>2947500</x:v>
      </x:c>
      <x:c r="F178" s="9" t="n">
        <x:v>2947500</x:v>
      </x:c>
    </x:row>
    <x:row r="179" ht="34" customHeight="1">
      <x:c r="A179" s="4" t="str">
        <x:v>RS-00105-I2</x:v>
      </x:c>
      <x:c r="B179" s="4" t="str">
        <x:v>RS-00105</x:v>
      </x:c>
      <x:c r="C179" s="9" t="n">
        <x:v>2</x:v>
      </x:c>
      <x:c r="D179" s="8" t="n">
        <x:v>45342</x:v>
      </x:c>
      <x:c r="E179" s="9" t="n">
        <x:v>2947500</x:v>
      </x:c>
      <x:c r="F179" s="9" t="n">
        <x:v>2947500</x:v>
      </x:c>
    </x:row>
    <x:row r="180" ht="34" customHeight="1">
      <x:c r="A180" s="4" t="str">
        <x:v>RS-00105-I3</x:v>
      </x:c>
      <x:c r="B180" s="4" t="str">
        <x:v>RS-00105</x:v>
      </x:c>
      <x:c r="C180" s="9" t="n">
        <x:v>3</x:v>
      </x:c>
      <x:c r="D180" s="8" t="n">
        <x:v>45372</x:v>
      </x:c>
      <x:c r="E180" s="9" t="n">
        <x:v>2947500</x:v>
      </x:c>
      <x:c r="F180" s="9" t="n">
        <x:v>0</x:v>
      </x:c>
    </x:row>
    <x:row r="181" ht="34" customHeight="1">
      <x:c r="A181" s="4" t="str">
        <x:v>RS-00105-I4</x:v>
      </x:c>
      <x:c r="B181" s="4" t="str">
        <x:v>RS-00105</x:v>
      </x:c>
      <x:c r="C181" s="9" t="n">
        <x:v>4</x:v>
      </x:c>
      <x:c r="D181" s="8" t="n">
        <x:v>45402</x:v>
      </x:c>
      <x:c r="E181" s="9" t="n">
        <x:v>2947500</x:v>
      </x:c>
      <x:c r="F181" s="9" t="n">
        <x:v>0</x:v>
      </x:c>
    </x:row>
    <x:row r="182" ht="34" customHeight="1">
      <x:c r="A182" s="4" t="str">
        <x:v>RS-00107-I1</x:v>
      </x:c>
      <x:c r="B182" s="4" t="str">
        <x:v>RS-00107</x:v>
      </x:c>
      <x:c r="C182" s="9" t="n">
        <x:v>1</x:v>
      </x:c>
      <x:c r="D182" s="8" t="n">
        <x:v>45314</x:v>
      </x:c>
      <x:c r="E182" s="9" t="n">
        <x:v>4859250</x:v>
      </x:c>
      <x:c r="F182" s="9" t="n">
        <x:v>1943700</x:v>
      </x:c>
    </x:row>
    <x:row r="183" ht="34" customHeight="1">
      <x:c r="A183" s="4" t="str">
        <x:v>RS-00107-I2</x:v>
      </x:c>
      <x:c r="B183" s="4" t="str">
        <x:v>RS-00107</x:v>
      </x:c>
      <x:c r="C183" s="9" t="n">
        <x:v>2</x:v>
      </x:c>
      <x:c r="D183" s="8" t="n">
        <x:v>45344</x:v>
      </x:c>
      <x:c r="E183" s="9" t="n">
        <x:v>4859250</x:v>
      </x:c>
      <x:c r="F183" s="9" t="n">
        <x:v>0</x:v>
      </x:c>
    </x:row>
    <x:row r="184" ht="34" customHeight="1">
      <x:c r="A184" s="4" t="str">
        <x:v>RS-00107-I3</x:v>
      </x:c>
      <x:c r="B184" s="4" t="str">
        <x:v>RS-00107</x:v>
      </x:c>
      <x:c r="C184" s="9" t="n">
        <x:v>3</x:v>
      </x:c>
      <x:c r="D184" s="8" t="n">
        <x:v>45374</x:v>
      </x:c>
      <x:c r="E184" s="9" t="n">
        <x:v>4859250</x:v>
      </x:c>
      <x:c r="F184" s="9" t="n">
        <x:v>0</x:v>
      </x:c>
    </x:row>
    <x:row r="185" ht="34" customHeight="1">
      <x:c r="A185" s="4" t="str">
        <x:v>RS-00107-I4</x:v>
      </x:c>
      <x:c r="B185" s="4" t="str">
        <x:v>RS-00107</x:v>
      </x:c>
      <x:c r="C185" s="9" t="n">
        <x:v>4</x:v>
      </x:c>
      <x:c r="D185" s="8" t="n">
        <x:v>45404</x:v>
      </x:c>
      <x:c r="E185" s="9" t="n">
        <x:v>4859250</x:v>
      </x:c>
      <x:c r="F185" s="9" t="n">
        <x:v>0</x:v>
      </x:c>
    </x:row>
    <x:row r="186" ht="34" customHeight="1">
      <x:c r="A186" s="4" t="str">
        <x:v>RS-00111-I1</x:v>
      </x:c>
      <x:c r="B186" s="4" t="str">
        <x:v>RS-00111</x:v>
      </x:c>
      <x:c r="C186" s="9" t="n">
        <x:v>1</x:v>
      </x:c>
      <x:c r="D186" s="8" t="n">
        <x:v>45318</x:v>
      </x:c>
      <x:c r="E186" s="9" t="n">
        <x:v>3389750</x:v>
      </x:c>
      <x:c r="F186" s="9" t="n">
        <x:v>3389750</x:v>
      </x:c>
    </x:row>
    <x:row r="187" ht="34" customHeight="1">
      <x:c r="A187" s="4" t="str">
        <x:v>RS-00111-I2</x:v>
      </x:c>
      <x:c r="B187" s="4" t="str">
        <x:v>RS-00111</x:v>
      </x:c>
      <x:c r="C187" s="9" t="n">
        <x:v>2</x:v>
      </x:c>
      <x:c r="D187" s="8" t="n">
        <x:v>45348</x:v>
      </x:c>
      <x:c r="E187" s="9" t="n">
        <x:v>3389750</x:v>
      </x:c>
      <x:c r="F187" s="9" t="n">
        <x:v>3389750</x:v>
      </x:c>
    </x:row>
    <x:row r="188" ht="34" customHeight="1">
      <x:c r="A188" s="4" t="str">
        <x:v>RS-00111-I3</x:v>
      </x:c>
      <x:c r="B188" s="4" t="str">
        <x:v>RS-00111</x:v>
      </x:c>
      <x:c r="C188" s="9" t="n">
        <x:v>3</x:v>
      </x:c>
      <x:c r="D188" s="8" t="n">
        <x:v>45378</x:v>
      </x:c>
      <x:c r="E188" s="9" t="n">
        <x:v>3389750</x:v>
      </x:c>
      <x:c r="F188" s="9" t="n">
        <x:v>0</x:v>
      </x:c>
    </x:row>
    <x:row r="189" ht="34" customHeight="1">
      <x:c r="A189" s="4" t="str">
        <x:v>RS-00111-I4</x:v>
      </x:c>
      <x:c r="B189" s="4" t="str">
        <x:v>RS-00111</x:v>
      </x:c>
      <x:c r="C189" s="9" t="n">
        <x:v>4</x:v>
      </x:c>
      <x:c r="D189" s="8" t="n">
        <x:v>45408</x:v>
      </x:c>
      <x:c r="E189" s="9" t="n">
        <x:v>3389750</x:v>
      </x:c>
      <x:c r="F189" s="9" t="n">
        <x:v>0</x:v>
      </x:c>
    </x:row>
    <x:row r="190" ht="34" customHeight="1">
      <x:c r="A190" s="4" t="str">
        <x:v>RS-00113-I1</x:v>
      </x:c>
      <x:c r="B190" s="4" t="str">
        <x:v>RS-00113</x:v>
      </x:c>
      <x:c r="C190" s="9" t="n">
        <x:v>1</x:v>
      </x:c>
      <x:c r="D190" s="8" t="n">
        <x:v>45292</x:v>
      </x:c>
      <x:c r="E190" s="9" t="n">
        <x:v>4522500</x:v>
      </x:c>
      <x:c r="F190" s="9" t="n">
        <x:v>4522500</x:v>
      </x:c>
    </x:row>
    <x:row r="191" ht="34" customHeight="1">
      <x:c r="A191" s="4" t="str">
        <x:v>RS-00113-I2</x:v>
      </x:c>
      <x:c r="B191" s="4" t="str">
        <x:v>RS-00113</x:v>
      </x:c>
      <x:c r="C191" s="9" t="n">
        <x:v>2</x:v>
      </x:c>
      <x:c r="D191" s="8" t="n">
        <x:v>45322</x:v>
      </x:c>
      <x:c r="E191" s="9" t="n">
        <x:v>4522500</x:v>
      </x:c>
      <x:c r="F191" s="9" t="n">
        <x:v>4522500</x:v>
      </x:c>
    </x:row>
    <x:row r="192" ht="34" customHeight="1">
      <x:c r="A192" s="4" t="str">
        <x:v>RS-00113-I3</x:v>
      </x:c>
      <x:c r="B192" s="4" t="str">
        <x:v>RS-00113</x:v>
      </x:c>
      <x:c r="C192" s="9" t="n">
        <x:v>3</x:v>
      </x:c>
      <x:c r="D192" s="8" t="n">
        <x:v>45352</x:v>
      </x:c>
      <x:c r="E192" s="9" t="n">
        <x:v>4522500</x:v>
      </x:c>
      <x:c r="F192" s="9" t="n">
        <x:v>4522500</x:v>
      </x:c>
    </x:row>
    <x:row r="193" ht="34" customHeight="1">
      <x:c r="A193" s="4" t="str">
        <x:v>RS-00113-I4</x:v>
      </x:c>
      <x:c r="B193" s="4" t="str">
        <x:v>RS-00113</x:v>
      </x:c>
      <x:c r="C193" s="9" t="n">
        <x:v>4</x:v>
      </x:c>
      <x:c r="D193" s="8" t="n">
        <x:v>45382</x:v>
      </x:c>
      <x:c r="E193" s="9" t="n">
        <x:v>4522500</x:v>
      </x:c>
      <x:c r="F193" s="9" t="n">
        <x:v>4522500</x:v>
      </x:c>
    </x:row>
    <x:row r="194" ht="34" customHeight="1">
      <x:c r="A194" s="4" t="str">
        <x:v>RS-00117-I1</x:v>
      </x:c>
      <x:c r="B194" s="4" t="str">
        <x:v>RS-00117</x:v>
      </x:c>
      <x:c r="C194" s="9" t="n">
        <x:v>1</x:v>
      </x:c>
      <x:c r="D194" s="8" t="n">
        <x:v>45296</x:v>
      </x:c>
      <x:c r="E194" s="9" t="n">
        <x:v>3412500</x:v>
      </x:c>
      <x:c r="F194" s="9" t="n">
        <x:v>3412500</x:v>
      </x:c>
    </x:row>
    <x:row r="195" ht="34" customHeight="1">
      <x:c r="A195" s="4" t="str">
        <x:v>RS-00117-I2</x:v>
      </x:c>
      <x:c r="B195" s="4" t="str">
        <x:v>RS-00117</x:v>
      </x:c>
      <x:c r="C195" s="9" t="n">
        <x:v>2</x:v>
      </x:c>
      <x:c r="D195" s="8" t="n">
        <x:v>45326</x:v>
      </x:c>
      <x:c r="E195" s="9" t="n">
        <x:v>3412500</x:v>
      </x:c>
      <x:c r="F195" s="9" t="n">
        <x:v>3412500</x:v>
      </x:c>
    </x:row>
    <x:row r="196" ht="34" customHeight="1">
      <x:c r="A196" s="4" t="str">
        <x:v>RS-00117-I3</x:v>
      </x:c>
      <x:c r="B196" s="4" t="str">
        <x:v>RS-00117</x:v>
      </x:c>
      <x:c r="C196" s="9" t="n">
        <x:v>3</x:v>
      </x:c>
      <x:c r="D196" s="8" t="n">
        <x:v>45356</x:v>
      </x:c>
      <x:c r="E196" s="9" t="n">
        <x:v>3412500</x:v>
      </x:c>
      <x:c r="F196" s="9" t="n">
        <x:v>0</x:v>
      </x:c>
    </x:row>
    <x:row r="197" ht="34" customHeight="1">
      <x:c r="A197" s="4" t="str">
        <x:v>RS-00117-I4</x:v>
      </x:c>
      <x:c r="B197" s="4" t="str">
        <x:v>RS-00117</x:v>
      </x:c>
      <x:c r="C197" s="9" t="n">
        <x:v>4</x:v>
      </x:c>
      <x:c r="D197" s="8" t="n">
        <x:v>45386</x:v>
      </x:c>
      <x:c r="E197" s="9" t="n">
        <x:v>3412500</x:v>
      </x:c>
      <x:c r="F197" s="9" t="n">
        <x:v>0</x:v>
      </x:c>
    </x:row>
    <x:row r="198" ht="34" customHeight="1">
      <x:c r="A198" s="4" t="str">
        <x:v>RS-00119-I1</x:v>
      </x:c>
      <x:c r="B198" s="4" t="str">
        <x:v>RS-00119</x:v>
      </x:c>
      <x:c r="C198" s="9" t="n">
        <x:v>1</x:v>
      </x:c>
      <x:c r="D198" s="8" t="n">
        <x:v>45298</x:v>
      </x:c>
      <x:c r="E198" s="9" t="n">
        <x:v>2136000</x:v>
      </x:c>
      <x:c r="F198" s="9" t="n">
        <x:v>2136000</x:v>
      </x:c>
    </x:row>
    <x:row r="199" ht="34" customHeight="1">
      <x:c r="A199" s="4" t="str">
        <x:v>RS-00119-I2</x:v>
      </x:c>
      <x:c r="B199" s="4" t="str">
        <x:v>RS-00119</x:v>
      </x:c>
      <x:c r="C199" s="9" t="n">
        <x:v>2</x:v>
      </x:c>
      <x:c r="D199" s="8" t="n">
        <x:v>45328</x:v>
      </x:c>
      <x:c r="E199" s="9" t="n">
        <x:v>2136000</x:v>
      </x:c>
      <x:c r="F199" s="9" t="n">
        <x:v>2136000</x:v>
      </x:c>
    </x:row>
    <x:row r="200" ht="34" customHeight="1">
      <x:c r="A200" s="4" t="str">
        <x:v>RS-00119-I3</x:v>
      </x:c>
      <x:c r="B200" s="4" t="str">
        <x:v>RS-00119</x:v>
      </x:c>
      <x:c r="C200" s="9" t="n">
        <x:v>3</x:v>
      </x:c>
      <x:c r="D200" s="8" t="n">
        <x:v>45358</x:v>
      </x:c>
      <x:c r="E200" s="9" t="n">
        <x:v>2136000</x:v>
      </x:c>
      <x:c r="F200" s="9" t="n">
        <x:v>2136000</x:v>
      </x:c>
    </x:row>
    <x:row r="201" ht="34" customHeight="1">
      <x:c r="A201" s="4" t="str">
        <x:v>RS-00119-I4</x:v>
      </x:c>
      <x:c r="B201" s="4" t="str">
        <x:v>RS-00119</x:v>
      </x:c>
      <x:c r="C201" s="9" t="n">
        <x:v>4</x:v>
      </x:c>
      <x:c r="D201" s="8" t="n">
        <x:v>45388</x:v>
      </x:c>
      <x:c r="E201" s="9" t="n">
        <x:v>2136000</x:v>
      </x:c>
      <x:c r="F201" s="9" t="n">
        <x:v>2136000</x:v>
      </x:c>
    </x:row>
    <x:row r="202" ht="34" customHeight="1">
      <x:c r="A202" s="4" t="str">
        <x:v>RS-00120-I1</x:v>
      </x:c>
      <x:c r="B202" s="4" t="str">
        <x:v>RS-00120</x:v>
      </x:c>
      <x:c r="C202" s="9" t="n">
        <x:v>1</x:v>
      </x:c>
      <x:c r="D202" s="8" t="n">
        <x:v>45299</x:v>
      </x:c>
      <x:c r="E202" s="9" t="n">
        <x:v>1064250</x:v>
      </x:c>
      <x:c r="F202" s="9" t="n">
        <x:v>1064250</x:v>
      </x:c>
    </x:row>
    <x:row r="203" ht="34" customHeight="1">
      <x:c r="A203" s="4" t="str">
        <x:v>RS-00120-I2</x:v>
      </x:c>
      <x:c r="B203" s="4" t="str">
        <x:v>RS-00120</x:v>
      </x:c>
      <x:c r="C203" s="9" t="n">
        <x:v>2</x:v>
      </x:c>
      <x:c r="D203" s="8" t="n">
        <x:v>45329</x:v>
      </x:c>
      <x:c r="E203" s="9" t="n">
        <x:v>1064250</x:v>
      </x:c>
      <x:c r="F203" s="9" t="n">
        <x:v>0</x:v>
      </x:c>
    </x:row>
    <x:row r="204" ht="34" customHeight="1">
      <x:c r="A204" s="4" t="str">
        <x:v>RS-00120-I3</x:v>
      </x:c>
      <x:c r="B204" s="4" t="str">
        <x:v>RS-00120</x:v>
      </x:c>
      <x:c r="C204" s="9" t="n">
        <x:v>3</x:v>
      </x:c>
      <x:c r="D204" s="8" t="n">
        <x:v>45359</x:v>
      </x:c>
      <x:c r="E204" s="9" t="n">
        <x:v>1064250</x:v>
      </x:c>
      <x:c r="F204" s="9" t="n">
        <x:v>0</x:v>
      </x:c>
    </x:row>
    <x:row r="205" ht="34" customHeight="1">
      <x:c r="A205" s="4" t="str">
        <x:v>RS-00120-I4</x:v>
      </x:c>
      <x:c r="B205" s="4" t="str">
        <x:v>RS-00120</x:v>
      </x:c>
      <x:c r="C205" s="9" t="n">
        <x:v>4</x:v>
      </x:c>
      <x:c r="D205" s="8" t="n">
        <x:v>45389</x:v>
      </x:c>
      <x:c r="E205" s="9" t="n">
        <x:v>1064250</x:v>
      </x:c>
      <x:c r="F205" s="9" t="n">
        <x:v>0</x:v>
      </x:c>
    </x:row>
    <x:row r="206" ht="34" customHeight="1">
      <x:c r="A206" s="4" t="str">
        <x:v>RS-00122-I1</x:v>
      </x:c>
      <x:c r="B206" s="4" t="str">
        <x:v>RS-00122</x:v>
      </x:c>
      <x:c r="C206" s="9" t="n">
        <x:v>1</x:v>
      </x:c>
      <x:c r="D206" s="8" t="n">
        <x:v>45301</x:v>
      </x:c>
      <x:c r="E206" s="9" t="n">
        <x:v>5659500</x:v>
      </x:c>
      <x:c r="F206" s="9" t="n">
        <x:v>5659500</x:v>
      </x:c>
    </x:row>
    <x:row r="207" ht="34" customHeight="1">
      <x:c r="A207" s="4" t="str">
        <x:v>RS-00122-I2</x:v>
      </x:c>
      <x:c r="B207" s="4" t="str">
        <x:v>RS-00122</x:v>
      </x:c>
      <x:c r="C207" s="9" t="n">
        <x:v>2</x:v>
      </x:c>
      <x:c r="D207" s="8" t="n">
        <x:v>45331</x:v>
      </x:c>
      <x:c r="E207" s="9" t="n">
        <x:v>5659500</x:v>
      </x:c>
      <x:c r="F207" s="9" t="n">
        <x:v>0</x:v>
      </x:c>
    </x:row>
    <x:row r="208" ht="34" customHeight="1">
      <x:c r="A208" s="4" t="str">
        <x:v>RS-00122-I3</x:v>
      </x:c>
      <x:c r="B208" s="4" t="str">
        <x:v>RS-00122</x:v>
      </x:c>
      <x:c r="C208" s="9" t="n">
        <x:v>3</x:v>
      </x:c>
      <x:c r="D208" s="8" t="n">
        <x:v>45361</x:v>
      </x:c>
      <x:c r="E208" s="9" t="n">
        <x:v>5659500</x:v>
      </x:c>
      <x:c r="F208" s="9" t="n">
        <x:v>0</x:v>
      </x:c>
    </x:row>
    <x:row r="209" ht="34" customHeight="1">
      <x:c r="A209" s="4" t="str">
        <x:v>RS-00122-I4</x:v>
      </x:c>
      <x:c r="B209" s="4" t="str">
        <x:v>RS-00122</x:v>
      </x:c>
      <x:c r="C209" s="9" t="n">
        <x:v>4</x:v>
      </x:c>
      <x:c r="D209" s="8" t="n">
        <x:v>45391</x:v>
      </x:c>
      <x:c r="E209" s="9" t="n">
        <x:v>5659500</x:v>
      </x:c>
      <x:c r="F209" s="9" t="n">
        <x:v>0</x:v>
      </x:c>
    </x:row>
    <x:row r="210" ht="34" customHeight="1">
      <x:c r="A210" s="4" t="str">
        <x:v>RS-00123-I1</x:v>
      </x:c>
      <x:c r="B210" s="4" t="str">
        <x:v>RS-00123</x:v>
      </x:c>
      <x:c r="C210" s="9" t="n">
        <x:v>1</x:v>
      </x:c>
      <x:c r="D210" s="8" t="n">
        <x:v>45302</x:v>
      </x:c>
      <x:c r="E210" s="9" t="n">
        <x:v>2348250</x:v>
      </x:c>
      <x:c r="F210" s="9" t="n">
        <x:v>2348250</x:v>
      </x:c>
    </x:row>
    <x:row r="211" ht="34" customHeight="1">
      <x:c r="A211" s="4" t="str">
        <x:v>RS-00123-I2</x:v>
      </x:c>
      <x:c r="B211" s="4" t="str">
        <x:v>RS-00123</x:v>
      </x:c>
      <x:c r="C211" s="9" t="n">
        <x:v>2</x:v>
      </x:c>
      <x:c r="D211" s="8" t="n">
        <x:v>45332</x:v>
      </x:c>
      <x:c r="E211" s="9" t="n">
        <x:v>2348250</x:v>
      </x:c>
      <x:c r="F211" s="9" t="n">
        <x:v>2348250</x:v>
      </x:c>
    </x:row>
    <x:row r="212" ht="34" customHeight="1">
      <x:c r="A212" s="4" t="str">
        <x:v>RS-00123-I3</x:v>
      </x:c>
      <x:c r="B212" s="4" t="str">
        <x:v>RS-00123</x:v>
      </x:c>
      <x:c r="C212" s="9" t="n">
        <x:v>3</x:v>
      </x:c>
      <x:c r="D212" s="8" t="n">
        <x:v>45362</x:v>
      </x:c>
      <x:c r="E212" s="9" t="n">
        <x:v>2348250</x:v>
      </x:c>
      <x:c r="F212" s="9" t="n">
        <x:v>2348250</x:v>
      </x:c>
    </x:row>
    <x:row r="213" ht="34" customHeight="1">
      <x:c r="A213" s="4" t="str">
        <x:v>RS-00123-I4</x:v>
      </x:c>
      <x:c r="B213" s="4" t="str">
        <x:v>RS-00123</x:v>
      </x:c>
      <x:c r="C213" s="9" t="n">
        <x:v>4</x:v>
      </x:c>
      <x:c r="D213" s="8" t="n">
        <x:v>45392</x:v>
      </x:c>
      <x:c r="E213" s="9" t="n">
        <x:v>2348250</x:v>
      </x:c>
      <x:c r="F213" s="9" t="n">
        <x:v>2348250</x:v>
      </x:c>
    </x:row>
    <x:row r="214" ht="34" customHeight="1">
      <x:c r="A214" s="4" t="str">
        <x:v>RS-00128-I1</x:v>
      </x:c>
      <x:c r="B214" s="4" t="str">
        <x:v>RS-00128</x:v>
      </x:c>
      <x:c r="C214" s="9" t="n">
        <x:v>1</x:v>
      </x:c>
      <x:c r="D214" s="8" t="n">
        <x:v>45307</x:v>
      </x:c>
      <x:c r="E214" s="9" t="n">
        <x:v>4554000</x:v>
      </x:c>
      <x:c r="F214" s="9" t="n">
        <x:v>4554000</x:v>
      </x:c>
    </x:row>
    <x:row r="215" ht="34" customHeight="1">
      <x:c r="A215" s="4" t="str">
        <x:v>RS-00128-I2</x:v>
      </x:c>
      <x:c r="B215" s="4" t="str">
        <x:v>RS-00128</x:v>
      </x:c>
      <x:c r="C215" s="9" t="n">
        <x:v>2</x:v>
      </x:c>
      <x:c r="D215" s="8" t="n">
        <x:v>45337</x:v>
      </x:c>
      <x:c r="E215" s="9" t="n">
        <x:v>4554000</x:v>
      </x:c>
      <x:c r="F215" s="9" t="n">
        <x:v>4554000</x:v>
      </x:c>
    </x:row>
    <x:row r="216" ht="34" customHeight="1">
      <x:c r="A216" s="4" t="str">
        <x:v>RS-00128-I3</x:v>
      </x:c>
      <x:c r="B216" s="4" t="str">
        <x:v>RS-00128</x:v>
      </x:c>
      <x:c r="C216" s="9" t="n">
        <x:v>3</x:v>
      </x:c>
      <x:c r="D216" s="8" t="n">
        <x:v>45367</x:v>
      </x:c>
      <x:c r="E216" s="9" t="n">
        <x:v>4554000</x:v>
      </x:c>
      <x:c r="F216" s="9" t="n">
        <x:v>0</x:v>
      </x:c>
    </x:row>
    <x:row r="217" ht="34" customHeight="1">
      <x:c r="A217" s="4" t="str">
        <x:v>RS-00128-I4</x:v>
      </x:c>
      <x:c r="B217" s="4" t="str">
        <x:v>RS-00128</x:v>
      </x:c>
      <x:c r="C217" s="9" t="n">
        <x:v>4</x:v>
      </x:c>
      <x:c r="D217" s="8" t="n">
        <x:v>45397</x:v>
      </x:c>
      <x:c r="E217" s="9" t="n">
        <x:v>4554000</x:v>
      </x:c>
      <x:c r="F217" s="9" t="n">
        <x:v>0</x:v>
      </x:c>
    </x:row>
    <x:row r="218" ht="34" customHeight="1">
      <x:c r="A218" s="4" t="str">
        <x:v>RS-00130-I1</x:v>
      </x:c>
      <x:c r="B218" s="4" t="str">
        <x:v>RS-00130</x:v>
      </x:c>
      <x:c r="C218" s="9" t="n">
        <x:v>1</x:v>
      </x:c>
      <x:c r="D218" s="8" t="n">
        <x:v>45309</x:v>
      </x:c>
      <x:c r="E218" s="9" t="n">
        <x:v>4794000</x:v>
      </x:c>
      <x:c r="F218" s="9" t="n">
        <x:v>4794000</x:v>
      </x:c>
    </x:row>
    <x:row r="219" ht="34" customHeight="1">
      <x:c r="A219" s="4" t="str">
        <x:v>RS-00130-I2</x:v>
      </x:c>
      <x:c r="B219" s="4" t="str">
        <x:v>RS-00130</x:v>
      </x:c>
      <x:c r="C219" s="9" t="n">
        <x:v>2</x:v>
      </x:c>
      <x:c r="D219" s="8" t="n">
        <x:v>45339</x:v>
      </x:c>
      <x:c r="E219" s="9" t="n">
        <x:v>4794000</x:v>
      </x:c>
      <x:c r="F219" s="9" t="n">
        <x:v>4794000</x:v>
      </x:c>
    </x:row>
    <x:row r="220" ht="34" customHeight="1">
      <x:c r="A220" s="4" t="str">
        <x:v>RS-00130-I3</x:v>
      </x:c>
      <x:c r="B220" s="4" t="str">
        <x:v>RS-00130</x:v>
      </x:c>
      <x:c r="C220" s="9" t="n">
        <x:v>3</x:v>
      </x:c>
      <x:c r="D220" s="8" t="n">
        <x:v>45369</x:v>
      </x:c>
      <x:c r="E220" s="9" t="n">
        <x:v>4794000</x:v>
      </x:c>
      <x:c r="F220" s="9" t="n">
        <x:v>0</x:v>
      </x:c>
    </x:row>
    <x:row r="221" ht="34" customHeight="1">
      <x:c r="A221" s="4" t="str">
        <x:v>RS-00130-I4</x:v>
      </x:c>
      <x:c r="B221" s="4" t="str">
        <x:v>RS-00130</x:v>
      </x:c>
      <x:c r="C221" s="9" t="n">
        <x:v>4</x:v>
      </x:c>
      <x:c r="D221" s="8" t="n">
        <x:v>45399</x:v>
      </x:c>
      <x:c r="E221" s="9" t="n">
        <x:v>4794000</x:v>
      </x:c>
      <x:c r="F221" s="9" t="n">
        <x:v>0</x:v>
      </x:c>
    </x:row>
    <x:row r="222" ht="34" customHeight="1">
      <x:c r="A222" s="4" t="str">
        <x:v>RS-00131-I1</x:v>
      </x:c>
      <x:c r="B222" s="4" t="str">
        <x:v>RS-00131</x:v>
      </x:c>
      <x:c r="C222" s="9" t="n">
        <x:v>1</x:v>
      </x:c>
      <x:c r="D222" s="8" t="n">
        <x:v>45310</x:v>
      </x:c>
      <x:c r="E222" s="9" t="n">
        <x:v>1909000</x:v>
      </x:c>
      <x:c r="F222" s="9" t="n">
        <x:v>763600</x:v>
      </x:c>
    </x:row>
    <x:row r="223" ht="34" customHeight="1">
      <x:c r="A223" s="4" t="str">
        <x:v>RS-00131-I2</x:v>
      </x:c>
      <x:c r="B223" s="4" t="str">
        <x:v>RS-00131</x:v>
      </x:c>
      <x:c r="C223" s="9" t="n">
        <x:v>2</x:v>
      </x:c>
      <x:c r="D223" s="8" t="n">
        <x:v>45340</x:v>
      </x:c>
      <x:c r="E223" s="9" t="n">
        <x:v>1909000</x:v>
      </x:c>
      <x:c r="F223" s="9" t="n">
        <x:v>0</x:v>
      </x:c>
    </x:row>
    <x:row r="224" ht="34" customHeight="1">
      <x:c r="A224" s="4" t="str">
        <x:v>RS-00131-I3</x:v>
      </x:c>
      <x:c r="B224" s="4" t="str">
        <x:v>RS-00131</x:v>
      </x:c>
      <x:c r="C224" s="9" t="n">
        <x:v>3</x:v>
      </x:c>
      <x:c r="D224" s="8" t="n">
        <x:v>45370</x:v>
      </x:c>
      <x:c r="E224" s="9" t="n">
        <x:v>1909000</x:v>
      </x:c>
      <x:c r="F224" s="9" t="n">
        <x:v>0</x:v>
      </x:c>
    </x:row>
    <x:row r="225" ht="34" customHeight="1">
      <x:c r="A225" s="4" t="str">
        <x:v>RS-00131-I4</x:v>
      </x:c>
      <x:c r="B225" s="4" t="str">
        <x:v>RS-00131</x:v>
      </x:c>
      <x:c r="C225" s="9" t="n">
        <x:v>4</x:v>
      </x:c>
      <x:c r="D225" s="8" t="n">
        <x:v>45400</x:v>
      </x:c>
      <x:c r="E225" s="9" t="n">
        <x:v>1909000</x:v>
      </x:c>
      <x:c r="F225" s="9" t="n">
        <x:v>0</x:v>
      </x:c>
    </x:row>
    <x:row r="226" ht="34" customHeight="1">
      <x:c r="A226" s="4" t="str">
        <x:v>RS-00135-I1</x:v>
      </x:c>
      <x:c r="B226" s="4" t="str">
        <x:v>RS-00135</x:v>
      </x:c>
      <x:c r="C226" s="9" t="n">
        <x:v>1</x:v>
      </x:c>
      <x:c r="D226" s="8" t="n">
        <x:v>45314</x:v>
      </x:c>
      <x:c r="E226" s="9" t="n">
        <x:v>4140500</x:v>
      </x:c>
      <x:c r="F226" s="9" t="n">
        <x:v>4140500</x:v>
      </x:c>
    </x:row>
    <x:row r="227" ht="34" customHeight="1">
      <x:c r="A227" s="4" t="str">
        <x:v>RS-00135-I2</x:v>
      </x:c>
      <x:c r="B227" s="4" t="str">
        <x:v>RS-00135</x:v>
      </x:c>
      <x:c r="C227" s="9" t="n">
        <x:v>2</x:v>
      </x:c>
      <x:c r="D227" s="8" t="n">
        <x:v>45344</x:v>
      </x:c>
      <x:c r="E227" s="9" t="n">
        <x:v>4140500</x:v>
      </x:c>
      <x:c r="F227" s="9" t="n">
        <x:v>0</x:v>
      </x:c>
    </x:row>
    <x:row r="228" ht="34" customHeight="1">
      <x:c r="A228" s="4" t="str">
        <x:v>RS-00135-I3</x:v>
      </x:c>
      <x:c r="B228" s="4" t="str">
        <x:v>RS-00135</x:v>
      </x:c>
      <x:c r="C228" s="9" t="n">
        <x:v>3</x:v>
      </x:c>
      <x:c r="D228" s="8" t="n">
        <x:v>45374</x:v>
      </x:c>
      <x:c r="E228" s="9" t="n">
        <x:v>4140500</x:v>
      </x:c>
      <x:c r="F228" s="9" t="n">
        <x:v>0</x:v>
      </x:c>
    </x:row>
    <x:row r="229" ht="34" customHeight="1">
      <x:c r="A229" s="4" t="str">
        <x:v>RS-00135-I4</x:v>
      </x:c>
      <x:c r="B229" s="4" t="str">
        <x:v>RS-00135</x:v>
      </x:c>
      <x:c r="C229" s="9" t="n">
        <x:v>4</x:v>
      </x:c>
      <x:c r="D229" s="8" t="n">
        <x:v>45404</x:v>
      </x:c>
      <x:c r="E229" s="9" t="n">
        <x:v>4140500</x:v>
      </x:c>
      <x:c r="F229" s="9" t="n">
        <x:v>0</x:v>
      </x:c>
    </x:row>
    <x:row r="230" ht="34" customHeight="1">
      <x:c r="A230" s="4" t="str">
        <x:v>RS-00136-I1</x:v>
      </x:c>
      <x:c r="B230" s="4" t="str">
        <x:v>RS-00136</x:v>
      </x:c>
      <x:c r="C230" s="9" t="n">
        <x:v>1</x:v>
      </x:c>
      <x:c r="D230" s="8" t="n">
        <x:v>45315</x:v>
      </x:c>
      <x:c r="E230" s="9" t="n">
        <x:v>2904000</x:v>
      </x:c>
      <x:c r="F230" s="9" t="n">
        <x:v>2904000</x:v>
      </x:c>
    </x:row>
    <x:row r="231" ht="34" customHeight="1">
      <x:c r="A231" s="4" t="str">
        <x:v>RS-00136-I2</x:v>
      </x:c>
      <x:c r="B231" s="4" t="str">
        <x:v>RS-00136</x:v>
      </x:c>
      <x:c r="C231" s="9" t="n">
        <x:v>2</x:v>
      </x:c>
      <x:c r="D231" s="8" t="n">
        <x:v>45345</x:v>
      </x:c>
      <x:c r="E231" s="9" t="n">
        <x:v>2904000</x:v>
      </x:c>
      <x:c r="F231" s="9" t="n">
        <x:v>2904000</x:v>
      </x:c>
    </x:row>
    <x:row r="232" ht="34" customHeight="1">
      <x:c r="A232" s="4" t="str">
        <x:v>RS-00136-I3</x:v>
      </x:c>
      <x:c r="B232" s="4" t="str">
        <x:v>RS-00136</x:v>
      </x:c>
      <x:c r="C232" s="9" t="n">
        <x:v>3</x:v>
      </x:c>
      <x:c r="D232" s="8" t="n">
        <x:v>45375</x:v>
      </x:c>
      <x:c r="E232" s="9" t="n">
        <x:v>2904000</x:v>
      </x:c>
      <x:c r="F232" s="9" t="n">
        <x:v>2904000</x:v>
      </x:c>
    </x:row>
    <x:row r="233" ht="34" customHeight="1">
      <x:c r="A233" s="4" t="str">
        <x:v>RS-00136-I4</x:v>
      </x:c>
      <x:c r="B233" s="4" t="str">
        <x:v>RS-00136</x:v>
      </x:c>
      <x:c r="C233" s="9" t="n">
        <x:v>4</x:v>
      </x:c>
      <x:c r="D233" s="8" t="n">
        <x:v>45405</x:v>
      </x:c>
      <x:c r="E233" s="9" t="n">
        <x:v>2904000</x:v>
      </x:c>
      <x:c r="F233" s="9" t="n">
        <x:v>2904000</x:v>
      </x:c>
    </x:row>
    <x:row r="234" ht="34" customHeight="1">
      <x:c r="A234" s="4" t="str">
        <x:v>RS-00137-I1</x:v>
      </x:c>
      <x:c r="B234" s="4" t="str">
        <x:v>RS-00137</x:v>
      </x:c>
      <x:c r="C234" s="9" t="n">
        <x:v>1</x:v>
      </x:c>
      <x:c r="D234" s="8" t="n">
        <x:v>45316</x:v>
      </x:c>
      <x:c r="E234" s="9" t="n">
        <x:v>3935250</x:v>
      </x:c>
      <x:c r="F234" s="9" t="n">
        <x:v>1574100</x:v>
      </x:c>
    </x:row>
    <x:row r="235" ht="34" customHeight="1">
      <x:c r="A235" s="4" t="str">
        <x:v>RS-00137-I2</x:v>
      </x:c>
      <x:c r="B235" s="4" t="str">
        <x:v>RS-00137</x:v>
      </x:c>
      <x:c r="C235" s="9" t="n">
        <x:v>2</x:v>
      </x:c>
      <x:c r="D235" s="8" t="n">
        <x:v>45346</x:v>
      </x:c>
      <x:c r="E235" s="9" t="n">
        <x:v>3935250</x:v>
      </x:c>
      <x:c r="F235" s="9" t="n">
        <x:v>0</x:v>
      </x:c>
    </x:row>
    <x:row r="236" ht="34" customHeight="1">
      <x:c r="A236" s="4" t="str">
        <x:v>RS-00137-I3</x:v>
      </x:c>
      <x:c r="B236" s="4" t="str">
        <x:v>RS-00137</x:v>
      </x:c>
      <x:c r="C236" s="9" t="n">
        <x:v>3</x:v>
      </x:c>
      <x:c r="D236" s="8" t="n">
        <x:v>45376</x:v>
      </x:c>
      <x:c r="E236" s="9" t="n">
        <x:v>3935250</x:v>
      </x:c>
      <x:c r="F236" s="9" t="n">
        <x:v>0</x:v>
      </x:c>
    </x:row>
    <x:row r="237" ht="34" customHeight="1">
      <x:c r="A237" s="4" t="str">
        <x:v>RS-00137-I4</x:v>
      </x:c>
      <x:c r="B237" s="4" t="str">
        <x:v>RS-00137</x:v>
      </x:c>
      <x:c r="C237" s="9" t="n">
        <x:v>4</x:v>
      </x:c>
      <x:c r="D237" s="8" t="n">
        <x:v>45406</x:v>
      </x:c>
      <x:c r="E237" s="9" t="n">
        <x:v>3935250</x:v>
      </x:c>
      <x:c r="F237" s="9" t="n">
        <x:v>0</x:v>
      </x:c>
    </x:row>
    <x:row r="238" ht="34" customHeight="1">
      <x:c r="A238" s="4" t="str">
        <x:v>RS-00138-I1</x:v>
      </x:c>
      <x:c r="B238" s="4" t="str">
        <x:v>RS-00138</x:v>
      </x:c>
      <x:c r="C238" s="9" t="n">
        <x:v>1</x:v>
      </x:c>
      <x:c r="D238" s="8" t="n">
        <x:v>45317</x:v>
      </x:c>
      <x:c r="E238" s="9" t="n">
        <x:v>5139750</x:v>
      </x:c>
      <x:c r="F238" s="9" t="n">
        <x:v>5139750</x:v>
      </x:c>
    </x:row>
    <x:row r="239" ht="34" customHeight="1">
      <x:c r="A239" s="4" t="str">
        <x:v>RS-00138-I2</x:v>
      </x:c>
      <x:c r="B239" s="4" t="str">
        <x:v>RS-00138</x:v>
      </x:c>
      <x:c r="C239" s="9" t="n">
        <x:v>2</x:v>
      </x:c>
      <x:c r="D239" s="8" t="n">
        <x:v>45347</x:v>
      </x:c>
      <x:c r="E239" s="9" t="n">
        <x:v>5139750</x:v>
      </x:c>
      <x:c r="F239" s="9" t="n">
        <x:v>5139750</x:v>
      </x:c>
    </x:row>
    <x:row r="240" ht="34" customHeight="1">
      <x:c r="A240" s="4" t="str">
        <x:v>RS-00138-I3</x:v>
      </x:c>
      <x:c r="B240" s="4" t="str">
        <x:v>RS-00138</x:v>
      </x:c>
      <x:c r="C240" s="9" t="n">
        <x:v>3</x:v>
      </x:c>
      <x:c r="D240" s="8" t="n">
        <x:v>45377</x:v>
      </x:c>
      <x:c r="E240" s="9" t="n">
        <x:v>5139750</x:v>
      </x:c>
      <x:c r="F240" s="9" t="n">
        <x:v>0</x:v>
      </x:c>
    </x:row>
    <x:row r="241" ht="34" customHeight="1">
      <x:c r="A241" s="4" t="str">
        <x:v>RS-00138-I4</x:v>
      </x:c>
      <x:c r="B241" s="4" t="str">
        <x:v>RS-00138</x:v>
      </x:c>
      <x:c r="C241" s="9" t="n">
        <x:v>4</x:v>
      </x:c>
      <x:c r="D241" s="8" t="n">
        <x:v>45407</x:v>
      </x:c>
      <x:c r="E241" s="9" t="n">
        <x:v>5139750</x:v>
      </x:c>
      <x:c r="F241" s="9" t="n">
        <x:v>0</x:v>
      </x:c>
    </x:row>
    <x:row r="242" ht="34" customHeight="1">
      <x:c r="A242" s="4" t="str">
        <x:v>RS-00139-I1</x:v>
      </x:c>
      <x:c r="B242" s="4" t="str">
        <x:v>RS-00139</x:v>
      </x:c>
      <x:c r="C242" s="9" t="n">
        <x:v>1</x:v>
      </x:c>
      <x:c r="D242" s="8" t="n">
        <x:v>45318</x:v>
      </x:c>
      <x:c r="E242" s="9" t="n">
        <x:v>5605000</x:v>
      </x:c>
      <x:c r="F242" s="9" t="n">
        <x:v>5605000</x:v>
      </x:c>
    </x:row>
    <x:row r="243" ht="34" customHeight="1">
      <x:c r="A243" s="4" t="str">
        <x:v>RS-00139-I2</x:v>
      </x:c>
      <x:c r="B243" s="4" t="str">
        <x:v>RS-00139</x:v>
      </x:c>
      <x:c r="C243" s="9" t="n">
        <x:v>2</x:v>
      </x:c>
      <x:c r="D243" s="8" t="n">
        <x:v>45348</x:v>
      </x:c>
      <x:c r="E243" s="9" t="n">
        <x:v>5605000</x:v>
      </x:c>
      <x:c r="F243" s="9" t="n">
        <x:v>5605000</x:v>
      </x:c>
    </x:row>
    <x:row r="244" ht="34" customHeight="1">
      <x:c r="A244" s="4" t="str">
        <x:v>RS-00139-I3</x:v>
      </x:c>
      <x:c r="B244" s="4" t="str">
        <x:v>RS-00139</x:v>
      </x:c>
      <x:c r="C244" s="9" t="n">
        <x:v>3</x:v>
      </x:c>
      <x:c r="D244" s="8" t="n">
        <x:v>45378</x:v>
      </x:c>
      <x:c r="E244" s="9" t="n">
        <x:v>5605000</x:v>
      </x:c>
      <x:c r="F244" s="9" t="n">
        <x:v>0</x:v>
      </x:c>
    </x:row>
    <x:row r="245" ht="34" customHeight="1">
      <x:c r="A245" s="4" t="str">
        <x:v>RS-00139-I4</x:v>
      </x:c>
      <x:c r="B245" s="4" t="str">
        <x:v>RS-00139</x:v>
      </x:c>
      <x:c r="C245" s="9" t="n">
        <x:v>4</x:v>
      </x:c>
      <x:c r="D245" s="8" t="n">
        <x:v>45408</x:v>
      </x:c>
      <x:c r="E245" s="9" t="n">
        <x:v>5605000</x:v>
      </x:c>
      <x:c r="F245" s="9" t="n">
        <x:v>0</x:v>
      </x:c>
    </x:row>
    <x:row r="246" ht="34" customHeight="1">
      <x:c r="A246" s="4" t="str">
        <x:v>RS-00140-I1</x:v>
      </x:c>
      <x:c r="B246" s="4" t="str">
        <x:v>RS-00140</x:v>
      </x:c>
      <x:c r="C246" s="9" t="n">
        <x:v>1</x:v>
      </x:c>
      <x:c r="D246" s="8" t="n">
        <x:v>45319</x:v>
      </x:c>
      <x:c r="E246" s="9" t="n">
        <x:v>2352000</x:v>
      </x:c>
      <x:c r="F246" s="9" t="n">
        <x:v>2352000</x:v>
      </x:c>
    </x:row>
    <x:row r="247" ht="34" customHeight="1">
      <x:c r="A247" s="4" t="str">
        <x:v>RS-00140-I2</x:v>
      </x:c>
      <x:c r="B247" s="4" t="str">
        <x:v>RS-00140</x:v>
      </x:c>
      <x:c r="C247" s="9" t="n">
        <x:v>2</x:v>
      </x:c>
      <x:c r="D247" s="8" t="n">
        <x:v>45349</x:v>
      </x:c>
      <x:c r="E247" s="9" t="n">
        <x:v>2352000</x:v>
      </x:c>
      <x:c r="F247" s="9" t="n">
        <x:v>2352000</x:v>
      </x:c>
    </x:row>
    <x:row r="248" ht="34" customHeight="1">
      <x:c r="A248" s="4" t="str">
        <x:v>RS-00140-I3</x:v>
      </x:c>
      <x:c r="B248" s="4" t="str">
        <x:v>RS-00140</x:v>
      </x:c>
      <x:c r="C248" s="9" t="n">
        <x:v>3</x:v>
      </x:c>
      <x:c r="D248" s="8" t="n">
        <x:v>45379</x:v>
      </x:c>
      <x:c r="E248" s="9" t="n">
        <x:v>2352000</x:v>
      </x:c>
      <x:c r="F248" s="9" t="n">
        <x:v>0</x:v>
      </x:c>
    </x:row>
    <x:row r="249" ht="34" customHeight="1">
      <x:c r="A249" s="4" t="str">
        <x:v>RS-00140-I4</x:v>
      </x:c>
      <x:c r="B249" s="4" t="str">
        <x:v>RS-00140</x:v>
      </x:c>
      <x:c r="C249" s="9" t="n">
        <x:v>4</x:v>
      </x:c>
      <x:c r="D249" s="8" t="n">
        <x:v>45409</x:v>
      </x:c>
      <x:c r="E249" s="9" t="n">
        <x:v>2352000</x:v>
      </x:c>
      <x:c r="F249" s="9" t="n">
        <x:v>0</x:v>
      </x:c>
    </x:row>
    <x:row r="250" ht="34" customHeight="1">
      <x:c r="A250" s="4" t="str">
        <x:v>RS-00141-I1</x:v>
      </x:c>
      <x:c r="B250" s="4" t="str">
        <x:v>RS-00141</x:v>
      </x:c>
      <x:c r="C250" s="9" t="n">
        <x:v>1</x:v>
      </x:c>
      <x:c r="D250" s="8" t="n">
        <x:v>45292</x:v>
      </x:c>
      <x:c r="E250" s="9" t="n">
        <x:v>2548000</x:v>
      </x:c>
      <x:c r="F250" s="9" t="n">
        <x:v>2548000</x:v>
      </x:c>
    </x:row>
    <x:row r="251" ht="34" customHeight="1">
      <x:c r="A251" s="4" t="str">
        <x:v>RS-00141-I2</x:v>
      </x:c>
      <x:c r="B251" s="4" t="str">
        <x:v>RS-00141</x:v>
      </x:c>
      <x:c r="C251" s="9" t="n">
        <x:v>2</x:v>
      </x:c>
      <x:c r="D251" s="8" t="n">
        <x:v>45322</x:v>
      </x:c>
      <x:c r="E251" s="9" t="n">
        <x:v>2548000</x:v>
      </x:c>
      <x:c r="F251" s="9" t="n">
        <x:v>2548000</x:v>
      </x:c>
    </x:row>
    <x:row r="252" ht="34" customHeight="1">
      <x:c r="A252" s="4" t="str">
        <x:v>RS-00141-I3</x:v>
      </x:c>
      <x:c r="B252" s="4" t="str">
        <x:v>RS-00141</x:v>
      </x:c>
      <x:c r="C252" s="9" t="n">
        <x:v>3</x:v>
      </x:c>
      <x:c r="D252" s="8" t="n">
        <x:v>45352</x:v>
      </x:c>
      <x:c r="E252" s="9" t="n">
        <x:v>2548000</x:v>
      </x:c>
      <x:c r="F252" s="9" t="n">
        <x:v>0</x:v>
      </x:c>
    </x:row>
    <x:row r="253" ht="34" customHeight="1">
      <x:c r="A253" s="4" t="str">
        <x:v>RS-00141-I4</x:v>
      </x:c>
      <x:c r="B253" s="4" t="str">
        <x:v>RS-00141</x:v>
      </x:c>
      <x:c r="C253" s="9" t="n">
        <x:v>4</x:v>
      </x:c>
      <x:c r="D253" s="8" t="n">
        <x:v>45382</x:v>
      </x:c>
      <x:c r="E253" s="9" t="n">
        <x:v>2548000</x:v>
      </x:c>
      <x:c r="F253" s="9" t="n">
        <x:v>0</x:v>
      </x:c>
    </x:row>
    <x:row r="254" ht="34" customHeight="1">
      <x:c r="A254" s="4" t="str">
        <x:v>RS-00149-I1</x:v>
      </x:c>
      <x:c r="B254" s="4" t="str">
        <x:v>RS-00149</x:v>
      </x:c>
      <x:c r="C254" s="9" t="n">
        <x:v>1</x:v>
      </x:c>
      <x:c r="D254" s="8" t="n">
        <x:v>45300</x:v>
      </x:c>
      <x:c r="E254" s="9" t="n">
        <x:v>5989500</x:v>
      </x:c>
      <x:c r="F254" s="9" t="n">
        <x:v>5989500</x:v>
      </x:c>
    </x:row>
    <x:row r="255" ht="34" customHeight="1">
      <x:c r="A255" s="4" t="str">
        <x:v>RS-00149-I2</x:v>
      </x:c>
      <x:c r="B255" s="4" t="str">
        <x:v>RS-00149</x:v>
      </x:c>
      <x:c r="C255" s="9" t="n">
        <x:v>2</x:v>
      </x:c>
      <x:c r="D255" s="8" t="n">
        <x:v>45330</x:v>
      </x:c>
      <x:c r="E255" s="9" t="n">
        <x:v>5989500</x:v>
      </x:c>
      <x:c r="F255" s="9" t="n">
        <x:v>5989500</x:v>
      </x:c>
    </x:row>
    <x:row r="256" ht="34" customHeight="1">
      <x:c r="A256" s="4" t="str">
        <x:v>RS-00149-I3</x:v>
      </x:c>
      <x:c r="B256" s="4" t="str">
        <x:v>RS-00149</x:v>
      </x:c>
      <x:c r="C256" s="9" t="n">
        <x:v>3</x:v>
      </x:c>
      <x:c r="D256" s="8" t="n">
        <x:v>45360</x:v>
      </x:c>
      <x:c r="E256" s="9" t="n">
        <x:v>5989500</x:v>
      </x:c>
      <x:c r="F256" s="9" t="n">
        <x:v>5989500</x:v>
      </x:c>
    </x:row>
    <x:row r="257" ht="34" customHeight="1">
      <x:c r="A257" s="4" t="str">
        <x:v>RS-00149-I4</x:v>
      </x:c>
      <x:c r="B257" s="4" t="str">
        <x:v>RS-00149</x:v>
      </x:c>
      <x:c r="C257" s="9" t="n">
        <x:v>4</x:v>
      </x:c>
      <x:c r="D257" s="8" t="n">
        <x:v>45390</x:v>
      </x:c>
      <x:c r="E257" s="9" t="n">
        <x:v>5989500</x:v>
      </x:c>
      <x:c r="F257" s="9" t="n">
        <x:v>5989500</x:v>
      </x:c>
    </x:row>
    <x:row r="258" ht="34" customHeight="1">
      <x:c r="A258" s="4" t="str">
        <x:v>RS-00150-I1</x:v>
      </x:c>
      <x:c r="B258" s="4" t="str">
        <x:v>RS-00150</x:v>
      </x:c>
      <x:c r="C258" s="9" t="n">
        <x:v>1</x:v>
      </x:c>
      <x:c r="D258" s="8" t="n">
        <x:v>45301</x:v>
      </x:c>
      <x:c r="E258" s="9" t="n">
        <x:v>3116750</x:v>
      </x:c>
      <x:c r="F258" s="9" t="n">
        <x:v>3116750</x:v>
      </x:c>
    </x:row>
    <x:row r="259" ht="34" customHeight="1">
      <x:c r="A259" s="4" t="str">
        <x:v>RS-00150-I2</x:v>
      </x:c>
      <x:c r="B259" s="4" t="str">
        <x:v>RS-00150</x:v>
      </x:c>
      <x:c r="C259" s="9" t="n">
        <x:v>2</x:v>
      </x:c>
      <x:c r="D259" s="8" t="n">
        <x:v>45331</x:v>
      </x:c>
      <x:c r="E259" s="9" t="n">
        <x:v>3116750</x:v>
      </x:c>
      <x:c r="F259" s="9" t="n">
        <x:v>3116750</x:v>
      </x:c>
    </x:row>
    <x:row r="260" ht="34" customHeight="1">
      <x:c r="A260" s="4" t="str">
        <x:v>RS-00150-I3</x:v>
      </x:c>
      <x:c r="B260" s="4" t="str">
        <x:v>RS-00150</x:v>
      </x:c>
      <x:c r="C260" s="9" t="n">
        <x:v>3</x:v>
      </x:c>
      <x:c r="D260" s="8" t="n">
        <x:v>45361</x:v>
      </x:c>
      <x:c r="E260" s="9" t="n">
        <x:v>3116750</x:v>
      </x:c>
      <x:c r="F260" s="9" t="n">
        <x:v>0</x:v>
      </x:c>
    </x:row>
    <x:row r="261" ht="34" customHeight="1">
      <x:c r="A261" s="4" t="str">
        <x:v>RS-00150-I4</x:v>
      </x:c>
      <x:c r="B261" s="4" t="str">
        <x:v>RS-00150</x:v>
      </x:c>
      <x:c r="C261" s="9" t="n">
        <x:v>4</x:v>
      </x:c>
      <x:c r="D261" s="8" t="n">
        <x:v>45391</x:v>
      </x:c>
      <x:c r="E261" s="9" t="n">
        <x:v>3116750</x:v>
      </x:c>
      <x:c r="F261" s="9" t="n">
        <x:v>0</x:v>
      </x:c>
    </x:row>
    <x:row r="262" ht="34" customHeight="1">
      <x:c r="A262" s="4" t="str">
        <x:v>RS-00151-I1</x:v>
      </x:c>
      <x:c r="B262" s="4" t="str">
        <x:v>RS-00151</x:v>
      </x:c>
      <x:c r="C262" s="9" t="n">
        <x:v>1</x:v>
      </x:c>
      <x:c r="D262" s="8" t="n">
        <x:v>45302</x:v>
      </x:c>
      <x:c r="E262" s="9" t="n">
        <x:v>2572500</x:v>
      </x:c>
      <x:c r="F262" s="9" t="n">
        <x:v>2572500</x:v>
      </x:c>
    </x:row>
    <x:row r="263" ht="34" customHeight="1">
      <x:c r="A263" s="4" t="str">
        <x:v>RS-00151-I2</x:v>
      </x:c>
      <x:c r="B263" s="4" t="str">
        <x:v>RS-00151</x:v>
      </x:c>
      <x:c r="C263" s="9" t="n">
        <x:v>2</x:v>
      </x:c>
      <x:c r="D263" s="8" t="n">
        <x:v>45332</x:v>
      </x:c>
      <x:c r="E263" s="9" t="n">
        <x:v>2572500</x:v>
      </x:c>
      <x:c r="F263" s="9" t="n">
        <x:v>0</x:v>
      </x:c>
    </x:row>
    <x:row r="264" ht="34" customHeight="1">
      <x:c r="A264" s="4" t="str">
        <x:v>RS-00151-I3</x:v>
      </x:c>
      <x:c r="B264" s="4" t="str">
        <x:v>RS-00151</x:v>
      </x:c>
      <x:c r="C264" s="9" t="n">
        <x:v>3</x:v>
      </x:c>
      <x:c r="D264" s="8" t="n">
        <x:v>45362</x:v>
      </x:c>
      <x:c r="E264" s="9" t="n">
        <x:v>2572500</x:v>
      </x:c>
      <x:c r="F264" s="9" t="n">
        <x:v>0</x:v>
      </x:c>
    </x:row>
    <x:row r="265" ht="34" customHeight="1">
      <x:c r="A265" s="4" t="str">
        <x:v>RS-00151-I4</x:v>
      </x:c>
      <x:c r="B265" s="4" t="str">
        <x:v>RS-00151</x:v>
      </x:c>
      <x:c r="C265" s="9" t="n">
        <x:v>4</x:v>
      </x:c>
      <x:c r="D265" s="8" t="n">
        <x:v>45392</x:v>
      </x:c>
      <x:c r="E265" s="9" t="n">
        <x:v>2572500</x:v>
      </x:c>
      <x:c r="F265" s="9" t="n">
        <x:v>0</x:v>
      </x:c>
    </x:row>
    <x:row r="266" ht="34" customHeight="1">
      <x:c r="A266" s="4" t="str">
        <x:v>RS-00155-I1</x:v>
      </x:c>
      <x:c r="B266" s="4" t="str">
        <x:v>RS-00155</x:v>
      </x:c>
      <x:c r="C266" s="9" t="n">
        <x:v>1</x:v>
      </x:c>
      <x:c r="D266" s="8" t="n">
        <x:v>45306</x:v>
      </x:c>
      <x:c r="E266" s="9" t="n">
        <x:v>782000</x:v>
      </x:c>
      <x:c r="F266" s="9" t="n">
        <x:v>782000</x:v>
      </x:c>
    </x:row>
    <x:row r="267" ht="34" customHeight="1">
      <x:c r="A267" s="4" t="str">
        <x:v>RS-00155-I2</x:v>
      </x:c>
      <x:c r="B267" s="4" t="str">
        <x:v>RS-00155</x:v>
      </x:c>
      <x:c r="C267" s="9" t="n">
        <x:v>2</x:v>
      </x:c>
      <x:c r="D267" s="8" t="n">
        <x:v>45336</x:v>
      </x:c>
      <x:c r="E267" s="9" t="n">
        <x:v>782000</x:v>
      </x:c>
      <x:c r="F267" s="9" t="n">
        <x:v>0</x:v>
      </x:c>
    </x:row>
    <x:row r="268" ht="34" customHeight="1">
      <x:c r="A268" s="4" t="str">
        <x:v>RS-00155-I3</x:v>
      </x:c>
      <x:c r="B268" s="4" t="str">
        <x:v>RS-00155</x:v>
      </x:c>
      <x:c r="C268" s="9" t="n">
        <x:v>3</x:v>
      </x:c>
      <x:c r="D268" s="8" t="n">
        <x:v>45366</x:v>
      </x:c>
      <x:c r="E268" s="9" t="n">
        <x:v>782000</x:v>
      </x:c>
      <x:c r="F268" s="9" t="n">
        <x:v>0</x:v>
      </x:c>
    </x:row>
    <x:row r="269" ht="34" customHeight="1">
      <x:c r="A269" s="4" t="str">
        <x:v>RS-00155-I4</x:v>
      </x:c>
      <x:c r="B269" s="4" t="str">
        <x:v>RS-00155</x:v>
      </x:c>
      <x:c r="C269" s="9" t="n">
        <x:v>4</x:v>
      </x:c>
      <x:c r="D269" s="8" t="n">
        <x:v>45396</x:v>
      </x:c>
      <x:c r="E269" s="9" t="n">
        <x:v>782000</x:v>
      </x:c>
      <x:c r="F269" s="9" t="n">
        <x:v>0</x:v>
      </x:c>
    </x:row>
    <x:row r="270" ht="34" customHeight="1">
      <x:c r="A270" s="4" t="str">
        <x:v>RS-00157-I1</x:v>
      </x:c>
      <x:c r="B270" s="4" t="str">
        <x:v>RS-00157</x:v>
      </x:c>
      <x:c r="C270" s="9" t="n">
        <x:v>1</x:v>
      </x:c>
      <x:c r="D270" s="8" t="n">
        <x:v>45308</x:v>
      </x:c>
      <x:c r="E270" s="9" t="n">
        <x:v>5218500</x:v>
      </x:c>
      <x:c r="F270" s="9" t="n">
        <x:v>5218500</x:v>
      </x:c>
    </x:row>
    <x:row r="271" ht="34" customHeight="1">
      <x:c r="A271" s="4" t="str">
        <x:v>RS-00157-I2</x:v>
      </x:c>
      <x:c r="B271" s="4" t="str">
        <x:v>RS-00157</x:v>
      </x:c>
      <x:c r="C271" s="9" t="n">
        <x:v>2</x:v>
      </x:c>
      <x:c r="D271" s="8" t="n">
        <x:v>45338</x:v>
      </x:c>
      <x:c r="E271" s="9" t="n">
        <x:v>5218500</x:v>
      </x:c>
      <x:c r="F271" s="9" t="n">
        <x:v>5218500</x:v>
      </x:c>
    </x:row>
    <x:row r="272" ht="34" customHeight="1">
      <x:c r="A272" s="4" t="str">
        <x:v>RS-00157-I3</x:v>
      </x:c>
      <x:c r="B272" s="4" t="str">
        <x:v>RS-00157</x:v>
      </x:c>
      <x:c r="C272" s="9" t="n">
        <x:v>3</x:v>
      </x:c>
      <x:c r="D272" s="8" t="n">
        <x:v>45368</x:v>
      </x:c>
      <x:c r="E272" s="9" t="n">
        <x:v>5218500</x:v>
      </x:c>
      <x:c r="F272" s="9" t="n">
        <x:v>5218500</x:v>
      </x:c>
    </x:row>
    <x:row r="273" ht="34" customHeight="1">
      <x:c r="A273" s="4" t="str">
        <x:v>RS-00157-I4</x:v>
      </x:c>
      <x:c r="B273" s="4" t="str">
        <x:v>RS-00157</x:v>
      </x:c>
      <x:c r="C273" s="9" t="n">
        <x:v>4</x:v>
      </x:c>
      <x:c r="D273" s="8" t="n">
        <x:v>45398</x:v>
      </x:c>
      <x:c r="E273" s="9" t="n">
        <x:v>5218500</x:v>
      </x:c>
      <x:c r="F273" s="9" t="n">
        <x:v>5218500</x:v>
      </x:c>
    </x:row>
    <x:row r="274" ht="34" customHeight="1">
      <x:c r="A274" s="4" t="str">
        <x:v>RS-00162-I1</x:v>
      </x:c>
      <x:c r="B274" s="4" t="str">
        <x:v>RS-00162</x:v>
      </x:c>
      <x:c r="C274" s="9" t="n">
        <x:v>1</x:v>
      </x:c>
      <x:c r="D274" s="8" t="n">
        <x:v>45313</x:v>
      </x:c>
      <x:c r="E274" s="9" t="n">
        <x:v>1940000</x:v>
      </x:c>
      <x:c r="F274" s="9" t="n">
        <x:v>776000</x:v>
      </x:c>
    </x:row>
    <x:row r="275" ht="34" customHeight="1">
      <x:c r="A275" s="4" t="str">
        <x:v>RS-00162-I2</x:v>
      </x:c>
      <x:c r="B275" s="4" t="str">
        <x:v>RS-00162</x:v>
      </x:c>
      <x:c r="C275" s="9" t="n">
        <x:v>2</x:v>
      </x:c>
      <x:c r="D275" s="8" t="n">
        <x:v>45343</x:v>
      </x:c>
      <x:c r="E275" s="9" t="n">
        <x:v>1940000</x:v>
      </x:c>
      <x:c r="F275" s="9" t="n">
        <x:v>0</x:v>
      </x:c>
    </x:row>
    <x:row r="276" ht="34" customHeight="1">
      <x:c r="A276" s="4" t="str">
        <x:v>RS-00162-I3</x:v>
      </x:c>
      <x:c r="B276" s="4" t="str">
        <x:v>RS-00162</x:v>
      </x:c>
      <x:c r="C276" s="9" t="n">
        <x:v>3</x:v>
      </x:c>
      <x:c r="D276" s="8" t="n">
        <x:v>45373</x:v>
      </x:c>
      <x:c r="E276" s="9" t="n">
        <x:v>1940000</x:v>
      </x:c>
      <x:c r="F276" s="9" t="n">
        <x:v>0</x:v>
      </x:c>
    </x:row>
    <x:row r="277" ht="34" customHeight="1">
      <x:c r="A277" s="4" t="str">
        <x:v>RS-00162-I4</x:v>
      </x:c>
      <x:c r="B277" s="4" t="str">
        <x:v>RS-00162</x:v>
      </x:c>
      <x:c r="C277" s="9" t="n">
        <x:v>4</x:v>
      </x:c>
      <x:c r="D277" s="8" t="n">
        <x:v>45403</x:v>
      </x:c>
      <x:c r="E277" s="9" t="n">
        <x:v>1940000</x:v>
      </x:c>
      <x:c r="F277" s="9" t="n">
        <x:v>0</x:v>
      </x:c>
    </x:row>
    <x:row r="278" ht="34" customHeight="1">
      <x:c r="A278" s="4" t="str">
        <x:v>RS-00163-I1</x:v>
      </x:c>
      <x:c r="B278" s="4" t="str">
        <x:v>RS-00163</x:v>
      </x:c>
      <x:c r="C278" s="9" t="n">
        <x:v>1</x:v>
      </x:c>
      <x:c r="D278" s="8" t="n">
        <x:v>45314</x:v>
      </x:c>
      <x:c r="E278" s="9" t="n">
        <x:v>5592000</x:v>
      </x:c>
      <x:c r="F278" s="9" t="n">
        <x:v>5592000</x:v>
      </x:c>
    </x:row>
    <x:row r="279" ht="34" customHeight="1">
      <x:c r="A279" s="4" t="str">
        <x:v>RS-00163-I2</x:v>
      </x:c>
      <x:c r="B279" s="4" t="str">
        <x:v>RS-00163</x:v>
      </x:c>
      <x:c r="C279" s="9" t="n">
        <x:v>2</x:v>
      </x:c>
      <x:c r="D279" s="8" t="n">
        <x:v>45344</x:v>
      </x:c>
      <x:c r="E279" s="9" t="n">
        <x:v>5592000</x:v>
      </x:c>
      <x:c r="F279" s="9" t="n">
        <x:v>5592000</x:v>
      </x:c>
    </x:row>
    <x:row r="280" ht="34" customHeight="1">
      <x:c r="A280" s="4" t="str">
        <x:v>RS-00163-I3</x:v>
      </x:c>
      <x:c r="B280" s="4" t="str">
        <x:v>RS-00163</x:v>
      </x:c>
      <x:c r="C280" s="9" t="n">
        <x:v>3</x:v>
      </x:c>
      <x:c r="D280" s="8" t="n">
        <x:v>45374</x:v>
      </x:c>
      <x:c r="E280" s="9" t="n">
        <x:v>5592000</x:v>
      </x:c>
      <x:c r="F280" s="9" t="n">
        <x:v>0</x:v>
      </x:c>
    </x:row>
    <x:row r="281" ht="34" customHeight="1">
      <x:c r="A281" s="4" t="str">
        <x:v>RS-00163-I4</x:v>
      </x:c>
      <x:c r="B281" s="4" t="str">
        <x:v>RS-00163</x:v>
      </x:c>
      <x:c r="C281" s="9" t="n">
        <x:v>4</x:v>
      </x:c>
      <x:c r="D281" s="8" t="n">
        <x:v>45404</x:v>
      </x:c>
      <x:c r="E281" s="9" t="n">
        <x:v>5592000</x:v>
      </x:c>
      <x:c r="F281" s="9" t="n">
        <x:v>0</x:v>
      </x:c>
    </x:row>
    <x:row r="282" ht="34" customHeight="1">
      <x:c r="A282" s="4" t="str">
        <x:v>RS-00164-I1</x:v>
      </x:c>
      <x:c r="B282" s="4" t="str">
        <x:v>RS-00164</x:v>
      </x:c>
      <x:c r="C282" s="9" t="n">
        <x:v>1</x:v>
      </x:c>
      <x:c r="D282" s="8" t="n">
        <x:v>45315</x:v>
      </x:c>
      <x:c r="E282" s="9" t="n">
        <x:v>3382000</x:v>
      </x:c>
      <x:c r="F282" s="9" t="n">
        <x:v>1352800</x:v>
      </x:c>
    </x:row>
    <x:row r="283" ht="34" customHeight="1">
      <x:c r="A283" s="4" t="str">
        <x:v>RS-00164-I2</x:v>
      </x:c>
      <x:c r="B283" s="4" t="str">
        <x:v>RS-00164</x:v>
      </x:c>
      <x:c r="C283" s="9" t="n">
        <x:v>2</x:v>
      </x:c>
      <x:c r="D283" s="8" t="n">
        <x:v>45345</x:v>
      </x:c>
      <x:c r="E283" s="9" t="n">
        <x:v>3382000</x:v>
      </x:c>
      <x:c r="F283" s="9" t="n">
        <x:v>0</x:v>
      </x:c>
    </x:row>
    <x:row r="284" ht="34" customHeight="1">
      <x:c r="A284" s="4" t="str">
        <x:v>RS-00164-I3</x:v>
      </x:c>
      <x:c r="B284" s="4" t="str">
        <x:v>RS-00164</x:v>
      </x:c>
      <x:c r="C284" s="9" t="n">
        <x:v>3</x:v>
      </x:c>
      <x:c r="D284" s="8" t="n">
        <x:v>45375</x:v>
      </x:c>
      <x:c r="E284" s="9" t="n">
        <x:v>3382000</x:v>
      </x:c>
      <x:c r="F284" s="9" t="n">
        <x:v>0</x:v>
      </x:c>
    </x:row>
    <x:row r="285" ht="34" customHeight="1">
      <x:c r="A285" s="4" t="str">
        <x:v>RS-00164-I4</x:v>
      </x:c>
      <x:c r="B285" s="4" t="str">
        <x:v>RS-00164</x:v>
      </x:c>
      <x:c r="C285" s="9" t="n">
        <x:v>4</x:v>
      </x:c>
      <x:c r="D285" s="8" t="n">
        <x:v>45405</x:v>
      </x:c>
      <x:c r="E285" s="9" t="n">
        <x:v>3382000</x:v>
      </x:c>
      <x:c r="F285" s="9" t="n">
        <x:v>0</x:v>
      </x:c>
    </x:row>
    <x:row r="286" ht="34" customHeight="1">
      <x:c r="A286" s="4" t="str">
        <x:v>RS-00167-I1</x:v>
      </x:c>
      <x:c r="B286" s="4" t="str">
        <x:v>RS-00167</x:v>
      </x:c>
      <x:c r="C286" s="9" t="n">
        <x:v>1</x:v>
      </x:c>
      <x:c r="D286" s="8" t="n">
        <x:v>45318</x:v>
      </x:c>
      <x:c r="E286" s="9" t="n">
        <x:v>5989500</x:v>
      </x:c>
      <x:c r="F286" s="9" t="n">
        <x:v>2395800</x:v>
      </x:c>
    </x:row>
    <x:row r="287" ht="34" customHeight="1">
      <x:c r="A287" s="4" t="str">
        <x:v>RS-00167-I2</x:v>
      </x:c>
      <x:c r="B287" s="4" t="str">
        <x:v>RS-00167</x:v>
      </x:c>
      <x:c r="C287" s="9" t="n">
        <x:v>2</x:v>
      </x:c>
      <x:c r="D287" s="8" t="n">
        <x:v>45348</x:v>
      </x:c>
      <x:c r="E287" s="9" t="n">
        <x:v>5989500</x:v>
      </x:c>
      <x:c r="F287" s="9" t="n">
        <x:v>0</x:v>
      </x:c>
    </x:row>
    <x:row r="288" ht="34" customHeight="1">
      <x:c r="A288" s="4" t="str">
        <x:v>RS-00167-I3</x:v>
      </x:c>
      <x:c r="B288" s="4" t="str">
        <x:v>RS-00167</x:v>
      </x:c>
      <x:c r="C288" s="9" t="n">
        <x:v>3</x:v>
      </x:c>
      <x:c r="D288" s="8" t="n">
        <x:v>45378</x:v>
      </x:c>
      <x:c r="E288" s="9" t="n">
        <x:v>5989500</x:v>
      </x:c>
      <x:c r="F288" s="9" t="n">
        <x:v>0</x:v>
      </x:c>
    </x:row>
    <x:row r="289" ht="34" customHeight="1">
      <x:c r="A289" s="4" t="str">
        <x:v>RS-00167-I4</x:v>
      </x:c>
      <x:c r="B289" s="4" t="str">
        <x:v>RS-00167</x:v>
      </x:c>
      <x:c r="C289" s="9" t="n">
        <x:v>4</x:v>
      </x:c>
      <x:c r="D289" s="8" t="n">
        <x:v>45408</x:v>
      </x:c>
      <x:c r="E289" s="9" t="n">
        <x:v>5989500</x:v>
      </x:c>
      <x:c r="F289" s="9" t="n">
        <x:v>0</x:v>
      </x:c>
    </x:row>
    <x:row r="290" ht="34" customHeight="1">
      <x:c r="A290" s="4" t="str">
        <x:v>RS-00168-I1</x:v>
      </x:c>
      <x:c r="B290" s="4" t="str">
        <x:v>RS-00168</x:v>
      </x:c>
      <x:c r="C290" s="9" t="n">
        <x:v>1</x:v>
      </x:c>
      <x:c r="D290" s="8" t="n">
        <x:v>45319</x:v>
      </x:c>
      <x:c r="E290" s="9" t="n">
        <x:v>3143250</x:v>
      </x:c>
      <x:c r="F290" s="9" t="n">
        <x:v>3143250</x:v>
      </x:c>
    </x:row>
    <x:row r="291" ht="34" customHeight="1">
      <x:c r="A291" s="4" t="str">
        <x:v>RS-00168-I2</x:v>
      </x:c>
      <x:c r="B291" s="4" t="str">
        <x:v>RS-00168</x:v>
      </x:c>
      <x:c r="C291" s="9" t="n">
        <x:v>2</x:v>
      </x:c>
      <x:c r="D291" s="8" t="n">
        <x:v>45349</x:v>
      </x:c>
      <x:c r="E291" s="9" t="n">
        <x:v>3143250</x:v>
      </x:c>
      <x:c r="F291" s="9" t="n">
        <x:v>3143250</x:v>
      </x:c>
    </x:row>
    <x:row r="292" ht="34" customHeight="1">
      <x:c r="A292" s="4" t="str">
        <x:v>RS-00168-I3</x:v>
      </x:c>
      <x:c r="B292" s="4" t="str">
        <x:v>RS-00168</x:v>
      </x:c>
      <x:c r="C292" s="9" t="n">
        <x:v>3</x:v>
      </x:c>
      <x:c r="D292" s="8" t="n">
        <x:v>45379</x:v>
      </x:c>
      <x:c r="E292" s="9" t="n">
        <x:v>3143250</x:v>
      </x:c>
      <x:c r="F292" s="9" t="n">
        <x:v>3143250</x:v>
      </x:c>
    </x:row>
    <x:row r="293" ht="34" customHeight="1">
      <x:c r="A293" s="4" t="str">
        <x:v>RS-00168-I4</x:v>
      </x:c>
      <x:c r="B293" s="4" t="str">
        <x:v>RS-00168</x:v>
      </x:c>
      <x:c r="C293" s="9" t="n">
        <x:v>4</x:v>
      </x:c>
      <x:c r="D293" s="8" t="n">
        <x:v>45409</x:v>
      </x:c>
      <x:c r="E293" s="9" t="n">
        <x:v>3143250</x:v>
      </x:c>
      <x:c r="F293" s="9" t="n">
        <x:v>3143250</x:v>
      </x:c>
    </x:row>
    <x:row r="294" ht="34" customHeight="1">
      <x:c r="A294" s="4" t="str">
        <x:v>RS-00170-I1</x:v>
      </x:c>
      <x:c r="B294" s="4" t="str">
        <x:v>RS-00170</x:v>
      </x:c>
      <x:c r="C294" s="9" t="n">
        <x:v>1</x:v>
      </x:c>
      <x:c r="D294" s="8" t="n">
        <x:v>45293</x:v>
      </x:c>
      <x:c r="E294" s="9" t="n">
        <x:v>5240500</x:v>
      </x:c>
      <x:c r="F294" s="9" t="n">
        <x:v>5240500</x:v>
      </x:c>
    </x:row>
    <x:row r="295" ht="34" customHeight="1">
      <x:c r="A295" s="4" t="str">
        <x:v>RS-00170-I2</x:v>
      </x:c>
      <x:c r="B295" s="4" t="str">
        <x:v>RS-00170</x:v>
      </x:c>
      <x:c r="C295" s="9" t="n">
        <x:v>2</x:v>
      </x:c>
      <x:c r="D295" s="8" t="n">
        <x:v>45323</x:v>
      </x:c>
      <x:c r="E295" s="9" t="n">
        <x:v>5240500</x:v>
      </x:c>
      <x:c r="F295" s="9" t="n">
        <x:v>5240500</x:v>
      </x:c>
    </x:row>
    <x:row r="296" ht="34" customHeight="1">
      <x:c r="A296" s="4" t="str">
        <x:v>RS-00170-I3</x:v>
      </x:c>
      <x:c r="B296" s="4" t="str">
        <x:v>RS-00170</x:v>
      </x:c>
      <x:c r="C296" s="9" t="n">
        <x:v>3</x:v>
      </x:c>
      <x:c r="D296" s="8" t="n">
        <x:v>45353</x:v>
      </x:c>
      <x:c r="E296" s="9" t="n">
        <x:v>5240500</x:v>
      </x:c>
      <x:c r="F296" s="9" t="n">
        <x:v>0</x:v>
      </x:c>
    </x:row>
    <x:row r="297" ht="34" customHeight="1">
      <x:c r="A297" s="4" t="str">
        <x:v>RS-00170-I4</x:v>
      </x:c>
      <x:c r="B297" s="4" t="str">
        <x:v>RS-00170</x:v>
      </x:c>
      <x:c r="C297" s="9" t="n">
        <x:v>4</x:v>
      </x:c>
      <x:c r="D297" s="8" t="n">
        <x:v>45383</x:v>
      </x:c>
      <x:c r="E297" s="9" t="n">
        <x:v>5240500</x:v>
      </x:c>
      <x:c r="F297" s="9" t="n">
        <x:v>0</x:v>
      </x:c>
    </x:row>
    <x:row r="298" ht="34" customHeight="1">
      <x:c r="A298" s="4" t="str">
        <x:v>RS-00172-I1</x:v>
      </x:c>
      <x:c r="B298" s="4" t="str">
        <x:v>RS-00172</x:v>
      </x:c>
      <x:c r="C298" s="9" t="n">
        <x:v>1</x:v>
      </x:c>
      <x:c r="D298" s="8" t="n">
        <x:v>45295</x:v>
      </x:c>
      <x:c r="E298" s="9" t="n">
        <x:v>3617250</x:v>
      </x:c>
      <x:c r="F298" s="9" t="n">
        <x:v>3617250</x:v>
      </x:c>
    </x:row>
    <x:row r="299" ht="34" customHeight="1">
      <x:c r="A299" s="4" t="str">
        <x:v>RS-00172-I2</x:v>
      </x:c>
      <x:c r="B299" s="4" t="str">
        <x:v>RS-00172</x:v>
      </x:c>
      <x:c r="C299" s="9" t="n">
        <x:v>2</x:v>
      </x:c>
      <x:c r="D299" s="8" t="n">
        <x:v>45325</x:v>
      </x:c>
      <x:c r="E299" s="9" t="n">
        <x:v>3617250</x:v>
      </x:c>
      <x:c r="F299" s="9" t="n">
        <x:v>3617250</x:v>
      </x:c>
    </x:row>
    <x:row r="300" ht="34" customHeight="1">
      <x:c r="A300" s="4" t="str">
        <x:v>RS-00172-I3</x:v>
      </x:c>
      <x:c r="B300" s="4" t="str">
        <x:v>RS-00172</x:v>
      </x:c>
      <x:c r="C300" s="9" t="n">
        <x:v>3</x:v>
      </x:c>
      <x:c r="D300" s="8" t="n">
        <x:v>45355</x:v>
      </x:c>
      <x:c r="E300" s="9" t="n">
        <x:v>3617250</x:v>
      </x:c>
      <x:c r="F300" s="9" t="n">
        <x:v>0</x:v>
      </x:c>
    </x:row>
    <x:row r="301" ht="34" customHeight="1">
      <x:c r="A301" s="4" t="str">
        <x:v>RS-00172-I4</x:v>
      </x:c>
      <x:c r="B301" s="4" t="str">
        <x:v>RS-00172</x:v>
      </x:c>
      <x:c r="C301" s="9" t="n">
        <x:v>4</x:v>
      </x:c>
      <x:c r="D301" s="8" t="n">
        <x:v>45385</x:v>
      </x:c>
      <x:c r="E301" s="9" t="n">
        <x:v>3617250</x:v>
      </x:c>
      <x:c r="F301" s="9" t="n">
        <x:v>0</x:v>
      </x:c>
    </x:row>
    <x:row r="302" ht="34" customHeight="1">
      <x:c r="A302" s="4" t="str">
        <x:v>RS-00173-I1</x:v>
      </x:c>
      <x:c r="B302" s="4" t="str">
        <x:v>RS-00173</x:v>
      </x:c>
      <x:c r="C302" s="9" t="n">
        <x:v>1</x:v>
      </x:c>
      <x:c r="D302" s="8" t="n">
        <x:v>45296</x:v>
      </x:c>
      <x:c r="E302" s="9" t="n">
        <x:v>3273750</x:v>
      </x:c>
      <x:c r="F302" s="9" t="n">
        <x:v>1309500</x:v>
      </x:c>
    </x:row>
    <x:row r="303" ht="34" customHeight="1">
      <x:c r="A303" s="4" t="str">
        <x:v>RS-00173-I2</x:v>
      </x:c>
      <x:c r="B303" s="4" t="str">
        <x:v>RS-00173</x:v>
      </x:c>
      <x:c r="C303" s="9" t="n">
        <x:v>2</x:v>
      </x:c>
      <x:c r="D303" s="8" t="n">
        <x:v>45326</x:v>
      </x:c>
      <x:c r="E303" s="9" t="n">
        <x:v>3273750</x:v>
      </x:c>
      <x:c r="F303" s="9" t="n">
        <x:v>0</x:v>
      </x:c>
    </x:row>
    <x:row r="304" ht="34" customHeight="1">
      <x:c r="A304" s="4" t="str">
        <x:v>RS-00173-I3</x:v>
      </x:c>
      <x:c r="B304" s="4" t="str">
        <x:v>RS-00173</x:v>
      </x:c>
      <x:c r="C304" s="9" t="n">
        <x:v>3</x:v>
      </x:c>
      <x:c r="D304" s="8" t="n">
        <x:v>45356</x:v>
      </x:c>
      <x:c r="E304" s="9" t="n">
        <x:v>3273750</x:v>
      </x:c>
      <x:c r="F304" s="9" t="n">
        <x:v>0</x:v>
      </x:c>
    </x:row>
    <x:row r="305" ht="34" customHeight="1">
      <x:c r="A305" s="4" t="str">
        <x:v>RS-00173-I4</x:v>
      </x:c>
      <x:c r="B305" s="4" t="str">
        <x:v>RS-00173</x:v>
      </x:c>
      <x:c r="C305" s="9" t="n">
        <x:v>4</x:v>
      </x:c>
      <x:c r="D305" s="8" t="n">
        <x:v>45386</x:v>
      </x:c>
      <x:c r="E305" s="9" t="n">
        <x:v>3273750</x:v>
      </x:c>
      <x:c r="F305" s="9" t="n">
        <x:v>0</x:v>
      </x:c>
    </x:row>
    <x:row r="306" ht="34" customHeight="1">
      <x:c r="A306" s="4" t="str">
        <x:v>RS-00174-I1</x:v>
      </x:c>
      <x:c r="B306" s="4" t="str">
        <x:v>RS-00174</x:v>
      </x:c>
      <x:c r="C306" s="9" t="n">
        <x:v>1</x:v>
      </x:c>
      <x:c r="D306" s="8" t="n">
        <x:v>45297</x:v>
      </x:c>
      <x:c r="E306" s="9" t="n">
        <x:v>1691000</x:v>
      </x:c>
      <x:c r="F306" s="9" t="n">
        <x:v>1691000</x:v>
      </x:c>
    </x:row>
    <x:row r="307" ht="34" customHeight="1">
      <x:c r="A307" s="4" t="str">
        <x:v>RS-00174-I2</x:v>
      </x:c>
      <x:c r="B307" s="4" t="str">
        <x:v>RS-00174</x:v>
      </x:c>
      <x:c r="C307" s="9" t="n">
        <x:v>2</x:v>
      </x:c>
      <x:c r="D307" s="8" t="n">
        <x:v>45327</x:v>
      </x:c>
      <x:c r="E307" s="9" t="n">
        <x:v>1691000</x:v>
      </x:c>
      <x:c r="F307" s="9" t="n">
        <x:v>0</x:v>
      </x:c>
    </x:row>
    <x:row r="308" ht="34" customHeight="1">
      <x:c r="A308" s="4" t="str">
        <x:v>RS-00174-I3</x:v>
      </x:c>
      <x:c r="B308" s="4" t="str">
        <x:v>RS-00174</x:v>
      </x:c>
      <x:c r="C308" s="9" t="n">
        <x:v>3</x:v>
      </x:c>
      <x:c r="D308" s="8" t="n">
        <x:v>45357</x:v>
      </x:c>
      <x:c r="E308" s="9" t="n">
        <x:v>1691000</x:v>
      </x:c>
      <x:c r="F308" s="9" t="n">
        <x:v>0</x:v>
      </x:c>
    </x:row>
    <x:row r="309" ht="34" customHeight="1">
      <x:c r="A309" s="4" t="str">
        <x:v>RS-00174-I4</x:v>
      </x:c>
      <x:c r="B309" s="4" t="str">
        <x:v>RS-00174</x:v>
      </x:c>
      <x:c r="C309" s="9" t="n">
        <x:v>4</x:v>
      </x:c>
      <x:c r="D309" s="8" t="n">
        <x:v>45387</x:v>
      </x:c>
      <x:c r="E309" s="9" t="n">
        <x:v>1691000</x:v>
      </x:c>
      <x:c r="F309" s="9" t="n">
        <x:v>0</x:v>
      </x:c>
    </x:row>
    <x:row r="310" ht="34" customHeight="1">
      <x:c r="A310" s="4" t="str">
        <x:v>RS-00176-I1</x:v>
      </x:c>
      <x:c r="B310" s="4" t="str">
        <x:v>RS-00176</x:v>
      </x:c>
      <x:c r="C310" s="9" t="n">
        <x:v>1</x:v>
      </x:c>
      <x:c r="D310" s="8" t="n">
        <x:v>45299</x:v>
      </x:c>
      <x:c r="E310" s="9" t="n">
        <x:v>1225000</x:v>
      </x:c>
      <x:c r="F310" s="9" t="n">
        <x:v>1225000</x:v>
      </x:c>
    </x:row>
    <x:row r="311" ht="34" customHeight="1">
      <x:c r="A311" s="4" t="str">
        <x:v>RS-00176-I2</x:v>
      </x:c>
      <x:c r="B311" s="4" t="str">
        <x:v>RS-00176</x:v>
      </x:c>
      <x:c r="C311" s="9" t="n">
        <x:v>2</x:v>
      </x:c>
      <x:c r="D311" s="8" t="n">
        <x:v>45329</x:v>
      </x:c>
      <x:c r="E311" s="9" t="n">
        <x:v>1225000</x:v>
      </x:c>
      <x:c r="F311" s="9" t="n">
        <x:v>1225000</x:v>
      </x:c>
    </x:row>
    <x:row r="312" ht="34" customHeight="1">
      <x:c r="A312" s="4" t="str">
        <x:v>RS-00176-I3</x:v>
      </x:c>
      <x:c r="B312" s="4" t="str">
        <x:v>RS-00176</x:v>
      </x:c>
      <x:c r="C312" s="9" t="n">
        <x:v>3</x:v>
      </x:c>
      <x:c r="D312" s="8" t="n">
        <x:v>45359</x:v>
      </x:c>
      <x:c r="E312" s="9" t="n">
        <x:v>1225000</x:v>
      </x:c>
      <x:c r="F312" s="9" t="n">
        <x:v>0</x:v>
      </x:c>
    </x:row>
    <x:row r="313" ht="34" customHeight="1">
      <x:c r="A313" s="4" t="str">
        <x:v>RS-00176-I4</x:v>
      </x:c>
      <x:c r="B313" s="4" t="str">
        <x:v>RS-00176</x:v>
      </x:c>
      <x:c r="C313" s="9" t="n">
        <x:v>4</x:v>
      </x:c>
      <x:c r="D313" s="8" t="n">
        <x:v>45389</x:v>
      </x:c>
      <x:c r="E313" s="9" t="n">
        <x:v>1225000</x:v>
      </x:c>
      <x:c r="F313" s="9" t="n">
        <x:v>0</x:v>
      </x:c>
    </x:row>
    <x:row r="314" ht="34" customHeight="1">
      <x:c r="A314" s="4" t="str">
        <x:v>RS-00177-I1</x:v>
      </x:c>
      <x:c r="B314" s="4" t="str">
        <x:v>RS-00177</x:v>
      </x:c>
      <x:c r="C314" s="9" t="n">
        <x:v>1</x:v>
      </x:c>
      <x:c r="D314" s="8" t="n">
        <x:v>45300</x:v>
      </x:c>
      <x:c r="E314" s="9" t="n">
        <x:v>1092000</x:v>
      </x:c>
      <x:c r="F314" s="9" t="n">
        <x:v>1092000</x:v>
      </x:c>
    </x:row>
    <x:row r="315" ht="34" customHeight="1">
      <x:c r="A315" s="4" t="str">
        <x:v>RS-00177-I2</x:v>
      </x:c>
      <x:c r="B315" s="4" t="str">
        <x:v>RS-00177</x:v>
      </x:c>
      <x:c r="C315" s="9" t="n">
        <x:v>2</x:v>
      </x:c>
      <x:c r="D315" s="8" t="n">
        <x:v>45330</x:v>
      </x:c>
      <x:c r="E315" s="9" t="n">
        <x:v>1092000</x:v>
      </x:c>
      <x:c r="F315" s="9" t="n">
        <x:v>1092000</x:v>
      </x:c>
    </x:row>
    <x:row r="316" ht="34" customHeight="1">
      <x:c r="A316" s="4" t="str">
        <x:v>RS-00177-I3</x:v>
      </x:c>
      <x:c r="B316" s="4" t="str">
        <x:v>RS-00177</x:v>
      </x:c>
      <x:c r="C316" s="9" t="n">
        <x:v>3</x:v>
      </x:c>
      <x:c r="D316" s="8" t="n">
        <x:v>45360</x:v>
      </x:c>
      <x:c r="E316" s="9" t="n">
        <x:v>1092000</x:v>
      </x:c>
      <x:c r="F316" s="9" t="n">
        <x:v>1092000</x:v>
      </x:c>
    </x:row>
    <x:row r="317" ht="34" customHeight="1">
      <x:c r="A317" s="4" t="str">
        <x:v>RS-00177-I4</x:v>
      </x:c>
      <x:c r="B317" s="4" t="str">
        <x:v>RS-00177</x:v>
      </x:c>
      <x:c r="C317" s="9" t="n">
        <x:v>4</x:v>
      </x:c>
      <x:c r="D317" s="8" t="n">
        <x:v>45390</x:v>
      </x:c>
      <x:c r="E317" s="9" t="n">
        <x:v>1092000</x:v>
      </x:c>
      <x:c r="F317" s="9" t="n">
        <x:v>1092000</x:v>
      </x:c>
    </x:row>
    <x:row r="318" ht="34" customHeight="1">
      <x:c r="A318" s="4" t="str">
        <x:v>RS-00179-I1</x:v>
      </x:c>
      <x:c r="B318" s="4" t="str">
        <x:v>RS-00179</x:v>
      </x:c>
      <x:c r="C318" s="9" t="n">
        <x:v>1</x:v>
      </x:c>
      <x:c r="D318" s="8" t="n">
        <x:v>45302</x:v>
      </x:c>
      <x:c r="E318" s="9" t="n">
        <x:v>3491250</x:v>
      </x:c>
      <x:c r="F318" s="9" t="n">
        <x:v>3491250</x:v>
      </x:c>
    </x:row>
    <x:row r="319" ht="34" customHeight="1">
      <x:c r="A319" s="4" t="str">
        <x:v>RS-00179-I2</x:v>
      </x:c>
      <x:c r="B319" s="4" t="str">
        <x:v>RS-00179</x:v>
      </x:c>
      <x:c r="C319" s="9" t="n">
        <x:v>2</x:v>
      </x:c>
      <x:c r="D319" s="8" t="n">
        <x:v>45332</x:v>
      </x:c>
      <x:c r="E319" s="9" t="n">
        <x:v>3491250</x:v>
      </x:c>
      <x:c r="F319" s="9" t="n">
        <x:v>3491250</x:v>
      </x:c>
    </x:row>
    <x:row r="320" ht="34" customHeight="1">
      <x:c r="A320" s="4" t="str">
        <x:v>RS-00179-I3</x:v>
      </x:c>
      <x:c r="B320" s="4" t="str">
        <x:v>RS-00179</x:v>
      </x:c>
      <x:c r="C320" s="9" t="n">
        <x:v>3</x:v>
      </x:c>
      <x:c r="D320" s="8" t="n">
        <x:v>45362</x:v>
      </x:c>
      <x:c r="E320" s="9" t="n">
        <x:v>3491250</x:v>
      </x:c>
      <x:c r="F320" s="9" t="n">
        <x:v>0</x:v>
      </x:c>
    </x:row>
    <x:row r="321" ht="34" customHeight="1">
      <x:c r="A321" s="4" t="str">
        <x:v>RS-00179-I4</x:v>
      </x:c>
      <x:c r="B321" s="4" t="str">
        <x:v>RS-00179</x:v>
      </x:c>
      <x:c r="C321" s="9" t="n">
        <x:v>4</x:v>
      </x:c>
      <x:c r="D321" s="8" t="n">
        <x:v>45392</x:v>
      </x:c>
      <x:c r="E321" s="9" t="n">
        <x:v>3491250</x:v>
      </x:c>
      <x:c r="F321" s="9" t="n">
        <x:v>0</x:v>
      </x:c>
    </x:row>
    <x:row r="322" ht="34" customHeight="1">
      <x:c r="A322" s="4" t="str">
        <x:v>RS-00181-I1</x:v>
      </x:c>
      <x:c r="B322" s="4" t="str">
        <x:v>RS-00181</x:v>
      </x:c>
      <x:c r="C322" s="9" t="n">
        <x:v>1</x:v>
      </x:c>
      <x:c r="D322" s="8" t="n">
        <x:v>45304</x:v>
      </x:c>
      <x:c r="E322" s="9" t="n">
        <x:v>2992500</x:v>
      </x:c>
      <x:c r="F322" s="9" t="n">
        <x:v>2992500</x:v>
      </x:c>
    </x:row>
    <x:row r="323" ht="34" customHeight="1">
      <x:c r="A323" s="4" t="str">
        <x:v>RS-00181-I2</x:v>
      </x:c>
      <x:c r="B323" s="4" t="str">
        <x:v>RS-00181</x:v>
      </x:c>
      <x:c r="C323" s="9" t="n">
        <x:v>2</x:v>
      </x:c>
      <x:c r="D323" s="8" t="n">
        <x:v>45334</x:v>
      </x:c>
      <x:c r="E323" s="9" t="n">
        <x:v>2992500</x:v>
      </x:c>
      <x:c r="F323" s="9" t="n">
        <x:v>2992500</x:v>
      </x:c>
    </x:row>
    <x:row r="324" ht="34" customHeight="1">
      <x:c r="A324" s="4" t="str">
        <x:v>RS-00181-I3</x:v>
      </x:c>
      <x:c r="B324" s="4" t="str">
        <x:v>RS-00181</x:v>
      </x:c>
      <x:c r="C324" s="9" t="n">
        <x:v>3</x:v>
      </x:c>
      <x:c r="D324" s="8" t="n">
        <x:v>45364</x:v>
      </x:c>
      <x:c r="E324" s="9" t="n">
        <x:v>2992500</x:v>
      </x:c>
      <x:c r="F324" s="9" t="n">
        <x:v>2992500</x:v>
      </x:c>
    </x:row>
    <x:row r="325" ht="34" customHeight="1">
      <x:c r="A325" s="4" t="str">
        <x:v>RS-00181-I4</x:v>
      </x:c>
      <x:c r="B325" s="4" t="str">
        <x:v>RS-00181</x:v>
      </x:c>
      <x:c r="C325" s="9" t="n">
        <x:v>4</x:v>
      </x:c>
      <x:c r="D325" s="8" t="n">
        <x:v>45394</x:v>
      </x:c>
      <x:c r="E325" s="9" t="n">
        <x:v>2992500</x:v>
      </x:c>
      <x:c r="F325" s="9" t="n">
        <x:v>2992500</x:v>
      </x:c>
    </x:row>
    <x:row r="326" ht="34" customHeight="1">
      <x:c r="A326" s="4" t="str">
        <x:v>RS-00184-I1</x:v>
      </x:c>
      <x:c r="B326" s="4" t="str">
        <x:v>RS-00184</x:v>
      </x:c>
      <x:c r="C326" s="9" t="n">
        <x:v>1</x:v>
      </x:c>
      <x:c r="D326" s="8" t="n">
        <x:v>45307</x:v>
      </x:c>
      <x:c r="E326" s="9" t="n">
        <x:v>1472000</x:v>
      </x:c>
      <x:c r="F326" s="9" t="n">
        <x:v>1472000</x:v>
      </x:c>
    </x:row>
    <x:row r="327" ht="34" customHeight="1">
      <x:c r="A327" s="4" t="str">
        <x:v>RS-00184-I2</x:v>
      </x:c>
      <x:c r="B327" s="4" t="str">
        <x:v>RS-00184</x:v>
      </x:c>
      <x:c r="C327" s="9" t="n">
        <x:v>2</x:v>
      </x:c>
      <x:c r="D327" s="8" t="n">
        <x:v>45337</x:v>
      </x:c>
      <x:c r="E327" s="9" t="n">
        <x:v>1472000</x:v>
      </x:c>
      <x:c r="F327" s="9" t="n">
        <x:v>1472000</x:v>
      </x:c>
    </x:row>
    <x:row r="328" ht="34" customHeight="1">
      <x:c r="A328" s="4" t="str">
        <x:v>RS-00184-I3</x:v>
      </x:c>
      <x:c r="B328" s="4" t="str">
        <x:v>RS-00184</x:v>
      </x:c>
      <x:c r="C328" s="9" t="n">
        <x:v>3</x:v>
      </x:c>
      <x:c r="D328" s="8" t="n">
        <x:v>45367</x:v>
      </x:c>
      <x:c r="E328" s="9" t="n">
        <x:v>1472000</x:v>
      </x:c>
      <x:c r="F328" s="9" t="n">
        <x:v>1472000</x:v>
      </x:c>
    </x:row>
    <x:row r="329" ht="34" customHeight="1">
      <x:c r="A329" s="4" t="str">
        <x:v>RS-00184-I4</x:v>
      </x:c>
      <x:c r="B329" s="4" t="str">
        <x:v>RS-00184</x:v>
      </x:c>
      <x:c r="C329" s="9" t="n">
        <x:v>4</x:v>
      </x:c>
      <x:c r="D329" s="8" t="n">
        <x:v>45397</x:v>
      </x:c>
      <x:c r="E329" s="9" t="n">
        <x:v>1472000</x:v>
      </x:c>
      <x:c r="F329" s="9" t="n">
        <x:v>1472000</x:v>
      </x:c>
    </x:row>
    <x:row r="330" ht="34" customHeight="1">
      <x:c r="A330" s="4" t="str">
        <x:v>RS-00185-I1</x:v>
      </x:c>
      <x:c r="B330" s="4" t="str">
        <x:v>RS-00185</x:v>
      </x:c>
      <x:c r="C330" s="9" t="n">
        <x:v>1</x:v>
      </x:c>
      <x:c r="D330" s="8" t="n">
        <x:v>45308</x:v>
      </x:c>
      <x:c r="E330" s="9" t="n">
        <x:v>5395500</x:v>
      </x:c>
      <x:c r="F330" s="9" t="n">
        <x:v>5395500</x:v>
      </x:c>
    </x:row>
    <x:row r="331" ht="34" customHeight="1">
      <x:c r="A331" s="4" t="str">
        <x:v>RS-00185-I2</x:v>
      </x:c>
      <x:c r="B331" s="4" t="str">
        <x:v>RS-00185</x:v>
      </x:c>
      <x:c r="C331" s="9" t="n">
        <x:v>2</x:v>
      </x:c>
      <x:c r="D331" s="8" t="n">
        <x:v>45338</x:v>
      </x:c>
      <x:c r="E331" s="9" t="n">
        <x:v>5395500</x:v>
      </x:c>
      <x:c r="F331" s="9" t="n">
        <x:v>0</x:v>
      </x:c>
    </x:row>
    <x:row r="332" ht="34" customHeight="1">
      <x:c r="A332" s="4" t="str">
        <x:v>RS-00185-I3</x:v>
      </x:c>
      <x:c r="B332" s="4" t="str">
        <x:v>RS-00185</x:v>
      </x:c>
      <x:c r="C332" s="9" t="n">
        <x:v>3</x:v>
      </x:c>
      <x:c r="D332" s="8" t="n">
        <x:v>45368</x:v>
      </x:c>
      <x:c r="E332" s="9" t="n">
        <x:v>5395500</x:v>
      </x:c>
      <x:c r="F332" s="9" t="n">
        <x:v>0</x:v>
      </x:c>
    </x:row>
    <x:row r="333" ht="34" customHeight="1">
      <x:c r="A333" s="4" t="str">
        <x:v>RS-00185-I4</x:v>
      </x:c>
      <x:c r="B333" s="4" t="str">
        <x:v>RS-00185</x:v>
      </x:c>
      <x:c r="C333" s="9" t="n">
        <x:v>4</x:v>
      </x:c>
      <x:c r="D333" s="8" t="n">
        <x:v>45398</x:v>
      </x:c>
      <x:c r="E333" s="9" t="n">
        <x:v>5395500</x:v>
      </x:c>
      <x:c r="F333" s="9" t="n">
        <x:v>0</x:v>
      </x:c>
    </x:row>
    <x:row r="334" ht="34" customHeight="1">
      <x:c r="A334" s="4" t="str">
        <x:v>RS-00188-I1</x:v>
      </x:c>
      <x:c r="B334" s="4" t="str">
        <x:v>RS-00188</x:v>
      </x:c>
      <x:c r="C334" s="9" t="n">
        <x:v>1</x:v>
      </x:c>
      <x:c r="D334" s="8" t="n">
        <x:v>45311</x:v>
      </x:c>
      <x:c r="E334" s="9" t="n">
        <x:v>3904250</x:v>
      </x:c>
      <x:c r="F334" s="9" t="n">
        <x:v>3904250</x:v>
      </x:c>
    </x:row>
    <x:row r="335" ht="34" customHeight="1">
      <x:c r="A335" s="4" t="str">
        <x:v>RS-00188-I2</x:v>
      </x:c>
      <x:c r="B335" s="4" t="str">
        <x:v>RS-00188</x:v>
      </x:c>
      <x:c r="C335" s="9" t="n">
        <x:v>2</x:v>
      </x:c>
      <x:c r="D335" s="8" t="n">
        <x:v>45341</x:v>
      </x:c>
      <x:c r="E335" s="9" t="n">
        <x:v>3904250</x:v>
      </x:c>
      <x:c r="F335" s="9" t="n">
        <x:v>0</x:v>
      </x:c>
    </x:row>
    <x:row r="336" ht="34" customHeight="1">
      <x:c r="A336" s="4" t="str">
        <x:v>RS-00188-I3</x:v>
      </x:c>
      <x:c r="B336" s="4" t="str">
        <x:v>RS-00188</x:v>
      </x:c>
      <x:c r="C336" s="9" t="n">
        <x:v>3</x:v>
      </x:c>
      <x:c r="D336" s="8" t="n">
        <x:v>45371</x:v>
      </x:c>
      <x:c r="E336" s="9" t="n">
        <x:v>3904250</x:v>
      </x:c>
      <x:c r="F336" s="9" t="n">
        <x:v>0</x:v>
      </x:c>
    </x:row>
    <x:row r="337" ht="34" customHeight="1">
      <x:c r="A337" s="4" t="str">
        <x:v>RS-00188-I4</x:v>
      </x:c>
      <x:c r="B337" s="4" t="str">
        <x:v>RS-00188</x:v>
      </x:c>
      <x:c r="C337" s="9" t="n">
        <x:v>4</x:v>
      </x:c>
      <x:c r="D337" s="8" t="n">
        <x:v>45401</x:v>
      </x:c>
      <x:c r="E337" s="9" t="n">
        <x:v>3904250</x:v>
      </x:c>
      <x:c r="F337" s="9" t="n">
        <x:v>0</x:v>
      </x:c>
    </x:row>
    <x:row r="338" ht="34" customHeight="1">
      <x:c r="A338" s="4" t="str">
        <x:v>RS-00189-I1</x:v>
      </x:c>
      <x:c r="B338" s="4" t="str">
        <x:v>RS-00189</x:v>
      </x:c>
      <x:c r="C338" s="9" t="n">
        <x:v>1</x:v>
      </x:c>
      <x:c r="D338" s="8" t="n">
        <x:v>45312</x:v>
      </x:c>
      <x:c r="E338" s="9" t="n">
        <x:v>3712500</x:v>
      </x:c>
      <x:c r="F338" s="9" t="n">
        <x:v>3712500</x:v>
      </x:c>
    </x:row>
    <x:row r="339" ht="34" customHeight="1">
      <x:c r="A339" s="4" t="str">
        <x:v>RS-00189-I2</x:v>
      </x:c>
      <x:c r="B339" s="4" t="str">
        <x:v>RS-00189</x:v>
      </x:c>
      <x:c r="C339" s="9" t="n">
        <x:v>2</x:v>
      </x:c>
      <x:c r="D339" s="8" t="n">
        <x:v>45342</x:v>
      </x:c>
      <x:c r="E339" s="9" t="n">
        <x:v>3712500</x:v>
      </x:c>
      <x:c r="F339" s="9" t="n">
        <x:v>3712500</x:v>
      </x:c>
    </x:row>
    <x:row r="340" ht="34" customHeight="1">
      <x:c r="A340" s="4" t="str">
        <x:v>RS-00189-I3</x:v>
      </x:c>
      <x:c r="B340" s="4" t="str">
        <x:v>RS-00189</x:v>
      </x:c>
      <x:c r="C340" s="9" t="n">
        <x:v>3</x:v>
      </x:c>
      <x:c r="D340" s="8" t="n">
        <x:v>45372</x:v>
      </x:c>
      <x:c r="E340" s="9" t="n">
        <x:v>3712500</x:v>
      </x:c>
      <x:c r="F340" s="9" t="n">
        <x:v>3712500</x:v>
      </x:c>
    </x:row>
    <x:row r="341" ht="34" customHeight="1">
      <x:c r="A341" s="4" t="str">
        <x:v>RS-00189-I4</x:v>
      </x:c>
      <x:c r="B341" s="4" t="str">
        <x:v>RS-00189</x:v>
      </x:c>
      <x:c r="C341" s="9" t="n">
        <x:v>4</x:v>
      </x:c>
      <x:c r="D341" s="8" t="n">
        <x:v>45402</x:v>
      </x:c>
      <x:c r="E341" s="9" t="n">
        <x:v>3712500</x:v>
      </x:c>
      <x:c r="F341" s="9" t="n">
        <x:v>3712500</x:v>
      </x:c>
    </x:row>
    <x:row r="342" ht="34" customHeight="1">
      <x:c r="A342" s="4" t="str">
        <x:v>RS-00190-I1</x:v>
      </x:c>
      <x:c r="B342" s="4" t="str">
        <x:v>RS-00190</x:v>
      </x:c>
      <x:c r="C342" s="9" t="n">
        <x:v>1</x:v>
      </x:c>
      <x:c r="D342" s="8" t="n">
        <x:v>45313</x:v>
      </x:c>
      <x:c r="E342" s="9" t="n">
        <x:v>1192500</x:v>
      </x:c>
      <x:c r="F342" s="9" t="n">
        <x:v>1192500</x:v>
      </x:c>
    </x:row>
    <x:row r="343" ht="34" customHeight="1">
      <x:c r="A343" s="4" t="str">
        <x:v>RS-00190-I2</x:v>
      </x:c>
      <x:c r="B343" s="4" t="str">
        <x:v>RS-00190</x:v>
      </x:c>
      <x:c r="C343" s="9" t="n">
        <x:v>2</x:v>
      </x:c>
      <x:c r="D343" s="8" t="n">
        <x:v>45343</x:v>
      </x:c>
      <x:c r="E343" s="9" t="n">
        <x:v>1192500</x:v>
      </x:c>
      <x:c r="F343" s="9" t="n">
        <x:v>0</x:v>
      </x:c>
    </x:row>
    <x:row r="344" ht="34" customHeight="1">
      <x:c r="A344" s="4" t="str">
        <x:v>RS-00190-I3</x:v>
      </x:c>
      <x:c r="B344" s="4" t="str">
        <x:v>RS-00190</x:v>
      </x:c>
      <x:c r="C344" s="9" t="n">
        <x:v>3</x:v>
      </x:c>
      <x:c r="D344" s="8" t="n">
        <x:v>45373</x:v>
      </x:c>
      <x:c r="E344" s="9" t="n">
        <x:v>1192500</x:v>
      </x:c>
      <x:c r="F344" s="9" t="n">
        <x:v>0</x:v>
      </x:c>
    </x:row>
    <x:row r="345" ht="34" customHeight="1">
      <x:c r="A345" s="4" t="str">
        <x:v>RS-00190-I4</x:v>
      </x:c>
      <x:c r="B345" s="4" t="str">
        <x:v>RS-00190</x:v>
      </x:c>
      <x:c r="C345" s="9" t="n">
        <x:v>4</x:v>
      </x:c>
      <x:c r="D345" s="8" t="n">
        <x:v>45403</x:v>
      </x:c>
      <x:c r="E345" s="9" t="n">
        <x:v>1192500</x:v>
      </x:c>
      <x:c r="F345" s="9" t="n">
        <x:v>0</x:v>
      </x:c>
    </x:row>
    <x:row r="346" ht="34" customHeight="1">
      <x:c r="A346" s="4" t="str">
        <x:v>RS-00193-I1</x:v>
      </x:c>
      <x:c r="B346" s="4" t="str">
        <x:v>RS-00193</x:v>
      </x:c>
      <x:c r="C346" s="9" t="n">
        <x:v>1</x:v>
      </x:c>
      <x:c r="D346" s="8" t="n">
        <x:v>45316</x:v>
      </x:c>
      <x:c r="E346" s="9" t="n">
        <x:v>5197500</x:v>
      </x:c>
      <x:c r="F346" s="9" t="n">
        <x:v>5197500</x:v>
      </x:c>
    </x:row>
    <x:row r="347" ht="34" customHeight="1">
      <x:c r="A347" s="4" t="str">
        <x:v>RS-00193-I2</x:v>
      </x:c>
      <x:c r="B347" s="4" t="str">
        <x:v>RS-00193</x:v>
      </x:c>
      <x:c r="C347" s="9" t="n">
        <x:v>2</x:v>
      </x:c>
      <x:c r="D347" s="8" t="n">
        <x:v>45346</x:v>
      </x:c>
      <x:c r="E347" s="9" t="n">
        <x:v>5197500</x:v>
      </x:c>
      <x:c r="F347" s="9" t="n">
        <x:v>0</x:v>
      </x:c>
    </x:row>
    <x:row r="348" ht="34" customHeight="1">
      <x:c r="A348" s="4" t="str">
        <x:v>RS-00193-I3</x:v>
      </x:c>
      <x:c r="B348" s="4" t="str">
        <x:v>RS-00193</x:v>
      </x:c>
      <x:c r="C348" s="9" t="n">
        <x:v>3</x:v>
      </x:c>
      <x:c r="D348" s="8" t="n">
        <x:v>45376</x:v>
      </x:c>
      <x:c r="E348" s="9" t="n">
        <x:v>5197500</x:v>
      </x:c>
      <x:c r="F348" s="9" t="n">
        <x:v>0</x:v>
      </x:c>
    </x:row>
    <x:row r="349" ht="34" customHeight="1">
      <x:c r="A349" s="4" t="str">
        <x:v>RS-00193-I4</x:v>
      </x:c>
      <x:c r="B349" s="4" t="str">
        <x:v>RS-00193</x:v>
      </x:c>
      <x:c r="C349" s="9" t="n">
        <x:v>4</x:v>
      </x:c>
      <x:c r="D349" s="8" t="n">
        <x:v>45406</x:v>
      </x:c>
      <x:c r="E349" s="9" t="n">
        <x:v>5197500</x:v>
      </x:c>
      <x:c r="F349" s="9" t="n">
        <x:v>0</x:v>
      </x:c>
    </x:row>
    <x:row r="350" ht="34" customHeight="1">
      <x:c r="A350" s="4" t="str">
        <x:v>RS-00195-I1</x:v>
      </x:c>
      <x:c r="B350" s="4" t="str">
        <x:v>RS-00195</x:v>
      </x:c>
      <x:c r="C350" s="9" t="n">
        <x:v>1</x:v>
      </x:c>
      <x:c r="D350" s="8" t="n">
        <x:v>45318</x:v>
      </x:c>
      <x:c r="E350" s="9" t="n">
        <x:v>5165250</x:v>
      </x:c>
      <x:c r="F350" s="9" t="n">
        <x:v>5165250</x:v>
      </x:c>
    </x:row>
    <x:row r="351" ht="34" customHeight="1">
      <x:c r="A351" s="4" t="str">
        <x:v>RS-00195-I2</x:v>
      </x:c>
      <x:c r="B351" s="4" t="str">
        <x:v>RS-00195</x:v>
      </x:c>
      <x:c r="C351" s="9" t="n">
        <x:v>2</x:v>
      </x:c>
      <x:c r="D351" s="8" t="n">
        <x:v>45348</x:v>
      </x:c>
      <x:c r="E351" s="9" t="n">
        <x:v>5165250</x:v>
      </x:c>
      <x:c r="F351" s="9" t="n">
        <x:v>5165250</x:v>
      </x:c>
    </x:row>
    <x:row r="352" ht="34" customHeight="1">
      <x:c r="A352" s="4" t="str">
        <x:v>RS-00195-I3</x:v>
      </x:c>
      <x:c r="B352" s="4" t="str">
        <x:v>RS-00195</x:v>
      </x:c>
      <x:c r="C352" s="9" t="n">
        <x:v>3</x:v>
      </x:c>
      <x:c r="D352" s="8" t="n">
        <x:v>45378</x:v>
      </x:c>
      <x:c r="E352" s="9" t="n">
        <x:v>5165250</x:v>
      </x:c>
      <x:c r="F352" s="9" t="n">
        <x:v>5165250</x:v>
      </x:c>
    </x:row>
    <x:row r="353" ht="34" customHeight="1">
      <x:c r="A353" s="4" t="str">
        <x:v>RS-00195-I4</x:v>
      </x:c>
      <x:c r="B353" s="4" t="str">
        <x:v>RS-00195</x:v>
      </x:c>
      <x:c r="C353" s="9" t="n">
        <x:v>4</x:v>
      </x:c>
      <x:c r="D353" s="8" t="n">
        <x:v>45408</x:v>
      </x:c>
      <x:c r="E353" s="9" t="n">
        <x:v>5165250</x:v>
      </x:c>
      <x:c r="F353" s="9" t="n">
        <x:v>5165250</x:v>
      </x:c>
    </x:row>
    <x:row r="354" ht="34" customHeight="1">
      <x:c r="A354" s="4" t="str">
        <x:v>RS-00197-I1</x:v>
      </x:c>
      <x:c r="B354" s="4" t="str">
        <x:v>RS-00197</x:v>
      </x:c>
      <x:c r="C354" s="9" t="n">
        <x:v>1</x:v>
      </x:c>
      <x:c r="D354" s="8" t="n">
        <x:v>45292</x:v>
      </x:c>
      <x:c r="E354" s="9" t="n">
        <x:v>3871500</x:v>
      </x:c>
      <x:c r="F354" s="9" t="n">
        <x:v>3871500</x:v>
      </x:c>
    </x:row>
    <x:row r="355" ht="34" customHeight="1">
      <x:c r="A355" s="4" t="str">
        <x:v>RS-00197-I2</x:v>
      </x:c>
      <x:c r="B355" s="4" t="str">
        <x:v>RS-00197</x:v>
      </x:c>
      <x:c r="C355" s="9" t="n">
        <x:v>2</x:v>
      </x:c>
      <x:c r="D355" s="8" t="n">
        <x:v>45322</x:v>
      </x:c>
      <x:c r="E355" s="9" t="n">
        <x:v>3871500</x:v>
      </x:c>
      <x:c r="F355" s="9" t="n">
        <x:v>3871500</x:v>
      </x:c>
    </x:row>
    <x:row r="356" ht="34" customHeight="1">
      <x:c r="A356" s="4" t="str">
        <x:v>RS-00197-I3</x:v>
      </x:c>
      <x:c r="B356" s="4" t="str">
        <x:v>RS-00197</x:v>
      </x:c>
      <x:c r="C356" s="9" t="n">
        <x:v>3</x:v>
      </x:c>
      <x:c r="D356" s="8" t="n">
        <x:v>45352</x:v>
      </x:c>
      <x:c r="E356" s="9" t="n">
        <x:v>3871500</x:v>
      </x:c>
      <x:c r="F356" s="9" t="n">
        <x:v>3871500</x:v>
      </x:c>
    </x:row>
    <x:row r="357" ht="34" customHeight="1">
      <x:c r="A357" s="4" t="str">
        <x:v>RS-00197-I4</x:v>
      </x:c>
      <x:c r="B357" s="4" t="str">
        <x:v>RS-00197</x:v>
      </x:c>
      <x:c r="C357" s="9" t="n">
        <x:v>4</x:v>
      </x:c>
      <x:c r="D357" s="8" t="n">
        <x:v>45382</x:v>
      </x:c>
      <x:c r="E357" s="9" t="n">
        <x:v>3871500</x:v>
      </x:c>
      <x:c r="F357" s="9" t="n">
        <x:v>3871500</x:v>
      </x:c>
    </x:row>
    <x:row r="358" ht="34" customHeight="1">
      <x:c r="A358" s="4" t="str">
        <x:v>RS-00198-I1</x:v>
      </x:c>
      <x:c r="B358" s="4" t="str">
        <x:v>RS-00198</x:v>
      </x:c>
      <x:c r="C358" s="9" t="n">
        <x:v>1</x:v>
      </x:c>
      <x:c r="D358" s="8" t="n">
        <x:v>45293</x:v>
      </x:c>
      <x:c r="E358" s="9" t="n">
        <x:v>5045250</x:v>
      </x:c>
      <x:c r="F358" s="9" t="n">
        <x:v>5045250</x:v>
      </x:c>
    </x:row>
    <x:row r="359" ht="34" customHeight="1">
      <x:c r="A359" s="4" t="str">
        <x:v>RS-00198-I2</x:v>
      </x:c>
      <x:c r="B359" s="4" t="str">
        <x:v>RS-00198</x:v>
      </x:c>
      <x:c r="C359" s="9" t="n">
        <x:v>2</x:v>
      </x:c>
      <x:c r="D359" s="8" t="n">
        <x:v>45323</x:v>
      </x:c>
      <x:c r="E359" s="9" t="n">
        <x:v>5045250</x:v>
      </x:c>
      <x:c r="F359" s="9" t="n">
        <x:v>5045250</x:v>
      </x:c>
    </x:row>
    <x:row r="360" ht="34" customHeight="1">
      <x:c r="A360" s="4" t="str">
        <x:v>RS-00198-I3</x:v>
      </x:c>
      <x:c r="B360" s="4" t="str">
        <x:v>RS-00198</x:v>
      </x:c>
      <x:c r="C360" s="9" t="n">
        <x:v>3</x:v>
      </x:c>
      <x:c r="D360" s="8" t="n">
        <x:v>45353</x:v>
      </x:c>
      <x:c r="E360" s="9" t="n">
        <x:v>5045250</x:v>
      </x:c>
      <x:c r="F360" s="9" t="n">
        <x:v>0</x:v>
      </x:c>
    </x:row>
    <x:row r="361" ht="34" customHeight="1">
      <x:c r="A361" s="4" t="str">
        <x:v>RS-00198-I4</x:v>
      </x:c>
      <x:c r="B361" s="4" t="str">
        <x:v>RS-00198</x:v>
      </x:c>
      <x:c r="C361" s="9" t="n">
        <x:v>4</x:v>
      </x:c>
      <x:c r="D361" s="8" t="n">
        <x:v>45383</x:v>
      </x:c>
      <x:c r="E361" s="9" t="n">
        <x:v>5045250</x:v>
      </x:c>
      <x:c r="F361" s="9" t="n">
        <x:v>0</x:v>
      </x:c>
    </x:row>
    <x:row r="362" ht="34" customHeight="1">
      <x:c r="A362" s="4" t="str">
        <x:v>RS-00200-I1</x:v>
      </x:c>
      <x:c r="B362" s="4" t="str">
        <x:v>RS-00200</x:v>
      </x:c>
      <x:c r="C362" s="9" t="n">
        <x:v>1</x:v>
      </x:c>
      <x:c r="D362" s="8" t="n">
        <x:v>45295</x:v>
      </x:c>
      <x:c r="E362" s="9" t="n">
        <x:v>2400000</x:v>
      </x:c>
      <x:c r="F362" s="9" t="n">
        <x:v>960000</x:v>
      </x:c>
    </x:row>
    <x:row r="363" ht="34" customHeight="1">
      <x:c r="A363" s="4" t="str">
        <x:v>RS-00200-I2</x:v>
      </x:c>
      <x:c r="B363" s="4" t="str">
        <x:v>RS-00200</x:v>
      </x:c>
      <x:c r="C363" s="9" t="n">
        <x:v>2</x:v>
      </x:c>
      <x:c r="D363" s="8" t="n">
        <x:v>45325</x:v>
      </x:c>
      <x:c r="E363" s="9" t="n">
        <x:v>2400000</x:v>
      </x:c>
      <x:c r="F363" s="9" t="n">
        <x:v>0</x:v>
      </x:c>
    </x:row>
    <x:row r="364" ht="34" customHeight="1">
      <x:c r="A364" s="4" t="str">
        <x:v>RS-00200-I3</x:v>
      </x:c>
      <x:c r="B364" s="4" t="str">
        <x:v>RS-00200</x:v>
      </x:c>
      <x:c r="C364" s="9" t="n">
        <x:v>3</x:v>
      </x:c>
      <x:c r="D364" s="8" t="n">
        <x:v>45355</x:v>
      </x:c>
      <x:c r="E364" s="9" t="n">
        <x:v>2400000</x:v>
      </x:c>
      <x:c r="F364" s="9" t="n">
        <x:v>0</x:v>
      </x:c>
    </x:row>
    <x:row r="365" ht="34" customHeight="1">
      <x:c r="A365" s="4" t="str">
        <x:v>RS-00200-I4</x:v>
      </x:c>
      <x:c r="B365" s="4" t="str">
        <x:v>RS-00200</x:v>
      </x:c>
      <x:c r="C365" s="9" t="n">
        <x:v>4</x:v>
      </x:c>
      <x:c r="D365" s="8" t="n">
        <x:v>45385</x:v>
      </x:c>
      <x:c r="E365" s="9" t="n">
        <x:v>2400000</x:v>
      </x:c>
      <x:c r="F365" s="9" t="n">
        <x:v>0</x:v>
      </x:c>
    </x:row>
    <x:row r="366" ht="34" customHeight="1">
      <x:c r="A366" s="4" t="str">
        <x:v>RS-00201-I1</x:v>
      </x:c>
      <x:c r="B366" s="4" t="str">
        <x:v>RS-00201</x:v>
      </x:c>
      <x:c r="C366" s="9" t="n">
        <x:v>1</x:v>
      </x:c>
      <x:c r="D366" s="8" t="n">
        <x:v>45296</x:v>
      </x:c>
      <x:c r="E366" s="9" t="n">
        <x:v>4378000</x:v>
      </x:c>
      <x:c r="F366" s="9" t="n">
        <x:v>4378000</x:v>
      </x:c>
    </x:row>
    <x:row r="367" ht="34" customHeight="1">
      <x:c r="A367" s="4" t="str">
        <x:v>RS-00201-I2</x:v>
      </x:c>
      <x:c r="B367" s="4" t="str">
        <x:v>RS-00201</x:v>
      </x:c>
      <x:c r="C367" s="9" t="n">
        <x:v>2</x:v>
      </x:c>
      <x:c r="D367" s="8" t="n">
        <x:v>45326</x:v>
      </x:c>
      <x:c r="E367" s="9" t="n">
        <x:v>4378000</x:v>
      </x:c>
      <x:c r="F367" s="9" t="n">
        <x:v>4378000</x:v>
      </x:c>
    </x:row>
    <x:row r="368" ht="34" customHeight="1">
      <x:c r="A368" s="4" t="str">
        <x:v>RS-00201-I3</x:v>
      </x:c>
      <x:c r="B368" s="4" t="str">
        <x:v>RS-00201</x:v>
      </x:c>
      <x:c r="C368" s="9" t="n">
        <x:v>3</x:v>
      </x:c>
      <x:c r="D368" s="8" t="n">
        <x:v>45356</x:v>
      </x:c>
      <x:c r="E368" s="9" t="n">
        <x:v>4378000</x:v>
      </x:c>
      <x:c r="F368" s="9" t="n">
        <x:v>0</x:v>
      </x:c>
    </x:row>
    <x:row r="369" ht="34" customHeight="1">
      <x:c r="A369" s="4" t="str">
        <x:v>RS-00201-I4</x:v>
      </x:c>
      <x:c r="B369" s="4" t="str">
        <x:v>RS-00201</x:v>
      </x:c>
      <x:c r="C369" s="9" t="n">
        <x:v>4</x:v>
      </x:c>
      <x:c r="D369" s="8" t="n">
        <x:v>45386</x:v>
      </x:c>
      <x:c r="E369" s="9" t="n">
        <x:v>4378000</x:v>
      </x:c>
      <x:c r="F369" s="9" t="n">
        <x:v>0</x:v>
      </x:c>
    </x:row>
    <x:row r="370" ht="34" customHeight="1">
      <x:c r="A370" s="4" t="str">
        <x:v>RS-00202-I1</x:v>
      </x:c>
      <x:c r="B370" s="4" t="str">
        <x:v>RS-00202</x:v>
      </x:c>
      <x:c r="C370" s="9" t="n">
        <x:v>1</x:v>
      </x:c>
      <x:c r="D370" s="8" t="n">
        <x:v>45297</x:v>
      </x:c>
      <x:c r="E370" s="9" t="n">
        <x:v>4371000</x:v>
      </x:c>
      <x:c r="F370" s="9" t="n">
        <x:v>4371000</x:v>
      </x:c>
    </x:row>
    <x:row r="371" ht="34" customHeight="1">
      <x:c r="A371" s="4" t="str">
        <x:v>RS-00202-I2</x:v>
      </x:c>
      <x:c r="B371" s="4" t="str">
        <x:v>RS-00202</x:v>
      </x:c>
      <x:c r="C371" s="9" t="n">
        <x:v>2</x:v>
      </x:c>
      <x:c r="D371" s="8" t="n">
        <x:v>45327</x:v>
      </x:c>
      <x:c r="E371" s="9" t="n">
        <x:v>4371000</x:v>
      </x:c>
      <x:c r="F371" s="9" t="n">
        <x:v>0</x:v>
      </x:c>
    </x:row>
    <x:row r="372" ht="34" customHeight="1">
      <x:c r="A372" s="4" t="str">
        <x:v>RS-00202-I3</x:v>
      </x:c>
      <x:c r="B372" s="4" t="str">
        <x:v>RS-00202</x:v>
      </x:c>
      <x:c r="C372" s="9" t="n">
        <x:v>3</x:v>
      </x:c>
      <x:c r="D372" s="8" t="n">
        <x:v>45357</x:v>
      </x:c>
      <x:c r="E372" s="9" t="n">
        <x:v>4371000</x:v>
      </x:c>
      <x:c r="F372" s="9" t="n">
        <x:v>0</x:v>
      </x:c>
    </x:row>
    <x:row r="373" ht="34" customHeight="1">
      <x:c r="A373" s="4" t="str">
        <x:v>RS-00202-I4</x:v>
      </x:c>
      <x:c r="B373" s="4" t="str">
        <x:v>RS-00202</x:v>
      </x:c>
      <x:c r="C373" s="9" t="n">
        <x:v>4</x:v>
      </x:c>
      <x:c r="D373" s="8" t="n">
        <x:v>45387</x:v>
      </x:c>
      <x:c r="E373" s="9" t="n">
        <x:v>4371000</x:v>
      </x:c>
      <x:c r="F373" s="9" t="n">
        <x:v>0</x:v>
      </x:c>
    </x:row>
    <x:row r="374" ht="34" customHeight="1">
      <x:c r="A374" s="4" t="str">
        <x:v>RS-00203-I1</x:v>
      </x:c>
      <x:c r="B374" s="4" t="str">
        <x:v>RS-00203</x:v>
      </x:c>
      <x:c r="C374" s="9" t="n">
        <x:v>1</x:v>
      </x:c>
      <x:c r="D374" s="8" t="n">
        <x:v>45298</x:v>
      </x:c>
      <x:c r="E374" s="9" t="n">
        <x:v>3356500</x:v>
      </x:c>
      <x:c r="F374" s="9" t="n">
        <x:v>3356500</x:v>
      </x:c>
    </x:row>
    <x:row r="375" ht="34" customHeight="1">
      <x:c r="A375" s="4" t="str">
        <x:v>RS-00203-I2</x:v>
      </x:c>
      <x:c r="B375" s="4" t="str">
        <x:v>RS-00203</x:v>
      </x:c>
      <x:c r="C375" s="9" t="n">
        <x:v>2</x:v>
      </x:c>
      <x:c r="D375" s="8" t="n">
        <x:v>45328</x:v>
      </x:c>
      <x:c r="E375" s="9" t="n">
        <x:v>3356500</x:v>
      </x:c>
      <x:c r="F375" s="9" t="n">
        <x:v>3356500</x:v>
      </x:c>
    </x:row>
    <x:row r="376" ht="34" customHeight="1">
      <x:c r="A376" s="4" t="str">
        <x:v>RS-00203-I3</x:v>
      </x:c>
      <x:c r="B376" s="4" t="str">
        <x:v>RS-00203</x:v>
      </x:c>
      <x:c r="C376" s="9" t="n">
        <x:v>3</x:v>
      </x:c>
      <x:c r="D376" s="8" t="n">
        <x:v>45358</x:v>
      </x:c>
      <x:c r="E376" s="9" t="n">
        <x:v>3356500</x:v>
      </x:c>
      <x:c r="F376" s="9" t="n">
        <x:v>0</x:v>
      </x:c>
    </x:row>
    <x:row r="377" ht="34" customHeight="1">
      <x:c r="A377" s="4" t="str">
        <x:v>RS-00203-I4</x:v>
      </x:c>
      <x:c r="B377" s="4" t="str">
        <x:v>RS-00203</x:v>
      </x:c>
      <x:c r="C377" s="9" t="n">
        <x:v>4</x:v>
      </x:c>
      <x:c r="D377" s="8" t="n">
        <x:v>45388</x:v>
      </x:c>
      <x:c r="E377" s="9" t="n">
        <x:v>3356500</x:v>
      </x:c>
      <x:c r="F377" s="9" t="n">
        <x:v>0</x:v>
      </x:c>
    </x:row>
    <x:row r="378" ht="34" customHeight="1">
      <x:c r="A378" s="4" t="str">
        <x:v>RS-00204-I1</x:v>
      </x:c>
      <x:c r="B378" s="4" t="str">
        <x:v>RS-00204</x:v>
      </x:c>
      <x:c r="C378" s="9" t="n">
        <x:v>1</x:v>
      </x:c>
      <x:c r="D378" s="8" t="n">
        <x:v>45299</x:v>
      </x:c>
      <x:c r="E378" s="9" t="n">
        <x:v>2597000</x:v>
      </x:c>
      <x:c r="F378" s="9" t="n">
        <x:v>2597000</x:v>
      </x:c>
    </x:row>
    <x:row r="379" ht="34" customHeight="1">
      <x:c r="A379" s="4" t="str">
        <x:v>RS-00204-I2</x:v>
      </x:c>
      <x:c r="B379" s="4" t="str">
        <x:v>RS-00204</x:v>
      </x:c>
      <x:c r="C379" s="9" t="n">
        <x:v>2</x:v>
      </x:c>
      <x:c r="D379" s="8" t="n">
        <x:v>45329</x:v>
      </x:c>
      <x:c r="E379" s="9" t="n">
        <x:v>2597000</x:v>
      </x:c>
      <x:c r="F379" s="9" t="n">
        <x:v>0</x:v>
      </x:c>
    </x:row>
    <x:row r="380" ht="34" customHeight="1">
      <x:c r="A380" s="4" t="str">
        <x:v>RS-00204-I3</x:v>
      </x:c>
      <x:c r="B380" s="4" t="str">
        <x:v>RS-00204</x:v>
      </x:c>
      <x:c r="C380" s="9" t="n">
        <x:v>3</x:v>
      </x:c>
      <x:c r="D380" s="8" t="n">
        <x:v>45359</x:v>
      </x:c>
      <x:c r="E380" s="9" t="n">
        <x:v>2597000</x:v>
      </x:c>
      <x:c r="F380" s="9" t="n">
        <x:v>0</x:v>
      </x:c>
    </x:row>
    <x:row r="381" ht="34" customHeight="1">
      <x:c r="A381" s="4" t="str">
        <x:v>RS-00204-I4</x:v>
      </x:c>
      <x:c r="B381" s="4" t="str">
        <x:v>RS-00204</x:v>
      </x:c>
      <x:c r="C381" s="9" t="n">
        <x:v>4</x:v>
      </x:c>
      <x:c r="D381" s="8" t="n">
        <x:v>45389</x:v>
      </x:c>
      <x:c r="E381" s="9" t="n">
        <x:v>2597000</x:v>
      </x:c>
      <x:c r="F381" s="9" t="n">
        <x:v>0</x:v>
      </x:c>
    </x:row>
    <x:row r="382" ht="34" customHeight="1">
      <x:c r="A382" s="4" t="str">
        <x:v>RS-00209-I1</x:v>
      </x:c>
      <x:c r="B382" s="4" t="str">
        <x:v>RS-00209</x:v>
      </x:c>
      <x:c r="C382" s="9" t="n">
        <x:v>1</x:v>
      </x:c>
      <x:c r="D382" s="8" t="n">
        <x:v>45304</x:v>
      </x:c>
      <x:c r="E382" s="9" t="n">
        <x:v>1248000</x:v>
      </x:c>
      <x:c r="F382" s="9" t="n">
        <x:v>1248000</x:v>
      </x:c>
    </x:row>
    <x:row r="383" ht="34" customHeight="1">
      <x:c r="A383" s="4" t="str">
        <x:v>RS-00209-I2</x:v>
      </x:c>
      <x:c r="B383" s="4" t="str">
        <x:v>RS-00209</x:v>
      </x:c>
      <x:c r="C383" s="9" t="n">
        <x:v>2</x:v>
      </x:c>
      <x:c r="D383" s="8" t="n">
        <x:v>45334</x:v>
      </x:c>
      <x:c r="E383" s="9" t="n">
        <x:v>1248000</x:v>
      </x:c>
      <x:c r="F383" s="9" t="n">
        <x:v>1248000</x:v>
      </x:c>
    </x:row>
    <x:row r="384" ht="34" customHeight="1">
      <x:c r="A384" s="4" t="str">
        <x:v>RS-00209-I3</x:v>
      </x:c>
      <x:c r="B384" s="4" t="str">
        <x:v>RS-00209</x:v>
      </x:c>
      <x:c r="C384" s="9" t="n">
        <x:v>3</x:v>
      </x:c>
      <x:c r="D384" s="8" t="n">
        <x:v>45364</x:v>
      </x:c>
      <x:c r="E384" s="9" t="n">
        <x:v>1248000</x:v>
      </x:c>
      <x:c r="F384" s="9" t="n">
        <x:v>0</x:v>
      </x:c>
    </x:row>
    <x:row r="385" ht="34" customHeight="1">
      <x:c r="A385" s="4" t="str">
        <x:v>RS-00209-I4</x:v>
      </x:c>
      <x:c r="B385" s="4" t="str">
        <x:v>RS-00209</x:v>
      </x:c>
      <x:c r="C385" s="9" t="n">
        <x:v>4</x:v>
      </x:c>
      <x:c r="D385" s="8" t="n">
        <x:v>45394</x:v>
      </x:c>
      <x:c r="E385" s="9" t="n">
        <x:v>1248000</x:v>
      </x:c>
      <x:c r="F385" s="9" t="n">
        <x:v>0</x:v>
      </x:c>
    </x:row>
    <x:row r="386" ht="34" customHeight="1">
      <x:c r="A386" s="4" t="str">
        <x:v>RS-00211-I1</x:v>
      </x:c>
      <x:c r="B386" s="4" t="str">
        <x:v>RS-00211</x:v>
      </x:c>
      <x:c r="C386" s="9" t="n">
        <x:v>1</x:v>
      </x:c>
      <x:c r="D386" s="8" t="n">
        <x:v>45306</x:v>
      </x:c>
      <x:c r="E386" s="9" t="n">
        <x:v>3226250</x:v>
      </x:c>
      <x:c r="F386" s="9" t="n">
        <x:v>1290500</x:v>
      </x:c>
    </x:row>
    <x:row r="387" ht="34" customHeight="1">
      <x:c r="A387" s="4" t="str">
        <x:v>RS-00211-I2</x:v>
      </x:c>
      <x:c r="B387" s="4" t="str">
        <x:v>RS-00211</x:v>
      </x:c>
      <x:c r="C387" s="9" t="n">
        <x:v>2</x:v>
      </x:c>
      <x:c r="D387" s="8" t="n">
        <x:v>45336</x:v>
      </x:c>
      <x:c r="E387" s="9" t="n">
        <x:v>3226250</x:v>
      </x:c>
      <x:c r="F387" s="9" t="n">
        <x:v>0</x:v>
      </x:c>
    </x:row>
    <x:row r="388" ht="34" customHeight="1">
      <x:c r="A388" s="4" t="str">
        <x:v>RS-00211-I3</x:v>
      </x:c>
      <x:c r="B388" s="4" t="str">
        <x:v>RS-00211</x:v>
      </x:c>
      <x:c r="C388" s="9" t="n">
        <x:v>3</x:v>
      </x:c>
      <x:c r="D388" s="8" t="n">
        <x:v>45366</x:v>
      </x:c>
      <x:c r="E388" s="9" t="n">
        <x:v>3226250</x:v>
      </x:c>
      <x:c r="F388" s="9" t="n">
        <x:v>0</x:v>
      </x:c>
    </x:row>
    <x:row r="389" ht="34" customHeight="1">
      <x:c r="A389" s="4" t="str">
        <x:v>RS-00211-I4</x:v>
      </x:c>
      <x:c r="B389" s="4" t="str">
        <x:v>RS-00211</x:v>
      </x:c>
      <x:c r="C389" s="9" t="n">
        <x:v>4</x:v>
      </x:c>
      <x:c r="D389" s="8" t="n">
        <x:v>45396</x:v>
      </x:c>
      <x:c r="E389" s="9" t="n">
        <x:v>3226250</x:v>
      </x:c>
      <x:c r="F389" s="9" t="n">
        <x:v>0</x:v>
      </x:c>
    </x:row>
    <x:row r="390" ht="34" customHeight="1">
      <x:c r="A390" s="4" t="str">
        <x:v>RS-00212-I1</x:v>
      </x:c>
      <x:c r="B390" s="4" t="str">
        <x:v>RS-00212</x:v>
      </x:c>
      <x:c r="C390" s="9" t="n">
        <x:v>1</x:v>
      </x:c>
      <x:c r="D390" s="8" t="n">
        <x:v>45307</x:v>
      </x:c>
      <x:c r="E390" s="9" t="n">
        <x:v>4825750</x:v>
      </x:c>
      <x:c r="F390" s="9" t="n">
        <x:v>4825750</x:v>
      </x:c>
    </x:row>
    <x:row r="391" ht="34" customHeight="1">
      <x:c r="A391" s="4" t="str">
        <x:v>RS-00212-I2</x:v>
      </x:c>
      <x:c r="B391" s="4" t="str">
        <x:v>RS-00212</x:v>
      </x:c>
      <x:c r="C391" s="9" t="n">
        <x:v>2</x:v>
      </x:c>
      <x:c r="D391" s="8" t="n">
        <x:v>45337</x:v>
      </x:c>
      <x:c r="E391" s="9" t="n">
        <x:v>4825750</x:v>
      </x:c>
      <x:c r="F391" s="9" t="n">
        <x:v>4825750</x:v>
      </x:c>
    </x:row>
    <x:row r="392" ht="34" customHeight="1">
      <x:c r="A392" s="4" t="str">
        <x:v>RS-00212-I3</x:v>
      </x:c>
      <x:c r="B392" s="4" t="str">
        <x:v>RS-00212</x:v>
      </x:c>
      <x:c r="C392" s="9" t="n">
        <x:v>3</x:v>
      </x:c>
      <x:c r="D392" s="8" t="n">
        <x:v>45367</x:v>
      </x:c>
      <x:c r="E392" s="9" t="n">
        <x:v>4825750</x:v>
      </x:c>
      <x:c r="F392" s="9" t="n">
        <x:v>4825750</x:v>
      </x:c>
    </x:row>
    <x:row r="393" ht="34" customHeight="1">
      <x:c r="A393" s="4" t="str">
        <x:v>RS-00212-I4</x:v>
      </x:c>
      <x:c r="B393" s="4" t="str">
        <x:v>RS-00212</x:v>
      </x:c>
      <x:c r="C393" s="9" t="n">
        <x:v>4</x:v>
      </x:c>
      <x:c r="D393" s="8" t="n">
        <x:v>45397</x:v>
      </x:c>
      <x:c r="E393" s="9" t="n">
        <x:v>4825750</x:v>
      </x:c>
      <x:c r="F393" s="9" t="n">
        <x:v>4825750</x:v>
      </x:c>
    </x:row>
    <x:row r="394" ht="34" customHeight="1">
      <x:c r="A394" s="4" t="str">
        <x:v>RS-00213-I1</x:v>
      </x:c>
      <x:c r="B394" s="4" t="str">
        <x:v>RS-00213</x:v>
      </x:c>
      <x:c r="C394" s="9" t="n">
        <x:v>1</x:v>
      </x:c>
      <x:c r="D394" s="8" t="n">
        <x:v>45308</x:v>
      </x:c>
      <x:c r="E394" s="9" t="n">
        <x:v>1686250</x:v>
      </x:c>
      <x:c r="F394" s="9" t="n">
        <x:v>1686250</x:v>
      </x:c>
    </x:row>
    <x:row r="395" ht="34" customHeight="1">
      <x:c r="A395" s="4" t="str">
        <x:v>RS-00213-I2</x:v>
      </x:c>
      <x:c r="B395" s="4" t="str">
        <x:v>RS-00213</x:v>
      </x:c>
      <x:c r="C395" s="9" t="n">
        <x:v>2</x:v>
      </x:c>
      <x:c r="D395" s="8" t="n">
        <x:v>45338</x:v>
      </x:c>
      <x:c r="E395" s="9" t="n">
        <x:v>1686250</x:v>
      </x:c>
      <x:c r="F395" s="9" t="n">
        <x:v>0</x:v>
      </x:c>
    </x:row>
    <x:row r="396" ht="34" customHeight="1">
      <x:c r="A396" s="4" t="str">
        <x:v>RS-00213-I3</x:v>
      </x:c>
      <x:c r="B396" s="4" t="str">
        <x:v>RS-00213</x:v>
      </x:c>
      <x:c r="C396" s="9" t="n">
        <x:v>3</x:v>
      </x:c>
      <x:c r="D396" s="8" t="n">
        <x:v>45368</x:v>
      </x:c>
      <x:c r="E396" s="9" t="n">
        <x:v>1686250</x:v>
      </x:c>
      <x:c r="F396" s="9" t="n">
        <x:v>0</x:v>
      </x:c>
    </x:row>
    <x:row r="397" ht="34" customHeight="1">
      <x:c r="A397" s="4" t="str">
        <x:v>RS-00213-I4</x:v>
      </x:c>
      <x:c r="B397" s="4" t="str">
        <x:v>RS-00213</x:v>
      </x:c>
      <x:c r="C397" s="9" t="n">
        <x:v>4</x:v>
      </x:c>
      <x:c r="D397" s="8" t="n">
        <x:v>45398</x:v>
      </x:c>
      <x:c r="E397" s="9" t="n">
        <x:v>1686250</x:v>
      </x:c>
      <x:c r="F397" s="9" t="n">
        <x:v>0</x:v>
      </x:c>
    </x:row>
    <x:row r="398" ht="34" customHeight="1">
      <x:c r="A398" s="4" t="str">
        <x:v>RS-00214-I1</x:v>
      </x:c>
      <x:c r="B398" s="4" t="str">
        <x:v>RS-00214</x:v>
      </x:c>
      <x:c r="C398" s="9" t="n">
        <x:v>1</x:v>
      </x:c>
      <x:c r="D398" s="8" t="n">
        <x:v>45309</x:v>
      </x:c>
      <x:c r="E398" s="9" t="n">
        <x:v>1915750</x:v>
      </x:c>
      <x:c r="F398" s="9" t="n">
        <x:v>1915750</x:v>
      </x:c>
    </x:row>
    <x:row r="399" ht="34" customHeight="1">
      <x:c r="A399" s="4" t="str">
        <x:v>RS-00214-I2</x:v>
      </x:c>
      <x:c r="B399" s="4" t="str">
        <x:v>RS-00214</x:v>
      </x:c>
      <x:c r="C399" s="9" t="n">
        <x:v>2</x:v>
      </x:c>
      <x:c r="D399" s="8" t="n">
        <x:v>45339</x:v>
      </x:c>
      <x:c r="E399" s="9" t="n">
        <x:v>1915750</x:v>
      </x:c>
      <x:c r="F399" s="9" t="n">
        <x:v>0</x:v>
      </x:c>
    </x:row>
    <x:row r="400" ht="34" customHeight="1">
      <x:c r="A400" s="4" t="str">
        <x:v>RS-00214-I3</x:v>
      </x:c>
      <x:c r="B400" s="4" t="str">
        <x:v>RS-00214</x:v>
      </x:c>
      <x:c r="C400" s="9" t="n">
        <x:v>3</x:v>
      </x:c>
      <x:c r="D400" s="8" t="n">
        <x:v>45369</x:v>
      </x:c>
      <x:c r="E400" s="9" t="n">
        <x:v>1915750</x:v>
      </x:c>
      <x:c r="F400" s="9" t="n">
        <x:v>0</x:v>
      </x:c>
    </x:row>
    <x:row r="401" ht="34" customHeight="1">
      <x:c r="A401" s="4" t="str">
        <x:v>RS-00214-I4</x:v>
      </x:c>
      <x:c r="B401" s="4" t="str">
        <x:v>RS-00214</x:v>
      </x:c>
      <x:c r="C401" s="9" t="n">
        <x:v>4</x:v>
      </x:c>
      <x:c r="D401" s="8" t="n">
        <x:v>45399</x:v>
      </x:c>
      <x:c r="E401" s="9" t="n">
        <x:v>1915750</x:v>
      </x:c>
      <x:c r="F401" s="9" t="n">
        <x:v>0</x:v>
      </x:c>
    </x:row>
    <x:row r="402" ht="34" customHeight="1">
      <x:c r="A402" s="4" t="str">
        <x:v>RS-00216-I1</x:v>
      </x:c>
      <x:c r="B402" s="4" t="str">
        <x:v>RS-00216</x:v>
      </x:c>
      <x:c r="C402" s="9" t="n">
        <x:v>1</x:v>
      </x:c>
      <x:c r="D402" s="8" t="n">
        <x:v>45311</x:v>
      </x:c>
      <x:c r="E402" s="9" t="n">
        <x:v>1254000</x:v>
      </x:c>
      <x:c r="F402" s="9" t="n">
        <x:v>1254000</x:v>
      </x:c>
    </x:row>
    <x:row r="403" ht="34" customHeight="1">
      <x:c r="A403" s="4" t="str">
        <x:v>RS-00216-I2</x:v>
      </x:c>
      <x:c r="B403" s="4" t="str">
        <x:v>RS-00216</x:v>
      </x:c>
      <x:c r="C403" s="9" t="n">
        <x:v>2</x:v>
      </x:c>
      <x:c r="D403" s="8" t="n">
        <x:v>45341</x:v>
      </x:c>
      <x:c r="E403" s="9" t="n">
        <x:v>1254000</x:v>
      </x:c>
      <x:c r="F403" s="9" t="n">
        <x:v>1254000</x:v>
      </x:c>
    </x:row>
    <x:row r="404" ht="34" customHeight="1">
      <x:c r="A404" s="4" t="str">
        <x:v>RS-00216-I3</x:v>
      </x:c>
      <x:c r="B404" s="4" t="str">
        <x:v>RS-00216</x:v>
      </x:c>
      <x:c r="C404" s="9" t="n">
        <x:v>3</x:v>
      </x:c>
      <x:c r="D404" s="8" t="n">
        <x:v>45371</x:v>
      </x:c>
      <x:c r="E404" s="9" t="n">
        <x:v>1254000</x:v>
      </x:c>
      <x:c r="F404" s="9" t="n">
        <x:v>0</x:v>
      </x:c>
    </x:row>
    <x:row r="405" ht="34" customHeight="1">
      <x:c r="A405" s="4" t="str">
        <x:v>RS-00216-I4</x:v>
      </x:c>
      <x:c r="B405" s="4" t="str">
        <x:v>RS-00216</x:v>
      </x:c>
      <x:c r="C405" s="9" t="n">
        <x:v>4</x:v>
      </x:c>
      <x:c r="D405" s="8" t="n">
        <x:v>45401</x:v>
      </x:c>
      <x:c r="E405" s="9" t="n">
        <x:v>1254000</x:v>
      </x:c>
      <x:c r="F405" s="9" t="n">
        <x:v>0</x:v>
      </x:c>
    </x:row>
    <x:row r="406" ht="34" customHeight="1">
      <x:c r="A406" s="4" t="str">
        <x:v>RS-00217-I1</x:v>
      </x:c>
      <x:c r="B406" s="4" t="str">
        <x:v>RS-00217</x:v>
      </x:c>
      <x:c r="C406" s="9" t="n">
        <x:v>1</x:v>
      </x:c>
      <x:c r="D406" s="8" t="n">
        <x:v>45312</x:v>
      </x:c>
      <x:c r="E406" s="9" t="n">
        <x:v>3576000</x:v>
      </x:c>
      <x:c r="F406" s="9" t="n">
        <x:v>1430400</x:v>
      </x:c>
    </x:row>
    <x:row r="407" ht="34" customHeight="1">
      <x:c r="A407" s="4" t="str">
        <x:v>RS-00217-I2</x:v>
      </x:c>
      <x:c r="B407" s="4" t="str">
        <x:v>RS-00217</x:v>
      </x:c>
      <x:c r="C407" s="9" t="n">
        <x:v>2</x:v>
      </x:c>
      <x:c r="D407" s="8" t="n">
        <x:v>45342</x:v>
      </x:c>
      <x:c r="E407" s="9" t="n">
        <x:v>3576000</x:v>
      </x:c>
      <x:c r="F407" s="9" t="n">
        <x:v>0</x:v>
      </x:c>
    </x:row>
    <x:row r="408" ht="34" customHeight="1">
      <x:c r="A408" s="4" t="str">
        <x:v>RS-00217-I3</x:v>
      </x:c>
      <x:c r="B408" s="4" t="str">
        <x:v>RS-00217</x:v>
      </x:c>
      <x:c r="C408" s="9" t="n">
        <x:v>3</x:v>
      </x:c>
      <x:c r="D408" s="8" t="n">
        <x:v>45372</x:v>
      </x:c>
      <x:c r="E408" s="9" t="n">
        <x:v>3576000</x:v>
      </x:c>
      <x:c r="F408" s="9" t="n">
        <x:v>0</x:v>
      </x:c>
    </x:row>
    <x:row r="409" ht="34" customHeight="1">
      <x:c r="A409" s="4" t="str">
        <x:v>RS-00217-I4</x:v>
      </x:c>
      <x:c r="B409" s="4" t="str">
        <x:v>RS-00217</x:v>
      </x:c>
      <x:c r="C409" s="9" t="n">
        <x:v>4</x:v>
      </x:c>
      <x:c r="D409" s="8" t="n">
        <x:v>45402</x:v>
      </x:c>
      <x:c r="E409" s="9" t="n">
        <x:v>3576000</x:v>
      </x:c>
      <x:c r="F409" s="9" t="n">
        <x:v>0</x:v>
      </x:c>
    </x:row>
    <x:row r="410" ht="34" customHeight="1">
      <x:c r="A410" s="4" t="str">
        <x:v>RS-00218-I1</x:v>
      </x:c>
      <x:c r="B410" s="4" t="str">
        <x:v>RS-00218</x:v>
      </x:c>
      <x:c r="C410" s="9" t="n">
        <x:v>1</x:v>
      </x:c>
      <x:c r="D410" s="8" t="n">
        <x:v>45313</x:v>
      </x:c>
      <x:c r="E410" s="9" t="n">
        <x:v>3564000</x:v>
      </x:c>
      <x:c r="F410" s="9" t="n">
        <x:v>3564000</x:v>
      </x:c>
    </x:row>
    <x:row r="411" ht="34" customHeight="1">
      <x:c r="A411" s="4" t="str">
        <x:v>RS-00218-I2</x:v>
      </x:c>
      <x:c r="B411" s="4" t="str">
        <x:v>RS-00218</x:v>
      </x:c>
      <x:c r="C411" s="9" t="n">
        <x:v>2</x:v>
      </x:c>
      <x:c r="D411" s="8" t="n">
        <x:v>45343</x:v>
      </x:c>
      <x:c r="E411" s="9" t="n">
        <x:v>3564000</x:v>
      </x:c>
      <x:c r="F411" s="9" t="n">
        <x:v>0</x:v>
      </x:c>
    </x:row>
    <x:row r="412" ht="34" customHeight="1">
      <x:c r="A412" s="4" t="str">
        <x:v>RS-00218-I3</x:v>
      </x:c>
      <x:c r="B412" s="4" t="str">
        <x:v>RS-00218</x:v>
      </x:c>
      <x:c r="C412" s="9" t="n">
        <x:v>3</x:v>
      </x:c>
      <x:c r="D412" s="8" t="n">
        <x:v>45373</x:v>
      </x:c>
      <x:c r="E412" s="9" t="n">
        <x:v>3564000</x:v>
      </x:c>
      <x:c r="F412" s="9" t="n">
        <x:v>0</x:v>
      </x:c>
    </x:row>
    <x:row r="413" ht="34" customHeight="1">
      <x:c r="A413" s="4" t="str">
        <x:v>RS-00218-I4</x:v>
      </x:c>
      <x:c r="B413" s="4" t="str">
        <x:v>RS-00218</x:v>
      </x:c>
      <x:c r="C413" s="9" t="n">
        <x:v>4</x:v>
      </x:c>
      <x:c r="D413" s="8" t="n">
        <x:v>45403</x:v>
      </x:c>
      <x:c r="E413" s="9" t="n">
        <x:v>3564000</x:v>
      </x:c>
      <x:c r="F413" s="9" t="n">
        <x:v>0</x:v>
      </x:c>
    </x:row>
    <x:row r="414" ht="34" customHeight="1">
      <x:c r="A414" s="4" t="str">
        <x:v>RS-00226-I1</x:v>
      </x:c>
      <x:c r="B414" s="4" t="str">
        <x:v>RS-00226</x:v>
      </x:c>
      <x:c r="C414" s="9" t="n">
        <x:v>1</x:v>
      </x:c>
      <x:c r="D414" s="8" t="n">
        <x:v>45293</x:v>
      </x:c>
      <x:c r="E414" s="9" t="n">
        <x:v>2002500</x:v>
      </x:c>
      <x:c r="F414" s="9" t="n">
        <x:v>2002500</x:v>
      </x:c>
    </x:row>
    <x:row r="415" ht="34" customHeight="1">
      <x:c r="A415" s="4" t="str">
        <x:v>RS-00226-I2</x:v>
      </x:c>
      <x:c r="B415" s="4" t="str">
        <x:v>RS-00226</x:v>
      </x:c>
      <x:c r="C415" s="9" t="n">
        <x:v>2</x:v>
      </x:c>
      <x:c r="D415" s="8" t="n">
        <x:v>45323</x:v>
      </x:c>
      <x:c r="E415" s="9" t="n">
        <x:v>2002500</x:v>
      </x:c>
      <x:c r="F415" s="9" t="n">
        <x:v>2002500</x:v>
      </x:c>
    </x:row>
    <x:row r="416" ht="34" customHeight="1">
      <x:c r="A416" s="4" t="str">
        <x:v>RS-00226-I3</x:v>
      </x:c>
      <x:c r="B416" s="4" t="str">
        <x:v>RS-00226</x:v>
      </x:c>
      <x:c r="C416" s="9" t="n">
        <x:v>3</x:v>
      </x:c>
      <x:c r="D416" s="8" t="n">
        <x:v>45353</x:v>
      </x:c>
      <x:c r="E416" s="9" t="n">
        <x:v>2002500</x:v>
      </x:c>
      <x:c r="F416" s="9" t="n">
        <x:v>0</x:v>
      </x:c>
    </x:row>
    <x:row r="417" ht="34" customHeight="1">
      <x:c r="A417" s="4" t="str">
        <x:v>RS-00226-I4</x:v>
      </x:c>
      <x:c r="B417" s="4" t="str">
        <x:v>RS-00226</x:v>
      </x:c>
      <x:c r="C417" s="9" t="n">
        <x:v>4</x:v>
      </x:c>
      <x:c r="D417" s="8" t="n">
        <x:v>45383</x:v>
      </x:c>
      <x:c r="E417" s="9" t="n">
        <x:v>2002500</x:v>
      </x:c>
      <x:c r="F417" s="9" t="n">
        <x:v>0</x:v>
      </x:c>
    </x:row>
    <x:row r="418" ht="34" customHeight="1">
      <x:c r="A418" s="4" t="str">
        <x:v>RS-00227-I1</x:v>
      </x:c>
      <x:c r="B418" s="4" t="str">
        <x:v>RS-00227</x:v>
      </x:c>
      <x:c r="C418" s="9" t="n">
        <x:v>1</x:v>
      </x:c>
      <x:c r="D418" s="8" t="n">
        <x:v>45294</x:v>
      </x:c>
      <x:c r="E418" s="9" t="n">
        <x:v>1574500</x:v>
      </x:c>
      <x:c r="F418" s="9" t="n">
        <x:v>1574500</x:v>
      </x:c>
    </x:row>
    <x:row r="419" ht="34" customHeight="1">
      <x:c r="A419" s="4" t="str">
        <x:v>RS-00227-I2</x:v>
      </x:c>
      <x:c r="B419" s="4" t="str">
        <x:v>RS-00227</x:v>
      </x:c>
      <x:c r="C419" s="9" t="n">
        <x:v>2</x:v>
      </x:c>
      <x:c r="D419" s="8" t="n">
        <x:v>45324</x:v>
      </x:c>
      <x:c r="E419" s="9" t="n">
        <x:v>1574500</x:v>
      </x:c>
      <x:c r="F419" s="9" t="n">
        <x:v>0</x:v>
      </x:c>
    </x:row>
    <x:row r="420" ht="34" customHeight="1">
      <x:c r="A420" s="4" t="str">
        <x:v>RS-00227-I3</x:v>
      </x:c>
      <x:c r="B420" s="4" t="str">
        <x:v>RS-00227</x:v>
      </x:c>
      <x:c r="C420" s="9" t="n">
        <x:v>3</x:v>
      </x:c>
      <x:c r="D420" s="8" t="n">
        <x:v>45354</x:v>
      </x:c>
      <x:c r="E420" s="9" t="n">
        <x:v>1574500</x:v>
      </x:c>
      <x:c r="F420" s="9" t="n">
        <x:v>0</x:v>
      </x:c>
    </x:row>
    <x:row r="421" ht="34" customHeight="1">
      <x:c r="A421" s="4" t="str">
        <x:v>RS-00227-I4</x:v>
      </x:c>
      <x:c r="B421" s="4" t="str">
        <x:v>RS-00227</x:v>
      </x:c>
      <x:c r="C421" s="9" t="n">
        <x:v>4</x:v>
      </x:c>
      <x:c r="D421" s="8" t="n">
        <x:v>45384</x:v>
      </x:c>
      <x:c r="E421" s="9" t="n">
        <x:v>1574500</x:v>
      </x:c>
      <x:c r="F421" s="9" t="n">
        <x:v>0</x:v>
      </x:c>
    </x:row>
    <x:row r="422" ht="34" customHeight="1">
      <x:c r="A422" s="4" t="str">
        <x:v>RS-00229-I1</x:v>
      </x:c>
      <x:c r="B422" s="4" t="str">
        <x:v>RS-00229</x:v>
      </x:c>
      <x:c r="C422" s="9" t="n">
        <x:v>1</x:v>
      </x:c>
      <x:c r="D422" s="8" t="n">
        <x:v>45296</x:v>
      </x:c>
      <x:c r="E422" s="9" t="n">
        <x:v>4185000</x:v>
      </x:c>
      <x:c r="F422" s="9" t="n">
        <x:v>1674000</x:v>
      </x:c>
    </x:row>
    <x:row r="423" ht="34" customHeight="1">
      <x:c r="A423" s="4" t="str">
        <x:v>RS-00229-I2</x:v>
      </x:c>
      <x:c r="B423" s="4" t="str">
        <x:v>RS-00229</x:v>
      </x:c>
      <x:c r="C423" s="9" t="n">
        <x:v>2</x:v>
      </x:c>
      <x:c r="D423" s="8" t="n">
        <x:v>45326</x:v>
      </x:c>
      <x:c r="E423" s="9" t="n">
        <x:v>4185000</x:v>
      </x:c>
      <x:c r="F423" s="9" t="n">
        <x:v>0</x:v>
      </x:c>
    </x:row>
    <x:row r="424" ht="34" customHeight="1">
      <x:c r="A424" s="4" t="str">
        <x:v>RS-00229-I3</x:v>
      </x:c>
      <x:c r="B424" s="4" t="str">
        <x:v>RS-00229</x:v>
      </x:c>
      <x:c r="C424" s="9" t="n">
        <x:v>3</x:v>
      </x:c>
      <x:c r="D424" s="8" t="n">
        <x:v>45356</x:v>
      </x:c>
      <x:c r="E424" s="9" t="n">
        <x:v>4185000</x:v>
      </x:c>
      <x:c r="F424" s="9" t="n">
        <x:v>0</x:v>
      </x:c>
    </x:row>
    <x:row r="425" ht="34" customHeight="1">
      <x:c r="A425" s="4" t="str">
        <x:v>RS-00229-I4</x:v>
      </x:c>
      <x:c r="B425" s="4" t="str">
        <x:v>RS-00229</x:v>
      </x:c>
      <x:c r="C425" s="9" t="n">
        <x:v>4</x:v>
      </x:c>
      <x:c r="D425" s="8" t="n">
        <x:v>45386</x:v>
      </x:c>
      <x:c r="E425" s="9" t="n">
        <x:v>4185000</x:v>
      </x:c>
      <x:c r="F425" s="9" t="n">
        <x:v>0</x:v>
      </x:c>
    </x:row>
    <x:row r="426" ht="34" customHeight="1">
      <x:c r="A426" s="4" t="str">
        <x:v>RS-00230-I1</x:v>
      </x:c>
      <x:c r="B426" s="4" t="str">
        <x:v>RS-00230</x:v>
      </x:c>
      <x:c r="C426" s="9" t="n">
        <x:v>1</x:v>
      </x:c>
      <x:c r="D426" s="8" t="n">
        <x:v>45297</x:v>
      </x:c>
      <x:c r="E426" s="9" t="n">
        <x:v>3426500</x:v>
      </x:c>
      <x:c r="F426" s="9" t="n">
        <x:v>3426500</x:v>
      </x:c>
    </x:row>
    <x:row r="427" ht="34" customHeight="1">
      <x:c r="A427" s="4" t="str">
        <x:v>RS-00230-I2</x:v>
      </x:c>
      <x:c r="B427" s="4" t="str">
        <x:v>RS-00230</x:v>
      </x:c>
      <x:c r="C427" s="9" t="n">
        <x:v>2</x:v>
      </x:c>
      <x:c r="D427" s="8" t="n">
        <x:v>45327</x:v>
      </x:c>
      <x:c r="E427" s="9" t="n">
        <x:v>3426500</x:v>
      </x:c>
      <x:c r="F427" s="9" t="n">
        <x:v>3426500</x:v>
      </x:c>
    </x:row>
    <x:row r="428" ht="34" customHeight="1">
      <x:c r="A428" s="4" t="str">
        <x:v>RS-00230-I3</x:v>
      </x:c>
      <x:c r="B428" s="4" t="str">
        <x:v>RS-00230</x:v>
      </x:c>
      <x:c r="C428" s="9" t="n">
        <x:v>3</x:v>
      </x:c>
      <x:c r="D428" s="8" t="n">
        <x:v>45357</x:v>
      </x:c>
      <x:c r="E428" s="9" t="n">
        <x:v>3426500</x:v>
      </x:c>
      <x:c r="F428" s="9" t="n">
        <x:v>0</x:v>
      </x:c>
    </x:row>
    <x:row r="429" ht="34" customHeight="1">
      <x:c r="A429" s="4" t="str">
        <x:v>RS-00230-I4</x:v>
      </x:c>
      <x:c r="B429" s="4" t="str">
        <x:v>RS-00230</x:v>
      </x:c>
      <x:c r="C429" s="9" t="n">
        <x:v>4</x:v>
      </x:c>
      <x:c r="D429" s="8" t="n">
        <x:v>45387</x:v>
      </x:c>
      <x:c r="E429" s="9" t="n">
        <x:v>3426500</x:v>
      </x:c>
      <x:c r="F429" s="9" t="n">
        <x:v>0</x:v>
      </x:c>
    </x:row>
    <x:row r="430" ht="34" customHeight="1">
      <x:c r="A430" s="4" t="str">
        <x:v>RS-00232-I1</x:v>
      </x:c>
      <x:c r="B430" s="4" t="str">
        <x:v>RS-00232</x:v>
      </x:c>
      <x:c r="C430" s="9" t="n">
        <x:v>1</x:v>
      </x:c>
      <x:c r="D430" s="8" t="n">
        <x:v>45299</x:v>
      </x:c>
      <x:c r="E430" s="9" t="n">
        <x:v>3750000</x:v>
      </x:c>
      <x:c r="F430" s="9" t="n">
        <x:v>3750000</x:v>
      </x:c>
    </x:row>
    <x:row r="431" ht="34" customHeight="1">
      <x:c r="A431" s="4" t="str">
        <x:v>RS-00232-I2</x:v>
      </x:c>
      <x:c r="B431" s="4" t="str">
        <x:v>RS-00232</x:v>
      </x:c>
      <x:c r="C431" s="9" t="n">
        <x:v>2</x:v>
      </x:c>
      <x:c r="D431" s="8" t="n">
        <x:v>45329</x:v>
      </x:c>
      <x:c r="E431" s="9" t="n">
        <x:v>3750000</x:v>
      </x:c>
      <x:c r="F431" s="9" t="n">
        <x:v>3750000</x:v>
      </x:c>
    </x:row>
    <x:row r="432" ht="34" customHeight="1">
      <x:c r="A432" s="4" t="str">
        <x:v>RS-00232-I3</x:v>
      </x:c>
      <x:c r="B432" s="4" t="str">
        <x:v>RS-00232</x:v>
      </x:c>
      <x:c r="C432" s="9" t="n">
        <x:v>3</x:v>
      </x:c>
      <x:c r="D432" s="8" t="n">
        <x:v>45359</x:v>
      </x:c>
      <x:c r="E432" s="9" t="n">
        <x:v>3750000</x:v>
      </x:c>
      <x:c r="F432" s="9" t="n">
        <x:v>0</x:v>
      </x:c>
    </x:row>
    <x:row r="433" ht="34" customHeight="1">
      <x:c r="A433" s="4" t="str">
        <x:v>RS-00232-I4</x:v>
      </x:c>
      <x:c r="B433" s="4" t="str">
        <x:v>RS-00232</x:v>
      </x:c>
      <x:c r="C433" s="9" t="n">
        <x:v>4</x:v>
      </x:c>
      <x:c r="D433" s="8" t="n">
        <x:v>45389</x:v>
      </x:c>
      <x:c r="E433" s="9" t="n">
        <x:v>3750000</x:v>
      </x:c>
      <x:c r="F433" s="9" t="n">
        <x:v>0</x:v>
      </x:c>
    </x:row>
    <x:row r="434" ht="34" customHeight="1">
      <x:c r="A434" s="4" t="str">
        <x:v>RS-00235-I1</x:v>
      </x:c>
      <x:c r="B434" s="4" t="str">
        <x:v>RS-00235</x:v>
      </x:c>
      <x:c r="C434" s="9" t="n">
        <x:v>1</x:v>
      </x:c>
      <x:c r="D434" s="8" t="n">
        <x:v>45302</x:v>
      </x:c>
      <x:c r="E434" s="9" t="n">
        <x:v>4440750</x:v>
      </x:c>
      <x:c r="F434" s="9" t="n">
        <x:v>4440750</x:v>
      </x:c>
    </x:row>
    <x:row r="435" ht="34" customHeight="1">
      <x:c r="A435" s="4" t="str">
        <x:v>RS-00235-I2</x:v>
      </x:c>
      <x:c r="B435" s="4" t="str">
        <x:v>RS-00235</x:v>
      </x:c>
      <x:c r="C435" s="9" t="n">
        <x:v>2</x:v>
      </x:c>
      <x:c r="D435" s="8" t="n">
        <x:v>45332</x:v>
      </x:c>
      <x:c r="E435" s="9" t="n">
        <x:v>4440750</x:v>
      </x:c>
      <x:c r="F435" s="9" t="n">
        <x:v>0</x:v>
      </x:c>
    </x:row>
    <x:row r="436" ht="34" customHeight="1">
      <x:c r="A436" s="4" t="str">
        <x:v>RS-00235-I3</x:v>
      </x:c>
      <x:c r="B436" s="4" t="str">
        <x:v>RS-00235</x:v>
      </x:c>
      <x:c r="C436" s="9" t="n">
        <x:v>3</x:v>
      </x:c>
      <x:c r="D436" s="8" t="n">
        <x:v>45362</x:v>
      </x:c>
      <x:c r="E436" s="9" t="n">
        <x:v>4440750</x:v>
      </x:c>
      <x:c r="F436" s="9" t="n">
        <x:v>0</x:v>
      </x:c>
    </x:row>
    <x:row r="437" ht="34" customHeight="1">
      <x:c r="A437" s="4" t="str">
        <x:v>RS-00235-I4</x:v>
      </x:c>
      <x:c r="B437" s="4" t="str">
        <x:v>RS-00235</x:v>
      </x:c>
      <x:c r="C437" s="9" t="n">
        <x:v>4</x:v>
      </x:c>
      <x:c r="D437" s="8" t="n">
        <x:v>45392</x:v>
      </x:c>
      <x:c r="E437" s="9" t="n">
        <x:v>4440750</x:v>
      </x:c>
      <x:c r="F437" s="9" t="n">
        <x:v>0</x:v>
      </x:c>
    </x:row>
    <x:row r="438" ht="34" customHeight="1">
      <x:c r="A438" s="4" t="str">
        <x:v>RS-00236-I1</x:v>
      </x:c>
      <x:c r="B438" s="4" t="str">
        <x:v>RS-00236</x:v>
      </x:c>
      <x:c r="C438" s="9" t="n">
        <x:v>1</x:v>
      </x:c>
      <x:c r="D438" s="8" t="n">
        <x:v>45303</x:v>
      </x:c>
      <x:c r="E438" s="9" t="n">
        <x:v>1205750</x:v>
      </x:c>
      <x:c r="F438" s="9" t="n">
        <x:v>1205750</x:v>
      </x:c>
    </x:row>
    <x:row r="439" ht="34" customHeight="1">
      <x:c r="A439" s="4" t="str">
        <x:v>RS-00236-I2</x:v>
      </x:c>
      <x:c r="B439" s="4" t="str">
        <x:v>RS-00236</x:v>
      </x:c>
      <x:c r="C439" s="9" t="n">
        <x:v>2</x:v>
      </x:c>
      <x:c r="D439" s="8" t="n">
        <x:v>45333</x:v>
      </x:c>
      <x:c r="E439" s="9" t="n">
        <x:v>1205750</x:v>
      </x:c>
      <x:c r="F439" s="9" t="n">
        <x:v>0</x:v>
      </x:c>
    </x:row>
    <x:row r="440" ht="34" customHeight="1">
      <x:c r="A440" s="4" t="str">
        <x:v>RS-00236-I3</x:v>
      </x:c>
      <x:c r="B440" s="4" t="str">
        <x:v>RS-00236</x:v>
      </x:c>
      <x:c r="C440" s="9" t="n">
        <x:v>3</x:v>
      </x:c>
      <x:c r="D440" s="8" t="n">
        <x:v>45363</x:v>
      </x:c>
      <x:c r="E440" s="9" t="n">
        <x:v>1205750</x:v>
      </x:c>
      <x:c r="F440" s="9" t="n">
        <x:v>0</x:v>
      </x:c>
    </x:row>
    <x:row r="441" ht="34" customHeight="1">
      <x:c r="A441" s="4" t="str">
        <x:v>RS-00236-I4</x:v>
      </x:c>
      <x:c r="B441" s="4" t="str">
        <x:v>RS-00236</x:v>
      </x:c>
      <x:c r="C441" s="9" t="n">
        <x:v>4</x:v>
      </x:c>
      <x:c r="D441" s="8" t="n">
        <x:v>45393</x:v>
      </x:c>
      <x:c r="E441" s="9" t="n">
        <x:v>1205750</x:v>
      </x:c>
      <x:c r="F441" s="9" t="n">
        <x:v>0</x:v>
      </x:c>
    </x:row>
    <x:row r="442" ht="34" customHeight="1">
      <x:c r="A442" s="4" t="str">
        <x:v>RS-00237-I1</x:v>
      </x:c>
      <x:c r="B442" s="4" t="str">
        <x:v>RS-00237</x:v>
      </x:c>
      <x:c r="C442" s="9" t="n">
        <x:v>1</x:v>
      </x:c>
      <x:c r="D442" s="8" t="n">
        <x:v>45304</x:v>
      </x:c>
      <x:c r="E442" s="9" t="n">
        <x:v>4899000</x:v>
      </x:c>
      <x:c r="F442" s="9" t="n">
        <x:v>4899000</x:v>
      </x:c>
    </x:row>
    <x:row r="443" ht="34" customHeight="1">
      <x:c r="A443" s="4" t="str">
        <x:v>RS-00237-I2</x:v>
      </x:c>
      <x:c r="B443" s="4" t="str">
        <x:v>RS-00237</x:v>
      </x:c>
      <x:c r="C443" s="9" t="n">
        <x:v>2</x:v>
      </x:c>
      <x:c r="D443" s="8" t="n">
        <x:v>45334</x:v>
      </x:c>
      <x:c r="E443" s="9" t="n">
        <x:v>4899000</x:v>
      </x:c>
      <x:c r="F443" s="9" t="n">
        <x:v>0</x:v>
      </x:c>
    </x:row>
    <x:row r="444" ht="34" customHeight="1">
      <x:c r="A444" s="4" t="str">
        <x:v>RS-00237-I3</x:v>
      </x:c>
      <x:c r="B444" s="4" t="str">
        <x:v>RS-00237</x:v>
      </x:c>
      <x:c r="C444" s="9" t="n">
        <x:v>3</x:v>
      </x:c>
      <x:c r="D444" s="8" t="n">
        <x:v>45364</x:v>
      </x:c>
      <x:c r="E444" s="9" t="n">
        <x:v>4899000</x:v>
      </x:c>
      <x:c r="F444" s="9" t="n">
        <x:v>0</x:v>
      </x:c>
    </x:row>
    <x:row r="445" ht="34" customHeight="1">
      <x:c r="A445" s="4" t="str">
        <x:v>RS-00237-I4</x:v>
      </x:c>
      <x:c r="B445" s="4" t="str">
        <x:v>RS-00237</x:v>
      </x:c>
      <x:c r="C445" s="9" t="n">
        <x:v>4</x:v>
      </x:c>
      <x:c r="D445" s="8" t="n">
        <x:v>45394</x:v>
      </x:c>
      <x:c r="E445" s="9" t="n">
        <x:v>4899000</x:v>
      </x:c>
      <x:c r="F445" s="9" t="n">
        <x:v>0</x:v>
      </x:c>
    </x:row>
    <x:row r="446" ht="34" customHeight="1">
      <x:c r="A446" s="4" t="str">
        <x:v>RS-00239-I1</x:v>
      </x:c>
      <x:c r="B446" s="4" t="str">
        <x:v>RS-00239</x:v>
      </x:c>
      <x:c r="C446" s="9" t="n">
        <x:v>1</x:v>
      </x:c>
      <x:c r="D446" s="8" t="n">
        <x:v>45306</x:v>
      </x:c>
      <x:c r="E446" s="9" t="n">
        <x:v>5832000</x:v>
      </x:c>
      <x:c r="F446" s="9" t="n">
        <x:v>5832000</x:v>
      </x:c>
    </x:row>
    <x:row r="447" ht="34" customHeight="1">
      <x:c r="A447" s="4" t="str">
        <x:v>RS-00239-I2</x:v>
      </x:c>
      <x:c r="B447" s="4" t="str">
        <x:v>RS-00239</x:v>
      </x:c>
      <x:c r="C447" s="9" t="n">
        <x:v>2</x:v>
      </x:c>
      <x:c r="D447" s="8" t="n">
        <x:v>45336</x:v>
      </x:c>
      <x:c r="E447" s="9" t="n">
        <x:v>5832000</x:v>
      </x:c>
      <x:c r="F447" s="9" t="n">
        <x:v>5832000</x:v>
      </x:c>
    </x:row>
    <x:row r="448" ht="34" customHeight="1">
      <x:c r="A448" s="4" t="str">
        <x:v>RS-00239-I3</x:v>
      </x:c>
      <x:c r="B448" s="4" t="str">
        <x:v>RS-00239</x:v>
      </x:c>
      <x:c r="C448" s="9" t="n">
        <x:v>3</x:v>
      </x:c>
      <x:c r="D448" s="8" t="n">
        <x:v>45366</x:v>
      </x:c>
      <x:c r="E448" s="9" t="n">
        <x:v>5832000</x:v>
      </x:c>
      <x:c r="F448" s="9" t="n">
        <x:v>0</x:v>
      </x:c>
    </x:row>
    <x:row r="449" ht="34" customHeight="1">
      <x:c r="A449" s="4" t="str">
        <x:v>RS-00239-I4</x:v>
      </x:c>
      <x:c r="B449" s="4" t="str">
        <x:v>RS-00239</x:v>
      </x:c>
      <x:c r="C449" s="9" t="n">
        <x:v>4</x:v>
      </x:c>
      <x:c r="D449" s="8" t="n">
        <x:v>45396</x:v>
      </x:c>
      <x:c r="E449" s="9" t="n">
        <x:v>5832000</x:v>
      </x:c>
      <x:c r="F449" s="9" t="n">
        <x:v>0</x:v>
      </x:c>
    </x:row>
    <x:row r="450" ht="34" customHeight="1">
      <x:c r="A450" s="4" t="str">
        <x:v>RS-00240-I1</x:v>
      </x:c>
      <x:c r="B450" s="4" t="str">
        <x:v>RS-00240</x:v>
      </x:c>
      <x:c r="C450" s="9" t="n">
        <x:v>1</x:v>
      </x:c>
      <x:c r="D450" s="8" t="n">
        <x:v>45307</x:v>
      </x:c>
      <x:c r="E450" s="9" t="n">
        <x:v>1114750</x:v>
      </x:c>
      <x:c r="F450" s="9" t="n">
        <x:v>1114750</x:v>
      </x:c>
    </x:row>
    <x:row r="451" ht="34" customHeight="1">
      <x:c r="A451" s="4" t="str">
        <x:v>RS-00240-I2</x:v>
      </x:c>
      <x:c r="B451" s="4" t="str">
        <x:v>RS-00240</x:v>
      </x:c>
      <x:c r="C451" s="9" t="n">
        <x:v>2</x:v>
      </x:c>
      <x:c r="D451" s="8" t="n">
        <x:v>45337</x:v>
      </x:c>
      <x:c r="E451" s="9" t="n">
        <x:v>1114750</x:v>
      </x:c>
      <x:c r="F451" s="9" t="n">
        <x:v>1114750</x:v>
      </x:c>
    </x:row>
    <x:row r="452" ht="34" customHeight="1">
      <x:c r="A452" s="4" t="str">
        <x:v>RS-00240-I3</x:v>
      </x:c>
      <x:c r="B452" s="4" t="str">
        <x:v>RS-00240</x:v>
      </x:c>
      <x:c r="C452" s="9" t="n">
        <x:v>3</x:v>
      </x:c>
      <x:c r="D452" s="8" t="n">
        <x:v>45367</x:v>
      </x:c>
      <x:c r="E452" s="9" t="n">
        <x:v>1114750</x:v>
      </x:c>
      <x:c r="F452" s="9" t="n">
        <x:v>0</x:v>
      </x:c>
    </x:row>
    <x:row r="453" ht="34" customHeight="1">
      <x:c r="A453" s="4" t="str">
        <x:v>RS-00240-I4</x:v>
      </x:c>
      <x:c r="B453" s="4" t="str">
        <x:v>RS-00240</x:v>
      </x:c>
      <x:c r="C453" s="9" t="n">
        <x:v>4</x:v>
      </x:c>
      <x:c r="D453" s="8" t="n">
        <x:v>45397</x:v>
      </x:c>
      <x:c r="E453" s="9" t="n">
        <x:v>1114750</x:v>
      </x:c>
      <x:c r="F453" s="9" t="n">
        <x:v>0</x:v>
      </x:c>
    </x:row>
    <x:row r="454" ht="34" customHeight="1">
      <x:c r="A454" s="4" t="str">
        <x:v>RS-00241-I1</x:v>
      </x:c>
      <x:c r="B454" s="4" t="str">
        <x:v>RS-00241</x:v>
      </x:c>
      <x:c r="C454" s="9" t="n">
        <x:v>1</x:v>
      </x:c>
      <x:c r="D454" s="8" t="n">
        <x:v>45308</x:v>
      </x:c>
      <x:c r="E454" s="9" t="n">
        <x:v>4895000</x:v>
      </x:c>
      <x:c r="F454" s="9" t="n">
        <x:v>4895000</x:v>
      </x:c>
    </x:row>
    <x:row r="455" ht="34" customHeight="1">
      <x:c r="A455" s="4" t="str">
        <x:v>RS-00241-I2</x:v>
      </x:c>
      <x:c r="B455" s="4" t="str">
        <x:v>RS-00241</x:v>
      </x:c>
      <x:c r="C455" s="9" t="n">
        <x:v>2</x:v>
      </x:c>
      <x:c r="D455" s="8" t="n">
        <x:v>45338</x:v>
      </x:c>
      <x:c r="E455" s="9" t="n">
        <x:v>4895000</x:v>
      </x:c>
      <x:c r="F455" s="9" t="n">
        <x:v>0</x:v>
      </x:c>
    </x:row>
    <x:row r="456" ht="34" customHeight="1">
      <x:c r="A456" s="4" t="str">
        <x:v>RS-00241-I3</x:v>
      </x:c>
      <x:c r="B456" s="4" t="str">
        <x:v>RS-00241</x:v>
      </x:c>
      <x:c r="C456" s="9" t="n">
        <x:v>3</x:v>
      </x:c>
      <x:c r="D456" s="8" t="n">
        <x:v>45368</x:v>
      </x:c>
      <x:c r="E456" s="9" t="n">
        <x:v>4895000</x:v>
      </x:c>
      <x:c r="F456" s="9" t="n">
        <x:v>0</x:v>
      </x:c>
    </x:row>
    <x:row r="457" ht="34" customHeight="1">
      <x:c r="A457" s="4" t="str">
        <x:v>RS-00241-I4</x:v>
      </x:c>
      <x:c r="B457" s="4" t="str">
        <x:v>RS-00241</x:v>
      </x:c>
      <x:c r="C457" s="9" t="n">
        <x:v>4</x:v>
      </x:c>
      <x:c r="D457" s="8" t="n">
        <x:v>45398</x:v>
      </x:c>
      <x:c r="E457" s="9" t="n">
        <x:v>4895000</x:v>
      </x:c>
      <x:c r="F457" s="9" t="n">
        <x:v>0</x:v>
      </x:c>
    </x:row>
    <x:row r="458" ht="34" customHeight="1">
      <x:c r="A458" s="4" t="str">
        <x:v>RS-00243-I1</x:v>
      </x:c>
      <x:c r="B458" s="4" t="str">
        <x:v>RS-00243</x:v>
      </x:c>
      <x:c r="C458" s="9" t="n">
        <x:v>1</x:v>
      </x:c>
      <x:c r="D458" s="8" t="n">
        <x:v>45310</x:v>
      </x:c>
      <x:c r="E458" s="9" t="n">
        <x:v>4770500</x:v>
      </x:c>
      <x:c r="F458" s="9" t="n">
        <x:v>4770500</x:v>
      </x:c>
    </x:row>
    <x:row r="459" ht="34" customHeight="1">
      <x:c r="A459" s="4" t="str">
        <x:v>RS-00243-I2</x:v>
      </x:c>
      <x:c r="B459" s="4" t="str">
        <x:v>RS-00243</x:v>
      </x:c>
      <x:c r="C459" s="9" t="n">
        <x:v>2</x:v>
      </x:c>
      <x:c r="D459" s="8" t="n">
        <x:v>45340</x:v>
      </x:c>
      <x:c r="E459" s="9" t="n">
        <x:v>4770500</x:v>
      </x:c>
      <x:c r="F459" s="9" t="n">
        <x:v>0</x:v>
      </x:c>
    </x:row>
    <x:row r="460" ht="34" customHeight="1">
      <x:c r="A460" s="4" t="str">
        <x:v>RS-00243-I3</x:v>
      </x:c>
      <x:c r="B460" s="4" t="str">
        <x:v>RS-00243</x:v>
      </x:c>
      <x:c r="C460" s="9" t="n">
        <x:v>3</x:v>
      </x:c>
      <x:c r="D460" s="8" t="n">
        <x:v>45370</x:v>
      </x:c>
      <x:c r="E460" s="9" t="n">
        <x:v>4770500</x:v>
      </x:c>
      <x:c r="F460" s="9" t="n">
        <x:v>0</x:v>
      </x:c>
    </x:row>
    <x:row r="461" ht="34" customHeight="1">
      <x:c r="A461" s="4" t="str">
        <x:v>RS-00243-I4</x:v>
      </x:c>
      <x:c r="B461" s="4" t="str">
        <x:v>RS-00243</x:v>
      </x:c>
      <x:c r="C461" s="9" t="n">
        <x:v>4</x:v>
      </x:c>
      <x:c r="D461" s="8" t="n">
        <x:v>45400</x:v>
      </x:c>
      <x:c r="E461" s="9" t="n">
        <x:v>4770500</x:v>
      </x:c>
      <x:c r="F461" s="9" t="n">
        <x:v>0</x:v>
      </x:c>
    </x:row>
    <x:row r="462" ht="34" customHeight="1">
      <x:c r="A462" s="4" t="str">
        <x:v>RS-00249-I1</x:v>
      </x:c>
      <x:c r="B462" s="4" t="str">
        <x:v>RS-00249</x:v>
      </x:c>
      <x:c r="C462" s="9" t="n">
        <x:v>1</x:v>
      </x:c>
      <x:c r="D462" s="8" t="n">
        <x:v>45316</x:v>
      </x:c>
      <x:c r="E462" s="9" t="n">
        <x:v>4342500</x:v>
      </x:c>
      <x:c r="F462" s="9" t="n">
        <x:v>4342500</x:v>
      </x:c>
    </x:row>
    <x:row r="463" ht="34" customHeight="1">
      <x:c r="A463" s="4" t="str">
        <x:v>RS-00249-I2</x:v>
      </x:c>
      <x:c r="B463" s="4" t="str">
        <x:v>RS-00249</x:v>
      </x:c>
      <x:c r="C463" s="9" t="n">
        <x:v>2</x:v>
      </x:c>
      <x:c r="D463" s="8" t="n">
        <x:v>45346</x:v>
      </x:c>
      <x:c r="E463" s="9" t="n">
        <x:v>4342500</x:v>
      </x:c>
      <x:c r="F463" s="9" t="n">
        <x:v>4342500</x:v>
      </x:c>
    </x:row>
    <x:row r="464" ht="34" customHeight="1">
      <x:c r="A464" s="4" t="str">
        <x:v>RS-00249-I3</x:v>
      </x:c>
      <x:c r="B464" s="4" t="str">
        <x:v>RS-00249</x:v>
      </x:c>
      <x:c r="C464" s="9" t="n">
        <x:v>3</x:v>
      </x:c>
      <x:c r="D464" s="8" t="n">
        <x:v>45376</x:v>
      </x:c>
      <x:c r="E464" s="9" t="n">
        <x:v>4342500</x:v>
      </x:c>
      <x:c r="F464" s="9" t="n">
        <x:v>4342500</x:v>
      </x:c>
    </x:row>
    <x:row r="465" ht="34" customHeight="1">
      <x:c r="A465" s="4" t="str">
        <x:v>RS-00249-I4</x:v>
      </x:c>
      <x:c r="B465" s="4" t="str">
        <x:v>RS-00249</x:v>
      </x:c>
      <x:c r="C465" s="9" t="n">
        <x:v>4</x:v>
      </x:c>
      <x:c r="D465" s="8" t="n">
        <x:v>45406</x:v>
      </x:c>
      <x:c r="E465" s="9" t="n">
        <x:v>4342500</x:v>
      </x:c>
      <x:c r="F465" s="9" t="n">
        <x:v>4342500</x:v>
      </x:c>
    </x:row>
    <x:row r="466" ht="34" customHeight="1">
      <x:c r="A466" s="4" t="str">
        <x:v>RS-00250-I1</x:v>
      </x:c>
      <x:c r="B466" s="4" t="str">
        <x:v>RS-00250</x:v>
      </x:c>
      <x:c r="C466" s="9" t="n">
        <x:v>1</x:v>
      </x:c>
      <x:c r="D466" s="8" t="n">
        <x:v>45317</x:v>
      </x:c>
      <x:c r="E466" s="9" t="n">
        <x:v>4185000</x:v>
      </x:c>
      <x:c r="F466" s="9" t="n">
        <x:v>4185000</x:v>
      </x:c>
    </x:row>
    <x:row r="467" ht="34" customHeight="1">
      <x:c r="A467" s="4" t="str">
        <x:v>RS-00250-I2</x:v>
      </x:c>
      <x:c r="B467" s="4" t="str">
        <x:v>RS-00250</x:v>
      </x:c>
      <x:c r="C467" s="9" t="n">
        <x:v>2</x:v>
      </x:c>
      <x:c r="D467" s="8" t="n">
        <x:v>45347</x:v>
      </x:c>
      <x:c r="E467" s="9" t="n">
        <x:v>4185000</x:v>
      </x:c>
      <x:c r="F467" s="9" t="n">
        <x:v>4185000</x:v>
      </x:c>
    </x:row>
    <x:row r="468" ht="34" customHeight="1">
      <x:c r="A468" s="4" t="str">
        <x:v>RS-00250-I3</x:v>
      </x:c>
      <x:c r="B468" s="4" t="str">
        <x:v>RS-00250</x:v>
      </x:c>
      <x:c r="C468" s="9" t="n">
        <x:v>3</x:v>
      </x:c>
      <x:c r="D468" s="8" t="n">
        <x:v>45377</x:v>
      </x:c>
      <x:c r="E468" s="9" t="n">
        <x:v>4185000</x:v>
      </x:c>
      <x:c r="F468" s="9" t="n">
        <x:v>4185000</x:v>
      </x:c>
    </x:row>
    <x:row r="469" ht="34" customHeight="1">
      <x:c r="A469" s="4" t="str">
        <x:v>RS-00250-I4</x:v>
      </x:c>
      <x:c r="B469" s="4" t="str">
        <x:v>RS-00250</x:v>
      </x:c>
      <x:c r="C469" s="9" t="n">
        <x:v>4</x:v>
      </x:c>
      <x:c r="D469" s="8" t="n">
        <x:v>45407</x:v>
      </x:c>
      <x:c r="E469" s="9" t="n">
        <x:v>4185000</x:v>
      </x:c>
      <x:c r="F469" s="9" t="n">
        <x:v>4185000</x:v>
      </x:c>
    </x:row>
    <x:row r="470" ht="34" customHeight="1">
      <x:c r="A470" s="4" t="str">
        <x:v>RS-00253-I1</x:v>
      </x:c>
      <x:c r="B470" s="4" t="str">
        <x:v>RS-00253</x:v>
      </x:c>
      <x:c r="C470" s="9" t="n">
        <x:v>1</x:v>
      </x:c>
      <x:c r="D470" s="8" t="n">
        <x:v>45292</x:v>
      </x:c>
      <x:c r="E470" s="9" t="n">
        <x:v>3212000</x:v>
      </x:c>
      <x:c r="F470" s="9" t="n">
        <x:v>3212000</x:v>
      </x:c>
    </x:row>
    <x:row r="471" ht="34" customHeight="1">
      <x:c r="A471" s="4" t="str">
        <x:v>RS-00253-I2</x:v>
      </x:c>
      <x:c r="B471" s="4" t="str">
        <x:v>RS-00253</x:v>
      </x:c>
      <x:c r="C471" s="9" t="n">
        <x:v>2</x:v>
      </x:c>
      <x:c r="D471" s="8" t="n">
        <x:v>45322</x:v>
      </x:c>
      <x:c r="E471" s="9" t="n">
        <x:v>3212000</x:v>
      </x:c>
      <x:c r="F471" s="9" t="n">
        <x:v>3212000</x:v>
      </x:c>
    </x:row>
    <x:row r="472" ht="34" customHeight="1">
      <x:c r="A472" s="4" t="str">
        <x:v>RS-00253-I3</x:v>
      </x:c>
      <x:c r="B472" s="4" t="str">
        <x:v>RS-00253</x:v>
      </x:c>
      <x:c r="C472" s="9" t="n">
        <x:v>3</x:v>
      </x:c>
      <x:c r="D472" s="8" t="n">
        <x:v>45352</x:v>
      </x:c>
      <x:c r="E472" s="9" t="n">
        <x:v>3212000</x:v>
      </x:c>
      <x:c r="F472" s="9" t="n">
        <x:v>0</x:v>
      </x:c>
    </x:row>
    <x:row r="473" ht="34" customHeight="1">
      <x:c r="A473" s="4" t="str">
        <x:v>RS-00253-I4</x:v>
      </x:c>
      <x:c r="B473" s="4" t="str">
        <x:v>RS-00253</x:v>
      </x:c>
      <x:c r="C473" s="9" t="n">
        <x:v>4</x:v>
      </x:c>
      <x:c r="D473" s="8" t="n">
        <x:v>45382</x:v>
      </x:c>
      <x:c r="E473" s="9" t="n">
        <x:v>3212000</x:v>
      </x:c>
      <x:c r="F473" s="9" t="n">
        <x:v>0</x:v>
      </x:c>
    </x:row>
    <x:row r="474" ht="34" customHeight="1">
      <x:c r="A474" s="4" t="str">
        <x:v>RS-00254-I1</x:v>
      </x:c>
      <x:c r="B474" s="4" t="str">
        <x:v>RS-00254</x:v>
      </x:c>
      <x:c r="C474" s="9" t="n">
        <x:v>1</x:v>
      </x:c>
      <x:c r="D474" s="8" t="n">
        <x:v>45293</x:v>
      </x:c>
      <x:c r="E474" s="9" t="n">
        <x:v>4584000</x:v>
      </x:c>
      <x:c r="F474" s="9" t="n">
        <x:v>4584000</x:v>
      </x:c>
    </x:row>
    <x:row r="475" ht="34" customHeight="1">
      <x:c r="A475" s="4" t="str">
        <x:v>RS-00254-I2</x:v>
      </x:c>
      <x:c r="B475" s="4" t="str">
        <x:v>RS-00254</x:v>
      </x:c>
      <x:c r="C475" s="9" t="n">
        <x:v>2</x:v>
      </x:c>
      <x:c r="D475" s="8" t="n">
        <x:v>45323</x:v>
      </x:c>
      <x:c r="E475" s="9" t="n">
        <x:v>4584000</x:v>
      </x:c>
      <x:c r="F475" s="9" t="n">
        <x:v>4584000</x:v>
      </x:c>
    </x:row>
    <x:row r="476" ht="34" customHeight="1">
      <x:c r="A476" s="4" t="str">
        <x:v>RS-00254-I3</x:v>
      </x:c>
      <x:c r="B476" s="4" t="str">
        <x:v>RS-00254</x:v>
      </x:c>
      <x:c r="C476" s="9" t="n">
        <x:v>3</x:v>
      </x:c>
      <x:c r="D476" s="8" t="n">
        <x:v>45353</x:v>
      </x:c>
      <x:c r="E476" s="9" t="n">
        <x:v>4584000</x:v>
      </x:c>
      <x:c r="F476" s="9" t="n">
        <x:v>0</x:v>
      </x:c>
    </x:row>
    <x:row r="477" ht="34" customHeight="1">
      <x:c r="A477" s="4" t="str">
        <x:v>RS-00254-I4</x:v>
      </x:c>
      <x:c r="B477" s="4" t="str">
        <x:v>RS-00254</x:v>
      </x:c>
      <x:c r="C477" s="9" t="n">
        <x:v>4</x:v>
      </x:c>
      <x:c r="D477" s="8" t="n">
        <x:v>45383</x:v>
      </x:c>
      <x:c r="E477" s="9" t="n">
        <x:v>4584000</x:v>
      </x:c>
      <x:c r="F477" s="9" t="n">
        <x:v>0</x:v>
      </x:c>
    </x:row>
    <x:row r="478" ht="34" customHeight="1">
      <x:c r="A478" s="4" t="str">
        <x:v>RS-00259-I1</x:v>
      </x:c>
      <x:c r="B478" s="4" t="str">
        <x:v>RS-00259</x:v>
      </x:c>
      <x:c r="C478" s="9" t="n">
        <x:v>1</x:v>
      </x:c>
      <x:c r="D478" s="8" t="n">
        <x:v>45298</x:v>
      </x:c>
      <x:c r="E478" s="9" t="n">
        <x:v>2160000</x:v>
      </x:c>
      <x:c r="F478" s="9" t="n">
        <x:v>2160000</x:v>
      </x:c>
    </x:row>
    <x:row r="479" ht="34" customHeight="1">
      <x:c r="A479" s="4" t="str">
        <x:v>RS-00259-I2</x:v>
      </x:c>
      <x:c r="B479" s="4" t="str">
        <x:v>RS-00259</x:v>
      </x:c>
      <x:c r="C479" s="9" t="n">
        <x:v>2</x:v>
      </x:c>
      <x:c r="D479" s="8" t="n">
        <x:v>45328</x:v>
      </x:c>
      <x:c r="E479" s="9" t="n">
        <x:v>2160000</x:v>
      </x:c>
      <x:c r="F479" s="9" t="n">
        <x:v>2160000</x:v>
      </x:c>
    </x:row>
    <x:row r="480" ht="34" customHeight="1">
      <x:c r="A480" s="4" t="str">
        <x:v>RS-00259-I3</x:v>
      </x:c>
      <x:c r="B480" s="4" t="str">
        <x:v>RS-00259</x:v>
      </x:c>
      <x:c r="C480" s="9" t="n">
        <x:v>3</x:v>
      </x:c>
      <x:c r="D480" s="8" t="n">
        <x:v>45358</x:v>
      </x:c>
      <x:c r="E480" s="9" t="n">
        <x:v>2160000</x:v>
      </x:c>
      <x:c r="F480" s="9" t="n">
        <x:v>2160000</x:v>
      </x:c>
    </x:row>
    <x:row r="481" ht="34" customHeight="1">
      <x:c r="A481" s="4" t="str">
        <x:v>RS-00259-I4</x:v>
      </x:c>
      <x:c r="B481" s="4" t="str">
        <x:v>RS-00259</x:v>
      </x:c>
      <x:c r="C481" s="9" t="n">
        <x:v>4</x:v>
      </x:c>
      <x:c r="D481" s="8" t="n">
        <x:v>45388</x:v>
      </x:c>
      <x:c r="E481" s="9" t="n">
        <x:v>2160000</x:v>
      </x:c>
      <x:c r="F481" s="9" t="n">
        <x:v>2160000</x:v>
      </x:c>
    </x:row>
    <x:row r="482" ht="34" customHeight="1">
      <x:c r="A482" s="4" t="str">
        <x:v>RS-00261-I1</x:v>
      </x:c>
      <x:c r="B482" s="4" t="str">
        <x:v>RS-00261</x:v>
      </x:c>
      <x:c r="C482" s="9" t="n">
        <x:v>1</x:v>
      </x:c>
      <x:c r="D482" s="8" t="n">
        <x:v>45300</x:v>
      </x:c>
      <x:c r="E482" s="9" t="n">
        <x:v>1656000</x:v>
      </x:c>
      <x:c r="F482" s="9" t="n">
        <x:v>1656000</x:v>
      </x:c>
    </x:row>
    <x:row r="483" ht="34" customHeight="1">
      <x:c r="A483" s="4" t="str">
        <x:v>RS-00261-I2</x:v>
      </x:c>
      <x:c r="B483" s="4" t="str">
        <x:v>RS-00261</x:v>
      </x:c>
      <x:c r="C483" s="9" t="n">
        <x:v>2</x:v>
      </x:c>
      <x:c r="D483" s="8" t="n">
        <x:v>45330</x:v>
      </x:c>
      <x:c r="E483" s="9" t="n">
        <x:v>1656000</x:v>
      </x:c>
      <x:c r="F483" s="9" t="n">
        <x:v>0</x:v>
      </x:c>
    </x:row>
    <x:row r="484" ht="34" customHeight="1">
      <x:c r="A484" s="4" t="str">
        <x:v>RS-00261-I3</x:v>
      </x:c>
      <x:c r="B484" s="4" t="str">
        <x:v>RS-00261</x:v>
      </x:c>
      <x:c r="C484" s="9" t="n">
        <x:v>3</x:v>
      </x:c>
      <x:c r="D484" s="8" t="n">
        <x:v>45360</x:v>
      </x:c>
      <x:c r="E484" s="9" t="n">
        <x:v>1656000</x:v>
      </x:c>
      <x:c r="F484" s="9" t="n">
        <x:v>0</x:v>
      </x:c>
    </x:row>
    <x:row r="485" ht="34" customHeight="1">
      <x:c r="A485" s="4" t="str">
        <x:v>RS-00261-I4</x:v>
      </x:c>
      <x:c r="B485" s="4" t="str">
        <x:v>RS-00261</x:v>
      </x:c>
      <x:c r="C485" s="9" t="n">
        <x:v>4</x:v>
      </x:c>
      <x:c r="D485" s="8" t="n">
        <x:v>45390</x:v>
      </x:c>
      <x:c r="E485" s="9" t="n">
        <x:v>1656000</x:v>
      </x:c>
      <x:c r="F485" s="9" t="n">
        <x:v>0</x:v>
      </x:c>
    </x:row>
    <x:row r="486" ht="34" customHeight="1">
      <x:c r="A486" s="4" t="str">
        <x:v>RS-00262-I1</x:v>
      </x:c>
      <x:c r="B486" s="4" t="str">
        <x:v>RS-00262</x:v>
      </x:c>
      <x:c r="C486" s="9" t="n">
        <x:v>1</x:v>
      </x:c>
      <x:c r="D486" s="8" t="n">
        <x:v>45301</x:v>
      </x:c>
      <x:c r="E486" s="9" t="n">
        <x:v>5044000</x:v>
      </x:c>
      <x:c r="F486" s="9" t="n">
        <x:v>5044000</x:v>
      </x:c>
    </x:row>
    <x:row r="487" ht="34" customHeight="1">
      <x:c r="A487" s="4" t="str">
        <x:v>RS-00262-I2</x:v>
      </x:c>
      <x:c r="B487" s="4" t="str">
        <x:v>RS-00262</x:v>
      </x:c>
      <x:c r="C487" s="9" t="n">
        <x:v>2</x:v>
      </x:c>
      <x:c r="D487" s="8" t="n">
        <x:v>45331</x:v>
      </x:c>
      <x:c r="E487" s="9" t="n">
        <x:v>5044000</x:v>
      </x:c>
      <x:c r="F487" s="9" t="n">
        <x:v>0</x:v>
      </x:c>
    </x:row>
    <x:row r="488" ht="34" customHeight="1">
      <x:c r="A488" s="4" t="str">
        <x:v>RS-00262-I3</x:v>
      </x:c>
      <x:c r="B488" s="4" t="str">
        <x:v>RS-00262</x:v>
      </x:c>
      <x:c r="C488" s="9" t="n">
        <x:v>3</x:v>
      </x:c>
      <x:c r="D488" s="8" t="n">
        <x:v>45361</x:v>
      </x:c>
      <x:c r="E488" s="9" t="n">
        <x:v>5044000</x:v>
      </x:c>
      <x:c r="F488" s="9" t="n">
        <x:v>0</x:v>
      </x:c>
    </x:row>
    <x:row r="489" ht="34" customHeight="1">
      <x:c r="A489" s="4" t="str">
        <x:v>RS-00262-I4</x:v>
      </x:c>
      <x:c r="B489" s="4" t="str">
        <x:v>RS-00262</x:v>
      </x:c>
      <x:c r="C489" s="9" t="n">
        <x:v>4</x:v>
      </x:c>
      <x:c r="D489" s="8" t="n">
        <x:v>45391</x:v>
      </x:c>
      <x:c r="E489" s="9" t="n">
        <x:v>5044000</x:v>
      </x:c>
      <x:c r="F489" s="9" t="n">
        <x:v>0</x:v>
      </x:c>
    </x:row>
    <x:row r="490" ht="34" customHeight="1">
      <x:c r="A490" s="4" t="str">
        <x:v>RS-00264-I1</x:v>
      </x:c>
      <x:c r="B490" s="4" t="str">
        <x:v>RS-00264</x:v>
      </x:c>
      <x:c r="C490" s="9" t="n">
        <x:v>1</x:v>
      </x:c>
      <x:c r="D490" s="8" t="n">
        <x:v>45303</x:v>
      </x:c>
      <x:c r="E490" s="9" t="n">
        <x:v>4488500</x:v>
      </x:c>
      <x:c r="F490" s="9" t="n">
        <x:v>4488500</x:v>
      </x:c>
    </x:row>
    <x:row r="491" ht="34" customHeight="1">
      <x:c r="A491" s="4" t="str">
        <x:v>RS-00264-I2</x:v>
      </x:c>
      <x:c r="B491" s="4" t="str">
        <x:v>RS-00264</x:v>
      </x:c>
      <x:c r="C491" s="9" t="n">
        <x:v>2</x:v>
      </x:c>
      <x:c r="D491" s="8" t="n">
        <x:v>45333</x:v>
      </x:c>
      <x:c r="E491" s="9" t="n">
        <x:v>4488500</x:v>
      </x:c>
      <x:c r="F491" s="9" t="n">
        <x:v>4488500</x:v>
      </x:c>
    </x:row>
    <x:row r="492" ht="34" customHeight="1">
      <x:c r="A492" s="4" t="str">
        <x:v>RS-00264-I3</x:v>
      </x:c>
      <x:c r="B492" s="4" t="str">
        <x:v>RS-00264</x:v>
      </x:c>
      <x:c r="C492" s="9" t="n">
        <x:v>3</x:v>
      </x:c>
      <x:c r="D492" s="8" t="n">
        <x:v>45363</x:v>
      </x:c>
      <x:c r="E492" s="9" t="n">
        <x:v>4488500</x:v>
      </x:c>
      <x:c r="F492" s="9" t="n">
        <x:v>4488500</x:v>
      </x:c>
    </x:row>
    <x:row r="493" ht="34" customHeight="1">
      <x:c r="A493" s="4" t="str">
        <x:v>RS-00264-I4</x:v>
      </x:c>
      <x:c r="B493" s="4" t="str">
        <x:v>RS-00264</x:v>
      </x:c>
      <x:c r="C493" s="9" t="n">
        <x:v>4</x:v>
      </x:c>
      <x:c r="D493" s="8" t="n">
        <x:v>45393</x:v>
      </x:c>
      <x:c r="E493" s="9" t="n">
        <x:v>4488500</x:v>
      </x:c>
      <x:c r="F493" s="9" t="n">
        <x:v>4488500</x:v>
      </x:c>
    </x:row>
    <x:row r="494" ht="34" customHeight="1">
      <x:c r="A494" s="4" t="str">
        <x:v>RS-00266-I1</x:v>
      </x:c>
      <x:c r="B494" s="4" t="str">
        <x:v>RS-00266</x:v>
      </x:c>
      <x:c r="C494" s="9" t="n">
        <x:v>1</x:v>
      </x:c>
      <x:c r="D494" s="8" t="n">
        <x:v>45305</x:v>
      </x:c>
      <x:c r="E494" s="9" t="n">
        <x:v>4606000</x:v>
      </x:c>
      <x:c r="F494" s="9" t="n">
        <x:v>4606000</x:v>
      </x:c>
    </x:row>
    <x:row r="495" ht="34" customHeight="1">
      <x:c r="A495" s="4" t="str">
        <x:v>RS-00266-I2</x:v>
      </x:c>
      <x:c r="B495" s="4" t="str">
        <x:v>RS-00266</x:v>
      </x:c>
      <x:c r="C495" s="9" t="n">
        <x:v>2</x:v>
      </x:c>
      <x:c r="D495" s="8" t="n">
        <x:v>45335</x:v>
      </x:c>
      <x:c r="E495" s="9" t="n">
        <x:v>4606000</x:v>
      </x:c>
      <x:c r="F495" s="9" t="n">
        <x:v>0</x:v>
      </x:c>
    </x:row>
    <x:row r="496" ht="34" customHeight="1">
      <x:c r="A496" s="4" t="str">
        <x:v>RS-00266-I3</x:v>
      </x:c>
      <x:c r="B496" s="4" t="str">
        <x:v>RS-00266</x:v>
      </x:c>
      <x:c r="C496" s="9" t="n">
        <x:v>3</x:v>
      </x:c>
      <x:c r="D496" s="8" t="n">
        <x:v>45365</x:v>
      </x:c>
      <x:c r="E496" s="9" t="n">
        <x:v>4606000</x:v>
      </x:c>
      <x:c r="F496" s="9" t="n">
        <x:v>0</x:v>
      </x:c>
    </x:row>
    <x:row r="497" ht="34" customHeight="1">
      <x:c r="A497" s="4" t="str">
        <x:v>RS-00266-I4</x:v>
      </x:c>
      <x:c r="B497" s="4" t="str">
        <x:v>RS-00266</x:v>
      </x:c>
      <x:c r="C497" s="9" t="n">
        <x:v>4</x:v>
      </x:c>
      <x:c r="D497" s="8" t="n">
        <x:v>45395</x:v>
      </x:c>
      <x:c r="E497" s="9" t="n">
        <x:v>4606000</x:v>
      </x:c>
      <x:c r="F497" s="9" t="n">
        <x:v>0</x:v>
      </x:c>
    </x:row>
    <x:row r="498" ht="34" customHeight="1">
      <x:c r="A498" s="4" t="str">
        <x:v>RS-00267-I1</x:v>
      </x:c>
      <x:c r="B498" s="4" t="str">
        <x:v>RS-00267</x:v>
      </x:c>
      <x:c r="C498" s="9" t="n">
        <x:v>1</x:v>
      </x:c>
      <x:c r="D498" s="8" t="n">
        <x:v>45306</x:v>
      </x:c>
      <x:c r="E498" s="9" t="n">
        <x:v>5325000</x:v>
      </x:c>
      <x:c r="F498" s="9" t="n">
        <x:v>2130000</x:v>
      </x:c>
    </x:row>
    <x:row r="499" ht="34" customHeight="1">
      <x:c r="A499" s="4" t="str">
        <x:v>RS-00267-I2</x:v>
      </x:c>
      <x:c r="B499" s="4" t="str">
        <x:v>RS-00267</x:v>
      </x:c>
      <x:c r="C499" s="9" t="n">
        <x:v>2</x:v>
      </x:c>
      <x:c r="D499" s="8" t="n">
        <x:v>45336</x:v>
      </x:c>
      <x:c r="E499" s="9" t="n">
        <x:v>5325000</x:v>
      </x:c>
      <x:c r="F499" s="9" t="n">
        <x:v>0</x:v>
      </x:c>
    </x:row>
    <x:row r="500" ht="34" customHeight="1">
      <x:c r="A500" s="4" t="str">
        <x:v>RS-00267-I3</x:v>
      </x:c>
      <x:c r="B500" s="4" t="str">
        <x:v>RS-00267</x:v>
      </x:c>
      <x:c r="C500" s="9" t="n">
        <x:v>3</x:v>
      </x:c>
      <x:c r="D500" s="8" t="n">
        <x:v>45366</x:v>
      </x:c>
      <x:c r="E500" s="9" t="n">
        <x:v>5325000</x:v>
      </x:c>
      <x:c r="F500" s="9" t="n">
        <x:v>0</x:v>
      </x:c>
    </x:row>
    <x:row r="501" ht="34" customHeight="1">
      <x:c r="A501" s="4" t="str">
        <x:v>RS-00267-I4</x:v>
      </x:c>
      <x:c r="B501" s="4" t="str">
        <x:v>RS-00267</x:v>
      </x:c>
      <x:c r="C501" s="9" t="n">
        <x:v>4</x:v>
      </x:c>
      <x:c r="D501" s="8" t="n">
        <x:v>45396</x:v>
      </x:c>
      <x:c r="E501" s="9" t="n">
        <x:v>5325000</x:v>
      </x:c>
      <x:c r="F501" s="9" t="n">
        <x:v>0</x:v>
      </x:c>
    </x:row>
    <x:row r="502" ht="34" customHeight="1">
      <x:c r="A502" s="4" t="str">
        <x:v>RS-00268-I1</x:v>
      </x:c>
      <x:c r="B502" s="4" t="str">
        <x:v>RS-00268</x:v>
      </x:c>
      <x:c r="C502" s="9" t="n">
        <x:v>1</x:v>
      </x:c>
      <x:c r="D502" s="8" t="n">
        <x:v>45307</x:v>
      </x:c>
      <x:c r="E502" s="9" t="n">
        <x:v>4972500</x:v>
      </x:c>
      <x:c r="F502" s="9" t="n">
        <x:v>4972500</x:v>
      </x:c>
    </x:row>
    <x:row r="503" ht="34" customHeight="1">
      <x:c r="A503" s="4" t="str">
        <x:v>RS-00268-I2</x:v>
      </x:c>
      <x:c r="B503" s="4" t="str">
        <x:v>RS-00268</x:v>
      </x:c>
      <x:c r="C503" s="9" t="n">
        <x:v>2</x:v>
      </x:c>
      <x:c r="D503" s="8" t="n">
        <x:v>45337</x:v>
      </x:c>
      <x:c r="E503" s="9" t="n">
        <x:v>4972500</x:v>
      </x:c>
      <x:c r="F503" s="9" t="n">
        <x:v>0</x:v>
      </x:c>
    </x:row>
    <x:row r="504" ht="34" customHeight="1">
      <x:c r="A504" s="4" t="str">
        <x:v>RS-00268-I3</x:v>
      </x:c>
      <x:c r="B504" s="4" t="str">
        <x:v>RS-00268</x:v>
      </x:c>
      <x:c r="C504" s="9" t="n">
        <x:v>3</x:v>
      </x:c>
      <x:c r="D504" s="8" t="n">
        <x:v>45367</x:v>
      </x:c>
      <x:c r="E504" s="9" t="n">
        <x:v>4972500</x:v>
      </x:c>
      <x:c r="F504" s="9" t="n">
        <x:v>0</x:v>
      </x:c>
    </x:row>
    <x:row r="505" ht="34" customHeight="1">
      <x:c r="A505" s="4" t="str">
        <x:v>RS-00268-I4</x:v>
      </x:c>
      <x:c r="B505" s="4" t="str">
        <x:v>RS-00268</x:v>
      </x:c>
      <x:c r="C505" s="9" t="n">
        <x:v>4</x:v>
      </x:c>
      <x:c r="D505" s="8" t="n">
        <x:v>45397</x:v>
      </x:c>
      <x:c r="E505" s="9" t="n">
        <x:v>4972500</x:v>
      </x:c>
      <x:c r="F505" s="9" t="n">
        <x:v>0</x:v>
      </x:c>
    </x:row>
    <x:row r="506" ht="34" customHeight="1">
      <x:c r="A506" s="4" t="str">
        <x:v>RS-00273-I1</x:v>
      </x:c>
      <x:c r="B506" s="4" t="str">
        <x:v>RS-00273</x:v>
      </x:c>
      <x:c r="C506" s="9" t="n">
        <x:v>1</x:v>
      </x:c>
      <x:c r="D506" s="8" t="n">
        <x:v>45312</x:v>
      </x:c>
      <x:c r="E506" s="9" t="n">
        <x:v>3048250</x:v>
      </x:c>
      <x:c r="F506" s="9" t="n">
        <x:v>3048250</x:v>
      </x:c>
    </x:row>
    <x:row r="507" ht="34" customHeight="1">
      <x:c r="A507" s="4" t="str">
        <x:v>RS-00273-I2</x:v>
      </x:c>
      <x:c r="B507" s="4" t="str">
        <x:v>RS-00273</x:v>
      </x:c>
      <x:c r="C507" s="9" t="n">
        <x:v>2</x:v>
      </x:c>
      <x:c r="D507" s="8" t="n">
        <x:v>45342</x:v>
      </x:c>
      <x:c r="E507" s="9" t="n">
        <x:v>3048250</x:v>
      </x:c>
      <x:c r="F507" s="9" t="n">
        <x:v>3048250</x:v>
      </x:c>
    </x:row>
    <x:row r="508" ht="34" customHeight="1">
      <x:c r="A508" s="4" t="str">
        <x:v>RS-00273-I3</x:v>
      </x:c>
      <x:c r="B508" s="4" t="str">
        <x:v>RS-00273</x:v>
      </x:c>
      <x:c r="C508" s="9" t="n">
        <x:v>3</x:v>
      </x:c>
      <x:c r="D508" s="8" t="n">
        <x:v>45372</x:v>
      </x:c>
      <x:c r="E508" s="9" t="n">
        <x:v>3048250</x:v>
      </x:c>
      <x:c r="F508" s="9" t="n">
        <x:v>0</x:v>
      </x:c>
    </x:row>
    <x:row r="509" ht="34" customHeight="1">
      <x:c r="A509" s="4" t="str">
        <x:v>RS-00273-I4</x:v>
      </x:c>
      <x:c r="B509" s="4" t="str">
        <x:v>RS-00273</x:v>
      </x:c>
      <x:c r="C509" s="9" t="n">
        <x:v>4</x:v>
      </x:c>
      <x:c r="D509" s="8" t="n">
        <x:v>45402</x:v>
      </x:c>
      <x:c r="E509" s="9" t="n">
        <x:v>3048250</x:v>
      </x:c>
      <x:c r="F509" s="9" t="n">
        <x:v>0</x:v>
      </x:c>
    </x:row>
    <x:row r="510" ht="34" customHeight="1">
      <x:c r="A510" s="4" t="str">
        <x:v>RS-00274-I1</x:v>
      </x:c>
      <x:c r="B510" s="4" t="str">
        <x:v>RS-00274</x:v>
      </x:c>
      <x:c r="C510" s="9" t="n">
        <x:v>1</x:v>
      </x:c>
      <x:c r="D510" s="8" t="n">
        <x:v>45313</x:v>
      </x:c>
      <x:c r="E510" s="9" t="n">
        <x:v>4370000</x:v>
      </x:c>
      <x:c r="F510" s="9" t="n">
        <x:v>1748000</x:v>
      </x:c>
    </x:row>
    <x:row r="511" ht="34" customHeight="1">
      <x:c r="A511" s="4" t="str">
        <x:v>RS-00274-I2</x:v>
      </x:c>
      <x:c r="B511" s="4" t="str">
        <x:v>RS-00274</x:v>
      </x:c>
      <x:c r="C511" s="9" t="n">
        <x:v>2</x:v>
      </x:c>
      <x:c r="D511" s="8" t="n">
        <x:v>45343</x:v>
      </x:c>
      <x:c r="E511" s="9" t="n">
        <x:v>4370000</x:v>
      </x:c>
      <x:c r="F511" s="9" t="n">
        <x:v>0</x:v>
      </x:c>
    </x:row>
    <x:row r="512" ht="34" customHeight="1">
      <x:c r="A512" s="4" t="str">
        <x:v>RS-00274-I3</x:v>
      </x:c>
      <x:c r="B512" s="4" t="str">
        <x:v>RS-00274</x:v>
      </x:c>
      <x:c r="C512" s="9" t="n">
        <x:v>3</x:v>
      </x:c>
      <x:c r="D512" s="8" t="n">
        <x:v>45373</x:v>
      </x:c>
      <x:c r="E512" s="9" t="n">
        <x:v>4370000</x:v>
      </x:c>
      <x:c r="F512" s="9" t="n">
        <x:v>0</x:v>
      </x:c>
    </x:row>
    <x:row r="513" ht="34" customHeight="1">
      <x:c r="A513" s="4" t="str">
        <x:v>RS-00274-I4</x:v>
      </x:c>
      <x:c r="B513" s="4" t="str">
        <x:v>RS-00274</x:v>
      </x:c>
      <x:c r="C513" s="9" t="n">
        <x:v>4</x:v>
      </x:c>
      <x:c r="D513" s="8" t="n">
        <x:v>45403</x:v>
      </x:c>
      <x:c r="E513" s="9" t="n">
        <x:v>4370000</x:v>
      </x:c>
      <x:c r="F513" s="9" t="n">
        <x:v>0</x:v>
      </x:c>
    </x:row>
    <x:row r="514" ht="34" customHeight="1">
      <x:c r="A514" s="4" t="str">
        <x:v>RS-00275-I1</x:v>
      </x:c>
      <x:c r="B514" s="4" t="str">
        <x:v>RS-00275</x:v>
      </x:c>
      <x:c r="C514" s="9" t="n">
        <x:v>1</x:v>
      </x:c>
      <x:c r="D514" s="8" t="n">
        <x:v>45314</x:v>
      </x:c>
      <x:c r="E514" s="9" t="n">
        <x:v>2860000</x:v>
      </x:c>
      <x:c r="F514" s="9" t="n">
        <x:v>1144000</x:v>
      </x:c>
    </x:row>
    <x:row r="515" ht="34" customHeight="1">
      <x:c r="A515" s="4" t="str">
        <x:v>RS-00275-I2</x:v>
      </x:c>
      <x:c r="B515" s="4" t="str">
        <x:v>RS-00275</x:v>
      </x:c>
      <x:c r="C515" s="9" t="n">
        <x:v>2</x:v>
      </x:c>
      <x:c r="D515" s="8" t="n">
        <x:v>45344</x:v>
      </x:c>
      <x:c r="E515" s="9" t="n">
        <x:v>2860000</x:v>
      </x:c>
      <x:c r="F515" s="9" t="n">
        <x:v>0</x:v>
      </x:c>
    </x:row>
    <x:row r="516" ht="34" customHeight="1">
      <x:c r="A516" s="4" t="str">
        <x:v>RS-00275-I3</x:v>
      </x:c>
      <x:c r="B516" s="4" t="str">
        <x:v>RS-00275</x:v>
      </x:c>
      <x:c r="C516" s="9" t="n">
        <x:v>3</x:v>
      </x:c>
      <x:c r="D516" s="8" t="n">
        <x:v>45374</x:v>
      </x:c>
      <x:c r="E516" s="9" t="n">
        <x:v>2860000</x:v>
      </x:c>
      <x:c r="F516" s="9" t="n">
        <x:v>0</x:v>
      </x:c>
    </x:row>
    <x:row r="517" ht="34" customHeight="1">
      <x:c r="A517" s="4" t="str">
        <x:v>RS-00275-I4</x:v>
      </x:c>
      <x:c r="B517" s="4" t="str">
        <x:v>RS-00275</x:v>
      </x:c>
      <x:c r="C517" s="9" t="n">
        <x:v>4</x:v>
      </x:c>
      <x:c r="D517" s="8" t="n">
        <x:v>45404</x:v>
      </x:c>
      <x:c r="E517" s="9" t="n">
        <x:v>2860000</x:v>
      </x:c>
      <x:c r="F517" s="9" t="n">
        <x:v>0</x:v>
      </x:c>
    </x:row>
    <x:row r="518" ht="34" customHeight="1">
      <x:c r="A518" s="4" t="str">
        <x:v>RS-00277-I1</x:v>
      </x:c>
      <x:c r="B518" s="4" t="str">
        <x:v>RS-00277</x:v>
      </x:c>
      <x:c r="C518" s="9" t="n">
        <x:v>1</x:v>
      </x:c>
      <x:c r="D518" s="8" t="n">
        <x:v>45316</x:v>
      </x:c>
      <x:c r="E518" s="9" t="n">
        <x:v>3430000</x:v>
      </x:c>
      <x:c r="F518" s="9" t="n">
        <x:v>1372000</x:v>
      </x:c>
    </x:row>
    <x:row r="519" ht="34" customHeight="1">
      <x:c r="A519" s="4" t="str">
        <x:v>RS-00277-I2</x:v>
      </x:c>
      <x:c r="B519" s="4" t="str">
        <x:v>RS-00277</x:v>
      </x:c>
      <x:c r="C519" s="9" t="n">
        <x:v>2</x:v>
      </x:c>
      <x:c r="D519" s="8" t="n">
        <x:v>45346</x:v>
      </x:c>
      <x:c r="E519" s="9" t="n">
        <x:v>3430000</x:v>
      </x:c>
      <x:c r="F519" s="9" t="n">
        <x:v>0</x:v>
      </x:c>
    </x:row>
    <x:row r="520" ht="34" customHeight="1">
      <x:c r="A520" s="4" t="str">
        <x:v>RS-00277-I3</x:v>
      </x:c>
      <x:c r="B520" s="4" t="str">
        <x:v>RS-00277</x:v>
      </x:c>
      <x:c r="C520" s="9" t="n">
        <x:v>3</x:v>
      </x:c>
      <x:c r="D520" s="8" t="n">
        <x:v>45376</x:v>
      </x:c>
      <x:c r="E520" s="9" t="n">
        <x:v>3430000</x:v>
      </x:c>
      <x:c r="F520" s="9" t="n">
        <x:v>0</x:v>
      </x:c>
    </x:row>
    <x:row r="521" ht="34" customHeight="1">
      <x:c r="A521" s="4" t="str">
        <x:v>RS-00277-I4</x:v>
      </x:c>
      <x:c r="B521" s="4" t="str">
        <x:v>RS-00277</x:v>
      </x:c>
      <x:c r="C521" s="9" t="n">
        <x:v>4</x:v>
      </x:c>
      <x:c r="D521" s="8" t="n">
        <x:v>45406</x:v>
      </x:c>
      <x:c r="E521" s="9" t="n">
        <x:v>3430000</x:v>
      </x:c>
      <x:c r="F521" s="9" t="n">
        <x:v>0</x:v>
      </x:c>
    </x:row>
    <x:row r="522" ht="34" customHeight="1">
      <x:c r="A522" s="4" t="str">
        <x:v>RS-00278-I1</x:v>
      </x:c>
      <x:c r="B522" s="4" t="str">
        <x:v>RS-00278</x:v>
      </x:c>
      <x:c r="C522" s="9" t="n">
        <x:v>1</x:v>
      </x:c>
      <x:c r="D522" s="8" t="n">
        <x:v>45317</x:v>
      </x:c>
      <x:c r="E522" s="9" t="n">
        <x:v>5310000</x:v>
      </x:c>
      <x:c r="F522" s="9" t="n">
        <x:v>5310000</x:v>
      </x:c>
    </x:row>
    <x:row r="523" ht="34" customHeight="1">
      <x:c r="A523" s="4" t="str">
        <x:v>RS-00278-I2</x:v>
      </x:c>
      <x:c r="B523" s="4" t="str">
        <x:v>RS-00278</x:v>
      </x:c>
      <x:c r="C523" s="9" t="n">
        <x:v>2</x:v>
      </x:c>
      <x:c r="D523" s="8" t="n">
        <x:v>45347</x:v>
      </x:c>
      <x:c r="E523" s="9" t="n">
        <x:v>5310000</x:v>
      </x:c>
      <x:c r="F523" s="9" t="n">
        <x:v>5310000</x:v>
      </x:c>
    </x:row>
    <x:row r="524" ht="34" customHeight="1">
      <x:c r="A524" s="4" t="str">
        <x:v>RS-00278-I3</x:v>
      </x:c>
      <x:c r="B524" s="4" t="str">
        <x:v>RS-00278</x:v>
      </x:c>
      <x:c r="C524" s="9" t="n">
        <x:v>3</x:v>
      </x:c>
      <x:c r="D524" s="8" t="n">
        <x:v>45377</x:v>
      </x:c>
      <x:c r="E524" s="9" t="n">
        <x:v>5310000</x:v>
      </x:c>
      <x:c r="F524" s="9" t="n">
        <x:v>5310000</x:v>
      </x:c>
    </x:row>
    <x:row r="525" ht="34" customHeight="1">
      <x:c r="A525" s="4" t="str">
        <x:v>RS-00278-I4</x:v>
      </x:c>
      <x:c r="B525" s="4" t="str">
        <x:v>RS-00278</x:v>
      </x:c>
      <x:c r="C525" s="9" t="n">
        <x:v>4</x:v>
      </x:c>
      <x:c r="D525" s="8" t="n">
        <x:v>45407</x:v>
      </x:c>
      <x:c r="E525" s="9" t="n">
        <x:v>5310000</x:v>
      </x:c>
      <x:c r="F525" s="9" t="n">
        <x:v>5310000</x:v>
      </x:c>
    </x:row>
    <x:row r="526" ht="34" customHeight="1">
      <x:c r="A526" s="4" t="str">
        <x:v>RS-00279-I1</x:v>
      </x:c>
      <x:c r="B526" s="4" t="str">
        <x:v>RS-00279</x:v>
      </x:c>
      <x:c r="C526" s="9" t="n">
        <x:v>1</x:v>
      </x:c>
      <x:c r="D526" s="8" t="n">
        <x:v>45318</x:v>
      </x:c>
      <x:c r="E526" s="9" t="n">
        <x:v>3626000</x:v>
      </x:c>
      <x:c r="F526" s="9" t="n">
        <x:v>3626000</x:v>
      </x:c>
    </x:row>
    <x:row r="527" ht="34" customHeight="1">
      <x:c r="A527" s="4" t="str">
        <x:v>RS-00279-I2</x:v>
      </x:c>
      <x:c r="B527" s="4" t="str">
        <x:v>RS-00279</x:v>
      </x:c>
      <x:c r="C527" s="9" t="n">
        <x:v>2</x:v>
      </x:c>
      <x:c r="D527" s="8" t="n">
        <x:v>45348</x:v>
      </x:c>
      <x:c r="E527" s="9" t="n">
        <x:v>3626000</x:v>
      </x:c>
      <x:c r="F527" s="9" t="n">
        <x:v>3626000</x:v>
      </x:c>
    </x:row>
    <x:row r="528" ht="34" customHeight="1">
      <x:c r="A528" s="4" t="str">
        <x:v>RS-00279-I3</x:v>
      </x:c>
      <x:c r="B528" s="4" t="str">
        <x:v>RS-00279</x:v>
      </x:c>
      <x:c r="C528" s="9" t="n">
        <x:v>3</x:v>
      </x:c>
      <x:c r="D528" s="8" t="n">
        <x:v>45378</x:v>
      </x:c>
      <x:c r="E528" s="9" t="n">
        <x:v>3626000</x:v>
      </x:c>
      <x:c r="F528" s="9" t="n">
        <x:v>0</x:v>
      </x:c>
    </x:row>
    <x:row r="529" ht="34" customHeight="1">
      <x:c r="A529" s="4" t="str">
        <x:v>RS-00279-I4</x:v>
      </x:c>
      <x:c r="B529" s="4" t="str">
        <x:v>RS-00279</x:v>
      </x:c>
      <x:c r="C529" s="9" t="n">
        <x:v>4</x:v>
      </x:c>
      <x:c r="D529" s="8" t="n">
        <x:v>45408</x:v>
      </x:c>
      <x:c r="E529" s="9" t="n">
        <x:v>3626000</x:v>
      </x:c>
      <x:c r="F529" s="9" t="n">
        <x:v>0</x:v>
      </x:c>
    </x:row>
    <x:row r="530" ht="34" customHeight="1">
      <x:c r="A530" s="4" t="str">
        <x:v>RS-00283-I1</x:v>
      </x:c>
      <x:c r="B530" s="4" t="str">
        <x:v>RS-00283</x:v>
      </x:c>
      <x:c r="C530" s="9" t="n">
        <x:v>1</x:v>
      </x:c>
      <x:c r="D530" s="8" t="n">
        <x:v>45294</x:v>
      </x:c>
      <x:c r="E530" s="9" t="n">
        <x:v>4968000</x:v>
      </x:c>
      <x:c r="F530" s="9" t="n">
        <x:v>4968000</x:v>
      </x:c>
    </x:row>
    <x:row r="531" ht="34" customHeight="1">
      <x:c r="A531" s="4" t="str">
        <x:v>RS-00283-I2</x:v>
      </x:c>
      <x:c r="B531" s="4" t="str">
        <x:v>RS-00283</x:v>
      </x:c>
      <x:c r="C531" s="9" t="n">
        <x:v>2</x:v>
      </x:c>
      <x:c r="D531" s="8" t="n">
        <x:v>45324</x:v>
      </x:c>
      <x:c r="E531" s="9" t="n">
        <x:v>4968000</x:v>
      </x:c>
      <x:c r="F531" s="9" t="n">
        <x:v>0</x:v>
      </x:c>
    </x:row>
    <x:row r="532" ht="34" customHeight="1">
      <x:c r="A532" s="4" t="str">
        <x:v>RS-00283-I3</x:v>
      </x:c>
      <x:c r="B532" s="4" t="str">
        <x:v>RS-00283</x:v>
      </x:c>
      <x:c r="C532" s="9" t="n">
        <x:v>3</x:v>
      </x:c>
      <x:c r="D532" s="8" t="n">
        <x:v>45354</x:v>
      </x:c>
      <x:c r="E532" s="9" t="n">
        <x:v>4968000</x:v>
      </x:c>
      <x:c r="F532" s="9" t="n">
        <x:v>0</x:v>
      </x:c>
    </x:row>
    <x:row r="533" ht="34" customHeight="1">
      <x:c r="A533" s="4" t="str">
        <x:v>RS-00283-I4</x:v>
      </x:c>
      <x:c r="B533" s="4" t="str">
        <x:v>RS-00283</x:v>
      </x:c>
      <x:c r="C533" s="9" t="n">
        <x:v>4</x:v>
      </x:c>
      <x:c r="D533" s="8" t="n">
        <x:v>45384</x:v>
      </x:c>
      <x:c r="E533" s="9" t="n">
        <x:v>4968000</x:v>
      </x:c>
      <x:c r="F533" s="9" t="n">
        <x:v>0</x:v>
      </x:c>
    </x:row>
    <x:row r="534" ht="34" customHeight="1">
      <x:c r="A534" s="4" t="str">
        <x:v>RS-00284-I1</x:v>
      </x:c>
      <x:c r="B534" s="4" t="str">
        <x:v>RS-00284</x:v>
      </x:c>
      <x:c r="C534" s="9" t="n">
        <x:v>1</x:v>
      </x:c>
      <x:c r="D534" s="8" t="n">
        <x:v>45295</x:v>
      </x:c>
      <x:c r="E534" s="9" t="n">
        <x:v>2040000</x:v>
      </x:c>
      <x:c r="F534" s="9" t="n">
        <x:v>2040000</x:v>
      </x:c>
    </x:row>
    <x:row r="535" ht="34" customHeight="1">
      <x:c r="A535" s="4" t="str">
        <x:v>RS-00284-I2</x:v>
      </x:c>
      <x:c r="B535" s="4" t="str">
        <x:v>RS-00284</x:v>
      </x:c>
      <x:c r="C535" s="9" t="n">
        <x:v>2</x:v>
      </x:c>
      <x:c r="D535" s="8" t="n">
        <x:v>45325</x:v>
      </x:c>
      <x:c r="E535" s="9" t="n">
        <x:v>2040000</x:v>
      </x:c>
      <x:c r="F535" s="9" t="n">
        <x:v>0</x:v>
      </x:c>
    </x:row>
    <x:row r="536" ht="34" customHeight="1">
      <x:c r="A536" s="4" t="str">
        <x:v>RS-00284-I3</x:v>
      </x:c>
      <x:c r="B536" s="4" t="str">
        <x:v>RS-00284</x:v>
      </x:c>
      <x:c r="C536" s="9" t="n">
        <x:v>3</x:v>
      </x:c>
      <x:c r="D536" s="8" t="n">
        <x:v>45355</x:v>
      </x:c>
      <x:c r="E536" s="9" t="n">
        <x:v>2040000</x:v>
      </x:c>
      <x:c r="F536" s="9" t="n">
        <x:v>0</x:v>
      </x:c>
    </x:row>
    <x:row r="537" ht="34" customHeight="1">
      <x:c r="A537" s="4" t="str">
        <x:v>RS-00284-I4</x:v>
      </x:c>
      <x:c r="B537" s="4" t="str">
        <x:v>RS-00284</x:v>
      </x:c>
      <x:c r="C537" s="9" t="n">
        <x:v>4</x:v>
      </x:c>
      <x:c r="D537" s="8" t="n">
        <x:v>45385</x:v>
      </x:c>
      <x:c r="E537" s="9" t="n">
        <x:v>2040000</x:v>
      </x:c>
      <x:c r="F537" s="9" t="n">
        <x:v>0</x:v>
      </x:c>
    </x:row>
    <x:row r="538" ht="34" customHeight="1">
      <x:c r="A538" s="4" t="str">
        <x:v>RS-00285-I1</x:v>
      </x:c>
      <x:c r="B538" s="4" t="str">
        <x:v>RS-00285</x:v>
      </x:c>
      <x:c r="C538" s="9" t="n">
        <x:v>1</x:v>
      </x:c>
      <x:c r="D538" s="8" t="n">
        <x:v>45296</x:v>
      </x:c>
      <x:c r="E538" s="9" t="n">
        <x:v>5832000</x:v>
      </x:c>
      <x:c r="F538" s="9" t="n">
        <x:v>5832000</x:v>
      </x:c>
    </x:row>
    <x:row r="539" ht="34" customHeight="1">
      <x:c r="A539" s="4" t="str">
        <x:v>RS-00285-I2</x:v>
      </x:c>
      <x:c r="B539" s="4" t="str">
        <x:v>RS-00285</x:v>
      </x:c>
      <x:c r="C539" s="9" t="n">
        <x:v>2</x:v>
      </x:c>
      <x:c r="D539" s="8" t="n">
        <x:v>45326</x:v>
      </x:c>
      <x:c r="E539" s="9" t="n">
        <x:v>5832000</x:v>
      </x:c>
      <x:c r="F539" s="9" t="n">
        <x:v>0</x:v>
      </x:c>
    </x:row>
    <x:row r="540" ht="34" customHeight="1">
      <x:c r="A540" s="4" t="str">
        <x:v>RS-00285-I3</x:v>
      </x:c>
      <x:c r="B540" s="4" t="str">
        <x:v>RS-00285</x:v>
      </x:c>
      <x:c r="C540" s="9" t="n">
        <x:v>3</x:v>
      </x:c>
      <x:c r="D540" s="8" t="n">
        <x:v>45356</x:v>
      </x:c>
      <x:c r="E540" s="9" t="n">
        <x:v>5832000</x:v>
      </x:c>
      <x:c r="F540" s="9" t="n">
        <x:v>0</x:v>
      </x:c>
    </x:row>
    <x:row r="541" ht="34" customHeight="1">
      <x:c r="A541" s="4" t="str">
        <x:v>RS-00285-I4</x:v>
      </x:c>
      <x:c r="B541" s="4" t="str">
        <x:v>RS-00285</x:v>
      </x:c>
      <x:c r="C541" s="9" t="n">
        <x:v>4</x:v>
      </x:c>
      <x:c r="D541" s="8" t="n">
        <x:v>45386</x:v>
      </x:c>
      <x:c r="E541" s="9" t="n">
        <x:v>5832000</x:v>
      </x:c>
      <x:c r="F541" s="9" t="n">
        <x:v>0</x:v>
      </x:c>
    </x:row>
    <x:row r="542" ht="34" customHeight="1">
      <x:c r="A542" s="4" t="str">
        <x:v>RS-00288-I1</x:v>
      </x:c>
      <x:c r="B542" s="4" t="str">
        <x:v>RS-00288</x:v>
      </x:c>
      <x:c r="C542" s="9" t="n">
        <x:v>1</x:v>
      </x:c>
      <x:c r="D542" s="8" t="n">
        <x:v>45299</x:v>
      </x:c>
      <x:c r="E542" s="9" t="n">
        <x:v>4037500</x:v>
      </x:c>
      <x:c r="F542" s="9" t="n">
        <x:v>4037500</x:v>
      </x:c>
    </x:row>
    <x:row r="543" ht="34" customHeight="1">
      <x:c r="A543" s="4" t="str">
        <x:v>RS-00288-I2</x:v>
      </x:c>
      <x:c r="B543" s="4" t="str">
        <x:v>RS-00288</x:v>
      </x:c>
      <x:c r="C543" s="9" t="n">
        <x:v>2</x:v>
      </x:c>
      <x:c r="D543" s="8" t="n">
        <x:v>45329</x:v>
      </x:c>
      <x:c r="E543" s="9" t="n">
        <x:v>4037500</x:v>
      </x:c>
      <x:c r="F543" s="9" t="n">
        <x:v>4037500</x:v>
      </x:c>
    </x:row>
    <x:row r="544" ht="34" customHeight="1">
      <x:c r="A544" s="4" t="str">
        <x:v>RS-00288-I3</x:v>
      </x:c>
      <x:c r="B544" s="4" t="str">
        <x:v>RS-00288</x:v>
      </x:c>
      <x:c r="C544" s="9" t="n">
        <x:v>3</x:v>
      </x:c>
      <x:c r="D544" s="8" t="n">
        <x:v>45359</x:v>
      </x:c>
      <x:c r="E544" s="9" t="n">
        <x:v>4037500</x:v>
      </x:c>
      <x:c r="F544" s="9" t="n">
        <x:v>0</x:v>
      </x:c>
    </x:row>
    <x:row r="545" ht="34" customHeight="1">
      <x:c r="A545" s="4" t="str">
        <x:v>RS-00288-I4</x:v>
      </x:c>
      <x:c r="B545" s="4" t="str">
        <x:v>RS-00288</x:v>
      </x:c>
      <x:c r="C545" s="9" t="n">
        <x:v>4</x:v>
      </x:c>
      <x:c r="D545" s="8" t="n">
        <x:v>45389</x:v>
      </x:c>
      <x:c r="E545" s="9" t="n">
        <x:v>4037500</x:v>
      </x:c>
      <x:c r="F545" s="9" t="n">
        <x:v>0</x:v>
      </x:c>
    </x:row>
    <x:row r="546" ht="34" customHeight="1">
      <x:c r="A546" s="4" t="str">
        <x:v>RS-00289-I1</x:v>
      </x:c>
      <x:c r="B546" s="4" t="str">
        <x:v>RS-00289</x:v>
      </x:c>
      <x:c r="C546" s="9" t="n">
        <x:v>1</x:v>
      </x:c>
      <x:c r="D546" s="8" t="n">
        <x:v>45300</x:v>
      </x:c>
      <x:c r="E546" s="9" t="n">
        <x:v>4567500</x:v>
      </x:c>
      <x:c r="F546" s="9" t="n">
        <x:v>4567500</x:v>
      </x:c>
    </x:row>
    <x:row r="547" ht="34" customHeight="1">
      <x:c r="A547" s="4" t="str">
        <x:v>RS-00289-I2</x:v>
      </x:c>
      <x:c r="B547" s="4" t="str">
        <x:v>RS-00289</x:v>
      </x:c>
      <x:c r="C547" s="9" t="n">
        <x:v>2</x:v>
      </x:c>
      <x:c r="D547" s="8" t="n">
        <x:v>45330</x:v>
      </x:c>
      <x:c r="E547" s="9" t="n">
        <x:v>4567500</x:v>
      </x:c>
      <x:c r="F547" s="9" t="n">
        <x:v>4567500</x:v>
      </x:c>
    </x:row>
    <x:row r="548" ht="34" customHeight="1">
      <x:c r="A548" s="4" t="str">
        <x:v>RS-00289-I3</x:v>
      </x:c>
      <x:c r="B548" s="4" t="str">
        <x:v>RS-00289</x:v>
      </x:c>
      <x:c r="C548" s="9" t="n">
        <x:v>3</x:v>
      </x:c>
      <x:c r="D548" s="8" t="n">
        <x:v>45360</x:v>
      </x:c>
      <x:c r="E548" s="9" t="n">
        <x:v>4567500</x:v>
      </x:c>
      <x:c r="F548" s="9" t="n">
        <x:v>4567500</x:v>
      </x:c>
    </x:row>
    <x:row r="549" ht="34" customHeight="1">
      <x:c r="A549" s="4" t="str">
        <x:v>RS-00289-I4</x:v>
      </x:c>
      <x:c r="B549" s="4" t="str">
        <x:v>RS-00289</x:v>
      </x:c>
      <x:c r="C549" s="9" t="n">
        <x:v>4</x:v>
      </x:c>
      <x:c r="D549" s="8" t="n">
        <x:v>45390</x:v>
      </x:c>
      <x:c r="E549" s="9" t="n">
        <x:v>4567500</x:v>
      </x:c>
      <x:c r="F549" s="9" t="n">
        <x:v>4567500</x:v>
      </x:c>
    </x:row>
    <x:row r="550" ht="34" customHeight="1">
      <x:c r="A550" s="4" t="str">
        <x:v>RS-00290-I1</x:v>
      </x:c>
      <x:c r="B550" s="4" t="str">
        <x:v>RS-00290</x:v>
      </x:c>
      <x:c r="C550" s="9" t="n">
        <x:v>1</x:v>
      </x:c>
      <x:c r="D550" s="8" t="n">
        <x:v>45301</x:v>
      </x:c>
      <x:c r="E550" s="9" t="n">
        <x:v>3516250</x:v>
      </x:c>
      <x:c r="F550" s="9" t="n">
        <x:v>1406500</x:v>
      </x:c>
    </x:row>
    <x:row r="551" ht="34" customHeight="1">
      <x:c r="A551" s="4" t="str">
        <x:v>RS-00290-I2</x:v>
      </x:c>
      <x:c r="B551" s="4" t="str">
        <x:v>RS-00290</x:v>
      </x:c>
      <x:c r="C551" s="9" t="n">
        <x:v>2</x:v>
      </x:c>
      <x:c r="D551" s="8" t="n">
        <x:v>45331</x:v>
      </x:c>
      <x:c r="E551" s="9" t="n">
        <x:v>3516250</x:v>
      </x:c>
      <x:c r="F551" s="9" t="n">
        <x:v>0</x:v>
      </x:c>
    </x:row>
    <x:row r="552" ht="34" customHeight="1">
      <x:c r="A552" s="4" t="str">
        <x:v>RS-00290-I3</x:v>
      </x:c>
      <x:c r="B552" s="4" t="str">
        <x:v>RS-00290</x:v>
      </x:c>
      <x:c r="C552" s="9" t="n">
        <x:v>3</x:v>
      </x:c>
      <x:c r="D552" s="8" t="n">
        <x:v>45361</x:v>
      </x:c>
      <x:c r="E552" s="9" t="n">
        <x:v>3516250</x:v>
      </x:c>
      <x:c r="F552" s="9" t="n">
        <x:v>0</x:v>
      </x:c>
    </x:row>
    <x:row r="553" ht="34" customHeight="1">
      <x:c r="A553" s="4" t="str">
        <x:v>RS-00290-I4</x:v>
      </x:c>
      <x:c r="B553" s="4" t="str">
        <x:v>RS-00290</x:v>
      </x:c>
      <x:c r="C553" s="9" t="n">
        <x:v>4</x:v>
      </x:c>
      <x:c r="D553" s="8" t="n">
        <x:v>45391</x:v>
      </x:c>
      <x:c r="E553" s="9" t="n">
        <x:v>3516250</x:v>
      </x:c>
      <x:c r="F553" s="9" t="n">
        <x:v>0</x:v>
      </x:c>
    </x:row>
    <x:row r="554" ht="34" customHeight="1">
      <x:c r="A554" s="4" t="str">
        <x:v>RS-00291-I1</x:v>
      </x:c>
      <x:c r="B554" s="4" t="str">
        <x:v>RS-00291</x:v>
      </x:c>
      <x:c r="C554" s="9" t="n">
        <x:v>1</x:v>
      </x:c>
      <x:c r="D554" s="8" t="n">
        <x:v>45302</x:v>
      </x:c>
      <x:c r="E554" s="9" t="n">
        <x:v>5028500</x:v>
      </x:c>
      <x:c r="F554" s="9" t="n">
        <x:v>5028500</x:v>
      </x:c>
    </x:row>
    <x:row r="555" ht="34" customHeight="1">
      <x:c r="A555" s="4" t="str">
        <x:v>RS-00291-I2</x:v>
      </x:c>
      <x:c r="B555" s="4" t="str">
        <x:v>RS-00291</x:v>
      </x:c>
      <x:c r="C555" s="9" t="n">
        <x:v>2</x:v>
      </x:c>
      <x:c r="D555" s="8" t="n">
        <x:v>45332</x:v>
      </x:c>
      <x:c r="E555" s="9" t="n">
        <x:v>5028500</x:v>
      </x:c>
      <x:c r="F555" s="9" t="n">
        <x:v>5028500</x:v>
      </x:c>
    </x:row>
    <x:row r="556" ht="34" customHeight="1">
      <x:c r="A556" s="4" t="str">
        <x:v>RS-00291-I3</x:v>
      </x:c>
      <x:c r="B556" s="4" t="str">
        <x:v>RS-00291</x:v>
      </x:c>
      <x:c r="C556" s="9" t="n">
        <x:v>3</x:v>
      </x:c>
      <x:c r="D556" s="8" t="n">
        <x:v>45362</x:v>
      </x:c>
      <x:c r="E556" s="9" t="n">
        <x:v>5028500</x:v>
      </x:c>
      <x:c r="F556" s="9" t="n">
        <x:v>0</x:v>
      </x:c>
    </x:row>
    <x:row r="557" ht="34" customHeight="1">
      <x:c r="A557" s="4" t="str">
        <x:v>RS-00291-I4</x:v>
      </x:c>
      <x:c r="B557" s="4" t="str">
        <x:v>RS-00291</x:v>
      </x:c>
      <x:c r="C557" s="9" t="n">
        <x:v>4</x:v>
      </x:c>
      <x:c r="D557" s="8" t="n">
        <x:v>45392</x:v>
      </x:c>
      <x:c r="E557" s="9" t="n">
        <x:v>5028500</x:v>
      </x:c>
      <x:c r="F557" s="9" t="n">
        <x:v>0</x:v>
      </x:c>
    </x:row>
    <x:row r="558" ht="34" customHeight="1">
      <x:c r="A558" s="4" t="str">
        <x:v>RS-00293-I1</x:v>
      </x:c>
      <x:c r="B558" s="4" t="str">
        <x:v>RS-00293</x:v>
      </x:c>
      <x:c r="C558" s="9" t="n">
        <x:v>1</x:v>
      </x:c>
      <x:c r="D558" s="8" t="n">
        <x:v>45304</x:v>
      </x:c>
      <x:c r="E558" s="9" t="n">
        <x:v>5952000</x:v>
      </x:c>
      <x:c r="F558" s="9" t="n">
        <x:v>5952000</x:v>
      </x:c>
    </x:row>
    <x:row r="559" ht="34" customHeight="1">
      <x:c r="A559" s="4" t="str">
        <x:v>RS-00293-I2</x:v>
      </x:c>
      <x:c r="B559" s="4" t="str">
        <x:v>RS-00293</x:v>
      </x:c>
      <x:c r="C559" s="9" t="n">
        <x:v>2</x:v>
      </x:c>
      <x:c r="D559" s="8" t="n">
        <x:v>45334</x:v>
      </x:c>
      <x:c r="E559" s="9" t="n">
        <x:v>5952000</x:v>
      </x:c>
      <x:c r="F559" s="9" t="n">
        <x:v>5952000</x:v>
      </x:c>
    </x:row>
    <x:row r="560" ht="34" customHeight="1">
      <x:c r="A560" s="4" t="str">
        <x:v>RS-00293-I3</x:v>
      </x:c>
      <x:c r="B560" s="4" t="str">
        <x:v>RS-00293</x:v>
      </x:c>
      <x:c r="C560" s="9" t="n">
        <x:v>3</x:v>
      </x:c>
      <x:c r="D560" s="8" t="n">
        <x:v>45364</x:v>
      </x:c>
      <x:c r="E560" s="9" t="n">
        <x:v>5952000</x:v>
      </x:c>
      <x:c r="F560" s="9" t="n">
        <x:v>5952000</x:v>
      </x:c>
    </x:row>
    <x:row r="561" ht="34" customHeight="1">
      <x:c r="A561" s="4" t="str">
        <x:v>RS-00293-I4</x:v>
      </x:c>
      <x:c r="B561" s="4" t="str">
        <x:v>RS-00293</x:v>
      </x:c>
      <x:c r="C561" s="9" t="n">
        <x:v>4</x:v>
      </x:c>
      <x:c r="D561" s="8" t="n">
        <x:v>45394</x:v>
      </x:c>
      <x:c r="E561" s="9" t="n">
        <x:v>5952000</x:v>
      </x:c>
      <x:c r="F561" s="9" t="n">
        <x:v>5952000</x:v>
      </x:c>
    </x:row>
    <x:row r="562" ht="34" customHeight="1">
      <x:c r="A562" s="4" t="str">
        <x:v>RS-00296-I1</x:v>
      </x:c>
      <x:c r="B562" s="4" t="str">
        <x:v>RS-00296</x:v>
      </x:c>
      <x:c r="C562" s="9" t="n">
        <x:v>1</x:v>
      </x:c>
      <x:c r="D562" s="8" t="n">
        <x:v>45307</x:v>
      </x:c>
      <x:c r="E562" s="9" t="n">
        <x:v>4186000</x:v>
      </x:c>
      <x:c r="F562" s="9" t="n">
        <x:v>4186000</x:v>
      </x:c>
    </x:row>
    <x:row r="563" ht="34" customHeight="1">
      <x:c r="A563" s="4" t="str">
        <x:v>RS-00296-I2</x:v>
      </x:c>
      <x:c r="B563" s="4" t="str">
        <x:v>RS-00296</x:v>
      </x:c>
      <x:c r="C563" s="9" t="n">
        <x:v>2</x:v>
      </x:c>
      <x:c r="D563" s="8" t="n">
        <x:v>45337</x:v>
      </x:c>
      <x:c r="E563" s="9" t="n">
        <x:v>4186000</x:v>
      </x:c>
      <x:c r="F563" s="9" t="n">
        <x:v>0</x:v>
      </x:c>
    </x:row>
    <x:row r="564" ht="34" customHeight="1">
      <x:c r="A564" s="4" t="str">
        <x:v>RS-00296-I3</x:v>
      </x:c>
      <x:c r="B564" s="4" t="str">
        <x:v>RS-00296</x:v>
      </x:c>
      <x:c r="C564" s="9" t="n">
        <x:v>3</x:v>
      </x:c>
      <x:c r="D564" s="8" t="n">
        <x:v>45367</x:v>
      </x:c>
      <x:c r="E564" s="9" t="n">
        <x:v>4186000</x:v>
      </x:c>
      <x:c r="F564" s="9" t="n">
        <x:v>0</x:v>
      </x:c>
    </x:row>
    <x:row r="565" ht="34" customHeight="1">
      <x:c r="A565" s="4" t="str">
        <x:v>RS-00296-I4</x:v>
      </x:c>
      <x:c r="B565" s="4" t="str">
        <x:v>RS-00296</x:v>
      </x:c>
      <x:c r="C565" s="9" t="n">
        <x:v>4</x:v>
      </x:c>
      <x:c r="D565" s="8" t="n">
        <x:v>45397</x:v>
      </x:c>
      <x:c r="E565" s="9" t="n">
        <x:v>4186000</x:v>
      </x:c>
      <x:c r="F565" s="9" t="n">
        <x:v>0</x:v>
      </x:c>
    </x:row>
    <x:row r="566" ht="34" customHeight="1">
      <x:c r="A566" s="4" t="str">
        <x:v>RS-00298-I1</x:v>
      </x:c>
      <x:c r="B566" s="4" t="str">
        <x:v>RS-00298</x:v>
      </x:c>
      <x:c r="C566" s="9" t="n">
        <x:v>1</x:v>
      </x:c>
      <x:c r="D566" s="8" t="n">
        <x:v>45309</x:v>
      </x:c>
      <x:c r="E566" s="9" t="n">
        <x:v>5367500</x:v>
      </x:c>
      <x:c r="F566" s="9" t="n">
        <x:v>2147000</x:v>
      </x:c>
    </x:row>
    <x:row r="567" ht="34" customHeight="1">
      <x:c r="A567" s="4" t="str">
        <x:v>RS-00298-I2</x:v>
      </x:c>
      <x:c r="B567" s="4" t="str">
        <x:v>RS-00298</x:v>
      </x:c>
      <x:c r="C567" s="9" t="n">
        <x:v>2</x:v>
      </x:c>
      <x:c r="D567" s="8" t="n">
        <x:v>45339</x:v>
      </x:c>
      <x:c r="E567" s="9" t="n">
        <x:v>5367500</x:v>
      </x:c>
      <x:c r="F567" s="9" t="n">
        <x:v>0</x:v>
      </x:c>
    </x:row>
    <x:row r="568" ht="34" customHeight="1">
      <x:c r="A568" s="4" t="str">
        <x:v>RS-00298-I3</x:v>
      </x:c>
      <x:c r="B568" s="4" t="str">
        <x:v>RS-00298</x:v>
      </x:c>
      <x:c r="C568" s="9" t="n">
        <x:v>3</x:v>
      </x:c>
      <x:c r="D568" s="8" t="n">
        <x:v>45369</x:v>
      </x:c>
      <x:c r="E568" s="9" t="n">
        <x:v>5367500</x:v>
      </x:c>
      <x:c r="F568" s="9" t="n">
        <x:v>0</x:v>
      </x:c>
    </x:row>
    <x:row r="569" ht="34" customHeight="1">
      <x:c r="A569" s="4" t="str">
        <x:v>RS-00298-I4</x:v>
      </x:c>
      <x:c r="B569" s="4" t="str">
        <x:v>RS-00298</x:v>
      </x:c>
      <x:c r="C569" s="9" t="n">
        <x:v>4</x:v>
      </x:c>
      <x:c r="D569" s="8" t="n">
        <x:v>45399</x:v>
      </x:c>
      <x:c r="E569" s="9" t="n">
        <x:v>5367500</x:v>
      </x:c>
      <x:c r="F569" s="9" t="n">
        <x:v>0</x:v>
      </x:c>
    </x:row>
    <x:row r="570" ht="34" customHeight="1">
      <x:c r="A570" s="4" t="str">
        <x:v>RS-00300-I1</x:v>
      </x:c>
      <x:c r="B570" s="4" t="str">
        <x:v>RS-00300</x:v>
      </x:c>
      <x:c r="C570" s="9" t="n">
        <x:v>1</x:v>
      </x:c>
      <x:c r="D570" s="8" t="n">
        <x:v>45311</x:v>
      </x:c>
      <x:c r="E570" s="9" t="n">
        <x:v>689750</x:v>
      </x:c>
      <x:c r="F570" s="9" t="n">
        <x:v>275900</x:v>
      </x:c>
    </x:row>
    <x:row r="571" ht="34" customHeight="1">
      <x:c r="A571" s="4" t="str">
        <x:v>RS-00300-I2</x:v>
      </x:c>
      <x:c r="B571" s="4" t="str">
        <x:v>RS-00300</x:v>
      </x:c>
      <x:c r="C571" s="9" t="n">
        <x:v>2</x:v>
      </x:c>
      <x:c r="D571" s="8" t="n">
        <x:v>45341</x:v>
      </x:c>
      <x:c r="E571" s="9" t="n">
        <x:v>689750</x:v>
      </x:c>
      <x:c r="F571" s="9" t="n">
        <x:v>0</x:v>
      </x:c>
    </x:row>
    <x:row r="572" ht="34" customHeight="1">
      <x:c r="A572" s="4" t="str">
        <x:v>RS-00300-I3</x:v>
      </x:c>
      <x:c r="B572" s="4" t="str">
        <x:v>RS-00300</x:v>
      </x:c>
      <x:c r="C572" s="9" t="n">
        <x:v>3</x:v>
      </x:c>
      <x:c r="D572" s="8" t="n">
        <x:v>45371</x:v>
      </x:c>
      <x:c r="E572" s="9" t="n">
        <x:v>689750</x:v>
      </x:c>
      <x:c r="F572" s="9" t="n">
        <x:v>0</x:v>
      </x:c>
    </x:row>
    <x:row r="573" ht="34" customHeight="1">
      <x:c r="A573" s="4" t="str">
        <x:v>RS-00300-I4</x:v>
      </x:c>
      <x:c r="B573" s="4" t="str">
        <x:v>RS-00300</x:v>
      </x:c>
      <x:c r="C573" s="9" t="n">
        <x:v>4</x:v>
      </x:c>
      <x:c r="D573" s="8" t="n">
        <x:v>45401</x:v>
      </x:c>
      <x:c r="E573" s="9" t="n">
        <x:v>689750</x:v>
      </x:c>
      <x:c r="F573" s="9" t="n">
        <x:v>0</x:v>
      </x:c>
    </x:row>
    <x:row r="574" ht="34" customHeight="1">
      <x:c r="A574" s="4" t="str">
        <x:v>RS-00301-I1</x:v>
      </x:c>
      <x:c r="B574" s="4" t="str">
        <x:v>RS-00301</x:v>
      </x:c>
      <x:c r="C574" s="9" t="n">
        <x:v>1</x:v>
      </x:c>
      <x:c r="D574" s="8" t="n">
        <x:v>45312</x:v>
      </x:c>
      <x:c r="E574" s="9" t="n">
        <x:v>1704000</x:v>
      </x:c>
      <x:c r="F574" s="9" t="n">
        <x:v>1704000</x:v>
      </x:c>
    </x:row>
    <x:row r="575" ht="34" customHeight="1">
      <x:c r="A575" s="4" t="str">
        <x:v>RS-00301-I2</x:v>
      </x:c>
      <x:c r="B575" s="4" t="str">
        <x:v>RS-00301</x:v>
      </x:c>
      <x:c r="C575" s="9" t="n">
        <x:v>2</x:v>
      </x:c>
      <x:c r="D575" s="8" t="n">
        <x:v>45342</x:v>
      </x:c>
      <x:c r="E575" s="9" t="n">
        <x:v>1704000</x:v>
      </x:c>
      <x:c r="F575" s="9" t="n">
        <x:v>1704000</x:v>
      </x:c>
    </x:row>
    <x:row r="576" ht="34" customHeight="1">
      <x:c r="A576" s="4" t="str">
        <x:v>RS-00301-I3</x:v>
      </x:c>
      <x:c r="B576" s="4" t="str">
        <x:v>RS-00301</x:v>
      </x:c>
      <x:c r="C576" s="9" t="n">
        <x:v>3</x:v>
      </x:c>
      <x:c r="D576" s="8" t="n">
        <x:v>45372</x:v>
      </x:c>
      <x:c r="E576" s="9" t="n">
        <x:v>1704000</x:v>
      </x:c>
      <x:c r="F576" s="9" t="n">
        <x:v>0</x:v>
      </x:c>
    </x:row>
    <x:row r="577" ht="34" customHeight="1">
      <x:c r="A577" s="4" t="str">
        <x:v>RS-00301-I4</x:v>
      </x:c>
      <x:c r="B577" s="4" t="str">
        <x:v>RS-00301</x:v>
      </x:c>
      <x:c r="C577" s="9" t="n">
        <x:v>4</x:v>
      </x:c>
      <x:c r="D577" s="8" t="n">
        <x:v>45402</x:v>
      </x:c>
      <x:c r="E577" s="9" t="n">
        <x:v>1704000</x:v>
      </x:c>
      <x:c r="F577" s="9" t="n">
        <x:v>0</x:v>
      </x:c>
    </x:row>
    <x:row r="578" ht="34" customHeight="1">
      <x:c r="A578" s="4" t="str">
        <x:v>RS-00303-I1</x:v>
      </x:c>
      <x:c r="B578" s="4" t="str">
        <x:v>RS-00303</x:v>
      </x:c>
      <x:c r="C578" s="9" t="n">
        <x:v>1</x:v>
      </x:c>
      <x:c r="D578" s="8" t="n">
        <x:v>45314</x:v>
      </x:c>
      <x:c r="E578" s="9" t="n">
        <x:v>1541000</x:v>
      </x:c>
      <x:c r="F578" s="9" t="n">
        <x:v>616400</x:v>
      </x:c>
    </x:row>
    <x:row r="579" ht="34" customHeight="1">
      <x:c r="A579" s="4" t="str">
        <x:v>RS-00303-I2</x:v>
      </x:c>
      <x:c r="B579" s="4" t="str">
        <x:v>RS-00303</x:v>
      </x:c>
      <x:c r="C579" s="9" t="n">
        <x:v>2</x:v>
      </x:c>
      <x:c r="D579" s="8" t="n">
        <x:v>45344</x:v>
      </x:c>
      <x:c r="E579" s="9" t="n">
        <x:v>1541000</x:v>
      </x:c>
      <x:c r="F579" s="9" t="n">
        <x:v>0</x:v>
      </x:c>
    </x:row>
    <x:row r="580" ht="34" customHeight="1">
      <x:c r="A580" s="4" t="str">
        <x:v>RS-00303-I3</x:v>
      </x:c>
      <x:c r="B580" s="4" t="str">
        <x:v>RS-00303</x:v>
      </x:c>
      <x:c r="C580" s="9" t="n">
        <x:v>3</x:v>
      </x:c>
      <x:c r="D580" s="8" t="n">
        <x:v>45374</x:v>
      </x:c>
      <x:c r="E580" s="9" t="n">
        <x:v>1541000</x:v>
      </x:c>
      <x:c r="F580" s="9" t="n">
        <x:v>0</x:v>
      </x:c>
    </x:row>
    <x:row r="581" ht="34" customHeight="1">
      <x:c r="A581" s="4" t="str">
        <x:v>RS-00303-I4</x:v>
      </x:c>
      <x:c r="B581" s="4" t="str">
        <x:v>RS-00303</x:v>
      </x:c>
      <x:c r="C581" s="9" t="n">
        <x:v>4</x:v>
      </x:c>
      <x:c r="D581" s="8" t="n">
        <x:v>45404</x:v>
      </x:c>
      <x:c r="E581" s="9" t="n">
        <x:v>1541000</x:v>
      </x:c>
      <x:c r="F581" s="9" t="n">
        <x:v>0</x:v>
      </x:c>
    </x:row>
    <x:row r="582" ht="34" customHeight="1">
      <x:c r="A582" s="4" t="str">
        <x:v>RS-00306-I1</x:v>
      </x:c>
      <x:c r="B582" s="4" t="str">
        <x:v>RS-00306</x:v>
      </x:c>
      <x:c r="C582" s="9" t="n">
        <x:v>1</x:v>
      </x:c>
      <x:c r="D582" s="8" t="n">
        <x:v>45317</x:v>
      </x:c>
      <x:c r="E582" s="9" t="n">
        <x:v>6076000</x:v>
      </x:c>
      <x:c r="F582" s="9" t="n">
        <x:v>6076000</x:v>
      </x:c>
    </x:row>
    <x:row r="583" ht="34" customHeight="1">
      <x:c r="A583" s="4" t="str">
        <x:v>RS-00306-I2</x:v>
      </x:c>
      <x:c r="B583" s="4" t="str">
        <x:v>RS-00306</x:v>
      </x:c>
      <x:c r="C583" s="9" t="n">
        <x:v>2</x:v>
      </x:c>
      <x:c r="D583" s="8" t="n">
        <x:v>45347</x:v>
      </x:c>
      <x:c r="E583" s="9" t="n">
        <x:v>6076000</x:v>
      </x:c>
      <x:c r="F583" s="9" t="n">
        <x:v>6076000</x:v>
      </x:c>
    </x:row>
    <x:row r="584" ht="34" customHeight="1">
      <x:c r="A584" s="4" t="str">
        <x:v>RS-00306-I3</x:v>
      </x:c>
      <x:c r="B584" s="4" t="str">
        <x:v>RS-00306</x:v>
      </x:c>
      <x:c r="C584" s="9" t="n">
        <x:v>3</x:v>
      </x:c>
      <x:c r="D584" s="8" t="n">
        <x:v>45377</x:v>
      </x:c>
      <x:c r="E584" s="9" t="n">
        <x:v>6076000</x:v>
      </x:c>
      <x:c r="F584" s="9" t="n">
        <x:v>6076000</x:v>
      </x:c>
    </x:row>
    <x:row r="585" ht="34" customHeight="1">
      <x:c r="A585" s="4" t="str">
        <x:v>RS-00306-I4</x:v>
      </x:c>
      <x:c r="B585" s="4" t="str">
        <x:v>RS-00306</x:v>
      </x:c>
      <x:c r="C585" s="9" t="n">
        <x:v>4</x:v>
      </x:c>
      <x:c r="D585" s="8" t="n">
        <x:v>45407</x:v>
      </x:c>
      <x:c r="E585" s="9" t="n">
        <x:v>6076000</x:v>
      </x:c>
      <x:c r="F585" s="9" t="n">
        <x:v>6076000</x:v>
      </x:c>
    </x:row>
    <x:row r="586" ht="34" customHeight="1">
      <x:c r="A586" s="4" t="str">
        <x:v>RS-00308-I1</x:v>
      </x:c>
      <x:c r="B586" s="4" t="str">
        <x:v>RS-00308</x:v>
      </x:c>
      <x:c r="C586" s="9" t="n">
        <x:v>1</x:v>
      </x:c>
      <x:c r="D586" s="8" t="n">
        <x:v>45319</x:v>
      </x:c>
      <x:c r="E586" s="9" t="n">
        <x:v>1248000</x:v>
      </x:c>
      <x:c r="F586" s="9" t="n">
        <x:v>499200</x:v>
      </x:c>
    </x:row>
    <x:row r="587" ht="34" customHeight="1">
      <x:c r="A587" s="4" t="str">
        <x:v>RS-00308-I2</x:v>
      </x:c>
      <x:c r="B587" s="4" t="str">
        <x:v>RS-00308</x:v>
      </x:c>
      <x:c r="C587" s="9" t="n">
        <x:v>2</x:v>
      </x:c>
      <x:c r="D587" s="8" t="n">
        <x:v>45349</x:v>
      </x:c>
      <x:c r="E587" s="9" t="n">
        <x:v>1248000</x:v>
      </x:c>
      <x:c r="F587" s="9" t="n">
        <x:v>0</x:v>
      </x:c>
    </x:row>
    <x:row r="588" ht="34" customHeight="1">
      <x:c r="A588" s="4" t="str">
        <x:v>RS-00308-I3</x:v>
      </x:c>
      <x:c r="B588" s="4" t="str">
        <x:v>RS-00308</x:v>
      </x:c>
      <x:c r="C588" s="9" t="n">
        <x:v>3</x:v>
      </x:c>
      <x:c r="D588" s="8" t="n">
        <x:v>45379</x:v>
      </x:c>
      <x:c r="E588" s="9" t="n">
        <x:v>1248000</x:v>
      </x:c>
      <x:c r="F588" s="9" t="n">
        <x:v>0</x:v>
      </x:c>
    </x:row>
    <x:row r="589" ht="34" customHeight="1">
      <x:c r="A589" s="4" t="str">
        <x:v>RS-00308-I4</x:v>
      </x:c>
      <x:c r="B589" s="4" t="str">
        <x:v>RS-00308</x:v>
      </x:c>
      <x:c r="C589" s="9" t="n">
        <x:v>4</x:v>
      </x:c>
      <x:c r="D589" s="8" t="n">
        <x:v>45409</x:v>
      </x:c>
      <x:c r="E589" s="9" t="n">
        <x:v>1248000</x:v>
      </x:c>
      <x:c r="F589" s="9" t="n">
        <x:v>0</x:v>
      </x:c>
    </x:row>
    <x:row r="590" ht="34" customHeight="1">
      <x:c r="A590" s="4" t="str">
        <x:v>RS-00310-I1</x:v>
      </x:c>
      <x:c r="B590" s="4" t="str">
        <x:v>RS-00310</x:v>
      </x:c>
      <x:c r="C590" s="9" t="n">
        <x:v>1</x:v>
      </x:c>
      <x:c r="D590" s="8" t="n">
        <x:v>45293</x:v>
      </x:c>
      <x:c r="E590" s="9" t="n">
        <x:v>867750</x:v>
      </x:c>
      <x:c r="F590" s="9" t="n">
        <x:v>867750</x:v>
      </x:c>
    </x:row>
    <x:row r="591" ht="34" customHeight="1">
      <x:c r="A591" s="4" t="str">
        <x:v>RS-00310-I2</x:v>
      </x:c>
      <x:c r="B591" s="4" t="str">
        <x:v>RS-00310</x:v>
      </x:c>
      <x:c r="C591" s="9" t="n">
        <x:v>2</x:v>
      </x:c>
      <x:c r="D591" s="8" t="n">
        <x:v>45323</x:v>
      </x:c>
      <x:c r="E591" s="9" t="n">
        <x:v>867750</x:v>
      </x:c>
      <x:c r="F591" s="9" t="n">
        <x:v>867750</x:v>
      </x:c>
    </x:row>
    <x:row r="592" ht="34" customHeight="1">
      <x:c r="A592" s="4" t="str">
        <x:v>RS-00310-I3</x:v>
      </x:c>
      <x:c r="B592" s="4" t="str">
        <x:v>RS-00310</x:v>
      </x:c>
      <x:c r="C592" s="9" t="n">
        <x:v>3</x:v>
      </x:c>
      <x:c r="D592" s="8" t="n">
        <x:v>45353</x:v>
      </x:c>
      <x:c r="E592" s="9" t="n">
        <x:v>867750</x:v>
      </x:c>
      <x:c r="F592" s="9" t="n">
        <x:v>0</x:v>
      </x:c>
    </x:row>
    <x:row r="593" ht="34" customHeight="1">
      <x:c r="A593" s="4" t="str">
        <x:v>RS-00310-I4</x:v>
      </x:c>
      <x:c r="B593" s="4" t="str">
        <x:v>RS-00310</x:v>
      </x:c>
      <x:c r="C593" s="9" t="n">
        <x:v>4</x:v>
      </x:c>
      <x:c r="D593" s="8" t="n">
        <x:v>45383</x:v>
      </x:c>
      <x:c r="E593" s="9" t="n">
        <x:v>867750</x:v>
      </x:c>
      <x:c r="F593" s="9" t="n">
        <x:v>0</x:v>
      </x:c>
    </x:row>
    <x:row r="594" ht="34" customHeight="1">
      <x:c r="A594" s="4" t="str">
        <x:v>RS-00311-I1</x:v>
      </x:c>
      <x:c r="B594" s="4" t="str">
        <x:v>RS-00311</x:v>
      </x:c>
      <x:c r="C594" s="9" t="n">
        <x:v>1</x:v>
      </x:c>
      <x:c r="D594" s="8" t="n">
        <x:v>45294</x:v>
      </x:c>
      <x:c r="E594" s="9" t="n">
        <x:v>2557500</x:v>
      </x:c>
      <x:c r="F594" s="9" t="n">
        <x:v>2557500</x:v>
      </x:c>
    </x:row>
    <x:row r="595" ht="34" customHeight="1">
      <x:c r="A595" s="4" t="str">
        <x:v>RS-00311-I2</x:v>
      </x:c>
      <x:c r="B595" s="4" t="str">
        <x:v>RS-00311</x:v>
      </x:c>
      <x:c r="C595" s="9" t="n">
        <x:v>2</x:v>
      </x:c>
      <x:c r="D595" s="8" t="n">
        <x:v>45324</x:v>
      </x:c>
      <x:c r="E595" s="9" t="n">
        <x:v>2557500</x:v>
      </x:c>
      <x:c r="F595" s="9" t="n">
        <x:v>2557500</x:v>
      </x:c>
    </x:row>
    <x:row r="596" ht="34" customHeight="1">
      <x:c r="A596" s="4" t="str">
        <x:v>RS-00311-I3</x:v>
      </x:c>
      <x:c r="B596" s="4" t="str">
        <x:v>RS-00311</x:v>
      </x:c>
      <x:c r="C596" s="9" t="n">
        <x:v>3</x:v>
      </x:c>
      <x:c r="D596" s="8" t="n">
        <x:v>45354</x:v>
      </x:c>
      <x:c r="E596" s="9" t="n">
        <x:v>2557500</x:v>
      </x:c>
      <x:c r="F596" s="9" t="n">
        <x:v>0</x:v>
      </x:c>
    </x:row>
    <x:row r="597" ht="34" customHeight="1">
      <x:c r="A597" s="4" t="str">
        <x:v>RS-00311-I4</x:v>
      </x:c>
      <x:c r="B597" s="4" t="str">
        <x:v>RS-00311</x:v>
      </x:c>
      <x:c r="C597" s="9" t="n">
        <x:v>4</x:v>
      </x:c>
      <x:c r="D597" s="8" t="n">
        <x:v>45384</x:v>
      </x:c>
      <x:c r="E597" s="9" t="n">
        <x:v>2557500</x:v>
      </x:c>
      <x:c r="F597" s="9" t="n">
        <x:v>0</x:v>
      </x:c>
    </x:row>
    <x:row r="598" ht="34" customHeight="1">
      <x:c r="A598" s="4" t="str">
        <x:v>RS-00313-I1</x:v>
      </x:c>
      <x:c r="B598" s="4" t="str">
        <x:v>RS-00313</x:v>
      </x:c>
      <x:c r="C598" s="9" t="n">
        <x:v>1</x:v>
      </x:c>
      <x:c r="D598" s="8" t="n">
        <x:v>45296</x:v>
      </x:c>
      <x:c r="E598" s="9" t="n">
        <x:v>4472250</x:v>
      </x:c>
      <x:c r="F598" s="9" t="n">
        <x:v>4472250</x:v>
      </x:c>
    </x:row>
    <x:row r="599" ht="34" customHeight="1">
      <x:c r="A599" s="4" t="str">
        <x:v>RS-00313-I2</x:v>
      </x:c>
      <x:c r="B599" s="4" t="str">
        <x:v>RS-00313</x:v>
      </x:c>
      <x:c r="C599" s="9" t="n">
        <x:v>2</x:v>
      </x:c>
      <x:c r="D599" s="8" t="n">
        <x:v>45326</x:v>
      </x:c>
      <x:c r="E599" s="9" t="n">
        <x:v>4472250</x:v>
      </x:c>
      <x:c r="F599" s="9" t="n">
        <x:v>0</x:v>
      </x:c>
    </x:row>
    <x:row r="600" ht="34" customHeight="1">
      <x:c r="A600" s="4" t="str">
        <x:v>RS-00313-I3</x:v>
      </x:c>
      <x:c r="B600" s="4" t="str">
        <x:v>RS-00313</x:v>
      </x:c>
      <x:c r="C600" s="9" t="n">
        <x:v>3</x:v>
      </x:c>
      <x:c r="D600" s="8" t="n">
        <x:v>45356</x:v>
      </x:c>
      <x:c r="E600" s="9" t="n">
        <x:v>4472250</x:v>
      </x:c>
      <x:c r="F600" s="9" t="n">
        <x:v>0</x:v>
      </x:c>
    </x:row>
    <x:row r="601" ht="34" customHeight="1">
      <x:c r="A601" s="4" t="str">
        <x:v>RS-00313-I4</x:v>
      </x:c>
      <x:c r="B601" s="4" t="str">
        <x:v>RS-00313</x:v>
      </x:c>
      <x:c r="C601" s="9" t="n">
        <x:v>4</x:v>
      </x:c>
      <x:c r="D601" s="8" t="n">
        <x:v>45386</x:v>
      </x:c>
      <x:c r="E601" s="9" t="n">
        <x:v>4472250</x:v>
      </x:c>
      <x:c r="F601" s="9" t="n">
        <x:v>0</x:v>
      </x:c>
    </x:row>
    <x:row r="602" ht="34" customHeight="1">
      <x:c r="A602" s="4" t="str">
        <x:v>RS-00318-I1</x:v>
      </x:c>
      <x:c r="B602" s="4" t="str">
        <x:v>RS-00318</x:v>
      </x:c>
      <x:c r="C602" s="9" t="n">
        <x:v>1</x:v>
      </x:c>
      <x:c r="D602" s="8" t="n">
        <x:v>45301</x:v>
      </x:c>
      <x:c r="E602" s="9" t="n">
        <x:v>2116000</x:v>
      </x:c>
      <x:c r="F602" s="9" t="n">
        <x:v>2116000</x:v>
      </x:c>
    </x:row>
    <x:row r="603" ht="34" customHeight="1">
      <x:c r="A603" s="4" t="str">
        <x:v>RS-00318-I2</x:v>
      </x:c>
      <x:c r="B603" s="4" t="str">
        <x:v>RS-00318</x:v>
      </x:c>
      <x:c r="C603" s="9" t="n">
        <x:v>2</x:v>
      </x:c>
      <x:c r="D603" s="8" t="n">
        <x:v>45331</x:v>
      </x:c>
      <x:c r="E603" s="9" t="n">
        <x:v>2116000</x:v>
      </x:c>
      <x:c r="F603" s="9" t="n">
        <x:v>2116000</x:v>
      </x:c>
    </x:row>
    <x:row r="604" ht="34" customHeight="1">
      <x:c r="A604" s="4" t="str">
        <x:v>RS-00318-I3</x:v>
      </x:c>
      <x:c r="B604" s="4" t="str">
        <x:v>RS-00318</x:v>
      </x:c>
      <x:c r="C604" s="9" t="n">
        <x:v>3</x:v>
      </x:c>
      <x:c r="D604" s="8" t="n">
        <x:v>45361</x:v>
      </x:c>
      <x:c r="E604" s="9" t="n">
        <x:v>2116000</x:v>
      </x:c>
      <x:c r="F604" s="9" t="n">
        <x:v>2116000</x:v>
      </x:c>
    </x:row>
    <x:row r="605" ht="34" customHeight="1">
      <x:c r="A605" s="4" t="str">
        <x:v>RS-00318-I4</x:v>
      </x:c>
      <x:c r="B605" s="4" t="str">
        <x:v>RS-00318</x:v>
      </x:c>
      <x:c r="C605" s="9" t="n">
        <x:v>4</x:v>
      </x:c>
      <x:c r="D605" s="8" t="n">
        <x:v>45391</x:v>
      </x:c>
      <x:c r="E605" s="9" t="n">
        <x:v>2116000</x:v>
      </x:c>
      <x:c r="F605" s="9" t="n">
        <x:v>2116000</x:v>
      </x:c>
    </x:row>
    <x:row r="606" ht="34" customHeight="1">
      <x:c r="A606" s="4" t="str">
        <x:v>RS-00319-I1</x:v>
      </x:c>
      <x:c r="B606" s="4" t="str">
        <x:v>RS-00319</x:v>
      </x:c>
      <x:c r="C606" s="9" t="n">
        <x:v>1</x:v>
      </x:c>
      <x:c r="D606" s="8" t="n">
        <x:v>45302</x:v>
      </x:c>
      <x:c r="E606" s="9" t="n">
        <x:v>1116000</x:v>
      </x:c>
      <x:c r="F606" s="9" t="n">
        <x:v>446400</x:v>
      </x:c>
    </x:row>
    <x:row r="607" ht="34" customHeight="1">
      <x:c r="A607" s="4" t="str">
        <x:v>RS-00319-I2</x:v>
      </x:c>
      <x:c r="B607" s="4" t="str">
        <x:v>RS-00319</x:v>
      </x:c>
      <x:c r="C607" s="9" t="n">
        <x:v>2</x:v>
      </x:c>
      <x:c r="D607" s="8" t="n">
        <x:v>45332</x:v>
      </x:c>
      <x:c r="E607" s="9" t="n">
        <x:v>1116000</x:v>
      </x:c>
      <x:c r="F607" s="9" t="n">
        <x:v>0</x:v>
      </x:c>
    </x:row>
    <x:row r="608" ht="34" customHeight="1">
      <x:c r="A608" s="4" t="str">
        <x:v>RS-00319-I3</x:v>
      </x:c>
      <x:c r="B608" s="4" t="str">
        <x:v>RS-00319</x:v>
      </x:c>
      <x:c r="C608" s="9" t="n">
        <x:v>3</x:v>
      </x:c>
      <x:c r="D608" s="8" t="n">
        <x:v>45362</x:v>
      </x:c>
      <x:c r="E608" s="9" t="n">
        <x:v>1116000</x:v>
      </x:c>
      <x:c r="F608" s="9" t="n">
        <x:v>0</x:v>
      </x:c>
    </x:row>
    <x:row r="609" ht="34" customHeight="1">
      <x:c r="A609" s="4" t="str">
        <x:v>RS-00319-I4</x:v>
      </x:c>
      <x:c r="B609" s="4" t="str">
        <x:v>RS-00319</x:v>
      </x:c>
      <x:c r="C609" s="9" t="n">
        <x:v>4</x:v>
      </x:c>
      <x:c r="D609" s="8" t="n">
        <x:v>45392</x:v>
      </x:c>
      <x:c r="E609" s="9" t="n">
        <x:v>1116000</x:v>
      </x:c>
      <x:c r="F609" s="9" t="n">
        <x:v>0</x:v>
      </x:c>
    </x:row>
    <x:row r="610" ht="34" customHeight="1">
      <x:c r="A610" s="4" t="str">
        <x:v>RS-00322-I1</x:v>
      </x:c>
      <x:c r="B610" s="4" t="str">
        <x:v>RS-00322</x:v>
      </x:c>
      <x:c r="C610" s="9" t="n">
        <x:v>1</x:v>
      </x:c>
      <x:c r="D610" s="8" t="n">
        <x:v>45305</x:v>
      </x:c>
      <x:c r="E610" s="9" t="n">
        <x:v>5820000</x:v>
      </x:c>
      <x:c r="F610" s="9" t="n">
        <x:v>5820000</x:v>
      </x:c>
    </x:row>
    <x:row r="611" ht="34" customHeight="1">
      <x:c r="A611" s="4" t="str">
        <x:v>RS-00322-I2</x:v>
      </x:c>
      <x:c r="B611" s="4" t="str">
        <x:v>RS-00322</x:v>
      </x:c>
      <x:c r="C611" s="9" t="n">
        <x:v>2</x:v>
      </x:c>
      <x:c r="D611" s="8" t="n">
        <x:v>45335</x:v>
      </x:c>
      <x:c r="E611" s="9" t="n">
        <x:v>5820000</x:v>
      </x:c>
      <x:c r="F611" s="9" t="n">
        <x:v>5820000</x:v>
      </x:c>
    </x:row>
    <x:row r="612" ht="34" customHeight="1">
      <x:c r="A612" s="4" t="str">
        <x:v>RS-00322-I3</x:v>
      </x:c>
      <x:c r="B612" s="4" t="str">
        <x:v>RS-00322</x:v>
      </x:c>
      <x:c r="C612" s="9" t="n">
        <x:v>3</x:v>
      </x:c>
      <x:c r="D612" s="8" t="n">
        <x:v>45365</x:v>
      </x:c>
      <x:c r="E612" s="9" t="n">
        <x:v>5820000</x:v>
      </x:c>
      <x:c r="F612" s="9" t="n">
        <x:v>0</x:v>
      </x:c>
    </x:row>
    <x:row r="613" ht="34" customHeight="1">
      <x:c r="A613" s="4" t="str">
        <x:v>RS-00322-I4</x:v>
      </x:c>
      <x:c r="B613" s="4" t="str">
        <x:v>RS-00322</x:v>
      </x:c>
      <x:c r="C613" s="9" t="n">
        <x:v>4</x:v>
      </x:c>
      <x:c r="D613" s="8" t="n">
        <x:v>45395</x:v>
      </x:c>
      <x:c r="E613" s="9" t="n">
        <x:v>5820000</x:v>
      </x:c>
      <x:c r="F613" s="9" t="n">
        <x:v>0</x:v>
      </x:c>
    </x:row>
    <x:row r="614" ht="34" customHeight="1">
      <x:c r="A614" s="4" t="str">
        <x:v>RS-00323-I1</x:v>
      </x:c>
      <x:c r="B614" s="4" t="str">
        <x:v>RS-00323</x:v>
      </x:c>
      <x:c r="C614" s="9" t="n">
        <x:v>1</x:v>
      </x:c>
      <x:c r="D614" s="8" t="n">
        <x:v>45306</x:v>
      </x:c>
      <x:c r="E614" s="9" t="n">
        <x:v>4345250</x:v>
      </x:c>
      <x:c r="F614" s="9" t="n">
        <x:v>4345250</x:v>
      </x:c>
    </x:row>
    <x:row r="615" ht="34" customHeight="1">
      <x:c r="A615" s="4" t="str">
        <x:v>RS-00323-I2</x:v>
      </x:c>
      <x:c r="B615" s="4" t="str">
        <x:v>RS-00323</x:v>
      </x:c>
      <x:c r="C615" s="9" t="n">
        <x:v>2</x:v>
      </x:c>
      <x:c r="D615" s="8" t="n">
        <x:v>45336</x:v>
      </x:c>
      <x:c r="E615" s="9" t="n">
        <x:v>4345250</x:v>
      </x:c>
      <x:c r="F615" s="9" t="n">
        <x:v>0</x:v>
      </x:c>
    </x:row>
    <x:row r="616" ht="34" customHeight="1">
      <x:c r="A616" s="4" t="str">
        <x:v>RS-00323-I3</x:v>
      </x:c>
      <x:c r="B616" s="4" t="str">
        <x:v>RS-00323</x:v>
      </x:c>
      <x:c r="C616" s="9" t="n">
        <x:v>3</x:v>
      </x:c>
      <x:c r="D616" s="8" t="n">
        <x:v>45366</x:v>
      </x:c>
      <x:c r="E616" s="9" t="n">
        <x:v>4345250</x:v>
      </x:c>
      <x:c r="F616" s="9" t="n">
        <x:v>0</x:v>
      </x:c>
    </x:row>
    <x:row r="617" ht="34" customHeight="1">
      <x:c r="A617" s="4" t="str">
        <x:v>RS-00323-I4</x:v>
      </x:c>
      <x:c r="B617" s="4" t="str">
        <x:v>RS-00323</x:v>
      </x:c>
      <x:c r="C617" s="9" t="n">
        <x:v>4</x:v>
      </x:c>
      <x:c r="D617" s="8" t="n">
        <x:v>45396</x:v>
      </x:c>
      <x:c r="E617" s="9" t="n">
        <x:v>4345250</x:v>
      </x:c>
      <x:c r="F617" s="9" t="n">
        <x:v>0</x:v>
      </x:c>
    </x:row>
    <x:row r="618" ht="34" customHeight="1">
      <x:c r="A618" s="4" t="str">
        <x:v>RS-00326-I1</x:v>
      </x:c>
      <x:c r="B618" s="4" t="str">
        <x:v>RS-00326</x:v>
      </x:c>
      <x:c r="C618" s="9" t="n">
        <x:v>1</x:v>
      </x:c>
      <x:c r="D618" s="8" t="n">
        <x:v>45309</x:v>
      </x:c>
      <x:c r="E618" s="9" t="n">
        <x:v>5804500</x:v>
      </x:c>
      <x:c r="F618" s="9" t="n">
        <x:v>5804500</x:v>
      </x:c>
    </x:row>
    <x:row r="619" ht="34" customHeight="1">
      <x:c r="A619" s="4" t="str">
        <x:v>RS-00326-I2</x:v>
      </x:c>
      <x:c r="B619" s="4" t="str">
        <x:v>RS-00326</x:v>
      </x:c>
      <x:c r="C619" s="9" t="n">
        <x:v>2</x:v>
      </x:c>
      <x:c r="D619" s="8" t="n">
        <x:v>45339</x:v>
      </x:c>
      <x:c r="E619" s="9" t="n">
        <x:v>5804500</x:v>
      </x:c>
      <x:c r="F619" s="9" t="n">
        <x:v>0</x:v>
      </x:c>
    </x:row>
    <x:row r="620" ht="34" customHeight="1">
      <x:c r="A620" s="4" t="str">
        <x:v>RS-00326-I3</x:v>
      </x:c>
      <x:c r="B620" s="4" t="str">
        <x:v>RS-00326</x:v>
      </x:c>
      <x:c r="C620" s="9" t="n">
        <x:v>3</x:v>
      </x:c>
      <x:c r="D620" s="8" t="n">
        <x:v>45369</x:v>
      </x:c>
      <x:c r="E620" s="9" t="n">
        <x:v>5804500</x:v>
      </x:c>
      <x:c r="F620" s="9" t="n">
        <x:v>0</x:v>
      </x:c>
    </x:row>
    <x:row r="621" ht="34" customHeight="1">
      <x:c r="A621" s="4" t="str">
        <x:v>RS-00326-I4</x:v>
      </x:c>
      <x:c r="B621" s="4" t="str">
        <x:v>RS-00326</x:v>
      </x:c>
      <x:c r="C621" s="9" t="n">
        <x:v>4</x:v>
      </x:c>
      <x:c r="D621" s="8" t="n">
        <x:v>45399</x:v>
      </x:c>
      <x:c r="E621" s="9" t="n">
        <x:v>5804500</x:v>
      </x:c>
      <x:c r="F621" s="9" t="n">
        <x:v>0</x:v>
      </x:c>
    </x:row>
    <x:row r="622" ht="34" customHeight="1">
      <x:c r="A622" s="4" t="str">
        <x:v>RS-00327-I1</x:v>
      </x:c>
      <x:c r="B622" s="4" t="str">
        <x:v>RS-00327</x:v>
      </x:c>
      <x:c r="C622" s="9" t="n">
        <x:v>1</x:v>
      </x:c>
      <x:c r="D622" s="8" t="n">
        <x:v>45310</x:v>
      </x:c>
      <x:c r="E622" s="9" t="n">
        <x:v>1656000</x:v>
      </x:c>
      <x:c r="F622" s="9" t="n">
        <x:v>1656000</x:v>
      </x:c>
    </x:row>
    <x:row r="623" ht="34" customHeight="1">
      <x:c r="A623" s="4" t="str">
        <x:v>RS-00327-I2</x:v>
      </x:c>
      <x:c r="B623" s="4" t="str">
        <x:v>RS-00327</x:v>
      </x:c>
      <x:c r="C623" s="9" t="n">
        <x:v>2</x:v>
      </x:c>
      <x:c r="D623" s="8" t="n">
        <x:v>45340</x:v>
      </x:c>
      <x:c r="E623" s="9" t="n">
        <x:v>1656000</x:v>
      </x:c>
      <x:c r="F623" s="9" t="n">
        <x:v>1656000</x:v>
      </x:c>
    </x:row>
    <x:row r="624" ht="34" customHeight="1">
      <x:c r="A624" s="4" t="str">
        <x:v>RS-00327-I3</x:v>
      </x:c>
      <x:c r="B624" s="4" t="str">
        <x:v>RS-00327</x:v>
      </x:c>
      <x:c r="C624" s="9" t="n">
        <x:v>3</x:v>
      </x:c>
      <x:c r="D624" s="8" t="n">
        <x:v>45370</x:v>
      </x:c>
      <x:c r="E624" s="9" t="n">
        <x:v>1656000</x:v>
      </x:c>
      <x:c r="F624" s="9" t="n">
        <x:v>0</x:v>
      </x:c>
    </x:row>
    <x:row r="625" ht="34" customHeight="1">
      <x:c r="A625" s="4" t="str">
        <x:v>RS-00327-I4</x:v>
      </x:c>
      <x:c r="B625" s="4" t="str">
        <x:v>RS-00327</x:v>
      </x:c>
      <x:c r="C625" s="9" t="n">
        <x:v>4</x:v>
      </x:c>
      <x:c r="D625" s="8" t="n">
        <x:v>45400</x:v>
      </x:c>
      <x:c r="E625" s="9" t="n">
        <x:v>1656000</x:v>
      </x:c>
      <x:c r="F625" s="9" t="n">
        <x:v>0</x:v>
      </x:c>
    </x:row>
    <x:row r="626" ht="34" customHeight="1">
      <x:c r="A626" s="4" t="str">
        <x:v>RS-00329-I1</x:v>
      </x:c>
      <x:c r="B626" s="4" t="str">
        <x:v>RS-00329</x:v>
      </x:c>
      <x:c r="C626" s="9" t="n">
        <x:v>1</x:v>
      </x:c>
      <x:c r="D626" s="8" t="n">
        <x:v>45312</x:v>
      </x:c>
      <x:c r="E626" s="9" t="n">
        <x:v>2079000</x:v>
      </x:c>
      <x:c r="F626" s="9" t="n">
        <x:v>2079000</x:v>
      </x:c>
    </x:row>
    <x:row r="627" ht="34" customHeight="1">
      <x:c r="A627" s="4" t="str">
        <x:v>RS-00329-I2</x:v>
      </x:c>
      <x:c r="B627" s="4" t="str">
        <x:v>RS-00329</x:v>
      </x:c>
      <x:c r="C627" s="9" t="n">
        <x:v>2</x:v>
      </x:c>
      <x:c r="D627" s="8" t="n">
        <x:v>45342</x:v>
      </x:c>
      <x:c r="E627" s="9" t="n">
        <x:v>2079000</x:v>
      </x:c>
      <x:c r="F627" s="9" t="n">
        <x:v>2079000</x:v>
      </x:c>
    </x:row>
    <x:row r="628" ht="34" customHeight="1">
      <x:c r="A628" s="4" t="str">
        <x:v>RS-00329-I3</x:v>
      </x:c>
      <x:c r="B628" s="4" t="str">
        <x:v>RS-00329</x:v>
      </x:c>
      <x:c r="C628" s="9" t="n">
        <x:v>3</x:v>
      </x:c>
      <x:c r="D628" s="8" t="n">
        <x:v>45372</x:v>
      </x:c>
      <x:c r="E628" s="9" t="n">
        <x:v>2079000</x:v>
      </x:c>
      <x:c r="F628" s="9" t="n">
        <x:v>2079000</x:v>
      </x:c>
    </x:row>
    <x:row r="629" ht="34" customHeight="1">
      <x:c r="A629" s="4" t="str">
        <x:v>RS-00329-I4</x:v>
      </x:c>
      <x:c r="B629" s="4" t="str">
        <x:v>RS-00329</x:v>
      </x:c>
      <x:c r="C629" s="9" t="n">
        <x:v>4</x:v>
      </x:c>
      <x:c r="D629" s="8" t="n">
        <x:v>45402</x:v>
      </x:c>
      <x:c r="E629" s="9" t="n">
        <x:v>2079000</x:v>
      </x:c>
      <x:c r="F629" s="9" t="n">
        <x:v>2079000</x:v>
      </x:c>
    </x:row>
    <x:row r="630" ht="34" customHeight="1">
      <x:c r="A630" s="4" t="str">
        <x:v>RS-00330-I1</x:v>
      </x:c>
      <x:c r="B630" s="4" t="str">
        <x:v>RS-00330</x:v>
      </x:c>
      <x:c r="C630" s="9" t="n">
        <x:v>1</x:v>
      </x:c>
      <x:c r="D630" s="8" t="n">
        <x:v>45313</x:v>
      </x:c>
      <x:c r="E630" s="9" t="n">
        <x:v>3611000</x:v>
      </x:c>
      <x:c r="F630" s="9" t="n">
        <x:v>1444400</x:v>
      </x:c>
    </x:row>
    <x:row r="631" ht="34" customHeight="1">
      <x:c r="A631" s="4" t="str">
        <x:v>RS-00330-I2</x:v>
      </x:c>
      <x:c r="B631" s="4" t="str">
        <x:v>RS-00330</x:v>
      </x:c>
      <x:c r="C631" s="9" t="n">
        <x:v>2</x:v>
      </x:c>
      <x:c r="D631" s="8" t="n">
        <x:v>45343</x:v>
      </x:c>
      <x:c r="E631" s="9" t="n">
        <x:v>3611000</x:v>
      </x:c>
      <x:c r="F631" s="9" t="n">
        <x:v>0</x:v>
      </x:c>
    </x:row>
    <x:row r="632" ht="34" customHeight="1">
      <x:c r="A632" s="4" t="str">
        <x:v>RS-00330-I3</x:v>
      </x:c>
      <x:c r="B632" s="4" t="str">
        <x:v>RS-00330</x:v>
      </x:c>
      <x:c r="C632" s="9" t="n">
        <x:v>3</x:v>
      </x:c>
      <x:c r="D632" s="8" t="n">
        <x:v>45373</x:v>
      </x:c>
      <x:c r="E632" s="9" t="n">
        <x:v>3611000</x:v>
      </x:c>
      <x:c r="F632" s="9" t="n">
        <x:v>0</x:v>
      </x:c>
    </x:row>
    <x:row r="633" ht="34" customHeight="1">
      <x:c r="A633" s="4" t="str">
        <x:v>RS-00330-I4</x:v>
      </x:c>
      <x:c r="B633" s="4" t="str">
        <x:v>RS-00330</x:v>
      </x:c>
      <x:c r="C633" s="9" t="n">
        <x:v>4</x:v>
      </x:c>
      <x:c r="D633" s="8" t="n">
        <x:v>45403</x:v>
      </x:c>
      <x:c r="E633" s="9" t="n">
        <x:v>3611000</x:v>
      </x:c>
      <x:c r="F633" s="9" t="n">
        <x:v>0</x:v>
      </x:c>
    </x:row>
    <x:row r="634" ht="34" customHeight="1">
      <x:c r="A634" s="4" t="str">
        <x:v>RS-00331-I1</x:v>
      </x:c>
      <x:c r="B634" s="4" t="str">
        <x:v>RS-00331</x:v>
      </x:c>
      <x:c r="C634" s="9" t="n">
        <x:v>1</x:v>
      </x:c>
      <x:c r="D634" s="8" t="n">
        <x:v>45314</x:v>
      </x:c>
      <x:c r="E634" s="9" t="n">
        <x:v>1269000</x:v>
      </x:c>
      <x:c r="F634" s="9" t="n">
        <x:v>1269000</x:v>
      </x:c>
    </x:row>
    <x:row r="635" ht="34" customHeight="1">
      <x:c r="A635" s="4" t="str">
        <x:v>RS-00331-I2</x:v>
      </x:c>
      <x:c r="B635" s="4" t="str">
        <x:v>RS-00331</x:v>
      </x:c>
      <x:c r="C635" s="9" t="n">
        <x:v>2</x:v>
      </x:c>
      <x:c r="D635" s="8" t="n">
        <x:v>45344</x:v>
      </x:c>
      <x:c r="E635" s="9" t="n">
        <x:v>1269000</x:v>
      </x:c>
      <x:c r="F635" s="9" t="n">
        <x:v>1269000</x:v>
      </x:c>
    </x:row>
    <x:row r="636" ht="34" customHeight="1">
      <x:c r="A636" s="4" t="str">
        <x:v>RS-00331-I3</x:v>
      </x:c>
      <x:c r="B636" s="4" t="str">
        <x:v>RS-00331</x:v>
      </x:c>
      <x:c r="C636" s="9" t="n">
        <x:v>3</x:v>
      </x:c>
      <x:c r="D636" s="8" t="n">
        <x:v>45374</x:v>
      </x:c>
      <x:c r="E636" s="9" t="n">
        <x:v>1269000</x:v>
      </x:c>
      <x:c r="F636" s="9" t="n">
        <x:v>1269000</x:v>
      </x:c>
    </x:row>
    <x:row r="637" ht="34" customHeight="1">
      <x:c r="A637" s="4" t="str">
        <x:v>RS-00331-I4</x:v>
      </x:c>
      <x:c r="B637" s="4" t="str">
        <x:v>RS-00331</x:v>
      </x:c>
      <x:c r="C637" s="9" t="n">
        <x:v>4</x:v>
      </x:c>
      <x:c r="D637" s="8" t="n">
        <x:v>45404</x:v>
      </x:c>
      <x:c r="E637" s="9" t="n">
        <x:v>1269000</x:v>
      </x:c>
      <x:c r="F637" s="9" t="n">
        <x:v>1269000</x:v>
      </x:c>
    </x:row>
    <x:row r="638" ht="34" customHeight="1">
      <x:c r="A638" s="4" t="str">
        <x:v>RS-00332-I1</x:v>
      </x:c>
      <x:c r="B638" s="4" t="str">
        <x:v>RS-00332</x:v>
      </x:c>
      <x:c r="C638" s="9" t="n">
        <x:v>1</x:v>
      </x:c>
      <x:c r="D638" s="8" t="n">
        <x:v>45315</x:v>
      </x:c>
      <x:c r="E638" s="9" t="n">
        <x:v>3082000</x:v>
      </x:c>
      <x:c r="F638" s="9" t="n">
        <x:v>3082000</x:v>
      </x:c>
    </x:row>
    <x:row r="639" ht="34" customHeight="1">
      <x:c r="A639" s="4" t="str">
        <x:v>RS-00332-I2</x:v>
      </x:c>
      <x:c r="B639" s="4" t="str">
        <x:v>RS-00332</x:v>
      </x:c>
      <x:c r="C639" s="9" t="n">
        <x:v>2</x:v>
      </x:c>
      <x:c r="D639" s="8" t="n">
        <x:v>45345</x:v>
      </x:c>
      <x:c r="E639" s="9" t="n">
        <x:v>3082000</x:v>
      </x:c>
      <x:c r="F639" s="9" t="n">
        <x:v>3082000</x:v>
      </x:c>
    </x:row>
    <x:row r="640" ht="34" customHeight="1">
      <x:c r="A640" s="4" t="str">
        <x:v>RS-00332-I3</x:v>
      </x:c>
      <x:c r="B640" s="4" t="str">
        <x:v>RS-00332</x:v>
      </x:c>
      <x:c r="C640" s="9" t="n">
        <x:v>3</x:v>
      </x:c>
      <x:c r="D640" s="8" t="n">
        <x:v>45375</x:v>
      </x:c>
      <x:c r="E640" s="9" t="n">
        <x:v>3082000</x:v>
      </x:c>
      <x:c r="F640" s="9" t="n">
        <x:v>3082000</x:v>
      </x:c>
    </x:row>
    <x:row r="641" ht="34" customHeight="1">
      <x:c r="A641" s="4" t="str">
        <x:v>RS-00332-I4</x:v>
      </x:c>
      <x:c r="B641" s="4" t="str">
        <x:v>RS-00332</x:v>
      </x:c>
      <x:c r="C641" s="9" t="n">
        <x:v>4</x:v>
      </x:c>
      <x:c r="D641" s="8" t="n">
        <x:v>45405</x:v>
      </x:c>
      <x:c r="E641" s="9" t="n">
        <x:v>3082000</x:v>
      </x:c>
      <x:c r="F641" s="9" t="n">
        <x:v>3082000</x:v>
      </x:c>
    </x:row>
    <x:row r="642" ht="34" customHeight="1">
      <x:c r="A642" s="4" t="str">
        <x:v>RS-00335-I1</x:v>
      </x:c>
      <x:c r="B642" s="4" t="str">
        <x:v>RS-00335</x:v>
      </x:c>
      <x:c r="C642" s="9" t="n">
        <x:v>1</x:v>
      </x:c>
      <x:c r="D642" s="8" t="n">
        <x:v>45318</x:v>
      </x:c>
      <x:c r="E642" s="9" t="n">
        <x:v>2450000</x:v>
      </x:c>
      <x:c r="F642" s="9" t="n">
        <x:v>980000</x:v>
      </x:c>
    </x:row>
    <x:row r="643" ht="34" customHeight="1">
      <x:c r="A643" s="4" t="str">
        <x:v>RS-00335-I2</x:v>
      </x:c>
      <x:c r="B643" s="4" t="str">
        <x:v>RS-00335</x:v>
      </x:c>
      <x:c r="C643" s="9" t="n">
        <x:v>2</x:v>
      </x:c>
      <x:c r="D643" s="8" t="n">
        <x:v>45348</x:v>
      </x:c>
      <x:c r="E643" s="9" t="n">
        <x:v>2450000</x:v>
      </x:c>
      <x:c r="F643" s="9" t="n">
        <x:v>0</x:v>
      </x:c>
    </x:row>
    <x:row r="644" ht="34" customHeight="1">
      <x:c r="A644" s="4" t="str">
        <x:v>RS-00335-I3</x:v>
      </x:c>
      <x:c r="B644" s="4" t="str">
        <x:v>RS-00335</x:v>
      </x:c>
      <x:c r="C644" s="9" t="n">
        <x:v>3</x:v>
      </x:c>
      <x:c r="D644" s="8" t="n">
        <x:v>45378</x:v>
      </x:c>
      <x:c r="E644" s="9" t="n">
        <x:v>2450000</x:v>
      </x:c>
      <x:c r="F644" s="9" t="n">
        <x:v>0</x:v>
      </x:c>
    </x:row>
    <x:row r="645" ht="34" customHeight="1">
      <x:c r="A645" s="4" t="str">
        <x:v>RS-00335-I4</x:v>
      </x:c>
      <x:c r="B645" s="4" t="str">
        <x:v>RS-00335</x:v>
      </x:c>
      <x:c r="C645" s="9" t="n">
        <x:v>4</x:v>
      </x:c>
      <x:c r="D645" s="8" t="n">
        <x:v>45408</x:v>
      </x:c>
      <x:c r="E645" s="9" t="n">
        <x:v>2450000</x:v>
      </x:c>
      <x:c r="F645" s="9" t="n">
        <x:v>0</x:v>
      </x:c>
    </x:row>
    <x:row r="646" ht="34" customHeight="1">
      <x:c r="A646" s="4" t="str">
        <x:v>RS-00336-I1</x:v>
      </x:c>
      <x:c r="B646" s="4" t="str">
        <x:v>RS-00336</x:v>
      </x:c>
      <x:c r="C646" s="9" t="n">
        <x:v>1</x:v>
      </x:c>
      <x:c r="D646" s="8" t="n">
        <x:v>45319</x:v>
      </x:c>
      <x:c r="E646" s="9" t="n">
        <x:v>3182500</x:v>
      </x:c>
      <x:c r="F646" s="9" t="n">
        <x:v>1273000</x:v>
      </x:c>
    </x:row>
    <x:row r="647" ht="34" customHeight="1">
      <x:c r="A647" s="4" t="str">
        <x:v>RS-00336-I2</x:v>
      </x:c>
      <x:c r="B647" s="4" t="str">
        <x:v>RS-00336</x:v>
      </x:c>
      <x:c r="C647" s="9" t="n">
        <x:v>2</x:v>
      </x:c>
      <x:c r="D647" s="8" t="n">
        <x:v>45349</x:v>
      </x:c>
      <x:c r="E647" s="9" t="n">
        <x:v>3182500</x:v>
      </x:c>
      <x:c r="F647" s="9" t="n">
        <x:v>0</x:v>
      </x:c>
    </x:row>
    <x:row r="648" ht="34" customHeight="1">
      <x:c r="A648" s="4" t="str">
        <x:v>RS-00336-I3</x:v>
      </x:c>
      <x:c r="B648" s="4" t="str">
        <x:v>RS-00336</x:v>
      </x:c>
      <x:c r="C648" s="9" t="n">
        <x:v>3</x:v>
      </x:c>
      <x:c r="D648" s="8" t="n">
        <x:v>45379</x:v>
      </x:c>
      <x:c r="E648" s="9" t="n">
        <x:v>3182500</x:v>
      </x:c>
      <x:c r="F648" s="9" t="n">
        <x:v>0</x:v>
      </x:c>
    </x:row>
    <x:row r="649" ht="34" customHeight="1">
      <x:c r="A649" s="4" t="str">
        <x:v>RS-00336-I4</x:v>
      </x:c>
      <x:c r="B649" s="4" t="str">
        <x:v>RS-00336</x:v>
      </x:c>
      <x:c r="C649" s="9" t="n">
        <x:v>4</x:v>
      </x:c>
      <x:c r="D649" s="8" t="n">
        <x:v>45409</x:v>
      </x:c>
      <x:c r="E649" s="9" t="n">
        <x:v>3182500</x:v>
      </x:c>
      <x:c r="F649" s="9" t="n">
        <x:v>0</x:v>
      </x:c>
    </x:row>
    <x:row r="650" ht="34" customHeight="1">
      <x:c r="A650" s="4" t="str">
        <x:v>RS-00339-I1</x:v>
      </x:c>
      <x:c r="B650" s="4" t="str">
        <x:v>RS-00339</x:v>
      </x:c>
      <x:c r="C650" s="9" t="n">
        <x:v>1</x:v>
      </x:c>
      <x:c r="D650" s="8" t="n">
        <x:v>45294</x:v>
      </x:c>
      <x:c r="E650" s="9" t="n">
        <x:v>3315250</x:v>
      </x:c>
      <x:c r="F650" s="9" t="n">
        <x:v>3315250</x:v>
      </x:c>
    </x:row>
    <x:row r="651" ht="34" customHeight="1">
      <x:c r="A651" s="4" t="str">
        <x:v>RS-00339-I2</x:v>
      </x:c>
      <x:c r="B651" s="4" t="str">
        <x:v>RS-00339</x:v>
      </x:c>
      <x:c r="C651" s="9" t="n">
        <x:v>2</x:v>
      </x:c>
      <x:c r="D651" s="8" t="n">
        <x:v>45324</x:v>
      </x:c>
      <x:c r="E651" s="9" t="n">
        <x:v>3315250</x:v>
      </x:c>
      <x:c r="F651" s="9" t="n">
        <x:v>3315250</x:v>
      </x:c>
    </x:row>
    <x:row r="652" ht="34" customHeight="1">
      <x:c r="A652" s="4" t="str">
        <x:v>RS-00339-I3</x:v>
      </x:c>
      <x:c r="B652" s="4" t="str">
        <x:v>RS-00339</x:v>
      </x:c>
      <x:c r="C652" s="9" t="n">
        <x:v>3</x:v>
      </x:c>
      <x:c r="D652" s="8" t="n">
        <x:v>45354</x:v>
      </x:c>
      <x:c r="E652" s="9" t="n">
        <x:v>3315250</x:v>
      </x:c>
      <x:c r="F652" s="9" t="n">
        <x:v>0</x:v>
      </x:c>
    </x:row>
    <x:row r="653" ht="34" customHeight="1">
      <x:c r="A653" s="4" t="str">
        <x:v>RS-00339-I4</x:v>
      </x:c>
      <x:c r="B653" s="4" t="str">
        <x:v>RS-00339</x:v>
      </x:c>
      <x:c r="C653" s="9" t="n">
        <x:v>4</x:v>
      </x:c>
      <x:c r="D653" s="8" t="n">
        <x:v>45384</x:v>
      </x:c>
      <x:c r="E653" s="9" t="n">
        <x:v>3315250</x:v>
      </x:c>
      <x:c r="F653" s="9" t="n">
        <x:v>0</x:v>
      </x:c>
    </x:row>
    <x:row r="654" ht="34" customHeight="1">
      <x:c r="A654" s="4" t="str">
        <x:v>RS-00340-I1</x:v>
      </x:c>
      <x:c r="B654" s="4" t="str">
        <x:v>RS-00340</x:v>
      </x:c>
      <x:c r="C654" s="9" t="n">
        <x:v>1</x:v>
      </x:c>
      <x:c r="D654" s="8" t="n">
        <x:v>45295</x:v>
      </x:c>
      <x:c r="E654" s="9" t="n">
        <x:v>4995000</x:v>
      </x:c>
      <x:c r="F654" s="9" t="n">
        <x:v>4995000</x:v>
      </x:c>
    </x:row>
    <x:row r="655" ht="34" customHeight="1">
      <x:c r="A655" s="4" t="str">
        <x:v>RS-00340-I2</x:v>
      </x:c>
      <x:c r="B655" s="4" t="str">
        <x:v>RS-00340</x:v>
      </x:c>
      <x:c r="C655" s="9" t="n">
        <x:v>2</x:v>
      </x:c>
      <x:c r="D655" s="8" t="n">
        <x:v>45325</x:v>
      </x:c>
      <x:c r="E655" s="9" t="n">
        <x:v>4995000</x:v>
      </x:c>
      <x:c r="F655" s="9" t="n">
        <x:v>0</x:v>
      </x:c>
    </x:row>
    <x:row r="656" ht="34" customHeight="1">
      <x:c r="A656" s="4" t="str">
        <x:v>RS-00340-I3</x:v>
      </x:c>
      <x:c r="B656" s="4" t="str">
        <x:v>RS-00340</x:v>
      </x:c>
      <x:c r="C656" s="9" t="n">
        <x:v>3</x:v>
      </x:c>
      <x:c r="D656" s="8" t="n">
        <x:v>45355</x:v>
      </x:c>
      <x:c r="E656" s="9" t="n">
        <x:v>4995000</x:v>
      </x:c>
      <x:c r="F656" s="9" t="n">
        <x:v>0</x:v>
      </x:c>
    </x:row>
    <x:row r="657" ht="34" customHeight="1">
      <x:c r="A657" s="4" t="str">
        <x:v>RS-00340-I4</x:v>
      </x:c>
      <x:c r="B657" s="4" t="str">
        <x:v>RS-00340</x:v>
      </x:c>
      <x:c r="C657" s="9" t="n">
        <x:v>4</x:v>
      </x:c>
      <x:c r="D657" s="8" t="n">
        <x:v>45385</x:v>
      </x:c>
      <x:c r="E657" s="9" t="n">
        <x:v>4995000</x:v>
      </x:c>
      <x:c r="F657" s="9" t="n">
        <x:v>0</x:v>
      </x:c>
    </x:row>
    <x:row r="658" ht="34" customHeight="1">
      <x:c r="A658" s="4" t="str">
        <x:v>RS-00342-I1</x:v>
      </x:c>
      <x:c r="B658" s="4" t="str">
        <x:v>RS-00342</x:v>
      </x:c>
      <x:c r="C658" s="9" t="n">
        <x:v>1</x:v>
      </x:c>
      <x:c r="D658" s="8" t="n">
        <x:v>45297</x:v>
      </x:c>
      <x:c r="E658" s="9" t="n">
        <x:v>4657500</x:v>
      </x:c>
      <x:c r="F658" s="9" t="n">
        <x:v>4657500</x:v>
      </x:c>
    </x:row>
    <x:row r="659" ht="34" customHeight="1">
      <x:c r="A659" s="4" t="str">
        <x:v>RS-00342-I2</x:v>
      </x:c>
      <x:c r="B659" s="4" t="str">
        <x:v>RS-00342</x:v>
      </x:c>
      <x:c r="C659" s="9" t="n">
        <x:v>2</x:v>
      </x:c>
      <x:c r="D659" s="8" t="n">
        <x:v>45327</x:v>
      </x:c>
      <x:c r="E659" s="9" t="n">
        <x:v>4657500</x:v>
      </x:c>
      <x:c r="F659" s="9" t="n">
        <x:v>0</x:v>
      </x:c>
    </x:row>
    <x:row r="660" ht="34" customHeight="1">
      <x:c r="A660" s="4" t="str">
        <x:v>RS-00342-I3</x:v>
      </x:c>
      <x:c r="B660" s="4" t="str">
        <x:v>RS-00342</x:v>
      </x:c>
      <x:c r="C660" s="9" t="n">
        <x:v>3</x:v>
      </x:c>
      <x:c r="D660" s="8" t="n">
        <x:v>45357</x:v>
      </x:c>
      <x:c r="E660" s="9" t="n">
        <x:v>4657500</x:v>
      </x:c>
      <x:c r="F660" s="9" t="n">
        <x:v>0</x:v>
      </x:c>
    </x:row>
    <x:row r="661" ht="34" customHeight="1">
      <x:c r="A661" s="4" t="str">
        <x:v>RS-00342-I4</x:v>
      </x:c>
      <x:c r="B661" s="4" t="str">
        <x:v>RS-00342</x:v>
      </x:c>
      <x:c r="C661" s="9" t="n">
        <x:v>4</x:v>
      </x:c>
      <x:c r="D661" s="8" t="n">
        <x:v>45387</x:v>
      </x:c>
      <x:c r="E661" s="9" t="n">
        <x:v>4657500</x:v>
      </x:c>
      <x:c r="F661" s="9" t="n">
        <x:v>0</x:v>
      </x:c>
    </x:row>
    <x:row r="662" ht="34" customHeight="1">
      <x:c r="A662" s="4" t="str">
        <x:v>RS-00343-I1</x:v>
      </x:c>
      <x:c r="B662" s="4" t="str">
        <x:v>RS-00343</x:v>
      </x:c>
      <x:c r="C662" s="9" t="n">
        <x:v>1</x:v>
      </x:c>
      <x:c r="D662" s="8" t="n">
        <x:v>45298</x:v>
      </x:c>
      <x:c r="E662" s="9" t="n">
        <x:v>5717250</x:v>
      </x:c>
      <x:c r="F662" s="9" t="n">
        <x:v>2286900</x:v>
      </x:c>
    </x:row>
    <x:row r="663" ht="34" customHeight="1">
      <x:c r="A663" s="4" t="str">
        <x:v>RS-00343-I2</x:v>
      </x:c>
      <x:c r="B663" s="4" t="str">
        <x:v>RS-00343</x:v>
      </x:c>
      <x:c r="C663" s="9" t="n">
        <x:v>2</x:v>
      </x:c>
      <x:c r="D663" s="8" t="n">
        <x:v>45328</x:v>
      </x:c>
      <x:c r="E663" s="9" t="n">
        <x:v>5717250</x:v>
      </x:c>
      <x:c r="F663" s="9" t="n">
        <x:v>0</x:v>
      </x:c>
    </x:row>
    <x:row r="664" ht="34" customHeight="1">
      <x:c r="A664" s="4" t="str">
        <x:v>RS-00343-I3</x:v>
      </x:c>
      <x:c r="B664" s="4" t="str">
        <x:v>RS-00343</x:v>
      </x:c>
      <x:c r="C664" s="9" t="n">
        <x:v>3</x:v>
      </x:c>
      <x:c r="D664" s="8" t="n">
        <x:v>45358</x:v>
      </x:c>
      <x:c r="E664" s="9" t="n">
        <x:v>5717250</x:v>
      </x:c>
      <x:c r="F664" s="9" t="n">
        <x:v>0</x:v>
      </x:c>
    </x:row>
    <x:row r="665" ht="34" customHeight="1">
      <x:c r="A665" s="4" t="str">
        <x:v>RS-00343-I4</x:v>
      </x:c>
      <x:c r="B665" s="4" t="str">
        <x:v>RS-00343</x:v>
      </x:c>
      <x:c r="C665" s="9" t="n">
        <x:v>4</x:v>
      </x:c>
      <x:c r="D665" s="8" t="n">
        <x:v>45388</x:v>
      </x:c>
      <x:c r="E665" s="9" t="n">
        <x:v>5717250</x:v>
      </x:c>
      <x:c r="F665" s="9" t="n">
        <x:v>0</x:v>
      </x:c>
    </x:row>
    <x:row r="666" ht="34" customHeight="1">
      <x:c r="A666" s="4" t="str">
        <x:v>RS-00345-I1</x:v>
      </x:c>
      <x:c r="B666" s="4" t="str">
        <x:v>RS-00345</x:v>
      </x:c>
      <x:c r="C666" s="9" t="n">
        <x:v>1</x:v>
      </x:c>
      <x:c r="D666" s="8" t="n">
        <x:v>45300</x:v>
      </x:c>
      <x:c r="E666" s="9" t="n">
        <x:v>5625000</x:v>
      </x:c>
      <x:c r="F666" s="9" t="n">
        <x:v>5625000</x:v>
      </x:c>
    </x:row>
    <x:row r="667" ht="34" customHeight="1">
      <x:c r="A667" s="4" t="str">
        <x:v>RS-00345-I2</x:v>
      </x:c>
      <x:c r="B667" s="4" t="str">
        <x:v>RS-00345</x:v>
      </x:c>
      <x:c r="C667" s="9" t="n">
        <x:v>2</x:v>
      </x:c>
      <x:c r="D667" s="8" t="n">
        <x:v>45330</x:v>
      </x:c>
      <x:c r="E667" s="9" t="n">
        <x:v>5625000</x:v>
      </x:c>
      <x:c r="F667" s="9" t="n">
        <x:v>5625000</x:v>
      </x:c>
    </x:row>
    <x:row r="668" ht="34" customHeight="1">
      <x:c r="A668" s="4" t="str">
        <x:v>RS-00345-I3</x:v>
      </x:c>
      <x:c r="B668" s="4" t="str">
        <x:v>RS-00345</x:v>
      </x:c>
      <x:c r="C668" s="9" t="n">
        <x:v>3</x:v>
      </x:c>
      <x:c r="D668" s="8" t="n">
        <x:v>45360</x:v>
      </x:c>
      <x:c r="E668" s="9" t="n">
        <x:v>5625000</x:v>
      </x:c>
      <x:c r="F668" s="9" t="n">
        <x:v>5625000</x:v>
      </x:c>
    </x:row>
    <x:row r="669" ht="34" customHeight="1">
      <x:c r="A669" s="4" t="str">
        <x:v>RS-00345-I4</x:v>
      </x:c>
      <x:c r="B669" s="4" t="str">
        <x:v>RS-00345</x:v>
      </x:c>
      <x:c r="C669" s="9" t="n">
        <x:v>4</x:v>
      </x:c>
      <x:c r="D669" s="8" t="n">
        <x:v>45390</x:v>
      </x:c>
      <x:c r="E669" s="9" t="n">
        <x:v>5625000</x:v>
      </x:c>
      <x:c r="F669" s="9" t="n">
        <x:v>5625000</x:v>
      </x:c>
    </x:row>
    <x:row r="670" ht="34" customHeight="1">
      <x:c r="A670" s="4" t="str">
        <x:v>RS-00347-I1</x:v>
      </x:c>
      <x:c r="B670" s="4" t="str">
        <x:v>RS-00347</x:v>
      </x:c>
      <x:c r="C670" s="9" t="n">
        <x:v>1</x:v>
      </x:c>
      <x:c r="D670" s="8" t="n">
        <x:v>45302</x:v>
      </x:c>
      <x:c r="E670" s="9" t="n">
        <x:v>5184750</x:v>
      </x:c>
      <x:c r="F670" s="9" t="n">
        <x:v>5184750</x:v>
      </x:c>
    </x:row>
    <x:row r="671" ht="34" customHeight="1">
      <x:c r="A671" s="4" t="str">
        <x:v>RS-00347-I2</x:v>
      </x:c>
      <x:c r="B671" s="4" t="str">
        <x:v>RS-00347</x:v>
      </x:c>
      <x:c r="C671" s="9" t="n">
        <x:v>2</x:v>
      </x:c>
      <x:c r="D671" s="8" t="n">
        <x:v>45332</x:v>
      </x:c>
      <x:c r="E671" s="9" t="n">
        <x:v>5184750</x:v>
      </x:c>
      <x:c r="F671" s="9" t="n">
        <x:v>0</x:v>
      </x:c>
    </x:row>
    <x:row r="672" ht="34" customHeight="1">
      <x:c r="A672" s="4" t="str">
        <x:v>RS-00347-I3</x:v>
      </x:c>
      <x:c r="B672" s="4" t="str">
        <x:v>RS-00347</x:v>
      </x:c>
      <x:c r="C672" s="9" t="n">
        <x:v>3</x:v>
      </x:c>
      <x:c r="D672" s="8" t="n">
        <x:v>45362</x:v>
      </x:c>
      <x:c r="E672" s="9" t="n">
        <x:v>5184750</x:v>
      </x:c>
      <x:c r="F672" s="9" t="n">
        <x:v>0</x:v>
      </x:c>
    </x:row>
    <x:row r="673" ht="34" customHeight="1">
      <x:c r="A673" s="4" t="str">
        <x:v>RS-00347-I4</x:v>
      </x:c>
      <x:c r="B673" s="4" t="str">
        <x:v>RS-00347</x:v>
      </x:c>
      <x:c r="C673" s="9" t="n">
        <x:v>4</x:v>
      </x:c>
      <x:c r="D673" s="8" t="n">
        <x:v>45392</x:v>
      </x:c>
      <x:c r="E673" s="9" t="n">
        <x:v>5184750</x:v>
      </x:c>
      <x:c r="F673" s="9" t="n">
        <x:v>0</x:v>
      </x:c>
    </x:row>
    <x:row r="674" ht="34" customHeight="1">
      <x:c r="A674" s="4" t="str">
        <x:v>RS-00348-I1</x:v>
      </x:c>
      <x:c r="B674" s="4" t="str">
        <x:v>RS-00348</x:v>
      </x:c>
      <x:c r="C674" s="9" t="n">
        <x:v>1</x:v>
      </x:c>
      <x:c r="D674" s="8" t="n">
        <x:v>45303</x:v>
      </x:c>
      <x:c r="E674" s="9" t="n">
        <x:v>5652500</x:v>
      </x:c>
      <x:c r="F674" s="9" t="n">
        <x:v>5652500</x:v>
      </x:c>
    </x:row>
    <x:row r="675" ht="34" customHeight="1">
      <x:c r="A675" s="4" t="str">
        <x:v>RS-00348-I2</x:v>
      </x:c>
      <x:c r="B675" s="4" t="str">
        <x:v>RS-00348</x:v>
      </x:c>
      <x:c r="C675" s="9" t="n">
        <x:v>2</x:v>
      </x:c>
      <x:c r="D675" s="8" t="n">
        <x:v>45333</x:v>
      </x:c>
      <x:c r="E675" s="9" t="n">
        <x:v>5652500</x:v>
      </x:c>
      <x:c r="F675" s="9" t="n">
        <x:v>0</x:v>
      </x:c>
    </x:row>
    <x:row r="676" ht="34" customHeight="1">
      <x:c r="A676" s="4" t="str">
        <x:v>RS-00348-I3</x:v>
      </x:c>
      <x:c r="B676" s="4" t="str">
        <x:v>RS-00348</x:v>
      </x:c>
      <x:c r="C676" s="9" t="n">
        <x:v>3</x:v>
      </x:c>
      <x:c r="D676" s="8" t="n">
        <x:v>45363</x:v>
      </x:c>
      <x:c r="E676" s="9" t="n">
        <x:v>5652500</x:v>
      </x:c>
      <x:c r="F676" s="9" t="n">
        <x:v>0</x:v>
      </x:c>
    </x:row>
    <x:row r="677" ht="34" customHeight="1">
      <x:c r="A677" s="4" t="str">
        <x:v>RS-00348-I4</x:v>
      </x:c>
      <x:c r="B677" s="4" t="str">
        <x:v>RS-00348</x:v>
      </x:c>
      <x:c r="C677" s="9" t="n">
        <x:v>4</x:v>
      </x:c>
      <x:c r="D677" s="8" t="n">
        <x:v>45393</x:v>
      </x:c>
      <x:c r="E677" s="9" t="n">
        <x:v>5652500</x:v>
      </x:c>
      <x:c r="F677" s="9" t="n">
        <x:v>0</x:v>
      </x:c>
    </x:row>
    <x:row r="678" ht="34" customHeight="1">
      <x:c r="A678" s="4" t="str">
        <x:v>RS-00349-I1</x:v>
      </x:c>
      <x:c r="B678" s="4" t="str">
        <x:v>RS-00349</x:v>
      </x:c>
      <x:c r="C678" s="9" t="n">
        <x:v>1</x:v>
      </x:c>
      <x:c r="D678" s="8" t="n">
        <x:v>45304</x:v>
      </x:c>
      <x:c r="E678" s="9" t="n">
        <x:v>2269500</x:v>
      </x:c>
      <x:c r="F678" s="9" t="n">
        <x:v>907800</x:v>
      </x:c>
    </x:row>
    <x:row r="679" ht="34" customHeight="1">
      <x:c r="A679" s="4" t="str">
        <x:v>RS-00349-I2</x:v>
      </x:c>
      <x:c r="B679" s="4" t="str">
        <x:v>RS-00349</x:v>
      </x:c>
      <x:c r="C679" s="9" t="n">
        <x:v>2</x:v>
      </x:c>
      <x:c r="D679" s="8" t="n">
        <x:v>45334</x:v>
      </x:c>
      <x:c r="E679" s="9" t="n">
        <x:v>2269500</x:v>
      </x:c>
      <x:c r="F679" s="9" t="n">
        <x:v>0</x:v>
      </x:c>
    </x:row>
    <x:row r="680" ht="34" customHeight="1">
      <x:c r="A680" s="4" t="str">
        <x:v>RS-00349-I3</x:v>
      </x:c>
      <x:c r="B680" s="4" t="str">
        <x:v>RS-00349</x:v>
      </x:c>
      <x:c r="C680" s="9" t="n">
        <x:v>3</x:v>
      </x:c>
      <x:c r="D680" s="8" t="n">
        <x:v>45364</x:v>
      </x:c>
      <x:c r="E680" s="9" t="n">
        <x:v>2269500</x:v>
      </x:c>
      <x:c r="F680" s="9" t="n">
        <x:v>0</x:v>
      </x:c>
    </x:row>
    <x:row r="681" ht="34" customHeight="1">
      <x:c r="A681" s="4" t="str">
        <x:v>RS-00349-I4</x:v>
      </x:c>
      <x:c r="B681" s="4" t="str">
        <x:v>RS-00349</x:v>
      </x:c>
      <x:c r="C681" s="9" t="n">
        <x:v>4</x:v>
      </x:c>
      <x:c r="D681" s="8" t="n">
        <x:v>45394</x:v>
      </x:c>
      <x:c r="E681" s="9" t="n">
        <x:v>2269500</x:v>
      </x:c>
      <x:c r="F681" s="9" t="n">
        <x:v>0</x:v>
      </x:c>
    </x:row>
    <x:row r="682" ht="34" customHeight="1">
      <x:c r="A682" s="4" t="str">
        <x:v>RS-00350-I1</x:v>
      </x:c>
      <x:c r="B682" s="4" t="str">
        <x:v>RS-00350</x:v>
      </x:c>
      <x:c r="C682" s="9" t="n">
        <x:v>1</x:v>
      </x:c>
      <x:c r="D682" s="8" t="n">
        <x:v>45305</x:v>
      </x:c>
      <x:c r="E682" s="9" t="n">
        <x:v>2640000</x:v>
      </x:c>
      <x:c r="F682" s="9" t="n">
        <x:v>1056000</x:v>
      </x:c>
    </x:row>
    <x:row r="683" ht="34" customHeight="1">
      <x:c r="A683" s="4" t="str">
        <x:v>RS-00350-I2</x:v>
      </x:c>
      <x:c r="B683" s="4" t="str">
        <x:v>RS-00350</x:v>
      </x:c>
      <x:c r="C683" s="9" t="n">
        <x:v>2</x:v>
      </x:c>
      <x:c r="D683" s="8" t="n">
        <x:v>45335</x:v>
      </x:c>
      <x:c r="E683" s="9" t="n">
        <x:v>2640000</x:v>
      </x:c>
      <x:c r="F683" s="9" t="n">
        <x:v>0</x:v>
      </x:c>
    </x:row>
    <x:row r="684" ht="34" customHeight="1">
      <x:c r="A684" s="4" t="str">
        <x:v>RS-00350-I3</x:v>
      </x:c>
      <x:c r="B684" s="4" t="str">
        <x:v>RS-00350</x:v>
      </x:c>
      <x:c r="C684" s="9" t="n">
        <x:v>3</x:v>
      </x:c>
      <x:c r="D684" s="8" t="n">
        <x:v>45365</x:v>
      </x:c>
      <x:c r="E684" s="9" t="n">
        <x:v>2640000</x:v>
      </x:c>
      <x:c r="F684" s="9" t="n">
        <x:v>0</x:v>
      </x:c>
    </x:row>
    <x:row r="685" ht="34" customHeight="1">
      <x:c r="A685" s="4" t="str">
        <x:v>RS-00350-I4</x:v>
      </x:c>
      <x:c r="B685" s="4" t="str">
        <x:v>RS-00350</x:v>
      </x:c>
      <x:c r="C685" s="9" t="n">
        <x:v>4</x:v>
      </x:c>
      <x:c r="D685" s="8" t="n">
        <x:v>45395</x:v>
      </x:c>
      <x:c r="E685" s="9" t="n">
        <x:v>2640000</x:v>
      </x:c>
      <x:c r="F685" s="9" t="n">
        <x:v>0</x:v>
      </x:c>
    </x:row>
    <x:row r="686" ht="34" customHeight="1">
      <x:c r="A686" s="4" t="str">
        <x:v>RS-00351-I1</x:v>
      </x:c>
      <x:c r="B686" s="4" t="str">
        <x:v>RS-00351</x:v>
      </x:c>
      <x:c r="C686" s="9" t="n">
        <x:v>1</x:v>
      </x:c>
      <x:c r="D686" s="8" t="n">
        <x:v>45306</x:v>
      </x:c>
      <x:c r="E686" s="9" t="n">
        <x:v>2398000</x:v>
      </x:c>
      <x:c r="F686" s="9" t="n">
        <x:v>959200</x:v>
      </x:c>
    </x:row>
    <x:row r="687" ht="34" customHeight="1">
      <x:c r="A687" s="4" t="str">
        <x:v>RS-00351-I2</x:v>
      </x:c>
      <x:c r="B687" s="4" t="str">
        <x:v>RS-00351</x:v>
      </x:c>
      <x:c r="C687" s="9" t="n">
        <x:v>2</x:v>
      </x:c>
      <x:c r="D687" s="8" t="n">
        <x:v>45336</x:v>
      </x:c>
      <x:c r="E687" s="9" t="n">
        <x:v>2398000</x:v>
      </x:c>
      <x:c r="F687" s="9" t="n">
        <x:v>0</x:v>
      </x:c>
    </x:row>
    <x:row r="688" ht="34" customHeight="1">
      <x:c r="A688" s="4" t="str">
        <x:v>RS-00351-I3</x:v>
      </x:c>
      <x:c r="B688" s="4" t="str">
        <x:v>RS-00351</x:v>
      </x:c>
      <x:c r="C688" s="9" t="n">
        <x:v>3</x:v>
      </x:c>
      <x:c r="D688" s="8" t="n">
        <x:v>45366</x:v>
      </x:c>
      <x:c r="E688" s="9" t="n">
        <x:v>2398000</x:v>
      </x:c>
      <x:c r="F688" s="9" t="n">
        <x:v>0</x:v>
      </x:c>
    </x:row>
    <x:row r="689" ht="34" customHeight="1">
      <x:c r="A689" s="4" t="str">
        <x:v>RS-00351-I4</x:v>
      </x:c>
      <x:c r="B689" s="4" t="str">
        <x:v>RS-00351</x:v>
      </x:c>
      <x:c r="C689" s="9" t="n">
        <x:v>4</x:v>
      </x:c>
      <x:c r="D689" s="8" t="n">
        <x:v>45396</x:v>
      </x:c>
      <x:c r="E689" s="9" t="n">
        <x:v>2398000</x:v>
      </x:c>
      <x:c r="F689" s="9" t="n">
        <x:v>0</x:v>
      </x:c>
    </x:row>
    <x:row r="690" ht="34" customHeight="1">
      <x:c r="A690" s="4" t="str">
        <x:v>RS-00352-I1</x:v>
      </x:c>
      <x:c r="B690" s="4" t="str">
        <x:v>RS-00352</x:v>
      </x:c>
      <x:c r="C690" s="9" t="n">
        <x:v>1</x:v>
      </x:c>
      <x:c r="D690" s="8" t="n">
        <x:v>45307</x:v>
      </x:c>
      <x:c r="E690" s="9" t="n">
        <x:v>705000</x:v>
      </x:c>
      <x:c r="F690" s="9" t="n">
        <x:v>282000</x:v>
      </x:c>
    </x:row>
    <x:row r="691" ht="34" customHeight="1">
      <x:c r="A691" s="4" t="str">
        <x:v>RS-00352-I2</x:v>
      </x:c>
      <x:c r="B691" s="4" t="str">
        <x:v>RS-00352</x:v>
      </x:c>
      <x:c r="C691" s="9" t="n">
        <x:v>2</x:v>
      </x:c>
      <x:c r="D691" s="8" t="n">
        <x:v>45337</x:v>
      </x:c>
      <x:c r="E691" s="9" t="n">
        <x:v>705000</x:v>
      </x:c>
      <x:c r="F691" s="9" t="n">
        <x:v>0</x:v>
      </x:c>
    </x:row>
    <x:row r="692" ht="34" customHeight="1">
      <x:c r="A692" s="4" t="str">
        <x:v>RS-00352-I3</x:v>
      </x:c>
      <x:c r="B692" s="4" t="str">
        <x:v>RS-00352</x:v>
      </x:c>
      <x:c r="C692" s="9" t="n">
        <x:v>3</x:v>
      </x:c>
      <x:c r="D692" s="8" t="n">
        <x:v>45367</x:v>
      </x:c>
      <x:c r="E692" s="9" t="n">
        <x:v>705000</x:v>
      </x:c>
      <x:c r="F692" s="9" t="n">
        <x:v>0</x:v>
      </x:c>
    </x:row>
    <x:row r="693" ht="34" customHeight="1">
      <x:c r="A693" s="4" t="str">
        <x:v>RS-00352-I4</x:v>
      </x:c>
      <x:c r="B693" s="4" t="str">
        <x:v>RS-00352</x:v>
      </x:c>
      <x:c r="C693" s="9" t="n">
        <x:v>4</x:v>
      </x:c>
      <x:c r="D693" s="8" t="n">
        <x:v>45397</x:v>
      </x:c>
      <x:c r="E693" s="9" t="n">
        <x:v>705000</x:v>
      </x:c>
      <x:c r="F693" s="9" t="n">
        <x:v>0</x:v>
      </x:c>
    </x:row>
    <x:row r="694" ht="34" customHeight="1">
      <x:c r="A694" s="4" t="str">
        <x:v>RS-00355-I1</x:v>
      </x:c>
      <x:c r="B694" s="4" t="str">
        <x:v>RS-00355</x:v>
      </x:c>
      <x:c r="C694" s="9" t="n">
        <x:v>1</x:v>
      </x:c>
      <x:c r="D694" s="8" t="n">
        <x:v>45310</x:v>
      </x:c>
      <x:c r="E694" s="9" t="n">
        <x:v>5650000</x:v>
      </x:c>
      <x:c r="F694" s="9" t="n">
        <x:v>5650000</x:v>
      </x:c>
    </x:row>
    <x:row r="695" ht="34" customHeight="1">
      <x:c r="A695" s="4" t="str">
        <x:v>RS-00355-I2</x:v>
      </x:c>
      <x:c r="B695" s="4" t="str">
        <x:v>RS-00355</x:v>
      </x:c>
      <x:c r="C695" s="9" t="n">
        <x:v>2</x:v>
      </x:c>
      <x:c r="D695" s="8" t="n">
        <x:v>45340</x:v>
      </x:c>
      <x:c r="E695" s="9" t="n">
        <x:v>5650000</x:v>
      </x:c>
      <x:c r="F695" s="9" t="n">
        <x:v>5650000</x:v>
      </x:c>
    </x:row>
    <x:row r="696" ht="34" customHeight="1">
      <x:c r="A696" s="4" t="str">
        <x:v>RS-00355-I3</x:v>
      </x:c>
      <x:c r="B696" s="4" t="str">
        <x:v>RS-00355</x:v>
      </x:c>
      <x:c r="C696" s="9" t="n">
        <x:v>3</x:v>
      </x:c>
      <x:c r="D696" s="8" t="n">
        <x:v>45370</x:v>
      </x:c>
      <x:c r="E696" s="9" t="n">
        <x:v>5650000</x:v>
      </x:c>
      <x:c r="F696" s="9" t="n">
        <x:v>5650000</x:v>
      </x:c>
    </x:row>
    <x:row r="697" ht="34" customHeight="1">
      <x:c r="A697" s="4" t="str">
        <x:v>RS-00355-I4</x:v>
      </x:c>
      <x:c r="B697" s="4" t="str">
        <x:v>RS-00355</x:v>
      </x:c>
      <x:c r="C697" s="9" t="n">
        <x:v>4</x:v>
      </x:c>
      <x:c r="D697" s="8" t="n">
        <x:v>45400</x:v>
      </x:c>
      <x:c r="E697" s="9" t="n">
        <x:v>5650000</x:v>
      </x:c>
      <x:c r="F697" s="9" t="n">
        <x:v>5650000</x:v>
      </x:c>
    </x:row>
    <x:row r="698" ht="34" customHeight="1">
      <x:c r="A698" s="4" t="str">
        <x:v>RS-00358-I1</x:v>
      </x:c>
      <x:c r="B698" s="4" t="str">
        <x:v>RS-00358</x:v>
      </x:c>
      <x:c r="C698" s="9" t="n">
        <x:v>1</x:v>
      </x:c>
      <x:c r="D698" s="8" t="n">
        <x:v>45313</x:v>
      </x:c>
      <x:c r="E698" s="9" t="n">
        <x:v>4702500</x:v>
      </x:c>
      <x:c r="F698" s="9" t="n">
        <x:v>4702500</x:v>
      </x:c>
    </x:row>
    <x:row r="699" ht="34" customHeight="1">
      <x:c r="A699" s="4" t="str">
        <x:v>RS-00358-I2</x:v>
      </x:c>
      <x:c r="B699" s="4" t="str">
        <x:v>RS-00358</x:v>
      </x:c>
      <x:c r="C699" s="9" t="n">
        <x:v>2</x:v>
      </x:c>
      <x:c r="D699" s="8" t="n">
        <x:v>45343</x:v>
      </x:c>
      <x:c r="E699" s="9" t="n">
        <x:v>4702500</x:v>
      </x:c>
      <x:c r="F699" s="9" t="n">
        <x:v>4702500</x:v>
      </x:c>
    </x:row>
    <x:row r="700" ht="34" customHeight="1">
      <x:c r="A700" s="4" t="str">
        <x:v>RS-00358-I3</x:v>
      </x:c>
      <x:c r="B700" s="4" t="str">
        <x:v>RS-00358</x:v>
      </x:c>
      <x:c r="C700" s="9" t="n">
        <x:v>3</x:v>
      </x:c>
      <x:c r="D700" s="8" t="n">
        <x:v>45373</x:v>
      </x:c>
      <x:c r="E700" s="9" t="n">
        <x:v>4702500</x:v>
      </x:c>
      <x:c r="F700" s="9" t="n">
        <x:v>0</x:v>
      </x:c>
    </x:row>
    <x:row r="701" ht="34" customHeight="1">
      <x:c r="A701" s="4" t="str">
        <x:v>RS-00358-I4</x:v>
      </x:c>
      <x:c r="B701" s="4" t="str">
        <x:v>RS-00358</x:v>
      </x:c>
      <x:c r="C701" s="9" t="n">
        <x:v>4</x:v>
      </x:c>
      <x:c r="D701" s="8" t="n">
        <x:v>45403</x:v>
      </x:c>
      <x:c r="E701" s="9" t="n">
        <x:v>4702500</x:v>
      </x:c>
      <x:c r="F701" s="9" t="n">
        <x:v>0</x:v>
      </x:c>
    </x:row>
    <x:row r="702" ht="34" customHeight="1">
      <x:c r="A702" s="4" t="str">
        <x:v>RS-00360-I1</x:v>
      </x:c>
      <x:c r="B702" s="4" t="str">
        <x:v>RS-00360</x:v>
      </x:c>
      <x:c r="C702" s="9" t="n">
        <x:v>1</x:v>
      </x:c>
      <x:c r="D702" s="8" t="n">
        <x:v>45315</x:v>
      </x:c>
      <x:c r="E702" s="9" t="n">
        <x:v>4207500</x:v>
      </x:c>
      <x:c r="F702" s="9" t="n">
        <x:v>4207500</x:v>
      </x:c>
    </x:row>
    <x:row r="703" ht="34" customHeight="1">
      <x:c r="A703" s="4" t="str">
        <x:v>RS-00360-I2</x:v>
      </x:c>
      <x:c r="B703" s="4" t="str">
        <x:v>RS-00360</x:v>
      </x:c>
      <x:c r="C703" s="9" t="n">
        <x:v>2</x:v>
      </x:c>
      <x:c r="D703" s="8" t="n">
        <x:v>45345</x:v>
      </x:c>
      <x:c r="E703" s="9" t="n">
        <x:v>4207500</x:v>
      </x:c>
      <x:c r="F703" s="9" t="n">
        <x:v>4207500</x:v>
      </x:c>
    </x:row>
    <x:row r="704" ht="34" customHeight="1">
      <x:c r="A704" s="4" t="str">
        <x:v>RS-00360-I3</x:v>
      </x:c>
      <x:c r="B704" s="4" t="str">
        <x:v>RS-00360</x:v>
      </x:c>
      <x:c r="C704" s="9" t="n">
        <x:v>3</x:v>
      </x:c>
      <x:c r="D704" s="8" t="n">
        <x:v>45375</x:v>
      </x:c>
      <x:c r="E704" s="9" t="n">
        <x:v>4207500</x:v>
      </x:c>
      <x:c r="F704" s="9" t="n">
        <x:v>4207500</x:v>
      </x:c>
    </x:row>
    <x:row r="705" ht="34" customHeight="1">
      <x:c r="A705" s="4" t="str">
        <x:v>RS-00360-I4</x:v>
      </x:c>
      <x:c r="B705" s="4" t="str">
        <x:v>RS-00360</x:v>
      </x:c>
      <x:c r="C705" s="9" t="n">
        <x:v>4</x:v>
      </x:c>
      <x:c r="D705" s="8" t="n">
        <x:v>45405</x:v>
      </x:c>
      <x:c r="E705" s="9" t="n">
        <x:v>4207500</x:v>
      </x:c>
      <x:c r="F705" s="9" t="n">
        <x:v>4207500</x:v>
      </x:c>
    </x:row>
    <x:row r="706" ht="34" customHeight="1">
      <x:c r="A706" s="4" t="str">
        <x:v>RS-00362-I1</x:v>
      </x:c>
      <x:c r="B706" s="4" t="str">
        <x:v>RS-00362</x:v>
      </x:c>
      <x:c r="C706" s="9" t="n">
        <x:v>1</x:v>
      </x:c>
      <x:c r="D706" s="8" t="n">
        <x:v>45317</x:v>
      </x:c>
      <x:c r="E706" s="9" t="n">
        <x:v>3582250</x:v>
      </x:c>
      <x:c r="F706" s="9" t="n">
        <x:v>1432900</x:v>
      </x:c>
    </x:row>
    <x:row r="707" ht="34" customHeight="1">
      <x:c r="A707" s="4" t="str">
        <x:v>RS-00362-I2</x:v>
      </x:c>
      <x:c r="B707" s="4" t="str">
        <x:v>RS-00362</x:v>
      </x:c>
      <x:c r="C707" s="9" t="n">
        <x:v>2</x:v>
      </x:c>
      <x:c r="D707" s="8" t="n">
        <x:v>45347</x:v>
      </x:c>
      <x:c r="E707" s="9" t="n">
        <x:v>3582250</x:v>
      </x:c>
      <x:c r="F707" s="9" t="n">
        <x:v>0</x:v>
      </x:c>
    </x:row>
    <x:row r="708" ht="34" customHeight="1">
      <x:c r="A708" s="4" t="str">
        <x:v>RS-00362-I3</x:v>
      </x:c>
      <x:c r="B708" s="4" t="str">
        <x:v>RS-00362</x:v>
      </x:c>
      <x:c r="C708" s="9" t="n">
        <x:v>3</x:v>
      </x:c>
      <x:c r="D708" s="8" t="n">
        <x:v>45377</x:v>
      </x:c>
      <x:c r="E708" s="9" t="n">
        <x:v>3582250</x:v>
      </x:c>
      <x:c r="F708" s="9" t="n">
        <x:v>0</x:v>
      </x:c>
    </x:row>
    <x:row r="709" ht="34" customHeight="1">
      <x:c r="A709" s="4" t="str">
        <x:v>RS-00362-I4</x:v>
      </x:c>
      <x:c r="B709" s="4" t="str">
        <x:v>RS-00362</x:v>
      </x:c>
      <x:c r="C709" s="9" t="n">
        <x:v>4</x:v>
      </x:c>
      <x:c r="D709" s="8" t="n">
        <x:v>45407</x:v>
      </x:c>
      <x:c r="E709" s="9" t="n">
        <x:v>3582250</x:v>
      </x:c>
      <x:c r="F709" s="9" t="n">
        <x:v>0</x:v>
      </x:c>
    </x:row>
    <x:row r="710" ht="34" customHeight="1">
      <x:c r="A710" s="4" t="str">
        <x:v>RS-00367-I1</x:v>
      </x:c>
      <x:c r="B710" s="4" t="str">
        <x:v>RS-00367</x:v>
      </x:c>
      <x:c r="C710" s="9" t="n">
        <x:v>1</x:v>
      </x:c>
      <x:c r="D710" s="8" t="n">
        <x:v>45294</x:v>
      </x:c>
      <x:c r="E710" s="9" t="n">
        <x:v>1334000</x:v>
      </x:c>
      <x:c r="F710" s="9" t="n">
        <x:v>1334000</x:v>
      </x:c>
    </x:row>
    <x:row r="711" ht="34" customHeight="1">
      <x:c r="A711" s="4" t="str">
        <x:v>RS-00367-I2</x:v>
      </x:c>
      <x:c r="B711" s="4" t="str">
        <x:v>RS-00367</x:v>
      </x:c>
      <x:c r="C711" s="9" t="n">
        <x:v>2</x:v>
      </x:c>
      <x:c r="D711" s="8" t="n">
        <x:v>45324</x:v>
      </x:c>
      <x:c r="E711" s="9" t="n">
        <x:v>1334000</x:v>
      </x:c>
      <x:c r="F711" s="9" t="n">
        <x:v>1334000</x:v>
      </x:c>
    </x:row>
    <x:row r="712" ht="34" customHeight="1">
      <x:c r="A712" s="4" t="str">
        <x:v>RS-00367-I3</x:v>
      </x:c>
      <x:c r="B712" s="4" t="str">
        <x:v>RS-00367</x:v>
      </x:c>
      <x:c r="C712" s="9" t="n">
        <x:v>3</x:v>
      </x:c>
      <x:c r="D712" s="8" t="n">
        <x:v>45354</x:v>
      </x:c>
      <x:c r="E712" s="9" t="n">
        <x:v>1334000</x:v>
      </x:c>
      <x:c r="F712" s="9" t="n">
        <x:v>0</x:v>
      </x:c>
    </x:row>
    <x:row r="713" ht="34" customHeight="1">
      <x:c r="A713" s="4" t="str">
        <x:v>RS-00367-I4</x:v>
      </x:c>
      <x:c r="B713" s="4" t="str">
        <x:v>RS-00367</x:v>
      </x:c>
      <x:c r="C713" s="9" t="n">
        <x:v>4</x:v>
      </x:c>
      <x:c r="D713" s="8" t="n">
        <x:v>45384</x:v>
      </x:c>
      <x:c r="E713" s="9" t="n">
        <x:v>1334000</x:v>
      </x:c>
      <x:c r="F713" s="9" t="n">
        <x:v>0</x:v>
      </x:c>
    </x:row>
    <x:row r="714" ht="34" customHeight="1">
      <x:c r="A714" s="4" t="str">
        <x:v>RS-00368-I1</x:v>
      </x:c>
      <x:c r="B714" s="4" t="str">
        <x:v>RS-00368</x:v>
      </x:c>
      <x:c r="C714" s="9" t="n">
        <x:v>1</x:v>
      </x:c>
      <x:c r="D714" s="8" t="n">
        <x:v>45295</x:v>
      </x:c>
      <x:c r="E714" s="9" t="n">
        <x:v>4138500</x:v>
      </x:c>
      <x:c r="F714" s="9" t="n">
        <x:v>4138500</x:v>
      </x:c>
    </x:row>
    <x:row r="715" ht="34" customHeight="1">
      <x:c r="A715" s="4" t="str">
        <x:v>RS-00368-I2</x:v>
      </x:c>
      <x:c r="B715" s="4" t="str">
        <x:v>RS-00368</x:v>
      </x:c>
      <x:c r="C715" s="9" t="n">
        <x:v>2</x:v>
      </x:c>
      <x:c r="D715" s="8" t="n">
        <x:v>45325</x:v>
      </x:c>
      <x:c r="E715" s="9" t="n">
        <x:v>4138500</x:v>
      </x:c>
      <x:c r="F715" s="9" t="n">
        <x:v>4138500</x:v>
      </x:c>
    </x:row>
    <x:row r="716" ht="34" customHeight="1">
      <x:c r="A716" s="4" t="str">
        <x:v>RS-00368-I3</x:v>
      </x:c>
      <x:c r="B716" s="4" t="str">
        <x:v>RS-00368</x:v>
      </x:c>
      <x:c r="C716" s="9" t="n">
        <x:v>3</x:v>
      </x:c>
      <x:c r="D716" s="8" t="n">
        <x:v>45355</x:v>
      </x:c>
      <x:c r="E716" s="9" t="n">
        <x:v>4138500</x:v>
      </x:c>
      <x:c r="F716" s="9" t="n">
        <x:v>0</x:v>
      </x:c>
    </x:row>
    <x:row r="717" ht="34" customHeight="1">
      <x:c r="A717" s="4" t="str">
        <x:v>RS-00368-I4</x:v>
      </x:c>
      <x:c r="B717" s="4" t="str">
        <x:v>RS-00368</x:v>
      </x:c>
      <x:c r="C717" s="9" t="n">
        <x:v>4</x:v>
      </x:c>
      <x:c r="D717" s="8" t="n">
        <x:v>45385</x:v>
      </x:c>
      <x:c r="E717" s="9" t="n">
        <x:v>4138500</x:v>
      </x:c>
      <x:c r="F717" s="9" t="n">
        <x:v>0</x:v>
      </x:c>
    </x:row>
    <x:row r="718" ht="34" customHeight="1">
      <x:c r="A718" s="4" t="str">
        <x:v>RS-00380-I1</x:v>
      </x:c>
      <x:c r="B718" s="4" t="str">
        <x:v>RS-00380</x:v>
      </x:c>
      <x:c r="C718" s="9" t="n">
        <x:v>1</x:v>
      </x:c>
      <x:c r="D718" s="8" t="n">
        <x:v>45307</x:v>
      </x:c>
      <x:c r="E718" s="9" t="n">
        <x:v>1675000</x:v>
      </x:c>
      <x:c r="F718" s="9" t="n">
        <x:v>1675000</x:v>
      </x:c>
    </x:row>
    <x:row r="719" ht="34" customHeight="1">
      <x:c r="A719" s="4" t="str">
        <x:v>RS-00380-I2</x:v>
      </x:c>
      <x:c r="B719" s="4" t="str">
        <x:v>RS-00380</x:v>
      </x:c>
      <x:c r="C719" s="9" t="n">
        <x:v>2</x:v>
      </x:c>
      <x:c r="D719" s="8" t="n">
        <x:v>45337</x:v>
      </x:c>
      <x:c r="E719" s="9" t="n">
        <x:v>1675000</x:v>
      </x:c>
      <x:c r="F719" s="9" t="n">
        <x:v>0</x:v>
      </x:c>
    </x:row>
    <x:row r="720" ht="34" customHeight="1">
      <x:c r="A720" s="4" t="str">
        <x:v>RS-00380-I3</x:v>
      </x:c>
      <x:c r="B720" s="4" t="str">
        <x:v>RS-00380</x:v>
      </x:c>
      <x:c r="C720" s="9" t="n">
        <x:v>3</x:v>
      </x:c>
      <x:c r="D720" s="8" t="n">
        <x:v>45367</x:v>
      </x:c>
      <x:c r="E720" s="9" t="n">
        <x:v>1675000</x:v>
      </x:c>
      <x:c r="F720" s="9" t="n">
        <x:v>0</x:v>
      </x:c>
    </x:row>
    <x:row r="721" ht="34" customHeight="1">
      <x:c r="A721" s="4" t="str">
        <x:v>RS-00380-I4</x:v>
      </x:c>
      <x:c r="B721" s="4" t="str">
        <x:v>RS-00380</x:v>
      </x:c>
      <x:c r="C721" s="9" t="n">
        <x:v>4</x:v>
      </x:c>
      <x:c r="D721" s="8" t="n">
        <x:v>45397</x:v>
      </x:c>
      <x:c r="E721" s="9" t="n">
        <x:v>1675000</x:v>
      </x:c>
      <x:c r="F721" s="9" t="n">
        <x:v>0</x:v>
      </x:c>
    </x:row>
    <x:row r="722" ht="34" customHeight="1">
      <x:c r="A722" s="4" t="str">
        <x:v>RS-00383-I1</x:v>
      </x:c>
      <x:c r="B722" s="4" t="str">
        <x:v>RS-00383</x:v>
      </x:c>
      <x:c r="C722" s="9" t="n">
        <x:v>1</x:v>
      </x:c>
      <x:c r="D722" s="8" t="n">
        <x:v>45310</x:v>
      </x:c>
      <x:c r="E722" s="9" t="n">
        <x:v>2825750</x:v>
      </x:c>
      <x:c r="F722" s="9" t="n">
        <x:v>2825750</x:v>
      </x:c>
    </x:row>
    <x:row r="723" ht="34" customHeight="1">
      <x:c r="A723" s="4" t="str">
        <x:v>RS-00383-I2</x:v>
      </x:c>
      <x:c r="B723" s="4" t="str">
        <x:v>RS-00383</x:v>
      </x:c>
      <x:c r="C723" s="9" t="n">
        <x:v>2</x:v>
      </x:c>
      <x:c r="D723" s="8" t="n">
        <x:v>45340</x:v>
      </x:c>
      <x:c r="E723" s="9" t="n">
        <x:v>2825750</x:v>
      </x:c>
      <x:c r="F723" s="9" t="n">
        <x:v>0</x:v>
      </x:c>
    </x:row>
    <x:row r="724" ht="34" customHeight="1">
      <x:c r="A724" s="4" t="str">
        <x:v>RS-00383-I3</x:v>
      </x:c>
      <x:c r="B724" s="4" t="str">
        <x:v>RS-00383</x:v>
      </x:c>
      <x:c r="C724" s="9" t="n">
        <x:v>3</x:v>
      </x:c>
      <x:c r="D724" s="8" t="n">
        <x:v>45370</x:v>
      </x:c>
      <x:c r="E724" s="9" t="n">
        <x:v>2825750</x:v>
      </x:c>
      <x:c r="F724" s="9" t="n">
        <x:v>0</x:v>
      </x:c>
    </x:row>
    <x:row r="725" ht="34" customHeight="1">
      <x:c r="A725" s="4" t="str">
        <x:v>RS-00383-I4</x:v>
      </x:c>
      <x:c r="B725" s="4" t="str">
        <x:v>RS-00383</x:v>
      </x:c>
      <x:c r="C725" s="9" t="n">
        <x:v>4</x:v>
      </x:c>
      <x:c r="D725" s="8" t="n">
        <x:v>45400</x:v>
      </x:c>
      <x:c r="E725" s="9" t="n">
        <x:v>2825750</x:v>
      </x:c>
      <x:c r="F725" s="9" t="n">
        <x:v>0</x:v>
      </x:c>
    </x:row>
    <x:row r="726" ht="34" customHeight="1">
      <x:c r="A726" s="4" t="str">
        <x:v>RS-00387-I1</x:v>
      </x:c>
      <x:c r="B726" s="4" t="str">
        <x:v>RS-00387</x:v>
      </x:c>
      <x:c r="C726" s="9" t="n">
        <x:v>1</x:v>
      </x:c>
      <x:c r="D726" s="8" t="n">
        <x:v>45314</x:v>
      </x:c>
      <x:c r="E726" s="9" t="n">
        <x:v>1875000</x:v>
      </x:c>
      <x:c r="F726" s="9" t="n">
        <x:v>1875000</x:v>
      </x:c>
    </x:row>
    <x:row r="727" ht="34" customHeight="1">
      <x:c r="A727" s="4" t="str">
        <x:v>RS-00387-I2</x:v>
      </x:c>
      <x:c r="B727" s="4" t="str">
        <x:v>RS-00387</x:v>
      </x:c>
      <x:c r="C727" s="9" t="n">
        <x:v>2</x:v>
      </x:c>
      <x:c r="D727" s="8" t="n">
        <x:v>45344</x:v>
      </x:c>
      <x:c r="E727" s="9" t="n">
        <x:v>1875000</x:v>
      </x:c>
      <x:c r="F727" s="9" t="n">
        <x:v>1875000</x:v>
      </x:c>
    </x:row>
    <x:row r="728" ht="34" customHeight="1">
      <x:c r="A728" s="4" t="str">
        <x:v>RS-00387-I3</x:v>
      </x:c>
      <x:c r="B728" s="4" t="str">
        <x:v>RS-00387</x:v>
      </x:c>
      <x:c r="C728" s="9" t="n">
        <x:v>3</x:v>
      </x:c>
      <x:c r="D728" s="8" t="n">
        <x:v>45374</x:v>
      </x:c>
      <x:c r="E728" s="9" t="n">
        <x:v>1875000</x:v>
      </x:c>
      <x:c r="F728" s="9" t="n">
        <x:v>1875000</x:v>
      </x:c>
    </x:row>
    <x:row r="729" ht="34" customHeight="1">
      <x:c r="A729" s="4" t="str">
        <x:v>RS-00387-I4</x:v>
      </x:c>
      <x:c r="B729" s="4" t="str">
        <x:v>RS-00387</x:v>
      </x:c>
      <x:c r="C729" s="9" t="n">
        <x:v>4</x:v>
      </x:c>
      <x:c r="D729" s="8" t="n">
        <x:v>45404</x:v>
      </x:c>
      <x:c r="E729" s="9" t="n">
        <x:v>1875000</x:v>
      </x:c>
      <x:c r="F729" s="9" t="n">
        <x:v>1875000</x:v>
      </x:c>
    </x:row>
    <x:row r="730" ht="34" customHeight="1">
      <x:c r="A730" s="4" t="str">
        <x:v>RS-00388-I1</x:v>
      </x:c>
      <x:c r="B730" s="4" t="str">
        <x:v>RS-00388</x:v>
      </x:c>
      <x:c r="C730" s="9" t="n">
        <x:v>1</x:v>
      </x:c>
      <x:c r="D730" s="8" t="n">
        <x:v>45315</x:v>
      </x:c>
      <x:c r="E730" s="9" t="n">
        <x:v>2618000</x:v>
      </x:c>
      <x:c r="F730" s="9" t="n">
        <x:v>2618000</x:v>
      </x:c>
    </x:row>
    <x:row r="731" ht="34" customHeight="1">
      <x:c r="A731" s="4" t="str">
        <x:v>RS-00388-I2</x:v>
      </x:c>
      <x:c r="B731" s="4" t="str">
        <x:v>RS-00388</x:v>
      </x:c>
      <x:c r="C731" s="9" t="n">
        <x:v>2</x:v>
      </x:c>
      <x:c r="D731" s="8" t="n">
        <x:v>45345</x:v>
      </x:c>
      <x:c r="E731" s="9" t="n">
        <x:v>2618000</x:v>
      </x:c>
      <x:c r="F731" s="9" t="n">
        <x:v>2618000</x:v>
      </x:c>
    </x:row>
    <x:row r="732" ht="34" customHeight="1">
      <x:c r="A732" s="4" t="str">
        <x:v>RS-00388-I3</x:v>
      </x:c>
      <x:c r="B732" s="4" t="str">
        <x:v>RS-00388</x:v>
      </x:c>
      <x:c r="C732" s="9" t="n">
        <x:v>3</x:v>
      </x:c>
      <x:c r="D732" s="8" t="n">
        <x:v>45375</x:v>
      </x:c>
      <x:c r="E732" s="9" t="n">
        <x:v>2618000</x:v>
      </x:c>
      <x:c r="F732" s="9" t="n">
        <x:v>2618000</x:v>
      </x:c>
    </x:row>
    <x:row r="733" ht="34" customHeight="1">
      <x:c r="A733" s="4" t="str">
        <x:v>RS-00388-I4</x:v>
      </x:c>
      <x:c r="B733" s="4" t="str">
        <x:v>RS-00388</x:v>
      </x:c>
      <x:c r="C733" s="9" t="n">
        <x:v>4</x:v>
      </x:c>
      <x:c r="D733" s="8" t="n">
        <x:v>45405</x:v>
      </x:c>
      <x:c r="E733" s="9" t="n">
        <x:v>2618000</x:v>
      </x:c>
      <x:c r="F733" s="9" t="n">
        <x:v>2618000</x:v>
      </x:c>
    </x:row>
    <x:row r="734" ht="34" customHeight="1">
      <x:c r="A734" s="4" t="str">
        <x:v>RS-00389-I1</x:v>
      </x:c>
      <x:c r="B734" s="4" t="str">
        <x:v>RS-00389</x:v>
      </x:c>
      <x:c r="C734" s="9" t="n">
        <x:v>1</x:v>
      </x:c>
      <x:c r="D734" s="8" t="n">
        <x:v>45316</x:v>
      </x:c>
      <x:c r="E734" s="9" t="n">
        <x:v>1339500</x:v>
      </x:c>
      <x:c r="F734" s="9" t="n">
        <x:v>1339500</x:v>
      </x:c>
    </x:row>
    <x:row r="735" ht="34" customHeight="1">
      <x:c r="A735" s="4" t="str">
        <x:v>RS-00389-I2</x:v>
      </x:c>
      <x:c r="B735" s="4" t="str">
        <x:v>RS-00389</x:v>
      </x:c>
      <x:c r="C735" s="9" t="n">
        <x:v>2</x:v>
      </x:c>
      <x:c r="D735" s="8" t="n">
        <x:v>45346</x:v>
      </x:c>
      <x:c r="E735" s="9" t="n">
        <x:v>1339500</x:v>
      </x:c>
      <x:c r="F735" s="9" t="n">
        <x:v>0</x:v>
      </x:c>
    </x:row>
    <x:row r="736" ht="34" customHeight="1">
      <x:c r="A736" s="4" t="str">
        <x:v>RS-00389-I3</x:v>
      </x:c>
      <x:c r="B736" s="4" t="str">
        <x:v>RS-00389</x:v>
      </x:c>
      <x:c r="C736" s="9" t="n">
        <x:v>3</x:v>
      </x:c>
      <x:c r="D736" s="8" t="n">
        <x:v>45376</x:v>
      </x:c>
      <x:c r="E736" s="9" t="n">
        <x:v>1339500</x:v>
      </x:c>
      <x:c r="F736" s="9" t="n">
        <x:v>0</x:v>
      </x:c>
    </x:row>
    <x:row r="737" ht="34" customHeight="1">
      <x:c r="A737" s="4" t="str">
        <x:v>RS-00389-I4</x:v>
      </x:c>
      <x:c r="B737" s="4" t="str">
        <x:v>RS-00389</x:v>
      </x:c>
      <x:c r="C737" s="9" t="n">
        <x:v>4</x:v>
      </x:c>
      <x:c r="D737" s="8" t="n">
        <x:v>45406</x:v>
      </x:c>
      <x:c r="E737" s="9" t="n">
        <x:v>1339500</x:v>
      </x:c>
      <x:c r="F737" s="9" t="n">
        <x:v>0</x:v>
      </x:c>
    </x:row>
    <x:row r="738" ht="34" customHeight="1">
      <x:c r="A738" s="4" t="str">
        <x:v>RS-00390-I1</x:v>
      </x:c>
      <x:c r="B738" s="4" t="str">
        <x:v>RS-00390</x:v>
      </x:c>
      <x:c r="C738" s="9" t="n">
        <x:v>1</x:v>
      </x:c>
      <x:c r="D738" s="8" t="n">
        <x:v>45317</x:v>
      </x:c>
      <x:c r="E738" s="9" t="n">
        <x:v>2861500</x:v>
      </x:c>
      <x:c r="F738" s="9" t="n">
        <x:v>2861500</x:v>
      </x:c>
    </x:row>
    <x:row r="739" ht="34" customHeight="1">
      <x:c r="A739" s="4" t="str">
        <x:v>RS-00390-I2</x:v>
      </x:c>
      <x:c r="B739" s="4" t="str">
        <x:v>RS-00390</x:v>
      </x:c>
      <x:c r="C739" s="9" t="n">
        <x:v>2</x:v>
      </x:c>
      <x:c r="D739" s="8" t="n">
        <x:v>45347</x:v>
      </x:c>
      <x:c r="E739" s="9" t="n">
        <x:v>2861500</x:v>
      </x:c>
      <x:c r="F739" s="9" t="n">
        <x:v>0</x:v>
      </x:c>
    </x:row>
    <x:row r="740" ht="34" customHeight="1">
      <x:c r="A740" s="4" t="str">
        <x:v>RS-00390-I3</x:v>
      </x:c>
      <x:c r="B740" s="4" t="str">
        <x:v>RS-00390</x:v>
      </x:c>
      <x:c r="C740" s="9" t="n">
        <x:v>3</x:v>
      </x:c>
      <x:c r="D740" s="8" t="n">
        <x:v>45377</x:v>
      </x:c>
      <x:c r="E740" s="9" t="n">
        <x:v>2861500</x:v>
      </x:c>
      <x:c r="F740" s="9" t="n">
        <x:v>0</x:v>
      </x:c>
    </x:row>
    <x:row r="741" ht="34" customHeight="1">
      <x:c r="A741" s="4" t="str">
        <x:v>RS-00390-I4</x:v>
      </x:c>
      <x:c r="B741" s="4" t="str">
        <x:v>RS-00390</x:v>
      </x:c>
      <x:c r="C741" s="9" t="n">
        <x:v>4</x:v>
      </x:c>
      <x:c r="D741" s="8" t="n">
        <x:v>45407</x:v>
      </x:c>
      <x:c r="E741" s="9" t="n">
        <x:v>2861500</x:v>
      </x:c>
      <x:c r="F741" s="9" t="n">
        <x:v>0</x:v>
      </x:c>
    </x:row>
    <x:row r="742" ht="34" customHeight="1">
      <x:c r="A742" s="4" t="str">
        <x:v>RS-00391-I1</x:v>
      </x:c>
      <x:c r="B742" s="4" t="str">
        <x:v>RS-00391</x:v>
      </x:c>
      <x:c r="C742" s="9" t="n">
        <x:v>1</x:v>
      </x:c>
      <x:c r="D742" s="8" t="n">
        <x:v>45318</x:v>
      </x:c>
      <x:c r="E742" s="9" t="n">
        <x:v>1820000</x:v>
      </x:c>
      <x:c r="F742" s="9" t="n">
        <x:v>728000</x:v>
      </x:c>
    </x:row>
    <x:row r="743" ht="34" customHeight="1">
      <x:c r="A743" s="4" t="str">
        <x:v>RS-00391-I2</x:v>
      </x:c>
      <x:c r="B743" s="4" t="str">
        <x:v>RS-00391</x:v>
      </x:c>
      <x:c r="C743" s="9" t="n">
        <x:v>2</x:v>
      </x:c>
      <x:c r="D743" s="8" t="n">
        <x:v>45348</x:v>
      </x:c>
      <x:c r="E743" s="9" t="n">
        <x:v>1820000</x:v>
      </x:c>
      <x:c r="F743" s="9" t="n">
        <x:v>0</x:v>
      </x:c>
    </x:row>
    <x:row r="744" ht="34" customHeight="1">
      <x:c r="A744" s="4" t="str">
        <x:v>RS-00391-I3</x:v>
      </x:c>
      <x:c r="B744" s="4" t="str">
        <x:v>RS-00391</x:v>
      </x:c>
      <x:c r="C744" s="9" t="n">
        <x:v>3</x:v>
      </x:c>
      <x:c r="D744" s="8" t="n">
        <x:v>45378</x:v>
      </x:c>
      <x:c r="E744" s="9" t="n">
        <x:v>1820000</x:v>
      </x:c>
      <x:c r="F744" s="9" t="n">
        <x:v>0</x:v>
      </x:c>
    </x:row>
    <x:row r="745" ht="34" customHeight="1">
      <x:c r="A745" s="4" t="str">
        <x:v>RS-00391-I4</x:v>
      </x:c>
      <x:c r="B745" s="4" t="str">
        <x:v>RS-00391</x:v>
      </x:c>
      <x:c r="C745" s="9" t="n">
        <x:v>4</x:v>
      </x:c>
      <x:c r="D745" s="8" t="n">
        <x:v>45408</x:v>
      </x:c>
      <x:c r="E745" s="9" t="n">
        <x:v>1820000</x:v>
      </x:c>
      <x:c r="F745" s="9" t="n">
        <x:v>0</x:v>
      </x:c>
    </x:row>
    <x:row r="746" ht="34" customHeight="1">
      <x:c r="A746" s="4" t="str">
        <x:v>RS-00393-I1</x:v>
      </x:c>
      <x:c r="B746" s="4" t="str">
        <x:v>RS-00393</x:v>
      </x:c>
      <x:c r="C746" s="9" t="n">
        <x:v>1</x:v>
      </x:c>
      <x:c r="D746" s="8" t="n">
        <x:v>45292</x:v>
      </x:c>
      <x:c r="E746" s="9" t="n">
        <x:v>2411500</x:v>
      </x:c>
      <x:c r="F746" s="9" t="n">
        <x:v>2411500</x:v>
      </x:c>
    </x:row>
    <x:row r="747" ht="34" customHeight="1">
      <x:c r="A747" s="4" t="str">
        <x:v>RS-00393-I2</x:v>
      </x:c>
      <x:c r="B747" s="4" t="str">
        <x:v>RS-00393</x:v>
      </x:c>
      <x:c r="C747" s="9" t="n">
        <x:v>2</x:v>
      </x:c>
      <x:c r="D747" s="8" t="n">
        <x:v>45322</x:v>
      </x:c>
      <x:c r="E747" s="9" t="n">
        <x:v>2411500</x:v>
      </x:c>
      <x:c r="F747" s="9" t="n">
        <x:v>2411500</x:v>
      </x:c>
    </x:row>
    <x:row r="748" ht="34" customHeight="1">
      <x:c r="A748" s="4" t="str">
        <x:v>RS-00393-I3</x:v>
      </x:c>
      <x:c r="B748" s="4" t="str">
        <x:v>RS-00393</x:v>
      </x:c>
      <x:c r="C748" s="9" t="n">
        <x:v>3</x:v>
      </x:c>
      <x:c r="D748" s="8" t="n">
        <x:v>45352</x:v>
      </x:c>
      <x:c r="E748" s="9" t="n">
        <x:v>2411500</x:v>
      </x:c>
      <x:c r="F748" s="9" t="n">
        <x:v>2411500</x:v>
      </x:c>
    </x:row>
    <x:row r="749" ht="34" customHeight="1">
      <x:c r="A749" s="4" t="str">
        <x:v>RS-00393-I4</x:v>
      </x:c>
      <x:c r="B749" s="4" t="str">
        <x:v>RS-00393</x:v>
      </x:c>
      <x:c r="C749" s="9" t="n">
        <x:v>4</x:v>
      </x:c>
      <x:c r="D749" s="8" t="n">
        <x:v>45382</x:v>
      </x:c>
      <x:c r="E749" s="9" t="n">
        <x:v>2411500</x:v>
      </x:c>
      <x:c r="F749" s="9" t="n">
        <x:v>2411500</x:v>
      </x:c>
    </x:row>
    <x:row r="750" ht="34" customHeight="1">
      <x:c r="A750" s="4" t="str">
        <x:v>RS-00395-I1</x:v>
      </x:c>
      <x:c r="B750" s="4" t="str">
        <x:v>RS-00395</x:v>
      </x:c>
      <x:c r="C750" s="9" t="n">
        <x:v>1</x:v>
      </x:c>
      <x:c r="D750" s="8" t="n">
        <x:v>45294</x:v>
      </x:c>
      <x:c r="E750" s="9" t="n">
        <x:v>1552500</x:v>
      </x:c>
      <x:c r="F750" s="9" t="n">
        <x:v>1552500</x:v>
      </x:c>
    </x:row>
    <x:row r="751" ht="34" customHeight="1">
      <x:c r="A751" s="4" t="str">
        <x:v>RS-00395-I2</x:v>
      </x:c>
      <x:c r="B751" s="4" t="str">
        <x:v>RS-00395</x:v>
      </x:c>
      <x:c r="C751" s="9" t="n">
        <x:v>2</x:v>
      </x:c>
      <x:c r="D751" s="8" t="n">
        <x:v>45324</x:v>
      </x:c>
      <x:c r="E751" s="9" t="n">
        <x:v>1552500</x:v>
      </x:c>
      <x:c r="F751" s="9" t="n">
        <x:v>0</x:v>
      </x:c>
    </x:row>
    <x:row r="752" ht="34" customHeight="1">
      <x:c r="A752" s="4" t="str">
        <x:v>RS-00395-I3</x:v>
      </x:c>
      <x:c r="B752" s="4" t="str">
        <x:v>RS-00395</x:v>
      </x:c>
      <x:c r="C752" s="9" t="n">
        <x:v>3</x:v>
      </x:c>
      <x:c r="D752" s="8" t="n">
        <x:v>45354</x:v>
      </x:c>
      <x:c r="E752" s="9" t="n">
        <x:v>1552500</x:v>
      </x:c>
      <x:c r="F752" s="9" t="n">
        <x:v>0</x:v>
      </x:c>
    </x:row>
    <x:row r="753" ht="34" customHeight="1">
      <x:c r="A753" s="4" t="str">
        <x:v>RS-00395-I4</x:v>
      </x:c>
      <x:c r="B753" s="4" t="str">
        <x:v>RS-00395</x:v>
      </x:c>
      <x:c r="C753" s="9" t="n">
        <x:v>4</x:v>
      </x:c>
      <x:c r="D753" s="8" t="n">
        <x:v>45384</x:v>
      </x:c>
      <x:c r="E753" s="9" t="n">
        <x:v>1552500</x:v>
      </x:c>
      <x:c r="F753" s="9" t="n">
        <x:v>0</x:v>
      </x:c>
    </x:row>
    <x:row r="754" ht="34" customHeight="1">
      <x:c r="A754" s="4" t="str">
        <x:v>RS-00398-I1</x:v>
      </x:c>
      <x:c r="B754" s="4" t="str">
        <x:v>RS-00398</x:v>
      </x:c>
      <x:c r="C754" s="9" t="n">
        <x:v>1</x:v>
      </x:c>
      <x:c r="D754" s="8" t="n">
        <x:v>45297</x:v>
      </x:c>
      <x:c r="E754" s="9" t="n">
        <x:v>3096000</x:v>
      </x:c>
      <x:c r="F754" s="9" t="n">
        <x:v>1238400</x:v>
      </x:c>
    </x:row>
    <x:row r="755" ht="34" customHeight="1">
      <x:c r="A755" s="4" t="str">
        <x:v>RS-00398-I2</x:v>
      </x:c>
      <x:c r="B755" s="4" t="str">
        <x:v>RS-00398</x:v>
      </x:c>
      <x:c r="C755" s="9" t="n">
        <x:v>2</x:v>
      </x:c>
      <x:c r="D755" s="8" t="n">
        <x:v>45327</x:v>
      </x:c>
      <x:c r="E755" s="9" t="n">
        <x:v>3096000</x:v>
      </x:c>
      <x:c r="F755" s="9" t="n">
        <x:v>0</x:v>
      </x:c>
    </x:row>
    <x:row r="756" ht="34" customHeight="1">
      <x:c r="A756" s="4" t="str">
        <x:v>RS-00398-I3</x:v>
      </x:c>
      <x:c r="B756" s="4" t="str">
        <x:v>RS-00398</x:v>
      </x:c>
      <x:c r="C756" s="9" t="n">
        <x:v>3</x:v>
      </x:c>
      <x:c r="D756" s="8" t="n">
        <x:v>45357</x:v>
      </x:c>
      <x:c r="E756" s="9" t="n">
        <x:v>3096000</x:v>
      </x:c>
      <x:c r="F756" s="9" t="n">
        <x:v>0</x:v>
      </x:c>
    </x:row>
    <x:row r="757" ht="34" customHeight="1">
      <x:c r="A757" s="4" t="str">
        <x:v>RS-00398-I4</x:v>
      </x:c>
      <x:c r="B757" s="4" t="str">
        <x:v>RS-00398</x:v>
      </x:c>
      <x:c r="C757" s="9" t="n">
        <x:v>4</x:v>
      </x:c>
      <x:c r="D757" s="8" t="n">
        <x:v>45387</x:v>
      </x:c>
      <x:c r="E757" s="9" t="n">
        <x:v>3096000</x:v>
      </x:c>
      <x:c r="F757" s="9" t="n">
        <x:v>0</x:v>
      </x:c>
    </x:row>
    <x:row r="758" ht="34" customHeight="1">
      <x:c r="A758" s="4" t="str">
        <x:v>RS-00401-I1</x:v>
      </x:c>
      <x:c r="B758" s="4" t="str">
        <x:v>RS-00401</x:v>
      </x:c>
      <x:c r="C758" s="9" t="n">
        <x:v>1</x:v>
      </x:c>
      <x:c r="D758" s="8" t="n">
        <x:v>45300</x:v>
      </x:c>
      <x:c r="E758" s="9" t="n">
        <x:v>994250</x:v>
      </x:c>
      <x:c r="F758" s="9" t="n">
        <x:v>397700</x:v>
      </x:c>
    </x:row>
    <x:row r="759" ht="34" customHeight="1">
      <x:c r="A759" s="4" t="str">
        <x:v>RS-00401-I2</x:v>
      </x:c>
      <x:c r="B759" s="4" t="str">
        <x:v>RS-00401</x:v>
      </x:c>
      <x:c r="C759" s="9" t="n">
        <x:v>2</x:v>
      </x:c>
      <x:c r="D759" s="8" t="n">
        <x:v>45330</x:v>
      </x:c>
      <x:c r="E759" s="9" t="n">
        <x:v>994250</x:v>
      </x:c>
      <x:c r="F759" s="9" t="n">
        <x:v>0</x:v>
      </x:c>
    </x:row>
    <x:row r="760" ht="34" customHeight="1">
      <x:c r="A760" s="4" t="str">
        <x:v>RS-00401-I3</x:v>
      </x:c>
      <x:c r="B760" s="4" t="str">
        <x:v>RS-00401</x:v>
      </x:c>
      <x:c r="C760" s="9" t="n">
        <x:v>3</x:v>
      </x:c>
      <x:c r="D760" s="8" t="n">
        <x:v>45360</x:v>
      </x:c>
      <x:c r="E760" s="9" t="n">
        <x:v>994250</x:v>
      </x:c>
      <x:c r="F760" s="9" t="n">
        <x:v>0</x:v>
      </x:c>
    </x:row>
    <x:row r="761" ht="34" customHeight="1">
      <x:c r="A761" s="4" t="str">
        <x:v>RS-00401-I4</x:v>
      </x:c>
      <x:c r="B761" s="4" t="str">
        <x:v>RS-00401</x:v>
      </x:c>
      <x:c r="C761" s="9" t="n">
        <x:v>4</x:v>
      </x:c>
      <x:c r="D761" s="8" t="n">
        <x:v>45390</x:v>
      </x:c>
      <x:c r="E761" s="9" t="n">
        <x:v>994250</x:v>
      </x:c>
      <x:c r="F761" s="9" t="n">
        <x:v>0</x:v>
      </x:c>
    </x:row>
    <x:row r="762" ht="34" customHeight="1">
      <x:c r="A762" s="4" t="str">
        <x:v>RS-00404-I1</x:v>
      </x:c>
      <x:c r="B762" s="4" t="str">
        <x:v>RS-00404</x:v>
      </x:c>
      <x:c r="C762" s="9" t="n">
        <x:v>1</x:v>
      </x:c>
      <x:c r="D762" s="8" t="n">
        <x:v>45303</x:v>
      </x:c>
      <x:c r="E762" s="9" t="n">
        <x:v>3417750</x:v>
      </x:c>
      <x:c r="F762" s="9" t="n">
        <x:v>3417750</x:v>
      </x:c>
    </x:row>
    <x:row r="763" ht="34" customHeight="1">
      <x:c r="A763" s="4" t="str">
        <x:v>RS-00404-I2</x:v>
      </x:c>
      <x:c r="B763" s="4" t="str">
        <x:v>RS-00404</x:v>
      </x:c>
      <x:c r="C763" s="9" t="n">
        <x:v>2</x:v>
      </x:c>
      <x:c r="D763" s="8" t="n">
        <x:v>45333</x:v>
      </x:c>
      <x:c r="E763" s="9" t="n">
        <x:v>3417750</x:v>
      </x:c>
      <x:c r="F763" s="9" t="n">
        <x:v>3417750</x:v>
      </x:c>
    </x:row>
    <x:row r="764" ht="34" customHeight="1">
      <x:c r="A764" s="4" t="str">
        <x:v>RS-00404-I3</x:v>
      </x:c>
      <x:c r="B764" s="4" t="str">
        <x:v>RS-00404</x:v>
      </x:c>
      <x:c r="C764" s="9" t="n">
        <x:v>3</x:v>
      </x:c>
      <x:c r="D764" s="8" t="n">
        <x:v>45363</x:v>
      </x:c>
      <x:c r="E764" s="9" t="n">
        <x:v>3417750</x:v>
      </x:c>
      <x:c r="F764" s="9" t="n">
        <x:v>0</x:v>
      </x:c>
    </x:row>
    <x:row r="765" ht="34" customHeight="1">
      <x:c r="A765" s="4" t="str">
        <x:v>RS-00404-I4</x:v>
      </x:c>
      <x:c r="B765" s="4" t="str">
        <x:v>RS-00404</x:v>
      </x:c>
      <x:c r="C765" s="9" t="n">
        <x:v>4</x:v>
      </x:c>
      <x:c r="D765" s="8" t="n">
        <x:v>45393</x:v>
      </x:c>
      <x:c r="E765" s="9" t="n">
        <x:v>3417750</x:v>
      </x:c>
      <x:c r="F765" s="9" t="n">
        <x:v>0</x:v>
      </x:c>
    </x:row>
    <x:row r="766" ht="34" customHeight="1">
      <x:c r="A766" s="4" t="str">
        <x:v>RS-00405-I1</x:v>
      </x:c>
      <x:c r="B766" s="4" t="str">
        <x:v>RS-00405</x:v>
      </x:c>
      <x:c r="C766" s="9" t="n">
        <x:v>1</x:v>
      </x:c>
      <x:c r="D766" s="8" t="n">
        <x:v>45304</x:v>
      </x:c>
      <x:c r="E766" s="9" t="n">
        <x:v>3192750</x:v>
      </x:c>
      <x:c r="F766" s="9" t="n">
        <x:v>1277100</x:v>
      </x:c>
    </x:row>
    <x:row r="767" ht="34" customHeight="1">
      <x:c r="A767" s="4" t="str">
        <x:v>RS-00405-I2</x:v>
      </x:c>
      <x:c r="B767" s="4" t="str">
        <x:v>RS-00405</x:v>
      </x:c>
      <x:c r="C767" s="9" t="n">
        <x:v>2</x:v>
      </x:c>
      <x:c r="D767" s="8" t="n">
        <x:v>45334</x:v>
      </x:c>
      <x:c r="E767" s="9" t="n">
        <x:v>3192750</x:v>
      </x:c>
      <x:c r="F767" s="9" t="n">
        <x:v>0</x:v>
      </x:c>
    </x:row>
    <x:row r="768" ht="34" customHeight="1">
      <x:c r="A768" s="4" t="str">
        <x:v>RS-00405-I3</x:v>
      </x:c>
      <x:c r="B768" s="4" t="str">
        <x:v>RS-00405</x:v>
      </x:c>
      <x:c r="C768" s="9" t="n">
        <x:v>3</x:v>
      </x:c>
      <x:c r="D768" s="8" t="n">
        <x:v>45364</x:v>
      </x:c>
      <x:c r="E768" s="9" t="n">
        <x:v>3192750</x:v>
      </x:c>
      <x:c r="F768" s="9" t="n">
        <x:v>0</x:v>
      </x:c>
    </x:row>
    <x:row r="769" ht="34" customHeight="1">
      <x:c r="A769" s="4" t="str">
        <x:v>RS-00405-I4</x:v>
      </x:c>
      <x:c r="B769" s="4" t="str">
        <x:v>RS-00405</x:v>
      </x:c>
      <x:c r="C769" s="9" t="n">
        <x:v>4</x:v>
      </x:c>
      <x:c r="D769" s="8" t="n">
        <x:v>45394</x:v>
      </x:c>
      <x:c r="E769" s="9" t="n">
        <x:v>3192750</x:v>
      </x:c>
      <x:c r="F769" s="9" t="n">
        <x:v>0</x:v>
      </x:c>
    </x:row>
    <x:row r="770" ht="34" customHeight="1">
      <x:c r="A770" s="4" t="str">
        <x:v>RS-00406-I1</x:v>
      </x:c>
      <x:c r="B770" s="4" t="str">
        <x:v>RS-00406</x:v>
      </x:c>
      <x:c r="C770" s="9" t="n">
        <x:v>1</x:v>
      </x:c>
      <x:c r="D770" s="8" t="n">
        <x:v>45305</x:v>
      </x:c>
      <x:c r="E770" s="9" t="n">
        <x:v>720000</x:v>
      </x:c>
      <x:c r="F770" s="9" t="n">
        <x:v>288000</x:v>
      </x:c>
    </x:row>
    <x:row r="771" ht="34" customHeight="1">
      <x:c r="A771" s="4" t="str">
        <x:v>RS-00406-I2</x:v>
      </x:c>
      <x:c r="B771" s="4" t="str">
        <x:v>RS-00406</x:v>
      </x:c>
      <x:c r="C771" s="9" t="n">
        <x:v>2</x:v>
      </x:c>
      <x:c r="D771" s="8" t="n">
        <x:v>45335</x:v>
      </x:c>
      <x:c r="E771" s="9" t="n">
        <x:v>720000</x:v>
      </x:c>
      <x:c r="F771" s="9" t="n">
        <x:v>0</x:v>
      </x:c>
    </x:row>
    <x:row r="772" ht="34" customHeight="1">
      <x:c r="A772" s="4" t="str">
        <x:v>RS-00406-I3</x:v>
      </x:c>
      <x:c r="B772" s="4" t="str">
        <x:v>RS-00406</x:v>
      </x:c>
      <x:c r="C772" s="9" t="n">
        <x:v>3</x:v>
      </x:c>
      <x:c r="D772" s="8" t="n">
        <x:v>45365</x:v>
      </x:c>
      <x:c r="E772" s="9" t="n">
        <x:v>720000</x:v>
      </x:c>
      <x:c r="F772" s="9" t="n">
        <x:v>0</x:v>
      </x:c>
    </x:row>
    <x:row r="773" ht="34" customHeight="1">
      <x:c r="A773" s="4" t="str">
        <x:v>RS-00406-I4</x:v>
      </x:c>
      <x:c r="B773" s="4" t="str">
        <x:v>RS-00406</x:v>
      </x:c>
      <x:c r="C773" s="9" t="n">
        <x:v>4</x:v>
      </x:c>
      <x:c r="D773" s="8" t="n">
        <x:v>45395</x:v>
      </x:c>
      <x:c r="E773" s="9" t="n">
        <x:v>720000</x:v>
      </x:c>
      <x:c r="F773" s="9" t="n">
        <x:v>0</x:v>
      </x:c>
    </x:row>
    <x:row r="774" ht="34" customHeight="1">
      <x:c r="A774" s="4" t="str">
        <x:v>RS-00408-I1</x:v>
      </x:c>
      <x:c r="B774" s="4" t="str">
        <x:v>RS-00408</x:v>
      </x:c>
      <x:c r="C774" s="9" t="n">
        <x:v>1</x:v>
      </x:c>
      <x:c r="D774" s="8" t="n">
        <x:v>45307</x:v>
      </x:c>
      <x:c r="E774" s="9" t="n">
        <x:v>2904000</x:v>
      </x:c>
      <x:c r="F774" s="9" t="n">
        <x:v>2904000</x:v>
      </x:c>
    </x:row>
    <x:row r="775" ht="34" customHeight="1">
      <x:c r="A775" s="4" t="str">
        <x:v>RS-00408-I2</x:v>
      </x:c>
      <x:c r="B775" s="4" t="str">
        <x:v>RS-00408</x:v>
      </x:c>
      <x:c r="C775" s="9" t="n">
        <x:v>2</x:v>
      </x:c>
      <x:c r="D775" s="8" t="n">
        <x:v>45337</x:v>
      </x:c>
      <x:c r="E775" s="9" t="n">
        <x:v>2904000</x:v>
      </x:c>
      <x:c r="F775" s="9" t="n">
        <x:v>0</x:v>
      </x:c>
    </x:row>
    <x:row r="776" ht="34" customHeight="1">
      <x:c r="A776" s="4" t="str">
        <x:v>RS-00408-I3</x:v>
      </x:c>
      <x:c r="B776" s="4" t="str">
        <x:v>RS-00408</x:v>
      </x:c>
      <x:c r="C776" s="9" t="n">
        <x:v>3</x:v>
      </x:c>
      <x:c r="D776" s="8" t="n">
        <x:v>45367</x:v>
      </x:c>
      <x:c r="E776" s="9" t="n">
        <x:v>2904000</x:v>
      </x:c>
      <x:c r="F776" s="9" t="n">
        <x:v>0</x:v>
      </x:c>
    </x:row>
    <x:row r="777" ht="34" customHeight="1">
      <x:c r="A777" s="4" t="str">
        <x:v>RS-00408-I4</x:v>
      </x:c>
      <x:c r="B777" s="4" t="str">
        <x:v>RS-00408</x:v>
      </x:c>
      <x:c r="C777" s="9" t="n">
        <x:v>4</x:v>
      </x:c>
      <x:c r="D777" s="8" t="n">
        <x:v>45397</x:v>
      </x:c>
      <x:c r="E777" s="9" t="n">
        <x:v>2904000</x:v>
      </x:c>
      <x:c r="F777" s="9" t="n">
        <x:v>0</x:v>
      </x:c>
    </x:row>
    <x:row r="778" ht="34" customHeight="1">
      <x:c r="A778" s="4" t="str">
        <x:v>RS-00410-I1</x:v>
      </x:c>
      <x:c r="B778" s="4" t="str">
        <x:v>RS-00410</x:v>
      </x:c>
      <x:c r="C778" s="9" t="n">
        <x:v>1</x:v>
      </x:c>
      <x:c r="D778" s="8" t="n">
        <x:v>45309</x:v>
      </x:c>
      <x:c r="E778" s="9" t="n">
        <x:v>1300000</x:v>
      </x:c>
      <x:c r="F778" s="9" t="n">
        <x:v>520000</x:v>
      </x:c>
    </x:row>
    <x:row r="779" ht="34" customHeight="1">
      <x:c r="A779" s="4" t="str">
        <x:v>RS-00410-I2</x:v>
      </x:c>
      <x:c r="B779" s="4" t="str">
        <x:v>RS-00410</x:v>
      </x:c>
      <x:c r="C779" s="9" t="n">
        <x:v>2</x:v>
      </x:c>
      <x:c r="D779" s="8" t="n">
        <x:v>45339</x:v>
      </x:c>
      <x:c r="E779" s="9" t="n">
        <x:v>1300000</x:v>
      </x:c>
      <x:c r="F779" s="9" t="n">
        <x:v>0</x:v>
      </x:c>
    </x:row>
    <x:row r="780" ht="34" customHeight="1">
      <x:c r="A780" s="4" t="str">
        <x:v>RS-00410-I3</x:v>
      </x:c>
      <x:c r="B780" s="4" t="str">
        <x:v>RS-00410</x:v>
      </x:c>
      <x:c r="C780" s="9" t="n">
        <x:v>3</x:v>
      </x:c>
      <x:c r="D780" s="8" t="n">
        <x:v>45369</x:v>
      </x:c>
      <x:c r="E780" s="9" t="n">
        <x:v>1300000</x:v>
      </x:c>
      <x:c r="F780" s="9" t="n">
        <x:v>0</x:v>
      </x:c>
    </x:row>
    <x:row r="781" ht="34" customHeight="1">
      <x:c r="A781" s="4" t="str">
        <x:v>RS-00410-I4</x:v>
      </x:c>
      <x:c r="B781" s="4" t="str">
        <x:v>RS-00410</x:v>
      </x:c>
      <x:c r="C781" s="9" t="n">
        <x:v>4</x:v>
      </x:c>
      <x:c r="D781" s="8" t="n">
        <x:v>45399</x:v>
      </x:c>
      <x:c r="E781" s="9" t="n">
        <x:v>1300000</x:v>
      </x:c>
      <x:c r="F781" s="9" t="n">
        <x:v>0</x:v>
      </x:c>
    </x:row>
    <x:row r="782" ht="34" customHeight="1">
      <x:c r="A782" s="4" t="str">
        <x:v>RS-00412-I1</x:v>
      </x:c>
      <x:c r="B782" s="4" t="str">
        <x:v>RS-00412</x:v>
      </x:c>
      <x:c r="C782" s="9" t="n">
        <x:v>1</x:v>
      </x:c>
      <x:c r="D782" s="8" t="n">
        <x:v>45311</x:v>
      </x:c>
      <x:c r="E782" s="9" t="n">
        <x:v>3841000</x:v>
      </x:c>
      <x:c r="F782" s="9" t="n">
        <x:v>3841000</x:v>
      </x:c>
    </x:row>
    <x:row r="783" ht="34" customHeight="1">
      <x:c r="A783" s="4" t="str">
        <x:v>RS-00412-I2</x:v>
      </x:c>
      <x:c r="B783" s="4" t="str">
        <x:v>RS-00412</x:v>
      </x:c>
      <x:c r="C783" s="9" t="n">
        <x:v>2</x:v>
      </x:c>
      <x:c r="D783" s="8" t="n">
        <x:v>45341</x:v>
      </x:c>
      <x:c r="E783" s="9" t="n">
        <x:v>3841000</x:v>
      </x:c>
      <x:c r="F783" s="9" t="n">
        <x:v>3841000</x:v>
      </x:c>
    </x:row>
    <x:row r="784" ht="34" customHeight="1">
      <x:c r="A784" s="4" t="str">
        <x:v>RS-00412-I3</x:v>
      </x:c>
      <x:c r="B784" s="4" t="str">
        <x:v>RS-00412</x:v>
      </x:c>
      <x:c r="C784" s="9" t="n">
        <x:v>3</x:v>
      </x:c>
      <x:c r="D784" s="8" t="n">
        <x:v>45371</x:v>
      </x:c>
      <x:c r="E784" s="9" t="n">
        <x:v>3841000</x:v>
      </x:c>
      <x:c r="F784" s="9" t="n">
        <x:v>3841000</x:v>
      </x:c>
    </x:row>
    <x:row r="785" ht="34" customHeight="1">
      <x:c r="A785" s="4" t="str">
        <x:v>RS-00412-I4</x:v>
      </x:c>
      <x:c r="B785" s="4" t="str">
        <x:v>RS-00412</x:v>
      </x:c>
      <x:c r="C785" s="9" t="n">
        <x:v>4</x:v>
      </x:c>
      <x:c r="D785" s="8" t="n">
        <x:v>45401</x:v>
      </x:c>
      <x:c r="E785" s="9" t="n">
        <x:v>3841000</x:v>
      </x:c>
      <x:c r="F785" s="9" t="n">
        <x:v>3841000</x:v>
      </x:c>
    </x:row>
    <x:row r="786" ht="34" customHeight="1">
      <x:c r="A786" s="4" t="str">
        <x:v>RS-00413-I1</x:v>
      </x:c>
      <x:c r="B786" s="4" t="str">
        <x:v>RS-00413</x:v>
      </x:c>
      <x:c r="C786" s="9" t="n">
        <x:v>1</x:v>
      </x:c>
      <x:c r="D786" s="8" t="n">
        <x:v>45312</x:v>
      </x:c>
      <x:c r="E786" s="9" t="n">
        <x:v>1955000</x:v>
      </x:c>
      <x:c r="F786" s="9" t="n">
        <x:v>782000</x:v>
      </x:c>
    </x:row>
    <x:row r="787" ht="34" customHeight="1">
      <x:c r="A787" s="4" t="str">
        <x:v>RS-00413-I2</x:v>
      </x:c>
      <x:c r="B787" s="4" t="str">
        <x:v>RS-00413</x:v>
      </x:c>
      <x:c r="C787" s="9" t="n">
        <x:v>2</x:v>
      </x:c>
      <x:c r="D787" s="8" t="n">
        <x:v>45342</x:v>
      </x:c>
      <x:c r="E787" s="9" t="n">
        <x:v>1955000</x:v>
      </x:c>
      <x:c r="F787" s="9" t="n">
        <x:v>0</x:v>
      </x:c>
    </x:row>
    <x:row r="788" ht="34" customHeight="1">
      <x:c r="A788" s="4" t="str">
        <x:v>RS-00413-I3</x:v>
      </x:c>
      <x:c r="B788" s="4" t="str">
        <x:v>RS-00413</x:v>
      </x:c>
      <x:c r="C788" s="9" t="n">
        <x:v>3</x:v>
      </x:c>
      <x:c r="D788" s="8" t="n">
        <x:v>45372</x:v>
      </x:c>
      <x:c r="E788" s="9" t="n">
        <x:v>1955000</x:v>
      </x:c>
      <x:c r="F788" s="9" t="n">
        <x:v>0</x:v>
      </x:c>
    </x:row>
    <x:row r="789" ht="34" customHeight="1">
      <x:c r="A789" s="4" t="str">
        <x:v>RS-00413-I4</x:v>
      </x:c>
      <x:c r="B789" s="4" t="str">
        <x:v>RS-00413</x:v>
      </x:c>
      <x:c r="C789" s="9" t="n">
        <x:v>4</x:v>
      </x:c>
      <x:c r="D789" s="8" t="n">
        <x:v>45402</x:v>
      </x:c>
      <x:c r="E789" s="9" t="n">
        <x:v>1955000</x:v>
      </x:c>
      <x:c r="F789" s="9" t="n">
        <x:v>0</x:v>
      </x:c>
    </x:row>
    <x:row r="790" ht="34" customHeight="1">
      <x:c r="A790" s="4" t="str">
        <x:v>RS-00414-I1</x:v>
      </x:c>
      <x:c r="B790" s="4" t="str">
        <x:v>RS-00414</x:v>
      </x:c>
      <x:c r="C790" s="9" t="n">
        <x:v>1</x:v>
      </x:c>
      <x:c r="D790" s="8" t="n">
        <x:v>45313</x:v>
      </x:c>
      <x:c r="E790" s="9" t="n">
        <x:v>5929000</x:v>
      </x:c>
      <x:c r="F790" s="9" t="n">
        <x:v>5929000</x:v>
      </x:c>
    </x:row>
    <x:row r="791" ht="34" customHeight="1">
      <x:c r="A791" s="4" t="str">
        <x:v>RS-00414-I2</x:v>
      </x:c>
      <x:c r="B791" s="4" t="str">
        <x:v>RS-00414</x:v>
      </x:c>
      <x:c r="C791" s="9" t="n">
        <x:v>2</x:v>
      </x:c>
      <x:c r="D791" s="8" t="n">
        <x:v>45343</x:v>
      </x:c>
      <x:c r="E791" s="9" t="n">
        <x:v>5929000</x:v>
      </x:c>
      <x:c r="F791" s="9" t="n">
        <x:v>5929000</x:v>
      </x:c>
    </x:row>
    <x:row r="792" ht="34" customHeight="1">
      <x:c r="A792" s="4" t="str">
        <x:v>RS-00414-I3</x:v>
      </x:c>
      <x:c r="B792" s="4" t="str">
        <x:v>RS-00414</x:v>
      </x:c>
      <x:c r="C792" s="9" t="n">
        <x:v>3</x:v>
      </x:c>
      <x:c r="D792" s="8" t="n">
        <x:v>45373</x:v>
      </x:c>
      <x:c r="E792" s="9" t="n">
        <x:v>5929000</x:v>
      </x:c>
      <x:c r="F792" s="9" t="n">
        <x:v>0</x:v>
      </x:c>
    </x:row>
    <x:row r="793" ht="34" customHeight="1">
      <x:c r="A793" s="4" t="str">
        <x:v>RS-00414-I4</x:v>
      </x:c>
      <x:c r="B793" s="4" t="str">
        <x:v>RS-00414</x:v>
      </x:c>
      <x:c r="C793" s="9" t="n">
        <x:v>4</x:v>
      </x:c>
      <x:c r="D793" s="8" t="n">
        <x:v>45403</x:v>
      </x:c>
      <x:c r="E793" s="9" t="n">
        <x:v>5929000</x:v>
      </x:c>
      <x:c r="F793" s="9" t="n">
        <x:v>0</x:v>
      </x:c>
    </x:row>
    <x:row r="794" ht="34" customHeight="1">
      <x:c r="A794" s="4" t="str">
        <x:v>RS-00415-I1</x:v>
      </x:c>
      <x:c r="B794" s="4" t="str">
        <x:v>RS-00415</x:v>
      </x:c>
      <x:c r="C794" s="9" t="n">
        <x:v>1</x:v>
      </x:c>
      <x:c r="D794" s="8" t="n">
        <x:v>45314</x:v>
      </x:c>
      <x:c r="E794" s="9" t="n">
        <x:v>5346250</x:v>
      </x:c>
      <x:c r="F794" s="9" t="n">
        <x:v>5346250</x:v>
      </x:c>
    </x:row>
    <x:row r="795" ht="34" customHeight="1">
      <x:c r="A795" s="4" t="str">
        <x:v>RS-00415-I2</x:v>
      </x:c>
      <x:c r="B795" s="4" t="str">
        <x:v>RS-00415</x:v>
      </x:c>
      <x:c r="C795" s="9" t="n">
        <x:v>2</x:v>
      </x:c>
      <x:c r="D795" s="8" t="n">
        <x:v>45344</x:v>
      </x:c>
      <x:c r="E795" s="9" t="n">
        <x:v>5346250</x:v>
      </x:c>
      <x:c r="F795" s="9" t="n">
        <x:v>5346250</x:v>
      </x:c>
    </x:row>
    <x:row r="796" ht="34" customHeight="1">
      <x:c r="A796" s="4" t="str">
        <x:v>RS-00415-I3</x:v>
      </x:c>
      <x:c r="B796" s="4" t="str">
        <x:v>RS-00415</x:v>
      </x:c>
      <x:c r="C796" s="9" t="n">
        <x:v>3</x:v>
      </x:c>
      <x:c r="D796" s="8" t="n">
        <x:v>45374</x:v>
      </x:c>
      <x:c r="E796" s="9" t="n">
        <x:v>5346250</x:v>
      </x:c>
      <x:c r="F796" s="9" t="n">
        <x:v>5346250</x:v>
      </x:c>
    </x:row>
    <x:row r="797" ht="34" customHeight="1">
      <x:c r="A797" s="4" t="str">
        <x:v>RS-00415-I4</x:v>
      </x:c>
      <x:c r="B797" s="4" t="str">
        <x:v>RS-00415</x:v>
      </x:c>
      <x:c r="C797" s="9" t="n">
        <x:v>4</x:v>
      </x:c>
      <x:c r="D797" s="8" t="n">
        <x:v>45404</x:v>
      </x:c>
      <x:c r="E797" s="9" t="n">
        <x:v>5346250</x:v>
      </x:c>
      <x:c r="F797" s="9" t="n">
        <x:v>5346250</x:v>
      </x:c>
    </x:row>
    <x:row r="798" ht="34" customHeight="1">
      <x:c r="A798" s="4" t="str">
        <x:v>RS-00422-I1</x:v>
      </x:c>
      <x:c r="B798" s="4" t="str">
        <x:v>RS-00422</x:v>
      </x:c>
      <x:c r="C798" s="9" t="n">
        <x:v>1</x:v>
      </x:c>
      <x:c r="D798" s="8" t="n">
        <x:v>45293</x:v>
      </x:c>
      <x:c r="E798" s="9" t="n">
        <x:v>2813250</x:v>
      </x:c>
      <x:c r="F798" s="9" t="n">
        <x:v>2813250</x:v>
      </x:c>
    </x:row>
    <x:row r="799" ht="34" customHeight="1">
      <x:c r="A799" s="4" t="str">
        <x:v>RS-00422-I2</x:v>
      </x:c>
      <x:c r="B799" s="4" t="str">
        <x:v>RS-00422</x:v>
      </x:c>
      <x:c r="C799" s="9" t="n">
        <x:v>2</x:v>
      </x:c>
      <x:c r="D799" s="8" t="n">
        <x:v>45323</x:v>
      </x:c>
      <x:c r="E799" s="9" t="n">
        <x:v>2813250</x:v>
      </x:c>
      <x:c r="F799" s="9" t="n">
        <x:v>2813250</x:v>
      </x:c>
    </x:row>
    <x:row r="800" ht="34" customHeight="1">
      <x:c r="A800" s="4" t="str">
        <x:v>RS-00422-I3</x:v>
      </x:c>
      <x:c r="B800" s="4" t="str">
        <x:v>RS-00422</x:v>
      </x:c>
      <x:c r="C800" s="9" t="n">
        <x:v>3</x:v>
      </x:c>
      <x:c r="D800" s="8" t="n">
        <x:v>45353</x:v>
      </x:c>
      <x:c r="E800" s="9" t="n">
        <x:v>2813250</x:v>
      </x:c>
      <x:c r="F800" s="9" t="n">
        <x:v>0</x:v>
      </x:c>
    </x:row>
    <x:row r="801" ht="34" customHeight="1">
      <x:c r="A801" s="4" t="str">
        <x:v>RS-00422-I4</x:v>
      </x:c>
      <x:c r="B801" s="4" t="str">
        <x:v>RS-00422</x:v>
      </x:c>
      <x:c r="C801" s="9" t="n">
        <x:v>4</x:v>
      </x:c>
      <x:c r="D801" s="8" t="n">
        <x:v>45383</x:v>
      </x:c>
      <x:c r="E801" s="9" t="n">
        <x:v>2813250</x:v>
      </x:c>
      <x:c r="F801" s="9" t="n">
        <x:v>0</x:v>
      </x:c>
    </x:row>
    <x:row r="802" ht="34" customHeight="1">
      <x:c r="A802" s="4" t="str">
        <x:v>RS-00425-I1</x:v>
      </x:c>
      <x:c r="B802" s="4" t="str">
        <x:v>RS-00425</x:v>
      </x:c>
      <x:c r="C802" s="9" t="n">
        <x:v>1</x:v>
      </x:c>
      <x:c r="D802" s="8" t="n">
        <x:v>45296</x:v>
      </x:c>
      <x:c r="E802" s="9" t="n">
        <x:v>3003750</x:v>
      </x:c>
      <x:c r="F802" s="9" t="n">
        <x:v>3003750</x:v>
      </x:c>
    </x:row>
    <x:row r="803" ht="34" customHeight="1">
      <x:c r="A803" s="4" t="str">
        <x:v>RS-00425-I2</x:v>
      </x:c>
      <x:c r="B803" s="4" t="str">
        <x:v>RS-00425</x:v>
      </x:c>
      <x:c r="C803" s="9" t="n">
        <x:v>2</x:v>
      </x:c>
      <x:c r="D803" s="8" t="n">
        <x:v>45326</x:v>
      </x:c>
      <x:c r="E803" s="9" t="n">
        <x:v>3003750</x:v>
      </x:c>
      <x:c r="F803" s="9" t="n">
        <x:v>3003750</x:v>
      </x:c>
    </x:row>
    <x:row r="804" ht="34" customHeight="1">
      <x:c r="A804" s="4" t="str">
        <x:v>RS-00425-I3</x:v>
      </x:c>
      <x:c r="B804" s="4" t="str">
        <x:v>RS-00425</x:v>
      </x:c>
      <x:c r="C804" s="9" t="n">
        <x:v>3</x:v>
      </x:c>
      <x:c r="D804" s="8" t="n">
        <x:v>45356</x:v>
      </x:c>
      <x:c r="E804" s="9" t="n">
        <x:v>3003750</x:v>
      </x:c>
      <x:c r="F804" s="9" t="n">
        <x:v>0</x:v>
      </x:c>
    </x:row>
    <x:row r="805" ht="34" customHeight="1">
      <x:c r="A805" s="4" t="str">
        <x:v>RS-00425-I4</x:v>
      </x:c>
      <x:c r="B805" s="4" t="str">
        <x:v>RS-00425</x:v>
      </x:c>
      <x:c r="C805" s="9" t="n">
        <x:v>4</x:v>
      </x:c>
      <x:c r="D805" s="8" t="n">
        <x:v>45386</x:v>
      </x:c>
      <x:c r="E805" s="9" t="n">
        <x:v>3003750</x:v>
      </x:c>
      <x:c r="F805" s="9" t="n">
        <x:v>0</x:v>
      </x:c>
    </x:row>
    <x:row r="806" ht="34" customHeight="1">
      <x:c r="A806" s="4" t="str">
        <x:v>RS-00426-I1</x:v>
      </x:c>
      <x:c r="B806" s="4" t="str">
        <x:v>RS-00426</x:v>
      </x:c>
      <x:c r="C806" s="9" t="n">
        <x:v>1</x:v>
      </x:c>
      <x:c r="D806" s="8" t="n">
        <x:v>45297</x:v>
      </x:c>
      <x:c r="E806" s="9" t="n">
        <x:v>4545000</x:v>
      </x:c>
      <x:c r="F806" s="9" t="n">
        <x:v>1818000</x:v>
      </x:c>
    </x:row>
    <x:row r="807" ht="34" customHeight="1">
      <x:c r="A807" s="4" t="str">
        <x:v>RS-00426-I2</x:v>
      </x:c>
      <x:c r="B807" s="4" t="str">
        <x:v>RS-00426</x:v>
      </x:c>
      <x:c r="C807" s="9" t="n">
        <x:v>2</x:v>
      </x:c>
      <x:c r="D807" s="8" t="n">
        <x:v>45327</x:v>
      </x:c>
      <x:c r="E807" s="9" t="n">
        <x:v>4545000</x:v>
      </x:c>
      <x:c r="F807" s="9" t="n">
        <x:v>0</x:v>
      </x:c>
    </x:row>
    <x:row r="808" ht="34" customHeight="1">
      <x:c r="A808" s="4" t="str">
        <x:v>RS-00426-I3</x:v>
      </x:c>
      <x:c r="B808" s="4" t="str">
        <x:v>RS-00426</x:v>
      </x:c>
      <x:c r="C808" s="9" t="n">
        <x:v>3</x:v>
      </x:c>
      <x:c r="D808" s="8" t="n">
        <x:v>45357</x:v>
      </x:c>
      <x:c r="E808" s="9" t="n">
        <x:v>4545000</x:v>
      </x:c>
      <x:c r="F808" s="9" t="n">
        <x:v>0</x:v>
      </x:c>
    </x:row>
    <x:row r="809" ht="34" customHeight="1">
      <x:c r="A809" s="4" t="str">
        <x:v>RS-00426-I4</x:v>
      </x:c>
      <x:c r="B809" s="4" t="str">
        <x:v>RS-00426</x:v>
      </x:c>
      <x:c r="C809" s="9" t="n">
        <x:v>4</x:v>
      </x:c>
      <x:c r="D809" s="8" t="n">
        <x:v>45387</x:v>
      </x:c>
      <x:c r="E809" s="9" t="n">
        <x:v>4545000</x:v>
      </x:c>
      <x:c r="F809" s="9" t="n">
        <x:v>0</x:v>
      </x:c>
    </x:row>
    <x:row r="810" ht="34" customHeight="1">
      <x:c r="A810" s="4" t="str">
        <x:v>RS-00428-I1</x:v>
      </x:c>
      <x:c r="B810" s="4" t="str">
        <x:v>RS-00428</x:v>
      </x:c>
      <x:c r="C810" s="9" t="n">
        <x:v>1</x:v>
      </x:c>
      <x:c r="D810" s="8" t="n">
        <x:v>45299</x:v>
      </x:c>
      <x:c r="E810" s="9" t="n">
        <x:v>2029500</x:v>
      </x:c>
      <x:c r="F810" s="9" t="n">
        <x:v>811800</x:v>
      </x:c>
    </x:row>
    <x:row r="811" ht="34" customHeight="1">
      <x:c r="A811" s="4" t="str">
        <x:v>RS-00428-I2</x:v>
      </x:c>
      <x:c r="B811" s="4" t="str">
        <x:v>RS-00428</x:v>
      </x:c>
      <x:c r="C811" s="9" t="n">
        <x:v>2</x:v>
      </x:c>
      <x:c r="D811" s="8" t="n">
        <x:v>45329</x:v>
      </x:c>
      <x:c r="E811" s="9" t="n">
        <x:v>2029500</x:v>
      </x:c>
      <x:c r="F811" s="9" t="n">
        <x:v>0</x:v>
      </x:c>
    </x:row>
    <x:row r="812" ht="34" customHeight="1">
      <x:c r="A812" s="4" t="str">
        <x:v>RS-00428-I3</x:v>
      </x:c>
      <x:c r="B812" s="4" t="str">
        <x:v>RS-00428</x:v>
      </x:c>
      <x:c r="C812" s="9" t="n">
        <x:v>3</x:v>
      </x:c>
      <x:c r="D812" s="8" t="n">
        <x:v>45359</x:v>
      </x:c>
      <x:c r="E812" s="9" t="n">
        <x:v>2029500</x:v>
      </x:c>
      <x:c r="F812" s="9" t="n">
        <x:v>0</x:v>
      </x:c>
    </x:row>
    <x:row r="813" ht="34" customHeight="1">
      <x:c r="A813" s="4" t="str">
        <x:v>RS-00428-I4</x:v>
      </x:c>
      <x:c r="B813" s="4" t="str">
        <x:v>RS-00428</x:v>
      </x:c>
      <x:c r="C813" s="9" t="n">
        <x:v>4</x:v>
      </x:c>
      <x:c r="D813" s="8" t="n">
        <x:v>45389</x:v>
      </x:c>
      <x:c r="E813" s="9" t="n">
        <x:v>2029500</x:v>
      </x:c>
      <x:c r="F813" s="9" t="n">
        <x:v>0</x:v>
      </x:c>
    </x:row>
    <x:row r="814" ht="34" customHeight="1">
      <x:c r="A814" s="4" t="str">
        <x:v>RS-00432-I1</x:v>
      </x:c>
      <x:c r="B814" s="4" t="str">
        <x:v>RS-00432</x:v>
      </x:c>
      <x:c r="C814" s="9" t="n">
        <x:v>1</x:v>
      </x:c>
      <x:c r="D814" s="8" t="n">
        <x:v>45303</x:v>
      </x:c>
      <x:c r="E814" s="9" t="n">
        <x:v>4726250</x:v>
      </x:c>
      <x:c r="F814" s="9" t="n">
        <x:v>1890500</x:v>
      </x:c>
    </x:row>
    <x:row r="815" ht="34" customHeight="1">
      <x:c r="A815" s="4" t="str">
        <x:v>RS-00432-I2</x:v>
      </x:c>
      <x:c r="B815" s="4" t="str">
        <x:v>RS-00432</x:v>
      </x:c>
      <x:c r="C815" s="9" t="n">
        <x:v>2</x:v>
      </x:c>
      <x:c r="D815" s="8" t="n">
        <x:v>45333</x:v>
      </x:c>
      <x:c r="E815" s="9" t="n">
        <x:v>4726250</x:v>
      </x:c>
      <x:c r="F815" s="9" t="n">
        <x:v>0</x:v>
      </x:c>
    </x:row>
    <x:row r="816" ht="34" customHeight="1">
      <x:c r="A816" s="4" t="str">
        <x:v>RS-00432-I3</x:v>
      </x:c>
      <x:c r="B816" s="4" t="str">
        <x:v>RS-00432</x:v>
      </x:c>
      <x:c r="C816" s="9" t="n">
        <x:v>3</x:v>
      </x:c>
      <x:c r="D816" s="8" t="n">
        <x:v>45363</x:v>
      </x:c>
      <x:c r="E816" s="9" t="n">
        <x:v>4726250</x:v>
      </x:c>
      <x:c r="F816" s="9" t="n">
        <x:v>0</x:v>
      </x:c>
    </x:row>
    <x:row r="817" ht="34" customHeight="1">
      <x:c r="A817" s="4" t="str">
        <x:v>RS-00432-I4</x:v>
      </x:c>
      <x:c r="B817" s="4" t="str">
        <x:v>RS-00432</x:v>
      </x:c>
      <x:c r="C817" s="9" t="n">
        <x:v>4</x:v>
      </x:c>
      <x:c r="D817" s="8" t="n">
        <x:v>45393</x:v>
      </x:c>
      <x:c r="E817" s="9" t="n">
        <x:v>4726250</x:v>
      </x:c>
      <x:c r="F817" s="9" t="n">
        <x:v>0</x:v>
      </x:c>
    </x:row>
    <x:row r="818" ht="34" customHeight="1">
      <x:c r="A818" s="4" t="str">
        <x:v>RS-00435-I1</x:v>
      </x:c>
      <x:c r="B818" s="4" t="str">
        <x:v>RS-00435</x:v>
      </x:c>
      <x:c r="C818" s="9" t="n">
        <x:v>1</x:v>
      </x:c>
      <x:c r="D818" s="8" t="n">
        <x:v>45306</x:v>
      </x:c>
      <x:c r="E818" s="9" t="n">
        <x:v>3313500</x:v>
      </x:c>
      <x:c r="F818" s="9" t="n">
        <x:v>3313500</x:v>
      </x:c>
    </x:row>
    <x:row r="819" ht="34" customHeight="1">
      <x:c r="A819" s="4" t="str">
        <x:v>RS-00435-I2</x:v>
      </x:c>
      <x:c r="B819" s="4" t="str">
        <x:v>RS-00435</x:v>
      </x:c>
      <x:c r="C819" s="9" t="n">
        <x:v>2</x:v>
      </x:c>
      <x:c r="D819" s="8" t="n">
        <x:v>45336</x:v>
      </x:c>
      <x:c r="E819" s="9" t="n">
        <x:v>3313500</x:v>
      </x:c>
      <x:c r="F819" s="9" t="n">
        <x:v>3313500</x:v>
      </x:c>
    </x:row>
    <x:row r="820" ht="34" customHeight="1">
      <x:c r="A820" s="4" t="str">
        <x:v>RS-00435-I3</x:v>
      </x:c>
      <x:c r="B820" s="4" t="str">
        <x:v>RS-00435</x:v>
      </x:c>
      <x:c r="C820" s="9" t="n">
        <x:v>3</x:v>
      </x:c>
      <x:c r="D820" s="8" t="n">
        <x:v>45366</x:v>
      </x:c>
      <x:c r="E820" s="9" t="n">
        <x:v>3313500</x:v>
      </x:c>
      <x:c r="F820" s="9" t="n">
        <x:v>3313500</x:v>
      </x:c>
    </x:row>
    <x:row r="821" ht="34" customHeight="1">
      <x:c r="A821" s="4" t="str">
        <x:v>RS-00435-I4</x:v>
      </x:c>
      <x:c r="B821" s="4" t="str">
        <x:v>RS-00435</x:v>
      </x:c>
      <x:c r="C821" s="9" t="n">
        <x:v>4</x:v>
      </x:c>
      <x:c r="D821" s="8" t="n">
        <x:v>45396</x:v>
      </x:c>
      <x:c r="E821" s="9" t="n">
        <x:v>3313500</x:v>
      </x:c>
      <x:c r="F821" s="9" t="n">
        <x:v>3313500</x:v>
      </x:c>
    </x:row>
    <x:row r="822" ht="34" customHeight="1">
      <x:c r="A822" s="4" t="str">
        <x:v>RS-00436-I1</x:v>
      </x:c>
      <x:c r="B822" s="4" t="str">
        <x:v>RS-00436</x:v>
      </x:c>
      <x:c r="C822" s="9" t="n">
        <x:v>1</x:v>
      </x:c>
      <x:c r="D822" s="8" t="n">
        <x:v>45307</x:v>
      </x:c>
      <x:c r="E822" s="9" t="n">
        <x:v>3768000</x:v>
      </x:c>
      <x:c r="F822" s="9" t="n">
        <x:v>3768000</x:v>
      </x:c>
    </x:row>
    <x:row r="823" ht="34" customHeight="1">
      <x:c r="A823" s="4" t="str">
        <x:v>RS-00436-I2</x:v>
      </x:c>
      <x:c r="B823" s="4" t="str">
        <x:v>RS-00436</x:v>
      </x:c>
      <x:c r="C823" s="9" t="n">
        <x:v>2</x:v>
      </x:c>
      <x:c r="D823" s="8" t="n">
        <x:v>45337</x:v>
      </x:c>
      <x:c r="E823" s="9" t="n">
        <x:v>3768000</x:v>
      </x:c>
      <x:c r="F823" s="9" t="n">
        <x:v>0</x:v>
      </x:c>
    </x:row>
    <x:row r="824" ht="34" customHeight="1">
      <x:c r="A824" s="4" t="str">
        <x:v>RS-00436-I3</x:v>
      </x:c>
      <x:c r="B824" s="4" t="str">
        <x:v>RS-00436</x:v>
      </x:c>
      <x:c r="C824" s="9" t="n">
        <x:v>3</x:v>
      </x:c>
      <x:c r="D824" s="8" t="n">
        <x:v>45367</x:v>
      </x:c>
      <x:c r="E824" s="9" t="n">
        <x:v>3768000</x:v>
      </x:c>
      <x:c r="F824" s="9" t="n">
        <x:v>0</x:v>
      </x:c>
    </x:row>
    <x:row r="825" ht="34" customHeight="1">
      <x:c r="A825" s="4" t="str">
        <x:v>RS-00436-I4</x:v>
      </x:c>
      <x:c r="B825" s="4" t="str">
        <x:v>RS-00436</x:v>
      </x:c>
      <x:c r="C825" s="9" t="n">
        <x:v>4</x:v>
      </x:c>
      <x:c r="D825" s="8" t="n">
        <x:v>45397</x:v>
      </x:c>
      <x:c r="E825" s="9" t="n">
        <x:v>3768000</x:v>
      </x:c>
      <x:c r="F825" s="9" t="n">
        <x:v>0</x:v>
      </x:c>
    </x:row>
    <x:row r="826" ht="34" customHeight="1">
      <x:c r="A826" s="4" t="str">
        <x:v>RS-00438-I1</x:v>
      </x:c>
      <x:c r="B826" s="4" t="str">
        <x:v>RS-00438</x:v>
      </x:c>
      <x:c r="C826" s="9" t="n">
        <x:v>1</x:v>
      </x:c>
      <x:c r="D826" s="8" t="n">
        <x:v>45309</x:v>
      </x:c>
      <x:c r="E826" s="9" t="n">
        <x:v>6051500</x:v>
      </x:c>
      <x:c r="F826" s="9" t="n">
        <x:v>6051500</x:v>
      </x:c>
    </x:row>
    <x:row r="827" ht="34" customHeight="1">
      <x:c r="A827" s="4" t="str">
        <x:v>RS-00438-I2</x:v>
      </x:c>
      <x:c r="B827" s="4" t="str">
        <x:v>RS-00438</x:v>
      </x:c>
      <x:c r="C827" s="9" t="n">
        <x:v>2</x:v>
      </x:c>
      <x:c r="D827" s="8" t="n">
        <x:v>45339</x:v>
      </x:c>
      <x:c r="E827" s="9" t="n">
        <x:v>6051500</x:v>
      </x:c>
      <x:c r="F827" s="9" t="n">
        <x:v>6051500</x:v>
      </x:c>
    </x:row>
    <x:row r="828" ht="34" customHeight="1">
      <x:c r="A828" s="4" t="str">
        <x:v>RS-00438-I3</x:v>
      </x:c>
      <x:c r="B828" s="4" t="str">
        <x:v>RS-00438</x:v>
      </x:c>
      <x:c r="C828" s="9" t="n">
        <x:v>3</x:v>
      </x:c>
      <x:c r="D828" s="8" t="n">
        <x:v>45369</x:v>
      </x:c>
      <x:c r="E828" s="9" t="n">
        <x:v>6051500</x:v>
      </x:c>
      <x:c r="F828" s="9" t="n">
        <x:v>0</x:v>
      </x:c>
    </x:row>
    <x:row r="829" ht="34" customHeight="1">
      <x:c r="A829" s="4" t="str">
        <x:v>RS-00438-I4</x:v>
      </x:c>
      <x:c r="B829" s="4" t="str">
        <x:v>RS-00438</x:v>
      </x:c>
      <x:c r="C829" s="9" t="n">
        <x:v>4</x:v>
      </x:c>
      <x:c r="D829" s="8" t="n">
        <x:v>45399</x:v>
      </x:c>
      <x:c r="E829" s="9" t="n">
        <x:v>6051500</x:v>
      </x:c>
      <x:c r="F829" s="9" t="n">
        <x:v>0</x:v>
      </x:c>
    </x:row>
    <x:row r="830" ht="34" customHeight="1">
      <x:c r="A830" s="4" t="str">
        <x:v>RS-00440-I1</x:v>
      </x:c>
      <x:c r="B830" s="4" t="str">
        <x:v>RS-00440</x:v>
      </x:c>
      <x:c r="C830" s="9" t="n">
        <x:v>1</x:v>
      </x:c>
      <x:c r="D830" s="8" t="n">
        <x:v>45311</x:v>
      </x:c>
      <x:c r="E830" s="9" t="n">
        <x:v>5170000</x:v>
      </x:c>
      <x:c r="F830" s="9" t="n">
        <x:v>5170000</x:v>
      </x:c>
    </x:row>
    <x:row r="831" ht="34" customHeight="1">
      <x:c r="A831" s="4" t="str">
        <x:v>RS-00440-I2</x:v>
      </x:c>
      <x:c r="B831" s="4" t="str">
        <x:v>RS-00440</x:v>
      </x:c>
      <x:c r="C831" s="9" t="n">
        <x:v>2</x:v>
      </x:c>
      <x:c r="D831" s="8" t="n">
        <x:v>45341</x:v>
      </x:c>
      <x:c r="E831" s="9" t="n">
        <x:v>5170000</x:v>
      </x:c>
      <x:c r="F831" s="9" t="n">
        <x:v>5170000</x:v>
      </x:c>
    </x:row>
    <x:row r="832" ht="34" customHeight="1">
      <x:c r="A832" s="4" t="str">
        <x:v>RS-00440-I3</x:v>
      </x:c>
      <x:c r="B832" s="4" t="str">
        <x:v>RS-00440</x:v>
      </x:c>
      <x:c r="C832" s="9" t="n">
        <x:v>3</x:v>
      </x:c>
      <x:c r="D832" s="8" t="n">
        <x:v>45371</x:v>
      </x:c>
      <x:c r="E832" s="9" t="n">
        <x:v>5170000</x:v>
      </x:c>
      <x:c r="F832" s="9" t="n">
        <x:v>5170000</x:v>
      </x:c>
    </x:row>
    <x:row r="833" ht="34" customHeight="1">
      <x:c r="A833" s="4" t="str">
        <x:v>RS-00440-I4</x:v>
      </x:c>
      <x:c r="B833" s="4" t="str">
        <x:v>RS-00440</x:v>
      </x:c>
      <x:c r="C833" s="9" t="n">
        <x:v>4</x:v>
      </x:c>
      <x:c r="D833" s="8" t="n">
        <x:v>45401</x:v>
      </x:c>
      <x:c r="E833" s="9" t="n">
        <x:v>5170000</x:v>
      </x:c>
      <x:c r="F833" s="9" t="n">
        <x:v>5170000</x:v>
      </x:c>
    </x:row>
    <x:row r="834" ht="34" customHeight="1">
      <x:c r="A834" s="4" t="str">
        <x:v>RS-00441-I1</x:v>
      </x:c>
      <x:c r="B834" s="4" t="str">
        <x:v>RS-00441</x:v>
      </x:c>
      <x:c r="C834" s="9" t="n">
        <x:v>1</x:v>
      </x:c>
      <x:c r="D834" s="8" t="n">
        <x:v>45312</x:v>
      </x:c>
      <x:c r="E834" s="9" t="n">
        <x:v>3571750</x:v>
      </x:c>
      <x:c r="F834" s="9" t="n">
        <x:v>3571750</x:v>
      </x:c>
    </x:row>
    <x:row r="835" ht="34" customHeight="1">
      <x:c r="A835" s="4" t="str">
        <x:v>RS-00441-I2</x:v>
      </x:c>
      <x:c r="B835" s="4" t="str">
        <x:v>RS-00441</x:v>
      </x:c>
      <x:c r="C835" s="9" t="n">
        <x:v>2</x:v>
      </x:c>
      <x:c r="D835" s="8" t="n">
        <x:v>45342</x:v>
      </x:c>
      <x:c r="E835" s="9" t="n">
        <x:v>3571750</x:v>
      </x:c>
      <x:c r="F835" s="9" t="n">
        <x:v>3571750</x:v>
      </x:c>
    </x:row>
    <x:row r="836" ht="34" customHeight="1">
      <x:c r="A836" s="4" t="str">
        <x:v>RS-00441-I3</x:v>
      </x:c>
      <x:c r="B836" s="4" t="str">
        <x:v>RS-00441</x:v>
      </x:c>
      <x:c r="C836" s="9" t="n">
        <x:v>3</x:v>
      </x:c>
      <x:c r="D836" s="8" t="n">
        <x:v>45372</x:v>
      </x:c>
      <x:c r="E836" s="9" t="n">
        <x:v>3571750</x:v>
      </x:c>
      <x:c r="F836" s="9" t="n">
        <x:v>0</x:v>
      </x:c>
    </x:row>
    <x:row r="837" ht="34" customHeight="1">
      <x:c r="A837" s="4" t="str">
        <x:v>RS-00441-I4</x:v>
      </x:c>
      <x:c r="B837" s="4" t="str">
        <x:v>RS-00441</x:v>
      </x:c>
      <x:c r="C837" s="9" t="n">
        <x:v>4</x:v>
      </x:c>
      <x:c r="D837" s="8" t="n">
        <x:v>45402</x:v>
      </x:c>
      <x:c r="E837" s="9" t="n">
        <x:v>3571750</x:v>
      </x:c>
      <x:c r="F837" s="9" t="n">
        <x:v>0</x:v>
      </x:c>
    </x:row>
    <x:row r="838" ht="34" customHeight="1">
      <x:c r="A838" s="4" t="str">
        <x:v>RS-00443-I1</x:v>
      </x:c>
      <x:c r="B838" s="4" t="str">
        <x:v>RS-00443</x:v>
      </x:c>
      <x:c r="C838" s="9" t="n">
        <x:v>1</x:v>
      </x:c>
      <x:c r="D838" s="8" t="n">
        <x:v>45314</x:v>
      </x:c>
      <x:c r="E838" s="9" t="n">
        <x:v>2850000</x:v>
      </x:c>
      <x:c r="F838" s="9" t="n">
        <x:v>1140000</x:v>
      </x:c>
    </x:row>
    <x:row r="839" ht="34" customHeight="1">
      <x:c r="A839" s="4" t="str">
        <x:v>RS-00443-I2</x:v>
      </x:c>
      <x:c r="B839" s="4" t="str">
        <x:v>RS-00443</x:v>
      </x:c>
      <x:c r="C839" s="9" t="n">
        <x:v>2</x:v>
      </x:c>
      <x:c r="D839" s="8" t="n">
        <x:v>45344</x:v>
      </x:c>
      <x:c r="E839" s="9" t="n">
        <x:v>2850000</x:v>
      </x:c>
      <x:c r="F839" s="9" t="n">
        <x:v>0</x:v>
      </x:c>
    </x:row>
    <x:row r="840" ht="34" customHeight="1">
      <x:c r="A840" s="4" t="str">
        <x:v>RS-00443-I3</x:v>
      </x:c>
      <x:c r="B840" s="4" t="str">
        <x:v>RS-00443</x:v>
      </x:c>
      <x:c r="C840" s="9" t="n">
        <x:v>3</x:v>
      </x:c>
      <x:c r="D840" s="8" t="n">
        <x:v>45374</x:v>
      </x:c>
      <x:c r="E840" s="9" t="n">
        <x:v>2850000</x:v>
      </x:c>
      <x:c r="F840" s="9" t="n">
        <x:v>0</x:v>
      </x:c>
    </x:row>
    <x:row r="841" ht="34" customHeight="1">
      <x:c r="A841" s="4" t="str">
        <x:v>RS-00443-I4</x:v>
      </x:c>
      <x:c r="B841" s="4" t="str">
        <x:v>RS-00443</x:v>
      </x:c>
      <x:c r="C841" s="9" t="n">
        <x:v>4</x:v>
      </x:c>
      <x:c r="D841" s="8" t="n">
        <x:v>45404</x:v>
      </x:c>
      <x:c r="E841" s="9" t="n">
        <x:v>2850000</x:v>
      </x:c>
      <x:c r="F841" s="9" t="n">
        <x:v>0</x:v>
      </x:c>
    </x:row>
    <x:row r="842" ht="34" customHeight="1">
      <x:c r="A842" s="4" t="str">
        <x:v>RS-00445-I1</x:v>
      </x:c>
      <x:c r="B842" s="4" t="str">
        <x:v>RS-00445</x:v>
      </x:c>
      <x:c r="C842" s="9" t="n">
        <x:v>1</x:v>
      </x:c>
      <x:c r="D842" s="8" t="n">
        <x:v>45316</x:v>
      </x:c>
      <x:c r="E842" s="9" t="n">
        <x:v>3613250</x:v>
      </x:c>
      <x:c r="F842" s="9" t="n">
        <x:v>3613250</x:v>
      </x:c>
    </x:row>
    <x:row r="843" ht="34" customHeight="1">
      <x:c r="A843" s="4" t="str">
        <x:v>RS-00445-I2</x:v>
      </x:c>
      <x:c r="B843" s="4" t="str">
        <x:v>RS-00445</x:v>
      </x:c>
      <x:c r="C843" s="9" t="n">
        <x:v>2</x:v>
      </x:c>
      <x:c r="D843" s="8" t="n">
        <x:v>45346</x:v>
      </x:c>
      <x:c r="E843" s="9" t="n">
        <x:v>3613250</x:v>
      </x:c>
      <x:c r="F843" s="9" t="n">
        <x:v>3613250</x:v>
      </x:c>
    </x:row>
    <x:row r="844" ht="34" customHeight="1">
      <x:c r="A844" s="4" t="str">
        <x:v>RS-00445-I3</x:v>
      </x:c>
      <x:c r="B844" s="4" t="str">
        <x:v>RS-00445</x:v>
      </x:c>
      <x:c r="C844" s="9" t="n">
        <x:v>3</x:v>
      </x:c>
      <x:c r="D844" s="8" t="n">
        <x:v>45376</x:v>
      </x:c>
      <x:c r="E844" s="9" t="n">
        <x:v>3613250</x:v>
      </x:c>
      <x:c r="F844" s="9" t="n">
        <x:v>3613250</x:v>
      </x:c>
    </x:row>
    <x:row r="845" ht="34" customHeight="1">
      <x:c r="A845" s="4" t="str">
        <x:v>RS-00445-I4</x:v>
      </x:c>
      <x:c r="B845" s="4" t="str">
        <x:v>RS-00445</x:v>
      </x:c>
      <x:c r="C845" s="9" t="n">
        <x:v>4</x:v>
      </x:c>
      <x:c r="D845" s="8" t="n">
        <x:v>45406</x:v>
      </x:c>
      <x:c r="E845" s="9" t="n">
        <x:v>3613250</x:v>
      </x:c>
      <x:c r="F845" s="9" t="n">
        <x:v>3613250</x:v>
      </x:c>
    </x:row>
    <x:row r="846" ht="34" customHeight="1">
      <x:c r="A846" s="4" t="str">
        <x:v>RS-00446-I1</x:v>
      </x:c>
      <x:c r="B846" s="4" t="str">
        <x:v>RS-00446</x:v>
      </x:c>
      <x:c r="C846" s="9" t="n">
        <x:v>1</x:v>
      </x:c>
      <x:c r="D846" s="8" t="n">
        <x:v>45317</x:v>
      </x:c>
      <x:c r="E846" s="9" t="n">
        <x:v>5139750</x:v>
      </x:c>
      <x:c r="F846" s="9" t="n">
        <x:v>5139750</x:v>
      </x:c>
    </x:row>
    <x:row r="847" ht="34" customHeight="1">
      <x:c r="A847" s="4" t="str">
        <x:v>RS-00446-I2</x:v>
      </x:c>
      <x:c r="B847" s="4" t="str">
        <x:v>RS-00446</x:v>
      </x:c>
      <x:c r="C847" s="9" t="n">
        <x:v>2</x:v>
      </x:c>
      <x:c r="D847" s="8" t="n">
        <x:v>45347</x:v>
      </x:c>
      <x:c r="E847" s="9" t="n">
        <x:v>5139750</x:v>
      </x:c>
      <x:c r="F847" s="9" t="n">
        <x:v>5139750</x:v>
      </x:c>
    </x:row>
    <x:row r="848" ht="34" customHeight="1">
      <x:c r="A848" s="4" t="str">
        <x:v>RS-00446-I3</x:v>
      </x:c>
      <x:c r="B848" s="4" t="str">
        <x:v>RS-00446</x:v>
      </x:c>
      <x:c r="C848" s="9" t="n">
        <x:v>3</x:v>
      </x:c>
      <x:c r="D848" s="8" t="n">
        <x:v>45377</x:v>
      </x:c>
      <x:c r="E848" s="9" t="n">
        <x:v>5139750</x:v>
      </x:c>
      <x:c r="F848" s="9" t="n">
        <x:v>0</x:v>
      </x:c>
    </x:row>
    <x:row r="849" ht="34" customHeight="1">
      <x:c r="A849" s="4" t="str">
        <x:v>RS-00446-I4</x:v>
      </x:c>
      <x:c r="B849" s="4" t="str">
        <x:v>RS-00446</x:v>
      </x:c>
      <x:c r="C849" s="9" t="n">
        <x:v>4</x:v>
      </x:c>
      <x:c r="D849" s="8" t="n">
        <x:v>45407</x:v>
      </x:c>
      <x:c r="E849" s="9" t="n">
        <x:v>5139750</x:v>
      </x:c>
      <x:c r="F849" s="9" t="n">
        <x:v>0</x:v>
      </x:c>
    </x:row>
    <x:row r="850" ht="34" customHeight="1">
      <x:c r="A850" s="4" t="str">
        <x:v>RS-00447-I1</x:v>
      </x:c>
      <x:c r="B850" s="4" t="str">
        <x:v>RS-00447</x:v>
      </x:c>
      <x:c r="C850" s="9" t="n">
        <x:v>1</x:v>
      </x:c>
      <x:c r="D850" s="8" t="n">
        <x:v>45318</x:v>
      </x:c>
      <x:c r="E850" s="9" t="n">
        <x:v>841750</x:v>
      </x:c>
      <x:c r="F850" s="9" t="n">
        <x:v>336700</x:v>
      </x:c>
    </x:row>
    <x:row r="851" ht="34" customHeight="1">
      <x:c r="A851" s="4" t="str">
        <x:v>RS-00447-I2</x:v>
      </x:c>
      <x:c r="B851" s="4" t="str">
        <x:v>RS-00447</x:v>
      </x:c>
      <x:c r="C851" s="9" t="n">
        <x:v>2</x:v>
      </x:c>
      <x:c r="D851" s="8" t="n">
        <x:v>45348</x:v>
      </x:c>
      <x:c r="E851" s="9" t="n">
        <x:v>841750</x:v>
      </x:c>
      <x:c r="F851" s="9" t="n">
        <x:v>0</x:v>
      </x:c>
    </x:row>
    <x:row r="852" ht="34" customHeight="1">
      <x:c r="A852" s="4" t="str">
        <x:v>RS-00447-I3</x:v>
      </x:c>
      <x:c r="B852" s="4" t="str">
        <x:v>RS-00447</x:v>
      </x:c>
      <x:c r="C852" s="9" t="n">
        <x:v>3</x:v>
      </x:c>
      <x:c r="D852" s="8" t="n">
        <x:v>45378</x:v>
      </x:c>
      <x:c r="E852" s="9" t="n">
        <x:v>841750</x:v>
      </x:c>
      <x:c r="F852" s="9" t="n">
        <x:v>0</x:v>
      </x:c>
    </x:row>
    <x:row r="853" ht="34" customHeight="1">
      <x:c r="A853" s="4" t="str">
        <x:v>RS-00447-I4</x:v>
      </x:c>
      <x:c r="B853" s="4" t="str">
        <x:v>RS-00447</x:v>
      </x:c>
      <x:c r="C853" s="9" t="n">
        <x:v>4</x:v>
      </x:c>
      <x:c r="D853" s="8" t="n">
        <x:v>45408</x:v>
      </x:c>
      <x:c r="E853" s="9" t="n">
        <x:v>841750</x:v>
      </x:c>
      <x:c r="F853" s="9" t="n">
        <x:v>0</x:v>
      </x:c>
    </x:row>
    <x:row r="854" ht="34" customHeight="1">
      <x:c r="A854" s="4" t="str">
        <x:v>RS-00448-I1</x:v>
      </x:c>
      <x:c r="B854" s="4" t="str">
        <x:v>RS-00448</x:v>
      </x:c>
      <x:c r="C854" s="9" t="n">
        <x:v>1</x:v>
      </x:c>
      <x:c r="D854" s="8" t="n">
        <x:v>45319</x:v>
      </x:c>
      <x:c r="E854" s="9" t="n">
        <x:v>5336000</x:v>
      </x:c>
      <x:c r="F854" s="9" t="n">
        <x:v>5336000</x:v>
      </x:c>
    </x:row>
    <x:row r="855" ht="34" customHeight="1">
      <x:c r="A855" s="4" t="str">
        <x:v>RS-00448-I2</x:v>
      </x:c>
      <x:c r="B855" s="4" t="str">
        <x:v>RS-00448</x:v>
      </x:c>
      <x:c r="C855" s="9" t="n">
        <x:v>2</x:v>
      </x:c>
      <x:c r="D855" s="8" t="n">
        <x:v>45349</x:v>
      </x:c>
      <x:c r="E855" s="9" t="n">
        <x:v>5336000</x:v>
      </x:c>
      <x:c r="F855" s="9" t="n">
        <x:v>5336000</x:v>
      </x:c>
    </x:row>
    <x:row r="856" ht="34" customHeight="1">
      <x:c r="A856" s="4" t="str">
        <x:v>RS-00448-I3</x:v>
      </x:c>
      <x:c r="B856" s="4" t="str">
        <x:v>RS-00448</x:v>
      </x:c>
      <x:c r="C856" s="9" t="n">
        <x:v>3</x:v>
      </x:c>
      <x:c r="D856" s="8" t="n">
        <x:v>45379</x:v>
      </x:c>
      <x:c r="E856" s="9" t="n">
        <x:v>5336000</x:v>
      </x:c>
      <x:c r="F856" s="9" t="n">
        <x:v>5336000</x:v>
      </x:c>
    </x:row>
    <x:row r="857" ht="34" customHeight="1">
      <x:c r="A857" s="4" t="str">
        <x:v>RS-00448-I4</x:v>
      </x:c>
      <x:c r="B857" s="4" t="str">
        <x:v>RS-00448</x:v>
      </x:c>
      <x:c r="C857" s="9" t="n">
        <x:v>4</x:v>
      </x:c>
      <x:c r="D857" s="8" t="n">
        <x:v>45409</x:v>
      </x:c>
      <x:c r="E857" s="9" t="n">
        <x:v>5336000</x:v>
      </x:c>
      <x:c r="F857" s="9" t="n">
        <x:v>5336000</x:v>
      </x:c>
    </x:row>
    <x:row r="858" ht="34" customHeight="1">
      <x:c r="A858" s="4" t="str">
        <x:v>RS-00450-I1</x:v>
      </x:c>
      <x:c r="B858" s="4" t="str">
        <x:v>RS-00450</x:v>
      </x:c>
      <x:c r="C858" s="9" t="n">
        <x:v>1</x:v>
      </x:c>
      <x:c r="D858" s="8" t="n">
        <x:v>45293</x:v>
      </x:c>
      <x:c r="E858" s="9" t="n">
        <x:v>4009500</x:v>
      </x:c>
      <x:c r="F858" s="9" t="n">
        <x:v>4009500</x:v>
      </x:c>
    </x:row>
    <x:row r="859" ht="34" customHeight="1">
      <x:c r="A859" s="4" t="str">
        <x:v>RS-00450-I2</x:v>
      </x:c>
      <x:c r="B859" s="4" t="str">
        <x:v>RS-00450</x:v>
      </x:c>
      <x:c r="C859" s="9" t="n">
        <x:v>2</x:v>
      </x:c>
      <x:c r="D859" s="8" t="n">
        <x:v>45323</x:v>
      </x:c>
      <x:c r="E859" s="9" t="n">
        <x:v>4009500</x:v>
      </x:c>
      <x:c r="F859" s="9" t="n">
        <x:v>4009500</x:v>
      </x:c>
    </x:row>
    <x:row r="860" ht="34" customHeight="1">
      <x:c r="A860" s="4" t="str">
        <x:v>RS-00450-I3</x:v>
      </x:c>
      <x:c r="B860" s="4" t="str">
        <x:v>RS-00450</x:v>
      </x:c>
      <x:c r="C860" s="9" t="n">
        <x:v>3</x:v>
      </x:c>
      <x:c r="D860" s="8" t="n">
        <x:v>45353</x:v>
      </x:c>
      <x:c r="E860" s="9" t="n">
        <x:v>4009500</x:v>
      </x:c>
      <x:c r="F860" s="9" t="n">
        <x:v>0</x:v>
      </x:c>
    </x:row>
    <x:row r="861" ht="34" customHeight="1">
      <x:c r="A861" s="4" t="str">
        <x:v>RS-00450-I4</x:v>
      </x:c>
      <x:c r="B861" s="4" t="str">
        <x:v>RS-00450</x:v>
      </x:c>
      <x:c r="C861" s="9" t="n">
        <x:v>4</x:v>
      </x:c>
      <x:c r="D861" s="8" t="n">
        <x:v>45383</x:v>
      </x:c>
      <x:c r="E861" s="9" t="n">
        <x:v>4009500</x:v>
      </x:c>
      <x:c r="F861" s="9" t="n">
        <x:v>0</x:v>
      </x:c>
    </x:row>
    <x:row r="862" ht="34" customHeight="1">
      <x:c r="A862" s="4" t="str">
        <x:v>RS-00451-I1</x:v>
      </x:c>
      <x:c r="B862" s="4" t="str">
        <x:v>RS-00451</x:v>
      </x:c>
      <x:c r="C862" s="9" t="n">
        <x:v>1</x:v>
      </x:c>
      <x:c r="D862" s="8" t="n">
        <x:v>45294</x:v>
      </x:c>
      <x:c r="E862" s="9" t="n">
        <x:v>4572750</x:v>
      </x:c>
      <x:c r="F862" s="9" t="n">
        <x:v>4572750</x:v>
      </x:c>
    </x:row>
    <x:row r="863" ht="34" customHeight="1">
      <x:c r="A863" s="4" t="str">
        <x:v>RS-00451-I2</x:v>
      </x:c>
      <x:c r="B863" s="4" t="str">
        <x:v>RS-00451</x:v>
      </x:c>
      <x:c r="C863" s="9" t="n">
        <x:v>2</x:v>
      </x:c>
      <x:c r="D863" s="8" t="n">
        <x:v>45324</x:v>
      </x:c>
      <x:c r="E863" s="9" t="n">
        <x:v>4572750</x:v>
      </x:c>
      <x:c r="F863" s="9" t="n">
        <x:v>0</x:v>
      </x:c>
    </x:row>
    <x:row r="864" ht="34" customHeight="1">
      <x:c r="A864" s="4" t="str">
        <x:v>RS-00451-I3</x:v>
      </x:c>
      <x:c r="B864" s="4" t="str">
        <x:v>RS-00451</x:v>
      </x:c>
      <x:c r="C864" s="9" t="n">
        <x:v>3</x:v>
      </x:c>
      <x:c r="D864" s="8" t="n">
        <x:v>45354</x:v>
      </x:c>
      <x:c r="E864" s="9" t="n">
        <x:v>4572750</x:v>
      </x:c>
      <x:c r="F864" s="9" t="n">
        <x:v>0</x:v>
      </x:c>
    </x:row>
    <x:row r="865" ht="34" customHeight="1">
      <x:c r="A865" s="4" t="str">
        <x:v>RS-00451-I4</x:v>
      </x:c>
      <x:c r="B865" s="4" t="str">
        <x:v>RS-00451</x:v>
      </x:c>
      <x:c r="C865" s="9" t="n">
        <x:v>4</x:v>
      </x:c>
      <x:c r="D865" s="8" t="n">
        <x:v>45384</x:v>
      </x:c>
      <x:c r="E865" s="9" t="n">
        <x:v>4572750</x:v>
      </x:c>
      <x:c r="F865" s="9" t="n">
        <x:v>0</x:v>
      </x:c>
    </x:row>
    <x:row r="866" ht="34" customHeight="1">
      <x:c r="A866" s="4" t="str">
        <x:v>RS-00453-I1</x:v>
      </x:c>
      <x:c r="B866" s="4" t="str">
        <x:v>RS-00453</x:v>
      </x:c>
      <x:c r="C866" s="9" t="n">
        <x:v>1</x:v>
      </x:c>
      <x:c r="D866" s="8" t="n">
        <x:v>45296</x:v>
      </x:c>
      <x:c r="E866" s="9" t="n">
        <x:v>3648000</x:v>
      </x:c>
      <x:c r="F866" s="9" t="n">
        <x:v>3648000</x:v>
      </x:c>
    </x:row>
    <x:row r="867" ht="34" customHeight="1">
      <x:c r="A867" s="4" t="str">
        <x:v>RS-00453-I2</x:v>
      </x:c>
      <x:c r="B867" s="4" t="str">
        <x:v>RS-00453</x:v>
      </x:c>
      <x:c r="C867" s="9" t="n">
        <x:v>2</x:v>
      </x:c>
      <x:c r="D867" s="8" t="n">
        <x:v>45326</x:v>
      </x:c>
      <x:c r="E867" s="9" t="n">
        <x:v>3648000</x:v>
      </x:c>
      <x:c r="F867" s="9" t="n">
        <x:v>3648000</x:v>
      </x:c>
    </x:row>
    <x:row r="868" ht="34" customHeight="1">
      <x:c r="A868" s="4" t="str">
        <x:v>RS-00453-I3</x:v>
      </x:c>
      <x:c r="B868" s="4" t="str">
        <x:v>RS-00453</x:v>
      </x:c>
      <x:c r="C868" s="9" t="n">
        <x:v>3</x:v>
      </x:c>
      <x:c r="D868" s="8" t="n">
        <x:v>45356</x:v>
      </x:c>
      <x:c r="E868" s="9" t="n">
        <x:v>3648000</x:v>
      </x:c>
      <x:c r="F868" s="9" t="n">
        <x:v>0</x:v>
      </x:c>
    </x:row>
    <x:row r="869" ht="34" customHeight="1">
      <x:c r="A869" s="4" t="str">
        <x:v>RS-00453-I4</x:v>
      </x:c>
      <x:c r="B869" s="4" t="str">
        <x:v>RS-00453</x:v>
      </x:c>
      <x:c r="C869" s="9" t="n">
        <x:v>4</x:v>
      </x:c>
      <x:c r="D869" s="8" t="n">
        <x:v>45386</x:v>
      </x:c>
      <x:c r="E869" s="9" t="n">
        <x:v>3648000</x:v>
      </x:c>
      <x:c r="F869" s="9" t="n">
        <x:v>0</x:v>
      </x:c>
    </x:row>
    <x:row r="870" ht="34" customHeight="1">
      <x:c r="A870" s="4" t="str">
        <x:v>RS-00454-I1</x:v>
      </x:c>
      <x:c r="B870" s="4" t="str">
        <x:v>RS-00454</x:v>
      </x:c>
      <x:c r="C870" s="9" t="n">
        <x:v>1</x:v>
      </x:c>
      <x:c r="D870" s="8" t="n">
        <x:v>45297</x:v>
      </x:c>
      <x:c r="E870" s="9" t="n">
        <x:v>3407500</x:v>
      </x:c>
      <x:c r="F870" s="9" t="n">
        <x:v>3407500</x:v>
      </x:c>
    </x:row>
    <x:row r="871" ht="34" customHeight="1">
      <x:c r="A871" s="4" t="str">
        <x:v>RS-00454-I2</x:v>
      </x:c>
      <x:c r="B871" s="4" t="str">
        <x:v>RS-00454</x:v>
      </x:c>
      <x:c r="C871" s="9" t="n">
        <x:v>2</x:v>
      </x:c>
      <x:c r="D871" s="8" t="n">
        <x:v>45327</x:v>
      </x:c>
      <x:c r="E871" s="9" t="n">
        <x:v>3407500</x:v>
      </x:c>
      <x:c r="F871" s="9" t="n">
        <x:v>3407500</x:v>
      </x:c>
    </x:row>
    <x:row r="872" ht="34" customHeight="1">
      <x:c r="A872" s="4" t="str">
        <x:v>RS-00454-I3</x:v>
      </x:c>
      <x:c r="B872" s="4" t="str">
        <x:v>RS-00454</x:v>
      </x:c>
      <x:c r="C872" s="9" t="n">
        <x:v>3</x:v>
      </x:c>
      <x:c r="D872" s="8" t="n">
        <x:v>45357</x:v>
      </x:c>
      <x:c r="E872" s="9" t="n">
        <x:v>3407500</x:v>
      </x:c>
      <x:c r="F872" s="9" t="n">
        <x:v>3407500</x:v>
      </x:c>
    </x:row>
    <x:row r="873" ht="34" customHeight="1">
      <x:c r="A873" s="4" t="str">
        <x:v>RS-00454-I4</x:v>
      </x:c>
      <x:c r="B873" s="4" t="str">
        <x:v>RS-00454</x:v>
      </x:c>
      <x:c r="C873" s="9" t="n">
        <x:v>4</x:v>
      </x:c>
      <x:c r="D873" s="8" t="n">
        <x:v>45387</x:v>
      </x:c>
      <x:c r="E873" s="9" t="n">
        <x:v>3407500</x:v>
      </x:c>
      <x:c r="F873" s="9" t="n">
        <x:v>3407500</x:v>
      </x:c>
    </x:row>
    <x:row r="874" ht="34" customHeight="1">
      <x:c r="A874" s="4" t="str">
        <x:v>RS-00456-I1</x:v>
      </x:c>
      <x:c r="B874" s="4" t="str">
        <x:v>RS-00456</x:v>
      </x:c>
      <x:c r="C874" s="9" t="n">
        <x:v>1</x:v>
      </x:c>
      <x:c r="D874" s="8" t="n">
        <x:v>45299</x:v>
      </x:c>
      <x:c r="E874" s="9" t="n">
        <x:v>5194000</x:v>
      </x:c>
      <x:c r="F874" s="9" t="n">
        <x:v>2077600</x:v>
      </x:c>
    </x:row>
    <x:row r="875" ht="34" customHeight="1">
      <x:c r="A875" s="4" t="str">
        <x:v>RS-00456-I2</x:v>
      </x:c>
      <x:c r="B875" s="4" t="str">
        <x:v>RS-00456</x:v>
      </x:c>
      <x:c r="C875" s="9" t="n">
        <x:v>2</x:v>
      </x:c>
      <x:c r="D875" s="8" t="n">
        <x:v>45329</x:v>
      </x:c>
      <x:c r="E875" s="9" t="n">
        <x:v>5194000</x:v>
      </x:c>
      <x:c r="F875" s="9" t="n">
        <x:v>0</x:v>
      </x:c>
    </x:row>
    <x:row r="876" ht="34" customHeight="1">
      <x:c r="A876" s="4" t="str">
        <x:v>RS-00456-I3</x:v>
      </x:c>
      <x:c r="B876" s="4" t="str">
        <x:v>RS-00456</x:v>
      </x:c>
      <x:c r="C876" s="9" t="n">
        <x:v>3</x:v>
      </x:c>
      <x:c r="D876" s="8" t="n">
        <x:v>45359</x:v>
      </x:c>
      <x:c r="E876" s="9" t="n">
        <x:v>5194000</x:v>
      </x:c>
      <x:c r="F876" s="9" t="n">
        <x:v>0</x:v>
      </x:c>
    </x:row>
    <x:row r="877" ht="34" customHeight="1">
      <x:c r="A877" s="4" t="str">
        <x:v>RS-00456-I4</x:v>
      </x:c>
      <x:c r="B877" s="4" t="str">
        <x:v>RS-00456</x:v>
      </x:c>
      <x:c r="C877" s="9" t="n">
        <x:v>4</x:v>
      </x:c>
      <x:c r="D877" s="8" t="n">
        <x:v>45389</x:v>
      </x:c>
      <x:c r="E877" s="9" t="n">
        <x:v>5194000</x:v>
      </x:c>
      <x:c r="F877" s="9" t="n">
        <x:v>0</x:v>
      </x:c>
    </x:row>
    <x:row r="878" ht="34" customHeight="1">
      <x:c r="A878" s="4" t="str">
        <x:v>RS-00460-I1</x:v>
      </x:c>
      <x:c r="B878" s="4" t="str">
        <x:v>RS-00460</x:v>
      </x:c>
      <x:c r="C878" s="9" t="n">
        <x:v>1</x:v>
      </x:c>
      <x:c r="D878" s="8" t="n">
        <x:v>45303</x:v>
      </x:c>
      <x:c r="E878" s="9" t="n">
        <x:v>5643000</x:v>
      </x:c>
      <x:c r="F878" s="9" t="n">
        <x:v>2257200</x:v>
      </x:c>
    </x:row>
    <x:row r="879" ht="34" customHeight="1">
      <x:c r="A879" s="4" t="str">
        <x:v>RS-00460-I2</x:v>
      </x:c>
      <x:c r="B879" s="4" t="str">
        <x:v>RS-00460</x:v>
      </x:c>
      <x:c r="C879" s="9" t="n">
        <x:v>2</x:v>
      </x:c>
      <x:c r="D879" s="8" t="n">
        <x:v>45333</x:v>
      </x:c>
      <x:c r="E879" s="9" t="n">
        <x:v>5643000</x:v>
      </x:c>
      <x:c r="F879" s="9" t="n">
        <x:v>0</x:v>
      </x:c>
    </x:row>
    <x:row r="880" ht="34" customHeight="1">
      <x:c r="A880" s="4" t="str">
        <x:v>RS-00460-I3</x:v>
      </x:c>
      <x:c r="B880" s="4" t="str">
        <x:v>RS-00460</x:v>
      </x:c>
      <x:c r="C880" s="9" t="n">
        <x:v>3</x:v>
      </x:c>
      <x:c r="D880" s="8" t="n">
        <x:v>45363</x:v>
      </x:c>
      <x:c r="E880" s="9" t="n">
        <x:v>5643000</x:v>
      </x:c>
      <x:c r="F880" s="9" t="n">
        <x:v>0</x:v>
      </x:c>
    </x:row>
    <x:row r="881" ht="34" customHeight="1">
      <x:c r="A881" s="4" t="str">
        <x:v>RS-00460-I4</x:v>
      </x:c>
      <x:c r="B881" s="4" t="str">
        <x:v>RS-00460</x:v>
      </x:c>
      <x:c r="C881" s="9" t="n">
        <x:v>4</x:v>
      </x:c>
      <x:c r="D881" s="8" t="n">
        <x:v>45393</x:v>
      </x:c>
      <x:c r="E881" s="9" t="n">
        <x:v>5643000</x:v>
      </x:c>
      <x:c r="F881" s="9" t="n">
        <x:v>0</x:v>
      </x:c>
    </x:row>
    <x:row r="882" ht="34" customHeight="1">
      <x:c r="A882" s="4" t="str">
        <x:v>RS-00461-I1</x:v>
      </x:c>
      <x:c r="B882" s="4" t="str">
        <x:v>RS-00461</x:v>
      </x:c>
      <x:c r="C882" s="9" t="n">
        <x:v>1</x:v>
      </x:c>
      <x:c r="D882" s="8" t="n">
        <x:v>45304</x:v>
      </x:c>
      <x:c r="E882" s="9" t="n">
        <x:v>4747500</x:v>
      </x:c>
      <x:c r="F882" s="9" t="n">
        <x:v>4747500</x:v>
      </x:c>
    </x:row>
    <x:row r="883" ht="34" customHeight="1">
      <x:c r="A883" s="4" t="str">
        <x:v>RS-00461-I2</x:v>
      </x:c>
      <x:c r="B883" s="4" t="str">
        <x:v>RS-00461</x:v>
      </x:c>
      <x:c r="C883" s="9" t="n">
        <x:v>2</x:v>
      </x:c>
      <x:c r="D883" s="8" t="n">
        <x:v>45334</x:v>
      </x:c>
      <x:c r="E883" s="9" t="n">
        <x:v>4747500</x:v>
      </x:c>
      <x:c r="F883" s="9" t="n">
        <x:v>4747500</x:v>
      </x:c>
    </x:row>
    <x:row r="884" ht="34" customHeight="1">
      <x:c r="A884" s="4" t="str">
        <x:v>RS-00461-I3</x:v>
      </x:c>
      <x:c r="B884" s="4" t="str">
        <x:v>RS-00461</x:v>
      </x:c>
      <x:c r="C884" s="9" t="n">
        <x:v>3</x:v>
      </x:c>
      <x:c r="D884" s="8" t="n">
        <x:v>45364</x:v>
      </x:c>
      <x:c r="E884" s="9" t="n">
        <x:v>4747500</x:v>
      </x:c>
      <x:c r="F884" s="9" t="n">
        <x:v>0</x:v>
      </x:c>
    </x:row>
    <x:row r="885" ht="34" customHeight="1">
      <x:c r="A885" s="4" t="str">
        <x:v>RS-00461-I4</x:v>
      </x:c>
      <x:c r="B885" s="4" t="str">
        <x:v>RS-00461</x:v>
      </x:c>
      <x:c r="C885" s="9" t="n">
        <x:v>4</x:v>
      </x:c>
      <x:c r="D885" s="8" t="n">
        <x:v>45394</x:v>
      </x:c>
      <x:c r="E885" s="9" t="n">
        <x:v>4747500</x:v>
      </x:c>
      <x:c r="F885" s="9" t="n">
        <x:v>0</x:v>
      </x:c>
    </x:row>
    <x:row r="886" ht="34" customHeight="1">
      <x:c r="A886" s="4" t="str">
        <x:v>RS-00463-I1</x:v>
      </x:c>
      <x:c r="B886" s="4" t="str">
        <x:v>RS-00463</x:v>
      </x:c>
      <x:c r="C886" s="9" t="n">
        <x:v>1</x:v>
      </x:c>
      <x:c r="D886" s="8" t="n">
        <x:v>45306</x:v>
      </x:c>
      <x:c r="E886" s="9" t="n">
        <x:v>1150000</x:v>
      </x:c>
      <x:c r="F886" s="9" t="n">
        <x:v>460000</x:v>
      </x:c>
    </x:row>
    <x:row r="887" ht="34" customHeight="1">
      <x:c r="A887" s="4" t="str">
        <x:v>RS-00463-I2</x:v>
      </x:c>
      <x:c r="B887" s="4" t="str">
        <x:v>RS-00463</x:v>
      </x:c>
      <x:c r="C887" s="9" t="n">
        <x:v>2</x:v>
      </x:c>
      <x:c r="D887" s="8" t="n">
        <x:v>45336</x:v>
      </x:c>
      <x:c r="E887" s="9" t="n">
        <x:v>1150000</x:v>
      </x:c>
      <x:c r="F887" s="9" t="n">
        <x:v>0</x:v>
      </x:c>
    </x:row>
    <x:row r="888" ht="34" customHeight="1">
      <x:c r="A888" s="4" t="str">
        <x:v>RS-00463-I3</x:v>
      </x:c>
      <x:c r="B888" s="4" t="str">
        <x:v>RS-00463</x:v>
      </x:c>
      <x:c r="C888" s="9" t="n">
        <x:v>3</x:v>
      </x:c>
      <x:c r="D888" s="8" t="n">
        <x:v>45366</x:v>
      </x:c>
      <x:c r="E888" s="9" t="n">
        <x:v>1150000</x:v>
      </x:c>
      <x:c r="F888" s="9" t="n">
        <x:v>0</x:v>
      </x:c>
    </x:row>
    <x:row r="889" ht="34" customHeight="1">
      <x:c r="A889" s="4" t="str">
        <x:v>RS-00463-I4</x:v>
      </x:c>
      <x:c r="B889" s="4" t="str">
        <x:v>RS-00463</x:v>
      </x:c>
      <x:c r="C889" s="9" t="n">
        <x:v>4</x:v>
      </x:c>
      <x:c r="D889" s="8" t="n">
        <x:v>45396</x:v>
      </x:c>
      <x:c r="E889" s="9" t="n">
        <x:v>1150000</x:v>
      </x:c>
      <x:c r="F889" s="9" t="n">
        <x:v>0</x:v>
      </x:c>
    </x:row>
    <x:row r="890" ht="34" customHeight="1">
      <x:c r="A890" s="4" t="str">
        <x:v>RS-00465-I1</x:v>
      </x:c>
      <x:c r="B890" s="4" t="str">
        <x:v>RS-00465</x:v>
      </x:c>
      <x:c r="C890" s="9" t="n">
        <x:v>1</x:v>
      </x:c>
      <x:c r="D890" s="8" t="n">
        <x:v>45308</x:v>
      </x:c>
      <x:c r="E890" s="9" t="n">
        <x:v>1296750</x:v>
      </x:c>
      <x:c r="F890" s="9" t="n">
        <x:v>518700</x:v>
      </x:c>
    </x:row>
    <x:row r="891" ht="34" customHeight="1">
      <x:c r="A891" s="4" t="str">
        <x:v>RS-00465-I2</x:v>
      </x:c>
      <x:c r="B891" s="4" t="str">
        <x:v>RS-00465</x:v>
      </x:c>
      <x:c r="C891" s="9" t="n">
        <x:v>2</x:v>
      </x:c>
      <x:c r="D891" s="8" t="n">
        <x:v>45338</x:v>
      </x:c>
      <x:c r="E891" s="9" t="n">
        <x:v>1296750</x:v>
      </x:c>
      <x:c r="F891" s="9" t="n">
        <x:v>0</x:v>
      </x:c>
    </x:row>
    <x:row r="892" ht="34" customHeight="1">
      <x:c r="A892" s="4" t="str">
        <x:v>RS-00465-I3</x:v>
      </x:c>
      <x:c r="B892" s="4" t="str">
        <x:v>RS-00465</x:v>
      </x:c>
      <x:c r="C892" s="9" t="n">
        <x:v>3</x:v>
      </x:c>
      <x:c r="D892" s="8" t="n">
        <x:v>45368</x:v>
      </x:c>
      <x:c r="E892" s="9" t="n">
        <x:v>1296750</x:v>
      </x:c>
      <x:c r="F892" s="9" t="n">
        <x:v>0</x:v>
      </x:c>
    </x:row>
    <x:row r="893" ht="34" customHeight="1">
      <x:c r="A893" s="4" t="str">
        <x:v>RS-00465-I4</x:v>
      </x:c>
      <x:c r="B893" s="4" t="str">
        <x:v>RS-00465</x:v>
      </x:c>
      <x:c r="C893" s="9" t="n">
        <x:v>4</x:v>
      </x:c>
      <x:c r="D893" s="8" t="n">
        <x:v>45398</x:v>
      </x:c>
      <x:c r="E893" s="9" t="n">
        <x:v>1296750</x:v>
      </x:c>
      <x:c r="F893" s="9" t="n">
        <x:v>0</x:v>
      </x:c>
    </x:row>
    <x:row r="894" ht="34" customHeight="1">
      <x:c r="A894" s="4" t="str">
        <x:v>RS-00467-I1</x:v>
      </x:c>
      <x:c r="B894" s="4" t="str">
        <x:v>RS-00467</x:v>
      </x:c>
      <x:c r="C894" s="9" t="n">
        <x:v>1</x:v>
      </x:c>
      <x:c r="D894" s="8" t="n">
        <x:v>45310</x:v>
      </x:c>
      <x:c r="E894" s="9" t="n">
        <x:v>2229500</x:v>
      </x:c>
      <x:c r="F894" s="9" t="n">
        <x:v>2229500</x:v>
      </x:c>
    </x:row>
    <x:row r="895" ht="34" customHeight="1">
      <x:c r="A895" s="4" t="str">
        <x:v>RS-00467-I2</x:v>
      </x:c>
      <x:c r="B895" s="4" t="str">
        <x:v>RS-00467</x:v>
      </x:c>
      <x:c r="C895" s="9" t="n">
        <x:v>2</x:v>
      </x:c>
      <x:c r="D895" s="8" t="n">
        <x:v>45340</x:v>
      </x:c>
      <x:c r="E895" s="9" t="n">
        <x:v>2229500</x:v>
      </x:c>
      <x:c r="F895" s="9" t="n">
        <x:v>2229500</x:v>
      </x:c>
    </x:row>
    <x:row r="896" ht="34" customHeight="1">
      <x:c r="A896" s="4" t="str">
        <x:v>RS-00467-I3</x:v>
      </x:c>
      <x:c r="B896" s="4" t="str">
        <x:v>RS-00467</x:v>
      </x:c>
      <x:c r="C896" s="9" t="n">
        <x:v>3</x:v>
      </x:c>
      <x:c r="D896" s="8" t="n">
        <x:v>45370</x:v>
      </x:c>
      <x:c r="E896" s="9" t="n">
        <x:v>2229500</x:v>
      </x:c>
      <x:c r="F896" s="9" t="n">
        <x:v>2229500</x:v>
      </x:c>
    </x:row>
    <x:row r="897" ht="34" customHeight="1">
      <x:c r="A897" s="4" t="str">
        <x:v>RS-00467-I4</x:v>
      </x:c>
      <x:c r="B897" s="4" t="str">
        <x:v>RS-00467</x:v>
      </x:c>
      <x:c r="C897" s="9" t="n">
        <x:v>4</x:v>
      </x:c>
      <x:c r="D897" s="8" t="n">
        <x:v>45400</x:v>
      </x:c>
      <x:c r="E897" s="9" t="n">
        <x:v>2229500</x:v>
      </x:c>
      <x:c r="F897" s="9" t="n">
        <x:v>2229500</x:v>
      </x:c>
    </x:row>
    <x:row r="898" ht="34" customHeight="1">
      <x:c r="A898" s="4" t="str">
        <x:v>RS-00468-I1</x:v>
      </x:c>
      <x:c r="B898" s="4" t="str">
        <x:v>RS-00468</x:v>
      </x:c>
      <x:c r="C898" s="9" t="n">
        <x:v>1</x:v>
      </x:c>
      <x:c r="D898" s="8" t="n">
        <x:v>45311</x:v>
      </x:c>
      <x:c r="E898" s="9" t="n">
        <x:v>5537000</x:v>
      </x:c>
      <x:c r="F898" s="9" t="n">
        <x:v>2214800</x:v>
      </x:c>
    </x:row>
    <x:row r="899" ht="34" customHeight="1">
      <x:c r="A899" s="4" t="str">
        <x:v>RS-00468-I2</x:v>
      </x:c>
      <x:c r="B899" s="4" t="str">
        <x:v>RS-00468</x:v>
      </x:c>
      <x:c r="C899" s="9" t="n">
        <x:v>2</x:v>
      </x:c>
      <x:c r="D899" s="8" t="n">
        <x:v>45341</x:v>
      </x:c>
      <x:c r="E899" s="9" t="n">
        <x:v>5537000</x:v>
      </x:c>
      <x:c r="F899" s="9" t="n">
        <x:v>0</x:v>
      </x:c>
    </x:row>
    <x:row r="900" ht="34" customHeight="1">
      <x:c r="A900" s="4" t="str">
        <x:v>RS-00468-I3</x:v>
      </x:c>
      <x:c r="B900" s="4" t="str">
        <x:v>RS-00468</x:v>
      </x:c>
      <x:c r="C900" s="9" t="n">
        <x:v>3</x:v>
      </x:c>
      <x:c r="D900" s="8" t="n">
        <x:v>45371</x:v>
      </x:c>
      <x:c r="E900" s="9" t="n">
        <x:v>5537000</x:v>
      </x:c>
      <x:c r="F900" s="9" t="n">
        <x:v>0</x:v>
      </x:c>
    </x:row>
    <x:row r="901" ht="34" customHeight="1">
      <x:c r="A901" s="4" t="str">
        <x:v>RS-00468-I4</x:v>
      </x:c>
      <x:c r="B901" s="4" t="str">
        <x:v>RS-00468</x:v>
      </x:c>
      <x:c r="C901" s="9" t="n">
        <x:v>4</x:v>
      </x:c>
      <x:c r="D901" s="8" t="n">
        <x:v>45401</x:v>
      </x:c>
      <x:c r="E901" s="9" t="n">
        <x:v>5537000</x:v>
      </x:c>
      <x:c r="F901" s="9" t="n">
        <x:v>0</x:v>
      </x:c>
    </x:row>
    <x:row r="902" ht="34" customHeight="1">
      <x:c r="A902" s="4" t="str">
        <x:v>RS-00469-I1</x:v>
      </x:c>
      <x:c r="B902" s="4" t="str">
        <x:v>RS-00469</x:v>
      </x:c>
      <x:c r="C902" s="9" t="n">
        <x:v>1</x:v>
      </x:c>
      <x:c r="D902" s="8" t="n">
        <x:v>45312</x:v>
      </x:c>
      <x:c r="E902" s="9" t="n">
        <x:v>4739250</x:v>
      </x:c>
      <x:c r="F902" s="9" t="n">
        <x:v>4739250</x:v>
      </x:c>
    </x:row>
    <x:row r="903" ht="34" customHeight="1">
      <x:c r="A903" s="4" t="str">
        <x:v>RS-00469-I2</x:v>
      </x:c>
      <x:c r="B903" s="4" t="str">
        <x:v>RS-00469</x:v>
      </x:c>
      <x:c r="C903" s="9" t="n">
        <x:v>2</x:v>
      </x:c>
      <x:c r="D903" s="8" t="n">
        <x:v>45342</x:v>
      </x:c>
      <x:c r="E903" s="9" t="n">
        <x:v>4739250</x:v>
      </x:c>
      <x:c r="F903" s="9" t="n">
        <x:v>4739250</x:v>
      </x:c>
    </x:row>
    <x:row r="904" ht="34" customHeight="1">
      <x:c r="A904" s="4" t="str">
        <x:v>RS-00469-I3</x:v>
      </x:c>
      <x:c r="B904" s="4" t="str">
        <x:v>RS-00469</x:v>
      </x:c>
      <x:c r="C904" s="9" t="n">
        <x:v>3</x:v>
      </x:c>
      <x:c r="D904" s="8" t="n">
        <x:v>45372</x:v>
      </x:c>
      <x:c r="E904" s="9" t="n">
        <x:v>4739250</x:v>
      </x:c>
      <x:c r="F904" s="9" t="n">
        <x:v>0</x:v>
      </x:c>
    </x:row>
    <x:row r="905" ht="34" customHeight="1">
      <x:c r="A905" s="4" t="str">
        <x:v>RS-00469-I4</x:v>
      </x:c>
      <x:c r="B905" s="4" t="str">
        <x:v>RS-00469</x:v>
      </x:c>
      <x:c r="C905" s="9" t="n">
        <x:v>4</x:v>
      </x:c>
      <x:c r="D905" s="8" t="n">
        <x:v>45402</x:v>
      </x:c>
      <x:c r="E905" s="9" t="n">
        <x:v>4739250</x:v>
      </x:c>
      <x:c r="F905" s="9" t="n">
        <x:v>0</x:v>
      </x:c>
    </x:row>
    <x:row r="906" ht="34" customHeight="1">
      <x:c r="A906" s="4" t="str">
        <x:v>RS-00470-I1</x:v>
      </x:c>
      <x:c r="B906" s="4" t="str">
        <x:v>RS-00470</x:v>
      </x:c>
      <x:c r="C906" s="9" t="n">
        <x:v>1</x:v>
      </x:c>
      <x:c r="D906" s="8" t="n">
        <x:v>45313</x:v>
      </x:c>
      <x:c r="E906" s="9" t="n">
        <x:v>5428000</x:v>
      </x:c>
      <x:c r="F906" s="9" t="n">
        <x:v>5428000</x:v>
      </x:c>
    </x:row>
    <x:row r="907" ht="34" customHeight="1">
      <x:c r="A907" s="4" t="str">
        <x:v>RS-00470-I2</x:v>
      </x:c>
      <x:c r="B907" s="4" t="str">
        <x:v>RS-00470</x:v>
      </x:c>
      <x:c r="C907" s="9" t="n">
        <x:v>2</x:v>
      </x:c>
      <x:c r="D907" s="8" t="n">
        <x:v>45343</x:v>
      </x:c>
      <x:c r="E907" s="9" t="n">
        <x:v>5428000</x:v>
      </x:c>
      <x:c r="F907" s="9" t="n">
        <x:v>5428000</x:v>
      </x:c>
    </x:row>
    <x:row r="908" ht="34" customHeight="1">
      <x:c r="A908" s="4" t="str">
        <x:v>RS-00470-I3</x:v>
      </x:c>
      <x:c r="B908" s="4" t="str">
        <x:v>RS-00470</x:v>
      </x:c>
      <x:c r="C908" s="9" t="n">
        <x:v>3</x:v>
      </x:c>
      <x:c r="D908" s="8" t="n">
        <x:v>45373</x:v>
      </x:c>
      <x:c r="E908" s="9" t="n">
        <x:v>5428000</x:v>
      </x:c>
      <x:c r="F908" s="9" t="n">
        <x:v>5428000</x:v>
      </x:c>
    </x:row>
    <x:row r="909" ht="34" customHeight="1">
      <x:c r="A909" s="4" t="str">
        <x:v>RS-00470-I4</x:v>
      </x:c>
      <x:c r="B909" s="4" t="str">
        <x:v>RS-00470</x:v>
      </x:c>
      <x:c r="C909" s="9" t="n">
        <x:v>4</x:v>
      </x:c>
      <x:c r="D909" s="8" t="n">
        <x:v>45403</x:v>
      </x:c>
      <x:c r="E909" s="9" t="n">
        <x:v>5428000</x:v>
      </x:c>
      <x:c r="F909" s="9" t="n">
        <x:v>5428000</x:v>
      </x:c>
    </x:row>
    <x:row r="910" ht="34" customHeight="1">
      <x:c r="A910" s="4" t="str">
        <x:v>RS-00471-I1</x:v>
      </x:c>
      <x:c r="B910" s="4" t="str">
        <x:v>RS-00471</x:v>
      </x:c>
      <x:c r="C910" s="9" t="n">
        <x:v>1</x:v>
      </x:c>
      <x:c r="D910" s="8" t="n">
        <x:v>45314</x:v>
      </x:c>
      <x:c r="E910" s="9" t="n">
        <x:v>5795750</x:v>
      </x:c>
      <x:c r="F910" s="9" t="n">
        <x:v>5795750</x:v>
      </x:c>
    </x:row>
    <x:row r="911" ht="34" customHeight="1">
      <x:c r="A911" s="4" t="str">
        <x:v>RS-00471-I2</x:v>
      </x:c>
      <x:c r="B911" s="4" t="str">
        <x:v>RS-00471</x:v>
      </x:c>
      <x:c r="C911" s="9" t="n">
        <x:v>2</x:v>
      </x:c>
      <x:c r="D911" s="8" t="n">
        <x:v>45344</x:v>
      </x:c>
      <x:c r="E911" s="9" t="n">
        <x:v>5795750</x:v>
      </x:c>
      <x:c r="F911" s="9" t="n">
        <x:v>5795750</x:v>
      </x:c>
    </x:row>
    <x:row r="912" ht="34" customHeight="1">
      <x:c r="A912" s="4" t="str">
        <x:v>RS-00471-I3</x:v>
      </x:c>
      <x:c r="B912" s="4" t="str">
        <x:v>RS-00471</x:v>
      </x:c>
      <x:c r="C912" s="9" t="n">
        <x:v>3</x:v>
      </x:c>
      <x:c r="D912" s="8" t="n">
        <x:v>45374</x:v>
      </x:c>
      <x:c r="E912" s="9" t="n">
        <x:v>5795750</x:v>
      </x:c>
      <x:c r="F912" s="9" t="n">
        <x:v>5795750</x:v>
      </x:c>
    </x:row>
    <x:row r="913" ht="34" customHeight="1">
      <x:c r="A913" s="4" t="str">
        <x:v>RS-00471-I4</x:v>
      </x:c>
      <x:c r="B913" s="4" t="str">
        <x:v>RS-00471</x:v>
      </x:c>
      <x:c r="C913" s="9" t="n">
        <x:v>4</x:v>
      </x:c>
      <x:c r="D913" s="8" t="n">
        <x:v>45404</x:v>
      </x:c>
      <x:c r="E913" s="9" t="n">
        <x:v>5795750</x:v>
      </x:c>
      <x:c r="F913" s="9" t="n">
        <x:v>5795750</x:v>
      </x:c>
    </x:row>
    <x:row r="914" ht="34" customHeight="1">
      <x:c r="A914" s="4" t="str">
        <x:v>RS-00472-I1</x:v>
      </x:c>
      <x:c r="B914" s="4" t="str">
        <x:v>RS-00472</x:v>
      </x:c>
      <x:c r="C914" s="9" t="n">
        <x:v>1</x:v>
      </x:c>
      <x:c r="D914" s="8" t="n">
        <x:v>45315</x:v>
      </x:c>
      <x:c r="E914" s="9" t="n">
        <x:v>2655500</x:v>
      </x:c>
      <x:c r="F914" s="9" t="n">
        <x:v>2655500</x:v>
      </x:c>
    </x:row>
    <x:row r="915" ht="34" customHeight="1">
      <x:c r="A915" s="4" t="str">
        <x:v>RS-00472-I2</x:v>
      </x:c>
      <x:c r="B915" s="4" t="str">
        <x:v>RS-00472</x:v>
      </x:c>
      <x:c r="C915" s="9" t="n">
        <x:v>2</x:v>
      </x:c>
      <x:c r="D915" s="8" t="n">
        <x:v>45345</x:v>
      </x:c>
      <x:c r="E915" s="9" t="n">
        <x:v>2655500</x:v>
      </x:c>
      <x:c r="F915" s="9" t="n">
        <x:v>2655500</x:v>
      </x:c>
    </x:row>
    <x:row r="916" ht="34" customHeight="1">
      <x:c r="A916" s="4" t="str">
        <x:v>RS-00472-I3</x:v>
      </x:c>
      <x:c r="B916" s="4" t="str">
        <x:v>RS-00472</x:v>
      </x:c>
      <x:c r="C916" s="9" t="n">
        <x:v>3</x:v>
      </x:c>
      <x:c r="D916" s="8" t="n">
        <x:v>45375</x:v>
      </x:c>
      <x:c r="E916" s="9" t="n">
        <x:v>2655500</x:v>
      </x:c>
      <x:c r="F916" s="9" t="n">
        <x:v>0</x:v>
      </x:c>
    </x:row>
    <x:row r="917" ht="34" customHeight="1">
      <x:c r="A917" s="4" t="str">
        <x:v>RS-00472-I4</x:v>
      </x:c>
      <x:c r="B917" s="4" t="str">
        <x:v>RS-00472</x:v>
      </x:c>
      <x:c r="C917" s="9" t="n">
        <x:v>4</x:v>
      </x:c>
      <x:c r="D917" s="8" t="n">
        <x:v>45405</x:v>
      </x:c>
      <x:c r="E917" s="9" t="n">
        <x:v>2655500</x:v>
      </x:c>
      <x:c r="F917" s="9" t="n">
        <x:v>0</x:v>
      </x:c>
    </x:row>
    <x:row r="918" ht="34" customHeight="1">
      <x:c r="A918" s="4" t="str">
        <x:v>RS-00474-I1</x:v>
      </x:c>
      <x:c r="B918" s="4" t="str">
        <x:v>RS-00474</x:v>
      </x:c>
      <x:c r="C918" s="9" t="n">
        <x:v>1</x:v>
      </x:c>
      <x:c r="D918" s="8" t="n">
        <x:v>45317</x:v>
      </x:c>
      <x:c r="E918" s="9" t="n">
        <x:v>1509750</x:v>
      </x:c>
      <x:c r="F918" s="9" t="n">
        <x:v>1509750</x:v>
      </x:c>
    </x:row>
    <x:row r="919" ht="34" customHeight="1">
      <x:c r="A919" s="4" t="str">
        <x:v>RS-00474-I2</x:v>
      </x:c>
      <x:c r="B919" s="4" t="str">
        <x:v>RS-00474</x:v>
      </x:c>
      <x:c r="C919" s="9" t="n">
        <x:v>2</x:v>
      </x:c>
      <x:c r="D919" s="8" t="n">
        <x:v>45347</x:v>
      </x:c>
      <x:c r="E919" s="9" t="n">
        <x:v>1509750</x:v>
      </x:c>
      <x:c r="F919" s="9" t="n">
        <x:v>0</x:v>
      </x:c>
    </x:row>
    <x:row r="920" ht="34" customHeight="1">
      <x:c r="A920" s="4" t="str">
        <x:v>RS-00474-I3</x:v>
      </x:c>
      <x:c r="B920" s="4" t="str">
        <x:v>RS-00474</x:v>
      </x:c>
      <x:c r="C920" s="9" t="n">
        <x:v>3</x:v>
      </x:c>
      <x:c r="D920" s="8" t="n">
        <x:v>45377</x:v>
      </x:c>
      <x:c r="E920" s="9" t="n">
        <x:v>1509750</x:v>
      </x:c>
      <x:c r="F920" s="9" t="n">
        <x:v>0</x:v>
      </x:c>
    </x:row>
    <x:row r="921" ht="34" customHeight="1">
      <x:c r="A921" s="4" t="str">
        <x:v>RS-00474-I4</x:v>
      </x:c>
      <x:c r="B921" s="4" t="str">
        <x:v>RS-00474</x:v>
      </x:c>
      <x:c r="C921" s="9" t="n">
        <x:v>4</x:v>
      </x:c>
      <x:c r="D921" s="8" t="n">
        <x:v>45407</x:v>
      </x:c>
      <x:c r="E921" s="9" t="n">
        <x:v>1509750</x:v>
      </x:c>
      <x:c r="F921" s="9" t="n">
        <x:v>0</x:v>
      </x:c>
    </x:row>
    <x:row r="922" ht="34" customHeight="1">
      <x:c r="A922" s="4" t="str">
        <x:v>RS-00476-I1</x:v>
      </x:c>
      <x:c r="B922" s="4" t="str">
        <x:v>RS-00476</x:v>
      </x:c>
      <x:c r="C922" s="9" t="n">
        <x:v>1</x:v>
      </x:c>
      <x:c r="D922" s="8" t="n">
        <x:v>45319</x:v>
      </x:c>
      <x:c r="E922" s="9" t="n">
        <x:v>2502500</x:v>
      </x:c>
      <x:c r="F922" s="9" t="n">
        <x:v>2502500</x:v>
      </x:c>
    </x:row>
    <x:row r="923" ht="34" customHeight="1">
      <x:c r="A923" s="4" t="str">
        <x:v>RS-00476-I2</x:v>
      </x:c>
      <x:c r="B923" s="4" t="str">
        <x:v>RS-00476</x:v>
      </x:c>
      <x:c r="C923" s="9" t="n">
        <x:v>2</x:v>
      </x:c>
      <x:c r="D923" s="8" t="n">
        <x:v>45349</x:v>
      </x:c>
      <x:c r="E923" s="9" t="n">
        <x:v>2502500</x:v>
      </x:c>
      <x:c r="F923" s="9" t="n">
        <x:v>2502500</x:v>
      </x:c>
    </x:row>
    <x:row r="924" ht="34" customHeight="1">
      <x:c r="A924" s="4" t="str">
        <x:v>RS-00476-I3</x:v>
      </x:c>
      <x:c r="B924" s="4" t="str">
        <x:v>RS-00476</x:v>
      </x:c>
      <x:c r="C924" s="9" t="n">
        <x:v>3</x:v>
      </x:c>
      <x:c r="D924" s="8" t="n">
        <x:v>45379</x:v>
      </x:c>
      <x:c r="E924" s="9" t="n">
        <x:v>2502500</x:v>
      </x:c>
      <x:c r="F924" s="9" t="n">
        <x:v>0</x:v>
      </x:c>
    </x:row>
    <x:row r="925" ht="34" customHeight="1">
      <x:c r="A925" s="4" t="str">
        <x:v>RS-00476-I4</x:v>
      </x:c>
      <x:c r="B925" s="4" t="str">
        <x:v>RS-00476</x:v>
      </x:c>
      <x:c r="C925" s="9" t="n">
        <x:v>4</x:v>
      </x:c>
      <x:c r="D925" s="8" t="n">
        <x:v>45409</x:v>
      </x:c>
      <x:c r="E925" s="9" t="n">
        <x:v>2502500</x:v>
      </x:c>
      <x:c r="F925" s="9" t="n">
        <x:v>0</x:v>
      </x:c>
    </x:row>
    <x:row r="926" ht="34" customHeight="1">
      <x:c r="A926" s="4" t="str">
        <x:v>RS-00484-I1</x:v>
      </x:c>
      <x:c r="B926" s="4" t="str">
        <x:v>RS-00484</x:v>
      </x:c>
      <x:c r="C926" s="9" t="n">
        <x:v>1</x:v>
      </x:c>
      <x:c r="D926" s="8" t="n">
        <x:v>45299</x:v>
      </x:c>
      <x:c r="E926" s="9" t="n">
        <x:v>4392000</x:v>
      </x:c>
      <x:c r="F926" s="9" t="n">
        <x:v>4392000</x:v>
      </x:c>
    </x:row>
    <x:row r="927" ht="34" customHeight="1">
      <x:c r="A927" s="4" t="str">
        <x:v>RS-00484-I2</x:v>
      </x:c>
      <x:c r="B927" s="4" t="str">
        <x:v>RS-00484</x:v>
      </x:c>
      <x:c r="C927" s="9" t="n">
        <x:v>2</x:v>
      </x:c>
      <x:c r="D927" s="8" t="n">
        <x:v>45329</x:v>
      </x:c>
      <x:c r="E927" s="9" t="n">
        <x:v>4392000</x:v>
      </x:c>
      <x:c r="F927" s="9" t="n">
        <x:v>4392000</x:v>
      </x:c>
    </x:row>
    <x:row r="928" ht="34" customHeight="1">
      <x:c r="A928" s="4" t="str">
        <x:v>RS-00484-I3</x:v>
      </x:c>
      <x:c r="B928" s="4" t="str">
        <x:v>RS-00484</x:v>
      </x:c>
      <x:c r="C928" s="9" t="n">
        <x:v>3</x:v>
      </x:c>
      <x:c r="D928" s="8" t="n">
        <x:v>45359</x:v>
      </x:c>
      <x:c r="E928" s="9" t="n">
        <x:v>4392000</x:v>
      </x:c>
      <x:c r="F928" s="9" t="n">
        <x:v>0</x:v>
      </x:c>
    </x:row>
    <x:row r="929" ht="34" customHeight="1">
      <x:c r="A929" s="4" t="str">
        <x:v>RS-00484-I4</x:v>
      </x:c>
      <x:c r="B929" s="4" t="str">
        <x:v>RS-00484</x:v>
      </x:c>
      <x:c r="C929" s="9" t="n">
        <x:v>4</x:v>
      </x:c>
      <x:c r="D929" s="8" t="n">
        <x:v>45389</x:v>
      </x:c>
      <x:c r="E929" s="9" t="n">
        <x:v>4392000</x:v>
      </x:c>
      <x:c r="F929" s="9" t="n">
        <x:v>0</x:v>
      </x:c>
    </x:row>
    <x:row r="930" ht="34" customHeight="1">
      <x:c r="A930" s="4" t="str">
        <x:v>RS-00485-I1</x:v>
      </x:c>
      <x:c r="B930" s="4" t="str">
        <x:v>RS-00485</x:v>
      </x:c>
      <x:c r="C930" s="9" t="n">
        <x:v>1</x:v>
      </x:c>
      <x:c r="D930" s="8" t="n">
        <x:v>45300</x:v>
      </x:c>
      <x:c r="E930" s="9" t="n">
        <x:v>4508000</x:v>
      </x:c>
      <x:c r="F930" s="9" t="n">
        <x:v>4508000</x:v>
      </x:c>
    </x:row>
    <x:row r="931" ht="34" customHeight="1">
      <x:c r="A931" s="4" t="str">
        <x:v>RS-00485-I2</x:v>
      </x:c>
      <x:c r="B931" s="4" t="str">
        <x:v>RS-00485</x:v>
      </x:c>
      <x:c r="C931" s="9" t="n">
        <x:v>2</x:v>
      </x:c>
      <x:c r="D931" s="8" t="n">
        <x:v>45330</x:v>
      </x:c>
      <x:c r="E931" s="9" t="n">
        <x:v>4508000</x:v>
      </x:c>
      <x:c r="F931" s="9" t="n">
        <x:v>4508000</x:v>
      </x:c>
    </x:row>
    <x:row r="932" ht="34" customHeight="1">
      <x:c r="A932" s="4" t="str">
        <x:v>RS-00485-I3</x:v>
      </x:c>
      <x:c r="B932" s="4" t="str">
        <x:v>RS-00485</x:v>
      </x:c>
      <x:c r="C932" s="9" t="n">
        <x:v>3</x:v>
      </x:c>
      <x:c r="D932" s="8" t="n">
        <x:v>45360</x:v>
      </x:c>
      <x:c r="E932" s="9" t="n">
        <x:v>4508000</x:v>
      </x:c>
      <x:c r="F932" s="9" t="n">
        <x:v>0</x:v>
      </x:c>
    </x:row>
    <x:row r="933" ht="34" customHeight="1">
      <x:c r="A933" s="4" t="str">
        <x:v>RS-00485-I4</x:v>
      </x:c>
      <x:c r="B933" s="4" t="str">
        <x:v>RS-00485</x:v>
      </x:c>
      <x:c r="C933" s="9" t="n">
        <x:v>4</x:v>
      </x:c>
      <x:c r="D933" s="8" t="n">
        <x:v>45390</x:v>
      </x:c>
      <x:c r="E933" s="9" t="n">
        <x:v>4508000</x:v>
      </x:c>
      <x:c r="F933" s="9" t="n">
        <x:v>0</x:v>
      </x:c>
    </x:row>
    <x:row r="934" ht="34" customHeight="1">
      <x:c r="A934" s="4" t="str">
        <x:v>RS-00489-I1</x:v>
      </x:c>
      <x:c r="B934" s="4" t="str">
        <x:v>RS-00489</x:v>
      </x:c>
      <x:c r="C934" s="9" t="n">
        <x:v>1</x:v>
      </x:c>
      <x:c r="D934" s="8" t="n">
        <x:v>45304</x:v>
      </x:c>
      <x:c r="E934" s="9" t="n">
        <x:v>3735000</x:v>
      </x:c>
      <x:c r="F934" s="9" t="n">
        <x:v>3735000</x:v>
      </x:c>
    </x:row>
    <x:row r="935" ht="34" customHeight="1">
      <x:c r="A935" s="4" t="str">
        <x:v>RS-00489-I2</x:v>
      </x:c>
      <x:c r="B935" s="4" t="str">
        <x:v>RS-00489</x:v>
      </x:c>
      <x:c r="C935" s="9" t="n">
        <x:v>2</x:v>
      </x:c>
      <x:c r="D935" s="8" t="n">
        <x:v>45334</x:v>
      </x:c>
      <x:c r="E935" s="9" t="n">
        <x:v>3735000</x:v>
      </x:c>
      <x:c r="F935" s="9" t="n">
        <x:v>3735000</x:v>
      </x:c>
    </x:row>
    <x:row r="936" ht="34" customHeight="1">
      <x:c r="A936" s="4" t="str">
        <x:v>RS-00489-I3</x:v>
      </x:c>
      <x:c r="B936" s="4" t="str">
        <x:v>RS-00489</x:v>
      </x:c>
      <x:c r="C936" s="9" t="n">
        <x:v>3</x:v>
      </x:c>
      <x:c r="D936" s="8" t="n">
        <x:v>45364</x:v>
      </x:c>
      <x:c r="E936" s="9" t="n">
        <x:v>3735000</x:v>
      </x:c>
      <x:c r="F936" s="9" t="n">
        <x:v>3735000</x:v>
      </x:c>
    </x:row>
    <x:row r="937" ht="34" customHeight="1">
      <x:c r="A937" s="4" t="str">
        <x:v>RS-00489-I4</x:v>
      </x:c>
      <x:c r="B937" s="4" t="str">
        <x:v>RS-00489</x:v>
      </x:c>
      <x:c r="C937" s="9" t="n">
        <x:v>4</x:v>
      </x:c>
      <x:c r="D937" s="8" t="n">
        <x:v>45394</x:v>
      </x:c>
      <x:c r="E937" s="9" t="n">
        <x:v>3735000</x:v>
      </x:c>
      <x:c r="F937" s="9" t="n">
        <x:v>3735000</x:v>
      </x:c>
    </x:row>
    <x:row r="938" ht="34" customHeight="1">
      <x:c r="A938" s="4" t="str">
        <x:v>RS-00491-I1</x:v>
      </x:c>
      <x:c r="B938" s="4" t="str">
        <x:v>RS-00491</x:v>
      </x:c>
      <x:c r="C938" s="9" t="n">
        <x:v>1</x:v>
      </x:c>
      <x:c r="D938" s="8" t="n">
        <x:v>45306</x:v>
      </x:c>
      <x:c r="E938" s="9" t="n">
        <x:v>1978000</x:v>
      </x:c>
      <x:c r="F938" s="9" t="n">
        <x:v>791200</x:v>
      </x:c>
    </x:row>
    <x:row r="939" ht="34" customHeight="1">
      <x:c r="A939" s="4" t="str">
        <x:v>RS-00491-I2</x:v>
      </x:c>
      <x:c r="B939" s="4" t="str">
        <x:v>RS-00491</x:v>
      </x:c>
      <x:c r="C939" s="9" t="n">
        <x:v>2</x:v>
      </x:c>
      <x:c r="D939" s="8" t="n">
        <x:v>45336</x:v>
      </x:c>
      <x:c r="E939" s="9" t="n">
        <x:v>1978000</x:v>
      </x:c>
      <x:c r="F939" s="9" t="n">
        <x:v>0</x:v>
      </x:c>
    </x:row>
    <x:row r="940" ht="34" customHeight="1">
      <x:c r="A940" s="4" t="str">
        <x:v>RS-00491-I3</x:v>
      </x:c>
      <x:c r="B940" s="4" t="str">
        <x:v>RS-00491</x:v>
      </x:c>
      <x:c r="C940" s="9" t="n">
        <x:v>3</x:v>
      </x:c>
      <x:c r="D940" s="8" t="n">
        <x:v>45366</x:v>
      </x:c>
      <x:c r="E940" s="9" t="n">
        <x:v>1978000</x:v>
      </x:c>
      <x:c r="F940" s="9" t="n">
        <x:v>0</x:v>
      </x:c>
    </x:row>
    <x:row r="941" ht="34" customHeight="1">
      <x:c r="A941" s="4" t="str">
        <x:v>RS-00491-I4</x:v>
      </x:c>
      <x:c r="B941" s="4" t="str">
        <x:v>RS-00491</x:v>
      </x:c>
      <x:c r="C941" s="9" t="n">
        <x:v>4</x:v>
      </x:c>
      <x:c r="D941" s="8" t="n">
        <x:v>45396</x:v>
      </x:c>
      <x:c r="E941" s="9" t="n">
        <x:v>1978000</x:v>
      </x:c>
      <x:c r="F941" s="9" t="n">
        <x:v>0</x:v>
      </x:c>
    </x:row>
    <x:row r="942" ht="34" customHeight="1">
      <x:c r="A942" s="4" t="str">
        <x:v>RS-00493-I1</x:v>
      </x:c>
      <x:c r="B942" s="4" t="str">
        <x:v>RS-00493</x:v>
      </x:c>
      <x:c r="C942" s="9" t="n">
        <x:v>1</x:v>
      </x:c>
      <x:c r="D942" s="8" t="n">
        <x:v>45308</x:v>
      </x:c>
      <x:c r="E942" s="9" t="n">
        <x:v>1380000</x:v>
      </x:c>
      <x:c r="F942" s="9" t="n">
        <x:v>1380000</x:v>
      </x:c>
    </x:row>
    <x:row r="943" ht="34" customHeight="1">
      <x:c r="A943" s="4" t="str">
        <x:v>RS-00493-I2</x:v>
      </x:c>
      <x:c r="B943" s="4" t="str">
        <x:v>RS-00493</x:v>
      </x:c>
      <x:c r="C943" s="9" t="n">
        <x:v>2</x:v>
      </x:c>
      <x:c r="D943" s="8" t="n">
        <x:v>45338</x:v>
      </x:c>
      <x:c r="E943" s="9" t="n">
        <x:v>1380000</x:v>
      </x:c>
      <x:c r="F943" s="9" t="n">
        <x:v>0</x:v>
      </x:c>
    </x:row>
    <x:row r="944" ht="34" customHeight="1">
      <x:c r="A944" s="4" t="str">
        <x:v>RS-00493-I3</x:v>
      </x:c>
      <x:c r="B944" s="4" t="str">
        <x:v>RS-00493</x:v>
      </x:c>
      <x:c r="C944" s="9" t="n">
        <x:v>3</x:v>
      </x:c>
      <x:c r="D944" s="8" t="n">
        <x:v>45368</x:v>
      </x:c>
      <x:c r="E944" s="9" t="n">
        <x:v>1380000</x:v>
      </x:c>
      <x:c r="F944" s="9" t="n">
        <x:v>0</x:v>
      </x:c>
    </x:row>
    <x:row r="945" ht="34" customHeight="1">
      <x:c r="A945" s="4" t="str">
        <x:v>RS-00493-I4</x:v>
      </x:c>
      <x:c r="B945" s="4" t="str">
        <x:v>RS-00493</x:v>
      </x:c>
      <x:c r="C945" s="9" t="n">
        <x:v>4</x:v>
      </x:c>
      <x:c r="D945" s="8" t="n">
        <x:v>45398</x:v>
      </x:c>
      <x:c r="E945" s="9" t="n">
        <x:v>1380000</x:v>
      </x:c>
      <x:c r="F945" s="9" t="n">
        <x:v>0</x:v>
      </x:c>
    </x:row>
    <x:row r="946" ht="34" customHeight="1">
      <x:c r="A946" s="4" t="str">
        <x:v>RS-00494-I1</x:v>
      </x:c>
      <x:c r="B946" s="4" t="str">
        <x:v>RS-00494</x:v>
      </x:c>
      <x:c r="C946" s="9" t="n">
        <x:v>1</x:v>
      </x:c>
      <x:c r="D946" s="8" t="n">
        <x:v>45309</x:v>
      </x:c>
      <x:c r="E946" s="9" t="n">
        <x:v>2700000</x:v>
      </x:c>
      <x:c r="F946" s="9" t="n">
        <x:v>2700000</x:v>
      </x:c>
    </x:row>
    <x:row r="947" ht="34" customHeight="1">
      <x:c r="A947" s="4" t="str">
        <x:v>RS-00494-I2</x:v>
      </x:c>
      <x:c r="B947" s="4" t="str">
        <x:v>RS-00494</x:v>
      </x:c>
      <x:c r="C947" s="9" t="n">
        <x:v>2</x:v>
      </x:c>
      <x:c r="D947" s="8" t="n">
        <x:v>45339</x:v>
      </x:c>
      <x:c r="E947" s="9" t="n">
        <x:v>2700000</x:v>
      </x:c>
      <x:c r="F947" s="9" t="n">
        <x:v>2700000</x:v>
      </x:c>
    </x:row>
    <x:row r="948" ht="34" customHeight="1">
      <x:c r="A948" s="4" t="str">
        <x:v>RS-00494-I3</x:v>
      </x:c>
      <x:c r="B948" s="4" t="str">
        <x:v>RS-00494</x:v>
      </x:c>
      <x:c r="C948" s="9" t="n">
        <x:v>3</x:v>
      </x:c>
      <x:c r="D948" s="8" t="n">
        <x:v>45369</x:v>
      </x:c>
      <x:c r="E948" s="9" t="n">
        <x:v>2700000</x:v>
      </x:c>
      <x:c r="F948" s="9" t="n">
        <x:v>2700000</x:v>
      </x:c>
    </x:row>
    <x:row r="949" ht="34" customHeight="1">
      <x:c r="A949" s="4" t="str">
        <x:v>RS-00494-I4</x:v>
      </x:c>
      <x:c r="B949" s="4" t="str">
        <x:v>RS-00494</x:v>
      </x:c>
      <x:c r="C949" s="9" t="n">
        <x:v>4</x:v>
      </x:c>
      <x:c r="D949" s="8" t="n">
        <x:v>45399</x:v>
      </x:c>
      <x:c r="E949" s="9" t="n">
        <x:v>2700000</x:v>
      </x:c>
      <x:c r="F949" s="9" t="n">
        <x:v>2700000</x:v>
      </x:c>
    </x:row>
    <x:row r="950" ht="34" customHeight="1">
      <x:c r="A950" s="4" t="str">
        <x:v>RS-00497-I1</x:v>
      </x:c>
      <x:c r="B950" s="4" t="str">
        <x:v>RS-00497</x:v>
      </x:c>
      <x:c r="C950" s="9" t="n">
        <x:v>1</x:v>
      </x:c>
      <x:c r="D950" s="8" t="n">
        <x:v>45312</x:v>
      </x:c>
      <x:c r="E950" s="9" t="n">
        <x:v>5201250</x:v>
      </x:c>
      <x:c r="F950" s="9" t="n">
        <x:v>5201250</x:v>
      </x:c>
    </x:row>
    <x:row r="951" ht="34" customHeight="1">
      <x:c r="A951" s="4" t="str">
        <x:v>RS-00497-I2</x:v>
      </x:c>
      <x:c r="B951" s="4" t="str">
        <x:v>RS-00497</x:v>
      </x:c>
      <x:c r="C951" s="9" t="n">
        <x:v>2</x:v>
      </x:c>
      <x:c r="D951" s="8" t="n">
        <x:v>45342</x:v>
      </x:c>
      <x:c r="E951" s="9" t="n">
        <x:v>5201250</x:v>
      </x:c>
      <x:c r="F951" s="9" t="n">
        <x:v>0</x:v>
      </x:c>
    </x:row>
    <x:row r="952" ht="34" customHeight="1">
      <x:c r="A952" s="4" t="str">
        <x:v>RS-00497-I3</x:v>
      </x:c>
      <x:c r="B952" s="4" t="str">
        <x:v>RS-00497</x:v>
      </x:c>
      <x:c r="C952" s="9" t="n">
        <x:v>3</x:v>
      </x:c>
      <x:c r="D952" s="8" t="n">
        <x:v>45372</x:v>
      </x:c>
      <x:c r="E952" s="9" t="n">
        <x:v>5201250</x:v>
      </x:c>
      <x:c r="F952" s="9" t="n">
        <x:v>0</x:v>
      </x:c>
    </x:row>
    <x:row r="953" ht="34" customHeight="1">
      <x:c r="A953" s="4" t="str">
        <x:v>RS-00497-I4</x:v>
      </x:c>
      <x:c r="B953" s="4" t="str">
        <x:v>RS-00497</x:v>
      </x:c>
      <x:c r="C953" s="9" t="n">
        <x:v>4</x:v>
      </x:c>
      <x:c r="D953" s="8" t="n">
        <x:v>45402</x:v>
      </x:c>
      <x:c r="E953" s="9" t="n">
        <x:v>5201250</x:v>
      </x:c>
      <x:c r="F953" s="9" t="n">
        <x:v>0</x:v>
      </x:c>
    </x:row>
    <x:row r="954" ht="34" customHeight="1">
      <x:c r="A954" s="4" t="str">
        <x:v>RS-00498-I1</x:v>
      </x:c>
      <x:c r="B954" s="4" t="str">
        <x:v>RS-00498</x:v>
      </x:c>
      <x:c r="C954" s="9" t="n">
        <x:v>1</x:v>
      </x:c>
      <x:c r="D954" s="8" t="n">
        <x:v>45313</x:v>
      </x:c>
      <x:c r="E954" s="9" t="n">
        <x:v>5603250</x:v>
      </x:c>
      <x:c r="F954" s="9" t="n">
        <x:v>5603250</x:v>
      </x:c>
    </x:row>
    <x:row r="955" ht="34" customHeight="1">
      <x:c r="A955" s="4" t="str">
        <x:v>RS-00498-I2</x:v>
      </x:c>
      <x:c r="B955" s="4" t="str">
        <x:v>RS-00498</x:v>
      </x:c>
      <x:c r="C955" s="9" t="n">
        <x:v>2</x:v>
      </x:c>
      <x:c r="D955" s="8" t="n">
        <x:v>45343</x:v>
      </x:c>
      <x:c r="E955" s="9" t="n">
        <x:v>5603250</x:v>
      </x:c>
      <x:c r="F955" s="9" t="n">
        <x:v>5603250</x:v>
      </x:c>
    </x:row>
    <x:row r="956" ht="34" customHeight="1">
      <x:c r="A956" s="4" t="str">
        <x:v>RS-00498-I3</x:v>
      </x:c>
      <x:c r="B956" s="4" t="str">
        <x:v>RS-00498</x:v>
      </x:c>
      <x:c r="C956" s="9" t="n">
        <x:v>3</x:v>
      </x:c>
      <x:c r="D956" s="8" t="n">
        <x:v>45373</x:v>
      </x:c>
      <x:c r="E956" s="9" t="n">
        <x:v>5603250</x:v>
      </x:c>
      <x:c r="F956" s="9" t="n">
        <x:v>5603250</x:v>
      </x:c>
    </x:row>
    <x:row r="957" ht="34" customHeight="1">
      <x:c r="A957" s="4" t="str">
        <x:v>RS-00498-I4</x:v>
      </x:c>
      <x:c r="B957" s="4" t="str">
        <x:v>RS-00498</x:v>
      </x:c>
      <x:c r="C957" s="9" t="n">
        <x:v>4</x:v>
      </x:c>
      <x:c r="D957" s="8" t="n">
        <x:v>45403</x:v>
      </x:c>
      <x:c r="E957" s="9" t="n">
        <x:v>5603250</x:v>
      </x:c>
      <x:c r="F957" s="9" t="n">
        <x:v>5603250</x:v>
      </x:c>
    </x:row>
    <x:row r="958" ht="34" customHeight="1">
      <x:c r="A958" s="4" t="str">
        <x:v>RS-00500-I1</x:v>
      </x:c>
      <x:c r="B958" s="4" t="str">
        <x:v>RS-00500</x:v>
      </x:c>
      <x:c r="C958" s="9" t="n">
        <x:v>1</x:v>
      </x:c>
      <x:c r="D958" s="8" t="n">
        <x:v>45315</x:v>
      </x:c>
      <x:c r="E958" s="9" t="n">
        <x:v>2655000</x:v>
      </x:c>
      <x:c r="F958" s="9" t="n">
        <x:v>2655000</x:v>
      </x:c>
    </x:row>
    <x:row r="959" ht="34" customHeight="1">
      <x:c r="A959" s="4" t="str">
        <x:v>RS-00500-I2</x:v>
      </x:c>
      <x:c r="B959" s="4" t="str">
        <x:v>RS-00500</x:v>
      </x:c>
      <x:c r="C959" s="9" t="n">
        <x:v>2</x:v>
      </x:c>
      <x:c r="D959" s="8" t="n">
        <x:v>45345</x:v>
      </x:c>
      <x:c r="E959" s="9" t="n">
        <x:v>2655000</x:v>
      </x:c>
      <x:c r="F959" s="9" t="n">
        <x:v>2655000</x:v>
      </x:c>
    </x:row>
    <x:row r="960" ht="34" customHeight="1">
      <x:c r="A960" s="4" t="str">
        <x:v>RS-00500-I3</x:v>
      </x:c>
      <x:c r="B960" s="4" t="str">
        <x:v>RS-00500</x:v>
      </x:c>
      <x:c r="C960" s="9" t="n">
        <x:v>3</x:v>
      </x:c>
      <x:c r="D960" s="8" t="n">
        <x:v>45375</x:v>
      </x:c>
      <x:c r="E960" s="9" t="n">
        <x:v>2655000</x:v>
      </x:c>
      <x:c r="F960" s="9" t="n">
        <x:v>0</x:v>
      </x:c>
    </x:row>
    <x:row r="961" ht="34" customHeight="1">
      <x:c r="A961" s="4" t="str">
        <x:v>RS-00500-I4</x:v>
      </x:c>
      <x:c r="B961" s="4" t="str">
        <x:v>RS-00500</x:v>
      </x:c>
      <x:c r="C961" s="9" t="n">
        <x:v>4</x:v>
      </x:c>
      <x:c r="D961" s="8" t="n">
        <x:v>45405</x:v>
      </x:c>
      <x:c r="E961" s="9" t="n">
        <x:v>2655000</x:v>
      </x:c>
      <x:c r="F961" s="9" t="n">
        <x:v>0</x:v>
      </x:c>
    </x:row>
    <x:row r="962" ht="34" customHeight="1">
      <x:c r="A962" s="4" t="str">
        <x:v>RS-00504-I1</x:v>
      </x:c>
      <x:c r="B962" s="4" t="str">
        <x:v>RS-00504</x:v>
      </x:c>
      <x:c r="C962" s="9" t="n">
        <x:v>1</x:v>
      </x:c>
      <x:c r="D962" s="8" t="n">
        <x:v>45350</x:v>
      </x:c>
      <x:c r="E962" s="9" t="n">
        <x:v>5855500</x:v>
      </x:c>
      <x:c r="F962" s="9" t="n">
        <x:v>5855500</x:v>
      </x:c>
    </x:row>
    <x:row r="963" ht="34" customHeight="1">
      <x:c r="A963" s="4" t="str">
        <x:v>RS-00504-I2</x:v>
      </x:c>
      <x:c r="B963" s="4" t="str">
        <x:v>RS-00504</x:v>
      </x:c>
      <x:c r="C963" s="9" t="n">
        <x:v>2</x:v>
      </x:c>
      <x:c r="D963" s="8" t="n">
        <x:v>45380</x:v>
      </x:c>
      <x:c r="E963" s="9" t="n">
        <x:v>5855500</x:v>
      </x:c>
      <x:c r="F963" s="9" t="n">
        <x:v>5855500</x:v>
      </x:c>
    </x:row>
    <x:row r="964" ht="34" customHeight="1">
      <x:c r="A964" s="4" t="str">
        <x:v>RS-00504-I3</x:v>
      </x:c>
      <x:c r="B964" s="4" t="str">
        <x:v>RS-00504</x:v>
      </x:c>
      <x:c r="C964" s="9" t="n">
        <x:v>3</x:v>
      </x:c>
      <x:c r="D964" s="8" t="n">
        <x:v>45410</x:v>
      </x:c>
      <x:c r="E964" s="9" t="n">
        <x:v>5855500</x:v>
      </x:c>
      <x:c r="F964" s="9" t="n">
        <x:v>5855500</x:v>
      </x:c>
    </x:row>
    <x:row r="965" ht="34" customHeight="1">
      <x:c r="A965" s="4" t="str">
        <x:v>RS-00504-I4</x:v>
      </x:c>
      <x:c r="B965" s="4" t="str">
        <x:v>RS-00504</x:v>
      </x:c>
      <x:c r="C965" s="9" t="n">
        <x:v>4</x:v>
      </x:c>
      <x:c r="D965" s="8" t="n">
        <x:v>45440</x:v>
      </x:c>
      <x:c r="E965" s="9" t="n">
        <x:v>5855500</x:v>
      </x:c>
      <x:c r="F965" s="9" t="n">
        <x:v>5855500</x:v>
      </x:c>
    </x:row>
    <x:row r="966" ht="34" customHeight="1">
      <x:c r="A966" s="4" t="str">
        <x:v>RS-00505-I1</x:v>
      </x:c>
      <x:c r="B966" s="4" t="str">
        <x:v>RS-00505</x:v>
      </x:c>
      <x:c r="C966" s="9" t="n">
        <x:v>1</x:v>
      </x:c>
      <x:c r="D966" s="8" t="n">
        <x:v>45323</x:v>
      </x:c>
      <x:c r="E966" s="9" t="n">
        <x:v>1275000</x:v>
      </x:c>
      <x:c r="F966" s="9" t="n">
        <x:v>1275000</x:v>
      </x:c>
    </x:row>
    <x:row r="967" ht="34" customHeight="1">
      <x:c r="A967" s="4" t="str">
        <x:v>RS-00505-I2</x:v>
      </x:c>
      <x:c r="B967" s="4" t="str">
        <x:v>RS-00505</x:v>
      </x:c>
      <x:c r="C967" s="9" t="n">
        <x:v>2</x:v>
      </x:c>
      <x:c r="D967" s="8" t="n">
        <x:v>45353</x:v>
      </x:c>
      <x:c r="E967" s="9" t="n">
        <x:v>1275000</x:v>
      </x:c>
      <x:c r="F967" s="9" t="n">
        <x:v>1275000</x:v>
      </x:c>
    </x:row>
    <x:row r="968" ht="34" customHeight="1">
      <x:c r="A968" s="4" t="str">
        <x:v>RS-00505-I3</x:v>
      </x:c>
      <x:c r="B968" s="4" t="str">
        <x:v>RS-00505</x:v>
      </x:c>
      <x:c r="C968" s="9" t="n">
        <x:v>3</x:v>
      </x:c>
      <x:c r="D968" s="8" t="n">
        <x:v>45383</x:v>
      </x:c>
      <x:c r="E968" s="9" t="n">
        <x:v>1275000</x:v>
      </x:c>
      <x:c r="F968" s="9" t="n">
        <x:v>0</x:v>
      </x:c>
    </x:row>
    <x:row r="969" ht="34" customHeight="1">
      <x:c r="A969" s="4" t="str">
        <x:v>RS-00505-I4</x:v>
      </x:c>
      <x:c r="B969" s="4" t="str">
        <x:v>RS-00505</x:v>
      </x:c>
      <x:c r="C969" s="9" t="n">
        <x:v>4</x:v>
      </x:c>
      <x:c r="D969" s="8" t="n">
        <x:v>45413</x:v>
      </x:c>
      <x:c r="E969" s="9" t="n">
        <x:v>1275000</x:v>
      </x:c>
      <x:c r="F969" s="9" t="n">
        <x:v>0</x:v>
      </x:c>
    </x:row>
    <x:row r="970" ht="34" customHeight="1">
      <x:c r="A970" s="4" t="str">
        <x:v>RS-00509-I1</x:v>
      </x:c>
      <x:c r="B970" s="4" t="str">
        <x:v>RS-00509</x:v>
      </x:c>
      <x:c r="C970" s="9" t="n">
        <x:v>1</x:v>
      </x:c>
      <x:c r="D970" s="8" t="n">
        <x:v>45327</x:v>
      </x:c>
      <x:c r="E970" s="9" t="n">
        <x:v>2232000</x:v>
      </x:c>
      <x:c r="F970" s="9" t="n">
        <x:v>2232000</x:v>
      </x:c>
    </x:row>
    <x:row r="971" ht="34" customHeight="1">
      <x:c r="A971" s="4" t="str">
        <x:v>RS-00509-I2</x:v>
      </x:c>
      <x:c r="B971" s="4" t="str">
        <x:v>RS-00509</x:v>
      </x:c>
      <x:c r="C971" s="9" t="n">
        <x:v>2</x:v>
      </x:c>
      <x:c r="D971" s="8" t="n">
        <x:v>45357</x:v>
      </x:c>
      <x:c r="E971" s="9" t="n">
        <x:v>2232000</x:v>
      </x:c>
      <x:c r="F971" s="9" t="n">
        <x:v>2232000</x:v>
      </x:c>
    </x:row>
    <x:row r="972" ht="34" customHeight="1">
      <x:c r="A972" s="4" t="str">
        <x:v>RS-00509-I3</x:v>
      </x:c>
      <x:c r="B972" s="4" t="str">
        <x:v>RS-00509</x:v>
      </x:c>
      <x:c r="C972" s="9" t="n">
        <x:v>3</x:v>
      </x:c>
      <x:c r="D972" s="8" t="n">
        <x:v>45387</x:v>
      </x:c>
      <x:c r="E972" s="9" t="n">
        <x:v>2232000</x:v>
      </x:c>
      <x:c r="F972" s="9" t="n">
        <x:v>0</x:v>
      </x:c>
    </x:row>
    <x:row r="973" ht="34" customHeight="1">
      <x:c r="A973" s="4" t="str">
        <x:v>RS-00509-I4</x:v>
      </x:c>
      <x:c r="B973" s="4" t="str">
        <x:v>RS-00509</x:v>
      </x:c>
      <x:c r="C973" s="9" t="n">
        <x:v>4</x:v>
      </x:c>
      <x:c r="D973" s="8" t="n">
        <x:v>45417</x:v>
      </x:c>
      <x:c r="E973" s="9" t="n">
        <x:v>2232000</x:v>
      </x:c>
      <x:c r="F973" s="9" t="n">
        <x:v>0</x:v>
      </x:c>
    </x:row>
    <x:row r="974" ht="34" customHeight="1">
      <x:c r="A974" s="4" t="str">
        <x:v>RS-00512-I1</x:v>
      </x:c>
      <x:c r="B974" s="4" t="str">
        <x:v>RS-00512</x:v>
      </x:c>
      <x:c r="C974" s="9" t="n">
        <x:v>1</x:v>
      </x:c>
      <x:c r="D974" s="8" t="n">
        <x:v>45330</x:v>
      </x:c>
      <x:c r="E974" s="9" t="n">
        <x:v>4686500</x:v>
      </x:c>
      <x:c r="F974" s="9" t="n">
        <x:v>4686500</x:v>
      </x:c>
    </x:row>
    <x:row r="975" ht="34" customHeight="1">
      <x:c r="A975" s="4" t="str">
        <x:v>RS-00512-I2</x:v>
      </x:c>
      <x:c r="B975" s="4" t="str">
        <x:v>RS-00512</x:v>
      </x:c>
      <x:c r="C975" s="9" t="n">
        <x:v>2</x:v>
      </x:c>
      <x:c r="D975" s="8" t="n">
        <x:v>45360</x:v>
      </x:c>
      <x:c r="E975" s="9" t="n">
        <x:v>4686500</x:v>
      </x:c>
      <x:c r="F975" s="9" t="n">
        <x:v>4686500</x:v>
      </x:c>
    </x:row>
    <x:row r="976" ht="34" customHeight="1">
      <x:c r="A976" s="4" t="str">
        <x:v>RS-00512-I3</x:v>
      </x:c>
      <x:c r="B976" s="4" t="str">
        <x:v>RS-00512</x:v>
      </x:c>
      <x:c r="C976" s="9" t="n">
        <x:v>3</x:v>
      </x:c>
      <x:c r="D976" s="8" t="n">
        <x:v>45390</x:v>
      </x:c>
      <x:c r="E976" s="9" t="n">
        <x:v>4686500</x:v>
      </x:c>
      <x:c r="F976" s="9" t="n">
        <x:v>0</x:v>
      </x:c>
    </x:row>
    <x:row r="977" ht="34" customHeight="1">
      <x:c r="A977" s="4" t="str">
        <x:v>RS-00512-I4</x:v>
      </x:c>
      <x:c r="B977" s="4" t="str">
        <x:v>RS-00512</x:v>
      </x:c>
      <x:c r="C977" s="9" t="n">
        <x:v>4</x:v>
      </x:c>
      <x:c r="D977" s="8" t="n">
        <x:v>45420</x:v>
      </x:c>
      <x:c r="E977" s="9" t="n">
        <x:v>4686500</x:v>
      </x:c>
      <x:c r="F977" s="9" t="n">
        <x:v>0</x:v>
      </x:c>
    </x:row>
    <x:row r="978" ht="34" customHeight="1">
      <x:c r="A978" s="4" t="str">
        <x:v>RS-00514-I1</x:v>
      </x:c>
      <x:c r="B978" s="4" t="str">
        <x:v>RS-00514</x:v>
      </x:c>
      <x:c r="C978" s="9" t="n">
        <x:v>1</x:v>
      </x:c>
      <x:c r="D978" s="8" t="n">
        <x:v>45332</x:v>
      </x:c>
      <x:c r="E978" s="9" t="n">
        <x:v>3552000</x:v>
      </x:c>
      <x:c r="F978" s="9" t="n">
        <x:v>3552000</x:v>
      </x:c>
    </x:row>
    <x:row r="979" ht="34" customHeight="1">
      <x:c r="A979" s="4" t="str">
        <x:v>RS-00514-I2</x:v>
      </x:c>
      <x:c r="B979" s="4" t="str">
        <x:v>RS-00514</x:v>
      </x:c>
      <x:c r="C979" s="9" t="n">
        <x:v>2</x:v>
      </x:c>
      <x:c r="D979" s="8" t="n">
        <x:v>45362</x:v>
      </x:c>
      <x:c r="E979" s="9" t="n">
        <x:v>3552000</x:v>
      </x:c>
      <x:c r="F979" s="9" t="n">
        <x:v>0</x:v>
      </x:c>
    </x:row>
    <x:row r="980" ht="34" customHeight="1">
      <x:c r="A980" s="4" t="str">
        <x:v>RS-00514-I3</x:v>
      </x:c>
      <x:c r="B980" s="4" t="str">
        <x:v>RS-00514</x:v>
      </x:c>
      <x:c r="C980" s="9" t="n">
        <x:v>3</x:v>
      </x:c>
      <x:c r="D980" s="8" t="n">
        <x:v>45392</x:v>
      </x:c>
      <x:c r="E980" s="9" t="n">
        <x:v>3552000</x:v>
      </x:c>
      <x:c r="F980" s="9" t="n">
        <x:v>0</x:v>
      </x:c>
    </x:row>
    <x:row r="981" ht="34" customHeight="1">
      <x:c r="A981" s="4" t="str">
        <x:v>RS-00514-I4</x:v>
      </x:c>
      <x:c r="B981" s="4" t="str">
        <x:v>RS-00514</x:v>
      </x:c>
      <x:c r="C981" s="9" t="n">
        <x:v>4</x:v>
      </x:c>
      <x:c r="D981" s="8" t="n">
        <x:v>45422</x:v>
      </x:c>
      <x:c r="E981" s="9" t="n">
        <x:v>3552000</x:v>
      </x:c>
      <x:c r="F981" s="9" t="n">
        <x:v>0</x:v>
      </x:c>
    </x:row>
    <x:row r="982" ht="34" customHeight="1">
      <x:c r="A982" s="4" t="str">
        <x:v>RS-00517-I1</x:v>
      </x:c>
      <x:c r="B982" s="4" t="str">
        <x:v>RS-00517</x:v>
      </x:c>
      <x:c r="C982" s="9" t="n">
        <x:v>1</x:v>
      </x:c>
      <x:c r="D982" s="8" t="n">
        <x:v>45335</x:v>
      </x:c>
      <x:c r="E982" s="9" t="n">
        <x:v>4550000</x:v>
      </x:c>
      <x:c r="F982" s="9" t="n">
        <x:v>4550000</x:v>
      </x:c>
    </x:row>
    <x:row r="983" ht="34" customHeight="1">
      <x:c r="A983" s="4" t="str">
        <x:v>RS-00517-I2</x:v>
      </x:c>
      <x:c r="B983" s="4" t="str">
        <x:v>RS-00517</x:v>
      </x:c>
      <x:c r="C983" s="9" t="n">
        <x:v>2</x:v>
      </x:c>
      <x:c r="D983" s="8" t="n">
        <x:v>45365</x:v>
      </x:c>
      <x:c r="E983" s="9" t="n">
        <x:v>4550000</x:v>
      </x:c>
      <x:c r="F983" s="9" t="n">
        <x:v>4550000</x:v>
      </x:c>
    </x:row>
    <x:row r="984" ht="34" customHeight="1">
      <x:c r="A984" s="4" t="str">
        <x:v>RS-00517-I3</x:v>
      </x:c>
      <x:c r="B984" s="4" t="str">
        <x:v>RS-00517</x:v>
      </x:c>
      <x:c r="C984" s="9" t="n">
        <x:v>3</x:v>
      </x:c>
      <x:c r="D984" s="8" t="n">
        <x:v>45395</x:v>
      </x:c>
      <x:c r="E984" s="9" t="n">
        <x:v>4550000</x:v>
      </x:c>
      <x:c r="F984" s="9" t="n">
        <x:v>4550000</x:v>
      </x:c>
    </x:row>
    <x:row r="985" ht="34" customHeight="1">
      <x:c r="A985" s="4" t="str">
        <x:v>RS-00517-I4</x:v>
      </x:c>
      <x:c r="B985" s="4" t="str">
        <x:v>RS-00517</x:v>
      </x:c>
      <x:c r="C985" s="9" t="n">
        <x:v>4</x:v>
      </x:c>
      <x:c r="D985" s="8" t="n">
        <x:v>45425</x:v>
      </x:c>
      <x:c r="E985" s="9" t="n">
        <x:v>4550000</x:v>
      </x:c>
      <x:c r="F985" s="9" t="n">
        <x:v>4550000</x:v>
      </x:c>
    </x:row>
    <x:row r="986" ht="34" customHeight="1">
      <x:c r="A986" s="4" t="str">
        <x:v>RS-00518-I1</x:v>
      </x:c>
      <x:c r="B986" s="4" t="str">
        <x:v>RS-00518</x:v>
      </x:c>
      <x:c r="C986" s="9" t="n">
        <x:v>1</x:v>
      </x:c>
      <x:c r="D986" s="8" t="n">
        <x:v>45336</x:v>
      </x:c>
      <x:c r="E986" s="9" t="n">
        <x:v>2980250</x:v>
      </x:c>
      <x:c r="F986" s="9" t="n">
        <x:v>2980250</x:v>
      </x:c>
    </x:row>
    <x:row r="987" ht="34" customHeight="1">
      <x:c r="A987" s="4" t="str">
        <x:v>RS-00518-I2</x:v>
      </x:c>
      <x:c r="B987" s="4" t="str">
        <x:v>RS-00518</x:v>
      </x:c>
      <x:c r="C987" s="9" t="n">
        <x:v>2</x:v>
      </x:c>
      <x:c r="D987" s="8" t="n">
        <x:v>45366</x:v>
      </x:c>
      <x:c r="E987" s="9" t="n">
        <x:v>2980250</x:v>
      </x:c>
      <x:c r="F987" s="9" t="n">
        <x:v>2980250</x:v>
      </x:c>
    </x:row>
    <x:row r="988" ht="34" customHeight="1">
      <x:c r="A988" s="4" t="str">
        <x:v>RS-00518-I3</x:v>
      </x:c>
      <x:c r="B988" s="4" t="str">
        <x:v>RS-00518</x:v>
      </x:c>
      <x:c r="C988" s="9" t="n">
        <x:v>3</x:v>
      </x:c>
      <x:c r="D988" s="8" t="n">
        <x:v>45396</x:v>
      </x:c>
      <x:c r="E988" s="9" t="n">
        <x:v>2980250</x:v>
      </x:c>
      <x:c r="F988" s="9" t="n">
        <x:v>2980250</x:v>
      </x:c>
    </x:row>
    <x:row r="989" ht="34" customHeight="1">
      <x:c r="A989" s="4" t="str">
        <x:v>RS-00518-I4</x:v>
      </x:c>
      <x:c r="B989" s="4" t="str">
        <x:v>RS-00518</x:v>
      </x:c>
      <x:c r="C989" s="9" t="n">
        <x:v>4</x:v>
      </x:c>
      <x:c r="D989" s="8" t="n">
        <x:v>45426</x:v>
      </x:c>
      <x:c r="E989" s="9" t="n">
        <x:v>2980250</x:v>
      </x:c>
      <x:c r="F989" s="9" t="n">
        <x:v>2980250</x:v>
      </x:c>
    </x:row>
    <x:row r="990" ht="34" customHeight="1">
      <x:c r="A990" s="4" t="str">
        <x:v>RS-00519-I1</x:v>
      </x:c>
      <x:c r="B990" s="4" t="str">
        <x:v>RS-00519</x:v>
      </x:c>
      <x:c r="C990" s="9" t="n">
        <x:v>1</x:v>
      </x:c>
      <x:c r="D990" s="8" t="n">
        <x:v>45337</x:v>
      </x:c>
      <x:c r="E990" s="9" t="n">
        <x:v>1134750</x:v>
      </x:c>
      <x:c r="F990" s="9" t="n">
        <x:v>1134750</x:v>
      </x:c>
    </x:row>
    <x:row r="991" ht="34" customHeight="1">
      <x:c r="A991" s="4" t="str">
        <x:v>RS-00519-I2</x:v>
      </x:c>
      <x:c r="B991" s="4" t="str">
        <x:v>RS-00519</x:v>
      </x:c>
      <x:c r="C991" s="9" t="n">
        <x:v>2</x:v>
      </x:c>
      <x:c r="D991" s="8" t="n">
        <x:v>45367</x:v>
      </x:c>
      <x:c r="E991" s="9" t="n">
        <x:v>1134750</x:v>
      </x:c>
      <x:c r="F991" s="9" t="n">
        <x:v>1134750</x:v>
      </x:c>
    </x:row>
    <x:row r="992" ht="34" customHeight="1">
      <x:c r="A992" s="4" t="str">
        <x:v>RS-00519-I3</x:v>
      </x:c>
      <x:c r="B992" s="4" t="str">
        <x:v>RS-00519</x:v>
      </x:c>
      <x:c r="C992" s="9" t="n">
        <x:v>3</x:v>
      </x:c>
      <x:c r="D992" s="8" t="n">
        <x:v>45397</x:v>
      </x:c>
      <x:c r="E992" s="9" t="n">
        <x:v>1134750</x:v>
      </x:c>
      <x:c r="F992" s="9" t="n">
        <x:v>0</x:v>
      </x:c>
    </x:row>
    <x:row r="993" ht="34" customHeight="1">
      <x:c r="A993" s="4" t="str">
        <x:v>RS-00519-I4</x:v>
      </x:c>
      <x:c r="B993" s="4" t="str">
        <x:v>RS-00519</x:v>
      </x:c>
      <x:c r="C993" s="9" t="n">
        <x:v>4</x:v>
      </x:c>
      <x:c r="D993" s="8" t="n">
        <x:v>45427</x:v>
      </x:c>
      <x:c r="E993" s="9" t="n">
        <x:v>1134750</x:v>
      </x:c>
      <x:c r="F993" s="9" t="n">
        <x:v>0</x:v>
      </x:c>
    </x:row>
    <x:row r="994" ht="34" customHeight="1">
      <x:c r="A994" s="4" t="str">
        <x:v>RS-00520-I1</x:v>
      </x:c>
      <x:c r="B994" s="4" t="str">
        <x:v>RS-00520</x:v>
      </x:c>
      <x:c r="C994" s="9" t="n">
        <x:v>1</x:v>
      </x:c>
      <x:c r="D994" s="8" t="n">
        <x:v>45338</x:v>
      </x:c>
      <x:c r="E994" s="9" t="n">
        <x:v>1974000</x:v>
      </x:c>
      <x:c r="F994" s="9" t="n">
        <x:v>1974000</x:v>
      </x:c>
    </x:row>
    <x:row r="995" ht="34" customHeight="1">
      <x:c r="A995" s="4" t="str">
        <x:v>RS-00520-I2</x:v>
      </x:c>
      <x:c r="B995" s="4" t="str">
        <x:v>RS-00520</x:v>
      </x:c>
      <x:c r="C995" s="9" t="n">
        <x:v>2</x:v>
      </x:c>
      <x:c r="D995" s="8" t="n">
        <x:v>45368</x:v>
      </x:c>
      <x:c r="E995" s="9" t="n">
        <x:v>1974000</x:v>
      </x:c>
      <x:c r="F995" s="9" t="n">
        <x:v>1974000</x:v>
      </x:c>
    </x:row>
    <x:row r="996" ht="34" customHeight="1">
      <x:c r="A996" s="4" t="str">
        <x:v>RS-00520-I3</x:v>
      </x:c>
      <x:c r="B996" s="4" t="str">
        <x:v>RS-00520</x:v>
      </x:c>
      <x:c r="C996" s="9" t="n">
        <x:v>3</x:v>
      </x:c>
      <x:c r="D996" s="8" t="n">
        <x:v>45398</x:v>
      </x:c>
      <x:c r="E996" s="9" t="n">
        <x:v>1974000</x:v>
      </x:c>
      <x:c r="F996" s="9" t="n">
        <x:v>1974000</x:v>
      </x:c>
    </x:row>
    <x:row r="997" ht="34" customHeight="1">
      <x:c r="A997" s="4" t="str">
        <x:v>RS-00520-I4</x:v>
      </x:c>
      <x:c r="B997" s="4" t="str">
        <x:v>RS-00520</x:v>
      </x:c>
      <x:c r="C997" s="9" t="n">
        <x:v>4</x:v>
      </x:c>
      <x:c r="D997" s="8" t="n">
        <x:v>45428</x:v>
      </x:c>
      <x:c r="E997" s="9" t="n">
        <x:v>1974000</x:v>
      </x:c>
      <x:c r="F997" s="9" t="n">
        <x:v>1974000</x:v>
      </x:c>
    </x:row>
    <x:row r="998" ht="34" customHeight="1">
      <x:c r="A998" s="4" t="str">
        <x:v>RS-00521-I1</x:v>
      </x:c>
      <x:c r="B998" s="4" t="str">
        <x:v>RS-00521</x:v>
      </x:c>
      <x:c r="C998" s="9" t="n">
        <x:v>1</x:v>
      </x:c>
      <x:c r="D998" s="8" t="n">
        <x:v>45339</x:v>
      </x:c>
      <x:c r="E998" s="9" t="n">
        <x:v>2352000</x:v>
      </x:c>
      <x:c r="F998" s="9" t="n">
        <x:v>2352000</x:v>
      </x:c>
    </x:row>
    <x:row r="999" ht="34" customHeight="1">
      <x:c r="A999" s="4" t="str">
        <x:v>RS-00521-I2</x:v>
      </x:c>
      <x:c r="B999" s="4" t="str">
        <x:v>RS-00521</x:v>
      </x:c>
      <x:c r="C999" s="9" t="n">
        <x:v>2</x:v>
      </x:c>
      <x:c r="D999" s="8" t="n">
        <x:v>45369</x:v>
      </x:c>
      <x:c r="E999" s="9" t="n">
        <x:v>2352000</x:v>
      </x:c>
      <x:c r="F999" s="9" t="n">
        <x:v>2352000</x:v>
      </x:c>
    </x:row>
    <x:row r="1000" ht="34" customHeight="1">
      <x:c r="A1000" s="4" t="str">
        <x:v>RS-00521-I3</x:v>
      </x:c>
      <x:c r="B1000" s="4" t="str">
        <x:v>RS-00521</x:v>
      </x:c>
      <x:c r="C1000" s="9" t="n">
        <x:v>3</x:v>
      </x:c>
      <x:c r="D1000" s="8" t="n">
        <x:v>45399</x:v>
      </x:c>
      <x:c r="E1000" s="9" t="n">
        <x:v>2352000</x:v>
      </x:c>
      <x:c r="F1000" s="9" t="n">
        <x:v>2352000</x:v>
      </x:c>
    </x:row>
    <x:row r="1001" ht="34" customHeight="1">
      <x:c r="A1001" s="4" t="str">
        <x:v>RS-00521-I4</x:v>
      </x:c>
      <x:c r="B1001" s="4" t="str">
        <x:v>RS-00521</x:v>
      </x:c>
      <x:c r="C1001" s="9" t="n">
        <x:v>4</x:v>
      </x:c>
      <x:c r="D1001" s="8" t="n">
        <x:v>45429</x:v>
      </x:c>
      <x:c r="E1001" s="9" t="n">
        <x:v>2352000</x:v>
      </x:c>
      <x:c r="F1001" s="9" t="n">
        <x:v>2352000</x:v>
      </x:c>
    </x:row>
    <x:row r="1002" ht="34" customHeight="1">
      <x:c r="A1002" s="4" t="str">
        <x:v>RS-00523-I1</x:v>
      </x:c>
      <x:c r="B1002" s="4" t="str">
        <x:v>RS-00523</x:v>
      </x:c>
      <x:c r="C1002" s="9" t="n">
        <x:v>1</x:v>
      </x:c>
      <x:c r="D1002" s="8" t="n">
        <x:v>45341</x:v>
      </x:c>
      <x:c r="E1002" s="9" t="n">
        <x:v>1755000</x:v>
      </x:c>
      <x:c r="F1002" s="9" t="n">
        <x:v>702000</x:v>
      </x:c>
    </x:row>
    <x:row r="1003" ht="34" customHeight="1">
      <x:c r="A1003" s="4" t="str">
        <x:v>RS-00523-I2</x:v>
      </x:c>
      <x:c r="B1003" s="4" t="str">
        <x:v>RS-00523</x:v>
      </x:c>
      <x:c r="C1003" s="9" t="n">
        <x:v>2</x:v>
      </x:c>
      <x:c r="D1003" s="8" t="n">
        <x:v>45371</x:v>
      </x:c>
      <x:c r="E1003" s="9" t="n">
        <x:v>1755000</x:v>
      </x:c>
      <x:c r="F1003" s="9" t="n">
        <x:v>0</x:v>
      </x:c>
    </x:row>
    <x:row r="1004" ht="34" customHeight="1">
      <x:c r="A1004" s="4" t="str">
        <x:v>RS-00523-I3</x:v>
      </x:c>
      <x:c r="B1004" s="4" t="str">
        <x:v>RS-00523</x:v>
      </x:c>
      <x:c r="C1004" s="9" t="n">
        <x:v>3</x:v>
      </x:c>
      <x:c r="D1004" s="8" t="n">
        <x:v>45401</x:v>
      </x:c>
      <x:c r="E1004" s="9" t="n">
        <x:v>1755000</x:v>
      </x:c>
      <x:c r="F1004" s="9" t="n">
        <x:v>0</x:v>
      </x:c>
    </x:row>
    <x:row r="1005" ht="34" customHeight="1">
      <x:c r="A1005" s="4" t="str">
        <x:v>RS-00523-I4</x:v>
      </x:c>
      <x:c r="B1005" s="4" t="str">
        <x:v>RS-00523</x:v>
      </x:c>
      <x:c r="C1005" s="9" t="n">
        <x:v>4</x:v>
      </x:c>
      <x:c r="D1005" s="8" t="n">
        <x:v>45431</x:v>
      </x:c>
      <x:c r="E1005" s="9" t="n">
        <x:v>1755000</x:v>
      </x:c>
      <x:c r="F1005" s="9" t="n">
        <x:v>0</x:v>
      </x:c>
    </x:row>
    <x:row r="1006" ht="34" customHeight="1">
      <x:c r="A1006" s="4" t="str">
        <x:v>RS-00527-I1</x:v>
      </x:c>
      <x:c r="B1006" s="4" t="str">
        <x:v>RS-00527</x:v>
      </x:c>
      <x:c r="C1006" s="9" t="n">
        <x:v>1</x:v>
      </x:c>
      <x:c r="D1006" s="8" t="n">
        <x:v>45345</x:v>
      </x:c>
      <x:c r="E1006" s="9" t="n">
        <x:v>2558750</x:v>
      </x:c>
      <x:c r="F1006" s="9" t="n">
        <x:v>2558750</x:v>
      </x:c>
    </x:row>
    <x:row r="1007" ht="34" customHeight="1">
      <x:c r="A1007" s="4" t="str">
        <x:v>RS-00527-I2</x:v>
      </x:c>
      <x:c r="B1007" s="4" t="str">
        <x:v>RS-00527</x:v>
      </x:c>
      <x:c r="C1007" s="9" t="n">
        <x:v>2</x:v>
      </x:c>
      <x:c r="D1007" s="8" t="n">
        <x:v>45375</x:v>
      </x:c>
      <x:c r="E1007" s="9" t="n">
        <x:v>2558750</x:v>
      </x:c>
      <x:c r="F1007" s="9" t="n">
        <x:v>2558750</x:v>
      </x:c>
    </x:row>
    <x:row r="1008" ht="34" customHeight="1">
      <x:c r="A1008" s="4" t="str">
        <x:v>RS-00527-I3</x:v>
      </x:c>
      <x:c r="B1008" s="4" t="str">
        <x:v>RS-00527</x:v>
      </x:c>
      <x:c r="C1008" s="9" t="n">
        <x:v>3</x:v>
      </x:c>
      <x:c r="D1008" s="8" t="n">
        <x:v>45405</x:v>
      </x:c>
      <x:c r="E1008" s="9" t="n">
        <x:v>2558750</x:v>
      </x:c>
      <x:c r="F1008" s="9" t="n">
        <x:v>2558750</x:v>
      </x:c>
    </x:row>
    <x:row r="1009" ht="34" customHeight="1">
      <x:c r="A1009" s="4" t="str">
        <x:v>RS-00527-I4</x:v>
      </x:c>
      <x:c r="B1009" s="4" t="str">
        <x:v>RS-00527</x:v>
      </x:c>
      <x:c r="C1009" s="9" t="n">
        <x:v>4</x:v>
      </x:c>
      <x:c r="D1009" s="8" t="n">
        <x:v>45435</x:v>
      </x:c>
      <x:c r="E1009" s="9" t="n">
        <x:v>2558750</x:v>
      </x:c>
      <x:c r="F1009" s="9" t="n">
        <x:v>2558750</x:v>
      </x:c>
    </x:row>
    <x:row r="1010" ht="34" customHeight="1">
      <x:c r="A1010" s="4" t="str">
        <x:v>RS-00530-I1</x:v>
      </x:c>
      <x:c r="B1010" s="4" t="str">
        <x:v>RS-00530</x:v>
      </x:c>
      <x:c r="C1010" s="9" t="n">
        <x:v>1</x:v>
      </x:c>
      <x:c r="D1010" s="8" t="n">
        <x:v>45348</x:v>
      </x:c>
      <x:c r="E1010" s="9" t="n">
        <x:v>3861000</x:v>
      </x:c>
      <x:c r="F1010" s="9" t="n">
        <x:v>3861000</x:v>
      </x:c>
    </x:row>
    <x:row r="1011" ht="34" customHeight="1">
      <x:c r="A1011" s="4" t="str">
        <x:v>RS-00530-I2</x:v>
      </x:c>
      <x:c r="B1011" s="4" t="str">
        <x:v>RS-00530</x:v>
      </x:c>
      <x:c r="C1011" s="9" t="n">
        <x:v>2</x:v>
      </x:c>
      <x:c r="D1011" s="8" t="n">
        <x:v>45378</x:v>
      </x:c>
      <x:c r="E1011" s="9" t="n">
        <x:v>3861000</x:v>
      </x:c>
      <x:c r="F1011" s="9" t="n">
        <x:v>3861000</x:v>
      </x:c>
    </x:row>
    <x:row r="1012" ht="34" customHeight="1">
      <x:c r="A1012" s="4" t="str">
        <x:v>RS-00530-I3</x:v>
      </x:c>
      <x:c r="B1012" s="4" t="str">
        <x:v>RS-00530</x:v>
      </x:c>
      <x:c r="C1012" s="9" t="n">
        <x:v>3</x:v>
      </x:c>
      <x:c r="D1012" s="8" t="n">
        <x:v>45408</x:v>
      </x:c>
      <x:c r="E1012" s="9" t="n">
        <x:v>3861000</x:v>
      </x:c>
      <x:c r="F1012" s="9" t="n">
        <x:v>0</x:v>
      </x:c>
    </x:row>
    <x:row r="1013" ht="34" customHeight="1">
      <x:c r="A1013" s="4" t="str">
        <x:v>RS-00530-I4</x:v>
      </x:c>
      <x:c r="B1013" s="4" t="str">
        <x:v>RS-00530</x:v>
      </x:c>
      <x:c r="C1013" s="9" t="n">
        <x:v>4</x:v>
      </x:c>
      <x:c r="D1013" s="8" t="n">
        <x:v>45438</x:v>
      </x:c>
      <x:c r="E1013" s="9" t="n">
        <x:v>3861000</x:v>
      </x:c>
      <x:c r="F1013" s="9" t="n">
        <x:v>0</x:v>
      </x:c>
    </x:row>
    <x:row r="1014" ht="34" customHeight="1">
      <x:c r="A1014" s="4" t="str">
        <x:v>RS-00531-I1</x:v>
      </x:c>
      <x:c r="B1014" s="4" t="str">
        <x:v>RS-00531</x:v>
      </x:c>
      <x:c r="C1014" s="9" t="n">
        <x:v>1</x:v>
      </x:c>
      <x:c r="D1014" s="8" t="n">
        <x:v>45349</x:v>
      </x:c>
      <x:c r="E1014" s="9" t="n">
        <x:v>2314000</x:v>
      </x:c>
      <x:c r="F1014" s="9" t="n">
        <x:v>2314000</x:v>
      </x:c>
    </x:row>
    <x:row r="1015" ht="34" customHeight="1">
      <x:c r="A1015" s="4" t="str">
        <x:v>RS-00531-I2</x:v>
      </x:c>
      <x:c r="B1015" s="4" t="str">
        <x:v>RS-00531</x:v>
      </x:c>
      <x:c r="C1015" s="9" t="n">
        <x:v>2</x:v>
      </x:c>
      <x:c r="D1015" s="8" t="n">
        <x:v>45379</x:v>
      </x:c>
      <x:c r="E1015" s="9" t="n">
        <x:v>2314000</x:v>
      </x:c>
      <x:c r="F1015" s="9" t="n">
        <x:v>2314000</x:v>
      </x:c>
    </x:row>
    <x:row r="1016" ht="34" customHeight="1">
      <x:c r="A1016" s="4" t="str">
        <x:v>RS-00531-I3</x:v>
      </x:c>
      <x:c r="B1016" s="4" t="str">
        <x:v>RS-00531</x:v>
      </x:c>
      <x:c r="C1016" s="9" t="n">
        <x:v>3</x:v>
      </x:c>
      <x:c r="D1016" s="8" t="n">
        <x:v>45409</x:v>
      </x:c>
      <x:c r="E1016" s="9" t="n">
        <x:v>2314000</x:v>
      </x:c>
      <x:c r="F1016" s="9" t="n">
        <x:v>2314000</x:v>
      </x:c>
    </x:row>
    <x:row r="1017" ht="34" customHeight="1">
      <x:c r="A1017" s="4" t="str">
        <x:v>RS-00531-I4</x:v>
      </x:c>
      <x:c r="B1017" s="4" t="str">
        <x:v>RS-00531</x:v>
      </x:c>
      <x:c r="C1017" s="9" t="n">
        <x:v>4</x:v>
      </x:c>
      <x:c r="D1017" s="8" t="n">
        <x:v>45439</x:v>
      </x:c>
      <x:c r="E1017" s="9" t="n">
        <x:v>2314000</x:v>
      </x:c>
      <x:c r="F1017" s="9" t="n">
        <x:v>2314000</x:v>
      </x:c>
    </x:row>
    <x:row r="1018" ht="34" customHeight="1">
      <x:c r="A1018" s="4" t="str">
        <x:v>RS-00533-I1</x:v>
      </x:c>
      <x:c r="B1018" s="4" t="str">
        <x:v>RS-00533</x:v>
      </x:c>
      <x:c r="C1018" s="9" t="n">
        <x:v>1</x:v>
      </x:c>
      <x:c r="D1018" s="8" t="n">
        <x:v>45323</x:v>
      </x:c>
      <x:c r="E1018" s="9" t="n">
        <x:v>1144000</x:v>
      </x:c>
      <x:c r="F1018" s="9" t="n">
        <x:v>1144000</x:v>
      </x:c>
    </x:row>
    <x:row r="1019" ht="34" customHeight="1">
      <x:c r="A1019" s="4" t="str">
        <x:v>RS-00533-I2</x:v>
      </x:c>
      <x:c r="B1019" s="4" t="str">
        <x:v>RS-00533</x:v>
      </x:c>
      <x:c r="C1019" s="9" t="n">
        <x:v>2</x:v>
      </x:c>
      <x:c r="D1019" s="8" t="n">
        <x:v>45353</x:v>
      </x:c>
      <x:c r="E1019" s="9" t="n">
        <x:v>1144000</x:v>
      </x:c>
      <x:c r="F1019" s="9" t="n">
        <x:v>1144000</x:v>
      </x:c>
    </x:row>
    <x:row r="1020" ht="34" customHeight="1">
      <x:c r="A1020" s="4" t="str">
        <x:v>RS-00533-I3</x:v>
      </x:c>
      <x:c r="B1020" s="4" t="str">
        <x:v>RS-00533</x:v>
      </x:c>
      <x:c r="C1020" s="9" t="n">
        <x:v>3</x:v>
      </x:c>
      <x:c r="D1020" s="8" t="n">
        <x:v>45383</x:v>
      </x:c>
      <x:c r="E1020" s="9" t="n">
        <x:v>1144000</x:v>
      </x:c>
      <x:c r="F1020" s="9" t="n">
        <x:v>1144000</x:v>
      </x:c>
    </x:row>
    <x:row r="1021" ht="34" customHeight="1">
      <x:c r="A1021" s="4" t="str">
        <x:v>RS-00533-I4</x:v>
      </x:c>
      <x:c r="B1021" s="4" t="str">
        <x:v>RS-00533</x:v>
      </x:c>
      <x:c r="C1021" s="9" t="n">
        <x:v>4</x:v>
      </x:c>
      <x:c r="D1021" s="8" t="n">
        <x:v>45413</x:v>
      </x:c>
      <x:c r="E1021" s="9" t="n">
        <x:v>1144000</x:v>
      </x:c>
      <x:c r="F1021" s="9" t="n">
        <x:v>1144000</x:v>
      </x:c>
    </x:row>
    <x:row r="1022" ht="34" customHeight="1">
      <x:c r="A1022" s="4" t="str">
        <x:v>RS-00535-I1</x:v>
      </x:c>
      <x:c r="B1022" s="4" t="str">
        <x:v>RS-00535</x:v>
      </x:c>
      <x:c r="C1022" s="9" t="n">
        <x:v>1</x:v>
      </x:c>
      <x:c r="D1022" s="8" t="n">
        <x:v>45325</x:v>
      </x:c>
      <x:c r="E1022" s="9" t="n">
        <x:v>3262500</x:v>
      </x:c>
      <x:c r="F1022" s="9" t="n">
        <x:v>1305000</x:v>
      </x:c>
    </x:row>
    <x:row r="1023" ht="34" customHeight="1">
      <x:c r="A1023" s="4" t="str">
        <x:v>RS-00535-I2</x:v>
      </x:c>
      <x:c r="B1023" s="4" t="str">
        <x:v>RS-00535</x:v>
      </x:c>
      <x:c r="C1023" s="9" t="n">
        <x:v>2</x:v>
      </x:c>
      <x:c r="D1023" s="8" t="n">
        <x:v>45355</x:v>
      </x:c>
      <x:c r="E1023" s="9" t="n">
        <x:v>3262500</x:v>
      </x:c>
      <x:c r="F1023" s="9" t="n">
        <x:v>0</x:v>
      </x:c>
    </x:row>
    <x:row r="1024" ht="34" customHeight="1">
      <x:c r="A1024" s="4" t="str">
        <x:v>RS-00535-I3</x:v>
      </x:c>
      <x:c r="B1024" s="4" t="str">
        <x:v>RS-00535</x:v>
      </x:c>
      <x:c r="C1024" s="9" t="n">
        <x:v>3</x:v>
      </x:c>
      <x:c r="D1024" s="8" t="n">
        <x:v>45385</x:v>
      </x:c>
      <x:c r="E1024" s="9" t="n">
        <x:v>3262500</x:v>
      </x:c>
      <x:c r="F1024" s="9" t="n">
        <x:v>0</x:v>
      </x:c>
    </x:row>
    <x:row r="1025" ht="34" customHeight="1">
      <x:c r="A1025" s="4" t="str">
        <x:v>RS-00535-I4</x:v>
      </x:c>
      <x:c r="B1025" s="4" t="str">
        <x:v>RS-00535</x:v>
      </x:c>
      <x:c r="C1025" s="9" t="n">
        <x:v>4</x:v>
      </x:c>
      <x:c r="D1025" s="8" t="n">
        <x:v>45415</x:v>
      </x:c>
      <x:c r="E1025" s="9" t="n">
        <x:v>3262500</x:v>
      </x:c>
      <x:c r="F1025" s="9" t="n">
        <x:v>0</x:v>
      </x:c>
    </x:row>
    <x:row r="1026" ht="34" customHeight="1">
      <x:c r="A1026" s="4" t="str">
        <x:v>RS-00537-I1</x:v>
      </x:c>
      <x:c r="B1026" s="4" t="str">
        <x:v>RS-00537</x:v>
      </x:c>
      <x:c r="C1026" s="9" t="n">
        <x:v>1</x:v>
      </x:c>
      <x:c r="D1026" s="8" t="n">
        <x:v>45327</x:v>
      </x:c>
      <x:c r="E1026" s="9" t="n">
        <x:v>1957500</x:v>
      </x:c>
      <x:c r="F1026" s="9" t="n">
        <x:v>1957500</x:v>
      </x:c>
    </x:row>
    <x:row r="1027" ht="34" customHeight="1">
      <x:c r="A1027" s="4" t="str">
        <x:v>RS-00537-I2</x:v>
      </x:c>
      <x:c r="B1027" s="4" t="str">
        <x:v>RS-00537</x:v>
      </x:c>
      <x:c r="C1027" s="9" t="n">
        <x:v>2</x:v>
      </x:c>
      <x:c r="D1027" s="8" t="n">
        <x:v>45357</x:v>
      </x:c>
      <x:c r="E1027" s="9" t="n">
        <x:v>1957500</x:v>
      </x:c>
      <x:c r="F1027" s="9" t="n">
        <x:v>0</x:v>
      </x:c>
    </x:row>
    <x:row r="1028" ht="34" customHeight="1">
      <x:c r="A1028" s="4" t="str">
        <x:v>RS-00537-I3</x:v>
      </x:c>
      <x:c r="B1028" s="4" t="str">
        <x:v>RS-00537</x:v>
      </x:c>
      <x:c r="C1028" s="9" t="n">
        <x:v>3</x:v>
      </x:c>
      <x:c r="D1028" s="8" t="n">
        <x:v>45387</x:v>
      </x:c>
      <x:c r="E1028" s="9" t="n">
        <x:v>1957500</x:v>
      </x:c>
      <x:c r="F1028" s="9" t="n">
        <x:v>0</x:v>
      </x:c>
    </x:row>
    <x:row r="1029" ht="34" customHeight="1">
      <x:c r="A1029" s="4" t="str">
        <x:v>RS-00537-I4</x:v>
      </x:c>
      <x:c r="B1029" s="4" t="str">
        <x:v>RS-00537</x:v>
      </x:c>
      <x:c r="C1029" s="9" t="n">
        <x:v>4</x:v>
      </x:c>
      <x:c r="D1029" s="8" t="n">
        <x:v>45417</x:v>
      </x:c>
      <x:c r="E1029" s="9" t="n">
        <x:v>1957500</x:v>
      </x:c>
      <x:c r="F1029" s="9" t="n">
        <x:v>0</x:v>
      </x:c>
    </x:row>
    <x:row r="1030" ht="34" customHeight="1">
      <x:c r="A1030" s="4" t="str">
        <x:v>RS-00538-I1</x:v>
      </x:c>
      <x:c r="B1030" s="4" t="str">
        <x:v>RS-00538</x:v>
      </x:c>
      <x:c r="C1030" s="9" t="n">
        <x:v>1</x:v>
      </x:c>
      <x:c r="D1030" s="8" t="n">
        <x:v>45328</x:v>
      </x:c>
      <x:c r="E1030" s="9" t="n">
        <x:v>4500000</x:v>
      </x:c>
      <x:c r="F1030" s="9" t="n">
        <x:v>4500000</x:v>
      </x:c>
    </x:row>
    <x:row r="1031" ht="34" customHeight="1">
      <x:c r="A1031" s="4" t="str">
        <x:v>RS-00538-I2</x:v>
      </x:c>
      <x:c r="B1031" s="4" t="str">
        <x:v>RS-00538</x:v>
      </x:c>
      <x:c r="C1031" s="9" t="n">
        <x:v>2</x:v>
      </x:c>
      <x:c r="D1031" s="8" t="n">
        <x:v>45358</x:v>
      </x:c>
      <x:c r="E1031" s="9" t="n">
        <x:v>4500000</x:v>
      </x:c>
      <x:c r="F1031" s="9" t="n">
        <x:v>0</x:v>
      </x:c>
    </x:row>
    <x:row r="1032" ht="34" customHeight="1">
      <x:c r="A1032" s="4" t="str">
        <x:v>RS-00538-I3</x:v>
      </x:c>
      <x:c r="B1032" s="4" t="str">
        <x:v>RS-00538</x:v>
      </x:c>
      <x:c r="C1032" s="9" t="n">
        <x:v>3</x:v>
      </x:c>
      <x:c r="D1032" s="8" t="n">
        <x:v>45388</x:v>
      </x:c>
      <x:c r="E1032" s="9" t="n">
        <x:v>4500000</x:v>
      </x:c>
      <x:c r="F1032" s="9" t="n">
        <x:v>0</x:v>
      </x:c>
    </x:row>
    <x:row r="1033" ht="34" customHeight="1">
      <x:c r="A1033" s="4" t="str">
        <x:v>RS-00538-I4</x:v>
      </x:c>
      <x:c r="B1033" s="4" t="str">
        <x:v>RS-00538</x:v>
      </x:c>
      <x:c r="C1033" s="9" t="n">
        <x:v>4</x:v>
      </x:c>
      <x:c r="D1033" s="8" t="n">
        <x:v>45418</x:v>
      </x:c>
      <x:c r="E1033" s="9" t="n">
        <x:v>4500000</x:v>
      </x:c>
      <x:c r="F1033" s="9" t="n">
        <x:v>0</x:v>
      </x:c>
    </x:row>
    <x:row r="1034" ht="34" customHeight="1">
      <x:c r="A1034" s="4" t="str">
        <x:v>RS-00539-I1</x:v>
      </x:c>
      <x:c r="B1034" s="4" t="str">
        <x:v>RS-00539</x:v>
      </x:c>
      <x:c r="C1034" s="9" t="n">
        <x:v>1</x:v>
      </x:c>
      <x:c r="D1034" s="8" t="n">
        <x:v>45329</x:v>
      </x:c>
      <x:c r="E1034" s="9" t="n">
        <x:v>1433250</x:v>
      </x:c>
      <x:c r="F1034" s="9" t="n">
        <x:v>1433250</x:v>
      </x:c>
    </x:row>
    <x:row r="1035" ht="34" customHeight="1">
      <x:c r="A1035" s="4" t="str">
        <x:v>RS-00539-I2</x:v>
      </x:c>
      <x:c r="B1035" s="4" t="str">
        <x:v>RS-00539</x:v>
      </x:c>
      <x:c r="C1035" s="9" t="n">
        <x:v>2</x:v>
      </x:c>
      <x:c r="D1035" s="8" t="n">
        <x:v>45359</x:v>
      </x:c>
      <x:c r="E1035" s="9" t="n">
        <x:v>1433250</x:v>
      </x:c>
      <x:c r="F1035" s="9" t="n">
        <x:v>1433250</x:v>
      </x:c>
    </x:row>
    <x:row r="1036" ht="34" customHeight="1">
      <x:c r="A1036" s="4" t="str">
        <x:v>RS-00539-I3</x:v>
      </x:c>
      <x:c r="B1036" s="4" t="str">
        <x:v>RS-00539</x:v>
      </x:c>
      <x:c r="C1036" s="9" t="n">
        <x:v>3</x:v>
      </x:c>
      <x:c r="D1036" s="8" t="n">
        <x:v>45389</x:v>
      </x:c>
      <x:c r="E1036" s="9" t="n">
        <x:v>1433250</x:v>
      </x:c>
      <x:c r="F1036" s="9" t="n">
        <x:v>0</x:v>
      </x:c>
    </x:row>
    <x:row r="1037" ht="34" customHeight="1">
      <x:c r="A1037" s="4" t="str">
        <x:v>RS-00539-I4</x:v>
      </x:c>
      <x:c r="B1037" s="4" t="str">
        <x:v>RS-00539</x:v>
      </x:c>
      <x:c r="C1037" s="9" t="n">
        <x:v>4</x:v>
      </x:c>
      <x:c r="D1037" s="8" t="n">
        <x:v>45419</x:v>
      </x:c>
      <x:c r="E1037" s="9" t="n">
        <x:v>1433250</x:v>
      </x:c>
      <x:c r="F1037" s="9" t="n">
        <x:v>0</x:v>
      </x:c>
    </x:row>
    <x:row r="1038" ht="34" customHeight="1">
      <x:c r="A1038" s="4" t="str">
        <x:v>RS-00540-I1</x:v>
      </x:c>
      <x:c r="B1038" s="4" t="str">
        <x:v>RS-00540</x:v>
      </x:c>
      <x:c r="C1038" s="9" t="n">
        <x:v>1</x:v>
      </x:c>
      <x:c r="D1038" s="8" t="n">
        <x:v>45330</x:v>
      </x:c>
      <x:c r="E1038" s="9" t="n">
        <x:v>2679000</x:v>
      </x:c>
      <x:c r="F1038" s="9" t="n">
        <x:v>2679000</x:v>
      </x:c>
    </x:row>
    <x:row r="1039" ht="34" customHeight="1">
      <x:c r="A1039" s="4" t="str">
        <x:v>RS-00540-I2</x:v>
      </x:c>
      <x:c r="B1039" s="4" t="str">
        <x:v>RS-00540</x:v>
      </x:c>
      <x:c r="C1039" s="9" t="n">
        <x:v>2</x:v>
      </x:c>
      <x:c r="D1039" s="8" t="n">
        <x:v>45360</x:v>
      </x:c>
      <x:c r="E1039" s="9" t="n">
        <x:v>2679000</x:v>
      </x:c>
      <x:c r="F1039" s="9" t="n">
        <x:v>2679000</x:v>
      </x:c>
    </x:row>
    <x:row r="1040" ht="34" customHeight="1">
      <x:c r="A1040" s="4" t="str">
        <x:v>RS-00540-I3</x:v>
      </x:c>
      <x:c r="B1040" s="4" t="str">
        <x:v>RS-00540</x:v>
      </x:c>
      <x:c r="C1040" s="9" t="n">
        <x:v>3</x:v>
      </x:c>
      <x:c r="D1040" s="8" t="n">
        <x:v>45390</x:v>
      </x:c>
      <x:c r="E1040" s="9" t="n">
        <x:v>2679000</x:v>
      </x:c>
      <x:c r="F1040" s="9" t="n">
        <x:v>0</x:v>
      </x:c>
    </x:row>
    <x:row r="1041" ht="34" customHeight="1">
      <x:c r="A1041" s="4" t="str">
        <x:v>RS-00540-I4</x:v>
      </x:c>
      <x:c r="B1041" s="4" t="str">
        <x:v>RS-00540</x:v>
      </x:c>
      <x:c r="C1041" s="9" t="n">
        <x:v>4</x:v>
      </x:c>
      <x:c r="D1041" s="8" t="n">
        <x:v>45420</x:v>
      </x:c>
      <x:c r="E1041" s="9" t="n">
        <x:v>2679000</x:v>
      </x:c>
      <x:c r="F1041" s="9" t="n">
        <x:v>0</x:v>
      </x:c>
    </x:row>
    <x:row r="1042" ht="34" customHeight="1">
      <x:c r="A1042" s="4" t="str">
        <x:v>RS-00545-I1</x:v>
      </x:c>
      <x:c r="B1042" s="4" t="str">
        <x:v>RS-00545</x:v>
      </x:c>
      <x:c r="C1042" s="9" t="n">
        <x:v>1</x:v>
      </x:c>
      <x:c r="D1042" s="8" t="n">
        <x:v>45335</x:v>
      </x:c>
      <x:c r="E1042" s="9" t="n">
        <x:v>4049500</x:v>
      </x:c>
      <x:c r="F1042" s="9" t="n">
        <x:v>4049500</x:v>
      </x:c>
    </x:row>
    <x:row r="1043" ht="34" customHeight="1">
      <x:c r="A1043" s="4" t="str">
        <x:v>RS-00545-I2</x:v>
      </x:c>
      <x:c r="B1043" s="4" t="str">
        <x:v>RS-00545</x:v>
      </x:c>
      <x:c r="C1043" s="9" t="n">
        <x:v>2</x:v>
      </x:c>
      <x:c r="D1043" s="8" t="n">
        <x:v>45365</x:v>
      </x:c>
      <x:c r="E1043" s="9" t="n">
        <x:v>4049500</x:v>
      </x:c>
      <x:c r="F1043" s="9" t="n">
        <x:v>4049500</x:v>
      </x:c>
    </x:row>
    <x:row r="1044" ht="34" customHeight="1">
      <x:c r="A1044" s="4" t="str">
        <x:v>RS-00545-I3</x:v>
      </x:c>
      <x:c r="B1044" s="4" t="str">
        <x:v>RS-00545</x:v>
      </x:c>
      <x:c r="C1044" s="9" t="n">
        <x:v>3</x:v>
      </x:c>
      <x:c r="D1044" s="8" t="n">
        <x:v>45395</x:v>
      </x:c>
      <x:c r="E1044" s="9" t="n">
        <x:v>4049500</x:v>
      </x:c>
      <x:c r="F1044" s="9" t="n">
        <x:v>0</x:v>
      </x:c>
    </x:row>
    <x:row r="1045" ht="34" customHeight="1">
      <x:c r="A1045" s="4" t="str">
        <x:v>RS-00545-I4</x:v>
      </x:c>
      <x:c r="B1045" s="4" t="str">
        <x:v>RS-00545</x:v>
      </x:c>
      <x:c r="C1045" s="9" t="n">
        <x:v>4</x:v>
      </x:c>
      <x:c r="D1045" s="8" t="n">
        <x:v>45425</x:v>
      </x:c>
      <x:c r="E1045" s="9" t="n">
        <x:v>4049500</x:v>
      </x:c>
      <x:c r="F1045" s="9" t="n">
        <x:v>0</x:v>
      </x:c>
    </x:row>
    <x:row r="1046" ht="34" customHeight="1">
      <x:c r="A1046" s="4" t="str">
        <x:v>RS-00547-I1</x:v>
      </x:c>
      <x:c r="B1046" s="4" t="str">
        <x:v>RS-00547</x:v>
      </x:c>
      <x:c r="C1046" s="9" t="n">
        <x:v>1</x:v>
      </x:c>
      <x:c r="D1046" s="8" t="n">
        <x:v>45337</x:v>
      </x:c>
      <x:c r="E1046" s="9" t="n">
        <x:v>1258750</x:v>
      </x:c>
      <x:c r="F1046" s="9" t="n">
        <x:v>1258750</x:v>
      </x:c>
    </x:row>
    <x:row r="1047" ht="34" customHeight="1">
      <x:c r="A1047" s="4" t="str">
        <x:v>RS-00547-I2</x:v>
      </x:c>
      <x:c r="B1047" s="4" t="str">
        <x:v>RS-00547</x:v>
      </x:c>
      <x:c r="C1047" s="9" t="n">
        <x:v>2</x:v>
      </x:c>
      <x:c r="D1047" s="8" t="n">
        <x:v>45367</x:v>
      </x:c>
      <x:c r="E1047" s="9" t="n">
        <x:v>1258750</x:v>
      </x:c>
      <x:c r="F1047" s="9" t="n">
        <x:v>1258750</x:v>
      </x:c>
    </x:row>
    <x:row r="1048" ht="34" customHeight="1">
      <x:c r="A1048" s="4" t="str">
        <x:v>RS-00547-I3</x:v>
      </x:c>
      <x:c r="B1048" s="4" t="str">
        <x:v>RS-00547</x:v>
      </x:c>
      <x:c r="C1048" s="9" t="n">
        <x:v>3</x:v>
      </x:c>
      <x:c r="D1048" s="8" t="n">
        <x:v>45397</x:v>
      </x:c>
      <x:c r="E1048" s="9" t="n">
        <x:v>1258750</x:v>
      </x:c>
      <x:c r="F1048" s="9" t="n">
        <x:v>0</x:v>
      </x:c>
    </x:row>
    <x:row r="1049" ht="34" customHeight="1">
      <x:c r="A1049" s="4" t="str">
        <x:v>RS-00547-I4</x:v>
      </x:c>
      <x:c r="B1049" s="4" t="str">
        <x:v>RS-00547</x:v>
      </x:c>
      <x:c r="C1049" s="9" t="n">
        <x:v>4</x:v>
      </x:c>
      <x:c r="D1049" s="8" t="n">
        <x:v>45427</x:v>
      </x:c>
      <x:c r="E1049" s="9" t="n">
        <x:v>1258750</x:v>
      </x:c>
      <x:c r="F1049" s="9" t="n">
        <x:v>0</x:v>
      </x:c>
    </x:row>
    <x:row r="1050" ht="34" customHeight="1">
      <x:c r="A1050" s="4" t="str">
        <x:v>RS-00548-I1</x:v>
      </x:c>
      <x:c r="B1050" s="4" t="str">
        <x:v>RS-00548</x:v>
      </x:c>
      <x:c r="C1050" s="9" t="n">
        <x:v>1</x:v>
      </x:c>
      <x:c r="D1050" s="8" t="n">
        <x:v>45338</x:v>
      </x:c>
      <x:c r="E1050" s="9" t="n">
        <x:v>1713250</x:v>
      </x:c>
      <x:c r="F1050" s="9" t="n">
        <x:v>1713250</x:v>
      </x:c>
    </x:row>
    <x:row r="1051" ht="34" customHeight="1">
      <x:c r="A1051" s="4" t="str">
        <x:v>RS-00548-I2</x:v>
      </x:c>
      <x:c r="B1051" s="4" t="str">
        <x:v>RS-00548</x:v>
      </x:c>
      <x:c r="C1051" s="9" t="n">
        <x:v>2</x:v>
      </x:c>
      <x:c r="D1051" s="8" t="n">
        <x:v>45368</x:v>
      </x:c>
      <x:c r="E1051" s="9" t="n">
        <x:v>1713250</x:v>
      </x:c>
      <x:c r="F1051" s="9" t="n">
        <x:v>1713250</x:v>
      </x:c>
    </x:row>
    <x:row r="1052" ht="34" customHeight="1">
      <x:c r="A1052" s="4" t="str">
        <x:v>RS-00548-I3</x:v>
      </x:c>
      <x:c r="B1052" s="4" t="str">
        <x:v>RS-00548</x:v>
      </x:c>
      <x:c r="C1052" s="9" t="n">
        <x:v>3</x:v>
      </x:c>
      <x:c r="D1052" s="8" t="n">
        <x:v>45398</x:v>
      </x:c>
      <x:c r="E1052" s="9" t="n">
        <x:v>1713250</x:v>
      </x:c>
      <x:c r="F1052" s="9" t="n">
        <x:v>1713250</x:v>
      </x:c>
    </x:row>
    <x:row r="1053" ht="34" customHeight="1">
      <x:c r="A1053" s="4" t="str">
        <x:v>RS-00548-I4</x:v>
      </x:c>
      <x:c r="B1053" s="4" t="str">
        <x:v>RS-00548</x:v>
      </x:c>
      <x:c r="C1053" s="9" t="n">
        <x:v>4</x:v>
      </x:c>
      <x:c r="D1053" s="8" t="n">
        <x:v>45428</x:v>
      </x:c>
      <x:c r="E1053" s="9" t="n">
        <x:v>1713250</x:v>
      </x:c>
      <x:c r="F1053" s="9" t="n">
        <x:v>1713250</x:v>
      </x:c>
    </x:row>
    <x:row r="1054" ht="34" customHeight="1">
      <x:c r="A1054" s="4" t="str">
        <x:v>RS-00552-I1</x:v>
      </x:c>
      <x:c r="B1054" s="4" t="str">
        <x:v>RS-00552</x:v>
      </x:c>
      <x:c r="C1054" s="9" t="n">
        <x:v>1</x:v>
      </x:c>
      <x:c r="D1054" s="8" t="n">
        <x:v>45342</x:v>
      </x:c>
      <x:c r="E1054" s="9" t="n">
        <x:v>1552000</x:v>
      </x:c>
      <x:c r="F1054" s="9" t="n">
        <x:v>1552000</x:v>
      </x:c>
    </x:row>
    <x:row r="1055" ht="34" customHeight="1">
      <x:c r="A1055" s="4" t="str">
        <x:v>RS-00552-I2</x:v>
      </x:c>
      <x:c r="B1055" s="4" t="str">
        <x:v>RS-00552</x:v>
      </x:c>
      <x:c r="C1055" s="9" t="n">
        <x:v>2</x:v>
      </x:c>
      <x:c r="D1055" s="8" t="n">
        <x:v>45372</x:v>
      </x:c>
      <x:c r="E1055" s="9" t="n">
        <x:v>1552000</x:v>
      </x:c>
      <x:c r="F1055" s="9" t="n">
        <x:v>1552000</x:v>
      </x:c>
    </x:row>
    <x:row r="1056" ht="34" customHeight="1">
      <x:c r="A1056" s="4" t="str">
        <x:v>RS-00552-I3</x:v>
      </x:c>
      <x:c r="B1056" s="4" t="str">
        <x:v>RS-00552</x:v>
      </x:c>
      <x:c r="C1056" s="9" t="n">
        <x:v>3</x:v>
      </x:c>
      <x:c r="D1056" s="8" t="n">
        <x:v>45402</x:v>
      </x:c>
      <x:c r="E1056" s="9" t="n">
        <x:v>1552000</x:v>
      </x:c>
      <x:c r="F1056" s="9" t="n">
        <x:v>1552000</x:v>
      </x:c>
    </x:row>
    <x:row r="1057" ht="34" customHeight="1">
      <x:c r="A1057" s="4" t="str">
        <x:v>RS-00552-I4</x:v>
      </x:c>
      <x:c r="B1057" s="4" t="str">
        <x:v>RS-00552</x:v>
      </x:c>
      <x:c r="C1057" s="9" t="n">
        <x:v>4</x:v>
      </x:c>
      <x:c r="D1057" s="8" t="n">
        <x:v>45432</x:v>
      </x:c>
      <x:c r="E1057" s="9" t="n">
        <x:v>1552000</x:v>
      </x:c>
      <x:c r="F1057" s="9" t="n">
        <x:v>1552000</x:v>
      </x:c>
    </x:row>
    <x:row r="1058" ht="34" customHeight="1">
      <x:c r="A1058" s="4" t="str">
        <x:v>RS-00558-I1</x:v>
      </x:c>
      <x:c r="B1058" s="4" t="str">
        <x:v>RS-00558</x:v>
      </x:c>
      <x:c r="C1058" s="9" t="n">
        <x:v>1</x:v>
      </x:c>
      <x:c r="D1058" s="8" t="n">
        <x:v>45348</x:v>
      </x:c>
      <x:c r="E1058" s="9" t="n">
        <x:v>4738000</x:v>
      </x:c>
      <x:c r="F1058" s="9" t="n">
        <x:v>4738000</x:v>
      </x:c>
    </x:row>
    <x:row r="1059" ht="34" customHeight="1">
      <x:c r="A1059" s="4" t="str">
        <x:v>RS-00558-I2</x:v>
      </x:c>
      <x:c r="B1059" s="4" t="str">
        <x:v>RS-00558</x:v>
      </x:c>
      <x:c r="C1059" s="9" t="n">
        <x:v>2</x:v>
      </x:c>
      <x:c r="D1059" s="8" t="n">
        <x:v>45378</x:v>
      </x:c>
      <x:c r="E1059" s="9" t="n">
        <x:v>4738000</x:v>
      </x:c>
      <x:c r="F1059" s="9" t="n">
        <x:v>4738000</x:v>
      </x:c>
    </x:row>
    <x:row r="1060" ht="34" customHeight="1">
      <x:c r="A1060" s="4" t="str">
        <x:v>RS-00558-I3</x:v>
      </x:c>
      <x:c r="B1060" s="4" t="str">
        <x:v>RS-00558</x:v>
      </x:c>
      <x:c r="C1060" s="9" t="n">
        <x:v>3</x:v>
      </x:c>
      <x:c r="D1060" s="8" t="n">
        <x:v>45408</x:v>
      </x:c>
      <x:c r="E1060" s="9" t="n">
        <x:v>4738000</x:v>
      </x:c>
      <x:c r="F1060" s="9" t="n">
        <x:v>0</x:v>
      </x:c>
    </x:row>
    <x:row r="1061" ht="34" customHeight="1">
      <x:c r="A1061" s="4" t="str">
        <x:v>RS-00558-I4</x:v>
      </x:c>
      <x:c r="B1061" s="4" t="str">
        <x:v>RS-00558</x:v>
      </x:c>
      <x:c r="C1061" s="9" t="n">
        <x:v>4</x:v>
      </x:c>
      <x:c r="D1061" s="8" t="n">
        <x:v>45438</x:v>
      </x:c>
      <x:c r="E1061" s="9" t="n">
        <x:v>4738000</x:v>
      </x:c>
      <x:c r="F1061" s="9" t="n">
        <x:v>0</x:v>
      </x:c>
    </x:row>
    <x:row r="1062" ht="34" customHeight="1">
      <x:c r="A1062" s="4" t="str">
        <x:v>RS-00562-I1</x:v>
      </x:c>
      <x:c r="B1062" s="4" t="str">
        <x:v>RS-00562</x:v>
      </x:c>
      <x:c r="C1062" s="9" t="n">
        <x:v>1</x:v>
      </x:c>
      <x:c r="D1062" s="8" t="n">
        <x:v>45324</x:v>
      </x:c>
      <x:c r="E1062" s="9" t="n">
        <x:v>4115250</x:v>
      </x:c>
      <x:c r="F1062" s="9" t="n">
        <x:v>4115250</x:v>
      </x:c>
    </x:row>
    <x:row r="1063" ht="34" customHeight="1">
      <x:c r="A1063" s="4" t="str">
        <x:v>RS-00562-I2</x:v>
      </x:c>
      <x:c r="B1063" s="4" t="str">
        <x:v>RS-00562</x:v>
      </x:c>
      <x:c r="C1063" s="9" t="n">
        <x:v>2</x:v>
      </x:c>
      <x:c r="D1063" s="8" t="n">
        <x:v>45354</x:v>
      </x:c>
      <x:c r="E1063" s="9" t="n">
        <x:v>4115250</x:v>
      </x:c>
      <x:c r="F1063" s="9" t="n">
        <x:v>4115250</x:v>
      </x:c>
    </x:row>
    <x:row r="1064" ht="34" customHeight="1">
      <x:c r="A1064" s="4" t="str">
        <x:v>RS-00562-I3</x:v>
      </x:c>
      <x:c r="B1064" s="4" t="str">
        <x:v>RS-00562</x:v>
      </x:c>
      <x:c r="C1064" s="9" t="n">
        <x:v>3</x:v>
      </x:c>
      <x:c r="D1064" s="8" t="n">
        <x:v>45384</x:v>
      </x:c>
      <x:c r="E1064" s="9" t="n">
        <x:v>4115250</x:v>
      </x:c>
      <x:c r="F1064" s="9" t="n">
        <x:v>4115250</x:v>
      </x:c>
    </x:row>
    <x:row r="1065" ht="34" customHeight="1">
      <x:c r="A1065" s="4" t="str">
        <x:v>RS-00562-I4</x:v>
      </x:c>
      <x:c r="B1065" s="4" t="str">
        <x:v>RS-00562</x:v>
      </x:c>
      <x:c r="C1065" s="9" t="n">
        <x:v>4</x:v>
      </x:c>
      <x:c r="D1065" s="8" t="n">
        <x:v>45414</x:v>
      </x:c>
      <x:c r="E1065" s="9" t="n">
        <x:v>4115250</x:v>
      </x:c>
      <x:c r="F1065" s="9" t="n">
        <x:v>4115250</x:v>
      </x:c>
    </x:row>
    <x:row r="1066" ht="34" customHeight="1">
      <x:c r="A1066" s="4" t="str">
        <x:v>RS-00565-I1</x:v>
      </x:c>
      <x:c r="B1066" s="4" t="str">
        <x:v>RS-00565</x:v>
      </x:c>
      <x:c r="C1066" s="9" t="n">
        <x:v>1</x:v>
      </x:c>
      <x:c r="D1066" s="8" t="n">
        <x:v>45327</x:v>
      </x:c>
      <x:c r="E1066" s="9" t="n">
        <x:v>2160000</x:v>
      </x:c>
      <x:c r="F1066" s="9" t="n">
        <x:v>2160000</x:v>
      </x:c>
    </x:row>
    <x:row r="1067" ht="34" customHeight="1">
      <x:c r="A1067" s="4" t="str">
        <x:v>RS-00565-I2</x:v>
      </x:c>
      <x:c r="B1067" s="4" t="str">
        <x:v>RS-00565</x:v>
      </x:c>
      <x:c r="C1067" s="9" t="n">
        <x:v>2</x:v>
      </x:c>
      <x:c r="D1067" s="8" t="n">
        <x:v>45357</x:v>
      </x:c>
      <x:c r="E1067" s="9" t="n">
        <x:v>2160000</x:v>
      </x:c>
      <x:c r="F1067" s="9" t="n">
        <x:v>2160000</x:v>
      </x:c>
    </x:row>
    <x:row r="1068" ht="34" customHeight="1">
      <x:c r="A1068" s="4" t="str">
        <x:v>RS-00565-I3</x:v>
      </x:c>
      <x:c r="B1068" s="4" t="str">
        <x:v>RS-00565</x:v>
      </x:c>
      <x:c r="C1068" s="9" t="n">
        <x:v>3</x:v>
      </x:c>
      <x:c r="D1068" s="8" t="n">
        <x:v>45387</x:v>
      </x:c>
      <x:c r="E1068" s="9" t="n">
        <x:v>2160000</x:v>
      </x:c>
      <x:c r="F1068" s="9" t="n">
        <x:v>0</x:v>
      </x:c>
    </x:row>
    <x:row r="1069" ht="34" customHeight="1">
      <x:c r="A1069" s="4" t="str">
        <x:v>RS-00565-I4</x:v>
      </x:c>
      <x:c r="B1069" s="4" t="str">
        <x:v>RS-00565</x:v>
      </x:c>
      <x:c r="C1069" s="9" t="n">
        <x:v>4</x:v>
      </x:c>
      <x:c r="D1069" s="8" t="n">
        <x:v>45417</x:v>
      </x:c>
      <x:c r="E1069" s="9" t="n">
        <x:v>2160000</x:v>
      </x:c>
      <x:c r="F1069" s="9" t="n">
        <x:v>0</x:v>
      </x:c>
    </x:row>
    <x:row r="1070" ht="34" customHeight="1">
      <x:c r="A1070" s="4" t="str">
        <x:v>RS-00568-I1</x:v>
      </x:c>
      <x:c r="B1070" s="4" t="str">
        <x:v>RS-00568</x:v>
      </x:c>
      <x:c r="C1070" s="9" t="n">
        <x:v>1</x:v>
      </x:c>
      <x:c r="D1070" s="8" t="n">
        <x:v>45330</x:v>
      </x:c>
      <x:c r="E1070" s="9" t="n">
        <x:v>1720500</x:v>
      </x:c>
      <x:c r="F1070" s="9" t="n">
        <x:v>1720500</x:v>
      </x:c>
    </x:row>
    <x:row r="1071" ht="34" customHeight="1">
      <x:c r="A1071" s="4" t="str">
        <x:v>RS-00568-I2</x:v>
      </x:c>
      <x:c r="B1071" s="4" t="str">
        <x:v>RS-00568</x:v>
      </x:c>
      <x:c r="C1071" s="9" t="n">
        <x:v>2</x:v>
      </x:c>
      <x:c r="D1071" s="8" t="n">
        <x:v>45360</x:v>
      </x:c>
      <x:c r="E1071" s="9" t="n">
        <x:v>1720500</x:v>
      </x:c>
      <x:c r="F1071" s="9" t="n">
        <x:v>0</x:v>
      </x:c>
    </x:row>
    <x:row r="1072" ht="34" customHeight="1">
      <x:c r="A1072" s="4" t="str">
        <x:v>RS-00568-I3</x:v>
      </x:c>
      <x:c r="B1072" s="4" t="str">
        <x:v>RS-00568</x:v>
      </x:c>
      <x:c r="C1072" s="9" t="n">
        <x:v>3</x:v>
      </x:c>
      <x:c r="D1072" s="8" t="n">
        <x:v>45390</x:v>
      </x:c>
      <x:c r="E1072" s="9" t="n">
        <x:v>1720500</x:v>
      </x:c>
      <x:c r="F1072" s="9" t="n">
        <x:v>0</x:v>
      </x:c>
    </x:row>
    <x:row r="1073" ht="34" customHeight="1">
      <x:c r="A1073" s="4" t="str">
        <x:v>RS-00568-I4</x:v>
      </x:c>
      <x:c r="B1073" s="4" t="str">
        <x:v>RS-00568</x:v>
      </x:c>
      <x:c r="C1073" s="9" t="n">
        <x:v>4</x:v>
      </x:c>
      <x:c r="D1073" s="8" t="n">
        <x:v>45420</x:v>
      </x:c>
      <x:c r="E1073" s="9" t="n">
        <x:v>1720500</x:v>
      </x:c>
      <x:c r="F1073" s="9" t="n">
        <x:v>0</x:v>
      </x:c>
    </x:row>
    <x:row r="1074" ht="34" customHeight="1">
      <x:c r="A1074" s="4" t="str">
        <x:v>RS-00570-I1</x:v>
      </x:c>
      <x:c r="B1074" s="4" t="str">
        <x:v>RS-00570</x:v>
      </x:c>
      <x:c r="C1074" s="9" t="n">
        <x:v>1</x:v>
      </x:c>
      <x:c r="D1074" s="8" t="n">
        <x:v>45332</x:v>
      </x:c>
      <x:c r="E1074" s="9" t="n">
        <x:v>5915250</x:v>
      </x:c>
      <x:c r="F1074" s="9" t="n">
        <x:v>5915250</x:v>
      </x:c>
    </x:row>
    <x:row r="1075" ht="34" customHeight="1">
      <x:c r="A1075" s="4" t="str">
        <x:v>RS-00570-I2</x:v>
      </x:c>
      <x:c r="B1075" s="4" t="str">
        <x:v>RS-00570</x:v>
      </x:c>
      <x:c r="C1075" s="9" t="n">
        <x:v>2</x:v>
      </x:c>
      <x:c r="D1075" s="8" t="n">
        <x:v>45362</x:v>
      </x:c>
      <x:c r="E1075" s="9" t="n">
        <x:v>5915250</x:v>
      </x:c>
      <x:c r="F1075" s="9" t="n">
        <x:v>0</x:v>
      </x:c>
    </x:row>
    <x:row r="1076" ht="34" customHeight="1">
      <x:c r="A1076" s="4" t="str">
        <x:v>RS-00570-I3</x:v>
      </x:c>
      <x:c r="B1076" s="4" t="str">
        <x:v>RS-00570</x:v>
      </x:c>
      <x:c r="C1076" s="9" t="n">
        <x:v>3</x:v>
      </x:c>
      <x:c r="D1076" s="8" t="n">
        <x:v>45392</x:v>
      </x:c>
      <x:c r="E1076" s="9" t="n">
        <x:v>5915250</x:v>
      </x:c>
      <x:c r="F1076" s="9" t="n">
        <x:v>0</x:v>
      </x:c>
    </x:row>
    <x:row r="1077" ht="34" customHeight="1">
      <x:c r="A1077" s="4" t="str">
        <x:v>RS-00570-I4</x:v>
      </x:c>
      <x:c r="B1077" s="4" t="str">
        <x:v>RS-00570</x:v>
      </x:c>
      <x:c r="C1077" s="9" t="n">
        <x:v>4</x:v>
      </x:c>
      <x:c r="D1077" s="8" t="n">
        <x:v>45422</x:v>
      </x:c>
      <x:c r="E1077" s="9" t="n">
        <x:v>5915250</x:v>
      </x:c>
      <x:c r="F1077" s="9" t="n">
        <x:v>0</x:v>
      </x:c>
    </x:row>
    <x:row r="1078" ht="34" customHeight="1">
      <x:c r="A1078" s="4" t="str">
        <x:v>RS-00572-I1</x:v>
      </x:c>
      <x:c r="B1078" s="4" t="str">
        <x:v>RS-00572</x:v>
      </x:c>
      <x:c r="C1078" s="9" t="n">
        <x:v>1</x:v>
      </x:c>
      <x:c r="D1078" s="8" t="n">
        <x:v>45334</x:v>
      </x:c>
      <x:c r="E1078" s="9" t="n">
        <x:v>1176000</x:v>
      </x:c>
      <x:c r="F1078" s="9" t="n">
        <x:v>1176000</x:v>
      </x:c>
    </x:row>
    <x:row r="1079" ht="34" customHeight="1">
      <x:c r="A1079" s="4" t="str">
        <x:v>RS-00572-I2</x:v>
      </x:c>
      <x:c r="B1079" s="4" t="str">
        <x:v>RS-00572</x:v>
      </x:c>
      <x:c r="C1079" s="9" t="n">
        <x:v>2</x:v>
      </x:c>
      <x:c r="D1079" s="8" t="n">
        <x:v>45364</x:v>
      </x:c>
      <x:c r="E1079" s="9" t="n">
        <x:v>1176000</x:v>
      </x:c>
      <x:c r="F1079" s="9" t="n">
        <x:v>1176000</x:v>
      </x:c>
    </x:row>
    <x:row r="1080" ht="34" customHeight="1">
      <x:c r="A1080" s="4" t="str">
        <x:v>RS-00572-I3</x:v>
      </x:c>
      <x:c r="B1080" s="4" t="str">
        <x:v>RS-00572</x:v>
      </x:c>
      <x:c r="C1080" s="9" t="n">
        <x:v>3</x:v>
      </x:c>
      <x:c r="D1080" s="8" t="n">
        <x:v>45394</x:v>
      </x:c>
      <x:c r="E1080" s="9" t="n">
        <x:v>1176000</x:v>
      </x:c>
      <x:c r="F1080" s="9" t="n">
        <x:v>0</x:v>
      </x:c>
    </x:row>
    <x:row r="1081" ht="34" customHeight="1">
      <x:c r="A1081" s="4" t="str">
        <x:v>RS-00572-I4</x:v>
      </x:c>
      <x:c r="B1081" s="4" t="str">
        <x:v>RS-00572</x:v>
      </x:c>
      <x:c r="C1081" s="9" t="n">
        <x:v>4</x:v>
      </x:c>
      <x:c r="D1081" s="8" t="n">
        <x:v>45424</x:v>
      </x:c>
      <x:c r="E1081" s="9" t="n">
        <x:v>1176000</x:v>
      </x:c>
      <x:c r="F1081" s="9" t="n">
        <x:v>0</x:v>
      </x:c>
    </x:row>
    <x:row r="1082" ht="34" customHeight="1">
      <x:c r="A1082" s="4" t="str">
        <x:v>RS-00573-I1</x:v>
      </x:c>
      <x:c r="B1082" s="4" t="str">
        <x:v>RS-00573</x:v>
      </x:c>
      <x:c r="C1082" s="9" t="n">
        <x:v>1</x:v>
      </x:c>
      <x:c r="D1082" s="8" t="n">
        <x:v>45335</x:v>
      </x:c>
      <x:c r="E1082" s="9" t="n">
        <x:v>5880000</x:v>
      </x:c>
      <x:c r="F1082" s="9" t="n">
        <x:v>2352000</x:v>
      </x:c>
    </x:row>
    <x:row r="1083" ht="34" customHeight="1">
      <x:c r="A1083" s="4" t="str">
        <x:v>RS-00573-I2</x:v>
      </x:c>
      <x:c r="B1083" s="4" t="str">
        <x:v>RS-00573</x:v>
      </x:c>
      <x:c r="C1083" s="9" t="n">
        <x:v>2</x:v>
      </x:c>
      <x:c r="D1083" s="8" t="n">
        <x:v>45365</x:v>
      </x:c>
      <x:c r="E1083" s="9" t="n">
        <x:v>5880000</x:v>
      </x:c>
      <x:c r="F1083" s="9" t="n">
        <x:v>0</x:v>
      </x:c>
    </x:row>
    <x:row r="1084" ht="34" customHeight="1">
      <x:c r="A1084" s="4" t="str">
        <x:v>RS-00573-I3</x:v>
      </x:c>
      <x:c r="B1084" s="4" t="str">
        <x:v>RS-00573</x:v>
      </x:c>
      <x:c r="C1084" s="9" t="n">
        <x:v>3</x:v>
      </x:c>
      <x:c r="D1084" s="8" t="n">
        <x:v>45395</x:v>
      </x:c>
      <x:c r="E1084" s="9" t="n">
        <x:v>5880000</x:v>
      </x:c>
      <x:c r="F1084" s="9" t="n">
        <x:v>0</x:v>
      </x:c>
    </x:row>
    <x:row r="1085" ht="34" customHeight="1">
      <x:c r="A1085" s="4" t="str">
        <x:v>RS-00573-I4</x:v>
      </x:c>
      <x:c r="B1085" s="4" t="str">
        <x:v>RS-00573</x:v>
      </x:c>
      <x:c r="C1085" s="9" t="n">
        <x:v>4</x:v>
      </x:c>
      <x:c r="D1085" s="8" t="n">
        <x:v>45425</x:v>
      </x:c>
      <x:c r="E1085" s="9" t="n">
        <x:v>5880000</x:v>
      </x:c>
      <x:c r="F1085" s="9" t="n">
        <x:v>0</x:v>
      </x:c>
    </x:row>
    <x:row r="1086" ht="34" customHeight="1">
      <x:c r="A1086" s="4" t="str">
        <x:v>RS-00575-I1</x:v>
      </x:c>
      <x:c r="B1086" s="4" t="str">
        <x:v>RS-00575</x:v>
      </x:c>
      <x:c r="C1086" s="9" t="n">
        <x:v>1</x:v>
      </x:c>
      <x:c r="D1086" s="8" t="n">
        <x:v>45337</x:v>
      </x:c>
      <x:c r="E1086" s="9" t="n">
        <x:v>2047000</x:v>
      </x:c>
      <x:c r="F1086" s="9" t="n">
        <x:v>818800</x:v>
      </x:c>
    </x:row>
    <x:row r="1087" ht="34" customHeight="1">
      <x:c r="A1087" s="4" t="str">
        <x:v>RS-00575-I2</x:v>
      </x:c>
      <x:c r="B1087" s="4" t="str">
        <x:v>RS-00575</x:v>
      </x:c>
      <x:c r="C1087" s="9" t="n">
        <x:v>2</x:v>
      </x:c>
      <x:c r="D1087" s="8" t="n">
        <x:v>45367</x:v>
      </x:c>
      <x:c r="E1087" s="9" t="n">
        <x:v>2047000</x:v>
      </x:c>
      <x:c r="F1087" s="9" t="n">
        <x:v>0</x:v>
      </x:c>
    </x:row>
    <x:row r="1088" ht="34" customHeight="1">
      <x:c r="A1088" s="4" t="str">
        <x:v>RS-00575-I3</x:v>
      </x:c>
      <x:c r="B1088" s="4" t="str">
        <x:v>RS-00575</x:v>
      </x:c>
      <x:c r="C1088" s="9" t="n">
        <x:v>3</x:v>
      </x:c>
      <x:c r="D1088" s="8" t="n">
        <x:v>45397</x:v>
      </x:c>
      <x:c r="E1088" s="9" t="n">
        <x:v>2047000</x:v>
      </x:c>
      <x:c r="F1088" s="9" t="n">
        <x:v>0</x:v>
      </x:c>
    </x:row>
    <x:row r="1089" ht="34" customHeight="1">
      <x:c r="A1089" s="4" t="str">
        <x:v>RS-00575-I4</x:v>
      </x:c>
      <x:c r="B1089" s="4" t="str">
        <x:v>RS-00575</x:v>
      </x:c>
      <x:c r="C1089" s="9" t="n">
        <x:v>4</x:v>
      </x:c>
      <x:c r="D1089" s="8" t="n">
        <x:v>45427</x:v>
      </x:c>
      <x:c r="E1089" s="9" t="n">
        <x:v>2047000</x:v>
      </x:c>
      <x:c r="F1089" s="9" t="n">
        <x:v>0</x:v>
      </x:c>
    </x:row>
    <x:row r="1090" ht="34" customHeight="1">
      <x:c r="A1090" s="4" t="str">
        <x:v>RS-00576-I1</x:v>
      </x:c>
      <x:c r="B1090" s="4" t="str">
        <x:v>RS-00576</x:v>
      </x:c>
      <x:c r="C1090" s="9" t="n">
        <x:v>1</x:v>
      </x:c>
      <x:c r="D1090" s="8" t="n">
        <x:v>45338</x:v>
      </x:c>
      <x:c r="E1090" s="9" t="n">
        <x:v>4075000</x:v>
      </x:c>
      <x:c r="F1090" s="9" t="n">
        <x:v>4075000</x:v>
      </x:c>
    </x:row>
    <x:row r="1091" ht="34" customHeight="1">
      <x:c r="A1091" s="4" t="str">
        <x:v>RS-00576-I2</x:v>
      </x:c>
      <x:c r="B1091" s="4" t="str">
        <x:v>RS-00576</x:v>
      </x:c>
      <x:c r="C1091" s="9" t="n">
        <x:v>2</x:v>
      </x:c>
      <x:c r="D1091" s="8" t="n">
        <x:v>45368</x:v>
      </x:c>
      <x:c r="E1091" s="9" t="n">
        <x:v>4075000</x:v>
      </x:c>
      <x:c r="F1091" s="9" t="n">
        <x:v>4075000</x:v>
      </x:c>
    </x:row>
    <x:row r="1092" ht="34" customHeight="1">
      <x:c r="A1092" s="4" t="str">
        <x:v>RS-00576-I3</x:v>
      </x:c>
      <x:c r="B1092" s="4" t="str">
        <x:v>RS-00576</x:v>
      </x:c>
      <x:c r="C1092" s="9" t="n">
        <x:v>3</x:v>
      </x:c>
      <x:c r="D1092" s="8" t="n">
        <x:v>45398</x:v>
      </x:c>
      <x:c r="E1092" s="9" t="n">
        <x:v>4075000</x:v>
      </x:c>
      <x:c r="F1092" s="9" t="n">
        <x:v>4075000</x:v>
      </x:c>
    </x:row>
    <x:row r="1093" ht="34" customHeight="1">
      <x:c r="A1093" s="4" t="str">
        <x:v>RS-00576-I4</x:v>
      </x:c>
      <x:c r="B1093" s="4" t="str">
        <x:v>RS-00576</x:v>
      </x:c>
      <x:c r="C1093" s="9" t="n">
        <x:v>4</x:v>
      </x:c>
      <x:c r="D1093" s="8" t="n">
        <x:v>45428</x:v>
      </x:c>
      <x:c r="E1093" s="9" t="n">
        <x:v>4075000</x:v>
      </x:c>
      <x:c r="F1093" s="9" t="n">
        <x:v>4075000</x:v>
      </x:c>
    </x:row>
    <x:row r="1094" ht="34" customHeight="1">
      <x:c r="A1094" s="4" t="str">
        <x:v>RS-00579-I1</x:v>
      </x:c>
      <x:c r="B1094" s="4" t="str">
        <x:v>RS-00579</x:v>
      </x:c>
      <x:c r="C1094" s="9" t="n">
        <x:v>1</x:v>
      </x:c>
      <x:c r="D1094" s="8" t="n">
        <x:v>45341</x:v>
      </x:c>
      <x:c r="E1094" s="9" t="n">
        <x:v>4773750</x:v>
      </x:c>
      <x:c r="F1094" s="9" t="n">
        <x:v>1909500</x:v>
      </x:c>
    </x:row>
    <x:row r="1095" ht="34" customHeight="1">
      <x:c r="A1095" s="4" t="str">
        <x:v>RS-00579-I2</x:v>
      </x:c>
      <x:c r="B1095" s="4" t="str">
        <x:v>RS-00579</x:v>
      </x:c>
      <x:c r="C1095" s="9" t="n">
        <x:v>2</x:v>
      </x:c>
      <x:c r="D1095" s="8" t="n">
        <x:v>45371</x:v>
      </x:c>
      <x:c r="E1095" s="9" t="n">
        <x:v>4773750</x:v>
      </x:c>
      <x:c r="F1095" s="9" t="n">
        <x:v>0</x:v>
      </x:c>
    </x:row>
    <x:row r="1096" ht="34" customHeight="1">
      <x:c r="A1096" s="4" t="str">
        <x:v>RS-00579-I3</x:v>
      </x:c>
      <x:c r="B1096" s="4" t="str">
        <x:v>RS-00579</x:v>
      </x:c>
      <x:c r="C1096" s="9" t="n">
        <x:v>3</x:v>
      </x:c>
      <x:c r="D1096" s="8" t="n">
        <x:v>45401</x:v>
      </x:c>
      <x:c r="E1096" s="9" t="n">
        <x:v>4773750</x:v>
      </x:c>
      <x:c r="F1096" s="9" t="n">
        <x:v>0</x:v>
      </x:c>
    </x:row>
    <x:row r="1097" ht="34" customHeight="1">
      <x:c r="A1097" s="4" t="str">
        <x:v>RS-00579-I4</x:v>
      </x:c>
      <x:c r="B1097" s="4" t="str">
        <x:v>RS-00579</x:v>
      </x:c>
      <x:c r="C1097" s="9" t="n">
        <x:v>4</x:v>
      </x:c>
      <x:c r="D1097" s="8" t="n">
        <x:v>45431</x:v>
      </x:c>
      <x:c r="E1097" s="9" t="n">
        <x:v>4773750</x:v>
      </x:c>
      <x:c r="F1097" s="9" t="n">
        <x:v>0</x:v>
      </x:c>
    </x:row>
    <x:row r="1098" ht="34" customHeight="1">
      <x:c r="A1098" s="4" t="str">
        <x:v>RS-00580-I1</x:v>
      </x:c>
      <x:c r="B1098" s="4" t="str">
        <x:v>RS-00580</x:v>
      </x:c>
      <x:c r="C1098" s="9" t="n">
        <x:v>1</x:v>
      </x:c>
      <x:c r="D1098" s="8" t="n">
        <x:v>45342</x:v>
      </x:c>
      <x:c r="E1098" s="9" t="n">
        <x:v>1285250</x:v>
      </x:c>
      <x:c r="F1098" s="9" t="n">
        <x:v>1285250</x:v>
      </x:c>
    </x:row>
    <x:row r="1099" ht="34" customHeight="1">
      <x:c r="A1099" s="4" t="str">
        <x:v>RS-00580-I2</x:v>
      </x:c>
      <x:c r="B1099" s="4" t="str">
        <x:v>RS-00580</x:v>
      </x:c>
      <x:c r="C1099" s="9" t="n">
        <x:v>2</x:v>
      </x:c>
      <x:c r="D1099" s="8" t="n">
        <x:v>45372</x:v>
      </x:c>
      <x:c r="E1099" s="9" t="n">
        <x:v>1285250</x:v>
      </x:c>
      <x:c r="F1099" s="9" t="n">
        <x:v>1285250</x:v>
      </x:c>
    </x:row>
    <x:row r="1100" ht="34" customHeight="1">
      <x:c r="A1100" s="4" t="str">
        <x:v>RS-00580-I3</x:v>
      </x:c>
      <x:c r="B1100" s="4" t="str">
        <x:v>RS-00580</x:v>
      </x:c>
      <x:c r="C1100" s="9" t="n">
        <x:v>3</x:v>
      </x:c>
      <x:c r="D1100" s="8" t="n">
        <x:v>45402</x:v>
      </x:c>
      <x:c r="E1100" s="9" t="n">
        <x:v>1285250</x:v>
      </x:c>
      <x:c r="F1100" s="9" t="n">
        <x:v>0</x:v>
      </x:c>
    </x:row>
    <x:row r="1101" ht="34" customHeight="1">
      <x:c r="A1101" s="4" t="str">
        <x:v>RS-00580-I4</x:v>
      </x:c>
      <x:c r="B1101" s="4" t="str">
        <x:v>RS-00580</x:v>
      </x:c>
      <x:c r="C1101" s="9" t="n">
        <x:v>4</x:v>
      </x:c>
      <x:c r="D1101" s="8" t="n">
        <x:v>45432</x:v>
      </x:c>
      <x:c r="E1101" s="9" t="n">
        <x:v>1285250</x:v>
      </x:c>
      <x:c r="F1101" s="9" t="n">
        <x:v>0</x:v>
      </x:c>
    </x:row>
    <x:row r="1102" ht="34" customHeight="1">
      <x:c r="A1102" s="4" t="str">
        <x:v>RS-00582-I1</x:v>
      </x:c>
      <x:c r="B1102" s="4" t="str">
        <x:v>RS-00582</x:v>
      </x:c>
      <x:c r="C1102" s="9" t="n">
        <x:v>1</x:v>
      </x:c>
      <x:c r="D1102" s="8" t="n">
        <x:v>45344</x:v>
      </x:c>
      <x:c r="E1102" s="9" t="n">
        <x:v>5529000</x:v>
      </x:c>
      <x:c r="F1102" s="9" t="n">
        <x:v>2211600</x:v>
      </x:c>
    </x:row>
    <x:row r="1103" ht="34" customHeight="1">
      <x:c r="A1103" s="4" t="str">
        <x:v>RS-00582-I2</x:v>
      </x:c>
      <x:c r="B1103" s="4" t="str">
        <x:v>RS-00582</x:v>
      </x:c>
      <x:c r="C1103" s="9" t="n">
        <x:v>2</x:v>
      </x:c>
      <x:c r="D1103" s="8" t="n">
        <x:v>45374</x:v>
      </x:c>
      <x:c r="E1103" s="9" t="n">
        <x:v>5529000</x:v>
      </x:c>
      <x:c r="F1103" s="9" t="n">
        <x:v>0</x:v>
      </x:c>
    </x:row>
    <x:row r="1104" ht="34" customHeight="1">
      <x:c r="A1104" s="4" t="str">
        <x:v>RS-00582-I3</x:v>
      </x:c>
      <x:c r="B1104" s="4" t="str">
        <x:v>RS-00582</x:v>
      </x:c>
      <x:c r="C1104" s="9" t="n">
        <x:v>3</x:v>
      </x:c>
      <x:c r="D1104" s="8" t="n">
        <x:v>45404</x:v>
      </x:c>
      <x:c r="E1104" s="9" t="n">
        <x:v>5529000</x:v>
      </x:c>
      <x:c r="F1104" s="9" t="n">
        <x:v>0</x:v>
      </x:c>
    </x:row>
    <x:row r="1105" ht="34" customHeight="1">
      <x:c r="A1105" s="4" t="str">
        <x:v>RS-00582-I4</x:v>
      </x:c>
      <x:c r="B1105" s="4" t="str">
        <x:v>RS-00582</x:v>
      </x:c>
      <x:c r="C1105" s="9" t="n">
        <x:v>4</x:v>
      </x:c>
      <x:c r="D1105" s="8" t="n">
        <x:v>45434</x:v>
      </x:c>
      <x:c r="E1105" s="9" t="n">
        <x:v>5529000</x:v>
      </x:c>
      <x:c r="F1105" s="9" t="n">
        <x:v>0</x:v>
      </x:c>
    </x:row>
    <x:row r="1106" ht="34" customHeight="1">
      <x:c r="A1106" s="4" t="str">
        <x:v>RS-00583-I1</x:v>
      </x:c>
      <x:c r="B1106" s="4" t="str">
        <x:v>RS-00583</x:v>
      </x:c>
      <x:c r="C1106" s="9" t="n">
        <x:v>1</x:v>
      </x:c>
      <x:c r="D1106" s="8" t="n">
        <x:v>45345</x:v>
      </x:c>
      <x:c r="E1106" s="9" t="n">
        <x:v>5107500</x:v>
      </x:c>
      <x:c r="F1106" s="9" t="n">
        <x:v>5107500</x:v>
      </x:c>
    </x:row>
    <x:row r="1107" ht="34" customHeight="1">
      <x:c r="A1107" s="4" t="str">
        <x:v>RS-00583-I2</x:v>
      </x:c>
      <x:c r="B1107" s="4" t="str">
        <x:v>RS-00583</x:v>
      </x:c>
      <x:c r="C1107" s="9" t="n">
        <x:v>2</x:v>
      </x:c>
      <x:c r="D1107" s="8" t="n">
        <x:v>45375</x:v>
      </x:c>
      <x:c r="E1107" s="9" t="n">
        <x:v>5107500</x:v>
      </x:c>
      <x:c r="F1107" s="9" t="n">
        <x:v>5107500</x:v>
      </x:c>
    </x:row>
    <x:row r="1108" ht="34" customHeight="1">
      <x:c r="A1108" s="4" t="str">
        <x:v>RS-00583-I3</x:v>
      </x:c>
      <x:c r="B1108" s="4" t="str">
        <x:v>RS-00583</x:v>
      </x:c>
      <x:c r="C1108" s="9" t="n">
        <x:v>3</x:v>
      </x:c>
      <x:c r="D1108" s="8" t="n">
        <x:v>45405</x:v>
      </x:c>
      <x:c r="E1108" s="9" t="n">
        <x:v>5107500</x:v>
      </x:c>
      <x:c r="F1108" s="9" t="n">
        <x:v>0</x:v>
      </x:c>
    </x:row>
    <x:row r="1109" ht="34" customHeight="1">
      <x:c r="A1109" s="4" t="str">
        <x:v>RS-00583-I4</x:v>
      </x:c>
      <x:c r="B1109" s="4" t="str">
        <x:v>RS-00583</x:v>
      </x:c>
      <x:c r="C1109" s="9" t="n">
        <x:v>4</x:v>
      </x:c>
      <x:c r="D1109" s="8" t="n">
        <x:v>45435</x:v>
      </x:c>
      <x:c r="E1109" s="9" t="n">
        <x:v>5107500</x:v>
      </x:c>
      <x:c r="F1109" s="9" t="n">
        <x:v>0</x:v>
      </x:c>
    </x:row>
    <x:row r="1110" ht="34" customHeight="1">
      <x:c r="A1110" s="4" t="str">
        <x:v>RS-00587-I1</x:v>
      </x:c>
      <x:c r="B1110" s="4" t="str">
        <x:v>RS-00587</x:v>
      </x:c>
      <x:c r="C1110" s="9" t="n">
        <x:v>1</x:v>
      </x:c>
      <x:c r="D1110" s="8" t="n">
        <x:v>45349</x:v>
      </x:c>
      <x:c r="E1110" s="9" t="n">
        <x:v>4770500</x:v>
      </x:c>
      <x:c r="F1110" s="9" t="n">
        <x:v>4770500</x:v>
      </x:c>
    </x:row>
    <x:row r="1111" ht="34" customHeight="1">
      <x:c r="A1111" s="4" t="str">
        <x:v>RS-00587-I2</x:v>
      </x:c>
      <x:c r="B1111" s="4" t="str">
        <x:v>RS-00587</x:v>
      </x:c>
      <x:c r="C1111" s="9" t="n">
        <x:v>2</x:v>
      </x:c>
      <x:c r="D1111" s="8" t="n">
        <x:v>45379</x:v>
      </x:c>
      <x:c r="E1111" s="9" t="n">
        <x:v>4770500</x:v>
      </x:c>
      <x:c r="F1111" s="9" t="n">
        <x:v>4770500</x:v>
      </x:c>
    </x:row>
    <x:row r="1112" ht="34" customHeight="1">
      <x:c r="A1112" s="4" t="str">
        <x:v>RS-00587-I3</x:v>
      </x:c>
      <x:c r="B1112" s="4" t="str">
        <x:v>RS-00587</x:v>
      </x:c>
      <x:c r="C1112" s="9" t="n">
        <x:v>3</x:v>
      </x:c>
      <x:c r="D1112" s="8" t="n">
        <x:v>45409</x:v>
      </x:c>
      <x:c r="E1112" s="9" t="n">
        <x:v>4770500</x:v>
      </x:c>
      <x:c r="F1112" s="9" t="n">
        <x:v>4770500</x:v>
      </x:c>
    </x:row>
    <x:row r="1113" ht="34" customHeight="1">
      <x:c r="A1113" s="4" t="str">
        <x:v>RS-00587-I4</x:v>
      </x:c>
      <x:c r="B1113" s="4" t="str">
        <x:v>RS-00587</x:v>
      </x:c>
      <x:c r="C1113" s="9" t="n">
        <x:v>4</x:v>
      </x:c>
      <x:c r="D1113" s="8" t="n">
        <x:v>45439</x:v>
      </x:c>
      <x:c r="E1113" s="9" t="n">
        <x:v>4770500</x:v>
      </x:c>
      <x:c r="F1113" s="9" t="n">
        <x:v>4770500</x:v>
      </x:c>
    </x:row>
    <x:row r="1114" ht="34" customHeight="1">
      <x:c r="A1114" s="4" t="str">
        <x:v>RS-00589-I1</x:v>
      </x:c>
      <x:c r="B1114" s="4" t="str">
        <x:v>RS-00589</x:v>
      </x:c>
      <x:c r="C1114" s="9" t="n">
        <x:v>1</x:v>
      </x:c>
      <x:c r="D1114" s="8" t="n">
        <x:v>45323</x:v>
      </x:c>
      <x:c r="E1114" s="9" t="n">
        <x:v>5664000</x:v>
      </x:c>
      <x:c r="F1114" s="9" t="n">
        <x:v>5664000</x:v>
      </x:c>
    </x:row>
    <x:row r="1115" ht="34" customHeight="1">
      <x:c r="A1115" s="4" t="str">
        <x:v>RS-00589-I2</x:v>
      </x:c>
      <x:c r="B1115" s="4" t="str">
        <x:v>RS-00589</x:v>
      </x:c>
      <x:c r="C1115" s="9" t="n">
        <x:v>2</x:v>
      </x:c>
      <x:c r="D1115" s="8" t="n">
        <x:v>45353</x:v>
      </x:c>
      <x:c r="E1115" s="9" t="n">
        <x:v>5664000</x:v>
      </x:c>
      <x:c r="F1115" s="9" t="n">
        <x:v>0</x:v>
      </x:c>
    </x:row>
    <x:row r="1116" ht="34" customHeight="1">
      <x:c r="A1116" s="4" t="str">
        <x:v>RS-00589-I3</x:v>
      </x:c>
      <x:c r="B1116" s="4" t="str">
        <x:v>RS-00589</x:v>
      </x:c>
      <x:c r="C1116" s="9" t="n">
        <x:v>3</x:v>
      </x:c>
      <x:c r="D1116" s="8" t="n">
        <x:v>45383</x:v>
      </x:c>
      <x:c r="E1116" s="9" t="n">
        <x:v>5664000</x:v>
      </x:c>
      <x:c r="F1116" s="9" t="n">
        <x:v>0</x:v>
      </x:c>
    </x:row>
    <x:row r="1117" ht="34" customHeight="1">
      <x:c r="A1117" s="4" t="str">
        <x:v>RS-00589-I4</x:v>
      </x:c>
      <x:c r="B1117" s="4" t="str">
        <x:v>RS-00589</x:v>
      </x:c>
      <x:c r="C1117" s="9" t="n">
        <x:v>4</x:v>
      </x:c>
      <x:c r="D1117" s="8" t="n">
        <x:v>45413</x:v>
      </x:c>
      <x:c r="E1117" s="9" t="n">
        <x:v>5664000</x:v>
      </x:c>
      <x:c r="F1117" s="9" t="n">
        <x:v>0</x:v>
      </x:c>
    </x:row>
    <x:row r="1118" ht="34" customHeight="1">
      <x:c r="A1118" s="4" t="str">
        <x:v>RS-00591-I1</x:v>
      </x:c>
      <x:c r="B1118" s="4" t="str">
        <x:v>RS-00591</x:v>
      </x:c>
      <x:c r="C1118" s="9" t="n">
        <x:v>1</x:v>
      </x:c>
      <x:c r="D1118" s="8" t="n">
        <x:v>45325</x:v>
      </x:c>
      <x:c r="E1118" s="9" t="n">
        <x:v>5197500</x:v>
      </x:c>
      <x:c r="F1118" s="9" t="n">
        <x:v>2079000</x:v>
      </x:c>
    </x:row>
    <x:row r="1119" ht="34" customHeight="1">
      <x:c r="A1119" s="4" t="str">
        <x:v>RS-00591-I2</x:v>
      </x:c>
      <x:c r="B1119" s="4" t="str">
        <x:v>RS-00591</x:v>
      </x:c>
      <x:c r="C1119" s="9" t="n">
        <x:v>2</x:v>
      </x:c>
      <x:c r="D1119" s="8" t="n">
        <x:v>45355</x:v>
      </x:c>
      <x:c r="E1119" s="9" t="n">
        <x:v>5197500</x:v>
      </x:c>
      <x:c r="F1119" s="9" t="n">
        <x:v>0</x:v>
      </x:c>
    </x:row>
    <x:row r="1120" ht="34" customHeight="1">
      <x:c r="A1120" s="4" t="str">
        <x:v>RS-00591-I3</x:v>
      </x:c>
      <x:c r="B1120" s="4" t="str">
        <x:v>RS-00591</x:v>
      </x:c>
      <x:c r="C1120" s="9" t="n">
        <x:v>3</x:v>
      </x:c>
      <x:c r="D1120" s="8" t="n">
        <x:v>45385</x:v>
      </x:c>
      <x:c r="E1120" s="9" t="n">
        <x:v>5197500</x:v>
      </x:c>
      <x:c r="F1120" s="9" t="n">
        <x:v>0</x:v>
      </x:c>
    </x:row>
    <x:row r="1121" ht="34" customHeight="1">
      <x:c r="A1121" s="4" t="str">
        <x:v>RS-00591-I4</x:v>
      </x:c>
      <x:c r="B1121" s="4" t="str">
        <x:v>RS-00591</x:v>
      </x:c>
      <x:c r="C1121" s="9" t="n">
        <x:v>4</x:v>
      </x:c>
      <x:c r="D1121" s="8" t="n">
        <x:v>45415</x:v>
      </x:c>
      <x:c r="E1121" s="9" t="n">
        <x:v>5197500</x:v>
      </x:c>
      <x:c r="F1121" s="9" t="n">
        <x:v>0</x:v>
      </x:c>
    </x:row>
    <x:row r="1122" ht="34" customHeight="1">
      <x:c r="A1122" s="4" t="str">
        <x:v>RS-00595-I1</x:v>
      </x:c>
      <x:c r="B1122" s="4" t="str">
        <x:v>RS-00595</x:v>
      </x:c>
      <x:c r="C1122" s="9" t="n">
        <x:v>1</x:v>
      </x:c>
      <x:c r="D1122" s="8" t="n">
        <x:v>45329</x:v>
      </x:c>
      <x:c r="E1122" s="9" t="n">
        <x:v>2989000</x:v>
      </x:c>
      <x:c r="F1122" s="9" t="n">
        <x:v>2989000</x:v>
      </x:c>
    </x:row>
    <x:row r="1123" ht="34" customHeight="1">
      <x:c r="A1123" s="4" t="str">
        <x:v>RS-00595-I2</x:v>
      </x:c>
      <x:c r="B1123" s="4" t="str">
        <x:v>RS-00595</x:v>
      </x:c>
      <x:c r="C1123" s="9" t="n">
        <x:v>2</x:v>
      </x:c>
      <x:c r="D1123" s="8" t="n">
        <x:v>45359</x:v>
      </x:c>
      <x:c r="E1123" s="9" t="n">
        <x:v>2989000</x:v>
      </x:c>
      <x:c r="F1123" s="9" t="n">
        <x:v>0</x:v>
      </x:c>
    </x:row>
    <x:row r="1124" ht="34" customHeight="1">
      <x:c r="A1124" s="4" t="str">
        <x:v>RS-00595-I3</x:v>
      </x:c>
      <x:c r="B1124" s="4" t="str">
        <x:v>RS-00595</x:v>
      </x:c>
      <x:c r="C1124" s="9" t="n">
        <x:v>3</x:v>
      </x:c>
      <x:c r="D1124" s="8" t="n">
        <x:v>45389</x:v>
      </x:c>
      <x:c r="E1124" s="9" t="n">
        <x:v>2989000</x:v>
      </x:c>
      <x:c r="F1124" s="9" t="n">
        <x:v>0</x:v>
      </x:c>
    </x:row>
    <x:row r="1125" ht="34" customHeight="1">
      <x:c r="A1125" s="4" t="str">
        <x:v>RS-00595-I4</x:v>
      </x:c>
      <x:c r="B1125" s="4" t="str">
        <x:v>RS-00595</x:v>
      </x:c>
      <x:c r="C1125" s="9" t="n">
        <x:v>4</x:v>
      </x:c>
      <x:c r="D1125" s="8" t="n">
        <x:v>45419</x:v>
      </x:c>
      <x:c r="E1125" s="9" t="n">
        <x:v>2989000</x:v>
      </x:c>
      <x:c r="F1125" s="9" t="n">
        <x:v>0</x:v>
      </x:c>
    </x:row>
    <x:row r="1126" ht="34" customHeight="1">
      <x:c r="A1126" s="4" t="str">
        <x:v>RS-00596-I1</x:v>
      </x:c>
      <x:c r="B1126" s="4" t="str">
        <x:v>RS-00596</x:v>
      </x:c>
      <x:c r="C1126" s="9" t="n">
        <x:v>1</x:v>
      </x:c>
      <x:c r="D1126" s="8" t="n">
        <x:v>45330</x:v>
      </x:c>
      <x:c r="E1126" s="9" t="n">
        <x:v>4801500</x:v>
      </x:c>
      <x:c r="F1126" s="9" t="n">
        <x:v>4801500</x:v>
      </x:c>
    </x:row>
    <x:row r="1127" ht="34" customHeight="1">
      <x:c r="A1127" s="4" t="str">
        <x:v>RS-00596-I2</x:v>
      </x:c>
      <x:c r="B1127" s="4" t="str">
        <x:v>RS-00596</x:v>
      </x:c>
      <x:c r="C1127" s="9" t="n">
        <x:v>2</x:v>
      </x:c>
      <x:c r="D1127" s="8" t="n">
        <x:v>45360</x:v>
      </x:c>
      <x:c r="E1127" s="9" t="n">
        <x:v>4801500</x:v>
      </x:c>
      <x:c r="F1127" s="9" t="n">
        <x:v>0</x:v>
      </x:c>
    </x:row>
    <x:row r="1128" ht="34" customHeight="1">
      <x:c r="A1128" s="4" t="str">
        <x:v>RS-00596-I3</x:v>
      </x:c>
      <x:c r="B1128" s="4" t="str">
        <x:v>RS-00596</x:v>
      </x:c>
      <x:c r="C1128" s="9" t="n">
        <x:v>3</x:v>
      </x:c>
      <x:c r="D1128" s="8" t="n">
        <x:v>45390</x:v>
      </x:c>
      <x:c r="E1128" s="9" t="n">
        <x:v>4801500</x:v>
      </x:c>
      <x:c r="F1128" s="9" t="n">
        <x:v>0</x:v>
      </x:c>
    </x:row>
    <x:row r="1129" ht="34" customHeight="1">
      <x:c r="A1129" s="4" t="str">
        <x:v>RS-00596-I4</x:v>
      </x:c>
      <x:c r="B1129" s="4" t="str">
        <x:v>RS-00596</x:v>
      </x:c>
      <x:c r="C1129" s="9" t="n">
        <x:v>4</x:v>
      </x:c>
      <x:c r="D1129" s="8" t="n">
        <x:v>45420</x:v>
      </x:c>
      <x:c r="E1129" s="9" t="n">
        <x:v>4801500</x:v>
      </x:c>
      <x:c r="F1129" s="9" t="n">
        <x:v>0</x:v>
      </x:c>
    </x:row>
    <x:row r="1130" ht="34" customHeight="1">
      <x:c r="A1130" s="4" t="str">
        <x:v>RS-00598-I1</x:v>
      </x:c>
      <x:c r="B1130" s="4" t="str">
        <x:v>RS-00598</x:v>
      </x:c>
      <x:c r="C1130" s="9" t="n">
        <x:v>1</x:v>
      </x:c>
      <x:c r="D1130" s="8" t="n">
        <x:v>45332</x:v>
      </x:c>
      <x:c r="E1130" s="9" t="n">
        <x:v>5964750</x:v>
      </x:c>
      <x:c r="F1130" s="9" t="n">
        <x:v>2385900</x:v>
      </x:c>
    </x:row>
    <x:row r="1131" ht="34" customHeight="1">
      <x:c r="A1131" s="4" t="str">
        <x:v>RS-00598-I2</x:v>
      </x:c>
      <x:c r="B1131" s="4" t="str">
        <x:v>RS-00598</x:v>
      </x:c>
      <x:c r="C1131" s="9" t="n">
        <x:v>2</x:v>
      </x:c>
      <x:c r="D1131" s="8" t="n">
        <x:v>45362</x:v>
      </x:c>
      <x:c r="E1131" s="9" t="n">
        <x:v>5964750</x:v>
      </x:c>
      <x:c r="F1131" s="9" t="n">
        <x:v>0</x:v>
      </x:c>
    </x:row>
    <x:row r="1132" ht="34" customHeight="1">
      <x:c r="A1132" s="4" t="str">
        <x:v>RS-00598-I3</x:v>
      </x:c>
      <x:c r="B1132" s="4" t="str">
        <x:v>RS-00598</x:v>
      </x:c>
      <x:c r="C1132" s="9" t="n">
        <x:v>3</x:v>
      </x:c>
      <x:c r="D1132" s="8" t="n">
        <x:v>45392</x:v>
      </x:c>
      <x:c r="E1132" s="9" t="n">
        <x:v>5964750</x:v>
      </x:c>
      <x:c r="F1132" s="9" t="n">
        <x:v>0</x:v>
      </x:c>
    </x:row>
    <x:row r="1133" ht="34" customHeight="1">
      <x:c r="A1133" s="4" t="str">
        <x:v>RS-00598-I4</x:v>
      </x:c>
      <x:c r="B1133" s="4" t="str">
        <x:v>RS-00598</x:v>
      </x:c>
      <x:c r="C1133" s="9" t="n">
        <x:v>4</x:v>
      </x:c>
      <x:c r="D1133" s="8" t="n">
        <x:v>45422</x:v>
      </x:c>
      <x:c r="E1133" s="9" t="n">
        <x:v>5964750</x:v>
      </x:c>
      <x:c r="F1133" s="9" t="n">
        <x:v>0</x:v>
      </x:c>
    </x:row>
    <x:row r="1134" ht="34" customHeight="1">
      <x:c r="A1134" s="4" t="str">
        <x:v>RS-00599-I1</x:v>
      </x:c>
      <x:c r="B1134" s="4" t="str">
        <x:v>RS-00599</x:v>
      </x:c>
      <x:c r="C1134" s="9" t="n">
        <x:v>1</x:v>
      </x:c>
      <x:c r="D1134" s="8" t="n">
        <x:v>45333</x:v>
      </x:c>
      <x:c r="E1134" s="9" t="n">
        <x:v>1751750</x:v>
      </x:c>
      <x:c r="F1134" s="9" t="n">
        <x:v>1751750</x:v>
      </x:c>
    </x:row>
    <x:row r="1135" ht="34" customHeight="1">
      <x:c r="A1135" s="4" t="str">
        <x:v>RS-00599-I2</x:v>
      </x:c>
      <x:c r="B1135" s="4" t="str">
        <x:v>RS-00599</x:v>
      </x:c>
      <x:c r="C1135" s="9" t="n">
        <x:v>2</x:v>
      </x:c>
      <x:c r="D1135" s="8" t="n">
        <x:v>45363</x:v>
      </x:c>
      <x:c r="E1135" s="9" t="n">
        <x:v>1751750</x:v>
      </x:c>
      <x:c r="F1135" s="9" t="n">
        <x:v>0</x:v>
      </x:c>
    </x:row>
    <x:row r="1136" ht="34" customHeight="1">
      <x:c r="A1136" s="4" t="str">
        <x:v>RS-00599-I3</x:v>
      </x:c>
      <x:c r="B1136" s="4" t="str">
        <x:v>RS-00599</x:v>
      </x:c>
      <x:c r="C1136" s="9" t="n">
        <x:v>3</x:v>
      </x:c>
      <x:c r="D1136" s="8" t="n">
        <x:v>45393</x:v>
      </x:c>
      <x:c r="E1136" s="9" t="n">
        <x:v>1751750</x:v>
      </x:c>
      <x:c r="F1136" s="9" t="n">
        <x:v>0</x:v>
      </x:c>
    </x:row>
    <x:row r="1137" ht="34" customHeight="1">
      <x:c r="A1137" s="4" t="str">
        <x:v>RS-00599-I4</x:v>
      </x:c>
      <x:c r="B1137" s="4" t="str">
        <x:v>RS-00599</x:v>
      </x:c>
      <x:c r="C1137" s="9" t="n">
        <x:v>4</x:v>
      </x:c>
      <x:c r="D1137" s="8" t="n">
        <x:v>45423</x:v>
      </x:c>
      <x:c r="E1137" s="9" t="n">
        <x:v>1751750</x:v>
      </x:c>
      <x:c r="F1137" s="9" t="n">
        <x:v>0</x:v>
      </x:c>
    </x:row>
    <x:row r="1138" ht="34" customHeight="1">
      <x:c r="A1138" s="4" t="str">
        <x:v>RS-00600-I1</x:v>
      </x:c>
      <x:c r="B1138" s="4" t="str">
        <x:v>RS-00600</x:v>
      </x:c>
      <x:c r="C1138" s="9" t="n">
        <x:v>1</x:v>
      </x:c>
      <x:c r="D1138" s="8" t="n">
        <x:v>45334</x:v>
      </x:c>
      <x:c r="E1138" s="9" t="n">
        <x:v>1296750</x:v>
      </x:c>
      <x:c r="F1138" s="9" t="n">
        <x:v>1296750</x:v>
      </x:c>
    </x:row>
    <x:row r="1139" ht="34" customHeight="1">
      <x:c r="A1139" s="4" t="str">
        <x:v>RS-00600-I2</x:v>
      </x:c>
      <x:c r="B1139" s="4" t="str">
        <x:v>RS-00600</x:v>
      </x:c>
      <x:c r="C1139" s="9" t="n">
        <x:v>2</x:v>
      </x:c>
      <x:c r="D1139" s="8" t="n">
        <x:v>45364</x:v>
      </x:c>
      <x:c r="E1139" s="9" t="n">
        <x:v>1296750</x:v>
      </x:c>
      <x:c r="F1139" s="9" t="n">
        <x:v>1296750</x:v>
      </x:c>
    </x:row>
    <x:row r="1140" ht="34" customHeight="1">
      <x:c r="A1140" s="4" t="str">
        <x:v>RS-00600-I3</x:v>
      </x:c>
      <x:c r="B1140" s="4" t="str">
        <x:v>RS-00600</x:v>
      </x:c>
      <x:c r="C1140" s="9" t="n">
        <x:v>3</x:v>
      </x:c>
      <x:c r="D1140" s="8" t="n">
        <x:v>45394</x:v>
      </x:c>
      <x:c r="E1140" s="9" t="n">
        <x:v>1296750</x:v>
      </x:c>
      <x:c r="F1140" s="9" t="n">
        <x:v>0</x:v>
      </x:c>
    </x:row>
    <x:row r="1141" ht="34" customHeight="1">
      <x:c r="A1141" s="4" t="str">
        <x:v>RS-00600-I4</x:v>
      </x:c>
      <x:c r="B1141" s="4" t="str">
        <x:v>RS-00600</x:v>
      </x:c>
      <x:c r="C1141" s="9" t="n">
        <x:v>4</x:v>
      </x:c>
      <x:c r="D1141" s="8" t="n">
        <x:v>45424</x:v>
      </x:c>
      <x:c r="E1141" s="9" t="n">
        <x:v>1296750</x:v>
      </x:c>
      <x:c r="F1141" s="9" t="n">
        <x:v>0</x:v>
      </x:c>
    </x:row>
    <x:row r="1142" ht="34" customHeight="1">
      <x:c r="A1142" s="4" t="str">
        <x:v>RS-00602-I1</x:v>
      </x:c>
      <x:c r="B1142" s="4" t="str">
        <x:v>RS-00602</x:v>
      </x:c>
      <x:c r="C1142" s="9" t="n">
        <x:v>1</x:v>
      </x:c>
      <x:c r="D1142" s="8" t="n">
        <x:v>45336</x:v>
      </x:c>
      <x:c r="E1142" s="9" t="n">
        <x:v>2712000</x:v>
      </x:c>
      <x:c r="F1142" s="9" t="n">
        <x:v>1084800</x:v>
      </x:c>
    </x:row>
    <x:row r="1143" ht="34" customHeight="1">
      <x:c r="A1143" s="4" t="str">
        <x:v>RS-00602-I2</x:v>
      </x:c>
      <x:c r="B1143" s="4" t="str">
        <x:v>RS-00602</x:v>
      </x:c>
      <x:c r="C1143" s="9" t="n">
        <x:v>2</x:v>
      </x:c>
      <x:c r="D1143" s="8" t="n">
        <x:v>45366</x:v>
      </x:c>
      <x:c r="E1143" s="9" t="n">
        <x:v>2712000</x:v>
      </x:c>
      <x:c r="F1143" s="9" t="n">
        <x:v>0</x:v>
      </x:c>
    </x:row>
    <x:row r="1144" ht="34" customHeight="1">
      <x:c r="A1144" s="4" t="str">
        <x:v>RS-00602-I3</x:v>
      </x:c>
      <x:c r="B1144" s="4" t="str">
        <x:v>RS-00602</x:v>
      </x:c>
      <x:c r="C1144" s="9" t="n">
        <x:v>3</x:v>
      </x:c>
      <x:c r="D1144" s="8" t="n">
        <x:v>45396</x:v>
      </x:c>
      <x:c r="E1144" s="9" t="n">
        <x:v>2712000</x:v>
      </x:c>
      <x:c r="F1144" s="9" t="n">
        <x:v>0</x:v>
      </x:c>
    </x:row>
    <x:row r="1145" ht="34" customHeight="1">
      <x:c r="A1145" s="4" t="str">
        <x:v>RS-00602-I4</x:v>
      </x:c>
      <x:c r="B1145" s="4" t="str">
        <x:v>RS-00602</x:v>
      </x:c>
      <x:c r="C1145" s="9" t="n">
        <x:v>4</x:v>
      </x:c>
      <x:c r="D1145" s="8" t="n">
        <x:v>45426</x:v>
      </x:c>
      <x:c r="E1145" s="9" t="n">
        <x:v>2712000</x:v>
      </x:c>
      <x:c r="F1145" s="9" t="n">
        <x:v>0</x:v>
      </x:c>
    </x:row>
    <x:row r="1146" ht="34" customHeight="1">
      <x:c r="A1146" s="4" t="str">
        <x:v>RS-00605-I1</x:v>
      </x:c>
      <x:c r="B1146" s="4" t="str">
        <x:v>RS-00605</x:v>
      </x:c>
      <x:c r="C1146" s="9" t="n">
        <x:v>1</x:v>
      </x:c>
      <x:c r="D1146" s="8" t="n">
        <x:v>45339</x:v>
      </x:c>
      <x:c r="E1146" s="9" t="n">
        <x:v>6062500</x:v>
      </x:c>
      <x:c r="F1146" s="9" t="n">
        <x:v>6062500</x:v>
      </x:c>
    </x:row>
    <x:row r="1147" ht="34" customHeight="1">
      <x:c r="A1147" s="4" t="str">
        <x:v>RS-00605-I2</x:v>
      </x:c>
      <x:c r="B1147" s="4" t="str">
        <x:v>RS-00605</x:v>
      </x:c>
      <x:c r="C1147" s="9" t="n">
        <x:v>2</x:v>
      </x:c>
      <x:c r="D1147" s="8" t="n">
        <x:v>45369</x:v>
      </x:c>
      <x:c r="E1147" s="9" t="n">
        <x:v>6062500</x:v>
      </x:c>
      <x:c r="F1147" s="9" t="n">
        <x:v>0</x:v>
      </x:c>
    </x:row>
    <x:row r="1148" ht="34" customHeight="1">
      <x:c r="A1148" s="4" t="str">
        <x:v>RS-00605-I3</x:v>
      </x:c>
      <x:c r="B1148" s="4" t="str">
        <x:v>RS-00605</x:v>
      </x:c>
      <x:c r="C1148" s="9" t="n">
        <x:v>3</x:v>
      </x:c>
      <x:c r="D1148" s="8" t="n">
        <x:v>45399</x:v>
      </x:c>
      <x:c r="E1148" s="9" t="n">
        <x:v>6062500</x:v>
      </x:c>
      <x:c r="F1148" s="9" t="n">
        <x:v>0</x:v>
      </x:c>
    </x:row>
    <x:row r="1149" ht="34" customHeight="1">
      <x:c r="A1149" s="4" t="str">
        <x:v>RS-00605-I4</x:v>
      </x:c>
      <x:c r="B1149" s="4" t="str">
        <x:v>RS-00605</x:v>
      </x:c>
      <x:c r="C1149" s="9" t="n">
        <x:v>4</x:v>
      </x:c>
      <x:c r="D1149" s="8" t="n">
        <x:v>45429</x:v>
      </x:c>
      <x:c r="E1149" s="9" t="n">
        <x:v>6062500</x:v>
      </x:c>
      <x:c r="F1149" s="9" t="n">
        <x:v>0</x:v>
      </x:c>
    </x:row>
    <x:row r="1150" ht="34" customHeight="1">
      <x:c r="A1150" s="4" t="str">
        <x:v>RS-00606-I1</x:v>
      </x:c>
      <x:c r="B1150" s="4" t="str">
        <x:v>RS-00606</x:v>
      </x:c>
      <x:c r="C1150" s="9" t="n">
        <x:v>1</x:v>
      </x:c>
      <x:c r="D1150" s="8" t="n">
        <x:v>45340</x:v>
      </x:c>
      <x:c r="E1150" s="9" t="n">
        <x:v>5605000</x:v>
      </x:c>
      <x:c r="F1150" s="9" t="n">
        <x:v>5605000</x:v>
      </x:c>
    </x:row>
    <x:row r="1151" ht="34" customHeight="1">
      <x:c r="A1151" s="4" t="str">
        <x:v>RS-00606-I2</x:v>
      </x:c>
      <x:c r="B1151" s="4" t="str">
        <x:v>RS-00606</x:v>
      </x:c>
      <x:c r="C1151" s="9" t="n">
        <x:v>2</x:v>
      </x:c>
      <x:c r="D1151" s="8" t="n">
        <x:v>45370</x:v>
      </x:c>
      <x:c r="E1151" s="9" t="n">
        <x:v>5605000</x:v>
      </x:c>
      <x:c r="F1151" s="9" t="n">
        <x:v>5605000</x:v>
      </x:c>
    </x:row>
    <x:row r="1152" ht="34" customHeight="1">
      <x:c r="A1152" s="4" t="str">
        <x:v>RS-00606-I3</x:v>
      </x:c>
      <x:c r="B1152" s="4" t="str">
        <x:v>RS-00606</x:v>
      </x:c>
      <x:c r="C1152" s="9" t="n">
        <x:v>3</x:v>
      </x:c>
      <x:c r="D1152" s="8" t="n">
        <x:v>45400</x:v>
      </x:c>
      <x:c r="E1152" s="9" t="n">
        <x:v>5605000</x:v>
      </x:c>
      <x:c r="F1152" s="9" t="n">
        <x:v>0</x:v>
      </x:c>
    </x:row>
    <x:row r="1153" ht="34" customHeight="1">
      <x:c r="A1153" s="4" t="str">
        <x:v>RS-00606-I4</x:v>
      </x:c>
      <x:c r="B1153" s="4" t="str">
        <x:v>RS-00606</x:v>
      </x:c>
      <x:c r="C1153" s="9" t="n">
        <x:v>4</x:v>
      </x:c>
      <x:c r="D1153" s="8" t="n">
        <x:v>45430</x:v>
      </x:c>
      <x:c r="E1153" s="9" t="n">
        <x:v>5605000</x:v>
      </x:c>
      <x:c r="F1153" s="9" t="n">
        <x:v>0</x:v>
      </x:c>
    </x:row>
    <x:row r="1154" ht="34" customHeight="1">
      <x:c r="A1154" s="4" t="str">
        <x:v>RS-00609-I1</x:v>
      </x:c>
      <x:c r="B1154" s="4" t="str">
        <x:v>RS-00609</x:v>
      </x:c>
      <x:c r="C1154" s="9" t="n">
        <x:v>1</x:v>
      </x:c>
      <x:c r="D1154" s="8" t="n">
        <x:v>45343</x:v>
      </x:c>
      <x:c r="E1154" s="9" t="n">
        <x:v>5937500</x:v>
      </x:c>
      <x:c r="F1154" s="9" t="n">
        <x:v>2375000</x:v>
      </x:c>
    </x:row>
    <x:row r="1155" ht="34" customHeight="1">
      <x:c r="A1155" s="4" t="str">
        <x:v>RS-00609-I2</x:v>
      </x:c>
      <x:c r="B1155" s="4" t="str">
        <x:v>RS-00609</x:v>
      </x:c>
      <x:c r="C1155" s="9" t="n">
        <x:v>2</x:v>
      </x:c>
      <x:c r="D1155" s="8" t="n">
        <x:v>45373</x:v>
      </x:c>
      <x:c r="E1155" s="9" t="n">
        <x:v>5937500</x:v>
      </x:c>
      <x:c r="F1155" s="9" t="n">
        <x:v>0</x:v>
      </x:c>
    </x:row>
    <x:row r="1156" ht="34" customHeight="1">
      <x:c r="A1156" s="4" t="str">
        <x:v>RS-00609-I3</x:v>
      </x:c>
      <x:c r="B1156" s="4" t="str">
        <x:v>RS-00609</x:v>
      </x:c>
      <x:c r="C1156" s="9" t="n">
        <x:v>3</x:v>
      </x:c>
      <x:c r="D1156" s="8" t="n">
        <x:v>45403</x:v>
      </x:c>
      <x:c r="E1156" s="9" t="n">
        <x:v>5937500</x:v>
      </x:c>
      <x:c r="F1156" s="9" t="n">
        <x:v>0</x:v>
      </x:c>
    </x:row>
    <x:row r="1157" ht="34" customHeight="1">
      <x:c r="A1157" s="4" t="str">
        <x:v>RS-00609-I4</x:v>
      </x:c>
      <x:c r="B1157" s="4" t="str">
        <x:v>RS-00609</x:v>
      </x:c>
      <x:c r="C1157" s="9" t="n">
        <x:v>4</x:v>
      </x:c>
      <x:c r="D1157" s="8" t="n">
        <x:v>45433</x:v>
      </x:c>
      <x:c r="E1157" s="9" t="n">
        <x:v>5937500</x:v>
      </x:c>
      <x:c r="F1157" s="9" t="n">
        <x:v>0</x:v>
      </x:c>
    </x:row>
    <x:row r="1158" ht="34" customHeight="1">
      <x:c r="A1158" s="4" t="str">
        <x:v>RS-00610-I1</x:v>
      </x:c>
      <x:c r="B1158" s="4" t="str">
        <x:v>RS-00610</x:v>
      </x:c>
      <x:c r="C1158" s="9" t="n">
        <x:v>1</x:v>
      </x:c>
      <x:c r="D1158" s="8" t="n">
        <x:v>45344</x:v>
      </x:c>
      <x:c r="E1158" s="9" t="n">
        <x:v>3479000</x:v>
      </x:c>
      <x:c r="F1158" s="9" t="n">
        <x:v>1391600</x:v>
      </x:c>
    </x:row>
    <x:row r="1159" ht="34" customHeight="1">
      <x:c r="A1159" s="4" t="str">
        <x:v>RS-00610-I2</x:v>
      </x:c>
      <x:c r="B1159" s="4" t="str">
        <x:v>RS-00610</x:v>
      </x:c>
      <x:c r="C1159" s="9" t="n">
        <x:v>2</x:v>
      </x:c>
      <x:c r="D1159" s="8" t="n">
        <x:v>45374</x:v>
      </x:c>
      <x:c r="E1159" s="9" t="n">
        <x:v>3479000</x:v>
      </x:c>
      <x:c r="F1159" s="9" t="n">
        <x:v>0</x:v>
      </x:c>
    </x:row>
    <x:row r="1160" ht="34" customHeight="1">
      <x:c r="A1160" s="4" t="str">
        <x:v>RS-00610-I3</x:v>
      </x:c>
      <x:c r="B1160" s="4" t="str">
        <x:v>RS-00610</x:v>
      </x:c>
      <x:c r="C1160" s="9" t="n">
        <x:v>3</x:v>
      </x:c>
      <x:c r="D1160" s="8" t="n">
        <x:v>45404</x:v>
      </x:c>
      <x:c r="E1160" s="9" t="n">
        <x:v>3479000</x:v>
      </x:c>
      <x:c r="F1160" s="9" t="n">
        <x:v>0</x:v>
      </x:c>
    </x:row>
    <x:row r="1161" ht="34" customHeight="1">
      <x:c r="A1161" s="4" t="str">
        <x:v>RS-00610-I4</x:v>
      </x:c>
      <x:c r="B1161" s="4" t="str">
        <x:v>RS-00610</x:v>
      </x:c>
      <x:c r="C1161" s="9" t="n">
        <x:v>4</x:v>
      </x:c>
      <x:c r="D1161" s="8" t="n">
        <x:v>45434</x:v>
      </x:c>
      <x:c r="E1161" s="9" t="n">
        <x:v>3479000</x:v>
      </x:c>
      <x:c r="F1161" s="9" t="n">
        <x:v>0</x:v>
      </x:c>
    </x:row>
    <x:row r="1162" ht="34" customHeight="1">
      <x:c r="A1162" s="4" t="str">
        <x:v>RS-00611-I1</x:v>
      </x:c>
      <x:c r="B1162" s="4" t="str">
        <x:v>RS-00611</x:v>
      </x:c>
      <x:c r="C1162" s="9" t="n">
        <x:v>1</x:v>
      </x:c>
      <x:c r="D1162" s="8" t="n">
        <x:v>45345</x:v>
      </x:c>
      <x:c r="E1162" s="9" t="n">
        <x:v>1776000</x:v>
      </x:c>
      <x:c r="F1162" s="9" t="n">
        <x:v>1776000</x:v>
      </x:c>
    </x:row>
    <x:row r="1163" ht="34" customHeight="1">
      <x:c r="A1163" s="4" t="str">
        <x:v>RS-00611-I2</x:v>
      </x:c>
      <x:c r="B1163" s="4" t="str">
        <x:v>RS-00611</x:v>
      </x:c>
      <x:c r="C1163" s="9" t="n">
        <x:v>2</x:v>
      </x:c>
      <x:c r="D1163" s="8" t="n">
        <x:v>45375</x:v>
      </x:c>
      <x:c r="E1163" s="9" t="n">
        <x:v>1776000</x:v>
      </x:c>
      <x:c r="F1163" s="9" t="n">
        <x:v>1776000</x:v>
      </x:c>
    </x:row>
    <x:row r="1164" ht="34" customHeight="1">
      <x:c r="A1164" s="4" t="str">
        <x:v>RS-00611-I3</x:v>
      </x:c>
      <x:c r="B1164" s="4" t="str">
        <x:v>RS-00611</x:v>
      </x:c>
      <x:c r="C1164" s="9" t="n">
        <x:v>3</x:v>
      </x:c>
      <x:c r="D1164" s="8" t="n">
        <x:v>45405</x:v>
      </x:c>
      <x:c r="E1164" s="9" t="n">
        <x:v>1776000</x:v>
      </x:c>
      <x:c r="F1164" s="9" t="n">
        <x:v>0</x:v>
      </x:c>
    </x:row>
    <x:row r="1165" ht="34" customHeight="1">
      <x:c r="A1165" s="4" t="str">
        <x:v>RS-00611-I4</x:v>
      </x:c>
      <x:c r="B1165" s="4" t="str">
        <x:v>RS-00611</x:v>
      </x:c>
      <x:c r="C1165" s="9" t="n">
        <x:v>4</x:v>
      </x:c>
      <x:c r="D1165" s="8" t="n">
        <x:v>45435</x:v>
      </x:c>
      <x:c r="E1165" s="9" t="n">
        <x:v>1776000</x:v>
      </x:c>
      <x:c r="F1165" s="9" t="n">
        <x:v>0</x:v>
      </x:c>
    </x:row>
    <x:row r="1166" ht="34" customHeight="1">
      <x:c r="A1166" s="4" t="str">
        <x:v>RS-00612-I1</x:v>
      </x:c>
      <x:c r="B1166" s="4" t="str">
        <x:v>RS-00612</x:v>
      </x:c>
      <x:c r="C1166" s="9" t="n">
        <x:v>1</x:v>
      </x:c>
      <x:c r="D1166" s="8" t="n">
        <x:v>45346</x:v>
      </x:c>
      <x:c r="E1166" s="9" t="n">
        <x:v>5049000</x:v>
      </x:c>
      <x:c r="F1166" s="9" t="n">
        <x:v>5049000</x:v>
      </x:c>
    </x:row>
    <x:row r="1167" ht="34" customHeight="1">
      <x:c r="A1167" s="4" t="str">
        <x:v>RS-00612-I2</x:v>
      </x:c>
      <x:c r="B1167" s="4" t="str">
        <x:v>RS-00612</x:v>
      </x:c>
      <x:c r="C1167" s="9" t="n">
        <x:v>2</x:v>
      </x:c>
      <x:c r="D1167" s="8" t="n">
        <x:v>45376</x:v>
      </x:c>
      <x:c r="E1167" s="9" t="n">
        <x:v>5049000</x:v>
      </x:c>
      <x:c r="F1167" s="9" t="n">
        <x:v>0</x:v>
      </x:c>
    </x:row>
    <x:row r="1168" ht="34" customHeight="1">
      <x:c r="A1168" s="4" t="str">
        <x:v>RS-00612-I3</x:v>
      </x:c>
      <x:c r="B1168" s="4" t="str">
        <x:v>RS-00612</x:v>
      </x:c>
      <x:c r="C1168" s="9" t="n">
        <x:v>3</x:v>
      </x:c>
      <x:c r="D1168" s="8" t="n">
        <x:v>45406</x:v>
      </x:c>
      <x:c r="E1168" s="9" t="n">
        <x:v>5049000</x:v>
      </x:c>
      <x:c r="F1168" s="9" t="n">
        <x:v>0</x:v>
      </x:c>
    </x:row>
    <x:row r="1169" ht="34" customHeight="1">
      <x:c r="A1169" s="4" t="str">
        <x:v>RS-00612-I4</x:v>
      </x:c>
      <x:c r="B1169" s="4" t="str">
        <x:v>RS-00612</x:v>
      </x:c>
      <x:c r="C1169" s="9" t="n">
        <x:v>4</x:v>
      </x:c>
      <x:c r="D1169" s="8" t="n">
        <x:v>45436</x:v>
      </x:c>
      <x:c r="E1169" s="9" t="n">
        <x:v>5049000</x:v>
      </x:c>
      <x:c r="F1169" s="9" t="n">
        <x:v>0</x:v>
      </x:c>
    </x:row>
    <x:row r="1170" ht="34" customHeight="1">
      <x:c r="A1170" s="4" t="str">
        <x:v>RS-00613-I1</x:v>
      </x:c>
      <x:c r="B1170" s="4" t="str">
        <x:v>RS-00613</x:v>
      </x:c>
      <x:c r="C1170" s="9" t="n">
        <x:v>1</x:v>
      </x:c>
      <x:c r="D1170" s="8" t="n">
        <x:v>45347</x:v>
      </x:c>
      <x:c r="E1170" s="9" t="n">
        <x:v>2134000</x:v>
      </x:c>
      <x:c r="F1170" s="9" t="n">
        <x:v>2134000</x:v>
      </x:c>
    </x:row>
    <x:row r="1171" ht="34" customHeight="1">
      <x:c r="A1171" s="4" t="str">
        <x:v>RS-00613-I2</x:v>
      </x:c>
      <x:c r="B1171" s="4" t="str">
        <x:v>RS-00613</x:v>
      </x:c>
      <x:c r="C1171" s="9" t="n">
        <x:v>2</x:v>
      </x:c>
      <x:c r="D1171" s="8" t="n">
        <x:v>45377</x:v>
      </x:c>
      <x:c r="E1171" s="9" t="n">
        <x:v>2134000</x:v>
      </x:c>
      <x:c r="F1171" s="9" t="n">
        <x:v>0</x:v>
      </x:c>
    </x:row>
    <x:row r="1172" ht="34" customHeight="1">
      <x:c r="A1172" s="4" t="str">
        <x:v>RS-00613-I3</x:v>
      </x:c>
      <x:c r="B1172" s="4" t="str">
        <x:v>RS-00613</x:v>
      </x:c>
      <x:c r="C1172" s="9" t="n">
        <x:v>3</x:v>
      </x:c>
      <x:c r="D1172" s="8" t="n">
        <x:v>45407</x:v>
      </x:c>
      <x:c r="E1172" s="9" t="n">
        <x:v>2134000</x:v>
      </x:c>
      <x:c r="F1172" s="9" t="n">
        <x:v>0</x:v>
      </x:c>
    </x:row>
    <x:row r="1173" ht="34" customHeight="1">
      <x:c r="A1173" s="4" t="str">
        <x:v>RS-00613-I4</x:v>
      </x:c>
      <x:c r="B1173" s="4" t="str">
        <x:v>RS-00613</x:v>
      </x:c>
      <x:c r="C1173" s="9" t="n">
        <x:v>4</x:v>
      </x:c>
      <x:c r="D1173" s="8" t="n">
        <x:v>45437</x:v>
      </x:c>
      <x:c r="E1173" s="9" t="n">
        <x:v>2134000</x:v>
      </x:c>
      <x:c r="F1173" s="9" t="n">
        <x:v>0</x:v>
      </x:c>
    </x:row>
    <x:row r="1174" ht="34" customHeight="1">
      <x:c r="A1174" s="4" t="str">
        <x:v>RS-00615-I1</x:v>
      </x:c>
      <x:c r="B1174" s="4" t="str">
        <x:v>RS-00615</x:v>
      </x:c>
      <x:c r="C1174" s="9" t="n">
        <x:v>1</x:v>
      </x:c>
      <x:c r="D1174" s="8" t="n">
        <x:v>45349</x:v>
      </x:c>
      <x:c r="E1174" s="9" t="n">
        <x:v>1656000</x:v>
      </x:c>
      <x:c r="F1174" s="9" t="n">
        <x:v>1656000</x:v>
      </x:c>
    </x:row>
    <x:row r="1175" ht="34" customHeight="1">
      <x:c r="A1175" s="4" t="str">
        <x:v>RS-00615-I2</x:v>
      </x:c>
      <x:c r="B1175" s="4" t="str">
        <x:v>RS-00615</x:v>
      </x:c>
      <x:c r="C1175" s="9" t="n">
        <x:v>2</x:v>
      </x:c>
      <x:c r="D1175" s="8" t="n">
        <x:v>45379</x:v>
      </x:c>
      <x:c r="E1175" s="9" t="n">
        <x:v>1656000</x:v>
      </x:c>
      <x:c r="F1175" s="9" t="n">
        <x:v>1656000</x:v>
      </x:c>
    </x:row>
    <x:row r="1176" ht="34" customHeight="1">
      <x:c r="A1176" s="4" t="str">
        <x:v>RS-00615-I3</x:v>
      </x:c>
      <x:c r="B1176" s="4" t="str">
        <x:v>RS-00615</x:v>
      </x:c>
      <x:c r="C1176" s="9" t="n">
        <x:v>3</x:v>
      </x:c>
      <x:c r="D1176" s="8" t="n">
        <x:v>45409</x:v>
      </x:c>
      <x:c r="E1176" s="9" t="n">
        <x:v>1656000</x:v>
      </x:c>
      <x:c r="F1176" s="9" t="n">
        <x:v>1656000</x:v>
      </x:c>
    </x:row>
    <x:row r="1177" ht="34" customHeight="1">
      <x:c r="A1177" s="4" t="str">
        <x:v>RS-00615-I4</x:v>
      </x:c>
      <x:c r="B1177" s="4" t="str">
        <x:v>RS-00615</x:v>
      </x:c>
      <x:c r="C1177" s="9" t="n">
        <x:v>4</x:v>
      </x:c>
      <x:c r="D1177" s="8" t="n">
        <x:v>45439</x:v>
      </x:c>
      <x:c r="E1177" s="9" t="n">
        <x:v>1656000</x:v>
      </x:c>
      <x:c r="F1177" s="9" t="n">
        <x:v>1656000</x:v>
      </x:c>
    </x:row>
    <x:row r="1178" ht="34" customHeight="1">
      <x:c r="A1178" s="4" t="str">
        <x:v>RS-00616-I1</x:v>
      </x:c>
      <x:c r="B1178" s="4" t="str">
        <x:v>RS-00616</x:v>
      </x:c>
      <x:c r="C1178" s="9" t="n">
        <x:v>1</x:v>
      </x:c>
      <x:c r="D1178" s="8" t="n">
        <x:v>45350</x:v>
      </x:c>
      <x:c r="E1178" s="9" t="n">
        <x:v>855000</x:v>
      </x:c>
      <x:c r="F1178" s="9" t="n">
        <x:v>855000</x:v>
      </x:c>
    </x:row>
    <x:row r="1179" ht="34" customHeight="1">
      <x:c r="A1179" s="4" t="str">
        <x:v>RS-00616-I2</x:v>
      </x:c>
      <x:c r="B1179" s="4" t="str">
        <x:v>RS-00616</x:v>
      </x:c>
      <x:c r="C1179" s="9" t="n">
        <x:v>2</x:v>
      </x:c>
      <x:c r="D1179" s="8" t="n">
        <x:v>45380</x:v>
      </x:c>
      <x:c r="E1179" s="9" t="n">
        <x:v>855000</x:v>
      </x:c>
      <x:c r="F1179" s="9" t="n">
        <x:v>0</x:v>
      </x:c>
    </x:row>
    <x:row r="1180" ht="34" customHeight="1">
      <x:c r="A1180" s="4" t="str">
        <x:v>RS-00616-I3</x:v>
      </x:c>
      <x:c r="B1180" s="4" t="str">
        <x:v>RS-00616</x:v>
      </x:c>
      <x:c r="C1180" s="9" t="n">
        <x:v>3</x:v>
      </x:c>
      <x:c r="D1180" s="8" t="n">
        <x:v>45410</x:v>
      </x:c>
      <x:c r="E1180" s="9" t="n">
        <x:v>855000</x:v>
      </x:c>
      <x:c r="F1180" s="9" t="n">
        <x:v>0</x:v>
      </x:c>
    </x:row>
    <x:row r="1181" ht="34" customHeight="1">
      <x:c r="A1181" s="4" t="str">
        <x:v>RS-00616-I4</x:v>
      </x:c>
      <x:c r="B1181" s="4" t="str">
        <x:v>RS-00616</x:v>
      </x:c>
      <x:c r="C1181" s="9" t="n">
        <x:v>4</x:v>
      </x:c>
      <x:c r="D1181" s="8" t="n">
        <x:v>45440</x:v>
      </x:c>
      <x:c r="E1181" s="9" t="n">
        <x:v>855000</x:v>
      </x:c>
      <x:c r="F1181" s="9" t="n">
        <x:v>0</x:v>
      </x:c>
    </x:row>
    <x:row r="1182" ht="34" customHeight="1">
      <x:c r="A1182" s="4" t="str">
        <x:v>RS-00617-I1</x:v>
      </x:c>
      <x:c r="B1182" s="4" t="str">
        <x:v>RS-00617</x:v>
      </x:c>
      <x:c r="C1182" s="9" t="n">
        <x:v>1</x:v>
      </x:c>
      <x:c r="D1182" s="8" t="n">
        <x:v>45323</x:v>
      </x:c>
      <x:c r="E1182" s="9" t="n">
        <x:v>5900000</x:v>
      </x:c>
      <x:c r="F1182" s="9" t="n">
        <x:v>5900000</x:v>
      </x:c>
    </x:row>
    <x:row r="1183" ht="34" customHeight="1">
      <x:c r="A1183" s="4" t="str">
        <x:v>RS-00617-I2</x:v>
      </x:c>
      <x:c r="B1183" s="4" t="str">
        <x:v>RS-00617</x:v>
      </x:c>
      <x:c r="C1183" s="9" t="n">
        <x:v>2</x:v>
      </x:c>
      <x:c r="D1183" s="8" t="n">
        <x:v>45353</x:v>
      </x:c>
      <x:c r="E1183" s="9" t="n">
        <x:v>5900000</x:v>
      </x:c>
      <x:c r="F1183" s="9" t="n">
        <x:v>0</x:v>
      </x:c>
    </x:row>
    <x:row r="1184" ht="34" customHeight="1">
      <x:c r="A1184" s="4" t="str">
        <x:v>RS-00617-I3</x:v>
      </x:c>
      <x:c r="B1184" s="4" t="str">
        <x:v>RS-00617</x:v>
      </x:c>
      <x:c r="C1184" s="9" t="n">
        <x:v>3</x:v>
      </x:c>
      <x:c r="D1184" s="8" t="n">
        <x:v>45383</x:v>
      </x:c>
      <x:c r="E1184" s="9" t="n">
        <x:v>5900000</x:v>
      </x:c>
      <x:c r="F1184" s="9" t="n">
        <x:v>0</x:v>
      </x:c>
    </x:row>
    <x:row r="1185" ht="34" customHeight="1">
      <x:c r="A1185" s="4" t="str">
        <x:v>RS-00617-I4</x:v>
      </x:c>
      <x:c r="B1185" s="4" t="str">
        <x:v>RS-00617</x:v>
      </x:c>
      <x:c r="C1185" s="9" t="n">
        <x:v>4</x:v>
      </x:c>
      <x:c r="D1185" s="8" t="n">
        <x:v>45413</x:v>
      </x:c>
      <x:c r="E1185" s="9" t="n">
        <x:v>5900000</x:v>
      </x:c>
      <x:c r="F1185" s="9" t="n">
        <x:v>0</x:v>
      </x:c>
    </x:row>
    <x:row r="1186" ht="34" customHeight="1">
      <x:c r="A1186" s="4" t="str">
        <x:v>RS-00619-I1</x:v>
      </x:c>
      <x:c r="B1186" s="4" t="str">
        <x:v>RS-00619</x:v>
      </x:c>
      <x:c r="C1186" s="9" t="n">
        <x:v>1</x:v>
      </x:c>
      <x:c r="D1186" s="8" t="n">
        <x:v>45325</x:v>
      </x:c>
      <x:c r="E1186" s="9" t="n">
        <x:v>1198500</x:v>
      </x:c>
      <x:c r="F1186" s="9" t="n">
        <x:v>1198500</x:v>
      </x:c>
    </x:row>
    <x:row r="1187" ht="34" customHeight="1">
      <x:c r="A1187" s="4" t="str">
        <x:v>RS-00619-I2</x:v>
      </x:c>
      <x:c r="B1187" s="4" t="str">
        <x:v>RS-00619</x:v>
      </x:c>
      <x:c r="C1187" s="9" t="n">
        <x:v>2</x:v>
      </x:c>
      <x:c r="D1187" s="8" t="n">
        <x:v>45355</x:v>
      </x:c>
      <x:c r="E1187" s="9" t="n">
        <x:v>1198500</x:v>
      </x:c>
      <x:c r="F1187" s="9" t="n">
        <x:v>1198500</x:v>
      </x:c>
    </x:row>
    <x:row r="1188" ht="34" customHeight="1">
      <x:c r="A1188" s="4" t="str">
        <x:v>RS-00619-I3</x:v>
      </x:c>
      <x:c r="B1188" s="4" t="str">
        <x:v>RS-00619</x:v>
      </x:c>
      <x:c r="C1188" s="9" t="n">
        <x:v>3</x:v>
      </x:c>
      <x:c r="D1188" s="8" t="n">
        <x:v>45385</x:v>
      </x:c>
      <x:c r="E1188" s="9" t="n">
        <x:v>1198500</x:v>
      </x:c>
      <x:c r="F1188" s="9" t="n">
        <x:v>0</x:v>
      </x:c>
    </x:row>
    <x:row r="1189" ht="34" customHeight="1">
      <x:c r="A1189" s="4" t="str">
        <x:v>RS-00619-I4</x:v>
      </x:c>
      <x:c r="B1189" s="4" t="str">
        <x:v>RS-00619</x:v>
      </x:c>
      <x:c r="C1189" s="9" t="n">
        <x:v>4</x:v>
      </x:c>
      <x:c r="D1189" s="8" t="n">
        <x:v>45415</x:v>
      </x:c>
      <x:c r="E1189" s="9" t="n">
        <x:v>1198500</x:v>
      </x:c>
      <x:c r="F1189" s="9" t="n">
        <x:v>0</x:v>
      </x:c>
    </x:row>
    <x:row r="1190" ht="34" customHeight="1">
      <x:c r="A1190" s="4" t="str">
        <x:v>RS-00620-I1</x:v>
      </x:c>
      <x:c r="B1190" s="4" t="str">
        <x:v>RS-00620</x:v>
      </x:c>
      <x:c r="C1190" s="9" t="n">
        <x:v>1</x:v>
      </x:c>
      <x:c r="D1190" s="8" t="n">
        <x:v>45326</x:v>
      </x:c>
      <x:c r="E1190" s="9" t="n">
        <x:v>4356000</x:v>
      </x:c>
      <x:c r="F1190" s="9" t="n">
        <x:v>4356000</x:v>
      </x:c>
    </x:row>
    <x:row r="1191" ht="34" customHeight="1">
      <x:c r="A1191" s="4" t="str">
        <x:v>RS-00620-I2</x:v>
      </x:c>
      <x:c r="B1191" s="4" t="str">
        <x:v>RS-00620</x:v>
      </x:c>
      <x:c r="C1191" s="9" t="n">
        <x:v>2</x:v>
      </x:c>
      <x:c r="D1191" s="8" t="n">
        <x:v>45356</x:v>
      </x:c>
      <x:c r="E1191" s="9" t="n">
        <x:v>4356000</x:v>
      </x:c>
      <x:c r="F1191" s="9" t="n">
        <x:v>4356000</x:v>
      </x:c>
    </x:row>
    <x:row r="1192" ht="34" customHeight="1">
      <x:c r="A1192" s="4" t="str">
        <x:v>RS-00620-I3</x:v>
      </x:c>
      <x:c r="B1192" s="4" t="str">
        <x:v>RS-00620</x:v>
      </x:c>
      <x:c r="C1192" s="9" t="n">
        <x:v>3</x:v>
      </x:c>
      <x:c r="D1192" s="8" t="n">
        <x:v>45386</x:v>
      </x:c>
      <x:c r="E1192" s="9" t="n">
        <x:v>4356000</x:v>
      </x:c>
      <x:c r="F1192" s="9" t="n">
        <x:v>0</x:v>
      </x:c>
    </x:row>
    <x:row r="1193" ht="34" customHeight="1">
      <x:c r="A1193" s="4" t="str">
        <x:v>RS-00620-I4</x:v>
      </x:c>
      <x:c r="B1193" s="4" t="str">
        <x:v>RS-00620</x:v>
      </x:c>
      <x:c r="C1193" s="9" t="n">
        <x:v>4</x:v>
      </x:c>
      <x:c r="D1193" s="8" t="n">
        <x:v>45416</x:v>
      </x:c>
      <x:c r="E1193" s="9" t="n">
        <x:v>4356000</x:v>
      </x:c>
      <x:c r="F1193" s="9" t="n">
        <x:v>0</x:v>
      </x:c>
    </x:row>
    <x:row r="1194" ht="34" customHeight="1">
      <x:c r="A1194" s="4" t="str">
        <x:v>RS-00621-I1</x:v>
      </x:c>
      <x:c r="B1194" s="4" t="str">
        <x:v>RS-00621</x:v>
      </x:c>
      <x:c r="C1194" s="9" t="n">
        <x:v>1</x:v>
      </x:c>
      <x:c r="D1194" s="8" t="n">
        <x:v>45327</x:v>
      </x:c>
      <x:c r="E1194" s="9" t="n">
        <x:v>3758750</x:v>
      </x:c>
      <x:c r="F1194" s="9" t="n">
        <x:v>1503500</x:v>
      </x:c>
    </x:row>
    <x:row r="1195" ht="34" customHeight="1">
      <x:c r="A1195" s="4" t="str">
        <x:v>RS-00621-I2</x:v>
      </x:c>
      <x:c r="B1195" s="4" t="str">
        <x:v>RS-00621</x:v>
      </x:c>
      <x:c r="C1195" s="9" t="n">
        <x:v>2</x:v>
      </x:c>
      <x:c r="D1195" s="8" t="n">
        <x:v>45357</x:v>
      </x:c>
      <x:c r="E1195" s="9" t="n">
        <x:v>3758750</x:v>
      </x:c>
      <x:c r="F1195" s="9" t="n">
        <x:v>0</x:v>
      </x:c>
    </x:row>
    <x:row r="1196" ht="34" customHeight="1">
      <x:c r="A1196" s="4" t="str">
        <x:v>RS-00621-I3</x:v>
      </x:c>
      <x:c r="B1196" s="4" t="str">
        <x:v>RS-00621</x:v>
      </x:c>
      <x:c r="C1196" s="9" t="n">
        <x:v>3</x:v>
      </x:c>
      <x:c r="D1196" s="8" t="n">
        <x:v>45387</x:v>
      </x:c>
      <x:c r="E1196" s="9" t="n">
        <x:v>3758750</x:v>
      </x:c>
      <x:c r="F1196" s="9" t="n">
        <x:v>0</x:v>
      </x:c>
    </x:row>
    <x:row r="1197" ht="34" customHeight="1">
      <x:c r="A1197" s="4" t="str">
        <x:v>RS-00621-I4</x:v>
      </x:c>
      <x:c r="B1197" s="4" t="str">
        <x:v>RS-00621</x:v>
      </x:c>
      <x:c r="C1197" s="9" t="n">
        <x:v>4</x:v>
      </x:c>
      <x:c r="D1197" s="8" t="n">
        <x:v>45417</x:v>
      </x:c>
      <x:c r="E1197" s="9" t="n">
        <x:v>3758750</x:v>
      </x:c>
      <x:c r="F1197" s="9" t="n">
        <x:v>0</x:v>
      </x:c>
    </x:row>
    <x:row r="1198" ht="34" customHeight="1">
      <x:c r="A1198" s="4" t="str">
        <x:v>RS-00624-I1</x:v>
      </x:c>
      <x:c r="B1198" s="4" t="str">
        <x:v>RS-00624</x:v>
      </x:c>
      <x:c r="C1198" s="9" t="n">
        <x:v>1</x:v>
      </x:c>
      <x:c r="D1198" s="8" t="n">
        <x:v>45330</x:v>
      </x:c>
      <x:c r="E1198" s="9" t="n">
        <x:v>2446250</x:v>
      </x:c>
      <x:c r="F1198" s="9" t="n">
        <x:v>2446250</x:v>
      </x:c>
    </x:row>
    <x:row r="1199" ht="34" customHeight="1">
      <x:c r="A1199" s="4" t="str">
        <x:v>RS-00624-I2</x:v>
      </x:c>
      <x:c r="B1199" s="4" t="str">
        <x:v>RS-00624</x:v>
      </x:c>
      <x:c r="C1199" s="9" t="n">
        <x:v>2</x:v>
      </x:c>
      <x:c r="D1199" s="8" t="n">
        <x:v>45360</x:v>
      </x:c>
      <x:c r="E1199" s="9" t="n">
        <x:v>2446250</x:v>
      </x:c>
      <x:c r="F1199" s="9" t="n">
        <x:v>2446250</x:v>
      </x:c>
    </x:row>
    <x:row r="1200" ht="34" customHeight="1">
      <x:c r="A1200" s="4" t="str">
        <x:v>RS-00624-I3</x:v>
      </x:c>
      <x:c r="B1200" s="4" t="str">
        <x:v>RS-00624</x:v>
      </x:c>
      <x:c r="C1200" s="9" t="n">
        <x:v>3</x:v>
      </x:c>
      <x:c r="D1200" s="8" t="n">
        <x:v>45390</x:v>
      </x:c>
      <x:c r="E1200" s="9" t="n">
        <x:v>2446250</x:v>
      </x:c>
      <x:c r="F1200" s="9" t="n">
        <x:v>0</x:v>
      </x:c>
    </x:row>
    <x:row r="1201" ht="34" customHeight="1">
      <x:c r="A1201" s="4" t="str">
        <x:v>RS-00624-I4</x:v>
      </x:c>
      <x:c r="B1201" s="4" t="str">
        <x:v>RS-00624</x:v>
      </x:c>
      <x:c r="C1201" s="9" t="n">
        <x:v>4</x:v>
      </x:c>
      <x:c r="D1201" s="8" t="n">
        <x:v>45420</x:v>
      </x:c>
      <x:c r="E1201" s="9" t="n">
        <x:v>2446250</x:v>
      </x:c>
      <x:c r="F1201" s="9" t="n">
        <x:v>0</x:v>
      </x:c>
    </x:row>
    <x:row r="1202" ht="34" customHeight="1">
      <x:c r="A1202" s="4" t="str">
        <x:v>RS-00629-I1</x:v>
      </x:c>
      <x:c r="B1202" s="4" t="str">
        <x:v>RS-00629</x:v>
      </x:c>
      <x:c r="C1202" s="9" t="n">
        <x:v>1</x:v>
      </x:c>
      <x:c r="D1202" s="8" t="n">
        <x:v>45335</x:v>
      </x:c>
      <x:c r="E1202" s="9" t="n">
        <x:v>4824000</x:v>
      </x:c>
      <x:c r="F1202" s="9" t="n">
        <x:v>1929600</x:v>
      </x:c>
    </x:row>
    <x:row r="1203" ht="34" customHeight="1">
      <x:c r="A1203" s="4" t="str">
        <x:v>RS-00629-I2</x:v>
      </x:c>
      <x:c r="B1203" s="4" t="str">
        <x:v>RS-00629</x:v>
      </x:c>
      <x:c r="C1203" s="9" t="n">
        <x:v>2</x:v>
      </x:c>
      <x:c r="D1203" s="8" t="n">
        <x:v>45365</x:v>
      </x:c>
      <x:c r="E1203" s="9" t="n">
        <x:v>4824000</x:v>
      </x:c>
      <x:c r="F1203" s="9" t="n">
        <x:v>0</x:v>
      </x:c>
    </x:row>
    <x:row r="1204" ht="34" customHeight="1">
      <x:c r="A1204" s="4" t="str">
        <x:v>RS-00629-I3</x:v>
      </x:c>
      <x:c r="B1204" s="4" t="str">
        <x:v>RS-00629</x:v>
      </x:c>
      <x:c r="C1204" s="9" t="n">
        <x:v>3</x:v>
      </x:c>
      <x:c r="D1204" s="8" t="n">
        <x:v>45395</x:v>
      </x:c>
      <x:c r="E1204" s="9" t="n">
        <x:v>4824000</x:v>
      </x:c>
      <x:c r="F1204" s="9" t="n">
        <x:v>0</x:v>
      </x:c>
    </x:row>
    <x:row r="1205" ht="34" customHeight="1">
      <x:c r="A1205" s="4" t="str">
        <x:v>RS-00629-I4</x:v>
      </x:c>
      <x:c r="B1205" s="4" t="str">
        <x:v>RS-00629</x:v>
      </x:c>
      <x:c r="C1205" s="9" t="n">
        <x:v>4</x:v>
      </x:c>
      <x:c r="D1205" s="8" t="n">
        <x:v>45425</x:v>
      </x:c>
      <x:c r="E1205" s="9" t="n">
        <x:v>4824000</x:v>
      </x:c>
      <x:c r="F1205" s="9" t="n">
        <x:v>0</x:v>
      </x:c>
    </x:row>
    <x:row r="1206" ht="34" customHeight="1">
      <x:c r="A1206" s="4" t="str">
        <x:v>RS-00631-I1</x:v>
      </x:c>
      <x:c r="B1206" s="4" t="str">
        <x:v>RS-00631</x:v>
      </x:c>
      <x:c r="C1206" s="9" t="n">
        <x:v>1</x:v>
      </x:c>
      <x:c r="D1206" s="8" t="n">
        <x:v>45337</x:v>
      </x:c>
      <x:c r="E1206" s="9" t="n">
        <x:v>4400000</x:v>
      </x:c>
      <x:c r="F1206" s="9" t="n">
        <x:v>1760000</x:v>
      </x:c>
    </x:row>
    <x:row r="1207" ht="34" customHeight="1">
      <x:c r="A1207" s="4" t="str">
        <x:v>RS-00631-I2</x:v>
      </x:c>
      <x:c r="B1207" s="4" t="str">
        <x:v>RS-00631</x:v>
      </x:c>
      <x:c r="C1207" s="9" t="n">
        <x:v>2</x:v>
      </x:c>
      <x:c r="D1207" s="8" t="n">
        <x:v>45367</x:v>
      </x:c>
      <x:c r="E1207" s="9" t="n">
        <x:v>4400000</x:v>
      </x:c>
      <x:c r="F1207" s="9" t="n">
        <x:v>0</x:v>
      </x:c>
    </x:row>
    <x:row r="1208" ht="34" customHeight="1">
      <x:c r="A1208" s="4" t="str">
        <x:v>RS-00631-I3</x:v>
      </x:c>
      <x:c r="B1208" s="4" t="str">
        <x:v>RS-00631</x:v>
      </x:c>
      <x:c r="C1208" s="9" t="n">
        <x:v>3</x:v>
      </x:c>
      <x:c r="D1208" s="8" t="n">
        <x:v>45397</x:v>
      </x:c>
      <x:c r="E1208" s="9" t="n">
        <x:v>4400000</x:v>
      </x:c>
      <x:c r="F1208" s="9" t="n">
        <x:v>0</x:v>
      </x:c>
    </x:row>
    <x:row r="1209" ht="34" customHeight="1">
      <x:c r="A1209" s="4" t="str">
        <x:v>RS-00631-I4</x:v>
      </x:c>
      <x:c r="B1209" s="4" t="str">
        <x:v>RS-00631</x:v>
      </x:c>
      <x:c r="C1209" s="9" t="n">
        <x:v>4</x:v>
      </x:c>
      <x:c r="D1209" s="8" t="n">
        <x:v>45427</x:v>
      </x:c>
      <x:c r="E1209" s="9" t="n">
        <x:v>4400000</x:v>
      </x:c>
      <x:c r="F1209" s="9" t="n">
        <x:v>0</x:v>
      </x:c>
    </x:row>
    <x:row r="1210" ht="34" customHeight="1">
      <x:c r="A1210" s="4" t="str">
        <x:v>RS-00633-I1</x:v>
      </x:c>
      <x:c r="B1210" s="4" t="str">
        <x:v>RS-00633</x:v>
      </x:c>
      <x:c r="C1210" s="9" t="n">
        <x:v>1</x:v>
      </x:c>
      <x:c r="D1210" s="8" t="n">
        <x:v>45339</x:v>
      </x:c>
      <x:c r="E1210" s="9" t="n">
        <x:v>4383250</x:v>
      </x:c>
      <x:c r="F1210" s="9" t="n">
        <x:v>4383250</x:v>
      </x:c>
    </x:row>
    <x:row r="1211" ht="34" customHeight="1">
      <x:c r="A1211" s="4" t="str">
        <x:v>RS-00633-I2</x:v>
      </x:c>
      <x:c r="B1211" s="4" t="str">
        <x:v>RS-00633</x:v>
      </x:c>
      <x:c r="C1211" s="9" t="n">
        <x:v>2</x:v>
      </x:c>
      <x:c r="D1211" s="8" t="n">
        <x:v>45369</x:v>
      </x:c>
      <x:c r="E1211" s="9" t="n">
        <x:v>4383250</x:v>
      </x:c>
      <x:c r="F1211" s="9" t="n">
        <x:v>4383250</x:v>
      </x:c>
    </x:row>
    <x:row r="1212" ht="34" customHeight="1">
      <x:c r="A1212" s="4" t="str">
        <x:v>RS-00633-I3</x:v>
      </x:c>
      <x:c r="B1212" s="4" t="str">
        <x:v>RS-00633</x:v>
      </x:c>
      <x:c r="C1212" s="9" t="n">
        <x:v>3</x:v>
      </x:c>
      <x:c r="D1212" s="8" t="n">
        <x:v>45399</x:v>
      </x:c>
      <x:c r="E1212" s="9" t="n">
        <x:v>4383250</x:v>
      </x:c>
      <x:c r="F1212" s="9" t="n">
        <x:v>4383250</x:v>
      </x:c>
    </x:row>
    <x:row r="1213" ht="34" customHeight="1">
      <x:c r="A1213" s="4" t="str">
        <x:v>RS-00633-I4</x:v>
      </x:c>
      <x:c r="B1213" s="4" t="str">
        <x:v>RS-00633</x:v>
      </x:c>
      <x:c r="C1213" s="9" t="n">
        <x:v>4</x:v>
      </x:c>
      <x:c r="D1213" s="8" t="n">
        <x:v>45429</x:v>
      </x:c>
      <x:c r="E1213" s="9" t="n">
        <x:v>4383250</x:v>
      </x:c>
      <x:c r="F1213" s="9" t="n">
        <x:v>4383250</x:v>
      </x:c>
    </x:row>
    <x:row r="1214" ht="34" customHeight="1">
      <x:c r="A1214" s="4" t="str">
        <x:v>RS-00636-I1</x:v>
      </x:c>
      <x:c r="B1214" s="4" t="str">
        <x:v>RS-00636</x:v>
      </x:c>
      <x:c r="C1214" s="9" t="n">
        <x:v>1</x:v>
      </x:c>
      <x:c r="D1214" s="8" t="n">
        <x:v>45342</x:v>
      </x:c>
      <x:c r="E1214" s="9" t="n">
        <x:v>1704000</x:v>
      </x:c>
      <x:c r="F1214" s="9" t="n">
        <x:v>681600</x:v>
      </x:c>
    </x:row>
    <x:row r="1215" ht="34" customHeight="1">
      <x:c r="A1215" s="4" t="str">
        <x:v>RS-00636-I2</x:v>
      </x:c>
      <x:c r="B1215" s="4" t="str">
        <x:v>RS-00636</x:v>
      </x:c>
      <x:c r="C1215" s="9" t="n">
        <x:v>2</x:v>
      </x:c>
      <x:c r="D1215" s="8" t="n">
        <x:v>45372</x:v>
      </x:c>
      <x:c r="E1215" s="9" t="n">
        <x:v>1704000</x:v>
      </x:c>
      <x:c r="F1215" s="9" t="n">
        <x:v>0</x:v>
      </x:c>
    </x:row>
    <x:row r="1216" ht="34" customHeight="1">
      <x:c r="A1216" s="4" t="str">
        <x:v>RS-00636-I3</x:v>
      </x:c>
      <x:c r="B1216" s="4" t="str">
        <x:v>RS-00636</x:v>
      </x:c>
      <x:c r="C1216" s="9" t="n">
        <x:v>3</x:v>
      </x:c>
      <x:c r="D1216" s="8" t="n">
        <x:v>45402</x:v>
      </x:c>
      <x:c r="E1216" s="9" t="n">
        <x:v>1704000</x:v>
      </x:c>
      <x:c r="F1216" s="9" t="n">
        <x:v>0</x:v>
      </x:c>
    </x:row>
    <x:row r="1217" ht="34" customHeight="1">
      <x:c r="A1217" s="4" t="str">
        <x:v>RS-00636-I4</x:v>
      </x:c>
      <x:c r="B1217" s="4" t="str">
        <x:v>RS-00636</x:v>
      </x:c>
      <x:c r="C1217" s="9" t="n">
        <x:v>4</x:v>
      </x:c>
      <x:c r="D1217" s="8" t="n">
        <x:v>45432</x:v>
      </x:c>
      <x:c r="E1217" s="9" t="n">
        <x:v>1704000</x:v>
      </x:c>
      <x:c r="F1217" s="9" t="n">
        <x:v>0</x:v>
      </x:c>
    </x:row>
    <x:row r="1218" ht="34" customHeight="1">
      <x:c r="A1218" s="4" t="str">
        <x:v>RS-00637-I1</x:v>
      </x:c>
      <x:c r="B1218" s="4" t="str">
        <x:v>RS-00637</x:v>
      </x:c>
      <x:c r="C1218" s="9" t="n">
        <x:v>1</x:v>
      </x:c>
      <x:c r="D1218" s="8" t="n">
        <x:v>45343</x:v>
      </x:c>
      <x:c r="E1218" s="9" t="n">
        <x:v>1375000</x:v>
      </x:c>
      <x:c r="F1218" s="9" t="n">
        <x:v>1375000</x:v>
      </x:c>
    </x:row>
    <x:row r="1219" ht="34" customHeight="1">
      <x:c r="A1219" s="4" t="str">
        <x:v>RS-00637-I2</x:v>
      </x:c>
      <x:c r="B1219" s="4" t="str">
        <x:v>RS-00637</x:v>
      </x:c>
      <x:c r="C1219" s="9" t="n">
        <x:v>2</x:v>
      </x:c>
      <x:c r="D1219" s="8" t="n">
        <x:v>45373</x:v>
      </x:c>
      <x:c r="E1219" s="9" t="n">
        <x:v>1375000</x:v>
      </x:c>
      <x:c r="F1219" s="9" t="n">
        <x:v>1375000</x:v>
      </x:c>
    </x:row>
    <x:row r="1220" ht="34" customHeight="1">
      <x:c r="A1220" s="4" t="str">
        <x:v>RS-00637-I3</x:v>
      </x:c>
      <x:c r="B1220" s="4" t="str">
        <x:v>RS-00637</x:v>
      </x:c>
      <x:c r="C1220" s="9" t="n">
        <x:v>3</x:v>
      </x:c>
      <x:c r="D1220" s="8" t="n">
        <x:v>45403</x:v>
      </x:c>
      <x:c r="E1220" s="9" t="n">
        <x:v>1375000</x:v>
      </x:c>
      <x:c r="F1220" s="9" t="n">
        <x:v>0</x:v>
      </x:c>
    </x:row>
    <x:row r="1221" ht="34" customHeight="1">
      <x:c r="A1221" s="4" t="str">
        <x:v>RS-00637-I4</x:v>
      </x:c>
      <x:c r="B1221" s="4" t="str">
        <x:v>RS-00637</x:v>
      </x:c>
      <x:c r="C1221" s="9" t="n">
        <x:v>4</x:v>
      </x:c>
      <x:c r="D1221" s="8" t="n">
        <x:v>45433</x:v>
      </x:c>
      <x:c r="E1221" s="9" t="n">
        <x:v>1375000</x:v>
      </x:c>
      <x:c r="F1221" s="9" t="n">
        <x:v>0</x:v>
      </x:c>
    </x:row>
    <x:row r="1222" ht="34" customHeight="1">
      <x:c r="A1222" s="4" t="str">
        <x:v>RS-00638-I1</x:v>
      </x:c>
      <x:c r="B1222" s="4" t="str">
        <x:v>RS-00638</x:v>
      </x:c>
      <x:c r="C1222" s="9" t="n">
        <x:v>1</x:v>
      </x:c>
      <x:c r="D1222" s="8" t="n">
        <x:v>45344</x:v>
      </x:c>
      <x:c r="E1222" s="9" t="n">
        <x:v>2712000</x:v>
      </x:c>
      <x:c r="F1222" s="9" t="n">
        <x:v>2712000</x:v>
      </x:c>
    </x:row>
    <x:row r="1223" ht="34" customHeight="1">
      <x:c r="A1223" s="4" t="str">
        <x:v>RS-00638-I2</x:v>
      </x:c>
      <x:c r="B1223" s="4" t="str">
        <x:v>RS-00638</x:v>
      </x:c>
      <x:c r="C1223" s="9" t="n">
        <x:v>2</x:v>
      </x:c>
      <x:c r="D1223" s="8" t="n">
        <x:v>45374</x:v>
      </x:c>
      <x:c r="E1223" s="9" t="n">
        <x:v>2712000</x:v>
      </x:c>
      <x:c r="F1223" s="9" t="n">
        <x:v>2712000</x:v>
      </x:c>
    </x:row>
    <x:row r="1224" ht="34" customHeight="1">
      <x:c r="A1224" s="4" t="str">
        <x:v>RS-00638-I3</x:v>
      </x:c>
      <x:c r="B1224" s="4" t="str">
        <x:v>RS-00638</x:v>
      </x:c>
      <x:c r="C1224" s="9" t="n">
        <x:v>3</x:v>
      </x:c>
      <x:c r="D1224" s="8" t="n">
        <x:v>45404</x:v>
      </x:c>
      <x:c r="E1224" s="9" t="n">
        <x:v>2712000</x:v>
      </x:c>
      <x:c r="F1224" s="9" t="n">
        <x:v>0</x:v>
      </x:c>
    </x:row>
    <x:row r="1225" ht="34" customHeight="1">
      <x:c r="A1225" s="4" t="str">
        <x:v>RS-00638-I4</x:v>
      </x:c>
      <x:c r="B1225" s="4" t="str">
        <x:v>RS-00638</x:v>
      </x:c>
      <x:c r="C1225" s="9" t="n">
        <x:v>4</x:v>
      </x:c>
      <x:c r="D1225" s="8" t="n">
        <x:v>45434</x:v>
      </x:c>
      <x:c r="E1225" s="9" t="n">
        <x:v>2712000</x:v>
      </x:c>
      <x:c r="F1225" s="9" t="n">
        <x:v>0</x:v>
      </x:c>
    </x:row>
    <x:row r="1226" ht="34" customHeight="1">
      <x:c r="A1226" s="4" t="str">
        <x:v>RS-00639-I1</x:v>
      </x:c>
      <x:c r="B1226" s="4" t="str">
        <x:v>RS-00639</x:v>
      </x:c>
      <x:c r="C1226" s="9" t="n">
        <x:v>1</x:v>
      </x:c>
      <x:c r="D1226" s="8" t="n">
        <x:v>45345</x:v>
      </x:c>
      <x:c r="E1226" s="9" t="n">
        <x:v>5717250</x:v>
      </x:c>
      <x:c r="F1226" s="9" t="n">
        <x:v>2286900</x:v>
      </x:c>
    </x:row>
    <x:row r="1227" ht="34" customHeight="1">
      <x:c r="A1227" s="4" t="str">
        <x:v>RS-00639-I2</x:v>
      </x:c>
      <x:c r="B1227" s="4" t="str">
        <x:v>RS-00639</x:v>
      </x:c>
      <x:c r="C1227" s="9" t="n">
        <x:v>2</x:v>
      </x:c>
      <x:c r="D1227" s="8" t="n">
        <x:v>45375</x:v>
      </x:c>
      <x:c r="E1227" s="9" t="n">
        <x:v>5717250</x:v>
      </x:c>
      <x:c r="F1227" s="9" t="n">
        <x:v>0</x:v>
      </x:c>
    </x:row>
    <x:row r="1228" ht="34" customHeight="1">
      <x:c r="A1228" s="4" t="str">
        <x:v>RS-00639-I3</x:v>
      </x:c>
      <x:c r="B1228" s="4" t="str">
        <x:v>RS-00639</x:v>
      </x:c>
      <x:c r="C1228" s="9" t="n">
        <x:v>3</x:v>
      </x:c>
      <x:c r="D1228" s="8" t="n">
        <x:v>45405</x:v>
      </x:c>
      <x:c r="E1228" s="9" t="n">
        <x:v>5717250</x:v>
      </x:c>
      <x:c r="F1228" s="9" t="n">
        <x:v>0</x:v>
      </x:c>
    </x:row>
    <x:row r="1229" ht="34" customHeight="1">
      <x:c r="A1229" s="4" t="str">
        <x:v>RS-00639-I4</x:v>
      </x:c>
      <x:c r="B1229" s="4" t="str">
        <x:v>RS-00639</x:v>
      </x:c>
      <x:c r="C1229" s="9" t="n">
        <x:v>4</x:v>
      </x:c>
      <x:c r="D1229" s="8" t="n">
        <x:v>45435</x:v>
      </x:c>
      <x:c r="E1229" s="9" t="n">
        <x:v>5717250</x:v>
      </x:c>
      <x:c r="F1229" s="9" t="n">
        <x:v>0</x:v>
      </x:c>
    </x:row>
    <x:row r="1230" ht="34" customHeight="1">
      <x:c r="A1230" s="4" t="str">
        <x:v>RS-00641-I1</x:v>
      </x:c>
      <x:c r="B1230" s="4" t="str">
        <x:v>RS-00641</x:v>
      </x:c>
      <x:c r="C1230" s="9" t="n">
        <x:v>1</x:v>
      </x:c>
      <x:c r="D1230" s="8" t="n">
        <x:v>45347</x:v>
      </x:c>
      <x:c r="E1230" s="9" t="n">
        <x:v>4850500</x:v>
      </x:c>
      <x:c r="F1230" s="9" t="n">
        <x:v>4850500</x:v>
      </x:c>
    </x:row>
    <x:row r="1231" ht="34" customHeight="1">
      <x:c r="A1231" s="4" t="str">
        <x:v>RS-00641-I2</x:v>
      </x:c>
      <x:c r="B1231" s="4" t="str">
        <x:v>RS-00641</x:v>
      </x:c>
      <x:c r="C1231" s="9" t="n">
        <x:v>2</x:v>
      </x:c>
      <x:c r="D1231" s="8" t="n">
        <x:v>45377</x:v>
      </x:c>
      <x:c r="E1231" s="9" t="n">
        <x:v>4850500</x:v>
      </x:c>
      <x:c r="F1231" s="9" t="n">
        <x:v>0</x:v>
      </x:c>
    </x:row>
    <x:row r="1232" ht="34" customHeight="1">
      <x:c r="A1232" s="4" t="str">
        <x:v>RS-00641-I3</x:v>
      </x:c>
      <x:c r="B1232" s="4" t="str">
        <x:v>RS-00641</x:v>
      </x:c>
      <x:c r="C1232" s="9" t="n">
        <x:v>3</x:v>
      </x:c>
      <x:c r="D1232" s="8" t="n">
        <x:v>45407</x:v>
      </x:c>
      <x:c r="E1232" s="9" t="n">
        <x:v>4850500</x:v>
      </x:c>
      <x:c r="F1232" s="9" t="n">
        <x:v>0</x:v>
      </x:c>
    </x:row>
    <x:row r="1233" ht="34" customHeight="1">
      <x:c r="A1233" s="4" t="str">
        <x:v>RS-00641-I4</x:v>
      </x:c>
      <x:c r="B1233" s="4" t="str">
        <x:v>RS-00641</x:v>
      </x:c>
      <x:c r="C1233" s="9" t="n">
        <x:v>4</x:v>
      </x:c>
      <x:c r="D1233" s="8" t="n">
        <x:v>45437</x:v>
      </x:c>
      <x:c r="E1233" s="9" t="n">
        <x:v>4850500</x:v>
      </x:c>
      <x:c r="F1233" s="9" t="n">
        <x:v>0</x:v>
      </x:c>
    </x:row>
    <x:row r="1234" ht="34" customHeight="1">
      <x:c r="A1234" s="4" t="str">
        <x:v>RS-00642-I1</x:v>
      </x:c>
      <x:c r="B1234" s="4" t="str">
        <x:v>RS-00642</x:v>
      </x:c>
      <x:c r="C1234" s="9" t="n">
        <x:v>1</x:v>
      </x:c>
      <x:c r="D1234" s="8" t="n">
        <x:v>45348</x:v>
      </x:c>
      <x:c r="E1234" s="9" t="n">
        <x:v>3291750</x:v>
      </x:c>
      <x:c r="F1234" s="9" t="n">
        <x:v>3291750</x:v>
      </x:c>
    </x:row>
    <x:row r="1235" ht="34" customHeight="1">
      <x:c r="A1235" s="4" t="str">
        <x:v>RS-00642-I2</x:v>
      </x:c>
      <x:c r="B1235" s="4" t="str">
        <x:v>RS-00642</x:v>
      </x:c>
      <x:c r="C1235" s="9" t="n">
        <x:v>2</x:v>
      </x:c>
      <x:c r="D1235" s="8" t="n">
        <x:v>45378</x:v>
      </x:c>
      <x:c r="E1235" s="9" t="n">
        <x:v>3291750</x:v>
      </x:c>
      <x:c r="F1235" s="9" t="n">
        <x:v>0</x:v>
      </x:c>
    </x:row>
    <x:row r="1236" ht="34" customHeight="1">
      <x:c r="A1236" s="4" t="str">
        <x:v>RS-00642-I3</x:v>
      </x:c>
      <x:c r="B1236" s="4" t="str">
        <x:v>RS-00642</x:v>
      </x:c>
      <x:c r="C1236" s="9" t="n">
        <x:v>3</x:v>
      </x:c>
      <x:c r="D1236" s="8" t="n">
        <x:v>45408</x:v>
      </x:c>
      <x:c r="E1236" s="9" t="n">
        <x:v>3291750</x:v>
      </x:c>
      <x:c r="F1236" s="9" t="n">
        <x:v>0</x:v>
      </x:c>
    </x:row>
    <x:row r="1237" ht="34" customHeight="1">
      <x:c r="A1237" s="4" t="str">
        <x:v>RS-00642-I4</x:v>
      </x:c>
      <x:c r="B1237" s="4" t="str">
        <x:v>RS-00642</x:v>
      </x:c>
      <x:c r="C1237" s="9" t="n">
        <x:v>4</x:v>
      </x:c>
      <x:c r="D1237" s="8" t="n">
        <x:v>45438</x:v>
      </x:c>
      <x:c r="E1237" s="9" t="n">
        <x:v>3291750</x:v>
      </x:c>
      <x:c r="F1237" s="9" t="n">
        <x:v>0</x:v>
      </x:c>
    </x:row>
    <x:row r="1238" ht="34" customHeight="1">
      <x:c r="A1238" s="4" t="str">
        <x:v>RS-00644-I1</x:v>
      </x:c>
      <x:c r="B1238" s="4" t="str">
        <x:v>RS-00644</x:v>
      </x:c>
      <x:c r="C1238" s="9" t="n">
        <x:v>1</x:v>
      </x:c>
      <x:c r="D1238" s="8" t="n">
        <x:v>45350</x:v>
      </x:c>
      <x:c r="E1238" s="9" t="n">
        <x:v>3105000</x:v>
      </x:c>
      <x:c r="F1238" s="9" t="n">
        <x:v>3105000</x:v>
      </x:c>
    </x:row>
    <x:row r="1239" ht="34" customHeight="1">
      <x:c r="A1239" s="4" t="str">
        <x:v>RS-00644-I2</x:v>
      </x:c>
      <x:c r="B1239" s="4" t="str">
        <x:v>RS-00644</x:v>
      </x:c>
      <x:c r="C1239" s="9" t="n">
        <x:v>2</x:v>
      </x:c>
      <x:c r="D1239" s="8" t="n">
        <x:v>45380</x:v>
      </x:c>
      <x:c r="E1239" s="9" t="n">
        <x:v>3105000</x:v>
      </x:c>
      <x:c r="F1239" s="9" t="n">
        <x:v>3105000</x:v>
      </x:c>
    </x:row>
    <x:row r="1240" ht="34" customHeight="1">
      <x:c r="A1240" s="4" t="str">
        <x:v>RS-00644-I3</x:v>
      </x:c>
      <x:c r="B1240" s="4" t="str">
        <x:v>RS-00644</x:v>
      </x:c>
      <x:c r="C1240" s="9" t="n">
        <x:v>3</x:v>
      </x:c>
      <x:c r="D1240" s="8" t="n">
        <x:v>45410</x:v>
      </x:c>
      <x:c r="E1240" s="9" t="n">
        <x:v>3105000</x:v>
      </x:c>
      <x:c r="F1240" s="9" t="n">
        <x:v>0</x:v>
      </x:c>
    </x:row>
    <x:row r="1241" ht="34" customHeight="1">
      <x:c r="A1241" s="4" t="str">
        <x:v>RS-00644-I4</x:v>
      </x:c>
      <x:c r="B1241" s="4" t="str">
        <x:v>RS-00644</x:v>
      </x:c>
      <x:c r="C1241" s="9" t="n">
        <x:v>4</x:v>
      </x:c>
      <x:c r="D1241" s="8" t="n">
        <x:v>45440</x:v>
      </x:c>
      <x:c r="E1241" s="9" t="n">
        <x:v>3105000</x:v>
      </x:c>
      <x:c r="F1241" s="9" t="n">
        <x:v>0</x:v>
      </x:c>
    </x:row>
    <x:row r="1242" ht="34" customHeight="1">
      <x:c r="A1242" s="4" t="str">
        <x:v>RS-00650-I1</x:v>
      </x:c>
      <x:c r="B1242" s="4" t="str">
        <x:v>RS-00650</x:v>
      </x:c>
      <x:c r="C1242" s="9" t="n">
        <x:v>1</x:v>
      </x:c>
      <x:c r="D1242" s="8" t="n">
        <x:v>45328</x:v>
      </x:c>
      <x:c r="E1242" s="9" t="n">
        <x:v>4434500</x:v>
      </x:c>
      <x:c r="F1242" s="9" t="n">
        <x:v>4434500</x:v>
      </x:c>
    </x:row>
    <x:row r="1243" ht="34" customHeight="1">
      <x:c r="A1243" s="4" t="str">
        <x:v>RS-00650-I2</x:v>
      </x:c>
      <x:c r="B1243" s="4" t="str">
        <x:v>RS-00650</x:v>
      </x:c>
      <x:c r="C1243" s="9" t="n">
        <x:v>2</x:v>
      </x:c>
      <x:c r="D1243" s="8" t="n">
        <x:v>45358</x:v>
      </x:c>
      <x:c r="E1243" s="9" t="n">
        <x:v>4434500</x:v>
      </x:c>
      <x:c r="F1243" s="9" t="n">
        <x:v>4434500</x:v>
      </x:c>
    </x:row>
    <x:row r="1244" ht="34" customHeight="1">
      <x:c r="A1244" s="4" t="str">
        <x:v>RS-00650-I3</x:v>
      </x:c>
      <x:c r="B1244" s="4" t="str">
        <x:v>RS-00650</x:v>
      </x:c>
      <x:c r="C1244" s="9" t="n">
        <x:v>3</x:v>
      </x:c>
      <x:c r="D1244" s="8" t="n">
        <x:v>45388</x:v>
      </x:c>
      <x:c r="E1244" s="9" t="n">
        <x:v>4434500</x:v>
      </x:c>
      <x:c r="F1244" s="9" t="n">
        <x:v>0</x:v>
      </x:c>
    </x:row>
    <x:row r="1245" ht="34" customHeight="1">
      <x:c r="A1245" s="4" t="str">
        <x:v>RS-00650-I4</x:v>
      </x:c>
      <x:c r="B1245" s="4" t="str">
        <x:v>RS-00650</x:v>
      </x:c>
      <x:c r="C1245" s="9" t="n">
        <x:v>4</x:v>
      </x:c>
      <x:c r="D1245" s="8" t="n">
        <x:v>45418</x:v>
      </x:c>
      <x:c r="E1245" s="9" t="n">
        <x:v>4434500</x:v>
      </x:c>
      <x:c r="F1245" s="9" t="n">
        <x:v>0</x:v>
      </x:c>
    </x:row>
    <x:row r="1246" ht="34" customHeight="1">
      <x:c r="A1246" s="4" t="str">
        <x:v>RS-00651-I1</x:v>
      </x:c>
      <x:c r="B1246" s="4" t="str">
        <x:v>RS-00651</x:v>
      </x:c>
      <x:c r="C1246" s="9" t="n">
        <x:v>1</x:v>
      </x:c>
      <x:c r="D1246" s="8" t="n">
        <x:v>45329</x:v>
      </x:c>
      <x:c r="E1246" s="9" t="n">
        <x:v>4068750</x:v>
      </x:c>
      <x:c r="F1246" s="9" t="n">
        <x:v>4068750</x:v>
      </x:c>
    </x:row>
    <x:row r="1247" ht="34" customHeight="1">
      <x:c r="A1247" s="4" t="str">
        <x:v>RS-00651-I2</x:v>
      </x:c>
      <x:c r="B1247" s="4" t="str">
        <x:v>RS-00651</x:v>
      </x:c>
      <x:c r="C1247" s="9" t="n">
        <x:v>2</x:v>
      </x:c>
      <x:c r="D1247" s="8" t="n">
        <x:v>45359</x:v>
      </x:c>
      <x:c r="E1247" s="9" t="n">
        <x:v>4068750</x:v>
      </x:c>
      <x:c r="F1247" s="9" t="n">
        <x:v>0</x:v>
      </x:c>
    </x:row>
    <x:row r="1248" ht="34" customHeight="1">
      <x:c r="A1248" s="4" t="str">
        <x:v>RS-00651-I3</x:v>
      </x:c>
      <x:c r="B1248" s="4" t="str">
        <x:v>RS-00651</x:v>
      </x:c>
      <x:c r="C1248" s="9" t="n">
        <x:v>3</x:v>
      </x:c>
      <x:c r="D1248" s="8" t="n">
        <x:v>45389</x:v>
      </x:c>
      <x:c r="E1248" s="9" t="n">
        <x:v>4068750</x:v>
      </x:c>
      <x:c r="F1248" s="9" t="n">
        <x:v>0</x:v>
      </x:c>
    </x:row>
    <x:row r="1249" ht="34" customHeight="1">
      <x:c r="A1249" s="4" t="str">
        <x:v>RS-00651-I4</x:v>
      </x:c>
      <x:c r="B1249" s="4" t="str">
        <x:v>RS-00651</x:v>
      </x:c>
      <x:c r="C1249" s="9" t="n">
        <x:v>4</x:v>
      </x:c>
      <x:c r="D1249" s="8" t="n">
        <x:v>45419</x:v>
      </x:c>
      <x:c r="E1249" s="9" t="n">
        <x:v>4068750</x:v>
      </x:c>
      <x:c r="F1249" s="9" t="n">
        <x:v>0</x:v>
      </x:c>
    </x:row>
    <x:row r="1250" ht="34" customHeight="1">
      <x:c r="A1250" s="4" t="str">
        <x:v>RS-00653-I1</x:v>
      </x:c>
      <x:c r="B1250" s="4" t="str">
        <x:v>RS-00653</x:v>
      </x:c>
      <x:c r="C1250" s="9" t="n">
        <x:v>1</x:v>
      </x:c>
      <x:c r="D1250" s="8" t="n">
        <x:v>45331</x:v>
      </x:c>
      <x:c r="E1250" s="9" t="n">
        <x:v>4677750</x:v>
      </x:c>
      <x:c r="F1250" s="9" t="n">
        <x:v>4677750</x:v>
      </x:c>
    </x:row>
    <x:row r="1251" ht="34" customHeight="1">
      <x:c r="A1251" s="4" t="str">
        <x:v>RS-00653-I2</x:v>
      </x:c>
      <x:c r="B1251" s="4" t="str">
        <x:v>RS-00653</x:v>
      </x:c>
      <x:c r="C1251" s="9" t="n">
        <x:v>2</x:v>
      </x:c>
      <x:c r="D1251" s="8" t="n">
        <x:v>45361</x:v>
      </x:c>
      <x:c r="E1251" s="9" t="n">
        <x:v>4677750</x:v>
      </x:c>
      <x:c r="F1251" s="9" t="n">
        <x:v>0</x:v>
      </x:c>
    </x:row>
    <x:row r="1252" ht="34" customHeight="1">
      <x:c r="A1252" s="4" t="str">
        <x:v>RS-00653-I3</x:v>
      </x:c>
      <x:c r="B1252" s="4" t="str">
        <x:v>RS-00653</x:v>
      </x:c>
      <x:c r="C1252" s="9" t="n">
        <x:v>3</x:v>
      </x:c>
      <x:c r="D1252" s="8" t="n">
        <x:v>45391</x:v>
      </x:c>
      <x:c r="E1252" s="9" t="n">
        <x:v>4677750</x:v>
      </x:c>
      <x:c r="F1252" s="9" t="n">
        <x:v>0</x:v>
      </x:c>
    </x:row>
    <x:row r="1253" ht="34" customHeight="1">
      <x:c r="A1253" s="4" t="str">
        <x:v>RS-00653-I4</x:v>
      </x:c>
      <x:c r="B1253" s="4" t="str">
        <x:v>RS-00653</x:v>
      </x:c>
      <x:c r="C1253" s="9" t="n">
        <x:v>4</x:v>
      </x:c>
      <x:c r="D1253" s="8" t="n">
        <x:v>45421</x:v>
      </x:c>
      <x:c r="E1253" s="9" t="n">
        <x:v>4677750</x:v>
      </x:c>
      <x:c r="F1253" s="9" t="n">
        <x:v>0</x:v>
      </x:c>
    </x:row>
    <x:row r="1254" ht="34" customHeight="1">
      <x:c r="A1254" s="4" t="str">
        <x:v>RS-00654-I1</x:v>
      </x:c>
      <x:c r="B1254" s="4" t="str">
        <x:v>RS-00654</x:v>
      </x:c>
      <x:c r="C1254" s="9" t="n">
        <x:v>1</x:v>
      </x:c>
      <x:c r="D1254" s="8" t="n">
        <x:v>45332</x:v>
      </x:c>
      <x:c r="E1254" s="9" t="n">
        <x:v>2866500</x:v>
      </x:c>
      <x:c r="F1254" s="9" t="n">
        <x:v>2866500</x:v>
      </x:c>
    </x:row>
    <x:row r="1255" ht="34" customHeight="1">
      <x:c r="A1255" s="4" t="str">
        <x:v>RS-00654-I2</x:v>
      </x:c>
      <x:c r="B1255" s="4" t="str">
        <x:v>RS-00654</x:v>
      </x:c>
      <x:c r="C1255" s="9" t="n">
        <x:v>2</x:v>
      </x:c>
      <x:c r="D1255" s="8" t="n">
        <x:v>45362</x:v>
      </x:c>
      <x:c r="E1255" s="9" t="n">
        <x:v>2866500</x:v>
      </x:c>
      <x:c r="F1255" s="9" t="n">
        <x:v>2866500</x:v>
      </x:c>
    </x:row>
    <x:row r="1256" ht="34" customHeight="1">
      <x:c r="A1256" s="4" t="str">
        <x:v>RS-00654-I3</x:v>
      </x:c>
      <x:c r="B1256" s="4" t="str">
        <x:v>RS-00654</x:v>
      </x:c>
      <x:c r="C1256" s="9" t="n">
        <x:v>3</x:v>
      </x:c>
      <x:c r="D1256" s="8" t="n">
        <x:v>45392</x:v>
      </x:c>
      <x:c r="E1256" s="9" t="n">
        <x:v>2866500</x:v>
      </x:c>
      <x:c r="F1256" s="9" t="n">
        <x:v>0</x:v>
      </x:c>
    </x:row>
    <x:row r="1257" ht="34" customHeight="1">
      <x:c r="A1257" s="4" t="str">
        <x:v>RS-00654-I4</x:v>
      </x:c>
      <x:c r="B1257" s="4" t="str">
        <x:v>RS-00654</x:v>
      </x:c>
      <x:c r="C1257" s="9" t="n">
        <x:v>4</x:v>
      </x:c>
      <x:c r="D1257" s="8" t="n">
        <x:v>45422</x:v>
      </x:c>
      <x:c r="E1257" s="9" t="n">
        <x:v>2866500</x:v>
      </x:c>
      <x:c r="F1257" s="9" t="n">
        <x:v>0</x:v>
      </x:c>
    </x:row>
    <x:row r="1258" ht="34" customHeight="1">
      <x:c r="A1258" s="4" t="str">
        <x:v>RS-00656-I1</x:v>
      </x:c>
      <x:c r="B1258" s="4" t="str">
        <x:v>RS-00656</x:v>
      </x:c>
      <x:c r="C1258" s="9" t="n">
        <x:v>1</x:v>
      </x:c>
      <x:c r="D1258" s="8" t="n">
        <x:v>45334</x:v>
      </x:c>
      <x:c r="E1258" s="9" t="n">
        <x:v>4550000</x:v>
      </x:c>
      <x:c r="F1258" s="9" t="n">
        <x:v>1820000</x:v>
      </x:c>
    </x:row>
    <x:row r="1259" ht="34" customHeight="1">
      <x:c r="A1259" s="4" t="str">
        <x:v>RS-00656-I2</x:v>
      </x:c>
      <x:c r="B1259" s="4" t="str">
        <x:v>RS-00656</x:v>
      </x:c>
      <x:c r="C1259" s="9" t="n">
        <x:v>2</x:v>
      </x:c>
      <x:c r="D1259" s="8" t="n">
        <x:v>45364</x:v>
      </x:c>
      <x:c r="E1259" s="9" t="n">
        <x:v>4550000</x:v>
      </x:c>
      <x:c r="F1259" s="9" t="n">
        <x:v>0</x:v>
      </x:c>
    </x:row>
    <x:row r="1260" ht="34" customHeight="1">
      <x:c r="A1260" s="4" t="str">
        <x:v>RS-00656-I3</x:v>
      </x:c>
      <x:c r="B1260" s="4" t="str">
        <x:v>RS-00656</x:v>
      </x:c>
      <x:c r="C1260" s="9" t="n">
        <x:v>3</x:v>
      </x:c>
      <x:c r="D1260" s="8" t="n">
        <x:v>45394</x:v>
      </x:c>
      <x:c r="E1260" s="9" t="n">
        <x:v>4550000</x:v>
      </x:c>
      <x:c r="F1260" s="9" t="n">
        <x:v>0</x:v>
      </x:c>
    </x:row>
    <x:row r="1261" ht="34" customHeight="1">
      <x:c r="A1261" s="4" t="str">
        <x:v>RS-00656-I4</x:v>
      </x:c>
      <x:c r="B1261" s="4" t="str">
        <x:v>RS-00656</x:v>
      </x:c>
      <x:c r="C1261" s="9" t="n">
        <x:v>4</x:v>
      </x:c>
      <x:c r="D1261" s="8" t="n">
        <x:v>45424</x:v>
      </x:c>
      <x:c r="E1261" s="9" t="n">
        <x:v>4550000</x:v>
      </x:c>
      <x:c r="F1261" s="9" t="n">
        <x:v>0</x:v>
      </x:c>
    </x:row>
    <x:row r="1262" ht="34" customHeight="1">
      <x:c r="A1262" s="4" t="str">
        <x:v>RS-00657-I1</x:v>
      </x:c>
      <x:c r="B1262" s="4" t="str">
        <x:v>RS-00657</x:v>
      </x:c>
      <x:c r="C1262" s="9" t="n">
        <x:v>1</x:v>
      </x:c>
      <x:c r="D1262" s="8" t="n">
        <x:v>45335</x:v>
      </x:c>
      <x:c r="E1262" s="9" t="n">
        <x:v>2825000</x:v>
      </x:c>
      <x:c r="F1262" s="9" t="n">
        <x:v>2825000</x:v>
      </x:c>
    </x:row>
    <x:row r="1263" ht="34" customHeight="1">
      <x:c r="A1263" s="4" t="str">
        <x:v>RS-00657-I2</x:v>
      </x:c>
      <x:c r="B1263" s="4" t="str">
        <x:v>RS-00657</x:v>
      </x:c>
      <x:c r="C1263" s="9" t="n">
        <x:v>2</x:v>
      </x:c>
      <x:c r="D1263" s="8" t="n">
        <x:v>45365</x:v>
      </x:c>
      <x:c r="E1263" s="9" t="n">
        <x:v>2825000</x:v>
      </x:c>
      <x:c r="F1263" s="9" t="n">
        <x:v>0</x:v>
      </x:c>
    </x:row>
    <x:row r="1264" ht="34" customHeight="1">
      <x:c r="A1264" s="4" t="str">
        <x:v>RS-00657-I3</x:v>
      </x:c>
      <x:c r="B1264" s="4" t="str">
        <x:v>RS-00657</x:v>
      </x:c>
      <x:c r="C1264" s="9" t="n">
        <x:v>3</x:v>
      </x:c>
      <x:c r="D1264" s="8" t="n">
        <x:v>45395</x:v>
      </x:c>
      <x:c r="E1264" s="9" t="n">
        <x:v>2825000</x:v>
      </x:c>
      <x:c r="F1264" s="9" t="n">
        <x:v>0</x:v>
      </x:c>
    </x:row>
    <x:row r="1265" ht="34" customHeight="1">
      <x:c r="A1265" s="4" t="str">
        <x:v>RS-00657-I4</x:v>
      </x:c>
      <x:c r="B1265" s="4" t="str">
        <x:v>RS-00657</x:v>
      </x:c>
      <x:c r="C1265" s="9" t="n">
        <x:v>4</x:v>
      </x:c>
      <x:c r="D1265" s="8" t="n">
        <x:v>45425</x:v>
      </x:c>
      <x:c r="E1265" s="9" t="n">
        <x:v>2825000</x:v>
      </x:c>
      <x:c r="F1265" s="9" t="n">
        <x:v>0</x:v>
      </x:c>
    </x:row>
    <x:row r="1266" ht="34" customHeight="1">
      <x:c r="A1266" s="4" t="str">
        <x:v>RS-00658-I1</x:v>
      </x:c>
      <x:c r="B1266" s="4" t="str">
        <x:v>RS-00658</x:v>
      </x:c>
      <x:c r="C1266" s="9" t="n">
        <x:v>1</x:v>
      </x:c>
      <x:c r="D1266" s="8" t="n">
        <x:v>45336</x:v>
      </x:c>
      <x:c r="E1266" s="9" t="n">
        <x:v>5220000</x:v>
      </x:c>
      <x:c r="F1266" s="9" t="n">
        <x:v>2088000</x:v>
      </x:c>
    </x:row>
    <x:row r="1267" ht="34" customHeight="1">
      <x:c r="A1267" s="4" t="str">
        <x:v>RS-00658-I2</x:v>
      </x:c>
      <x:c r="B1267" s="4" t="str">
        <x:v>RS-00658</x:v>
      </x:c>
      <x:c r="C1267" s="9" t="n">
        <x:v>2</x:v>
      </x:c>
      <x:c r="D1267" s="8" t="n">
        <x:v>45366</x:v>
      </x:c>
      <x:c r="E1267" s="9" t="n">
        <x:v>5220000</x:v>
      </x:c>
      <x:c r="F1267" s="9" t="n">
        <x:v>0</x:v>
      </x:c>
    </x:row>
    <x:row r="1268" ht="34" customHeight="1">
      <x:c r="A1268" s="4" t="str">
        <x:v>RS-00658-I3</x:v>
      </x:c>
      <x:c r="B1268" s="4" t="str">
        <x:v>RS-00658</x:v>
      </x:c>
      <x:c r="C1268" s="9" t="n">
        <x:v>3</x:v>
      </x:c>
      <x:c r="D1268" s="8" t="n">
        <x:v>45396</x:v>
      </x:c>
      <x:c r="E1268" s="9" t="n">
        <x:v>5220000</x:v>
      </x:c>
      <x:c r="F1268" s="9" t="n">
        <x:v>0</x:v>
      </x:c>
    </x:row>
    <x:row r="1269" ht="34" customHeight="1">
      <x:c r="A1269" s="4" t="str">
        <x:v>RS-00658-I4</x:v>
      </x:c>
      <x:c r="B1269" s="4" t="str">
        <x:v>RS-00658</x:v>
      </x:c>
      <x:c r="C1269" s="9" t="n">
        <x:v>4</x:v>
      </x:c>
      <x:c r="D1269" s="8" t="n">
        <x:v>45426</x:v>
      </x:c>
      <x:c r="E1269" s="9" t="n">
        <x:v>5220000</x:v>
      </x:c>
      <x:c r="F1269" s="9" t="n">
        <x:v>0</x:v>
      </x:c>
    </x:row>
    <x:row r="1270" ht="34" customHeight="1">
      <x:c r="A1270" s="4" t="str">
        <x:v>RS-00660-I1</x:v>
      </x:c>
      <x:c r="B1270" s="4" t="str">
        <x:v>RS-00660</x:v>
      </x:c>
      <x:c r="C1270" s="9" t="n">
        <x:v>1</x:v>
      </x:c>
      <x:c r="D1270" s="8" t="n">
        <x:v>45338</x:v>
      </x:c>
      <x:c r="E1270" s="9" t="n">
        <x:v>2781250</x:v>
      </x:c>
      <x:c r="F1270" s="9" t="n">
        <x:v>1112500</x:v>
      </x:c>
    </x:row>
    <x:row r="1271" ht="34" customHeight="1">
      <x:c r="A1271" s="4" t="str">
        <x:v>RS-00660-I2</x:v>
      </x:c>
      <x:c r="B1271" s="4" t="str">
        <x:v>RS-00660</x:v>
      </x:c>
      <x:c r="C1271" s="9" t="n">
        <x:v>2</x:v>
      </x:c>
      <x:c r="D1271" s="8" t="n">
        <x:v>45368</x:v>
      </x:c>
      <x:c r="E1271" s="9" t="n">
        <x:v>2781250</x:v>
      </x:c>
      <x:c r="F1271" s="9" t="n">
        <x:v>0</x:v>
      </x:c>
    </x:row>
    <x:row r="1272" ht="34" customHeight="1">
      <x:c r="A1272" s="4" t="str">
        <x:v>RS-00660-I3</x:v>
      </x:c>
      <x:c r="B1272" s="4" t="str">
        <x:v>RS-00660</x:v>
      </x:c>
      <x:c r="C1272" s="9" t="n">
        <x:v>3</x:v>
      </x:c>
      <x:c r="D1272" s="8" t="n">
        <x:v>45398</x:v>
      </x:c>
      <x:c r="E1272" s="9" t="n">
        <x:v>2781250</x:v>
      </x:c>
      <x:c r="F1272" s="9" t="n">
        <x:v>0</x:v>
      </x:c>
    </x:row>
    <x:row r="1273" ht="34" customHeight="1">
      <x:c r="A1273" s="4" t="str">
        <x:v>RS-00660-I4</x:v>
      </x:c>
      <x:c r="B1273" s="4" t="str">
        <x:v>RS-00660</x:v>
      </x:c>
      <x:c r="C1273" s="9" t="n">
        <x:v>4</x:v>
      </x:c>
      <x:c r="D1273" s="8" t="n">
        <x:v>45428</x:v>
      </x:c>
      <x:c r="E1273" s="9" t="n">
        <x:v>2781250</x:v>
      </x:c>
      <x:c r="F1273" s="9" t="n">
        <x:v>0</x:v>
      </x:c>
    </x:row>
    <x:row r="1274" ht="34" customHeight="1">
      <x:c r="A1274" s="4" t="str">
        <x:v>RS-00661-I1</x:v>
      </x:c>
      <x:c r="B1274" s="4" t="str">
        <x:v>RS-00661</x:v>
      </x:c>
      <x:c r="C1274" s="9" t="n">
        <x:v>1</x:v>
      </x:c>
      <x:c r="D1274" s="8" t="n">
        <x:v>45339</x:v>
      </x:c>
      <x:c r="E1274" s="9" t="n">
        <x:v>3128000</x:v>
      </x:c>
      <x:c r="F1274" s="9" t="n">
        <x:v>3128000</x:v>
      </x:c>
    </x:row>
    <x:row r="1275" ht="34" customHeight="1">
      <x:c r="A1275" s="4" t="str">
        <x:v>RS-00661-I2</x:v>
      </x:c>
      <x:c r="B1275" s="4" t="str">
        <x:v>RS-00661</x:v>
      </x:c>
      <x:c r="C1275" s="9" t="n">
        <x:v>2</x:v>
      </x:c>
      <x:c r="D1275" s="8" t="n">
        <x:v>45369</x:v>
      </x:c>
      <x:c r="E1275" s="9" t="n">
        <x:v>3128000</x:v>
      </x:c>
      <x:c r="F1275" s="9" t="n">
        <x:v>0</x:v>
      </x:c>
    </x:row>
    <x:row r="1276" ht="34" customHeight="1">
      <x:c r="A1276" s="4" t="str">
        <x:v>RS-00661-I3</x:v>
      </x:c>
      <x:c r="B1276" s="4" t="str">
        <x:v>RS-00661</x:v>
      </x:c>
      <x:c r="C1276" s="9" t="n">
        <x:v>3</x:v>
      </x:c>
      <x:c r="D1276" s="8" t="n">
        <x:v>45399</x:v>
      </x:c>
      <x:c r="E1276" s="9" t="n">
        <x:v>3128000</x:v>
      </x:c>
      <x:c r="F1276" s="9" t="n">
        <x:v>0</x:v>
      </x:c>
    </x:row>
    <x:row r="1277" ht="34" customHeight="1">
      <x:c r="A1277" s="4" t="str">
        <x:v>RS-00661-I4</x:v>
      </x:c>
      <x:c r="B1277" s="4" t="str">
        <x:v>RS-00661</x:v>
      </x:c>
      <x:c r="C1277" s="9" t="n">
        <x:v>4</x:v>
      </x:c>
      <x:c r="D1277" s="8" t="n">
        <x:v>45429</x:v>
      </x:c>
      <x:c r="E1277" s="9" t="n">
        <x:v>3128000</x:v>
      </x:c>
      <x:c r="F1277" s="9" t="n">
        <x:v>0</x:v>
      </x:c>
    </x:row>
    <x:row r="1278" ht="34" customHeight="1">
      <x:c r="A1278" s="4" t="str">
        <x:v>RS-00662-I1</x:v>
      </x:c>
      <x:c r="B1278" s="4" t="str">
        <x:v>RS-00662</x:v>
      </x:c>
      <x:c r="C1278" s="9" t="n">
        <x:v>1</x:v>
      </x:c>
      <x:c r="D1278" s="8" t="n">
        <x:v>45340</x:v>
      </x:c>
      <x:c r="E1278" s="9" t="n">
        <x:v>3892500</x:v>
      </x:c>
      <x:c r="F1278" s="9" t="n">
        <x:v>3892500</x:v>
      </x:c>
    </x:row>
    <x:row r="1279" ht="34" customHeight="1">
      <x:c r="A1279" s="4" t="str">
        <x:v>RS-00662-I2</x:v>
      </x:c>
      <x:c r="B1279" s="4" t="str">
        <x:v>RS-00662</x:v>
      </x:c>
      <x:c r="C1279" s="9" t="n">
        <x:v>2</x:v>
      </x:c>
      <x:c r="D1279" s="8" t="n">
        <x:v>45370</x:v>
      </x:c>
      <x:c r="E1279" s="9" t="n">
        <x:v>3892500</x:v>
      </x:c>
      <x:c r="F1279" s="9" t="n">
        <x:v>0</x:v>
      </x:c>
    </x:row>
    <x:row r="1280" ht="34" customHeight="1">
      <x:c r="A1280" s="4" t="str">
        <x:v>RS-00662-I3</x:v>
      </x:c>
      <x:c r="B1280" s="4" t="str">
        <x:v>RS-00662</x:v>
      </x:c>
      <x:c r="C1280" s="9" t="n">
        <x:v>3</x:v>
      </x:c>
      <x:c r="D1280" s="8" t="n">
        <x:v>45400</x:v>
      </x:c>
      <x:c r="E1280" s="9" t="n">
        <x:v>3892500</x:v>
      </x:c>
      <x:c r="F1280" s="9" t="n">
        <x:v>0</x:v>
      </x:c>
    </x:row>
    <x:row r="1281" ht="34" customHeight="1">
      <x:c r="A1281" s="4" t="str">
        <x:v>RS-00662-I4</x:v>
      </x:c>
      <x:c r="B1281" s="4" t="str">
        <x:v>RS-00662</x:v>
      </x:c>
      <x:c r="C1281" s="9" t="n">
        <x:v>4</x:v>
      </x:c>
      <x:c r="D1281" s="8" t="n">
        <x:v>45430</x:v>
      </x:c>
      <x:c r="E1281" s="9" t="n">
        <x:v>3892500</x:v>
      </x:c>
      <x:c r="F1281" s="9" t="n">
        <x:v>0</x:v>
      </x:c>
    </x:row>
    <x:row r="1282" ht="34" customHeight="1">
      <x:c r="A1282" s="4" t="str">
        <x:v>RS-00663-I1</x:v>
      </x:c>
      <x:c r="B1282" s="4" t="str">
        <x:v>RS-00663</x:v>
      </x:c>
      <x:c r="C1282" s="9" t="n">
        <x:v>1</x:v>
      </x:c>
      <x:c r="D1282" s="8" t="n">
        <x:v>45341</x:v>
      </x:c>
      <x:c r="E1282" s="9" t="n">
        <x:v>5473500</x:v>
      </x:c>
      <x:c r="F1282" s="9" t="n">
        <x:v>2189400</x:v>
      </x:c>
    </x:row>
    <x:row r="1283" ht="34" customHeight="1">
      <x:c r="A1283" s="4" t="str">
        <x:v>RS-00663-I2</x:v>
      </x:c>
      <x:c r="B1283" s="4" t="str">
        <x:v>RS-00663</x:v>
      </x:c>
      <x:c r="C1283" s="9" t="n">
        <x:v>2</x:v>
      </x:c>
      <x:c r="D1283" s="8" t="n">
        <x:v>45371</x:v>
      </x:c>
      <x:c r="E1283" s="9" t="n">
        <x:v>5473500</x:v>
      </x:c>
      <x:c r="F1283" s="9" t="n">
        <x:v>0</x:v>
      </x:c>
    </x:row>
    <x:row r="1284" ht="34" customHeight="1">
      <x:c r="A1284" s="4" t="str">
        <x:v>RS-00663-I3</x:v>
      </x:c>
      <x:c r="B1284" s="4" t="str">
        <x:v>RS-00663</x:v>
      </x:c>
      <x:c r="C1284" s="9" t="n">
        <x:v>3</x:v>
      </x:c>
      <x:c r="D1284" s="8" t="n">
        <x:v>45401</x:v>
      </x:c>
      <x:c r="E1284" s="9" t="n">
        <x:v>5473500</x:v>
      </x:c>
      <x:c r="F1284" s="9" t="n">
        <x:v>0</x:v>
      </x:c>
    </x:row>
    <x:row r="1285" ht="34" customHeight="1">
      <x:c r="A1285" s="4" t="str">
        <x:v>RS-00663-I4</x:v>
      </x:c>
      <x:c r="B1285" s="4" t="str">
        <x:v>RS-00663</x:v>
      </x:c>
      <x:c r="C1285" s="9" t="n">
        <x:v>4</x:v>
      </x:c>
      <x:c r="D1285" s="8" t="n">
        <x:v>45431</x:v>
      </x:c>
      <x:c r="E1285" s="9" t="n">
        <x:v>5473500</x:v>
      </x:c>
      <x:c r="F1285" s="9" t="n">
        <x:v>0</x:v>
      </x:c>
    </x:row>
    <x:row r="1286" ht="34" customHeight="1">
      <x:c r="A1286" s="4" t="str">
        <x:v>RS-00664-I1</x:v>
      </x:c>
      <x:c r="B1286" s="4" t="str">
        <x:v>RS-00664</x:v>
      </x:c>
      <x:c r="C1286" s="9" t="n">
        <x:v>1</x:v>
      </x:c>
      <x:c r="D1286" s="8" t="n">
        <x:v>45342</x:v>
      </x:c>
      <x:c r="E1286" s="9" t="n">
        <x:v>1196000</x:v>
      </x:c>
      <x:c r="F1286" s="9" t="n">
        <x:v>1196000</x:v>
      </x:c>
    </x:row>
    <x:row r="1287" ht="34" customHeight="1">
      <x:c r="A1287" s="4" t="str">
        <x:v>RS-00664-I2</x:v>
      </x:c>
      <x:c r="B1287" s="4" t="str">
        <x:v>RS-00664</x:v>
      </x:c>
      <x:c r="C1287" s="9" t="n">
        <x:v>2</x:v>
      </x:c>
      <x:c r="D1287" s="8" t="n">
        <x:v>45372</x:v>
      </x:c>
      <x:c r="E1287" s="9" t="n">
        <x:v>1196000</x:v>
      </x:c>
      <x:c r="F1287" s="9" t="n">
        <x:v>1196000</x:v>
      </x:c>
    </x:row>
    <x:row r="1288" ht="34" customHeight="1">
      <x:c r="A1288" s="4" t="str">
        <x:v>RS-00664-I3</x:v>
      </x:c>
      <x:c r="B1288" s="4" t="str">
        <x:v>RS-00664</x:v>
      </x:c>
      <x:c r="C1288" s="9" t="n">
        <x:v>3</x:v>
      </x:c>
      <x:c r="D1288" s="8" t="n">
        <x:v>45402</x:v>
      </x:c>
      <x:c r="E1288" s="9" t="n">
        <x:v>1196000</x:v>
      </x:c>
      <x:c r="F1288" s="9" t="n">
        <x:v>1196000</x:v>
      </x:c>
    </x:row>
    <x:row r="1289" ht="34" customHeight="1">
      <x:c r="A1289" s="4" t="str">
        <x:v>RS-00664-I4</x:v>
      </x:c>
      <x:c r="B1289" s="4" t="str">
        <x:v>RS-00664</x:v>
      </x:c>
      <x:c r="C1289" s="9" t="n">
        <x:v>4</x:v>
      </x:c>
      <x:c r="D1289" s="8" t="n">
        <x:v>45432</x:v>
      </x:c>
      <x:c r="E1289" s="9" t="n">
        <x:v>1196000</x:v>
      </x:c>
      <x:c r="F1289" s="9" t="n">
        <x:v>1196000</x:v>
      </x:c>
    </x:row>
    <x:row r="1290" ht="34" customHeight="1">
      <x:c r="A1290" s="4" t="str">
        <x:v>RS-00669-I1</x:v>
      </x:c>
      <x:c r="B1290" s="4" t="str">
        <x:v>RS-00669</x:v>
      </x:c>
      <x:c r="C1290" s="9" t="n">
        <x:v>1</x:v>
      </x:c>
      <x:c r="D1290" s="8" t="n">
        <x:v>45347</x:v>
      </x:c>
      <x:c r="E1290" s="9" t="n">
        <x:v>4963750</x:v>
      </x:c>
      <x:c r="F1290" s="9" t="n">
        <x:v>4963750</x:v>
      </x:c>
    </x:row>
    <x:row r="1291" ht="34" customHeight="1">
      <x:c r="A1291" s="4" t="str">
        <x:v>RS-00669-I2</x:v>
      </x:c>
      <x:c r="B1291" s="4" t="str">
        <x:v>RS-00669</x:v>
      </x:c>
      <x:c r="C1291" s="9" t="n">
        <x:v>2</x:v>
      </x:c>
      <x:c r="D1291" s="8" t="n">
        <x:v>45377</x:v>
      </x:c>
      <x:c r="E1291" s="9" t="n">
        <x:v>4963750</x:v>
      </x:c>
      <x:c r="F1291" s="9" t="n">
        <x:v>0</x:v>
      </x:c>
    </x:row>
    <x:row r="1292" ht="34" customHeight="1">
      <x:c r="A1292" s="4" t="str">
        <x:v>RS-00669-I3</x:v>
      </x:c>
      <x:c r="B1292" s="4" t="str">
        <x:v>RS-00669</x:v>
      </x:c>
      <x:c r="C1292" s="9" t="n">
        <x:v>3</x:v>
      </x:c>
      <x:c r="D1292" s="8" t="n">
        <x:v>45407</x:v>
      </x:c>
      <x:c r="E1292" s="9" t="n">
        <x:v>4963750</x:v>
      </x:c>
      <x:c r="F1292" s="9" t="n">
        <x:v>0</x:v>
      </x:c>
    </x:row>
    <x:row r="1293" ht="34" customHeight="1">
      <x:c r="A1293" s="4" t="str">
        <x:v>RS-00669-I4</x:v>
      </x:c>
      <x:c r="B1293" s="4" t="str">
        <x:v>RS-00669</x:v>
      </x:c>
      <x:c r="C1293" s="9" t="n">
        <x:v>4</x:v>
      </x:c>
      <x:c r="D1293" s="8" t="n">
        <x:v>45437</x:v>
      </x:c>
      <x:c r="E1293" s="9" t="n">
        <x:v>4963750</x:v>
      </x:c>
      <x:c r="F1293" s="9" t="n">
        <x:v>0</x:v>
      </x:c>
    </x:row>
    <x:row r="1294" ht="34" customHeight="1">
      <x:c r="A1294" s="4" t="str">
        <x:v>RS-00672-I1</x:v>
      </x:c>
      <x:c r="B1294" s="4" t="str">
        <x:v>RS-00672</x:v>
      </x:c>
      <x:c r="C1294" s="9" t="n">
        <x:v>1</x:v>
      </x:c>
      <x:c r="D1294" s="8" t="n">
        <x:v>45350</x:v>
      </x:c>
      <x:c r="E1294" s="9" t="n">
        <x:v>6039000</x:v>
      </x:c>
      <x:c r="F1294" s="9" t="n">
        <x:v>6039000</x:v>
      </x:c>
    </x:row>
    <x:row r="1295" ht="34" customHeight="1">
      <x:c r="A1295" s="4" t="str">
        <x:v>RS-00672-I2</x:v>
      </x:c>
      <x:c r="B1295" s="4" t="str">
        <x:v>RS-00672</x:v>
      </x:c>
      <x:c r="C1295" s="9" t="n">
        <x:v>2</x:v>
      </x:c>
      <x:c r="D1295" s="8" t="n">
        <x:v>45380</x:v>
      </x:c>
      <x:c r="E1295" s="9" t="n">
        <x:v>6039000</x:v>
      </x:c>
      <x:c r="F1295" s="9" t="n">
        <x:v>6039000</x:v>
      </x:c>
    </x:row>
    <x:row r="1296" ht="34" customHeight="1">
      <x:c r="A1296" s="4" t="str">
        <x:v>RS-00672-I3</x:v>
      </x:c>
      <x:c r="B1296" s="4" t="str">
        <x:v>RS-00672</x:v>
      </x:c>
      <x:c r="C1296" s="9" t="n">
        <x:v>3</x:v>
      </x:c>
      <x:c r="D1296" s="8" t="n">
        <x:v>45410</x:v>
      </x:c>
      <x:c r="E1296" s="9" t="n">
        <x:v>6039000</x:v>
      </x:c>
      <x:c r="F1296" s="9" t="n">
        <x:v>6039000</x:v>
      </x:c>
    </x:row>
    <x:row r="1297" ht="34" customHeight="1">
      <x:c r="A1297" s="4" t="str">
        <x:v>RS-00672-I4</x:v>
      </x:c>
      <x:c r="B1297" s="4" t="str">
        <x:v>RS-00672</x:v>
      </x:c>
      <x:c r="C1297" s="9" t="n">
        <x:v>4</x:v>
      </x:c>
      <x:c r="D1297" s="8" t="n">
        <x:v>45440</x:v>
      </x:c>
      <x:c r="E1297" s="9" t="n">
        <x:v>6039000</x:v>
      </x:c>
      <x:c r="F1297" s="9" t="n">
        <x:v>6039000</x:v>
      </x:c>
    </x:row>
    <x:row r="1298" ht="34" customHeight="1">
      <x:c r="A1298" s="4" t="str">
        <x:v>RS-00674-I1</x:v>
      </x:c>
      <x:c r="B1298" s="4" t="str">
        <x:v>RS-00674</x:v>
      </x:c>
      <x:c r="C1298" s="9" t="n">
        <x:v>1</x:v>
      </x:c>
      <x:c r="D1298" s="8" t="n">
        <x:v>45324</x:v>
      </x:c>
      <x:c r="E1298" s="9" t="n">
        <x:v>1700000</x:v>
      </x:c>
      <x:c r="F1298" s="9" t="n">
        <x:v>1700000</x:v>
      </x:c>
    </x:row>
    <x:row r="1299" ht="34" customHeight="1">
      <x:c r="A1299" s="4" t="str">
        <x:v>RS-00674-I2</x:v>
      </x:c>
      <x:c r="B1299" s="4" t="str">
        <x:v>RS-00674</x:v>
      </x:c>
      <x:c r="C1299" s="9" t="n">
        <x:v>2</x:v>
      </x:c>
      <x:c r="D1299" s="8" t="n">
        <x:v>45354</x:v>
      </x:c>
      <x:c r="E1299" s="9" t="n">
        <x:v>1700000</x:v>
      </x:c>
      <x:c r="F1299" s="9" t="n">
        <x:v>0</x:v>
      </x:c>
    </x:row>
    <x:row r="1300" ht="34" customHeight="1">
      <x:c r="A1300" s="4" t="str">
        <x:v>RS-00674-I3</x:v>
      </x:c>
      <x:c r="B1300" s="4" t="str">
        <x:v>RS-00674</x:v>
      </x:c>
      <x:c r="C1300" s="9" t="n">
        <x:v>3</x:v>
      </x:c>
      <x:c r="D1300" s="8" t="n">
        <x:v>45384</x:v>
      </x:c>
      <x:c r="E1300" s="9" t="n">
        <x:v>1700000</x:v>
      </x:c>
      <x:c r="F1300" s="9" t="n">
        <x:v>0</x:v>
      </x:c>
    </x:row>
    <x:row r="1301" ht="34" customHeight="1">
      <x:c r="A1301" s="4" t="str">
        <x:v>RS-00674-I4</x:v>
      </x:c>
      <x:c r="B1301" s="4" t="str">
        <x:v>RS-00674</x:v>
      </x:c>
      <x:c r="C1301" s="9" t="n">
        <x:v>4</x:v>
      </x:c>
      <x:c r="D1301" s="8" t="n">
        <x:v>45414</x:v>
      </x:c>
      <x:c r="E1301" s="9" t="n">
        <x:v>1700000</x:v>
      </x:c>
      <x:c r="F1301" s="9" t="n">
        <x:v>0</x:v>
      </x:c>
    </x:row>
    <x:row r="1302" ht="34" customHeight="1">
      <x:c r="A1302" s="4" t="str">
        <x:v>RS-00678-I1</x:v>
      </x:c>
      <x:c r="B1302" s="4" t="str">
        <x:v>RS-00678</x:v>
      </x:c>
      <x:c r="C1302" s="9" t="n">
        <x:v>1</x:v>
      </x:c>
      <x:c r="D1302" s="8" t="n">
        <x:v>45328</x:v>
      </x:c>
      <x:c r="E1302" s="9" t="n">
        <x:v>4301250</x:v>
      </x:c>
      <x:c r="F1302" s="9" t="n">
        <x:v>1720500</x:v>
      </x:c>
    </x:row>
    <x:row r="1303" ht="34" customHeight="1">
      <x:c r="A1303" s="4" t="str">
        <x:v>RS-00678-I2</x:v>
      </x:c>
      <x:c r="B1303" s="4" t="str">
        <x:v>RS-00678</x:v>
      </x:c>
      <x:c r="C1303" s="9" t="n">
        <x:v>2</x:v>
      </x:c>
      <x:c r="D1303" s="8" t="n">
        <x:v>45358</x:v>
      </x:c>
      <x:c r="E1303" s="9" t="n">
        <x:v>4301250</x:v>
      </x:c>
      <x:c r="F1303" s="9" t="n">
        <x:v>0</x:v>
      </x:c>
    </x:row>
    <x:row r="1304" ht="34" customHeight="1">
      <x:c r="A1304" s="4" t="str">
        <x:v>RS-00678-I3</x:v>
      </x:c>
      <x:c r="B1304" s="4" t="str">
        <x:v>RS-00678</x:v>
      </x:c>
      <x:c r="C1304" s="9" t="n">
        <x:v>3</x:v>
      </x:c>
      <x:c r="D1304" s="8" t="n">
        <x:v>45388</x:v>
      </x:c>
      <x:c r="E1304" s="9" t="n">
        <x:v>4301250</x:v>
      </x:c>
      <x:c r="F1304" s="9" t="n">
        <x:v>0</x:v>
      </x:c>
    </x:row>
    <x:row r="1305" ht="34" customHeight="1">
      <x:c r="A1305" s="4" t="str">
        <x:v>RS-00678-I4</x:v>
      </x:c>
      <x:c r="B1305" s="4" t="str">
        <x:v>RS-00678</x:v>
      </x:c>
      <x:c r="C1305" s="9" t="n">
        <x:v>4</x:v>
      </x:c>
      <x:c r="D1305" s="8" t="n">
        <x:v>45418</x:v>
      </x:c>
      <x:c r="E1305" s="9" t="n">
        <x:v>4301250</x:v>
      </x:c>
      <x:c r="F1305" s="9" t="n">
        <x:v>0</x:v>
      </x:c>
    </x:row>
    <x:row r="1306" ht="34" customHeight="1">
      <x:c r="A1306" s="4" t="str">
        <x:v>RS-00680-I1</x:v>
      </x:c>
      <x:c r="B1306" s="4" t="str">
        <x:v>RS-00680</x:v>
      </x:c>
      <x:c r="C1306" s="9" t="n">
        <x:v>1</x:v>
      </x:c>
      <x:c r="D1306" s="8" t="n">
        <x:v>45330</x:v>
      </x:c>
      <x:c r="E1306" s="9" t="n">
        <x:v>4159500</x:v>
      </x:c>
      <x:c r="F1306" s="9" t="n">
        <x:v>4159500</x:v>
      </x:c>
    </x:row>
    <x:row r="1307" ht="34" customHeight="1">
      <x:c r="A1307" s="4" t="str">
        <x:v>RS-00680-I2</x:v>
      </x:c>
      <x:c r="B1307" s="4" t="str">
        <x:v>RS-00680</x:v>
      </x:c>
      <x:c r="C1307" s="9" t="n">
        <x:v>2</x:v>
      </x:c>
      <x:c r="D1307" s="8" t="n">
        <x:v>45360</x:v>
      </x:c>
      <x:c r="E1307" s="9" t="n">
        <x:v>4159500</x:v>
      </x:c>
      <x:c r="F1307" s="9" t="n">
        <x:v>4159500</x:v>
      </x:c>
    </x:row>
    <x:row r="1308" ht="34" customHeight="1">
      <x:c r="A1308" s="4" t="str">
        <x:v>RS-00680-I3</x:v>
      </x:c>
      <x:c r="B1308" s="4" t="str">
        <x:v>RS-00680</x:v>
      </x:c>
      <x:c r="C1308" s="9" t="n">
        <x:v>3</x:v>
      </x:c>
      <x:c r="D1308" s="8" t="n">
        <x:v>45390</x:v>
      </x:c>
      <x:c r="E1308" s="9" t="n">
        <x:v>4159500</x:v>
      </x:c>
      <x:c r="F1308" s="9" t="n">
        <x:v>4159500</x:v>
      </x:c>
    </x:row>
    <x:row r="1309" ht="34" customHeight="1">
      <x:c r="A1309" s="4" t="str">
        <x:v>RS-00680-I4</x:v>
      </x:c>
      <x:c r="B1309" s="4" t="str">
        <x:v>RS-00680</x:v>
      </x:c>
      <x:c r="C1309" s="9" t="n">
        <x:v>4</x:v>
      </x:c>
      <x:c r="D1309" s="8" t="n">
        <x:v>45420</x:v>
      </x:c>
      <x:c r="E1309" s="9" t="n">
        <x:v>4159500</x:v>
      </x:c>
      <x:c r="F1309" s="9" t="n">
        <x:v>4159500</x:v>
      </x:c>
    </x:row>
    <x:row r="1310" ht="34" customHeight="1">
      <x:c r="A1310" s="4" t="str">
        <x:v>RS-00683-I1</x:v>
      </x:c>
      <x:c r="B1310" s="4" t="str">
        <x:v>RS-00683</x:v>
      </x:c>
      <x:c r="C1310" s="9" t="n">
        <x:v>1</x:v>
      </x:c>
      <x:c r="D1310" s="8" t="n">
        <x:v>45333</x:v>
      </x:c>
      <x:c r="E1310" s="9" t="n">
        <x:v>2870250</x:v>
      </x:c>
      <x:c r="F1310" s="9" t="n">
        <x:v>1148100</x:v>
      </x:c>
    </x:row>
    <x:row r="1311" ht="34" customHeight="1">
      <x:c r="A1311" s="4" t="str">
        <x:v>RS-00683-I2</x:v>
      </x:c>
      <x:c r="B1311" s="4" t="str">
        <x:v>RS-00683</x:v>
      </x:c>
      <x:c r="C1311" s="9" t="n">
        <x:v>2</x:v>
      </x:c>
      <x:c r="D1311" s="8" t="n">
        <x:v>45363</x:v>
      </x:c>
      <x:c r="E1311" s="9" t="n">
        <x:v>2870250</x:v>
      </x:c>
      <x:c r="F1311" s="9" t="n">
        <x:v>0</x:v>
      </x:c>
    </x:row>
    <x:row r="1312" ht="34" customHeight="1">
      <x:c r="A1312" s="4" t="str">
        <x:v>RS-00683-I3</x:v>
      </x:c>
      <x:c r="B1312" s="4" t="str">
        <x:v>RS-00683</x:v>
      </x:c>
      <x:c r="C1312" s="9" t="n">
        <x:v>3</x:v>
      </x:c>
      <x:c r="D1312" s="8" t="n">
        <x:v>45393</x:v>
      </x:c>
      <x:c r="E1312" s="9" t="n">
        <x:v>2870250</x:v>
      </x:c>
      <x:c r="F1312" s="9" t="n">
        <x:v>0</x:v>
      </x:c>
    </x:row>
    <x:row r="1313" ht="34" customHeight="1">
      <x:c r="A1313" s="4" t="str">
        <x:v>RS-00683-I4</x:v>
      </x:c>
      <x:c r="B1313" s="4" t="str">
        <x:v>RS-00683</x:v>
      </x:c>
      <x:c r="C1313" s="9" t="n">
        <x:v>4</x:v>
      </x:c>
      <x:c r="D1313" s="8" t="n">
        <x:v>45423</x:v>
      </x:c>
      <x:c r="E1313" s="9" t="n">
        <x:v>2870250</x:v>
      </x:c>
      <x:c r="F1313" s="9" t="n">
        <x:v>0</x:v>
      </x:c>
    </x:row>
    <x:row r="1314" ht="34" customHeight="1">
      <x:c r="A1314" s="4" t="str">
        <x:v>RS-00684-I1</x:v>
      </x:c>
      <x:c r="B1314" s="4" t="str">
        <x:v>RS-00684</x:v>
      </x:c>
      <x:c r="C1314" s="9" t="n">
        <x:v>1</x:v>
      </x:c>
      <x:c r="D1314" s="8" t="n">
        <x:v>45334</x:v>
      </x:c>
      <x:c r="E1314" s="9" t="n">
        <x:v>5429000</x:v>
      </x:c>
      <x:c r="F1314" s="9" t="n">
        <x:v>5429000</x:v>
      </x:c>
    </x:row>
    <x:row r="1315" ht="34" customHeight="1">
      <x:c r="A1315" s="4" t="str">
        <x:v>RS-00684-I2</x:v>
      </x:c>
      <x:c r="B1315" s="4" t="str">
        <x:v>RS-00684</x:v>
      </x:c>
      <x:c r="C1315" s="9" t="n">
        <x:v>2</x:v>
      </x:c>
      <x:c r="D1315" s="8" t="n">
        <x:v>45364</x:v>
      </x:c>
      <x:c r="E1315" s="9" t="n">
        <x:v>5429000</x:v>
      </x:c>
      <x:c r="F1315" s="9" t="n">
        <x:v>5429000</x:v>
      </x:c>
    </x:row>
    <x:row r="1316" ht="34" customHeight="1">
      <x:c r="A1316" s="4" t="str">
        <x:v>RS-00684-I3</x:v>
      </x:c>
      <x:c r="B1316" s="4" t="str">
        <x:v>RS-00684</x:v>
      </x:c>
      <x:c r="C1316" s="9" t="n">
        <x:v>3</x:v>
      </x:c>
      <x:c r="D1316" s="8" t="n">
        <x:v>45394</x:v>
      </x:c>
      <x:c r="E1316" s="9" t="n">
        <x:v>5429000</x:v>
      </x:c>
      <x:c r="F1316" s="9" t="n">
        <x:v>0</x:v>
      </x:c>
    </x:row>
    <x:row r="1317" ht="34" customHeight="1">
      <x:c r="A1317" s="4" t="str">
        <x:v>RS-00684-I4</x:v>
      </x:c>
      <x:c r="B1317" s="4" t="str">
        <x:v>RS-00684</x:v>
      </x:c>
      <x:c r="C1317" s="9" t="n">
        <x:v>4</x:v>
      </x:c>
      <x:c r="D1317" s="8" t="n">
        <x:v>45424</x:v>
      </x:c>
      <x:c r="E1317" s="9" t="n">
        <x:v>5429000</x:v>
      </x:c>
      <x:c r="F1317" s="9" t="n">
        <x:v>0</x:v>
      </x:c>
    </x:row>
    <x:row r="1318" ht="34" customHeight="1">
      <x:c r="A1318" s="4" t="str">
        <x:v>RS-00686-I1</x:v>
      </x:c>
      <x:c r="B1318" s="4" t="str">
        <x:v>RS-00686</x:v>
      </x:c>
      <x:c r="C1318" s="9" t="n">
        <x:v>1</x:v>
      </x:c>
      <x:c r="D1318" s="8" t="n">
        <x:v>45336</x:v>
      </x:c>
      <x:c r="E1318" s="9" t="n">
        <x:v>4347500</x:v>
      </x:c>
      <x:c r="F1318" s="9" t="n">
        <x:v>4347500</x:v>
      </x:c>
    </x:row>
    <x:row r="1319" ht="34" customHeight="1">
      <x:c r="A1319" s="4" t="str">
        <x:v>RS-00686-I2</x:v>
      </x:c>
      <x:c r="B1319" s="4" t="str">
        <x:v>RS-00686</x:v>
      </x:c>
      <x:c r="C1319" s="9" t="n">
        <x:v>2</x:v>
      </x:c>
      <x:c r="D1319" s="8" t="n">
        <x:v>45366</x:v>
      </x:c>
      <x:c r="E1319" s="9" t="n">
        <x:v>4347500</x:v>
      </x:c>
      <x:c r="F1319" s="9" t="n">
        <x:v>0</x:v>
      </x:c>
    </x:row>
    <x:row r="1320" ht="34" customHeight="1">
      <x:c r="A1320" s="4" t="str">
        <x:v>RS-00686-I3</x:v>
      </x:c>
      <x:c r="B1320" s="4" t="str">
        <x:v>RS-00686</x:v>
      </x:c>
      <x:c r="C1320" s="9" t="n">
        <x:v>3</x:v>
      </x:c>
      <x:c r="D1320" s="8" t="n">
        <x:v>45396</x:v>
      </x:c>
      <x:c r="E1320" s="9" t="n">
        <x:v>4347500</x:v>
      </x:c>
      <x:c r="F1320" s="9" t="n">
        <x:v>0</x:v>
      </x:c>
    </x:row>
    <x:row r="1321" ht="34" customHeight="1">
      <x:c r="A1321" s="4" t="str">
        <x:v>RS-00686-I4</x:v>
      </x:c>
      <x:c r="B1321" s="4" t="str">
        <x:v>RS-00686</x:v>
      </x:c>
      <x:c r="C1321" s="9" t="n">
        <x:v>4</x:v>
      </x:c>
      <x:c r="D1321" s="8" t="n">
        <x:v>45426</x:v>
      </x:c>
      <x:c r="E1321" s="9" t="n">
        <x:v>4347500</x:v>
      </x:c>
      <x:c r="F1321" s="9" t="n">
        <x:v>0</x:v>
      </x:c>
    </x:row>
    <x:row r="1322" ht="34" customHeight="1">
      <x:c r="A1322" s="4" t="str">
        <x:v>RS-00687-I1</x:v>
      </x:c>
      <x:c r="B1322" s="4" t="str">
        <x:v>RS-00687</x:v>
      </x:c>
      <x:c r="C1322" s="9" t="n">
        <x:v>1</x:v>
      </x:c>
      <x:c r="D1322" s="8" t="n">
        <x:v>45337</x:v>
      </x:c>
      <x:c r="E1322" s="9" t="n">
        <x:v>2352000</x:v>
      </x:c>
      <x:c r="F1322" s="9" t="n">
        <x:v>2352000</x:v>
      </x:c>
    </x:row>
    <x:row r="1323" ht="34" customHeight="1">
      <x:c r="A1323" s="4" t="str">
        <x:v>RS-00687-I2</x:v>
      </x:c>
      <x:c r="B1323" s="4" t="str">
        <x:v>RS-00687</x:v>
      </x:c>
      <x:c r="C1323" s="9" t="n">
        <x:v>2</x:v>
      </x:c>
      <x:c r="D1323" s="8" t="n">
        <x:v>45367</x:v>
      </x:c>
      <x:c r="E1323" s="9" t="n">
        <x:v>2352000</x:v>
      </x:c>
      <x:c r="F1323" s="9" t="n">
        <x:v>2352000</x:v>
      </x:c>
    </x:row>
    <x:row r="1324" ht="34" customHeight="1">
      <x:c r="A1324" s="4" t="str">
        <x:v>RS-00687-I3</x:v>
      </x:c>
      <x:c r="B1324" s="4" t="str">
        <x:v>RS-00687</x:v>
      </x:c>
      <x:c r="C1324" s="9" t="n">
        <x:v>3</x:v>
      </x:c>
      <x:c r="D1324" s="8" t="n">
        <x:v>45397</x:v>
      </x:c>
      <x:c r="E1324" s="9" t="n">
        <x:v>2352000</x:v>
      </x:c>
      <x:c r="F1324" s="9" t="n">
        <x:v>0</x:v>
      </x:c>
    </x:row>
    <x:row r="1325" ht="34" customHeight="1">
      <x:c r="A1325" s="4" t="str">
        <x:v>RS-00687-I4</x:v>
      </x:c>
      <x:c r="B1325" s="4" t="str">
        <x:v>RS-00687</x:v>
      </x:c>
      <x:c r="C1325" s="9" t="n">
        <x:v>4</x:v>
      </x:c>
      <x:c r="D1325" s="8" t="n">
        <x:v>45427</x:v>
      </x:c>
      <x:c r="E1325" s="9" t="n">
        <x:v>2352000</x:v>
      </x:c>
      <x:c r="F1325" s="9" t="n">
        <x:v>0</x:v>
      </x:c>
    </x:row>
    <x:row r="1326" ht="34" customHeight="1">
      <x:c r="A1326" s="4" t="str">
        <x:v>RS-00688-I1</x:v>
      </x:c>
      <x:c r="B1326" s="4" t="str">
        <x:v>RS-00688</x:v>
      </x:c>
      <x:c r="C1326" s="9" t="n">
        <x:v>1</x:v>
      </x:c>
      <x:c r="D1326" s="8" t="n">
        <x:v>45338</x:v>
      </x:c>
      <x:c r="E1326" s="9" t="n">
        <x:v>3479000</x:v>
      </x:c>
      <x:c r="F1326" s="9" t="n">
        <x:v>3479000</x:v>
      </x:c>
    </x:row>
    <x:row r="1327" ht="34" customHeight="1">
      <x:c r="A1327" s="4" t="str">
        <x:v>RS-00688-I2</x:v>
      </x:c>
      <x:c r="B1327" s="4" t="str">
        <x:v>RS-00688</x:v>
      </x:c>
      <x:c r="C1327" s="9" t="n">
        <x:v>2</x:v>
      </x:c>
      <x:c r="D1327" s="8" t="n">
        <x:v>45368</x:v>
      </x:c>
      <x:c r="E1327" s="9" t="n">
        <x:v>3479000</x:v>
      </x:c>
      <x:c r="F1327" s="9" t="n">
        <x:v>3479000</x:v>
      </x:c>
    </x:row>
    <x:row r="1328" ht="34" customHeight="1">
      <x:c r="A1328" s="4" t="str">
        <x:v>RS-00688-I3</x:v>
      </x:c>
      <x:c r="B1328" s="4" t="str">
        <x:v>RS-00688</x:v>
      </x:c>
      <x:c r="C1328" s="9" t="n">
        <x:v>3</x:v>
      </x:c>
      <x:c r="D1328" s="8" t="n">
        <x:v>45398</x:v>
      </x:c>
      <x:c r="E1328" s="9" t="n">
        <x:v>3479000</x:v>
      </x:c>
      <x:c r="F1328" s="9" t="n">
        <x:v>0</x:v>
      </x:c>
    </x:row>
    <x:row r="1329" ht="34" customHeight="1">
      <x:c r="A1329" s="4" t="str">
        <x:v>RS-00688-I4</x:v>
      </x:c>
      <x:c r="B1329" s="4" t="str">
        <x:v>RS-00688</x:v>
      </x:c>
      <x:c r="C1329" s="9" t="n">
        <x:v>4</x:v>
      </x:c>
      <x:c r="D1329" s="8" t="n">
        <x:v>45428</x:v>
      </x:c>
      <x:c r="E1329" s="9" t="n">
        <x:v>3479000</x:v>
      </x:c>
      <x:c r="F1329" s="9" t="n">
        <x:v>0</x:v>
      </x:c>
    </x:row>
    <x:row r="1330" ht="34" customHeight="1">
      <x:c r="A1330" s="4" t="str">
        <x:v>RS-00691-I1</x:v>
      </x:c>
      <x:c r="B1330" s="4" t="str">
        <x:v>RS-00691</x:v>
      </x:c>
      <x:c r="C1330" s="9" t="n">
        <x:v>1</x:v>
      </x:c>
      <x:c r="D1330" s="8" t="n">
        <x:v>45341</x:v>
      </x:c>
      <x:c r="E1330" s="9" t="n">
        <x:v>3822000</x:v>
      </x:c>
      <x:c r="F1330" s="9" t="n">
        <x:v>3822000</x:v>
      </x:c>
    </x:row>
    <x:row r="1331" ht="34" customHeight="1">
      <x:c r="A1331" s="4" t="str">
        <x:v>RS-00691-I2</x:v>
      </x:c>
      <x:c r="B1331" s="4" t="str">
        <x:v>RS-00691</x:v>
      </x:c>
      <x:c r="C1331" s="9" t="n">
        <x:v>2</x:v>
      </x:c>
      <x:c r="D1331" s="8" t="n">
        <x:v>45371</x:v>
      </x:c>
      <x:c r="E1331" s="9" t="n">
        <x:v>3822000</x:v>
      </x:c>
      <x:c r="F1331" s="9" t="n">
        <x:v>3822000</x:v>
      </x:c>
    </x:row>
    <x:row r="1332" ht="34" customHeight="1">
      <x:c r="A1332" s="4" t="str">
        <x:v>RS-00691-I3</x:v>
      </x:c>
      <x:c r="B1332" s="4" t="str">
        <x:v>RS-00691</x:v>
      </x:c>
      <x:c r="C1332" s="9" t="n">
        <x:v>3</x:v>
      </x:c>
      <x:c r="D1332" s="8" t="n">
        <x:v>45401</x:v>
      </x:c>
      <x:c r="E1332" s="9" t="n">
        <x:v>3822000</x:v>
      </x:c>
      <x:c r="F1332" s="9" t="n">
        <x:v>3822000</x:v>
      </x:c>
    </x:row>
    <x:row r="1333" ht="34" customHeight="1">
      <x:c r="A1333" s="4" t="str">
        <x:v>RS-00691-I4</x:v>
      </x:c>
      <x:c r="B1333" s="4" t="str">
        <x:v>RS-00691</x:v>
      </x:c>
      <x:c r="C1333" s="9" t="n">
        <x:v>4</x:v>
      </x:c>
      <x:c r="D1333" s="8" t="n">
        <x:v>45431</x:v>
      </x:c>
      <x:c r="E1333" s="9" t="n">
        <x:v>3822000</x:v>
      </x:c>
      <x:c r="F1333" s="9" t="n">
        <x:v>3822000</x:v>
      </x:c>
    </x:row>
    <x:row r="1334" ht="34" customHeight="1">
      <x:c r="A1334" s="4" t="str">
        <x:v>RS-00697-I1</x:v>
      </x:c>
      <x:c r="B1334" s="4" t="str">
        <x:v>RS-00697</x:v>
      </x:c>
      <x:c r="C1334" s="9" t="n">
        <x:v>1</x:v>
      </x:c>
      <x:c r="D1334" s="8" t="n">
        <x:v>45347</x:v>
      </x:c>
      <x:c r="E1334" s="9" t="n">
        <x:v>4465000</x:v>
      </x:c>
      <x:c r="F1334" s="9" t="n">
        <x:v>4465000</x:v>
      </x:c>
    </x:row>
    <x:row r="1335" ht="34" customHeight="1">
      <x:c r="A1335" s="4" t="str">
        <x:v>RS-00697-I2</x:v>
      </x:c>
      <x:c r="B1335" s="4" t="str">
        <x:v>RS-00697</x:v>
      </x:c>
      <x:c r="C1335" s="9" t="n">
        <x:v>2</x:v>
      </x:c>
      <x:c r="D1335" s="8" t="n">
        <x:v>45377</x:v>
      </x:c>
      <x:c r="E1335" s="9" t="n">
        <x:v>4465000</x:v>
      </x:c>
      <x:c r="F1335" s="9" t="n">
        <x:v>0</x:v>
      </x:c>
    </x:row>
    <x:row r="1336" ht="34" customHeight="1">
      <x:c r="A1336" s="4" t="str">
        <x:v>RS-00697-I3</x:v>
      </x:c>
      <x:c r="B1336" s="4" t="str">
        <x:v>RS-00697</x:v>
      </x:c>
      <x:c r="C1336" s="9" t="n">
        <x:v>3</x:v>
      </x:c>
      <x:c r="D1336" s="8" t="n">
        <x:v>45407</x:v>
      </x:c>
      <x:c r="E1336" s="9" t="n">
        <x:v>4465000</x:v>
      </x:c>
      <x:c r="F1336" s="9" t="n">
        <x:v>0</x:v>
      </x:c>
    </x:row>
    <x:row r="1337" ht="34" customHeight="1">
      <x:c r="A1337" s="4" t="str">
        <x:v>RS-00697-I4</x:v>
      </x:c>
      <x:c r="B1337" s="4" t="str">
        <x:v>RS-00697</x:v>
      </x:c>
      <x:c r="C1337" s="9" t="n">
        <x:v>4</x:v>
      </x:c>
      <x:c r="D1337" s="8" t="n">
        <x:v>45437</x:v>
      </x:c>
      <x:c r="E1337" s="9" t="n">
        <x:v>4465000</x:v>
      </x:c>
      <x:c r="F1337" s="9" t="n">
        <x:v>0</x:v>
      </x:c>
    </x:row>
    <x:row r="1338" ht="34" customHeight="1">
      <x:c r="A1338" s="4" t="str">
        <x:v>RS-00698-I1</x:v>
      </x:c>
      <x:c r="B1338" s="4" t="str">
        <x:v>RS-00698</x:v>
      </x:c>
      <x:c r="C1338" s="9" t="n">
        <x:v>1</x:v>
      </x:c>
      <x:c r="D1338" s="8" t="n">
        <x:v>45348</x:v>
      </x:c>
      <x:c r="E1338" s="9" t="n">
        <x:v>783750</x:v>
      </x:c>
      <x:c r="F1338" s="9" t="n">
        <x:v>313500</x:v>
      </x:c>
    </x:row>
    <x:row r="1339" ht="34" customHeight="1">
      <x:c r="A1339" s="4" t="str">
        <x:v>RS-00698-I2</x:v>
      </x:c>
      <x:c r="B1339" s="4" t="str">
        <x:v>RS-00698</x:v>
      </x:c>
      <x:c r="C1339" s="9" t="n">
        <x:v>2</x:v>
      </x:c>
      <x:c r="D1339" s="8" t="n">
        <x:v>45378</x:v>
      </x:c>
      <x:c r="E1339" s="9" t="n">
        <x:v>783750</x:v>
      </x:c>
      <x:c r="F1339" s="9" t="n">
        <x:v>0</x:v>
      </x:c>
    </x:row>
    <x:row r="1340" ht="34" customHeight="1">
      <x:c r="A1340" s="4" t="str">
        <x:v>RS-00698-I3</x:v>
      </x:c>
      <x:c r="B1340" s="4" t="str">
        <x:v>RS-00698</x:v>
      </x:c>
      <x:c r="C1340" s="9" t="n">
        <x:v>3</x:v>
      </x:c>
      <x:c r="D1340" s="8" t="n">
        <x:v>45408</x:v>
      </x:c>
      <x:c r="E1340" s="9" t="n">
        <x:v>783750</x:v>
      </x:c>
      <x:c r="F1340" s="9" t="n">
        <x:v>0</x:v>
      </x:c>
    </x:row>
    <x:row r="1341" ht="34" customHeight="1">
      <x:c r="A1341" s="4" t="str">
        <x:v>RS-00698-I4</x:v>
      </x:c>
      <x:c r="B1341" s="4" t="str">
        <x:v>RS-00698</x:v>
      </x:c>
      <x:c r="C1341" s="9" t="n">
        <x:v>4</x:v>
      </x:c>
      <x:c r="D1341" s="8" t="n">
        <x:v>45438</x:v>
      </x:c>
      <x:c r="E1341" s="9" t="n">
        <x:v>783750</x:v>
      </x:c>
      <x:c r="F1341" s="9" t="n">
        <x:v>0</x:v>
      </x:c>
    </x:row>
    <x:row r="1342" ht="34" customHeight="1">
      <x:c r="A1342" s="4" t="str">
        <x:v>RS-00700-I1</x:v>
      </x:c>
      <x:c r="B1342" s="4" t="str">
        <x:v>RS-00700</x:v>
      </x:c>
      <x:c r="C1342" s="9" t="n">
        <x:v>1</x:v>
      </x:c>
      <x:c r="D1342" s="8" t="n">
        <x:v>45350</x:v>
      </x:c>
      <x:c r="E1342" s="9" t="n">
        <x:v>4590000</x:v>
      </x:c>
      <x:c r="F1342" s="9" t="n">
        <x:v>4590000</x:v>
      </x:c>
    </x:row>
    <x:row r="1343" ht="34" customHeight="1">
      <x:c r="A1343" s="4" t="str">
        <x:v>RS-00700-I2</x:v>
      </x:c>
      <x:c r="B1343" s="4" t="str">
        <x:v>RS-00700</x:v>
      </x:c>
      <x:c r="C1343" s="9" t="n">
        <x:v>2</x:v>
      </x:c>
      <x:c r="D1343" s="8" t="n">
        <x:v>45380</x:v>
      </x:c>
      <x:c r="E1343" s="9" t="n">
        <x:v>4590000</x:v>
      </x:c>
      <x:c r="F1343" s="9" t="n">
        <x:v>4590000</x:v>
      </x:c>
    </x:row>
    <x:row r="1344" ht="34" customHeight="1">
      <x:c r="A1344" s="4" t="str">
        <x:v>RS-00700-I3</x:v>
      </x:c>
      <x:c r="B1344" s="4" t="str">
        <x:v>RS-00700</x:v>
      </x:c>
      <x:c r="C1344" s="9" t="n">
        <x:v>3</x:v>
      </x:c>
      <x:c r="D1344" s="8" t="n">
        <x:v>45410</x:v>
      </x:c>
      <x:c r="E1344" s="9" t="n">
        <x:v>4590000</x:v>
      </x:c>
      <x:c r="F1344" s="9" t="n">
        <x:v>4590000</x:v>
      </x:c>
    </x:row>
    <x:row r="1345" ht="34" customHeight="1">
      <x:c r="A1345" s="4" t="str">
        <x:v>RS-00700-I4</x:v>
      </x:c>
      <x:c r="B1345" s="4" t="str">
        <x:v>RS-00700</x:v>
      </x:c>
      <x:c r="C1345" s="9" t="n">
        <x:v>4</x:v>
      </x:c>
      <x:c r="D1345" s="8" t="n">
        <x:v>45440</x:v>
      </x:c>
      <x:c r="E1345" s="9" t="n">
        <x:v>4590000</x:v>
      </x:c>
      <x:c r="F1345" s="9" t="n">
        <x:v>4590000</x:v>
      </x:c>
    </x:row>
    <x:row r="1346" ht="34" customHeight="1">
      <x:c r="A1346" s="4" t="str">
        <x:v>RS-00701-I1</x:v>
      </x:c>
      <x:c r="B1346" s="4" t="str">
        <x:v>RS-00701</x:v>
      </x:c>
      <x:c r="C1346" s="9" t="n">
        <x:v>1</x:v>
      </x:c>
      <x:c r="D1346" s="8" t="n">
        <x:v>45323</x:v>
      </x:c>
      <x:c r="E1346" s="9" t="n">
        <x:v>3266500</x:v>
      </x:c>
      <x:c r="F1346" s="9" t="n">
        <x:v>3266500</x:v>
      </x:c>
    </x:row>
    <x:row r="1347" ht="34" customHeight="1">
      <x:c r="A1347" s="4" t="str">
        <x:v>RS-00701-I2</x:v>
      </x:c>
      <x:c r="B1347" s="4" t="str">
        <x:v>RS-00701</x:v>
      </x:c>
      <x:c r="C1347" s="9" t="n">
        <x:v>2</x:v>
      </x:c>
      <x:c r="D1347" s="8" t="n">
        <x:v>45353</x:v>
      </x:c>
      <x:c r="E1347" s="9" t="n">
        <x:v>3266500</x:v>
      </x:c>
      <x:c r="F1347" s="9" t="n">
        <x:v>3266500</x:v>
      </x:c>
    </x:row>
    <x:row r="1348" ht="34" customHeight="1">
      <x:c r="A1348" s="4" t="str">
        <x:v>RS-00701-I3</x:v>
      </x:c>
      <x:c r="B1348" s="4" t="str">
        <x:v>RS-00701</x:v>
      </x:c>
      <x:c r="C1348" s="9" t="n">
        <x:v>3</x:v>
      </x:c>
      <x:c r="D1348" s="8" t="n">
        <x:v>45383</x:v>
      </x:c>
      <x:c r="E1348" s="9" t="n">
        <x:v>3266500</x:v>
      </x:c>
      <x:c r="F1348" s="9" t="n">
        <x:v>0</x:v>
      </x:c>
    </x:row>
    <x:row r="1349" ht="34" customHeight="1">
      <x:c r="A1349" s="4" t="str">
        <x:v>RS-00701-I4</x:v>
      </x:c>
      <x:c r="B1349" s="4" t="str">
        <x:v>RS-00701</x:v>
      </x:c>
      <x:c r="C1349" s="9" t="n">
        <x:v>4</x:v>
      </x:c>
      <x:c r="D1349" s="8" t="n">
        <x:v>45413</x:v>
      </x:c>
      <x:c r="E1349" s="9" t="n">
        <x:v>3266500</x:v>
      </x:c>
      <x:c r="F1349" s="9" t="n">
        <x:v>0</x:v>
      </x:c>
    </x:row>
    <x:row r="1350" ht="34" customHeight="1">
      <x:c r="A1350" s="4" t="str">
        <x:v>RS-00702-I1</x:v>
      </x:c>
      <x:c r="B1350" s="4" t="str">
        <x:v>RS-00702</x:v>
      </x:c>
      <x:c r="C1350" s="9" t="n">
        <x:v>1</x:v>
      </x:c>
      <x:c r="D1350" s="8" t="n">
        <x:v>45324</x:v>
      </x:c>
      <x:c r="E1350" s="9" t="n">
        <x:v>1122000</x:v>
      </x:c>
      <x:c r="F1350" s="9" t="n">
        <x:v>448800</x:v>
      </x:c>
    </x:row>
    <x:row r="1351" ht="34" customHeight="1">
      <x:c r="A1351" s="4" t="str">
        <x:v>RS-00702-I2</x:v>
      </x:c>
      <x:c r="B1351" s="4" t="str">
        <x:v>RS-00702</x:v>
      </x:c>
      <x:c r="C1351" s="9" t="n">
        <x:v>2</x:v>
      </x:c>
      <x:c r="D1351" s="8" t="n">
        <x:v>45354</x:v>
      </x:c>
      <x:c r="E1351" s="9" t="n">
        <x:v>1122000</x:v>
      </x:c>
      <x:c r="F1351" s="9" t="n">
        <x:v>0</x:v>
      </x:c>
    </x:row>
    <x:row r="1352" ht="34" customHeight="1">
      <x:c r="A1352" s="4" t="str">
        <x:v>RS-00702-I3</x:v>
      </x:c>
      <x:c r="B1352" s="4" t="str">
        <x:v>RS-00702</x:v>
      </x:c>
      <x:c r="C1352" s="9" t="n">
        <x:v>3</x:v>
      </x:c>
      <x:c r="D1352" s="8" t="n">
        <x:v>45384</x:v>
      </x:c>
      <x:c r="E1352" s="9" t="n">
        <x:v>1122000</x:v>
      </x:c>
      <x:c r="F1352" s="9" t="n">
        <x:v>0</x:v>
      </x:c>
    </x:row>
    <x:row r="1353" ht="34" customHeight="1">
      <x:c r="A1353" s="4" t="str">
        <x:v>RS-00702-I4</x:v>
      </x:c>
      <x:c r="B1353" s="4" t="str">
        <x:v>RS-00702</x:v>
      </x:c>
      <x:c r="C1353" s="9" t="n">
        <x:v>4</x:v>
      </x:c>
      <x:c r="D1353" s="8" t="n">
        <x:v>45414</x:v>
      </x:c>
      <x:c r="E1353" s="9" t="n">
        <x:v>1122000</x:v>
      </x:c>
      <x:c r="F1353" s="9" t="n">
        <x:v>0</x:v>
      </x:c>
    </x:row>
    <x:row r="1354" ht="34" customHeight="1">
      <x:c r="A1354" s="4" t="str">
        <x:v>RS-00706-I1</x:v>
      </x:c>
      <x:c r="B1354" s="4" t="str">
        <x:v>RS-00706</x:v>
      </x:c>
      <x:c r="C1354" s="9" t="n">
        <x:v>1</x:v>
      </x:c>
      <x:c r="D1354" s="8" t="n">
        <x:v>45328</x:v>
      </x:c>
      <x:c r="E1354" s="9" t="n">
        <x:v>4094000</x:v>
      </x:c>
      <x:c r="F1354" s="9" t="n">
        <x:v>4094000</x:v>
      </x:c>
    </x:row>
    <x:row r="1355" ht="34" customHeight="1">
      <x:c r="A1355" s="4" t="str">
        <x:v>RS-00706-I2</x:v>
      </x:c>
      <x:c r="B1355" s="4" t="str">
        <x:v>RS-00706</x:v>
      </x:c>
      <x:c r="C1355" s="9" t="n">
        <x:v>2</x:v>
      </x:c>
      <x:c r="D1355" s="8" t="n">
        <x:v>45358</x:v>
      </x:c>
      <x:c r="E1355" s="9" t="n">
        <x:v>4094000</x:v>
      </x:c>
      <x:c r="F1355" s="9" t="n">
        <x:v>0</x:v>
      </x:c>
    </x:row>
    <x:row r="1356" ht="34" customHeight="1">
      <x:c r="A1356" s="4" t="str">
        <x:v>RS-00706-I3</x:v>
      </x:c>
      <x:c r="B1356" s="4" t="str">
        <x:v>RS-00706</x:v>
      </x:c>
      <x:c r="C1356" s="9" t="n">
        <x:v>3</x:v>
      </x:c>
      <x:c r="D1356" s="8" t="n">
        <x:v>45388</x:v>
      </x:c>
      <x:c r="E1356" s="9" t="n">
        <x:v>4094000</x:v>
      </x:c>
      <x:c r="F1356" s="9" t="n">
        <x:v>0</x:v>
      </x:c>
    </x:row>
    <x:row r="1357" ht="34" customHeight="1">
      <x:c r="A1357" s="4" t="str">
        <x:v>RS-00706-I4</x:v>
      </x:c>
      <x:c r="B1357" s="4" t="str">
        <x:v>RS-00706</x:v>
      </x:c>
      <x:c r="C1357" s="9" t="n">
        <x:v>4</x:v>
      </x:c>
      <x:c r="D1357" s="8" t="n">
        <x:v>45418</x:v>
      </x:c>
      <x:c r="E1357" s="9" t="n">
        <x:v>4094000</x:v>
      </x:c>
      <x:c r="F1357" s="9" t="n">
        <x:v>0</x:v>
      </x:c>
    </x:row>
    <x:row r="1358" ht="34" customHeight="1">
      <x:c r="A1358" s="4" t="str">
        <x:v>RS-00709-I1</x:v>
      </x:c>
      <x:c r="B1358" s="4" t="str">
        <x:v>RS-00709</x:v>
      </x:c>
      <x:c r="C1358" s="9" t="n">
        <x:v>1</x:v>
      </x:c>
      <x:c r="D1358" s="8" t="n">
        <x:v>45331</x:v>
      </x:c>
      <x:c r="E1358" s="9" t="n">
        <x:v>2897500</x:v>
      </x:c>
      <x:c r="F1358" s="9" t="n">
        <x:v>2897500</x:v>
      </x:c>
    </x:row>
    <x:row r="1359" ht="34" customHeight="1">
      <x:c r="A1359" s="4" t="str">
        <x:v>RS-00709-I2</x:v>
      </x:c>
      <x:c r="B1359" s="4" t="str">
        <x:v>RS-00709</x:v>
      </x:c>
      <x:c r="C1359" s="9" t="n">
        <x:v>2</x:v>
      </x:c>
      <x:c r="D1359" s="8" t="n">
        <x:v>45361</x:v>
      </x:c>
      <x:c r="E1359" s="9" t="n">
        <x:v>2897500</x:v>
      </x:c>
      <x:c r="F1359" s="9" t="n">
        <x:v>2897500</x:v>
      </x:c>
    </x:row>
    <x:row r="1360" ht="34" customHeight="1">
      <x:c r="A1360" s="4" t="str">
        <x:v>RS-00709-I3</x:v>
      </x:c>
      <x:c r="B1360" s="4" t="str">
        <x:v>RS-00709</x:v>
      </x:c>
      <x:c r="C1360" s="9" t="n">
        <x:v>3</x:v>
      </x:c>
      <x:c r="D1360" s="8" t="n">
        <x:v>45391</x:v>
      </x:c>
      <x:c r="E1360" s="9" t="n">
        <x:v>2897500</x:v>
      </x:c>
      <x:c r="F1360" s="9" t="n">
        <x:v>2897500</x:v>
      </x:c>
    </x:row>
    <x:row r="1361" ht="34" customHeight="1">
      <x:c r="A1361" s="4" t="str">
        <x:v>RS-00709-I4</x:v>
      </x:c>
      <x:c r="B1361" s="4" t="str">
        <x:v>RS-00709</x:v>
      </x:c>
      <x:c r="C1361" s="9" t="n">
        <x:v>4</x:v>
      </x:c>
      <x:c r="D1361" s="8" t="n">
        <x:v>45421</x:v>
      </x:c>
      <x:c r="E1361" s="9" t="n">
        <x:v>2897500</x:v>
      </x:c>
      <x:c r="F1361" s="9" t="n">
        <x:v>2897500</x:v>
      </x:c>
    </x:row>
    <x:row r="1362" ht="34" customHeight="1">
      <x:c r="A1362" s="4" t="str">
        <x:v>RS-00711-I1</x:v>
      </x:c>
      <x:c r="B1362" s="4" t="str">
        <x:v>RS-00711</x:v>
      </x:c>
      <x:c r="C1362" s="9" t="n">
        <x:v>1</x:v>
      </x:c>
      <x:c r="D1362" s="8" t="n">
        <x:v>45333</x:v>
      </x:c>
      <x:c r="E1362" s="9" t="n">
        <x:v>1336500</x:v>
      </x:c>
      <x:c r="F1362" s="9" t="n">
        <x:v>534600</x:v>
      </x:c>
    </x:row>
    <x:row r="1363" ht="34" customHeight="1">
      <x:c r="A1363" s="4" t="str">
        <x:v>RS-00711-I2</x:v>
      </x:c>
      <x:c r="B1363" s="4" t="str">
        <x:v>RS-00711</x:v>
      </x:c>
      <x:c r="C1363" s="9" t="n">
        <x:v>2</x:v>
      </x:c>
      <x:c r="D1363" s="8" t="n">
        <x:v>45363</x:v>
      </x:c>
      <x:c r="E1363" s="9" t="n">
        <x:v>1336500</x:v>
      </x:c>
      <x:c r="F1363" s="9" t="n">
        <x:v>0</x:v>
      </x:c>
    </x:row>
    <x:row r="1364" ht="34" customHeight="1">
      <x:c r="A1364" s="4" t="str">
        <x:v>RS-00711-I3</x:v>
      </x:c>
      <x:c r="B1364" s="4" t="str">
        <x:v>RS-00711</x:v>
      </x:c>
      <x:c r="C1364" s="9" t="n">
        <x:v>3</x:v>
      </x:c>
      <x:c r="D1364" s="8" t="n">
        <x:v>45393</x:v>
      </x:c>
      <x:c r="E1364" s="9" t="n">
        <x:v>1336500</x:v>
      </x:c>
      <x:c r="F1364" s="9" t="n">
        <x:v>0</x:v>
      </x:c>
    </x:row>
    <x:row r="1365" ht="34" customHeight="1">
      <x:c r="A1365" s="4" t="str">
        <x:v>RS-00711-I4</x:v>
      </x:c>
      <x:c r="B1365" s="4" t="str">
        <x:v>RS-00711</x:v>
      </x:c>
      <x:c r="C1365" s="9" t="n">
        <x:v>4</x:v>
      </x:c>
      <x:c r="D1365" s="8" t="n">
        <x:v>45423</x:v>
      </x:c>
      <x:c r="E1365" s="9" t="n">
        <x:v>1336500</x:v>
      </x:c>
      <x:c r="F1365" s="9" t="n">
        <x:v>0</x:v>
      </x:c>
    </x:row>
    <x:row r="1366" ht="34" customHeight="1">
      <x:c r="A1366" s="4" t="str">
        <x:v>RS-00712-I1</x:v>
      </x:c>
      <x:c r="B1366" s="4" t="str">
        <x:v>RS-00712</x:v>
      </x:c>
      <x:c r="C1366" s="9" t="n">
        <x:v>1</x:v>
      </x:c>
      <x:c r="D1366" s="8" t="n">
        <x:v>45334</x:v>
      </x:c>
      <x:c r="E1366" s="9" t="n">
        <x:v>2871000</x:v>
      </x:c>
      <x:c r="F1366" s="9" t="n">
        <x:v>1148400</x:v>
      </x:c>
    </x:row>
    <x:row r="1367" ht="34" customHeight="1">
      <x:c r="A1367" s="4" t="str">
        <x:v>RS-00712-I2</x:v>
      </x:c>
      <x:c r="B1367" s="4" t="str">
        <x:v>RS-00712</x:v>
      </x:c>
      <x:c r="C1367" s="9" t="n">
        <x:v>2</x:v>
      </x:c>
      <x:c r="D1367" s="8" t="n">
        <x:v>45364</x:v>
      </x:c>
      <x:c r="E1367" s="9" t="n">
        <x:v>2871000</x:v>
      </x:c>
      <x:c r="F1367" s="9" t="n">
        <x:v>0</x:v>
      </x:c>
    </x:row>
    <x:row r="1368" ht="34" customHeight="1">
      <x:c r="A1368" s="4" t="str">
        <x:v>RS-00712-I3</x:v>
      </x:c>
      <x:c r="B1368" s="4" t="str">
        <x:v>RS-00712</x:v>
      </x:c>
      <x:c r="C1368" s="9" t="n">
        <x:v>3</x:v>
      </x:c>
      <x:c r="D1368" s="8" t="n">
        <x:v>45394</x:v>
      </x:c>
      <x:c r="E1368" s="9" t="n">
        <x:v>2871000</x:v>
      </x:c>
      <x:c r="F1368" s="9" t="n">
        <x:v>0</x:v>
      </x:c>
    </x:row>
    <x:row r="1369" ht="34" customHeight="1">
      <x:c r="A1369" s="4" t="str">
        <x:v>RS-00712-I4</x:v>
      </x:c>
      <x:c r="B1369" s="4" t="str">
        <x:v>RS-00712</x:v>
      </x:c>
      <x:c r="C1369" s="9" t="n">
        <x:v>4</x:v>
      </x:c>
      <x:c r="D1369" s="8" t="n">
        <x:v>45424</x:v>
      </x:c>
      <x:c r="E1369" s="9" t="n">
        <x:v>2871000</x:v>
      </x:c>
      <x:c r="F1369" s="9" t="n">
        <x:v>0</x:v>
      </x:c>
    </x:row>
    <x:row r="1370" ht="34" customHeight="1">
      <x:c r="A1370" s="4" t="str">
        <x:v>RS-00714-I1</x:v>
      </x:c>
      <x:c r="B1370" s="4" t="str">
        <x:v>RS-00714</x:v>
      </x:c>
      <x:c r="C1370" s="9" t="n">
        <x:v>1</x:v>
      </x:c>
      <x:c r="D1370" s="8" t="n">
        <x:v>45336</x:v>
      </x:c>
      <x:c r="E1370" s="9" t="n">
        <x:v>4370000</x:v>
      </x:c>
      <x:c r="F1370" s="9" t="n">
        <x:v>4370000</x:v>
      </x:c>
    </x:row>
    <x:row r="1371" ht="34" customHeight="1">
      <x:c r="A1371" s="4" t="str">
        <x:v>RS-00714-I2</x:v>
      </x:c>
      <x:c r="B1371" s="4" t="str">
        <x:v>RS-00714</x:v>
      </x:c>
      <x:c r="C1371" s="9" t="n">
        <x:v>2</x:v>
      </x:c>
      <x:c r="D1371" s="8" t="n">
        <x:v>45366</x:v>
      </x:c>
      <x:c r="E1371" s="9" t="n">
        <x:v>4370000</x:v>
      </x:c>
      <x:c r="F1371" s="9" t="n">
        <x:v>0</x:v>
      </x:c>
    </x:row>
    <x:row r="1372" ht="34" customHeight="1">
      <x:c r="A1372" s="4" t="str">
        <x:v>RS-00714-I3</x:v>
      </x:c>
      <x:c r="B1372" s="4" t="str">
        <x:v>RS-00714</x:v>
      </x:c>
      <x:c r="C1372" s="9" t="n">
        <x:v>3</x:v>
      </x:c>
      <x:c r="D1372" s="8" t="n">
        <x:v>45396</x:v>
      </x:c>
      <x:c r="E1372" s="9" t="n">
        <x:v>4370000</x:v>
      </x:c>
      <x:c r="F1372" s="9" t="n">
        <x:v>0</x:v>
      </x:c>
    </x:row>
    <x:row r="1373" ht="34" customHeight="1">
      <x:c r="A1373" s="4" t="str">
        <x:v>RS-00714-I4</x:v>
      </x:c>
      <x:c r="B1373" s="4" t="str">
        <x:v>RS-00714</x:v>
      </x:c>
      <x:c r="C1373" s="9" t="n">
        <x:v>4</x:v>
      </x:c>
      <x:c r="D1373" s="8" t="n">
        <x:v>45426</x:v>
      </x:c>
      <x:c r="E1373" s="9" t="n">
        <x:v>4370000</x:v>
      </x:c>
      <x:c r="F1373" s="9" t="n">
        <x:v>0</x:v>
      </x:c>
    </x:row>
    <x:row r="1374" ht="34" customHeight="1">
      <x:c r="A1374" s="4" t="str">
        <x:v>RS-00715-I1</x:v>
      </x:c>
      <x:c r="B1374" s="4" t="str">
        <x:v>RS-00715</x:v>
      </x:c>
      <x:c r="C1374" s="9" t="n">
        <x:v>1</x:v>
      </x:c>
      <x:c r="D1374" s="8" t="n">
        <x:v>45337</x:v>
      </x:c>
      <x:c r="E1374" s="9" t="n">
        <x:v>1806750</x:v>
      </x:c>
      <x:c r="F1374" s="9" t="n">
        <x:v>1806750</x:v>
      </x:c>
    </x:row>
    <x:row r="1375" ht="34" customHeight="1">
      <x:c r="A1375" s="4" t="str">
        <x:v>RS-00715-I2</x:v>
      </x:c>
      <x:c r="B1375" s="4" t="str">
        <x:v>RS-00715</x:v>
      </x:c>
      <x:c r="C1375" s="9" t="n">
        <x:v>2</x:v>
      </x:c>
      <x:c r="D1375" s="8" t="n">
        <x:v>45367</x:v>
      </x:c>
      <x:c r="E1375" s="9" t="n">
        <x:v>1806750</x:v>
      </x:c>
      <x:c r="F1375" s="9" t="n">
        <x:v>1806750</x:v>
      </x:c>
    </x:row>
    <x:row r="1376" ht="34" customHeight="1">
      <x:c r="A1376" s="4" t="str">
        <x:v>RS-00715-I3</x:v>
      </x:c>
      <x:c r="B1376" s="4" t="str">
        <x:v>RS-00715</x:v>
      </x:c>
      <x:c r="C1376" s="9" t="n">
        <x:v>3</x:v>
      </x:c>
      <x:c r="D1376" s="8" t="n">
        <x:v>45397</x:v>
      </x:c>
      <x:c r="E1376" s="9" t="n">
        <x:v>1806750</x:v>
      </x:c>
      <x:c r="F1376" s="9" t="n">
        <x:v>1806750</x:v>
      </x:c>
    </x:row>
    <x:row r="1377" ht="34" customHeight="1">
      <x:c r="A1377" s="4" t="str">
        <x:v>RS-00715-I4</x:v>
      </x:c>
      <x:c r="B1377" s="4" t="str">
        <x:v>RS-00715</x:v>
      </x:c>
      <x:c r="C1377" s="9" t="n">
        <x:v>4</x:v>
      </x:c>
      <x:c r="D1377" s="8" t="n">
        <x:v>45427</x:v>
      </x:c>
      <x:c r="E1377" s="9" t="n">
        <x:v>1806750</x:v>
      </x:c>
      <x:c r="F1377" s="9" t="n">
        <x:v>1806750</x:v>
      </x:c>
    </x:row>
    <x:row r="1378" ht="34" customHeight="1">
      <x:c r="A1378" s="4" t="str">
        <x:v>RS-00716-I1</x:v>
      </x:c>
      <x:c r="B1378" s="4" t="str">
        <x:v>RS-00716</x:v>
      </x:c>
      <x:c r="C1378" s="9" t="n">
        <x:v>1</x:v>
      </x:c>
      <x:c r="D1378" s="8" t="n">
        <x:v>45338</x:v>
      </x:c>
      <x:c r="E1378" s="9" t="n">
        <x:v>5473500</x:v>
      </x:c>
      <x:c r="F1378" s="9" t="n">
        <x:v>2189400</x:v>
      </x:c>
    </x:row>
    <x:row r="1379" ht="34" customHeight="1">
      <x:c r="A1379" s="4" t="str">
        <x:v>RS-00716-I2</x:v>
      </x:c>
      <x:c r="B1379" s="4" t="str">
        <x:v>RS-00716</x:v>
      </x:c>
      <x:c r="C1379" s="9" t="n">
        <x:v>2</x:v>
      </x:c>
      <x:c r="D1379" s="8" t="n">
        <x:v>45368</x:v>
      </x:c>
      <x:c r="E1379" s="9" t="n">
        <x:v>5473500</x:v>
      </x:c>
      <x:c r="F1379" s="9" t="n">
        <x:v>0</x:v>
      </x:c>
    </x:row>
    <x:row r="1380" ht="34" customHeight="1">
      <x:c r="A1380" s="4" t="str">
        <x:v>RS-00716-I3</x:v>
      </x:c>
      <x:c r="B1380" s="4" t="str">
        <x:v>RS-00716</x:v>
      </x:c>
      <x:c r="C1380" s="9" t="n">
        <x:v>3</x:v>
      </x:c>
      <x:c r="D1380" s="8" t="n">
        <x:v>45398</x:v>
      </x:c>
      <x:c r="E1380" s="9" t="n">
        <x:v>5473500</x:v>
      </x:c>
      <x:c r="F1380" s="9" t="n">
        <x:v>0</x:v>
      </x:c>
    </x:row>
    <x:row r="1381" ht="34" customHeight="1">
      <x:c r="A1381" s="4" t="str">
        <x:v>RS-00716-I4</x:v>
      </x:c>
      <x:c r="B1381" s="4" t="str">
        <x:v>RS-00716</x:v>
      </x:c>
      <x:c r="C1381" s="9" t="n">
        <x:v>4</x:v>
      </x:c>
      <x:c r="D1381" s="8" t="n">
        <x:v>45428</x:v>
      </x:c>
      <x:c r="E1381" s="9" t="n">
        <x:v>5473500</x:v>
      </x:c>
      <x:c r="F1381" s="9" t="n">
        <x:v>0</x:v>
      </x:c>
    </x:row>
    <x:row r="1382" ht="34" customHeight="1">
      <x:c r="A1382" s="4" t="str">
        <x:v>RS-00717-I1</x:v>
      </x:c>
      <x:c r="B1382" s="4" t="str">
        <x:v>RS-00717</x:v>
      </x:c>
      <x:c r="C1382" s="9" t="n">
        <x:v>1</x:v>
      </x:c>
      <x:c r="D1382" s="8" t="n">
        <x:v>45339</x:v>
      </x:c>
      <x:c r="E1382" s="9" t="n">
        <x:v>2066250</x:v>
      </x:c>
      <x:c r="F1382" s="9" t="n">
        <x:v>826500</x:v>
      </x:c>
    </x:row>
    <x:row r="1383" ht="34" customHeight="1">
      <x:c r="A1383" s="4" t="str">
        <x:v>RS-00717-I2</x:v>
      </x:c>
      <x:c r="B1383" s="4" t="str">
        <x:v>RS-00717</x:v>
      </x:c>
      <x:c r="C1383" s="9" t="n">
        <x:v>2</x:v>
      </x:c>
      <x:c r="D1383" s="8" t="n">
        <x:v>45369</x:v>
      </x:c>
      <x:c r="E1383" s="9" t="n">
        <x:v>2066250</x:v>
      </x:c>
      <x:c r="F1383" s="9" t="n">
        <x:v>0</x:v>
      </x:c>
    </x:row>
    <x:row r="1384" ht="34" customHeight="1">
      <x:c r="A1384" s="4" t="str">
        <x:v>RS-00717-I3</x:v>
      </x:c>
      <x:c r="B1384" s="4" t="str">
        <x:v>RS-00717</x:v>
      </x:c>
      <x:c r="C1384" s="9" t="n">
        <x:v>3</x:v>
      </x:c>
      <x:c r="D1384" s="8" t="n">
        <x:v>45399</x:v>
      </x:c>
      <x:c r="E1384" s="9" t="n">
        <x:v>2066250</x:v>
      </x:c>
      <x:c r="F1384" s="9" t="n">
        <x:v>0</x:v>
      </x:c>
    </x:row>
    <x:row r="1385" ht="34" customHeight="1">
      <x:c r="A1385" s="4" t="str">
        <x:v>RS-00717-I4</x:v>
      </x:c>
      <x:c r="B1385" s="4" t="str">
        <x:v>RS-00717</x:v>
      </x:c>
      <x:c r="C1385" s="9" t="n">
        <x:v>4</x:v>
      </x:c>
      <x:c r="D1385" s="8" t="n">
        <x:v>45429</x:v>
      </x:c>
      <x:c r="E1385" s="9" t="n">
        <x:v>2066250</x:v>
      </x:c>
      <x:c r="F1385" s="9" t="n">
        <x:v>0</x:v>
      </x:c>
    </x:row>
    <x:row r="1386" ht="34" customHeight="1">
      <x:c r="A1386" s="4" t="str">
        <x:v>RS-00720-I1</x:v>
      </x:c>
      <x:c r="B1386" s="4" t="str">
        <x:v>RS-00720</x:v>
      </x:c>
      <x:c r="C1386" s="9" t="n">
        <x:v>1</x:v>
      </x:c>
      <x:c r="D1386" s="8" t="n">
        <x:v>45342</x:v>
      </x:c>
      <x:c r="E1386" s="9" t="n">
        <x:v>1401250</x:v>
      </x:c>
      <x:c r="F1386" s="9" t="n">
        <x:v>560500</x:v>
      </x:c>
    </x:row>
    <x:row r="1387" ht="34" customHeight="1">
      <x:c r="A1387" s="4" t="str">
        <x:v>RS-00720-I2</x:v>
      </x:c>
      <x:c r="B1387" s="4" t="str">
        <x:v>RS-00720</x:v>
      </x:c>
      <x:c r="C1387" s="9" t="n">
        <x:v>2</x:v>
      </x:c>
      <x:c r="D1387" s="8" t="n">
        <x:v>45372</x:v>
      </x:c>
      <x:c r="E1387" s="9" t="n">
        <x:v>1401250</x:v>
      </x:c>
      <x:c r="F1387" s="9" t="n">
        <x:v>0</x:v>
      </x:c>
    </x:row>
    <x:row r="1388" ht="34" customHeight="1">
      <x:c r="A1388" s="4" t="str">
        <x:v>RS-00720-I3</x:v>
      </x:c>
      <x:c r="B1388" s="4" t="str">
        <x:v>RS-00720</x:v>
      </x:c>
      <x:c r="C1388" s="9" t="n">
        <x:v>3</x:v>
      </x:c>
      <x:c r="D1388" s="8" t="n">
        <x:v>45402</x:v>
      </x:c>
      <x:c r="E1388" s="9" t="n">
        <x:v>1401250</x:v>
      </x:c>
      <x:c r="F1388" s="9" t="n">
        <x:v>0</x:v>
      </x:c>
    </x:row>
    <x:row r="1389" ht="34" customHeight="1">
      <x:c r="A1389" s="4" t="str">
        <x:v>RS-00720-I4</x:v>
      </x:c>
      <x:c r="B1389" s="4" t="str">
        <x:v>RS-00720</x:v>
      </x:c>
      <x:c r="C1389" s="9" t="n">
        <x:v>4</x:v>
      </x:c>
      <x:c r="D1389" s="8" t="n">
        <x:v>45432</x:v>
      </x:c>
      <x:c r="E1389" s="9" t="n">
        <x:v>1401250</x:v>
      </x:c>
      <x:c r="F1389" s="9" t="n">
        <x:v>0</x:v>
      </x:c>
    </x:row>
    <x:row r="1390" ht="34" customHeight="1">
      <x:c r="A1390" s="4" t="str">
        <x:v>RS-00723-I1</x:v>
      </x:c>
      <x:c r="B1390" s="4" t="str">
        <x:v>RS-00723</x:v>
      </x:c>
      <x:c r="C1390" s="9" t="n">
        <x:v>1</x:v>
      </x:c>
      <x:c r="D1390" s="8" t="n">
        <x:v>45345</x:v>
      </x:c>
      <x:c r="E1390" s="9" t="n">
        <x:v>1260000</x:v>
      </x:c>
      <x:c r="F1390" s="9" t="n">
        <x:v>1260000</x:v>
      </x:c>
    </x:row>
    <x:row r="1391" ht="34" customHeight="1">
      <x:c r="A1391" s="4" t="str">
        <x:v>RS-00723-I2</x:v>
      </x:c>
      <x:c r="B1391" s="4" t="str">
        <x:v>RS-00723</x:v>
      </x:c>
      <x:c r="C1391" s="9" t="n">
        <x:v>2</x:v>
      </x:c>
      <x:c r="D1391" s="8" t="n">
        <x:v>45375</x:v>
      </x:c>
      <x:c r="E1391" s="9" t="n">
        <x:v>1260000</x:v>
      </x:c>
      <x:c r="F1391" s="9" t="n">
        <x:v>1260000</x:v>
      </x:c>
    </x:row>
    <x:row r="1392" ht="34" customHeight="1">
      <x:c r="A1392" s="4" t="str">
        <x:v>RS-00723-I3</x:v>
      </x:c>
      <x:c r="B1392" s="4" t="str">
        <x:v>RS-00723</x:v>
      </x:c>
      <x:c r="C1392" s="9" t="n">
        <x:v>3</x:v>
      </x:c>
      <x:c r="D1392" s="8" t="n">
        <x:v>45405</x:v>
      </x:c>
      <x:c r="E1392" s="9" t="n">
        <x:v>1260000</x:v>
      </x:c>
      <x:c r="F1392" s="9" t="n">
        <x:v>0</x:v>
      </x:c>
    </x:row>
    <x:row r="1393" ht="34" customHeight="1">
      <x:c r="A1393" s="4" t="str">
        <x:v>RS-00723-I4</x:v>
      </x:c>
      <x:c r="B1393" s="4" t="str">
        <x:v>RS-00723</x:v>
      </x:c>
      <x:c r="C1393" s="9" t="n">
        <x:v>4</x:v>
      </x:c>
      <x:c r="D1393" s="8" t="n">
        <x:v>45435</x:v>
      </x:c>
      <x:c r="E1393" s="9" t="n">
        <x:v>1260000</x:v>
      </x:c>
      <x:c r="F1393" s="9" t="n">
        <x:v>0</x:v>
      </x:c>
    </x:row>
    <x:row r="1394" ht="34" customHeight="1">
      <x:c r="A1394" s="4" t="str">
        <x:v>RS-00724-I1</x:v>
      </x:c>
      <x:c r="B1394" s="4" t="str">
        <x:v>RS-00724</x:v>
      </x:c>
      <x:c r="C1394" s="9" t="n">
        <x:v>1</x:v>
      </x:c>
      <x:c r="D1394" s="8" t="n">
        <x:v>45346</x:v>
      </x:c>
      <x:c r="E1394" s="9" t="n">
        <x:v>2153250</x:v>
      </x:c>
      <x:c r="F1394" s="9" t="n">
        <x:v>2153250</x:v>
      </x:c>
    </x:row>
    <x:row r="1395" ht="34" customHeight="1">
      <x:c r="A1395" s="4" t="str">
        <x:v>RS-00724-I2</x:v>
      </x:c>
      <x:c r="B1395" s="4" t="str">
        <x:v>RS-00724</x:v>
      </x:c>
      <x:c r="C1395" s="9" t="n">
        <x:v>2</x:v>
      </x:c>
      <x:c r="D1395" s="8" t="n">
        <x:v>45376</x:v>
      </x:c>
      <x:c r="E1395" s="9" t="n">
        <x:v>2153250</x:v>
      </x:c>
      <x:c r="F1395" s="9" t="n">
        <x:v>0</x:v>
      </x:c>
    </x:row>
    <x:row r="1396" ht="34" customHeight="1">
      <x:c r="A1396" s="4" t="str">
        <x:v>RS-00724-I3</x:v>
      </x:c>
      <x:c r="B1396" s="4" t="str">
        <x:v>RS-00724</x:v>
      </x:c>
      <x:c r="C1396" s="9" t="n">
        <x:v>3</x:v>
      </x:c>
      <x:c r="D1396" s="8" t="n">
        <x:v>45406</x:v>
      </x:c>
      <x:c r="E1396" s="9" t="n">
        <x:v>2153250</x:v>
      </x:c>
      <x:c r="F1396" s="9" t="n">
        <x:v>0</x:v>
      </x:c>
    </x:row>
    <x:row r="1397" ht="34" customHeight="1">
      <x:c r="A1397" s="4" t="str">
        <x:v>RS-00724-I4</x:v>
      </x:c>
      <x:c r="B1397" s="4" t="str">
        <x:v>RS-00724</x:v>
      </x:c>
      <x:c r="C1397" s="9" t="n">
        <x:v>4</x:v>
      </x:c>
      <x:c r="D1397" s="8" t="n">
        <x:v>45436</x:v>
      </x:c>
      <x:c r="E1397" s="9" t="n">
        <x:v>2153250</x:v>
      </x:c>
      <x:c r="F1397" s="9" t="n">
        <x:v>0</x:v>
      </x:c>
    </x:row>
    <x:row r="1398" ht="34" customHeight="1">
      <x:c r="A1398" s="4" t="str">
        <x:v>RS-00725-I1</x:v>
      </x:c>
      <x:c r="B1398" s="4" t="str">
        <x:v>RS-00725</x:v>
      </x:c>
      <x:c r="C1398" s="9" t="n">
        <x:v>1</x:v>
      </x:c>
      <x:c r="D1398" s="8" t="n">
        <x:v>45347</x:v>
      </x:c>
      <x:c r="E1398" s="9" t="n">
        <x:v>2255250</x:v>
      </x:c>
      <x:c r="F1398" s="9" t="n">
        <x:v>2255250</x:v>
      </x:c>
    </x:row>
    <x:row r="1399" ht="34" customHeight="1">
      <x:c r="A1399" s="4" t="str">
        <x:v>RS-00725-I2</x:v>
      </x:c>
      <x:c r="B1399" s="4" t="str">
        <x:v>RS-00725</x:v>
      </x:c>
      <x:c r="C1399" s="9" t="n">
        <x:v>2</x:v>
      </x:c>
      <x:c r="D1399" s="8" t="n">
        <x:v>45377</x:v>
      </x:c>
      <x:c r="E1399" s="9" t="n">
        <x:v>2255250</x:v>
      </x:c>
      <x:c r="F1399" s="9" t="n">
        <x:v>2255250</x:v>
      </x:c>
    </x:row>
    <x:row r="1400" ht="34" customHeight="1">
      <x:c r="A1400" s="4" t="str">
        <x:v>RS-00725-I3</x:v>
      </x:c>
      <x:c r="B1400" s="4" t="str">
        <x:v>RS-00725</x:v>
      </x:c>
      <x:c r="C1400" s="9" t="n">
        <x:v>3</x:v>
      </x:c>
      <x:c r="D1400" s="8" t="n">
        <x:v>45407</x:v>
      </x:c>
      <x:c r="E1400" s="9" t="n">
        <x:v>2255250</x:v>
      </x:c>
      <x:c r="F1400" s="9" t="n">
        <x:v>0</x:v>
      </x:c>
    </x:row>
    <x:row r="1401" ht="34" customHeight="1">
      <x:c r="A1401" s="4" t="str">
        <x:v>RS-00725-I4</x:v>
      </x:c>
      <x:c r="B1401" s="4" t="str">
        <x:v>RS-00725</x:v>
      </x:c>
      <x:c r="C1401" s="9" t="n">
        <x:v>4</x:v>
      </x:c>
      <x:c r="D1401" s="8" t="n">
        <x:v>45437</x:v>
      </x:c>
      <x:c r="E1401" s="9" t="n">
        <x:v>2255250</x:v>
      </x:c>
      <x:c r="F1401" s="9" t="n">
        <x:v>0</x:v>
      </x:c>
    </x:row>
    <x:row r="1402" ht="34" customHeight="1">
      <x:c r="A1402" s="4" t="str">
        <x:v>RS-00726-I1</x:v>
      </x:c>
      <x:c r="B1402" s="4" t="str">
        <x:v>RS-00726</x:v>
      </x:c>
      <x:c r="C1402" s="9" t="n">
        <x:v>1</x:v>
      </x:c>
      <x:c r="D1402" s="8" t="n">
        <x:v>45348</x:v>
      </x:c>
      <x:c r="E1402" s="9" t="n">
        <x:v>2024750</x:v>
      </x:c>
      <x:c r="F1402" s="9" t="n">
        <x:v>2024750</x:v>
      </x:c>
    </x:row>
    <x:row r="1403" ht="34" customHeight="1">
      <x:c r="A1403" s="4" t="str">
        <x:v>RS-00726-I2</x:v>
      </x:c>
      <x:c r="B1403" s="4" t="str">
        <x:v>RS-00726</x:v>
      </x:c>
      <x:c r="C1403" s="9" t="n">
        <x:v>2</x:v>
      </x:c>
      <x:c r="D1403" s="8" t="n">
        <x:v>45378</x:v>
      </x:c>
      <x:c r="E1403" s="9" t="n">
        <x:v>2024750</x:v>
      </x:c>
      <x:c r="F1403" s="9" t="n">
        <x:v>2024750</x:v>
      </x:c>
    </x:row>
    <x:row r="1404" ht="34" customHeight="1">
      <x:c r="A1404" s="4" t="str">
        <x:v>RS-00726-I3</x:v>
      </x:c>
      <x:c r="B1404" s="4" t="str">
        <x:v>RS-00726</x:v>
      </x:c>
      <x:c r="C1404" s="9" t="n">
        <x:v>3</x:v>
      </x:c>
      <x:c r="D1404" s="8" t="n">
        <x:v>45408</x:v>
      </x:c>
      <x:c r="E1404" s="9" t="n">
        <x:v>2024750</x:v>
      </x:c>
      <x:c r="F1404" s="9" t="n">
        <x:v>2024750</x:v>
      </x:c>
    </x:row>
    <x:row r="1405" ht="34" customHeight="1">
      <x:c r="A1405" s="4" t="str">
        <x:v>RS-00726-I4</x:v>
      </x:c>
      <x:c r="B1405" s="4" t="str">
        <x:v>RS-00726</x:v>
      </x:c>
      <x:c r="C1405" s="9" t="n">
        <x:v>4</x:v>
      </x:c>
      <x:c r="D1405" s="8" t="n">
        <x:v>45438</x:v>
      </x:c>
      <x:c r="E1405" s="9" t="n">
        <x:v>2024750</x:v>
      </x:c>
      <x:c r="F1405" s="9" t="n">
        <x:v>2024750</x:v>
      </x:c>
    </x:row>
    <x:row r="1406" ht="34" customHeight="1">
      <x:c r="A1406" s="4" t="str">
        <x:v>RS-00728-I1</x:v>
      </x:c>
      <x:c r="B1406" s="4" t="str">
        <x:v>RS-00728</x:v>
      </x:c>
      <x:c r="C1406" s="9" t="n">
        <x:v>1</x:v>
      </x:c>
      <x:c r="D1406" s="8" t="n">
        <x:v>45350</x:v>
      </x:c>
      <x:c r="E1406" s="9" t="n">
        <x:v>801000</x:v>
      </x:c>
      <x:c r="F1406" s="9" t="n">
        <x:v>801000</x:v>
      </x:c>
    </x:row>
    <x:row r="1407" ht="34" customHeight="1">
      <x:c r="A1407" s="4" t="str">
        <x:v>RS-00728-I2</x:v>
      </x:c>
      <x:c r="B1407" s="4" t="str">
        <x:v>RS-00728</x:v>
      </x:c>
      <x:c r="C1407" s="9" t="n">
        <x:v>2</x:v>
      </x:c>
      <x:c r="D1407" s="8" t="n">
        <x:v>45380</x:v>
      </x:c>
      <x:c r="E1407" s="9" t="n">
        <x:v>801000</x:v>
      </x:c>
      <x:c r="F1407" s="9" t="n">
        <x:v>801000</x:v>
      </x:c>
    </x:row>
    <x:row r="1408" ht="34" customHeight="1">
      <x:c r="A1408" s="4" t="str">
        <x:v>RS-00728-I3</x:v>
      </x:c>
      <x:c r="B1408" s="4" t="str">
        <x:v>RS-00728</x:v>
      </x:c>
      <x:c r="C1408" s="9" t="n">
        <x:v>3</x:v>
      </x:c>
      <x:c r="D1408" s="8" t="n">
        <x:v>45410</x:v>
      </x:c>
      <x:c r="E1408" s="9" t="n">
        <x:v>801000</x:v>
      </x:c>
      <x:c r="F1408" s="9" t="n">
        <x:v>0</x:v>
      </x:c>
    </x:row>
    <x:row r="1409" ht="34" customHeight="1">
      <x:c r="A1409" s="4" t="str">
        <x:v>RS-00728-I4</x:v>
      </x:c>
      <x:c r="B1409" s="4" t="str">
        <x:v>RS-00728</x:v>
      </x:c>
      <x:c r="C1409" s="9" t="n">
        <x:v>4</x:v>
      </x:c>
      <x:c r="D1409" s="8" t="n">
        <x:v>45440</x:v>
      </x:c>
      <x:c r="E1409" s="9" t="n">
        <x:v>801000</x:v>
      </x:c>
      <x:c r="F1409" s="9" t="n">
        <x:v>0</x:v>
      </x:c>
    </x:row>
    <x:row r="1410" ht="34" customHeight="1">
      <x:c r="A1410" s="4" t="str">
        <x:v>RS-00731-I1</x:v>
      </x:c>
      <x:c r="B1410" s="4" t="str">
        <x:v>RS-00731</x:v>
      </x:c>
      <x:c r="C1410" s="9" t="n">
        <x:v>1</x:v>
      </x:c>
      <x:c r="D1410" s="8" t="n">
        <x:v>45325</x:v>
      </x:c>
      <x:c r="E1410" s="9" t="n">
        <x:v>864500</x:v>
      </x:c>
      <x:c r="F1410" s="9" t="n">
        <x:v>345800</x:v>
      </x:c>
    </x:row>
    <x:row r="1411" ht="34" customHeight="1">
      <x:c r="A1411" s="4" t="str">
        <x:v>RS-00731-I2</x:v>
      </x:c>
      <x:c r="B1411" s="4" t="str">
        <x:v>RS-00731</x:v>
      </x:c>
      <x:c r="C1411" s="9" t="n">
        <x:v>2</x:v>
      </x:c>
      <x:c r="D1411" s="8" t="n">
        <x:v>45355</x:v>
      </x:c>
      <x:c r="E1411" s="9" t="n">
        <x:v>864500</x:v>
      </x:c>
      <x:c r="F1411" s="9" t="n">
        <x:v>0</x:v>
      </x:c>
    </x:row>
    <x:row r="1412" ht="34" customHeight="1">
      <x:c r="A1412" s="4" t="str">
        <x:v>RS-00731-I3</x:v>
      </x:c>
      <x:c r="B1412" s="4" t="str">
        <x:v>RS-00731</x:v>
      </x:c>
      <x:c r="C1412" s="9" t="n">
        <x:v>3</x:v>
      </x:c>
      <x:c r="D1412" s="8" t="n">
        <x:v>45385</x:v>
      </x:c>
      <x:c r="E1412" s="9" t="n">
        <x:v>864500</x:v>
      </x:c>
      <x:c r="F1412" s="9" t="n">
        <x:v>0</x:v>
      </x:c>
    </x:row>
    <x:row r="1413" ht="34" customHeight="1">
      <x:c r="A1413" s="4" t="str">
        <x:v>RS-00731-I4</x:v>
      </x:c>
      <x:c r="B1413" s="4" t="str">
        <x:v>RS-00731</x:v>
      </x:c>
      <x:c r="C1413" s="9" t="n">
        <x:v>4</x:v>
      </x:c>
      <x:c r="D1413" s="8" t="n">
        <x:v>45415</x:v>
      </x:c>
      <x:c r="E1413" s="9" t="n">
        <x:v>864500</x:v>
      </x:c>
      <x:c r="F1413" s="9" t="n">
        <x:v>0</x:v>
      </x:c>
    </x:row>
    <x:row r="1414" ht="34" customHeight="1">
      <x:c r="A1414" s="4" t="str">
        <x:v>RS-00732-I1</x:v>
      </x:c>
      <x:c r="B1414" s="4" t="str">
        <x:v>RS-00732</x:v>
      </x:c>
      <x:c r="C1414" s="9" t="n">
        <x:v>1</x:v>
      </x:c>
      <x:c r="D1414" s="8" t="n">
        <x:v>45326</x:v>
      </x:c>
      <x:c r="E1414" s="9" t="n">
        <x:v>1886500</x:v>
      </x:c>
      <x:c r="F1414" s="9" t="n">
        <x:v>1886500</x:v>
      </x:c>
    </x:row>
    <x:row r="1415" ht="34" customHeight="1">
      <x:c r="A1415" s="4" t="str">
        <x:v>RS-00732-I2</x:v>
      </x:c>
      <x:c r="B1415" s="4" t="str">
        <x:v>RS-00732</x:v>
      </x:c>
      <x:c r="C1415" s="9" t="n">
        <x:v>2</x:v>
      </x:c>
      <x:c r="D1415" s="8" t="n">
        <x:v>45356</x:v>
      </x:c>
      <x:c r="E1415" s="9" t="n">
        <x:v>1886500</x:v>
      </x:c>
      <x:c r="F1415" s="9" t="n">
        <x:v>1886500</x:v>
      </x:c>
    </x:row>
    <x:row r="1416" ht="34" customHeight="1">
      <x:c r="A1416" s="4" t="str">
        <x:v>RS-00732-I3</x:v>
      </x:c>
      <x:c r="B1416" s="4" t="str">
        <x:v>RS-00732</x:v>
      </x:c>
      <x:c r="C1416" s="9" t="n">
        <x:v>3</x:v>
      </x:c>
      <x:c r="D1416" s="8" t="n">
        <x:v>45386</x:v>
      </x:c>
      <x:c r="E1416" s="9" t="n">
        <x:v>1886500</x:v>
      </x:c>
      <x:c r="F1416" s="9" t="n">
        <x:v>1886500</x:v>
      </x:c>
    </x:row>
    <x:row r="1417" ht="34" customHeight="1">
      <x:c r="A1417" s="4" t="str">
        <x:v>RS-00732-I4</x:v>
      </x:c>
      <x:c r="B1417" s="4" t="str">
        <x:v>RS-00732</x:v>
      </x:c>
      <x:c r="C1417" s="9" t="n">
        <x:v>4</x:v>
      </x:c>
      <x:c r="D1417" s="8" t="n">
        <x:v>45416</x:v>
      </x:c>
      <x:c r="E1417" s="9" t="n">
        <x:v>1886500</x:v>
      </x:c>
      <x:c r="F1417" s="9" t="n">
        <x:v>1886500</x:v>
      </x:c>
    </x:row>
    <x:row r="1418" ht="34" customHeight="1">
      <x:c r="A1418" s="4" t="str">
        <x:v>RS-00733-I1</x:v>
      </x:c>
      <x:c r="B1418" s="4" t="str">
        <x:v>RS-00733</x:v>
      </x:c>
      <x:c r="C1418" s="9" t="n">
        <x:v>1</x:v>
      </x:c>
      <x:c r="D1418" s="8" t="n">
        <x:v>45327</x:v>
      </x:c>
      <x:c r="E1418" s="9" t="n">
        <x:v>1455000</x:v>
      </x:c>
      <x:c r="F1418" s="9" t="n">
        <x:v>582000</x:v>
      </x:c>
    </x:row>
    <x:row r="1419" ht="34" customHeight="1">
      <x:c r="A1419" s="4" t="str">
        <x:v>RS-00733-I2</x:v>
      </x:c>
      <x:c r="B1419" s="4" t="str">
        <x:v>RS-00733</x:v>
      </x:c>
      <x:c r="C1419" s="9" t="n">
        <x:v>2</x:v>
      </x:c>
      <x:c r="D1419" s="8" t="n">
        <x:v>45357</x:v>
      </x:c>
      <x:c r="E1419" s="9" t="n">
        <x:v>1455000</x:v>
      </x:c>
      <x:c r="F1419" s="9" t="n">
        <x:v>0</x:v>
      </x:c>
    </x:row>
    <x:row r="1420" ht="34" customHeight="1">
      <x:c r="A1420" s="4" t="str">
        <x:v>RS-00733-I3</x:v>
      </x:c>
      <x:c r="B1420" s="4" t="str">
        <x:v>RS-00733</x:v>
      </x:c>
      <x:c r="C1420" s="9" t="n">
        <x:v>3</x:v>
      </x:c>
      <x:c r="D1420" s="8" t="n">
        <x:v>45387</x:v>
      </x:c>
      <x:c r="E1420" s="9" t="n">
        <x:v>1455000</x:v>
      </x:c>
      <x:c r="F1420" s="9" t="n">
        <x:v>0</x:v>
      </x:c>
    </x:row>
    <x:row r="1421" ht="34" customHeight="1">
      <x:c r="A1421" s="4" t="str">
        <x:v>RS-00733-I4</x:v>
      </x:c>
      <x:c r="B1421" s="4" t="str">
        <x:v>RS-00733</x:v>
      </x:c>
      <x:c r="C1421" s="9" t="n">
        <x:v>4</x:v>
      </x:c>
      <x:c r="D1421" s="8" t="n">
        <x:v>45417</x:v>
      </x:c>
      <x:c r="E1421" s="9" t="n">
        <x:v>1455000</x:v>
      </x:c>
      <x:c r="F1421" s="9" t="n">
        <x:v>0</x:v>
      </x:c>
    </x:row>
    <x:row r="1422" ht="34" customHeight="1">
      <x:c r="A1422" s="4" t="str">
        <x:v>RS-00734-I1</x:v>
      </x:c>
      <x:c r="B1422" s="4" t="str">
        <x:v>RS-00734</x:v>
      </x:c>
      <x:c r="C1422" s="9" t="n">
        <x:v>1</x:v>
      </x:c>
      <x:c r="D1422" s="8" t="n">
        <x:v>45328</x:v>
      </x:c>
      <x:c r="E1422" s="9" t="n">
        <x:v>4045500</x:v>
      </x:c>
      <x:c r="F1422" s="9" t="n">
        <x:v>4045500</x:v>
      </x:c>
    </x:row>
    <x:row r="1423" ht="34" customHeight="1">
      <x:c r="A1423" s="4" t="str">
        <x:v>RS-00734-I2</x:v>
      </x:c>
      <x:c r="B1423" s="4" t="str">
        <x:v>RS-00734</x:v>
      </x:c>
      <x:c r="C1423" s="9" t="n">
        <x:v>2</x:v>
      </x:c>
      <x:c r="D1423" s="8" t="n">
        <x:v>45358</x:v>
      </x:c>
      <x:c r="E1423" s="9" t="n">
        <x:v>4045500</x:v>
      </x:c>
      <x:c r="F1423" s="9" t="n">
        <x:v>4045500</x:v>
      </x:c>
    </x:row>
    <x:row r="1424" ht="34" customHeight="1">
      <x:c r="A1424" s="4" t="str">
        <x:v>RS-00734-I3</x:v>
      </x:c>
      <x:c r="B1424" s="4" t="str">
        <x:v>RS-00734</x:v>
      </x:c>
      <x:c r="C1424" s="9" t="n">
        <x:v>3</x:v>
      </x:c>
      <x:c r="D1424" s="8" t="n">
        <x:v>45388</x:v>
      </x:c>
      <x:c r="E1424" s="9" t="n">
        <x:v>4045500</x:v>
      </x:c>
      <x:c r="F1424" s="9" t="n">
        <x:v>0</x:v>
      </x:c>
    </x:row>
    <x:row r="1425" ht="34" customHeight="1">
      <x:c r="A1425" s="4" t="str">
        <x:v>RS-00734-I4</x:v>
      </x:c>
      <x:c r="B1425" s="4" t="str">
        <x:v>RS-00734</x:v>
      </x:c>
      <x:c r="C1425" s="9" t="n">
        <x:v>4</x:v>
      </x:c>
      <x:c r="D1425" s="8" t="n">
        <x:v>45418</x:v>
      </x:c>
      <x:c r="E1425" s="9" t="n">
        <x:v>4045500</x:v>
      </x:c>
      <x:c r="F1425" s="9" t="n">
        <x:v>0</x:v>
      </x:c>
    </x:row>
    <x:row r="1426" ht="34" customHeight="1">
      <x:c r="A1426" s="4" t="str">
        <x:v>RS-00737-I1</x:v>
      </x:c>
      <x:c r="B1426" s="4" t="str">
        <x:v>RS-00737</x:v>
      </x:c>
      <x:c r="C1426" s="9" t="n">
        <x:v>1</x:v>
      </x:c>
      <x:c r="D1426" s="8" t="n">
        <x:v>45331</x:v>
      </x:c>
      <x:c r="E1426" s="9" t="n">
        <x:v>5478000</x:v>
      </x:c>
      <x:c r="F1426" s="9" t="n">
        <x:v>2191200</x:v>
      </x:c>
    </x:row>
    <x:row r="1427" ht="34" customHeight="1">
      <x:c r="A1427" s="4" t="str">
        <x:v>RS-00737-I2</x:v>
      </x:c>
      <x:c r="B1427" s="4" t="str">
        <x:v>RS-00737</x:v>
      </x:c>
      <x:c r="C1427" s="9" t="n">
        <x:v>2</x:v>
      </x:c>
      <x:c r="D1427" s="8" t="n">
        <x:v>45361</x:v>
      </x:c>
      <x:c r="E1427" s="9" t="n">
        <x:v>5478000</x:v>
      </x:c>
      <x:c r="F1427" s="9" t="n">
        <x:v>0</x:v>
      </x:c>
    </x:row>
    <x:row r="1428" ht="34" customHeight="1">
      <x:c r="A1428" s="4" t="str">
        <x:v>RS-00737-I3</x:v>
      </x:c>
      <x:c r="B1428" s="4" t="str">
        <x:v>RS-00737</x:v>
      </x:c>
      <x:c r="C1428" s="9" t="n">
        <x:v>3</x:v>
      </x:c>
      <x:c r="D1428" s="8" t="n">
        <x:v>45391</x:v>
      </x:c>
      <x:c r="E1428" s="9" t="n">
        <x:v>5478000</x:v>
      </x:c>
      <x:c r="F1428" s="9" t="n">
        <x:v>0</x:v>
      </x:c>
    </x:row>
    <x:row r="1429" ht="34" customHeight="1">
      <x:c r="A1429" s="4" t="str">
        <x:v>RS-00737-I4</x:v>
      </x:c>
      <x:c r="B1429" s="4" t="str">
        <x:v>RS-00737</x:v>
      </x:c>
      <x:c r="C1429" s="9" t="n">
        <x:v>4</x:v>
      </x:c>
      <x:c r="D1429" s="8" t="n">
        <x:v>45421</x:v>
      </x:c>
      <x:c r="E1429" s="9" t="n">
        <x:v>5478000</x:v>
      </x:c>
      <x:c r="F1429" s="9" t="n">
        <x:v>0</x:v>
      </x:c>
    </x:row>
    <x:row r="1430" ht="34" customHeight="1">
      <x:c r="A1430" s="4" t="str">
        <x:v>RS-00742-I1</x:v>
      </x:c>
      <x:c r="B1430" s="4" t="str">
        <x:v>RS-00742</x:v>
      </x:c>
      <x:c r="C1430" s="9" t="n">
        <x:v>1</x:v>
      </x:c>
      <x:c r="D1430" s="8" t="n">
        <x:v>45336</x:v>
      </x:c>
      <x:c r="E1430" s="9" t="n">
        <x:v>810000</x:v>
      </x:c>
      <x:c r="F1430" s="9" t="n">
        <x:v>810000</x:v>
      </x:c>
    </x:row>
    <x:row r="1431" ht="34" customHeight="1">
      <x:c r="A1431" s="4" t="str">
        <x:v>RS-00742-I2</x:v>
      </x:c>
      <x:c r="B1431" s="4" t="str">
        <x:v>RS-00742</x:v>
      </x:c>
      <x:c r="C1431" s="9" t="n">
        <x:v>2</x:v>
      </x:c>
      <x:c r="D1431" s="8" t="n">
        <x:v>45366</x:v>
      </x:c>
      <x:c r="E1431" s="9" t="n">
        <x:v>810000</x:v>
      </x:c>
      <x:c r="F1431" s="9" t="n">
        <x:v>810000</x:v>
      </x:c>
    </x:row>
    <x:row r="1432" ht="34" customHeight="1">
      <x:c r="A1432" s="4" t="str">
        <x:v>RS-00742-I3</x:v>
      </x:c>
      <x:c r="B1432" s="4" t="str">
        <x:v>RS-00742</x:v>
      </x:c>
      <x:c r="C1432" s="9" t="n">
        <x:v>3</x:v>
      </x:c>
      <x:c r="D1432" s="8" t="n">
        <x:v>45396</x:v>
      </x:c>
      <x:c r="E1432" s="9" t="n">
        <x:v>810000</x:v>
      </x:c>
      <x:c r="F1432" s="9" t="n">
        <x:v>0</x:v>
      </x:c>
    </x:row>
    <x:row r="1433" ht="34" customHeight="1">
      <x:c r="A1433" s="4" t="str">
        <x:v>RS-00742-I4</x:v>
      </x:c>
      <x:c r="B1433" s="4" t="str">
        <x:v>RS-00742</x:v>
      </x:c>
      <x:c r="C1433" s="9" t="n">
        <x:v>4</x:v>
      </x:c>
      <x:c r="D1433" s="8" t="n">
        <x:v>45426</x:v>
      </x:c>
      <x:c r="E1433" s="9" t="n">
        <x:v>810000</x:v>
      </x:c>
      <x:c r="F1433" s="9" t="n">
        <x:v>0</x:v>
      </x:c>
    </x:row>
    <x:row r="1434" ht="34" customHeight="1">
      <x:c r="A1434" s="4" t="str">
        <x:v>RS-00743-I1</x:v>
      </x:c>
      <x:c r="B1434" s="4" t="str">
        <x:v>RS-00743</x:v>
      </x:c>
      <x:c r="C1434" s="9" t="n">
        <x:v>1</x:v>
      </x:c>
      <x:c r="D1434" s="8" t="n">
        <x:v>45337</x:v>
      </x:c>
      <x:c r="E1434" s="9" t="n">
        <x:v>2400000</x:v>
      </x:c>
      <x:c r="F1434" s="9" t="n">
        <x:v>960000</x:v>
      </x:c>
    </x:row>
    <x:row r="1435" ht="34" customHeight="1">
      <x:c r="A1435" s="4" t="str">
        <x:v>RS-00743-I2</x:v>
      </x:c>
      <x:c r="B1435" s="4" t="str">
        <x:v>RS-00743</x:v>
      </x:c>
      <x:c r="C1435" s="9" t="n">
        <x:v>2</x:v>
      </x:c>
      <x:c r="D1435" s="8" t="n">
        <x:v>45367</x:v>
      </x:c>
      <x:c r="E1435" s="9" t="n">
        <x:v>2400000</x:v>
      </x:c>
      <x:c r="F1435" s="9" t="n">
        <x:v>0</x:v>
      </x:c>
    </x:row>
    <x:row r="1436" ht="34" customHeight="1">
      <x:c r="A1436" s="4" t="str">
        <x:v>RS-00743-I3</x:v>
      </x:c>
      <x:c r="B1436" s="4" t="str">
        <x:v>RS-00743</x:v>
      </x:c>
      <x:c r="C1436" s="9" t="n">
        <x:v>3</x:v>
      </x:c>
      <x:c r="D1436" s="8" t="n">
        <x:v>45397</x:v>
      </x:c>
      <x:c r="E1436" s="9" t="n">
        <x:v>2400000</x:v>
      </x:c>
      <x:c r="F1436" s="9" t="n">
        <x:v>0</x:v>
      </x:c>
    </x:row>
    <x:row r="1437" ht="34" customHeight="1">
      <x:c r="A1437" s="4" t="str">
        <x:v>RS-00743-I4</x:v>
      </x:c>
      <x:c r="B1437" s="4" t="str">
        <x:v>RS-00743</x:v>
      </x:c>
      <x:c r="C1437" s="9" t="n">
        <x:v>4</x:v>
      </x:c>
      <x:c r="D1437" s="8" t="n">
        <x:v>45427</x:v>
      </x:c>
      <x:c r="E1437" s="9" t="n">
        <x:v>2400000</x:v>
      </x:c>
      <x:c r="F1437" s="9" t="n">
        <x:v>0</x:v>
      </x:c>
    </x:row>
    <x:row r="1438" ht="34" customHeight="1">
      <x:c r="A1438" s="4" t="str">
        <x:v>RS-00745-I1</x:v>
      </x:c>
      <x:c r="B1438" s="4" t="str">
        <x:v>RS-00745</x:v>
      </x:c>
      <x:c r="C1438" s="9" t="n">
        <x:v>1</x:v>
      </x:c>
      <x:c r="D1438" s="8" t="n">
        <x:v>45339</x:v>
      </x:c>
      <x:c r="E1438" s="9" t="n">
        <x:v>5073000</x:v>
      </x:c>
      <x:c r="F1438" s="9" t="n">
        <x:v>5073000</x:v>
      </x:c>
    </x:row>
    <x:row r="1439" ht="34" customHeight="1">
      <x:c r="A1439" s="4" t="str">
        <x:v>RS-00745-I2</x:v>
      </x:c>
      <x:c r="B1439" s="4" t="str">
        <x:v>RS-00745</x:v>
      </x:c>
      <x:c r="C1439" s="9" t="n">
        <x:v>2</x:v>
      </x:c>
      <x:c r="D1439" s="8" t="n">
        <x:v>45369</x:v>
      </x:c>
      <x:c r="E1439" s="9" t="n">
        <x:v>5073000</x:v>
      </x:c>
      <x:c r="F1439" s="9" t="n">
        <x:v>5073000</x:v>
      </x:c>
    </x:row>
    <x:row r="1440" ht="34" customHeight="1">
      <x:c r="A1440" s="4" t="str">
        <x:v>RS-00745-I3</x:v>
      </x:c>
      <x:c r="B1440" s="4" t="str">
        <x:v>RS-00745</x:v>
      </x:c>
      <x:c r="C1440" s="9" t="n">
        <x:v>3</x:v>
      </x:c>
      <x:c r="D1440" s="8" t="n">
        <x:v>45399</x:v>
      </x:c>
      <x:c r="E1440" s="9" t="n">
        <x:v>5073000</x:v>
      </x:c>
      <x:c r="F1440" s="9" t="n">
        <x:v>0</x:v>
      </x:c>
    </x:row>
    <x:row r="1441" ht="34" customHeight="1">
      <x:c r="A1441" s="4" t="str">
        <x:v>RS-00745-I4</x:v>
      </x:c>
      <x:c r="B1441" s="4" t="str">
        <x:v>RS-00745</x:v>
      </x:c>
      <x:c r="C1441" s="9" t="n">
        <x:v>4</x:v>
      </x:c>
      <x:c r="D1441" s="8" t="n">
        <x:v>45429</x:v>
      </x:c>
      <x:c r="E1441" s="9" t="n">
        <x:v>5073000</x:v>
      </x:c>
      <x:c r="F1441" s="9" t="n">
        <x:v>0</x:v>
      </x:c>
    </x:row>
    <x:row r="1442" ht="34" customHeight="1">
      <x:c r="A1442" s="4" t="str">
        <x:v>RS-00749-I1</x:v>
      </x:c>
      <x:c r="B1442" s="4" t="str">
        <x:v>RS-00749</x:v>
      </x:c>
      <x:c r="C1442" s="9" t="n">
        <x:v>1</x:v>
      </x:c>
      <x:c r="D1442" s="8" t="n">
        <x:v>45343</x:v>
      </x:c>
      <x:c r="E1442" s="9" t="n">
        <x:v>4002000</x:v>
      </x:c>
      <x:c r="F1442" s="9" t="n">
        <x:v>4002000</x:v>
      </x:c>
    </x:row>
    <x:row r="1443" ht="34" customHeight="1">
      <x:c r="A1443" s="4" t="str">
        <x:v>RS-00749-I2</x:v>
      </x:c>
      <x:c r="B1443" s="4" t="str">
        <x:v>RS-00749</x:v>
      </x:c>
      <x:c r="C1443" s="9" t="n">
        <x:v>2</x:v>
      </x:c>
      <x:c r="D1443" s="8" t="n">
        <x:v>45373</x:v>
      </x:c>
      <x:c r="E1443" s="9" t="n">
        <x:v>4002000</x:v>
      </x:c>
      <x:c r="F1443" s="9" t="n">
        <x:v>0</x:v>
      </x:c>
    </x:row>
    <x:row r="1444" ht="34" customHeight="1">
      <x:c r="A1444" s="4" t="str">
        <x:v>RS-00749-I3</x:v>
      </x:c>
      <x:c r="B1444" s="4" t="str">
        <x:v>RS-00749</x:v>
      </x:c>
      <x:c r="C1444" s="9" t="n">
        <x:v>3</x:v>
      </x:c>
      <x:c r="D1444" s="8" t="n">
        <x:v>45403</x:v>
      </x:c>
      <x:c r="E1444" s="9" t="n">
        <x:v>4002000</x:v>
      </x:c>
      <x:c r="F1444" s="9" t="n">
        <x:v>0</x:v>
      </x:c>
    </x:row>
    <x:row r="1445" ht="34" customHeight="1">
      <x:c r="A1445" s="4" t="str">
        <x:v>RS-00749-I4</x:v>
      </x:c>
      <x:c r="B1445" s="4" t="str">
        <x:v>RS-00749</x:v>
      </x:c>
      <x:c r="C1445" s="9" t="n">
        <x:v>4</x:v>
      </x:c>
      <x:c r="D1445" s="8" t="n">
        <x:v>45433</x:v>
      </x:c>
      <x:c r="E1445" s="9" t="n">
        <x:v>4002000</x:v>
      </x:c>
      <x:c r="F1445" s="9" t="n">
        <x:v>0</x:v>
      </x:c>
    </x:row>
    <x:row r="1446" ht="34" customHeight="1">
      <x:c r="A1446" s="4" t="str">
        <x:v>RS-00750-I1</x:v>
      </x:c>
      <x:c r="B1446" s="4" t="str">
        <x:v>RS-00750</x:v>
      </x:c>
      <x:c r="C1446" s="9" t="n">
        <x:v>1</x:v>
      </x:c>
      <x:c r="D1446" s="8" t="n">
        <x:v>45344</x:v>
      </x:c>
      <x:c r="E1446" s="9" t="n">
        <x:v>4410000</x:v>
      </x:c>
      <x:c r="F1446" s="9" t="n">
        <x:v>1764000</x:v>
      </x:c>
    </x:row>
    <x:row r="1447" ht="34" customHeight="1">
      <x:c r="A1447" s="4" t="str">
        <x:v>RS-00750-I2</x:v>
      </x:c>
      <x:c r="B1447" s="4" t="str">
        <x:v>RS-00750</x:v>
      </x:c>
      <x:c r="C1447" s="9" t="n">
        <x:v>2</x:v>
      </x:c>
      <x:c r="D1447" s="8" t="n">
        <x:v>45374</x:v>
      </x:c>
      <x:c r="E1447" s="9" t="n">
        <x:v>4410000</x:v>
      </x:c>
      <x:c r="F1447" s="9" t="n">
        <x:v>0</x:v>
      </x:c>
    </x:row>
    <x:row r="1448" ht="34" customHeight="1">
      <x:c r="A1448" s="4" t="str">
        <x:v>RS-00750-I3</x:v>
      </x:c>
      <x:c r="B1448" s="4" t="str">
        <x:v>RS-00750</x:v>
      </x:c>
      <x:c r="C1448" s="9" t="n">
        <x:v>3</x:v>
      </x:c>
      <x:c r="D1448" s="8" t="n">
        <x:v>45404</x:v>
      </x:c>
      <x:c r="E1448" s="9" t="n">
        <x:v>4410000</x:v>
      </x:c>
      <x:c r="F1448" s="9" t="n">
        <x:v>0</x:v>
      </x:c>
    </x:row>
    <x:row r="1449" ht="34" customHeight="1">
      <x:c r="A1449" s="4" t="str">
        <x:v>RS-00750-I4</x:v>
      </x:c>
      <x:c r="B1449" s="4" t="str">
        <x:v>RS-00750</x:v>
      </x:c>
      <x:c r="C1449" s="9" t="n">
        <x:v>4</x:v>
      </x:c>
      <x:c r="D1449" s="8" t="n">
        <x:v>45434</x:v>
      </x:c>
      <x:c r="E1449" s="9" t="n">
        <x:v>4410000</x:v>
      </x:c>
      <x:c r="F1449" s="9" t="n">
        <x:v>0</x:v>
      </x:c>
    </x:row>
    <x:row r="1450" ht="34" customHeight="1">
      <x:c r="A1450" s="4" t="str">
        <x:v>RS-00752-I1</x:v>
      </x:c>
      <x:c r="B1450" s="4" t="str">
        <x:v>RS-00752</x:v>
      </x:c>
      <x:c r="C1450" s="9" t="n">
        <x:v>1</x:v>
      </x:c>
      <x:c r="D1450" s="8" t="n">
        <x:v>45346</x:v>
      </x:c>
      <x:c r="E1450" s="9" t="n">
        <x:v>3910000</x:v>
      </x:c>
      <x:c r="F1450" s="9" t="n">
        <x:v>3910000</x:v>
      </x:c>
    </x:row>
    <x:row r="1451" ht="34" customHeight="1">
      <x:c r="A1451" s="4" t="str">
        <x:v>RS-00752-I2</x:v>
      </x:c>
      <x:c r="B1451" s="4" t="str">
        <x:v>RS-00752</x:v>
      </x:c>
      <x:c r="C1451" s="9" t="n">
        <x:v>2</x:v>
      </x:c>
      <x:c r="D1451" s="8" t="n">
        <x:v>45376</x:v>
      </x:c>
      <x:c r="E1451" s="9" t="n">
        <x:v>3910000</x:v>
      </x:c>
      <x:c r="F1451" s="9" t="n">
        <x:v>3910000</x:v>
      </x:c>
    </x:row>
    <x:row r="1452" ht="34" customHeight="1">
      <x:c r="A1452" s="4" t="str">
        <x:v>RS-00752-I3</x:v>
      </x:c>
      <x:c r="B1452" s="4" t="str">
        <x:v>RS-00752</x:v>
      </x:c>
      <x:c r="C1452" s="9" t="n">
        <x:v>3</x:v>
      </x:c>
      <x:c r="D1452" s="8" t="n">
        <x:v>45406</x:v>
      </x:c>
      <x:c r="E1452" s="9" t="n">
        <x:v>3910000</x:v>
      </x:c>
      <x:c r="F1452" s="9" t="n">
        <x:v>0</x:v>
      </x:c>
    </x:row>
    <x:row r="1453" ht="34" customHeight="1">
      <x:c r="A1453" s="4" t="str">
        <x:v>RS-00752-I4</x:v>
      </x:c>
      <x:c r="B1453" s="4" t="str">
        <x:v>RS-00752</x:v>
      </x:c>
      <x:c r="C1453" s="9" t="n">
        <x:v>4</x:v>
      </x:c>
      <x:c r="D1453" s="8" t="n">
        <x:v>45436</x:v>
      </x:c>
      <x:c r="E1453" s="9" t="n">
        <x:v>3910000</x:v>
      </x:c>
      <x:c r="F1453" s="9" t="n">
        <x:v>0</x:v>
      </x:c>
    </x:row>
    <x:row r="1454" ht="34" customHeight="1">
      <x:c r="A1454" s="4" t="str">
        <x:v>RS-00753-I1</x:v>
      </x:c>
      <x:c r="B1454" s="4" t="str">
        <x:v>RS-00753</x:v>
      </x:c>
      <x:c r="C1454" s="9" t="n">
        <x:v>1</x:v>
      </x:c>
      <x:c r="D1454" s="8" t="n">
        <x:v>45347</x:v>
      </x:c>
      <x:c r="E1454" s="9" t="n">
        <x:v>1464000</x:v>
      </x:c>
      <x:c r="F1454" s="9" t="n">
        <x:v>1464000</x:v>
      </x:c>
    </x:row>
    <x:row r="1455" ht="34" customHeight="1">
      <x:c r="A1455" s="4" t="str">
        <x:v>RS-00753-I2</x:v>
      </x:c>
      <x:c r="B1455" s="4" t="str">
        <x:v>RS-00753</x:v>
      </x:c>
      <x:c r="C1455" s="9" t="n">
        <x:v>2</x:v>
      </x:c>
      <x:c r="D1455" s="8" t="n">
        <x:v>45377</x:v>
      </x:c>
      <x:c r="E1455" s="9" t="n">
        <x:v>1464000</x:v>
      </x:c>
      <x:c r="F1455" s="9" t="n">
        <x:v>1464000</x:v>
      </x:c>
    </x:row>
    <x:row r="1456" ht="34" customHeight="1">
      <x:c r="A1456" s="4" t="str">
        <x:v>RS-00753-I3</x:v>
      </x:c>
      <x:c r="B1456" s="4" t="str">
        <x:v>RS-00753</x:v>
      </x:c>
      <x:c r="C1456" s="9" t="n">
        <x:v>3</x:v>
      </x:c>
      <x:c r="D1456" s="8" t="n">
        <x:v>45407</x:v>
      </x:c>
      <x:c r="E1456" s="9" t="n">
        <x:v>1464000</x:v>
      </x:c>
      <x:c r="F1456" s="9" t="n">
        <x:v>1464000</x:v>
      </x:c>
    </x:row>
    <x:row r="1457" ht="34" customHeight="1">
      <x:c r="A1457" s="4" t="str">
        <x:v>RS-00753-I4</x:v>
      </x:c>
      <x:c r="B1457" s="4" t="str">
        <x:v>RS-00753</x:v>
      </x:c>
      <x:c r="C1457" s="9" t="n">
        <x:v>4</x:v>
      </x:c>
      <x:c r="D1457" s="8" t="n">
        <x:v>45437</x:v>
      </x:c>
      <x:c r="E1457" s="9" t="n">
        <x:v>1464000</x:v>
      </x:c>
      <x:c r="F1457" s="9" t="n">
        <x:v>1464000</x:v>
      </x:c>
    </x:row>
    <x:row r="1458" ht="34" customHeight="1">
      <x:c r="A1458" s="4" t="str">
        <x:v>RS-00754-I1</x:v>
      </x:c>
      <x:c r="B1458" s="4" t="str">
        <x:v>RS-00754</x:v>
      </x:c>
      <x:c r="C1458" s="9" t="n">
        <x:v>1</x:v>
      </x:c>
      <x:c r="D1458" s="8" t="n">
        <x:v>45348</x:v>
      </x:c>
      <x:c r="E1458" s="9" t="n">
        <x:v>5750000</x:v>
      </x:c>
      <x:c r="F1458" s="9" t="n">
        <x:v>2300000</x:v>
      </x:c>
    </x:row>
    <x:row r="1459" ht="34" customHeight="1">
      <x:c r="A1459" s="4" t="str">
        <x:v>RS-00754-I2</x:v>
      </x:c>
      <x:c r="B1459" s="4" t="str">
        <x:v>RS-00754</x:v>
      </x:c>
      <x:c r="C1459" s="9" t="n">
        <x:v>2</x:v>
      </x:c>
      <x:c r="D1459" s="8" t="n">
        <x:v>45378</x:v>
      </x:c>
      <x:c r="E1459" s="9" t="n">
        <x:v>5750000</x:v>
      </x:c>
      <x:c r="F1459" s="9" t="n">
        <x:v>0</x:v>
      </x:c>
    </x:row>
    <x:row r="1460" ht="34" customHeight="1">
      <x:c r="A1460" s="4" t="str">
        <x:v>RS-00754-I3</x:v>
      </x:c>
      <x:c r="B1460" s="4" t="str">
        <x:v>RS-00754</x:v>
      </x:c>
      <x:c r="C1460" s="9" t="n">
        <x:v>3</x:v>
      </x:c>
      <x:c r="D1460" s="8" t="n">
        <x:v>45408</x:v>
      </x:c>
      <x:c r="E1460" s="9" t="n">
        <x:v>5750000</x:v>
      </x:c>
      <x:c r="F1460" s="9" t="n">
        <x:v>0</x:v>
      </x:c>
    </x:row>
    <x:row r="1461" ht="34" customHeight="1">
      <x:c r="A1461" s="4" t="str">
        <x:v>RS-00754-I4</x:v>
      </x:c>
      <x:c r="B1461" s="4" t="str">
        <x:v>RS-00754</x:v>
      </x:c>
      <x:c r="C1461" s="9" t="n">
        <x:v>4</x:v>
      </x:c>
      <x:c r="D1461" s="8" t="n">
        <x:v>45438</x:v>
      </x:c>
      <x:c r="E1461" s="9" t="n">
        <x:v>5750000</x:v>
      </x:c>
      <x:c r="F1461" s="9" t="n">
        <x:v>0</x:v>
      </x:c>
    </x:row>
    <x:row r="1462" ht="34" customHeight="1">
      <x:c r="A1462" s="4" t="str">
        <x:v>RS-00755-I1</x:v>
      </x:c>
      <x:c r="B1462" s="4" t="str">
        <x:v>RS-00755</x:v>
      </x:c>
      <x:c r="C1462" s="9" t="n">
        <x:v>1</x:v>
      </x:c>
      <x:c r="D1462" s="8" t="n">
        <x:v>45349</x:v>
      </x:c>
      <x:c r="E1462" s="9" t="n">
        <x:v>2530000</x:v>
      </x:c>
      <x:c r="F1462" s="9" t="n">
        <x:v>2530000</x:v>
      </x:c>
    </x:row>
    <x:row r="1463" ht="34" customHeight="1">
      <x:c r="A1463" s="4" t="str">
        <x:v>RS-00755-I2</x:v>
      </x:c>
      <x:c r="B1463" s="4" t="str">
        <x:v>RS-00755</x:v>
      </x:c>
      <x:c r="C1463" s="9" t="n">
        <x:v>2</x:v>
      </x:c>
      <x:c r="D1463" s="8" t="n">
        <x:v>45379</x:v>
      </x:c>
      <x:c r="E1463" s="9" t="n">
        <x:v>2530000</x:v>
      </x:c>
      <x:c r="F1463" s="9" t="n">
        <x:v>0</x:v>
      </x:c>
    </x:row>
    <x:row r="1464" ht="34" customHeight="1">
      <x:c r="A1464" s="4" t="str">
        <x:v>RS-00755-I3</x:v>
      </x:c>
      <x:c r="B1464" s="4" t="str">
        <x:v>RS-00755</x:v>
      </x:c>
      <x:c r="C1464" s="9" t="n">
        <x:v>3</x:v>
      </x:c>
      <x:c r="D1464" s="8" t="n">
        <x:v>45409</x:v>
      </x:c>
      <x:c r="E1464" s="9" t="n">
        <x:v>2530000</x:v>
      </x:c>
      <x:c r="F1464" s="9" t="n">
        <x:v>0</x:v>
      </x:c>
    </x:row>
    <x:row r="1465" ht="34" customHeight="1">
      <x:c r="A1465" s="4" t="str">
        <x:v>RS-00755-I4</x:v>
      </x:c>
      <x:c r="B1465" s="4" t="str">
        <x:v>RS-00755</x:v>
      </x:c>
      <x:c r="C1465" s="9" t="n">
        <x:v>4</x:v>
      </x:c>
      <x:c r="D1465" s="8" t="n">
        <x:v>45439</x:v>
      </x:c>
      <x:c r="E1465" s="9" t="n">
        <x:v>2530000</x:v>
      </x:c>
      <x:c r="F1465" s="9" t="n">
        <x:v>0</x:v>
      </x:c>
    </x:row>
    <x:row r="1466" ht="34" customHeight="1">
      <x:c r="A1466" s="4" t="str">
        <x:v>RS-00756-I1</x:v>
      </x:c>
      <x:c r="B1466" s="4" t="str">
        <x:v>RS-00756</x:v>
      </x:c>
      <x:c r="C1466" s="9" t="n">
        <x:v>1</x:v>
      </x:c>
      <x:c r="D1466" s="8" t="n">
        <x:v>45350</x:v>
      </x:c>
      <x:c r="E1466" s="9" t="n">
        <x:v>2398750</x:v>
      </x:c>
      <x:c r="F1466" s="9" t="n">
        <x:v>959500</x:v>
      </x:c>
    </x:row>
    <x:row r="1467" ht="34" customHeight="1">
      <x:c r="A1467" s="4" t="str">
        <x:v>RS-00756-I2</x:v>
      </x:c>
      <x:c r="B1467" s="4" t="str">
        <x:v>RS-00756</x:v>
      </x:c>
      <x:c r="C1467" s="9" t="n">
        <x:v>2</x:v>
      </x:c>
      <x:c r="D1467" s="8" t="n">
        <x:v>45380</x:v>
      </x:c>
      <x:c r="E1467" s="9" t="n">
        <x:v>2398750</x:v>
      </x:c>
      <x:c r="F1467" s="9" t="n">
        <x:v>0</x:v>
      </x:c>
    </x:row>
    <x:row r="1468" ht="34" customHeight="1">
      <x:c r="A1468" s="4" t="str">
        <x:v>RS-00756-I3</x:v>
      </x:c>
      <x:c r="B1468" s="4" t="str">
        <x:v>RS-00756</x:v>
      </x:c>
      <x:c r="C1468" s="9" t="n">
        <x:v>3</x:v>
      </x:c>
      <x:c r="D1468" s="8" t="n">
        <x:v>45410</x:v>
      </x:c>
      <x:c r="E1468" s="9" t="n">
        <x:v>2398750</x:v>
      </x:c>
      <x:c r="F1468" s="9" t="n">
        <x:v>0</x:v>
      </x:c>
    </x:row>
    <x:row r="1469" ht="34" customHeight="1">
      <x:c r="A1469" s="4" t="str">
        <x:v>RS-00756-I4</x:v>
      </x:c>
      <x:c r="B1469" s="4" t="str">
        <x:v>RS-00756</x:v>
      </x:c>
      <x:c r="C1469" s="9" t="n">
        <x:v>4</x:v>
      </x:c>
      <x:c r="D1469" s="8" t="n">
        <x:v>45440</x:v>
      </x:c>
      <x:c r="E1469" s="9" t="n">
        <x:v>2398750</x:v>
      </x:c>
      <x:c r="F1469" s="9" t="n">
        <x:v>0</x:v>
      </x:c>
    </x:row>
    <x:row r="1470" ht="34" customHeight="1">
      <x:c r="A1470" s="4" t="str">
        <x:v>RS-00758-I1</x:v>
      </x:c>
      <x:c r="B1470" s="4" t="str">
        <x:v>RS-00758</x:v>
      </x:c>
      <x:c r="C1470" s="9" t="n">
        <x:v>1</x:v>
      </x:c>
      <x:c r="D1470" s="8" t="n">
        <x:v>45324</x:v>
      </x:c>
      <x:c r="E1470" s="9" t="n">
        <x:v>5047000</x:v>
      </x:c>
      <x:c r="F1470" s="9" t="n">
        <x:v>5047000</x:v>
      </x:c>
    </x:row>
    <x:row r="1471" ht="34" customHeight="1">
      <x:c r="A1471" s="4" t="str">
        <x:v>RS-00758-I2</x:v>
      </x:c>
      <x:c r="B1471" s="4" t="str">
        <x:v>RS-00758</x:v>
      </x:c>
      <x:c r="C1471" s="9" t="n">
        <x:v>2</x:v>
      </x:c>
      <x:c r="D1471" s="8" t="n">
        <x:v>45354</x:v>
      </x:c>
      <x:c r="E1471" s="9" t="n">
        <x:v>5047000</x:v>
      </x:c>
      <x:c r="F1471" s="9" t="n">
        <x:v>5047000</x:v>
      </x:c>
    </x:row>
    <x:row r="1472" ht="34" customHeight="1">
      <x:c r="A1472" s="4" t="str">
        <x:v>RS-00758-I3</x:v>
      </x:c>
      <x:c r="B1472" s="4" t="str">
        <x:v>RS-00758</x:v>
      </x:c>
      <x:c r="C1472" s="9" t="n">
        <x:v>3</x:v>
      </x:c>
      <x:c r="D1472" s="8" t="n">
        <x:v>45384</x:v>
      </x:c>
      <x:c r="E1472" s="9" t="n">
        <x:v>5047000</x:v>
      </x:c>
      <x:c r="F1472" s="9" t="n">
        <x:v>0</x:v>
      </x:c>
    </x:row>
    <x:row r="1473" ht="34" customHeight="1">
      <x:c r="A1473" s="4" t="str">
        <x:v>RS-00758-I4</x:v>
      </x:c>
      <x:c r="B1473" s="4" t="str">
        <x:v>RS-00758</x:v>
      </x:c>
      <x:c r="C1473" s="9" t="n">
        <x:v>4</x:v>
      </x:c>
      <x:c r="D1473" s="8" t="n">
        <x:v>45414</x:v>
      </x:c>
      <x:c r="E1473" s="9" t="n">
        <x:v>5047000</x:v>
      </x:c>
      <x:c r="F1473" s="9" t="n">
        <x:v>0</x:v>
      </x:c>
    </x:row>
    <x:row r="1474" ht="34" customHeight="1">
      <x:c r="A1474" s="4" t="str">
        <x:v>RS-00759-I1</x:v>
      </x:c>
      <x:c r="B1474" s="4" t="str">
        <x:v>RS-00759</x:v>
      </x:c>
      <x:c r="C1474" s="9" t="n">
        <x:v>1</x:v>
      </x:c>
      <x:c r="D1474" s="8" t="n">
        <x:v>45325</x:v>
      </x:c>
      <x:c r="E1474" s="9" t="n">
        <x:v>828000</x:v>
      </x:c>
      <x:c r="F1474" s="9" t="n">
        <x:v>828000</x:v>
      </x:c>
    </x:row>
    <x:row r="1475" ht="34" customHeight="1">
      <x:c r="A1475" s="4" t="str">
        <x:v>RS-00759-I2</x:v>
      </x:c>
      <x:c r="B1475" s="4" t="str">
        <x:v>RS-00759</x:v>
      </x:c>
      <x:c r="C1475" s="9" t="n">
        <x:v>2</x:v>
      </x:c>
      <x:c r="D1475" s="8" t="n">
        <x:v>45355</x:v>
      </x:c>
      <x:c r="E1475" s="9" t="n">
        <x:v>828000</x:v>
      </x:c>
      <x:c r="F1475" s="9" t="n">
        <x:v>828000</x:v>
      </x:c>
    </x:row>
    <x:row r="1476" ht="34" customHeight="1">
      <x:c r="A1476" s="4" t="str">
        <x:v>RS-00759-I3</x:v>
      </x:c>
      <x:c r="B1476" s="4" t="str">
        <x:v>RS-00759</x:v>
      </x:c>
      <x:c r="C1476" s="9" t="n">
        <x:v>3</x:v>
      </x:c>
      <x:c r="D1476" s="8" t="n">
        <x:v>45385</x:v>
      </x:c>
      <x:c r="E1476" s="9" t="n">
        <x:v>828000</x:v>
      </x:c>
      <x:c r="F1476" s="9" t="n">
        <x:v>0</x:v>
      </x:c>
    </x:row>
    <x:row r="1477" ht="34" customHeight="1">
      <x:c r="A1477" s="4" t="str">
        <x:v>RS-00759-I4</x:v>
      </x:c>
      <x:c r="B1477" s="4" t="str">
        <x:v>RS-00759</x:v>
      </x:c>
      <x:c r="C1477" s="9" t="n">
        <x:v>4</x:v>
      </x:c>
      <x:c r="D1477" s="8" t="n">
        <x:v>45415</x:v>
      </x:c>
      <x:c r="E1477" s="9" t="n">
        <x:v>828000</x:v>
      </x:c>
      <x:c r="F1477" s="9" t="n">
        <x:v>0</x:v>
      </x:c>
    </x:row>
    <x:row r="1478" ht="34" customHeight="1">
      <x:c r="A1478" s="4" t="str">
        <x:v>RS-00762-I1</x:v>
      </x:c>
      <x:c r="B1478" s="4" t="str">
        <x:v>RS-00762</x:v>
      </x:c>
      <x:c r="C1478" s="9" t="n">
        <x:v>1</x:v>
      </x:c>
      <x:c r="D1478" s="8" t="n">
        <x:v>45328</x:v>
      </x:c>
      <x:c r="E1478" s="9" t="n">
        <x:v>4065500</x:v>
      </x:c>
      <x:c r="F1478" s="9" t="n">
        <x:v>4065500</x:v>
      </x:c>
    </x:row>
    <x:row r="1479" ht="34" customHeight="1">
      <x:c r="A1479" s="4" t="str">
        <x:v>RS-00762-I2</x:v>
      </x:c>
      <x:c r="B1479" s="4" t="str">
        <x:v>RS-00762</x:v>
      </x:c>
      <x:c r="C1479" s="9" t="n">
        <x:v>2</x:v>
      </x:c>
      <x:c r="D1479" s="8" t="n">
        <x:v>45358</x:v>
      </x:c>
      <x:c r="E1479" s="9" t="n">
        <x:v>4065500</x:v>
      </x:c>
      <x:c r="F1479" s="9" t="n">
        <x:v>0</x:v>
      </x:c>
    </x:row>
    <x:row r="1480" ht="34" customHeight="1">
      <x:c r="A1480" s="4" t="str">
        <x:v>RS-00762-I3</x:v>
      </x:c>
      <x:c r="B1480" s="4" t="str">
        <x:v>RS-00762</x:v>
      </x:c>
      <x:c r="C1480" s="9" t="n">
        <x:v>3</x:v>
      </x:c>
      <x:c r="D1480" s="8" t="n">
        <x:v>45388</x:v>
      </x:c>
      <x:c r="E1480" s="9" t="n">
        <x:v>4065500</x:v>
      </x:c>
      <x:c r="F1480" s="9" t="n">
        <x:v>0</x:v>
      </x:c>
    </x:row>
    <x:row r="1481" ht="34" customHeight="1">
      <x:c r="A1481" s="4" t="str">
        <x:v>RS-00762-I4</x:v>
      </x:c>
      <x:c r="B1481" s="4" t="str">
        <x:v>RS-00762</x:v>
      </x:c>
      <x:c r="C1481" s="9" t="n">
        <x:v>4</x:v>
      </x:c>
      <x:c r="D1481" s="8" t="n">
        <x:v>45418</x:v>
      </x:c>
      <x:c r="E1481" s="9" t="n">
        <x:v>4065500</x:v>
      </x:c>
      <x:c r="F1481" s="9" t="n">
        <x:v>0</x:v>
      </x:c>
    </x:row>
    <x:row r="1482" ht="34" customHeight="1">
      <x:c r="A1482" s="4" t="str">
        <x:v>RS-00763-I1</x:v>
      </x:c>
      <x:c r="B1482" s="4" t="str">
        <x:v>RS-00763</x:v>
      </x:c>
      <x:c r="C1482" s="9" t="n">
        <x:v>1</x:v>
      </x:c>
      <x:c r="D1482" s="8" t="n">
        <x:v>45329</x:v>
      </x:c>
      <x:c r="E1482" s="9" t="n">
        <x:v>1971250</x:v>
      </x:c>
      <x:c r="F1482" s="9" t="n">
        <x:v>1971250</x:v>
      </x:c>
    </x:row>
    <x:row r="1483" ht="34" customHeight="1">
      <x:c r="A1483" s="4" t="str">
        <x:v>RS-00763-I2</x:v>
      </x:c>
      <x:c r="B1483" s="4" t="str">
        <x:v>RS-00763</x:v>
      </x:c>
      <x:c r="C1483" s="9" t="n">
        <x:v>2</x:v>
      </x:c>
      <x:c r="D1483" s="8" t="n">
        <x:v>45359</x:v>
      </x:c>
      <x:c r="E1483" s="9" t="n">
        <x:v>1971250</x:v>
      </x:c>
      <x:c r="F1483" s="9" t="n">
        <x:v>1971250</x:v>
      </x:c>
    </x:row>
    <x:row r="1484" ht="34" customHeight="1">
      <x:c r="A1484" s="4" t="str">
        <x:v>RS-00763-I3</x:v>
      </x:c>
      <x:c r="B1484" s="4" t="str">
        <x:v>RS-00763</x:v>
      </x:c>
      <x:c r="C1484" s="9" t="n">
        <x:v>3</x:v>
      </x:c>
      <x:c r="D1484" s="8" t="n">
        <x:v>45389</x:v>
      </x:c>
      <x:c r="E1484" s="9" t="n">
        <x:v>1971250</x:v>
      </x:c>
      <x:c r="F1484" s="9" t="n">
        <x:v>1971250</x:v>
      </x:c>
    </x:row>
    <x:row r="1485" ht="34" customHeight="1">
      <x:c r="A1485" s="4" t="str">
        <x:v>RS-00763-I4</x:v>
      </x:c>
      <x:c r="B1485" s="4" t="str">
        <x:v>RS-00763</x:v>
      </x:c>
      <x:c r="C1485" s="9" t="n">
        <x:v>4</x:v>
      </x:c>
      <x:c r="D1485" s="8" t="n">
        <x:v>45419</x:v>
      </x:c>
      <x:c r="E1485" s="9" t="n">
        <x:v>1971250</x:v>
      </x:c>
      <x:c r="F1485" s="9" t="n">
        <x:v>1971250</x:v>
      </x:c>
    </x:row>
    <x:row r="1486" ht="34" customHeight="1">
      <x:c r="A1486" s="4" t="str">
        <x:v>RS-00764-I1</x:v>
      </x:c>
      <x:c r="B1486" s="4" t="str">
        <x:v>RS-00764</x:v>
      </x:c>
      <x:c r="C1486" s="9" t="n">
        <x:v>1</x:v>
      </x:c>
      <x:c r="D1486" s="8" t="n">
        <x:v>45330</x:v>
      </x:c>
      <x:c r="E1486" s="9" t="n">
        <x:v>2434250</x:v>
      </x:c>
      <x:c r="F1486" s="9" t="n">
        <x:v>973700</x:v>
      </x:c>
    </x:row>
    <x:row r="1487" ht="34" customHeight="1">
      <x:c r="A1487" s="4" t="str">
        <x:v>RS-00764-I2</x:v>
      </x:c>
      <x:c r="B1487" s="4" t="str">
        <x:v>RS-00764</x:v>
      </x:c>
      <x:c r="C1487" s="9" t="n">
        <x:v>2</x:v>
      </x:c>
      <x:c r="D1487" s="8" t="n">
        <x:v>45360</x:v>
      </x:c>
      <x:c r="E1487" s="9" t="n">
        <x:v>2434250</x:v>
      </x:c>
      <x:c r="F1487" s="9" t="n">
        <x:v>0</x:v>
      </x:c>
    </x:row>
    <x:row r="1488" ht="34" customHeight="1">
      <x:c r="A1488" s="4" t="str">
        <x:v>RS-00764-I3</x:v>
      </x:c>
      <x:c r="B1488" s="4" t="str">
        <x:v>RS-00764</x:v>
      </x:c>
      <x:c r="C1488" s="9" t="n">
        <x:v>3</x:v>
      </x:c>
      <x:c r="D1488" s="8" t="n">
        <x:v>45390</x:v>
      </x:c>
      <x:c r="E1488" s="9" t="n">
        <x:v>2434250</x:v>
      </x:c>
      <x:c r="F1488" s="9" t="n">
        <x:v>0</x:v>
      </x:c>
    </x:row>
    <x:row r="1489" ht="34" customHeight="1">
      <x:c r="A1489" s="4" t="str">
        <x:v>RS-00764-I4</x:v>
      </x:c>
      <x:c r="B1489" s="4" t="str">
        <x:v>RS-00764</x:v>
      </x:c>
      <x:c r="C1489" s="9" t="n">
        <x:v>4</x:v>
      </x:c>
      <x:c r="D1489" s="8" t="n">
        <x:v>45420</x:v>
      </x:c>
      <x:c r="E1489" s="9" t="n">
        <x:v>2434250</x:v>
      </x:c>
      <x:c r="F1489" s="9" t="n">
        <x:v>0</x:v>
      </x:c>
    </x:row>
    <x:row r="1490" ht="34" customHeight="1">
      <x:c r="A1490" s="4" t="str">
        <x:v>RS-00765-I1</x:v>
      </x:c>
      <x:c r="B1490" s="4" t="str">
        <x:v>RS-00765</x:v>
      </x:c>
      <x:c r="C1490" s="9" t="n">
        <x:v>1</x:v>
      </x:c>
      <x:c r="D1490" s="8" t="n">
        <x:v>45331</x:v>
      </x:c>
      <x:c r="E1490" s="9" t="n">
        <x:v>1935500</x:v>
      </x:c>
      <x:c r="F1490" s="9" t="n">
        <x:v>1935500</x:v>
      </x:c>
    </x:row>
    <x:row r="1491" ht="34" customHeight="1">
      <x:c r="A1491" s="4" t="str">
        <x:v>RS-00765-I2</x:v>
      </x:c>
      <x:c r="B1491" s="4" t="str">
        <x:v>RS-00765</x:v>
      </x:c>
      <x:c r="C1491" s="9" t="n">
        <x:v>2</x:v>
      </x:c>
      <x:c r="D1491" s="8" t="n">
        <x:v>45361</x:v>
      </x:c>
      <x:c r="E1491" s="9" t="n">
        <x:v>1935500</x:v>
      </x:c>
      <x:c r="F1491" s="9" t="n">
        <x:v>0</x:v>
      </x:c>
    </x:row>
    <x:row r="1492" ht="34" customHeight="1">
      <x:c r="A1492" s="4" t="str">
        <x:v>RS-00765-I3</x:v>
      </x:c>
      <x:c r="B1492" s="4" t="str">
        <x:v>RS-00765</x:v>
      </x:c>
      <x:c r="C1492" s="9" t="n">
        <x:v>3</x:v>
      </x:c>
      <x:c r="D1492" s="8" t="n">
        <x:v>45391</x:v>
      </x:c>
      <x:c r="E1492" s="9" t="n">
        <x:v>1935500</x:v>
      </x:c>
      <x:c r="F1492" s="9" t="n">
        <x:v>0</x:v>
      </x:c>
    </x:row>
    <x:row r="1493" ht="34" customHeight="1">
      <x:c r="A1493" s="4" t="str">
        <x:v>RS-00765-I4</x:v>
      </x:c>
      <x:c r="B1493" s="4" t="str">
        <x:v>RS-00765</x:v>
      </x:c>
      <x:c r="C1493" s="9" t="n">
        <x:v>4</x:v>
      </x:c>
      <x:c r="D1493" s="8" t="n">
        <x:v>45421</x:v>
      </x:c>
      <x:c r="E1493" s="9" t="n">
        <x:v>1935500</x:v>
      </x:c>
      <x:c r="F1493" s="9" t="n">
        <x:v>0</x:v>
      </x:c>
    </x:row>
    <x:row r="1494" ht="34" customHeight="1">
      <x:c r="A1494" s="4" t="str">
        <x:v>RS-00769-I1</x:v>
      </x:c>
      <x:c r="B1494" s="4" t="str">
        <x:v>RS-00769</x:v>
      </x:c>
      <x:c r="C1494" s="9" t="n">
        <x:v>1</x:v>
      </x:c>
      <x:c r="D1494" s="8" t="n">
        <x:v>45335</x:v>
      </x:c>
      <x:c r="E1494" s="9" t="n">
        <x:v>2180500</x:v>
      </x:c>
      <x:c r="F1494" s="9" t="n">
        <x:v>2180500</x:v>
      </x:c>
    </x:row>
    <x:row r="1495" ht="34" customHeight="1">
      <x:c r="A1495" s="4" t="str">
        <x:v>RS-00769-I2</x:v>
      </x:c>
      <x:c r="B1495" s="4" t="str">
        <x:v>RS-00769</x:v>
      </x:c>
      <x:c r="C1495" s="9" t="n">
        <x:v>2</x:v>
      </x:c>
      <x:c r="D1495" s="8" t="n">
        <x:v>45365</x:v>
      </x:c>
      <x:c r="E1495" s="9" t="n">
        <x:v>2180500</x:v>
      </x:c>
      <x:c r="F1495" s="9" t="n">
        <x:v>2180500</x:v>
      </x:c>
    </x:row>
    <x:row r="1496" ht="34" customHeight="1">
      <x:c r="A1496" s="4" t="str">
        <x:v>RS-00769-I3</x:v>
      </x:c>
      <x:c r="B1496" s="4" t="str">
        <x:v>RS-00769</x:v>
      </x:c>
      <x:c r="C1496" s="9" t="n">
        <x:v>3</x:v>
      </x:c>
      <x:c r="D1496" s="8" t="n">
        <x:v>45395</x:v>
      </x:c>
      <x:c r="E1496" s="9" t="n">
        <x:v>2180500</x:v>
      </x:c>
      <x:c r="F1496" s="9" t="n">
        <x:v>0</x:v>
      </x:c>
    </x:row>
    <x:row r="1497" ht="34" customHeight="1">
      <x:c r="A1497" s="4" t="str">
        <x:v>RS-00769-I4</x:v>
      </x:c>
      <x:c r="B1497" s="4" t="str">
        <x:v>RS-00769</x:v>
      </x:c>
      <x:c r="C1497" s="9" t="n">
        <x:v>4</x:v>
      </x:c>
      <x:c r="D1497" s="8" t="n">
        <x:v>45425</x:v>
      </x:c>
      <x:c r="E1497" s="9" t="n">
        <x:v>2180500</x:v>
      </x:c>
      <x:c r="F1497" s="9" t="n">
        <x:v>0</x:v>
      </x:c>
    </x:row>
    <x:row r="1498" ht="34" customHeight="1">
      <x:c r="A1498" s="4" t="str">
        <x:v>RS-00771-I1</x:v>
      </x:c>
      <x:c r="B1498" s="4" t="str">
        <x:v>RS-00771</x:v>
      </x:c>
      <x:c r="C1498" s="9" t="n">
        <x:v>1</x:v>
      </x:c>
      <x:c r="D1498" s="8" t="n">
        <x:v>45337</x:v>
      </x:c>
      <x:c r="E1498" s="9" t="n">
        <x:v>1511250</x:v>
      </x:c>
      <x:c r="F1498" s="9" t="n">
        <x:v>1511250</x:v>
      </x:c>
    </x:row>
    <x:row r="1499" ht="34" customHeight="1">
      <x:c r="A1499" s="4" t="str">
        <x:v>RS-00771-I2</x:v>
      </x:c>
      <x:c r="B1499" s="4" t="str">
        <x:v>RS-00771</x:v>
      </x:c>
      <x:c r="C1499" s="9" t="n">
        <x:v>2</x:v>
      </x:c>
      <x:c r="D1499" s="8" t="n">
        <x:v>45367</x:v>
      </x:c>
      <x:c r="E1499" s="9" t="n">
        <x:v>1511250</x:v>
      </x:c>
      <x:c r="F1499" s="9" t="n">
        <x:v>1511250</x:v>
      </x:c>
    </x:row>
    <x:row r="1500" ht="34" customHeight="1">
      <x:c r="A1500" s="4" t="str">
        <x:v>RS-00771-I3</x:v>
      </x:c>
      <x:c r="B1500" s="4" t="str">
        <x:v>RS-00771</x:v>
      </x:c>
      <x:c r="C1500" s="9" t="n">
        <x:v>3</x:v>
      </x:c>
      <x:c r="D1500" s="8" t="n">
        <x:v>45397</x:v>
      </x:c>
      <x:c r="E1500" s="9" t="n">
        <x:v>1511250</x:v>
      </x:c>
      <x:c r="F1500" s="9" t="n">
        <x:v>1511250</x:v>
      </x:c>
    </x:row>
    <x:row r="1501" ht="34" customHeight="1">
      <x:c r="A1501" s="4" t="str">
        <x:v>RS-00771-I4</x:v>
      </x:c>
      <x:c r="B1501" s="4" t="str">
        <x:v>RS-00771</x:v>
      </x:c>
      <x:c r="C1501" s="9" t="n">
        <x:v>4</x:v>
      </x:c>
      <x:c r="D1501" s="8" t="n">
        <x:v>45427</x:v>
      </x:c>
      <x:c r="E1501" s="9" t="n">
        <x:v>1511250</x:v>
      </x:c>
      <x:c r="F1501" s="9" t="n">
        <x:v>1511250</x:v>
      </x:c>
    </x:row>
    <x:row r="1502" ht="34" customHeight="1">
      <x:c r="A1502" s="4" t="str">
        <x:v>RS-00776-I1</x:v>
      </x:c>
      <x:c r="B1502" s="4" t="str">
        <x:v>RS-00776</x:v>
      </x:c>
      <x:c r="C1502" s="9" t="n">
        <x:v>1</x:v>
      </x:c>
      <x:c r="D1502" s="8" t="n">
        <x:v>45342</x:v>
      </x:c>
      <x:c r="E1502" s="9" t="n">
        <x:v>4583750</x:v>
      </x:c>
      <x:c r="F1502" s="9" t="n">
        <x:v>4583750</x:v>
      </x:c>
    </x:row>
    <x:row r="1503" ht="34" customHeight="1">
      <x:c r="A1503" s="4" t="str">
        <x:v>RS-00776-I2</x:v>
      </x:c>
      <x:c r="B1503" s="4" t="str">
        <x:v>RS-00776</x:v>
      </x:c>
      <x:c r="C1503" s="9" t="n">
        <x:v>2</x:v>
      </x:c>
      <x:c r="D1503" s="8" t="n">
        <x:v>45372</x:v>
      </x:c>
      <x:c r="E1503" s="9" t="n">
        <x:v>4583750</x:v>
      </x:c>
      <x:c r="F1503" s="9" t="n">
        <x:v>0</x:v>
      </x:c>
    </x:row>
    <x:row r="1504" ht="34" customHeight="1">
      <x:c r="A1504" s="4" t="str">
        <x:v>RS-00776-I3</x:v>
      </x:c>
      <x:c r="B1504" s="4" t="str">
        <x:v>RS-00776</x:v>
      </x:c>
      <x:c r="C1504" s="9" t="n">
        <x:v>3</x:v>
      </x:c>
      <x:c r="D1504" s="8" t="n">
        <x:v>45402</x:v>
      </x:c>
      <x:c r="E1504" s="9" t="n">
        <x:v>4583750</x:v>
      </x:c>
      <x:c r="F1504" s="9" t="n">
        <x:v>0</x:v>
      </x:c>
    </x:row>
    <x:row r="1505" ht="34" customHeight="1">
      <x:c r="A1505" s="4" t="str">
        <x:v>RS-00776-I4</x:v>
      </x:c>
      <x:c r="B1505" s="4" t="str">
        <x:v>RS-00776</x:v>
      </x:c>
      <x:c r="C1505" s="9" t="n">
        <x:v>4</x:v>
      </x:c>
      <x:c r="D1505" s="8" t="n">
        <x:v>45432</x:v>
      </x:c>
      <x:c r="E1505" s="9" t="n">
        <x:v>4583750</x:v>
      </x:c>
      <x:c r="F1505" s="9" t="n">
        <x:v>0</x:v>
      </x:c>
    </x:row>
    <x:row r="1506" ht="34" customHeight="1">
      <x:c r="A1506" s="4" t="str">
        <x:v>RS-00777-I1</x:v>
      </x:c>
      <x:c r="B1506" s="4" t="str">
        <x:v>RS-00777</x:v>
      </x:c>
      <x:c r="C1506" s="9" t="n">
        <x:v>1</x:v>
      </x:c>
      <x:c r="D1506" s="8" t="n">
        <x:v>45343</x:v>
      </x:c>
      <x:c r="E1506" s="9" t="n">
        <x:v>2448000</x:v>
      </x:c>
      <x:c r="F1506" s="9" t="n">
        <x:v>2448000</x:v>
      </x:c>
    </x:row>
    <x:row r="1507" ht="34" customHeight="1">
      <x:c r="A1507" s="4" t="str">
        <x:v>RS-00777-I2</x:v>
      </x:c>
      <x:c r="B1507" s="4" t="str">
        <x:v>RS-00777</x:v>
      </x:c>
      <x:c r="C1507" s="9" t="n">
        <x:v>2</x:v>
      </x:c>
      <x:c r="D1507" s="8" t="n">
        <x:v>45373</x:v>
      </x:c>
      <x:c r="E1507" s="9" t="n">
        <x:v>2448000</x:v>
      </x:c>
      <x:c r="F1507" s="9" t="n">
        <x:v>0</x:v>
      </x:c>
    </x:row>
    <x:row r="1508" ht="34" customHeight="1">
      <x:c r="A1508" s="4" t="str">
        <x:v>RS-00777-I3</x:v>
      </x:c>
      <x:c r="B1508" s="4" t="str">
        <x:v>RS-00777</x:v>
      </x:c>
      <x:c r="C1508" s="9" t="n">
        <x:v>3</x:v>
      </x:c>
      <x:c r="D1508" s="8" t="n">
        <x:v>45403</x:v>
      </x:c>
      <x:c r="E1508" s="9" t="n">
        <x:v>2448000</x:v>
      </x:c>
      <x:c r="F1508" s="9" t="n">
        <x:v>0</x:v>
      </x:c>
    </x:row>
    <x:row r="1509" ht="34" customHeight="1">
      <x:c r="A1509" s="4" t="str">
        <x:v>RS-00777-I4</x:v>
      </x:c>
      <x:c r="B1509" s="4" t="str">
        <x:v>RS-00777</x:v>
      </x:c>
      <x:c r="C1509" s="9" t="n">
        <x:v>4</x:v>
      </x:c>
      <x:c r="D1509" s="8" t="n">
        <x:v>45433</x:v>
      </x:c>
      <x:c r="E1509" s="9" t="n">
        <x:v>2448000</x:v>
      </x:c>
      <x:c r="F1509" s="9" t="n">
        <x:v>0</x:v>
      </x:c>
    </x:row>
    <x:row r="1510" ht="34" customHeight="1">
      <x:c r="A1510" s="4" t="str">
        <x:v>RS-00780-I1</x:v>
      </x:c>
      <x:c r="B1510" s="4" t="str">
        <x:v>RS-00780</x:v>
      </x:c>
      <x:c r="C1510" s="9" t="n">
        <x:v>1</x:v>
      </x:c>
      <x:c r="D1510" s="8" t="n">
        <x:v>45346</x:v>
      </x:c>
      <x:c r="E1510" s="9" t="n">
        <x:v>3127500</x:v>
      </x:c>
      <x:c r="F1510" s="9" t="n">
        <x:v>3127500</x:v>
      </x:c>
    </x:row>
    <x:row r="1511" ht="34" customHeight="1">
      <x:c r="A1511" s="4" t="str">
        <x:v>RS-00780-I2</x:v>
      </x:c>
      <x:c r="B1511" s="4" t="str">
        <x:v>RS-00780</x:v>
      </x:c>
      <x:c r="C1511" s="9" t="n">
        <x:v>2</x:v>
      </x:c>
      <x:c r="D1511" s="8" t="n">
        <x:v>45376</x:v>
      </x:c>
      <x:c r="E1511" s="9" t="n">
        <x:v>3127500</x:v>
      </x:c>
      <x:c r="F1511" s="9" t="n">
        <x:v>3127500</x:v>
      </x:c>
    </x:row>
    <x:row r="1512" ht="34" customHeight="1">
      <x:c r="A1512" s="4" t="str">
        <x:v>RS-00780-I3</x:v>
      </x:c>
      <x:c r="B1512" s="4" t="str">
        <x:v>RS-00780</x:v>
      </x:c>
      <x:c r="C1512" s="9" t="n">
        <x:v>3</x:v>
      </x:c>
      <x:c r="D1512" s="8" t="n">
        <x:v>45406</x:v>
      </x:c>
      <x:c r="E1512" s="9" t="n">
        <x:v>3127500</x:v>
      </x:c>
      <x:c r="F1512" s="9" t="n">
        <x:v>0</x:v>
      </x:c>
    </x:row>
    <x:row r="1513" ht="34" customHeight="1">
      <x:c r="A1513" s="4" t="str">
        <x:v>RS-00780-I4</x:v>
      </x:c>
      <x:c r="B1513" s="4" t="str">
        <x:v>RS-00780</x:v>
      </x:c>
      <x:c r="C1513" s="9" t="n">
        <x:v>4</x:v>
      </x:c>
      <x:c r="D1513" s="8" t="n">
        <x:v>45436</x:v>
      </x:c>
      <x:c r="E1513" s="9" t="n">
        <x:v>3127500</x:v>
      </x:c>
      <x:c r="F1513" s="9" t="n">
        <x:v>0</x:v>
      </x:c>
    </x:row>
    <x:row r="1514" ht="34" customHeight="1">
      <x:c r="A1514" s="4" t="str">
        <x:v>RS-00781-I1</x:v>
      </x:c>
      <x:c r="B1514" s="4" t="str">
        <x:v>RS-00781</x:v>
      </x:c>
      <x:c r="C1514" s="9" t="n">
        <x:v>1</x:v>
      </x:c>
      <x:c r="D1514" s="8" t="n">
        <x:v>45347</x:v>
      </x:c>
      <x:c r="E1514" s="9" t="n">
        <x:v>1104000</x:v>
      </x:c>
      <x:c r="F1514" s="9" t="n">
        <x:v>1104000</x:v>
      </x:c>
    </x:row>
    <x:row r="1515" ht="34" customHeight="1">
      <x:c r="A1515" s="4" t="str">
        <x:v>RS-00781-I2</x:v>
      </x:c>
      <x:c r="B1515" s="4" t="str">
        <x:v>RS-00781</x:v>
      </x:c>
      <x:c r="C1515" s="9" t="n">
        <x:v>2</x:v>
      </x:c>
      <x:c r="D1515" s="8" t="n">
        <x:v>45377</x:v>
      </x:c>
      <x:c r="E1515" s="9" t="n">
        <x:v>1104000</x:v>
      </x:c>
      <x:c r="F1515" s="9" t="n">
        <x:v>0</x:v>
      </x:c>
    </x:row>
    <x:row r="1516" ht="34" customHeight="1">
      <x:c r="A1516" s="4" t="str">
        <x:v>RS-00781-I3</x:v>
      </x:c>
      <x:c r="B1516" s="4" t="str">
        <x:v>RS-00781</x:v>
      </x:c>
      <x:c r="C1516" s="9" t="n">
        <x:v>3</x:v>
      </x:c>
      <x:c r="D1516" s="8" t="n">
        <x:v>45407</x:v>
      </x:c>
      <x:c r="E1516" s="9" t="n">
        <x:v>1104000</x:v>
      </x:c>
      <x:c r="F1516" s="9" t="n">
        <x:v>0</x:v>
      </x:c>
    </x:row>
    <x:row r="1517" ht="34" customHeight="1">
      <x:c r="A1517" s="4" t="str">
        <x:v>RS-00781-I4</x:v>
      </x:c>
      <x:c r="B1517" s="4" t="str">
        <x:v>RS-00781</x:v>
      </x:c>
      <x:c r="C1517" s="9" t="n">
        <x:v>4</x:v>
      </x:c>
      <x:c r="D1517" s="8" t="n">
        <x:v>45437</x:v>
      </x:c>
      <x:c r="E1517" s="9" t="n">
        <x:v>1104000</x:v>
      </x:c>
      <x:c r="F1517" s="9" t="n">
        <x:v>0</x:v>
      </x:c>
    </x:row>
    <x:row r="1518" ht="34" customHeight="1">
      <x:c r="A1518" s="4" t="str">
        <x:v>RS-00785-I1</x:v>
      </x:c>
      <x:c r="B1518" s="4" t="str">
        <x:v>RS-00785</x:v>
      </x:c>
      <x:c r="C1518" s="9" t="n">
        <x:v>1</x:v>
      </x:c>
      <x:c r="D1518" s="8" t="n">
        <x:v>45323</x:v>
      </x:c>
      <x:c r="E1518" s="9" t="n">
        <x:v>1450000</x:v>
      </x:c>
      <x:c r="F1518" s="9" t="n">
        <x:v>1450000</x:v>
      </x:c>
    </x:row>
    <x:row r="1519" ht="34" customHeight="1">
      <x:c r="A1519" s="4" t="str">
        <x:v>RS-00785-I2</x:v>
      </x:c>
      <x:c r="B1519" s="4" t="str">
        <x:v>RS-00785</x:v>
      </x:c>
      <x:c r="C1519" s="9" t="n">
        <x:v>2</x:v>
      </x:c>
      <x:c r="D1519" s="8" t="n">
        <x:v>45353</x:v>
      </x:c>
      <x:c r="E1519" s="9" t="n">
        <x:v>1450000</x:v>
      </x:c>
      <x:c r="F1519" s="9" t="n">
        <x:v>1450000</x:v>
      </x:c>
    </x:row>
    <x:row r="1520" ht="34" customHeight="1">
      <x:c r="A1520" s="4" t="str">
        <x:v>RS-00785-I3</x:v>
      </x:c>
      <x:c r="B1520" s="4" t="str">
        <x:v>RS-00785</x:v>
      </x:c>
      <x:c r="C1520" s="9" t="n">
        <x:v>3</x:v>
      </x:c>
      <x:c r="D1520" s="8" t="n">
        <x:v>45383</x:v>
      </x:c>
      <x:c r="E1520" s="9" t="n">
        <x:v>1450000</x:v>
      </x:c>
      <x:c r="F1520" s="9" t="n">
        <x:v>0</x:v>
      </x:c>
    </x:row>
    <x:row r="1521" ht="34" customHeight="1">
      <x:c r="A1521" s="4" t="str">
        <x:v>RS-00785-I4</x:v>
      </x:c>
      <x:c r="B1521" s="4" t="str">
        <x:v>RS-00785</x:v>
      </x:c>
      <x:c r="C1521" s="9" t="n">
        <x:v>4</x:v>
      </x:c>
      <x:c r="D1521" s="8" t="n">
        <x:v>45413</x:v>
      </x:c>
      <x:c r="E1521" s="9" t="n">
        <x:v>1450000</x:v>
      </x:c>
      <x:c r="F1521" s="9" t="n">
        <x:v>0</x:v>
      </x:c>
    </x:row>
    <x:row r="1522" ht="34" customHeight="1">
      <x:c r="A1522" s="4" t="str">
        <x:v>RS-00787-I1</x:v>
      </x:c>
      <x:c r="B1522" s="4" t="str">
        <x:v>RS-00787</x:v>
      </x:c>
      <x:c r="C1522" s="9" t="n">
        <x:v>1</x:v>
      </x:c>
      <x:c r="D1522" s="8" t="n">
        <x:v>45325</x:v>
      </x:c>
      <x:c r="E1522" s="9" t="n">
        <x:v>5473500</x:v>
      </x:c>
      <x:c r="F1522" s="9" t="n">
        <x:v>2189400</x:v>
      </x:c>
    </x:row>
    <x:row r="1523" ht="34" customHeight="1">
      <x:c r="A1523" s="4" t="str">
        <x:v>RS-00787-I2</x:v>
      </x:c>
      <x:c r="B1523" s="4" t="str">
        <x:v>RS-00787</x:v>
      </x:c>
      <x:c r="C1523" s="9" t="n">
        <x:v>2</x:v>
      </x:c>
      <x:c r="D1523" s="8" t="n">
        <x:v>45355</x:v>
      </x:c>
      <x:c r="E1523" s="9" t="n">
        <x:v>5473500</x:v>
      </x:c>
      <x:c r="F1523" s="9" t="n">
        <x:v>0</x:v>
      </x:c>
    </x:row>
    <x:row r="1524" ht="34" customHeight="1">
      <x:c r="A1524" s="4" t="str">
        <x:v>RS-00787-I3</x:v>
      </x:c>
      <x:c r="B1524" s="4" t="str">
        <x:v>RS-00787</x:v>
      </x:c>
      <x:c r="C1524" s="9" t="n">
        <x:v>3</x:v>
      </x:c>
      <x:c r="D1524" s="8" t="n">
        <x:v>45385</x:v>
      </x:c>
      <x:c r="E1524" s="9" t="n">
        <x:v>5473500</x:v>
      </x:c>
      <x:c r="F1524" s="9" t="n">
        <x:v>0</x:v>
      </x:c>
    </x:row>
    <x:row r="1525" ht="34" customHeight="1">
      <x:c r="A1525" s="4" t="str">
        <x:v>RS-00787-I4</x:v>
      </x:c>
      <x:c r="B1525" s="4" t="str">
        <x:v>RS-00787</x:v>
      </x:c>
      <x:c r="C1525" s="9" t="n">
        <x:v>4</x:v>
      </x:c>
      <x:c r="D1525" s="8" t="n">
        <x:v>45415</x:v>
      </x:c>
      <x:c r="E1525" s="9" t="n">
        <x:v>5473500</x:v>
      </x:c>
      <x:c r="F1525" s="9" t="n">
        <x:v>0</x:v>
      </x:c>
    </x:row>
    <x:row r="1526" ht="34" customHeight="1">
      <x:c r="A1526" s="4" t="str">
        <x:v>RS-00789-I1</x:v>
      </x:c>
      <x:c r="B1526" s="4" t="str">
        <x:v>RS-00789</x:v>
      </x:c>
      <x:c r="C1526" s="9" t="n">
        <x:v>1</x:v>
      </x:c>
      <x:c r="D1526" s="8" t="n">
        <x:v>45327</x:v>
      </x:c>
      <x:c r="E1526" s="9" t="n">
        <x:v>980000</x:v>
      </x:c>
      <x:c r="F1526" s="9" t="n">
        <x:v>980000</x:v>
      </x:c>
    </x:row>
    <x:row r="1527" ht="34" customHeight="1">
      <x:c r="A1527" s="4" t="str">
        <x:v>RS-00789-I2</x:v>
      </x:c>
      <x:c r="B1527" s="4" t="str">
        <x:v>RS-00789</x:v>
      </x:c>
      <x:c r="C1527" s="9" t="n">
        <x:v>2</x:v>
      </x:c>
      <x:c r="D1527" s="8" t="n">
        <x:v>45357</x:v>
      </x:c>
      <x:c r="E1527" s="9" t="n">
        <x:v>980000</x:v>
      </x:c>
      <x:c r="F1527" s="9" t="n">
        <x:v>0</x:v>
      </x:c>
    </x:row>
    <x:row r="1528" ht="34" customHeight="1">
      <x:c r="A1528" s="4" t="str">
        <x:v>RS-00789-I3</x:v>
      </x:c>
      <x:c r="B1528" s="4" t="str">
        <x:v>RS-00789</x:v>
      </x:c>
      <x:c r="C1528" s="9" t="n">
        <x:v>3</x:v>
      </x:c>
      <x:c r="D1528" s="8" t="n">
        <x:v>45387</x:v>
      </x:c>
      <x:c r="E1528" s="9" t="n">
        <x:v>980000</x:v>
      </x:c>
      <x:c r="F1528" s="9" t="n">
        <x:v>0</x:v>
      </x:c>
    </x:row>
    <x:row r="1529" ht="34" customHeight="1">
      <x:c r="A1529" s="4" t="str">
        <x:v>RS-00789-I4</x:v>
      </x:c>
      <x:c r="B1529" s="4" t="str">
        <x:v>RS-00789</x:v>
      </x:c>
      <x:c r="C1529" s="9" t="n">
        <x:v>4</x:v>
      </x:c>
      <x:c r="D1529" s="8" t="n">
        <x:v>45417</x:v>
      </x:c>
      <x:c r="E1529" s="9" t="n">
        <x:v>980000</x:v>
      </x:c>
      <x:c r="F1529" s="9" t="n">
        <x:v>0</x:v>
      </x:c>
    </x:row>
    <x:row r="1530" ht="34" customHeight="1">
      <x:c r="A1530" s="4" t="str">
        <x:v>RS-00790-I1</x:v>
      </x:c>
      <x:c r="B1530" s="4" t="str">
        <x:v>RS-00790</x:v>
      </x:c>
      <x:c r="C1530" s="9" t="n">
        <x:v>1</x:v>
      </x:c>
      <x:c r="D1530" s="8" t="n">
        <x:v>45328</x:v>
      </x:c>
      <x:c r="E1530" s="9" t="n">
        <x:v>3816000</x:v>
      </x:c>
      <x:c r="F1530" s="9" t="n">
        <x:v>3816000</x:v>
      </x:c>
    </x:row>
    <x:row r="1531" ht="34" customHeight="1">
      <x:c r="A1531" s="4" t="str">
        <x:v>RS-00790-I2</x:v>
      </x:c>
      <x:c r="B1531" s="4" t="str">
        <x:v>RS-00790</x:v>
      </x:c>
      <x:c r="C1531" s="9" t="n">
        <x:v>2</x:v>
      </x:c>
      <x:c r="D1531" s="8" t="n">
        <x:v>45358</x:v>
      </x:c>
      <x:c r="E1531" s="9" t="n">
        <x:v>3816000</x:v>
      </x:c>
      <x:c r="F1531" s="9" t="n">
        <x:v>3816000</x:v>
      </x:c>
    </x:row>
    <x:row r="1532" ht="34" customHeight="1">
      <x:c r="A1532" s="4" t="str">
        <x:v>RS-00790-I3</x:v>
      </x:c>
      <x:c r="B1532" s="4" t="str">
        <x:v>RS-00790</x:v>
      </x:c>
      <x:c r="C1532" s="9" t="n">
        <x:v>3</x:v>
      </x:c>
      <x:c r="D1532" s="8" t="n">
        <x:v>45388</x:v>
      </x:c>
      <x:c r="E1532" s="9" t="n">
        <x:v>3816000</x:v>
      </x:c>
      <x:c r="F1532" s="9" t="n">
        <x:v>0</x:v>
      </x:c>
    </x:row>
    <x:row r="1533" ht="34" customHeight="1">
      <x:c r="A1533" s="4" t="str">
        <x:v>RS-00790-I4</x:v>
      </x:c>
      <x:c r="B1533" s="4" t="str">
        <x:v>RS-00790</x:v>
      </x:c>
      <x:c r="C1533" s="9" t="n">
        <x:v>4</x:v>
      </x:c>
      <x:c r="D1533" s="8" t="n">
        <x:v>45418</x:v>
      </x:c>
      <x:c r="E1533" s="9" t="n">
        <x:v>3816000</x:v>
      </x:c>
      <x:c r="F1533" s="9" t="n">
        <x:v>0</x:v>
      </x:c>
    </x:row>
    <x:row r="1534" ht="34" customHeight="1">
      <x:c r="A1534" s="4" t="str">
        <x:v>RS-00793-I1</x:v>
      </x:c>
      <x:c r="B1534" s="4" t="str">
        <x:v>RS-00793</x:v>
      </x:c>
      <x:c r="C1534" s="9" t="n">
        <x:v>1</x:v>
      </x:c>
      <x:c r="D1534" s="8" t="n">
        <x:v>45331</x:v>
      </x:c>
      <x:c r="E1534" s="9" t="n">
        <x:v>3405500</x:v>
      </x:c>
      <x:c r="F1534" s="9" t="n">
        <x:v>3405500</x:v>
      </x:c>
    </x:row>
    <x:row r="1535" ht="34" customHeight="1">
      <x:c r="A1535" s="4" t="str">
        <x:v>RS-00793-I2</x:v>
      </x:c>
      <x:c r="B1535" s="4" t="str">
        <x:v>RS-00793</x:v>
      </x:c>
      <x:c r="C1535" s="9" t="n">
        <x:v>2</x:v>
      </x:c>
      <x:c r="D1535" s="8" t="n">
        <x:v>45361</x:v>
      </x:c>
      <x:c r="E1535" s="9" t="n">
        <x:v>3405500</x:v>
      </x:c>
      <x:c r="F1535" s="9" t="n">
        <x:v>3405500</x:v>
      </x:c>
    </x:row>
    <x:row r="1536" ht="34" customHeight="1">
      <x:c r="A1536" s="4" t="str">
        <x:v>RS-00793-I3</x:v>
      </x:c>
      <x:c r="B1536" s="4" t="str">
        <x:v>RS-00793</x:v>
      </x:c>
      <x:c r="C1536" s="9" t="n">
        <x:v>3</x:v>
      </x:c>
      <x:c r="D1536" s="8" t="n">
        <x:v>45391</x:v>
      </x:c>
      <x:c r="E1536" s="9" t="n">
        <x:v>3405500</x:v>
      </x:c>
      <x:c r="F1536" s="9" t="n">
        <x:v>0</x:v>
      </x:c>
    </x:row>
    <x:row r="1537" ht="34" customHeight="1">
      <x:c r="A1537" s="4" t="str">
        <x:v>RS-00793-I4</x:v>
      </x:c>
      <x:c r="B1537" s="4" t="str">
        <x:v>RS-00793</x:v>
      </x:c>
      <x:c r="C1537" s="9" t="n">
        <x:v>4</x:v>
      </x:c>
      <x:c r="D1537" s="8" t="n">
        <x:v>45421</x:v>
      </x:c>
      <x:c r="E1537" s="9" t="n">
        <x:v>3405500</x:v>
      </x:c>
      <x:c r="F1537" s="9" t="n">
        <x:v>0</x:v>
      </x:c>
    </x:row>
    <x:row r="1538" ht="34" customHeight="1">
      <x:c r="A1538" s="4" t="str">
        <x:v>RS-00797-I1</x:v>
      </x:c>
      <x:c r="B1538" s="4" t="str">
        <x:v>RS-00797</x:v>
      </x:c>
      <x:c r="C1538" s="9" t="n">
        <x:v>1</x:v>
      </x:c>
      <x:c r="D1538" s="8" t="n">
        <x:v>45335</x:v>
      </x:c>
      <x:c r="E1538" s="9" t="n">
        <x:v>837000</x:v>
      </x:c>
      <x:c r="F1538" s="9" t="n">
        <x:v>837000</x:v>
      </x:c>
    </x:row>
    <x:row r="1539" ht="34" customHeight="1">
      <x:c r="A1539" s="4" t="str">
        <x:v>RS-00797-I2</x:v>
      </x:c>
      <x:c r="B1539" s="4" t="str">
        <x:v>RS-00797</x:v>
      </x:c>
      <x:c r="C1539" s="9" t="n">
        <x:v>2</x:v>
      </x:c>
      <x:c r="D1539" s="8" t="n">
        <x:v>45365</x:v>
      </x:c>
      <x:c r="E1539" s="9" t="n">
        <x:v>837000</x:v>
      </x:c>
      <x:c r="F1539" s="9" t="n">
        <x:v>837000</x:v>
      </x:c>
    </x:row>
    <x:row r="1540" ht="34" customHeight="1">
      <x:c r="A1540" s="4" t="str">
        <x:v>RS-00797-I3</x:v>
      </x:c>
      <x:c r="B1540" s="4" t="str">
        <x:v>RS-00797</x:v>
      </x:c>
      <x:c r="C1540" s="9" t="n">
        <x:v>3</x:v>
      </x:c>
      <x:c r="D1540" s="8" t="n">
        <x:v>45395</x:v>
      </x:c>
      <x:c r="E1540" s="9" t="n">
        <x:v>837000</x:v>
      </x:c>
      <x:c r="F1540" s="9" t="n">
        <x:v>837000</x:v>
      </x:c>
    </x:row>
    <x:row r="1541" ht="34" customHeight="1">
      <x:c r="A1541" s="4" t="str">
        <x:v>RS-00797-I4</x:v>
      </x:c>
      <x:c r="B1541" s="4" t="str">
        <x:v>RS-00797</x:v>
      </x:c>
      <x:c r="C1541" s="9" t="n">
        <x:v>4</x:v>
      </x:c>
      <x:c r="D1541" s="8" t="n">
        <x:v>45425</x:v>
      </x:c>
      <x:c r="E1541" s="9" t="n">
        <x:v>837000</x:v>
      </x:c>
      <x:c r="F1541" s="9" t="n">
        <x:v>837000</x:v>
      </x:c>
    </x:row>
    <x:row r="1542" ht="34" customHeight="1">
      <x:c r="A1542" s="4" t="str">
        <x:v>RS-00798-I1</x:v>
      </x:c>
      <x:c r="B1542" s="4" t="str">
        <x:v>RS-00798</x:v>
      </x:c>
      <x:c r="C1542" s="9" t="n">
        <x:v>1</x:v>
      </x:c>
      <x:c r="D1542" s="8" t="n">
        <x:v>45336</x:v>
      </x:c>
      <x:c r="E1542" s="9" t="n">
        <x:v>1706250</x:v>
      </x:c>
      <x:c r="F1542" s="9" t="n">
        <x:v>682500</x:v>
      </x:c>
    </x:row>
    <x:row r="1543" ht="34" customHeight="1">
      <x:c r="A1543" s="4" t="str">
        <x:v>RS-00798-I2</x:v>
      </x:c>
      <x:c r="B1543" s="4" t="str">
        <x:v>RS-00798</x:v>
      </x:c>
      <x:c r="C1543" s="9" t="n">
        <x:v>2</x:v>
      </x:c>
      <x:c r="D1543" s="8" t="n">
        <x:v>45366</x:v>
      </x:c>
      <x:c r="E1543" s="9" t="n">
        <x:v>1706250</x:v>
      </x:c>
      <x:c r="F1543" s="9" t="n">
        <x:v>0</x:v>
      </x:c>
    </x:row>
    <x:row r="1544" ht="34" customHeight="1">
      <x:c r="A1544" s="4" t="str">
        <x:v>RS-00798-I3</x:v>
      </x:c>
      <x:c r="B1544" s="4" t="str">
        <x:v>RS-00798</x:v>
      </x:c>
      <x:c r="C1544" s="9" t="n">
        <x:v>3</x:v>
      </x:c>
      <x:c r="D1544" s="8" t="n">
        <x:v>45396</x:v>
      </x:c>
      <x:c r="E1544" s="9" t="n">
        <x:v>1706250</x:v>
      </x:c>
      <x:c r="F1544" s="9" t="n">
        <x:v>0</x:v>
      </x:c>
    </x:row>
    <x:row r="1545" ht="34" customHeight="1">
      <x:c r="A1545" s="4" t="str">
        <x:v>RS-00798-I4</x:v>
      </x:c>
      <x:c r="B1545" s="4" t="str">
        <x:v>RS-00798</x:v>
      </x:c>
      <x:c r="C1545" s="9" t="n">
        <x:v>4</x:v>
      </x:c>
      <x:c r="D1545" s="8" t="n">
        <x:v>45426</x:v>
      </x:c>
      <x:c r="E1545" s="9" t="n">
        <x:v>1706250</x:v>
      </x:c>
      <x:c r="F1545" s="9" t="n">
        <x:v>0</x:v>
      </x:c>
    </x:row>
    <x:row r="1546" ht="34" customHeight="1">
      <x:c r="A1546" s="4" t="str">
        <x:v>RS-00800-I1</x:v>
      </x:c>
      <x:c r="B1546" s="4" t="str">
        <x:v>RS-00800</x:v>
      </x:c>
      <x:c r="C1546" s="9" t="n">
        <x:v>1</x:v>
      </x:c>
      <x:c r="D1546" s="8" t="n">
        <x:v>45338</x:v>
      </x:c>
      <x:c r="E1546" s="9" t="n">
        <x:v>1929750</x:v>
      </x:c>
      <x:c r="F1546" s="9" t="n">
        <x:v>771900</x:v>
      </x:c>
    </x:row>
    <x:row r="1547" ht="34" customHeight="1">
      <x:c r="A1547" s="4" t="str">
        <x:v>RS-00800-I2</x:v>
      </x:c>
      <x:c r="B1547" s="4" t="str">
        <x:v>RS-00800</x:v>
      </x:c>
      <x:c r="C1547" s="9" t="n">
        <x:v>2</x:v>
      </x:c>
      <x:c r="D1547" s="8" t="n">
        <x:v>45368</x:v>
      </x:c>
      <x:c r="E1547" s="9" t="n">
        <x:v>1929750</x:v>
      </x:c>
      <x:c r="F1547" s="9" t="n">
        <x:v>0</x:v>
      </x:c>
    </x:row>
    <x:row r="1548" ht="34" customHeight="1">
      <x:c r="A1548" s="4" t="str">
        <x:v>RS-00800-I3</x:v>
      </x:c>
      <x:c r="B1548" s="4" t="str">
        <x:v>RS-00800</x:v>
      </x:c>
      <x:c r="C1548" s="9" t="n">
        <x:v>3</x:v>
      </x:c>
      <x:c r="D1548" s="8" t="n">
        <x:v>45398</x:v>
      </x:c>
      <x:c r="E1548" s="9" t="n">
        <x:v>1929750</x:v>
      </x:c>
      <x:c r="F1548" s="9" t="n">
        <x:v>0</x:v>
      </x:c>
    </x:row>
    <x:row r="1549" ht="34" customHeight="1">
      <x:c r="A1549" s="4" t="str">
        <x:v>RS-00800-I4</x:v>
      </x:c>
      <x:c r="B1549" s="4" t="str">
        <x:v>RS-00800</x:v>
      </x:c>
      <x:c r="C1549" s="9" t="n">
        <x:v>4</x:v>
      </x:c>
      <x:c r="D1549" s="8" t="n">
        <x:v>45428</x:v>
      </x:c>
      <x:c r="E1549" s="9" t="n">
        <x:v>1929750</x:v>
      </x:c>
      <x:c r="F1549" s="9" t="n">
        <x:v>0</x:v>
      </x:c>
    </x:row>
    <x:row r="1550" ht="34" customHeight="1">
      <x:c r="A1550" s="4" t="str">
        <x:v>RS-00801-I1</x:v>
      </x:c>
      <x:c r="B1550" s="4" t="str">
        <x:v>RS-00801</x:v>
      </x:c>
      <x:c r="C1550" s="9" t="n">
        <x:v>1</x:v>
      </x:c>
      <x:c r="D1550" s="8" t="n">
        <x:v>45339</x:v>
      </x:c>
      <x:c r="E1550" s="9" t="n">
        <x:v>3431000</x:v>
      </x:c>
      <x:c r="F1550" s="9" t="n">
        <x:v>3431000</x:v>
      </x:c>
    </x:row>
    <x:row r="1551" ht="34" customHeight="1">
      <x:c r="A1551" s="4" t="str">
        <x:v>RS-00801-I2</x:v>
      </x:c>
      <x:c r="B1551" s="4" t="str">
        <x:v>RS-00801</x:v>
      </x:c>
      <x:c r="C1551" s="9" t="n">
        <x:v>2</x:v>
      </x:c>
      <x:c r="D1551" s="8" t="n">
        <x:v>45369</x:v>
      </x:c>
      <x:c r="E1551" s="9" t="n">
        <x:v>3431000</x:v>
      </x:c>
      <x:c r="F1551" s="9" t="n">
        <x:v>0</x:v>
      </x:c>
    </x:row>
    <x:row r="1552" ht="34" customHeight="1">
      <x:c r="A1552" s="4" t="str">
        <x:v>RS-00801-I3</x:v>
      </x:c>
      <x:c r="B1552" s="4" t="str">
        <x:v>RS-00801</x:v>
      </x:c>
      <x:c r="C1552" s="9" t="n">
        <x:v>3</x:v>
      </x:c>
      <x:c r="D1552" s="8" t="n">
        <x:v>45399</x:v>
      </x:c>
      <x:c r="E1552" s="9" t="n">
        <x:v>3431000</x:v>
      </x:c>
      <x:c r="F1552" s="9" t="n">
        <x:v>0</x:v>
      </x:c>
    </x:row>
    <x:row r="1553" ht="34" customHeight="1">
      <x:c r="A1553" s="4" t="str">
        <x:v>RS-00801-I4</x:v>
      </x:c>
      <x:c r="B1553" s="4" t="str">
        <x:v>RS-00801</x:v>
      </x:c>
      <x:c r="C1553" s="9" t="n">
        <x:v>4</x:v>
      </x:c>
      <x:c r="D1553" s="8" t="n">
        <x:v>45429</x:v>
      </x:c>
      <x:c r="E1553" s="9" t="n">
        <x:v>3431000</x:v>
      </x:c>
      <x:c r="F1553" s="9" t="n">
        <x:v>0</x:v>
      </x:c>
    </x:row>
    <x:row r="1554" ht="34" customHeight="1">
      <x:c r="A1554" s="4" t="str">
        <x:v>RS-00804-I1</x:v>
      </x:c>
      <x:c r="B1554" s="4" t="str">
        <x:v>RS-00804</x:v>
      </x:c>
      <x:c r="C1554" s="9" t="n">
        <x:v>1</x:v>
      </x:c>
      <x:c r="D1554" s="8" t="n">
        <x:v>45342</x:v>
      </x:c>
      <x:c r="E1554" s="9" t="n">
        <x:v>1395000</x:v>
      </x:c>
      <x:c r="F1554" s="9" t="n">
        <x:v>1395000</x:v>
      </x:c>
    </x:row>
    <x:row r="1555" ht="34" customHeight="1">
      <x:c r="A1555" s="4" t="str">
        <x:v>RS-00804-I2</x:v>
      </x:c>
      <x:c r="B1555" s="4" t="str">
        <x:v>RS-00804</x:v>
      </x:c>
      <x:c r="C1555" s="9" t="n">
        <x:v>2</x:v>
      </x:c>
      <x:c r="D1555" s="8" t="n">
        <x:v>45372</x:v>
      </x:c>
      <x:c r="E1555" s="9" t="n">
        <x:v>1395000</x:v>
      </x:c>
      <x:c r="F1555" s="9" t="n">
        <x:v>1395000</x:v>
      </x:c>
    </x:row>
    <x:row r="1556" ht="34" customHeight="1">
      <x:c r="A1556" s="4" t="str">
        <x:v>RS-00804-I3</x:v>
      </x:c>
      <x:c r="B1556" s="4" t="str">
        <x:v>RS-00804</x:v>
      </x:c>
      <x:c r="C1556" s="9" t="n">
        <x:v>3</x:v>
      </x:c>
      <x:c r="D1556" s="8" t="n">
        <x:v>45402</x:v>
      </x:c>
      <x:c r="E1556" s="9" t="n">
        <x:v>1395000</x:v>
      </x:c>
      <x:c r="F1556" s="9" t="n">
        <x:v>1395000</x:v>
      </x:c>
    </x:row>
    <x:row r="1557" ht="34" customHeight="1">
      <x:c r="A1557" s="4" t="str">
        <x:v>RS-00804-I4</x:v>
      </x:c>
      <x:c r="B1557" s="4" t="str">
        <x:v>RS-00804</x:v>
      </x:c>
      <x:c r="C1557" s="9" t="n">
        <x:v>4</x:v>
      </x:c>
      <x:c r="D1557" s="8" t="n">
        <x:v>45432</x:v>
      </x:c>
      <x:c r="E1557" s="9" t="n">
        <x:v>1395000</x:v>
      </x:c>
      <x:c r="F1557" s="9" t="n">
        <x:v>1395000</x:v>
      </x:c>
    </x:row>
    <x:row r="1558" ht="34" customHeight="1">
      <x:c r="A1558" s="4" t="str">
        <x:v>RS-00806-I1</x:v>
      </x:c>
      <x:c r="B1558" s="4" t="str">
        <x:v>RS-00806</x:v>
      </x:c>
      <x:c r="C1558" s="9" t="n">
        <x:v>1</x:v>
      </x:c>
      <x:c r="D1558" s="8" t="n">
        <x:v>45344</x:v>
      </x:c>
      <x:c r="E1558" s="9" t="n">
        <x:v>1935000</x:v>
      </x:c>
      <x:c r="F1558" s="9" t="n">
        <x:v>1935000</x:v>
      </x:c>
    </x:row>
    <x:row r="1559" ht="34" customHeight="1">
      <x:c r="A1559" s="4" t="str">
        <x:v>RS-00806-I2</x:v>
      </x:c>
      <x:c r="B1559" s="4" t="str">
        <x:v>RS-00806</x:v>
      </x:c>
      <x:c r="C1559" s="9" t="n">
        <x:v>2</x:v>
      </x:c>
      <x:c r="D1559" s="8" t="n">
        <x:v>45374</x:v>
      </x:c>
      <x:c r="E1559" s="9" t="n">
        <x:v>1935000</x:v>
      </x:c>
      <x:c r="F1559" s="9" t="n">
        <x:v>1935000</x:v>
      </x:c>
    </x:row>
    <x:row r="1560" ht="34" customHeight="1">
      <x:c r="A1560" s="4" t="str">
        <x:v>RS-00806-I3</x:v>
      </x:c>
      <x:c r="B1560" s="4" t="str">
        <x:v>RS-00806</x:v>
      </x:c>
      <x:c r="C1560" s="9" t="n">
        <x:v>3</x:v>
      </x:c>
      <x:c r="D1560" s="8" t="n">
        <x:v>45404</x:v>
      </x:c>
      <x:c r="E1560" s="9" t="n">
        <x:v>1935000</x:v>
      </x:c>
      <x:c r="F1560" s="9" t="n">
        <x:v>1935000</x:v>
      </x:c>
    </x:row>
    <x:row r="1561" ht="34" customHeight="1">
      <x:c r="A1561" s="4" t="str">
        <x:v>RS-00806-I4</x:v>
      </x:c>
      <x:c r="B1561" s="4" t="str">
        <x:v>RS-00806</x:v>
      </x:c>
      <x:c r="C1561" s="9" t="n">
        <x:v>4</x:v>
      </x:c>
      <x:c r="D1561" s="8" t="n">
        <x:v>45434</x:v>
      </x:c>
      <x:c r="E1561" s="9" t="n">
        <x:v>1935000</x:v>
      </x:c>
      <x:c r="F1561" s="9" t="n">
        <x:v>1935000</x:v>
      </x:c>
    </x:row>
    <x:row r="1562" ht="34" customHeight="1">
      <x:c r="A1562" s="4" t="str">
        <x:v>RS-00808-I1</x:v>
      </x:c>
      <x:c r="B1562" s="4" t="str">
        <x:v>RS-00808</x:v>
      </x:c>
      <x:c r="C1562" s="9" t="n">
        <x:v>1</x:v>
      </x:c>
      <x:c r="D1562" s="8" t="n">
        <x:v>45346</x:v>
      </x:c>
      <x:c r="E1562" s="9" t="n">
        <x:v>2796750</x:v>
      </x:c>
      <x:c r="F1562" s="9" t="n">
        <x:v>2796750</x:v>
      </x:c>
    </x:row>
    <x:row r="1563" ht="34" customHeight="1">
      <x:c r="A1563" s="4" t="str">
        <x:v>RS-00808-I2</x:v>
      </x:c>
      <x:c r="B1563" s="4" t="str">
        <x:v>RS-00808</x:v>
      </x:c>
      <x:c r="C1563" s="9" t="n">
        <x:v>2</x:v>
      </x:c>
      <x:c r="D1563" s="8" t="n">
        <x:v>45376</x:v>
      </x:c>
      <x:c r="E1563" s="9" t="n">
        <x:v>2796750</x:v>
      </x:c>
      <x:c r="F1563" s="9" t="n">
        <x:v>2796750</x:v>
      </x:c>
    </x:row>
    <x:row r="1564" ht="34" customHeight="1">
      <x:c r="A1564" s="4" t="str">
        <x:v>RS-00808-I3</x:v>
      </x:c>
      <x:c r="B1564" s="4" t="str">
        <x:v>RS-00808</x:v>
      </x:c>
      <x:c r="C1564" s="9" t="n">
        <x:v>3</x:v>
      </x:c>
      <x:c r="D1564" s="8" t="n">
        <x:v>45406</x:v>
      </x:c>
      <x:c r="E1564" s="9" t="n">
        <x:v>2796750</x:v>
      </x:c>
      <x:c r="F1564" s="9" t="n">
        <x:v>0</x:v>
      </x:c>
    </x:row>
    <x:row r="1565" ht="34" customHeight="1">
      <x:c r="A1565" s="4" t="str">
        <x:v>RS-00808-I4</x:v>
      </x:c>
      <x:c r="B1565" s="4" t="str">
        <x:v>RS-00808</x:v>
      </x:c>
      <x:c r="C1565" s="9" t="n">
        <x:v>4</x:v>
      </x:c>
      <x:c r="D1565" s="8" t="n">
        <x:v>45436</x:v>
      </x:c>
      <x:c r="E1565" s="9" t="n">
        <x:v>2796750</x:v>
      </x:c>
      <x:c r="F1565" s="9" t="n">
        <x:v>0</x:v>
      </x:c>
    </x:row>
    <x:row r="1566" ht="34" customHeight="1">
      <x:c r="A1566" s="4" t="str">
        <x:v>RS-00810-I1</x:v>
      </x:c>
      <x:c r="B1566" s="4" t="str">
        <x:v>RS-00810</x:v>
      </x:c>
      <x:c r="C1566" s="9" t="n">
        <x:v>1</x:v>
      </x:c>
      <x:c r="D1566" s="8" t="n">
        <x:v>45348</x:v>
      </x:c>
      <x:c r="E1566" s="9" t="n">
        <x:v>873000</x:v>
      </x:c>
      <x:c r="F1566" s="9" t="n">
        <x:v>873000</x:v>
      </x:c>
    </x:row>
    <x:row r="1567" ht="34" customHeight="1">
      <x:c r="A1567" s="4" t="str">
        <x:v>RS-00810-I2</x:v>
      </x:c>
      <x:c r="B1567" s="4" t="str">
        <x:v>RS-00810</x:v>
      </x:c>
      <x:c r="C1567" s="9" t="n">
        <x:v>2</x:v>
      </x:c>
      <x:c r="D1567" s="8" t="n">
        <x:v>45378</x:v>
      </x:c>
      <x:c r="E1567" s="9" t="n">
        <x:v>873000</x:v>
      </x:c>
      <x:c r="F1567" s="9" t="n">
        <x:v>0</x:v>
      </x:c>
    </x:row>
    <x:row r="1568" ht="34" customHeight="1">
      <x:c r="A1568" s="4" t="str">
        <x:v>RS-00810-I3</x:v>
      </x:c>
      <x:c r="B1568" s="4" t="str">
        <x:v>RS-00810</x:v>
      </x:c>
      <x:c r="C1568" s="9" t="n">
        <x:v>3</x:v>
      </x:c>
      <x:c r="D1568" s="8" t="n">
        <x:v>45408</x:v>
      </x:c>
      <x:c r="E1568" s="9" t="n">
        <x:v>873000</x:v>
      </x:c>
      <x:c r="F1568" s="9" t="n">
        <x:v>0</x:v>
      </x:c>
    </x:row>
    <x:row r="1569" ht="34" customHeight="1">
      <x:c r="A1569" s="4" t="str">
        <x:v>RS-00810-I4</x:v>
      </x:c>
      <x:c r="B1569" s="4" t="str">
        <x:v>RS-00810</x:v>
      </x:c>
      <x:c r="C1569" s="9" t="n">
        <x:v>4</x:v>
      </x:c>
      <x:c r="D1569" s="8" t="n">
        <x:v>45438</x:v>
      </x:c>
      <x:c r="E1569" s="9" t="n">
        <x:v>873000</x:v>
      </x:c>
      <x:c r="F1569" s="9" t="n">
        <x:v>0</x:v>
      </x:c>
    </x:row>
    <x:row r="1570" ht="34" customHeight="1">
      <x:c r="A1570" s="4" t="str">
        <x:v>RS-00811-I1</x:v>
      </x:c>
      <x:c r="B1570" s="4" t="str">
        <x:v>RS-00811</x:v>
      </x:c>
      <x:c r="C1570" s="9" t="n">
        <x:v>1</x:v>
      </x:c>
      <x:c r="D1570" s="8" t="n">
        <x:v>45349</x:v>
      </x:c>
      <x:c r="E1570" s="9" t="n">
        <x:v>801000</x:v>
      </x:c>
      <x:c r="F1570" s="9" t="n">
        <x:v>801000</x:v>
      </x:c>
    </x:row>
    <x:row r="1571" ht="34" customHeight="1">
      <x:c r="A1571" s="4" t="str">
        <x:v>RS-00811-I2</x:v>
      </x:c>
      <x:c r="B1571" s="4" t="str">
        <x:v>RS-00811</x:v>
      </x:c>
      <x:c r="C1571" s="9" t="n">
        <x:v>2</x:v>
      </x:c>
      <x:c r="D1571" s="8" t="n">
        <x:v>45379</x:v>
      </x:c>
      <x:c r="E1571" s="9" t="n">
        <x:v>801000</x:v>
      </x:c>
      <x:c r="F1571" s="9" t="n">
        <x:v>801000</x:v>
      </x:c>
    </x:row>
    <x:row r="1572" ht="34" customHeight="1">
      <x:c r="A1572" s="4" t="str">
        <x:v>RS-00811-I3</x:v>
      </x:c>
      <x:c r="B1572" s="4" t="str">
        <x:v>RS-00811</x:v>
      </x:c>
      <x:c r="C1572" s="9" t="n">
        <x:v>3</x:v>
      </x:c>
      <x:c r="D1572" s="8" t="n">
        <x:v>45409</x:v>
      </x:c>
      <x:c r="E1572" s="9" t="n">
        <x:v>801000</x:v>
      </x:c>
      <x:c r="F1572" s="9" t="n">
        <x:v>0</x:v>
      </x:c>
    </x:row>
    <x:row r="1573" ht="34" customHeight="1">
      <x:c r="A1573" s="4" t="str">
        <x:v>RS-00811-I4</x:v>
      </x:c>
      <x:c r="B1573" s="4" t="str">
        <x:v>RS-00811</x:v>
      </x:c>
      <x:c r="C1573" s="9" t="n">
        <x:v>4</x:v>
      </x:c>
      <x:c r="D1573" s="8" t="n">
        <x:v>45439</x:v>
      </x:c>
      <x:c r="E1573" s="9" t="n">
        <x:v>801000</x:v>
      </x:c>
      <x:c r="F1573" s="9" t="n">
        <x:v>0</x:v>
      </x:c>
    </x:row>
    <x:row r="1574" ht="34" customHeight="1">
      <x:c r="A1574" s="4" t="str">
        <x:v>RS-00812-I1</x:v>
      </x:c>
      <x:c r="B1574" s="4" t="str">
        <x:v>RS-00812</x:v>
      </x:c>
      <x:c r="C1574" s="9" t="n">
        <x:v>1</x:v>
      </x:c>
      <x:c r="D1574" s="8" t="n">
        <x:v>45350</x:v>
      </x:c>
      <x:c r="E1574" s="9" t="n">
        <x:v>2821000</x:v>
      </x:c>
      <x:c r="F1574" s="9" t="n">
        <x:v>2821000</x:v>
      </x:c>
    </x:row>
    <x:row r="1575" ht="34" customHeight="1">
      <x:c r="A1575" s="4" t="str">
        <x:v>RS-00812-I2</x:v>
      </x:c>
      <x:c r="B1575" s="4" t="str">
        <x:v>RS-00812</x:v>
      </x:c>
      <x:c r="C1575" s="9" t="n">
        <x:v>2</x:v>
      </x:c>
      <x:c r="D1575" s="8" t="n">
        <x:v>45380</x:v>
      </x:c>
      <x:c r="E1575" s="9" t="n">
        <x:v>2821000</x:v>
      </x:c>
      <x:c r="F1575" s="9" t="n">
        <x:v>2821000</x:v>
      </x:c>
    </x:row>
    <x:row r="1576" ht="34" customHeight="1">
      <x:c r="A1576" s="4" t="str">
        <x:v>RS-00812-I3</x:v>
      </x:c>
      <x:c r="B1576" s="4" t="str">
        <x:v>RS-00812</x:v>
      </x:c>
      <x:c r="C1576" s="9" t="n">
        <x:v>3</x:v>
      </x:c>
      <x:c r="D1576" s="8" t="n">
        <x:v>45410</x:v>
      </x:c>
      <x:c r="E1576" s="9" t="n">
        <x:v>2821000</x:v>
      </x:c>
      <x:c r="F1576" s="9" t="n">
        <x:v>2821000</x:v>
      </x:c>
    </x:row>
    <x:row r="1577" ht="34" customHeight="1">
      <x:c r="A1577" s="4" t="str">
        <x:v>RS-00812-I4</x:v>
      </x:c>
      <x:c r="B1577" s="4" t="str">
        <x:v>RS-00812</x:v>
      </x:c>
      <x:c r="C1577" s="9" t="n">
        <x:v>4</x:v>
      </x:c>
      <x:c r="D1577" s="8" t="n">
        <x:v>45440</x:v>
      </x:c>
      <x:c r="E1577" s="9" t="n">
        <x:v>2821000</x:v>
      </x:c>
      <x:c r="F1577" s="9" t="n">
        <x:v>2821000</x:v>
      </x:c>
    </x:row>
    <x:row r="1578" ht="34" customHeight="1">
      <x:c r="A1578" s="4" t="str">
        <x:v>RS-00813-I1</x:v>
      </x:c>
      <x:c r="B1578" s="4" t="str">
        <x:v>RS-00813</x:v>
      </x:c>
      <x:c r="C1578" s="9" t="n">
        <x:v>1</x:v>
      </x:c>
      <x:c r="D1578" s="8" t="n">
        <x:v>45323</x:v>
      </x:c>
      <x:c r="E1578" s="9" t="n">
        <x:v>5341000</x:v>
      </x:c>
      <x:c r="F1578" s="9" t="n">
        <x:v>5341000</x:v>
      </x:c>
    </x:row>
    <x:row r="1579" ht="34" customHeight="1">
      <x:c r="A1579" s="4" t="str">
        <x:v>RS-00813-I2</x:v>
      </x:c>
      <x:c r="B1579" s="4" t="str">
        <x:v>RS-00813</x:v>
      </x:c>
      <x:c r="C1579" s="9" t="n">
        <x:v>2</x:v>
      </x:c>
      <x:c r="D1579" s="8" t="n">
        <x:v>45353</x:v>
      </x:c>
      <x:c r="E1579" s="9" t="n">
        <x:v>5341000</x:v>
      </x:c>
      <x:c r="F1579" s="9" t="n">
        <x:v>5341000</x:v>
      </x:c>
    </x:row>
    <x:row r="1580" ht="34" customHeight="1">
      <x:c r="A1580" s="4" t="str">
        <x:v>RS-00813-I3</x:v>
      </x:c>
      <x:c r="B1580" s="4" t="str">
        <x:v>RS-00813</x:v>
      </x:c>
      <x:c r="C1580" s="9" t="n">
        <x:v>3</x:v>
      </x:c>
      <x:c r="D1580" s="8" t="n">
        <x:v>45383</x:v>
      </x:c>
      <x:c r="E1580" s="9" t="n">
        <x:v>5341000</x:v>
      </x:c>
      <x:c r="F1580" s="9" t="n">
        <x:v>0</x:v>
      </x:c>
    </x:row>
    <x:row r="1581" ht="34" customHeight="1">
      <x:c r="A1581" s="4" t="str">
        <x:v>RS-00813-I4</x:v>
      </x:c>
      <x:c r="B1581" s="4" t="str">
        <x:v>RS-00813</x:v>
      </x:c>
      <x:c r="C1581" s="9" t="n">
        <x:v>4</x:v>
      </x:c>
      <x:c r="D1581" s="8" t="n">
        <x:v>45413</x:v>
      </x:c>
      <x:c r="E1581" s="9" t="n">
        <x:v>5341000</x:v>
      </x:c>
      <x:c r="F1581" s="9" t="n">
        <x:v>0</x:v>
      </x:c>
    </x:row>
    <x:row r="1582" ht="34" customHeight="1">
      <x:c r="A1582" s="4" t="str">
        <x:v>RS-00814-I1</x:v>
      </x:c>
      <x:c r="B1582" s="4" t="str">
        <x:v>RS-00814</x:v>
      </x:c>
      <x:c r="C1582" s="9" t="n">
        <x:v>1</x:v>
      </x:c>
      <x:c r="D1582" s="8" t="n">
        <x:v>45324</x:v>
      </x:c>
      <x:c r="E1582" s="9" t="n">
        <x:v>1782000</x:v>
      </x:c>
      <x:c r="F1582" s="9" t="n">
        <x:v>1782000</x:v>
      </x:c>
    </x:row>
    <x:row r="1583" ht="34" customHeight="1">
      <x:c r="A1583" s="4" t="str">
        <x:v>RS-00814-I2</x:v>
      </x:c>
      <x:c r="B1583" s="4" t="str">
        <x:v>RS-00814</x:v>
      </x:c>
      <x:c r="C1583" s="9" t="n">
        <x:v>2</x:v>
      </x:c>
      <x:c r="D1583" s="8" t="n">
        <x:v>45354</x:v>
      </x:c>
      <x:c r="E1583" s="9" t="n">
        <x:v>1782000</x:v>
      </x:c>
      <x:c r="F1583" s="9" t="n">
        <x:v>1782000</x:v>
      </x:c>
    </x:row>
    <x:row r="1584" ht="34" customHeight="1">
      <x:c r="A1584" s="4" t="str">
        <x:v>RS-00814-I3</x:v>
      </x:c>
      <x:c r="B1584" s="4" t="str">
        <x:v>RS-00814</x:v>
      </x:c>
      <x:c r="C1584" s="9" t="n">
        <x:v>3</x:v>
      </x:c>
      <x:c r="D1584" s="8" t="n">
        <x:v>45384</x:v>
      </x:c>
      <x:c r="E1584" s="9" t="n">
        <x:v>1782000</x:v>
      </x:c>
      <x:c r="F1584" s="9" t="n">
        <x:v>1782000</x:v>
      </x:c>
    </x:row>
    <x:row r="1585" ht="34" customHeight="1">
      <x:c r="A1585" s="4" t="str">
        <x:v>RS-00814-I4</x:v>
      </x:c>
      <x:c r="B1585" s="4" t="str">
        <x:v>RS-00814</x:v>
      </x:c>
      <x:c r="C1585" s="9" t="n">
        <x:v>4</x:v>
      </x:c>
      <x:c r="D1585" s="8" t="n">
        <x:v>45414</x:v>
      </x:c>
      <x:c r="E1585" s="9" t="n">
        <x:v>1782000</x:v>
      </x:c>
      <x:c r="F1585" s="9" t="n">
        <x:v>1782000</x:v>
      </x:c>
    </x:row>
    <x:row r="1586" ht="34" customHeight="1">
      <x:c r="A1586" s="4" t="str">
        <x:v>RS-00818-I1</x:v>
      </x:c>
      <x:c r="B1586" s="4" t="str">
        <x:v>RS-00818</x:v>
      </x:c>
      <x:c r="C1586" s="9" t="n">
        <x:v>1</x:v>
      </x:c>
      <x:c r="D1586" s="8" t="n">
        <x:v>45328</x:v>
      </x:c>
      <x:c r="E1586" s="9" t="n">
        <x:v>4275000</x:v>
      </x:c>
      <x:c r="F1586" s="9" t="n">
        <x:v>4275000</x:v>
      </x:c>
    </x:row>
    <x:row r="1587" ht="34" customHeight="1">
      <x:c r="A1587" s="4" t="str">
        <x:v>RS-00818-I2</x:v>
      </x:c>
      <x:c r="B1587" s="4" t="str">
        <x:v>RS-00818</x:v>
      </x:c>
      <x:c r="C1587" s="9" t="n">
        <x:v>2</x:v>
      </x:c>
      <x:c r="D1587" s="8" t="n">
        <x:v>45358</x:v>
      </x:c>
      <x:c r="E1587" s="9" t="n">
        <x:v>4275000</x:v>
      </x:c>
      <x:c r="F1587" s="9" t="n">
        <x:v>4275000</x:v>
      </x:c>
    </x:row>
    <x:row r="1588" ht="34" customHeight="1">
      <x:c r="A1588" s="4" t="str">
        <x:v>RS-00818-I3</x:v>
      </x:c>
      <x:c r="B1588" s="4" t="str">
        <x:v>RS-00818</x:v>
      </x:c>
      <x:c r="C1588" s="9" t="n">
        <x:v>3</x:v>
      </x:c>
      <x:c r="D1588" s="8" t="n">
        <x:v>45388</x:v>
      </x:c>
      <x:c r="E1588" s="9" t="n">
        <x:v>4275000</x:v>
      </x:c>
      <x:c r="F1588" s="9" t="n">
        <x:v>0</x:v>
      </x:c>
    </x:row>
    <x:row r="1589" ht="34" customHeight="1">
      <x:c r="A1589" s="4" t="str">
        <x:v>RS-00818-I4</x:v>
      </x:c>
      <x:c r="B1589" s="4" t="str">
        <x:v>RS-00818</x:v>
      </x:c>
      <x:c r="C1589" s="9" t="n">
        <x:v>4</x:v>
      </x:c>
      <x:c r="D1589" s="8" t="n">
        <x:v>45418</x:v>
      </x:c>
      <x:c r="E1589" s="9" t="n">
        <x:v>4275000</x:v>
      </x:c>
      <x:c r="F1589" s="9" t="n">
        <x:v>0</x:v>
      </x:c>
    </x:row>
    <x:row r="1590" ht="34" customHeight="1">
      <x:c r="A1590" s="4" t="str">
        <x:v>RS-00819-I1</x:v>
      </x:c>
      <x:c r="B1590" s="4" t="str">
        <x:v>RS-00819</x:v>
      </x:c>
      <x:c r="C1590" s="9" t="n">
        <x:v>1</x:v>
      </x:c>
      <x:c r="D1590" s="8" t="n">
        <x:v>45329</x:v>
      </x:c>
      <x:c r="E1590" s="9" t="n">
        <x:v>1237500</x:v>
      </x:c>
      <x:c r="F1590" s="9" t="n">
        <x:v>495000</x:v>
      </x:c>
    </x:row>
    <x:row r="1591" ht="34" customHeight="1">
      <x:c r="A1591" s="4" t="str">
        <x:v>RS-00819-I2</x:v>
      </x:c>
      <x:c r="B1591" s="4" t="str">
        <x:v>RS-00819</x:v>
      </x:c>
      <x:c r="C1591" s="9" t="n">
        <x:v>2</x:v>
      </x:c>
      <x:c r="D1591" s="8" t="n">
        <x:v>45359</x:v>
      </x:c>
      <x:c r="E1591" s="9" t="n">
        <x:v>1237500</x:v>
      </x:c>
      <x:c r="F1591" s="9" t="n">
        <x:v>0</x:v>
      </x:c>
    </x:row>
    <x:row r="1592" ht="34" customHeight="1">
      <x:c r="A1592" s="4" t="str">
        <x:v>RS-00819-I3</x:v>
      </x:c>
      <x:c r="B1592" s="4" t="str">
        <x:v>RS-00819</x:v>
      </x:c>
      <x:c r="C1592" s="9" t="n">
        <x:v>3</x:v>
      </x:c>
      <x:c r="D1592" s="8" t="n">
        <x:v>45389</x:v>
      </x:c>
      <x:c r="E1592" s="9" t="n">
        <x:v>1237500</x:v>
      </x:c>
      <x:c r="F1592" s="9" t="n">
        <x:v>0</x:v>
      </x:c>
    </x:row>
    <x:row r="1593" ht="34" customHeight="1">
      <x:c r="A1593" s="4" t="str">
        <x:v>RS-00819-I4</x:v>
      </x:c>
      <x:c r="B1593" s="4" t="str">
        <x:v>RS-00819</x:v>
      </x:c>
      <x:c r="C1593" s="9" t="n">
        <x:v>4</x:v>
      </x:c>
      <x:c r="D1593" s="8" t="n">
        <x:v>45419</x:v>
      </x:c>
      <x:c r="E1593" s="9" t="n">
        <x:v>1237500</x:v>
      </x:c>
      <x:c r="F1593" s="9" t="n">
        <x:v>0</x:v>
      </x:c>
    </x:row>
    <x:row r="1594" ht="34" customHeight="1">
      <x:c r="A1594" s="4" t="str">
        <x:v>RS-00823-I1</x:v>
      </x:c>
      <x:c r="B1594" s="4" t="str">
        <x:v>RS-00823</x:v>
      </x:c>
      <x:c r="C1594" s="9" t="n">
        <x:v>1</x:v>
      </x:c>
      <x:c r="D1594" s="8" t="n">
        <x:v>45333</x:v>
      </x:c>
      <x:c r="E1594" s="9" t="n">
        <x:v>1564000</x:v>
      </x:c>
      <x:c r="F1594" s="9" t="n">
        <x:v>1564000</x:v>
      </x:c>
    </x:row>
    <x:row r="1595" ht="34" customHeight="1">
      <x:c r="A1595" s="4" t="str">
        <x:v>RS-00823-I2</x:v>
      </x:c>
      <x:c r="B1595" s="4" t="str">
        <x:v>RS-00823</x:v>
      </x:c>
      <x:c r="C1595" s="9" t="n">
        <x:v>2</x:v>
      </x:c>
      <x:c r="D1595" s="8" t="n">
        <x:v>45363</x:v>
      </x:c>
      <x:c r="E1595" s="9" t="n">
        <x:v>1564000</x:v>
      </x:c>
      <x:c r="F1595" s="9" t="n">
        <x:v>1564000</x:v>
      </x:c>
    </x:row>
    <x:row r="1596" ht="34" customHeight="1">
      <x:c r="A1596" s="4" t="str">
        <x:v>RS-00823-I3</x:v>
      </x:c>
      <x:c r="B1596" s="4" t="str">
        <x:v>RS-00823</x:v>
      </x:c>
      <x:c r="C1596" s="9" t="n">
        <x:v>3</x:v>
      </x:c>
      <x:c r="D1596" s="8" t="n">
        <x:v>45393</x:v>
      </x:c>
      <x:c r="E1596" s="9" t="n">
        <x:v>1564000</x:v>
      </x:c>
      <x:c r="F1596" s="9" t="n">
        <x:v>0</x:v>
      </x:c>
    </x:row>
    <x:row r="1597" ht="34" customHeight="1">
      <x:c r="A1597" s="4" t="str">
        <x:v>RS-00823-I4</x:v>
      </x:c>
      <x:c r="B1597" s="4" t="str">
        <x:v>RS-00823</x:v>
      </x:c>
      <x:c r="C1597" s="9" t="n">
        <x:v>4</x:v>
      </x:c>
      <x:c r="D1597" s="8" t="n">
        <x:v>45423</x:v>
      </x:c>
      <x:c r="E1597" s="9" t="n">
        <x:v>1564000</x:v>
      </x:c>
      <x:c r="F1597" s="9" t="n">
        <x:v>0</x:v>
      </x:c>
    </x:row>
    <x:row r="1598" ht="34" customHeight="1">
      <x:c r="A1598" s="4" t="str">
        <x:v>RS-00824-I1</x:v>
      </x:c>
      <x:c r="B1598" s="4" t="str">
        <x:v>RS-00824</x:v>
      </x:c>
      <x:c r="C1598" s="9" t="n">
        <x:v>1</x:v>
      </x:c>
      <x:c r="D1598" s="8" t="n">
        <x:v>45334</x:v>
      </x:c>
      <x:c r="E1598" s="9" t="n">
        <x:v>1628000</x:v>
      </x:c>
      <x:c r="F1598" s="9" t="n">
        <x:v>1628000</x:v>
      </x:c>
    </x:row>
    <x:row r="1599" ht="34" customHeight="1">
      <x:c r="A1599" s="4" t="str">
        <x:v>RS-00824-I2</x:v>
      </x:c>
      <x:c r="B1599" s="4" t="str">
        <x:v>RS-00824</x:v>
      </x:c>
      <x:c r="C1599" s="9" t="n">
        <x:v>2</x:v>
      </x:c>
      <x:c r="D1599" s="8" t="n">
        <x:v>45364</x:v>
      </x:c>
      <x:c r="E1599" s="9" t="n">
        <x:v>1628000</x:v>
      </x:c>
      <x:c r="F1599" s="9" t="n">
        <x:v>0</x:v>
      </x:c>
    </x:row>
    <x:row r="1600" ht="34" customHeight="1">
      <x:c r="A1600" s="4" t="str">
        <x:v>RS-00824-I3</x:v>
      </x:c>
      <x:c r="B1600" s="4" t="str">
        <x:v>RS-00824</x:v>
      </x:c>
      <x:c r="C1600" s="9" t="n">
        <x:v>3</x:v>
      </x:c>
      <x:c r="D1600" s="8" t="n">
        <x:v>45394</x:v>
      </x:c>
      <x:c r="E1600" s="9" t="n">
        <x:v>1628000</x:v>
      </x:c>
      <x:c r="F1600" s="9" t="n">
        <x:v>0</x:v>
      </x:c>
    </x:row>
    <x:row r="1601" ht="34" customHeight="1">
      <x:c r="A1601" s="4" t="str">
        <x:v>RS-00824-I4</x:v>
      </x:c>
      <x:c r="B1601" s="4" t="str">
        <x:v>RS-00824</x:v>
      </x:c>
      <x:c r="C1601" s="9" t="n">
        <x:v>4</x:v>
      </x:c>
      <x:c r="D1601" s="8" t="n">
        <x:v>45424</x:v>
      </x:c>
      <x:c r="E1601" s="9" t="n">
        <x:v>1628000</x:v>
      </x:c>
      <x:c r="F1601" s="9" t="n">
        <x:v>0</x:v>
      </x:c>
    </x:row>
    <x:row r="1602" ht="34" customHeight="1">
      <x:c r="A1602" s="4" t="str">
        <x:v>RS-00825-I1</x:v>
      </x:c>
      <x:c r="B1602" s="4" t="str">
        <x:v>RS-00825</x:v>
      </x:c>
      <x:c r="C1602" s="9" t="n">
        <x:v>1</x:v>
      </x:c>
      <x:c r="D1602" s="8" t="n">
        <x:v>45335</x:v>
      </x:c>
      <x:c r="E1602" s="9" t="n">
        <x:v>5313000</x:v>
      </x:c>
      <x:c r="F1602" s="9" t="n">
        <x:v>5313000</x:v>
      </x:c>
    </x:row>
    <x:row r="1603" ht="34" customHeight="1">
      <x:c r="A1603" s="4" t="str">
        <x:v>RS-00825-I2</x:v>
      </x:c>
      <x:c r="B1603" s="4" t="str">
        <x:v>RS-00825</x:v>
      </x:c>
      <x:c r="C1603" s="9" t="n">
        <x:v>2</x:v>
      </x:c>
      <x:c r="D1603" s="8" t="n">
        <x:v>45365</x:v>
      </x:c>
      <x:c r="E1603" s="9" t="n">
        <x:v>5313000</x:v>
      </x:c>
      <x:c r="F1603" s="9" t="n">
        <x:v>5313000</x:v>
      </x:c>
    </x:row>
    <x:row r="1604" ht="34" customHeight="1">
      <x:c r="A1604" s="4" t="str">
        <x:v>RS-00825-I3</x:v>
      </x:c>
      <x:c r="B1604" s="4" t="str">
        <x:v>RS-00825</x:v>
      </x:c>
      <x:c r="C1604" s="9" t="n">
        <x:v>3</x:v>
      </x:c>
      <x:c r="D1604" s="8" t="n">
        <x:v>45395</x:v>
      </x:c>
      <x:c r="E1604" s="9" t="n">
        <x:v>5313000</x:v>
      </x:c>
      <x:c r="F1604" s="9" t="n">
        <x:v>0</x:v>
      </x:c>
    </x:row>
    <x:row r="1605" ht="34" customHeight="1">
      <x:c r="A1605" s="4" t="str">
        <x:v>RS-00825-I4</x:v>
      </x:c>
      <x:c r="B1605" s="4" t="str">
        <x:v>RS-00825</x:v>
      </x:c>
      <x:c r="C1605" s="9" t="n">
        <x:v>4</x:v>
      </x:c>
      <x:c r="D1605" s="8" t="n">
        <x:v>45425</x:v>
      </x:c>
      <x:c r="E1605" s="9" t="n">
        <x:v>5313000</x:v>
      </x:c>
      <x:c r="F1605" s="9" t="n">
        <x:v>0</x:v>
      </x:c>
    </x:row>
    <x:row r="1606" ht="34" customHeight="1">
      <x:c r="A1606" s="4" t="str">
        <x:v>RS-00830-I1</x:v>
      </x:c>
      <x:c r="B1606" s="4" t="str">
        <x:v>RS-00830</x:v>
      </x:c>
      <x:c r="C1606" s="9" t="n">
        <x:v>1</x:v>
      </x:c>
      <x:c r="D1606" s="8" t="n">
        <x:v>45340</x:v>
      </x:c>
      <x:c r="E1606" s="9" t="n">
        <x:v>1462500</x:v>
      </x:c>
      <x:c r="F1606" s="9" t="n">
        <x:v>1462500</x:v>
      </x:c>
    </x:row>
    <x:row r="1607" ht="34" customHeight="1">
      <x:c r="A1607" s="4" t="str">
        <x:v>RS-00830-I2</x:v>
      </x:c>
      <x:c r="B1607" s="4" t="str">
        <x:v>RS-00830</x:v>
      </x:c>
      <x:c r="C1607" s="9" t="n">
        <x:v>2</x:v>
      </x:c>
      <x:c r="D1607" s="8" t="n">
        <x:v>45370</x:v>
      </x:c>
      <x:c r="E1607" s="9" t="n">
        <x:v>1462500</x:v>
      </x:c>
      <x:c r="F1607" s="9" t="n">
        <x:v>1462500</x:v>
      </x:c>
    </x:row>
    <x:row r="1608" ht="34" customHeight="1">
      <x:c r="A1608" s="4" t="str">
        <x:v>RS-00830-I3</x:v>
      </x:c>
      <x:c r="B1608" s="4" t="str">
        <x:v>RS-00830</x:v>
      </x:c>
      <x:c r="C1608" s="9" t="n">
        <x:v>3</x:v>
      </x:c>
      <x:c r="D1608" s="8" t="n">
        <x:v>45400</x:v>
      </x:c>
      <x:c r="E1608" s="9" t="n">
        <x:v>1462500</x:v>
      </x:c>
      <x:c r="F1608" s="9" t="n">
        <x:v>0</x:v>
      </x:c>
    </x:row>
    <x:row r="1609" ht="34" customHeight="1">
      <x:c r="A1609" s="4" t="str">
        <x:v>RS-00830-I4</x:v>
      </x:c>
      <x:c r="B1609" s="4" t="str">
        <x:v>RS-00830</x:v>
      </x:c>
      <x:c r="C1609" s="9" t="n">
        <x:v>4</x:v>
      </x:c>
      <x:c r="D1609" s="8" t="n">
        <x:v>45430</x:v>
      </x:c>
      <x:c r="E1609" s="9" t="n">
        <x:v>1462500</x:v>
      </x:c>
      <x:c r="F1609" s="9" t="n">
        <x:v>0</x:v>
      </x:c>
    </x:row>
    <x:row r="1610" ht="34" customHeight="1">
      <x:c r="A1610" s="4" t="str">
        <x:v>RS-00831-I1</x:v>
      </x:c>
      <x:c r="B1610" s="4" t="str">
        <x:v>RS-00831</x:v>
      </x:c>
      <x:c r="C1610" s="9" t="n">
        <x:v>1</x:v>
      </x:c>
      <x:c r="D1610" s="8" t="n">
        <x:v>45341</x:v>
      </x:c>
      <x:c r="E1610" s="9" t="n">
        <x:v>5088000</x:v>
      </x:c>
      <x:c r="F1610" s="9" t="n">
        <x:v>5088000</x:v>
      </x:c>
    </x:row>
    <x:row r="1611" ht="34" customHeight="1">
      <x:c r="A1611" s="4" t="str">
        <x:v>RS-00831-I2</x:v>
      </x:c>
      <x:c r="B1611" s="4" t="str">
        <x:v>RS-00831</x:v>
      </x:c>
      <x:c r="C1611" s="9" t="n">
        <x:v>2</x:v>
      </x:c>
      <x:c r="D1611" s="8" t="n">
        <x:v>45371</x:v>
      </x:c>
      <x:c r="E1611" s="9" t="n">
        <x:v>5088000</x:v>
      </x:c>
      <x:c r="F1611" s="9" t="n">
        <x:v>5088000</x:v>
      </x:c>
    </x:row>
    <x:row r="1612" ht="34" customHeight="1">
      <x:c r="A1612" s="4" t="str">
        <x:v>RS-00831-I3</x:v>
      </x:c>
      <x:c r="B1612" s="4" t="str">
        <x:v>RS-00831</x:v>
      </x:c>
      <x:c r="C1612" s="9" t="n">
        <x:v>3</x:v>
      </x:c>
      <x:c r="D1612" s="8" t="n">
        <x:v>45401</x:v>
      </x:c>
      <x:c r="E1612" s="9" t="n">
        <x:v>5088000</x:v>
      </x:c>
      <x:c r="F1612" s="9" t="n">
        <x:v>0</x:v>
      </x:c>
    </x:row>
    <x:row r="1613" ht="34" customHeight="1">
      <x:c r="A1613" s="4" t="str">
        <x:v>RS-00831-I4</x:v>
      </x:c>
      <x:c r="B1613" s="4" t="str">
        <x:v>RS-00831</x:v>
      </x:c>
      <x:c r="C1613" s="9" t="n">
        <x:v>4</x:v>
      </x:c>
      <x:c r="D1613" s="8" t="n">
        <x:v>45431</x:v>
      </x:c>
      <x:c r="E1613" s="9" t="n">
        <x:v>5088000</x:v>
      </x:c>
      <x:c r="F1613" s="9" t="n">
        <x:v>0</x:v>
      </x:c>
    </x:row>
    <x:row r="1614" ht="34" customHeight="1">
      <x:c r="A1614" s="4" t="str">
        <x:v>RS-00834-I1</x:v>
      </x:c>
      <x:c r="B1614" s="4" t="str">
        <x:v>RS-00834</x:v>
      </x:c>
      <x:c r="C1614" s="9" t="n">
        <x:v>1</x:v>
      </x:c>
      <x:c r="D1614" s="8" t="n">
        <x:v>45344</x:v>
      </x:c>
      <x:c r="E1614" s="9" t="n">
        <x:v>873000</x:v>
      </x:c>
      <x:c r="F1614" s="9" t="n">
        <x:v>349200</x:v>
      </x:c>
    </x:row>
    <x:row r="1615" ht="34" customHeight="1">
      <x:c r="A1615" s="4" t="str">
        <x:v>RS-00834-I2</x:v>
      </x:c>
      <x:c r="B1615" s="4" t="str">
        <x:v>RS-00834</x:v>
      </x:c>
      <x:c r="C1615" s="9" t="n">
        <x:v>2</x:v>
      </x:c>
      <x:c r="D1615" s="8" t="n">
        <x:v>45374</x:v>
      </x:c>
      <x:c r="E1615" s="9" t="n">
        <x:v>873000</x:v>
      </x:c>
      <x:c r="F1615" s="9" t="n">
        <x:v>0</x:v>
      </x:c>
    </x:row>
    <x:row r="1616" ht="34" customHeight="1">
      <x:c r="A1616" s="4" t="str">
        <x:v>RS-00834-I3</x:v>
      </x:c>
      <x:c r="B1616" s="4" t="str">
        <x:v>RS-00834</x:v>
      </x:c>
      <x:c r="C1616" s="9" t="n">
        <x:v>3</x:v>
      </x:c>
      <x:c r="D1616" s="8" t="n">
        <x:v>45404</x:v>
      </x:c>
      <x:c r="E1616" s="9" t="n">
        <x:v>873000</x:v>
      </x:c>
      <x:c r="F1616" s="9" t="n">
        <x:v>0</x:v>
      </x:c>
    </x:row>
    <x:row r="1617" ht="34" customHeight="1">
      <x:c r="A1617" s="4" t="str">
        <x:v>RS-00834-I4</x:v>
      </x:c>
      <x:c r="B1617" s="4" t="str">
        <x:v>RS-00834</x:v>
      </x:c>
      <x:c r="C1617" s="9" t="n">
        <x:v>4</x:v>
      </x:c>
      <x:c r="D1617" s="8" t="n">
        <x:v>45434</x:v>
      </x:c>
      <x:c r="E1617" s="9" t="n">
        <x:v>873000</x:v>
      </x:c>
      <x:c r="F1617" s="9" t="n">
        <x:v>0</x:v>
      </x:c>
    </x:row>
    <x:row r="1618" ht="34" customHeight="1">
      <x:c r="A1618" s="4" t="str">
        <x:v>RS-00835-I1</x:v>
      </x:c>
      <x:c r="B1618" s="4" t="str">
        <x:v>RS-00835</x:v>
      </x:c>
      <x:c r="C1618" s="9" t="n">
        <x:v>1</x:v>
      </x:c>
      <x:c r="D1618" s="8" t="n">
        <x:v>45345</x:v>
      </x:c>
      <x:c r="E1618" s="9" t="n">
        <x:v>4851000</x:v>
      </x:c>
      <x:c r="F1618" s="9" t="n">
        <x:v>4851000</x:v>
      </x:c>
    </x:row>
    <x:row r="1619" ht="34" customHeight="1">
      <x:c r="A1619" s="4" t="str">
        <x:v>RS-00835-I2</x:v>
      </x:c>
      <x:c r="B1619" s="4" t="str">
        <x:v>RS-00835</x:v>
      </x:c>
      <x:c r="C1619" s="9" t="n">
        <x:v>2</x:v>
      </x:c>
      <x:c r="D1619" s="8" t="n">
        <x:v>45375</x:v>
      </x:c>
      <x:c r="E1619" s="9" t="n">
        <x:v>4851000</x:v>
      </x:c>
      <x:c r="F1619" s="9" t="n">
        <x:v>4851000</x:v>
      </x:c>
    </x:row>
    <x:row r="1620" ht="34" customHeight="1">
      <x:c r="A1620" s="4" t="str">
        <x:v>RS-00835-I3</x:v>
      </x:c>
      <x:c r="B1620" s="4" t="str">
        <x:v>RS-00835</x:v>
      </x:c>
      <x:c r="C1620" s="9" t="n">
        <x:v>3</x:v>
      </x:c>
      <x:c r="D1620" s="8" t="n">
        <x:v>45405</x:v>
      </x:c>
      <x:c r="E1620" s="9" t="n">
        <x:v>4851000</x:v>
      </x:c>
      <x:c r="F1620" s="9" t="n">
        <x:v>0</x:v>
      </x:c>
    </x:row>
    <x:row r="1621" ht="34" customHeight="1">
      <x:c r="A1621" s="4" t="str">
        <x:v>RS-00835-I4</x:v>
      </x:c>
      <x:c r="B1621" s="4" t="str">
        <x:v>RS-00835</x:v>
      </x:c>
      <x:c r="C1621" s="9" t="n">
        <x:v>4</x:v>
      </x:c>
      <x:c r="D1621" s="8" t="n">
        <x:v>45435</x:v>
      </x:c>
      <x:c r="E1621" s="9" t="n">
        <x:v>4851000</x:v>
      </x:c>
      <x:c r="F1621" s="9" t="n">
        <x:v>0</x:v>
      </x:c>
    </x:row>
    <x:row r="1622" ht="34" customHeight="1">
      <x:c r="A1622" s="4" t="str">
        <x:v>RS-00836-I1</x:v>
      </x:c>
      <x:c r="B1622" s="4" t="str">
        <x:v>RS-00836</x:v>
      </x:c>
      <x:c r="C1622" s="9" t="n">
        <x:v>1</x:v>
      </x:c>
      <x:c r="D1622" s="8" t="n">
        <x:v>45346</x:v>
      </x:c>
      <x:c r="E1622" s="9" t="n">
        <x:v>2837250</x:v>
      </x:c>
      <x:c r="F1622" s="9" t="n">
        <x:v>2837250</x:v>
      </x:c>
    </x:row>
    <x:row r="1623" ht="34" customHeight="1">
      <x:c r="A1623" s="4" t="str">
        <x:v>RS-00836-I2</x:v>
      </x:c>
      <x:c r="B1623" s="4" t="str">
        <x:v>RS-00836</x:v>
      </x:c>
      <x:c r="C1623" s="9" t="n">
        <x:v>2</x:v>
      </x:c>
      <x:c r="D1623" s="8" t="n">
        <x:v>45376</x:v>
      </x:c>
      <x:c r="E1623" s="9" t="n">
        <x:v>2837250</x:v>
      </x:c>
      <x:c r="F1623" s="9" t="n">
        <x:v>2837250</x:v>
      </x:c>
    </x:row>
    <x:row r="1624" ht="34" customHeight="1">
      <x:c r="A1624" s="4" t="str">
        <x:v>RS-00836-I3</x:v>
      </x:c>
      <x:c r="B1624" s="4" t="str">
        <x:v>RS-00836</x:v>
      </x:c>
      <x:c r="C1624" s="9" t="n">
        <x:v>3</x:v>
      </x:c>
      <x:c r="D1624" s="8" t="n">
        <x:v>45406</x:v>
      </x:c>
      <x:c r="E1624" s="9" t="n">
        <x:v>2837250</x:v>
      </x:c>
      <x:c r="F1624" s="9" t="n">
        <x:v>0</x:v>
      </x:c>
    </x:row>
    <x:row r="1625" ht="34" customHeight="1">
      <x:c r="A1625" s="4" t="str">
        <x:v>RS-00836-I4</x:v>
      </x:c>
      <x:c r="B1625" s="4" t="str">
        <x:v>RS-00836</x:v>
      </x:c>
      <x:c r="C1625" s="9" t="n">
        <x:v>4</x:v>
      </x:c>
      <x:c r="D1625" s="8" t="n">
        <x:v>45436</x:v>
      </x:c>
      <x:c r="E1625" s="9" t="n">
        <x:v>2837250</x:v>
      </x:c>
      <x:c r="F1625" s="9" t="n">
        <x:v>0</x:v>
      </x:c>
    </x:row>
    <x:row r="1626" ht="34" customHeight="1">
      <x:c r="A1626" s="4" t="str">
        <x:v>RS-00837-I1</x:v>
      </x:c>
      <x:c r="B1626" s="4" t="str">
        <x:v>RS-00837</x:v>
      </x:c>
      <x:c r="C1626" s="9" t="n">
        <x:v>1</x:v>
      </x:c>
      <x:c r="D1626" s="8" t="n">
        <x:v>45347</x:v>
      </x:c>
      <x:c r="E1626" s="9" t="n">
        <x:v>3172500</x:v>
      </x:c>
      <x:c r="F1626" s="9" t="n">
        <x:v>3172500</x:v>
      </x:c>
    </x:row>
    <x:row r="1627" ht="34" customHeight="1">
      <x:c r="A1627" s="4" t="str">
        <x:v>RS-00837-I2</x:v>
      </x:c>
      <x:c r="B1627" s="4" t="str">
        <x:v>RS-00837</x:v>
      </x:c>
      <x:c r="C1627" s="9" t="n">
        <x:v>2</x:v>
      </x:c>
      <x:c r="D1627" s="8" t="n">
        <x:v>45377</x:v>
      </x:c>
      <x:c r="E1627" s="9" t="n">
        <x:v>3172500</x:v>
      </x:c>
      <x:c r="F1627" s="9" t="n">
        <x:v>3172500</x:v>
      </x:c>
    </x:row>
    <x:row r="1628" ht="34" customHeight="1">
      <x:c r="A1628" s="4" t="str">
        <x:v>RS-00837-I3</x:v>
      </x:c>
      <x:c r="B1628" s="4" t="str">
        <x:v>RS-00837</x:v>
      </x:c>
      <x:c r="C1628" s="9" t="n">
        <x:v>3</x:v>
      </x:c>
      <x:c r="D1628" s="8" t="n">
        <x:v>45407</x:v>
      </x:c>
      <x:c r="E1628" s="9" t="n">
        <x:v>3172500</x:v>
      </x:c>
      <x:c r="F1628" s="9" t="n">
        <x:v>3172500</x:v>
      </x:c>
    </x:row>
    <x:row r="1629" ht="34" customHeight="1">
      <x:c r="A1629" s="4" t="str">
        <x:v>RS-00837-I4</x:v>
      </x:c>
      <x:c r="B1629" s="4" t="str">
        <x:v>RS-00837</x:v>
      </x:c>
      <x:c r="C1629" s="9" t="n">
        <x:v>4</x:v>
      </x:c>
      <x:c r="D1629" s="8" t="n">
        <x:v>45437</x:v>
      </x:c>
      <x:c r="E1629" s="9" t="n">
        <x:v>3172500</x:v>
      </x:c>
      <x:c r="F1629" s="9" t="n">
        <x:v>3172500</x:v>
      </x:c>
    </x:row>
    <x:row r="1630" ht="34" customHeight="1">
      <x:c r="A1630" s="4" t="str">
        <x:v>RS-00839-I1</x:v>
      </x:c>
      <x:c r="B1630" s="4" t="str">
        <x:v>RS-00839</x:v>
      </x:c>
      <x:c r="C1630" s="9" t="n">
        <x:v>1</x:v>
      </x:c>
      <x:c r="D1630" s="8" t="n">
        <x:v>45349</x:v>
      </x:c>
      <x:c r="E1630" s="9" t="n">
        <x:v>2061250</x:v>
      </x:c>
      <x:c r="F1630" s="9" t="n">
        <x:v>2061250</x:v>
      </x:c>
    </x:row>
    <x:row r="1631" ht="34" customHeight="1">
      <x:c r="A1631" s="4" t="str">
        <x:v>RS-00839-I2</x:v>
      </x:c>
      <x:c r="B1631" s="4" t="str">
        <x:v>RS-00839</x:v>
      </x:c>
      <x:c r="C1631" s="9" t="n">
        <x:v>2</x:v>
      </x:c>
      <x:c r="D1631" s="8" t="n">
        <x:v>45379</x:v>
      </x:c>
      <x:c r="E1631" s="9" t="n">
        <x:v>2061250</x:v>
      </x:c>
      <x:c r="F1631" s="9" t="n">
        <x:v>2061250</x:v>
      </x:c>
    </x:row>
    <x:row r="1632" ht="34" customHeight="1">
      <x:c r="A1632" s="4" t="str">
        <x:v>RS-00839-I3</x:v>
      </x:c>
      <x:c r="B1632" s="4" t="str">
        <x:v>RS-00839</x:v>
      </x:c>
      <x:c r="C1632" s="9" t="n">
        <x:v>3</x:v>
      </x:c>
      <x:c r="D1632" s="8" t="n">
        <x:v>45409</x:v>
      </x:c>
      <x:c r="E1632" s="9" t="n">
        <x:v>2061250</x:v>
      </x:c>
      <x:c r="F1632" s="9" t="n">
        <x:v>2061250</x:v>
      </x:c>
    </x:row>
    <x:row r="1633" ht="34" customHeight="1">
      <x:c r="A1633" s="4" t="str">
        <x:v>RS-00839-I4</x:v>
      </x:c>
      <x:c r="B1633" s="4" t="str">
        <x:v>RS-00839</x:v>
      </x:c>
      <x:c r="C1633" s="9" t="n">
        <x:v>4</x:v>
      </x:c>
      <x:c r="D1633" s="8" t="n">
        <x:v>45439</x:v>
      </x:c>
      <x:c r="E1633" s="9" t="n">
        <x:v>2061250</x:v>
      </x:c>
      <x:c r="F1633" s="9" t="n">
        <x:v>2061250</x:v>
      </x:c>
    </x:row>
    <x:row r="1634" ht="34" customHeight="1">
      <x:c r="A1634" s="4" t="str">
        <x:v>RS-00840-I1</x:v>
      </x:c>
      <x:c r="B1634" s="4" t="str">
        <x:v>RS-00840</x:v>
      </x:c>
      <x:c r="C1634" s="9" t="n">
        <x:v>1</x:v>
      </x:c>
      <x:c r="D1634" s="8" t="n">
        <x:v>45350</x:v>
      </x:c>
      <x:c r="E1634" s="9" t="n">
        <x:v>1265000</x:v>
      </x:c>
      <x:c r="F1634" s="9" t="n">
        <x:v>1265000</x:v>
      </x:c>
    </x:row>
    <x:row r="1635" ht="34" customHeight="1">
      <x:c r="A1635" s="4" t="str">
        <x:v>RS-00840-I2</x:v>
      </x:c>
      <x:c r="B1635" s="4" t="str">
        <x:v>RS-00840</x:v>
      </x:c>
      <x:c r="C1635" s="9" t="n">
        <x:v>2</x:v>
      </x:c>
      <x:c r="D1635" s="8" t="n">
        <x:v>45380</x:v>
      </x:c>
      <x:c r="E1635" s="9" t="n">
        <x:v>1265000</x:v>
      </x:c>
      <x:c r="F1635" s="9" t="n">
        <x:v>1265000</x:v>
      </x:c>
    </x:row>
    <x:row r="1636" ht="34" customHeight="1">
      <x:c r="A1636" s="4" t="str">
        <x:v>RS-00840-I3</x:v>
      </x:c>
      <x:c r="B1636" s="4" t="str">
        <x:v>RS-00840</x:v>
      </x:c>
      <x:c r="C1636" s="9" t="n">
        <x:v>3</x:v>
      </x:c>
      <x:c r="D1636" s="8" t="n">
        <x:v>45410</x:v>
      </x:c>
      <x:c r="E1636" s="9" t="n">
        <x:v>1265000</x:v>
      </x:c>
      <x:c r="F1636" s="9" t="n">
        <x:v>1265000</x:v>
      </x:c>
    </x:row>
    <x:row r="1637" ht="34" customHeight="1">
      <x:c r="A1637" s="4" t="str">
        <x:v>RS-00840-I4</x:v>
      </x:c>
      <x:c r="B1637" s="4" t="str">
        <x:v>RS-00840</x:v>
      </x:c>
      <x:c r="C1637" s="9" t="n">
        <x:v>4</x:v>
      </x:c>
      <x:c r="D1637" s="8" t="n">
        <x:v>45440</x:v>
      </x:c>
      <x:c r="E1637" s="9" t="n">
        <x:v>1265000</x:v>
      </x:c>
      <x:c r="F1637" s="9" t="n">
        <x:v>1265000</x:v>
      </x:c>
    </x:row>
    <x:row r="1638" ht="34" customHeight="1">
      <x:c r="A1638" s="4" t="str">
        <x:v>RS-00841-I1</x:v>
      </x:c>
      <x:c r="B1638" s="4" t="str">
        <x:v>RS-00841</x:v>
      </x:c>
      <x:c r="C1638" s="9" t="n">
        <x:v>1</x:v>
      </x:c>
      <x:c r="D1638" s="8" t="n">
        <x:v>45323</x:v>
      </x:c>
      <x:c r="E1638" s="9" t="n">
        <x:v>4278000</x:v>
      </x:c>
      <x:c r="F1638" s="9" t="n">
        <x:v>1711200</x:v>
      </x:c>
    </x:row>
    <x:row r="1639" ht="34" customHeight="1">
      <x:c r="A1639" s="4" t="str">
        <x:v>RS-00841-I2</x:v>
      </x:c>
      <x:c r="B1639" s="4" t="str">
        <x:v>RS-00841</x:v>
      </x:c>
      <x:c r="C1639" s="9" t="n">
        <x:v>2</x:v>
      </x:c>
      <x:c r="D1639" s="8" t="n">
        <x:v>45353</x:v>
      </x:c>
      <x:c r="E1639" s="9" t="n">
        <x:v>4278000</x:v>
      </x:c>
      <x:c r="F1639" s="9" t="n">
        <x:v>0</x:v>
      </x:c>
    </x:row>
    <x:row r="1640" ht="34" customHeight="1">
      <x:c r="A1640" s="4" t="str">
        <x:v>RS-00841-I3</x:v>
      </x:c>
      <x:c r="B1640" s="4" t="str">
        <x:v>RS-00841</x:v>
      </x:c>
      <x:c r="C1640" s="9" t="n">
        <x:v>3</x:v>
      </x:c>
      <x:c r="D1640" s="8" t="n">
        <x:v>45383</x:v>
      </x:c>
      <x:c r="E1640" s="9" t="n">
        <x:v>4278000</x:v>
      </x:c>
      <x:c r="F1640" s="9" t="n">
        <x:v>0</x:v>
      </x:c>
    </x:row>
    <x:row r="1641" ht="34" customHeight="1">
      <x:c r="A1641" s="4" t="str">
        <x:v>RS-00841-I4</x:v>
      </x:c>
      <x:c r="B1641" s="4" t="str">
        <x:v>RS-00841</x:v>
      </x:c>
      <x:c r="C1641" s="9" t="n">
        <x:v>4</x:v>
      </x:c>
      <x:c r="D1641" s="8" t="n">
        <x:v>45413</x:v>
      </x:c>
      <x:c r="E1641" s="9" t="n">
        <x:v>4278000</x:v>
      </x:c>
      <x:c r="F1641" s="9" t="n">
        <x:v>0</x:v>
      </x:c>
    </x:row>
    <x:row r="1642" ht="34" customHeight="1">
      <x:c r="A1642" s="4" t="str">
        <x:v>RS-00845-I1</x:v>
      </x:c>
      <x:c r="B1642" s="4" t="str">
        <x:v>RS-00845</x:v>
      </x:c>
      <x:c r="C1642" s="9" t="n">
        <x:v>1</x:v>
      </x:c>
      <x:c r="D1642" s="8" t="n">
        <x:v>45327</x:v>
      </x:c>
      <x:c r="E1642" s="9" t="n">
        <x:v>816750</x:v>
      </x:c>
      <x:c r="F1642" s="9" t="n">
        <x:v>816750</x:v>
      </x:c>
    </x:row>
    <x:row r="1643" ht="34" customHeight="1">
      <x:c r="A1643" s="4" t="str">
        <x:v>RS-00845-I2</x:v>
      </x:c>
      <x:c r="B1643" s="4" t="str">
        <x:v>RS-00845</x:v>
      </x:c>
      <x:c r="C1643" s="9" t="n">
        <x:v>2</x:v>
      </x:c>
      <x:c r="D1643" s="8" t="n">
        <x:v>45357</x:v>
      </x:c>
      <x:c r="E1643" s="9" t="n">
        <x:v>816750</x:v>
      </x:c>
      <x:c r="F1643" s="9" t="n">
        <x:v>0</x:v>
      </x:c>
    </x:row>
    <x:row r="1644" ht="34" customHeight="1">
      <x:c r="A1644" s="4" t="str">
        <x:v>RS-00845-I3</x:v>
      </x:c>
      <x:c r="B1644" s="4" t="str">
        <x:v>RS-00845</x:v>
      </x:c>
      <x:c r="C1644" s="9" t="n">
        <x:v>3</x:v>
      </x:c>
      <x:c r="D1644" s="8" t="n">
        <x:v>45387</x:v>
      </x:c>
      <x:c r="E1644" s="9" t="n">
        <x:v>816750</x:v>
      </x:c>
      <x:c r="F1644" s="9" t="n">
        <x:v>0</x:v>
      </x:c>
    </x:row>
    <x:row r="1645" ht="34" customHeight="1">
      <x:c r="A1645" s="4" t="str">
        <x:v>RS-00845-I4</x:v>
      </x:c>
      <x:c r="B1645" s="4" t="str">
        <x:v>RS-00845</x:v>
      </x:c>
      <x:c r="C1645" s="9" t="n">
        <x:v>4</x:v>
      </x:c>
      <x:c r="D1645" s="8" t="n">
        <x:v>45417</x:v>
      </x:c>
      <x:c r="E1645" s="9" t="n">
        <x:v>816750</x:v>
      </x:c>
      <x:c r="F1645" s="9" t="n">
        <x:v>0</x:v>
      </x:c>
    </x:row>
    <x:row r="1646" ht="34" customHeight="1">
      <x:c r="A1646" s="4" t="str">
        <x:v>RS-00846-I1</x:v>
      </x:c>
      <x:c r="B1646" s="4" t="str">
        <x:v>RS-00846</x:v>
      </x:c>
      <x:c r="C1646" s="9" t="n">
        <x:v>1</x:v>
      </x:c>
      <x:c r="D1646" s="8" t="n">
        <x:v>45328</x:v>
      </x:c>
      <x:c r="E1646" s="9" t="n">
        <x:v>1950500</x:v>
      </x:c>
      <x:c r="F1646" s="9" t="n">
        <x:v>780200</x:v>
      </x:c>
    </x:row>
    <x:row r="1647" ht="34" customHeight="1">
      <x:c r="A1647" s="4" t="str">
        <x:v>RS-00846-I2</x:v>
      </x:c>
      <x:c r="B1647" s="4" t="str">
        <x:v>RS-00846</x:v>
      </x:c>
      <x:c r="C1647" s="9" t="n">
        <x:v>2</x:v>
      </x:c>
      <x:c r="D1647" s="8" t="n">
        <x:v>45358</x:v>
      </x:c>
      <x:c r="E1647" s="9" t="n">
        <x:v>1950500</x:v>
      </x:c>
      <x:c r="F1647" s="9" t="n">
        <x:v>0</x:v>
      </x:c>
    </x:row>
    <x:row r="1648" ht="34" customHeight="1">
      <x:c r="A1648" s="4" t="str">
        <x:v>RS-00846-I3</x:v>
      </x:c>
      <x:c r="B1648" s="4" t="str">
        <x:v>RS-00846</x:v>
      </x:c>
      <x:c r="C1648" s="9" t="n">
        <x:v>3</x:v>
      </x:c>
      <x:c r="D1648" s="8" t="n">
        <x:v>45388</x:v>
      </x:c>
      <x:c r="E1648" s="9" t="n">
        <x:v>1950500</x:v>
      </x:c>
      <x:c r="F1648" s="9" t="n">
        <x:v>0</x:v>
      </x:c>
    </x:row>
    <x:row r="1649" ht="34" customHeight="1">
      <x:c r="A1649" s="4" t="str">
        <x:v>RS-00846-I4</x:v>
      </x:c>
      <x:c r="B1649" s="4" t="str">
        <x:v>RS-00846</x:v>
      </x:c>
      <x:c r="C1649" s="9" t="n">
        <x:v>4</x:v>
      </x:c>
      <x:c r="D1649" s="8" t="n">
        <x:v>45418</x:v>
      </x:c>
      <x:c r="E1649" s="9" t="n">
        <x:v>1950500</x:v>
      </x:c>
      <x:c r="F1649" s="9" t="n">
        <x:v>0</x:v>
      </x:c>
    </x:row>
    <x:row r="1650" ht="34" customHeight="1">
      <x:c r="A1650" s="4" t="str">
        <x:v>RS-00847-I1</x:v>
      </x:c>
      <x:c r="B1650" s="4" t="str">
        <x:v>RS-00847</x:v>
      </x:c>
      <x:c r="C1650" s="9" t="n">
        <x:v>1</x:v>
      </x:c>
      <x:c r="D1650" s="8" t="n">
        <x:v>45329</x:v>
      </x:c>
      <x:c r="E1650" s="9" t="n">
        <x:v>3686000</x:v>
      </x:c>
      <x:c r="F1650" s="9" t="n">
        <x:v>3686000</x:v>
      </x:c>
    </x:row>
    <x:row r="1651" ht="34" customHeight="1">
      <x:c r="A1651" s="4" t="str">
        <x:v>RS-00847-I2</x:v>
      </x:c>
      <x:c r="B1651" s="4" t="str">
        <x:v>RS-00847</x:v>
      </x:c>
      <x:c r="C1651" s="9" t="n">
        <x:v>2</x:v>
      </x:c>
      <x:c r="D1651" s="8" t="n">
        <x:v>45359</x:v>
      </x:c>
      <x:c r="E1651" s="9" t="n">
        <x:v>3686000</x:v>
      </x:c>
      <x:c r="F1651" s="9" t="n">
        <x:v>0</x:v>
      </x:c>
    </x:row>
    <x:row r="1652" ht="34" customHeight="1">
      <x:c r="A1652" s="4" t="str">
        <x:v>RS-00847-I3</x:v>
      </x:c>
      <x:c r="B1652" s="4" t="str">
        <x:v>RS-00847</x:v>
      </x:c>
      <x:c r="C1652" s="9" t="n">
        <x:v>3</x:v>
      </x:c>
      <x:c r="D1652" s="8" t="n">
        <x:v>45389</x:v>
      </x:c>
      <x:c r="E1652" s="9" t="n">
        <x:v>3686000</x:v>
      </x:c>
      <x:c r="F1652" s="9" t="n">
        <x:v>0</x:v>
      </x:c>
    </x:row>
    <x:row r="1653" ht="34" customHeight="1">
      <x:c r="A1653" s="4" t="str">
        <x:v>RS-00847-I4</x:v>
      </x:c>
      <x:c r="B1653" s="4" t="str">
        <x:v>RS-00847</x:v>
      </x:c>
      <x:c r="C1653" s="9" t="n">
        <x:v>4</x:v>
      </x:c>
      <x:c r="D1653" s="8" t="n">
        <x:v>45419</x:v>
      </x:c>
      <x:c r="E1653" s="9" t="n">
        <x:v>3686000</x:v>
      </x:c>
      <x:c r="F1653" s="9" t="n">
        <x:v>0</x:v>
      </x:c>
    </x:row>
    <x:row r="1654" ht="34" customHeight="1">
      <x:c r="A1654" s="4" t="str">
        <x:v>RS-00848-I1</x:v>
      </x:c>
      <x:c r="B1654" s="4" t="str">
        <x:v>RS-00848</x:v>
      </x:c>
      <x:c r="C1654" s="9" t="n">
        <x:v>1</x:v>
      </x:c>
      <x:c r="D1654" s="8" t="n">
        <x:v>45330</x:v>
      </x:c>
      <x:c r="E1654" s="9" t="n">
        <x:v>2745000</x:v>
      </x:c>
      <x:c r="F1654" s="9" t="n">
        <x:v>2745000</x:v>
      </x:c>
    </x:row>
    <x:row r="1655" ht="34" customHeight="1">
      <x:c r="A1655" s="4" t="str">
        <x:v>RS-00848-I2</x:v>
      </x:c>
      <x:c r="B1655" s="4" t="str">
        <x:v>RS-00848</x:v>
      </x:c>
      <x:c r="C1655" s="9" t="n">
        <x:v>2</x:v>
      </x:c>
      <x:c r="D1655" s="8" t="n">
        <x:v>45360</x:v>
      </x:c>
      <x:c r="E1655" s="9" t="n">
        <x:v>2745000</x:v>
      </x:c>
      <x:c r="F1655" s="9" t="n">
        <x:v>2745000</x:v>
      </x:c>
    </x:row>
    <x:row r="1656" ht="34" customHeight="1">
      <x:c r="A1656" s="4" t="str">
        <x:v>RS-00848-I3</x:v>
      </x:c>
      <x:c r="B1656" s="4" t="str">
        <x:v>RS-00848</x:v>
      </x:c>
      <x:c r="C1656" s="9" t="n">
        <x:v>3</x:v>
      </x:c>
      <x:c r="D1656" s="8" t="n">
        <x:v>45390</x:v>
      </x:c>
      <x:c r="E1656" s="9" t="n">
        <x:v>2745000</x:v>
      </x:c>
      <x:c r="F1656" s="9" t="n">
        <x:v>0</x:v>
      </x:c>
    </x:row>
    <x:row r="1657" ht="34" customHeight="1">
      <x:c r="A1657" s="4" t="str">
        <x:v>RS-00848-I4</x:v>
      </x:c>
      <x:c r="B1657" s="4" t="str">
        <x:v>RS-00848</x:v>
      </x:c>
      <x:c r="C1657" s="9" t="n">
        <x:v>4</x:v>
      </x:c>
      <x:c r="D1657" s="8" t="n">
        <x:v>45420</x:v>
      </x:c>
      <x:c r="E1657" s="9" t="n">
        <x:v>2745000</x:v>
      </x:c>
      <x:c r="F1657" s="9" t="n">
        <x:v>0</x:v>
      </x:c>
    </x:row>
    <x:row r="1658" ht="34" customHeight="1">
      <x:c r="A1658" s="4" t="str">
        <x:v>RS-00849-I1</x:v>
      </x:c>
      <x:c r="B1658" s="4" t="str">
        <x:v>RS-00849</x:v>
      </x:c>
      <x:c r="C1658" s="9" t="n">
        <x:v>1</x:v>
      </x:c>
      <x:c r="D1658" s="8" t="n">
        <x:v>45331</x:v>
      </x:c>
      <x:c r="E1658" s="9" t="n">
        <x:v>2875000</x:v>
      </x:c>
      <x:c r="F1658" s="9" t="n">
        <x:v>1150000</x:v>
      </x:c>
    </x:row>
    <x:row r="1659" ht="34" customHeight="1">
      <x:c r="A1659" s="4" t="str">
        <x:v>RS-00849-I2</x:v>
      </x:c>
      <x:c r="B1659" s="4" t="str">
        <x:v>RS-00849</x:v>
      </x:c>
      <x:c r="C1659" s="9" t="n">
        <x:v>2</x:v>
      </x:c>
      <x:c r="D1659" s="8" t="n">
        <x:v>45361</x:v>
      </x:c>
      <x:c r="E1659" s="9" t="n">
        <x:v>2875000</x:v>
      </x:c>
      <x:c r="F1659" s="9" t="n">
        <x:v>0</x:v>
      </x:c>
    </x:row>
    <x:row r="1660" ht="34" customHeight="1">
      <x:c r="A1660" s="4" t="str">
        <x:v>RS-00849-I3</x:v>
      </x:c>
      <x:c r="B1660" s="4" t="str">
        <x:v>RS-00849</x:v>
      </x:c>
      <x:c r="C1660" s="9" t="n">
        <x:v>3</x:v>
      </x:c>
      <x:c r="D1660" s="8" t="n">
        <x:v>45391</x:v>
      </x:c>
      <x:c r="E1660" s="9" t="n">
        <x:v>2875000</x:v>
      </x:c>
      <x:c r="F1660" s="9" t="n">
        <x:v>0</x:v>
      </x:c>
    </x:row>
    <x:row r="1661" ht="34" customHeight="1">
      <x:c r="A1661" s="4" t="str">
        <x:v>RS-00849-I4</x:v>
      </x:c>
      <x:c r="B1661" s="4" t="str">
        <x:v>RS-00849</x:v>
      </x:c>
      <x:c r="C1661" s="9" t="n">
        <x:v>4</x:v>
      </x:c>
      <x:c r="D1661" s="8" t="n">
        <x:v>45421</x:v>
      </x:c>
      <x:c r="E1661" s="9" t="n">
        <x:v>2875000</x:v>
      </x:c>
      <x:c r="F1661" s="9" t="n">
        <x:v>0</x:v>
      </x:c>
    </x:row>
    <x:row r="1662" ht="34" customHeight="1">
      <x:c r="A1662" s="4" t="str">
        <x:v>RS-00851-I1</x:v>
      </x:c>
      <x:c r="B1662" s="4" t="str">
        <x:v>RS-00851</x:v>
      </x:c>
      <x:c r="C1662" s="9" t="n">
        <x:v>1</x:v>
      </x:c>
      <x:c r="D1662" s="8" t="n">
        <x:v>45333</x:v>
      </x:c>
      <x:c r="E1662" s="9" t="n">
        <x:v>2054250</x:v>
      </x:c>
      <x:c r="F1662" s="9" t="n">
        <x:v>2054250</x:v>
      </x:c>
    </x:row>
    <x:row r="1663" ht="34" customHeight="1">
      <x:c r="A1663" s="4" t="str">
        <x:v>RS-00851-I2</x:v>
      </x:c>
      <x:c r="B1663" s="4" t="str">
        <x:v>RS-00851</x:v>
      </x:c>
      <x:c r="C1663" s="9" t="n">
        <x:v>2</x:v>
      </x:c>
      <x:c r="D1663" s="8" t="n">
        <x:v>45363</x:v>
      </x:c>
      <x:c r="E1663" s="9" t="n">
        <x:v>2054250</x:v>
      </x:c>
      <x:c r="F1663" s="9" t="n">
        <x:v>2054250</x:v>
      </x:c>
    </x:row>
    <x:row r="1664" ht="34" customHeight="1">
      <x:c r="A1664" s="4" t="str">
        <x:v>RS-00851-I3</x:v>
      </x:c>
      <x:c r="B1664" s="4" t="str">
        <x:v>RS-00851</x:v>
      </x:c>
      <x:c r="C1664" s="9" t="n">
        <x:v>3</x:v>
      </x:c>
      <x:c r="D1664" s="8" t="n">
        <x:v>45393</x:v>
      </x:c>
      <x:c r="E1664" s="9" t="n">
        <x:v>2054250</x:v>
      </x:c>
      <x:c r="F1664" s="9" t="n">
        <x:v>0</x:v>
      </x:c>
    </x:row>
    <x:row r="1665" ht="34" customHeight="1">
      <x:c r="A1665" s="4" t="str">
        <x:v>RS-00851-I4</x:v>
      </x:c>
      <x:c r="B1665" s="4" t="str">
        <x:v>RS-00851</x:v>
      </x:c>
      <x:c r="C1665" s="9" t="n">
        <x:v>4</x:v>
      </x:c>
      <x:c r="D1665" s="8" t="n">
        <x:v>45423</x:v>
      </x:c>
      <x:c r="E1665" s="9" t="n">
        <x:v>2054250</x:v>
      </x:c>
      <x:c r="F1665" s="9" t="n">
        <x:v>0</x:v>
      </x:c>
    </x:row>
    <x:row r="1666" ht="34" customHeight="1">
      <x:c r="A1666" s="4" t="str">
        <x:v>RS-00852-I1</x:v>
      </x:c>
      <x:c r="B1666" s="4" t="str">
        <x:v>RS-00852</x:v>
      </x:c>
      <x:c r="C1666" s="9" t="n">
        <x:v>1</x:v>
      </x:c>
      <x:c r="D1666" s="8" t="n">
        <x:v>45334</x:v>
      </x:c>
      <x:c r="E1666" s="9" t="n">
        <x:v>3443750</x:v>
      </x:c>
      <x:c r="F1666" s="9" t="n">
        <x:v>3443750</x:v>
      </x:c>
    </x:row>
    <x:row r="1667" ht="34" customHeight="1">
      <x:c r="A1667" s="4" t="str">
        <x:v>RS-00852-I2</x:v>
      </x:c>
      <x:c r="B1667" s="4" t="str">
        <x:v>RS-00852</x:v>
      </x:c>
      <x:c r="C1667" s="9" t="n">
        <x:v>2</x:v>
      </x:c>
      <x:c r="D1667" s="8" t="n">
        <x:v>45364</x:v>
      </x:c>
      <x:c r="E1667" s="9" t="n">
        <x:v>3443750</x:v>
      </x:c>
      <x:c r="F1667" s="9" t="n">
        <x:v>3443750</x:v>
      </x:c>
    </x:row>
    <x:row r="1668" ht="34" customHeight="1">
      <x:c r="A1668" s="4" t="str">
        <x:v>RS-00852-I3</x:v>
      </x:c>
      <x:c r="B1668" s="4" t="str">
        <x:v>RS-00852</x:v>
      </x:c>
      <x:c r="C1668" s="9" t="n">
        <x:v>3</x:v>
      </x:c>
      <x:c r="D1668" s="8" t="n">
        <x:v>45394</x:v>
      </x:c>
      <x:c r="E1668" s="9" t="n">
        <x:v>3443750</x:v>
      </x:c>
      <x:c r="F1668" s="9" t="n">
        <x:v>3443750</x:v>
      </x:c>
    </x:row>
    <x:row r="1669" ht="34" customHeight="1">
      <x:c r="A1669" s="4" t="str">
        <x:v>RS-00852-I4</x:v>
      </x:c>
      <x:c r="B1669" s="4" t="str">
        <x:v>RS-00852</x:v>
      </x:c>
      <x:c r="C1669" s="9" t="n">
        <x:v>4</x:v>
      </x:c>
      <x:c r="D1669" s="8" t="n">
        <x:v>45424</x:v>
      </x:c>
      <x:c r="E1669" s="9" t="n">
        <x:v>3443750</x:v>
      </x:c>
      <x:c r="F1669" s="9" t="n">
        <x:v>3443750</x:v>
      </x:c>
    </x:row>
    <x:row r="1670" ht="34" customHeight="1">
      <x:c r="A1670" s="4" t="str">
        <x:v>RS-00854-I1</x:v>
      </x:c>
      <x:c r="B1670" s="4" t="str">
        <x:v>RS-00854</x:v>
      </x:c>
      <x:c r="C1670" s="9" t="n">
        <x:v>1</x:v>
      </x:c>
      <x:c r="D1670" s="8" t="n">
        <x:v>45336</x:v>
      </x:c>
      <x:c r="E1670" s="9" t="n">
        <x:v>3705000</x:v>
      </x:c>
      <x:c r="F1670" s="9" t="n">
        <x:v>3705000</x:v>
      </x:c>
    </x:row>
    <x:row r="1671" ht="34" customHeight="1">
      <x:c r="A1671" s="4" t="str">
        <x:v>RS-00854-I2</x:v>
      </x:c>
      <x:c r="B1671" s="4" t="str">
        <x:v>RS-00854</x:v>
      </x:c>
      <x:c r="C1671" s="9" t="n">
        <x:v>2</x:v>
      </x:c>
      <x:c r="D1671" s="8" t="n">
        <x:v>45366</x:v>
      </x:c>
      <x:c r="E1671" s="9" t="n">
        <x:v>3705000</x:v>
      </x:c>
      <x:c r="F1671" s="9" t="n">
        <x:v>3705000</x:v>
      </x:c>
    </x:row>
    <x:row r="1672" ht="34" customHeight="1">
      <x:c r="A1672" s="4" t="str">
        <x:v>RS-00854-I3</x:v>
      </x:c>
      <x:c r="B1672" s="4" t="str">
        <x:v>RS-00854</x:v>
      </x:c>
      <x:c r="C1672" s="9" t="n">
        <x:v>3</x:v>
      </x:c>
      <x:c r="D1672" s="8" t="n">
        <x:v>45396</x:v>
      </x:c>
      <x:c r="E1672" s="9" t="n">
        <x:v>3705000</x:v>
      </x:c>
      <x:c r="F1672" s="9" t="n">
        <x:v>3705000</x:v>
      </x:c>
    </x:row>
    <x:row r="1673" ht="34" customHeight="1">
      <x:c r="A1673" s="4" t="str">
        <x:v>RS-00854-I4</x:v>
      </x:c>
      <x:c r="B1673" s="4" t="str">
        <x:v>RS-00854</x:v>
      </x:c>
      <x:c r="C1673" s="9" t="n">
        <x:v>4</x:v>
      </x:c>
      <x:c r="D1673" s="8" t="n">
        <x:v>45426</x:v>
      </x:c>
      <x:c r="E1673" s="9" t="n">
        <x:v>3705000</x:v>
      </x:c>
      <x:c r="F1673" s="9" t="n">
        <x:v>3705000</x:v>
      </x:c>
    </x:row>
    <x:row r="1674" ht="34" customHeight="1">
      <x:c r="A1674" s="4" t="str">
        <x:v>RS-00855-I1</x:v>
      </x:c>
      <x:c r="B1674" s="4" t="str">
        <x:v>RS-00855</x:v>
      </x:c>
      <x:c r="C1674" s="9" t="n">
        <x:v>1</x:v>
      </x:c>
      <x:c r="D1674" s="8" t="n">
        <x:v>45337</x:v>
      </x:c>
      <x:c r="E1674" s="9" t="n">
        <x:v>3092250</x:v>
      </x:c>
      <x:c r="F1674" s="9" t="n">
        <x:v>3092250</x:v>
      </x:c>
    </x:row>
    <x:row r="1675" ht="34" customHeight="1">
      <x:c r="A1675" s="4" t="str">
        <x:v>RS-00855-I2</x:v>
      </x:c>
      <x:c r="B1675" s="4" t="str">
        <x:v>RS-00855</x:v>
      </x:c>
      <x:c r="C1675" s="9" t="n">
        <x:v>2</x:v>
      </x:c>
      <x:c r="D1675" s="8" t="n">
        <x:v>45367</x:v>
      </x:c>
      <x:c r="E1675" s="9" t="n">
        <x:v>3092250</x:v>
      </x:c>
      <x:c r="F1675" s="9" t="n">
        <x:v>3092250</x:v>
      </x:c>
    </x:row>
    <x:row r="1676" ht="34" customHeight="1">
      <x:c r="A1676" s="4" t="str">
        <x:v>RS-00855-I3</x:v>
      </x:c>
      <x:c r="B1676" s="4" t="str">
        <x:v>RS-00855</x:v>
      </x:c>
      <x:c r="C1676" s="9" t="n">
        <x:v>3</x:v>
      </x:c>
      <x:c r="D1676" s="8" t="n">
        <x:v>45397</x:v>
      </x:c>
      <x:c r="E1676" s="9" t="n">
        <x:v>3092250</x:v>
      </x:c>
      <x:c r="F1676" s="9" t="n">
        <x:v>0</x:v>
      </x:c>
    </x:row>
    <x:row r="1677" ht="34" customHeight="1">
      <x:c r="A1677" s="4" t="str">
        <x:v>RS-00855-I4</x:v>
      </x:c>
      <x:c r="B1677" s="4" t="str">
        <x:v>RS-00855</x:v>
      </x:c>
      <x:c r="C1677" s="9" t="n">
        <x:v>4</x:v>
      </x:c>
      <x:c r="D1677" s="8" t="n">
        <x:v>45427</x:v>
      </x:c>
      <x:c r="E1677" s="9" t="n">
        <x:v>3092250</x:v>
      </x:c>
      <x:c r="F1677" s="9" t="n">
        <x:v>0</x:v>
      </x:c>
    </x:row>
    <x:row r="1678" ht="34" customHeight="1">
      <x:c r="A1678" s="4" t="str">
        <x:v>RS-00856-I1</x:v>
      </x:c>
      <x:c r="B1678" s="4" t="str">
        <x:v>RS-00856</x:v>
      </x:c>
      <x:c r="C1678" s="9" t="n">
        <x:v>1</x:v>
      </x:c>
      <x:c r="D1678" s="8" t="n">
        <x:v>45338</x:v>
      </x:c>
      <x:c r="E1678" s="9" t="n">
        <x:v>3510750</x:v>
      </x:c>
      <x:c r="F1678" s="9" t="n">
        <x:v>3510750</x:v>
      </x:c>
    </x:row>
    <x:row r="1679" ht="34" customHeight="1">
      <x:c r="A1679" s="4" t="str">
        <x:v>RS-00856-I2</x:v>
      </x:c>
      <x:c r="B1679" s="4" t="str">
        <x:v>RS-00856</x:v>
      </x:c>
      <x:c r="C1679" s="9" t="n">
        <x:v>2</x:v>
      </x:c>
      <x:c r="D1679" s="8" t="n">
        <x:v>45368</x:v>
      </x:c>
      <x:c r="E1679" s="9" t="n">
        <x:v>3510750</x:v>
      </x:c>
      <x:c r="F1679" s="9" t="n">
        <x:v>0</x:v>
      </x:c>
    </x:row>
    <x:row r="1680" ht="34" customHeight="1">
      <x:c r="A1680" s="4" t="str">
        <x:v>RS-00856-I3</x:v>
      </x:c>
      <x:c r="B1680" s="4" t="str">
        <x:v>RS-00856</x:v>
      </x:c>
      <x:c r="C1680" s="9" t="n">
        <x:v>3</x:v>
      </x:c>
      <x:c r="D1680" s="8" t="n">
        <x:v>45398</x:v>
      </x:c>
      <x:c r="E1680" s="9" t="n">
        <x:v>3510750</x:v>
      </x:c>
      <x:c r="F1680" s="9" t="n">
        <x:v>0</x:v>
      </x:c>
    </x:row>
    <x:row r="1681" ht="34" customHeight="1">
      <x:c r="A1681" s="4" t="str">
        <x:v>RS-00856-I4</x:v>
      </x:c>
      <x:c r="B1681" s="4" t="str">
        <x:v>RS-00856</x:v>
      </x:c>
      <x:c r="C1681" s="9" t="n">
        <x:v>4</x:v>
      </x:c>
      <x:c r="D1681" s="8" t="n">
        <x:v>45428</x:v>
      </x:c>
      <x:c r="E1681" s="9" t="n">
        <x:v>3510750</x:v>
      </x:c>
      <x:c r="F1681" s="9" t="n">
        <x:v>0</x:v>
      </x:c>
    </x:row>
    <x:row r="1682" ht="34" customHeight="1">
      <x:c r="A1682" s="4" t="str">
        <x:v>RS-00857-I1</x:v>
      </x:c>
      <x:c r="B1682" s="4" t="str">
        <x:v>RS-00857</x:v>
      </x:c>
      <x:c r="C1682" s="9" t="n">
        <x:v>1</x:v>
      </x:c>
      <x:c r="D1682" s="8" t="n">
        <x:v>45339</x:v>
      </x:c>
      <x:c r="E1682" s="9" t="n">
        <x:v>4628250</x:v>
      </x:c>
      <x:c r="F1682" s="9" t="n">
        <x:v>4628250</x:v>
      </x:c>
    </x:row>
    <x:row r="1683" ht="34" customHeight="1">
      <x:c r="A1683" s="4" t="str">
        <x:v>RS-00857-I2</x:v>
      </x:c>
      <x:c r="B1683" s="4" t="str">
        <x:v>RS-00857</x:v>
      </x:c>
      <x:c r="C1683" s="9" t="n">
        <x:v>2</x:v>
      </x:c>
      <x:c r="D1683" s="8" t="n">
        <x:v>45369</x:v>
      </x:c>
      <x:c r="E1683" s="9" t="n">
        <x:v>4628250</x:v>
      </x:c>
      <x:c r="F1683" s="9" t="n">
        <x:v>0</x:v>
      </x:c>
    </x:row>
    <x:row r="1684" ht="34" customHeight="1">
      <x:c r="A1684" s="4" t="str">
        <x:v>RS-00857-I3</x:v>
      </x:c>
      <x:c r="B1684" s="4" t="str">
        <x:v>RS-00857</x:v>
      </x:c>
      <x:c r="C1684" s="9" t="n">
        <x:v>3</x:v>
      </x:c>
      <x:c r="D1684" s="8" t="n">
        <x:v>45399</x:v>
      </x:c>
      <x:c r="E1684" s="9" t="n">
        <x:v>4628250</x:v>
      </x:c>
      <x:c r="F1684" s="9" t="n">
        <x:v>0</x:v>
      </x:c>
    </x:row>
    <x:row r="1685" ht="34" customHeight="1">
      <x:c r="A1685" s="4" t="str">
        <x:v>RS-00857-I4</x:v>
      </x:c>
      <x:c r="B1685" s="4" t="str">
        <x:v>RS-00857</x:v>
      </x:c>
      <x:c r="C1685" s="9" t="n">
        <x:v>4</x:v>
      </x:c>
      <x:c r="D1685" s="8" t="n">
        <x:v>45429</x:v>
      </x:c>
      <x:c r="E1685" s="9" t="n">
        <x:v>4628250</x:v>
      </x:c>
      <x:c r="F1685" s="9" t="n">
        <x:v>0</x:v>
      </x:c>
    </x:row>
    <x:row r="1686" ht="34" customHeight="1">
      <x:c r="A1686" s="4" t="str">
        <x:v>RS-00858-I1</x:v>
      </x:c>
      <x:c r="B1686" s="4" t="str">
        <x:v>RS-00858</x:v>
      </x:c>
      <x:c r="C1686" s="9" t="n">
        <x:v>1</x:v>
      </x:c>
      <x:c r="D1686" s="8" t="n">
        <x:v>45340</x:v>
      </x:c>
      <x:c r="E1686" s="9" t="n">
        <x:v>3990000</x:v>
      </x:c>
      <x:c r="F1686" s="9" t="n">
        <x:v>3990000</x:v>
      </x:c>
    </x:row>
    <x:row r="1687" ht="34" customHeight="1">
      <x:c r="A1687" s="4" t="str">
        <x:v>RS-00858-I2</x:v>
      </x:c>
      <x:c r="B1687" s="4" t="str">
        <x:v>RS-00858</x:v>
      </x:c>
      <x:c r="C1687" s="9" t="n">
        <x:v>2</x:v>
      </x:c>
      <x:c r="D1687" s="8" t="n">
        <x:v>45370</x:v>
      </x:c>
      <x:c r="E1687" s="9" t="n">
        <x:v>3990000</x:v>
      </x:c>
      <x:c r="F1687" s="9" t="n">
        <x:v>3990000</x:v>
      </x:c>
    </x:row>
    <x:row r="1688" ht="34" customHeight="1">
      <x:c r="A1688" s="4" t="str">
        <x:v>RS-00858-I3</x:v>
      </x:c>
      <x:c r="B1688" s="4" t="str">
        <x:v>RS-00858</x:v>
      </x:c>
      <x:c r="C1688" s="9" t="n">
        <x:v>3</x:v>
      </x:c>
      <x:c r="D1688" s="8" t="n">
        <x:v>45400</x:v>
      </x:c>
      <x:c r="E1688" s="9" t="n">
        <x:v>3990000</x:v>
      </x:c>
      <x:c r="F1688" s="9" t="n">
        <x:v>0</x:v>
      </x:c>
    </x:row>
    <x:row r="1689" ht="34" customHeight="1">
      <x:c r="A1689" s="4" t="str">
        <x:v>RS-00858-I4</x:v>
      </x:c>
      <x:c r="B1689" s="4" t="str">
        <x:v>RS-00858</x:v>
      </x:c>
      <x:c r="C1689" s="9" t="n">
        <x:v>4</x:v>
      </x:c>
      <x:c r="D1689" s="8" t="n">
        <x:v>45430</x:v>
      </x:c>
      <x:c r="E1689" s="9" t="n">
        <x:v>3990000</x:v>
      </x:c>
      <x:c r="F1689" s="9" t="n">
        <x:v>0</x:v>
      </x:c>
    </x:row>
    <x:row r="1690" ht="34" customHeight="1">
      <x:c r="A1690" s="4" t="str">
        <x:v>RS-00859-I1</x:v>
      </x:c>
      <x:c r="B1690" s="4" t="str">
        <x:v>RS-00859</x:v>
      </x:c>
      <x:c r="C1690" s="9" t="n">
        <x:v>1</x:v>
      </x:c>
      <x:c r="D1690" s="8" t="n">
        <x:v>45341</x:v>
      </x:c>
      <x:c r="E1690" s="9" t="n">
        <x:v>5937500</x:v>
      </x:c>
      <x:c r="F1690" s="9" t="n">
        <x:v>5937500</x:v>
      </x:c>
    </x:row>
    <x:row r="1691" ht="34" customHeight="1">
      <x:c r="A1691" s="4" t="str">
        <x:v>RS-00859-I2</x:v>
      </x:c>
      <x:c r="B1691" s="4" t="str">
        <x:v>RS-00859</x:v>
      </x:c>
      <x:c r="C1691" s="9" t="n">
        <x:v>2</x:v>
      </x:c>
      <x:c r="D1691" s="8" t="n">
        <x:v>45371</x:v>
      </x:c>
      <x:c r="E1691" s="9" t="n">
        <x:v>5937500</x:v>
      </x:c>
      <x:c r="F1691" s="9" t="n">
        <x:v>5937500</x:v>
      </x:c>
    </x:row>
    <x:row r="1692" ht="34" customHeight="1">
      <x:c r="A1692" s="4" t="str">
        <x:v>RS-00859-I3</x:v>
      </x:c>
      <x:c r="B1692" s="4" t="str">
        <x:v>RS-00859</x:v>
      </x:c>
      <x:c r="C1692" s="9" t="n">
        <x:v>3</x:v>
      </x:c>
      <x:c r="D1692" s="8" t="n">
        <x:v>45401</x:v>
      </x:c>
      <x:c r="E1692" s="9" t="n">
        <x:v>5937500</x:v>
      </x:c>
      <x:c r="F1692" s="9" t="n">
        <x:v>0</x:v>
      </x:c>
    </x:row>
    <x:row r="1693" ht="34" customHeight="1">
      <x:c r="A1693" s="4" t="str">
        <x:v>RS-00859-I4</x:v>
      </x:c>
      <x:c r="B1693" s="4" t="str">
        <x:v>RS-00859</x:v>
      </x:c>
      <x:c r="C1693" s="9" t="n">
        <x:v>4</x:v>
      </x:c>
      <x:c r="D1693" s="8" t="n">
        <x:v>45431</x:v>
      </x:c>
      <x:c r="E1693" s="9" t="n">
        <x:v>5937500</x:v>
      </x:c>
      <x:c r="F1693" s="9" t="n">
        <x:v>0</x:v>
      </x:c>
    </x:row>
    <x:row r="1694" ht="34" customHeight="1">
      <x:c r="A1694" s="4" t="str">
        <x:v>RS-00860-I1</x:v>
      </x:c>
      <x:c r="B1694" s="4" t="str">
        <x:v>RS-00860</x:v>
      </x:c>
      <x:c r="C1694" s="9" t="n">
        <x:v>1</x:v>
      </x:c>
      <x:c r="D1694" s="8" t="n">
        <x:v>45342</x:v>
      </x:c>
      <x:c r="E1694" s="9" t="n">
        <x:v>5213750</x:v>
      </x:c>
      <x:c r="F1694" s="9" t="n">
        <x:v>5213750</x:v>
      </x:c>
    </x:row>
    <x:row r="1695" ht="34" customHeight="1">
      <x:c r="A1695" s="4" t="str">
        <x:v>RS-00860-I2</x:v>
      </x:c>
      <x:c r="B1695" s="4" t="str">
        <x:v>RS-00860</x:v>
      </x:c>
      <x:c r="C1695" s="9" t="n">
        <x:v>2</x:v>
      </x:c>
      <x:c r="D1695" s="8" t="n">
        <x:v>45372</x:v>
      </x:c>
      <x:c r="E1695" s="9" t="n">
        <x:v>5213750</x:v>
      </x:c>
      <x:c r="F1695" s="9" t="n">
        <x:v>5213750</x:v>
      </x:c>
    </x:row>
    <x:row r="1696" ht="34" customHeight="1">
      <x:c r="A1696" s="4" t="str">
        <x:v>RS-00860-I3</x:v>
      </x:c>
      <x:c r="B1696" s="4" t="str">
        <x:v>RS-00860</x:v>
      </x:c>
      <x:c r="C1696" s="9" t="n">
        <x:v>3</x:v>
      </x:c>
      <x:c r="D1696" s="8" t="n">
        <x:v>45402</x:v>
      </x:c>
      <x:c r="E1696" s="9" t="n">
        <x:v>5213750</x:v>
      </x:c>
      <x:c r="F1696" s="9" t="n">
        <x:v>0</x:v>
      </x:c>
    </x:row>
    <x:row r="1697" ht="34" customHeight="1">
      <x:c r="A1697" s="4" t="str">
        <x:v>RS-00860-I4</x:v>
      </x:c>
      <x:c r="B1697" s="4" t="str">
        <x:v>RS-00860</x:v>
      </x:c>
      <x:c r="C1697" s="9" t="n">
        <x:v>4</x:v>
      </x:c>
      <x:c r="D1697" s="8" t="n">
        <x:v>45432</x:v>
      </x:c>
      <x:c r="E1697" s="9" t="n">
        <x:v>5213750</x:v>
      </x:c>
      <x:c r="F1697" s="9" t="n">
        <x:v>0</x:v>
      </x:c>
    </x:row>
    <x:row r="1698" ht="34" customHeight="1">
      <x:c r="A1698" s="4" t="str">
        <x:v>RS-00863-I1</x:v>
      </x:c>
      <x:c r="B1698" s="4" t="str">
        <x:v>RS-00863</x:v>
      </x:c>
      <x:c r="C1698" s="9" t="n">
        <x:v>1</x:v>
      </x:c>
      <x:c r="D1698" s="8" t="n">
        <x:v>45345</x:v>
      </x:c>
      <x:c r="E1698" s="9" t="n">
        <x:v>5925000</x:v>
      </x:c>
      <x:c r="F1698" s="9" t="n">
        <x:v>5925000</x:v>
      </x:c>
    </x:row>
    <x:row r="1699" ht="34" customHeight="1">
      <x:c r="A1699" s="4" t="str">
        <x:v>RS-00863-I2</x:v>
      </x:c>
      <x:c r="B1699" s="4" t="str">
        <x:v>RS-00863</x:v>
      </x:c>
      <x:c r="C1699" s="9" t="n">
        <x:v>2</x:v>
      </x:c>
      <x:c r="D1699" s="8" t="n">
        <x:v>45375</x:v>
      </x:c>
      <x:c r="E1699" s="9" t="n">
        <x:v>5925000</x:v>
      </x:c>
      <x:c r="F1699" s="9" t="n">
        <x:v>0</x:v>
      </x:c>
    </x:row>
    <x:row r="1700" ht="34" customHeight="1">
      <x:c r="A1700" s="4" t="str">
        <x:v>RS-00863-I3</x:v>
      </x:c>
      <x:c r="B1700" s="4" t="str">
        <x:v>RS-00863</x:v>
      </x:c>
      <x:c r="C1700" s="9" t="n">
        <x:v>3</x:v>
      </x:c>
      <x:c r="D1700" s="8" t="n">
        <x:v>45405</x:v>
      </x:c>
      <x:c r="E1700" s="9" t="n">
        <x:v>5925000</x:v>
      </x:c>
      <x:c r="F1700" s="9" t="n">
        <x:v>0</x:v>
      </x:c>
    </x:row>
    <x:row r="1701" ht="34" customHeight="1">
      <x:c r="A1701" s="4" t="str">
        <x:v>RS-00863-I4</x:v>
      </x:c>
      <x:c r="B1701" s="4" t="str">
        <x:v>RS-00863</x:v>
      </x:c>
      <x:c r="C1701" s="9" t="n">
        <x:v>4</x:v>
      </x:c>
      <x:c r="D1701" s="8" t="n">
        <x:v>45435</x:v>
      </x:c>
      <x:c r="E1701" s="9" t="n">
        <x:v>5925000</x:v>
      </x:c>
      <x:c r="F1701" s="9" t="n">
        <x:v>0</x:v>
      </x:c>
    </x:row>
    <x:row r="1702" ht="34" customHeight="1">
      <x:c r="A1702" s="4" t="str">
        <x:v>RS-00864-I1</x:v>
      </x:c>
      <x:c r="B1702" s="4" t="str">
        <x:v>RS-00864</x:v>
      </x:c>
      <x:c r="C1702" s="9" t="n">
        <x:v>1</x:v>
      </x:c>
      <x:c r="D1702" s="8" t="n">
        <x:v>45346</x:v>
      </x:c>
      <x:c r="E1702" s="9" t="n">
        <x:v>3071250</x:v>
      </x:c>
      <x:c r="F1702" s="9" t="n">
        <x:v>1228500</x:v>
      </x:c>
    </x:row>
    <x:row r="1703" ht="34" customHeight="1">
      <x:c r="A1703" s="4" t="str">
        <x:v>RS-00864-I2</x:v>
      </x:c>
      <x:c r="B1703" s="4" t="str">
        <x:v>RS-00864</x:v>
      </x:c>
      <x:c r="C1703" s="9" t="n">
        <x:v>2</x:v>
      </x:c>
      <x:c r="D1703" s="8" t="n">
        <x:v>45376</x:v>
      </x:c>
      <x:c r="E1703" s="9" t="n">
        <x:v>3071250</x:v>
      </x:c>
      <x:c r="F1703" s="9" t="n">
        <x:v>0</x:v>
      </x:c>
    </x:row>
    <x:row r="1704" ht="34" customHeight="1">
      <x:c r="A1704" s="4" t="str">
        <x:v>RS-00864-I3</x:v>
      </x:c>
      <x:c r="B1704" s="4" t="str">
        <x:v>RS-00864</x:v>
      </x:c>
      <x:c r="C1704" s="9" t="n">
        <x:v>3</x:v>
      </x:c>
      <x:c r="D1704" s="8" t="n">
        <x:v>45406</x:v>
      </x:c>
      <x:c r="E1704" s="9" t="n">
        <x:v>3071250</x:v>
      </x:c>
      <x:c r="F1704" s="9" t="n">
        <x:v>0</x:v>
      </x:c>
    </x:row>
    <x:row r="1705" ht="34" customHeight="1">
      <x:c r="A1705" s="4" t="str">
        <x:v>RS-00864-I4</x:v>
      </x:c>
      <x:c r="B1705" s="4" t="str">
        <x:v>RS-00864</x:v>
      </x:c>
      <x:c r="C1705" s="9" t="n">
        <x:v>4</x:v>
      </x:c>
      <x:c r="D1705" s="8" t="n">
        <x:v>45436</x:v>
      </x:c>
      <x:c r="E1705" s="9" t="n">
        <x:v>3071250</x:v>
      </x:c>
      <x:c r="F1705" s="9" t="n">
        <x:v>0</x:v>
      </x:c>
    </x:row>
    <x:row r="1706" ht="34" customHeight="1">
      <x:c r="A1706" s="4" t="str">
        <x:v>RS-00868-I1</x:v>
      </x:c>
      <x:c r="B1706" s="4" t="str">
        <x:v>RS-00868</x:v>
      </x:c>
      <x:c r="C1706" s="9" t="n">
        <x:v>1</x:v>
      </x:c>
      <x:c r="D1706" s="8" t="n">
        <x:v>45350</x:v>
      </x:c>
      <x:c r="E1706" s="9" t="n">
        <x:v>4656000</x:v>
      </x:c>
      <x:c r="F1706" s="9" t="n">
        <x:v>1862400</x:v>
      </x:c>
    </x:row>
    <x:row r="1707" ht="34" customHeight="1">
      <x:c r="A1707" s="4" t="str">
        <x:v>RS-00868-I2</x:v>
      </x:c>
      <x:c r="B1707" s="4" t="str">
        <x:v>RS-00868</x:v>
      </x:c>
      <x:c r="C1707" s="9" t="n">
        <x:v>2</x:v>
      </x:c>
      <x:c r="D1707" s="8" t="n">
        <x:v>45380</x:v>
      </x:c>
      <x:c r="E1707" s="9" t="n">
        <x:v>4656000</x:v>
      </x:c>
      <x:c r="F1707" s="9" t="n">
        <x:v>0</x:v>
      </x:c>
    </x:row>
    <x:row r="1708" ht="34" customHeight="1">
      <x:c r="A1708" s="4" t="str">
        <x:v>RS-00868-I3</x:v>
      </x:c>
      <x:c r="B1708" s="4" t="str">
        <x:v>RS-00868</x:v>
      </x:c>
      <x:c r="C1708" s="9" t="n">
        <x:v>3</x:v>
      </x:c>
      <x:c r="D1708" s="8" t="n">
        <x:v>45410</x:v>
      </x:c>
      <x:c r="E1708" s="9" t="n">
        <x:v>4656000</x:v>
      </x:c>
      <x:c r="F1708" s="9" t="n">
        <x:v>0</x:v>
      </x:c>
    </x:row>
    <x:row r="1709" ht="34" customHeight="1">
      <x:c r="A1709" s="4" t="str">
        <x:v>RS-00868-I4</x:v>
      </x:c>
      <x:c r="B1709" s="4" t="str">
        <x:v>RS-00868</x:v>
      </x:c>
      <x:c r="C1709" s="9" t="n">
        <x:v>4</x:v>
      </x:c>
      <x:c r="D1709" s="8" t="n">
        <x:v>45440</x:v>
      </x:c>
      <x:c r="E1709" s="9" t="n">
        <x:v>4656000</x:v>
      </x:c>
      <x:c r="F1709" s="9" t="n">
        <x:v>0</x:v>
      </x:c>
    </x:row>
    <x:row r="1710" ht="34" customHeight="1">
      <x:c r="A1710" s="4" t="str">
        <x:v>RS-00870-I1</x:v>
      </x:c>
      <x:c r="B1710" s="4" t="str">
        <x:v>RS-00870</x:v>
      </x:c>
      <x:c r="C1710" s="9" t="n">
        <x:v>1</x:v>
      </x:c>
      <x:c r="D1710" s="8" t="n">
        <x:v>45324</x:v>
      </x:c>
      <x:c r="E1710" s="9" t="n">
        <x:v>5546000</x:v>
      </x:c>
      <x:c r="F1710" s="9" t="n">
        <x:v>2218400</x:v>
      </x:c>
    </x:row>
    <x:row r="1711" ht="34" customHeight="1">
      <x:c r="A1711" s="4" t="str">
        <x:v>RS-00870-I2</x:v>
      </x:c>
      <x:c r="B1711" s="4" t="str">
        <x:v>RS-00870</x:v>
      </x:c>
      <x:c r="C1711" s="9" t="n">
        <x:v>2</x:v>
      </x:c>
      <x:c r="D1711" s="8" t="n">
        <x:v>45354</x:v>
      </x:c>
      <x:c r="E1711" s="9" t="n">
        <x:v>5546000</x:v>
      </x:c>
      <x:c r="F1711" s="9" t="n">
        <x:v>0</x:v>
      </x:c>
    </x:row>
    <x:row r="1712" ht="34" customHeight="1">
      <x:c r="A1712" s="4" t="str">
        <x:v>RS-00870-I3</x:v>
      </x:c>
      <x:c r="B1712" s="4" t="str">
        <x:v>RS-00870</x:v>
      </x:c>
      <x:c r="C1712" s="9" t="n">
        <x:v>3</x:v>
      </x:c>
      <x:c r="D1712" s="8" t="n">
        <x:v>45384</x:v>
      </x:c>
      <x:c r="E1712" s="9" t="n">
        <x:v>5546000</x:v>
      </x:c>
      <x:c r="F1712" s="9" t="n">
        <x:v>0</x:v>
      </x:c>
    </x:row>
    <x:row r="1713" ht="34" customHeight="1">
      <x:c r="A1713" s="4" t="str">
        <x:v>RS-00870-I4</x:v>
      </x:c>
      <x:c r="B1713" s="4" t="str">
        <x:v>RS-00870</x:v>
      </x:c>
      <x:c r="C1713" s="9" t="n">
        <x:v>4</x:v>
      </x:c>
      <x:c r="D1713" s="8" t="n">
        <x:v>45414</x:v>
      </x:c>
      <x:c r="E1713" s="9" t="n">
        <x:v>5546000</x:v>
      </x:c>
      <x:c r="F1713" s="9" t="n">
        <x:v>0</x:v>
      </x:c>
    </x:row>
    <x:row r="1714" ht="34" customHeight="1">
      <x:c r="A1714" s="4" t="str">
        <x:v>RS-00872-I1</x:v>
      </x:c>
      <x:c r="B1714" s="4" t="str">
        <x:v>RS-00872</x:v>
      </x:c>
      <x:c r="C1714" s="9" t="n">
        <x:v>1</x:v>
      </x:c>
      <x:c r="D1714" s="8" t="n">
        <x:v>45326</x:v>
      </x:c>
      <x:c r="E1714" s="9" t="n">
        <x:v>3712500</x:v>
      </x:c>
      <x:c r="F1714" s="9" t="n">
        <x:v>3712500</x:v>
      </x:c>
    </x:row>
    <x:row r="1715" ht="34" customHeight="1">
      <x:c r="A1715" s="4" t="str">
        <x:v>RS-00872-I2</x:v>
      </x:c>
      <x:c r="B1715" s="4" t="str">
        <x:v>RS-00872</x:v>
      </x:c>
      <x:c r="C1715" s="9" t="n">
        <x:v>2</x:v>
      </x:c>
      <x:c r="D1715" s="8" t="n">
        <x:v>45356</x:v>
      </x:c>
      <x:c r="E1715" s="9" t="n">
        <x:v>3712500</x:v>
      </x:c>
      <x:c r="F1715" s="9" t="n">
        <x:v>3712500</x:v>
      </x:c>
    </x:row>
    <x:row r="1716" ht="34" customHeight="1">
      <x:c r="A1716" s="4" t="str">
        <x:v>RS-00872-I3</x:v>
      </x:c>
      <x:c r="B1716" s="4" t="str">
        <x:v>RS-00872</x:v>
      </x:c>
      <x:c r="C1716" s="9" t="n">
        <x:v>3</x:v>
      </x:c>
      <x:c r="D1716" s="8" t="n">
        <x:v>45386</x:v>
      </x:c>
      <x:c r="E1716" s="9" t="n">
        <x:v>3712500</x:v>
      </x:c>
      <x:c r="F1716" s="9" t="n">
        <x:v>3712500</x:v>
      </x:c>
    </x:row>
    <x:row r="1717" ht="34" customHeight="1">
      <x:c r="A1717" s="4" t="str">
        <x:v>RS-00872-I4</x:v>
      </x:c>
      <x:c r="B1717" s="4" t="str">
        <x:v>RS-00872</x:v>
      </x:c>
      <x:c r="C1717" s="9" t="n">
        <x:v>4</x:v>
      </x:c>
      <x:c r="D1717" s="8" t="n">
        <x:v>45416</x:v>
      </x:c>
      <x:c r="E1717" s="9" t="n">
        <x:v>3712500</x:v>
      </x:c>
      <x:c r="F1717" s="9" t="n">
        <x:v>3712500</x:v>
      </x:c>
    </x:row>
    <x:row r="1718" ht="34" customHeight="1">
      <x:c r="A1718" s="4" t="str">
        <x:v>RS-00875-I1</x:v>
      </x:c>
      <x:c r="B1718" s="4" t="str">
        <x:v>RS-00875</x:v>
      </x:c>
      <x:c r="C1718" s="9" t="n">
        <x:v>1</x:v>
      </x:c>
      <x:c r="D1718" s="8" t="n">
        <x:v>45329</x:v>
      </x:c>
      <x:c r="E1718" s="9" t="n">
        <x:v>2256250</x:v>
      </x:c>
      <x:c r="F1718" s="9" t="n">
        <x:v>2256250</x:v>
      </x:c>
    </x:row>
    <x:row r="1719" ht="34" customHeight="1">
      <x:c r="A1719" s="4" t="str">
        <x:v>RS-00875-I2</x:v>
      </x:c>
      <x:c r="B1719" s="4" t="str">
        <x:v>RS-00875</x:v>
      </x:c>
      <x:c r="C1719" s="9" t="n">
        <x:v>2</x:v>
      </x:c>
      <x:c r="D1719" s="8" t="n">
        <x:v>45359</x:v>
      </x:c>
      <x:c r="E1719" s="9" t="n">
        <x:v>2256250</x:v>
      </x:c>
      <x:c r="F1719" s="9" t="n">
        <x:v>2256250</x:v>
      </x:c>
    </x:row>
    <x:row r="1720" ht="34" customHeight="1">
      <x:c r="A1720" s="4" t="str">
        <x:v>RS-00875-I3</x:v>
      </x:c>
      <x:c r="B1720" s="4" t="str">
        <x:v>RS-00875</x:v>
      </x:c>
      <x:c r="C1720" s="9" t="n">
        <x:v>3</x:v>
      </x:c>
      <x:c r="D1720" s="8" t="n">
        <x:v>45389</x:v>
      </x:c>
      <x:c r="E1720" s="9" t="n">
        <x:v>2256250</x:v>
      </x:c>
      <x:c r="F1720" s="9" t="n">
        <x:v>2256250</x:v>
      </x:c>
    </x:row>
    <x:row r="1721" ht="34" customHeight="1">
      <x:c r="A1721" s="4" t="str">
        <x:v>RS-00875-I4</x:v>
      </x:c>
      <x:c r="B1721" s="4" t="str">
        <x:v>RS-00875</x:v>
      </x:c>
      <x:c r="C1721" s="9" t="n">
        <x:v>4</x:v>
      </x:c>
      <x:c r="D1721" s="8" t="n">
        <x:v>45419</x:v>
      </x:c>
      <x:c r="E1721" s="9" t="n">
        <x:v>2256250</x:v>
      </x:c>
      <x:c r="F1721" s="9" t="n">
        <x:v>2256250</x:v>
      </x:c>
    </x:row>
    <x:row r="1722" ht="34" customHeight="1">
      <x:c r="A1722" s="4" t="str">
        <x:v>RS-00877-I1</x:v>
      </x:c>
      <x:c r="B1722" s="4" t="str">
        <x:v>RS-00877</x:v>
      </x:c>
      <x:c r="C1722" s="9" t="n">
        <x:v>1</x:v>
      </x:c>
      <x:c r="D1722" s="8" t="n">
        <x:v>45331</x:v>
      </x:c>
      <x:c r="E1722" s="9" t="n">
        <x:v>3516250</x:v>
      </x:c>
      <x:c r="F1722" s="9" t="n">
        <x:v>3516250</x:v>
      </x:c>
    </x:row>
    <x:row r="1723" ht="34" customHeight="1">
      <x:c r="A1723" s="4" t="str">
        <x:v>RS-00877-I2</x:v>
      </x:c>
      <x:c r="B1723" s="4" t="str">
        <x:v>RS-00877</x:v>
      </x:c>
      <x:c r="C1723" s="9" t="n">
        <x:v>2</x:v>
      </x:c>
      <x:c r="D1723" s="8" t="n">
        <x:v>45361</x:v>
      </x:c>
      <x:c r="E1723" s="9" t="n">
        <x:v>3516250</x:v>
      </x:c>
      <x:c r="F1723" s="9" t="n">
        <x:v>0</x:v>
      </x:c>
    </x:row>
    <x:row r="1724" ht="34" customHeight="1">
      <x:c r="A1724" s="4" t="str">
        <x:v>RS-00877-I3</x:v>
      </x:c>
      <x:c r="B1724" s="4" t="str">
        <x:v>RS-00877</x:v>
      </x:c>
      <x:c r="C1724" s="9" t="n">
        <x:v>3</x:v>
      </x:c>
      <x:c r="D1724" s="8" t="n">
        <x:v>45391</x:v>
      </x:c>
      <x:c r="E1724" s="9" t="n">
        <x:v>3516250</x:v>
      </x:c>
      <x:c r="F1724" s="9" t="n">
        <x:v>0</x:v>
      </x:c>
    </x:row>
    <x:row r="1725" ht="34" customHeight="1">
      <x:c r="A1725" s="4" t="str">
        <x:v>RS-00877-I4</x:v>
      </x:c>
      <x:c r="B1725" s="4" t="str">
        <x:v>RS-00877</x:v>
      </x:c>
      <x:c r="C1725" s="9" t="n">
        <x:v>4</x:v>
      </x:c>
      <x:c r="D1725" s="8" t="n">
        <x:v>45421</x:v>
      </x:c>
      <x:c r="E1725" s="9" t="n">
        <x:v>3516250</x:v>
      </x:c>
      <x:c r="F1725" s="9" t="n">
        <x:v>0</x:v>
      </x:c>
    </x:row>
    <x:row r="1726" ht="34" customHeight="1">
      <x:c r="A1726" s="4" t="str">
        <x:v>RS-00878-I1</x:v>
      </x:c>
      <x:c r="B1726" s="4" t="str">
        <x:v>RS-00878</x:v>
      </x:c>
      <x:c r="C1726" s="9" t="n">
        <x:v>1</x:v>
      </x:c>
      <x:c r="D1726" s="8" t="n">
        <x:v>45332</x:v>
      </x:c>
      <x:c r="E1726" s="9" t="n">
        <x:v>4413500</x:v>
      </x:c>
      <x:c r="F1726" s="9" t="n">
        <x:v>4413500</x:v>
      </x:c>
    </x:row>
    <x:row r="1727" ht="34" customHeight="1">
      <x:c r="A1727" s="4" t="str">
        <x:v>RS-00878-I2</x:v>
      </x:c>
      <x:c r="B1727" s="4" t="str">
        <x:v>RS-00878</x:v>
      </x:c>
      <x:c r="C1727" s="9" t="n">
        <x:v>2</x:v>
      </x:c>
      <x:c r="D1727" s="8" t="n">
        <x:v>45362</x:v>
      </x:c>
      <x:c r="E1727" s="9" t="n">
        <x:v>4413500</x:v>
      </x:c>
      <x:c r="F1727" s="9" t="n">
        <x:v>4413500</x:v>
      </x:c>
    </x:row>
    <x:row r="1728" ht="34" customHeight="1">
      <x:c r="A1728" s="4" t="str">
        <x:v>RS-00878-I3</x:v>
      </x:c>
      <x:c r="B1728" s="4" t="str">
        <x:v>RS-00878</x:v>
      </x:c>
      <x:c r="C1728" s="9" t="n">
        <x:v>3</x:v>
      </x:c>
      <x:c r="D1728" s="8" t="n">
        <x:v>45392</x:v>
      </x:c>
      <x:c r="E1728" s="9" t="n">
        <x:v>4413500</x:v>
      </x:c>
      <x:c r="F1728" s="9" t="n">
        <x:v>4413500</x:v>
      </x:c>
    </x:row>
    <x:row r="1729" ht="34" customHeight="1">
      <x:c r="A1729" s="4" t="str">
        <x:v>RS-00878-I4</x:v>
      </x:c>
      <x:c r="B1729" s="4" t="str">
        <x:v>RS-00878</x:v>
      </x:c>
      <x:c r="C1729" s="9" t="n">
        <x:v>4</x:v>
      </x:c>
      <x:c r="D1729" s="8" t="n">
        <x:v>45422</x:v>
      </x:c>
      <x:c r="E1729" s="9" t="n">
        <x:v>4413500</x:v>
      </x:c>
      <x:c r="F1729" s="9" t="n">
        <x:v>4413500</x:v>
      </x:c>
    </x:row>
    <x:row r="1730" ht="34" customHeight="1">
      <x:c r="A1730" s="4" t="str">
        <x:v>RS-00879-I1</x:v>
      </x:c>
      <x:c r="B1730" s="4" t="str">
        <x:v>RS-00879</x:v>
      </x:c>
      <x:c r="C1730" s="9" t="n">
        <x:v>1</x:v>
      </x:c>
      <x:c r="D1730" s="8" t="n">
        <x:v>45333</x:v>
      </x:c>
      <x:c r="E1730" s="9" t="n">
        <x:v>5681000</x:v>
      </x:c>
      <x:c r="F1730" s="9" t="n">
        <x:v>5681000</x:v>
      </x:c>
    </x:row>
    <x:row r="1731" ht="34" customHeight="1">
      <x:c r="A1731" s="4" t="str">
        <x:v>RS-00879-I2</x:v>
      </x:c>
      <x:c r="B1731" s="4" t="str">
        <x:v>RS-00879</x:v>
      </x:c>
      <x:c r="C1731" s="9" t="n">
        <x:v>2</x:v>
      </x:c>
      <x:c r="D1731" s="8" t="n">
        <x:v>45363</x:v>
      </x:c>
      <x:c r="E1731" s="9" t="n">
        <x:v>5681000</x:v>
      </x:c>
      <x:c r="F1731" s="9" t="n">
        <x:v>0</x:v>
      </x:c>
    </x:row>
    <x:row r="1732" ht="34" customHeight="1">
      <x:c r="A1732" s="4" t="str">
        <x:v>RS-00879-I3</x:v>
      </x:c>
      <x:c r="B1732" s="4" t="str">
        <x:v>RS-00879</x:v>
      </x:c>
      <x:c r="C1732" s="9" t="n">
        <x:v>3</x:v>
      </x:c>
      <x:c r="D1732" s="8" t="n">
        <x:v>45393</x:v>
      </x:c>
      <x:c r="E1732" s="9" t="n">
        <x:v>5681000</x:v>
      </x:c>
      <x:c r="F1732" s="9" t="n">
        <x:v>0</x:v>
      </x:c>
    </x:row>
    <x:row r="1733" ht="34" customHeight="1">
      <x:c r="A1733" s="4" t="str">
        <x:v>RS-00879-I4</x:v>
      </x:c>
      <x:c r="B1733" s="4" t="str">
        <x:v>RS-00879</x:v>
      </x:c>
      <x:c r="C1733" s="9" t="n">
        <x:v>4</x:v>
      </x:c>
      <x:c r="D1733" s="8" t="n">
        <x:v>45423</x:v>
      </x:c>
      <x:c r="E1733" s="9" t="n">
        <x:v>5681000</x:v>
      </x:c>
      <x:c r="F1733" s="9" t="n">
        <x:v>0</x:v>
      </x:c>
    </x:row>
    <x:row r="1734" ht="34" customHeight="1">
      <x:c r="A1734" s="4" t="str">
        <x:v>RS-00881-I1</x:v>
      </x:c>
      <x:c r="B1734" s="4" t="str">
        <x:v>RS-00881</x:v>
      </x:c>
      <x:c r="C1734" s="9" t="n">
        <x:v>1</x:v>
      </x:c>
      <x:c r="D1734" s="8" t="n">
        <x:v>45335</x:v>
      </x:c>
      <x:c r="E1734" s="9" t="n">
        <x:v>3111250</x:v>
      </x:c>
      <x:c r="F1734" s="9" t="n">
        <x:v>3111250</x:v>
      </x:c>
    </x:row>
    <x:row r="1735" ht="34" customHeight="1">
      <x:c r="A1735" s="4" t="str">
        <x:v>RS-00881-I2</x:v>
      </x:c>
      <x:c r="B1735" s="4" t="str">
        <x:v>RS-00881</x:v>
      </x:c>
      <x:c r="C1735" s="9" t="n">
        <x:v>2</x:v>
      </x:c>
      <x:c r="D1735" s="8" t="n">
        <x:v>45365</x:v>
      </x:c>
      <x:c r="E1735" s="9" t="n">
        <x:v>3111250</x:v>
      </x:c>
      <x:c r="F1735" s="9" t="n">
        <x:v>3111250</x:v>
      </x:c>
    </x:row>
    <x:row r="1736" ht="34" customHeight="1">
      <x:c r="A1736" s="4" t="str">
        <x:v>RS-00881-I3</x:v>
      </x:c>
      <x:c r="B1736" s="4" t="str">
        <x:v>RS-00881</x:v>
      </x:c>
      <x:c r="C1736" s="9" t="n">
        <x:v>3</x:v>
      </x:c>
      <x:c r="D1736" s="8" t="n">
        <x:v>45395</x:v>
      </x:c>
      <x:c r="E1736" s="9" t="n">
        <x:v>3111250</x:v>
      </x:c>
      <x:c r="F1736" s="9" t="n">
        <x:v>3111250</x:v>
      </x:c>
    </x:row>
    <x:row r="1737" ht="34" customHeight="1">
      <x:c r="A1737" s="4" t="str">
        <x:v>RS-00881-I4</x:v>
      </x:c>
      <x:c r="B1737" s="4" t="str">
        <x:v>RS-00881</x:v>
      </x:c>
      <x:c r="C1737" s="9" t="n">
        <x:v>4</x:v>
      </x:c>
      <x:c r="D1737" s="8" t="n">
        <x:v>45425</x:v>
      </x:c>
      <x:c r="E1737" s="9" t="n">
        <x:v>3111250</x:v>
      </x:c>
      <x:c r="F1737" s="9" t="n">
        <x:v>3111250</x:v>
      </x:c>
    </x:row>
    <x:row r="1738" ht="34" customHeight="1">
      <x:c r="A1738" s="4" t="str">
        <x:v>RS-00885-I1</x:v>
      </x:c>
      <x:c r="B1738" s="4" t="str">
        <x:v>RS-00885</x:v>
      </x:c>
      <x:c r="C1738" s="9" t="n">
        <x:v>1</x:v>
      </x:c>
      <x:c r="D1738" s="8" t="n">
        <x:v>45339</x:v>
      </x:c>
      <x:c r="E1738" s="9" t="n">
        <x:v>823250</x:v>
      </x:c>
      <x:c r="F1738" s="9" t="n">
        <x:v>329300</x:v>
      </x:c>
    </x:row>
    <x:row r="1739" ht="34" customHeight="1">
      <x:c r="A1739" s="4" t="str">
        <x:v>RS-00885-I2</x:v>
      </x:c>
      <x:c r="B1739" s="4" t="str">
        <x:v>RS-00885</x:v>
      </x:c>
      <x:c r="C1739" s="9" t="n">
        <x:v>2</x:v>
      </x:c>
      <x:c r="D1739" s="8" t="n">
        <x:v>45369</x:v>
      </x:c>
      <x:c r="E1739" s="9" t="n">
        <x:v>823250</x:v>
      </x:c>
      <x:c r="F1739" s="9" t="n">
        <x:v>0</x:v>
      </x:c>
    </x:row>
    <x:row r="1740" ht="34" customHeight="1">
      <x:c r="A1740" s="4" t="str">
        <x:v>RS-00885-I3</x:v>
      </x:c>
      <x:c r="B1740" s="4" t="str">
        <x:v>RS-00885</x:v>
      </x:c>
      <x:c r="C1740" s="9" t="n">
        <x:v>3</x:v>
      </x:c>
      <x:c r="D1740" s="8" t="n">
        <x:v>45399</x:v>
      </x:c>
      <x:c r="E1740" s="9" t="n">
        <x:v>823250</x:v>
      </x:c>
      <x:c r="F1740" s="9" t="n">
        <x:v>0</x:v>
      </x:c>
    </x:row>
    <x:row r="1741" ht="34" customHeight="1">
      <x:c r="A1741" s="4" t="str">
        <x:v>RS-00885-I4</x:v>
      </x:c>
      <x:c r="B1741" s="4" t="str">
        <x:v>RS-00885</x:v>
      </x:c>
      <x:c r="C1741" s="9" t="n">
        <x:v>4</x:v>
      </x:c>
      <x:c r="D1741" s="8" t="n">
        <x:v>45429</x:v>
      </x:c>
      <x:c r="E1741" s="9" t="n">
        <x:v>823250</x:v>
      </x:c>
      <x:c r="F1741" s="9" t="n">
        <x:v>0</x:v>
      </x:c>
    </x:row>
    <x:row r="1742" ht="34" customHeight="1">
      <x:c r="A1742" s="4" t="str">
        <x:v>RS-00887-I1</x:v>
      </x:c>
      <x:c r="B1742" s="4" t="str">
        <x:v>RS-00887</x:v>
      </x:c>
      <x:c r="C1742" s="9" t="n">
        <x:v>1</x:v>
      </x:c>
      <x:c r="D1742" s="8" t="n">
        <x:v>45341</x:v>
      </x:c>
      <x:c r="E1742" s="9" t="n">
        <x:v>4171000</x:v>
      </x:c>
      <x:c r="F1742" s="9" t="n">
        <x:v>4171000</x:v>
      </x:c>
    </x:row>
    <x:row r="1743" ht="34" customHeight="1">
      <x:c r="A1743" s="4" t="str">
        <x:v>RS-00887-I2</x:v>
      </x:c>
      <x:c r="B1743" s="4" t="str">
        <x:v>RS-00887</x:v>
      </x:c>
      <x:c r="C1743" s="9" t="n">
        <x:v>2</x:v>
      </x:c>
      <x:c r="D1743" s="8" t="n">
        <x:v>45371</x:v>
      </x:c>
      <x:c r="E1743" s="9" t="n">
        <x:v>4171000</x:v>
      </x:c>
      <x:c r="F1743" s="9" t="n">
        <x:v>0</x:v>
      </x:c>
    </x:row>
    <x:row r="1744" ht="34" customHeight="1">
      <x:c r="A1744" s="4" t="str">
        <x:v>RS-00887-I3</x:v>
      </x:c>
      <x:c r="B1744" s="4" t="str">
        <x:v>RS-00887</x:v>
      </x:c>
      <x:c r="C1744" s="9" t="n">
        <x:v>3</x:v>
      </x:c>
      <x:c r="D1744" s="8" t="n">
        <x:v>45401</x:v>
      </x:c>
      <x:c r="E1744" s="9" t="n">
        <x:v>4171000</x:v>
      </x:c>
      <x:c r="F1744" s="9" t="n">
        <x:v>0</x:v>
      </x:c>
    </x:row>
    <x:row r="1745" ht="34" customHeight="1">
      <x:c r="A1745" s="4" t="str">
        <x:v>RS-00887-I4</x:v>
      </x:c>
      <x:c r="B1745" s="4" t="str">
        <x:v>RS-00887</x:v>
      </x:c>
      <x:c r="C1745" s="9" t="n">
        <x:v>4</x:v>
      </x:c>
      <x:c r="D1745" s="8" t="n">
        <x:v>45431</x:v>
      </x:c>
      <x:c r="E1745" s="9" t="n">
        <x:v>4171000</x:v>
      </x:c>
      <x:c r="F1745" s="9" t="n">
        <x:v>0</x:v>
      </x:c>
    </x:row>
    <x:row r="1746" ht="34" customHeight="1">
      <x:c r="A1746" s="4" t="str">
        <x:v>RS-00889-I1</x:v>
      </x:c>
      <x:c r="B1746" s="4" t="str">
        <x:v>RS-00889</x:v>
      </x:c>
      <x:c r="C1746" s="9" t="n">
        <x:v>1</x:v>
      </x:c>
      <x:c r="D1746" s="8" t="n">
        <x:v>45343</x:v>
      </x:c>
      <x:c r="E1746" s="9" t="n">
        <x:v>3601500</x:v>
      </x:c>
      <x:c r="F1746" s="9" t="n">
        <x:v>1440600</x:v>
      </x:c>
    </x:row>
    <x:row r="1747" ht="34" customHeight="1">
      <x:c r="A1747" s="4" t="str">
        <x:v>RS-00889-I2</x:v>
      </x:c>
      <x:c r="B1747" s="4" t="str">
        <x:v>RS-00889</x:v>
      </x:c>
      <x:c r="C1747" s="9" t="n">
        <x:v>2</x:v>
      </x:c>
      <x:c r="D1747" s="8" t="n">
        <x:v>45373</x:v>
      </x:c>
      <x:c r="E1747" s="9" t="n">
        <x:v>3601500</x:v>
      </x:c>
      <x:c r="F1747" s="9" t="n">
        <x:v>0</x:v>
      </x:c>
    </x:row>
    <x:row r="1748" ht="34" customHeight="1">
      <x:c r="A1748" s="4" t="str">
        <x:v>RS-00889-I3</x:v>
      </x:c>
      <x:c r="B1748" s="4" t="str">
        <x:v>RS-00889</x:v>
      </x:c>
      <x:c r="C1748" s="9" t="n">
        <x:v>3</x:v>
      </x:c>
      <x:c r="D1748" s="8" t="n">
        <x:v>45403</x:v>
      </x:c>
      <x:c r="E1748" s="9" t="n">
        <x:v>3601500</x:v>
      </x:c>
      <x:c r="F1748" s="9" t="n">
        <x:v>0</x:v>
      </x:c>
    </x:row>
    <x:row r="1749" ht="34" customHeight="1">
      <x:c r="A1749" s="4" t="str">
        <x:v>RS-00889-I4</x:v>
      </x:c>
      <x:c r="B1749" s="4" t="str">
        <x:v>RS-00889</x:v>
      </x:c>
      <x:c r="C1749" s="9" t="n">
        <x:v>4</x:v>
      </x:c>
      <x:c r="D1749" s="8" t="n">
        <x:v>45433</x:v>
      </x:c>
      <x:c r="E1749" s="9" t="n">
        <x:v>3601500</x:v>
      </x:c>
      <x:c r="F1749" s="9" t="n">
        <x:v>0</x:v>
      </x:c>
    </x:row>
    <x:row r="1750" ht="34" customHeight="1">
      <x:c r="A1750" s="4" t="str">
        <x:v>RS-00891-I1</x:v>
      </x:c>
      <x:c r="B1750" s="4" t="str">
        <x:v>RS-00891</x:v>
      </x:c>
      <x:c r="C1750" s="9" t="n">
        <x:v>1</x:v>
      </x:c>
      <x:c r="D1750" s="8" t="n">
        <x:v>45345</x:v>
      </x:c>
      <x:c r="E1750" s="9" t="n">
        <x:v>3748500</x:v>
      </x:c>
      <x:c r="F1750" s="9" t="n">
        <x:v>3748500</x:v>
      </x:c>
    </x:row>
    <x:row r="1751" ht="34" customHeight="1">
      <x:c r="A1751" s="4" t="str">
        <x:v>RS-00891-I2</x:v>
      </x:c>
      <x:c r="B1751" s="4" t="str">
        <x:v>RS-00891</x:v>
      </x:c>
      <x:c r="C1751" s="9" t="n">
        <x:v>2</x:v>
      </x:c>
      <x:c r="D1751" s="8" t="n">
        <x:v>45375</x:v>
      </x:c>
      <x:c r="E1751" s="9" t="n">
        <x:v>3748500</x:v>
      </x:c>
      <x:c r="F1751" s="9" t="n">
        <x:v>0</x:v>
      </x:c>
    </x:row>
    <x:row r="1752" ht="34" customHeight="1">
      <x:c r="A1752" s="4" t="str">
        <x:v>RS-00891-I3</x:v>
      </x:c>
      <x:c r="B1752" s="4" t="str">
        <x:v>RS-00891</x:v>
      </x:c>
      <x:c r="C1752" s="9" t="n">
        <x:v>3</x:v>
      </x:c>
      <x:c r="D1752" s="8" t="n">
        <x:v>45405</x:v>
      </x:c>
      <x:c r="E1752" s="9" t="n">
        <x:v>3748500</x:v>
      </x:c>
      <x:c r="F1752" s="9" t="n">
        <x:v>0</x:v>
      </x:c>
    </x:row>
    <x:row r="1753" ht="34" customHeight="1">
      <x:c r="A1753" s="4" t="str">
        <x:v>RS-00891-I4</x:v>
      </x:c>
      <x:c r="B1753" s="4" t="str">
        <x:v>RS-00891</x:v>
      </x:c>
      <x:c r="C1753" s="9" t="n">
        <x:v>4</x:v>
      </x:c>
      <x:c r="D1753" s="8" t="n">
        <x:v>45435</x:v>
      </x:c>
      <x:c r="E1753" s="9" t="n">
        <x:v>3748500</x:v>
      </x:c>
      <x:c r="F1753" s="9" t="n">
        <x:v>0</x:v>
      </x:c>
    </x:row>
    <x:row r="1754" ht="34" customHeight="1">
      <x:c r="A1754" s="4" t="str">
        <x:v>RS-00893-I1</x:v>
      </x:c>
      <x:c r="B1754" s="4" t="str">
        <x:v>RS-00893</x:v>
      </x:c>
      <x:c r="C1754" s="9" t="n">
        <x:v>1</x:v>
      </x:c>
      <x:c r="D1754" s="8" t="n">
        <x:v>45347</x:v>
      </x:c>
      <x:c r="E1754" s="9" t="n">
        <x:v>1212750</x:v>
      </x:c>
      <x:c r="F1754" s="9" t="n">
        <x:v>485100</x:v>
      </x:c>
    </x:row>
    <x:row r="1755" ht="34" customHeight="1">
      <x:c r="A1755" s="4" t="str">
        <x:v>RS-00893-I2</x:v>
      </x:c>
      <x:c r="B1755" s="4" t="str">
        <x:v>RS-00893</x:v>
      </x:c>
      <x:c r="C1755" s="9" t="n">
        <x:v>2</x:v>
      </x:c>
      <x:c r="D1755" s="8" t="n">
        <x:v>45377</x:v>
      </x:c>
      <x:c r="E1755" s="9" t="n">
        <x:v>1212750</x:v>
      </x:c>
      <x:c r="F1755" s="9" t="n">
        <x:v>0</x:v>
      </x:c>
    </x:row>
    <x:row r="1756" ht="34" customHeight="1">
      <x:c r="A1756" s="4" t="str">
        <x:v>RS-00893-I3</x:v>
      </x:c>
      <x:c r="B1756" s="4" t="str">
        <x:v>RS-00893</x:v>
      </x:c>
      <x:c r="C1756" s="9" t="n">
        <x:v>3</x:v>
      </x:c>
      <x:c r="D1756" s="8" t="n">
        <x:v>45407</x:v>
      </x:c>
      <x:c r="E1756" s="9" t="n">
        <x:v>1212750</x:v>
      </x:c>
      <x:c r="F1756" s="9" t="n">
        <x:v>0</x:v>
      </x:c>
    </x:row>
    <x:row r="1757" ht="34" customHeight="1">
      <x:c r="A1757" s="4" t="str">
        <x:v>RS-00893-I4</x:v>
      </x:c>
      <x:c r="B1757" s="4" t="str">
        <x:v>RS-00893</x:v>
      </x:c>
      <x:c r="C1757" s="9" t="n">
        <x:v>4</x:v>
      </x:c>
      <x:c r="D1757" s="8" t="n">
        <x:v>45437</x:v>
      </x:c>
      <x:c r="E1757" s="9" t="n">
        <x:v>1212750</x:v>
      </x:c>
      <x:c r="F1757" s="9" t="n">
        <x:v>0</x:v>
      </x:c>
    </x:row>
    <x:row r="1758" ht="34" customHeight="1">
      <x:c r="A1758" s="4" t="str">
        <x:v>RS-00896-I1</x:v>
      </x:c>
      <x:c r="B1758" s="4" t="str">
        <x:v>RS-00896</x:v>
      </x:c>
      <x:c r="C1758" s="9" t="n">
        <x:v>1</x:v>
      </x:c>
      <x:c r="D1758" s="8" t="n">
        <x:v>45350</x:v>
      </x:c>
      <x:c r="E1758" s="9" t="n">
        <x:v>4992000</x:v>
      </x:c>
      <x:c r="F1758" s="9" t="n">
        <x:v>4992000</x:v>
      </x:c>
    </x:row>
    <x:row r="1759" ht="34" customHeight="1">
      <x:c r="A1759" s="4" t="str">
        <x:v>RS-00896-I2</x:v>
      </x:c>
      <x:c r="B1759" s="4" t="str">
        <x:v>RS-00896</x:v>
      </x:c>
      <x:c r="C1759" s="9" t="n">
        <x:v>2</x:v>
      </x:c>
      <x:c r="D1759" s="8" t="n">
        <x:v>45380</x:v>
      </x:c>
      <x:c r="E1759" s="9" t="n">
        <x:v>4992000</x:v>
      </x:c>
      <x:c r="F1759" s="9" t="n">
        <x:v>4992000</x:v>
      </x:c>
    </x:row>
    <x:row r="1760" ht="34" customHeight="1">
      <x:c r="A1760" s="4" t="str">
        <x:v>RS-00896-I3</x:v>
      </x:c>
      <x:c r="B1760" s="4" t="str">
        <x:v>RS-00896</x:v>
      </x:c>
      <x:c r="C1760" s="9" t="n">
        <x:v>3</x:v>
      </x:c>
      <x:c r="D1760" s="8" t="n">
        <x:v>45410</x:v>
      </x:c>
      <x:c r="E1760" s="9" t="n">
        <x:v>4992000</x:v>
      </x:c>
      <x:c r="F1760" s="9" t="n">
        <x:v>4992000</x:v>
      </x:c>
    </x:row>
    <x:row r="1761" ht="34" customHeight="1">
      <x:c r="A1761" s="4" t="str">
        <x:v>RS-00896-I4</x:v>
      </x:c>
      <x:c r="B1761" s="4" t="str">
        <x:v>RS-00896</x:v>
      </x:c>
      <x:c r="C1761" s="9" t="n">
        <x:v>4</x:v>
      </x:c>
      <x:c r="D1761" s="8" t="n">
        <x:v>45440</x:v>
      </x:c>
      <x:c r="E1761" s="9" t="n">
        <x:v>4992000</x:v>
      </x:c>
      <x:c r="F1761" s="9" t="n">
        <x:v>4992000</x:v>
      </x:c>
    </x:row>
    <x:row r="1762" ht="34" customHeight="1">
      <x:c r="A1762" s="4" t="str">
        <x:v>RS-00899-I1</x:v>
      </x:c>
      <x:c r="B1762" s="4" t="str">
        <x:v>RS-00899</x:v>
      </x:c>
      <x:c r="C1762" s="9" t="n">
        <x:v>1</x:v>
      </x:c>
      <x:c r="D1762" s="8" t="n">
        <x:v>45325</x:v>
      </x:c>
      <x:c r="E1762" s="9" t="n">
        <x:v>980000</x:v>
      </x:c>
      <x:c r="F1762" s="9" t="n">
        <x:v>980000</x:v>
      </x:c>
    </x:row>
    <x:row r="1763" ht="34" customHeight="1">
      <x:c r="A1763" s="4" t="str">
        <x:v>RS-00899-I2</x:v>
      </x:c>
      <x:c r="B1763" s="4" t="str">
        <x:v>RS-00899</x:v>
      </x:c>
      <x:c r="C1763" s="9" t="n">
        <x:v>2</x:v>
      </x:c>
      <x:c r="D1763" s="8" t="n">
        <x:v>45355</x:v>
      </x:c>
      <x:c r="E1763" s="9" t="n">
        <x:v>980000</x:v>
      </x:c>
      <x:c r="F1763" s="9" t="n">
        <x:v>0</x:v>
      </x:c>
    </x:row>
    <x:row r="1764" ht="34" customHeight="1">
      <x:c r="A1764" s="4" t="str">
        <x:v>RS-00899-I3</x:v>
      </x:c>
      <x:c r="B1764" s="4" t="str">
        <x:v>RS-00899</x:v>
      </x:c>
      <x:c r="C1764" s="9" t="n">
        <x:v>3</x:v>
      </x:c>
      <x:c r="D1764" s="8" t="n">
        <x:v>45385</x:v>
      </x:c>
      <x:c r="E1764" s="9" t="n">
        <x:v>980000</x:v>
      </x:c>
      <x:c r="F1764" s="9" t="n">
        <x:v>0</x:v>
      </x:c>
    </x:row>
    <x:row r="1765" ht="34" customHeight="1">
      <x:c r="A1765" s="4" t="str">
        <x:v>RS-00899-I4</x:v>
      </x:c>
      <x:c r="B1765" s="4" t="str">
        <x:v>RS-00899</x:v>
      </x:c>
      <x:c r="C1765" s="9" t="n">
        <x:v>4</x:v>
      </x:c>
      <x:c r="D1765" s="8" t="n">
        <x:v>45415</x:v>
      </x:c>
      <x:c r="E1765" s="9" t="n">
        <x:v>980000</x:v>
      </x:c>
      <x:c r="F1765" s="9" t="n">
        <x:v>0</x:v>
      </x:c>
    </x:row>
    <x:row r="1766" ht="34" customHeight="1">
      <x:c r="A1766" s="4" t="str">
        <x:v>RS-00901-I1</x:v>
      </x:c>
      <x:c r="B1766" s="4" t="str">
        <x:v>RS-00901</x:v>
      </x:c>
      <x:c r="C1766" s="9" t="n">
        <x:v>1</x:v>
      </x:c>
      <x:c r="D1766" s="8" t="n">
        <x:v>45327</x:v>
      </x:c>
      <x:c r="E1766" s="9" t="n">
        <x:v>2702500</x:v>
      </x:c>
      <x:c r="F1766" s="9" t="n">
        <x:v>2702500</x:v>
      </x:c>
    </x:row>
    <x:row r="1767" ht="34" customHeight="1">
      <x:c r="A1767" s="4" t="str">
        <x:v>RS-00901-I2</x:v>
      </x:c>
      <x:c r="B1767" s="4" t="str">
        <x:v>RS-00901</x:v>
      </x:c>
      <x:c r="C1767" s="9" t="n">
        <x:v>2</x:v>
      </x:c>
      <x:c r="D1767" s="8" t="n">
        <x:v>45357</x:v>
      </x:c>
      <x:c r="E1767" s="9" t="n">
        <x:v>2702500</x:v>
      </x:c>
      <x:c r="F1767" s="9" t="n">
        <x:v>0</x:v>
      </x:c>
    </x:row>
    <x:row r="1768" ht="34" customHeight="1">
      <x:c r="A1768" s="4" t="str">
        <x:v>RS-00901-I3</x:v>
      </x:c>
      <x:c r="B1768" s="4" t="str">
        <x:v>RS-00901</x:v>
      </x:c>
      <x:c r="C1768" s="9" t="n">
        <x:v>3</x:v>
      </x:c>
      <x:c r="D1768" s="8" t="n">
        <x:v>45387</x:v>
      </x:c>
      <x:c r="E1768" s="9" t="n">
        <x:v>2702500</x:v>
      </x:c>
      <x:c r="F1768" s="9" t="n">
        <x:v>0</x:v>
      </x:c>
    </x:row>
    <x:row r="1769" ht="34" customHeight="1">
      <x:c r="A1769" s="4" t="str">
        <x:v>RS-00901-I4</x:v>
      </x:c>
      <x:c r="B1769" s="4" t="str">
        <x:v>RS-00901</x:v>
      </x:c>
      <x:c r="C1769" s="9" t="n">
        <x:v>4</x:v>
      </x:c>
      <x:c r="D1769" s="8" t="n">
        <x:v>45417</x:v>
      </x:c>
      <x:c r="E1769" s="9" t="n">
        <x:v>2702500</x:v>
      </x:c>
      <x:c r="F1769" s="9" t="n">
        <x:v>0</x:v>
      </x:c>
    </x:row>
    <x:row r="1770" ht="34" customHeight="1">
      <x:c r="A1770" s="4" t="str">
        <x:v>RS-00902-I1</x:v>
      </x:c>
      <x:c r="B1770" s="4" t="str">
        <x:v>RS-00902</x:v>
      </x:c>
      <x:c r="C1770" s="9" t="n">
        <x:v>1</x:v>
      </x:c>
      <x:c r="D1770" s="8" t="n">
        <x:v>45328</x:v>
      </x:c>
      <x:c r="E1770" s="9" t="n">
        <x:v>2781250</x:v>
      </x:c>
      <x:c r="F1770" s="9" t="n">
        <x:v>2781250</x:v>
      </x:c>
    </x:row>
    <x:row r="1771" ht="34" customHeight="1">
      <x:c r="A1771" s="4" t="str">
        <x:v>RS-00902-I2</x:v>
      </x:c>
      <x:c r="B1771" s="4" t="str">
        <x:v>RS-00902</x:v>
      </x:c>
      <x:c r="C1771" s="9" t="n">
        <x:v>2</x:v>
      </x:c>
      <x:c r="D1771" s="8" t="n">
        <x:v>45358</x:v>
      </x:c>
      <x:c r="E1771" s="9" t="n">
        <x:v>2781250</x:v>
      </x:c>
      <x:c r="F1771" s="9" t="n">
        <x:v>0</x:v>
      </x:c>
    </x:row>
    <x:row r="1772" ht="34" customHeight="1">
      <x:c r="A1772" s="4" t="str">
        <x:v>RS-00902-I3</x:v>
      </x:c>
      <x:c r="B1772" s="4" t="str">
        <x:v>RS-00902</x:v>
      </x:c>
      <x:c r="C1772" s="9" t="n">
        <x:v>3</x:v>
      </x:c>
      <x:c r="D1772" s="8" t="n">
        <x:v>45388</x:v>
      </x:c>
      <x:c r="E1772" s="9" t="n">
        <x:v>2781250</x:v>
      </x:c>
      <x:c r="F1772" s="9" t="n">
        <x:v>0</x:v>
      </x:c>
    </x:row>
    <x:row r="1773" ht="34" customHeight="1">
      <x:c r="A1773" s="4" t="str">
        <x:v>RS-00902-I4</x:v>
      </x:c>
      <x:c r="B1773" s="4" t="str">
        <x:v>RS-00902</x:v>
      </x:c>
      <x:c r="C1773" s="9" t="n">
        <x:v>4</x:v>
      </x:c>
      <x:c r="D1773" s="8" t="n">
        <x:v>45418</x:v>
      </x:c>
      <x:c r="E1773" s="9" t="n">
        <x:v>2781250</x:v>
      </x:c>
      <x:c r="F1773" s="9" t="n">
        <x:v>0</x:v>
      </x:c>
    </x:row>
    <x:row r="1774" ht="34" customHeight="1">
      <x:c r="A1774" s="4" t="str">
        <x:v>RS-00904-I1</x:v>
      </x:c>
      <x:c r="B1774" s="4" t="str">
        <x:v>RS-00904</x:v>
      </x:c>
      <x:c r="C1774" s="9" t="n">
        <x:v>1</x:v>
      </x:c>
      <x:c r="D1774" s="8" t="n">
        <x:v>45330</x:v>
      </x:c>
      <x:c r="E1774" s="9" t="n">
        <x:v>864500</x:v>
      </x:c>
      <x:c r="F1774" s="9" t="n">
        <x:v>864500</x:v>
      </x:c>
    </x:row>
    <x:row r="1775" ht="34" customHeight="1">
      <x:c r="A1775" s="4" t="str">
        <x:v>RS-00904-I2</x:v>
      </x:c>
      <x:c r="B1775" s="4" t="str">
        <x:v>RS-00904</x:v>
      </x:c>
      <x:c r="C1775" s="9" t="n">
        <x:v>2</x:v>
      </x:c>
      <x:c r="D1775" s="8" t="n">
        <x:v>45360</x:v>
      </x:c>
      <x:c r="E1775" s="9" t="n">
        <x:v>864500</x:v>
      </x:c>
      <x:c r="F1775" s="9" t="n">
        <x:v>0</x:v>
      </x:c>
    </x:row>
    <x:row r="1776" ht="34" customHeight="1">
      <x:c r="A1776" s="4" t="str">
        <x:v>RS-00904-I3</x:v>
      </x:c>
      <x:c r="B1776" s="4" t="str">
        <x:v>RS-00904</x:v>
      </x:c>
      <x:c r="C1776" s="9" t="n">
        <x:v>3</x:v>
      </x:c>
      <x:c r="D1776" s="8" t="n">
        <x:v>45390</x:v>
      </x:c>
      <x:c r="E1776" s="9" t="n">
        <x:v>864500</x:v>
      </x:c>
      <x:c r="F1776" s="9" t="n">
        <x:v>0</x:v>
      </x:c>
    </x:row>
    <x:row r="1777" ht="34" customHeight="1">
      <x:c r="A1777" s="4" t="str">
        <x:v>RS-00904-I4</x:v>
      </x:c>
      <x:c r="B1777" s="4" t="str">
        <x:v>RS-00904</x:v>
      </x:c>
      <x:c r="C1777" s="9" t="n">
        <x:v>4</x:v>
      </x:c>
      <x:c r="D1777" s="8" t="n">
        <x:v>45420</x:v>
      </x:c>
      <x:c r="E1777" s="9" t="n">
        <x:v>864500</x:v>
      </x:c>
      <x:c r="F1777" s="9" t="n">
        <x:v>0</x:v>
      </x:c>
    </x:row>
    <x:row r="1778" ht="34" customHeight="1">
      <x:c r="A1778" s="4" t="str">
        <x:v>RS-00909-I1</x:v>
      </x:c>
      <x:c r="B1778" s="4" t="str">
        <x:v>RS-00909</x:v>
      </x:c>
      <x:c r="C1778" s="9" t="n">
        <x:v>1</x:v>
      </x:c>
      <x:c r="D1778" s="8" t="n">
        <x:v>45335</x:v>
      </x:c>
      <x:c r="E1778" s="9" t="n">
        <x:v>2622000</x:v>
      </x:c>
      <x:c r="F1778" s="9" t="n">
        <x:v>2622000</x:v>
      </x:c>
    </x:row>
    <x:row r="1779" ht="34" customHeight="1">
      <x:c r="A1779" s="4" t="str">
        <x:v>RS-00909-I2</x:v>
      </x:c>
      <x:c r="B1779" s="4" t="str">
        <x:v>RS-00909</x:v>
      </x:c>
      <x:c r="C1779" s="9" t="n">
        <x:v>2</x:v>
      </x:c>
      <x:c r="D1779" s="8" t="n">
        <x:v>45365</x:v>
      </x:c>
      <x:c r="E1779" s="9" t="n">
        <x:v>2622000</x:v>
      </x:c>
      <x:c r="F1779" s="9" t="n">
        <x:v>0</x:v>
      </x:c>
    </x:row>
    <x:row r="1780" ht="34" customHeight="1">
      <x:c r="A1780" s="4" t="str">
        <x:v>RS-00909-I3</x:v>
      </x:c>
      <x:c r="B1780" s="4" t="str">
        <x:v>RS-00909</x:v>
      </x:c>
      <x:c r="C1780" s="9" t="n">
        <x:v>3</x:v>
      </x:c>
      <x:c r="D1780" s="8" t="n">
        <x:v>45395</x:v>
      </x:c>
      <x:c r="E1780" s="9" t="n">
        <x:v>2622000</x:v>
      </x:c>
      <x:c r="F1780" s="9" t="n">
        <x:v>0</x:v>
      </x:c>
    </x:row>
    <x:row r="1781" ht="34" customHeight="1">
      <x:c r="A1781" s="4" t="str">
        <x:v>RS-00909-I4</x:v>
      </x:c>
      <x:c r="B1781" s="4" t="str">
        <x:v>RS-00909</x:v>
      </x:c>
      <x:c r="C1781" s="9" t="n">
        <x:v>4</x:v>
      </x:c>
      <x:c r="D1781" s="8" t="n">
        <x:v>45425</x:v>
      </x:c>
      <x:c r="E1781" s="9" t="n">
        <x:v>2622000</x:v>
      </x:c>
      <x:c r="F1781" s="9" t="n">
        <x:v>0</x:v>
      </x:c>
    </x:row>
    <x:row r="1782" ht="34" customHeight="1">
      <x:c r="A1782" s="4" t="str">
        <x:v>RS-00910-I1</x:v>
      </x:c>
      <x:c r="B1782" s="4" t="str">
        <x:v>RS-00910</x:v>
      </x:c>
      <x:c r="C1782" s="9" t="n">
        <x:v>1</x:v>
      </x:c>
      <x:c r="D1782" s="8" t="n">
        <x:v>45336</x:v>
      </x:c>
      <x:c r="E1782" s="9" t="n">
        <x:v>2464000</x:v>
      </x:c>
      <x:c r="F1782" s="9" t="n">
        <x:v>2464000</x:v>
      </x:c>
    </x:row>
    <x:row r="1783" ht="34" customHeight="1">
      <x:c r="A1783" s="4" t="str">
        <x:v>RS-00910-I2</x:v>
      </x:c>
      <x:c r="B1783" s="4" t="str">
        <x:v>RS-00910</x:v>
      </x:c>
      <x:c r="C1783" s="9" t="n">
        <x:v>2</x:v>
      </x:c>
      <x:c r="D1783" s="8" t="n">
        <x:v>45366</x:v>
      </x:c>
      <x:c r="E1783" s="9" t="n">
        <x:v>2464000</x:v>
      </x:c>
      <x:c r="F1783" s="9" t="n">
        <x:v>2464000</x:v>
      </x:c>
    </x:row>
    <x:row r="1784" ht="34" customHeight="1">
      <x:c r="A1784" s="4" t="str">
        <x:v>RS-00910-I3</x:v>
      </x:c>
      <x:c r="B1784" s="4" t="str">
        <x:v>RS-00910</x:v>
      </x:c>
      <x:c r="C1784" s="9" t="n">
        <x:v>3</x:v>
      </x:c>
      <x:c r="D1784" s="8" t="n">
        <x:v>45396</x:v>
      </x:c>
      <x:c r="E1784" s="9" t="n">
        <x:v>2464000</x:v>
      </x:c>
      <x:c r="F1784" s="9" t="n">
        <x:v>2464000</x:v>
      </x:c>
    </x:row>
    <x:row r="1785" ht="34" customHeight="1">
      <x:c r="A1785" s="4" t="str">
        <x:v>RS-00910-I4</x:v>
      </x:c>
      <x:c r="B1785" s="4" t="str">
        <x:v>RS-00910</x:v>
      </x:c>
      <x:c r="C1785" s="9" t="n">
        <x:v>4</x:v>
      </x:c>
      <x:c r="D1785" s="8" t="n">
        <x:v>45426</x:v>
      </x:c>
      <x:c r="E1785" s="9" t="n">
        <x:v>2464000</x:v>
      </x:c>
      <x:c r="F1785" s="9" t="n">
        <x:v>2464000</x:v>
      </x:c>
    </x:row>
    <x:row r="1786" ht="34" customHeight="1">
      <x:c r="A1786" s="4" t="str">
        <x:v>RS-00911-I1</x:v>
      </x:c>
      <x:c r="B1786" s="4" t="str">
        <x:v>RS-00911</x:v>
      </x:c>
      <x:c r="C1786" s="9" t="n">
        <x:v>1</x:v>
      </x:c>
      <x:c r="D1786" s="8" t="n">
        <x:v>45337</x:v>
      </x:c>
      <x:c r="E1786" s="9" t="n">
        <x:v>5890000</x:v>
      </x:c>
      <x:c r="F1786" s="9" t="n">
        <x:v>5890000</x:v>
      </x:c>
    </x:row>
    <x:row r="1787" ht="34" customHeight="1">
      <x:c r="A1787" s="4" t="str">
        <x:v>RS-00911-I2</x:v>
      </x:c>
      <x:c r="B1787" s="4" t="str">
        <x:v>RS-00911</x:v>
      </x:c>
      <x:c r="C1787" s="9" t="n">
        <x:v>2</x:v>
      </x:c>
      <x:c r="D1787" s="8" t="n">
        <x:v>45367</x:v>
      </x:c>
      <x:c r="E1787" s="9" t="n">
        <x:v>5890000</x:v>
      </x:c>
      <x:c r="F1787" s="9" t="n">
        <x:v>5890000</x:v>
      </x:c>
    </x:row>
    <x:row r="1788" ht="34" customHeight="1">
      <x:c r="A1788" s="4" t="str">
        <x:v>RS-00911-I3</x:v>
      </x:c>
      <x:c r="B1788" s="4" t="str">
        <x:v>RS-00911</x:v>
      </x:c>
      <x:c r="C1788" s="9" t="n">
        <x:v>3</x:v>
      </x:c>
      <x:c r="D1788" s="8" t="n">
        <x:v>45397</x:v>
      </x:c>
      <x:c r="E1788" s="9" t="n">
        <x:v>5890000</x:v>
      </x:c>
      <x:c r="F1788" s="9" t="n">
        <x:v>0</x:v>
      </x:c>
    </x:row>
    <x:row r="1789" ht="34" customHeight="1">
      <x:c r="A1789" s="4" t="str">
        <x:v>RS-00911-I4</x:v>
      </x:c>
      <x:c r="B1789" s="4" t="str">
        <x:v>RS-00911</x:v>
      </x:c>
      <x:c r="C1789" s="9" t="n">
        <x:v>4</x:v>
      </x:c>
      <x:c r="D1789" s="8" t="n">
        <x:v>45427</x:v>
      </x:c>
      <x:c r="E1789" s="9" t="n">
        <x:v>5890000</x:v>
      </x:c>
      <x:c r="F1789" s="9" t="n">
        <x:v>0</x:v>
      </x:c>
    </x:row>
    <x:row r="1790" ht="34" customHeight="1">
      <x:c r="A1790" s="4" t="str">
        <x:v>RS-00912-I1</x:v>
      </x:c>
      <x:c r="B1790" s="4" t="str">
        <x:v>RS-00912</x:v>
      </x:c>
      <x:c r="C1790" s="9" t="n">
        <x:v>1</x:v>
      </x:c>
      <x:c r="D1790" s="8" t="n">
        <x:v>45338</x:v>
      </x:c>
      <x:c r="E1790" s="9" t="n">
        <x:v>5091750</x:v>
      </x:c>
      <x:c r="F1790" s="9" t="n">
        <x:v>2036700</x:v>
      </x:c>
    </x:row>
    <x:row r="1791" ht="34" customHeight="1">
      <x:c r="A1791" s="4" t="str">
        <x:v>RS-00912-I2</x:v>
      </x:c>
      <x:c r="B1791" s="4" t="str">
        <x:v>RS-00912</x:v>
      </x:c>
      <x:c r="C1791" s="9" t="n">
        <x:v>2</x:v>
      </x:c>
      <x:c r="D1791" s="8" t="n">
        <x:v>45368</x:v>
      </x:c>
      <x:c r="E1791" s="9" t="n">
        <x:v>5091750</x:v>
      </x:c>
      <x:c r="F1791" s="9" t="n">
        <x:v>0</x:v>
      </x:c>
    </x:row>
    <x:row r="1792" ht="34" customHeight="1">
      <x:c r="A1792" s="4" t="str">
        <x:v>RS-00912-I3</x:v>
      </x:c>
      <x:c r="B1792" s="4" t="str">
        <x:v>RS-00912</x:v>
      </x:c>
      <x:c r="C1792" s="9" t="n">
        <x:v>3</x:v>
      </x:c>
      <x:c r="D1792" s="8" t="n">
        <x:v>45398</x:v>
      </x:c>
      <x:c r="E1792" s="9" t="n">
        <x:v>5091750</x:v>
      </x:c>
      <x:c r="F1792" s="9" t="n">
        <x:v>0</x:v>
      </x:c>
    </x:row>
    <x:row r="1793" ht="34" customHeight="1">
      <x:c r="A1793" s="4" t="str">
        <x:v>RS-00912-I4</x:v>
      </x:c>
      <x:c r="B1793" s="4" t="str">
        <x:v>RS-00912</x:v>
      </x:c>
      <x:c r="C1793" s="9" t="n">
        <x:v>4</x:v>
      </x:c>
      <x:c r="D1793" s="8" t="n">
        <x:v>45428</x:v>
      </x:c>
      <x:c r="E1793" s="9" t="n">
        <x:v>5091750</x:v>
      </x:c>
      <x:c r="F1793" s="9" t="n">
        <x:v>0</x:v>
      </x:c>
    </x:row>
    <x:row r="1794" ht="34" customHeight="1">
      <x:c r="A1794" s="4" t="str">
        <x:v>RS-00915-I1</x:v>
      </x:c>
      <x:c r="B1794" s="4" t="str">
        <x:v>RS-00915</x:v>
      </x:c>
      <x:c r="C1794" s="9" t="n">
        <x:v>1</x:v>
      </x:c>
      <x:c r="D1794" s="8" t="n">
        <x:v>45341</x:v>
      </x:c>
      <x:c r="E1794" s="9" t="n">
        <x:v>5540250</x:v>
      </x:c>
      <x:c r="F1794" s="9" t="n">
        <x:v>5540250</x:v>
      </x:c>
    </x:row>
    <x:row r="1795" ht="34" customHeight="1">
      <x:c r="A1795" s="4" t="str">
        <x:v>RS-00915-I2</x:v>
      </x:c>
      <x:c r="B1795" s="4" t="str">
        <x:v>RS-00915</x:v>
      </x:c>
      <x:c r="C1795" s="9" t="n">
        <x:v>2</x:v>
      </x:c>
      <x:c r="D1795" s="8" t="n">
        <x:v>45371</x:v>
      </x:c>
      <x:c r="E1795" s="9" t="n">
        <x:v>5540250</x:v>
      </x:c>
      <x:c r="F1795" s="9" t="n">
        <x:v>5540250</x:v>
      </x:c>
    </x:row>
    <x:row r="1796" ht="34" customHeight="1">
      <x:c r="A1796" s="4" t="str">
        <x:v>RS-00915-I3</x:v>
      </x:c>
      <x:c r="B1796" s="4" t="str">
        <x:v>RS-00915</x:v>
      </x:c>
      <x:c r="C1796" s="9" t="n">
        <x:v>3</x:v>
      </x:c>
      <x:c r="D1796" s="8" t="n">
        <x:v>45401</x:v>
      </x:c>
      <x:c r="E1796" s="9" t="n">
        <x:v>5540250</x:v>
      </x:c>
      <x:c r="F1796" s="9" t="n">
        <x:v>5540250</x:v>
      </x:c>
    </x:row>
    <x:row r="1797" ht="34" customHeight="1">
      <x:c r="A1797" s="4" t="str">
        <x:v>RS-00915-I4</x:v>
      </x:c>
      <x:c r="B1797" s="4" t="str">
        <x:v>RS-00915</x:v>
      </x:c>
      <x:c r="C1797" s="9" t="n">
        <x:v>4</x:v>
      </x:c>
      <x:c r="D1797" s="8" t="n">
        <x:v>45431</x:v>
      </x:c>
      <x:c r="E1797" s="9" t="n">
        <x:v>5540250</x:v>
      </x:c>
      <x:c r="F1797" s="9" t="n">
        <x:v>5540250</x:v>
      </x:c>
    </x:row>
    <x:row r="1798" ht="34" customHeight="1">
      <x:c r="A1798" s="4" t="str">
        <x:v>RS-00916-I1</x:v>
      </x:c>
      <x:c r="B1798" s="4" t="str">
        <x:v>RS-00916</x:v>
      </x:c>
      <x:c r="C1798" s="9" t="n">
        <x:v>1</x:v>
      </x:c>
      <x:c r="D1798" s="8" t="n">
        <x:v>45342</x:v>
      </x:c>
      <x:c r="E1798" s="9" t="n">
        <x:v>744000</x:v>
      </x:c>
      <x:c r="F1798" s="9" t="n">
        <x:v>744000</x:v>
      </x:c>
    </x:row>
    <x:row r="1799" ht="34" customHeight="1">
      <x:c r="A1799" s="4" t="str">
        <x:v>RS-00916-I2</x:v>
      </x:c>
      <x:c r="B1799" s="4" t="str">
        <x:v>RS-00916</x:v>
      </x:c>
      <x:c r="C1799" s="9" t="n">
        <x:v>2</x:v>
      </x:c>
      <x:c r="D1799" s="8" t="n">
        <x:v>45372</x:v>
      </x:c>
      <x:c r="E1799" s="9" t="n">
        <x:v>744000</x:v>
      </x:c>
      <x:c r="F1799" s="9" t="n">
        <x:v>0</x:v>
      </x:c>
    </x:row>
    <x:row r="1800" ht="34" customHeight="1">
      <x:c r="A1800" s="4" t="str">
        <x:v>RS-00916-I3</x:v>
      </x:c>
      <x:c r="B1800" s="4" t="str">
        <x:v>RS-00916</x:v>
      </x:c>
      <x:c r="C1800" s="9" t="n">
        <x:v>3</x:v>
      </x:c>
      <x:c r="D1800" s="8" t="n">
        <x:v>45402</x:v>
      </x:c>
      <x:c r="E1800" s="9" t="n">
        <x:v>744000</x:v>
      </x:c>
      <x:c r="F1800" s="9" t="n">
        <x:v>0</x:v>
      </x:c>
    </x:row>
    <x:row r="1801" ht="34" customHeight="1">
      <x:c r="A1801" s="4" t="str">
        <x:v>RS-00916-I4</x:v>
      </x:c>
      <x:c r="B1801" s="4" t="str">
        <x:v>RS-00916</x:v>
      </x:c>
      <x:c r="C1801" s="9" t="n">
        <x:v>4</x:v>
      </x:c>
      <x:c r="D1801" s="8" t="n">
        <x:v>45432</x:v>
      </x:c>
      <x:c r="E1801" s="9" t="n">
        <x:v>744000</x:v>
      </x:c>
      <x:c r="F1801" s="9" t="n">
        <x:v>0</x:v>
      </x:c>
    </x:row>
    <x:row r="1802" ht="34" customHeight="1">
      <x:c r="A1802" s="4" t="str">
        <x:v>RS-00917-I1</x:v>
      </x:c>
      <x:c r="B1802" s="4" t="str">
        <x:v>RS-00917</x:v>
      </x:c>
      <x:c r="C1802" s="9" t="n">
        <x:v>1</x:v>
      </x:c>
      <x:c r="D1802" s="8" t="n">
        <x:v>45343</x:v>
      </x:c>
      <x:c r="E1802" s="9" t="n">
        <x:v>3291750</x:v>
      </x:c>
      <x:c r="F1802" s="9" t="n">
        <x:v>3291750</x:v>
      </x:c>
    </x:row>
    <x:row r="1803" ht="34" customHeight="1">
      <x:c r="A1803" s="4" t="str">
        <x:v>RS-00917-I2</x:v>
      </x:c>
      <x:c r="B1803" s="4" t="str">
        <x:v>RS-00917</x:v>
      </x:c>
      <x:c r="C1803" s="9" t="n">
        <x:v>2</x:v>
      </x:c>
      <x:c r="D1803" s="8" t="n">
        <x:v>45373</x:v>
      </x:c>
      <x:c r="E1803" s="9" t="n">
        <x:v>3291750</x:v>
      </x:c>
      <x:c r="F1803" s="9" t="n">
        <x:v>0</x:v>
      </x:c>
    </x:row>
    <x:row r="1804" ht="34" customHeight="1">
      <x:c r="A1804" s="4" t="str">
        <x:v>RS-00917-I3</x:v>
      </x:c>
      <x:c r="B1804" s="4" t="str">
        <x:v>RS-00917</x:v>
      </x:c>
      <x:c r="C1804" s="9" t="n">
        <x:v>3</x:v>
      </x:c>
      <x:c r="D1804" s="8" t="n">
        <x:v>45403</x:v>
      </x:c>
      <x:c r="E1804" s="9" t="n">
        <x:v>3291750</x:v>
      </x:c>
      <x:c r="F1804" s="9" t="n">
        <x:v>0</x:v>
      </x:c>
    </x:row>
    <x:row r="1805" ht="34" customHeight="1">
      <x:c r="A1805" s="4" t="str">
        <x:v>RS-00917-I4</x:v>
      </x:c>
      <x:c r="B1805" s="4" t="str">
        <x:v>RS-00917</x:v>
      </x:c>
      <x:c r="C1805" s="9" t="n">
        <x:v>4</x:v>
      </x:c>
      <x:c r="D1805" s="8" t="n">
        <x:v>45433</x:v>
      </x:c>
      <x:c r="E1805" s="9" t="n">
        <x:v>3291750</x:v>
      </x:c>
      <x:c r="F1805" s="9" t="n">
        <x:v>0</x:v>
      </x:c>
    </x:row>
    <x:row r="1806" ht="34" customHeight="1">
      <x:c r="A1806" s="4" t="str">
        <x:v>RS-00918-I1</x:v>
      </x:c>
      <x:c r="B1806" s="4" t="str">
        <x:v>RS-00918</x:v>
      </x:c>
      <x:c r="C1806" s="9" t="n">
        <x:v>1</x:v>
      </x:c>
      <x:c r="D1806" s="8" t="n">
        <x:v>45344</x:v>
      </x:c>
      <x:c r="E1806" s="9" t="n">
        <x:v>4959500</x:v>
      </x:c>
      <x:c r="F1806" s="9" t="n">
        <x:v>4959500</x:v>
      </x:c>
    </x:row>
    <x:row r="1807" ht="34" customHeight="1">
      <x:c r="A1807" s="4" t="str">
        <x:v>RS-00918-I2</x:v>
      </x:c>
      <x:c r="B1807" s="4" t="str">
        <x:v>RS-00918</x:v>
      </x:c>
      <x:c r="C1807" s="9" t="n">
        <x:v>2</x:v>
      </x:c>
      <x:c r="D1807" s="8" t="n">
        <x:v>45374</x:v>
      </x:c>
      <x:c r="E1807" s="9" t="n">
        <x:v>4959500</x:v>
      </x:c>
      <x:c r="F1807" s="9" t="n">
        <x:v>0</x:v>
      </x:c>
    </x:row>
    <x:row r="1808" ht="34" customHeight="1">
      <x:c r="A1808" s="4" t="str">
        <x:v>RS-00918-I3</x:v>
      </x:c>
      <x:c r="B1808" s="4" t="str">
        <x:v>RS-00918</x:v>
      </x:c>
      <x:c r="C1808" s="9" t="n">
        <x:v>3</x:v>
      </x:c>
      <x:c r="D1808" s="8" t="n">
        <x:v>45404</x:v>
      </x:c>
      <x:c r="E1808" s="9" t="n">
        <x:v>4959500</x:v>
      </x:c>
      <x:c r="F1808" s="9" t="n">
        <x:v>0</x:v>
      </x:c>
    </x:row>
    <x:row r="1809" ht="34" customHeight="1">
      <x:c r="A1809" s="4" t="str">
        <x:v>RS-00918-I4</x:v>
      </x:c>
      <x:c r="B1809" s="4" t="str">
        <x:v>RS-00918</x:v>
      </x:c>
      <x:c r="C1809" s="9" t="n">
        <x:v>4</x:v>
      </x:c>
      <x:c r="D1809" s="8" t="n">
        <x:v>45434</x:v>
      </x:c>
      <x:c r="E1809" s="9" t="n">
        <x:v>4959500</x:v>
      </x:c>
      <x:c r="F1809" s="9" t="n">
        <x:v>0</x:v>
      </x:c>
    </x:row>
    <x:row r="1810" ht="34" customHeight="1">
      <x:c r="A1810" s="4" t="str">
        <x:v>RS-00921-I1</x:v>
      </x:c>
      <x:c r="B1810" s="4" t="str">
        <x:v>RS-00921</x:v>
      </x:c>
      <x:c r="C1810" s="9" t="n">
        <x:v>1</x:v>
      </x:c>
      <x:c r="D1810" s="8" t="n">
        <x:v>45347</x:v>
      </x:c>
      <x:c r="E1810" s="9" t="n">
        <x:v>3910000</x:v>
      </x:c>
      <x:c r="F1810" s="9" t="n">
        <x:v>1564000</x:v>
      </x:c>
    </x:row>
    <x:row r="1811" ht="34" customHeight="1">
      <x:c r="A1811" s="4" t="str">
        <x:v>RS-00921-I2</x:v>
      </x:c>
      <x:c r="B1811" s="4" t="str">
        <x:v>RS-00921</x:v>
      </x:c>
      <x:c r="C1811" s="9" t="n">
        <x:v>2</x:v>
      </x:c>
      <x:c r="D1811" s="8" t="n">
        <x:v>45377</x:v>
      </x:c>
      <x:c r="E1811" s="9" t="n">
        <x:v>3910000</x:v>
      </x:c>
      <x:c r="F1811" s="9" t="n">
        <x:v>0</x:v>
      </x:c>
    </x:row>
    <x:row r="1812" ht="34" customHeight="1">
      <x:c r="A1812" s="4" t="str">
        <x:v>RS-00921-I3</x:v>
      </x:c>
      <x:c r="B1812" s="4" t="str">
        <x:v>RS-00921</x:v>
      </x:c>
      <x:c r="C1812" s="9" t="n">
        <x:v>3</x:v>
      </x:c>
      <x:c r="D1812" s="8" t="n">
        <x:v>45407</x:v>
      </x:c>
      <x:c r="E1812" s="9" t="n">
        <x:v>3910000</x:v>
      </x:c>
      <x:c r="F1812" s="9" t="n">
        <x:v>0</x:v>
      </x:c>
    </x:row>
    <x:row r="1813" ht="34" customHeight="1">
      <x:c r="A1813" s="4" t="str">
        <x:v>RS-00921-I4</x:v>
      </x:c>
      <x:c r="B1813" s="4" t="str">
        <x:v>RS-00921</x:v>
      </x:c>
      <x:c r="C1813" s="9" t="n">
        <x:v>4</x:v>
      </x:c>
      <x:c r="D1813" s="8" t="n">
        <x:v>45437</x:v>
      </x:c>
      <x:c r="E1813" s="9" t="n">
        <x:v>3910000</x:v>
      </x:c>
      <x:c r="F1813" s="9" t="n">
        <x:v>0</x:v>
      </x:c>
    </x:row>
    <x:row r="1814" ht="34" customHeight="1">
      <x:c r="A1814" s="4" t="str">
        <x:v>RS-00923-I1</x:v>
      </x:c>
      <x:c r="B1814" s="4" t="str">
        <x:v>RS-00923</x:v>
      </x:c>
      <x:c r="C1814" s="9" t="n">
        <x:v>1</x:v>
      </x:c>
      <x:c r="D1814" s="8" t="n">
        <x:v>45349</x:v>
      </x:c>
      <x:c r="E1814" s="9" t="n">
        <x:v>4673250</x:v>
      </x:c>
      <x:c r="F1814" s="9" t="n">
        <x:v>4673250</x:v>
      </x:c>
    </x:row>
    <x:row r="1815" ht="34" customHeight="1">
      <x:c r="A1815" s="4" t="str">
        <x:v>RS-00923-I2</x:v>
      </x:c>
      <x:c r="B1815" s="4" t="str">
        <x:v>RS-00923</x:v>
      </x:c>
      <x:c r="C1815" s="9" t="n">
        <x:v>2</x:v>
      </x:c>
      <x:c r="D1815" s="8" t="n">
        <x:v>45379</x:v>
      </x:c>
      <x:c r="E1815" s="9" t="n">
        <x:v>4673250</x:v>
      </x:c>
      <x:c r="F1815" s="9" t="n">
        <x:v>4673250</x:v>
      </x:c>
    </x:row>
    <x:row r="1816" ht="34" customHeight="1">
      <x:c r="A1816" s="4" t="str">
        <x:v>RS-00923-I3</x:v>
      </x:c>
      <x:c r="B1816" s="4" t="str">
        <x:v>RS-00923</x:v>
      </x:c>
      <x:c r="C1816" s="9" t="n">
        <x:v>3</x:v>
      </x:c>
      <x:c r="D1816" s="8" t="n">
        <x:v>45409</x:v>
      </x:c>
      <x:c r="E1816" s="9" t="n">
        <x:v>4673250</x:v>
      </x:c>
      <x:c r="F1816" s="9" t="n">
        <x:v>0</x:v>
      </x:c>
    </x:row>
    <x:row r="1817" ht="34" customHeight="1">
      <x:c r="A1817" s="4" t="str">
        <x:v>RS-00923-I4</x:v>
      </x:c>
      <x:c r="B1817" s="4" t="str">
        <x:v>RS-00923</x:v>
      </x:c>
      <x:c r="C1817" s="9" t="n">
        <x:v>4</x:v>
      </x:c>
      <x:c r="D1817" s="8" t="n">
        <x:v>45439</x:v>
      </x:c>
      <x:c r="E1817" s="9" t="n">
        <x:v>4673250</x:v>
      </x:c>
      <x:c r="F1817" s="9" t="n">
        <x:v>0</x:v>
      </x:c>
    </x:row>
    <x:row r="1818" ht="34" customHeight="1">
      <x:c r="A1818" s="4" t="str">
        <x:v>RS-00924-I1</x:v>
      </x:c>
      <x:c r="B1818" s="4" t="str">
        <x:v>RS-00924</x:v>
      </x:c>
      <x:c r="C1818" s="9" t="n">
        <x:v>1</x:v>
      </x:c>
      <x:c r="D1818" s="8" t="n">
        <x:v>45350</x:v>
      </x:c>
      <x:c r="E1818" s="9" t="n">
        <x:v>4416000</x:v>
      </x:c>
      <x:c r="F1818" s="9" t="n">
        <x:v>4416000</x:v>
      </x:c>
    </x:row>
    <x:row r="1819" ht="34" customHeight="1">
      <x:c r="A1819" s="4" t="str">
        <x:v>RS-00924-I2</x:v>
      </x:c>
      <x:c r="B1819" s="4" t="str">
        <x:v>RS-00924</x:v>
      </x:c>
      <x:c r="C1819" s="9" t="n">
        <x:v>2</x:v>
      </x:c>
      <x:c r="D1819" s="8" t="n">
        <x:v>45380</x:v>
      </x:c>
      <x:c r="E1819" s="9" t="n">
        <x:v>4416000</x:v>
      </x:c>
      <x:c r="F1819" s="9" t="n">
        <x:v>4416000</x:v>
      </x:c>
    </x:row>
    <x:row r="1820" ht="34" customHeight="1">
      <x:c r="A1820" s="4" t="str">
        <x:v>RS-00924-I3</x:v>
      </x:c>
      <x:c r="B1820" s="4" t="str">
        <x:v>RS-00924</x:v>
      </x:c>
      <x:c r="C1820" s="9" t="n">
        <x:v>3</x:v>
      </x:c>
      <x:c r="D1820" s="8" t="n">
        <x:v>45410</x:v>
      </x:c>
      <x:c r="E1820" s="9" t="n">
        <x:v>4416000</x:v>
      </x:c>
      <x:c r="F1820" s="9" t="n">
        <x:v>0</x:v>
      </x:c>
    </x:row>
    <x:row r="1821" ht="34" customHeight="1">
      <x:c r="A1821" s="4" t="str">
        <x:v>RS-00924-I4</x:v>
      </x:c>
      <x:c r="B1821" s="4" t="str">
        <x:v>RS-00924</x:v>
      </x:c>
      <x:c r="C1821" s="9" t="n">
        <x:v>4</x:v>
      </x:c>
      <x:c r="D1821" s="8" t="n">
        <x:v>45440</x:v>
      </x:c>
      <x:c r="E1821" s="9" t="n">
        <x:v>4416000</x:v>
      </x:c>
      <x:c r="F1821" s="9" t="n">
        <x:v>0</x:v>
      </x:c>
    </x:row>
    <x:row r="1822" ht="34" customHeight="1">
      <x:c r="A1822" s="4" t="str">
        <x:v>RS-00926-I1</x:v>
      </x:c>
      <x:c r="B1822" s="4" t="str">
        <x:v>RS-00926</x:v>
      </x:c>
      <x:c r="C1822" s="9" t="n">
        <x:v>1</x:v>
      </x:c>
      <x:c r="D1822" s="8" t="n">
        <x:v>45324</x:v>
      </x:c>
      <x:c r="E1822" s="9" t="n">
        <x:v>5522500</x:v>
      </x:c>
      <x:c r="F1822" s="9" t="n">
        <x:v>2209000</x:v>
      </x:c>
    </x:row>
    <x:row r="1823" ht="34" customHeight="1">
      <x:c r="A1823" s="4" t="str">
        <x:v>RS-00926-I2</x:v>
      </x:c>
      <x:c r="B1823" s="4" t="str">
        <x:v>RS-00926</x:v>
      </x:c>
      <x:c r="C1823" s="9" t="n">
        <x:v>2</x:v>
      </x:c>
      <x:c r="D1823" s="8" t="n">
        <x:v>45354</x:v>
      </x:c>
      <x:c r="E1823" s="9" t="n">
        <x:v>5522500</x:v>
      </x:c>
      <x:c r="F1823" s="9" t="n">
        <x:v>0</x:v>
      </x:c>
    </x:row>
    <x:row r="1824" ht="34" customHeight="1">
      <x:c r="A1824" s="4" t="str">
        <x:v>RS-00926-I3</x:v>
      </x:c>
      <x:c r="B1824" s="4" t="str">
        <x:v>RS-00926</x:v>
      </x:c>
      <x:c r="C1824" s="9" t="n">
        <x:v>3</x:v>
      </x:c>
      <x:c r="D1824" s="8" t="n">
        <x:v>45384</x:v>
      </x:c>
      <x:c r="E1824" s="9" t="n">
        <x:v>5522500</x:v>
      </x:c>
      <x:c r="F1824" s="9" t="n">
        <x:v>0</x:v>
      </x:c>
    </x:row>
    <x:row r="1825" ht="34" customHeight="1">
      <x:c r="A1825" s="4" t="str">
        <x:v>RS-00926-I4</x:v>
      </x:c>
      <x:c r="B1825" s="4" t="str">
        <x:v>RS-00926</x:v>
      </x:c>
      <x:c r="C1825" s="9" t="n">
        <x:v>4</x:v>
      </x:c>
      <x:c r="D1825" s="8" t="n">
        <x:v>45414</x:v>
      </x:c>
      <x:c r="E1825" s="9" t="n">
        <x:v>5522500</x:v>
      </x:c>
      <x:c r="F1825" s="9" t="n">
        <x:v>0</x:v>
      </x:c>
    </x:row>
    <x:row r="1826" ht="34" customHeight="1">
      <x:c r="A1826" s="4" t="str">
        <x:v>RS-00930-I1</x:v>
      </x:c>
      <x:c r="B1826" s="4" t="str">
        <x:v>RS-00930</x:v>
      </x:c>
      <x:c r="C1826" s="9" t="n">
        <x:v>1</x:v>
      </x:c>
      <x:c r="D1826" s="8" t="n">
        <x:v>45328</x:v>
      </x:c>
      <x:c r="E1826" s="9" t="n">
        <x:v>5469750</x:v>
      </x:c>
      <x:c r="F1826" s="9" t="n">
        <x:v>5469750</x:v>
      </x:c>
    </x:row>
    <x:row r="1827" ht="34" customHeight="1">
      <x:c r="A1827" s="4" t="str">
        <x:v>RS-00930-I2</x:v>
      </x:c>
      <x:c r="B1827" s="4" t="str">
        <x:v>RS-00930</x:v>
      </x:c>
      <x:c r="C1827" s="9" t="n">
        <x:v>2</x:v>
      </x:c>
      <x:c r="D1827" s="8" t="n">
        <x:v>45358</x:v>
      </x:c>
      <x:c r="E1827" s="9" t="n">
        <x:v>5469750</x:v>
      </x:c>
      <x:c r="F1827" s="9" t="n">
        <x:v>5469750</x:v>
      </x:c>
    </x:row>
    <x:row r="1828" ht="34" customHeight="1">
      <x:c r="A1828" s="4" t="str">
        <x:v>RS-00930-I3</x:v>
      </x:c>
      <x:c r="B1828" s="4" t="str">
        <x:v>RS-00930</x:v>
      </x:c>
      <x:c r="C1828" s="9" t="n">
        <x:v>3</x:v>
      </x:c>
      <x:c r="D1828" s="8" t="n">
        <x:v>45388</x:v>
      </x:c>
      <x:c r="E1828" s="9" t="n">
        <x:v>5469750</x:v>
      </x:c>
      <x:c r="F1828" s="9" t="n">
        <x:v>5469750</x:v>
      </x:c>
    </x:row>
    <x:row r="1829" ht="34" customHeight="1">
      <x:c r="A1829" s="4" t="str">
        <x:v>RS-00930-I4</x:v>
      </x:c>
      <x:c r="B1829" s="4" t="str">
        <x:v>RS-00930</x:v>
      </x:c>
      <x:c r="C1829" s="9" t="n">
        <x:v>4</x:v>
      </x:c>
      <x:c r="D1829" s="8" t="n">
        <x:v>45418</x:v>
      </x:c>
      <x:c r="E1829" s="9" t="n">
        <x:v>5469750</x:v>
      </x:c>
      <x:c r="F1829" s="9" t="n">
        <x:v>5469750</x:v>
      </x:c>
    </x:row>
    <x:row r="1830" ht="34" customHeight="1">
      <x:c r="A1830" s="4" t="str">
        <x:v>RS-00932-I1</x:v>
      </x:c>
      <x:c r="B1830" s="4" t="str">
        <x:v>RS-00932</x:v>
      </x:c>
      <x:c r="C1830" s="9" t="n">
        <x:v>1</x:v>
      </x:c>
      <x:c r="D1830" s="8" t="n">
        <x:v>45330</x:v>
      </x:c>
      <x:c r="E1830" s="9" t="n">
        <x:v>1837500</x:v>
      </x:c>
      <x:c r="F1830" s="9" t="n">
        <x:v>735000</x:v>
      </x:c>
    </x:row>
    <x:row r="1831" ht="34" customHeight="1">
      <x:c r="A1831" s="4" t="str">
        <x:v>RS-00932-I2</x:v>
      </x:c>
      <x:c r="B1831" s="4" t="str">
        <x:v>RS-00932</x:v>
      </x:c>
      <x:c r="C1831" s="9" t="n">
        <x:v>2</x:v>
      </x:c>
      <x:c r="D1831" s="8" t="n">
        <x:v>45360</x:v>
      </x:c>
      <x:c r="E1831" s="9" t="n">
        <x:v>1837500</x:v>
      </x:c>
      <x:c r="F1831" s="9" t="n">
        <x:v>0</x:v>
      </x:c>
    </x:row>
    <x:row r="1832" ht="34" customHeight="1">
      <x:c r="A1832" s="4" t="str">
        <x:v>RS-00932-I3</x:v>
      </x:c>
      <x:c r="B1832" s="4" t="str">
        <x:v>RS-00932</x:v>
      </x:c>
      <x:c r="C1832" s="9" t="n">
        <x:v>3</x:v>
      </x:c>
      <x:c r="D1832" s="8" t="n">
        <x:v>45390</x:v>
      </x:c>
      <x:c r="E1832" s="9" t="n">
        <x:v>1837500</x:v>
      </x:c>
      <x:c r="F1832" s="9" t="n">
        <x:v>0</x:v>
      </x:c>
    </x:row>
    <x:row r="1833" ht="34" customHeight="1">
      <x:c r="A1833" s="4" t="str">
        <x:v>RS-00932-I4</x:v>
      </x:c>
      <x:c r="B1833" s="4" t="str">
        <x:v>RS-00932</x:v>
      </x:c>
      <x:c r="C1833" s="9" t="n">
        <x:v>4</x:v>
      </x:c>
      <x:c r="D1833" s="8" t="n">
        <x:v>45420</x:v>
      </x:c>
      <x:c r="E1833" s="9" t="n">
        <x:v>1837500</x:v>
      </x:c>
      <x:c r="F1833" s="9" t="n">
        <x:v>0</x:v>
      </x:c>
    </x:row>
    <x:row r="1834" ht="34" customHeight="1">
      <x:c r="A1834" s="4" t="str">
        <x:v>RS-00933-I1</x:v>
      </x:c>
      <x:c r="B1834" s="4" t="str">
        <x:v>RS-00933</x:v>
      </x:c>
      <x:c r="C1834" s="9" t="n">
        <x:v>1</x:v>
      </x:c>
      <x:c r="D1834" s="8" t="n">
        <x:v>45331</x:v>
      </x:c>
      <x:c r="E1834" s="9" t="n">
        <x:v>2843500</x:v>
      </x:c>
      <x:c r="F1834" s="9" t="n">
        <x:v>2843500</x:v>
      </x:c>
    </x:row>
    <x:row r="1835" ht="34" customHeight="1">
      <x:c r="A1835" s="4" t="str">
        <x:v>RS-00933-I2</x:v>
      </x:c>
      <x:c r="B1835" s="4" t="str">
        <x:v>RS-00933</x:v>
      </x:c>
      <x:c r="C1835" s="9" t="n">
        <x:v>2</x:v>
      </x:c>
      <x:c r="D1835" s="8" t="n">
        <x:v>45361</x:v>
      </x:c>
      <x:c r="E1835" s="9" t="n">
        <x:v>2843500</x:v>
      </x:c>
      <x:c r="F1835" s="9" t="n">
        <x:v>2843500</x:v>
      </x:c>
    </x:row>
    <x:row r="1836" ht="34" customHeight="1">
      <x:c r="A1836" s="4" t="str">
        <x:v>RS-00933-I3</x:v>
      </x:c>
      <x:c r="B1836" s="4" t="str">
        <x:v>RS-00933</x:v>
      </x:c>
      <x:c r="C1836" s="9" t="n">
        <x:v>3</x:v>
      </x:c>
      <x:c r="D1836" s="8" t="n">
        <x:v>45391</x:v>
      </x:c>
      <x:c r="E1836" s="9" t="n">
        <x:v>2843500</x:v>
      </x:c>
      <x:c r="F1836" s="9" t="n">
        <x:v>2843500</x:v>
      </x:c>
    </x:row>
    <x:row r="1837" ht="34" customHeight="1">
      <x:c r="A1837" s="4" t="str">
        <x:v>RS-00933-I4</x:v>
      </x:c>
      <x:c r="B1837" s="4" t="str">
        <x:v>RS-00933</x:v>
      </x:c>
      <x:c r="C1837" s="9" t="n">
        <x:v>4</x:v>
      </x:c>
      <x:c r="D1837" s="8" t="n">
        <x:v>45421</x:v>
      </x:c>
      <x:c r="E1837" s="9" t="n">
        <x:v>2843500</x:v>
      </x:c>
      <x:c r="F1837" s="9" t="n">
        <x:v>2843500</x:v>
      </x:c>
    </x:row>
    <x:row r="1838" ht="34" customHeight="1">
      <x:c r="A1838" s="4" t="str">
        <x:v>RS-00934-I1</x:v>
      </x:c>
      <x:c r="B1838" s="4" t="str">
        <x:v>RS-00934</x:v>
      </x:c>
      <x:c r="C1838" s="9" t="n">
        <x:v>1</x:v>
      </x:c>
      <x:c r="D1838" s="8" t="n">
        <x:v>45332</x:v>
      </x:c>
      <x:c r="E1838" s="9" t="n">
        <x:v>2046000</x:v>
      </x:c>
      <x:c r="F1838" s="9" t="n">
        <x:v>2046000</x:v>
      </x:c>
    </x:row>
    <x:row r="1839" ht="34" customHeight="1">
      <x:c r="A1839" s="4" t="str">
        <x:v>RS-00934-I2</x:v>
      </x:c>
      <x:c r="B1839" s="4" t="str">
        <x:v>RS-00934</x:v>
      </x:c>
      <x:c r="C1839" s="9" t="n">
        <x:v>2</x:v>
      </x:c>
      <x:c r="D1839" s="8" t="n">
        <x:v>45362</x:v>
      </x:c>
      <x:c r="E1839" s="9" t="n">
        <x:v>2046000</x:v>
      </x:c>
      <x:c r="F1839" s="9" t="n">
        <x:v>0</x:v>
      </x:c>
    </x:row>
    <x:row r="1840" ht="34" customHeight="1">
      <x:c r="A1840" s="4" t="str">
        <x:v>RS-00934-I3</x:v>
      </x:c>
      <x:c r="B1840" s="4" t="str">
        <x:v>RS-00934</x:v>
      </x:c>
      <x:c r="C1840" s="9" t="n">
        <x:v>3</x:v>
      </x:c>
      <x:c r="D1840" s="8" t="n">
        <x:v>45392</x:v>
      </x:c>
      <x:c r="E1840" s="9" t="n">
        <x:v>2046000</x:v>
      </x:c>
      <x:c r="F1840" s="9" t="n">
        <x:v>0</x:v>
      </x:c>
    </x:row>
    <x:row r="1841" ht="34" customHeight="1">
      <x:c r="A1841" s="4" t="str">
        <x:v>RS-00934-I4</x:v>
      </x:c>
      <x:c r="B1841" s="4" t="str">
        <x:v>RS-00934</x:v>
      </x:c>
      <x:c r="C1841" s="9" t="n">
        <x:v>4</x:v>
      </x:c>
      <x:c r="D1841" s="8" t="n">
        <x:v>45422</x:v>
      </x:c>
      <x:c r="E1841" s="9" t="n">
        <x:v>2046000</x:v>
      </x:c>
      <x:c r="F1841" s="9" t="n">
        <x:v>0</x:v>
      </x:c>
    </x:row>
    <x:row r="1842" ht="34" customHeight="1">
      <x:c r="A1842" s="4" t="str">
        <x:v>RS-00938-I1</x:v>
      </x:c>
      <x:c r="B1842" s="4" t="str">
        <x:v>RS-00938</x:v>
      </x:c>
      <x:c r="C1842" s="9" t="n">
        <x:v>1</x:v>
      </x:c>
      <x:c r="D1842" s="8" t="n">
        <x:v>45336</x:v>
      </x:c>
      <x:c r="E1842" s="9" t="n">
        <x:v>3772000</x:v>
      </x:c>
      <x:c r="F1842" s="9" t="n">
        <x:v>1508800</x:v>
      </x:c>
    </x:row>
    <x:row r="1843" ht="34" customHeight="1">
      <x:c r="A1843" s="4" t="str">
        <x:v>RS-00938-I2</x:v>
      </x:c>
      <x:c r="B1843" s="4" t="str">
        <x:v>RS-00938</x:v>
      </x:c>
      <x:c r="C1843" s="9" t="n">
        <x:v>2</x:v>
      </x:c>
      <x:c r="D1843" s="8" t="n">
        <x:v>45366</x:v>
      </x:c>
      <x:c r="E1843" s="9" t="n">
        <x:v>3772000</x:v>
      </x:c>
      <x:c r="F1843" s="9" t="n">
        <x:v>0</x:v>
      </x:c>
    </x:row>
    <x:row r="1844" ht="34" customHeight="1">
      <x:c r="A1844" s="4" t="str">
        <x:v>RS-00938-I3</x:v>
      </x:c>
      <x:c r="B1844" s="4" t="str">
        <x:v>RS-00938</x:v>
      </x:c>
      <x:c r="C1844" s="9" t="n">
        <x:v>3</x:v>
      </x:c>
      <x:c r="D1844" s="8" t="n">
        <x:v>45396</x:v>
      </x:c>
      <x:c r="E1844" s="9" t="n">
        <x:v>3772000</x:v>
      </x:c>
      <x:c r="F1844" s="9" t="n">
        <x:v>0</x:v>
      </x:c>
    </x:row>
    <x:row r="1845" ht="34" customHeight="1">
      <x:c r="A1845" s="4" t="str">
        <x:v>RS-00938-I4</x:v>
      </x:c>
      <x:c r="B1845" s="4" t="str">
        <x:v>RS-00938</x:v>
      </x:c>
      <x:c r="C1845" s="9" t="n">
        <x:v>4</x:v>
      </x:c>
      <x:c r="D1845" s="8" t="n">
        <x:v>45426</x:v>
      </x:c>
      <x:c r="E1845" s="9" t="n">
        <x:v>3772000</x:v>
      </x:c>
      <x:c r="F1845" s="9" t="n">
        <x:v>0</x:v>
      </x:c>
    </x:row>
    <x:row r="1846" ht="34" customHeight="1">
      <x:c r="A1846" s="4" t="str">
        <x:v>RS-00940-I1</x:v>
      </x:c>
      <x:c r="B1846" s="4" t="str">
        <x:v>RS-00940</x:v>
      </x:c>
      <x:c r="C1846" s="9" t="n">
        <x:v>1</x:v>
      </x:c>
      <x:c r="D1846" s="8" t="n">
        <x:v>45338</x:v>
      </x:c>
      <x:c r="E1846" s="9" t="n">
        <x:v>1237500</x:v>
      </x:c>
      <x:c r="F1846" s="9" t="n">
        <x:v>1237500</x:v>
      </x:c>
    </x:row>
    <x:row r="1847" ht="34" customHeight="1">
      <x:c r="A1847" s="4" t="str">
        <x:v>RS-00940-I2</x:v>
      </x:c>
      <x:c r="B1847" s="4" t="str">
        <x:v>RS-00940</x:v>
      </x:c>
      <x:c r="C1847" s="9" t="n">
        <x:v>2</x:v>
      </x:c>
      <x:c r="D1847" s="8" t="n">
        <x:v>45368</x:v>
      </x:c>
      <x:c r="E1847" s="9" t="n">
        <x:v>1237500</x:v>
      </x:c>
      <x:c r="F1847" s="9" t="n">
        <x:v>1237500</x:v>
      </x:c>
    </x:row>
    <x:row r="1848" ht="34" customHeight="1">
      <x:c r="A1848" s="4" t="str">
        <x:v>RS-00940-I3</x:v>
      </x:c>
      <x:c r="B1848" s="4" t="str">
        <x:v>RS-00940</x:v>
      </x:c>
      <x:c r="C1848" s="9" t="n">
        <x:v>3</x:v>
      </x:c>
      <x:c r="D1848" s="8" t="n">
        <x:v>45398</x:v>
      </x:c>
      <x:c r="E1848" s="9" t="n">
        <x:v>1237500</x:v>
      </x:c>
      <x:c r="F1848" s="9" t="n">
        <x:v>1237500</x:v>
      </x:c>
    </x:row>
    <x:row r="1849" ht="34" customHeight="1">
      <x:c r="A1849" s="4" t="str">
        <x:v>RS-00940-I4</x:v>
      </x:c>
      <x:c r="B1849" s="4" t="str">
        <x:v>RS-00940</x:v>
      </x:c>
      <x:c r="C1849" s="9" t="n">
        <x:v>4</x:v>
      </x:c>
      <x:c r="D1849" s="8" t="n">
        <x:v>45428</x:v>
      </x:c>
      <x:c r="E1849" s="9" t="n">
        <x:v>1237500</x:v>
      </x:c>
      <x:c r="F1849" s="9" t="n">
        <x:v>1237500</x:v>
      </x:c>
    </x:row>
    <x:row r="1850" ht="34" customHeight="1">
      <x:c r="A1850" s="4" t="str">
        <x:v>RS-00941-I1</x:v>
      </x:c>
      <x:c r="B1850" s="4" t="str">
        <x:v>RS-00941</x:v>
      </x:c>
      <x:c r="C1850" s="9" t="n">
        <x:v>1</x:v>
      </x:c>
      <x:c r="D1850" s="8" t="n">
        <x:v>45339</x:v>
      </x:c>
      <x:c r="E1850" s="9" t="n">
        <x:v>2491000</x:v>
      </x:c>
      <x:c r="F1850" s="9" t="n">
        <x:v>2491000</x:v>
      </x:c>
    </x:row>
    <x:row r="1851" ht="34" customHeight="1">
      <x:c r="A1851" s="4" t="str">
        <x:v>RS-00941-I2</x:v>
      </x:c>
      <x:c r="B1851" s="4" t="str">
        <x:v>RS-00941</x:v>
      </x:c>
      <x:c r="C1851" s="9" t="n">
        <x:v>2</x:v>
      </x:c>
      <x:c r="D1851" s="8" t="n">
        <x:v>45369</x:v>
      </x:c>
      <x:c r="E1851" s="9" t="n">
        <x:v>2491000</x:v>
      </x:c>
      <x:c r="F1851" s="9" t="n">
        <x:v>0</x:v>
      </x:c>
    </x:row>
    <x:row r="1852" ht="34" customHeight="1">
      <x:c r="A1852" s="4" t="str">
        <x:v>RS-00941-I3</x:v>
      </x:c>
      <x:c r="B1852" s="4" t="str">
        <x:v>RS-00941</x:v>
      </x:c>
      <x:c r="C1852" s="9" t="n">
        <x:v>3</x:v>
      </x:c>
      <x:c r="D1852" s="8" t="n">
        <x:v>45399</x:v>
      </x:c>
      <x:c r="E1852" s="9" t="n">
        <x:v>2491000</x:v>
      </x:c>
      <x:c r="F1852" s="9" t="n">
        <x:v>0</x:v>
      </x:c>
    </x:row>
    <x:row r="1853" ht="34" customHeight="1">
      <x:c r="A1853" s="4" t="str">
        <x:v>RS-00941-I4</x:v>
      </x:c>
      <x:c r="B1853" s="4" t="str">
        <x:v>RS-00941</x:v>
      </x:c>
      <x:c r="C1853" s="9" t="n">
        <x:v>4</x:v>
      </x:c>
      <x:c r="D1853" s="8" t="n">
        <x:v>45429</x:v>
      </x:c>
      <x:c r="E1853" s="9" t="n">
        <x:v>2491000</x:v>
      </x:c>
      <x:c r="F1853" s="9" t="n">
        <x:v>0</x:v>
      </x:c>
    </x:row>
    <x:row r="1854" ht="34" customHeight="1">
      <x:c r="A1854" s="4" t="str">
        <x:v>RS-00942-I1</x:v>
      </x:c>
      <x:c r="B1854" s="4" t="str">
        <x:v>RS-00942</x:v>
      </x:c>
      <x:c r="C1854" s="9" t="n">
        <x:v>1</x:v>
      </x:c>
      <x:c r="D1854" s="8" t="n">
        <x:v>45340</x:v>
      </x:c>
      <x:c r="E1854" s="9" t="n">
        <x:v>2647750</x:v>
      </x:c>
      <x:c r="F1854" s="9" t="n">
        <x:v>2647750</x:v>
      </x:c>
    </x:row>
    <x:row r="1855" ht="34" customHeight="1">
      <x:c r="A1855" s="4" t="str">
        <x:v>RS-00942-I2</x:v>
      </x:c>
      <x:c r="B1855" s="4" t="str">
        <x:v>RS-00942</x:v>
      </x:c>
      <x:c r="C1855" s="9" t="n">
        <x:v>2</x:v>
      </x:c>
      <x:c r="D1855" s="8" t="n">
        <x:v>45370</x:v>
      </x:c>
      <x:c r="E1855" s="9" t="n">
        <x:v>2647750</x:v>
      </x:c>
      <x:c r="F1855" s="9" t="n">
        <x:v>2647750</x:v>
      </x:c>
    </x:row>
    <x:row r="1856" ht="34" customHeight="1">
      <x:c r="A1856" s="4" t="str">
        <x:v>RS-00942-I3</x:v>
      </x:c>
      <x:c r="B1856" s="4" t="str">
        <x:v>RS-00942</x:v>
      </x:c>
      <x:c r="C1856" s="9" t="n">
        <x:v>3</x:v>
      </x:c>
      <x:c r="D1856" s="8" t="n">
        <x:v>45400</x:v>
      </x:c>
      <x:c r="E1856" s="9" t="n">
        <x:v>2647750</x:v>
      </x:c>
      <x:c r="F1856" s="9" t="n">
        <x:v>2647750</x:v>
      </x:c>
    </x:row>
    <x:row r="1857" ht="34" customHeight="1">
      <x:c r="A1857" s="4" t="str">
        <x:v>RS-00942-I4</x:v>
      </x:c>
      <x:c r="B1857" s="4" t="str">
        <x:v>RS-00942</x:v>
      </x:c>
      <x:c r="C1857" s="9" t="n">
        <x:v>4</x:v>
      </x:c>
      <x:c r="D1857" s="8" t="n">
        <x:v>45430</x:v>
      </x:c>
      <x:c r="E1857" s="9" t="n">
        <x:v>2647750</x:v>
      </x:c>
      <x:c r="F1857" s="9" t="n">
        <x:v>2647750</x:v>
      </x:c>
    </x:row>
    <x:row r="1858" ht="34" customHeight="1">
      <x:c r="A1858" s="4" t="str">
        <x:v>RS-00945-I1</x:v>
      </x:c>
      <x:c r="B1858" s="4" t="str">
        <x:v>RS-00945</x:v>
      </x:c>
      <x:c r="C1858" s="9" t="n">
        <x:v>1</x:v>
      </x:c>
      <x:c r="D1858" s="8" t="n">
        <x:v>45343</x:v>
      </x:c>
      <x:c r="E1858" s="9" t="n">
        <x:v>5050000</x:v>
      </x:c>
      <x:c r="F1858" s="9" t="n">
        <x:v>5050000</x:v>
      </x:c>
    </x:row>
    <x:row r="1859" ht="34" customHeight="1">
      <x:c r="A1859" s="4" t="str">
        <x:v>RS-00945-I2</x:v>
      </x:c>
      <x:c r="B1859" s="4" t="str">
        <x:v>RS-00945</x:v>
      </x:c>
      <x:c r="C1859" s="9" t="n">
        <x:v>2</x:v>
      </x:c>
      <x:c r="D1859" s="8" t="n">
        <x:v>45373</x:v>
      </x:c>
      <x:c r="E1859" s="9" t="n">
        <x:v>5050000</x:v>
      </x:c>
      <x:c r="F1859" s="9" t="n">
        <x:v>5050000</x:v>
      </x:c>
    </x:row>
    <x:row r="1860" ht="34" customHeight="1">
      <x:c r="A1860" s="4" t="str">
        <x:v>RS-00945-I3</x:v>
      </x:c>
      <x:c r="B1860" s="4" t="str">
        <x:v>RS-00945</x:v>
      </x:c>
      <x:c r="C1860" s="9" t="n">
        <x:v>3</x:v>
      </x:c>
      <x:c r="D1860" s="8" t="n">
        <x:v>45403</x:v>
      </x:c>
      <x:c r="E1860" s="9" t="n">
        <x:v>5050000</x:v>
      </x:c>
      <x:c r="F1860" s="9" t="n">
        <x:v>5050000</x:v>
      </x:c>
    </x:row>
    <x:row r="1861" ht="34" customHeight="1">
      <x:c r="A1861" s="4" t="str">
        <x:v>RS-00945-I4</x:v>
      </x:c>
      <x:c r="B1861" s="4" t="str">
        <x:v>RS-00945</x:v>
      </x:c>
      <x:c r="C1861" s="9" t="n">
        <x:v>4</x:v>
      </x:c>
      <x:c r="D1861" s="8" t="n">
        <x:v>45433</x:v>
      </x:c>
      <x:c r="E1861" s="9" t="n">
        <x:v>5050000</x:v>
      </x:c>
      <x:c r="F1861" s="9" t="n">
        <x:v>5050000</x:v>
      </x:c>
    </x:row>
    <x:row r="1862" ht="34" customHeight="1">
      <x:c r="A1862" s="4" t="str">
        <x:v>RS-00946-I1</x:v>
      </x:c>
      <x:c r="B1862" s="4" t="str">
        <x:v>RS-00946</x:v>
      </x:c>
      <x:c r="C1862" s="9" t="n">
        <x:v>1</x:v>
      </x:c>
      <x:c r="D1862" s="8" t="n">
        <x:v>45344</x:v>
      </x:c>
      <x:c r="E1862" s="9" t="n">
        <x:v>978250</x:v>
      </x:c>
      <x:c r="F1862" s="9" t="n">
        <x:v>978250</x:v>
      </x:c>
    </x:row>
    <x:row r="1863" ht="34" customHeight="1">
      <x:c r="A1863" s="4" t="str">
        <x:v>RS-00946-I2</x:v>
      </x:c>
      <x:c r="B1863" s="4" t="str">
        <x:v>RS-00946</x:v>
      </x:c>
      <x:c r="C1863" s="9" t="n">
        <x:v>2</x:v>
      </x:c>
      <x:c r="D1863" s="8" t="n">
        <x:v>45374</x:v>
      </x:c>
      <x:c r="E1863" s="9" t="n">
        <x:v>978250</x:v>
      </x:c>
      <x:c r="F1863" s="9" t="n">
        <x:v>0</x:v>
      </x:c>
    </x:row>
    <x:row r="1864" ht="34" customHeight="1">
      <x:c r="A1864" s="4" t="str">
        <x:v>RS-00946-I3</x:v>
      </x:c>
      <x:c r="B1864" s="4" t="str">
        <x:v>RS-00946</x:v>
      </x:c>
      <x:c r="C1864" s="9" t="n">
        <x:v>3</x:v>
      </x:c>
      <x:c r="D1864" s="8" t="n">
        <x:v>45404</x:v>
      </x:c>
      <x:c r="E1864" s="9" t="n">
        <x:v>978250</x:v>
      </x:c>
      <x:c r="F1864" s="9" t="n">
        <x:v>0</x:v>
      </x:c>
    </x:row>
    <x:row r="1865" ht="34" customHeight="1">
      <x:c r="A1865" s="4" t="str">
        <x:v>RS-00946-I4</x:v>
      </x:c>
      <x:c r="B1865" s="4" t="str">
        <x:v>RS-00946</x:v>
      </x:c>
      <x:c r="C1865" s="9" t="n">
        <x:v>4</x:v>
      </x:c>
      <x:c r="D1865" s="8" t="n">
        <x:v>45434</x:v>
      </x:c>
      <x:c r="E1865" s="9" t="n">
        <x:v>978250</x:v>
      </x:c>
      <x:c r="F1865" s="9" t="n">
        <x:v>0</x:v>
      </x:c>
    </x:row>
    <x:row r="1866" ht="34" customHeight="1">
      <x:c r="A1866" s="4" t="str">
        <x:v>RS-00950-I1</x:v>
      </x:c>
      <x:c r="B1866" s="4" t="str">
        <x:v>RS-00950</x:v>
      </x:c>
      <x:c r="C1866" s="9" t="n">
        <x:v>1</x:v>
      </x:c>
      <x:c r="D1866" s="8" t="n">
        <x:v>45348</x:v>
      </x:c>
      <x:c r="E1866" s="9" t="n">
        <x:v>980000</x:v>
      </x:c>
      <x:c r="F1866" s="9" t="n">
        <x:v>980000</x:v>
      </x:c>
    </x:row>
    <x:row r="1867" ht="34" customHeight="1">
      <x:c r="A1867" s="4" t="str">
        <x:v>RS-00950-I2</x:v>
      </x:c>
      <x:c r="B1867" s="4" t="str">
        <x:v>RS-00950</x:v>
      </x:c>
      <x:c r="C1867" s="9" t="n">
        <x:v>2</x:v>
      </x:c>
      <x:c r="D1867" s="8" t="n">
        <x:v>45378</x:v>
      </x:c>
      <x:c r="E1867" s="9" t="n">
        <x:v>980000</x:v>
      </x:c>
      <x:c r="F1867" s="9" t="n">
        <x:v>980000</x:v>
      </x:c>
    </x:row>
    <x:row r="1868" ht="34" customHeight="1">
      <x:c r="A1868" s="4" t="str">
        <x:v>RS-00950-I3</x:v>
      </x:c>
      <x:c r="B1868" s="4" t="str">
        <x:v>RS-00950</x:v>
      </x:c>
      <x:c r="C1868" s="9" t="n">
        <x:v>3</x:v>
      </x:c>
      <x:c r="D1868" s="8" t="n">
        <x:v>45408</x:v>
      </x:c>
      <x:c r="E1868" s="9" t="n">
        <x:v>980000</x:v>
      </x:c>
      <x:c r="F1868" s="9" t="n">
        <x:v>980000</x:v>
      </x:c>
    </x:row>
    <x:row r="1869" ht="34" customHeight="1">
      <x:c r="A1869" s="4" t="str">
        <x:v>RS-00950-I4</x:v>
      </x:c>
      <x:c r="B1869" s="4" t="str">
        <x:v>RS-00950</x:v>
      </x:c>
      <x:c r="C1869" s="9" t="n">
        <x:v>4</x:v>
      </x:c>
      <x:c r="D1869" s="8" t="n">
        <x:v>45438</x:v>
      </x:c>
      <x:c r="E1869" s="9" t="n">
        <x:v>980000</x:v>
      </x:c>
      <x:c r="F1869" s="9" t="n">
        <x:v>980000</x:v>
      </x:c>
    </x:row>
    <x:row r="1870" ht="34" customHeight="1">
      <x:c r="A1870" s="4" t="str">
        <x:v>RS-00951-I1</x:v>
      </x:c>
      <x:c r="B1870" s="4" t="str">
        <x:v>RS-00951</x:v>
      </x:c>
      <x:c r="C1870" s="9" t="n">
        <x:v>1</x:v>
      </x:c>
      <x:c r="D1870" s="8" t="n">
        <x:v>45349</x:v>
      </x:c>
      <x:c r="E1870" s="9" t="n">
        <x:v>4730000</x:v>
      </x:c>
      <x:c r="F1870" s="9" t="n">
        <x:v>4730000</x:v>
      </x:c>
    </x:row>
    <x:row r="1871" ht="34" customHeight="1">
      <x:c r="A1871" s="4" t="str">
        <x:v>RS-00951-I2</x:v>
      </x:c>
      <x:c r="B1871" s="4" t="str">
        <x:v>RS-00951</x:v>
      </x:c>
      <x:c r="C1871" s="9" t="n">
        <x:v>2</x:v>
      </x:c>
      <x:c r="D1871" s="8" t="n">
        <x:v>45379</x:v>
      </x:c>
      <x:c r="E1871" s="9" t="n">
        <x:v>4730000</x:v>
      </x:c>
      <x:c r="F1871" s="9" t="n">
        <x:v>0</x:v>
      </x:c>
    </x:row>
    <x:row r="1872" ht="34" customHeight="1">
      <x:c r="A1872" s="4" t="str">
        <x:v>RS-00951-I3</x:v>
      </x:c>
      <x:c r="B1872" s="4" t="str">
        <x:v>RS-00951</x:v>
      </x:c>
      <x:c r="C1872" s="9" t="n">
        <x:v>3</x:v>
      </x:c>
      <x:c r="D1872" s="8" t="n">
        <x:v>45409</x:v>
      </x:c>
      <x:c r="E1872" s="9" t="n">
        <x:v>4730000</x:v>
      </x:c>
      <x:c r="F1872" s="9" t="n">
        <x:v>0</x:v>
      </x:c>
    </x:row>
    <x:row r="1873" ht="34" customHeight="1">
      <x:c r="A1873" s="4" t="str">
        <x:v>RS-00951-I4</x:v>
      </x:c>
      <x:c r="B1873" s="4" t="str">
        <x:v>RS-00951</x:v>
      </x:c>
      <x:c r="C1873" s="9" t="n">
        <x:v>4</x:v>
      </x:c>
      <x:c r="D1873" s="8" t="n">
        <x:v>45439</x:v>
      </x:c>
      <x:c r="E1873" s="9" t="n">
        <x:v>4730000</x:v>
      </x:c>
      <x:c r="F1873" s="9" t="n">
        <x:v>0</x:v>
      </x:c>
    </x:row>
    <x:row r="1874" ht="34" customHeight="1">
      <x:c r="A1874" s="4" t="str">
        <x:v>RS-00955-I1</x:v>
      </x:c>
      <x:c r="B1874" s="4" t="str">
        <x:v>RS-00955</x:v>
      </x:c>
      <x:c r="C1874" s="9" t="n">
        <x:v>1</x:v>
      </x:c>
      <x:c r="D1874" s="8" t="n">
        <x:v>45325</x:v>
      </x:c>
      <x:c r="E1874" s="9" t="n">
        <x:v>4704500</x:v>
      </x:c>
      <x:c r="F1874" s="9" t="n">
        <x:v>4704500</x:v>
      </x:c>
    </x:row>
    <x:row r="1875" ht="34" customHeight="1">
      <x:c r="A1875" s="4" t="str">
        <x:v>RS-00955-I2</x:v>
      </x:c>
      <x:c r="B1875" s="4" t="str">
        <x:v>RS-00955</x:v>
      </x:c>
      <x:c r="C1875" s="9" t="n">
        <x:v>2</x:v>
      </x:c>
      <x:c r="D1875" s="8" t="n">
        <x:v>45355</x:v>
      </x:c>
      <x:c r="E1875" s="9" t="n">
        <x:v>4704500</x:v>
      </x:c>
      <x:c r="F1875" s="9" t="n">
        <x:v>4704500</x:v>
      </x:c>
    </x:row>
    <x:row r="1876" ht="34" customHeight="1">
      <x:c r="A1876" s="4" t="str">
        <x:v>RS-00955-I3</x:v>
      </x:c>
      <x:c r="B1876" s="4" t="str">
        <x:v>RS-00955</x:v>
      </x:c>
      <x:c r="C1876" s="9" t="n">
        <x:v>3</x:v>
      </x:c>
      <x:c r="D1876" s="8" t="n">
        <x:v>45385</x:v>
      </x:c>
      <x:c r="E1876" s="9" t="n">
        <x:v>4704500</x:v>
      </x:c>
      <x:c r="F1876" s="9" t="n">
        <x:v>0</x:v>
      </x:c>
    </x:row>
    <x:row r="1877" ht="34" customHeight="1">
      <x:c r="A1877" s="4" t="str">
        <x:v>RS-00955-I4</x:v>
      </x:c>
      <x:c r="B1877" s="4" t="str">
        <x:v>RS-00955</x:v>
      </x:c>
      <x:c r="C1877" s="9" t="n">
        <x:v>4</x:v>
      </x:c>
      <x:c r="D1877" s="8" t="n">
        <x:v>45415</x:v>
      </x:c>
      <x:c r="E1877" s="9" t="n">
        <x:v>4704500</x:v>
      </x:c>
      <x:c r="F1877" s="9" t="n">
        <x:v>0</x:v>
      </x:c>
    </x:row>
    <x:row r="1878" ht="34" customHeight="1">
      <x:c r="A1878" s="4" t="str">
        <x:v>RS-00956-I1</x:v>
      </x:c>
      <x:c r="B1878" s="4" t="str">
        <x:v>RS-00956</x:v>
      </x:c>
      <x:c r="C1878" s="9" t="n">
        <x:v>1</x:v>
      </x:c>
      <x:c r="D1878" s="8" t="n">
        <x:v>45326</x:v>
      </x:c>
      <x:c r="E1878" s="9" t="n">
        <x:v>3019500</x:v>
      </x:c>
      <x:c r="F1878" s="9" t="n">
        <x:v>3019500</x:v>
      </x:c>
    </x:row>
    <x:row r="1879" ht="34" customHeight="1">
      <x:c r="A1879" s="4" t="str">
        <x:v>RS-00956-I2</x:v>
      </x:c>
      <x:c r="B1879" s="4" t="str">
        <x:v>RS-00956</x:v>
      </x:c>
      <x:c r="C1879" s="9" t="n">
        <x:v>2</x:v>
      </x:c>
      <x:c r="D1879" s="8" t="n">
        <x:v>45356</x:v>
      </x:c>
      <x:c r="E1879" s="9" t="n">
        <x:v>3019500</x:v>
      </x:c>
      <x:c r="F1879" s="9" t="n">
        <x:v>3019500</x:v>
      </x:c>
    </x:row>
    <x:row r="1880" ht="34" customHeight="1">
      <x:c r="A1880" s="4" t="str">
        <x:v>RS-00956-I3</x:v>
      </x:c>
      <x:c r="B1880" s="4" t="str">
        <x:v>RS-00956</x:v>
      </x:c>
      <x:c r="C1880" s="9" t="n">
        <x:v>3</x:v>
      </x:c>
      <x:c r="D1880" s="8" t="n">
        <x:v>45386</x:v>
      </x:c>
      <x:c r="E1880" s="9" t="n">
        <x:v>3019500</x:v>
      </x:c>
      <x:c r="F1880" s="9" t="n">
        <x:v>3019500</x:v>
      </x:c>
    </x:row>
    <x:row r="1881" ht="34" customHeight="1">
      <x:c r="A1881" s="4" t="str">
        <x:v>RS-00956-I4</x:v>
      </x:c>
      <x:c r="B1881" s="4" t="str">
        <x:v>RS-00956</x:v>
      </x:c>
      <x:c r="C1881" s="9" t="n">
        <x:v>4</x:v>
      </x:c>
      <x:c r="D1881" s="8" t="n">
        <x:v>45416</x:v>
      </x:c>
      <x:c r="E1881" s="9" t="n">
        <x:v>3019500</x:v>
      </x:c>
      <x:c r="F1881" s="9" t="n">
        <x:v>3019500</x:v>
      </x:c>
    </x:row>
    <x:row r="1882" ht="34" customHeight="1">
      <x:c r="A1882" s="4" t="str">
        <x:v>RS-00959-I1</x:v>
      </x:c>
      <x:c r="B1882" s="4" t="str">
        <x:v>RS-00959</x:v>
      </x:c>
      <x:c r="C1882" s="9" t="n">
        <x:v>1</x:v>
      </x:c>
      <x:c r="D1882" s="8" t="n">
        <x:v>45329</x:v>
      </x:c>
      <x:c r="E1882" s="9" t="n">
        <x:v>4268000</x:v>
      </x:c>
      <x:c r="F1882" s="9" t="n">
        <x:v>1707200</x:v>
      </x:c>
    </x:row>
    <x:row r="1883" ht="34" customHeight="1">
      <x:c r="A1883" s="4" t="str">
        <x:v>RS-00959-I2</x:v>
      </x:c>
      <x:c r="B1883" s="4" t="str">
        <x:v>RS-00959</x:v>
      </x:c>
      <x:c r="C1883" s="9" t="n">
        <x:v>2</x:v>
      </x:c>
      <x:c r="D1883" s="8" t="n">
        <x:v>45359</x:v>
      </x:c>
      <x:c r="E1883" s="9" t="n">
        <x:v>4268000</x:v>
      </x:c>
      <x:c r="F1883" s="9" t="n">
        <x:v>0</x:v>
      </x:c>
    </x:row>
    <x:row r="1884" ht="34" customHeight="1">
      <x:c r="A1884" s="4" t="str">
        <x:v>RS-00959-I3</x:v>
      </x:c>
      <x:c r="B1884" s="4" t="str">
        <x:v>RS-00959</x:v>
      </x:c>
      <x:c r="C1884" s="9" t="n">
        <x:v>3</x:v>
      </x:c>
      <x:c r="D1884" s="8" t="n">
        <x:v>45389</x:v>
      </x:c>
      <x:c r="E1884" s="9" t="n">
        <x:v>4268000</x:v>
      </x:c>
      <x:c r="F1884" s="9" t="n">
        <x:v>0</x:v>
      </x:c>
    </x:row>
    <x:row r="1885" ht="34" customHeight="1">
      <x:c r="A1885" s="4" t="str">
        <x:v>RS-00959-I4</x:v>
      </x:c>
      <x:c r="B1885" s="4" t="str">
        <x:v>RS-00959</x:v>
      </x:c>
      <x:c r="C1885" s="9" t="n">
        <x:v>4</x:v>
      </x:c>
      <x:c r="D1885" s="8" t="n">
        <x:v>45419</x:v>
      </x:c>
      <x:c r="E1885" s="9" t="n">
        <x:v>4268000</x:v>
      </x:c>
      <x:c r="F1885" s="9" t="n">
        <x:v>0</x:v>
      </x:c>
    </x:row>
    <x:row r="1886" ht="34" customHeight="1">
      <x:c r="A1886" s="4" t="str">
        <x:v>RS-00962-I1</x:v>
      </x:c>
      <x:c r="B1886" s="4" t="str">
        <x:v>RS-00962</x:v>
      </x:c>
      <x:c r="C1886" s="9" t="n">
        <x:v>1</x:v>
      </x:c>
      <x:c r="D1886" s="8" t="n">
        <x:v>45332</x:v>
      </x:c>
      <x:c r="E1886" s="9" t="n">
        <x:v>5667750</x:v>
      </x:c>
      <x:c r="F1886" s="9" t="n">
        <x:v>2267100</x:v>
      </x:c>
    </x:row>
    <x:row r="1887" ht="34" customHeight="1">
      <x:c r="A1887" s="4" t="str">
        <x:v>RS-00962-I2</x:v>
      </x:c>
      <x:c r="B1887" s="4" t="str">
        <x:v>RS-00962</x:v>
      </x:c>
      <x:c r="C1887" s="9" t="n">
        <x:v>2</x:v>
      </x:c>
      <x:c r="D1887" s="8" t="n">
        <x:v>45362</x:v>
      </x:c>
      <x:c r="E1887" s="9" t="n">
        <x:v>5667750</x:v>
      </x:c>
      <x:c r="F1887" s="9" t="n">
        <x:v>0</x:v>
      </x:c>
    </x:row>
    <x:row r="1888" ht="34" customHeight="1">
      <x:c r="A1888" s="4" t="str">
        <x:v>RS-00962-I3</x:v>
      </x:c>
      <x:c r="B1888" s="4" t="str">
        <x:v>RS-00962</x:v>
      </x:c>
      <x:c r="C1888" s="9" t="n">
        <x:v>3</x:v>
      </x:c>
      <x:c r="D1888" s="8" t="n">
        <x:v>45392</x:v>
      </x:c>
      <x:c r="E1888" s="9" t="n">
        <x:v>5667750</x:v>
      </x:c>
      <x:c r="F1888" s="9" t="n">
        <x:v>0</x:v>
      </x:c>
    </x:row>
    <x:row r="1889" ht="34" customHeight="1">
      <x:c r="A1889" s="4" t="str">
        <x:v>RS-00962-I4</x:v>
      </x:c>
      <x:c r="B1889" s="4" t="str">
        <x:v>RS-00962</x:v>
      </x:c>
      <x:c r="C1889" s="9" t="n">
        <x:v>4</x:v>
      </x:c>
      <x:c r="D1889" s="8" t="n">
        <x:v>45422</x:v>
      </x:c>
      <x:c r="E1889" s="9" t="n">
        <x:v>5667750</x:v>
      </x:c>
      <x:c r="F1889" s="9" t="n">
        <x:v>0</x:v>
      </x:c>
    </x:row>
    <x:row r="1890" ht="34" customHeight="1">
      <x:c r="A1890" s="4" t="str">
        <x:v>RS-00963-I1</x:v>
      </x:c>
      <x:c r="B1890" s="4" t="str">
        <x:v>RS-00963</x:v>
      </x:c>
      <x:c r="C1890" s="9" t="n">
        <x:v>1</x:v>
      </x:c>
      <x:c r="D1890" s="8" t="n">
        <x:v>45333</x:v>
      </x:c>
      <x:c r="E1890" s="9" t="n">
        <x:v>5236000</x:v>
      </x:c>
      <x:c r="F1890" s="9" t="n">
        <x:v>5236000</x:v>
      </x:c>
    </x:row>
    <x:row r="1891" ht="34" customHeight="1">
      <x:c r="A1891" s="4" t="str">
        <x:v>RS-00963-I2</x:v>
      </x:c>
      <x:c r="B1891" s="4" t="str">
        <x:v>RS-00963</x:v>
      </x:c>
      <x:c r="C1891" s="9" t="n">
        <x:v>2</x:v>
      </x:c>
      <x:c r="D1891" s="8" t="n">
        <x:v>45363</x:v>
      </x:c>
      <x:c r="E1891" s="9" t="n">
        <x:v>5236000</x:v>
      </x:c>
      <x:c r="F1891" s="9" t="n">
        <x:v>5236000</x:v>
      </x:c>
    </x:row>
    <x:row r="1892" ht="34" customHeight="1">
      <x:c r="A1892" s="4" t="str">
        <x:v>RS-00963-I3</x:v>
      </x:c>
      <x:c r="B1892" s="4" t="str">
        <x:v>RS-00963</x:v>
      </x:c>
      <x:c r="C1892" s="9" t="n">
        <x:v>3</x:v>
      </x:c>
      <x:c r="D1892" s="8" t="n">
        <x:v>45393</x:v>
      </x:c>
      <x:c r="E1892" s="9" t="n">
        <x:v>5236000</x:v>
      </x:c>
      <x:c r="F1892" s="9" t="n">
        <x:v>0</x:v>
      </x:c>
    </x:row>
    <x:row r="1893" ht="34" customHeight="1">
      <x:c r="A1893" s="4" t="str">
        <x:v>RS-00963-I4</x:v>
      </x:c>
      <x:c r="B1893" s="4" t="str">
        <x:v>RS-00963</x:v>
      </x:c>
      <x:c r="C1893" s="9" t="n">
        <x:v>4</x:v>
      </x:c>
      <x:c r="D1893" s="8" t="n">
        <x:v>45423</x:v>
      </x:c>
      <x:c r="E1893" s="9" t="n">
        <x:v>5236000</x:v>
      </x:c>
      <x:c r="F1893" s="9" t="n">
        <x:v>0</x:v>
      </x:c>
    </x:row>
    <x:row r="1894" ht="34" customHeight="1">
      <x:c r="A1894" s="4" t="str">
        <x:v>RS-00964-I1</x:v>
      </x:c>
      <x:c r="B1894" s="4" t="str">
        <x:v>RS-00964</x:v>
      </x:c>
      <x:c r="C1894" s="9" t="n">
        <x:v>1</x:v>
      </x:c>
      <x:c r="D1894" s="8" t="n">
        <x:v>45334</x:v>
      </x:c>
      <x:c r="E1894" s="9" t="n">
        <x:v>1246000</x:v>
      </x:c>
      <x:c r="F1894" s="9" t="n">
        <x:v>1246000</x:v>
      </x:c>
    </x:row>
    <x:row r="1895" ht="34" customHeight="1">
      <x:c r="A1895" s="4" t="str">
        <x:v>RS-00964-I2</x:v>
      </x:c>
      <x:c r="B1895" s="4" t="str">
        <x:v>RS-00964</x:v>
      </x:c>
      <x:c r="C1895" s="9" t="n">
        <x:v>2</x:v>
      </x:c>
      <x:c r="D1895" s="8" t="n">
        <x:v>45364</x:v>
      </x:c>
      <x:c r="E1895" s="9" t="n">
        <x:v>1246000</x:v>
      </x:c>
      <x:c r="F1895" s="9" t="n">
        <x:v>1246000</x:v>
      </x:c>
    </x:row>
    <x:row r="1896" ht="34" customHeight="1">
      <x:c r="A1896" s="4" t="str">
        <x:v>RS-00964-I3</x:v>
      </x:c>
      <x:c r="B1896" s="4" t="str">
        <x:v>RS-00964</x:v>
      </x:c>
      <x:c r="C1896" s="9" t="n">
        <x:v>3</x:v>
      </x:c>
      <x:c r="D1896" s="8" t="n">
        <x:v>45394</x:v>
      </x:c>
      <x:c r="E1896" s="9" t="n">
        <x:v>1246000</x:v>
      </x:c>
      <x:c r="F1896" s="9" t="n">
        <x:v>1246000</x:v>
      </x:c>
    </x:row>
    <x:row r="1897" ht="34" customHeight="1">
      <x:c r="A1897" s="4" t="str">
        <x:v>RS-00964-I4</x:v>
      </x:c>
      <x:c r="B1897" s="4" t="str">
        <x:v>RS-00964</x:v>
      </x:c>
      <x:c r="C1897" s="9" t="n">
        <x:v>4</x:v>
      </x:c>
      <x:c r="D1897" s="8" t="n">
        <x:v>45424</x:v>
      </x:c>
      <x:c r="E1897" s="9" t="n">
        <x:v>1246000</x:v>
      </x:c>
      <x:c r="F1897" s="9" t="n">
        <x:v>1246000</x:v>
      </x:c>
    </x:row>
    <x:row r="1898" ht="34" customHeight="1">
      <x:c r="A1898" s="4" t="str">
        <x:v>RS-00965-I1</x:v>
      </x:c>
      <x:c r="B1898" s="4" t="str">
        <x:v>RS-00965</x:v>
      </x:c>
      <x:c r="C1898" s="9" t="n">
        <x:v>1</x:v>
      </x:c>
      <x:c r="D1898" s="8" t="n">
        <x:v>45335</x:v>
      </x:c>
      <x:c r="E1898" s="9" t="n">
        <x:v>6162750</x:v>
      </x:c>
      <x:c r="F1898" s="9" t="n">
        <x:v>6162750</x:v>
      </x:c>
    </x:row>
    <x:row r="1899" ht="34" customHeight="1">
      <x:c r="A1899" s="4" t="str">
        <x:v>RS-00965-I2</x:v>
      </x:c>
      <x:c r="B1899" s="4" t="str">
        <x:v>RS-00965</x:v>
      </x:c>
      <x:c r="C1899" s="9" t="n">
        <x:v>2</x:v>
      </x:c>
      <x:c r="D1899" s="8" t="n">
        <x:v>45365</x:v>
      </x:c>
      <x:c r="E1899" s="9" t="n">
        <x:v>6162750</x:v>
      </x:c>
      <x:c r="F1899" s="9" t="n">
        <x:v>6162750</x:v>
      </x:c>
    </x:row>
    <x:row r="1900" ht="34" customHeight="1">
      <x:c r="A1900" s="4" t="str">
        <x:v>RS-00965-I3</x:v>
      </x:c>
      <x:c r="B1900" s="4" t="str">
        <x:v>RS-00965</x:v>
      </x:c>
      <x:c r="C1900" s="9" t="n">
        <x:v>3</x:v>
      </x:c>
      <x:c r="D1900" s="8" t="n">
        <x:v>45395</x:v>
      </x:c>
      <x:c r="E1900" s="9" t="n">
        <x:v>6162750</x:v>
      </x:c>
      <x:c r="F1900" s="9" t="n">
        <x:v>6162750</x:v>
      </x:c>
    </x:row>
    <x:row r="1901" ht="34" customHeight="1">
      <x:c r="A1901" s="4" t="str">
        <x:v>RS-00965-I4</x:v>
      </x:c>
      <x:c r="B1901" s="4" t="str">
        <x:v>RS-00965</x:v>
      </x:c>
      <x:c r="C1901" s="9" t="n">
        <x:v>4</x:v>
      </x:c>
      <x:c r="D1901" s="8" t="n">
        <x:v>45425</x:v>
      </x:c>
      <x:c r="E1901" s="9" t="n">
        <x:v>6162750</x:v>
      </x:c>
      <x:c r="F1901" s="9" t="n">
        <x:v>6162750</x:v>
      </x:c>
    </x:row>
    <x:row r="1902" ht="34" customHeight="1">
      <x:c r="A1902" s="4" t="str">
        <x:v>RS-00966-I1</x:v>
      </x:c>
      <x:c r="B1902" s="4" t="str">
        <x:v>RS-00966</x:v>
      </x:c>
      <x:c r="C1902" s="9" t="n">
        <x:v>1</x:v>
      </x:c>
      <x:c r="D1902" s="8" t="n">
        <x:v>45336</x:v>
      </x:c>
      <x:c r="E1902" s="9" t="n">
        <x:v>2934250</x:v>
      </x:c>
      <x:c r="F1902" s="9" t="n">
        <x:v>2934250</x:v>
      </x:c>
    </x:row>
    <x:row r="1903" ht="34" customHeight="1">
      <x:c r="A1903" s="4" t="str">
        <x:v>RS-00966-I2</x:v>
      </x:c>
      <x:c r="B1903" s="4" t="str">
        <x:v>RS-00966</x:v>
      </x:c>
      <x:c r="C1903" s="9" t="n">
        <x:v>2</x:v>
      </x:c>
      <x:c r="D1903" s="8" t="n">
        <x:v>45366</x:v>
      </x:c>
      <x:c r="E1903" s="9" t="n">
        <x:v>2934250</x:v>
      </x:c>
      <x:c r="F1903" s="9" t="n">
        <x:v>2934250</x:v>
      </x:c>
    </x:row>
    <x:row r="1904" ht="34" customHeight="1">
      <x:c r="A1904" s="4" t="str">
        <x:v>RS-00966-I3</x:v>
      </x:c>
      <x:c r="B1904" s="4" t="str">
        <x:v>RS-00966</x:v>
      </x:c>
      <x:c r="C1904" s="9" t="n">
        <x:v>3</x:v>
      </x:c>
      <x:c r="D1904" s="8" t="n">
        <x:v>45396</x:v>
      </x:c>
      <x:c r="E1904" s="9" t="n">
        <x:v>2934250</x:v>
      </x:c>
      <x:c r="F1904" s="9" t="n">
        <x:v>0</x:v>
      </x:c>
    </x:row>
    <x:row r="1905" ht="34" customHeight="1">
      <x:c r="A1905" s="4" t="str">
        <x:v>RS-00966-I4</x:v>
      </x:c>
      <x:c r="B1905" s="4" t="str">
        <x:v>RS-00966</x:v>
      </x:c>
      <x:c r="C1905" s="9" t="n">
        <x:v>4</x:v>
      </x:c>
      <x:c r="D1905" s="8" t="n">
        <x:v>45426</x:v>
      </x:c>
      <x:c r="E1905" s="9" t="n">
        <x:v>2934250</x:v>
      </x:c>
      <x:c r="F1905" s="9" t="n">
        <x:v>0</x:v>
      </x:c>
    </x:row>
    <x:row r="1906" ht="34" customHeight="1">
      <x:c r="A1906" s="4" t="str">
        <x:v>RS-00968-I1</x:v>
      </x:c>
      <x:c r="B1906" s="4" t="str">
        <x:v>RS-00968</x:v>
      </x:c>
      <x:c r="C1906" s="9" t="n">
        <x:v>1</x:v>
      </x:c>
      <x:c r="D1906" s="8" t="n">
        <x:v>45338</x:v>
      </x:c>
      <x:c r="E1906" s="9" t="n">
        <x:v>5422500</x:v>
      </x:c>
      <x:c r="F1906" s="9" t="n">
        <x:v>5422500</x:v>
      </x:c>
    </x:row>
    <x:row r="1907" ht="34" customHeight="1">
      <x:c r="A1907" s="4" t="str">
        <x:v>RS-00968-I2</x:v>
      </x:c>
      <x:c r="B1907" s="4" t="str">
        <x:v>RS-00968</x:v>
      </x:c>
      <x:c r="C1907" s="9" t="n">
        <x:v>2</x:v>
      </x:c>
      <x:c r="D1907" s="8" t="n">
        <x:v>45368</x:v>
      </x:c>
      <x:c r="E1907" s="9" t="n">
        <x:v>5422500</x:v>
      </x:c>
      <x:c r="F1907" s="9" t="n">
        <x:v>5422500</x:v>
      </x:c>
    </x:row>
    <x:row r="1908" ht="34" customHeight="1">
      <x:c r="A1908" s="4" t="str">
        <x:v>RS-00968-I3</x:v>
      </x:c>
      <x:c r="B1908" s="4" t="str">
        <x:v>RS-00968</x:v>
      </x:c>
      <x:c r="C1908" s="9" t="n">
        <x:v>3</x:v>
      </x:c>
      <x:c r="D1908" s="8" t="n">
        <x:v>45398</x:v>
      </x:c>
      <x:c r="E1908" s="9" t="n">
        <x:v>5422500</x:v>
      </x:c>
      <x:c r="F1908" s="9" t="n">
        <x:v>0</x:v>
      </x:c>
    </x:row>
    <x:row r="1909" ht="34" customHeight="1">
      <x:c r="A1909" s="4" t="str">
        <x:v>RS-00968-I4</x:v>
      </x:c>
      <x:c r="B1909" s="4" t="str">
        <x:v>RS-00968</x:v>
      </x:c>
      <x:c r="C1909" s="9" t="n">
        <x:v>4</x:v>
      </x:c>
      <x:c r="D1909" s="8" t="n">
        <x:v>45428</x:v>
      </x:c>
      <x:c r="E1909" s="9" t="n">
        <x:v>5422500</x:v>
      </x:c>
      <x:c r="F1909" s="9" t="n">
        <x:v>0</x:v>
      </x:c>
    </x:row>
    <x:row r="1910" ht="34" customHeight="1">
      <x:c r="A1910" s="4" t="str">
        <x:v>RS-00969-I1</x:v>
      </x:c>
      <x:c r="B1910" s="4" t="str">
        <x:v>RS-00969</x:v>
      </x:c>
      <x:c r="C1910" s="9" t="n">
        <x:v>1</x:v>
      </x:c>
      <x:c r="D1910" s="8" t="n">
        <x:v>45339</x:v>
      </x:c>
      <x:c r="E1910" s="9" t="n">
        <x:v>4025500</x:v>
      </x:c>
      <x:c r="F1910" s="9" t="n">
        <x:v>1610200</x:v>
      </x:c>
    </x:row>
    <x:row r="1911" ht="34" customHeight="1">
      <x:c r="A1911" s="4" t="str">
        <x:v>RS-00969-I2</x:v>
      </x:c>
      <x:c r="B1911" s="4" t="str">
        <x:v>RS-00969</x:v>
      </x:c>
      <x:c r="C1911" s="9" t="n">
        <x:v>2</x:v>
      </x:c>
      <x:c r="D1911" s="8" t="n">
        <x:v>45369</x:v>
      </x:c>
      <x:c r="E1911" s="9" t="n">
        <x:v>4025500</x:v>
      </x:c>
      <x:c r="F1911" s="9" t="n">
        <x:v>0</x:v>
      </x:c>
    </x:row>
    <x:row r="1912" ht="34" customHeight="1">
      <x:c r="A1912" s="4" t="str">
        <x:v>RS-00969-I3</x:v>
      </x:c>
      <x:c r="B1912" s="4" t="str">
        <x:v>RS-00969</x:v>
      </x:c>
      <x:c r="C1912" s="9" t="n">
        <x:v>3</x:v>
      </x:c>
      <x:c r="D1912" s="8" t="n">
        <x:v>45399</x:v>
      </x:c>
      <x:c r="E1912" s="9" t="n">
        <x:v>4025500</x:v>
      </x:c>
      <x:c r="F1912" s="9" t="n">
        <x:v>0</x:v>
      </x:c>
    </x:row>
    <x:row r="1913" ht="34" customHeight="1">
      <x:c r="A1913" s="4" t="str">
        <x:v>RS-00969-I4</x:v>
      </x:c>
      <x:c r="B1913" s="4" t="str">
        <x:v>RS-00969</x:v>
      </x:c>
      <x:c r="C1913" s="9" t="n">
        <x:v>4</x:v>
      </x:c>
      <x:c r="D1913" s="8" t="n">
        <x:v>45429</x:v>
      </x:c>
      <x:c r="E1913" s="9" t="n">
        <x:v>4025500</x:v>
      </x:c>
      <x:c r="F1913" s="9" t="n">
        <x:v>0</x:v>
      </x:c>
    </x:row>
    <x:row r="1914" ht="34" customHeight="1">
      <x:c r="A1914" s="4" t="str">
        <x:v>RS-00974-I1</x:v>
      </x:c>
      <x:c r="B1914" s="4" t="str">
        <x:v>RS-00974</x:v>
      </x:c>
      <x:c r="C1914" s="9" t="n">
        <x:v>1</x:v>
      </x:c>
      <x:c r="D1914" s="8" t="n">
        <x:v>45344</x:v>
      </x:c>
      <x:c r="E1914" s="9" t="n">
        <x:v>1702000</x:v>
      </x:c>
      <x:c r="F1914" s="9" t="n">
        <x:v>1702000</x:v>
      </x:c>
    </x:row>
    <x:row r="1915" ht="34" customHeight="1">
      <x:c r="A1915" s="4" t="str">
        <x:v>RS-00974-I2</x:v>
      </x:c>
      <x:c r="B1915" s="4" t="str">
        <x:v>RS-00974</x:v>
      </x:c>
      <x:c r="C1915" s="9" t="n">
        <x:v>2</x:v>
      </x:c>
      <x:c r="D1915" s="8" t="n">
        <x:v>45374</x:v>
      </x:c>
      <x:c r="E1915" s="9" t="n">
        <x:v>1702000</x:v>
      </x:c>
      <x:c r="F1915" s="9" t="n">
        <x:v>1702000</x:v>
      </x:c>
    </x:row>
    <x:row r="1916" ht="34" customHeight="1">
      <x:c r="A1916" s="4" t="str">
        <x:v>RS-00974-I3</x:v>
      </x:c>
      <x:c r="B1916" s="4" t="str">
        <x:v>RS-00974</x:v>
      </x:c>
      <x:c r="C1916" s="9" t="n">
        <x:v>3</x:v>
      </x:c>
      <x:c r="D1916" s="8" t="n">
        <x:v>45404</x:v>
      </x:c>
      <x:c r="E1916" s="9" t="n">
        <x:v>1702000</x:v>
      </x:c>
      <x:c r="F1916" s="9" t="n">
        <x:v>1702000</x:v>
      </x:c>
    </x:row>
    <x:row r="1917" ht="34" customHeight="1">
      <x:c r="A1917" s="4" t="str">
        <x:v>RS-00974-I4</x:v>
      </x:c>
      <x:c r="B1917" s="4" t="str">
        <x:v>RS-00974</x:v>
      </x:c>
      <x:c r="C1917" s="9" t="n">
        <x:v>4</x:v>
      </x:c>
      <x:c r="D1917" s="8" t="n">
        <x:v>45434</x:v>
      </x:c>
      <x:c r="E1917" s="9" t="n">
        <x:v>1702000</x:v>
      </x:c>
      <x:c r="F1917" s="9" t="n">
        <x:v>1702000</x:v>
      </x:c>
    </x:row>
    <x:row r="1918" ht="34" customHeight="1">
      <x:c r="A1918" s="4" t="str">
        <x:v>RS-00975-I1</x:v>
      </x:c>
      <x:c r="B1918" s="4" t="str">
        <x:v>RS-00975</x:v>
      </x:c>
      <x:c r="C1918" s="9" t="n">
        <x:v>1</x:v>
      </x:c>
      <x:c r="D1918" s="8" t="n">
        <x:v>45345</x:v>
      </x:c>
      <x:c r="E1918" s="9" t="n">
        <x:v>2530000</x:v>
      </x:c>
      <x:c r="F1918" s="9" t="n">
        <x:v>2530000</x:v>
      </x:c>
    </x:row>
    <x:row r="1919" ht="34" customHeight="1">
      <x:c r="A1919" s="4" t="str">
        <x:v>RS-00975-I2</x:v>
      </x:c>
      <x:c r="B1919" s="4" t="str">
        <x:v>RS-00975</x:v>
      </x:c>
      <x:c r="C1919" s="9" t="n">
        <x:v>2</x:v>
      </x:c>
      <x:c r="D1919" s="8" t="n">
        <x:v>45375</x:v>
      </x:c>
      <x:c r="E1919" s="9" t="n">
        <x:v>2530000</x:v>
      </x:c>
      <x:c r="F1919" s="9" t="n">
        <x:v>2530000</x:v>
      </x:c>
    </x:row>
    <x:row r="1920" ht="34" customHeight="1">
      <x:c r="A1920" s="4" t="str">
        <x:v>RS-00975-I3</x:v>
      </x:c>
      <x:c r="B1920" s="4" t="str">
        <x:v>RS-00975</x:v>
      </x:c>
      <x:c r="C1920" s="9" t="n">
        <x:v>3</x:v>
      </x:c>
      <x:c r="D1920" s="8" t="n">
        <x:v>45405</x:v>
      </x:c>
      <x:c r="E1920" s="9" t="n">
        <x:v>2530000</x:v>
      </x:c>
      <x:c r="F1920" s="9" t="n">
        <x:v>0</x:v>
      </x:c>
    </x:row>
    <x:row r="1921" ht="34" customHeight="1">
      <x:c r="A1921" s="4" t="str">
        <x:v>RS-00975-I4</x:v>
      </x:c>
      <x:c r="B1921" s="4" t="str">
        <x:v>RS-00975</x:v>
      </x:c>
      <x:c r="C1921" s="9" t="n">
        <x:v>4</x:v>
      </x:c>
      <x:c r="D1921" s="8" t="n">
        <x:v>45435</x:v>
      </x:c>
      <x:c r="E1921" s="9" t="n">
        <x:v>2530000</x:v>
      </x:c>
      <x:c r="F1921" s="9" t="n">
        <x:v>0</x:v>
      </x:c>
    </x:row>
    <x:row r="1922" ht="34" customHeight="1">
      <x:c r="A1922" s="4" t="str">
        <x:v>RS-00976-I1</x:v>
      </x:c>
      <x:c r="B1922" s="4" t="str">
        <x:v>RS-00976</x:v>
      </x:c>
      <x:c r="C1922" s="9" t="n">
        <x:v>1</x:v>
      </x:c>
      <x:c r="D1922" s="8" t="n">
        <x:v>45346</x:v>
      </x:c>
      <x:c r="E1922" s="9" t="n">
        <x:v>3491250</x:v>
      </x:c>
      <x:c r="F1922" s="9" t="n">
        <x:v>3491250</x:v>
      </x:c>
    </x:row>
    <x:row r="1923" ht="34" customHeight="1">
      <x:c r="A1923" s="4" t="str">
        <x:v>RS-00976-I2</x:v>
      </x:c>
      <x:c r="B1923" s="4" t="str">
        <x:v>RS-00976</x:v>
      </x:c>
      <x:c r="C1923" s="9" t="n">
        <x:v>2</x:v>
      </x:c>
      <x:c r="D1923" s="8" t="n">
        <x:v>45376</x:v>
      </x:c>
      <x:c r="E1923" s="9" t="n">
        <x:v>3491250</x:v>
      </x:c>
      <x:c r="F1923" s="9" t="n">
        <x:v>3491250</x:v>
      </x:c>
    </x:row>
    <x:row r="1924" ht="34" customHeight="1">
      <x:c r="A1924" s="4" t="str">
        <x:v>RS-00976-I3</x:v>
      </x:c>
      <x:c r="B1924" s="4" t="str">
        <x:v>RS-00976</x:v>
      </x:c>
      <x:c r="C1924" s="9" t="n">
        <x:v>3</x:v>
      </x:c>
      <x:c r="D1924" s="8" t="n">
        <x:v>45406</x:v>
      </x:c>
      <x:c r="E1924" s="9" t="n">
        <x:v>3491250</x:v>
      </x:c>
      <x:c r="F1924" s="9" t="n">
        <x:v>0</x:v>
      </x:c>
    </x:row>
    <x:row r="1925" ht="34" customHeight="1">
      <x:c r="A1925" s="4" t="str">
        <x:v>RS-00976-I4</x:v>
      </x:c>
      <x:c r="B1925" s="4" t="str">
        <x:v>RS-00976</x:v>
      </x:c>
      <x:c r="C1925" s="9" t="n">
        <x:v>4</x:v>
      </x:c>
      <x:c r="D1925" s="8" t="n">
        <x:v>45436</x:v>
      </x:c>
      <x:c r="E1925" s="9" t="n">
        <x:v>3491250</x:v>
      </x:c>
      <x:c r="F1925" s="9" t="n">
        <x:v>0</x:v>
      </x:c>
    </x:row>
    <x:row r="1926" ht="34" customHeight="1">
      <x:c r="A1926" s="4" t="str">
        <x:v>RS-00977-I1</x:v>
      </x:c>
      <x:c r="B1926" s="4" t="str">
        <x:v>RS-00977</x:v>
      </x:c>
      <x:c r="C1926" s="9" t="n">
        <x:v>1</x:v>
      </x:c>
      <x:c r="D1926" s="8" t="n">
        <x:v>45347</x:v>
      </x:c>
      <x:c r="E1926" s="9" t="n">
        <x:v>4583250</x:v>
      </x:c>
      <x:c r="F1926" s="9" t="n">
        <x:v>1833300</x:v>
      </x:c>
    </x:row>
    <x:row r="1927" ht="34" customHeight="1">
      <x:c r="A1927" s="4" t="str">
        <x:v>RS-00977-I2</x:v>
      </x:c>
      <x:c r="B1927" s="4" t="str">
        <x:v>RS-00977</x:v>
      </x:c>
      <x:c r="C1927" s="9" t="n">
        <x:v>2</x:v>
      </x:c>
      <x:c r="D1927" s="8" t="n">
        <x:v>45377</x:v>
      </x:c>
      <x:c r="E1927" s="9" t="n">
        <x:v>4583250</x:v>
      </x:c>
      <x:c r="F1927" s="9" t="n">
        <x:v>0</x:v>
      </x:c>
    </x:row>
    <x:row r="1928" ht="34" customHeight="1">
      <x:c r="A1928" s="4" t="str">
        <x:v>RS-00977-I3</x:v>
      </x:c>
      <x:c r="B1928" s="4" t="str">
        <x:v>RS-00977</x:v>
      </x:c>
      <x:c r="C1928" s="9" t="n">
        <x:v>3</x:v>
      </x:c>
      <x:c r="D1928" s="8" t="n">
        <x:v>45407</x:v>
      </x:c>
      <x:c r="E1928" s="9" t="n">
        <x:v>4583250</x:v>
      </x:c>
      <x:c r="F1928" s="9" t="n">
        <x:v>0</x:v>
      </x:c>
    </x:row>
    <x:row r="1929" ht="34" customHeight="1">
      <x:c r="A1929" s="4" t="str">
        <x:v>RS-00977-I4</x:v>
      </x:c>
      <x:c r="B1929" s="4" t="str">
        <x:v>RS-00977</x:v>
      </x:c>
      <x:c r="C1929" s="9" t="n">
        <x:v>4</x:v>
      </x:c>
      <x:c r="D1929" s="8" t="n">
        <x:v>45437</x:v>
      </x:c>
      <x:c r="E1929" s="9" t="n">
        <x:v>4583250</x:v>
      </x:c>
      <x:c r="F1929" s="9" t="n">
        <x:v>0</x:v>
      </x:c>
    </x:row>
    <x:row r="1930" ht="34" customHeight="1">
      <x:c r="A1930" s="4" t="str">
        <x:v>RS-00983-I1</x:v>
      </x:c>
      <x:c r="B1930" s="4" t="str">
        <x:v>RS-00983</x:v>
      </x:c>
      <x:c r="C1930" s="9" t="n">
        <x:v>1</x:v>
      </x:c>
      <x:c r="D1930" s="8" t="n">
        <x:v>45325</x:v>
      </x:c>
      <x:c r="E1930" s="9" t="n">
        <x:v>950000</x:v>
      </x:c>
      <x:c r="F1930" s="9" t="n">
        <x:v>950000</x:v>
      </x:c>
    </x:row>
    <x:row r="1931" ht="34" customHeight="1">
      <x:c r="A1931" s="4" t="str">
        <x:v>RS-00983-I2</x:v>
      </x:c>
      <x:c r="B1931" s="4" t="str">
        <x:v>RS-00983</x:v>
      </x:c>
      <x:c r="C1931" s="9" t="n">
        <x:v>2</x:v>
      </x:c>
      <x:c r="D1931" s="8" t="n">
        <x:v>45355</x:v>
      </x:c>
      <x:c r="E1931" s="9" t="n">
        <x:v>950000</x:v>
      </x:c>
      <x:c r="F1931" s="9" t="n">
        <x:v>950000</x:v>
      </x:c>
    </x:row>
    <x:row r="1932" ht="34" customHeight="1">
      <x:c r="A1932" s="4" t="str">
        <x:v>RS-00983-I3</x:v>
      </x:c>
      <x:c r="B1932" s="4" t="str">
        <x:v>RS-00983</x:v>
      </x:c>
      <x:c r="C1932" s="9" t="n">
        <x:v>3</x:v>
      </x:c>
      <x:c r="D1932" s="8" t="n">
        <x:v>45385</x:v>
      </x:c>
      <x:c r="E1932" s="9" t="n">
        <x:v>950000</x:v>
      </x:c>
      <x:c r="F1932" s="9" t="n">
        <x:v>950000</x:v>
      </x:c>
    </x:row>
    <x:row r="1933" ht="34" customHeight="1">
      <x:c r="A1933" s="4" t="str">
        <x:v>RS-00983-I4</x:v>
      </x:c>
      <x:c r="B1933" s="4" t="str">
        <x:v>RS-00983</x:v>
      </x:c>
      <x:c r="C1933" s="9" t="n">
        <x:v>4</x:v>
      </x:c>
      <x:c r="D1933" s="8" t="n">
        <x:v>45415</x:v>
      </x:c>
      <x:c r="E1933" s="9" t="n">
        <x:v>950000</x:v>
      </x:c>
      <x:c r="F1933" s="9" t="n">
        <x:v>950000</x:v>
      </x:c>
    </x:row>
    <x:row r="1934" ht="34" customHeight="1">
      <x:c r="A1934" s="4" t="str">
        <x:v>RS-00984-I1</x:v>
      </x:c>
      <x:c r="B1934" s="4" t="str">
        <x:v>RS-00984</x:v>
      </x:c>
      <x:c r="C1934" s="9" t="n">
        <x:v>1</x:v>
      </x:c>
      <x:c r="D1934" s="8" t="n">
        <x:v>45326</x:v>
      </x:c>
      <x:c r="E1934" s="9" t="n">
        <x:v>5812500</x:v>
      </x:c>
      <x:c r="F1934" s="9" t="n">
        <x:v>5812500</x:v>
      </x:c>
    </x:row>
    <x:row r="1935" ht="34" customHeight="1">
      <x:c r="A1935" s="4" t="str">
        <x:v>RS-00984-I2</x:v>
      </x:c>
      <x:c r="B1935" s="4" t="str">
        <x:v>RS-00984</x:v>
      </x:c>
      <x:c r="C1935" s="9" t="n">
        <x:v>2</x:v>
      </x:c>
      <x:c r="D1935" s="8" t="n">
        <x:v>45356</x:v>
      </x:c>
      <x:c r="E1935" s="9" t="n">
        <x:v>5812500</x:v>
      </x:c>
      <x:c r="F1935" s="9" t="n">
        <x:v>5812500</x:v>
      </x:c>
    </x:row>
    <x:row r="1936" ht="34" customHeight="1">
      <x:c r="A1936" s="4" t="str">
        <x:v>RS-00984-I3</x:v>
      </x:c>
      <x:c r="B1936" s="4" t="str">
        <x:v>RS-00984</x:v>
      </x:c>
      <x:c r="C1936" s="9" t="n">
        <x:v>3</x:v>
      </x:c>
      <x:c r="D1936" s="8" t="n">
        <x:v>45386</x:v>
      </x:c>
      <x:c r="E1936" s="9" t="n">
        <x:v>5812500</x:v>
      </x:c>
      <x:c r="F1936" s="9" t="n">
        <x:v>0</x:v>
      </x:c>
    </x:row>
    <x:row r="1937" ht="34" customHeight="1">
      <x:c r="A1937" s="4" t="str">
        <x:v>RS-00984-I4</x:v>
      </x:c>
      <x:c r="B1937" s="4" t="str">
        <x:v>RS-00984</x:v>
      </x:c>
      <x:c r="C1937" s="9" t="n">
        <x:v>4</x:v>
      </x:c>
      <x:c r="D1937" s="8" t="n">
        <x:v>45416</x:v>
      </x:c>
      <x:c r="E1937" s="9" t="n">
        <x:v>5812500</x:v>
      </x:c>
      <x:c r="F1937" s="9" t="n">
        <x:v>0</x:v>
      </x:c>
    </x:row>
    <x:row r="1938" ht="34" customHeight="1">
      <x:c r="A1938" s="4" t="str">
        <x:v>RS-00988-I1</x:v>
      </x:c>
      <x:c r="B1938" s="4" t="str">
        <x:v>RS-00988</x:v>
      </x:c>
      <x:c r="C1938" s="9" t="n">
        <x:v>1</x:v>
      </x:c>
      <x:c r="D1938" s="8" t="n">
        <x:v>45330</x:v>
      </x:c>
      <x:c r="E1938" s="9" t="n">
        <x:v>1032000</x:v>
      </x:c>
      <x:c r="F1938" s="9" t="n">
        <x:v>1032000</x:v>
      </x:c>
    </x:row>
    <x:row r="1939" ht="34" customHeight="1">
      <x:c r="A1939" s="4" t="str">
        <x:v>RS-00988-I2</x:v>
      </x:c>
      <x:c r="B1939" s="4" t="str">
        <x:v>RS-00988</x:v>
      </x:c>
      <x:c r="C1939" s="9" t="n">
        <x:v>2</x:v>
      </x:c>
      <x:c r="D1939" s="8" t="n">
        <x:v>45360</x:v>
      </x:c>
      <x:c r="E1939" s="9" t="n">
        <x:v>1032000</x:v>
      </x:c>
      <x:c r="F1939" s="9" t="n">
        <x:v>0</x:v>
      </x:c>
    </x:row>
    <x:row r="1940" ht="34" customHeight="1">
      <x:c r="A1940" s="4" t="str">
        <x:v>RS-00988-I3</x:v>
      </x:c>
      <x:c r="B1940" s="4" t="str">
        <x:v>RS-00988</x:v>
      </x:c>
      <x:c r="C1940" s="9" t="n">
        <x:v>3</x:v>
      </x:c>
      <x:c r="D1940" s="8" t="n">
        <x:v>45390</x:v>
      </x:c>
      <x:c r="E1940" s="9" t="n">
        <x:v>1032000</x:v>
      </x:c>
      <x:c r="F1940" s="9" t="n">
        <x:v>0</x:v>
      </x:c>
    </x:row>
    <x:row r="1941" ht="34" customHeight="1">
      <x:c r="A1941" s="4" t="str">
        <x:v>RS-00988-I4</x:v>
      </x:c>
      <x:c r="B1941" s="4" t="str">
        <x:v>RS-00988</x:v>
      </x:c>
      <x:c r="C1941" s="9" t="n">
        <x:v>4</x:v>
      </x:c>
      <x:c r="D1941" s="8" t="n">
        <x:v>45420</x:v>
      </x:c>
      <x:c r="E1941" s="9" t="n">
        <x:v>1032000</x:v>
      </x:c>
      <x:c r="F1941" s="9" t="n">
        <x:v>0</x:v>
      </x:c>
    </x:row>
    <x:row r="1942" ht="34" customHeight="1">
      <x:c r="A1942" s="4" t="str">
        <x:v>RS-00989-I1</x:v>
      </x:c>
      <x:c r="B1942" s="4" t="str">
        <x:v>RS-00989</x:v>
      </x:c>
      <x:c r="C1942" s="9" t="n">
        <x:v>1</x:v>
      </x:c>
      <x:c r="D1942" s="8" t="n">
        <x:v>45331</x:v>
      </x:c>
      <x:c r="E1942" s="9" t="n">
        <x:v>5240500</x:v>
      </x:c>
      <x:c r="F1942" s="9" t="n">
        <x:v>2096200</x:v>
      </x:c>
    </x:row>
    <x:row r="1943" ht="34" customHeight="1">
      <x:c r="A1943" s="4" t="str">
        <x:v>RS-00989-I2</x:v>
      </x:c>
      <x:c r="B1943" s="4" t="str">
        <x:v>RS-00989</x:v>
      </x:c>
      <x:c r="C1943" s="9" t="n">
        <x:v>2</x:v>
      </x:c>
      <x:c r="D1943" s="8" t="n">
        <x:v>45361</x:v>
      </x:c>
      <x:c r="E1943" s="9" t="n">
        <x:v>5240500</x:v>
      </x:c>
      <x:c r="F1943" s="9" t="n">
        <x:v>0</x:v>
      </x:c>
    </x:row>
    <x:row r="1944" ht="34" customHeight="1">
      <x:c r="A1944" s="4" t="str">
        <x:v>RS-00989-I3</x:v>
      </x:c>
      <x:c r="B1944" s="4" t="str">
        <x:v>RS-00989</x:v>
      </x:c>
      <x:c r="C1944" s="9" t="n">
        <x:v>3</x:v>
      </x:c>
      <x:c r="D1944" s="8" t="n">
        <x:v>45391</x:v>
      </x:c>
      <x:c r="E1944" s="9" t="n">
        <x:v>5240500</x:v>
      </x:c>
      <x:c r="F1944" s="9" t="n">
        <x:v>0</x:v>
      </x:c>
    </x:row>
    <x:row r="1945" ht="34" customHeight="1">
      <x:c r="A1945" s="4" t="str">
        <x:v>RS-00989-I4</x:v>
      </x:c>
      <x:c r="B1945" s="4" t="str">
        <x:v>RS-00989</x:v>
      </x:c>
      <x:c r="C1945" s="9" t="n">
        <x:v>4</x:v>
      </x:c>
      <x:c r="D1945" s="8" t="n">
        <x:v>45421</x:v>
      </x:c>
      <x:c r="E1945" s="9" t="n">
        <x:v>5240500</x:v>
      </x:c>
      <x:c r="F1945" s="9" t="n">
        <x:v>0</x:v>
      </x:c>
    </x:row>
    <x:row r="1946" ht="34" customHeight="1">
      <x:c r="A1946" s="4" t="str">
        <x:v>RS-00990-I1</x:v>
      </x:c>
      <x:c r="B1946" s="4" t="str">
        <x:v>RS-00990</x:v>
      </x:c>
      <x:c r="C1946" s="9" t="n">
        <x:v>1</x:v>
      </x:c>
      <x:c r="D1946" s="8" t="n">
        <x:v>45332</x:v>
      </x:c>
      <x:c r="E1946" s="9" t="n">
        <x:v>5400000</x:v>
      </x:c>
      <x:c r="F1946" s="9" t="n">
        <x:v>5400000</x:v>
      </x:c>
    </x:row>
    <x:row r="1947" ht="34" customHeight="1">
      <x:c r="A1947" s="4" t="str">
        <x:v>RS-00990-I2</x:v>
      </x:c>
      <x:c r="B1947" s="4" t="str">
        <x:v>RS-00990</x:v>
      </x:c>
      <x:c r="C1947" s="9" t="n">
        <x:v>2</x:v>
      </x:c>
      <x:c r="D1947" s="8" t="n">
        <x:v>45362</x:v>
      </x:c>
      <x:c r="E1947" s="9" t="n">
        <x:v>5400000</x:v>
      </x:c>
      <x:c r="F1947" s="9" t="n">
        <x:v>5400000</x:v>
      </x:c>
    </x:row>
    <x:row r="1948" ht="34" customHeight="1">
      <x:c r="A1948" s="4" t="str">
        <x:v>RS-00990-I3</x:v>
      </x:c>
      <x:c r="B1948" s="4" t="str">
        <x:v>RS-00990</x:v>
      </x:c>
      <x:c r="C1948" s="9" t="n">
        <x:v>3</x:v>
      </x:c>
      <x:c r="D1948" s="8" t="n">
        <x:v>45392</x:v>
      </x:c>
      <x:c r="E1948" s="9" t="n">
        <x:v>5400000</x:v>
      </x:c>
      <x:c r="F1948" s="9" t="n">
        <x:v>5400000</x:v>
      </x:c>
    </x:row>
    <x:row r="1949" ht="34" customHeight="1">
      <x:c r="A1949" s="4" t="str">
        <x:v>RS-00990-I4</x:v>
      </x:c>
      <x:c r="B1949" s="4" t="str">
        <x:v>RS-00990</x:v>
      </x:c>
      <x:c r="C1949" s="9" t="n">
        <x:v>4</x:v>
      </x:c>
      <x:c r="D1949" s="8" t="n">
        <x:v>45422</x:v>
      </x:c>
      <x:c r="E1949" s="9" t="n">
        <x:v>5400000</x:v>
      </x:c>
      <x:c r="F1949" s="9" t="n">
        <x:v>5400000</x:v>
      </x:c>
    </x:row>
    <x:row r="1950" ht="34" customHeight="1">
      <x:c r="A1950" s="4" t="str">
        <x:v>RS-00991-I1</x:v>
      </x:c>
      <x:c r="B1950" s="4" t="str">
        <x:v>RS-00991</x:v>
      </x:c>
      <x:c r="C1950" s="9" t="n">
        <x:v>1</x:v>
      </x:c>
      <x:c r="D1950" s="8" t="n">
        <x:v>45333</x:v>
      </x:c>
      <x:c r="E1950" s="9" t="n">
        <x:v>1395000</x:v>
      </x:c>
      <x:c r="F1950" s="9" t="n">
        <x:v>558000</x:v>
      </x:c>
    </x:row>
    <x:row r="1951" ht="34" customHeight="1">
      <x:c r="A1951" s="4" t="str">
        <x:v>RS-00991-I2</x:v>
      </x:c>
      <x:c r="B1951" s="4" t="str">
        <x:v>RS-00991</x:v>
      </x:c>
      <x:c r="C1951" s="9" t="n">
        <x:v>2</x:v>
      </x:c>
      <x:c r="D1951" s="8" t="n">
        <x:v>45363</x:v>
      </x:c>
      <x:c r="E1951" s="9" t="n">
        <x:v>1395000</x:v>
      </x:c>
      <x:c r="F1951" s="9" t="n">
        <x:v>0</x:v>
      </x:c>
    </x:row>
    <x:row r="1952" ht="34" customHeight="1">
      <x:c r="A1952" s="4" t="str">
        <x:v>RS-00991-I3</x:v>
      </x:c>
      <x:c r="B1952" s="4" t="str">
        <x:v>RS-00991</x:v>
      </x:c>
      <x:c r="C1952" s="9" t="n">
        <x:v>3</x:v>
      </x:c>
      <x:c r="D1952" s="8" t="n">
        <x:v>45393</x:v>
      </x:c>
      <x:c r="E1952" s="9" t="n">
        <x:v>1395000</x:v>
      </x:c>
      <x:c r="F1952" s="9" t="n">
        <x:v>0</x:v>
      </x:c>
    </x:row>
    <x:row r="1953" ht="34" customHeight="1">
      <x:c r="A1953" s="4" t="str">
        <x:v>RS-00991-I4</x:v>
      </x:c>
      <x:c r="B1953" s="4" t="str">
        <x:v>RS-00991</x:v>
      </x:c>
      <x:c r="C1953" s="9" t="n">
        <x:v>4</x:v>
      </x:c>
      <x:c r="D1953" s="8" t="n">
        <x:v>45423</x:v>
      </x:c>
      <x:c r="E1953" s="9" t="n">
        <x:v>1395000</x:v>
      </x:c>
      <x:c r="F1953" s="9" t="n">
        <x:v>0</x:v>
      </x:c>
    </x:row>
    <x:row r="1954" ht="34" customHeight="1">
      <x:c r="A1954" s="4" t="str">
        <x:v>RS-00992-I1</x:v>
      </x:c>
      <x:c r="B1954" s="4" t="str">
        <x:v>RS-00992</x:v>
      </x:c>
      <x:c r="C1954" s="9" t="n">
        <x:v>1</x:v>
      </x:c>
      <x:c r="D1954" s="8" t="n">
        <x:v>45334</x:v>
      </x:c>
      <x:c r="E1954" s="9" t="n">
        <x:v>3758750</x:v>
      </x:c>
      <x:c r="F1954" s="9" t="n">
        <x:v>3758750</x:v>
      </x:c>
    </x:row>
    <x:row r="1955" ht="34" customHeight="1">
      <x:c r="A1955" s="4" t="str">
        <x:v>RS-00992-I2</x:v>
      </x:c>
      <x:c r="B1955" s="4" t="str">
        <x:v>RS-00992</x:v>
      </x:c>
      <x:c r="C1955" s="9" t="n">
        <x:v>2</x:v>
      </x:c>
      <x:c r="D1955" s="8" t="n">
        <x:v>45364</x:v>
      </x:c>
      <x:c r="E1955" s="9" t="n">
        <x:v>3758750</x:v>
      </x:c>
      <x:c r="F1955" s="9" t="n">
        <x:v>0</x:v>
      </x:c>
    </x:row>
    <x:row r="1956" ht="34" customHeight="1">
      <x:c r="A1956" s="4" t="str">
        <x:v>RS-00992-I3</x:v>
      </x:c>
      <x:c r="B1956" s="4" t="str">
        <x:v>RS-00992</x:v>
      </x:c>
      <x:c r="C1956" s="9" t="n">
        <x:v>3</x:v>
      </x:c>
      <x:c r="D1956" s="8" t="n">
        <x:v>45394</x:v>
      </x:c>
      <x:c r="E1956" s="9" t="n">
        <x:v>3758750</x:v>
      </x:c>
      <x:c r="F1956" s="9" t="n">
        <x:v>0</x:v>
      </x:c>
    </x:row>
    <x:row r="1957" ht="34" customHeight="1">
      <x:c r="A1957" s="4" t="str">
        <x:v>RS-00992-I4</x:v>
      </x:c>
      <x:c r="B1957" s="4" t="str">
        <x:v>RS-00992</x:v>
      </x:c>
      <x:c r="C1957" s="9" t="n">
        <x:v>4</x:v>
      </x:c>
      <x:c r="D1957" s="8" t="n">
        <x:v>45424</x:v>
      </x:c>
      <x:c r="E1957" s="9" t="n">
        <x:v>3758750</x:v>
      </x:c>
      <x:c r="F1957" s="9" t="n">
        <x:v>0</x:v>
      </x:c>
    </x:row>
    <x:row r="1958" ht="34" customHeight="1">
      <x:c r="A1958" s="4" t="str">
        <x:v>RS-00997-I1</x:v>
      </x:c>
      <x:c r="B1958" s="4" t="str">
        <x:v>RS-00997</x:v>
      </x:c>
      <x:c r="C1958" s="9" t="n">
        <x:v>1</x:v>
      </x:c>
      <x:c r="D1958" s="8" t="n">
        <x:v>45339</x:v>
      </x:c>
      <x:c r="E1958" s="9" t="n">
        <x:v>3601500</x:v>
      </x:c>
      <x:c r="F1958" s="9" t="n">
        <x:v>3601500</x:v>
      </x:c>
    </x:row>
    <x:row r="1959" ht="34" customHeight="1">
      <x:c r="A1959" s="4" t="str">
        <x:v>RS-00997-I2</x:v>
      </x:c>
      <x:c r="B1959" s="4" t="str">
        <x:v>RS-00997</x:v>
      </x:c>
      <x:c r="C1959" s="9" t="n">
        <x:v>2</x:v>
      </x:c>
      <x:c r="D1959" s="8" t="n">
        <x:v>45369</x:v>
      </x:c>
      <x:c r="E1959" s="9" t="n">
        <x:v>3601500</x:v>
      </x:c>
      <x:c r="F1959" s="9" t="n">
        <x:v>3601500</x:v>
      </x:c>
    </x:row>
    <x:row r="1960" ht="34" customHeight="1">
      <x:c r="A1960" s="4" t="str">
        <x:v>RS-00997-I3</x:v>
      </x:c>
      <x:c r="B1960" s="4" t="str">
        <x:v>RS-00997</x:v>
      </x:c>
      <x:c r="C1960" s="9" t="n">
        <x:v>3</x:v>
      </x:c>
      <x:c r="D1960" s="8" t="n">
        <x:v>45399</x:v>
      </x:c>
      <x:c r="E1960" s="9" t="n">
        <x:v>3601500</x:v>
      </x:c>
      <x:c r="F1960" s="9" t="n">
        <x:v>3601500</x:v>
      </x:c>
    </x:row>
    <x:row r="1961" ht="34" customHeight="1">
      <x:c r="A1961" s="4" t="str">
        <x:v>RS-00997-I4</x:v>
      </x:c>
      <x:c r="B1961" s="4" t="str">
        <x:v>RS-00997</x:v>
      </x:c>
      <x:c r="C1961" s="9" t="n">
        <x:v>4</x:v>
      </x:c>
      <x:c r="D1961" s="8" t="n">
        <x:v>45429</x:v>
      </x:c>
      <x:c r="E1961" s="9" t="n">
        <x:v>3601500</x:v>
      </x:c>
      <x:c r="F1961" s="9" t="n">
        <x:v>3601500</x:v>
      </x:c>
    </x:row>
    <x:row r="1962" ht="34" customHeight="1">
      <x:c r="A1962" s="4" t="str">
        <x:v>RS-01000-I1</x:v>
      </x:c>
      <x:c r="B1962" s="4" t="str">
        <x:v>RS-01000</x:v>
      </x:c>
      <x:c r="C1962" s="9" t="n">
        <x:v>1</x:v>
      </x:c>
      <x:c r="D1962" s="8" t="n">
        <x:v>45342</x:v>
      </x:c>
      <x:c r="E1962" s="9" t="n">
        <x:v>4673250</x:v>
      </x:c>
      <x:c r="F1962" s="9" t="n">
        <x:v>1869300</x:v>
      </x:c>
    </x:row>
    <x:row r="1963" ht="34" customHeight="1">
      <x:c r="A1963" s="4" t="str">
        <x:v>RS-01000-I2</x:v>
      </x:c>
      <x:c r="B1963" s="4" t="str">
        <x:v>RS-01000</x:v>
      </x:c>
      <x:c r="C1963" s="9" t="n">
        <x:v>2</x:v>
      </x:c>
      <x:c r="D1963" s="8" t="n">
        <x:v>45372</x:v>
      </x:c>
      <x:c r="E1963" s="9" t="n">
        <x:v>4673250</x:v>
      </x:c>
      <x:c r="F1963" s="9" t="n">
        <x:v>0</x:v>
      </x:c>
    </x:row>
    <x:row r="1964" ht="34" customHeight="1">
      <x:c r="A1964" s="4" t="str">
        <x:v>RS-01000-I3</x:v>
      </x:c>
      <x:c r="B1964" s="4" t="str">
        <x:v>RS-01000</x:v>
      </x:c>
      <x:c r="C1964" s="9" t="n">
        <x:v>3</x:v>
      </x:c>
      <x:c r="D1964" s="8" t="n">
        <x:v>45402</x:v>
      </x:c>
      <x:c r="E1964" s="9" t="n">
        <x:v>4673250</x:v>
      </x:c>
      <x:c r="F1964" s="9" t="n">
        <x:v>0</x:v>
      </x:c>
    </x:row>
    <x:row r="1965" ht="34" customHeight="1">
      <x:c r="A1965" s="4" t="str">
        <x:v>RS-01000-I4</x:v>
      </x:c>
      <x:c r="B1965" s="4" t="str">
        <x:v>RS-01000</x:v>
      </x:c>
      <x:c r="C1965" s="9" t="n">
        <x:v>4</x:v>
      </x:c>
      <x:c r="D1965" s="8" t="n">
        <x:v>45432</x:v>
      </x:c>
      <x:c r="E1965" s="9" t="n">
        <x:v>4673250</x:v>
      </x:c>
      <x:c r="F1965" s="9" t="n">
        <x:v>0</x:v>
      </x:c>
    </x:row>
    <x:row r="1966" ht="34" customHeight="1">
      <x:c r="A1966" s="4" t="str">
        <x:v>RS-01003-I1</x:v>
      </x:c>
      <x:c r="B1966" s="4" t="str">
        <x:v>RS-01003</x:v>
      </x:c>
      <x:c r="C1966" s="9" t="n">
        <x:v>1</x:v>
      </x:c>
      <x:c r="D1966" s="8" t="n">
        <x:v>45374</x:v>
      </x:c>
      <x:c r="E1966" s="9" t="n">
        <x:v>5575000</x:v>
      </x:c>
      <x:c r="F1966" s="9" t="n">
        <x:v>5575000</x:v>
      </x:c>
    </x:row>
    <x:row r="1967" ht="34" customHeight="1">
      <x:c r="A1967" s="4" t="str">
        <x:v>RS-01003-I2</x:v>
      </x:c>
      <x:c r="B1967" s="4" t="str">
        <x:v>RS-01003</x:v>
      </x:c>
      <x:c r="C1967" s="9" t="n">
        <x:v>2</x:v>
      </x:c>
      <x:c r="D1967" s="8" t="n">
        <x:v>45404</x:v>
      </x:c>
      <x:c r="E1967" s="9" t="n">
        <x:v>5575000</x:v>
      </x:c>
      <x:c r="F1967" s="9" t="n">
        <x:v>0</x:v>
      </x:c>
    </x:row>
    <x:row r="1968" ht="34" customHeight="1">
      <x:c r="A1968" s="4" t="str">
        <x:v>RS-01003-I3</x:v>
      </x:c>
      <x:c r="B1968" s="4" t="str">
        <x:v>RS-01003</x:v>
      </x:c>
      <x:c r="C1968" s="9" t="n">
        <x:v>3</x:v>
      </x:c>
      <x:c r="D1968" s="8" t="n">
        <x:v>45434</x:v>
      </x:c>
      <x:c r="E1968" s="9" t="n">
        <x:v>5575000</x:v>
      </x:c>
      <x:c r="F1968" s="9" t="n">
        <x:v>0</x:v>
      </x:c>
    </x:row>
    <x:row r="1969" ht="34" customHeight="1">
      <x:c r="A1969" s="4" t="str">
        <x:v>RS-01003-I4</x:v>
      </x:c>
      <x:c r="B1969" s="4" t="str">
        <x:v>RS-01003</x:v>
      </x:c>
      <x:c r="C1969" s="9" t="n">
        <x:v>4</x:v>
      </x:c>
      <x:c r="D1969" s="8" t="n">
        <x:v>45464</x:v>
      </x:c>
      <x:c r="E1969" s="9" t="n">
        <x:v>5575000</x:v>
      </x:c>
      <x:c r="F1969" s="9" t="n">
        <x:v>0</x:v>
      </x:c>
    </x:row>
    <x:row r="1970" ht="34" customHeight="1">
      <x:c r="A1970" s="4" t="str">
        <x:v>RS-01006-I1</x:v>
      </x:c>
      <x:c r="B1970" s="4" t="str">
        <x:v>RS-01006</x:v>
      </x:c>
      <x:c r="C1970" s="9" t="n">
        <x:v>1</x:v>
      </x:c>
      <x:c r="D1970" s="8" t="n">
        <x:v>45377</x:v>
      </x:c>
      <x:c r="E1970" s="9" t="n">
        <x:v>1001000</x:v>
      </x:c>
      <x:c r="F1970" s="9" t="n">
        <x:v>400400</x:v>
      </x:c>
    </x:row>
    <x:row r="1971" ht="34" customHeight="1">
      <x:c r="A1971" s="4" t="str">
        <x:v>RS-01006-I2</x:v>
      </x:c>
      <x:c r="B1971" s="4" t="str">
        <x:v>RS-01006</x:v>
      </x:c>
      <x:c r="C1971" s="9" t="n">
        <x:v>2</x:v>
      </x:c>
      <x:c r="D1971" s="8" t="n">
        <x:v>45407</x:v>
      </x:c>
      <x:c r="E1971" s="9" t="n">
        <x:v>1001000</x:v>
      </x:c>
      <x:c r="F1971" s="9" t="n">
        <x:v>0</x:v>
      </x:c>
    </x:row>
    <x:row r="1972" ht="34" customHeight="1">
      <x:c r="A1972" s="4" t="str">
        <x:v>RS-01006-I3</x:v>
      </x:c>
      <x:c r="B1972" s="4" t="str">
        <x:v>RS-01006</x:v>
      </x:c>
      <x:c r="C1972" s="9" t="n">
        <x:v>3</x:v>
      </x:c>
      <x:c r="D1972" s="8" t="n">
        <x:v>45437</x:v>
      </x:c>
      <x:c r="E1972" s="9" t="n">
        <x:v>1001000</x:v>
      </x:c>
      <x:c r="F1972" s="9" t="n">
        <x:v>0</x:v>
      </x:c>
    </x:row>
    <x:row r="1973" ht="34" customHeight="1">
      <x:c r="A1973" s="4" t="str">
        <x:v>RS-01006-I4</x:v>
      </x:c>
      <x:c r="B1973" s="4" t="str">
        <x:v>RS-01006</x:v>
      </x:c>
      <x:c r="C1973" s="9" t="n">
        <x:v>4</x:v>
      </x:c>
      <x:c r="D1973" s="8" t="n">
        <x:v>45467</x:v>
      </x:c>
      <x:c r="E1973" s="9" t="n">
        <x:v>1001000</x:v>
      </x:c>
      <x:c r="F1973" s="9" t="n">
        <x:v>0</x:v>
      </x:c>
    </x:row>
    <x:row r="1974" ht="34" customHeight="1">
      <x:c r="A1974" s="4" t="str">
        <x:v>RS-01007-I1</x:v>
      </x:c>
      <x:c r="B1974" s="4" t="str">
        <x:v>RS-01007</x:v>
      </x:c>
      <x:c r="C1974" s="9" t="n">
        <x:v>1</x:v>
      </x:c>
      <x:c r="D1974" s="8" t="n">
        <x:v>45378</x:v>
      </x:c>
      <x:c r="E1974" s="9" t="n">
        <x:v>3285000</x:v>
      </x:c>
      <x:c r="F1974" s="9" t="n">
        <x:v>3285000</x:v>
      </x:c>
    </x:row>
    <x:row r="1975" ht="34" customHeight="1">
      <x:c r="A1975" s="4" t="str">
        <x:v>RS-01007-I2</x:v>
      </x:c>
      <x:c r="B1975" s="4" t="str">
        <x:v>RS-01007</x:v>
      </x:c>
      <x:c r="C1975" s="9" t="n">
        <x:v>2</x:v>
      </x:c>
      <x:c r="D1975" s="8" t="n">
        <x:v>45408</x:v>
      </x:c>
      <x:c r="E1975" s="9" t="n">
        <x:v>3285000</x:v>
      </x:c>
      <x:c r="F1975" s="9" t="n">
        <x:v>3285000</x:v>
      </x:c>
    </x:row>
    <x:row r="1976" ht="34" customHeight="1">
      <x:c r="A1976" s="4" t="str">
        <x:v>RS-01007-I3</x:v>
      </x:c>
      <x:c r="B1976" s="4" t="str">
        <x:v>RS-01007</x:v>
      </x:c>
      <x:c r="C1976" s="9" t="n">
        <x:v>3</x:v>
      </x:c>
      <x:c r="D1976" s="8" t="n">
        <x:v>45438</x:v>
      </x:c>
      <x:c r="E1976" s="9" t="n">
        <x:v>3285000</x:v>
      </x:c>
      <x:c r="F1976" s="9" t="n">
        <x:v>0</x:v>
      </x:c>
    </x:row>
    <x:row r="1977" ht="34" customHeight="1">
      <x:c r="A1977" s="4" t="str">
        <x:v>RS-01007-I4</x:v>
      </x:c>
      <x:c r="B1977" s="4" t="str">
        <x:v>RS-01007</x:v>
      </x:c>
      <x:c r="C1977" s="9" t="n">
        <x:v>4</x:v>
      </x:c>
      <x:c r="D1977" s="8" t="n">
        <x:v>45468</x:v>
      </x:c>
      <x:c r="E1977" s="9" t="n">
        <x:v>3285000</x:v>
      </x:c>
      <x:c r="F1977" s="9" t="n">
        <x:v>0</x:v>
      </x:c>
    </x:row>
    <x:row r="1978" ht="34" customHeight="1">
      <x:c r="A1978" s="4" t="str">
        <x:v>RS-01008-I1</x:v>
      </x:c>
      <x:c r="B1978" s="4" t="str">
        <x:v>RS-01008</x:v>
      </x:c>
      <x:c r="C1978" s="9" t="n">
        <x:v>1</x:v>
      </x:c>
      <x:c r="D1978" s="8" t="n">
        <x:v>45379</x:v>
      </x:c>
      <x:c r="E1978" s="9" t="n">
        <x:v>3929250</x:v>
      </x:c>
      <x:c r="F1978" s="9" t="n">
        <x:v>3929250</x:v>
      </x:c>
    </x:row>
    <x:row r="1979" ht="34" customHeight="1">
      <x:c r="A1979" s="4" t="str">
        <x:v>RS-01008-I2</x:v>
      </x:c>
      <x:c r="B1979" s="4" t="str">
        <x:v>RS-01008</x:v>
      </x:c>
      <x:c r="C1979" s="9" t="n">
        <x:v>2</x:v>
      </x:c>
      <x:c r="D1979" s="8" t="n">
        <x:v>45409</x:v>
      </x:c>
      <x:c r="E1979" s="9" t="n">
        <x:v>3929250</x:v>
      </x:c>
      <x:c r="F1979" s="9" t="n">
        <x:v>0</x:v>
      </x:c>
    </x:row>
    <x:row r="1980" ht="34" customHeight="1">
      <x:c r="A1980" s="4" t="str">
        <x:v>RS-01008-I3</x:v>
      </x:c>
      <x:c r="B1980" s="4" t="str">
        <x:v>RS-01008</x:v>
      </x:c>
      <x:c r="C1980" s="9" t="n">
        <x:v>3</x:v>
      </x:c>
      <x:c r="D1980" s="8" t="n">
        <x:v>45439</x:v>
      </x:c>
      <x:c r="E1980" s="9" t="n">
        <x:v>3929250</x:v>
      </x:c>
      <x:c r="F1980" s="9" t="n">
        <x:v>0</x:v>
      </x:c>
    </x:row>
    <x:row r="1981" ht="34" customHeight="1">
      <x:c r="A1981" s="4" t="str">
        <x:v>RS-01008-I4</x:v>
      </x:c>
      <x:c r="B1981" s="4" t="str">
        <x:v>RS-01008</x:v>
      </x:c>
      <x:c r="C1981" s="9" t="n">
        <x:v>4</x:v>
      </x:c>
      <x:c r="D1981" s="8" t="n">
        <x:v>45469</x:v>
      </x:c>
      <x:c r="E1981" s="9" t="n">
        <x:v>3929250</x:v>
      </x:c>
      <x:c r="F1981" s="9" t="n">
        <x:v>0</x:v>
      </x:c>
    </x:row>
    <x:row r="1982" ht="34" customHeight="1">
      <x:c r="A1982" s="4" t="str">
        <x:v>RS-01010-I1</x:v>
      </x:c>
      <x:c r="B1982" s="4" t="str">
        <x:v>RS-01010</x:v>
      </x:c>
      <x:c r="C1982" s="9" t="n">
        <x:v>1</x:v>
      </x:c>
      <x:c r="D1982" s="8" t="n">
        <x:v>45353</x:v>
      </x:c>
      <x:c r="E1982" s="9" t="n">
        <x:v>2385000</x:v>
      </x:c>
      <x:c r="F1982" s="9" t="n">
        <x:v>2385000</x:v>
      </x:c>
    </x:row>
    <x:row r="1983" ht="34" customHeight="1">
      <x:c r="A1983" s="4" t="str">
        <x:v>RS-01010-I2</x:v>
      </x:c>
      <x:c r="B1983" s="4" t="str">
        <x:v>RS-01010</x:v>
      </x:c>
      <x:c r="C1983" s="9" t="n">
        <x:v>2</x:v>
      </x:c>
      <x:c r="D1983" s="8" t="n">
        <x:v>45383</x:v>
      </x:c>
      <x:c r="E1983" s="9" t="n">
        <x:v>2385000</x:v>
      </x:c>
      <x:c r="F1983" s="9" t="n">
        <x:v>2385000</x:v>
      </x:c>
    </x:row>
    <x:row r="1984" ht="34" customHeight="1">
      <x:c r="A1984" s="4" t="str">
        <x:v>RS-01010-I3</x:v>
      </x:c>
      <x:c r="B1984" s="4" t="str">
        <x:v>RS-01010</x:v>
      </x:c>
      <x:c r="C1984" s="9" t="n">
        <x:v>3</x:v>
      </x:c>
      <x:c r="D1984" s="8" t="n">
        <x:v>45413</x:v>
      </x:c>
      <x:c r="E1984" s="9" t="n">
        <x:v>2385000</x:v>
      </x:c>
      <x:c r="F1984" s="9" t="n">
        <x:v>2385000</x:v>
      </x:c>
    </x:row>
    <x:row r="1985" ht="34" customHeight="1">
      <x:c r="A1985" s="4" t="str">
        <x:v>RS-01010-I4</x:v>
      </x:c>
      <x:c r="B1985" s="4" t="str">
        <x:v>RS-01010</x:v>
      </x:c>
      <x:c r="C1985" s="9" t="n">
        <x:v>4</x:v>
      </x:c>
      <x:c r="D1985" s="8" t="n">
        <x:v>45443</x:v>
      </x:c>
      <x:c r="E1985" s="9" t="n">
        <x:v>2385000</x:v>
      </x:c>
      <x:c r="F1985" s="9" t="n">
        <x:v>2385000</x:v>
      </x:c>
    </x:row>
    <x:row r="1986" ht="34" customHeight="1">
      <x:c r="A1986" s="4" t="str">
        <x:v>RS-01012-I1</x:v>
      </x:c>
      <x:c r="B1986" s="4" t="str">
        <x:v>RS-01012</x:v>
      </x:c>
      <x:c r="C1986" s="9" t="n">
        <x:v>1</x:v>
      </x:c>
      <x:c r="D1986" s="8" t="n">
        <x:v>45355</x:v>
      </x:c>
      <x:c r="E1986" s="9" t="n">
        <x:v>5146500</x:v>
      </x:c>
      <x:c r="F1986" s="9" t="n">
        <x:v>5146500</x:v>
      </x:c>
    </x:row>
    <x:row r="1987" ht="34" customHeight="1">
      <x:c r="A1987" s="4" t="str">
        <x:v>RS-01012-I2</x:v>
      </x:c>
      <x:c r="B1987" s="4" t="str">
        <x:v>RS-01012</x:v>
      </x:c>
      <x:c r="C1987" s="9" t="n">
        <x:v>2</x:v>
      </x:c>
      <x:c r="D1987" s="8" t="n">
        <x:v>45385</x:v>
      </x:c>
      <x:c r="E1987" s="9" t="n">
        <x:v>5146500</x:v>
      </x:c>
      <x:c r="F1987" s="9" t="n">
        <x:v>5146500</x:v>
      </x:c>
    </x:row>
    <x:row r="1988" ht="34" customHeight="1">
      <x:c r="A1988" s="4" t="str">
        <x:v>RS-01012-I3</x:v>
      </x:c>
      <x:c r="B1988" s="4" t="str">
        <x:v>RS-01012</x:v>
      </x:c>
      <x:c r="C1988" s="9" t="n">
        <x:v>3</x:v>
      </x:c>
      <x:c r="D1988" s="8" t="n">
        <x:v>45415</x:v>
      </x:c>
      <x:c r="E1988" s="9" t="n">
        <x:v>5146500</x:v>
      </x:c>
      <x:c r="F1988" s="9" t="n">
        <x:v>5146500</x:v>
      </x:c>
    </x:row>
    <x:row r="1989" ht="34" customHeight="1">
      <x:c r="A1989" s="4" t="str">
        <x:v>RS-01012-I4</x:v>
      </x:c>
      <x:c r="B1989" s="4" t="str">
        <x:v>RS-01012</x:v>
      </x:c>
      <x:c r="C1989" s="9" t="n">
        <x:v>4</x:v>
      </x:c>
      <x:c r="D1989" s="8" t="n">
        <x:v>45445</x:v>
      </x:c>
      <x:c r="E1989" s="9" t="n">
        <x:v>5146500</x:v>
      </x:c>
      <x:c r="F1989" s="9" t="n">
        <x:v>5146500</x:v>
      </x:c>
    </x:row>
    <x:row r="1990" ht="34" customHeight="1">
      <x:c r="A1990" s="4" t="str">
        <x:v>RS-01013-I1</x:v>
      </x:c>
      <x:c r="B1990" s="4" t="str">
        <x:v>RS-01013</x:v>
      </x:c>
      <x:c r="C1990" s="9" t="n">
        <x:v>1</x:v>
      </x:c>
      <x:c r="D1990" s="8" t="n">
        <x:v>45356</x:v>
      </x:c>
      <x:c r="E1990" s="9" t="n">
        <x:v>3366000</x:v>
      </x:c>
      <x:c r="F1990" s="9" t="n">
        <x:v>3366000</x:v>
      </x:c>
    </x:row>
    <x:row r="1991" ht="34" customHeight="1">
      <x:c r="A1991" s="4" t="str">
        <x:v>RS-01013-I2</x:v>
      </x:c>
      <x:c r="B1991" s="4" t="str">
        <x:v>RS-01013</x:v>
      </x:c>
      <x:c r="C1991" s="9" t="n">
        <x:v>2</x:v>
      </x:c>
      <x:c r="D1991" s="8" t="n">
        <x:v>45386</x:v>
      </x:c>
      <x:c r="E1991" s="9" t="n">
        <x:v>3366000</x:v>
      </x:c>
      <x:c r="F1991" s="9" t="n">
        <x:v>0</x:v>
      </x:c>
    </x:row>
    <x:row r="1992" ht="34" customHeight="1">
      <x:c r="A1992" s="4" t="str">
        <x:v>RS-01013-I3</x:v>
      </x:c>
      <x:c r="B1992" s="4" t="str">
        <x:v>RS-01013</x:v>
      </x:c>
      <x:c r="C1992" s="9" t="n">
        <x:v>3</x:v>
      </x:c>
      <x:c r="D1992" s="8" t="n">
        <x:v>45416</x:v>
      </x:c>
      <x:c r="E1992" s="9" t="n">
        <x:v>3366000</x:v>
      </x:c>
      <x:c r="F1992" s="9" t="n">
        <x:v>0</x:v>
      </x:c>
    </x:row>
    <x:row r="1993" ht="34" customHeight="1">
      <x:c r="A1993" s="4" t="str">
        <x:v>RS-01013-I4</x:v>
      </x:c>
      <x:c r="B1993" s="4" t="str">
        <x:v>RS-01013</x:v>
      </x:c>
      <x:c r="C1993" s="9" t="n">
        <x:v>4</x:v>
      </x:c>
      <x:c r="D1993" s="8" t="n">
        <x:v>45446</x:v>
      </x:c>
      <x:c r="E1993" s="9" t="n">
        <x:v>3366000</x:v>
      </x:c>
      <x:c r="F1993" s="9" t="n">
        <x:v>0</x:v>
      </x:c>
    </x:row>
    <x:row r="1994" ht="34" customHeight="1">
      <x:c r="A1994" s="4" t="str">
        <x:v>RS-01014-I1</x:v>
      </x:c>
      <x:c r="B1994" s="4" t="str">
        <x:v>RS-01014</x:v>
      </x:c>
      <x:c r="C1994" s="9" t="n">
        <x:v>1</x:v>
      </x:c>
      <x:c r="D1994" s="8" t="n">
        <x:v>45357</x:v>
      </x:c>
      <x:c r="E1994" s="9" t="n">
        <x:v>4510500</x:v>
      </x:c>
      <x:c r="F1994" s="9" t="n">
        <x:v>4510500</x:v>
      </x:c>
    </x:row>
    <x:row r="1995" ht="34" customHeight="1">
      <x:c r="A1995" s="4" t="str">
        <x:v>RS-01014-I2</x:v>
      </x:c>
      <x:c r="B1995" s="4" t="str">
        <x:v>RS-01014</x:v>
      </x:c>
      <x:c r="C1995" s="9" t="n">
        <x:v>2</x:v>
      </x:c>
      <x:c r="D1995" s="8" t="n">
        <x:v>45387</x:v>
      </x:c>
      <x:c r="E1995" s="9" t="n">
        <x:v>4510500</x:v>
      </x:c>
      <x:c r="F1995" s="9" t="n">
        <x:v>0</x:v>
      </x:c>
    </x:row>
    <x:row r="1996" ht="34" customHeight="1">
      <x:c r="A1996" s="4" t="str">
        <x:v>RS-01014-I3</x:v>
      </x:c>
      <x:c r="B1996" s="4" t="str">
        <x:v>RS-01014</x:v>
      </x:c>
      <x:c r="C1996" s="9" t="n">
        <x:v>3</x:v>
      </x:c>
      <x:c r="D1996" s="8" t="n">
        <x:v>45417</x:v>
      </x:c>
      <x:c r="E1996" s="9" t="n">
        <x:v>4510500</x:v>
      </x:c>
      <x:c r="F1996" s="9" t="n">
        <x:v>0</x:v>
      </x:c>
    </x:row>
    <x:row r="1997" ht="34" customHeight="1">
      <x:c r="A1997" s="4" t="str">
        <x:v>RS-01014-I4</x:v>
      </x:c>
      <x:c r="B1997" s="4" t="str">
        <x:v>RS-01014</x:v>
      </x:c>
      <x:c r="C1997" s="9" t="n">
        <x:v>4</x:v>
      </x:c>
      <x:c r="D1997" s="8" t="n">
        <x:v>45447</x:v>
      </x:c>
      <x:c r="E1997" s="9" t="n">
        <x:v>4510500</x:v>
      </x:c>
      <x:c r="F1997" s="9" t="n">
        <x:v>0</x:v>
      </x:c>
    </x:row>
    <x:row r="1998" ht="34" customHeight="1">
      <x:c r="A1998" s="4" t="str">
        <x:v>RS-01015-I1</x:v>
      </x:c>
      <x:c r="B1998" s="4" t="str">
        <x:v>RS-01015</x:v>
      </x:c>
      <x:c r="C1998" s="9" t="n">
        <x:v>1</x:v>
      </x:c>
      <x:c r="D1998" s="8" t="n">
        <x:v>45358</x:v>
      </x:c>
      <x:c r="E1998" s="9" t="n">
        <x:v>2400750</x:v>
      </x:c>
      <x:c r="F1998" s="9" t="n">
        <x:v>960300</x:v>
      </x:c>
    </x:row>
    <x:row r="1999" ht="34" customHeight="1">
      <x:c r="A1999" s="4" t="str">
        <x:v>RS-01015-I2</x:v>
      </x:c>
      <x:c r="B1999" s="4" t="str">
        <x:v>RS-01015</x:v>
      </x:c>
      <x:c r="C1999" s="9" t="n">
        <x:v>2</x:v>
      </x:c>
      <x:c r="D1999" s="8" t="n">
        <x:v>45388</x:v>
      </x:c>
      <x:c r="E1999" s="9" t="n">
        <x:v>2400750</x:v>
      </x:c>
      <x:c r="F1999" s="9" t="n">
        <x:v>0</x:v>
      </x:c>
    </x:row>
    <x:row r="2000" ht="34" customHeight="1">
      <x:c r="A2000" s="4" t="str">
        <x:v>RS-01015-I3</x:v>
      </x:c>
      <x:c r="B2000" s="4" t="str">
        <x:v>RS-01015</x:v>
      </x:c>
      <x:c r="C2000" s="9" t="n">
        <x:v>3</x:v>
      </x:c>
      <x:c r="D2000" s="8" t="n">
        <x:v>45418</x:v>
      </x:c>
      <x:c r="E2000" s="9" t="n">
        <x:v>2400750</x:v>
      </x:c>
      <x:c r="F2000" s="9" t="n">
        <x:v>0</x:v>
      </x:c>
    </x:row>
    <x:row r="2001" ht="34" customHeight="1">
      <x:c r="A2001" s="4" t="str">
        <x:v>RS-01015-I4</x:v>
      </x:c>
      <x:c r="B2001" s="4" t="str">
        <x:v>RS-01015</x:v>
      </x:c>
      <x:c r="C2001" s="9" t="n">
        <x:v>4</x:v>
      </x:c>
      <x:c r="D2001" s="8" t="n">
        <x:v>45448</x:v>
      </x:c>
      <x:c r="E2001" s="9" t="n">
        <x:v>2400750</x:v>
      </x:c>
      <x:c r="F2001" s="9" t="n">
        <x:v>0</x:v>
      </x:c>
    </x:row>
    <x:row r="2002" ht="34" customHeight="1">
      <x:c r="A2002" s="4" t="str">
        <x:v>RS-01017-I1</x:v>
      </x:c>
      <x:c r="B2002" s="4" t="str">
        <x:v>RS-01017</x:v>
      </x:c>
      <x:c r="C2002" s="9" t="n">
        <x:v>1</x:v>
      </x:c>
      <x:c r="D2002" s="8" t="n">
        <x:v>45360</x:v>
      </x:c>
      <x:c r="E2002" s="9" t="n">
        <x:v>3900000</x:v>
      </x:c>
      <x:c r="F2002" s="9" t="n">
        <x:v>3900000</x:v>
      </x:c>
    </x:row>
    <x:row r="2003" ht="34" customHeight="1">
      <x:c r="A2003" s="4" t="str">
        <x:v>RS-01017-I2</x:v>
      </x:c>
      <x:c r="B2003" s="4" t="str">
        <x:v>RS-01017</x:v>
      </x:c>
      <x:c r="C2003" s="9" t="n">
        <x:v>2</x:v>
      </x:c>
      <x:c r="D2003" s="8" t="n">
        <x:v>45390</x:v>
      </x:c>
      <x:c r="E2003" s="9" t="n">
        <x:v>3900000</x:v>
      </x:c>
      <x:c r="F2003" s="9" t="n">
        <x:v>0</x:v>
      </x:c>
    </x:row>
    <x:row r="2004" ht="34" customHeight="1">
      <x:c r="A2004" s="4" t="str">
        <x:v>RS-01017-I3</x:v>
      </x:c>
      <x:c r="B2004" s="4" t="str">
        <x:v>RS-01017</x:v>
      </x:c>
      <x:c r="C2004" s="9" t="n">
        <x:v>3</x:v>
      </x:c>
      <x:c r="D2004" s="8" t="n">
        <x:v>45420</x:v>
      </x:c>
      <x:c r="E2004" s="9" t="n">
        <x:v>3900000</x:v>
      </x:c>
      <x:c r="F2004" s="9" t="n">
        <x:v>0</x:v>
      </x:c>
    </x:row>
    <x:row r="2005" ht="34" customHeight="1">
      <x:c r="A2005" s="4" t="str">
        <x:v>RS-01017-I4</x:v>
      </x:c>
      <x:c r="B2005" s="4" t="str">
        <x:v>RS-01017</x:v>
      </x:c>
      <x:c r="C2005" s="9" t="n">
        <x:v>4</x:v>
      </x:c>
      <x:c r="D2005" s="8" t="n">
        <x:v>45450</x:v>
      </x:c>
      <x:c r="E2005" s="9" t="n">
        <x:v>3900000</x:v>
      </x:c>
      <x:c r="F2005" s="9" t="n">
        <x:v>0</x:v>
      </x:c>
    </x:row>
    <x:row r="2006" ht="34" customHeight="1">
      <x:c r="A2006" s="4" t="str">
        <x:v>RS-01025-I1</x:v>
      </x:c>
      <x:c r="B2006" s="4" t="str">
        <x:v>RS-01025</x:v>
      </x:c>
      <x:c r="C2006" s="9" t="n">
        <x:v>1</x:v>
      </x:c>
      <x:c r="D2006" s="8" t="n">
        <x:v>45368</x:v>
      </x:c>
      <x:c r="E2006" s="9" t="n">
        <x:v>1472500</x:v>
      </x:c>
      <x:c r="F2006" s="9" t="n">
        <x:v>1472500</x:v>
      </x:c>
    </x:row>
    <x:row r="2007" ht="34" customHeight="1">
      <x:c r="A2007" s="4" t="str">
        <x:v>RS-01025-I2</x:v>
      </x:c>
      <x:c r="B2007" s="4" t="str">
        <x:v>RS-01025</x:v>
      </x:c>
      <x:c r="C2007" s="9" t="n">
        <x:v>2</x:v>
      </x:c>
      <x:c r="D2007" s="8" t="n">
        <x:v>45398</x:v>
      </x:c>
      <x:c r="E2007" s="9" t="n">
        <x:v>1472500</x:v>
      </x:c>
      <x:c r="F2007" s="9" t="n">
        <x:v>1472500</x:v>
      </x:c>
    </x:row>
    <x:row r="2008" ht="34" customHeight="1">
      <x:c r="A2008" s="4" t="str">
        <x:v>RS-01025-I3</x:v>
      </x:c>
      <x:c r="B2008" s="4" t="str">
        <x:v>RS-01025</x:v>
      </x:c>
      <x:c r="C2008" s="9" t="n">
        <x:v>3</x:v>
      </x:c>
      <x:c r="D2008" s="8" t="n">
        <x:v>45428</x:v>
      </x:c>
      <x:c r="E2008" s="9" t="n">
        <x:v>1472500</x:v>
      </x:c>
      <x:c r="F2008" s="9" t="n">
        <x:v>0</x:v>
      </x:c>
    </x:row>
    <x:row r="2009" ht="34" customHeight="1">
      <x:c r="A2009" s="4" t="str">
        <x:v>RS-01025-I4</x:v>
      </x:c>
      <x:c r="B2009" s="4" t="str">
        <x:v>RS-01025</x:v>
      </x:c>
      <x:c r="C2009" s="9" t="n">
        <x:v>4</x:v>
      </x:c>
      <x:c r="D2009" s="8" t="n">
        <x:v>45458</x:v>
      </x:c>
      <x:c r="E2009" s="9" t="n">
        <x:v>1472500</x:v>
      </x:c>
      <x:c r="F2009" s="9" t="n">
        <x:v>0</x:v>
      </x:c>
    </x:row>
    <x:row r="2010" ht="34" customHeight="1">
      <x:c r="A2010" s="4" t="str">
        <x:v>RS-01027-I1</x:v>
      </x:c>
      <x:c r="B2010" s="4" t="str">
        <x:v>RS-01027</x:v>
      </x:c>
      <x:c r="C2010" s="9" t="n">
        <x:v>1</x:v>
      </x:c>
      <x:c r="D2010" s="8" t="n">
        <x:v>45370</x:v>
      </x:c>
      <x:c r="E2010" s="9" t="n">
        <x:v>4018000</x:v>
      </x:c>
      <x:c r="F2010" s="9" t="n">
        <x:v>4018000</x:v>
      </x:c>
    </x:row>
    <x:row r="2011" ht="34" customHeight="1">
      <x:c r="A2011" s="4" t="str">
        <x:v>RS-01027-I2</x:v>
      </x:c>
      <x:c r="B2011" s="4" t="str">
        <x:v>RS-01027</x:v>
      </x:c>
      <x:c r="C2011" s="9" t="n">
        <x:v>2</x:v>
      </x:c>
      <x:c r="D2011" s="8" t="n">
        <x:v>45400</x:v>
      </x:c>
      <x:c r="E2011" s="9" t="n">
        <x:v>4018000</x:v>
      </x:c>
      <x:c r="F2011" s="9" t="n">
        <x:v>4018000</x:v>
      </x:c>
    </x:row>
    <x:row r="2012" ht="34" customHeight="1">
      <x:c r="A2012" s="4" t="str">
        <x:v>RS-01027-I3</x:v>
      </x:c>
      <x:c r="B2012" s="4" t="str">
        <x:v>RS-01027</x:v>
      </x:c>
      <x:c r="C2012" s="9" t="n">
        <x:v>3</x:v>
      </x:c>
      <x:c r="D2012" s="8" t="n">
        <x:v>45430</x:v>
      </x:c>
      <x:c r="E2012" s="9" t="n">
        <x:v>4018000</x:v>
      </x:c>
      <x:c r="F2012" s="9" t="n">
        <x:v>4018000</x:v>
      </x:c>
    </x:row>
    <x:row r="2013" ht="34" customHeight="1">
      <x:c r="A2013" s="4" t="str">
        <x:v>RS-01027-I4</x:v>
      </x:c>
      <x:c r="B2013" s="4" t="str">
        <x:v>RS-01027</x:v>
      </x:c>
      <x:c r="C2013" s="9" t="n">
        <x:v>4</x:v>
      </x:c>
      <x:c r="D2013" s="8" t="n">
        <x:v>45460</x:v>
      </x:c>
      <x:c r="E2013" s="9" t="n">
        <x:v>4018000</x:v>
      </x:c>
      <x:c r="F2013" s="9" t="n">
        <x:v>4018000</x:v>
      </x:c>
    </x:row>
    <x:row r="2014" ht="34" customHeight="1">
      <x:c r="A2014" s="4" t="str">
        <x:v>RS-01029-I1</x:v>
      </x:c>
      <x:c r="B2014" s="4" t="str">
        <x:v>RS-01029</x:v>
      </x:c>
      <x:c r="C2014" s="9" t="n">
        <x:v>1</x:v>
      </x:c>
      <x:c r="D2014" s="8" t="n">
        <x:v>45372</x:v>
      </x:c>
      <x:c r="E2014" s="9" t="n">
        <x:v>1604250</x:v>
      </x:c>
      <x:c r="F2014" s="9" t="n">
        <x:v>641700</x:v>
      </x:c>
    </x:row>
    <x:row r="2015" ht="34" customHeight="1">
      <x:c r="A2015" s="4" t="str">
        <x:v>RS-01029-I2</x:v>
      </x:c>
      <x:c r="B2015" s="4" t="str">
        <x:v>RS-01029</x:v>
      </x:c>
      <x:c r="C2015" s="9" t="n">
        <x:v>2</x:v>
      </x:c>
      <x:c r="D2015" s="8" t="n">
        <x:v>45402</x:v>
      </x:c>
      <x:c r="E2015" s="9" t="n">
        <x:v>1604250</x:v>
      </x:c>
      <x:c r="F2015" s="9" t="n">
        <x:v>0</x:v>
      </x:c>
    </x:row>
    <x:row r="2016" ht="34" customHeight="1">
      <x:c r="A2016" s="4" t="str">
        <x:v>RS-01029-I3</x:v>
      </x:c>
      <x:c r="B2016" s="4" t="str">
        <x:v>RS-01029</x:v>
      </x:c>
      <x:c r="C2016" s="9" t="n">
        <x:v>3</x:v>
      </x:c>
      <x:c r="D2016" s="8" t="n">
        <x:v>45432</x:v>
      </x:c>
      <x:c r="E2016" s="9" t="n">
        <x:v>1604250</x:v>
      </x:c>
      <x:c r="F2016" s="9" t="n">
        <x:v>0</x:v>
      </x:c>
    </x:row>
    <x:row r="2017" ht="34" customHeight="1">
      <x:c r="A2017" s="4" t="str">
        <x:v>RS-01029-I4</x:v>
      </x:c>
      <x:c r="B2017" s="4" t="str">
        <x:v>RS-01029</x:v>
      </x:c>
      <x:c r="C2017" s="9" t="n">
        <x:v>4</x:v>
      </x:c>
      <x:c r="D2017" s="8" t="n">
        <x:v>45462</x:v>
      </x:c>
      <x:c r="E2017" s="9" t="n">
        <x:v>1604250</x:v>
      </x:c>
      <x:c r="F2017" s="9" t="n">
        <x:v>0</x:v>
      </x:c>
    </x:row>
    <x:row r="2018" ht="34" customHeight="1">
      <x:c r="A2018" s="4" t="str">
        <x:v>RS-01030-I1</x:v>
      </x:c>
      <x:c r="B2018" s="4" t="str">
        <x:v>RS-01030</x:v>
      </x:c>
      <x:c r="C2018" s="9" t="n">
        <x:v>1</x:v>
      </x:c>
      <x:c r="D2018" s="8" t="n">
        <x:v>45373</x:v>
      </x:c>
      <x:c r="E2018" s="9" t="n">
        <x:v>5469750</x:v>
      </x:c>
      <x:c r="F2018" s="9" t="n">
        <x:v>5469750</x:v>
      </x:c>
    </x:row>
    <x:row r="2019" ht="34" customHeight="1">
      <x:c r="A2019" s="4" t="str">
        <x:v>RS-01030-I2</x:v>
      </x:c>
      <x:c r="B2019" s="4" t="str">
        <x:v>RS-01030</x:v>
      </x:c>
      <x:c r="C2019" s="9" t="n">
        <x:v>2</x:v>
      </x:c>
      <x:c r="D2019" s="8" t="n">
        <x:v>45403</x:v>
      </x:c>
      <x:c r="E2019" s="9" t="n">
        <x:v>5469750</x:v>
      </x:c>
      <x:c r="F2019" s="9" t="n">
        <x:v>5469750</x:v>
      </x:c>
    </x:row>
    <x:row r="2020" ht="34" customHeight="1">
      <x:c r="A2020" s="4" t="str">
        <x:v>RS-01030-I3</x:v>
      </x:c>
      <x:c r="B2020" s="4" t="str">
        <x:v>RS-01030</x:v>
      </x:c>
      <x:c r="C2020" s="9" t="n">
        <x:v>3</x:v>
      </x:c>
      <x:c r="D2020" s="8" t="n">
        <x:v>45433</x:v>
      </x:c>
      <x:c r="E2020" s="9" t="n">
        <x:v>5469750</x:v>
      </x:c>
      <x:c r="F2020" s="9" t="n">
        <x:v>0</x:v>
      </x:c>
    </x:row>
    <x:row r="2021" ht="34" customHeight="1">
      <x:c r="A2021" s="4" t="str">
        <x:v>RS-01030-I4</x:v>
      </x:c>
      <x:c r="B2021" s="4" t="str">
        <x:v>RS-01030</x:v>
      </x:c>
      <x:c r="C2021" s="9" t="n">
        <x:v>4</x:v>
      </x:c>
      <x:c r="D2021" s="8" t="n">
        <x:v>45463</x:v>
      </x:c>
      <x:c r="E2021" s="9" t="n">
        <x:v>5469750</x:v>
      </x:c>
      <x:c r="F2021" s="9" t="n">
        <x:v>0</x:v>
      </x:c>
    </x:row>
    <x:row r="2022" ht="34" customHeight="1">
      <x:c r="A2022" s="4" t="str">
        <x:v>RS-01032-I1</x:v>
      </x:c>
      <x:c r="B2022" s="4" t="str">
        <x:v>RS-01032</x:v>
      </x:c>
      <x:c r="C2022" s="9" t="n">
        <x:v>1</x:v>
      </x:c>
      <x:c r="D2022" s="8" t="n">
        <x:v>45375</x:v>
      </x:c>
      <x:c r="E2022" s="9" t="n">
        <x:v>3467750</x:v>
      </x:c>
      <x:c r="F2022" s="9" t="n">
        <x:v>3467750</x:v>
      </x:c>
    </x:row>
    <x:row r="2023" ht="34" customHeight="1">
      <x:c r="A2023" s="4" t="str">
        <x:v>RS-01032-I2</x:v>
      </x:c>
      <x:c r="B2023" s="4" t="str">
        <x:v>RS-01032</x:v>
      </x:c>
      <x:c r="C2023" s="9" t="n">
        <x:v>2</x:v>
      </x:c>
      <x:c r="D2023" s="8" t="n">
        <x:v>45405</x:v>
      </x:c>
      <x:c r="E2023" s="9" t="n">
        <x:v>3467750</x:v>
      </x:c>
      <x:c r="F2023" s="9" t="n">
        <x:v>0</x:v>
      </x:c>
    </x:row>
    <x:row r="2024" ht="34" customHeight="1">
      <x:c r="A2024" s="4" t="str">
        <x:v>RS-01032-I3</x:v>
      </x:c>
      <x:c r="B2024" s="4" t="str">
        <x:v>RS-01032</x:v>
      </x:c>
      <x:c r="C2024" s="9" t="n">
        <x:v>3</x:v>
      </x:c>
      <x:c r="D2024" s="8" t="n">
        <x:v>45435</x:v>
      </x:c>
      <x:c r="E2024" s="9" t="n">
        <x:v>3467750</x:v>
      </x:c>
      <x:c r="F2024" s="9" t="n">
        <x:v>0</x:v>
      </x:c>
    </x:row>
    <x:row r="2025" ht="34" customHeight="1">
      <x:c r="A2025" s="4" t="str">
        <x:v>RS-01032-I4</x:v>
      </x:c>
      <x:c r="B2025" s="4" t="str">
        <x:v>RS-01032</x:v>
      </x:c>
      <x:c r="C2025" s="9" t="n">
        <x:v>4</x:v>
      </x:c>
      <x:c r="D2025" s="8" t="n">
        <x:v>45465</x:v>
      </x:c>
      <x:c r="E2025" s="9" t="n">
        <x:v>3467750</x:v>
      </x:c>
      <x:c r="F2025" s="9" t="n">
        <x:v>0</x:v>
      </x:c>
    </x:row>
    <x:row r="2026" ht="34" customHeight="1">
      <x:c r="A2026" s="4" t="str">
        <x:v>RS-01034-I1</x:v>
      </x:c>
      <x:c r="B2026" s="4" t="str">
        <x:v>RS-01034</x:v>
      </x:c>
      <x:c r="C2026" s="9" t="n">
        <x:v>1</x:v>
      </x:c>
      <x:c r="D2026" s="8" t="n">
        <x:v>45377</x:v>
      </x:c>
      <x:c r="E2026" s="9" t="n">
        <x:v>5766750</x:v>
      </x:c>
      <x:c r="F2026" s="9" t="n">
        <x:v>2306700</x:v>
      </x:c>
    </x:row>
    <x:row r="2027" ht="34" customHeight="1">
      <x:c r="A2027" s="4" t="str">
        <x:v>RS-01034-I2</x:v>
      </x:c>
      <x:c r="B2027" s="4" t="str">
        <x:v>RS-01034</x:v>
      </x:c>
      <x:c r="C2027" s="9" t="n">
        <x:v>2</x:v>
      </x:c>
      <x:c r="D2027" s="8" t="n">
        <x:v>45407</x:v>
      </x:c>
      <x:c r="E2027" s="9" t="n">
        <x:v>5766750</x:v>
      </x:c>
      <x:c r="F2027" s="9" t="n">
        <x:v>0</x:v>
      </x:c>
    </x:row>
    <x:row r="2028" ht="34" customHeight="1">
      <x:c r="A2028" s="4" t="str">
        <x:v>RS-01034-I3</x:v>
      </x:c>
      <x:c r="B2028" s="4" t="str">
        <x:v>RS-01034</x:v>
      </x:c>
      <x:c r="C2028" s="9" t="n">
        <x:v>3</x:v>
      </x:c>
      <x:c r="D2028" s="8" t="n">
        <x:v>45437</x:v>
      </x:c>
      <x:c r="E2028" s="9" t="n">
        <x:v>5766750</x:v>
      </x:c>
      <x:c r="F2028" s="9" t="n">
        <x:v>0</x:v>
      </x:c>
    </x:row>
    <x:row r="2029" ht="34" customHeight="1">
      <x:c r="A2029" s="4" t="str">
        <x:v>RS-01034-I4</x:v>
      </x:c>
      <x:c r="B2029" s="4" t="str">
        <x:v>RS-01034</x:v>
      </x:c>
      <x:c r="C2029" s="9" t="n">
        <x:v>4</x:v>
      </x:c>
      <x:c r="D2029" s="8" t="n">
        <x:v>45467</x:v>
      </x:c>
      <x:c r="E2029" s="9" t="n">
        <x:v>5766750</x:v>
      </x:c>
      <x:c r="F2029" s="9" t="n">
        <x:v>0</x:v>
      </x:c>
    </x:row>
    <x:row r="2030" ht="34" customHeight="1">
      <x:c r="A2030" s="4" t="str">
        <x:v>RS-01036-I1</x:v>
      </x:c>
      <x:c r="B2030" s="4" t="str">
        <x:v>RS-01036</x:v>
      </x:c>
      <x:c r="C2030" s="9" t="n">
        <x:v>1</x:v>
      </x:c>
      <x:c r="D2030" s="8" t="n">
        <x:v>45379</x:v>
      </x:c>
      <x:c r="E2030" s="9" t="n">
        <x:v>3234000</x:v>
      </x:c>
      <x:c r="F2030" s="9" t="n">
        <x:v>3234000</x:v>
      </x:c>
    </x:row>
    <x:row r="2031" ht="34" customHeight="1">
      <x:c r="A2031" s="4" t="str">
        <x:v>RS-01036-I2</x:v>
      </x:c>
      <x:c r="B2031" s="4" t="str">
        <x:v>RS-01036</x:v>
      </x:c>
      <x:c r="C2031" s="9" t="n">
        <x:v>2</x:v>
      </x:c>
      <x:c r="D2031" s="8" t="n">
        <x:v>45409</x:v>
      </x:c>
      <x:c r="E2031" s="9" t="n">
        <x:v>3234000</x:v>
      </x:c>
      <x:c r="F2031" s="9" t="n">
        <x:v>3234000</x:v>
      </x:c>
    </x:row>
    <x:row r="2032" ht="34" customHeight="1">
      <x:c r="A2032" s="4" t="str">
        <x:v>RS-01036-I3</x:v>
      </x:c>
      <x:c r="B2032" s="4" t="str">
        <x:v>RS-01036</x:v>
      </x:c>
      <x:c r="C2032" s="9" t="n">
        <x:v>3</x:v>
      </x:c>
      <x:c r="D2032" s="8" t="n">
        <x:v>45439</x:v>
      </x:c>
      <x:c r="E2032" s="9" t="n">
        <x:v>3234000</x:v>
      </x:c>
      <x:c r="F2032" s="9" t="n">
        <x:v>3234000</x:v>
      </x:c>
    </x:row>
    <x:row r="2033" ht="34" customHeight="1">
      <x:c r="A2033" s="4" t="str">
        <x:v>RS-01036-I4</x:v>
      </x:c>
      <x:c r="B2033" s="4" t="str">
        <x:v>RS-01036</x:v>
      </x:c>
      <x:c r="C2033" s="9" t="n">
        <x:v>4</x:v>
      </x:c>
      <x:c r="D2033" s="8" t="n">
        <x:v>45469</x:v>
      </x:c>
      <x:c r="E2033" s="9" t="n">
        <x:v>3234000</x:v>
      </x:c>
      <x:c r="F2033" s="9" t="n">
        <x:v>3234000</x:v>
      </x:c>
    </x:row>
    <x:row r="2034" ht="34" customHeight="1">
      <x:c r="A2034" s="4" t="str">
        <x:v>RS-01037-I1</x:v>
      </x:c>
      <x:c r="B2034" s="4" t="str">
        <x:v>RS-01037</x:v>
      </x:c>
      <x:c r="C2034" s="9" t="n">
        <x:v>1</x:v>
      </x:c>
      <x:c r="D2034" s="8" t="n">
        <x:v>45352</x:v>
      </x:c>
      <x:c r="E2034" s="9" t="n">
        <x:v>3906000</x:v>
      </x:c>
      <x:c r="F2034" s="9" t="n">
        <x:v>3906000</x:v>
      </x:c>
    </x:row>
    <x:row r="2035" ht="34" customHeight="1">
      <x:c r="A2035" s="4" t="str">
        <x:v>RS-01037-I2</x:v>
      </x:c>
      <x:c r="B2035" s="4" t="str">
        <x:v>RS-01037</x:v>
      </x:c>
      <x:c r="C2035" s="9" t="n">
        <x:v>2</x:v>
      </x:c>
      <x:c r="D2035" s="8" t="n">
        <x:v>45382</x:v>
      </x:c>
      <x:c r="E2035" s="9" t="n">
        <x:v>3906000</x:v>
      </x:c>
      <x:c r="F2035" s="9" t="n">
        <x:v>3906000</x:v>
      </x:c>
    </x:row>
    <x:row r="2036" ht="34" customHeight="1">
      <x:c r="A2036" s="4" t="str">
        <x:v>RS-01037-I3</x:v>
      </x:c>
      <x:c r="B2036" s="4" t="str">
        <x:v>RS-01037</x:v>
      </x:c>
      <x:c r="C2036" s="9" t="n">
        <x:v>3</x:v>
      </x:c>
      <x:c r="D2036" s="8" t="n">
        <x:v>45412</x:v>
      </x:c>
      <x:c r="E2036" s="9" t="n">
        <x:v>3906000</x:v>
      </x:c>
      <x:c r="F2036" s="9" t="n">
        <x:v>3906000</x:v>
      </x:c>
    </x:row>
    <x:row r="2037" ht="34" customHeight="1">
      <x:c r="A2037" s="4" t="str">
        <x:v>RS-01037-I4</x:v>
      </x:c>
      <x:c r="B2037" s="4" t="str">
        <x:v>RS-01037</x:v>
      </x:c>
      <x:c r="C2037" s="9" t="n">
        <x:v>4</x:v>
      </x:c>
      <x:c r="D2037" s="8" t="n">
        <x:v>45442</x:v>
      </x:c>
      <x:c r="E2037" s="9" t="n">
        <x:v>3906000</x:v>
      </x:c>
      <x:c r="F2037" s="9" t="n">
        <x:v>3906000</x:v>
      </x:c>
    </x:row>
    <x:row r="2038" ht="34" customHeight="1">
      <x:c r="A2038" s="4" t="str">
        <x:v>RS-01038-I1</x:v>
      </x:c>
      <x:c r="B2038" s="4" t="str">
        <x:v>RS-01038</x:v>
      </x:c>
      <x:c r="C2038" s="9" t="n">
        <x:v>1</x:v>
      </x:c>
      <x:c r="D2038" s="8" t="n">
        <x:v>45353</x:v>
      </x:c>
      <x:c r="E2038" s="9" t="n">
        <x:v>5091750</x:v>
      </x:c>
      <x:c r="F2038" s="9" t="n">
        <x:v>5091750</x:v>
      </x:c>
    </x:row>
    <x:row r="2039" ht="34" customHeight="1">
      <x:c r="A2039" s="4" t="str">
        <x:v>RS-01038-I2</x:v>
      </x:c>
      <x:c r="B2039" s="4" t="str">
        <x:v>RS-01038</x:v>
      </x:c>
      <x:c r="C2039" s="9" t="n">
        <x:v>2</x:v>
      </x:c>
      <x:c r="D2039" s="8" t="n">
        <x:v>45383</x:v>
      </x:c>
      <x:c r="E2039" s="9" t="n">
        <x:v>5091750</x:v>
      </x:c>
      <x:c r="F2039" s="9" t="n">
        <x:v>0</x:v>
      </x:c>
    </x:row>
    <x:row r="2040" ht="34" customHeight="1">
      <x:c r="A2040" s="4" t="str">
        <x:v>RS-01038-I3</x:v>
      </x:c>
      <x:c r="B2040" s="4" t="str">
        <x:v>RS-01038</x:v>
      </x:c>
      <x:c r="C2040" s="9" t="n">
        <x:v>3</x:v>
      </x:c>
      <x:c r="D2040" s="8" t="n">
        <x:v>45413</x:v>
      </x:c>
      <x:c r="E2040" s="9" t="n">
        <x:v>5091750</x:v>
      </x:c>
      <x:c r="F2040" s="9" t="n">
        <x:v>0</x:v>
      </x:c>
    </x:row>
    <x:row r="2041" ht="34" customHeight="1">
      <x:c r="A2041" s="4" t="str">
        <x:v>RS-01038-I4</x:v>
      </x:c>
      <x:c r="B2041" s="4" t="str">
        <x:v>RS-01038</x:v>
      </x:c>
      <x:c r="C2041" s="9" t="n">
        <x:v>4</x:v>
      </x:c>
      <x:c r="D2041" s="8" t="n">
        <x:v>45443</x:v>
      </x:c>
      <x:c r="E2041" s="9" t="n">
        <x:v>5091750</x:v>
      </x:c>
      <x:c r="F2041" s="9" t="n">
        <x:v>0</x:v>
      </x:c>
    </x:row>
    <x:row r="2042" ht="34" customHeight="1">
      <x:c r="A2042" s="4" t="str">
        <x:v>RS-01039-I1</x:v>
      </x:c>
      <x:c r="B2042" s="4" t="str">
        <x:v>RS-01039</x:v>
      </x:c>
      <x:c r="C2042" s="9" t="n">
        <x:v>1</x:v>
      </x:c>
      <x:c r="D2042" s="8" t="n">
        <x:v>45354</x:v>
      </x:c>
      <x:c r="E2042" s="9" t="n">
        <x:v>5161500</x:v>
      </x:c>
      <x:c r="F2042" s="9" t="n">
        <x:v>5161500</x:v>
      </x:c>
    </x:row>
    <x:row r="2043" ht="34" customHeight="1">
      <x:c r="A2043" s="4" t="str">
        <x:v>RS-01039-I2</x:v>
      </x:c>
      <x:c r="B2043" s="4" t="str">
        <x:v>RS-01039</x:v>
      </x:c>
      <x:c r="C2043" s="9" t="n">
        <x:v>2</x:v>
      </x:c>
      <x:c r="D2043" s="8" t="n">
        <x:v>45384</x:v>
      </x:c>
      <x:c r="E2043" s="9" t="n">
        <x:v>5161500</x:v>
      </x:c>
      <x:c r="F2043" s="9" t="n">
        <x:v>5161500</x:v>
      </x:c>
    </x:row>
    <x:row r="2044" ht="34" customHeight="1">
      <x:c r="A2044" s="4" t="str">
        <x:v>RS-01039-I3</x:v>
      </x:c>
      <x:c r="B2044" s="4" t="str">
        <x:v>RS-01039</x:v>
      </x:c>
      <x:c r="C2044" s="9" t="n">
        <x:v>3</x:v>
      </x:c>
      <x:c r="D2044" s="8" t="n">
        <x:v>45414</x:v>
      </x:c>
      <x:c r="E2044" s="9" t="n">
        <x:v>5161500</x:v>
      </x:c>
      <x:c r="F2044" s="9" t="n">
        <x:v>5161500</x:v>
      </x:c>
    </x:row>
    <x:row r="2045" ht="34" customHeight="1">
      <x:c r="A2045" s="4" t="str">
        <x:v>RS-01039-I4</x:v>
      </x:c>
      <x:c r="B2045" s="4" t="str">
        <x:v>RS-01039</x:v>
      </x:c>
      <x:c r="C2045" s="9" t="n">
        <x:v>4</x:v>
      </x:c>
      <x:c r="D2045" s="8" t="n">
        <x:v>45444</x:v>
      </x:c>
      <x:c r="E2045" s="9" t="n">
        <x:v>5161500</x:v>
      </x:c>
      <x:c r="F2045" s="9" t="n">
        <x:v>5161500</x:v>
      </x:c>
    </x:row>
    <x:row r="2046" ht="34" customHeight="1">
      <x:c r="A2046" s="4" t="str">
        <x:v>RS-01041-I1</x:v>
      </x:c>
      <x:c r="B2046" s="4" t="str">
        <x:v>RS-01041</x:v>
      </x:c>
      <x:c r="C2046" s="9" t="n">
        <x:v>1</x:v>
      </x:c>
      <x:c r="D2046" s="8" t="n">
        <x:v>45356</x:v>
      </x:c>
      <x:c r="E2046" s="9" t="n">
        <x:v>735000</x:v>
      </x:c>
      <x:c r="F2046" s="9" t="n">
        <x:v>735000</x:v>
      </x:c>
    </x:row>
    <x:row r="2047" ht="34" customHeight="1">
      <x:c r="A2047" s="4" t="str">
        <x:v>RS-01041-I2</x:v>
      </x:c>
      <x:c r="B2047" s="4" t="str">
        <x:v>RS-01041</x:v>
      </x:c>
      <x:c r="C2047" s="9" t="n">
        <x:v>2</x:v>
      </x:c>
      <x:c r="D2047" s="8" t="n">
        <x:v>45386</x:v>
      </x:c>
      <x:c r="E2047" s="9" t="n">
        <x:v>735000</x:v>
      </x:c>
      <x:c r="F2047" s="9" t="n">
        <x:v>735000</x:v>
      </x:c>
    </x:row>
    <x:row r="2048" ht="34" customHeight="1">
      <x:c r="A2048" s="4" t="str">
        <x:v>RS-01041-I3</x:v>
      </x:c>
      <x:c r="B2048" s="4" t="str">
        <x:v>RS-01041</x:v>
      </x:c>
      <x:c r="C2048" s="9" t="n">
        <x:v>3</x:v>
      </x:c>
      <x:c r="D2048" s="8" t="n">
        <x:v>45416</x:v>
      </x:c>
      <x:c r="E2048" s="9" t="n">
        <x:v>735000</x:v>
      </x:c>
      <x:c r="F2048" s="9" t="n">
        <x:v>0</x:v>
      </x:c>
    </x:row>
    <x:row r="2049" ht="34" customHeight="1">
      <x:c r="A2049" s="4" t="str">
        <x:v>RS-01041-I4</x:v>
      </x:c>
      <x:c r="B2049" s="4" t="str">
        <x:v>RS-01041</x:v>
      </x:c>
      <x:c r="C2049" s="9" t="n">
        <x:v>4</x:v>
      </x:c>
      <x:c r="D2049" s="8" t="n">
        <x:v>45446</x:v>
      </x:c>
      <x:c r="E2049" s="9" t="n">
        <x:v>735000</x:v>
      </x:c>
      <x:c r="F2049" s="9" t="n">
        <x:v>0</x:v>
      </x:c>
    </x:row>
    <x:row r="2050" ht="34" customHeight="1">
      <x:c r="A2050" s="4" t="str">
        <x:v>RS-01043-I1</x:v>
      </x:c>
      <x:c r="B2050" s="4" t="str">
        <x:v>RS-01043</x:v>
      </x:c>
      <x:c r="C2050" s="9" t="n">
        <x:v>1</x:v>
      </x:c>
      <x:c r="D2050" s="8" t="n">
        <x:v>45358</x:v>
      </x:c>
      <x:c r="E2050" s="9" t="n">
        <x:v>5497000</x:v>
      </x:c>
      <x:c r="F2050" s="9" t="n">
        <x:v>5497000</x:v>
      </x:c>
    </x:row>
    <x:row r="2051" ht="34" customHeight="1">
      <x:c r="A2051" s="4" t="str">
        <x:v>RS-01043-I2</x:v>
      </x:c>
      <x:c r="B2051" s="4" t="str">
        <x:v>RS-01043</x:v>
      </x:c>
      <x:c r="C2051" s="9" t="n">
        <x:v>2</x:v>
      </x:c>
      <x:c r="D2051" s="8" t="n">
        <x:v>45388</x:v>
      </x:c>
      <x:c r="E2051" s="9" t="n">
        <x:v>5497000</x:v>
      </x:c>
      <x:c r="F2051" s="9" t="n">
        <x:v>5497000</x:v>
      </x:c>
    </x:row>
    <x:row r="2052" ht="34" customHeight="1">
      <x:c r="A2052" s="4" t="str">
        <x:v>RS-01043-I3</x:v>
      </x:c>
      <x:c r="B2052" s="4" t="str">
        <x:v>RS-01043</x:v>
      </x:c>
      <x:c r="C2052" s="9" t="n">
        <x:v>3</x:v>
      </x:c>
      <x:c r="D2052" s="8" t="n">
        <x:v>45418</x:v>
      </x:c>
      <x:c r="E2052" s="9" t="n">
        <x:v>5497000</x:v>
      </x:c>
      <x:c r="F2052" s="9" t="n">
        <x:v>0</x:v>
      </x:c>
    </x:row>
    <x:row r="2053" ht="34" customHeight="1">
      <x:c r="A2053" s="4" t="str">
        <x:v>RS-01043-I4</x:v>
      </x:c>
      <x:c r="B2053" s="4" t="str">
        <x:v>RS-01043</x:v>
      </x:c>
      <x:c r="C2053" s="9" t="n">
        <x:v>4</x:v>
      </x:c>
      <x:c r="D2053" s="8" t="n">
        <x:v>45448</x:v>
      </x:c>
      <x:c r="E2053" s="9" t="n">
        <x:v>5497000</x:v>
      </x:c>
      <x:c r="F2053" s="9" t="n">
        <x:v>0</x:v>
      </x:c>
    </x:row>
    <x:row r="2054" ht="34" customHeight="1">
      <x:c r="A2054" s="4" t="str">
        <x:v>RS-01044-I1</x:v>
      </x:c>
      <x:c r="B2054" s="4" t="str">
        <x:v>RS-01044</x:v>
      </x:c>
      <x:c r="C2054" s="9" t="n">
        <x:v>1</x:v>
      </x:c>
      <x:c r="D2054" s="8" t="n">
        <x:v>45359</x:v>
      </x:c>
      <x:c r="E2054" s="9" t="n">
        <x:v>893000</x:v>
      </x:c>
      <x:c r="F2054" s="9" t="n">
        <x:v>893000</x:v>
      </x:c>
    </x:row>
    <x:row r="2055" ht="34" customHeight="1">
      <x:c r="A2055" s="4" t="str">
        <x:v>RS-01044-I2</x:v>
      </x:c>
      <x:c r="B2055" s="4" t="str">
        <x:v>RS-01044</x:v>
      </x:c>
      <x:c r="C2055" s="9" t="n">
        <x:v>2</x:v>
      </x:c>
      <x:c r="D2055" s="8" t="n">
        <x:v>45389</x:v>
      </x:c>
      <x:c r="E2055" s="9" t="n">
        <x:v>893000</x:v>
      </x:c>
      <x:c r="F2055" s="9" t="n">
        <x:v>0</x:v>
      </x:c>
    </x:row>
    <x:row r="2056" ht="34" customHeight="1">
      <x:c r="A2056" s="4" t="str">
        <x:v>RS-01044-I3</x:v>
      </x:c>
      <x:c r="B2056" s="4" t="str">
        <x:v>RS-01044</x:v>
      </x:c>
      <x:c r="C2056" s="9" t="n">
        <x:v>3</x:v>
      </x:c>
      <x:c r="D2056" s="8" t="n">
        <x:v>45419</x:v>
      </x:c>
      <x:c r="E2056" s="9" t="n">
        <x:v>893000</x:v>
      </x:c>
      <x:c r="F2056" s="9" t="n">
        <x:v>0</x:v>
      </x:c>
    </x:row>
    <x:row r="2057" ht="34" customHeight="1">
      <x:c r="A2057" s="4" t="str">
        <x:v>RS-01044-I4</x:v>
      </x:c>
      <x:c r="B2057" s="4" t="str">
        <x:v>RS-01044</x:v>
      </x:c>
      <x:c r="C2057" s="9" t="n">
        <x:v>4</x:v>
      </x:c>
      <x:c r="D2057" s="8" t="n">
        <x:v>45449</x:v>
      </x:c>
      <x:c r="E2057" s="9" t="n">
        <x:v>893000</x:v>
      </x:c>
      <x:c r="F2057" s="9" t="n">
        <x:v>0</x:v>
      </x:c>
    </x:row>
    <x:row r="2058" ht="34" customHeight="1">
      <x:c r="A2058" s="4" t="str">
        <x:v>RS-01046-I1</x:v>
      </x:c>
      <x:c r="B2058" s="4" t="str">
        <x:v>RS-01046</x:v>
      </x:c>
      <x:c r="C2058" s="9" t="n">
        <x:v>1</x:v>
      </x:c>
      <x:c r="D2058" s="8" t="n">
        <x:v>45361</x:v>
      </x:c>
      <x:c r="E2058" s="9" t="n">
        <x:v>1160250</x:v>
      </x:c>
      <x:c r="F2058" s="9" t="n">
        <x:v>464100</x:v>
      </x:c>
    </x:row>
    <x:row r="2059" ht="34" customHeight="1">
      <x:c r="A2059" s="4" t="str">
        <x:v>RS-01046-I2</x:v>
      </x:c>
      <x:c r="B2059" s="4" t="str">
        <x:v>RS-01046</x:v>
      </x:c>
      <x:c r="C2059" s="9" t="n">
        <x:v>2</x:v>
      </x:c>
      <x:c r="D2059" s="8" t="n">
        <x:v>45391</x:v>
      </x:c>
      <x:c r="E2059" s="9" t="n">
        <x:v>1160250</x:v>
      </x:c>
      <x:c r="F2059" s="9" t="n">
        <x:v>0</x:v>
      </x:c>
    </x:row>
    <x:row r="2060" ht="34" customHeight="1">
      <x:c r="A2060" s="4" t="str">
        <x:v>RS-01046-I3</x:v>
      </x:c>
      <x:c r="B2060" s="4" t="str">
        <x:v>RS-01046</x:v>
      </x:c>
      <x:c r="C2060" s="9" t="n">
        <x:v>3</x:v>
      </x:c>
      <x:c r="D2060" s="8" t="n">
        <x:v>45421</x:v>
      </x:c>
      <x:c r="E2060" s="9" t="n">
        <x:v>1160250</x:v>
      </x:c>
      <x:c r="F2060" s="9" t="n">
        <x:v>0</x:v>
      </x:c>
    </x:row>
    <x:row r="2061" ht="34" customHeight="1">
      <x:c r="A2061" s="4" t="str">
        <x:v>RS-01046-I4</x:v>
      </x:c>
      <x:c r="B2061" s="4" t="str">
        <x:v>RS-01046</x:v>
      </x:c>
      <x:c r="C2061" s="9" t="n">
        <x:v>4</x:v>
      </x:c>
      <x:c r="D2061" s="8" t="n">
        <x:v>45451</x:v>
      </x:c>
      <x:c r="E2061" s="9" t="n">
        <x:v>1160250</x:v>
      </x:c>
      <x:c r="F2061" s="9" t="n">
        <x:v>0</x:v>
      </x:c>
    </x:row>
    <x:row r="2062" ht="34" customHeight="1">
      <x:c r="A2062" s="4" t="str">
        <x:v>RS-01047-I1</x:v>
      </x:c>
      <x:c r="B2062" s="4" t="str">
        <x:v>RS-01047</x:v>
      </x:c>
      <x:c r="C2062" s="9" t="n">
        <x:v>1</x:v>
      </x:c>
      <x:c r="D2062" s="8" t="n">
        <x:v>45362</x:v>
      </x:c>
      <x:c r="E2062" s="9" t="n">
        <x:v>2275000</x:v>
      </x:c>
      <x:c r="F2062" s="9" t="n">
        <x:v>2275000</x:v>
      </x:c>
    </x:row>
    <x:row r="2063" ht="34" customHeight="1">
      <x:c r="A2063" s="4" t="str">
        <x:v>RS-01047-I2</x:v>
      </x:c>
      <x:c r="B2063" s="4" t="str">
        <x:v>RS-01047</x:v>
      </x:c>
      <x:c r="C2063" s="9" t="n">
        <x:v>2</x:v>
      </x:c>
      <x:c r="D2063" s="8" t="n">
        <x:v>45392</x:v>
      </x:c>
      <x:c r="E2063" s="9" t="n">
        <x:v>2275000</x:v>
      </x:c>
      <x:c r="F2063" s="9" t="n">
        <x:v>0</x:v>
      </x:c>
    </x:row>
    <x:row r="2064" ht="34" customHeight="1">
      <x:c r="A2064" s="4" t="str">
        <x:v>RS-01047-I3</x:v>
      </x:c>
      <x:c r="B2064" s="4" t="str">
        <x:v>RS-01047</x:v>
      </x:c>
      <x:c r="C2064" s="9" t="n">
        <x:v>3</x:v>
      </x:c>
      <x:c r="D2064" s="8" t="n">
        <x:v>45422</x:v>
      </x:c>
      <x:c r="E2064" s="9" t="n">
        <x:v>2275000</x:v>
      </x:c>
      <x:c r="F2064" s="9" t="n">
        <x:v>0</x:v>
      </x:c>
    </x:row>
    <x:row r="2065" ht="34" customHeight="1">
      <x:c r="A2065" s="4" t="str">
        <x:v>RS-01047-I4</x:v>
      </x:c>
      <x:c r="B2065" s="4" t="str">
        <x:v>RS-01047</x:v>
      </x:c>
      <x:c r="C2065" s="9" t="n">
        <x:v>4</x:v>
      </x:c>
      <x:c r="D2065" s="8" t="n">
        <x:v>45452</x:v>
      </x:c>
      <x:c r="E2065" s="9" t="n">
        <x:v>2275000</x:v>
      </x:c>
      <x:c r="F2065" s="9" t="n">
        <x:v>0</x:v>
      </x:c>
    </x:row>
    <x:row r="2066" ht="34" customHeight="1">
      <x:c r="A2066" s="4" t="str">
        <x:v>RS-01048-I1</x:v>
      </x:c>
      <x:c r="B2066" s="4" t="str">
        <x:v>RS-01048</x:v>
      </x:c>
      <x:c r="C2066" s="9" t="n">
        <x:v>1</x:v>
      </x:c>
      <x:c r="D2066" s="8" t="n">
        <x:v>45363</x:v>
      </x:c>
      <x:c r="E2066" s="9" t="n">
        <x:v>2867000</x:v>
      </x:c>
      <x:c r="F2066" s="9" t="n">
        <x:v>2867000</x:v>
      </x:c>
    </x:row>
    <x:row r="2067" ht="34" customHeight="1">
      <x:c r="A2067" s="4" t="str">
        <x:v>RS-01048-I2</x:v>
      </x:c>
      <x:c r="B2067" s="4" t="str">
        <x:v>RS-01048</x:v>
      </x:c>
      <x:c r="C2067" s="9" t="n">
        <x:v>2</x:v>
      </x:c>
      <x:c r="D2067" s="8" t="n">
        <x:v>45393</x:v>
      </x:c>
      <x:c r="E2067" s="9" t="n">
        <x:v>2867000</x:v>
      </x:c>
      <x:c r="F2067" s="9" t="n">
        <x:v>2867000</x:v>
      </x:c>
    </x:row>
    <x:row r="2068" ht="34" customHeight="1">
      <x:c r="A2068" s="4" t="str">
        <x:v>RS-01048-I3</x:v>
      </x:c>
      <x:c r="B2068" s="4" t="str">
        <x:v>RS-01048</x:v>
      </x:c>
      <x:c r="C2068" s="9" t="n">
        <x:v>3</x:v>
      </x:c>
      <x:c r="D2068" s="8" t="n">
        <x:v>45423</x:v>
      </x:c>
      <x:c r="E2068" s="9" t="n">
        <x:v>2867000</x:v>
      </x:c>
      <x:c r="F2068" s="9" t="n">
        <x:v>2867000</x:v>
      </x:c>
    </x:row>
    <x:row r="2069" ht="34" customHeight="1">
      <x:c r="A2069" s="4" t="str">
        <x:v>RS-01048-I4</x:v>
      </x:c>
      <x:c r="B2069" s="4" t="str">
        <x:v>RS-01048</x:v>
      </x:c>
      <x:c r="C2069" s="9" t="n">
        <x:v>4</x:v>
      </x:c>
      <x:c r="D2069" s="8" t="n">
        <x:v>45453</x:v>
      </x:c>
      <x:c r="E2069" s="9" t="n">
        <x:v>2867000</x:v>
      </x:c>
      <x:c r="F2069" s="9" t="n">
        <x:v>2867000</x:v>
      </x:c>
    </x:row>
    <x:row r="2070" ht="34" customHeight="1">
      <x:c r="A2070" s="4" t="str">
        <x:v>RS-01050-I1</x:v>
      </x:c>
      <x:c r="B2070" s="4" t="str">
        <x:v>RS-01050</x:v>
      </x:c>
      <x:c r="C2070" s="9" t="n">
        <x:v>1</x:v>
      </x:c>
      <x:c r="D2070" s="8" t="n">
        <x:v>45365</x:v>
      </x:c>
      <x:c r="E2070" s="9" t="n">
        <x:v>2499750</x:v>
      </x:c>
      <x:c r="F2070" s="9" t="n">
        <x:v>999900</x:v>
      </x:c>
    </x:row>
    <x:row r="2071" ht="34" customHeight="1">
      <x:c r="A2071" s="4" t="str">
        <x:v>RS-01050-I2</x:v>
      </x:c>
      <x:c r="B2071" s="4" t="str">
        <x:v>RS-01050</x:v>
      </x:c>
      <x:c r="C2071" s="9" t="n">
        <x:v>2</x:v>
      </x:c>
      <x:c r="D2071" s="8" t="n">
        <x:v>45395</x:v>
      </x:c>
      <x:c r="E2071" s="9" t="n">
        <x:v>2499750</x:v>
      </x:c>
      <x:c r="F2071" s="9" t="n">
        <x:v>0</x:v>
      </x:c>
    </x:row>
    <x:row r="2072" ht="34" customHeight="1">
      <x:c r="A2072" s="4" t="str">
        <x:v>RS-01050-I3</x:v>
      </x:c>
      <x:c r="B2072" s="4" t="str">
        <x:v>RS-01050</x:v>
      </x:c>
      <x:c r="C2072" s="9" t="n">
        <x:v>3</x:v>
      </x:c>
      <x:c r="D2072" s="8" t="n">
        <x:v>45425</x:v>
      </x:c>
      <x:c r="E2072" s="9" t="n">
        <x:v>2499750</x:v>
      </x:c>
      <x:c r="F2072" s="9" t="n">
        <x:v>0</x:v>
      </x:c>
    </x:row>
    <x:row r="2073" ht="34" customHeight="1">
      <x:c r="A2073" s="4" t="str">
        <x:v>RS-01050-I4</x:v>
      </x:c>
      <x:c r="B2073" s="4" t="str">
        <x:v>RS-01050</x:v>
      </x:c>
      <x:c r="C2073" s="9" t="n">
        <x:v>4</x:v>
      </x:c>
      <x:c r="D2073" s="8" t="n">
        <x:v>45455</x:v>
      </x:c>
      <x:c r="E2073" s="9" t="n">
        <x:v>2499750</x:v>
      </x:c>
      <x:c r="F2073" s="9" t="n">
        <x:v>0</x:v>
      </x:c>
    </x:row>
    <x:row r="2074" ht="34" customHeight="1">
      <x:c r="A2074" s="4" t="str">
        <x:v>RS-01054-I1</x:v>
      </x:c>
      <x:c r="B2074" s="4" t="str">
        <x:v>RS-01054</x:v>
      </x:c>
      <x:c r="C2074" s="9" t="n">
        <x:v>1</x:v>
      </x:c>
      <x:c r="D2074" s="8" t="n">
        <x:v>45369</x:v>
      </x:c>
      <x:c r="E2074" s="9" t="n">
        <x:v>4320000</x:v>
      </x:c>
      <x:c r="F2074" s="9" t="n">
        <x:v>4320000</x:v>
      </x:c>
    </x:row>
    <x:row r="2075" ht="34" customHeight="1">
      <x:c r="A2075" s="4" t="str">
        <x:v>RS-01054-I2</x:v>
      </x:c>
      <x:c r="B2075" s="4" t="str">
        <x:v>RS-01054</x:v>
      </x:c>
      <x:c r="C2075" s="9" t="n">
        <x:v>2</x:v>
      </x:c>
      <x:c r="D2075" s="8" t="n">
        <x:v>45399</x:v>
      </x:c>
      <x:c r="E2075" s="9" t="n">
        <x:v>4320000</x:v>
      </x:c>
      <x:c r="F2075" s="9" t="n">
        <x:v>4320000</x:v>
      </x:c>
    </x:row>
    <x:row r="2076" ht="34" customHeight="1">
      <x:c r="A2076" s="4" t="str">
        <x:v>RS-01054-I3</x:v>
      </x:c>
      <x:c r="B2076" s="4" t="str">
        <x:v>RS-01054</x:v>
      </x:c>
      <x:c r="C2076" s="9" t="n">
        <x:v>3</x:v>
      </x:c>
      <x:c r="D2076" s="8" t="n">
        <x:v>45429</x:v>
      </x:c>
      <x:c r="E2076" s="9" t="n">
        <x:v>4320000</x:v>
      </x:c>
      <x:c r="F2076" s="9" t="n">
        <x:v>4320000</x:v>
      </x:c>
    </x:row>
    <x:row r="2077" ht="34" customHeight="1">
      <x:c r="A2077" s="4" t="str">
        <x:v>RS-01054-I4</x:v>
      </x:c>
      <x:c r="B2077" s="4" t="str">
        <x:v>RS-01054</x:v>
      </x:c>
      <x:c r="C2077" s="9" t="n">
        <x:v>4</x:v>
      </x:c>
      <x:c r="D2077" s="8" t="n">
        <x:v>45459</x:v>
      </x:c>
      <x:c r="E2077" s="9" t="n">
        <x:v>4320000</x:v>
      </x:c>
      <x:c r="F2077" s="9" t="n">
        <x:v>4320000</x:v>
      </x:c>
    </x:row>
    <x:row r="2078" ht="34" customHeight="1">
      <x:c r="A2078" s="4" t="str">
        <x:v>RS-01055-I1</x:v>
      </x:c>
      <x:c r="B2078" s="4" t="str">
        <x:v>RS-01055</x:v>
      </x:c>
      <x:c r="C2078" s="9" t="n">
        <x:v>1</x:v>
      </x:c>
      <x:c r="D2078" s="8" t="n">
        <x:v>45370</x:v>
      </x:c>
      <x:c r="E2078" s="9" t="n">
        <x:v>3689500</x:v>
      </x:c>
      <x:c r="F2078" s="9" t="n">
        <x:v>3689500</x:v>
      </x:c>
    </x:row>
    <x:row r="2079" ht="34" customHeight="1">
      <x:c r="A2079" s="4" t="str">
        <x:v>RS-01055-I2</x:v>
      </x:c>
      <x:c r="B2079" s="4" t="str">
        <x:v>RS-01055</x:v>
      </x:c>
      <x:c r="C2079" s="9" t="n">
        <x:v>2</x:v>
      </x:c>
      <x:c r="D2079" s="8" t="n">
        <x:v>45400</x:v>
      </x:c>
      <x:c r="E2079" s="9" t="n">
        <x:v>3689500</x:v>
      </x:c>
      <x:c r="F2079" s="9" t="n">
        <x:v>3689500</x:v>
      </x:c>
    </x:row>
    <x:row r="2080" ht="34" customHeight="1">
      <x:c r="A2080" s="4" t="str">
        <x:v>RS-01055-I3</x:v>
      </x:c>
      <x:c r="B2080" s="4" t="str">
        <x:v>RS-01055</x:v>
      </x:c>
      <x:c r="C2080" s="9" t="n">
        <x:v>3</x:v>
      </x:c>
      <x:c r="D2080" s="8" t="n">
        <x:v>45430</x:v>
      </x:c>
      <x:c r="E2080" s="9" t="n">
        <x:v>3689500</x:v>
      </x:c>
      <x:c r="F2080" s="9" t="n">
        <x:v>3689500</x:v>
      </x:c>
    </x:row>
    <x:row r="2081" ht="34" customHeight="1">
      <x:c r="A2081" s="4" t="str">
        <x:v>RS-01055-I4</x:v>
      </x:c>
      <x:c r="B2081" s="4" t="str">
        <x:v>RS-01055</x:v>
      </x:c>
      <x:c r="C2081" s="9" t="n">
        <x:v>4</x:v>
      </x:c>
      <x:c r="D2081" s="8" t="n">
        <x:v>45460</x:v>
      </x:c>
      <x:c r="E2081" s="9" t="n">
        <x:v>3689500</x:v>
      </x:c>
      <x:c r="F2081" s="9" t="n">
        <x:v>3689500</x:v>
      </x:c>
    </x:row>
    <x:row r="2082" ht="34" customHeight="1">
      <x:c r="A2082" s="4" t="str">
        <x:v>RS-01057-I1</x:v>
      </x:c>
      <x:c r="B2082" s="4" t="str">
        <x:v>RS-01057</x:v>
      </x:c>
      <x:c r="C2082" s="9" t="n">
        <x:v>1</x:v>
      </x:c>
      <x:c r="D2082" s="8" t="n">
        <x:v>45372</x:v>
      </x:c>
      <x:c r="E2082" s="9" t="n">
        <x:v>3249500</x:v>
      </x:c>
      <x:c r="F2082" s="9" t="n">
        <x:v>3249500</x:v>
      </x:c>
    </x:row>
    <x:row r="2083" ht="34" customHeight="1">
      <x:c r="A2083" s="4" t="str">
        <x:v>RS-01057-I2</x:v>
      </x:c>
      <x:c r="B2083" s="4" t="str">
        <x:v>RS-01057</x:v>
      </x:c>
      <x:c r="C2083" s="9" t="n">
        <x:v>2</x:v>
      </x:c>
      <x:c r="D2083" s="8" t="n">
        <x:v>45402</x:v>
      </x:c>
      <x:c r="E2083" s="9" t="n">
        <x:v>3249500</x:v>
      </x:c>
      <x:c r="F2083" s="9" t="n">
        <x:v>3249500</x:v>
      </x:c>
    </x:row>
    <x:row r="2084" ht="34" customHeight="1">
      <x:c r="A2084" s="4" t="str">
        <x:v>RS-01057-I3</x:v>
      </x:c>
      <x:c r="B2084" s="4" t="str">
        <x:v>RS-01057</x:v>
      </x:c>
      <x:c r="C2084" s="9" t="n">
        <x:v>3</x:v>
      </x:c>
      <x:c r="D2084" s="8" t="n">
        <x:v>45432</x:v>
      </x:c>
      <x:c r="E2084" s="9" t="n">
        <x:v>3249500</x:v>
      </x:c>
      <x:c r="F2084" s="9" t="n">
        <x:v>3249500</x:v>
      </x:c>
    </x:row>
    <x:row r="2085" ht="34" customHeight="1">
      <x:c r="A2085" s="4" t="str">
        <x:v>RS-01057-I4</x:v>
      </x:c>
      <x:c r="B2085" s="4" t="str">
        <x:v>RS-01057</x:v>
      </x:c>
      <x:c r="C2085" s="9" t="n">
        <x:v>4</x:v>
      </x:c>
      <x:c r="D2085" s="8" t="n">
        <x:v>45462</x:v>
      </x:c>
      <x:c r="E2085" s="9" t="n">
        <x:v>3249500</x:v>
      </x:c>
      <x:c r="F2085" s="9" t="n">
        <x:v>3249500</x:v>
      </x:c>
    </x:row>
    <x:row r="2086" ht="34" customHeight="1">
      <x:c r="A2086" s="4" t="str">
        <x:v>RS-01058-I1</x:v>
      </x:c>
      <x:c r="B2086" s="4" t="str">
        <x:v>RS-01058</x:v>
      </x:c>
      <x:c r="C2086" s="9" t="n">
        <x:v>1</x:v>
      </x:c>
      <x:c r="D2086" s="8" t="n">
        <x:v>45373</x:v>
      </x:c>
      <x:c r="E2086" s="9" t="n">
        <x:v>3768000</x:v>
      </x:c>
      <x:c r="F2086" s="9" t="n">
        <x:v>3768000</x:v>
      </x:c>
    </x:row>
    <x:row r="2087" ht="34" customHeight="1">
      <x:c r="A2087" s="4" t="str">
        <x:v>RS-01058-I2</x:v>
      </x:c>
      <x:c r="B2087" s="4" t="str">
        <x:v>RS-01058</x:v>
      </x:c>
      <x:c r="C2087" s="9" t="n">
        <x:v>2</x:v>
      </x:c>
      <x:c r="D2087" s="8" t="n">
        <x:v>45403</x:v>
      </x:c>
      <x:c r="E2087" s="9" t="n">
        <x:v>3768000</x:v>
      </x:c>
      <x:c r="F2087" s="9" t="n">
        <x:v>0</x:v>
      </x:c>
    </x:row>
    <x:row r="2088" ht="34" customHeight="1">
      <x:c r="A2088" s="4" t="str">
        <x:v>RS-01058-I3</x:v>
      </x:c>
      <x:c r="B2088" s="4" t="str">
        <x:v>RS-01058</x:v>
      </x:c>
      <x:c r="C2088" s="9" t="n">
        <x:v>3</x:v>
      </x:c>
      <x:c r="D2088" s="8" t="n">
        <x:v>45433</x:v>
      </x:c>
      <x:c r="E2088" s="9" t="n">
        <x:v>3768000</x:v>
      </x:c>
      <x:c r="F2088" s="9" t="n">
        <x:v>0</x:v>
      </x:c>
    </x:row>
    <x:row r="2089" ht="34" customHeight="1">
      <x:c r="A2089" s="4" t="str">
        <x:v>RS-01058-I4</x:v>
      </x:c>
      <x:c r="B2089" s="4" t="str">
        <x:v>RS-01058</x:v>
      </x:c>
      <x:c r="C2089" s="9" t="n">
        <x:v>4</x:v>
      </x:c>
      <x:c r="D2089" s="8" t="n">
        <x:v>45463</x:v>
      </x:c>
      <x:c r="E2089" s="9" t="n">
        <x:v>3768000</x:v>
      </x:c>
      <x:c r="F2089" s="9" t="n">
        <x:v>0</x:v>
      </x:c>
    </x:row>
    <x:row r="2090" ht="34" customHeight="1">
      <x:c r="A2090" s="4" t="str">
        <x:v>RS-01060-I1</x:v>
      </x:c>
      <x:c r="B2090" s="4" t="str">
        <x:v>RS-01060</x:v>
      </x:c>
      <x:c r="C2090" s="9" t="n">
        <x:v>1</x:v>
      </x:c>
      <x:c r="D2090" s="8" t="n">
        <x:v>45375</x:v>
      </x:c>
      <x:c r="E2090" s="9" t="n">
        <x:v>1157000</x:v>
      </x:c>
      <x:c r="F2090" s="9" t="n">
        <x:v>1157000</x:v>
      </x:c>
    </x:row>
    <x:row r="2091" ht="34" customHeight="1">
      <x:c r="A2091" s="4" t="str">
        <x:v>RS-01060-I2</x:v>
      </x:c>
      <x:c r="B2091" s="4" t="str">
        <x:v>RS-01060</x:v>
      </x:c>
      <x:c r="C2091" s="9" t="n">
        <x:v>2</x:v>
      </x:c>
      <x:c r="D2091" s="8" t="n">
        <x:v>45405</x:v>
      </x:c>
      <x:c r="E2091" s="9" t="n">
        <x:v>1157000</x:v>
      </x:c>
      <x:c r="F2091" s="9" t="n">
        <x:v>0</x:v>
      </x:c>
    </x:row>
    <x:row r="2092" ht="34" customHeight="1">
      <x:c r="A2092" s="4" t="str">
        <x:v>RS-01060-I3</x:v>
      </x:c>
      <x:c r="B2092" s="4" t="str">
        <x:v>RS-01060</x:v>
      </x:c>
      <x:c r="C2092" s="9" t="n">
        <x:v>3</x:v>
      </x:c>
      <x:c r="D2092" s="8" t="n">
        <x:v>45435</x:v>
      </x:c>
      <x:c r="E2092" s="9" t="n">
        <x:v>1157000</x:v>
      </x:c>
      <x:c r="F2092" s="9" t="n">
        <x:v>0</x:v>
      </x:c>
    </x:row>
    <x:row r="2093" ht="34" customHeight="1">
      <x:c r="A2093" s="4" t="str">
        <x:v>RS-01060-I4</x:v>
      </x:c>
      <x:c r="B2093" s="4" t="str">
        <x:v>RS-01060</x:v>
      </x:c>
      <x:c r="C2093" s="9" t="n">
        <x:v>4</x:v>
      </x:c>
      <x:c r="D2093" s="8" t="n">
        <x:v>45465</x:v>
      </x:c>
      <x:c r="E2093" s="9" t="n">
        <x:v>1157000</x:v>
      </x:c>
      <x:c r="F2093" s="9" t="n">
        <x:v>0</x:v>
      </x:c>
    </x:row>
    <x:row r="2094" ht="34" customHeight="1">
      <x:c r="A2094" s="4" t="str">
        <x:v>RS-01061-I1</x:v>
      </x:c>
      <x:c r="B2094" s="4" t="str">
        <x:v>RS-01061</x:v>
      </x:c>
      <x:c r="C2094" s="9" t="n">
        <x:v>1</x:v>
      </x:c>
      <x:c r="D2094" s="8" t="n">
        <x:v>45376</x:v>
      </x:c>
      <x:c r="E2094" s="9" t="n">
        <x:v>3768000</x:v>
      </x:c>
      <x:c r="F2094" s="9" t="n">
        <x:v>3768000</x:v>
      </x:c>
    </x:row>
    <x:row r="2095" ht="34" customHeight="1">
      <x:c r="A2095" s="4" t="str">
        <x:v>RS-01061-I2</x:v>
      </x:c>
      <x:c r="B2095" s="4" t="str">
        <x:v>RS-01061</x:v>
      </x:c>
      <x:c r="C2095" s="9" t="n">
        <x:v>2</x:v>
      </x:c>
      <x:c r="D2095" s="8" t="n">
        <x:v>45406</x:v>
      </x:c>
      <x:c r="E2095" s="9" t="n">
        <x:v>3768000</x:v>
      </x:c>
      <x:c r="F2095" s="9" t="n">
        <x:v>3768000</x:v>
      </x:c>
    </x:row>
    <x:row r="2096" ht="34" customHeight="1">
      <x:c r="A2096" s="4" t="str">
        <x:v>RS-01061-I3</x:v>
      </x:c>
      <x:c r="B2096" s="4" t="str">
        <x:v>RS-01061</x:v>
      </x:c>
      <x:c r="C2096" s="9" t="n">
        <x:v>3</x:v>
      </x:c>
      <x:c r="D2096" s="8" t="n">
        <x:v>45436</x:v>
      </x:c>
      <x:c r="E2096" s="9" t="n">
        <x:v>3768000</x:v>
      </x:c>
      <x:c r="F2096" s="9" t="n">
        <x:v>3768000</x:v>
      </x:c>
    </x:row>
    <x:row r="2097" ht="34" customHeight="1">
      <x:c r="A2097" s="4" t="str">
        <x:v>RS-01061-I4</x:v>
      </x:c>
      <x:c r="B2097" s="4" t="str">
        <x:v>RS-01061</x:v>
      </x:c>
      <x:c r="C2097" s="9" t="n">
        <x:v>4</x:v>
      </x:c>
      <x:c r="D2097" s="8" t="n">
        <x:v>45466</x:v>
      </x:c>
      <x:c r="E2097" s="9" t="n">
        <x:v>3768000</x:v>
      </x:c>
      <x:c r="F2097" s="9" t="n">
        <x:v>3768000</x:v>
      </x:c>
    </x:row>
    <x:row r="2098" ht="34" customHeight="1">
      <x:c r="A2098" s="4" t="str">
        <x:v>RS-01062-I1</x:v>
      </x:c>
      <x:c r="B2098" s="4" t="str">
        <x:v>RS-01062</x:v>
      </x:c>
      <x:c r="C2098" s="9" t="n">
        <x:v>1</x:v>
      </x:c>
      <x:c r="D2098" s="8" t="n">
        <x:v>45377</x:v>
      </x:c>
      <x:c r="E2098" s="9" t="n">
        <x:v>3426500</x:v>
      </x:c>
      <x:c r="F2098" s="9" t="n">
        <x:v>1370600</x:v>
      </x:c>
    </x:row>
    <x:row r="2099" ht="34" customHeight="1">
      <x:c r="A2099" s="4" t="str">
        <x:v>RS-01062-I2</x:v>
      </x:c>
      <x:c r="B2099" s="4" t="str">
        <x:v>RS-01062</x:v>
      </x:c>
      <x:c r="C2099" s="9" t="n">
        <x:v>2</x:v>
      </x:c>
      <x:c r="D2099" s="8" t="n">
        <x:v>45407</x:v>
      </x:c>
      <x:c r="E2099" s="9" t="n">
        <x:v>3426500</x:v>
      </x:c>
      <x:c r="F2099" s="9" t="n">
        <x:v>0</x:v>
      </x:c>
    </x:row>
    <x:row r="2100" ht="34" customHeight="1">
      <x:c r="A2100" s="4" t="str">
        <x:v>RS-01062-I3</x:v>
      </x:c>
      <x:c r="B2100" s="4" t="str">
        <x:v>RS-01062</x:v>
      </x:c>
      <x:c r="C2100" s="9" t="n">
        <x:v>3</x:v>
      </x:c>
      <x:c r="D2100" s="8" t="n">
        <x:v>45437</x:v>
      </x:c>
      <x:c r="E2100" s="9" t="n">
        <x:v>3426500</x:v>
      </x:c>
      <x:c r="F2100" s="9" t="n">
        <x:v>0</x:v>
      </x:c>
    </x:row>
    <x:row r="2101" ht="34" customHeight="1">
      <x:c r="A2101" s="4" t="str">
        <x:v>RS-01062-I4</x:v>
      </x:c>
      <x:c r="B2101" s="4" t="str">
        <x:v>RS-01062</x:v>
      </x:c>
      <x:c r="C2101" s="9" t="n">
        <x:v>4</x:v>
      </x:c>
      <x:c r="D2101" s="8" t="n">
        <x:v>45467</x:v>
      </x:c>
      <x:c r="E2101" s="9" t="n">
        <x:v>3426500</x:v>
      </x:c>
      <x:c r="F2101" s="9" t="n">
        <x:v>0</x:v>
      </x:c>
    </x:row>
    <x:row r="2102" ht="34" customHeight="1">
      <x:c r="A2102" s="4" t="str">
        <x:v>RS-01065-I1</x:v>
      </x:c>
      <x:c r="B2102" s="4" t="str">
        <x:v>RS-01065</x:v>
      </x:c>
      <x:c r="C2102" s="9" t="n">
        <x:v>1</x:v>
      </x:c>
      <x:c r="D2102" s="8" t="n">
        <x:v>45352</x:v>
      </x:c>
      <x:c r="E2102" s="9" t="n">
        <x:v>1576250</x:v>
      </x:c>
      <x:c r="F2102" s="9" t="n">
        <x:v>1576250</x:v>
      </x:c>
    </x:row>
    <x:row r="2103" ht="34" customHeight="1">
      <x:c r="A2103" s="4" t="str">
        <x:v>RS-01065-I2</x:v>
      </x:c>
      <x:c r="B2103" s="4" t="str">
        <x:v>RS-01065</x:v>
      </x:c>
      <x:c r="C2103" s="9" t="n">
        <x:v>2</x:v>
      </x:c>
      <x:c r="D2103" s="8" t="n">
        <x:v>45382</x:v>
      </x:c>
      <x:c r="E2103" s="9" t="n">
        <x:v>1576250</x:v>
      </x:c>
      <x:c r="F2103" s="9" t="n">
        <x:v>1576250</x:v>
      </x:c>
    </x:row>
    <x:row r="2104" ht="34" customHeight="1">
      <x:c r="A2104" s="4" t="str">
        <x:v>RS-01065-I3</x:v>
      </x:c>
      <x:c r="B2104" s="4" t="str">
        <x:v>RS-01065</x:v>
      </x:c>
      <x:c r="C2104" s="9" t="n">
        <x:v>3</x:v>
      </x:c>
      <x:c r="D2104" s="8" t="n">
        <x:v>45412</x:v>
      </x:c>
      <x:c r="E2104" s="9" t="n">
        <x:v>1576250</x:v>
      </x:c>
      <x:c r="F2104" s="9" t="n">
        <x:v>1576250</x:v>
      </x:c>
    </x:row>
    <x:row r="2105" ht="34" customHeight="1">
      <x:c r="A2105" s="4" t="str">
        <x:v>RS-01065-I4</x:v>
      </x:c>
      <x:c r="B2105" s="4" t="str">
        <x:v>RS-01065</x:v>
      </x:c>
      <x:c r="C2105" s="9" t="n">
        <x:v>4</x:v>
      </x:c>
      <x:c r="D2105" s="8" t="n">
        <x:v>45442</x:v>
      </x:c>
      <x:c r="E2105" s="9" t="n">
        <x:v>1576250</x:v>
      </x:c>
      <x:c r="F2105" s="9" t="n">
        <x:v>1576250</x:v>
      </x:c>
    </x:row>
    <x:row r="2106" ht="34" customHeight="1">
      <x:c r="A2106" s="4" t="str">
        <x:v>RS-01067-I1</x:v>
      </x:c>
      <x:c r="B2106" s="4" t="str">
        <x:v>RS-01067</x:v>
      </x:c>
      <x:c r="C2106" s="9" t="n">
        <x:v>1</x:v>
      </x:c>
      <x:c r="D2106" s="8" t="n">
        <x:v>45354</x:v>
      </x:c>
      <x:c r="E2106" s="9" t="n">
        <x:v>2434250</x:v>
      </x:c>
      <x:c r="F2106" s="9" t="n">
        <x:v>2434250</x:v>
      </x:c>
    </x:row>
    <x:row r="2107" ht="34" customHeight="1">
      <x:c r="A2107" s="4" t="str">
        <x:v>RS-01067-I2</x:v>
      </x:c>
      <x:c r="B2107" s="4" t="str">
        <x:v>RS-01067</x:v>
      </x:c>
      <x:c r="C2107" s="9" t="n">
        <x:v>2</x:v>
      </x:c>
      <x:c r="D2107" s="8" t="n">
        <x:v>45384</x:v>
      </x:c>
      <x:c r="E2107" s="9" t="n">
        <x:v>2434250</x:v>
      </x:c>
      <x:c r="F2107" s="9" t="n">
        <x:v>2434250</x:v>
      </x:c>
    </x:row>
    <x:row r="2108" ht="34" customHeight="1">
      <x:c r="A2108" s="4" t="str">
        <x:v>RS-01067-I3</x:v>
      </x:c>
      <x:c r="B2108" s="4" t="str">
        <x:v>RS-01067</x:v>
      </x:c>
      <x:c r="C2108" s="9" t="n">
        <x:v>3</x:v>
      </x:c>
      <x:c r="D2108" s="8" t="n">
        <x:v>45414</x:v>
      </x:c>
      <x:c r="E2108" s="9" t="n">
        <x:v>2434250</x:v>
      </x:c>
      <x:c r="F2108" s="9" t="n">
        <x:v>0</x:v>
      </x:c>
    </x:row>
    <x:row r="2109" ht="34" customHeight="1">
      <x:c r="A2109" s="4" t="str">
        <x:v>RS-01067-I4</x:v>
      </x:c>
      <x:c r="B2109" s="4" t="str">
        <x:v>RS-01067</x:v>
      </x:c>
      <x:c r="C2109" s="9" t="n">
        <x:v>4</x:v>
      </x:c>
      <x:c r="D2109" s="8" t="n">
        <x:v>45444</x:v>
      </x:c>
      <x:c r="E2109" s="9" t="n">
        <x:v>2434250</x:v>
      </x:c>
      <x:c r="F2109" s="9" t="n">
        <x:v>0</x:v>
      </x:c>
    </x:row>
    <x:row r="2110" ht="34" customHeight="1">
      <x:c r="A2110" s="4" t="str">
        <x:v>RS-01068-I1</x:v>
      </x:c>
      <x:c r="B2110" s="4" t="str">
        <x:v>RS-01068</x:v>
      </x:c>
      <x:c r="C2110" s="9" t="n">
        <x:v>1</x:v>
      </x:c>
      <x:c r="D2110" s="8" t="n">
        <x:v>45355</x:v>
      </x:c>
      <x:c r="E2110" s="9" t="n">
        <x:v>4322500</x:v>
      </x:c>
      <x:c r="F2110" s="9" t="n">
        <x:v>4322500</x:v>
      </x:c>
    </x:row>
    <x:row r="2111" ht="34" customHeight="1">
      <x:c r="A2111" s="4" t="str">
        <x:v>RS-01068-I2</x:v>
      </x:c>
      <x:c r="B2111" s="4" t="str">
        <x:v>RS-01068</x:v>
      </x:c>
      <x:c r="C2111" s="9" t="n">
        <x:v>2</x:v>
      </x:c>
      <x:c r="D2111" s="8" t="n">
        <x:v>45385</x:v>
      </x:c>
      <x:c r="E2111" s="9" t="n">
        <x:v>4322500</x:v>
      </x:c>
      <x:c r="F2111" s="9" t="n">
        <x:v>4322500</x:v>
      </x:c>
    </x:row>
    <x:row r="2112" ht="34" customHeight="1">
      <x:c r="A2112" s="4" t="str">
        <x:v>RS-01068-I3</x:v>
      </x:c>
      <x:c r="B2112" s="4" t="str">
        <x:v>RS-01068</x:v>
      </x:c>
      <x:c r="C2112" s="9" t="n">
        <x:v>3</x:v>
      </x:c>
      <x:c r="D2112" s="8" t="n">
        <x:v>45415</x:v>
      </x:c>
      <x:c r="E2112" s="9" t="n">
        <x:v>4322500</x:v>
      </x:c>
      <x:c r="F2112" s="9" t="n">
        <x:v>4322500</x:v>
      </x:c>
    </x:row>
    <x:row r="2113" ht="34" customHeight="1">
      <x:c r="A2113" s="4" t="str">
        <x:v>RS-01068-I4</x:v>
      </x:c>
      <x:c r="B2113" s="4" t="str">
        <x:v>RS-01068</x:v>
      </x:c>
      <x:c r="C2113" s="9" t="n">
        <x:v>4</x:v>
      </x:c>
      <x:c r="D2113" s="8" t="n">
        <x:v>45445</x:v>
      </x:c>
      <x:c r="E2113" s="9" t="n">
        <x:v>4322500</x:v>
      </x:c>
      <x:c r="F2113" s="9" t="n">
        <x:v>4322500</x:v>
      </x:c>
    </x:row>
    <x:row r="2114" ht="34" customHeight="1">
      <x:c r="A2114" s="4" t="str">
        <x:v>RS-01077-I1</x:v>
      </x:c>
      <x:c r="B2114" s="4" t="str">
        <x:v>RS-01077</x:v>
      </x:c>
      <x:c r="C2114" s="9" t="n">
        <x:v>1</x:v>
      </x:c>
      <x:c r="D2114" s="8" t="n">
        <x:v>45364</x:v>
      </x:c>
      <x:c r="E2114" s="9" t="n">
        <x:v>1935000</x:v>
      </x:c>
      <x:c r="F2114" s="9" t="n">
        <x:v>1935000</x:v>
      </x:c>
    </x:row>
    <x:row r="2115" ht="34" customHeight="1">
      <x:c r="A2115" s="4" t="str">
        <x:v>RS-01077-I2</x:v>
      </x:c>
      <x:c r="B2115" s="4" t="str">
        <x:v>RS-01077</x:v>
      </x:c>
      <x:c r="C2115" s="9" t="n">
        <x:v>2</x:v>
      </x:c>
      <x:c r="D2115" s="8" t="n">
        <x:v>45394</x:v>
      </x:c>
      <x:c r="E2115" s="9" t="n">
        <x:v>1935000</x:v>
      </x:c>
      <x:c r="F2115" s="9" t="n">
        <x:v>1935000</x:v>
      </x:c>
    </x:row>
    <x:row r="2116" ht="34" customHeight="1">
      <x:c r="A2116" s="4" t="str">
        <x:v>RS-01077-I3</x:v>
      </x:c>
      <x:c r="B2116" s="4" t="str">
        <x:v>RS-01077</x:v>
      </x:c>
      <x:c r="C2116" s="9" t="n">
        <x:v>3</x:v>
      </x:c>
      <x:c r="D2116" s="8" t="n">
        <x:v>45424</x:v>
      </x:c>
      <x:c r="E2116" s="9" t="n">
        <x:v>1935000</x:v>
      </x:c>
      <x:c r="F2116" s="9" t="n">
        <x:v>1935000</x:v>
      </x:c>
    </x:row>
    <x:row r="2117" ht="34" customHeight="1">
      <x:c r="A2117" s="4" t="str">
        <x:v>RS-01077-I4</x:v>
      </x:c>
      <x:c r="B2117" s="4" t="str">
        <x:v>RS-01077</x:v>
      </x:c>
      <x:c r="C2117" s="9" t="n">
        <x:v>4</x:v>
      </x:c>
      <x:c r="D2117" s="8" t="n">
        <x:v>45454</x:v>
      </x:c>
      <x:c r="E2117" s="9" t="n">
        <x:v>1935000</x:v>
      </x:c>
      <x:c r="F2117" s="9" t="n">
        <x:v>1935000</x:v>
      </x:c>
    </x:row>
    <x:row r="2118" ht="34" customHeight="1">
      <x:c r="A2118" s="4" t="str">
        <x:v>RS-01079-I1</x:v>
      </x:c>
      <x:c r="B2118" s="4" t="str">
        <x:v>RS-01079</x:v>
      </x:c>
      <x:c r="C2118" s="9" t="n">
        <x:v>1</x:v>
      </x:c>
      <x:c r="D2118" s="8" t="n">
        <x:v>45366</x:v>
      </x:c>
      <x:c r="E2118" s="9" t="n">
        <x:v>1764000</x:v>
      </x:c>
      <x:c r="F2118" s="9" t="n">
        <x:v>705600</x:v>
      </x:c>
    </x:row>
    <x:row r="2119" ht="34" customHeight="1">
      <x:c r="A2119" s="4" t="str">
        <x:v>RS-01079-I2</x:v>
      </x:c>
      <x:c r="B2119" s="4" t="str">
        <x:v>RS-01079</x:v>
      </x:c>
      <x:c r="C2119" s="9" t="n">
        <x:v>2</x:v>
      </x:c>
      <x:c r="D2119" s="8" t="n">
        <x:v>45396</x:v>
      </x:c>
      <x:c r="E2119" s="9" t="n">
        <x:v>1764000</x:v>
      </x:c>
      <x:c r="F2119" s="9" t="n">
        <x:v>0</x:v>
      </x:c>
    </x:row>
    <x:row r="2120" ht="34" customHeight="1">
      <x:c r="A2120" s="4" t="str">
        <x:v>RS-01079-I3</x:v>
      </x:c>
      <x:c r="B2120" s="4" t="str">
        <x:v>RS-01079</x:v>
      </x:c>
      <x:c r="C2120" s="9" t="n">
        <x:v>3</x:v>
      </x:c>
      <x:c r="D2120" s="8" t="n">
        <x:v>45426</x:v>
      </x:c>
      <x:c r="E2120" s="9" t="n">
        <x:v>1764000</x:v>
      </x:c>
      <x:c r="F2120" s="9" t="n">
        <x:v>0</x:v>
      </x:c>
    </x:row>
    <x:row r="2121" ht="34" customHeight="1">
      <x:c r="A2121" s="4" t="str">
        <x:v>RS-01079-I4</x:v>
      </x:c>
      <x:c r="B2121" s="4" t="str">
        <x:v>RS-01079</x:v>
      </x:c>
      <x:c r="C2121" s="9" t="n">
        <x:v>4</x:v>
      </x:c>
      <x:c r="D2121" s="8" t="n">
        <x:v>45456</x:v>
      </x:c>
      <x:c r="E2121" s="9" t="n">
        <x:v>1764000</x:v>
      </x:c>
      <x:c r="F2121" s="9" t="n">
        <x:v>0</x:v>
      </x:c>
    </x:row>
    <x:row r="2122" ht="34" customHeight="1">
      <x:c r="A2122" s="4" t="str">
        <x:v>RS-01081-I1</x:v>
      </x:c>
      <x:c r="B2122" s="4" t="str">
        <x:v>RS-01081</x:v>
      </x:c>
      <x:c r="C2122" s="9" t="n">
        <x:v>1</x:v>
      </x:c>
      <x:c r="D2122" s="8" t="n">
        <x:v>45368</x:v>
      </x:c>
      <x:c r="E2122" s="9" t="n">
        <x:v>2208750</x:v>
      </x:c>
      <x:c r="F2122" s="9" t="n">
        <x:v>2208750</x:v>
      </x:c>
    </x:row>
    <x:row r="2123" ht="34" customHeight="1">
      <x:c r="A2123" s="4" t="str">
        <x:v>RS-01081-I2</x:v>
      </x:c>
      <x:c r="B2123" s="4" t="str">
        <x:v>RS-01081</x:v>
      </x:c>
      <x:c r="C2123" s="9" t="n">
        <x:v>2</x:v>
      </x:c>
      <x:c r="D2123" s="8" t="n">
        <x:v>45398</x:v>
      </x:c>
      <x:c r="E2123" s="9" t="n">
        <x:v>2208750</x:v>
      </x:c>
      <x:c r="F2123" s="9" t="n">
        <x:v>2208750</x:v>
      </x:c>
    </x:row>
    <x:row r="2124" ht="34" customHeight="1">
      <x:c r="A2124" s="4" t="str">
        <x:v>RS-01081-I3</x:v>
      </x:c>
      <x:c r="B2124" s="4" t="str">
        <x:v>RS-01081</x:v>
      </x:c>
      <x:c r="C2124" s="9" t="n">
        <x:v>3</x:v>
      </x:c>
      <x:c r="D2124" s="8" t="n">
        <x:v>45428</x:v>
      </x:c>
      <x:c r="E2124" s="9" t="n">
        <x:v>2208750</x:v>
      </x:c>
      <x:c r="F2124" s="9" t="n">
        <x:v>2208750</x:v>
      </x:c>
    </x:row>
    <x:row r="2125" ht="34" customHeight="1">
      <x:c r="A2125" s="4" t="str">
        <x:v>RS-01081-I4</x:v>
      </x:c>
      <x:c r="B2125" s="4" t="str">
        <x:v>RS-01081</x:v>
      </x:c>
      <x:c r="C2125" s="9" t="n">
        <x:v>4</x:v>
      </x:c>
      <x:c r="D2125" s="8" t="n">
        <x:v>45458</x:v>
      </x:c>
      <x:c r="E2125" s="9" t="n">
        <x:v>2208750</x:v>
      </x:c>
      <x:c r="F2125" s="9" t="n">
        <x:v>2208750</x:v>
      </x:c>
    </x:row>
    <x:row r="2126" ht="34" customHeight="1">
      <x:c r="A2126" s="4" t="str">
        <x:v>RS-01082-I1</x:v>
      </x:c>
      <x:c r="B2126" s="4" t="str">
        <x:v>RS-01082</x:v>
      </x:c>
      <x:c r="C2126" s="9" t="n">
        <x:v>1</x:v>
      </x:c>
      <x:c r="D2126" s="8" t="n">
        <x:v>45369</x:v>
      </x:c>
      <x:c r="E2126" s="9" t="n">
        <x:v>2376500</x:v>
      </x:c>
      <x:c r="F2126" s="9" t="n">
        <x:v>2376500</x:v>
      </x:c>
    </x:row>
    <x:row r="2127" ht="34" customHeight="1">
      <x:c r="A2127" s="4" t="str">
        <x:v>RS-01082-I2</x:v>
      </x:c>
      <x:c r="B2127" s="4" t="str">
        <x:v>RS-01082</x:v>
      </x:c>
      <x:c r="C2127" s="9" t="n">
        <x:v>2</x:v>
      </x:c>
      <x:c r="D2127" s="8" t="n">
        <x:v>45399</x:v>
      </x:c>
      <x:c r="E2127" s="9" t="n">
        <x:v>2376500</x:v>
      </x:c>
      <x:c r="F2127" s="9" t="n">
        <x:v>2376500</x:v>
      </x:c>
    </x:row>
    <x:row r="2128" ht="34" customHeight="1">
      <x:c r="A2128" s="4" t="str">
        <x:v>RS-01082-I3</x:v>
      </x:c>
      <x:c r="B2128" s="4" t="str">
        <x:v>RS-01082</x:v>
      </x:c>
      <x:c r="C2128" s="9" t="n">
        <x:v>3</x:v>
      </x:c>
      <x:c r="D2128" s="8" t="n">
        <x:v>45429</x:v>
      </x:c>
      <x:c r="E2128" s="9" t="n">
        <x:v>2376500</x:v>
      </x:c>
      <x:c r="F2128" s="9" t="n">
        <x:v>2376500</x:v>
      </x:c>
    </x:row>
    <x:row r="2129" ht="34" customHeight="1">
      <x:c r="A2129" s="4" t="str">
        <x:v>RS-01082-I4</x:v>
      </x:c>
      <x:c r="B2129" s="4" t="str">
        <x:v>RS-01082</x:v>
      </x:c>
      <x:c r="C2129" s="9" t="n">
        <x:v>4</x:v>
      </x:c>
      <x:c r="D2129" s="8" t="n">
        <x:v>45459</x:v>
      </x:c>
      <x:c r="E2129" s="9" t="n">
        <x:v>2376500</x:v>
      </x:c>
      <x:c r="F2129" s="9" t="n">
        <x:v>2376500</x:v>
      </x:c>
    </x:row>
    <x:row r="2130" ht="34" customHeight="1">
      <x:c r="A2130" s="4" t="str">
        <x:v>RS-01087-I1</x:v>
      </x:c>
      <x:c r="B2130" s="4" t="str">
        <x:v>RS-01087</x:v>
      </x:c>
      <x:c r="C2130" s="9" t="n">
        <x:v>1</x:v>
      </x:c>
      <x:c r="D2130" s="8" t="n">
        <x:v>45374</x:v>
      </x:c>
      <x:c r="E2130" s="9" t="n">
        <x:v>1100000</x:v>
      </x:c>
      <x:c r="F2130" s="9" t="n">
        <x:v>1100000</x:v>
      </x:c>
    </x:row>
    <x:row r="2131" ht="34" customHeight="1">
      <x:c r="A2131" s="4" t="str">
        <x:v>RS-01087-I2</x:v>
      </x:c>
      <x:c r="B2131" s="4" t="str">
        <x:v>RS-01087</x:v>
      </x:c>
      <x:c r="C2131" s="9" t="n">
        <x:v>2</x:v>
      </x:c>
      <x:c r="D2131" s="8" t="n">
        <x:v>45404</x:v>
      </x:c>
      <x:c r="E2131" s="9" t="n">
        <x:v>1100000</x:v>
      </x:c>
      <x:c r="F2131" s="9" t="n">
        <x:v>0</x:v>
      </x:c>
    </x:row>
    <x:row r="2132" ht="34" customHeight="1">
      <x:c r="A2132" s="4" t="str">
        <x:v>RS-01087-I3</x:v>
      </x:c>
      <x:c r="B2132" s="4" t="str">
        <x:v>RS-01087</x:v>
      </x:c>
      <x:c r="C2132" s="9" t="n">
        <x:v>3</x:v>
      </x:c>
      <x:c r="D2132" s="8" t="n">
        <x:v>45434</x:v>
      </x:c>
      <x:c r="E2132" s="9" t="n">
        <x:v>1100000</x:v>
      </x:c>
      <x:c r="F2132" s="9" t="n">
        <x:v>0</x:v>
      </x:c>
    </x:row>
    <x:row r="2133" ht="34" customHeight="1">
      <x:c r="A2133" s="4" t="str">
        <x:v>RS-01087-I4</x:v>
      </x:c>
      <x:c r="B2133" s="4" t="str">
        <x:v>RS-01087</x:v>
      </x:c>
      <x:c r="C2133" s="9" t="n">
        <x:v>4</x:v>
      </x:c>
      <x:c r="D2133" s="8" t="n">
        <x:v>45464</x:v>
      </x:c>
      <x:c r="E2133" s="9" t="n">
        <x:v>1100000</x:v>
      </x:c>
      <x:c r="F2133" s="9" t="n">
        <x:v>0</x:v>
      </x:c>
    </x:row>
    <x:row r="2134" ht="34" customHeight="1">
      <x:c r="A2134" s="4" t="str">
        <x:v>RS-01088-I1</x:v>
      </x:c>
      <x:c r="B2134" s="4" t="str">
        <x:v>RS-01088</x:v>
      </x:c>
      <x:c r="C2134" s="9" t="n">
        <x:v>1</x:v>
      </x:c>
      <x:c r="D2134" s="8" t="n">
        <x:v>45375</x:v>
      </x:c>
      <x:c r="E2134" s="9" t="n">
        <x:v>2929500</x:v>
      </x:c>
      <x:c r="F2134" s="9" t="n">
        <x:v>1171800</x:v>
      </x:c>
    </x:row>
    <x:row r="2135" ht="34" customHeight="1">
      <x:c r="A2135" s="4" t="str">
        <x:v>RS-01088-I2</x:v>
      </x:c>
      <x:c r="B2135" s="4" t="str">
        <x:v>RS-01088</x:v>
      </x:c>
      <x:c r="C2135" s="9" t="n">
        <x:v>2</x:v>
      </x:c>
      <x:c r="D2135" s="8" t="n">
        <x:v>45405</x:v>
      </x:c>
      <x:c r="E2135" s="9" t="n">
        <x:v>2929500</x:v>
      </x:c>
      <x:c r="F2135" s="9" t="n">
        <x:v>0</x:v>
      </x:c>
    </x:row>
    <x:row r="2136" ht="34" customHeight="1">
      <x:c r="A2136" s="4" t="str">
        <x:v>RS-01088-I3</x:v>
      </x:c>
      <x:c r="B2136" s="4" t="str">
        <x:v>RS-01088</x:v>
      </x:c>
      <x:c r="C2136" s="9" t="n">
        <x:v>3</x:v>
      </x:c>
      <x:c r="D2136" s="8" t="n">
        <x:v>45435</x:v>
      </x:c>
      <x:c r="E2136" s="9" t="n">
        <x:v>2929500</x:v>
      </x:c>
      <x:c r="F2136" s="9" t="n">
        <x:v>0</x:v>
      </x:c>
    </x:row>
    <x:row r="2137" ht="34" customHeight="1">
      <x:c r="A2137" s="4" t="str">
        <x:v>RS-01088-I4</x:v>
      </x:c>
      <x:c r="B2137" s="4" t="str">
        <x:v>RS-01088</x:v>
      </x:c>
      <x:c r="C2137" s="9" t="n">
        <x:v>4</x:v>
      </x:c>
      <x:c r="D2137" s="8" t="n">
        <x:v>45465</x:v>
      </x:c>
      <x:c r="E2137" s="9" t="n">
        <x:v>2929500</x:v>
      </x:c>
      <x:c r="F2137" s="9" t="n">
        <x:v>0</x:v>
      </x:c>
    </x:row>
    <x:row r="2138" ht="34" customHeight="1">
      <x:c r="A2138" s="4" t="str">
        <x:v>RS-01089-I1</x:v>
      </x:c>
      <x:c r="B2138" s="4" t="str">
        <x:v>RS-01089</x:v>
      </x:c>
      <x:c r="C2138" s="9" t="n">
        <x:v>1</x:v>
      </x:c>
      <x:c r="D2138" s="8" t="n">
        <x:v>45376</x:v>
      </x:c>
      <x:c r="E2138" s="9" t="n">
        <x:v>5504750</x:v>
      </x:c>
      <x:c r="F2138" s="9" t="n">
        <x:v>2201900</x:v>
      </x:c>
    </x:row>
    <x:row r="2139" ht="34" customHeight="1">
      <x:c r="A2139" s="4" t="str">
        <x:v>RS-01089-I2</x:v>
      </x:c>
      <x:c r="B2139" s="4" t="str">
        <x:v>RS-01089</x:v>
      </x:c>
      <x:c r="C2139" s="9" t="n">
        <x:v>2</x:v>
      </x:c>
      <x:c r="D2139" s="8" t="n">
        <x:v>45406</x:v>
      </x:c>
      <x:c r="E2139" s="9" t="n">
        <x:v>5504750</x:v>
      </x:c>
      <x:c r="F2139" s="9" t="n">
        <x:v>0</x:v>
      </x:c>
    </x:row>
    <x:row r="2140" ht="34" customHeight="1">
      <x:c r="A2140" s="4" t="str">
        <x:v>RS-01089-I3</x:v>
      </x:c>
      <x:c r="B2140" s="4" t="str">
        <x:v>RS-01089</x:v>
      </x:c>
      <x:c r="C2140" s="9" t="n">
        <x:v>3</x:v>
      </x:c>
      <x:c r="D2140" s="8" t="n">
        <x:v>45436</x:v>
      </x:c>
      <x:c r="E2140" s="9" t="n">
        <x:v>5504750</x:v>
      </x:c>
      <x:c r="F2140" s="9" t="n">
        <x:v>0</x:v>
      </x:c>
    </x:row>
    <x:row r="2141" ht="34" customHeight="1">
      <x:c r="A2141" s="4" t="str">
        <x:v>RS-01089-I4</x:v>
      </x:c>
      <x:c r="B2141" s="4" t="str">
        <x:v>RS-01089</x:v>
      </x:c>
      <x:c r="C2141" s="9" t="n">
        <x:v>4</x:v>
      </x:c>
      <x:c r="D2141" s="8" t="n">
        <x:v>45466</x:v>
      </x:c>
      <x:c r="E2141" s="9" t="n">
        <x:v>5504750</x:v>
      </x:c>
      <x:c r="F2141" s="9" t="n">
        <x:v>0</x:v>
      </x:c>
    </x:row>
    <x:row r="2142" ht="34" customHeight="1">
      <x:c r="A2142" s="4" t="str">
        <x:v>RS-01090-I1</x:v>
      </x:c>
      <x:c r="B2142" s="4" t="str">
        <x:v>RS-01090</x:v>
      </x:c>
      <x:c r="C2142" s="9" t="n">
        <x:v>1</x:v>
      </x:c>
      <x:c r="D2142" s="8" t="n">
        <x:v>45377</x:v>
      </x:c>
      <x:c r="E2142" s="9" t="n">
        <x:v>997500</x:v>
      </x:c>
      <x:c r="F2142" s="9" t="n">
        <x:v>399000</x:v>
      </x:c>
    </x:row>
    <x:row r="2143" ht="34" customHeight="1">
      <x:c r="A2143" s="4" t="str">
        <x:v>RS-01090-I2</x:v>
      </x:c>
      <x:c r="B2143" s="4" t="str">
        <x:v>RS-01090</x:v>
      </x:c>
      <x:c r="C2143" s="9" t="n">
        <x:v>2</x:v>
      </x:c>
      <x:c r="D2143" s="8" t="n">
        <x:v>45407</x:v>
      </x:c>
      <x:c r="E2143" s="9" t="n">
        <x:v>997500</x:v>
      </x:c>
      <x:c r="F2143" s="9" t="n">
        <x:v>0</x:v>
      </x:c>
    </x:row>
    <x:row r="2144" ht="34" customHeight="1">
      <x:c r="A2144" s="4" t="str">
        <x:v>RS-01090-I3</x:v>
      </x:c>
      <x:c r="B2144" s="4" t="str">
        <x:v>RS-01090</x:v>
      </x:c>
      <x:c r="C2144" s="9" t="n">
        <x:v>3</x:v>
      </x:c>
      <x:c r="D2144" s="8" t="n">
        <x:v>45437</x:v>
      </x:c>
      <x:c r="E2144" s="9" t="n">
        <x:v>997500</x:v>
      </x:c>
      <x:c r="F2144" s="9" t="n">
        <x:v>0</x:v>
      </x:c>
    </x:row>
    <x:row r="2145" ht="34" customHeight="1">
      <x:c r="A2145" s="4" t="str">
        <x:v>RS-01090-I4</x:v>
      </x:c>
      <x:c r="B2145" s="4" t="str">
        <x:v>RS-01090</x:v>
      </x:c>
      <x:c r="C2145" s="9" t="n">
        <x:v>4</x:v>
      </x:c>
      <x:c r="D2145" s="8" t="n">
        <x:v>45467</x:v>
      </x:c>
      <x:c r="E2145" s="9" t="n">
        <x:v>997500</x:v>
      </x:c>
      <x:c r="F2145" s="9" t="n">
        <x:v>0</x:v>
      </x:c>
    </x:row>
    <x:row r="2146" ht="34" customHeight="1">
      <x:c r="A2146" s="4" t="str">
        <x:v>RS-01094-I1</x:v>
      </x:c>
      <x:c r="B2146" s="4" t="str">
        <x:v>RS-01094</x:v>
      </x:c>
      <x:c r="C2146" s="9" t="n">
        <x:v>1</x:v>
      </x:c>
      <x:c r="D2146" s="8" t="n">
        <x:v>45353</x:v>
      </x:c>
      <x:c r="E2146" s="9" t="n">
        <x:v>1627500</x:v>
      </x:c>
      <x:c r="F2146" s="9" t="n">
        <x:v>651000</x:v>
      </x:c>
    </x:row>
    <x:row r="2147" ht="34" customHeight="1">
      <x:c r="A2147" s="4" t="str">
        <x:v>RS-01094-I2</x:v>
      </x:c>
      <x:c r="B2147" s="4" t="str">
        <x:v>RS-01094</x:v>
      </x:c>
      <x:c r="C2147" s="9" t="n">
        <x:v>2</x:v>
      </x:c>
      <x:c r="D2147" s="8" t="n">
        <x:v>45383</x:v>
      </x:c>
      <x:c r="E2147" s="9" t="n">
        <x:v>1627500</x:v>
      </x:c>
      <x:c r="F2147" s="9" t="n">
        <x:v>0</x:v>
      </x:c>
    </x:row>
    <x:row r="2148" ht="34" customHeight="1">
      <x:c r="A2148" s="4" t="str">
        <x:v>RS-01094-I3</x:v>
      </x:c>
      <x:c r="B2148" s="4" t="str">
        <x:v>RS-01094</x:v>
      </x:c>
      <x:c r="C2148" s="9" t="n">
        <x:v>3</x:v>
      </x:c>
      <x:c r="D2148" s="8" t="n">
        <x:v>45413</x:v>
      </x:c>
      <x:c r="E2148" s="9" t="n">
        <x:v>1627500</x:v>
      </x:c>
      <x:c r="F2148" s="9" t="n">
        <x:v>0</x:v>
      </x:c>
    </x:row>
    <x:row r="2149" ht="34" customHeight="1">
      <x:c r="A2149" s="4" t="str">
        <x:v>RS-01094-I4</x:v>
      </x:c>
      <x:c r="B2149" s="4" t="str">
        <x:v>RS-01094</x:v>
      </x:c>
      <x:c r="C2149" s="9" t="n">
        <x:v>4</x:v>
      </x:c>
      <x:c r="D2149" s="8" t="n">
        <x:v>45443</x:v>
      </x:c>
      <x:c r="E2149" s="9" t="n">
        <x:v>1627500</x:v>
      </x:c>
      <x:c r="F2149" s="9" t="n">
        <x:v>0</x:v>
      </x:c>
    </x:row>
    <x:row r="2150" ht="34" customHeight="1">
      <x:c r="A2150" s="4" t="str">
        <x:v>RS-01096-I1</x:v>
      </x:c>
      <x:c r="B2150" s="4" t="str">
        <x:v>RS-01096</x:v>
      </x:c>
      <x:c r="C2150" s="9" t="n">
        <x:v>1</x:v>
      </x:c>
      <x:c r="D2150" s="8" t="n">
        <x:v>45355</x:v>
      </x:c>
      <x:c r="E2150" s="9" t="n">
        <x:v>3864000</x:v>
      </x:c>
      <x:c r="F2150" s="9" t="n">
        <x:v>3864000</x:v>
      </x:c>
    </x:row>
    <x:row r="2151" ht="34" customHeight="1">
      <x:c r="A2151" s="4" t="str">
        <x:v>RS-01096-I2</x:v>
      </x:c>
      <x:c r="B2151" s="4" t="str">
        <x:v>RS-01096</x:v>
      </x:c>
      <x:c r="C2151" s="9" t="n">
        <x:v>2</x:v>
      </x:c>
      <x:c r="D2151" s="8" t="n">
        <x:v>45385</x:v>
      </x:c>
      <x:c r="E2151" s="9" t="n">
        <x:v>3864000</x:v>
      </x:c>
      <x:c r="F2151" s="9" t="n">
        <x:v>0</x:v>
      </x:c>
    </x:row>
    <x:row r="2152" ht="34" customHeight="1">
      <x:c r="A2152" s="4" t="str">
        <x:v>RS-01096-I3</x:v>
      </x:c>
      <x:c r="B2152" s="4" t="str">
        <x:v>RS-01096</x:v>
      </x:c>
      <x:c r="C2152" s="9" t="n">
        <x:v>3</x:v>
      </x:c>
      <x:c r="D2152" s="8" t="n">
        <x:v>45415</x:v>
      </x:c>
      <x:c r="E2152" s="9" t="n">
        <x:v>3864000</x:v>
      </x:c>
      <x:c r="F2152" s="9" t="n">
        <x:v>0</x:v>
      </x:c>
    </x:row>
    <x:row r="2153" ht="34" customHeight="1">
      <x:c r="A2153" s="4" t="str">
        <x:v>RS-01096-I4</x:v>
      </x:c>
      <x:c r="B2153" s="4" t="str">
        <x:v>RS-01096</x:v>
      </x:c>
      <x:c r="C2153" s="9" t="n">
        <x:v>4</x:v>
      </x:c>
      <x:c r="D2153" s="8" t="n">
        <x:v>45445</x:v>
      </x:c>
      <x:c r="E2153" s="9" t="n">
        <x:v>3864000</x:v>
      </x:c>
      <x:c r="F2153" s="9" t="n">
        <x:v>0</x:v>
      </x:c>
    </x:row>
    <x:row r="2154" ht="34" customHeight="1">
      <x:c r="A2154" s="4" t="str">
        <x:v>RS-01098-I1</x:v>
      </x:c>
      <x:c r="B2154" s="4" t="str">
        <x:v>RS-01098</x:v>
      </x:c>
      <x:c r="C2154" s="9" t="n">
        <x:v>1</x:v>
      </x:c>
      <x:c r="D2154" s="8" t="n">
        <x:v>45357</x:v>
      </x:c>
      <x:c r="E2154" s="9" t="n">
        <x:v>4700000</x:v>
      </x:c>
      <x:c r="F2154" s="9" t="n">
        <x:v>4700000</x:v>
      </x:c>
    </x:row>
    <x:row r="2155" ht="34" customHeight="1">
      <x:c r="A2155" s="4" t="str">
        <x:v>RS-01098-I2</x:v>
      </x:c>
      <x:c r="B2155" s="4" t="str">
        <x:v>RS-01098</x:v>
      </x:c>
      <x:c r="C2155" s="9" t="n">
        <x:v>2</x:v>
      </x:c>
      <x:c r="D2155" s="8" t="n">
        <x:v>45387</x:v>
      </x:c>
      <x:c r="E2155" s="9" t="n">
        <x:v>4700000</x:v>
      </x:c>
      <x:c r="F2155" s="9" t="n">
        <x:v>4700000</x:v>
      </x:c>
    </x:row>
    <x:row r="2156" ht="34" customHeight="1">
      <x:c r="A2156" s="4" t="str">
        <x:v>RS-01098-I3</x:v>
      </x:c>
      <x:c r="B2156" s="4" t="str">
        <x:v>RS-01098</x:v>
      </x:c>
      <x:c r="C2156" s="9" t="n">
        <x:v>3</x:v>
      </x:c>
      <x:c r="D2156" s="8" t="n">
        <x:v>45417</x:v>
      </x:c>
      <x:c r="E2156" s="9" t="n">
        <x:v>4700000</x:v>
      </x:c>
      <x:c r="F2156" s="9" t="n">
        <x:v>0</x:v>
      </x:c>
    </x:row>
    <x:row r="2157" ht="34" customHeight="1">
      <x:c r="A2157" s="4" t="str">
        <x:v>RS-01098-I4</x:v>
      </x:c>
      <x:c r="B2157" s="4" t="str">
        <x:v>RS-01098</x:v>
      </x:c>
      <x:c r="C2157" s="9" t="n">
        <x:v>4</x:v>
      </x:c>
      <x:c r="D2157" s="8" t="n">
        <x:v>45447</x:v>
      </x:c>
      <x:c r="E2157" s="9" t="n">
        <x:v>4700000</x:v>
      </x:c>
      <x:c r="F2157" s="9" t="n">
        <x:v>0</x:v>
      </x:c>
    </x:row>
    <x:row r="2158" ht="34" customHeight="1">
      <x:c r="A2158" s="4" t="str">
        <x:v>RS-01099-I1</x:v>
      </x:c>
      <x:c r="B2158" s="4" t="str">
        <x:v>RS-01099</x:v>
      </x:c>
      <x:c r="C2158" s="9" t="n">
        <x:v>1</x:v>
      </x:c>
      <x:c r="D2158" s="8" t="n">
        <x:v>45358</x:v>
      </x:c>
      <x:c r="E2158" s="9" t="n">
        <x:v>5497000</x:v>
      </x:c>
      <x:c r="F2158" s="9" t="n">
        <x:v>5497000</x:v>
      </x:c>
    </x:row>
    <x:row r="2159" ht="34" customHeight="1">
      <x:c r="A2159" s="4" t="str">
        <x:v>RS-01099-I2</x:v>
      </x:c>
      <x:c r="B2159" s="4" t="str">
        <x:v>RS-01099</x:v>
      </x:c>
      <x:c r="C2159" s="9" t="n">
        <x:v>2</x:v>
      </x:c>
      <x:c r="D2159" s="8" t="n">
        <x:v>45388</x:v>
      </x:c>
      <x:c r="E2159" s="9" t="n">
        <x:v>5497000</x:v>
      </x:c>
      <x:c r="F2159" s="9" t="n">
        <x:v>5497000</x:v>
      </x:c>
    </x:row>
    <x:row r="2160" ht="34" customHeight="1">
      <x:c r="A2160" s="4" t="str">
        <x:v>RS-01099-I3</x:v>
      </x:c>
      <x:c r="B2160" s="4" t="str">
        <x:v>RS-01099</x:v>
      </x:c>
      <x:c r="C2160" s="9" t="n">
        <x:v>3</x:v>
      </x:c>
      <x:c r="D2160" s="8" t="n">
        <x:v>45418</x:v>
      </x:c>
      <x:c r="E2160" s="9" t="n">
        <x:v>5497000</x:v>
      </x:c>
      <x:c r="F2160" s="9" t="n">
        <x:v>5497000</x:v>
      </x:c>
    </x:row>
    <x:row r="2161" ht="34" customHeight="1">
      <x:c r="A2161" s="4" t="str">
        <x:v>RS-01099-I4</x:v>
      </x:c>
      <x:c r="B2161" s="4" t="str">
        <x:v>RS-01099</x:v>
      </x:c>
      <x:c r="C2161" s="9" t="n">
        <x:v>4</x:v>
      </x:c>
      <x:c r="D2161" s="8" t="n">
        <x:v>45448</x:v>
      </x:c>
      <x:c r="E2161" s="9" t="n">
        <x:v>5497000</x:v>
      </x:c>
      <x:c r="F2161" s="9" t="n">
        <x:v>5497000</x:v>
      </x:c>
    </x:row>
    <x:row r="2162" ht="34" customHeight="1">
      <x:c r="A2162" s="4" t="str">
        <x:v>RS-01101-I1</x:v>
      </x:c>
      <x:c r="B2162" s="4" t="str">
        <x:v>RS-01101</x:v>
      </x:c>
      <x:c r="C2162" s="9" t="n">
        <x:v>1</x:v>
      </x:c>
      <x:c r="D2162" s="8" t="n">
        <x:v>45360</x:v>
      </x:c>
      <x:c r="E2162" s="9" t="n">
        <x:v>6014250</x:v>
      </x:c>
      <x:c r="F2162" s="9" t="n">
        <x:v>6014250</x:v>
      </x:c>
    </x:row>
    <x:row r="2163" ht="34" customHeight="1">
      <x:c r="A2163" s="4" t="str">
        <x:v>RS-01101-I2</x:v>
      </x:c>
      <x:c r="B2163" s="4" t="str">
        <x:v>RS-01101</x:v>
      </x:c>
      <x:c r="C2163" s="9" t="n">
        <x:v>2</x:v>
      </x:c>
      <x:c r="D2163" s="8" t="n">
        <x:v>45390</x:v>
      </x:c>
      <x:c r="E2163" s="9" t="n">
        <x:v>6014250</x:v>
      </x:c>
      <x:c r="F2163" s="9" t="n">
        <x:v>0</x:v>
      </x:c>
    </x:row>
    <x:row r="2164" ht="34" customHeight="1">
      <x:c r="A2164" s="4" t="str">
        <x:v>RS-01101-I3</x:v>
      </x:c>
      <x:c r="B2164" s="4" t="str">
        <x:v>RS-01101</x:v>
      </x:c>
      <x:c r="C2164" s="9" t="n">
        <x:v>3</x:v>
      </x:c>
      <x:c r="D2164" s="8" t="n">
        <x:v>45420</x:v>
      </x:c>
      <x:c r="E2164" s="9" t="n">
        <x:v>6014250</x:v>
      </x:c>
      <x:c r="F2164" s="9" t="n">
        <x:v>0</x:v>
      </x:c>
    </x:row>
    <x:row r="2165" ht="34" customHeight="1">
      <x:c r="A2165" s="4" t="str">
        <x:v>RS-01101-I4</x:v>
      </x:c>
      <x:c r="B2165" s="4" t="str">
        <x:v>RS-01101</x:v>
      </x:c>
      <x:c r="C2165" s="9" t="n">
        <x:v>4</x:v>
      </x:c>
      <x:c r="D2165" s="8" t="n">
        <x:v>45450</x:v>
      </x:c>
      <x:c r="E2165" s="9" t="n">
        <x:v>6014250</x:v>
      </x:c>
      <x:c r="F2165" s="9" t="n">
        <x:v>0</x:v>
      </x:c>
    </x:row>
    <x:row r="2166" ht="34" customHeight="1">
      <x:c r="A2166" s="4" t="str">
        <x:v>RS-01105-I1</x:v>
      </x:c>
      <x:c r="B2166" s="4" t="str">
        <x:v>RS-01105</x:v>
      </x:c>
      <x:c r="C2166" s="9" t="n">
        <x:v>1</x:v>
      </x:c>
      <x:c r="D2166" s="8" t="n">
        <x:v>45364</x:v>
      </x:c>
      <x:c r="E2166" s="9" t="n">
        <x:v>1496250</x:v>
      </x:c>
      <x:c r="F2166" s="9" t="n">
        <x:v>1496250</x:v>
      </x:c>
    </x:row>
    <x:row r="2167" ht="34" customHeight="1">
      <x:c r="A2167" s="4" t="str">
        <x:v>RS-01105-I2</x:v>
      </x:c>
      <x:c r="B2167" s="4" t="str">
        <x:v>RS-01105</x:v>
      </x:c>
      <x:c r="C2167" s="9" t="n">
        <x:v>2</x:v>
      </x:c>
      <x:c r="D2167" s="8" t="n">
        <x:v>45394</x:v>
      </x:c>
      <x:c r="E2167" s="9" t="n">
        <x:v>1496250</x:v>
      </x:c>
      <x:c r="F2167" s="9" t="n">
        <x:v>1496250</x:v>
      </x:c>
    </x:row>
    <x:row r="2168" ht="34" customHeight="1">
      <x:c r="A2168" s="4" t="str">
        <x:v>RS-01105-I3</x:v>
      </x:c>
      <x:c r="B2168" s="4" t="str">
        <x:v>RS-01105</x:v>
      </x:c>
      <x:c r="C2168" s="9" t="n">
        <x:v>3</x:v>
      </x:c>
      <x:c r="D2168" s="8" t="n">
        <x:v>45424</x:v>
      </x:c>
      <x:c r="E2168" s="9" t="n">
        <x:v>1496250</x:v>
      </x:c>
      <x:c r="F2168" s="9" t="n">
        <x:v>0</x:v>
      </x:c>
    </x:row>
    <x:row r="2169" ht="34" customHeight="1">
      <x:c r="A2169" s="4" t="str">
        <x:v>RS-01105-I4</x:v>
      </x:c>
      <x:c r="B2169" s="4" t="str">
        <x:v>RS-01105</x:v>
      </x:c>
      <x:c r="C2169" s="9" t="n">
        <x:v>4</x:v>
      </x:c>
      <x:c r="D2169" s="8" t="n">
        <x:v>45454</x:v>
      </x:c>
      <x:c r="E2169" s="9" t="n">
        <x:v>1496250</x:v>
      </x:c>
      <x:c r="F2169" s="9" t="n">
        <x:v>0</x:v>
      </x:c>
    </x:row>
    <x:row r="2170" ht="34" customHeight="1">
      <x:c r="A2170" s="4" t="str">
        <x:v>RS-01106-I1</x:v>
      </x:c>
      <x:c r="B2170" s="4" t="str">
        <x:v>RS-01106</x:v>
      </x:c>
      <x:c r="C2170" s="9" t="n">
        <x:v>1</x:v>
      </x:c>
      <x:c r="D2170" s="8" t="n">
        <x:v>45365</x:v>
      </x:c>
      <x:c r="E2170" s="9" t="n">
        <x:v>3048000</x:v>
      </x:c>
      <x:c r="F2170" s="9" t="n">
        <x:v>3048000</x:v>
      </x:c>
    </x:row>
    <x:row r="2171" ht="34" customHeight="1">
      <x:c r="A2171" s="4" t="str">
        <x:v>RS-01106-I2</x:v>
      </x:c>
      <x:c r="B2171" s="4" t="str">
        <x:v>RS-01106</x:v>
      </x:c>
      <x:c r="C2171" s="9" t="n">
        <x:v>2</x:v>
      </x:c>
      <x:c r="D2171" s="8" t="n">
        <x:v>45395</x:v>
      </x:c>
      <x:c r="E2171" s="9" t="n">
        <x:v>3048000</x:v>
      </x:c>
      <x:c r="F2171" s="9" t="n">
        <x:v>0</x:v>
      </x:c>
    </x:row>
    <x:row r="2172" ht="34" customHeight="1">
      <x:c r="A2172" s="4" t="str">
        <x:v>RS-01106-I3</x:v>
      </x:c>
      <x:c r="B2172" s="4" t="str">
        <x:v>RS-01106</x:v>
      </x:c>
      <x:c r="C2172" s="9" t="n">
        <x:v>3</x:v>
      </x:c>
      <x:c r="D2172" s="8" t="n">
        <x:v>45425</x:v>
      </x:c>
      <x:c r="E2172" s="9" t="n">
        <x:v>3048000</x:v>
      </x:c>
      <x:c r="F2172" s="9" t="n">
        <x:v>0</x:v>
      </x:c>
    </x:row>
    <x:row r="2173" ht="34" customHeight="1">
      <x:c r="A2173" s="4" t="str">
        <x:v>RS-01106-I4</x:v>
      </x:c>
      <x:c r="B2173" s="4" t="str">
        <x:v>RS-01106</x:v>
      </x:c>
      <x:c r="C2173" s="9" t="n">
        <x:v>4</x:v>
      </x:c>
      <x:c r="D2173" s="8" t="n">
        <x:v>45455</x:v>
      </x:c>
      <x:c r="E2173" s="9" t="n">
        <x:v>3048000</x:v>
      </x:c>
      <x:c r="F2173" s="9" t="n">
        <x:v>0</x:v>
      </x:c>
    </x:row>
    <x:row r="2174" ht="34" customHeight="1">
      <x:c r="A2174" s="4" t="str">
        <x:v>RS-01107-I1</x:v>
      </x:c>
      <x:c r="B2174" s="4" t="str">
        <x:v>RS-01107</x:v>
      </x:c>
      <x:c r="C2174" s="9" t="n">
        <x:v>1</x:v>
      </x:c>
      <x:c r="D2174" s="8" t="n">
        <x:v>45366</x:v>
      </x:c>
      <x:c r="E2174" s="9" t="n">
        <x:v>5791500</x:v>
      </x:c>
      <x:c r="F2174" s="9" t="n">
        <x:v>5791500</x:v>
      </x:c>
    </x:row>
    <x:row r="2175" ht="34" customHeight="1">
      <x:c r="A2175" s="4" t="str">
        <x:v>RS-01107-I2</x:v>
      </x:c>
      <x:c r="B2175" s="4" t="str">
        <x:v>RS-01107</x:v>
      </x:c>
      <x:c r="C2175" s="9" t="n">
        <x:v>2</x:v>
      </x:c>
      <x:c r="D2175" s="8" t="n">
        <x:v>45396</x:v>
      </x:c>
      <x:c r="E2175" s="9" t="n">
        <x:v>5791500</x:v>
      </x:c>
      <x:c r="F2175" s="9" t="n">
        <x:v>0</x:v>
      </x:c>
    </x:row>
    <x:row r="2176" ht="34" customHeight="1">
      <x:c r="A2176" s="4" t="str">
        <x:v>RS-01107-I3</x:v>
      </x:c>
      <x:c r="B2176" s="4" t="str">
        <x:v>RS-01107</x:v>
      </x:c>
      <x:c r="C2176" s="9" t="n">
        <x:v>3</x:v>
      </x:c>
      <x:c r="D2176" s="8" t="n">
        <x:v>45426</x:v>
      </x:c>
      <x:c r="E2176" s="9" t="n">
        <x:v>5791500</x:v>
      </x:c>
      <x:c r="F2176" s="9" t="n">
        <x:v>0</x:v>
      </x:c>
    </x:row>
    <x:row r="2177" ht="34" customHeight="1">
      <x:c r="A2177" s="4" t="str">
        <x:v>RS-01107-I4</x:v>
      </x:c>
      <x:c r="B2177" s="4" t="str">
        <x:v>RS-01107</x:v>
      </x:c>
      <x:c r="C2177" s="9" t="n">
        <x:v>4</x:v>
      </x:c>
      <x:c r="D2177" s="8" t="n">
        <x:v>45456</x:v>
      </x:c>
      <x:c r="E2177" s="9" t="n">
        <x:v>5791500</x:v>
      </x:c>
      <x:c r="F2177" s="9" t="n">
        <x:v>0</x:v>
      </x:c>
    </x:row>
    <x:row r="2178" ht="34" customHeight="1">
      <x:c r="A2178" s="4" t="str">
        <x:v>RS-01108-I1</x:v>
      </x:c>
      <x:c r="B2178" s="4" t="str">
        <x:v>RS-01108</x:v>
      </x:c>
      <x:c r="C2178" s="9" t="n">
        <x:v>1</x:v>
      </x:c>
      <x:c r="D2178" s="8" t="n">
        <x:v>45367</x:v>
      </x:c>
      <x:c r="E2178" s="9" t="n">
        <x:v>5500000</x:v>
      </x:c>
      <x:c r="F2178" s="9" t="n">
        <x:v>5500000</x:v>
      </x:c>
    </x:row>
    <x:row r="2179" ht="34" customHeight="1">
      <x:c r="A2179" s="4" t="str">
        <x:v>RS-01108-I2</x:v>
      </x:c>
      <x:c r="B2179" s="4" t="str">
        <x:v>RS-01108</x:v>
      </x:c>
      <x:c r="C2179" s="9" t="n">
        <x:v>2</x:v>
      </x:c>
      <x:c r="D2179" s="8" t="n">
        <x:v>45397</x:v>
      </x:c>
      <x:c r="E2179" s="9" t="n">
        <x:v>5500000</x:v>
      </x:c>
      <x:c r="F2179" s="9" t="n">
        <x:v>5500000</x:v>
      </x:c>
    </x:row>
    <x:row r="2180" ht="34" customHeight="1">
      <x:c r="A2180" s="4" t="str">
        <x:v>RS-01108-I3</x:v>
      </x:c>
      <x:c r="B2180" s="4" t="str">
        <x:v>RS-01108</x:v>
      </x:c>
      <x:c r="C2180" s="9" t="n">
        <x:v>3</x:v>
      </x:c>
      <x:c r="D2180" s="8" t="n">
        <x:v>45427</x:v>
      </x:c>
      <x:c r="E2180" s="9" t="n">
        <x:v>5500000</x:v>
      </x:c>
      <x:c r="F2180" s="9" t="n">
        <x:v>5500000</x:v>
      </x:c>
    </x:row>
    <x:row r="2181" ht="34" customHeight="1">
      <x:c r="A2181" s="4" t="str">
        <x:v>RS-01108-I4</x:v>
      </x:c>
      <x:c r="B2181" s="4" t="str">
        <x:v>RS-01108</x:v>
      </x:c>
      <x:c r="C2181" s="9" t="n">
        <x:v>4</x:v>
      </x:c>
      <x:c r="D2181" s="8" t="n">
        <x:v>45457</x:v>
      </x:c>
      <x:c r="E2181" s="9" t="n">
        <x:v>5500000</x:v>
      </x:c>
      <x:c r="F2181" s="9" t="n">
        <x:v>5500000</x:v>
      </x:c>
    </x:row>
    <x:row r="2182" ht="34" customHeight="1">
      <x:c r="A2182" s="4" t="str">
        <x:v>RS-01109-I1</x:v>
      </x:c>
      <x:c r="B2182" s="4" t="str">
        <x:v>RS-01109</x:v>
      </x:c>
      <x:c r="C2182" s="9" t="n">
        <x:v>1</x:v>
      </x:c>
      <x:c r="D2182" s="8" t="n">
        <x:v>45368</x:v>
      </x:c>
      <x:c r="E2182" s="9" t="n">
        <x:v>3887000</x:v>
      </x:c>
      <x:c r="F2182" s="9" t="n">
        <x:v>3887000</x:v>
      </x:c>
    </x:row>
    <x:row r="2183" ht="34" customHeight="1">
      <x:c r="A2183" s="4" t="str">
        <x:v>RS-01109-I2</x:v>
      </x:c>
      <x:c r="B2183" s="4" t="str">
        <x:v>RS-01109</x:v>
      </x:c>
      <x:c r="C2183" s="9" t="n">
        <x:v>2</x:v>
      </x:c>
      <x:c r="D2183" s="8" t="n">
        <x:v>45398</x:v>
      </x:c>
      <x:c r="E2183" s="9" t="n">
        <x:v>3887000</x:v>
      </x:c>
      <x:c r="F2183" s="9" t="n">
        <x:v>3887000</x:v>
      </x:c>
    </x:row>
    <x:row r="2184" ht="34" customHeight="1">
      <x:c r="A2184" s="4" t="str">
        <x:v>RS-01109-I3</x:v>
      </x:c>
      <x:c r="B2184" s="4" t="str">
        <x:v>RS-01109</x:v>
      </x:c>
      <x:c r="C2184" s="9" t="n">
        <x:v>3</x:v>
      </x:c>
      <x:c r="D2184" s="8" t="n">
        <x:v>45428</x:v>
      </x:c>
      <x:c r="E2184" s="9" t="n">
        <x:v>3887000</x:v>
      </x:c>
      <x:c r="F2184" s="9" t="n">
        <x:v>3887000</x:v>
      </x:c>
    </x:row>
    <x:row r="2185" ht="34" customHeight="1">
      <x:c r="A2185" s="4" t="str">
        <x:v>RS-01109-I4</x:v>
      </x:c>
      <x:c r="B2185" s="4" t="str">
        <x:v>RS-01109</x:v>
      </x:c>
      <x:c r="C2185" s="9" t="n">
        <x:v>4</x:v>
      </x:c>
      <x:c r="D2185" s="8" t="n">
        <x:v>45458</x:v>
      </x:c>
      <x:c r="E2185" s="9" t="n">
        <x:v>3887000</x:v>
      </x:c>
      <x:c r="F2185" s="9" t="n">
        <x:v>3887000</x:v>
      </x:c>
    </x:row>
    <x:row r="2186" ht="34" customHeight="1">
      <x:c r="A2186" s="4" t="str">
        <x:v>RS-01113-I1</x:v>
      </x:c>
      <x:c r="B2186" s="4" t="str">
        <x:v>RS-01113</x:v>
      </x:c>
      <x:c r="C2186" s="9" t="n">
        <x:v>1</x:v>
      </x:c>
      <x:c r="D2186" s="8" t="n">
        <x:v>45372</x:v>
      </x:c>
      <x:c r="E2186" s="9" t="n">
        <x:v>1200000</x:v>
      </x:c>
      <x:c r="F2186" s="9" t="n">
        <x:v>1200000</x:v>
      </x:c>
    </x:row>
    <x:row r="2187" ht="34" customHeight="1">
      <x:c r="A2187" s="4" t="str">
        <x:v>RS-01113-I2</x:v>
      </x:c>
      <x:c r="B2187" s="4" t="str">
        <x:v>RS-01113</x:v>
      </x:c>
      <x:c r="C2187" s="9" t="n">
        <x:v>2</x:v>
      </x:c>
      <x:c r="D2187" s="8" t="n">
        <x:v>45402</x:v>
      </x:c>
      <x:c r="E2187" s="9" t="n">
        <x:v>1200000</x:v>
      </x:c>
      <x:c r="F2187" s="9" t="n">
        <x:v>1200000</x:v>
      </x:c>
    </x:row>
    <x:row r="2188" ht="34" customHeight="1">
      <x:c r="A2188" s="4" t="str">
        <x:v>RS-01113-I3</x:v>
      </x:c>
      <x:c r="B2188" s="4" t="str">
        <x:v>RS-01113</x:v>
      </x:c>
      <x:c r="C2188" s="9" t="n">
        <x:v>3</x:v>
      </x:c>
      <x:c r="D2188" s="8" t="n">
        <x:v>45432</x:v>
      </x:c>
      <x:c r="E2188" s="9" t="n">
        <x:v>1200000</x:v>
      </x:c>
      <x:c r="F2188" s="9" t="n">
        <x:v>0</x:v>
      </x:c>
    </x:row>
    <x:row r="2189" ht="34" customHeight="1">
      <x:c r="A2189" s="4" t="str">
        <x:v>RS-01113-I4</x:v>
      </x:c>
      <x:c r="B2189" s="4" t="str">
        <x:v>RS-01113</x:v>
      </x:c>
      <x:c r="C2189" s="9" t="n">
        <x:v>4</x:v>
      </x:c>
      <x:c r="D2189" s="8" t="n">
        <x:v>45462</x:v>
      </x:c>
      <x:c r="E2189" s="9" t="n">
        <x:v>1200000</x:v>
      </x:c>
      <x:c r="F2189" s="9" t="n">
        <x:v>0</x:v>
      </x:c>
    </x:row>
    <x:row r="2190" ht="34" customHeight="1">
      <x:c r="A2190" s="4" t="str">
        <x:v>RS-01116-I1</x:v>
      </x:c>
      <x:c r="B2190" s="4" t="str">
        <x:v>RS-01116</x:v>
      </x:c>
      <x:c r="C2190" s="9" t="n">
        <x:v>1</x:v>
      </x:c>
      <x:c r="D2190" s="8" t="n">
        <x:v>45375</x:v>
      </x:c>
      <x:c r="E2190" s="9" t="n">
        <x:v>1046500</x:v>
      </x:c>
      <x:c r="F2190" s="9" t="n">
        <x:v>1046500</x:v>
      </x:c>
    </x:row>
    <x:row r="2191" ht="34" customHeight="1">
      <x:c r="A2191" s="4" t="str">
        <x:v>RS-01116-I2</x:v>
      </x:c>
      <x:c r="B2191" s="4" t="str">
        <x:v>RS-01116</x:v>
      </x:c>
      <x:c r="C2191" s="9" t="n">
        <x:v>2</x:v>
      </x:c>
      <x:c r="D2191" s="8" t="n">
        <x:v>45405</x:v>
      </x:c>
      <x:c r="E2191" s="9" t="n">
        <x:v>1046500</x:v>
      </x:c>
      <x:c r="F2191" s="9" t="n">
        <x:v>1046500</x:v>
      </x:c>
    </x:row>
    <x:row r="2192" ht="34" customHeight="1">
      <x:c r="A2192" s="4" t="str">
        <x:v>RS-01116-I3</x:v>
      </x:c>
      <x:c r="B2192" s="4" t="str">
        <x:v>RS-01116</x:v>
      </x:c>
      <x:c r="C2192" s="9" t="n">
        <x:v>3</x:v>
      </x:c>
      <x:c r="D2192" s="8" t="n">
        <x:v>45435</x:v>
      </x:c>
      <x:c r="E2192" s="9" t="n">
        <x:v>1046500</x:v>
      </x:c>
      <x:c r="F2192" s="9" t="n">
        <x:v>0</x:v>
      </x:c>
    </x:row>
    <x:row r="2193" ht="34" customHeight="1">
      <x:c r="A2193" s="4" t="str">
        <x:v>RS-01116-I4</x:v>
      </x:c>
      <x:c r="B2193" s="4" t="str">
        <x:v>RS-01116</x:v>
      </x:c>
      <x:c r="C2193" s="9" t="n">
        <x:v>4</x:v>
      </x:c>
      <x:c r="D2193" s="8" t="n">
        <x:v>45465</x:v>
      </x:c>
      <x:c r="E2193" s="9" t="n">
        <x:v>1046500</x:v>
      </x:c>
      <x:c r="F2193" s="9" t="n">
        <x:v>0</x:v>
      </x:c>
    </x:row>
    <x:row r="2194" ht="34" customHeight="1">
      <x:c r="A2194" s="4" t="str">
        <x:v>RS-01117-I1</x:v>
      </x:c>
      <x:c r="B2194" s="4" t="str">
        <x:v>RS-01117</x:v>
      </x:c>
      <x:c r="C2194" s="9" t="n">
        <x:v>1</x:v>
      </x:c>
      <x:c r="D2194" s="8" t="n">
        <x:v>45376</x:v>
      </x:c>
      <x:c r="E2194" s="9" t="n">
        <x:v>3172500</x:v>
      </x:c>
      <x:c r="F2194" s="9" t="n">
        <x:v>3172500</x:v>
      </x:c>
    </x:row>
    <x:row r="2195" ht="34" customHeight="1">
      <x:c r="A2195" s="4" t="str">
        <x:v>RS-01117-I2</x:v>
      </x:c>
      <x:c r="B2195" s="4" t="str">
        <x:v>RS-01117</x:v>
      </x:c>
      <x:c r="C2195" s="9" t="n">
        <x:v>2</x:v>
      </x:c>
      <x:c r="D2195" s="8" t="n">
        <x:v>45406</x:v>
      </x:c>
      <x:c r="E2195" s="9" t="n">
        <x:v>3172500</x:v>
      </x:c>
      <x:c r="F2195" s="9" t="n">
        <x:v>0</x:v>
      </x:c>
    </x:row>
    <x:row r="2196" ht="34" customHeight="1">
      <x:c r="A2196" s="4" t="str">
        <x:v>RS-01117-I3</x:v>
      </x:c>
      <x:c r="B2196" s="4" t="str">
        <x:v>RS-01117</x:v>
      </x:c>
      <x:c r="C2196" s="9" t="n">
        <x:v>3</x:v>
      </x:c>
      <x:c r="D2196" s="8" t="n">
        <x:v>45436</x:v>
      </x:c>
      <x:c r="E2196" s="9" t="n">
        <x:v>3172500</x:v>
      </x:c>
      <x:c r="F2196" s="9" t="n">
        <x:v>0</x:v>
      </x:c>
    </x:row>
    <x:row r="2197" ht="34" customHeight="1">
      <x:c r="A2197" s="4" t="str">
        <x:v>RS-01117-I4</x:v>
      </x:c>
      <x:c r="B2197" s="4" t="str">
        <x:v>RS-01117</x:v>
      </x:c>
      <x:c r="C2197" s="9" t="n">
        <x:v>4</x:v>
      </x:c>
      <x:c r="D2197" s="8" t="n">
        <x:v>45466</x:v>
      </x:c>
      <x:c r="E2197" s="9" t="n">
        <x:v>3172500</x:v>
      </x:c>
      <x:c r="F2197" s="9" t="n">
        <x:v>0</x:v>
      </x:c>
    </x:row>
    <x:row r="2198" ht="34" customHeight="1">
      <x:c r="A2198" s="4" t="str">
        <x:v>RS-01119-I1</x:v>
      </x:c>
      <x:c r="B2198" s="4" t="str">
        <x:v>RS-01119</x:v>
      </x:c>
      <x:c r="C2198" s="9" t="n">
        <x:v>1</x:v>
      </x:c>
      <x:c r="D2198" s="8" t="n">
        <x:v>45378</x:v>
      </x:c>
      <x:c r="E2198" s="9" t="n">
        <x:v>4783750</x:v>
      </x:c>
      <x:c r="F2198" s="9" t="n">
        <x:v>4783750</x:v>
      </x:c>
    </x:row>
    <x:row r="2199" ht="34" customHeight="1">
      <x:c r="A2199" s="4" t="str">
        <x:v>RS-01119-I2</x:v>
      </x:c>
      <x:c r="B2199" s="4" t="str">
        <x:v>RS-01119</x:v>
      </x:c>
      <x:c r="C2199" s="9" t="n">
        <x:v>2</x:v>
      </x:c>
      <x:c r="D2199" s="8" t="n">
        <x:v>45408</x:v>
      </x:c>
      <x:c r="E2199" s="9" t="n">
        <x:v>4783750</x:v>
      </x:c>
      <x:c r="F2199" s="9" t="n">
        <x:v>0</x:v>
      </x:c>
    </x:row>
    <x:row r="2200" ht="34" customHeight="1">
      <x:c r="A2200" s="4" t="str">
        <x:v>RS-01119-I3</x:v>
      </x:c>
      <x:c r="B2200" s="4" t="str">
        <x:v>RS-01119</x:v>
      </x:c>
      <x:c r="C2200" s="9" t="n">
        <x:v>3</x:v>
      </x:c>
      <x:c r="D2200" s="8" t="n">
        <x:v>45438</x:v>
      </x:c>
      <x:c r="E2200" s="9" t="n">
        <x:v>4783750</x:v>
      </x:c>
      <x:c r="F2200" s="9" t="n">
        <x:v>0</x:v>
      </x:c>
    </x:row>
    <x:row r="2201" ht="34" customHeight="1">
      <x:c r="A2201" s="4" t="str">
        <x:v>RS-01119-I4</x:v>
      </x:c>
      <x:c r="B2201" s="4" t="str">
        <x:v>RS-01119</x:v>
      </x:c>
      <x:c r="C2201" s="9" t="n">
        <x:v>4</x:v>
      </x:c>
      <x:c r="D2201" s="8" t="n">
        <x:v>45468</x:v>
      </x:c>
      <x:c r="E2201" s="9" t="n">
        <x:v>4783750</x:v>
      </x:c>
      <x:c r="F2201" s="9" t="n">
        <x:v>0</x:v>
      </x:c>
    </x:row>
    <x:row r="2202" ht="34" customHeight="1">
      <x:c r="A2202" s="4" t="str">
        <x:v>RS-01122-I1</x:v>
      </x:c>
      <x:c r="B2202" s="4" t="str">
        <x:v>RS-01122</x:v>
      </x:c>
      <x:c r="C2202" s="9" t="n">
        <x:v>1</x:v>
      </x:c>
      <x:c r="D2202" s="8" t="n">
        <x:v>45353</x:v>
      </x:c>
      <x:c r="E2202" s="9" t="n">
        <x:v>1408000</x:v>
      </x:c>
      <x:c r="F2202" s="9" t="n">
        <x:v>1408000</x:v>
      </x:c>
    </x:row>
    <x:row r="2203" ht="34" customHeight="1">
      <x:c r="A2203" s="4" t="str">
        <x:v>RS-01122-I2</x:v>
      </x:c>
      <x:c r="B2203" s="4" t="str">
        <x:v>RS-01122</x:v>
      </x:c>
      <x:c r="C2203" s="9" t="n">
        <x:v>2</x:v>
      </x:c>
      <x:c r="D2203" s="8" t="n">
        <x:v>45383</x:v>
      </x:c>
      <x:c r="E2203" s="9" t="n">
        <x:v>1408000</x:v>
      </x:c>
      <x:c r="F2203" s="9" t="n">
        <x:v>1408000</x:v>
      </x:c>
    </x:row>
    <x:row r="2204" ht="34" customHeight="1">
      <x:c r="A2204" s="4" t="str">
        <x:v>RS-01122-I3</x:v>
      </x:c>
      <x:c r="B2204" s="4" t="str">
        <x:v>RS-01122</x:v>
      </x:c>
      <x:c r="C2204" s="9" t="n">
        <x:v>3</x:v>
      </x:c>
      <x:c r="D2204" s="8" t="n">
        <x:v>45413</x:v>
      </x:c>
      <x:c r="E2204" s="9" t="n">
        <x:v>1408000</x:v>
      </x:c>
      <x:c r="F2204" s="9" t="n">
        <x:v>1408000</x:v>
      </x:c>
    </x:row>
    <x:row r="2205" ht="34" customHeight="1">
      <x:c r="A2205" s="4" t="str">
        <x:v>RS-01122-I4</x:v>
      </x:c>
      <x:c r="B2205" s="4" t="str">
        <x:v>RS-01122</x:v>
      </x:c>
      <x:c r="C2205" s="9" t="n">
        <x:v>4</x:v>
      </x:c>
      <x:c r="D2205" s="8" t="n">
        <x:v>45443</x:v>
      </x:c>
      <x:c r="E2205" s="9" t="n">
        <x:v>1408000</x:v>
      </x:c>
      <x:c r="F2205" s="9" t="n">
        <x:v>1408000</x:v>
      </x:c>
    </x:row>
    <x:row r="2206" ht="34" customHeight="1">
      <x:c r="A2206" s="4" t="str">
        <x:v>RS-01124-I1</x:v>
      </x:c>
      <x:c r="B2206" s="4" t="str">
        <x:v>RS-01124</x:v>
      </x:c>
      <x:c r="C2206" s="9" t="n">
        <x:v>1</x:v>
      </x:c>
      <x:c r="D2206" s="8" t="n">
        <x:v>45355</x:v>
      </x:c>
      <x:c r="E2206" s="9" t="n">
        <x:v>3426500</x:v>
      </x:c>
      <x:c r="F2206" s="9" t="n">
        <x:v>3426500</x:v>
      </x:c>
    </x:row>
    <x:row r="2207" ht="34" customHeight="1">
      <x:c r="A2207" s="4" t="str">
        <x:v>RS-01124-I2</x:v>
      </x:c>
      <x:c r="B2207" s="4" t="str">
        <x:v>RS-01124</x:v>
      </x:c>
      <x:c r="C2207" s="9" t="n">
        <x:v>2</x:v>
      </x:c>
      <x:c r="D2207" s="8" t="n">
        <x:v>45385</x:v>
      </x:c>
      <x:c r="E2207" s="9" t="n">
        <x:v>3426500</x:v>
      </x:c>
      <x:c r="F2207" s="9" t="n">
        <x:v>3426500</x:v>
      </x:c>
    </x:row>
    <x:row r="2208" ht="34" customHeight="1">
      <x:c r="A2208" s="4" t="str">
        <x:v>RS-01124-I3</x:v>
      </x:c>
      <x:c r="B2208" s="4" t="str">
        <x:v>RS-01124</x:v>
      </x:c>
      <x:c r="C2208" s="9" t="n">
        <x:v>3</x:v>
      </x:c>
      <x:c r="D2208" s="8" t="n">
        <x:v>45415</x:v>
      </x:c>
      <x:c r="E2208" s="9" t="n">
        <x:v>3426500</x:v>
      </x:c>
      <x:c r="F2208" s="9" t="n">
        <x:v>3426500</x:v>
      </x:c>
    </x:row>
    <x:row r="2209" ht="34" customHeight="1">
      <x:c r="A2209" s="4" t="str">
        <x:v>RS-01124-I4</x:v>
      </x:c>
      <x:c r="B2209" s="4" t="str">
        <x:v>RS-01124</x:v>
      </x:c>
      <x:c r="C2209" s="9" t="n">
        <x:v>4</x:v>
      </x:c>
      <x:c r="D2209" s="8" t="n">
        <x:v>45445</x:v>
      </x:c>
      <x:c r="E2209" s="9" t="n">
        <x:v>3426500</x:v>
      </x:c>
      <x:c r="F2209" s="9" t="n">
        <x:v>3426500</x:v>
      </x:c>
    </x:row>
    <x:row r="2210" ht="34" customHeight="1">
      <x:c r="A2210" s="4" t="str">
        <x:v>RS-01125-I1</x:v>
      </x:c>
      <x:c r="B2210" s="4" t="str">
        <x:v>RS-01125</x:v>
      </x:c>
      <x:c r="C2210" s="9" t="n">
        <x:v>1</x:v>
      </x:c>
      <x:c r="D2210" s="8" t="n">
        <x:v>45356</x:v>
      </x:c>
      <x:c r="E2210" s="9" t="n">
        <x:v>1357000</x:v>
      </x:c>
      <x:c r="F2210" s="9" t="n">
        <x:v>1357000</x:v>
      </x:c>
    </x:row>
    <x:row r="2211" ht="34" customHeight="1">
      <x:c r="A2211" s="4" t="str">
        <x:v>RS-01125-I2</x:v>
      </x:c>
      <x:c r="B2211" s="4" t="str">
        <x:v>RS-01125</x:v>
      </x:c>
      <x:c r="C2211" s="9" t="n">
        <x:v>2</x:v>
      </x:c>
      <x:c r="D2211" s="8" t="n">
        <x:v>45386</x:v>
      </x:c>
      <x:c r="E2211" s="9" t="n">
        <x:v>1357000</x:v>
      </x:c>
      <x:c r="F2211" s="9" t="n">
        <x:v>1357000</x:v>
      </x:c>
    </x:row>
    <x:row r="2212" ht="34" customHeight="1">
      <x:c r="A2212" s="4" t="str">
        <x:v>RS-01125-I3</x:v>
      </x:c>
      <x:c r="B2212" s="4" t="str">
        <x:v>RS-01125</x:v>
      </x:c>
      <x:c r="C2212" s="9" t="n">
        <x:v>3</x:v>
      </x:c>
      <x:c r="D2212" s="8" t="n">
        <x:v>45416</x:v>
      </x:c>
      <x:c r="E2212" s="9" t="n">
        <x:v>1357000</x:v>
      </x:c>
      <x:c r="F2212" s="9" t="n">
        <x:v>1357000</x:v>
      </x:c>
    </x:row>
    <x:row r="2213" ht="34" customHeight="1">
      <x:c r="A2213" s="4" t="str">
        <x:v>RS-01125-I4</x:v>
      </x:c>
      <x:c r="B2213" s="4" t="str">
        <x:v>RS-01125</x:v>
      </x:c>
      <x:c r="C2213" s="9" t="n">
        <x:v>4</x:v>
      </x:c>
      <x:c r="D2213" s="8" t="n">
        <x:v>45446</x:v>
      </x:c>
      <x:c r="E2213" s="9" t="n">
        <x:v>1357000</x:v>
      </x:c>
      <x:c r="F2213" s="9" t="n">
        <x:v>1357000</x:v>
      </x:c>
    </x:row>
    <x:row r="2214" ht="34" customHeight="1">
      <x:c r="A2214" s="4" t="str">
        <x:v>RS-01130-I1</x:v>
      </x:c>
      <x:c r="B2214" s="4" t="str">
        <x:v>RS-01130</x:v>
      </x:c>
      <x:c r="C2214" s="9" t="n">
        <x:v>1</x:v>
      </x:c>
      <x:c r="D2214" s="8" t="n">
        <x:v>45361</x:v>
      </x:c>
      <x:c r="E2214" s="9" t="n">
        <x:v>6062500</x:v>
      </x:c>
      <x:c r="F2214" s="9" t="n">
        <x:v>2425000</x:v>
      </x:c>
    </x:row>
    <x:row r="2215" ht="34" customHeight="1">
      <x:c r="A2215" s="4" t="str">
        <x:v>RS-01130-I2</x:v>
      </x:c>
      <x:c r="B2215" s="4" t="str">
        <x:v>RS-01130</x:v>
      </x:c>
      <x:c r="C2215" s="9" t="n">
        <x:v>2</x:v>
      </x:c>
      <x:c r="D2215" s="8" t="n">
        <x:v>45391</x:v>
      </x:c>
      <x:c r="E2215" s="9" t="n">
        <x:v>6062500</x:v>
      </x:c>
      <x:c r="F2215" s="9" t="n">
        <x:v>0</x:v>
      </x:c>
    </x:row>
    <x:row r="2216" ht="34" customHeight="1">
      <x:c r="A2216" s="4" t="str">
        <x:v>RS-01130-I3</x:v>
      </x:c>
      <x:c r="B2216" s="4" t="str">
        <x:v>RS-01130</x:v>
      </x:c>
      <x:c r="C2216" s="9" t="n">
        <x:v>3</x:v>
      </x:c>
      <x:c r="D2216" s="8" t="n">
        <x:v>45421</x:v>
      </x:c>
      <x:c r="E2216" s="9" t="n">
        <x:v>6062500</x:v>
      </x:c>
      <x:c r="F2216" s="9" t="n">
        <x:v>0</x:v>
      </x:c>
    </x:row>
    <x:row r="2217" ht="34" customHeight="1">
      <x:c r="A2217" s="4" t="str">
        <x:v>RS-01130-I4</x:v>
      </x:c>
      <x:c r="B2217" s="4" t="str">
        <x:v>RS-01130</x:v>
      </x:c>
      <x:c r="C2217" s="9" t="n">
        <x:v>4</x:v>
      </x:c>
      <x:c r="D2217" s="8" t="n">
        <x:v>45451</x:v>
      </x:c>
      <x:c r="E2217" s="9" t="n">
        <x:v>6062500</x:v>
      </x:c>
      <x:c r="F2217" s="9" t="n">
        <x:v>0</x:v>
      </x:c>
    </x:row>
    <x:row r="2218" ht="34" customHeight="1">
      <x:c r="A2218" s="4" t="str">
        <x:v>RS-01131-I1</x:v>
      </x:c>
      <x:c r="B2218" s="4" t="str">
        <x:v>RS-01131</x:v>
      </x:c>
      <x:c r="C2218" s="9" t="n">
        <x:v>1</x:v>
      </x:c>
      <x:c r="D2218" s="8" t="n">
        <x:v>45362</x:v>
      </x:c>
      <x:c r="E2218" s="9" t="n">
        <x:v>1232250</x:v>
      </x:c>
      <x:c r="F2218" s="9" t="n">
        <x:v>492900</x:v>
      </x:c>
    </x:row>
    <x:row r="2219" ht="34" customHeight="1">
      <x:c r="A2219" s="4" t="str">
        <x:v>RS-01131-I2</x:v>
      </x:c>
      <x:c r="B2219" s="4" t="str">
        <x:v>RS-01131</x:v>
      </x:c>
      <x:c r="C2219" s="9" t="n">
        <x:v>2</x:v>
      </x:c>
      <x:c r="D2219" s="8" t="n">
        <x:v>45392</x:v>
      </x:c>
      <x:c r="E2219" s="9" t="n">
        <x:v>1232250</x:v>
      </x:c>
      <x:c r="F2219" s="9" t="n">
        <x:v>0</x:v>
      </x:c>
    </x:row>
    <x:row r="2220" ht="34" customHeight="1">
      <x:c r="A2220" s="4" t="str">
        <x:v>RS-01131-I3</x:v>
      </x:c>
      <x:c r="B2220" s="4" t="str">
        <x:v>RS-01131</x:v>
      </x:c>
      <x:c r="C2220" s="9" t="n">
        <x:v>3</x:v>
      </x:c>
      <x:c r="D2220" s="8" t="n">
        <x:v>45422</x:v>
      </x:c>
      <x:c r="E2220" s="9" t="n">
        <x:v>1232250</x:v>
      </x:c>
      <x:c r="F2220" s="9" t="n">
        <x:v>0</x:v>
      </x:c>
    </x:row>
    <x:row r="2221" ht="34" customHeight="1">
      <x:c r="A2221" s="4" t="str">
        <x:v>RS-01131-I4</x:v>
      </x:c>
      <x:c r="B2221" s="4" t="str">
        <x:v>RS-01131</x:v>
      </x:c>
      <x:c r="C2221" s="9" t="n">
        <x:v>4</x:v>
      </x:c>
      <x:c r="D2221" s="8" t="n">
        <x:v>45452</x:v>
      </x:c>
      <x:c r="E2221" s="9" t="n">
        <x:v>1232250</x:v>
      </x:c>
      <x:c r="F2221" s="9" t="n">
        <x:v>0</x:v>
      </x:c>
    </x:row>
    <x:row r="2222" ht="34" customHeight="1">
      <x:c r="A2222" s="4" t="str">
        <x:v>RS-01133-I1</x:v>
      </x:c>
      <x:c r="B2222" s="4" t="str">
        <x:v>RS-01133</x:v>
      </x:c>
      <x:c r="C2222" s="9" t="n">
        <x:v>1</x:v>
      </x:c>
      <x:c r="D2222" s="8" t="n">
        <x:v>45364</x:v>
      </x:c>
      <x:c r="E2222" s="9" t="n">
        <x:v>5242500</x:v>
      </x:c>
      <x:c r="F2222" s="9" t="n">
        <x:v>5242500</x:v>
      </x:c>
    </x:row>
    <x:row r="2223" ht="34" customHeight="1">
      <x:c r="A2223" s="4" t="str">
        <x:v>RS-01133-I2</x:v>
      </x:c>
      <x:c r="B2223" s="4" t="str">
        <x:v>RS-01133</x:v>
      </x:c>
      <x:c r="C2223" s="9" t="n">
        <x:v>2</x:v>
      </x:c>
      <x:c r="D2223" s="8" t="n">
        <x:v>45394</x:v>
      </x:c>
      <x:c r="E2223" s="9" t="n">
        <x:v>5242500</x:v>
      </x:c>
      <x:c r="F2223" s="9" t="n">
        <x:v>0</x:v>
      </x:c>
    </x:row>
    <x:row r="2224" ht="34" customHeight="1">
      <x:c r="A2224" s="4" t="str">
        <x:v>RS-01133-I3</x:v>
      </x:c>
      <x:c r="B2224" s="4" t="str">
        <x:v>RS-01133</x:v>
      </x:c>
      <x:c r="C2224" s="9" t="n">
        <x:v>3</x:v>
      </x:c>
      <x:c r="D2224" s="8" t="n">
        <x:v>45424</x:v>
      </x:c>
      <x:c r="E2224" s="9" t="n">
        <x:v>5242500</x:v>
      </x:c>
      <x:c r="F2224" s="9" t="n">
        <x:v>0</x:v>
      </x:c>
    </x:row>
    <x:row r="2225" ht="34" customHeight="1">
      <x:c r="A2225" s="4" t="str">
        <x:v>RS-01133-I4</x:v>
      </x:c>
      <x:c r="B2225" s="4" t="str">
        <x:v>RS-01133</x:v>
      </x:c>
      <x:c r="C2225" s="9" t="n">
        <x:v>4</x:v>
      </x:c>
      <x:c r="D2225" s="8" t="n">
        <x:v>45454</x:v>
      </x:c>
      <x:c r="E2225" s="9" t="n">
        <x:v>5242500</x:v>
      </x:c>
      <x:c r="F2225" s="9" t="n">
        <x:v>0</x:v>
      </x:c>
    </x:row>
    <x:row r="2226" ht="34" customHeight="1">
      <x:c r="A2226" s="4" t="str">
        <x:v>RS-01135-I1</x:v>
      </x:c>
      <x:c r="B2226" s="4" t="str">
        <x:v>RS-01135</x:v>
      </x:c>
      <x:c r="C2226" s="9" t="n">
        <x:v>1</x:v>
      </x:c>
      <x:c r="D2226" s="8" t="n">
        <x:v>45366</x:v>
      </x:c>
      <x:c r="E2226" s="9" t="n">
        <x:v>4554000</x:v>
      </x:c>
      <x:c r="F2226" s="9" t="n">
        <x:v>4554000</x:v>
      </x:c>
    </x:row>
    <x:row r="2227" ht="34" customHeight="1">
      <x:c r="A2227" s="4" t="str">
        <x:v>RS-01135-I2</x:v>
      </x:c>
      <x:c r="B2227" s="4" t="str">
        <x:v>RS-01135</x:v>
      </x:c>
      <x:c r="C2227" s="9" t="n">
        <x:v>2</x:v>
      </x:c>
      <x:c r="D2227" s="8" t="n">
        <x:v>45396</x:v>
      </x:c>
      <x:c r="E2227" s="9" t="n">
        <x:v>4554000</x:v>
      </x:c>
      <x:c r="F2227" s="9" t="n">
        <x:v>0</x:v>
      </x:c>
    </x:row>
    <x:row r="2228" ht="34" customHeight="1">
      <x:c r="A2228" s="4" t="str">
        <x:v>RS-01135-I3</x:v>
      </x:c>
      <x:c r="B2228" s="4" t="str">
        <x:v>RS-01135</x:v>
      </x:c>
      <x:c r="C2228" s="9" t="n">
        <x:v>3</x:v>
      </x:c>
      <x:c r="D2228" s="8" t="n">
        <x:v>45426</x:v>
      </x:c>
      <x:c r="E2228" s="9" t="n">
        <x:v>4554000</x:v>
      </x:c>
      <x:c r="F2228" s="9" t="n">
        <x:v>0</x:v>
      </x:c>
    </x:row>
    <x:row r="2229" ht="34" customHeight="1">
      <x:c r="A2229" s="4" t="str">
        <x:v>RS-01135-I4</x:v>
      </x:c>
      <x:c r="B2229" s="4" t="str">
        <x:v>RS-01135</x:v>
      </x:c>
      <x:c r="C2229" s="9" t="n">
        <x:v>4</x:v>
      </x:c>
      <x:c r="D2229" s="8" t="n">
        <x:v>45456</x:v>
      </x:c>
      <x:c r="E2229" s="9" t="n">
        <x:v>4554000</x:v>
      </x:c>
      <x:c r="F2229" s="9" t="n">
        <x:v>0</x:v>
      </x:c>
    </x:row>
    <x:row r="2230" ht="34" customHeight="1">
      <x:c r="A2230" s="4" t="str">
        <x:v>RS-01140-I1</x:v>
      </x:c>
      <x:c r="B2230" s="4" t="str">
        <x:v>RS-01140</x:v>
      </x:c>
      <x:c r="C2230" s="9" t="n">
        <x:v>1</x:v>
      </x:c>
      <x:c r="D2230" s="8" t="n">
        <x:v>45371</x:v>
      </x:c>
      <x:c r="E2230" s="9" t="n">
        <x:v>3151000</x:v>
      </x:c>
      <x:c r="F2230" s="9" t="n">
        <x:v>3151000</x:v>
      </x:c>
    </x:row>
    <x:row r="2231" ht="34" customHeight="1">
      <x:c r="A2231" s="4" t="str">
        <x:v>RS-01140-I2</x:v>
      </x:c>
      <x:c r="B2231" s="4" t="str">
        <x:v>RS-01140</x:v>
      </x:c>
      <x:c r="C2231" s="9" t="n">
        <x:v>2</x:v>
      </x:c>
      <x:c r="D2231" s="8" t="n">
        <x:v>45401</x:v>
      </x:c>
      <x:c r="E2231" s="9" t="n">
        <x:v>3151000</x:v>
      </x:c>
      <x:c r="F2231" s="9" t="n">
        <x:v>3151000</x:v>
      </x:c>
    </x:row>
    <x:row r="2232" ht="34" customHeight="1">
      <x:c r="A2232" s="4" t="str">
        <x:v>RS-01140-I3</x:v>
      </x:c>
      <x:c r="B2232" s="4" t="str">
        <x:v>RS-01140</x:v>
      </x:c>
      <x:c r="C2232" s="9" t="n">
        <x:v>3</x:v>
      </x:c>
      <x:c r="D2232" s="8" t="n">
        <x:v>45431</x:v>
      </x:c>
      <x:c r="E2232" s="9" t="n">
        <x:v>3151000</x:v>
      </x:c>
      <x:c r="F2232" s="9" t="n">
        <x:v>0</x:v>
      </x:c>
    </x:row>
    <x:row r="2233" ht="34" customHeight="1">
      <x:c r="A2233" s="4" t="str">
        <x:v>RS-01140-I4</x:v>
      </x:c>
      <x:c r="B2233" s="4" t="str">
        <x:v>RS-01140</x:v>
      </x:c>
      <x:c r="C2233" s="9" t="n">
        <x:v>4</x:v>
      </x:c>
      <x:c r="D2233" s="8" t="n">
        <x:v>45461</x:v>
      </x:c>
      <x:c r="E2233" s="9" t="n">
        <x:v>3151000</x:v>
      </x:c>
      <x:c r="F2233" s="9" t="n">
        <x:v>0</x:v>
      </x:c>
    </x:row>
    <x:row r="2234" ht="34" customHeight="1">
      <x:c r="A2234" s="4" t="str">
        <x:v>RS-01143-I1</x:v>
      </x:c>
      <x:c r="B2234" s="4" t="str">
        <x:v>RS-01143</x:v>
      </x:c>
      <x:c r="C2234" s="9" t="n">
        <x:v>1</x:v>
      </x:c>
      <x:c r="D2234" s="8" t="n">
        <x:v>45374</x:v>
      </x:c>
      <x:c r="E2234" s="9" t="n">
        <x:v>1236750</x:v>
      </x:c>
      <x:c r="F2234" s="9" t="n">
        <x:v>1236750</x:v>
      </x:c>
    </x:row>
    <x:row r="2235" ht="34" customHeight="1">
      <x:c r="A2235" s="4" t="str">
        <x:v>RS-01143-I2</x:v>
      </x:c>
      <x:c r="B2235" s="4" t="str">
        <x:v>RS-01143</x:v>
      </x:c>
      <x:c r="C2235" s="9" t="n">
        <x:v>2</x:v>
      </x:c>
      <x:c r="D2235" s="8" t="n">
        <x:v>45404</x:v>
      </x:c>
      <x:c r="E2235" s="9" t="n">
        <x:v>1236750</x:v>
      </x:c>
      <x:c r="F2235" s="9" t="n">
        <x:v>1236750</x:v>
      </x:c>
    </x:row>
    <x:row r="2236" ht="34" customHeight="1">
      <x:c r="A2236" s="4" t="str">
        <x:v>RS-01143-I3</x:v>
      </x:c>
      <x:c r="B2236" s="4" t="str">
        <x:v>RS-01143</x:v>
      </x:c>
      <x:c r="C2236" s="9" t="n">
        <x:v>3</x:v>
      </x:c>
      <x:c r="D2236" s="8" t="n">
        <x:v>45434</x:v>
      </x:c>
      <x:c r="E2236" s="9" t="n">
        <x:v>1236750</x:v>
      </x:c>
      <x:c r="F2236" s="9" t="n">
        <x:v>1236750</x:v>
      </x:c>
    </x:row>
    <x:row r="2237" ht="34" customHeight="1">
      <x:c r="A2237" s="4" t="str">
        <x:v>RS-01143-I4</x:v>
      </x:c>
      <x:c r="B2237" s="4" t="str">
        <x:v>RS-01143</x:v>
      </x:c>
      <x:c r="C2237" s="9" t="n">
        <x:v>4</x:v>
      </x:c>
      <x:c r="D2237" s="8" t="n">
        <x:v>45464</x:v>
      </x:c>
      <x:c r="E2237" s="9" t="n">
        <x:v>1236750</x:v>
      </x:c>
      <x:c r="F2237" s="9" t="n">
        <x:v>1236750</x:v>
      </x:c>
    </x:row>
    <x:row r="2238" ht="34" customHeight="1">
      <x:c r="A2238" s="4" t="str">
        <x:v>RS-01144-I1</x:v>
      </x:c>
      <x:c r="B2238" s="4" t="str">
        <x:v>RS-01144</x:v>
      </x:c>
      <x:c r="C2238" s="9" t="n">
        <x:v>1</x:v>
      </x:c>
      <x:c r="D2238" s="8" t="n">
        <x:v>45375</x:v>
      </x:c>
      <x:c r="E2238" s="9" t="n">
        <x:v>2025000</x:v>
      </x:c>
      <x:c r="F2238" s="9" t="n">
        <x:v>810000</x:v>
      </x:c>
    </x:row>
    <x:row r="2239" ht="34" customHeight="1">
      <x:c r="A2239" s="4" t="str">
        <x:v>RS-01144-I2</x:v>
      </x:c>
      <x:c r="B2239" s="4" t="str">
        <x:v>RS-01144</x:v>
      </x:c>
      <x:c r="C2239" s="9" t="n">
        <x:v>2</x:v>
      </x:c>
      <x:c r="D2239" s="8" t="n">
        <x:v>45405</x:v>
      </x:c>
      <x:c r="E2239" s="9" t="n">
        <x:v>2025000</x:v>
      </x:c>
      <x:c r="F2239" s="9" t="n">
        <x:v>0</x:v>
      </x:c>
    </x:row>
    <x:row r="2240" ht="34" customHeight="1">
      <x:c r="A2240" s="4" t="str">
        <x:v>RS-01144-I3</x:v>
      </x:c>
      <x:c r="B2240" s="4" t="str">
        <x:v>RS-01144</x:v>
      </x:c>
      <x:c r="C2240" s="9" t="n">
        <x:v>3</x:v>
      </x:c>
      <x:c r="D2240" s="8" t="n">
        <x:v>45435</x:v>
      </x:c>
      <x:c r="E2240" s="9" t="n">
        <x:v>2025000</x:v>
      </x:c>
      <x:c r="F2240" s="9" t="n">
        <x:v>0</x:v>
      </x:c>
    </x:row>
    <x:row r="2241" ht="34" customHeight="1">
      <x:c r="A2241" s="4" t="str">
        <x:v>RS-01144-I4</x:v>
      </x:c>
      <x:c r="B2241" s="4" t="str">
        <x:v>RS-01144</x:v>
      </x:c>
      <x:c r="C2241" s="9" t="n">
        <x:v>4</x:v>
      </x:c>
      <x:c r="D2241" s="8" t="n">
        <x:v>45465</x:v>
      </x:c>
      <x:c r="E2241" s="9" t="n">
        <x:v>2025000</x:v>
      </x:c>
      <x:c r="F2241" s="9" t="n">
        <x:v>0</x:v>
      </x:c>
    </x:row>
    <x:row r="2242" ht="34" customHeight="1">
      <x:c r="A2242" s="4" t="str">
        <x:v>RS-01145-I1</x:v>
      </x:c>
      <x:c r="B2242" s="4" t="str">
        <x:v>RS-01145</x:v>
      </x:c>
      <x:c r="C2242" s="9" t="n">
        <x:v>1</x:v>
      </x:c>
      <x:c r="D2242" s="8" t="n">
        <x:v>45376</x:v>
      </x:c>
      <x:c r="E2242" s="9" t="n">
        <x:v>5208000</x:v>
      </x:c>
      <x:c r="F2242" s="9" t="n">
        <x:v>5208000</x:v>
      </x:c>
    </x:row>
    <x:row r="2243" ht="34" customHeight="1">
      <x:c r="A2243" s="4" t="str">
        <x:v>RS-01145-I2</x:v>
      </x:c>
      <x:c r="B2243" s="4" t="str">
        <x:v>RS-01145</x:v>
      </x:c>
      <x:c r="C2243" s="9" t="n">
        <x:v>2</x:v>
      </x:c>
      <x:c r="D2243" s="8" t="n">
        <x:v>45406</x:v>
      </x:c>
      <x:c r="E2243" s="9" t="n">
        <x:v>5208000</x:v>
      </x:c>
      <x:c r="F2243" s="9" t="n">
        <x:v>5208000</x:v>
      </x:c>
    </x:row>
    <x:row r="2244" ht="34" customHeight="1">
      <x:c r="A2244" s="4" t="str">
        <x:v>RS-01145-I3</x:v>
      </x:c>
      <x:c r="B2244" s="4" t="str">
        <x:v>RS-01145</x:v>
      </x:c>
      <x:c r="C2244" s="9" t="n">
        <x:v>3</x:v>
      </x:c>
      <x:c r="D2244" s="8" t="n">
        <x:v>45436</x:v>
      </x:c>
      <x:c r="E2244" s="9" t="n">
        <x:v>5208000</x:v>
      </x:c>
      <x:c r="F2244" s="9" t="n">
        <x:v>0</x:v>
      </x:c>
    </x:row>
    <x:row r="2245" ht="34" customHeight="1">
      <x:c r="A2245" s="4" t="str">
        <x:v>RS-01145-I4</x:v>
      </x:c>
      <x:c r="B2245" s="4" t="str">
        <x:v>RS-01145</x:v>
      </x:c>
      <x:c r="C2245" s="9" t="n">
        <x:v>4</x:v>
      </x:c>
      <x:c r="D2245" s="8" t="n">
        <x:v>45466</x:v>
      </x:c>
      <x:c r="E2245" s="9" t="n">
        <x:v>5208000</x:v>
      </x:c>
      <x:c r="F2245" s="9" t="n">
        <x:v>0</x:v>
      </x:c>
    </x:row>
    <x:row r="2246" ht="34" customHeight="1">
      <x:c r="A2246" s="4" t="str">
        <x:v>RS-01148-I1</x:v>
      </x:c>
      <x:c r="B2246" s="4" t="str">
        <x:v>RS-01148</x:v>
      </x:c>
      <x:c r="C2246" s="9" t="n">
        <x:v>1</x:v>
      </x:c>
      <x:c r="D2246" s="8" t="n">
        <x:v>45379</x:v>
      </x:c>
      <x:c r="E2246" s="9" t="n">
        <x:v>3728750</x:v>
      </x:c>
      <x:c r="F2246" s="9" t="n">
        <x:v>3728750</x:v>
      </x:c>
    </x:row>
    <x:row r="2247" ht="34" customHeight="1">
      <x:c r="A2247" s="4" t="str">
        <x:v>RS-01148-I2</x:v>
      </x:c>
      <x:c r="B2247" s="4" t="str">
        <x:v>RS-01148</x:v>
      </x:c>
      <x:c r="C2247" s="9" t="n">
        <x:v>2</x:v>
      </x:c>
      <x:c r="D2247" s="8" t="n">
        <x:v>45409</x:v>
      </x:c>
      <x:c r="E2247" s="9" t="n">
        <x:v>3728750</x:v>
      </x:c>
      <x:c r="F2247" s="9" t="n">
        <x:v>3728750</x:v>
      </x:c>
    </x:row>
    <x:row r="2248" ht="34" customHeight="1">
      <x:c r="A2248" s="4" t="str">
        <x:v>RS-01148-I3</x:v>
      </x:c>
      <x:c r="B2248" s="4" t="str">
        <x:v>RS-01148</x:v>
      </x:c>
      <x:c r="C2248" s="9" t="n">
        <x:v>3</x:v>
      </x:c>
      <x:c r="D2248" s="8" t="n">
        <x:v>45439</x:v>
      </x:c>
      <x:c r="E2248" s="9" t="n">
        <x:v>3728750</x:v>
      </x:c>
      <x:c r="F2248" s="9" t="n">
        <x:v>0</x:v>
      </x:c>
    </x:row>
    <x:row r="2249" ht="34" customHeight="1">
      <x:c r="A2249" s="4" t="str">
        <x:v>RS-01148-I4</x:v>
      </x:c>
      <x:c r="B2249" s="4" t="str">
        <x:v>RS-01148</x:v>
      </x:c>
      <x:c r="C2249" s="9" t="n">
        <x:v>4</x:v>
      </x:c>
      <x:c r="D2249" s="8" t="n">
        <x:v>45469</x:v>
      </x:c>
      <x:c r="E2249" s="9" t="n">
        <x:v>3728750</x:v>
      </x:c>
      <x:c r="F2249" s="9" t="n">
        <x:v>0</x:v>
      </x:c>
    </x:row>
    <x:row r="2250" ht="34" customHeight="1">
      <x:c r="A2250" s="4" t="str">
        <x:v>RS-01149-I1</x:v>
      </x:c>
      <x:c r="B2250" s="4" t="str">
        <x:v>RS-01149</x:v>
      </x:c>
      <x:c r="C2250" s="9" t="n">
        <x:v>1</x:v>
      </x:c>
      <x:c r="D2250" s="8" t="n">
        <x:v>45352</x:v>
      </x:c>
      <x:c r="E2250" s="9" t="n">
        <x:v>2534250</x:v>
      </x:c>
      <x:c r="F2250" s="9" t="n">
        <x:v>2534250</x:v>
      </x:c>
    </x:row>
    <x:row r="2251" ht="34" customHeight="1">
      <x:c r="A2251" s="4" t="str">
        <x:v>RS-01149-I2</x:v>
      </x:c>
      <x:c r="B2251" s="4" t="str">
        <x:v>RS-01149</x:v>
      </x:c>
      <x:c r="C2251" s="9" t="n">
        <x:v>2</x:v>
      </x:c>
      <x:c r="D2251" s="8" t="n">
        <x:v>45382</x:v>
      </x:c>
      <x:c r="E2251" s="9" t="n">
        <x:v>2534250</x:v>
      </x:c>
      <x:c r="F2251" s="9" t="n">
        <x:v>2534250</x:v>
      </x:c>
    </x:row>
    <x:row r="2252" ht="34" customHeight="1">
      <x:c r="A2252" s="4" t="str">
        <x:v>RS-01149-I3</x:v>
      </x:c>
      <x:c r="B2252" s="4" t="str">
        <x:v>RS-01149</x:v>
      </x:c>
      <x:c r="C2252" s="9" t="n">
        <x:v>3</x:v>
      </x:c>
      <x:c r="D2252" s="8" t="n">
        <x:v>45412</x:v>
      </x:c>
      <x:c r="E2252" s="9" t="n">
        <x:v>2534250</x:v>
      </x:c>
      <x:c r="F2252" s="9" t="n">
        <x:v>2534250</x:v>
      </x:c>
    </x:row>
    <x:row r="2253" ht="34" customHeight="1">
      <x:c r="A2253" s="4" t="str">
        <x:v>RS-01149-I4</x:v>
      </x:c>
      <x:c r="B2253" s="4" t="str">
        <x:v>RS-01149</x:v>
      </x:c>
      <x:c r="C2253" s="9" t="n">
        <x:v>4</x:v>
      </x:c>
      <x:c r="D2253" s="8" t="n">
        <x:v>45442</x:v>
      </x:c>
      <x:c r="E2253" s="9" t="n">
        <x:v>2534250</x:v>
      </x:c>
      <x:c r="F2253" s="9" t="n">
        <x:v>2534250</x:v>
      </x:c>
    </x:row>
    <x:row r="2254" ht="34" customHeight="1">
      <x:c r="A2254" s="4" t="str">
        <x:v>RS-01151-I1</x:v>
      </x:c>
      <x:c r="B2254" s="4" t="str">
        <x:v>RS-01151</x:v>
      </x:c>
      <x:c r="C2254" s="9" t="n">
        <x:v>1</x:v>
      </x:c>
      <x:c r="D2254" s="8" t="n">
        <x:v>45354</x:v>
      </x:c>
      <x:c r="E2254" s="9" t="n">
        <x:v>5200000</x:v>
      </x:c>
      <x:c r="F2254" s="9" t="n">
        <x:v>2080000</x:v>
      </x:c>
    </x:row>
    <x:row r="2255" ht="34" customHeight="1">
      <x:c r="A2255" s="4" t="str">
        <x:v>RS-01151-I2</x:v>
      </x:c>
      <x:c r="B2255" s="4" t="str">
        <x:v>RS-01151</x:v>
      </x:c>
      <x:c r="C2255" s="9" t="n">
        <x:v>2</x:v>
      </x:c>
      <x:c r="D2255" s="8" t="n">
        <x:v>45384</x:v>
      </x:c>
      <x:c r="E2255" s="9" t="n">
        <x:v>5200000</x:v>
      </x:c>
      <x:c r="F2255" s="9" t="n">
        <x:v>0</x:v>
      </x:c>
    </x:row>
    <x:row r="2256" ht="34" customHeight="1">
      <x:c r="A2256" s="4" t="str">
        <x:v>RS-01151-I3</x:v>
      </x:c>
      <x:c r="B2256" s="4" t="str">
        <x:v>RS-01151</x:v>
      </x:c>
      <x:c r="C2256" s="9" t="n">
        <x:v>3</x:v>
      </x:c>
      <x:c r="D2256" s="8" t="n">
        <x:v>45414</x:v>
      </x:c>
      <x:c r="E2256" s="9" t="n">
        <x:v>5200000</x:v>
      </x:c>
      <x:c r="F2256" s="9" t="n">
        <x:v>0</x:v>
      </x:c>
    </x:row>
    <x:row r="2257" ht="34" customHeight="1">
      <x:c r="A2257" s="4" t="str">
        <x:v>RS-01151-I4</x:v>
      </x:c>
      <x:c r="B2257" s="4" t="str">
        <x:v>RS-01151</x:v>
      </x:c>
      <x:c r="C2257" s="9" t="n">
        <x:v>4</x:v>
      </x:c>
      <x:c r="D2257" s="8" t="n">
        <x:v>45444</x:v>
      </x:c>
      <x:c r="E2257" s="9" t="n">
        <x:v>5200000</x:v>
      </x:c>
      <x:c r="F2257" s="9" t="n">
        <x:v>0</x:v>
      </x:c>
    </x:row>
    <x:row r="2258" ht="34" customHeight="1">
      <x:c r="A2258" s="4" t="str">
        <x:v>RS-01152-I1</x:v>
      </x:c>
      <x:c r="B2258" s="4" t="str">
        <x:v>RS-01152</x:v>
      </x:c>
      <x:c r="C2258" s="9" t="n">
        <x:v>1</x:v>
      </x:c>
      <x:c r="D2258" s="8" t="n">
        <x:v>45355</x:v>
      </x:c>
      <x:c r="E2258" s="9" t="n">
        <x:v>3276000</x:v>
      </x:c>
      <x:c r="F2258" s="9" t="n">
        <x:v>3276000</x:v>
      </x:c>
    </x:row>
    <x:row r="2259" ht="34" customHeight="1">
      <x:c r="A2259" s="4" t="str">
        <x:v>RS-01152-I2</x:v>
      </x:c>
      <x:c r="B2259" s="4" t="str">
        <x:v>RS-01152</x:v>
      </x:c>
      <x:c r="C2259" s="9" t="n">
        <x:v>2</x:v>
      </x:c>
      <x:c r="D2259" s="8" t="n">
        <x:v>45385</x:v>
      </x:c>
      <x:c r="E2259" s="9" t="n">
        <x:v>3276000</x:v>
      </x:c>
      <x:c r="F2259" s="9" t="n">
        <x:v>0</x:v>
      </x:c>
    </x:row>
    <x:row r="2260" ht="34" customHeight="1">
      <x:c r="A2260" s="4" t="str">
        <x:v>RS-01152-I3</x:v>
      </x:c>
      <x:c r="B2260" s="4" t="str">
        <x:v>RS-01152</x:v>
      </x:c>
      <x:c r="C2260" s="9" t="n">
        <x:v>3</x:v>
      </x:c>
      <x:c r="D2260" s="8" t="n">
        <x:v>45415</x:v>
      </x:c>
      <x:c r="E2260" s="9" t="n">
        <x:v>3276000</x:v>
      </x:c>
      <x:c r="F2260" s="9" t="n">
        <x:v>0</x:v>
      </x:c>
    </x:row>
    <x:row r="2261" ht="34" customHeight="1">
      <x:c r="A2261" s="4" t="str">
        <x:v>RS-01152-I4</x:v>
      </x:c>
      <x:c r="B2261" s="4" t="str">
        <x:v>RS-01152</x:v>
      </x:c>
      <x:c r="C2261" s="9" t="n">
        <x:v>4</x:v>
      </x:c>
      <x:c r="D2261" s="8" t="n">
        <x:v>45445</x:v>
      </x:c>
      <x:c r="E2261" s="9" t="n">
        <x:v>3276000</x:v>
      </x:c>
      <x:c r="F2261" s="9" t="n">
        <x:v>0</x:v>
      </x:c>
    </x:row>
    <x:row r="2262" ht="34" customHeight="1">
      <x:c r="A2262" s="4" t="str">
        <x:v>RS-01154-I1</x:v>
      </x:c>
      <x:c r="B2262" s="4" t="str">
        <x:v>RS-01154</x:v>
      </x:c>
      <x:c r="C2262" s="9" t="n">
        <x:v>1</x:v>
      </x:c>
      <x:c r="D2262" s="8" t="n">
        <x:v>45357</x:v>
      </x:c>
      <x:c r="E2262" s="9" t="n">
        <x:v>4427750</x:v>
      </x:c>
      <x:c r="F2262" s="9" t="n">
        <x:v>4427750</x:v>
      </x:c>
    </x:row>
    <x:row r="2263" ht="34" customHeight="1">
      <x:c r="A2263" s="4" t="str">
        <x:v>RS-01154-I2</x:v>
      </x:c>
      <x:c r="B2263" s="4" t="str">
        <x:v>RS-01154</x:v>
      </x:c>
      <x:c r="C2263" s="9" t="n">
        <x:v>2</x:v>
      </x:c>
      <x:c r="D2263" s="8" t="n">
        <x:v>45387</x:v>
      </x:c>
      <x:c r="E2263" s="9" t="n">
        <x:v>4427750</x:v>
      </x:c>
      <x:c r="F2263" s="9" t="n">
        <x:v>0</x:v>
      </x:c>
    </x:row>
    <x:row r="2264" ht="34" customHeight="1">
      <x:c r="A2264" s="4" t="str">
        <x:v>RS-01154-I3</x:v>
      </x:c>
      <x:c r="B2264" s="4" t="str">
        <x:v>RS-01154</x:v>
      </x:c>
      <x:c r="C2264" s="9" t="n">
        <x:v>3</x:v>
      </x:c>
      <x:c r="D2264" s="8" t="n">
        <x:v>45417</x:v>
      </x:c>
      <x:c r="E2264" s="9" t="n">
        <x:v>4427750</x:v>
      </x:c>
      <x:c r="F2264" s="9" t="n">
        <x:v>0</x:v>
      </x:c>
    </x:row>
    <x:row r="2265" ht="34" customHeight="1">
      <x:c r="A2265" s="4" t="str">
        <x:v>RS-01154-I4</x:v>
      </x:c>
      <x:c r="B2265" s="4" t="str">
        <x:v>RS-01154</x:v>
      </x:c>
      <x:c r="C2265" s="9" t="n">
        <x:v>4</x:v>
      </x:c>
      <x:c r="D2265" s="8" t="n">
        <x:v>45447</x:v>
      </x:c>
      <x:c r="E2265" s="9" t="n">
        <x:v>4427750</x:v>
      </x:c>
      <x:c r="F2265" s="9" t="n">
        <x:v>0</x:v>
      </x:c>
    </x:row>
    <x:row r="2266" ht="34" customHeight="1">
      <x:c r="A2266" s="4" t="str">
        <x:v>RS-01155-I1</x:v>
      </x:c>
      <x:c r="B2266" s="4" t="str">
        <x:v>RS-01155</x:v>
      </x:c>
      <x:c r="C2266" s="9" t="n">
        <x:v>1</x:v>
      </x:c>
      <x:c r="D2266" s="8" t="n">
        <x:v>45358</x:v>
      </x:c>
      <x:c r="E2266" s="9" t="n">
        <x:v>2806000</x:v>
      </x:c>
      <x:c r="F2266" s="9" t="n">
        <x:v>2806000</x:v>
      </x:c>
    </x:row>
    <x:row r="2267" ht="34" customHeight="1">
      <x:c r="A2267" s="4" t="str">
        <x:v>RS-01155-I2</x:v>
      </x:c>
      <x:c r="B2267" s="4" t="str">
        <x:v>RS-01155</x:v>
      </x:c>
      <x:c r="C2267" s="9" t="n">
        <x:v>2</x:v>
      </x:c>
      <x:c r="D2267" s="8" t="n">
        <x:v>45388</x:v>
      </x:c>
      <x:c r="E2267" s="9" t="n">
        <x:v>2806000</x:v>
      </x:c>
      <x:c r="F2267" s="9" t="n">
        <x:v>2806000</x:v>
      </x:c>
    </x:row>
    <x:row r="2268" ht="34" customHeight="1">
      <x:c r="A2268" s="4" t="str">
        <x:v>RS-01155-I3</x:v>
      </x:c>
      <x:c r="B2268" s="4" t="str">
        <x:v>RS-01155</x:v>
      </x:c>
      <x:c r="C2268" s="9" t="n">
        <x:v>3</x:v>
      </x:c>
      <x:c r="D2268" s="8" t="n">
        <x:v>45418</x:v>
      </x:c>
      <x:c r="E2268" s="9" t="n">
        <x:v>2806000</x:v>
      </x:c>
      <x:c r="F2268" s="9" t="n">
        <x:v>2806000</x:v>
      </x:c>
    </x:row>
    <x:row r="2269" ht="34" customHeight="1">
      <x:c r="A2269" s="4" t="str">
        <x:v>RS-01155-I4</x:v>
      </x:c>
      <x:c r="B2269" s="4" t="str">
        <x:v>RS-01155</x:v>
      </x:c>
      <x:c r="C2269" s="9" t="n">
        <x:v>4</x:v>
      </x:c>
      <x:c r="D2269" s="8" t="n">
        <x:v>45448</x:v>
      </x:c>
      <x:c r="E2269" s="9" t="n">
        <x:v>2806000</x:v>
      </x:c>
      <x:c r="F2269" s="9" t="n">
        <x:v>2806000</x:v>
      </x:c>
    </x:row>
    <x:row r="2270" ht="34" customHeight="1">
      <x:c r="A2270" s="4" t="str">
        <x:v>RS-01157-I1</x:v>
      </x:c>
      <x:c r="B2270" s="4" t="str">
        <x:v>RS-01157</x:v>
      </x:c>
      <x:c r="C2270" s="9" t="n">
        <x:v>1</x:v>
      </x:c>
      <x:c r="D2270" s="8" t="n">
        <x:v>45360</x:v>
      </x:c>
      <x:c r="E2270" s="9" t="n">
        <x:v>1472000</x:v>
      </x:c>
      <x:c r="F2270" s="9" t="n">
        <x:v>1472000</x:v>
      </x:c>
    </x:row>
    <x:row r="2271" ht="34" customHeight="1">
      <x:c r="A2271" s="4" t="str">
        <x:v>RS-01157-I2</x:v>
      </x:c>
      <x:c r="B2271" s="4" t="str">
        <x:v>RS-01157</x:v>
      </x:c>
      <x:c r="C2271" s="9" t="n">
        <x:v>2</x:v>
      </x:c>
      <x:c r="D2271" s="8" t="n">
        <x:v>45390</x:v>
      </x:c>
      <x:c r="E2271" s="9" t="n">
        <x:v>1472000</x:v>
      </x:c>
      <x:c r="F2271" s="9" t="n">
        <x:v>1472000</x:v>
      </x:c>
    </x:row>
    <x:row r="2272" ht="34" customHeight="1">
      <x:c r="A2272" s="4" t="str">
        <x:v>RS-01157-I3</x:v>
      </x:c>
      <x:c r="B2272" s="4" t="str">
        <x:v>RS-01157</x:v>
      </x:c>
      <x:c r="C2272" s="9" t="n">
        <x:v>3</x:v>
      </x:c>
      <x:c r="D2272" s="8" t="n">
        <x:v>45420</x:v>
      </x:c>
      <x:c r="E2272" s="9" t="n">
        <x:v>1472000</x:v>
      </x:c>
      <x:c r="F2272" s="9" t="n">
        <x:v>0</x:v>
      </x:c>
    </x:row>
    <x:row r="2273" ht="34" customHeight="1">
      <x:c r="A2273" s="4" t="str">
        <x:v>RS-01157-I4</x:v>
      </x:c>
      <x:c r="B2273" s="4" t="str">
        <x:v>RS-01157</x:v>
      </x:c>
      <x:c r="C2273" s="9" t="n">
        <x:v>4</x:v>
      </x:c>
      <x:c r="D2273" s="8" t="n">
        <x:v>45450</x:v>
      </x:c>
      <x:c r="E2273" s="9" t="n">
        <x:v>1472000</x:v>
      </x:c>
      <x:c r="F2273" s="9" t="n">
        <x:v>0</x:v>
      </x:c>
    </x:row>
    <x:row r="2274" ht="34" customHeight="1">
      <x:c r="A2274" s="4" t="str">
        <x:v>RS-01158-I1</x:v>
      </x:c>
      <x:c r="B2274" s="4" t="str">
        <x:v>RS-01158</x:v>
      </x:c>
      <x:c r="C2274" s="9" t="n">
        <x:v>1</x:v>
      </x:c>
      <x:c r="D2274" s="8" t="n">
        <x:v>45361</x:v>
      </x:c>
      <x:c r="E2274" s="9" t="n">
        <x:v>1494500</x:v>
      </x:c>
      <x:c r="F2274" s="9" t="n">
        <x:v>597800</x:v>
      </x:c>
    </x:row>
    <x:row r="2275" ht="34" customHeight="1">
      <x:c r="A2275" s="4" t="str">
        <x:v>RS-01158-I2</x:v>
      </x:c>
      <x:c r="B2275" s="4" t="str">
        <x:v>RS-01158</x:v>
      </x:c>
      <x:c r="C2275" s="9" t="n">
        <x:v>2</x:v>
      </x:c>
      <x:c r="D2275" s="8" t="n">
        <x:v>45391</x:v>
      </x:c>
      <x:c r="E2275" s="9" t="n">
        <x:v>1494500</x:v>
      </x:c>
      <x:c r="F2275" s="9" t="n">
        <x:v>0</x:v>
      </x:c>
    </x:row>
    <x:row r="2276" ht="34" customHeight="1">
      <x:c r="A2276" s="4" t="str">
        <x:v>RS-01158-I3</x:v>
      </x:c>
      <x:c r="B2276" s="4" t="str">
        <x:v>RS-01158</x:v>
      </x:c>
      <x:c r="C2276" s="9" t="n">
        <x:v>3</x:v>
      </x:c>
      <x:c r="D2276" s="8" t="n">
        <x:v>45421</x:v>
      </x:c>
      <x:c r="E2276" s="9" t="n">
        <x:v>1494500</x:v>
      </x:c>
      <x:c r="F2276" s="9" t="n">
        <x:v>0</x:v>
      </x:c>
    </x:row>
    <x:row r="2277" ht="34" customHeight="1">
      <x:c r="A2277" s="4" t="str">
        <x:v>RS-01158-I4</x:v>
      </x:c>
      <x:c r="B2277" s="4" t="str">
        <x:v>RS-01158</x:v>
      </x:c>
      <x:c r="C2277" s="9" t="n">
        <x:v>4</x:v>
      </x:c>
      <x:c r="D2277" s="8" t="n">
        <x:v>45451</x:v>
      </x:c>
      <x:c r="E2277" s="9" t="n">
        <x:v>1494500</x:v>
      </x:c>
      <x:c r="F2277" s="9" t="n">
        <x:v>0</x:v>
      </x:c>
    </x:row>
    <x:row r="2278" ht="34" customHeight="1">
      <x:c r="A2278" s="4" t="str">
        <x:v>RS-01162-I1</x:v>
      </x:c>
      <x:c r="B2278" s="4" t="str">
        <x:v>RS-01162</x:v>
      </x:c>
      <x:c r="C2278" s="9" t="n">
        <x:v>1</x:v>
      </x:c>
      <x:c r="D2278" s="8" t="n">
        <x:v>45365</x:v>
      </x:c>
      <x:c r="E2278" s="9" t="n">
        <x:v>2225000</x:v>
      </x:c>
      <x:c r="F2278" s="9" t="n">
        <x:v>2225000</x:v>
      </x:c>
    </x:row>
    <x:row r="2279" ht="34" customHeight="1">
      <x:c r="A2279" s="4" t="str">
        <x:v>RS-01162-I2</x:v>
      </x:c>
      <x:c r="B2279" s="4" t="str">
        <x:v>RS-01162</x:v>
      </x:c>
      <x:c r="C2279" s="9" t="n">
        <x:v>2</x:v>
      </x:c>
      <x:c r="D2279" s="8" t="n">
        <x:v>45395</x:v>
      </x:c>
      <x:c r="E2279" s="9" t="n">
        <x:v>2225000</x:v>
      </x:c>
      <x:c r="F2279" s="9" t="n">
        <x:v>2225000</x:v>
      </x:c>
    </x:row>
    <x:row r="2280" ht="34" customHeight="1">
      <x:c r="A2280" s="4" t="str">
        <x:v>RS-01162-I3</x:v>
      </x:c>
      <x:c r="B2280" s="4" t="str">
        <x:v>RS-01162</x:v>
      </x:c>
      <x:c r="C2280" s="9" t="n">
        <x:v>3</x:v>
      </x:c>
      <x:c r="D2280" s="8" t="n">
        <x:v>45425</x:v>
      </x:c>
      <x:c r="E2280" s="9" t="n">
        <x:v>2225000</x:v>
      </x:c>
      <x:c r="F2280" s="9" t="n">
        <x:v>2225000</x:v>
      </x:c>
    </x:row>
    <x:row r="2281" ht="34" customHeight="1">
      <x:c r="A2281" s="4" t="str">
        <x:v>RS-01162-I4</x:v>
      </x:c>
      <x:c r="B2281" s="4" t="str">
        <x:v>RS-01162</x:v>
      </x:c>
      <x:c r="C2281" s="9" t="n">
        <x:v>4</x:v>
      </x:c>
      <x:c r="D2281" s="8" t="n">
        <x:v>45455</x:v>
      </x:c>
      <x:c r="E2281" s="9" t="n">
        <x:v>2225000</x:v>
      </x:c>
      <x:c r="F2281" s="9" t="n">
        <x:v>2225000</x:v>
      </x:c>
    </x:row>
    <x:row r="2282" ht="34" customHeight="1">
      <x:c r="A2282" s="4" t="str">
        <x:v>RS-01166-I1</x:v>
      </x:c>
      <x:c r="B2282" s="4" t="str">
        <x:v>RS-01166</x:v>
      </x:c>
      <x:c r="C2282" s="9" t="n">
        <x:v>1</x:v>
      </x:c>
      <x:c r="D2282" s="8" t="n">
        <x:v>45369</x:v>
      </x:c>
      <x:c r="E2282" s="9" t="n">
        <x:v>3036000</x:v>
      </x:c>
      <x:c r="F2282" s="9" t="n">
        <x:v>3036000</x:v>
      </x:c>
    </x:row>
    <x:row r="2283" ht="34" customHeight="1">
      <x:c r="A2283" s="4" t="str">
        <x:v>RS-01166-I2</x:v>
      </x:c>
      <x:c r="B2283" s="4" t="str">
        <x:v>RS-01166</x:v>
      </x:c>
      <x:c r="C2283" s="9" t="n">
        <x:v>2</x:v>
      </x:c>
      <x:c r="D2283" s="8" t="n">
        <x:v>45399</x:v>
      </x:c>
      <x:c r="E2283" s="9" t="n">
        <x:v>3036000</x:v>
      </x:c>
      <x:c r="F2283" s="9" t="n">
        <x:v>3036000</x:v>
      </x:c>
    </x:row>
    <x:row r="2284" ht="34" customHeight="1">
      <x:c r="A2284" s="4" t="str">
        <x:v>RS-01166-I3</x:v>
      </x:c>
      <x:c r="B2284" s="4" t="str">
        <x:v>RS-01166</x:v>
      </x:c>
      <x:c r="C2284" s="9" t="n">
        <x:v>3</x:v>
      </x:c>
      <x:c r="D2284" s="8" t="n">
        <x:v>45429</x:v>
      </x:c>
      <x:c r="E2284" s="9" t="n">
        <x:v>3036000</x:v>
      </x:c>
      <x:c r="F2284" s="9" t="n">
        <x:v>3036000</x:v>
      </x:c>
    </x:row>
    <x:row r="2285" ht="34" customHeight="1">
      <x:c r="A2285" s="4" t="str">
        <x:v>RS-01166-I4</x:v>
      </x:c>
      <x:c r="B2285" s="4" t="str">
        <x:v>RS-01166</x:v>
      </x:c>
      <x:c r="C2285" s="9" t="n">
        <x:v>4</x:v>
      </x:c>
      <x:c r="D2285" s="8" t="n">
        <x:v>45459</x:v>
      </x:c>
      <x:c r="E2285" s="9" t="n">
        <x:v>3036000</x:v>
      </x:c>
      <x:c r="F2285" s="9" t="n">
        <x:v>3036000</x:v>
      </x:c>
    </x:row>
    <x:row r="2286" ht="34" customHeight="1">
      <x:c r="A2286" s="4" t="str">
        <x:v>RS-01167-I1</x:v>
      </x:c>
      <x:c r="B2286" s="4" t="str">
        <x:v>RS-01167</x:v>
      </x:c>
      <x:c r="C2286" s="9" t="n">
        <x:v>1</x:v>
      </x:c>
      <x:c r="D2286" s="8" t="n">
        <x:v>45370</x:v>
      </x:c>
      <x:c r="E2286" s="9" t="n">
        <x:v>3675000</x:v>
      </x:c>
      <x:c r="F2286" s="9" t="n">
        <x:v>3675000</x:v>
      </x:c>
    </x:row>
    <x:row r="2287" ht="34" customHeight="1">
      <x:c r="A2287" s="4" t="str">
        <x:v>RS-01167-I2</x:v>
      </x:c>
      <x:c r="B2287" s="4" t="str">
        <x:v>RS-01167</x:v>
      </x:c>
      <x:c r="C2287" s="9" t="n">
        <x:v>2</x:v>
      </x:c>
      <x:c r="D2287" s="8" t="n">
        <x:v>45400</x:v>
      </x:c>
      <x:c r="E2287" s="9" t="n">
        <x:v>3675000</x:v>
      </x:c>
      <x:c r="F2287" s="9" t="n">
        <x:v>3675000</x:v>
      </x:c>
    </x:row>
    <x:row r="2288" ht="34" customHeight="1">
      <x:c r="A2288" s="4" t="str">
        <x:v>RS-01167-I3</x:v>
      </x:c>
      <x:c r="B2288" s="4" t="str">
        <x:v>RS-01167</x:v>
      </x:c>
      <x:c r="C2288" s="9" t="n">
        <x:v>3</x:v>
      </x:c>
      <x:c r="D2288" s="8" t="n">
        <x:v>45430</x:v>
      </x:c>
      <x:c r="E2288" s="9" t="n">
        <x:v>3675000</x:v>
      </x:c>
      <x:c r="F2288" s="9" t="n">
        <x:v>3675000</x:v>
      </x:c>
    </x:row>
    <x:row r="2289" ht="34" customHeight="1">
      <x:c r="A2289" s="4" t="str">
        <x:v>RS-01167-I4</x:v>
      </x:c>
      <x:c r="B2289" s="4" t="str">
        <x:v>RS-01167</x:v>
      </x:c>
      <x:c r="C2289" s="9" t="n">
        <x:v>4</x:v>
      </x:c>
      <x:c r="D2289" s="8" t="n">
        <x:v>45460</x:v>
      </x:c>
      <x:c r="E2289" s="9" t="n">
        <x:v>3675000</x:v>
      </x:c>
      <x:c r="F2289" s="9" t="n">
        <x:v>3675000</x:v>
      </x:c>
    </x:row>
    <x:row r="2290" ht="34" customHeight="1">
      <x:c r="A2290" s="4" t="str">
        <x:v>RS-01168-I1</x:v>
      </x:c>
      <x:c r="B2290" s="4" t="str">
        <x:v>RS-01168</x:v>
      </x:c>
      <x:c r="C2290" s="9" t="n">
        <x:v>1</x:v>
      </x:c>
      <x:c r="D2290" s="8" t="n">
        <x:v>45371</x:v>
      </x:c>
      <x:c r="E2290" s="9" t="n">
        <x:v>4257000</x:v>
      </x:c>
      <x:c r="F2290" s="9" t="n">
        <x:v>4257000</x:v>
      </x:c>
    </x:row>
    <x:row r="2291" ht="34" customHeight="1">
      <x:c r="A2291" s="4" t="str">
        <x:v>RS-01168-I2</x:v>
      </x:c>
      <x:c r="B2291" s="4" t="str">
        <x:v>RS-01168</x:v>
      </x:c>
      <x:c r="C2291" s="9" t="n">
        <x:v>2</x:v>
      </x:c>
      <x:c r="D2291" s="8" t="n">
        <x:v>45401</x:v>
      </x:c>
      <x:c r="E2291" s="9" t="n">
        <x:v>4257000</x:v>
      </x:c>
      <x:c r="F2291" s="9" t="n">
        <x:v>4257000</x:v>
      </x:c>
    </x:row>
    <x:row r="2292" ht="34" customHeight="1">
      <x:c r="A2292" s="4" t="str">
        <x:v>RS-01168-I3</x:v>
      </x:c>
      <x:c r="B2292" s="4" t="str">
        <x:v>RS-01168</x:v>
      </x:c>
      <x:c r="C2292" s="9" t="n">
        <x:v>3</x:v>
      </x:c>
      <x:c r="D2292" s="8" t="n">
        <x:v>45431</x:v>
      </x:c>
      <x:c r="E2292" s="9" t="n">
        <x:v>4257000</x:v>
      </x:c>
      <x:c r="F2292" s="9" t="n">
        <x:v>0</x:v>
      </x:c>
    </x:row>
    <x:row r="2293" ht="34" customHeight="1">
      <x:c r="A2293" s="4" t="str">
        <x:v>RS-01168-I4</x:v>
      </x:c>
      <x:c r="B2293" s="4" t="str">
        <x:v>RS-01168</x:v>
      </x:c>
      <x:c r="C2293" s="9" t="n">
        <x:v>4</x:v>
      </x:c>
      <x:c r="D2293" s="8" t="n">
        <x:v>45461</x:v>
      </x:c>
      <x:c r="E2293" s="9" t="n">
        <x:v>4257000</x:v>
      </x:c>
      <x:c r="F2293" s="9" t="n">
        <x:v>0</x:v>
      </x:c>
    </x:row>
    <x:row r="2294" ht="34" customHeight="1">
      <x:c r="A2294" s="4" t="str">
        <x:v>RS-01170-I1</x:v>
      </x:c>
      <x:c r="B2294" s="4" t="str">
        <x:v>RS-01170</x:v>
      </x:c>
      <x:c r="C2294" s="9" t="n">
        <x:v>1</x:v>
      </x:c>
      <x:c r="D2294" s="8" t="n">
        <x:v>45373</x:v>
      </x:c>
      <x:c r="E2294" s="9" t="n">
        <x:v>5700000</x:v>
      </x:c>
      <x:c r="F2294" s="9" t="n">
        <x:v>5700000</x:v>
      </x:c>
    </x:row>
    <x:row r="2295" ht="34" customHeight="1">
      <x:c r="A2295" s="4" t="str">
        <x:v>RS-01170-I2</x:v>
      </x:c>
      <x:c r="B2295" s="4" t="str">
        <x:v>RS-01170</x:v>
      </x:c>
      <x:c r="C2295" s="9" t="n">
        <x:v>2</x:v>
      </x:c>
      <x:c r="D2295" s="8" t="n">
        <x:v>45403</x:v>
      </x:c>
      <x:c r="E2295" s="9" t="n">
        <x:v>5700000</x:v>
      </x:c>
      <x:c r="F2295" s="9" t="n">
        <x:v>5700000</x:v>
      </x:c>
    </x:row>
    <x:row r="2296" ht="34" customHeight="1">
      <x:c r="A2296" s="4" t="str">
        <x:v>RS-01170-I3</x:v>
      </x:c>
      <x:c r="B2296" s="4" t="str">
        <x:v>RS-01170</x:v>
      </x:c>
      <x:c r="C2296" s="9" t="n">
        <x:v>3</x:v>
      </x:c>
      <x:c r="D2296" s="8" t="n">
        <x:v>45433</x:v>
      </x:c>
      <x:c r="E2296" s="9" t="n">
        <x:v>5700000</x:v>
      </x:c>
      <x:c r="F2296" s="9" t="n">
        <x:v>0</x:v>
      </x:c>
    </x:row>
    <x:row r="2297" ht="34" customHeight="1">
      <x:c r="A2297" s="4" t="str">
        <x:v>RS-01170-I4</x:v>
      </x:c>
      <x:c r="B2297" s="4" t="str">
        <x:v>RS-01170</x:v>
      </x:c>
      <x:c r="C2297" s="9" t="n">
        <x:v>4</x:v>
      </x:c>
      <x:c r="D2297" s="8" t="n">
        <x:v>45463</x:v>
      </x:c>
      <x:c r="E2297" s="9" t="n">
        <x:v>5700000</x:v>
      </x:c>
      <x:c r="F2297" s="9" t="n">
        <x:v>0</x:v>
      </x:c>
    </x:row>
    <x:row r="2298" ht="34" customHeight="1">
      <x:c r="A2298" s="4" t="str">
        <x:v>RS-01172-I1</x:v>
      </x:c>
      <x:c r="B2298" s="4" t="str">
        <x:v>RS-01172</x:v>
      </x:c>
      <x:c r="C2298" s="9" t="n">
        <x:v>1</x:v>
      </x:c>
      <x:c r="D2298" s="8" t="n">
        <x:v>45375</x:v>
      </x:c>
      <x:c r="E2298" s="9" t="n">
        <x:v>2448000</x:v>
      </x:c>
      <x:c r="F2298" s="9" t="n">
        <x:v>2448000</x:v>
      </x:c>
    </x:row>
    <x:row r="2299" ht="34" customHeight="1">
      <x:c r="A2299" s="4" t="str">
        <x:v>RS-01172-I2</x:v>
      </x:c>
      <x:c r="B2299" s="4" t="str">
        <x:v>RS-01172</x:v>
      </x:c>
      <x:c r="C2299" s="9" t="n">
        <x:v>2</x:v>
      </x:c>
      <x:c r="D2299" s="8" t="n">
        <x:v>45405</x:v>
      </x:c>
      <x:c r="E2299" s="9" t="n">
        <x:v>2448000</x:v>
      </x:c>
      <x:c r="F2299" s="9" t="n">
        <x:v>0</x:v>
      </x:c>
    </x:row>
    <x:row r="2300" ht="34" customHeight="1">
      <x:c r="A2300" s="4" t="str">
        <x:v>RS-01172-I3</x:v>
      </x:c>
      <x:c r="B2300" s="4" t="str">
        <x:v>RS-01172</x:v>
      </x:c>
      <x:c r="C2300" s="9" t="n">
        <x:v>3</x:v>
      </x:c>
      <x:c r="D2300" s="8" t="n">
        <x:v>45435</x:v>
      </x:c>
      <x:c r="E2300" s="9" t="n">
        <x:v>2448000</x:v>
      </x:c>
      <x:c r="F2300" s="9" t="n">
        <x:v>0</x:v>
      </x:c>
    </x:row>
    <x:row r="2301" ht="34" customHeight="1">
      <x:c r="A2301" s="4" t="str">
        <x:v>RS-01172-I4</x:v>
      </x:c>
      <x:c r="B2301" s="4" t="str">
        <x:v>RS-01172</x:v>
      </x:c>
      <x:c r="C2301" s="9" t="n">
        <x:v>4</x:v>
      </x:c>
      <x:c r="D2301" s="8" t="n">
        <x:v>45465</x:v>
      </x:c>
      <x:c r="E2301" s="9" t="n">
        <x:v>2448000</x:v>
      </x:c>
      <x:c r="F2301" s="9" t="n">
        <x:v>0</x:v>
      </x:c>
    </x:row>
    <x:row r="2302" ht="34" customHeight="1">
      <x:c r="A2302" s="4" t="str">
        <x:v>RS-01173-I1</x:v>
      </x:c>
      <x:c r="B2302" s="4" t="str">
        <x:v>RS-01173</x:v>
      </x:c>
      <x:c r="C2302" s="9" t="n">
        <x:v>1</x:v>
      </x:c>
      <x:c r="D2302" s="8" t="n">
        <x:v>45376</x:v>
      </x:c>
      <x:c r="E2302" s="9" t="n">
        <x:v>2820000</x:v>
      </x:c>
      <x:c r="F2302" s="9" t="n">
        <x:v>1128000</x:v>
      </x:c>
    </x:row>
    <x:row r="2303" ht="34" customHeight="1">
      <x:c r="A2303" s="4" t="str">
        <x:v>RS-01173-I2</x:v>
      </x:c>
      <x:c r="B2303" s="4" t="str">
        <x:v>RS-01173</x:v>
      </x:c>
      <x:c r="C2303" s="9" t="n">
        <x:v>2</x:v>
      </x:c>
      <x:c r="D2303" s="8" t="n">
        <x:v>45406</x:v>
      </x:c>
      <x:c r="E2303" s="9" t="n">
        <x:v>2820000</x:v>
      </x:c>
      <x:c r="F2303" s="9" t="n">
        <x:v>0</x:v>
      </x:c>
    </x:row>
    <x:row r="2304" ht="34" customHeight="1">
      <x:c r="A2304" s="4" t="str">
        <x:v>RS-01173-I3</x:v>
      </x:c>
      <x:c r="B2304" s="4" t="str">
        <x:v>RS-01173</x:v>
      </x:c>
      <x:c r="C2304" s="9" t="n">
        <x:v>3</x:v>
      </x:c>
      <x:c r="D2304" s="8" t="n">
        <x:v>45436</x:v>
      </x:c>
      <x:c r="E2304" s="9" t="n">
        <x:v>2820000</x:v>
      </x:c>
      <x:c r="F2304" s="9" t="n">
        <x:v>0</x:v>
      </x:c>
    </x:row>
    <x:row r="2305" ht="34" customHeight="1">
      <x:c r="A2305" s="4" t="str">
        <x:v>RS-01173-I4</x:v>
      </x:c>
      <x:c r="B2305" s="4" t="str">
        <x:v>RS-01173</x:v>
      </x:c>
      <x:c r="C2305" s="9" t="n">
        <x:v>4</x:v>
      </x:c>
      <x:c r="D2305" s="8" t="n">
        <x:v>45466</x:v>
      </x:c>
      <x:c r="E2305" s="9" t="n">
        <x:v>2820000</x:v>
      </x:c>
      <x:c r="F2305" s="9" t="n">
        <x:v>0</x:v>
      </x:c>
    </x:row>
    <x:row r="2306" ht="34" customHeight="1">
      <x:c r="A2306" s="4" t="str">
        <x:v>RS-01174-I1</x:v>
      </x:c>
      <x:c r="B2306" s="4" t="str">
        <x:v>RS-01174</x:v>
      </x:c>
      <x:c r="C2306" s="9" t="n">
        <x:v>1</x:v>
      </x:c>
      <x:c r="D2306" s="8" t="n">
        <x:v>45377</x:v>
      </x:c>
      <x:c r="E2306" s="9" t="n">
        <x:v>2520000</x:v>
      </x:c>
      <x:c r="F2306" s="9" t="n">
        <x:v>2520000</x:v>
      </x:c>
    </x:row>
    <x:row r="2307" ht="34" customHeight="1">
      <x:c r="A2307" s="4" t="str">
        <x:v>RS-01174-I2</x:v>
      </x:c>
      <x:c r="B2307" s="4" t="str">
        <x:v>RS-01174</x:v>
      </x:c>
      <x:c r="C2307" s="9" t="n">
        <x:v>2</x:v>
      </x:c>
      <x:c r="D2307" s="8" t="n">
        <x:v>45407</x:v>
      </x:c>
      <x:c r="E2307" s="9" t="n">
        <x:v>2520000</x:v>
      </x:c>
      <x:c r="F2307" s="9" t="n">
        <x:v>2520000</x:v>
      </x:c>
    </x:row>
    <x:row r="2308" ht="34" customHeight="1">
      <x:c r="A2308" s="4" t="str">
        <x:v>RS-01174-I3</x:v>
      </x:c>
      <x:c r="B2308" s="4" t="str">
        <x:v>RS-01174</x:v>
      </x:c>
      <x:c r="C2308" s="9" t="n">
        <x:v>3</x:v>
      </x:c>
      <x:c r="D2308" s="8" t="n">
        <x:v>45437</x:v>
      </x:c>
      <x:c r="E2308" s="9" t="n">
        <x:v>2520000</x:v>
      </x:c>
      <x:c r="F2308" s="9" t="n">
        <x:v>2520000</x:v>
      </x:c>
    </x:row>
    <x:row r="2309" ht="34" customHeight="1">
      <x:c r="A2309" s="4" t="str">
        <x:v>RS-01174-I4</x:v>
      </x:c>
      <x:c r="B2309" s="4" t="str">
        <x:v>RS-01174</x:v>
      </x:c>
      <x:c r="C2309" s="9" t="n">
        <x:v>4</x:v>
      </x:c>
      <x:c r="D2309" s="8" t="n">
        <x:v>45467</x:v>
      </x:c>
      <x:c r="E2309" s="9" t="n">
        <x:v>2520000</x:v>
      </x:c>
      <x:c r="F2309" s="9" t="n">
        <x:v>2520000</x:v>
      </x:c>
    </x:row>
    <x:row r="2310" ht="34" customHeight="1">
      <x:c r="A2310" s="4" t="str">
        <x:v>RS-01175-I1</x:v>
      </x:c>
      <x:c r="B2310" s="4" t="str">
        <x:v>RS-01175</x:v>
      </x:c>
      <x:c r="C2310" s="9" t="n">
        <x:v>1</x:v>
      </x:c>
      <x:c r="D2310" s="8" t="n">
        <x:v>45378</x:v>
      </x:c>
      <x:c r="E2310" s="9" t="n">
        <x:v>2604000</x:v>
      </x:c>
      <x:c r="F2310" s="9" t="n">
        <x:v>2604000</x:v>
      </x:c>
    </x:row>
    <x:row r="2311" ht="34" customHeight="1">
      <x:c r="A2311" s="4" t="str">
        <x:v>RS-01175-I2</x:v>
      </x:c>
      <x:c r="B2311" s="4" t="str">
        <x:v>RS-01175</x:v>
      </x:c>
      <x:c r="C2311" s="9" t="n">
        <x:v>2</x:v>
      </x:c>
      <x:c r="D2311" s="8" t="n">
        <x:v>45408</x:v>
      </x:c>
      <x:c r="E2311" s="9" t="n">
        <x:v>2604000</x:v>
      </x:c>
      <x:c r="F2311" s="9" t="n">
        <x:v>2604000</x:v>
      </x:c>
    </x:row>
    <x:row r="2312" ht="34" customHeight="1">
      <x:c r="A2312" s="4" t="str">
        <x:v>RS-01175-I3</x:v>
      </x:c>
      <x:c r="B2312" s="4" t="str">
        <x:v>RS-01175</x:v>
      </x:c>
      <x:c r="C2312" s="9" t="n">
        <x:v>3</x:v>
      </x:c>
      <x:c r="D2312" s="8" t="n">
        <x:v>45438</x:v>
      </x:c>
      <x:c r="E2312" s="9" t="n">
        <x:v>2604000</x:v>
      </x:c>
      <x:c r="F2312" s="9" t="n">
        <x:v>0</x:v>
      </x:c>
    </x:row>
    <x:row r="2313" ht="34" customHeight="1">
      <x:c r="A2313" s="4" t="str">
        <x:v>RS-01175-I4</x:v>
      </x:c>
      <x:c r="B2313" s="4" t="str">
        <x:v>RS-01175</x:v>
      </x:c>
      <x:c r="C2313" s="9" t="n">
        <x:v>4</x:v>
      </x:c>
      <x:c r="D2313" s="8" t="n">
        <x:v>45468</x:v>
      </x:c>
      <x:c r="E2313" s="9" t="n">
        <x:v>2604000</x:v>
      </x:c>
      <x:c r="F2313" s="9" t="n">
        <x:v>0</x:v>
      </x:c>
    </x:row>
    <x:row r="2314" ht="34" customHeight="1">
      <x:c r="A2314" s="4" t="str">
        <x:v>RS-01176-I1</x:v>
      </x:c>
      <x:c r="B2314" s="4" t="str">
        <x:v>RS-01176</x:v>
      </x:c>
      <x:c r="C2314" s="9" t="n">
        <x:v>1</x:v>
      </x:c>
      <x:c r="D2314" s="8" t="n">
        <x:v>45379</x:v>
      </x:c>
      <x:c r="E2314" s="9" t="n">
        <x:v>5782000</x:v>
      </x:c>
      <x:c r="F2314" s="9" t="n">
        <x:v>5782000</x:v>
      </x:c>
    </x:row>
    <x:row r="2315" ht="34" customHeight="1">
      <x:c r="A2315" s="4" t="str">
        <x:v>RS-01176-I2</x:v>
      </x:c>
      <x:c r="B2315" s="4" t="str">
        <x:v>RS-01176</x:v>
      </x:c>
      <x:c r="C2315" s="9" t="n">
        <x:v>2</x:v>
      </x:c>
      <x:c r="D2315" s="8" t="n">
        <x:v>45409</x:v>
      </x:c>
      <x:c r="E2315" s="9" t="n">
        <x:v>5782000</x:v>
      </x:c>
      <x:c r="F2315" s="9" t="n">
        <x:v>0</x:v>
      </x:c>
    </x:row>
    <x:row r="2316" ht="34" customHeight="1">
      <x:c r="A2316" s="4" t="str">
        <x:v>RS-01176-I3</x:v>
      </x:c>
      <x:c r="B2316" s="4" t="str">
        <x:v>RS-01176</x:v>
      </x:c>
      <x:c r="C2316" s="9" t="n">
        <x:v>3</x:v>
      </x:c>
      <x:c r="D2316" s="8" t="n">
        <x:v>45439</x:v>
      </x:c>
      <x:c r="E2316" s="9" t="n">
        <x:v>5782000</x:v>
      </x:c>
      <x:c r="F2316" s="9" t="n">
        <x:v>0</x:v>
      </x:c>
    </x:row>
    <x:row r="2317" ht="34" customHeight="1">
      <x:c r="A2317" s="4" t="str">
        <x:v>RS-01176-I4</x:v>
      </x:c>
      <x:c r="B2317" s="4" t="str">
        <x:v>RS-01176</x:v>
      </x:c>
      <x:c r="C2317" s="9" t="n">
        <x:v>4</x:v>
      </x:c>
      <x:c r="D2317" s="8" t="n">
        <x:v>45469</x:v>
      </x:c>
      <x:c r="E2317" s="9" t="n">
        <x:v>5782000</x:v>
      </x:c>
      <x:c r="F2317" s="9" t="n">
        <x:v>0</x:v>
      </x:c>
    </x:row>
    <x:row r="2318" ht="34" customHeight="1">
      <x:c r="A2318" s="4" t="str">
        <x:v>RS-01177-I1</x:v>
      </x:c>
      <x:c r="B2318" s="4" t="str">
        <x:v>RS-01177</x:v>
      </x:c>
      <x:c r="C2318" s="9" t="n">
        <x:v>1</x:v>
      </x:c>
      <x:c r="D2318" s="8" t="n">
        <x:v>45352</x:v>
      </x:c>
      <x:c r="E2318" s="9" t="n">
        <x:v>1930500</x:v>
      </x:c>
      <x:c r="F2318" s="9" t="n">
        <x:v>1930500</x:v>
      </x:c>
    </x:row>
    <x:row r="2319" ht="34" customHeight="1">
      <x:c r="A2319" s="4" t="str">
        <x:v>RS-01177-I2</x:v>
      </x:c>
      <x:c r="B2319" s="4" t="str">
        <x:v>RS-01177</x:v>
      </x:c>
      <x:c r="C2319" s="9" t="n">
        <x:v>2</x:v>
      </x:c>
      <x:c r="D2319" s="8" t="n">
        <x:v>45382</x:v>
      </x:c>
      <x:c r="E2319" s="9" t="n">
        <x:v>1930500</x:v>
      </x:c>
      <x:c r="F2319" s="9" t="n">
        <x:v>1930500</x:v>
      </x:c>
    </x:row>
    <x:row r="2320" ht="34" customHeight="1">
      <x:c r="A2320" s="4" t="str">
        <x:v>RS-01177-I3</x:v>
      </x:c>
      <x:c r="B2320" s="4" t="str">
        <x:v>RS-01177</x:v>
      </x:c>
      <x:c r="C2320" s="9" t="n">
        <x:v>3</x:v>
      </x:c>
      <x:c r="D2320" s="8" t="n">
        <x:v>45412</x:v>
      </x:c>
      <x:c r="E2320" s="9" t="n">
        <x:v>1930500</x:v>
      </x:c>
      <x:c r="F2320" s="9" t="n">
        <x:v>1930500</x:v>
      </x:c>
    </x:row>
    <x:row r="2321" ht="34" customHeight="1">
      <x:c r="A2321" s="4" t="str">
        <x:v>RS-01177-I4</x:v>
      </x:c>
      <x:c r="B2321" s="4" t="str">
        <x:v>RS-01177</x:v>
      </x:c>
      <x:c r="C2321" s="9" t="n">
        <x:v>4</x:v>
      </x:c>
      <x:c r="D2321" s="8" t="n">
        <x:v>45442</x:v>
      </x:c>
      <x:c r="E2321" s="9" t="n">
        <x:v>1930500</x:v>
      </x:c>
      <x:c r="F2321" s="9" t="n">
        <x:v>1930500</x:v>
      </x:c>
    </x:row>
    <x:row r="2322" ht="34" customHeight="1">
      <x:c r="A2322" s="4" t="str">
        <x:v>RS-01178-I1</x:v>
      </x:c>
      <x:c r="B2322" s="4" t="str">
        <x:v>RS-01178</x:v>
      </x:c>
      <x:c r="C2322" s="9" t="n">
        <x:v>1</x:v>
      </x:c>
      <x:c r="D2322" s="8" t="n">
        <x:v>45353</x:v>
      </x:c>
      <x:c r="E2322" s="9" t="n">
        <x:v>2813000</x:v>
      </x:c>
      <x:c r="F2322" s="9" t="n">
        <x:v>2813000</x:v>
      </x:c>
    </x:row>
    <x:row r="2323" ht="34" customHeight="1">
      <x:c r="A2323" s="4" t="str">
        <x:v>RS-01178-I2</x:v>
      </x:c>
      <x:c r="B2323" s="4" t="str">
        <x:v>RS-01178</x:v>
      </x:c>
      <x:c r="C2323" s="9" t="n">
        <x:v>2</x:v>
      </x:c>
      <x:c r="D2323" s="8" t="n">
        <x:v>45383</x:v>
      </x:c>
      <x:c r="E2323" s="9" t="n">
        <x:v>2813000</x:v>
      </x:c>
      <x:c r="F2323" s="9" t="n">
        <x:v>0</x:v>
      </x:c>
    </x:row>
    <x:row r="2324" ht="34" customHeight="1">
      <x:c r="A2324" s="4" t="str">
        <x:v>RS-01178-I3</x:v>
      </x:c>
      <x:c r="B2324" s="4" t="str">
        <x:v>RS-01178</x:v>
      </x:c>
      <x:c r="C2324" s="9" t="n">
        <x:v>3</x:v>
      </x:c>
      <x:c r="D2324" s="8" t="n">
        <x:v>45413</x:v>
      </x:c>
      <x:c r="E2324" s="9" t="n">
        <x:v>2813000</x:v>
      </x:c>
      <x:c r="F2324" s="9" t="n">
        <x:v>0</x:v>
      </x:c>
    </x:row>
    <x:row r="2325" ht="34" customHeight="1">
      <x:c r="A2325" s="4" t="str">
        <x:v>RS-01178-I4</x:v>
      </x:c>
      <x:c r="B2325" s="4" t="str">
        <x:v>RS-01178</x:v>
      </x:c>
      <x:c r="C2325" s="9" t="n">
        <x:v>4</x:v>
      </x:c>
      <x:c r="D2325" s="8" t="n">
        <x:v>45443</x:v>
      </x:c>
      <x:c r="E2325" s="9" t="n">
        <x:v>2813000</x:v>
      </x:c>
      <x:c r="F2325" s="9" t="n">
        <x:v>0</x:v>
      </x:c>
    </x:row>
    <x:row r="2326" ht="34" customHeight="1">
      <x:c r="A2326" s="4" t="str">
        <x:v>RS-01182-I1</x:v>
      </x:c>
      <x:c r="B2326" s="4" t="str">
        <x:v>RS-01182</x:v>
      </x:c>
      <x:c r="C2326" s="9" t="n">
        <x:v>1</x:v>
      </x:c>
      <x:c r="D2326" s="8" t="n">
        <x:v>45357</x:v>
      </x:c>
      <x:c r="E2326" s="9" t="n">
        <x:v>1794000</x:v>
      </x:c>
      <x:c r="F2326" s="9" t="n">
        <x:v>1794000</x:v>
      </x:c>
    </x:row>
    <x:row r="2327" ht="34" customHeight="1">
      <x:c r="A2327" s="4" t="str">
        <x:v>RS-01182-I2</x:v>
      </x:c>
      <x:c r="B2327" s="4" t="str">
        <x:v>RS-01182</x:v>
      </x:c>
      <x:c r="C2327" s="9" t="n">
        <x:v>2</x:v>
      </x:c>
      <x:c r="D2327" s="8" t="n">
        <x:v>45387</x:v>
      </x:c>
      <x:c r="E2327" s="9" t="n">
        <x:v>1794000</x:v>
      </x:c>
      <x:c r="F2327" s="9" t="n">
        <x:v>1794000</x:v>
      </x:c>
    </x:row>
    <x:row r="2328" ht="34" customHeight="1">
      <x:c r="A2328" s="4" t="str">
        <x:v>RS-01182-I3</x:v>
      </x:c>
      <x:c r="B2328" s="4" t="str">
        <x:v>RS-01182</x:v>
      </x:c>
      <x:c r="C2328" s="9" t="n">
        <x:v>3</x:v>
      </x:c>
      <x:c r="D2328" s="8" t="n">
        <x:v>45417</x:v>
      </x:c>
      <x:c r="E2328" s="9" t="n">
        <x:v>1794000</x:v>
      </x:c>
      <x:c r="F2328" s="9" t="n">
        <x:v>0</x:v>
      </x:c>
    </x:row>
    <x:row r="2329" ht="34" customHeight="1">
      <x:c r="A2329" s="4" t="str">
        <x:v>RS-01182-I4</x:v>
      </x:c>
      <x:c r="B2329" s="4" t="str">
        <x:v>RS-01182</x:v>
      </x:c>
      <x:c r="C2329" s="9" t="n">
        <x:v>4</x:v>
      </x:c>
      <x:c r="D2329" s="8" t="n">
        <x:v>45447</x:v>
      </x:c>
      <x:c r="E2329" s="9" t="n">
        <x:v>1794000</x:v>
      </x:c>
      <x:c r="F2329" s="9" t="n">
        <x:v>0</x:v>
      </x:c>
    </x:row>
    <x:row r="2330" ht="34" customHeight="1">
      <x:c r="A2330" s="4" t="str">
        <x:v>RS-01187-I1</x:v>
      </x:c>
      <x:c r="B2330" s="4" t="str">
        <x:v>RS-01187</x:v>
      </x:c>
      <x:c r="C2330" s="9" t="n">
        <x:v>1</x:v>
      </x:c>
      <x:c r="D2330" s="8" t="n">
        <x:v>45362</x:v>
      </x:c>
      <x:c r="E2330" s="9" t="n">
        <x:v>1183000</x:v>
      </x:c>
      <x:c r="F2330" s="9" t="n">
        <x:v>1183000</x:v>
      </x:c>
    </x:row>
    <x:row r="2331" ht="34" customHeight="1">
      <x:c r="A2331" s="4" t="str">
        <x:v>RS-01187-I2</x:v>
      </x:c>
      <x:c r="B2331" s="4" t="str">
        <x:v>RS-01187</x:v>
      </x:c>
      <x:c r="C2331" s="9" t="n">
        <x:v>2</x:v>
      </x:c>
      <x:c r="D2331" s="8" t="n">
        <x:v>45392</x:v>
      </x:c>
      <x:c r="E2331" s="9" t="n">
        <x:v>1183000</x:v>
      </x:c>
      <x:c r="F2331" s="9" t="n">
        <x:v>0</x:v>
      </x:c>
    </x:row>
    <x:row r="2332" ht="34" customHeight="1">
      <x:c r="A2332" s="4" t="str">
        <x:v>RS-01187-I3</x:v>
      </x:c>
      <x:c r="B2332" s="4" t="str">
        <x:v>RS-01187</x:v>
      </x:c>
      <x:c r="C2332" s="9" t="n">
        <x:v>3</x:v>
      </x:c>
      <x:c r="D2332" s="8" t="n">
        <x:v>45422</x:v>
      </x:c>
      <x:c r="E2332" s="9" t="n">
        <x:v>1183000</x:v>
      </x:c>
      <x:c r="F2332" s="9" t="n">
        <x:v>0</x:v>
      </x:c>
    </x:row>
    <x:row r="2333" ht="34" customHeight="1">
      <x:c r="A2333" s="4" t="str">
        <x:v>RS-01187-I4</x:v>
      </x:c>
      <x:c r="B2333" s="4" t="str">
        <x:v>RS-01187</x:v>
      </x:c>
      <x:c r="C2333" s="9" t="n">
        <x:v>4</x:v>
      </x:c>
      <x:c r="D2333" s="8" t="n">
        <x:v>45452</x:v>
      </x:c>
      <x:c r="E2333" s="9" t="n">
        <x:v>1183000</x:v>
      </x:c>
      <x:c r="F2333" s="9" t="n">
        <x:v>0</x:v>
      </x:c>
    </x:row>
    <x:row r="2334" ht="34" customHeight="1">
      <x:c r="A2334" s="4" t="str">
        <x:v>RS-01190-I1</x:v>
      </x:c>
      <x:c r="B2334" s="4" t="str">
        <x:v>RS-01190</x:v>
      </x:c>
      <x:c r="C2334" s="9" t="n">
        <x:v>1</x:v>
      </x:c>
      <x:c r="D2334" s="8" t="n">
        <x:v>45365</x:v>
      </x:c>
      <x:c r="E2334" s="9" t="n">
        <x:v>1410750</x:v>
      </x:c>
      <x:c r="F2334" s="9" t="n">
        <x:v>1410750</x:v>
      </x:c>
    </x:row>
    <x:row r="2335" ht="34" customHeight="1">
      <x:c r="A2335" s="4" t="str">
        <x:v>RS-01190-I2</x:v>
      </x:c>
      <x:c r="B2335" s="4" t="str">
        <x:v>RS-01190</x:v>
      </x:c>
      <x:c r="C2335" s="9" t="n">
        <x:v>2</x:v>
      </x:c>
      <x:c r="D2335" s="8" t="n">
        <x:v>45395</x:v>
      </x:c>
      <x:c r="E2335" s="9" t="n">
        <x:v>1410750</x:v>
      </x:c>
      <x:c r="F2335" s="9" t="n">
        <x:v>0</x:v>
      </x:c>
    </x:row>
    <x:row r="2336" ht="34" customHeight="1">
      <x:c r="A2336" s="4" t="str">
        <x:v>RS-01190-I3</x:v>
      </x:c>
      <x:c r="B2336" s="4" t="str">
        <x:v>RS-01190</x:v>
      </x:c>
      <x:c r="C2336" s="9" t="n">
        <x:v>3</x:v>
      </x:c>
      <x:c r="D2336" s="8" t="n">
        <x:v>45425</x:v>
      </x:c>
      <x:c r="E2336" s="9" t="n">
        <x:v>1410750</x:v>
      </x:c>
      <x:c r="F2336" s="9" t="n">
        <x:v>0</x:v>
      </x:c>
    </x:row>
    <x:row r="2337" ht="34" customHeight="1">
      <x:c r="A2337" s="4" t="str">
        <x:v>RS-01190-I4</x:v>
      </x:c>
      <x:c r="B2337" s="4" t="str">
        <x:v>RS-01190</x:v>
      </x:c>
      <x:c r="C2337" s="9" t="n">
        <x:v>4</x:v>
      </x:c>
      <x:c r="D2337" s="8" t="n">
        <x:v>45455</x:v>
      </x:c>
      <x:c r="E2337" s="9" t="n">
        <x:v>1410750</x:v>
      </x:c>
      <x:c r="F2337" s="9" t="n">
        <x:v>0</x:v>
      </x:c>
    </x:row>
    <x:row r="2338" ht="34" customHeight="1">
      <x:c r="A2338" s="4" t="str">
        <x:v>RS-01192-I1</x:v>
      </x:c>
      <x:c r="B2338" s="4" t="str">
        <x:v>RS-01192</x:v>
      </x:c>
      <x:c r="C2338" s="9" t="n">
        <x:v>1</x:v>
      </x:c>
      <x:c r="D2338" s="8" t="n">
        <x:v>45367</x:v>
      </x:c>
      <x:c r="E2338" s="9" t="n">
        <x:v>1534500</x:v>
      </x:c>
      <x:c r="F2338" s="9" t="n">
        <x:v>1534500</x:v>
      </x:c>
    </x:row>
    <x:row r="2339" ht="34" customHeight="1">
      <x:c r="A2339" s="4" t="str">
        <x:v>RS-01192-I2</x:v>
      </x:c>
      <x:c r="B2339" s="4" t="str">
        <x:v>RS-01192</x:v>
      </x:c>
      <x:c r="C2339" s="9" t="n">
        <x:v>2</x:v>
      </x:c>
      <x:c r="D2339" s="8" t="n">
        <x:v>45397</x:v>
      </x:c>
      <x:c r="E2339" s="9" t="n">
        <x:v>1534500</x:v>
      </x:c>
      <x:c r="F2339" s="9" t="n">
        <x:v>0</x:v>
      </x:c>
    </x:row>
    <x:row r="2340" ht="34" customHeight="1">
      <x:c r="A2340" s="4" t="str">
        <x:v>RS-01192-I3</x:v>
      </x:c>
      <x:c r="B2340" s="4" t="str">
        <x:v>RS-01192</x:v>
      </x:c>
      <x:c r="C2340" s="9" t="n">
        <x:v>3</x:v>
      </x:c>
      <x:c r="D2340" s="8" t="n">
        <x:v>45427</x:v>
      </x:c>
      <x:c r="E2340" s="9" t="n">
        <x:v>1534500</x:v>
      </x:c>
      <x:c r="F2340" s="9" t="n">
        <x:v>0</x:v>
      </x:c>
    </x:row>
    <x:row r="2341" ht="34" customHeight="1">
      <x:c r="A2341" s="4" t="str">
        <x:v>RS-01192-I4</x:v>
      </x:c>
      <x:c r="B2341" s="4" t="str">
        <x:v>RS-01192</x:v>
      </x:c>
      <x:c r="C2341" s="9" t="n">
        <x:v>4</x:v>
      </x:c>
      <x:c r="D2341" s="8" t="n">
        <x:v>45457</x:v>
      </x:c>
      <x:c r="E2341" s="9" t="n">
        <x:v>1534500</x:v>
      </x:c>
      <x:c r="F2341" s="9" t="n">
        <x:v>0</x:v>
      </x:c>
    </x:row>
    <x:row r="2342" ht="34" customHeight="1">
      <x:c r="A2342" s="4" t="str">
        <x:v>RS-01193-I1</x:v>
      </x:c>
      <x:c r="B2342" s="4" t="str">
        <x:v>RS-01193</x:v>
      </x:c>
      <x:c r="C2342" s="9" t="n">
        <x:v>1</x:v>
      </x:c>
      <x:c r="D2342" s="8" t="n">
        <x:v>45368</x:v>
      </x:c>
      <x:c r="E2342" s="9" t="n">
        <x:v>2278500</x:v>
      </x:c>
      <x:c r="F2342" s="9" t="n">
        <x:v>2278500</x:v>
      </x:c>
    </x:row>
    <x:row r="2343" ht="34" customHeight="1">
      <x:c r="A2343" s="4" t="str">
        <x:v>RS-01193-I2</x:v>
      </x:c>
      <x:c r="B2343" s="4" t="str">
        <x:v>RS-01193</x:v>
      </x:c>
      <x:c r="C2343" s="9" t="n">
        <x:v>2</x:v>
      </x:c>
      <x:c r="D2343" s="8" t="n">
        <x:v>45398</x:v>
      </x:c>
      <x:c r="E2343" s="9" t="n">
        <x:v>2278500</x:v>
      </x:c>
      <x:c r="F2343" s="9" t="n">
        <x:v>2278500</x:v>
      </x:c>
    </x:row>
    <x:row r="2344" ht="34" customHeight="1">
      <x:c r="A2344" s="4" t="str">
        <x:v>RS-01193-I3</x:v>
      </x:c>
      <x:c r="B2344" s="4" t="str">
        <x:v>RS-01193</x:v>
      </x:c>
      <x:c r="C2344" s="9" t="n">
        <x:v>3</x:v>
      </x:c>
      <x:c r="D2344" s="8" t="n">
        <x:v>45428</x:v>
      </x:c>
      <x:c r="E2344" s="9" t="n">
        <x:v>2278500</x:v>
      </x:c>
      <x:c r="F2344" s="9" t="n">
        <x:v>2278500</x:v>
      </x:c>
    </x:row>
    <x:row r="2345" ht="34" customHeight="1">
      <x:c r="A2345" s="4" t="str">
        <x:v>RS-01193-I4</x:v>
      </x:c>
      <x:c r="B2345" s="4" t="str">
        <x:v>RS-01193</x:v>
      </x:c>
      <x:c r="C2345" s="9" t="n">
        <x:v>4</x:v>
      </x:c>
      <x:c r="D2345" s="8" t="n">
        <x:v>45458</x:v>
      </x:c>
      <x:c r="E2345" s="9" t="n">
        <x:v>2278500</x:v>
      </x:c>
      <x:c r="F2345" s="9" t="n">
        <x:v>2278500</x:v>
      </x:c>
    </x:row>
    <x:row r="2346" ht="34" customHeight="1">
      <x:c r="A2346" s="4" t="str">
        <x:v>RS-01194-I1</x:v>
      </x:c>
      <x:c r="B2346" s="4" t="str">
        <x:v>RS-01194</x:v>
      </x:c>
      <x:c r="C2346" s="9" t="n">
        <x:v>1</x:v>
      </x:c>
      <x:c r="D2346" s="8" t="n">
        <x:v>45369</x:v>
      </x:c>
      <x:c r="E2346" s="9" t="n">
        <x:v>1584000</x:v>
      </x:c>
      <x:c r="F2346" s="9" t="n">
        <x:v>633600</x:v>
      </x:c>
    </x:row>
    <x:row r="2347" ht="34" customHeight="1">
      <x:c r="A2347" s="4" t="str">
        <x:v>RS-01194-I2</x:v>
      </x:c>
      <x:c r="B2347" s="4" t="str">
        <x:v>RS-01194</x:v>
      </x:c>
      <x:c r="C2347" s="9" t="n">
        <x:v>2</x:v>
      </x:c>
      <x:c r="D2347" s="8" t="n">
        <x:v>45399</x:v>
      </x:c>
      <x:c r="E2347" s="9" t="n">
        <x:v>1584000</x:v>
      </x:c>
      <x:c r="F2347" s="9" t="n">
        <x:v>0</x:v>
      </x:c>
    </x:row>
    <x:row r="2348" ht="34" customHeight="1">
      <x:c r="A2348" s="4" t="str">
        <x:v>RS-01194-I3</x:v>
      </x:c>
      <x:c r="B2348" s="4" t="str">
        <x:v>RS-01194</x:v>
      </x:c>
      <x:c r="C2348" s="9" t="n">
        <x:v>3</x:v>
      </x:c>
      <x:c r="D2348" s="8" t="n">
        <x:v>45429</x:v>
      </x:c>
      <x:c r="E2348" s="9" t="n">
        <x:v>1584000</x:v>
      </x:c>
      <x:c r="F2348" s="9" t="n">
        <x:v>0</x:v>
      </x:c>
    </x:row>
    <x:row r="2349" ht="34" customHeight="1">
      <x:c r="A2349" s="4" t="str">
        <x:v>RS-01194-I4</x:v>
      </x:c>
      <x:c r="B2349" s="4" t="str">
        <x:v>RS-01194</x:v>
      </x:c>
      <x:c r="C2349" s="9" t="n">
        <x:v>4</x:v>
      </x:c>
      <x:c r="D2349" s="8" t="n">
        <x:v>45459</x:v>
      </x:c>
      <x:c r="E2349" s="9" t="n">
        <x:v>1584000</x:v>
      </x:c>
      <x:c r="F2349" s="9" t="n">
        <x:v>0</x:v>
      </x:c>
    </x:row>
    <x:row r="2350" ht="34" customHeight="1">
      <x:c r="A2350" s="4" t="str">
        <x:v>RS-01199-I1</x:v>
      </x:c>
      <x:c r="B2350" s="4" t="str">
        <x:v>RS-01199</x:v>
      </x:c>
      <x:c r="C2350" s="9" t="n">
        <x:v>1</x:v>
      </x:c>
      <x:c r="D2350" s="8" t="n">
        <x:v>45374</x:v>
      </x:c>
      <x:c r="E2350" s="9" t="n">
        <x:v>5452000</x:v>
      </x:c>
      <x:c r="F2350" s="9" t="n">
        <x:v>5452000</x:v>
      </x:c>
    </x:row>
    <x:row r="2351" ht="34" customHeight="1">
      <x:c r="A2351" s="4" t="str">
        <x:v>RS-01199-I2</x:v>
      </x:c>
      <x:c r="B2351" s="4" t="str">
        <x:v>RS-01199</x:v>
      </x:c>
      <x:c r="C2351" s="9" t="n">
        <x:v>2</x:v>
      </x:c>
      <x:c r="D2351" s="8" t="n">
        <x:v>45404</x:v>
      </x:c>
      <x:c r="E2351" s="9" t="n">
        <x:v>5452000</x:v>
      </x:c>
      <x:c r="F2351" s="9" t="n">
        <x:v>5452000</x:v>
      </x:c>
    </x:row>
    <x:row r="2352" ht="34" customHeight="1">
      <x:c r="A2352" s="4" t="str">
        <x:v>RS-01199-I3</x:v>
      </x:c>
      <x:c r="B2352" s="4" t="str">
        <x:v>RS-01199</x:v>
      </x:c>
      <x:c r="C2352" s="9" t="n">
        <x:v>3</x:v>
      </x:c>
      <x:c r="D2352" s="8" t="n">
        <x:v>45434</x:v>
      </x:c>
      <x:c r="E2352" s="9" t="n">
        <x:v>5452000</x:v>
      </x:c>
      <x:c r="F2352" s="9" t="n">
        <x:v>0</x:v>
      </x:c>
    </x:row>
    <x:row r="2353" ht="34" customHeight="1">
      <x:c r="A2353" s="4" t="str">
        <x:v>RS-01199-I4</x:v>
      </x:c>
      <x:c r="B2353" s="4" t="str">
        <x:v>RS-01199</x:v>
      </x:c>
      <x:c r="C2353" s="9" t="n">
        <x:v>4</x:v>
      </x:c>
      <x:c r="D2353" s="8" t="n">
        <x:v>45464</x:v>
      </x:c>
      <x:c r="E2353" s="9" t="n">
        <x:v>5452000</x:v>
      </x:c>
      <x:c r="F2353" s="9" t="n">
        <x:v>0</x:v>
      </x:c>
    </x:row>
    <x:row r="2354" ht="34" customHeight="1">
      <x:c r="A2354" s="4" t="str">
        <x:v>RS-01202-I1</x:v>
      </x:c>
      <x:c r="B2354" s="4" t="str">
        <x:v>RS-01202</x:v>
      </x:c>
      <x:c r="C2354" s="9" t="n">
        <x:v>1</x:v>
      </x:c>
      <x:c r="D2354" s="8" t="n">
        <x:v>45377</x:v>
      </x:c>
      <x:c r="E2354" s="9" t="n">
        <x:v>1541000</x:v>
      </x:c>
      <x:c r="F2354" s="9" t="n">
        <x:v>616400</x:v>
      </x:c>
    </x:row>
    <x:row r="2355" ht="34" customHeight="1">
      <x:c r="A2355" s="4" t="str">
        <x:v>RS-01202-I2</x:v>
      </x:c>
      <x:c r="B2355" s="4" t="str">
        <x:v>RS-01202</x:v>
      </x:c>
      <x:c r="C2355" s="9" t="n">
        <x:v>2</x:v>
      </x:c>
      <x:c r="D2355" s="8" t="n">
        <x:v>45407</x:v>
      </x:c>
      <x:c r="E2355" s="9" t="n">
        <x:v>1541000</x:v>
      </x:c>
      <x:c r="F2355" s="9" t="n">
        <x:v>0</x:v>
      </x:c>
    </x:row>
    <x:row r="2356" ht="34" customHeight="1">
      <x:c r="A2356" s="4" t="str">
        <x:v>RS-01202-I3</x:v>
      </x:c>
      <x:c r="B2356" s="4" t="str">
        <x:v>RS-01202</x:v>
      </x:c>
      <x:c r="C2356" s="9" t="n">
        <x:v>3</x:v>
      </x:c>
      <x:c r="D2356" s="8" t="n">
        <x:v>45437</x:v>
      </x:c>
      <x:c r="E2356" s="9" t="n">
        <x:v>1541000</x:v>
      </x:c>
      <x:c r="F2356" s="9" t="n">
        <x:v>0</x:v>
      </x:c>
    </x:row>
    <x:row r="2357" ht="34" customHeight="1">
      <x:c r="A2357" s="4" t="str">
        <x:v>RS-01202-I4</x:v>
      </x:c>
      <x:c r="B2357" s="4" t="str">
        <x:v>RS-01202</x:v>
      </x:c>
      <x:c r="C2357" s="9" t="n">
        <x:v>4</x:v>
      </x:c>
      <x:c r="D2357" s="8" t="n">
        <x:v>45467</x:v>
      </x:c>
      <x:c r="E2357" s="9" t="n">
        <x:v>1541000</x:v>
      </x:c>
      <x:c r="F2357" s="9" t="n">
        <x:v>0</x:v>
      </x:c>
    </x:row>
    <x:row r="2358" ht="34" customHeight="1">
      <x:c r="A2358" s="4" t="str">
        <x:v>RS-01207-I1</x:v>
      </x:c>
      <x:c r="B2358" s="4" t="str">
        <x:v>RS-01207</x:v>
      </x:c>
      <x:c r="C2358" s="9" t="n">
        <x:v>1</x:v>
      </x:c>
      <x:c r="D2358" s="8" t="n">
        <x:v>45354</x:v>
      </x:c>
      <x:c r="E2358" s="9" t="n">
        <x:v>5775000</x:v>
      </x:c>
      <x:c r="F2358" s="9" t="n">
        <x:v>5775000</x:v>
      </x:c>
    </x:row>
    <x:row r="2359" ht="34" customHeight="1">
      <x:c r="A2359" s="4" t="str">
        <x:v>RS-01207-I2</x:v>
      </x:c>
      <x:c r="B2359" s="4" t="str">
        <x:v>RS-01207</x:v>
      </x:c>
      <x:c r="C2359" s="9" t="n">
        <x:v>2</x:v>
      </x:c>
      <x:c r="D2359" s="8" t="n">
        <x:v>45384</x:v>
      </x:c>
      <x:c r="E2359" s="9" t="n">
        <x:v>5775000</x:v>
      </x:c>
      <x:c r="F2359" s="9" t="n">
        <x:v>5775000</x:v>
      </x:c>
    </x:row>
    <x:row r="2360" ht="34" customHeight="1">
      <x:c r="A2360" s="4" t="str">
        <x:v>RS-01207-I3</x:v>
      </x:c>
      <x:c r="B2360" s="4" t="str">
        <x:v>RS-01207</x:v>
      </x:c>
      <x:c r="C2360" s="9" t="n">
        <x:v>3</x:v>
      </x:c>
      <x:c r="D2360" s="8" t="n">
        <x:v>45414</x:v>
      </x:c>
      <x:c r="E2360" s="9" t="n">
        <x:v>5775000</x:v>
      </x:c>
      <x:c r="F2360" s="9" t="n">
        <x:v>0</x:v>
      </x:c>
    </x:row>
    <x:row r="2361" ht="34" customHeight="1">
      <x:c r="A2361" s="4" t="str">
        <x:v>RS-01207-I4</x:v>
      </x:c>
      <x:c r="B2361" s="4" t="str">
        <x:v>RS-01207</x:v>
      </x:c>
      <x:c r="C2361" s="9" t="n">
        <x:v>4</x:v>
      </x:c>
      <x:c r="D2361" s="8" t="n">
        <x:v>45444</x:v>
      </x:c>
      <x:c r="E2361" s="9" t="n">
        <x:v>5775000</x:v>
      </x:c>
      <x:c r="F2361" s="9" t="n">
        <x:v>0</x:v>
      </x:c>
    </x:row>
    <x:row r="2362" ht="34" customHeight="1">
      <x:c r="A2362" s="4" t="str">
        <x:v>RS-01208-I1</x:v>
      </x:c>
      <x:c r="B2362" s="4" t="str">
        <x:v>RS-01208</x:v>
      </x:c>
      <x:c r="C2362" s="9" t="n">
        <x:v>1</x:v>
      </x:c>
      <x:c r="D2362" s="8" t="n">
        <x:v>45355</x:v>
      </x:c>
      <x:c r="E2362" s="9" t="n">
        <x:v>1150000</x:v>
      </x:c>
      <x:c r="F2362" s="9" t="n">
        <x:v>1150000</x:v>
      </x:c>
    </x:row>
    <x:row r="2363" ht="34" customHeight="1">
      <x:c r="A2363" s="4" t="str">
        <x:v>RS-01208-I2</x:v>
      </x:c>
      <x:c r="B2363" s="4" t="str">
        <x:v>RS-01208</x:v>
      </x:c>
      <x:c r="C2363" s="9" t="n">
        <x:v>2</x:v>
      </x:c>
      <x:c r="D2363" s="8" t="n">
        <x:v>45385</x:v>
      </x:c>
      <x:c r="E2363" s="9" t="n">
        <x:v>1150000</x:v>
      </x:c>
      <x:c r="F2363" s="9" t="n">
        <x:v>1150000</x:v>
      </x:c>
    </x:row>
    <x:row r="2364" ht="34" customHeight="1">
      <x:c r="A2364" s="4" t="str">
        <x:v>RS-01208-I3</x:v>
      </x:c>
      <x:c r="B2364" s="4" t="str">
        <x:v>RS-01208</x:v>
      </x:c>
      <x:c r="C2364" s="9" t="n">
        <x:v>3</x:v>
      </x:c>
      <x:c r="D2364" s="8" t="n">
        <x:v>45415</x:v>
      </x:c>
      <x:c r="E2364" s="9" t="n">
        <x:v>1150000</x:v>
      </x:c>
      <x:c r="F2364" s="9" t="n">
        <x:v>0</x:v>
      </x:c>
    </x:row>
    <x:row r="2365" ht="34" customHeight="1">
      <x:c r="A2365" s="4" t="str">
        <x:v>RS-01208-I4</x:v>
      </x:c>
      <x:c r="B2365" s="4" t="str">
        <x:v>RS-01208</x:v>
      </x:c>
      <x:c r="C2365" s="9" t="n">
        <x:v>4</x:v>
      </x:c>
      <x:c r="D2365" s="8" t="n">
        <x:v>45445</x:v>
      </x:c>
      <x:c r="E2365" s="9" t="n">
        <x:v>1150000</x:v>
      </x:c>
      <x:c r="F2365" s="9" t="n">
        <x:v>0</x:v>
      </x:c>
    </x:row>
    <x:row r="2366" ht="34" customHeight="1">
      <x:c r="A2366" s="4" t="str">
        <x:v>RS-01210-I1</x:v>
      </x:c>
      <x:c r="B2366" s="4" t="str">
        <x:v>RS-01210</x:v>
      </x:c>
      <x:c r="C2366" s="9" t="n">
        <x:v>1</x:v>
      </x:c>
      <x:c r="D2366" s="8" t="n">
        <x:v>45357</x:v>
      </x:c>
      <x:c r="E2366" s="9" t="n">
        <x:v>1782000</x:v>
      </x:c>
      <x:c r="F2366" s="9" t="n">
        <x:v>1782000</x:v>
      </x:c>
    </x:row>
    <x:row r="2367" ht="34" customHeight="1">
      <x:c r="A2367" s="4" t="str">
        <x:v>RS-01210-I2</x:v>
      </x:c>
      <x:c r="B2367" s="4" t="str">
        <x:v>RS-01210</x:v>
      </x:c>
      <x:c r="C2367" s="9" t="n">
        <x:v>2</x:v>
      </x:c>
      <x:c r="D2367" s="8" t="n">
        <x:v>45387</x:v>
      </x:c>
      <x:c r="E2367" s="9" t="n">
        <x:v>1782000</x:v>
      </x:c>
      <x:c r="F2367" s="9" t="n">
        <x:v>0</x:v>
      </x:c>
    </x:row>
    <x:row r="2368" ht="34" customHeight="1">
      <x:c r="A2368" s="4" t="str">
        <x:v>RS-01210-I3</x:v>
      </x:c>
      <x:c r="B2368" s="4" t="str">
        <x:v>RS-01210</x:v>
      </x:c>
      <x:c r="C2368" s="9" t="n">
        <x:v>3</x:v>
      </x:c>
      <x:c r="D2368" s="8" t="n">
        <x:v>45417</x:v>
      </x:c>
      <x:c r="E2368" s="9" t="n">
        <x:v>1782000</x:v>
      </x:c>
      <x:c r="F2368" s="9" t="n">
        <x:v>0</x:v>
      </x:c>
    </x:row>
    <x:row r="2369" ht="34" customHeight="1">
      <x:c r="A2369" s="4" t="str">
        <x:v>RS-01210-I4</x:v>
      </x:c>
      <x:c r="B2369" s="4" t="str">
        <x:v>RS-01210</x:v>
      </x:c>
      <x:c r="C2369" s="9" t="n">
        <x:v>4</x:v>
      </x:c>
      <x:c r="D2369" s="8" t="n">
        <x:v>45447</x:v>
      </x:c>
      <x:c r="E2369" s="9" t="n">
        <x:v>1782000</x:v>
      </x:c>
      <x:c r="F2369" s="9" t="n">
        <x:v>0</x:v>
      </x:c>
    </x:row>
    <x:row r="2370" ht="34" customHeight="1">
      <x:c r="A2370" s="4" t="str">
        <x:v>RS-01212-I1</x:v>
      </x:c>
      <x:c r="B2370" s="4" t="str">
        <x:v>RS-01212</x:v>
      </x:c>
      <x:c r="C2370" s="9" t="n">
        <x:v>1</x:v>
      </x:c>
      <x:c r="D2370" s="8" t="n">
        <x:v>45359</x:v>
      </x:c>
      <x:c r="E2370" s="9" t="n">
        <x:v>1911000</x:v>
      </x:c>
      <x:c r="F2370" s="9" t="n">
        <x:v>1911000</x:v>
      </x:c>
    </x:row>
    <x:row r="2371" ht="34" customHeight="1">
      <x:c r="A2371" s="4" t="str">
        <x:v>RS-01212-I2</x:v>
      </x:c>
      <x:c r="B2371" s="4" t="str">
        <x:v>RS-01212</x:v>
      </x:c>
      <x:c r="C2371" s="9" t="n">
        <x:v>2</x:v>
      </x:c>
      <x:c r="D2371" s="8" t="n">
        <x:v>45389</x:v>
      </x:c>
      <x:c r="E2371" s="9" t="n">
        <x:v>1911000</x:v>
      </x:c>
      <x:c r="F2371" s="9" t="n">
        <x:v>0</x:v>
      </x:c>
    </x:row>
    <x:row r="2372" ht="34" customHeight="1">
      <x:c r="A2372" s="4" t="str">
        <x:v>RS-01212-I3</x:v>
      </x:c>
      <x:c r="B2372" s="4" t="str">
        <x:v>RS-01212</x:v>
      </x:c>
      <x:c r="C2372" s="9" t="n">
        <x:v>3</x:v>
      </x:c>
      <x:c r="D2372" s="8" t="n">
        <x:v>45419</x:v>
      </x:c>
      <x:c r="E2372" s="9" t="n">
        <x:v>1911000</x:v>
      </x:c>
      <x:c r="F2372" s="9" t="n">
        <x:v>0</x:v>
      </x:c>
    </x:row>
    <x:row r="2373" ht="34" customHeight="1">
      <x:c r="A2373" s="4" t="str">
        <x:v>RS-01212-I4</x:v>
      </x:c>
      <x:c r="B2373" s="4" t="str">
        <x:v>RS-01212</x:v>
      </x:c>
      <x:c r="C2373" s="9" t="n">
        <x:v>4</x:v>
      </x:c>
      <x:c r="D2373" s="8" t="n">
        <x:v>45449</x:v>
      </x:c>
      <x:c r="E2373" s="9" t="n">
        <x:v>1911000</x:v>
      </x:c>
      <x:c r="F2373" s="9" t="n">
        <x:v>0</x:v>
      </x:c>
    </x:row>
    <x:row r="2374" ht="34" customHeight="1">
      <x:c r="A2374" s="4" t="str">
        <x:v>RS-01213-I1</x:v>
      </x:c>
      <x:c r="B2374" s="4" t="str">
        <x:v>RS-01213</x:v>
      </x:c>
      <x:c r="C2374" s="9" t="n">
        <x:v>1</x:v>
      </x:c>
      <x:c r="D2374" s="8" t="n">
        <x:v>45360</x:v>
      </x:c>
      <x:c r="E2374" s="9" t="n">
        <x:v>799000</x:v>
      </x:c>
      <x:c r="F2374" s="9" t="n">
        <x:v>799000</x:v>
      </x:c>
    </x:row>
    <x:row r="2375" ht="34" customHeight="1">
      <x:c r="A2375" s="4" t="str">
        <x:v>RS-01213-I2</x:v>
      </x:c>
      <x:c r="B2375" s="4" t="str">
        <x:v>RS-01213</x:v>
      </x:c>
      <x:c r="C2375" s="9" t="n">
        <x:v>2</x:v>
      </x:c>
      <x:c r="D2375" s="8" t="n">
        <x:v>45390</x:v>
      </x:c>
      <x:c r="E2375" s="9" t="n">
        <x:v>799000</x:v>
      </x:c>
      <x:c r="F2375" s="9" t="n">
        <x:v>799000</x:v>
      </x:c>
    </x:row>
    <x:row r="2376" ht="34" customHeight="1">
      <x:c r="A2376" s="4" t="str">
        <x:v>RS-01213-I3</x:v>
      </x:c>
      <x:c r="B2376" s="4" t="str">
        <x:v>RS-01213</x:v>
      </x:c>
      <x:c r="C2376" s="9" t="n">
        <x:v>3</x:v>
      </x:c>
      <x:c r="D2376" s="8" t="n">
        <x:v>45420</x:v>
      </x:c>
      <x:c r="E2376" s="9" t="n">
        <x:v>799000</x:v>
      </x:c>
      <x:c r="F2376" s="9" t="n">
        <x:v>799000</x:v>
      </x:c>
    </x:row>
    <x:row r="2377" ht="34" customHeight="1">
      <x:c r="A2377" s="4" t="str">
        <x:v>RS-01213-I4</x:v>
      </x:c>
      <x:c r="B2377" s="4" t="str">
        <x:v>RS-01213</x:v>
      </x:c>
      <x:c r="C2377" s="9" t="n">
        <x:v>4</x:v>
      </x:c>
      <x:c r="D2377" s="8" t="n">
        <x:v>45450</x:v>
      </x:c>
      <x:c r="E2377" s="9" t="n">
        <x:v>799000</x:v>
      </x:c>
      <x:c r="F2377" s="9" t="n">
        <x:v>799000</x:v>
      </x:c>
    </x:row>
    <x:row r="2378" ht="34" customHeight="1">
      <x:c r="A2378" s="4" t="str">
        <x:v>RS-01214-I1</x:v>
      </x:c>
      <x:c r="B2378" s="4" t="str">
        <x:v>RS-01214</x:v>
      </x:c>
      <x:c r="C2378" s="9" t="n">
        <x:v>1</x:v>
      </x:c>
      <x:c r="D2378" s="8" t="n">
        <x:v>45361</x:v>
      </x:c>
      <x:c r="E2378" s="9" t="n">
        <x:v>2632000</x:v>
      </x:c>
      <x:c r="F2378" s="9" t="n">
        <x:v>1052800</x:v>
      </x:c>
    </x:row>
    <x:row r="2379" ht="34" customHeight="1">
      <x:c r="A2379" s="4" t="str">
        <x:v>RS-01214-I2</x:v>
      </x:c>
      <x:c r="B2379" s="4" t="str">
        <x:v>RS-01214</x:v>
      </x:c>
      <x:c r="C2379" s="9" t="n">
        <x:v>2</x:v>
      </x:c>
      <x:c r="D2379" s="8" t="n">
        <x:v>45391</x:v>
      </x:c>
      <x:c r="E2379" s="9" t="n">
        <x:v>2632000</x:v>
      </x:c>
      <x:c r="F2379" s="9" t="n">
        <x:v>0</x:v>
      </x:c>
    </x:row>
    <x:row r="2380" ht="34" customHeight="1">
      <x:c r="A2380" s="4" t="str">
        <x:v>RS-01214-I3</x:v>
      </x:c>
      <x:c r="B2380" s="4" t="str">
        <x:v>RS-01214</x:v>
      </x:c>
      <x:c r="C2380" s="9" t="n">
        <x:v>3</x:v>
      </x:c>
      <x:c r="D2380" s="8" t="n">
        <x:v>45421</x:v>
      </x:c>
      <x:c r="E2380" s="9" t="n">
        <x:v>2632000</x:v>
      </x:c>
      <x:c r="F2380" s="9" t="n">
        <x:v>0</x:v>
      </x:c>
    </x:row>
    <x:row r="2381" ht="34" customHeight="1">
      <x:c r="A2381" s="4" t="str">
        <x:v>RS-01214-I4</x:v>
      </x:c>
      <x:c r="B2381" s="4" t="str">
        <x:v>RS-01214</x:v>
      </x:c>
      <x:c r="C2381" s="9" t="n">
        <x:v>4</x:v>
      </x:c>
      <x:c r="D2381" s="8" t="n">
        <x:v>45451</x:v>
      </x:c>
      <x:c r="E2381" s="9" t="n">
        <x:v>2632000</x:v>
      </x:c>
      <x:c r="F2381" s="9" t="n">
        <x:v>0</x:v>
      </x:c>
    </x:row>
    <x:row r="2382" ht="34" customHeight="1">
      <x:c r="A2382" s="4" t="str">
        <x:v>RS-01216-I1</x:v>
      </x:c>
      <x:c r="B2382" s="4" t="str">
        <x:v>RS-01216</x:v>
      </x:c>
      <x:c r="C2382" s="9" t="n">
        <x:v>1</x:v>
      </x:c>
      <x:c r="D2382" s="8" t="n">
        <x:v>45363</x:v>
      </x:c>
      <x:c r="E2382" s="9" t="n">
        <x:v>5242500</x:v>
      </x:c>
      <x:c r="F2382" s="9" t="n">
        <x:v>5242500</x:v>
      </x:c>
    </x:row>
    <x:row r="2383" ht="34" customHeight="1">
      <x:c r="A2383" s="4" t="str">
        <x:v>RS-01216-I2</x:v>
      </x:c>
      <x:c r="B2383" s="4" t="str">
        <x:v>RS-01216</x:v>
      </x:c>
      <x:c r="C2383" s="9" t="n">
        <x:v>2</x:v>
      </x:c>
      <x:c r="D2383" s="8" t="n">
        <x:v>45393</x:v>
      </x:c>
      <x:c r="E2383" s="9" t="n">
        <x:v>5242500</x:v>
      </x:c>
      <x:c r="F2383" s="9" t="n">
        <x:v>5242500</x:v>
      </x:c>
    </x:row>
    <x:row r="2384" ht="34" customHeight="1">
      <x:c r="A2384" s="4" t="str">
        <x:v>RS-01216-I3</x:v>
      </x:c>
      <x:c r="B2384" s="4" t="str">
        <x:v>RS-01216</x:v>
      </x:c>
      <x:c r="C2384" s="9" t="n">
        <x:v>3</x:v>
      </x:c>
      <x:c r="D2384" s="8" t="n">
        <x:v>45423</x:v>
      </x:c>
      <x:c r="E2384" s="9" t="n">
        <x:v>5242500</x:v>
      </x:c>
      <x:c r="F2384" s="9" t="n">
        <x:v>5242500</x:v>
      </x:c>
    </x:row>
    <x:row r="2385" ht="34" customHeight="1">
      <x:c r="A2385" s="4" t="str">
        <x:v>RS-01216-I4</x:v>
      </x:c>
      <x:c r="B2385" s="4" t="str">
        <x:v>RS-01216</x:v>
      </x:c>
      <x:c r="C2385" s="9" t="n">
        <x:v>4</x:v>
      </x:c>
      <x:c r="D2385" s="8" t="n">
        <x:v>45453</x:v>
      </x:c>
      <x:c r="E2385" s="9" t="n">
        <x:v>5242500</x:v>
      </x:c>
      <x:c r="F2385" s="9" t="n">
        <x:v>5242500</x:v>
      </x:c>
    </x:row>
    <x:row r="2386" ht="34" customHeight="1">
      <x:c r="A2386" s="4" t="str">
        <x:v>RS-01219-I1</x:v>
      </x:c>
      <x:c r="B2386" s="4" t="str">
        <x:v>RS-01219</x:v>
      </x:c>
      <x:c r="C2386" s="9" t="n">
        <x:v>1</x:v>
      </x:c>
      <x:c r="D2386" s="8" t="n">
        <x:v>45366</x:v>
      </x:c>
      <x:c r="E2386" s="9" t="n">
        <x:v>2749500</x:v>
      </x:c>
      <x:c r="F2386" s="9" t="n">
        <x:v>2749500</x:v>
      </x:c>
    </x:row>
    <x:row r="2387" ht="34" customHeight="1">
      <x:c r="A2387" s="4" t="str">
        <x:v>RS-01219-I2</x:v>
      </x:c>
      <x:c r="B2387" s="4" t="str">
        <x:v>RS-01219</x:v>
      </x:c>
      <x:c r="C2387" s="9" t="n">
        <x:v>2</x:v>
      </x:c>
      <x:c r="D2387" s="8" t="n">
        <x:v>45396</x:v>
      </x:c>
      <x:c r="E2387" s="9" t="n">
        <x:v>2749500</x:v>
      </x:c>
      <x:c r="F2387" s="9" t="n">
        <x:v>2749500</x:v>
      </x:c>
    </x:row>
    <x:row r="2388" ht="34" customHeight="1">
      <x:c r="A2388" s="4" t="str">
        <x:v>RS-01219-I3</x:v>
      </x:c>
      <x:c r="B2388" s="4" t="str">
        <x:v>RS-01219</x:v>
      </x:c>
      <x:c r="C2388" s="9" t="n">
        <x:v>3</x:v>
      </x:c>
      <x:c r="D2388" s="8" t="n">
        <x:v>45426</x:v>
      </x:c>
      <x:c r="E2388" s="9" t="n">
        <x:v>2749500</x:v>
      </x:c>
      <x:c r="F2388" s="9" t="n">
        <x:v>2749500</x:v>
      </x:c>
    </x:row>
    <x:row r="2389" ht="34" customHeight="1">
      <x:c r="A2389" s="4" t="str">
        <x:v>RS-01219-I4</x:v>
      </x:c>
      <x:c r="B2389" s="4" t="str">
        <x:v>RS-01219</x:v>
      </x:c>
      <x:c r="C2389" s="9" t="n">
        <x:v>4</x:v>
      </x:c>
      <x:c r="D2389" s="8" t="n">
        <x:v>45456</x:v>
      </x:c>
      <x:c r="E2389" s="9" t="n">
        <x:v>2749500</x:v>
      </x:c>
      <x:c r="F2389" s="9" t="n">
        <x:v>2749500</x:v>
      </x:c>
    </x:row>
    <x:row r="2390" ht="34" customHeight="1">
      <x:c r="A2390" s="4" t="str">
        <x:v>RS-01220-I1</x:v>
      </x:c>
      <x:c r="B2390" s="4" t="str">
        <x:v>RS-01220</x:v>
      </x:c>
      <x:c r="C2390" s="9" t="n">
        <x:v>1</x:v>
      </x:c>
      <x:c r="D2390" s="8" t="n">
        <x:v>45367</x:v>
      </x:c>
      <x:c r="E2390" s="9" t="n">
        <x:v>4770500</x:v>
      </x:c>
      <x:c r="F2390" s="9" t="n">
        <x:v>1908200</x:v>
      </x:c>
    </x:row>
    <x:row r="2391" ht="34" customHeight="1">
      <x:c r="A2391" s="4" t="str">
        <x:v>RS-01220-I2</x:v>
      </x:c>
      <x:c r="B2391" s="4" t="str">
        <x:v>RS-01220</x:v>
      </x:c>
      <x:c r="C2391" s="9" t="n">
        <x:v>2</x:v>
      </x:c>
      <x:c r="D2391" s="8" t="n">
        <x:v>45397</x:v>
      </x:c>
      <x:c r="E2391" s="9" t="n">
        <x:v>4770500</x:v>
      </x:c>
      <x:c r="F2391" s="9" t="n">
        <x:v>0</x:v>
      </x:c>
    </x:row>
    <x:row r="2392" ht="34" customHeight="1">
      <x:c r="A2392" s="4" t="str">
        <x:v>RS-01220-I3</x:v>
      </x:c>
      <x:c r="B2392" s="4" t="str">
        <x:v>RS-01220</x:v>
      </x:c>
      <x:c r="C2392" s="9" t="n">
        <x:v>3</x:v>
      </x:c>
      <x:c r="D2392" s="8" t="n">
        <x:v>45427</x:v>
      </x:c>
      <x:c r="E2392" s="9" t="n">
        <x:v>4770500</x:v>
      </x:c>
      <x:c r="F2392" s="9" t="n">
        <x:v>0</x:v>
      </x:c>
    </x:row>
    <x:row r="2393" ht="34" customHeight="1">
      <x:c r="A2393" s="4" t="str">
        <x:v>RS-01220-I4</x:v>
      </x:c>
      <x:c r="B2393" s="4" t="str">
        <x:v>RS-01220</x:v>
      </x:c>
      <x:c r="C2393" s="9" t="n">
        <x:v>4</x:v>
      </x:c>
      <x:c r="D2393" s="8" t="n">
        <x:v>45457</x:v>
      </x:c>
      <x:c r="E2393" s="9" t="n">
        <x:v>4770500</x:v>
      </x:c>
      <x:c r="F2393" s="9" t="n">
        <x:v>0</x:v>
      </x:c>
    </x:row>
    <x:row r="2394" ht="34" customHeight="1">
      <x:c r="A2394" s="4" t="str">
        <x:v>RS-01225-I1</x:v>
      </x:c>
      <x:c r="B2394" s="4" t="str">
        <x:v>RS-01225</x:v>
      </x:c>
      <x:c r="C2394" s="9" t="n">
        <x:v>1</x:v>
      </x:c>
      <x:c r="D2394" s="8" t="n">
        <x:v>45372</x:v>
      </x:c>
      <x:c r="E2394" s="9" t="n">
        <x:v>3830500</x:v>
      </x:c>
      <x:c r="F2394" s="9" t="n">
        <x:v>1532200</x:v>
      </x:c>
    </x:row>
    <x:row r="2395" ht="34" customHeight="1">
      <x:c r="A2395" s="4" t="str">
        <x:v>RS-01225-I2</x:v>
      </x:c>
      <x:c r="B2395" s="4" t="str">
        <x:v>RS-01225</x:v>
      </x:c>
      <x:c r="C2395" s="9" t="n">
        <x:v>2</x:v>
      </x:c>
      <x:c r="D2395" s="8" t="n">
        <x:v>45402</x:v>
      </x:c>
      <x:c r="E2395" s="9" t="n">
        <x:v>3830500</x:v>
      </x:c>
      <x:c r="F2395" s="9" t="n">
        <x:v>0</x:v>
      </x:c>
    </x:row>
    <x:row r="2396" ht="34" customHeight="1">
      <x:c r="A2396" s="4" t="str">
        <x:v>RS-01225-I3</x:v>
      </x:c>
      <x:c r="B2396" s="4" t="str">
        <x:v>RS-01225</x:v>
      </x:c>
      <x:c r="C2396" s="9" t="n">
        <x:v>3</x:v>
      </x:c>
      <x:c r="D2396" s="8" t="n">
        <x:v>45432</x:v>
      </x:c>
      <x:c r="E2396" s="9" t="n">
        <x:v>3830500</x:v>
      </x:c>
      <x:c r="F2396" s="9" t="n">
        <x:v>0</x:v>
      </x:c>
    </x:row>
    <x:row r="2397" ht="34" customHeight="1">
      <x:c r="A2397" s="4" t="str">
        <x:v>RS-01225-I4</x:v>
      </x:c>
      <x:c r="B2397" s="4" t="str">
        <x:v>RS-01225</x:v>
      </x:c>
      <x:c r="C2397" s="9" t="n">
        <x:v>4</x:v>
      </x:c>
      <x:c r="D2397" s="8" t="n">
        <x:v>45462</x:v>
      </x:c>
      <x:c r="E2397" s="9" t="n">
        <x:v>3830500</x:v>
      </x:c>
      <x:c r="F2397" s="9" t="n">
        <x:v>0</x:v>
      </x:c>
    </x:row>
    <x:row r="2398" ht="34" customHeight="1">
      <x:c r="A2398" s="4" t="str">
        <x:v>RS-01228-I1</x:v>
      </x:c>
      <x:c r="B2398" s="4" t="str">
        <x:v>RS-01228</x:v>
      </x:c>
      <x:c r="C2398" s="9" t="n">
        <x:v>1</x:v>
      </x:c>
      <x:c r="D2398" s="8" t="n">
        <x:v>45375</x:v>
      </x:c>
      <x:c r="E2398" s="9" t="n">
        <x:v>5027750</x:v>
      </x:c>
      <x:c r="F2398" s="9" t="n">
        <x:v>5027750</x:v>
      </x:c>
    </x:row>
    <x:row r="2399" ht="34" customHeight="1">
      <x:c r="A2399" s="4" t="str">
        <x:v>RS-01228-I2</x:v>
      </x:c>
      <x:c r="B2399" s="4" t="str">
        <x:v>RS-01228</x:v>
      </x:c>
      <x:c r="C2399" s="9" t="n">
        <x:v>2</x:v>
      </x:c>
      <x:c r="D2399" s="8" t="n">
        <x:v>45405</x:v>
      </x:c>
      <x:c r="E2399" s="9" t="n">
        <x:v>5027750</x:v>
      </x:c>
      <x:c r="F2399" s="9" t="n">
        <x:v>5027750</x:v>
      </x:c>
    </x:row>
    <x:row r="2400" ht="34" customHeight="1">
      <x:c r="A2400" s="4" t="str">
        <x:v>RS-01228-I3</x:v>
      </x:c>
      <x:c r="B2400" s="4" t="str">
        <x:v>RS-01228</x:v>
      </x:c>
      <x:c r="C2400" s="9" t="n">
        <x:v>3</x:v>
      </x:c>
      <x:c r="D2400" s="8" t="n">
        <x:v>45435</x:v>
      </x:c>
      <x:c r="E2400" s="9" t="n">
        <x:v>5027750</x:v>
      </x:c>
      <x:c r="F2400" s="9" t="n">
        <x:v>0</x:v>
      </x:c>
    </x:row>
    <x:row r="2401" ht="34" customHeight="1">
      <x:c r="A2401" s="4" t="str">
        <x:v>RS-01228-I4</x:v>
      </x:c>
      <x:c r="B2401" s="4" t="str">
        <x:v>RS-01228</x:v>
      </x:c>
      <x:c r="C2401" s="9" t="n">
        <x:v>4</x:v>
      </x:c>
      <x:c r="D2401" s="8" t="n">
        <x:v>45465</x:v>
      </x:c>
      <x:c r="E2401" s="9" t="n">
        <x:v>5027750</x:v>
      </x:c>
      <x:c r="F2401" s="9" t="n">
        <x:v>0</x:v>
      </x:c>
    </x:row>
    <x:row r="2402" ht="34" customHeight="1">
      <x:c r="A2402" s="4" t="str">
        <x:v>RS-01233-I1</x:v>
      </x:c>
      <x:c r="B2402" s="4" t="str">
        <x:v>RS-01233</x:v>
      </x:c>
      <x:c r="C2402" s="9" t="n">
        <x:v>1</x:v>
      </x:c>
      <x:c r="D2402" s="8" t="n">
        <x:v>45352</x:v>
      </x:c>
      <x:c r="E2402" s="9" t="n">
        <x:v>3610000</x:v>
      </x:c>
      <x:c r="F2402" s="9" t="n">
        <x:v>3610000</x:v>
      </x:c>
    </x:row>
    <x:row r="2403" ht="34" customHeight="1">
      <x:c r="A2403" s="4" t="str">
        <x:v>RS-01233-I2</x:v>
      </x:c>
      <x:c r="B2403" s="4" t="str">
        <x:v>RS-01233</x:v>
      </x:c>
      <x:c r="C2403" s="9" t="n">
        <x:v>2</x:v>
      </x:c>
      <x:c r="D2403" s="8" t="n">
        <x:v>45382</x:v>
      </x:c>
      <x:c r="E2403" s="9" t="n">
        <x:v>3610000</x:v>
      </x:c>
      <x:c r="F2403" s="9" t="n">
        <x:v>0</x:v>
      </x:c>
    </x:row>
    <x:row r="2404" ht="34" customHeight="1">
      <x:c r="A2404" s="4" t="str">
        <x:v>RS-01233-I3</x:v>
      </x:c>
      <x:c r="B2404" s="4" t="str">
        <x:v>RS-01233</x:v>
      </x:c>
      <x:c r="C2404" s="9" t="n">
        <x:v>3</x:v>
      </x:c>
      <x:c r="D2404" s="8" t="n">
        <x:v>45412</x:v>
      </x:c>
      <x:c r="E2404" s="9" t="n">
        <x:v>3610000</x:v>
      </x:c>
      <x:c r="F2404" s="9" t="n">
        <x:v>0</x:v>
      </x:c>
    </x:row>
    <x:row r="2405" ht="34" customHeight="1">
      <x:c r="A2405" s="4" t="str">
        <x:v>RS-01233-I4</x:v>
      </x:c>
      <x:c r="B2405" s="4" t="str">
        <x:v>RS-01233</x:v>
      </x:c>
      <x:c r="C2405" s="9" t="n">
        <x:v>4</x:v>
      </x:c>
      <x:c r="D2405" s="8" t="n">
        <x:v>45442</x:v>
      </x:c>
      <x:c r="E2405" s="9" t="n">
        <x:v>3610000</x:v>
      </x:c>
      <x:c r="F2405" s="9" t="n">
        <x:v>0</x:v>
      </x:c>
    </x:row>
    <x:row r="2406" ht="34" customHeight="1">
      <x:c r="A2406" s="4" t="str">
        <x:v>RS-01234-I1</x:v>
      </x:c>
      <x:c r="B2406" s="4" t="str">
        <x:v>RS-01234</x:v>
      </x:c>
      <x:c r="C2406" s="9" t="n">
        <x:v>1</x:v>
      </x:c>
      <x:c r="D2406" s="8" t="n">
        <x:v>45353</x:v>
      </x:c>
      <x:c r="E2406" s="9" t="n">
        <x:v>2182500</x:v>
      </x:c>
      <x:c r="F2406" s="9" t="n">
        <x:v>2182500</x:v>
      </x:c>
    </x:row>
    <x:row r="2407" ht="34" customHeight="1">
      <x:c r="A2407" s="4" t="str">
        <x:v>RS-01234-I2</x:v>
      </x:c>
      <x:c r="B2407" s="4" t="str">
        <x:v>RS-01234</x:v>
      </x:c>
      <x:c r="C2407" s="9" t="n">
        <x:v>2</x:v>
      </x:c>
      <x:c r="D2407" s="8" t="n">
        <x:v>45383</x:v>
      </x:c>
      <x:c r="E2407" s="9" t="n">
        <x:v>2182500</x:v>
      </x:c>
      <x:c r="F2407" s="9" t="n">
        <x:v>0</x:v>
      </x:c>
    </x:row>
    <x:row r="2408" ht="34" customHeight="1">
      <x:c r="A2408" s="4" t="str">
        <x:v>RS-01234-I3</x:v>
      </x:c>
      <x:c r="B2408" s="4" t="str">
        <x:v>RS-01234</x:v>
      </x:c>
      <x:c r="C2408" s="9" t="n">
        <x:v>3</x:v>
      </x:c>
      <x:c r="D2408" s="8" t="n">
        <x:v>45413</x:v>
      </x:c>
      <x:c r="E2408" s="9" t="n">
        <x:v>2182500</x:v>
      </x:c>
      <x:c r="F2408" s="9" t="n">
        <x:v>0</x:v>
      </x:c>
    </x:row>
    <x:row r="2409" ht="34" customHeight="1">
      <x:c r="A2409" s="4" t="str">
        <x:v>RS-01234-I4</x:v>
      </x:c>
      <x:c r="B2409" s="4" t="str">
        <x:v>RS-01234</x:v>
      </x:c>
      <x:c r="C2409" s="9" t="n">
        <x:v>4</x:v>
      </x:c>
      <x:c r="D2409" s="8" t="n">
        <x:v>45443</x:v>
      </x:c>
      <x:c r="E2409" s="9" t="n">
        <x:v>2182500</x:v>
      </x:c>
      <x:c r="F2409" s="9" t="n">
        <x:v>0</x:v>
      </x:c>
    </x:row>
    <x:row r="2410" ht="34" customHeight="1">
      <x:c r="A2410" s="4" t="str">
        <x:v>RS-01236-I1</x:v>
      </x:c>
      <x:c r="B2410" s="4" t="str">
        <x:v>RS-01236</x:v>
      </x:c>
      <x:c r="C2410" s="9" t="n">
        <x:v>1</x:v>
      </x:c>
      <x:c r="D2410" s="8" t="n">
        <x:v>45355</x:v>
      </x:c>
      <x:c r="E2410" s="9" t="n">
        <x:v>4392000</x:v>
      </x:c>
      <x:c r="F2410" s="9" t="n">
        <x:v>4392000</x:v>
      </x:c>
    </x:row>
    <x:row r="2411" ht="34" customHeight="1">
      <x:c r="A2411" s="4" t="str">
        <x:v>RS-01236-I2</x:v>
      </x:c>
      <x:c r="B2411" s="4" t="str">
        <x:v>RS-01236</x:v>
      </x:c>
      <x:c r="C2411" s="9" t="n">
        <x:v>2</x:v>
      </x:c>
      <x:c r="D2411" s="8" t="n">
        <x:v>45385</x:v>
      </x:c>
      <x:c r="E2411" s="9" t="n">
        <x:v>4392000</x:v>
      </x:c>
      <x:c r="F2411" s="9" t="n">
        <x:v>0</x:v>
      </x:c>
    </x:row>
    <x:row r="2412" ht="34" customHeight="1">
      <x:c r="A2412" s="4" t="str">
        <x:v>RS-01236-I3</x:v>
      </x:c>
      <x:c r="B2412" s="4" t="str">
        <x:v>RS-01236</x:v>
      </x:c>
      <x:c r="C2412" s="9" t="n">
        <x:v>3</x:v>
      </x:c>
      <x:c r="D2412" s="8" t="n">
        <x:v>45415</x:v>
      </x:c>
      <x:c r="E2412" s="9" t="n">
        <x:v>4392000</x:v>
      </x:c>
      <x:c r="F2412" s="9" t="n">
        <x:v>0</x:v>
      </x:c>
    </x:row>
    <x:row r="2413" ht="34" customHeight="1">
      <x:c r="A2413" s="4" t="str">
        <x:v>RS-01236-I4</x:v>
      </x:c>
      <x:c r="B2413" s="4" t="str">
        <x:v>RS-01236</x:v>
      </x:c>
      <x:c r="C2413" s="9" t="n">
        <x:v>4</x:v>
      </x:c>
      <x:c r="D2413" s="8" t="n">
        <x:v>45445</x:v>
      </x:c>
      <x:c r="E2413" s="9" t="n">
        <x:v>4392000</x:v>
      </x:c>
      <x:c r="F2413" s="9" t="n">
        <x:v>0</x:v>
      </x:c>
    </x:row>
    <x:row r="2414" ht="34" customHeight="1">
      <x:c r="A2414" s="4" t="str">
        <x:v>RS-01240-I1</x:v>
      </x:c>
      <x:c r="B2414" s="4" t="str">
        <x:v>RS-01240</x:v>
      </x:c>
      <x:c r="C2414" s="9" t="n">
        <x:v>1</x:v>
      </x:c>
      <x:c r="D2414" s="8" t="n">
        <x:v>45359</x:v>
      </x:c>
      <x:c r="E2414" s="9" t="n">
        <x:v>1237500</x:v>
      </x:c>
      <x:c r="F2414" s="9" t="n">
        <x:v>495000</x:v>
      </x:c>
    </x:row>
    <x:row r="2415" ht="34" customHeight="1">
      <x:c r="A2415" s="4" t="str">
        <x:v>RS-01240-I2</x:v>
      </x:c>
      <x:c r="B2415" s="4" t="str">
        <x:v>RS-01240</x:v>
      </x:c>
      <x:c r="C2415" s="9" t="n">
        <x:v>2</x:v>
      </x:c>
      <x:c r="D2415" s="8" t="n">
        <x:v>45389</x:v>
      </x:c>
      <x:c r="E2415" s="9" t="n">
        <x:v>1237500</x:v>
      </x:c>
      <x:c r="F2415" s="9" t="n">
        <x:v>0</x:v>
      </x:c>
    </x:row>
    <x:row r="2416" ht="34" customHeight="1">
      <x:c r="A2416" s="4" t="str">
        <x:v>RS-01240-I3</x:v>
      </x:c>
      <x:c r="B2416" s="4" t="str">
        <x:v>RS-01240</x:v>
      </x:c>
      <x:c r="C2416" s="9" t="n">
        <x:v>3</x:v>
      </x:c>
      <x:c r="D2416" s="8" t="n">
        <x:v>45419</x:v>
      </x:c>
      <x:c r="E2416" s="9" t="n">
        <x:v>1237500</x:v>
      </x:c>
      <x:c r="F2416" s="9" t="n">
        <x:v>0</x:v>
      </x:c>
    </x:row>
    <x:row r="2417" ht="34" customHeight="1">
      <x:c r="A2417" s="4" t="str">
        <x:v>RS-01240-I4</x:v>
      </x:c>
      <x:c r="B2417" s="4" t="str">
        <x:v>RS-01240</x:v>
      </x:c>
      <x:c r="C2417" s="9" t="n">
        <x:v>4</x:v>
      </x:c>
      <x:c r="D2417" s="8" t="n">
        <x:v>45449</x:v>
      </x:c>
      <x:c r="E2417" s="9" t="n">
        <x:v>1237500</x:v>
      </x:c>
      <x:c r="F2417" s="9" t="n">
        <x:v>0</x:v>
      </x:c>
    </x:row>
    <x:row r="2418" ht="34" customHeight="1">
      <x:c r="A2418" s="4" t="str">
        <x:v>RS-01241-I1</x:v>
      </x:c>
      <x:c r="B2418" s="4" t="str">
        <x:v>RS-01241</x:v>
      </x:c>
      <x:c r="C2418" s="9" t="n">
        <x:v>1</x:v>
      </x:c>
      <x:c r="D2418" s="8" t="n">
        <x:v>45360</x:v>
      </x:c>
      <x:c r="E2418" s="9" t="n">
        <x:v>1410750</x:v>
      </x:c>
      <x:c r="F2418" s="9" t="n">
        <x:v>564300</x:v>
      </x:c>
    </x:row>
    <x:row r="2419" ht="34" customHeight="1">
      <x:c r="A2419" s="4" t="str">
        <x:v>RS-01241-I2</x:v>
      </x:c>
      <x:c r="B2419" s="4" t="str">
        <x:v>RS-01241</x:v>
      </x:c>
      <x:c r="C2419" s="9" t="n">
        <x:v>2</x:v>
      </x:c>
      <x:c r="D2419" s="8" t="n">
        <x:v>45390</x:v>
      </x:c>
      <x:c r="E2419" s="9" t="n">
        <x:v>1410750</x:v>
      </x:c>
      <x:c r="F2419" s="9" t="n">
        <x:v>0</x:v>
      </x:c>
    </x:row>
    <x:row r="2420" ht="34" customHeight="1">
      <x:c r="A2420" s="4" t="str">
        <x:v>RS-01241-I3</x:v>
      </x:c>
      <x:c r="B2420" s="4" t="str">
        <x:v>RS-01241</x:v>
      </x:c>
      <x:c r="C2420" s="9" t="n">
        <x:v>3</x:v>
      </x:c>
      <x:c r="D2420" s="8" t="n">
        <x:v>45420</x:v>
      </x:c>
      <x:c r="E2420" s="9" t="n">
        <x:v>1410750</x:v>
      </x:c>
      <x:c r="F2420" s="9" t="n">
        <x:v>0</x:v>
      </x:c>
    </x:row>
    <x:row r="2421" ht="34" customHeight="1">
      <x:c r="A2421" s="4" t="str">
        <x:v>RS-01241-I4</x:v>
      </x:c>
      <x:c r="B2421" s="4" t="str">
        <x:v>RS-01241</x:v>
      </x:c>
      <x:c r="C2421" s="9" t="n">
        <x:v>4</x:v>
      </x:c>
      <x:c r="D2421" s="8" t="n">
        <x:v>45450</x:v>
      </x:c>
      <x:c r="E2421" s="9" t="n">
        <x:v>1410750</x:v>
      </x:c>
      <x:c r="F2421" s="9" t="n">
        <x:v>0</x:v>
      </x:c>
    </x:row>
    <x:row r="2422" ht="34" customHeight="1">
      <x:c r="A2422" s="4" t="str">
        <x:v>RS-01242-I1</x:v>
      </x:c>
      <x:c r="B2422" s="4" t="str">
        <x:v>RS-01242</x:v>
      </x:c>
      <x:c r="C2422" s="9" t="n">
        <x:v>1</x:v>
      </x:c>
      <x:c r="D2422" s="8" t="n">
        <x:v>45361</x:v>
      </x:c>
      <x:c r="E2422" s="9" t="n">
        <x:v>2054250</x:v>
      </x:c>
      <x:c r="F2422" s="9" t="n">
        <x:v>2054250</x:v>
      </x:c>
    </x:row>
    <x:row r="2423" ht="34" customHeight="1">
      <x:c r="A2423" s="4" t="str">
        <x:v>RS-01242-I2</x:v>
      </x:c>
      <x:c r="B2423" s="4" t="str">
        <x:v>RS-01242</x:v>
      </x:c>
      <x:c r="C2423" s="9" t="n">
        <x:v>2</x:v>
      </x:c>
      <x:c r="D2423" s="8" t="n">
        <x:v>45391</x:v>
      </x:c>
      <x:c r="E2423" s="9" t="n">
        <x:v>2054250</x:v>
      </x:c>
      <x:c r="F2423" s="9" t="n">
        <x:v>2054250</x:v>
      </x:c>
    </x:row>
    <x:row r="2424" ht="34" customHeight="1">
      <x:c r="A2424" s="4" t="str">
        <x:v>RS-01242-I3</x:v>
      </x:c>
      <x:c r="B2424" s="4" t="str">
        <x:v>RS-01242</x:v>
      </x:c>
      <x:c r="C2424" s="9" t="n">
        <x:v>3</x:v>
      </x:c>
      <x:c r="D2424" s="8" t="n">
        <x:v>45421</x:v>
      </x:c>
      <x:c r="E2424" s="9" t="n">
        <x:v>2054250</x:v>
      </x:c>
      <x:c r="F2424" s="9" t="n">
        <x:v>0</x:v>
      </x:c>
    </x:row>
    <x:row r="2425" ht="34" customHeight="1">
      <x:c r="A2425" s="4" t="str">
        <x:v>RS-01242-I4</x:v>
      </x:c>
      <x:c r="B2425" s="4" t="str">
        <x:v>RS-01242</x:v>
      </x:c>
      <x:c r="C2425" s="9" t="n">
        <x:v>4</x:v>
      </x:c>
      <x:c r="D2425" s="8" t="n">
        <x:v>45451</x:v>
      </x:c>
      <x:c r="E2425" s="9" t="n">
        <x:v>2054250</x:v>
      </x:c>
      <x:c r="F2425" s="9" t="n">
        <x:v>0</x:v>
      </x:c>
    </x:row>
    <x:row r="2426" ht="34" customHeight="1">
      <x:c r="A2426" s="4" t="str">
        <x:v>RS-01243-I1</x:v>
      </x:c>
      <x:c r="B2426" s="4" t="str">
        <x:v>RS-01243</x:v>
      </x:c>
      <x:c r="C2426" s="9" t="n">
        <x:v>1</x:v>
      </x:c>
      <x:c r="D2426" s="8" t="n">
        <x:v>45362</x:v>
      </x:c>
      <x:c r="E2426" s="9" t="n">
        <x:v>2838000</x:v>
      </x:c>
      <x:c r="F2426" s="9" t="n">
        <x:v>2838000</x:v>
      </x:c>
    </x:row>
    <x:row r="2427" ht="34" customHeight="1">
      <x:c r="A2427" s="4" t="str">
        <x:v>RS-01243-I2</x:v>
      </x:c>
      <x:c r="B2427" s="4" t="str">
        <x:v>RS-01243</x:v>
      </x:c>
      <x:c r="C2427" s="9" t="n">
        <x:v>2</x:v>
      </x:c>
      <x:c r="D2427" s="8" t="n">
        <x:v>45392</x:v>
      </x:c>
      <x:c r="E2427" s="9" t="n">
        <x:v>2838000</x:v>
      </x:c>
      <x:c r="F2427" s="9" t="n">
        <x:v>2838000</x:v>
      </x:c>
    </x:row>
    <x:row r="2428" ht="34" customHeight="1">
      <x:c r="A2428" s="4" t="str">
        <x:v>RS-01243-I3</x:v>
      </x:c>
      <x:c r="B2428" s="4" t="str">
        <x:v>RS-01243</x:v>
      </x:c>
      <x:c r="C2428" s="9" t="n">
        <x:v>3</x:v>
      </x:c>
      <x:c r="D2428" s="8" t="n">
        <x:v>45422</x:v>
      </x:c>
      <x:c r="E2428" s="9" t="n">
        <x:v>2838000</x:v>
      </x:c>
      <x:c r="F2428" s="9" t="n">
        <x:v>0</x:v>
      </x:c>
    </x:row>
    <x:row r="2429" ht="34" customHeight="1">
      <x:c r="A2429" s="4" t="str">
        <x:v>RS-01243-I4</x:v>
      </x:c>
      <x:c r="B2429" s="4" t="str">
        <x:v>RS-01243</x:v>
      </x:c>
      <x:c r="C2429" s="9" t="n">
        <x:v>4</x:v>
      </x:c>
      <x:c r="D2429" s="8" t="n">
        <x:v>45452</x:v>
      </x:c>
      <x:c r="E2429" s="9" t="n">
        <x:v>2838000</x:v>
      </x:c>
      <x:c r="F2429" s="9" t="n">
        <x:v>0</x:v>
      </x:c>
    </x:row>
    <x:row r="2430" ht="34" customHeight="1">
      <x:c r="A2430" s="4" t="str">
        <x:v>RS-01247-I1</x:v>
      </x:c>
      <x:c r="B2430" s="4" t="str">
        <x:v>RS-01247</x:v>
      </x:c>
      <x:c r="C2430" s="9" t="n">
        <x:v>1</x:v>
      </x:c>
      <x:c r="D2430" s="8" t="n">
        <x:v>45366</x:v>
      </x:c>
      <x:c r="E2430" s="9" t="n">
        <x:v>4316500</x:v>
      </x:c>
      <x:c r="F2430" s="9" t="n">
        <x:v>1726600</x:v>
      </x:c>
    </x:row>
    <x:row r="2431" ht="34" customHeight="1">
      <x:c r="A2431" s="4" t="str">
        <x:v>RS-01247-I2</x:v>
      </x:c>
      <x:c r="B2431" s="4" t="str">
        <x:v>RS-01247</x:v>
      </x:c>
      <x:c r="C2431" s="9" t="n">
        <x:v>2</x:v>
      </x:c>
      <x:c r="D2431" s="8" t="n">
        <x:v>45396</x:v>
      </x:c>
      <x:c r="E2431" s="9" t="n">
        <x:v>4316500</x:v>
      </x:c>
      <x:c r="F2431" s="9" t="n">
        <x:v>0</x:v>
      </x:c>
    </x:row>
    <x:row r="2432" ht="34" customHeight="1">
      <x:c r="A2432" s="4" t="str">
        <x:v>RS-01247-I3</x:v>
      </x:c>
      <x:c r="B2432" s="4" t="str">
        <x:v>RS-01247</x:v>
      </x:c>
      <x:c r="C2432" s="9" t="n">
        <x:v>3</x:v>
      </x:c>
      <x:c r="D2432" s="8" t="n">
        <x:v>45426</x:v>
      </x:c>
      <x:c r="E2432" s="9" t="n">
        <x:v>4316500</x:v>
      </x:c>
      <x:c r="F2432" s="9" t="n">
        <x:v>0</x:v>
      </x:c>
    </x:row>
    <x:row r="2433" ht="34" customHeight="1">
      <x:c r="A2433" s="4" t="str">
        <x:v>RS-01247-I4</x:v>
      </x:c>
      <x:c r="B2433" s="4" t="str">
        <x:v>RS-01247</x:v>
      </x:c>
      <x:c r="C2433" s="9" t="n">
        <x:v>4</x:v>
      </x:c>
      <x:c r="D2433" s="8" t="n">
        <x:v>45456</x:v>
      </x:c>
      <x:c r="E2433" s="9" t="n">
        <x:v>4316500</x:v>
      </x:c>
      <x:c r="F2433" s="9" t="n">
        <x:v>0</x:v>
      </x:c>
    </x:row>
    <x:row r="2434" ht="34" customHeight="1">
      <x:c r="A2434" s="4" t="str">
        <x:v>RS-01249-I1</x:v>
      </x:c>
      <x:c r="B2434" s="4" t="str">
        <x:v>RS-01249</x:v>
      </x:c>
      <x:c r="C2434" s="9" t="n">
        <x:v>1</x:v>
      </x:c>
      <x:c r="D2434" s="8" t="n">
        <x:v>45368</x:v>
      </x:c>
      <x:c r="E2434" s="9" t="n">
        <x:v>3634000</x:v>
      </x:c>
      <x:c r="F2434" s="9" t="n">
        <x:v>3634000</x:v>
      </x:c>
    </x:row>
    <x:row r="2435" ht="34" customHeight="1">
      <x:c r="A2435" s="4" t="str">
        <x:v>RS-01249-I2</x:v>
      </x:c>
      <x:c r="B2435" s="4" t="str">
        <x:v>RS-01249</x:v>
      </x:c>
      <x:c r="C2435" s="9" t="n">
        <x:v>2</x:v>
      </x:c>
      <x:c r="D2435" s="8" t="n">
        <x:v>45398</x:v>
      </x:c>
      <x:c r="E2435" s="9" t="n">
        <x:v>3634000</x:v>
      </x:c>
      <x:c r="F2435" s="9" t="n">
        <x:v>0</x:v>
      </x:c>
    </x:row>
    <x:row r="2436" ht="34" customHeight="1">
      <x:c r="A2436" s="4" t="str">
        <x:v>RS-01249-I3</x:v>
      </x:c>
      <x:c r="B2436" s="4" t="str">
        <x:v>RS-01249</x:v>
      </x:c>
      <x:c r="C2436" s="9" t="n">
        <x:v>3</x:v>
      </x:c>
      <x:c r="D2436" s="8" t="n">
        <x:v>45428</x:v>
      </x:c>
      <x:c r="E2436" s="9" t="n">
        <x:v>3634000</x:v>
      </x:c>
      <x:c r="F2436" s="9" t="n">
        <x:v>0</x:v>
      </x:c>
    </x:row>
    <x:row r="2437" ht="34" customHeight="1">
      <x:c r="A2437" s="4" t="str">
        <x:v>RS-01249-I4</x:v>
      </x:c>
      <x:c r="B2437" s="4" t="str">
        <x:v>RS-01249</x:v>
      </x:c>
      <x:c r="C2437" s="9" t="n">
        <x:v>4</x:v>
      </x:c>
      <x:c r="D2437" s="8" t="n">
        <x:v>45458</x:v>
      </x:c>
      <x:c r="E2437" s="9" t="n">
        <x:v>3634000</x:v>
      </x:c>
      <x:c r="F2437" s="9" t="n">
        <x:v>0</x:v>
      </x:c>
    </x:row>
    <x:row r="2438" ht="34" customHeight="1">
      <x:c r="A2438" s="4" t="str">
        <x:v>RS-01250-I1</x:v>
      </x:c>
      <x:c r="B2438" s="4" t="str">
        <x:v>RS-01250</x:v>
      </x:c>
      <x:c r="C2438" s="9" t="n">
        <x:v>1</x:v>
      </x:c>
      <x:c r="D2438" s="8" t="n">
        <x:v>45369</x:v>
      </x:c>
      <x:c r="E2438" s="9" t="n">
        <x:v>4436250</x:v>
      </x:c>
      <x:c r="F2438" s="9" t="n">
        <x:v>1774500</x:v>
      </x:c>
    </x:row>
    <x:row r="2439" ht="34" customHeight="1">
      <x:c r="A2439" s="4" t="str">
        <x:v>RS-01250-I2</x:v>
      </x:c>
      <x:c r="B2439" s="4" t="str">
        <x:v>RS-01250</x:v>
      </x:c>
      <x:c r="C2439" s="9" t="n">
        <x:v>2</x:v>
      </x:c>
      <x:c r="D2439" s="8" t="n">
        <x:v>45399</x:v>
      </x:c>
      <x:c r="E2439" s="9" t="n">
        <x:v>4436250</x:v>
      </x:c>
      <x:c r="F2439" s="9" t="n">
        <x:v>0</x:v>
      </x:c>
    </x:row>
    <x:row r="2440" ht="34" customHeight="1">
      <x:c r="A2440" s="4" t="str">
        <x:v>RS-01250-I3</x:v>
      </x:c>
      <x:c r="B2440" s="4" t="str">
        <x:v>RS-01250</x:v>
      </x:c>
      <x:c r="C2440" s="9" t="n">
        <x:v>3</x:v>
      </x:c>
      <x:c r="D2440" s="8" t="n">
        <x:v>45429</x:v>
      </x:c>
      <x:c r="E2440" s="9" t="n">
        <x:v>4436250</x:v>
      </x:c>
      <x:c r="F2440" s="9" t="n">
        <x:v>0</x:v>
      </x:c>
    </x:row>
    <x:row r="2441" ht="34" customHeight="1">
      <x:c r="A2441" s="4" t="str">
        <x:v>RS-01250-I4</x:v>
      </x:c>
      <x:c r="B2441" s="4" t="str">
        <x:v>RS-01250</x:v>
      </x:c>
      <x:c r="C2441" s="9" t="n">
        <x:v>4</x:v>
      </x:c>
      <x:c r="D2441" s="8" t="n">
        <x:v>45459</x:v>
      </x:c>
      <x:c r="E2441" s="9" t="n">
        <x:v>4436250</x:v>
      </x:c>
      <x:c r="F2441" s="9" t="n">
        <x:v>0</x:v>
      </x:c>
    </x:row>
    <x:row r="2442" ht="34" customHeight="1">
      <x:c r="A2442" s="4" t="str">
        <x:v>RS-01252-I1</x:v>
      </x:c>
      <x:c r="B2442" s="4" t="str">
        <x:v>RS-01252</x:v>
      </x:c>
      <x:c r="C2442" s="9" t="n">
        <x:v>1</x:v>
      </x:c>
      <x:c r="D2442" s="8" t="n">
        <x:v>45371</x:v>
      </x:c>
      <x:c r="E2442" s="9" t="n">
        <x:v>5747500</x:v>
      </x:c>
      <x:c r="F2442" s="9" t="n">
        <x:v>5747500</x:v>
      </x:c>
    </x:row>
    <x:row r="2443" ht="34" customHeight="1">
      <x:c r="A2443" s="4" t="str">
        <x:v>RS-01252-I2</x:v>
      </x:c>
      <x:c r="B2443" s="4" t="str">
        <x:v>RS-01252</x:v>
      </x:c>
      <x:c r="C2443" s="9" t="n">
        <x:v>2</x:v>
      </x:c>
      <x:c r="D2443" s="8" t="n">
        <x:v>45401</x:v>
      </x:c>
      <x:c r="E2443" s="9" t="n">
        <x:v>5747500</x:v>
      </x:c>
      <x:c r="F2443" s="9" t="n">
        <x:v>0</x:v>
      </x:c>
    </x:row>
    <x:row r="2444" ht="34" customHeight="1">
      <x:c r="A2444" s="4" t="str">
        <x:v>RS-01252-I3</x:v>
      </x:c>
      <x:c r="B2444" s="4" t="str">
        <x:v>RS-01252</x:v>
      </x:c>
      <x:c r="C2444" s="9" t="n">
        <x:v>3</x:v>
      </x:c>
      <x:c r="D2444" s="8" t="n">
        <x:v>45431</x:v>
      </x:c>
      <x:c r="E2444" s="9" t="n">
        <x:v>5747500</x:v>
      </x:c>
      <x:c r="F2444" s="9" t="n">
        <x:v>0</x:v>
      </x:c>
    </x:row>
    <x:row r="2445" ht="34" customHeight="1">
      <x:c r="A2445" s="4" t="str">
        <x:v>RS-01252-I4</x:v>
      </x:c>
      <x:c r="B2445" s="4" t="str">
        <x:v>RS-01252</x:v>
      </x:c>
      <x:c r="C2445" s="9" t="n">
        <x:v>4</x:v>
      </x:c>
      <x:c r="D2445" s="8" t="n">
        <x:v>45461</x:v>
      </x:c>
      <x:c r="E2445" s="9" t="n">
        <x:v>5747500</x:v>
      </x:c>
      <x:c r="F2445" s="9" t="n">
        <x:v>0</x:v>
      </x:c>
    </x:row>
    <x:row r="2446" ht="34" customHeight="1">
      <x:c r="A2446" s="4" t="str">
        <x:v>RS-01253-I1</x:v>
      </x:c>
      <x:c r="B2446" s="4" t="str">
        <x:v>RS-01253</x:v>
      </x:c>
      <x:c r="C2446" s="9" t="n">
        <x:v>1</x:v>
      </x:c>
      <x:c r="D2446" s="8" t="n">
        <x:v>45372</x:v>
      </x:c>
      <x:c r="E2446" s="9" t="n">
        <x:v>3915000</x:v>
      </x:c>
      <x:c r="F2446" s="9" t="n">
        <x:v>3915000</x:v>
      </x:c>
    </x:row>
    <x:row r="2447" ht="34" customHeight="1">
      <x:c r="A2447" s="4" t="str">
        <x:v>RS-01253-I2</x:v>
      </x:c>
      <x:c r="B2447" s="4" t="str">
        <x:v>RS-01253</x:v>
      </x:c>
      <x:c r="C2447" s="9" t="n">
        <x:v>2</x:v>
      </x:c>
      <x:c r="D2447" s="8" t="n">
        <x:v>45402</x:v>
      </x:c>
      <x:c r="E2447" s="9" t="n">
        <x:v>3915000</x:v>
      </x:c>
      <x:c r="F2447" s="9" t="n">
        <x:v>0</x:v>
      </x:c>
    </x:row>
    <x:row r="2448" ht="34" customHeight="1">
      <x:c r="A2448" s="4" t="str">
        <x:v>RS-01253-I3</x:v>
      </x:c>
      <x:c r="B2448" s="4" t="str">
        <x:v>RS-01253</x:v>
      </x:c>
      <x:c r="C2448" s="9" t="n">
        <x:v>3</x:v>
      </x:c>
      <x:c r="D2448" s="8" t="n">
        <x:v>45432</x:v>
      </x:c>
      <x:c r="E2448" s="9" t="n">
        <x:v>3915000</x:v>
      </x:c>
      <x:c r="F2448" s="9" t="n">
        <x:v>0</x:v>
      </x:c>
    </x:row>
    <x:row r="2449" ht="34" customHeight="1">
      <x:c r="A2449" s="4" t="str">
        <x:v>RS-01253-I4</x:v>
      </x:c>
      <x:c r="B2449" s="4" t="str">
        <x:v>RS-01253</x:v>
      </x:c>
      <x:c r="C2449" s="9" t="n">
        <x:v>4</x:v>
      </x:c>
      <x:c r="D2449" s="8" t="n">
        <x:v>45462</x:v>
      </x:c>
      <x:c r="E2449" s="9" t="n">
        <x:v>3915000</x:v>
      </x:c>
      <x:c r="F2449" s="9" t="n">
        <x:v>0</x:v>
      </x:c>
    </x:row>
    <x:row r="2450" ht="34" customHeight="1">
      <x:c r="A2450" s="4" t="str">
        <x:v>RS-01254-I1</x:v>
      </x:c>
      <x:c r="B2450" s="4" t="str">
        <x:v>RS-01254</x:v>
      </x:c>
      <x:c r="C2450" s="9" t="n">
        <x:v>1</x:v>
      </x:c>
      <x:c r="D2450" s="8" t="n">
        <x:v>45373</x:v>
      </x:c>
      <x:c r="E2450" s="9" t="n">
        <x:v>1579750</x:v>
      </x:c>
      <x:c r="F2450" s="9" t="n">
        <x:v>1579750</x:v>
      </x:c>
    </x:row>
    <x:row r="2451" ht="34" customHeight="1">
      <x:c r="A2451" s="4" t="str">
        <x:v>RS-01254-I2</x:v>
      </x:c>
      <x:c r="B2451" s="4" t="str">
        <x:v>RS-01254</x:v>
      </x:c>
      <x:c r="C2451" s="9" t="n">
        <x:v>2</x:v>
      </x:c>
      <x:c r="D2451" s="8" t="n">
        <x:v>45403</x:v>
      </x:c>
      <x:c r="E2451" s="9" t="n">
        <x:v>1579750</x:v>
      </x:c>
      <x:c r="F2451" s="9" t="n">
        <x:v>0</x:v>
      </x:c>
    </x:row>
    <x:row r="2452" ht="34" customHeight="1">
      <x:c r="A2452" s="4" t="str">
        <x:v>RS-01254-I3</x:v>
      </x:c>
      <x:c r="B2452" s="4" t="str">
        <x:v>RS-01254</x:v>
      </x:c>
      <x:c r="C2452" s="9" t="n">
        <x:v>3</x:v>
      </x:c>
      <x:c r="D2452" s="8" t="n">
        <x:v>45433</x:v>
      </x:c>
      <x:c r="E2452" s="9" t="n">
        <x:v>1579750</x:v>
      </x:c>
      <x:c r="F2452" s="9" t="n">
        <x:v>0</x:v>
      </x:c>
    </x:row>
    <x:row r="2453" ht="34" customHeight="1">
      <x:c r="A2453" s="4" t="str">
        <x:v>RS-01254-I4</x:v>
      </x:c>
      <x:c r="B2453" s="4" t="str">
        <x:v>RS-01254</x:v>
      </x:c>
      <x:c r="C2453" s="9" t="n">
        <x:v>4</x:v>
      </x:c>
      <x:c r="D2453" s="8" t="n">
        <x:v>45463</x:v>
      </x:c>
      <x:c r="E2453" s="9" t="n">
        <x:v>1579750</x:v>
      </x:c>
      <x:c r="F2453" s="9" t="n">
        <x:v>0</x:v>
      </x:c>
    </x:row>
    <x:row r="2454" ht="34" customHeight="1">
      <x:c r="A2454" s="4" t="str">
        <x:v>RS-01258-I1</x:v>
      </x:c>
      <x:c r="B2454" s="4" t="str">
        <x:v>RS-01258</x:v>
      </x:c>
      <x:c r="C2454" s="9" t="n">
        <x:v>1</x:v>
      </x:c>
      <x:c r="D2454" s="8" t="n">
        <x:v>45377</x:v>
      </x:c>
      <x:c r="E2454" s="9" t="n">
        <x:v>3783500</x:v>
      </x:c>
      <x:c r="F2454" s="9" t="n">
        <x:v>3783500</x:v>
      </x:c>
    </x:row>
    <x:row r="2455" ht="34" customHeight="1">
      <x:c r="A2455" s="4" t="str">
        <x:v>RS-01258-I2</x:v>
      </x:c>
      <x:c r="B2455" s="4" t="str">
        <x:v>RS-01258</x:v>
      </x:c>
      <x:c r="C2455" s="9" t="n">
        <x:v>2</x:v>
      </x:c>
      <x:c r="D2455" s="8" t="n">
        <x:v>45407</x:v>
      </x:c>
      <x:c r="E2455" s="9" t="n">
        <x:v>3783500</x:v>
      </x:c>
      <x:c r="F2455" s="9" t="n">
        <x:v>3783500</x:v>
      </x:c>
    </x:row>
    <x:row r="2456" ht="34" customHeight="1">
      <x:c r="A2456" s="4" t="str">
        <x:v>RS-01258-I3</x:v>
      </x:c>
      <x:c r="B2456" s="4" t="str">
        <x:v>RS-01258</x:v>
      </x:c>
      <x:c r="C2456" s="9" t="n">
        <x:v>3</x:v>
      </x:c>
      <x:c r="D2456" s="8" t="n">
        <x:v>45437</x:v>
      </x:c>
      <x:c r="E2456" s="9" t="n">
        <x:v>3783500</x:v>
      </x:c>
      <x:c r="F2456" s="9" t="n">
        <x:v>0</x:v>
      </x:c>
    </x:row>
    <x:row r="2457" ht="34" customHeight="1">
      <x:c r="A2457" s="4" t="str">
        <x:v>RS-01258-I4</x:v>
      </x:c>
      <x:c r="B2457" s="4" t="str">
        <x:v>RS-01258</x:v>
      </x:c>
      <x:c r="C2457" s="9" t="n">
        <x:v>4</x:v>
      </x:c>
      <x:c r="D2457" s="8" t="n">
        <x:v>45467</x:v>
      </x:c>
      <x:c r="E2457" s="9" t="n">
        <x:v>3783500</x:v>
      </x:c>
      <x:c r="F2457" s="9" t="n">
        <x:v>0</x:v>
      </x:c>
    </x:row>
    <x:row r="2458" ht="34" customHeight="1">
      <x:c r="A2458" s="4" t="str">
        <x:v>RS-01259-I1</x:v>
      </x:c>
      <x:c r="B2458" s="4" t="str">
        <x:v>RS-01259</x:v>
      </x:c>
      <x:c r="C2458" s="9" t="n">
        <x:v>1</x:v>
      </x:c>
      <x:c r="D2458" s="8" t="n">
        <x:v>45378</x:v>
      </x:c>
      <x:c r="E2458" s="9" t="n">
        <x:v>2610000</x:v>
      </x:c>
      <x:c r="F2458" s="9" t="n">
        <x:v>1044000</x:v>
      </x:c>
    </x:row>
    <x:row r="2459" ht="34" customHeight="1">
      <x:c r="A2459" s="4" t="str">
        <x:v>RS-01259-I2</x:v>
      </x:c>
      <x:c r="B2459" s="4" t="str">
        <x:v>RS-01259</x:v>
      </x:c>
      <x:c r="C2459" s="9" t="n">
        <x:v>2</x:v>
      </x:c>
      <x:c r="D2459" s="8" t="n">
        <x:v>45408</x:v>
      </x:c>
      <x:c r="E2459" s="9" t="n">
        <x:v>2610000</x:v>
      </x:c>
      <x:c r="F2459" s="9" t="n">
        <x:v>0</x:v>
      </x:c>
    </x:row>
    <x:row r="2460" ht="34" customHeight="1">
      <x:c r="A2460" s="4" t="str">
        <x:v>RS-01259-I3</x:v>
      </x:c>
      <x:c r="B2460" s="4" t="str">
        <x:v>RS-01259</x:v>
      </x:c>
      <x:c r="C2460" s="9" t="n">
        <x:v>3</x:v>
      </x:c>
      <x:c r="D2460" s="8" t="n">
        <x:v>45438</x:v>
      </x:c>
      <x:c r="E2460" s="9" t="n">
        <x:v>2610000</x:v>
      </x:c>
      <x:c r="F2460" s="9" t="n">
        <x:v>0</x:v>
      </x:c>
    </x:row>
    <x:row r="2461" ht="34" customHeight="1">
      <x:c r="A2461" s="4" t="str">
        <x:v>RS-01259-I4</x:v>
      </x:c>
      <x:c r="B2461" s="4" t="str">
        <x:v>RS-01259</x:v>
      </x:c>
      <x:c r="C2461" s="9" t="n">
        <x:v>4</x:v>
      </x:c>
      <x:c r="D2461" s="8" t="n">
        <x:v>45468</x:v>
      </x:c>
      <x:c r="E2461" s="9" t="n">
        <x:v>2610000</x:v>
      </x:c>
      <x:c r="F2461" s="9" t="n">
        <x:v>0</x:v>
      </x:c>
    </x:row>
    <x:row r="2462" ht="34" customHeight="1">
      <x:c r="A2462" s="4" t="str">
        <x:v>RS-01262-I1</x:v>
      </x:c>
      <x:c r="B2462" s="4" t="str">
        <x:v>RS-01262</x:v>
      </x:c>
      <x:c r="C2462" s="9" t="n">
        <x:v>1</x:v>
      </x:c>
      <x:c r="D2462" s="8" t="n">
        <x:v>45353</x:v>
      </x:c>
      <x:c r="E2462" s="9" t="n">
        <x:v>5544000</x:v>
      </x:c>
      <x:c r="F2462" s="9" t="n">
        <x:v>2217600</x:v>
      </x:c>
    </x:row>
    <x:row r="2463" ht="34" customHeight="1">
      <x:c r="A2463" s="4" t="str">
        <x:v>RS-01262-I2</x:v>
      </x:c>
      <x:c r="B2463" s="4" t="str">
        <x:v>RS-01262</x:v>
      </x:c>
      <x:c r="C2463" s="9" t="n">
        <x:v>2</x:v>
      </x:c>
      <x:c r="D2463" s="8" t="n">
        <x:v>45383</x:v>
      </x:c>
      <x:c r="E2463" s="9" t="n">
        <x:v>5544000</x:v>
      </x:c>
      <x:c r="F2463" s="9" t="n">
        <x:v>0</x:v>
      </x:c>
    </x:row>
    <x:row r="2464" ht="34" customHeight="1">
      <x:c r="A2464" s="4" t="str">
        <x:v>RS-01262-I3</x:v>
      </x:c>
      <x:c r="B2464" s="4" t="str">
        <x:v>RS-01262</x:v>
      </x:c>
      <x:c r="C2464" s="9" t="n">
        <x:v>3</x:v>
      </x:c>
      <x:c r="D2464" s="8" t="n">
        <x:v>45413</x:v>
      </x:c>
      <x:c r="E2464" s="9" t="n">
        <x:v>5544000</x:v>
      </x:c>
      <x:c r="F2464" s="9" t="n">
        <x:v>0</x:v>
      </x:c>
    </x:row>
    <x:row r="2465" ht="34" customHeight="1">
      <x:c r="A2465" s="4" t="str">
        <x:v>RS-01262-I4</x:v>
      </x:c>
      <x:c r="B2465" s="4" t="str">
        <x:v>RS-01262</x:v>
      </x:c>
      <x:c r="C2465" s="9" t="n">
        <x:v>4</x:v>
      </x:c>
      <x:c r="D2465" s="8" t="n">
        <x:v>45443</x:v>
      </x:c>
      <x:c r="E2465" s="9" t="n">
        <x:v>5544000</x:v>
      </x:c>
      <x:c r="F2465" s="9" t="n">
        <x:v>0</x:v>
      </x:c>
    </x:row>
    <x:row r="2466" ht="34" customHeight="1">
      <x:c r="A2466" s="4" t="str">
        <x:v>RS-01265-I1</x:v>
      </x:c>
      <x:c r="B2466" s="4" t="str">
        <x:v>RS-01265</x:v>
      </x:c>
      <x:c r="C2466" s="9" t="n">
        <x:v>1</x:v>
      </x:c>
      <x:c r="D2466" s="8" t="n">
        <x:v>45356</x:v>
      </x:c>
      <x:c r="E2466" s="9" t="n">
        <x:v>3811500</x:v>
      </x:c>
      <x:c r="F2466" s="9" t="n">
        <x:v>1524600</x:v>
      </x:c>
    </x:row>
    <x:row r="2467" ht="34" customHeight="1">
      <x:c r="A2467" s="4" t="str">
        <x:v>RS-01265-I2</x:v>
      </x:c>
      <x:c r="B2467" s="4" t="str">
        <x:v>RS-01265</x:v>
      </x:c>
      <x:c r="C2467" s="9" t="n">
        <x:v>2</x:v>
      </x:c>
      <x:c r="D2467" s="8" t="n">
        <x:v>45386</x:v>
      </x:c>
      <x:c r="E2467" s="9" t="n">
        <x:v>3811500</x:v>
      </x:c>
      <x:c r="F2467" s="9" t="n">
        <x:v>0</x:v>
      </x:c>
    </x:row>
    <x:row r="2468" ht="34" customHeight="1">
      <x:c r="A2468" s="4" t="str">
        <x:v>RS-01265-I3</x:v>
      </x:c>
      <x:c r="B2468" s="4" t="str">
        <x:v>RS-01265</x:v>
      </x:c>
      <x:c r="C2468" s="9" t="n">
        <x:v>3</x:v>
      </x:c>
      <x:c r="D2468" s="8" t="n">
        <x:v>45416</x:v>
      </x:c>
      <x:c r="E2468" s="9" t="n">
        <x:v>3811500</x:v>
      </x:c>
      <x:c r="F2468" s="9" t="n">
        <x:v>0</x:v>
      </x:c>
    </x:row>
    <x:row r="2469" ht="34" customHeight="1">
      <x:c r="A2469" s="4" t="str">
        <x:v>RS-01265-I4</x:v>
      </x:c>
      <x:c r="B2469" s="4" t="str">
        <x:v>RS-01265</x:v>
      </x:c>
      <x:c r="C2469" s="9" t="n">
        <x:v>4</x:v>
      </x:c>
      <x:c r="D2469" s="8" t="n">
        <x:v>45446</x:v>
      </x:c>
      <x:c r="E2469" s="9" t="n">
        <x:v>3811500</x:v>
      </x:c>
      <x:c r="F2469" s="9" t="n">
        <x:v>0</x:v>
      </x:c>
    </x:row>
    <x:row r="2470" ht="34" customHeight="1">
      <x:c r="A2470" s="4" t="str">
        <x:v>RS-01266-I1</x:v>
      </x:c>
      <x:c r="B2470" s="4" t="str">
        <x:v>RS-01266</x:v>
      </x:c>
      <x:c r="C2470" s="9" t="n">
        <x:v>1</x:v>
      </x:c>
      <x:c r="D2470" s="8" t="n">
        <x:v>45357</x:v>
      </x:c>
      <x:c r="E2470" s="9" t="n">
        <x:v>3062500</x:v>
      </x:c>
      <x:c r="F2470" s="9" t="n">
        <x:v>3062500</x:v>
      </x:c>
    </x:row>
    <x:row r="2471" ht="34" customHeight="1">
      <x:c r="A2471" s="4" t="str">
        <x:v>RS-01266-I2</x:v>
      </x:c>
      <x:c r="B2471" s="4" t="str">
        <x:v>RS-01266</x:v>
      </x:c>
      <x:c r="C2471" s="9" t="n">
        <x:v>2</x:v>
      </x:c>
      <x:c r="D2471" s="8" t="n">
        <x:v>45387</x:v>
      </x:c>
      <x:c r="E2471" s="9" t="n">
        <x:v>3062500</x:v>
      </x:c>
      <x:c r="F2471" s="9" t="n">
        <x:v>3062500</x:v>
      </x:c>
    </x:row>
    <x:row r="2472" ht="34" customHeight="1">
      <x:c r="A2472" s="4" t="str">
        <x:v>RS-01266-I3</x:v>
      </x:c>
      <x:c r="B2472" s="4" t="str">
        <x:v>RS-01266</x:v>
      </x:c>
      <x:c r="C2472" s="9" t="n">
        <x:v>3</x:v>
      </x:c>
      <x:c r="D2472" s="8" t="n">
        <x:v>45417</x:v>
      </x:c>
      <x:c r="E2472" s="9" t="n">
        <x:v>3062500</x:v>
      </x:c>
      <x:c r="F2472" s="9" t="n">
        <x:v>0</x:v>
      </x:c>
    </x:row>
    <x:row r="2473" ht="34" customHeight="1">
      <x:c r="A2473" s="4" t="str">
        <x:v>RS-01266-I4</x:v>
      </x:c>
      <x:c r="B2473" s="4" t="str">
        <x:v>RS-01266</x:v>
      </x:c>
      <x:c r="C2473" s="9" t="n">
        <x:v>4</x:v>
      </x:c>
      <x:c r="D2473" s="8" t="n">
        <x:v>45447</x:v>
      </x:c>
      <x:c r="E2473" s="9" t="n">
        <x:v>3062500</x:v>
      </x:c>
      <x:c r="F2473" s="9" t="n">
        <x:v>0</x:v>
      </x:c>
    </x:row>
    <x:row r="2474" ht="34" customHeight="1">
      <x:c r="A2474" s="4" t="str">
        <x:v>RS-01267-I1</x:v>
      </x:c>
      <x:c r="B2474" s="4" t="str">
        <x:v>RS-01267</x:v>
      </x:c>
      <x:c r="C2474" s="9" t="n">
        <x:v>1</x:v>
      </x:c>
      <x:c r="D2474" s="8" t="n">
        <x:v>45358</x:v>
      </x:c>
      <x:c r="E2474" s="9" t="n">
        <x:v>5365500</x:v>
      </x:c>
      <x:c r="F2474" s="9" t="n">
        <x:v>2146200</x:v>
      </x:c>
    </x:row>
    <x:row r="2475" ht="34" customHeight="1">
      <x:c r="A2475" s="4" t="str">
        <x:v>RS-01267-I2</x:v>
      </x:c>
      <x:c r="B2475" s="4" t="str">
        <x:v>RS-01267</x:v>
      </x:c>
      <x:c r="C2475" s="9" t="n">
        <x:v>2</x:v>
      </x:c>
      <x:c r="D2475" s="8" t="n">
        <x:v>45388</x:v>
      </x:c>
      <x:c r="E2475" s="9" t="n">
        <x:v>5365500</x:v>
      </x:c>
      <x:c r="F2475" s="9" t="n">
        <x:v>0</x:v>
      </x:c>
    </x:row>
    <x:row r="2476" ht="34" customHeight="1">
      <x:c r="A2476" s="4" t="str">
        <x:v>RS-01267-I3</x:v>
      </x:c>
      <x:c r="B2476" s="4" t="str">
        <x:v>RS-01267</x:v>
      </x:c>
      <x:c r="C2476" s="9" t="n">
        <x:v>3</x:v>
      </x:c>
      <x:c r="D2476" s="8" t="n">
        <x:v>45418</x:v>
      </x:c>
      <x:c r="E2476" s="9" t="n">
        <x:v>5365500</x:v>
      </x:c>
      <x:c r="F2476" s="9" t="n">
        <x:v>0</x:v>
      </x:c>
    </x:row>
    <x:row r="2477" ht="34" customHeight="1">
      <x:c r="A2477" s="4" t="str">
        <x:v>RS-01267-I4</x:v>
      </x:c>
      <x:c r="B2477" s="4" t="str">
        <x:v>RS-01267</x:v>
      </x:c>
      <x:c r="C2477" s="9" t="n">
        <x:v>4</x:v>
      </x:c>
      <x:c r="D2477" s="8" t="n">
        <x:v>45448</x:v>
      </x:c>
      <x:c r="E2477" s="9" t="n">
        <x:v>5365500</x:v>
      </x:c>
      <x:c r="F2477" s="9" t="n">
        <x:v>0</x:v>
      </x:c>
    </x:row>
    <x:row r="2478" ht="34" customHeight="1">
      <x:c r="A2478" s="4" t="str">
        <x:v>RS-01269-I1</x:v>
      </x:c>
      <x:c r="B2478" s="4" t="str">
        <x:v>RS-01269</x:v>
      </x:c>
      <x:c r="C2478" s="9" t="n">
        <x:v>1</x:v>
      </x:c>
      <x:c r="D2478" s="8" t="n">
        <x:v>45360</x:v>
      </x:c>
      <x:c r="E2478" s="9" t="n">
        <x:v>1176000</x:v>
      </x:c>
      <x:c r="F2478" s="9" t="n">
        <x:v>1176000</x:v>
      </x:c>
    </x:row>
    <x:row r="2479" ht="34" customHeight="1">
      <x:c r="A2479" s="4" t="str">
        <x:v>RS-01269-I2</x:v>
      </x:c>
      <x:c r="B2479" s="4" t="str">
        <x:v>RS-01269</x:v>
      </x:c>
      <x:c r="C2479" s="9" t="n">
        <x:v>2</x:v>
      </x:c>
      <x:c r="D2479" s="8" t="n">
        <x:v>45390</x:v>
      </x:c>
      <x:c r="E2479" s="9" t="n">
        <x:v>1176000</x:v>
      </x:c>
      <x:c r="F2479" s="9" t="n">
        <x:v>1176000</x:v>
      </x:c>
    </x:row>
    <x:row r="2480" ht="34" customHeight="1">
      <x:c r="A2480" s="4" t="str">
        <x:v>RS-01269-I3</x:v>
      </x:c>
      <x:c r="B2480" s="4" t="str">
        <x:v>RS-01269</x:v>
      </x:c>
      <x:c r="C2480" s="9" t="n">
        <x:v>3</x:v>
      </x:c>
      <x:c r="D2480" s="8" t="n">
        <x:v>45420</x:v>
      </x:c>
      <x:c r="E2480" s="9" t="n">
        <x:v>1176000</x:v>
      </x:c>
      <x:c r="F2480" s="9" t="n">
        <x:v>1176000</x:v>
      </x:c>
    </x:row>
    <x:row r="2481" ht="34" customHeight="1">
      <x:c r="A2481" s="4" t="str">
        <x:v>RS-01269-I4</x:v>
      </x:c>
      <x:c r="B2481" s="4" t="str">
        <x:v>RS-01269</x:v>
      </x:c>
      <x:c r="C2481" s="9" t="n">
        <x:v>4</x:v>
      </x:c>
      <x:c r="D2481" s="8" t="n">
        <x:v>45450</x:v>
      </x:c>
      <x:c r="E2481" s="9" t="n">
        <x:v>1176000</x:v>
      </x:c>
      <x:c r="F2481" s="9" t="n">
        <x:v>1176000</x:v>
      </x:c>
    </x:row>
    <x:row r="2482" ht="34" customHeight="1">
      <x:c r="A2482" s="4" t="str">
        <x:v>RS-01272-I1</x:v>
      </x:c>
      <x:c r="B2482" s="4" t="str">
        <x:v>RS-01272</x:v>
      </x:c>
      <x:c r="C2482" s="9" t="n">
        <x:v>1</x:v>
      </x:c>
      <x:c r="D2482" s="8" t="n">
        <x:v>45363</x:v>
      </x:c>
      <x:c r="E2482" s="9" t="n">
        <x:v>5365500</x:v>
      </x:c>
      <x:c r="F2482" s="9" t="n">
        <x:v>5365500</x:v>
      </x:c>
    </x:row>
    <x:row r="2483" ht="34" customHeight="1">
      <x:c r="A2483" s="4" t="str">
        <x:v>RS-01272-I2</x:v>
      </x:c>
      <x:c r="B2483" s="4" t="str">
        <x:v>RS-01272</x:v>
      </x:c>
      <x:c r="C2483" s="9" t="n">
        <x:v>2</x:v>
      </x:c>
      <x:c r="D2483" s="8" t="n">
        <x:v>45393</x:v>
      </x:c>
      <x:c r="E2483" s="9" t="n">
        <x:v>5365500</x:v>
      </x:c>
      <x:c r="F2483" s="9" t="n">
        <x:v>5365500</x:v>
      </x:c>
    </x:row>
    <x:row r="2484" ht="34" customHeight="1">
      <x:c r="A2484" s="4" t="str">
        <x:v>RS-01272-I3</x:v>
      </x:c>
      <x:c r="B2484" s="4" t="str">
        <x:v>RS-01272</x:v>
      </x:c>
      <x:c r="C2484" s="9" t="n">
        <x:v>3</x:v>
      </x:c>
      <x:c r="D2484" s="8" t="n">
        <x:v>45423</x:v>
      </x:c>
      <x:c r="E2484" s="9" t="n">
        <x:v>5365500</x:v>
      </x:c>
      <x:c r="F2484" s="9" t="n">
        <x:v>5365500</x:v>
      </x:c>
    </x:row>
    <x:row r="2485" ht="34" customHeight="1">
      <x:c r="A2485" s="4" t="str">
        <x:v>RS-01272-I4</x:v>
      </x:c>
      <x:c r="B2485" s="4" t="str">
        <x:v>RS-01272</x:v>
      </x:c>
      <x:c r="C2485" s="9" t="n">
        <x:v>4</x:v>
      </x:c>
      <x:c r="D2485" s="8" t="n">
        <x:v>45453</x:v>
      </x:c>
      <x:c r="E2485" s="9" t="n">
        <x:v>5365500</x:v>
      </x:c>
      <x:c r="F2485" s="9" t="n">
        <x:v>5365500</x:v>
      </x:c>
    </x:row>
    <x:row r="2486" ht="34" customHeight="1">
      <x:c r="A2486" s="4" t="str">
        <x:v>RS-01275-I1</x:v>
      </x:c>
      <x:c r="B2486" s="4" t="str">
        <x:v>RS-01275</x:v>
      </x:c>
      <x:c r="C2486" s="9" t="n">
        <x:v>1</x:v>
      </x:c>
      <x:c r="D2486" s="8" t="n">
        <x:v>45366</x:v>
      </x:c>
      <x:c r="E2486" s="9" t="n">
        <x:v>4853000</x:v>
      </x:c>
      <x:c r="F2486" s="9" t="n">
        <x:v>4853000</x:v>
      </x:c>
    </x:row>
    <x:row r="2487" ht="34" customHeight="1">
      <x:c r="A2487" s="4" t="str">
        <x:v>RS-01275-I2</x:v>
      </x:c>
      <x:c r="B2487" s="4" t="str">
        <x:v>RS-01275</x:v>
      </x:c>
      <x:c r="C2487" s="9" t="n">
        <x:v>2</x:v>
      </x:c>
      <x:c r="D2487" s="8" t="n">
        <x:v>45396</x:v>
      </x:c>
      <x:c r="E2487" s="9" t="n">
        <x:v>4853000</x:v>
      </x:c>
      <x:c r="F2487" s="9" t="n">
        <x:v>4853000</x:v>
      </x:c>
    </x:row>
    <x:row r="2488" ht="34" customHeight="1">
      <x:c r="A2488" s="4" t="str">
        <x:v>RS-01275-I3</x:v>
      </x:c>
      <x:c r="B2488" s="4" t="str">
        <x:v>RS-01275</x:v>
      </x:c>
      <x:c r="C2488" s="9" t="n">
        <x:v>3</x:v>
      </x:c>
      <x:c r="D2488" s="8" t="n">
        <x:v>45426</x:v>
      </x:c>
      <x:c r="E2488" s="9" t="n">
        <x:v>4853000</x:v>
      </x:c>
      <x:c r="F2488" s="9" t="n">
        <x:v>0</x:v>
      </x:c>
    </x:row>
    <x:row r="2489" ht="34" customHeight="1">
      <x:c r="A2489" s="4" t="str">
        <x:v>RS-01275-I4</x:v>
      </x:c>
      <x:c r="B2489" s="4" t="str">
        <x:v>RS-01275</x:v>
      </x:c>
      <x:c r="C2489" s="9" t="n">
        <x:v>4</x:v>
      </x:c>
      <x:c r="D2489" s="8" t="n">
        <x:v>45456</x:v>
      </x:c>
      <x:c r="E2489" s="9" t="n">
        <x:v>4853000</x:v>
      </x:c>
      <x:c r="F2489" s="9" t="n">
        <x:v>0</x:v>
      </x:c>
    </x:row>
    <x:row r="2490" ht="34" customHeight="1">
      <x:c r="A2490" s="4" t="str">
        <x:v>RS-01276-I1</x:v>
      </x:c>
      <x:c r="B2490" s="4" t="str">
        <x:v>RS-01276</x:v>
      </x:c>
      <x:c r="C2490" s="9" t="n">
        <x:v>1</x:v>
      </x:c>
      <x:c r="D2490" s="8" t="n">
        <x:v>45367</x:v>
      </x:c>
      <x:c r="E2490" s="9" t="n">
        <x:v>2424000</x:v>
      </x:c>
      <x:c r="F2490" s="9" t="n">
        <x:v>2424000</x:v>
      </x:c>
    </x:row>
    <x:row r="2491" ht="34" customHeight="1">
      <x:c r="A2491" s="4" t="str">
        <x:v>RS-01276-I2</x:v>
      </x:c>
      <x:c r="B2491" s="4" t="str">
        <x:v>RS-01276</x:v>
      </x:c>
      <x:c r="C2491" s="9" t="n">
        <x:v>2</x:v>
      </x:c>
      <x:c r="D2491" s="8" t="n">
        <x:v>45397</x:v>
      </x:c>
      <x:c r="E2491" s="9" t="n">
        <x:v>2424000</x:v>
      </x:c>
      <x:c r="F2491" s="9" t="n">
        <x:v>2424000</x:v>
      </x:c>
    </x:row>
    <x:row r="2492" ht="34" customHeight="1">
      <x:c r="A2492" s="4" t="str">
        <x:v>RS-01276-I3</x:v>
      </x:c>
      <x:c r="B2492" s="4" t="str">
        <x:v>RS-01276</x:v>
      </x:c>
      <x:c r="C2492" s="9" t="n">
        <x:v>3</x:v>
      </x:c>
      <x:c r="D2492" s="8" t="n">
        <x:v>45427</x:v>
      </x:c>
      <x:c r="E2492" s="9" t="n">
        <x:v>2424000</x:v>
      </x:c>
      <x:c r="F2492" s="9" t="n">
        <x:v>2424000</x:v>
      </x:c>
    </x:row>
    <x:row r="2493" ht="34" customHeight="1">
      <x:c r="A2493" s="4" t="str">
        <x:v>RS-01276-I4</x:v>
      </x:c>
      <x:c r="B2493" s="4" t="str">
        <x:v>RS-01276</x:v>
      </x:c>
      <x:c r="C2493" s="9" t="n">
        <x:v>4</x:v>
      </x:c>
      <x:c r="D2493" s="8" t="n">
        <x:v>45457</x:v>
      </x:c>
      <x:c r="E2493" s="9" t="n">
        <x:v>2424000</x:v>
      </x:c>
      <x:c r="F2493" s="9" t="n">
        <x:v>2424000</x:v>
      </x:c>
    </x:row>
    <x:row r="2494" ht="34" customHeight="1">
      <x:c r="A2494" s="4" t="str">
        <x:v>RS-01280-I1</x:v>
      </x:c>
      <x:c r="B2494" s="4" t="str">
        <x:v>RS-01280</x:v>
      </x:c>
      <x:c r="C2494" s="9" t="n">
        <x:v>1</x:v>
      </x:c>
      <x:c r="D2494" s="8" t="n">
        <x:v>45371</x:v>
      </x:c>
      <x:c r="E2494" s="9" t="n">
        <x:v>1547000</x:v>
      </x:c>
      <x:c r="F2494" s="9" t="n">
        <x:v>1547000</x:v>
      </x:c>
    </x:row>
    <x:row r="2495" ht="34" customHeight="1">
      <x:c r="A2495" s="4" t="str">
        <x:v>RS-01280-I2</x:v>
      </x:c>
      <x:c r="B2495" s="4" t="str">
        <x:v>RS-01280</x:v>
      </x:c>
      <x:c r="C2495" s="9" t="n">
        <x:v>2</x:v>
      </x:c>
      <x:c r="D2495" s="8" t="n">
        <x:v>45401</x:v>
      </x:c>
      <x:c r="E2495" s="9" t="n">
        <x:v>1547000</x:v>
      </x:c>
      <x:c r="F2495" s="9" t="n">
        <x:v>1547000</x:v>
      </x:c>
    </x:row>
    <x:row r="2496" ht="34" customHeight="1">
      <x:c r="A2496" s="4" t="str">
        <x:v>RS-01280-I3</x:v>
      </x:c>
      <x:c r="B2496" s="4" t="str">
        <x:v>RS-01280</x:v>
      </x:c>
      <x:c r="C2496" s="9" t="n">
        <x:v>3</x:v>
      </x:c>
      <x:c r="D2496" s="8" t="n">
        <x:v>45431</x:v>
      </x:c>
      <x:c r="E2496" s="9" t="n">
        <x:v>1547000</x:v>
      </x:c>
      <x:c r="F2496" s="9" t="n">
        <x:v>0</x:v>
      </x:c>
    </x:row>
    <x:row r="2497" ht="34" customHeight="1">
      <x:c r="A2497" s="4" t="str">
        <x:v>RS-01280-I4</x:v>
      </x:c>
      <x:c r="B2497" s="4" t="str">
        <x:v>RS-01280</x:v>
      </x:c>
      <x:c r="C2497" s="9" t="n">
        <x:v>4</x:v>
      </x:c>
      <x:c r="D2497" s="8" t="n">
        <x:v>45461</x:v>
      </x:c>
      <x:c r="E2497" s="9" t="n">
        <x:v>1547000</x:v>
      </x:c>
      <x:c r="F2497" s="9" t="n">
        <x:v>0</x:v>
      </x:c>
    </x:row>
    <x:row r="2498" ht="34" customHeight="1">
      <x:c r="A2498" s="4" t="str">
        <x:v>RS-01283-I1</x:v>
      </x:c>
      <x:c r="B2498" s="4" t="str">
        <x:v>RS-01283</x:v>
      </x:c>
      <x:c r="C2498" s="9" t="n">
        <x:v>1</x:v>
      </x:c>
      <x:c r="D2498" s="8" t="n">
        <x:v>45374</x:v>
      </x:c>
      <x:c r="E2498" s="9" t="n">
        <x:v>4678750</x:v>
      </x:c>
      <x:c r="F2498" s="9" t="n">
        <x:v>1871500</x:v>
      </x:c>
    </x:row>
    <x:row r="2499" ht="34" customHeight="1">
      <x:c r="A2499" s="4" t="str">
        <x:v>RS-01283-I2</x:v>
      </x:c>
      <x:c r="B2499" s="4" t="str">
        <x:v>RS-01283</x:v>
      </x:c>
      <x:c r="C2499" s="9" t="n">
        <x:v>2</x:v>
      </x:c>
      <x:c r="D2499" s="8" t="n">
        <x:v>45404</x:v>
      </x:c>
      <x:c r="E2499" s="9" t="n">
        <x:v>4678750</x:v>
      </x:c>
      <x:c r="F2499" s="9" t="n">
        <x:v>0</x:v>
      </x:c>
    </x:row>
    <x:row r="2500" ht="34" customHeight="1">
      <x:c r="A2500" s="4" t="str">
        <x:v>RS-01283-I3</x:v>
      </x:c>
      <x:c r="B2500" s="4" t="str">
        <x:v>RS-01283</x:v>
      </x:c>
      <x:c r="C2500" s="9" t="n">
        <x:v>3</x:v>
      </x:c>
      <x:c r="D2500" s="8" t="n">
        <x:v>45434</x:v>
      </x:c>
      <x:c r="E2500" s="9" t="n">
        <x:v>4678750</x:v>
      </x:c>
      <x:c r="F2500" s="9" t="n">
        <x:v>0</x:v>
      </x:c>
    </x:row>
    <x:row r="2501" ht="34" customHeight="1">
      <x:c r="A2501" s="4" t="str">
        <x:v>RS-01283-I4</x:v>
      </x:c>
      <x:c r="B2501" s="4" t="str">
        <x:v>RS-01283</x:v>
      </x:c>
      <x:c r="C2501" s="9" t="n">
        <x:v>4</x:v>
      </x:c>
      <x:c r="D2501" s="8" t="n">
        <x:v>45464</x:v>
      </x:c>
      <x:c r="E2501" s="9" t="n">
        <x:v>4678750</x:v>
      </x:c>
      <x:c r="F2501" s="9" t="n">
        <x:v>0</x:v>
      </x:c>
    </x:row>
    <x:row r="2502" ht="34" customHeight="1">
      <x:c r="A2502" s="4" t="str">
        <x:v>RS-01285-I1</x:v>
      </x:c>
      <x:c r="B2502" s="4" t="str">
        <x:v>RS-01285</x:v>
      </x:c>
      <x:c r="C2502" s="9" t="n">
        <x:v>1</x:v>
      </x:c>
      <x:c r="D2502" s="8" t="n">
        <x:v>45376</x:v>
      </x:c>
      <x:c r="E2502" s="9" t="n">
        <x:v>4987500</x:v>
      </x:c>
      <x:c r="F2502" s="9" t="n">
        <x:v>4987500</x:v>
      </x:c>
    </x:row>
    <x:row r="2503" ht="34" customHeight="1">
      <x:c r="A2503" s="4" t="str">
        <x:v>RS-01285-I2</x:v>
      </x:c>
      <x:c r="B2503" s="4" t="str">
        <x:v>RS-01285</x:v>
      </x:c>
      <x:c r="C2503" s="9" t="n">
        <x:v>2</x:v>
      </x:c>
      <x:c r="D2503" s="8" t="n">
        <x:v>45406</x:v>
      </x:c>
      <x:c r="E2503" s="9" t="n">
        <x:v>4987500</x:v>
      </x:c>
      <x:c r="F2503" s="9" t="n">
        <x:v>4987500</x:v>
      </x:c>
    </x:row>
    <x:row r="2504" ht="34" customHeight="1">
      <x:c r="A2504" s="4" t="str">
        <x:v>RS-01285-I3</x:v>
      </x:c>
      <x:c r="B2504" s="4" t="str">
        <x:v>RS-01285</x:v>
      </x:c>
      <x:c r="C2504" s="9" t="n">
        <x:v>3</x:v>
      </x:c>
      <x:c r="D2504" s="8" t="n">
        <x:v>45436</x:v>
      </x:c>
      <x:c r="E2504" s="9" t="n">
        <x:v>4987500</x:v>
      </x:c>
      <x:c r="F2504" s="9" t="n">
        <x:v>0</x:v>
      </x:c>
    </x:row>
    <x:row r="2505" ht="34" customHeight="1">
      <x:c r="A2505" s="4" t="str">
        <x:v>RS-01285-I4</x:v>
      </x:c>
      <x:c r="B2505" s="4" t="str">
        <x:v>RS-01285</x:v>
      </x:c>
      <x:c r="C2505" s="9" t="n">
        <x:v>4</x:v>
      </x:c>
      <x:c r="D2505" s="8" t="n">
        <x:v>45466</x:v>
      </x:c>
      <x:c r="E2505" s="9" t="n">
        <x:v>4987500</x:v>
      </x:c>
      <x:c r="F2505" s="9" t="n">
        <x:v>0</x:v>
      </x:c>
    </x:row>
    <x:row r="2506" ht="34" customHeight="1">
      <x:c r="A2506" s="4" t="str">
        <x:v>RS-01286-I1</x:v>
      </x:c>
      <x:c r="B2506" s="4" t="str">
        <x:v>RS-01286</x:v>
      </x:c>
      <x:c r="C2506" s="9" t="n">
        <x:v>1</x:v>
      </x:c>
      <x:c r="D2506" s="8" t="n">
        <x:v>45377</x:v>
      </x:c>
      <x:c r="E2506" s="9" t="n">
        <x:v>667500</x:v>
      </x:c>
      <x:c r="F2506" s="9" t="n">
        <x:v>667500</x:v>
      </x:c>
    </x:row>
    <x:row r="2507" ht="34" customHeight="1">
      <x:c r="A2507" s="4" t="str">
        <x:v>RS-01286-I2</x:v>
      </x:c>
      <x:c r="B2507" s="4" t="str">
        <x:v>RS-01286</x:v>
      </x:c>
      <x:c r="C2507" s="9" t="n">
        <x:v>2</x:v>
      </x:c>
      <x:c r="D2507" s="8" t="n">
        <x:v>45407</x:v>
      </x:c>
      <x:c r="E2507" s="9" t="n">
        <x:v>667500</x:v>
      </x:c>
      <x:c r="F2507" s="9" t="n">
        <x:v>667500</x:v>
      </x:c>
    </x:row>
    <x:row r="2508" ht="34" customHeight="1">
      <x:c r="A2508" s="4" t="str">
        <x:v>RS-01286-I3</x:v>
      </x:c>
      <x:c r="B2508" s="4" t="str">
        <x:v>RS-01286</x:v>
      </x:c>
      <x:c r="C2508" s="9" t="n">
        <x:v>3</x:v>
      </x:c>
      <x:c r="D2508" s="8" t="n">
        <x:v>45437</x:v>
      </x:c>
      <x:c r="E2508" s="9" t="n">
        <x:v>667500</x:v>
      </x:c>
      <x:c r="F2508" s="9" t="n">
        <x:v>0</x:v>
      </x:c>
    </x:row>
    <x:row r="2509" ht="34" customHeight="1">
      <x:c r="A2509" s="4" t="str">
        <x:v>RS-01286-I4</x:v>
      </x:c>
      <x:c r="B2509" s="4" t="str">
        <x:v>RS-01286</x:v>
      </x:c>
      <x:c r="C2509" s="9" t="n">
        <x:v>4</x:v>
      </x:c>
      <x:c r="D2509" s="8" t="n">
        <x:v>45467</x:v>
      </x:c>
      <x:c r="E2509" s="9" t="n">
        <x:v>667500</x:v>
      </x:c>
      <x:c r="F2509" s="9" t="n">
        <x:v>0</x:v>
      </x:c>
    </x:row>
    <x:row r="2510" ht="34" customHeight="1">
      <x:c r="A2510" s="4" t="str">
        <x:v>RS-01287-I1</x:v>
      </x:c>
      <x:c r="B2510" s="4" t="str">
        <x:v>RS-01287</x:v>
      </x:c>
      <x:c r="C2510" s="9" t="n">
        <x:v>1</x:v>
      </x:c>
      <x:c r="D2510" s="8" t="n">
        <x:v>45378</x:v>
      </x:c>
      <x:c r="E2510" s="9" t="n">
        <x:v>3645000</x:v>
      </x:c>
      <x:c r="F2510" s="9" t="n">
        <x:v>3645000</x:v>
      </x:c>
    </x:row>
    <x:row r="2511" ht="34" customHeight="1">
      <x:c r="A2511" s="4" t="str">
        <x:v>RS-01287-I2</x:v>
      </x:c>
      <x:c r="B2511" s="4" t="str">
        <x:v>RS-01287</x:v>
      </x:c>
      <x:c r="C2511" s="9" t="n">
        <x:v>2</x:v>
      </x:c>
      <x:c r="D2511" s="8" t="n">
        <x:v>45408</x:v>
      </x:c>
      <x:c r="E2511" s="9" t="n">
        <x:v>3645000</x:v>
      </x:c>
      <x:c r="F2511" s="9" t="n">
        <x:v>0</x:v>
      </x:c>
    </x:row>
    <x:row r="2512" ht="34" customHeight="1">
      <x:c r="A2512" s="4" t="str">
        <x:v>RS-01287-I3</x:v>
      </x:c>
      <x:c r="B2512" s="4" t="str">
        <x:v>RS-01287</x:v>
      </x:c>
      <x:c r="C2512" s="9" t="n">
        <x:v>3</x:v>
      </x:c>
      <x:c r="D2512" s="8" t="n">
        <x:v>45438</x:v>
      </x:c>
      <x:c r="E2512" s="9" t="n">
        <x:v>3645000</x:v>
      </x:c>
      <x:c r="F2512" s="9" t="n">
        <x:v>0</x:v>
      </x:c>
    </x:row>
    <x:row r="2513" ht="34" customHeight="1">
      <x:c r="A2513" s="4" t="str">
        <x:v>RS-01287-I4</x:v>
      </x:c>
      <x:c r="B2513" s="4" t="str">
        <x:v>RS-01287</x:v>
      </x:c>
      <x:c r="C2513" s="9" t="n">
        <x:v>4</x:v>
      </x:c>
      <x:c r="D2513" s="8" t="n">
        <x:v>45468</x:v>
      </x:c>
      <x:c r="E2513" s="9" t="n">
        <x:v>3645000</x:v>
      </x:c>
      <x:c r="F2513" s="9" t="n">
        <x:v>0</x:v>
      </x:c>
    </x:row>
    <x:row r="2514" ht="34" customHeight="1">
      <x:c r="A2514" s="4" t="str">
        <x:v>RS-01288-I1</x:v>
      </x:c>
      <x:c r="B2514" s="4" t="str">
        <x:v>RS-01288</x:v>
      </x:c>
      <x:c r="C2514" s="9" t="n">
        <x:v>1</x:v>
      </x:c>
      <x:c r="D2514" s="8" t="n">
        <x:v>45379</x:v>
      </x:c>
      <x:c r="E2514" s="9" t="n">
        <x:v>2137500</x:v>
      </x:c>
      <x:c r="F2514" s="9" t="n">
        <x:v>2137500</x:v>
      </x:c>
    </x:row>
    <x:row r="2515" ht="34" customHeight="1">
      <x:c r="A2515" s="4" t="str">
        <x:v>RS-01288-I2</x:v>
      </x:c>
      <x:c r="B2515" s="4" t="str">
        <x:v>RS-01288</x:v>
      </x:c>
      <x:c r="C2515" s="9" t="n">
        <x:v>2</x:v>
      </x:c>
      <x:c r="D2515" s="8" t="n">
        <x:v>45409</x:v>
      </x:c>
      <x:c r="E2515" s="9" t="n">
        <x:v>2137500</x:v>
      </x:c>
      <x:c r="F2515" s="9" t="n">
        <x:v>2137500</x:v>
      </x:c>
    </x:row>
    <x:row r="2516" ht="34" customHeight="1">
      <x:c r="A2516" s="4" t="str">
        <x:v>RS-01288-I3</x:v>
      </x:c>
      <x:c r="B2516" s="4" t="str">
        <x:v>RS-01288</x:v>
      </x:c>
      <x:c r="C2516" s="9" t="n">
        <x:v>3</x:v>
      </x:c>
      <x:c r="D2516" s="8" t="n">
        <x:v>45439</x:v>
      </x:c>
      <x:c r="E2516" s="9" t="n">
        <x:v>2137500</x:v>
      </x:c>
      <x:c r="F2516" s="9" t="n">
        <x:v>2137500</x:v>
      </x:c>
    </x:row>
    <x:row r="2517" ht="34" customHeight="1">
      <x:c r="A2517" s="4" t="str">
        <x:v>RS-01288-I4</x:v>
      </x:c>
      <x:c r="B2517" s="4" t="str">
        <x:v>RS-01288</x:v>
      </x:c>
      <x:c r="C2517" s="9" t="n">
        <x:v>4</x:v>
      </x:c>
      <x:c r="D2517" s="8" t="n">
        <x:v>45469</x:v>
      </x:c>
      <x:c r="E2517" s="9" t="n">
        <x:v>2137500</x:v>
      </x:c>
      <x:c r="F2517" s="9" t="n">
        <x:v>2137500</x:v>
      </x:c>
    </x:row>
    <x:row r="2518" ht="34" customHeight="1">
      <x:c r="A2518" s="4" t="str">
        <x:v>RS-01289-I1</x:v>
      </x:c>
      <x:c r="B2518" s="4" t="str">
        <x:v>RS-01289</x:v>
      </x:c>
      <x:c r="C2518" s="9" t="n">
        <x:v>1</x:v>
      </x:c>
      <x:c r="D2518" s="8" t="n">
        <x:v>45352</x:v>
      </x:c>
      <x:c r="E2518" s="9" t="n">
        <x:v>1478750</x:v>
      </x:c>
      <x:c r="F2518" s="9" t="n">
        <x:v>1478750</x:v>
      </x:c>
    </x:row>
    <x:row r="2519" ht="34" customHeight="1">
      <x:c r="A2519" s="4" t="str">
        <x:v>RS-01289-I2</x:v>
      </x:c>
      <x:c r="B2519" s="4" t="str">
        <x:v>RS-01289</x:v>
      </x:c>
      <x:c r="C2519" s="9" t="n">
        <x:v>2</x:v>
      </x:c>
      <x:c r="D2519" s="8" t="n">
        <x:v>45382</x:v>
      </x:c>
      <x:c r="E2519" s="9" t="n">
        <x:v>1478750</x:v>
      </x:c>
      <x:c r="F2519" s="9" t="n">
        <x:v>1478750</x:v>
      </x:c>
    </x:row>
    <x:row r="2520" ht="34" customHeight="1">
      <x:c r="A2520" s="4" t="str">
        <x:v>RS-01289-I3</x:v>
      </x:c>
      <x:c r="B2520" s="4" t="str">
        <x:v>RS-01289</x:v>
      </x:c>
      <x:c r="C2520" s="9" t="n">
        <x:v>3</x:v>
      </x:c>
      <x:c r="D2520" s="8" t="n">
        <x:v>45412</x:v>
      </x:c>
      <x:c r="E2520" s="9" t="n">
        <x:v>1478750</x:v>
      </x:c>
      <x:c r="F2520" s="9" t="n">
        <x:v>0</x:v>
      </x:c>
    </x:row>
    <x:row r="2521" ht="34" customHeight="1">
      <x:c r="A2521" s="4" t="str">
        <x:v>RS-01289-I4</x:v>
      </x:c>
      <x:c r="B2521" s="4" t="str">
        <x:v>RS-01289</x:v>
      </x:c>
      <x:c r="C2521" s="9" t="n">
        <x:v>4</x:v>
      </x:c>
      <x:c r="D2521" s="8" t="n">
        <x:v>45442</x:v>
      </x:c>
      <x:c r="E2521" s="9" t="n">
        <x:v>1478750</x:v>
      </x:c>
      <x:c r="F2521" s="9" t="n">
        <x:v>0</x:v>
      </x:c>
    </x:row>
    <x:row r="2522" ht="34" customHeight="1">
      <x:c r="A2522" s="4" t="str">
        <x:v>RS-01290-I1</x:v>
      </x:c>
      <x:c r="B2522" s="4" t="str">
        <x:v>RS-01290</x:v>
      </x:c>
      <x:c r="C2522" s="9" t="n">
        <x:v>1</x:v>
      </x:c>
      <x:c r="D2522" s="8" t="n">
        <x:v>45353</x:v>
      </x:c>
      <x:c r="E2522" s="9" t="n">
        <x:v>3300000</x:v>
      </x:c>
      <x:c r="F2522" s="9" t="n">
        <x:v>3300000</x:v>
      </x:c>
    </x:row>
    <x:row r="2523" ht="34" customHeight="1">
      <x:c r="A2523" s="4" t="str">
        <x:v>RS-01290-I2</x:v>
      </x:c>
      <x:c r="B2523" s="4" t="str">
        <x:v>RS-01290</x:v>
      </x:c>
      <x:c r="C2523" s="9" t="n">
        <x:v>2</x:v>
      </x:c>
      <x:c r="D2523" s="8" t="n">
        <x:v>45383</x:v>
      </x:c>
      <x:c r="E2523" s="9" t="n">
        <x:v>3300000</x:v>
      </x:c>
      <x:c r="F2523" s="9" t="n">
        <x:v>3300000</x:v>
      </x:c>
    </x:row>
    <x:row r="2524" ht="34" customHeight="1">
      <x:c r="A2524" s="4" t="str">
        <x:v>RS-01290-I3</x:v>
      </x:c>
      <x:c r="B2524" s="4" t="str">
        <x:v>RS-01290</x:v>
      </x:c>
      <x:c r="C2524" s="9" t="n">
        <x:v>3</x:v>
      </x:c>
      <x:c r="D2524" s="8" t="n">
        <x:v>45413</x:v>
      </x:c>
      <x:c r="E2524" s="9" t="n">
        <x:v>3300000</x:v>
      </x:c>
      <x:c r="F2524" s="9" t="n">
        <x:v>0</x:v>
      </x:c>
    </x:row>
    <x:row r="2525" ht="34" customHeight="1">
      <x:c r="A2525" s="4" t="str">
        <x:v>RS-01290-I4</x:v>
      </x:c>
      <x:c r="B2525" s="4" t="str">
        <x:v>RS-01290</x:v>
      </x:c>
      <x:c r="C2525" s="9" t="n">
        <x:v>4</x:v>
      </x:c>
      <x:c r="D2525" s="8" t="n">
        <x:v>45443</x:v>
      </x:c>
      <x:c r="E2525" s="9" t="n">
        <x:v>3300000</x:v>
      </x:c>
      <x:c r="F2525" s="9" t="n">
        <x:v>0</x:v>
      </x:c>
    </x:row>
    <x:row r="2526" ht="34" customHeight="1">
      <x:c r="A2526" s="4" t="str">
        <x:v>RS-01293-I1</x:v>
      </x:c>
      <x:c r="B2526" s="4" t="str">
        <x:v>RS-01293</x:v>
      </x:c>
      <x:c r="C2526" s="9" t="n">
        <x:v>1</x:v>
      </x:c>
      <x:c r="D2526" s="8" t="n">
        <x:v>45356</x:v>
      </x:c>
      <x:c r="E2526" s="9" t="n">
        <x:v>891000</x:v>
      </x:c>
      <x:c r="F2526" s="9" t="n">
        <x:v>891000</x:v>
      </x:c>
    </x:row>
    <x:row r="2527" ht="34" customHeight="1">
      <x:c r="A2527" s="4" t="str">
        <x:v>RS-01293-I2</x:v>
      </x:c>
      <x:c r="B2527" s="4" t="str">
        <x:v>RS-01293</x:v>
      </x:c>
      <x:c r="C2527" s="9" t="n">
        <x:v>2</x:v>
      </x:c>
      <x:c r="D2527" s="8" t="n">
        <x:v>45386</x:v>
      </x:c>
      <x:c r="E2527" s="9" t="n">
        <x:v>891000</x:v>
      </x:c>
      <x:c r="F2527" s="9" t="n">
        <x:v>891000</x:v>
      </x:c>
    </x:row>
    <x:row r="2528" ht="34" customHeight="1">
      <x:c r="A2528" s="4" t="str">
        <x:v>RS-01293-I3</x:v>
      </x:c>
      <x:c r="B2528" s="4" t="str">
        <x:v>RS-01293</x:v>
      </x:c>
      <x:c r="C2528" s="9" t="n">
        <x:v>3</x:v>
      </x:c>
      <x:c r="D2528" s="8" t="n">
        <x:v>45416</x:v>
      </x:c>
      <x:c r="E2528" s="9" t="n">
        <x:v>891000</x:v>
      </x:c>
      <x:c r="F2528" s="9" t="n">
        <x:v>891000</x:v>
      </x:c>
    </x:row>
    <x:row r="2529" ht="34" customHeight="1">
      <x:c r="A2529" s="4" t="str">
        <x:v>RS-01293-I4</x:v>
      </x:c>
      <x:c r="B2529" s="4" t="str">
        <x:v>RS-01293</x:v>
      </x:c>
      <x:c r="C2529" s="9" t="n">
        <x:v>4</x:v>
      </x:c>
      <x:c r="D2529" s="8" t="n">
        <x:v>45446</x:v>
      </x:c>
      <x:c r="E2529" s="9" t="n">
        <x:v>891000</x:v>
      </x:c>
      <x:c r="F2529" s="9" t="n">
        <x:v>891000</x:v>
      </x:c>
    </x:row>
    <x:row r="2530" ht="34" customHeight="1">
      <x:c r="A2530" s="4" t="str">
        <x:v>RS-01294-I1</x:v>
      </x:c>
      <x:c r="B2530" s="4" t="str">
        <x:v>RS-01294</x:v>
      </x:c>
      <x:c r="C2530" s="9" t="n">
        <x:v>1</x:v>
      </x:c>
      <x:c r="D2530" s="8" t="n">
        <x:v>45357</x:v>
      </x:c>
      <x:c r="E2530" s="9" t="n">
        <x:v>3504000</x:v>
      </x:c>
      <x:c r="F2530" s="9" t="n">
        <x:v>3504000</x:v>
      </x:c>
    </x:row>
    <x:row r="2531" ht="34" customHeight="1">
      <x:c r="A2531" s="4" t="str">
        <x:v>RS-01294-I2</x:v>
      </x:c>
      <x:c r="B2531" s="4" t="str">
        <x:v>RS-01294</x:v>
      </x:c>
      <x:c r="C2531" s="9" t="n">
        <x:v>2</x:v>
      </x:c>
      <x:c r="D2531" s="8" t="n">
        <x:v>45387</x:v>
      </x:c>
      <x:c r="E2531" s="9" t="n">
        <x:v>3504000</x:v>
      </x:c>
      <x:c r="F2531" s="9" t="n">
        <x:v>3504000</x:v>
      </x:c>
    </x:row>
    <x:row r="2532" ht="34" customHeight="1">
      <x:c r="A2532" s="4" t="str">
        <x:v>RS-01294-I3</x:v>
      </x:c>
      <x:c r="B2532" s="4" t="str">
        <x:v>RS-01294</x:v>
      </x:c>
      <x:c r="C2532" s="9" t="n">
        <x:v>3</x:v>
      </x:c>
      <x:c r="D2532" s="8" t="n">
        <x:v>45417</x:v>
      </x:c>
      <x:c r="E2532" s="9" t="n">
        <x:v>3504000</x:v>
      </x:c>
      <x:c r="F2532" s="9" t="n">
        <x:v>0</x:v>
      </x:c>
    </x:row>
    <x:row r="2533" ht="34" customHeight="1">
      <x:c r="A2533" s="4" t="str">
        <x:v>RS-01294-I4</x:v>
      </x:c>
      <x:c r="B2533" s="4" t="str">
        <x:v>RS-01294</x:v>
      </x:c>
      <x:c r="C2533" s="9" t="n">
        <x:v>4</x:v>
      </x:c>
      <x:c r="D2533" s="8" t="n">
        <x:v>45447</x:v>
      </x:c>
      <x:c r="E2533" s="9" t="n">
        <x:v>3504000</x:v>
      </x:c>
      <x:c r="F2533" s="9" t="n">
        <x:v>0</x:v>
      </x:c>
    </x:row>
    <x:row r="2534" ht="34" customHeight="1">
      <x:c r="A2534" s="4" t="str">
        <x:v>RS-01295-I1</x:v>
      </x:c>
      <x:c r="B2534" s="4" t="str">
        <x:v>RS-01295</x:v>
      </x:c>
      <x:c r="C2534" s="9" t="n">
        <x:v>1</x:v>
      </x:c>
      <x:c r="D2534" s="8" t="n">
        <x:v>45358</x:v>
      </x:c>
      <x:c r="E2534" s="9" t="n">
        <x:v>1464750</x:v>
      </x:c>
      <x:c r="F2534" s="9" t="n">
        <x:v>1464750</x:v>
      </x:c>
    </x:row>
    <x:row r="2535" ht="34" customHeight="1">
      <x:c r="A2535" s="4" t="str">
        <x:v>RS-01295-I2</x:v>
      </x:c>
      <x:c r="B2535" s="4" t="str">
        <x:v>RS-01295</x:v>
      </x:c>
      <x:c r="C2535" s="9" t="n">
        <x:v>2</x:v>
      </x:c>
      <x:c r="D2535" s="8" t="n">
        <x:v>45388</x:v>
      </x:c>
      <x:c r="E2535" s="9" t="n">
        <x:v>1464750</x:v>
      </x:c>
      <x:c r="F2535" s="9" t="n">
        <x:v>1464750</x:v>
      </x:c>
    </x:row>
    <x:row r="2536" ht="34" customHeight="1">
      <x:c r="A2536" s="4" t="str">
        <x:v>RS-01295-I3</x:v>
      </x:c>
      <x:c r="B2536" s="4" t="str">
        <x:v>RS-01295</x:v>
      </x:c>
      <x:c r="C2536" s="9" t="n">
        <x:v>3</x:v>
      </x:c>
      <x:c r="D2536" s="8" t="n">
        <x:v>45418</x:v>
      </x:c>
      <x:c r="E2536" s="9" t="n">
        <x:v>1464750</x:v>
      </x:c>
      <x:c r="F2536" s="9" t="n">
        <x:v>0</x:v>
      </x:c>
    </x:row>
    <x:row r="2537" ht="34" customHeight="1">
      <x:c r="A2537" s="4" t="str">
        <x:v>RS-01295-I4</x:v>
      </x:c>
      <x:c r="B2537" s="4" t="str">
        <x:v>RS-01295</x:v>
      </x:c>
      <x:c r="C2537" s="9" t="n">
        <x:v>4</x:v>
      </x:c>
      <x:c r="D2537" s="8" t="n">
        <x:v>45448</x:v>
      </x:c>
      <x:c r="E2537" s="9" t="n">
        <x:v>1464750</x:v>
      </x:c>
      <x:c r="F2537" s="9" t="n">
        <x:v>0</x:v>
      </x:c>
    </x:row>
    <x:row r="2538" ht="34" customHeight="1">
      <x:c r="A2538" s="4" t="str">
        <x:v>RS-01301-I1</x:v>
      </x:c>
      <x:c r="B2538" s="4" t="str">
        <x:v>RS-01301</x:v>
      </x:c>
      <x:c r="C2538" s="9" t="n">
        <x:v>1</x:v>
      </x:c>
      <x:c r="D2538" s="8" t="n">
        <x:v>45364</x:v>
      </x:c>
      <x:c r="E2538" s="9" t="n">
        <x:v>2764500</x:v>
      </x:c>
      <x:c r="F2538" s="9" t="n">
        <x:v>2764500</x:v>
      </x:c>
    </x:row>
    <x:row r="2539" ht="34" customHeight="1">
      <x:c r="A2539" s="4" t="str">
        <x:v>RS-01301-I2</x:v>
      </x:c>
      <x:c r="B2539" s="4" t="str">
        <x:v>RS-01301</x:v>
      </x:c>
      <x:c r="C2539" s="9" t="n">
        <x:v>2</x:v>
      </x:c>
      <x:c r="D2539" s="8" t="n">
        <x:v>45394</x:v>
      </x:c>
      <x:c r="E2539" s="9" t="n">
        <x:v>2764500</x:v>
      </x:c>
      <x:c r="F2539" s="9" t="n">
        <x:v>2764500</x:v>
      </x:c>
    </x:row>
    <x:row r="2540" ht="34" customHeight="1">
      <x:c r="A2540" s="4" t="str">
        <x:v>RS-01301-I3</x:v>
      </x:c>
      <x:c r="B2540" s="4" t="str">
        <x:v>RS-01301</x:v>
      </x:c>
      <x:c r="C2540" s="9" t="n">
        <x:v>3</x:v>
      </x:c>
      <x:c r="D2540" s="8" t="n">
        <x:v>45424</x:v>
      </x:c>
      <x:c r="E2540" s="9" t="n">
        <x:v>2764500</x:v>
      </x:c>
      <x:c r="F2540" s="9" t="n">
        <x:v>0</x:v>
      </x:c>
    </x:row>
    <x:row r="2541" ht="34" customHeight="1">
      <x:c r="A2541" s="4" t="str">
        <x:v>RS-01301-I4</x:v>
      </x:c>
      <x:c r="B2541" s="4" t="str">
        <x:v>RS-01301</x:v>
      </x:c>
      <x:c r="C2541" s="9" t="n">
        <x:v>4</x:v>
      </x:c>
      <x:c r="D2541" s="8" t="n">
        <x:v>45454</x:v>
      </x:c>
      <x:c r="E2541" s="9" t="n">
        <x:v>2764500</x:v>
      </x:c>
      <x:c r="F2541" s="9" t="n">
        <x:v>0</x:v>
      </x:c>
    </x:row>
    <x:row r="2542" ht="34" customHeight="1">
      <x:c r="A2542" s="4" t="str">
        <x:v>RS-01303-I1</x:v>
      </x:c>
      <x:c r="B2542" s="4" t="str">
        <x:v>RS-01303</x:v>
      </x:c>
      <x:c r="C2542" s="9" t="n">
        <x:v>1</x:v>
      </x:c>
      <x:c r="D2542" s="8" t="n">
        <x:v>45366</x:v>
      </x:c>
      <x:c r="E2542" s="9" t="n">
        <x:v>4263000</x:v>
      </x:c>
      <x:c r="F2542" s="9" t="n">
        <x:v>4263000</x:v>
      </x:c>
    </x:row>
    <x:row r="2543" ht="34" customHeight="1">
      <x:c r="A2543" s="4" t="str">
        <x:v>RS-01303-I2</x:v>
      </x:c>
      <x:c r="B2543" s="4" t="str">
        <x:v>RS-01303</x:v>
      </x:c>
      <x:c r="C2543" s="9" t="n">
        <x:v>2</x:v>
      </x:c>
      <x:c r="D2543" s="8" t="n">
        <x:v>45396</x:v>
      </x:c>
      <x:c r="E2543" s="9" t="n">
        <x:v>4263000</x:v>
      </x:c>
      <x:c r="F2543" s="9" t="n">
        <x:v>0</x:v>
      </x:c>
    </x:row>
    <x:row r="2544" ht="34" customHeight="1">
      <x:c r="A2544" s="4" t="str">
        <x:v>RS-01303-I3</x:v>
      </x:c>
      <x:c r="B2544" s="4" t="str">
        <x:v>RS-01303</x:v>
      </x:c>
      <x:c r="C2544" s="9" t="n">
        <x:v>3</x:v>
      </x:c>
      <x:c r="D2544" s="8" t="n">
        <x:v>45426</x:v>
      </x:c>
      <x:c r="E2544" s="9" t="n">
        <x:v>4263000</x:v>
      </x:c>
      <x:c r="F2544" s="9" t="n">
        <x:v>0</x:v>
      </x:c>
    </x:row>
    <x:row r="2545" ht="34" customHeight="1">
      <x:c r="A2545" s="4" t="str">
        <x:v>RS-01303-I4</x:v>
      </x:c>
      <x:c r="B2545" s="4" t="str">
        <x:v>RS-01303</x:v>
      </x:c>
      <x:c r="C2545" s="9" t="n">
        <x:v>4</x:v>
      </x:c>
      <x:c r="D2545" s="8" t="n">
        <x:v>45456</x:v>
      </x:c>
      <x:c r="E2545" s="9" t="n">
        <x:v>4263000</x:v>
      </x:c>
      <x:c r="F2545" s="9" t="n">
        <x:v>0</x:v>
      </x:c>
    </x:row>
    <x:row r="2546" ht="34" customHeight="1">
      <x:c r="A2546" s="4" t="str">
        <x:v>RS-01305-I1</x:v>
      </x:c>
      <x:c r="B2546" s="4" t="str">
        <x:v>RS-01305</x:v>
      </x:c>
      <x:c r="C2546" s="9" t="n">
        <x:v>1</x:v>
      </x:c>
      <x:c r="D2546" s="8" t="n">
        <x:v>45368</x:v>
      </x:c>
      <x:c r="E2546" s="9" t="n">
        <x:v>3580500</x:v>
      </x:c>
      <x:c r="F2546" s="9" t="n">
        <x:v>3580500</x:v>
      </x:c>
    </x:row>
    <x:row r="2547" ht="34" customHeight="1">
      <x:c r="A2547" s="4" t="str">
        <x:v>RS-01305-I2</x:v>
      </x:c>
      <x:c r="B2547" s="4" t="str">
        <x:v>RS-01305</x:v>
      </x:c>
      <x:c r="C2547" s="9" t="n">
        <x:v>2</x:v>
      </x:c>
      <x:c r="D2547" s="8" t="n">
        <x:v>45398</x:v>
      </x:c>
      <x:c r="E2547" s="9" t="n">
        <x:v>3580500</x:v>
      </x:c>
      <x:c r="F2547" s="9" t="n">
        <x:v>3580500</x:v>
      </x:c>
    </x:row>
    <x:row r="2548" ht="34" customHeight="1">
      <x:c r="A2548" s="4" t="str">
        <x:v>RS-01305-I3</x:v>
      </x:c>
      <x:c r="B2548" s="4" t="str">
        <x:v>RS-01305</x:v>
      </x:c>
      <x:c r="C2548" s="9" t="n">
        <x:v>3</x:v>
      </x:c>
      <x:c r="D2548" s="8" t="n">
        <x:v>45428</x:v>
      </x:c>
      <x:c r="E2548" s="9" t="n">
        <x:v>3580500</x:v>
      </x:c>
      <x:c r="F2548" s="9" t="n">
        <x:v>0</x:v>
      </x:c>
    </x:row>
    <x:row r="2549" ht="34" customHeight="1">
      <x:c r="A2549" s="4" t="str">
        <x:v>RS-01305-I4</x:v>
      </x:c>
      <x:c r="B2549" s="4" t="str">
        <x:v>RS-01305</x:v>
      </x:c>
      <x:c r="C2549" s="9" t="n">
        <x:v>4</x:v>
      </x:c>
      <x:c r="D2549" s="8" t="n">
        <x:v>45458</x:v>
      </x:c>
      <x:c r="E2549" s="9" t="n">
        <x:v>3580500</x:v>
      </x:c>
      <x:c r="F2549" s="9" t="n">
        <x:v>0</x:v>
      </x:c>
    </x:row>
    <x:row r="2550" ht="34" customHeight="1">
      <x:c r="A2550" s="4" t="str">
        <x:v>RS-01306-I1</x:v>
      </x:c>
      <x:c r="B2550" s="4" t="str">
        <x:v>RS-01306</x:v>
      </x:c>
      <x:c r="C2550" s="9" t="n">
        <x:v>1</x:v>
      </x:c>
      <x:c r="D2550" s="8" t="n">
        <x:v>45369</x:v>
      </x:c>
      <x:c r="E2550" s="9" t="n">
        <x:v>1298500</x:v>
      </x:c>
      <x:c r="F2550" s="9" t="n">
        <x:v>1298500</x:v>
      </x:c>
    </x:row>
    <x:row r="2551" ht="34" customHeight="1">
      <x:c r="A2551" s="4" t="str">
        <x:v>RS-01306-I2</x:v>
      </x:c>
      <x:c r="B2551" s="4" t="str">
        <x:v>RS-01306</x:v>
      </x:c>
      <x:c r="C2551" s="9" t="n">
        <x:v>2</x:v>
      </x:c>
      <x:c r="D2551" s="8" t="n">
        <x:v>45399</x:v>
      </x:c>
      <x:c r="E2551" s="9" t="n">
        <x:v>1298500</x:v>
      </x:c>
      <x:c r="F2551" s="9" t="n">
        <x:v>1298500</x:v>
      </x:c>
    </x:row>
    <x:row r="2552" ht="34" customHeight="1">
      <x:c r="A2552" s="4" t="str">
        <x:v>RS-01306-I3</x:v>
      </x:c>
      <x:c r="B2552" s="4" t="str">
        <x:v>RS-01306</x:v>
      </x:c>
      <x:c r="C2552" s="9" t="n">
        <x:v>3</x:v>
      </x:c>
      <x:c r="D2552" s="8" t="n">
        <x:v>45429</x:v>
      </x:c>
      <x:c r="E2552" s="9" t="n">
        <x:v>1298500</x:v>
      </x:c>
      <x:c r="F2552" s="9" t="n">
        <x:v>0</x:v>
      </x:c>
    </x:row>
    <x:row r="2553" ht="34" customHeight="1">
      <x:c r="A2553" s="4" t="str">
        <x:v>RS-01306-I4</x:v>
      </x:c>
      <x:c r="B2553" s="4" t="str">
        <x:v>RS-01306</x:v>
      </x:c>
      <x:c r="C2553" s="9" t="n">
        <x:v>4</x:v>
      </x:c>
      <x:c r="D2553" s="8" t="n">
        <x:v>45459</x:v>
      </x:c>
      <x:c r="E2553" s="9" t="n">
        <x:v>1298500</x:v>
      </x:c>
      <x:c r="F2553" s="9" t="n">
        <x:v>0</x:v>
      </x:c>
    </x:row>
    <x:row r="2554" ht="34" customHeight="1">
      <x:c r="A2554" s="4" t="str">
        <x:v>RS-01311-I1</x:v>
      </x:c>
      <x:c r="B2554" s="4" t="str">
        <x:v>RS-01311</x:v>
      </x:c>
      <x:c r="C2554" s="9" t="n">
        <x:v>1</x:v>
      </x:c>
      <x:c r="D2554" s="8" t="n">
        <x:v>45374</x:v>
      </x:c>
      <x:c r="E2554" s="9" t="n">
        <x:v>4440750</x:v>
      </x:c>
      <x:c r="F2554" s="9" t="n">
        <x:v>4440750</x:v>
      </x:c>
    </x:row>
    <x:row r="2555" ht="34" customHeight="1">
      <x:c r="A2555" s="4" t="str">
        <x:v>RS-01311-I2</x:v>
      </x:c>
      <x:c r="B2555" s="4" t="str">
        <x:v>RS-01311</x:v>
      </x:c>
      <x:c r="C2555" s="9" t="n">
        <x:v>2</x:v>
      </x:c>
      <x:c r="D2555" s="8" t="n">
        <x:v>45404</x:v>
      </x:c>
      <x:c r="E2555" s="9" t="n">
        <x:v>4440750</x:v>
      </x:c>
      <x:c r="F2555" s="9" t="n">
        <x:v>4440750</x:v>
      </x:c>
    </x:row>
    <x:row r="2556" ht="34" customHeight="1">
      <x:c r="A2556" s="4" t="str">
        <x:v>RS-01311-I3</x:v>
      </x:c>
      <x:c r="B2556" s="4" t="str">
        <x:v>RS-01311</x:v>
      </x:c>
      <x:c r="C2556" s="9" t="n">
        <x:v>3</x:v>
      </x:c>
      <x:c r="D2556" s="8" t="n">
        <x:v>45434</x:v>
      </x:c>
      <x:c r="E2556" s="9" t="n">
        <x:v>4440750</x:v>
      </x:c>
      <x:c r="F2556" s="9" t="n">
        <x:v>4440750</x:v>
      </x:c>
    </x:row>
    <x:row r="2557" ht="34" customHeight="1">
      <x:c r="A2557" s="4" t="str">
        <x:v>RS-01311-I4</x:v>
      </x:c>
      <x:c r="B2557" s="4" t="str">
        <x:v>RS-01311</x:v>
      </x:c>
      <x:c r="C2557" s="9" t="n">
        <x:v>4</x:v>
      </x:c>
      <x:c r="D2557" s="8" t="n">
        <x:v>45464</x:v>
      </x:c>
      <x:c r="E2557" s="9" t="n">
        <x:v>4440750</x:v>
      </x:c>
      <x:c r="F2557" s="9" t="n">
        <x:v>4440750</x:v>
      </x:c>
    </x:row>
    <x:row r="2558" ht="34" customHeight="1">
      <x:c r="A2558" s="4" t="str">
        <x:v>RS-01315-I1</x:v>
      </x:c>
      <x:c r="B2558" s="4" t="str">
        <x:v>RS-01315</x:v>
      </x:c>
      <x:c r="C2558" s="9" t="n">
        <x:v>1</x:v>
      </x:c>
      <x:c r="D2558" s="8" t="n">
        <x:v>45378</x:v>
      </x:c>
      <x:c r="E2558" s="9" t="n">
        <x:v>1300000</x:v>
      </x:c>
      <x:c r="F2558" s="9" t="n">
        <x:v>1300000</x:v>
      </x:c>
    </x:row>
    <x:row r="2559" ht="34" customHeight="1">
      <x:c r="A2559" s="4" t="str">
        <x:v>RS-01315-I2</x:v>
      </x:c>
      <x:c r="B2559" s="4" t="str">
        <x:v>RS-01315</x:v>
      </x:c>
      <x:c r="C2559" s="9" t="n">
        <x:v>2</x:v>
      </x:c>
      <x:c r="D2559" s="8" t="n">
        <x:v>45408</x:v>
      </x:c>
      <x:c r="E2559" s="9" t="n">
        <x:v>1300000</x:v>
      </x:c>
      <x:c r="F2559" s="9" t="n">
        <x:v>0</x:v>
      </x:c>
    </x:row>
    <x:row r="2560" ht="34" customHeight="1">
      <x:c r="A2560" s="4" t="str">
        <x:v>RS-01315-I3</x:v>
      </x:c>
      <x:c r="B2560" s="4" t="str">
        <x:v>RS-01315</x:v>
      </x:c>
      <x:c r="C2560" s="9" t="n">
        <x:v>3</x:v>
      </x:c>
      <x:c r="D2560" s="8" t="n">
        <x:v>45438</x:v>
      </x:c>
      <x:c r="E2560" s="9" t="n">
        <x:v>1300000</x:v>
      </x:c>
      <x:c r="F2560" s="9" t="n">
        <x:v>0</x:v>
      </x:c>
    </x:row>
    <x:row r="2561" ht="34" customHeight="1">
      <x:c r="A2561" s="4" t="str">
        <x:v>RS-01315-I4</x:v>
      </x:c>
      <x:c r="B2561" s="4" t="str">
        <x:v>RS-01315</x:v>
      </x:c>
      <x:c r="C2561" s="9" t="n">
        <x:v>4</x:v>
      </x:c>
      <x:c r="D2561" s="8" t="n">
        <x:v>45468</x:v>
      </x:c>
      <x:c r="E2561" s="9" t="n">
        <x:v>1300000</x:v>
      </x:c>
      <x:c r="F2561" s="9" t="n">
        <x:v>0</x:v>
      </x:c>
    </x:row>
    <x:row r="2562" ht="34" customHeight="1">
      <x:c r="A2562" s="4" t="str">
        <x:v>RS-01317-I1</x:v>
      </x:c>
      <x:c r="B2562" s="4" t="str">
        <x:v>RS-01317</x:v>
      </x:c>
      <x:c r="C2562" s="9" t="n">
        <x:v>1</x:v>
      </x:c>
      <x:c r="D2562" s="8" t="n">
        <x:v>45352</x:v>
      </x:c>
      <x:c r="E2562" s="9" t="n">
        <x:v>5640000</x:v>
      </x:c>
      <x:c r="F2562" s="9" t="n">
        <x:v>5640000</x:v>
      </x:c>
    </x:row>
    <x:row r="2563" ht="34" customHeight="1">
      <x:c r="A2563" s="4" t="str">
        <x:v>RS-01317-I2</x:v>
      </x:c>
      <x:c r="B2563" s="4" t="str">
        <x:v>RS-01317</x:v>
      </x:c>
      <x:c r="C2563" s="9" t="n">
        <x:v>2</x:v>
      </x:c>
      <x:c r="D2563" s="8" t="n">
        <x:v>45382</x:v>
      </x:c>
      <x:c r="E2563" s="9" t="n">
        <x:v>5640000</x:v>
      </x:c>
      <x:c r="F2563" s="9" t="n">
        <x:v>5640000</x:v>
      </x:c>
    </x:row>
    <x:row r="2564" ht="34" customHeight="1">
      <x:c r="A2564" s="4" t="str">
        <x:v>RS-01317-I3</x:v>
      </x:c>
      <x:c r="B2564" s="4" t="str">
        <x:v>RS-01317</x:v>
      </x:c>
      <x:c r="C2564" s="9" t="n">
        <x:v>3</x:v>
      </x:c>
      <x:c r="D2564" s="8" t="n">
        <x:v>45412</x:v>
      </x:c>
      <x:c r="E2564" s="9" t="n">
        <x:v>5640000</x:v>
      </x:c>
      <x:c r="F2564" s="9" t="n">
        <x:v>5640000</x:v>
      </x:c>
    </x:row>
    <x:row r="2565" ht="34" customHeight="1">
      <x:c r="A2565" s="4" t="str">
        <x:v>RS-01317-I4</x:v>
      </x:c>
      <x:c r="B2565" s="4" t="str">
        <x:v>RS-01317</x:v>
      </x:c>
      <x:c r="C2565" s="9" t="n">
        <x:v>4</x:v>
      </x:c>
      <x:c r="D2565" s="8" t="n">
        <x:v>45442</x:v>
      </x:c>
      <x:c r="E2565" s="9" t="n">
        <x:v>5640000</x:v>
      </x:c>
      <x:c r="F2565" s="9" t="n">
        <x:v>5640000</x:v>
      </x:c>
    </x:row>
    <x:row r="2566" ht="34" customHeight="1">
      <x:c r="A2566" s="4" t="str">
        <x:v>RS-01318-I1</x:v>
      </x:c>
      <x:c r="B2566" s="4" t="str">
        <x:v>RS-01318</x:v>
      </x:c>
      <x:c r="C2566" s="9" t="n">
        <x:v>1</x:v>
      </x:c>
      <x:c r="D2566" s="8" t="n">
        <x:v>45353</x:v>
      </x:c>
      <x:c r="E2566" s="9" t="n">
        <x:v>2970000</x:v>
      </x:c>
      <x:c r="F2566" s="9" t="n">
        <x:v>2970000</x:v>
      </x:c>
    </x:row>
    <x:row r="2567" ht="34" customHeight="1">
      <x:c r="A2567" s="4" t="str">
        <x:v>RS-01318-I2</x:v>
      </x:c>
      <x:c r="B2567" s="4" t="str">
        <x:v>RS-01318</x:v>
      </x:c>
      <x:c r="C2567" s="9" t="n">
        <x:v>2</x:v>
      </x:c>
      <x:c r="D2567" s="8" t="n">
        <x:v>45383</x:v>
      </x:c>
      <x:c r="E2567" s="9" t="n">
        <x:v>2970000</x:v>
      </x:c>
      <x:c r="F2567" s="9" t="n">
        <x:v>2970000</x:v>
      </x:c>
    </x:row>
    <x:row r="2568" ht="34" customHeight="1">
      <x:c r="A2568" s="4" t="str">
        <x:v>RS-01318-I3</x:v>
      </x:c>
      <x:c r="B2568" s="4" t="str">
        <x:v>RS-01318</x:v>
      </x:c>
      <x:c r="C2568" s="9" t="n">
        <x:v>3</x:v>
      </x:c>
      <x:c r="D2568" s="8" t="n">
        <x:v>45413</x:v>
      </x:c>
      <x:c r="E2568" s="9" t="n">
        <x:v>2970000</x:v>
      </x:c>
      <x:c r="F2568" s="9" t="n">
        <x:v>2970000</x:v>
      </x:c>
    </x:row>
    <x:row r="2569" ht="34" customHeight="1">
      <x:c r="A2569" s="4" t="str">
        <x:v>RS-01318-I4</x:v>
      </x:c>
      <x:c r="B2569" s="4" t="str">
        <x:v>RS-01318</x:v>
      </x:c>
      <x:c r="C2569" s="9" t="n">
        <x:v>4</x:v>
      </x:c>
      <x:c r="D2569" s="8" t="n">
        <x:v>45443</x:v>
      </x:c>
      <x:c r="E2569" s="9" t="n">
        <x:v>2970000</x:v>
      </x:c>
      <x:c r="F2569" s="9" t="n">
        <x:v>2970000</x:v>
      </x:c>
    </x:row>
    <x:row r="2570" ht="34" customHeight="1">
      <x:c r="A2570" s="4" t="str">
        <x:v>RS-01321-I1</x:v>
      </x:c>
      <x:c r="B2570" s="4" t="str">
        <x:v>RS-01321</x:v>
      </x:c>
      <x:c r="C2570" s="9" t="n">
        <x:v>1</x:v>
      </x:c>
      <x:c r="D2570" s="8" t="n">
        <x:v>45356</x:v>
      </x:c>
      <x:c r="E2570" s="9" t="n">
        <x:v>1488000</x:v>
      </x:c>
      <x:c r="F2570" s="9" t="n">
        <x:v>595200</x:v>
      </x:c>
    </x:row>
    <x:row r="2571" ht="34" customHeight="1">
      <x:c r="A2571" s="4" t="str">
        <x:v>RS-01321-I2</x:v>
      </x:c>
      <x:c r="B2571" s="4" t="str">
        <x:v>RS-01321</x:v>
      </x:c>
      <x:c r="C2571" s="9" t="n">
        <x:v>2</x:v>
      </x:c>
      <x:c r="D2571" s="8" t="n">
        <x:v>45386</x:v>
      </x:c>
      <x:c r="E2571" s="9" t="n">
        <x:v>1488000</x:v>
      </x:c>
      <x:c r="F2571" s="9" t="n">
        <x:v>0</x:v>
      </x:c>
    </x:row>
    <x:row r="2572" ht="34" customHeight="1">
      <x:c r="A2572" s="4" t="str">
        <x:v>RS-01321-I3</x:v>
      </x:c>
      <x:c r="B2572" s="4" t="str">
        <x:v>RS-01321</x:v>
      </x:c>
      <x:c r="C2572" s="9" t="n">
        <x:v>3</x:v>
      </x:c>
      <x:c r="D2572" s="8" t="n">
        <x:v>45416</x:v>
      </x:c>
      <x:c r="E2572" s="9" t="n">
        <x:v>1488000</x:v>
      </x:c>
      <x:c r="F2572" s="9" t="n">
        <x:v>0</x:v>
      </x:c>
    </x:row>
    <x:row r="2573" ht="34" customHeight="1">
      <x:c r="A2573" s="4" t="str">
        <x:v>RS-01321-I4</x:v>
      </x:c>
      <x:c r="B2573" s="4" t="str">
        <x:v>RS-01321</x:v>
      </x:c>
      <x:c r="C2573" s="9" t="n">
        <x:v>4</x:v>
      </x:c>
      <x:c r="D2573" s="8" t="n">
        <x:v>45446</x:v>
      </x:c>
      <x:c r="E2573" s="9" t="n">
        <x:v>1488000</x:v>
      </x:c>
      <x:c r="F2573" s="9" t="n">
        <x:v>0</x:v>
      </x:c>
    </x:row>
    <x:row r="2574" ht="34" customHeight="1">
      <x:c r="A2574" s="4" t="str">
        <x:v>RS-01322-I1</x:v>
      </x:c>
      <x:c r="B2574" s="4" t="str">
        <x:v>RS-01322</x:v>
      </x:c>
      <x:c r="C2574" s="9" t="n">
        <x:v>1</x:v>
      </x:c>
      <x:c r="D2574" s="8" t="n">
        <x:v>45357</x:v>
      </x:c>
      <x:c r="E2574" s="9" t="n">
        <x:v>4753000</x:v>
      </x:c>
      <x:c r="F2574" s="9" t="n">
        <x:v>4753000</x:v>
      </x:c>
    </x:row>
    <x:row r="2575" ht="34" customHeight="1">
      <x:c r="A2575" s="4" t="str">
        <x:v>RS-01322-I2</x:v>
      </x:c>
      <x:c r="B2575" s="4" t="str">
        <x:v>RS-01322</x:v>
      </x:c>
      <x:c r="C2575" s="9" t="n">
        <x:v>2</x:v>
      </x:c>
      <x:c r="D2575" s="8" t="n">
        <x:v>45387</x:v>
      </x:c>
      <x:c r="E2575" s="9" t="n">
        <x:v>4753000</x:v>
      </x:c>
      <x:c r="F2575" s="9" t="n">
        <x:v>4753000</x:v>
      </x:c>
    </x:row>
    <x:row r="2576" ht="34" customHeight="1">
      <x:c r="A2576" s="4" t="str">
        <x:v>RS-01322-I3</x:v>
      </x:c>
      <x:c r="B2576" s="4" t="str">
        <x:v>RS-01322</x:v>
      </x:c>
      <x:c r="C2576" s="9" t="n">
        <x:v>3</x:v>
      </x:c>
      <x:c r="D2576" s="8" t="n">
        <x:v>45417</x:v>
      </x:c>
      <x:c r="E2576" s="9" t="n">
        <x:v>4753000</x:v>
      </x:c>
      <x:c r="F2576" s="9" t="n">
        <x:v>4753000</x:v>
      </x:c>
    </x:row>
    <x:row r="2577" ht="34" customHeight="1">
      <x:c r="A2577" s="4" t="str">
        <x:v>RS-01322-I4</x:v>
      </x:c>
      <x:c r="B2577" s="4" t="str">
        <x:v>RS-01322</x:v>
      </x:c>
      <x:c r="C2577" s="9" t="n">
        <x:v>4</x:v>
      </x:c>
      <x:c r="D2577" s="8" t="n">
        <x:v>45447</x:v>
      </x:c>
      <x:c r="E2577" s="9" t="n">
        <x:v>4753000</x:v>
      </x:c>
      <x:c r="F2577" s="9" t="n">
        <x:v>4753000</x:v>
      </x:c>
    </x:row>
    <x:row r="2578" ht="34" customHeight="1">
      <x:c r="A2578" s="4" t="str">
        <x:v>RS-01323-I1</x:v>
      </x:c>
      <x:c r="B2578" s="4" t="str">
        <x:v>RS-01323</x:v>
      </x:c>
      <x:c r="C2578" s="9" t="n">
        <x:v>1</x:v>
      </x:c>
      <x:c r="D2578" s="8" t="n">
        <x:v>45358</x:v>
      </x:c>
      <x:c r="E2578" s="9" t="n">
        <x:v>3116750</x:v>
      </x:c>
      <x:c r="F2578" s="9" t="n">
        <x:v>3116750</x:v>
      </x:c>
    </x:row>
    <x:row r="2579" ht="34" customHeight="1">
      <x:c r="A2579" s="4" t="str">
        <x:v>RS-01323-I2</x:v>
      </x:c>
      <x:c r="B2579" s="4" t="str">
        <x:v>RS-01323</x:v>
      </x:c>
      <x:c r="C2579" s="9" t="n">
        <x:v>2</x:v>
      </x:c>
      <x:c r="D2579" s="8" t="n">
        <x:v>45388</x:v>
      </x:c>
      <x:c r="E2579" s="9" t="n">
        <x:v>3116750</x:v>
      </x:c>
      <x:c r="F2579" s="9" t="n">
        <x:v>3116750</x:v>
      </x:c>
    </x:row>
    <x:row r="2580" ht="34" customHeight="1">
      <x:c r="A2580" s="4" t="str">
        <x:v>RS-01323-I3</x:v>
      </x:c>
      <x:c r="B2580" s="4" t="str">
        <x:v>RS-01323</x:v>
      </x:c>
      <x:c r="C2580" s="9" t="n">
        <x:v>3</x:v>
      </x:c>
      <x:c r="D2580" s="8" t="n">
        <x:v>45418</x:v>
      </x:c>
      <x:c r="E2580" s="9" t="n">
        <x:v>3116750</x:v>
      </x:c>
      <x:c r="F2580" s="9" t="n">
        <x:v>0</x:v>
      </x:c>
    </x:row>
    <x:row r="2581" ht="34" customHeight="1">
      <x:c r="A2581" s="4" t="str">
        <x:v>RS-01323-I4</x:v>
      </x:c>
      <x:c r="B2581" s="4" t="str">
        <x:v>RS-01323</x:v>
      </x:c>
      <x:c r="C2581" s="9" t="n">
        <x:v>4</x:v>
      </x:c>
      <x:c r="D2581" s="8" t="n">
        <x:v>45448</x:v>
      </x:c>
      <x:c r="E2581" s="9" t="n">
        <x:v>3116750</x:v>
      </x:c>
      <x:c r="F2581" s="9" t="n">
        <x:v>0</x:v>
      </x:c>
    </x:row>
    <x:row r="2582" ht="34" customHeight="1">
      <x:c r="A2582" s="4" t="str">
        <x:v>RS-01324-I1</x:v>
      </x:c>
      <x:c r="B2582" s="4" t="str">
        <x:v>RS-01324</x:v>
      </x:c>
      <x:c r="C2582" s="9" t="n">
        <x:v>1</x:v>
      </x:c>
      <x:c r="D2582" s="8" t="n">
        <x:v>45359</x:v>
      </x:c>
      <x:c r="E2582" s="9" t="n">
        <x:v>3696000</x:v>
      </x:c>
      <x:c r="F2582" s="9" t="n">
        <x:v>3696000</x:v>
      </x:c>
    </x:row>
    <x:row r="2583" ht="34" customHeight="1">
      <x:c r="A2583" s="4" t="str">
        <x:v>RS-01324-I2</x:v>
      </x:c>
      <x:c r="B2583" s="4" t="str">
        <x:v>RS-01324</x:v>
      </x:c>
      <x:c r="C2583" s="9" t="n">
        <x:v>2</x:v>
      </x:c>
      <x:c r="D2583" s="8" t="n">
        <x:v>45389</x:v>
      </x:c>
      <x:c r="E2583" s="9" t="n">
        <x:v>3696000</x:v>
      </x:c>
      <x:c r="F2583" s="9" t="n">
        <x:v>3696000</x:v>
      </x:c>
    </x:row>
    <x:row r="2584" ht="34" customHeight="1">
      <x:c r="A2584" s="4" t="str">
        <x:v>RS-01324-I3</x:v>
      </x:c>
      <x:c r="B2584" s="4" t="str">
        <x:v>RS-01324</x:v>
      </x:c>
      <x:c r="C2584" s="9" t="n">
        <x:v>3</x:v>
      </x:c>
      <x:c r="D2584" s="8" t="n">
        <x:v>45419</x:v>
      </x:c>
      <x:c r="E2584" s="9" t="n">
        <x:v>3696000</x:v>
      </x:c>
      <x:c r="F2584" s="9" t="n">
        <x:v>0</x:v>
      </x:c>
    </x:row>
    <x:row r="2585" ht="34" customHeight="1">
      <x:c r="A2585" s="4" t="str">
        <x:v>RS-01324-I4</x:v>
      </x:c>
      <x:c r="B2585" s="4" t="str">
        <x:v>RS-01324</x:v>
      </x:c>
      <x:c r="C2585" s="9" t="n">
        <x:v>4</x:v>
      </x:c>
      <x:c r="D2585" s="8" t="n">
        <x:v>45449</x:v>
      </x:c>
      <x:c r="E2585" s="9" t="n">
        <x:v>3696000</x:v>
      </x:c>
      <x:c r="F2585" s="9" t="n">
        <x:v>0</x:v>
      </x:c>
    </x:row>
    <x:row r="2586" ht="34" customHeight="1">
      <x:c r="A2586" s="4" t="str">
        <x:v>RS-01329-I1</x:v>
      </x:c>
      <x:c r="B2586" s="4" t="str">
        <x:v>RS-01329</x:v>
      </x:c>
      <x:c r="C2586" s="9" t="n">
        <x:v>1</x:v>
      </x:c>
      <x:c r="D2586" s="8" t="n">
        <x:v>45364</x:v>
      </x:c>
      <x:c r="E2586" s="9" t="n">
        <x:v>2989000</x:v>
      </x:c>
      <x:c r="F2586" s="9" t="n">
        <x:v>2989000</x:v>
      </x:c>
    </x:row>
    <x:row r="2587" ht="34" customHeight="1">
      <x:c r="A2587" s="4" t="str">
        <x:v>RS-01329-I2</x:v>
      </x:c>
      <x:c r="B2587" s="4" t="str">
        <x:v>RS-01329</x:v>
      </x:c>
      <x:c r="C2587" s="9" t="n">
        <x:v>2</x:v>
      </x:c>
      <x:c r="D2587" s="8" t="n">
        <x:v>45394</x:v>
      </x:c>
      <x:c r="E2587" s="9" t="n">
        <x:v>2989000</x:v>
      </x:c>
      <x:c r="F2587" s="9" t="n">
        <x:v>0</x:v>
      </x:c>
    </x:row>
    <x:row r="2588" ht="34" customHeight="1">
      <x:c r="A2588" s="4" t="str">
        <x:v>RS-01329-I3</x:v>
      </x:c>
      <x:c r="B2588" s="4" t="str">
        <x:v>RS-01329</x:v>
      </x:c>
      <x:c r="C2588" s="9" t="n">
        <x:v>3</x:v>
      </x:c>
      <x:c r="D2588" s="8" t="n">
        <x:v>45424</x:v>
      </x:c>
      <x:c r="E2588" s="9" t="n">
        <x:v>2989000</x:v>
      </x:c>
      <x:c r="F2588" s="9" t="n">
        <x:v>0</x:v>
      </x:c>
    </x:row>
    <x:row r="2589" ht="34" customHeight="1">
      <x:c r="A2589" s="4" t="str">
        <x:v>RS-01329-I4</x:v>
      </x:c>
      <x:c r="B2589" s="4" t="str">
        <x:v>RS-01329</x:v>
      </x:c>
      <x:c r="C2589" s="9" t="n">
        <x:v>4</x:v>
      </x:c>
      <x:c r="D2589" s="8" t="n">
        <x:v>45454</x:v>
      </x:c>
      <x:c r="E2589" s="9" t="n">
        <x:v>2989000</x:v>
      </x:c>
      <x:c r="F2589" s="9" t="n">
        <x:v>0</x:v>
      </x:c>
    </x:row>
    <x:row r="2590" ht="34" customHeight="1">
      <x:c r="A2590" s="4" t="str">
        <x:v>RS-01330-I1</x:v>
      </x:c>
      <x:c r="B2590" s="4" t="str">
        <x:v>RS-01330</x:v>
      </x:c>
      <x:c r="C2590" s="9" t="n">
        <x:v>1</x:v>
      </x:c>
      <x:c r="D2590" s="8" t="n">
        <x:v>45365</x:v>
      </x:c>
      <x:c r="E2590" s="9" t="n">
        <x:v>2593500</x:v>
      </x:c>
      <x:c r="F2590" s="9" t="n">
        <x:v>2593500</x:v>
      </x:c>
    </x:row>
    <x:row r="2591" ht="34" customHeight="1">
      <x:c r="A2591" s="4" t="str">
        <x:v>RS-01330-I2</x:v>
      </x:c>
      <x:c r="B2591" s="4" t="str">
        <x:v>RS-01330</x:v>
      </x:c>
      <x:c r="C2591" s="9" t="n">
        <x:v>2</x:v>
      </x:c>
      <x:c r="D2591" s="8" t="n">
        <x:v>45395</x:v>
      </x:c>
      <x:c r="E2591" s="9" t="n">
        <x:v>2593500</x:v>
      </x:c>
      <x:c r="F2591" s="9" t="n">
        <x:v>0</x:v>
      </x:c>
    </x:row>
    <x:row r="2592" ht="34" customHeight="1">
      <x:c r="A2592" s="4" t="str">
        <x:v>RS-01330-I3</x:v>
      </x:c>
      <x:c r="B2592" s="4" t="str">
        <x:v>RS-01330</x:v>
      </x:c>
      <x:c r="C2592" s="9" t="n">
        <x:v>3</x:v>
      </x:c>
      <x:c r="D2592" s="8" t="n">
        <x:v>45425</x:v>
      </x:c>
      <x:c r="E2592" s="9" t="n">
        <x:v>2593500</x:v>
      </x:c>
      <x:c r="F2592" s="9" t="n">
        <x:v>0</x:v>
      </x:c>
    </x:row>
    <x:row r="2593" ht="34" customHeight="1">
      <x:c r="A2593" s="4" t="str">
        <x:v>RS-01330-I4</x:v>
      </x:c>
      <x:c r="B2593" s="4" t="str">
        <x:v>RS-01330</x:v>
      </x:c>
      <x:c r="C2593" s="9" t="n">
        <x:v>4</x:v>
      </x:c>
      <x:c r="D2593" s="8" t="n">
        <x:v>45455</x:v>
      </x:c>
      <x:c r="E2593" s="9" t="n">
        <x:v>2593500</x:v>
      </x:c>
      <x:c r="F2593" s="9" t="n">
        <x:v>0</x:v>
      </x:c>
    </x:row>
    <x:row r="2594" ht="34" customHeight="1">
      <x:c r="A2594" s="4" t="str">
        <x:v>RS-01334-I1</x:v>
      </x:c>
      <x:c r="B2594" s="4" t="str">
        <x:v>RS-01334</x:v>
      </x:c>
      <x:c r="C2594" s="9" t="n">
        <x:v>1</x:v>
      </x:c>
      <x:c r="D2594" s="8" t="n">
        <x:v>45369</x:v>
      </x:c>
      <x:c r="E2594" s="9" t="n">
        <x:v>5628750</x:v>
      </x:c>
      <x:c r="F2594" s="9" t="n">
        <x:v>5628750</x:v>
      </x:c>
    </x:row>
    <x:row r="2595" ht="34" customHeight="1">
      <x:c r="A2595" s="4" t="str">
        <x:v>RS-01334-I2</x:v>
      </x:c>
      <x:c r="B2595" s="4" t="str">
        <x:v>RS-01334</x:v>
      </x:c>
      <x:c r="C2595" s="9" t="n">
        <x:v>2</x:v>
      </x:c>
      <x:c r="D2595" s="8" t="n">
        <x:v>45399</x:v>
      </x:c>
      <x:c r="E2595" s="9" t="n">
        <x:v>5628750</x:v>
      </x:c>
      <x:c r="F2595" s="9" t="n">
        <x:v>0</x:v>
      </x:c>
    </x:row>
    <x:row r="2596" ht="34" customHeight="1">
      <x:c r="A2596" s="4" t="str">
        <x:v>RS-01334-I3</x:v>
      </x:c>
      <x:c r="B2596" s="4" t="str">
        <x:v>RS-01334</x:v>
      </x:c>
      <x:c r="C2596" s="9" t="n">
        <x:v>3</x:v>
      </x:c>
      <x:c r="D2596" s="8" t="n">
        <x:v>45429</x:v>
      </x:c>
      <x:c r="E2596" s="9" t="n">
        <x:v>5628750</x:v>
      </x:c>
      <x:c r="F2596" s="9" t="n">
        <x:v>0</x:v>
      </x:c>
    </x:row>
    <x:row r="2597" ht="34" customHeight="1">
      <x:c r="A2597" s="4" t="str">
        <x:v>RS-01334-I4</x:v>
      </x:c>
      <x:c r="B2597" s="4" t="str">
        <x:v>RS-01334</x:v>
      </x:c>
      <x:c r="C2597" s="9" t="n">
        <x:v>4</x:v>
      </x:c>
      <x:c r="D2597" s="8" t="n">
        <x:v>45459</x:v>
      </x:c>
      <x:c r="E2597" s="9" t="n">
        <x:v>5628750</x:v>
      </x:c>
      <x:c r="F2597" s="9" t="n">
        <x:v>0</x:v>
      </x:c>
    </x:row>
    <x:row r="2598" ht="34" customHeight="1">
      <x:c r="A2598" s="4" t="str">
        <x:v>RS-01335-I1</x:v>
      </x:c>
      <x:c r="B2598" s="4" t="str">
        <x:v>RS-01335</x:v>
      </x:c>
      <x:c r="C2598" s="9" t="n">
        <x:v>1</x:v>
      </x:c>
      <x:c r="D2598" s="8" t="n">
        <x:v>45370</x:v>
      </x:c>
      <x:c r="E2598" s="9" t="n">
        <x:v>2024750</x:v>
      </x:c>
      <x:c r="F2598" s="9" t="n">
        <x:v>2024750</x:v>
      </x:c>
    </x:row>
    <x:row r="2599" ht="34" customHeight="1">
      <x:c r="A2599" s="4" t="str">
        <x:v>RS-01335-I2</x:v>
      </x:c>
      <x:c r="B2599" s="4" t="str">
        <x:v>RS-01335</x:v>
      </x:c>
      <x:c r="C2599" s="9" t="n">
        <x:v>2</x:v>
      </x:c>
      <x:c r="D2599" s="8" t="n">
        <x:v>45400</x:v>
      </x:c>
      <x:c r="E2599" s="9" t="n">
        <x:v>2024750</x:v>
      </x:c>
      <x:c r="F2599" s="9" t="n">
        <x:v>2024750</x:v>
      </x:c>
    </x:row>
    <x:row r="2600" ht="34" customHeight="1">
      <x:c r="A2600" s="4" t="str">
        <x:v>RS-01335-I3</x:v>
      </x:c>
      <x:c r="B2600" s="4" t="str">
        <x:v>RS-01335</x:v>
      </x:c>
      <x:c r="C2600" s="9" t="n">
        <x:v>3</x:v>
      </x:c>
      <x:c r="D2600" s="8" t="n">
        <x:v>45430</x:v>
      </x:c>
      <x:c r="E2600" s="9" t="n">
        <x:v>2024750</x:v>
      </x:c>
      <x:c r="F2600" s="9" t="n">
        <x:v>2024750</x:v>
      </x:c>
    </x:row>
    <x:row r="2601" ht="34" customHeight="1">
      <x:c r="A2601" s="4" t="str">
        <x:v>RS-01335-I4</x:v>
      </x:c>
      <x:c r="B2601" s="4" t="str">
        <x:v>RS-01335</x:v>
      </x:c>
      <x:c r="C2601" s="9" t="n">
        <x:v>4</x:v>
      </x:c>
      <x:c r="D2601" s="8" t="n">
        <x:v>45460</x:v>
      </x:c>
      <x:c r="E2601" s="9" t="n">
        <x:v>2024750</x:v>
      </x:c>
      <x:c r="F2601" s="9" t="n">
        <x:v>2024750</x:v>
      </x:c>
    </x:row>
    <x:row r="2602" ht="34" customHeight="1">
      <x:c r="A2602" s="4" t="str">
        <x:v>RS-01338-I1</x:v>
      </x:c>
      <x:c r="B2602" s="4" t="str">
        <x:v>RS-01338</x:v>
      </x:c>
      <x:c r="C2602" s="9" t="n">
        <x:v>1</x:v>
      </x:c>
      <x:c r="D2602" s="8" t="n">
        <x:v>45373</x:v>
      </x:c>
      <x:c r="E2602" s="9" t="n">
        <x:v>1222000</x:v>
      </x:c>
      <x:c r="F2602" s="9" t="n">
        <x:v>1222000</x:v>
      </x:c>
    </x:row>
    <x:row r="2603" ht="34" customHeight="1">
      <x:c r="A2603" s="4" t="str">
        <x:v>RS-01338-I2</x:v>
      </x:c>
      <x:c r="B2603" s="4" t="str">
        <x:v>RS-01338</x:v>
      </x:c>
      <x:c r="C2603" s="9" t="n">
        <x:v>2</x:v>
      </x:c>
      <x:c r="D2603" s="8" t="n">
        <x:v>45403</x:v>
      </x:c>
      <x:c r="E2603" s="9" t="n">
        <x:v>1222000</x:v>
      </x:c>
      <x:c r="F2603" s="9" t="n">
        <x:v>1222000</x:v>
      </x:c>
    </x:row>
    <x:row r="2604" ht="34" customHeight="1">
      <x:c r="A2604" s="4" t="str">
        <x:v>RS-01338-I3</x:v>
      </x:c>
      <x:c r="B2604" s="4" t="str">
        <x:v>RS-01338</x:v>
      </x:c>
      <x:c r="C2604" s="9" t="n">
        <x:v>3</x:v>
      </x:c>
      <x:c r="D2604" s="8" t="n">
        <x:v>45433</x:v>
      </x:c>
      <x:c r="E2604" s="9" t="n">
        <x:v>1222000</x:v>
      </x:c>
      <x:c r="F2604" s="9" t="n">
        <x:v>1222000</x:v>
      </x:c>
    </x:row>
    <x:row r="2605" ht="34" customHeight="1">
      <x:c r="A2605" s="4" t="str">
        <x:v>RS-01338-I4</x:v>
      </x:c>
      <x:c r="B2605" s="4" t="str">
        <x:v>RS-01338</x:v>
      </x:c>
      <x:c r="C2605" s="9" t="n">
        <x:v>4</x:v>
      </x:c>
      <x:c r="D2605" s="8" t="n">
        <x:v>45463</x:v>
      </x:c>
      <x:c r="E2605" s="9" t="n">
        <x:v>1222000</x:v>
      </x:c>
      <x:c r="F2605" s="9" t="n">
        <x:v>1222000</x:v>
      </x:c>
    </x:row>
    <x:row r="2606" ht="34" customHeight="1">
      <x:c r="A2606" s="4" t="str">
        <x:v>RS-01339-I1</x:v>
      </x:c>
      <x:c r="B2606" s="4" t="str">
        <x:v>RS-01339</x:v>
      </x:c>
      <x:c r="C2606" s="9" t="n">
        <x:v>1</x:v>
      </x:c>
      <x:c r="D2606" s="8" t="n">
        <x:v>45374</x:v>
      </x:c>
      <x:c r="E2606" s="9" t="n">
        <x:v>5556750</x:v>
      </x:c>
      <x:c r="F2606" s="9" t="n">
        <x:v>5556750</x:v>
      </x:c>
    </x:row>
    <x:row r="2607" ht="34" customHeight="1">
      <x:c r="A2607" s="4" t="str">
        <x:v>RS-01339-I2</x:v>
      </x:c>
      <x:c r="B2607" s="4" t="str">
        <x:v>RS-01339</x:v>
      </x:c>
      <x:c r="C2607" s="9" t="n">
        <x:v>2</x:v>
      </x:c>
      <x:c r="D2607" s="8" t="n">
        <x:v>45404</x:v>
      </x:c>
      <x:c r="E2607" s="9" t="n">
        <x:v>5556750</x:v>
      </x:c>
      <x:c r="F2607" s="9" t="n">
        <x:v>5556750</x:v>
      </x:c>
    </x:row>
    <x:row r="2608" ht="34" customHeight="1">
      <x:c r="A2608" s="4" t="str">
        <x:v>RS-01339-I3</x:v>
      </x:c>
      <x:c r="B2608" s="4" t="str">
        <x:v>RS-01339</x:v>
      </x:c>
      <x:c r="C2608" s="9" t="n">
        <x:v>3</x:v>
      </x:c>
      <x:c r="D2608" s="8" t="n">
        <x:v>45434</x:v>
      </x:c>
      <x:c r="E2608" s="9" t="n">
        <x:v>5556750</x:v>
      </x:c>
      <x:c r="F2608" s="9" t="n">
        <x:v>0</x:v>
      </x:c>
    </x:row>
    <x:row r="2609" ht="34" customHeight="1">
      <x:c r="A2609" s="4" t="str">
        <x:v>RS-01339-I4</x:v>
      </x:c>
      <x:c r="B2609" s="4" t="str">
        <x:v>RS-01339</x:v>
      </x:c>
      <x:c r="C2609" s="9" t="n">
        <x:v>4</x:v>
      </x:c>
      <x:c r="D2609" s="8" t="n">
        <x:v>45464</x:v>
      </x:c>
      <x:c r="E2609" s="9" t="n">
        <x:v>5556750</x:v>
      </x:c>
      <x:c r="F2609" s="9" t="n">
        <x:v>0</x:v>
      </x:c>
    </x:row>
    <x:row r="2610" ht="34" customHeight="1">
      <x:c r="A2610" s="4" t="str">
        <x:v>RS-01340-I1</x:v>
      </x:c>
      <x:c r="B2610" s="4" t="str">
        <x:v>RS-01340</x:v>
      </x:c>
      <x:c r="C2610" s="9" t="n">
        <x:v>1</x:v>
      </x:c>
      <x:c r="D2610" s="8" t="n">
        <x:v>45375</x:v>
      </x:c>
      <x:c r="E2610" s="9" t="n">
        <x:v>1382250</x:v>
      </x:c>
      <x:c r="F2610" s="9" t="n">
        <x:v>1382250</x:v>
      </x:c>
    </x:row>
    <x:row r="2611" ht="34" customHeight="1">
      <x:c r="A2611" s="4" t="str">
        <x:v>RS-01340-I2</x:v>
      </x:c>
      <x:c r="B2611" s="4" t="str">
        <x:v>RS-01340</x:v>
      </x:c>
      <x:c r="C2611" s="9" t="n">
        <x:v>2</x:v>
      </x:c>
      <x:c r="D2611" s="8" t="n">
        <x:v>45405</x:v>
      </x:c>
      <x:c r="E2611" s="9" t="n">
        <x:v>1382250</x:v>
      </x:c>
      <x:c r="F2611" s="9" t="n">
        <x:v>0</x:v>
      </x:c>
    </x:row>
    <x:row r="2612" ht="34" customHeight="1">
      <x:c r="A2612" s="4" t="str">
        <x:v>RS-01340-I3</x:v>
      </x:c>
      <x:c r="B2612" s="4" t="str">
        <x:v>RS-01340</x:v>
      </x:c>
      <x:c r="C2612" s="9" t="n">
        <x:v>3</x:v>
      </x:c>
      <x:c r="D2612" s="8" t="n">
        <x:v>45435</x:v>
      </x:c>
      <x:c r="E2612" s="9" t="n">
        <x:v>1382250</x:v>
      </x:c>
      <x:c r="F2612" s="9" t="n">
        <x:v>0</x:v>
      </x:c>
    </x:row>
    <x:row r="2613" ht="34" customHeight="1">
      <x:c r="A2613" s="4" t="str">
        <x:v>RS-01340-I4</x:v>
      </x:c>
      <x:c r="B2613" s="4" t="str">
        <x:v>RS-01340</x:v>
      </x:c>
      <x:c r="C2613" s="9" t="n">
        <x:v>4</x:v>
      </x:c>
      <x:c r="D2613" s="8" t="n">
        <x:v>45465</x:v>
      </x:c>
      <x:c r="E2613" s="9" t="n">
        <x:v>1382250</x:v>
      </x:c>
      <x:c r="F2613" s="9" t="n">
        <x:v>0</x:v>
      </x:c>
    </x:row>
    <x:row r="2614" ht="34" customHeight="1">
      <x:c r="A2614" s="4" t="str">
        <x:v>RS-01341-I1</x:v>
      </x:c>
      <x:c r="B2614" s="4" t="str">
        <x:v>RS-01341</x:v>
      </x:c>
      <x:c r="C2614" s="9" t="n">
        <x:v>1</x:v>
      </x:c>
      <x:c r="D2614" s="8" t="n">
        <x:v>45376</x:v>
      </x:c>
      <x:c r="E2614" s="9" t="n">
        <x:v>2514250</x:v>
      </x:c>
      <x:c r="F2614" s="9" t="n">
        <x:v>1005700</x:v>
      </x:c>
    </x:row>
    <x:row r="2615" ht="34" customHeight="1">
      <x:c r="A2615" s="4" t="str">
        <x:v>RS-01341-I2</x:v>
      </x:c>
      <x:c r="B2615" s="4" t="str">
        <x:v>RS-01341</x:v>
      </x:c>
      <x:c r="C2615" s="9" t="n">
        <x:v>2</x:v>
      </x:c>
      <x:c r="D2615" s="8" t="n">
        <x:v>45406</x:v>
      </x:c>
      <x:c r="E2615" s="9" t="n">
        <x:v>2514250</x:v>
      </x:c>
      <x:c r="F2615" s="9" t="n">
        <x:v>0</x:v>
      </x:c>
    </x:row>
    <x:row r="2616" ht="34" customHeight="1">
      <x:c r="A2616" s="4" t="str">
        <x:v>RS-01341-I3</x:v>
      </x:c>
      <x:c r="B2616" s="4" t="str">
        <x:v>RS-01341</x:v>
      </x:c>
      <x:c r="C2616" s="9" t="n">
        <x:v>3</x:v>
      </x:c>
      <x:c r="D2616" s="8" t="n">
        <x:v>45436</x:v>
      </x:c>
      <x:c r="E2616" s="9" t="n">
        <x:v>2514250</x:v>
      </x:c>
      <x:c r="F2616" s="9" t="n">
        <x:v>0</x:v>
      </x:c>
    </x:row>
    <x:row r="2617" ht="34" customHeight="1">
      <x:c r="A2617" s="4" t="str">
        <x:v>RS-01341-I4</x:v>
      </x:c>
      <x:c r="B2617" s="4" t="str">
        <x:v>RS-01341</x:v>
      </x:c>
      <x:c r="C2617" s="9" t="n">
        <x:v>4</x:v>
      </x:c>
      <x:c r="D2617" s="8" t="n">
        <x:v>45466</x:v>
      </x:c>
      <x:c r="E2617" s="9" t="n">
        <x:v>2514250</x:v>
      </x:c>
      <x:c r="F2617" s="9" t="n">
        <x:v>0</x:v>
      </x:c>
    </x:row>
    <x:row r="2618" ht="34" customHeight="1">
      <x:c r="A2618" s="4" t="str">
        <x:v>RS-01342-I1</x:v>
      </x:c>
      <x:c r="B2618" s="4" t="str">
        <x:v>RS-01342</x:v>
      </x:c>
      <x:c r="C2618" s="9" t="n">
        <x:v>1</x:v>
      </x:c>
      <x:c r="D2618" s="8" t="n">
        <x:v>45377</x:v>
      </x:c>
      <x:c r="E2618" s="9" t="n">
        <x:v>5812500</x:v>
      </x:c>
      <x:c r="F2618" s="9" t="n">
        <x:v>2325000</x:v>
      </x:c>
    </x:row>
    <x:row r="2619" ht="34" customHeight="1">
      <x:c r="A2619" s="4" t="str">
        <x:v>RS-01342-I2</x:v>
      </x:c>
      <x:c r="B2619" s="4" t="str">
        <x:v>RS-01342</x:v>
      </x:c>
      <x:c r="C2619" s="9" t="n">
        <x:v>2</x:v>
      </x:c>
      <x:c r="D2619" s="8" t="n">
        <x:v>45407</x:v>
      </x:c>
      <x:c r="E2619" s="9" t="n">
        <x:v>5812500</x:v>
      </x:c>
      <x:c r="F2619" s="9" t="n">
        <x:v>0</x:v>
      </x:c>
    </x:row>
    <x:row r="2620" ht="34" customHeight="1">
      <x:c r="A2620" s="4" t="str">
        <x:v>RS-01342-I3</x:v>
      </x:c>
      <x:c r="B2620" s="4" t="str">
        <x:v>RS-01342</x:v>
      </x:c>
      <x:c r="C2620" s="9" t="n">
        <x:v>3</x:v>
      </x:c>
      <x:c r="D2620" s="8" t="n">
        <x:v>45437</x:v>
      </x:c>
      <x:c r="E2620" s="9" t="n">
        <x:v>5812500</x:v>
      </x:c>
      <x:c r="F2620" s="9" t="n">
        <x:v>0</x:v>
      </x:c>
    </x:row>
    <x:row r="2621" ht="34" customHeight="1">
      <x:c r="A2621" s="4" t="str">
        <x:v>RS-01342-I4</x:v>
      </x:c>
      <x:c r="B2621" s="4" t="str">
        <x:v>RS-01342</x:v>
      </x:c>
      <x:c r="C2621" s="9" t="n">
        <x:v>4</x:v>
      </x:c>
      <x:c r="D2621" s="8" t="n">
        <x:v>45467</x:v>
      </x:c>
      <x:c r="E2621" s="9" t="n">
        <x:v>5812500</x:v>
      </x:c>
      <x:c r="F2621" s="9" t="n">
        <x:v>0</x:v>
      </x:c>
    </x:row>
    <x:row r="2622" ht="34" customHeight="1">
      <x:c r="A2622" s="4" t="str">
        <x:v>RS-01343-I1</x:v>
      </x:c>
      <x:c r="B2622" s="4" t="str">
        <x:v>RS-01343</x:v>
      </x:c>
      <x:c r="C2622" s="9" t="n">
        <x:v>1</x:v>
      </x:c>
      <x:c r="D2622" s="8" t="n">
        <x:v>45378</x:v>
      </x:c>
      <x:c r="E2622" s="9" t="n">
        <x:v>3918750</x:v>
      </x:c>
      <x:c r="F2622" s="9" t="n">
        <x:v>3918750</x:v>
      </x:c>
    </x:row>
    <x:row r="2623" ht="34" customHeight="1">
      <x:c r="A2623" s="4" t="str">
        <x:v>RS-01343-I2</x:v>
      </x:c>
      <x:c r="B2623" s="4" t="str">
        <x:v>RS-01343</x:v>
      </x:c>
      <x:c r="C2623" s="9" t="n">
        <x:v>2</x:v>
      </x:c>
      <x:c r="D2623" s="8" t="n">
        <x:v>45408</x:v>
      </x:c>
      <x:c r="E2623" s="9" t="n">
        <x:v>3918750</x:v>
      </x:c>
      <x:c r="F2623" s="9" t="n">
        <x:v>3918750</x:v>
      </x:c>
    </x:row>
    <x:row r="2624" ht="34" customHeight="1">
      <x:c r="A2624" s="4" t="str">
        <x:v>RS-01343-I3</x:v>
      </x:c>
      <x:c r="B2624" s="4" t="str">
        <x:v>RS-01343</x:v>
      </x:c>
      <x:c r="C2624" s="9" t="n">
        <x:v>3</x:v>
      </x:c>
      <x:c r="D2624" s="8" t="n">
        <x:v>45438</x:v>
      </x:c>
      <x:c r="E2624" s="9" t="n">
        <x:v>3918750</x:v>
      </x:c>
      <x:c r="F2624" s="9" t="n">
        <x:v>3918750</x:v>
      </x:c>
    </x:row>
    <x:row r="2625" ht="34" customHeight="1">
      <x:c r="A2625" s="4" t="str">
        <x:v>RS-01343-I4</x:v>
      </x:c>
      <x:c r="B2625" s="4" t="str">
        <x:v>RS-01343</x:v>
      </x:c>
      <x:c r="C2625" s="9" t="n">
        <x:v>4</x:v>
      </x:c>
      <x:c r="D2625" s="8" t="n">
        <x:v>45468</x:v>
      </x:c>
      <x:c r="E2625" s="9" t="n">
        <x:v>3918750</x:v>
      </x:c>
      <x:c r="F2625" s="9" t="n">
        <x:v>3918750</x:v>
      </x:c>
    </x:row>
    <x:row r="2626" ht="34" customHeight="1">
      <x:c r="A2626" s="4" t="str">
        <x:v>RS-01346-I1</x:v>
      </x:c>
      <x:c r="B2626" s="4" t="str">
        <x:v>RS-01346</x:v>
      </x:c>
      <x:c r="C2626" s="9" t="n">
        <x:v>1</x:v>
      </x:c>
      <x:c r="D2626" s="8" t="n">
        <x:v>45353</x:v>
      </x:c>
      <x:c r="E2626" s="9" t="n">
        <x:v>5328000</x:v>
      </x:c>
      <x:c r="F2626" s="9" t="n">
        <x:v>5328000</x:v>
      </x:c>
    </x:row>
    <x:row r="2627" ht="34" customHeight="1">
      <x:c r="A2627" s="4" t="str">
        <x:v>RS-01346-I2</x:v>
      </x:c>
      <x:c r="B2627" s="4" t="str">
        <x:v>RS-01346</x:v>
      </x:c>
      <x:c r="C2627" s="9" t="n">
        <x:v>2</x:v>
      </x:c>
      <x:c r="D2627" s="8" t="n">
        <x:v>45383</x:v>
      </x:c>
      <x:c r="E2627" s="9" t="n">
        <x:v>5328000</x:v>
      </x:c>
      <x:c r="F2627" s="9" t="n">
        <x:v>0</x:v>
      </x:c>
    </x:row>
    <x:row r="2628" ht="34" customHeight="1">
      <x:c r="A2628" s="4" t="str">
        <x:v>RS-01346-I3</x:v>
      </x:c>
      <x:c r="B2628" s="4" t="str">
        <x:v>RS-01346</x:v>
      </x:c>
      <x:c r="C2628" s="9" t="n">
        <x:v>3</x:v>
      </x:c>
      <x:c r="D2628" s="8" t="n">
        <x:v>45413</x:v>
      </x:c>
      <x:c r="E2628" s="9" t="n">
        <x:v>5328000</x:v>
      </x:c>
      <x:c r="F2628" s="9" t="n">
        <x:v>0</x:v>
      </x:c>
    </x:row>
    <x:row r="2629" ht="34" customHeight="1">
      <x:c r="A2629" s="4" t="str">
        <x:v>RS-01346-I4</x:v>
      </x:c>
      <x:c r="B2629" s="4" t="str">
        <x:v>RS-01346</x:v>
      </x:c>
      <x:c r="C2629" s="9" t="n">
        <x:v>4</x:v>
      </x:c>
      <x:c r="D2629" s="8" t="n">
        <x:v>45443</x:v>
      </x:c>
      <x:c r="E2629" s="9" t="n">
        <x:v>5328000</x:v>
      </x:c>
      <x:c r="F2629" s="9" t="n">
        <x:v>0</x:v>
      </x:c>
    </x:row>
    <x:row r="2630" ht="34" customHeight="1">
      <x:c r="A2630" s="4" t="str">
        <x:v>RS-01347-I1</x:v>
      </x:c>
      <x:c r="B2630" s="4" t="str">
        <x:v>RS-01347</x:v>
      </x:c>
      <x:c r="C2630" s="9" t="n">
        <x:v>1</x:v>
      </x:c>
      <x:c r="D2630" s="8" t="n">
        <x:v>45354</x:v>
      </x:c>
      <x:c r="E2630" s="9" t="n">
        <x:v>2934250</x:v>
      </x:c>
      <x:c r="F2630" s="9" t="n">
        <x:v>2934250</x:v>
      </x:c>
    </x:row>
    <x:row r="2631" ht="34" customHeight="1">
      <x:c r="A2631" s="4" t="str">
        <x:v>RS-01347-I2</x:v>
      </x:c>
      <x:c r="B2631" s="4" t="str">
        <x:v>RS-01347</x:v>
      </x:c>
      <x:c r="C2631" s="9" t="n">
        <x:v>2</x:v>
      </x:c>
      <x:c r="D2631" s="8" t="n">
        <x:v>45384</x:v>
      </x:c>
      <x:c r="E2631" s="9" t="n">
        <x:v>2934250</x:v>
      </x:c>
      <x:c r="F2631" s="9" t="n">
        <x:v>2934250</x:v>
      </x:c>
    </x:row>
    <x:row r="2632" ht="34" customHeight="1">
      <x:c r="A2632" s="4" t="str">
        <x:v>RS-01347-I3</x:v>
      </x:c>
      <x:c r="B2632" s="4" t="str">
        <x:v>RS-01347</x:v>
      </x:c>
      <x:c r="C2632" s="9" t="n">
        <x:v>3</x:v>
      </x:c>
      <x:c r="D2632" s="8" t="n">
        <x:v>45414</x:v>
      </x:c>
      <x:c r="E2632" s="9" t="n">
        <x:v>2934250</x:v>
      </x:c>
      <x:c r="F2632" s="9" t="n">
        <x:v>2934250</x:v>
      </x:c>
    </x:row>
    <x:row r="2633" ht="34" customHeight="1">
      <x:c r="A2633" s="4" t="str">
        <x:v>RS-01347-I4</x:v>
      </x:c>
      <x:c r="B2633" s="4" t="str">
        <x:v>RS-01347</x:v>
      </x:c>
      <x:c r="C2633" s="9" t="n">
        <x:v>4</x:v>
      </x:c>
      <x:c r="D2633" s="8" t="n">
        <x:v>45444</x:v>
      </x:c>
      <x:c r="E2633" s="9" t="n">
        <x:v>2934250</x:v>
      </x:c>
      <x:c r="F2633" s="9" t="n">
        <x:v>2934250</x:v>
      </x:c>
    </x:row>
    <x:row r="2634" ht="34" customHeight="1">
      <x:c r="A2634" s="4" t="str">
        <x:v>RS-01348-I1</x:v>
      </x:c>
      <x:c r="B2634" s="4" t="str">
        <x:v>RS-01348</x:v>
      </x:c>
      <x:c r="C2634" s="9" t="n">
        <x:v>1</x:v>
      </x:c>
      <x:c r="D2634" s="8" t="n">
        <x:v>45355</x:v>
      </x:c>
      <x:c r="E2634" s="9" t="n">
        <x:v>1212750</x:v>
      </x:c>
      <x:c r="F2634" s="9" t="n">
        <x:v>1212750</x:v>
      </x:c>
    </x:row>
    <x:row r="2635" ht="34" customHeight="1">
      <x:c r="A2635" s="4" t="str">
        <x:v>RS-01348-I2</x:v>
      </x:c>
      <x:c r="B2635" s="4" t="str">
        <x:v>RS-01348</x:v>
      </x:c>
      <x:c r="C2635" s="9" t="n">
        <x:v>2</x:v>
      </x:c>
      <x:c r="D2635" s="8" t="n">
        <x:v>45385</x:v>
      </x:c>
      <x:c r="E2635" s="9" t="n">
        <x:v>1212750</x:v>
      </x:c>
      <x:c r="F2635" s="9" t="n">
        <x:v>1212750</x:v>
      </x:c>
    </x:row>
    <x:row r="2636" ht="34" customHeight="1">
      <x:c r="A2636" s="4" t="str">
        <x:v>RS-01348-I3</x:v>
      </x:c>
      <x:c r="B2636" s="4" t="str">
        <x:v>RS-01348</x:v>
      </x:c>
      <x:c r="C2636" s="9" t="n">
        <x:v>3</x:v>
      </x:c>
      <x:c r="D2636" s="8" t="n">
        <x:v>45415</x:v>
      </x:c>
      <x:c r="E2636" s="9" t="n">
        <x:v>1212750</x:v>
      </x:c>
      <x:c r="F2636" s="9" t="n">
        <x:v>1212750</x:v>
      </x:c>
    </x:row>
    <x:row r="2637" ht="34" customHeight="1">
      <x:c r="A2637" s="4" t="str">
        <x:v>RS-01348-I4</x:v>
      </x:c>
      <x:c r="B2637" s="4" t="str">
        <x:v>RS-01348</x:v>
      </x:c>
      <x:c r="C2637" s="9" t="n">
        <x:v>4</x:v>
      </x:c>
      <x:c r="D2637" s="8" t="n">
        <x:v>45445</x:v>
      </x:c>
      <x:c r="E2637" s="9" t="n">
        <x:v>1212750</x:v>
      </x:c>
      <x:c r="F2637" s="9" t="n">
        <x:v>1212750</x:v>
      </x:c>
    </x:row>
    <x:row r="2638" ht="34" customHeight="1">
      <x:c r="A2638" s="4" t="str">
        <x:v>RS-01350-I1</x:v>
      </x:c>
      <x:c r="B2638" s="4" t="str">
        <x:v>RS-01350</x:v>
      </x:c>
      <x:c r="C2638" s="9" t="n">
        <x:v>1</x:v>
      </x:c>
      <x:c r="D2638" s="8" t="n">
        <x:v>45357</x:v>
      </x:c>
      <x:c r="E2638" s="9" t="n">
        <x:v>4536250</x:v>
      </x:c>
      <x:c r="F2638" s="9" t="n">
        <x:v>4536250</x:v>
      </x:c>
    </x:row>
    <x:row r="2639" ht="34" customHeight="1">
      <x:c r="A2639" s="4" t="str">
        <x:v>RS-01350-I2</x:v>
      </x:c>
      <x:c r="B2639" s="4" t="str">
        <x:v>RS-01350</x:v>
      </x:c>
      <x:c r="C2639" s="9" t="n">
        <x:v>2</x:v>
      </x:c>
      <x:c r="D2639" s="8" t="n">
        <x:v>45387</x:v>
      </x:c>
      <x:c r="E2639" s="9" t="n">
        <x:v>4536250</x:v>
      </x:c>
      <x:c r="F2639" s="9" t="n">
        <x:v>0</x:v>
      </x:c>
    </x:row>
    <x:row r="2640" ht="34" customHeight="1">
      <x:c r="A2640" s="4" t="str">
        <x:v>RS-01350-I3</x:v>
      </x:c>
      <x:c r="B2640" s="4" t="str">
        <x:v>RS-01350</x:v>
      </x:c>
      <x:c r="C2640" s="9" t="n">
        <x:v>3</x:v>
      </x:c>
      <x:c r="D2640" s="8" t="n">
        <x:v>45417</x:v>
      </x:c>
      <x:c r="E2640" s="9" t="n">
        <x:v>4536250</x:v>
      </x:c>
      <x:c r="F2640" s="9" t="n">
        <x:v>0</x:v>
      </x:c>
    </x:row>
    <x:row r="2641" ht="34" customHeight="1">
      <x:c r="A2641" s="4" t="str">
        <x:v>RS-01350-I4</x:v>
      </x:c>
      <x:c r="B2641" s="4" t="str">
        <x:v>RS-01350</x:v>
      </x:c>
      <x:c r="C2641" s="9" t="n">
        <x:v>4</x:v>
      </x:c>
      <x:c r="D2641" s="8" t="n">
        <x:v>45447</x:v>
      </x:c>
      <x:c r="E2641" s="9" t="n">
        <x:v>4536250</x:v>
      </x:c>
      <x:c r="F2641" s="9" t="n">
        <x:v>0</x:v>
      </x:c>
    </x:row>
    <x:row r="2642" ht="34" customHeight="1">
      <x:c r="A2642" s="4" t="str">
        <x:v>RS-01354-I1</x:v>
      </x:c>
      <x:c r="B2642" s="4" t="str">
        <x:v>RS-01354</x:v>
      </x:c>
      <x:c r="C2642" s="9" t="n">
        <x:v>1</x:v>
      </x:c>
      <x:c r="D2642" s="8" t="n">
        <x:v>45361</x:v>
      </x:c>
      <x:c r="E2642" s="9" t="n">
        <x:v>860250</x:v>
      </x:c>
      <x:c r="F2642" s="9" t="n">
        <x:v>860250</x:v>
      </x:c>
    </x:row>
    <x:row r="2643" ht="34" customHeight="1">
      <x:c r="A2643" s="4" t="str">
        <x:v>RS-01354-I2</x:v>
      </x:c>
      <x:c r="B2643" s="4" t="str">
        <x:v>RS-01354</x:v>
      </x:c>
      <x:c r="C2643" s="9" t="n">
        <x:v>2</x:v>
      </x:c>
      <x:c r="D2643" s="8" t="n">
        <x:v>45391</x:v>
      </x:c>
      <x:c r="E2643" s="9" t="n">
        <x:v>860250</x:v>
      </x:c>
      <x:c r="F2643" s="9" t="n">
        <x:v>0</x:v>
      </x:c>
    </x:row>
    <x:row r="2644" ht="34" customHeight="1">
      <x:c r="A2644" s="4" t="str">
        <x:v>RS-01354-I3</x:v>
      </x:c>
      <x:c r="B2644" s="4" t="str">
        <x:v>RS-01354</x:v>
      </x:c>
      <x:c r="C2644" s="9" t="n">
        <x:v>3</x:v>
      </x:c>
      <x:c r="D2644" s="8" t="n">
        <x:v>45421</x:v>
      </x:c>
      <x:c r="E2644" s="9" t="n">
        <x:v>860250</x:v>
      </x:c>
      <x:c r="F2644" s="9" t="n">
        <x:v>0</x:v>
      </x:c>
    </x:row>
    <x:row r="2645" ht="34" customHeight="1">
      <x:c r="A2645" s="4" t="str">
        <x:v>RS-01354-I4</x:v>
      </x:c>
      <x:c r="B2645" s="4" t="str">
        <x:v>RS-01354</x:v>
      </x:c>
      <x:c r="C2645" s="9" t="n">
        <x:v>4</x:v>
      </x:c>
      <x:c r="D2645" s="8" t="n">
        <x:v>45451</x:v>
      </x:c>
      <x:c r="E2645" s="9" t="n">
        <x:v>860250</x:v>
      </x:c>
      <x:c r="F2645" s="9" t="n">
        <x:v>0</x:v>
      </x:c>
    </x:row>
    <x:row r="2646" ht="34" customHeight="1">
      <x:c r="A2646" s="4" t="str">
        <x:v>RS-01355-I1</x:v>
      </x:c>
      <x:c r="B2646" s="4" t="str">
        <x:v>RS-01355</x:v>
      </x:c>
      <x:c r="C2646" s="9" t="n">
        <x:v>1</x:v>
      </x:c>
      <x:c r="D2646" s="8" t="n">
        <x:v>45362</x:v>
      </x:c>
      <x:c r="E2646" s="9" t="n">
        <x:v>1527750</x:v>
      </x:c>
      <x:c r="F2646" s="9" t="n">
        <x:v>1527750</x:v>
      </x:c>
    </x:row>
    <x:row r="2647" ht="34" customHeight="1">
      <x:c r="A2647" s="4" t="str">
        <x:v>RS-01355-I2</x:v>
      </x:c>
      <x:c r="B2647" s="4" t="str">
        <x:v>RS-01355</x:v>
      </x:c>
      <x:c r="C2647" s="9" t="n">
        <x:v>2</x:v>
      </x:c>
      <x:c r="D2647" s="8" t="n">
        <x:v>45392</x:v>
      </x:c>
      <x:c r="E2647" s="9" t="n">
        <x:v>1527750</x:v>
      </x:c>
      <x:c r="F2647" s="9" t="n">
        <x:v>1527750</x:v>
      </x:c>
    </x:row>
    <x:row r="2648" ht="34" customHeight="1">
      <x:c r="A2648" s="4" t="str">
        <x:v>RS-01355-I3</x:v>
      </x:c>
      <x:c r="B2648" s="4" t="str">
        <x:v>RS-01355</x:v>
      </x:c>
      <x:c r="C2648" s="9" t="n">
        <x:v>3</x:v>
      </x:c>
      <x:c r="D2648" s="8" t="n">
        <x:v>45422</x:v>
      </x:c>
      <x:c r="E2648" s="9" t="n">
        <x:v>1527750</x:v>
      </x:c>
      <x:c r="F2648" s="9" t="n">
        <x:v>0</x:v>
      </x:c>
    </x:row>
    <x:row r="2649" ht="34" customHeight="1">
      <x:c r="A2649" s="4" t="str">
        <x:v>RS-01355-I4</x:v>
      </x:c>
      <x:c r="B2649" s="4" t="str">
        <x:v>RS-01355</x:v>
      </x:c>
      <x:c r="C2649" s="9" t="n">
        <x:v>4</x:v>
      </x:c>
      <x:c r="D2649" s="8" t="n">
        <x:v>45452</x:v>
      </x:c>
      <x:c r="E2649" s="9" t="n">
        <x:v>1527750</x:v>
      </x:c>
      <x:c r="F2649" s="9" t="n">
        <x:v>0</x:v>
      </x:c>
    </x:row>
    <x:row r="2650" ht="34" customHeight="1">
      <x:c r="A2650" s="4" t="str">
        <x:v>RS-01357-I1</x:v>
      </x:c>
      <x:c r="B2650" s="4" t="str">
        <x:v>RS-01357</x:v>
      </x:c>
      <x:c r="C2650" s="9" t="n">
        <x:v>1</x:v>
      </x:c>
      <x:c r="D2650" s="8" t="n">
        <x:v>45364</x:v>
      </x:c>
      <x:c r="E2650" s="9" t="n">
        <x:v>2280000</x:v>
      </x:c>
      <x:c r="F2650" s="9" t="n">
        <x:v>912000</x:v>
      </x:c>
    </x:row>
    <x:row r="2651" ht="34" customHeight="1">
      <x:c r="A2651" s="4" t="str">
        <x:v>RS-01357-I2</x:v>
      </x:c>
      <x:c r="B2651" s="4" t="str">
        <x:v>RS-01357</x:v>
      </x:c>
      <x:c r="C2651" s="9" t="n">
        <x:v>2</x:v>
      </x:c>
      <x:c r="D2651" s="8" t="n">
        <x:v>45394</x:v>
      </x:c>
      <x:c r="E2651" s="9" t="n">
        <x:v>2280000</x:v>
      </x:c>
      <x:c r="F2651" s="9" t="n">
        <x:v>0</x:v>
      </x:c>
    </x:row>
    <x:row r="2652" ht="34" customHeight="1">
      <x:c r="A2652" s="4" t="str">
        <x:v>RS-01357-I3</x:v>
      </x:c>
      <x:c r="B2652" s="4" t="str">
        <x:v>RS-01357</x:v>
      </x:c>
      <x:c r="C2652" s="9" t="n">
        <x:v>3</x:v>
      </x:c>
      <x:c r="D2652" s="8" t="n">
        <x:v>45424</x:v>
      </x:c>
      <x:c r="E2652" s="9" t="n">
        <x:v>2280000</x:v>
      </x:c>
      <x:c r="F2652" s="9" t="n">
        <x:v>0</x:v>
      </x:c>
    </x:row>
    <x:row r="2653" ht="34" customHeight="1">
      <x:c r="A2653" s="4" t="str">
        <x:v>RS-01357-I4</x:v>
      </x:c>
      <x:c r="B2653" s="4" t="str">
        <x:v>RS-01357</x:v>
      </x:c>
      <x:c r="C2653" s="9" t="n">
        <x:v>4</x:v>
      </x:c>
      <x:c r="D2653" s="8" t="n">
        <x:v>45454</x:v>
      </x:c>
      <x:c r="E2653" s="9" t="n">
        <x:v>2280000</x:v>
      </x:c>
      <x:c r="F2653" s="9" t="n">
        <x:v>0</x:v>
      </x:c>
    </x:row>
    <x:row r="2654" ht="34" customHeight="1">
      <x:c r="A2654" s="4" t="str">
        <x:v>RS-01358-I1</x:v>
      </x:c>
      <x:c r="B2654" s="4" t="str">
        <x:v>RS-01358</x:v>
      </x:c>
      <x:c r="C2654" s="9" t="n">
        <x:v>1</x:v>
      </x:c>
      <x:c r="D2654" s="8" t="n">
        <x:v>45365</x:v>
      </x:c>
      <x:c r="E2654" s="9" t="n">
        <x:v>3394500</x:v>
      </x:c>
      <x:c r="F2654" s="9" t="n">
        <x:v>3394500</x:v>
      </x:c>
    </x:row>
    <x:row r="2655" ht="34" customHeight="1">
      <x:c r="A2655" s="4" t="str">
        <x:v>RS-01358-I2</x:v>
      </x:c>
      <x:c r="B2655" s="4" t="str">
        <x:v>RS-01358</x:v>
      </x:c>
      <x:c r="C2655" s="9" t="n">
        <x:v>2</x:v>
      </x:c>
      <x:c r="D2655" s="8" t="n">
        <x:v>45395</x:v>
      </x:c>
      <x:c r="E2655" s="9" t="n">
        <x:v>3394500</x:v>
      </x:c>
      <x:c r="F2655" s="9" t="n">
        <x:v>3394500</x:v>
      </x:c>
    </x:row>
    <x:row r="2656" ht="34" customHeight="1">
      <x:c r="A2656" s="4" t="str">
        <x:v>RS-01358-I3</x:v>
      </x:c>
      <x:c r="B2656" s="4" t="str">
        <x:v>RS-01358</x:v>
      </x:c>
      <x:c r="C2656" s="9" t="n">
        <x:v>3</x:v>
      </x:c>
      <x:c r="D2656" s="8" t="n">
        <x:v>45425</x:v>
      </x:c>
      <x:c r="E2656" s="9" t="n">
        <x:v>3394500</x:v>
      </x:c>
      <x:c r="F2656" s="9" t="n">
        <x:v>0</x:v>
      </x:c>
    </x:row>
    <x:row r="2657" ht="34" customHeight="1">
      <x:c r="A2657" s="4" t="str">
        <x:v>RS-01358-I4</x:v>
      </x:c>
      <x:c r="B2657" s="4" t="str">
        <x:v>RS-01358</x:v>
      </x:c>
      <x:c r="C2657" s="9" t="n">
        <x:v>4</x:v>
      </x:c>
      <x:c r="D2657" s="8" t="n">
        <x:v>45455</x:v>
      </x:c>
      <x:c r="E2657" s="9" t="n">
        <x:v>3394500</x:v>
      </x:c>
      <x:c r="F2657" s="9" t="n">
        <x:v>0</x:v>
      </x:c>
    </x:row>
    <x:row r="2658" ht="34" customHeight="1">
      <x:c r="A2658" s="4" t="str">
        <x:v>RS-01359-I1</x:v>
      </x:c>
      <x:c r="B2658" s="4" t="str">
        <x:v>RS-01359</x:v>
      </x:c>
      <x:c r="C2658" s="9" t="n">
        <x:v>1</x:v>
      </x:c>
      <x:c r="D2658" s="8" t="n">
        <x:v>45366</x:v>
      </x:c>
      <x:c r="E2658" s="9" t="n">
        <x:v>4115250</x:v>
      </x:c>
      <x:c r="F2658" s="9" t="n">
        <x:v>4115250</x:v>
      </x:c>
    </x:row>
    <x:row r="2659" ht="34" customHeight="1">
      <x:c r="A2659" s="4" t="str">
        <x:v>RS-01359-I2</x:v>
      </x:c>
      <x:c r="B2659" s="4" t="str">
        <x:v>RS-01359</x:v>
      </x:c>
      <x:c r="C2659" s="9" t="n">
        <x:v>2</x:v>
      </x:c>
      <x:c r="D2659" s="8" t="n">
        <x:v>45396</x:v>
      </x:c>
      <x:c r="E2659" s="9" t="n">
        <x:v>4115250</x:v>
      </x:c>
      <x:c r="F2659" s="9" t="n">
        <x:v>4115250</x:v>
      </x:c>
    </x:row>
    <x:row r="2660" ht="34" customHeight="1">
      <x:c r="A2660" s="4" t="str">
        <x:v>RS-01359-I3</x:v>
      </x:c>
      <x:c r="B2660" s="4" t="str">
        <x:v>RS-01359</x:v>
      </x:c>
      <x:c r="C2660" s="9" t="n">
        <x:v>3</x:v>
      </x:c>
      <x:c r="D2660" s="8" t="n">
        <x:v>45426</x:v>
      </x:c>
      <x:c r="E2660" s="9" t="n">
        <x:v>4115250</x:v>
      </x:c>
      <x:c r="F2660" s="9" t="n">
        <x:v>0</x:v>
      </x:c>
    </x:row>
    <x:row r="2661" ht="34" customHeight="1">
      <x:c r="A2661" s="4" t="str">
        <x:v>RS-01359-I4</x:v>
      </x:c>
      <x:c r="B2661" s="4" t="str">
        <x:v>RS-01359</x:v>
      </x:c>
      <x:c r="C2661" s="9" t="n">
        <x:v>4</x:v>
      </x:c>
      <x:c r="D2661" s="8" t="n">
        <x:v>45456</x:v>
      </x:c>
      <x:c r="E2661" s="9" t="n">
        <x:v>4115250</x:v>
      </x:c>
      <x:c r="F2661" s="9" t="n">
        <x:v>0</x:v>
      </x:c>
    </x:row>
    <x:row r="2662" ht="34" customHeight="1">
      <x:c r="A2662" s="4" t="str">
        <x:v>RS-01360-I1</x:v>
      </x:c>
      <x:c r="B2662" s="4" t="str">
        <x:v>RS-01360</x:v>
      </x:c>
      <x:c r="C2662" s="9" t="n">
        <x:v>1</x:v>
      </x:c>
      <x:c r="D2662" s="8" t="n">
        <x:v>45367</x:v>
      </x:c>
      <x:c r="E2662" s="9" t="n">
        <x:v>1200500</x:v>
      </x:c>
      <x:c r="F2662" s="9" t="n">
        <x:v>1200500</x:v>
      </x:c>
    </x:row>
    <x:row r="2663" ht="34" customHeight="1">
      <x:c r="A2663" s="4" t="str">
        <x:v>RS-01360-I2</x:v>
      </x:c>
      <x:c r="B2663" s="4" t="str">
        <x:v>RS-01360</x:v>
      </x:c>
      <x:c r="C2663" s="9" t="n">
        <x:v>2</x:v>
      </x:c>
      <x:c r="D2663" s="8" t="n">
        <x:v>45397</x:v>
      </x:c>
      <x:c r="E2663" s="9" t="n">
        <x:v>1200500</x:v>
      </x:c>
      <x:c r="F2663" s="9" t="n">
        <x:v>1200500</x:v>
      </x:c>
    </x:row>
    <x:row r="2664" ht="34" customHeight="1">
      <x:c r="A2664" s="4" t="str">
        <x:v>RS-01360-I3</x:v>
      </x:c>
      <x:c r="B2664" s="4" t="str">
        <x:v>RS-01360</x:v>
      </x:c>
      <x:c r="C2664" s="9" t="n">
        <x:v>3</x:v>
      </x:c>
      <x:c r="D2664" s="8" t="n">
        <x:v>45427</x:v>
      </x:c>
      <x:c r="E2664" s="9" t="n">
        <x:v>1200500</x:v>
      </x:c>
      <x:c r="F2664" s="9" t="n">
        <x:v>0</x:v>
      </x:c>
    </x:row>
    <x:row r="2665" ht="34" customHeight="1">
      <x:c r="A2665" s="4" t="str">
        <x:v>RS-01360-I4</x:v>
      </x:c>
      <x:c r="B2665" s="4" t="str">
        <x:v>RS-01360</x:v>
      </x:c>
      <x:c r="C2665" s="9" t="n">
        <x:v>4</x:v>
      </x:c>
      <x:c r="D2665" s="8" t="n">
        <x:v>45457</x:v>
      </x:c>
      <x:c r="E2665" s="9" t="n">
        <x:v>1200500</x:v>
      </x:c>
      <x:c r="F2665" s="9" t="n">
        <x:v>0</x:v>
      </x:c>
    </x:row>
    <x:row r="2666" ht="34" customHeight="1">
      <x:c r="A2666" s="4" t="str">
        <x:v>RS-01363-I1</x:v>
      </x:c>
      <x:c r="B2666" s="4" t="str">
        <x:v>RS-01363</x:v>
      </x:c>
      <x:c r="C2666" s="9" t="n">
        <x:v>1</x:v>
      </x:c>
      <x:c r="D2666" s="8" t="n">
        <x:v>45370</x:v>
      </x:c>
      <x:c r="E2666" s="9" t="n">
        <x:v>1151500</x:v>
      </x:c>
      <x:c r="F2666" s="9" t="n">
        <x:v>1151500</x:v>
      </x:c>
    </x:row>
    <x:row r="2667" ht="34" customHeight="1">
      <x:c r="A2667" s="4" t="str">
        <x:v>RS-01363-I2</x:v>
      </x:c>
      <x:c r="B2667" s="4" t="str">
        <x:v>RS-01363</x:v>
      </x:c>
      <x:c r="C2667" s="9" t="n">
        <x:v>2</x:v>
      </x:c>
      <x:c r="D2667" s="8" t="n">
        <x:v>45400</x:v>
      </x:c>
      <x:c r="E2667" s="9" t="n">
        <x:v>1151500</x:v>
      </x:c>
      <x:c r="F2667" s="9" t="n">
        <x:v>1151500</x:v>
      </x:c>
    </x:row>
    <x:row r="2668" ht="34" customHeight="1">
      <x:c r="A2668" s="4" t="str">
        <x:v>RS-01363-I3</x:v>
      </x:c>
      <x:c r="B2668" s="4" t="str">
        <x:v>RS-01363</x:v>
      </x:c>
      <x:c r="C2668" s="9" t="n">
        <x:v>3</x:v>
      </x:c>
      <x:c r="D2668" s="8" t="n">
        <x:v>45430</x:v>
      </x:c>
      <x:c r="E2668" s="9" t="n">
        <x:v>1151500</x:v>
      </x:c>
      <x:c r="F2668" s="9" t="n">
        <x:v>0</x:v>
      </x:c>
    </x:row>
    <x:row r="2669" ht="34" customHeight="1">
      <x:c r="A2669" s="4" t="str">
        <x:v>RS-01363-I4</x:v>
      </x:c>
      <x:c r="B2669" s="4" t="str">
        <x:v>RS-01363</x:v>
      </x:c>
      <x:c r="C2669" s="9" t="n">
        <x:v>4</x:v>
      </x:c>
      <x:c r="D2669" s="8" t="n">
        <x:v>45460</x:v>
      </x:c>
      <x:c r="E2669" s="9" t="n">
        <x:v>1151500</x:v>
      </x:c>
      <x:c r="F2669" s="9" t="n">
        <x:v>0</x:v>
      </x:c>
    </x:row>
    <x:row r="2670" ht="34" customHeight="1">
      <x:c r="A2670" s="4" t="str">
        <x:v>RS-01367-I1</x:v>
      </x:c>
      <x:c r="B2670" s="4" t="str">
        <x:v>RS-01367</x:v>
      </x:c>
      <x:c r="C2670" s="9" t="n">
        <x:v>1</x:v>
      </x:c>
      <x:c r="D2670" s="8" t="n">
        <x:v>45374</x:v>
      </x:c>
      <x:c r="E2670" s="9" t="n">
        <x:v>3652000</x:v>
      </x:c>
      <x:c r="F2670" s="9" t="n">
        <x:v>1460800</x:v>
      </x:c>
    </x:row>
    <x:row r="2671" ht="34" customHeight="1">
      <x:c r="A2671" s="4" t="str">
        <x:v>RS-01367-I2</x:v>
      </x:c>
      <x:c r="B2671" s="4" t="str">
        <x:v>RS-01367</x:v>
      </x:c>
      <x:c r="C2671" s="9" t="n">
        <x:v>2</x:v>
      </x:c>
      <x:c r="D2671" s="8" t="n">
        <x:v>45404</x:v>
      </x:c>
      <x:c r="E2671" s="9" t="n">
        <x:v>3652000</x:v>
      </x:c>
      <x:c r="F2671" s="9" t="n">
        <x:v>0</x:v>
      </x:c>
    </x:row>
    <x:row r="2672" ht="34" customHeight="1">
      <x:c r="A2672" s="4" t="str">
        <x:v>RS-01367-I3</x:v>
      </x:c>
      <x:c r="B2672" s="4" t="str">
        <x:v>RS-01367</x:v>
      </x:c>
      <x:c r="C2672" s="9" t="n">
        <x:v>3</x:v>
      </x:c>
      <x:c r="D2672" s="8" t="n">
        <x:v>45434</x:v>
      </x:c>
      <x:c r="E2672" s="9" t="n">
        <x:v>3652000</x:v>
      </x:c>
      <x:c r="F2672" s="9" t="n">
        <x:v>0</x:v>
      </x:c>
    </x:row>
    <x:row r="2673" ht="34" customHeight="1">
      <x:c r="A2673" s="4" t="str">
        <x:v>RS-01367-I4</x:v>
      </x:c>
      <x:c r="B2673" s="4" t="str">
        <x:v>RS-01367</x:v>
      </x:c>
      <x:c r="C2673" s="9" t="n">
        <x:v>4</x:v>
      </x:c>
      <x:c r="D2673" s="8" t="n">
        <x:v>45464</x:v>
      </x:c>
      <x:c r="E2673" s="9" t="n">
        <x:v>3652000</x:v>
      </x:c>
      <x:c r="F2673" s="9" t="n">
        <x:v>0</x:v>
      </x:c>
    </x:row>
    <x:row r="2674" ht="34" customHeight="1">
      <x:c r="A2674" s="4" t="str">
        <x:v>RS-01369-I1</x:v>
      </x:c>
      <x:c r="B2674" s="4" t="str">
        <x:v>RS-01369</x:v>
      </x:c>
      <x:c r="C2674" s="9" t="n">
        <x:v>1</x:v>
      </x:c>
      <x:c r="D2674" s="8" t="n">
        <x:v>45376</x:v>
      </x:c>
      <x:c r="E2674" s="9" t="n">
        <x:v>2115750</x:v>
      </x:c>
      <x:c r="F2674" s="9" t="n">
        <x:v>846300</x:v>
      </x:c>
    </x:row>
    <x:row r="2675" ht="34" customHeight="1">
      <x:c r="A2675" s="4" t="str">
        <x:v>RS-01369-I2</x:v>
      </x:c>
      <x:c r="B2675" s="4" t="str">
        <x:v>RS-01369</x:v>
      </x:c>
      <x:c r="C2675" s="9" t="n">
        <x:v>2</x:v>
      </x:c>
      <x:c r="D2675" s="8" t="n">
        <x:v>45406</x:v>
      </x:c>
      <x:c r="E2675" s="9" t="n">
        <x:v>2115750</x:v>
      </x:c>
      <x:c r="F2675" s="9" t="n">
        <x:v>0</x:v>
      </x:c>
    </x:row>
    <x:row r="2676" ht="34" customHeight="1">
      <x:c r="A2676" s="4" t="str">
        <x:v>RS-01369-I3</x:v>
      </x:c>
      <x:c r="B2676" s="4" t="str">
        <x:v>RS-01369</x:v>
      </x:c>
      <x:c r="C2676" s="9" t="n">
        <x:v>3</x:v>
      </x:c>
      <x:c r="D2676" s="8" t="n">
        <x:v>45436</x:v>
      </x:c>
      <x:c r="E2676" s="9" t="n">
        <x:v>2115750</x:v>
      </x:c>
      <x:c r="F2676" s="9" t="n">
        <x:v>0</x:v>
      </x:c>
    </x:row>
    <x:row r="2677" ht="34" customHeight="1">
      <x:c r="A2677" s="4" t="str">
        <x:v>RS-01369-I4</x:v>
      </x:c>
      <x:c r="B2677" s="4" t="str">
        <x:v>RS-01369</x:v>
      </x:c>
      <x:c r="C2677" s="9" t="n">
        <x:v>4</x:v>
      </x:c>
      <x:c r="D2677" s="8" t="n">
        <x:v>45466</x:v>
      </x:c>
      <x:c r="E2677" s="9" t="n">
        <x:v>2115750</x:v>
      </x:c>
      <x:c r="F2677" s="9" t="n">
        <x:v>0</x:v>
      </x:c>
    </x:row>
    <x:row r="2678" ht="34" customHeight="1">
      <x:c r="A2678" s="4" t="str">
        <x:v>RS-01370-I1</x:v>
      </x:c>
      <x:c r="B2678" s="4" t="str">
        <x:v>RS-01370</x:v>
      </x:c>
      <x:c r="C2678" s="9" t="n">
        <x:v>1</x:v>
      </x:c>
      <x:c r="D2678" s="8" t="n">
        <x:v>45377</x:v>
      </x:c>
      <x:c r="E2678" s="9" t="n">
        <x:v>1642500</x:v>
      </x:c>
      <x:c r="F2678" s="9" t="n">
        <x:v>1642500</x:v>
      </x:c>
    </x:row>
    <x:row r="2679" ht="34" customHeight="1">
      <x:c r="A2679" s="4" t="str">
        <x:v>RS-01370-I2</x:v>
      </x:c>
      <x:c r="B2679" s="4" t="str">
        <x:v>RS-01370</x:v>
      </x:c>
      <x:c r="C2679" s="9" t="n">
        <x:v>2</x:v>
      </x:c>
      <x:c r="D2679" s="8" t="n">
        <x:v>45407</x:v>
      </x:c>
      <x:c r="E2679" s="9" t="n">
        <x:v>1642500</x:v>
      </x:c>
      <x:c r="F2679" s="9" t="n">
        <x:v>1642500</x:v>
      </x:c>
    </x:row>
    <x:row r="2680" ht="34" customHeight="1">
      <x:c r="A2680" s="4" t="str">
        <x:v>RS-01370-I3</x:v>
      </x:c>
      <x:c r="B2680" s="4" t="str">
        <x:v>RS-01370</x:v>
      </x:c>
      <x:c r="C2680" s="9" t="n">
        <x:v>3</x:v>
      </x:c>
      <x:c r="D2680" s="8" t="n">
        <x:v>45437</x:v>
      </x:c>
      <x:c r="E2680" s="9" t="n">
        <x:v>1642500</x:v>
      </x:c>
      <x:c r="F2680" s="9" t="n">
        <x:v>0</x:v>
      </x:c>
    </x:row>
    <x:row r="2681" ht="34" customHeight="1">
      <x:c r="A2681" s="4" t="str">
        <x:v>RS-01370-I4</x:v>
      </x:c>
      <x:c r="B2681" s="4" t="str">
        <x:v>RS-01370</x:v>
      </x:c>
      <x:c r="C2681" s="9" t="n">
        <x:v>4</x:v>
      </x:c>
      <x:c r="D2681" s="8" t="n">
        <x:v>45467</x:v>
      </x:c>
      <x:c r="E2681" s="9" t="n">
        <x:v>1642500</x:v>
      </x:c>
      <x:c r="F2681" s="9" t="n">
        <x:v>0</x:v>
      </x:c>
    </x:row>
    <x:row r="2682" ht="34" customHeight="1">
      <x:c r="A2682" s="4" t="str">
        <x:v>RS-01371-I1</x:v>
      </x:c>
      <x:c r="B2682" s="4" t="str">
        <x:v>RS-01371</x:v>
      </x:c>
      <x:c r="C2682" s="9" t="n">
        <x:v>1</x:v>
      </x:c>
      <x:c r="D2682" s="8" t="n">
        <x:v>45378</x:v>
      </x:c>
      <x:c r="E2682" s="9" t="n">
        <x:v>4427750</x:v>
      </x:c>
      <x:c r="F2682" s="9" t="n">
        <x:v>4427750</x:v>
      </x:c>
    </x:row>
    <x:row r="2683" ht="34" customHeight="1">
      <x:c r="A2683" s="4" t="str">
        <x:v>RS-01371-I2</x:v>
      </x:c>
      <x:c r="B2683" s="4" t="str">
        <x:v>RS-01371</x:v>
      </x:c>
      <x:c r="C2683" s="9" t="n">
        <x:v>2</x:v>
      </x:c>
      <x:c r="D2683" s="8" t="n">
        <x:v>45408</x:v>
      </x:c>
      <x:c r="E2683" s="9" t="n">
        <x:v>4427750</x:v>
      </x:c>
      <x:c r="F2683" s="9" t="n">
        <x:v>0</x:v>
      </x:c>
    </x:row>
    <x:row r="2684" ht="34" customHeight="1">
      <x:c r="A2684" s="4" t="str">
        <x:v>RS-01371-I3</x:v>
      </x:c>
      <x:c r="B2684" s="4" t="str">
        <x:v>RS-01371</x:v>
      </x:c>
      <x:c r="C2684" s="9" t="n">
        <x:v>3</x:v>
      </x:c>
      <x:c r="D2684" s="8" t="n">
        <x:v>45438</x:v>
      </x:c>
      <x:c r="E2684" s="9" t="n">
        <x:v>4427750</x:v>
      </x:c>
      <x:c r="F2684" s="9" t="n">
        <x:v>0</x:v>
      </x:c>
    </x:row>
    <x:row r="2685" ht="34" customHeight="1">
      <x:c r="A2685" s="4" t="str">
        <x:v>RS-01371-I4</x:v>
      </x:c>
      <x:c r="B2685" s="4" t="str">
        <x:v>RS-01371</x:v>
      </x:c>
      <x:c r="C2685" s="9" t="n">
        <x:v>4</x:v>
      </x:c>
      <x:c r="D2685" s="8" t="n">
        <x:v>45468</x:v>
      </x:c>
      <x:c r="E2685" s="9" t="n">
        <x:v>4427750</x:v>
      </x:c>
      <x:c r="F2685" s="9" t="n">
        <x:v>0</x:v>
      </x:c>
    </x:row>
    <x:row r="2686" ht="34" customHeight="1">
      <x:c r="A2686" s="4" t="str">
        <x:v>RS-01373-I1</x:v>
      </x:c>
      <x:c r="B2686" s="4" t="str">
        <x:v>RS-01373</x:v>
      </x:c>
      <x:c r="C2686" s="9" t="n">
        <x:v>1</x:v>
      </x:c>
      <x:c r="D2686" s="8" t="n">
        <x:v>45352</x:v>
      </x:c>
      <x:c r="E2686" s="9" t="n">
        <x:v>1353750</x:v>
      </x:c>
      <x:c r="F2686" s="9" t="n">
        <x:v>1353750</x:v>
      </x:c>
    </x:row>
    <x:row r="2687" ht="34" customHeight="1">
      <x:c r="A2687" s="4" t="str">
        <x:v>RS-01373-I2</x:v>
      </x:c>
      <x:c r="B2687" s="4" t="str">
        <x:v>RS-01373</x:v>
      </x:c>
      <x:c r="C2687" s="9" t="n">
        <x:v>2</x:v>
      </x:c>
      <x:c r="D2687" s="8" t="n">
        <x:v>45382</x:v>
      </x:c>
      <x:c r="E2687" s="9" t="n">
        <x:v>1353750</x:v>
      </x:c>
      <x:c r="F2687" s="9" t="n">
        <x:v>1353750</x:v>
      </x:c>
    </x:row>
    <x:row r="2688" ht="34" customHeight="1">
      <x:c r="A2688" s="4" t="str">
        <x:v>RS-01373-I3</x:v>
      </x:c>
      <x:c r="B2688" s="4" t="str">
        <x:v>RS-01373</x:v>
      </x:c>
      <x:c r="C2688" s="9" t="n">
        <x:v>3</x:v>
      </x:c>
      <x:c r="D2688" s="8" t="n">
        <x:v>45412</x:v>
      </x:c>
      <x:c r="E2688" s="9" t="n">
        <x:v>1353750</x:v>
      </x:c>
      <x:c r="F2688" s="9" t="n">
        <x:v>0</x:v>
      </x:c>
    </x:row>
    <x:row r="2689" ht="34" customHeight="1">
      <x:c r="A2689" s="4" t="str">
        <x:v>RS-01373-I4</x:v>
      </x:c>
      <x:c r="B2689" s="4" t="str">
        <x:v>RS-01373</x:v>
      </x:c>
      <x:c r="C2689" s="9" t="n">
        <x:v>4</x:v>
      </x:c>
      <x:c r="D2689" s="8" t="n">
        <x:v>45442</x:v>
      </x:c>
      <x:c r="E2689" s="9" t="n">
        <x:v>1353750</x:v>
      </x:c>
      <x:c r="F2689" s="9" t="n">
        <x:v>0</x:v>
      </x:c>
    </x:row>
    <x:row r="2690" ht="34" customHeight="1">
      <x:c r="A2690" s="4" t="str">
        <x:v>RS-01375-I1</x:v>
      </x:c>
      <x:c r="B2690" s="4" t="str">
        <x:v>RS-01375</x:v>
      </x:c>
      <x:c r="C2690" s="9" t="n">
        <x:v>1</x:v>
      </x:c>
      <x:c r="D2690" s="8" t="n">
        <x:v>45354</x:v>
      </x:c>
      <x:c r="E2690" s="9" t="n">
        <x:v>3586250</x:v>
      </x:c>
      <x:c r="F2690" s="9" t="n">
        <x:v>3586250</x:v>
      </x:c>
    </x:row>
    <x:row r="2691" ht="34" customHeight="1">
      <x:c r="A2691" s="4" t="str">
        <x:v>RS-01375-I2</x:v>
      </x:c>
      <x:c r="B2691" s="4" t="str">
        <x:v>RS-01375</x:v>
      </x:c>
      <x:c r="C2691" s="9" t="n">
        <x:v>2</x:v>
      </x:c>
      <x:c r="D2691" s="8" t="n">
        <x:v>45384</x:v>
      </x:c>
      <x:c r="E2691" s="9" t="n">
        <x:v>3586250</x:v>
      </x:c>
      <x:c r="F2691" s="9" t="n">
        <x:v>3586250</x:v>
      </x:c>
    </x:row>
    <x:row r="2692" ht="34" customHeight="1">
      <x:c r="A2692" s="4" t="str">
        <x:v>RS-01375-I3</x:v>
      </x:c>
      <x:c r="B2692" s="4" t="str">
        <x:v>RS-01375</x:v>
      </x:c>
      <x:c r="C2692" s="9" t="n">
        <x:v>3</x:v>
      </x:c>
      <x:c r="D2692" s="8" t="n">
        <x:v>45414</x:v>
      </x:c>
      <x:c r="E2692" s="9" t="n">
        <x:v>3586250</x:v>
      </x:c>
      <x:c r="F2692" s="9" t="n">
        <x:v>3586250</x:v>
      </x:c>
    </x:row>
    <x:row r="2693" ht="34" customHeight="1">
      <x:c r="A2693" s="4" t="str">
        <x:v>RS-01375-I4</x:v>
      </x:c>
      <x:c r="B2693" s="4" t="str">
        <x:v>RS-01375</x:v>
      </x:c>
      <x:c r="C2693" s="9" t="n">
        <x:v>4</x:v>
      </x:c>
      <x:c r="D2693" s="8" t="n">
        <x:v>45444</x:v>
      </x:c>
      <x:c r="E2693" s="9" t="n">
        <x:v>3586250</x:v>
      </x:c>
      <x:c r="F2693" s="9" t="n">
        <x:v>3586250</x:v>
      </x:c>
    </x:row>
    <x:row r="2694" ht="34" customHeight="1">
      <x:c r="A2694" s="4" t="str">
        <x:v>RS-01376-I1</x:v>
      </x:c>
      <x:c r="B2694" s="4" t="str">
        <x:v>RS-01376</x:v>
      </x:c>
      <x:c r="C2694" s="9" t="n">
        <x:v>1</x:v>
      </x:c>
      <x:c r="D2694" s="8" t="n">
        <x:v>45355</x:v>
      </x:c>
      <x:c r="E2694" s="9" t="n">
        <x:v>3250000</x:v>
      </x:c>
      <x:c r="F2694" s="9" t="n">
        <x:v>1300000</x:v>
      </x:c>
    </x:row>
    <x:row r="2695" ht="34" customHeight="1">
      <x:c r="A2695" s="4" t="str">
        <x:v>RS-01376-I2</x:v>
      </x:c>
      <x:c r="B2695" s="4" t="str">
        <x:v>RS-01376</x:v>
      </x:c>
      <x:c r="C2695" s="9" t="n">
        <x:v>2</x:v>
      </x:c>
      <x:c r="D2695" s="8" t="n">
        <x:v>45385</x:v>
      </x:c>
      <x:c r="E2695" s="9" t="n">
        <x:v>3250000</x:v>
      </x:c>
      <x:c r="F2695" s="9" t="n">
        <x:v>0</x:v>
      </x:c>
    </x:row>
    <x:row r="2696" ht="34" customHeight="1">
      <x:c r="A2696" s="4" t="str">
        <x:v>RS-01376-I3</x:v>
      </x:c>
      <x:c r="B2696" s="4" t="str">
        <x:v>RS-01376</x:v>
      </x:c>
      <x:c r="C2696" s="9" t="n">
        <x:v>3</x:v>
      </x:c>
      <x:c r="D2696" s="8" t="n">
        <x:v>45415</x:v>
      </x:c>
      <x:c r="E2696" s="9" t="n">
        <x:v>3250000</x:v>
      </x:c>
      <x:c r="F2696" s="9" t="n">
        <x:v>0</x:v>
      </x:c>
    </x:row>
    <x:row r="2697" ht="34" customHeight="1">
      <x:c r="A2697" s="4" t="str">
        <x:v>RS-01376-I4</x:v>
      </x:c>
      <x:c r="B2697" s="4" t="str">
        <x:v>RS-01376</x:v>
      </x:c>
      <x:c r="C2697" s="9" t="n">
        <x:v>4</x:v>
      </x:c>
      <x:c r="D2697" s="8" t="n">
        <x:v>45445</x:v>
      </x:c>
      <x:c r="E2697" s="9" t="n">
        <x:v>3250000</x:v>
      </x:c>
      <x:c r="F2697" s="9" t="n">
        <x:v>0</x:v>
      </x:c>
    </x:row>
    <x:row r="2698" ht="34" customHeight="1">
      <x:c r="A2698" s="4" t="str">
        <x:v>RS-01377-I1</x:v>
      </x:c>
      <x:c r="B2698" s="4" t="str">
        <x:v>RS-01377</x:v>
      </x:c>
      <x:c r="C2698" s="9" t="n">
        <x:v>1</x:v>
      </x:c>
      <x:c r="D2698" s="8" t="n">
        <x:v>45356</x:v>
      </x:c>
      <x:c r="E2698" s="9" t="n">
        <x:v>1575000</x:v>
      </x:c>
      <x:c r="F2698" s="9" t="n">
        <x:v>1575000</x:v>
      </x:c>
    </x:row>
    <x:row r="2699" ht="34" customHeight="1">
      <x:c r="A2699" s="4" t="str">
        <x:v>RS-01377-I2</x:v>
      </x:c>
      <x:c r="B2699" s="4" t="str">
        <x:v>RS-01377</x:v>
      </x:c>
      <x:c r="C2699" s="9" t="n">
        <x:v>2</x:v>
      </x:c>
      <x:c r="D2699" s="8" t="n">
        <x:v>45386</x:v>
      </x:c>
      <x:c r="E2699" s="9" t="n">
        <x:v>1575000</x:v>
      </x:c>
      <x:c r="F2699" s="9" t="n">
        <x:v>1575000</x:v>
      </x:c>
    </x:row>
    <x:row r="2700" ht="34" customHeight="1">
      <x:c r="A2700" s="4" t="str">
        <x:v>RS-01377-I3</x:v>
      </x:c>
      <x:c r="B2700" s="4" t="str">
        <x:v>RS-01377</x:v>
      </x:c>
      <x:c r="C2700" s="9" t="n">
        <x:v>3</x:v>
      </x:c>
      <x:c r="D2700" s="8" t="n">
        <x:v>45416</x:v>
      </x:c>
      <x:c r="E2700" s="9" t="n">
        <x:v>1575000</x:v>
      </x:c>
      <x:c r="F2700" s="9" t="n">
        <x:v>1575000</x:v>
      </x:c>
    </x:row>
    <x:row r="2701" ht="34" customHeight="1">
      <x:c r="A2701" s="4" t="str">
        <x:v>RS-01377-I4</x:v>
      </x:c>
      <x:c r="B2701" s="4" t="str">
        <x:v>RS-01377</x:v>
      </x:c>
      <x:c r="C2701" s="9" t="n">
        <x:v>4</x:v>
      </x:c>
      <x:c r="D2701" s="8" t="n">
        <x:v>45446</x:v>
      </x:c>
      <x:c r="E2701" s="9" t="n">
        <x:v>1575000</x:v>
      </x:c>
      <x:c r="F2701" s="9" t="n">
        <x:v>1575000</x:v>
      </x:c>
    </x:row>
    <x:row r="2702" ht="34" customHeight="1">
      <x:c r="A2702" s="4" t="str">
        <x:v>RS-01380-I1</x:v>
      </x:c>
      <x:c r="B2702" s="4" t="str">
        <x:v>RS-01380</x:v>
      </x:c>
      <x:c r="C2702" s="9" t="n">
        <x:v>1</x:v>
      </x:c>
      <x:c r="D2702" s="8" t="n">
        <x:v>45359</x:v>
      </x:c>
      <x:c r="E2702" s="9" t="n">
        <x:v>816750</x:v>
      </x:c>
      <x:c r="F2702" s="9" t="n">
        <x:v>816750</x:v>
      </x:c>
    </x:row>
    <x:row r="2703" ht="34" customHeight="1">
      <x:c r="A2703" s="4" t="str">
        <x:v>RS-01380-I2</x:v>
      </x:c>
      <x:c r="B2703" s="4" t="str">
        <x:v>RS-01380</x:v>
      </x:c>
      <x:c r="C2703" s="9" t="n">
        <x:v>2</x:v>
      </x:c>
      <x:c r="D2703" s="8" t="n">
        <x:v>45389</x:v>
      </x:c>
      <x:c r="E2703" s="9" t="n">
        <x:v>816750</x:v>
      </x:c>
      <x:c r="F2703" s="9" t="n">
        <x:v>816750</x:v>
      </x:c>
    </x:row>
    <x:row r="2704" ht="34" customHeight="1">
      <x:c r="A2704" s="4" t="str">
        <x:v>RS-01380-I3</x:v>
      </x:c>
      <x:c r="B2704" s="4" t="str">
        <x:v>RS-01380</x:v>
      </x:c>
      <x:c r="C2704" s="9" t="n">
        <x:v>3</x:v>
      </x:c>
      <x:c r="D2704" s="8" t="n">
        <x:v>45419</x:v>
      </x:c>
      <x:c r="E2704" s="9" t="n">
        <x:v>816750</x:v>
      </x:c>
      <x:c r="F2704" s="9" t="n">
        <x:v>0</x:v>
      </x:c>
    </x:row>
    <x:row r="2705" ht="34" customHeight="1">
      <x:c r="A2705" s="4" t="str">
        <x:v>RS-01380-I4</x:v>
      </x:c>
      <x:c r="B2705" s="4" t="str">
        <x:v>RS-01380</x:v>
      </x:c>
      <x:c r="C2705" s="9" t="n">
        <x:v>4</x:v>
      </x:c>
      <x:c r="D2705" s="8" t="n">
        <x:v>45449</x:v>
      </x:c>
      <x:c r="E2705" s="9" t="n">
        <x:v>816750</x:v>
      </x:c>
      <x:c r="F2705" s="9" t="n">
        <x:v>0</x:v>
      </x:c>
    </x:row>
    <x:row r="2706" ht="34" customHeight="1">
      <x:c r="A2706" s="4" t="str">
        <x:v>RS-01382-I1</x:v>
      </x:c>
      <x:c r="B2706" s="4" t="str">
        <x:v>RS-01382</x:v>
      </x:c>
      <x:c r="C2706" s="9" t="n">
        <x:v>1</x:v>
      </x:c>
      <x:c r="D2706" s="8" t="n">
        <x:v>45361</x:v>
      </x:c>
      <x:c r="E2706" s="9" t="n">
        <x:v>1511250</x:v>
      </x:c>
      <x:c r="F2706" s="9" t="n">
        <x:v>1511250</x:v>
      </x:c>
    </x:row>
    <x:row r="2707" ht="34" customHeight="1">
      <x:c r="A2707" s="4" t="str">
        <x:v>RS-01382-I2</x:v>
      </x:c>
      <x:c r="B2707" s="4" t="str">
        <x:v>RS-01382</x:v>
      </x:c>
      <x:c r="C2707" s="9" t="n">
        <x:v>2</x:v>
      </x:c>
      <x:c r="D2707" s="8" t="n">
        <x:v>45391</x:v>
      </x:c>
      <x:c r="E2707" s="9" t="n">
        <x:v>1511250</x:v>
      </x:c>
      <x:c r="F2707" s="9" t="n">
        <x:v>1511250</x:v>
      </x:c>
    </x:row>
    <x:row r="2708" ht="34" customHeight="1">
      <x:c r="A2708" s="4" t="str">
        <x:v>RS-01382-I3</x:v>
      </x:c>
      <x:c r="B2708" s="4" t="str">
        <x:v>RS-01382</x:v>
      </x:c>
      <x:c r="C2708" s="9" t="n">
        <x:v>3</x:v>
      </x:c>
      <x:c r="D2708" s="8" t="n">
        <x:v>45421</x:v>
      </x:c>
      <x:c r="E2708" s="9" t="n">
        <x:v>1511250</x:v>
      </x:c>
      <x:c r="F2708" s="9" t="n">
        <x:v>1511250</x:v>
      </x:c>
    </x:row>
    <x:row r="2709" ht="34" customHeight="1">
      <x:c r="A2709" s="4" t="str">
        <x:v>RS-01382-I4</x:v>
      </x:c>
      <x:c r="B2709" s="4" t="str">
        <x:v>RS-01382</x:v>
      </x:c>
      <x:c r="C2709" s="9" t="n">
        <x:v>4</x:v>
      </x:c>
      <x:c r="D2709" s="8" t="n">
        <x:v>45451</x:v>
      </x:c>
      <x:c r="E2709" s="9" t="n">
        <x:v>1511250</x:v>
      </x:c>
      <x:c r="F2709" s="9" t="n">
        <x:v>1511250</x:v>
      </x:c>
    </x:row>
    <x:row r="2710" ht="34" customHeight="1">
      <x:c r="A2710" s="4" t="str">
        <x:v>RS-01386-I1</x:v>
      </x:c>
      <x:c r="B2710" s="4" t="str">
        <x:v>RS-01386</x:v>
      </x:c>
      <x:c r="C2710" s="9" t="n">
        <x:v>1</x:v>
      </x:c>
      <x:c r="D2710" s="8" t="n">
        <x:v>45365</x:v>
      </x:c>
      <x:c r="E2710" s="9" t="n">
        <x:v>1100000</x:v>
      </x:c>
      <x:c r="F2710" s="9" t="n">
        <x:v>1100000</x:v>
      </x:c>
    </x:row>
    <x:row r="2711" ht="34" customHeight="1">
      <x:c r="A2711" s="4" t="str">
        <x:v>RS-01386-I2</x:v>
      </x:c>
      <x:c r="B2711" s="4" t="str">
        <x:v>RS-01386</x:v>
      </x:c>
      <x:c r="C2711" s="9" t="n">
        <x:v>2</x:v>
      </x:c>
      <x:c r="D2711" s="8" t="n">
        <x:v>45395</x:v>
      </x:c>
      <x:c r="E2711" s="9" t="n">
        <x:v>1100000</x:v>
      </x:c>
      <x:c r="F2711" s="9" t="n">
        <x:v>0</x:v>
      </x:c>
    </x:row>
    <x:row r="2712" ht="34" customHeight="1">
      <x:c r="A2712" s="4" t="str">
        <x:v>RS-01386-I3</x:v>
      </x:c>
      <x:c r="B2712" s="4" t="str">
        <x:v>RS-01386</x:v>
      </x:c>
      <x:c r="C2712" s="9" t="n">
        <x:v>3</x:v>
      </x:c>
      <x:c r="D2712" s="8" t="n">
        <x:v>45425</x:v>
      </x:c>
      <x:c r="E2712" s="9" t="n">
        <x:v>1100000</x:v>
      </x:c>
      <x:c r="F2712" s="9" t="n">
        <x:v>0</x:v>
      </x:c>
    </x:row>
    <x:row r="2713" ht="34" customHeight="1">
      <x:c r="A2713" s="4" t="str">
        <x:v>RS-01386-I4</x:v>
      </x:c>
      <x:c r="B2713" s="4" t="str">
        <x:v>RS-01386</x:v>
      </x:c>
      <x:c r="C2713" s="9" t="n">
        <x:v>4</x:v>
      </x:c>
      <x:c r="D2713" s="8" t="n">
        <x:v>45455</x:v>
      </x:c>
      <x:c r="E2713" s="9" t="n">
        <x:v>1100000</x:v>
      </x:c>
      <x:c r="F2713" s="9" t="n">
        <x:v>0</x:v>
      </x:c>
    </x:row>
    <x:row r="2714" ht="34" customHeight="1">
      <x:c r="A2714" s="4" t="str">
        <x:v>RS-01391-I1</x:v>
      </x:c>
      <x:c r="B2714" s="4" t="str">
        <x:v>RS-01391</x:v>
      </x:c>
      <x:c r="C2714" s="9" t="n">
        <x:v>1</x:v>
      </x:c>
      <x:c r="D2714" s="8" t="n">
        <x:v>45370</x:v>
      </x:c>
      <x:c r="E2714" s="9" t="n">
        <x:v>5626500</x:v>
      </x:c>
      <x:c r="F2714" s="9" t="n">
        <x:v>2250600</x:v>
      </x:c>
    </x:row>
    <x:row r="2715" ht="34" customHeight="1">
      <x:c r="A2715" s="4" t="str">
        <x:v>RS-01391-I2</x:v>
      </x:c>
      <x:c r="B2715" s="4" t="str">
        <x:v>RS-01391</x:v>
      </x:c>
      <x:c r="C2715" s="9" t="n">
        <x:v>2</x:v>
      </x:c>
      <x:c r="D2715" s="8" t="n">
        <x:v>45400</x:v>
      </x:c>
      <x:c r="E2715" s="9" t="n">
        <x:v>5626500</x:v>
      </x:c>
      <x:c r="F2715" s="9" t="n">
        <x:v>0</x:v>
      </x:c>
    </x:row>
    <x:row r="2716" ht="34" customHeight="1">
      <x:c r="A2716" s="4" t="str">
        <x:v>RS-01391-I3</x:v>
      </x:c>
      <x:c r="B2716" s="4" t="str">
        <x:v>RS-01391</x:v>
      </x:c>
      <x:c r="C2716" s="9" t="n">
        <x:v>3</x:v>
      </x:c>
      <x:c r="D2716" s="8" t="n">
        <x:v>45430</x:v>
      </x:c>
      <x:c r="E2716" s="9" t="n">
        <x:v>5626500</x:v>
      </x:c>
      <x:c r="F2716" s="9" t="n">
        <x:v>0</x:v>
      </x:c>
    </x:row>
    <x:row r="2717" ht="34" customHeight="1">
      <x:c r="A2717" s="4" t="str">
        <x:v>RS-01391-I4</x:v>
      </x:c>
      <x:c r="B2717" s="4" t="str">
        <x:v>RS-01391</x:v>
      </x:c>
      <x:c r="C2717" s="9" t="n">
        <x:v>4</x:v>
      </x:c>
      <x:c r="D2717" s="8" t="n">
        <x:v>45460</x:v>
      </x:c>
      <x:c r="E2717" s="9" t="n">
        <x:v>5626500</x:v>
      </x:c>
      <x:c r="F2717" s="9" t="n">
        <x:v>0</x:v>
      </x:c>
    </x:row>
    <x:row r="2718" ht="34" customHeight="1">
      <x:c r="A2718" s="4" t="str">
        <x:v>RS-01393-I1</x:v>
      </x:c>
      <x:c r="B2718" s="4" t="str">
        <x:v>RS-01393</x:v>
      </x:c>
      <x:c r="C2718" s="9" t="n">
        <x:v>1</x:v>
      </x:c>
      <x:c r="D2718" s="8" t="n">
        <x:v>45372</x:v>
      </x:c>
      <x:c r="E2718" s="9" t="n">
        <x:v>5475500</x:v>
      </x:c>
      <x:c r="F2718" s="9" t="n">
        <x:v>5475500</x:v>
      </x:c>
    </x:row>
    <x:row r="2719" ht="34" customHeight="1">
      <x:c r="A2719" s="4" t="str">
        <x:v>RS-01393-I2</x:v>
      </x:c>
      <x:c r="B2719" s="4" t="str">
        <x:v>RS-01393</x:v>
      </x:c>
      <x:c r="C2719" s="9" t="n">
        <x:v>2</x:v>
      </x:c>
      <x:c r="D2719" s="8" t="n">
        <x:v>45402</x:v>
      </x:c>
      <x:c r="E2719" s="9" t="n">
        <x:v>5475500</x:v>
      </x:c>
      <x:c r="F2719" s="9" t="n">
        <x:v>5475500</x:v>
      </x:c>
    </x:row>
    <x:row r="2720" ht="34" customHeight="1">
      <x:c r="A2720" s="4" t="str">
        <x:v>RS-01393-I3</x:v>
      </x:c>
      <x:c r="B2720" s="4" t="str">
        <x:v>RS-01393</x:v>
      </x:c>
      <x:c r="C2720" s="9" t="n">
        <x:v>3</x:v>
      </x:c>
      <x:c r="D2720" s="8" t="n">
        <x:v>45432</x:v>
      </x:c>
      <x:c r="E2720" s="9" t="n">
        <x:v>5475500</x:v>
      </x:c>
      <x:c r="F2720" s="9" t="n">
        <x:v>0</x:v>
      </x:c>
    </x:row>
    <x:row r="2721" ht="34" customHeight="1">
      <x:c r="A2721" s="4" t="str">
        <x:v>RS-01393-I4</x:v>
      </x:c>
      <x:c r="B2721" s="4" t="str">
        <x:v>RS-01393</x:v>
      </x:c>
      <x:c r="C2721" s="9" t="n">
        <x:v>4</x:v>
      </x:c>
      <x:c r="D2721" s="8" t="n">
        <x:v>45462</x:v>
      </x:c>
      <x:c r="E2721" s="9" t="n">
        <x:v>5475500</x:v>
      </x:c>
      <x:c r="F2721" s="9" t="n">
        <x:v>0</x:v>
      </x:c>
    </x:row>
    <x:row r="2722" ht="34" customHeight="1">
      <x:c r="A2722" s="4" t="str">
        <x:v>RS-01396-I1</x:v>
      </x:c>
      <x:c r="B2722" s="4" t="str">
        <x:v>RS-01396</x:v>
      </x:c>
      <x:c r="C2722" s="9" t="n">
        <x:v>1</x:v>
      </x:c>
      <x:c r="D2722" s="8" t="n">
        <x:v>45375</x:v>
      </x:c>
      <x:c r="E2722" s="9" t="n">
        <x:v>5504750</x:v>
      </x:c>
      <x:c r="F2722" s="9" t="n">
        <x:v>5504750</x:v>
      </x:c>
    </x:row>
    <x:row r="2723" ht="34" customHeight="1">
      <x:c r="A2723" s="4" t="str">
        <x:v>RS-01396-I2</x:v>
      </x:c>
      <x:c r="B2723" s="4" t="str">
        <x:v>RS-01396</x:v>
      </x:c>
      <x:c r="C2723" s="9" t="n">
        <x:v>2</x:v>
      </x:c>
      <x:c r="D2723" s="8" t="n">
        <x:v>45405</x:v>
      </x:c>
      <x:c r="E2723" s="9" t="n">
        <x:v>5504750</x:v>
      </x:c>
      <x:c r="F2723" s="9" t="n">
        <x:v>5504750</x:v>
      </x:c>
    </x:row>
    <x:row r="2724" ht="34" customHeight="1">
      <x:c r="A2724" s="4" t="str">
        <x:v>RS-01396-I3</x:v>
      </x:c>
      <x:c r="B2724" s="4" t="str">
        <x:v>RS-01396</x:v>
      </x:c>
      <x:c r="C2724" s="9" t="n">
        <x:v>3</x:v>
      </x:c>
      <x:c r="D2724" s="8" t="n">
        <x:v>45435</x:v>
      </x:c>
      <x:c r="E2724" s="9" t="n">
        <x:v>5504750</x:v>
      </x:c>
      <x:c r="F2724" s="9" t="n">
        <x:v>0</x:v>
      </x:c>
    </x:row>
    <x:row r="2725" ht="34" customHeight="1">
      <x:c r="A2725" s="4" t="str">
        <x:v>RS-01396-I4</x:v>
      </x:c>
      <x:c r="B2725" s="4" t="str">
        <x:v>RS-01396</x:v>
      </x:c>
      <x:c r="C2725" s="9" t="n">
        <x:v>4</x:v>
      </x:c>
      <x:c r="D2725" s="8" t="n">
        <x:v>45465</x:v>
      </x:c>
      <x:c r="E2725" s="9" t="n">
        <x:v>5504750</x:v>
      </x:c>
      <x:c r="F2725" s="9" t="n">
        <x:v>0</x:v>
      </x:c>
    </x:row>
    <x:row r="2726" ht="34" customHeight="1">
      <x:c r="A2726" s="4" t="str">
        <x:v>RS-01397-I1</x:v>
      </x:c>
      <x:c r="B2726" s="4" t="str">
        <x:v>RS-01397</x:v>
      </x:c>
      <x:c r="C2726" s="9" t="n">
        <x:v>1</x:v>
      </x:c>
      <x:c r="D2726" s="8" t="n">
        <x:v>45376</x:v>
      </x:c>
      <x:c r="E2726" s="9" t="n">
        <x:v>5112000</x:v>
      </x:c>
      <x:c r="F2726" s="9" t="n">
        <x:v>2044800</x:v>
      </x:c>
    </x:row>
    <x:row r="2727" ht="34" customHeight="1">
      <x:c r="A2727" s="4" t="str">
        <x:v>RS-01397-I2</x:v>
      </x:c>
      <x:c r="B2727" s="4" t="str">
        <x:v>RS-01397</x:v>
      </x:c>
      <x:c r="C2727" s="9" t="n">
        <x:v>2</x:v>
      </x:c>
      <x:c r="D2727" s="8" t="n">
        <x:v>45406</x:v>
      </x:c>
      <x:c r="E2727" s="9" t="n">
        <x:v>5112000</x:v>
      </x:c>
      <x:c r="F2727" s="9" t="n">
        <x:v>0</x:v>
      </x:c>
    </x:row>
    <x:row r="2728" ht="34" customHeight="1">
      <x:c r="A2728" s="4" t="str">
        <x:v>RS-01397-I3</x:v>
      </x:c>
      <x:c r="B2728" s="4" t="str">
        <x:v>RS-01397</x:v>
      </x:c>
      <x:c r="C2728" s="9" t="n">
        <x:v>3</x:v>
      </x:c>
      <x:c r="D2728" s="8" t="n">
        <x:v>45436</x:v>
      </x:c>
      <x:c r="E2728" s="9" t="n">
        <x:v>5112000</x:v>
      </x:c>
      <x:c r="F2728" s="9" t="n">
        <x:v>0</x:v>
      </x:c>
    </x:row>
    <x:row r="2729" ht="34" customHeight="1">
      <x:c r="A2729" s="4" t="str">
        <x:v>RS-01397-I4</x:v>
      </x:c>
      <x:c r="B2729" s="4" t="str">
        <x:v>RS-01397</x:v>
      </x:c>
      <x:c r="C2729" s="9" t="n">
        <x:v>4</x:v>
      </x:c>
      <x:c r="D2729" s="8" t="n">
        <x:v>45466</x:v>
      </x:c>
      <x:c r="E2729" s="9" t="n">
        <x:v>5112000</x:v>
      </x:c>
      <x:c r="F2729" s="9" t="n">
        <x:v>0</x:v>
      </x:c>
    </x:row>
    <x:row r="2730" ht="34" customHeight="1">
      <x:c r="A2730" s="4" t="str">
        <x:v>RS-01399-I1</x:v>
      </x:c>
      <x:c r="B2730" s="4" t="str">
        <x:v>RS-01399</x:v>
      </x:c>
      <x:c r="C2730" s="9" t="n">
        <x:v>1</x:v>
      </x:c>
      <x:c r="D2730" s="8" t="n">
        <x:v>45378</x:v>
      </x:c>
      <x:c r="E2730" s="9" t="n">
        <x:v>5812500</x:v>
      </x:c>
      <x:c r="F2730" s="9" t="n">
        <x:v>5812500</x:v>
      </x:c>
    </x:row>
    <x:row r="2731" ht="34" customHeight="1">
      <x:c r="A2731" s="4" t="str">
        <x:v>RS-01399-I2</x:v>
      </x:c>
      <x:c r="B2731" s="4" t="str">
        <x:v>RS-01399</x:v>
      </x:c>
      <x:c r="C2731" s="9" t="n">
        <x:v>2</x:v>
      </x:c>
      <x:c r="D2731" s="8" t="n">
        <x:v>45408</x:v>
      </x:c>
      <x:c r="E2731" s="9" t="n">
        <x:v>5812500</x:v>
      </x:c>
      <x:c r="F2731" s="9" t="n">
        <x:v>5812500</x:v>
      </x:c>
    </x:row>
    <x:row r="2732" ht="34" customHeight="1">
      <x:c r="A2732" s="4" t="str">
        <x:v>RS-01399-I3</x:v>
      </x:c>
      <x:c r="B2732" s="4" t="str">
        <x:v>RS-01399</x:v>
      </x:c>
      <x:c r="C2732" s="9" t="n">
        <x:v>3</x:v>
      </x:c>
      <x:c r="D2732" s="8" t="n">
        <x:v>45438</x:v>
      </x:c>
      <x:c r="E2732" s="9" t="n">
        <x:v>5812500</x:v>
      </x:c>
      <x:c r="F2732" s="9" t="n">
        <x:v>5812500</x:v>
      </x:c>
    </x:row>
    <x:row r="2733" ht="34" customHeight="1">
      <x:c r="A2733" s="4" t="str">
        <x:v>RS-01399-I4</x:v>
      </x:c>
      <x:c r="B2733" s="4" t="str">
        <x:v>RS-01399</x:v>
      </x:c>
      <x:c r="C2733" s="9" t="n">
        <x:v>4</x:v>
      </x:c>
      <x:c r="D2733" s="8" t="n">
        <x:v>45468</x:v>
      </x:c>
      <x:c r="E2733" s="9" t="n">
        <x:v>5812500</x:v>
      </x:c>
      <x:c r="F2733" s="9" t="n">
        <x:v>5812500</x:v>
      </x:c>
    </x:row>
    <x:row r="2734" ht="34" customHeight="1">
      <x:c r="A2734" s="4" t="str">
        <x:v>RS-01400-I1</x:v>
      </x:c>
      <x:c r="B2734" s="4" t="str">
        <x:v>RS-01400</x:v>
      </x:c>
      <x:c r="C2734" s="9" t="n">
        <x:v>1</x:v>
      </x:c>
      <x:c r="D2734" s="8" t="n">
        <x:v>45379</x:v>
      </x:c>
      <x:c r="E2734" s="9" t="n">
        <x:v>897000</x:v>
      </x:c>
      <x:c r="F2734" s="9" t="n">
        <x:v>897000</x:v>
      </x:c>
    </x:row>
    <x:row r="2735" ht="34" customHeight="1">
      <x:c r="A2735" s="4" t="str">
        <x:v>RS-01400-I2</x:v>
      </x:c>
      <x:c r="B2735" s="4" t="str">
        <x:v>RS-01400</x:v>
      </x:c>
      <x:c r="C2735" s="9" t="n">
        <x:v>2</x:v>
      </x:c>
      <x:c r="D2735" s="8" t="n">
        <x:v>45409</x:v>
      </x:c>
      <x:c r="E2735" s="9" t="n">
        <x:v>897000</x:v>
      </x:c>
      <x:c r="F2735" s="9" t="n">
        <x:v>0</x:v>
      </x:c>
    </x:row>
    <x:row r="2736" ht="34" customHeight="1">
      <x:c r="A2736" s="4" t="str">
        <x:v>RS-01400-I3</x:v>
      </x:c>
      <x:c r="B2736" s="4" t="str">
        <x:v>RS-01400</x:v>
      </x:c>
      <x:c r="C2736" s="9" t="n">
        <x:v>3</x:v>
      </x:c>
      <x:c r="D2736" s="8" t="n">
        <x:v>45439</x:v>
      </x:c>
      <x:c r="E2736" s="9" t="n">
        <x:v>897000</x:v>
      </x:c>
      <x:c r="F2736" s="9" t="n">
        <x:v>0</x:v>
      </x:c>
    </x:row>
    <x:row r="2737" ht="34" customHeight="1">
      <x:c r="A2737" s="4" t="str">
        <x:v>RS-01400-I4</x:v>
      </x:c>
      <x:c r="B2737" s="4" t="str">
        <x:v>RS-01400</x:v>
      </x:c>
      <x:c r="C2737" s="9" t="n">
        <x:v>4</x:v>
      </x:c>
      <x:c r="D2737" s="8" t="n">
        <x:v>45469</x:v>
      </x:c>
      <x:c r="E2737" s="9" t="n">
        <x:v>897000</x:v>
      </x:c>
      <x:c r="F2737" s="9" t="n">
        <x:v>0</x:v>
      </x:c>
    </x:row>
    <x:row r="2738" ht="34" customHeight="1">
      <x:c r="A2738" s="4" t="str">
        <x:v>RS-01401-I1</x:v>
      </x:c>
      <x:c r="B2738" s="4" t="str">
        <x:v>RS-01401</x:v>
      </x:c>
      <x:c r="C2738" s="9" t="n">
        <x:v>1</x:v>
      </x:c>
      <x:c r="D2738" s="8" t="n">
        <x:v>45352</x:v>
      </x:c>
      <x:c r="E2738" s="9" t="n">
        <x:v>2921000</x:v>
      </x:c>
      <x:c r="F2738" s="9" t="n">
        <x:v>2921000</x:v>
      </x:c>
    </x:row>
    <x:row r="2739" ht="34" customHeight="1">
      <x:c r="A2739" s="4" t="str">
        <x:v>RS-01401-I2</x:v>
      </x:c>
      <x:c r="B2739" s="4" t="str">
        <x:v>RS-01401</x:v>
      </x:c>
      <x:c r="C2739" s="9" t="n">
        <x:v>2</x:v>
      </x:c>
      <x:c r="D2739" s="8" t="n">
        <x:v>45382</x:v>
      </x:c>
      <x:c r="E2739" s="9" t="n">
        <x:v>2921000</x:v>
      </x:c>
      <x:c r="F2739" s="9" t="n">
        <x:v>2921000</x:v>
      </x:c>
    </x:row>
    <x:row r="2740" ht="34" customHeight="1">
      <x:c r="A2740" s="4" t="str">
        <x:v>RS-01401-I3</x:v>
      </x:c>
      <x:c r="B2740" s="4" t="str">
        <x:v>RS-01401</x:v>
      </x:c>
      <x:c r="C2740" s="9" t="n">
        <x:v>3</x:v>
      </x:c>
      <x:c r="D2740" s="8" t="n">
        <x:v>45412</x:v>
      </x:c>
      <x:c r="E2740" s="9" t="n">
        <x:v>2921000</x:v>
      </x:c>
      <x:c r="F2740" s="9" t="n">
        <x:v>2921000</x:v>
      </x:c>
    </x:row>
    <x:row r="2741" ht="34" customHeight="1">
      <x:c r="A2741" s="4" t="str">
        <x:v>RS-01401-I4</x:v>
      </x:c>
      <x:c r="B2741" s="4" t="str">
        <x:v>RS-01401</x:v>
      </x:c>
      <x:c r="C2741" s="9" t="n">
        <x:v>4</x:v>
      </x:c>
      <x:c r="D2741" s="8" t="n">
        <x:v>45442</x:v>
      </x:c>
      <x:c r="E2741" s="9" t="n">
        <x:v>2921000</x:v>
      </x:c>
      <x:c r="F2741" s="9" t="n">
        <x:v>2921000</x:v>
      </x:c>
    </x:row>
    <x:row r="2742" ht="34" customHeight="1">
      <x:c r="A2742" s="4" t="str">
        <x:v>RS-01404-I1</x:v>
      </x:c>
      <x:c r="B2742" s="4" t="str">
        <x:v>RS-01404</x:v>
      </x:c>
      <x:c r="C2742" s="9" t="n">
        <x:v>1</x:v>
      </x:c>
      <x:c r="D2742" s="8" t="n">
        <x:v>45355</x:v>
      </x:c>
      <x:c r="E2742" s="9" t="n">
        <x:v>3705000</x:v>
      </x:c>
      <x:c r="F2742" s="9" t="n">
        <x:v>3705000</x:v>
      </x:c>
    </x:row>
    <x:row r="2743" ht="34" customHeight="1">
      <x:c r="A2743" s="4" t="str">
        <x:v>RS-01404-I2</x:v>
      </x:c>
      <x:c r="B2743" s="4" t="str">
        <x:v>RS-01404</x:v>
      </x:c>
      <x:c r="C2743" s="9" t="n">
        <x:v>2</x:v>
      </x:c>
      <x:c r="D2743" s="8" t="n">
        <x:v>45385</x:v>
      </x:c>
      <x:c r="E2743" s="9" t="n">
        <x:v>3705000</x:v>
      </x:c>
      <x:c r="F2743" s="9" t="n">
        <x:v>3705000</x:v>
      </x:c>
    </x:row>
    <x:row r="2744" ht="34" customHeight="1">
      <x:c r="A2744" s="4" t="str">
        <x:v>RS-01404-I3</x:v>
      </x:c>
      <x:c r="B2744" s="4" t="str">
        <x:v>RS-01404</x:v>
      </x:c>
      <x:c r="C2744" s="9" t="n">
        <x:v>3</x:v>
      </x:c>
      <x:c r="D2744" s="8" t="n">
        <x:v>45415</x:v>
      </x:c>
      <x:c r="E2744" s="9" t="n">
        <x:v>3705000</x:v>
      </x:c>
      <x:c r="F2744" s="9" t="n">
        <x:v>0</x:v>
      </x:c>
    </x:row>
    <x:row r="2745" ht="34" customHeight="1">
      <x:c r="A2745" s="4" t="str">
        <x:v>RS-01404-I4</x:v>
      </x:c>
      <x:c r="B2745" s="4" t="str">
        <x:v>RS-01404</x:v>
      </x:c>
      <x:c r="C2745" s="9" t="n">
        <x:v>4</x:v>
      </x:c>
      <x:c r="D2745" s="8" t="n">
        <x:v>45445</x:v>
      </x:c>
      <x:c r="E2745" s="9" t="n">
        <x:v>3705000</x:v>
      </x:c>
      <x:c r="F2745" s="9" t="n">
        <x:v>0</x:v>
      </x:c>
    </x:row>
    <x:row r="2746" ht="34" customHeight="1">
      <x:c r="A2746" s="4" t="str">
        <x:v>RS-01407-I1</x:v>
      </x:c>
      <x:c r="B2746" s="4" t="str">
        <x:v>RS-01407</x:v>
      </x:c>
      <x:c r="C2746" s="9" t="n">
        <x:v>1</x:v>
      </x:c>
      <x:c r="D2746" s="8" t="n">
        <x:v>45358</x:v>
      </x:c>
      <x:c r="E2746" s="9" t="n">
        <x:v>3350000</x:v>
      </x:c>
      <x:c r="F2746" s="9" t="n">
        <x:v>3350000</x:v>
      </x:c>
    </x:row>
    <x:row r="2747" ht="34" customHeight="1">
      <x:c r="A2747" s="4" t="str">
        <x:v>RS-01407-I2</x:v>
      </x:c>
      <x:c r="B2747" s="4" t="str">
        <x:v>RS-01407</x:v>
      </x:c>
      <x:c r="C2747" s="9" t="n">
        <x:v>2</x:v>
      </x:c>
      <x:c r="D2747" s="8" t="n">
        <x:v>45388</x:v>
      </x:c>
      <x:c r="E2747" s="9" t="n">
        <x:v>3350000</x:v>
      </x:c>
      <x:c r="F2747" s="9" t="n">
        <x:v>0</x:v>
      </x:c>
    </x:row>
    <x:row r="2748" ht="34" customHeight="1">
      <x:c r="A2748" s="4" t="str">
        <x:v>RS-01407-I3</x:v>
      </x:c>
      <x:c r="B2748" s="4" t="str">
        <x:v>RS-01407</x:v>
      </x:c>
      <x:c r="C2748" s="9" t="n">
        <x:v>3</x:v>
      </x:c>
      <x:c r="D2748" s="8" t="n">
        <x:v>45418</x:v>
      </x:c>
      <x:c r="E2748" s="9" t="n">
        <x:v>3350000</x:v>
      </x:c>
      <x:c r="F2748" s="9" t="n">
        <x:v>0</x:v>
      </x:c>
    </x:row>
    <x:row r="2749" ht="34" customHeight="1">
      <x:c r="A2749" s="4" t="str">
        <x:v>RS-01407-I4</x:v>
      </x:c>
      <x:c r="B2749" s="4" t="str">
        <x:v>RS-01407</x:v>
      </x:c>
      <x:c r="C2749" s="9" t="n">
        <x:v>4</x:v>
      </x:c>
      <x:c r="D2749" s="8" t="n">
        <x:v>45448</x:v>
      </x:c>
      <x:c r="E2749" s="9" t="n">
        <x:v>3350000</x:v>
      </x:c>
      <x:c r="F2749" s="9" t="n">
        <x:v>0</x:v>
      </x:c>
    </x:row>
    <x:row r="2750" ht="34" customHeight="1">
      <x:c r="A2750" s="4" t="str">
        <x:v>RS-01409-I1</x:v>
      </x:c>
      <x:c r="B2750" s="4" t="str">
        <x:v>RS-01409</x:v>
      </x:c>
      <x:c r="C2750" s="9" t="n">
        <x:v>1</x:v>
      </x:c>
      <x:c r="D2750" s="8" t="n">
        <x:v>45360</x:v>
      </x:c>
      <x:c r="E2750" s="9" t="n">
        <x:v>3072000</x:v>
      </x:c>
      <x:c r="F2750" s="9" t="n">
        <x:v>3072000</x:v>
      </x:c>
    </x:row>
    <x:row r="2751" ht="34" customHeight="1">
      <x:c r="A2751" s="4" t="str">
        <x:v>RS-01409-I2</x:v>
      </x:c>
      <x:c r="B2751" s="4" t="str">
        <x:v>RS-01409</x:v>
      </x:c>
      <x:c r="C2751" s="9" t="n">
        <x:v>2</x:v>
      </x:c>
      <x:c r="D2751" s="8" t="n">
        <x:v>45390</x:v>
      </x:c>
      <x:c r="E2751" s="9" t="n">
        <x:v>3072000</x:v>
      </x:c>
      <x:c r="F2751" s="9" t="n">
        <x:v>3072000</x:v>
      </x:c>
    </x:row>
    <x:row r="2752" ht="34" customHeight="1">
      <x:c r="A2752" s="4" t="str">
        <x:v>RS-01409-I3</x:v>
      </x:c>
      <x:c r="B2752" s="4" t="str">
        <x:v>RS-01409</x:v>
      </x:c>
      <x:c r="C2752" s="9" t="n">
        <x:v>3</x:v>
      </x:c>
      <x:c r="D2752" s="8" t="n">
        <x:v>45420</x:v>
      </x:c>
      <x:c r="E2752" s="9" t="n">
        <x:v>3072000</x:v>
      </x:c>
      <x:c r="F2752" s="9" t="n">
        <x:v>3072000</x:v>
      </x:c>
    </x:row>
    <x:row r="2753" ht="34" customHeight="1">
      <x:c r="A2753" s="4" t="str">
        <x:v>RS-01409-I4</x:v>
      </x:c>
      <x:c r="B2753" s="4" t="str">
        <x:v>RS-01409</x:v>
      </x:c>
      <x:c r="C2753" s="9" t="n">
        <x:v>4</x:v>
      </x:c>
      <x:c r="D2753" s="8" t="n">
        <x:v>45450</x:v>
      </x:c>
      <x:c r="E2753" s="9" t="n">
        <x:v>3072000</x:v>
      </x:c>
      <x:c r="F2753" s="9" t="n">
        <x:v>3072000</x:v>
      </x:c>
    </x:row>
    <x:row r="2754" ht="34" customHeight="1">
      <x:c r="A2754" s="4" t="str">
        <x:v>RS-01410-I1</x:v>
      </x:c>
      <x:c r="B2754" s="4" t="str">
        <x:v>RS-01410</x:v>
      </x:c>
      <x:c r="C2754" s="9" t="n">
        <x:v>1</x:v>
      </x:c>
      <x:c r="D2754" s="8" t="n">
        <x:v>45361</x:v>
      </x:c>
      <x:c r="E2754" s="9" t="n">
        <x:v>3912000</x:v>
      </x:c>
      <x:c r="F2754" s="9" t="n">
        <x:v>1564800</x:v>
      </x:c>
    </x:row>
    <x:row r="2755" ht="34" customHeight="1">
      <x:c r="A2755" s="4" t="str">
        <x:v>RS-01410-I2</x:v>
      </x:c>
      <x:c r="B2755" s="4" t="str">
        <x:v>RS-01410</x:v>
      </x:c>
      <x:c r="C2755" s="9" t="n">
        <x:v>2</x:v>
      </x:c>
      <x:c r="D2755" s="8" t="n">
        <x:v>45391</x:v>
      </x:c>
      <x:c r="E2755" s="9" t="n">
        <x:v>3912000</x:v>
      </x:c>
      <x:c r="F2755" s="9" t="n">
        <x:v>0</x:v>
      </x:c>
    </x:row>
    <x:row r="2756" ht="34" customHeight="1">
      <x:c r="A2756" s="4" t="str">
        <x:v>RS-01410-I3</x:v>
      </x:c>
      <x:c r="B2756" s="4" t="str">
        <x:v>RS-01410</x:v>
      </x:c>
      <x:c r="C2756" s="9" t="n">
        <x:v>3</x:v>
      </x:c>
      <x:c r="D2756" s="8" t="n">
        <x:v>45421</x:v>
      </x:c>
      <x:c r="E2756" s="9" t="n">
        <x:v>3912000</x:v>
      </x:c>
      <x:c r="F2756" s="9" t="n">
        <x:v>0</x:v>
      </x:c>
    </x:row>
    <x:row r="2757" ht="34" customHeight="1">
      <x:c r="A2757" s="4" t="str">
        <x:v>RS-01410-I4</x:v>
      </x:c>
      <x:c r="B2757" s="4" t="str">
        <x:v>RS-01410</x:v>
      </x:c>
      <x:c r="C2757" s="9" t="n">
        <x:v>4</x:v>
      </x:c>
      <x:c r="D2757" s="8" t="n">
        <x:v>45451</x:v>
      </x:c>
      <x:c r="E2757" s="9" t="n">
        <x:v>3912000</x:v>
      </x:c>
      <x:c r="F2757" s="9" t="n">
        <x:v>0</x:v>
      </x:c>
    </x:row>
    <x:row r="2758" ht="34" customHeight="1">
      <x:c r="A2758" s="4" t="str">
        <x:v>RS-01411-I1</x:v>
      </x:c>
      <x:c r="B2758" s="4" t="str">
        <x:v>RS-01411</x:v>
      </x:c>
      <x:c r="C2758" s="9" t="n">
        <x:v>1</x:v>
      </x:c>
      <x:c r="D2758" s="8" t="n">
        <x:v>45362</x:v>
      </x:c>
      <x:c r="E2758" s="9" t="n">
        <x:v>3487500</x:v>
      </x:c>
      <x:c r="F2758" s="9" t="n">
        <x:v>3487500</x:v>
      </x:c>
    </x:row>
    <x:row r="2759" ht="34" customHeight="1">
      <x:c r="A2759" s="4" t="str">
        <x:v>RS-01411-I2</x:v>
      </x:c>
      <x:c r="B2759" s="4" t="str">
        <x:v>RS-01411</x:v>
      </x:c>
      <x:c r="C2759" s="9" t="n">
        <x:v>2</x:v>
      </x:c>
      <x:c r="D2759" s="8" t="n">
        <x:v>45392</x:v>
      </x:c>
      <x:c r="E2759" s="9" t="n">
        <x:v>3487500</x:v>
      </x:c>
      <x:c r="F2759" s="9" t="n">
        <x:v>3487500</x:v>
      </x:c>
    </x:row>
    <x:row r="2760" ht="34" customHeight="1">
      <x:c r="A2760" s="4" t="str">
        <x:v>RS-01411-I3</x:v>
      </x:c>
      <x:c r="B2760" s="4" t="str">
        <x:v>RS-01411</x:v>
      </x:c>
      <x:c r="C2760" s="9" t="n">
        <x:v>3</x:v>
      </x:c>
      <x:c r="D2760" s="8" t="n">
        <x:v>45422</x:v>
      </x:c>
      <x:c r="E2760" s="9" t="n">
        <x:v>3487500</x:v>
      </x:c>
      <x:c r="F2760" s="9" t="n">
        <x:v>0</x:v>
      </x:c>
    </x:row>
    <x:row r="2761" ht="34" customHeight="1">
      <x:c r="A2761" s="4" t="str">
        <x:v>RS-01411-I4</x:v>
      </x:c>
      <x:c r="B2761" s="4" t="str">
        <x:v>RS-01411</x:v>
      </x:c>
      <x:c r="C2761" s="9" t="n">
        <x:v>4</x:v>
      </x:c>
      <x:c r="D2761" s="8" t="n">
        <x:v>45452</x:v>
      </x:c>
      <x:c r="E2761" s="9" t="n">
        <x:v>3487500</x:v>
      </x:c>
      <x:c r="F2761" s="9" t="n">
        <x:v>0</x:v>
      </x:c>
    </x:row>
    <x:row r="2762" ht="34" customHeight="1">
      <x:c r="A2762" s="4" t="str">
        <x:v>RS-01412-I1</x:v>
      </x:c>
      <x:c r="B2762" s="4" t="str">
        <x:v>RS-01412</x:v>
      </x:c>
      <x:c r="C2762" s="9" t="n">
        <x:v>1</x:v>
      </x:c>
      <x:c r="D2762" s="8" t="n">
        <x:v>45363</x:v>
      </x:c>
      <x:c r="E2762" s="9" t="n">
        <x:v>728000</x:v>
      </x:c>
      <x:c r="F2762" s="9" t="n">
        <x:v>291200</x:v>
      </x:c>
    </x:row>
    <x:row r="2763" ht="34" customHeight="1">
      <x:c r="A2763" s="4" t="str">
        <x:v>RS-01412-I2</x:v>
      </x:c>
      <x:c r="B2763" s="4" t="str">
        <x:v>RS-01412</x:v>
      </x:c>
      <x:c r="C2763" s="9" t="n">
        <x:v>2</x:v>
      </x:c>
      <x:c r="D2763" s="8" t="n">
        <x:v>45393</x:v>
      </x:c>
      <x:c r="E2763" s="9" t="n">
        <x:v>728000</x:v>
      </x:c>
      <x:c r="F2763" s="9" t="n">
        <x:v>0</x:v>
      </x:c>
    </x:row>
    <x:row r="2764" ht="34" customHeight="1">
      <x:c r="A2764" s="4" t="str">
        <x:v>RS-01412-I3</x:v>
      </x:c>
      <x:c r="B2764" s="4" t="str">
        <x:v>RS-01412</x:v>
      </x:c>
      <x:c r="C2764" s="9" t="n">
        <x:v>3</x:v>
      </x:c>
      <x:c r="D2764" s="8" t="n">
        <x:v>45423</x:v>
      </x:c>
      <x:c r="E2764" s="9" t="n">
        <x:v>728000</x:v>
      </x:c>
      <x:c r="F2764" s="9" t="n">
        <x:v>0</x:v>
      </x:c>
    </x:row>
    <x:row r="2765" ht="34" customHeight="1">
      <x:c r="A2765" s="4" t="str">
        <x:v>RS-01412-I4</x:v>
      </x:c>
      <x:c r="B2765" s="4" t="str">
        <x:v>RS-01412</x:v>
      </x:c>
      <x:c r="C2765" s="9" t="n">
        <x:v>4</x:v>
      </x:c>
      <x:c r="D2765" s="8" t="n">
        <x:v>45453</x:v>
      </x:c>
      <x:c r="E2765" s="9" t="n">
        <x:v>728000</x:v>
      </x:c>
      <x:c r="F2765" s="9" t="n">
        <x:v>0</x:v>
      </x:c>
    </x:row>
    <x:row r="2766" ht="34" customHeight="1">
      <x:c r="A2766" s="4" t="str">
        <x:v>RS-01414-I1</x:v>
      </x:c>
      <x:c r="B2766" s="4" t="str">
        <x:v>RS-01414</x:v>
      </x:c>
      <x:c r="C2766" s="9" t="n">
        <x:v>1</x:v>
      </x:c>
      <x:c r="D2766" s="8" t="n">
        <x:v>45365</x:v>
      </x:c>
      <x:c r="E2766" s="9" t="n">
        <x:v>4068750</x:v>
      </x:c>
      <x:c r="F2766" s="9" t="n">
        <x:v>4068750</x:v>
      </x:c>
    </x:row>
    <x:row r="2767" ht="34" customHeight="1">
      <x:c r="A2767" s="4" t="str">
        <x:v>RS-01414-I2</x:v>
      </x:c>
      <x:c r="B2767" s="4" t="str">
        <x:v>RS-01414</x:v>
      </x:c>
      <x:c r="C2767" s="9" t="n">
        <x:v>2</x:v>
      </x:c>
      <x:c r="D2767" s="8" t="n">
        <x:v>45395</x:v>
      </x:c>
      <x:c r="E2767" s="9" t="n">
        <x:v>4068750</x:v>
      </x:c>
      <x:c r="F2767" s="9" t="n">
        <x:v>4068750</x:v>
      </x:c>
    </x:row>
    <x:row r="2768" ht="34" customHeight="1">
      <x:c r="A2768" s="4" t="str">
        <x:v>RS-01414-I3</x:v>
      </x:c>
      <x:c r="B2768" s="4" t="str">
        <x:v>RS-01414</x:v>
      </x:c>
      <x:c r="C2768" s="9" t="n">
        <x:v>3</x:v>
      </x:c>
      <x:c r="D2768" s="8" t="n">
        <x:v>45425</x:v>
      </x:c>
      <x:c r="E2768" s="9" t="n">
        <x:v>4068750</x:v>
      </x:c>
      <x:c r="F2768" s="9" t="n">
        <x:v>4068750</x:v>
      </x:c>
    </x:row>
    <x:row r="2769" ht="34" customHeight="1">
      <x:c r="A2769" s="4" t="str">
        <x:v>RS-01414-I4</x:v>
      </x:c>
      <x:c r="B2769" s="4" t="str">
        <x:v>RS-01414</x:v>
      </x:c>
      <x:c r="C2769" s="9" t="n">
        <x:v>4</x:v>
      </x:c>
      <x:c r="D2769" s="8" t="n">
        <x:v>45455</x:v>
      </x:c>
      <x:c r="E2769" s="9" t="n">
        <x:v>4068750</x:v>
      </x:c>
      <x:c r="F2769" s="9" t="n">
        <x:v>4068750</x:v>
      </x:c>
    </x:row>
    <x:row r="2770" ht="34" customHeight="1">
      <x:c r="A2770" s="4" t="str">
        <x:v>RS-01416-I1</x:v>
      </x:c>
      <x:c r="B2770" s="4" t="str">
        <x:v>RS-01416</x:v>
      </x:c>
      <x:c r="C2770" s="9" t="n">
        <x:v>1</x:v>
      </x:c>
      <x:c r="D2770" s="8" t="n">
        <x:v>45367</x:v>
      </x:c>
      <x:c r="E2770" s="9" t="n">
        <x:v>3700000</x:v>
      </x:c>
      <x:c r="F2770" s="9" t="n">
        <x:v>3700000</x:v>
      </x:c>
    </x:row>
    <x:row r="2771" ht="34" customHeight="1">
      <x:c r="A2771" s="4" t="str">
        <x:v>RS-01416-I2</x:v>
      </x:c>
      <x:c r="B2771" s="4" t="str">
        <x:v>RS-01416</x:v>
      </x:c>
      <x:c r="C2771" s="9" t="n">
        <x:v>2</x:v>
      </x:c>
      <x:c r="D2771" s="8" t="n">
        <x:v>45397</x:v>
      </x:c>
      <x:c r="E2771" s="9" t="n">
        <x:v>3700000</x:v>
      </x:c>
      <x:c r="F2771" s="9" t="n">
        <x:v>3700000</x:v>
      </x:c>
    </x:row>
    <x:row r="2772" ht="34" customHeight="1">
      <x:c r="A2772" s="4" t="str">
        <x:v>RS-01416-I3</x:v>
      </x:c>
      <x:c r="B2772" s="4" t="str">
        <x:v>RS-01416</x:v>
      </x:c>
      <x:c r="C2772" s="9" t="n">
        <x:v>3</x:v>
      </x:c>
      <x:c r="D2772" s="8" t="n">
        <x:v>45427</x:v>
      </x:c>
      <x:c r="E2772" s="9" t="n">
        <x:v>3700000</x:v>
      </x:c>
      <x:c r="F2772" s="9" t="n">
        <x:v>0</x:v>
      </x:c>
    </x:row>
    <x:row r="2773" ht="34" customHeight="1">
      <x:c r="A2773" s="4" t="str">
        <x:v>RS-01416-I4</x:v>
      </x:c>
      <x:c r="B2773" s="4" t="str">
        <x:v>RS-01416</x:v>
      </x:c>
      <x:c r="C2773" s="9" t="n">
        <x:v>4</x:v>
      </x:c>
      <x:c r="D2773" s="8" t="n">
        <x:v>45457</x:v>
      </x:c>
      <x:c r="E2773" s="9" t="n">
        <x:v>3700000</x:v>
      </x:c>
      <x:c r="F2773" s="9" t="n">
        <x:v>0</x:v>
      </x:c>
    </x:row>
    <x:row r="2774" ht="34" customHeight="1">
      <x:c r="A2774" s="4" t="str">
        <x:v>RS-01417-I1</x:v>
      </x:c>
      <x:c r="B2774" s="4" t="str">
        <x:v>RS-01417</x:v>
      </x:c>
      <x:c r="C2774" s="9" t="n">
        <x:v>1</x:v>
      </x:c>
      <x:c r="D2774" s="8" t="n">
        <x:v>45368</x:v>
      </x:c>
      <x:c r="E2774" s="9" t="n">
        <x:v>1147500</x:v>
      </x:c>
      <x:c r="F2774" s="9" t="n">
        <x:v>1147500</x:v>
      </x:c>
    </x:row>
    <x:row r="2775" ht="34" customHeight="1">
      <x:c r="A2775" s="4" t="str">
        <x:v>RS-01417-I2</x:v>
      </x:c>
      <x:c r="B2775" s="4" t="str">
        <x:v>RS-01417</x:v>
      </x:c>
      <x:c r="C2775" s="9" t="n">
        <x:v>2</x:v>
      </x:c>
      <x:c r="D2775" s="8" t="n">
        <x:v>45398</x:v>
      </x:c>
      <x:c r="E2775" s="9" t="n">
        <x:v>1147500</x:v>
      </x:c>
      <x:c r="F2775" s="9" t="n">
        <x:v>0</x:v>
      </x:c>
    </x:row>
    <x:row r="2776" ht="34" customHeight="1">
      <x:c r="A2776" s="4" t="str">
        <x:v>RS-01417-I3</x:v>
      </x:c>
      <x:c r="B2776" s="4" t="str">
        <x:v>RS-01417</x:v>
      </x:c>
      <x:c r="C2776" s="9" t="n">
        <x:v>3</x:v>
      </x:c>
      <x:c r="D2776" s="8" t="n">
        <x:v>45428</x:v>
      </x:c>
      <x:c r="E2776" s="9" t="n">
        <x:v>1147500</x:v>
      </x:c>
      <x:c r="F2776" s="9" t="n">
        <x:v>0</x:v>
      </x:c>
    </x:row>
    <x:row r="2777" ht="34" customHeight="1">
      <x:c r="A2777" s="4" t="str">
        <x:v>RS-01417-I4</x:v>
      </x:c>
      <x:c r="B2777" s="4" t="str">
        <x:v>RS-01417</x:v>
      </x:c>
      <x:c r="C2777" s="9" t="n">
        <x:v>4</x:v>
      </x:c>
      <x:c r="D2777" s="8" t="n">
        <x:v>45458</x:v>
      </x:c>
      <x:c r="E2777" s="9" t="n">
        <x:v>1147500</x:v>
      </x:c>
      <x:c r="F2777" s="9" t="n">
        <x:v>0</x:v>
      </x:c>
    </x:row>
    <x:row r="2778" ht="34" customHeight="1">
      <x:c r="A2778" s="4" t="str">
        <x:v>RS-01419-I1</x:v>
      </x:c>
      <x:c r="B2778" s="4" t="str">
        <x:v>RS-01419</x:v>
      </x:c>
      <x:c r="C2778" s="9" t="n">
        <x:v>1</x:v>
      </x:c>
      <x:c r="D2778" s="8" t="n">
        <x:v>45370</x:v>
      </x:c>
      <x:c r="E2778" s="9" t="n">
        <x:v>4249750</x:v>
      </x:c>
      <x:c r="F2778" s="9" t="n">
        <x:v>4249750</x:v>
      </x:c>
    </x:row>
    <x:row r="2779" ht="34" customHeight="1">
      <x:c r="A2779" s="4" t="str">
        <x:v>RS-01419-I2</x:v>
      </x:c>
      <x:c r="B2779" s="4" t="str">
        <x:v>RS-01419</x:v>
      </x:c>
      <x:c r="C2779" s="9" t="n">
        <x:v>2</x:v>
      </x:c>
      <x:c r="D2779" s="8" t="n">
        <x:v>45400</x:v>
      </x:c>
      <x:c r="E2779" s="9" t="n">
        <x:v>4249750</x:v>
      </x:c>
      <x:c r="F2779" s="9" t="n">
        <x:v>0</x:v>
      </x:c>
    </x:row>
    <x:row r="2780" ht="34" customHeight="1">
      <x:c r="A2780" s="4" t="str">
        <x:v>RS-01419-I3</x:v>
      </x:c>
      <x:c r="B2780" s="4" t="str">
        <x:v>RS-01419</x:v>
      </x:c>
      <x:c r="C2780" s="9" t="n">
        <x:v>3</x:v>
      </x:c>
      <x:c r="D2780" s="8" t="n">
        <x:v>45430</x:v>
      </x:c>
      <x:c r="E2780" s="9" t="n">
        <x:v>4249750</x:v>
      </x:c>
      <x:c r="F2780" s="9" t="n">
        <x:v>0</x:v>
      </x:c>
    </x:row>
    <x:row r="2781" ht="34" customHeight="1">
      <x:c r="A2781" s="4" t="str">
        <x:v>RS-01419-I4</x:v>
      </x:c>
      <x:c r="B2781" s="4" t="str">
        <x:v>RS-01419</x:v>
      </x:c>
      <x:c r="C2781" s="9" t="n">
        <x:v>4</x:v>
      </x:c>
      <x:c r="D2781" s="8" t="n">
        <x:v>45460</x:v>
      </x:c>
      <x:c r="E2781" s="9" t="n">
        <x:v>4249750</x:v>
      </x:c>
      <x:c r="F2781" s="9" t="n">
        <x:v>0</x:v>
      </x:c>
    </x:row>
    <x:row r="2782" ht="34" customHeight="1">
      <x:c r="A2782" s="4" t="str">
        <x:v>RS-01420-I1</x:v>
      </x:c>
      <x:c r="B2782" s="4" t="str">
        <x:v>RS-01420</x:v>
      </x:c>
      <x:c r="C2782" s="9" t="n">
        <x:v>1</x:v>
      </x:c>
      <x:c r="D2782" s="8" t="n">
        <x:v>45371</x:v>
      </x:c>
      <x:c r="E2782" s="9" t="n">
        <x:v>3792000</x:v>
      </x:c>
      <x:c r="F2782" s="9" t="n">
        <x:v>3792000</x:v>
      </x:c>
    </x:row>
    <x:row r="2783" ht="34" customHeight="1">
      <x:c r="A2783" s="4" t="str">
        <x:v>RS-01420-I2</x:v>
      </x:c>
      <x:c r="B2783" s="4" t="str">
        <x:v>RS-01420</x:v>
      </x:c>
      <x:c r="C2783" s="9" t="n">
        <x:v>2</x:v>
      </x:c>
      <x:c r="D2783" s="8" t="n">
        <x:v>45401</x:v>
      </x:c>
      <x:c r="E2783" s="9" t="n">
        <x:v>3792000</x:v>
      </x:c>
      <x:c r="F2783" s="9" t="n">
        <x:v>0</x:v>
      </x:c>
    </x:row>
    <x:row r="2784" ht="34" customHeight="1">
      <x:c r="A2784" s="4" t="str">
        <x:v>RS-01420-I3</x:v>
      </x:c>
      <x:c r="B2784" s="4" t="str">
        <x:v>RS-01420</x:v>
      </x:c>
      <x:c r="C2784" s="9" t="n">
        <x:v>3</x:v>
      </x:c>
      <x:c r="D2784" s="8" t="n">
        <x:v>45431</x:v>
      </x:c>
      <x:c r="E2784" s="9" t="n">
        <x:v>3792000</x:v>
      </x:c>
      <x:c r="F2784" s="9" t="n">
        <x:v>0</x:v>
      </x:c>
    </x:row>
    <x:row r="2785" ht="34" customHeight="1">
      <x:c r="A2785" s="4" t="str">
        <x:v>RS-01420-I4</x:v>
      </x:c>
      <x:c r="B2785" s="4" t="str">
        <x:v>RS-01420</x:v>
      </x:c>
      <x:c r="C2785" s="9" t="n">
        <x:v>4</x:v>
      </x:c>
      <x:c r="D2785" s="8" t="n">
        <x:v>45461</x:v>
      </x:c>
      <x:c r="E2785" s="9" t="n">
        <x:v>3792000</x:v>
      </x:c>
      <x:c r="F2785" s="9" t="n">
        <x:v>0</x:v>
      </x:c>
    </x:row>
    <x:row r="2786" ht="34" customHeight="1">
      <x:c r="A2786" s="4" t="str">
        <x:v>RS-01421-I1</x:v>
      </x:c>
      <x:c r="B2786" s="4" t="str">
        <x:v>RS-01421</x:v>
      </x:c>
      <x:c r="C2786" s="9" t="n">
        <x:v>1</x:v>
      </x:c>
      <x:c r="D2786" s="8" t="n">
        <x:v>45372</x:v>
      </x:c>
      <x:c r="E2786" s="9" t="n">
        <x:v>5642000</x:v>
      </x:c>
      <x:c r="F2786" s="9" t="n">
        <x:v>5642000</x:v>
      </x:c>
    </x:row>
    <x:row r="2787" ht="34" customHeight="1">
      <x:c r="A2787" s="4" t="str">
        <x:v>RS-01421-I2</x:v>
      </x:c>
      <x:c r="B2787" s="4" t="str">
        <x:v>RS-01421</x:v>
      </x:c>
      <x:c r="C2787" s="9" t="n">
        <x:v>2</x:v>
      </x:c>
      <x:c r="D2787" s="8" t="n">
        <x:v>45402</x:v>
      </x:c>
      <x:c r="E2787" s="9" t="n">
        <x:v>5642000</x:v>
      </x:c>
      <x:c r="F2787" s="9" t="n">
        <x:v>5642000</x:v>
      </x:c>
    </x:row>
    <x:row r="2788" ht="34" customHeight="1">
      <x:c r="A2788" s="4" t="str">
        <x:v>RS-01421-I3</x:v>
      </x:c>
      <x:c r="B2788" s="4" t="str">
        <x:v>RS-01421</x:v>
      </x:c>
      <x:c r="C2788" s="9" t="n">
        <x:v>3</x:v>
      </x:c>
      <x:c r="D2788" s="8" t="n">
        <x:v>45432</x:v>
      </x:c>
      <x:c r="E2788" s="9" t="n">
        <x:v>5642000</x:v>
      </x:c>
      <x:c r="F2788" s="9" t="n">
        <x:v>0</x:v>
      </x:c>
    </x:row>
    <x:row r="2789" ht="34" customHeight="1">
      <x:c r="A2789" s="4" t="str">
        <x:v>RS-01421-I4</x:v>
      </x:c>
      <x:c r="B2789" s="4" t="str">
        <x:v>RS-01421</x:v>
      </x:c>
      <x:c r="C2789" s="9" t="n">
        <x:v>4</x:v>
      </x:c>
      <x:c r="D2789" s="8" t="n">
        <x:v>45462</x:v>
      </x:c>
      <x:c r="E2789" s="9" t="n">
        <x:v>5642000</x:v>
      </x:c>
      <x:c r="F2789" s="9" t="n">
        <x:v>0</x:v>
      </x:c>
    </x:row>
    <x:row r="2790" ht="34" customHeight="1">
      <x:c r="A2790" s="4" t="str">
        <x:v>RS-01422-I1</x:v>
      </x:c>
      <x:c r="B2790" s="4" t="str">
        <x:v>RS-01422</x:v>
      </x:c>
      <x:c r="C2790" s="9" t="n">
        <x:v>1</x:v>
      </x:c>
      <x:c r="D2790" s="8" t="n">
        <x:v>45373</x:v>
      </x:c>
      <x:c r="E2790" s="9" t="n">
        <x:v>4739250</x:v>
      </x:c>
      <x:c r="F2790" s="9" t="n">
        <x:v>1895700</x:v>
      </x:c>
    </x:row>
    <x:row r="2791" ht="34" customHeight="1">
      <x:c r="A2791" s="4" t="str">
        <x:v>RS-01422-I2</x:v>
      </x:c>
      <x:c r="B2791" s="4" t="str">
        <x:v>RS-01422</x:v>
      </x:c>
      <x:c r="C2791" s="9" t="n">
        <x:v>2</x:v>
      </x:c>
      <x:c r="D2791" s="8" t="n">
        <x:v>45403</x:v>
      </x:c>
      <x:c r="E2791" s="9" t="n">
        <x:v>4739250</x:v>
      </x:c>
      <x:c r="F2791" s="9" t="n">
        <x:v>0</x:v>
      </x:c>
    </x:row>
    <x:row r="2792" ht="34" customHeight="1">
      <x:c r="A2792" s="4" t="str">
        <x:v>RS-01422-I3</x:v>
      </x:c>
      <x:c r="B2792" s="4" t="str">
        <x:v>RS-01422</x:v>
      </x:c>
      <x:c r="C2792" s="9" t="n">
        <x:v>3</x:v>
      </x:c>
      <x:c r="D2792" s="8" t="n">
        <x:v>45433</x:v>
      </x:c>
      <x:c r="E2792" s="9" t="n">
        <x:v>4739250</x:v>
      </x:c>
      <x:c r="F2792" s="9" t="n">
        <x:v>0</x:v>
      </x:c>
    </x:row>
    <x:row r="2793" ht="34" customHeight="1">
      <x:c r="A2793" s="4" t="str">
        <x:v>RS-01422-I4</x:v>
      </x:c>
      <x:c r="B2793" s="4" t="str">
        <x:v>RS-01422</x:v>
      </x:c>
      <x:c r="C2793" s="9" t="n">
        <x:v>4</x:v>
      </x:c>
      <x:c r="D2793" s="8" t="n">
        <x:v>45463</x:v>
      </x:c>
      <x:c r="E2793" s="9" t="n">
        <x:v>4739250</x:v>
      </x:c>
      <x:c r="F2793" s="9" t="n">
        <x:v>0</x:v>
      </x:c>
    </x:row>
    <x:row r="2794" ht="34" customHeight="1">
      <x:c r="A2794" s="4" t="str">
        <x:v>RS-01424-I1</x:v>
      </x:c>
      <x:c r="B2794" s="4" t="str">
        <x:v>RS-01424</x:v>
      </x:c>
      <x:c r="C2794" s="9" t="n">
        <x:v>1</x:v>
      </x:c>
      <x:c r="D2794" s="8" t="n">
        <x:v>45375</x:v>
      </x:c>
      <x:c r="E2794" s="9" t="n">
        <x:v>3031250</x:v>
      </x:c>
      <x:c r="F2794" s="9" t="n">
        <x:v>1212500</x:v>
      </x:c>
    </x:row>
    <x:row r="2795" ht="34" customHeight="1">
      <x:c r="A2795" s="4" t="str">
        <x:v>RS-01424-I2</x:v>
      </x:c>
      <x:c r="B2795" s="4" t="str">
        <x:v>RS-01424</x:v>
      </x:c>
      <x:c r="C2795" s="9" t="n">
        <x:v>2</x:v>
      </x:c>
      <x:c r="D2795" s="8" t="n">
        <x:v>45405</x:v>
      </x:c>
      <x:c r="E2795" s="9" t="n">
        <x:v>3031250</x:v>
      </x:c>
      <x:c r="F2795" s="9" t="n">
        <x:v>0</x:v>
      </x:c>
    </x:row>
    <x:row r="2796" ht="34" customHeight="1">
      <x:c r="A2796" s="4" t="str">
        <x:v>RS-01424-I3</x:v>
      </x:c>
      <x:c r="B2796" s="4" t="str">
        <x:v>RS-01424</x:v>
      </x:c>
      <x:c r="C2796" s="9" t="n">
        <x:v>3</x:v>
      </x:c>
      <x:c r="D2796" s="8" t="n">
        <x:v>45435</x:v>
      </x:c>
      <x:c r="E2796" s="9" t="n">
        <x:v>3031250</x:v>
      </x:c>
      <x:c r="F2796" s="9" t="n">
        <x:v>0</x:v>
      </x:c>
    </x:row>
    <x:row r="2797" ht="34" customHeight="1">
      <x:c r="A2797" s="4" t="str">
        <x:v>RS-01424-I4</x:v>
      </x:c>
      <x:c r="B2797" s="4" t="str">
        <x:v>RS-01424</x:v>
      </x:c>
      <x:c r="C2797" s="9" t="n">
        <x:v>4</x:v>
      </x:c>
      <x:c r="D2797" s="8" t="n">
        <x:v>45465</x:v>
      </x:c>
      <x:c r="E2797" s="9" t="n">
        <x:v>3031250</x:v>
      </x:c>
      <x:c r="F2797" s="9" t="n">
        <x:v>0</x:v>
      </x:c>
    </x:row>
    <x:row r="2798" ht="34" customHeight="1">
      <x:c r="A2798" s="4" t="str">
        <x:v>RS-01427-I1</x:v>
      </x:c>
      <x:c r="B2798" s="4" t="str">
        <x:v>RS-01427</x:v>
      </x:c>
      <x:c r="C2798" s="9" t="n">
        <x:v>1</x:v>
      </x:c>
      <x:c r="D2798" s="8" t="n">
        <x:v>45378</x:v>
      </x:c>
      <x:c r="E2798" s="9" t="n">
        <x:v>4324000</x:v>
      </x:c>
      <x:c r="F2798" s="9" t="n">
        <x:v>4324000</x:v>
      </x:c>
    </x:row>
    <x:row r="2799" ht="34" customHeight="1">
      <x:c r="A2799" s="4" t="str">
        <x:v>RS-01427-I2</x:v>
      </x:c>
      <x:c r="B2799" s="4" t="str">
        <x:v>RS-01427</x:v>
      </x:c>
      <x:c r="C2799" s="9" t="n">
        <x:v>2</x:v>
      </x:c>
      <x:c r="D2799" s="8" t="n">
        <x:v>45408</x:v>
      </x:c>
      <x:c r="E2799" s="9" t="n">
        <x:v>4324000</x:v>
      </x:c>
      <x:c r="F2799" s="9" t="n">
        <x:v>4324000</x:v>
      </x:c>
    </x:row>
    <x:row r="2800" ht="34" customHeight="1">
      <x:c r="A2800" s="4" t="str">
        <x:v>RS-01427-I3</x:v>
      </x:c>
      <x:c r="B2800" s="4" t="str">
        <x:v>RS-01427</x:v>
      </x:c>
      <x:c r="C2800" s="9" t="n">
        <x:v>3</x:v>
      </x:c>
      <x:c r="D2800" s="8" t="n">
        <x:v>45438</x:v>
      </x:c>
      <x:c r="E2800" s="9" t="n">
        <x:v>4324000</x:v>
      </x:c>
      <x:c r="F2800" s="9" t="n">
        <x:v>4324000</x:v>
      </x:c>
    </x:row>
    <x:row r="2801" ht="34" customHeight="1">
      <x:c r="A2801" s="4" t="str">
        <x:v>RS-01427-I4</x:v>
      </x:c>
      <x:c r="B2801" s="4" t="str">
        <x:v>RS-01427</x:v>
      </x:c>
      <x:c r="C2801" s="9" t="n">
        <x:v>4</x:v>
      </x:c>
      <x:c r="D2801" s="8" t="n">
        <x:v>45468</x:v>
      </x:c>
      <x:c r="E2801" s="9" t="n">
        <x:v>4324000</x:v>
      </x:c>
      <x:c r="F2801" s="9" t="n">
        <x:v>4324000</x:v>
      </x:c>
    </x:row>
    <x:row r="2802" ht="34" customHeight="1">
      <x:c r="A2802" s="4" t="str">
        <x:v>RS-01429-I1</x:v>
      </x:c>
      <x:c r="B2802" s="4" t="str">
        <x:v>RS-01429</x:v>
      </x:c>
      <x:c r="C2802" s="9" t="n">
        <x:v>1</x:v>
      </x:c>
      <x:c r="D2802" s="8" t="n">
        <x:v>45352</x:v>
      </x:c>
      <x:c r="E2802" s="9" t="n">
        <x:v>1104500</x:v>
      </x:c>
      <x:c r="F2802" s="9" t="n">
        <x:v>1104500</x:v>
      </x:c>
    </x:row>
    <x:row r="2803" ht="34" customHeight="1">
      <x:c r="A2803" s="4" t="str">
        <x:v>RS-01429-I2</x:v>
      </x:c>
      <x:c r="B2803" s="4" t="str">
        <x:v>RS-01429</x:v>
      </x:c>
      <x:c r="C2803" s="9" t="n">
        <x:v>2</x:v>
      </x:c>
      <x:c r="D2803" s="8" t="n">
        <x:v>45382</x:v>
      </x:c>
      <x:c r="E2803" s="9" t="n">
        <x:v>1104500</x:v>
      </x:c>
      <x:c r="F2803" s="9" t="n">
        <x:v>1104500</x:v>
      </x:c>
    </x:row>
    <x:row r="2804" ht="34" customHeight="1">
      <x:c r="A2804" s="4" t="str">
        <x:v>RS-01429-I3</x:v>
      </x:c>
      <x:c r="B2804" s="4" t="str">
        <x:v>RS-01429</x:v>
      </x:c>
      <x:c r="C2804" s="9" t="n">
        <x:v>3</x:v>
      </x:c>
      <x:c r="D2804" s="8" t="n">
        <x:v>45412</x:v>
      </x:c>
      <x:c r="E2804" s="9" t="n">
        <x:v>1104500</x:v>
      </x:c>
      <x:c r="F2804" s="9" t="n">
        <x:v>1104500</x:v>
      </x:c>
    </x:row>
    <x:row r="2805" ht="34" customHeight="1">
      <x:c r="A2805" s="4" t="str">
        <x:v>RS-01429-I4</x:v>
      </x:c>
      <x:c r="B2805" s="4" t="str">
        <x:v>RS-01429</x:v>
      </x:c>
      <x:c r="C2805" s="9" t="n">
        <x:v>4</x:v>
      </x:c>
      <x:c r="D2805" s="8" t="n">
        <x:v>45442</x:v>
      </x:c>
      <x:c r="E2805" s="9" t="n">
        <x:v>1104500</x:v>
      </x:c>
      <x:c r="F2805" s="9" t="n">
        <x:v>1104500</x:v>
      </x:c>
    </x:row>
    <x:row r="2806" ht="34" customHeight="1">
      <x:c r="A2806" s="4" t="str">
        <x:v>RS-01430-I1</x:v>
      </x:c>
      <x:c r="B2806" s="4" t="str">
        <x:v>RS-01430</x:v>
      </x:c>
      <x:c r="C2806" s="9" t="n">
        <x:v>1</x:v>
      </x:c>
      <x:c r="D2806" s="8" t="n">
        <x:v>45353</x:v>
      </x:c>
      <x:c r="E2806" s="9" t="n">
        <x:v>5452000</x:v>
      </x:c>
      <x:c r="F2806" s="9" t="n">
        <x:v>5452000</x:v>
      </x:c>
    </x:row>
    <x:row r="2807" ht="34" customHeight="1">
      <x:c r="A2807" s="4" t="str">
        <x:v>RS-01430-I2</x:v>
      </x:c>
      <x:c r="B2807" s="4" t="str">
        <x:v>RS-01430</x:v>
      </x:c>
      <x:c r="C2807" s="9" t="n">
        <x:v>2</x:v>
      </x:c>
      <x:c r="D2807" s="8" t="n">
        <x:v>45383</x:v>
      </x:c>
      <x:c r="E2807" s="9" t="n">
        <x:v>5452000</x:v>
      </x:c>
      <x:c r="F2807" s="9" t="n">
        <x:v>5452000</x:v>
      </x:c>
    </x:row>
    <x:row r="2808" ht="34" customHeight="1">
      <x:c r="A2808" s="4" t="str">
        <x:v>RS-01430-I3</x:v>
      </x:c>
      <x:c r="B2808" s="4" t="str">
        <x:v>RS-01430</x:v>
      </x:c>
      <x:c r="C2808" s="9" t="n">
        <x:v>3</x:v>
      </x:c>
      <x:c r="D2808" s="8" t="n">
        <x:v>45413</x:v>
      </x:c>
      <x:c r="E2808" s="9" t="n">
        <x:v>5452000</x:v>
      </x:c>
      <x:c r="F2808" s="9" t="n">
        <x:v>5452000</x:v>
      </x:c>
    </x:row>
    <x:row r="2809" ht="34" customHeight="1">
      <x:c r="A2809" s="4" t="str">
        <x:v>RS-01430-I4</x:v>
      </x:c>
      <x:c r="B2809" s="4" t="str">
        <x:v>RS-01430</x:v>
      </x:c>
      <x:c r="C2809" s="9" t="n">
        <x:v>4</x:v>
      </x:c>
      <x:c r="D2809" s="8" t="n">
        <x:v>45443</x:v>
      </x:c>
      <x:c r="E2809" s="9" t="n">
        <x:v>5452000</x:v>
      </x:c>
      <x:c r="F2809" s="9" t="n">
        <x:v>5452000</x:v>
      </x:c>
    </x:row>
    <x:row r="2810" ht="34" customHeight="1">
      <x:c r="A2810" s="4" t="str">
        <x:v>RS-01432-I1</x:v>
      </x:c>
      <x:c r="B2810" s="4" t="str">
        <x:v>RS-01432</x:v>
      </x:c>
      <x:c r="C2810" s="9" t="n">
        <x:v>1</x:v>
      </x:c>
      <x:c r="D2810" s="8" t="n">
        <x:v>45355</x:v>
      </x:c>
      <x:c r="E2810" s="9" t="n">
        <x:v>5890000</x:v>
      </x:c>
      <x:c r="F2810" s="9" t="n">
        <x:v>5890000</x:v>
      </x:c>
    </x:row>
    <x:row r="2811" ht="34" customHeight="1">
      <x:c r="A2811" s="4" t="str">
        <x:v>RS-01432-I2</x:v>
      </x:c>
      <x:c r="B2811" s="4" t="str">
        <x:v>RS-01432</x:v>
      </x:c>
      <x:c r="C2811" s="9" t="n">
        <x:v>2</x:v>
      </x:c>
      <x:c r="D2811" s="8" t="n">
        <x:v>45385</x:v>
      </x:c>
      <x:c r="E2811" s="9" t="n">
        <x:v>5890000</x:v>
      </x:c>
      <x:c r="F2811" s="9" t="n">
        <x:v>0</x:v>
      </x:c>
    </x:row>
    <x:row r="2812" ht="34" customHeight="1">
      <x:c r="A2812" s="4" t="str">
        <x:v>RS-01432-I3</x:v>
      </x:c>
      <x:c r="B2812" s="4" t="str">
        <x:v>RS-01432</x:v>
      </x:c>
      <x:c r="C2812" s="9" t="n">
        <x:v>3</x:v>
      </x:c>
      <x:c r="D2812" s="8" t="n">
        <x:v>45415</x:v>
      </x:c>
      <x:c r="E2812" s="9" t="n">
        <x:v>5890000</x:v>
      </x:c>
      <x:c r="F2812" s="9" t="n">
        <x:v>0</x:v>
      </x:c>
    </x:row>
    <x:row r="2813" ht="34" customHeight="1">
      <x:c r="A2813" s="4" t="str">
        <x:v>RS-01432-I4</x:v>
      </x:c>
      <x:c r="B2813" s="4" t="str">
        <x:v>RS-01432</x:v>
      </x:c>
      <x:c r="C2813" s="9" t="n">
        <x:v>4</x:v>
      </x:c>
      <x:c r="D2813" s="8" t="n">
        <x:v>45445</x:v>
      </x:c>
      <x:c r="E2813" s="9" t="n">
        <x:v>5890000</x:v>
      </x:c>
      <x:c r="F2813" s="9" t="n">
        <x:v>0</x:v>
      </x:c>
    </x:row>
    <x:row r="2814" ht="34" customHeight="1">
      <x:c r="A2814" s="4" t="str">
        <x:v>RS-01440-I1</x:v>
      </x:c>
      <x:c r="B2814" s="4" t="str">
        <x:v>RS-01440</x:v>
      </x:c>
      <x:c r="C2814" s="9" t="n">
        <x:v>1</x:v>
      </x:c>
      <x:c r="D2814" s="8" t="n">
        <x:v>45363</x:v>
      </x:c>
      <x:c r="E2814" s="9" t="n">
        <x:v>4510500</x:v>
      </x:c>
      <x:c r="F2814" s="9" t="n">
        <x:v>4510500</x:v>
      </x:c>
    </x:row>
    <x:row r="2815" ht="34" customHeight="1">
      <x:c r="A2815" s="4" t="str">
        <x:v>RS-01440-I2</x:v>
      </x:c>
      <x:c r="B2815" s="4" t="str">
        <x:v>RS-01440</x:v>
      </x:c>
      <x:c r="C2815" s="9" t="n">
        <x:v>2</x:v>
      </x:c>
      <x:c r="D2815" s="8" t="n">
        <x:v>45393</x:v>
      </x:c>
      <x:c r="E2815" s="9" t="n">
        <x:v>4510500</x:v>
      </x:c>
      <x:c r="F2815" s="9" t="n">
        <x:v>4510500</x:v>
      </x:c>
    </x:row>
    <x:row r="2816" ht="34" customHeight="1">
      <x:c r="A2816" s="4" t="str">
        <x:v>RS-01440-I3</x:v>
      </x:c>
      <x:c r="B2816" s="4" t="str">
        <x:v>RS-01440</x:v>
      </x:c>
      <x:c r="C2816" s="9" t="n">
        <x:v>3</x:v>
      </x:c>
      <x:c r="D2816" s="8" t="n">
        <x:v>45423</x:v>
      </x:c>
      <x:c r="E2816" s="9" t="n">
        <x:v>4510500</x:v>
      </x:c>
      <x:c r="F2816" s="9" t="n">
        <x:v>0</x:v>
      </x:c>
    </x:row>
    <x:row r="2817" ht="34" customHeight="1">
      <x:c r="A2817" s="4" t="str">
        <x:v>RS-01440-I4</x:v>
      </x:c>
      <x:c r="B2817" s="4" t="str">
        <x:v>RS-01440</x:v>
      </x:c>
      <x:c r="C2817" s="9" t="n">
        <x:v>4</x:v>
      </x:c>
      <x:c r="D2817" s="8" t="n">
        <x:v>45453</x:v>
      </x:c>
      <x:c r="E2817" s="9" t="n">
        <x:v>4510500</x:v>
      </x:c>
      <x:c r="F2817" s="9" t="n">
        <x:v>0</x:v>
      </x:c>
    </x:row>
    <x:row r="2818" ht="34" customHeight="1">
      <x:c r="A2818" s="4" t="str">
        <x:v>RS-01442-I1</x:v>
      </x:c>
      <x:c r="B2818" s="4" t="str">
        <x:v>RS-01442</x:v>
      </x:c>
      <x:c r="C2818" s="9" t="n">
        <x:v>1</x:v>
      </x:c>
      <x:c r="D2818" s="8" t="n">
        <x:v>45365</x:v>
      </x:c>
      <x:c r="E2818" s="9" t="n">
        <x:v>6113250</x:v>
      </x:c>
      <x:c r="F2818" s="9" t="n">
        <x:v>2445300</x:v>
      </x:c>
    </x:row>
    <x:row r="2819" ht="34" customHeight="1">
      <x:c r="A2819" s="4" t="str">
        <x:v>RS-01442-I2</x:v>
      </x:c>
      <x:c r="B2819" s="4" t="str">
        <x:v>RS-01442</x:v>
      </x:c>
      <x:c r="C2819" s="9" t="n">
        <x:v>2</x:v>
      </x:c>
      <x:c r="D2819" s="8" t="n">
        <x:v>45395</x:v>
      </x:c>
      <x:c r="E2819" s="9" t="n">
        <x:v>6113250</x:v>
      </x:c>
      <x:c r="F2819" s="9" t="n">
        <x:v>0</x:v>
      </x:c>
    </x:row>
    <x:row r="2820" ht="34" customHeight="1">
      <x:c r="A2820" s="4" t="str">
        <x:v>RS-01442-I3</x:v>
      </x:c>
      <x:c r="B2820" s="4" t="str">
        <x:v>RS-01442</x:v>
      </x:c>
      <x:c r="C2820" s="9" t="n">
        <x:v>3</x:v>
      </x:c>
      <x:c r="D2820" s="8" t="n">
        <x:v>45425</x:v>
      </x:c>
      <x:c r="E2820" s="9" t="n">
        <x:v>6113250</x:v>
      </x:c>
      <x:c r="F2820" s="9" t="n">
        <x:v>0</x:v>
      </x:c>
    </x:row>
    <x:row r="2821" ht="34" customHeight="1">
      <x:c r="A2821" s="4" t="str">
        <x:v>RS-01442-I4</x:v>
      </x:c>
      <x:c r="B2821" s="4" t="str">
        <x:v>RS-01442</x:v>
      </x:c>
      <x:c r="C2821" s="9" t="n">
        <x:v>4</x:v>
      </x:c>
      <x:c r="D2821" s="8" t="n">
        <x:v>45455</x:v>
      </x:c>
      <x:c r="E2821" s="9" t="n">
        <x:v>6113250</x:v>
      </x:c>
      <x:c r="F2821" s="9" t="n">
        <x:v>0</x:v>
      </x:c>
    </x:row>
    <x:row r="2822" ht="34" customHeight="1">
      <x:c r="A2822" s="4" t="str">
        <x:v>RS-01443-I1</x:v>
      </x:c>
      <x:c r="B2822" s="4" t="str">
        <x:v>RS-01443</x:v>
      </x:c>
      <x:c r="C2822" s="9" t="n">
        <x:v>1</x:v>
      </x:c>
      <x:c r="D2822" s="8" t="n">
        <x:v>45366</x:v>
      </x:c>
      <x:c r="E2822" s="9" t="n">
        <x:v>5625000</x:v>
      </x:c>
      <x:c r="F2822" s="9" t="n">
        <x:v>5625000</x:v>
      </x:c>
    </x:row>
    <x:row r="2823" ht="34" customHeight="1">
      <x:c r="A2823" s="4" t="str">
        <x:v>RS-01443-I2</x:v>
      </x:c>
      <x:c r="B2823" s="4" t="str">
        <x:v>RS-01443</x:v>
      </x:c>
      <x:c r="C2823" s="9" t="n">
        <x:v>2</x:v>
      </x:c>
      <x:c r="D2823" s="8" t="n">
        <x:v>45396</x:v>
      </x:c>
      <x:c r="E2823" s="9" t="n">
        <x:v>5625000</x:v>
      </x:c>
      <x:c r="F2823" s="9" t="n">
        <x:v>0</x:v>
      </x:c>
    </x:row>
    <x:row r="2824" ht="34" customHeight="1">
      <x:c r="A2824" s="4" t="str">
        <x:v>RS-01443-I3</x:v>
      </x:c>
      <x:c r="B2824" s="4" t="str">
        <x:v>RS-01443</x:v>
      </x:c>
      <x:c r="C2824" s="9" t="n">
        <x:v>3</x:v>
      </x:c>
      <x:c r="D2824" s="8" t="n">
        <x:v>45426</x:v>
      </x:c>
      <x:c r="E2824" s="9" t="n">
        <x:v>5625000</x:v>
      </x:c>
      <x:c r="F2824" s="9" t="n">
        <x:v>0</x:v>
      </x:c>
    </x:row>
    <x:row r="2825" ht="34" customHeight="1">
      <x:c r="A2825" s="4" t="str">
        <x:v>RS-01443-I4</x:v>
      </x:c>
      <x:c r="B2825" s="4" t="str">
        <x:v>RS-01443</x:v>
      </x:c>
      <x:c r="C2825" s="9" t="n">
        <x:v>4</x:v>
      </x:c>
      <x:c r="D2825" s="8" t="n">
        <x:v>45456</x:v>
      </x:c>
      <x:c r="E2825" s="9" t="n">
        <x:v>5625000</x:v>
      </x:c>
      <x:c r="F2825" s="9" t="n">
        <x:v>0</x:v>
      </x:c>
    </x:row>
    <x:row r="2826" ht="34" customHeight="1">
      <x:c r="A2826" s="4" t="str">
        <x:v>RS-01444-I1</x:v>
      </x:c>
      <x:c r="B2826" s="4" t="str">
        <x:v>RS-01444</x:v>
      </x:c>
      <x:c r="C2826" s="9" t="n">
        <x:v>1</x:v>
      </x:c>
      <x:c r="D2826" s="8" t="n">
        <x:v>45367</x:v>
      </x:c>
      <x:c r="E2826" s="9" t="n">
        <x:v>748000</x:v>
      </x:c>
      <x:c r="F2826" s="9" t="n">
        <x:v>748000</x:v>
      </x:c>
    </x:row>
    <x:row r="2827" ht="34" customHeight="1">
      <x:c r="A2827" s="4" t="str">
        <x:v>RS-01444-I2</x:v>
      </x:c>
      <x:c r="B2827" s="4" t="str">
        <x:v>RS-01444</x:v>
      </x:c>
      <x:c r="C2827" s="9" t="n">
        <x:v>2</x:v>
      </x:c>
      <x:c r="D2827" s="8" t="n">
        <x:v>45397</x:v>
      </x:c>
      <x:c r="E2827" s="9" t="n">
        <x:v>748000</x:v>
      </x:c>
      <x:c r="F2827" s="9" t="n">
        <x:v>748000</x:v>
      </x:c>
    </x:row>
    <x:row r="2828" ht="34" customHeight="1">
      <x:c r="A2828" s="4" t="str">
        <x:v>RS-01444-I3</x:v>
      </x:c>
      <x:c r="B2828" s="4" t="str">
        <x:v>RS-01444</x:v>
      </x:c>
      <x:c r="C2828" s="9" t="n">
        <x:v>3</x:v>
      </x:c>
      <x:c r="D2828" s="8" t="n">
        <x:v>45427</x:v>
      </x:c>
      <x:c r="E2828" s="9" t="n">
        <x:v>748000</x:v>
      </x:c>
      <x:c r="F2828" s="9" t="n">
        <x:v>748000</x:v>
      </x:c>
    </x:row>
    <x:row r="2829" ht="34" customHeight="1">
      <x:c r="A2829" s="4" t="str">
        <x:v>RS-01444-I4</x:v>
      </x:c>
      <x:c r="B2829" s="4" t="str">
        <x:v>RS-01444</x:v>
      </x:c>
      <x:c r="C2829" s="9" t="n">
        <x:v>4</x:v>
      </x:c>
      <x:c r="D2829" s="8" t="n">
        <x:v>45457</x:v>
      </x:c>
      <x:c r="E2829" s="9" t="n">
        <x:v>748000</x:v>
      </x:c>
      <x:c r="F2829" s="9" t="n">
        <x:v>748000</x:v>
      </x:c>
    </x:row>
    <x:row r="2830" ht="34" customHeight="1">
      <x:c r="A2830" s="4" t="str">
        <x:v>RS-01446-I1</x:v>
      </x:c>
      <x:c r="B2830" s="4" t="str">
        <x:v>RS-01446</x:v>
      </x:c>
      <x:c r="C2830" s="9" t="n">
        <x:v>1</x:v>
      </x:c>
      <x:c r="D2830" s="8" t="n">
        <x:v>45369</x:v>
      </x:c>
      <x:c r="E2830" s="9" t="n">
        <x:v>2375000</x:v>
      </x:c>
      <x:c r="F2830" s="9" t="n">
        <x:v>2375000</x:v>
      </x:c>
    </x:row>
    <x:row r="2831" ht="34" customHeight="1">
      <x:c r="A2831" s="4" t="str">
        <x:v>RS-01446-I2</x:v>
      </x:c>
      <x:c r="B2831" s="4" t="str">
        <x:v>RS-01446</x:v>
      </x:c>
      <x:c r="C2831" s="9" t="n">
        <x:v>2</x:v>
      </x:c>
      <x:c r="D2831" s="8" t="n">
        <x:v>45399</x:v>
      </x:c>
      <x:c r="E2831" s="9" t="n">
        <x:v>2375000</x:v>
      </x:c>
      <x:c r="F2831" s="9" t="n">
        <x:v>2375000</x:v>
      </x:c>
    </x:row>
    <x:row r="2832" ht="34" customHeight="1">
      <x:c r="A2832" s="4" t="str">
        <x:v>RS-01446-I3</x:v>
      </x:c>
      <x:c r="B2832" s="4" t="str">
        <x:v>RS-01446</x:v>
      </x:c>
      <x:c r="C2832" s="9" t="n">
        <x:v>3</x:v>
      </x:c>
      <x:c r="D2832" s="8" t="n">
        <x:v>45429</x:v>
      </x:c>
      <x:c r="E2832" s="9" t="n">
        <x:v>2375000</x:v>
      </x:c>
      <x:c r="F2832" s="9" t="n">
        <x:v>0</x:v>
      </x:c>
    </x:row>
    <x:row r="2833" ht="34" customHeight="1">
      <x:c r="A2833" s="4" t="str">
        <x:v>RS-01446-I4</x:v>
      </x:c>
      <x:c r="B2833" s="4" t="str">
        <x:v>RS-01446</x:v>
      </x:c>
      <x:c r="C2833" s="9" t="n">
        <x:v>4</x:v>
      </x:c>
      <x:c r="D2833" s="8" t="n">
        <x:v>45459</x:v>
      </x:c>
      <x:c r="E2833" s="9" t="n">
        <x:v>2375000</x:v>
      </x:c>
      <x:c r="F2833" s="9" t="n">
        <x:v>0</x:v>
      </x:c>
    </x:row>
    <x:row r="2834" ht="34" customHeight="1">
      <x:c r="A2834" s="4" t="str">
        <x:v>RS-01449-I1</x:v>
      </x:c>
      <x:c r="B2834" s="4" t="str">
        <x:v>RS-01449</x:v>
      </x:c>
      <x:c r="C2834" s="9" t="n">
        <x:v>1</x:v>
      </x:c>
      <x:c r="D2834" s="8" t="n">
        <x:v>45372</x:v>
      </x:c>
      <x:c r="E2834" s="9" t="n">
        <x:v>5528250</x:v>
      </x:c>
      <x:c r="F2834" s="9" t="n">
        <x:v>5528250</x:v>
      </x:c>
    </x:row>
    <x:row r="2835" ht="34" customHeight="1">
      <x:c r="A2835" s="4" t="str">
        <x:v>RS-01449-I2</x:v>
      </x:c>
      <x:c r="B2835" s="4" t="str">
        <x:v>RS-01449</x:v>
      </x:c>
      <x:c r="C2835" s="9" t="n">
        <x:v>2</x:v>
      </x:c>
      <x:c r="D2835" s="8" t="n">
        <x:v>45402</x:v>
      </x:c>
      <x:c r="E2835" s="9" t="n">
        <x:v>5528250</x:v>
      </x:c>
      <x:c r="F2835" s="9" t="n">
        <x:v>5528250</x:v>
      </x:c>
    </x:row>
    <x:row r="2836" ht="34" customHeight="1">
      <x:c r="A2836" s="4" t="str">
        <x:v>RS-01449-I3</x:v>
      </x:c>
      <x:c r="B2836" s="4" t="str">
        <x:v>RS-01449</x:v>
      </x:c>
      <x:c r="C2836" s="9" t="n">
        <x:v>3</x:v>
      </x:c>
      <x:c r="D2836" s="8" t="n">
        <x:v>45432</x:v>
      </x:c>
      <x:c r="E2836" s="9" t="n">
        <x:v>5528250</x:v>
      </x:c>
      <x:c r="F2836" s="9" t="n">
        <x:v>5528250</x:v>
      </x:c>
    </x:row>
    <x:row r="2837" ht="34" customHeight="1">
      <x:c r="A2837" s="4" t="str">
        <x:v>RS-01449-I4</x:v>
      </x:c>
      <x:c r="B2837" s="4" t="str">
        <x:v>RS-01449</x:v>
      </x:c>
      <x:c r="C2837" s="9" t="n">
        <x:v>4</x:v>
      </x:c>
      <x:c r="D2837" s="8" t="n">
        <x:v>45462</x:v>
      </x:c>
      <x:c r="E2837" s="9" t="n">
        <x:v>5528250</x:v>
      </x:c>
      <x:c r="F2837" s="9" t="n">
        <x:v>5528250</x:v>
      </x:c>
    </x:row>
    <x:row r="2838" ht="34" customHeight="1">
      <x:c r="A2838" s="4" t="str">
        <x:v>RS-01452-I1</x:v>
      </x:c>
      <x:c r="B2838" s="4" t="str">
        <x:v>RS-01452</x:v>
      </x:c>
      <x:c r="C2838" s="9" t="n">
        <x:v>1</x:v>
      </x:c>
      <x:c r="D2838" s="8" t="n">
        <x:v>45375</x:v>
      </x:c>
      <x:c r="E2838" s="9" t="n">
        <x:v>2079000</x:v>
      </x:c>
      <x:c r="F2838" s="9" t="n">
        <x:v>2079000</x:v>
      </x:c>
    </x:row>
    <x:row r="2839" ht="34" customHeight="1">
      <x:c r="A2839" s="4" t="str">
        <x:v>RS-01452-I2</x:v>
      </x:c>
      <x:c r="B2839" s="4" t="str">
        <x:v>RS-01452</x:v>
      </x:c>
      <x:c r="C2839" s="9" t="n">
        <x:v>2</x:v>
      </x:c>
      <x:c r="D2839" s="8" t="n">
        <x:v>45405</x:v>
      </x:c>
      <x:c r="E2839" s="9" t="n">
        <x:v>2079000</x:v>
      </x:c>
      <x:c r="F2839" s="9" t="n">
        <x:v>2079000</x:v>
      </x:c>
    </x:row>
    <x:row r="2840" ht="34" customHeight="1">
      <x:c r="A2840" s="4" t="str">
        <x:v>RS-01452-I3</x:v>
      </x:c>
      <x:c r="B2840" s="4" t="str">
        <x:v>RS-01452</x:v>
      </x:c>
      <x:c r="C2840" s="9" t="n">
        <x:v>3</x:v>
      </x:c>
      <x:c r="D2840" s="8" t="n">
        <x:v>45435</x:v>
      </x:c>
      <x:c r="E2840" s="9" t="n">
        <x:v>2079000</x:v>
      </x:c>
      <x:c r="F2840" s="9" t="n">
        <x:v>2079000</x:v>
      </x:c>
    </x:row>
    <x:row r="2841" ht="34" customHeight="1">
      <x:c r="A2841" s="4" t="str">
        <x:v>RS-01452-I4</x:v>
      </x:c>
      <x:c r="B2841" s="4" t="str">
        <x:v>RS-01452</x:v>
      </x:c>
      <x:c r="C2841" s="9" t="n">
        <x:v>4</x:v>
      </x:c>
      <x:c r="D2841" s="8" t="n">
        <x:v>45465</x:v>
      </x:c>
      <x:c r="E2841" s="9" t="n">
        <x:v>2079000</x:v>
      </x:c>
      <x:c r="F2841" s="9" t="n">
        <x:v>2079000</x:v>
      </x:c>
    </x:row>
    <x:row r="2842" ht="34" customHeight="1">
      <x:c r="A2842" s="4" t="str">
        <x:v>RS-01453-I1</x:v>
      </x:c>
      <x:c r="B2842" s="4" t="str">
        <x:v>RS-01453</x:v>
      </x:c>
      <x:c r="C2842" s="9" t="n">
        <x:v>1</x:v>
      </x:c>
      <x:c r="D2842" s="8" t="n">
        <x:v>45376</x:v>
      </x:c>
      <x:c r="E2842" s="9" t="n">
        <x:v>4582500</x:v>
      </x:c>
      <x:c r="F2842" s="9" t="n">
        <x:v>4582500</x:v>
      </x:c>
    </x:row>
    <x:row r="2843" ht="34" customHeight="1">
      <x:c r="A2843" s="4" t="str">
        <x:v>RS-01453-I2</x:v>
      </x:c>
      <x:c r="B2843" s="4" t="str">
        <x:v>RS-01453</x:v>
      </x:c>
      <x:c r="C2843" s="9" t="n">
        <x:v>2</x:v>
      </x:c>
      <x:c r="D2843" s="8" t="n">
        <x:v>45406</x:v>
      </x:c>
      <x:c r="E2843" s="9" t="n">
        <x:v>4582500</x:v>
      </x:c>
      <x:c r="F2843" s="9" t="n">
        <x:v>0</x:v>
      </x:c>
    </x:row>
    <x:row r="2844" ht="34" customHeight="1">
      <x:c r="A2844" s="4" t="str">
        <x:v>RS-01453-I3</x:v>
      </x:c>
      <x:c r="B2844" s="4" t="str">
        <x:v>RS-01453</x:v>
      </x:c>
      <x:c r="C2844" s="9" t="n">
        <x:v>3</x:v>
      </x:c>
      <x:c r="D2844" s="8" t="n">
        <x:v>45436</x:v>
      </x:c>
      <x:c r="E2844" s="9" t="n">
        <x:v>4582500</x:v>
      </x:c>
      <x:c r="F2844" s="9" t="n">
        <x:v>0</x:v>
      </x:c>
    </x:row>
    <x:row r="2845" ht="34" customHeight="1">
      <x:c r="A2845" s="4" t="str">
        <x:v>RS-01453-I4</x:v>
      </x:c>
      <x:c r="B2845" s="4" t="str">
        <x:v>RS-01453</x:v>
      </x:c>
      <x:c r="C2845" s="9" t="n">
        <x:v>4</x:v>
      </x:c>
      <x:c r="D2845" s="8" t="n">
        <x:v>45466</x:v>
      </x:c>
      <x:c r="E2845" s="9" t="n">
        <x:v>4582500</x:v>
      </x:c>
      <x:c r="F2845" s="9" t="n">
        <x:v>0</x:v>
      </x:c>
    </x:row>
    <x:row r="2846" ht="34" customHeight="1">
      <x:c r="A2846" s="4" t="str">
        <x:v>RS-01454-I1</x:v>
      </x:c>
      <x:c r="B2846" s="4" t="str">
        <x:v>RS-01454</x:v>
      </x:c>
      <x:c r="C2846" s="9" t="n">
        <x:v>1</x:v>
      </x:c>
      <x:c r="D2846" s="8" t="n">
        <x:v>45377</x:v>
      </x:c>
      <x:c r="E2846" s="9" t="n">
        <x:v>1503500</x:v>
      </x:c>
      <x:c r="F2846" s="9" t="n">
        <x:v>601400</x:v>
      </x:c>
    </x:row>
    <x:row r="2847" ht="34" customHeight="1">
      <x:c r="A2847" s="4" t="str">
        <x:v>RS-01454-I2</x:v>
      </x:c>
      <x:c r="B2847" s="4" t="str">
        <x:v>RS-01454</x:v>
      </x:c>
      <x:c r="C2847" s="9" t="n">
        <x:v>2</x:v>
      </x:c>
      <x:c r="D2847" s="8" t="n">
        <x:v>45407</x:v>
      </x:c>
      <x:c r="E2847" s="9" t="n">
        <x:v>1503500</x:v>
      </x:c>
      <x:c r="F2847" s="9" t="n">
        <x:v>0</x:v>
      </x:c>
    </x:row>
    <x:row r="2848" ht="34" customHeight="1">
      <x:c r="A2848" s="4" t="str">
        <x:v>RS-01454-I3</x:v>
      </x:c>
      <x:c r="B2848" s="4" t="str">
        <x:v>RS-01454</x:v>
      </x:c>
      <x:c r="C2848" s="9" t="n">
        <x:v>3</x:v>
      </x:c>
      <x:c r="D2848" s="8" t="n">
        <x:v>45437</x:v>
      </x:c>
      <x:c r="E2848" s="9" t="n">
        <x:v>1503500</x:v>
      </x:c>
      <x:c r="F2848" s="9" t="n">
        <x:v>0</x:v>
      </x:c>
    </x:row>
    <x:row r="2849" ht="34" customHeight="1">
      <x:c r="A2849" s="4" t="str">
        <x:v>RS-01454-I4</x:v>
      </x:c>
      <x:c r="B2849" s="4" t="str">
        <x:v>RS-01454</x:v>
      </x:c>
      <x:c r="C2849" s="9" t="n">
        <x:v>4</x:v>
      </x:c>
      <x:c r="D2849" s="8" t="n">
        <x:v>45467</x:v>
      </x:c>
      <x:c r="E2849" s="9" t="n">
        <x:v>1503500</x:v>
      </x:c>
      <x:c r="F2849" s="9" t="n">
        <x:v>0</x:v>
      </x:c>
    </x:row>
    <x:row r="2850" ht="34" customHeight="1">
      <x:c r="A2850" s="4" t="str">
        <x:v>RS-01455-I1</x:v>
      </x:c>
      <x:c r="B2850" s="4" t="str">
        <x:v>RS-01455</x:v>
      </x:c>
      <x:c r="C2850" s="9" t="n">
        <x:v>1</x:v>
      </x:c>
      <x:c r="D2850" s="8" t="n">
        <x:v>45378</x:v>
      </x:c>
      <x:c r="E2850" s="9" t="n">
        <x:v>2202750</x:v>
      </x:c>
      <x:c r="F2850" s="9" t="n">
        <x:v>2202750</x:v>
      </x:c>
    </x:row>
    <x:row r="2851" ht="34" customHeight="1">
      <x:c r="A2851" s="4" t="str">
        <x:v>RS-01455-I2</x:v>
      </x:c>
      <x:c r="B2851" s="4" t="str">
        <x:v>RS-01455</x:v>
      </x:c>
      <x:c r="C2851" s="9" t="n">
        <x:v>2</x:v>
      </x:c>
      <x:c r="D2851" s="8" t="n">
        <x:v>45408</x:v>
      </x:c>
      <x:c r="E2851" s="9" t="n">
        <x:v>2202750</x:v>
      </x:c>
      <x:c r="F2851" s="9" t="n">
        <x:v>0</x:v>
      </x:c>
    </x:row>
    <x:row r="2852" ht="34" customHeight="1">
      <x:c r="A2852" s="4" t="str">
        <x:v>RS-01455-I3</x:v>
      </x:c>
      <x:c r="B2852" s="4" t="str">
        <x:v>RS-01455</x:v>
      </x:c>
      <x:c r="C2852" s="9" t="n">
        <x:v>3</x:v>
      </x:c>
      <x:c r="D2852" s="8" t="n">
        <x:v>45438</x:v>
      </x:c>
      <x:c r="E2852" s="9" t="n">
        <x:v>2202750</x:v>
      </x:c>
      <x:c r="F2852" s="9" t="n">
        <x:v>0</x:v>
      </x:c>
    </x:row>
    <x:row r="2853" ht="34" customHeight="1">
      <x:c r="A2853" s="4" t="str">
        <x:v>RS-01455-I4</x:v>
      </x:c>
      <x:c r="B2853" s="4" t="str">
        <x:v>RS-01455</x:v>
      </x:c>
      <x:c r="C2853" s="9" t="n">
        <x:v>4</x:v>
      </x:c>
      <x:c r="D2853" s="8" t="n">
        <x:v>45468</x:v>
      </x:c>
      <x:c r="E2853" s="9" t="n">
        <x:v>2202750</x:v>
      </x:c>
      <x:c r="F2853" s="9" t="n">
        <x:v>0</x:v>
      </x:c>
    </x:row>
    <x:row r="2854" ht="34" customHeight="1">
      <x:c r="A2854" s="4" t="str">
        <x:v>RS-01457-I1</x:v>
      </x:c>
      <x:c r="B2854" s="4" t="str">
        <x:v>RS-01457</x:v>
      </x:c>
      <x:c r="C2854" s="9" t="n">
        <x:v>1</x:v>
      </x:c>
      <x:c r="D2854" s="8" t="n">
        <x:v>45352</x:v>
      </x:c>
      <x:c r="E2854" s="9" t="n">
        <x:v>5658000</x:v>
      </x:c>
      <x:c r="F2854" s="9" t="n">
        <x:v>5658000</x:v>
      </x:c>
    </x:row>
    <x:row r="2855" ht="34" customHeight="1">
      <x:c r="A2855" s="4" t="str">
        <x:v>RS-01457-I2</x:v>
      </x:c>
      <x:c r="B2855" s="4" t="str">
        <x:v>RS-01457</x:v>
      </x:c>
      <x:c r="C2855" s="9" t="n">
        <x:v>2</x:v>
      </x:c>
      <x:c r="D2855" s="8" t="n">
        <x:v>45382</x:v>
      </x:c>
      <x:c r="E2855" s="9" t="n">
        <x:v>5658000</x:v>
      </x:c>
      <x:c r="F2855" s="9" t="n">
        <x:v>5658000</x:v>
      </x:c>
    </x:row>
    <x:row r="2856" ht="34" customHeight="1">
      <x:c r="A2856" s="4" t="str">
        <x:v>RS-01457-I3</x:v>
      </x:c>
      <x:c r="B2856" s="4" t="str">
        <x:v>RS-01457</x:v>
      </x:c>
      <x:c r="C2856" s="9" t="n">
        <x:v>3</x:v>
      </x:c>
      <x:c r="D2856" s="8" t="n">
        <x:v>45412</x:v>
      </x:c>
      <x:c r="E2856" s="9" t="n">
        <x:v>5658000</x:v>
      </x:c>
      <x:c r="F2856" s="9" t="n">
        <x:v>0</x:v>
      </x:c>
    </x:row>
    <x:row r="2857" ht="34" customHeight="1">
      <x:c r="A2857" s="4" t="str">
        <x:v>RS-01457-I4</x:v>
      </x:c>
      <x:c r="B2857" s="4" t="str">
        <x:v>RS-01457</x:v>
      </x:c>
      <x:c r="C2857" s="9" t="n">
        <x:v>4</x:v>
      </x:c>
      <x:c r="D2857" s="8" t="n">
        <x:v>45442</x:v>
      </x:c>
      <x:c r="E2857" s="9" t="n">
        <x:v>5658000</x:v>
      </x:c>
      <x:c r="F2857" s="9" t="n">
        <x:v>0</x:v>
      </x:c>
    </x:row>
    <x:row r="2858" ht="34" customHeight="1">
      <x:c r="A2858" s="4" t="str">
        <x:v>RS-01458-I1</x:v>
      </x:c>
      <x:c r="B2858" s="4" t="str">
        <x:v>RS-01458</x:v>
      </x:c>
      <x:c r="C2858" s="9" t="n">
        <x:v>1</x:v>
      </x:c>
      <x:c r="D2858" s="8" t="n">
        <x:v>45353</x:v>
      </x:c>
      <x:c r="E2858" s="9" t="n">
        <x:v>5420250</x:v>
      </x:c>
      <x:c r="F2858" s="9" t="n">
        <x:v>5420250</x:v>
      </x:c>
    </x:row>
    <x:row r="2859" ht="34" customHeight="1">
      <x:c r="A2859" s="4" t="str">
        <x:v>RS-01458-I2</x:v>
      </x:c>
      <x:c r="B2859" s="4" t="str">
        <x:v>RS-01458</x:v>
      </x:c>
      <x:c r="C2859" s="9" t="n">
        <x:v>2</x:v>
      </x:c>
      <x:c r="D2859" s="8" t="n">
        <x:v>45383</x:v>
      </x:c>
      <x:c r="E2859" s="9" t="n">
        <x:v>5420250</x:v>
      </x:c>
      <x:c r="F2859" s="9" t="n">
        <x:v>5420250</x:v>
      </x:c>
    </x:row>
    <x:row r="2860" ht="34" customHeight="1">
      <x:c r="A2860" s="4" t="str">
        <x:v>RS-01458-I3</x:v>
      </x:c>
      <x:c r="B2860" s="4" t="str">
        <x:v>RS-01458</x:v>
      </x:c>
      <x:c r="C2860" s="9" t="n">
        <x:v>3</x:v>
      </x:c>
      <x:c r="D2860" s="8" t="n">
        <x:v>45413</x:v>
      </x:c>
      <x:c r="E2860" s="9" t="n">
        <x:v>5420250</x:v>
      </x:c>
      <x:c r="F2860" s="9" t="n">
        <x:v>0</x:v>
      </x:c>
    </x:row>
    <x:row r="2861" ht="34" customHeight="1">
      <x:c r="A2861" s="4" t="str">
        <x:v>RS-01458-I4</x:v>
      </x:c>
      <x:c r="B2861" s="4" t="str">
        <x:v>RS-01458</x:v>
      </x:c>
      <x:c r="C2861" s="9" t="n">
        <x:v>4</x:v>
      </x:c>
      <x:c r="D2861" s="8" t="n">
        <x:v>45443</x:v>
      </x:c>
      <x:c r="E2861" s="9" t="n">
        <x:v>5420250</x:v>
      </x:c>
      <x:c r="F2861" s="9" t="n">
        <x:v>0</x:v>
      </x:c>
    </x:row>
    <x:row r="2862" ht="34" customHeight="1">
      <x:c r="A2862" s="4" t="str">
        <x:v>RS-01462-I1</x:v>
      </x:c>
      <x:c r="B2862" s="4" t="str">
        <x:v>RS-01462</x:v>
      </x:c>
      <x:c r="C2862" s="9" t="n">
        <x:v>1</x:v>
      </x:c>
      <x:c r="D2862" s="8" t="n">
        <x:v>45357</x:v>
      </x:c>
      <x:c r="E2862" s="9" t="n">
        <x:v>3291750</x:v>
      </x:c>
      <x:c r="F2862" s="9" t="n">
        <x:v>3291750</x:v>
      </x:c>
    </x:row>
    <x:row r="2863" ht="34" customHeight="1">
      <x:c r="A2863" s="4" t="str">
        <x:v>RS-01462-I2</x:v>
      </x:c>
      <x:c r="B2863" s="4" t="str">
        <x:v>RS-01462</x:v>
      </x:c>
      <x:c r="C2863" s="9" t="n">
        <x:v>2</x:v>
      </x:c>
      <x:c r="D2863" s="8" t="n">
        <x:v>45387</x:v>
      </x:c>
      <x:c r="E2863" s="9" t="n">
        <x:v>3291750</x:v>
      </x:c>
      <x:c r="F2863" s="9" t="n">
        <x:v>3291750</x:v>
      </x:c>
    </x:row>
    <x:row r="2864" ht="34" customHeight="1">
      <x:c r="A2864" s="4" t="str">
        <x:v>RS-01462-I3</x:v>
      </x:c>
      <x:c r="B2864" s="4" t="str">
        <x:v>RS-01462</x:v>
      </x:c>
      <x:c r="C2864" s="9" t="n">
        <x:v>3</x:v>
      </x:c>
      <x:c r="D2864" s="8" t="n">
        <x:v>45417</x:v>
      </x:c>
      <x:c r="E2864" s="9" t="n">
        <x:v>3291750</x:v>
      </x:c>
      <x:c r="F2864" s="9" t="n">
        <x:v>0</x:v>
      </x:c>
    </x:row>
    <x:row r="2865" ht="34" customHeight="1">
      <x:c r="A2865" s="4" t="str">
        <x:v>RS-01462-I4</x:v>
      </x:c>
      <x:c r="B2865" s="4" t="str">
        <x:v>RS-01462</x:v>
      </x:c>
      <x:c r="C2865" s="9" t="n">
        <x:v>4</x:v>
      </x:c>
      <x:c r="D2865" s="8" t="n">
        <x:v>45447</x:v>
      </x:c>
      <x:c r="E2865" s="9" t="n">
        <x:v>3291750</x:v>
      </x:c>
      <x:c r="F2865" s="9" t="n">
        <x:v>0</x:v>
      </x:c>
    </x:row>
    <x:row r="2866" ht="34" customHeight="1">
      <x:c r="A2866" s="4" t="str">
        <x:v>RS-01465-I1</x:v>
      </x:c>
      <x:c r="B2866" s="4" t="str">
        <x:v>RS-01465</x:v>
      </x:c>
      <x:c r="C2866" s="9" t="n">
        <x:v>1</x:v>
      </x:c>
      <x:c r="D2866" s="8" t="n">
        <x:v>45360</x:v>
      </x:c>
      <x:c r="E2866" s="9" t="n">
        <x:v>2730000</x:v>
      </x:c>
      <x:c r="F2866" s="9" t="n">
        <x:v>2730000</x:v>
      </x:c>
    </x:row>
    <x:row r="2867" ht="34" customHeight="1">
      <x:c r="A2867" s="4" t="str">
        <x:v>RS-01465-I2</x:v>
      </x:c>
      <x:c r="B2867" s="4" t="str">
        <x:v>RS-01465</x:v>
      </x:c>
      <x:c r="C2867" s="9" t="n">
        <x:v>2</x:v>
      </x:c>
      <x:c r="D2867" s="8" t="n">
        <x:v>45390</x:v>
      </x:c>
      <x:c r="E2867" s="9" t="n">
        <x:v>2730000</x:v>
      </x:c>
      <x:c r="F2867" s="9" t="n">
        <x:v>2730000</x:v>
      </x:c>
    </x:row>
    <x:row r="2868" ht="34" customHeight="1">
      <x:c r="A2868" s="4" t="str">
        <x:v>RS-01465-I3</x:v>
      </x:c>
      <x:c r="B2868" s="4" t="str">
        <x:v>RS-01465</x:v>
      </x:c>
      <x:c r="C2868" s="9" t="n">
        <x:v>3</x:v>
      </x:c>
      <x:c r="D2868" s="8" t="n">
        <x:v>45420</x:v>
      </x:c>
      <x:c r="E2868" s="9" t="n">
        <x:v>2730000</x:v>
      </x:c>
      <x:c r="F2868" s="9" t="n">
        <x:v>0</x:v>
      </x:c>
    </x:row>
    <x:row r="2869" ht="34" customHeight="1">
      <x:c r="A2869" s="4" t="str">
        <x:v>RS-01465-I4</x:v>
      </x:c>
      <x:c r="B2869" s="4" t="str">
        <x:v>RS-01465</x:v>
      </x:c>
      <x:c r="C2869" s="9" t="n">
        <x:v>4</x:v>
      </x:c>
      <x:c r="D2869" s="8" t="n">
        <x:v>45450</x:v>
      </x:c>
      <x:c r="E2869" s="9" t="n">
        <x:v>2730000</x:v>
      </x:c>
      <x:c r="F2869" s="9" t="n">
        <x:v>0</x:v>
      </x:c>
    </x:row>
    <x:row r="2870" ht="34" customHeight="1">
      <x:c r="A2870" s="4" t="str">
        <x:v>RS-01467-I1</x:v>
      </x:c>
      <x:c r="B2870" s="4" t="str">
        <x:v>RS-01467</x:v>
      </x:c>
      <x:c r="C2870" s="9" t="n">
        <x:v>1</x:v>
      </x:c>
      <x:c r="D2870" s="8" t="n">
        <x:v>45362</x:v>
      </x:c>
      <x:c r="E2870" s="9" t="n">
        <x:v>5145000</x:v>
      </x:c>
      <x:c r="F2870" s="9" t="n">
        <x:v>5145000</x:v>
      </x:c>
    </x:row>
    <x:row r="2871" ht="34" customHeight="1">
      <x:c r="A2871" s="4" t="str">
        <x:v>RS-01467-I2</x:v>
      </x:c>
      <x:c r="B2871" s="4" t="str">
        <x:v>RS-01467</x:v>
      </x:c>
      <x:c r="C2871" s="9" t="n">
        <x:v>2</x:v>
      </x:c>
      <x:c r="D2871" s="8" t="n">
        <x:v>45392</x:v>
      </x:c>
      <x:c r="E2871" s="9" t="n">
        <x:v>5145000</x:v>
      </x:c>
      <x:c r="F2871" s="9" t="n">
        <x:v>5145000</x:v>
      </x:c>
    </x:row>
    <x:row r="2872" ht="34" customHeight="1">
      <x:c r="A2872" s="4" t="str">
        <x:v>RS-01467-I3</x:v>
      </x:c>
      <x:c r="B2872" s="4" t="str">
        <x:v>RS-01467</x:v>
      </x:c>
      <x:c r="C2872" s="9" t="n">
        <x:v>3</x:v>
      </x:c>
      <x:c r="D2872" s="8" t="n">
        <x:v>45422</x:v>
      </x:c>
      <x:c r="E2872" s="9" t="n">
        <x:v>5145000</x:v>
      </x:c>
      <x:c r="F2872" s="9" t="n">
        <x:v>0</x:v>
      </x:c>
    </x:row>
    <x:row r="2873" ht="34" customHeight="1">
      <x:c r="A2873" s="4" t="str">
        <x:v>RS-01467-I4</x:v>
      </x:c>
      <x:c r="B2873" s="4" t="str">
        <x:v>RS-01467</x:v>
      </x:c>
      <x:c r="C2873" s="9" t="n">
        <x:v>4</x:v>
      </x:c>
      <x:c r="D2873" s="8" t="n">
        <x:v>45452</x:v>
      </x:c>
      <x:c r="E2873" s="9" t="n">
        <x:v>5145000</x:v>
      </x:c>
      <x:c r="F2873" s="9" t="n">
        <x:v>0</x:v>
      </x:c>
    </x:row>
    <x:row r="2874" ht="34" customHeight="1">
      <x:c r="A2874" s="4" t="str">
        <x:v>RS-01472-I1</x:v>
      </x:c>
      <x:c r="B2874" s="4" t="str">
        <x:v>RS-01472</x:v>
      </x:c>
      <x:c r="C2874" s="9" t="n">
        <x:v>1</x:v>
      </x:c>
      <x:c r="D2874" s="8" t="n">
        <x:v>45367</x:v>
      </x:c>
      <x:c r="E2874" s="9" t="n">
        <x:v>1781250</x:v>
      </x:c>
      <x:c r="F2874" s="9" t="n">
        <x:v>1781250</x:v>
      </x:c>
    </x:row>
    <x:row r="2875" ht="34" customHeight="1">
      <x:c r="A2875" s="4" t="str">
        <x:v>RS-01472-I2</x:v>
      </x:c>
      <x:c r="B2875" s="4" t="str">
        <x:v>RS-01472</x:v>
      </x:c>
      <x:c r="C2875" s="9" t="n">
        <x:v>2</x:v>
      </x:c>
      <x:c r="D2875" s="8" t="n">
        <x:v>45397</x:v>
      </x:c>
      <x:c r="E2875" s="9" t="n">
        <x:v>1781250</x:v>
      </x:c>
      <x:c r="F2875" s="9" t="n">
        <x:v>1781250</x:v>
      </x:c>
    </x:row>
    <x:row r="2876" ht="34" customHeight="1">
      <x:c r="A2876" s="4" t="str">
        <x:v>RS-01472-I3</x:v>
      </x:c>
      <x:c r="B2876" s="4" t="str">
        <x:v>RS-01472</x:v>
      </x:c>
      <x:c r="C2876" s="9" t="n">
        <x:v>3</x:v>
      </x:c>
      <x:c r="D2876" s="8" t="n">
        <x:v>45427</x:v>
      </x:c>
      <x:c r="E2876" s="9" t="n">
        <x:v>1781250</x:v>
      </x:c>
      <x:c r="F2876" s="9" t="n">
        <x:v>0</x:v>
      </x:c>
    </x:row>
    <x:row r="2877" ht="34" customHeight="1">
      <x:c r="A2877" s="4" t="str">
        <x:v>RS-01472-I4</x:v>
      </x:c>
      <x:c r="B2877" s="4" t="str">
        <x:v>RS-01472</x:v>
      </x:c>
      <x:c r="C2877" s="9" t="n">
        <x:v>4</x:v>
      </x:c>
      <x:c r="D2877" s="8" t="n">
        <x:v>45457</x:v>
      </x:c>
      <x:c r="E2877" s="9" t="n">
        <x:v>1781250</x:v>
      </x:c>
      <x:c r="F2877" s="9" t="n">
        <x:v>0</x:v>
      </x:c>
    </x:row>
    <x:row r="2878" ht="34" customHeight="1">
      <x:c r="A2878" s="4" t="str">
        <x:v>RS-01473-I1</x:v>
      </x:c>
      <x:c r="B2878" s="4" t="str">
        <x:v>RS-01473</x:v>
      </x:c>
      <x:c r="C2878" s="9" t="n">
        <x:v>1</x:v>
      </x:c>
      <x:c r="D2878" s="8" t="n">
        <x:v>45368</x:v>
      </x:c>
      <x:c r="E2878" s="9" t="n">
        <x:v>2897500</x:v>
      </x:c>
      <x:c r="F2878" s="9" t="n">
        <x:v>2897500</x:v>
      </x:c>
    </x:row>
    <x:row r="2879" ht="34" customHeight="1">
      <x:c r="A2879" s="4" t="str">
        <x:v>RS-01473-I2</x:v>
      </x:c>
      <x:c r="B2879" s="4" t="str">
        <x:v>RS-01473</x:v>
      </x:c>
      <x:c r="C2879" s="9" t="n">
        <x:v>2</x:v>
      </x:c>
      <x:c r="D2879" s="8" t="n">
        <x:v>45398</x:v>
      </x:c>
      <x:c r="E2879" s="9" t="n">
        <x:v>2897500</x:v>
      </x:c>
      <x:c r="F2879" s="9" t="n">
        <x:v>0</x:v>
      </x:c>
    </x:row>
    <x:row r="2880" ht="34" customHeight="1">
      <x:c r="A2880" s="4" t="str">
        <x:v>RS-01473-I3</x:v>
      </x:c>
      <x:c r="B2880" s="4" t="str">
        <x:v>RS-01473</x:v>
      </x:c>
      <x:c r="C2880" s="9" t="n">
        <x:v>3</x:v>
      </x:c>
      <x:c r="D2880" s="8" t="n">
        <x:v>45428</x:v>
      </x:c>
      <x:c r="E2880" s="9" t="n">
        <x:v>2897500</x:v>
      </x:c>
      <x:c r="F2880" s="9" t="n">
        <x:v>0</x:v>
      </x:c>
    </x:row>
    <x:row r="2881" ht="34" customHeight="1">
      <x:c r="A2881" s="4" t="str">
        <x:v>RS-01473-I4</x:v>
      </x:c>
      <x:c r="B2881" s="4" t="str">
        <x:v>RS-01473</x:v>
      </x:c>
      <x:c r="C2881" s="9" t="n">
        <x:v>4</x:v>
      </x:c>
      <x:c r="D2881" s="8" t="n">
        <x:v>45458</x:v>
      </x:c>
      <x:c r="E2881" s="9" t="n">
        <x:v>2897500</x:v>
      </x:c>
      <x:c r="F2881" s="9" t="n">
        <x:v>0</x:v>
      </x:c>
    </x:row>
    <x:row r="2882" ht="34" customHeight="1">
      <x:c r="A2882" s="4" t="str">
        <x:v>RS-01476-I1</x:v>
      </x:c>
      <x:c r="B2882" s="4" t="str">
        <x:v>RS-01476</x:v>
      </x:c>
      <x:c r="C2882" s="9" t="n">
        <x:v>1</x:v>
      </x:c>
      <x:c r="D2882" s="8" t="n">
        <x:v>45371</x:v>
      </x:c>
      <x:c r="E2882" s="9" t="n">
        <x:v>1980000</x:v>
      </x:c>
      <x:c r="F2882" s="9" t="n">
        <x:v>1980000</x:v>
      </x:c>
    </x:row>
    <x:row r="2883" ht="34" customHeight="1">
      <x:c r="A2883" s="4" t="str">
        <x:v>RS-01476-I2</x:v>
      </x:c>
      <x:c r="B2883" s="4" t="str">
        <x:v>RS-01476</x:v>
      </x:c>
      <x:c r="C2883" s="9" t="n">
        <x:v>2</x:v>
      </x:c>
      <x:c r="D2883" s="8" t="n">
        <x:v>45401</x:v>
      </x:c>
      <x:c r="E2883" s="9" t="n">
        <x:v>1980000</x:v>
      </x:c>
      <x:c r="F2883" s="9" t="n">
        <x:v>1980000</x:v>
      </x:c>
    </x:row>
    <x:row r="2884" ht="34" customHeight="1">
      <x:c r="A2884" s="4" t="str">
        <x:v>RS-01476-I3</x:v>
      </x:c>
      <x:c r="B2884" s="4" t="str">
        <x:v>RS-01476</x:v>
      </x:c>
      <x:c r="C2884" s="9" t="n">
        <x:v>3</x:v>
      </x:c>
      <x:c r="D2884" s="8" t="n">
        <x:v>45431</x:v>
      </x:c>
      <x:c r="E2884" s="9" t="n">
        <x:v>1980000</x:v>
      </x:c>
      <x:c r="F2884" s="9" t="n">
        <x:v>1980000</x:v>
      </x:c>
    </x:row>
    <x:row r="2885" ht="34" customHeight="1">
      <x:c r="A2885" s="4" t="str">
        <x:v>RS-01476-I4</x:v>
      </x:c>
      <x:c r="B2885" s="4" t="str">
        <x:v>RS-01476</x:v>
      </x:c>
      <x:c r="C2885" s="9" t="n">
        <x:v>4</x:v>
      </x:c>
      <x:c r="D2885" s="8" t="n">
        <x:v>45461</x:v>
      </x:c>
      <x:c r="E2885" s="9" t="n">
        <x:v>1980000</x:v>
      </x:c>
      <x:c r="F2885" s="9" t="n">
        <x:v>1980000</x:v>
      </x:c>
    </x:row>
    <x:row r="2886" ht="34" customHeight="1">
      <x:c r="A2886" s="4" t="str">
        <x:v>RS-01477-I1</x:v>
      </x:c>
      <x:c r="B2886" s="4" t="str">
        <x:v>RS-01477</x:v>
      </x:c>
      <x:c r="C2886" s="9" t="n">
        <x:v>1</x:v>
      </x:c>
      <x:c r="D2886" s="8" t="n">
        <x:v>45372</x:v>
      </x:c>
      <x:c r="E2886" s="9" t="n">
        <x:v>4207500</x:v>
      </x:c>
      <x:c r="F2886" s="9" t="n">
        <x:v>4207500</x:v>
      </x:c>
    </x:row>
    <x:row r="2887" ht="34" customHeight="1">
      <x:c r="A2887" s="4" t="str">
        <x:v>RS-01477-I2</x:v>
      </x:c>
      <x:c r="B2887" s="4" t="str">
        <x:v>RS-01477</x:v>
      </x:c>
      <x:c r="C2887" s="9" t="n">
        <x:v>2</x:v>
      </x:c>
      <x:c r="D2887" s="8" t="n">
        <x:v>45402</x:v>
      </x:c>
      <x:c r="E2887" s="9" t="n">
        <x:v>4207500</x:v>
      </x:c>
      <x:c r="F2887" s="9" t="n">
        <x:v>0</x:v>
      </x:c>
    </x:row>
    <x:row r="2888" ht="34" customHeight="1">
      <x:c r="A2888" s="4" t="str">
        <x:v>RS-01477-I3</x:v>
      </x:c>
      <x:c r="B2888" s="4" t="str">
        <x:v>RS-01477</x:v>
      </x:c>
      <x:c r="C2888" s="9" t="n">
        <x:v>3</x:v>
      </x:c>
      <x:c r="D2888" s="8" t="n">
        <x:v>45432</x:v>
      </x:c>
      <x:c r="E2888" s="9" t="n">
        <x:v>4207500</x:v>
      </x:c>
      <x:c r="F2888" s="9" t="n">
        <x:v>0</x:v>
      </x:c>
    </x:row>
    <x:row r="2889" ht="34" customHeight="1">
      <x:c r="A2889" s="4" t="str">
        <x:v>RS-01477-I4</x:v>
      </x:c>
      <x:c r="B2889" s="4" t="str">
        <x:v>RS-01477</x:v>
      </x:c>
      <x:c r="C2889" s="9" t="n">
        <x:v>4</x:v>
      </x:c>
      <x:c r="D2889" s="8" t="n">
        <x:v>45462</x:v>
      </x:c>
      <x:c r="E2889" s="9" t="n">
        <x:v>4207500</x:v>
      </x:c>
      <x:c r="F2889" s="9" t="n">
        <x:v>0</x:v>
      </x:c>
    </x:row>
    <x:row r="2890" ht="34" customHeight="1">
      <x:c r="A2890" s="4" t="str">
        <x:v>RS-01478-I1</x:v>
      </x:c>
      <x:c r="B2890" s="4" t="str">
        <x:v>RS-01478</x:v>
      </x:c>
      <x:c r="C2890" s="9" t="n">
        <x:v>1</x:v>
      </x:c>
      <x:c r="D2890" s="8" t="n">
        <x:v>45373</x:v>
      </x:c>
      <x:c r="E2890" s="9" t="n">
        <x:v>5038000</x:v>
      </x:c>
      <x:c r="F2890" s="9" t="n">
        <x:v>2015200</x:v>
      </x:c>
    </x:row>
    <x:row r="2891" ht="34" customHeight="1">
      <x:c r="A2891" s="4" t="str">
        <x:v>RS-01478-I2</x:v>
      </x:c>
      <x:c r="B2891" s="4" t="str">
        <x:v>RS-01478</x:v>
      </x:c>
      <x:c r="C2891" s="9" t="n">
        <x:v>2</x:v>
      </x:c>
      <x:c r="D2891" s="8" t="n">
        <x:v>45403</x:v>
      </x:c>
      <x:c r="E2891" s="9" t="n">
        <x:v>5038000</x:v>
      </x:c>
      <x:c r="F2891" s="9" t="n">
        <x:v>0</x:v>
      </x:c>
    </x:row>
    <x:row r="2892" ht="34" customHeight="1">
      <x:c r="A2892" s="4" t="str">
        <x:v>RS-01478-I3</x:v>
      </x:c>
      <x:c r="B2892" s="4" t="str">
        <x:v>RS-01478</x:v>
      </x:c>
      <x:c r="C2892" s="9" t="n">
        <x:v>3</x:v>
      </x:c>
      <x:c r="D2892" s="8" t="n">
        <x:v>45433</x:v>
      </x:c>
      <x:c r="E2892" s="9" t="n">
        <x:v>5038000</x:v>
      </x:c>
      <x:c r="F2892" s="9" t="n">
        <x:v>0</x:v>
      </x:c>
    </x:row>
    <x:row r="2893" ht="34" customHeight="1">
      <x:c r="A2893" s="4" t="str">
        <x:v>RS-01478-I4</x:v>
      </x:c>
      <x:c r="B2893" s="4" t="str">
        <x:v>RS-01478</x:v>
      </x:c>
      <x:c r="C2893" s="9" t="n">
        <x:v>4</x:v>
      </x:c>
      <x:c r="D2893" s="8" t="n">
        <x:v>45463</x:v>
      </x:c>
      <x:c r="E2893" s="9" t="n">
        <x:v>5038000</x:v>
      </x:c>
      <x:c r="F2893" s="9" t="n">
        <x:v>0</x:v>
      </x:c>
    </x:row>
    <x:row r="2894" ht="34" customHeight="1">
      <x:c r="A2894" s="4" t="str">
        <x:v>RS-01479-I1</x:v>
      </x:c>
      <x:c r="B2894" s="4" t="str">
        <x:v>RS-01479</x:v>
      </x:c>
      <x:c r="C2894" s="9" t="n">
        <x:v>1</x:v>
      </x:c>
      <x:c r="D2894" s="8" t="n">
        <x:v>45374</x:v>
      </x:c>
      <x:c r="E2894" s="9" t="n">
        <x:v>4973500</x:v>
      </x:c>
      <x:c r="F2894" s="9" t="n">
        <x:v>4973500</x:v>
      </x:c>
    </x:row>
    <x:row r="2895" ht="34" customHeight="1">
      <x:c r="A2895" s="4" t="str">
        <x:v>RS-01479-I2</x:v>
      </x:c>
      <x:c r="B2895" s="4" t="str">
        <x:v>RS-01479</x:v>
      </x:c>
      <x:c r="C2895" s="9" t="n">
        <x:v>2</x:v>
      </x:c>
      <x:c r="D2895" s="8" t="n">
        <x:v>45404</x:v>
      </x:c>
      <x:c r="E2895" s="9" t="n">
        <x:v>4973500</x:v>
      </x:c>
      <x:c r="F2895" s="9" t="n">
        <x:v>0</x:v>
      </x:c>
    </x:row>
    <x:row r="2896" ht="34" customHeight="1">
      <x:c r="A2896" s="4" t="str">
        <x:v>RS-01479-I3</x:v>
      </x:c>
      <x:c r="B2896" s="4" t="str">
        <x:v>RS-01479</x:v>
      </x:c>
      <x:c r="C2896" s="9" t="n">
        <x:v>3</x:v>
      </x:c>
      <x:c r="D2896" s="8" t="n">
        <x:v>45434</x:v>
      </x:c>
      <x:c r="E2896" s="9" t="n">
        <x:v>4973500</x:v>
      </x:c>
      <x:c r="F2896" s="9" t="n">
        <x:v>0</x:v>
      </x:c>
    </x:row>
    <x:row r="2897" ht="34" customHeight="1">
      <x:c r="A2897" s="4" t="str">
        <x:v>RS-01479-I4</x:v>
      </x:c>
      <x:c r="B2897" s="4" t="str">
        <x:v>RS-01479</x:v>
      </x:c>
      <x:c r="C2897" s="9" t="n">
        <x:v>4</x:v>
      </x:c>
      <x:c r="D2897" s="8" t="n">
        <x:v>45464</x:v>
      </x:c>
      <x:c r="E2897" s="9" t="n">
        <x:v>4973500</x:v>
      </x:c>
      <x:c r="F2897" s="9" t="n">
        <x:v>0</x:v>
      </x:c>
    </x:row>
    <x:row r="2898" ht="34" customHeight="1">
      <x:c r="A2898" s="4" t="str">
        <x:v>RS-01482-I1</x:v>
      </x:c>
      <x:c r="B2898" s="4" t="str">
        <x:v>RS-01482</x:v>
      </x:c>
      <x:c r="C2898" s="9" t="n">
        <x:v>1</x:v>
      </x:c>
      <x:c r="D2898" s="8" t="n">
        <x:v>45377</x:v>
      </x:c>
      <x:c r="E2898" s="9" t="n">
        <x:v>3844750</x:v>
      </x:c>
      <x:c r="F2898" s="9" t="n">
        <x:v>1537900</x:v>
      </x:c>
    </x:row>
    <x:row r="2899" ht="34" customHeight="1">
      <x:c r="A2899" s="4" t="str">
        <x:v>RS-01482-I2</x:v>
      </x:c>
      <x:c r="B2899" s="4" t="str">
        <x:v>RS-01482</x:v>
      </x:c>
      <x:c r="C2899" s="9" t="n">
        <x:v>2</x:v>
      </x:c>
      <x:c r="D2899" s="8" t="n">
        <x:v>45407</x:v>
      </x:c>
      <x:c r="E2899" s="9" t="n">
        <x:v>3844750</x:v>
      </x:c>
      <x:c r="F2899" s="9" t="n">
        <x:v>0</x:v>
      </x:c>
    </x:row>
    <x:row r="2900" ht="34" customHeight="1">
      <x:c r="A2900" s="4" t="str">
        <x:v>RS-01482-I3</x:v>
      </x:c>
      <x:c r="B2900" s="4" t="str">
        <x:v>RS-01482</x:v>
      </x:c>
      <x:c r="C2900" s="9" t="n">
        <x:v>3</x:v>
      </x:c>
      <x:c r="D2900" s="8" t="n">
        <x:v>45437</x:v>
      </x:c>
      <x:c r="E2900" s="9" t="n">
        <x:v>3844750</x:v>
      </x:c>
      <x:c r="F2900" s="9" t="n">
        <x:v>0</x:v>
      </x:c>
    </x:row>
    <x:row r="2901" ht="34" customHeight="1">
      <x:c r="A2901" s="4" t="str">
        <x:v>RS-01482-I4</x:v>
      </x:c>
      <x:c r="B2901" s="4" t="str">
        <x:v>RS-01482</x:v>
      </x:c>
      <x:c r="C2901" s="9" t="n">
        <x:v>4</x:v>
      </x:c>
      <x:c r="D2901" s="8" t="n">
        <x:v>45467</x:v>
      </x:c>
      <x:c r="E2901" s="9" t="n">
        <x:v>3844750</x:v>
      </x:c>
      <x:c r="F2901" s="9" t="n">
        <x:v>0</x:v>
      </x:c>
    </x:row>
    <x:row r="2902" ht="34" customHeight="1">
      <x:c r="A2902" s="4" t="str">
        <x:v>RS-01483-I1</x:v>
      </x:c>
      <x:c r="B2902" s="4" t="str">
        <x:v>RS-01483</x:v>
      </x:c>
      <x:c r="C2902" s="9" t="n">
        <x:v>1</x:v>
      </x:c>
      <x:c r="D2902" s="8" t="n">
        <x:v>45378</x:v>
      </x:c>
      <x:c r="E2902" s="9" t="n">
        <x:v>3713000</x:v>
      </x:c>
      <x:c r="F2902" s="9" t="n">
        <x:v>1485200</x:v>
      </x:c>
    </x:row>
    <x:row r="2903" ht="34" customHeight="1">
      <x:c r="A2903" s="4" t="str">
        <x:v>RS-01483-I2</x:v>
      </x:c>
      <x:c r="B2903" s="4" t="str">
        <x:v>RS-01483</x:v>
      </x:c>
      <x:c r="C2903" s="9" t="n">
        <x:v>2</x:v>
      </x:c>
      <x:c r="D2903" s="8" t="n">
        <x:v>45408</x:v>
      </x:c>
      <x:c r="E2903" s="9" t="n">
        <x:v>3713000</x:v>
      </x:c>
      <x:c r="F2903" s="9" t="n">
        <x:v>0</x:v>
      </x:c>
    </x:row>
    <x:row r="2904" ht="34" customHeight="1">
      <x:c r="A2904" s="4" t="str">
        <x:v>RS-01483-I3</x:v>
      </x:c>
      <x:c r="B2904" s="4" t="str">
        <x:v>RS-01483</x:v>
      </x:c>
      <x:c r="C2904" s="9" t="n">
        <x:v>3</x:v>
      </x:c>
      <x:c r="D2904" s="8" t="n">
        <x:v>45438</x:v>
      </x:c>
      <x:c r="E2904" s="9" t="n">
        <x:v>3713000</x:v>
      </x:c>
      <x:c r="F2904" s="9" t="n">
        <x:v>0</x:v>
      </x:c>
    </x:row>
    <x:row r="2905" ht="34" customHeight="1">
      <x:c r="A2905" s="4" t="str">
        <x:v>RS-01483-I4</x:v>
      </x:c>
      <x:c r="B2905" s="4" t="str">
        <x:v>RS-01483</x:v>
      </x:c>
      <x:c r="C2905" s="9" t="n">
        <x:v>4</x:v>
      </x:c>
      <x:c r="D2905" s="8" t="n">
        <x:v>45468</x:v>
      </x:c>
      <x:c r="E2905" s="9" t="n">
        <x:v>3713000</x:v>
      </x:c>
      <x:c r="F2905" s="9" t="n">
        <x:v>0</x:v>
      </x:c>
    </x:row>
    <x:row r="2906" ht="34" customHeight="1">
      <x:c r="A2906" s="4" t="str">
        <x:v>RS-01485-I1</x:v>
      </x:c>
      <x:c r="B2906" s="4" t="str">
        <x:v>RS-01485</x:v>
      </x:c>
      <x:c r="C2906" s="9" t="n">
        <x:v>1</x:v>
      </x:c>
      <x:c r="D2906" s="8" t="n">
        <x:v>45352</x:v>
      </x:c>
      <x:c r="E2906" s="9" t="n">
        <x:v>5189500</x:v>
      </x:c>
      <x:c r="F2906" s="9" t="n">
        <x:v>5189500</x:v>
      </x:c>
    </x:row>
    <x:row r="2907" ht="34" customHeight="1">
      <x:c r="A2907" s="4" t="str">
        <x:v>RS-01485-I2</x:v>
      </x:c>
      <x:c r="B2907" s="4" t="str">
        <x:v>RS-01485</x:v>
      </x:c>
      <x:c r="C2907" s="9" t="n">
        <x:v>2</x:v>
      </x:c>
      <x:c r="D2907" s="8" t="n">
        <x:v>45382</x:v>
      </x:c>
      <x:c r="E2907" s="9" t="n">
        <x:v>5189500</x:v>
      </x:c>
      <x:c r="F2907" s="9" t="n">
        <x:v>5189500</x:v>
      </x:c>
    </x:row>
    <x:row r="2908" ht="34" customHeight="1">
      <x:c r="A2908" s="4" t="str">
        <x:v>RS-01485-I3</x:v>
      </x:c>
      <x:c r="B2908" s="4" t="str">
        <x:v>RS-01485</x:v>
      </x:c>
      <x:c r="C2908" s="9" t="n">
        <x:v>3</x:v>
      </x:c>
      <x:c r="D2908" s="8" t="n">
        <x:v>45412</x:v>
      </x:c>
      <x:c r="E2908" s="9" t="n">
        <x:v>5189500</x:v>
      </x:c>
      <x:c r="F2908" s="9" t="n">
        <x:v>0</x:v>
      </x:c>
    </x:row>
    <x:row r="2909" ht="34" customHeight="1">
      <x:c r="A2909" s="4" t="str">
        <x:v>RS-01485-I4</x:v>
      </x:c>
      <x:c r="B2909" s="4" t="str">
        <x:v>RS-01485</x:v>
      </x:c>
      <x:c r="C2909" s="9" t="n">
        <x:v>4</x:v>
      </x:c>
      <x:c r="D2909" s="8" t="n">
        <x:v>45442</x:v>
      </x:c>
      <x:c r="E2909" s="9" t="n">
        <x:v>5189500</x:v>
      </x:c>
      <x:c r="F2909" s="9" t="n">
        <x:v>0</x:v>
      </x:c>
    </x:row>
    <x:row r="2910" ht="34" customHeight="1">
      <x:c r="A2910" s="4" t="str">
        <x:v>RS-01487-I1</x:v>
      </x:c>
      <x:c r="B2910" s="4" t="str">
        <x:v>RS-01487</x:v>
      </x:c>
      <x:c r="C2910" s="9" t="n">
        <x:v>1</x:v>
      </x:c>
      <x:c r="D2910" s="8" t="n">
        <x:v>45354</x:v>
      </x:c>
      <x:c r="E2910" s="9" t="n">
        <x:v>4961750</x:v>
      </x:c>
      <x:c r="F2910" s="9" t="n">
        <x:v>4961750</x:v>
      </x:c>
    </x:row>
    <x:row r="2911" ht="34" customHeight="1">
      <x:c r="A2911" s="4" t="str">
        <x:v>RS-01487-I2</x:v>
      </x:c>
      <x:c r="B2911" s="4" t="str">
        <x:v>RS-01487</x:v>
      </x:c>
      <x:c r="C2911" s="9" t="n">
        <x:v>2</x:v>
      </x:c>
      <x:c r="D2911" s="8" t="n">
        <x:v>45384</x:v>
      </x:c>
      <x:c r="E2911" s="9" t="n">
        <x:v>4961750</x:v>
      </x:c>
      <x:c r="F2911" s="9" t="n">
        <x:v>0</x:v>
      </x:c>
    </x:row>
    <x:row r="2912" ht="34" customHeight="1">
      <x:c r="A2912" s="4" t="str">
        <x:v>RS-01487-I3</x:v>
      </x:c>
      <x:c r="B2912" s="4" t="str">
        <x:v>RS-01487</x:v>
      </x:c>
      <x:c r="C2912" s="9" t="n">
        <x:v>3</x:v>
      </x:c>
      <x:c r="D2912" s="8" t="n">
        <x:v>45414</x:v>
      </x:c>
      <x:c r="E2912" s="9" t="n">
        <x:v>4961750</x:v>
      </x:c>
      <x:c r="F2912" s="9" t="n">
        <x:v>0</x:v>
      </x:c>
    </x:row>
    <x:row r="2913" ht="34" customHeight="1">
      <x:c r="A2913" s="4" t="str">
        <x:v>RS-01487-I4</x:v>
      </x:c>
      <x:c r="B2913" s="4" t="str">
        <x:v>RS-01487</x:v>
      </x:c>
      <x:c r="C2913" s="9" t="n">
        <x:v>4</x:v>
      </x:c>
      <x:c r="D2913" s="8" t="n">
        <x:v>45444</x:v>
      </x:c>
      <x:c r="E2913" s="9" t="n">
        <x:v>4961750</x:v>
      </x:c>
      <x:c r="F2913" s="9" t="n">
        <x:v>0</x:v>
      </x:c>
    </x:row>
    <x:row r="2914" ht="34" customHeight="1">
      <x:c r="A2914" s="4" t="str">
        <x:v>RS-01488-I1</x:v>
      </x:c>
      <x:c r="B2914" s="4" t="str">
        <x:v>RS-01488</x:v>
      </x:c>
      <x:c r="C2914" s="9" t="n">
        <x:v>1</x:v>
      </x:c>
      <x:c r="D2914" s="8" t="n">
        <x:v>45355</x:v>
      </x:c>
      <x:c r="E2914" s="9" t="n">
        <x:v>2768500</x:v>
      </x:c>
      <x:c r="F2914" s="9" t="n">
        <x:v>2768500</x:v>
      </x:c>
    </x:row>
    <x:row r="2915" ht="34" customHeight="1">
      <x:c r="A2915" s="4" t="str">
        <x:v>RS-01488-I2</x:v>
      </x:c>
      <x:c r="B2915" s="4" t="str">
        <x:v>RS-01488</x:v>
      </x:c>
      <x:c r="C2915" s="9" t="n">
        <x:v>2</x:v>
      </x:c>
      <x:c r="D2915" s="8" t="n">
        <x:v>45385</x:v>
      </x:c>
      <x:c r="E2915" s="9" t="n">
        <x:v>2768500</x:v>
      </x:c>
      <x:c r="F2915" s="9" t="n">
        <x:v>0</x:v>
      </x:c>
    </x:row>
    <x:row r="2916" ht="34" customHeight="1">
      <x:c r="A2916" s="4" t="str">
        <x:v>RS-01488-I3</x:v>
      </x:c>
      <x:c r="B2916" s="4" t="str">
        <x:v>RS-01488</x:v>
      </x:c>
      <x:c r="C2916" s="9" t="n">
        <x:v>3</x:v>
      </x:c>
      <x:c r="D2916" s="8" t="n">
        <x:v>45415</x:v>
      </x:c>
      <x:c r="E2916" s="9" t="n">
        <x:v>2768500</x:v>
      </x:c>
      <x:c r="F2916" s="9" t="n">
        <x:v>0</x:v>
      </x:c>
    </x:row>
    <x:row r="2917" ht="34" customHeight="1">
      <x:c r="A2917" s="4" t="str">
        <x:v>RS-01488-I4</x:v>
      </x:c>
      <x:c r="B2917" s="4" t="str">
        <x:v>RS-01488</x:v>
      </x:c>
      <x:c r="C2917" s="9" t="n">
        <x:v>4</x:v>
      </x:c>
      <x:c r="D2917" s="8" t="n">
        <x:v>45445</x:v>
      </x:c>
      <x:c r="E2917" s="9" t="n">
        <x:v>2768500</x:v>
      </x:c>
      <x:c r="F2917" s="9" t="n">
        <x:v>0</x:v>
      </x:c>
    </x:row>
    <x:row r="2918" ht="34" customHeight="1">
      <x:c r="A2918" s="4" t="str">
        <x:v>RS-01489-I1</x:v>
      </x:c>
      <x:c r="B2918" s="4" t="str">
        <x:v>RS-01489</x:v>
      </x:c>
      <x:c r="C2918" s="9" t="n">
        <x:v>1</x:v>
      </x:c>
      <x:c r="D2918" s="8" t="n">
        <x:v>45356</x:v>
      </x:c>
      <x:c r="E2918" s="9" t="n">
        <x:v>956750</x:v>
      </x:c>
      <x:c r="F2918" s="9" t="n">
        <x:v>382700</x:v>
      </x:c>
    </x:row>
    <x:row r="2919" ht="34" customHeight="1">
      <x:c r="A2919" s="4" t="str">
        <x:v>RS-01489-I2</x:v>
      </x:c>
      <x:c r="B2919" s="4" t="str">
        <x:v>RS-01489</x:v>
      </x:c>
      <x:c r="C2919" s="9" t="n">
        <x:v>2</x:v>
      </x:c>
      <x:c r="D2919" s="8" t="n">
        <x:v>45386</x:v>
      </x:c>
      <x:c r="E2919" s="9" t="n">
        <x:v>956750</x:v>
      </x:c>
      <x:c r="F2919" s="9" t="n">
        <x:v>0</x:v>
      </x:c>
    </x:row>
    <x:row r="2920" ht="34" customHeight="1">
      <x:c r="A2920" s="4" t="str">
        <x:v>RS-01489-I3</x:v>
      </x:c>
      <x:c r="B2920" s="4" t="str">
        <x:v>RS-01489</x:v>
      </x:c>
      <x:c r="C2920" s="9" t="n">
        <x:v>3</x:v>
      </x:c>
      <x:c r="D2920" s="8" t="n">
        <x:v>45416</x:v>
      </x:c>
      <x:c r="E2920" s="9" t="n">
        <x:v>956750</x:v>
      </x:c>
      <x:c r="F2920" s="9" t="n">
        <x:v>0</x:v>
      </x:c>
    </x:row>
    <x:row r="2921" ht="34" customHeight="1">
      <x:c r="A2921" s="4" t="str">
        <x:v>RS-01489-I4</x:v>
      </x:c>
      <x:c r="B2921" s="4" t="str">
        <x:v>RS-01489</x:v>
      </x:c>
      <x:c r="C2921" s="9" t="n">
        <x:v>4</x:v>
      </x:c>
      <x:c r="D2921" s="8" t="n">
        <x:v>45446</x:v>
      </x:c>
      <x:c r="E2921" s="9" t="n">
        <x:v>956750</x:v>
      </x:c>
      <x:c r="F2921" s="9" t="n">
        <x:v>0</x:v>
      </x:c>
    </x:row>
    <x:row r="2922" ht="34" customHeight="1">
      <x:c r="A2922" s="4" t="str">
        <x:v>RS-01492-I1</x:v>
      </x:c>
      <x:c r="B2922" s="4" t="str">
        <x:v>RS-01492</x:v>
      </x:c>
      <x:c r="C2922" s="9" t="n">
        <x:v>1</x:v>
      </x:c>
      <x:c r="D2922" s="8" t="n">
        <x:v>45359</x:v>
      </x:c>
      <x:c r="E2922" s="9" t="n">
        <x:v>3760000</x:v>
      </x:c>
      <x:c r="F2922" s="9" t="n">
        <x:v>3760000</x:v>
      </x:c>
    </x:row>
    <x:row r="2923" ht="34" customHeight="1">
      <x:c r="A2923" s="4" t="str">
        <x:v>RS-01492-I2</x:v>
      </x:c>
      <x:c r="B2923" s="4" t="str">
        <x:v>RS-01492</x:v>
      </x:c>
      <x:c r="C2923" s="9" t="n">
        <x:v>2</x:v>
      </x:c>
      <x:c r="D2923" s="8" t="n">
        <x:v>45389</x:v>
      </x:c>
      <x:c r="E2923" s="9" t="n">
        <x:v>3760000</x:v>
      </x:c>
      <x:c r="F2923" s="9" t="n">
        <x:v>3760000</x:v>
      </x:c>
    </x:row>
    <x:row r="2924" ht="34" customHeight="1">
      <x:c r="A2924" s="4" t="str">
        <x:v>RS-01492-I3</x:v>
      </x:c>
      <x:c r="B2924" s="4" t="str">
        <x:v>RS-01492</x:v>
      </x:c>
      <x:c r="C2924" s="9" t="n">
        <x:v>3</x:v>
      </x:c>
      <x:c r="D2924" s="8" t="n">
        <x:v>45419</x:v>
      </x:c>
      <x:c r="E2924" s="9" t="n">
        <x:v>3760000</x:v>
      </x:c>
      <x:c r="F2924" s="9" t="n">
        <x:v>0</x:v>
      </x:c>
    </x:row>
    <x:row r="2925" ht="34" customHeight="1">
      <x:c r="A2925" s="4" t="str">
        <x:v>RS-01492-I4</x:v>
      </x:c>
      <x:c r="B2925" s="4" t="str">
        <x:v>RS-01492</x:v>
      </x:c>
      <x:c r="C2925" s="9" t="n">
        <x:v>4</x:v>
      </x:c>
      <x:c r="D2925" s="8" t="n">
        <x:v>45449</x:v>
      </x:c>
      <x:c r="E2925" s="9" t="n">
        <x:v>3760000</x:v>
      </x:c>
      <x:c r="F2925" s="9" t="n">
        <x:v>0</x:v>
      </x:c>
    </x:row>
    <x:row r="2926" ht="34" customHeight="1">
      <x:c r="A2926" s="4" t="str">
        <x:v>RS-01494-I1</x:v>
      </x:c>
      <x:c r="B2926" s="4" t="str">
        <x:v>RS-01494</x:v>
      </x:c>
      <x:c r="C2926" s="9" t="n">
        <x:v>1</x:v>
      </x:c>
      <x:c r="D2926" s="8" t="n">
        <x:v>45361</x:v>
      </x:c>
      <x:c r="E2926" s="9" t="n">
        <x:v>1296000</x:v>
      </x:c>
      <x:c r="F2926" s="9" t="n">
        <x:v>1296000</x:v>
      </x:c>
    </x:row>
    <x:row r="2927" ht="34" customHeight="1">
      <x:c r="A2927" s="4" t="str">
        <x:v>RS-01494-I2</x:v>
      </x:c>
      <x:c r="B2927" s="4" t="str">
        <x:v>RS-01494</x:v>
      </x:c>
      <x:c r="C2927" s="9" t="n">
        <x:v>2</x:v>
      </x:c>
      <x:c r="D2927" s="8" t="n">
        <x:v>45391</x:v>
      </x:c>
      <x:c r="E2927" s="9" t="n">
        <x:v>1296000</x:v>
      </x:c>
      <x:c r="F2927" s="9" t="n">
        <x:v>1296000</x:v>
      </x:c>
    </x:row>
    <x:row r="2928" ht="34" customHeight="1">
      <x:c r="A2928" s="4" t="str">
        <x:v>RS-01494-I3</x:v>
      </x:c>
      <x:c r="B2928" s="4" t="str">
        <x:v>RS-01494</x:v>
      </x:c>
      <x:c r="C2928" s="9" t="n">
        <x:v>3</x:v>
      </x:c>
      <x:c r="D2928" s="8" t="n">
        <x:v>45421</x:v>
      </x:c>
      <x:c r="E2928" s="9" t="n">
        <x:v>1296000</x:v>
      </x:c>
      <x:c r="F2928" s="9" t="n">
        <x:v>0</x:v>
      </x:c>
    </x:row>
    <x:row r="2929" ht="34" customHeight="1">
      <x:c r="A2929" s="4" t="str">
        <x:v>RS-01494-I4</x:v>
      </x:c>
      <x:c r="B2929" s="4" t="str">
        <x:v>RS-01494</x:v>
      </x:c>
      <x:c r="C2929" s="9" t="n">
        <x:v>4</x:v>
      </x:c>
      <x:c r="D2929" s="8" t="n">
        <x:v>45451</x:v>
      </x:c>
      <x:c r="E2929" s="9" t="n">
        <x:v>1296000</x:v>
      </x:c>
      <x:c r="F2929" s="9" t="n">
        <x:v>0</x:v>
      </x:c>
    </x:row>
    <x:row r="2930" ht="34" customHeight="1">
      <x:c r="A2930" s="4" t="str">
        <x:v>RS-01497-I1</x:v>
      </x:c>
      <x:c r="B2930" s="4" t="str">
        <x:v>RS-01497</x:v>
      </x:c>
      <x:c r="C2930" s="9" t="n">
        <x:v>1</x:v>
      </x:c>
      <x:c r="D2930" s="8" t="n">
        <x:v>45364</x:v>
      </x:c>
      <x:c r="E2930" s="9" t="n">
        <x:v>4416000</x:v>
      </x:c>
      <x:c r="F2930" s="9" t="n">
        <x:v>4416000</x:v>
      </x:c>
    </x:row>
    <x:row r="2931" ht="34" customHeight="1">
      <x:c r="A2931" s="4" t="str">
        <x:v>RS-01497-I2</x:v>
      </x:c>
      <x:c r="B2931" s="4" t="str">
        <x:v>RS-01497</x:v>
      </x:c>
      <x:c r="C2931" s="9" t="n">
        <x:v>2</x:v>
      </x:c>
      <x:c r="D2931" s="8" t="n">
        <x:v>45394</x:v>
      </x:c>
      <x:c r="E2931" s="9" t="n">
        <x:v>4416000</x:v>
      </x:c>
      <x:c r="F2931" s="9" t="n">
        <x:v>0</x:v>
      </x:c>
    </x:row>
    <x:row r="2932" ht="34" customHeight="1">
      <x:c r="A2932" s="4" t="str">
        <x:v>RS-01497-I3</x:v>
      </x:c>
      <x:c r="B2932" s="4" t="str">
        <x:v>RS-01497</x:v>
      </x:c>
      <x:c r="C2932" s="9" t="n">
        <x:v>3</x:v>
      </x:c>
      <x:c r="D2932" s="8" t="n">
        <x:v>45424</x:v>
      </x:c>
      <x:c r="E2932" s="9" t="n">
        <x:v>4416000</x:v>
      </x:c>
      <x:c r="F2932" s="9" t="n">
        <x:v>0</x:v>
      </x:c>
    </x:row>
    <x:row r="2933" ht="34" customHeight="1">
      <x:c r="A2933" s="4" t="str">
        <x:v>RS-01497-I4</x:v>
      </x:c>
      <x:c r="B2933" s="4" t="str">
        <x:v>RS-01497</x:v>
      </x:c>
      <x:c r="C2933" s="9" t="n">
        <x:v>4</x:v>
      </x:c>
      <x:c r="D2933" s="8" t="n">
        <x:v>45454</x:v>
      </x:c>
      <x:c r="E2933" s="9" t="n">
        <x:v>4416000</x:v>
      </x:c>
      <x:c r="F2933" s="9" t="n">
        <x:v>0</x:v>
      </x:c>
    </x:row>
    <x:row r="2934" ht="34" customHeight="1">
      <x:c r="A2934" s="4" t="str">
        <x:v>RS-01498-I1</x:v>
      </x:c>
      <x:c r="B2934" s="4" t="str">
        <x:v>RS-01498</x:v>
      </x:c>
      <x:c r="C2934" s="9" t="n">
        <x:v>1</x:v>
      </x:c>
      <x:c r="D2934" s="8" t="n">
        <x:v>45365</x:v>
      </x:c>
      <x:c r="E2934" s="9" t="n">
        <x:v>4851000</x:v>
      </x:c>
      <x:c r="F2934" s="9" t="n">
        <x:v>4851000</x:v>
      </x:c>
    </x:row>
    <x:row r="2935" ht="34" customHeight="1">
      <x:c r="A2935" s="4" t="str">
        <x:v>RS-01498-I2</x:v>
      </x:c>
      <x:c r="B2935" s="4" t="str">
        <x:v>RS-01498</x:v>
      </x:c>
      <x:c r="C2935" s="9" t="n">
        <x:v>2</x:v>
      </x:c>
      <x:c r="D2935" s="8" t="n">
        <x:v>45395</x:v>
      </x:c>
      <x:c r="E2935" s="9" t="n">
        <x:v>4851000</x:v>
      </x:c>
      <x:c r="F2935" s="9" t="n">
        <x:v>0</x:v>
      </x:c>
    </x:row>
    <x:row r="2936" ht="34" customHeight="1">
      <x:c r="A2936" s="4" t="str">
        <x:v>RS-01498-I3</x:v>
      </x:c>
      <x:c r="B2936" s="4" t="str">
        <x:v>RS-01498</x:v>
      </x:c>
      <x:c r="C2936" s="9" t="n">
        <x:v>3</x:v>
      </x:c>
      <x:c r="D2936" s="8" t="n">
        <x:v>45425</x:v>
      </x:c>
      <x:c r="E2936" s="9" t="n">
        <x:v>4851000</x:v>
      </x:c>
      <x:c r="F2936" s="9" t="n">
        <x:v>0</x:v>
      </x:c>
    </x:row>
    <x:row r="2937" ht="34" customHeight="1">
      <x:c r="A2937" s="4" t="str">
        <x:v>RS-01498-I4</x:v>
      </x:c>
      <x:c r="B2937" s="4" t="str">
        <x:v>RS-01498</x:v>
      </x:c>
      <x:c r="C2937" s="9" t="n">
        <x:v>4</x:v>
      </x:c>
      <x:c r="D2937" s="8" t="n">
        <x:v>45455</x:v>
      </x:c>
      <x:c r="E2937" s="9" t="n">
        <x:v>4851000</x:v>
      </x:c>
      <x:c r="F2937" s="9" t="n">
        <x:v>0</x:v>
      </x:c>
    </x:row>
    <x:row r="2938" ht="34" customHeight="1">
      <x:c r="A2938" s="4" t="str">
        <x:v>RS-01499-I1</x:v>
      </x:c>
      <x:c r="B2938" s="4" t="str">
        <x:v>RS-01499</x:v>
      </x:c>
      <x:c r="C2938" s="9" t="n">
        <x:v>1</x:v>
      </x:c>
      <x:c r="D2938" s="8" t="n">
        <x:v>45366</x:v>
      </x:c>
      <x:c r="E2938" s="9" t="n">
        <x:v>2790000</x:v>
      </x:c>
      <x:c r="F2938" s="9" t="n">
        <x:v>1116000</x:v>
      </x:c>
    </x:row>
    <x:row r="2939" ht="34" customHeight="1">
      <x:c r="A2939" s="4" t="str">
        <x:v>RS-01499-I2</x:v>
      </x:c>
      <x:c r="B2939" s="4" t="str">
        <x:v>RS-01499</x:v>
      </x:c>
      <x:c r="C2939" s="9" t="n">
        <x:v>2</x:v>
      </x:c>
      <x:c r="D2939" s="8" t="n">
        <x:v>45396</x:v>
      </x:c>
      <x:c r="E2939" s="9" t="n">
        <x:v>2790000</x:v>
      </x:c>
      <x:c r="F2939" s="9" t="n">
        <x:v>0</x:v>
      </x:c>
    </x:row>
    <x:row r="2940" ht="34" customHeight="1">
      <x:c r="A2940" s="4" t="str">
        <x:v>RS-01499-I3</x:v>
      </x:c>
      <x:c r="B2940" s="4" t="str">
        <x:v>RS-01499</x:v>
      </x:c>
      <x:c r="C2940" s="9" t="n">
        <x:v>3</x:v>
      </x:c>
      <x:c r="D2940" s="8" t="n">
        <x:v>45426</x:v>
      </x:c>
      <x:c r="E2940" s="9" t="n">
        <x:v>2790000</x:v>
      </x:c>
      <x:c r="F2940" s="9" t="n">
        <x:v>0</x:v>
      </x:c>
    </x:row>
    <x:row r="2941" ht="34" customHeight="1">
      <x:c r="A2941" s="4" t="str">
        <x:v>RS-01499-I4</x:v>
      </x:c>
      <x:c r="B2941" s="4" t="str">
        <x:v>RS-01499</x:v>
      </x:c>
      <x:c r="C2941" s="9" t="n">
        <x:v>4</x:v>
      </x:c>
      <x:c r="D2941" s="8" t="n">
        <x:v>45456</x:v>
      </x:c>
      <x:c r="E2941" s="9" t="n">
        <x:v>2790000</x:v>
      </x:c>
      <x:c r="F2941" s="9" t="n">
        <x:v>0</x:v>
      </x:c>
    </x:row>
    <x:row r="2942" ht="34" customHeight="1">
      <x:c r="A2942" s="4" t="str">
        <x:v>RS-01501-I1</x:v>
      </x:c>
      <x:c r="B2942" s="4" t="str">
        <x:v>RS-01501</x:v>
      </x:c>
      <x:c r="C2942" s="9" t="n">
        <x:v>1</x:v>
      </x:c>
      <x:c r="D2942" s="8" t="n">
        <x:v>45399</x:v>
      </x:c>
      <x:c r="E2942" s="9" t="n">
        <x:v>1417500</x:v>
      </x:c>
      <x:c r="F2942" s="9" t="n">
        <x:v>1417500</x:v>
      </x:c>
    </x:row>
    <x:row r="2943" ht="34" customHeight="1">
      <x:c r="A2943" s="4" t="str">
        <x:v>RS-01501-I2</x:v>
      </x:c>
      <x:c r="B2943" s="4" t="str">
        <x:v>RS-01501</x:v>
      </x:c>
      <x:c r="C2943" s="9" t="n">
        <x:v>2</x:v>
      </x:c>
      <x:c r="D2943" s="8" t="n">
        <x:v>45429</x:v>
      </x:c>
      <x:c r="E2943" s="9" t="n">
        <x:v>1417500</x:v>
      </x:c>
      <x:c r="F2943" s="9" t="n">
        <x:v>1417500</x:v>
      </x:c>
    </x:row>
    <x:row r="2944" ht="34" customHeight="1">
      <x:c r="A2944" s="4" t="str">
        <x:v>RS-01501-I3</x:v>
      </x:c>
      <x:c r="B2944" s="4" t="str">
        <x:v>RS-01501</x:v>
      </x:c>
      <x:c r="C2944" s="9" t="n">
        <x:v>3</x:v>
      </x:c>
      <x:c r="D2944" s="8" t="n">
        <x:v>45459</x:v>
      </x:c>
      <x:c r="E2944" s="9" t="n">
        <x:v>1417500</x:v>
      </x:c>
      <x:c r="F2944" s="9" t="n">
        <x:v>1417500</x:v>
      </x:c>
    </x:row>
    <x:row r="2945" ht="34" customHeight="1">
      <x:c r="A2945" s="4" t="str">
        <x:v>RS-01501-I4</x:v>
      </x:c>
      <x:c r="B2945" s="4" t="str">
        <x:v>RS-01501</x:v>
      </x:c>
      <x:c r="C2945" s="9" t="n">
        <x:v>4</x:v>
      </x:c>
      <x:c r="D2945" s="8" t="n">
        <x:v>45489</x:v>
      </x:c>
      <x:c r="E2945" s="9" t="n">
        <x:v>1417500</x:v>
      </x:c>
      <x:c r="F2945" s="9" t="n">
        <x:v>1417500</x:v>
      </x:c>
    </x:row>
    <x:row r="2946" ht="34" customHeight="1">
      <x:c r="A2946" s="4" t="str">
        <x:v>RS-01503-I1</x:v>
      </x:c>
      <x:c r="B2946" s="4" t="str">
        <x:v>RS-01503</x:v>
      </x:c>
      <x:c r="C2946" s="9" t="n">
        <x:v>1</x:v>
      </x:c>
      <x:c r="D2946" s="8" t="n">
        <x:v>45401</x:v>
      </x:c>
      <x:c r="E2946" s="9" t="n">
        <x:v>931000</x:v>
      </x:c>
      <x:c r="F2946" s="9" t="n">
        <x:v>372400</x:v>
      </x:c>
    </x:row>
    <x:row r="2947" ht="34" customHeight="1">
      <x:c r="A2947" s="4" t="str">
        <x:v>RS-01503-I2</x:v>
      </x:c>
      <x:c r="B2947" s="4" t="str">
        <x:v>RS-01503</x:v>
      </x:c>
      <x:c r="C2947" s="9" t="n">
        <x:v>2</x:v>
      </x:c>
      <x:c r="D2947" s="8" t="n">
        <x:v>45431</x:v>
      </x:c>
      <x:c r="E2947" s="9" t="n">
        <x:v>931000</x:v>
      </x:c>
      <x:c r="F2947" s="9" t="n">
        <x:v>0</x:v>
      </x:c>
    </x:row>
    <x:row r="2948" ht="34" customHeight="1">
      <x:c r="A2948" s="4" t="str">
        <x:v>RS-01503-I3</x:v>
      </x:c>
      <x:c r="B2948" s="4" t="str">
        <x:v>RS-01503</x:v>
      </x:c>
      <x:c r="C2948" s="9" t="n">
        <x:v>3</x:v>
      </x:c>
      <x:c r="D2948" s="8" t="n">
        <x:v>45461</x:v>
      </x:c>
      <x:c r="E2948" s="9" t="n">
        <x:v>931000</x:v>
      </x:c>
      <x:c r="F2948" s="9" t="n">
        <x:v>0</x:v>
      </x:c>
    </x:row>
    <x:row r="2949" ht="34" customHeight="1">
      <x:c r="A2949" s="4" t="str">
        <x:v>RS-01503-I4</x:v>
      </x:c>
      <x:c r="B2949" s="4" t="str">
        <x:v>RS-01503</x:v>
      </x:c>
      <x:c r="C2949" s="9" t="n">
        <x:v>4</x:v>
      </x:c>
      <x:c r="D2949" s="8" t="n">
        <x:v>45491</x:v>
      </x:c>
      <x:c r="E2949" s="9" t="n">
        <x:v>931000</x:v>
      </x:c>
      <x:c r="F2949" s="9" t="n">
        <x:v>0</x:v>
      </x:c>
    </x:row>
    <x:row r="2950" ht="34" customHeight="1">
      <x:c r="A2950" s="4" t="str">
        <x:v>RS-01504-I1</x:v>
      </x:c>
      <x:c r="B2950" s="4" t="str">
        <x:v>RS-01504</x:v>
      </x:c>
      <x:c r="C2950" s="9" t="n">
        <x:v>1</x:v>
      </x:c>
      <x:c r="D2950" s="8" t="n">
        <x:v>45402</x:v>
      </x:c>
      <x:c r="E2950" s="9" t="n">
        <x:v>3789750</x:v>
      </x:c>
      <x:c r="F2950" s="9" t="n">
        <x:v>3789750</x:v>
      </x:c>
    </x:row>
    <x:row r="2951" ht="34" customHeight="1">
      <x:c r="A2951" s="4" t="str">
        <x:v>RS-01504-I2</x:v>
      </x:c>
      <x:c r="B2951" s="4" t="str">
        <x:v>RS-01504</x:v>
      </x:c>
      <x:c r="C2951" s="9" t="n">
        <x:v>2</x:v>
      </x:c>
      <x:c r="D2951" s="8" t="n">
        <x:v>45432</x:v>
      </x:c>
      <x:c r="E2951" s="9" t="n">
        <x:v>3789750</x:v>
      </x:c>
      <x:c r="F2951" s="9" t="n">
        <x:v>3789750</x:v>
      </x:c>
    </x:row>
    <x:row r="2952" ht="34" customHeight="1">
      <x:c r="A2952" s="4" t="str">
        <x:v>RS-01504-I3</x:v>
      </x:c>
      <x:c r="B2952" s="4" t="str">
        <x:v>RS-01504</x:v>
      </x:c>
      <x:c r="C2952" s="9" t="n">
        <x:v>3</x:v>
      </x:c>
      <x:c r="D2952" s="8" t="n">
        <x:v>45462</x:v>
      </x:c>
      <x:c r="E2952" s="9" t="n">
        <x:v>3789750</x:v>
      </x:c>
      <x:c r="F2952" s="9" t="n">
        <x:v>0</x:v>
      </x:c>
    </x:row>
    <x:row r="2953" ht="34" customHeight="1">
      <x:c r="A2953" s="4" t="str">
        <x:v>RS-01504-I4</x:v>
      </x:c>
      <x:c r="B2953" s="4" t="str">
        <x:v>RS-01504</x:v>
      </x:c>
      <x:c r="C2953" s="9" t="n">
        <x:v>4</x:v>
      </x:c>
      <x:c r="D2953" s="8" t="n">
        <x:v>45492</x:v>
      </x:c>
      <x:c r="E2953" s="9" t="n">
        <x:v>3789750</x:v>
      </x:c>
      <x:c r="F2953" s="9" t="n">
        <x:v>0</x:v>
      </x:c>
    </x:row>
    <x:row r="2954" ht="34" customHeight="1">
      <x:c r="A2954" s="4" t="str">
        <x:v>RS-01505-I1</x:v>
      </x:c>
      <x:c r="B2954" s="4" t="str">
        <x:v>RS-01505</x:v>
      </x:c>
      <x:c r="C2954" s="9" t="n">
        <x:v>1</x:v>
      </x:c>
      <x:c r="D2954" s="8" t="n">
        <x:v>45403</x:v>
      </x:c>
      <x:c r="E2954" s="9" t="n">
        <x:v>2115750</x:v>
      </x:c>
      <x:c r="F2954" s="9" t="n">
        <x:v>846300</x:v>
      </x:c>
    </x:row>
    <x:row r="2955" ht="34" customHeight="1">
      <x:c r="A2955" s="4" t="str">
        <x:v>RS-01505-I2</x:v>
      </x:c>
      <x:c r="B2955" s="4" t="str">
        <x:v>RS-01505</x:v>
      </x:c>
      <x:c r="C2955" s="9" t="n">
        <x:v>2</x:v>
      </x:c>
      <x:c r="D2955" s="8" t="n">
        <x:v>45433</x:v>
      </x:c>
      <x:c r="E2955" s="9" t="n">
        <x:v>2115750</x:v>
      </x:c>
      <x:c r="F2955" s="9" t="n">
        <x:v>0</x:v>
      </x:c>
    </x:row>
    <x:row r="2956" ht="34" customHeight="1">
      <x:c r="A2956" s="4" t="str">
        <x:v>RS-01505-I3</x:v>
      </x:c>
      <x:c r="B2956" s="4" t="str">
        <x:v>RS-01505</x:v>
      </x:c>
      <x:c r="C2956" s="9" t="n">
        <x:v>3</x:v>
      </x:c>
      <x:c r="D2956" s="8" t="n">
        <x:v>45463</x:v>
      </x:c>
      <x:c r="E2956" s="9" t="n">
        <x:v>2115750</x:v>
      </x:c>
      <x:c r="F2956" s="9" t="n">
        <x:v>0</x:v>
      </x:c>
    </x:row>
    <x:row r="2957" ht="34" customHeight="1">
      <x:c r="A2957" s="4" t="str">
        <x:v>RS-01505-I4</x:v>
      </x:c>
      <x:c r="B2957" s="4" t="str">
        <x:v>RS-01505</x:v>
      </x:c>
      <x:c r="C2957" s="9" t="n">
        <x:v>4</x:v>
      </x:c>
      <x:c r="D2957" s="8" t="n">
        <x:v>45493</x:v>
      </x:c>
      <x:c r="E2957" s="9" t="n">
        <x:v>2115750</x:v>
      </x:c>
      <x:c r="F2957" s="9" t="n">
        <x:v>0</x:v>
      </x:c>
    </x:row>
    <x:row r="2958" ht="34" customHeight="1">
      <x:c r="A2958" s="4" t="str">
        <x:v>RS-01518-I1</x:v>
      </x:c>
      <x:c r="B2958" s="4" t="str">
        <x:v>RS-01518</x:v>
      </x:c>
      <x:c r="C2958" s="9" t="n">
        <x:v>1</x:v>
      </x:c>
      <x:c r="D2958" s="8" t="n">
        <x:v>45388</x:v>
      </x:c>
      <x:c r="E2958" s="9" t="n">
        <x:v>3571750</x:v>
      </x:c>
      <x:c r="F2958" s="9" t="n">
        <x:v>3571750</x:v>
      </x:c>
    </x:row>
    <x:row r="2959" ht="34" customHeight="1">
      <x:c r="A2959" s="4" t="str">
        <x:v>RS-01518-I2</x:v>
      </x:c>
      <x:c r="B2959" s="4" t="str">
        <x:v>RS-01518</x:v>
      </x:c>
      <x:c r="C2959" s="9" t="n">
        <x:v>2</x:v>
      </x:c>
      <x:c r="D2959" s="8" t="n">
        <x:v>45418</x:v>
      </x:c>
      <x:c r="E2959" s="9" t="n">
        <x:v>3571750</x:v>
      </x:c>
      <x:c r="F2959" s="9" t="n">
        <x:v>3571750</x:v>
      </x:c>
    </x:row>
    <x:row r="2960" ht="34" customHeight="1">
      <x:c r="A2960" s="4" t="str">
        <x:v>RS-01518-I3</x:v>
      </x:c>
      <x:c r="B2960" s="4" t="str">
        <x:v>RS-01518</x:v>
      </x:c>
      <x:c r="C2960" s="9" t="n">
        <x:v>3</x:v>
      </x:c>
      <x:c r="D2960" s="8" t="n">
        <x:v>45448</x:v>
      </x:c>
      <x:c r="E2960" s="9" t="n">
        <x:v>3571750</x:v>
      </x:c>
      <x:c r="F2960" s="9" t="n">
        <x:v>0</x:v>
      </x:c>
    </x:row>
    <x:row r="2961" ht="34" customHeight="1">
      <x:c r="A2961" s="4" t="str">
        <x:v>RS-01518-I4</x:v>
      </x:c>
      <x:c r="B2961" s="4" t="str">
        <x:v>RS-01518</x:v>
      </x:c>
      <x:c r="C2961" s="9" t="n">
        <x:v>4</x:v>
      </x:c>
      <x:c r="D2961" s="8" t="n">
        <x:v>45478</x:v>
      </x:c>
      <x:c r="E2961" s="9" t="n">
        <x:v>3571750</x:v>
      </x:c>
      <x:c r="F2961" s="9" t="n">
        <x:v>0</x:v>
      </x:c>
    </x:row>
    <x:row r="2962" ht="34" customHeight="1">
      <x:c r="A2962" s="4" t="str">
        <x:v>RS-01519-I1</x:v>
      </x:c>
      <x:c r="B2962" s="4" t="str">
        <x:v>RS-01519</x:v>
      </x:c>
      <x:c r="C2962" s="9" t="n">
        <x:v>1</x:v>
      </x:c>
      <x:c r="D2962" s="8" t="n">
        <x:v>45389</x:v>
      </x:c>
      <x:c r="E2962" s="9" t="n">
        <x:v>5286500</x:v>
      </x:c>
      <x:c r="F2962" s="9" t="n">
        <x:v>5286500</x:v>
      </x:c>
    </x:row>
    <x:row r="2963" ht="34" customHeight="1">
      <x:c r="A2963" s="4" t="str">
        <x:v>RS-01519-I2</x:v>
      </x:c>
      <x:c r="B2963" s="4" t="str">
        <x:v>RS-01519</x:v>
      </x:c>
      <x:c r="C2963" s="9" t="n">
        <x:v>2</x:v>
      </x:c>
      <x:c r="D2963" s="8" t="n">
        <x:v>45419</x:v>
      </x:c>
      <x:c r="E2963" s="9" t="n">
        <x:v>5286500</x:v>
      </x:c>
      <x:c r="F2963" s="9" t="n">
        <x:v>5286500</x:v>
      </x:c>
    </x:row>
    <x:row r="2964" ht="34" customHeight="1">
      <x:c r="A2964" s="4" t="str">
        <x:v>RS-01519-I3</x:v>
      </x:c>
      <x:c r="B2964" s="4" t="str">
        <x:v>RS-01519</x:v>
      </x:c>
      <x:c r="C2964" s="9" t="n">
        <x:v>3</x:v>
      </x:c>
      <x:c r="D2964" s="8" t="n">
        <x:v>45449</x:v>
      </x:c>
      <x:c r="E2964" s="9" t="n">
        <x:v>5286500</x:v>
      </x:c>
      <x:c r="F2964" s="9" t="n">
        <x:v>0</x:v>
      </x:c>
    </x:row>
    <x:row r="2965" ht="34" customHeight="1">
      <x:c r="A2965" s="4" t="str">
        <x:v>RS-01519-I4</x:v>
      </x:c>
      <x:c r="B2965" s="4" t="str">
        <x:v>RS-01519</x:v>
      </x:c>
      <x:c r="C2965" s="9" t="n">
        <x:v>4</x:v>
      </x:c>
      <x:c r="D2965" s="8" t="n">
        <x:v>45479</x:v>
      </x:c>
      <x:c r="E2965" s="9" t="n">
        <x:v>5286500</x:v>
      </x:c>
      <x:c r="F2965" s="9" t="n">
        <x:v>0</x:v>
      </x:c>
    </x:row>
    <x:row r="2966" ht="34" customHeight="1">
      <x:c r="A2966" s="4" t="str">
        <x:v>RS-01520-I1</x:v>
      </x:c>
      <x:c r="B2966" s="4" t="str">
        <x:v>RS-01520</x:v>
      </x:c>
      <x:c r="C2966" s="9" t="n">
        <x:v>1</x:v>
      </x:c>
      <x:c r="D2966" s="8" t="n">
        <x:v>45390</x:v>
      </x:c>
      <x:c r="E2966" s="9" t="n">
        <x:v>5605000</x:v>
      </x:c>
      <x:c r="F2966" s="9" t="n">
        <x:v>5605000</x:v>
      </x:c>
    </x:row>
    <x:row r="2967" ht="34" customHeight="1">
      <x:c r="A2967" s="4" t="str">
        <x:v>RS-01520-I2</x:v>
      </x:c>
      <x:c r="B2967" s="4" t="str">
        <x:v>RS-01520</x:v>
      </x:c>
      <x:c r="C2967" s="9" t="n">
        <x:v>2</x:v>
      </x:c>
      <x:c r="D2967" s="8" t="n">
        <x:v>45420</x:v>
      </x:c>
      <x:c r="E2967" s="9" t="n">
        <x:v>5605000</x:v>
      </x:c>
      <x:c r="F2967" s="9" t="n">
        <x:v>5605000</x:v>
      </x:c>
    </x:row>
    <x:row r="2968" ht="34" customHeight="1">
      <x:c r="A2968" s="4" t="str">
        <x:v>RS-01520-I3</x:v>
      </x:c>
      <x:c r="B2968" s="4" t="str">
        <x:v>RS-01520</x:v>
      </x:c>
      <x:c r="C2968" s="9" t="n">
        <x:v>3</x:v>
      </x:c>
      <x:c r="D2968" s="8" t="n">
        <x:v>45450</x:v>
      </x:c>
      <x:c r="E2968" s="9" t="n">
        <x:v>5605000</x:v>
      </x:c>
      <x:c r="F2968" s="9" t="n">
        <x:v>5605000</x:v>
      </x:c>
    </x:row>
    <x:row r="2969" ht="34" customHeight="1">
      <x:c r="A2969" s="4" t="str">
        <x:v>RS-01520-I4</x:v>
      </x:c>
      <x:c r="B2969" s="4" t="str">
        <x:v>RS-01520</x:v>
      </x:c>
      <x:c r="C2969" s="9" t="n">
        <x:v>4</x:v>
      </x:c>
      <x:c r="D2969" s="8" t="n">
        <x:v>45480</x:v>
      </x:c>
      <x:c r="E2969" s="9" t="n">
        <x:v>5605000</x:v>
      </x:c>
      <x:c r="F2969" s="9" t="n">
        <x:v>5605000</x:v>
      </x:c>
    </x:row>
    <x:row r="2970" ht="34" customHeight="1">
      <x:c r="A2970" s="4" t="str">
        <x:v>RS-01522-I1</x:v>
      </x:c>
      <x:c r="B2970" s="4" t="str">
        <x:v>RS-01522</x:v>
      </x:c>
      <x:c r="C2970" s="9" t="n">
        <x:v>1</x:v>
      </x:c>
      <x:c r="D2970" s="8" t="n">
        <x:v>45392</x:v>
      </x:c>
      <x:c r="E2970" s="9" t="n">
        <x:v>5664000</x:v>
      </x:c>
      <x:c r="F2970" s="9" t="n">
        <x:v>5664000</x:v>
      </x:c>
    </x:row>
    <x:row r="2971" ht="34" customHeight="1">
      <x:c r="A2971" s="4" t="str">
        <x:v>RS-01522-I2</x:v>
      </x:c>
      <x:c r="B2971" s="4" t="str">
        <x:v>RS-01522</x:v>
      </x:c>
      <x:c r="C2971" s="9" t="n">
        <x:v>2</x:v>
      </x:c>
      <x:c r="D2971" s="8" t="n">
        <x:v>45422</x:v>
      </x:c>
      <x:c r="E2971" s="9" t="n">
        <x:v>5664000</x:v>
      </x:c>
      <x:c r="F2971" s="9" t="n">
        <x:v>5664000</x:v>
      </x:c>
    </x:row>
    <x:row r="2972" ht="34" customHeight="1">
      <x:c r="A2972" s="4" t="str">
        <x:v>RS-01522-I3</x:v>
      </x:c>
      <x:c r="B2972" s="4" t="str">
        <x:v>RS-01522</x:v>
      </x:c>
      <x:c r="C2972" s="9" t="n">
        <x:v>3</x:v>
      </x:c>
      <x:c r="D2972" s="8" t="n">
        <x:v>45452</x:v>
      </x:c>
      <x:c r="E2972" s="9" t="n">
        <x:v>5664000</x:v>
      </x:c>
      <x:c r="F2972" s="9" t="n">
        <x:v>5664000</x:v>
      </x:c>
    </x:row>
    <x:row r="2973" ht="34" customHeight="1">
      <x:c r="A2973" s="4" t="str">
        <x:v>RS-01522-I4</x:v>
      </x:c>
      <x:c r="B2973" s="4" t="str">
        <x:v>RS-01522</x:v>
      </x:c>
      <x:c r="C2973" s="9" t="n">
        <x:v>4</x:v>
      </x:c>
      <x:c r="D2973" s="8" t="n">
        <x:v>45482</x:v>
      </x:c>
      <x:c r="E2973" s="9" t="n">
        <x:v>5664000</x:v>
      </x:c>
      <x:c r="F2973" s="9" t="n">
        <x:v>5664000</x:v>
      </x:c>
    </x:row>
    <x:row r="2974" ht="34" customHeight="1">
      <x:c r="A2974" s="4" t="str">
        <x:v>RS-01526-I1</x:v>
      </x:c>
      <x:c r="B2974" s="4" t="str">
        <x:v>RS-01526</x:v>
      </x:c>
      <x:c r="C2974" s="9" t="n">
        <x:v>1</x:v>
      </x:c>
      <x:c r="D2974" s="8" t="n">
        <x:v>45396</x:v>
      </x:c>
      <x:c r="E2974" s="9" t="n">
        <x:v>3748500</x:v>
      </x:c>
      <x:c r="F2974" s="9" t="n">
        <x:v>3748500</x:v>
      </x:c>
    </x:row>
    <x:row r="2975" ht="34" customHeight="1">
      <x:c r="A2975" s="4" t="str">
        <x:v>RS-01526-I2</x:v>
      </x:c>
      <x:c r="B2975" s="4" t="str">
        <x:v>RS-01526</x:v>
      </x:c>
      <x:c r="C2975" s="9" t="n">
        <x:v>2</x:v>
      </x:c>
      <x:c r="D2975" s="8" t="n">
        <x:v>45426</x:v>
      </x:c>
      <x:c r="E2975" s="9" t="n">
        <x:v>3748500</x:v>
      </x:c>
      <x:c r="F2975" s="9" t="n">
        <x:v>3748500</x:v>
      </x:c>
    </x:row>
    <x:row r="2976" ht="34" customHeight="1">
      <x:c r="A2976" s="4" t="str">
        <x:v>RS-01526-I3</x:v>
      </x:c>
      <x:c r="B2976" s="4" t="str">
        <x:v>RS-01526</x:v>
      </x:c>
      <x:c r="C2976" s="9" t="n">
        <x:v>3</x:v>
      </x:c>
      <x:c r="D2976" s="8" t="n">
        <x:v>45456</x:v>
      </x:c>
      <x:c r="E2976" s="9" t="n">
        <x:v>3748500</x:v>
      </x:c>
      <x:c r="F2976" s="9" t="n">
        <x:v>3748500</x:v>
      </x:c>
    </x:row>
    <x:row r="2977" ht="34" customHeight="1">
      <x:c r="A2977" s="4" t="str">
        <x:v>RS-01526-I4</x:v>
      </x:c>
      <x:c r="B2977" s="4" t="str">
        <x:v>RS-01526</x:v>
      </x:c>
      <x:c r="C2977" s="9" t="n">
        <x:v>4</x:v>
      </x:c>
      <x:c r="D2977" s="8" t="n">
        <x:v>45486</x:v>
      </x:c>
      <x:c r="E2977" s="9" t="n">
        <x:v>3748500</x:v>
      </x:c>
      <x:c r="F2977" s="9" t="n">
        <x:v>3748500</x:v>
      </x:c>
    </x:row>
    <x:row r="2978" ht="34" customHeight="1">
      <x:c r="A2978" s="4" t="str">
        <x:v>RS-01527-I1</x:v>
      </x:c>
      <x:c r="B2978" s="4" t="str">
        <x:v>RS-01527</x:v>
      </x:c>
      <x:c r="C2978" s="9" t="n">
        <x:v>1</x:v>
      </x:c>
      <x:c r="D2978" s="8" t="n">
        <x:v>45397</x:v>
      </x:c>
      <x:c r="E2978" s="9" t="n">
        <x:v>5120500</x:v>
      </x:c>
      <x:c r="F2978" s="9" t="n">
        <x:v>5120500</x:v>
      </x:c>
    </x:row>
    <x:row r="2979" ht="34" customHeight="1">
      <x:c r="A2979" s="4" t="str">
        <x:v>RS-01527-I2</x:v>
      </x:c>
      <x:c r="B2979" s="4" t="str">
        <x:v>RS-01527</x:v>
      </x:c>
      <x:c r="C2979" s="9" t="n">
        <x:v>2</x:v>
      </x:c>
      <x:c r="D2979" s="8" t="n">
        <x:v>45427</x:v>
      </x:c>
      <x:c r="E2979" s="9" t="n">
        <x:v>5120500</x:v>
      </x:c>
      <x:c r="F2979" s="9" t="n">
        <x:v>0</x:v>
      </x:c>
    </x:row>
    <x:row r="2980" ht="34" customHeight="1">
      <x:c r="A2980" s="4" t="str">
        <x:v>RS-01527-I3</x:v>
      </x:c>
      <x:c r="B2980" s="4" t="str">
        <x:v>RS-01527</x:v>
      </x:c>
      <x:c r="C2980" s="9" t="n">
        <x:v>3</x:v>
      </x:c>
      <x:c r="D2980" s="8" t="n">
        <x:v>45457</x:v>
      </x:c>
      <x:c r="E2980" s="9" t="n">
        <x:v>5120500</x:v>
      </x:c>
      <x:c r="F2980" s="9" t="n">
        <x:v>0</x:v>
      </x:c>
    </x:row>
    <x:row r="2981" ht="34" customHeight="1">
      <x:c r="A2981" s="4" t="str">
        <x:v>RS-01527-I4</x:v>
      </x:c>
      <x:c r="B2981" s="4" t="str">
        <x:v>RS-01527</x:v>
      </x:c>
      <x:c r="C2981" s="9" t="n">
        <x:v>4</x:v>
      </x:c>
      <x:c r="D2981" s="8" t="n">
        <x:v>45487</x:v>
      </x:c>
      <x:c r="E2981" s="9" t="n">
        <x:v>5120500</x:v>
      </x:c>
      <x:c r="F2981" s="9" t="n">
        <x:v>0</x:v>
      </x:c>
    </x:row>
    <x:row r="2982" ht="34" customHeight="1">
      <x:c r="A2982" s="4" t="str">
        <x:v>RS-01529-I1</x:v>
      </x:c>
      <x:c r="B2982" s="4" t="str">
        <x:v>RS-01529</x:v>
      </x:c>
      <x:c r="C2982" s="9" t="n">
        <x:v>1</x:v>
      </x:c>
      <x:c r="D2982" s="8" t="n">
        <x:v>45399</x:v>
      </x:c>
      <x:c r="E2982" s="9" t="n">
        <x:v>2802500</x:v>
      </x:c>
      <x:c r="F2982" s="9" t="n">
        <x:v>2802500</x:v>
      </x:c>
    </x:row>
    <x:row r="2983" ht="34" customHeight="1">
      <x:c r="A2983" s="4" t="str">
        <x:v>RS-01529-I2</x:v>
      </x:c>
      <x:c r="B2983" s="4" t="str">
        <x:v>RS-01529</x:v>
      </x:c>
      <x:c r="C2983" s="9" t="n">
        <x:v>2</x:v>
      </x:c>
      <x:c r="D2983" s="8" t="n">
        <x:v>45429</x:v>
      </x:c>
      <x:c r="E2983" s="9" t="n">
        <x:v>2802500</x:v>
      </x:c>
      <x:c r="F2983" s="9" t="n">
        <x:v>2802500</x:v>
      </x:c>
    </x:row>
    <x:row r="2984" ht="34" customHeight="1">
      <x:c r="A2984" s="4" t="str">
        <x:v>RS-01529-I3</x:v>
      </x:c>
      <x:c r="B2984" s="4" t="str">
        <x:v>RS-01529</x:v>
      </x:c>
      <x:c r="C2984" s="9" t="n">
        <x:v>3</x:v>
      </x:c>
      <x:c r="D2984" s="8" t="n">
        <x:v>45459</x:v>
      </x:c>
      <x:c r="E2984" s="9" t="n">
        <x:v>2802500</x:v>
      </x:c>
      <x:c r="F2984" s="9" t="n">
        <x:v>2802500</x:v>
      </x:c>
    </x:row>
    <x:row r="2985" ht="34" customHeight="1">
      <x:c r="A2985" s="4" t="str">
        <x:v>RS-01529-I4</x:v>
      </x:c>
      <x:c r="B2985" s="4" t="str">
        <x:v>RS-01529</x:v>
      </x:c>
      <x:c r="C2985" s="9" t="n">
        <x:v>4</x:v>
      </x:c>
      <x:c r="D2985" s="8" t="n">
        <x:v>45489</x:v>
      </x:c>
      <x:c r="E2985" s="9" t="n">
        <x:v>2802500</x:v>
      </x:c>
      <x:c r="F2985" s="9" t="n">
        <x:v>2802500</x:v>
      </x:c>
    </x:row>
    <x:row r="2986" ht="34" customHeight="1">
      <x:c r="A2986" s="4" t="str">
        <x:v>RS-01530-I1</x:v>
      </x:c>
      <x:c r="B2986" s="4" t="str">
        <x:v>RS-01530</x:v>
      </x:c>
      <x:c r="C2986" s="9" t="n">
        <x:v>1</x:v>
      </x:c>
      <x:c r="D2986" s="8" t="n">
        <x:v>45400</x:v>
      </x:c>
      <x:c r="E2986" s="9" t="n">
        <x:v>902000</x:v>
      </x:c>
      <x:c r="F2986" s="9" t="n">
        <x:v>360800</x:v>
      </x:c>
    </x:row>
    <x:row r="2987" ht="34" customHeight="1">
      <x:c r="A2987" s="4" t="str">
        <x:v>RS-01530-I2</x:v>
      </x:c>
      <x:c r="B2987" s="4" t="str">
        <x:v>RS-01530</x:v>
      </x:c>
      <x:c r="C2987" s="9" t="n">
        <x:v>2</x:v>
      </x:c>
      <x:c r="D2987" s="8" t="n">
        <x:v>45430</x:v>
      </x:c>
      <x:c r="E2987" s="9" t="n">
        <x:v>902000</x:v>
      </x:c>
      <x:c r="F2987" s="9" t="n">
        <x:v>0</x:v>
      </x:c>
    </x:row>
    <x:row r="2988" ht="34" customHeight="1">
      <x:c r="A2988" s="4" t="str">
        <x:v>RS-01530-I3</x:v>
      </x:c>
      <x:c r="B2988" s="4" t="str">
        <x:v>RS-01530</x:v>
      </x:c>
      <x:c r="C2988" s="9" t="n">
        <x:v>3</x:v>
      </x:c>
      <x:c r="D2988" s="8" t="n">
        <x:v>45460</x:v>
      </x:c>
      <x:c r="E2988" s="9" t="n">
        <x:v>902000</x:v>
      </x:c>
      <x:c r="F2988" s="9" t="n">
        <x:v>0</x:v>
      </x:c>
    </x:row>
    <x:row r="2989" ht="34" customHeight="1">
      <x:c r="A2989" s="4" t="str">
        <x:v>RS-01530-I4</x:v>
      </x:c>
      <x:c r="B2989" s="4" t="str">
        <x:v>RS-01530</x:v>
      </x:c>
      <x:c r="C2989" s="9" t="n">
        <x:v>4</x:v>
      </x:c>
      <x:c r="D2989" s="8" t="n">
        <x:v>45490</x:v>
      </x:c>
      <x:c r="E2989" s="9" t="n">
        <x:v>902000</x:v>
      </x:c>
      <x:c r="F2989" s="9" t="n">
        <x:v>0</x:v>
      </x:c>
    </x:row>
    <x:row r="2990" ht="34" customHeight="1">
      <x:c r="A2990" s="4" t="str">
        <x:v>RS-01532-I1</x:v>
      </x:c>
      <x:c r="B2990" s="4" t="str">
        <x:v>RS-01532</x:v>
      </x:c>
      <x:c r="C2990" s="9" t="n">
        <x:v>1</x:v>
      </x:c>
      <x:c r="D2990" s="8" t="n">
        <x:v>45402</x:v>
      </x:c>
      <x:c r="E2990" s="9" t="n">
        <x:v>4008000</x:v>
      </x:c>
      <x:c r="F2990" s="9" t="n">
        <x:v>4008000</x:v>
      </x:c>
    </x:row>
    <x:row r="2991" ht="34" customHeight="1">
      <x:c r="A2991" s="4" t="str">
        <x:v>RS-01532-I2</x:v>
      </x:c>
      <x:c r="B2991" s="4" t="str">
        <x:v>RS-01532</x:v>
      </x:c>
      <x:c r="C2991" s="9" t="n">
        <x:v>2</x:v>
      </x:c>
      <x:c r="D2991" s="8" t="n">
        <x:v>45432</x:v>
      </x:c>
      <x:c r="E2991" s="9" t="n">
        <x:v>4008000</x:v>
      </x:c>
      <x:c r="F2991" s="9" t="n">
        <x:v>4008000</x:v>
      </x:c>
    </x:row>
    <x:row r="2992" ht="34" customHeight="1">
      <x:c r="A2992" s="4" t="str">
        <x:v>RS-01532-I3</x:v>
      </x:c>
      <x:c r="B2992" s="4" t="str">
        <x:v>RS-01532</x:v>
      </x:c>
      <x:c r="C2992" s="9" t="n">
        <x:v>3</x:v>
      </x:c>
      <x:c r="D2992" s="8" t="n">
        <x:v>45462</x:v>
      </x:c>
      <x:c r="E2992" s="9" t="n">
        <x:v>4008000</x:v>
      </x:c>
      <x:c r="F2992" s="9" t="n">
        <x:v>4008000</x:v>
      </x:c>
    </x:row>
    <x:row r="2993" ht="34" customHeight="1">
      <x:c r="A2993" s="4" t="str">
        <x:v>RS-01532-I4</x:v>
      </x:c>
      <x:c r="B2993" s="4" t="str">
        <x:v>RS-01532</x:v>
      </x:c>
      <x:c r="C2993" s="9" t="n">
        <x:v>4</x:v>
      </x:c>
      <x:c r="D2993" s="8" t="n">
        <x:v>45492</x:v>
      </x:c>
      <x:c r="E2993" s="9" t="n">
        <x:v>4008000</x:v>
      </x:c>
      <x:c r="F2993" s="9" t="n">
        <x:v>4008000</x:v>
      </x:c>
    </x:row>
    <x:row r="2994" ht="34" customHeight="1">
      <x:c r="A2994" s="4" t="str">
        <x:v>RS-01535-I1</x:v>
      </x:c>
      <x:c r="B2994" s="4" t="str">
        <x:v>RS-01535</x:v>
      </x:c>
      <x:c r="C2994" s="9" t="n">
        <x:v>1</x:v>
      </x:c>
      <x:c r="D2994" s="8" t="n">
        <x:v>45405</x:v>
      </x:c>
      <x:c r="E2994" s="9" t="n">
        <x:v>934500</x:v>
      </x:c>
      <x:c r="F2994" s="9" t="n">
        <x:v>373800</x:v>
      </x:c>
    </x:row>
    <x:row r="2995" ht="34" customHeight="1">
      <x:c r="A2995" s="4" t="str">
        <x:v>RS-01535-I2</x:v>
      </x:c>
      <x:c r="B2995" s="4" t="str">
        <x:v>RS-01535</x:v>
      </x:c>
      <x:c r="C2995" s="9" t="n">
        <x:v>2</x:v>
      </x:c>
      <x:c r="D2995" s="8" t="n">
        <x:v>45435</x:v>
      </x:c>
      <x:c r="E2995" s="9" t="n">
        <x:v>934500</x:v>
      </x:c>
      <x:c r="F2995" s="9" t="n">
        <x:v>0</x:v>
      </x:c>
    </x:row>
    <x:row r="2996" ht="34" customHeight="1">
      <x:c r="A2996" s="4" t="str">
        <x:v>RS-01535-I3</x:v>
      </x:c>
      <x:c r="B2996" s="4" t="str">
        <x:v>RS-01535</x:v>
      </x:c>
      <x:c r="C2996" s="9" t="n">
        <x:v>3</x:v>
      </x:c>
      <x:c r="D2996" s="8" t="n">
        <x:v>45465</x:v>
      </x:c>
      <x:c r="E2996" s="9" t="n">
        <x:v>934500</x:v>
      </x:c>
      <x:c r="F2996" s="9" t="n">
        <x:v>0</x:v>
      </x:c>
    </x:row>
    <x:row r="2997" ht="34" customHeight="1">
      <x:c r="A2997" s="4" t="str">
        <x:v>RS-01535-I4</x:v>
      </x:c>
      <x:c r="B2997" s="4" t="str">
        <x:v>RS-01535</x:v>
      </x:c>
      <x:c r="C2997" s="9" t="n">
        <x:v>4</x:v>
      </x:c>
      <x:c r="D2997" s="8" t="n">
        <x:v>45495</x:v>
      </x:c>
      <x:c r="E2997" s="9" t="n">
        <x:v>934500</x:v>
      </x:c>
      <x:c r="F2997" s="9" t="n">
        <x:v>0</x:v>
      </x:c>
    </x:row>
    <x:row r="2998" ht="34" customHeight="1">
      <x:c r="A2998" s="4" t="str">
        <x:v>RS-01536-I1</x:v>
      </x:c>
      <x:c r="B2998" s="4" t="str">
        <x:v>RS-01536</x:v>
      </x:c>
      <x:c r="C2998" s="9" t="n">
        <x:v>1</x:v>
      </x:c>
      <x:c r="D2998" s="8" t="n">
        <x:v>45406</x:v>
      </x:c>
      <x:c r="E2998" s="9" t="n">
        <x:v>2425500</x:v>
      </x:c>
      <x:c r="F2998" s="9" t="n">
        <x:v>2425500</x:v>
      </x:c>
    </x:row>
    <x:row r="2999" ht="34" customHeight="1">
      <x:c r="A2999" s="4" t="str">
        <x:v>RS-01536-I2</x:v>
      </x:c>
      <x:c r="B2999" s="4" t="str">
        <x:v>RS-01536</x:v>
      </x:c>
      <x:c r="C2999" s="9" t="n">
        <x:v>2</x:v>
      </x:c>
      <x:c r="D2999" s="8" t="n">
        <x:v>45436</x:v>
      </x:c>
      <x:c r="E2999" s="9" t="n">
        <x:v>2425500</x:v>
      </x:c>
      <x:c r="F2999" s="9" t="n">
        <x:v>2425500</x:v>
      </x:c>
    </x:row>
    <x:row r="3000" ht="34" customHeight="1">
      <x:c r="A3000" s="4" t="str">
        <x:v>RS-01536-I3</x:v>
      </x:c>
      <x:c r="B3000" s="4" t="str">
        <x:v>RS-01536</x:v>
      </x:c>
      <x:c r="C3000" s="9" t="n">
        <x:v>3</x:v>
      </x:c>
      <x:c r="D3000" s="8" t="n">
        <x:v>45466</x:v>
      </x:c>
      <x:c r="E3000" s="9" t="n">
        <x:v>2425500</x:v>
      </x:c>
      <x:c r="F3000" s="9" t="n">
        <x:v>2425500</x:v>
      </x:c>
    </x:row>
    <x:row r="3001" ht="34" customHeight="1">
      <x:c r="A3001" s="4" t="str">
        <x:v>RS-01536-I4</x:v>
      </x:c>
      <x:c r="B3001" s="4" t="str">
        <x:v>RS-01536</x:v>
      </x:c>
      <x:c r="C3001" s="9" t="n">
        <x:v>4</x:v>
      </x:c>
      <x:c r="D3001" s="8" t="n">
        <x:v>45496</x:v>
      </x:c>
      <x:c r="E3001" s="9" t="n">
        <x:v>2425500</x:v>
      </x:c>
      <x:c r="F3001" s="9" t="n">
        <x:v>2425500</x:v>
      </x:c>
    </x:row>
    <x:row r="3002" ht="34" customHeight="1">
      <x:c r="A3002" s="4" t="str">
        <x:v>RS-01540-I1</x:v>
      </x:c>
      <x:c r="B3002" s="4" t="str">
        <x:v>RS-01540</x:v>
      </x:c>
      <x:c r="C3002" s="9" t="n">
        <x:v>1</x:v>
      </x:c>
      <x:c r="D3002" s="8" t="n">
        <x:v>45410</x:v>
      </x:c>
      <x:c r="E3002" s="9" t="n">
        <x:v>1215000</x:v>
      </x:c>
      <x:c r="F3002" s="9" t="n">
        <x:v>1215000</x:v>
      </x:c>
    </x:row>
    <x:row r="3003" ht="34" customHeight="1">
      <x:c r="A3003" s="4" t="str">
        <x:v>RS-01540-I2</x:v>
      </x:c>
      <x:c r="B3003" s="4" t="str">
        <x:v>RS-01540</x:v>
      </x:c>
      <x:c r="C3003" s="9" t="n">
        <x:v>2</x:v>
      </x:c>
      <x:c r="D3003" s="8" t="n">
        <x:v>45440</x:v>
      </x:c>
      <x:c r="E3003" s="9" t="n">
        <x:v>1215000</x:v>
      </x:c>
      <x:c r="F3003" s="9" t="n">
        <x:v>0</x:v>
      </x:c>
    </x:row>
    <x:row r="3004" ht="34" customHeight="1">
      <x:c r="A3004" s="4" t="str">
        <x:v>RS-01540-I3</x:v>
      </x:c>
      <x:c r="B3004" s="4" t="str">
        <x:v>RS-01540</x:v>
      </x:c>
      <x:c r="C3004" s="9" t="n">
        <x:v>3</x:v>
      </x:c>
      <x:c r="D3004" s="8" t="n">
        <x:v>45470</x:v>
      </x:c>
      <x:c r="E3004" s="9" t="n">
        <x:v>1215000</x:v>
      </x:c>
      <x:c r="F3004" s="9" t="n">
        <x:v>0</x:v>
      </x:c>
    </x:row>
    <x:row r="3005" ht="34" customHeight="1">
      <x:c r="A3005" s="4" t="str">
        <x:v>RS-01540-I4</x:v>
      </x:c>
      <x:c r="B3005" s="4" t="str">
        <x:v>RS-01540</x:v>
      </x:c>
      <x:c r="C3005" s="9" t="n">
        <x:v>4</x:v>
      </x:c>
      <x:c r="D3005" s="8" t="n">
        <x:v>45500</x:v>
      </x:c>
      <x:c r="E3005" s="9" t="n">
        <x:v>1215000</x:v>
      </x:c>
      <x:c r="F3005" s="9" t="n">
        <x:v>0</x:v>
      </x:c>
    </x:row>
    <x:row r="3006" ht="34" customHeight="1">
      <x:c r="A3006" s="4" t="str">
        <x:v>RS-01541-I1</x:v>
      </x:c>
      <x:c r="B3006" s="4" t="str">
        <x:v>RS-01541</x:v>
      </x:c>
      <x:c r="C3006" s="9" t="n">
        <x:v>1</x:v>
      </x:c>
      <x:c r="D3006" s="8" t="n">
        <x:v>45383</x:v>
      </x:c>
      <x:c r="E3006" s="9" t="n">
        <x:v>5292000</x:v>
      </x:c>
      <x:c r="F3006" s="9" t="n">
        <x:v>5292000</x:v>
      </x:c>
    </x:row>
    <x:row r="3007" ht="34" customHeight="1">
      <x:c r="A3007" s="4" t="str">
        <x:v>RS-01541-I2</x:v>
      </x:c>
      <x:c r="B3007" s="4" t="str">
        <x:v>RS-01541</x:v>
      </x:c>
      <x:c r="C3007" s="9" t="n">
        <x:v>2</x:v>
      </x:c>
      <x:c r="D3007" s="8" t="n">
        <x:v>45413</x:v>
      </x:c>
      <x:c r="E3007" s="9" t="n">
        <x:v>5292000</x:v>
      </x:c>
      <x:c r="F3007" s="9" t="n">
        <x:v>0</x:v>
      </x:c>
    </x:row>
    <x:row r="3008" ht="34" customHeight="1">
      <x:c r="A3008" s="4" t="str">
        <x:v>RS-01541-I3</x:v>
      </x:c>
      <x:c r="B3008" s="4" t="str">
        <x:v>RS-01541</x:v>
      </x:c>
      <x:c r="C3008" s="9" t="n">
        <x:v>3</x:v>
      </x:c>
      <x:c r="D3008" s="8" t="n">
        <x:v>45443</x:v>
      </x:c>
      <x:c r="E3008" s="9" t="n">
        <x:v>5292000</x:v>
      </x:c>
      <x:c r="F3008" s="9" t="n">
        <x:v>0</x:v>
      </x:c>
    </x:row>
    <x:row r="3009" ht="34" customHeight="1">
      <x:c r="A3009" s="4" t="str">
        <x:v>RS-01541-I4</x:v>
      </x:c>
      <x:c r="B3009" s="4" t="str">
        <x:v>RS-01541</x:v>
      </x:c>
      <x:c r="C3009" s="9" t="n">
        <x:v>4</x:v>
      </x:c>
      <x:c r="D3009" s="8" t="n">
        <x:v>45473</x:v>
      </x:c>
      <x:c r="E3009" s="9" t="n">
        <x:v>5292000</x:v>
      </x:c>
      <x:c r="F3009" s="9" t="n">
        <x:v>0</x:v>
      </x:c>
    </x:row>
    <x:row r="3010" ht="34" customHeight="1">
      <x:c r="A3010" s="4" t="str">
        <x:v>RS-01542-I1</x:v>
      </x:c>
      <x:c r="B3010" s="4" t="str">
        <x:v>RS-01542</x:v>
      </x:c>
      <x:c r="C3010" s="9" t="n">
        <x:v>1</x:v>
      </x:c>
      <x:c r="D3010" s="8" t="n">
        <x:v>45384</x:v>
      </x:c>
      <x:c r="E3010" s="9" t="n">
        <x:v>4680250</x:v>
      </x:c>
      <x:c r="F3010" s="9" t="n">
        <x:v>4680250</x:v>
      </x:c>
    </x:row>
    <x:row r="3011" ht="34" customHeight="1">
      <x:c r="A3011" s="4" t="str">
        <x:v>RS-01542-I2</x:v>
      </x:c>
      <x:c r="B3011" s="4" t="str">
        <x:v>RS-01542</x:v>
      </x:c>
      <x:c r="C3011" s="9" t="n">
        <x:v>2</x:v>
      </x:c>
      <x:c r="D3011" s="8" t="n">
        <x:v>45414</x:v>
      </x:c>
      <x:c r="E3011" s="9" t="n">
        <x:v>4680250</x:v>
      </x:c>
      <x:c r="F3011" s="9" t="n">
        <x:v>4680250</x:v>
      </x:c>
    </x:row>
    <x:row r="3012" ht="34" customHeight="1">
      <x:c r="A3012" s="4" t="str">
        <x:v>RS-01542-I3</x:v>
      </x:c>
      <x:c r="B3012" s="4" t="str">
        <x:v>RS-01542</x:v>
      </x:c>
      <x:c r="C3012" s="9" t="n">
        <x:v>3</x:v>
      </x:c>
      <x:c r="D3012" s="8" t="n">
        <x:v>45444</x:v>
      </x:c>
      <x:c r="E3012" s="9" t="n">
        <x:v>4680250</x:v>
      </x:c>
      <x:c r="F3012" s="9" t="n">
        <x:v>4680250</x:v>
      </x:c>
    </x:row>
    <x:row r="3013" ht="34" customHeight="1">
      <x:c r="A3013" s="4" t="str">
        <x:v>RS-01542-I4</x:v>
      </x:c>
      <x:c r="B3013" s="4" t="str">
        <x:v>RS-01542</x:v>
      </x:c>
      <x:c r="C3013" s="9" t="n">
        <x:v>4</x:v>
      </x:c>
      <x:c r="D3013" s="8" t="n">
        <x:v>45474</x:v>
      </x:c>
      <x:c r="E3013" s="9" t="n">
        <x:v>4680250</x:v>
      </x:c>
      <x:c r="F3013" s="9" t="n">
        <x:v>4680250</x:v>
      </x:c>
    </x:row>
    <x:row r="3014" ht="34" customHeight="1">
      <x:c r="A3014" s="4" t="str">
        <x:v>RS-01544-I1</x:v>
      </x:c>
      <x:c r="B3014" s="4" t="str">
        <x:v>RS-01544</x:v>
      </x:c>
      <x:c r="C3014" s="9" t="n">
        <x:v>1</x:v>
      </x:c>
      <x:c r="D3014" s="8" t="n">
        <x:v>45386</x:v>
      </x:c>
      <x:c r="E3014" s="9" t="n">
        <x:v>2425250</x:v>
      </x:c>
      <x:c r="F3014" s="9" t="n">
        <x:v>2425250</x:v>
      </x:c>
    </x:row>
    <x:row r="3015" ht="34" customHeight="1">
      <x:c r="A3015" s="4" t="str">
        <x:v>RS-01544-I2</x:v>
      </x:c>
      <x:c r="B3015" s="4" t="str">
        <x:v>RS-01544</x:v>
      </x:c>
      <x:c r="C3015" s="9" t="n">
        <x:v>2</x:v>
      </x:c>
      <x:c r="D3015" s="8" t="n">
        <x:v>45416</x:v>
      </x:c>
      <x:c r="E3015" s="9" t="n">
        <x:v>2425250</x:v>
      </x:c>
      <x:c r="F3015" s="9" t="n">
        <x:v>2425250</x:v>
      </x:c>
    </x:row>
    <x:row r="3016" ht="34" customHeight="1">
      <x:c r="A3016" s="4" t="str">
        <x:v>RS-01544-I3</x:v>
      </x:c>
      <x:c r="B3016" s="4" t="str">
        <x:v>RS-01544</x:v>
      </x:c>
      <x:c r="C3016" s="9" t="n">
        <x:v>3</x:v>
      </x:c>
      <x:c r="D3016" s="8" t="n">
        <x:v>45446</x:v>
      </x:c>
      <x:c r="E3016" s="9" t="n">
        <x:v>2425250</x:v>
      </x:c>
      <x:c r="F3016" s="9" t="n">
        <x:v>0</x:v>
      </x:c>
    </x:row>
    <x:row r="3017" ht="34" customHeight="1">
      <x:c r="A3017" s="4" t="str">
        <x:v>RS-01544-I4</x:v>
      </x:c>
      <x:c r="B3017" s="4" t="str">
        <x:v>RS-01544</x:v>
      </x:c>
      <x:c r="C3017" s="9" t="n">
        <x:v>4</x:v>
      </x:c>
      <x:c r="D3017" s="8" t="n">
        <x:v>45476</x:v>
      </x:c>
      <x:c r="E3017" s="9" t="n">
        <x:v>2425250</x:v>
      </x:c>
      <x:c r="F3017" s="9" t="n">
        <x:v>0</x:v>
      </x:c>
    </x:row>
    <x:row r="3018" ht="34" customHeight="1">
      <x:c r="A3018" s="4" t="str">
        <x:v>RS-01549-I1</x:v>
      </x:c>
      <x:c r="B3018" s="4" t="str">
        <x:v>RS-01549</x:v>
      </x:c>
      <x:c r="C3018" s="9" t="n">
        <x:v>1</x:v>
      </x:c>
      <x:c r="D3018" s="8" t="n">
        <x:v>45391</x:v>
      </x:c>
      <x:c r="E3018" s="9" t="n">
        <x:v>4436250</x:v>
      </x:c>
      <x:c r="F3018" s="9" t="n">
        <x:v>4436250</x:v>
      </x:c>
    </x:row>
    <x:row r="3019" ht="34" customHeight="1">
      <x:c r="A3019" s="4" t="str">
        <x:v>RS-01549-I2</x:v>
      </x:c>
      <x:c r="B3019" s="4" t="str">
        <x:v>RS-01549</x:v>
      </x:c>
      <x:c r="C3019" s="9" t="n">
        <x:v>2</x:v>
      </x:c>
      <x:c r="D3019" s="8" t="n">
        <x:v>45421</x:v>
      </x:c>
      <x:c r="E3019" s="9" t="n">
        <x:v>4436250</x:v>
      </x:c>
      <x:c r="F3019" s="9" t="n">
        <x:v>0</x:v>
      </x:c>
    </x:row>
    <x:row r="3020" ht="34" customHeight="1">
      <x:c r="A3020" s="4" t="str">
        <x:v>RS-01549-I3</x:v>
      </x:c>
      <x:c r="B3020" s="4" t="str">
        <x:v>RS-01549</x:v>
      </x:c>
      <x:c r="C3020" s="9" t="n">
        <x:v>3</x:v>
      </x:c>
      <x:c r="D3020" s="8" t="n">
        <x:v>45451</x:v>
      </x:c>
      <x:c r="E3020" s="9" t="n">
        <x:v>4436250</x:v>
      </x:c>
      <x:c r="F3020" s="9" t="n">
        <x:v>0</x:v>
      </x:c>
    </x:row>
    <x:row r="3021" ht="34" customHeight="1">
      <x:c r="A3021" s="4" t="str">
        <x:v>RS-01549-I4</x:v>
      </x:c>
      <x:c r="B3021" s="4" t="str">
        <x:v>RS-01549</x:v>
      </x:c>
      <x:c r="C3021" s="9" t="n">
        <x:v>4</x:v>
      </x:c>
      <x:c r="D3021" s="8" t="n">
        <x:v>45481</x:v>
      </x:c>
      <x:c r="E3021" s="9" t="n">
        <x:v>4436250</x:v>
      </x:c>
      <x:c r="F3021" s="9" t="n">
        <x:v>0</x:v>
      </x:c>
    </x:row>
    <x:row r="3022" ht="34" customHeight="1">
      <x:c r="A3022" s="4" t="str">
        <x:v>RS-01550-I1</x:v>
      </x:c>
      <x:c r="B3022" s="4" t="str">
        <x:v>RS-01550</x:v>
      </x:c>
      <x:c r="C3022" s="9" t="n">
        <x:v>1</x:v>
      </x:c>
      <x:c r="D3022" s="8" t="n">
        <x:v>45392</x:v>
      </x:c>
      <x:c r="E3022" s="9" t="n">
        <x:v>3478000</x:v>
      </x:c>
      <x:c r="F3022" s="9" t="n">
        <x:v>1391200</x:v>
      </x:c>
    </x:row>
    <x:row r="3023" ht="34" customHeight="1">
      <x:c r="A3023" s="4" t="str">
        <x:v>RS-01550-I2</x:v>
      </x:c>
      <x:c r="B3023" s="4" t="str">
        <x:v>RS-01550</x:v>
      </x:c>
      <x:c r="C3023" s="9" t="n">
        <x:v>2</x:v>
      </x:c>
      <x:c r="D3023" s="8" t="n">
        <x:v>45422</x:v>
      </x:c>
      <x:c r="E3023" s="9" t="n">
        <x:v>3478000</x:v>
      </x:c>
      <x:c r="F3023" s="9" t="n">
        <x:v>0</x:v>
      </x:c>
    </x:row>
    <x:row r="3024" ht="34" customHeight="1">
      <x:c r="A3024" s="4" t="str">
        <x:v>RS-01550-I3</x:v>
      </x:c>
      <x:c r="B3024" s="4" t="str">
        <x:v>RS-01550</x:v>
      </x:c>
      <x:c r="C3024" s="9" t="n">
        <x:v>3</x:v>
      </x:c>
      <x:c r="D3024" s="8" t="n">
        <x:v>45452</x:v>
      </x:c>
      <x:c r="E3024" s="9" t="n">
        <x:v>3478000</x:v>
      </x:c>
      <x:c r="F3024" s="9" t="n">
        <x:v>0</x:v>
      </x:c>
    </x:row>
    <x:row r="3025" ht="34" customHeight="1">
      <x:c r="A3025" s="4" t="str">
        <x:v>RS-01550-I4</x:v>
      </x:c>
      <x:c r="B3025" s="4" t="str">
        <x:v>RS-01550</x:v>
      </x:c>
      <x:c r="C3025" s="9" t="n">
        <x:v>4</x:v>
      </x:c>
      <x:c r="D3025" s="8" t="n">
        <x:v>45482</x:v>
      </x:c>
      <x:c r="E3025" s="9" t="n">
        <x:v>3478000</x:v>
      </x:c>
      <x:c r="F3025" s="9" t="n">
        <x:v>0</x:v>
      </x:c>
    </x:row>
    <x:row r="3026" ht="34" customHeight="1">
      <x:c r="A3026" s="4" t="str">
        <x:v>RS-01552-I1</x:v>
      </x:c>
      <x:c r="B3026" s="4" t="str">
        <x:v>RS-01552</x:v>
      </x:c>
      <x:c r="C3026" s="9" t="n">
        <x:v>1</x:v>
      </x:c>
      <x:c r="D3026" s="8" t="n">
        <x:v>45394</x:v>
      </x:c>
      <x:c r="E3026" s="9" t="n">
        <x:v>4385500</x:v>
      </x:c>
      <x:c r="F3026" s="9" t="n">
        <x:v>4385500</x:v>
      </x:c>
    </x:row>
    <x:row r="3027" ht="34" customHeight="1">
      <x:c r="A3027" s="4" t="str">
        <x:v>RS-01552-I2</x:v>
      </x:c>
      <x:c r="B3027" s="4" t="str">
        <x:v>RS-01552</x:v>
      </x:c>
      <x:c r="C3027" s="9" t="n">
        <x:v>2</x:v>
      </x:c>
      <x:c r="D3027" s="8" t="n">
        <x:v>45424</x:v>
      </x:c>
      <x:c r="E3027" s="9" t="n">
        <x:v>4385500</x:v>
      </x:c>
      <x:c r="F3027" s="9" t="n">
        <x:v>0</x:v>
      </x:c>
    </x:row>
    <x:row r="3028" ht="34" customHeight="1">
      <x:c r="A3028" s="4" t="str">
        <x:v>RS-01552-I3</x:v>
      </x:c>
      <x:c r="B3028" s="4" t="str">
        <x:v>RS-01552</x:v>
      </x:c>
      <x:c r="C3028" s="9" t="n">
        <x:v>3</x:v>
      </x:c>
      <x:c r="D3028" s="8" t="n">
        <x:v>45454</x:v>
      </x:c>
      <x:c r="E3028" s="9" t="n">
        <x:v>4385500</x:v>
      </x:c>
      <x:c r="F3028" s="9" t="n">
        <x:v>0</x:v>
      </x:c>
    </x:row>
    <x:row r="3029" ht="34" customHeight="1">
      <x:c r="A3029" s="4" t="str">
        <x:v>RS-01552-I4</x:v>
      </x:c>
      <x:c r="B3029" s="4" t="str">
        <x:v>RS-01552</x:v>
      </x:c>
      <x:c r="C3029" s="9" t="n">
        <x:v>4</x:v>
      </x:c>
      <x:c r="D3029" s="8" t="n">
        <x:v>45484</x:v>
      </x:c>
      <x:c r="E3029" s="9" t="n">
        <x:v>4385500</x:v>
      </x:c>
      <x:c r="F3029" s="9" t="n">
        <x:v>0</x:v>
      </x:c>
    </x:row>
    <x:row r="3030" ht="34" customHeight="1">
      <x:c r="A3030" s="4" t="str">
        <x:v>RS-01556-I1</x:v>
      </x:c>
      <x:c r="B3030" s="4" t="str">
        <x:v>RS-01556</x:v>
      </x:c>
      <x:c r="C3030" s="9" t="n">
        <x:v>1</x:v>
      </x:c>
      <x:c r="D3030" s="8" t="n">
        <x:v>45398</x:v>
      </x:c>
      <x:c r="E3030" s="9" t="n">
        <x:v>3776250</x:v>
      </x:c>
      <x:c r="F3030" s="9" t="n">
        <x:v>3776250</x:v>
      </x:c>
    </x:row>
    <x:row r="3031" ht="34" customHeight="1">
      <x:c r="A3031" s="4" t="str">
        <x:v>RS-01556-I2</x:v>
      </x:c>
      <x:c r="B3031" s="4" t="str">
        <x:v>RS-01556</x:v>
      </x:c>
      <x:c r="C3031" s="9" t="n">
        <x:v>2</x:v>
      </x:c>
      <x:c r="D3031" s="8" t="n">
        <x:v>45428</x:v>
      </x:c>
      <x:c r="E3031" s="9" t="n">
        <x:v>3776250</x:v>
      </x:c>
      <x:c r="F3031" s="9" t="n">
        <x:v>0</x:v>
      </x:c>
    </x:row>
    <x:row r="3032" ht="34" customHeight="1">
      <x:c r="A3032" s="4" t="str">
        <x:v>RS-01556-I3</x:v>
      </x:c>
      <x:c r="B3032" s="4" t="str">
        <x:v>RS-01556</x:v>
      </x:c>
      <x:c r="C3032" s="9" t="n">
        <x:v>3</x:v>
      </x:c>
      <x:c r="D3032" s="8" t="n">
        <x:v>45458</x:v>
      </x:c>
      <x:c r="E3032" s="9" t="n">
        <x:v>3776250</x:v>
      </x:c>
      <x:c r="F3032" s="9" t="n">
        <x:v>0</x:v>
      </x:c>
    </x:row>
    <x:row r="3033" ht="34" customHeight="1">
      <x:c r="A3033" s="4" t="str">
        <x:v>RS-01556-I4</x:v>
      </x:c>
      <x:c r="B3033" s="4" t="str">
        <x:v>RS-01556</x:v>
      </x:c>
      <x:c r="C3033" s="9" t="n">
        <x:v>4</x:v>
      </x:c>
      <x:c r="D3033" s="8" t="n">
        <x:v>45488</x:v>
      </x:c>
      <x:c r="E3033" s="9" t="n">
        <x:v>3776250</x:v>
      </x:c>
      <x:c r="F3033" s="9" t="n">
        <x:v>0</x:v>
      </x:c>
    </x:row>
    <x:row r="3034" ht="34" customHeight="1">
      <x:c r="A3034" s="4" t="str">
        <x:v>RS-01557-I1</x:v>
      </x:c>
      <x:c r="B3034" s="4" t="str">
        <x:v>RS-01557</x:v>
      </x:c>
      <x:c r="C3034" s="9" t="n">
        <x:v>1</x:v>
      </x:c>
      <x:c r="D3034" s="8" t="n">
        <x:v>45399</x:v>
      </x:c>
      <x:c r="E3034" s="9" t="n">
        <x:v>4140500</x:v>
      </x:c>
      <x:c r="F3034" s="9" t="n">
        <x:v>4140500</x:v>
      </x:c>
    </x:row>
    <x:row r="3035" ht="34" customHeight="1">
      <x:c r="A3035" s="4" t="str">
        <x:v>RS-01557-I2</x:v>
      </x:c>
      <x:c r="B3035" s="4" t="str">
        <x:v>RS-01557</x:v>
      </x:c>
      <x:c r="C3035" s="9" t="n">
        <x:v>2</x:v>
      </x:c>
      <x:c r="D3035" s="8" t="n">
        <x:v>45429</x:v>
      </x:c>
      <x:c r="E3035" s="9" t="n">
        <x:v>4140500</x:v>
      </x:c>
      <x:c r="F3035" s="9" t="n">
        <x:v>0</x:v>
      </x:c>
    </x:row>
    <x:row r="3036" ht="34" customHeight="1">
      <x:c r="A3036" s="4" t="str">
        <x:v>RS-01557-I3</x:v>
      </x:c>
      <x:c r="B3036" s="4" t="str">
        <x:v>RS-01557</x:v>
      </x:c>
      <x:c r="C3036" s="9" t="n">
        <x:v>3</x:v>
      </x:c>
      <x:c r="D3036" s="8" t="n">
        <x:v>45459</x:v>
      </x:c>
      <x:c r="E3036" s="9" t="n">
        <x:v>4140500</x:v>
      </x:c>
      <x:c r="F3036" s="9" t="n">
        <x:v>0</x:v>
      </x:c>
    </x:row>
    <x:row r="3037" ht="34" customHeight="1">
      <x:c r="A3037" s="4" t="str">
        <x:v>RS-01557-I4</x:v>
      </x:c>
      <x:c r="B3037" s="4" t="str">
        <x:v>RS-01557</x:v>
      </x:c>
      <x:c r="C3037" s="9" t="n">
        <x:v>4</x:v>
      </x:c>
      <x:c r="D3037" s="8" t="n">
        <x:v>45489</x:v>
      </x:c>
      <x:c r="E3037" s="9" t="n">
        <x:v>4140500</x:v>
      </x:c>
      <x:c r="F3037" s="9" t="n">
        <x:v>0</x:v>
      </x:c>
    </x:row>
    <x:row r="3038" ht="34" customHeight="1">
      <x:c r="A3038" s="4" t="str">
        <x:v>RS-01558-I1</x:v>
      </x:c>
      <x:c r="B3038" s="4" t="str">
        <x:v>RS-01558</x:v>
      </x:c>
      <x:c r="C3038" s="9" t="n">
        <x:v>1</x:v>
      </x:c>
      <x:c r="D3038" s="8" t="n">
        <x:v>45400</x:v>
      </x:c>
      <x:c r="E3038" s="9" t="n">
        <x:v>4774000</x:v>
      </x:c>
      <x:c r="F3038" s="9" t="n">
        <x:v>4774000</x:v>
      </x:c>
    </x:row>
    <x:row r="3039" ht="34" customHeight="1">
      <x:c r="A3039" s="4" t="str">
        <x:v>RS-01558-I2</x:v>
      </x:c>
      <x:c r="B3039" s="4" t="str">
        <x:v>RS-01558</x:v>
      </x:c>
      <x:c r="C3039" s="9" t="n">
        <x:v>2</x:v>
      </x:c>
      <x:c r="D3039" s="8" t="n">
        <x:v>45430</x:v>
      </x:c>
      <x:c r="E3039" s="9" t="n">
        <x:v>4774000</x:v>
      </x:c>
      <x:c r="F3039" s="9" t="n">
        <x:v>4774000</x:v>
      </x:c>
    </x:row>
    <x:row r="3040" ht="34" customHeight="1">
      <x:c r="A3040" s="4" t="str">
        <x:v>RS-01558-I3</x:v>
      </x:c>
      <x:c r="B3040" s="4" t="str">
        <x:v>RS-01558</x:v>
      </x:c>
      <x:c r="C3040" s="9" t="n">
        <x:v>3</x:v>
      </x:c>
      <x:c r="D3040" s="8" t="n">
        <x:v>45460</x:v>
      </x:c>
      <x:c r="E3040" s="9" t="n">
        <x:v>4774000</x:v>
      </x:c>
      <x:c r="F3040" s="9" t="n">
        <x:v>0</x:v>
      </x:c>
    </x:row>
    <x:row r="3041" ht="34" customHeight="1">
      <x:c r="A3041" s="4" t="str">
        <x:v>RS-01558-I4</x:v>
      </x:c>
      <x:c r="B3041" s="4" t="str">
        <x:v>RS-01558</x:v>
      </x:c>
      <x:c r="C3041" s="9" t="n">
        <x:v>4</x:v>
      </x:c>
      <x:c r="D3041" s="8" t="n">
        <x:v>45490</x:v>
      </x:c>
      <x:c r="E3041" s="9" t="n">
        <x:v>4774000</x:v>
      </x:c>
      <x:c r="F3041" s="9" t="n">
        <x:v>0</x:v>
      </x:c>
    </x:row>
    <x:row r="3042" ht="34" customHeight="1">
      <x:c r="A3042" s="4" t="str">
        <x:v>RS-01560-I1</x:v>
      </x:c>
      <x:c r="B3042" s="4" t="str">
        <x:v>RS-01560</x:v>
      </x:c>
      <x:c r="C3042" s="9" t="n">
        <x:v>1</x:v>
      </x:c>
      <x:c r="D3042" s="8" t="n">
        <x:v>45402</x:v>
      </x:c>
      <x:c r="E3042" s="9" t="n">
        <x:v>1490750</x:v>
      </x:c>
      <x:c r="F3042" s="9" t="n">
        <x:v>1490750</x:v>
      </x:c>
    </x:row>
    <x:row r="3043" ht="34" customHeight="1">
      <x:c r="A3043" s="4" t="str">
        <x:v>RS-01560-I2</x:v>
      </x:c>
      <x:c r="B3043" s="4" t="str">
        <x:v>RS-01560</x:v>
      </x:c>
      <x:c r="C3043" s="9" t="n">
        <x:v>2</x:v>
      </x:c>
      <x:c r="D3043" s="8" t="n">
        <x:v>45432</x:v>
      </x:c>
      <x:c r="E3043" s="9" t="n">
        <x:v>1490750</x:v>
      </x:c>
      <x:c r="F3043" s="9" t="n">
        <x:v>1490750</x:v>
      </x:c>
    </x:row>
    <x:row r="3044" ht="34" customHeight="1">
      <x:c r="A3044" s="4" t="str">
        <x:v>RS-01560-I3</x:v>
      </x:c>
      <x:c r="B3044" s="4" t="str">
        <x:v>RS-01560</x:v>
      </x:c>
      <x:c r="C3044" s="9" t="n">
        <x:v>3</x:v>
      </x:c>
      <x:c r="D3044" s="8" t="n">
        <x:v>45462</x:v>
      </x:c>
      <x:c r="E3044" s="9" t="n">
        <x:v>1490750</x:v>
      </x:c>
      <x:c r="F3044" s="9" t="n">
        <x:v>1490750</x:v>
      </x:c>
    </x:row>
    <x:row r="3045" ht="34" customHeight="1">
      <x:c r="A3045" s="4" t="str">
        <x:v>RS-01560-I4</x:v>
      </x:c>
      <x:c r="B3045" s="4" t="str">
        <x:v>RS-01560</x:v>
      </x:c>
      <x:c r="C3045" s="9" t="n">
        <x:v>4</x:v>
      </x:c>
      <x:c r="D3045" s="8" t="n">
        <x:v>45492</x:v>
      </x:c>
      <x:c r="E3045" s="9" t="n">
        <x:v>1490750</x:v>
      </x:c>
      <x:c r="F3045" s="9" t="n">
        <x:v>1490750</x:v>
      </x:c>
    </x:row>
    <x:row r="3046" ht="34" customHeight="1">
      <x:c r="A3046" s="4" t="str">
        <x:v>RS-01562-I1</x:v>
      </x:c>
      <x:c r="B3046" s="4" t="str">
        <x:v>RS-01562</x:v>
      </x:c>
      <x:c r="C3046" s="9" t="n">
        <x:v>1</x:v>
      </x:c>
      <x:c r="D3046" s="8" t="n">
        <x:v>45404</x:v>
      </x:c>
      <x:c r="E3046" s="9" t="n">
        <x:v>1425000</x:v>
      </x:c>
      <x:c r="F3046" s="9" t="n">
        <x:v>1425000</x:v>
      </x:c>
    </x:row>
    <x:row r="3047" ht="34" customHeight="1">
      <x:c r="A3047" s="4" t="str">
        <x:v>RS-01562-I2</x:v>
      </x:c>
      <x:c r="B3047" s="4" t="str">
        <x:v>RS-01562</x:v>
      </x:c>
      <x:c r="C3047" s="9" t="n">
        <x:v>2</x:v>
      </x:c>
      <x:c r="D3047" s="8" t="n">
        <x:v>45434</x:v>
      </x:c>
      <x:c r="E3047" s="9" t="n">
        <x:v>1425000</x:v>
      </x:c>
      <x:c r="F3047" s="9" t="n">
        <x:v>1425000</x:v>
      </x:c>
    </x:row>
    <x:row r="3048" ht="34" customHeight="1">
      <x:c r="A3048" s="4" t="str">
        <x:v>RS-01562-I3</x:v>
      </x:c>
      <x:c r="B3048" s="4" t="str">
        <x:v>RS-01562</x:v>
      </x:c>
      <x:c r="C3048" s="9" t="n">
        <x:v>3</x:v>
      </x:c>
      <x:c r="D3048" s="8" t="n">
        <x:v>45464</x:v>
      </x:c>
      <x:c r="E3048" s="9" t="n">
        <x:v>1425000</x:v>
      </x:c>
      <x:c r="F3048" s="9" t="n">
        <x:v>1425000</x:v>
      </x:c>
    </x:row>
    <x:row r="3049" ht="34" customHeight="1">
      <x:c r="A3049" s="4" t="str">
        <x:v>RS-01562-I4</x:v>
      </x:c>
      <x:c r="B3049" s="4" t="str">
        <x:v>RS-01562</x:v>
      </x:c>
      <x:c r="C3049" s="9" t="n">
        <x:v>4</x:v>
      </x:c>
      <x:c r="D3049" s="8" t="n">
        <x:v>45494</x:v>
      </x:c>
      <x:c r="E3049" s="9" t="n">
        <x:v>1425000</x:v>
      </x:c>
      <x:c r="F3049" s="9" t="n">
        <x:v>1425000</x:v>
      </x:c>
    </x:row>
    <x:row r="3050" ht="34" customHeight="1">
      <x:c r="A3050" s="4" t="str">
        <x:v>RS-01569-I1</x:v>
      </x:c>
      <x:c r="B3050" s="4" t="str">
        <x:v>RS-01569</x:v>
      </x:c>
      <x:c r="C3050" s="9" t="n">
        <x:v>1</x:v>
      </x:c>
      <x:c r="D3050" s="8" t="n">
        <x:v>45383</x:v>
      </x:c>
      <x:c r="E3050" s="9" t="n">
        <x:v>2029500</x:v>
      </x:c>
      <x:c r="F3050" s="9" t="n">
        <x:v>2029500</x:v>
      </x:c>
    </x:row>
    <x:row r="3051" ht="34" customHeight="1">
      <x:c r="A3051" s="4" t="str">
        <x:v>RS-01569-I2</x:v>
      </x:c>
      <x:c r="B3051" s="4" t="str">
        <x:v>RS-01569</x:v>
      </x:c>
      <x:c r="C3051" s="9" t="n">
        <x:v>2</x:v>
      </x:c>
      <x:c r="D3051" s="8" t="n">
        <x:v>45413</x:v>
      </x:c>
      <x:c r="E3051" s="9" t="n">
        <x:v>2029500</x:v>
      </x:c>
      <x:c r="F3051" s="9" t="n">
        <x:v>0</x:v>
      </x:c>
    </x:row>
    <x:row r="3052" ht="34" customHeight="1">
      <x:c r="A3052" s="4" t="str">
        <x:v>RS-01569-I3</x:v>
      </x:c>
      <x:c r="B3052" s="4" t="str">
        <x:v>RS-01569</x:v>
      </x:c>
      <x:c r="C3052" s="9" t="n">
        <x:v>3</x:v>
      </x:c>
      <x:c r="D3052" s="8" t="n">
        <x:v>45443</x:v>
      </x:c>
      <x:c r="E3052" s="9" t="n">
        <x:v>2029500</x:v>
      </x:c>
      <x:c r="F3052" s="9" t="n">
        <x:v>0</x:v>
      </x:c>
    </x:row>
    <x:row r="3053" ht="34" customHeight="1">
      <x:c r="A3053" s="4" t="str">
        <x:v>RS-01569-I4</x:v>
      </x:c>
      <x:c r="B3053" s="4" t="str">
        <x:v>RS-01569</x:v>
      </x:c>
      <x:c r="C3053" s="9" t="n">
        <x:v>4</x:v>
      </x:c>
      <x:c r="D3053" s="8" t="n">
        <x:v>45473</x:v>
      </x:c>
      <x:c r="E3053" s="9" t="n">
        <x:v>2029500</x:v>
      </x:c>
      <x:c r="F3053" s="9" t="n">
        <x:v>0</x:v>
      </x:c>
    </x:row>
    <x:row r="3054" ht="34" customHeight="1">
      <x:c r="A3054" s="4" t="str">
        <x:v>RS-01571-I1</x:v>
      </x:c>
      <x:c r="B3054" s="4" t="str">
        <x:v>RS-01571</x:v>
      </x:c>
      <x:c r="C3054" s="9" t="n">
        <x:v>1</x:v>
      </x:c>
      <x:c r="D3054" s="8" t="n">
        <x:v>45385</x:v>
      </x:c>
      <x:c r="E3054" s="9" t="n">
        <x:v>5184750</x:v>
      </x:c>
      <x:c r="F3054" s="9" t="n">
        <x:v>2073900</x:v>
      </x:c>
    </x:row>
    <x:row r="3055" ht="34" customHeight="1">
      <x:c r="A3055" s="4" t="str">
        <x:v>RS-01571-I2</x:v>
      </x:c>
      <x:c r="B3055" s="4" t="str">
        <x:v>RS-01571</x:v>
      </x:c>
      <x:c r="C3055" s="9" t="n">
        <x:v>2</x:v>
      </x:c>
      <x:c r="D3055" s="8" t="n">
        <x:v>45415</x:v>
      </x:c>
      <x:c r="E3055" s="9" t="n">
        <x:v>5184750</x:v>
      </x:c>
      <x:c r="F3055" s="9" t="n">
        <x:v>0</x:v>
      </x:c>
    </x:row>
    <x:row r="3056" ht="34" customHeight="1">
      <x:c r="A3056" s="4" t="str">
        <x:v>RS-01571-I3</x:v>
      </x:c>
      <x:c r="B3056" s="4" t="str">
        <x:v>RS-01571</x:v>
      </x:c>
      <x:c r="C3056" s="9" t="n">
        <x:v>3</x:v>
      </x:c>
      <x:c r="D3056" s="8" t="n">
        <x:v>45445</x:v>
      </x:c>
      <x:c r="E3056" s="9" t="n">
        <x:v>5184750</x:v>
      </x:c>
      <x:c r="F3056" s="9" t="n">
        <x:v>0</x:v>
      </x:c>
    </x:row>
    <x:row r="3057" ht="34" customHeight="1">
      <x:c r="A3057" s="4" t="str">
        <x:v>RS-01571-I4</x:v>
      </x:c>
      <x:c r="B3057" s="4" t="str">
        <x:v>RS-01571</x:v>
      </x:c>
      <x:c r="C3057" s="9" t="n">
        <x:v>4</x:v>
      </x:c>
      <x:c r="D3057" s="8" t="n">
        <x:v>45475</x:v>
      </x:c>
      <x:c r="E3057" s="9" t="n">
        <x:v>5184750</x:v>
      </x:c>
      <x:c r="F3057" s="9" t="n">
        <x:v>0</x:v>
      </x:c>
    </x:row>
    <x:row r="3058" ht="34" customHeight="1">
      <x:c r="A3058" s="4" t="str">
        <x:v>RS-01572-I1</x:v>
      </x:c>
      <x:c r="B3058" s="4" t="str">
        <x:v>RS-01572</x:v>
      </x:c>
      <x:c r="C3058" s="9" t="n">
        <x:v>1</x:v>
      </x:c>
      <x:c r="D3058" s="8" t="n">
        <x:v>45386</x:v>
      </x:c>
      <x:c r="E3058" s="9" t="n">
        <x:v>2778750</x:v>
      </x:c>
      <x:c r="F3058" s="9" t="n">
        <x:v>1111500</x:v>
      </x:c>
    </x:row>
    <x:row r="3059" ht="34" customHeight="1">
      <x:c r="A3059" s="4" t="str">
        <x:v>RS-01572-I2</x:v>
      </x:c>
      <x:c r="B3059" s="4" t="str">
        <x:v>RS-01572</x:v>
      </x:c>
      <x:c r="C3059" s="9" t="n">
        <x:v>2</x:v>
      </x:c>
      <x:c r="D3059" s="8" t="n">
        <x:v>45416</x:v>
      </x:c>
      <x:c r="E3059" s="9" t="n">
        <x:v>2778750</x:v>
      </x:c>
      <x:c r="F3059" s="9" t="n">
        <x:v>0</x:v>
      </x:c>
    </x:row>
    <x:row r="3060" ht="34" customHeight="1">
      <x:c r="A3060" s="4" t="str">
        <x:v>RS-01572-I3</x:v>
      </x:c>
      <x:c r="B3060" s="4" t="str">
        <x:v>RS-01572</x:v>
      </x:c>
      <x:c r="C3060" s="9" t="n">
        <x:v>3</x:v>
      </x:c>
      <x:c r="D3060" s="8" t="n">
        <x:v>45446</x:v>
      </x:c>
      <x:c r="E3060" s="9" t="n">
        <x:v>2778750</x:v>
      </x:c>
      <x:c r="F3060" s="9" t="n">
        <x:v>0</x:v>
      </x:c>
    </x:row>
    <x:row r="3061" ht="34" customHeight="1">
      <x:c r="A3061" s="4" t="str">
        <x:v>RS-01572-I4</x:v>
      </x:c>
      <x:c r="B3061" s="4" t="str">
        <x:v>RS-01572</x:v>
      </x:c>
      <x:c r="C3061" s="9" t="n">
        <x:v>4</x:v>
      </x:c>
      <x:c r="D3061" s="8" t="n">
        <x:v>45476</x:v>
      </x:c>
      <x:c r="E3061" s="9" t="n">
        <x:v>2778750</x:v>
      </x:c>
      <x:c r="F3061" s="9" t="n">
        <x:v>0</x:v>
      </x:c>
    </x:row>
    <x:row r="3062" ht="34" customHeight="1">
      <x:c r="A3062" s="4" t="str">
        <x:v>RS-01574-I1</x:v>
      </x:c>
      <x:c r="B3062" s="4" t="str">
        <x:v>RS-01574</x:v>
      </x:c>
      <x:c r="C3062" s="9" t="n">
        <x:v>1</x:v>
      </x:c>
      <x:c r="D3062" s="8" t="n">
        <x:v>45388</x:v>
      </x:c>
      <x:c r="E3062" s="9" t="n">
        <x:v>5130000</x:v>
      </x:c>
      <x:c r="F3062" s="9" t="n">
        <x:v>5130000</x:v>
      </x:c>
    </x:row>
    <x:row r="3063" ht="34" customHeight="1">
      <x:c r="A3063" s="4" t="str">
        <x:v>RS-01574-I2</x:v>
      </x:c>
      <x:c r="B3063" s="4" t="str">
        <x:v>RS-01574</x:v>
      </x:c>
      <x:c r="C3063" s="9" t="n">
        <x:v>2</x:v>
      </x:c>
      <x:c r="D3063" s="8" t="n">
        <x:v>45418</x:v>
      </x:c>
      <x:c r="E3063" s="9" t="n">
        <x:v>5130000</x:v>
      </x:c>
      <x:c r="F3063" s="9" t="n">
        <x:v>5130000</x:v>
      </x:c>
    </x:row>
    <x:row r="3064" ht="34" customHeight="1">
      <x:c r="A3064" s="4" t="str">
        <x:v>RS-01574-I3</x:v>
      </x:c>
      <x:c r="B3064" s="4" t="str">
        <x:v>RS-01574</x:v>
      </x:c>
      <x:c r="C3064" s="9" t="n">
        <x:v>3</x:v>
      </x:c>
      <x:c r="D3064" s="8" t="n">
        <x:v>45448</x:v>
      </x:c>
      <x:c r="E3064" s="9" t="n">
        <x:v>5130000</x:v>
      </x:c>
      <x:c r="F3064" s="9" t="n">
        <x:v>0</x:v>
      </x:c>
    </x:row>
    <x:row r="3065" ht="34" customHeight="1">
      <x:c r="A3065" s="4" t="str">
        <x:v>RS-01574-I4</x:v>
      </x:c>
      <x:c r="B3065" s="4" t="str">
        <x:v>RS-01574</x:v>
      </x:c>
      <x:c r="C3065" s="9" t="n">
        <x:v>4</x:v>
      </x:c>
      <x:c r="D3065" s="8" t="n">
        <x:v>45478</x:v>
      </x:c>
      <x:c r="E3065" s="9" t="n">
        <x:v>5130000</x:v>
      </x:c>
      <x:c r="F3065" s="9" t="n">
        <x:v>0</x:v>
      </x:c>
    </x:row>
    <x:row r="3066" ht="34" customHeight="1">
      <x:c r="A3066" s="4" t="str">
        <x:v>RS-01575-I1</x:v>
      </x:c>
      <x:c r="B3066" s="4" t="str">
        <x:v>RS-01575</x:v>
      </x:c>
      <x:c r="C3066" s="9" t="n">
        <x:v>1</x:v>
      </x:c>
      <x:c r="D3066" s="8" t="n">
        <x:v>45389</x:v>
      </x:c>
      <x:c r="E3066" s="9" t="n">
        <x:v>2542500</x:v>
      </x:c>
      <x:c r="F3066" s="9" t="n">
        <x:v>2542500</x:v>
      </x:c>
    </x:row>
    <x:row r="3067" ht="34" customHeight="1">
      <x:c r="A3067" s="4" t="str">
        <x:v>RS-01575-I2</x:v>
      </x:c>
      <x:c r="B3067" s="4" t="str">
        <x:v>RS-01575</x:v>
      </x:c>
      <x:c r="C3067" s="9" t="n">
        <x:v>2</x:v>
      </x:c>
      <x:c r="D3067" s="8" t="n">
        <x:v>45419</x:v>
      </x:c>
      <x:c r="E3067" s="9" t="n">
        <x:v>2542500</x:v>
      </x:c>
      <x:c r="F3067" s="9" t="n">
        <x:v>0</x:v>
      </x:c>
    </x:row>
    <x:row r="3068" ht="34" customHeight="1">
      <x:c r="A3068" s="4" t="str">
        <x:v>RS-01575-I3</x:v>
      </x:c>
      <x:c r="B3068" s="4" t="str">
        <x:v>RS-01575</x:v>
      </x:c>
      <x:c r="C3068" s="9" t="n">
        <x:v>3</x:v>
      </x:c>
      <x:c r="D3068" s="8" t="n">
        <x:v>45449</x:v>
      </x:c>
      <x:c r="E3068" s="9" t="n">
        <x:v>2542500</x:v>
      </x:c>
      <x:c r="F3068" s="9" t="n">
        <x:v>0</x:v>
      </x:c>
    </x:row>
    <x:row r="3069" ht="34" customHeight="1">
      <x:c r="A3069" s="4" t="str">
        <x:v>RS-01575-I4</x:v>
      </x:c>
      <x:c r="B3069" s="4" t="str">
        <x:v>RS-01575</x:v>
      </x:c>
      <x:c r="C3069" s="9" t="n">
        <x:v>4</x:v>
      </x:c>
      <x:c r="D3069" s="8" t="n">
        <x:v>45479</x:v>
      </x:c>
      <x:c r="E3069" s="9" t="n">
        <x:v>2542500</x:v>
      </x:c>
      <x:c r="F3069" s="9" t="n">
        <x:v>0</x:v>
      </x:c>
    </x:row>
    <x:row r="3070" ht="34" customHeight="1">
      <x:c r="A3070" s="4" t="str">
        <x:v>RS-01576-I1</x:v>
      </x:c>
      <x:c r="B3070" s="4" t="str">
        <x:v>RS-01576</x:v>
      </x:c>
      <x:c r="C3070" s="9" t="n">
        <x:v>1</x:v>
      </x:c>
      <x:c r="D3070" s="8" t="n">
        <x:v>45390</x:v>
      </x:c>
      <x:c r="E3070" s="9" t="n">
        <x:v>4680000</x:v>
      </x:c>
      <x:c r="F3070" s="9" t="n">
        <x:v>4680000</x:v>
      </x:c>
    </x:row>
    <x:row r="3071" ht="34" customHeight="1">
      <x:c r="A3071" s="4" t="str">
        <x:v>RS-01576-I2</x:v>
      </x:c>
      <x:c r="B3071" s="4" t="str">
        <x:v>RS-01576</x:v>
      </x:c>
      <x:c r="C3071" s="9" t="n">
        <x:v>2</x:v>
      </x:c>
      <x:c r="D3071" s="8" t="n">
        <x:v>45420</x:v>
      </x:c>
      <x:c r="E3071" s="9" t="n">
        <x:v>4680000</x:v>
      </x:c>
      <x:c r="F3071" s="9" t="n">
        <x:v>4680000</x:v>
      </x:c>
    </x:row>
    <x:row r="3072" ht="34" customHeight="1">
      <x:c r="A3072" s="4" t="str">
        <x:v>RS-01576-I3</x:v>
      </x:c>
      <x:c r="B3072" s="4" t="str">
        <x:v>RS-01576</x:v>
      </x:c>
      <x:c r="C3072" s="9" t="n">
        <x:v>3</x:v>
      </x:c>
      <x:c r="D3072" s="8" t="n">
        <x:v>45450</x:v>
      </x:c>
      <x:c r="E3072" s="9" t="n">
        <x:v>4680000</x:v>
      </x:c>
      <x:c r="F3072" s="9" t="n">
        <x:v>4680000</x:v>
      </x:c>
    </x:row>
    <x:row r="3073" ht="34" customHeight="1">
      <x:c r="A3073" s="4" t="str">
        <x:v>RS-01576-I4</x:v>
      </x:c>
      <x:c r="B3073" s="4" t="str">
        <x:v>RS-01576</x:v>
      </x:c>
      <x:c r="C3073" s="9" t="n">
        <x:v>4</x:v>
      </x:c>
      <x:c r="D3073" s="8" t="n">
        <x:v>45480</x:v>
      </x:c>
      <x:c r="E3073" s="9" t="n">
        <x:v>4680000</x:v>
      </x:c>
      <x:c r="F3073" s="9" t="n">
        <x:v>4680000</x:v>
      </x:c>
    </x:row>
    <x:row r="3074" ht="34" customHeight="1">
      <x:c r="A3074" s="4" t="str">
        <x:v>RS-01578-I1</x:v>
      </x:c>
      <x:c r="B3074" s="4" t="str">
        <x:v>RS-01578</x:v>
      </x:c>
      <x:c r="C3074" s="9" t="n">
        <x:v>1</x:v>
      </x:c>
      <x:c r="D3074" s="8" t="n">
        <x:v>45392</x:v>
      </x:c>
      <x:c r="E3074" s="9" t="n">
        <x:v>2184000</x:v>
      </x:c>
      <x:c r="F3074" s="9" t="n">
        <x:v>2184000</x:v>
      </x:c>
    </x:row>
    <x:row r="3075" ht="34" customHeight="1">
      <x:c r="A3075" s="4" t="str">
        <x:v>RS-01578-I2</x:v>
      </x:c>
      <x:c r="B3075" s="4" t="str">
        <x:v>RS-01578</x:v>
      </x:c>
      <x:c r="C3075" s="9" t="n">
        <x:v>2</x:v>
      </x:c>
      <x:c r="D3075" s="8" t="n">
        <x:v>45422</x:v>
      </x:c>
      <x:c r="E3075" s="9" t="n">
        <x:v>2184000</x:v>
      </x:c>
      <x:c r="F3075" s="9" t="n">
        <x:v>2184000</x:v>
      </x:c>
    </x:row>
    <x:row r="3076" ht="34" customHeight="1">
      <x:c r="A3076" s="4" t="str">
        <x:v>RS-01578-I3</x:v>
      </x:c>
      <x:c r="B3076" s="4" t="str">
        <x:v>RS-01578</x:v>
      </x:c>
      <x:c r="C3076" s="9" t="n">
        <x:v>3</x:v>
      </x:c>
      <x:c r="D3076" s="8" t="n">
        <x:v>45452</x:v>
      </x:c>
      <x:c r="E3076" s="9" t="n">
        <x:v>2184000</x:v>
      </x:c>
      <x:c r="F3076" s="9" t="n">
        <x:v>2184000</x:v>
      </x:c>
    </x:row>
    <x:row r="3077" ht="34" customHeight="1">
      <x:c r="A3077" s="4" t="str">
        <x:v>RS-01578-I4</x:v>
      </x:c>
      <x:c r="B3077" s="4" t="str">
        <x:v>RS-01578</x:v>
      </x:c>
      <x:c r="C3077" s="9" t="n">
        <x:v>4</x:v>
      </x:c>
      <x:c r="D3077" s="8" t="n">
        <x:v>45482</x:v>
      </x:c>
      <x:c r="E3077" s="9" t="n">
        <x:v>2184000</x:v>
      </x:c>
      <x:c r="F3077" s="9" t="n">
        <x:v>2184000</x:v>
      </x:c>
    </x:row>
    <x:row r="3078" ht="34" customHeight="1">
      <x:c r="A3078" s="4" t="str">
        <x:v>RS-01582-I1</x:v>
      </x:c>
      <x:c r="B3078" s="4" t="str">
        <x:v>RS-01582</x:v>
      </x:c>
      <x:c r="C3078" s="9" t="n">
        <x:v>1</x:v>
      </x:c>
      <x:c r="D3078" s="8" t="n">
        <x:v>45396</x:v>
      </x:c>
      <x:c r="E3078" s="9" t="n">
        <x:v>1992000</x:v>
      </x:c>
      <x:c r="F3078" s="9" t="n">
        <x:v>1992000</x:v>
      </x:c>
    </x:row>
    <x:row r="3079" ht="34" customHeight="1">
      <x:c r="A3079" s="4" t="str">
        <x:v>RS-01582-I2</x:v>
      </x:c>
      <x:c r="B3079" s="4" t="str">
        <x:v>RS-01582</x:v>
      </x:c>
      <x:c r="C3079" s="9" t="n">
        <x:v>2</x:v>
      </x:c>
      <x:c r="D3079" s="8" t="n">
        <x:v>45426</x:v>
      </x:c>
      <x:c r="E3079" s="9" t="n">
        <x:v>1992000</x:v>
      </x:c>
      <x:c r="F3079" s="9" t="n">
        <x:v>1992000</x:v>
      </x:c>
    </x:row>
    <x:row r="3080" ht="34" customHeight="1">
      <x:c r="A3080" s="4" t="str">
        <x:v>RS-01582-I3</x:v>
      </x:c>
      <x:c r="B3080" s="4" t="str">
        <x:v>RS-01582</x:v>
      </x:c>
      <x:c r="C3080" s="9" t="n">
        <x:v>3</x:v>
      </x:c>
      <x:c r="D3080" s="8" t="n">
        <x:v>45456</x:v>
      </x:c>
      <x:c r="E3080" s="9" t="n">
        <x:v>1992000</x:v>
      </x:c>
      <x:c r="F3080" s="9" t="n">
        <x:v>1992000</x:v>
      </x:c>
    </x:row>
    <x:row r="3081" ht="34" customHeight="1">
      <x:c r="A3081" s="4" t="str">
        <x:v>RS-01582-I4</x:v>
      </x:c>
      <x:c r="B3081" s="4" t="str">
        <x:v>RS-01582</x:v>
      </x:c>
      <x:c r="C3081" s="9" t="n">
        <x:v>4</x:v>
      </x:c>
      <x:c r="D3081" s="8" t="n">
        <x:v>45486</x:v>
      </x:c>
      <x:c r="E3081" s="9" t="n">
        <x:v>1992000</x:v>
      </x:c>
      <x:c r="F3081" s="9" t="n">
        <x:v>1992000</x:v>
      </x:c>
    </x:row>
    <x:row r="3082" ht="34" customHeight="1">
      <x:c r="A3082" s="4" t="str">
        <x:v>RS-01583-I1</x:v>
      </x:c>
      <x:c r="B3082" s="4" t="str">
        <x:v>RS-01583</x:v>
      </x:c>
      <x:c r="C3082" s="9" t="n">
        <x:v>1</x:v>
      </x:c>
      <x:c r="D3082" s="8" t="n">
        <x:v>45397</x:v>
      </x:c>
      <x:c r="E3082" s="9" t="n">
        <x:v>3185000</x:v>
      </x:c>
      <x:c r="F3082" s="9" t="n">
        <x:v>3185000</x:v>
      </x:c>
    </x:row>
    <x:row r="3083" ht="34" customHeight="1">
      <x:c r="A3083" s="4" t="str">
        <x:v>RS-01583-I2</x:v>
      </x:c>
      <x:c r="B3083" s="4" t="str">
        <x:v>RS-01583</x:v>
      </x:c>
      <x:c r="C3083" s="9" t="n">
        <x:v>2</x:v>
      </x:c>
      <x:c r="D3083" s="8" t="n">
        <x:v>45427</x:v>
      </x:c>
      <x:c r="E3083" s="9" t="n">
        <x:v>3185000</x:v>
      </x:c>
      <x:c r="F3083" s="9" t="n">
        <x:v>3185000</x:v>
      </x:c>
    </x:row>
    <x:row r="3084" ht="34" customHeight="1">
      <x:c r="A3084" s="4" t="str">
        <x:v>RS-01583-I3</x:v>
      </x:c>
      <x:c r="B3084" s="4" t="str">
        <x:v>RS-01583</x:v>
      </x:c>
      <x:c r="C3084" s="9" t="n">
        <x:v>3</x:v>
      </x:c>
      <x:c r="D3084" s="8" t="n">
        <x:v>45457</x:v>
      </x:c>
      <x:c r="E3084" s="9" t="n">
        <x:v>3185000</x:v>
      </x:c>
      <x:c r="F3084" s="9" t="n">
        <x:v>3185000</x:v>
      </x:c>
    </x:row>
    <x:row r="3085" ht="34" customHeight="1">
      <x:c r="A3085" s="4" t="str">
        <x:v>RS-01583-I4</x:v>
      </x:c>
      <x:c r="B3085" s="4" t="str">
        <x:v>RS-01583</x:v>
      </x:c>
      <x:c r="C3085" s="9" t="n">
        <x:v>4</x:v>
      </x:c>
      <x:c r="D3085" s="8" t="n">
        <x:v>45487</x:v>
      </x:c>
      <x:c r="E3085" s="9" t="n">
        <x:v>3185000</x:v>
      </x:c>
      <x:c r="F3085" s="9" t="n">
        <x:v>3185000</x:v>
      </x:c>
    </x:row>
    <x:row r="3086" ht="34" customHeight="1">
      <x:c r="A3086" s="4" t="str">
        <x:v>RS-01586-I1</x:v>
      </x:c>
      <x:c r="B3086" s="4" t="str">
        <x:v>RS-01586</x:v>
      </x:c>
      <x:c r="C3086" s="9" t="n">
        <x:v>1</x:v>
      </x:c>
      <x:c r="D3086" s="8" t="n">
        <x:v>45400</x:v>
      </x:c>
      <x:c r="E3086" s="9" t="n">
        <x:v>720750</x:v>
      </x:c>
      <x:c r="F3086" s="9" t="n">
        <x:v>720750</x:v>
      </x:c>
    </x:row>
    <x:row r="3087" ht="34" customHeight="1">
      <x:c r="A3087" s="4" t="str">
        <x:v>RS-01586-I2</x:v>
      </x:c>
      <x:c r="B3087" s="4" t="str">
        <x:v>RS-01586</x:v>
      </x:c>
      <x:c r="C3087" s="9" t="n">
        <x:v>2</x:v>
      </x:c>
      <x:c r="D3087" s="8" t="n">
        <x:v>45430</x:v>
      </x:c>
      <x:c r="E3087" s="9" t="n">
        <x:v>720750</x:v>
      </x:c>
      <x:c r="F3087" s="9" t="n">
        <x:v>720750</x:v>
      </x:c>
    </x:row>
    <x:row r="3088" ht="34" customHeight="1">
      <x:c r="A3088" s="4" t="str">
        <x:v>RS-01586-I3</x:v>
      </x:c>
      <x:c r="B3088" s="4" t="str">
        <x:v>RS-01586</x:v>
      </x:c>
      <x:c r="C3088" s="9" t="n">
        <x:v>3</x:v>
      </x:c>
      <x:c r="D3088" s="8" t="n">
        <x:v>45460</x:v>
      </x:c>
      <x:c r="E3088" s="9" t="n">
        <x:v>720750</x:v>
      </x:c>
      <x:c r="F3088" s="9" t="n">
        <x:v>720750</x:v>
      </x:c>
    </x:row>
    <x:row r="3089" ht="34" customHeight="1">
      <x:c r="A3089" s="4" t="str">
        <x:v>RS-01586-I4</x:v>
      </x:c>
      <x:c r="B3089" s="4" t="str">
        <x:v>RS-01586</x:v>
      </x:c>
      <x:c r="C3089" s="9" t="n">
        <x:v>4</x:v>
      </x:c>
      <x:c r="D3089" s="8" t="n">
        <x:v>45490</x:v>
      </x:c>
      <x:c r="E3089" s="9" t="n">
        <x:v>720750</x:v>
      </x:c>
      <x:c r="F3089" s="9" t="n">
        <x:v>720750</x:v>
      </x:c>
    </x:row>
    <x:row r="3090" ht="34" customHeight="1">
      <x:c r="A3090" s="4" t="str">
        <x:v>RS-01587-I1</x:v>
      </x:c>
      <x:c r="B3090" s="4" t="str">
        <x:v>RS-01587</x:v>
      </x:c>
      <x:c r="C3090" s="9" t="n">
        <x:v>1</x:v>
      </x:c>
      <x:c r="D3090" s="8" t="n">
        <x:v>45401</x:v>
      </x:c>
      <x:c r="E3090" s="9" t="n">
        <x:v>5064000</x:v>
      </x:c>
      <x:c r="F3090" s="9" t="n">
        <x:v>5064000</x:v>
      </x:c>
    </x:row>
    <x:row r="3091" ht="34" customHeight="1">
      <x:c r="A3091" s="4" t="str">
        <x:v>RS-01587-I2</x:v>
      </x:c>
      <x:c r="B3091" s="4" t="str">
        <x:v>RS-01587</x:v>
      </x:c>
      <x:c r="C3091" s="9" t="n">
        <x:v>2</x:v>
      </x:c>
      <x:c r="D3091" s="8" t="n">
        <x:v>45431</x:v>
      </x:c>
      <x:c r="E3091" s="9" t="n">
        <x:v>5064000</x:v>
      </x:c>
      <x:c r="F3091" s="9" t="n">
        <x:v>5064000</x:v>
      </x:c>
    </x:row>
    <x:row r="3092" ht="34" customHeight="1">
      <x:c r="A3092" s="4" t="str">
        <x:v>RS-01587-I3</x:v>
      </x:c>
      <x:c r="B3092" s="4" t="str">
        <x:v>RS-01587</x:v>
      </x:c>
      <x:c r="C3092" s="9" t="n">
        <x:v>3</x:v>
      </x:c>
      <x:c r="D3092" s="8" t="n">
        <x:v>45461</x:v>
      </x:c>
      <x:c r="E3092" s="9" t="n">
        <x:v>5064000</x:v>
      </x:c>
      <x:c r="F3092" s="9" t="n">
        <x:v>5064000</x:v>
      </x:c>
    </x:row>
    <x:row r="3093" ht="34" customHeight="1">
      <x:c r="A3093" s="4" t="str">
        <x:v>RS-01587-I4</x:v>
      </x:c>
      <x:c r="B3093" s="4" t="str">
        <x:v>RS-01587</x:v>
      </x:c>
      <x:c r="C3093" s="9" t="n">
        <x:v>4</x:v>
      </x:c>
      <x:c r="D3093" s="8" t="n">
        <x:v>45491</x:v>
      </x:c>
      <x:c r="E3093" s="9" t="n">
        <x:v>5064000</x:v>
      </x:c>
      <x:c r="F3093" s="9" t="n">
        <x:v>5064000</x:v>
      </x:c>
    </x:row>
    <x:row r="3094" ht="34" customHeight="1">
      <x:c r="A3094" s="4" t="str">
        <x:v>RS-01588-I1</x:v>
      </x:c>
      <x:c r="B3094" s="4" t="str">
        <x:v>RS-01588</x:v>
      </x:c>
      <x:c r="C3094" s="9" t="n">
        <x:v>1</x:v>
      </x:c>
      <x:c r="D3094" s="8" t="n">
        <x:v>45402</x:v>
      </x:c>
      <x:c r="E3094" s="9" t="n">
        <x:v>3410000</x:v>
      </x:c>
      <x:c r="F3094" s="9" t="n">
        <x:v>1364000</x:v>
      </x:c>
    </x:row>
    <x:row r="3095" ht="34" customHeight="1">
      <x:c r="A3095" s="4" t="str">
        <x:v>RS-01588-I2</x:v>
      </x:c>
      <x:c r="B3095" s="4" t="str">
        <x:v>RS-01588</x:v>
      </x:c>
      <x:c r="C3095" s="9" t="n">
        <x:v>2</x:v>
      </x:c>
      <x:c r="D3095" s="8" t="n">
        <x:v>45432</x:v>
      </x:c>
      <x:c r="E3095" s="9" t="n">
        <x:v>3410000</x:v>
      </x:c>
      <x:c r="F3095" s="9" t="n">
        <x:v>0</x:v>
      </x:c>
    </x:row>
    <x:row r="3096" ht="34" customHeight="1">
      <x:c r="A3096" s="4" t="str">
        <x:v>RS-01588-I3</x:v>
      </x:c>
      <x:c r="B3096" s="4" t="str">
        <x:v>RS-01588</x:v>
      </x:c>
      <x:c r="C3096" s="9" t="n">
        <x:v>3</x:v>
      </x:c>
      <x:c r="D3096" s="8" t="n">
        <x:v>45462</x:v>
      </x:c>
      <x:c r="E3096" s="9" t="n">
        <x:v>3410000</x:v>
      </x:c>
      <x:c r="F3096" s="9" t="n">
        <x:v>0</x:v>
      </x:c>
    </x:row>
    <x:row r="3097" ht="34" customHeight="1">
      <x:c r="A3097" s="4" t="str">
        <x:v>RS-01588-I4</x:v>
      </x:c>
      <x:c r="B3097" s="4" t="str">
        <x:v>RS-01588</x:v>
      </x:c>
      <x:c r="C3097" s="9" t="n">
        <x:v>4</x:v>
      </x:c>
      <x:c r="D3097" s="8" t="n">
        <x:v>45492</x:v>
      </x:c>
      <x:c r="E3097" s="9" t="n">
        <x:v>3410000</x:v>
      </x:c>
      <x:c r="F3097" s="9" t="n">
        <x:v>0</x:v>
      </x:c>
    </x:row>
    <x:row r="3098" ht="34" customHeight="1">
      <x:c r="A3098" s="4" t="str">
        <x:v>RS-01589-I1</x:v>
      </x:c>
      <x:c r="B3098" s="4" t="str">
        <x:v>RS-01589</x:v>
      </x:c>
      <x:c r="C3098" s="9" t="n">
        <x:v>1</x:v>
      </x:c>
      <x:c r="D3098" s="8" t="n">
        <x:v>45403</x:v>
      </x:c>
      <x:c r="E3098" s="9" t="n">
        <x:v>760000</x:v>
      </x:c>
      <x:c r="F3098" s="9" t="n">
        <x:v>760000</x:v>
      </x:c>
    </x:row>
    <x:row r="3099" ht="34" customHeight="1">
      <x:c r="A3099" s="4" t="str">
        <x:v>RS-01589-I2</x:v>
      </x:c>
      <x:c r="B3099" s="4" t="str">
        <x:v>RS-01589</x:v>
      </x:c>
      <x:c r="C3099" s="9" t="n">
        <x:v>2</x:v>
      </x:c>
      <x:c r="D3099" s="8" t="n">
        <x:v>45433</x:v>
      </x:c>
      <x:c r="E3099" s="9" t="n">
        <x:v>760000</x:v>
      </x:c>
      <x:c r="F3099" s="9" t="n">
        <x:v>760000</x:v>
      </x:c>
    </x:row>
    <x:row r="3100" ht="34" customHeight="1">
      <x:c r="A3100" s="4" t="str">
        <x:v>RS-01589-I3</x:v>
      </x:c>
      <x:c r="B3100" s="4" t="str">
        <x:v>RS-01589</x:v>
      </x:c>
      <x:c r="C3100" s="9" t="n">
        <x:v>3</x:v>
      </x:c>
      <x:c r="D3100" s="8" t="n">
        <x:v>45463</x:v>
      </x:c>
      <x:c r="E3100" s="9" t="n">
        <x:v>760000</x:v>
      </x:c>
      <x:c r="F3100" s="9" t="n">
        <x:v>0</x:v>
      </x:c>
    </x:row>
    <x:row r="3101" ht="34" customHeight="1">
      <x:c r="A3101" s="4" t="str">
        <x:v>RS-01589-I4</x:v>
      </x:c>
      <x:c r="B3101" s="4" t="str">
        <x:v>RS-01589</x:v>
      </x:c>
      <x:c r="C3101" s="9" t="n">
        <x:v>4</x:v>
      </x:c>
      <x:c r="D3101" s="8" t="n">
        <x:v>45493</x:v>
      </x:c>
      <x:c r="E3101" s="9" t="n">
        <x:v>760000</x:v>
      </x:c>
      <x:c r="F3101" s="9" t="n">
        <x:v>0</x:v>
      </x:c>
    </x:row>
    <x:row r="3102" ht="34" customHeight="1">
      <x:c r="A3102" s="4" t="str">
        <x:v>RS-01592-I1</x:v>
      </x:c>
      <x:c r="B3102" s="4" t="str">
        <x:v>RS-01592</x:v>
      </x:c>
      <x:c r="C3102" s="9" t="n">
        <x:v>1</x:v>
      </x:c>
      <x:c r="D3102" s="8" t="n">
        <x:v>45406</x:v>
      </x:c>
      <x:c r="E3102" s="9" t="n">
        <x:v>4911500</x:v>
      </x:c>
      <x:c r="F3102" s="9" t="n">
        <x:v>4911500</x:v>
      </x:c>
    </x:row>
    <x:row r="3103" ht="34" customHeight="1">
      <x:c r="A3103" s="4" t="str">
        <x:v>RS-01592-I2</x:v>
      </x:c>
      <x:c r="B3103" s="4" t="str">
        <x:v>RS-01592</x:v>
      </x:c>
      <x:c r="C3103" s="9" t="n">
        <x:v>2</x:v>
      </x:c>
      <x:c r="D3103" s="8" t="n">
        <x:v>45436</x:v>
      </x:c>
      <x:c r="E3103" s="9" t="n">
        <x:v>4911500</x:v>
      </x:c>
      <x:c r="F3103" s="9" t="n">
        <x:v>0</x:v>
      </x:c>
    </x:row>
    <x:row r="3104" ht="34" customHeight="1">
      <x:c r="A3104" s="4" t="str">
        <x:v>RS-01592-I3</x:v>
      </x:c>
      <x:c r="B3104" s="4" t="str">
        <x:v>RS-01592</x:v>
      </x:c>
      <x:c r="C3104" s="9" t="n">
        <x:v>3</x:v>
      </x:c>
      <x:c r="D3104" s="8" t="n">
        <x:v>45466</x:v>
      </x:c>
      <x:c r="E3104" s="9" t="n">
        <x:v>4911500</x:v>
      </x:c>
      <x:c r="F3104" s="9" t="n">
        <x:v>0</x:v>
      </x:c>
    </x:row>
    <x:row r="3105" ht="34" customHeight="1">
      <x:c r="A3105" s="4" t="str">
        <x:v>RS-01592-I4</x:v>
      </x:c>
      <x:c r="B3105" s="4" t="str">
        <x:v>RS-01592</x:v>
      </x:c>
      <x:c r="C3105" s="9" t="n">
        <x:v>4</x:v>
      </x:c>
      <x:c r="D3105" s="8" t="n">
        <x:v>45496</x:v>
      </x:c>
      <x:c r="E3105" s="9" t="n">
        <x:v>4911500</x:v>
      </x:c>
      <x:c r="F3105" s="9" t="n">
        <x:v>0</x:v>
      </x:c>
    </x:row>
    <x:row r="3106" ht="34" customHeight="1">
      <x:c r="A3106" s="4" t="str">
        <x:v>RS-01596-I1</x:v>
      </x:c>
      <x:c r="B3106" s="4" t="str">
        <x:v>RS-01596</x:v>
      </x:c>
      <x:c r="C3106" s="9" t="n">
        <x:v>1</x:v>
      </x:c>
      <x:c r="D3106" s="8" t="n">
        <x:v>45410</x:v>
      </x:c>
      <x:c r="E3106" s="9" t="n">
        <x:v>1342000</x:v>
      </x:c>
      <x:c r="F3106" s="9" t="n">
        <x:v>1342000</x:v>
      </x:c>
    </x:row>
    <x:row r="3107" ht="34" customHeight="1">
      <x:c r="A3107" s="4" t="str">
        <x:v>RS-01596-I2</x:v>
      </x:c>
      <x:c r="B3107" s="4" t="str">
        <x:v>RS-01596</x:v>
      </x:c>
      <x:c r="C3107" s="9" t="n">
        <x:v>2</x:v>
      </x:c>
      <x:c r="D3107" s="8" t="n">
        <x:v>45440</x:v>
      </x:c>
      <x:c r="E3107" s="9" t="n">
        <x:v>1342000</x:v>
      </x:c>
      <x:c r="F3107" s="9" t="n">
        <x:v>1342000</x:v>
      </x:c>
    </x:row>
    <x:row r="3108" ht="34" customHeight="1">
      <x:c r="A3108" s="4" t="str">
        <x:v>RS-01596-I3</x:v>
      </x:c>
      <x:c r="B3108" s="4" t="str">
        <x:v>RS-01596</x:v>
      </x:c>
      <x:c r="C3108" s="9" t="n">
        <x:v>3</x:v>
      </x:c>
      <x:c r="D3108" s="8" t="n">
        <x:v>45470</x:v>
      </x:c>
      <x:c r="E3108" s="9" t="n">
        <x:v>1342000</x:v>
      </x:c>
      <x:c r="F3108" s="9" t="n">
        <x:v>1342000</x:v>
      </x:c>
    </x:row>
    <x:row r="3109" ht="34" customHeight="1">
      <x:c r="A3109" s="4" t="str">
        <x:v>RS-01596-I4</x:v>
      </x:c>
      <x:c r="B3109" s="4" t="str">
        <x:v>RS-01596</x:v>
      </x:c>
      <x:c r="C3109" s="9" t="n">
        <x:v>4</x:v>
      </x:c>
      <x:c r="D3109" s="8" t="n">
        <x:v>45500</x:v>
      </x:c>
      <x:c r="E3109" s="9" t="n">
        <x:v>1342000</x:v>
      </x:c>
      <x:c r="F3109" s="9" t="n">
        <x:v>1342000</x:v>
      </x:c>
    </x:row>
    <x:row r="3110" ht="34" customHeight="1">
      <x:c r="A3110" s="4" t="str">
        <x:v>RS-01597-I1</x:v>
      </x:c>
      <x:c r="B3110" s="4" t="str">
        <x:v>RS-01597</x:v>
      </x:c>
      <x:c r="C3110" s="9" t="n">
        <x:v>1</x:v>
      </x:c>
      <x:c r="D3110" s="8" t="n">
        <x:v>45383</x:v>
      </x:c>
      <x:c r="E3110" s="9" t="n">
        <x:v>4704500</x:v>
      </x:c>
      <x:c r="F3110" s="9" t="n">
        <x:v>4704500</x:v>
      </x:c>
    </x:row>
    <x:row r="3111" ht="34" customHeight="1">
      <x:c r="A3111" s="4" t="str">
        <x:v>RS-01597-I2</x:v>
      </x:c>
      <x:c r="B3111" s="4" t="str">
        <x:v>RS-01597</x:v>
      </x:c>
      <x:c r="C3111" s="9" t="n">
        <x:v>2</x:v>
      </x:c>
      <x:c r="D3111" s="8" t="n">
        <x:v>45413</x:v>
      </x:c>
      <x:c r="E3111" s="9" t="n">
        <x:v>4704500</x:v>
      </x:c>
      <x:c r="F3111" s="9" t="n">
        <x:v>4704500</x:v>
      </x:c>
    </x:row>
    <x:row r="3112" ht="34" customHeight="1">
      <x:c r="A3112" s="4" t="str">
        <x:v>RS-01597-I3</x:v>
      </x:c>
      <x:c r="B3112" s="4" t="str">
        <x:v>RS-01597</x:v>
      </x:c>
      <x:c r="C3112" s="9" t="n">
        <x:v>3</x:v>
      </x:c>
      <x:c r="D3112" s="8" t="n">
        <x:v>45443</x:v>
      </x:c>
      <x:c r="E3112" s="9" t="n">
        <x:v>4704500</x:v>
      </x:c>
      <x:c r="F3112" s="9" t="n">
        <x:v>0</x:v>
      </x:c>
    </x:row>
    <x:row r="3113" ht="34" customHeight="1">
      <x:c r="A3113" s="4" t="str">
        <x:v>RS-01597-I4</x:v>
      </x:c>
      <x:c r="B3113" s="4" t="str">
        <x:v>RS-01597</x:v>
      </x:c>
      <x:c r="C3113" s="9" t="n">
        <x:v>4</x:v>
      </x:c>
      <x:c r="D3113" s="8" t="n">
        <x:v>45473</x:v>
      </x:c>
      <x:c r="E3113" s="9" t="n">
        <x:v>4704500</x:v>
      </x:c>
      <x:c r="F3113" s="9" t="n">
        <x:v>0</x:v>
      </x:c>
    </x:row>
    <x:row r="3114" ht="34" customHeight="1">
      <x:c r="A3114" s="4" t="str">
        <x:v>RS-01598-I1</x:v>
      </x:c>
      <x:c r="B3114" s="4" t="str">
        <x:v>RS-01598</x:v>
      </x:c>
      <x:c r="C3114" s="9" t="n">
        <x:v>1</x:v>
      </x:c>
      <x:c r="D3114" s="8" t="n">
        <x:v>45384</x:v>
      </x:c>
      <x:c r="E3114" s="9" t="n">
        <x:v>2541250</x:v>
      </x:c>
      <x:c r="F3114" s="9" t="n">
        <x:v>2541250</x:v>
      </x:c>
    </x:row>
    <x:row r="3115" ht="34" customHeight="1">
      <x:c r="A3115" s="4" t="str">
        <x:v>RS-01598-I2</x:v>
      </x:c>
      <x:c r="B3115" s="4" t="str">
        <x:v>RS-01598</x:v>
      </x:c>
      <x:c r="C3115" s="9" t="n">
        <x:v>2</x:v>
      </x:c>
      <x:c r="D3115" s="8" t="n">
        <x:v>45414</x:v>
      </x:c>
      <x:c r="E3115" s="9" t="n">
        <x:v>2541250</x:v>
      </x:c>
      <x:c r="F3115" s="9" t="n">
        <x:v>0</x:v>
      </x:c>
    </x:row>
    <x:row r="3116" ht="34" customHeight="1">
      <x:c r="A3116" s="4" t="str">
        <x:v>RS-01598-I3</x:v>
      </x:c>
      <x:c r="B3116" s="4" t="str">
        <x:v>RS-01598</x:v>
      </x:c>
      <x:c r="C3116" s="9" t="n">
        <x:v>3</x:v>
      </x:c>
      <x:c r="D3116" s="8" t="n">
        <x:v>45444</x:v>
      </x:c>
      <x:c r="E3116" s="9" t="n">
        <x:v>2541250</x:v>
      </x:c>
      <x:c r="F3116" s="9" t="n">
        <x:v>0</x:v>
      </x:c>
    </x:row>
    <x:row r="3117" ht="34" customHeight="1">
      <x:c r="A3117" s="4" t="str">
        <x:v>RS-01598-I4</x:v>
      </x:c>
      <x:c r="B3117" s="4" t="str">
        <x:v>RS-01598</x:v>
      </x:c>
      <x:c r="C3117" s="9" t="n">
        <x:v>4</x:v>
      </x:c>
      <x:c r="D3117" s="8" t="n">
        <x:v>45474</x:v>
      </x:c>
      <x:c r="E3117" s="9" t="n">
        <x:v>2541250</x:v>
      </x:c>
      <x:c r="F3117" s="9" t="n">
        <x:v>0</x:v>
      </x:c>
    </x:row>
    <x:row r="3118" ht="34" customHeight="1">
      <x:c r="A3118" s="4" t="str">
        <x:v>RS-01600-I1</x:v>
      </x:c>
      <x:c r="B3118" s="4" t="str">
        <x:v>RS-01600</x:v>
      </x:c>
      <x:c r="C3118" s="9" t="n">
        <x:v>1</x:v>
      </x:c>
      <x:c r="D3118" s="8" t="n">
        <x:v>45386</x:v>
      </x:c>
      <x:c r="E3118" s="9" t="n">
        <x:v>2139000</x:v>
      </x:c>
      <x:c r="F3118" s="9" t="n">
        <x:v>2139000</x:v>
      </x:c>
    </x:row>
    <x:row r="3119" ht="34" customHeight="1">
      <x:c r="A3119" s="4" t="str">
        <x:v>RS-01600-I2</x:v>
      </x:c>
      <x:c r="B3119" s="4" t="str">
        <x:v>RS-01600</x:v>
      </x:c>
      <x:c r="C3119" s="9" t="n">
        <x:v>2</x:v>
      </x:c>
      <x:c r="D3119" s="8" t="n">
        <x:v>45416</x:v>
      </x:c>
      <x:c r="E3119" s="9" t="n">
        <x:v>2139000</x:v>
      </x:c>
      <x:c r="F3119" s="9" t="n">
        <x:v>0</x:v>
      </x:c>
    </x:row>
    <x:row r="3120" ht="34" customHeight="1">
      <x:c r="A3120" s="4" t="str">
        <x:v>RS-01600-I3</x:v>
      </x:c>
      <x:c r="B3120" s="4" t="str">
        <x:v>RS-01600</x:v>
      </x:c>
      <x:c r="C3120" s="9" t="n">
        <x:v>3</x:v>
      </x:c>
      <x:c r="D3120" s="8" t="n">
        <x:v>45446</x:v>
      </x:c>
      <x:c r="E3120" s="9" t="n">
        <x:v>2139000</x:v>
      </x:c>
      <x:c r="F3120" s="9" t="n">
        <x:v>0</x:v>
      </x:c>
    </x:row>
    <x:row r="3121" ht="34" customHeight="1">
      <x:c r="A3121" s="4" t="str">
        <x:v>RS-01600-I4</x:v>
      </x:c>
      <x:c r="B3121" s="4" t="str">
        <x:v>RS-01600</x:v>
      </x:c>
      <x:c r="C3121" s="9" t="n">
        <x:v>4</x:v>
      </x:c>
      <x:c r="D3121" s="8" t="n">
        <x:v>45476</x:v>
      </x:c>
      <x:c r="E3121" s="9" t="n">
        <x:v>2139000</x:v>
      </x:c>
      <x:c r="F3121" s="9" t="n">
        <x:v>0</x:v>
      </x:c>
    </x:row>
    <x:row r="3122" ht="34" customHeight="1">
      <x:c r="A3122" s="4" t="str">
        <x:v>RS-01601-I1</x:v>
      </x:c>
      <x:c r="B3122" s="4" t="str">
        <x:v>RS-01601</x:v>
      </x:c>
      <x:c r="C3122" s="9" t="n">
        <x:v>1</x:v>
      </x:c>
      <x:c r="D3122" s="8" t="n">
        <x:v>45387</x:v>
      </x:c>
      <x:c r="E3122" s="9" t="n">
        <x:v>1200000</x:v>
      </x:c>
      <x:c r="F3122" s="9" t="n">
        <x:v>1200000</x:v>
      </x:c>
    </x:row>
    <x:row r="3123" ht="34" customHeight="1">
      <x:c r="A3123" s="4" t="str">
        <x:v>RS-01601-I2</x:v>
      </x:c>
      <x:c r="B3123" s="4" t="str">
        <x:v>RS-01601</x:v>
      </x:c>
      <x:c r="C3123" s="9" t="n">
        <x:v>2</x:v>
      </x:c>
      <x:c r="D3123" s="8" t="n">
        <x:v>45417</x:v>
      </x:c>
      <x:c r="E3123" s="9" t="n">
        <x:v>1200000</x:v>
      </x:c>
      <x:c r="F3123" s="9" t="n">
        <x:v>1200000</x:v>
      </x:c>
    </x:row>
    <x:row r="3124" ht="34" customHeight="1">
      <x:c r="A3124" s="4" t="str">
        <x:v>RS-01601-I3</x:v>
      </x:c>
      <x:c r="B3124" s="4" t="str">
        <x:v>RS-01601</x:v>
      </x:c>
      <x:c r="C3124" s="9" t="n">
        <x:v>3</x:v>
      </x:c>
      <x:c r="D3124" s="8" t="n">
        <x:v>45447</x:v>
      </x:c>
      <x:c r="E3124" s="9" t="n">
        <x:v>1200000</x:v>
      </x:c>
      <x:c r="F3124" s="9" t="n">
        <x:v>0</x:v>
      </x:c>
    </x:row>
    <x:row r="3125" ht="34" customHeight="1">
      <x:c r="A3125" s="4" t="str">
        <x:v>RS-01601-I4</x:v>
      </x:c>
      <x:c r="B3125" s="4" t="str">
        <x:v>RS-01601</x:v>
      </x:c>
      <x:c r="C3125" s="9" t="n">
        <x:v>4</x:v>
      </x:c>
      <x:c r="D3125" s="8" t="n">
        <x:v>45477</x:v>
      </x:c>
      <x:c r="E3125" s="9" t="n">
        <x:v>1200000</x:v>
      </x:c>
      <x:c r="F3125" s="9" t="n">
        <x:v>0</x:v>
      </x:c>
    </x:row>
    <x:row r="3126" ht="34" customHeight="1">
      <x:c r="A3126" s="4" t="str">
        <x:v>RS-01604-I1</x:v>
      </x:c>
      <x:c r="B3126" s="4" t="str">
        <x:v>RS-01604</x:v>
      </x:c>
      <x:c r="C3126" s="9" t="n">
        <x:v>1</x:v>
      </x:c>
      <x:c r="D3126" s="8" t="n">
        <x:v>45390</x:v>
      </x:c>
      <x:c r="E3126" s="9" t="n">
        <x:v>2079000</x:v>
      </x:c>
      <x:c r="F3126" s="9" t="n">
        <x:v>2079000</x:v>
      </x:c>
    </x:row>
    <x:row r="3127" ht="34" customHeight="1">
      <x:c r="A3127" s="4" t="str">
        <x:v>RS-01604-I2</x:v>
      </x:c>
      <x:c r="B3127" s="4" t="str">
        <x:v>RS-01604</x:v>
      </x:c>
      <x:c r="C3127" s="9" t="n">
        <x:v>2</x:v>
      </x:c>
      <x:c r="D3127" s="8" t="n">
        <x:v>45420</x:v>
      </x:c>
      <x:c r="E3127" s="9" t="n">
        <x:v>2079000</x:v>
      </x:c>
      <x:c r="F3127" s="9" t="n">
        <x:v>0</x:v>
      </x:c>
    </x:row>
    <x:row r="3128" ht="34" customHeight="1">
      <x:c r="A3128" s="4" t="str">
        <x:v>RS-01604-I3</x:v>
      </x:c>
      <x:c r="B3128" s="4" t="str">
        <x:v>RS-01604</x:v>
      </x:c>
      <x:c r="C3128" s="9" t="n">
        <x:v>3</x:v>
      </x:c>
      <x:c r="D3128" s="8" t="n">
        <x:v>45450</x:v>
      </x:c>
      <x:c r="E3128" s="9" t="n">
        <x:v>2079000</x:v>
      </x:c>
      <x:c r="F3128" s="9" t="n">
        <x:v>0</x:v>
      </x:c>
    </x:row>
    <x:row r="3129" ht="34" customHeight="1">
      <x:c r="A3129" s="4" t="str">
        <x:v>RS-01604-I4</x:v>
      </x:c>
      <x:c r="B3129" s="4" t="str">
        <x:v>RS-01604</x:v>
      </x:c>
      <x:c r="C3129" s="9" t="n">
        <x:v>4</x:v>
      </x:c>
      <x:c r="D3129" s="8" t="n">
        <x:v>45480</x:v>
      </x:c>
      <x:c r="E3129" s="9" t="n">
        <x:v>2079000</x:v>
      </x:c>
      <x:c r="F3129" s="9" t="n">
        <x:v>0</x:v>
      </x:c>
    </x:row>
    <x:row r="3130" ht="34" customHeight="1">
      <x:c r="A3130" s="4" t="str">
        <x:v>RS-01606-I1</x:v>
      </x:c>
      <x:c r="B3130" s="4" t="str">
        <x:v>RS-01606</x:v>
      </x:c>
      <x:c r="C3130" s="9" t="n">
        <x:v>1</x:v>
      </x:c>
      <x:c r="D3130" s="8" t="n">
        <x:v>45392</x:v>
      </x:c>
      <x:c r="E3130" s="9" t="n">
        <x:v>1235000</x:v>
      </x:c>
      <x:c r="F3130" s="9" t="n">
        <x:v>1235000</x:v>
      </x:c>
    </x:row>
    <x:row r="3131" ht="34" customHeight="1">
      <x:c r="A3131" s="4" t="str">
        <x:v>RS-01606-I2</x:v>
      </x:c>
      <x:c r="B3131" s="4" t="str">
        <x:v>RS-01606</x:v>
      </x:c>
      <x:c r="C3131" s="9" t="n">
        <x:v>2</x:v>
      </x:c>
      <x:c r="D3131" s="8" t="n">
        <x:v>45422</x:v>
      </x:c>
      <x:c r="E3131" s="9" t="n">
        <x:v>1235000</x:v>
      </x:c>
      <x:c r="F3131" s="9" t="n">
        <x:v>0</x:v>
      </x:c>
    </x:row>
    <x:row r="3132" ht="34" customHeight="1">
      <x:c r="A3132" s="4" t="str">
        <x:v>RS-01606-I3</x:v>
      </x:c>
      <x:c r="B3132" s="4" t="str">
        <x:v>RS-01606</x:v>
      </x:c>
      <x:c r="C3132" s="9" t="n">
        <x:v>3</x:v>
      </x:c>
      <x:c r="D3132" s="8" t="n">
        <x:v>45452</x:v>
      </x:c>
      <x:c r="E3132" s="9" t="n">
        <x:v>1235000</x:v>
      </x:c>
      <x:c r="F3132" s="9" t="n">
        <x:v>0</x:v>
      </x:c>
    </x:row>
    <x:row r="3133" ht="34" customHeight="1">
      <x:c r="A3133" s="4" t="str">
        <x:v>RS-01606-I4</x:v>
      </x:c>
      <x:c r="B3133" s="4" t="str">
        <x:v>RS-01606</x:v>
      </x:c>
      <x:c r="C3133" s="9" t="n">
        <x:v>4</x:v>
      </x:c>
      <x:c r="D3133" s="8" t="n">
        <x:v>45482</x:v>
      </x:c>
      <x:c r="E3133" s="9" t="n">
        <x:v>1235000</x:v>
      </x:c>
      <x:c r="F3133" s="9" t="n">
        <x:v>0</x:v>
      </x:c>
    </x:row>
    <x:row r="3134" ht="34" customHeight="1">
      <x:c r="A3134" s="4" t="str">
        <x:v>RS-01607-I1</x:v>
      </x:c>
      <x:c r="B3134" s="4" t="str">
        <x:v>RS-01607</x:v>
      </x:c>
      <x:c r="C3134" s="9" t="n">
        <x:v>1</x:v>
      </x:c>
      <x:c r="D3134" s="8" t="n">
        <x:v>45393</x:v>
      </x:c>
      <x:c r="E3134" s="9" t="n">
        <x:v>4603500</x:v>
      </x:c>
      <x:c r="F3134" s="9" t="n">
        <x:v>4603500</x:v>
      </x:c>
    </x:row>
    <x:row r="3135" ht="34" customHeight="1">
      <x:c r="A3135" s="4" t="str">
        <x:v>RS-01607-I2</x:v>
      </x:c>
      <x:c r="B3135" s="4" t="str">
        <x:v>RS-01607</x:v>
      </x:c>
      <x:c r="C3135" s="9" t="n">
        <x:v>2</x:v>
      </x:c>
      <x:c r="D3135" s="8" t="n">
        <x:v>45423</x:v>
      </x:c>
      <x:c r="E3135" s="9" t="n">
        <x:v>4603500</x:v>
      </x:c>
      <x:c r="F3135" s="9" t="n">
        <x:v>4603500</x:v>
      </x:c>
    </x:row>
    <x:row r="3136" ht="34" customHeight="1">
      <x:c r="A3136" s="4" t="str">
        <x:v>RS-01607-I3</x:v>
      </x:c>
      <x:c r="B3136" s="4" t="str">
        <x:v>RS-01607</x:v>
      </x:c>
      <x:c r="C3136" s="9" t="n">
        <x:v>3</x:v>
      </x:c>
      <x:c r="D3136" s="8" t="n">
        <x:v>45453</x:v>
      </x:c>
      <x:c r="E3136" s="9" t="n">
        <x:v>4603500</x:v>
      </x:c>
      <x:c r="F3136" s="9" t="n">
        <x:v>0</x:v>
      </x:c>
    </x:row>
    <x:row r="3137" ht="34" customHeight="1">
      <x:c r="A3137" s="4" t="str">
        <x:v>RS-01607-I4</x:v>
      </x:c>
      <x:c r="B3137" s="4" t="str">
        <x:v>RS-01607</x:v>
      </x:c>
      <x:c r="C3137" s="9" t="n">
        <x:v>4</x:v>
      </x:c>
      <x:c r="D3137" s="8" t="n">
        <x:v>45483</x:v>
      </x:c>
      <x:c r="E3137" s="9" t="n">
        <x:v>4603500</x:v>
      </x:c>
      <x:c r="F3137" s="9" t="n">
        <x:v>0</x:v>
      </x:c>
    </x:row>
    <x:row r="3138" ht="34" customHeight="1">
      <x:c r="A3138" s="4" t="str">
        <x:v>RS-01609-I1</x:v>
      </x:c>
      <x:c r="B3138" s="4" t="str">
        <x:v>RS-01609</x:v>
      </x:c>
      <x:c r="C3138" s="9" t="n">
        <x:v>1</x:v>
      </x:c>
      <x:c r="D3138" s="8" t="n">
        <x:v>45395</x:v>
      </x:c>
      <x:c r="E3138" s="9" t="n">
        <x:v>3982750</x:v>
      </x:c>
      <x:c r="F3138" s="9" t="n">
        <x:v>3982750</x:v>
      </x:c>
    </x:row>
    <x:row r="3139" ht="34" customHeight="1">
      <x:c r="A3139" s="4" t="str">
        <x:v>RS-01609-I2</x:v>
      </x:c>
      <x:c r="B3139" s="4" t="str">
        <x:v>RS-01609</x:v>
      </x:c>
      <x:c r="C3139" s="9" t="n">
        <x:v>2</x:v>
      </x:c>
      <x:c r="D3139" s="8" t="n">
        <x:v>45425</x:v>
      </x:c>
      <x:c r="E3139" s="9" t="n">
        <x:v>3982750</x:v>
      </x:c>
      <x:c r="F3139" s="9" t="n">
        <x:v>3982750</x:v>
      </x:c>
    </x:row>
    <x:row r="3140" ht="34" customHeight="1">
      <x:c r="A3140" s="4" t="str">
        <x:v>RS-01609-I3</x:v>
      </x:c>
      <x:c r="B3140" s="4" t="str">
        <x:v>RS-01609</x:v>
      </x:c>
      <x:c r="C3140" s="9" t="n">
        <x:v>3</x:v>
      </x:c>
      <x:c r="D3140" s="8" t="n">
        <x:v>45455</x:v>
      </x:c>
      <x:c r="E3140" s="9" t="n">
        <x:v>3982750</x:v>
      </x:c>
      <x:c r="F3140" s="9" t="n">
        <x:v>0</x:v>
      </x:c>
    </x:row>
    <x:row r="3141" ht="34" customHeight="1">
      <x:c r="A3141" s="4" t="str">
        <x:v>RS-01609-I4</x:v>
      </x:c>
      <x:c r="B3141" s="4" t="str">
        <x:v>RS-01609</x:v>
      </x:c>
      <x:c r="C3141" s="9" t="n">
        <x:v>4</x:v>
      </x:c>
      <x:c r="D3141" s="8" t="n">
        <x:v>45485</x:v>
      </x:c>
      <x:c r="E3141" s="9" t="n">
        <x:v>3982750</x:v>
      </x:c>
      <x:c r="F3141" s="9" t="n">
        <x:v>0</x:v>
      </x:c>
    </x:row>
    <x:row r="3142" ht="34" customHeight="1">
      <x:c r="A3142" s="4" t="str">
        <x:v>RS-01610-I1</x:v>
      </x:c>
      <x:c r="B3142" s="4" t="str">
        <x:v>RS-01610</x:v>
      </x:c>
      <x:c r="C3142" s="9" t="n">
        <x:v>1</x:v>
      </x:c>
      <x:c r="D3142" s="8" t="n">
        <x:v>45396</x:v>
      </x:c>
      <x:c r="E3142" s="9" t="n">
        <x:v>5659500</x:v>
      </x:c>
      <x:c r="F3142" s="9" t="n">
        <x:v>2263800</x:v>
      </x:c>
    </x:row>
    <x:row r="3143" ht="34" customHeight="1">
      <x:c r="A3143" s="4" t="str">
        <x:v>RS-01610-I2</x:v>
      </x:c>
      <x:c r="B3143" s="4" t="str">
        <x:v>RS-01610</x:v>
      </x:c>
      <x:c r="C3143" s="9" t="n">
        <x:v>2</x:v>
      </x:c>
      <x:c r="D3143" s="8" t="n">
        <x:v>45426</x:v>
      </x:c>
      <x:c r="E3143" s="9" t="n">
        <x:v>5659500</x:v>
      </x:c>
      <x:c r="F3143" s="9" t="n">
        <x:v>0</x:v>
      </x:c>
    </x:row>
    <x:row r="3144" ht="34" customHeight="1">
      <x:c r="A3144" s="4" t="str">
        <x:v>RS-01610-I3</x:v>
      </x:c>
      <x:c r="B3144" s="4" t="str">
        <x:v>RS-01610</x:v>
      </x:c>
      <x:c r="C3144" s="9" t="n">
        <x:v>3</x:v>
      </x:c>
      <x:c r="D3144" s="8" t="n">
        <x:v>45456</x:v>
      </x:c>
      <x:c r="E3144" s="9" t="n">
        <x:v>5659500</x:v>
      </x:c>
      <x:c r="F3144" s="9" t="n">
        <x:v>0</x:v>
      </x:c>
    </x:row>
    <x:row r="3145" ht="34" customHeight="1">
      <x:c r="A3145" s="4" t="str">
        <x:v>RS-01610-I4</x:v>
      </x:c>
      <x:c r="B3145" s="4" t="str">
        <x:v>RS-01610</x:v>
      </x:c>
      <x:c r="C3145" s="9" t="n">
        <x:v>4</x:v>
      </x:c>
      <x:c r="D3145" s="8" t="n">
        <x:v>45486</x:v>
      </x:c>
      <x:c r="E3145" s="9" t="n">
        <x:v>5659500</x:v>
      </x:c>
      <x:c r="F3145" s="9" t="n">
        <x:v>0</x:v>
      </x:c>
    </x:row>
    <x:row r="3146" ht="34" customHeight="1">
      <x:c r="A3146" s="4" t="str">
        <x:v>RS-01611-I1</x:v>
      </x:c>
      <x:c r="B3146" s="4" t="str">
        <x:v>RS-01611</x:v>
      </x:c>
      <x:c r="C3146" s="9" t="n">
        <x:v>1</x:v>
      </x:c>
      <x:c r="D3146" s="8" t="n">
        <x:v>45397</x:v>
      </x:c>
      <x:c r="E3146" s="9" t="n">
        <x:v>2093000</x:v>
      </x:c>
      <x:c r="F3146" s="9" t="n">
        <x:v>2093000</x:v>
      </x:c>
    </x:row>
    <x:row r="3147" ht="34" customHeight="1">
      <x:c r="A3147" s="4" t="str">
        <x:v>RS-01611-I2</x:v>
      </x:c>
      <x:c r="B3147" s="4" t="str">
        <x:v>RS-01611</x:v>
      </x:c>
      <x:c r="C3147" s="9" t="n">
        <x:v>2</x:v>
      </x:c>
      <x:c r="D3147" s="8" t="n">
        <x:v>45427</x:v>
      </x:c>
      <x:c r="E3147" s="9" t="n">
        <x:v>2093000</x:v>
      </x:c>
      <x:c r="F3147" s="9" t="n">
        <x:v>2093000</x:v>
      </x:c>
    </x:row>
    <x:row r="3148" ht="34" customHeight="1">
      <x:c r="A3148" s="4" t="str">
        <x:v>RS-01611-I3</x:v>
      </x:c>
      <x:c r="B3148" s="4" t="str">
        <x:v>RS-01611</x:v>
      </x:c>
      <x:c r="C3148" s="9" t="n">
        <x:v>3</x:v>
      </x:c>
      <x:c r="D3148" s="8" t="n">
        <x:v>45457</x:v>
      </x:c>
      <x:c r="E3148" s="9" t="n">
        <x:v>2093000</x:v>
      </x:c>
      <x:c r="F3148" s="9" t="n">
        <x:v>0</x:v>
      </x:c>
    </x:row>
    <x:row r="3149" ht="34" customHeight="1">
      <x:c r="A3149" s="4" t="str">
        <x:v>RS-01611-I4</x:v>
      </x:c>
      <x:c r="B3149" s="4" t="str">
        <x:v>RS-01611</x:v>
      </x:c>
      <x:c r="C3149" s="9" t="n">
        <x:v>4</x:v>
      </x:c>
      <x:c r="D3149" s="8" t="n">
        <x:v>45487</x:v>
      </x:c>
      <x:c r="E3149" s="9" t="n">
        <x:v>2093000</x:v>
      </x:c>
      <x:c r="F3149" s="9" t="n">
        <x:v>0</x:v>
      </x:c>
    </x:row>
    <x:row r="3150" ht="34" customHeight="1">
      <x:c r="A3150" s="4" t="str">
        <x:v>RS-01612-I1</x:v>
      </x:c>
      <x:c r="B3150" s="4" t="str">
        <x:v>RS-01612</x:v>
      </x:c>
      <x:c r="C3150" s="9" t="n">
        <x:v>1</x:v>
      </x:c>
      <x:c r="D3150" s="8" t="n">
        <x:v>45398</x:v>
      </x:c>
      <x:c r="E3150" s="9" t="n">
        <x:v>2867000</x:v>
      </x:c>
      <x:c r="F3150" s="9" t="n">
        <x:v>2867000</x:v>
      </x:c>
    </x:row>
    <x:row r="3151" ht="34" customHeight="1">
      <x:c r="A3151" s="4" t="str">
        <x:v>RS-01612-I2</x:v>
      </x:c>
      <x:c r="B3151" s="4" t="str">
        <x:v>RS-01612</x:v>
      </x:c>
      <x:c r="C3151" s="9" t="n">
        <x:v>2</x:v>
      </x:c>
      <x:c r="D3151" s="8" t="n">
        <x:v>45428</x:v>
      </x:c>
      <x:c r="E3151" s="9" t="n">
        <x:v>2867000</x:v>
      </x:c>
      <x:c r="F3151" s="9" t="n">
        <x:v>0</x:v>
      </x:c>
    </x:row>
    <x:row r="3152" ht="34" customHeight="1">
      <x:c r="A3152" s="4" t="str">
        <x:v>RS-01612-I3</x:v>
      </x:c>
      <x:c r="B3152" s="4" t="str">
        <x:v>RS-01612</x:v>
      </x:c>
      <x:c r="C3152" s="9" t="n">
        <x:v>3</x:v>
      </x:c>
      <x:c r="D3152" s="8" t="n">
        <x:v>45458</x:v>
      </x:c>
      <x:c r="E3152" s="9" t="n">
        <x:v>2867000</x:v>
      </x:c>
      <x:c r="F3152" s="9" t="n">
        <x:v>0</x:v>
      </x:c>
    </x:row>
    <x:row r="3153" ht="34" customHeight="1">
      <x:c r="A3153" s="4" t="str">
        <x:v>RS-01612-I4</x:v>
      </x:c>
      <x:c r="B3153" s="4" t="str">
        <x:v>RS-01612</x:v>
      </x:c>
      <x:c r="C3153" s="9" t="n">
        <x:v>4</x:v>
      </x:c>
      <x:c r="D3153" s="8" t="n">
        <x:v>45488</x:v>
      </x:c>
      <x:c r="E3153" s="9" t="n">
        <x:v>2867000</x:v>
      </x:c>
      <x:c r="F3153" s="9" t="n">
        <x:v>0</x:v>
      </x:c>
    </x:row>
    <x:row r="3154" ht="34" customHeight="1">
      <x:c r="A3154" s="4" t="str">
        <x:v>RS-01615-I1</x:v>
      </x:c>
      <x:c r="B3154" s="4" t="str">
        <x:v>RS-01615</x:v>
      </x:c>
      <x:c r="C3154" s="9" t="n">
        <x:v>1</x:v>
      </x:c>
      <x:c r="D3154" s="8" t="n">
        <x:v>45401</x:v>
      </x:c>
      <x:c r="E3154" s="9" t="n">
        <x:v>3262500</x:v>
      </x:c>
      <x:c r="F3154" s="9" t="n">
        <x:v>3262500</x:v>
      </x:c>
    </x:row>
    <x:row r="3155" ht="34" customHeight="1">
      <x:c r="A3155" s="4" t="str">
        <x:v>RS-01615-I2</x:v>
      </x:c>
      <x:c r="B3155" s="4" t="str">
        <x:v>RS-01615</x:v>
      </x:c>
      <x:c r="C3155" s="9" t="n">
        <x:v>2</x:v>
      </x:c>
      <x:c r="D3155" s="8" t="n">
        <x:v>45431</x:v>
      </x:c>
      <x:c r="E3155" s="9" t="n">
        <x:v>3262500</x:v>
      </x:c>
      <x:c r="F3155" s="9" t="n">
        <x:v>3262500</x:v>
      </x:c>
    </x:row>
    <x:row r="3156" ht="34" customHeight="1">
      <x:c r="A3156" s="4" t="str">
        <x:v>RS-01615-I3</x:v>
      </x:c>
      <x:c r="B3156" s="4" t="str">
        <x:v>RS-01615</x:v>
      </x:c>
      <x:c r="C3156" s="9" t="n">
        <x:v>3</x:v>
      </x:c>
      <x:c r="D3156" s="8" t="n">
        <x:v>45461</x:v>
      </x:c>
      <x:c r="E3156" s="9" t="n">
        <x:v>3262500</x:v>
      </x:c>
      <x:c r="F3156" s="9" t="n">
        <x:v>3262500</x:v>
      </x:c>
    </x:row>
    <x:row r="3157" ht="34" customHeight="1">
      <x:c r="A3157" s="4" t="str">
        <x:v>RS-01615-I4</x:v>
      </x:c>
      <x:c r="B3157" s="4" t="str">
        <x:v>RS-01615</x:v>
      </x:c>
      <x:c r="C3157" s="9" t="n">
        <x:v>4</x:v>
      </x:c>
      <x:c r="D3157" s="8" t="n">
        <x:v>45491</x:v>
      </x:c>
      <x:c r="E3157" s="9" t="n">
        <x:v>3262500</x:v>
      </x:c>
      <x:c r="F3157" s="9" t="n">
        <x:v>3262500</x:v>
      </x:c>
    </x:row>
    <x:row r="3158" ht="34" customHeight="1">
      <x:c r="A3158" s="4" t="str">
        <x:v>RS-01616-I1</x:v>
      </x:c>
      <x:c r="B3158" s="4" t="str">
        <x:v>RS-01616</x:v>
      </x:c>
      <x:c r="C3158" s="9" t="n">
        <x:v>1</x:v>
      </x:c>
      <x:c r="D3158" s="8" t="n">
        <x:v>45402</x:v>
      </x:c>
      <x:c r="E3158" s="9" t="n">
        <x:v>3454500</x:v>
      </x:c>
      <x:c r="F3158" s="9" t="n">
        <x:v>3454500</x:v>
      </x:c>
    </x:row>
    <x:row r="3159" ht="34" customHeight="1">
      <x:c r="A3159" s="4" t="str">
        <x:v>RS-01616-I2</x:v>
      </x:c>
      <x:c r="B3159" s="4" t="str">
        <x:v>RS-01616</x:v>
      </x:c>
      <x:c r="C3159" s="9" t="n">
        <x:v>2</x:v>
      </x:c>
      <x:c r="D3159" s="8" t="n">
        <x:v>45432</x:v>
      </x:c>
      <x:c r="E3159" s="9" t="n">
        <x:v>3454500</x:v>
      </x:c>
      <x:c r="F3159" s="9" t="n">
        <x:v>3454500</x:v>
      </x:c>
    </x:row>
    <x:row r="3160" ht="34" customHeight="1">
      <x:c r="A3160" s="4" t="str">
        <x:v>RS-01616-I3</x:v>
      </x:c>
      <x:c r="B3160" s="4" t="str">
        <x:v>RS-01616</x:v>
      </x:c>
      <x:c r="C3160" s="9" t="n">
        <x:v>3</x:v>
      </x:c>
      <x:c r="D3160" s="8" t="n">
        <x:v>45462</x:v>
      </x:c>
      <x:c r="E3160" s="9" t="n">
        <x:v>3454500</x:v>
      </x:c>
      <x:c r="F3160" s="9" t="n">
        <x:v>3454500</x:v>
      </x:c>
    </x:row>
    <x:row r="3161" ht="34" customHeight="1">
      <x:c r="A3161" s="4" t="str">
        <x:v>RS-01616-I4</x:v>
      </x:c>
      <x:c r="B3161" s="4" t="str">
        <x:v>RS-01616</x:v>
      </x:c>
      <x:c r="C3161" s="9" t="n">
        <x:v>4</x:v>
      </x:c>
      <x:c r="D3161" s="8" t="n">
        <x:v>45492</x:v>
      </x:c>
      <x:c r="E3161" s="9" t="n">
        <x:v>3454500</x:v>
      </x:c>
      <x:c r="F3161" s="9" t="n">
        <x:v>3454500</x:v>
      </x:c>
    </x:row>
    <x:row r="3162" ht="34" customHeight="1">
      <x:c r="A3162" s="4" t="str">
        <x:v>RS-01620-I1</x:v>
      </x:c>
      <x:c r="B3162" s="4" t="str">
        <x:v>RS-01620</x:v>
      </x:c>
      <x:c r="C3162" s="9" t="n">
        <x:v>1</x:v>
      </x:c>
      <x:c r="D3162" s="8" t="n">
        <x:v>45406</x:v>
      </x:c>
      <x:c r="E3162" s="9" t="n">
        <x:v>4370000</x:v>
      </x:c>
      <x:c r="F3162" s="9" t="n">
        <x:v>4370000</x:v>
      </x:c>
    </x:row>
    <x:row r="3163" ht="34" customHeight="1">
      <x:c r="A3163" s="4" t="str">
        <x:v>RS-01620-I2</x:v>
      </x:c>
      <x:c r="B3163" s="4" t="str">
        <x:v>RS-01620</x:v>
      </x:c>
      <x:c r="C3163" s="9" t="n">
        <x:v>2</x:v>
      </x:c>
      <x:c r="D3163" s="8" t="n">
        <x:v>45436</x:v>
      </x:c>
      <x:c r="E3163" s="9" t="n">
        <x:v>4370000</x:v>
      </x:c>
      <x:c r="F3163" s="9" t="n">
        <x:v>4370000</x:v>
      </x:c>
    </x:row>
    <x:row r="3164" ht="34" customHeight="1">
      <x:c r="A3164" s="4" t="str">
        <x:v>RS-01620-I3</x:v>
      </x:c>
      <x:c r="B3164" s="4" t="str">
        <x:v>RS-01620</x:v>
      </x:c>
      <x:c r="C3164" s="9" t="n">
        <x:v>3</x:v>
      </x:c>
      <x:c r="D3164" s="8" t="n">
        <x:v>45466</x:v>
      </x:c>
      <x:c r="E3164" s="9" t="n">
        <x:v>4370000</x:v>
      </x:c>
      <x:c r="F3164" s="9" t="n">
        <x:v>0</x:v>
      </x:c>
    </x:row>
    <x:row r="3165" ht="34" customHeight="1">
      <x:c r="A3165" s="4" t="str">
        <x:v>RS-01620-I4</x:v>
      </x:c>
      <x:c r="B3165" s="4" t="str">
        <x:v>RS-01620</x:v>
      </x:c>
      <x:c r="C3165" s="9" t="n">
        <x:v>4</x:v>
      </x:c>
      <x:c r="D3165" s="8" t="n">
        <x:v>45496</x:v>
      </x:c>
      <x:c r="E3165" s="9" t="n">
        <x:v>4370000</x:v>
      </x:c>
      <x:c r="F3165" s="9" t="n">
        <x:v>0</x:v>
      </x:c>
    </x:row>
    <x:row r="3166" ht="34" customHeight="1">
      <x:c r="A3166" s="4" t="str">
        <x:v>RS-01622-I1</x:v>
      </x:c>
      <x:c r="B3166" s="4" t="str">
        <x:v>RS-01622</x:v>
      </x:c>
      <x:c r="C3166" s="9" t="n">
        <x:v>1</x:v>
      </x:c>
      <x:c r="D3166" s="8" t="n">
        <x:v>45408</x:v>
      </x:c>
      <x:c r="E3166" s="9" t="n">
        <x:v>3804750</x:v>
      </x:c>
      <x:c r="F3166" s="9" t="n">
        <x:v>1521900</x:v>
      </x:c>
    </x:row>
    <x:row r="3167" ht="34" customHeight="1">
      <x:c r="A3167" s="4" t="str">
        <x:v>RS-01622-I2</x:v>
      </x:c>
      <x:c r="B3167" s="4" t="str">
        <x:v>RS-01622</x:v>
      </x:c>
      <x:c r="C3167" s="9" t="n">
        <x:v>2</x:v>
      </x:c>
      <x:c r="D3167" s="8" t="n">
        <x:v>45438</x:v>
      </x:c>
      <x:c r="E3167" s="9" t="n">
        <x:v>3804750</x:v>
      </x:c>
      <x:c r="F3167" s="9" t="n">
        <x:v>0</x:v>
      </x:c>
    </x:row>
    <x:row r="3168" ht="34" customHeight="1">
      <x:c r="A3168" s="4" t="str">
        <x:v>RS-01622-I3</x:v>
      </x:c>
      <x:c r="B3168" s="4" t="str">
        <x:v>RS-01622</x:v>
      </x:c>
      <x:c r="C3168" s="9" t="n">
        <x:v>3</x:v>
      </x:c>
      <x:c r="D3168" s="8" t="n">
        <x:v>45468</x:v>
      </x:c>
      <x:c r="E3168" s="9" t="n">
        <x:v>3804750</x:v>
      </x:c>
      <x:c r="F3168" s="9" t="n">
        <x:v>0</x:v>
      </x:c>
    </x:row>
    <x:row r="3169" ht="34" customHeight="1">
      <x:c r="A3169" s="4" t="str">
        <x:v>RS-01622-I4</x:v>
      </x:c>
      <x:c r="B3169" s="4" t="str">
        <x:v>RS-01622</x:v>
      </x:c>
      <x:c r="C3169" s="9" t="n">
        <x:v>4</x:v>
      </x:c>
      <x:c r="D3169" s="8" t="n">
        <x:v>45498</x:v>
      </x:c>
      <x:c r="E3169" s="9" t="n">
        <x:v>3804750</x:v>
      </x:c>
      <x:c r="F3169" s="9" t="n">
        <x:v>0</x:v>
      </x:c>
    </x:row>
    <x:row r="3170" ht="34" customHeight="1">
      <x:c r="A3170" s="4" t="str">
        <x:v>RS-01624-I1</x:v>
      </x:c>
      <x:c r="B3170" s="4" t="str">
        <x:v>RS-01624</x:v>
      </x:c>
      <x:c r="C3170" s="9" t="n">
        <x:v>1</x:v>
      </x:c>
      <x:c r="D3170" s="8" t="n">
        <x:v>45410</x:v>
      </x:c>
      <x:c r="E3170" s="9" t="n">
        <x:v>877500</x:v>
      </x:c>
      <x:c r="F3170" s="9" t="n">
        <x:v>877500</x:v>
      </x:c>
    </x:row>
    <x:row r="3171" ht="34" customHeight="1">
      <x:c r="A3171" s="4" t="str">
        <x:v>RS-01624-I2</x:v>
      </x:c>
      <x:c r="B3171" s="4" t="str">
        <x:v>RS-01624</x:v>
      </x:c>
      <x:c r="C3171" s="9" t="n">
        <x:v>2</x:v>
      </x:c>
      <x:c r="D3171" s="8" t="n">
        <x:v>45440</x:v>
      </x:c>
      <x:c r="E3171" s="9" t="n">
        <x:v>877500</x:v>
      </x:c>
      <x:c r="F3171" s="9" t="n">
        <x:v>877500</x:v>
      </x:c>
    </x:row>
    <x:row r="3172" ht="34" customHeight="1">
      <x:c r="A3172" s="4" t="str">
        <x:v>RS-01624-I3</x:v>
      </x:c>
      <x:c r="B3172" s="4" t="str">
        <x:v>RS-01624</x:v>
      </x:c>
      <x:c r="C3172" s="9" t="n">
        <x:v>3</x:v>
      </x:c>
      <x:c r="D3172" s="8" t="n">
        <x:v>45470</x:v>
      </x:c>
      <x:c r="E3172" s="9" t="n">
        <x:v>877500</x:v>
      </x:c>
      <x:c r="F3172" s="9" t="n">
        <x:v>877500</x:v>
      </x:c>
    </x:row>
    <x:row r="3173" ht="34" customHeight="1">
      <x:c r="A3173" s="4" t="str">
        <x:v>RS-01624-I4</x:v>
      </x:c>
      <x:c r="B3173" s="4" t="str">
        <x:v>RS-01624</x:v>
      </x:c>
      <x:c r="C3173" s="9" t="n">
        <x:v>4</x:v>
      </x:c>
      <x:c r="D3173" s="8" t="n">
        <x:v>45500</x:v>
      </x:c>
      <x:c r="E3173" s="9" t="n">
        <x:v>877500</x:v>
      </x:c>
      <x:c r="F3173" s="9" t="n">
        <x:v>877500</x:v>
      </x:c>
    </x:row>
    <x:row r="3174" ht="34" customHeight="1">
      <x:c r="A3174" s="4" t="str">
        <x:v>RS-01625-I1</x:v>
      </x:c>
      <x:c r="B3174" s="4" t="str">
        <x:v>RS-01625</x:v>
      </x:c>
      <x:c r="C3174" s="9" t="n">
        <x:v>1</x:v>
      </x:c>
      <x:c r="D3174" s="8" t="n">
        <x:v>45383</x:v>
      </x:c>
      <x:c r="E3174" s="9" t="n">
        <x:v>1361250</x:v>
      </x:c>
      <x:c r="F3174" s="9" t="n">
        <x:v>1361250</x:v>
      </x:c>
    </x:row>
    <x:row r="3175" ht="34" customHeight="1">
      <x:c r="A3175" s="4" t="str">
        <x:v>RS-01625-I2</x:v>
      </x:c>
      <x:c r="B3175" s="4" t="str">
        <x:v>RS-01625</x:v>
      </x:c>
      <x:c r="C3175" s="9" t="n">
        <x:v>2</x:v>
      </x:c>
      <x:c r="D3175" s="8" t="n">
        <x:v>45413</x:v>
      </x:c>
      <x:c r="E3175" s="9" t="n">
        <x:v>1361250</x:v>
      </x:c>
      <x:c r="F3175" s="9" t="n">
        <x:v>1361250</x:v>
      </x:c>
    </x:row>
    <x:row r="3176" ht="34" customHeight="1">
      <x:c r="A3176" s="4" t="str">
        <x:v>RS-01625-I3</x:v>
      </x:c>
      <x:c r="B3176" s="4" t="str">
        <x:v>RS-01625</x:v>
      </x:c>
      <x:c r="C3176" s="9" t="n">
        <x:v>3</x:v>
      </x:c>
      <x:c r="D3176" s="8" t="n">
        <x:v>45443</x:v>
      </x:c>
      <x:c r="E3176" s="9" t="n">
        <x:v>1361250</x:v>
      </x:c>
      <x:c r="F3176" s="9" t="n">
        <x:v>0</x:v>
      </x:c>
    </x:row>
    <x:row r="3177" ht="34" customHeight="1">
      <x:c r="A3177" s="4" t="str">
        <x:v>RS-01625-I4</x:v>
      </x:c>
      <x:c r="B3177" s="4" t="str">
        <x:v>RS-01625</x:v>
      </x:c>
      <x:c r="C3177" s="9" t="n">
        <x:v>4</x:v>
      </x:c>
      <x:c r="D3177" s="8" t="n">
        <x:v>45473</x:v>
      </x:c>
      <x:c r="E3177" s="9" t="n">
        <x:v>1361250</x:v>
      </x:c>
      <x:c r="F3177" s="9" t="n">
        <x:v>0</x:v>
      </x:c>
    </x:row>
    <x:row r="3178" ht="34" customHeight="1">
      <x:c r="A3178" s="4" t="str">
        <x:v>RS-01627-I1</x:v>
      </x:c>
      <x:c r="B3178" s="4" t="str">
        <x:v>RS-01627</x:v>
      </x:c>
      <x:c r="C3178" s="9" t="n">
        <x:v>1</x:v>
      </x:c>
      <x:c r="D3178" s="8" t="n">
        <x:v>45385</x:v>
      </x:c>
      <x:c r="E3178" s="9" t="n">
        <x:v>2222000</x:v>
      </x:c>
      <x:c r="F3178" s="9" t="n">
        <x:v>2222000</x:v>
      </x:c>
    </x:row>
    <x:row r="3179" ht="34" customHeight="1">
      <x:c r="A3179" s="4" t="str">
        <x:v>RS-01627-I2</x:v>
      </x:c>
      <x:c r="B3179" s="4" t="str">
        <x:v>RS-01627</x:v>
      </x:c>
      <x:c r="C3179" s="9" t="n">
        <x:v>2</x:v>
      </x:c>
      <x:c r="D3179" s="8" t="n">
        <x:v>45415</x:v>
      </x:c>
      <x:c r="E3179" s="9" t="n">
        <x:v>2222000</x:v>
      </x:c>
      <x:c r="F3179" s="9" t="n">
        <x:v>2222000</x:v>
      </x:c>
    </x:row>
    <x:row r="3180" ht="34" customHeight="1">
      <x:c r="A3180" s="4" t="str">
        <x:v>RS-01627-I3</x:v>
      </x:c>
      <x:c r="B3180" s="4" t="str">
        <x:v>RS-01627</x:v>
      </x:c>
      <x:c r="C3180" s="9" t="n">
        <x:v>3</x:v>
      </x:c>
      <x:c r="D3180" s="8" t="n">
        <x:v>45445</x:v>
      </x:c>
      <x:c r="E3180" s="9" t="n">
        <x:v>2222000</x:v>
      </x:c>
      <x:c r="F3180" s="9" t="n">
        <x:v>0</x:v>
      </x:c>
    </x:row>
    <x:row r="3181" ht="34" customHeight="1">
      <x:c r="A3181" s="4" t="str">
        <x:v>RS-01627-I4</x:v>
      </x:c>
      <x:c r="B3181" s="4" t="str">
        <x:v>RS-01627</x:v>
      </x:c>
      <x:c r="C3181" s="9" t="n">
        <x:v>4</x:v>
      </x:c>
      <x:c r="D3181" s="8" t="n">
        <x:v>45475</x:v>
      </x:c>
      <x:c r="E3181" s="9" t="n">
        <x:v>2222000</x:v>
      </x:c>
      <x:c r="F3181" s="9" t="n">
        <x:v>0</x:v>
      </x:c>
    </x:row>
    <x:row r="3182" ht="34" customHeight="1">
      <x:c r="A3182" s="4" t="str">
        <x:v>RS-01628-I1</x:v>
      </x:c>
      <x:c r="B3182" s="4" t="str">
        <x:v>RS-01628</x:v>
      </x:c>
      <x:c r="C3182" s="9" t="n">
        <x:v>1</x:v>
      </x:c>
      <x:c r="D3182" s="8" t="n">
        <x:v>45386</x:v>
      </x:c>
      <x:c r="E3182" s="9" t="n">
        <x:v>4821250</x:v>
      </x:c>
      <x:c r="F3182" s="9" t="n">
        <x:v>4821250</x:v>
      </x:c>
    </x:row>
    <x:row r="3183" ht="34" customHeight="1">
      <x:c r="A3183" s="4" t="str">
        <x:v>RS-01628-I2</x:v>
      </x:c>
      <x:c r="B3183" s="4" t="str">
        <x:v>RS-01628</x:v>
      </x:c>
      <x:c r="C3183" s="9" t="n">
        <x:v>2</x:v>
      </x:c>
      <x:c r="D3183" s="8" t="n">
        <x:v>45416</x:v>
      </x:c>
      <x:c r="E3183" s="9" t="n">
        <x:v>4821250</x:v>
      </x:c>
      <x:c r="F3183" s="9" t="n">
        <x:v>4821250</x:v>
      </x:c>
    </x:row>
    <x:row r="3184" ht="34" customHeight="1">
      <x:c r="A3184" s="4" t="str">
        <x:v>RS-01628-I3</x:v>
      </x:c>
      <x:c r="B3184" s="4" t="str">
        <x:v>RS-01628</x:v>
      </x:c>
      <x:c r="C3184" s="9" t="n">
        <x:v>3</x:v>
      </x:c>
      <x:c r="D3184" s="8" t="n">
        <x:v>45446</x:v>
      </x:c>
      <x:c r="E3184" s="9" t="n">
        <x:v>4821250</x:v>
      </x:c>
      <x:c r="F3184" s="9" t="n">
        <x:v>4821250</x:v>
      </x:c>
    </x:row>
    <x:row r="3185" ht="34" customHeight="1">
      <x:c r="A3185" s="4" t="str">
        <x:v>RS-01628-I4</x:v>
      </x:c>
      <x:c r="B3185" s="4" t="str">
        <x:v>RS-01628</x:v>
      </x:c>
      <x:c r="C3185" s="9" t="n">
        <x:v>4</x:v>
      </x:c>
      <x:c r="D3185" s="8" t="n">
        <x:v>45476</x:v>
      </x:c>
      <x:c r="E3185" s="9" t="n">
        <x:v>4821250</x:v>
      </x:c>
      <x:c r="F3185" s="9" t="n">
        <x:v>4821250</x:v>
      </x:c>
    </x:row>
    <x:row r="3186" ht="34" customHeight="1">
      <x:c r="A3186" s="4" t="str">
        <x:v>RS-01629-I1</x:v>
      </x:c>
      <x:c r="B3186" s="4" t="str">
        <x:v>RS-01629</x:v>
      </x:c>
      <x:c r="C3186" s="9" t="n">
        <x:v>1</x:v>
      </x:c>
      <x:c r="D3186" s="8" t="n">
        <x:v>45387</x:v>
      </x:c>
      <x:c r="E3186" s="9" t="n">
        <x:v>1068750</x:v>
      </x:c>
      <x:c r="F3186" s="9" t="n">
        <x:v>1068750</x:v>
      </x:c>
    </x:row>
    <x:row r="3187" ht="34" customHeight="1">
      <x:c r="A3187" s="4" t="str">
        <x:v>RS-01629-I2</x:v>
      </x:c>
      <x:c r="B3187" s="4" t="str">
        <x:v>RS-01629</x:v>
      </x:c>
      <x:c r="C3187" s="9" t="n">
        <x:v>2</x:v>
      </x:c>
      <x:c r="D3187" s="8" t="n">
        <x:v>45417</x:v>
      </x:c>
      <x:c r="E3187" s="9" t="n">
        <x:v>1068750</x:v>
      </x:c>
      <x:c r="F3187" s="9" t="n">
        <x:v>0</x:v>
      </x:c>
    </x:row>
    <x:row r="3188" ht="34" customHeight="1">
      <x:c r="A3188" s="4" t="str">
        <x:v>RS-01629-I3</x:v>
      </x:c>
      <x:c r="B3188" s="4" t="str">
        <x:v>RS-01629</x:v>
      </x:c>
      <x:c r="C3188" s="9" t="n">
        <x:v>3</x:v>
      </x:c>
      <x:c r="D3188" s="8" t="n">
        <x:v>45447</x:v>
      </x:c>
      <x:c r="E3188" s="9" t="n">
        <x:v>1068750</x:v>
      </x:c>
      <x:c r="F3188" s="9" t="n">
        <x:v>0</x:v>
      </x:c>
    </x:row>
    <x:row r="3189" ht="34" customHeight="1">
      <x:c r="A3189" s="4" t="str">
        <x:v>RS-01629-I4</x:v>
      </x:c>
      <x:c r="B3189" s="4" t="str">
        <x:v>RS-01629</x:v>
      </x:c>
      <x:c r="C3189" s="9" t="n">
        <x:v>4</x:v>
      </x:c>
      <x:c r="D3189" s="8" t="n">
        <x:v>45477</x:v>
      </x:c>
      <x:c r="E3189" s="9" t="n">
        <x:v>1068750</x:v>
      </x:c>
      <x:c r="F3189" s="9" t="n">
        <x:v>0</x:v>
      </x:c>
    </x:row>
    <x:row r="3190" ht="34" customHeight="1">
      <x:c r="A3190" s="4" t="str">
        <x:v>RS-01631-I1</x:v>
      </x:c>
      <x:c r="B3190" s="4" t="str">
        <x:v>RS-01631</x:v>
      </x:c>
      <x:c r="C3190" s="9" t="n">
        <x:v>1</x:v>
      </x:c>
      <x:c r="D3190" s="8" t="n">
        <x:v>45389</x:v>
      </x:c>
      <x:c r="E3190" s="9" t="n">
        <x:v>3552000</x:v>
      </x:c>
      <x:c r="F3190" s="9" t="n">
        <x:v>3552000</x:v>
      </x:c>
    </x:row>
    <x:row r="3191" ht="34" customHeight="1">
      <x:c r="A3191" s="4" t="str">
        <x:v>RS-01631-I2</x:v>
      </x:c>
      <x:c r="B3191" s="4" t="str">
        <x:v>RS-01631</x:v>
      </x:c>
      <x:c r="C3191" s="9" t="n">
        <x:v>2</x:v>
      </x:c>
      <x:c r="D3191" s="8" t="n">
        <x:v>45419</x:v>
      </x:c>
      <x:c r="E3191" s="9" t="n">
        <x:v>3552000</x:v>
      </x:c>
      <x:c r="F3191" s="9" t="n">
        <x:v>0</x:v>
      </x:c>
    </x:row>
    <x:row r="3192" ht="34" customHeight="1">
      <x:c r="A3192" s="4" t="str">
        <x:v>RS-01631-I3</x:v>
      </x:c>
      <x:c r="B3192" s="4" t="str">
        <x:v>RS-01631</x:v>
      </x:c>
      <x:c r="C3192" s="9" t="n">
        <x:v>3</x:v>
      </x:c>
      <x:c r="D3192" s="8" t="n">
        <x:v>45449</x:v>
      </x:c>
      <x:c r="E3192" s="9" t="n">
        <x:v>3552000</x:v>
      </x:c>
      <x:c r="F3192" s="9" t="n">
        <x:v>0</x:v>
      </x:c>
    </x:row>
    <x:row r="3193" ht="34" customHeight="1">
      <x:c r="A3193" s="4" t="str">
        <x:v>RS-01631-I4</x:v>
      </x:c>
      <x:c r="B3193" s="4" t="str">
        <x:v>RS-01631</x:v>
      </x:c>
      <x:c r="C3193" s="9" t="n">
        <x:v>4</x:v>
      </x:c>
      <x:c r="D3193" s="8" t="n">
        <x:v>45479</x:v>
      </x:c>
      <x:c r="E3193" s="9" t="n">
        <x:v>3552000</x:v>
      </x:c>
      <x:c r="F3193" s="9" t="n">
        <x:v>0</x:v>
      </x:c>
    </x:row>
    <x:row r="3194" ht="34" customHeight="1">
      <x:c r="A3194" s="4" t="str">
        <x:v>RS-01636-I1</x:v>
      </x:c>
      <x:c r="B3194" s="4" t="str">
        <x:v>RS-01636</x:v>
      </x:c>
      <x:c r="C3194" s="9" t="n">
        <x:v>1</x:v>
      </x:c>
      <x:c r="D3194" s="8" t="n">
        <x:v>45394</x:v>
      </x:c>
      <x:c r="E3194" s="9" t="n">
        <x:v>2376000</x:v>
      </x:c>
      <x:c r="F3194" s="9" t="n">
        <x:v>2376000</x:v>
      </x:c>
    </x:row>
    <x:row r="3195" ht="34" customHeight="1">
      <x:c r="A3195" s="4" t="str">
        <x:v>RS-01636-I2</x:v>
      </x:c>
      <x:c r="B3195" s="4" t="str">
        <x:v>RS-01636</x:v>
      </x:c>
      <x:c r="C3195" s="9" t="n">
        <x:v>2</x:v>
      </x:c>
      <x:c r="D3195" s="8" t="n">
        <x:v>45424</x:v>
      </x:c>
      <x:c r="E3195" s="9" t="n">
        <x:v>2376000</x:v>
      </x:c>
      <x:c r="F3195" s="9" t="n">
        <x:v>2376000</x:v>
      </x:c>
    </x:row>
    <x:row r="3196" ht="34" customHeight="1">
      <x:c r="A3196" s="4" t="str">
        <x:v>RS-01636-I3</x:v>
      </x:c>
      <x:c r="B3196" s="4" t="str">
        <x:v>RS-01636</x:v>
      </x:c>
      <x:c r="C3196" s="9" t="n">
        <x:v>3</x:v>
      </x:c>
      <x:c r="D3196" s="8" t="n">
        <x:v>45454</x:v>
      </x:c>
      <x:c r="E3196" s="9" t="n">
        <x:v>2376000</x:v>
      </x:c>
      <x:c r="F3196" s="9" t="n">
        <x:v>0</x:v>
      </x:c>
    </x:row>
    <x:row r="3197" ht="34" customHeight="1">
      <x:c r="A3197" s="4" t="str">
        <x:v>RS-01636-I4</x:v>
      </x:c>
      <x:c r="B3197" s="4" t="str">
        <x:v>RS-01636</x:v>
      </x:c>
      <x:c r="C3197" s="9" t="n">
        <x:v>4</x:v>
      </x:c>
      <x:c r="D3197" s="8" t="n">
        <x:v>45484</x:v>
      </x:c>
      <x:c r="E3197" s="9" t="n">
        <x:v>2376000</x:v>
      </x:c>
      <x:c r="F3197" s="9" t="n">
        <x:v>0</x:v>
      </x:c>
    </x:row>
    <x:row r="3198" ht="34" customHeight="1">
      <x:c r="A3198" s="4" t="str">
        <x:v>RS-01638-I1</x:v>
      </x:c>
      <x:c r="B3198" s="4" t="str">
        <x:v>RS-01638</x:v>
      </x:c>
      <x:c r="C3198" s="9" t="n">
        <x:v>1</x:v>
      </x:c>
      <x:c r="D3198" s="8" t="n">
        <x:v>45396</x:v>
      </x:c>
      <x:c r="E3198" s="9" t="n">
        <x:v>3807250</x:v>
      </x:c>
      <x:c r="F3198" s="9" t="n">
        <x:v>3807250</x:v>
      </x:c>
    </x:row>
    <x:row r="3199" ht="34" customHeight="1">
      <x:c r="A3199" s="4" t="str">
        <x:v>RS-01638-I2</x:v>
      </x:c>
      <x:c r="B3199" s="4" t="str">
        <x:v>RS-01638</x:v>
      </x:c>
      <x:c r="C3199" s="9" t="n">
        <x:v>2</x:v>
      </x:c>
      <x:c r="D3199" s="8" t="n">
        <x:v>45426</x:v>
      </x:c>
      <x:c r="E3199" s="9" t="n">
        <x:v>3807250</x:v>
      </x:c>
      <x:c r="F3199" s="9" t="n">
        <x:v>0</x:v>
      </x:c>
    </x:row>
    <x:row r="3200" ht="34" customHeight="1">
      <x:c r="A3200" s="4" t="str">
        <x:v>RS-01638-I3</x:v>
      </x:c>
      <x:c r="B3200" s="4" t="str">
        <x:v>RS-01638</x:v>
      </x:c>
      <x:c r="C3200" s="9" t="n">
        <x:v>3</x:v>
      </x:c>
      <x:c r="D3200" s="8" t="n">
        <x:v>45456</x:v>
      </x:c>
      <x:c r="E3200" s="9" t="n">
        <x:v>3807250</x:v>
      </x:c>
      <x:c r="F3200" s="9" t="n">
        <x:v>0</x:v>
      </x:c>
    </x:row>
    <x:row r="3201" ht="34" customHeight="1">
      <x:c r="A3201" s="4" t="str">
        <x:v>RS-01638-I4</x:v>
      </x:c>
      <x:c r="B3201" s="4" t="str">
        <x:v>RS-01638</x:v>
      </x:c>
      <x:c r="C3201" s="9" t="n">
        <x:v>4</x:v>
      </x:c>
      <x:c r="D3201" s="8" t="n">
        <x:v>45486</x:v>
      </x:c>
      <x:c r="E3201" s="9" t="n">
        <x:v>3807250</x:v>
      </x:c>
      <x:c r="F3201" s="9" t="n">
        <x:v>0</x:v>
      </x:c>
    </x:row>
    <x:row r="3202" ht="34" customHeight="1">
      <x:c r="A3202" s="4" t="str">
        <x:v>RS-01639-I1</x:v>
      </x:c>
      <x:c r="B3202" s="4" t="str">
        <x:v>RS-01639</x:v>
      </x:c>
      <x:c r="C3202" s="9" t="n">
        <x:v>1</x:v>
      </x:c>
      <x:c r="D3202" s="8" t="n">
        <x:v>45397</x:v>
      </x:c>
      <x:c r="E3202" s="9" t="n">
        <x:v>878750</x:v>
      </x:c>
      <x:c r="F3202" s="9" t="n">
        <x:v>878750</x:v>
      </x:c>
    </x:row>
    <x:row r="3203" ht="34" customHeight="1">
      <x:c r="A3203" s="4" t="str">
        <x:v>RS-01639-I2</x:v>
      </x:c>
      <x:c r="B3203" s="4" t="str">
        <x:v>RS-01639</x:v>
      </x:c>
      <x:c r="C3203" s="9" t="n">
        <x:v>2</x:v>
      </x:c>
      <x:c r="D3203" s="8" t="n">
        <x:v>45427</x:v>
      </x:c>
      <x:c r="E3203" s="9" t="n">
        <x:v>878750</x:v>
      </x:c>
      <x:c r="F3203" s="9" t="n">
        <x:v>0</x:v>
      </x:c>
    </x:row>
    <x:row r="3204" ht="34" customHeight="1">
      <x:c r="A3204" s="4" t="str">
        <x:v>RS-01639-I3</x:v>
      </x:c>
      <x:c r="B3204" s="4" t="str">
        <x:v>RS-01639</x:v>
      </x:c>
      <x:c r="C3204" s="9" t="n">
        <x:v>3</x:v>
      </x:c>
      <x:c r="D3204" s="8" t="n">
        <x:v>45457</x:v>
      </x:c>
      <x:c r="E3204" s="9" t="n">
        <x:v>878750</x:v>
      </x:c>
      <x:c r="F3204" s="9" t="n">
        <x:v>0</x:v>
      </x:c>
    </x:row>
    <x:row r="3205" ht="34" customHeight="1">
      <x:c r="A3205" s="4" t="str">
        <x:v>RS-01639-I4</x:v>
      </x:c>
      <x:c r="B3205" s="4" t="str">
        <x:v>RS-01639</x:v>
      </x:c>
      <x:c r="C3205" s="9" t="n">
        <x:v>4</x:v>
      </x:c>
      <x:c r="D3205" s="8" t="n">
        <x:v>45487</x:v>
      </x:c>
      <x:c r="E3205" s="9" t="n">
        <x:v>878750</x:v>
      </x:c>
      <x:c r="F3205" s="9" t="n">
        <x:v>0</x:v>
      </x:c>
    </x:row>
    <x:row r="3206" ht="34" customHeight="1">
      <x:c r="A3206" s="4" t="str">
        <x:v>RS-01640-I1</x:v>
      </x:c>
      <x:c r="B3206" s="4" t="str">
        <x:v>RS-01640</x:v>
      </x:c>
      <x:c r="C3206" s="9" t="n">
        <x:v>1</x:v>
      </x:c>
      <x:c r="D3206" s="8" t="n">
        <x:v>45398</x:v>
      </x:c>
      <x:c r="E3206" s="9" t="n">
        <x:v>878750</x:v>
      </x:c>
      <x:c r="F3206" s="9" t="n">
        <x:v>878750</x:v>
      </x:c>
    </x:row>
    <x:row r="3207" ht="34" customHeight="1">
      <x:c r="A3207" s="4" t="str">
        <x:v>RS-01640-I2</x:v>
      </x:c>
      <x:c r="B3207" s="4" t="str">
        <x:v>RS-01640</x:v>
      </x:c>
      <x:c r="C3207" s="9" t="n">
        <x:v>2</x:v>
      </x:c>
      <x:c r="D3207" s="8" t="n">
        <x:v>45428</x:v>
      </x:c>
      <x:c r="E3207" s="9" t="n">
        <x:v>878750</x:v>
      </x:c>
      <x:c r="F3207" s="9" t="n">
        <x:v>878750</x:v>
      </x:c>
    </x:row>
    <x:row r="3208" ht="34" customHeight="1">
      <x:c r="A3208" s="4" t="str">
        <x:v>RS-01640-I3</x:v>
      </x:c>
      <x:c r="B3208" s="4" t="str">
        <x:v>RS-01640</x:v>
      </x:c>
      <x:c r="C3208" s="9" t="n">
        <x:v>3</x:v>
      </x:c>
      <x:c r="D3208" s="8" t="n">
        <x:v>45458</x:v>
      </x:c>
      <x:c r="E3208" s="9" t="n">
        <x:v>878750</x:v>
      </x:c>
      <x:c r="F3208" s="9" t="n">
        <x:v>0</x:v>
      </x:c>
    </x:row>
    <x:row r="3209" ht="34" customHeight="1">
      <x:c r="A3209" s="4" t="str">
        <x:v>RS-01640-I4</x:v>
      </x:c>
      <x:c r="B3209" s="4" t="str">
        <x:v>RS-01640</x:v>
      </x:c>
      <x:c r="C3209" s="9" t="n">
        <x:v>4</x:v>
      </x:c>
      <x:c r="D3209" s="8" t="n">
        <x:v>45488</x:v>
      </x:c>
      <x:c r="E3209" s="9" t="n">
        <x:v>878750</x:v>
      </x:c>
      <x:c r="F3209" s="9" t="n">
        <x:v>0</x:v>
      </x:c>
    </x:row>
    <x:row r="3210" ht="34" customHeight="1">
      <x:c r="A3210" s="4" t="str">
        <x:v>RS-01642-I1</x:v>
      </x:c>
      <x:c r="B3210" s="4" t="str">
        <x:v>RS-01642</x:v>
      </x:c>
      <x:c r="C3210" s="9" t="n">
        <x:v>1</x:v>
      </x:c>
      <x:c r="D3210" s="8" t="n">
        <x:v>45400</x:v>
      </x:c>
      <x:c r="E3210" s="9" t="n">
        <x:v>1825000</x:v>
      </x:c>
      <x:c r="F3210" s="9" t="n">
        <x:v>1825000</x:v>
      </x:c>
    </x:row>
    <x:row r="3211" ht="34" customHeight="1">
      <x:c r="A3211" s="4" t="str">
        <x:v>RS-01642-I2</x:v>
      </x:c>
      <x:c r="B3211" s="4" t="str">
        <x:v>RS-01642</x:v>
      </x:c>
      <x:c r="C3211" s="9" t="n">
        <x:v>2</x:v>
      </x:c>
      <x:c r="D3211" s="8" t="n">
        <x:v>45430</x:v>
      </x:c>
      <x:c r="E3211" s="9" t="n">
        <x:v>1825000</x:v>
      </x:c>
      <x:c r="F3211" s="9" t="n">
        <x:v>0</x:v>
      </x:c>
    </x:row>
    <x:row r="3212" ht="34" customHeight="1">
      <x:c r="A3212" s="4" t="str">
        <x:v>RS-01642-I3</x:v>
      </x:c>
      <x:c r="B3212" s="4" t="str">
        <x:v>RS-01642</x:v>
      </x:c>
      <x:c r="C3212" s="9" t="n">
        <x:v>3</x:v>
      </x:c>
      <x:c r="D3212" s="8" t="n">
        <x:v>45460</x:v>
      </x:c>
      <x:c r="E3212" s="9" t="n">
        <x:v>1825000</x:v>
      </x:c>
      <x:c r="F3212" s="9" t="n">
        <x:v>0</x:v>
      </x:c>
    </x:row>
    <x:row r="3213" ht="34" customHeight="1">
      <x:c r="A3213" s="4" t="str">
        <x:v>RS-01642-I4</x:v>
      </x:c>
      <x:c r="B3213" s="4" t="str">
        <x:v>RS-01642</x:v>
      </x:c>
      <x:c r="C3213" s="9" t="n">
        <x:v>4</x:v>
      </x:c>
      <x:c r="D3213" s="8" t="n">
        <x:v>45490</x:v>
      </x:c>
      <x:c r="E3213" s="9" t="n">
        <x:v>1825000</x:v>
      </x:c>
      <x:c r="F3213" s="9" t="n">
        <x:v>0</x:v>
      </x:c>
    </x:row>
    <x:row r="3214" ht="34" customHeight="1">
      <x:c r="A3214" s="4" t="str">
        <x:v>RS-01644-I1</x:v>
      </x:c>
      <x:c r="B3214" s="4" t="str">
        <x:v>RS-01644</x:v>
      </x:c>
      <x:c r="C3214" s="9" t="n">
        <x:v>1</x:v>
      </x:c>
      <x:c r="D3214" s="8" t="n">
        <x:v>45402</x:v>
      </x:c>
      <x:c r="E3214" s="9" t="n">
        <x:v>3301250</x:v>
      </x:c>
      <x:c r="F3214" s="9" t="n">
        <x:v>3301250</x:v>
      </x:c>
    </x:row>
    <x:row r="3215" ht="34" customHeight="1">
      <x:c r="A3215" s="4" t="str">
        <x:v>RS-01644-I2</x:v>
      </x:c>
      <x:c r="B3215" s="4" t="str">
        <x:v>RS-01644</x:v>
      </x:c>
      <x:c r="C3215" s="9" t="n">
        <x:v>2</x:v>
      </x:c>
      <x:c r="D3215" s="8" t="n">
        <x:v>45432</x:v>
      </x:c>
      <x:c r="E3215" s="9" t="n">
        <x:v>3301250</x:v>
      </x:c>
      <x:c r="F3215" s="9" t="n">
        <x:v>3301250</x:v>
      </x:c>
    </x:row>
    <x:row r="3216" ht="34" customHeight="1">
      <x:c r="A3216" s="4" t="str">
        <x:v>RS-01644-I3</x:v>
      </x:c>
      <x:c r="B3216" s="4" t="str">
        <x:v>RS-01644</x:v>
      </x:c>
      <x:c r="C3216" s="9" t="n">
        <x:v>3</x:v>
      </x:c>
      <x:c r="D3216" s="8" t="n">
        <x:v>45462</x:v>
      </x:c>
      <x:c r="E3216" s="9" t="n">
        <x:v>3301250</x:v>
      </x:c>
      <x:c r="F3216" s="9" t="n">
        <x:v>3301250</x:v>
      </x:c>
    </x:row>
    <x:row r="3217" ht="34" customHeight="1">
      <x:c r="A3217" s="4" t="str">
        <x:v>RS-01644-I4</x:v>
      </x:c>
      <x:c r="B3217" s="4" t="str">
        <x:v>RS-01644</x:v>
      </x:c>
      <x:c r="C3217" s="9" t="n">
        <x:v>4</x:v>
      </x:c>
      <x:c r="D3217" s="8" t="n">
        <x:v>45492</x:v>
      </x:c>
      <x:c r="E3217" s="9" t="n">
        <x:v>3301250</x:v>
      </x:c>
      <x:c r="F3217" s="9" t="n">
        <x:v>3301250</x:v>
      </x:c>
    </x:row>
    <x:row r="3218" ht="34" customHeight="1">
      <x:c r="A3218" s="4" t="str">
        <x:v>RS-01646-I1</x:v>
      </x:c>
      <x:c r="B3218" s="4" t="str">
        <x:v>RS-01646</x:v>
      </x:c>
      <x:c r="C3218" s="9" t="n">
        <x:v>1</x:v>
      </x:c>
      <x:c r="D3218" s="8" t="n">
        <x:v>45404</x:v>
      </x:c>
      <x:c r="E3218" s="9" t="n">
        <x:v>1534500</x:v>
      </x:c>
      <x:c r="F3218" s="9" t="n">
        <x:v>1534500</x:v>
      </x:c>
    </x:row>
    <x:row r="3219" ht="34" customHeight="1">
      <x:c r="A3219" s="4" t="str">
        <x:v>RS-01646-I2</x:v>
      </x:c>
      <x:c r="B3219" s="4" t="str">
        <x:v>RS-01646</x:v>
      </x:c>
      <x:c r="C3219" s="9" t="n">
        <x:v>2</x:v>
      </x:c>
      <x:c r="D3219" s="8" t="n">
        <x:v>45434</x:v>
      </x:c>
      <x:c r="E3219" s="9" t="n">
        <x:v>1534500</x:v>
      </x:c>
      <x:c r="F3219" s="9" t="n">
        <x:v>1534500</x:v>
      </x:c>
    </x:row>
    <x:row r="3220" ht="34" customHeight="1">
      <x:c r="A3220" s="4" t="str">
        <x:v>RS-01646-I3</x:v>
      </x:c>
      <x:c r="B3220" s="4" t="str">
        <x:v>RS-01646</x:v>
      </x:c>
      <x:c r="C3220" s="9" t="n">
        <x:v>3</x:v>
      </x:c>
      <x:c r="D3220" s="8" t="n">
        <x:v>45464</x:v>
      </x:c>
      <x:c r="E3220" s="9" t="n">
        <x:v>1534500</x:v>
      </x:c>
      <x:c r="F3220" s="9" t="n">
        <x:v>1534500</x:v>
      </x:c>
    </x:row>
    <x:row r="3221" ht="34" customHeight="1">
      <x:c r="A3221" s="4" t="str">
        <x:v>RS-01646-I4</x:v>
      </x:c>
      <x:c r="B3221" s="4" t="str">
        <x:v>RS-01646</x:v>
      </x:c>
      <x:c r="C3221" s="9" t="n">
        <x:v>4</x:v>
      </x:c>
      <x:c r="D3221" s="8" t="n">
        <x:v>45494</x:v>
      </x:c>
      <x:c r="E3221" s="9" t="n">
        <x:v>1534500</x:v>
      </x:c>
      <x:c r="F3221" s="9" t="n">
        <x:v>1534500</x:v>
      </x:c>
    </x:row>
    <x:row r="3222" ht="34" customHeight="1">
      <x:c r="A3222" s="4" t="str">
        <x:v>RS-01651-I1</x:v>
      </x:c>
      <x:c r="B3222" s="4" t="str">
        <x:v>RS-01651</x:v>
      </x:c>
      <x:c r="C3222" s="9" t="n">
        <x:v>1</x:v>
      </x:c>
      <x:c r="D3222" s="8" t="n">
        <x:v>45409</x:v>
      </x:c>
      <x:c r="E3222" s="9" t="n">
        <x:v>2112000</x:v>
      </x:c>
      <x:c r="F3222" s="9" t="n">
        <x:v>2112000</x:v>
      </x:c>
    </x:row>
    <x:row r="3223" ht="34" customHeight="1">
      <x:c r="A3223" s="4" t="str">
        <x:v>RS-01651-I2</x:v>
      </x:c>
      <x:c r="B3223" s="4" t="str">
        <x:v>RS-01651</x:v>
      </x:c>
      <x:c r="C3223" s="9" t="n">
        <x:v>2</x:v>
      </x:c>
      <x:c r="D3223" s="8" t="n">
        <x:v>45439</x:v>
      </x:c>
      <x:c r="E3223" s="9" t="n">
        <x:v>2112000</x:v>
      </x:c>
      <x:c r="F3223" s="9" t="n">
        <x:v>2112000</x:v>
      </x:c>
    </x:row>
    <x:row r="3224" ht="34" customHeight="1">
      <x:c r="A3224" s="4" t="str">
        <x:v>RS-01651-I3</x:v>
      </x:c>
      <x:c r="B3224" s="4" t="str">
        <x:v>RS-01651</x:v>
      </x:c>
      <x:c r="C3224" s="9" t="n">
        <x:v>3</x:v>
      </x:c>
      <x:c r="D3224" s="8" t="n">
        <x:v>45469</x:v>
      </x:c>
      <x:c r="E3224" s="9" t="n">
        <x:v>2112000</x:v>
      </x:c>
      <x:c r="F3224" s="9" t="n">
        <x:v>0</x:v>
      </x:c>
    </x:row>
    <x:row r="3225" ht="34" customHeight="1">
      <x:c r="A3225" s="4" t="str">
        <x:v>RS-01651-I4</x:v>
      </x:c>
      <x:c r="B3225" s="4" t="str">
        <x:v>RS-01651</x:v>
      </x:c>
      <x:c r="C3225" s="9" t="n">
        <x:v>4</x:v>
      </x:c>
      <x:c r="D3225" s="8" t="n">
        <x:v>45499</x:v>
      </x:c>
      <x:c r="E3225" s="9" t="n">
        <x:v>2112000</x:v>
      </x:c>
      <x:c r="F3225" s="9" t="n">
        <x:v>0</x:v>
      </x:c>
    </x:row>
    <x:row r="3226" ht="34" customHeight="1">
      <x:c r="A3226" s="4" t="str">
        <x:v>RS-01652-I1</x:v>
      </x:c>
      <x:c r="B3226" s="4" t="str">
        <x:v>RS-01652</x:v>
      </x:c>
      <x:c r="C3226" s="9" t="n">
        <x:v>1</x:v>
      </x:c>
      <x:c r="D3226" s="8" t="n">
        <x:v>45410</x:v>
      </x:c>
      <x:c r="E3226" s="9" t="n">
        <x:v>1755000</x:v>
      </x:c>
      <x:c r="F3226" s="9" t="n">
        <x:v>1755000</x:v>
      </x:c>
    </x:row>
    <x:row r="3227" ht="34" customHeight="1">
      <x:c r="A3227" s="4" t="str">
        <x:v>RS-01652-I2</x:v>
      </x:c>
      <x:c r="B3227" s="4" t="str">
        <x:v>RS-01652</x:v>
      </x:c>
      <x:c r="C3227" s="9" t="n">
        <x:v>2</x:v>
      </x:c>
      <x:c r="D3227" s="8" t="n">
        <x:v>45440</x:v>
      </x:c>
      <x:c r="E3227" s="9" t="n">
        <x:v>1755000</x:v>
      </x:c>
      <x:c r="F3227" s="9" t="n">
        <x:v>1755000</x:v>
      </x:c>
    </x:row>
    <x:row r="3228" ht="34" customHeight="1">
      <x:c r="A3228" s="4" t="str">
        <x:v>RS-01652-I3</x:v>
      </x:c>
      <x:c r="B3228" s="4" t="str">
        <x:v>RS-01652</x:v>
      </x:c>
      <x:c r="C3228" s="9" t="n">
        <x:v>3</x:v>
      </x:c>
      <x:c r="D3228" s="8" t="n">
        <x:v>45470</x:v>
      </x:c>
      <x:c r="E3228" s="9" t="n">
        <x:v>1755000</x:v>
      </x:c>
      <x:c r="F3228" s="9" t="n">
        <x:v>0</x:v>
      </x:c>
    </x:row>
    <x:row r="3229" ht="34" customHeight="1">
      <x:c r="A3229" s="4" t="str">
        <x:v>RS-01652-I4</x:v>
      </x:c>
      <x:c r="B3229" s="4" t="str">
        <x:v>RS-01652</x:v>
      </x:c>
      <x:c r="C3229" s="9" t="n">
        <x:v>4</x:v>
      </x:c>
      <x:c r="D3229" s="8" t="n">
        <x:v>45500</x:v>
      </x:c>
      <x:c r="E3229" s="9" t="n">
        <x:v>1755000</x:v>
      </x:c>
      <x:c r="F3229" s="9" t="n">
        <x:v>0</x:v>
      </x:c>
    </x:row>
    <x:row r="3230" ht="34" customHeight="1">
      <x:c r="A3230" s="4" t="str">
        <x:v>RS-01653-I1</x:v>
      </x:c>
      <x:c r="B3230" s="4" t="str">
        <x:v>RS-01653</x:v>
      </x:c>
      <x:c r="C3230" s="9" t="n">
        <x:v>1</x:v>
      </x:c>
      <x:c r="D3230" s="8" t="n">
        <x:v>45383</x:v>
      </x:c>
      <x:c r="E3230" s="9" t="n">
        <x:v>2278500</x:v>
      </x:c>
      <x:c r="F3230" s="9" t="n">
        <x:v>2278500</x:v>
      </x:c>
    </x:row>
    <x:row r="3231" ht="34" customHeight="1">
      <x:c r="A3231" s="4" t="str">
        <x:v>RS-01653-I2</x:v>
      </x:c>
      <x:c r="B3231" s="4" t="str">
        <x:v>RS-01653</x:v>
      </x:c>
      <x:c r="C3231" s="9" t="n">
        <x:v>2</x:v>
      </x:c>
      <x:c r="D3231" s="8" t="n">
        <x:v>45413</x:v>
      </x:c>
      <x:c r="E3231" s="9" t="n">
        <x:v>2278500</x:v>
      </x:c>
      <x:c r="F3231" s="9" t="n">
        <x:v>2278500</x:v>
      </x:c>
    </x:row>
    <x:row r="3232" ht="34" customHeight="1">
      <x:c r="A3232" s="4" t="str">
        <x:v>RS-01653-I3</x:v>
      </x:c>
      <x:c r="B3232" s="4" t="str">
        <x:v>RS-01653</x:v>
      </x:c>
      <x:c r="C3232" s="9" t="n">
        <x:v>3</x:v>
      </x:c>
      <x:c r="D3232" s="8" t="n">
        <x:v>45443</x:v>
      </x:c>
      <x:c r="E3232" s="9" t="n">
        <x:v>2278500</x:v>
      </x:c>
      <x:c r="F3232" s="9" t="n">
        <x:v>0</x:v>
      </x:c>
    </x:row>
    <x:row r="3233" ht="34" customHeight="1">
      <x:c r="A3233" s="4" t="str">
        <x:v>RS-01653-I4</x:v>
      </x:c>
      <x:c r="B3233" s="4" t="str">
        <x:v>RS-01653</x:v>
      </x:c>
      <x:c r="C3233" s="9" t="n">
        <x:v>4</x:v>
      </x:c>
      <x:c r="D3233" s="8" t="n">
        <x:v>45473</x:v>
      </x:c>
      <x:c r="E3233" s="9" t="n">
        <x:v>2278500</x:v>
      </x:c>
      <x:c r="F3233" s="9" t="n">
        <x:v>0</x:v>
      </x:c>
    </x:row>
    <x:row r="3234" ht="34" customHeight="1">
      <x:c r="A3234" s="4" t="str">
        <x:v>RS-01654-I1</x:v>
      </x:c>
      <x:c r="B3234" s="4" t="str">
        <x:v>RS-01654</x:v>
      </x:c>
      <x:c r="C3234" s="9" t="n">
        <x:v>1</x:v>
      </x:c>
      <x:c r="D3234" s="8" t="n">
        <x:v>45384</x:v>
      </x:c>
      <x:c r="E3234" s="9" t="n">
        <x:v>4275000</x:v>
      </x:c>
      <x:c r="F3234" s="9" t="n">
        <x:v>4275000</x:v>
      </x:c>
    </x:row>
    <x:row r="3235" ht="34" customHeight="1">
      <x:c r="A3235" s="4" t="str">
        <x:v>RS-01654-I2</x:v>
      </x:c>
      <x:c r="B3235" s="4" t="str">
        <x:v>RS-01654</x:v>
      </x:c>
      <x:c r="C3235" s="9" t="n">
        <x:v>2</x:v>
      </x:c>
      <x:c r="D3235" s="8" t="n">
        <x:v>45414</x:v>
      </x:c>
      <x:c r="E3235" s="9" t="n">
        <x:v>4275000</x:v>
      </x:c>
      <x:c r="F3235" s="9" t="n">
        <x:v>0</x:v>
      </x:c>
    </x:row>
    <x:row r="3236" ht="34" customHeight="1">
      <x:c r="A3236" s="4" t="str">
        <x:v>RS-01654-I3</x:v>
      </x:c>
      <x:c r="B3236" s="4" t="str">
        <x:v>RS-01654</x:v>
      </x:c>
      <x:c r="C3236" s="9" t="n">
        <x:v>3</x:v>
      </x:c>
      <x:c r="D3236" s="8" t="n">
        <x:v>45444</x:v>
      </x:c>
      <x:c r="E3236" s="9" t="n">
        <x:v>4275000</x:v>
      </x:c>
      <x:c r="F3236" s="9" t="n">
        <x:v>0</x:v>
      </x:c>
    </x:row>
    <x:row r="3237" ht="34" customHeight="1">
      <x:c r="A3237" s="4" t="str">
        <x:v>RS-01654-I4</x:v>
      </x:c>
      <x:c r="B3237" s="4" t="str">
        <x:v>RS-01654</x:v>
      </x:c>
      <x:c r="C3237" s="9" t="n">
        <x:v>4</x:v>
      </x:c>
      <x:c r="D3237" s="8" t="n">
        <x:v>45474</x:v>
      </x:c>
      <x:c r="E3237" s="9" t="n">
        <x:v>4275000</x:v>
      </x:c>
      <x:c r="F3237" s="9" t="n">
        <x:v>0</x:v>
      </x:c>
    </x:row>
    <x:row r="3238" ht="34" customHeight="1">
      <x:c r="A3238" s="4" t="str">
        <x:v>RS-01656-I1</x:v>
      </x:c>
      <x:c r="B3238" s="4" t="str">
        <x:v>RS-01656</x:v>
      </x:c>
      <x:c r="C3238" s="9" t="n">
        <x:v>1</x:v>
      </x:c>
      <x:c r="D3238" s="8" t="n">
        <x:v>45386</x:v>
      </x:c>
      <x:c r="E3238" s="9" t="n">
        <x:v>2178000</x:v>
      </x:c>
      <x:c r="F3238" s="9" t="n">
        <x:v>871200</x:v>
      </x:c>
    </x:row>
    <x:row r="3239" ht="34" customHeight="1">
      <x:c r="A3239" s="4" t="str">
        <x:v>RS-01656-I2</x:v>
      </x:c>
      <x:c r="B3239" s="4" t="str">
        <x:v>RS-01656</x:v>
      </x:c>
      <x:c r="C3239" s="9" t="n">
        <x:v>2</x:v>
      </x:c>
      <x:c r="D3239" s="8" t="n">
        <x:v>45416</x:v>
      </x:c>
      <x:c r="E3239" s="9" t="n">
        <x:v>2178000</x:v>
      </x:c>
      <x:c r="F3239" s="9" t="n">
        <x:v>0</x:v>
      </x:c>
    </x:row>
    <x:row r="3240" ht="34" customHeight="1">
      <x:c r="A3240" s="4" t="str">
        <x:v>RS-01656-I3</x:v>
      </x:c>
      <x:c r="B3240" s="4" t="str">
        <x:v>RS-01656</x:v>
      </x:c>
      <x:c r="C3240" s="9" t="n">
        <x:v>3</x:v>
      </x:c>
      <x:c r="D3240" s="8" t="n">
        <x:v>45446</x:v>
      </x:c>
      <x:c r="E3240" s="9" t="n">
        <x:v>2178000</x:v>
      </x:c>
      <x:c r="F3240" s="9" t="n">
        <x:v>0</x:v>
      </x:c>
    </x:row>
    <x:row r="3241" ht="34" customHeight="1">
      <x:c r="A3241" s="4" t="str">
        <x:v>RS-01656-I4</x:v>
      </x:c>
      <x:c r="B3241" s="4" t="str">
        <x:v>RS-01656</x:v>
      </x:c>
      <x:c r="C3241" s="9" t="n">
        <x:v>4</x:v>
      </x:c>
      <x:c r="D3241" s="8" t="n">
        <x:v>45476</x:v>
      </x:c>
      <x:c r="E3241" s="9" t="n">
        <x:v>2178000</x:v>
      </x:c>
      <x:c r="F3241" s="9" t="n">
        <x:v>0</x:v>
      </x:c>
    </x:row>
    <x:row r="3242" ht="34" customHeight="1">
      <x:c r="A3242" s="4" t="str">
        <x:v>RS-01659-I1</x:v>
      </x:c>
      <x:c r="B3242" s="4" t="str">
        <x:v>RS-01659</x:v>
      </x:c>
      <x:c r="C3242" s="9" t="n">
        <x:v>1</x:v>
      </x:c>
      <x:c r="D3242" s="8" t="n">
        <x:v>45389</x:v>
      </x:c>
      <x:c r="E3242" s="9" t="n">
        <x:v>3624000</x:v>
      </x:c>
      <x:c r="F3242" s="9" t="n">
        <x:v>1449600</x:v>
      </x:c>
    </x:row>
    <x:row r="3243" ht="34" customHeight="1">
      <x:c r="A3243" s="4" t="str">
        <x:v>RS-01659-I2</x:v>
      </x:c>
      <x:c r="B3243" s="4" t="str">
        <x:v>RS-01659</x:v>
      </x:c>
      <x:c r="C3243" s="9" t="n">
        <x:v>2</x:v>
      </x:c>
      <x:c r="D3243" s="8" t="n">
        <x:v>45419</x:v>
      </x:c>
      <x:c r="E3243" s="9" t="n">
        <x:v>3624000</x:v>
      </x:c>
      <x:c r="F3243" s="9" t="n">
        <x:v>0</x:v>
      </x:c>
    </x:row>
    <x:row r="3244" ht="34" customHeight="1">
      <x:c r="A3244" s="4" t="str">
        <x:v>RS-01659-I3</x:v>
      </x:c>
      <x:c r="B3244" s="4" t="str">
        <x:v>RS-01659</x:v>
      </x:c>
      <x:c r="C3244" s="9" t="n">
        <x:v>3</x:v>
      </x:c>
      <x:c r="D3244" s="8" t="n">
        <x:v>45449</x:v>
      </x:c>
      <x:c r="E3244" s="9" t="n">
        <x:v>3624000</x:v>
      </x:c>
      <x:c r="F3244" s="9" t="n">
        <x:v>0</x:v>
      </x:c>
    </x:row>
    <x:row r="3245" ht="34" customHeight="1">
      <x:c r="A3245" s="4" t="str">
        <x:v>RS-01659-I4</x:v>
      </x:c>
      <x:c r="B3245" s="4" t="str">
        <x:v>RS-01659</x:v>
      </x:c>
      <x:c r="C3245" s="9" t="n">
        <x:v>4</x:v>
      </x:c>
      <x:c r="D3245" s="8" t="n">
        <x:v>45479</x:v>
      </x:c>
      <x:c r="E3245" s="9" t="n">
        <x:v>3624000</x:v>
      </x:c>
      <x:c r="F3245" s="9" t="n">
        <x:v>0</x:v>
      </x:c>
    </x:row>
    <x:row r="3246" ht="34" customHeight="1">
      <x:c r="A3246" s="4" t="str">
        <x:v>RS-01662-I1</x:v>
      </x:c>
      <x:c r="B3246" s="4" t="str">
        <x:v>RS-01662</x:v>
      </x:c>
      <x:c r="C3246" s="9" t="n">
        <x:v>1</x:v>
      </x:c>
      <x:c r="D3246" s="8" t="n">
        <x:v>45392</x:v>
      </x:c>
      <x:c r="E3246" s="9" t="n">
        <x:v>2208000</x:v>
      </x:c>
      <x:c r="F3246" s="9" t="n">
        <x:v>2208000</x:v>
      </x:c>
    </x:row>
    <x:row r="3247" ht="34" customHeight="1">
      <x:c r="A3247" s="4" t="str">
        <x:v>RS-01662-I2</x:v>
      </x:c>
      <x:c r="B3247" s="4" t="str">
        <x:v>RS-01662</x:v>
      </x:c>
      <x:c r="C3247" s="9" t="n">
        <x:v>2</x:v>
      </x:c>
      <x:c r="D3247" s="8" t="n">
        <x:v>45422</x:v>
      </x:c>
      <x:c r="E3247" s="9" t="n">
        <x:v>2208000</x:v>
      </x:c>
      <x:c r="F3247" s="9" t="n">
        <x:v>2208000</x:v>
      </x:c>
    </x:row>
    <x:row r="3248" ht="34" customHeight="1">
      <x:c r="A3248" s="4" t="str">
        <x:v>RS-01662-I3</x:v>
      </x:c>
      <x:c r="B3248" s="4" t="str">
        <x:v>RS-01662</x:v>
      </x:c>
      <x:c r="C3248" s="9" t="n">
        <x:v>3</x:v>
      </x:c>
      <x:c r="D3248" s="8" t="n">
        <x:v>45452</x:v>
      </x:c>
      <x:c r="E3248" s="9" t="n">
        <x:v>2208000</x:v>
      </x:c>
      <x:c r="F3248" s="9" t="n">
        <x:v>0</x:v>
      </x:c>
    </x:row>
    <x:row r="3249" ht="34" customHeight="1">
      <x:c r="A3249" s="4" t="str">
        <x:v>RS-01662-I4</x:v>
      </x:c>
      <x:c r="B3249" s="4" t="str">
        <x:v>RS-01662</x:v>
      </x:c>
      <x:c r="C3249" s="9" t="n">
        <x:v>4</x:v>
      </x:c>
      <x:c r="D3249" s="8" t="n">
        <x:v>45482</x:v>
      </x:c>
      <x:c r="E3249" s="9" t="n">
        <x:v>2208000</x:v>
      </x:c>
      <x:c r="F3249" s="9" t="n">
        <x:v>0</x:v>
      </x:c>
    </x:row>
    <x:row r="3250" ht="34" customHeight="1">
      <x:c r="A3250" s="4" t="str">
        <x:v>RS-01663-I1</x:v>
      </x:c>
      <x:c r="B3250" s="4" t="str">
        <x:v>RS-01663</x:v>
      </x:c>
      <x:c r="C3250" s="9" t="n">
        <x:v>1</x:v>
      </x:c>
      <x:c r="D3250" s="8" t="n">
        <x:v>45393</x:v>
      </x:c>
      <x:c r="E3250" s="9" t="n">
        <x:v>2553000</x:v>
      </x:c>
      <x:c r="F3250" s="9" t="n">
        <x:v>2553000</x:v>
      </x:c>
    </x:row>
    <x:row r="3251" ht="34" customHeight="1">
      <x:c r="A3251" s="4" t="str">
        <x:v>RS-01663-I2</x:v>
      </x:c>
      <x:c r="B3251" s="4" t="str">
        <x:v>RS-01663</x:v>
      </x:c>
      <x:c r="C3251" s="9" t="n">
        <x:v>2</x:v>
      </x:c>
      <x:c r="D3251" s="8" t="n">
        <x:v>45423</x:v>
      </x:c>
      <x:c r="E3251" s="9" t="n">
        <x:v>2553000</x:v>
      </x:c>
      <x:c r="F3251" s="9" t="n">
        <x:v>2553000</x:v>
      </x:c>
    </x:row>
    <x:row r="3252" ht="34" customHeight="1">
      <x:c r="A3252" s="4" t="str">
        <x:v>RS-01663-I3</x:v>
      </x:c>
      <x:c r="B3252" s="4" t="str">
        <x:v>RS-01663</x:v>
      </x:c>
      <x:c r="C3252" s="9" t="n">
        <x:v>3</x:v>
      </x:c>
      <x:c r="D3252" s="8" t="n">
        <x:v>45453</x:v>
      </x:c>
      <x:c r="E3252" s="9" t="n">
        <x:v>2553000</x:v>
      </x:c>
      <x:c r="F3252" s="9" t="n">
        <x:v>2553000</x:v>
      </x:c>
    </x:row>
    <x:row r="3253" ht="34" customHeight="1">
      <x:c r="A3253" s="4" t="str">
        <x:v>RS-01663-I4</x:v>
      </x:c>
      <x:c r="B3253" s="4" t="str">
        <x:v>RS-01663</x:v>
      </x:c>
      <x:c r="C3253" s="9" t="n">
        <x:v>4</x:v>
      </x:c>
      <x:c r="D3253" s="8" t="n">
        <x:v>45483</x:v>
      </x:c>
      <x:c r="E3253" s="9" t="n">
        <x:v>2553000</x:v>
      </x:c>
      <x:c r="F3253" s="9" t="n">
        <x:v>2553000</x:v>
      </x:c>
    </x:row>
    <x:row r="3254" ht="34" customHeight="1">
      <x:c r="A3254" s="4" t="str">
        <x:v>RS-01665-I1</x:v>
      </x:c>
      <x:c r="B3254" s="4" t="str">
        <x:v>RS-01665</x:v>
      </x:c>
      <x:c r="C3254" s="9" t="n">
        <x:v>1</x:v>
      </x:c>
      <x:c r="D3254" s="8" t="n">
        <x:v>45395</x:v>
      </x:c>
      <x:c r="E3254" s="9" t="n">
        <x:v>1235000</x:v>
      </x:c>
      <x:c r="F3254" s="9" t="n">
        <x:v>1235000</x:v>
      </x:c>
    </x:row>
    <x:row r="3255" ht="34" customHeight="1">
      <x:c r="A3255" s="4" t="str">
        <x:v>RS-01665-I2</x:v>
      </x:c>
      <x:c r="B3255" s="4" t="str">
        <x:v>RS-01665</x:v>
      </x:c>
      <x:c r="C3255" s="9" t="n">
        <x:v>2</x:v>
      </x:c>
      <x:c r="D3255" s="8" t="n">
        <x:v>45425</x:v>
      </x:c>
      <x:c r="E3255" s="9" t="n">
        <x:v>1235000</x:v>
      </x:c>
      <x:c r="F3255" s="9" t="n">
        <x:v>1235000</x:v>
      </x:c>
    </x:row>
    <x:row r="3256" ht="34" customHeight="1">
      <x:c r="A3256" s="4" t="str">
        <x:v>RS-01665-I3</x:v>
      </x:c>
      <x:c r="B3256" s="4" t="str">
        <x:v>RS-01665</x:v>
      </x:c>
      <x:c r="C3256" s="9" t="n">
        <x:v>3</x:v>
      </x:c>
      <x:c r="D3256" s="8" t="n">
        <x:v>45455</x:v>
      </x:c>
      <x:c r="E3256" s="9" t="n">
        <x:v>1235000</x:v>
      </x:c>
      <x:c r="F3256" s="9" t="n">
        <x:v>0</x:v>
      </x:c>
    </x:row>
    <x:row r="3257" ht="34" customHeight="1">
      <x:c r="A3257" s="4" t="str">
        <x:v>RS-01665-I4</x:v>
      </x:c>
      <x:c r="B3257" s="4" t="str">
        <x:v>RS-01665</x:v>
      </x:c>
      <x:c r="C3257" s="9" t="n">
        <x:v>4</x:v>
      </x:c>
      <x:c r="D3257" s="8" t="n">
        <x:v>45485</x:v>
      </x:c>
      <x:c r="E3257" s="9" t="n">
        <x:v>1235000</x:v>
      </x:c>
      <x:c r="F3257" s="9" t="n">
        <x:v>0</x:v>
      </x:c>
    </x:row>
    <x:row r="3258" ht="34" customHeight="1">
      <x:c r="A3258" s="4" t="str">
        <x:v>RS-01666-I1</x:v>
      </x:c>
      <x:c r="B3258" s="4" t="str">
        <x:v>RS-01666</x:v>
      </x:c>
      <x:c r="C3258" s="9" t="n">
        <x:v>1</x:v>
      </x:c>
      <x:c r="D3258" s="8" t="n">
        <x:v>45396</x:v>
      </x:c>
      <x:c r="E3258" s="9" t="n">
        <x:v>5522500</x:v>
      </x:c>
      <x:c r="F3258" s="9" t="n">
        <x:v>5522500</x:v>
      </x:c>
    </x:row>
    <x:row r="3259" ht="34" customHeight="1">
      <x:c r="A3259" s="4" t="str">
        <x:v>RS-01666-I2</x:v>
      </x:c>
      <x:c r="B3259" s="4" t="str">
        <x:v>RS-01666</x:v>
      </x:c>
      <x:c r="C3259" s="9" t="n">
        <x:v>2</x:v>
      </x:c>
      <x:c r="D3259" s="8" t="n">
        <x:v>45426</x:v>
      </x:c>
      <x:c r="E3259" s="9" t="n">
        <x:v>5522500</x:v>
      </x:c>
      <x:c r="F3259" s="9" t="n">
        <x:v>5522500</x:v>
      </x:c>
    </x:row>
    <x:row r="3260" ht="34" customHeight="1">
      <x:c r="A3260" s="4" t="str">
        <x:v>RS-01666-I3</x:v>
      </x:c>
      <x:c r="B3260" s="4" t="str">
        <x:v>RS-01666</x:v>
      </x:c>
      <x:c r="C3260" s="9" t="n">
        <x:v>3</x:v>
      </x:c>
      <x:c r="D3260" s="8" t="n">
        <x:v>45456</x:v>
      </x:c>
      <x:c r="E3260" s="9" t="n">
        <x:v>5522500</x:v>
      </x:c>
      <x:c r="F3260" s="9" t="n">
        <x:v>5522500</x:v>
      </x:c>
    </x:row>
    <x:row r="3261" ht="34" customHeight="1">
      <x:c r="A3261" s="4" t="str">
        <x:v>RS-01666-I4</x:v>
      </x:c>
      <x:c r="B3261" s="4" t="str">
        <x:v>RS-01666</x:v>
      </x:c>
      <x:c r="C3261" s="9" t="n">
        <x:v>4</x:v>
      </x:c>
      <x:c r="D3261" s="8" t="n">
        <x:v>45486</x:v>
      </x:c>
      <x:c r="E3261" s="9" t="n">
        <x:v>5522500</x:v>
      </x:c>
      <x:c r="F3261" s="9" t="n">
        <x:v>5522500</x:v>
      </x:c>
    </x:row>
    <x:row r="3262" ht="34" customHeight="1">
      <x:c r="A3262" s="4" t="str">
        <x:v>RS-01668-I1</x:v>
      </x:c>
      <x:c r="B3262" s="4" t="str">
        <x:v>RS-01668</x:v>
      </x:c>
      <x:c r="C3262" s="9" t="n">
        <x:v>1</x:v>
      </x:c>
      <x:c r="D3262" s="8" t="n">
        <x:v>45398</x:v>
      </x:c>
      <x:c r="E3262" s="9" t="n">
        <x:v>4916250</x:v>
      </x:c>
      <x:c r="F3262" s="9" t="n">
        <x:v>4916250</x:v>
      </x:c>
    </x:row>
    <x:row r="3263" ht="34" customHeight="1">
      <x:c r="A3263" s="4" t="str">
        <x:v>RS-01668-I2</x:v>
      </x:c>
      <x:c r="B3263" s="4" t="str">
        <x:v>RS-01668</x:v>
      </x:c>
      <x:c r="C3263" s="9" t="n">
        <x:v>2</x:v>
      </x:c>
      <x:c r="D3263" s="8" t="n">
        <x:v>45428</x:v>
      </x:c>
      <x:c r="E3263" s="9" t="n">
        <x:v>4916250</x:v>
      </x:c>
      <x:c r="F3263" s="9" t="n">
        <x:v>4916250</x:v>
      </x:c>
    </x:row>
    <x:row r="3264" ht="34" customHeight="1">
      <x:c r="A3264" s="4" t="str">
        <x:v>RS-01668-I3</x:v>
      </x:c>
      <x:c r="B3264" s="4" t="str">
        <x:v>RS-01668</x:v>
      </x:c>
      <x:c r="C3264" s="9" t="n">
        <x:v>3</x:v>
      </x:c>
      <x:c r="D3264" s="8" t="n">
        <x:v>45458</x:v>
      </x:c>
      <x:c r="E3264" s="9" t="n">
        <x:v>4916250</x:v>
      </x:c>
      <x:c r="F3264" s="9" t="n">
        <x:v>4916250</x:v>
      </x:c>
    </x:row>
    <x:row r="3265" ht="34" customHeight="1">
      <x:c r="A3265" s="4" t="str">
        <x:v>RS-01668-I4</x:v>
      </x:c>
      <x:c r="B3265" s="4" t="str">
        <x:v>RS-01668</x:v>
      </x:c>
      <x:c r="C3265" s="9" t="n">
        <x:v>4</x:v>
      </x:c>
      <x:c r="D3265" s="8" t="n">
        <x:v>45488</x:v>
      </x:c>
      <x:c r="E3265" s="9" t="n">
        <x:v>4916250</x:v>
      </x:c>
      <x:c r="F3265" s="9" t="n">
        <x:v>4916250</x:v>
      </x:c>
    </x:row>
    <x:row r="3266" ht="34" customHeight="1">
      <x:c r="A3266" s="4" t="str">
        <x:v>RS-01670-I1</x:v>
      </x:c>
      <x:c r="B3266" s="4" t="str">
        <x:v>RS-01670</x:v>
      </x:c>
      <x:c r="C3266" s="9" t="n">
        <x:v>1</x:v>
      </x:c>
      <x:c r="D3266" s="8" t="n">
        <x:v>45400</x:v>
      </x:c>
      <x:c r="E3266" s="9" t="n">
        <x:v>4485000</x:v>
      </x:c>
      <x:c r="F3266" s="9" t="n">
        <x:v>4485000</x:v>
      </x:c>
    </x:row>
    <x:row r="3267" ht="34" customHeight="1">
      <x:c r="A3267" s="4" t="str">
        <x:v>RS-01670-I2</x:v>
      </x:c>
      <x:c r="B3267" s="4" t="str">
        <x:v>RS-01670</x:v>
      </x:c>
      <x:c r="C3267" s="9" t="n">
        <x:v>2</x:v>
      </x:c>
      <x:c r="D3267" s="8" t="n">
        <x:v>45430</x:v>
      </x:c>
      <x:c r="E3267" s="9" t="n">
        <x:v>4485000</x:v>
      </x:c>
      <x:c r="F3267" s="9" t="n">
        <x:v>0</x:v>
      </x:c>
    </x:row>
    <x:row r="3268" ht="34" customHeight="1">
      <x:c r="A3268" s="4" t="str">
        <x:v>RS-01670-I3</x:v>
      </x:c>
      <x:c r="B3268" s="4" t="str">
        <x:v>RS-01670</x:v>
      </x:c>
      <x:c r="C3268" s="9" t="n">
        <x:v>3</x:v>
      </x:c>
      <x:c r="D3268" s="8" t="n">
        <x:v>45460</x:v>
      </x:c>
      <x:c r="E3268" s="9" t="n">
        <x:v>4485000</x:v>
      </x:c>
      <x:c r="F3268" s="9" t="n">
        <x:v>0</x:v>
      </x:c>
    </x:row>
    <x:row r="3269" ht="34" customHeight="1">
      <x:c r="A3269" s="4" t="str">
        <x:v>RS-01670-I4</x:v>
      </x:c>
      <x:c r="B3269" s="4" t="str">
        <x:v>RS-01670</x:v>
      </x:c>
      <x:c r="C3269" s="9" t="n">
        <x:v>4</x:v>
      </x:c>
      <x:c r="D3269" s="8" t="n">
        <x:v>45490</x:v>
      </x:c>
      <x:c r="E3269" s="9" t="n">
        <x:v>4485000</x:v>
      </x:c>
      <x:c r="F3269" s="9" t="n">
        <x:v>0</x:v>
      </x:c>
    </x:row>
    <x:row r="3270" ht="34" customHeight="1">
      <x:c r="A3270" s="4" t="str">
        <x:v>RS-01675-I1</x:v>
      </x:c>
      <x:c r="B3270" s="4" t="str">
        <x:v>RS-01675</x:v>
      </x:c>
      <x:c r="C3270" s="9" t="n">
        <x:v>1</x:v>
      </x:c>
      <x:c r="D3270" s="8" t="n">
        <x:v>45405</x:v>
      </x:c>
      <x:c r="E3270" s="9" t="n">
        <x:v>4972500</x:v>
      </x:c>
      <x:c r="F3270" s="9" t="n">
        <x:v>4972500</x:v>
      </x:c>
    </x:row>
    <x:row r="3271" ht="34" customHeight="1">
      <x:c r="A3271" s="4" t="str">
        <x:v>RS-01675-I2</x:v>
      </x:c>
      <x:c r="B3271" s="4" t="str">
        <x:v>RS-01675</x:v>
      </x:c>
      <x:c r="C3271" s="9" t="n">
        <x:v>2</x:v>
      </x:c>
      <x:c r="D3271" s="8" t="n">
        <x:v>45435</x:v>
      </x:c>
      <x:c r="E3271" s="9" t="n">
        <x:v>4972500</x:v>
      </x:c>
      <x:c r="F3271" s="9" t="n">
        <x:v>4972500</x:v>
      </x:c>
    </x:row>
    <x:row r="3272" ht="34" customHeight="1">
      <x:c r="A3272" s="4" t="str">
        <x:v>RS-01675-I3</x:v>
      </x:c>
      <x:c r="B3272" s="4" t="str">
        <x:v>RS-01675</x:v>
      </x:c>
      <x:c r="C3272" s="9" t="n">
        <x:v>3</x:v>
      </x:c>
      <x:c r="D3272" s="8" t="n">
        <x:v>45465</x:v>
      </x:c>
      <x:c r="E3272" s="9" t="n">
        <x:v>4972500</x:v>
      </x:c>
      <x:c r="F3272" s="9" t="n">
        <x:v>0</x:v>
      </x:c>
    </x:row>
    <x:row r="3273" ht="34" customHeight="1">
      <x:c r="A3273" s="4" t="str">
        <x:v>RS-01675-I4</x:v>
      </x:c>
      <x:c r="B3273" s="4" t="str">
        <x:v>RS-01675</x:v>
      </x:c>
      <x:c r="C3273" s="9" t="n">
        <x:v>4</x:v>
      </x:c>
      <x:c r="D3273" s="8" t="n">
        <x:v>45495</x:v>
      </x:c>
      <x:c r="E3273" s="9" t="n">
        <x:v>4972500</x:v>
      </x:c>
      <x:c r="F3273" s="9" t="n">
        <x:v>0</x:v>
      </x:c>
    </x:row>
    <x:row r="3274" ht="34" customHeight="1">
      <x:c r="A3274" s="4" t="str">
        <x:v>RS-01676-I1</x:v>
      </x:c>
      <x:c r="B3274" s="4" t="str">
        <x:v>RS-01676</x:v>
      </x:c>
      <x:c r="C3274" s="9" t="n">
        <x:v>1</x:v>
      </x:c>
      <x:c r="D3274" s="8" t="n">
        <x:v>45406</x:v>
      </x:c>
      <x:c r="E3274" s="9" t="n">
        <x:v>2775000</x:v>
      </x:c>
      <x:c r="F3274" s="9" t="n">
        <x:v>2775000</x:v>
      </x:c>
    </x:row>
    <x:row r="3275" ht="34" customHeight="1">
      <x:c r="A3275" s="4" t="str">
        <x:v>RS-01676-I2</x:v>
      </x:c>
      <x:c r="B3275" s="4" t="str">
        <x:v>RS-01676</x:v>
      </x:c>
      <x:c r="C3275" s="9" t="n">
        <x:v>2</x:v>
      </x:c>
      <x:c r="D3275" s="8" t="n">
        <x:v>45436</x:v>
      </x:c>
      <x:c r="E3275" s="9" t="n">
        <x:v>2775000</x:v>
      </x:c>
      <x:c r="F3275" s="9" t="n">
        <x:v>0</x:v>
      </x:c>
    </x:row>
    <x:row r="3276" ht="34" customHeight="1">
      <x:c r="A3276" s="4" t="str">
        <x:v>RS-01676-I3</x:v>
      </x:c>
      <x:c r="B3276" s="4" t="str">
        <x:v>RS-01676</x:v>
      </x:c>
      <x:c r="C3276" s="9" t="n">
        <x:v>3</x:v>
      </x:c>
      <x:c r="D3276" s="8" t="n">
        <x:v>45466</x:v>
      </x:c>
      <x:c r="E3276" s="9" t="n">
        <x:v>2775000</x:v>
      </x:c>
      <x:c r="F3276" s="9" t="n">
        <x:v>0</x:v>
      </x:c>
    </x:row>
    <x:row r="3277" ht="34" customHeight="1">
      <x:c r="A3277" s="4" t="str">
        <x:v>RS-01676-I4</x:v>
      </x:c>
      <x:c r="B3277" s="4" t="str">
        <x:v>RS-01676</x:v>
      </x:c>
      <x:c r="C3277" s="9" t="n">
        <x:v>4</x:v>
      </x:c>
      <x:c r="D3277" s="8" t="n">
        <x:v>45496</x:v>
      </x:c>
      <x:c r="E3277" s="9" t="n">
        <x:v>2775000</x:v>
      </x:c>
      <x:c r="F3277" s="9" t="n">
        <x:v>0</x:v>
      </x:c>
    </x:row>
    <x:row r="3278" ht="34" customHeight="1">
      <x:c r="A3278" s="4" t="str">
        <x:v>RS-01677-I1</x:v>
      </x:c>
      <x:c r="B3278" s="4" t="str">
        <x:v>RS-01677</x:v>
      </x:c>
      <x:c r="C3278" s="9" t="n">
        <x:v>1</x:v>
      </x:c>
      <x:c r="D3278" s="8" t="n">
        <x:v>45407</x:v>
      </x:c>
      <x:c r="E3278" s="9" t="n">
        <x:v>4823000</x:v>
      </x:c>
      <x:c r="F3278" s="9" t="n">
        <x:v>1929200</x:v>
      </x:c>
    </x:row>
    <x:row r="3279" ht="34" customHeight="1">
      <x:c r="A3279" s="4" t="str">
        <x:v>RS-01677-I2</x:v>
      </x:c>
      <x:c r="B3279" s="4" t="str">
        <x:v>RS-01677</x:v>
      </x:c>
      <x:c r="C3279" s="9" t="n">
        <x:v>2</x:v>
      </x:c>
      <x:c r="D3279" s="8" t="n">
        <x:v>45437</x:v>
      </x:c>
      <x:c r="E3279" s="9" t="n">
        <x:v>4823000</x:v>
      </x:c>
      <x:c r="F3279" s="9" t="n">
        <x:v>0</x:v>
      </x:c>
    </x:row>
    <x:row r="3280" ht="34" customHeight="1">
      <x:c r="A3280" s="4" t="str">
        <x:v>RS-01677-I3</x:v>
      </x:c>
      <x:c r="B3280" s="4" t="str">
        <x:v>RS-01677</x:v>
      </x:c>
      <x:c r="C3280" s="9" t="n">
        <x:v>3</x:v>
      </x:c>
      <x:c r="D3280" s="8" t="n">
        <x:v>45467</x:v>
      </x:c>
      <x:c r="E3280" s="9" t="n">
        <x:v>4823000</x:v>
      </x:c>
      <x:c r="F3280" s="9" t="n">
        <x:v>0</x:v>
      </x:c>
    </x:row>
    <x:row r="3281" ht="34" customHeight="1">
      <x:c r="A3281" s="4" t="str">
        <x:v>RS-01677-I4</x:v>
      </x:c>
      <x:c r="B3281" s="4" t="str">
        <x:v>RS-01677</x:v>
      </x:c>
      <x:c r="C3281" s="9" t="n">
        <x:v>4</x:v>
      </x:c>
      <x:c r="D3281" s="8" t="n">
        <x:v>45497</x:v>
      </x:c>
      <x:c r="E3281" s="9" t="n">
        <x:v>4823000</x:v>
      </x:c>
      <x:c r="F3281" s="9" t="n">
        <x:v>0</x:v>
      </x:c>
    </x:row>
    <x:row r="3282" ht="34" customHeight="1">
      <x:c r="A3282" s="4" t="str">
        <x:v>RS-01681-I1</x:v>
      </x:c>
      <x:c r="B3282" s="4" t="str">
        <x:v>RS-01681</x:v>
      </x:c>
      <x:c r="C3282" s="9" t="n">
        <x:v>1</x:v>
      </x:c>
      <x:c r="D3282" s="8" t="n">
        <x:v>45383</x:v>
      </x:c>
      <x:c r="E3282" s="9" t="n">
        <x:v>916500</x:v>
      </x:c>
      <x:c r="F3282" s="9" t="n">
        <x:v>916500</x:v>
      </x:c>
    </x:row>
    <x:row r="3283" ht="34" customHeight="1">
      <x:c r="A3283" s="4" t="str">
        <x:v>RS-01681-I2</x:v>
      </x:c>
      <x:c r="B3283" s="4" t="str">
        <x:v>RS-01681</x:v>
      </x:c>
      <x:c r="C3283" s="9" t="n">
        <x:v>2</x:v>
      </x:c>
      <x:c r="D3283" s="8" t="n">
        <x:v>45413</x:v>
      </x:c>
      <x:c r="E3283" s="9" t="n">
        <x:v>916500</x:v>
      </x:c>
      <x:c r="F3283" s="9" t="n">
        <x:v>916500</x:v>
      </x:c>
    </x:row>
    <x:row r="3284" ht="34" customHeight="1">
      <x:c r="A3284" s="4" t="str">
        <x:v>RS-01681-I3</x:v>
      </x:c>
      <x:c r="B3284" s="4" t="str">
        <x:v>RS-01681</x:v>
      </x:c>
      <x:c r="C3284" s="9" t="n">
        <x:v>3</x:v>
      </x:c>
      <x:c r="D3284" s="8" t="n">
        <x:v>45443</x:v>
      </x:c>
      <x:c r="E3284" s="9" t="n">
        <x:v>916500</x:v>
      </x:c>
      <x:c r="F3284" s="9" t="n">
        <x:v>0</x:v>
      </x:c>
    </x:row>
    <x:row r="3285" ht="34" customHeight="1">
      <x:c r="A3285" s="4" t="str">
        <x:v>RS-01681-I4</x:v>
      </x:c>
      <x:c r="B3285" s="4" t="str">
        <x:v>RS-01681</x:v>
      </x:c>
      <x:c r="C3285" s="9" t="n">
        <x:v>4</x:v>
      </x:c>
      <x:c r="D3285" s="8" t="n">
        <x:v>45473</x:v>
      </x:c>
      <x:c r="E3285" s="9" t="n">
        <x:v>916500</x:v>
      </x:c>
      <x:c r="F3285" s="9" t="n">
        <x:v>0</x:v>
      </x:c>
    </x:row>
    <x:row r="3286" ht="34" customHeight="1">
      <x:c r="A3286" s="4" t="str">
        <x:v>RS-01683-I1</x:v>
      </x:c>
      <x:c r="B3286" s="4" t="str">
        <x:v>RS-01683</x:v>
      </x:c>
      <x:c r="C3286" s="9" t="n">
        <x:v>1</x:v>
      </x:c>
      <x:c r="D3286" s="8" t="n">
        <x:v>45385</x:v>
      </x:c>
      <x:c r="E3286" s="9" t="n">
        <x:v>3293000</x:v>
      </x:c>
      <x:c r="F3286" s="9" t="n">
        <x:v>1317200</x:v>
      </x:c>
    </x:row>
    <x:row r="3287" ht="34" customHeight="1">
      <x:c r="A3287" s="4" t="str">
        <x:v>RS-01683-I2</x:v>
      </x:c>
      <x:c r="B3287" s="4" t="str">
        <x:v>RS-01683</x:v>
      </x:c>
      <x:c r="C3287" s="9" t="n">
        <x:v>2</x:v>
      </x:c>
      <x:c r="D3287" s="8" t="n">
        <x:v>45415</x:v>
      </x:c>
      <x:c r="E3287" s="9" t="n">
        <x:v>3293000</x:v>
      </x:c>
      <x:c r="F3287" s="9" t="n">
        <x:v>0</x:v>
      </x:c>
    </x:row>
    <x:row r="3288" ht="34" customHeight="1">
      <x:c r="A3288" s="4" t="str">
        <x:v>RS-01683-I3</x:v>
      </x:c>
      <x:c r="B3288" s="4" t="str">
        <x:v>RS-01683</x:v>
      </x:c>
      <x:c r="C3288" s="9" t="n">
        <x:v>3</x:v>
      </x:c>
      <x:c r="D3288" s="8" t="n">
        <x:v>45445</x:v>
      </x:c>
      <x:c r="E3288" s="9" t="n">
        <x:v>3293000</x:v>
      </x:c>
      <x:c r="F3288" s="9" t="n">
        <x:v>0</x:v>
      </x:c>
    </x:row>
    <x:row r="3289" ht="34" customHeight="1">
      <x:c r="A3289" s="4" t="str">
        <x:v>RS-01683-I4</x:v>
      </x:c>
      <x:c r="B3289" s="4" t="str">
        <x:v>RS-01683</x:v>
      </x:c>
      <x:c r="C3289" s="9" t="n">
        <x:v>4</x:v>
      </x:c>
      <x:c r="D3289" s="8" t="n">
        <x:v>45475</x:v>
      </x:c>
      <x:c r="E3289" s="9" t="n">
        <x:v>3293000</x:v>
      </x:c>
      <x:c r="F3289" s="9" t="n">
        <x:v>0</x:v>
      </x:c>
    </x:row>
    <x:row r="3290" ht="34" customHeight="1">
      <x:c r="A3290" s="4" t="str">
        <x:v>RS-01684-I1</x:v>
      </x:c>
      <x:c r="B3290" s="4" t="str">
        <x:v>RS-01684</x:v>
      </x:c>
      <x:c r="C3290" s="9" t="n">
        <x:v>1</x:v>
      </x:c>
      <x:c r="D3290" s="8" t="n">
        <x:v>45386</x:v>
      </x:c>
      <x:c r="E3290" s="9" t="n">
        <x:v>1728000</x:v>
      </x:c>
      <x:c r="F3290" s="9" t="n">
        <x:v>1728000</x:v>
      </x:c>
    </x:row>
    <x:row r="3291" ht="34" customHeight="1">
      <x:c r="A3291" s="4" t="str">
        <x:v>RS-01684-I2</x:v>
      </x:c>
      <x:c r="B3291" s="4" t="str">
        <x:v>RS-01684</x:v>
      </x:c>
      <x:c r="C3291" s="9" t="n">
        <x:v>2</x:v>
      </x:c>
      <x:c r="D3291" s="8" t="n">
        <x:v>45416</x:v>
      </x:c>
      <x:c r="E3291" s="9" t="n">
        <x:v>1728000</x:v>
      </x:c>
      <x:c r="F3291" s="9" t="n">
        <x:v>0</x:v>
      </x:c>
    </x:row>
    <x:row r="3292" ht="34" customHeight="1">
      <x:c r="A3292" s="4" t="str">
        <x:v>RS-01684-I3</x:v>
      </x:c>
      <x:c r="B3292" s="4" t="str">
        <x:v>RS-01684</x:v>
      </x:c>
      <x:c r="C3292" s="9" t="n">
        <x:v>3</x:v>
      </x:c>
      <x:c r="D3292" s="8" t="n">
        <x:v>45446</x:v>
      </x:c>
      <x:c r="E3292" s="9" t="n">
        <x:v>1728000</x:v>
      </x:c>
      <x:c r="F3292" s="9" t="n">
        <x:v>0</x:v>
      </x:c>
    </x:row>
    <x:row r="3293" ht="34" customHeight="1">
      <x:c r="A3293" s="4" t="str">
        <x:v>RS-01684-I4</x:v>
      </x:c>
      <x:c r="B3293" s="4" t="str">
        <x:v>RS-01684</x:v>
      </x:c>
      <x:c r="C3293" s="9" t="n">
        <x:v>4</x:v>
      </x:c>
      <x:c r="D3293" s="8" t="n">
        <x:v>45476</x:v>
      </x:c>
      <x:c r="E3293" s="9" t="n">
        <x:v>1728000</x:v>
      </x:c>
      <x:c r="F3293" s="9" t="n">
        <x:v>0</x:v>
      </x:c>
    </x:row>
    <x:row r="3294" ht="34" customHeight="1">
      <x:c r="A3294" s="4" t="str">
        <x:v>RS-01685-I1</x:v>
      </x:c>
      <x:c r="B3294" s="4" t="str">
        <x:v>RS-01685</x:v>
      </x:c>
      <x:c r="C3294" s="9" t="n">
        <x:v>1</x:v>
      </x:c>
      <x:c r="D3294" s="8" t="n">
        <x:v>45387</x:v>
      </x:c>
      <x:c r="E3294" s="9" t="n">
        <x:v>5064000</x:v>
      </x:c>
      <x:c r="F3294" s="9" t="n">
        <x:v>5064000</x:v>
      </x:c>
    </x:row>
    <x:row r="3295" ht="34" customHeight="1">
      <x:c r="A3295" s="4" t="str">
        <x:v>RS-01685-I2</x:v>
      </x:c>
      <x:c r="B3295" s="4" t="str">
        <x:v>RS-01685</x:v>
      </x:c>
      <x:c r="C3295" s="9" t="n">
        <x:v>2</x:v>
      </x:c>
      <x:c r="D3295" s="8" t="n">
        <x:v>45417</x:v>
      </x:c>
      <x:c r="E3295" s="9" t="n">
        <x:v>5064000</x:v>
      </x:c>
      <x:c r="F3295" s="9" t="n">
        <x:v>5064000</x:v>
      </x:c>
    </x:row>
    <x:row r="3296" ht="34" customHeight="1">
      <x:c r="A3296" s="4" t="str">
        <x:v>RS-01685-I3</x:v>
      </x:c>
      <x:c r="B3296" s="4" t="str">
        <x:v>RS-01685</x:v>
      </x:c>
      <x:c r="C3296" s="9" t="n">
        <x:v>3</x:v>
      </x:c>
      <x:c r="D3296" s="8" t="n">
        <x:v>45447</x:v>
      </x:c>
      <x:c r="E3296" s="9" t="n">
        <x:v>5064000</x:v>
      </x:c>
      <x:c r="F3296" s="9" t="n">
        <x:v>0</x:v>
      </x:c>
    </x:row>
    <x:row r="3297" ht="34" customHeight="1">
      <x:c r="A3297" s="4" t="str">
        <x:v>RS-01685-I4</x:v>
      </x:c>
      <x:c r="B3297" s="4" t="str">
        <x:v>RS-01685</x:v>
      </x:c>
      <x:c r="C3297" s="9" t="n">
        <x:v>4</x:v>
      </x:c>
      <x:c r="D3297" s="8" t="n">
        <x:v>45477</x:v>
      </x:c>
      <x:c r="E3297" s="9" t="n">
        <x:v>5064000</x:v>
      </x:c>
      <x:c r="F3297" s="9" t="n">
        <x:v>0</x:v>
      </x:c>
    </x:row>
    <x:row r="3298" ht="34" customHeight="1">
      <x:c r="A3298" s="4" t="str">
        <x:v>RS-01687-I1</x:v>
      </x:c>
      <x:c r="B3298" s="4" t="str">
        <x:v>RS-01687</x:v>
      </x:c>
      <x:c r="C3298" s="9" t="n">
        <x:v>1</x:v>
      </x:c>
      <x:c r="D3298" s="8" t="n">
        <x:v>45389</x:v>
      </x:c>
      <x:c r="E3298" s="9" t="n">
        <x:v>3734500</x:v>
      </x:c>
      <x:c r="F3298" s="9" t="n">
        <x:v>3734500</x:v>
      </x:c>
    </x:row>
    <x:row r="3299" ht="34" customHeight="1">
      <x:c r="A3299" s="4" t="str">
        <x:v>RS-01687-I2</x:v>
      </x:c>
      <x:c r="B3299" s="4" t="str">
        <x:v>RS-01687</x:v>
      </x:c>
      <x:c r="C3299" s="9" t="n">
        <x:v>2</x:v>
      </x:c>
      <x:c r="D3299" s="8" t="n">
        <x:v>45419</x:v>
      </x:c>
      <x:c r="E3299" s="9" t="n">
        <x:v>3734500</x:v>
      </x:c>
      <x:c r="F3299" s="9" t="n">
        <x:v>0</x:v>
      </x:c>
    </x:row>
    <x:row r="3300" ht="34" customHeight="1">
      <x:c r="A3300" s="4" t="str">
        <x:v>RS-01687-I3</x:v>
      </x:c>
      <x:c r="B3300" s="4" t="str">
        <x:v>RS-01687</x:v>
      </x:c>
      <x:c r="C3300" s="9" t="n">
        <x:v>3</x:v>
      </x:c>
      <x:c r="D3300" s="8" t="n">
        <x:v>45449</x:v>
      </x:c>
      <x:c r="E3300" s="9" t="n">
        <x:v>3734500</x:v>
      </x:c>
      <x:c r="F3300" s="9" t="n">
        <x:v>0</x:v>
      </x:c>
    </x:row>
    <x:row r="3301" ht="34" customHeight="1">
      <x:c r="A3301" s="4" t="str">
        <x:v>RS-01687-I4</x:v>
      </x:c>
      <x:c r="B3301" s="4" t="str">
        <x:v>RS-01687</x:v>
      </x:c>
      <x:c r="C3301" s="9" t="n">
        <x:v>4</x:v>
      </x:c>
      <x:c r="D3301" s="8" t="n">
        <x:v>45479</x:v>
      </x:c>
      <x:c r="E3301" s="9" t="n">
        <x:v>3734500</x:v>
      </x:c>
      <x:c r="F3301" s="9" t="n">
        <x:v>0</x:v>
      </x:c>
    </x:row>
    <x:row r="3302" ht="34" customHeight="1">
      <x:c r="A3302" s="4" t="str">
        <x:v>RS-01689-I1</x:v>
      </x:c>
      <x:c r="B3302" s="4" t="str">
        <x:v>RS-01689</x:v>
      </x:c>
      <x:c r="C3302" s="9" t="n">
        <x:v>1</x:v>
      </x:c>
      <x:c r="D3302" s="8" t="n">
        <x:v>45391</x:v>
      </x:c>
      <x:c r="E3302" s="9" t="n">
        <x:v>2047000</x:v>
      </x:c>
      <x:c r="F3302" s="9" t="n">
        <x:v>818800</x:v>
      </x:c>
    </x:row>
    <x:row r="3303" ht="34" customHeight="1">
      <x:c r="A3303" s="4" t="str">
        <x:v>RS-01689-I2</x:v>
      </x:c>
      <x:c r="B3303" s="4" t="str">
        <x:v>RS-01689</x:v>
      </x:c>
      <x:c r="C3303" s="9" t="n">
        <x:v>2</x:v>
      </x:c>
      <x:c r="D3303" s="8" t="n">
        <x:v>45421</x:v>
      </x:c>
      <x:c r="E3303" s="9" t="n">
        <x:v>2047000</x:v>
      </x:c>
      <x:c r="F3303" s="9" t="n">
        <x:v>0</x:v>
      </x:c>
    </x:row>
    <x:row r="3304" ht="34" customHeight="1">
      <x:c r="A3304" s="4" t="str">
        <x:v>RS-01689-I3</x:v>
      </x:c>
      <x:c r="B3304" s="4" t="str">
        <x:v>RS-01689</x:v>
      </x:c>
      <x:c r="C3304" s="9" t="n">
        <x:v>3</x:v>
      </x:c>
      <x:c r="D3304" s="8" t="n">
        <x:v>45451</x:v>
      </x:c>
      <x:c r="E3304" s="9" t="n">
        <x:v>2047000</x:v>
      </x:c>
      <x:c r="F3304" s="9" t="n">
        <x:v>0</x:v>
      </x:c>
    </x:row>
    <x:row r="3305" ht="34" customHeight="1">
      <x:c r="A3305" s="4" t="str">
        <x:v>RS-01689-I4</x:v>
      </x:c>
      <x:c r="B3305" s="4" t="str">
        <x:v>RS-01689</x:v>
      </x:c>
      <x:c r="C3305" s="9" t="n">
        <x:v>4</x:v>
      </x:c>
      <x:c r="D3305" s="8" t="n">
        <x:v>45481</x:v>
      </x:c>
      <x:c r="E3305" s="9" t="n">
        <x:v>2047000</x:v>
      </x:c>
      <x:c r="F3305" s="9" t="n">
        <x:v>0</x:v>
      </x:c>
    </x:row>
    <x:row r="3306" ht="34" customHeight="1">
      <x:c r="A3306" s="4" t="str">
        <x:v>RS-01690-I1</x:v>
      </x:c>
      <x:c r="B3306" s="4" t="str">
        <x:v>RS-01690</x:v>
      </x:c>
      <x:c r="C3306" s="9" t="n">
        <x:v>1</x:v>
      </x:c>
      <x:c r="D3306" s="8" t="n">
        <x:v>45392</x:v>
      </x:c>
      <x:c r="E3306" s="9" t="n">
        <x:v>2158250</x:v>
      </x:c>
      <x:c r="F3306" s="9" t="n">
        <x:v>2158250</x:v>
      </x:c>
    </x:row>
    <x:row r="3307" ht="34" customHeight="1">
      <x:c r="A3307" s="4" t="str">
        <x:v>RS-01690-I2</x:v>
      </x:c>
      <x:c r="B3307" s="4" t="str">
        <x:v>RS-01690</x:v>
      </x:c>
      <x:c r="C3307" s="9" t="n">
        <x:v>2</x:v>
      </x:c>
      <x:c r="D3307" s="8" t="n">
        <x:v>45422</x:v>
      </x:c>
      <x:c r="E3307" s="9" t="n">
        <x:v>2158250</x:v>
      </x:c>
      <x:c r="F3307" s="9" t="n">
        <x:v>2158250</x:v>
      </x:c>
    </x:row>
    <x:row r="3308" ht="34" customHeight="1">
      <x:c r="A3308" s="4" t="str">
        <x:v>RS-01690-I3</x:v>
      </x:c>
      <x:c r="B3308" s="4" t="str">
        <x:v>RS-01690</x:v>
      </x:c>
      <x:c r="C3308" s="9" t="n">
        <x:v>3</x:v>
      </x:c>
      <x:c r="D3308" s="8" t="n">
        <x:v>45452</x:v>
      </x:c>
      <x:c r="E3308" s="9" t="n">
        <x:v>2158250</x:v>
      </x:c>
      <x:c r="F3308" s="9" t="n">
        <x:v>2158250</x:v>
      </x:c>
    </x:row>
    <x:row r="3309" ht="34" customHeight="1">
      <x:c r="A3309" s="4" t="str">
        <x:v>RS-01690-I4</x:v>
      </x:c>
      <x:c r="B3309" s="4" t="str">
        <x:v>RS-01690</x:v>
      </x:c>
      <x:c r="C3309" s="9" t="n">
        <x:v>4</x:v>
      </x:c>
      <x:c r="D3309" s="8" t="n">
        <x:v>45482</x:v>
      </x:c>
      <x:c r="E3309" s="9" t="n">
        <x:v>2158250</x:v>
      </x:c>
      <x:c r="F3309" s="9" t="n">
        <x:v>2158250</x:v>
      </x:c>
    </x:row>
    <x:row r="3310" ht="34" customHeight="1">
      <x:c r="A3310" s="4" t="str">
        <x:v>RS-01695-I1</x:v>
      </x:c>
      <x:c r="B3310" s="4" t="str">
        <x:v>RS-01695</x:v>
      </x:c>
      <x:c r="C3310" s="9" t="n">
        <x:v>1</x:v>
      </x:c>
      <x:c r="D3310" s="8" t="n">
        <x:v>45397</x:v>
      </x:c>
      <x:c r="E3310" s="9" t="n">
        <x:v>5757500</x:v>
      </x:c>
      <x:c r="F3310" s="9" t="n">
        <x:v>5757500</x:v>
      </x:c>
    </x:row>
    <x:row r="3311" ht="34" customHeight="1">
      <x:c r="A3311" s="4" t="str">
        <x:v>RS-01695-I2</x:v>
      </x:c>
      <x:c r="B3311" s="4" t="str">
        <x:v>RS-01695</x:v>
      </x:c>
      <x:c r="C3311" s="9" t="n">
        <x:v>2</x:v>
      </x:c>
      <x:c r="D3311" s="8" t="n">
        <x:v>45427</x:v>
      </x:c>
      <x:c r="E3311" s="9" t="n">
        <x:v>5757500</x:v>
      </x:c>
      <x:c r="F3311" s="9" t="n">
        <x:v>0</x:v>
      </x:c>
    </x:row>
    <x:row r="3312" ht="34" customHeight="1">
      <x:c r="A3312" s="4" t="str">
        <x:v>RS-01695-I3</x:v>
      </x:c>
      <x:c r="B3312" s="4" t="str">
        <x:v>RS-01695</x:v>
      </x:c>
      <x:c r="C3312" s="9" t="n">
        <x:v>3</x:v>
      </x:c>
      <x:c r="D3312" s="8" t="n">
        <x:v>45457</x:v>
      </x:c>
      <x:c r="E3312" s="9" t="n">
        <x:v>5757500</x:v>
      </x:c>
      <x:c r="F3312" s="9" t="n">
        <x:v>0</x:v>
      </x:c>
    </x:row>
    <x:row r="3313" ht="34" customHeight="1">
      <x:c r="A3313" s="4" t="str">
        <x:v>RS-01695-I4</x:v>
      </x:c>
      <x:c r="B3313" s="4" t="str">
        <x:v>RS-01695</x:v>
      </x:c>
      <x:c r="C3313" s="9" t="n">
        <x:v>4</x:v>
      </x:c>
      <x:c r="D3313" s="8" t="n">
        <x:v>45487</x:v>
      </x:c>
      <x:c r="E3313" s="9" t="n">
        <x:v>5757500</x:v>
      </x:c>
      <x:c r="F3313" s="9" t="n">
        <x:v>0</x:v>
      </x:c>
    </x:row>
    <x:row r="3314" ht="34" customHeight="1">
      <x:c r="A3314" s="4" t="str">
        <x:v>RS-01697-I1</x:v>
      </x:c>
      <x:c r="B3314" s="4" t="str">
        <x:v>RS-01697</x:v>
      </x:c>
      <x:c r="C3314" s="9" t="n">
        <x:v>1</x:v>
      </x:c>
      <x:c r="D3314" s="8" t="n">
        <x:v>45399</x:v>
      </x:c>
      <x:c r="E3314" s="9" t="n">
        <x:v>704000</x:v>
      </x:c>
      <x:c r="F3314" s="9" t="n">
        <x:v>704000</x:v>
      </x:c>
    </x:row>
    <x:row r="3315" ht="34" customHeight="1">
      <x:c r="A3315" s="4" t="str">
        <x:v>RS-01697-I2</x:v>
      </x:c>
      <x:c r="B3315" s="4" t="str">
        <x:v>RS-01697</x:v>
      </x:c>
      <x:c r="C3315" s="9" t="n">
        <x:v>2</x:v>
      </x:c>
      <x:c r="D3315" s="8" t="n">
        <x:v>45429</x:v>
      </x:c>
      <x:c r="E3315" s="9" t="n">
        <x:v>704000</x:v>
      </x:c>
      <x:c r="F3315" s="9" t="n">
        <x:v>704000</x:v>
      </x:c>
    </x:row>
    <x:row r="3316" ht="34" customHeight="1">
      <x:c r="A3316" s="4" t="str">
        <x:v>RS-01697-I3</x:v>
      </x:c>
      <x:c r="B3316" s="4" t="str">
        <x:v>RS-01697</x:v>
      </x:c>
      <x:c r="C3316" s="9" t="n">
        <x:v>3</x:v>
      </x:c>
      <x:c r="D3316" s="8" t="n">
        <x:v>45459</x:v>
      </x:c>
      <x:c r="E3316" s="9" t="n">
        <x:v>704000</x:v>
      </x:c>
      <x:c r="F3316" s="9" t="n">
        <x:v>704000</x:v>
      </x:c>
    </x:row>
    <x:row r="3317" ht="34" customHeight="1">
      <x:c r="A3317" s="4" t="str">
        <x:v>RS-01697-I4</x:v>
      </x:c>
      <x:c r="B3317" s="4" t="str">
        <x:v>RS-01697</x:v>
      </x:c>
      <x:c r="C3317" s="9" t="n">
        <x:v>4</x:v>
      </x:c>
      <x:c r="D3317" s="8" t="n">
        <x:v>45489</x:v>
      </x:c>
      <x:c r="E3317" s="9" t="n">
        <x:v>704000</x:v>
      </x:c>
      <x:c r="F3317" s="9" t="n">
        <x:v>704000</x:v>
      </x:c>
    </x:row>
    <x:row r="3318" ht="34" customHeight="1">
      <x:c r="A3318" s="4" t="str">
        <x:v>RS-01699-I1</x:v>
      </x:c>
      <x:c r="B3318" s="4" t="str">
        <x:v>RS-01699</x:v>
      </x:c>
      <x:c r="C3318" s="9" t="n">
        <x:v>1</x:v>
      </x:c>
      <x:c r="D3318" s="8" t="n">
        <x:v>45401</x:v>
      </x:c>
      <x:c r="E3318" s="9" t="n">
        <x:v>1920000</x:v>
      </x:c>
      <x:c r="F3318" s="9" t="n">
        <x:v>768000</x:v>
      </x:c>
    </x:row>
    <x:row r="3319" ht="34" customHeight="1">
      <x:c r="A3319" s="4" t="str">
        <x:v>RS-01699-I2</x:v>
      </x:c>
      <x:c r="B3319" s="4" t="str">
        <x:v>RS-01699</x:v>
      </x:c>
      <x:c r="C3319" s="9" t="n">
        <x:v>2</x:v>
      </x:c>
      <x:c r="D3319" s="8" t="n">
        <x:v>45431</x:v>
      </x:c>
      <x:c r="E3319" s="9" t="n">
        <x:v>1920000</x:v>
      </x:c>
      <x:c r="F3319" s="9" t="n">
        <x:v>0</x:v>
      </x:c>
    </x:row>
    <x:row r="3320" ht="34" customHeight="1">
      <x:c r="A3320" s="4" t="str">
        <x:v>RS-01699-I3</x:v>
      </x:c>
      <x:c r="B3320" s="4" t="str">
        <x:v>RS-01699</x:v>
      </x:c>
      <x:c r="C3320" s="9" t="n">
        <x:v>3</x:v>
      </x:c>
      <x:c r="D3320" s="8" t="n">
        <x:v>45461</x:v>
      </x:c>
      <x:c r="E3320" s="9" t="n">
        <x:v>1920000</x:v>
      </x:c>
      <x:c r="F3320" s="9" t="n">
        <x:v>0</x:v>
      </x:c>
    </x:row>
    <x:row r="3321" ht="34" customHeight="1">
      <x:c r="A3321" s="4" t="str">
        <x:v>RS-01699-I4</x:v>
      </x:c>
      <x:c r="B3321" s="4" t="str">
        <x:v>RS-01699</x:v>
      </x:c>
      <x:c r="C3321" s="9" t="n">
        <x:v>4</x:v>
      </x:c>
      <x:c r="D3321" s="8" t="n">
        <x:v>45491</x:v>
      </x:c>
      <x:c r="E3321" s="9" t="n">
        <x:v>1920000</x:v>
      </x:c>
      <x:c r="F3321" s="9" t="n">
        <x:v>0</x:v>
      </x:c>
    </x:row>
    <x:row r="3322" ht="34" customHeight="1">
      <x:c r="A3322" s="4" t="str">
        <x:v>RS-01700-I1</x:v>
      </x:c>
      <x:c r="B3322" s="4" t="str">
        <x:v>RS-01700</x:v>
      </x:c>
      <x:c r="C3322" s="9" t="n">
        <x:v>1</x:v>
      </x:c>
      <x:c r="D3322" s="8" t="n">
        <x:v>45402</x:v>
      </x:c>
      <x:c r="E3322" s="9" t="n">
        <x:v>2474500</x:v>
      </x:c>
      <x:c r="F3322" s="9" t="n">
        <x:v>2474500</x:v>
      </x:c>
    </x:row>
    <x:row r="3323" ht="34" customHeight="1">
      <x:c r="A3323" s="4" t="str">
        <x:v>RS-01700-I2</x:v>
      </x:c>
      <x:c r="B3323" s="4" t="str">
        <x:v>RS-01700</x:v>
      </x:c>
      <x:c r="C3323" s="9" t="n">
        <x:v>2</x:v>
      </x:c>
      <x:c r="D3323" s="8" t="n">
        <x:v>45432</x:v>
      </x:c>
      <x:c r="E3323" s="9" t="n">
        <x:v>2474500</x:v>
      </x:c>
      <x:c r="F3323" s="9" t="n">
        <x:v>2474500</x:v>
      </x:c>
    </x:row>
    <x:row r="3324" ht="34" customHeight="1">
      <x:c r="A3324" s="4" t="str">
        <x:v>RS-01700-I3</x:v>
      </x:c>
      <x:c r="B3324" s="4" t="str">
        <x:v>RS-01700</x:v>
      </x:c>
      <x:c r="C3324" s="9" t="n">
        <x:v>3</x:v>
      </x:c>
      <x:c r="D3324" s="8" t="n">
        <x:v>45462</x:v>
      </x:c>
      <x:c r="E3324" s="9" t="n">
        <x:v>2474500</x:v>
      </x:c>
      <x:c r="F3324" s="9" t="n">
        <x:v>0</x:v>
      </x:c>
    </x:row>
    <x:row r="3325" ht="34" customHeight="1">
      <x:c r="A3325" s="4" t="str">
        <x:v>RS-01700-I4</x:v>
      </x:c>
      <x:c r="B3325" s="4" t="str">
        <x:v>RS-01700</x:v>
      </x:c>
      <x:c r="C3325" s="9" t="n">
        <x:v>4</x:v>
      </x:c>
      <x:c r="D3325" s="8" t="n">
        <x:v>45492</x:v>
      </x:c>
      <x:c r="E3325" s="9" t="n">
        <x:v>2474500</x:v>
      </x:c>
      <x:c r="F3325" s="9" t="n">
        <x:v>0</x:v>
      </x:c>
    </x:row>
    <x:row r="3326" ht="34" customHeight="1">
      <x:c r="A3326" s="4" t="str">
        <x:v>RS-01701-I1</x:v>
      </x:c>
      <x:c r="B3326" s="4" t="str">
        <x:v>RS-01701</x:v>
      </x:c>
      <x:c r="C3326" s="9" t="n">
        <x:v>1</x:v>
      </x:c>
      <x:c r="D3326" s="8" t="n">
        <x:v>45403</x:v>
      </x:c>
      <x:c r="E3326" s="9" t="n">
        <x:v>3125500</x:v>
      </x:c>
      <x:c r="F3326" s="9" t="n">
        <x:v>3125500</x:v>
      </x:c>
    </x:row>
    <x:row r="3327" ht="34" customHeight="1">
      <x:c r="A3327" s="4" t="str">
        <x:v>RS-01701-I2</x:v>
      </x:c>
      <x:c r="B3327" s="4" t="str">
        <x:v>RS-01701</x:v>
      </x:c>
      <x:c r="C3327" s="9" t="n">
        <x:v>2</x:v>
      </x:c>
      <x:c r="D3327" s="8" t="n">
        <x:v>45433</x:v>
      </x:c>
      <x:c r="E3327" s="9" t="n">
        <x:v>3125500</x:v>
      </x:c>
      <x:c r="F3327" s="9" t="n">
        <x:v>3125500</x:v>
      </x:c>
    </x:row>
    <x:row r="3328" ht="34" customHeight="1">
      <x:c r="A3328" s="4" t="str">
        <x:v>RS-01701-I3</x:v>
      </x:c>
      <x:c r="B3328" s="4" t="str">
        <x:v>RS-01701</x:v>
      </x:c>
      <x:c r="C3328" s="9" t="n">
        <x:v>3</x:v>
      </x:c>
      <x:c r="D3328" s="8" t="n">
        <x:v>45463</x:v>
      </x:c>
      <x:c r="E3328" s="9" t="n">
        <x:v>3125500</x:v>
      </x:c>
      <x:c r="F3328" s="9" t="n">
        <x:v>0</x:v>
      </x:c>
    </x:row>
    <x:row r="3329" ht="34" customHeight="1">
      <x:c r="A3329" s="4" t="str">
        <x:v>RS-01701-I4</x:v>
      </x:c>
      <x:c r="B3329" s="4" t="str">
        <x:v>RS-01701</x:v>
      </x:c>
      <x:c r="C3329" s="9" t="n">
        <x:v>4</x:v>
      </x:c>
      <x:c r="D3329" s="8" t="n">
        <x:v>45493</x:v>
      </x:c>
      <x:c r="E3329" s="9" t="n">
        <x:v>3125500</x:v>
      </x:c>
      <x:c r="F3329" s="9" t="n">
        <x:v>0</x:v>
      </x:c>
    </x:row>
    <x:row r="3330" ht="34" customHeight="1">
      <x:c r="A3330" s="4" t="str">
        <x:v>RS-01703-I1</x:v>
      </x:c>
      <x:c r="B3330" s="4" t="str">
        <x:v>RS-01703</x:v>
      </x:c>
      <x:c r="C3330" s="9" t="n">
        <x:v>1</x:v>
      </x:c>
      <x:c r="D3330" s="8" t="n">
        <x:v>45405</x:v>
      </x:c>
      <x:c r="E3330" s="9" t="n">
        <x:v>2588750</x:v>
      </x:c>
      <x:c r="F3330" s="9" t="n">
        <x:v>2588750</x:v>
      </x:c>
    </x:row>
    <x:row r="3331" ht="34" customHeight="1">
      <x:c r="A3331" s="4" t="str">
        <x:v>RS-01703-I2</x:v>
      </x:c>
      <x:c r="B3331" s="4" t="str">
        <x:v>RS-01703</x:v>
      </x:c>
      <x:c r="C3331" s="9" t="n">
        <x:v>2</x:v>
      </x:c>
      <x:c r="D3331" s="8" t="n">
        <x:v>45435</x:v>
      </x:c>
      <x:c r="E3331" s="9" t="n">
        <x:v>2588750</x:v>
      </x:c>
      <x:c r="F3331" s="9" t="n">
        <x:v>2588750</x:v>
      </x:c>
    </x:row>
    <x:row r="3332" ht="34" customHeight="1">
      <x:c r="A3332" s="4" t="str">
        <x:v>RS-01703-I3</x:v>
      </x:c>
      <x:c r="B3332" s="4" t="str">
        <x:v>RS-01703</x:v>
      </x:c>
      <x:c r="C3332" s="9" t="n">
        <x:v>3</x:v>
      </x:c>
      <x:c r="D3332" s="8" t="n">
        <x:v>45465</x:v>
      </x:c>
      <x:c r="E3332" s="9" t="n">
        <x:v>2588750</x:v>
      </x:c>
      <x:c r="F3332" s="9" t="n">
        <x:v>2588750</x:v>
      </x:c>
    </x:row>
    <x:row r="3333" ht="34" customHeight="1">
      <x:c r="A3333" s="4" t="str">
        <x:v>RS-01703-I4</x:v>
      </x:c>
      <x:c r="B3333" s="4" t="str">
        <x:v>RS-01703</x:v>
      </x:c>
      <x:c r="C3333" s="9" t="n">
        <x:v>4</x:v>
      </x:c>
      <x:c r="D3333" s="8" t="n">
        <x:v>45495</x:v>
      </x:c>
      <x:c r="E3333" s="9" t="n">
        <x:v>2588750</x:v>
      </x:c>
      <x:c r="F3333" s="9" t="n">
        <x:v>2588750</x:v>
      </x:c>
    </x:row>
    <x:row r="3334" ht="34" customHeight="1">
      <x:c r="A3334" s="4" t="str">
        <x:v>RS-01704-I1</x:v>
      </x:c>
      <x:c r="B3334" s="4" t="str">
        <x:v>RS-01704</x:v>
      </x:c>
      <x:c r="C3334" s="9" t="n">
        <x:v>1</x:v>
      </x:c>
      <x:c r="D3334" s="8" t="n">
        <x:v>45406</x:v>
      </x:c>
      <x:c r="E3334" s="9" t="n">
        <x:v>4475000</x:v>
      </x:c>
      <x:c r="F3334" s="9" t="n">
        <x:v>4475000</x:v>
      </x:c>
    </x:row>
    <x:row r="3335" ht="34" customHeight="1">
      <x:c r="A3335" s="4" t="str">
        <x:v>RS-01704-I2</x:v>
      </x:c>
      <x:c r="B3335" s="4" t="str">
        <x:v>RS-01704</x:v>
      </x:c>
      <x:c r="C3335" s="9" t="n">
        <x:v>2</x:v>
      </x:c>
      <x:c r="D3335" s="8" t="n">
        <x:v>45436</x:v>
      </x:c>
      <x:c r="E3335" s="9" t="n">
        <x:v>4475000</x:v>
      </x:c>
      <x:c r="F3335" s="9" t="n">
        <x:v>4475000</x:v>
      </x:c>
    </x:row>
    <x:row r="3336" ht="34" customHeight="1">
      <x:c r="A3336" s="4" t="str">
        <x:v>RS-01704-I3</x:v>
      </x:c>
      <x:c r="B3336" s="4" t="str">
        <x:v>RS-01704</x:v>
      </x:c>
      <x:c r="C3336" s="9" t="n">
        <x:v>3</x:v>
      </x:c>
      <x:c r="D3336" s="8" t="n">
        <x:v>45466</x:v>
      </x:c>
      <x:c r="E3336" s="9" t="n">
        <x:v>4475000</x:v>
      </x:c>
      <x:c r="F3336" s="9" t="n">
        <x:v>4475000</x:v>
      </x:c>
    </x:row>
    <x:row r="3337" ht="34" customHeight="1">
      <x:c r="A3337" s="4" t="str">
        <x:v>RS-01704-I4</x:v>
      </x:c>
      <x:c r="B3337" s="4" t="str">
        <x:v>RS-01704</x:v>
      </x:c>
      <x:c r="C3337" s="9" t="n">
        <x:v>4</x:v>
      </x:c>
      <x:c r="D3337" s="8" t="n">
        <x:v>45496</x:v>
      </x:c>
      <x:c r="E3337" s="9" t="n">
        <x:v>4475000</x:v>
      </x:c>
      <x:c r="F3337" s="9" t="n">
        <x:v>4475000</x:v>
      </x:c>
    </x:row>
    <x:row r="3338" ht="34" customHeight="1">
      <x:c r="A3338" s="4" t="str">
        <x:v>RS-01705-I1</x:v>
      </x:c>
      <x:c r="B3338" s="4" t="str">
        <x:v>RS-01705</x:v>
      </x:c>
      <x:c r="C3338" s="9" t="n">
        <x:v>1</x:v>
      </x:c>
      <x:c r="D3338" s="8" t="n">
        <x:v>45407</x:v>
      </x:c>
      <x:c r="E3338" s="9" t="n">
        <x:v>5687000</x:v>
      </x:c>
      <x:c r="F3338" s="9" t="n">
        <x:v>2274800</x:v>
      </x:c>
    </x:row>
    <x:row r="3339" ht="34" customHeight="1">
      <x:c r="A3339" s="4" t="str">
        <x:v>RS-01705-I2</x:v>
      </x:c>
      <x:c r="B3339" s="4" t="str">
        <x:v>RS-01705</x:v>
      </x:c>
      <x:c r="C3339" s="9" t="n">
        <x:v>2</x:v>
      </x:c>
      <x:c r="D3339" s="8" t="n">
        <x:v>45437</x:v>
      </x:c>
      <x:c r="E3339" s="9" t="n">
        <x:v>5687000</x:v>
      </x:c>
      <x:c r="F3339" s="9" t="n">
        <x:v>0</x:v>
      </x:c>
    </x:row>
    <x:row r="3340" ht="34" customHeight="1">
      <x:c r="A3340" s="4" t="str">
        <x:v>RS-01705-I3</x:v>
      </x:c>
      <x:c r="B3340" s="4" t="str">
        <x:v>RS-01705</x:v>
      </x:c>
      <x:c r="C3340" s="9" t="n">
        <x:v>3</x:v>
      </x:c>
      <x:c r="D3340" s="8" t="n">
        <x:v>45467</x:v>
      </x:c>
      <x:c r="E3340" s="9" t="n">
        <x:v>5687000</x:v>
      </x:c>
      <x:c r="F3340" s="9" t="n">
        <x:v>0</x:v>
      </x:c>
    </x:row>
    <x:row r="3341" ht="34" customHeight="1">
      <x:c r="A3341" s="4" t="str">
        <x:v>RS-01705-I4</x:v>
      </x:c>
      <x:c r="B3341" s="4" t="str">
        <x:v>RS-01705</x:v>
      </x:c>
      <x:c r="C3341" s="9" t="n">
        <x:v>4</x:v>
      </x:c>
      <x:c r="D3341" s="8" t="n">
        <x:v>45497</x:v>
      </x:c>
      <x:c r="E3341" s="9" t="n">
        <x:v>5687000</x:v>
      </x:c>
      <x:c r="F3341" s="9" t="n">
        <x:v>0</x:v>
      </x:c>
    </x:row>
    <x:row r="3342" ht="34" customHeight="1">
      <x:c r="A3342" s="4" t="str">
        <x:v>RS-01706-I1</x:v>
      </x:c>
      <x:c r="B3342" s="4" t="str">
        <x:v>RS-01706</x:v>
      </x:c>
      <x:c r="C3342" s="9" t="n">
        <x:v>1</x:v>
      </x:c>
      <x:c r="D3342" s="8" t="n">
        <x:v>45408</x:v>
      </x:c>
      <x:c r="E3342" s="9" t="n">
        <x:v>3370750</x:v>
      </x:c>
      <x:c r="F3342" s="9" t="n">
        <x:v>3370750</x:v>
      </x:c>
    </x:row>
    <x:row r="3343" ht="34" customHeight="1">
      <x:c r="A3343" s="4" t="str">
        <x:v>RS-01706-I2</x:v>
      </x:c>
      <x:c r="B3343" s="4" t="str">
        <x:v>RS-01706</x:v>
      </x:c>
      <x:c r="C3343" s="9" t="n">
        <x:v>2</x:v>
      </x:c>
      <x:c r="D3343" s="8" t="n">
        <x:v>45438</x:v>
      </x:c>
      <x:c r="E3343" s="9" t="n">
        <x:v>3370750</x:v>
      </x:c>
      <x:c r="F3343" s="9" t="n">
        <x:v>3370750</x:v>
      </x:c>
    </x:row>
    <x:row r="3344" ht="34" customHeight="1">
      <x:c r="A3344" s="4" t="str">
        <x:v>RS-01706-I3</x:v>
      </x:c>
      <x:c r="B3344" s="4" t="str">
        <x:v>RS-01706</x:v>
      </x:c>
      <x:c r="C3344" s="9" t="n">
        <x:v>3</x:v>
      </x:c>
      <x:c r="D3344" s="8" t="n">
        <x:v>45468</x:v>
      </x:c>
      <x:c r="E3344" s="9" t="n">
        <x:v>3370750</x:v>
      </x:c>
      <x:c r="F3344" s="9" t="n">
        <x:v>3370750</x:v>
      </x:c>
    </x:row>
    <x:row r="3345" ht="34" customHeight="1">
      <x:c r="A3345" s="4" t="str">
        <x:v>RS-01706-I4</x:v>
      </x:c>
      <x:c r="B3345" s="4" t="str">
        <x:v>RS-01706</x:v>
      </x:c>
      <x:c r="C3345" s="9" t="n">
        <x:v>4</x:v>
      </x:c>
      <x:c r="D3345" s="8" t="n">
        <x:v>45498</x:v>
      </x:c>
      <x:c r="E3345" s="9" t="n">
        <x:v>3370750</x:v>
      </x:c>
      <x:c r="F3345" s="9" t="n">
        <x:v>3370750</x:v>
      </x:c>
    </x:row>
    <x:row r="3346" ht="34" customHeight="1">
      <x:c r="A3346" s="4" t="str">
        <x:v>RS-01707-I1</x:v>
      </x:c>
      <x:c r="B3346" s="4" t="str">
        <x:v>RS-01707</x:v>
      </x:c>
      <x:c r="C3346" s="9" t="n">
        <x:v>1</x:v>
      </x:c>
      <x:c r="D3346" s="8" t="n">
        <x:v>45409</x:v>
      </x:c>
      <x:c r="E3346" s="9" t="n">
        <x:v>4049500</x:v>
      </x:c>
      <x:c r="F3346" s="9" t="n">
        <x:v>4049500</x:v>
      </x:c>
    </x:row>
    <x:row r="3347" ht="34" customHeight="1">
      <x:c r="A3347" s="4" t="str">
        <x:v>RS-01707-I2</x:v>
      </x:c>
      <x:c r="B3347" s="4" t="str">
        <x:v>RS-01707</x:v>
      </x:c>
      <x:c r="C3347" s="9" t="n">
        <x:v>2</x:v>
      </x:c>
      <x:c r="D3347" s="8" t="n">
        <x:v>45439</x:v>
      </x:c>
      <x:c r="E3347" s="9" t="n">
        <x:v>4049500</x:v>
      </x:c>
      <x:c r="F3347" s="9" t="n">
        <x:v>0</x:v>
      </x:c>
    </x:row>
    <x:row r="3348" ht="34" customHeight="1">
      <x:c r="A3348" s="4" t="str">
        <x:v>RS-01707-I3</x:v>
      </x:c>
      <x:c r="B3348" s="4" t="str">
        <x:v>RS-01707</x:v>
      </x:c>
      <x:c r="C3348" s="9" t="n">
        <x:v>3</x:v>
      </x:c>
      <x:c r="D3348" s="8" t="n">
        <x:v>45469</x:v>
      </x:c>
      <x:c r="E3348" s="9" t="n">
        <x:v>4049500</x:v>
      </x:c>
      <x:c r="F3348" s="9" t="n">
        <x:v>0</x:v>
      </x:c>
    </x:row>
    <x:row r="3349" ht="34" customHeight="1">
      <x:c r="A3349" s="4" t="str">
        <x:v>RS-01707-I4</x:v>
      </x:c>
      <x:c r="B3349" s="4" t="str">
        <x:v>RS-01707</x:v>
      </x:c>
      <x:c r="C3349" s="9" t="n">
        <x:v>4</x:v>
      </x:c>
      <x:c r="D3349" s="8" t="n">
        <x:v>45499</x:v>
      </x:c>
      <x:c r="E3349" s="9" t="n">
        <x:v>4049500</x:v>
      </x:c>
      <x:c r="F3349" s="9" t="n">
        <x:v>0</x:v>
      </x:c>
    </x:row>
    <x:row r="3350" ht="34" customHeight="1">
      <x:c r="A3350" s="4" t="str">
        <x:v>RS-01708-I1</x:v>
      </x:c>
      <x:c r="B3350" s="4" t="str">
        <x:v>RS-01708</x:v>
      </x:c>
      <x:c r="C3350" s="9" t="n">
        <x:v>1</x:v>
      </x:c>
      <x:c r="D3350" s="8" t="n">
        <x:v>45410</x:v>
      </x:c>
      <x:c r="E3350" s="9" t="n">
        <x:v>4527250</x:v>
      </x:c>
      <x:c r="F3350" s="9" t="n">
        <x:v>4527250</x:v>
      </x:c>
    </x:row>
    <x:row r="3351" ht="34" customHeight="1">
      <x:c r="A3351" s="4" t="str">
        <x:v>RS-01708-I2</x:v>
      </x:c>
      <x:c r="B3351" s="4" t="str">
        <x:v>RS-01708</x:v>
      </x:c>
      <x:c r="C3351" s="9" t="n">
        <x:v>2</x:v>
      </x:c>
      <x:c r="D3351" s="8" t="n">
        <x:v>45440</x:v>
      </x:c>
      <x:c r="E3351" s="9" t="n">
        <x:v>4527250</x:v>
      </x:c>
      <x:c r="F3351" s="9" t="n">
        <x:v>4527250</x:v>
      </x:c>
    </x:row>
    <x:row r="3352" ht="34" customHeight="1">
      <x:c r="A3352" s="4" t="str">
        <x:v>RS-01708-I3</x:v>
      </x:c>
      <x:c r="B3352" s="4" t="str">
        <x:v>RS-01708</x:v>
      </x:c>
      <x:c r="C3352" s="9" t="n">
        <x:v>3</x:v>
      </x:c>
      <x:c r="D3352" s="8" t="n">
        <x:v>45470</x:v>
      </x:c>
      <x:c r="E3352" s="9" t="n">
        <x:v>4527250</x:v>
      </x:c>
      <x:c r="F3352" s="9" t="n">
        <x:v>4527250</x:v>
      </x:c>
    </x:row>
    <x:row r="3353" ht="34" customHeight="1">
      <x:c r="A3353" s="4" t="str">
        <x:v>RS-01708-I4</x:v>
      </x:c>
      <x:c r="B3353" s="4" t="str">
        <x:v>RS-01708</x:v>
      </x:c>
      <x:c r="C3353" s="9" t="n">
        <x:v>4</x:v>
      </x:c>
      <x:c r="D3353" s="8" t="n">
        <x:v>45500</x:v>
      </x:c>
      <x:c r="E3353" s="9" t="n">
        <x:v>4527250</x:v>
      </x:c>
      <x:c r="F3353" s="9" t="n">
        <x:v>4527250</x:v>
      </x:c>
    </x:row>
    <x:row r="3354" ht="34" customHeight="1">
      <x:c r="A3354" s="4" t="str">
        <x:v>RS-01709-I1</x:v>
      </x:c>
      <x:c r="B3354" s="4" t="str">
        <x:v>RS-01709</x:v>
      </x:c>
      <x:c r="C3354" s="9" t="n">
        <x:v>1</x:v>
      </x:c>
      <x:c r="D3354" s="8" t="n">
        <x:v>45383</x:v>
      </x:c>
      <x:c r="E3354" s="9" t="n">
        <x:v>1513000</x:v>
      </x:c>
      <x:c r="F3354" s="9" t="n">
        <x:v>1513000</x:v>
      </x:c>
    </x:row>
    <x:row r="3355" ht="34" customHeight="1">
      <x:c r="A3355" s="4" t="str">
        <x:v>RS-01709-I2</x:v>
      </x:c>
      <x:c r="B3355" s="4" t="str">
        <x:v>RS-01709</x:v>
      </x:c>
      <x:c r="C3355" s="9" t="n">
        <x:v>2</x:v>
      </x:c>
      <x:c r="D3355" s="8" t="n">
        <x:v>45413</x:v>
      </x:c>
      <x:c r="E3355" s="9" t="n">
        <x:v>1513000</x:v>
      </x:c>
      <x:c r="F3355" s="9" t="n">
        <x:v>0</x:v>
      </x:c>
    </x:row>
    <x:row r="3356" ht="34" customHeight="1">
      <x:c r="A3356" s="4" t="str">
        <x:v>RS-01709-I3</x:v>
      </x:c>
      <x:c r="B3356" s="4" t="str">
        <x:v>RS-01709</x:v>
      </x:c>
      <x:c r="C3356" s="9" t="n">
        <x:v>3</x:v>
      </x:c>
      <x:c r="D3356" s="8" t="n">
        <x:v>45443</x:v>
      </x:c>
      <x:c r="E3356" s="9" t="n">
        <x:v>1513000</x:v>
      </x:c>
      <x:c r="F3356" s="9" t="n">
        <x:v>0</x:v>
      </x:c>
    </x:row>
    <x:row r="3357" ht="34" customHeight="1">
      <x:c r="A3357" s="4" t="str">
        <x:v>RS-01709-I4</x:v>
      </x:c>
      <x:c r="B3357" s="4" t="str">
        <x:v>RS-01709</x:v>
      </x:c>
      <x:c r="C3357" s="9" t="n">
        <x:v>4</x:v>
      </x:c>
      <x:c r="D3357" s="8" t="n">
        <x:v>45473</x:v>
      </x:c>
      <x:c r="E3357" s="9" t="n">
        <x:v>1513000</x:v>
      </x:c>
      <x:c r="F3357" s="9" t="n">
        <x:v>0</x:v>
      </x:c>
    </x:row>
    <x:row r="3358" ht="34" customHeight="1">
      <x:c r="A3358" s="4" t="str">
        <x:v>RS-01713-I1</x:v>
      </x:c>
      <x:c r="B3358" s="4" t="str">
        <x:v>RS-01713</x:v>
      </x:c>
      <x:c r="C3358" s="9" t="n">
        <x:v>1</x:v>
      </x:c>
      <x:c r="D3358" s="8" t="n">
        <x:v>45387</x:v>
      </x:c>
      <x:c r="E3358" s="9" t="n">
        <x:v>5437250</x:v>
      </x:c>
      <x:c r="F3358" s="9" t="n">
        <x:v>5437250</x:v>
      </x:c>
    </x:row>
    <x:row r="3359" ht="34" customHeight="1">
      <x:c r="A3359" s="4" t="str">
        <x:v>RS-01713-I2</x:v>
      </x:c>
      <x:c r="B3359" s="4" t="str">
        <x:v>RS-01713</x:v>
      </x:c>
      <x:c r="C3359" s="9" t="n">
        <x:v>2</x:v>
      </x:c>
      <x:c r="D3359" s="8" t="n">
        <x:v>45417</x:v>
      </x:c>
      <x:c r="E3359" s="9" t="n">
        <x:v>5437250</x:v>
      </x:c>
      <x:c r="F3359" s="9" t="n">
        <x:v>5437250</x:v>
      </x:c>
    </x:row>
    <x:row r="3360" ht="34" customHeight="1">
      <x:c r="A3360" s="4" t="str">
        <x:v>RS-01713-I3</x:v>
      </x:c>
      <x:c r="B3360" s="4" t="str">
        <x:v>RS-01713</x:v>
      </x:c>
      <x:c r="C3360" s="9" t="n">
        <x:v>3</x:v>
      </x:c>
      <x:c r="D3360" s="8" t="n">
        <x:v>45447</x:v>
      </x:c>
      <x:c r="E3360" s="9" t="n">
        <x:v>5437250</x:v>
      </x:c>
      <x:c r="F3360" s="9" t="n">
        <x:v>5437250</x:v>
      </x:c>
    </x:row>
    <x:row r="3361" ht="34" customHeight="1">
      <x:c r="A3361" s="4" t="str">
        <x:v>RS-01713-I4</x:v>
      </x:c>
      <x:c r="B3361" s="4" t="str">
        <x:v>RS-01713</x:v>
      </x:c>
      <x:c r="C3361" s="9" t="n">
        <x:v>4</x:v>
      </x:c>
      <x:c r="D3361" s="8" t="n">
        <x:v>45477</x:v>
      </x:c>
      <x:c r="E3361" s="9" t="n">
        <x:v>5437250</x:v>
      </x:c>
      <x:c r="F3361" s="9" t="n">
        <x:v>5437250</x:v>
      </x:c>
    </x:row>
    <x:row r="3362" ht="34" customHeight="1">
      <x:c r="A3362" s="4" t="str">
        <x:v>RS-01714-I1</x:v>
      </x:c>
      <x:c r="B3362" s="4" t="str">
        <x:v>RS-01714</x:v>
      </x:c>
      <x:c r="C3362" s="9" t="n">
        <x:v>1</x:v>
      </x:c>
      <x:c r="D3362" s="8" t="n">
        <x:v>45388</x:v>
      </x:c>
      <x:c r="E3362" s="9" t="n">
        <x:v>1624250</x:v>
      </x:c>
      <x:c r="F3362" s="9" t="n">
        <x:v>1624250</x:v>
      </x:c>
    </x:row>
    <x:row r="3363" ht="34" customHeight="1">
      <x:c r="A3363" s="4" t="str">
        <x:v>RS-01714-I2</x:v>
      </x:c>
      <x:c r="B3363" s="4" t="str">
        <x:v>RS-01714</x:v>
      </x:c>
      <x:c r="C3363" s="9" t="n">
        <x:v>2</x:v>
      </x:c>
      <x:c r="D3363" s="8" t="n">
        <x:v>45418</x:v>
      </x:c>
      <x:c r="E3363" s="9" t="n">
        <x:v>1624250</x:v>
      </x:c>
      <x:c r="F3363" s="9" t="n">
        <x:v>0</x:v>
      </x:c>
    </x:row>
    <x:row r="3364" ht="34" customHeight="1">
      <x:c r="A3364" s="4" t="str">
        <x:v>RS-01714-I3</x:v>
      </x:c>
      <x:c r="B3364" s="4" t="str">
        <x:v>RS-01714</x:v>
      </x:c>
      <x:c r="C3364" s="9" t="n">
        <x:v>3</x:v>
      </x:c>
      <x:c r="D3364" s="8" t="n">
        <x:v>45448</x:v>
      </x:c>
      <x:c r="E3364" s="9" t="n">
        <x:v>1624250</x:v>
      </x:c>
      <x:c r="F3364" s="9" t="n">
        <x:v>0</x:v>
      </x:c>
    </x:row>
    <x:row r="3365" ht="34" customHeight="1">
      <x:c r="A3365" s="4" t="str">
        <x:v>RS-01714-I4</x:v>
      </x:c>
      <x:c r="B3365" s="4" t="str">
        <x:v>RS-01714</x:v>
      </x:c>
      <x:c r="C3365" s="9" t="n">
        <x:v>4</x:v>
      </x:c>
      <x:c r="D3365" s="8" t="n">
        <x:v>45478</x:v>
      </x:c>
      <x:c r="E3365" s="9" t="n">
        <x:v>1624250</x:v>
      </x:c>
      <x:c r="F3365" s="9" t="n">
        <x:v>0</x:v>
      </x:c>
    </x:row>
    <x:row r="3366" ht="34" customHeight="1">
      <x:c r="A3366" s="4" t="str">
        <x:v>RS-01715-I1</x:v>
      </x:c>
      <x:c r="B3366" s="4" t="str">
        <x:v>RS-01715</x:v>
      </x:c>
      <x:c r="C3366" s="9" t="n">
        <x:v>1</x:v>
      </x:c>
      <x:c r="D3366" s="8" t="n">
        <x:v>45389</x:v>
      </x:c>
      <x:c r="E3366" s="9" t="n">
        <x:v>5795750</x:v>
      </x:c>
      <x:c r="F3366" s="9" t="n">
        <x:v>5795750</x:v>
      </x:c>
    </x:row>
    <x:row r="3367" ht="34" customHeight="1">
      <x:c r="A3367" s="4" t="str">
        <x:v>RS-01715-I2</x:v>
      </x:c>
      <x:c r="B3367" s="4" t="str">
        <x:v>RS-01715</x:v>
      </x:c>
      <x:c r="C3367" s="9" t="n">
        <x:v>2</x:v>
      </x:c>
      <x:c r="D3367" s="8" t="n">
        <x:v>45419</x:v>
      </x:c>
      <x:c r="E3367" s="9" t="n">
        <x:v>5795750</x:v>
      </x:c>
      <x:c r="F3367" s="9" t="n">
        <x:v>0</x:v>
      </x:c>
    </x:row>
    <x:row r="3368" ht="34" customHeight="1">
      <x:c r="A3368" s="4" t="str">
        <x:v>RS-01715-I3</x:v>
      </x:c>
      <x:c r="B3368" s="4" t="str">
        <x:v>RS-01715</x:v>
      </x:c>
      <x:c r="C3368" s="9" t="n">
        <x:v>3</x:v>
      </x:c>
      <x:c r="D3368" s="8" t="n">
        <x:v>45449</x:v>
      </x:c>
      <x:c r="E3368" s="9" t="n">
        <x:v>5795750</x:v>
      </x:c>
      <x:c r="F3368" s="9" t="n">
        <x:v>0</x:v>
      </x:c>
    </x:row>
    <x:row r="3369" ht="34" customHeight="1">
      <x:c r="A3369" s="4" t="str">
        <x:v>RS-01715-I4</x:v>
      </x:c>
      <x:c r="B3369" s="4" t="str">
        <x:v>RS-01715</x:v>
      </x:c>
      <x:c r="C3369" s="9" t="n">
        <x:v>4</x:v>
      </x:c>
      <x:c r="D3369" s="8" t="n">
        <x:v>45479</x:v>
      </x:c>
      <x:c r="E3369" s="9" t="n">
        <x:v>5795750</x:v>
      </x:c>
      <x:c r="F3369" s="9" t="n">
        <x:v>0</x:v>
      </x:c>
    </x:row>
    <x:row r="3370" ht="34" customHeight="1">
      <x:c r="A3370" s="4" t="str">
        <x:v>RS-01716-I1</x:v>
      </x:c>
      <x:c r="B3370" s="4" t="str">
        <x:v>RS-01716</x:v>
      </x:c>
      <x:c r="C3370" s="9" t="n">
        <x:v>1</x:v>
      </x:c>
      <x:c r="D3370" s="8" t="n">
        <x:v>45390</x:v>
      </x:c>
      <x:c r="E3370" s="9" t="n">
        <x:v>1725000</x:v>
      </x:c>
      <x:c r="F3370" s="9" t="n">
        <x:v>1725000</x:v>
      </x:c>
    </x:row>
    <x:row r="3371" ht="34" customHeight="1">
      <x:c r="A3371" s="4" t="str">
        <x:v>RS-01716-I2</x:v>
      </x:c>
      <x:c r="B3371" s="4" t="str">
        <x:v>RS-01716</x:v>
      </x:c>
      <x:c r="C3371" s="9" t="n">
        <x:v>2</x:v>
      </x:c>
      <x:c r="D3371" s="8" t="n">
        <x:v>45420</x:v>
      </x:c>
      <x:c r="E3371" s="9" t="n">
        <x:v>1725000</x:v>
      </x:c>
      <x:c r="F3371" s="9" t="n">
        <x:v>0</x:v>
      </x:c>
    </x:row>
    <x:row r="3372" ht="34" customHeight="1">
      <x:c r="A3372" s="4" t="str">
        <x:v>RS-01716-I3</x:v>
      </x:c>
      <x:c r="B3372" s="4" t="str">
        <x:v>RS-01716</x:v>
      </x:c>
      <x:c r="C3372" s="9" t="n">
        <x:v>3</x:v>
      </x:c>
      <x:c r="D3372" s="8" t="n">
        <x:v>45450</x:v>
      </x:c>
      <x:c r="E3372" s="9" t="n">
        <x:v>1725000</x:v>
      </x:c>
      <x:c r="F3372" s="9" t="n">
        <x:v>0</x:v>
      </x:c>
    </x:row>
    <x:row r="3373" ht="34" customHeight="1">
      <x:c r="A3373" s="4" t="str">
        <x:v>RS-01716-I4</x:v>
      </x:c>
      <x:c r="B3373" s="4" t="str">
        <x:v>RS-01716</x:v>
      </x:c>
      <x:c r="C3373" s="9" t="n">
        <x:v>4</x:v>
      </x:c>
      <x:c r="D3373" s="8" t="n">
        <x:v>45480</x:v>
      </x:c>
      <x:c r="E3373" s="9" t="n">
        <x:v>1725000</x:v>
      </x:c>
      <x:c r="F3373" s="9" t="n">
        <x:v>0</x:v>
      </x:c>
    </x:row>
    <x:row r="3374" ht="34" customHeight="1">
      <x:c r="A3374" s="4" t="str">
        <x:v>RS-01719-I1</x:v>
      </x:c>
      <x:c r="B3374" s="4" t="str">
        <x:v>RS-01719</x:v>
      </x:c>
      <x:c r="C3374" s="9" t="n">
        <x:v>1</x:v>
      </x:c>
      <x:c r="D3374" s="8" t="n">
        <x:v>45393</x:v>
      </x:c>
      <x:c r="E3374" s="9" t="n">
        <x:v>1092500</x:v>
      </x:c>
      <x:c r="F3374" s="9" t="n">
        <x:v>437000</x:v>
      </x:c>
    </x:row>
    <x:row r="3375" ht="34" customHeight="1">
      <x:c r="A3375" s="4" t="str">
        <x:v>RS-01719-I2</x:v>
      </x:c>
      <x:c r="B3375" s="4" t="str">
        <x:v>RS-01719</x:v>
      </x:c>
      <x:c r="C3375" s="9" t="n">
        <x:v>2</x:v>
      </x:c>
      <x:c r="D3375" s="8" t="n">
        <x:v>45423</x:v>
      </x:c>
      <x:c r="E3375" s="9" t="n">
        <x:v>1092500</x:v>
      </x:c>
      <x:c r="F3375" s="9" t="n">
        <x:v>0</x:v>
      </x:c>
    </x:row>
    <x:row r="3376" ht="34" customHeight="1">
      <x:c r="A3376" s="4" t="str">
        <x:v>RS-01719-I3</x:v>
      </x:c>
      <x:c r="B3376" s="4" t="str">
        <x:v>RS-01719</x:v>
      </x:c>
      <x:c r="C3376" s="9" t="n">
        <x:v>3</x:v>
      </x:c>
      <x:c r="D3376" s="8" t="n">
        <x:v>45453</x:v>
      </x:c>
      <x:c r="E3376" s="9" t="n">
        <x:v>1092500</x:v>
      </x:c>
      <x:c r="F3376" s="9" t="n">
        <x:v>0</x:v>
      </x:c>
    </x:row>
    <x:row r="3377" ht="34" customHeight="1">
      <x:c r="A3377" s="4" t="str">
        <x:v>RS-01719-I4</x:v>
      </x:c>
      <x:c r="B3377" s="4" t="str">
        <x:v>RS-01719</x:v>
      </x:c>
      <x:c r="C3377" s="9" t="n">
        <x:v>4</x:v>
      </x:c>
      <x:c r="D3377" s="8" t="n">
        <x:v>45483</x:v>
      </x:c>
      <x:c r="E3377" s="9" t="n">
        <x:v>1092500</x:v>
      </x:c>
      <x:c r="F3377" s="9" t="n">
        <x:v>0</x:v>
      </x:c>
    </x:row>
    <x:row r="3378" ht="34" customHeight="1">
      <x:c r="A3378" s="4" t="str">
        <x:v>RS-01720-I1</x:v>
      </x:c>
      <x:c r="B3378" s="4" t="str">
        <x:v>RS-01720</x:v>
      </x:c>
      <x:c r="C3378" s="9" t="n">
        <x:v>1</x:v>
      </x:c>
      <x:c r="D3378" s="8" t="n">
        <x:v>45394</x:v>
      </x:c>
      <x:c r="E3378" s="9" t="n">
        <x:v>2958500</x:v>
      </x:c>
      <x:c r="F3378" s="9" t="n">
        <x:v>2958500</x:v>
      </x:c>
    </x:row>
    <x:row r="3379" ht="34" customHeight="1">
      <x:c r="A3379" s="4" t="str">
        <x:v>RS-01720-I2</x:v>
      </x:c>
      <x:c r="B3379" s="4" t="str">
        <x:v>RS-01720</x:v>
      </x:c>
      <x:c r="C3379" s="9" t="n">
        <x:v>2</x:v>
      </x:c>
      <x:c r="D3379" s="8" t="n">
        <x:v>45424</x:v>
      </x:c>
      <x:c r="E3379" s="9" t="n">
        <x:v>2958500</x:v>
      </x:c>
      <x:c r="F3379" s="9" t="n">
        <x:v>2958500</x:v>
      </x:c>
    </x:row>
    <x:row r="3380" ht="34" customHeight="1">
      <x:c r="A3380" s="4" t="str">
        <x:v>RS-01720-I3</x:v>
      </x:c>
      <x:c r="B3380" s="4" t="str">
        <x:v>RS-01720</x:v>
      </x:c>
      <x:c r="C3380" s="9" t="n">
        <x:v>3</x:v>
      </x:c>
      <x:c r="D3380" s="8" t="n">
        <x:v>45454</x:v>
      </x:c>
      <x:c r="E3380" s="9" t="n">
        <x:v>2958500</x:v>
      </x:c>
      <x:c r="F3380" s="9" t="n">
        <x:v>0</x:v>
      </x:c>
    </x:row>
    <x:row r="3381" ht="34" customHeight="1">
      <x:c r="A3381" s="4" t="str">
        <x:v>RS-01720-I4</x:v>
      </x:c>
      <x:c r="B3381" s="4" t="str">
        <x:v>RS-01720</x:v>
      </x:c>
      <x:c r="C3381" s="9" t="n">
        <x:v>4</x:v>
      </x:c>
      <x:c r="D3381" s="8" t="n">
        <x:v>45484</x:v>
      </x:c>
      <x:c r="E3381" s="9" t="n">
        <x:v>2958500</x:v>
      </x:c>
      <x:c r="F3381" s="9" t="n">
        <x:v>0</x:v>
      </x:c>
    </x:row>
    <x:row r="3382" ht="34" customHeight="1">
      <x:c r="A3382" s="4" t="str">
        <x:v>RS-01721-I1</x:v>
      </x:c>
      <x:c r="B3382" s="4" t="str">
        <x:v>RS-01721</x:v>
      </x:c>
      <x:c r="C3382" s="9" t="n">
        <x:v>1</x:v>
      </x:c>
      <x:c r="D3382" s="8" t="n">
        <x:v>45395</x:v>
      </x:c>
      <x:c r="E3382" s="9" t="n">
        <x:v>1867250</x:v>
      </x:c>
      <x:c r="F3382" s="9" t="n">
        <x:v>1867250</x:v>
      </x:c>
    </x:row>
    <x:row r="3383" ht="34" customHeight="1">
      <x:c r="A3383" s="4" t="str">
        <x:v>RS-01721-I2</x:v>
      </x:c>
      <x:c r="B3383" s="4" t="str">
        <x:v>RS-01721</x:v>
      </x:c>
      <x:c r="C3383" s="9" t="n">
        <x:v>2</x:v>
      </x:c>
      <x:c r="D3383" s="8" t="n">
        <x:v>45425</x:v>
      </x:c>
      <x:c r="E3383" s="9" t="n">
        <x:v>1867250</x:v>
      </x:c>
      <x:c r="F3383" s="9" t="n">
        <x:v>0</x:v>
      </x:c>
    </x:row>
    <x:row r="3384" ht="34" customHeight="1">
      <x:c r="A3384" s="4" t="str">
        <x:v>RS-01721-I3</x:v>
      </x:c>
      <x:c r="B3384" s="4" t="str">
        <x:v>RS-01721</x:v>
      </x:c>
      <x:c r="C3384" s="9" t="n">
        <x:v>3</x:v>
      </x:c>
      <x:c r="D3384" s="8" t="n">
        <x:v>45455</x:v>
      </x:c>
      <x:c r="E3384" s="9" t="n">
        <x:v>1867250</x:v>
      </x:c>
      <x:c r="F3384" s="9" t="n">
        <x:v>0</x:v>
      </x:c>
    </x:row>
    <x:row r="3385" ht="34" customHeight="1">
      <x:c r="A3385" s="4" t="str">
        <x:v>RS-01721-I4</x:v>
      </x:c>
      <x:c r="B3385" s="4" t="str">
        <x:v>RS-01721</x:v>
      </x:c>
      <x:c r="C3385" s="9" t="n">
        <x:v>4</x:v>
      </x:c>
      <x:c r="D3385" s="8" t="n">
        <x:v>45485</x:v>
      </x:c>
      <x:c r="E3385" s="9" t="n">
        <x:v>1867250</x:v>
      </x:c>
      <x:c r="F3385" s="9" t="n">
        <x:v>0</x:v>
      </x:c>
    </x:row>
    <x:row r="3386" ht="34" customHeight="1">
      <x:c r="A3386" s="4" t="str">
        <x:v>RS-01723-I1</x:v>
      </x:c>
      <x:c r="B3386" s="4" t="str">
        <x:v>RS-01723</x:v>
      </x:c>
      <x:c r="C3386" s="9" t="n">
        <x:v>1</x:v>
      </x:c>
      <x:c r="D3386" s="8" t="n">
        <x:v>45397</x:v>
      </x:c>
      <x:c r="E3386" s="9" t="n">
        <x:v>5696250</x:v>
      </x:c>
      <x:c r="F3386" s="9" t="n">
        <x:v>5696250</x:v>
      </x:c>
    </x:row>
    <x:row r="3387" ht="34" customHeight="1">
      <x:c r="A3387" s="4" t="str">
        <x:v>RS-01723-I2</x:v>
      </x:c>
      <x:c r="B3387" s="4" t="str">
        <x:v>RS-01723</x:v>
      </x:c>
      <x:c r="C3387" s="9" t="n">
        <x:v>2</x:v>
      </x:c>
      <x:c r="D3387" s="8" t="n">
        <x:v>45427</x:v>
      </x:c>
      <x:c r="E3387" s="9" t="n">
        <x:v>5696250</x:v>
      </x:c>
      <x:c r="F3387" s="9" t="n">
        <x:v>5696250</x:v>
      </x:c>
    </x:row>
    <x:row r="3388" ht="34" customHeight="1">
      <x:c r="A3388" s="4" t="str">
        <x:v>RS-01723-I3</x:v>
      </x:c>
      <x:c r="B3388" s="4" t="str">
        <x:v>RS-01723</x:v>
      </x:c>
      <x:c r="C3388" s="9" t="n">
        <x:v>3</x:v>
      </x:c>
      <x:c r="D3388" s="8" t="n">
        <x:v>45457</x:v>
      </x:c>
      <x:c r="E3388" s="9" t="n">
        <x:v>5696250</x:v>
      </x:c>
      <x:c r="F3388" s="9" t="n">
        <x:v>0</x:v>
      </x:c>
    </x:row>
    <x:row r="3389" ht="34" customHeight="1">
      <x:c r="A3389" s="4" t="str">
        <x:v>RS-01723-I4</x:v>
      </x:c>
      <x:c r="B3389" s="4" t="str">
        <x:v>RS-01723</x:v>
      </x:c>
      <x:c r="C3389" s="9" t="n">
        <x:v>4</x:v>
      </x:c>
      <x:c r="D3389" s="8" t="n">
        <x:v>45487</x:v>
      </x:c>
      <x:c r="E3389" s="9" t="n">
        <x:v>5696250</x:v>
      </x:c>
      <x:c r="F3389" s="9" t="n">
        <x:v>0</x:v>
      </x:c>
    </x:row>
    <x:row r="3390" ht="34" customHeight="1">
      <x:c r="A3390" s="4" t="str">
        <x:v>RS-01724-I1</x:v>
      </x:c>
      <x:c r="B3390" s="4" t="str">
        <x:v>RS-01724</x:v>
      </x:c>
      <x:c r="C3390" s="9" t="n">
        <x:v>1</x:v>
      </x:c>
      <x:c r="D3390" s="8" t="n">
        <x:v>45398</x:v>
      </x:c>
      <x:c r="E3390" s="9" t="n">
        <x:v>4945000</x:v>
      </x:c>
      <x:c r="F3390" s="9" t="n">
        <x:v>4945000</x:v>
      </x:c>
    </x:row>
    <x:row r="3391" ht="34" customHeight="1">
      <x:c r="A3391" s="4" t="str">
        <x:v>RS-01724-I2</x:v>
      </x:c>
      <x:c r="B3391" s="4" t="str">
        <x:v>RS-01724</x:v>
      </x:c>
      <x:c r="C3391" s="9" t="n">
        <x:v>2</x:v>
      </x:c>
      <x:c r="D3391" s="8" t="n">
        <x:v>45428</x:v>
      </x:c>
      <x:c r="E3391" s="9" t="n">
        <x:v>4945000</x:v>
      </x:c>
      <x:c r="F3391" s="9" t="n">
        <x:v>0</x:v>
      </x:c>
    </x:row>
    <x:row r="3392" ht="34" customHeight="1">
      <x:c r="A3392" s="4" t="str">
        <x:v>RS-01724-I3</x:v>
      </x:c>
      <x:c r="B3392" s="4" t="str">
        <x:v>RS-01724</x:v>
      </x:c>
      <x:c r="C3392" s="9" t="n">
        <x:v>3</x:v>
      </x:c>
      <x:c r="D3392" s="8" t="n">
        <x:v>45458</x:v>
      </x:c>
      <x:c r="E3392" s="9" t="n">
        <x:v>4945000</x:v>
      </x:c>
      <x:c r="F3392" s="9" t="n">
        <x:v>0</x:v>
      </x:c>
    </x:row>
    <x:row r="3393" ht="34" customHeight="1">
      <x:c r="A3393" s="4" t="str">
        <x:v>RS-01724-I4</x:v>
      </x:c>
      <x:c r="B3393" s="4" t="str">
        <x:v>RS-01724</x:v>
      </x:c>
      <x:c r="C3393" s="9" t="n">
        <x:v>4</x:v>
      </x:c>
      <x:c r="D3393" s="8" t="n">
        <x:v>45488</x:v>
      </x:c>
      <x:c r="E3393" s="9" t="n">
        <x:v>4945000</x:v>
      </x:c>
      <x:c r="F3393" s="9" t="n">
        <x:v>0</x:v>
      </x:c>
    </x:row>
    <x:row r="3394" ht="34" customHeight="1">
      <x:c r="A3394" s="4" t="str">
        <x:v>RS-01726-I1</x:v>
      </x:c>
      <x:c r="B3394" s="4" t="str">
        <x:v>RS-01726</x:v>
      </x:c>
      <x:c r="C3394" s="9" t="n">
        <x:v>1</x:v>
      </x:c>
      <x:c r="D3394" s="8" t="n">
        <x:v>45400</x:v>
      </x:c>
      <x:c r="E3394" s="9" t="n">
        <x:v>3407500</x:v>
      </x:c>
      <x:c r="F3394" s="9" t="n">
        <x:v>3407500</x:v>
      </x:c>
    </x:row>
    <x:row r="3395" ht="34" customHeight="1">
      <x:c r="A3395" s="4" t="str">
        <x:v>RS-01726-I2</x:v>
      </x:c>
      <x:c r="B3395" s="4" t="str">
        <x:v>RS-01726</x:v>
      </x:c>
      <x:c r="C3395" s="9" t="n">
        <x:v>2</x:v>
      </x:c>
      <x:c r="D3395" s="8" t="n">
        <x:v>45430</x:v>
      </x:c>
      <x:c r="E3395" s="9" t="n">
        <x:v>3407500</x:v>
      </x:c>
      <x:c r="F3395" s="9" t="n">
        <x:v>0</x:v>
      </x:c>
    </x:row>
    <x:row r="3396" ht="34" customHeight="1">
      <x:c r="A3396" s="4" t="str">
        <x:v>RS-01726-I3</x:v>
      </x:c>
      <x:c r="B3396" s="4" t="str">
        <x:v>RS-01726</x:v>
      </x:c>
      <x:c r="C3396" s="9" t="n">
        <x:v>3</x:v>
      </x:c>
      <x:c r="D3396" s="8" t="n">
        <x:v>45460</x:v>
      </x:c>
      <x:c r="E3396" s="9" t="n">
        <x:v>3407500</x:v>
      </x:c>
      <x:c r="F3396" s="9" t="n">
        <x:v>0</x:v>
      </x:c>
    </x:row>
    <x:row r="3397" ht="34" customHeight="1">
      <x:c r="A3397" s="4" t="str">
        <x:v>RS-01726-I4</x:v>
      </x:c>
      <x:c r="B3397" s="4" t="str">
        <x:v>RS-01726</x:v>
      </x:c>
      <x:c r="C3397" s="9" t="n">
        <x:v>4</x:v>
      </x:c>
      <x:c r="D3397" s="8" t="n">
        <x:v>45490</x:v>
      </x:c>
      <x:c r="E3397" s="9" t="n">
        <x:v>3407500</x:v>
      </x:c>
      <x:c r="F3397" s="9" t="n">
        <x:v>0</x:v>
      </x:c>
    </x:row>
    <x:row r="3398" ht="34" customHeight="1">
      <x:c r="A3398" s="4" t="str">
        <x:v>RS-01728-I1</x:v>
      </x:c>
      <x:c r="B3398" s="4" t="str">
        <x:v>RS-01728</x:v>
      </x:c>
      <x:c r="C3398" s="9" t="n">
        <x:v>1</x:v>
      </x:c>
      <x:c r="D3398" s="8" t="n">
        <x:v>45402</x:v>
      </x:c>
      <x:c r="E3398" s="9" t="n">
        <x:v>4679500</x:v>
      </x:c>
      <x:c r="F3398" s="9" t="n">
        <x:v>4679500</x:v>
      </x:c>
    </x:row>
    <x:row r="3399" ht="34" customHeight="1">
      <x:c r="A3399" s="4" t="str">
        <x:v>RS-01728-I2</x:v>
      </x:c>
      <x:c r="B3399" s="4" t="str">
        <x:v>RS-01728</x:v>
      </x:c>
      <x:c r="C3399" s="9" t="n">
        <x:v>2</x:v>
      </x:c>
      <x:c r="D3399" s="8" t="n">
        <x:v>45432</x:v>
      </x:c>
      <x:c r="E3399" s="9" t="n">
        <x:v>4679500</x:v>
      </x:c>
      <x:c r="F3399" s="9" t="n">
        <x:v>4679500</x:v>
      </x:c>
    </x:row>
    <x:row r="3400" ht="34" customHeight="1">
      <x:c r="A3400" s="4" t="str">
        <x:v>RS-01728-I3</x:v>
      </x:c>
      <x:c r="B3400" s="4" t="str">
        <x:v>RS-01728</x:v>
      </x:c>
      <x:c r="C3400" s="9" t="n">
        <x:v>3</x:v>
      </x:c>
      <x:c r="D3400" s="8" t="n">
        <x:v>45462</x:v>
      </x:c>
      <x:c r="E3400" s="9" t="n">
        <x:v>4679500</x:v>
      </x:c>
      <x:c r="F3400" s="9" t="n">
        <x:v>0</x:v>
      </x:c>
    </x:row>
    <x:row r="3401" ht="34" customHeight="1">
      <x:c r="A3401" s="4" t="str">
        <x:v>RS-01728-I4</x:v>
      </x:c>
      <x:c r="B3401" s="4" t="str">
        <x:v>RS-01728</x:v>
      </x:c>
      <x:c r="C3401" s="9" t="n">
        <x:v>4</x:v>
      </x:c>
      <x:c r="D3401" s="8" t="n">
        <x:v>45492</x:v>
      </x:c>
      <x:c r="E3401" s="9" t="n">
        <x:v>4679500</x:v>
      </x:c>
      <x:c r="F3401" s="9" t="n">
        <x:v>0</x:v>
      </x:c>
    </x:row>
    <x:row r="3402" ht="34" customHeight="1">
      <x:c r="A3402" s="4" t="str">
        <x:v>RS-01731-I1</x:v>
      </x:c>
      <x:c r="B3402" s="4" t="str">
        <x:v>RS-01731</x:v>
      </x:c>
      <x:c r="C3402" s="9" t="n">
        <x:v>1</x:v>
      </x:c>
      <x:c r="D3402" s="8" t="n">
        <x:v>45405</x:v>
      </x:c>
      <x:c r="E3402" s="9" t="n">
        <x:v>3322250</x:v>
      </x:c>
      <x:c r="F3402" s="9" t="n">
        <x:v>3322250</x:v>
      </x:c>
    </x:row>
    <x:row r="3403" ht="34" customHeight="1">
      <x:c r="A3403" s="4" t="str">
        <x:v>RS-01731-I2</x:v>
      </x:c>
      <x:c r="B3403" s="4" t="str">
        <x:v>RS-01731</x:v>
      </x:c>
      <x:c r="C3403" s="9" t="n">
        <x:v>2</x:v>
      </x:c>
      <x:c r="D3403" s="8" t="n">
        <x:v>45435</x:v>
      </x:c>
      <x:c r="E3403" s="9" t="n">
        <x:v>3322250</x:v>
      </x:c>
      <x:c r="F3403" s="9" t="n">
        <x:v>3322250</x:v>
      </x:c>
    </x:row>
    <x:row r="3404" ht="34" customHeight="1">
      <x:c r="A3404" s="4" t="str">
        <x:v>RS-01731-I3</x:v>
      </x:c>
      <x:c r="B3404" s="4" t="str">
        <x:v>RS-01731</x:v>
      </x:c>
      <x:c r="C3404" s="9" t="n">
        <x:v>3</x:v>
      </x:c>
      <x:c r="D3404" s="8" t="n">
        <x:v>45465</x:v>
      </x:c>
      <x:c r="E3404" s="9" t="n">
        <x:v>3322250</x:v>
      </x:c>
      <x:c r="F3404" s="9" t="n">
        <x:v>0</x:v>
      </x:c>
    </x:row>
    <x:row r="3405" ht="34" customHeight="1">
      <x:c r="A3405" s="4" t="str">
        <x:v>RS-01731-I4</x:v>
      </x:c>
      <x:c r="B3405" s="4" t="str">
        <x:v>RS-01731</x:v>
      </x:c>
      <x:c r="C3405" s="9" t="n">
        <x:v>4</x:v>
      </x:c>
      <x:c r="D3405" s="8" t="n">
        <x:v>45495</x:v>
      </x:c>
      <x:c r="E3405" s="9" t="n">
        <x:v>3322250</x:v>
      </x:c>
      <x:c r="F3405" s="9" t="n">
        <x:v>0</x:v>
      </x:c>
    </x:row>
    <x:row r="3406" ht="34" customHeight="1">
      <x:c r="A3406" s="4" t="str">
        <x:v>RS-01732-I1</x:v>
      </x:c>
      <x:c r="B3406" s="4" t="str">
        <x:v>RS-01732</x:v>
      </x:c>
      <x:c r="C3406" s="9" t="n">
        <x:v>1</x:v>
      </x:c>
      <x:c r="D3406" s="8" t="n">
        <x:v>45406</x:v>
      </x:c>
      <x:c r="E3406" s="9" t="n">
        <x:v>5302000</x:v>
      </x:c>
      <x:c r="F3406" s="9" t="n">
        <x:v>5302000</x:v>
      </x:c>
    </x:row>
    <x:row r="3407" ht="34" customHeight="1">
      <x:c r="A3407" s="4" t="str">
        <x:v>RS-01732-I2</x:v>
      </x:c>
      <x:c r="B3407" s="4" t="str">
        <x:v>RS-01732</x:v>
      </x:c>
      <x:c r="C3407" s="9" t="n">
        <x:v>2</x:v>
      </x:c>
      <x:c r="D3407" s="8" t="n">
        <x:v>45436</x:v>
      </x:c>
      <x:c r="E3407" s="9" t="n">
        <x:v>5302000</x:v>
      </x:c>
      <x:c r="F3407" s="9" t="n">
        <x:v>5302000</x:v>
      </x:c>
    </x:row>
    <x:row r="3408" ht="34" customHeight="1">
      <x:c r="A3408" s="4" t="str">
        <x:v>RS-01732-I3</x:v>
      </x:c>
      <x:c r="B3408" s="4" t="str">
        <x:v>RS-01732</x:v>
      </x:c>
      <x:c r="C3408" s="9" t="n">
        <x:v>3</x:v>
      </x:c>
      <x:c r="D3408" s="8" t="n">
        <x:v>45466</x:v>
      </x:c>
      <x:c r="E3408" s="9" t="n">
        <x:v>5302000</x:v>
      </x:c>
      <x:c r="F3408" s="9" t="n">
        <x:v>5302000</x:v>
      </x:c>
    </x:row>
    <x:row r="3409" ht="34" customHeight="1">
      <x:c r="A3409" s="4" t="str">
        <x:v>RS-01732-I4</x:v>
      </x:c>
      <x:c r="B3409" s="4" t="str">
        <x:v>RS-01732</x:v>
      </x:c>
      <x:c r="C3409" s="9" t="n">
        <x:v>4</x:v>
      </x:c>
      <x:c r="D3409" s="8" t="n">
        <x:v>45496</x:v>
      </x:c>
      <x:c r="E3409" s="9" t="n">
        <x:v>5302000</x:v>
      </x:c>
      <x:c r="F3409" s="9" t="n">
        <x:v>5302000</x:v>
      </x:c>
    </x:row>
    <x:row r="3410" ht="34" customHeight="1">
      <x:c r="A3410" s="4" t="str">
        <x:v>RS-01733-I1</x:v>
      </x:c>
      <x:c r="B3410" s="4" t="str">
        <x:v>RS-01733</x:v>
      </x:c>
      <x:c r="C3410" s="9" t="n">
        <x:v>1</x:v>
      </x:c>
      <x:c r="D3410" s="8" t="n">
        <x:v>45407</x:v>
      </x:c>
      <x:c r="E3410" s="9" t="n">
        <x:v>3315250</x:v>
      </x:c>
      <x:c r="F3410" s="9" t="n">
        <x:v>3315250</x:v>
      </x:c>
    </x:row>
    <x:row r="3411" ht="34" customHeight="1">
      <x:c r="A3411" s="4" t="str">
        <x:v>RS-01733-I2</x:v>
      </x:c>
      <x:c r="B3411" s="4" t="str">
        <x:v>RS-01733</x:v>
      </x:c>
      <x:c r="C3411" s="9" t="n">
        <x:v>2</x:v>
      </x:c>
      <x:c r="D3411" s="8" t="n">
        <x:v>45437</x:v>
      </x:c>
      <x:c r="E3411" s="9" t="n">
        <x:v>3315250</x:v>
      </x:c>
      <x:c r="F3411" s="9" t="n">
        <x:v>3315250</x:v>
      </x:c>
    </x:row>
    <x:row r="3412" ht="34" customHeight="1">
      <x:c r="A3412" s="4" t="str">
        <x:v>RS-01733-I3</x:v>
      </x:c>
      <x:c r="B3412" s="4" t="str">
        <x:v>RS-01733</x:v>
      </x:c>
      <x:c r="C3412" s="9" t="n">
        <x:v>3</x:v>
      </x:c>
      <x:c r="D3412" s="8" t="n">
        <x:v>45467</x:v>
      </x:c>
      <x:c r="E3412" s="9" t="n">
        <x:v>3315250</x:v>
      </x:c>
      <x:c r="F3412" s="9" t="n">
        <x:v>0</x:v>
      </x:c>
    </x:row>
    <x:row r="3413" ht="34" customHeight="1">
      <x:c r="A3413" s="4" t="str">
        <x:v>RS-01733-I4</x:v>
      </x:c>
      <x:c r="B3413" s="4" t="str">
        <x:v>RS-01733</x:v>
      </x:c>
      <x:c r="C3413" s="9" t="n">
        <x:v>4</x:v>
      </x:c>
      <x:c r="D3413" s="8" t="n">
        <x:v>45497</x:v>
      </x:c>
      <x:c r="E3413" s="9" t="n">
        <x:v>3315250</x:v>
      </x:c>
      <x:c r="F3413" s="9" t="n">
        <x:v>0</x:v>
      </x:c>
    </x:row>
    <x:row r="3414" ht="34" customHeight="1">
      <x:c r="A3414" s="4" t="str">
        <x:v>RS-01736-I1</x:v>
      </x:c>
      <x:c r="B3414" s="4" t="str">
        <x:v>RS-01736</x:v>
      </x:c>
      <x:c r="C3414" s="9" t="n">
        <x:v>1</x:v>
      </x:c>
      <x:c r="D3414" s="8" t="n">
        <x:v>45410</x:v>
      </x:c>
      <x:c r="E3414" s="9" t="n">
        <x:v>4434500</x:v>
      </x:c>
      <x:c r="F3414" s="9" t="n">
        <x:v>4434500</x:v>
      </x:c>
    </x:row>
    <x:row r="3415" ht="34" customHeight="1">
      <x:c r="A3415" s="4" t="str">
        <x:v>RS-01736-I2</x:v>
      </x:c>
      <x:c r="B3415" s="4" t="str">
        <x:v>RS-01736</x:v>
      </x:c>
      <x:c r="C3415" s="9" t="n">
        <x:v>2</x:v>
      </x:c>
      <x:c r="D3415" s="8" t="n">
        <x:v>45440</x:v>
      </x:c>
      <x:c r="E3415" s="9" t="n">
        <x:v>4434500</x:v>
      </x:c>
      <x:c r="F3415" s="9" t="n">
        <x:v>0</x:v>
      </x:c>
    </x:row>
    <x:row r="3416" ht="34" customHeight="1">
      <x:c r="A3416" s="4" t="str">
        <x:v>RS-01736-I3</x:v>
      </x:c>
      <x:c r="B3416" s="4" t="str">
        <x:v>RS-01736</x:v>
      </x:c>
      <x:c r="C3416" s="9" t="n">
        <x:v>3</x:v>
      </x:c>
      <x:c r="D3416" s="8" t="n">
        <x:v>45470</x:v>
      </x:c>
      <x:c r="E3416" s="9" t="n">
        <x:v>4434500</x:v>
      </x:c>
      <x:c r="F3416" s="9" t="n">
        <x:v>0</x:v>
      </x:c>
    </x:row>
    <x:row r="3417" ht="34" customHeight="1">
      <x:c r="A3417" s="4" t="str">
        <x:v>RS-01736-I4</x:v>
      </x:c>
      <x:c r="B3417" s="4" t="str">
        <x:v>RS-01736</x:v>
      </x:c>
      <x:c r="C3417" s="9" t="n">
        <x:v>4</x:v>
      </x:c>
      <x:c r="D3417" s="8" t="n">
        <x:v>45500</x:v>
      </x:c>
      <x:c r="E3417" s="9" t="n">
        <x:v>4434500</x:v>
      </x:c>
      <x:c r="F3417" s="9" t="n">
        <x:v>0</x:v>
      </x:c>
    </x:row>
    <x:row r="3418" ht="34" customHeight="1">
      <x:c r="A3418" s="4" t="str">
        <x:v>RS-01738-I1</x:v>
      </x:c>
      <x:c r="B3418" s="4" t="str">
        <x:v>RS-01738</x:v>
      </x:c>
      <x:c r="C3418" s="9" t="n">
        <x:v>1</x:v>
      </x:c>
      <x:c r="D3418" s="8" t="n">
        <x:v>45384</x:v>
      </x:c>
      <x:c r="E3418" s="9" t="n">
        <x:v>2050000</x:v>
      </x:c>
      <x:c r="F3418" s="9" t="n">
        <x:v>2050000</x:v>
      </x:c>
    </x:row>
    <x:row r="3419" ht="34" customHeight="1">
      <x:c r="A3419" s="4" t="str">
        <x:v>RS-01738-I2</x:v>
      </x:c>
      <x:c r="B3419" s="4" t="str">
        <x:v>RS-01738</x:v>
      </x:c>
      <x:c r="C3419" s="9" t="n">
        <x:v>2</x:v>
      </x:c>
      <x:c r="D3419" s="8" t="n">
        <x:v>45414</x:v>
      </x:c>
      <x:c r="E3419" s="9" t="n">
        <x:v>2050000</x:v>
      </x:c>
      <x:c r="F3419" s="9" t="n">
        <x:v>0</x:v>
      </x:c>
    </x:row>
    <x:row r="3420" ht="34" customHeight="1">
      <x:c r="A3420" s="4" t="str">
        <x:v>RS-01738-I3</x:v>
      </x:c>
      <x:c r="B3420" s="4" t="str">
        <x:v>RS-01738</x:v>
      </x:c>
      <x:c r="C3420" s="9" t="n">
        <x:v>3</x:v>
      </x:c>
      <x:c r="D3420" s="8" t="n">
        <x:v>45444</x:v>
      </x:c>
      <x:c r="E3420" s="9" t="n">
        <x:v>2050000</x:v>
      </x:c>
      <x:c r="F3420" s="9" t="n">
        <x:v>0</x:v>
      </x:c>
    </x:row>
    <x:row r="3421" ht="34" customHeight="1">
      <x:c r="A3421" s="4" t="str">
        <x:v>RS-01738-I4</x:v>
      </x:c>
      <x:c r="B3421" s="4" t="str">
        <x:v>RS-01738</x:v>
      </x:c>
      <x:c r="C3421" s="9" t="n">
        <x:v>4</x:v>
      </x:c>
      <x:c r="D3421" s="8" t="n">
        <x:v>45474</x:v>
      </x:c>
      <x:c r="E3421" s="9" t="n">
        <x:v>2050000</x:v>
      </x:c>
      <x:c r="F3421" s="9" t="n">
        <x:v>0</x:v>
      </x:c>
    </x:row>
    <x:row r="3422" ht="34" customHeight="1">
      <x:c r="A3422" s="4" t="str">
        <x:v>RS-01740-I1</x:v>
      </x:c>
      <x:c r="B3422" s="4" t="str">
        <x:v>RS-01740</x:v>
      </x:c>
      <x:c r="C3422" s="9" t="n">
        <x:v>1</x:v>
      </x:c>
      <x:c r="D3422" s="8" t="n">
        <x:v>45386</x:v>
      </x:c>
      <x:c r="E3422" s="9" t="n">
        <x:v>1530000</x:v>
      </x:c>
      <x:c r="F3422" s="9" t="n">
        <x:v>1530000</x:v>
      </x:c>
    </x:row>
    <x:row r="3423" ht="34" customHeight="1">
      <x:c r="A3423" s="4" t="str">
        <x:v>RS-01740-I2</x:v>
      </x:c>
      <x:c r="B3423" s="4" t="str">
        <x:v>RS-01740</x:v>
      </x:c>
      <x:c r="C3423" s="9" t="n">
        <x:v>2</x:v>
      </x:c>
      <x:c r="D3423" s="8" t="n">
        <x:v>45416</x:v>
      </x:c>
      <x:c r="E3423" s="9" t="n">
        <x:v>1530000</x:v>
      </x:c>
      <x:c r="F3423" s="9" t="n">
        <x:v>1530000</x:v>
      </x:c>
    </x:row>
    <x:row r="3424" ht="34" customHeight="1">
      <x:c r="A3424" s="4" t="str">
        <x:v>RS-01740-I3</x:v>
      </x:c>
      <x:c r="B3424" s="4" t="str">
        <x:v>RS-01740</x:v>
      </x:c>
      <x:c r="C3424" s="9" t="n">
        <x:v>3</x:v>
      </x:c>
      <x:c r="D3424" s="8" t="n">
        <x:v>45446</x:v>
      </x:c>
      <x:c r="E3424" s="9" t="n">
        <x:v>1530000</x:v>
      </x:c>
      <x:c r="F3424" s="9" t="n">
        <x:v>0</x:v>
      </x:c>
    </x:row>
    <x:row r="3425" ht="34" customHeight="1">
      <x:c r="A3425" s="4" t="str">
        <x:v>RS-01740-I4</x:v>
      </x:c>
      <x:c r="B3425" s="4" t="str">
        <x:v>RS-01740</x:v>
      </x:c>
      <x:c r="C3425" s="9" t="n">
        <x:v>4</x:v>
      </x:c>
      <x:c r="D3425" s="8" t="n">
        <x:v>45476</x:v>
      </x:c>
      <x:c r="E3425" s="9" t="n">
        <x:v>1530000</x:v>
      </x:c>
      <x:c r="F3425" s="9" t="n">
        <x:v>0</x:v>
      </x:c>
    </x:row>
    <x:row r="3426" ht="34" customHeight="1">
      <x:c r="A3426" s="4" t="str">
        <x:v>RS-01743-I1</x:v>
      </x:c>
      <x:c r="B3426" s="4" t="str">
        <x:v>RS-01743</x:v>
      </x:c>
      <x:c r="C3426" s="9" t="n">
        <x:v>1</x:v>
      </x:c>
      <x:c r="D3426" s="8" t="n">
        <x:v>45389</x:v>
      </x:c>
      <x:c r="E3426" s="9" t="n">
        <x:v>1732500</x:v>
      </x:c>
      <x:c r="F3426" s="9" t="n">
        <x:v>1732500</x:v>
      </x:c>
    </x:row>
    <x:row r="3427" ht="34" customHeight="1">
      <x:c r="A3427" s="4" t="str">
        <x:v>RS-01743-I2</x:v>
      </x:c>
      <x:c r="B3427" s="4" t="str">
        <x:v>RS-01743</x:v>
      </x:c>
      <x:c r="C3427" s="9" t="n">
        <x:v>2</x:v>
      </x:c>
      <x:c r="D3427" s="8" t="n">
        <x:v>45419</x:v>
      </x:c>
      <x:c r="E3427" s="9" t="n">
        <x:v>1732500</x:v>
      </x:c>
      <x:c r="F3427" s="9" t="n">
        <x:v>1732500</x:v>
      </x:c>
    </x:row>
    <x:row r="3428" ht="34" customHeight="1">
      <x:c r="A3428" s="4" t="str">
        <x:v>RS-01743-I3</x:v>
      </x:c>
      <x:c r="B3428" s="4" t="str">
        <x:v>RS-01743</x:v>
      </x:c>
      <x:c r="C3428" s="9" t="n">
        <x:v>3</x:v>
      </x:c>
      <x:c r="D3428" s="8" t="n">
        <x:v>45449</x:v>
      </x:c>
      <x:c r="E3428" s="9" t="n">
        <x:v>1732500</x:v>
      </x:c>
      <x:c r="F3428" s="9" t="n">
        <x:v>0</x:v>
      </x:c>
    </x:row>
    <x:row r="3429" ht="34" customHeight="1">
      <x:c r="A3429" s="4" t="str">
        <x:v>RS-01743-I4</x:v>
      </x:c>
      <x:c r="B3429" s="4" t="str">
        <x:v>RS-01743</x:v>
      </x:c>
      <x:c r="C3429" s="9" t="n">
        <x:v>4</x:v>
      </x:c>
      <x:c r="D3429" s="8" t="n">
        <x:v>45479</x:v>
      </x:c>
      <x:c r="E3429" s="9" t="n">
        <x:v>1732500</x:v>
      </x:c>
      <x:c r="F3429" s="9" t="n">
        <x:v>0</x:v>
      </x:c>
    </x:row>
    <x:row r="3430" ht="34" customHeight="1">
      <x:c r="A3430" s="4" t="str">
        <x:v>RS-01744-I1</x:v>
      </x:c>
      <x:c r="B3430" s="4" t="str">
        <x:v>RS-01744</x:v>
      </x:c>
      <x:c r="C3430" s="9" t="n">
        <x:v>1</x:v>
      </x:c>
      <x:c r="D3430" s="8" t="n">
        <x:v>45390</x:v>
      </x:c>
      <x:c r="E3430" s="9" t="n">
        <x:v>3800000</x:v>
      </x:c>
      <x:c r="F3430" s="9" t="n">
        <x:v>3800000</x:v>
      </x:c>
    </x:row>
    <x:row r="3431" ht="34" customHeight="1">
      <x:c r="A3431" s="4" t="str">
        <x:v>RS-01744-I2</x:v>
      </x:c>
      <x:c r="B3431" s="4" t="str">
        <x:v>RS-01744</x:v>
      </x:c>
      <x:c r="C3431" s="9" t="n">
        <x:v>2</x:v>
      </x:c>
      <x:c r="D3431" s="8" t="n">
        <x:v>45420</x:v>
      </x:c>
      <x:c r="E3431" s="9" t="n">
        <x:v>3800000</x:v>
      </x:c>
      <x:c r="F3431" s="9" t="n">
        <x:v>3800000</x:v>
      </x:c>
    </x:row>
    <x:row r="3432" ht="34" customHeight="1">
      <x:c r="A3432" s="4" t="str">
        <x:v>RS-01744-I3</x:v>
      </x:c>
      <x:c r="B3432" s="4" t="str">
        <x:v>RS-01744</x:v>
      </x:c>
      <x:c r="C3432" s="9" t="n">
        <x:v>3</x:v>
      </x:c>
      <x:c r="D3432" s="8" t="n">
        <x:v>45450</x:v>
      </x:c>
      <x:c r="E3432" s="9" t="n">
        <x:v>3800000</x:v>
      </x:c>
      <x:c r="F3432" s="9" t="n">
        <x:v>0</x:v>
      </x:c>
    </x:row>
    <x:row r="3433" ht="34" customHeight="1">
      <x:c r="A3433" s="4" t="str">
        <x:v>RS-01744-I4</x:v>
      </x:c>
      <x:c r="B3433" s="4" t="str">
        <x:v>RS-01744</x:v>
      </x:c>
      <x:c r="C3433" s="9" t="n">
        <x:v>4</x:v>
      </x:c>
      <x:c r="D3433" s="8" t="n">
        <x:v>45480</x:v>
      </x:c>
      <x:c r="E3433" s="9" t="n">
        <x:v>3800000</x:v>
      </x:c>
      <x:c r="F3433" s="9" t="n">
        <x:v>0</x:v>
      </x:c>
    </x:row>
    <x:row r="3434" ht="34" customHeight="1">
      <x:c r="A3434" s="4" t="str">
        <x:v>RS-01745-I1</x:v>
      </x:c>
      <x:c r="B3434" s="4" t="str">
        <x:v>RS-01745</x:v>
      </x:c>
      <x:c r="C3434" s="9" t="n">
        <x:v>1</x:v>
      </x:c>
      <x:c r="D3434" s="8" t="n">
        <x:v>45391</x:v>
      </x:c>
      <x:c r="E3434" s="9" t="n">
        <x:v>2394750</x:v>
      </x:c>
      <x:c r="F3434" s="9" t="n">
        <x:v>2394750</x:v>
      </x:c>
    </x:row>
    <x:row r="3435" ht="34" customHeight="1">
      <x:c r="A3435" s="4" t="str">
        <x:v>RS-01745-I2</x:v>
      </x:c>
      <x:c r="B3435" s="4" t="str">
        <x:v>RS-01745</x:v>
      </x:c>
      <x:c r="C3435" s="9" t="n">
        <x:v>2</x:v>
      </x:c>
      <x:c r="D3435" s="8" t="n">
        <x:v>45421</x:v>
      </x:c>
      <x:c r="E3435" s="9" t="n">
        <x:v>2394750</x:v>
      </x:c>
      <x:c r="F3435" s="9" t="n">
        <x:v>2394750</x:v>
      </x:c>
    </x:row>
    <x:row r="3436" ht="34" customHeight="1">
      <x:c r="A3436" s="4" t="str">
        <x:v>RS-01745-I3</x:v>
      </x:c>
      <x:c r="B3436" s="4" t="str">
        <x:v>RS-01745</x:v>
      </x:c>
      <x:c r="C3436" s="9" t="n">
        <x:v>3</x:v>
      </x:c>
      <x:c r="D3436" s="8" t="n">
        <x:v>45451</x:v>
      </x:c>
      <x:c r="E3436" s="9" t="n">
        <x:v>2394750</x:v>
      </x:c>
      <x:c r="F3436" s="9" t="n">
        <x:v>2394750</x:v>
      </x:c>
    </x:row>
    <x:row r="3437" ht="34" customHeight="1">
      <x:c r="A3437" s="4" t="str">
        <x:v>RS-01745-I4</x:v>
      </x:c>
      <x:c r="B3437" s="4" t="str">
        <x:v>RS-01745</x:v>
      </x:c>
      <x:c r="C3437" s="9" t="n">
        <x:v>4</x:v>
      </x:c>
      <x:c r="D3437" s="8" t="n">
        <x:v>45481</x:v>
      </x:c>
      <x:c r="E3437" s="9" t="n">
        <x:v>2394750</x:v>
      </x:c>
      <x:c r="F3437" s="9" t="n">
        <x:v>2394750</x:v>
      </x:c>
    </x:row>
    <x:row r="3438" ht="34" customHeight="1">
      <x:c r="A3438" s="4" t="str">
        <x:v>RS-01747-I1</x:v>
      </x:c>
      <x:c r="B3438" s="4" t="str">
        <x:v>RS-01747</x:v>
      </x:c>
      <x:c r="C3438" s="9" t="n">
        <x:v>1</x:v>
      </x:c>
      <x:c r="D3438" s="8" t="n">
        <x:v>45393</x:v>
      </x:c>
      <x:c r="E3438" s="9" t="n">
        <x:v>1776000</x:v>
      </x:c>
      <x:c r="F3438" s="9" t="n">
        <x:v>1776000</x:v>
      </x:c>
    </x:row>
    <x:row r="3439" ht="34" customHeight="1">
      <x:c r="A3439" s="4" t="str">
        <x:v>RS-01747-I2</x:v>
      </x:c>
      <x:c r="B3439" s="4" t="str">
        <x:v>RS-01747</x:v>
      </x:c>
      <x:c r="C3439" s="9" t="n">
        <x:v>2</x:v>
      </x:c>
      <x:c r="D3439" s="8" t="n">
        <x:v>45423</x:v>
      </x:c>
      <x:c r="E3439" s="9" t="n">
        <x:v>1776000</x:v>
      </x:c>
      <x:c r="F3439" s="9" t="n">
        <x:v>1776000</x:v>
      </x:c>
    </x:row>
    <x:row r="3440" ht="34" customHeight="1">
      <x:c r="A3440" s="4" t="str">
        <x:v>RS-01747-I3</x:v>
      </x:c>
      <x:c r="B3440" s="4" t="str">
        <x:v>RS-01747</x:v>
      </x:c>
      <x:c r="C3440" s="9" t="n">
        <x:v>3</x:v>
      </x:c>
      <x:c r="D3440" s="8" t="n">
        <x:v>45453</x:v>
      </x:c>
      <x:c r="E3440" s="9" t="n">
        <x:v>1776000</x:v>
      </x:c>
      <x:c r="F3440" s="9" t="n">
        <x:v>1776000</x:v>
      </x:c>
    </x:row>
    <x:row r="3441" ht="34" customHeight="1">
      <x:c r="A3441" s="4" t="str">
        <x:v>RS-01747-I4</x:v>
      </x:c>
      <x:c r="B3441" s="4" t="str">
        <x:v>RS-01747</x:v>
      </x:c>
      <x:c r="C3441" s="9" t="n">
        <x:v>4</x:v>
      </x:c>
      <x:c r="D3441" s="8" t="n">
        <x:v>45483</x:v>
      </x:c>
      <x:c r="E3441" s="9" t="n">
        <x:v>1776000</x:v>
      </x:c>
      <x:c r="F3441" s="9" t="n">
        <x:v>1776000</x:v>
      </x:c>
    </x:row>
    <x:row r="3442" ht="34" customHeight="1">
      <x:c r="A3442" s="4" t="str">
        <x:v>RS-01751-I1</x:v>
      </x:c>
      <x:c r="B3442" s="4" t="str">
        <x:v>RS-01751</x:v>
      </x:c>
      <x:c r="C3442" s="9" t="n">
        <x:v>1</x:v>
      </x:c>
      <x:c r="D3442" s="8" t="n">
        <x:v>45397</x:v>
      </x:c>
      <x:c r="E3442" s="9" t="n">
        <x:v>902500</x:v>
      </x:c>
      <x:c r="F3442" s="9" t="n">
        <x:v>902500</x:v>
      </x:c>
    </x:row>
    <x:row r="3443" ht="34" customHeight="1">
      <x:c r="A3443" s="4" t="str">
        <x:v>RS-01751-I2</x:v>
      </x:c>
      <x:c r="B3443" s="4" t="str">
        <x:v>RS-01751</x:v>
      </x:c>
      <x:c r="C3443" s="9" t="n">
        <x:v>2</x:v>
      </x:c>
      <x:c r="D3443" s="8" t="n">
        <x:v>45427</x:v>
      </x:c>
      <x:c r="E3443" s="9" t="n">
        <x:v>902500</x:v>
      </x:c>
      <x:c r="F3443" s="9" t="n">
        <x:v>0</x:v>
      </x:c>
    </x:row>
    <x:row r="3444" ht="34" customHeight="1">
      <x:c r="A3444" s="4" t="str">
        <x:v>RS-01751-I3</x:v>
      </x:c>
      <x:c r="B3444" s="4" t="str">
        <x:v>RS-01751</x:v>
      </x:c>
      <x:c r="C3444" s="9" t="n">
        <x:v>3</x:v>
      </x:c>
      <x:c r="D3444" s="8" t="n">
        <x:v>45457</x:v>
      </x:c>
      <x:c r="E3444" s="9" t="n">
        <x:v>902500</x:v>
      </x:c>
      <x:c r="F3444" s="9" t="n">
        <x:v>0</x:v>
      </x:c>
    </x:row>
    <x:row r="3445" ht="34" customHeight="1">
      <x:c r="A3445" s="4" t="str">
        <x:v>RS-01751-I4</x:v>
      </x:c>
      <x:c r="B3445" s="4" t="str">
        <x:v>RS-01751</x:v>
      </x:c>
      <x:c r="C3445" s="9" t="n">
        <x:v>4</x:v>
      </x:c>
      <x:c r="D3445" s="8" t="n">
        <x:v>45487</x:v>
      </x:c>
      <x:c r="E3445" s="9" t="n">
        <x:v>902500</x:v>
      </x:c>
      <x:c r="F3445" s="9" t="n">
        <x:v>0</x:v>
      </x:c>
    </x:row>
    <x:row r="3446" ht="34" customHeight="1">
      <x:c r="A3446" s="4" t="str">
        <x:v>RS-01754-I1</x:v>
      </x:c>
      <x:c r="B3446" s="4" t="str">
        <x:v>RS-01754</x:v>
      </x:c>
      <x:c r="C3446" s="9" t="n">
        <x:v>1</x:v>
      </x:c>
      <x:c r="D3446" s="8" t="n">
        <x:v>45400</x:v>
      </x:c>
      <x:c r="E3446" s="9" t="n">
        <x:v>3713000</x:v>
      </x:c>
      <x:c r="F3446" s="9" t="n">
        <x:v>1485200</x:v>
      </x:c>
    </x:row>
    <x:row r="3447" ht="34" customHeight="1">
      <x:c r="A3447" s="4" t="str">
        <x:v>RS-01754-I2</x:v>
      </x:c>
      <x:c r="B3447" s="4" t="str">
        <x:v>RS-01754</x:v>
      </x:c>
      <x:c r="C3447" s="9" t="n">
        <x:v>2</x:v>
      </x:c>
      <x:c r="D3447" s="8" t="n">
        <x:v>45430</x:v>
      </x:c>
      <x:c r="E3447" s="9" t="n">
        <x:v>3713000</x:v>
      </x:c>
      <x:c r="F3447" s="9" t="n">
        <x:v>0</x:v>
      </x:c>
    </x:row>
    <x:row r="3448" ht="34" customHeight="1">
      <x:c r="A3448" s="4" t="str">
        <x:v>RS-01754-I3</x:v>
      </x:c>
      <x:c r="B3448" s="4" t="str">
        <x:v>RS-01754</x:v>
      </x:c>
      <x:c r="C3448" s="9" t="n">
        <x:v>3</x:v>
      </x:c>
      <x:c r="D3448" s="8" t="n">
        <x:v>45460</x:v>
      </x:c>
      <x:c r="E3448" s="9" t="n">
        <x:v>3713000</x:v>
      </x:c>
      <x:c r="F3448" s="9" t="n">
        <x:v>0</x:v>
      </x:c>
    </x:row>
    <x:row r="3449" ht="34" customHeight="1">
      <x:c r="A3449" s="4" t="str">
        <x:v>RS-01754-I4</x:v>
      </x:c>
      <x:c r="B3449" s="4" t="str">
        <x:v>RS-01754</x:v>
      </x:c>
      <x:c r="C3449" s="9" t="n">
        <x:v>4</x:v>
      </x:c>
      <x:c r="D3449" s="8" t="n">
        <x:v>45490</x:v>
      </x:c>
      <x:c r="E3449" s="9" t="n">
        <x:v>3713000</x:v>
      </x:c>
      <x:c r="F3449" s="9" t="n">
        <x:v>0</x:v>
      </x:c>
    </x:row>
    <x:row r="3450" ht="34" customHeight="1">
      <x:c r="A3450" s="4" t="str">
        <x:v>RS-01755-I1</x:v>
      </x:c>
      <x:c r="B3450" s="4" t="str">
        <x:v>RS-01755</x:v>
      </x:c>
      <x:c r="C3450" s="9" t="n">
        <x:v>1</x:v>
      </x:c>
      <x:c r="D3450" s="8" t="n">
        <x:v>45401</x:v>
      </x:c>
      <x:c r="E3450" s="9" t="n">
        <x:v>4875500</x:v>
      </x:c>
      <x:c r="F3450" s="9" t="n">
        <x:v>1950200</x:v>
      </x:c>
    </x:row>
    <x:row r="3451" ht="34" customHeight="1">
      <x:c r="A3451" s="4" t="str">
        <x:v>RS-01755-I2</x:v>
      </x:c>
      <x:c r="B3451" s="4" t="str">
        <x:v>RS-01755</x:v>
      </x:c>
      <x:c r="C3451" s="9" t="n">
        <x:v>2</x:v>
      </x:c>
      <x:c r="D3451" s="8" t="n">
        <x:v>45431</x:v>
      </x:c>
      <x:c r="E3451" s="9" t="n">
        <x:v>4875500</x:v>
      </x:c>
      <x:c r="F3451" s="9" t="n">
        <x:v>0</x:v>
      </x:c>
    </x:row>
    <x:row r="3452" ht="34" customHeight="1">
      <x:c r="A3452" s="4" t="str">
        <x:v>RS-01755-I3</x:v>
      </x:c>
      <x:c r="B3452" s="4" t="str">
        <x:v>RS-01755</x:v>
      </x:c>
      <x:c r="C3452" s="9" t="n">
        <x:v>3</x:v>
      </x:c>
      <x:c r="D3452" s="8" t="n">
        <x:v>45461</x:v>
      </x:c>
      <x:c r="E3452" s="9" t="n">
        <x:v>4875500</x:v>
      </x:c>
      <x:c r="F3452" s="9" t="n">
        <x:v>0</x:v>
      </x:c>
    </x:row>
    <x:row r="3453" ht="34" customHeight="1">
      <x:c r="A3453" s="4" t="str">
        <x:v>RS-01755-I4</x:v>
      </x:c>
      <x:c r="B3453" s="4" t="str">
        <x:v>RS-01755</x:v>
      </x:c>
      <x:c r="C3453" s="9" t="n">
        <x:v>4</x:v>
      </x:c>
      <x:c r="D3453" s="8" t="n">
        <x:v>45491</x:v>
      </x:c>
      <x:c r="E3453" s="9" t="n">
        <x:v>4875500</x:v>
      </x:c>
      <x:c r="F3453" s="9" t="n">
        <x:v>0</x:v>
      </x:c>
    </x:row>
    <x:row r="3454" ht="34" customHeight="1">
      <x:c r="A3454" s="4" t="str">
        <x:v>RS-01757-I1</x:v>
      </x:c>
      <x:c r="B3454" s="4" t="str">
        <x:v>RS-01757</x:v>
      </x:c>
      <x:c r="C3454" s="9" t="n">
        <x:v>1</x:v>
      </x:c>
      <x:c r="D3454" s="8" t="n">
        <x:v>45403</x:v>
      </x:c>
      <x:c r="E3454" s="9" t="n">
        <x:v>1323000</x:v>
      </x:c>
      <x:c r="F3454" s="9" t="n">
        <x:v>1323000</x:v>
      </x:c>
    </x:row>
    <x:row r="3455" ht="34" customHeight="1">
      <x:c r="A3455" s="4" t="str">
        <x:v>RS-01757-I2</x:v>
      </x:c>
      <x:c r="B3455" s="4" t="str">
        <x:v>RS-01757</x:v>
      </x:c>
      <x:c r="C3455" s="9" t="n">
        <x:v>2</x:v>
      </x:c>
      <x:c r="D3455" s="8" t="n">
        <x:v>45433</x:v>
      </x:c>
      <x:c r="E3455" s="9" t="n">
        <x:v>1323000</x:v>
      </x:c>
      <x:c r="F3455" s="9" t="n">
        <x:v>0</x:v>
      </x:c>
    </x:row>
    <x:row r="3456" ht="34" customHeight="1">
      <x:c r="A3456" s="4" t="str">
        <x:v>RS-01757-I3</x:v>
      </x:c>
      <x:c r="B3456" s="4" t="str">
        <x:v>RS-01757</x:v>
      </x:c>
      <x:c r="C3456" s="9" t="n">
        <x:v>3</x:v>
      </x:c>
      <x:c r="D3456" s="8" t="n">
        <x:v>45463</x:v>
      </x:c>
      <x:c r="E3456" s="9" t="n">
        <x:v>1323000</x:v>
      </x:c>
      <x:c r="F3456" s="9" t="n">
        <x:v>0</x:v>
      </x:c>
    </x:row>
    <x:row r="3457" ht="34" customHeight="1">
      <x:c r="A3457" s="4" t="str">
        <x:v>RS-01757-I4</x:v>
      </x:c>
      <x:c r="B3457" s="4" t="str">
        <x:v>RS-01757</x:v>
      </x:c>
      <x:c r="C3457" s="9" t="n">
        <x:v>4</x:v>
      </x:c>
      <x:c r="D3457" s="8" t="n">
        <x:v>45493</x:v>
      </x:c>
      <x:c r="E3457" s="9" t="n">
        <x:v>1323000</x:v>
      </x:c>
      <x:c r="F3457" s="9" t="n">
        <x:v>0</x:v>
      </x:c>
    </x:row>
    <x:row r="3458" ht="34" customHeight="1">
      <x:c r="A3458" s="4" t="str">
        <x:v>RS-01760-I1</x:v>
      </x:c>
      <x:c r="B3458" s="4" t="str">
        <x:v>RS-01760</x:v>
      </x:c>
      <x:c r="C3458" s="9" t="n">
        <x:v>1</x:v>
      </x:c>
      <x:c r="D3458" s="8" t="n">
        <x:v>45406</x:v>
      </x:c>
      <x:c r="E3458" s="9" t="n">
        <x:v>2548000</x:v>
      </x:c>
      <x:c r="F3458" s="9" t="n">
        <x:v>1019200</x:v>
      </x:c>
    </x:row>
    <x:row r="3459" ht="34" customHeight="1">
      <x:c r="A3459" s="4" t="str">
        <x:v>RS-01760-I2</x:v>
      </x:c>
      <x:c r="B3459" s="4" t="str">
        <x:v>RS-01760</x:v>
      </x:c>
      <x:c r="C3459" s="9" t="n">
        <x:v>2</x:v>
      </x:c>
      <x:c r="D3459" s="8" t="n">
        <x:v>45436</x:v>
      </x:c>
      <x:c r="E3459" s="9" t="n">
        <x:v>2548000</x:v>
      </x:c>
      <x:c r="F3459" s="9" t="n">
        <x:v>0</x:v>
      </x:c>
    </x:row>
    <x:row r="3460" ht="34" customHeight="1">
      <x:c r="A3460" s="4" t="str">
        <x:v>RS-01760-I3</x:v>
      </x:c>
      <x:c r="B3460" s="4" t="str">
        <x:v>RS-01760</x:v>
      </x:c>
      <x:c r="C3460" s="9" t="n">
        <x:v>3</x:v>
      </x:c>
      <x:c r="D3460" s="8" t="n">
        <x:v>45466</x:v>
      </x:c>
      <x:c r="E3460" s="9" t="n">
        <x:v>2548000</x:v>
      </x:c>
      <x:c r="F3460" s="9" t="n">
        <x:v>0</x:v>
      </x:c>
    </x:row>
    <x:row r="3461" ht="34" customHeight="1">
      <x:c r="A3461" s="4" t="str">
        <x:v>RS-01760-I4</x:v>
      </x:c>
      <x:c r="B3461" s="4" t="str">
        <x:v>RS-01760</x:v>
      </x:c>
      <x:c r="C3461" s="9" t="n">
        <x:v>4</x:v>
      </x:c>
      <x:c r="D3461" s="8" t="n">
        <x:v>45496</x:v>
      </x:c>
      <x:c r="E3461" s="9" t="n">
        <x:v>2548000</x:v>
      </x:c>
      <x:c r="F3461" s="9" t="n">
        <x:v>0</x:v>
      </x:c>
    </x:row>
    <x:row r="3462" ht="34" customHeight="1">
      <x:c r="A3462" s="4" t="str">
        <x:v>RS-01764-I1</x:v>
      </x:c>
      <x:c r="B3462" s="4" t="str">
        <x:v>RS-01764</x:v>
      </x:c>
      <x:c r="C3462" s="9" t="n">
        <x:v>1</x:v>
      </x:c>
      <x:c r="D3462" s="8" t="n">
        <x:v>45410</x:v>
      </x:c>
      <x:c r="E3462" s="9" t="n">
        <x:v>4128000</x:v>
      </x:c>
      <x:c r="F3462" s="9" t="n">
        <x:v>1651200</x:v>
      </x:c>
    </x:row>
    <x:row r="3463" ht="34" customHeight="1">
      <x:c r="A3463" s="4" t="str">
        <x:v>RS-01764-I2</x:v>
      </x:c>
      <x:c r="B3463" s="4" t="str">
        <x:v>RS-01764</x:v>
      </x:c>
      <x:c r="C3463" s="9" t="n">
        <x:v>2</x:v>
      </x:c>
      <x:c r="D3463" s="8" t="n">
        <x:v>45440</x:v>
      </x:c>
      <x:c r="E3463" s="9" t="n">
        <x:v>4128000</x:v>
      </x:c>
      <x:c r="F3463" s="9" t="n">
        <x:v>0</x:v>
      </x:c>
    </x:row>
    <x:row r="3464" ht="34" customHeight="1">
      <x:c r="A3464" s="4" t="str">
        <x:v>RS-01764-I3</x:v>
      </x:c>
      <x:c r="B3464" s="4" t="str">
        <x:v>RS-01764</x:v>
      </x:c>
      <x:c r="C3464" s="9" t="n">
        <x:v>3</x:v>
      </x:c>
      <x:c r="D3464" s="8" t="n">
        <x:v>45470</x:v>
      </x:c>
      <x:c r="E3464" s="9" t="n">
        <x:v>4128000</x:v>
      </x:c>
      <x:c r="F3464" s="9" t="n">
        <x:v>0</x:v>
      </x:c>
    </x:row>
    <x:row r="3465" ht="34" customHeight="1">
      <x:c r="A3465" s="4" t="str">
        <x:v>RS-01764-I4</x:v>
      </x:c>
      <x:c r="B3465" s="4" t="str">
        <x:v>RS-01764</x:v>
      </x:c>
      <x:c r="C3465" s="9" t="n">
        <x:v>4</x:v>
      </x:c>
      <x:c r="D3465" s="8" t="n">
        <x:v>45500</x:v>
      </x:c>
      <x:c r="E3465" s="9" t="n">
        <x:v>4128000</x:v>
      </x:c>
      <x:c r="F3465" s="9" t="n">
        <x:v>0</x:v>
      </x:c>
    </x:row>
    <x:row r="3466" ht="34" customHeight="1">
      <x:c r="A3466" s="4" t="str">
        <x:v>RS-01765-I1</x:v>
      </x:c>
      <x:c r="B3466" s="4" t="str">
        <x:v>RS-01765</x:v>
      </x:c>
      <x:c r="C3466" s="9" t="n">
        <x:v>1</x:v>
      </x:c>
      <x:c r="D3466" s="8" t="n">
        <x:v>45383</x:v>
      </x:c>
      <x:c r="E3466" s="9" t="n">
        <x:v>1794000</x:v>
      </x:c>
      <x:c r="F3466" s="9" t="n">
        <x:v>717600</x:v>
      </x:c>
    </x:row>
    <x:row r="3467" ht="34" customHeight="1">
      <x:c r="A3467" s="4" t="str">
        <x:v>RS-01765-I2</x:v>
      </x:c>
      <x:c r="B3467" s="4" t="str">
        <x:v>RS-01765</x:v>
      </x:c>
      <x:c r="C3467" s="9" t="n">
        <x:v>2</x:v>
      </x:c>
      <x:c r="D3467" s="8" t="n">
        <x:v>45413</x:v>
      </x:c>
      <x:c r="E3467" s="9" t="n">
        <x:v>1794000</x:v>
      </x:c>
      <x:c r="F3467" s="9" t="n">
        <x:v>0</x:v>
      </x:c>
    </x:row>
    <x:row r="3468" ht="34" customHeight="1">
      <x:c r="A3468" s="4" t="str">
        <x:v>RS-01765-I3</x:v>
      </x:c>
      <x:c r="B3468" s="4" t="str">
        <x:v>RS-01765</x:v>
      </x:c>
      <x:c r="C3468" s="9" t="n">
        <x:v>3</x:v>
      </x:c>
      <x:c r="D3468" s="8" t="n">
        <x:v>45443</x:v>
      </x:c>
      <x:c r="E3468" s="9" t="n">
        <x:v>1794000</x:v>
      </x:c>
      <x:c r="F3468" s="9" t="n">
        <x:v>0</x:v>
      </x:c>
    </x:row>
    <x:row r="3469" ht="34" customHeight="1">
      <x:c r="A3469" s="4" t="str">
        <x:v>RS-01765-I4</x:v>
      </x:c>
      <x:c r="B3469" s="4" t="str">
        <x:v>RS-01765</x:v>
      </x:c>
      <x:c r="C3469" s="9" t="n">
        <x:v>4</x:v>
      </x:c>
      <x:c r="D3469" s="8" t="n">
        <x:v>45473</x:v>
      </x:c>
      <x:c r="E3469" s="9" t="n">
        <x:v>1794000</x:v>
      </x:c>
      <x:c r="F3469" s="9" t="n">
        <x:v>0</x:v>
      </x:c>
    </x:row>
    <x:row r="3470" ht="34" customHeight="1">
      <x:c r="A3470" s="4" t="str">
        <x:v>RS-01767-I1</x:v>
      </x:c>
      <x:c r="B3470" s="4" t="str">
        <x:v>RS-01767</x:v>
      </x:c>
      <x:c r="C3470" s="9" t="n">
        <x:v>1</x:v>
      </x:c>
      <x:c r="D3470" s="8" t="n">
        <x:v>45385</x:v>
      </x:c>
      <x:c r="E3470" s="9" t="n">
        <x:v>3969000</x:v>
      </x:c>
      <x:c r="F3470" s="9" t="n">
        <x:v>3969000</x:v>
      </x:c>
    </x:row>
    <x:row r="3471" ht="34" customHeight="1">
      <x:c r="A3471" s="4" t="str">
        <x:v>RS-01767-I2</x:v>
      </x:c>
      <x:c r="B3471" s="4" t="str">
        <x:v>RS-01767</x:v>
      </x:c>
      <x:c r="C3471" s="9" t="n">
        <x:v>2</x:v>
      </x:c>
      <x:c r="D3471" s="8" t="n">
        <x:v>45415</x:v>
      </x:c>
      <x:c r="E3471" s="9" t="n">
        <x:v>3969000</x:v>
      </x:c>
      <x:c r="F3471" s="9" t="n">
        <x:v>3969000</x:v>
      </x:c>
    </x:row>
    <x:row r="3472" ht="34" customHeight="1">
      <x:c r="A3472" s="4" t="str">
        <x:v>RS-01767-I3</x:v>
      </x:c>
      <x:c r="B3472" s="4" t="str">
        <x:v>RS-01767</x:v>
      </x:c>
      <x:c r="C3472" s="9" t="n">
        <x:v>3</x:v>
      </x:c>
      <x:c r="D3472" s="8" t="n">
        <x:v>45445</x:v>
      </x:c>
      <x:c r="E3472" s="9" t="n">
        <x:v>3969000</x:v>
      </x:c>
      <x:c r="F3472" s="9" t="n">
        <x:v>3969000</x:v>
      </x:c>
    </x:row>
    <x:row r="3473" ht="34" customHeight="1">
      <x:c r="A3473" s="4" t="str">
        <x:v>RS-01767-I4</x:v>
      </x:c>
      <x:c r="B3473" s="4" t="str">
        <x:v>RS-01767</x:v>
      </x:c>
      <x:c r="C3473" s="9" t="n">
        <x:v>4</x:v>
      </x:c>
      <x:c r="D3473" s="8" t="n">
        <x:v>45475</x:v>
      </x:c>
      <x:c r="E3473" s="9" t="n">
        <x:v>3969000</x:v>
      </x:c>
      <x:c r="F3473" s="9" t="n">
        <x:v>3969000</x:v>
      </x:c>
    </x:row>
    <x:row r="3474" ht="34" customHeight="1">
      <x:c r="A3474" s="4" t="str">
        <x:v>RS-01768-I1</x:v>
      </x:c>
      <x:c r="B3474" s="4" t="str">
        <x:v>RS-01768</x:v>
      </x:c>
      <x:c r="C3474" s="9" t="n">
        <x:v>1</x:v>
      </x:c>
      <x:c r="D3474" s="8" t="n">
        <x:v>45386</x:v>
      </x:c>
      <x:c r="E3474" s="9" t="n">
        <x:v>5085000</x:v>
      </x:c>
      <x:c r="F3474" s="9" t="n">
        <x:v>5085000</x:v>
      </x:c>
    </x:row>
    <x:row r="3475" ht="34" customHeight="1">
      <x:c r="A3475" s="4" t="str">
        <x:v>RS-01768-I2</x:v>
      </x:c>
      <x:c r="B3475" s="4" t="str">
        <x:v>RS-01768</x:v>
      </x:c>
      <x:c r="C3475" s="9" t="n">
        <x:v>2</x:v>
      </x:c>
      <x:c r="D3475" s="8" t="n">
        <x:v>45416</x:v>
      </x:c>
      <x:c r="E3475" s="9" t="n">
        <x:v>5085000</x:v>
      </x:c>
      <x:c r="F3475" s="9" t="n">
        <x:v>5085000</x:v>
      </x:c>
    </x:row>
    <x:row r="3476" ht="34" customHeight="1">
      <x:c r="A3476" s="4" t="str">
        <x:v>RS-01768-I3</x:v>
      </x:c>
      <x:c r="B3476" s="4" t="str">
        <x:v>RS-01768</x:v>
      </x:c>
      <x:c r="C3476" s="9" t="n">
        <x:v>3</x:v>
      </x:c>
      <x:c r="D3476" s="8" t="n">
        <x:v>45446</x:v>
      </x:c>
      <x:c r="E3476" s="9" t="n">
        <x:v>5085000</x:v>
      </x:c>
      <x:c r="F3476" s="9" t="n">
        <x:v>5085000</x:v>
      </x:c>
    </x:row>
    <x:row r="3477" ht="34" customHeight="1">
      <x:c r="A3477" s="4" t="str">
        <x:v>RS-01768-I4</x:v>
      </x:c>
      <x:c r="B3477" s="4" t="str">
        <x:v>RS-01768</x:v>
      </x:c>
      <x:c r="C3477" s="9" t="n">
        <x:v>4</x:v>
      </x:c>
      <x:c r="D3477" s="8" t="n">
        <x:v>45476</x:v>
      </x:c>
      <x:c r="E3477" s="9" t="n">
        <x:v>5085000</x:v>
      </x:c>
      <x:c r="F3477" s="9" t="n">
        <x:v>5085000</x:v>
      </x:c>
    </x:row>
    <x:row r="3478" ht="34" customHeight="1">
      <x:c r="A3478" s="4" t="str">
        <x:v>RS-01772-I1</x:v>
      </x:c>
      <x:c r="B3478" s="4" t="str">
        <x:v>RS-01772</x:v>
      </x:c>
      <x:c r="C3478" s="9" t="n">
        <x:v>1</x:v>
      </x:c>
      <x:c r="D3478" s="8" t="n">
        <x:v>45390</x:v>
      </x:c>
      <x:c r="E3478" s="9" t="n">
        <x:v>3738000</x:v>
      </x:c>
      <x:c r="F3478" s="9" t="n">
        <x:v>3738000</x:v>
      </x:c>
    </x:row>
    <x:row r="3479" ht="34" customHeight="1">
      <x:c r="A3479" s="4" t="str">
        <x:v>RS-01772-I2</x:v>
      </x:c>
      <x:c r="B3479" s="4" t="str">
        <x:v>RS-01772</x:v>
      </x:c>
      <x:c r="C3479" s="9" t="n">
        <x:v>2</x:v>
      </x:c>
      <x:c r="D3479" s="8" t="n">
        <x:v>45420</x:v>
      </x:c>
      <x:c r="E3479" s="9" t="n">
        <x:v>3738000</x:v>
      </x:c>
      <x:c r="F3479" s="9" t="n">
        <x:v>3738000</x:v>
      </x:c>
    </x:row>
    <x:row r="3480" ht="34" customHeight="1">
      <x:c r="A3480" s="4" t="str">
        <x:v>RS-01772-I3</x:v>
      </x:c>
      <x:c r="B3480" s="4" t="str">
        <x:v>RS-01772</x:v>
      </x:c>
      <x:c r="C3480" s="9" t="n">
        <x:v>3</x:v>
      </x:c>
      <x:c r="D3480" s="8" t="n">
        <x:v>45450</x:v>
      </x:c>
      <x:c r="E3480" s="9" t="n">
        <x:v>3738000</x:v>
      </x:c>
      <x:c r="F3480" s="9" t="n">
        <x:v>3738000</x:v>
      </x:c>
    </x:row>
    <x:row r="3481" ht="34" customHeight="1">
      <x:c r="A3481" s="4" t="str">
        <x:v>RS-01772-I4</x:v>
      </x:c>
      <x:c r="B3481" s="4" t="str">
        <x:v>RS-01772</x:v>
      </x:c>
      <x:c r="C3481" s="9" t="n">
        <x:v>4</x:v>
      </x:c>
      <x:c r="D3481" s="8" t="n">
        <x:v>45480</x:v>
      </x:c>
      <x:c r="E3481" s="9" t="n">
        <x:v>3738000</x:v>
      </x:c>
      <x:c r="F3481" s="9" t="n">
        <x:v>3738000</x:v>
      </x:c>
    </x:row>
    <x:row r="3482" ht="34" customHeight="1">
      <x:c r="A3482" s="4" t="str">
        <x:v>RS-01773-I1</x:v>
      </x:c>
      <x:c r="B3482" s="4" t="str">
        <x:v>RS-01773</x:v>
      </x:c>
      <x:c r="C3482" s="9" t="n">
        <x:v>1</x:v>
      </x:c>
      <x:c r="D3482" s="8" t="n">
        <x:v>45391</x:v>
      </x:c>
      <x:c r="E3482" s="9" t="n">
        <x:v>3560000</x:v>
      </x:c>
      <x:c r="F3482" s="9" t="n">
        <x:v>1424000</x:v>
      </x:c>
    </x:row>
    <x:row r="3483" ht="34" customHeight="1">
      <x:c r="A3483" s="4" t="str">
        <x:v>RS-01773-I2</x:v>
      </x:c>
      <x:c r="B3483" s="4" t="str">
        <x:v>RS-01773</x:v>
      </x:c>
      <x:c r="C3483" s="9" t="n">
        <x:v>2</x:v>
      </x:c>
      <x:c r="D3483" s="8" t="n">
        <x:v>45421</x:v>
      </x:c>
      <x:c r="E3483" s="9" t="n">
        <x:v>3560000</x:v>
      </x:c>
      <x:c r="F3483" s="9" t="n">
        <x:v>0</x:v>
      </x:c>
    </x:row>
    <x:row r="3484" ht="34" customHeight="1">
      <x:c r="A3484" s="4" t="str">
        <x:v>RS-01773-I3</x:v>
      </x:c>
      <x:c r="B3484" s="4" t="str">
        <x:v>RS-01773</x:v>
      </x:c>
      <x:c r="C3484" s="9" t="n">
        <x:v>3</x:v>
      </x:c>
      <x:c r="D3484" s="8" t="n">
        <x:v>45451</x:v>
      </x:c>
      <x:c r="E3484" s="9" t="n">
        <x:v>3560000</x:v>
      </x:c>
      <x:c r="F3484" s="9" t="n">
        <x:v>0</x:v>
      </x:c>
    </x:row>
    <x:row r="3485" ht="34" customHeight="1">
      <x:c r="A3485" s="4" t="str">
        <x:v>RS-01773-I4</x:v>
      </x:c>
      <x:c r="B3485" s="4" t="str">
        <x:v>RS-01773</x:v>
      </x:c>
      <x:c r="C3485" s="9" t="n">
        <x:v>4</x:v>
      </x:c>
      <x:c r="D3485" s="8" t="n">
        <x:v>45481</x:v>
      </x:c>
      <x:c r="E3485" s="9" t="n">
        <x:v>3560000</x:v>
      </x:c>
      <x:c r="F3485" s="9" t="n">
        <x:v>0</x:v>
      </x:c>
    </x:row>
    <x:row r="3486" ht="34" customHeight="1">
      <x:c r="A3486" s="4" t="str">
        <x:v>RS-01774-I1</x:v>
      </x:c>
      <x:c r="B3486" s="4" t="str">
        <x:v>RS-01774</x:v>
      </x:c>
      <x:c r="C3486" s="9" t="n">
        <x:v>1</x:v>
      </x:c>
      <x:c r="D3486" s="8" t="n">
        <x:v>45392</x:v>
      </x:c>
      <x:c r="E3486" s="9" t="n">
        <x:v>3375000</x:v>
      </x:c>
      <x:c r="F3486" s="9" t="n">
        <x:v>3375000</x:v>
      </x:c>
    </x:row>
    <x:row r="3487" ht="34" customHeight="1">
      <x:c r="A3487" s="4" t="str">
        <x:v>RS-01774-I2</x:v>
      </x:c>
      <x:c r="B3487" s="4" t="str">
        <x:v>RS-01774</x:v>
      </x:c>
      <x:c r="C3487" s="9" t="n">
        <x:v>2</x:v>
      </x:c>
      <x:c r="D3487" s="8" t="n">
        <x:v>45422</x:v>
      </x:c>
      <x:c r="E3487" s="9" t="n">
        <x:v>3375000</x:v>
      </x:c>
      <x:c r="F3487" s="9" t="n">
        <x:v>0</x:v>
      </x:c>
    </x:row>
    <x:row r="3488" ht="34" customHeight="1">
      <x:c r="A3488" s="4" t="str">
        <x:v>RS-01774-I3</x:v>
      </x:c>
      <x:c r="B3488" s="4" t="str">
        <x:v>RS-01774</x:v>
      </x:c>
      <x:c r="C3488" s="9" t="n">
        <x:v>3</x:v>
      </x:c>
      <x:c r="D3488" s="8" t="n">
        <x:v>45452</x:v>
      </x:c>
      <x:c r="E3488" s="9" t="n">
        <x:v>3375000</x:v>
      </x:c>
      <x:c r="F3488" s="9" t="n">
        <x:v>0</x:v>
      </x:c>
    </x:row>
    <x:row r="3489" ht="34" customHeight="1">
      <x:c r="A3489" s="4" t="str">
        <x:v>RS-01774-I4</x:v>
      </x:c>
      <x:c r="B3489" s="4" t="str">
        <x:v>RS-01774</x:v>
      </x:c>
      <x:c r="C3489" s="9" t="n">
        <x:v>4</x:v>
      </x:c>
      <x:c r="D3489" s="8" t="n">
        <x:v>45482</x:v>
      </x:c>
      <x:c r="E3489" s="9" t="n">
        <x:v>3375000</x:v>
      </x:c>
      <x:c r="F3489" s="9" t="n">
        <x:v>0</x:v>
      </x:c>
    </x:row>
    <x:row r="3490" ht="34" customHeight="1">
      <x:c r="A3490" s="4" t="str">
        <x:v>RS-01776-I1</x:v>
      </x:c>
      <x:c r="B3490" s="4" t="str">
        <x:v>RS-01776</x:v>
      </x:c>
      <x:c r="C3490" s="9" t="n">
        <x:v>1</x:v>
      </x:c>
      <x:c r="D3490" s="8" t="n">
        <x:v>45394</x:v>
      </x:c>
      <x:c r="E3490" s="9" t="n">
        <x:v>5865750</x:v>
      </x:c>
      <x:c r="F3490" s="9" t="n">
        <x:v>5865750</x:v>
      </x:c>
    </x:row>
    <x:row r="3491" ht="34" customHeight="1">
      <x:c r="A3491" s="4" t="str">
        <x:v>RS-01776-I2</x:v>
      </x:c>
      <x:c r="B3491" s="4" t="str">
        <x:v>RS-01776</x:v>
      </x:c>
      <x:c r="C3491" s="9" t="n">
        <x:v>2</x:v>
      </x:c>
      <x:c r="D3491" s="8" t="n">
        <x:v>45424</x:v>
      </x:c>
      <x:c r="E3491" s="9" t="n">
        <x:v>5865750</x:v>
      </x:c>
      <x:c r="F3491" s="9" t="n">
        <x:v>5865750</x:v>
      </x:c>
    </x:row>
    <x:row r="3492" ht="34" customHeight="1">
      <x:c r="A3492" s="4" t="str">
        <x:v>RS-01776-I3</x:v>
      </x:c>
      <x:c r="B3492" s="4" t="str">
        <x:v>RS-01776</x:v>
      </x:c>
      <x:c r="C3492" s="9" t="n">
        <x:v>3</x:v>
      </x:c>
      <x:c r="D3492" s="8" t="n">
        <x:v>45454</x:v>
      </x:c>
      <x:c r="E3492" s="9" t="n">
        <x:v>5865750</x:v>
      </x:c>
      <x:c r="F3492" s="9" t="n">
        <x:v>5865750</x:v>
      </x:c>
    </x:row>
    <x:row r="3493" ht="34" customHeight="1">
      <x:c r="A3493" s="4" t="str">
        <x:v>RS-01776-I4</x:v>
      </x:c>
      <x:c r="B3493" s="4" t="str">
        <x:v>RS-01776</x:v>
      </x:c>
      <x:c r="C3493" s="9" t="n">
        <x:v>4</x:v>
      </x:c>
      <x:c r="D3493" s="8" t="n">
        <x:v>45484</x:v>
      </x:c>
      <x:c r="E3493" s="9" t="n">
        <x:v>5865750</x:v>
      </x:c>
      <x:c r="F3493" s="9" t="n">
        <x:v>5865750</x:v>
      </x:c>
    </x:row>
    <x:row r="3494" ht="34" customHeight="1">
      <x:c r="A3494" s="4" t="str">
        <x:v>RS-01777-I1</x:v>
      </x:c>
      <x:c r="B3494" s="4" t="str">
        <x:v>RS-01777</x:v>
      </x:c>
      <x:c r="C3494" s="9" t="n">
        <x:v>1</x:v>
      </x:c>
      <x:c r="D3494" s="8" t="n">
        <x:v>45395</x:v>
      </x:c>
      <x:c r="E3494" s="9" t="n">
        <x:v>2113750</x:v>
      </x:c>
      <x:c r="F3494" s="9" t="n">
        <x:v>2113750</x:v>
      </x:c>
    </x:row>
    <x:row r="3495" ht="34" customHeight="1">
      <x:c r="A3495" s="4" t="str">
        <x:v>RS-01777-I2</x:v>
      </x:c>
      <x:c r="B3495" s="4" t="str">
        <x:v>RS-01777</x:v>
      </x:c>
      <x:c r="C3495" s="9" t="n">
        <x:v>2</x:v>
      </x:c>
      <x:c r="D3495" s="8" t="n">
        <x:v>45425</x:v>
      </x:c>
      <x:c r="E3495" s="9" t="n">
        <x:v>2113750</x:v>
      </x:c>
      <x:c r="F3495" s="9" t="n">
        <x:v>0</x:v>
      </x:c>
    </x:row>
    <x:row r="3496" ht="34" customHeight="1">
      <x:c r="A3496" s="4" t="str">
        <x:v>RS-01777-I3</x:v>
      </x:c>
      <x:c r="B3496" s="4" t="str">
        <x:v>RS-01777</x:v>
      </x:c>
      <x:c r="C3496" s="9" t="n">
        <x:v>3</x:v>
      </x:c>
      <x:c r="D3496" s="8" t="n">
        <x:v>45455</x:v>
      </x:c>
      <x:c r="E3496" s="9" t="n">
        <x:v>2113750</x:v>
      </x:c>
      <x:c r="F3496" s="9" t="n">
        <x:v>0</x:v>
      </x:c>
    </x:row>
    <x:row r="3497" ht="34" customHeight="1">
      <x:c r="A3497" s="4" t="str">
        <x:v>RS-01777-I4</x:v>
      </x:c>
      <x:c r="B3497" s="4" t="str">
        <x:v>RS-01777</x:v>
      </x:c>
      <x:c r="C3497" s="9" t="n">
        <x:v>4</x:v>
      </x:c>
      <x:c r="D3497" s="8" t="n">
        <x:v>45485</x:v>
      </x:c>
      <x:c r="E3497" s="9" t="n">
        <x:v>2113750</x:v>
      </x:c>
      <x:c r="F3497" s="9" t="n">
        <x:v>0</x:v>
      </x:c>
    </x:row>
    <x:row r="3498" ht="34" customHeight="1">
      <x:c r="A3498" s="4" t="str">
        <x:v>RS-01779-I1</x:v>
      </x:c>
      <x:c r="B3498" s="4" t="str">
        <x:v>RS-01779</x:v>
      </x:c>
      <x:c r="C3498" s="9" t="n">
        <x:v>1</x:v>
      </x:c>
      <x:c r="D3498" s="8" t="n">
        <x:v>45397</x:v>
      </x:c>
      <x:c r="E3498" s="9" t="n">
        <x:v>4365000</x:v>
      </x:c>
      <x:c r="F3498" s="9" t="n">
        <x:v>4365000</x:v>
      </x:c>
    </x:row>
    <x:row r="3499" ht="34" customHeight="1">
      <x:c r="A3499" s="4" t="str">
        <x:v>RS-01779-I2</x:v>
      </x:c>
      <x:c r="B3499" s="4" t="str">
        <x:v>RS-01779</x:v>
      </x:c>
      <x:c r="C3499" s="9" t="n">
        <x:v>2</x:v>
      </x:c>
      <x:c r="D3499" s="8" t="n">
        <x:v>45427</x:v>
      </x:c>
      <x:c r="E3499" s="9" t="n">
        <x:v>4365000</x:v>
      </x:c>
      <x:c r="F3499" s="9" t="n">
        <x:v>0</x:v>
      </x:c>
    </x:row>
    <x:row r="3500" ht="34" customHeight="1">
      <x:c r="A3500" s="4" t="str">
        <x:v>RS-01779-I3</x:v>
      </x:c>
      <x:c r="B3500" s="4" t="str">
        <x:v>RS-01779</x:v>
      </x:c>
      <x:c r="C3500" s="9" t="n">
        <x:v>3</x:v>
      </x:c>
      <x:c r="D3500" s="8" t="n">
        <x:v>45457</x:v>
      </x:c>
      <x:c r="E3500" s="9" t="n">
        <x:v>4365000</x:v>
      </x:c>
      <x:c r="F3500" s="9" t="n">
        <x:v>0</x:v>
      </x:c>
    </x:row>
    <x:row r="3501" ht="34" customHeight="1">
      <x:c r="A3501" s="4" t="str">
        <x:v>RS-01779-I4</x:v>
      </x:c>
      <x:c r="B3501" s="4" t="str">
        <x:v>RS-01779</x:v>
      </x:c>
      <x:c r="C3501" s="9" t="n">
        <x:v>4</x:v>
      </x:c>
      <x:c r="D3501" s="8" t="n">
        <x:v>45487</x:v>
      </x:c>
      <x:c r="E3501" s="9" t="n">
        <x:v>4365000</x:v>
      </x:c>
      <x:c r="F3501" s="9" t="n">
        <x:v>0</x:v>
      </x:c>
    </x:row>
    <x:row r="3502" ht="34" customHeight="1">
      <x:c r="A3502" s="4" t="str">
        <x:v>RS-01780-I1</x:v>
      </x:c>
      <x:c r="B3502" s="4" t="str">
        <x:v>RS-01780</x:v>
      </x:c>
      <x:c r="C3502" s="9" t="n">
        <x:v>1</x:v>
      </x:c>
      <x:c r="D3502" s="8" t="n">
        <x:v>45398</x:v>
      </x:c>
      <x:c r="E3502" s="9" t="n">
        <x:v>4607500</x:v>
      </x:c>
      <x:c r="F3502" s="9" t="n">
        <x:v>4607500</x:v>
      </x:c>
    </x:row>
    <x:row r="3503" ht="34" customHeight="1">
      <x:c r="A3503" s="4" t="str">
        <x:v>RS-01780-I2</x:v>
      </x:c>
      <x:c r="B3503" s="4" t="str">
        <x:v>RS-01780</x:v>
      </x:c>
      <x:c r="C3503" s="9" t="n">
        <x:v>2</x:v>
      </x:c>
      <x:c r="D3503" s="8" t="n">
        <x:v>45428</x:v>
      </x:c>
      <x:c r="E3503" s="9" t="n">
        <x:v>4607500</x:v>
      </x:c>
      <x:c r="F3503" s="9" t="n">
        <x:v>4607500</x:v>
      </x:c>
    </x:row>
    <x:row r="3504" ht="34" customHeight="1">
      <x:c r="A3504" s="4" t="str">
        <x:v>RS-01780-I3</x:v>
      </x:c>
      <x:c r="B3504" s="4" t="str">
        <x:v>RS-01780</x:v>
      </x:c>
      <x:c r="C3504" s="9" t="n">
        <x:v>3</x:v>
      </x:c>
      <x:c r="D3504" s="8" t="n">
        <x:v>45458</x:v>
      </x:c>
      <x:c r="E3504" s="9" t="n">
        <x:v>4607500</x:v>
      </x:c>
      <x:c r="F3504" s="9" t="n">
        <x:v>4607500</x:v>
      </x:c>
    </x:row>
    <x:row r="3505" ht="34" customHeight="1">
      <x:c r="A3505" s="4" t="str">
        <x:v>RS-01780-I4</x:v>
      </x:c>
      <x:c r="B3505" s="4" t="str">
        <x:v>RS-01780</x:v>
      </x:c>
      <x:c r="C3505" s="9" t="n">
        <x:v>4</x:v>
      </x:c>
      <x:c r="D3505" s="8" t="n">
        <x:v>45488</x:v>
      </x:c>
      <x:c r="E3505" s="9" t="n">
        <x:v>4607500</x:v>
      </x:c>
      <x:c r="F3505" s="9" t="n">
        <x:v>4607500</x:v>
      </x:c>
    </x:row>
    <x:row r="3506" ht="34" customHeight="1">
      <x:c r="A3506" s="4" t="str">
        <x:v>RS-01781-I1</x:v>
      </x:c>
      <x:c r="B3506" s="4" t="str">
        <x:v>RS-01781</x:v>
      </x:c>
      <x:c r="C3506" s="9" t="n">
        <x:v>1</x:v>
      </x:c>
      <x:c r="D3506" s="8" t="n">
        <x:v>45399</x:v>
      </x:c>
      <x:c r="E3506" s="9" t="n">
        <x:v>5605000</x:v>
      </x:c>
      <x:c r="F3506" s="9" t="n">
        <x:v>2242000</x:v>
      </x:c>
    </x:row>
    <x:row r="3507" ht="34" customHeight="1">
      <x:c r="A3507" s="4" t="str">
        <x:v>RS-01781-I2</x:v>
      </x:c>
      <x:c r="B3507" s="4" t="str">
        <x:v>RS-01781</x:v>
      </x:c>
      <x:c r="C3507" s="9" t="n">
        <x:v>2</x:v>
      </x:c>
      <x:c r="D3507" s="8" t="n">
        <x:v>45429</x:v>
      </x:c>
      <x:c r="E3507" s="9" t="n">
        <x:v>5605000</x:v>
      </x:c>
      <x:c r="F3507" s="9" t="n">
        <x:v>0</x:v>
      </x:c>
    </x:row>
    <x:row r="3508" ht="34" customHeight="1">
      <x:c r="A3508" s="4" t="str">
        <x:v>RS-01781-I3</x:v>
      </x:c>
      <x:c r="B3508" s="4" t="str">
        <x:v>RS-01781</x:v>
      </x:c>
      <x:c r="C3508" s="9" t="n">
        <x:v>3</x:v>
      </x:c>
      <x:c r="D3508" s="8" t="n">
        <x:v>45459</x:v>
      </x:c>
      <x:c r="E3508" s="9" t="n">
        <x:v>5605000</x:v>
      </x:c>
      <x:c r="F3508" s="9" t="n">
        <x:v>0</x:v>
      </x:c>
    </x:row>
    <x:row r="3509" ht="34" customHeight="1">
      <x:c r="A3509" s="4" t="str">
        <x:v>RS-01781-I4</x:v>
      </x:c>
      <x:c r="B3509" s="4" t="str">
        <x:v>RS-01781</x:v>
      </x:c>
      <x:c r="C3509" s="9" t="n">
        <x:v>4</x:v>
      </x:c>
      <x:c r="D3509" s="8" t="n">
        <x:v>45489</x:v>
      </x:c>
      <x:c r="E3509" s="9" t="n">
        <x:v>5605000</x:v>
      </x:c>
      <x:c r="F3509" s="9" t="n">
        <x:v>0</x:v>
      </x:c>
    </x:row>
    <x:row r="3510" ht="34" customHeight="1">
      <x:c r="A3510" s="4" t="str">
        <x:v>RS-01782-I1</x:v>
      </x:c>
      <x:c r="B3510" s="4" t="str">
        <x:v>RS-01782</x:v>
      </x:c>
      <x:c r="C3510" s="9" t="n">
        <x:v>1</x:v>
      </x:c>
      <x:c r="D3510" s="8" t="n">
        <x:v>45400</x:v>
      </x:c>
      <x:c r="E3510" s="9" t="n">
        <x:v>4316500</x:v>
      </x:c>
      <x:c r="F3510" s="9" t="n">
        <x:v>4316500</x:v>
      </x:c>
    </x:row>
    <x:row r="3511" ht="34" customHeight="1">
      <x:c r="A3511" s="4" t="str">
        <x:v>RS-01782-I2</x:v>
      </x:c>
      <x:c r="B3511" s="4" t="str">
        <x:v>RS-01782</x:v>
      </x:c>
      <x:c r="C3511" s="9" t="n">
        <x:v>2</x:v>
      </x:c>
      <x:c r="D3511" s="8" t="n">
        <x:v>45430</x:v>
      </x:c>
      <x:c r="E3511" s="9" t="n">
        <x:v>4316500</x:v>
      </x:c>
      <x:c r="F3511" s="9" t="n">
        <x:v>4316500</x:v>
      </x:c>
    </x:row>
    <x:row r="3512" ht="34" customHeight="1">
      <x:c r="A3512" s="4" t="str">
        <x:v>RS-01782-I3</x:v>
      </x:c>
      <x:c r="B3512" s="4" t="str">
        <x:v>RS-01782</x:v>
      </x:c>
      <x:c r="C3512" s="9" t="n">
        <x:v>3</x:v>
      </x:c>
      <x:c r="D3512" s="8" t="n">
        <x:v>45460</x:v>
      </x:c>
      <x:c r="E3512" s="9" t="n">
        <x:v>4316500</x:v>
      </x:c>
      <x:c r="F3512" s="9" t="n">
        <x:v>4316500</x:v>
      </x:c>
    </x:row>
    <x:row r="3513" ht="34" customHeight="1">
      <x:c r="A3513" s="4" t="str">
        <x:v>RS-01782-I4</x:v>
      </x:c>
      <x:c r="B3513" s="4" t="str">
        <x:v>RS-01782</x:v>
      </x:c>
      <x:c r="C3513" s="9" t="n">
        <x:v>4</x:v>
      </x:c>
      <x:c r="D3513" s="8" t="n">
        <x:v>45490</x:v>
      </x:c>
      <x:c r="E3513" s="9" t="n">
        <x:v>4316500</x:v>
      </x:c>
      <x:c r="F3513" s="9" t="n">
        <x:v>4316500</x:v>
      </x:c>
    </x:row>
    <x:row r="3514" ht="34" customHeight="1">
      <x:c r="A3514" s="4" t="str">
        <x:v>RS-01783-I1</x:v>
      </x:c>
      <x:c r="B3514" s="4" t="str">
        <x:v>RS-01783</x:v>
      </x:c>
      <x:c r="C3514" s="9" t="n">
        <x:v>1</x:v>
      </x:c>
      <x:c r="D3514" s="8" t="n">
        <x:v>45401</x:v>
      </x:c>
      <x:c r="E3514" s="9" t="n">
        <x:v>2796750</x:v>
      </x:c>
      <x:c r="F3514" s="9" t="n">
        <x:v>1118700</x:v>
      </x:c>
    </x:row>
    <x:row r="3515" ht="34" customHeight="1">
      <x:c r="A3515" s="4" t="str">
        <x:v>RS-01783-I2</x:v>
      </x:c>
      <x:c r="B3515" s="4" t="str">
        <x:v>RS-01783</x:v>
      </x:c>
      <x:c r="C3515" s="9" t="n">
        <x:v>2</x:v>
      </x:c>
      <x:c r="D3515" s="8" t="n">
        <x:v>45431</x:v>
      </x:c>
      <x:c r="E3515" s="9" t="n">
        <x:v>2796750</x:v>
      </x:c>
      <x:c r="F3515" s="9" t="n">
        <x:v>0</x:v>
      </x:c>
    </x:row>
    <x:row r="3516" ht="34" customHeight="1">
      <x:c r="A3516" s="4" t="str">
        <x:v>RS-01783-I3</x:v>
      </x:c>
      <x:c r="B3516" s="4" t="str">
        <x:v>RS-01783</x:v>
      </x:c>
      <x:c r="C3516" s="9" t="n">
        <x:v>3</x:v>
      </x:c>
      <x:c r="D3516" s="8" t="n">
        <x:v>45461</x:v>
      </x:c>
      <x:c r="E3516" s="9" t="n">
        <x:v>2796750</x:v>
      </x:c>
      <x:c r="F3516" s="9" t="n">
        <x:v>0</x:v>
      </x:c>
    </x:row>
    <x:row r="3517" ht="34" customHeight="1">
      <x:c r="A3517" s="4" t="str">
        <x:v>RS-01783-I4</x:v>
      </x:c>
      <x:c r="B3517" s="4" t="str">
        <x:v>RS-01783</x:v>
      </x:c>
      <x:c r="C3517" s="9" t="n">
        <x:v>4</x:v>
      </x:c>
      <x:c r="D3517" s="8" t="n">
        <x:v>45491</x:v>
      </x:c>
      <x:c r="E3517" s="9" t="n">
        <x:v>2796750</x:v>
      </x:c>
      <x:c r="F3517" s="9" t="n">
        <x:v>0</x:v>
      </x:c>
    </x:row>
    <x:row r="3518" ht="34" customHeight="1">
      <x:c r="A3518" s="4" t="str">
        <x:v>RS-01790-I1</x:v>
      </x:c>
      <x:c r="B3518" s="4" t="str">
        <x:v>RS-01790</x:v>
      </x:c>
      <x:c r="C3518" s="9" t="n">
        <x:v>1</x:v>
      </x:c>
      <x:c r="D3518" s="8" t="n">
        <x:v>45408</x:v>
      </x:c>
      <x:c r="E3518" s="9" t="n">
        <x:v>5037000</x:v>
      </x:c>
      <x:c r="F3518" s="9" t="n">
        <x:v>5037000</x:v>
      </x:c>
    </x:row>
    <x:row r="3519" ht="34" customHeight="1">
      <x:c r="A3519" s="4" t="str">
        <x:v>RS-01790-I2</x:v>
      </x:c>
      <x:c r="B3519" s="4" t="str">
        <x:v>RS-01790</x:v>
      </x:c>
      <x:c r="C3519" s="9" t="n">
        <x:v>2</x:v>
      </x:c>
      <x:c r="D3519" s="8" t="n">
        <x:v>45438</x:v>
      </x:c>
      <x:c r="E3519" s="9" t="n">
        <x:v>5037000</x:v>
      </x:c>
      <x:c r="F3519" s="9" t="n">
        <x:v>0</x:v>
      </x:c>
    </x:row>
    <x:row r="3520" ht="34" customHeight="1">
      <x:c r="A3520" s="4" t="str">
        <x:v>RS-01790-I3</x:v>
      </x:c>
      <x:c r="B3520" s="4" t="str">
        <x:v>RS-01790</x:v>
      </x:c>
      <x:c r="C3520" s="9" t="n">
        <x:v>3</x:v>
      </x:c>
      <x:c r="D3520" s="8" t="n">
        <x:v>45468</x:v>
      </x:c>
      <x:c r="E3520" s="9" t="n">
        <x:v>5037000</x:v>
      </x:c>
      <x:c r="F3520" s="9" t="n">
        <x:v>0</x:v>
      </x:c>
    </x:row>
    <x:row r="3521" ht="34" customHeight="1">
      <x:c r="A3521" s="4" t="str">
        <x:v>RS-01790-I4</x:v>
      </x:c>
      <x:c r="B3521" s="4" t="str">
        <x:v>RS-01790</x:v>
      </x:c>
      <x:c r="C3521" s="9" t="n">
        <x:v>4</x:v>
      </x:c>
      <x:c r="D3521" s="8" t="n">
        <x:v>45498</x:v>
      </x:c>
      <x:c r="E3521" s="9" t="n">
        <x:v>5037000</x:v>
      </x:c>
      <x:c r="F3521" s="9" t="n">
        <x:v>0</x:v>
      </x:c>
    </x:row>
    <x:row r="3522" ht="34" customHeight="1">
      <x:c r="A3522" s="4" t="str">
        <x:v>RS-01793-I1</x:v>
      </x:c>
      <x:c r="B3522" s="4" t="str">
        <x:v>RS-01793</x:v>
      </x:c>
      <x:c r="C3522" s="9" t="n">
        <x:v>1</x:v>
      </x:c>
      <x:c r="D3522" s="8" t="n">
        <x:v>45383</x:v>
      </x:c>
      <x:c r="E3522" s="9" t="n">
        <x:v>848750</x:v>
      </x:c>
      <x:c r="F3522" s="9" t="n">
        <x:v>848750</x:v>
      </x:c>
    </x:row>
    <x:row r="3523" ht="34" customHeight="1">
      <x:c r="A3523" s="4" t="str">
        <x:v>RS-01793-I2</x:v>
      </x:c>
      <x:c r="B3523" s="4" t="str">
        <x:v>RS-01793</x:v>
      </x:c>
      <x:c r="C3523" s="9" t="n">
        <x:v>2</x:v>
      </x:c>
      <x:c r="D3523" s="8" t="n">
        <x:v>45413</x:v>
      </x:c>
      <x:c r="E3523" s="9" t="n">
        <x:v>848750</x:v>
      </x:c>
      <x:c r="F3523" s="9" t="n">
        <x:v>848750</x:v>
      </x:c>
    </x:row>
    <x:row r="3524" ht="34" customHeight="1">
      <x:c r="A3524" s="4" t="str">
        <x:v>RS-01793-I3</x:v>
      </x:c>
      <x:c r="B3524" s="4" t="str">
        <x:v>RS-01793</x:v>
      </x:c>
      <x:c r="C3524" s="9" t="n">
        <x:v>3</x:v>
      </x:c>
      <x:c r="D3524" s="8" t="n">
        <x:v>45443</x:v>
      </x:c>
      <x:c r="E3524" s="9" t="n">
        <x:v>848750</x:v>
      </x:c>
      <x:c r="F3524" s="9" t="n">
        <x:v>0</x:v>
      </x:c>
    </x:row>
    <x:row r="3525" ht="34" customHeight="1">
      <x:c r="A3525" s="4" t="str">
        <x:v>RS-01793-I4</x:v>
      </x:c>
      <x:c r="B3525" s="4" t="str">
        <x:v>RS-01793</x:v>
      </x:c>
      <x:c r="C3525" s="9" t="n">
        <x:v>4</x:v>
      </x:c>
      <x:c r="D3525" s="8" t="n">
        <x:v>45473</x:v>
      </x:c>
      <x:c r="E3525" s="9" t="n">
        <x:v>848750</x:v>
      </x:c>
      <x:c r="F3525" s="9" t="n">
        <x:v>0</x:v>
      </x:c>
    </x:row>
    <x:row r="3526" ht="34" customHeight="1">
      <x:c r="A3526" s="4" t="str">
        <x:v>RS-01795-I1</x:v>
      </x:c>
      <x:c r="B3526" s="4" t="str">
        <x:v>RS-01795</x:v>
      </x:c>
      <x:c r="C3526" s="9" t="n">
        <x:v>1</x:v>
      </x:c>
      <x:c r="D3526" s="8" t="n">
        <x:v>45385</x:v>
      </x:c>
      <x:c r="E3526" s="9" t="n">
        <x:v>4231500</x:v>
      </x:c>
      <x:c r="F3526" s="9" t="n">
        <x:v>1692600</x:v>
      </x:c>
    </x:row>
    <x:row r="3527" ht="34" customHeight="1">
      <x:c r="A3527" s="4" t="str">
        <x:v>RS-01795-I2</x:v>
      </x:c>
      <x:c r="B3527" s="4" t="str">
        <x:v>RS-01795</x:v>
      </x:c>
      <x:c r="C3527" s="9" t="n">
        <x:v>2</x:v>
      </x:c>
      <x:c r="D3527" s="8" t="n">
        <x:v>45415</x:v>
      </x:c>
      <x:c r="E3527" s="9" t="n">
        <x:v>4231500</x:v>
      </x:c>
      <x:c r="F3527" s="9" t="n">
        <x:v>0</x:v>
      </x:c>
    </x:row>
    <x:row r="3528" ht="34" customHeight="1">
      <x:c r="A3528" s="4" t="str">
        <x:v>RS-01795-I3</x:v>
      </x:c>
      <x:c r="B3528" s="4" t="str">
        <x:v>RS-01795</x:v>
      </x:c>
      <x:c r="C3528" s="9" t="n">
        <x:v>3</x:v>
      </x:c>
      <x:c r="D3528" s="8" t="n">
        <x:v>45445</x:v>
      </x:c>
      <x:c r="E3528" s="9" t="n">
        <x:v>4231500</x:v>
      </x:c>
      <x:c r="F3528" s="9" t="n">
        <x:v>0</x:v>
      </x:c>
    </x:row>
    <x:row r="3529" ht="34" customHeight="1">
      <x:c r="A3529" s="4" t="str">
        <x:v>RS-01795-I4</x:v>
      </x:c>
      <x:c r="B3529" s="4" t="str">
        <x:v>RS-01795</x:v>
      </x:c>
      <x:c r="C3529" s="9" t="n">
        <x:v>4</x:v>
      </x:c>
      <x:c r="D3529" s="8" t="n">
        <x:v>45475</x:v>
      </x:c>
      <x:c r="E3529" s="9" t="n">
        <x:v>4231500</x:v>
      </x:c>
      <x:c r="F3529" s="9" t="n">
        <x:v>0</x:v>
      </x:c>
    </x:row>
    <x:row r="3530" ht="34" customHeight="1">
      <x:c r="A3530" s="4" t="str">
        <x:v>RS-01797-I1</x:v>
      </x:c>
      <x:c r="B3530" s="4" t="str">
        <x:v>RS-01797</x:v>
      </x:c>
      <x:c r="C3530" s="9" t="n">
        <x:v>1</x:v>
      </x:c>
      <x:c r="D3530" s="8" t="n">
        <x:v>45387</x:v>
      </x:c>
      <x:c r="E3530" s="9" t="n">
        <x:v>1372500</x:v>
      </x:c>
      <x:c r="F3530" s="9" t="n">
        <x:v>549000</x:v>
      </x:c>
    </x:row>
    <x:row r="3531" ht="34" customHeight="1">
      <x:c r="A3531" s="4" t="str">
        <x:v>RS-01797-I2</x:v>
      </x:c>
      <x:c r="B3531" s="4" t="str">
        <x:v>RS-01797</x:v>
      </x:c>
      <x:c r="C3531" s="9" t="n">
        <x:v>2</x:v>
      </x:c>
      <x:c r="D3531" s="8" t="n">
        <x:v>45417</x:v>
      </x:c>
      <x:c r="E3531" s="9" t="n">
        <x:v>1372500</x:v>
      </x:c>
      <x:c r="F3531" s="9" t="n">
        <x:v>0</x:v>
      </x:c>
    </x:row>
    <x:row r="3532" ht="34" customHeight="1">
      <x:c r="A3532" s="4" t="str">
        <x:v>RS-01797-I3</x:v>
      </x:c>
      <x:c r="B3532" s="4" t="str">
        <x:v>RS-01797</x:v>
      </x:c>
      <x:c r="C3532" s="9" t="n">
        <x:v>3</x:v>
      </x:c>
      <x:c r="D3532" s="8" t="n">
        <x:v>45447</x:v>
      </x:c>
      <x:c r="E3532" s="9" t="n">
        <x:v>1372500</x:v>
      </x:c>
      <x:c r="F3532" s="9" t="n">
        <x:v>0</x:v>
      </x:c>
    </x:row>
    <x:row r="3533" ht="34" customHeight="1">
      <x:c r="A3533" s="4" t="str">
        <x:v>RS-01797-I4</x:v>
      </x:c>
      <x:c r="B3533" s="4" t="str">
        <x:v>RS-01797</x:v>
      </x:c>
      <x:c r="C3533" s="9" t="n">
        <x:v>4</x:v>
      </x:c>
      <x:c r="D3533" s="8" t="n">
        <x:v>45477</x:v>
      </x:c>
      <x:c r="E3533" s="9" t="n">
        <x:v>1372500</x:v>
      </x:c>
      <x:c r="F3533" s="9" t="n">
        <x:v>0</x:v>
      </x:c>
    </x:row>
    <x:row r="3534" ht="34" customHeight="1">
      <x:c r="A3534" s="4" t="str">
        <x:v>RS-01798-I1</x:v>
      </x:c>
      <x:c r="B3534" s="4" t="str">
        <x:v>RS-01798</x:v>
      </x:c>
      <x:c r="C3534" s="9" t="n">
        <x:v>1</x:v>
      </x:c>
      <x:c r="D3534" s="8" t="n">
        <x:v>45388</x:v>
      </x:c>
      <x:c r="E3534" s="9" t="n">
        <x:v>3797500</x:v>
      </x:c>
      <x:c r="F3534" s="9" t="n">
        <x:v>3797500</x:v>
      </x:c>
    </x:row>
    <x:row r="3535" ht="34" customHeight="1">
      <x:c r="A3535" s="4" t="str">
        <x:v>RS-01798-I2</x:v>
      </x:c>
      <x:c r="B3535" s="4" t="str">
        <x:v>RS-01798</x:v>
      </x:c>
      <x:c r="C3535" s="9" t="n">
        <x:v>2</x:v>
      </x:c>
      <x:c r="D3535" s="8" t="n">
        <x:v>45418</x:v>
      </x:c>
      <x:c r="E3535" s="9" t="n">
        <x:v>3797500</x:v>
      </x:c>
      <x:c r="F3535" s="9" t="n">
        <x:v>0</x:v>
      </x:c>
    </x:row>
    <x:row r="3536" ht="34" customHeight="1">
      <x:c r="A3536" s="4" t="str">
        <x:v>RS-01798-I3</x:v>
      </x:c>
      <x:c r="B3536" s="4" t="str">
        <x:v>RS-01798</x:v>
      </x:c>
      <x:c r="C3536" s="9" t="n">
        <x:v>3</x:v>
      </x:c>
      <x:c r="D3536" s="8" t="n">
        <x:v>45448</x:v>
      </x:c>
      <x:c r="E3536" s="9" t="n">
        <x:v>3797500</x:v>
      </x:c>
      <x:c r="F3536" s="9" t="n">
        <x:v>0</x:v>
      </x:c>
    </x:row>
    <x:row r="3537" ht="34" customHeight="1">
      <x:c r="A3537" s="4" t="str">
        <x:v>RS-01798-I4</x:v>
      </x:c>
      <x:c r="B3537" s="4" t="str">
        <x:v>RS-01798</x:v>
      </x:c>
      <x:c r="C3537" s="9" t="n">
        <x:v>4</x:v>
      </x:c>
      <x:c r="D3537" s="8" t="n">
        <x:v>45478</x:v>
      </x:c>
      <x:c r="E3537" s="9" t="n">
        <x:v>3797500</x:v>
      </x:c>
      <x:c r="F3537" s="9" t="n">
        <x:v>0</x:v>
      </x:c>
    </x:row>
    <x:row r="3538" ht="34" customHeight="1">
      <x:c r="A3538" s="4" t="str">
        <x:v>RS-01801-I1</x:v>
      </x:c>
      <x:c r="B3538" s="4" t="str">
        <x:v>RS-01801</x:v>
      </x:c>
      <x:c r="C3538" s="9" t="n">
        <x:v>1</x:v>
      </x:c>
      <x:c r="D3538" s="8" t="n">
        <x:v>45391</x:v>
      </x:c>
      <x:c r="E3538" s="9" t="n">
        <x:v>5816250</x:v>
      </x:c>
      <x:c r="F3538" s="9" t="n">
        <x:v>5816250</x:v>
      </x:c>
    </x:row>
    <x:row r="3539" ht="34" customHeight="1">
      <x:c r="A3539" s="4" t="str">
        <x:v>RS-01801-I2</x:v>
      </x:c>
      <x:c r="B3539" s="4" t="str">
        <x:v>RS-01801</x:v>
      </x:c>
      <x:c r="C3539" s="9" t="n">
        <x:v>2</x:v>
      </x:c>
      <x:c r="D3539" s="8" t="n">
        <x:v>45421</x:v>
      </x:c>
      <x:c r="E3539" s="9" t="n">
        <x:v>5816250</x:v>
      </x:c>
      <x:c r="F3539" s="9" t="n">
        <x:v>5816250</x:v>
      </x:c>
    </x:row>
    <x:row r="3540" ht="34" customHeight="1">
      <x:c r="A3540" s="4" t="str">
        <x:v>RS-01801-I3</x:v>
      </x:c>
      <x:c r="B3540" s="4" t="str">
        <x:v>RS-01801</x:v>
      </x:c>
      <x:c r="C3540" s="9" t="n">
        <x:v>3</x:v>
      </x:c>
      <x:c r="D3540" s="8" t="n">
        <x:v>45451</x:v>
      </x:c>
      <x:c r="E3540" s="9" t="n">
        <x:v>5816250</x:v>
      </x:c>
      <x:c r="F3540" s="9" t="n">
        <x:v>0</x:v>
      </x:c>
    </x:row>
    <x:row r="3541" ht="34" customHeight="1">
      <x:c r="A3541" s="4" t="str">
        <x:v>RS-01801-I4</x:v>
      </x:c>
      <x:c r="B3541" s="4" t="str">
        <x:v>RS-01801</x:v>
      </x:c>
      <x:c r="C3541" s="9" t="n">
        <x:v>4</x:v>
      </x:c>
      <x:c r="D3541" s="8" t="n">
        <x:v>45481</x:v>
      </x:c>
      <x:c r="E3541" s="9" t="n">
        <x:v>5816250</x:v>
      </x:c>
      <x:c r="F3541" s="9" t="n">
        <x:v>0</x:v>
      </x:c>
    </x:row>
    <x:row r="3542" ht="34" customHeight="1">
      <x:c r="A3542" s="4" t="str">
        <x:v>RS-01804-I1</x:v>
      </x:c>
      <x:c r="B3542" s="4" t="str">
        <x:v>RS-01804</x:v>
      </x:c>
      <x:c r="C3542" s="9" t="n">
        <x:v>1</x:v>
      </x:c>
      <x:c r="D3542" s="8" t="n">
        <x:v>45394</x:v>
      </x:c>
      <x:c r="E3542" s="9" t="n">
        <x:v>4572750</x:v>
      </x:c>
      <x:c r="F3542" s="9" t="n">
        <x:v>4572750</x:v>
      </x:c>
    </x:row>
    <x:row r="3543" ht="34" customHeight="1">
      <x:c r="A3543" s="4" t="str">
        <x:v>RS-01804-I2</x:v>
      </x:c>
      <x:c r="B3543" s="4" t="str">
        <x:v>RS-01804</x:v>
      </x:c>
      <x:c r="C3543" s="9" t="n">
        <x:v>2</x:v>
      </x:c>
      <x:c r="D3543" s="8" t="n">
        <x:v>45424</x:v>
      </x:c>
      <x:c r="E3543" s="9" t="n">
        <x:v>4572750</x:v>
      </x:c>
      <x:c r="F3543" s="9" t="n">
        <x:v>0</x:v>
      </x:c>
    </x:row>
    <x:row r="3544" ht="34" customHeight="1">
      <x:c r="A3544" s="4" t="str">
        <x:v>RS-01804-I3</x:v>
      </x:c>
      <x:c r="B3544" s="4" t="str">
        <x:v>RS-01804</x:v>
      </x:c>
      <x:c r="C3544" s="9" t="n">
        <x:v>3</x:v>
      </x:c>
      <x:c r="D3544" s="8" t="n">
        <x:v>45454</x:v>
      </x:c>
      <x:c r="E3544" s="9" t="n">
        <x:v>4572750</x:v>
      </x:c>
      <x:c r="F3544" s="9" t="n">
        <x:v>0</x:v>
      </x:c>
    </x:row>
    <x:row r="3545" ht="34" customHeight="1">
      <x:c r="A3545" s="4" t="str">
        <x:v>RS-01804-I4</x:v>
      </x:c>
      <x:c r="B3545" s="4" t="str">
        <x:v>RS-01804</x:v>
      </x:c>
      <x:c r="C3545" s="9" t="n">
        <x:v>4</x:v>
      </x:c>
      <x:c r="D3545" s="8" t="n">
        <x:v>45484</x:v>
      </x:c>
      <x:c r="E3545" s="9" t="n">
        <x:v>4572750</x:v>
      </x:c>
      <x:c r="F3545" s="9" t="n">
        <x:v>0</x:v>
      </x:c>
    </x:row>
    <x:row r="3546" ht="34" customHeight="1">
      <x:c r="A3546" s="4" t="str">
        <x:v>RS-01807-I1</x:v>
      </x:c>
      <x:c r="B3546" s="4" t="str">
        <x:v>RS-01807</x:v>
      </x:c>
      <x:c r="C3546" s="9" t="n">
        <x:v>1</x:v>
      </x:c>
      <x:c r="D3546" s="8" t="n">
        <x:v>45397</x:v>
      </x:c>
      <x:c r="E3546" s="9" t="n">
        <x:v>1706250</x:v>
      </x:c>
      <x:c r="F3546" s="9" t="n">
        <x:v>1706250</x:v>
      </x:c>
    </x:row>
    <x:row r="3547" ht="34" customHeight="1">
      <x:c r="A3547" s="4" t="str">
        <x:v>RS-01807-I2</x:v>
      </x:c>
      <x:c r="B3547" s="4" t="str">
        <x:v>RS-01807</x:v>
      </x:c>
      <x:c r="C3547" s="9" t="n">
        <x:v>2</x:v>
      </x:c>
      <x:c r="D3547" s="8" t="n">
        <x:v>45427</x:v>
      </x:c>
      <x:c r="E3547" s="9" t="n">
        <x:v>1706250</x:v>
      </x:c>
      <x:c r="F3547" s="9" t="n">
        <x:v>0</x:v>
      </x:c>
    </x:row>
    <x:row r="3548" ht="34" customHeight="1">
      <x:c r="A3548" s="4" t="str">
        <x:v>RS-01807-I3</x:v>
      </x:c>
      <x:c r="B3548" s="4" t="str">
        <x:v>RS-01807</x:v>
      </x:c>
      <x:c r="C3548" s="9" t="n">
        <x:v>3</x:v>
      </x:c>
      <x:c r="D3548" s="8" t="n">
        <x:v>45457</x:v>
      </x:c>
      <x:c r="E3548" s="9" t="n">
        <x:v>1706250</x:v>
      </x:c>
      <x:c r="F3548" s="9" t="n">
        <x:v>0</x:v>
      </x:c>
    </x:row>
    <x:row r="3549" ht="34" customHeight="1">
      <x:c r="A3549" s="4" t="str">
        <x:v>RS-01807-I4</x:v>
      </x:c>
      <x:c r="B3549" s="4" t="str">
        <x:v>RS-01807</x:v>
      </x:c>
      <x:c r="C3549" s="9" t="n">
        <x:v>4</x:v>
      </x:c>
      <x:c r="D3549" s="8" t="n">
        <x:v>45487</x:v>
      </x:c>
      <x:c r="E3549" s="9" t="n">
        <x:v>1706250</x:v>
      </x:c>
      <x:c r="F3549" s="9" t="n">
        <x:v>0</x:v>
      </x:c>
    </x:row>
    <x:row r="3550" ht="34" customHeight="1">
      <x:c r="A3550" s="4" t="str">
        <x:v>RS-01808-I1</x:v>
      </x:c>
      <x:c r="B3550" s="4" t="str">
        <x:v>RS-01808</x:v>
      </x:c>
      <x:c r="C3550" s="9" t="n">
        <x:v>1</x:v>
      </x:c>
      <x:c r="D3550" s="8" t="n">
        <x:v>45398</x:v>
      </x:c>
      <x:c r="E3550" s="9" t="n">
        <x:v>3208500</x:v>
      </x:c>
      <x:c r="F3550" s="9" t="n">
        <x:v>3208500</x:v>
      </x:c>
    </x:row>
    <x:row r="3551" ht="34" customHeight="1">
      <x:c r="A3551" s="4" t="str">
        <x:v>RS-01808-I2</x:v>
      </x:c>
      <x:c r="B3551" s="4" t="str">
        <x:v>RS-01808</x:v>
      </x:c>
      <x:c r="C3551" s="9" t="n">
        <x:v>2</x:v>
      </x:c>
      <x:c r="D3551" s="8" t="n">
        <x:v>45428</x:v>
      </x:c>
      <x:c r="E3551" s="9" t="n">
        <x:v>3208500</x:v>
      </x:c>
      <x:c r="F3551" s="9" t="n">
        <x:v>0</x:v>
      </x:c>
    </x:row>
    <x:row r="3552" ht="34" customHeight="1">
      <x:c r="A3552" s="4" t="str">
        <x:v>RS-01808-I3</x:v>
      </x:c>
      <x:c r="B3552" s="4" t="str">
        <x:v>RS-01808</x:v>
      </x:c>
      <x:c r="C3552" s="9" t="n">
        <x:v>3</x:v>
      </x:c>
      <x:c r="D3552" s="8" t="n">
        <x:v>45458</x:v>
      </x:c>
      <x:c r="E3552" s="9" t="n">
        <x:v>3208500</x:v>
      </x:c>
      <x:c r="F3552" s="9" t="n">
        <x:v>0</x:v>
      </x:c>
    </x:row>
    <x:row r="3553" ht="34" customHeight="1">
      <x:c r="A3553" s="4" t="str">
        <x:v>RS-01808-I4</x:v>
      </x:c>
      <x:c r="B3553" s="4" t="str">
        <x:v>RS-01808</x:v>
      </x:c>
      <x:c r="C3553" s="9" t="n">
        <x:v>4</x:v>
      </x:c>
      <x:c r="D3553" s="8" t="n">
        <x:v>45488</x:v>
      </x:c>
      <x:c r="E3553" s="9" t="n">
        <x:v>3208500</x:v>
      </x:c>
      <x:c r="F3553" s="9" t="n">
        <x:v>0</x:v>
      </x:c>
    </x:row>
    <x:row r="3554" ht="34" customHeight="1">
      <x:c r="A3554" s="4" t="str">
        <x:v>RS-01809-I1</x:v>
      </x:c>
      <x:c r="B3554" s="4" t="str">
        <x:v>RS-01809</x:v>
      </x:c>
      <x:c r="C3554" s="9" t="n">
        <x:v>1</x:v>
      </x:c>
      <x:c r="D3554" s="8" t="n">
        <x:v>45399</x:v>
      </x:c>
      <x:c r="E3554" s="9" t="n">
        <x:v>2153250</x:v>
      </x:c>
      <x:c r="F3554" s="9" t="n">
        <x:v>2153250</x:v>
      </x:c>
    </x:row>
    <x:row r="3555" ht="34" customHeight="1">
      <x:c r="A3555" s="4" t="str">
        <x:v>RS-01809-I2</x:v>
      </x:c>
      <x:c r="B3555" s="4" t="str">
        <x:v>RS-01809</x:v>
      </x:c>
      <x:c r="C3555" s="9" t="n">
        <x:v>2</x:v>
      </x:c>
      <x:c r="D3555" s="8" t="n">
        <x:v>45429</x:v>
      </x:c>
      <x:c r="E3555" s="9" t="n">
        <x:v>2153250</x:v>
      </x:c>
      <x:c r="F3555" s="9" t="n">
        <x:v>0</x:v>
      </x:c>
    </x:row>
    <x:row r="3556" ht="34" customHeight="1">
      <x:c r="A3556" s="4" t="str">
        <x:v>RS-01809-I3</x:v>
      </x:c>
      <x:c r="B3556" s="4" t="str">
        <x:v>RS-01809</x:v>
      </x:c>
      <x:c r="C3556" s="9" t="n">
        <x:v>3</x:v>
      </x:c>
      <x:c r="D3556" s="8" t="n">
        <x:v>45459</x:v>
      </x:c>
      <x:c r="E3556" s="9" t="n">
        <x:v>2153250</x:v>
      </x:c>
      <x:c r="F3556" s="9" t="n">
        <x:v>0</x:v>
      </x:c>
    </x:row>
    <x:row r="3557" ht="34" customHeight="1">
      <x:c r="A3557" s="4" t="str">
        <x:v>RS-01809-I4</x:v>
      </x:c>
      <x:c r="B3557" s="4" t="str">
        <x:v>RS-01809</x:v>
      </x:c>
      <x:c r="C3557" s="9" t="n">
        <x:v>4</x:v>
      </x:c>
      <x:c r="D3557" s="8" t="n">
        <x:v>45489</x:v>
      </x:c>
      <x:c r="E3557" s="9" t="n">
        <x:v>2153250</x:v>
      </x:c>
      <x:c r="F3557" s="9" t="n">
        <x:v>0</x:v>
      </x:c>
    </x:row>
    <x:row r="3558" ht="34" customHeight="1">
      <x:c r="A3558" s="4" t="str">
        <x:v>RS-01813-I1</x:v>
      </x:c>
      <x:c r="B3558" s="4" t="str">
        <x:v>RS-01813</x:v>
      </x:c>
      <x:c r="C3558" s="9" t="n">
        <x:v>1</x:v>
      </x:c>
      <x:c r="D3558" s="8" t="n">
        <x:v>45403</x:v>
      </x:c>
      <x:c r="E3558" s="9" t="n">
        <x:v>3680000</x:v>
      </x:c>
      <x:c r="F3558" s="9" t="n">
        <x:v>1472000</x:v>
      </x:c>
    </x:row>
    <x:row r="3559" ht="34" customHeight="1">
      <x:c r="A3559" s="4" t="str">
        <x:v>RS-01813-I2</x:v>
      </x:c>
      <x:c r="B3559" s="4" t="str">
        <x:v>RS-01813</x:v>
      </x:c>
      <x:c r="C3559" s="9" t="n">
        <x:v>2</x:v>
      </x:c>
      <x:c r="D3559" s="8" t="n">
        <x:v>45433</x:v>
      </x:c>
      <x:c r="E3559" s="9" t="n">
        <x:v>3680000</x:v>
      </x:c>
      <x:c r="F3559" s="9" t="n">
        <x:v>0</x:v>
      </x:c>
    </x:row>
    <x:row r="3560" ht="34" customHeight="1">
      <x:c r="A3560" s="4" t="str">
        <x:v>RS-01813-I3</x:v>
      </x:c>
      <x:c r="B3560" s="4" t="str">
        <x:v>RS-01813</x:v>
      </x:c>
      <x:c r="C3560" s="9" t="n">
        <x:v>3</x:v>
      </x:c>
      <x:c r="D3560" s="8" t="n">
        <x:v>45463</x:v>
      </x:c>
      <x:c r="E3560" s="9" t="n">
        <x:v>3680000</x:v>
      </x:c>
      <x:c r="F3560" s="9" t="n">
        <x:v>0</x:v>
      </x:c>
    </x:row>
    <x:row r="3561" ht="34" customHeight="1">
      <x:c r="A3561" s="4" t="str">
        <x:v>RS-01813-I4</x:v>
      </x:c>
      <x:c r="B3561" s="4" t="str">
        <x:v>RS-01813</x:v>
      </x:c>
      <x:c r="C3561" s="9" t="n">
        <x:v>4</x:v>
      </x:c>
      <x:c r="D3561" s="8" t="n">
        <x:v>45493</x:v>
      </x:c>
      <x:c r="E3561" s="9" t="n">
        <x:v>3680000</x:v>
      </x:c>
      <x:c r="F3561" s="9" t="n">
        <x:v>0</x:v>
      </x:c>
    </x:row>
    <x:row r="3562" ht="34" customHeight="1">
      <x:c r="A3562" s="4" t="str">
        <x:v>RS-01818-I1</x:v>
      </x:c>
      <x:c r="B3562" s="4" t="str">
        <x:v>RS-01818</x:v>
      </x:c>
      <x:c r="C3562" s="9" t="n">
        <x:v>1</x:v>
      </x:c>
      <x:c r="D3562" s="8" t="n">
        <x:v>45408</x:v>
      </x:c>
      <x:c r="E3562" s="9" t="n">
        <x:v>4380750</x:v>
      </x:c>
      <x:c r="F3562" s="9" t="n">
        <x:v>4380750</x:v>
      </x:c>
    </x:row>
    <x:row r="3563" ht="34" customHeight="1">
      <x:c r="A3563" s="4" t="str">
        <x:v>RS-01818-I2</x:v>
      </x:c>
      <x:c r="B3563" s="4" t="str">
        <x:v>RS-01818</x:v>
      </x:c>
      <x:c r="C3563" s="9" t="n">
        <x:v>2</x:v>
      </x:c>
      <x:c r="D3563" s="8" t="n">
        <x:v>45438</x:v>
      </x:c>
      <x:c r="E3563" s="9" t="n">
        <x:v>4380750</x:v>
      </x:c>
      <x:c r="F3563" s="9" t="n">
        <x:v>4380750</x:v>
      </x:c>
    </x:row>
    <x:row r="3564" ht="34" customHeight="1">
      <x:c r="A3564" s="4" t="str">
        <x:v>RS-01818-I3</x:v>
      </x:c>
      <x:c r="B3564" s="4" t="str">
        <x:v>RS-01818</x:v>
      </x:c>
      <x:c r="C3564" s="9" t="n">
        <x:v>3</x:v>
      </x:c>
      <x:c r="D3564" s="8" t="n">
        <x:v>45468</x:v>
      </x:c>
      <x:c r="E3564" s="9" t="n">
        <x:v>4380750</x:v>
      </x:c>
      <x:c r="F3564" s="9" t="n">
        <x:v>4380750</x:v>
      </x:c>
    </x:row>
    <x:row r="3565" ht="34" customHeight="1">
      <x:c r="A3565" s="4" t="str">
        <x:v>RS-01818-I4</x:v>
      </x:c>
      <x:c r="B3565" s="4" t="str">
        <x:v>RS-01818</x:v>
      </x:c>
      <x:c r="C3565" s="9" t="n">
        <x:v>4</x:v>
      </x:c>
      <x:c r="D3565" s="8" t="n">
        <x:v>45498</x:v>
      </x:c>
      <x:c r="E3565" s="9" t="n">
        <x:v>4380750</x:v>
      </x:c>
      <x:c r="F3565" s="9" t="n">
        <x:v>4380750</x:v>
      </x:c>
    </x:row>
    <x:row r="3566" ht="34" customHeight="1">
      <x:c r="A3566" s="4" t="str">
        <x:v>RS-01819-I1</x:v>
      </x:c>
      <x:c r="B3566" s="4" t="str">
        <x:v>RS-01819</x:v>
      </x:c>
      <x:c r="C3566" s="9" t="n">
        <x:v>1</x:v>
      </x:c>
      <x:c r="D3566" s="8" t="n">
        <x:v>45409</x:v>
      </x:c>
      <x:c r="E3566" s="9" t="n">
        <x:v>1211250</x:v>
      </x:c>
      <x:c r="F3566" s="9" t="n">
        <x:v>1211250</x:v>
      </x:c>
    </x:row>
    <x:row r="3567" ht="34" customHeight="1">
      <x:c r="A3567" s="4" t="str">
        <x:v>RS-01819-I2</x:v>
      </x:c>
      <x:c r="B3567" s="4" t="str">
        <x:v>RS-01819</x:v>
      </x:c>
      <x:c r="C3567" s="9" t="n">
        <x:v>2</x:v>
      </x:c>
      <x:c r="D3567" s="8" t="n">
        <x:v>45439</x:v>
      </x:c>
      <x:c r="E3567" s="9" t="n">
        <x:v>1211250</x:v>
      </x:c>
      <x:c r="F3567" s="9" t="n">
        <x:v>1211250</x:v>
      </x:c>
    </x:row>
    <x:row r="3568" ht="34" customHeight="1">
      <x:c r="A3568" s="4" t="str">
        <x:v>RS-01819-I3</x:v>
      </x:c>
      <x:c r="B3568" s="4" t="str">
        <x:v>RS-01819</x:v>
      </x:c>
      <x:c r="C3568" s="9" t="n">
        <x:v>3</x:v>
      </x:c>
      <x:c r="D3568" s="8" t="n">
        <x:v>45469</x:v>
      </x:c>
      <x:c r="E3568" s="9" t="n">
        <x:v>1211250</x:v>
      </x:c>
      <x:c r="F3568" s="9" t="n">
        <x:v>0</x:v>
      </x:c>
    </x:row>
    <x:row r="3569" ht="34" customHeight="1">
      <x:c r="A3569" s="4" t="str">
        <x:v>RS-01819-I4</x:v>
      </x:c>
      <x:c r="B3569" s="4" t="str">
        <x:v>RS-01819</x:v>
      </x:c>
      <x:c r="C3569" s="9" t="n">
        <x:v>4</x:v>
      </x:c>
      <x:c r="D3569" s="8" t="n">
        <x:v>45499</x:v>
      </x:c>
      <x:c r="E3569" s="9" t="n">
        <x:v>1211250</x:v>
      </x:c>
      <x:c r="F3569" s="9" t="n">
        <x:v>0</x:v>
      </x:c>
    </x:row>
    <x:row r="3570" ht="34" customHeight="1">
      <x:c r="A3570" s="4" t="str">
        <x:v>RS-01820-I1</x:v>
      </x:c>
      <x:c r="B3570" s="4" t="str">
        <x:v>RS-01820</x:v>
      </x:c>
      <x:c r="C3570" s="9" t="n">
        <x:v>1</x:v>
      </x:c>
      <x:c r="D3570" s="8" t="n">
        <x:v>45410</x:v>
      </x:c>
      <x:c r="E3570" s="9" t="n">
        <x:v>5543000</x:v>
      </x:c>
      <x:c r="F3570" s="9" t="n">
        <x:v>5543000</x:v>
      </x:c>
    </x:row>
    <x:row r="3571" ht="34" customHeight="1">
      <x:c r="A3571" s="4" t="str">
        <x:v>RS-01820-I2</x:v>
      </x:c>
      <x:c r="B3571" s="4" t="str">
        <x:v>RS-01820</x:v>
      </x:c>
      <x:c r="C3571" s="9" t="n">
        <x:v>2</x:v>
      </x:c>
      <x:c r="D3571" s="8" t="n">
        <x:v>45440</x:v>
      </x:c>
      <x:c r="E3571" s="9" t="n">
        <x:v>5543000</x:v>
      </x:c>
      <x:c r="F3571" s="9" t="n">
        <x:v>5543000</x:v>
      </x:c>
    </x:row>
    <x:row r="3572" ht="34" customHeight="1">
      <x:c r="A3572" s="4" t="str">
        <x:v>RS-01820-I3</x:v>
      </x:c>
      <x:c r="B3572" s="4" t="str">
        <x:v>RS-01820</x:v>
      </x:c>
      <x:c r="C3572" s="9" t="n">
        <x:v>3</x:v>
      </x:c>
      <x:c r="D3572" s="8" t="n">
        <x:v>45470</x:v>
      </x:c>
      <x:c r="E3572" s="9" t="n">
        <x:v>5543000</x:v>
      </x:c>
      <x:c r="F3572" s="9" t="n">
        <x:v>5543000</x:v>
      </x:c>
    </x:row>
    <x:row r="3573" ht="34" customHeight="1">
      <x:c r="A3573" s="4" t="str">
        <x:v>RS-01820-I4</x:v>
      </x:c>
      <x:c r="B3573" s="4" t="str">
        <x:v>RS-01820</x:v>
      </x:c>
      <x:c r="C3573" s="9" t="n">
        <x:v>4</x:v>
      </x:c>
      <x:c r="D3573" s="8" t="n">
        <x:v>45500</x:v>
      </x:c>
      <x:c r="E3573" s="9" t="n">
        <x:v>5543000</x:v>
      </x:c>
      <x:c r="F3573" s="9" t="n">
        <x:v>5543000</x:v>
      </x:c>
    </x:row>
    <x:row r="3574" ht="34" customHeight="1">
      <x:c r="A3574" s="4" t="str">
        <x:v>RS-01821-I1</x:v>
      </x:c>
      <x:c r="B3574" s="4" t="str">
        <x:v>RS-01821</x:v>
      </x:c>
      <x:c r="C3574" s="9" t="n">
        <x:v>1</x:v>
      </x:c>
      <x:c r="D3574" s="8" t="n">
        <x:v>45383</x:v>
      </x:c>
      <x:c r="E3574" s="9" t="n">
        <x:v>1624750</x:v>
      </x:c>
      <x:c r="F3574" s="9" t="n">
        <x:v>1624750</x:v>
      </x:c>
    </x:row>
    <x:row r="3575" ht="34" customHeight="1">
      <x:c r="A3575" s="4" t="str">
        <x:v>RS-01821-I2</x:v>
      </x:c>
      <x:c r="B3575" s="4" t="str">
        <x:v>RS-01821</x:v>
      </x:c>
      <x:c r="C3575" s="9" t="n">
        <x:v>2</x:v>
      </x:c>
      <x:c r="D3575" s="8" t="n">
        <x:v>45413</x:v>
      </x:c>
      <x:c r="E3575" s="9" t="n">
        <x:v>1624750</x:v>
      </x:c>
      <x:c r="F3575" s="9" t="n">
        <x:v>0</x:v>
      </x:c>
    </x:row>
    <x:row r="3576" ht="34" customHeight="1">
      <x:c r="A3576" s="4" t="str">
        <x:v>RS-01821-I3</x:v>
      </x:c>
      <x:c r="B3576" s="4" t="str">
        <x:v>RS-01821</x:v>
      </x:c>
      <x:c r="C3576" s="9" t="n">
        <x:v>3</x:v>
      </x:c>
      <x:c r="D3576" s="8" t="n">
        <x:v>45443</x:v>
      </x:c>
      <x:c r="E3576" s="9" t="n">
        <x:v>1624750</x:v>
      </x:c>
      <x:c r="F3576" s="9" t="n">
        <x:v>0</x:v>
      </x:c>
    </x:row>
    <x:row r="3577" ht="34" customHeight="1">
      <x:c r="A3577" s="4" t="str">
        <x:v>RS-01821-I4</x:v>
      </x:c>
      <x:c r="B3577" s="4" t="str">
        <x:v>RS-01821</x:v>
      </x:c>
      <x:c r="C3577" s="9" t="n">
        <x:v>4</x:v>
      </x:c>
      <x:c r="D3577" s="8" t="n">
        <x:v>45473</x:v>
      </x:c>
      <x:c r="E3577" s="9" t="n">
        <x:v>1624750</x:v>
      </x:c>
      <x:c r="F3577" s="9" t="n">
        <x:v>0</x:v>
      </x:c>
    </x:row>
    <x:row r="3578" ht="34" customHeight="1">
      <x:c r="A3578" s="4" t="str">
        <x:v>RS-01824-I1</x:v>
      </x:c>
      <x:c r="B3578" s="4" t="str">
        <x:v>RS-01824</x:v>
      </x:c>
      <x:c r="C3578" s="9" t="n">
        <x:v>1</x:v>
      </x:c>
      <x:c r="D3578" s="8" t="n">
        <x:v>45386</x:v>
      </x:c>
      <x:c r="E3578" s="9" t="n">
        <x:v>1091250</x:v>
      </x:c>
      <x:c r="F3578" s="9" t="n">
        <x:v>436500</x:v>
      </x:c>
    </x:row>
    <x:row r="3579" ht="34" customHeight="1">
      <x:c r="A3579" s="4" t="str">
        <x:v>RS-01824-I2</x:v>
      </x:c>
      <x:c r="B3579" s="4" t="str">
        <x:v>RS-01824</x:v>
      </x:c>
      <x:c r="C3579" s="9" t="n">
        <x:v>2</x:v>
      </x:c>
      <x:c r="D3579" s="8" t="n">
        <x:v>45416</x:v>
      </x:c>
      <x:c r="E3579" s="9" t="n">
        <x:v>1091250</x:v>
      </x:c>
      <x:c r="F3579" s="9" t="n">
        <x:v>0</x:v>
      </x:c>
    </x:row>
    <x:row r="3580" ht="34" customHeight="1">
      <x:c r="A3580" s="4" t="str">
        <x:v>RS-01824-I3</x:v>
      </x:c>
      <x:c r="B3580" s="4" t="str">
        <x:v>RS-01824</x:v>
      </x:c>
      <x:c r="C3580" s="9" t="n">
        <x:v>3</x:v>
      </x:c>
      <x:c r="D3580" s="8" t="n">
        <x:v>45446</x:v>
      </x:c>
      <x:c r="E3580" s="9" t="n">
        <x:v>1091250</x:v>
      </x:c>
      <x:c r="F3580" s="9" t="n">
        <x:v>0</x:v>
      </x:c>
    </x:row>
    <x:row r="3581" ht="34" customHeight="1">
      <x:c r="A3581" s="4" t="str">
        <x:v>RS-01824-I4</x:v>
      </x:c>
      <x:c r="B3581" s="4" t="str">
        <x:v>RS-01824</x:v>
      </x:c>
      <x:c r="C3581" s="9" t="n">
        <x:v>4</x:v>
      </x:c>
      <x:c r="D3581" s="8" t="n">
        <x:v>45476</x:v>
      </x:c>
      <x:c r="E3581" s="9" t="n">
        <x:v>1091250</x:v>
      </x:c>
      <x:c r="F3581" s="9" t="n">
        <x:v>0</x:v>
      </x:c>
    </x:row>
    <x:row r="3582" ht="34" customHeight="1">
      <x:c r="A3582" s="4" t="str">
        <x:v>RS-01825-I1</x:v>
      </x:c>
      <x:c r="B3582" s="4" t="str">
        <x:v>RS-01825</x:v>
      </x:c>
      <x:c r="C3582" s="9" t="n">
        <x:v>1</x:v>
      </x:c>
      <x:c r="D3582" s="8" t="n">
        <x:v>45387</x:v>
      </x:c>
      <x:c r="E3582" s="9" t="n">
        <x:v>1980000</x:v>
      </x:c>
      <x:c r="F3582" s="9" t="n">
        <x:v>792000</x:v>
      </x:c>
    </x:row>
    <x:row r="3583" ht="34" customHeight="1">
      <x:c r="A3583" s="4" t="str">
        <x:v>RS-01825-I2</x:v>
      </x:c>
      <x:c r="B3583" s="4" t="str">
        <x:v>RS-01825</x:v>
      </x:c>
      <x:c r="C3583" s="9" t="n">
        <x:v>2</x:v>
      </x:c>
      <x:c r="D3583" s="8" t="n">
        <x:v>45417</x:v>
      </x:c>
      <x:c r="E3583" s="9" t="n">
        <x:v>1980000</x:v>
      </x:c>
      <x:c r="F3583" s="9" t="n">
        <x:v>0</x:v>
      </x:c>
    </x:row>
    <x:row r="3584" ht="34" customHeight="1">
      <x:c r="A3584" s="4" t="str">
        <x:v>RS-01825-I3</x:v>
      </x:c>
      <x:c r="B3584" s="4" t="str">
        <x:v>RS-01825</x:v>
      </x:c>
      <x:c r="C3584" s="9" t="n">
        <x:v>3</x:v>
      </x:c>
      <x:c r="D3584" s="8" t="n">
        <x:v>45447</x:v>
      </x:c>
      <x:c r="E3584" s="9" t="n">
        <x:v>1980000</x:v>
      </x:c>
      <x:c r="F3584" s="9" t="n">
        <x:v>0</x:v>
      </x:c>
    </x:row>
    <x:row r="3585" ht="34" customHeight="1">
      <x:c r="A3585" s="4" t="str">
        <x:v>RS-01825-I4</x:v>
      </x:c>
      <x:c r="B3585" s="4" t="str">
        <x:v>RS-01825</x:v>
      </x:c>
      <x:c r="C3585" s="9" t="n">
        <x:v>4</x:v>
      </x:c>
      <x:c r="D3585" s="8" t="n">
        <x:v>45477</x:v>
      </x:c>
      <x:c r="E3585" s="9" t="n">
        <x:v>1980000</x:v>
      </x:c>
      <x:c r="F3585" s="9" t="n">
        <x:v>0</x:v>
      </x:c>
    </x:row>
    <x:row r="3586" ht="34" customHeight="1">
      <x:c r="A3586" s="4" t="str">
        <x:v>RS-01826-I1</x:v>
      </x:c>
      <x:c r="B3586" s="4" t="str">
        <x:v>RS-01826</x:v>
      </x:c>
      <x:c r="C3586" s="9" t="n">
        <x:v>1</x:v>
      </x:c>
      <x:c r="D3586" s="8" t="n">
        <x:v>45388</x:v>
      </x:c>
      <x:c r="E3586" s="9" t="n">
        <x:v>3316500</x:v>
      </x:c>
      <x:c r="F3586" s="9" t="n">
        <x:v>3316500</x:v>
      </x:c>
    </x:row>
    <x:row r="3587" ht="34" customHeight="1">
      <x:c r="A3587" s="4" t="str">
        <x:v>RS-01826-I2</x:v>
      </x:c>
      <x:c r="B3587" s="4" t="str">
        <x:v>RS-01826</x:v>
      </x:c>
      <x:c r="C3587" s="9" t="n">
        <x:v>2</x:v>
      </x:c>
      <x:c r="D3587" s="8" t="n">
        <x:v>45418</x:v>
      </x:c>
      <x:c r="E3587" s="9" t="n">
        <x:v>3316500</x:v>
      </x:c>
      <x:c r="F3587" s="9" t="n">
        <x:v>3316500</x:v>
      </x:c>
    </x:row>
    <x:row r="3588" ht="34" customHeight="1">
      <x:c r="A3588" s="4" t="str">
        <x:v>RS-01826-I3</x:v>
      </x:c>
      <x:c r="B3588" s="4" t="str">
        <x:v>RS-01826</x:v>
      </x:c>
      <x:c r="C3588" s="9" t="n">
        <x:v>3</x:v>
      </x:c>
      <x:c r="D3588" s="8" t="n">
        <x:v>45448</x:v>
      </x:c>
      <x:c r="E3588" s="9" t="n">
        <x:v>3316500</x:v>
      </x:c>
      <x:c r="F3588" s="9" t="n">
        <x:v>0</x:v>
      </x:c>
    </x:row>
    <x:row r="3589" ht="34" customHeight="1">
      <x:c r="A3589" s="4" t="str">
        <x:v>RS-01826-I4</x:v>
      </x:c>
      <x:c r="B3589" s="4" t="str">
        <x:v>RS-01826</x:v>
      </x:c>
      <x:c r="C3589" s="9" t="n">
        <x:v>4</x:v>
      </x:c>
      <x:c r="D3589" s="8" t="n">
        <x:v>45478</x:v>
      </x:c>
      <x:c r="E3589" s="9" t="n">
        <x:v>3316500</x:v>
      </x:c>
      <x:c r="F3589" s="9" t="n">
        <x:v>0</x:v>
      </x:c>
    </x:row>
    <x:row r="3590" ht="34" customHeight="1">
      <x:c r="A3590" s="4" t="str">
        <x:v>RS-01827-I1</x:v>
      </x:c>
      <x:c r="B3590" s="4" t="str">
        <x:v>RS-01827</x:v>
      </x:c>
      <x:c r="C3590" s="9" t="n">
        <x:v>1</x:v>
      </x:c>
      <x:c r="D3590" s="8" t="n">
        <x:v>45389</x:v>
      </x:c>
      <x:c r="E3590" s="9" t="n">
        <x:v>1535250</x:v>
      </x:c>
      <x:c r="F3590" s="9" t="n">
        <x:v>1535250</x:v>
      </x:c>
    </x:row>
    <x:row r="3591" ht="34" customHeight="1">
      <x:c r="A3591" s="4" t="str">
        <x:v>RS-01827-I2</x:v>
      </x:c>
      <x:c r="B3591" s="4" t="str">
        <x:v>RS-01827</x:v>
      </x:c>
      <x:c r="C3591" s="9" t="n">
        <x:v>2</x:v>
      </x:c>
      <x:c r="D3591" s="8" t="n">
        <x:v>45419</x:v>
      </x:c>
      <x:c r="E3591" s="9" t="n">
        <x:v>1535250</x:v>
      </x:c>
      <x:c r="F3591" s="9" t="n">
        <x:v>0</x:v>
      </x:c>
    </x:row>
    <x:row r="3592" ht="34" customHeight="1">
      <x:c r="A3592" s="4" t="str">
        <x:v>RS-01827-I3</x:v>
      </x:c>
      <x:c r="B3592" s="4" t="str">
        <x:v>RS-01827</x:v>
      </x:c>
      <x:c r="C3592" s="9" t="n">
        <x:v>3</x:v>
      </x:c>
      <x:c r="D3592" s="8" t="n">
        <x:v>45449</x:v>
      </x:c>
      <x:c r="E3592" s="9" t="n">
        <x:v>1535250</x:v>
      </x:c>
      <x:c r="F3592" s="9" t="n">
        <x:v>0</x:v>
      </x:c>
    </x:row>
    <x:row r="3593" ht="34" customHeight="1">
      <x:c r="A3593" s="4" t="str">
        <x:v>RS-01827-I4</x:v>
      </x:c>
      <x:c r="B3593" s="4" t="str">
        <x:v>RS-01827</x:v>
      </x:c>
      <x:c r="C3593" s="9" t="n">
        <x:v>4</x:v>
      </x:c>
      <x:c r="D3593" s="8" t="n">
        <x:v>45479</x:v>
      </x:c>
      <x:c r="E3593" s="9" t="n">
        <x:v>1535250</x:v>
      </x:c>
      <x:c r="F3593" s="9" t="n">
        <x:v>0</x:v>
      </x:c>
    </x:row>
    <x:row r="3594" ht="34" customHeight="1">
      <x:c r="A3594" s="4" t="str">
        <x:v>RS-01831-I1</x:v>
      </x:c>
      <x:c r="B3594" s="4" t="str">
        <x:v>RS-01831</x:v>
      </x:c>
      <x:c r="C3594" s="9" t="n">
        <x:v>1</x:v>
      </x:c>
      <x:c r="D3594" s="8" t="n">
        <x:v>45393</x:v>
      </x:c>
      <x:c r="E3594" s="9" t="n">
        <x:v>2524500</x:v>
      </x:c>
      <x:c r="F3594" s="9" t="n">
        <x:v>1009800</x:v>
      </x:c>
    </x:row>
    <x:row r="3595" ht="34" customHeight="1">
      <x:c r="A3595" s="4" t="str">
        <x:v>RS-01831-I2</x:v>
      </x:c>
      <x:c r="B3595" s="4" t="str">
        <x:v>RS-01831</x:v>
      </x:c>
      <x:c r="C3595" s="9" t="n">
        <x:v>2</x:v>
      </x:c>
      <x:c r="D3595" s="8" t="n">
        <x:v>45423</x:v>
      </x:c>
      <x:c r="E3595" s="9" t="n">
        <x:v>2524500</x:v>
      </x:c>
      <x:c r="F3595" s="9" t="n">
        <x:v>0</x:v>
      </x:c>
    </x:row>
    <x:row r="3596" ht="34" customHeight="1">
      <x:c r="A3596" s="4" t="str">
        <x:v>RS-01831-I3</x:v>
      </x:c>
      <x:c r="B3596" s="4" t="str">
        <x:v>RS-01831</x:v>
      </x:c>
      <x:c r="C3596" s="9" t="n">
        <x:v>3</x:v>
      </x:c>
      <x:c r="D3596" s="8" t="n">
        <x:v>45453</x:v>
      </x:c>
      <x:c r="E3596" s="9" t="n">
        <x:v>2524500</x:v>
      </x:c>
      <x:c r="F3596" s="9" t="n">
        <x:v>0</x:v>
      </x:c>
    </x:row>
    <x:row r="3597" ht="34" customHeight="1">
      <x:c r="A3597" s="4" t="str">
        <x:v>RS-01831-I4</x:v>
      </x:c>
      <x:c r="B3597" s="4" t="str">
        <x:v>RS-01831</x:v>
      </x:c>
      <x:c r="C3597" s="9" t="n">
        <x:v>4</x:v>
      </x:c>
      <x:c r="D3597" s="8" t="n">
        <x:v>45483</x:v>
      </x:c>
      <x:c r="E3597" s="9" t="n">
        <x:v>2524500</x:v>
      </x:c>
      <x:c r="F3597" s="9" t="n">
        <x:v>0</x:v>
      </x:c>
    </x:row>
    <x:row r="3598" ht="34" customHeight="1">
      <x:c r="A3598" s="4" t="str">
        <x:v>RS-01832-I1</x:v>
      </x:c>
      <x:c r="B3598" s="4" t="str">
        <x:v>RS-01832</x:v>
      </x:c>
      <x:c r="C3598" s="9" t="n">
        <x:v>1</x:v>
      </x:c>
      <x:c r="D3598" s="8" t="n">
        <x:v>45394</x:v>
      </x:c>
      <x:c r="E3598" s="9" t="n">
        <x:v>1739000</x:v>
      </x:c>
      <x:c r="F3598" s="9" t="n">
        <x:v>1739000</x:v>
      </x:c>
    </x:row>
    <x:row r="3599" ht="34" customHeight="1">
      <x:c r="A3599" s="4" t="str">
        <x:v>RS-01832-I2</x:v>
      </x:c>
      <x:c r="B3599" s="4" t="str">
        <x:v>RS-01832</x:v>
      </x:c>
      <x:c r="C3599" s="9" t="n">
        <x:v>2</x:v>
      </x:c>
      <x:c r="D3599" s="8" t="n">
        <x:v>45424</x:v>
      </x:c>
      <x:c r="E3599" s="9" t="n">
        <x:v>1739000</x:v>
      </x:c>
      <x:c r="F3599" s="9" t="n">
        <x:v>1739000</x:v>
      </x:c>
    </x:row>
    <x:row r="3600" ht="34" customHeight="1">
      <x:c r="A3600" s="4" t="str">
        <x:v>RS-01832-I3</x:v>
      </x:c>
      <x:c r="B3600" s="4" t="str">
        <x:v>RS-01832</x:v>
      </x:c>
      <x:c r="C3600" s="9" t="n">
        <x:v>3</x:v>
      </x:c>
      <x:c r="D3600" s="8" t="n">
        <x:v>45454</x:v>
      </x:c>
      <x:c r="E3600" s="9" t="n">
        <x:v>1739000</x:v>
      </x:c>
      <x:c r="F3600" s="9" t="n">
        <x:v>0</x:v>
      </x:c>
    </x:row>
    <x:row r="3601" ht="34" customHeight="1">
      <x:c r="A3601" s="4" t="str">
        <x:v>RS-01832-I4</x:v>
      </x:c>
      <x:c r="B3601" s="4" t="str">
        <x:v>RS-01832</x:v>
      </x:c>
      <x:c r="C3601" s="9" t="n">
        <x:v>4</x:v>
      </x:c>
      <x:c r="D3601" s="8" t="n">
        <x:v>45484</x:v>
      </x:c>
      <x:c r="E3601" s="9" t="n">
        <x:v>1739000</x:v>
      </x:c>
      <x:c r="F3601" s="9" t="n">
        <x:v>0</x:v>
      </x:c>
    </x:row>
    <x:row r="3602" ht="34" customHeight="1">
      <x:c r="A3602" s="4" t="str">
        <x:v>RS-01833-I1</x:v>
      </x:c>
      <x:c r="B3602" s="4" t="str">
        <x:v>RS-01833</x:v>
      </x:c>
      <x:c r="C3602" s="9" t="n">
        <x:v>1</x:v>
      </x:c>
      <x:c r="D3602" s="8" t="n">
        <x:v>45395</x:v>
      </x:c>
      <x:c r="E3602" s="9" t="n">
        <x:v>4794000</x:v>
      </x:c>
      <x:c r="F3602" s="9" t="n">
        <x:v>1917600</x:v>
      </x:c>
    </x:row>
    <x:row r="3603" ht="34" customHeight="1">
      <x:c r="A3603" s="4" t="str">
        <x:v>RS-01833-I2</x:v>
      </x:c>
      <x:c r="B3603" s="4" t="str">
        <x:v>RS-01833</x:v>
      </x:c>
      <x:c r="C3603" s="9" t="n">
        <x:v>2</x:v>
      </x:c>
      <x:c r="D3603" s="8" t="n">
        <x:v>45425</x:v>
      </x:c>
      <x:c r="E3603" s="9" t="n">
        <x:v>4794000</x:v>
      </x:c>
      <x:c r="F3603" s="9" t="n">
        <x:v>0</x:v>
      </x:c>
    </x:row>
    <x:row r="3604" ht="34" customHeight="1">
      <x:c r="A3604" s="4" t="str">
        <x:v>RS-01833-I3</x:v>
      </x:c>
      <x:c r="B3604" s="4" t="str">
        <x:v>RS-01833</x:v>
      </x:c>
      <x:c r="C3604" s="9" t="n">
        <x:v>3</x:v>
      </x:c>
      <x:c r="D3604" s="8" t="n">
        <x:v>45455</x:v>
      </x:c>
      <x:c r="E3604" s="9" t="n">
        <x:v>4794000</x:v>
      </x:c>
      <x:c r="F3604" s="9" t="n">
        <x:v>0</x:v>
      </x:c>
    </x:row>
    <x:row r="3605" ht="34" customHeight="1">
      <x:c r="A3605" s="4" t="str">
        <x:v>RS-01833-I4</x:v>
      </x:c>
      <x:c r="B3605" s="4" t="str">
        <x:v>RS-01833</x:v>
      </x:c>
      <x:c r="C3605" s="9" t="n">
        <x:v>4</x:v>
      </x:c>
      <x:c r="D3605" s="8" t="n">
        <x:v>45485</x:v>
      </x:c>
      <x:c r="E3605" s="9" t="n">
        <x:v>4794000</x:v>
      </x:c>
      <x:c r="F3605" s="9" t="n">
        <x:v>0</x:v>
      </x:c>
    </x:row>
    <x:row r="3606" ht="34" customHeight="1">
      <x:c r="A3606" s="4" t="str">
        <x:v>RS-01834-I1</x:v>
      </x:c>
      <x:c r="B3606" s="4" t="str">
        <x:v>RS-01834</x:v>
      </x:c>
      <x:c r="C3606" s="9" t="n">
        <x:v>1</x:v>
      </x:c>
      <x:c r="D3606" s="8" t="n">
        <x:v>45396</x:v>
      </x:c>
      <x:c r="E3606" s="9" t="n">
        <x:v>4607500</x:v>
      </x:c>
      <x:c r="F3606" s="9" t="n">
        <x:v>4607500</x:v>
      </x:c>
    </x:row>
    <x:row r="3607" ht="34" customHeight="1">
      <x:c r="A3607" s="4" t="str">
        <x:v>RS-01834-I2</x:v>
      </x:c>
      <x:c r="B3607" s="4" t="str">
        <x:v>RS-01834</x:v>
      </x:c>
      <x:c r="C3607" s="9" t="n">
        <x:v>2</x:v>
      </x:c>
      <x:c r="D3607" s="8" t="n">
        <x:v>45426</x:v>
      </x:c>
      <x:c r="E3607" s="9" t="n">
        <x:v>4607500</x:v>
      </x:c>
      <x:c r="F3607" s="9" t="n">
        <x:v>4607500</x:v>
      </x:c>
    </x:row>
    <x:row r="3608" ht="34" customHeight="1">
      <x:c r="A3608" s="4" t="str">
        <x:v>RS-01834-I3</x:v>
      </x:c>
      <x:c r="B3608" s="4" t="str">
        <x:v>RS-01834</x:v>
      </x:c>
      <x:c r="C3608" s="9" t="n">
        <x:v>3</x:v>
      </x:c>
      <x:c r="D3608" s="8" t="n">
        <x:v>45456</x:v>
      </x:c>
      <x:c r="E3608" s="9" t="n">
        <x:v>4607500</x:v>
      </x:c>
      <x:c r="F3608" s="9" t="n">
        <x:v>4607500</x:v>
      </x:c>
    </x:row>
    <x:row r="3609" ht="34" customHeight="1">
      <x:c r="A3609" s="4" t="str">
        <x:v>RS-01834-I4</x:v>
      </x:c>
      <x:c r="B3609" s="4" t="str">
        <x:v>RS-01834</x:v>
      </x:c>
      <x:c r="C3609" s="9" t="n">
        <x:v>4</x:v>
      </x:c>
      <x:c r="D3609" s="8" t="n">
        <x:v>45486</x:v>
      </x:c>
      <x:c r="E3609" s="9" t="n">
        <x:v>4607500</x:v>
      </x:c>
      <x:c r="F3609" s="9" t="n">
        <x:v>4607500</x:v>
      </x:c>
    </x:row>
    <x:row r="3610" ht="34" customHeight="1">
      <x:c r="A3610" s="4" t="str">
        <x:v>RS-01835-I1</x:v>
      </x:c>
      <x:c r="B3610" s="4" t="str">
        <x:v>RS-01835</x:v>
      </x:c>
      <x:c r="C3610" s="9" t="n">
        <x:v>1</x:v>
      </x:c>
      <x:c r="D3610" s="8" t="n">
        <x:v>45397</x:v>
      </x:c>
      <x:c r="E3610" s="9" t="n">
        <x:v>1620000</x:v>
      </x:c>
      <x:c r="F3610" s="9" t="n">
        <x:v>1620000</x:v>
      </x:c>
    </x:row>
    <x:row r="3611" ht="34" customHeight="1">
      <x:c r="A3611" s="4" t="str">
        <x:v>RS-01835-I2</x:v>
      </x:c>
      <x:c r="B3611" s="4" t="str">
        <x:v>RS-01835</x:v>
      </x:c>
      <x:c r="C3611" s="9" t="n">
        <x:v>2</x:v>
      </x:c>
      <x:c r="D3611" s="8" t="n">
        <x:v>45427</x:v>
      </x:c>
      <x:c r="E3611" s="9" t="n">
        <x:v>1620000</x:v>
      </x:c>
      <x:c r="F3611" s="9" t="n">
        <x:v>1620000</x:v>
      </x:c>
    </x:row>
    <x:row r="3612" ht="34" customHeight="1">
      <x:c r="A3612" s="4" t="str">
        <x:v>RS-01835-I3</x:v>
      </x:c>
      <x:c r="B3612" s="4" t="str">
        <x:v>RS-01835</x:v>
      </x:c>
      <x:c r="C3612" s="9" t="n">
        <x:v>3</x:v>
      </x:c>
      <x:c r="D3612" s="8" t="n">
        <x:v>45457</x:v>
      </x:c>
      <x:c r="E3612" s="9" t="n">
        <x:v>1620000</x:v>
      </x:c>
      <x:c r="F3612" s="9" t="n">
        <x:v>1620000</x:v>
      </x:c>
    </x:row>
    <x:row r="3613" ht="34" customHeight="1">
      <x:c r="A3613" s="4" t="str">
        <x:v>RS-01835-I4</x:v>
      </x:c>
      <x:c r="B3613" s="4" t="str">
        <x:v>RS-01835</x:v>
      </x:c>
      <x:c r="C3613" s="9" t="n">
        <x:v>4</x:v>
      </x:c>
      <x:c r="D3613" s="8" t="n">
        <x:v>45487</x:v>
      </x:c>
      <x:c r="E3613" s="9" t="n">
        <x:v>1620000</x:v>
      </x:c>
      <x:c r="F3613" s="9" t="n">
        <x:v>1620000</x:v>
      </x:c>
    </x:row>
    <x:row r="3614" ht="34" customHeight="1">
      <x:c r="A3614" s="4" t="str">
        <x:v>RS-01837-I1</x:v>
      </x:c>
      <x:c r="B3614" s="4" t="str">
        <x:v>RS-01837</x:v>
      </x:c>
      <x:c r="C3614" s="9" t="n">
        <x:v>1</x:v>
      </x:c>
      <x:c r="D3614" s="8" t="n">
        <x:v>45399</x:v>
      </x:c>
      <x:c r="E3614" s="9" t="n">
        <x:v>3958500</x:v>
      </x:c>
      <x:c r="F3614" s="9" t="n">
        <x:v>3958500</x:v>
      </x:c>
    </x:row>
    <x:row r="3615" ht="34" customHeight="1">
      <x:c r="A3615" s="4" t="str">
        <x:v>RS-01837-I2</x:v>
      </x:c>
      <x:c r="B3615" s="4" t="str">
        <x:v>RS-01837</x:v>
      </x:c>
      <x:c r="C3615" s="9" t="n">
        <x:v>2</x:v>
      </x:c>
      <x:c r="D3615" s="8" t="n">
        <x:v>45429</x:v>
      </x:c>
      <x:c r="E3615" s="9" t="n">
        <x:v>3958500</x:v>
      </x:c>
      <x:c r="F3615" s="9" t="n">
        <x:v>3958500</x:v>
      </x:c>
    </x:row>
    <x:row r="3616" ht="34" customHeight="1">
      <x:c r="A3616" s="4" t="str">
        <x:v>RS-01837-I3</x:v>
      </x:c>
      <x:c r="B3616" s="4" t="str">
        <x:v>RS-01837</x:v>
      </x:c>
      <x:c r="C3616" s="9" t="n">
        <x:v>3</x:v>
      </x:c>
      <x:c r="D3616" s="8" t="n">
        <x:v>45459</x:v>
      </x:c>
      <x:c r="E3616" s="9" t="n">
        <x:v>3958500</x:v>
      </x:c>
      <x:c r="F3616" s="9" t="n">
        <x:v>3958500</x:v>
      </x:c>
    </x:row>
    <x:row r="3617" ht="34" customHeight="1">
      <x:c r="A3617" s="4" t="str">
        <x:v>RS-01837-I4</x:v>
      </x:c>
      <x:c r="B3617" s="4" t="str">
        <x:v>RS-01837</x:v>
      </x:c>
      <x:c r="C3617" s="9" t="n">
        <x:v>4</x:v>
      </x:c>
      <x:c r="D3617" s="8" t="n">
        <x:v>45489</x:v>
      </x:c>
      <x:c r="E3617" s="9" t="n">
        <x:v>3958500</x:v>
      </x:c>
      <x:c r="F3617" s="9" t="n">
        <x:v>3958500</x:v>
      </x:c>
    </x:row>
    <x:row r="3618" ht="34" customHeight="1">
      <x:c r="A3618" s="4" t="str">
        <x:v>RS-01838-I1</x:v>
      </x:c>
      <x:c r="B3618" s="4" t="str">
        <x:v>RS-01838</x:v>
      </x:c>
      <x:c r="C3618" s="9" t="n">
        <x:v>1</x:v>
      </x:c>
      <x:c r="D3618" s="8" t="n">
        <x:v>45400</x:v>
      </x:c>
      <x:c r="E3618" s="9" t="n">
        <x:v>4600000</x:v>
      </x:c>
      <x:c r="F3618" s="9" t="n">
        <x:v>4600000</x:v>
      </x:c>
    </x:row>
    <x:row r="3619" ht="34" customHeight="1">
      <x:c r="A3619" s="4" t="str">
        <x:v>RS-01838-I2</x:v>
      </x:c>
      <x:c r="B3619" s="4" t="str">
        <x:v>RS-01838</x:v>
      </x:c>
      <x:c r="C3619" s="9" t="n">
        <x:v>2</x:v>
      </x:c>
      <x:c r="D3619" s="8" t="n">
        <x:v>45430</x:v>
      </x:c>
      <x:c r="E3619" s="9" t="n">
        <x:v>4600000</x:v>
      </x:c>
      <x:c r="F3619" s="9" t="n">
        <x:v>4600000</x:v>
      </x:c>
    </x:row>
    <x:row r="3620" ht="34" customHeight="1">
      <x:c r="A3620" s="4" t="str">
        <x:v>RS-01838-I3</x:v>
      </x:c>
      <x:c r="B3620" s="4" t="str">
        <x:v>RS-01838</x:v>
      </x:c>
      <x:c r="C3620" s="9" t="n">
        <x:v>3</x:v>
      </x:c>
      <x:c r="D3620" s="8" t="n">
        <x:v>45460</x:v>
      </x:c>
      <x:c r="E3620" s="9" t="n">
        <x:v>4600000</x:v>
      </x:c>
      <x:c r="F3620" s="9" t="n">
        <x:v>4600000</x:v>
      </x:c>
    </x:row>
    <x:row r="3621" ht="34" customHeight="1">
      <x:c r="A3621" s="4" t="str">
        <x:v>RS-01838-I4</x:v>
      </x:c>
      <x:c r="B3621" s="4" t="str">
        <x:v>RS-01838</x:v>
      </x:c>
      <x:c r="C3621" s="9" t="n">
        <x:v>4</x:v>
      </x:c>
      <x:c r="D3621" s="8" t="n">
        <x:v>45490</x:v>
      </x:c>
      <x:c r="E3621" s="9" t="n">
        <x:v>4600000</x:v>
      </x:c>
      <x:c r="F3621" s="9" t="n">
        <x:v>4600000</x:v>
      </x:c>
    </x:row>
    <x:row r="3622" ht="34" customHeight="1">
      <x:c r="A3622" s="4" t="str">
        <x:v>RS-01839-I1</x:v>
      </x:c>
      <x:c r="B3622" s="4" t="str">
        <x:v>RS-01839</x:v>
      </x:c>
      <x:c r="C3622" s="9" t="n">
        <x:v>1</x:v>
      </x:c>
      <x:c r="D3622" s="8" t="n">
        <x:v>45401</x:v>
      </x:c>
      <x:c r="E3622" s="9" t="n">
        <x:v>2047000</x:v>
      </x:c>
      <x:c r="F3622" s="9" t="n">
        <x:v>818800</x:v>
      </x:c>
    </x:row>
    <x:row r="3623" ht="34" customHeight="1">
      <x:c r="A3623" s="4" t="str">
        <x:v>RS-01839-I2</x:v>
      </x:c>
      <x:c r="B3623" s="4" t="str">
        <x:v>RS-01839</x:v>
      </x:c>
      <x:c r="C3623" s="9" t="n">
        <x:v>2</x:v>
      </x:c>
      <x:c r="D3623" s="8" t="n">
        <x:v>45431</x:v>
      </x:c>
      <x:c r="E3623" s="9" t="n">
        <x:v>2047000</x:v>
      </x:c>
      <x:c r="F3623" s="9" t="n">
        <x:v>0</x:v>
      </x:c>
    </x:row>
    <x:row r="3624" ht="34" customHeight="1">
      <x:c r="A3624" s="4" t="str">
        <x:v>RS-01839-I3</x:v>
      </x:c>
      <x:c r="B3624" s="4" t="str">
        <x:v>RS-01839</x:v>
      </x:c>
      <x:c r="C3624" s="9" t="n">
        <x:v>3</x:v>
      </x:c>
      <x:c r="D3624" s="8" t="n">
        <x:v>45461</x:v>
      </x:c>
      <x:c r="E3624" s="9" t="n">
        <x:v>2047000</x:v>
      </x:c>
      <x:c r="F3624" s="9" t="n">
        <x:v>0</x:v>
      </x:c>
    </x:row>
    <x:row r="3625" ht="34" customHeight="1">
      <x:c r="A3625" s="4" t="str">
        <x:v>RS-01839-I4</x:v>
      </x:c>
      <x:c r="B3625" s="4" t="str">
        <x:v>RS-01839</x:v>
      </x:c>
      <x:c r="C3625" s="9" t="n">
        <x:v>4</x:v>
      </x:c>
      <x:c r="D3625" s="8" t="n">
        <x:v>45491</x:v>
      </x:c>
      <x:c r="E3625" s="9" t="n">
        <x:v>2047000</x:v>
      </x:c>
      <x:c r="F3625" s="9" t="n">
        <x:v>0</x:v>
      </x:c>
    </x:row>
    <x:row r="3626" ht="34" customHeight="1">
      <x:c r="A3626" s="4" t="str">
        <x:v>RS-01840-I1</x:v>
      </x:c>
      <x:c r="B3626" s="4" t="str">
        <x:v>RS-01840</x:v>
      </x:c>
      <x:c r="C3626" s="9" t="n">
        <x:v>1</x:v>
      </x:c>
      <x:c r="D3626" s="8" t="n">
        <x:v>45402</x:v>
      </x:c>
      <x:c r="E3626" s="9" t="n">
        <x:v>2768500</x:v>
      </x:c>
      <x:c r="F3626" s="9" t="n">
        <x:v>2768500</x:v>
      </x:c>
    </x:row>
    <x:row r="3627" ht="34" customHeight="1">
      <x:c r="A3627" s="4" t="str">
        <x:v>RS-01840-I2</x:v>
      </x:c>
      <x:c r="B3627" s="4" t="str">
        <x:v>RS-01840</x:v>
      </x:c>
      <x:c r="C3627" s="9" t="n">
        <x:v>2</x:v>
      </x:c>
      <x:c r="D3627" s="8" t="n">
        <x:v>45432</x:v>
      </x:c>
      <x:c r="E3627" s="9" t="n">
        <x:v>2768500</x:v>
      </x:c>
      <x:c r="F3627" s="9" t="n">
        <x:v>0</x:v>
      </x:c>
    </x:row>
    <x:row r="3628" ht="34" customHeight="1">
      <x:c r="A3628" s="4" t="str">
        <x:v>RS-01840-I3</x:v>
      </x:c>
      <x:c r="B3628" s="4" t="str">
        <x:v>RS-01840</x:v>
      </x:c>
      <x:c r="C3628" s="9" t="n">
        <x:v>3</x:v>
      </x:c>
      <x:c r="D3628" s="8" t="n">
        <x:v>45462</x:v>
      </x:c>
      <x:c r="E3628" s="9" t="n">
        <x:v>2768500</x:v>
      </x:c>
      <x:c r="F3628" s="9" t="n">
        <x:v>0</x:v>
      </x:c>
    </x:row>
    <x:row r="3629" ht="34" customHeight="1">
      <x:c r="A3629" s="4" t="str">
        <x:v>RS-01840-I4</x:v>
      </x:c>
      <x:c r="B3629" s="4" t="str">
        <x:v>RS-01840</x:v>
      </x:c>
      <x:c r="C3629" s="9" t="n">
        <x:v>4</x:v>
      </x:c>
      <x:c r="D3629" s="8" t="n">
        <x:v>45492</x:v>
      </x:c>
      <x:c r="E3629" s="9" t="n">
        <x:v>2768500</x:v>
      </x:c>
      <x:c r="F3629" s="9" t="n">
        <x:v>0</x:v>
      </x:c>
    </x:row>
    <x:row r="3630" ht="34" customHeight="1">
      <x:c r="A3630" s="4" t="str">
        <x:v>RS-01841-I1</x:v>
      </x:c>
      <x:c r="B3630" s="4" t="str">
        <x:v>RS-01841</x:v>
      </x:c>
      <x:c r="C3630" s="9" t="n">
        <x:v>1</x:v>
      </x:c>
      <x:c r="D3630" s="8" t="n">
        <x:v>45403</x:v>
      </x:c>
      <x:c r="E3630" s="9" t="n">
        <x:v>3910500</x:v>
      </x:c>
      <x:c r="F3630" s="9" t="n">
        <x:v>3910500</x:v>
      </x:c>
    </x:row>
    <x:row r="3631" ht="34" customHeight="1">
      <x:c r="A3631" s="4" t="str">
        <x:v>RS-01841-I2</x:v>
      </x:c>
      <x:c r="B3631" s="4" t="str">
        <x:v>RS-01841</x:v>
      </x:c>
      <x:c r="C3631" s="9" t="n">
        <x:v>2</x:v>
      </x:c>
      <x:c r="D3631" s="8" t="n">
        <x:v>45433</x:v>
      </x:c>
      <x:c r="E3631" s="9" t="n">
        <x:v>3910500</x:v>
      </x:c>
      <x:c r="F3631" s="9" t="n">
        <x:v>3910500</x:v>
      </x:c>
    </x:row>
    <x:row r="3632" ht="34" customHeight="1">
      <x:c r="A3632" s="4" t="str">
        <x:v>RS-01841-I3</x:v>
      </x:c>
      <x:c r="B3632" s="4" t="str">
        <x:v>RS-01841</x:v>
      </x:c>
      <x:c r="C3632" s="9" t="n">
        <x:v>3</x:v>
      </x:c>
      <x:c r="D3632" s="8" t="n">
        <x:v>45463</x:v>
      </x:c>
      <x:c r="E3632" s="9" t="n">
        <x:v>3910500</x:v>
      </x:c>
      <x:c r="F3632" s="9" t="n">
        <x:v>3910500</x:v>
      </x:c>
    </x:row>
    <x:row r="3633" ht="34" customHeight="1">
      <x:c r="A3633" s="4" t="str">
        <x:v>RS-01841-I4</x:v>
      </x:c>
      <x:c r="B3633" s="4" t="str">
        <x:v>RS-01841</x:v>
      </x:c>
      <x:c r="C3633" s="9" t="n">
        <x:v>4</x:v>
      </x:c>
      <x:c r="D3633" s="8" t="n">
        <x:v>45493</x:v>
      </x:c>
      <x:c r="E3633" s="9" t="n">
        <x:v>3910500</x:v>
      </x:c>
      <x:c r="F3633" s="9" t="n">
        <x:v>3910500</x:v>
      </x:c>
    </x:row>
    <x:row r="3634" ht="34" customHeight="1">
      <x:c r="A3634" s="4" t="str">
        <x:v>RS-01842-I1</x:v>
      </x:c>
      <x:c r="B3634" s="4" t="str">
        <x:v>RS-01842</x:v>
      </x:c>
      <x:c r="C3634" s="9" t="n">
        <x:v>1</x:v>
      </x:c>
      <x:c r="D3634" s="8" t="n">
        <x:v>45404</x:v>
      </x:c>
      <x:c r="E3634" s="9" t="n">
        <x:v>3552500</x:v>
      </x:c>
      <x:c r="F3634" s="9" t="n">
        <x:v>3552500</x:v>
      </x:c>
    </x:row>
    <x:row r="3635" ht="34" customHeight="1">
      <x:c r="A3635" s="4" t="str">
        <x:v>RS-01842-I2</x:v>
      </x:c>
      <x:c r="B3635" s="4" t="str">
        <x:v>RS-01842</x:v>
      </x:c>
      <x:c r="C3635" s="9" t="n">
        <x:v>2</x:v>
      </x:c>
      <x:c r="D3635" s="8" t="n">
        <x:v>45434</x:v>
      </x:c>
      <x:c r="E3635" s="9" t="n">
        <x:v>3552500</x:v>
      </x:c>
      <x:c r="F3635" s="9" t="n">
        <x:v>3552500</x:v>
      </x:c>
    </x:row>
    <x:row r="3636" ht="34" customHeight="1">
      <x:c r="A3636" s="4" t="str">
        <x:v>RS-01842-I3</x:v>
      </x:c>
      <x:c r="B3636" s="4" t="str">
        <x:v>RS-01842</x:v>
      </x:c>
      <x:c r="C3636" s="9" t="n">
        <x:v>3</x:v>
      </x:c>
      <x:c r="D3636" s="8" t="n">
        <x:v>45464</x:v>
      </x:c>
      <x:c r="E3636" s="9" t="n">
        <x:v>3552500</x:v>
      </x:c>
      <x:c r="F3636" s="9" t="n">
        <x:v>3552500</x:v>
      </x:c>
    </x:row>
    <x:row r="3637" ht="34" customHeight="1">
      <x:c r="A3637" s="4" t="str">
        <x:v>RS-01842-I4</x:v>
      </x:c>
      <x:c r="B3637" s="4" t="str">
        <x:v>RS-01842</x:v>
      </x:c>
      <x:c r="C3637" s="9" t="n">
        <x:v>4</x:v>
      </x:c>
      <x:c r="D3637" s="8" t="n">
        <x:v>45494</x:v>
      </x:c>
      <x:c r="E3637" s="9" t="n">
        <x:v>3552500</x:v>
      </x:c>
      <x:c r="F3637" s="9" t="n">
        <x:v>3552500</x:v>
      </x:c>
    </x:row>
    <x:row r="3638" ht="34" customHeight="1">
      <x:c r="A3638" s="4" t="str">
        <x:v>RS-01843-I1</x:v>
      </x:c>
      <x:c r="B3638" s="4" t="str">
        <x:v>RS-01843</x:v>
      </x:c>
      <x:c r="C3638" s="9" t="n">
        <x:v>1</x:v>
      </x:c>
      <x:c r="D3638" s="8" t="n">
        <x:v>45405</x:v>
      </x:c>
      <x:c r="E3638" s="9" t="n">
        <x:v>4427750</x:v>
      </x:c>
      <x:c r="F3638" s="9" t="n">
        <x:v>4427750</x:v>
      </x:c>
    </x:row>
    <x:row r="3639" ht="34" customHeight="1">
      <x:c r="A3639" s="4" t="str">
        <x:v>RS-01843-I2</x:v>
      </x:c>
      <x:c r="B3639" s="4" t="str">
        <x:v>RS-01843</x:v>
      </x:c>
      <x:c r="C3639" s="9" t="n">
        <x:v>2</x:v>
      </x:c>
      <x:c r="D3639" s="8" t="n">
        <x:v>45435</x:v>
      </x:c>
      <x:c r="E3639" s="9" t="n">
        <x:v>4427750</x:v>
      </x:c>
      <x:c r="F3639" s="9" t="n">
        <x:v>4427750</x:v>
      </x:c>
    </x:row>
    <x:row r="3640" ht="34" customHeight="1">
      <x:c r="A3640" s="4" t="str">
        <x:v>RS-01843-I3</x:v>
      </x:c>
      <x:c r="B3640" s="4" t="str">
        <x:v>RS-01843</x:v>
      </x:c>
      <x:c r="C3640" s="9" t="n">
        <x:v>3</x:v>
      </x:c>
      <x:c r="D3640" s="8" t="n">
        <x:v>45465</x:v>
      </x:c>
      <x:c r="E3640" s="9" t="n">
        <x:v>4427750</x:v>
      </x:c>
      <x:c r="F3640" s="9" t="n">
        <x:v>4427750</x:v>
      </x:c>
    </x:row>
    <x:row r="3641" ht="34" customHeight="1">
      <x:c r="A3641" s="4" t="str">
        <x:v>RS-01843-I4</x:v>
      </x:c>
      <x:c r="B3641" s="4" t="str">
        <x:v>RS-01843</x:v>
      </x:c>
      <x:c r="C3641" s="9" t="n">
        <x:v>4</x:v>
      </x:c>
      <x:c r="D3641" s="8" t="n">
        <x:v>45495</x:v>
      </x:c>
      <x:c r="E3641" s="9" t="n">
        <x:v>4427750</x:v>
      </x:c>
      <x:c r="F3641" s="9" t="n">
        <x:v>4427750</x:v>
      </x:c>
    </x:row>
    <x:row r="3642" ht="34" customHeight="1">
      <x:c r="A3642" s="4" t="str">
        <x:v>RS-01845-I1</x:v>
      </x:c>
      <x:c r="B3642" s="4" t="str">
        <x:v>RS-01845</x:v>
      </x:c>
      <x:c r="C3642" s="9" t="n">
        <x:v>1</x:v>
      </x:c>
      <x:c r="D3642" s="8" t="n">
        <x:v>45407</x:v>
      </x:c>
      <x:c r="E3642" s="9" t="n">
        <x:v>5473500</x:v>
      </x:c>
      <x:c r="F3642" s="9" t="n">
        <x:v>5473500</x:v>
      </x:c>
    </x:row>
    <x:row r="3643" ht="34" customHeight="1">
      <x:c r="A3643" s="4" t="str">
        <x:v>RS-01845-I2</x:v>
      </x:c>
      <x:c r="B3643" s="4" t="str">
        <x:v>RS-01845</x:v>
      </x:c>
      <x:c r="C3643" s="9" t="n">
        <x:v>2</x:v>
      </x:c>
      <x:c r="D3643" s="8" t="n">
        <x:v>45437</x:v>
      </x:c>
      <x:c r="E3643" s="9" t="n">
        <x:v>5473500</x:v>
      </x:c>
      <x:c r="F3643" s="9" t="n">
        <x:v>5473500</x:v>
      </x:c>
    </x:row>
    <x:row r="3644" ht="34" customHeight="1">
      <x:c r="A3644" s="4" t="str">
        <x:v>RS-01845-I3</x:v>
      </x:c>
      <x:c r="B3644" s="4" t="str">
        <x:v>RS-01845</x:v>
      </x:c>
      <x:c r="C3644" s="9" t="n">
        <x:v>3</x:v>
      </x:c>
      <x:c r="D3644" s="8" t="n">
        <x:v>45467</x:v>
      </x:c>
      <x:c r="E3644" s="9" t="n">
        <x:v>5473500</x:v>
      </x:c>
      <x:c r="F3644" s="9" t="n">
        <x:v>0</x:v>
      </x:c>
    </x:row>
    <x:row r="3645" ht="34" customHeight="1">
      <x:c r="A3645" s="4" t="str">
        <x:v>RS-01845-I4</x:v>
      </x:c>
      <x:c r="B3645" s="4" t="str">
        <x:v>RS-01845</x:v>
      </x:c>
      <x:c r="C3645" s="9" t="n">
        <x:v>4</x:v>
      </x:c>
      <x:c r="D3645" s="8" t="n">
        <x:v>45497</x:v>
      </x:c>
      <x:c r="E3645" s="9" t="n">
        <x:v>5473500</x:v>
      </x:c>
      <x:c r="F3645" s="9" t="n">
        <x:v>0</x:v>
      </x:c>
    </x:row>
    <x:row r="3646" ht="34" customHeight="1">
      <x:c r="A3646" s="4" t="str">
        <x:v>RS-01846-I1</x:v>
      </x:c>
      <x:c r="B3646" s="4" t="str">
        <x:v>RS-01846</x:v>
      </x:c>
      <x:c r="C3646" s="9" t="n">
        <x:v>1</x:v>
      </x:c>
      <x:c r="D3646" s="8" t="n">
        <x:v>45408</x:v>
      </x:c>
      <x:c r="E3646" s="9" t="n">
        <x:v>3127500</x:v>
      </x:c>
      <x:c r="F3646" s="9" t="n">
        <x:v>3127500</x:v>
      </x:c>
    </x:row>
    <x:row r="3647" ht="34" customHeight="1">
      <x:c r="A3647" s="4" t="str">
        <x:v>RS-01846-I2</x:v>
      </x:c>
      <x:c r="B3647" s="4" t="str">
        <x:v>RS-01846</x:v>
      </x:c>
      <x:c r="C3647" s="9" t="n">
        <x:v>2</x:v>
      </x:c>
      <x:c r="D3647" s="8" t="n">
        <x:v>45438</x:v>
      </x:c>
      <x:c r="E3647" s="9" t="n">
        <x:v>3127500</x:v>
      </x:c>
      <x:c r="F3647" s="9" t="n">
        <x:v>0</x:v>
      </x:c>
    </x:row>
    <x:row r="3648" ht="34" customHeight="1">
      <x:c r="A3648" s="4" t="str">
        <x:v>RS-01846-I3</x:v>
      </x:c>
      <x:c r="B3648" s="4" t="str">
        <x:v>RS-01846</x:v>
      </x:c>
      <x:c r="C3648" s="9" t="n">
        <x:v>3</x:v>
      </x:c>
      <x:c r="D3648" s="8" t="n">
        <x:v>45468</x:v>
      </x:c>
      <x:c r="E3648" s="9" t="n">
        <x:v>3127500</x:v>
      </x:c>
      <x:c r="F3648" s="9" t="n">
        <x:v>0</x:v>
      </x:c>
    </x:row>
    <x:row r="3649" ht="34" customHeight="1">
      <x:c r="A3649" s="4" t="str">
        <x:v>RS-01846-I4</x:v>
      </x:c>
      <x:c r="B3649" s="4" t="str">
        <x:v>RS-01846</x:v>
      </x:c>
      <x:c r="C3649" s="9" t="n">
        <x:v>4</x:v>
      </x:c>
      <x:c r="D3649" s="8" t="n">
        <x:v>45498</x:v>
      </x:c>
      <x:c r="E3649" s="9" t="n">
        <x:v>3127500</x:v>
      </x:c>
      <x:c r="F3649" s="9" t="n">
        <x:v>0</x:v>
      </x:c>
    </x:row>
    <x:row r="3650" ht="34" customHeight="1">
      <x:c r="A3650" s="4" t="str">
        <x:v>RS-01847-I1</x:v>
      </x:c>
      <x:c r="B3650" s="4" t="str">
        <x:v>RS-01847</x:v>
      </x:c>
      <x:c r="C3650" s="9" t="n">
        <x:v>1</x:v>
      </x:c>
      <x:c r="D3650" s="8" t="n">
        <x:v>45409</x:v>
      </x:c>
      <x:c r="E3650" s="9" t="n">
        <x:v>5382000</x:v>
      </x:c>
      <x:c r="F3650" s="9" t="n">
        <x:v>2152800</x:v>
      </x:c>
    </x:row>
    <x:row r="3651" ht="34" customHeight="1">
      <x:c r="A3651" s="4" t="str">
        <x:v>RS-01847-I2</x:v>
      </x:c>
      <x:c r="B3651" s="4" t="str">
        <x:v>RS-01847</x:v>
      </x:c>
      <x:c r="C3651" s="9" t="n">
        <x:v>2</x:v>
      </x:c>
      <x:c r="D3651" s="8" t="n">
        <x:v>45439</x:v>
      </x:c>
      <x:c r="E3651" s="9" t="n">
        <x:v>5382000</x:v>
      </x:c>
      <x:c r="F3651" s="9" t="n">
        <x:v>0</x:v>
      </x:c>
    </x:row>
    <x:row r="3652" ht="34" customHeight="1">
      <x:c r="A3652" s="4" t="str">
        <x:v>RS-01847-I3</x:v>
      </x:c>
      <x:c r="B3652" s="4" t="str">
        <x:v>RS-01847</x:v>
      </x:c>
      <x:c r="C3652" s="9" t="n">
        <x:v>3</x:v>
      </x:c>
      <x:c r="D3652" s="8" t="n">
        <x:v>45469</x:v>
      </x:c>
      <x:c r="E3652" s="9" t="n">
        <x:v>5382000</x:v>
      </x:c>
      <x:c r="F3652" s="9" t="n">
        <x:v>0</x:v>
      </x:c>
    </x:row>
    <x:row r="3653" ht="34" customHeight="1">
      <x:c r="A3653" s="4" t="str">
        <x:v>RS-01847-I4</x:v>
      </x:c>
      <x:c r="B3653" s="4" t="str">
        <x:v>RS-01847</x:v>
      </x:c>
      <x:c r="C3653" s="9" t="n">
        <x:v>4</x:v>
      </x:c>
      <x:c r="D3653" s="8" t="n">
        <x:v>45499</x:v>
      </x:c>
      <x:c r="E3653" s="9" t="n">
        <x:v>5382000</x:v>
      </x:c>
      <x:c r="F3653" s="9" t="n">
        <x:v>0</x:v>
      </x:c>
    </x:row>
    <x:row r="3654" ht="34" customHeight="1">
      <x:c r="A3654" s="4" t="str">
        <x:v>RS-01850-I1</x:v>
      </x:c>
      <x:c r="B3654" s="4" t="str">
        <x:v>RS-01850</x:v>
      </x:c>
      <x:c r="C3654" s="9" t="n">
        <x:v>1</x:v>
      </x:c>
      <x:c r="D3654" s="8" t="n">
        <x:v>45384</x:v>
      </x:c>
      <x:c r="E3654" s="9" t="n">
        <x:v>1551000</x:v>
      </x:c>
      <x:c r="F3654" s="9" t="n">
        <x:v>1551000</x:v>
      </x:c>
    </x:row>
    <x:row r="3655" ht="34" customHeight="1">
      <x:c r="A3655" s="4" t="str">
        <x:v>RS-01850-I2</x:v>
      </x:c>
      <x:c r="B3655" s="4" t="str">
        <x:v>RS-01850</x:v>
      </x:c>
      <x:c r="C3655" s="9" t="n">
        <x:v>2</x:v>
      </x:c>
      <x:c r="D3655" s="8" t="n">
        <x:v>45414</x:v>
      </x:c>
      <x:c r="E3655" s="9" t="n">
        <x:v>1551000</x:v>
      </x:c>
      <x:c r="F3655" s="9" t="n">
        <x:v>1551000</x:v>
      </x:c>
    </x:row>
    <x:row r="3656" ht="34" customHeight="1">
      <x:c r="A3656" s="4" t="str">
        <x:v>RS-01850-I3</x:v>
      </x:c>
      <x:c r="B3656" s="4" t="str">
        <x:v>RS-01850</x:v>
      </x:c>
      <x:c r="C3656" s="9" t="n">
        <x:v>3</x:v>
      </x:c>
      <x:c r="D3656" s="8" t="n">
        <x:v>45444</x:v>
      </x:c>
      <x:c r="E3656" s="9" t="n">
        <x:v>1551000</x:v>
      </x:c>
      <x:c r="F3656" s="9" t="n">
        <x:v>0</x:v>
      </x:c>
    </x:row>
    <x:row r="3657" ht="34" customHeight="1">
      <x:c r="A3657" s="4" t="str">
        <x:v>RS-01850-I4</x:v>
      </x:c>
      <x:c r="B3657" s="4" t="str">
        <x:v>RS-01850</x:v>
      </x:c>
      <x:c r="C3657" s="9" t="n">
        <x:v>4</x:v>
      </x:c>
      <x:c r="D3657" s="8" t="n">
        <x:v>45474</x:v>
      </x:c>
      <x:c r="E3657" s="9" t="n">
        <x:v>1551000</x:v>
      </x:c>
      <x:c r="F3657" s="9" t="n">
        <x:v>0</x:v>
      </x:c>
    </x:row>
    <x:row r="3658" ht="34" customHeight="1">
      <x:c r="A3658" s="4" t="str">
        <x:v>RS-01854-I1</x:v>
      </x:c>
      <x:c r="B3658" s="4" t="str">
        <x:v>RS-01854</x:v>
      </x:c>
      <x:c r="C3658" s="9" t="n">
        <x:v>1</x:v>
      </x:c>
      <x:c r="D3658" s="8" t="n">
        <x:v>45388</x:v>
      </x:c>
      <x:c r="E3658" s="9" t="n">
        <x:v>2398000</x:v>
      </x:c>
      <x:c r="F3658" s="9" t="n">
        <x:v>2398000</x:v>
      </x:c>
    </x:row>
    <x:row r="3659" ht="34" customHeight="1">
      <x:c r="A3659" s="4" t="str">
        <x:v>RS-01854-I2</x:v>
      </x:c>
      <x:c r="B3659" s="4" t="str">
        <x:v>RS-01854</x:v>
      </x:c>
      <x:c r="C3659" s="9" t="n">
        <x:v>2</x:v>
      </x:c>
      <x:c r="D3659" s="8" t="n">
        <x:v>45418</x:v>
      </x:c>
      <x:c r="E3659" s="9" t="n">
        <x:v>2398000</x:v>
      </x:c>
      <x:c r="F3659" s="9" t="n">
        <x:v>2398000</x:v>
      </x:c>
    </x:row>
    <x:row r="3660" ht="34" customHeight="1">
      <x:c r="A3660" s="4" t="str">
        <x:v>RS-01854-I3</x:v>
      </x:c>
      <x:c r="B3660" s="4" t="str">
        <x:v>RS-01854</x:v>
      </x:c>
      <x:c r="C3660" s="9" t="n">
        <x:v>3</x:v>
      </x:c>
      <x:c r="D3660" s="8" t="n">
        <x:v>45448</x:v>
      </x:c>
      <x:c r="E3660" s="9" t="n">
        <x:v>2398000</x:v>
      </x:c>
      <x:c r="F3660" s="9" t="n">
        <x:v>0</x:v>
      </x:c>
    </x:row>
    <x:row r="3661" ht="34" customHeight="1">
      <x:c r="A3661" s="4" t="str">
        <x:v>RS-01854-I4</x:v>
      </x:c>
      <x:c r="B3661" s="4" t="str">
        <x:v>RS-01854</x:v>
      </x:c>
      <x:c r="C3661" s="9" t="n">
        <x:v>4</x:v>
      </x:c>
      <x:c r="D3661" s="8" t="n">
        <x:v>45478</x:v>
      </x:c>
      <x:c r="E3661" s="9" t="n">
        <x:v>2398000</x:v>
      </x:c>
      <x:c r="F3661" s="9" t="n">
        <x:v>0</x:v>
      </x:c>
    </x:row>
    <x:row r="3662" ht="34" customHeight="1">
      <x:c r="A3662" s="4" t="str">
        <x:v>RS-01856-I1</x:v>
      </x:c>
      <x:c r="B3662" s="4" t="str">
        <x:v>RS-01856</x:v>
      </x:c>
      <x:c r="C3662" s="9" t="n">
        <x:v>1</x:v>
      </x:c>
      <x:c r="D3662" s="8" t="n">
        <x:v>45390</x:v>
      </x:c>
      <x:c r="E3662" s="9" t="n">
        <x:v>4884000</x:v>
      </x:c>
      <x:c r="F3662" s="9" t="n">
        <x:v>4884000</x:v>
      </x:c>
    </x:row>
    <x:row r="3663" ht="34" customHeight="1">
      <x:c r="A3663" s="4" t="str">
        <x:v>RS-01856-I2</x:v>
      </x:c>
      <x:c r="B3663" s="4" t="str">
        <x:v>RS-01856</x:v>
      </x:c>
      <x:c r="C3663" s="9" t="n">
        <x:v>2</x:v>
      </x:c>
      <x:c r="D3663" s="8" t="n">
        <x:v>45420</x:v>
      </x:c>
      <x:c r="E3663" s="9" t="n">
        <x:v>4884000</x:v>
      </x:c>
      <x:c r="F3663" s="9" t="n">
        <x:v>4884000</x:v>
      </x:c>
    </x:row>
    <x:row r="3664" ht="34" customHeight="1">
      <x:c r="A3664" s="4" t="str">
        <x:v>RS-01856-I3</x:v>
      </x:c>
      <x:c r="B3664" s="4" t="str">
        <x:v>RS-01856</x:v>
      </x:c>
      <x:c r="C3664" s="9" t="n">
        <x:v>3</x:v>
      </x:c>
      <x:c r="D3664" s="8" t="n">
        <x:v>45450</x:v>
      </x:c>
      <x:c r="E3664" s="9" t="n">
        <x:v>4884000</x:v>
      </x:c>
      <x:c r="F3664" s="9" t="n">
        <x:v>4884000</x:v>
      </x:c>
    </x:row>
    <x:row r="3665" ht="34" customHeight="1">
      <x:c r="A3665" s="4" t="str">
        <x:v>RS-01856-I4</x:v>
      </x:c>
      <x:c r="B3665" s="4" t="str">
        <x:v>RS-01856</x:v>
      </x:c>
      <x:c r="C3665" s="9" t="n">
        <x:v>4</x:v>
      </x:c>
      <x:c r="D3665" s="8" t="n">
        <x:v>45480</x:v>
      </x:c>
      <x:c r="E3665" s="9" t="n">
        <x:v>4884000</x:v>
      </x:c>
      <x:c r="F3665" s="9" t="n">
        <x:v>4884000</x:v>
      </x:c>
    </x:row>
    <x:row r="3666" ht="34" customHeight="1">
      <x:c r="A3666" s="4" t="str">
        <x:v>RS-01857-I1</x:v>
      </x:c>
      <x:c r="B3666" s="4" t="str">
        <x:v>RS-01857</x:v>
      </x:c>
      <x:c r="C3666" s="9" t="n">
        <x:v>1</x:v>
      </x:c>
      <x:c r="D3666" s="8" t="n">
        <x:v>45391</x:v>
      </x:c>
      <x:c r="E3666" s="9" t="n">
        <x:v>3871500</x:v>
      </x:c>
      <x:c r="F3666" s="9" t="n">
        <x:v>3871500</x:v>
      </x:c>
    </x:row>
    <x:row r="3667" ht="34" customHeight="1">
      <x:c r="A3667" s="4" t="str">
        <x:v>RS-01857-I2</x:v>
      </x:c>
      <x:c r="B3667" s="4" t="str">
        <x:v>RS-01857</x:v>
      </x:c>
      <x:c r="C3667" s="9" t="n">
        <x:v>2</x:v>
      </x:c>
      <x:c r="D3667" s="8" t="n">
        <x:v>45421</x:v>
      </x:c>
      <x:c r="E3667" s="9" t="n">
        <x:v>3871500</x:v>
      </x:c>
      <x:c r="F3667" s="9" t="n">
        <x:v>0</x:v>
      </x:c>
    </x:row>
    <x:row r="3668" ht="34" customHeight="1">
      <x:c r="A3668" s="4" t="str">
        <x:v>RS-01857-I3</x:v>
      </x:c>
      <x:c r="B3668" s="4" t="str">
        <x:v>RS-01857</x:v>
      </x:c>
      <x:c r="C3668" s="9" t="n">
        <x:v>3</x:v>
      </x:c>
      <x:c r="D3668" s="8" t="n">
        <x:v>45451</x:v>
      </x:c>
      <x:c r="E3668" s="9" t="n">
        <x:v>3871500</x:v>
      </x:c>
      <x:c r="F3668" s="9" t="n">
        <x:v>0</x:v>
      </x:c>
    </x:row>
    <x:row r="3669" ht="34" customHeight="1">
      <x:c r="A3669" s="4" t="str">
        <x:v>RS-01857-I4</x:v>
      </x:c>
      <x:c r="B3669" s="4" t="str">
        <x:v>RS-01857</x:v>
      </x:c>
      <x:c r="C3669" s="9" t="n">
        <x:v>4</x:v>
      </x:c>
      <x:c r="D3669" s="8" t="n">
        <x:v>45481</x:v>
      </x:c>
      <x:c r="E3669" s="9" t="n">
        <x:v>3871500</x:v>
      </x:c>
      <x:c r="F3669" s="9" t="n">
        <x:v>0</x:v>
      </x:c>
    </x:row>
    <x:row r="3670" ht="34" customHeight="1">
      <x:c r="A3670" s="4" t="str">
        <x:v>RS-01858-I1</x:v>
      </x:c>
      <x:c r="B3670" s="4" t="str">
        <x:v>RS-01858</x:v>
      </x:c>
      <x:c r="C3670" s="9" t="n">
        <x:v>1</x:v>
      </x:c>
      <x:c r="D3670" s="8" t="n">
        <x:v>45392</x:v>
      </x:c>
      <x:c r="E3670" s="9" t="n">
        <x:v>5736000</x:v>
      </x:c>
      <x:c r="F3670" s="9" t="n">
        <x:v>2294400</x:v>
      </x:c>
    </x:row>
    <x:row r="3671" ht="34" customHeight="1">
      <x:c r="A3671" s="4" t="str">
        <x:v>RS-01858-I2</x:v>
      </x:c>
      <x:c r="B3671" s="4" t="str">
        <x:v>RS-01858</x:v>
      </x:c>
      <x:c r="C3671" s="9" t="n">
        <x:v>2</x:v>
      </x:c>
      <x:c r="D3671" s="8" t="n">
        <x:v>45422</x:v>
      </x:c>
      <x:c r="E3671" s="9" t="n">
        <x:v>5736000</x:v>
      </x:c>
      <x:c r="F3671" s="9" t="n">
        <x:v>0</x:v>
      </x:c>
    </x:row>
    <x:row r="3672" ht="34" customHeight="1">
      <x:c r="A3672" s="4" t="str">
        <x:v>RS-01858-I3</x:v>
      </x:c>
      <x:c r="B3672" s="4" t="str">
        <x:v>RS-01858</x:v>
      </x:c>
      <x:c r="C3672" s="9" t="n">
        <x:v>3</x:v>
      </x:c>
      <x:c r="D3672" s="8" t="n">
        <x:v>45452</x:v>
      </x:c>
      <x:c r="E3672" s="9" t="n">
        <x:v>5736000</x:v>
      </x:c>
      <x:c r="F3672" s="9" t="n">
        <x:v>0</x:v>
      </x:c>
    </x:row>
    <x:row r="3673" ht="34" customHeight="1">
      <x:c r="A3673" s="4" t="str">
        <x:v>RS-01858-I4</x:v>
      </x:c>
      <x:c r="B3673" s="4" t="str">
        <x:v>RS-01858</x:v>
      </x:c>
      <x:c r="C3673" s="9" t="n">
        <x:v>4</x:v>
      </x:c>
      <x:c r="D3673" s="8" t="n">
        <x:v>45482</x:v>
      </x:c>
      <x:c r="E3673" s="9" t="n">
        <x:v>5736000</x:v>
      </x:c>
      <x:c r="F3673" s="9" t="n">
        <x:v>0</x:v>
      </x:c>
    </x:row>
    <x:row r="3674" ht="34" customHeight="1">
      <x:c r="A3674" s="4" t="str">
        <x:v>RS-01859-I1</x:v>
      </x:c>
      <x:c r="B3674" s="4" t="str">
        <x:v>RS-01859</x:v>
      </x:c>
      <x:c r="C3674" s="9" t="n">
        <x:v>1</x:v>
      </x:c>
      <x:c r="D3674" s="8" t="n">
        <x:v>45393</x:v>
      </x:c>
      <x:c r="E3674" s="9" t="n">
        <x:v>2860000</x:v>
      </x:c>
      <x:c r="F3674" s="9" t="n">
        <x:v>2860000</x:v>
      </x:c>
    </x:row>
    <x:row r="3675" ht="34" customHeight="1">
      <x:c r="A3675" s="4" t="str">
        <x:v>RS-01859-I2</x:v>
      </x:c>
      <x:c r="B3675" s="4" t="str">
        <x:v>RS-01859</x:v>
      </x:c>
      <x:c r="C3675" s="9" t="n">
        <x:v>2</x:v>
      </x:c>
      <x:c r="D3675" s="8" t="n">
        <x:v>45423</x:v>
      </x:c>
      <x:c r="E3675" s="9" t="n">
        <x:v>2860000</x:v>
      </x:c>
      <x:c r="F3675" s="9" t="n">
        <x:v>2860000</x:v>
      </x:c>
    </x:row>
    <x:row r="3676" ht="34" customHeight="1">
      <x:c r="A3676" s="4" t="str">
        <x:v>RS-01859-I3</x:v>
      </x:c>
      <x:c r="B3676" s="4" t="str">
        <x:v>RS-01859</x:v>
      </x:c>
      <x:c r="C3676" s="9" t="n">
        <x:v>3</x:v>
      </x:c>
      <x:c r="D3676" s="8" t="n">
        <x:v>45453</x:v>
      </x:c>
      <x:c r="E3676" s="9" t="n">
        <x:v>2860000</x:v>
      </x:c>
      <x:c r="F3676" s="9" t="n">
        <x:v>0</x:v>
      </x:c>
    </x:row>
    <x:row r="3677" ht="34" customHeight="1">
      <x:c r="A3677" s="4" t="str">
        <x:v>RS-01859-I4</x:v>
      </x:c>
      <x:c r="B3677" s="4" t="str">
        <x:v>RS-01859</x:v>
      </x:c>
      <x:c r="C3677" s="9" t="n">
        <x:v>4</x:v>
      </x:c>
      <x:c r="D3677" s="8" t="n">
        <x:v>45483</x:v>
      </x:c>
      <x:c r="E3677" s="9" t="n">
        <x:v>2860000</x:v>
      </x:c>
      <x:c r="F3677" s="9" t="n">
        <x:v>0</x:v>
      </x:c>
    </x:row>
    <x:row r="3678" ht="34" customHeight="1">
      <x:c r="A3678" s="4" t="str">
        <x:v>RS-01860-I1</x:v>
      </x:c>
      <x:c r="B3678" s="4" t="str">
        <x:v>RS-01860</x:v>
      </x:c>
      <x:c r="C3678" s="9" t="n">
        <x:v>1</x:v>
      </x:c>
      <x:c r="D3678" s="8" t="n">
        <x:v>45394</x:v>
      </x:c>
      <x:c r="E3678" s="9" t="n">
        <x:v>782000</x:v>
      </x:c>
      <x:c r="F3678" s="9" t="n">
        <x:v>782000</x:v>
      </x:c>
    </x:row>
    <x:row r="3679" ht="34" customHeight="1">
      <x:c r="A3679" s="4" t="str">
        <x:v>RS-01860-I2</x:v>
      </x:c>
      <x:c r="B3679" s="4" t="str">
        <x:v>RS-01860</x:v>
      </x:c>
      <x:c r="C3679" s="9" t="n">
        <x:v>2</x:v>
      </x:c>
      <x:c r="D3679" s="8" t="n">
        <x:v>45424</x:v>
      </x:c>
      <x:c r="E3679" s="9" t="n">
        <x:v>782000</x:v>
      </x:c>
      <x:c r="F3679" s="9" t="n">
        <x:v>782000</x:v>
      </x:c>
    </x:row>
    <x:row r="3680" ht="34" customHeight="1">
      <x:c r="A3680" s="4" t="str">
        <x:v>RS-01860-I3</x:v>
      </x:c>
      <x:c r="B3680" s="4" t="str">
        <x:v>RS-01860</x:v>
      </x:c>
      <x:c r="C3680" s="9" t="n">
        <x:v>3</x:v>
      </x:c>
      <x:c r="D3680" s="8" t="n">
        <x:v>45454</x:v>
      </x:c>
      <x:c r="E3680" s="9" t="n">
        <x:v>782000</x:v>
      </x:c>
      <x:c r="F3680" s="9" t="n">
        <x:v>0</x:v>
      </x:c>
    </x:row>
    <x:row r="3681" ht="34" customHeight="1">
      <x:c r="A3681" s="4" t="str">
        <x:v>RS-01860-I4</x:v>
      </x:c>
      <x:c r="B3681" s="4" t="str">
        <x:v>RS-01860</x:v>
      </x:c>
      <x:c r="C3681" s="9" t="n">
        <x:v>4</x:v>
      </x:c>
      <x:c r="D3681" s="8" t="n">
        <x:v>45484</x:v>
      </x:c>
      <x:c r="E3681" s="9" t="n">
        <x:v>782000</x:v>
      </x:c>
      <x:c r="F3681" s="9" t="n">
        <x:v>0</x:v>
      </x:c>
    </x:row>
    <x:row r="3682" ht="34" customHeight="1">
      <x:c r="A3682" s="4" t="str">
        <x:v>RS-01861-I1</x:v>
      </x:c>
      <x:c r="B3682" s="4" t="str">
        <x:v>RS-01861</x:v>
      </x:c>
      <x:c r="C3682" s="9" t="n">
        <x:v>1</x:v>
      </x:c>
      <x:c r="D3682" s="8" t="n">
        <x:v>45395</x:v>
      </x:c>
      <x:c r="E3682" s="9" t="n">
        <x:v>3776250</x:v>
      </x:c>
      <x:c r="F3682" s="9" t="n">
        <x:v>3776250</x:v>
      </x:c>
    </x:row>
    <x:row r="3683" ht="34" customHeight="1">
      <x:c r="A3683" s="4" t="str">
        <x:v>RS-01861-I2</x:v>
      </x:c>
      <x:c r="B3683" s="4" t="str">
        <x:v>RS-01861</x:v>
      </x:c>
      <x:c r="C3683" s="9" t="n">
        <x:v>2</x:v>
      </x:c>
      <x:c r="D3683" s="8" t="n">
        <x:v>45425</x:v>
      </x:c>
      <x:c r="E3683" s="9" t="n">
        <x:v>3776250</x:v>
      </x:c>
      <x:c r="F3683" s="9" t="n">
        <x:v>0</x:v>
      </x:c>
    </x:row>
    <x:row r="3684" ht="34" customHeight="1">
      <x:c r="A3684" s="4" t="str">
        <x:v>RS-01861-I3</x:v>
      </x:c>
      <x:c r="B3684" s="4" t="str">
        <x:v>RS-01861</x:v>
      </x:c>
      <x:c r="C3684" s="9" t="n">
        <x:v>3</x:v>
      </x:c>
      <x:c r="D3684" s="8" t="n">
        <x:v>45455</x:v>
      </x:c>
      <x:c r="E3684" s="9" t="n">
        <x:v>3776250</x:v>
      </x:c>
      <x:c r="F3684" s="9" t="n">
        <x:v>0</x:v>
      </x:c>
    </x:row>
    <x:row r="3685" ht="34" customHeight="1">
      <x:c r="A3685" s="4" t="str">
        <x:v>RS-01861-I4</x:v>
      </x:c>
      <x:c r="B3685" s="4" t="str">
        <x:v>RS-01861</x:v>
      </x:c>
      <x:c r="C3685" s="9" t="n">
        <x:v>4</x:v>
      </x:c>
      <x:c r="D3685" s="8" t="n">
        <x:v>45485</x:v>
      </x:c>
      <x:c r="E3685" s="9" t="n">
        <x:v>3776250</x:v>
      </x:c>
      <x:c r="F3685" s="9" t="n">
        <x:v>0</x:v>
      </x:c>
    </x:row>
    <x:row r="3686" ht="34" customHeight="1">
      <x:c r="A3686" s="4" t="str">
        <x:v>RS-01862-I1</x:v>
      </x:c>
      <x:c r="B3686" s="4" t="str">
        <x:v>RS-01862</x:v>
      </x:c>
      <x:c r="C3686" s="9" t="n">
        <x:v>1</x:v>
      </x:c>
      <x:c r="D3686" s="8" t="n">
        <x:v>45396</x:v>
      </x:c>
      <x:c r="E3686" s="9" t="n">
        <x:v>2619000</x:v>
      </x:c>
      <x:c r="F3686" s="9" t="n">
        <x:v>2619000</x:v>
      </x:c>
    </x:row>
    <x:row r="3687" ht="34" customHeight="1">
      <x:c r="A3687" s="4" t="str">
        <x:v>RS-01862-I2</x:v>
      </x:c>
      <x:c r="B3687" s="4" t="str">
        <x:v>RS-01862</x:v>
      </x:c>
      <x:c r="C3687" s="9" t="n">
        <x:v>2</x:v>
      </x:c>
      <x:c r="D3687" s="8" t="n">
        <x:v>45426</x:v>
      </x:c>
      <x:c r="E3687" s="9" t="n">
        <x:v>2619000</x:v>
      </x:c>
      <x:c r="F3687" s="9" t="n">
        <x:v>2619000</x:v>
      </x:c>
    </x:row>
    <x:row r="3688" ht="34" customHeight="1">
      <x:c r="A3688" s="4" t="str">
        <x:v>RS-01862-I3</x:v>
      </x:c>
      <x:c r="B3688" s="4" t="str">
        <x:v>RS-01862</x:v>
      </x:c>
      <x:c r="C3688" s="9" t="n">
        <x:v>3</x:v>
      </x:c>
      <x:c r="D3688" s="8" t="n">
        <x:v>45456</x:v>
      </x:c>
      <x:c r="E3688" s="9" t="n">
        <x:v>2619000</x:v>
      </x:c>
      <x:c r="F3688" s="9" t="n">
        <x:v>0</x:v>
      </x:c>
    </x:row>
    <x:row r="3689" ht="34" customHeight="1">
      <x:c r="A3689" s="4" t="str">
        <x:v>RS-01862-I4</x:v>
      </x:c>
      <x:c r="B3689" s="4" t="str">
        <x:v>RS-01862</x:v>
      </x:c>
      <x:c r="C3689" s="9" t="n">
        <x:v>4</x:v>
      </x:c>
      <x:c r="D3689" s="8" t="n">
        <x:v>45486</x:v>
      </x:c>
      <x:c r="E3689" s="9" t="n">
        <x:v>2619000</x:v>
      </x:c>
      <x:c r="F3689" s="9" t="n">
        <x:v>0</x:v>
      </x:c>
    </x:row>
    <x:row r="3690" ht="34" customHeight="1">
      <x:c r="A3690" s="4" t="str">
        <x:v>RS-01863-I1</x:v>
      </x:c>
      <x:c r="B3690" s="4" t="str">
        <x:v>RS-01863</x:v>
      </x:c>
      <x:c r="C3690" s="9" t="n">
        <x:v>1</x:v>
      </x:c>
      <x:c r="D3690" s="8" t="n">
        <x:v>45397</x:v>
      </x:c>
      <x:c r="E3690" s="9" t="n">
        <x:v>3870000</x:v>
      </x:c>
      <x:c r="F3690" s="9" t="n">
        <x:v>3870000</x:v>
      </x:c>
    </x:row>
    <x:row r="3691" ht="34" customHeight="1">
      <x:c r="A3691" s="4" t="str">
        <x:v>RS-01863-I2</x:v>
      </x:c>
      <x:c r="B3691" s="4" t="str">
        <x:v>RS-01863</x:v>
      </x:c>
      <x:c r="C3691" s="9" t="n">
        <x:v>2</x:v>
      </x:c>
      <x:c r="D3691" s="8" t="n">
        <x:v>45427</x:v>
      </x:c>
      <x:c r="E3691" s="9" t="n">
        <x:v>3870000</x:v>
      </x:c>
      <x:c r="F3691" s="9" t="n">
        <x:v>0</x:v>
      </x:c>
    </x:row>
    <x:row r="3692" ht="34" customHeight="1">
      <x:c r="A3692" s="4" t="str">
        <x:v>RS-01863-I3</x:v>
      </x:c>
      <x:c r="B3692" s="4" t="str">
        <x:v>RS-01863</x:v>
      </x:c>
      <x:c r="C3692" s="9" t="n">
        <x:v>3</x:v>
      </x:c>
      <x:c r="D3692" s="8" t="n">
        <x:v>45457</x:v>
      </x:c>
      <x:c r="E3692" s="9" t="n">
        <x:v>3870000</x:v>
      </x:c>
      <x:c r="F3692" s="9" t="n">
        <x:v>0</x:v>
      </x:c>
    </x:row>
    <x:row r="3693" ht="34" customHeight="1">
      <x:c r="A3693" s="4" t="str">
        <x:v>RS-01863-I4</x:v>
      </x:c>
      <x:c r="B3693" s="4" t="str">
        <x:v>RS-01863</x:v>
      </x:c>
      <x:c r="C3693" s="9" t="n">
        <x:v>4</x:v>
      </x:c>
      <x:c r="D3693" s="8" t="n">
        <x:v>45487</x:v>
      </x:c>
      <x:c r="E3693" s="9" t="n">
        <x:v>3870000</x:v>
      </x:c>
      <x:c r="F3693" s="9" t="n">
        <x:v>0</x:v>
      </x:c>
    </x:row>
    <x:row r="3694" ht="34" customHeight="1">
      <x:c r="A3694" s="4" t="str">
        <x:v>RS-01865-I1</x:v>
      </x:c>
      <x:c r="B3694" s="4" t="str">
        <x:v>RS-01865</x:v>
      </x:c>
      <x:c r="C3694" s="9" t="n">
        <x:v>1</x:v>
      </x:c>
      <x:c r="D3694" s="8" t="n">
        <x:v>45399</x:v>
      </x:c>
      <x:c r="E3694" s="9" t="n">
        <x:v>1764000</x:v>
      </x:c>
      <x:c r="F3694" s="9" t="n">
        <x:v>705600</x:v>
      </x:c>
    </x:row>
    <x:row r="3695" ht="34" customHeight="1">
      <x:c r="A3695" s="4" t="str">
        <x:v>RS-01865-I2</x:v>
      </x:c>
      <x:c r="B3695" s="4" t="str">
        <x:v>RS-01865</x:v>
      </x:c>
      <x:c r="C3695" s="9" t="n">
        <x:v>2</x:v>
      </x:c>
      <x:c r="D3695" s="8" t="n">
        <x:v>45429</x:v>
      </x:c>
      <x:c r="E3695" s="9" t="n">
        <x:v>1764000</x:v>
      </x:c>
      <x:c r="F3695" s="9" t="n">
        <x:v>0</x:v>
      </x:c>
    </x:row>
    <x:row r="3696" ht="34" customHeight="1">
      <x:c r="A3696" s="4" t="str">
        <x:v>RS-01865-I3</x:v>
      </x:c>
      <x:c r="B3696" s="4" t="str">
        <x:v>RS-01865</x:v>
      </x:c>
      <x:c r="C3696" s="9" t="n">
        <x:v>3</x:v>
      </x:c>
      <x:c r="D3696" s="8" t="n">
        <x:v>45459</x:v>
      </x:c>
      <x:c r="E3696" s="9" t="n">
        <x:v>1764000</x:v>
      </x:c>
      <x:c r="F3696" s="9" t="n">
        <x:v>0</x:v>
      </x:c>
    </x:row>
    <x:row r="3697" ht="34" customHeight="1">
      <x:c r="A3697" s="4" t="str">
        <x:v>RS-01865-I4</x:v>
      </x:c>
      <x:c r="B3697" s="4" t="str">
        <x:v>RS-01865</x:v>
      </x:c>
      <x:c r="C3697" s="9" t="n">
        <x:v>4</x:v>
      </x:c>
      <x:c r="D3697" s="8" t="n">
        <x:v>45489</x:v>
      </x:c>
      <x:c r="E3697" s="9" t="n">
        <x:v>1764000</x:v>
      </x:c>
      <x:c r="F3697" s="9" t="n">
        <x:v>0</x:v>
      </x:c>
    </x:row>
    <x:row r="3698" ht="34" customHeight="1">
      <x:c r="A3698" s="4" t="str">
        <x:v>RS-01866-I1</x:v>
      </x:c>
      <x:c r="B3698" s="4" t="str">
        <x:v>RS-01866</x:v>
      </x:c>
      <x:c r="C3698" s="9" t="n">
        <x:v>1</x:v>
      </x:c>
      <x:c r="D3698" s="8" t="n">
        <x:v>45400</x:v>
      </x:c>
      <x:c r="E3698" s="9" t="n">
        <x:v>5400000</x:v>
      </x:c>
      <x:c r="F3698" s="9" t="n">
        <x:v>5400000</x:v>
      </x:c>
    </x:row>
    <x:row r="3699" ht="34" customHeight="1">
      <x:c r="A3699" s="4" t="str">
        <x:v>RS-01866-I2</x:v>
      </x:c>
      <x:c r="B3699" s="4" t="str">
        <x:v>RS-01866</x:v>
      </x:c>
      <x:c r="C3699" s="9" t="n">
        <x:v>2</x:v>
      </x:c>
      <x:c r="D3699" s="8" t="n">
        <x:v>45430</x:v>
      </x:c>
      <x:c r="E3699" s="9" t="n">
        <x:v>5400000</x:v>
      </x:c>
      <x:c r="F3699" s="9" t="n">
        <x:v>0</x:v>
      </x:c>
    </x:row>
    <x:row r="3700" ht="34" customHeight="1">
      <x:c r="A3700" s="4" t="str">
        <x:v>RS-01866-I3</x:v>
      </x:c>
      <x:c r="B3700" s="4" t="str">
        <x:v>RS-01866</x:v>
      </x:c>
      <x:c r="C3700" s="9" t="n">
        <x:v>3</x:v>
      </x:c>
      <x:c r="D3700" s="8" t="n">
        <x:v>45460</x:v>
      </x:c>
      <x:c r="E3700" s="9" t="n">
        <x:v>5400000</x:v>
      </x:c>
      <x:c r="F3700" s="9" t="n">
        <x:v>0</x:v>
      </x:c>
    </x:row>
    <x:row r="3701" ht="34" customHeight="1">
      <x:c r="A3701" s="4" t="str">
        <x:v>RS-01866-I4</x:v>
      </x:c>
      <x:c r="B3701" s="4" t="str">
        <x:v>RS-01866</x:v>
      </x:c>
      <x:c r="C3701" s="9" t="n">
        <x:v>4</x:v>
      </x:c>
      <x:c r="D3701" s="8" t="n">
        <x:v>45490</x:v>
      </x:c>
      <x:c r="E3701" s="9" t="n">
        <x:v>5400000</x:v>
      </x:c>
      <x:c r="F3701" s="9" t="n">
        <x:v>0</x:v>
      </x:c>
    </x:row>
    <x:row r="3702" ht="34" customHeight="1">
      <x:c r="A3702" s="4" t="str">
        <x:v>RS-01868-I1</x:v>
      </x:c>
      <x:c r="B3702" s="4" t="str">
        <x:v>RS-01868</x:v>
      </x:c>
      <x:c r="C3702" s="9" t="n">
        <x:v>1</x:v>
      </x:c>
      <x:c r="D3702" s="8" t="n">
        <x:v>45402</x:v>
      </x:c>
      <x:c r="E3702" s="9" t="n">
        <x:v>3680000</x:v>
      </x:c>
      <x:c r="F3702" s="9" t="n">
        <x:v>3680000</x:v>
      </x:c>
    </x:row>
    <x:row r="3703" ht="34" customHeight="1">
      <x:c r="A3703" s="4" t="str">
        <x:v>RS-01868-I2</x:v>
      </x:c>
      <x:c r="B3703" s="4" t="str">
        <x:v>RS-01868</x:v>
      </x:c>
      <x:c r="C3703" s="9" t="n">
        <x:v>2</x:v>
      </x:c>
      <x:c r="D3703" s="8" t="n">
        <x:v>45432</x:v>
      </x:c>
      <x:c r="E3703" s="9" t="n">
        <x:v>3680000</x:v>
      </x:c>
      <x:c r="F3703" s="9" t="n">
        <x:v>0</x:v>
      </x:c>
    </x:row>
    <x:row r="3704" ht="34" customHeight="1">
      <x:c r="A3704" s="4" t="str">
        <x:v>RS-01868-I3</x:v>
      </x:c>
      <x:c r="B3704" s="4" t="str">
        <x:v>RS-01868</x:v>
      </x:c>
      <x:c r="C3704" s="9" t="n">
        <x:v>3</x:v>
      </x:c>
      <x:c r="D3704" s="8" t="n">
        <x:v>45462</x:v>
      </x:c>
      <x:c r="E3704" s="9" t="n">
        <x:v>3680000</x:v>
      </x:c>
      <x:c r="F3704" s="9" t="n">
        <x:v>0</x:v>
      </x:c>
    </x:row>
    <x:row r="3705" ht="34" customHeight="1">
      <x:c r="A3705" s="4" t="str">
        <x:v>RS-01868-I4</x:v>
      </x:c>
      <x:c r="B3705" s="4" t="str">
        <x:v>RS-01868</x:v>
      </x:c>
      <x:c r="C3705" s="9" t="n">
        <x:v>4</x:v>
      </x:c>
      <x:c r="D3705" s="8" t="n">
        <x:v>45492</x:v>
      </x:c>
      <x:c r="E3705" s="9" t="n">
        <x:v>3680000</x:v>
      </x:c>
      <x:c r="F3705" s="9" t="n">
        <x:v>0</x:v>
      </x:c>
    </x:row>
    <x:row r="3706" ht="34" customHeight="1">
      <x:c r="A3706" s="4" t="str">
        <x:v>RS-01869-I1</x:v>
      </x:c>
      <x:c r="B3706" s="4" t="str">
        <x:v>RS-01869</x:v>
      </x:c>
      <x:c r="C3706" s="9" t="n">
        <x:v>1</x:v>
      </x:c>
      <x:c r="D3706" s="8" t="n">
        <x:v>45403</x:v>
      </x:c>
      <x:c r="E3706" s="9" t="n">
        <x:v>2113750</x:v>
      </x:c>
      <x:c r="F3706" s="9" t="n">
        <x:v>2113750</x:v>
      </x:c>
    </x:row>
    <x:row r="3707" ht="34" customHeight="1">
      <x:c r="A3707" s="4" t="str">
        <x:v>RS-01869-I2</x:v>
      </x:c>
      <x:c r="B3707" s="4" t="str">
        <x:v>RS-01869</x:v>
      </x:c>
      <x:c r="C3707" s="9" t="n">
        <x:v>2</x:v>
      </x:c>
      <x:c r="D3707" s="8" t="n">
        <x:v>45433</x:v>
      </x:c>
      <x:c r="E3707" s="9" t="n">
        <x:v>2113750</x:v>
      </x:c>
      <x:c r="F3707" s="9" t="n">
        <x:v>0</x:v>
      </x:c>
    </x:row>
    <x:row r="3708" ht="34" customHeight="1">
      <x:c r="A3708" s="4" t="str">
        <x:v>RS-01869-I3</x:v>
      </x:c>
      <x:c r="B3708" s="4" t="str">
        <x:v>RS-01869</x:v>
      </x:c>
      <x:c r="C3708" s="9" t="n">
        <x:v>3</x:v>
      </x:c>
      <x:c r="D3708" s="8" t="n">
        <x:v>45463</x:v>
      </x:c>
      <x:c r="E3708" s="9" t="n">
        <x:v>2113750</x:v>
      </x:c>
      <x:c r="F3708" s="9" t="n">
        <x:v>0</x:v>
      </x:c>
    </x:row>
    <x:row r="3709" ht="34" customHeight="1">
      <x:c r="A3709" s="4" t="str">
        <x:v>RS-01869-I4</x:v>
      </x:c>
      <x:c r="B3709" s="4" t="str">
        <x:v>RS-01869</x:v>
      </x:c>
      <x:c r="C3709" s="9" t="n">
        <x:v>4</x:v>
      </x:c>
      <x:c r="D3709" s="8" t="n">
        <x:v>45493</x:v>
      </x:c>
      <x:c r="E3709" s="9" t="n">
        <x:v>2113750</x:v>
      </x:c>
      <x:c r="F3709" s="9" t="n">
        <x:v>0</x:v>
      </x:c>
    </x:row>
    <x:row r="3710" ht="34" customHeight="1">
      <x:c r="A3710" s="4" t="str">
        <x:v>RS-01871-I1</x:v>
      </x:c>
      <x:c r="B3710" s="4" t="str">
        <x:v>RS-01871</x:v>
      </x:c>
      <x:c r="C3710" s="9" t="n">
        <x:v>1</x:v>
      </x:c>
      <x:c r="D3710" s="8" t="n">
        <x:v>45405</x:v>
      </x:c>
      <x:c r="E3710" s="9" t="n">
        <x:v>1602000</x:v>
      </x:c>
      <x:c r="F3710" s="9" t="n">
        <x:v>1602000</x:v>
      </x:c>
    </x:row>
    <x:row r="3711" ht="34" customHeight="1">
      <x:c r="A3711" s="4" t="str">
        <x:v>RS-01871-I2</x:v>
      </x:c>
      <x:c r="B3711" s="4" t="str">
        <x:v>RS-01871</x:v>
      </x:c>
      <x:c r="C3711" s="9" t="n">
        <x:v>2</x:v>
      </x:c>
      <x:c r="D3711" s="8" t="n">
        <x:v>45435</x:v>
      </x:c>
      <x:c r="E3711" s="9" t="n">
        <x:v>1602000</x:v>
      </x:c>
      <x:c r="F3711" s="9" t="n">
        <x:v>0</x:v>
      </x:c>
    </x:row>
    <x:row r="3712" ht="34" customHeight="1">
      <x:c r="A3712" s="4" t="str">
        <x:v>RS-01871-I3</x:v>
      </x:c>
      <x:c r="B3712" s="4" t="str">
        <x:v>RS-01871</x:v>
      </x:c>
      <x:c r="C3712" s="9" t="n">
        <x:v>3</x:v>
      </x:c>
      <x:c r="D3712" s="8" t="n">
        <x:v>45465</x:v>
      </x:c>
      <x:c r="E3712" s="9" t="n">
        <x:v>1602000</x:v>
      </x:c>
      <x:c r="F3712" s="9" t="n">
        <x:v>0</x:v>
      </x:c>
    </x:row>
    <x:row r="3713" ht="34" customHeight="1">
      <x:c r="A3713" s="4" t="str">
        <x:v>RS-01871-I4</x:v>
      </x:c>
      <x:c r="B3713" s="4" t="str">
        <x:v>RS-01871</x:v>
      </x:c>
      <x:c r="C3713" s="9" t="n">
        <x:v>4</x:v>
      </x:c>
      <x:c r="D3713" s="8" t="n">
        <x:v>45495</x:v>
      </x:c>
      <x:c r="E3713" s="9" t="n">
        <x:v>1602000</x:v>
      </x:c>
      <x:c r="F3713" s="9" t="n">
        <x:v>0</x:v>
      </x:c>
    </x:row>
    <x:row r="3714" ht="34" customHeight="1">
      <x:c r="A3714" s="4" t="str">
        <x:v>RS-01874-I1</x:v>
      </x:c>
      <x:c r="B3714" s="4" t="str">
        <x:v>RS-01874</x:v>
      </x:c>
      <x:c r="C3714" s="9" t="n">
        <x:v>1</x:v>
      </x:c>
      <x:c r="D3714" s="8" t="n">
        <x:v>45408</x:v>
      </x:c>
      <x:c r="E3714" s="9" t="n">
        <x:v>2116000</x:v>
      </x:c>
      <x:c r="F3714" s="9" t="n">
        <x:v>2116000</x:v>
      </x:c>
    </x:row>
    <x:row r="3715" ht="34" customHeight="1">
      <x:c r="A3715" s="4" t="str">
        <x:v>RS-01874-I2</x:v>
      </x:c>
      <x:c r="B3715" s="4" t="str">
        <x:v>RS-01874</x:v>
      </x:c>
      <x:c r="C3715" s="9" t="n">
        <x:v>2</x:v>
      </x:c>
      <x:c r="D3715" s="8" t="n">
        <x:v>45438</x:v>
      </x:c>
      <x:c r="E3715" s="9" t="n">
        <x:v>2116000</x:v>
      </x:c>
      <x:c r="F3715" s="9" t="n">
        <x:v>2116000</x:v>
      </x:c>
    </x:row>
    <x:row r="3716" ht="34" customHeight="1">
      <x:c r="A3716" s="4" t="str">
        <x:v>RS-01874-I3</x:v>
      </x:c>
      <x:c r="B3716" s="4" t="str">
        <x:v>RS-01874</x:v>
      </x:c>
      <x:c r="C3716" s="9" t="n">
        <x:v>3</x:v>
      </x:c>
      <x:c r="D3716" s="8" t="n">
        <x:v>45468</x:v>
      </x:c>
      <x:c r="E3716" s="9" t="n">
        <x:v>2116000</x:v>
      </x:c>
      <x:c r="F3716" s="9" t="n">
        <x:v>2116000</x:v>
      </x:c>
    </x:row>
    <x:row r="3717" ht="34" customHeight="1">
      <x:c r="A3717" s="4" t="str">
        <x:v>RS-01874-I4</x:v>
      </x:c>
      <x:c r="B3717" s="4" t="str">
        <x:v>RS-01874</x:v>
      </x:c>
      <x:c r="C3717" s="9" t="n">
        <x:v>4</x:v>
      </x:c>
      <x:c r="D3717" s="8" t="n">
        <x:v>45498</x:v>
      </x:c>
      <x:c r="E3717" s="9" t="n">
        <x:v>2116000</x:v>
      </x:c>
      <x:c r="F3717" s="9" t="n">
        <x:v>2116000</x:v>
      </x:c>
    </x:row>
    <x:row r="3718" ht="34" customHeight="1">
      <x:c r="A3718" s="4" t="str">
        <x:v>RS-01876-I1</x:v>
      </x:c>
      <x:c r="B3718" s="4" t="str">
        <x:v>RS-01876</x:v>
      </x:c>
      <x:c r="C3718" s="9" t="n">
        <x:v>1</x:v>
      </x:c>
      <x:c r="D3718" s="8" t="n">
        <x:v>45410</x:v>
      </x:c>
      <x:c r="E3718" s="9" t="n">
        <x:v>2627250</x:v>
      </x:c>
      <x:c r="F3718" s="9" t="n">
        <x:v>1050900</x:v>
      </x:c>
    </x:row>
    <x:row r="3719" ht="34" customHeight="1">
      <x:c r="A3719" s="4" t="str">
        <x:v>RS-01876-I2</x:v>
      </x:c>
      <x:c r="B3719" s="4" t="str">
        <x:v>RS-01876</x:v>
      </x:c>
      <x:c r="C3719" s="9" t="n">
        <x:v>2</x:v>
      </x:c>
      <x:c r="D3719" s="8" t="n">
        <x:v>45440</x:v>
      </x:c>
      <x:c r="E3719" s="9" t="n">
        <x:v>2627250</x:v>
      </x:c>
      <x:c r="F3719" s="9" t="n">
        <x:v>0</x:v>
      </x:c>
    </x:row>
    <x:row r="3720" ht="34" customHeight="1">
      <x:c r="A3720" s="4" t="str">
        <x:v>RS-01876-I3</x:v>
      </x:c>
      <x:c r="B3720" s="4" t="str">
        <x:v>RS-01876</x:v>
      </x:c>
      <x:c r="C3720" s="9" t="n">
        <x:v>3</x:v>
      </x:c>
      <x:c r="D3720" s="8" t="n">
        <x:v>45470</x:v>
      </x:c>
      <x:c r="E3720" s="9" t="n">
        <x:v>2627250</x:v>
      </x:c>
      <x:c r="F3720" s="9" t="n">
        <x:v>0</x:v>
      </x:c>
    </x:row>
    <x:row r="3721" ht="34" customHeight="1">
      <x:c r="A3721" s="4" t="str">
        <x:v>RS-01876-I4</x:v>
      </x:c>
      <x:c r="B3721" s="4" t="str">
        <x:v>RS-01876</x:v>
      </x:c>
      <x:c r="C3721" s="9" t="n">
        <x:v>4</x:v>
      </x:c>
      <x:c r="D3721" s="8" t="n">
        <x:v>45500</x:v>
      </x:c>
      <x:c r="E3721" s="9" t="n">
        <x:v>2627250</x:v>
      </x:c>
      <x:c r="F3721" s="9" t="n">
        <x:v>0</x:v>
      </x:c>
    </x:row>
    <x:row r="3722" ht="34" customHeight="1">
      <x:c r="A3722" s="4" t="str">
        <x:v>RS-01877-I1</x:v>
      </x:c>
      <x:c r="B3722" s="4" t="str">
        <x:v>RS-01877</x:v>
      </x:c>
      <x:c r="C3722" s="9" t="n">
        <x:v>1</x:v>
      </x:c>
      <x:c r="D3722" s="8" t="n">
        <x:v>45383</x:v>
      </x:c>
      <x:c r="E3722" s="9" t="n">
        <x:v>4025000</x:v>
      </x:c>
      <x:c r="F3722" s="9" t="n">
        <x:v>4025000</x:v>
      </x:c>
    </x:row>
    <x:row r="3723" ht="34" customHeight="1">
      <x:c r="A3723" s="4" t="str">
        <x:v>RS-01877-I2</x:v>
      </x:c>
      <x:c r="B3723" s="4" t="str">
        <x:v>RS-01877</x:v>
      </x:c>
      <x:c r="C3723" s="9" t="n">
        <x:v>2</x:v>
      </x:c>
      <x:c r="D3723" s="8" t="n">
        <x:v>45413</x:v>
      </x:c>
      <x:c r="E3723" s="9" t="n">
        <x:v>4025000</x:v>
      </x:c>
      <x:c r="F3723" s="9" t="n">
        <x:v>4025000</x:v>
      </x:c>
    </x:row>
    <x:row r="3724" ht="34" customHeight="1">
      <x:c r="A3724" s="4" t="str">
        <x:v>RS-01877-I3</x:v>
      </x:c>
      <x:c r="B3724" s="4" t="str">
        <x:v>RS-01877</x:v>
      </x:c>
      <x:c r="C3724" s="9" t="n">
        <x:v>3</x:v>
      </x:c>
      <x:c r="D3724" s="8" t="n">
        <x:v>45443</x:v>
      </x:c>
      <x:c r="E3724" s="9" t="n">
        <x:v>4025000</x:v>
      </x:c>
      <x:c r="F3724" s="9" t="n">
        <x:v>0</x:v>
      </x:c>
    </x:row>
    <x:row r="3725" ht="34" customHeight="1">
      <x:c r="A3725" s="4" t="str">
        <x:v>RS-01877-I4</x:v>
      </x:c>
      <x:c r="B3725" s="4" t="str">
        <x:v>RS-01877</x:v>
      </x:c>
      <x:c r="C3725" s="9" t="n">
        <x:v>4</x:v>
      </x:c>
      <x:c r="D3725" s="8" t="n">
        <x:v>45473</x:v>
      </x:c>
      <x:c r="E3725" s="9" t="n">
        <x:v>4025000</x:v>
      </x:c>
      <x:c r="F3725" s="9" t="n">
        <x:v>0</x:v>
      </x:c>
    </x:row>
    <x:row r="3726" ht="34" customHeight="1">
      <x:c r="A3726" s="4" t="str">
        <x:v>RS-01879-I1</x:v>
      </x:c>
      <x:c r="B3726" s="4" t="str">
        <x:v>RS-01879</x:v>
      </x:c>
      <x:c r="C3726" s="9" t="n">
        <x:v>1</x:v>
      </x:c>
      <x:c r="D3726" s="8" t="n">
        <x:v>45385</x:v>
      </x:c>
      <x:c r="E3726" s="9" t="n">
        <x:v>4331250</x:v>
      </x:c>
      <x:c r="F3726" s="9" t="n">
        <x:v>4331250</x:v>
      </x:c>
    </x:row>
    <x:row r="3727" ht="34" customHeight="1">
      <x:c r="A3727" s="4" t="str">
        <x:v>RS-01879-I2</x:v>
      </x:c>
      <x:c r="B3727" s="4" t="str">
        <x:v>RS-01879</x:v>
      </x:c>
      <x:c r="C3727" s="9" t="n">
        <x:v>2</x:v>
      </x:c>
      <x:c r="D3727" s="8" t="n">
        <x:v>45415</x:v>
      </x:c>
      <x:c r="E3727" s="9" t="n">
        <x:v>4331250</x:v>
      </x:c>
      <x:c r="F3727" s="9" t="n">
        <x:v>4331250</x:v>
      </x:c>
    </x:row>
    <x:row r="3728" ht="34" customHeight="1">
      <x:c r="A3728" s="4" t="str">
        <x:v>RS-01879-I3</x:v>
      </x:c>
      <x:c r="B3728" s="4" t="str">
        <x:v>RS-01879</x:v>
      </x:c>
      <x:c r="C3728" s="9" t="n">
        <x:v>3</x:v>
      </x:c>
      <x:c r="D3728" s="8" t="n">
        <x:v>45445</x:v>
      </x:c>
      <x:c r="E3728" s="9" t="n">
        <x:v>4331250</x:v>
      </x:c>
      <x:c r="F3728" s="9" t="n">
        <x:v>0</x:v>
      </x:c>
    </x:row>
    <x:row r="3729" ht="34" customHeight="1">
      <x:c r="A3729" s="4" t="str">
        <x:v>RS-01879-I4</x:v>
      </x:c>
      <x:c r="B3729" s="4" t="str">
        <x:v>RS-01879</x:v>
      </x:c>
      <x:c r="C3729" s="9" t="n">
        <x:v>4</x:v>
      </x:c>
      <x:c r="D3729" s="8" t="n">
        <x:v>45475</x:v>
      </x:c>
      <x:c r="E3729" s="9" t="n">
        <x:v>4331250</x:v>
      </x:c>
      <x:c r="F3729" s="9" t="n">
        <x:v>0</x:v>
      </x:c>
    </x:row>
    <x:row r="3730" ht="34" customHeight="1">
      <x:c r="A3730" s="4" t="str">
        <x:v>RS-01880-I1</x:v>
      </x:c>
      <x:c r="B3730" s="4" t="str">
        <x:v>RS-01880</x:v>
      </x:c>
      <x:c r="C3730" s="9" t="n">
        <x:v>1</x:v>
      </x:c>
      <x:c r="D3730" s="8" t="n">
        <x:v>45386</x:v>
      </x:c>
      <x:c r="E3730" s="9" t="n">
        <x:v>1235000</x:v>
      </x:c>
      <x:c r="F3730" s="9" t="n">
        <x:v>494000</x:v>
      </x:c>
    </x:row>
    <x:row r="3731" ht="34" customHeight="1">
      <x:c r="A3731" s="4" t="str">
        <x:v>RS-01880-I2</x:v>
      </x:c>
      <x:c r="B3731" s="4" t="str">
        <x:v>RS-01880</x:v>
      </x:c>
      <x:c r="C3731" s="9" t="n">
        <x:v>2</x:v>
      </x:c>
      <x:c r="D3731" s="8" t="n">
        <x:v>45416</x:v>
      </x:c>
      <x:c r="E3731" s="9" t="n">
        <x:v>1235000</x:v>
      </x:c>
      <x:c r="F3731" s="9" t="n">
        <x:v>0</x:v>
      </x:c>
    </x:row>
    <x:row r="3732" ht="34" customHeight="1">
      <x:c r="A3732" s="4" t="str">
        <x:v>RS-01880-I3</x:v>
      </x:c>
      <x:c r="B3732" s="4" t="str">
        <x:v>RS-01880</x:v>
      </x:c>
      <x:c r="C3732" s="9" t="n">
        <x:v>3</x:v>
      </x:c>
      <x:c r="D3732" s="8" t="n">
        <x:v>45446</x:v>
      </x:c>
      <x:c r="E3732" s="9" t="n">
        <x:v>1235000</x:v>
      </x:c>
      <x:c r="F3732" s="9" t="n">
        <x:v>0</x:v>
      </x:c>
    </x:row>
    <x:row r="3733" ht="34" customHeight="1">
      <x:c r="A3733" s="4" t="str">
        <x:v>RS-01880-I4</x:v>
      </x:c>
      <x:c r="B3733" s="4" t="str">
        <x:v>RS-01880</x:v>
      </x:c>
      <x:c r="C3733" s="9" t="n">
        <x:v>4</x:v>
      </x:c>
      <x:c r="D3733" s="8" t="n">
        <x:v>45476</x:v>
      </x:c>
      <x:c r="E3733" s="9" t="n">
        <x:v>1235000</x:v>
      </x:c>
      <x:c r="F3733" s="9" t="n">
        <x:v>0</x:v>
      </x:c>
    </x:row>
    <x:row r="3734" ht="34" customHeight="1">
      <x:c r="A3734" s="4" t="str">
        <x:v>RS-01881-I1</x:v>
      </x:c>
      <x:c r="B3734" s="4" t="str">
        <x:v>RS-01881</x:v>
      </x:c>
      <x:c r="C3734" s="9" t="n">
        <x:v>1</x:v>
      </x:c>
      <x:c r="D3734" s="8" t="n">
        <x:v>45387</x:v>
      </x:c>
      <x:c r="E3734" s="9" t="n">
        <x:v>4702500</x:v>
      </x:c>
      <x:c r="F3734" s="9" t="n">
        <x:v>4702500</x:v>
      </x:c>
    </x:row>
    <x:row r="3735" ht="34" customHeight="1">
      <x:c r="A3735" s="4" t="str">
        <x:v>RS-01881-I2</x:v>
      </x:c>
      <x:c r="B3735" s="4" t="str">
        <x:v>RS-01881</x:v>
      </x:c>
      <x:c r="C3735" s="9" t="n">
        <x:v>2</x:v>
      </x:c>
      <x:c r="D3735" s="8" t="n">
        <x:v>45417</x:v>
      </x:c>
      <x:c r="E3735" s="9" t="n">
        <x:v>4702500</x:v>
      </x:c>
      <x:c r="F3735" s="9" t="n">
        <x:v>4702500</x:v>
      </x:c>
    </x:row>
    <x:row r="3736" ht="34" customHeight="1">
      <x:c r="A3736" s="4" t="str">
        <x:v>RS-01881-I3</x:v>
      </x:c>
      <x:c r="B3736" s="4" t="str">
        <x:v>RS-01881</x:v>
      </x:c>
      <x:c r="C3736" s="9" t="n">
        <x:v>3</x:v>
      </x:c>
      <x:c r="D3736" s="8" t="n">
        <x:v>45447</x:v>
      </x:c>
      <x:c r="E3736" s="9" t="n">
        <x:v>4702500</x:v>
      </x:c>
      <x:c r="F3736" s="9" t="n">
        <x:v>0</x:v>
      </x:c>
    </x:row>
    <x:row r="3737" ht="34" customHeight="1">
      <x:c r="A3737" s="4" t="str">
        <x:v>RS-01881-I4</x:v>
      </x:c>
      <x:c r="B3737" s="4" t="str">
        <x:v>RS-01881</x:v>
      </x:c>
      <x:c r="C3737" s="9" t="n">
        <x:v>4</x:v>
      </x:c>
      <x:c r="D3737" s="8" t="n">
        <x:v>45477</x:v>
      </x:c>
      <x:c r="E3737" s="9" t="n">
        <x:v>4702500</x:v>
      </x:c>
      <x:c r="F3737" s="9" t="n">
        <x:v>0</x:v>
      </x:c>
    </x:row>
    <x:row r="3738" ht="34" customHeight="1">
      <x:c r="A3738" s="4" t="str">
        <x:v>RS-01886-I1</x:v>
      </x:c>
      <x:c r="B3738" s="4" t="str">
        <x:v>RS-01886</x:v>
      </x:c>
      <x:c r="C3738" s="9" t="n">
        <x:v>1</x:v>
      </x:c>
      <x:c r="D3738" s="8" t="n">
        <x:v>45392</x:v>
      </x:c>
      <x:c r="E3738" s="9" t="n">
        <x:v>5750000</x:v>
      </x:c>
      <x:c r="F3738" s="9" t="n">
        <x:v>5750000</x:v>
      </x:c>
    </x:row>
    <x:row r="3739" ht="34" customHeight="1">
      <x:c r="A3739" s="4" t="str">
        <x:v>RS-01886-I2</x:v>
      </x:c>
      <x:c r="B3739" s="4" t="str">
        <x:v>RS-01886</x:v>
      </x:c>
      <x:c r="C3739" s="9" t="n">
        <x:v>2</x:v>
      </x:c>
      <x:c r="D3739" s="8" t="n">
        <x:v>45422</x:v>
      </x:c>
      <x:c r="E3739" s="9" t="n">
        <x:v>5750000</x:v>
      </x:c>
      <x:c r="F3739" s="9" t="n">
        <x:v>5750000</x:v>
      </x:c>
    </x:row>
    <x:row r="3740" ht="34" customHeight="1">
      <x:c r="A3740" s="4" t="str">
        <x:v>RS-01886-I3</x:v>
      </x:c>
      <x:c r="B3740" s="4" t="str">
        <x:v>RS-01886</x:v>
      </x:c>
      <x:c r="C3740" s="9" t="n">
        <x:v>3</x:v>
      </x:c>
      <x:c r="D3740" s="8" t="n">
        <x:v>45452</x:v>
      </x:c>
      <x:c r="E3740" s="9" t="n">
        <x:v>5750000</x:v>
      </x:c>
      <x:c r="F3740" s="9" t="n">
        <x:v>5750000</x:v>
      </x:c>
    </x:row>
    <x:row r="3741" ht="34" customHeight="1">
      <x:c r="A3741" s="4" t="str">
        <x:v>RS-01886-I4</x:v>
      </x:c>
      <x:c r="B3741" s="4" t="str">
        <x:v>RS-01886</x:v>
      </x:c>
      <x:c r="C3741" s="9" t="n">
        <x:v>4</x:v>
      </x:c>
      <x:c r="D3741" s="8" t="n">
        <x:v>45482</x:v>
      </x:c>
      <x:c r="E3741" s="9" t="n">
        <x:v>5750000</x:v>
      </x:c>
      <x:c r="F3741" s="9" t="n">
        <x:v>5750000</x:v>
      </x:c>
    </x:row>
    <x:row r="3742" ht="34" customHeight="1">
      <x:c r="A3742" s="4" t="str">
        <x:v>RS-01887-I1</x:v>
      </x:c>
      <x:c r="B3742" s="4" t="str">
        <x:v>RS-01887</x:v>
      </x:c>
      <x:c r="C3742" s="9" t="n">
        <x:v>1</x:v>
      </x:c>
      <x:c r="D3742" s="8" t="n">
        <x:v>45393</x:v>
      </x:c>
      <x:c r="E3742" s="9" t="n">
        <x:v>4125000</x:v>
      </x:c>
      <x:c r="F3742" s="9" t="n">
        <x:v>4125000</x:v>
      </x:c>
    </x:row>
    <x:row r="3743" ht="34" customHeight="1">
      <x:c r="A3743" s="4" t="str">
        <x:v>RS-01887-I2</x:v>
      </x:c>
      <x:c r="B3743" s="4" t="str">
        <x:v>RS-01887</x:v>
      </x:c>
      <x:c r="C3743" s="9" t="n">
        <x:v>2</x:v>
      </x:c>
      <x:c r="D3743" s="8" t="n">
        <x:v>45423</x:v>
      </x:c>
      <x:c r="E3743" s="9" t="n">
        <x:v>4125000</x:v>
      </x:c>
      <x:c r="F3743" s="9" t="n">
        <x:v>4125000</x:v>
      </x:c>
    </x:row>
    <x:row r="3744" ht="34" customHeight="1">
      <x:c r="A3744" s="4" t="str">
        <x:v>RS-01887-I3</x:v>
      </x:c>
      <x:c r="B3744" s="4" t="str">
        <x:v>RS-01887</x:v>
      </x:c>
      <x:c r="C3744" s="9" t="n">
        <x:v>3</x:v>
      </x:c>
      <x:c r="D3744" s="8" t="n">
        <x:v>45453</x:v>
      </x:c>
      <x:c r="E3744" s="9" t="n">
        <x:v>4125000</x:v>
      </x:c>
      <x:c r="F3744" s="9" t="n">
        <x:v>0</x:v>
      </x:c>
    </x:row>
    <x:row r="3745" ht="34" customHeight="1">
      <x:c r="A3745" s="4" t="str">
        <x:v>RS-01887-I4</x:v>
      </x:c>
      <x:c r="B3745" s="4" t="str">
        <x:v>RS-01887</x:v>
      </x:c>
      <x:c r="C3745" s="9" t="n">
        <x:v>4</x:v>
      </x:c>
      <x:c r="D3745" s="8" t="n">
        <x:v>45483</x:v>
      </x:c>
      <x:c r="E3745" s="9" t="n">
        <x:v>4125000</x:v>
      </x:c>
      <x:c r="F3745" s="9" t="n">
        <x:v>0</x:v>
      </x:c>
    </x:row>
    <x:row r="3746" ht="34" customHeight="1">
      <x:c r="A3746" s="4" t="str">
        <x:v>RS-01889-I1</x:v>
      </x:c>
      <x:c r="B3746" s="4" t="str">
        <x:v>RS-01889</x:v>
      </x:c>
      <x:c r="C3746" s="9" t="n">
        <x:v>1</x:v>
      </x:c>
      <x:c r="D3746" s="8" t="n">
        <x:v>45395</x:v>
      </x:c>
      <x:c r="E3746" s="9" t="n">
        <x:v>4581500</x:v>
      </x:c>
      <x:c r="F3746" s="9" t="n">
        <x:v>4581500</x:v>
      </x:c>
    </x:row>
    <x:row r="3747" ht="34" customHeight="1">
      <x:c r="A3747" s="4" t="str">
        <x:v>RS-01889-I2</x:v>
      </x:c>
      <x:c r="B3747" s="4" t="str">
        <x:v>RS-01889</x:v>
      </x:c>
      <x:c r="C3747" s="9" t="n">
        <x:v>2</x:v>
      </x:c>
      <x:c r="D3747" s="8" t="n">
        <x:v>45425</x:v>
      </x:c>
      <x:c r="E3747" s="9" t="n">
        <x:v>4581500</x:v>
      </x:c>
      <x:c r="F3747" s="9" t="n">
        <x:v>4581500</x:v>
      </x:c>
    </x:row>
    <x:row r="3748" ht="34" customHeight="1">
      <x:c r="A3748" s="4" t="str">
        <x:v>RS-01889-I3</x:v>
      </x:c>
      <x:c r="B3748" s="4" t="str">
        <x:v>RS-01889</x:v>
      </x:c>
      <x:c r="C3748" s="9" t="n">
        <x:v>3</x:v>
      </x:c>
      <x:c r="D3748" s="8" t="n">
        <x:v>45455</x:v>
      </x:c>
      <x:c r="E3748" s="9" t="n">
        <x:v>4581500</x:v>
      </x:c>
      <x:c r="F3748" s="9" t="n">
        <x:v>0</x:v>
      </x:c>
    </x:row>
    <x:row r="3749" ht="34" customHeight="1">
      <x:c r="A3749" s="4" t="str">
        <x:v>RS-01889-I4</x:v>
      </x:c>
      <x:c r="B3749" s="4" t="str">
        <x:v>RS-01889</x:v>
      </x:c>
      <x:c r="C3749" s="9" t="n">
        <x:v>4</x:v>
      </x:c>
      <x:c r="D3749" s="8" t="n">
        <x:v>45485</x:v>
      </x:c>
      <x:c r="E3749" s="9" t="n">
        <x:v>4581500</x:v>
      </x:c>
      <x:c r="F3749" s="9" t="n">
        <x:v>0</x:v>
      </x:c>
    </x:row>
    <x:row r="3750" ht="34" customHeight="1">
      <x:c r="A3750" s="4" t="str">
        <x:v>RS-01894-I1</x:v>
      </x:c>
      <x:c r="B3750" s="4" t="str">
        <x:v>RS-01894</x:v>
      </x:c>
      <x:c r="C3750" s="9" t="n">
        <x:v>1</x:v>
      </x:c>
      <x:c r="D3750" s="8" t="n">
        <x:v>45400</x:v>
      </x:c>
      <x:c r="E3750" s="9" t="n">
        <x:v>5169500</x:v>
      </x:c>
      <x:c r="F3750" s="9" t="n">
        <x:v>2067800</x:v>
      </x:c>
    </x:row>
    <x:row r="3751" ht="34" customHeight="1">
      <x:c r="A3751" s="4" t="str">
        <x:v>RS-01894-I2</x:v>
      </x:c>
      <x:c r="B3751" s="4" t="str">
        <x:v>RS-01894</x:v>
      </x:c>
      <x:c r="C3751" s="9" t="n">
        <x:v>2</x:v>
      </x:c>
      <x:c r="D3751" s="8" t="n">
        <x:v>45430</x:v>
      </x:c>
      <x:c r="E3751" s="9" t="n">
        <x:v>5169500</x:v>
      </x:c>
      <x:c r="F3751" s="9" t="n">
        <x:v>0</x:v>
      </x:c>
    </x:row>
    <x:row r="3752" ht="34" customHeight="1">
      <x:c r="A3752" s="4" t="str">
        <x:v>RS-01894-I3</x:v>
      </x:c>
      <x:c r="B3752" s="4" t="str">
        <x:v>RS-01894</x:v>
      </x:c>
      <x:c r="C3752" s="9" t="n">
        <x:v>3</x:v>
      </x:c>
      <x:c r="D3752" s="8" t="n">
        <x:v>45460</x:v>
      </x:c>
      <x:c r="E3752" s="9" t="n">
        <x:v>5169500</x:v>
      </x:c>
      <x:c r="F3752" s="9" t="n">
        <x:v>0</x:v>
      </x:c>
    </x:row>
    <x:row r="3753" ht="34" customHeight="1">
      <x:c r="A3753" s="4" t="str">
        <x:v>RS-01894-I4</x:v>
      </x:c>
      <x:c r="B3753" s="4" t="str">
        <x:v>RS-01894</x:v>
      </x:c>
      <x:c r="C3753" s="9" t="n">
        <x:v>4</x:v>
      </x:c>
      <x:c r="D3753" s="8" t="n">
        <x:v>45490</x:v>
      </x:c>
      <x:c r="E3753" s="9" t="n">
        <x:v>5169500</x:v>
      </x:c>
      <x:c r="F3753" s="9" t="n">
        <x:v>0</x:v>
      </x:c>
    </x:row>
    <x:row r="3754" ht="34" customHeight="1">
      <x:c r="A3754" s="4" t="str">
        <x:v>RS-01895-I1</x:v>
      </x:c>
      <x:c r="B3754" s="4" t="str">
        <x:v>RS-01895</x:v>
      </x:c>
      <x:c r="C3754" s="9" t="n">
        <x:v>1</x:v>
      </x:c>
      <x:c r="D3754" s="8" t="n">
        <x:v>45401</x:v>
      </x:c>
      <x:c r="E3754" s="9" t="n">
        <x:v>4278000</x:v>
      </x:c>
      <x:c r="F3754" s="9" t="n">
        <x:v>4278000</x:v>
      </x:c>
    </x:row>
    <x:row r="3755" ht="34" customHeight="1">
      <x:c r="A3755" s="4" t="str">
        <x:v>RS-01895-I2</x:v>
      </x:c>
      <x:c r="B3755" s="4" t="str">
        <x:v>RS-01895</x:v>
      </x:c>
      <x:c r="C3755" s="9" t="n">
        <x:v>2</x:v>
      </x:c>
      <x:c r="D3755" s="8" t="n">
        <x:v>45431</x:v>
      </x:c>
      <x:c r="E3755" s="9" t="n">
        <x:v>4278000</x:v>
      </x:c>
      <x:c r="F3755" s="9" t="n">
        <x:v>4278000</x:v>
      </x:c>
    </x:row>
    <x:row r="3756" ht="34" customHeight="1">
      <x:c r="A3756" s="4" t="str">
        <x:v>RS-01895-I3</x:v>
      </x:c>
      <x:c r="B3756" s="4" t="str">
        <x:v>RS-01895</x:v>
      </x:c>
      <x:c r="C3756" s="9" t="n">
        <x:v>3</x:v>
      </x:c>
      <x:c r="D3756" s="8" t="n">
        <x:v>45461</x:v>
      </x:c>
      <x:c r="E3756" s="9" t="n">
        <x:v>4278000</x:v>
      </x:c>
      <x:c r="F3756" s="9" t="n">
        <x:v>0</x:v>
      </x:c>
    </x:row>
    <x:row r="3757" ht="34" customHeight="1">
      <x:c r="A3757" s="4" t="str">
        <x:v>RS-01895-I4</x:v>
      </x:c>
      <x:c r="B3757" s="4" t="str">
        <x:v>RS-01895</x:v>
      </x:c>
      <x:c r="C3757" s="9" t="n">
        <x:v>4</x:v>
      </x:c>
      <x:c r="D3757" s="8" t="n">
        <x:v>45491</x:v>
      </x:c>
      <x:c r="E3757" s="9" t="n">
        <x:v>4278000</x:v>
      </x:c>
      <x:c r="F3757" s="9" t="n">
        <x:v>0</x:v>
      </x:c>
    </x:row>
    <x:row r="3758" ht="34" customHeight="1">
      <x:c r="A3758" s="4" t="str">
        <x:v>RS-01898-I1</x:v>
      </x:c>
      <x:c r="B3758" s="4" t="str">
        <x:v>RS-01898</x:v>
      </x:c>
      <x:c r="C3758" s="9" t="n">
        <x:v>1</x:v>
      </x:c>
      <x:c r="D3758" s="8" t="n">
        <x:v>45404</x:v>
      </x:c>
      <x:c r="E3758" s="9" t="n">
        <x:v>1433500</x:v>
      </x:c>
      <x:c r="F3758" s="9" t="n">
        <x:v>1433500</x:v>
      </x:c>
    </x:row>
    <x:row r="3759" ht="34" customHeight="1">
      <x:c r="A3759" s="4" t="str">
        <x:v>RS-01898-I2</x:v>
      </x:c>
      <x:c r="B3759" s="4" t="str">
        <x:v>RS-01898</x:v>
      </x:c>
      <x:c r="C3759" s="9" t="n">
        <x:v>2</x:v>
      </x:c>
      <x:c r="D3759" s="8" t="n">
        <x:v>45434</x:v>
      </x:c>
      <x:c r="E3759" s="9" t="n">
        <x:v>1433500</x:v>
      </x:c>
      <x:c r="F3759" s="9" t="n">
        <x:v>0</x:v>
      </x:c>
    </x:row>
    <x:row r="3760" ht="34" customHeight="1">
      <x:c r="A3760" s="4" t="str">
        <x:v>RS-01898-I3</x:v>
      </x:c>
      <x:c r="B3760" s="4" t="str">
        <x:v>RS-01898</x:v>
      </x:c>
      <x:c r="C3760" s="9" t="n">
        <x:v>3</x:v>
      </x:c>
      <x:c r="D3760" s="8" t="n">
        <x:v>45464</x:v>
      </x:c>
      <x:c r="E3760" s="9" t="n">
        <x:v>1433500</x:v>
      </x:c>
      <x:c r="F3760" s="9" t="n">
        <x:v>0</x:v>
      </x:c>
    </x:row>
    <x:row r="3761" ht="34" customHeight="1">
      <x:c r="A3761" s="4" t="str">
        <x:v>RS-01898-I4</x:v>
      </x:c>
      <x:c r="B3761" s="4" t="str">
        <x:v>RS-01898</x:v>
      </x:c>
      <x:c r="C3761" s="9" t="n">
        <x:v>4</x:v>
      </x:c>
      <x:c r="D3761" s="8" t="n">
        <x:v>45494</x:v>
      </x:c>
      <x:c r="E3761" s="9" t="n">
        <x:v>1433500</x:v>
      </x:c>
      <x:c r="F3761" s="9" t="n">
        <x:v>0</x:v>
      </x:c>
    </x:row>
    <x:row r="3762" ht="34" customHeight="1">
      <x:c r="A3762" s="4" t="str">
        <x:v>RS-01903-I1</x:v>
      </x:c>
      <x:c r="B3762" s="4" t="str">
        <x:v>RS-01903</x:v>
      </x:c>
      <x:c r="C3762" s="9" t="n">
        <x:v>1</x:v>
      </x:c>
      <x:c r="D3762" s="8" t="n">
        <x:v>45409</x:v>
      </x:c>
      <x:c r="E3762" s="9" t="n">
        <x:v>2162000</x:v>
      </x:c>
      <x:c r="F3762" s="9" t="n">
        <x:v>2162000</x:v>
      </x:c>
    </x:row>
    <x:row r="3763" ht="34" customHeight="1">
      <x:c r="A3763" s="4" t="str">
        <x:v>RS-01903-I2</x:v>
      </x:c>
      <x:c r="B3763" s="4" t="str">
        <x:v>RS-01903</x:v>
      </x:c>
      <x:c r="C3763" s="9" t="n">
        <x:v>2</x:v>
      </x:c>
      <x:c r="D3763" s="8" t="n">
        <x:v>45439</x:v>
      </x:c>
      <x:c r="E3763" s="9" t="n">
        <x:v>2162000</x:v>
      </x:c>
      <x:c r="F3763" s="9" t="n">
        <x:v>0</x:v>
      </x:c>
    </x:row>
    <x:row r="3764" ht="34" customHeight="1">
      <x:c r="A3764" s="4" t="str">
        <x:v>RS-01903-I3</x:v>
      </x:c>
      <x:c r="B3764" s="4" t="str">
        <x:v>RS-01903</x:v>
      </x:c>
      <x:c r="C3764" s="9" t="n">
        <x:v>3</x:v>
      </x:c>
      <x:c r="D3764" s="8" t="n">
        <x:v>45469</x:v>
      </x:c>
      <x:c r="E3764" s="9" t="n">
        <x:v>2162000</x:v>
      </x:c>
      <x:c r="F3764" s="9" t="n">
        <x:v>0</x:v>
      </x:c>
    </x:row>
    <x:row r="3765" ht="34" customHeight="1">
      <x:c r="A3765" s="4" t="str">
        <x:v>RS-01903-I4</x:v>
      </x:c>
      <x:c r="B3765" s="4" t="str">
        <x:v>RS-01903</x:v>
      </x:c>
      <x:c r="C3765" s="9" t="n">
        <x:v>4</x:v>
      </x:c>
      <x:c r="D3765" s="8" t="n">
        <x:v>45499</x:v>
      </x:c>
      <x:c r="E3765" s="9" t="n">
        <x:v>2162000</x:v>
      </x:c>
      <x:c r="F3765" s="9" t="n">
        <x:v>0</x:v>
      </x:c>
    </x:row>
    <x:row r="3766" ht="34" customHeight="1">
      <x:c r="A3766" s="4" t="str">
        <x:v>RS-01909-I1</x:v>
      </x:c>
      <x:c r="B3766" s="4" t="str">
        <x:v>RS-01909</x:v>
      </x:c>
      <x:c r="C3766" s="9" t="n">
        <x:v>1</x:v>
      </x:c>
      <x:c r="D3766" s="8" t="n">
        <x:v>45387</x:v>
      </x:c>
      <x:c r="E3766" s="9" t="n">
        <x:v>1035000</x:v>
      </x:c>
      <x:c r="F3766" s="9" t="n">
        <x:v>1035000</x:v>
      </x:c>
    </x:row>
    <x:row r="3767" ht="34" customHeight="1">
      <x:c r="A3767" s="4" t="str">
        <x:v>RS-01909-I2</x:v>
      </x:c>
      <x:c r="B3767" s="4" t="str">
        <x:v>RS-01909</x:v>
      </x:c>
      <x:c r="C3767" s="9" t="n">
        <x:v>2</x:v>
      </x:c>
      <x:c r="D3767" s="8" t="n">
        <x:v>45417</x:v>
      </x:c>
      <x:c r="E3767" s="9" t="n">
        <x:v>1035000</x:v>
      </x:c>
      <x:c r="F3767" s="9" t="n">
        <x:v>1035000</x:v>
      </x:c>
    </x:row>
    <x:row r="3768" ht="34" customHeight="1">
      <x:c r="A3768" s="4" t="str">
        <x:v>RS-01909-I3</x:v>
      </x:c>
      <x:c r="B3768" s="4" t="str">
        <x:v>RS-01909</x:v>
      </x:c>
      <x:c r="C3768" s="9" t="n">
        <x:v>3</x:v>
      </x:c>
      <x:c r="D3768" s="8" t="n">
        <x:v>45447</x:v>
      </x:c>
      <x:c r="E3768" s="9" t="n">
        <x:v>1035000</x:v>
      </x:c>
      <x:c r="F3768" s="9" t="n">
        <x:v>0</x:v>
      </x:c>
    </x:row>
    <x:row r="3769" ht="34" customHeight="1">
      <x:c r="A3769" s="4" t="str">
        <x:v>RS-01909-I4</x:v>
      </x:c>
      <x:c r="B3769" s="4" t="str">
        <x:v>RS-01909</x:v>
      </x:c>
      <x:c r="C3769" s="9" t="n">
        <x:v>4</x:v>
      </x:c>
      <x:c r="D3769" s="8" t="n">
        <x:v>45477</x:v>
      </x:c>
      <x:c r="E3769" s="9" t="n">
        <x:v>1035000</x:v>
      </x:c>
      <x:c r="F3769" s="9" t="n">
        <x:v>0</x:v>
      </x:c>
    </x:row>
    <x:row r="3770" ht="34" customHeight="1">
      <x:c r="A3770" s="4" t="str">
        <x:v>RS-01910-I1</x:v>
      </x:c>
      <x:c r="B3770" s="4" t="str">
        <x:v>RS-01910</x:v>
      </x:c>
      <x:c r="C3770" s="9" t="n">
        <x:v>1</x:v>
      </x:c>
      <x:c r="D3770" s="8" t="n">
        <x:v>45388</x:v>
      </x:c>
      <x:c r="E3770" s="9" t="n">
        <x:v>6162750</x:v>
      </x:c>
      <x:c r="F3770" s="9" t="n">
        <x:v>6162750</x:v>
      </x:c>
    </x:row>
    <x:row r="3771" ht="34" customHeight="1">
      <x:c r="A3771" s="4" t="str">
        <x:v>RS-01910-I2</x:v>
      </x:c>
      <x:c r="B3771" s="4" t="str">
        <x:v>RS-01910</x:v>
      </x:c>
      <x:c r="C3771" s="9" t="n">
        <x:v>2</x:v>
      </x:c>
      <x:c r="D3771" s="8" t="n">
        <x:v>45418</x:v>
      </x:c>
      <x:c r="E3771" s="9" t="n">
        <x:v>6162750</x:v>
      </x:c>
      <x:c r="F3771" s="9" t="n">
        <x:v>6162750</x:v>
      </x:c>
    </x:row>
    <x:row r="3772" ht="34" customHeight="1">
      <x:c r="A3772" s="4" t="str">
        <x:v>RS-01910-I3</x:v>
      </x:c>
      <x:c r="B3772" s="4" t="str">
        <x:v>RS-01910</x:v>
      </x:c>
      <x:c r="C3772" s="9" t="n">
        <x:v>3</x:v>
      </x:c>
      <x:c r="D3772" s="8" t="n">
        <x:v>45448</x:v>
      </x:c>
      <x:c r="E3772" s="9" t="n">
        <x:v>6162750</x:v>
      </x:c>
      <x:c r="F3772" s="9" t="n">
        <x:v>6162750</x:v>
      </x:c>
    </x:row>
    <x:row r="3773" ht="34" customHeight="1">
      <x:c r="A3773" s="4" t="str">
        <x:v>RS-01910-I4</x:v>
      </x:c>
      <x:c r="B3773" s="4" t="str">
        <x:v>RS-01910</x:v>
      </x:c>
      <x:c r="C3773" s="9" t="n">
        <x:v>4</x:v>
      </x:c>
      <x:c r="D3773" s="8" t="n">
        <x:v>45478</x:v>
      </x:c>
      <x:c r="E3773" s="9" t="n">
        <x:v>6162750</x:v>
      </x:c>
      <x:c r="F3773" s="9" t="n">
        <x:v>6162750</x:v>
      </x:c>
    </x:row>
    <x:row r="3774" ht="34" customHeight="1">
      <x:c r="A3774" s="4" t="str">
        <x:v>RS-01911-I1</x:v>
      </x:c>
      <x:c r="B3774" s="4" t="str">
        <x:v>RS-01911</x:v>
      </x:c>
      <x:c r="C3774" s="9" t="n">
        <x:v>1</x:v>
      </x:c>
      <x:c r="D3774" s="8" t="n">
        <x:v>45389</x:v>
      </x:c>
      <x:c r="E3774" s="9" t="n">
        <x:v>2755000</x:v>
      </x:c>
      <x:c r="F3774" s="9" t="n">
        <x:v>2755000</x:v>
      </x:c>
    </x:row>
    <x:row r="3775" ht="34" customHeight="1">
      <x:c r="A3775" s="4" t="str">
        <x:v>RS-01911-I2</x:v>
      </x:c>
      <x:c r="B3775" s="4" t="str">
        <x:v>RS-01911</x:v>
      </x:c>
      <x:c r="C3775" s="9" t="n">
        <x:v>2</x:v>
      </x:c>
      <x:c r="D3775" s="8" t="n">
        <x:v>45419</x:v>
      </x:c>
      <x:c r="E3775" s="9" t="n">
        <x:v>2755000</x:v>
      </x:c>
      <x:c r="F3775" s="9" t="n">
        <x:v>2755000</x:v>
      </x:c>
    </x:row>
    <x:row r="3776" ht="34" customHeight="1">
      <x:c r="A3776" s="4" t="str">
        <x:v>RS-01911-I3</x:v>
      </x:c>
      <x:c r="B3776" s="4" t="str">
        <x:v>RS-01911</x:v>
      </x:c>
      <x:c r="C3776" s="9" t="n">
        <x:v>3</x:v>
      </x:c>
      <x:c r="D3776" s="8" t="n">
        <x:v>45449</x:v>
      </x:c>
      <x:c r="E3776" s="9" t="n">
        <x:v>2755000</x:v>
      </x:c>
      <x:c r="F3776" s="9" t="n">
        <x:v>0</x:v>
      </x:c>
    </x:row>
    <x:row r="3777" ht="34" customHeight="1">
      <x:c r="A3777" s="4" t="str">
        <x:v>RS-01911-I4</x:v>
      </x:c>
      <x:c r="B3777" s="4" t="str">
        <x:v>RS-01911</x:v>
      </x:c>
      <x:c r="C3777" s="9" t="n">
        <x:v>4</x:v>
      </x:c>
      <x:c r="D3777" s="8" t="n">
        <x:v>45479</x:v>
      </x:c>
      <x:c r="E3777" s="9" t="n">
        <x:v>2755000</x:v>
      </x:c>
      <x:c r="F3777" s="9" t="n">
        <x:v>0</x:v>
      </x:c>
    </x:row>
    <x:row r="3778" ht="34" customHeight="1">
      <x:c r="A3778" s="4" t="str">
        <x:v>RS-01912-I1</x:v>
      </x:c>
      <x:c r="B3778" s="4" t="str">
        <x:v>RS-01912</x:v>
      </x:c>
      <x:c r="C3778" s="9" t="n">
        <x:v>1</x:v>
      </x:c>
      <x:c r="D3778" s="8" t="n">
        <x:v>45390</x:v>
      </x:c>
      <x:c r="E3778" s="9" t="n">
        <x:v>4125000</x:v>
      </x:c>
      <x:c r="F3778" s="9" t="n">
        <x:v>1650000</x:v>
      </x:c>
    </x:row>
    <x:row r="3779" ht="34" customHeight="1">
      <x:c r="A3779" s="4" t="str">
        <x:v>RS-01912-I2</x:v>
      </x:c>
      <x:c r="B3779" s="4" t="str">
        <x:v>RS-01912</x:v>
      </x:c>
      <x:c r="C3779" s="9" t="n">
        <x:v>2</x:v>
      </x:c>
      <x:c r="D3779" s="8" t="n">
        <x:v>45420</x:v>
      </x:c>
      <x:c r="E3779" s="9" t="n">
        <x:v>4125000</x:v>
      </x:c>
      <x:c r="F3779" s="9" t="n">
        <x:v>0</x:v>
      </x:c>
    </x:row>
    <x:row r="3780" ht="34" customHeight="1">
      <x:c r="A3780" s="4" t="str">
        <x:v>RS-01912-I3</x:v>
      </x:c>
      <x:c r="B3780" s="4" t="str">
        <x:v>RS-01912</x:v>
      </x:c>
      <x:c r="C3780" s="9" t="n">
        <x:v>3</x:v>
      </x:c>
      <x:c r="D3780" s="8" t="n">
        <x:v>45450</x:v>
      </x:c>
      <x:c r="E3780" s="9" t="n">
        <x:v>4125000</x:v>
      </x:c>
      <x:c r="F3780" s="9" t="n">
        <x:v>0</x:v>
      </x:c>
    </x:row>
    <x:row r="3781" ht="34" customHeight="1">
      <x:c r="A3781" s="4" t="str">
        <x:v>RS-01912-I4</x:v>
      </x:c>
      <x:c r="B3781" s="4" t="str">
        <x:v>RS-01912</x:v>
      </x:c>
      <x:c r="C3781" s="9" t="n">
        <x:v>4</x:v>
      </x:c>
      <x:c r="D3781" s="8" t="n">
        <x:v>45480</x:v>
      </x:c>
      <x:c r="E3781" s="9" t="n">
        <x:v>4125000</x:v>
      </x:c>
      <x:c r="F3781" s="9" t="n">
        <x:v>0</x:v>
      </x:c>
    </x:row>
    <x:row r="3782" ht="34" customHeight="1">
      <x:c r="A3782" s="4" t="str">
        <x:v>RS-01913-I1</x:v>
      </x:c>
      <x:c r="B3782" s="4" t="str">
        <x:v>RS-01913</x:v>
      </x:c>
      <x:c r="C3782" s="9" t="n">
        <x:v>1</x:v>
      </x:c>
      <x:c r="D3782" s="8" t="n">
        <x:v>45391</x:v>
      </x:c>
      <x:c r="E3782" s="9" t="n">
        <x:v>2714500</x:v>
      </x:c>
      <x:c r="F3782" s="9" t="n">
        <x:v>2714500</x:v>
      </x:c>
    </x:row>
    <x:row r="3783" ht="34" customHeight="1">
      <x:c r="A3783" s="4" t="str">
        <x:v>RS-01913-I2</x:v>
      </x:c>
      <x:c r="B3783" s="4" t="str">
        <x:v>RS-01913</x:v>
      </x:c>
      <x:c r="C3783" s="9" t="n">
        <x:v>2</x:v>
      </x:c>
      <x:c r="D3783" s="8" t="n">
        <x:v>45421</x:v>
      </x:c>
      <x:c r="E3783" s="9" t="n">
        <x:v>2714500</x:v>
      </x:c>
      <x:c r="F3783" s="9" t="n">
        <x:v>2714500</x:v>
      </x:c>
    </x:row>
    <x:row r="3784" ht="34" customHeight="1">
      <x:c r="A3784" s="4" t="str">
        <x:v>RS-01913-I3</x:v>
      </x:c>
      <x:c r="B3784" s="4" t="str">
        <x:v>RS-01913</x:v>
      </x:c>
      <x:c r="C3784" s="9" t="n">
        <x:v>3</x:v>
      </x:c>
      <x:c r="D3784" s="8" t="n">
        <x:v>45451</x:v>
      </x:c>
      <x:c r="E3784" s="9" t="n">
        <x:v>2714500</x:v>
      </x:c>
      <x:c r="F3784" s="9" t="n">
        <x:v>2714500</x:v>
      </x:c>
    </x:row>
    <x:row r="3785" ht="34" customHeight="1">
      <x:c r="A3785" s="4" t="str">
        <x:v>RS-01913-I4</x:v>
      </x:c>
      <x:c r="B3785" s="4" t="str">
        <x:v>RS-01913</x:v>
      </x:c>
      <x:c r="C3785" s="9" t="n">
        <x:v>4</x:v>
      </x:c>
      <x:c r="D3785" s="8" t="n">
        <x:v>45481</x:v>
      </x:c>
      <x:c r="E3785" s="9" t="n">
        <x:v>2714500</x:v>
      </x:c>
      <x:c r="F3785" s="9" t="n">
        <x:v>2714500</x:v>
      </x:c>
    </x:row>
    <x:row r="3786" ht="34" customHeight="1">
      <x:c r="A3786" s="4" t="str">
        <x:v>RS-01914-I1</x:v>
      </x:c>
      <x:c r="B3786" s="4" t="str">
        <x:v>RS-01914</x:v>
      </x:c>
      <x:c r="C3786" s="9" t="n">
        <x:v>1</x:v>
      </x:c>
      <x:c r="D3786" s="8" t="n">
        <x:v>45392</x:v>
      </x:c>
      <x:c r="E3786" s="9" t="n">
        <x:v>1410500</x:v>
      </x:c>
      <x:c r="F3786" s="9" t="n">
        <x:v>1410500</x:v>
      </x:c>
    </x:row>
    <x:row r="3787" ht="34" customHeight="1">
      <x:c r="A3787" s="4" t="str">
        <x:v>RS-01914-I2</x:v>
      </x:c>
      <x:c r="B3787" s="4" t="str">
        <x:v>RS-01914</x:v>
      </x:c>
      <x:c r="C3787" s="9" t="n">
        <x:v>2</x:v>
      </x:c>
      <x:c r="D3787" s="8" t="n">
        <x:v>45422</x:v>
      </x:c>
      <x:c r="E3787" s="9" t="n">
        <x:v>1410500</x:v>
      </x:c>
      <x:c r="F3787" s="9" t="n">
        <x:v>1410500</x:v>
      </x:c>
    </x:row>
    <x:row r="3788" ht="34" customHeight="1">
      <x:c r="A3788" s="4" t="str">
        <x:v>RS-01914-I3</x:v>
      </x:c>
      <x:c r="B3788" s="4" t="str">
        <x:v>RS-01914</x:v>
      </x:c>
      <x:c r="C3788" s="9" t="n">
        <x:v>3</x:v>
      </x:c>
      <x:c r="D3788" s="8" t="n">
        <x:v>45452</x:v>
      </x:c>
      <x:c r="E3788" s="9" t="n">
        <x:v>1410500</x:v>
      </x:c>
      <x:c r="F3788" s="9" t="n">
        <x:v>1410500</x:v>
      </x:c>
    </x:row>
    <x:row r="3789" ht="34" customHeight="1">
      <x:c r="A3789" s="4" t="str">
        <x:v>RS-01914-I4</x:v>
      </x:c>
      <x:c r="B3789" s="4" t="str">
        <x:v>RS-01914</x:v>
      </x:c>
      <x:c r="C3789" s="9" t="n">
        <x:v>4</x:v>
      </x:c>
      <x:c r="D3789" s="8" t="n">
        <x:v>45482</x:v>
      </x:c>
      <x:c r="E3789" s="9" t="n">
        <x:v>1410500</x:v>
      </x:c>
      <x:c r="F3789" s="9" t="n">
        <x:v>1410500</x:v>
      </x:c>
    </x:row>
    <x:row r="3790" ht="34" customHeight="1">
      <x:c r="A3790" s="4" t="str">
        <x:v>RS-01917-I1</x:v>
      </x:c>
      <x:c r="B3790" s="4" t="str">
        <x:v>RS-01917</x:v>
      </x:c>
      <x:c r="C3790" s="9" t="n">
        <x:v>1</x:v>
      </x:c>
      <x:c r="D3790" s="8" t="n">
        <x:v>45395</x:v>
      </x:c>
      <x:c r="E3790" s="9" t="n">
        <x:v>3715750</x:v>
      </x:c>
      <x:c r="F3790" s="9" t="n">
        <x:v>3715750</x:v>
      </x:c>
    </x:row>
    <x:row r="3791" ht="34" customHeight="1">
      <x:c r="A3791" s="4" t="str">
        <x:v>RS-01917-I2</x:v>
      </x:c>
      <x:c r="B3791" s="4" t="str">
        <x:v>RS-01917</x:v>
      </x:c>
      <x:c r="C3791" s="9" t="n">
        <x:v>2</x:v>
      </x:c>
      <x:c r="D3791" s="8" t="n">
        <x:v>45425</x:v>
      </x:c>
      <x:c r="E3791" s="9" t="n">
        <x:v>3715750</x:v>
      </x:c>
      <x:c r="F3791" s="9" t="n">
        <x:v>3715750</x:v>
      </x:c>
    </x:row>
    <x:row r="3792" ht="34" customHeight="1">
      <x:c r="A3792" s="4" t="str">
        <x:v>RS-01917-I3</x:v>
      </x:c>
      <x:c r="B3792" s="4" t="str">
        <x:v>RS-01917</x:v>
      </x:c>
      <x:c r="C3792" s="9" t="n">
        <x:v>3</x:v>
      </x:c>
      <x:c r="D3792" s="8" t="n">
        <x:v>45455</x:v>
      </x:c>
      <x:c r="E3792" s="9" t="n">
        <x:v>3715750</x:v>
      </x:c>
      <x:c r="F3792" s="9" t="n">
        <x:v>3715750</x:v>
      </x:c>
    </x:row>
    <x:row r="3793" ht="34" customHeight="1">
      <x:c r="A3793" s="4" t="str">
        <x:v>RS-01917-I4</x:v>
      </x:c>
      <x:c r="B3793" s="4" t="str">
        <x:v>RS-01917</x:v>
      </x:c>
      <x:c r="C3793" s="9" t="n">
        <x:v>4</x:v>
      </x:c>
      <x:c r="D3793" s="8" t="n">
        <x:v>45485</x:v>
      </x:c>
      <x:c r="E3793" s="9" t="n">
        <x:v>3715750</x:v>
      </x:c>
      <x:c r="F3793" s="9" t="n">
        <x:v>3715750</x:v>
      </x:c>
    </x:row>
    <x:row r="3794" ht="34" customHeight="1">
      <x:c r="A3794" s="4" t="str">
        <x:v>RS-01920-I1</x:v>
      </x:c>
      <x:c r="B3794" s="4" t="str">
        <x:v>RS-01920</x:v>
      </x:c>
      <x:c r="C3794" s="9" t="n">
        <x:v>1</x:v>
      </x:c>
      <x:c r="D3794" s="8" t="n">
        <x:v>45398</x:v>
      </x:c>
      <x:c r="E3794" s="9" t="n">
        <x:v>3475000</x:v>
      </x:c>
      <x:c r="F3794" s="9" t="n">
        <x:v>1390000</x:v>
      </x:c>
    </x:row>
    <x:row r="3795" ht="34" customHeight="1">
      <x:c r="A3795" s="4" t="str">
        <x:v>RS-01920-I2</x:v>
      </x:c>
      <x:c r="B3795" s="4" t="str">
        <x:v>RS-01920</x:v>
      </x:c>
      <x:c r="C3795" s="9" t="n">
        <x:v>2</x:v>
      </x:c>
      <x:c r="D3795" s="8" t="n">
        <x:v>45428</x:v>
      </x:c>
      <x:c r="E3795" s="9" t="n">
        <x:v>3475000</x:v>
      </x:c>
      <x:c r="F3795" s="9" t="n">
        <x:v>0</x:v>
      </x:c>
    </x:row>
    <x:row r="3796" ht="34" customHeight="1">
      <x:c r="A3796" s="4" t="str">
        <x:v>RS-01920-I3</x:v>
      </x:c>
      <x:c r="B3796" s="4" t="str">
        <x:v>RS-01920</x:v>
      </x:c>
      <x:c r="C3796" s="9" t="n">
        <x:v>3</x:v>
      </x:c>
      <x:c r="D3796" s="8" t="n">
        <x:v>45458</x:v>
      </x:c>
      <x:c r="E3796" s="9" t="n">
        <x:v>3475000</x:v>
      </x:c>
      <x:c r="F3796" s="9" t="n">
        <x:v>0</x:v>
      </x:c>
    </x:row>
    <x:row r="3797" ht="34" customHeight="1">
      <x:c r="A3797" s="4" t="str">
        <x:v>RS-01920-I4</x:v>
      </x:c>
      <x:c r="B3797" s="4" t="str">
        <x:v>RS-01920</x:v>
      </x:c>
      <x:c r="C3797" s="9" t="n">
        <x:v>4</x:v>
      </x:c>
      <x:c r="D3797" s="8" t="n">
        <x:v>45488</x:v>
      </x:c>
      <x:c r="E3797" s="9" t="n">
        <x:v>3475000</x:v>
      </x:c>
      <x:c r="F3797" s="9" t="n">
        <x:v>0</x:v>
      </x:c>
    </x:row>
    <x:row r="3798" ht="34" customHeight="1">
      <x:c r="A3798" s="4" t="str">
        <x:v>RS-01921-I1</x:v>
      </x:c>
      <x:c r="B3798" s="4" t="str">
        <x:v>RS-01921</x:v>
      </x:c>
      <x:c r="C3798" s="9" t="n">
        <x:v>1</x:v>
      </x:c>
      <x:c r="D3798" s="8" t="n">
        <x:v>45399</x:v>
      </x:c>
      <x:c r="E3798" s="9" t="n">
        <x:v>1551000</x:v>
      </x:c>
      <x:c r="F3798" s="9" t="n">
        <x:v>1551000</x:v>
      </x:c>
    </x:row>
    <x:row r="3799" ht="34" customHeight="1">
      <x:c r="A3799" s="4" t="str">
        <x:v>RS-01921-I2</x:v>
      </x:c>
      <x:c r="B3799" s="4" t="str">
        <x:v>RS-01921</x:v>
      </x:c>
      <x:c r="C3799" s="9" t="n">
        <x:v>2</x:v>
      </x:c>
      <x:c r="D3799" s="8" t="n">
        <x:v>45429</x:v>
      </x:c>
      <x:c r="E3799" s="9" t="n">
        <x:v>1551000</x:v>
      </x:c>
      <x:c r="F3799" s="9" t="n">
        <x:v>0</x:v>
      </x:c>
    </x:row>
    <x:row r="3800" ht="34" customHeight="1">
      <x:c r="A3800" s="4" t="str">
        <x:v>RS-01921-I3</x:v>
      </x:c>
      <x:c r="B3800" s="4" t="str">
        <x:v>RS-01921</x:v>
      </x:c>
      <x:c r="C3800" s="9" t="n">
        <x:v>3</x:v>
      </x:c>
      <x:c r="D3800" s="8" t="n">
        <x:v>45459</x:v>
      </x:c>
      <x:c r="E3800" s="9" t="n">
        <x:v>1551000</x:v>
      </x:c>
      <x:c r="F3800" s="9" t="n">
        <x:v>0</x:v>
      </x:c>
    </x:row>
    <x:row r="3801" ht="34" customHeight="1">
      <x:c r="A3801" s="4" t="str">
        <x:v>RS-01921-I4</x:v>
      </x:c>
      <x:c r="B3801" s="4" t="str">
        <x:v>RS-01921</x:v>
      </x:c>
      <x:c r="C3801" s="9" t="n">
        <x:v>4</x:v>
      </x:c>
      <x:c r="D3801" s="8" t="n">
        <x:v>45489</x:v>
      </x:c>
      <x:c r="E3801" s="9" t="n">
        <x:v>1551000</x:v>
      </x:c>
      <x:c r="F3801" s="9" t="n">
        <x:v>0</x:v>
      </x:c>
    </x:row>
    <x:row r="3802" ht="34" customHeight="1">
      <x:c r="A3802" s="4" t="str">
        <x:v>RS-01922-I1</x:v>
      </x:c>
      <x:c r="B3802" s="4" t="str">
        <x:v>RS-01922</x:v>
      </x:c>
      <x:c r="C3802" s="9" t="n">
        <x:v>1</x:v>
      </x:c>
      <x:c r="D3802" s="8" t="n">
        <x:v>45400</x:v>
      </x:c>
      <x:c r="E3802" s="9" t="n">
        <x:v>5486250</x:v>
      </x:c>
      <x:c r="F3802" s="9" t="n">
        <x:v>5486250</x:v>
      </x:c>
    </x:row>
    <x:row r="3803" ht="34" customHeight="1">
      <x:c r="A3803" s="4" t="str">
        <x:v>RS-01922-I2</x:v>
      </x:c>
      <x:c r="B3803" s="4" t="str">
        <x:v>RS-01922</x:v>
      </x:c>
      <x:c r="C3803" s="9" t="n">
        <x:v>2</x:v>
      </x:c>
      <x:c r="D3803" s="8" t="n">
        <x:v>45430</x:v>
      </x:c>
      <x:c r="E3803" s="9" t="n">
        <x:v>5486250</x:v>
      </x:c>
      <x:c r="F3803" s="9" t="n">
        <x:v>0</x:v>
      </x:c>
    </x:row>
    <x:row r="3804" ht="34" customHeight="1">
      <x:c r="A3804" s="4" t="str">
        <x:v>RS-01922-I3</x:v>
      </x:c>
      <x:c r="B3804" s="4" t="str">
        <x:v>RS-01922</x:v>
      </x:c>
      <x:c r="C3804" s="9" t="n">
        <x:v>3</x:v>
      </x:c>
      <x:c r="D3804" s="8" t="n">
        <x:v>45460</x:v>
      </x:c>
      <x:c r="E3804" s="9" t="n">
        <x:v>5486250</x:v>
      </x:c>
      <x:c r="F3804" s="9" t="n">
        <x:v>0</x:v>
      </x:c>
    </x:row>
    <x:row r="3805" ht="34" customHeight="1">
      <x:c r="A3805" s="4" t="str">
        <x:v>RS-01922-I4</x:v>
      </x:c>
      <x:c r="B3805" s="4" t="str">
        <x:v>RS-01922</x:v>
      </x:c>
      <x:c r="C3805" s="9" t="n">
        <x:v>4</x:v>
      </x:c>
      <x:c r="D3805" s="8" t="n">
        <x:v>45490</x:v>
      </x:c>
      <x:c r="E3805" s="9" t="n">
        <x:v>5486250</x:v>
      </x:c>
      <x:c r="F3805" s="9" t="n">
        <x:v>0</x:v>
      </x:c>
    </x:row>
    <x:row r="3806" ht="34" customHeight="1">
      <x:c r="A3806" s="4" t="str">
        <x:v>RS-01926-I1</x:v>
      </x:c>
      <x:c r="B3806" s="4" t="str">
        <x:v>RS-01926</x:v>
      </x:c>
      <x:c r="C3806" s="9" t="n">
        <x:v>1</x:v>
      </x:c>
      <x:c r="D3806" s="8" t="n">
        <x:v>45404</x:v>
      </x:c>
      <x:c r="E3806" s="9" t="n">
        <x:v>955500</x:v>
      </x:c>
      <x:c r="F3806" s="9" t="n">
        <x:v>382200</x:v>
      </x:c>
    </x:row>
    <x:row r="3807" ht="34" customHeight="1">
      <x:c r="A3807" s="4" t="str">
        <x:v>RS-01926-I2</x:v>
      </x:c>
      <x:c r="B3807" s="4" t="str">
        <x:v>RS-01926</x:v>
      </x:c>
      <x:c r="C3807" s="9" t="n">
        <x:v>2</x:v>
      </x:c>
      <x:c r="D3807" s="8" t="n">
        <x:v>45434</x:v>
      </x:c>
      <x:c r="E3807" s="9" t="n">
        <x:v>955500</x:v>
      </x:c>
      <x:c r="F3807" s="9" t="n">
        <x:v>0</x:v>
      </x:c>
    </x:row>
    <x:row r="3808" ht="34" customHeight="1">
      <x:c r="A3808" s="4" t="str">
        <x:v>RS-01926-I3</x:v>
      </x:c>
      <x:c r="B3808" s="4" t="str">
        <x:v>RS-01926</x:v>
      </x:c>
      <x:c r="C3808" s="9" t="n">
        <x:v>3</x:v>
      </x:c>
      <x:c r="D3808" s="8" t="n">
        <x:v>45464</x:v>
      </x:c>
      <x:c r="E3808" s="9" t="n">
        <x:v>955500</x:v>
      </x:c>
      <x:c r="F3808" s="9" t="n">
        <x:v>0</x:v>
      </x:c>
    </x:row>
    <x:row r="3809" ht="34" customHeight="1">
      <x:c r="A3809" s="4" t="str">
        <x:v>RS-01926-I4</x:v>
      </x:c>
      <x:c r="B3809" s="4" t="str">
        <x:v>RS-01926</x:v>
      </x:c>
      <x:c r="C3809" s="9" t="n">
        <x:v>4</x:v>
      </x:c>
      <x:c r="D3809" s="8" t="n">
        <x:v>45494</x:v>
      </x:c>
      <x:c r="E3809" s="9" t="n">
        <x:v>955500</x:v>
      </x:c>
      <x:c r="F3809" s="9" t="n">
        <x:v>0</x:v>
      </x:c>
    </x:row>
    <x:row r="3810" ht="34" customHeight="1">
      <x:c r="A3810" s="4" t="str">
        <x:v>RS-01927-I1</x:v>
      </x:c>
      <x:c r="B3810" s="4" t="str">
        <x:v>RS-01927</x:v>
      </x:c>
      <x:c r="C3810" s="9" t="n">
        <x:v>1</x:v>
      </x:c>
      <x:c r="D3810" s="8" t="n">
        <x:v>45405</x:v>
      </x:c>
      <x:c r="E3810" s="9" t="n">
        <x:v>3671250</x:v>
      </x:c>
      <x:c r="F3810" s="9" t="n">
        <x:v>1468500</x:v>
      </x:c>
    </x:row>
    <x:row r="3811" ht="34" customHeight="1">
      <x:c r="A3811" s="4" t="str">
        <x:v>RS-01927-I2</x:v>
      </x:c>
      <x:c r="B3811" s="4" t="str">
        <x:v>RS-01927</x:v>
      </x:c>
      <x:c r="C3811" s="9" t="n">
        <x:v>2</x:v>
      </x:c>
      <x:c r="D3811" s="8" t="n">
        <x:v>45435</x:v>
      </x:c>
      <x:c r="E3811" s="9" t="n">
        <x:v>3671250</x:v>
      </x:c>
      <x:c r="F3811" s="9" t="n">
        <x:v>0</x:v>
      </x:c>
    </x:row>
    <x:row r="3812" ht="34" customHeight="1">
      <x:c r="A3812" s="4" t="str">
        <x:v>RS-01927-I3</x:v>
      </x:c>
      <x:c r="B3812" s="4" t="str">
        <x:v>RS-01927</x:v>
      </x:c>
      <x:c r="C3812" s="9" t="n">
        <x:v>3</x:v>
      </x:c>
      <x:c r="D3812" s="8" t="n">
        <x:v>45465</x:v>
      </x:c>
      <x:c r="E3812" s="9" t="n">
        <x:v>3671250</x:v>
      </x:c>
      <x:c r="F3812" s="9" t="n">
        <x:v>0</x:v>
      </x:c>
    </x:row>
    <x:row r="3813" ht="34" customHeight="1">
      <x:c r="A3813" s="4" t="str">
        <x:v>RS-01927-I4</x:v>
      </x:c>
      <x:c r="B3813" s="4" t="str">
        <x:v>RS-01927</x:v>
      </x:c>
      <x:c r="C3813" s="9" t="n">
        <x:v>4</x:v>
      </x:c>
      <x:c r="D3813" s="8" t="n">
        <x:v>45495</x:v>
      </x:c>
      <x:c r="E3813" s="9" t="n">
        <x:v>3671250</x:v>
      </x:c>
      <x:c r="F3813" s="9" t="n">
        <x:v>0</x:v>
      </x:c>
    </x:row>
    <x:row r="3814" ht="34" customHeight="1">
      <x:c r="A3814" s="4" t="str">
        <x:v>RS-01929-I1</x:v>
      </x:c>
      <x:c r="B3814" s="4" t="str">
        <x:v>RS-01929</x:v>
      </x:c>
      <x:c r="C3814" s="9" t="n">
        <x:v>1</x:v>
      </x:c>
      <x:c r="D3814" s="8" t="n">
        <x:v>45407</x:v>
      </x:c>
      <x:c r="E3814" s="9" t="n">
        <x:v>4275000</x:v>
      </x:c>
      <x:c r="F3814" s="9" t="n">
        <x:v>4275000</x:v>
      </x:c>
    </x:row>
    <x:row r="3815" ht="34" customHeight="1">
      <x:c r="A3815" s="4" t="str">
        <x:v>RS-01929-I2</x:v>
      </x:c>
      <x:c r="B3815" s="4" t="str">
        <x:v>RS-01929</x:v>
      </x:c>
      <x:c r="C3815" s="9" t="n">
        <x:v>2</x:v>
      </x:c>
      <x:c r="D3815" s="8" t="n">
        <x:v>45437</x:v>
      </x:c>
      <x:c r="E3815" s="9" t="n">
        <x:v>4275000</x:v>
      </x:c>
      <x:c r="F3815" s="9" t="n">
        <x:v>0</x:v>
      </x:c>
    </x:row>
    <x:row r="3816" ht="34" customHeight="1">
      <x:c r="A3816" s="4" t="str">
        <x:v>RS-01929-I3</x:v>
      </x:c>
      <x:c r="B3816" s="4" t="str">
        <x:v>RS-01929</x:v>
      </x:c>
      <x:c r="C3816" s="9" t="n">
        <x:v>3</x:v>
      </x:c>
      <x:c r="D3816" s="8" t="n">
        <x:v>45467</x:v>
      </x:c>
      <x:c r="E3816" s="9" t="n">
        <x:v>4275000</x:v>
      </x:c>
      <x:c r="F3816" s="9" t="n">
        <x:v>0</x:v>
      </x:c>
    </x:row>
    <x:row r="3817" ht="34" customHeight="1">
      <x:c r="A3817" s="4" t="str">
        <x:v>RS-01929-I4</x:v>
      </x:c>
      <x:c r="B3817" s="4" t="str">
        <x:v>RS-01929</x:v>
      </x:c>
      <x:c r="C3817" s="9" t="n">
        <x:v>4</x:v>
      </x:c>
      <x:c r="D3817" s="8" t="n">
        <x:v>45497</x:v>
      </x:c>
      <x:c r="E3817" s="9" t="n">
        <x:v>4275000</x:v>
      </x:c>
      <x:c r="F3817" s="9" t="n">
        <x:v>0</x:v>
      </x:c>
    </x:row>
    <x:row r="3818" ht="34" customHeight="1">
      <x:c r="A3818" s="4" t="str">
        <x:v>RS-01930-I1</x:v>
      </x:c>
      <x:c r="B3818" s="4" t="str">
        <x:v>RS-01930</x:v>
      </x:c>
      <x:c r="C3818" s="9" t="n">
        <x:v>1</x:v>
      </x:c>
      <x:c r="D3818" s="8" t="n">
        <x:v>45408</x:v>
      </x:c>
      <x:c r="E3818" s="9" t="n">
        <x:v>3397500</x:v>
      </x:c>
      <x:c r="F3818" s="9" t="n">
        <x:v>3397500</x:v>
      </x:c>
    </x:row>
    <x:row r="3819" ht="34" customHeight="1">
      <x:c r="A3819" s="4" t="str">
        <x:v>RS-01930-I2</x:v>
      </x:c>
      <x:c r="B3819" s="4" t="str">
        <x:v>RS-01930</x:v>
      </x:c>
      <x:c r="C3819" s="9" t="n">
        <x:v>2</x:v>
      </x:c>
      <x:c r="D3819" s="8" t="n">
        <x:v>45438</x:v>
      </x:c>
      <x:c r="E3819" s="9" t="n">
        <x:v>3397500</x:v>
      </x:c>
      <x:c r="F3819" s="9" t="n">
        <x:v>0</x:v>
      </x:c>
    </x:row>
    <x:row r="3820" ht="34" customHeight="1">
      <x:c r="A3820" s="4" t="str">
        <x:v>RS-01930-I3</x:v>
      </x:c>
      <x:c r="B3820" s="4" t="str">
        <x:v>RS-01930</x:v>
      </x:c>
      <x:c r="C3820" s="9" t="n">
        <x:v>3</x:v>
      </x:c>
      <x:c r="D3820" s="8" t="n">
        <x:v>45468</x:v>
      </x:c>
      <x:c r="E3820" s="9" t="n">
        <x:v>3397500</x:v>
      </x:c>
      <x:c r="F3820" s="9" t="n">
        <x:v>0</x:v>
      </x:c>
    </x:row>
    <x:row r="3821" ht="34" customHeight="1">
      <x:c r="A3821" s="4" t="str">
        <x:v>RS-01930-I4</x:v>
      </x:c>
      <x:c r="B3821" s="4" t="str">
        <x:v>RS-01930</x:v>
      </x:c>
      <x:c r="C3821" s="9" t="n">
        <x:v>4</x:v>
      </x:c>
      <x:c r="D3821" s="8" t="n">
        <x:v>45498</x:v>
      </x:c>
      <x:c r="E3821" s="9" t="n">
        <x:v>3397500</x:v>
      </x:c>
      <x:c r="F3821" s="9" t="n">
        <x:v>0</x:v>
      </x:c>
    </x:row>
    <x:row r="3822" ht="34" customHeight="1">
      <x:c r="A3822" s="4" t="str">
        <x:v>RS-01933-I1</x:v>
      </x:c>
      <x:c r="B3822" s="4" t="str">
        <x:v>RS-01933</x:v>
      </x:c>
      <x:c r="C3822" s="9" t="n">
        <x:v>1</x:v>
      </x:c>
      <x:c r="D3822" s="8" t="n">
        <x:v>45383</x:v>
      </x:c>
      <x:c r="E3822" s="9" t="n">
        <x:v>5278000</x:v>
      </x:c>
      <x:c r="F3822" s="9" t="n">
        <x:v>2111200</x:v>
      </x:c>
    </x:row>
    <x:row r="3823" ht="34" customHeight="1">
      <x:c r="A3823" s="4" t="str">
        <x:v>RS-01933-I2</x:v>
      </x:c>
      <x:c r="B3823" s="4" t="str">
        <x:v>RS-01933</x:v>
      </x:c>
      <x:c r="C3823" s="9" t="n">
        <x:v>2</x:v>
      </x:c>
      <x:c r="D3823" s="8" t="n">
        <x:v>45413</x:v>
      </x:c>
      <x:c r="E3823" s="9" t="n">
        <x:v>5278000</x:v>
      </x:c>
      <x:c r="F3823" s="9" t="n">
        <x:v>0</x:v>
      </x:c>
    </x:row>
    <x:row r="3824" ht="34" customHeight="1">
      <x:c r="A3824" s="4" t="str">
        <x:v>RS-01933-I3</x:v>
      </x:c>
      <x:c r="B3824" s="4" t="str">
        <x:v>RS-01933</x:v>
      </x:c>
      <x:c r="C3824" s="9" t="n">
        <x:v>3</x:v>
      </x:c>
      <x:c r="D3824" s="8" t="n">
        <x:v>45443</x:v>
      </x:c>
      <x:c r="E3824" s="9" t="n">
        <x:v>5278000</x:v>
      </x:c>
      <x:c r="F3824" s="9" t="n">
        <x:v>0</x:v>
      </x:c>
    </x:row>
    <x:row r="3825" ht="34" customHeight="1">
      <x:c r="A3825" s="4" t="str">
        <x:v>RS-01933-I4</x:v>
      </x:c>
      <x:c r="B3825" s="4" t="str">
        <x:v>RS-01933</x:v>
      </x:c>
      <x:c r="C3825" s="9" t="n">
        <x:v>4</x:v>
      </x:c>
      <x:c r="D3825" s="8" t="n">
        <x:v>45473</x:v>
      </x:c>
      <x:c r="E3825" s="9" t="n">
        <x:v>5278000</x:v>
      </x:c>
      <x:c r="F3825" s="9" t="n">
        <x:v>0</x:v>
      </x:c>
    </x:row>
    <x:row r="3826" ht="34" customHeight="1">
      <x:c r="A3826" s="4" t="str">
        <x:v>RS-01936-I1</x:v>
      </x:c>
      <x:c r="B3826" s="4" t="str">
        <x:v>RS-01936</x:v>
      </x:c>
      <x:c r="C3826" s="9" t="n">
        <x:v>1</x:v>
      </x:c>
      <x:c r="D3826" s="8" t="n">
        <x:v>45386</x:v>
      </x:c>
      <x:c r="E3826" s="9" t="n">
        <x:v>1185750</x:v>
      </x:c>
      <x:c r="F3826" s="9" t="n">
        <x:v>1185750</x:v>
      </x:c>
    </x:row>
    <x:row r="3827" ht="34" customHeight="1">
      <x:c r="A3827" s="4" t="str">
        <x:v>RS-01936-I2</x:v>
      </x:c>
      <x:c r="B3827" s="4" t="str">
        <x:v>RS-01936</x:v>
      </x:c>
      <x:c r="C3827" s="9" t="n">
        <x:v>2</x:v>
      </x:c>
      <x:c r="D3827" s="8" t="n">
        <x:v>45416</x:v>
      </x:c>
      <x:c r="E3827" s="9" t="n">
        <x:v>1185750</x:v>
      </x:c>
      <x:c r="F3827" s="9" t="n">
        <x:v>1185750</x:v>
      </x:c>
    </x:row>
    <x:row r="3828" ht="34" customHeight="1">
      <x:c r="A3828" s="4" t="str">
        <x:v>RS-01936-I3</x:v>
      </x:c>
      <x:c r="B3828" s="4" t="str">
        <x:v>RS-01936</x:v>
      </x:c>
      <x:c r="C3828" s="9" t="n">
        <x:v>3</x:v>
      </x:c>
      <x:c r="D3828" s="8" t="n">
        <x:v>45446</x:v>
      </x:c>
      <x:c r="E3828" s="9" t="n">
        <x:v>1185750</x:v>
      </x:c>
      <x:c r="F3828" s="9" t="n">
        <x:v>1185750</x:v>
      </x:c>
    </x:row>
    <x:row r="3829" ht="34" customHeight="1">
      <x:c r="A3829" s="4" t="str">
        <x:v>RS-01936-I4</x:v>
      </x:c>
      <x:c r="B3829" s="4" t="str">
        <x:v>RS-01936</x:v>
      </x:c>
      <x:c r="C3829" s="9" t="n">
        <x:v>4</x:v>
      </x:c>
      <x:c r="D3829" s="8" t="n">
        <x:v>45476</x:v>
      </x:c>
      <x:c r="E3829" s="9" t="n">
        <x:v>1185750</x:v>
      </x:c>
      <x:c r="F3829" s="9" t="n">
        <x:v>1185750</x:v>
      </x:c>
    </x:row>
    <x:row r="3830" ht="34" customHeight="1">
      <x:c r="A3830" s="4" t="str">
        <x:v>RS-01937-I1</x:v>
      </x:c>
      <x:c r="B3830" s="4" t="str">
        <x:v>RS-01937</x:v>
      </x:c>
      <x:c r="C3830" s="9" t="n">
        <x:v>1</x:v>
      </x:c>
      <x:c r="D3830" s="8" t="n">
        <x:v>45387</x:v>
      </x:c>
      <x:c r="E3830" s="9" t="n">
        <x:v>3397500</x:v>
      </x:c>
      <x:c r="F3830" s="9" t="n">
        <x:v>3397500</x:v>
      </x:c>
    </x:row>
    <x:row r="3831" ht="34" customHeight="1">
      <x:c r="A3831" s="4" t="str">
        <x:v>RS-01937-I2</x:v>
      </x:c>
      <x:c r="B3831" s="4" t="str">
        <x:v>RS-01937</x:v>
      </x:c>
      <x:c r="C3831" s="9" t="n">
        <x:v>2</x:v>
      </x:c>
      <x:c r="D3831" s="8" t="n">
        <x:v>45417</x:v>
      </x:c>
      <x:c r="E3831" s="9" t="n">
        <x:v>3397500</x:v>
      </x:c>
      <x:c r="F3831" s="9" t="n">
        <x:v>3397500</x:v>
      </x:c>
    </x:row>
    <x:row r="3832" ht="34" customHeight="1">
      <x:c r="A3832" s="4" t="str">
        <x:v>RS-01937-I3</x:v>
      </x:c>
      <x:c r="B3832" s="4" t="str">
        <x:v>RS-01937</x:v>
      </x:c>
      <x:c r="C3832" s="9" t="n">
        <x:v>3</x:v>
      </x:c>
      <x:c r="D3832" s="8" t="n">
        <x:v>45447</x:v>
      </x:c>
      <x:c r="E3832" s="9" t="n">
        <x:v>3397500</x:v>
      </x:c>
      <x:c r="F3832" s="9" t="n">
        <x:v>0</x:v>
      </x:c>
    </x:row>
    <x:row r="3833" ht="34" customHeight="1">
      <x:c r="A3833" s="4" t="str">
        <x:v>RS-01937-I4</x:v>
      </x:c>
      <x:c r="B3833" s="4" t="str">
        <x:v>RS-01937</x:v>
      </x:c>
      <x:c r="C3833" s="9" t="n">
        <x:v>4</x:v>
      </x:c>
      <x:c r="D3833" s="8" t="n">
        <x:v>45477</x:v>
      </x:c>
      <x:c r="E3833" s="9" t="n">
        <x:v>3397500</x:v>
      </x:c>
      <x:c r="F3833" s="9" t="n">
        <x:v>0</x:v>
      </x:c>
    </x:row>
    <x:row r="3834" ht="34" customHeight="1">
      <x:c r="A3834" s="4" t="str">
        <x:v>RS-01939-I1</x:v>
      </x:c>
      <x:c r="B3834" s="4" t="str">
        <x:v>RS-01939</x:v>
      </x:c>
      <x:c r="C3834" s="9" t="n">
        <x:v>1</x:v>
      </x:c>
      <x:c r="D3834" s="8" t="n">
        <x:v>45389</x:v>
      </x:c>
      <x:c r="E3834" s="9" t="n">
        <x:v>1282500</x:v>
      </x:c>
      <x:c r="F3834" s="9" t="n">
        <x:v>513000</x:v>
      </x:c>
    </x:row>
    <x:row r="3835" ht="34" customHeight="1">
      <x:c r="A3835" s="4" t="str">
        <x:v>RS-01939-I2</x:v>
      </x:c>
      <x:c r="B3835" s="4" t="str">
        <x:v>RS-01939</x:v>
      </x:c>
      <x:c r="C3835" s="9" t="n">
        <x:v>2</x:v>
      </x:c>
      <x:c r="D3835" s="8" t="n">
        <x:v>45419</x:v>
      </x:c>
      <x:c r="E3835" s="9" t="n">
        <x:v>1282500</x:v>
      </x:c>
      <x:c r="F3835" s="9" t="n">
        <x:v>0</x:v>
      </x:c>
    </x:row>
    <x:row r="3836" ht="34" customHeight="1">
      <x:c r="A3836" s="4" t="str">
        <x:v>RS-01939-I3</x:v>
      </x:c>
      <x:c r="B3836" s="4" t="str">
        <x:v>RS-01939</x:v>
      </x:c>
      <x:c r="C3836" s="9" t="n">
        <x:v>3</x:v>
      </x:c>
      <x:c r="D3836" s="8" t="n">
        <x:v>45449</x:v>
      </x:c>
      <x:c r="E3836" s="9" t="n">
        <x:v>1282500</x:v>
      </x:c>
      <x:c r="F3836" s="9" t="n">
        <x:v>0</x:v>
      </x:c>
    </x:row>
    <x:row r="3837" ht="34" customHeight="1">
      <x:c r="A3837" s="4" t="str">
        <x:v>RS-01939-I4</x:v>
      </x:c>
      <x:c r="B3837" s="4" t="str">
        <x:v>RS-01939</x:v>
      </x:c>
      <x:c r="C3837" s="9" t="n">
        <x:v>4</x:v>
      </x:c>
      <x:c r="D3837" s="8" t="n">
        <x:v>45479</x:v>
      </x:c>
      <x:c r="E3837" s="9" t="n">
        <x:v>1282500</x:v>
      </x:c>
      <x:c r="F3837" s="9" t="n">
        <x:v>0</x:v>
      </x:c>
    </x:row>
    <x:row r="3838" ht="34" customHeight="1">
      <x:c r="A3838" s="4" t="str">
        <x:v>RS-01940-I1</x:v>
      </x:c>
      <x:c r="B3838" s="4" t="str">
        <x:v>RS-01940</x:v>
      </x:c>
      <x:c r="C3838" s="9" t="n">
        <x:v>1</x:v>
      </x:c>
      <x:c r="D3838" s="8" t="n">
        <x:v>45390</x:v>
      </x:c>
      <x:c r="E3838" s="9" t="n">
        <x:v>4504500</x:v>
      </x:c>
      <x:c r="F3838" s="9" t="n">
        <x:v>1801800</x:v>
      </x:c>
    </x:row>
    <x:row r="3839" ht="34" customHeight="1">
      <x:c r="A3839" s="4" t="str">
        <x:v>RS-01940-I2</x:v>
      </x:c>
      <x:c r="B3839" s="4" t="str">
        <x:v>RS-01940</x:v>
      </x:c>
      <x:c r="C3839" s="9" t="n">
        <x:v>2</x:v>
      </x:c>
      <x:c r="D3839" s="8" t="n">
        <x:v>45420</x:v>
      </x:c>
      <x:c r="E3839" s="9" t="n">
        <x:v>4504500</x:v>
      </x:c>
      <x:c r="F3839" s="9" t="n">
        <x:v>0</x:v>
      </x:c>
    </x:row>
    <x:row r="3840" ht="34" customHeight="1">
      <x:c r="A3840" s="4" t="str">
        <x:v>RS-01940-I3</x:v>
      </x:c>
      <x:c r="B3840" s="4" t="str">
        <x:v>RS-01940</x:v>
      </x:c>
      <x:c r="C3840" s="9" t="n">
        <x:v>3</x:v>
      </x:c>
      <x:c r="D3840" s="8" t="n">
        <x:v>45450</x:v>
      </x:c>
      <x:c r="E3840" s="9" t="n">
        <x:v>4504500</x:v>
      </x:c>
      <x:c r="F3840" s="9" t="n">
        <x:v>0</x:v>
      </x:c>
    </x:row>
    <x:row r="3841" ht="34" customHeight="1">
      <x:c r="A3841" s="4" t="str">
        <x:v>RS-01940-I4</x:v>
      </x:c>
      <x:c r="B3841" s="4" t="str">
        <x:v>RS-01940</x:v>
      </x:c>
      <x:c r="C3841" s="9" t="n">
        <x:v>4</x:v>
      </x:c>
      <x:c r="D3841" s="8" t="n">
        <x:v>45480</x:v>
      </x:c>
      <x:c r="E3841" s="9" t="n">
        <x:v>4504500</x:v>
      </x:c>
      <x:c r="F3841" s="9" t="n">
        <x:v>0</x:v>
      </x:c>
    </x:row>
    <x:row r="3842" ht="34" customHeight="1">
      <x:c r="A3842" s="4" t="str">
        <x:v>RS-01941-I1</x:v>
      </x:c>
      <x:c r="B3842" s="4" t="str">
        <x:v>RS-01941</x:v>
      </x:c>
      <x:c r="C3842" s="9" t="n">
        <x:v>1</x:v>
      </x:c>
      <x:c r="D3842" s="8" t="n">
        <x:v>45391</x:v>
      </x:c>
      <x:c r="E3842" s="9" t="n">
        <x:v>5494500</x:v>
      </x:c>
      <x:c r="F3842" s="9" t="n">
        <x:v>5494500</x:v>
      </x:c>
    </x:row>
    <x:row r="3843" ht="34" customHeight="1">
      <x:c r="A3843" s="4" t="str">
        <x:v>RS-01941-I2</x:v>
      </x:c>
      <x:c r="B3843" s="4" t="str">
        <x:v>RS-01941</x:v>
      </x:c>
      <x:c r="C3843" s="9" t="n">
        <x:v>2</x:v>
      </x:c>
      <x:c r="D3843" s="8" t="n">
        <x:v>45421</x:v>
      </x:c>
      <x:c r="E3843" s="9" t="n">
        <x:v>5494500</x:v>
      </x:c>
      <x:c r="F3843" s="9" t="n">
        <x:v>0</x:v>
      </x:c>
    </x:row>
    <x:row r="3844" ht="34" customHeight="1">
      <x:c r="A3844" s="4" t="str">
        <x:v>RS-01941-I3</x:v>
      </x:c>
      <x:c r="B3844" s="4" t="str">
        <x:v>RS-01941</x:v>
      </x:c>
      <x:c r="C3844" s="9" t="n">
        <x:v>3</x:v>
      </x:c>
      <x:c r="D3844" s="8" t="n">
        <x:v>45451</x:v>
      </x:c>
      <x:c r="E3844" s="9" t="n">
        <x:v>5494500</x:v>
      </x:c>
      <x:c r="F3844" s="9" t="n">
        <x:v>0</x:v>
      </x:c>
    </x:row>
    <x:row r="3845" ht="34" customHeight="1">
      <x:c r="A3845" s="4" t="str">
        <x:v>RS-01941-I4</x:v>
      </x:c>
      <x:c r="B3845" s="4" t="str">
        <x:v>RS-01941</x:v>
      </x:c>
      <x:c r="C3845" s="9" t="n">
        <x:v>4</x:v>
      </x:c>
      <x:c r="D3845" s="8" t="n">
        <x:v>45481</x:v>
      </x:c>
      <x:c r="E3845" s="9" t="n">
        <x:v>5494500</x:v>
      </x:c>
      <x:c r="F3845" s="9" t="n">
        <x:v>0</x:v>
      </x:c>
    </x:row>
    <x:row r="3846" ht="34" customHeight="1">
      <x:c r="A3846" s="4" t="str">
        <x:v>RS-01944-I1</x:v>
      </x:c>
      <x:c r="B3846" s="4" t="str">
        <x:v>RS-01944</x:v>
      </x:c>
      <x:c r="C3846" s="9" t="n">
        <x:v>1</x:v>
      </x:c>
      <x:c r="D3846" s="8" t="n">
        <x:v>45394</x:v>
      </x:c>
      <x:c r="E3846" s="9" t="n">
        <x:v>5231250</x:v>
      </x:c>
      <x:c r="F3846" s="9" t="n">
        <x:v>2092500</x:v>
      </x:c>
    </x:row>
    <x:row r="3847" ht="34" customHeight="1">
      <x:c r="A3847" s="4" t="str">
        <x:v>RS-01944-I2</x:v>
      </x:c>
      <x:c r="B3847" s="4" t="str">
        <x:v>RS-01944</x:v>
      </x:c>
      <x:c r="C3847" s="9" t="n">
        <x:v>2</x:v>
      </x:c>
      <x:c r="D3847" s="8" t="n">
        <x:v>45424</x:v>
      </x:c>
      <x:c r="E3847" s="9" t="n">
        <x:v>5231250</x:v>
      </x:c>
      <x:c r="F3847" s="9" t="n">
        <x:v>0</x:v>
      </x:c>
    </x:row>
    <x:row r="3848" ht="34" customHeight="1">
      <x:c r="A3848" s="4" t="str">
        <x:v>RS-01944-I3</x:v>
      </x:c>
      <x:c r="B3848" s="4" t="str">
        <x:v>RS-01944</x:v>
      </x:c>
      <x:c r="C3848" s="9" t="n">
        <x:v>3</x:v>
      </x:c>
      <x:c r="D3848" s="8" t="n">
        <x:v>45454</x:v>
      </x:c>
      <x:c r="E3848" s="9" t="n">
        <x:v>5231250</x:v>
      </x:c>
      <x:c r="F3848" s="9" t="n">
        <x:v>0</x:v>
      </x:c>
    </x:row>
    <x:row r="3849" ht="34" customHeight="1">
      <x:c r="A3849" s="4" t="str">
        <x:v>RS-01944-I4</x:v>
      </x:c>
      <x:c r="B3849" s="4" t="str">
        <x:v>RS-01944</x:v>
      </x:c>
      <x:c r="C3849" s="9" t="n">
        <x:v>4</x:v>
      </x:c>
      <x:c r="D3849" s="8" t="n">
        <x:v>45484</x:v>
      </x:c>
      <x:c r="E3849" s="9" t="n">
        <x:v>5231250</x:v>
      </x:c>
      <x:c r="F3849" s="9" t="n">
        <x:v>0</x:v>
      </x:c>
    </x:row>
    <x:row r="3850" ht="34" customHeight="1">
      <x:c r="A3850" s="4" t="str">
        <x:v>RS-01945-I1</x:v>
      </x:c>
      <x:c r="B3850" s="4" t="str">
        <x:v>RS-01945</x:v>
      </x:c>
      <x:c r="C3850" s="9" t="n">
        <x:v>1</x:v>
      </x:c>
      <x:c r="D3850" s="8" t="n">
        <x:v>45395</x:v>
      </x:c>
      <x:c r="E3850" s="9" t="n">
        <x:v>4995500</x:v>
      </x:c>
      <x:c r="F3850" s="9" t="n">
        <x:v>1998200</x:v>
      </x:c>
    </x:row>
    <x:row r="3851" ht="34" customHeight="1">
      <x:c r="A3851" s="4" t="str">
        <x:v>RS-01945-I2</x:v>
      </x:c>
      <x:c r="B3851" s="4" t="str">
        <x:v>RS-01945</x:v>
      </x:c>
      <x:c r="C3851" s="9" t="n">
        <x:v>2</x:v>
      </x:c>
      <x:c r="D3851" s="8" t="n">
        <x:v>45425</x:v>
      </x:c>
      <x:c r="E3851" s="9" t="n">
        <x:v>4995500</x:v>
      </x:c>
      <x:c r="F3851" s="9" t="n">
        <x:v>0</x:v>
      </x:c>
    </x:row>
    <x:row r="3852" ht="34" customHeight="1">
      <x:c r="A3852" s="4" t="str">
        <x:v>RS-01945-I3</x:v>
      </x:c>
      <x:c r="B3852" s="4" t="str">
        <x:v>RS-01945</x:v>
      </x:c>
      <x:c r="C3852" s="9" t="n">
        <x:v>3</x:v>
      </x:c>
      <x:c r="D3852" s="8" t="n">
        <x:v>45455</x:v>
      </x:c>
      <x:c r="E3852" s="9" t="n">
        <x:v>4995500</x:v>
      </x:c>
      <x:c r="F3852" s="9" t="n">
        <x:v>0</x:v>
      </x:c>
    </x:row>
    <x:row r="3853" ht="34" customHeight="1">
      <x:c r="A3853" s="4" t="str">
        <x:v>RS-01945-I4</x:v>
      </x:c>
      <x:c r="B3853" s="4" t="str">
        <x:v>RS-01945</x:v>
      </x:c>
      <x:c r="C3853" s="9" t="n">
        <x:v>4</x:v>
      </x:c>
      <x:c r="D3853" s="8" t="n">
        <x:v>45485</x:v>
      </x:c>
      <x:c r="E3853" s="9" t="n">
        <x:v>4995500</x:v>
      </x:c>
      <x:c r="F3853" s="9" t="n">
        <x:v>0</x:v>
      </x:c>
    </x:row>
    <x:row r="3854" ht="34" customHeight="1">
      <x:c r="A3854" s="4" t="str">
        <x:v>RS-01947-I1</x:v>
      </x:c>
      <x:c r="B3854" s="4" t="str">
        <x:v>RS-01947</x:v>
      </x:c>
      <x:c r="C3854" s="9" t="n">
        <x:v>1</x:v>
      </x:c>
      <x:c r="D3854" s="8" t="n">
        <x:v>45397</x:v>
      </x:c>
      <x:c r="E3854" s="9" t="n">
        <x:v>967500</x:v>
      </x:c>
      <x:c r="F3854" s="9" t="n">
        <x:v>387000</x:v>
      </x:c>
    </x:row>
    <x:row r="3855" ht="34" customHeight="1">
      <x:c r="A3855" s="4" t="str">
        <x:v>RS-01947-I2</x:v>
      </x:c>
      <x:c r="B3855" s="4" t="str">
        <x:v>RS-01947</x:v>
      </x:c>
      <x:c r="C3855" s="9" t="n">
        <x:v>2</x:v>
      </x:c>
      <x:c r="D3855" s="8" t="n">
        <x:v>45427</x:v>
      </x:c>
      <x:c r="E3855" s="9" t="n">
        <x:v>967500</x:v>
      </x:c>
      <x:c r="F3855" s="9" t="n">
        <x:v>0</x:v>
      </x:c>
    </x:row>
    <x:row r="3856" ht="34" customHeight="1">
      <x:c r="A3856" s="4" t="str">
        <x:v>RS-01947-I3</x:v>
      </x:c>
      <x:c r="B3856" s="4" t="str">
        <x:v>RS-01947</x:v>
      </x:c>
      <x:c r="C3856" s="9" t="n">
        <x:v>3</x:v>
      </x:c>
      <x:c r="D3856" s="8" t="n">
        <x:v>45457</x:v>
      </x:c>
      <x:c r="E3856" s="9" t="n">
        <x:v>967500</x:v>
      </x:c>
      <x:c r="F3856" s="9" t="n">
        <x:v>0</x:v>
      </x:c>
    </x:row>
    <x:row r="3857" ht="34" customHeight="1">
      <x:c r="A3857" s="4" t="str">
        <x:v>RS-01947-I4</x:v>
      </x:c>
      <x:c r="B3857" s="4" t="str">
        <x:v>RS-01947</x:v>
      </x:c>
      <x:c r="C3857" s="9" t="n">
        <x:v>4</x:v>
      </x:c>
      <x:c r="D3857" s="8" t="n">
        <x:v>45487</x:v>
      </x:c>
      <x:c r="E3857" s="9" t="n">
        <x:v>967500</x:v>
      </x:c>
      <x:c r="F3857" s="9" t="n">
        <x:v>0</x:v>
      </x:c>
    </x:row>
    <x:row r="3858" ht="34" customHeight="1">
      <x:c r="A3858" s="4" t="str">
        <x:v>RS-01950-I1</x:v>
      </x:c>
      <x:c r="B3858" s="4" t="str">
        <x:v>RS-01950</x:v>
      </x:c>
      <x:c r="C3858" s="9" t="n">
        <x:v>1</x:v>
      </x:c>
      <x:c r="D3858" s="8" t="n">
        <x:v>45400</x:v>
      </x:c>
      <x:c r="E3858" s="9" t="n">
        <x:v>2646000</x:v>
      </x:c>
      <x:c r="F3858" s="9" t="n">
        <x:v>1058400</x:v>
      </x:c>
    </x:row>
    <x:row r="3859" ht="34" customHeight="1">
      <x:c r="A3859" s="4" t="str">
        <x:v>RS-01950-I2</x:v>
      </x:c>
      <x:c r="B3859" s="4" t="str">
        <x:v>RS-01950</x:v>
      </x:c>
      <x:c r="C3859" s="9" t="n">
        <x:v>2</x:v>
      </x:c>
      <x:c r="D3859" s="8" t="n">
        <x:v>45430</x:v>
      </x:c>
      <x:c r="E3859" s="9" t="n">
        <x:v>2646000</x:v>
      </x:c>
      <x:c r="F3859" s="9" t="n">
        <x:v>0</x:v>
      </x:c>
    </x:row>
    <x:row r="3860" ht="34" customHeight="1">
      <x:c r="A3860" s="4" t="str">
        <x:v>RS-01950-I3</x:v>
      </x:c>
      <x:c r="B3860" s="4" t="str">
        <x:v>RS-01950</x:v>
      </x:c>
      <x:c r="C3860" s="9" t="n">
        <x:v>3</x:v>
      </x:c>
      <x:c r="D3860" s="8" t="n">
        <x:v>45460</x:v>
      </x:c>
      <x:c r="E3860" s="9" t="n">
        <x:v>2646000</x:v>
      </x:c>
      <x:c r="F3860" s="9" t="n">
        <x:v>0</x:v>
      </x:c>
    </x:row>
    <x:row r="3861" ht="34" customHeight="1">
      <x:c r="A3861" s="4" t="str">
        <x:v>RS-01950-I4</x:v>
      </x:c>
      <x:c r="B3861" s="4" t="str">
        <x:v>RS-01950</x:v>
      </x:c>
      <x:c r="C3861" s="9" t="n">
        <x:v>4</x:v>
      </x:c>
      <x:c r="D3861" s="8" t="n">
        <x:v>45490</x:v>
      </x:c>
      <x:c r="E3861" s="9" t="n">
        <x:v>2646000</x:v>
      </x:c>
      <x:c r="F3861" s="9" t="n">
        <x:v>0</x:v>
      </x:c>
    </x:row>
    <x:row r="3862" ht="34" customHeight="1">
      <x:c r="A3862" s="4" t="str">
        <x:v>RS-01952-I1</x:v>
      </x:c>
      <x:c r="B3862" s="4" t="str">
        <x:v>RS-01952</x:v>
      </x:c>
      <x:c r="C3862" s="9" t="n">
        <x:v>1</x:v>
      </x:c>
      <x:c r="D3862" s="8" t="n">
        <x:v>45402</x:v>
      </x:c>
      <x:c r="E3862" s="9" t="n">
        <x:v>1029000</x:v>
      </x:c>
      <x:c r="F3862" s="9" t="n">
        <x:v>1029000</x:v>
      </x:c>
    </x:row>
    <x:row r="3863" ht="34" customHeight="1">
      <x:c r="A3863" s="4" t="str">
        <x:v>RS-01952-I2</x:v>
      </x:c>
      <x:c r="B3863" s="4" t="str">
        <x:v>RS-01952</x:v>
      </x:c>
      <x:c r="C3863" s="9" t="n">
        <x:v>2</x:v>
      </x:c>
      <x:c r="D3863" s="8" t="n">
        <x:v>45432</x:v>
      </x:c>
      <x:c r="E3863" s="9" t="n">
        <x:v>1029000</x:v>
      </x:c>
      <x:c r="F3863" s="9" t="n">
        <x:v>1029000</x:v>
      </x:c>
    </x:row>
    <x:row r="3864" ht="34" customHeight="1">
      <x:c r="A3864" s="4" t="str">
        <x:v>RS-01952-I3</x:v>
      </x:c>
      <x:c r="B3864" s="4" t="str">
        <x:v>RS-01952</x:v>
      </x:c>
      <x:c r="C3864" s="9" t="n">
        <x:v>3</x:v>
      </x:c>
      <x:c r="D3864" s="8" t="n">
        <x:v>45462</x:v>
      </x:c>
      <x:c r="E3864" s="9" t="n">
        <x:v>1029000</x:v>
      </x:c>
      <x:c r="F3864" s="9" t="n">
        <x:v>1029000</x:v>
      </x:c>
    </x:row>
    <x:row r="3865" ht="34" customHeight="1">
      <x:c r="A3865" s="4" t="str">
        <x:v>RS-01952-I4</x:v>
      </x:c>
      <x:c r="B3865" s="4" t="str">
        <x:v>RS-01952</x:v>
      </x:c>
      <x:c r="C3865" s="9" t="n">
        <x:v>4</x:v>
      </x:c>
      <x:c r="D3865" s="8" t="n">
        <x:v>45492</x:v>
      </x:c>
      <x:c r="E3865" s="9" t="n">
        <x:v>1029000</x:v>
      </x:c>
      <x:c r="F3865" s="9" t="n">
        <x:v>1029000</x:v>
      </x:c>
    </x:row>
    <x:row r="3866" ht="34" customHeight="1">
      <x:c r="A3866" s="4" t="str">
        <x:v>RS-01954-I1</x:v>
      </x:c>
      <x:c r="B3866" s="4" t="str">
        <x:v>RS-01954</x:v>
      </x:c>
      <x:c r="C3866" s="9" t="n">
        <x:v>1</x:v>
      </x:c>
      <x:c r="D3866" s="8" t="n">
        <x:v>45404</x:v>
      </x:c>
      <x:c r="E3866" s="9" t="n">
        <x:v>1363000</x:v>
      </x:c>
      <x:c r="F3866" s="9" t="n">
        <x:v>1363000</x:v>
      </x:c>
    </x:row>
    <x:row r="3867" ht="34" customHeight="1">
      <x:c r="A3867" s="4" t="str">
        <x:v>RS-01954-I2</x:v>
      </x:c>
      <x:c r="B3867" s="4" t="str">
        <x:v>RS-01954</x:v>
      </x:c>
      <x:c r="C3867" s="9" t="n">
        <x:v>2</x:v>
      </x:c>
      <x:c r="D3867" s="8" t="n">
        <x:v>45434</x:v>
      </x:c>
      <x:c r="E3867" s="9" t="n">
        <x:v>1363000</x:v>
      </x:c>
      <x:c r="F3867" s="9" t="n">
        <x:v>0</x:v>
      </x:c>
    </x:row>
    <x:row r="3868" ht="34" customHeight="1">
      <x:c r="A3868" s="4" t="str">
        <x:v>RS-01954-I3</x:v>
      </x:c>
      <x:c r="B3868" s="4" t="str">
        <x:v>RS-01954</x:v>
      </x:c>
      <x:c r="C3868" s="9" t="n">
        <x:v>3</x:v>
      </x:c>
      <x:c r="D3868" s="8" t="n">
        <x:v>45464</x:v>
      </x:c>
      <x:c r="E3868" s="9" t="n">
        <x:v>1363000</x:v>
      </x:c>
      <x:c r="F3868" s="9" t="n">
        <x:v>0</x:v>
      </x:c>
    </x:row>
    <x:row r="3869" ht="34" customHeight="1">
      <x:c r="A3869" s="4" t="str">
        <x:v>RS-01954-I4</x:v>
      </x:c>
      <x:c r="B3869" s="4" t="str">
        <x:v>RS-01954</x:v>
      </x:c>
      <x:c r="C3869" s="9" t="n">
        <x:v>4</x:v>
      </x:c>
      <x:c r="D3869" s="8" t="n">
        <x:v>45494</x:v>
      </x:c>
      <x:c r="E3869" s="9" t="n">
        <x:v>1363000</x:v>
      </x:c>
      <x:c r="F3869" s="9" t="n">
        <x:v>0</x:v>
      </x:c>
    </x:row>
    <x:row r="3870" ht="34" customHeight="1">
      <x:c r="A3870" s="4" t="str">
        <x:v>RS-01957-I1</x:v>
      </x:c>
      <x:c r="B3870" s="4" t="str">
        <x:v>RS-01957</x:v>
      </x:c>
      <x:c r="C3870" s="9" t="n">
        <x:v>1</x:v>
      </x:c>
      <x:c r="D3870" s="8" t="n">
        <x:v>45407</x:v>
      </x:c>
      <x:c r="E3870" s="9" t="n">
        <x:v>1579750</x:v>
      </x:c>
      <x:c r="F3870" s="9" t="n">
        <x:v>1579750</x:v>
      </x:c>
    </x:row>
    <x:row r="3871" ht="34" customHeight="1">
      <x:c r="A3871" s="4" t="str">
        <x:v>RS-01957-I2</x:v>
      </x:c>
      <x:c r="B3871" s="4" t="str">
        <x:v>RS-01957</x:v>
      </x:c>
      <x:c r="C3871" s="9" t="n">
        <x:v>2</x:v>
      </x:c>
      <x:c r="D3871" s="8" t="n">
        <x:v>45437</x:v>
      </x:c>
      <x:c r="E3871" s="9" t="n">
        <x:v>1579750</x:v>
      </x:c>
      <x:c r="F3871" s="9" t="n">
        <x:v>1579750</x:v>
      </x:c>
    </x:row>
    <x:row r="3872" ht="34" customHeight="1">
      <x:c r="A3872" s="4" t="str">
        <x:v>RS-01957-I3</x:v>
      </x:c>
      <x:c r="B3872" s="4" t="str">
        <x:v>RS-01957</x:v>
      </x:c>
      <x:c r="C3872" s="9" t="n">
        <x:v>3</x:v>
      </x:c>
      <x:c r="D3872" s="8" t="n">
        <x:v>45467</x:v>
      </x:c>
      <x:c r="E3872" s="9" t="n">
        <x:v>1579750</x:v>
      </x:c>
      <x:c r="F3872" s="9" t="n">
        <x:v>1579750</x:v>
      </x:c>
    </x:row>
    <x:row r="3873" ht="34" customHeight="1">
      <x:c r="A3873" s="4" t="str">
        <x:v>RS-01957-I4</x:v>
      </x:c>
      <x:c r="B3873" s="4" t="str">
        <x:v>RS-01957</x:v>
      </x:c>
      <x:c r="C3873" s="9" t="n">
        <x:v>4</x:v>
      </x:c>
      <x:c r="D3873" s="8" t="n">
        <x:v>45497</x:v>
      </x:c>
      <x:c r="E3873" s="9" t="n">
        <x:v>1579750</x:v>
      </x:c>
      <x:c r="F3873" s="9" t="n">
        <x:v>1579750</x:v>
      </x:c>
    </x:row>
    <x:row r="3874" ht="34" customHeight="1">
      <x:c r="A3874" s="4" t="str">
        <x:v>RS-01958-I1</x:v>
      </x:c>
      <x:c r="B3874" s="4" t="str">
        <x:v>RS-01958</x:v>
      </x:c>
      <x:c r="C3874" s="9" t="n">
        <x:v>1</x:v>
      </x:c>
      <x:c r="D3874" s="8" t="n">
        <x:v>45408</x:v>
      </x:c>
      <x:c r="E3874" s="9" t="n">
        <x:v>3322000</x:v>
      </x:c>
      <x:c r="F3874" s="9" t="n">
        <x:v>3322000</x:v>
      </x:c>
    </x:row>
    <x:row r="3875" ht="34" customHeight="1">
      <x:c r="A3875" s="4" t="str">
        <x:v>RS-01958-I2</x:v>
      </x:c>
      <x:c r="B3875" s="4" t="str">
        <x:v>RS-01958</x:v>
      </x:c>
      <x:c r="C3875" s="9" t="n">
        <x:v>2</x:v>
      </x:c>
      <x:c r="D3875" s="8" t="n">
        <x:v>45438</x:v>
      </x:c>
      <x:c r="E3875" s="9" t="n">
        <x:v>3322000</x:v>
      </x:c>
      <x:c r="F3875" s="9" t="n">
        <x:v>3322000</x:v>
      </x:c>
    </x:row>
    <x:row r="3876" ht="34" customHeight="1">
      <x:c r="A3876" s="4" t="str">
        <x:v>RS-01958-I3</x:v>
      </x:c>
      <x:c r="B3876" s="4" t="str">
        <x:v>RS-01958</x:v>
      </x:c>
      <x:c r="C3876" s="9" t="n">
        <x:v>3</x:v>
      </x:c>
      <x:c r="D3876" s="8" t="n">
        <x:v>45468</x:v>
      </x:c>
      <x:c r="E3876" s="9" t="n">
        <x:v>3322000</x:v>
      </x:c>
      <x:c r="F3876" s="9" t="n">
        <x:v>0</x:v>
      </x:c>
    </x:row>
    <x:row r="3877" ht="34" customHeight="1">
      <x:c r="A3877" s="4" t="str">
        <x:v>RS-01958-I4</x:v>
      </x:c>
      <x:c r="B3877" s="4" t="str">
        <x:v>RS-01958</x:v>
      </x:c>
      <x:c r="C3877" s="9" t="n">
        <x:v>4</x:v>
      </x:c>
      <x:c r="D3877" s="8" t="n">
        <x:v>45498</x:v>
      </x:c>
      <x:c r="E3877" s="9" t="n">
        <x:v>3322000</x:v>
      </x:c>
      <x:c r="F3877" s="9" t="n">
        <x:v>0</x:v>
      </x:c>
    </x:row>
    <x:row r="3878" ht="34" customHeight="1">
      <x:c r="A3878" s="4" t="str">
        <x:v>RS-01959-I1</x:v>
      </x:c>
      <x:c r="B3878" s="4" t="str">
        <x:v>RS-01959</x:v>
      </x:c>
      <x:c r="C3878" s="9" t="n">
        <x:v>1</x:v>
      </x:c>
      <x:c r="D3878" s="8" t="n">
        <x:v>45409</x:v>
      </x:c>
      <x:c r="E3878" s="9" t="n">
        <x:v>2580750</x:v>
      </x:c>
      <x:c r="F3878" s="9" t="n">
        <x:v>2580750</x:v>
      </x:c>
    </x:row>
    <x:row r="3879" ht="34" customHeight="1">
      <x:c r="A3879" s="4" t="str">
        <x:v>RS-01959-I2</x:v>
      </x:c>
      <x:c r="B3879" s="4" t="str">
        <x:v>RS-01959</x:v>
      </x:c>
      <x:c r="C3879" s="9" t="n">
        <x:v>2</x:v>
      </x:c>
      <x:c r="D3879" s="8" t="n">
        <x:v>45439</x:v>
      </x:c>
      <x:c r="E3879" s="9" t="n">
        <x:v>2580750</x:v>
      </x:c>
      <x:c r="F3879" s="9" t="n">
        <x:v>2580750</x:v>
      </x:c>
    </x:row>
    <x:row r="3880" ht="34" customHeight="1">
      <x:c r="A3880" s="4" t="str">
        <x:v>RS-01959-I3</x:v>
      </x:c>
      <x:c r="B3880" s="4" t="str">
        <x:v>RS-01959</x:v>
      </x:c>
      <x:c r="C3880" s="9" t="n">
        <x:v>3</x:v>
      </x:c>
      <x:c r="D3880" s="8" t="n">
        <x:v>45469</x:v>
      </x:c>
      <x:c r="E3880" s="9" t="n">
        <x:v>2580750</x:v>
      </x:c>
      <x:c r="F3880" s="9" t="n">
        <x:v>0</x:v>
      </x:c>
    </x:row>
    <x:row r="3881" ht="34" customHeight="1">
      <x:c r="A3881" s="4" t="str">
        <x:v>RS-01959-I4</x:v>
      </x:c>
      <x:c r="B3881" s="4" t="str">
        <x:v>RS-01959</x:v>
      </x:c>
      <x:c r="C3881" s="9" t="n">
        <x:v>4</x:v>
      </x:c>
      <x:c r="D3881" s="8" t="n">
        <x:v>45499</x:v>
      </x:c>
      <x:c r="E3881" s="9" t="n">
        <x:v>2580750</x:v>
      </x:c>
      <x:c r="F3881" s="9" t="n">
        <x:v>0</x:v>
      </x:c>
    </x:row>
    <x:row r="3882" ht="34" customHeight="1">
      <x:c r="A3882" s="4" t="str">
        <x:v>RS-01960-I1</x:v>
      </x:c>
      <x:c r="B3882" s="4" t="str">
        <x:v>RS-01960</x:v>
      </x:c>
      <x:c r="C3882" s="9" t="n">
        <x:v>1</x:v>
      </x:c>
      <x:c r="D3882" s="8" t="n">
        <x:v>45410</x:v>
      </x:c>
      <x:c r="E3882" s="9" t="n">
        <x:v>2622000</x:v>
      </x:c>
      <x:c r="F3882" s="9" t="n">
        <x:v>1048800</x:v>
      </x:c>
    </x:row>
    <x:row r="3883" ht="34" customHeight="1">
      <x:c r="A3883" s="4" t="str">
        <x:v>RS-01960-I2</x:v>
      </x:c>
      <x:c r="B3883" s="4" t="str">
        <x:v>RS-01960</x:v>
      </x:c>
      <x:c r="C3883" s="9" t="n">
        <x:v>2</x:v>
      </x:c>
      <x:c r="D3883" s="8" t="n">
        <x:v>45440</x:v>
      </x:c>
      <x:c r="E3883" s="9" t="n">
        <x:v>2622000</x:v>
      </x:c>
      <x:c r="F3883" s="9" t="n">
        <x:v>0</x:v>
      </x:c>
    </x:row>
    <x:row r="3884" ht="34" customHeight="1">
      <x:c r="A3884" s="4" t="str">
        <x:v>RS-01960-I3</x:v>
      </x:c>
      <x:c r="B3884" s="4" t="str">
        <x:v>RS-01960</x:v>
      </x:c>
      <x:c r="C3884" s="9" t="n">
        <x:v>3</x:v>
      </x:c>
      <x:c r="D3884" s="8" t="n">
        <x:v>45470</x:v>
      </x:c>
      <x:c r="E3884" s="9" t="n">
        <x:v>2622000</x:v>
      </x:c>
      <x:c r="F3884" s="9" t="n">
        <x:v>0</x:v>
      </x:c>
    </x:row>
    <x:row r="3885" ht="34" customHeight="1">
      <x:c r="A3885" s="4" t="str">
        <x:v>RS-01960-I4</x:v>
      </x:c>
      <x:c r="B3885" s="4" t="str">
        <x:v>RS-01960</x:v>
      </x:c>
      <x:c r="C3885" s="9" t="n">
        <x:v>4</x:v>
      </x:c>
      <x:c r="D3885" s="8" t="n">
        <x:v>45500</x:v>
      </x:c>
      <x:c r="E3885" s="9" t="n">
        <x:v>2622000</x:v>
      </x:c>
      <x:c r="F3885" s="9" t="n">
        <x:v>0</x:v>
      </x:c>
    </x:row>
    <x:row r="3886" ht="34" customHeight="1">
      <x:c r="A3886" s="4" t="str">
        <x:v>RS-01961-I1</x:v>
      </x:c>
      <x:c r="B3886" s="4" t="str">
        <x:v>RS-01961</x:v>
      </x:c>
      <x:c r="C3886" s="9" t="n">
        <x:v>1</x:v>
      </x:c>
      <x:c r="D3886" s="8" t="n">
        <x:v>45383</x:v>
      </x:c>
      <x:c r="E3886" s="9" t="n">
        <x:v>5400000</x:v>
      </x:c>
      <x:c r="F3886" s="9" t="n">
        <x:v>2160000</x:v>
      </x:c>
    </x:row>
    <x:row r="3887" ht="34" customHeight="1">
      <x:c r="A3887" s="4" t="str">
        <x:v>RS-01961-I2</x:v>
      </x:c>
      <x:c r="B3887" s="4" t="str">
        <x:v>RS-01961</x:v>
      </x:c>
      <x:c r="C3887" s="9" t="n">
        <x:v>2</x:v>
      </x:c>
      <x:c r="D3887" s="8" t="n">
        <x:v>45413</x:v>
      </x:c>
      <x:c r="E3887" s="9" t="n">
        <x:v>5400000</x:v>
      </x:c>
      <x:c r="F3887" s="9" t="n">
        <x:v>0</x:v>
      </x:c>
    </x:row>
    <x:row r="3888" ht="34" customHeight="1">
      <x:c r="A3888" s="4" t="str">
        <x:v>RS-01961-I3</x:v>
      </x:c>
      <x:c r="B3888" s="4" t="str">
        <x:v>RS-01961</x:v>
      </x:c>
      <x:c r="C3888" s="9" t="n">
        <x:v>3</x:v>
      </x:c>
      <x:c r="D3888" s="8" t="n">
        <x:v>45443</x:v>
      </x:c>
      <x:c r="E3888" s="9" t="n">
        <x:v>5400000</x:v>
      </x:c>
      <x:c r="F3888" s="9" t="n">
        <x:v>0</x:v>
      </x:c>
    </x:row>
    <x:row r="3889" ht="34" customHeight="1">
      <x:c r="A3889" s="4" t="str">
        <x:v>RS-01961-I4</x:v>
      </x:c>
      <x:c r="B3889" s="4" t="str">
        <x:v>RS-01961</x:v>
      </x:c>
      <x:c r="C3889" s="9" t="n">
        <x:v>4</x:v>
      </x:c>
      <x:c r="D3889" s="8" t="n">
        <x:v>45473</x:v>
      </x:c>
      <x:c r="E3889" s="9" t="n">
        <x:v>5400000</x:v>
      </x:c>
      <x:c r="F3889" s="9" t="n">
        <x:v>0</x:v>
      </x:c>
    </x:row>
    <x:row r="3890" ht="34" customHeight="1">
      <x:c r="A3890" s="4" t="str">
        <x:v>RS-01963-I1</x:v>
      </x:c>
      <x:c r="B3890" s="4" t="str">
        <x:v>RS-01963</x:v>
      </x:c>
      <x:c r="C3890" s="9" t="n">
        <x:v>1</x:v>
      </x:c>
      <x:c r="D3890" s="8" t="n">
        <x:v>45385</x:v>
      </x:c>
      <x:c r="E3890" s="9" t="n">
        <x:v>3102000</x:v>
      </x:c>
      <x:c r="F3890" s="9" t="n">
        <x:v>3102000</x:v>
      </x:c>
    </x:row>
    <x:row r="3891" ht="34" customHeight="1">
      <x:c r="A3891" s="4" t="str">
        <x:v>RS-01963-I2</x:v>
      </x:c>
      <x:c r="B3891" s="4" t="str">
        <x:v>RS-01963</x:v>
      </x:c>
      <x:c r="C3891" s="9" t="n">
        <x:v>2</x:v>
      </x:c>
      <x:c r="D3891" s="8" t="n">
        <x:v>45415</x:v>
      </x:c>
      <x:c r="E3891" s="9" t="n">
        <x:v>3102000</x:v>
      </x:c>
      <x:c r="F3891" s="9" t="n">
        <x:v>3102000</x:v>
      </x:c>
    </x:row>
    <x:row r="3892" ht="34" customHeight="1">
      <x:c r="A3892" s="4" t="str">
        <x:v>RS-01963-I3</x:v>
      </x:c>
      <x:c r="B3892" s="4" t="str">
        <x:v>RS-01963</x:v>
      </x:c>
      <x:c r="C3892" s="9" t="n">
        <x:v>3</x:v>
      </x:c>
      <x:c r="D3892" s="8" t="n">
        <x:v>45445</x:v>
      </x:c>
      <x:c r="E3892" s="9" t="n">
        <x:v>3102000</x:v>
      </x:c>
      <x:c r="F3892" s="9" t="n">
        <x:v>0</x:v>
      </x:c>
    </x:row>
    <x:row r="3893" ht="34" customHeight="1">
      <x:c r="A3893" s="4" t="str">
        <x:v>RS-01963-I4</x:v>
      </x:c>
      <x:c r="B3893" s="4" t="str">
        <x:v>RS-01963</x:v>
      </x:c>
      <x:c r="C3893" s="9" t="n">
        <x:v>4</x:v>
      </x:c>
      <x:c r="D3893" s="8" t="n">
        <x:v>45475</x:v>
      </x:c>
      <x:c r="E3893" s="9" t="n">
        <x:v>3102000</x:v>
      </x:c>
      <x:c r="F3893" s="9" t="n">
        <x:v>0</x:v>
      </x:c>
    </x:row>
    <x:row r="3894" ht="34" customHeight="1">
      <x:c r="A3894" s="4" t="str">
        <x:v>RS-01965-I1</x:v>
      </x:c>
      <x:c r="B3894" s="4" t="str">
        <x:v>RS-01965</x:v>
      </x:c>
      <x:c r="C3894" s="9" t="n">
        <x:v>1</x:v>
      </x:c>
      <x:c r="D3894" s="8" t="n">
        <x:v>45387</x:v>
      </x:c>
      <x:c r="E3894" s="9" t="n">
        <x:v>3750000</x:v>
      </x:c>
      <x:c r="F3894" s="9" t="n">
        <x:v>3750000</x:v>
      </x:c>
    </x:row>
    <x:row r="3895" ht="34" customHeight="1">
      <x:c r="A3895" s="4" t="str">
        <x:v>RS-01965-I2</x:v>
      </x:c>
      <x:c r="B3895" s="4" t="str">
        <x:v>RS-01965</x:v>
      </x:c>
      <x:c r="C3895" s="9" t="n">
        <x:v>2</x:v>
      </x:c>
      <x:c r="D3895" s="8" t="n">
        <x:v>45417</x:v>
      </x:c>
      <x:c r="E3895" s="9" t="n">
        <x:v>3750000</x:v>
      </x:c>
      <x:c r="F3895" s="9" t="n">
        <x:v>0</x:v>
      </x:c>
    </x:row>
    <x:row r="3896" ht="34" customHeight="1">
      <x:c r="A3896" s="4" t="str">
        <x:v>RS-01965-I3</x:v>
      </x:c>
      <x:c r="B3896" s="4" t="str">
        <x:v>RS-01965</x:v>
      </x:c>
      <x:c r="C3896" s="9" t="n">
        <x:v>3</x:v>
      </x:c>
      <x:c r="D3896" s="8" t="n">
        <x:v>45447</x:v>
      </x:c>
      <x:c r="E3896" s="9" t="n">
        <x:v>3750000</x:v>
      </x:c>
      <x:c r="F3896" s="9" t="n">
        <x:v>0</x:v>
      </x:c>
    </x:row>
    <x:row r="3897" ht="34" customHeight="1">
      <x:c r="A3897" s="4" t="str">
        <x:v>RS-01965-I4</x:v>
      </x:c>
      <x:c r="B3897" s="4" t="str">
        <x:v>RS-01965</x:v>
      </x:c>
      <x:c r="C3897" s="9" t="n">
        <x:v>4</x:v>
      </x:c>
      <x:c r="D3897" s="8" t="n">
        <x:v>45477</x:v>
      </x:c>
      <x:c r="E3897" s="9" t="n">
        <x:v>3750000</x:v>
      </x:c>
      <x:c r="F3897" s="9" t="n">
        <x:v>0</x:v>
      </x:c>
    </x:row>
    <x:row r="3898" ht="34" customHeight="1">
      <x:c r="A3898" s="4" t="str">
        <x:v>RS-01966-I1</x:v>
      </x:c>
      <x:c r="B3898" s="4" t="str">
        <x:v>RS-01966</x:v>
      </x:c>
      <x:c r="C3898" s="9" t="n">
        <x:v>1</x:v>
      </x:c>
      <x:c r="D3898" s="8" t="n">
        <x:v>45388</x:v>
      </x:c>
      <x:c r="E3898" s="9" t="n">
        <x:v>5522500</x:v>
      </x:c>
      <x:c r="F3898" s="9" t="n">
        <x:v>5522500</x:v>
      </x:c>
    </x:row>
    <x:row r="3899" ht="34" customHeight="1">
      <x:c r="A3899" s="4" t="str">
        <x:v>RS-01966-I2</x:v>
      </x:c>
      <x:c r="B3899" s="4" t="str">
        <x:v>RS-01966</x:v>
      </x:c>
      <x:c r="C3899" s="9" t="n">
        <x:v>2</x:v>
      </x:c>
      <x:c r="D3899" s="8" t="n">
        <x:v>45418</x:v>
      </x:c>
      <x:c r="E3899" s="9" t="n">
        <x:v>5522500</x:v>
      </x:c>
      <x:c r="F3899" s="9" t="n">
        <x:v>0</x:v>
      </x:c>
    </x:row>
    <x:row r="3900" ht="34" customHeight="1">
      <x:c r="A3900" s="4" t="str">
        <x:v>RS-01966-I3</x:v>
      </x:c>
      <x:c r="B3900" s="4" t="str">
        <x:v>RS-01966</x:v>
      </x:c>
      <x:c r="C3900" s="9" t="n">
        <x:v>3</x:v>
      </x:c>
      <x:c r="D3900" s="8" t="n">
        <x:v>45448</x:v>
      </x:c>
      <x:c r="E3900" s="9" t="n">
        <x:v>5522500</x:v>
      </x:c>
      <x:c r="F3900" s="9" t="n">
        <x:v>0</x:v>
      </x:c>
    </x:row>
    <x:row r="3901" ht="34" customHeight="1">
      <x:c r="A3901" s="4" t="str">
        <x:v>RS-01966-I4</x:v>
      </x:c>
      <x:c r="B3901" s="4" t="str">
        <x:v>RS-01966</x:v>
      </x:c>
      <x:c r="C3901" s="9" t="n">
        <x:v>4</x:v>
      </x:c>
      <x:c r="D3901" s="8" t="n">
        <x:v>45478</x:v>
      </x:c>
      <x:c r="E3901" s="9" t="n">
        <x:v>5522500</x:v>
      </x:c>
      <x:c r="F3901" s="9" t="n">
        <x:v>0</x:v>
      </x:c>
    </x:row>
    <x:row r="3902" ht="34" customHeight="1">
      <x:c r="A3902" s="4" t="str">
        <x:v>RS-01968-I1</x:v>
      </x:c>
      <x:c r="B3902" s="4" t="str">
        <x:v>RS-01968</x:v>
      </x:c>
      <x:c r="C3902" s="9" t="n">
        <x:v>1</x:v>
      </x:c>
      <x:c r="D3902" s="8" t="n">
        <x:v>45390</x:v>
      </x:c>
      <x:c r="E3902" s="9" t="n">
        <x:v>2541250</x:v>
      </x:c>
      <x:c r="F3902" s="9" t="n">
        <x:v>2541250</x:v>
      </x:c>
    </x:row>
    <x:row r="3903" ht="34" customHeight="1">
      <x:c r="A3903" s="4" t="str">
        <x:v>RS-01968-I2</x:v>
      </x:c>
      <x:c r="B3903" s="4" t="str">
        <x:v>RS-01968</x:v>
      </x:c>
      <x:c r="C3903" s="9" t="n">
        <x:v>2</x:v>
      </x:c>
      <x:c r="D3903" s="8" t="n">
        <x:v>45420</x:v>
      </x:c>
      <x:c r="E3903" s="9" t="n">
        <x:v>2541250</x:v>
      </x:c>
      <x:c r="F3903" s="9" t="n">
        <x:v>2541250</x:v>
      </x:c>
    </x:row>
    <x:row r="3904" ht="34" customHeight="1">
      <x:c r="A3904" s="4" t="str">
        <x:v>RS-01968-I3</x:v>
      </x:c>
      <x:c r="B3904" s="4" t="str">
        <x:v>RS-01968</x:v>
      </x:c>
      <x:c r="C3904" s="9" t="n">
        <x:v>3</x:v>
      </x:c>
      <x:c r="D3904" s="8" t="n">
        <x:v>45450</x:v>
      </x:c>
      <x:c r="E3904" s="9" t="n">
        <x:v>2541250</x:v>
      </x:c>
      <x:c r="F3904" s="9" t="n">
        <x:v>0</x:v>
      </x:c>
    </x:row>
    <x:row r="3905" ht="34" customHeight="1">
      <x:c r="A3905" s="4" t="str">
        <x:v>RS-01968-I4</x:v>
      </x:c>
      <x:c r="B3905" s="4" t="str">
        <x:v>RS-01968</x:v>
      </x:c>
      <x:c r="C3905" s="9" t="n">
        <x:v>4</x:v>
      </x:c>
      <x:c r="D3905" s="8" t="n">
        <x:v>45480</x:v>
      </x:c>
      <x:c r="E3905" s="9" t="n">
        <x:v>2541250</x:v>
      </x:c>
      <x:c r="F3905" s="9" t="n">
        <x:v>0</x:v>
      </x:c>
    </x:row>
    <x:row r="3906" ht="34" customHeight="1">
      <x:c r="A3906" s="4" t="str">
        <x:v>RS-01969-I1</x:v>
      </x:c>
      <x:c r="B3906" s="4" t="str">
        <x:v>RS-01969</x:v>
      </x:c>
      <x:c r="C3906" s="9" t="n">
        <x:v>1</x:v>
      </x:c>
      <x:c r="D3906" s="8" t="n">
        <x:v>45391</x:v>
      </x:c>
      <x:c r="E3906" s="9" t="n">
        <x:v>2514500</x:v>
      </x:c>
      <x:c r="F3906" s="9" t="n">
        <x:v>2514500</x:v>
      </x:c>
    </x:row>
    <x:row r="3907" ht="34" customHeight="1">
      <x:c r="A3907" s="4" t="str">
        <x:v>RS-01969-I2</x:v>
      </x:c>
      <x:c r="B3907" s="4" t="str">
        <x:v>RS-01969</x:v>
      </x:c>
      <x:c r="C3907" s="9" t="n">
        <x:v>2</x:v>
      </x:c>
      <x:c r="D3907" s="8" t="n">
        <x:v>45421</x:v>
      </x:c>
      <x:c r="E3907" s="9" t="n">
        <x:v>2514500</x:v>
      </x:c>
      <x:c r="F3907" s="9" t="n">
        <x:v>2514500</x:v>
      </x:c>
    </x:row>
    <x:row r="3908" ht="34" customHeight="1">
      <x:c r="A3908" s="4" t="str">
        <x:v>RS-01969-I3</x:v>
      </x:c>
      <x:c r="B3908" s="4" t="str">
        <x:v>RS-01969</x:v>
      </x:c>
      <x:c r="C3908" s="9" t="n">
        <x:v>3</x:v>
      </x:c>
      <x:c r="D3908" s="8" t="n">
        <x:v>45451</x:v>
      </x:c>
      <x:c r="E3908" s="9" t="n">
        <x:v>2514500</x:v>
      </x:c>
      <x:c r="F3908" s="9" t="n">
        <x:v>2514500</x:v>
      </x:c>
    </x:row>
    <x:row r="3909" ht="34" customHeight="1">
      <x:c r="A3909" s="4" t="str">
        <x:v>RS-01969-I4</x:v>
      </x:c>
      <x:c r="B3909" s="4" t="str">
        <x:v>RS-01969</x:v>
      </x:c>
      <x:c r="C3909" s="9" t="n">
        <x:v>4</x:v>
      </x:c>
      <x:c r="D3909" s="8" t="n">
        <x:v>45481</x:v>
      </x:c>
      <x:c r="E3909" s="9" t="n">
        <x:v>2514500</x:v>
      </x:c>
      <x:c r="F3909" s="9" t="n">
        <x:v>2514500</x:v>
      </x:c>
    </x:row>
    <x:row r="3910" ht="34" customHeight="1">
      <x:c r="A3910" s="4" t="str">
        <x:v>RS-01973-I1</x:v>
      </x:c>
      <x:c r="B3910" s="4" t="str">
        <x:v>RS-01973</x:v>
      </x:c>
      <x:c r="C3910" s="9" t="n">
        <x:v>1</x:v>
      </x:c>
      <x:c r="D3910" s="8" t="n">
        <x:v>45395</x:v>
      </x:c>
      <x:c r="E3910" s="9" t="n">
        <x:v>5352000</x:v>
      </x:c>
      <x:c r="F3910" s="9" t="n">
        <x:v>5352000</x:v>
      </x:c>
    </x:row>
    <x:row r="3911" ht="34" customHeight="1">
      <x:c r="A3911" s="4" t="str">
        <x:v>RS-01973-I2</x:v>
      </x:c>
      <x:c r="B3911" s="4" t="str">
        <x:v>RS-01973</x:v>
      </x:c>
      <x:c r="C3911" s="9" t="n">
        <x:v>2</x:v>
      </x:c>
      <x:c r="D3911" s="8" t="n">
        <x:v>45425</x:v>
      </x:c>
      <x:c r="E3911" s="9" t="n">
        <x:v>5352000</x:v>
      </x:c>
      <x:c r="F3911" s="9" t="n">
        <x:v>0</x:v>
      </x:c>
    </x:row>
    <x:row r="3912" ht="34" customHeight="1">
      <x:c r="A3912" s="4" t="str">
        <x:v>RS-01973-I3</x:v>
      </x:c>
      <x:c r="B3912" s="4" t="str">
        <x:v>RS-01973</x:v>
      </x:c>
      <x:c r="C3912" s="9" t="n">
        <x:v>3</x:v>
      </x:c>
      <x:c r="D3912" s="8" t="n">
        <x:v>45455</x:v>
      </x:c>
      <x:c r="E3912" s="9" t="n">
        <x:v>5352000</x:v>
      </x:c>
      <x:c r="F3912" s="9" t="n">
        <x:v>0</x:v>
      </x:c>
    </x:row>
    <x:row r="3913" ht="34" customHeight="1">
      <x:c r="A3913" s="4" t="str">
        <x:v>RS-01973-I4</x:v>
      </x:c>
      <x:c r="B3913" s="4" t="str">
        <x:v>RS-01973</x:v>
      </x:c>
      <x:c r="C3913" s="9" t="n">
        <x:v>4</x:v>
      </x:c>
      <x:c r="D3913" s="8" t="n">
        <x:v>45485</x:v>
      </x:c>
      <x:c r="E3913" s="9" t="n">
        <x:v>5352000</x:v>
      </x:c>
      <x:c r="F3913" s="9" t="n">
        <x:v>0</x:v>
      </x:c>
    </x:row>
    <x:row r="3914" ht="34" customHeight="1">
      <x:c r="A3914" s="4" t="str">
        <x:v>RS-01976-I1</x:v>
      </x:c>
      <x:c r="B3914" s="4" t="str">
        <x:v>RS-01976</x:v>
      </x:c>
      <x:c r="C3914" s="9" t="n">
        <x:v>1</x:v>
      </x:c>
      <x:c r="D3914" s="8" t="n">
        <x:v>45398</x:v>
      </x:c>
      <x:c r="E3914" s="9" t="n">
        <x:v>3100000</x:v>
      </x:c>
      <x:c r="F3914" s="9" t="n">
        <x:v>1240000</x:v>
      </x:c>
    </x:row>
    <x:row r="3915" ht="34" customHeight="1">
      <x:c r="A3915" s="4" t="str">
        <x:v>RS-01976-I2</x:v>
      </x:c>
      <x:c r="B3915" s="4" t="str">
        <x:v>RS-01976</x:v>
      </x:c>
      <x:c r="C3915" s="9" t="n">
        <x:v>2</x:v>
      </x:c>
      <x:c r="D3915" s="8" t="n">
        <x:v>45428</x:v>
      </x:c>
      <x:c r="E3915" s="9" t="n">
        <x:v>3100000</x:v>
      </x:c>
      <x:c r="F3915" s="9" t="n">
        <x:v>0</x:v>
      </x:c>
    </x:row>
    <x:row r="3916" ht="34" customHeight="1">
      <x:c r="A3916" s="4" t="str">
        <x:v>RS-01976-I3</x:v>
      </x:c>
      <x:c r="B3916" s="4" t="str">
        <x:v>RS-01976</x:v>
      </x:c>
      <x:c r="C3916" s="9" t="n">
        <x:v>3</x:v>
      </x:c>
      <x:c r="D3916" s="8" t="n">
        <x:v>45458</x:v>
      </x:c>
      <x:c r="E3916" s="9" t="n">
        <x:v>3100000</x:v>
      </x:c>
      <x:c r="F3916" s="9" t="n">
        <x:v>0</x:v>
      </x:c>
    </x:row>
    <x:row r="3917" ht="34" customHeight="1">
      <x:c r="A3917" s="4" t="str">
        <x:v>RS-01976-I4</x:v>
      </x:c>
      <x:c r="B3917" s="4" t="str">
        <x:v>RS-01976</x:v>
      </x:c>
      <x:c r="C3917" s="9" t="n">
        <x:v>4</x:v>
      </x:c>
      <x:c r="D3917" s="8" t="n">
        <x:v>45488</x:v>
      </x:c>
      <x:c r="E3917" s="9" t="n">
        <x:v>3100000</x:v>
      </x:c>
      <x:c r="F3917" s="9" t="n">
        <x:v>0</x:v>
      </x:c>
    </x:row>
    <x:row r="3918" ht="34" customHeight="1">
      <x:c r="A3918" s="4" t="str">
        <x:v>RS-01977-I1</x:v>
      </x:c>
      <x:c r="B3918" s="4" t="str">
        <x:v>RS-01977</x:v>
      </x:c>
      <x:c r="C3918" s="9" t="n">
        <x:v>1</x:v>
      </x:c>
      <x:c r="D3918" s="8" t="n">
        <x:v>45399</x:v>
      </x:c>
      <x:c r="E3918" s="9" t="n">
        <x:v>3240000</x:v>
      </x:c>
      <x:c r="F3918" s="9" t="n">
        <x:v>3240000</x:v>
      </x:c>
    </x:row>
    <x:row r="3919" ht="34" customHeight="1">
      <x:c r="A3919" s="4" t="str">
        <x:v>RS-01977-I2</x:v>
      </x:c>
      <x:c r="B3919" s="4" t="str">
        <x:v>RS-01977</x:v>
      </x:c>
      <x:c r="C3919" s="9" t="n">
        <x:v>2</x:v>
      </x:c>
      <x:c r="D3919" s="8" t="n">
        <x:v>45429</x:v>
      </x:c>
      <x:c r="E3919" s="9" t="n">
        <x:v>3240000</x:v>
      </x:c>
      <x:c r="F3919" s="9" t="n">
        <x:v>3240000</x:v>
      </x:c>
    </x:row>
    <x:row r="3920" ht="34" customHeight="1">
      <x:c r="A3920" s="4" t="str">
        <x:v>RS-01977-I3</x:v>
      </x:c>
      <x:c r="B3920" s="4" t="str">
        <x:v>RS-01977</x:v>
      </x:c>
      <x:c r="C3920" s="9" t="n">
        <x:v>3</x:v>
      </x:c>
      <x:c r="D3920" s="8" t="n">
        <x:v>45459</x:v>
      </x:c>
      <x:c r="E3920" s="9" t="n">
        <x:v>3240000</x:v>
      </x:c>
      <x:c r="F3920" s="9" t="n">
        <x:v>0</x:v>
      </x:c>
    </x:row>
    <x:row r="3921" ht="34" customHeight="1">
      <x:c r="A3921" s="4" t="str">
        <x:v>RS-01977-I4</x:v>
      </x:c>
      <x:c r="B3921" s="4" t="str">
        <x:v>RS-01977</x:v>
      </x:c>
      <x:c r="C3921" s="9" t="n">
        <x:v>4</x:v>
      </x:c>
      <x:c r="D3921" s="8" t="n">
        <x:v>45489</x:v>
      </x:c>
      <x:c r="E3921" s="9" t="n">
        <x:v>3240000</x:v>
      </x:c>
      <x:c r="F3921" s="9" t="n">
        <x:v>0</x:v>
      </x:c>
    </x:row>
    <x:row r="3922" ht="34" customHeight="1">
      <x:c r="A3922" s="4" t="str">
        <x:v>RS-01979-I1</x:v>
      </x:c>
      <x:c r="B3922" s="4" t="str">
        <x:v>RS-01979</x:v>
      </x:c>
      <x:c r="C3922" s="9" t="n">
        <x:v>1</x:v>
      </x:c>
      <x:c r="D3922" s="8" t="n">
        <x:v>45401</x:v>
      </x:c>
      <x:c r="E3922" s="9" t="n">
        <x:v>3728750</x:v>
      </x:c>
      <x:c r="F3922" s="9" t="n">
        <x:v>3728750</x:v>
      </x:c>
    </x:row>
    <x:row r="3923" ht="34" customHeight="1">
      <x:c r="A3923" s="4" t="str">
        <x:v>RS-01979-I2</x:v>
      </x:c>
      <x:c r="B3923" s="4" t="str">
        <x:v>RS-01979</x:v>
      </x:c>
      <x:c r="C3923" s="9" t="n">
        <x:v>2</x:v>
      </x:c>
      <x:c r="D3923" s="8" t="n">
        <x:v>45431</x:v>
      </x:c>
      <x:c r="E3923" s="9" t="n">
        <x:v>3728750</x:v>
      </x:c>
      <x:c r="F3923" s="9" t="n">
        <x:v>3728750</x:v>
      </x:c>
    </x:row>
    <x:row r="3924" ht="34" customHeight="1">
      <x:c r="A3924" s="4" t="str">
        <x:v>RS-01979-I3</x:v>
      </x:c>
      <x:c r="B3924" s="4" t="str">
        <x:v>RS-01979</x:v>
      </x:c>
      <x:c r="C3924" s="9" t="n">
        <x:v>3</x:v>
      </x:c>
      <x:c r="D3924" s="8" t="n">
        <x:v>45461</x:v>
      </x:c>
      <x:c r="E3924" s="9" t="n">
        <x:v>3728750</x:v>
      </x:c>
      <x:c r="F3924" s="9" t="n">
        <x:v>0</x:v>
      </x:c>
    </x:row>
    <x:row r="3925" ht="34" customHeight="1">
      <x:c r="A3925" s="4" t="str">
        <x:v>RS-01979-I4</x:v>
      </x:c>
      <x:c r="B3925" s="4" t="str">
        <x:v>RS-01979</x:v>
      </x:c>
      <x:c r="C3925" s="9" t="n">
        <x:v>4</x:v>
      </x:c>
      <x:c r="D3925" s="8" t="n">
        <x:v>45491</x:v>
      </x:c>
      <x:c r="E3925" s="9" t="n">
        <x:v>3728750</x:v>
      </x:c>
      <x:c r="F3925" s="9" t="n">
        <x:v>0</x:v>
      </x:c>
    </x:row>
    <x:row r="3926" ht="34" customHeight="1">
      <x:c r="A3926" s="4" t="str">
        <x:v>RS-01981-I1</x:v>
      </x:c>
      <x:c r="B3926" s="4" t="str">
        <x:v>RS-01981</x:v>
      </x:c>
      <x:c r="C3926" s="9" t="n">
        <x:v>1</x:v>
      </x:c>
      <x:c r="D3926" s="8" t="n">
        <x:v>45403</x:v>
      </x:c>
      <x:c r="E3926" s="9" t="n">
        <x:v>3322000</x:v>
      </x:c>
      <x:c r="F3926" s="9" t="n">
        <x:v>3322000</x:v>
      </x:c>
    </x:row>
    <x:row r="3927" ht="34" customHeight="1">
      <x:c r="A3927" s="4" t="str">
        <x:v>RS-01981-I2</x:v>
      </x:c>
      <x:c r="B3927" s="4" t="str">
        <x:v>RS-01981</x:v>
      </x:c>
      <x:c r="C3927" s="9" t="n">
        <x:v>2</x:v>
      </x:c>
      <x:c r="D3927" s="8" t="n">
        <x:v>45433</x:v>
      </x:c>
      <x:c r="E3927" s="9" t="n">
        <x:v>3322000</x:v>
      </x:c>
      <x:c r="F3927" s="9" t="n">
        <x:v>3322000</x:v>
      </x:c>
    </x:row>
    <x:row r="3928" ht="34" customHeight="1">
      <x:c r="A3928" s="4" t="str">
        <x:v>RS-01981-I3</x:v>
      </x:c>
      <x:c r="B3928" s="4" t="str">
        <x:v>RS-01981</x:v>
      </x:c>
      <x:c r="C3928" s="9" t="n">
        <x:v>3</x:v>
      </x:c>
      <x:c r="D3928" s="8" t="n">
        <x:v>45463</x:v>
      </x:c>
      <x:c r="E3928" s="9" t="n">
        <x:v>3322000</x:v>
      </x:c>
      <x:c r="F3928" s="9" t="n">
        <x:v>0</x:v>
      </x:c>
    </x:row>
    <x:row r="3929" ht="34" customHeight="1">
      <x:c r="A3929" s="4" t="str">
        <x:v>RS-01981-I4</x:v>
      </x:c>
      <x:c r="B3929" s="4" t="str">
        <x:v>RS-01981</x:v>
      </x:c>
      <x:c r="C3929" s="9" t="n">
        <x:v>4</x:v>
      </x:c>
      <x:c r="D3929" s="8" t="n">
        <x:v>45493</x:v>
      </x:c>
      <x:c r="E3929" s="9" t="n">
        <x:v>3322000</x:v>
      </x:c>
      <x:c r="F3929" s="9" t="n">
        <x:v>0</x:v>
      </x:c>
    </x:row>
    <x:row r="3930" ht="34" customHeight="1">
      <x:c r="A3930" s="4" t="str">
        <x:v>RS-01983-I1</x:v>
      </x:c>
      <x:c r="B3930" s="4" t="str">
        <x:v>RS-01983</x:v>
      </x:c>
      <x:c r="C3930" s="9" t="n">
        <x:v>1</x:v>
      </x:c>
      <x:c r="D3930" s="8" t="n">
        <x:v>45405</x:v>
      </x:c>
      <x:c r="E3930" s="9" t="n">
        <x:v>2585000</x:v>
      </x:c>
      <x:c r="F3930" s="9" t="n">
        <x:v>1034000</x:v>
      </x:c>
    </x:row>
    <x:row r="3931" ht="34" customHeight="1">
      <x:c r="A3931" s="4" t="str">
        <x:v>RS-01983-I2</x:v>
      </x:c>
      <x:c r="B3931" s="4" t="str">
        <x:v>RS-01983</x:v>
      </x:c>
      <x:c r="C3931" s="9" t="n">
        <x:v>2</x:v>
      </x:c>
      <x:c r="D3931" s="8" t="n">
        <x:v>45435</x:v>
      </x:c>
      <x:c r="E3931" s="9" t="n">
        <x:v>2585000</x:v>
      </x:c>
      <x:c r="F3931" s="9" t="n">
        <x:v>0</x:v>
      </x:c>
    </x:row>
    <x:row r="3932" ht="34" customHeight="1">
      <x:c r="A3932" s="4" t="str">
        <x:v>RS-01983-I3</x:v>
      </x:c>
      <x:c r="B3932" s="4" t="str">
        <x:v>RS-01983</x:v>
      </x:c>
      <x:c r="C3932" s="9" t="n">
        <x:v>3</x:v>
      </x:c>
      <x:c r="D3932" s="8" t="n">
        <x:v>45465</x:v>
      </x:c>
      <x:c r="E3932" s="9" t="n">
        <x:v>2585000</x:v>
      </x:c>
      <x:c r="F3932" s="9" t="n">
        <x:v>0</x:v>
      </x:c>
    </x:row>
    <x:row r="3933" ht="34" customHeight="1">
      <x:c r="A3933" s="4" t="str">
        <x:v>RS-01983-I4</x:v>
      </x:c>
      <x:c r="B3933" s="4" t="str">
        <x:v>RS-01983</x:v>
      </x:c>
      <x:c r="C3933" s="9" t="n">
        <x:v>4</x:v>
      </x:c>
      <x:c r="D3933" s="8" t="n">
        <x:v>45495</x:v>
      </x:c>
      <x:c r="E3933" s="9" t="n">
        <x:v>2585000</x:v>
      </x:c>
      <x:c r="F3933" s="9" t="n">
        <x:v>0</x:v>
      </x:c>
    </x:row>
    <x:row r="3934" ht="34" customHeight="1">
      <x:c r="A3934" s="4" t="str">
        <x:v>RS-01984-I1</x:v>
      </x:c>
      <x:c r="B3934" s="4" t="str">
        <x:v>RS-01984</x:v>
      </x:c>
      <x:c r="C3934" s="9" t="n">
        <x:v>1</x:v>
      </x:c>
      <x:c r="D3934" s="8" t="n">
        <x:v>45406</x:v>
      </x:c>
      <x:c r="E3934" s="9" t="n">
        <x:v>1147500</x:v>
      </x:c>
      <x:c r="F3934" s="9" t="n">
        <x:v>459000</x:v>
      </x:c>
    </x:row>
    <x:row r="3935" ht="34" customHeight="1">
      <x:c r="A3935" s="4" t="str">
        <x:v>RS-01984-I2</x:v>
      </x:c>
      <x:c r="B3935" s="4" t="str">
        <x:v>RS-01984</x:v>
      </x:c>
      <x:c r="C3935" s="9" t="n">
        <x:v>2</x:v>
      </x:c>
      <x:c r="D3935" s="8" t="n">
        <x:v>45436</x:v>
      </x:c>
      <x:c r="E3935" s="9" t="n">
        <x:v>1147500</x:v>
      </x:c>
      <x:c r="F3935" s="9" t="n">
        <x:v>0</x:v>
      </x:c>
    </x:row>
    <x:row r="3936" ht="34" customHeight="1">
      <x:c r="A3936" s="4" t="str">
        <x:v>RS-01984-I3</x:v>
      </x:c>
      <x:c r="B3936" s="4" t="str">
        <x:v>RS-01984</x:v>
      </x:c>
      <x:c r="C3936" s="9" t="n">
        <x:v>3</x:v>
      </x:c>
      <x:c r="D3936" s="8" t="n">
        <x:v>45466</x:v>
      </x:c>
      <x:c r="E3936" s="9" t="n">
        <x:v>1147500</x:v>
      </x:c>
      <x:c r="F3936" s="9" t="n">
        <x:v>0</x:v>
      </x:c>
    </x:row>
    <x:row r="3937" ht="34" customHeight="1">
      <x:c r="A3937" s="4" t="str">
        <x:v>RS-01984-I4</x:v>
      </x:c>
      <x:c r="B3937" s="4" t="str">
        <x:v>RS-01984</x:v>
      </x:c>
      <x:c r="C3937" s="9" t="n">
        <x:v>4</x:v>
      </x:c>
      <x:c r="D3937" s="8" t="n">
        <x:v>45496</x:v>
      </x:c>
      <x:c r="E3937" s="9" t="n">
        <x:v>1147500</x:v>
      </x:c>
      <x:c r="F3937" s="9" t="n">
        <x:v>0</x:v>
      </x:c>
    </x:row>
    <x:row r="3938" ht="34" customHeight="1">
      <x:c r="A3938" s="4" t="str">
        <x:v>RS-01987-I1</x:v>
      </x:c>
      <x:c r="B3938" s="4" t="str">
        <x:v>RS-01987</x:v>
      </x:c>
      <x:c r="C3938" s="9" t="n">
        <x:v>1</x:v>
      </x:c>
      <x:c r="D3938" s="8" t="n">
        <x:v>45409</x:v>
      </x:c>
      <x:c r="E3938" s="9" t="n">
        <x:v>2182500</x:v>
      </x:c>
      <x:c r="F3938" s="9" t="n">
        <x:v>2182500</x:v>
      </x:c>
    </x:row>
    <x:row r="3939" ht="34" customHeight="1">
      <x:c r="A3939" s="4" t="str">
        <x:v>RS-01987-I2</x:v>
      </x:c>
      <x:c r="B3939" s="4" t="str">
        <x:v>RS-01987</x:v>
      </x:c>
      <x:c r="C3939" s="9" t="n">
        <x:v>2</x:v>
      </x:c>
      <x:c r="D3939" s="8" t="n">
        <x:v>45439</x:v>
      </x:c>
      <x:c r="E3939" s="9" t="n">
        <x:v>2182500</x:v>
      </x:c>
      <x:c r="F3939" s="9" t="n">
        <x:v>2182500</x:v>
      </x:c>
    </x:row>
    <x:row r="3940" ht="34" customHeight="1">
      <x:c r="A3940" s="4" t="str">
        <x:v>RS-01987-I3</x:v>
      </x:c>
      <x:c r="B3940" s="4" t="str">
        <x:v>RS-01987</x:v>
      </x:c>
      <x:c r="C3940" s="9" t="n">
        <x:v>3</x:v>
      </x:c>
      <x:c r="D3940" s="8" t="n">
        <x:v>45469</x:v>
      </x:c>
      <x:c r="E3940" s="9" t="n">
        <x:v>2182500</x:v>
      </x:c>
      <x:c r="F3940" s="9" t="n">
        <x:v>2182500</x:v>
      </x:c>
    </x:row>
    <x:row r="3941" ht="34" customHeight="1">
      <x:c r="A3941" s="4" t="str">
        <x:v>RS-01987-I4</x:v>
      </x:c>
      <x:c r="B3941" s="4" t="str">
        <x:v>RS-01987</x:v>
      </x:c>
      <x:c r="C3941" s="9" t="n">
        <x:v>4</x:v>
      </x:c>
      <x:c r="D3941" s="8" t="n">
        <x:v>45499</x:v>
      </x:c>
      <x:c r="E3941" s="9" t="n">
        <x:v>2182500</x:v>
      </x:c>
      <x:c r="F3941" s="9" t="n">
        <x:v>2182500</x:v>
      </x:c>
    </x:row>
    <x:row r="3942" ht="34" customHeight="1">
      <x:c r="A3942" s="4" t="str">
        <x:v>RS-01989-I1</x:v>
      </x:c>
      <x:c r="B3942" s="4" t="str">
        <x:v>RS-01989</x:v>
      </x:c>
      <x:c r="C3942" s="9" t="n">
        <x:v>1</x:v>
      </x:c>
      <x:c r="D3942" s="8" t="n">
        <x:v>45383</x:v>
      </x:c>
      <x:c r="E3942" s="9" t="n">
        <x:v>4595500</x:v>
      </x:c>
      <x:c r="F3942" s="9" t="n">
        <x:v>4595500</x:v>
      </x:c>
    </x:row>
    <x:row r="3943" ht="34" customHeight="1">
      <x:c r="A3943" s="4" t="str">
        <x:v>RS-01989-I2</x:v>
      </x:c>
      <x:c r="B3943" s="4" t="str">
        <x:v>RS-01989</x:v>
      </x:c>
      <x:c r="C3943" s="9" t="n">
        <x:v>2</x:v>
      </x:c>
      <x:c r="D3943" s="8" t="n">
        <x:v>45413</x:v>
      </x:c>
      <x:c r="E3943" s="9" t="n">
        <x:v>4595500</x:v>
      </x:c>
      <x:c r="F3943" s="9" t="n">
        <x:v>0</x:v>
      </x:c>
    </x:row>
    <x:row r="3944" ht="34" customHeight="1">
      <x:c r="A3944" s="4" t="str">
        <x:v>RS-01989-I3</x:v>
      </x:c>
      <x:c r="B3944" s="4" t="str">
        <x:v>RS-01989</x:v>
      </x:c>
      <x:c r="C3944" s="9" t="n">
        <x:v>3</x:v>
      </x:c>
      <x:c r="D3944" s="8" t="n">
        <x:v>45443</x:v>
      </x:c>
      <x:c r="E3944" s="9" t="n">
        <x:v>4595500</x:v>
      </x:c>
      <x:c r="F3944" s="9" t="n">
        <x:v>0</x:v>
      </x:c>
    </x:row>
    <x:row r="3945" ht="34" customHeight="1">
      <x:c r="A3945" s="4" t="str">
        <x:v>RS-01989-I4</x:v>
      </x:c>
      <x:c r="B3945" s="4" t="str">
        <x:v>RS-01989</x:v>
      </x:c>
      <x:c r="C3945" s="9" t="n">
        <x:v>4</x:v>
      </x:c>
      <x:c r="D3945" s="8" t="n">
        <x:v>45473</x:v>
      </x:c>
      <x:c r="E3945" s="9" t="n">
        <x:v>4595500</x:v>
      </x:c>
      <x:c r="F3945" s="9" t="n">
        <x:v>0</x:v>
      </x:c>
    </x:row>
    <x:row r="3946" ht="34" customHeight="1">
      <x:c r="A3946" s="4" t="str">
        <x:v>RS-01990-I1</x:v>
      </x:c>
      <x:c r="B3946" s="4" t="str">
        <x:v>RS-01990</x:v>
      </x:c>
      <x:c r="C3946" s="9" t="n">
        <x:v>1</x:v>
      </x:c>
      <x:c r="D3946" s="8" t="n">
        <x:v>45384</x:v>
      </x:c>
      <x:c r="E3946" s="9" t="n">
        <x:v>2730000</x:v>
      </x:c>
      <x:c r="F3946" s="9" t="n">
        <x:v>2730000</x:v>
      </x:c>
    </x:row>
    <x:row r="3947" ht="34" customHeight="1">
      <x:c r="A3947" s="4" t="str">
        <x:v>RS-01990-I2</x:v>
      </x:c>
      <x:c r="B3947" s="4" t="str">
        <x:v>RS-01990</x:v>
      </x:c>
      <x:c r="C3947" s="9" t="n">
        <x:v>2</x:v>
      </x:c>
      <x:c r="D3947" s="8" t="n">
        <x:v>45414</x:v>
      </x:c>
      <x:c r="E3947" s="9" t="n">
        <x:v>2730000</x:v>
      </x:c>
      <x:c r="F3947" s="9" t="n">
        <x:v>2730000</x:v>
      </x:c>
    </x:row>
    <x:row r="3948" ht="34" customHeight="1">
      <x:c r="A3948" s="4" t="str">
        <x:v>RS-01990-I3</x:v>
      </x:c>
      <x:c r="B3948" s="4" t="str">
        <x:v>RS-01990</x:v>
      </x:c>
      <x:c r="C3948" s="9" t="n">
        <x:v>3</x:v>
      </x:c>
      <x:c r="D3948" s="8" t="n">
        <x:v>45444</x:v>
      </x:c>
      <x:c r="E3948" s="9" t="n">
        <x:v>2730000</x:v>
      </x:c>
      <x:c r="F3948" s="9" t="n">
        <x:v>2730000</x:v>
      </x:c>
    </x:row>
    <x:row r="3949" ht="34" customHeight="1">
      <x:c r="A3949" s="4" t="str">
        <x:v>RS-01990-I4</x:v>
      </x:c>
      <x:c r="B3949" s="4" t="str">
        <x:v>RS-01990</x:v>
      </x:c>
      <x:c r="C3949" s="9" t="n">
        <x:v>4</x:v>
      </x:c>
      <x:c r="D3949" s="8" t="n">
        <x:v>45474</x:v>
      </x:c>
      <x:c r="E3949" s="9" t="n">
        <x:v>2730000</x:v>
      </x:c>
      <x:c r="F3949" s="9" t="n">
        <x:v>2730000</x:v>
      </x:c>
    </x:row>
    <x:row r="3950" ht="34" customHeight="1">
      <x:c r="A3950" s="4" t="str">
        <x:v>RS-01993-I1</x:v>
      </x:c>
      <x:c r="B3950" s="4" t="str">
        <x:v>RS-01993</x:v>
      </x:c>
      <x:c r="C3950" s="9" t="n">
        <x:v>1</x:v>
      </x:c>
      <x:c r="D3950" s="8" t="n">
        <x:v>45387</x:v>
      </x:c>
      <x:c r="E3950" s="9" t="n">
        <x:v>1833000</x:v>
      </x:c>
      <x:c r="F3950" s="9" t="n">
        <x:v>1833000</x:v>
      </x:c>
    </x:row>
    <x:row r="3951" ht="34" customHeight="1">
      <x:c r="A3951" s="4" t="str">
        <x:v>RS-01993-I2</x:v>
      </x:c>
      <x:c r="B3951" s="4" t="str">
        <x:v>RS-01993</x:v>
      </x:c>
      <x:c r="C3951" s="9" t="n">
        <x:v>2</x:v>
      </x:c>
      <x:c r="D3951" s="8" t="n">
        <x:v>45417</x:v>
      </x:c>
      <x:c r="E3951" s="9" t="n">
        <x:v>1833000</x:v>
      </x:c>
      <x:c r="F3951" s="9" t="n">
        <x:v>1833000</x:v>
      </x:c>
    </x:row>
    <x:row r="3952" ht="34" customHeight="1">
      <x:c r="A3952" s="4" t="str">
        <x:v>RS-01993-I3</x:v>
      </x:c>
      <x:c r="B3952" s="4" t="str">
        <x:v>RS-01993</x:v>
      </x:c>
      <x:c r="C3952" s="9" t="n">
        <x:v>3</x:v>
      </x:c>
      <x:c r="D3952" s="8" t="n">
        <x:v>45447</x:v>
      </x:c>
      <x:c r="E3952" s="9" t="n">
        <x:v>1833000</x:v>
      </x:c>
      <x:c r="F3952" s="9" t="n">
        <x:v>1833000</x:v>
      </x:c>
    </x:row>
    <x:row r="3953" ht="34" customHeight="1">
      <x:c r="A3953" s="4" t="str">
        <x:v>RS-01993-I4</x:v>
      </x:c>
      <x:c r="B3953" s="4" t="str">
        <x:v>RS-01993</x:v>
      </x:c>
      <x:c r="C3953" s="9" t="n">
        <x:v>4</x:v>
      </x:c>
      <x:c r="D3953" s="8" t="n">
        <x:v>45477</x:v>
      </x:c>
      <x:c r="E3953" s="9" t="n">
        <x:v>1833000</x:v>
      </x:c>
      <x:c r="F3953" s="9" t="n">
        <x:v>1833000</x:v>
      </x:c>
    </x:row>
    <x:row r="3954" ht="34" customHeight="1">
      <x:c r="A3954" s="4" t="str">
        <x:v>RS-01995-I1</x:v>
      </x:c>
      <x:c r="B3954" s="4" t="str">
        <x:v>RS-01995</x:v>
      </x:c>
      <x:c r="C3954" s="9" t="n">
        <x:v>1</x:v>
      </x:c>
      <x:c r="D3954" s="8" t="n">
        <x:v>45389</x:v>
      </x:c>
      <x:c r="E3954" s="9" t="n">
        <x:v>3298000</x:v>
      </x:c>
      <x:c r="F3954" s="9" t="n">
        <x:v>3298000</x:v>
      </x:c>
    </x:row>
    <x:row r="3955" ht="34" customHeight="1">
      <x:c r="A3955" s="4" t="str">
        <x:v>RS-01995-I2</x:v>
      </x:c>
      <x:c r="B3955" s="4" t="str">
        <x:v>RS-01995</x:v>
      </x:c>
      <x:c r="C3955" s="9" t="n">
        <x:v>2</x:v>
      </x:c>
      <x:c r="D3955" s="8" t="n">
        <x:v>45419</x:v>
      </x:c>
      <x:c r="E3955" s="9" t="n">
        <x:v>3298000</x:v>
      </x:c>
      <x:c r="F3955" s="9" t="n">
        <x:v>0</x:v>
      </x:c>
    </x:row>
    <x:row r="3956" ht="34" customHeight="1">
      <x:c r="A3956" s="4" t="str">
        <x:v>RS-01995-I3</x:v>
      </x:c>
      <x:c r="B3956" s="4" t="str">
        <x:v>RS-01995</x:v>
      </x:c>
      <x:c r="C3956" s="9" t="n">
        <x:v>3</x:v>
      </x:c>
      <x:c r="D3956" s="8" t="n">
        <x:v>45449</x:v>
      </x:c>
      <x:c r="E3956" s="9" t="n">
        <x:v>3298000</x:v>
      </x:c>
      <x:c r="F3956" s="9" t="n">
        <x:v>0</x:v>
      </x:c>
    </x:row>
    <x:row r="3957" ht="34" customHeight="1">
      <x:c r="A3957" s="4" t="str">
        <x:v>RS-01995-I4</x:v>
      </x:c>
      <x:c r="B3957" s="4" t="str">
        <x:v>RS-01995</x:v>
      </x:c>
      <x:c r="C3957" s="9" t="n">
        <x:v>4</x:v>
      </x:c>
      <x:c r="D3957" s="8" t="n">
        <x:v>45479</x:v>
      </x:c>
      <x:c r="E3957" s="9" t="n">
        <x:v>3298000</x:v>
      </x:c>
      <x:c r="F3957" s="9" t="n">
        <x:v>0</x:v>
      </x:c>
    </x:row>
    <x:row r="3958" ht="34" customHeight="1">
      <x:c r="A3958" s="4" t="str">
        <x:v>RS-01998-I1</x:v>
      </x:c>
      <x:c r="B3958" s="4" t="str">
        <x:v>RS-01998</x:v>
      </x:c>
      <x:c r="C3958" s="9" t="n">
        <x:v>1</x:v>
      </x:c>
      <x:c r="D3958" s="8" t="n">
        <x:v>45392</x:v>
      </x:c>
      <x:c r="E3958" s="9" t="n">
        <x:v>2205000</x:v>
      </x:c>
      <x:c r="F3958" s="9" t="n">
        <x:v>882000</x:v>
      </x:c>
    </x:row>
    <x:row r="3959" ht="34" customHeight="1">
      <x:c r="A3959" s="4" t="str">
        <x:v>RS-01998-I2</x:v>
      </x:c>
      <x:c r="B3959" s="4" t="str">
        <x:v>RS-01998</x:v>
      </x:c>
      <x:c r="C3959" s="9" t="n">
        <x:v>2</x:v>
      </x:c>
      <x:c r="D3959" s="8" t="n">
        <x:v>45422</x:v>
      </x:c>
      <x:c r="E3959" s="9" t="n">
        <x:v>2205000</x:v>
      </x:c>
      <x:c r="F3959" s="9" t="n">
        <x:v>0</x:v>
      </x:c>
    </x:row>
    <x:row r="3960" ht="34" customHeight="1">
      <x:c r="A3960" s="4" t="str">
        <x:v>RS-01998-I3</x:v>
      </x:c>
      <x:c r="B3960" s="4" t="str">
        <x:v>RS-01998</x:v>
      </x:c>
      <x:c r="C3960" s="9" t="n">
        <x:v>3</x:v>
      </x:c>
      <x:c r="D3960" s="8" t="n">
        <x:v>45452</x:v>
      </x:c>
      <x:c r="E3960" s="9" t="n">
        <x:v>2205000</x:v>
      </x:c>
      <x:c r="F3960" s="9" t="n">
        <x:v>0</x:v>
      </x:c>
    </x:row>
    <x:row r="3961" ht="34" customHeight="1">
      <x:c r="A3961" s="4" t="str">
        <x:v>RS-01998-I4</x:v>
      </x:c>
      <x:c r="B3961" s="4" t="str">
        <x:v>RS-01998</x:v>
      </x:c>
      <x:c r="C3961" s="9" t="n">
        <x:v>4</x:v>
      </x:c>
      <x:c r="D3961" s="8" t="n">
        <x:v>45482</x:v>
      </x:c>
      <x:c r="E3961" s="9" t="n">
        <x:v>2205000</x:v>
      </x:c>
      <x:c r="F3961" s="9" t="n">
        <x:v>0</x:v>
      </x:c>
    </x:row>
    <x:row r="3962" ht="34" customHeight="1">
      <x:c r="A3962" s="4" t="str">
        <x:v>RS-01999-I1</x:v>
      </x:c>
      <x:c r="B3962" s="4" t="str">
        <x:v>RS-01999</x:v>
      </x:c>
      <x:c r="C3962" s="9" t="n">
        <x:v>1</x:v>
      </x:c>
      <x:c r="D3962" s="8" t="n">
        <x:v>45393</x:v>
      </x:c>
      <x:c r="E3962" s="9" t="n">
        <x:v>1309500</x:v>
      </x:c>
      <x:c r="F3962" s="9" t="n">
        <x:v>1309500</x:v>
      </x:c>
    </x:row>
    <x:row r="3963" ht="34" customHeight="1">
      <x:c r="A3963" s="4" t="str">
        <x:v>RS-01999-I2</x:v>
      </x:c>
      <x:c r="B3963" s="4" t="str">
        <x:v>RS-01999</x:v>
      </x:c>
      <x:c r="C3963" s="9" t="n">
        <x:v>2</x:v>
      </x:c>
      <x:c r="D3963" s="8" t="n">
        <x:v>45423</x:v>
      </x:c>
      <x:c r="E3963" s="9" t="n">
        <x:v>1309500</x:v>
      </x:c>
      <x:c r="F3963" s="9" t="n">
        <x:v>0</x:v>
      </x:c>
    </x:row>
    <x:row r="3964" ht="34" customHeight="1">
      <x:c r="A3964" s="4" t="str">
        <x:v>RS-01999-I3</x:v>
      </x:c>
      <x:c r="B3964" s="4" t="str">
        <x:v>RS-01999</x:v>
      </x:c>
      <x:c r="C3964" s="9" t="n">
        <x:v>3</x:v>
      </x:c>
      <x:c r="D3964" s="8" t="n">
        <x:v>45453</x:v>
      </x:c>
      <x:c r="E3964" s="9" t="n">
        <x:v>1309500</x:v>
      </x:c>
      <x:c r="F3964" s="9" t="n">
        <x:v>0</x:v>
      </x:c>
    </x:row>
    <x:row r="3965" ht="34" customHeight="1">
      <x:c r="A3965" s="4" t="str">
        <x:v>RS-01999-I4</x:v>
      </x:c>
      <x:c r="B3965" s="4" t="str">
        <x:v>RS-01999</x:v>
      </x:c>
      <x:c r="C3965" s="9" t="n">
        <x:v>4</x:v>
      </x:c>
      <x:c r="D3965" s="8" t="n">
        <x:v>45483</x:v>
      </x:c>
      <x:c r="E3965" s="9" t="n">
        <x:v>1309500</x:v>
      </x:c>
      <x:c r="F3965" s="9" t="n">
        <x:v>0</x:v>
      </x:c>
    </x:row>
    <x:row r="3966" ht="34" customHeight="1">
      <x:c r="A3966" s="4" t="str">
        <x:v>RS-02002-I1</x:v>
      </x:c>
      <x:c r="B3966" s="4" t="str">
        <x:v>RS-02002</x:v>
      </x:c>
      <x:c r="C3966" s="9" t="n">
        <x:v>1</x:v>
      </x:c>
      <x:c r="D3966" s="8" t="n">
        <x:v>45426</x:v>
      </x:c>
      <x:c r="E3966" s="9" t="n">
        <x:v>1363000</x:v>
      </x:c>
      <x:c r="F3966" s="9" t="n">
        <x:v>1363000</x:v>
      </x:c>
    </x:row>
    <x:row r="3967" ht="34" customHeight="1">
      <x:c r="A3967" s="4" t="str">
        <x:v>RS-02002-I2</x:v>
      </x:c>
      <x:c r="B3967" s="4" t="str">
        <x:v>RS-02002</x:v>
      </x:c>
      <x:c r="C3967" s="9" t="n">
        <x:v>2</x:v>
      </x:c>
      <x:c r="D3967" s="8" t="n">
        <x:v>45456</x:v>
      </x:c>
      <x:c r="E3967" s="9" t="n">
        <x:v>1363000</x:v>
      </x:c>
      <x:c r="F3967" s="9" t="n">
        <x:v>0</x:v>
      </x:c>
    </x:row>
    <x:row r="3968" ht="34" customHeight="1">
      <x:c r="A3968" s="4" t="str">
        <x:v>RS-02002-I3</x:v>
      </x:c>
      <x:c r="B3968" s="4" t="str">
        <x:v>RS-02002</x:v>
      </x:c>
      <x:c r="C3968" s="9" t="n">
        <x:v>3</x:v>
      </x:c>
      <x:c r="D3968" s="8" t="n">
        <x:v>45486</x:v>
      </x:c>
      <x:c r="E3968" s="9" t="n">
        <x:v>1363000</x:v>
      </x:c>
      <x:c r="F3968" s="9" t="n">
        <x:v>0</x:v>
      </x:c>
    </x:row>
    <x:row r="3969" ht="34" customHeight="1">
      <x:c r="A3969" s="4" t="str">
        <x:v>RS-02002-I4</x:v>
      </x:c>
      <x:c r="B3969" s="4" t="str">
        <x:v>RS-02002</x:v>
      </x:c>
      <x:c r="C3969" s="9" t="n">
        <x:v>4</x:v>
      </x:c>
      <x:c r="D3969" s="8" t="n">
        <x:v>45516</x:v>
      </x:c>
      <x:c r="E3969" s="9" t="n">
        <x:v>1363000</x:v>
      </x:c>
      <x:c r="F3969" s="9" t="n">
        <x:v>0</x:v>
      </x:c>
    </x:row>
    <x:row r="3970" ht="34" customHeight="1">
      <x:c r="A3970" s="4" t="str">
        <x:v>RS-02004-I1</x:v>
      </x:c>
      <x:c r="B3970" s="4" t="str">
        <x:v>RS-02004</x:v>
      </x:c>
      <x:c r="C3970" s="9" t="n">
        <x:v>1</x:v>
      </x:c>
      <x:c r="D3970" s="8" t="n">
        <x:v>45428</x:v>
      </x:c>
      <x:c r="E3970" s="9" t="n">
        <x:v>4183000</x:v>
      </x:c>
      <x:c r="F3970" s="9" t="n">
        <x:v>4183000</x:v>
      </x:c>
    </x:row>
    <x:row r="3971" ht="34" customHeight="1">
      <x:c r="A3971" s="4" t="str">
        <x:v>RS-02004-I2</x:v>
      </x:c>
      <x:c r="B3971" s="4" t="str">
        <x:v>RS-02004</x:v>
      </x:c>
      <x:c r="C3971" s="9" t="n">
        <x:v>2</x:v>
      </x:c>
      <x:c r="D3971" s="8" t="n">
        <x:v>45458</x:v>
      </x:c>
      <x:c r="E3971" s="9" t="n">
        <x:v>4183000</x:v>
      </x:c>
      <x:c r="F3971" s="9" t="n">
        <x:v>0</x:v>
      </x:c>
    </x:row>
    <x:row r="3972" ht="34" customHeight="1">
      <x:c r="A3972" s="4" t="str">
        <x:v>RS-02004-I3</x:v>
      </x:c>
      <x:c r="B3972" s="4" t="str">
        <x:v>RS-02004</x:v>
      </x:c>
      <x:c r="C3972" s="9" t="n">
        <x:v>3</x:v>
      </x:c>
      <x:c r="D3972" s="8" t="n">
        <x:v>45488</x:v>
      </x:c>
      <x:c r="E3972" s="9" t="n">
        <x:v>4183000</x:v>
      </x:c>
      <x:c r="F3972" s="9" t="n">
        <x:v>0</x:v>
      </x:c>
    </x:row>
    <x:row r="3973" ht="34" customHeight="1">
      <x:c r="A3973" s="4" t="str">
        <x:v>RS-02004-I4</x:v>
      </x:c>
      <x:c r="B3973" s="4" t="str">
        <x:v>RS-02004</x:v>
      </x:c>
      <x:c r="C3973" s="9" t="n">
        <x:v>4</x:v>
      </x:c>
      <x:c r="D3973" s="8" t="n">
        <x:v>45518</x:v>
      </x:c>
      <x:c r="E3973" s="9" t="n">
        <x:v>4183000</x:v>
      </x:c>
      <x:c r="F3973" s="9" t="n">
        <x:v>0</x:v>
      </x:c>
    </x:row>
    <x:row r="3974" ht="34" customHeight="1">
      <x:c r="A3974" s="4" t="str">
        <x:v>RS-02006-I1</x:v>
      </x:c>
      <x:c r="B3974" s="4" t="str">
        <x:v>RS-02006</x:v>
      </x:c>
      <x:c r="C3974" s="9" t="n">
        <x:v>1</x:v>
      </x:c>
      <x:c r="D3974" s="8" t="n">
        <x:v>45430</x:v>
      </x:c>
      <x:c r="E3974" s="9" t="n">
        <x:v>3816000</x:v>
      </x:c>
      <x:c r="F3974" s="9" t="n">
        <x:v>3816000</x:v>
      </x:c>
    </x:row>
    <x:row r="3975" ht="34" customHeight="1">
      <x:c r="A3975" s="4" t="str">
        <x:v>RS-02006-I2</x:v>
      </x:c>
      <x:c r="B3975" s="4" t="str">
        <x:v>RS-02006</x:v>
      </x:c>
      <x:c r="C3975" s="9" t="n">
        <x:v>2</x:v>
      </x:c>
      <x:c r="D3975" s="8" t="n">
        <x:v>45460</x:v>
      </x:c>
      <x:c r="E3975" s="9" t="n">
        <x:v>3816000</x:v>
      </x:c>
      <x:c r="F3975" s="9" t="n">
        <x:v>0</x:v>
      </x:c>
    </x:row>
    <x:row r="3976" ht="34" customHeight="1">
      <x:c r="A3976" s="4" t="str">
        <x:v>RS-02006-I3</x:v>
      </x:c>
      <x:c r="B3976" s="4" t="str">
        <x:v>RS-02006</x:v>
      </x:c>
      <x:c r="C3976" s="9" t="n">
        <x:v>3</x:v>
      </x:c>
      <x:c r="D3976" s="8" t="n">
        <x:v>45490</x:v>
      </x:c>
      <x:c r="E3976" s="9" t="n">
        <x:v>3816000</x:v>
      </x:c>
      <x:c r="F3976" s="9" t="n">
        <x:v>0</x:v>
      </x:c>
    </x:row>
    <x:row r="3977" ht="34" customHeight="1">
      <x:c r="A3977" s="4" t="str">
        <x:v>RS-02006-I4</x:v>
      </x:c>
      <x:c r="B3977" s="4" t="str">
        <x:v>RS-02006</x:v>
      </x:c>
      <x:c r="C3977" s="9" t="n">
        <x:v>4</x:v>
      </x:c>
      <x:c r="D3977" s="8" t="n">
        <x:v>45520</x:v>
      </x:c>
      <x:c r="E3977" s="9" t="n">
        <x:v>3816000</x:v>
      </x:c>
      <x:c r="F3977" s="9" t="n">
        <x:v>0</x:v>
      </x:c>
    </x:row>
    <x:row r="3978" ht="34" customHeight="1">
      <x:c r="A3978" s="4" t="str">
        <x:v>RS-02007-I1</x:v>
      </x:c>
      <x:c r="B3978" s="4" t="str">
        <x:v>RS-02007</x:v>
      </x:c>
      <x:c r="C3978" s="9" t="n">
        <x:v>1</x:v>
      </x:c>
      <x:c r="D3978" s="8" t="n">
        <x:v>45431</x:v>
      </x:c>
      <x:c r="E3978" s="9" t="n">
        <x:v>1809500</x:v>
      </x:c>
      <x:c r="F3978" s="9" t="n">
        <x:v>1809500</x:v>
      </x:c>
    </x:row>
    <x:row r="3979" ht="34" customHeight="1">
      <x:c r="A3979" s="4" t="str">
        <x:v>RS-02007-I2</x:v>
      </x:c>
      <x:c r="B3979" s="4" t="str">
        <x:v>RS-02007</x:v>
      </x:c>
      <x:c r="C3979" s="9" t="n">
        <x:v>2</x:v>
      </x:c>
      <x:c r="D3979" s="8" t="n">
        <x:v>45461</x:v>
      </x:c>
      <x:c r="E3979" s="9" t="n">
        <x:v>1809500</x:v>
      </x:c>
      <x:c r="F3979" s="9" t="n">
        <x:v>1809500</x:v>
      </x:c>
    </x:row>
    <x:row r="3980" ht="34" customHeight="1">
      <x:c r="A3980" s="4" t="str">
        <x:v>RS-02007-I3</x:v>
      </x:c>
      <x:c r="B3980" s="4" t="str">
        <x:v>RS-02007</x:v>
      </x:c>
      <x:c r="C3980" s="9" t="n">
        <x:v>3</x:v>
      </x:c>
      <x:c r="D3980" s="8" t="n">
        <x:v>45491</x:v>
      </x:c>
      <x:c r="E3980" s="9" t="n">
        <x:v>1809500</x:v>
      </x:c>
      <x:c r="F3980" s="9" t="n">
        <x:v>0</x:v>
      </x:c>
    </x:row>
    <x:row r="3981" ht="34" customHeight="1">
      <x:c r="A3981" s="4" t="str">
        <x:v>RS-02007-I4</x:v>
      </x:c>
      <x:c r="B3981" s="4" t="str">
        <x:v>RS-02007</x:v>
      </x:c>
      <x:c r="C3981" s="9" t="n">
        <x:v>4</x:v>
      </x:c>
      <x:c r="D3981" s="8" t="n">
        <x:v>45521</x:v>
      </x:c>
      <x:c r="E3981" s="9" t="n">
        <x:v>1809500</x:v>
      </x:c>
      <x:c r="F3981" s="9" t="n">
        <x:v>0</x:v>
      </x:c>
    </x:row>
    <x:row r="3982" ht="34" customHeight="1">
      <x:c r="A3982" s="4" t="str">
        <x:v>RS-02008-I1</x:v>
      </x:c>
      <x:c r="B3982" s="4" t="str">
        <x:v>RS-02008</x:v>
      </x:c>
      <x:c r="C3982" s="9" t="n">
        <x:v>1</x:v>
      </x:c>
      <x:c r="D3982" s="8" t="n">
        <x:v>45432</x:v>
      </x:c>
      <x:c r="E3982" s="9" t="n">
        <x:v>3696750</x:v>
      </x:c>
      <x:c r="F3982" s="9" t="n">
        <x:v>3696750</x:v>
      </x:c>
    </x:row>
    <x:row r="3983" ht="34" customHeight="1">
      <x:c r="A3983" s="4" t="str">
        <x:v>RS-02008-I2</x:v>
      </x:c>
      <x:c r="B3983" s="4" t="str">
        <x:v>RS-02008</x:v>
      </x:c>
      <x:c r="C3983" s="9" t="n">
        <x:v>2</x:v>
      </x:c>
      <x:c r="D3983" s="8" t="n">
        <x:v>45462</x:v>
      </x:c>
      <x:c r="E3983" s="9" t="n">
        <x:v>3696750</x:v>
      </x:c>
      <x:c r="F3983" s="9" t="n">
        <x:v>3696750</x:v>
      </x:c>
    </x:row>
    <x:row r="3984" ht="34" customHeight="1">
      <x:c r="A3984" s="4" t="str">
        <x:v>RS-02008-I3</x:v>
      </x:c>
      <x:c r="B3984" s="4" t="str">
        <x:v>RS-02008</x:v>
      </x:c>
      <x:c r="C3984" s="9" t="n">
        <x:v>3</x:v>
      </x:c>
      <x:c r="D3984" s="8" t="n">
        <x:v>45492</x:v>
      </x:c>
      <x:c r="E3984" s="9" t="n">
        <x:v>3696750</x:v>
      </x:c>
      <x:c r="F3984" s="9" t="n">
        <x:v>0</x:v>
      </x:c>
    </x:row>
    <x:row r="3985" ht="34" customHeight="1">
      <x:c r="A3985" s="4" t="str">
        <x:v>RS-02008-I4</x:v>
      </x:c>
      <x:c r="B3985" s="4" t="str">
        <x:v>RS-02008</x:v>
      </x:c>
      <x:c r="C3985" s="9" t="n">
        <x:v>4</x:v>
      </x:c>
      <x:c r="D3985" s="8" t="n">
        <x:v>45522</x:v>
      </x:c>
      <x:c r="E3985" s="9" t="n">
        <x:v>3696750</x:v>
      </x:c>
      <x:c r="F3985" s="9" t="n">
        <x:v>0</x:v>
      </x:c>
    </x:row>
    <x:row r="3986" ht="34" customHeight="1">
      <x:c r="A3986" s="4" t="str">
        <x:v>RS-02009-I1</x:v>
      </x:c>
      <x:c r="B3986" s="4" t="str">
        <x:v>RS-02009</x:v>
      </x:c>
      <x:c r="C3986" s="9" t="n">
        <x:v>1</x:v>
      </x:c>
      <x:c r="D3986" s="8" t="n">
        <x:v>45433</x:v>
      </x:c>
      <x:c r="E3986" s="9" t="n">
        <x:v>2808000</x:v>
      </x:c>
      <x:c r="F3986" s="9" t="n">
        <x:v>2808000</x:v>
      </x:c>
    </x:row>
    <x:row r="3987" ht="34" customHeight="1">
      <x:c r="A3987" s="4" t="str">
        <x:v>RS-02009-I2</x:v>
      </x:c>
      <x:c r="B3987" s="4" t="str">
        <x:v>RS-02009</x:v>
      </x:c>
      <x:c r="C3987" s="9" t="n">
        <x:v>2</x:v>
      </x:c>
      <x:c r="D3987" s="8" t="n">
        <x:v>45463</x:v>
      </x:c>
      <x:c r="E3987" s="9" t="n">
        <x:v>2808000</x:v>
      </x:c>
      <x:c r="F3987" s="9" t="n">
        <x:v>0</x:v>
      </x:c>
    </x:row>
    <x:row r="3988" ht="34" customHeight="1">
      <x:c r="A3988" s="4" t="str">
        <x:v>RS-02009-I3</x:v>
      </x:c>
      <x:c r="B3988" s="4" t="str">
        <x:v>RS-02009</x:v>
      </x:c>
      <x:c r="C3988" s="9" t="n">
        <x:v>3</x:v>
      </x:c>
      <x:c r="D3988" s="8" t="n">
        <x:v>45493</x:v>
      </x:c>
      <x:c r="E3988" s="9" t="n">
        <x:v>2808000</x:v>
      </x:c>
      <x:c r="F3988" s="9" t="n">
        <x:v>0</x:v>
      </x:c>
    </x:row>
    <x:row r="3989" ht="34" customHeight="1">
      <x:c r="A3989" s="4" t="str">
        <x:v>RS-02009-I4</x:v>
      </x:c>
      <x:c r="B3989" s="4" t="str">
        <x:v>RS-02009</x:v>
      </x:c>
      <x:c r="C3989" s="9" t="n">
        <x:v>4</x:v>
      </x:c>
      <x:c r="D3989" s="8" t="n">
        <x:v>45523</x:v>
      </x:c>
      <x:c r="E3989" s="9" t="n">
        <x:v>2808000</x:v>
      </x:c>
      <x:c r="F3989" s="9" t="n">
        <x:v>0</x:v>
      </x:c>
    </x:row>
    <x:row r="3990" ht="34" customHeight="1">
      <x:c r="A3990" s="4" t="str">
        <x:v>RS-02010-I1</x:v>
      </x:c>
      <x:c r="B3990" s="4" t="str">
        <x:v>RS-02010</x:v>
      </x:c>
      <x:c r="C3990" s="9" t="n">
        <x:v>1</x:v>
      </x:c>
      <x:c r="D3990" s="8" t="n">
        <x:v>45434</x:v>
      </x:c>
      <x:c r="E3990" s="9" t="n">
        <x:v>1319500</x:v>
      </x:c>
      <x:c r="F3990" s="9" t="n">
        <x:v>1319500</x:v>
      </x:c>
    </x:row>
    <x:row r="3991" ht="34" customHeight="1">
      <x:c r="A3991" s="4" t="str">
        <x:v>RS-02010-I2</x:v>
      </x:c>
      <x:c r="B3991" s="4" t="str">
        <x:v>RS-02010</x:v>
      </x:c>
      <x:c r="C3991" s="9" t="n">
        <x:v>2</x:v>
      </x:c>
      <x:c r="D3991" s="8" t="n">
        <x:v>45464</x:v>
      </x:c>
      <x:c r="E3991" s="9" t="n">
        <x:v>1319500</x:v>
      </x:c>
      <x:c r="F3991" s="9" t="n">
        <x:v>0</x:v>
      </x:c>
    </x:row>
    <x:row r="3992" ht="34" customHeight="1">
      <x:c r="A3992" s="4" t="str">
        <x:v>RS-02010-I3</x:v>
      </x:c>
      <x:c r="B3992" s="4" t="str">
        <x:v>RS-02010</x:v>
      </x:c>
      <x:c r="C3992" s="9" t="n">
        <x:v>3</x:v>
      </x:c>
      <x:c r="D3992" s="8" t="n">
        <x:v>45494</x:v>
      </x:c>
      <x:c r="E3992" s="9" t="n">
        <x:v>1319500</x:v>
      </x:c>
      <x:c r="F3992" s="9" t="n">
        <x:v>0</x:v>
      </x:c>
    </x:row>
    <x:row r="3993" ht="34" customHeight="1">
      <x:c r="A3993" s="4" t="str">
        <x:v>RS-02010-I4</x:v>
      </x:c>
      <x:c r="B3993" s="4" t="str">
        <x:v>RS-02010</x:v>
      </x:c>
      <x:c r="C3993" s="9" t="n">
        <x:v>4</x:v>
      </x:c>
      <x:c r="D3993" s="8" t="n">
        <x:v>45524</x:v>
      </x:c>
      <x:c r="E3993" s="9" t="n">
        <x:v>1319500</x:v>
      </x:c>
      <x:c r="F3993" s="9" t="n">
        <x:v>0</x:v>
      </x:c>
    </x:row>
    <x:row r="3994" ht="34" customHeight="1">
      <x:c r="A3994" s="4" t="str">
        <x:v>RS-02011-I1</x:v>
      </x:c>
      <x:c r="B3994" s="4" t="str">
        <x:v>RS-02011</x:v>
      </x:c>
      <x:c r="C3994" s="9" t="n">
        <x:v>1</x:v>
      </x:c>
      <x:c r="D3994" s="8" t="n">
        <x:v>45435</x:v>
      </x:c>
      <x:c r="E3994" s="9" t="n">
        <x:v>4071000</x:v>
      </x:c>
      <x:c r="F3994" s="9" t="n">
        <x:v>4071000</x:v>
      </x:c>
    </x:row>
    <x:row r="3995" ht="34" customHeight="1">
      <x:c r="A3995" s="4" t="str">
        <x:v>RS-02011-I2</x:v>
      </x:c>
      <x:c r="B3995" s="4" t="str">
        <x:v>RS-02011</x:v>
      </x:c>
      <x:c r="C3995" s="9" t="n">
        <x:v>2</x:v>
      </x:c>
      <x:c r="D3995" s="8" t="n">
        <x:v>45465</x:v>
      </x:c>
      <x:c r="E3995" s="9" t="n">
        <x:v>4071000</x:v>
      </x:c>
      <x:c r="F3995" s="9" t="n">
        <x:v>0</x:v>
      </x:c>
    </x:row>
    <x:row r="3996" ht="34" customHeight="1">
      <x:c r="A3996" s="4" t="str">
        <x:v>RS-02011-I3</x:v>
      </x:c>
      <x:c r="B3996" s="4" t="str">
        <x:v>RS-02011</x:v>
      </x:c>
      <x:c r="C3996" s="9" t="n">
        <x:v>3</x:v>
      </x:c>
      <x:c r="D3996" s="8" t="n">
        <x:v>45495</x:v>
      </x:c>
      <x:c r="E3996" s="9" t="n">
        <x:v>4071000</x:v>
      </x:c>
      <x:c r="F3996" s="9" t="n">
        <x:v>0</x:v>
      </x:c>
    </x:row>
    <x:row r="3997" ht="34" customHeight="1">
      <x:c r="A3997" s="4" t="str">
        <x:v>RS-02011-I4</x:v>
      </x:c>
      <x:c r="B3997" s="4" t="str">
        <x:v>RS-02011</x:v>
      </x:c>
      <x:c r="C3997" s="9" t="n">
        <x:v>4</x:v>
      </x:c>
      <x:c r="D3997" s="8" t="n">
        <x:v>45525</x:v>
      </x:c>
      <x:c r="E3997" s="9" t="n">
        <x:v>4071000</x:v>
      </x:c>
      <x:c r="F3997" s="9" t="n">
        <x:v>0</x:v>
      </x:c>
    </x:row>
    <x:row r="3998" ht="34" customHeight="1">
      <x:c r="A3998" s="4" t="str">
        <x:v>RS-02013-I1</x:v>
      </x:c>
      <x:c r="B3998" s="4" t="str">
        <x:v>RS-02013</x:v>
      </x:c>
      <x:c r="C3998" s="9" t="n">
        <x:v>1</x:v>
      </x:c>
      <x:c r="D3998" s="8" t="n">
        <x:v>45437</x:v>
      </x:c>
      <x:c r="E3998" s="9" t="n">
        <x:v>6039000</x:v>
      </x:c>
      <x:c r="F3998" s="9" t="n">
        <x:v>6039000</x:v>
      </x:c>
    </x:row>
    <x:row r="3999" ht="34" customHeight="1">
      <x:c r="A3999" s="4" t="str">
        <x:v>RS-02013-I2</x:v>
      </x:c>
      <x:c r="B3999" s="4" t="str">
        <x:v>RS-02013</x:v>
      </x:c>
      <x:c r="C3999" s="9" t="n">
        <x:v>2</x:v>
      </x:c>
      <x:c r="D3999" s="8" t="n">
        <x:v>45467</x:v>
      </x:c>
      <x:c r="E3999" s="9" t="n">
        <x:v>6039000</x:v>
      </x:c>
      <x:c r="F3999" s="9" t="n">
        <x:v>6039000</x:v>
      </x:c>
    </x:row>
    <x:row r="4000" ht="34" customHeight="1">
      <x:c r="A4000" s="4" t="str">
        <x:v>RS-02013-I3</x:v>
      </x:c>
      <x:c r="B4000" s="4" t="str">
        <x:v>RS-02013</x:v>
      </x:c>
      <x:c r="C4000" s="9" t="n">
        <x:v>3</x:v>
      </x:c>
      <x:c r="D4000" s="8" t="n">
        <x:v>45497</x:v>
      </x:c>
      <x:c r="E4000" s="9" t="n">
        <x:v>6039000</x:v>
      </x:c>
      <x:c r="F4000" s="9" t="n">
        <x:v>0</x:v>
      </x:c>
    </x:row>
    <x:row r="4001" ht="34" customHeight="1">
      <x:c r="A4001" s="4" t="str">
        <x:v>RS-02013-I4</x:v>
      </x:c>
      <x:c r="B4001" s="4" t="str">
        <x:v>RS-02013</x:v>
      </x:c>
      <x:c r="C4001" s="9" t="n">
        <x:v>4</x:v>
      </x:c>
      <x:c r="D4001" s="8" t="n">
        <x:v>45527</x:v>
      </x:c>
      <x:c r="E4001" s="9" t="n">
        <x:v>6039000</x:v>
      </x:c>
      <x:c r="F4001" s="9" t="n">
        <x:v>0</x:v>
      </x:c>
    </x:row>
    <x:row r="4002" ht="34" customHeight="1">
      <x:c r="A4002" s="4" t="str">
        <x:v>RS-02014-I1</x:v>
      </x:c>
      <x:c r="B4002" s="4" t="str">
        <x:v>RS-02014</x:v>
      </x:c>
      <x:c r="C4002" s="9" t="n">
        <x:v>1</x:v>
      </x:c>
      <x:c r="D4002" s="8" t="n">
        <x:v>45438</x:v>
      </x:c>
      <x:c r="E4002" s="9" t="n">
        <x:v>4227500</x:v>
      </x:c>
      <x:c r="F4002" s="9" t="n">
        <x:v>4227500</x:v>
      </x:c>
    </x:row>
    <x:row r="4003" ht="34" customHeight="1">
      <x:c r="A4003" s="4" t="str">
        <x:v>RS-02014-I2</x:v>
      </x:c>
      <x:c r="B4003" s="4" t="str">
        <x:v>RS-02014</x:v>
      </x:c>
      <x:c r="C4003" s="9" t="n">
        <x:v>2</x:v>
      </x:c>
      <x:c r="D4003" s="8" t="n">
        <x:v>45468</x:v>
      </x:c>
      <x:c r="E4003" s="9" t="n">
        <x:v>4227500</x:v>
      </x:c>
      <x:c r="F4003" s="9" t="n">
        <x:v>0</x:v>
      </x:c>
    </x:row>
    <x:row r="4004" ht="34" customHeight="1">
      <x:c r="A4004" s="4" t="str">
        <x:v>RS-02014-I3</x:v>
      </x:c>
      <x:c r="B4004" s="4" t="str">
        <x:v>RS-02014</x:v>
      </x:c>
      <x:c r="C4004" s="9" t="n">
        <x:v>3</x:v>
      </x:c>
      <x:c r="D4004" s="8" t="n">
        <x:v>45498</x:v>
      </x:c>
      <x:c r="E4004" s="9" t="n">
        <x:v>4227500</x:v>
      </x:c>
      <x:c r="F4004" s="9" t="n">
        <x:v>0</x:v>
      </x:c>
    </x:row>
    <x:row r="4005" ht="34" customHeight="1">
      <x:c r="A4005" s="4" t="str">
        <x:v>RS-02014-I4</x:v>
      </x:c>
      <x:c r="B4005" s="4" t="str">
        <x:v>RS-02014</x:v>
      </x:c>
      <x:c r="C4005" s="9" t="n">
        <x:v>4</x:v>
      </x:c>
      <x:c r="D4005" s="8" t="n">
        <x:v>45528</x:v>
      </x:c>
      <x:c r="E4005" s="9" t="n">
        <x:v>4227500</x:v>
      </x:c>
      <x:c r="F4005" s="9" t="n">
        <x:v>0</x:v>
      </x:c>
    </x:row>
    <x:row r="4006" ht="34" customHeight="1">
      <x:c r="A4006" s="4" t="str">
        <x:v>RS-02017-I1</x:v>
      </x:c>
      <x:c r="B4006" s="4" t="str">
        <x:v>RS-02017</x:v>
      </x:c>
      <x:c r="C4006" s="9" t="n">
        <x:v>1</x:v>
      </x:c>
      <x:c r="D4006" s="8" t="n">
        <x:v>45413</x:v>
      </x:c>
      <x:c r="E4006" s="9" t="n">
        <x:v>2092500</x:v>
      </x:c>
      <x:c r="F4006" s="9" t="n">
        <x:v>2092500</x:v>
      </x:c>
    </x:row>
    <x:row r="4007" ht="34" customHeight="1">
      <x:c r="A4007" s="4" t="str">
        <x:v>RS-02017-I2</x:v>
      </x:c>
      <x:c r="B4007" s="4" t="str">
        <x:v>RS-02017</x:v>
      </x:c>
      <x:c r="C4007" s="9" t="n">
        <x:v>2</x:v>
      </x:c>
      <x:c r="D4007" s="8" t="n">
        <x:v>45443</x:v>
      </x:c>
      <x:c r="E4007" s="9" t="n">
        <x:v>2092500</x:v>
      </x:c>
      <x:c r="F4007" s="9" t="n">
        <x:v>2092500</x:v>
      </x:c>
    </x:row>
    <x:row r="4008" ht="34" customHeight="1">
      <x:c r="A4008" s="4" t="str">
        <x:v>RS-02017-I3</x:v>
      </x:c>
      <x:c r="B4008" s="4" t="str">
        <x:v>RS-02017</x:v>
      </x:c>
      <x:c r="C4008" s="9" t="n">
        <x:v>3</x:v>
      </x:c>
      <x:c r="D4008" s="8" t="n">
        <x:v>45473</x:v>
      </x:c>
      <x:c r="E4008" s="9" t="n">
        <x:v>2092500</x:v>
      </x:c>
      <x:c r="F4008" s="9" t="n">
        <x:v>0</x:v>
      </x:c>
    </x:row>
    <x:row r="4009" ht="34" customHeight="1">
      <x:c r="A4009" s="4" t="str">
        <x:v>RS-02017-I4</x:v>
      </x:c>
      <x:c r="B4009" s="4" t="str">
        <x:v>RS-02017</x:v>
      </x:c>
      <x:c r="C4009" s="9" t="n">
        <x:v>4</x:v>
      </x:c>
      <x:c r="D4009" s="8" t="n">
        <x:v>45503</x:v>
      </x:c>
      <x:c r="E4009" s="9" t="n">
        <x:v>2092500</x:v>
      </x:c>
      <x:c r="F4009" s="9" t="n">
        <x:v>0</x:v>
      </x:c>
    </x:row>
    <x:row r="4010" ht="34" customHeight="1">
      <x:c r="A4010" s="4" t="str">
        <x:v>RS-02020-I1</x:v>
      </x:c>
      <x:c r="B4010" s="4" t="str">
        <x:v>RS-02020</x:v>
      </x:c>
      <x:c r="C4010" s="9" t="n">
        <x:v>1</x:v>
      </x:c>
      <x:c r="D4010" s="8" t="n">
        <x:v>45416</x:v>
      </x:c>
      <x:c r="E4010" s="9" t="n">
        <x:v>5029000</x:v>
      </x:c>
      <x:c r="F4010" s="9" t="n">
        <x:v>2011600</x:v>
      </x:c>
    </x:row>
    <x:row r="4011" ht="34" customHeight="1">
      <x:c r="A4011" s="4" t="str">
        <x:v>RS-02020-I2</x:v>
      </x:c>
      <x:c r="B4011" s="4" t="str">
        <x:v>RS-02020</x:v>
      </x:c>
      <x:c r="C4011" s="9" t="n">
        <x:v>2</x:v>
      </x:c>
      <x:c r="D4011" s="8" t="n">
        <x:v>45446</x:v>
      </x:c>
      <x:c r="E4011" s="9" t="n">
        <x:v>5029000</x:v>
      </x:c>
      <x:c r="F4011" s="9" t="n">
        <x:v>0</x:v>
      </x:c>
    </x:row>
    <x:row r="4012" ht="34" customHeight="1">
      <x:c r="A4012" s="4" t="str">
        <x:v>RS-02020-I3</x:v>
      </x:c>
      <x:c r="B4012" s="4" t="str">
        <x:v>RS-02020</x:v>
      </x:c>
      <x:c r="C4012" s="9" t="n">
        <x:v>3</x:v>
      </x:c>
      <x:c r="D4012" s="8" t="n">
        <x:v>45476</x:v>
      </x:c>
      <x:c r="E4012" s="9" t="n">
        <x:v>5029000</x:v>
      </x:c>
      <x:c r="F4012" s="9" t="n">
        <x:v>0</x:v>
      </x:c>
    </x:row>
    <x:row r="4013" ht="34" customHeight="1">
      <x:c r="A4013" s="4" t="str">
        <x:v>RS-02020-I4</x:v>
      </x:c>
      <x:c r="B4013" s="4" t="str">
        <x:v>RS-02020</x:v>
      </x:c>
      <x:c r="C4013" s="9" t="n">
        <x:v>4</x:v>
      </x:c>
      <x:c r="D4013" s="8" t="n">
        <x:v>45506</x:v>
      </x:c>
      <x:c r="E4013" s="9" t="n">
        <x:v>5029000</x:v>
      </x:c>
      <x:c r="F4013" s="9" t="n">
        <x:v>0</x:v>
      </x:c>
    </x:row>
    <x:row r="4014" ht="34" customHeight="1">
      <x:c r="A4014" s="4" t="str">
        <x:v>RS-02021-I1</x:v>
      </x:c>
      <x:c r="B4014" s="4" t="str">
        <x:v>RS-02021</x:v>
      </x:c>
      <x:c r="C4014" s="9" t="n">
        <x:v>1</x:v>
      </x:c>
      <x:c r="D4014" s="8" t="n">
        <x:v>45417</x:v>
      </x:c>
      <x:c r="E4014" s="9" t="n">
        <x:v>4702500</x:v>
      </x:c>
      <x:c r="F4014" s="9" t="n">
        <x:v>4702500</x:v>
      </x:c>
    </x:row>
    <x:row r="4015" ht="34" customHeight="1">
      <x:c r="A4015" s="4" t="str">
        <x:v>RS-02021-I2</x:v>
      </x:c>
      <x:c r="B4015" s="4" t="str">
        <x:v>RS-02021</x:v>
      </x:c>
      <x:c r="C4015" s="9" t="n">
        <x:v>2</x:v>
      </x:c>
      <x:c r="D4015" s="8" t="n">
        <x:v>45447</x:v>
      </x:c>
      <x:c r="E4015" s="9" t="n">
        <x:v>4702500</x:v>
      </x:c>
      <x:c r="F4015" s="9" t="n">
        <x:v>4702500</x:v>
      </x:c>
    </x:row>
    <x:row r="4016" ht="34" customHeight="1">
      <x:c r="A4016" s="4" t="str">
        <x:v>RS-02021-I3</x:v>
      </x:c>
      <x:c r="B4016" s="4" t="str">
        <x:v>RS-02021</x:v>
      </x:c>
      <x:c r="C4016" s="9" t="n">
        <x:v>3</x:v>
      </x:c>
      <x:c r="D4016" s="8" t="n">
        <x:v>45477</x:v>
      </x:c>
      <x:c r="E4016" s="9" t="n">
        <x:v>4702500</x:v>
      </x:c>
      <x:c r="F4016" s="9" t="n">
        <x:v>4702500</x:v>
      </x:c>
    </x:row>
    <x:row r="4017" ht="34" customHeight="1">
      <x:c r="A4017" s="4" t="str">
        <x:v>RS-02021-I4</x:v>
      </x:c>
      <x:c r="B4017" s="4" t="str">
        <x:v>RS-02021</x:v>
      </x:c>
      <x:c r="C4017" s="9" t="n">
        <x:v>4</x:v>
      </x:c>
      <x:c r="D4017" s="8" t="n">
        <x:v>45507</x:v>
      </x:c>
      <x:c r="E4017" s="9" t="n">
        <x:v>4702500</x:v>
      </x:c>
      <x:c r="F4017" s="9" t="n">
        <x:v>4702500</x:v>
      </x:c>
    </x:row>
    <x:row r="4018" ht="34" customHeight="1">
      <x:c r="A4018" s="4" t="str">
        <x:v>RS-02024-I1</x:v>
      </x:c>
      <x:c r="B4018" s="4" t="str">
        <x:v>RS-02024</x:v>
      </x:c>
      <x:c r="C4018" s="9" t="n">
        <x:v>1</x:v>
      </x:c>
      <x:c r="D4018" s="8" t="n">
        <x:v>45420</x:v>
      </x:c>
      <x:c r="E4018" s="9" t="n">
        <x:v>2580750</x:v>
      </x:c>
      <x:c r="F4018" s="9" t="n">
        <x:v>2580750</x:v>
      </x:c>
    </x:row>
    <x:row r="4019" ht="34" customHeight="1">
      <x:c r="A4019" s="4" t="str">
        <x:v>RS-02024-I2</x:v>
      </x:c>
      <x:c r="B4019" s="4" t="str">
        <x:v>RS-02024</x:v>
      </x:c>
      <x:c r="C4019" s="9" t="n">
        <x:v>2</x:v>
      </x:c>
      <x:c r="D4019" s="8" t="n">
        <x:v>45450</x:v>
      </x:c>
      <x:c r="E4019" s="9" t="n">
        <x:v>2580750</x:v>
      </x:c>
      <x:c r="F4019" s="9" t="n">
        <x:v>2580750</x:v>
      </x:c>
    </x:row>
    <x:row r="4020" ht="34" customHeight="1">
      <x:c r="A4020" s="4" t="str">
        <x:v>RS-02024-I3</x:v>
      </x:c>
      <x:c r="B4020" s="4" t="str">
        <x:v>RS-02024</x:v>
      </x:c>
      <x:c r="C4020" s="9" t="n">
        <x:v>3</x:v>
      </x:c>
      <x:c r="D4020" s="8" t="n">
        <x:v>45480</x:v>
      </x:c>
      <x:c r="E4020" s="9" t="n">
        <x:v>2580750</x:v>
      </x:c>
      <x:c r="F4020" s="9" t="n">
        <x:v>0</x:v>
      </x:c>
    </x:row>
    <x:row r="4021" ht="34" customHeight="1">
      <x:c r="A4021" s="4" t="str">
        <x:v>RS-02024-I4</x:v>
      </x:c>
      <x:c r="B4021" s="4" t="str">
        <x:v>RS-02024</x:v>
      </x:c>
      <x:c r="C4021" s="9" t="n">
        <x:v>4</x:v>
      </x:c>
      <x:c r="D4021" s="8" t="n">
        <x:v>45510</x:v>
      </x:c>
      <x:c r="E4021" s="9" t="n">
        <x:v>2580750</x:v>
      </x:c>
      <x:c r="F4021" s="9" t="n">
        <x:v>0</x:v>
      </x:c>
    </x:row>
    <x:row r="4022" ht="34" customHeight="1">
      <x:c r="A4022" s="4" t="str">
        <x:v>RS-02025-I1</x:v>
      </x:c>
      <x:c r="B4022" s="4" t="str">
        <x:v>RS-02025</x:v>
      </x:c>
      <x:c r="C4022" s="9" t="n">
        <x:v>1</x:v>
      </x:c>
      <x:c r="D4022" s="8" t="n">
        <x:v>45421</x:v>
      </x:c>
      <x:c r="E4022" s="9" t="n">
        <x:v>5082000</x:v>
      </x:c>
      <x:c r="F4022" s="9" t="n">
        <x:v>5082000</x:v>
      </x:c>
    </x:row>
    <x:row r="4023" ht="34" customHeight="1">
      <x:c r="A4023" s="4" t="str">
        <x:v>RS-02025-I2</x:v>
      </x:c>
      <x:c r="B4023" s="4" t="str">
        <x:v>RS-02025</x:v>
      </x:c>
      <x:c r="C4023" s="9" t="n">
        <x:v>2</x:v>
      </x:c>
      <x:c r="D4023" s="8" t="n">
        <x:v>45451</x:v>
      </x:c>
      <x:c r="E4023" s="9" t="n">
        <x:v>5082000</x:v>
      </x:c>
      <x:c r="F4023" s="9" t="n">
        <x:v>5082000</x:v>
      </x:c>
    </x:row>
    <x:row r="4024" ht="34" customHeight="1">
      <x:c r="A4024" s="4" t="str">
        <x:v>RS-02025-I3</x:v>
      </x:c>
      <x:c r="B4024" s="4" t="str">
        <x:v>RS-02025</x:v>
      </x:c>
      <x:c r="C4024" s="9" t="n">
        <x:v>3</x:v>
      </x:c>
      <x:c r="D4024" s="8" t="n">
        <x:v>45481</x:v>
      </x:c>
      <x:c r="E4024" s="9" t="n">
        <x:v>5082000</x:v>
      </x:c>
      <x:c r="F4024" s="9" t="n">
        <x:v>5082000</x:v>
      </x:c>
    </x:row>
    <x:row r="4025" ht="34" customHeight="1">
      <x:c r="A4025" s="4" t="str">
        <x:v>RS-02025-I4</x:v>
      </x:c>
      <x:c r="B4025" s="4" t="str">
        <x:v>RS-02025</x:v>
      </x:c>
      <x:c r="C4025" s="9" t="n">
        <x:v>4</x:v>
      </x:c>
      <x:c r="D4025" s="8" t="n">
        <x:v>45511</x:v>
      </x:c>
      <x:c r="E4025" s="9" t="n">
        <x:v>5082000</x:v>
      </x:c>
      <x:c r="F4025" s="9" t="n">
        <x:v>5082000</x:v>
      </x:c>
    </x:row>
    <x:row r="4026" ht="34" customHeight="1">
      <x:c r="A4026" s="4" t="str">
        <x:v>RS-02027-I1</x:v>
      </x:c>
      <x:c r="B4026" s="4" t="str">
        <x:v>RS-02027</x:v>
      </x:c>
      <x:c r="C4026" s="9" t="n">
        <x:v>1</x:v>
      </x:c>
      <x:c r="D4026" s="8" t="n">
        <x:v>45423</x:v>
      </x:c>
      <x:c r="E4026" s="9" t="n">
        <x:v>2491000</x:v>
      </x:c>
      <x:c r="F4026" s="9" t="n">
        <x:v>996400</x:v>
      </x:c>
    </x:row>
    <x:row r="4027" ht="34" customHeight="1">
      <x:c r="A4027" s="4" t="str">
        <x:v>RS-02027-I2</x:v>
      </x:c>
      <x:c r="B4027" s="4" t="str">
        <x:v>RS-02027</x:v>
      </x:c>
      <x:c r="C4027" s="9" t="n">
        <x:v>2</x:v>
      </x:c>
      <x:c r="D4027" s="8" t="n">
        <x:v>45453</x:v>
      </x:c>
      <x:c r="E4027" s="9" t="n">
        <x:v>2491000</x:v>
      </x:c>
      <x:c r="F4027" s="9" t="n">
        <x:v>0</x:v>
      </x:c>
    </x:row>
    <x:row r="4028" ht="34" customHeight="1">
      <x:c r="A4028" s="4" t="str">
        <x:v>RS-02027-I3</x:v>
      </x:c>
      <x:c r="B4028" s="4" t="str">
        <x:v>RS-02027</x:v>
      </x:c>
      <x:c r="C4028" s="9" t="n">
        <x:v>3</x:v>
      </x:c>
      <x:c r="D4028" s="8" t="n">
        <x:v>45483</x:v>
      </x:c>
      <x:c r="E4028" s="9" t="n">
        <x:v>2491000</x:v>
      </x:c>
      <x:c r="F4028" s="9" t="n">
        <x:v>0</x:v>
      </x:c>
    </x:row>
    <x:row r="4029" ht="34" customHeight="1">
      <x:c r="A4029" s="4" t="str">
        <x:v>RS-02027-I4</x:v>
      </x:c>
      <x:c r="B4029" s="4" t="str">
        <x:v>RS-02027</x:v>
      </x:c>
      <x:c r="C4029" s="9" t="n">
        <x:v>4</x:v>
      </x:c>
      <x:c r="D4029" s="8" t="n">
        <x:v>45513</x:v>
      </x:c>
      <x:c r="E4029" s="9" t="n">
        <x:v>2491000</x:v>
      </x:c>
      <x:c r="F4029" s="9" t="n">
        <x:v>0</x:v>
      </x:c>
    </x:row>
    <x:row r="4030" ht="34" customHeight="1">
      <x:c r="A4030" s="4" t="str">
        <x:v>RS-02030-I1</x:v>
      </x:c>
      <x:c r="B4030" s="4" t="str">
        <x:v>RS-02030</x:v>
      </x:c>
      <x:c r="C4030" s="9" t="n">
        <x:v>1</x:v>
      </x:c>
      <x:c r="D4030" s="8" t="n">
        <x:v>45426</x:v>
      </x:c>
      <x:c r="E4030" s="9" t="n">
        <x:v>5394000</x:v>
      </x:c>
      <x:c r="F4030" s="9" t="n">
        <x:v>5394000</x:v>
      </x:c>
    </x:row>
    <x:row r="4031" ht="34" customHeight="1">
      <x:c r="A4031" s="4" t="str">
        <x:v>RS-02030-I2</x:v>
      </x:c>
      <x:c r="B4031" s="4" t="str">
        <x:v>RS-02030</x:v>
      </x:c>
      <x:c r="C4031" s="9" t="n">
        <x:v>2</x:v>
      </x:c>
      <x:c r="D4031" s="8" t="n">
        <x:v>45456</x:v>
      </x:c>
      <x:c r="E4031" s="9" t="n">
        <x:v>5394000</x:v>
      </x:c>
      <x:c r="F4031" s="9" t="n">
        <x:v>5394000</x:v>
      </x:c>
    </x:row>
    <x:row r="4032" ht="34" customHeight="1">
      <x:c r="A4032" s="4" t="str">
        <x:v>RS-02030-I3</x:v>
      </x:c>
      <x:c r="B4032" s="4" t="str">
        <x:v>RS-02030</x:v>
      </x:c>
      <x:c r="C4032" s="9" t="n">
        <x:v>3</x:v>
      </x:c>
      <x:c r="D4032" s="8" t="n">
        <x:v>45486</x:v>
      </x:c>
      <x:c r="E4032" s="9" t="n">
        <x:v>5394000</x:v>
      </x:c>
      <x:c r="F4032" s="9" t="n">
        <x:v>5394000</x:v>
      </x:c>
    </x:row>
    <x:row r="4033" ht="34" customHeight="1">
      <x:c r="A4033" s="4" t="str">
        <x:v>RS-02030-I4</x:v>
      </x:c>
      <x:c r="B4033" s="4" t="str">
        <x:v>RS-02030</x:v>
      </x:c>
      <x:c r="C4033" s="9" t="n">
        <x:v>4</x:v>
      </x:c>
      <x:c r="D4033" s="8" t="n">
        <x:v>45516</x:v>
      </x:c>
      <x:c r="E4033" s="9" t="n">
        <x:v>5394000</x:v>
      </x:c>
      <x:c r="F4033" s="9" t="n">
        <x:v>5394000</x:v>
      </x:c>
    </x:row>
    <x:row r="4034" ht="34" customHeight="1">
      <x:c r="A4034" s="4" t="str">
        <x:v>RS-02031-I1</x:v>
      </x:c>
      <x:c r="B4034" s="4" t="str">
        <x:v>RS-02031</x:v>
      </x:c>
      <x:c r="C4034" s="9" t="n">
        <x:v>1</x:v>
      </x:c>
      <x:c r="D4034" s="8" t="n">
        <x:v>45427</x:v>
      </x:c>
      <x:c r="E4034" s="9" t="n">
        <x:v>5189500</x:v>
      </x:c>
      <x:c r="F4034" s="9" t="n">
        <x:v>5189500</x:v>
      </x:c>
    </x:row>
    <x:row r="4035" ht="34" customHeight="1">
      <x:c r="A4035" s="4" t="str">
        <x:v>RS-02031-I2</x:v>
      </x:c>
      <x:c r="B4035" s="4" t="str">
        <x:v>RS-02031</x:v>
      </x:c>
      <x:c r="C4035" s="9" t="n">
        <x:v>2</x:v>
      </x:c>
      <x:c r="D4035" s="8" t="n">
        <x:v>45457</x:v>
      </x:c>
      <x:c r="E4035" s="9" t="n">
        <x:v>5189500</x:v>
      </x:c>
      <x:c r="F4035" s="9" t="n">
        <x:v>0</x:v>
      </x:c>
    </x:row>
    <x:row r="4036" ht="34" customHeight="1">
      <x:c r="A4036" s="4" t="str">
        <x:v>RS-02031-I3</x:v>
      </x:c>
      <x:c r="B4036" s="4" t="str">
        <x:v>RS-02031</x:v>
      </x:c>
      <x:c r="C4036" s="9" t="n">
        <x:v>3</x:v>
      </x:c>
      <x:c r="D4036" s="8" t="n">
        <x:v>45487</x:v>
      </x:c>
      <x:c r="E4036" s="9" t="n">
        <x:v>5189500</x:v>
      </x:c>
      <x:c r="F4036" s="9" t="n">
        <x:v>0</x:v>
      </x:c>
    </x:row>
    <x:row r="4037" ht="34" customHeight="1">
      <x:c r="A4037" s="4" t="str">
        <x:v>RS-02031-I4</x:v>
      </x:c>
      <x:c r="B4037" s="4" t="str">
        <x:v>RS-02031</x:v>
      </x:c>
      <x:c r="C4037" s="9" t="n">
        <x:v>4</x:v>
      </x:c>
      <x:c r="D4037" s="8" t="n">
        <x:v>45517</x:v>
      </x:c>
      <x:c r="E4037" s="9" t="n">
        <x:v>5189500</x:v>
      </x:c>
      <x:c r="F4037" s="9" t="n">
        <x:v>0</x:v>
      </x:c>
    </x:row>
    <x:row r="4038" ht="34" customHeight="1">
      <x:c r="A4038" s="4" t="str">
        <x:v>RS-02032-I1</x:v>
      </x:c>
      <x:c r="B4038" s="4" t="str">
        <x:v>RS-02032</x:v>
      </x:c>
      <x:c r="C4038" s="9" t="n">
        <x:v>1</x:v>
      </x:c>
      <x:c r="D4038" s="8" t="n">
        <x:v>45428</x:v>
      </x:c>
      <x:c r="E4038" s="9" t="n">
        <x:v>5317750</x:v>
      </x:c>
      <x:c r="F4038" s="9" t="n">
        <x:v>5317750</x:v>
      </x:c>
    </x:row>
    <x:row r="4039" ht="34" customHeight="1">
      <x:c r="A4039" s="4" t="str">
        <x:v>RS-02032-I2</x:v>
      </x:c>
      <x:c r="B4039" s="4" t="str">
        <x:v>RS-02032</x:v>
      </x:c>
      <x:c r="C4039" s="9" t="n">
        <x:v>2</x:v>
      </x:c>
      <x:c r="D4039" s="8" t="n">
        <x:v>45458</x:v>
      </x:c>
      <x:c r="E4039" s="9" t="n">
        <x:v>5317750</x:v>
      </x:c>
      <x:c r="F4039" s="9" t="n">
        <x:v>0</x:v>
      </x:c>
    </x:row>
    <x:row r="4040" ht="34" customHeight="1">
      <x:c r="A4040" s="4" t="str">
        <x:v>RS-02032-I3</x:v>
      </x:c>
      <x:c r="B4040" s="4" t="str">
        <x:v>RS-02032</x:v>
      </x:c>
      <x:c r="C4040" s="9" t="n">
        <x:v>3</x:v>
      </x:c>
      <x:c r="D4040" s="8" t="n">
        <x:v>45488</x:v>
      </x:c>
      <x:c r="E4040" s="9" t="n">
        <x:v>5317750</x:v>
      </x:c>
      <x:c r="F4040" s="9" t="n">
        <x:v>0</x:v>
      </x:c>
    </x:row>
    <x:row r="4041" ht="34" customHeight="1">
      <x:c r="A4041" s="4" t="str">
        <x:v>RS-02032-I4</x:v>
      </x:c>
      <x:c r="B4041" s="4" t="str">
        <x:v>RS-02032</x:v>
      </x:c>
      <x:c r="C4041" s="9" t="n">
        <x:v>4</x:v>
      </x:c>
      <x:c r="D4041" s="8" t="n">
        <x:v>45518</x:v>
      </x:c>
      <x:c r="E4041" s="9" t="n">
        <x:v>5317750</x:v>
      </x:c>
      <x:c r="F4041" s="9" t="n">
        <x:v>0</x:v>
      </x:c>
    </x:row>
    <x:row r="4042" ht="34" customHeight="1">
      <x:c r="A4042" s="4" t="str">
        <x:v>RS-02033-I1</x:v>
      </x:c>
      <x:c r="B4042" s="4" t="str">
        <x:v>RS-02033</x:v>
      </x:c>
      <x:c r="C4042" s="9" t="n">
        <x:v>1</x:v>
      </x:c>
      <x:c r="D4042" s="8" t="n">
        <x:v>45429</x:v>
      </x:c>
      <x:c r="E4042" s="9" t="n">
        <x:v>4459000</x:v>
      </x:c>
      <x:c r="F4042" s="9" t="n">
        <x:v>4459000</x:v>
      </x:c>
    </x:row>
    <x:row r="4043" ht="34" customHeight="1">
      <x:c r="A4043" s="4" t="str">
        <x:v>RS-02033-I2</x:v>
      </x:c>
      <x:c r="B4043" s="4" t="str">
        <x:v>RS-02033</x:v>
      </x:c>
      <x:c r="C4043" s="9" t="n">
        <x:v>2</x:v>
      </x:c>
      <x:c r="D4043" s="8" t="n">
        <x:v>45459</x:v>
      </x:c>
      <x:c r="E4043" s="9" t="n">
        <x:v>4459000</x:v>
      </x:c>
      <x:c r="F4043" s="9" t="n">
        <x:v>0</x:v>
      </x:c>
    </x:row>
    <x:row r="4044" ht="34" customHeight="1">
      <x:c r="A4044" s="4" t="str">
        <x:v>RS-02033-I3</x:v>
      </x:c>
      <x:c r="B4044" s="4" t="str">
        <x:v>RS-02033</x:v>
      </x:c>
      <x:c r="C4044" s="9" t="n">
        <x:v>3</x:v>
      </x:c>
      <x:c r="D4044" s="8" t="n">
        <x:v>45489</x:v>
      </x:c>
      <x:c r="E4044" s="9" t="n">
        <x:v>4459000</x:v>
      </x:c>
      <x:c r="F4044" s="9" t="n">
        <x:v>0</x:v>
      </x:c>
    </x:row>
    <x:row r="4045" ht="34" customHeight="1">
      <x:c r="A4045" s="4" t="str">
        <x:v>RS-02033-I4</x:v>
      </x:c>
      <x:c r="B4045" s="4" t="str">
        <x:v>RS-02033</x:v>
      </x:c>
      <x:c r="C4045" s="9" t="n">
        <x:v>4</x:v>
      </x:c>
      <x:c r="D4045" s="8" t="n">
        <x:v>45519</x:v>
      </x:c>
      <x:c r="E4045" s="9" t="n">
        <x:v>4459000</x:v>
      </x:c>
      <x:c r="F4045" s="9" t="n">
        <x:v>0</x:v>
      </x:c>
    </x:row>
    <x:row r="4046" ht="34" customHeight="1">
      <x:c r="A4046" s="4" t="str">
        <x:v>RS-02034-I1</x:v>
      </x:c>
      <x:c r="B4046" s="4" t="str">
        <x:v>RS-02034</x:v>
      </x:c>
      <x:c r="C4046" s="9" t="n">
        <x:v>1</x:v>
      </x:c>
      <x:c r="D4046" s="8" t="n">
        <x:v>45430</x:v>
      </x:c>
      <x:c r="E4046" s="9" t="n">
        <x:v>2371500</x:v>
      </x:c>
      <x:c r="F4046" s="9" t="n">
        <x:v>2371500</x:v>
      </x:c>
    </x:row>
    <x:row r="4047" ht="34" customHeight="1">
      <x:c r="A4047" s="4" t="str">
        <x:v>RS-02034-I2</x:v>
      </x:c>
      <x:c r="B4047" s="4" t="str">
        <x:v>RS-02034</x:v>
      </x:c>
      <x:c r="C4047" s="9" t="n">
        <x:v>2</x:v>
      </x:c>
      <x:c r="D4047" s="8" t="n">
        <x:v>45460</x:v>
      </x:c>
      <x:c r="E4047" s="9" t="n">
        <x:v>2371500</x:v>
      </x:c>
      <x:c r="F4047" s="9" t="n">
        <x:v>2371500</x:v>
      </x:c>
    </x:row>
    <x:row r="4048" ht="34" customHeight="1">
      <x:c r="A4048" s="4" t="str">
        <x:v>RS-02034-I3</x:v>
      </x:c>
      <x:c r="B4048" s="4" t="str">
        <x:v>RS-02034</x:v>
      </x:c>
      <x:c r="C4048" s="9" t="n">
        <x:v>3</x:v>
      </x:c>
      <x:c r="D4048" s="8" t="n">
        <x:v>45490</x:v>
      </x:c>
      <x:c r="E4048" s="9" t="n">
        <x:v>2371500</x:v>
      </x:c>
      <x:c r="F4048" s="9" t="n">
        <x:v>0</x:v>
      </x:c>
    </x:row>
    <x:row r="4049" ht="34" customHeight="1">
      <x:c r="A4049" s="4" t="str">
        <x:v>RS-02034-I4</x:v>
      </x:c>
      <x:c r="B4049" s="4" t="str">
        <x:v>RS-02034</x:v>
      </x:c>
      <x:c r="C4049" s="9" t="n">
        <x:v>4</x:v>
      </x:c>
      <x:c r="D4049" s="8" t="n">
        <x:v>45520</x:v>
      </x:c>
      <x:c r="E4049" s="9" t="n">
        <x:v>2371500</x:v>
      </x:c>
      <x:c r="F4049" s="9" t="n">
        <x:v>0</x:v>
      </x:c>
    </x:row>
    <x:row r="4050" ht="34" customHeight="1">
      <x:c r="A4050" s="4" t="str">
        <x:v>RS-02038-I1</x:v>
      </x:c>
      <x:c r="B4050" s="4" t="str">
        <x:v>RS-02038</x:v>
      </x:c>
      <x:c r="C4050" s="9" t="n">
        <x:v>1</x:v>
      </x:c>
      <x:c r="D4050" s="8" t="n">
        <x:v>45434</x:v>
      </x:c>
      <x:c r="E4050" s="9" t="n">
        <x:v>1913500</x:v>
      </x:c>
      <x:c r="F4050" s="9" t="n">
        <x:v>765400</x:v>
      </x:c>
    </x:row>
    <x:row r="4051" ht="34" customHeight="1">
      <x:c r="A4051" s="4" t="str">
        <x:v>RS-02038-I2</x:v>
      </x:c>
      <x:c r="B4051" s="4" t="str">
        <x:v>RS-02038</x:v>
      </x:c>
      <x:c r="C4051" s="9" t="n">
        <x:v>2</x:v>
      </x:c>
      <x:c r="D4051" s="8" t="n">
        <x:v>45464</x:v>
      </x:c>
      <x:c r="E4051" s="9" t="n">
        <x:v>1913500</x:v>
      </x:c>
      <x:c r="F4051" s="9" t="n">
        <x:v>0</x:v>
      </x:c>
    </x:row>
    <x:row r="4052" ht="34" customHeight="1">
      <x:c r="A4052" s="4" t="str">
        <x:v>RS-02038-I3</x:v>
      </x:c>
      <x:c r="B4052" s="4" t="str">
        <x:v>RS-02038</x:v>
      </x:c>
      <x:c r="C4052" s="9" t="n">
        <x:v>3</x:v>
      </x:c>
      <x:c r="D4052" s="8" t="n">
        <x:v>45494</x:v>
      </x:c>
      <x:c r="E4052" s="9" t="n">
        <x:v>1913500</x:v>
      </x:c>
      <x:c r="F4052" s="9" t="n">
        <x:v>0</x:v>
      </x:c>
    </x:row>
    <x:row r="4053" ht="34" customHeight="1">
      <x:c r="A4053" s="4" t="str">
        <x:v>RS-02038-I4</x:v>
      </x:c>
      <x:c r="B4053" s="4" t="str">
        <x:v>RS-02038</x:v>
      </x:c>
      <x:c r="C4053" s="9" t="n">
        <x:v>4</x:v>
      </x:c>
      <x:c r="D4053" s="8" t="n">
        <x:v>45524</x:v>
      </x:c>
      <x:c r="E4053" s="9" t="n">
        <x:v>1913500</x:v>
      </x:c>
      <x:c r="F4053" s="9" t="n">
        <x:v>0</x:v>
      </x:c>
    </x:row>
    <x:row r="4054" ht="34" customHeight="1">
      <x:c r="A4054" s="4" t="str">
        <x:v>RS-02040-I1</x:v>
      </x:c>
      <x:c r="B4054" s="4" t="str">
        <x:v>RS-02040</x:v>
      </x:c>
      <x:c r="C4054" s="9" t="n">
        <x:v>1</x:v>
      </x:c>
      <x:c r="D4054" s="8" t="n">
        <x:v>45436</x:v>
      </x:c>
      <x:c r="E4054" s="9" t="n">
        <x:v>770000</x:v>
      </x:c>
      <x:c r="F4054" s="9" t="n">
        <x:v>770000</x:v>
      </x:c>
    </x:row>
    <x:row r="4055" ht="34" customHeight="1">
      <x:c r="A4055" s="4" t="str">
        <x:v>RS-02040-I2</x:v>
      </x:c>
      <x:c r="B4055" s="4" t="str">
        <x:v>RS-02040</x:v>
      </x:c>
      <x:c r="C4055" s="9" t="n">
        <x:v>2</x:v>
      </x:c>
      <x:c r="D4055" s="8" t="n">
        <x:v>45466</x:v>
      </x:c>
      <x:c r="E4055" s="9" t="n">
        <x:v>770000</x:v>
      </x:c>
      <x:c r="F4055" s="9" t="n">
        <x:v>770000</x:v>
      </x:c>
    </x:row>
    <x:row r="4056" ht="34" customHeight="1">
      <x:c r="A4056" s="4" t="str">
        <x:v>RS-02040-I3</x:v>
      </x:c>
      <x:c r="B4056" s="4" t="str">
        <x:v>RS-02040</x:v>
      </x:c>
      <x:c r="C4056" s="9" t="n">
        <x:v>3</x:v>
      </x:c>
      <x:c r="D4056" s="8" t="n">
        <x:v>45496</x:v>
      </x:c>
      <x:c r="E4056" s="9" t="n">
        <x:v>770000</x:v>
      </x:c>
      <x:c r="F4056" s="9" t="n">
        <x:v>0</x:v>
      </x:c>
    </x:row>
    <x:row r="4057" ht="34" customHeight="1">
      <x:c r="A4057" s="4" t="str">
        <x:v>RS-02040-I4</x:v>
      </x:c>
      <x:c r="B4057" s="4" t="str">
        <x:v>RS-02040</x:v>
      </x:c>
      <x:c r="C4057" s="9" t="n">
        <x:v>4</x:v>
      </x:c>
      <x:c r="D4057" s="8" t="n">
        <x:v>45526</x:v>
      </x:c>
      <x:c r="E4057" s="9" t="n">
        <x:v>770000</x:v>
      </x:c>
      <x:c r="F4057" s="9" t="n">
        <x:v>0</x:v>
      </x:c>
    </x:row>
    <x:row r="4058" ht="34" customHeight="1">
      <x:c r="A4058" s="4" t="str">
        <x:v>RS-02041-I1</x:v>
      </x:c>
      <x:c r="B4058" s="4" t="str">
        <x:v>RS-02041</x:v>
      </x:c>
      <x:c r="C4058" s="9" t="n">
        <x:v>1</x:v>
      </x:c>
      <x:c r="D4058" s="8" t="n">
        <x:v>45437</x:v>
      </x:c>
      <x:c r="E4058" s="9" t="n">
        <x:v>2921000</x:v>
      </x:c>
      <x:c r="F4058" s="9" t="n">
        <x:v>2921000</x:v>
      </x:c>
    </x:row>
    <x:row r="4059" ht="34" customHeight="1">
      <x:c r="A4059" s="4" t="str">
        <x:v>RS-02041-I2</x:v>
      </x:c>
      <x:c r="B4059" s="4" t="str">
        <x:v>RS-02041</x:v>
      </x:c>
      <x:c r="C4059" s="9" t="n">
        <x:v>2</x:v>
      </x:c>
      <x:c r="D4059" s="8" t="n">
        <x:v>45467</x:v>
      </x:c>
      <x:c r="E4059" s="9" t="n">
        <x:v>2921000</x:v>
      </x:c>
      <x:c r="F4059" s="9" t="n">
        <x:v>2921000</x:v>
      </x:c>
    </x:row>
    <x:row r="4060" ht="34" customHeight="1">
      <x:c r="A4060" s="4" t="str">
        <x:v>RS-02041-I3</x:v>
      </x:c>
      <x:c r="B4060" s="4" t="str">
        <x:v>RS-02041</x:v>
      </x:c>
      <x:c r="C4060" s="9" t="n">
        <x:v>3</x:v>
      </x:c>
      <x:c r="D4060" s="8" t="n">
        <x:v>45497</x:v>
      </x:c>
      <x:c r="E4060" s="9" t="n">
        <x:v>2921000</x:v>
      </x:c>
      <x:c r="F4060" s="9" t="n">
        <x:v>2921000</x:v>
      </x:c>
    </x:row>
    <x:row r="4061" ht="34" customHeight="1">
      <x:c r="A4061" s="4" t="str">
        <x:v>RS-02041-I4</x:v>
      </x:c>
      <x:c r="B4061" s="4" t="str">
        <x:v>RS-02041</x:v>
      </x:c>
      <x:c r="C4061" s="9" t="n">
        <x:v>4</x:v>
      </x:c>
      <x:c r="D4061" s="8" t="n">
        <x:v>45527</x:v>
      </x:c>
      <x:c r="E4061" s="9" t="n">
        <x:v>2921000</x:v>
      </x:c>
      <x:c r="F4061" s="9" t="n">
        <x:v>2921000</x:v>
      </x:c>
    </x:row>
    <x:row r="4062" ht="34" customHeight="1">
      <x:c r="A4062" s="4" t="str">
        <x:v>RS-02043-I1</x:v>
      </x:c>
      <x:c r="B4062" s="4" t="str">
        <x:v>RS-02043</x:v>
      </x:c>
      <x:c r="C4062" s="9" t="n">
        <x:v>1</x:v>
      </x:c>
      <x:c r="D4062" s="8" t="n">
        <x:v>45439</x:v>
      </x:c>
      <x:c r="E4062" s="9" t="n">
        <x:v>2910000</x:v>
      </x:c>
      <x:c r="F4062" s="9" t="n">
        <x:v>1164000</x:v>
      </x:c>
    </x:row>
    <x:row r="4063" ht="34" customHeight="1">
      <x:c r="A4063" s="4" t="str">
        <x:v>RS-02043-I2</x:v>
      </x:c>
      <x:c r="B4063" s="4" t="str">
        <x:v>RS-02043</x:v>
      </x:c>
      <x:c r="C4063" s="9" t="n">
        <x:v>2</x:v>
      </x:c>
      <x:c r="D4063" s="8" t="n">
        <x:v>45469</x:v>
      </x:c>
      <x:c r="E4063" s="9" t="n">
        <x:v>2910000</x:v>
      </x:c>
      <x:c r="F4063" s="9" t="n">
        <x:v>0</x:v>
      </x:c>
    </x:row>
    <x:row r="4064" ht="34" customHeight="1">
      <x:c r="A4064" s="4" t="str">
        <x:v>RS-02043-I3</x:v>
      </x:c>
      <x:c r="B4064" s="4" t="str">
        <x:v>RS-02043</x:v>
      </x:c>
      <x:c r="C4064" s="9" t="n">
        <x:v>3</x:v>
      </x:c>
      <x:c r="D4064" s="8" t="n">
        <x:v>45499</x:v>
      </x:c>
      <x:c r="E4064" s="9" t="n">
        <x:v>2910000</x:v>
      </x:c>
      <x:c r="F4064" s="9" t="n">
        <x:v>0</x:v>
      </x:c>
    </x:row>
    <x:row r="4065" ht="34" customHeight="1">
      <x:c r="A4065" s="4" t="str">
        <x:v>RS-02043-I4</x:v>
      </x:c>
      <x:c r="B4065" s="4" t="str">
        <x:v>RS-02043</x:v>
      </x:c>
      <x:c r="C4065" s="9" t="n">
        <x:v>4</x:v>
      </x:c>
      <x:c r="D4065" s="8" t="n">
        <x:v>45529</x:v>
      </x:c>
      <x:c r="E4065" s="9" t="n">
        <x:v>2910000</x:v>
      </x:c>
      <x:c r="F4065" s="9" t="n">
        <x:v>0</x:v>
      </x:c>
    </x:row>
    <x:row r="4066" ht="34" customHeight="1">
      <x:c r="A4066" s="4" t="str">
        <x:v>RS-02047-I1</x:v>
      </x:c>
      <x:c r="B4066" s="4" t="str">
        <x:v>RS-02047</x:v>
      </x:c>
      <x:c r="C4066" s="9" t="n">
        <x:v>1</x:v>
      </x:c>
      <x:c r="D4066" s="8" t="n">
        <x:v>45415</x:v>
      </x:c>
      <x:c r="E4066" s="9" t="n">
        <x:v>1261000</x:v>
      </x:c>
      <x:c r="F4066" s="9" t="n">
        <x:v>1261000</x:v>
      </x:c>
    </x:row>
    <x:row r="4067" ht="34" customHeight="1">
      <x:c r="A4067" s="4" t="str">
        <x:v>RS-02047-I2</x:v>
      </x:c>
      <x:c r="B4067" s="4" t="str">
        <x:v>RS-02047</x:v>
      </x:c>
      <x:c r="C4067" s="9" t="n">
        <x:v>2</x:v>
      </x:c>
      <x:c r="D4067" s="8" t="n">
        <x:v>45445</x:v>
      </x:c>
      <x:c r="E4067" s="9" t="n">
        <x:v>1261000</x:v>
      </x:c>
      <x:c r="F4067" s="9" t="n">
        <x:v>1261000</x:v>
      </x:c>
    </x:row>
    <x:row r="4068" ht="34" customHeight="1">
      <x:c r="A4068" s="4" t="str">
        <x:v>RS-02047-I3</x:v>
      </x:c>
      <x:c r="B4068" s="4" t="str">
        <x:v>RS-02047</x:v>
      </x:c>
      <x:c r="C4068" s="9" t="n">
        <x:v>3</x:v>
      </x:c>
      <x:c r="D4068" s="8" t="n">
        <x:v>45475</x:v>
      </x:c>
      <x:c r="E4068" s="9" t="n">
        <x:v>1261000</x:v>
      </x:c>
      <x:c r="F4068" s="9" t="n">
        <x:v>1261000</x:v>
      </x:c>
    </x:row>
    <x:row r="4069" ht="34" customHeight="1">
      <x:c r="A4069" s="4" t="str">
        <x:v>RS-02047-I4</x:v>
      </x:c>
      <x:c r="B4069" s="4" t="str">
        <x:v>RS-02047</x:v>
      </x:c>
      <x:c r="C4069" s="9" t="n">
        <x:v>4</x:v>
      </x:c>
      <x:c r="D4069" s="8" t="n">
        <x:v>45505</x:v>
      </x:c>
      <x:c r="E4069" s="9" t="n">
        <x:v>1261000</x:v>
      </x:c>
      <x:c r="F4069" s="9" t="n">
        <x:v>1261000</x:v>
      </x:c>
    </x:row>
    <x:row r="4070" ht="34" customHeight="1">
      <x:c r="A4070" s="4" t="str">
        <x:v>RS-02049-I1</x:v>
      </x:c>
      <x:c r="B4070" s="4" t="str">
        <x:v>RS-02049</x:v>
      </x:c>
      <x:c r="C4070" s="9" t="n">
        <x:v>1</x:v>
      </x:c>
      <x:c r="D4070" s="8" t="n">
        <x:v>45417</x:v>
      </x:c>
      <x:c r="E4070" s="9" t="n">
        <x:v>5593500</x:v>
      </x:c>
      <x:c r="F4070" s="9" t="n">
        <x:v>2237400</x:v>
      </x:c>
    </x:row>
    <x:row r="4071" ht="34" customHeight="1">
      <x:c r="A4071" s="4" t="str">
        <x:v>RS-02049-I2</x:v>
      </x:c>
      <x:c r="B4071" s="4" t="str">
        <x:v>RS-02049</x:v>
      </x:c>
      <x:c r="C4071" s="9" t="n">
        <x:v>2</x:v>
      </x:c>
      <x:c r="D4071" s="8" t="n">
        <x:v>45447</x:v>
      </x:c>
      <x:c r="E4071" s="9" t="n">
        <x:v>5593500</x:v>
      </x:c>
      <x:c r="F4071" s="9" t="n">
        <x:v>0</x:v>
      </x:c>
    </x:row>
    <x:row r="4072" ht="34" customHeight="1">
      <x:c r="A4072" s="4" t="str">
        <x:v>RS-02049-I3</x:v>
      </x:c>
      <x:c r="B4072" s="4" t="str">
        <x:v>RS-02049</x:v>
      </x:c>
      <x:c r="C4072" s="9" t="n">
        <x:v>3</x:v>
      </x:c>
      <x:c r="D4072" s="8" t="n">
        <x:v>45477</x:v>
      </x:c>
      <x:c r="E4072" s="9" t="n">
        <x:v>5593500</x:v>
      </x:c>
      <x:c r="F4072" s="9" t="n">
        <x:v>0</x:v>
      </x:c>
    </x:row>
    <x:row r="4073" ht="34" customHeight="1">
      <x:c r="A4073" s="4" t="str">
        <x:v>RS-02049-I4</x:v>
      </x:c>
      <x:c r="B4073" s="4" t="str">
        <x:v>RS-02049</x:v>
      </x:c>
      <x:c r="C4073" s="9" t="n">
        <x:v>4</x:v>
      </x:c>
      <x:c r="D4073" s="8" t="n">
        <x:v>45507</x:v>
      </x:c>
      <x:c r="E4073" s="9" t="n">
        <x:v>5593500</x:v>
      </x:c>
      <x:c r="F4073" s="9" t="n">
        <x:v>0</x:v>
      </x:c>
    </x:row>
    <x:row r="4074" ht="34" customHeight="1">
      <x:c r="A4074" s="4" t="str">
        <x:v>RS-02051-I1</x:v>
      </x:c>
      <x:c r="B4074" s="4" t="str">
        <x:v>RS-02051</x:v>
      </x:c>
      <x:c r="C4074" s="9" t="n">
        <x:v>1</x:v>
      </x:c>
      <x:c r="D4074" s="8" t="n">
        <x:v>45419</x:v>
      </x:c>
      <x:c r="E4074" s="9" t="n">
        <x:v>3680000</x:v>
      </x:c>
      <x:c r="F4074" s="9" t="n">
        <x:v>3680000</x:v>
      </x:c>
    </x:row>
    <x:row r="4075" ht="34" customHeight="1">
      <x:c r="A4075" s="4" t="str">
        <x:v>RS-02051-I2</x:v>
      </x:c>
      <x:c r="B4075" s="4" t="str">
        <x:v>RS-02051</x:v>
      </x:c>
      <x:c r="C4075" s="9" t="n">
        <x:v>2</x:v>
      </x:c>
      <x:c r="D4075" s="8" t="n">
        <x:v>45449</x:v>
      </x:c>
      <x:c r="E4075" s="9" t="n">
        <x:v>3680000</x:v>
      </x:c>
      <x:c r="F4075" s="9" t="n">
        <x:v>3680000</x:v>
      </x:c>
    </x:row>
    <x:row r="4076" ht="34" customHeight="1">
      <x:c r="A4076" s="4" t="str">
        <x:v>RS-02051-I3</x:v>
      </x:c>
      <x:c r="B4076" s="4" t="str">
        <x:v>RS-02051</x:v>
      </x:c>
      <x:c r="C4076" s="9" t="n">
        <x:v>3</x:v>
      </x:c>
      <x:c r="D4076" s="8" t="n">
        <x:v>45479</x:v>
      </x:c>
      <x:c r="E4076" s="9" t="n">
        <x:v>3680000</x:v>
      </x:c>
      <x:c r="F4076" s="9" t="n">
        <x:v>3680000</x:v>
      </x:c>
    </x:row>
    <x:row r="4077" ht="34" customHeight="1">
      <x:c r="A4077" s="4" t="str">
        <x:v>RS-02051-I4</x:v>
      </x:c>
      <x:c r="B4077" s="4" t="str">
        <x:v>RS-02051</x:v>
      </x:c>
      <x:c r="C4077" s="9" t="n">
        <x:v>4</x:v>
      </x:c>
      <x:c r="D4077" s="8" t="n">
        <x:v>45509</x:v>
      </x:c>
      <x:c r="E4077" s="9" t="n">
        <x:v>3680000</x:v>
      </x:c>
      <x:c r="F4077" s="9" t="n">
        <x:v>3680000</x:v>
      </x:c>
    </x:row>
    <x:row r="4078" ht="34" customHeight="1">
      <x:c r="A4078" s="4" t="str">
        <x:v>RS-02056-I1</x:v>
      </x:c>
      <x:c r="B4078" s="4" t="str">
        <x:v>RS-02056</x:v>
      </x:c>
      <x:c r="C4078" s="9" t="n">
        <x:v>1</x:v>
      </x:c>
      <x:c r="D4078" s="8" t="n">
        <x:v>45424</x:v>
      </x:c>
      <x:c r="E4078" s="9" t="n">
        <x:v>4936750</x:v>
      </x:c>
      <x:c r="F4078" s="9" t="n">
        <x:v>4936750</x:v>
      </x:c>
    </x:row>
    <x:row r="4079" ht="34" customHeight="1">
      <x:c r="A4079" s="4" t="str">
        <x:v>RS-02056-I2</x:v>
      </x:c>
      <x:c r="B4079" s="4" t="str">
        <x:v>RS-02056</x:v>
      </x:c>
      <x:c r="C4079" s="9" t="n">
        <x:v>2</x:v>
      </x:c>
      <x:c r="D4079" s="8" t="n">
        <x:v>45454</x:v>
      </x:c>
      <x:c r="E4079" s="9" t="n">
        <x:v>4936750</x:v>
      </x:c>
      <x:c r="F4079" s="9" t="n">
        <x:v>0</x:v>
      </x:c>
    </x:row>
    <x:row r="4080" ht="34" customHeight="1">
      <x:c r="A4080" s="4" t="str">
        <x:v>RS-02056-I3</x:v>
      </x:c>
      <x:c r="B4080" s="4" t="str">
        <x:v>RS-02056</x:v>
      </x:c>
      <x:c r="C4080" s="9" t="n">
        <x:v>3</x:v>
      </x:c>
      <x:c r="D4080" s="8" t="n">
        <x:v>45484</x:v>
      </x:c>
      <x:c r="E4080" s="9" t="n">
        <x:v>4936750</x:v>
      </x:c>
      <x:c r="F4080" s="9" t="n">
        <x:v>0</x:v>
      </x:c>
    </x:row>
    <x:row r="4081" ht="34" customHeight="1">
      <x:c r="A4081" s="4" t="str">
        <x:v>RS-02056-I4</x:v>
      </x:c>
      <x:c r="B4081" s="4" t="str">
        <x:v>RS-02056</x:v>
      </x:c>
      <x:c r="C4081" s="9" t="n">
        <x:v>4</x:v>
      </x:c>
      <x:c r="D4081" s="8" t="n">
        <x:v>45514</x:v>
      </x:c>
      <x:c r="E4081" s="9" t="n">
        <x:v>4936750</x:v>
      </x:c>
      <x:c r="F4081" s="9" t="n">
        <x:v>0</x:v>
      </x:c>
    </x:row>
    <x:row r="4082" ht="34" customHeight="1">
      <x:c r="A4082" s="4" t="str">
        <x:v>RS-02057-I1</x:v>
      </x:c>
      <x:c r="B4082" s="4" t="str">
        <x:v>RS-02057</x:v>
      </x:c>
      <x:c r="C4082" s="9" t="n">
        <x:v>1</x:v>
      </x:c>
      <x:c r="D4082" s="8" t="n">
        <x:v>45425</x:v>
      </x:c>
      <x:c r="E4082" s="9" t="n">
        <x:v>1781250</x:v>
      </x:c>
      <x:c r="F4082" s="9" t="n">
        <x:v>712500</x:v>
      </x:c>
    </x:row>
    <x:row r="4083" ht="34" customHeight="1">
      <x:c r="A4083" s="4" t="str">
        <x:v>RS-02057-I2</x:v>
      </x:c>
      <x:c r="B4083" s="4" t="str">
        <x:v>RS-02057</x:v>
      </x:c>
      <x:c r="C4083" s="9" t="n">
        <x:v>2</x:v>
      </x:c>
      <x:c r="D4083" s="8" t="n">
        <x:v>45455</x:v>
      </x:c>
      <x:c r="E4083" s="9" t="n">
        <x:v>1781250</x:v>
      </x:c>
      <x:c r="F4083" s="9" t="n">
        <x:v>0</x:v>
      </x:c>
    </x:row>
    <x:row r="4084" ht="34" customHeight="1">
      <x:c r="A4084" s="4" t="str">
        <x:v>RS-02057-I3</x:v>
      </x:c>
      <x:c r="B4084" s="4" t="str">
        <x:v>RS-02057</x:v>
      </x:c>
      <x:c r="C4084" s="9" t="n">
        <x:v>3</x:v>
      </x:c>
      <x:c r="D4084" s="8" t="n">
        <x:v>45485</x:v>
      </x:c>
      <x:c r="E4084" s="9" t="n">
        <x:v>1781250</x:v>
      </x:c>
      <x:c r="F4084" s="9" t="n">
        <x:v>0</x:v>
      </x:c>
    </x:row>
    <x:row r="4085" ht="34" customHeight="1">
      <x:c r="A4085" s="4" t="str">
        <x:v>RS-02057-I4</x:v>
      </x:c>
      <x:c r="B4085" s="4" t="str">
        <x:v>RS-02057</x:v>
      </x:c>
      <x:c r="C4085" s="9" t="n">
        <x:v>4</x:v>
      </x:c>
      <x:c r="D4085" s="8" t="n">
        <x:v>45515</x:v>
      </x:c>
      <x:c r="E4085" s="9" t="n">
        <x:v>1781250</x:v>
      </x:c>
      <x:c r="F4085" s="9" t="n">
        <x:v>0</x:v>
      </x:c>
    </x:row>
    <x:row r="4086" ht="34" customHeight="1">
      <x:c r="A4086" s="4" t="str">
        <x:v>RS-02058-I1</x:v>
      </x:c>
      <x:c r="B4086" s="4" t="str">
        <x:v>RS-02058</x:v>
      </x:c>
      <x:c r="C4086" s="9" t="n">
        <x:v>1</x:v>
      </x:c>
      <x:c r="D4086" s="8" t="n">
        <x:v>45426</x:v>
      </x:c>
      <x:c r="E4086" s="9" t="n">
        <x:v>3346500</x:v>
      </x:c>
      <x:c r="F4086" s="9" t="n">
        <x:v>3346500</x:v>
      </x:c>
    </x:row>
    <x:row r="4087" ht="34" customHeight="1">
      <x:c r="A4087" s="4" t="str">
        <x:v>RS-02058-I2</x:v>
      </x:c>
      <x:c r="B4087" s="4" t="str">
        <x:v>RS-02058</x:v>
      </x:c>
      <x:c r="C4087" s="9" t="n">
        <x:v>2</x:v>
      </x:c>
      <x:c r="D4087" s="8" t="n">
        <x:v>45456</x:v>
      </x:c>
      <x:c r="E4087" s="9" t="n">
        <x:v>3346500</x:v>
      </x:c>
      <x:c r="F4087" s="9" t="n">
        <x:v>0</x:v>
      </x:c>
    </x:row>
    <x:row r="4088" ht="34" customHeight="1">
      <x:c r="A4088" s="4" t="str">
        <x:v>RS-02058-I3</x:v>
      </x:c>
      <x:c r="B4088" s="4" t="str">
        <x:v>RS-02058</x:v>
      </x:c>
      <x:c r="C4088" s="9" t="n">
        <x:v>3</x:v>
      </x:c>
      <x:c r="D4088" s="8" t="n">
        <x:v>45486</x:v>
      </x:c>
      <x:c r="E4088" s="9" t="n">
        <x:v>3346500</x:v>
      </x:c>
      <x:c r="F4088" s="9" t="n">
        <x:v>0</x:v>
      </x:c>
    </x:row>
    <x:row r="4089" ht="34" customHeight="1">
      <x:c r="A4089" s="4" t="str">
        <x:v>RS-02058-I4</x:v>
      </x:c>
      <x:c r="B4089" s="4" t="str">
        <x:v>RS-02058</x:v>
      </x:c>
      <x:c r="C4089" s="9" t="n">
        <x:v>4</x:v>
      </x:c>
      <x:c r="D4089" s="8" t="n">
        <x:v>45516</x:v>
      </x:c>
      <x:c r="E4089" s="9" t="n">
        <x:v>3346500</x:v>
      </x:c>
      <x:c r="F4089" s="9" t="n">
        <x:v>0</x:v>
      </x:c>
    </x:row>
    <x:row r="4090" ht="34" customHeight="1">
      <x:c r="A4090" s="4" t="str">
        <x:v>RS-02061-I1</x:v>
      </x:c>
      <x:c r="B4090" s="4" t="str">
        <x:v>RS-02061</x:v>
      </x:c>
      <x:c r="C4090" s="9" t="n">
        <x:v>1</x:v>
      </x:c>
      <x:c r="D4090" s="8" t="n">
        <x:v>45429</x:v>
      </x:c>
      <x:c r="E4090" s="9" t="n">
        <x:v>1488000</x:v>
      </x:c>
      <x:c r="F4090" s="9" t="n">
        <x:v>1488000</x:v>
      </x:c>
    </x:row>
    <x:row r="4091" ht="34" customHeight="1">
      <x:c r="A4091" s="4" t="str">
        <x:v>RS-02061-I2</x:v>
      </x:c>
      <x:c r="B4091" s="4" t="str">
        <x:v>RS-02061</x:v>
      </x:c>
      <x:c r="C4091" s="9" t="n">
        <x:v>2</x:v>
      </x:c>
      <x:c r="D4091" s="8" t="n">
        <x:v>45459</x:v>
      </x:c>
      <x:c r="E4091" s="9" t="n">
        <x:v>1488000</x:v>
      </x:c>
      <x:c r="F4091" s="9" t="n">
        <x:v>1488000</x:v>
      </x:c>
    </x:row>
    <x:row r="4092" ht="34" customHeight="1">
      <x:c r="A4092" s="4" t="str">
        <x:v>RS-02061-I3</x:v>
      </x:c>
      <x:c r="B4092" s="4" t="str">
        <x:v>RS-02061</x:v>
      </x:c>
      <x:c r="C4092" s="9" t="n">
        <x:v>3</x:v>
      </x:c>
      <x:c r="D4092" s="8" t="n">
        <x:v>45489</x:v>
      </x:c>
      <x:c r="E4092" s="9" t="n">
        <x:v>1488000</x:v>
      </x:c>
      <x:c r="F4092" s="9" t="n">
        <x:v>1488000</x:v>
      </x:c>
    </x:row>
    <x:row r="4093" ht="34" customHeight="1">
      <x:c r="A4093" s="4" t="str">
        <x:v>RS-02061-I4</x:v>
      </x:c>
      <x:c r="B4093" s="4" t="str">
        <x:v>RS-02061</x:v>
      </x:c>
      <x:c r="C4093" s="9" t="n">
        <x:v>4</x:v>
      </x:c>
      <x:c r="D4093" s="8" t="n">
        <x:v>45519</x:v>
      </x:c>
      <x:c r="E4093" s="9" t="n">
        <x:v>1488000</x:v>
      </x:c>
      <x:c r="F4093" s="9" t="n">
        <x:v>1488000</x:v>
      </x:c>
    </x:row>
    <x:row r="4094" ht="34" customHeight="1">
      <x:c r="A4094" s="4" t="str">
        <x:v>RS-02062-I1</x:v>
      </x:c>
      <x:c r="B4094" s="4" t="str">
        <x:v>RS-02062</x:v>
      </x:c>
      <x:c r="C4094" s="9" t="n">
        <x:v>1</x:v>
      </x:c>
      <x:c r="D4094" s="8" t="n">
        <x:v>45430</x:v>
      </x:c>
      <x:c r="E4094" s="9" t="n">
        <x:v>5816250</x:v>
      </x:c>
      <x:c r="F4094" s="9" t="n">
        <x:v>5816250</x:v>
      </x:c>
    </x:row>
    <x:row r="4095" ht="34" customHeight="1">
      <x:c r="A4095" s="4" t="str">
        <x:v>RS-02062-I2</x:v>
      </x:c>
      <x:c r="B4095" s="4" t="str">
        <x:v>RS-02062</x:v>
      </x:c>
      <x:c r="C4095" s="9" t="n">
        <x:v>2</x:v>
      </x:c>
      <x:c r="D4095" s="8" t="n">
        <x:v>45460</x:v>
      </x:c>
      <x:c r="E4095" s="9" t="n">
        <x:v>5816250</x:v>
      </x:c>
      <x:c r="F4095" s="9" t="n">
        <x:v>5816250</x:v>
      </x:c>
    </x:row>
    <x:row r="4096" ht="34" customHeight="1">
      <x:c r="A4096" s="4" t="str">
        <x:v>RS-02062-I3</x:v>
      </x:c>
      <x:c r="B4096" s="4" t="str">
        <x:v>RS-02062</x:v>
      </x:c>
      <x:c r="C4096" s="9" t="n">
        <x:v>3</x:v>
      </x:c>
      <x:c r="D4096" s="8" t="n">
        <x:v>45490</x:v>
      </x:c>
      <x:c r="E4096" s="9" t="n">
        <x:v>5816250</x:v>
      </x:c>
      <x:c r="F4096" s="9" t="n">
        <x:v>5816250</x:v>
      </x:c>
    </x:row>
    <x:row r="4097" ht="34" customHeight="1">
      <x:c r="A4097" s="4" t="str">
        <x:v>RS-02062-I4</x:v>
      </x:c>
      <x:c r="B4097" s="4" t="str">
        <x:v>RS-02062</x:v>
      </x:c>
      <x:c r="C4097" s="9" t="n">
        <x:v>4</x:v>
      </x:c>
      <x:c r="D4097" s="8" t="n">
        <x:v>45520</x:v>
      </x:c>
      <x:c r="E4097" s="9" t="n">
        <x:v>5816250</x:v>
      </x:c>
      <x:c r="F4097" s="9" t="n">
        <x:v>5816250</x:v>
      </x:c>
    </x:row>
    <x:row r="4098" ht="34" customHeight="1">
      <x:c r="A4098" s="4" t="str">
        <x:v>RS-02064-I1</x:v>
      </x:c>
      <x:c r="B4098" s="4" t="str">
        <x:v>RS-02064</x:v>
      </x:c>
      <x:c r="C4098" s="9" t="n">
        <x:v>1</x:v>
      </x:c>
      <x:c r="D4098" s="8" t="n">
        <x:v>45432</x:v>
      </x:c>
      <x:c r="E4098" s="9" t="n">
        <x:v>2640000</x:v>
      </x:c>
      <x:c r="F4098" s="9" t="n">
        <x:v>1056000</x:v>
      </x:c>
    </x:row>
    <x:row r="4099" ht="34" customHeight="1">
      <x:c r="A4099" s="4" t="str">
        <x:v>RS-02064-I2</x:v>
      </x:c>
      <x:c r="B4099" s="4" t="str">
        <x:v>RS-02064</x:v>
      </x:c>
      <x:c r="C4099" s="9" t="n">
        <x:v>2</x:v>
      </x:c>
      <x:c r="D4099" s="8" t="n">
        <x:v>45462</x:v>
      </x:c>
      <x:c r="E4099" s="9" t="n">
        <x:v>2640000</x:v>
      </x:c>
      <x:c r="F4099" s="9" t="n">
        <x:v>0</x:v>
      </x:c>
    </x:row>
    <x:row r="4100" ht="34" customHeight="1">
      <x:c r="A4100" s="4" t="str">
        <x:v>RS-02064-I3</x:v>
      </x:c>
      <x:c r="B4100" s="4" t="str">
        <x:v>RS-02064</x:v>
      </x:c>
      <x:c r="C4100" s="9" t="n">
        <x:v>3</x:v>
      </x:c>
      <x:c r="D4100" s="8" t="n">
        <x:v>45492</x:v>
      </x:c>
      <x:c r="E4100" s="9" t="n">
        <x:v>2640000</x:v>
      </x:c>
      <x:c r="F4100" s="9" t="n">
        <x:v>0</x:v>
      </x:c>
    </x:row>
    <x:row r="4101" ht="34" customHeight="1">
      <x:c r="A4101" s="4" t="str">
        <x:v>RS-02064-I4</x:v>
      </x:c>
      <x:c r="B4101" s="4" t="str">
        <x:v>RS-02064</x:v>
      </x:c>
      <x:c r="C4101" s="9" t="n">
        <x:v>4</x:v>
      </x:c>
      <x:c r="D4101" s="8" t="n">
        <x:v>45522</x:v>
      </x:c>
      <x:c r="E4101" s="9" t="n">
        <x:v>2640000</x:v>
      </x:c>
      <x:c r="F4101" s="9" t="n">
        <x:v>0</x:v>
      </x:c>
    </x:row>
    <x:row r="4102" ht="34" customHeight="1">
      <x:c r="A4102" s="4" t="str">
        <x:v>RS-02065-I1</x:v>
      </x:c>
      <x:c r="B4102" s="4" t="str">
        <x:v>RS-02065</x:v>
      </x:c>
      <x:c r="C4102" s="9" t="n">
        <x:v>1</x:v>
      </x:c>
      <x:c r="D4102" s="8" t="n">
        <x:v>45433</x:v>
      </x:c>
      <x:c r="E4102" s="9" t="n">
        <x:v>1627500</x:v>
      </x:c>
      <x:c r="F4102" s="9" t="n">
        <x:v>1627500</x:v>
      </x:c>
    </x:row>
    <x:row r="4103" ht="34" customHeight="1">
      <x:c r="A4103" s="4" t="str">
        <x:v>RS-02065-I2</x:v>
      </x:c>
      <x:c r="B4103" s="4" t="str">
        <x:v>RS-02065</x:v>
      </x:c>
      <x:c r="C4103" s="9" t="n">
        <x:v>2</x:v>
      </x:c>
      <x:c r="D4103" s="8" t="n">
        <x:v>45463</x:v>
      </x:c>
      <x:c r="E4103" s="9" t="n">
        <x:v>1627500</x:v>
      </x:c>
      <x:c r="F4103" s="9" t="n">
        <x:v>1627500</x:v>
      </x:c>
    </x:row>
    <x:row r="4104" ht="34" customHeight="1">
      <x:c r="A4104" s="4" t="str">
        <x:v>RS-02065-I3</x:v>
      </x:c>
      <x:c r="B4104" s="4" t="str">
        <x:v>RS-02065</x:v>
      </x:c>
      <x:c r="C4104" s="9" t="n">
        <x:v>3</x:v>
      </x:c>
      <x:c r="D4104" s="8" t="n">
        <x:v>45493</x:v>
      </x:c>
      <x:c r="E4104" s="9" t="n">
        <x:v>1627500</x:v>
      </x:c>
      <x:c r="F4104" s="9" t="n">
        <x:v>1627500</x:v>
      </x:c>
    </x:row>
    <x:row r="4105" ht="34" customHeight="1">
      <x:c r="A4105" s="4" t="str">
        <x:v>RS-02065-I4</x:v>
      </x:c>
      <x:c r="B4105" s="4" t="str">
        <x:v>RS-02065</x:v>
      </x:c>
      <x:c r="C4105" s="9" t="n">
        <x:v>4</x:v>
      </x:c>
      <x:c r="D4105" s="8" t="n">
        <x:v>45523</x:v>
      </x:c>
      <x:c r="E4105" s="9" t="n">
        <x:v>1627500</x:v>
      </x:c>
      <x:c r="F4105" s="9" t="n">
        <x:v>1627500</x:v>
      </x:c>
    </x:row>
    <x:row r="4106" ht="34" customHeight="1">
      <x:c r="A4106" s="4" t="str">
        <x:v>RS-02069-I1</x:v>
      </x:c>
      <x:c r="B4106" s="4" t="str">
        <x:v>RS-02069</x:v>
      </x:c>
      <x:c r="C4106" s="9" t="n">
        <x:v>1</x:v>
      </x:c>
      <x:c r="D4106" s="8" t="n">
        <x:v>45437</x:v>
      </x:c>
      <x:c r="E4106" s="9" t="n">
        <x:v>2029500</x:v>
      </x:c>
      <x:c r="F4106" s="9" t="n">
        <x:v>2029500</x:v>
      </x:c>
    </x:row>
    <x:row r="4107" ht="34" customHeight="1">
      <x:c r="A4107" s="4" t="str">
        <x:v>RS-02069-I2</x:v>
      </x:c>
      <x:c r="B4107" s="4" t="str">
        <x:v>RS-02069</x:v>
      </x:c>
      <x:c r="C4107" s="9" t="n">
        <x:v>2</x:v>
      </x:c>
      <x:c r="D4107" s="8" t="n">
        <x:v>45467</x:v>
      </x:c>
      <x:c r="E4107" s="9" t="n">
        <x:v>2029500</x:v>
      </x:c>
      <x:c r="F4107" s="9" t="n">
        <x:v>0</x:v>
      </x:c>
    </x:row>
    <x:row r="4108" ht="34" customHeight="1">
      <x:c r="A4108" s="4" t="str">
        <x:v>RS-02069-I3</x:v>
      </x:c>
      <x:c r="B4108" s="4" t="str">
        <x:v>RS-02069</x:v>
      </x:c>
      <x:c r="C4108" s="9" t="n">
        <x:v>3</x:v>
      </x:c>
      <x:c r="D4108" s="8" t="n">
        <x:v>45497</x:v>
      </x:c>
      <x:c r="E4108" s="9" t="n">
        <x:v>2029500</x:v>
      </x:c>
      <x:c r="F4108" s="9" t="n">
        <x:v>0</x:v>
      </x:c>
    </x:row>
    <x:row r="4109" ht="34" customHeight="1">
      <x:c r="A4109" s="4" t="str">
        <x:v>RS-02069-I4</x:v>
      </x:c>
      <x:c r="B4109" s="4" t="str">
        <x:v>RS-02069</x:v>
      </x:c>
      <x:c r="C4109" s="9" t="n">
        <x:v>4</x:v>
      </x:c>
      <x:c r="D4109" s="8" t="n">
        <x:v>45527</x:v>
      </x:c>
      <x:c r="E4109" s="9" t="n">
        <x:v>2029500</x:v>
      </x:c>
      <x:c r="F4109" s="9" t="n">
        <x:v>0</x:v>
      </x:c>
    </x:row>
    <x:row r="4110" ht="34" customHeight="1">
      <x:c r="A4110" s="4" t="str">
        <x:v>RS-02072-I1</x:v>
      </x:c>
      <x:c r="B4110" s="4" t="str">
        <x:v>RS-02072</x:v>
      </x:c>
      <x:c r="C4110" s="9" t="n">
        <x:v>1</x:v>
      </x:c>
      <x:c r="D4110" s="8" t="n">
        <x:v>45440</x:v>
      </x:c>
      <x:c r="E4110" s="9" t="n">
        <x:v>1513000</x:v>
      </x:c>
      <x:c r="F4110" s="9" t="n">
        <x:v>1513000</x:v>
      </x:c>
    </x:row>
    <x:row r="4111" ht="34" customHeight="1">
      <x:c r="A4111" s="4" t="str">
        <x:v>RS-02072-I2</x:v>
      </x:c>
      <x:c r="B4111" s="4" t="str">
        <x:v>RS-02072</x:v>
      </x:c>
      <x:c r="C4111" s="9" t="n">
        <x:v>2</x:v>
      </x:c>
      <x:c r="D4111" s="8" t="n">
        <x:v>45470</x:v>
      </x:c>
      <x:c r="E4111" s="9" t="n">
        <x:v>1513000</x:v>
      </x:c>
      <x:c r="F4111" s="9" t="n">
        <x:v>1513000</x:v>
      </x:c>
    </x:row>
    <x:row r="4112" ht="34" customHeight="1">
      <x:c r="A4112" s="4" t="str">
        <x:v>RS-02072-I3</x:v>
      </x:c>
      <x:c r="B4112" s="4" t="str">
        <x:v>RS-02072</x:v>
      </x:c>
      <x:c r="C4112" s="9" t="n">
        <x:v>3</x:v>
      </x:c>
      <x:c r="D4112" s="8" t="n">
        <x:v>45500</x:v>
      </x:c>
      <x:c r="E4112" s="9" t="n">
        <x:v>1513000</x:v>
      </x:c>
      <x:c r="F4112" s="9" t="n">
        <x:v>0</x:v>
      </x:c>
    </x:row>
    <x:row r="4113" ht="34" customHeight="1">
      <x:c r="A4113" s="4" t="str">
        <x:v>RS-02072-I4</x:v>
      </x:c>
      <x:c r="B4113" s="4" t="str">
        <x:v>RS-02072</x:v>
      </x:c>
      <x:c r="C4113" s="9" t="n">
        <x:v>4</x:v>
      </x:c>
      <x:c r="D4113" s="8" t="n">
        <x:v>45530</x:v>
      </x:c>
      <x:c r="E4113" s="9" t="n">
        <x:v>1513000</x:v>
      </x:c>
      <x:c r="F4113" s="9" t="n">
        <x:v>0</x:v>
      </x:c>
    </x:row>
    <x:row r="4114" ht="34" customHeight="1">
      <x:c r="A4114" s="4" t="str">
        <x:v>RS-02079-I1</x:v>
      </x:c>
      <x:c r="B4114" s="4" t="str">
        <x:v>RS-02079</x:v>
      </x:c>
      <x:c r="C4114" s="9" t="n">
        <x:v>1</x:v>
      </x:c>
      <x:c r="D4114" s="8" t="n">
        <x:v>45419</x:v>
      </x:c>
      <x:c r="E4114" s="9" t="n">
        <x:v>4623000</x:v>
      </x:c>
      <x:c r="F4114" s="9" t="n">
        <x:v>4623000</x:v>
      </x:c>
    </x:row>
    <x:row r="4115" ht="34" customHeight="1">
      <x:c r="A4115" s="4" t="str">
        <x:v>RS-02079-I2</x:v>
      </x:c>
      <x:c r="B4115" s="4" t="str">
        <x:v>RS-02079</x:v>
      </x:c>
      <x:c r="C4115" s="9" t="n">
        <x:v>2</x:v>
      </x:c>
      <x:c r="D4115" s="8" t="n">
        <x:v>45449</x:v>
      </x:c>
      <x:c r="E4115" s="9" t="n">
        <x:v>4623000</x:v>
      </x:c>
      <x:c r="F4115" s="9" t="n">
        <x:v>4623000</x:v>
      </x:c>
    </x:row>
    <x:row r="4116" ht="34" customHeight="1">
      <x:c r="A4116" s="4" t="str">
        <x:v>RS-02079-I3</x:v>
      </x:c>
      <x:c r="B4116" s="4" t="str">
        <x:v>RS-02079</x:v>
      </x:c>
      <x:c r="C4116" s="9" t="n">
        <x:v>3</x:v>
      </x:c>
      <x:c r="D4116" s="8" t="n">
        <x:v>45479</x:v>
      </x:c>
      <x:c r="E4116" s="9" t="n">
        <x:v>4623000</x:v>
      </x:c>
      <x:c r="F4116" s="9" t="n">
        <x:v>0</x:v>
      </x:c>
    </x:row>
    <x:row r="4117" ht="34" customHeight="1">
      <x:c r="A4117" s="4" t="str">
        <x:v>RS-02079-I4</x:v>
      </x:c>
      <x:c r="B4117" s="4" t="str">
        <x:v>RS-02079</x:v>
      </x:c>
      <x:c r="C4117" s="9" t="n">
        <x:v>4</x:v>
      </x:c>
      <x:c r="D4117" s="8" t="n">
        <x:v>45509</x:v>
      </x:c>
      <x:c r="E4117" s="9" t="n">
        <x:v>4623000</x:v>
      </x:c>
      <x:c r="F4117" s="9" t="n">
        <x:v>0</x:v>
      </x:c>
    </x:row>
    <x:row r="4118" ht="34" customHeight="1">
      <x:c r="A4118" s="4" t="str">
        <x:v>RS-02081-I1</x:v>
      </x:c>
      <x:c r="B4118" s="4" t="str">
        <x:v>RS-02081</x:v>
      </x:c>
      <x:c r="C4118" s="9" t="n">
        <x:v>1</x:v>
      </x:c>
      <x:c r="D4118" s="8" t="n">
        <x:v>45421</x:v>
      </x:c>
      <x:c r="E4118" s="9" t="n">
        <x:v>1323000</x:v>
      </x:c>
      <x:c r="F4118" s="9" t="n">
        <x:v>529200</x:v>
      </x:c>
    </x:row>
    <x:row r="4119" ht="34" customHeight="1">
      <x:c r="A4119" s="4" t="str">
        <x:v>RS-02081-I2</x:v>
      </x:c>
      <x:c r="B4119" s="4" t="str">
        <x:v>RS-02081</x:v>
      </x:c>
      <x:c r="C4119" s="9" t="n">
        <x:v>2</x:v>
      </x:c>
      <x:c r="D4119" s="8" t="n">
        <x:v>45451</x:v>
      </x:c>
      <x:c r="E4119" s="9" t="n">
        <x:v>1323000</x:v>
      </x:c>
      <x:c r="F4119" s="9" t="n">
        <x:v>0</x:v>
      </x:c>
    </x:row>
    <x:row r="4120" ht="34" customHeight="1">
      <x:c r="A4120" s="4" t="str">
        <x:v>RS-02081-I3</x:v>
      </x:c>
      <x:c r="B4120" s="4" t="str">
        <x:v>RS-02081</x:v>
      </x:c>
      <x:c r="C4120" s="9" t="n">
        <x:v>3</x:v>
      </x:c>
      <x:c r="D4120" s="8" t="n">
        <x:v>45481</x:v>
      </x:c>
      <x:c r="E4120" s="9" t="n">
        <x:v>1323000</x:v>
      </x:c>
      <x:c r="F4120" s="9" t="n">
        <x:v>0</x:v>
      </x:c>
    </x:row>
    <x:row r="4121" ht="34" customHeight="1">
      <x:c r="A4121" s="4" t="str">
        <x:v>RS-02081-I4</x:v>
      </x:c>
      <x:c r="B4121" s="4" t="str">
        <x:v>RS-02081</x:v>
      </x:c>
      <x:c r="C4121" s="9" t="n">
        <x:v>4</x:v>
      </x:c>
      <x:c r="D4121" s="8" t="n">
        <x:v>45511</x:v>
      </x:c>
      <x:c r="E4121" s="9" t="n">
        <x:v>1323000</x:v>
      </x:c>
      <x:c r="F4121" s="9" t="n">
        <x:v>0</x:v>
      </x:c>
    </x:row>
    <x:row r="4122" ht="34" customHeight="1">
      <x:c r="A4122" s="4" t="str">
        <x:v>RS-02082-I1</x:v>
      </x:c>
      <x:c r="B4122" s="4" t="str">
        <x:v>RS-02082</x:v>
      </x:c>
      <x:c r="C4122" s="9" t="n">
        <x:v>1</x:v>
      </x:c>
      <x:c r="D4122" s="8" t="n">
        <x:v>45422</x:v>
      </x:c>
      <x:c r="E4122" s="9" t="n">
        <x:v>3464250</x:v>
      </x:c>
      <x:c r="F4122" s="9" t="n">
        <x:v>1385700</x:v>
      </x:c>
    </x:row>
    <x:row r="4123" ht="34" customHeight="1">
      <x:c r="A4123" s="4" t="str">
        <x:v>RS-02082-I2</x:v>
      </x:c>
      <x:c r="B4123" s="4" t="str">
        <x:v>RS-02082</x:v>
      </x:c>
      <x:c r="C4123" s="9" t="n">
        <x:v>2</x:v>
      </x:c>
      <x:c r="D4123" s="8" t="n">
        <x:v>45452</x:v>
      </x:c>
      <x:c r="E4123" s="9" t="n">
        <x:v>3464250</x:v>
      </x:c>
      <x:c r="F4123" s="9" t="n">
        <x:v>0</x:v>
      </x:c>
    </x:row>
    <x:row r="4124" ht="34" customHeight="1">
      <x:c r="A4124" s="4" t="str">
        <x:v>RS-02082-I3</x:v>
      </x:c>
      <x:c r="B4124" s="4" t="str">
        <x:v>RS-02082</x:v>
      </x:c>
      <x:c r="C4124" s="9" t="n">
        <x:v>3</x:v>
      </x:c>
      <x:c r="D4124" s="8" t="n">
        <x:v>45482</x:v>
      </x:c>
      <x:c r="E4124" s="9" t="n">
        <x:v>3464250</x:v>
      </x:c>
      <x:c r="F4124" s="9" t="n">
        <x:v>0</x:v>
      </x:c>
    </x:row>
    <x:row r="4125" ht="34" customHeight="1">
      <x:c r="A4125" s="4" t="str">
        <x:v>RS-02082-I4</x:v>
      </x:c>
      <x:c r="B4125" s="4" t="str">
        <x:v>RS-02082</x:v>
      </x:c>
      <x:c r="C4125" s="9" t="n">
        <x:v>4</x:v>
      </x:c>
      <x:c r="D4125" s="8" t="n">
        <x:v>45512</x:v>
      </x:c>
      <x:c r="E4125" s="9" t="n">
        <x:v>3464250</x:v>
      </x:c>
      <x:c r="F4125" s="9" t="n">
        <x:v>0</x:v>
      </x:c>
    </x:row>
    <x:row r="4126" ht="34" customHeight="1">
      <x:c r="A4126" s="4" t="str">
        <x:v>RS-02083-I1</x:v>
      </x:c>
      <x:c r="B4126" s="4" t="str">
        <x:v>RS-02083</x:v>
      </x:c>
      <x:c r="C4126" s="9" t="n">
        <x:v>1</x:v>
      </x:c>
      <x:c r="D4126" s="8" t="n">
        <x:v>45423</x:v>
      </x:c>
      <x:c r="E4126" s="9" t="n">
        <x:v>3487500</x:v>
      </x:c>
      <x:c r="F4126" s="9" t="n">
        <x:v>1395000</x:v>
      </x:c>
    </x:row>
    <x:row r="4127" ht="34" customHeight="1">
      <x:c r="A4127" s="4" t="str">
        <x:v>RS-02083-I2</x:v>
      </x:c>
      <x:c r="B4127" s="4" t="str">
        <x:v>RS-02083</x:v>
      </x:c>
      <x:c r="C4127" s="9" t="n">
        <x:v>2</x:v>
      </x:c>
      <x:c r="D4127" s="8" t="n">
        <x:v>45453</x:v>
      </x:c>
      <x:c r="E4127" s="9" t="n">
        <x:v>3487500</x:v>
      </x:c>
      <x:c r="F4127" s="9" t="n">
        <x:v>0</x:v>
      </x:c>
    </x:row>
    <x:row r="4128" ht="34" customHeight="1">
      <x:c r="A4128" s="4" t="str">
        <x:v>RS-02083-I3</x:v>
      </x:c>
      <x:c r="B4128" s="4" t="str">
        <x:v>RS-02083</x:v>
      </x:c>
      <x:c r="C4128" s="9" t="n">
        <x:v>3</x:v>
      </x:c>
      <x:c r="D4128" s="8" t="n">
        <x:v>45483</x:v>
      </x:c>
      <x:c r="E4128" s="9" t="n">
        <x:v>3487500</x:v>
      </x:c>
      <x:c r="F4128" s="9" t="n">
        <x:v>0</x:v>
      </x:c>
    </x:row>
    <x:row r="4129" ht="34" customHeight="1">
      <x:c r="A4129" s="4" t="str">
        <x:v>RS-02083-I4</x:v>
      </x:c>
      <x:c r="B4129" s="4" t="str">
        <x:v>RS-02083</x:v>
      </x:c>
      <x:c r="C4129" s="9" t="n">
        <x:v>4</x:v>
      </x:c>
      <x:c r="D4129" s="8" t="n">
        <x:v>45513</x:v>
      </x:c>
      <x:c r="E4129" s="9" t="n">
        <x:v>3487500</x:v>
      </x:c>
      <x:c r="F4129" s="9" t="n">
        <x:v>0</x:v>
      </x:c>
    </x:row>
    <x:row r="4130" ht="34" customHeight="1">
      <x:c r="A4130" s="4" t="str">
        <x:v>RS-02089-I1</x:v>
      </x:c>
      <x:c r="B4130" s="4" t="str">
        <x:v>RS-02089</x:v>
      </x:c>
      <x:c r="C4130" s="9" t="n">
        <x:v>1</x:v>
      </x:c>
      <x:c r="D4130" s="8" t="n">
        <x:v>45429</x:v>
      </x:c>
      <x:c r="E4130" s="9" t="n">
        <x:v>2546250</x:v>
      </x:c>
      <x:c r="F4130" s="9" t="n">
        <x:v>1018500</x:v>
      </x:c>
    </x:row>
    <x:row r="4131" ht="34" customHeight="1">
      <x:c r="A4131" s="4" t="str">
        <x:v>RS-02089-I2</x:v>
      </x:c>
      <x:c r="B4131" s="4" t="str">
        <x:v>RS-02089</x:v>
      </x:c>
      <x:c r="C4131" s="9" t="n">
        <x:v>2</x:v>
      </x:c>
      <x:c r="D4131" s="8" t="n">
        <x:v>45459</x:v>
      </x:c>
      <x:c r="E4131" s="9" t="n">
        <x:v>2546250</x:v>
      </x:c>
      <x:c r="F4131" s="9" t="n">
        <x:v>0</x:v>
      </x:c>
    </x:row>
    <x:row r="4132" ht="34" customHeight="1">
      <x:c r="A4132" s="4" t="str">
        <x:v>RS-02089-I3</x:v>
      </x:c>
      <x:c r="B4132" s="4" t="str">
        <x:v>RS-02089</x:v>
      </x:c>
      <x:c r="C4132" s="9" t="n">
        <x:v>3</x:v>
      </x:c>
      <x:c r="D4132" s="8" t="n">
        <x:v>45489</x:v>
      </x:c>
      <x:c r="E4132" s="9" t="n">
        <x:v>2546250</x:v>
      </x:c>
      <x:c r="F4132" s="9" t="n">
        <x:v>0</x:v>
      </x:c>
    </x:row>
    <x:row r="4133" ht="34" customHeight="1">
      <x:c r="A4133" s="4" t="str">
        <x:v>RS-02089-I4</x:v>
      </x:c>
      <x:c r="B4133" s="4" t="str">
        <x:v>RS-02089</x:v>
      </x:c>
      <x:c r="C4133" s="9" t="n">
        <x:v>4</x:v>
      </x:c>
      <x:c r="D4133" s="8" t="n">
        <x:v>45519</x:v>
      </x:c>
      <x:c r="E4133" s="9" t="n">
        <x:v>2546250</x:v>
      </x:c>
      <x:c r="F4133" s="9" t="n">
        <x:v>0</x:v>
      </x:c>
    </x:row>
    <x:row r="4134" ht="34" customHeight="1">
      <x:c r="A4134" s="4" t="str">
        <x:v>RS-02093-I1</x:v>
      </x:c>
      <x:c r="B4134" s="4" t="str">
        <x:v>RS-02093</x:v>
      </x:c>
      <x:c r="C4134" s="9" t="n">
        <x:v>1</x:v>
      </x:c>
      <x:c r="D4134" s="8" t="n">
        <x:v>45433</x:v>
      </x:c>
      <x:c r="E4134" s="9" t="n">
        <x:v>4770000</x:v>
      </x:c>
      <x:c r="F4134" s="9" t="n">
        <x:v>1908000</x:v>
      </x:c>
    </x:row>
    <x:row r="4135" ht="34" customHeight="1">
      <x:c r="A4135" s="4" t="str">
        <x:v>RS-02093-I2</x:v>
      </x:c>
      <x:c r="B4135" s="4" t="str">
        <x:v>RS-02093</x:v>
      </x:c>
      <x:c r="C4135" s="9" t="n">
        <x:v>2</x:v>
      </x:c>
      <x:c r="D4135" s="8" t="n">
        <x:v>45463</x:v>
      </x:c>
      <x:c r="E4135" s="9" t="n">
        <x:v>4770000</x:v>
      </x:c>
      <x:c r="F4135" s="9" t="n">
        <x:v>0</x:v>
      </x:c>
    </x:row>
    <x:row r="4136" ht="34" customHeight="1">
      <x:c r="A4136" s="4" t="str">
        <x:v>RS-02093-I3</x:v>
      </x:c>
      <x:c r="B4136" s="4" t="str">
        <x:v>RS-02093</x:v>
      </x:c>
      <x:c r="C4136" s="9" t="n">
        <x:v>3</x:v>
      </x:c>
      <x:c r="D4136" s="8" t="n">
        <x:v>45493</x:v>
      </x:c>
      <x:c r="E4136" s="9" t="n">
        <x:v>4770000</x:v>
      </x:c>
      <x:c r="F4136" s="9" t="n">
        <x:v>0</x:v>
      </x:c>
    </x:row>
    <x:row r="4137" ht="34" customHeight="1">
      <x:c r="A4137" s="4" t="str">
        <x:v>RS-02093-I4</x:v>
      </x:c>
      <x:c r="B4137" s="4" t="str">
        <x:v>RS-02093</x:v>
      </x:c>
      <x:c r="C4137" s="9" t="n">
        <x:v>4</x:v>
      </x:c>
      <x:c r="D4137" s="8" t="n">
        <x:v>45523</x:v>
      </x:c>
      <x:c r="E4137" s="9" t="n">
        <x:v>4770000</x:v>
      </x:c>
      <x:c r="F4137" s="9" t="n">
        <x:v>0</x:v>
      </x:c>
    </x:row>
    <x:row r="4138" ht="34" customHeight="1">
      <x:c r="A4138" s="4" t="str">
        <x:v>RS-02095-I1</x:v>
      </x:c>
      <x:c r="B4138" s="4" t="str">
        <x:v>RS-02095</x:v>
      </x:c>
      <x:c r="C4138" s="9" t="n">
        <x:v>1</x:v>
      </x:c>
      <x:c r="D4138" s="8" t="n">
        <x:v>45435</x:v>
      </x:c>
      <x:c r="E4138" s="9" t="n">
        <x:v>3613250</x:v>
      </x:c>
      <x:c r="F4138" s="9" t="n">
        <x:v>3613250</x:v>
      </x:c>
    </x:row>
    <x:row r="4139" ht="34" customHeight="1">
      <x:c r="A4139" s="4" t="str">
        <x:v>RS-02095-I2</x:v>
      </x:c>
      <x:c r="B4139" s="4" t="str">
        <x:v>RS-02095</x:v>
      </x:c>
      <x:c r="C4139" s="9" t="n">
        <x:v>2</x:v>
      </x:c>
      <x:c r="D4139" s="8" t="n">
        <x:v>45465</x:v>
      </x:c>
      <x:c r="E4139" s="9" t="n">
        <x:v>3613250</x:v>
      </x:c>
      <x:c r="F4139" s="9" t="n">
        <x:v>3613250</x:v>
      </x:c>
    </x:row>
    <x:row r="4140" ht="34" customHeight="1">
      <x:c r="A4140" s="4" t="str">
        <x:v>RS-02095-I3</x:v>
      </x:c>
      <x:c r="B4140" s="4" t="str">
        <x:v>RS-02095</x:v>
      </x:c>
      <x:c r="C4140" s="9" t="n">
        <x:v>3</x:v>
      </x:c>
      <x:c r="D4140" s="8" t="n">
        <x:v>45495</x:v>
      </x:c>
      <x:c r="E4140" s="9" t="n">
        <x:v>3613250</x:v>
      </x:c>
      <x:c r="F4140" s="9" t="n">
        <x:v>3613250</x:v>
      </x:c>
    </x:row>
    <x:row r="4141" ht="34" customHeight="1">
      <x:c r="A4141" s="4" t="str">
        <x:v>RS-02095-I4</x:v>
      </x:c>
      <x:c r="B4141" s="4" t="str">
        <x:v>RS-02095</x:v>
      </x:c>
      <x:c r="C4141" s="9" t="n">
        <x:v>4</x:v>
      </x:c>
      <x:c r="D4141" s="8" t="n">
        <x:v>45525</x:v>
      </x:c>
      <x:c r="E4141" s="9" t="n">
        <x:v>3613250</x:v>
      </x:c>
      <x:c r="F4141" s="9" t="n">
        <x:v>3613250</x:v>
      </x:c>
    </x:row>
    <x:row r="4142" ht="34" customHeight="1">
      <x:c r="A4142" s="4" t="str">
        <x:v>RS-02096-I1</x:v>
      </x:c>
      <x:c r="B4142" s="4" t="str">
        <x:v>RS-02096</x:v>
      </x:c>
      <x:c r="C4142" s="9" t="n">
        <x:v>1</x:v>
      </x:c>
      <x:c r="D4142" s="8" t="n">
        <x:v>45436</x:v>
      </x:c>
      <x:c r="E4142" s="9" t="n">
        <x:v>4183000</x:v>
      </x:c>
      <x:c r="F4142" s="9" t="n">
        <x:v>4183000</x:v>
      </x:c>
    </x:row>
    <x:row r="4143" ht="34" customHeight="1">
      <x:c r="A4143" s="4" t="str">
        <x:v>RS-02096-I2</x:v>
      </x:c>
      <x:c r="B4143" s="4" t="str">
        <x:v>RS-02096</x:v>
      </x:c>
      <x:c r="C4143" s="9" t="n">
        <x:v>2</x:v>
      </x:c>
      <x:c r="D4143" s="8" t="n">
        <x:v>45466</x:v>
      </x:c>
      <x:c r="E4143" s="9" t="n">
        <x:v>4183000</x:v>
      </x:c>
      <x:c r="F4143" s="9" t="n">
        <x:v>4183000</x:v>
      </x:c>
    </x:row>
    <x:row r="4144" ht="34" customHeight="1">
      <x:c r="A4144" s="4" t="str">
        <x:v>RS-02096-I3</x:v>
      </x:c>
      <x:c r="B4144" s="4" t="str">
        <x:v>RS-02096</x:v>
      </x:c>
      <x:c r="C4144" s="9" t="n">
        <x:v>3</x:v>
      </x:c>
      <x:c r="D4144" s="8" t="n">
        <x:v>45496</x:v>
      </x:c>
      <x:c r="E4144" s="9" t="n">
        <x:v>4183000</x:v>
      </x:c>
      <x:c r="F4144" s="9" t="n">
        <x:v>0</x:v>
      </x:c>
    </x:row>
    <x:row r="4145" ht="34" customHeight="1">
      <x:c r="A4145" s="4" t="str">
        <x:v>RS-02096-I4</x:v>
      </x:c>
      <x:c r="B4145" s="4" t="str">
        <x:v>RS-02096</x:v>
      </x:c>
      <x:c r="C4145" s="9" t="n">
        <x:v>4</x:v>
      </x:c>
      <x:c r="D4145" s="8" t="n">
        <x:v>45526</x:v>
      </x:c>
      <x:c r="E4145" s="9" t="n">
        <x:v>4183000</x:v>
      </x:c>
      <x:c r="F4145" s="9" t="n">
        <x:v>0</x:v>
      </x:c>
    </x:row>
    <x:row r="4146" ht="34" customHeight="1">
      <x:c r="A4146" s="4" t="str">
        <x:v>RS-02097-I1</x:v>
      </x:c>
      <x:c r="B4146" s="4" t="str">
        <x:v>RS-02097</x:v>
      </x:c>
      <x:c r="C4146" s="9" t="n">
        <x:v>1</x:v>
      </x:c>
      <x:c r="D4146" s="8" t="n">
        <x:v>45437</x:v>
      </x:c>
      <x:c r="E4146" s="9" t="n">
        <x:v>4207500</x:v>
      </x:c>
      <x:c r="F4146" s="9" t="n">
        <x:v>4207500</x:v>
      </x:c>
    </x:row>
    <x:row r="4147" ht="34" customHeight="1">
      <x:c r="A4147" s="4" t="str">
        <x:v>RS-02097-I2</x:v>
      </x:c>
      <x:c r="B4147" s="4" t="str">
        <x:v>RS-02097</x:v>
      </x:c>
      <x:c r="C4147" s="9" t="n">
        <x:v>2</x:v>
      </x:c>
      <x:c r="D4147" s="8" t="n">
        <x:v>45467</x:v>
      </x:c>
      <x:c r="E4147" s="9" t="n">
        <x:v>4207500</x:v>
      </x:c>
      <x:c r="F4147" s="9" t="n">
        <x:v>4207500</x:v>
      </x:c>
    </x:row>
    <x:row r="4148" ht="34" customHeight="1">
      <x:c r="A4148" s="4" t="str">
        <x:v>RS-02097-I3</x:v>
      </x:c>
      <x:c r="B4148" s="4" t="str">
        <x:v>RS-02097</x:v>
      </x:c>
      <x:c r="C4148" s="9" t="n">
        <x:v>3</x:v>
      </x:c>
      <x:c r="D4148" s="8" t="n">
        <x:v>45497</x:v>
      </x:c>
      <x:c r="E4148" s="9" t="n">
        <x:v>4207500</x:v>
      </x:c>
      <x:c r="F4148" s="9" t="n">
        <x:v>4207500</x:v>
      </x:c>
    </x:row>
    <x:row r="4149" ht="34" customHeight="1">
      <x:c r="A4149" s="4" t="str">
        <x:v>RS-02097-I4</x:v>
      </x:c>
      <x:c r="B4149" s="4" t="str">
        <x:v>RS-02097</x:v>
      </x:c>
      <x:c r="C4149" s="9" t="n">
        <x:v>4</x:v>
      </x:c>
      <x:c r="D4149" s="8" t="n">
        <x:v>45527</x:v>
      </x:c>
      <x:c r="E4149" s="9" t="n">
        <x:v>4207500</x:v>
      </x:c>
      <x:c r="F4149" s="9" t="n">
        <x:v>4207500</x:v>
      </x:c>
    </x:row>
    <x:row r="4150" ht="34" customHeight="1">
      <x:c r="A4150" s="4" t="str">
        <x:v>RS-02099-I1</x:v>
      </x:c>
      <x:c r="B4150" s="4" t="str">
        <x:v>RS-02099</x:v>
      </x:c>
      <x:c r="C4150" s="9" t="n">
        <x:v>1</x:v>
      </x:c>
      <x:c r="D4150" s="8" t="n">
        <x:v>45439</x:v>
      </x:c>
      <x:c r="E4150" s="9" t="n">
        <x:v>5551000</x:v>
      </x:c>
      <x:c r="F4150" s="9" t="n">
        <x:v>5551000</x:v>
      </x:c>
    </x:row>
    <x:row r="4151" ht="34" customHeight="1">
      <x:c r="A4151" s="4" t="str">
        <x:v>RS-02099-I2</x:v>
      </x:c>
      <x:c r="B4151" s="4" t="str">
        <x:v>RS-02099</x:v>
      </x:c>
      <x:c r="C4151" s="9" t="n">
        <x:v>2</x:v>
      </x:c>
      <x:c r="D4151" s="8" t="n">
        <x:v>45469</x:v>
      </x:c>
      <x:c r="E4151" s="9" t="n">
        <x:v>5551000</x:v>
      </x:c>
      <x:c r="F4151" s="9" t="n">
        <x:v>5551000</x:v>
      </x:c>
    </x:row>
    <x:row r="4152" ht="34" customHeight="1">
      <x:c r="A4152" s="4" t="str">
        <x:v>RS-02099-I3</x:v>
      </x:c>
      <x:c r="B4152" s="4" t="str">
        <x:v>RS-02099</x:v>
      </x:c>
      <x:c r="C4152" s="9" t="n">
        <x:v>3</x:v>
      </x:c>
      <x:c r="D4152" s="8" t="n">
        <x:v>45499</x:v>
      </x:c>
      <x:c r="E4152" s="9" t="n">
        <x:v>5551000</x:v>
      </x:c>
      <x:c r="F4152" s="9" t="n">
        <x:v>5551000</x:v>
      </x:c>
    </x:row>
    <x:row r="4153" ht="34" customHeight="1">
      <x:c r="A4153" s="4" t="str">
        <x:v>RS-02099-I4</x:v>
      </x:c>
      <x:c r="B4153" s="4" t="str">
        <x:v>RS-02099</x:v>
      </x:c>
      <x:c r="C4153" s="9" t="n">
        <x:v>4</x:v>
      </x:c>
      <x:c r="D4153" s="8" t="n">
        <x:v>45529</x:v>
      </x:c>
      <x:c r="E4153" s="9" t="n">
        <x:v>5551000</x:v>
      </x:c>
      <x:c r="F4153" s="9" t="n">
        <x:v>5551000</x:v>
      </x:c>
    </x:row>
    <x:row r="4154" ht="34" customHeight="1">
      <x:c r="A4154" s="4" t="str">
        <x:v>RS-02100-I1</x:v>
      </x:c>
      <x:c r="B4154" s="4" t="str">
        <x:v>RS-02100</x:v>
      </x:c>
      <x:c r="C4154" s="9" t="n">
        <x:v>1</x:v>
      </x:c>
      <x:c r="D4154" s="8" t="n">
        <x:v>45440</x:v>
      </x:c>
      <x:c r="E4154" s="9" t="n">
        <x:v>3861000</x:v>
      </x:c>
      <x:c r="F4154" s="9" t="n">
        <x:v>1544400</x:v>
      </x:c>
    </x:row>
    <x:row r="4155" ht="34" customHeight="1">
      <x:c r="A4155" s="4" t="str">
        <x:v>RS-02100-I2</x:v>
      </x:c>
      <x:c r="B4155" s="4" t="str">
        <x:v>RS-02100</x:v>
      </x:c>
      <x:c r="C4155" s="9" t="n">
        <x:v>2</x:v>
      </x:c>
      <x:c r="D4155" s="8" t="n">
        <x:v>45470</x:v>
      </x:c>
      <x:c r="E4155" s="9" t="n">
        <x:v>3861000</x:v>
      </x:c>
      <x:c r="F4155" s="9" t="n">
        <x:v>0</x:v>
      </x:c>
    </x:row>
    <x:row r="4156" ht="34" customHeight="1">
      <x:c r="A4156" s="4" t="str">
        <x:v>RS-02100-I3</x:v>
      </x:c>
      <x:c r="B4156" s="4" t="str">
        <x:v>RS-02100</x:v>
      </x:c>
      <x:c r="C4156" s="9" t="n">
        <x:v>3</x:v>
      </x:c>
      <x:c r="D4156" s="8" t="n">
        <x:v>45500</x:v>
      </x:c>
      <x:c r="E4156" s="9" t="n">
        <x:v>3861000</x:v>
      </x:c>
      <x:c r="F4156" s="9" t="n">
        <x:v>0</x:v>
      </x:c>
    </x:row>
    <x:row r="4157" ht="34" customHeight="1">
      <x:c r="A4157" s="4" t="str">
        <x:v>RS-02100-I4</x:v>
      </x:c>
      <x:c r="B4157" s="4" t="str">
        <x:v>RS-02100</x:v>
      </x:c>
      <x:c r="C4157" s="9" t="n">
        <x:v>4</x:v>
      </x:c>
      <x:c r="D4157" s="8" t="n">
        <x:v>45530</x:v>
      </x:c>
      <x:c r="E4157" s="9" t="n">
        <x:v>3861000</x:v>
      </x:c>
      <x:c r="F4157" s="9" t="n">
        <x:v>0</x:v>
      </x:c>
    </x:row>
    <x:row r="4158" ht="34" customHeight="1">
      <x:c r="A4158" s="4" t="str">
        <x:v>RS-02103-I1</x:v>
      </x:c>
      <x:c r="B4158" s="4" t="str">
        <x:v>RS-02103</x:v>
      </x:c>
      <x:c r="C4158" s="9" t="n">
        <x:v>1</x:v>
      </x:c>
      <x:c r="D4158" s="8" t="n">
        <x:v>45415</x:v>
      </x:c>
      <x:c r="E4158" s="9" t="n">
        <x:v>1014750</x:v>
      </x:c>
      <x:c r="F4158" s="9" t="n">
        <x:v>1014750</x:v>
      </x:c>
    </x:row>
    <x:row r="4159" ht="34" customHeight="1">
      <x:c r="A4159" s="4" t="str">
        <x:v>RS-02103-I2</x:v>
      </x:c>
      <x:c r="B4159" s="4" t="str">
        <x:v>RS-02103</x:v>
      </x:c>
      <x:c r="C4159" s="9" t="n">
        <x:v>2</x:v>
      </x:c>
      <x:c r="D4159" s="8" t="n">
        <x:v>45445</x:v>
      </x:c>
      <x:c r="E4159" s="9" t="n">
        <x:v>1014750</x:v>
      </x:c>
      <x:c r="F4159" s="9" t="n">
        <x:v>1014750</x:v>
      </x:c>
    </x:row>
    <x:row r="4160" ht="34" customHeight="1">
      <x:c r="A4160" s="4" t="str">
        <x:v>RS-02103-I3</x:v>
      </x:c>
      <x:c r="B4160" s="4" t="str">
        <x:v>RS-02103</x:v>
      </x:c>
      <x:c r="C4160" s="9" t="n">
        <x:v>3</x:v>
      </x:c>
      <x:c r="D4160" s="8" t="n">
        <x:v>45475</x:v>
      </x:c>
      <x:c r="E4160" s="9" t="n">
        <x:v>1014750</x:v>
      </x:c>
      <x:c r="F4160" s="9" t="n">
        <x:v>0</x:v>
      </x:c>
    </x:row>
    <x:row r="4161" ht="34" customHeight="1">
      <x:c r="A4161" s="4" t="str">
        <x:v>RS-02103-I4</x:v>
      </x:c>
      <x:c r="B4161" s="4" t="str">
        <x:v>RS-02103</x:v>
      </x:c>
      <x:c r="C4161" s="9" t="n">
        <x:v>4</x:v>
      </x:c>
      <x:c r="D4161" s="8" t="n">
        <x:v>45505</x:v>
      </x:c>
      <x:c r="E4161" s="9" t="n">
        <x:v>1014750</x:v>
      </x:c>
      <x:c r="F4161" s="9" t="n">
        <x:v>0</x:v>
      </x:c>
    </x:row>
    <x:row r="4162" ht="34" customHeight="1">
      <x:c r="A4162" s="4" t="str">
        <x:v>RS-02105-I1</x:v>
      </x:c>
      <x:c r="B4162" s="4" t="str">
        <x:v>RS-02105</x:v>
      </x:c>
      <x:c r="C4162" s="9" t="n">
        <x:v>1</x:v>
      </x:c>
      <x:c r="D4162" s="8" t="n">
        <x:v>45417</x:v>
      </x:c>
      <x:c r="E4162" s="9" t="n">
        <x:v>2593500</x:v>
      </x:c>
      <x:c r="F4162" s="9" t="n">
        <x:v>2593500</x:v>
      </x:c>
    </x:row>
    <x:row r="4163" ht="34" customHeight="1">
      <x:c r="A4163" s="4" t="str">
        <x:v>RS-02105-I2</x:v>
      </x:c>
      <x:c r="B4163" s="4" t="str">
        <x:v>RS-02105</x:v>
      </x:c>
      <x:c r="C4163" s="9" t="n">
        <x:v>2</x:v>
      </x:c>
      <x:c r="D4163" s="8" t="n">
        <x:v>45447</x:v>
      </x:c>
      <x:c r="E4163" s="9" t="n">
        <x:v>2593500</x:v>
      </x:c>
      <x:c r="F4163" s="9" t="n">
        <x:v>0</x:v>
      </x:c>
    </x:row>
    <x:row r="4164" ht="34" customHeight="1">
      <x:c r="A4164" s="4" t="str">
        <x:v>RS-02105-I3</x:v>
      </x:c>
      <x:c r="B4164" s="4" t="str">
        <x:v>RS-02105</x:v>
      </x:c>
      <x:c r="C4164" s="9" t="n">
        <x:v>3</x:v>
      </x:c>
      <x:c r="D4164" s="8" t="n">
        <x:v>45477</x:v>
      </x:c>
      <x:c r="E4164" s="9" t="n">
        <x:v>2593500</x:v>
      </x:c>
      <x:c r="F4164" s="9" t="n">
        <x:v>0</x:v>
      </x:c>
    </x:row>
    <x:row r="4165" ht="34" customHeight="1">
      <x:c r="A4165" s="4" t="str">
        <x:v>RS-02105-I4</x:v>
      </x:c>
      <x:c r="B4165" s="4" t="str">
        <x:v>RS-02105</x:v>
      </x:c>
      <x:c r="C4165" s="9" t="n">
        <x:v>4</x:v>
      </x:c>
      <x:c r="D4165" s="8" t="n">
        <x:v>45507</x:v>
      </x:c>
      <x:c r="E4165" s="9" t="n">
        <x:v>2593500</x:v>
      </x:c>
      <x:c r="F4165" s="9" t="n">
        <x:v>0</x:v>
      </x:c>
    </x:row>
    <x:row r="4166" ht="34" customHeight="1">
      <x:c r="A4166" s="4" t="str">
        <x:v>RS-02106-I1</x:v>
      </x:c>
      <x:c r="B4166" s="4" t="str">
        <x:v>RS-02106</x:v>
      </x:c>
      <x:c r="C4166" s="9" t="n">
        <x:v>1</x:v>
      </x:c>
      <x:c r="D4166" s="8" t="n">
        <x:v>45418</x:v>
      </x:c>
      <x:c r="E4166" s="9" t="n">
        <x:v>1692000</x:v>
      </x:c>
      <x:c r="F4166" s="9" t="n">
        <x:v>1692000</x:v>
      </x:c>
    </x:row>
    <x:row r="4167" ht="34" customHeight="1">
      <x:c r="A4167" s="4" t="str">
        <x:v>RS-02106-I2</x:v>
      </x:c>
      <x:c r="B4167" s="4" t="str">
        <x:v>RS-02106</x:v>
      </x:c>
      <x:c r="C4167" s="9" t="n">
        <x:v>2</x:v>
      </x:c>
      <x:c r="D4167" s="8" t="n">
        <x:v>45448</x:v>
      </x:c>
      <x:c r="E4167" s="9" t="n">
        <x:v>1692000</x:v>
      </x:c>
      <x:c r="F4167" s="9" t="n">
        <x:v>0</x:v>
      </x:c>
    </x:row>
    <x:row r="4168" ht="34" customHeight="1">
      <x:c r="A4168" s="4" t="str">
        <x:v>RS-02106-I3</x:v>
      </x:c>
      <x:c r="B4168" s="4" t="str">
        <x:v>RS-02106</x:v>
      </x:c>
      <x:c r="C4168" s="9" t="n">
        <x:v>3</x:v>
      </x:c>
      <x:c r="D4168" s="8" t="n">
        <x:v>45478</x:v>
      </x:c>
      <x:c r="E4168" s="9" t="n">
        <x:v>1692000</x:v>
      </x:c>
      <x:c r="F4168" s="9" t="n">
        <x:v>0</x:v>
      </x:c>
    </x:row>
    <x:row r="4169" ht="34" customHeight="1">
      <x:c r="A4169" s="4" t="str">
        <x:v>RS-02106-I4</x:v>
      </x:c>
      <x:c r="B4169" s="4" t="str">
        <x:v>RS-02106</x:v>
      </x:c>
      <x:c r="C4169" s="9" t="n">
        <x:v>4</x:v>
      </x:c>
      <x:c r="D4169" s="8" t="n">
        <x:v>45508</x:v>
      </x:c>
      <x:c r="E4169" s="9" t="n">
        <x:v>1692000</x:v>
      </x:c>
      <x:c r="F4169" s="9" t="n">
        <x:v>0</x:v>
      </x:c>
    </x:row>
    <x:row r="4170" ht="34" customHeight="1">
      <x:c r="A4170" s="4" t="str">
        <x:v>RS-02109-I1</x:v>
      </x:c>
      <x:c r="B4170" s="4" t="str">
        <x:v>RS-02109</x:v>
      </x:c>
      <x:c r="C4170" s="9" t="n">
        <x:v>1</x:v>
      </x:c>
      <x:c r="D4170" s="8" t="n">
        <x:v>45421</x:v>
      </x:c>
      <x:c r="E4170" s="9" t="n">
        <x:v>1978000</x:v>
      </x:c>
      <x:c r="F4170" s="9" t="n">
        <x:v>1978000</x:v>
      </x:c>
    </x:row>
    <x:row r="4171" ht="34" customHeight="1">
      <x:c r="A4171" s="4" t="str">
        <x:v>RS-02109-I2</x:v>
      </x:c>
      <x:c r="B4171" s="4" t="str">
        <x:v>RS-02109</x:v>
      </x:c>
      <x:c r="C4171" s="9" t="n">
        <x:v>2</x:v>
      </x:c>
      <x:c r="D4171" s="8" t="n">
        <x:v>45451</x:v>
      </x:c>
      <x:c r="E4171" s="9" t="n">
        <x:v>1978000</x:v>
      </x:c>
      <x:c r="F4171" s="9" t="n">
        <x:v>0</x:v>
      </x:c>
    </x:row>
    <x:row r="4172" ht="34" customHeight="1">
      <x:c r="A4172" s="4" t="str">
        <x:v>RS-02109-I3</x:v>
      </x:c>
      <x:c r="B4172" s="4" t="str">
        <x:v>RS-02109</x:v>
      </x:c>
      <x:c r="C4172" s="9" t="n">
        <x:v>3</x:v>
      </x:c>
      <x:c r="D4172" s="8" t="n">
        <x:v>45481</x:v>
      </x:c>
      <x:c r="E4172" s="9" t="n">
        <x:v>1978000</x:v>
      </x:c>
      <x:c r="F4172" s="9" t="n">
        <x:v>0</x:v>
      </x:c>
    </x:row>
    <x:row r="4173" ht="34" customHeight="1">
      <x:c r="A4173" s="4" t="str">
        <x:v>RS-02109-I4</x:v>
      </x:c>
      <x:c r="B4173" s="4" t="str">
        <x:v>RS-02109</x:v>
      </x:c>
      <x:c r="C4173" s="9" t="n">
        <x:v>4</x:v>
      </x:c>
      <x:c r="D4173" s="8" t="n">
        <x:v>45511</x:v>
      </x:c>
      <x:c r="E4173" s="9" t="n">
        <x:v>1978000</x:v>
      </x:c>
      <x:c r="F4173" s="9" t="n">
        <x:v>0</x:v>
      </x:c>
    </x:row>
    <x:row r="4174" ht="34" customHeight="1">
      <x:c r="A4174" s="4" t="str">
        <x:v>RS-02113-I1</x:v>
      </x:c>
      <x:c r="B4174" s="4" t="str">
        <x:v>RS-02113</x:v>
      </x:c>
      <x:c r="C4174" s="9" t="n">
        <x:v>1</x:v>
      </x:c>
      <x:c r="D4174" s="8" t="n">
        <x:v>45425</x:v>
      </x:c>
      <x:c r="E4174" s="9" t="n">
        <x:v>2691000</x:v>
      </x:c>
      <x:c r="F4174" s="9" t="n">
        <x:v>2691000</x:v>
      </x:c>
    </x:row>
    <x:row r="4175" ht="34" customHeight="1">
      <x:c r="A4175" s="4" t="str">
        <x:v>RS-02113-I2</x:v>
      </x:c>
      <x:c r="B4175" s="4" t="str">
        <x:v>RS-02113</x:v>
      </x:c>
      <x:c r="C4175" s="9" t="n">
        <x:v>2</x:v>
      </x:c>
      <x:c r="D4175" s="8" t="n">
        <x:v>45455</x:v>
      </x:c>
      <x:c r="E4175" s="9" t="n">
        <x:v>2691000</x:v>
      </x:c>
      <x:c r="F4175" s="9" t="n">
        <x:v>2691000</x:v>
      </x:c>
    </x:row>
    <x:row r="4176" ht="34" customHeight="1">
      <x:c r="A4176" s="4" t="str">
        <x:v>RS-02113-I3</x:v>
      </x:c>
      <x:c r="B4176" s="4" t="str">
        <x:v>RS-02113</x:v>
      </x:c>
      <x:c r="C4176" s="9" t="n">
        <x:v>3</x:v>
      </x:c>
      <x:c r="D4176" s="8" t="n">
        <x:v>45485</x:v>
      </x:c>
      <x:c r="E4176" s="9" t="n">
        <x:v>2691000</x:v>
      </x:c>
      <x:c r="F4176" s="9" t="n">
        <x:v>0</x:v>
      </x:c>
    </x:row>
    <x:row r="4177" ht="34" customHeight="1">
      <x:c r="A4177" s="4" t="str">
        <x:v>RS-02113-I4</x:v>
      </x:c>
      <x:c r="B4177" s="4" t="str">
        <x:v>RS-02113</x:v>
      </x:c>
      <x:c r="C4177" s="9" t="n">
        <x:v>4</x:v>
      </x:c>
      <x:c r="D4177" s="8" t="n">
        <x:v>45515</x:v>
      </x:c>
      <x:c r="E4177" s="9" t="n">
        <x:v>2691000</x:v>
      </x:c>
      <x:c r="F4177" s="9" t="n">
        <x:v>0</x:v>
      </x:c>
    </x:row>
    <x:row r="4178" ht="34" customHeight="1">
      <x:c r="A4178" s="4" t="str">
        <x:v>RS-02114-I1</x:v>
      </x:c>
      <x:c r="B4178" s="4" t="str">
        <x:v>RS-02114</x:v>
      </x:c>
      <x:c r="C4178" s="9" t="n">
        <x:v>1</x:v>
      </x:c>
      <x:c r="D4178" s="8" t="n">
        <x:v>45426</x:v>
      </x:c>
      <x:c r="E4178" s="9" t="n">
        <x:v>5011250</x:v>
      </x:c>
      <x:c r="F4178" s="9" t="n">
        <x:v>5011250</x:v>
      </x:c>
    </x:row>
    <x:row r="4179" ht="34" customHeight="1">
      <x:c r="A4179" s="4" t="str">
        <x:v>RS-02114-I2</x:v>
      </x:c>
      <x:c r="B4179" s="4" t="str">
        <x:v>RS-02114</x:v>
      </x:c>
      <x:c r="C4179" s="9" t="n">
        <x:v>2</x:v>
      </x:c>
      <x:c r="D4179" s="8" t="n">
        <x:v>45456</x:v>
      </x:c>
      <x:c r="E4179" s="9" t="n">
        <x:v>5011250</x:v>
      </x:c>
      <x:c r="F4179" s="9" t="n">
        <x:v>5011250</x:v>
      </x:c>
    </x:row>
    <x:row r="4180" ht="34" customHeight="1">
      <x:c r="A4180" s="4" t="str">
        <x:v>RS-02114-I3</x:v>
      </x:c>
      <x:c r="B4180" s="4" t="str">
        <x:v>RS-02114</x:v>
      </x:c>
      <x:c r="C4180" s="9" t="n">
        <x:v>3</x:v>
      </x:c>
      <x:c r="D4180" s="8" t="n">
        <x:v>45486</x:v>
      </x:c>
      <x:c r="E4180" s="9" t="n">
        <x:v>5011250</x:v>
      </x:c>
      <x:c r="F4180" s="9" t="n">
        <x:v>5011250</x:v>
      </x:c>
    </x:row>
    <x:row r="4181" ht="34" customHeight="1">
      <x:c r="A4181" s="4" t="str">
        <x:v>RS-02114-I4</x:v>
      </x:c>
      <x:c r="B4181" s="4" t="str">
        <x:v>RS-02114</x:v>
      </x:c>
      <x:c r="C4181" s="9" t="n">
        <x:v>4</x:v>
      </x:c>
      <x:c r="D4181" s="8" t="n">
        <x:v>45516</x:v>
      </x:c>
      <x:c r="E4181" s="9" t="n">
        <x:v>5011250</x:v>
      </x:c>
      <x:c r="F4181" s="9" t="n">
        <x:v>5011250</x:v>
      </x:c>
    </x:row>
    <x:row r="4182" ht="34" customHeight="1">
      <x:c r="A4182" s="4" t="str">
        <x:v>RS-02115-I1</x:v>
      </x:c>
      <x:c r="B4182" s="4" t="str">
        <x:v>RS-02115</x:v>
      </x:c>
      <x:c r="C4182" s="9" t="n">
        <x:v>1</x:v>
      </x:c>
      <x:c r="D4182" s="8" t="n">
        <x:v>45427</x:v>
      </x:c>
      <x:c r="E4182" s="9" t="n">
        <x:v>2598750</x:v>
      </x:c>
      <x:c r="F4182" s="9" t="n">
        <x:v>2598750</x:v>
      </x:c>
    </x:row>
    <x:row r="4183" ht="34" customHeight="1">
      <x:c r="A4183" s="4" t="str">
        <x:v>RS-02115-I2</x:v>
      </x:c>
      <x:c r="B4183" s="4" t="str">
        <x:v>RS-02115</x:v>
      </x:c>
      <x:c r="C4183" s="9" t="n">
        <x:v>2</x:v>
      </x:c>
      <x:c r="D4183" s="8" t="n">
        <x:v>45457</x:v>
      </x:c>
      <x:c r="E4183" s="9" t="n">
        <x:v>2598750</x:v>
      </x:c>
      <x:c r="F4183" s="9" t="n">
        <x:v>0</x:v>
      </x:c>
    </x:row>
    <x:row r="4184" ht="34" customHeight="1">
      <x:c r="A4184" s="4" t="str">
        <x:v>RS-02115-I3</x:v>
      </x:c>
      <x:c r="B4184" s="4" t="str">
        <x:v>RS-02115</x:v>
      </x:c>
      <x:c r="C4184" s="9" t="n">
        <x:v>3</x:v>
      </x:c>
      <x:c r="D4184" s="8" t="n">
        <x:v>45487</x:v>
      </x:c>
      <x:c r="E4184" s="9" t="n">
        <x:v>2598750</x:v>
      </x:c>
      <x:c r="F4184" s="9" t="n">
        <x:v>0</x:v>
      </x:c>
    </x:row>
    <x:row r="4185" ht="34" customHeight="1">
      <x:c r="A4185" s="4" t="str">
        <x:v>RS-02115-I4</x:v>
      </x:c>
      <x:c r="B4185" s="4" t="str">
        <x:v>RS-02115</x:v>
      </x:c>
      <x:c r="C4185" s="9" t="n">
        <x:v>4</x:v>
      </x:c>
      <x:c r="D4185" s="8" t="n">
        <x:v>45517</x:v>
      </x:c>
      <x:c r="E4185" s="9" t="n">
        <x:v>2598750</x:v>
      </x:c>
      <x:c r="F4185" s="9" t="n">
        <x:v>0</x:v>
      </x:c>
    </x:row>
    <x:row r="4186" ht="34" customHeight="1">
      <x:c r="A4186" s="4" t="str">
        <x:v>RS-02116-I1</x:v>
      </x:c>
      <x:c r="B4186" s="4" t="str">
        <x:v>RS-02116</x:v>
      </x:c>
      <x:c r="C4186" s="9" t="n">
        <x:v>1</x:v>
      </x:c>
      <x:c r="D4186" s="8" t="n">
        <x:v>45428</x:v>
      </x:c>
      <x:c r="E4186" s="9" t="n">
        <x:v>5369000</x:v>
      </x:c>
      <x:c r="F4186" s="9" t="n">
        <x:v>2147600</x:v>
      </x:c>
    </x:row>
    <x:row r="4187" ht="34" customHeight="1">
      <x:c r="A4187" s="4" t="str">
        <x:v>RS-02116-I2</x:v>
      </x:c>
      <x:c r="B4187" s="4" t="str">
        <x:v>RS-02116</x:v>
      </x:c>
      <x:c r="C4187" s="9" t="n">
        <x:v>2</x:v>
      </x:c>
      <x:c r="D4187" s="8" t="n">
        <x:v>45458</x:v>
      </x:c>
      <x:c r="E4187" s="9" t="n">
        <x:v>5369000</x:v>
      </x:c>
      <x:c r="F4187" s="9" t="n">
        <x:v>0</x:v>
      </x:c>
    </x:row>
    <x:row r="4188" ht="34" customHeight="1">
      <x:c r="A4188" s="4" t="str">
        <x:v>RS-02116-I3</x:v>
      </x:c>
      <x:c r="B4188" s="4" t="str">
        <x:v>RS-02116</x:v>
      </x:c>
      <x:c r="C4188" s="9" t="n">
        <x:v>3</x:v>
      </x:c>
      <x:c r="D4188" s="8" t="n">
        <x:v>45488</x:v>
      </x:c>
      <x:c r="E4188" s="9" t="n">
        <x:v>5369000</x:v>
      </x:c>
      <x:c r="F4188" s="9" t="n">
        <x:v>0</x:v>
      </x:c>
    </x:row>
    <x:row r="4189" ht="34" customHeight="1">
      <x:c r="A4189" s="4" t="str">
        <x:v>RS-02116-I4</x:v>
      </x:c>
      <x:c r="B4189" s="4" t="str">
        <x:v>RS-02116</x:v>
      </x:c>
      <x:c r="C4189" s="9" t="n">
        <x:v>4</x:v>
      </x:c>
      <x:c r="D4189" s="8" t="n">
        <x:v>45518</x:v>
      </x:c>
      <x:c r="E4189" s="9" t="n">
        <x:v>5369000</x:v>
      </x:c>
      <x:c r="F4189" s="9" t="n">
        <x:v>0</x:v>
      </x:c>
    </x:row>
    <x:row r="4190" ht="34" customHeight="1">
      <x:c r="A4190" s="4" t="str">
        <x:v>RS-02118-I1</x:v>
      </x:c>
      <x:c r="B4190" s="4" t="str">
        <x:v>RS-02118</x:v>
      </x:c>
      <x:c r="C4190" s="9" t="n">
        <x:v>1</x:v>
      </x:c>
      <x:c r="D4190" s="8" t="n">
        <x:v>45430</x:v>
      </x:c>
      <x:c r="E4190" s="9" t="n">
        <x:v>1222000</x:v>
      </x:c>
      <x:c r="F4190" s="9" t="n">
        <x:v>1222000</x:v>
      </x:c>
    </x:row>
    <x:row r="4191" ht="34" customHeight="1">
      <x:c r="A4191" s="4" t="str">
        <x:v>RS-02118-I2</x:v>
      </x:c>
      <x:c r="B4191" s="4" t="str">
        <x:v>RS-02118</x:v>
      </x:c>
      <x:c r="C4191" s="9" t="n">
        <x:v>2</x:v>
      </x:c>
      <x:c r="D4191" s="8" t="n">
        <x:v>45460</x:v>
      </x:c>
      <x:c r="E4191" s="9" t="n">
        <x:v>1222000</x:v>
      </x:c>
      <x:c r="F4191" s="9" t="n">
        <x:v>1222000</x:v>
      </x:c>
    </x:row>
    <x:row r="4192" ht="34" customHeight="1">
      <x:c r="A4192" s="4" t="str">
        <x:v>RS-02118-I3</x:v>
      </x:c>
      <x:c r="B4192" s="4" t="str">
        <x:v>RS-02118</x:v>
      </x:c>
      <x:c r="C4192" s="9" t="n">
        <x:v>3</x:v>
      </x:c>
      <x:c r="D4192" s="8" t="n">
        <x:v>45490</x:v>
      </x:c>
      <x:c r="E4192" s="9" t="n">
        <x:v>1222000</x:v>
      </x:c>
      <x:c r="F4192" s="9" t="n">
        <x:v>0</x:v>
      </x:c>
    </x:row>
    <x:row r="4193" ht="34" customHeight="1">
      <x:c r="A4193" s="4" t="str">
        <x:v>RS-02118-I4</x:v>
      </x:c>
      <x:c r="B4193" s="4" t="str">
        <x:v>RS-02118</x:v>
      </x:c>
      <x:c r="C4193" s="9" t="n">
        <x:v>4</x:v>
      </x:c>
      <x:c r="D4193" s="8" t="n">
        <x:v>45520</x:v>
      </x:c>
      <x:c r="E4193" s="9" t="n">
        <x:v>1222000</x:v>
      </x:c>
      <x:c r="F4193" s="9" t="n">
        <x:v>0</x:v>
      </x:c>
    </x:row>
    <x:row r="4194" ht="34" customHeight="1">
      <x:c r="A4194" s="4" t="str">
        <x:v>RS-02121-I1</x:v>
      </x:c>
      <x:c r="B4194" s="4" t="str">
        <x:v>RS-02121</x:v>
      </x:c>
      <x:c r="C4194" s="9" t="n">
        <x:v>1</x:v>
      </x:c>
      <x:c r="D4194" s="8" t="n">
        <x:v>45433</x:v>
      </x:c>
      <x:c r="E4194" s="9" t="n">
        <x:v>4138500</x:v>
      </x:c>
      <x:c r="F4194" s="9" t="n">
        <x:v>4138500</x:v>
      </x:c>
    </x:row>
    <x:row r="4195" ht="34" customHeight="1">
      <x:c r="A4195" s="4" t="str">
        <x:v>RS-02121-I2</x:v>
      </x:c>
      <x:c r="B4195" s="4" t="str">
        <x:v>RS-02121</x:v>
      </x:c>
      <x:c r="C4195" s="9" t="n">
        <x:v>2</x:v>
      </x:c>
      <x:c r="D4195" s="8" t="n">
        <x:v>45463</x:v>
      </x:c>
      <x:c r="E4195" s="9" t="n">
        <x:v>4138500</x:v>
      </x:c>
      <x:c r="F4195" s="9" t="n">
        <x:v>4138500</x:v>
      </x:c>
    </x:row>
    <x:row r="4196" ht="34" customHeight="1">
      <x:c r="A4196" s="4" t="str">
        <x:v>RS-02121-I3</x:v>
      </x:c>
      <x:c r="B4196" s="4" t="str">
        <x:v>RS-02121</x:v>
      </x:c>
      <x:c r="C4196" s="9" t="n">
        <x:v>3</x:v>
      </x:c>
      <x:c r="D4196" s="8" t="n">
        <x:v>45493</x:v>
      </x:c>
      <x:c r="E4196" s="9" t="n">
        <x:v>4138500</x:v>
      </x:c>
      <x:c r="F4196" s="9" t="n">
        <x:v>0</x:v>
      </x:c>
    </x:row>
    <x:row r="4197" ht="34" customHeight="1">
      <x:c r="A4197" s="4" t="str">
        <x:v>RS-02121-I4</x:v>
      </x:c>
      <x:c r="B4197" s="4" t="str">
        <x:v>RS-02121</x:v>
      </x:c>
      <x:c r="C4197" s="9" t="n">
        <x:v>4</x:v>
      </x:c>
      <x:c r="D4197" s="8" t="n">
        <x:v>45523</x:v>
      </x:c>
      <x:c r="E4197" s="9" t="n">
        <x:v>4138500</x:v>
      </x:c>
      <x:c r="F4197" s="9" t="n">
        <x:v>0</x:v>
      </x:c>
    </x:row>
    <x:row r="4198" ht="34" customHeight="1">
      <x:c r="A4198" s="4" t="str">
        <x:v>RS-02122-I1</x:v>
      </x:c>
      <x:c r="B4198" s="4" t="str">
        <x:v>RS-02122</x:v>
      </x:c>
      <x:c r="C4198" s="9" t="n">
        <x:v>1</x:v>
      </x:c>
      <x:c r="D4198" s="8" t="n">
        <x:v>45434</x:v>
      </x:c>
      <x:c r="E4198" s="9" t="n">
        <x:v>2136000</x:v>
      </x:c>
      <x:c r="F4198" s="9" t="n">
        <x:v>2136000</x:v>
      </x:c>
    </x:row>
    <x:row r="4199" ht="34" customHeight="1">
      <x:c r="A4199" s="4" t="str">
        <x:v>RS-02122-I2</x:v>
      </x:c>
      <x:c r="B4199" s="4" t="str">
        <x:v>RS-02122</x:v>
      </x:c>
      <x:c r="C4199" s="9" t="n">
        <x:v>2</x:v>
      </x:c>
      <x:c r="D4199" s="8" t="n">
        <x:v>45464</x:v>
      </x:c>
      <x:c r="E4199" s="9" t="n">
        <x:v>2136000</x:v>
      </x:c>
      <x:c r="F4199" s="9" t="n">
        <x:v>2136000</x:v>
      </x:c>
    </x:row>
    <x:row r="4200" ht="34" customHeight="1">
      <x:c r="A4200" s="4" t="str">
        <x:v>RS-02122-I3</x:v>
      </x:c>
      <x:c r="B4200" s="4" t="str">
        <x:v>RS-02122</x:v>
      </x:c>
      <x:c r="C4200" s="9" t="n">
        <x:v>3</x:v>
      </x:c>
      <x:c r="D4200" s="8" t="n">
        <x:v>45494</x:v>
      </x:c>
      <x:c r="E4200" s="9" t="n">
        <x:v>2136000</x:v>
      </x:c>
      <x:c r="F4200" s="9" t="n">
        <x:v>2136000</x:v>
      </x:c>
    </x:row>
    <x:row r="4201" ht="34" customHeight="1">
      <x:c r="A4201" s="4" t="str">
        <x:v>RS-02122-I4</x:v>
      </x:c>
      <x:c r="B4201" s="4" t="str">
        <x:v>RS-02122</x:v>
      </x:c>
      <x:c r="C4201" s="9" t="n">
        <x:v>4</x:v>
      </x:c>
      <x:c r="D4201" s="8" t="n">
        <x:v>45524</x:v>
      </x:c>
      <x:c r="E4201" s="9" t="n">
        <x:v>2136000</x:v>
      </x:c>
      <x:c r="F4201" s="9" t="n">
        <x:v>2136000</x:v>
      </x:c>
    </x:row>
    <x:row r="4202" ht="34" customHeight="1">
      <x:c r="A4202" s="4" t="str">
        <x:v>RS-02123-I1</x:v>
      </x:c>
      <x:c r="B4202" s="4" t="str">
        <x:v>RS-02123</x:v>
      </x:c>
      <x:c r="C4202" s="9" t="n">
        <x:v>1</x:v>
      </x:c>
      <x:c r="D4202" s="8" t="n">
        <x:v>45435</x:v>
      </x:c>
      <x:c r="E4202" s="9" t="n">
        <x:v>5310000</x:v>
      </x:c>
      <x:c r="F4202" s="9" t="n">
        <x:v>5310000</x:v>
      </x:c>
    </x:row>
    <x:row r="4203" ht="34" customHeight="1">
      <x:c r="A4203" s="4" t="str">
        <x:v>RS-02123-I2</x:v>
      </x:c>
      <x:c r="B4203" s="4" t="str">
        <x:v>RS-02123</x:v>
      </x:c>
      <x:c r="C4203" s="9" t="n">
        <x:v>2</x:v>
      </x:c>
      <x:c r="D4203" s="8" t="n">
        <x:v>45465</x:v>
      </x:c>
      <x:c r="E4203" s="9" t="n">
        <x:v>5310000</x:v>
      </x:c>
      <x:c r="F4203" s="9" t="n">
        <x:v>0</x:v>
      </x:c>
    </x:row>
    <x:row r="4204" ht="34" customHeight="1">
      <x:c r="A4204" s="4" t="str">
        <x:v>RS-02123-I3</x:v>
      </x:c>
      <x:c r="B4204" s="4" t="str">
        <x:v>RS-02123</x:v>
      </x:c>
      <x:c r="C4204" s="9" t="n">
        <x:v>3</x:v>
      </x:c>
      <x:c r="D4204" s="8" t="n">
        <x:v>45495</x:v>
      </x:c>
      <x:c r="E4204" s="9" t="n">
        <x:v>5310000</x:v>
      </x:c>
      <x:c r="F4204" s="9" t="n">
        <x:v>0</x:v>
      </x:c>
    </x:row>
    <x:row r="4205" ht="34" customHeight="1">
      <x:c r="A4205" s="4" t="str">
        <x:v>RS-02123-I4</x:v>
      </x:c>
      <x:c r="B4205" s="4" t="str">
        <x:v>RS-02123</x:v>
      </x:c>
      <x:c r="C4205" s="9" t="n">
        <x:v>4</x:v>
      </x:c>
      <x:c r="D4205" s="8" t="n">
        <x:v>45525</x:v>
      </x:c>
      <x:c r="E4205" s="9" t="n">
        <x:v>5310000</x:v>
      </x:c>
      <x:c r="F4205" s="9" t="n">
        <x:v>0</x:v>
      </x:c>
    </x:row>
    <x:row r="4206" ht="34" customHeight="1">
      <x:c r="A4206" s="4" t="str">
        <x:v>RS-02127-I1</x:v>
      </x:c>
      <x:c r="B4206" s="4" t="str">
        <x:v>RS-02127</x:v>
      </x:c>
      <x:c r="C4206" s="9" t="n">
        <x:v>1</x:v>
      </x:c>
      <x:c r="D4206" s="8" t="n">
        <x:v>45439</x:v>
      </x:c>
      <x:c r="E4206" s="9" t="n">
        <x:v>2448000</x:v>
      </x:c>
      <x:c r="F4206" s="9" t="n">
        <x:v>2448000</x:v>
      </x:c>
    </x:row>
    <x:row r="4207" ht="34" customHeight="1">
      <x:c r="A4207" s="4" t="str">
        <x:v>RS-02127-I2</x:v>
      </x:c>
      <x:c r="B4207" s="4" t="str">
        <x:v>RS-02127</x:v>
      </x:c>
      <x:c r="C4207" s="9" t="n">
        <x:v>2</x:v>
      </x:c>
      <x:c r="D4207" s="8" t="n">
        <x:v>45469</x:v>
      </x:c>
      <x:c r="E4207" s="9" t="n">
        <x:v>2448000</x:v>
      </x:c>
      <x:c r="F4207" s="9" t="n">
        <x:v>0</x:v>
      </x:c>
    </x:row>
    <x:row r="4208" ht="34" customHeight="1">
      <x:c r="A4208" s="4" t="str">
        <x:v>RS-02127-I3</x:v>
      </x:c>
      <x:c r="B4208" s="4" t="str">
        <x:v>RS-02127</x:v>
      </x:c>
      <x:c r="C4208" s="9" t="n">
        <x:v>3</x:v>
      </x:c>
      <x:c r="D4208" s="8" t="n">
        <x:v>45499</x:v>
      </x:c>
      <x:c r="E4208" s="9" t="n">
        <x:v>2448000</x:v>
      </x:c>
      <x:c r="F4208" s="9" t="n">
        <x:v>0</x:v>
      </x:c>
    </x:row>
    <x:row r="4209" ht="34" customHeight="1">
      <x:c r="A4209" s="4" t="str">
        <x:v>RS-02127-I4</x:v>
      </x:c>
      <x:c r="B4209" s="4" t="str">
        <x:v>RS-02127</x:v>
      </x:c>
      <x:c r="C4209" s="9" t="n">
        <x:v>4</x:v>
      </x:c>
      <x:c r="D4209" s="8" t="n">
        <x:v>45529</x:v>
      </x:c>
      <x:c r="E4209" s="9" t="n">
        <x:v>2448000</x:v>
      </x:c>
      <x:c r="F4209" s="9" t="n">
        <x:v>0</x:v>
      </x:c>
    </x:row>
    <x:row r="4210" ht="34" customHeight="1">
      <x:c r="A4210" s="4" t="str">
        <x:v>RS-02130-I1</x:v>
      </x:c>
      <x:c r="B4210" s="4" t="str">
        <x:v>RS-02130</x:v>
      </x:c>
      <x:c r="C4210" s="9" t="n">
        <x:v>1</x:v>
      </x:c>
      <x:c r="D4210" s="8" t="n">
        <x:v>45414</x:v>
      </x:c>
      <x:c r="E4210" s="9" t="n">
        <x:v>3600000</x:v>
      </x:c>
      <x:c r="F4210" s="9" t="n">
        <x:v>3600000</x:v>
      </x:c>
    </x:row>
    <x:row r="4211" ht="34" customHeight="1">
      <x:c r="A4211" s="4" t="str">
        <x:v>RS-02130-I2</x:v>
      </x:c>
      <x:c r="B4211" s="4" t="str">
        <x:v>RS-02130</x:v>
      </x:c>
      <x:c r="C4211" s="9" t="n">
        <x:v>2</x:v>
      </x:c>
      <x:c r="D4211" s="8" t="n">
        <x:v>45444</x:v>
      </x:c>
      <x:c r="E4211" s="9" t="n">
        <x:v>3600000</x:v>
      </x:c>
      <x:c r="F4211" s="9" t="n">
        <x:v>3600000</x:v>
      </x:c>
    </x:row>
    <x:row r="4212" ht="34" customHeight="1">
      <x:c r="A4212" s="4" t="str">
        <x:v>RS-02130-I3</x:v>
      </x:c>
      <x:c r="B4212" s="4" t="str">
        <x:v>RS-02130</x:v>
      </x:c>
      <x:c r="C4212" s="9" t="n">
        <x:v>3</x:v>
      </x:c>
      <x:c r="D4212" s="8" t="n">
        <x:v>45474</x:v>
      </x:c>
      <x:c r="E4212" s="9" t="n">
        <x:v>3600000</x:v>
      </x:c>
      <x:c r="F4212" s="9" t="n">
        <x:v>3600000</x:v>
      </x:c>
    </x:row>
    <x:row r="4213" ht="34" customHeight="1">
      <x:c r="A4213" s="4" t="str">
        <x:v>RS-02130-I4</x:v>
      </x:c>
      <x:c r="B4213" s="4" t="str">
        <x:v>RS-02130</x:v>
      </x:c>
      <x:c r="C4213" s="9" t="n">
        <x:v>4</x:v>
      </x:c>
      <x:c r="D4213" s="8" t="n">
        <x:v>45504</x:v>
      </x:c>
      <x:c r="E4213" s="9" t="n">
        <x:v>3600000</x:v>
      </x:c>
      <x:c r="F4213" s="9" t="n">
        <x:v>3600000</x:v>
      </x:c>
    </x:row>
    <x:row r="4214" ht="34" customHeight="1">
      <x:c r="A4214" s="4" t="str">
        <x:v>RS-02131-I1</x:v>
      </x:c>
      <x:c r="B4214" s="4" t="str">
        <x:v>RS-02131</x:v>
      </x:c>
      <x:c r="C4214" s="9" t="n">
        <x:v>1</x:v>
      </x:c>
      <x:c r="D4214" s="8" t="n">
        <x:v>45415</x:v>
      </x:c>
      <x:c r="E4214" s="9" t="n">
        <x:v>2714000</x:v>
      </x:c>
      <x:c r="F4214" s="9" t="n">
        <x:v>2714000</x:v>
      </x:c>
    </x:row>
    <x:row r="4215" ht="34" customHeight="1">
      <x:c r="A4215" s="4" t="str">
        <x:v>RS-02131-I2</x:v>
      </x:c>
      <x:c r="B4215" s="4" t="str">
        <x:v>RS-02131</x:v>
      </x:c>
      <x:c r="C4215" s="9" t="n">
        <x:v>2</x:v>
      </x:c>
      <x:c r="D4215" s="8" t="n">
        <x:v>45445</x:v>
      </x:c>
      <x:c r="E4215" s="9" t="n">
        <x:v>2714000</x:v>
      </x:c>
      <x:c r="F4215" s="9" t="n">
        <x:v>2714000</x:v>
      </x:c>
    </x:row>
    <x:row r="4216" ht="34" customHeight="1">
      <x:c r="A4216" s="4" t="str">
        <x:v>RS-02131-I3</x:v>
      </x:c>
      <x:c r="B4216" s="4" t="str">
        <x:v>RS-02131</x:v>
      </x:c>
      <x:c r="C4216" s="9" t="n">
        <x:v>3</x:v>
      </x:c>
      <x:c r="D4216" s="8" t="n">
        <x:v>45475</x:v>
      </x:c>
      <x:c r="E4216" s="9" t="n">
        <x:v>2714000</x:v>
      </x:c>
      <x:c r="F4216" s="9" t="n">
        <x:v>0</x:v>
      </x:c>
    </x:row>
    <x:row r="4217" ht="34" customHeight="1">
      <x:c r="A4217" s="4" t="str">
        <x:v>RS-02131-I4</x:v>
      </x:c>
      <x:c r="B4217" s="4" t="str">
        <x:v>RS-02131</x:v>
      </x:c>
      <x:c r="C4217" s="9" t="n">
        <x:v>4</x:v>
      </x:c>
      <x:c r="D4217" s="8" t="n">
        <x:v>45505</x:v>
      </x:c>
      <x:c r="E4217" s="9" t="n">
        <x:v>2714000</x:v>
      </x:c>
      <x:c r="F4217" s="9" t="n">
        <x:v>0</x:v>
      </x:c>
    </x:row>
    <x:row r="4218" ht="34" customHeight="1">
      <x:c r="A4218" s="4" t="str">
        <x:v>RS-02134-I1</x:v>
      </x:c>
      <x:c r="B4218" s="4" t="str">
        <x:v>RS-02134</x:v>
      </x:c>
      <x:c r="C4218" s="9" t="n">
        <x:v>1</x:v>
      </x:c>
      <x:c r="D4218" s="8" t="n">
        <x:v>45418</x:v>
      </x:c>
      <x:c r="E4218" s="9" t="n">
        <x:v>2643250</x:v>
      </x:c>
      <x:c r="F4218" s="9" t="n">
        <x:v>2643250</x:v>
      </x:c>
    </x:row>
    <x:row r="4219" ht="34" customHeight="1">
      <x:c r="A4219" s="4" t="str">
        <x:v>RS-02134-I2</x:v>
      </x:c>
      <x:c r="B4219" s="4" t="str">
        <x:v>RS-02134</x:v>
      </x:c>
      <x:c r="C4219" s="9" t="n">
        <x:v>2</x:v>
      </x:c>
      <x:c r="D4219" s="8" t="n">
        <x:v>45448</x:v>
      </x:c>
      <x:c r="E4219" s="9" t="n">
        <x:v>2643250</x:v>
      </x:c>
      <x:c r="F4219" s="9" t="n">
        <x:v>2643250</x:v>
      </x:c>
    </x:row>
    <x:row r="4220" ht="34" customHeight="1">
      <x:c r="A4220" s="4" t="str">
        <x:v>RS-02134-I3</x:v>
      </x:c>
      <x:c r="B4220" s="4" t="str">
        <x:v>RS-02134</x:v>
      </x:c>
      <x:c r="C4220" s="9" t="n">
        <x:v>3</x:v>
      </x:c>
      <x:c r="D4220" s="8" t="n">
        <x:v>45478</x:v>
      </x:c>
      <x:c r="E4220" s="9" t="n">
        <x:v>2643250</x:v>
      </x:c>
      <x:c r="F4220" s="9" t="n">
        <x:v>2643250</x:v>
      </x:c>
    </x:row>
    <x:row r="4221" ht="34" customHeight="1">
      <x:c r="A4221" s="4" t="str">
        <x:v>RS-02134-I4</x:v>
      </x:c>
      <x:c r="B4221" s="4" t="str">
        <x:v>RS-02134</x:v>
      </x:c>
      <x:c r="C4221" s="9" t="n">
        <x:v>4</x:v>
      </x:c>
      <x:c r="D4221" s="8" t="n">
        <x:v>45508</x:v>
      </x:c>
      <x:c r="E4221" s="9" t="n">
        <x:v>2643250</x:v>
      </x:c>
      <x:c r="F4221" s="9" t="n">
        <x:v>2643250</x:v>
      </x:c>
    </x:row>
    <x:row r="4222" ht="34" customHeight="1">
      <x:c r="A4222" s="4" t="str">
        <x:v>RS-02140-I1</x:v>
      </x:c>
      <x:c r="B4222" s="4" t="str">
        <x:v>RS-02140</x:v>
      </x:c>
      <x:c r="C4222" s="9" t="n">
        <x:v>1</x:v>
      </x:c>
      <x:c r="D4222" s="8" t="n">
        <x:v>45424</x:v>
      </x:c>
      <x:c r="E4222" s="9" t="n">
        <x:v>2752750</x:v>
      </x:c>
      <x:c r="F4222" s="9" t="n">
        <x:v>2752750</x:v>
      </x:c>
    </x:row>
    <x:row r="4223" ht="34" customHeight="1">
      <x:c r="A4223" s="4" t="str">
        <x:v>RS-02140-I2</x:v>
      </x:c>
      <x:c r="B4223" s="4" t="str">
        <x:v>RS-02140</x:v>
      </x:c>
      <x:c r="C4223" s="9" t="n">
        <x:v>2</x:v>
      </x:c>
      <x:c r="D4223" s="8" t="n">
        <x:v>45454</x:v>
      </x:c>
      <x:c r="E4223" s="9" t="n">
        <x:v>2752750</x:v>
      </x:c>
      <x:c r="F4223" s="9" t="n">
        <x:v>0</x:v>
      </x:c>
    </x:row>
    <x:row r="4224" ht="34" customHeight="1">
      <x:c r="A4224" s="4" t="str">
        <x:v>RS-02140-I3</x:v>
      </x:c>
      <x:c r="B4224" s="4" t="str">
        <x:v>RS-02140</x:v>
      </x:c>
      <x:c r="C4224" s="9" t="n">
        <x:v>3</x:v>
      </x:c>
      <x:c r="D4224" s="8" t="n">
        <x:v>45484</x:v>
      </x:c>
      <x:c r="E4224" s="9" t="n">
        <x:v>2752750</x:v>
      </x:c>
      <x:c r="F4224" s="9" t="n">
        <x:v>0</x:v>
      </x:c>
    </x:row>
    <x:row r="4225" ht="34" customHeight="1">
      <x:c r="A4225" s="4" t="str">
        <x:v>RS-02140-I4</x:v>
      </x:c>
      <x:c r="B4225" s="4" t="str">
        <x:v>RS-02140</x:v>
      </x:c>
      <x:c r="C4225" s="9" t="n">
        <x:v>4</x:v>
      </x:c>
      <x:c r="D4225" s="8" t="n">
        <x:v>45514</x:v>
      </x:c>
      <x:c r="E4225" s="9" t="n">
        <x:v>2752750</x:v>
      </x:c>
      <x:c r="F4225" s="9" t="n">
        <x:v>0</x:v>
      </x:c>
    </x:row>
    <x:row r="4226" ht="34" customHeight="1">
      <x:c r="A4226" s="4" t="str">
        <x:v>RS-02141-I1</x:v>
      </x:c>
      <x:c r="B4226" s="4" t="str">
        <x:v>RS-02141</x:v>
      </x:c>
      <x:c r="C4226" s="9" t="n">
        <x:v>1</x:v>
      </x:c>
      <x:c r="D4226" s="8" t="n">
        <x:v>45425</x:v>
      </x:c>
      <x:c r="E4226" s="9" t="n">
        <x:v>2720250</x:v>
      </x:c>
      <x:c r="F4226" s="9" t="n">
        <x:v>2720250</x:v>
      </x:c>
    </x:row>
    <x:row r="4227" ht="34" customHeight="1">
      <x:c r="A4227" s="4" t="str">
        <x:v>RS-02141-I2</x:v>
      </x:c>
      <x:c r="B4227" s="4" t="str">
        <x:v>RS-02141</x:v>
      </x:c>
      <x:c r="C4227" s="9" t="n">
        <x:v>2</x:v>
      </x:c>
      <x:c r="D4227" s="8" t="n">
        <x:v>45455</x:v>
      </x:c>
      <x:c r="E4227" s="9" t="n">
        <x:v>2720250</x:v>
      </x:c>
      <x:c r="F4227" s="9" t="n">
        <x:v>2720250</x:v>
      </x:c>
    </x:row>
    <x:row r="4228" ht="34" customHeight="1">
      <x:c r="A4228" s="4" t="str">
        <x:v>RS-02141-I3</x:v>
      </x:c>
      <x:c r="B4228" s="4" t="str">
        <x:v>RS-02141</x:v>
      </x:c>
      <x:c r="C4228" s="9" t="n">
        <x:v>3</x:v>
      </x:c>
      <x:c r="D4228" s="8" t="n">
        <x:v>45485</x:v>
      </x:c>
      <x:c r="E4228" s="9" t="n">
        <x:v>2720250</x:v>
      </x:c>
      <x:c r="F4228" s="9" t="n">
        <x:v>0</x:v>
      </x:c>
    </x:row>
    <x:row r="4229" ht="34" customHeight="1">
      <x:c r="A4229" s="4" t="str">
        <x:v>RS-02141-I4</x:v>
      </x:c>
      <x:c r="B4229" s="4" t="str">
        <x:v>RS-02141</x:v>
      </x:c>
      <x:c r="C4229" s="9" t="n">
        <x:v>4</x:v>
      </x:c>
      <x:c r="D4229" s="8" t="n">
        <x:v>45515</x:v>
      </x:c>
      <x:c r="E4229" s="9" t="n">
        <x:v>2720250</x:v>
      </x:c>
      <x:c r="F4229" s="9" t="n">
        <x:v>0</x:v>
      </x:c>
    </x:row>
    <x:row r="4230" ht="34" customHeight="1">
      <x:c r="A4230" s="4" t="str">
        <x:v>RS-02142-I1</x:v>
      </x:c>
      <x:c r="B4230" s="4" t="str">
        <x:v>RS-02142</x:v>
      </x:c>
      <x:c r="C4230" s="9" t="n">
        <x:v>1</x:v>
      </x:c>
      <x:c r="D4230" s="8" t="n">
        <x:v>45426</x:v>
      </x:c>
      <x:c r="E4230" s="9" t="n">
        <x:v>796250</x:v>
      </x:c>
      <x:c r="F4230" s="9" t="n">
        <x:v>796250</x:v>
      </x:c>
    </x:row>
    <x:row r="4231" ht="34" customHeight="1">
      <x:c r="A4231" s="4" t="str">
        <x:v>RS-02142-I2</x:v>
      </x:c>
      <x:c r="B4231" s="4" t="str">
        <x:v>RS-02142</x:v>
      </x:c>
      <x:c r="C4231" s="9" t="n">
        <x:v>2</x:v>
      </x:c>
      <x:c r="D4231" s="8" t="n">
        <x:v>45456</x:v>
      </x:c>
      <x:c r="E4231" s="9" t="n">
        <x:v>796250</x:v>
      </x:c>
      <x:c r="F4231" s="9" t="n">
        <x:v>796250</x:v>
      </x:c>
    </x:row>
    <x:row r="4232" ht="34" customHeight="1">
      <x:c r="A4232" s="4" t="str">
        <x:v>RS-02142-I3</x:v>
      </x:c>
      <x:c r="B4232" s="4" t="str">
        <x:v>RS-02142</x:v>
      </x:c>
      <x:c r="C4232" s="9" t="n">
        <x:v>3</x:v>
      </x:c>
      <x:c r="D4232" s="8" t="n">
        <x:v>45486</x:v>
      </x:c>
      <x:c r="E4232" s="9" t="n">
        <x:v>796250</x:v>
      </x:c>
      <x:c r="F4232" s="9" t="n">
        <x:v>796250</x:v>
      </x:c>
    </x:row>
    <x:row r="4233" ht="34" customHeight="1">
      <x:c r="A4233" s="4" t="str">
        <x:v>RS-02142-I4</x:v>
      </x:c>
      <x:c r="B4233" s="4" t="str">
        <x:v>RS-02142</x:v>
      </x:c>
      <x:c r="C4233" s="9" t="n">
        <x:v>4</x:v>
      </x:c>
      <x:c r="D4233" s="8" t="n">
        <x:v>45516</x:v>
      </x:c>
      <x:c r="E4233" s="9" t="n">
        <x:v>796250</x:v>
      </x:c>
      <x:c r="F4233" s="9" t="n">
        <x:v>796250</x:v>
      </x:c>
    </x:row>
    <x:row r="4234" ht="34" customHeight="1">
      <x:c r="A4234" s="4" t="str">
        <x:v>RS-02143-I1</x:v>
      </x:c>
      <x:c r="B4234" s="4" t="str">
        <x:v>RS-02143</x:v>
      </x:c>
      <x:c r="C4234" s="9" t="n">
        <x:v>1</x:v>
      </x:c>
      <x:c r="D4234" s="8" t="n">
        <x:v>45427</x:v>
      </x:c>
      <x:c r="E4234" s="9" t="n">
        <x:v>3887000</x:v>
      </x:c>
      <x:c r="F4234" s="9" t="n">
        <x:v>3887000</x:v>
      </x:c>
    </x:row>
    <x:row r="4235" ht="34" customHeight="1">
      <x:c r="A4235" s="4" t="str">
        <x:v>RS-02143-I2</x:v>
      </x:c>
      <x:c r="B4235" s="4" t="str">
        <x:v>RS-02143</x:v>
      </x:c>
      <x:c r="C4235" s="9" t="n">
        <x:v>2</x:v>
      </x:c>
      <x:c r="D4235" s="8" t="n">
        <x:v>45457</x:v>
      </x:c>
      <x:c r="E4235" s="9" t="n">
        <x:v>3887000</x:v>
      </x:c>
      <x:c r="F4235" s="9" t="n">
        <x:v>0</x:v>
      </x:c>
    </x:row>
    <x:row r="4236" ht="34" customHeight="1">
      <x:c r="A4236" s="4" t="str">
        <x:v>RS-02143-I3</x:v>
      </x:c>
      <x:c r="B4236" s="4" t="str">
        <x:v>RS-02143</x:v>
      </x:c>
      <x:c r="C4236" s="9" t="n">
        <x:v>3</x:v>
      </x:c>
      <x:c r="D4236" s="8" t="n">
        <x:v>45487</x:v>
      </x:c>
      <x:c r="E4236" s="9" t="n">
        <x:v>3887000</x:v>
      </x:c>
      <x:c r="F4236" s="9" t="n">
        <x:v>0</x:v>
      </x:c>
    </x:row>
    <x:row r="4237" ht="34" customHeight="1">
      <x:c r="A4237" s="4" t="str">
        <x:v>RS-02143-I4</x:v>
      </x:c>
      <x:c r="B4237" s="4" t="str">
        <x:v>RS-02143</x:v>
      </x:c>
      <x:c r="C4237" s="9" t="n">
        <x:v>4</x:v>
      </x:c>
      <x:c r="D4237" s="8" t="n">
        <x:v>45517</x:v>
      </x:c>
      <x:c r="E4237" s="9" t="n">
        <x:v>3887000</x:v>
      </x:c>
      <x:c r="F4237" s="9" t="n">
        <x:v>0</x:v>
      </x:c>
    </x:row>
    <x:row r="4238" ht="34" customHeight="1">
      <x:c r="A4238" s="4" t="str">
        <x:v>RS-02144-I1</x:v>
      </x:c>
      <x:c r="B4238" s="4" t="str">
        <x:v>RS-02144</x:v>
      </x:c>
      <x:c r="C4238" s="9" t="n">
        <x:v>1</x:v>
      </x:c>
      <x:c r="D4238" s="8" t="n">
        <x:v>45428</x:v>
      </x:c>
      <x:c r="E4238" s="9" t="n">
        <x:v>1212500</x:v>
      </x:c>
      <x:c r="F4238" s="9" t="n">
        <x:v>1212500</x:v>
      </x:c>
    </x:row>
    <x:row r="4239" ht="34" customHeight="1">
      <x:c r="A4239" s="4" t="str">
        <x:v>RS-02144-I2</x:v>
      </x:c>
      <x:c r="B4239" s="4" t="str">
        <x:v>RS-02144</x:v>
      </x:c>
      <x:c r="C4239" s="9" t="n">
        <x:v>2</x:v>
      </x:c>
      <x:c r="D4239" s="8" t="n">
        <x:v>45458</x:v>
      </x:c>
      <x:c r="E4239" s="9" t="n">
        <x:v>1212500</x:v>
      </x:c>
      <x:c r="F4239" s="9" t="n">
        <x:v>1212500</x:v>
      </x:c>
    </x:row>
    <x:row r="4240" ht="34" customHeight="1">
      <x:c r="A4240" s="4" t="str">
        <x:v>RS-02144-I3</x:v>
      </x:c>
      <x:c r="B4240" s="4" t="str">
        <x:v>RS-02144</x:v>
      </x:c>
      <x:c r="C4240" s="9" t="n">
        <x:v>3</x:v>
      </x:c>
      <x:c r="D4240" s="8" t="n">
        <x:v>45488</x:v>
      </x:c>
      <x:c r="E4240" s="9" t="n">
        <x:v>1212500</x:v>
      </x:c>
      <x:c r="F4240" s="9" t="n">
        <x:v>0</x:v>
      </x:c>
    </x:row>
    <x:row r="4241" ht="34" customHeight="1">
      <x:c r="A4241" s="4" t="str">
        <x:v>RS-02144-I4</x:v>
      </x:c>
      <x:c r="B4241" s="4" t="str">
        <x:v>RS-02144</x:v>
      </x:c>
      <x:c r="C4241" s="9" t="n">
        <x:v>4</x:v>
      </x:c>
      <x:c r="D4241" s="8" t="n">
        <x:v>45518</x:v>
      </x:c>
      <x:c r="E4241" s="9" t="n">
        <x:v>1212500</x:v>
      </x:c>
      <x:c r="F4241" s="9" t="n">
        <x:v>0</x:v>
      </x:c>
    </x:row>
    <x:row r="4242" ht="34" customHeight="1">
      <x:c r="A4242" s="4" t="str">
        <x:v>RS-02146-I1</x:v>
      </x:c>
      <x:c r="B4242" s="4" t="str">
        <x:v>RS-02146</x:v>
      </x:c>
      <x:c r="C4242" s="9" t="n">
        <x:v>1</x:v>
      </x:c>
      <x:c r="D4242" s="8" t="n">
        <x:v>45430</x:v>
      </x:c>
      <x:c r="E4242" s="9" t="n">
        <x:v>2514500</x:v>
      </x:c>
      <x:c r="F4242" s="9" t="n">
        <x:v>2514500</x:v>
      </x:c>
    </x:row>
    <x:row r="4243" ht="34" customHeight="1">
      <x:c r="A4243" s="4" t="str">
        <x:v>RS-02146-I2</x:v>
      </x:c>
      <x:c r="B4243" s="4" t="str">
        <x:v>RS-02146</x:v>
      </x:c>
      <x:c r="C4243" s="9" t="n">
        <x:v>2</x:v>
      </x:c>
      <x:c r="D4243" s="8" t="n">
        <x:v>45460</x:v>
      </x:c>
      <x:c r="E4243" s="9" t="n">
        <x:v>2514500</x:v>
      </x:c>
      <x:c r="F4243" s="9" t="n">
        <x:v>2514500</x:v>
      </x:c>
    </x:row>
    <x:row r="4244" ht="34" customHeight="1">
      <x:c r="A4244" s="4" t="str">
        <x:v>RS-02146-I3</x:v>
      </x:c>
      <x:c r="B4244" s="4" t="str">
        <x:v>RS-02146</x:v>
      </x:c>
      <x:c r="C4244" s="9" t="n">
        <x:v>3</x:v>
      </x:c>
      <x:c r="D4244" s="8" t="n">
        <x:v>45490</x:v>
      </x:c>
      <x:c r="E4244" s="9" t="n">
        <x:v>2514500</x:v>
      </x:c>
      <x:c r="F4244" s="9" t="n">
        <x:v>0</x:v>
      </x:c>
    </x:row>
    <x:row r="4245" ht="34" customHeight="1">
      <x:c r="A4245" s="4" t="str">
        <x:v>RS-02146-I4</x:v>
      </x:c>
      <x:c r="B4245" s="4" t="str">
        <x:v>RS-02146</x:v>
      </x:c>
      <x:c r="C4245" s="9" t="n">
        <x:v>4</x:v>
      </x:c>
      <x:c r="D4245" s="8" t="n">
        <x:v>45520</x:v>
      </x:c>
      <x:c r="E4245" s="9" t="n">
        <x:v>2514500</x:v>
      </x:c>
      <x:c r="F4245" s="9" t="n">
        <x:v>0</x:v>
      </x:c>
    </x:row>
    <x:row r="4246" ht="34" customHeight="1">
      <x:c r="A4246" s="4" t="str">
        <x:v>RS-02147-I1</x:v>
      </x:c>
      <x:c r="B4246" s="4" t="str">
        <x:v>RS-02147</x:v>
      </x:c>
      <x:c r="C4246" s="9" t="n">
        <x:v>1</x:v>
      </x:c>
      <x:c r="D4246" s="8" t="n">
        <x:v>45431</x:v>
      </x:c>
      <x:c r="E4246" s="9" t="n">
        <x:v>2161250</x:v>
      </x:c>
      <x:c r="F4246" s="9" t="n">
        <x:v>864500</x:v>
      </x:c>
    </x:row>
    <x:row r="4247" ht="34" customHeight="1">
      <x:c r="A4247" s="4" t="str">
        <x:v>RS-02147-I2</x:v>
      </x:c>
      <x:c r="B4247" s="4" t="str">
        <x:v>RS-02147</x:v>
      </x:c>
      <x:c r="C4247" s="9" t="n">
        <x:v>2</x:v>
      </x:c>
      <x:c r="D4247" s="8" t="n">
        <x:v>45461</x:v>
      </x:c>
      <x:c r="E4247" s="9" t="n">
        <x:v>2161250</x:v>
      </x:c>
      <x:c r="F4247" s="9" t="n">
        <x:v>0</x:v>
      </x:c>
    </x:row>
    <x:row r="4248" ht="34" customHeight="1">
      <x:c r="A4248" s="4" t="str">
        <x:v>RS-02147-I3</x:v>
      </x:c>
      <x:c r="B4248" s="4" t="str">
        <x:v>RS-02147</x:v>
      </x:c>
      <x:c r="C4248" s="9" t="n">
        <x:v>3</x:v>
      </x:c>
      <x:c r="D4248" s="8" t="n">
        <x:v>45491</x:v>
      </x:c>
      <x:c r="E4248" s="9" t="n">
        <x:v>2161250</x:v>
      </x:c>
      <x:c r="F4248" s="9" t="n">
        <x:v>0</x:v>
      </x:c>
    </x:row>
    <x:row r="4249" ht="34" customHeight="1">
      <x:c r="A4249" s="4" t="str">
        <x:v>RS-02147-I4</x:v>
      </x:c>
      <x:c r="B4249" s="4" t="str">
        <x:v>RS-02147</x:v>
      </x:c>
      <x:c r="C4249" s="9" t="n">
        <x:v>4</x:v>
      </x:c>
      <x:c r="D4249" s="8" t="n">
        <x:v>45521</x:v>
      </x:c>
      <x:c r="E4249" s="9" t="n">
        <x:v>2161250</x:v>
      </x:c>
      <x:c r="F4249" s="9" t="n">
        <x:v>0</x:v>
      </x:c>
    </x:row>
    <x:row r="4250" ht="34" customHeight="1">
      <x:c r="A4250" s="4" t="str">
        <x:v>RS-02150-I1</x:v>
      </x:c>
      <x:c r="B4250" s="4" t="str">
        <x:v>RS-02150</x:v>
      </x:c>
      <x:c r="C4250" s="9" t="n">
        <x:v>1</x:v>
      </x:c>
      <x:c r="D4250" s="8" t="n">
        <x:v>45434</x:v>
      </x:c>
      <x:c r="E4250" s="9" t="n">
        <x:v>2162250</x:v>
      </x:c>
      <x:c r="F4250" s="9" t="n">
        <x:v>2162250</x:v>
      </x:c>
    </x:row>
    <x:row r="4251" ht="34" customHeight="1">
      <x:c r="A4251" s="4" t="str">
        <x:v>RS-02150-I2</x:v>
      </x:c>
      <x:c r="B4251" s="4" t="str">
        <x:v>RS-02150</x:v>
      </x:c>
      <x:c r="C4251" s="9" t="n">
        <x:v>2</x:v>
      </x:c>
      <x:c r="D4251" s="8" t="n">
        <x:v>45464</x:v>
      </x:c>
      <x:c r="E4251" s="9" t="n">
        <x:v>2162250</x:v>
      </x:c>
      <x:c r="F4251" s="9" t="n">
        <x:v>2162250</x:v>
      </x:c>
    </x:row>
    <x:row r="4252" ht="34" customHeight="1">
      <x:c r="A4252" s="4" t="str">
        <x:v>RS-02150-I3</x:v>
      </x:c>
      <x:c r="B4252" s="4" t="str">
        <x:v>RS-02150</x:v>
      </x:c>
      <x:c r="C4252" s="9" t="n">
        <x:v>3</x:v>
      </x:c>
      <x:c r="D4252" s="8" t="n">
        <x:v>45494</x:v>
      </x:c>
      <x:c r="E4252" s="9" t="n">
        <x:v>2162250</x:v>
      </x:c>
      <x:c r="F4252" s="9" t="n">
        <x:v>0</x:v>
      </x:c>
    </x:row>
    <x:row r="4253" ht="34" customHeight="1">
      <x:c r="A4253" s="4" t="str">
        <x:v>RS-02150-I4</x:v>
      </x:c>
      <x:c r="B4253" s="4" t="str">
        <x:v>RS-02150</x:v>
      </x:c>
      <x:c r="C4253" s="9" t="n">
        <x:v>4</x:v>
      </x:c>
      <x:c r="D4253" s="8" t="n">
        <x:v>45524</x:v>
      </x:c>
      <x:c r="E4253" s="9" t="n">
        <x:v>2162250</x:v>
      </x:c>
      <x:c r="F4253" s="9" t="n">
        <x:v>0</x:v>
      </x:c>
    </x:row>
    <x:row r="4254" ht="34" customHeight="1">
      <x:c r="A4254" s="4" t="str">
        <x:v>RS-02152-I1</x:v>
      </x:c>
      <x:c r="B4254" s="4" t="str">
        <x:v>RS-02152</x:v>
      </x:c>
      <x:c r="C4254" s="9" t="n">
        <x:v>1</x:v>
      </x:c>
      <x:c r="D4254" s="8" t="n">
        <x:v>45436</x:v>
      </x:c>
      <x:c r="E4254" s="9" t="n">
        <x:v>3982750</x:v>
      </x:c>
      <x:c r="F4254" s="9" t="n">
        <x:v>3982750</x:v>
      </x:c>
    </x:row>
    <x:row r="4255" ht="34" customHeight="1">
      <x:c r="A4255" s="4" t="str">
        <x:v>RS-02152-I2</x:v>
      </x:c>
      <x:c r="B4255" s="4" t="str">
        <x:v>RS-02152</x:v>
      </x:c>
      <x:c r="C4255" s="9" t="n">
        <x:v>2</x:v>
      </x:c>
      <x:c r="D4255" s="8" t="n">
        <x:v>45466</x:v>
      </x:c>
      <x:c r="E4255" s="9" t="n">
        <x:v>3982750</x:v>
      </x:c>
      <x:c r="F4255" s="9" t="n">
        <x:v>3982750</x:v>
      </x:c>
    </x:row>
    <x:row r="4256" ht="34" customHeight="1">
      <x:c r="A4256" s="4" t="str">
        <x:v>RS-02152-I3</x:v>
      </x:c>
      <x:c r="B4256" s="4" t="str">
        <x:v>RS-02152</x:v>
      </x:c>
      <x:c r="C4256" s="9" t="n">
        <x:v>3</x:v>
      </x:c>
      <x:c r="D4256" s="8" t="n">
        <x:v>45496</x:v>
      </x:c>
      <x:c r="E4256" s="9" t="n">
        <x:v>3982750</x:v>
      </x:c>
      <x:c r="F4256" s="9" t="n">
        <x:v>3982750</x:v>
      </x:c>
    </x:row>
    <x:row r="4257" ht="34" customHeight="1">
      <x:c r="A4257" s="4" t="str">
        <x:v>RS-02152-I4</x:v>
      </x:c>
      <x:c r="B4257" s="4" t="str">
        <x:v>RS-02152</x:v>
      </x:c>
      <x:c r="C4257" s="9" t="n">
        <x:v>4</x:v>
      </x:c>
      <x:c r="D4257" s="8" t="n">
        <x:v>45526</x:v>
      </x:c>
      <x:c r="E4257" s="9" t="n">
        <x:v>3982750</x:v>
      </x:c>
      <x:c r="F4257" s="9" t="n">
        <x:v>3982750</x:v>
      </x:c>
    </x:row>
    <x:row r="4258" ht="34" customHeight="1">
      <x:c r="A4258" s="4" t="str">
        <x:v>RS-02153-I1</x:v>
      </x:c>
      <x:c r="B4258" s="4" t="str">
        <x:v>RS-02153</x:v>
      </x:c>
      <x:c r="C4258" s="9" t="n">
        <x:v>1</x:v>
      </x:c>
      <x:c r="D4258" s="8" t="n">
        <x:v>45437</x:v>
      </x:c>
      <x:c r="E4258" s="9" t="n">
        <x:v>4875750</x:v>
      </x:c>
      <x:c r="F4258" s="9" t="n">
        <x:v>4875750</x:v>
      </x:c>
    </x:row>
    <x:row r="4259" ht="34" customHeight="1">
      <x:c r="A4259" s="4" t="str">
        <x:v>RS-02153-I2</x:v>
      </x:c>
      <x:c r="B4259" s="4" t="str">
        <x:v>RS-02153</x:v>
      </x:c>
      <x:c r="C4259" s="9" t="n">
        <x:v>2</x:v>
      </x:c>
      <x:c r="D4259" s="8" t="n">
        <x:v>45467</x:v>
      </x:c>
      <x:c r="E4259" s="9" t="n">
        <x:v>4875750</x:v>
      </x:c>
      <x:c r="F4259" s="9" t="n">
        <x:v>4875750</x:v>
      </x:c>
    </x:row>
    <x:row r="4260" ht="34" customHeight="1">
      <x:c r="A4260" s="4" t="str">
        <x:v>RS-02153-I3</x:v>
      </x:c>
      <x:c r="B4260" s="4" t="str">
        <x:v>RS-02153</x:v>
      </x:c>
      <x:c r="C4260" s="9" t="n">
        <x:v>3</x:v>
      </x:c>
      <x:c r="D4260" s="8" t="n">
        <x:v>45497</x:v>
      </x:c>
      <x:c r="E4260" s="9" t="n">
        <x:v>4875750</x:v>
      </x:c>
      <x:c r="F4260" s="9" t="n">
        <x:v>0</x:v>
      </x:c>
    </x:row>
    <x:row r="4261" ht="34" customHeight="1">
      <x:c r="A4261" s="4" t="str">
        <x:v>RS-02153-I4</x:v>
      </x:c>
      <x:c r="B4261" s="4" t="str">
        <x:v>RS-02153</x:v>
      </x:c>
      <x:c r="C4261" s="9" t="n">
        <x:v>4</x:v>
      </x:c>
      <x:c r="D4261" s="8" t="n">
        <x:v>45527</x:v>
      </x:c>
      <x:c r="E4261" s="9" t="n">
        <x:v>4875750</x:v>
      </x:c>
      <x:c r="F4261" s="9" t="n">
        <x:v>0</x:v>
      </x:c>
    </x:row>
    <x:row r="4262" ht="34" customHeight="1">
      <x:c r="A4262" s="4" t="str">
        <x:v>RS-02154-I1</x:v>
      </x:c>
      <x:c r="B4262" s="4" t="str">
        <x:v>RS-02154</x:v>
      </x:c>
      <x:c r="C4262" s="9" t="n">
        <x:v>1</x:v>
      </x:c>
      <x:c r="D4262" s="8" t="n">
        <x:v>45438</x:v>
      </x:c>
      <x:c r="E4262" s="9" t="n">
        <x:v>3111250</x:v>
      </x:c>
      <x:c r="F4262" s="9" t="n">
        <x:v>3111250</x:v>
      </x:c>
    </x:row>
    <x:row r="4263" ht="34" customHeight="1">
      <x:c r="A4263" s="4" t="str">
        <x:v>RS-02154-I2</x:v>
      </x:c>
      <x:c r="B4263" s="4" t="str">
        <x:v>RS-02154</x:v>
      </x:c>
      <x:c r="C4263" s="9" t="n">
        <x:v>2</x:v>
      </x:c>
      <x:c r="D4263" s="8" t="n">
        <x:v>45468</x:v>
      </x:c>
      <x:c r="E4263" s="9" t="n">
        <x:v>3111250</x:v>
      </x:c>
      <x:c r="F4263" s="9" t="n">
        <x:v>0</x:v>
      </x:c>
    </x:row>
    <x:row r="4264" ht="34" customHeight="1">
      <x:c r="A4264" s="4" t="str">
        <x:v>RS-02154-I3</x:v>
      </x:c>
      <x:c r="B4264" s="4" t="str">
        <x:v>RS-02154</x:v>
      </x:c>
      <x:c r="C4264" s="9" t="n">
        <x:v>3</x:v>
      </x:c>
      <x:c r="D4264" s="8" t="n">
        <x:v>45498</x:v>
      </x:c>
      <x:c r="E4264" s="9" t="n">
        <x:v>3111250</x:v>
      </x:c>
      <x:c r="F4264" s="9" t="n">
        <x:v>0</x:v>
      </x:c>
    </x:row>
    <x:row r="4265" ht="34" customHeight="1">
      <x:c r="A4265" s="4" t="str">
        <x:v>RS-02154-I4</x:v>
      </x:c>
      <x:c r="B4265" s="4" t="str">
        <x:v>RS-02154</x:v>
      </x:c>
      <x:c r="C4265" s="9" t="n">
        <x:v>4</x:v>
      </x:c>
      <x:c r="D4265" s="8" t="n">
        <x:v>45528</x:v>
      </x:c>
      <x:c r="E4265" s="9" t="n">
        <x:v>3111250</x:v>
      </x:c>
      <x:c r="F4265" s="9" t="n">
        <x:v>0</x:v>
      </x:c>
    </x:row>
    <x:row r="4266" ht="34" customHeight="1">
      <x:c r="A4266" s="4" t="str">
        <x:v>RS-02156-I1</x:v>
      </x:c>
      <x:c r="B4266" s="4" t="str">
        <x:v>RS-02156</x:v>
      </x:c>
      <x:c r="C4266" s="9" t="n">
        <x:v>1</x:v>
      </x:c>
      <x:c r="D4266" s="8" t="n">
        <x:v>45440</x:v>
      </x:c>
      <x:c r="E4266" s="9" t="n">
        <x:v>916500</x:v>
      </x:c>
      <x:c r="F4266" s="9" t="n">
        <x:v>366600</x:v>
      </x:c>
    </x:row>
    <x:row r="4267" ht="34" customHeight="1">
      <x:c r="A4267" s="4" t="str">
        <x:v>RS-02156-I2</x:v>
      </x:c>
      <x:c r="B4267" s="4" t="str">
        <x:v>RS-02156</x:v>
      </x:c>
      <x:c r="C4267" s="9" t="n">
        <x:v>2</x:v>
      </x:c>
      <x:c r="D4267" s="8" t="n">
        <x:v>45470</x:v>
      </x:c>
      <x:c r="E4267" s="9" t="n">
        <x:v>916500</x:v>
      </x:c>
      <x:c r="F4267" s="9" t="n">
        <x:v>0</x:v>
      </x:c>
    </x:row>
    <x:row r="4268" ht="34" customHeight="1">
      <x:c r="A4268" s="4" t="str">
        <x:v>RS-02156-I3</x:v>
      </x:c>
      <x:c r="B4268" s="4" t="str">
        <x:v>RS-02156</x:v>
      </x:c>
      <x:c r="C4268" s="9" t="n">
        <x:v>3</x:v>
      </x:c>
      <x:c r="D4268" s="8" t="n">
        <x:v>45500</x:v>
      </x:c>
      <x:c r="E4268" s="9" t="n">
        <x:v>916500</x:v>
      </x:c>
      <x:c r="F4268" s="9" t="n">
        <x:v>0</x:v>
      </x:c>
    </x:row>
    <x:row r="4269" ht="34" customHeight="1">
      <x:c r="A4269" s="4" t="str">
        <x:v>RS-02156-I4</x:v>
      </x:c>
      <x:c r="B4269" s="4" t="str">
        <x:v>RS-02156</x:v>
      </x:c>
      <x:c r="C4269" s="9" t="n">
        <x:v>4</x:v>
      </x:c>
      <x:c r="D4269" s="8" t="n">
        <x:v>45530</x:v>
      </x:c>
      <x:c r="E4269" s="9" t="n">
        <x:v>916500</x:v>
      </x:c>
      <x:c r="F4269" s="9" t="n">
        <x:v>0</x:v>
      </x:c>
    </x:row>
    <x:row r="4270" ht="34" customHeight="1">
      <x:c r="A4270" s="4" t="str">
        <x:v>RS-02157-I1</x:v>
      </x:c>
      <x:c r="B4270" s="4" t="str">
        <x:v>RS-02157</x:v>
      </x:c>
      <x:c r="C4270" s="9" t="n">
        <x:v>1</x:v>
      </x:c>
      <x:c r="D4270" s="8" t="n">
        <x:v>45413</x:v>
      </x:c>
      <x:c r="E4270" s="9" t="n">
        <x:v>5286500</x:v>
      </x:c>
      <x:c r="F4270" s="9" t="n">
        <x:v>5286500</x:v>
      </x:c>
    </x:row>
    <x:row r="4271" ht="34" customHeight="1">
      <x:c r="A4271" s="4" t="str">
        <x:v>RS-02157-I2</x:v>
      </x:c>
      <x:c r="B4271" s="4" t="str">
        <x:v>RS-02157</x:v>
      </x:c>
      <x:c r="C4271" s="9" t="n">
        <x:v>2</x:v>
      </x:c>
      <x:c r="D4271" s="8" t="n">
        <x:v>45443</x:v>
      </x:c>
      <x:c r="E4271" s="9" t="n">
        <x:v>5286500</x:v>
      </x:c>
      <x:c r="F4271" s="9" t="n">
        <x:v>0</x:v>
      </x:c>
    </x:row>
    <x:row r="4272" ht="34" customHeight="1">
      <x:c r="A4272" s="4" t="str">
        <x:v>RS-02157-I3</x:v>
      </x:c>
      <x:c r="B4272" s="4" t="str">
        <x:v>RS-02157</x:v>
      </x:c>
      <x:c r="C4272" s="9" t="n">
        <x:v>3</x:v>
      </x:c>
      <x:c r="D4272" s="8" t="n">
        <x:v>45473</x:v>
      </x:c>
      <x:c r="E4272" s="9" t="n">
        <x:v>5286500</x:v>
      </x:c>
      <x:c r="F4272" s="9" t="n">
        <x:v>0</x:v>
      </x:c>
    </x:row>
    <x:row r="4273" ht="34" customHeight="1">
      <x:c r="A4273" s="4" t="str">
        <x:v>RS-02157-I4</x:v>
      </x:c>
      <x:c r="B4273" s="4" t="str">
        <x:v>RS-02157</x:v>
      </x:c>
      <x:c r="C4273" s="9" t="n">
        <x:v>4</x:v>
      </x:c>
      <x:c r="D4273" s="8" t="n">
        <x:v>45503</x:v>
      </x:c>
      <x:c r="E4273" s="9" t="n">
        <x:v>5286500</x:v>
      </x:c>
      <x:c r="F4273" s="9" t="n">
        <x:v>0</x:v>
      </x:c>
    </x:row>
    <x:row r="4274" ht="34" customHeight="1">
      <x:c r="A4274" s="4" t="str">
        <x:v>RS-02162-I1</x:v>
      </x:c>
      <x:c r="B4274" s="4" t="str">
        <x:v>RS-02162</x:v>
      </x:c>
      <x:c r="C4274" s="9" t="n">
        <x:v>1</x:v>
      </x:c>
      <x:c r="D4274" s="8" t="n">
        <x:v>45418</x:v>
      </x:c>
      <x:c r="E4274" s="9" t="n">
        <x:v>2351250</x:v>
      </x:c>
      <x:c r="F4274" s="9" t="n">
        <x:v>2351250</x:v>
      </x:c>
    </x:row>
    <x:row r="4275" ht="34" customHeight="1">
      <x:c r="A4275" s="4" t="str">
        <x:v>RS-02162-I2</x:v>
      </x:c>
      <x:c r="B4275" s="4" t="str">
        <x:v>RS-02162</x:v>
      </x:c>
      <x:c r="C4275" s="9" t="n">
        <x:v>2</x:v>
      </x:c>
      <x:c r="D4275" s="8" t="n">
        <x:v>45448</x:v>
      </x:c>
      <x:c r="E4275" s="9" t="n">
        <x:v>2351250</x:v>
      </x:c>
      <x:c r="F4275" s="9" t="n">
        <x:v>2351250</x:v>
      </x:c>
    </x:row>
    <x:row r="4276" ht="34" customHeight="1">
      <x:c r="A4276" s="4" t="str">
        <x:v>RS-02162-I3</x:v>
      </x:c>
      <x:c r="B4276" s="4" t="str">
        <x:v>RS-02162</x:v>
      </x:c>
      <x:c r="C4276" s="9" t="n">
        <x:v>3</x:v>
      </x:c>
      <x:c r="D4276" s="8" t="n">
        <x:v>45478</x:v>
      </x:c>
      <x:c r="E4276" s="9" t="n">
        <x:v>2351250</x:v>
      </x:c>
      <x:c r="F4276" s="9" t="n">
        <x:v>0</x:v>
      </x:c>
    </x:row>
    <x:row r="4277" ht="34" customHeight="1">
      <x:c r="A4277" s="4" t="str">
        <x:v>RS-02162-I4</x:v>
      </x:c>
      <x:c r="B4277" s="4" t="str">
        <x:v>RS-02162</x:v>
      </x:c>
      <x:c r="C4277" s="9" t="n">
        <x:v>4</x:v>
      </x:c>
      <x:c r="D4277" s="8" t="n">
        <x:v>45508</x:v>
      </x:c>
      <x:c r="E4277" s="9" t="n">
        <x:v>2351250</x:v>
      </x:c>
      <x:c r="F4277" s="9" t="n">
        <x:v>0</x:v>
      </x:c>
    </x:row>
    <x:row r="4278" ht="34" customHeight="1">
      <x:c r="A4278" s="4" t="str">
        <x:v>RS-02163-I1</x:v>
      </x:c>
      <x:c r="B4278" s="4" t="str">
        <x:v>RS-02163</x:v>
      </x:c>
      <x:c r="C4278" s="9" t="n">
        <x:v>1</x:v>
      </x:c>
      <x:c r="D4278" s="8" t="n">
        <x:v>45419</x:v>
      </x:c>
      <x:c r="E4278" s="9" t="n">
        <x:v>2162250</x:v>
      </x:c>
      <x:c r="F4278" s="9" t="n">
        <x:v>2162250</x:v>
      </x:c>
    </x:row>
    <x:row r="4279" ht="34" customHeight="1">
      <x:c r="A4279" s="4" t="str">
        <x:v>RS-02163-I2</x:v>
      </x:c>
      <x:c r="B4279" s="4" t="str">
        <x:v>RS-02163</x:v>
      </x:c>
      <x:c r="C4279" s="9" t="n">
        <x:v>2</x:v>
      </x:c>
      <x:c r="D4279" s="8" t="n">
        <x:v>45449</x:v>
      </x:c>
      <x:c r="E4279" s="9" t="n">
        <x:v>2162250</x:v>
      </x:c>
      <x:c r="F4279" s="9" t="n">
        <x:v>0</x:v>
      </x:c>
    </x:row>
    <x:row r="4280" ht="34" customHeight="1">
      <x:c r="A4280" s="4" t="str">
        <x:v>RS-02163-I3</x:v>
      </x:c>
      <x:c r="B4280" s="4" t="str">
        <x:v>RS-02163</x:v>
      </x:c>
      <x:c r="C4280" s="9" t="n">
        <x:v>3</x:v>
      </x:c>
      <x:c r="D4280" s="8" t="n">
        <x:v>45479</x:v>
      </x:c>
      <x:c r="E4280" s="9" t="n">
        <x:v>2162250</x:v>
      </x:c>
      <x:c r="F4280" s="9" t="n">
        <x:v>0</x:v>
      </x:c>
    </x:row>
    <x:row r="4281" ht="34" customHeight="1">
      <x:c r="A4281" s="4" t="str">
        <x:v>RS-02163-I4</x:v>
      </x:c>
      <x:c r="B4281" s="4" t="str">
        <x:v>RS-02163</x:v>
      </x:c>
      <x:c r="C4281" s="9" t="n">
        <x:v>4</x:v>
      </x:c>
      <x:c r="D4281" s="8" t="n">
        <x:v>45509</x:v>
      </x:c>
      <x:c r="E4281" s="9" t="n">
        <x:v>2162250</x:v>
      </x:c>
      <x:c r="F4281" s="9" t="n">
        <x:v>0</x:v>
      </x:c>
    </x:row>
    <x:row r="4282" ht="34" customHeight="1">
      <x:c r="A4282" s="4" t="str">
        <x:v>RS-02166-I1</x:v>
      </x:c>
      <x:c r="B4282" s="4" t="str">
        <x:v>RS-02166</x:v>
      </x:c>
      <x:c r="C4282" s="9" t="n">
        <x:v>1</x:v>
      </x:c>
      <x:c r="D4282" s="8" t="n">
        <x:v>45422</x:v>
      </x:c>
      <x:c r="E4282" s="9" t="n">
        <x:v>4018000</x:v>
      </x:c>
      <x:c r="F4282" s="9" t="n">
        <x:v>4018000</x:v>
      </x:c>
    </x:row>
    <x:row r="4283" ht="34" customHeight="1">
      <x:c r="A4283" s="4" t="str">
        <x:v>RS-02166-I2</x:v>
      </x:c>
      <x:c r="B4283" s="4" t="str">
        <x:v>RS-02166</x:v>
      </x:c>
      <x:c r="C4283" s="9" t="n">
        <x:v>2</x:v>
      </x:c>
      <x:c r="D4283" s="8" t="n">
        <x:v>45452</x:v>
      </x:c>
      <x:c r="E4283" s="9" t="n">
        <x:v>4018000</x:v>
      </x:c>
      <x:c r="F4283" s="9" t="n">
        <x:v>0</x:v>
      </x:c>
    </x:row>
    <x:row r="4284" ht="34" customHeight="1">
      <x:c r="A4284" s="4" t="str">
        <x:v>RS-02166-I3</x:v>
      </x:c>
      <x:c r="B4284" s="4" t="str">
        <x:v>RS-02166</x:v>
      </x:c>
      <x:c r="C4284" s="9" t="n">
        <x:v>3</x:v>
      </x:c>
      <x:c r="D4284" s="8" t="n">
        <x:v>45482</x:v>
      </x:c>
      <x:c r="E4284" s="9" t="n">
        <x:v>4018000</x:v>
      </x:c>
      <x:c r="F4284" s="9" t="n">
        <x:v>0</x:v>
      </x:c>
    </x:row>
    <x:row r="4285" ht="34" customHeight="1">
      <x:c r="A4285" s="4" t="str">
        <x:v>RS-02166-I4</x:v>
      </x:c>
      <x:c r="B4285" s="4" t="str">
        <x:v>RS-02166</x:v>
      </x:c>
      <x:c r="C4285" s="9" t="n">
        <x:v>4</x:v>
      </x:c>
      <x:c r="D4285" s="8" t="n">
        <x:v>45512</x:v>
      </x:c>
      <x:c r="E4285" s="9" t="n">
        <x:v>4018000</x:v>
      </x:c>
      <x:c r="F4285" s="9" t="n">
        <x:v>0</x:v>
      </x:c>
    </x:row>
    <x:row r="4286" ht="34" customHeight="1">
      <x:c r="A4286" s="4" t="str">
        <x:v>RS-02167-I1</x:v>
      </x:c>
      <x:c r="B4286" s="4" t="str">
        <x:v>RS-02167</x:v>
      </x:c>
      <x:c r="C4286" s="9" t="n">
        <x:v>1</x:v>
      </x:c>
      <x:c r="D4286" s="8" t="n">
        <x:v>45423</x:v>
      </x:c>
      <x:c r="E4286" s="9" t="n">
        <x:v>2254000</x:v>
      </x:c>
      <x:c r="F4286" s="9" t="n">
        <x:v>2254000</x:v>
      </x:c>
    </x:row>
    <x:row r="4287" ht="34" customHeight="1">
      <x:c r="A4287" s="4" t="str">
        <x:v>RS-02167-I2</x:v>
      </x:c>
      <x:c r="B4287" s="4" t="str">
        <x:v>RS-02167</x:v>
      </x:c>
      <x:c r="C4287" s="9" t="n">
        <x:v>2</x:v>
      </x:c>
      <x:c r="D4287" s="8" t="n">
        <x:v>45453</x:v>
      </x:c>
      <x:c r="E4287" s="9" t="n">
        <x:v>2254000</x:v>
      </x:c>
      <x:c r="F4287" s="9" t="n">
        <x:v>2254000</x:v>
      </x:c>
    </x:row>
    <x:row r="4288" ht="34" customHeight="1">
      <x:c r="A4288" s="4" t="str">
        <x:v>RS-02167-I3</x:v>
      </x:c>
      <x:c r="B4288" s="4" t="str">
        <x:v>RS-02167</x:v>
      </x:c>
      <x:c r="C4288" s="9" t="n">
        <x:v>3</x:v>
      </x:c>
      <x:c r="D4288" s="8" t="n">
        <x:v>45483</x:v>
      </x:c>
      <x:c r="E4288" s="9" t="n">
        <x:v>2254000</x:v>
      </x:c>
      <x:c r="F4288" s="9" t="n">
        <x:v>0</x:v>
      </x:c>
    </x:row>
    <x:row r="4289" ht="34" customHeight="1">
      <x:c r="A4289" s="4" t="str">
        <x:v>RS-02167-I4</x:v>
      </x:c>
      <x:c r="B4289" s="4" t="str">
        <x:v>RS-02167</x:v>
      </x:c>
      <x:c r="C4289" s="9" t="n">
        <x:v>4</x:v>
      </x:c>
      <x:c r="D4289" s="8" t="n">
        <x:v>45513</x:v>
      </x:c>
      <x:c r="E4289" s="9" t="n">
        <x:v>2254000</x:v>
      </x:c>
      <x:c r="F4289" s="9" t="n">
        <x:v>0</x:v>
      </x:c>
    </x:row>
    <x:row r="4290" ht="34" customHeight="1">
      <x:c r="A4290" s="4" t="str">
        <x:v>RS-02169-I1</x:v>
      </x:c>
      <x:c r="B4290" s="4" t="str">
        <x:v>RS-02169</x:v>
      </x:c>
      <x:c r="C4290" s="9" t="n">
        <x:v>1</x:v>
      </x:c>
      <x:c r="D4290" s="8" t="n">
        <x:v>45425</x:v>
      </x:c>
      <x:c r="E4290" s="9" t="n">
        <x:v>3686000</x:v>
      </x:c>
      <x:c r="F4290" s="9" t="n">
        <x:v>3686000</x:v>
      </x:c>
    </x:row>
    <x:row r="4291" ht="34" customHeight="1">
      <x:c r="A4291" s="4" t="str">
        <x:v>RS-02169-I2</x:v>
      </x:c>
      <x:c r="B4291" s="4" t="str">
        <x:v>RS-02169</x:v>
      </x:c>
      <x:c r="C4291" s="9" t="n">
        <x:v>2</x:v>
      </x:c>
      <x:c r="D4291" s="8" t="n">
        <x:v>45455</x:v>
      </x:c>
      <x:c r="E4291" s="9" t="n">
        <x:v>3686000</x:v>
      </x:c>
      <x:c r="F4291" s="9" t="n">
        <x:v>0</x:v>
      </x:c>
    </x:row>
    <x:row r="4292" ht="34" customHeight="1">
      <x:c r="A4292" s="4" t="str">
        <x:v>RS-02169-I3</x:v>
      </x:c>
      <x:c r="B4292" s="4" t="str">
        <x:v>RS-02169</x:v>
      </x:c>
      <x:c r="C4292" s="9" t="n">
        <x:v>3</x:v>
      </x:c>
      <x:c r="D4292" s="8" t="n">
        <x:v>45485</x:v>
      </x:c>
      <x:c r="E4292" s="9" t="n">
        <x:v>3686000</x:v>
      </x:c>
      <x:c r="F4292" s="9" t="n">
        <x:v>0</x:v>
      </x:c>
    </x:row>
    <x:row r="4293" ht="34" customHeight="1">
      <x:c r="A4293" s="4" t="str">
        <x:v>RS-02169-I4</x:v>
      </x:c>
      <x:c r="B4293" s="4" t="str">
        <x:v>RS-02169</x:v>
      </x:c>
      <x:c r="C4293" s="9" t="n">
        <x:v>4</x:v>
      </x:c>
      <x:c r="D4293" s="8" t="n">
        <x:v>45515</x:v>
      </x:c>
      <x:c r="E4293" s="9" t="n">
        <x:v>3686000</x:v>
      </x:c>
      <x:c r="F4293" s="9" t="n">
        <x:v>0</x:v>
      </x:c>
    </x:row>
    <x:row r="4294" ht="34" customHeight="1">
      <x:c r="A4294" s="4" t="str">
        <x:v>RS-02170-I1</x:v>
      </x:c>
      <x:c r="B4294" s="4" t="str">
        <x:v>RS-02170</x:v>
      </x:c>
      <x:c r="C4294" s="9" t="n">
        <x:v>1</x:v>
      </x:c>
      <x:c r="D4294" s="8" t="n">
        <x:v>45426</x:v>
      </x:c>
      <x:c r="E4294" s="9" t="n">
        <x:v>2185500</x:v>
      </x:c>
      <x:c r="F4294" s="9" t="n">
        <x:v>2185500</x:v>
      </x:c>
    </x:row>
    <x:row r="4295" ht="34" customHeight="1">
      <x:c r="A4295" s="4" t="str">
        <x:v>RS-02170-I2</x:v>
      </x:c>
      <x:c r="B4295" s="4" t="str">
        <x:v>RS-02170</x:v>
      </x:c>
      <x:c r="C4295" s="9" t="n">
        <x:v>2</x:v>
      </x:c>
      <x:c r="D4295" s="8" t="n">
        <x:v>45456</x:v>
      </x:c>
      <x:c r="E4295" s="9" t="n">
        <x:v>2185500</x:v>
      </x:c>
      <x:c r="F4295" s="9" t="n">
        <x:v>0</x:v>
      </x:c>
    </x:row>
    <x:row r="4296" ht="34" customHeight="1">
      <x:c r="A4296" s="4" t="str">
        <x:v>RS-02170-I3</x:v>
      </x:c>
      <x:c r="B4296" s="4" t="str">
        <x:v>RS-02170</x:v>
      </x:c>
      <x:c r="C4296" s="9" t="n">
        <x:v>3</x:v>
      </x:c>
      <x:c r="D4296" s="8" t="n">
        <x:v>45486</x:v>
      </x:c>
      <x:c r="E4296" s="9" t="n">
        <x:v>2185500</x:v>
      </x:c>
      <x:c r="F4296" s="9" t="n">
        <x:v>0</x:v>
      </x:c>
    </x:row>
    <x:row r="4297" ht="34" customHeight="1">
      <x:c r="A4297" s="4" t="str">
        <x:v>RS-02170-I4</x:v>
      </x:c>
      <x:c r="B4297" s="4" t="str">
        <x:v>RS-02170</x:v>
      </x:c>
      <x:c r="C4297" s="9" t="n">
        <x:v>4</x:v>
      </x:c>
      <x:c r="D4297" s="8" t="n">
        <x:v>45516</x:v>
      </x:c>
      <x:c r="E4297" s="9" t="n">
        <x:v>2185500</x:v>
      </x:c>
      <x:c r="F4297" s="9" t="n">
        <x:v>0</x:v>
      </x:c>
    </x:row>
    <x:row r="4298" ht="34" customHeight="1">
      <x:c r="A4298" s="4" t="str">
        <x:v>RS-02171-I1</x:v>
      </x:c>
      <x:c r="B4298" s="4" t="str">
        <x:v>RS-02171</x:v>
      </x:c>
      <x:c r="C4298" s="9" t="n">
        <x:v>1</x:v>
      </x:c>
      <x:c r="D4298" s="8" t="n">
        <x:v>45427</x:v>
      </x:c>
      <x:c r="E4298" s="9" t="n">
        <x:v>4949000</x:v>
      </x:c>
      <x:c r="F4298" s="9" t="n">
        <x:v>4949000</x:v>
      </x:c>
    </x:row>
    <x:row r="4299" ht="34" customHeight="1">
      <x:c r="A4299" s="4" t="str">
        <x:v>RS-02171-I2</x:v>
      </x:c>
      <x:c r="B4299" s="4" t="str">
        <x:v>RS-02171</x:v>
      </x:c>
      <x:c r="C4299" s="9" t="n">
        <x:v>2</x:v>
      </x:c>
      <x:c r="D4299" s="8" t="n">
        <x:v>45457</x:v>
      </x:c>
      <x:c r="E4299" s="9" t="n">
        <x:v>4949000</x:v>
      </x:c>
      <x:c r="F4299" s="9" t="n">
        <x:v>0</x:v>
      </x:c>
    </x:row>
    <x:row r="4300" ht="34" customHeight="1">
      <x:c r="A4300" s="4" t="str">
        <x:v>RS-02171-I3</x:v>
      </x:c>
      <x:c r="B4300" s="4" t="str">
        <x:v>RS-02171</x:v>
      </x:c>
      <x:c r="C4300" s="9" t="n">
        <x:v>3</x:v>
      </x:c>
      <x:c r="D4300" s="8" t="n">
        <x:v>45487</x:v>
      </x:c>
      <x:c r="E4300" s="9" t="n">
        <x:v>4949000</x:v>
      </x:c>
      <x:c r="F4300" s="9" t="n">
        <x:v>0</x:v>
      </x:c>
    </x:row>
    <x:row r="4301" ht="34" customHeight="1">
      <x:c r="A4301" s="4" t="str">
        <x:v>RS-02171-I4</x:v>
      </x:c>
      <x:c r="B4301" s="4" t="str">
        <x:v>RS-02171</x:v>
      </x:c>
      <x:c r="C4301" s="9" t="n">
        <x:v>4</x:v>
      </x:c>
      <x:c r="D4301" s="8" t="n">
        <x:v>45517</x:v>
      </x:c>
      <x:c r="E4301" s="9" t="n">
        <x:v>4949000</x:v>
      </x:c>
      <x:c r="F4301" s="9" t="n">
        <x:v>0</x:v>
      </x:c>
    </x:row>
    <x:row r="4302" ht="34" customHeight="1">
      <x:c r="A4302" s="4" t="str">
        <x:v>RS-02173-I1</x:v>
      </x:c>
      <x:c r="B4302" s="4" t="str">
        <x:v>RS-02173</x:v>
      </x:c>
      <x:c r="C4302" s="9" t="n">
        <x:v>1</x:v>
      </x:c>
      <x:c r="D4302" s="8" t="n">
        <x:v>45429</x:v>
      </x:c>
      <x:c r="E4302" s="9" t="n">
        <x:v>1200000</x:v>
      </x:c>
      <x:c r="F4302" s="9" t="n">
        <x:v>1200000</x:v>
      </x:c>
    </x:row>
    <x:row r="4303" ht="34" customHeight="1">
      <x:c r="A4303" s="4" t="str">
        <x:v>RS-02173-I2</x:v>
      </x:c>
      <x:c r="B4303" s="4" t="str">
        <x:v>RS-02173</x:v>
      </x:c>
      <x:c r="C4303" s="9" t="n">
        <x:v>2</x:v>
      </x:c>
      <x:c r="D4303" s="8" t="n">
        <x:v>45459</x:v>
      </x:c>
      <x:c r="E4303" s="9" t="n">
        <x:v>1200000</x:v>
      </x:c>
      <x:c r="F4303" s="9" t="n">
        <x:v>0</x:v>
      </x:c>
    </x:row>
    <x:row r="4304" ht="34" customHeight="1">
      <x:c r="A4304" s="4" t="str">
        <x:v>RS-02173-I3</x:v>
      </x:c>
      <x:c r="B4304" s="4" t="str">
        <x:v>RS-02173</x:v>
      </x:c>
      <x:c r="C4304" s="9" t="n">
        <x:v>3</x:v>
      </x:c>
      <x:c r="D4304" s="8" t="n">
        <x:v>45489</x:v>
      </x:c>
      <x:c r="E4304" s="9" t="n">
        <x:v>1200000</x:v>
      </x:c>
      <x:c r="F4304" s="9" t="n">
        <x:v>0</x:v>
      </x:c>
    </x:row>
    <x:row r="4305" ht="34" customHeight="1">
      <x:c r="A4305" s="4" t="str">
        <x:v>RS-02173-I4</x:v>
      </x:c>
      <x:c r="B4305" s="4" t="str">
        <x:v>RS-02173</x:v>
      </x:c>
      <x:c r="C4305" s="9" t="n">
        <x:v>4</x:v>
      </x:c>
      <x:c r="D4305" s="8" t="n">
        <x:v>45519</x:v>
      </x:c>
      <x:c r="E4305" s="9" t="n">
        <x:v>1200000</x:v>
      </x:c>
      <x:c r="F4305" s="9" t="n">
        <x:v>0</x:v>
      </x:c>
    </x:row>
    <x:row r="4306" ht="34" customHeight="1">
      <x:c r="A4306" s="4" t="str">
        <x:v>RS-02176-I1</x:v>
      </x:c>
      <x:c r="B4306" s="4" t="str">
        <x:v>RS-02176</x:v>
      </x:c>
      <x:c r="C4306" s="9" t="n">
        <x:v>1</x:v>
      </x:c>
      <x:c r="D4306" s="8" t="n">
        <x:v>45432</x:v>
      </x:c>
      <x:c r="E4306" s="9" t="n">
        <x:v>3087500</x:v>
      </x:c>
      <x:c r="F4306" s="9" t="n">
        <x:v>3087500</x:v>
      </x:c>
    </x:row>
    <x:row r="4307" ht="34" customHeight="1">
      <x:c r="A4307" s="4" t="str">
        <x:v>RS-02176-I2</x:v>
      </x:c>
      <x:c r="B4307" s="4" t="str">
        <x:v>RS-02176</x:v>
      </x:c>
      <x:c r="C4307" s="9" t="n">
        <x:v>2</x:v>
      </x:c>
      <x:c r="D4307" s="8" t="n">
        <x:v>45462</x:v>
      </x:c>
      <x:c r="E4307" s="9" t="n">
        <x:v>3087500</x:v>
      </x:c>
      <x:c r="F4307" s="9" t="n">
        <x:v>3087500</x:v>
      </x:c>
    </x:row>
    <x:row r="4308" ht="34" customHeight="1">
      <x:c r="A4308" s="4" t="str">
        <x:v>RS-02176-I3</x:v>
      </x:c>
      <x:c r="B4308" s="4" t="str">
        <x:v>RS-02176</x:v>
      </x:c>
      <x:c r="C4308" s="9" t="n">
        <x:v>3</x:v>
      </x:c>
      <x:c r="D4308" s="8" t="n">
        <x:v>45492</x:v>
      </x:c>
      <x:c r="E4308" s="9" t="n">
        <x:v>3087500</x:v>
      </x:c>
      <x:c r="F4308" s="9" t="n">
        <x:v>0</x:v>
      </x:c>
    </x:row>
    <x:row r="4309" ht="34" customHeight="1">
      <x:c r="A4309" s="4" t="str">
        <x:v>RS-02176-I4</x:v>
      </x:c>
      <x:c r="B4309" s="4" t="str">
        <x:v>RS-02176</x:v>
      </x:c>
      <x:c r="C4309" s="9" t="n">
        <x:v>4</x:v>
      </x:c>
      <x:c r="D4309" s="8" t="n">
        <x:v>45522</x:v>
      </x:c>
      <x:c r="E4309" s="9" t="n">
        <x:v>3087500</x:v>
      </x:c>
      <x:c r="F4309" s="9" t="n">
        <x:v>0</x:v>
      </x:c>
    </x:row>
    <x:row r="4310" ht="34" customHeight="1">
      <x:c r="A4310" s="4" t="str">
        <x:v>RS-02177-I1</x:v>
      </x:c>
      <x:c r="B4310" s="4" t="str">
        <x:v>RS-02177</x:v>
      </x:c>
      <x:c r="C4310" s="9" t="n">
        <x:v>1</x:v>
      </x:c>
      <x:c r="D4310" s="8" t="n">
        <x:v>45433</x:v>
      </x:c>
      <x:c r="E4310" s="9" t="n">
        <x:v>4680000</x:v>
      </x:c>
      <x:c r="F4310" s="9" t="n">
        <x:v>4680000</x:v>
      </x:c>
    </x:row>
    <x:row r="4311" ht="34" customHeight="1">
      <x:c r="A4311" s="4" t="str">
        <x:v>RS-02177-I2</x:v>
      </x:c>
      <x:c r="B4311" s="4" t="str">
        <x:v>RS-02177</x:v>
      </x:c>
      <x:c r="C4311" s="9" t="n">
        <x:v>2</x:v>
      </x:c>
      <x:c r="D4311" s="8" t="n">
        <x:v>45463</x:v>
      </x:c>
      <x:c r="E4311" s="9" t="n">
        <x:v>4680000</x:v>
      </x:c>
      <x:c r="F4311" s="9" t="n">
        <x:v>4680000</x:v>
      </x:c>
    </x:row>
    <x:row r="4312" ht="34" customHeight="1">
      <x:c r="A4312" s="4" t="str">
        <x:v>RS-02177-I3</x:v>
      </x:c>
      <x:c r="B4312" s="4" t="str">
        <x:v>RS-02177</x:v>
      </x:c>
      <x:c r="C4312" s="9" t="n">
        <x:v>3</x:v>
      </x:c>
      <x:c r="D4312" s="8" t="n">
        <x:v>45493</x:v>
      </x:c>
      <x:c r="E4312" s="9" t="n">
        <x:v>4680000</x:v>
      </x:c>
      <x:c r="F4312" s="9" t="n">
        <x:v>4680000</x:v>
      </x:c>
    </x:row>
    <x:row r="4313" ht="34" customHeight="1">
      <x:c r="A4313" s="4" t="str">
        <x:v>RS-02177-I4</x:v>
      </x:c>
      <x:c r="B4313" s="4" t="str">
        <x:v>RS-02177</x:v>
      </x:c>
      <x:c r="C4313" s="9" t="n">
        <x:v>4</x:v>
      </x:c>
      <x:c r="D4313" s="8" t="n">
        <x:v>45523</x:v>
      </x:c>
      <x:c r="E4313" s="9" t="n">
        <x:v>4680000</x:v>
      </x:c>
      <x:c r="F4313" s="9" t="n">
        <x:v>4680000</x:v>
      </x:c>
    </x:row>
    <x:row r="4314" ht="34" customHeight="1">
      <x:c r="A4314" s="4" t="str">
        <x:v>RS-02178-I1</x:v>
      </x:c>
      <x:c r="B4314" s="4" t="str">
        <x:v>RS-02178</x:v>
      </x:c>
      <x:c r="C4314" s="9" t="n">
        <x:v>1</x:v>
      </x:c>
      <x:c r="D4314" s="8" t="n">
        <x:v>45434</x:v>
      </x:c>
      <x:c r="E4314" s="9" t="n">
        <x:v>832500</x:v>
      </x:c>
      <x:c r="F4314" s="9" t="n">
        <x:v>832500</x:v>
      </x:c>
    </x:row>
    <x:row r="4315" ht="34" customHeight="1">
      <x:c r="A4315" s="4" t="str">
        <x:v>RS-02178-I2</x:v>
      </x:c>
      <x:c r="B4315" s="4" t="str">
        <x:v>RS-02178</x:v>
      </x:c>
      <x:c r="C4315" s="9" t="n">
        <x:v>2</x:v>
      </x:c>
      <x:c r="D4315" s="8" t="n">
        <x:v>45464</x:v>
      </x:c>
      <x:c r="E4315" s="9" t="n">
        <x:v>832500</x:v>
      </x:c>
      <x:c r="F4315" s="9" t="n">
        <x:v>832500</x:v>
      </x:c>
    </x:row>
    <x:row r="4316" ht="34" customHeight="1">
      <x:c r="A4316" s="4" t="str">
        <x:v>RS-02178-I3</x:v>
      </x:c>
      <x:c r="B4316" s="4" t="str">
        <x:v>RS-02178</x:v>
      </x:c>
      <x:c r="C4316" s="9" t="n">
        <x:v>3</x:v>
      </x:c>
      <x:c r="D4316" s="8" t="n">
        <x:v>45494</x:v>
      </x:c>
      <x:c r="E4316" s="9" t="n">
        <x:v>832500</x:v>
      </x:c>
      <x:c r="F4316" s="9" t="n">
        <x:v>832500</x:v>
      </x:c>
    </x:row>
    <x:row r="4317" ht="34" customHeight="1">
      <x:c r="A4317" s="4" t="str">
        <x:v>RS-02178-I4</x:v>
      </x:c>
      <x:c r="B4317" s="4" t="str">
        <x:v>RS-02178</x:v>
      </x:c>
      <x:c r="C4317" s="9" t="n">
        <x:v>4</x:v>
      </x:c>
      <x:c r="D4317" s="8" t="n">
        <x:v>45524</x:v>
      </x:c>
      <x:c r="E4317" s="9" t="n">
        <x:v>832500</x:v>
      </x:c>
      <x:c r="F4317" s="9" t="n">
        <x:v>832500</x:v>
      </x:c>
    </x:row>
    <x:row r="4318" ht="34" customHeight="1">
      <x:c r="A4318" s="4" t="str">
        <x:v>RS-02180-I1</x:v>
      </x:c>
      <x:c r="B4318" s="4" t="str">
        <x:v>RS-02180</x:v>
      </x:c>
      <x:c r="C4318" s="9" t="n">
        <x:v>1</x:v>
      </x:c>
      <x:c r="D4318" s="8" t="n">
        <x:v>45436</x:v>
      </x:c>
      <x:c r="E4318" s="9" t="n">
        <x:v>2745000</x:v>
      </x:c>
      <x:c r="F4318" s="9" t="n">
        <x:v>2745000</x:v>
      </x:c>
    </x:row>
    <x:row r="4319" ht="34" customHeight="1">
      <x:c r="A4319" s="4" t="str">
        <x:v>RS-02180-I2</x:v>
      </x:c>
      <x:c r="B4319" s="4" t="str">
        <x:v>RS-02180</x:v>
      </x:c>
      <x:c r="C4319" s="9" t="n">
        <x:v>2</x:v>
      </x:c>
      <x:c r="D4319" s="8" t="n">
        <x:v>45466</x:v>
      </x:c>
      <x:c r="E4319" s="9" t="n">
        <x:v>2745000</x:v>
      </x:c>
      <x:c r="F4319" s="9" t="n">
        <x:v>0</x:v>
      </x:c>
    </x:row>
    <x:row r="4320" ht="34" customHeight="1">
      <x:c r="A4320" s="4" t="str">
        <x:v>RS-02180-I3</x:v>
      </x:c>
      <x:c r="B4320" s="4" t="str">
        <x:v>RS-02180</x:v>
      </x:c>
      <x:c r="C4320" s="9" t="n">
        <x:v>3</x:v>
      </x:c>
      <x:c r="D4320" s="8" t="n">
        <x:v>45496</x:v>
      </x:c>
      <x:c r="E4320" s="9" t="n">
        <x:v>2745000</x:v>
      </x:c>
      <x:c r="F4320" s="9" t="n">
        <x:v>0</x:v>
      </x:c>
    </x:row>
    <x:row r="4321" ht="34" customHeight="1">
      <x:c r="A4321" s="4" t="str">
        <x:v>RS-02180-I4</x:v>
      </x:c>
      <x:c r="B4321" s="4" t="str">
        <x:v>RS-02180</x:v>
      </x:c>
      <x:c r="C4321" s="9" t="n">
        <x:v>4</x:v>
      </x:c>
      <x:c r="D4321" s="8" t="n">
        <x:v>45526</x:v>
      </x:c>
      <x:c r="E4321" s="9" t="n">
        <x:v>2745000</x:v>
      </x:c>
      <x:c r="F4321" s="9" t="n">
        <x:v>0</x:v>
      </x:c>
    </x:row>
    <x:row r="4322" ht="34" customHeight="1">
      <x:c r="A4322" s="4" t="str">
        <x:v>RS-02184-I1</x:v>
      </x:c>
      <x:c r="B4322" s="4" t="str">
        <x:v>RS-02184</x:v>
      </x:c>
      <x:c r="C4322" s="9" t="n">
        <x:v>1</x:v>
      </x:c>
      <x:c r="D4322" s="8" t="n">
        <x:v>45440</x:v>
      </x:c>
      <x:c r="E4322" s="9" t="n">
        <x:v>1250000</x:v>
      </x:c>
      <x:c r="F4322" s="9" t="n">
        <x:v>1250000</x:v>
      </x:c>
    </x:row>
    <x:row r="4323" ht="34" customHeight="1">
      <x:c r="A4323" s="4" t="str">
        <x:v>RS-02184-I2</x:v>
      </x:c>
      <x:c r="B4323" s="4" t="str">
        <x:v>RS-02184</x:v>
      </x:c>
      <x:c r="C4323" s="9" t="n">
        <x:v>2</x:v>
      </x:c>
      <x:c r="D4323" s="8" t="n">
        <x:v>45470</x:v>
      </x:c>
      <x:c r="E4323" s="9" t="n">
        <x:v>1250000</x:v>
      </x:c>
      <x:c r="F4323" s="9" t="n">
        <x:v>1250000</x:v>
      </x:c>
    </x:row>
    <x:row r="4324" ht="34" customHeight="1">
      <x:c r="A4324" s="4" t="str">
        <x:v>RS-02184-I3</x:v>
      </x:c>
      <x:c r="B4324" s="4" t="str">
        <x:v>RS-02184</x:v>
      </x:c>
      <x:c r="C4324" s="9" t="n">
        <x:v>3</x:v>
      </x:c>
      <x:c r="D4324" s="8" t="n">
        <x:v>45500</x:v>
      </x:c>
      <x:c r="E4324" s="9" t="n">
        <x:v>1250000</x:v>
      </x:c>
      <x:c r="F4324" s="9" t="n">
        <x:v>1250000</x:v>
      </x:c>
    </x:row>
    <x:row r="4325" ht="34" customHeight="1">
      <x:c r="A4325" s="4" t="str">
        <x:v>RS-02184-I4</x:v>
      </x:c>
      <x:c r="B4325" s="4" t="str">
        <x:v>RS-02184</x:v>
      </x:c>
      <x:c r="C4325" s="9" t="n">
        <x:v>4</x:v>
      </x:c>
      <x:c r="D4325" s="8" t="n">
        <x:v>45530</x:v>
      </x:c>
      <x:c r="E4325" s="9" t="n">
        <x:v>1250000</x:v>
      </x:c>
      <x:c r="F4325" s="9" t="n">
        <x:v>1250000</x:v>
      </x:c>
    </x:row>
    <x:row r="4326" ht="34" customHeight="1">
      <x:c r="A4326" s="4" t="str">
        <x:v>RS-02185-I1</x:v>
      </x:c>
      <x:c r="B4326" s="4" t="str">
        <x:v>RS-02185</x:v>
      </x:c>
      <x:c r="C4326" s="9" t="n">
        <x:v>1</x:v>
      </x:c>
      <x:c r="D4326" s="8" t="n">
        <x:v>45413</x:v>
      </x:c>
      <x:c r="E4326" s="9" t="n">
        <x:v>1702000</x:v>
      </x:c>
      <x:c r="F4326" s="9" t="n">
        <x:v>1702000</x:v>
      </x:c>
    </x:row>
    <x:row r="4327" ht="34" customHeight="1">
      <x:c r="A4327" s="4" t="str">
        <x:v>RS-02185-I2</x:v>
      </x:c>
      <x:c r="B4327" s="4" t="str">
        <x:v>RS-02185</x:v>
      </x:c>
      <x:c r="C4327" s="9" t="n">
        <x:v>2</x:v>
      </x:c>
      <x:c r="D4327" s="8" t="n">
        <x:v>45443</x:v>
      </x:c>
      <x:c r="E4327" s="9" t="n">
        <x:v>1702000</x:v>
      </x:c>
      <x:c r="F4327" s="9" t="n">
        <x:v>0</x:v>
      </x:c>
    </x:row>
    <x:row r="4328" ht="34" customHeight="1">
      <x:c r="A4328" s="4" t="str">
        <x:v>RS-02185-I3</x:v>
      </x:c>
      <x:c r="B4328" s="4" t="str">
        <x:v>RS-02185</x:v>
      </x:c>
      <x:c r="C4328" s="9" t="n">
        <x:v>3</x:v>
      </x:c>
      <x:c r="D4328" s="8" t="n">
        <x:v>45473</x:v>
      </x:c>
      <x:c r="E4328" s="9" t="n">
        <x:v>1702000</x:v>
      </x:c>
      <x:c r="F4328" s="9" t="n">
        <x:v>0</x:v>
      </x:c>
    </x:row>
    <x:row r="4329" ht="34" customHeight="1">
      <x:c r="A4329" s="4" t="str">
        <x:v>RS-02185-I4</x:v>
      </x:c>
      <x:c r="B4329" s="4" t="str">
        <x:v>RS-02185</x:v>
      </x:c>
      <x:c r="C4329" s="9" t="n">
        <x:v>4</x:v>
      </x:c>
      <x:c r="D4329" s="8" t="n">
        <x:v>45503</x:v>
      </x:c>
      <x:c r="E4329" s="9" t="n">
        <x:v>1702000</x:v>
      </x:c>
      <x:c r="F4329" s="9" t="n">
        <x:v>0</x:v>
      </x:c>
    </x:row>
    <x:row r="4330" ht="34" customHeight="1">
      <x:c r="A4330" s="4" t="str">
        <x:v>RS-02187-I1</x:v>
      </x:c>
      <x:c r="B4330" s="4" t="str">
        <x:v>RS-02187</x:v>
      </x:c>
      <x:c r="C4330" s="9" t="n">
        <x:v>1</x:v>
      </x:c>
      <x:c r="D4330" s="8" t="n">
        <x:v>45415</x:v>
      </x:c>
      <x:c r="E4330" s="9" t="n">
        <x:v>5267000</x:v>
      </x:c>
      <x:c r="F4330" s="9" t="n">
        <x:v>5267000</x:v>
      </x:c>
    </x:row>
    <x:row r="4331" ht="34" customHeight="1">
      <x:c r="A4331" s="4" t="str">
        <x:v>RS-02187-I2</x:v>
      </x:c>
      <x:c r="B4331" s="4" t="str">
        <x:v>RS-02187</x:v>
      </x:c>
      <x:c r="C4331" s="9" t="n">
        <x:v>2</x:v>
      </x:c>
      <x:c r="D4331" s="8" t="n">
        <x:v>45445</x:v>
      </x:c>
      <x:c r="E4331" s="9" t="n">
        <x:v>5267000</x:v>
      </x:c>
      <x:c r="F4331" s="9" t="n">
        <x:v>0</x:v>
      </x:c>
    </x:row>
    <x:row r="4332" ht="34" customHeight="1">
      <x:c r="A4332" s="4" t="str">
        <x:v>RS-02187-I3</x:v>
      </x:c>
      <x:c r="B4332" s="4" t="str">
        <x:v>RS-02187</x:v>
      </x:c>
      <x:c r="C4332" s="9" t="n">
        <x:v>3</x:v>
      </x:c>
      <x:c r="D4332" s="8" t="n">
        <x:v>45475</x:v>
      </x:c>
      <x:c r="E4332" s="9" t="n">
        <x:v>5267000</x:v>
      </x:c>
      <x:c r="F4332" s="9" t="n">
        <x:v>0</x:v>
      </x:c>
    </x:row>
    <x:row r="4333" ht="34" customHeight="1">
      <x:c r="A4333" s="4" t="str">
        <x:v>RS-02187-I4</x:v>
      </x:c>
      <x:c r="B4333" s="4" t="str">
        <x:v>RS-02187</x:v>
      </x:c>
      <x:c r="C4333" s="9" t="n">
        <x:v>4</x:v>
      </x:c>
      <x:c r="D4333" s="8" t="n">
        <x:v>45505</x:v>
      </x:c>
      <x:c r="E4333" s="9" t="n">
        <x:v>5267000</x:v>
      </x:c>
      <x:c r="F4333" s="9" t="n">
        <x:v>0</x:v>
      </x:c>
    </x:row>
    <x:row r="4334" ht="34" customHeight="1">
      <x:c r="A4334" s="4" t="str">
        <x:v>RS-02188-I1</x:v>
      </x:c>
      <x:c r="B4334" s="4" t="str">
        <x:v>RS-02188</x:v>
      </x:c>
      <x:c r="C4334" s="9" t="n">
        <x:v>1</x:v>
      </x:c>
      <x:c r="D4334" s="8" t="n">
        <x:v>45416</x:v>
      </x:c>
      <x:c r="E4334" s="9" t="n">
        <x:v>1246000</x:v>
      </x:c>
      <x:c r="F4334" s="9" t="n">
        <x:v>498400</x:v>
      </x:c>
    </x:row>
    <x:row r="4335" ht="34" customHeight="1">
      <x:c r="A4335" s="4" t="str">
        <x:v>RS-02188-I2</x:v>
      </x:c>
      <x:c r="B4335" s="4" t="str">
        <x:v>RS-02188</x:v>
      </x:c>
      <x:c r="C4335" s="9" t="n">
        <x:v>2</x:v>
      </x:c>
      <x:c r="D4335" s="8" t="n">
        <x:v>45446</x:v>
      </x:c>
      <x:c r="E4335" s="9" t="n">
        <x:v>1246000</x:v>
      </x:c>
      <x:c r="F4335" s="9" t="n">
        <x:v>0</x:v>
      </x:c>
    </x:row>
    <x:row r="4336" ht="34" customHeight="1">
      <x:c r="A4336" s="4" t="str">
        <x:v>RS-02188-I3</x:v>
      </x:c>
      <x:c r="B4336" s="4" t="str">
        <x:v>RS-02188</x:v>
      </x:c>
      <x:c r="C4336" s="9" t="n">
        <x:v>3</x:v>
      </x:c>
      <x:c r="D4336" s="8" t="n">
        <x:v>45476</x:v>
      </x:c>
      <x:c r="E4336" s="9" t="n">
        <x:v>1246000</x:v>
      </x:c>
      <x:c r="F4336" s="9" t="n">
        <x:v>0</x:v>
      </x:c>
    </x:row>
    <x:row r="4337" ht="34" customHeight="1">
      <x:c r="A4337" s="4" t="str">
        <x:v>RS-02188-I4</x:v>
      </x:c>
      <x:c r="B4337" s="4" t="str">
        <x:v>RS-02188</x:v>
      </x:c>
      <x:c r="C4337" s="9" t="n">
        <x:v>4</x:v>
      </x:c>
      <x:c r="D4337" s="8" t="n">
        <x:v>45506</x:v>
      </x:c>
      <x:c r="E4337" s="9" t="n">
        <x:v>1246000</x:v>
      </x:c>
      <x:c r="F4337" s="9" t="n">
        <x:v>0</x:v>
      </x:c>
    </x:row>
    <x:row r="4338" ht="34" customHeight="1">
      <x:c r="A4338" s="4" t="str">
        <x:v>RS-02190-I1</x:v>
      </x:c>
      <x:c r="B4338" s="4" t="str">
        <x:v>RS-02190</x:v>
      </x:c>
      <x:c r="C4338" s="9" t="n">
        <x:v>1</x:v>
      </x:c>
      <x:c r="D4338" s="8" t="n">
        <x:v>45418</x:v>
      </x:c>
      <x:c r="E4338" s="9" t="n">
        <x:v>2852000</x:v>
      </x:c>
      <x:c r="F4338" s="9" t="n">
        <x:v>2852000</x:v>
      </x:c>
    </x:row>
    <x:row r="4339" ht="34" customHeight="1">
      <x:c r="A4339" s="4" t="str">
        <x:v>RS-02190-I2</x:v>
      </x:c>
      <x:c r="B4339" s="4" t="str">
        <x:v>RS-02190</x:v>
      </x:c>
      <x:c r="C4339" s="9" t="n">
        <x:v>2</x:v>
      </x:c>
      <x:c r="D4339" s="8" t="n">
        <x:v>45448</x:v>
      </x:c>
      <x:c r="E4339" s="9" t="n">
        <x:v>2852000</x:v>
      </x:c>
      <x:c r="F4339" s="9" t="n">
        <x:v>2852000</x:v>
      </x:c>
    </x:row>
    <x:row r="4340" ht="34" customHeight="1">
      <x:c r="A4340" s="4" t="str">
        <x:v>RS-02190-I3</x:v>
      </x:c>
      <x:c r="B4340" s="4" t="str">
        <x:v>RS-02190</x:v>
      </x:c>
      <x:c r="C4340" s="9" t="n">
        <x:v>3</x:v>
      </x:c>
      <x:c r="D4340" s="8" t="n">
        <x:v>45478</x:v>
      </x:c>
      <x:c r="E4340" s="9" t="n">
        <x:v>2852000</x:v>
      </x:c>
      <x:c r="F4340" s="9" t="n">
        <x:v>0</x:v>
      </x:c>
    </x:row>
    <x:row r="4341" ht="34" customHeight="1">
      <x:c r="A4341" s="4" t="str">
        <x:v>RS-02190-I4</x:v>
      </x:c>
      <x:c r="B4341" s="4" t="str">
        <x:v>RS-02190</x:v>
      </x:c>
      <x:c r="C4341" s="9" t="n">
        <x:v>4</x:v>
      </x:c>
      <x:c r="D4341" s="8" t="n">
        <x:v>45508</x:v>
      </x:c>
      <x:c r="E4341" s="9" t="n">
        <x:v>2852000</x:v>
      </x:c>
      <x:c r="F4341" s="9" t="n">
        <x:v>0</x:v>
      </x:c>
    </x:row>
    <x:row r="4342" ht="34" customHeight="1">
      <x:c r="A4342" s="4" t="str">
        <x:v>RS-02191-I1</x:v>
      </x:c>
      <x:c r="B4342" s="4" t="str">
        <x:v>RS-02191</x:v>
      </x:c>
      <x:c r="C4342" s="9" t="n">
        <x:v>1</x:v>
      </x:c>
      <x:c r="D4342" s="8" t="n">
        <x:v>45419</x:v>
      </x:c>
      <x:c r="E4342" s="9" t="n">
        <x:v>3892500</x:v>
      </x:c>
      <x:c r="F4342" s="9" t="n">
        <x:v>3892500</x:v>
      </x:c>
    </x:row>
    <x:row r="4343" ht="34" customHeight="1">
      <x:c r="A4343" s="4" t="str">
        <x:v>RS-02191-I2</x:v>
      </x:c>
      <x:c r="B4343" s="4" t="str">
        <x:v>RS-02191</x:v>
      </x:c>
      <x:c r="C4343" s="9" t="n">
        <x:v>2</x:v>
      </x:c>
      <x:c r="D4343" s="8" t="n">
        <x:v>45449</x:v>
      </x:c>
      <x:c r="E4343" s="9" t="n">
        <x:v>3892500</x:v>
      </x:c>
      <x:c r="F4343" s="9" t="n">
        <x:v>3892500</x:v>
      </x:c>
    </x:row>
    <x:row r="4344" ht="34" customHeight="1">
      <x:c r="A4344" s="4" t="str">
        <x:v>RS-02191-I3</x:v>
      </x:c>
      <x:c r="B4344" s="4" t="str">
        <x:v>RS-02191</x:v>
      </x:c>
      <x:c r="C4344" s="9" t="n">
        <x:v>3</x:v>
      </x:c>
      <x:c r="D4344" s="8" t="n">
        <x:v>45479</x:v>
      </x:c>
      <x:c r="E4344" s="9" t="n">
        <x:v>3892500</x:v>
      </x:c>
      <x:c r="F4344" s="9" t="n">
        <x:v>0</x:v>
      </x:c>
    </x:row>
    <x:row r="4345" ht="34" customHeight="1">
      <x:c r="A4345" s="4" t="str">
        <x:v>RS-02191-I4</x:v>
      </x:c>
      <x:c r="B4345" s="4" t="str">
        <x:v>RS-02191</x:v>
      </x:c>
      <x:c r="C4345" s="9" t="n">
        <x:v>4</x:v>
      </x:c>
      <x:c r="D4345" s="8" t="n">
        <x:v>45509</x:v>
      </x:c>
      <x:c r="E4345" s="9" t="n">
        <x:v>3892500</x:v>
      </x:c>
      <x:c r="F4345" s="9" t="n">
        <x:v>0</x:v>
      </x:c>
    </x:row>
    <x:row r="4346" ht="34" customHeight="1">
      <x:c r="A4346" s="4" t="str">
        <x:v>RS-02192-I1</x:v>
      </x:c>
      <x:c r="B4346" s="4" t="str">
        <x:v>RS-02192</x:v>
      </x:c>
      <x:c r="C4346" s="9" t="n">
        <x:v>1</x:v>
      </x:c>
      <x:c r="D4346" s="8" t="n">
        <x:v>45420</x:v>
      </x:c>
      <x:c r="E4346" s="9" t="n">
        <x:v>3938000</x:v>
      </x:c>
      <x:c r="F4346" s="9" t="n">
        <x:v>3938000</x:v>
      </x:c>
    </x:row>
    <x:row r="4347" ht="34" customHeight="1">
      <x:c r="A4347" s="4" t="str">
        <x:v>RS-02192-I2</x:v>
      </x:c>
      <x:c r="B4347" s="4" t="str">
        <x:v>RS-02192</x:v>
      </x:c>
      <x:c r="C4347" s="9" t="n">
        <x:v>2</x:v>
      </x:c>
      <x:c r="D4347" s="8" t="n">
        <x:v>45450</x:v>
      </x:c>
      <x:c r="E4347" s="9" t="n">
        <x:v>3938000</x:v>
      </x:c>
      <x:c r="F4347" s="9" t="n">
        <x:v>3938000</x:v>
      </x:c>
    </x:row>
    <x:row r="4348" ht="34" customHeight="1">
      <x:c r="A4348" s="4" t="str">
        <x:v>RS-02192-I3</x:v>
      </x:c>
      <x:c r="B4348" s="4" t="str">
        <x:v>RS-02192</x:v>
      </x:c>
      <x:c r="C4348" s="9" t="n">
        <x:v>3</x:v>
      </x:c>
      <x:c r="D4348" s="8" t="n">
        <x:v>45480</x:v>
      </x:c>
      <x:c r="E4348" s="9" t="n">
        <x:v>3938000</x:v>
      </x:c>
      <x:c r="F4348" s="9" t="n">
        <x:v>0</x:v>
      </x:c>
    </x:row>
    <x:row r="4349" ht="34" customHeight="1">
      <x:c r="A4349" s="4" t="str">
        <x:v>RS-02192-I4</x:v>
      </x:c>
      <x:c r="B4349" s="4" t="str">
        <x:v>RS-02192</x:v>
      </x:c>
      <x:c r="C4349" s="9" t="n">
        <x:v>4</x:v>
      </x:c>
      <x:c r="D4349" s="8" t="n">
        <x:v>45510</x:v>
      </x:c>
      <x:c r="E4349" s="9" t="n">
        <x:v>3938000</x:v>
      </x:c>
      <x:c r="F4349" s="9" t="n">
        <x:v>0</x:v>
      </x:c>
    </x:row>
    <x:row r="4350" ht="34" customHeight="1">
      <x:c r="A4350" s="4" t="str">
        <x:v>RS-02197-I1</x:v>
      </x:c>
      <x:c r="B4350" s="4" t="str">
        <x:v>RS-02197</x:v>
      </x:c>
      <x:c r="C4350" s="9" t="n">
        <x:v>1</x:v>
      </x:c>
      <x:c r="D4350" s="8" t="n">
        <x:v>45425</x:v>
      </x:c>
      <x:c r="E4350" s="9" t="n">
        <x:v>4440750</x:v>
      </x:c>
      <x:c r="F4350" s="9" t="n">
        <x:v>4440750</x:v>
      </x:c>
    </x:row>
    <x:row r="4351" ht="34" customHeight="1">
      <x:c r="A4351" s="4" t="str">
        <x:v>RS-02197-I2</x:v>
      </x:c>
      <x:c r="B4351" s="4" t="str">
        <x:v>RS-02197</x:v>
      </x:c>
      <x:c r="C4351" s="9" t="n">
        <x:v>2</x:v>
      </x:c>
      <x:c r="D4351" s="8" t="n">
        <x:v>45455</x:v>
      </x:c>
      <x:c r="E4351" s="9" t="n">
        <x:v>4440750</x:v>
      </x:c>
      <x:c r="F4351" s="9" t="n">
        <x:v>0</x:v>
      </x:c>
    </x:row>
    <x:row r="4352" ht="34" customHeight="1">
      <x:c r="A4352" s="4" t="str">
        <x:v>RS-02197-I3</x:v>
      </x:c>
      <x:c r="B4352" s="4" t="str">
        <x:v>RS-02197</x:v>
      </x:c>
      <x:c r="C4352" s="9" t="n">
        <x:v>3</x:v>
      </x:c>
      <x:c r="D4352" s="8" t="n">
        <x:v>45485</x:v>
      </x:c>
      <x:c r="E4352" s="9" t="n">
        <x:v>4440750</x:v>
      </x:c>
      <x:c r="F4352" s="9" t="n">
        <x:v>0</x:v>
      </x:c>
    </x:row>
    <x:row r="4353" ht="34" customHeight="1">
      <x:c r="A4353" s="4" t="str">
        <x:v>RS-02197-I4</x:v>
      </x:c>
      <x:c r="B4353" s="4" t="str">
        <x:v>RS-02197</x:v>
      </x:c>
      <x:c r="C4353" s="9" t="n">
        <x:v>4</x:v>
      </x:c>
      <x:c r="D4353" s="8" t="n">
        <x:v>45515</x:v>
      </x:c>
      <x:c r="E4353" s="9" t="n">
        <x:v>4440750</x:v>
      </x:c>
      <x:c r="F4353" s="9" t="n">
        <x:v>0</x:v>
      </x:c>
    </x:row>
    <x:row r="4354" ht="34" customHeight="1">
      <x:c r="A4354" s="4" t="str">
        <x:v>RS-02198-I1</x:v>
      </x:c>
      <x:c r="B4354" s="4" t="str">
        <x:v>RS-02198</x:v>
      </x:c>
      <x:c r="C4354" s="9" t="n">
        <x:v>1</x:v>
      </x:c>
      <x:c r="D4354" s="8" t="n">
        <x:v>45426</x:v>
      </x:c>
      <x:c r="E4354" s="9" t="n">
        <x:v>4140000</x:v>
      </x:c>
      <x:c r="F4354" s="9" t="n">
        <x:v>4140000</x:v>
      </x:c>
    </x:row>
    <x:row r="4355" ht="34" customHeight="1">
      <x:c r="A4355" s="4" t="str">
        <x:v>RS-02198-I2</x:v>
      </x:c>
      <x:c r="B4355" s="4" t="str">
        <x:v>RS-02198</x:v>
      </x:c>
      <x:c r="C4355" s="9" t="n">
        <x:v>2</x:v>
      </x:c>
      <x:c r="D4355" s="8" t="n">
        <x:v>45456</x:v>
      </x:c>
      <x:c r="E4355" s="9" t="n">
        <x:v>4140000</x:v>
      </x:c>
      <x:c r="F4355" s="9" t="n">
        <x:v>0</x:v>
      </x:c>
    </x:row>
    <x:row r="4356" ht="34" customHeight="1">
      <x:c r="A4356" s="4" t="str">
        <x:v>RS-02198-I3</x:v>
      </x:c>
      <x:c r="B4356" s="4" t="str">
        <x:v>RS-02198</x:v>
      </x:c>
      <x:c r="C4356" s="9" t="n">
        <x:v>3</x:v>
      </x:c>
      <x:c r="D4356" s="8" t="n">
        <x:v>45486</x:v>
      </x:c>
      <x:c r="E4356" s="9" t="n">
        <x:v>4140000</x:v>
      </x:c>
      <x:c r="F4356" s="9" t="n">
        <x:v>0</x:v>
      </x:c>
    </x:row>
    <x:row r="4357" ht="34" customHeight="1">
      <x:c r="A4357" s="4" t="str">
        <x:v>RS-02198-I4</x:v>
      </x:c>
      <x:c r="B4357" s="4" t="str">
        <x:v>RS-02198</x:v>
      </x:c>
      <x:c r="C4357" s="9" t="n">
        <x:v>4</x:v>
      </x:c>
      <x:c r="D4357" s="8" t="n">
        <x:v>45516</x:v>
      </x:c>
      <x:c r="E4357" s="9" t="n">
        <x:v>4140000</x:v>
      </x:c>
      <x:c r="F4357" s="9" t="n">
        <x:v>0</x:v>
      </x:c>
    </x:row>
    <x:row r="4358" ht="34" customHeight="1">
      <x:c r="A4358" s="4" t="str">
        <x:v>RS-02200-I1</x:v>
      </x:c>
      <x:c r="B4358" s="4" t="str">
        <x:v>RS-02200</x:v>
      </x:c>
      <x:c r="C4358" s="9" t="n">
        <x:v>1</x:v>
      </x:c>
      <x:c r="D4358" s="8" t="n">
        <x:v>45428</x:v>
      </x:c>
      <x:c r="E4358" s="9" t="n">
        <x:v>1306250</x:v>
      </x:c>
      <x:c r="F4358" s="9" t="n">
        <x:v>1306250</x:v>
      </x:c>
    </x:row>
    <x:row r="4359" ht="34" customHeight="1">
      <x:c r="A4359" s="4" t="str">
        <x:v>RS-02200-I2</x:v>
      </x:c>
      <x:c r="B4359" s="4" t="str">
        <x:v>RS-02200</x:v>
      </x:c>
      <x:c r="C4359" s="9" t="n">
        <x:v>2</x:v>
      </x:c>
      <x:c r="D4359" s="8" t="n">
        <x:v>45458</x:v>
      </x:c>
      <x:c r="E4359" s="9" t="n">
        <x:v>1306250</x:v>
      </x:c>
      <x:c r="F4359" s="9" t="n">
        <x:v>1306250</x:v>
      </x:c>
    </x:row>
    <x:row r="4360" ht="34" customHeight="1">
      <x:c r="A4360" s="4" t="str">
        <x:v>RS-02200-I3</x:v>
      </x:c>
      <x:c r="B4360" s="4" t="str">
        <x:v>RS-02200</x:v>
      </x:c>
      <x:c r="C4360" s="9" t="n">
        <x:v>3</x:v>
      </x:c>
      <x:c r="D4360" s="8" t="n">
        <x:v>45488</x:v>
      </x:c>
      <x:c r="E4360" s="9" t="n">
        <x:v>1306250</x:v>
      </x:c>
      <x:c r="F4360" s="9" t="n">
        <x:v>1306250</x:v>
      </x:c>
    </x:row>
    <x:row r="4361" ht="34" customHeight="1">
      <x:c r="A4361" s="4" t="str">
        <x:v>RS-02200-I4</x:v>
      </x:c>
      <x:c r="B4361" s="4" t="str">
        <x:v>RS-02200</x:v>
      </x:c>
      <x:c r="C4361" s="9" t="n">
        <x:v>4</x:v>
      </x:c>
      <x:c r="D4361" s="8" t="n">
        <x:v>45518</x:v>
      </x:c>
      <x:c r="E4361" s="9" t="n">
        <x:v>1306250</x:v>
      </x:c>
      <x:c r="F4361" s="9" t="n">
        <x:v>1306250</x:v>
      </x:c>
    </x:row>
    <x:row r="4362" ht="34" customHeight="1">
      <x:c r="A4362" s="4" t="str">
        <x:v>RS-02203-I1</x:v>
      </x:c>
      <x:c r="B4362" s="4" t="str">
        <x:v>RS-02203</x:v>
      </x:c>
      <x:c r="C4362" s="9" t="n">
        <x:v>1</x:v>
      </x:c>
      <x:c r="D4362" s="8" t="n">
        <x:v>45431</x:v>
      </x:c>
      <x:c r="E4362" s="9" t="n">
        <x:v>2326500</x:v>
      </x:c>
      <x:c r="F4362" s="9" t="n">
        <x:v>930600</x:v>
      </x:c>
    </x:row>
    <x:row r="4363" ht="34" customHeight="1">
      <x:c r="A4363" s="4" t="str">
        <x:v>RS-02203-I2</x:v>
      </x:c>
      <x:c r="B4363" s="4" t="str">
        <x:v>RS-02203</x:v>
      </x:c>
      <x:c r="C4363" s="9" t="n">
        <x:v>2</x:v>
      </x:c>
      <x:c r="D4363" s="8" t="n">
        <x:v>45461</x:v>
      </x:c>
      <x:c r="E4363" s="9" t="n">
        <x:v>2326500</x:v>
      </x:c>
      <x:c r="F4363" s="9" t="n">
        <x:v>0</x:v>
      </x:c>
    </x:row>
    <x:row r="4364" ht="34" customHeight="1">
      <x:c r="A4364" s="4" t="str">
        <x:v>RS-02203-I3</x:v>
      </x:c>
      <x:c r="B4364" s="4" t="str">
        <x:v>RS-02203</x:v>
      </x:c>
      <x:c r="C4364" s="9" t="n">
        <x:v>3</x:v>
      </x:c>
      <x:c r="D4364" s="8" t="n">
        <x:v>45491</x:v>
      </x:c>
      <x:c r="E4364" s="9" t="n">
        <x:v>2326500</x:v>
      </x:c>
      <x:c r="F4364" s="9" t="n">
        <x:v>0</x:v>
      </x:c>
    </x:row>
    <x:row r="4365" ht="34" customHeight="1">
      <x:c r="A4365" s="4" t="str">
        <x:v>RS-02203-I4</x:v>
      </x:c>
      <x:c r="B4365" s="4" t="str">
        <x:v>RS-02203</x:v>
      </x:c>
      <x:c r="C4365" s="9" t="n">
        <x:v>4</x:v>
      </x:c>
      <x:c r="D4365" s="8" t="n">
        <x:v>45521</x:v>
      </x:c>
      <x:c r="E4365" s="9" t="n">
        <x:v>2326500</x:v>
      </x:c>
      <x:c r="F4365" s="9" t="n">
        <x:v>0</x:v>
      </x:c>
    </x:row>
    <x:row r="4366" ht="34" customHeight="1">
      <x:c r="A4366" s="4" t="str">
        <x:v>RS-02204-I1</x:v>
      </x:c>
      <x:c r="B4366" s="4" t="str">
        <x:v>RS-02204</x:v>
      </x:c>
      <x:c r="C4366" s="9" t="n">
        <x:v>1</x:v>
      </x:c>
      <x:c r="D4366" s="8" t="n">
        <x:v>45432</x:v>
      </x:c>
      <x:c r="E4366" s="9" t="n">
        <x:v>5370750</x:v>
      </x:c>
      <x:c r="F4366" s="9" t="n">
        <x:v>5370750</x:v>
      </x:c>
    </x:row>
    <x:row r="4367" ht="34" customHeight="1">
      <x:c r="A4367" s="4" t="str">
        <x:v>RS-02204-I2</x:v>
      </x:c>
      <x:c r="B4367" s="4" t="str">
        <x:v>RS-02204</x:v>
      </x:c>
      <x:c r="C4367" s="9" t="n">
        <x:v>2</x:v>
      </x:c>
      <x:c r="D4367" s="8" t="n">
        <x:v>45462</x:v>
      </x:c>
      <x:c r="E4367" s="9" t="n">
        <x:v>5370750</x:v>
      </x:c>
      <x:c r="F4367" s="9" t="n">
        <x:v>0</x:v>
      </x:c>
    </x:row>
    <x:row r="4368" ht="34" customHeight="1">
      <x:c r="A4368" s="4" t="str">
        <x:v>RS-02204-I3</x:v>
      </x:c>
      <x:c r="B4368" s="4" t="str">
        <x:v>RS-02204</x:v>
      </x:c>
      <x:c r="C4368" s="9" t="n">
        <x:v>3</x:v>
      </x:c>
      <x:c r="D4368" s="8" t="n">
        <x:v>45492</x:v>
      </x:c>
      <x:c r="E4368" s="9" t="n">
        <x:v>5370750</x:v>
      </x:c>
      <x:c r="F4368" s="9" t="n">
        <x:v>0</x:v>
      </x:c>
    </x:row>
    <x:row r="4369" ht="34" customHeight="1">
      <x:c r="A4369" s="4" t="str">
        <x:v>RS-02204-I4</x:v>
      </x:c>
      <x:c r="B4369" s="4" t="str">
        <x:v>RS-02204</x:v>
      </x:c>
      <x:c r="C4369" s="9" t="n">
        <x:v>4</x:v>
      </x:c>
      <x:c r="D4369" s="8" t="n">
        <x:v>45522</x:v>
      </x:c>
      <x:c r="E4369" s="9" t="n">
        <x:v>5370750</x:v>
      </x:c>
      <x:c r="F4369" s="9" t="n">
        <x:v>0</x:v>
      </x:c>
    </x:row>
    <x:row r="4370" ht="34" customHeight="1">
      <x:c r="A4370" s="4" t="str">
        <x:v>RS-02205-I1</x:v>
      </x:c>
      <x:c r="B4370" s="4" t="str">
        <x:v>RS-02205</x:v>
      </x:c>
      <x:c r="C4370" s="9" t="n">
        <x:v>1</x:v>
      </x:c>
      <x:c r="D4370" s="8" t="n">
        <x:v>45433</x:v>
      </x:c>
      <x:c r="E4370" s="9" t="n">
        <x:v>1435500</x:v>
      </x:c>
      <x:c r="F4370" s="9" t="n">
        <x:v>1435500</x:v>
      </x:c>
    </x:row>
    <x:row r="4371" ht="34" customHeight="1">
      <x:c r="A4371" s="4" t="str">
        <x:v>RS-02205-I2</x:v>
      </x:c>
      <x:c r="B4371" s="4" t="str">
        <x:v>RS-02205</x:v>
      </x:c>
      <x:c r="C4371" s="9" t="n">
        <x:v>2</x:v>
      </x:c>
      <x:c r="D4371" s="8" t="n">
        <x:v>45463</x:v>
      </x:c>
      <x:c r="E4371" s="9" t="n">
        <x:v>1435500</x:v>
      </x:c>
      <x:c r="F4371" s="9" t="n">
        <x:v>0</x:v>
      </x:c>
    </x:row>
    <x:row r="4372" ht="34" customHeight="1">
      <x:c r="A4372" s="4" t="str">
        <x:v>RS-02205-I3</x:v>
      </x:c>
      <x:c r="B4372" s="4" t="str">
        <x:v>RS-02205</x:v>
      </x:c>
      <x:c r="C4372" s="9" t="n">
        <x:v>3</x:v>
      </x:c>
      <x:c r="D4372" s="8" t="n">
        <x:v>45493</x:v>
      </x:c>
      <x:c r="E4372" s="9" t="n">
        <x:v>1435500</x:v>
      </x:c>
      <x:c r="F4372" s="9" t="n">
        <x:v>0</x:v>
      </x:c>
    </x:row>
    <x:row r="4373" ht="34" customHeight="1">
      <x:c r="A4373" s="4" t="str">
        <x:v>RS-02205-I4</x:v>
      </x:c>
      <x:c r="B4373" s="4" t="str">
        <x:v>RS-02205</x:v>
      </x:c>
      <x:c r="C4373" s="9" t="n">
        <x:v>4</x:v>
      </x:c>
      <x:c r="D4373" s="8" t="n">
        <x:v>45523</x:v>
      </x:c>
      <x:c r="E4373" s="9" t="n">
        <x:v>1435500</x:v>
      </x:c>
      <x:c r="F4373" s="9" t="n">
        <x:v>0</x:v>
      </x:c>
    </x:row>
    <x:row r="4374" ht="34" customHeight="1">
      <x:c r="A4374" s="4" t="str">
        <x:v>RS-02206-I1</x:v>
      </x:c>
      <x:c r="B4374" s="4" t="str">
        <x:v>RS-02206</x:v>
      </x:c>
      <x:c r="C4374" s="9" t="n">
        <x:v>1</x:v>
      </x:c>
      <x:c r="D4374" s="8" t="n">
        <x:v>45434</x:v>
      </x:c>
      <x:c r="E4374" s="9" t="n">
        <x:v>1824000</x:v>
      </x:c>
      <x:c r="F4374" s="9" t="n">
        <x:v>729600</x:v>
      </x:c>
    </x:row>
    <x:row r="4375" ht="34" customHeight="1">
      <x:c r="A4375" s="4" t="str">
        <x:v>RS-02206-I2</x:v>
      </x:c>
      <x:c r="B4375" s="4" t="str">
        <x:v>RS-02206</x:v>
      </x:c>
      <x:c r="C4375" s="9" t="n">
        <x:v>2</x:v>
      </x:c>
      <x:c r="D4375" s="8" t="n">
        <x:v>45464</x:v>
      </x:c>
      <x:c r="E4375" s="9" t="n">
        <x:v>1824000</x:v>
      </x:c>
      <x:c r="F4375" s="9" t="n">
        <x:v>0</x:v>
      </x:c>
    </x:row>
    <x:row r="4376" ht="34" customHeight="1">
      <x:c r="A4376" s="4" t="str">
        <x:v>RS-02206-I3</x:v>
      </x:c>
      <x:c r="B4376" s="4" t="str">
        <x:v>RS-02206</x:v>
      </x:c>
      <x:c r="C4376" s="9" t="n">
        <x:v>3</x:v>
      </x:c>
      <x:c r="D4376" s="8" t="n">
        <x:v>45494</x:v>
      </x:c>
      <x:c r="E4376" s="9" t="n">
        <x:v>1824000</x:v>
      </x:c>
      <x:c r="F4376" s="9" t="n">
        <x:v>0</x:v>
      </x:c>
    </x:row>
    <x:row r="4377" ht="34" customHeight="1">
      <x:c r="A4377" s="4" t="str">
        <x:v>RS-02206-I4</x:v>
      </x:c>
      <x:c r="B4377" s="4" t="str">
        <x:v>RS-02206</x:v>
      </x:c>
      <x:c r="C4377" s="9" t="n">
        <x:v>4</x:v>
      </x:c>
      <x:c r="D4377" s="8" t="n">
        <x:v>45524</x:v>
      </x:c>
      <x:c r="E4377" s="9" t="n">
        <x:v>1824000</x:v>
      </x:c>
      <x:c r="F4377" s="9" t="n">
        <x:v>0</x:v>
      </x:c>
    </x:row>
    <x:row r="4378" ht="34" customHeight="1">
      <x:c r="A4378" s="4" t="str">
        <x:v>RS-02209-I1</x:v>
      </x:c>
      <x:c r="B4378" s="4" t="str">
        <x:v>RS-02209</x:v>
      </x:c>
      <x:c r="C4378" s="9" t="n">
        <x:v>1</x:v>
      </x:c>
      <x:c r="D4378" s="8" t="n">
        <x:v>45437</x:v>
      </x:c>
      <x:c r="E4378" s="9" t="n">
        <x:v>4299750</x:v>
      </x:c>
      <x:c r="F4378" s="9" t="n">
        <x:v>1719900</x:v>
      </x:c>
    </x:row>
    <x:row r="4379" ht="34" customHeight="1">
      <x:c r="A4379" s="4" t="str">
        <x:v>RS-02209-I2</x:v>
      </x:c>
      <x:c r="B4379" s="4" t="str">
        <x:v>RS-02209</x:v>
      </x:c>
      <x:c r="C4379" s="9" t="n">
        <x:v>2</x:v>
      </x:c>
      <x:c r="D4379" s="8" t="n">
        <x:v>45467</x:v>
      </x:c>
      <x:c r="E4379" s="9" t="n">
        <x:v>4299750</x:v>
      </x:c>
      <x:c r="F4379" s="9" t="n">
        <x:v>0</x:v>
      </x:c>
    </x:row>
    <x:row r="4380" ht="34" customHeight="1">
      <x:c r="A4380" s="4" t="str">
        <x:v>RS-02209-I3</x:v>
      </x:c>
      <x:c r="B4380" s="4" t="str">
        <x:v>RS-02209</x:v>
      </x:c>
      <x:c r="C4380" s="9" t="n">
        <x:v>3</x:v>
      </x:c>
      <x:c r="D4380" s="8" t="n">
        <x:v>45497</x:v>
      </x:c>
      <x:c r="E4380" s="9" t="n">
        <x:v>4299750</x:v>
      </x:c>
      <x:c r="F4380" s="9" t="n">
        <x:v>0</x:v>
      </x:c>
    </x:row>
    <x:row r="4381" ht="34" customHeight="1">
      <x:c r="A4381" s="4" t="str">
        <x:v>RS-02209-I4</x:v>
      </x:c>
      <x:c r="B4381" s="4" t="str">
        <x:v>RS-02209</x:v>
      </x:c>
      <x:c r="C4381" s="9" t="n">
        <x:v>4</x:v>
      </x:c>
      <x:c r="D4381" s="8" t="n">
        <x:v>45527</x:v>
      </x:c>
      <x:c r="E4381" s="9" t="n">
        <x:v>4299750</x:v>
      </x:c>
      <x:c r="F4381" s="9" t="n">
        <x:v>0</x:v>
      </x:c>
    </x:row>
    <x:row r="4382" ht="34" customHeight="1">
      <x:c r="A4382" s="4" t="str">
        <x:v>RS-02211-I1</x:v>
      </x:c>
      <x:c r="B4382" s="4" t="str">
        <x:v>RS-02211</x:v>
      </x:c>
      <x:c r="C4382" s="9" t="n">
        <x:v>1</x:v>
      </x:c>
      <x:c r="D4382" s="8" t="n">
        <x:v>45439</x:v>
      </x:c>
      <x:c r="E4382" s="9" t="n">
        <x:v>5700000</x:v>
      </x:c>
      <x:c r="F4382" s="9" t="n">
        <x:v>2280000</x:v>
      </x:c>
    </x:row>
    <x:row r="4383" ht="34" customHeight="1">
      <x:c r="A4383" s="4" t="str">
        <x:v>RS-02211-I2</x:v>
      </x:c>
      <x:c r="B4383" s="4" t="str">
        <x:v>RS-02211</x:v>
      </x:c>
      <x:c r="C4383" s="9" t="n">
        <x:v>2</x:v>
      </x:c>
      <x:c r="D4383" s="8" t="n">
        <x:v>45469</x:v>
      </x:c>
      <x:c r="E4383" s="9" t="n">
        <x:v>5700000</x:v>
      </x:c>
      <x:c r="F4383" s="9" t="n">
        <x:v>0</x:v>
      </x:c>
    </x:row>
    <x:row r="4384" ht="34" customHeight="1">
      <x:c r="A4384" s="4" t="str">
        <x:v>RS-02211-I3</x:v>
      </x:c>
      <x:c r="B4384" s="4" t="str">
        <x:v>RS-02211</x:v>
      </x:c>
      <x:c r="C4384" s="9" t="n">
        <x:v>3</x:v>
      </x:c>
      <x:c r="D4384" s="8" t="n">
        <x:v>45499</x:v>
      </x:c>
      <x:c r="E4384" s="9" t="n">
        <x:v>5700000</x:v>
      </x:c>
      <x:c r="F4384" s="9" t="n">
        <x:v>0</x:v>
      </x:c>
    </x:row>
    <x:row r="4385" ht="34" customHeight="1">
      <x:c r="A4385" s="4" t="str">
        <x:v>RS-02211-I4</x:v>
      </x:c>
      <x:c r="B4385" s="4" t="str">
        <x:v>RS-02211</x:v>
      </x:c>
      <x:c r="C4385" s="9" t="n">
        <x:v>4</x:v>
      </x:c>
      <x:c r="D4385" s="8" t="n">
        <x:v>45529</x:v>
      </x:c>
      <x:c r="E4385" s="9" t="n">
        <x:v>5700000</x:v>
      </x:c>
      <x:c r="F4385" s="9" t="n">
        <x:v>0</x:v>
      </x:c>
    </x:row>
    <x:row r="4386" ht="34" customHeight="1">
      <x:c r="A4386" s="4" t="str">
        <x:v>RS-02213-I1</x:v>
      </x:c>
      <x:c r="B4386" s="4" t="str">
        <x:v>RS-02213</x:v>
      </x:c>
      <x:c r="C4386" s="9" t="n">
        <x:v>1</x:v>
      </x:c>
      <x:c r="D4386" s="8" t="n">
        <x:v>45413</x:v>
      </x:c>
      <x:c r="E4386" s="9" t="n">
        <x:v>1890000</x:v>
      </x:c>
      <x:c r="F4386" s="9" t="n">
        <x:v>1890000</x:v>
      </x:c>
    </x:row>
    <x:row r="4387" ht="34" customHeight="1">
      <x:c r="A4387" s="4" t="str">
        <x:v>RS-02213-I2</x:v>
      </x:c>
      <x:c r="B4387" s="4" t="str">
        <x:v>RS-02213</x:v>
      </x:c>
      <x:c r="C4387" s="9" t="n">
        <x:v>2</x:v>
      </x:c>
      <x:c r="D4387" s="8" t="n">
        <x:v>45443</x:v>
      </x:c>
      <x:c r="E4387" s="9" t="n">
        <x:v>1890000</x:v>
      </x:c>
      <x:c r="F4387" s="9" t="n">
        <x:v>1890000</x:v>
      </x:c>
    </x:row>
    <x:row r="4388" ht="34" customHeight="1">
      <x:c r="A4388" s="4" t="str">
        <x:v>RS-02213-I3</x:v>
      </x:c>
      <x:c r="B4388" s="4" t="str">
        <x:v>RS-02213</x:v>
      </x:c>
      <x:c r="C4388" s="9" t="n">
        <x:v>3</x:v>
      </x:c>
      <x:c r="D4388" s="8" t="n">
        <x:v>45473</x:v>
      </x:c>
      <x:c r="E4388" s="9" t="n">
        <x:v>1890000</x:v>
      </x:c>
      <x:c r="F4388" s="9" t="n">
        <x:v>0</x:v>
      </x:c>
    </x:row>
    <x:row r="4389" ht="34" customHeight="1">
      <x:c r="A4389" s="4" t="str">
        <x:v>RS-02213-I4</x:v>
      </x:c>
      <x:c r="B4389" s="4" t="str">
        <x:v>RS-02213</x:v>
      </x:c>
      <x:c r="C4389" s="9" t="n">
        <x:v>4</x:v>
      </x:c>
      <x:c r="D4389" s="8" t="n">
        <x:v>45503</x:v>
      </x:c>
      <x:c r="E4389" s="9" t="n">
        <x:v>1890000</x:v>
      </x:c>
      <x:c r="F4389" s="9" t="n">
        <x:v>0</x:v>
      </x:c>
    </x:row>
    <x:row r="4390" ht="34" customHeight="1">
      <x:c r="A4390" s="4" t="str">
        <x:v>RS-02217-I1</x:v>
      </x:c>
      <x:c r="B4390" s="4" t="str">
        <x:v>RS-02217</x:v>
      </x:c>
      <x:c r="C4390" s="9" t="n">
        <x:v>1</x:v>
      </x:c>
      <x:c r="D4390" s="8" t="n">
        <x:v>45417</x:v>
      </x:c>
      <x:c r="E4390" s="9" t="n">
        <x:v>5060000</x:v>
      </x:c>
      <x:c r="F4390" s="9" t="n">
        <x:v>5060000</x:v>
      </x:c>
    </x:row>
    <x:row r="4391" ht="34" customHeight="1">
      <x:c r="A4391" s="4" t="str">
        <x:v>RS-02217-I2</x:v>
      </x:c>
      <x:c r="B4391" s="4" t="str">
        <x:v>RS-02217</x:v>
      </x:c>
      <x:c r="C4391" s="9" t="n">
        <x:v>2</x:v>
      </x:c>
      <x:c r="D4391" s="8" t="n">
        <x:v>45447</x:v>
      </x:c>
      <x:c r="E4391" s="9" t="n">
        <x:v>5060000</x:v>
      </x:c>
      <x:c r="F4391" s="9" t="n">
        <x:v>5060000</x:v>
      </x:c>
    </x:row>
    <x:row r="4392" ht="34" customHeight="1">
      <x:c r="A4392" s="4" t="str">
        <x:v>RS-02217-I3</x:v>
      </x:c>
      <x:c r="B4392" s="4" t="str">
        <x:v>RS-02217</x:v>
      </x:c>
      <x:c r="C4392" s="9" t="n">
        <x:v>3</x:v>
      </x:c>
      <x:c r="D4392" s="8" t="n">
        <x:v>45477</x:v>
      </x:c>
      <x:c r="E4392" s="9" t="n">
        <x:v>5060000</x:v>
      </x:c>
      <x:c r="F4392" s="9" t="n">
        <x:v>5060000</x:v>
      </x:c>
    </x:row>
    <x:row r="4393" ht="34" customHeight="1">
      <x:c r="A4393" s="4" t="str">
        <x:v>RS-02217-I4</x:v>
      </x:c>
      <x:c r="B4393" s="4" t="str">
        <x:v>RS-02217</x:v>
      </x:c>
      <x:c r="C4393" s="9" t="n">
        <x:v>4</x:v>
      </x:c>
      <x:c r="D4393" s="8" t="n">
        <x:v>45507</x:v>
      </x:c>
      <x:c r="E4393" s="9" t="n">
        <x:v>5060000</x:v>
      </x:c>
      <x:c r="F4393" s="9" t="n">
        <x:v>5060000</x:v>
      </x:c>
    </x:row>
    <x:row r="4394" ht="34" customHeight="1">
      <x:c r="A4394" s="4" t="str">
        <x:v>RS-02218-I1</x:v>
      </x:c>
      <x:c r="B4394" s="4" t="str">
        <x:v>RS-02218</x:v>
      </x:c>
      <x:c r="C4394" s="9" t="n">
        <x:v>1</x:v>
      </x:c>
      <x:c r="D4394" s="8" t="n">
        <x:v>45418</x:v>
      </x:c>
      <x:c r="E4394" s="9" t="n">
        <x:v>3806000</x:v>
      </x:c>
      <x:c r="F4394" s="9" t="n">
        <x:v>3806000</x:v>
      </x:c>
    </x:row>
    <x:row r="4395" ht="34" customHeight="1">
      <x:c r="A4395" s="4" t="str">
        <x:v>RS-02218-I2</x:v>
      </x:c>
      <x:c r="B4395" s="4" t="str">
        <x:v>RS-02218</x:v>
      </x:c>
      <x:c r="C4395" s="9" t="n">
        <x:v>2</x:v>
      </x:c>
      <x:c r="D4395" s="8" t="n">
        <x:v>45448</x:v>
      </x:c>
      <x:c r="E4395" s="9" t="n">
        <x:v>3806000</x:v>
      </x:c>
      <x:c r="F4395" s="9" t="n">
        <x:v>0</x:v>
      </x:c>
    </x:row>
    <x:row r="4396" ht="34" customHeight="1">
      <x:c r="A4396" s="4" t="str">
        <x:v>RS-02218-I3</x:v>
      </x:c>
      <x:c r="B4396" s="4" t="str">
        <x:v>RS-02218</x:v>
      </x:c>
      <x:c r="C4396" s="9" t="n">
        <x:v>3</x:v>
      </x:c>
      <x:c r="D4396" s="8" t="n">
        <x:v>45478</x:v>
      </x:c>
      <x:c r="E4396" s="9" t="n">
        <x:v>3806000</x:v>
      </x:c>
      <x:c r="F4396" s="9" t="n">
        <x:v>0</x:v>
      </x:c>
    </x:row>
    <x:row r="4397" ht="34" customHeight="1">
      <x:c r="A4397" s="4" t="str">
        <x:v>RS-02218-I4</x:v>
      </x:c>
      <x:c r="B4397" s="4" t="str">
        <x:v>RS-02218</x:v>
      </x:c>
      <x:c r="C4397" s="9" t="n">
        <x:v>4</x:v>
      </x:c>
      <x:c r="D4397" s="8" t="n">
        <x:v>45508</x:v>
      </x:c>
      <x:c r="E4397" s="9" t="n">
        <x:v>3806000</x:v>
      </x:c>
      <x:c r="F4397" s="9" t="n">
        <x:v>0</x:v>
      </x:c>
    </x:row>
    <x:row r="4398" ht="34" customHeight="1">
      <x:c r="A4398" s="4" t="str">
        <x:v>RS-02220-I1</x:v>
      </x:c>
      <x:c r="B4398" s="4" t="str">
        <x:v>RS-02220</x:v>
      </x:c>
      <x:c r="C4398" s="9" t="n">
        <x:v>1</x:v>
      </x:c>
      <x:c r="D4398" s="8" t="n">
        <x:v>45420</x:v>
      </x:c>
      <x:c r="E4398" s="9" t="n">
        <x:v>1380000</x:v>
      </x:c>
      <x:c r="F4398" s="9" t="n">
        <x:v>1380000</x:v>
      </x:c>
    </x:row>
    <x:row r="4399" ht="34" customHeight="1">
      <x:c r="A4399" s="4" t="str">
        <x:v>RS-02220-I2</x:v>
      </x:c>
      <x:c r="B4399" s="4" t="str">
        <x:v>RS-02220</x:v>
      </x:c>
      <x:c r="C4399" s="9" t="n">
        <x:v>2</x:v>
      </x:c>
      <x:c r="D4399" s="8" t="n">
        <x:v>45450</x:v>
      </x:c>
      <x:c r="E4399" s="9" t="n">
        <x:v>1380000</x:v>
      </x:c>
      <x:c r="F4399" s="9" t="n">
        <x:v>1380000</x:v>
      </x:c>
    </x:row>
    <x:row r="4400" ht="34" customHeight="1">
      <x:c r="A4400" s="4" t="str">
        <x:v>RS-02220-I3</x:v>
      </x:c>
      <x:c r="B4400" s="4" t="str">
        <x:v>RS-02220</x:v>
      </x:c>
      <x:c r="C4400" s="9" t="n">
        <x:v>3</x:v>
      </x:c>
      <x:c r="D4400" s="8" t="n">
        <x:v>45480</x:v>
      </x:c>
      <x:c r="E4400" s="9" t="n">
        <x:v>1380000</x:v>
      </x:c>
      <x:c r="F4400" s="9" t="n">
        <x:v>1380000</x:v>
      </x:c>
    </x:row>
    <x:row r="4401" ht="34" customHeight="1">
      <x:c r="A4401" s="4" t="str">
        <x:v>RS-02220-I4</x:v>
      </x:c>
      <x:c r="B4401" s="4" t="str">
        <x:v>RS-02220</x:v>
      </x:c>
      <x:c r="C4401" s="9" t="n">
        <x:v>4</x:v>
      </x:c>
      <x:c r="D4401" s="8" t="n">
        <x:v>45510</x:v>
      </x:c>
      <x:c r="E4401" s="9" t="n">
        <x:v>1380000</x:v>
      </x:c>
      <x:c r="F4401" s="9" t="n">
        <x:v>1380000</x:v>
      </x:c>
    </x:row>
    <x:row r="4402" ht="34" customHeight="1">
      <x:c r="A4402" s="4" t="str">
        <x:v>RS-02221-I1</x:v>
      </x:c>
      <x:c r="B4402" s="4" t="str">
        <x:v>RS-02221</x:v>
      </x:c>
      <x:c r="C4402" s="9" t="n">
        <x:v>1</x:v>
      </x:c>
      <x:c r="D4402" s="8" t="n">
        <x:v>45421</x:v>
      </x:c>
      <x:c r="E4402" s="9" t="n">
        <x:v>5017500</x:v>
      </x:c>
      <x:c r="F4402" s="9" t="n">
        <x:v>5017500</x:v>
      </x:c>
    </x:row>
    <x:row r="4403" ht="34" customHeight="1">
      <x:c r="A4403" s="4" t="str">
        <x:v>RS-02221-I2</x:v>
      </x:c>
      <x:c r="B4403" s="4" t="str">
        <x:v>RS-02221</x:v>
      </x:c>
      <x:c r="C4403" s="9" t="n">
        <x:v>2</x:v>
      </x:c>
      <x:c r="D4403" s="8" t="n">
        <x:v>45451</x:v>
      </x:c>
      <x:c r="E4403" s="9" t="n">
        <x:v>5017500</x:v>
      </x:c>
      <x:c r="F4403" s="9" t="n">
        <x:v>5017500</x:v>
      </x:c>
    </x:row>
    <x:row r="4404" ht="34" customHeight="1">
      <x:c r="A4404" s="4" t="str">
        <x:v>RS-02221-I3</x:v>
      </x:c>
      <x:c r="B4404" s="4" t="str">
        <x:v>RS-02221</x:v>
      </x:c>
      <x:c r="C4404" s="9" t="n">
        <x:v>3</x:v>
      </x:c>
      <x:c r="D4404" s="8" t="n">
        <x:v>45481</x:v>
      </x:c>
      <x:c r="E4404" s="9" t="n">
        <x:v>5017500</x:v>
      </x:c>
      <x:c r="F4404" s="9" t="n">
        <x:v>0</x:v>
      </x:c>
    </x:row>
    <x:row r="4405" ht="34" customHeight="1">
      <x:c r="A4405" s="4" t="str">
        <x:v>RS-02221-I4</x:v>
      </x:c>
      <x:c r="B4405" s="4" t="str">
        <x:v>RS-02221</x:v>
      </x:c>
      <x:c r="C4405" s="9" t="n">
        <x:v>4</x:v>
      </x:c>
      <x:c r="D4405" s="8" t="n">
        <x:v>45511</x:v>
      </x:c>
      <x:c r="E4405" s="9" t="n">
        <x:v>5017500</x:v>
      </x:c>
      <x:c r="F4405" s="9" t="n">
        <x:v>0</x:v>
      </x:c>
    </x:row>
    <x:row r="4406" ht="34" customHeight="1">
      <x:c r="A4406" s="4" t="str">
        <x:v>RS-02223-I1</x:v>
      </x:c>
      <x:c r="B4406" s="4" t="str">
        <x:v>RS-02223</x:v>
      </x:c>
      <x:c r="C4406" s="9" t="n">
        <x:v>1</x:v>
      </x:c>
      <x:c r="D4406" s="8" t="n">
        <x:v>45423</x:v>
      </x:c>
      <x:c r="E4406" s="9" t="n">
        <x:v>3645000</x:v>
      </x:c>
      <x:c r="F4406" s="9" t="n">
        <x:v>1458000</x:v>
      </x:c>
    </x:row>
    <x:row r="4407" ht="34" customHeight="1">
      <x:c r="A4407" s="4" t="str">
        <x:v>RS-02223-I2</x:v>
      </x:c>
      <x:c r="B4407" s="4" t="str">
        <x:v>RS-02223</x:v>
      </x:c>
      <x:c r="C4407" s="9" t="n">
        <x:v>2</x:v>
      </x:c>
      <x:c r="D4407" s="8" t="n">
        <x:v>45453</x:v>
      </x:c>
      <x:c r="E4407" s="9" t="n">
        <x:v>3645000</x:v>
      </x:c>
      <x:c r="F4407" s="9" t="n">
        <x:v>0</x:v>
      </x:c>
    </x:row>
    <x:row r="4408" ht="34" customHeight="1">
      <x:c r="A4408" s="4" t="str">
        <x:v>RS-02223-I3</x:v>
      </x:c>
      <x:c r="B4408" s="4" t="str">
        <x:v>RS-02223</x:v>
      </x:c>
      <x:c r="C4408" s="9" t="n">
        <x:v>3</x:v>
      </x:c>
      <x:c r="D4408" s="8" t="n">
        <x:v>45483</x:v>
      </x:c>
      <x:c r="E4408" s="9" t="n">
        <x:v>3645000</x:v>
      </x:c>
      <x:c r="F4408" s="9" t="n">
        <x:v>0</x:v>
      </x:c>
    </x:row>
    <x:row r="4409" ht="34" customHeight="1">
      <x:c r="A4409" s="4" t="str">
        <x:v>RS-02223-I4</x:v>
      </x:c>
      <x:c r="B4409" s="4" t="str">
        <x:v>RS-02223</x:v>
      </x:c>
      <x:c r="C4409" s="9" t="n">
        <x:v>4</x:v>
      </x:c>
      <x:c r="D4409" s="8" t="n">
        <x:v>45513</x:v>
      </x:c>
      <x:c r="E4409" s="9" t="n">
        <x:v>3645000</x:v>
      </x:c>
      <x:c r="F4409" s="9" t="n">
        <x:v>0</x:v>
      </x:c>
    </x:row>
    <x:row r="4410" ht="34" customHeight="1">
      <x:c r="A4410" s="4" t="str">
        <x:v>RS-02228-I1</x:v>
      </x:c>
      <x:c r="B4410" s="4" t="str">
        <x:v>RS-02228</x:v>
      </x:c>
      <x:c r="C4410" s="9" t="n">
        <x:v>1</x:v>
      </x:c>
      <x:c r="D4410" s="8" t="n">
        <x:v>45428</x:v>
      </x:c>
      <x:c r="E4410" s="9" t="n">
        <x:v>5593500</x:v>
      </x:c>
      <x:c r="F4410" s="9" t="n">
        <x:v>2237400</x:v>
      </x:c>
    </x:row>
    <x:row r="4411" ht="34" customHeight="1">
      <x:c r="A4411" s="4" t="str">
        <x:v>RS-02228-I2</x:v>
      </x:c>
      <x:c r="B4411" s="4" t="str">
        <x:v>RS-02228</x:v>
      </x:c>
      <x:c r="C4411" s="9" t="n">
        <x:v>2</x:v>
      </x:c>
      <x:c r="D4411" s="8" t="n">
        <x:v>45458</x:v>
      </x:c>
      <x:c r="E4411" s="9" t="n">
        <x:v>5593500</x:v>
      </x:c>
      <x:c r="F4411" s="9" t="n">
        <x:v>0</x:v>
      </x:c>
    </x:row>
    <x:row r="4412" ht="34" customHeight="1">
      <x:c r="A4412" s="4" t="str">
        <x:v>RS-02228-I3</x:v>
      </x:c>
      <x:c r="B4412" s="4" t="str">
        <x:v>RS-02228</x:v>
      </x:c>
      <x:c r="C4412" s="9" t="n">
        <x:v>3</x:v>
      </x:c>
      <x:c r="D4412" s="8" t="n">
        <x:v>45488</x:v>
      </x:c>
      <x:c r="E4412" s="9" t="n">
        <x:v>5593500</x:v>
      </x:c>
      <x:c r="F4412" s="9" t="n">
        <x:v>0</x:v>
      </x:c>
    </x:row>
    <x:row r="4413" ht="34" customHeight="1">
      <x:c r="A4413" s="4" t="str">
        <x:v>RS-02228-I4</x:v>
      </x:c>
      <x:c r="B4413" s="4" t="str">
        <x:v>RS-02228</x:v>
      </x:c>
      <x:c r="C4413" s="9" t="n">
        <x:v>4</x:v>
      </x:c>
      <x:c r="D4413" s="8" t="n">
        <x:v>45518</x:v>
      </x:c>
      <x:c r="E4413" s="9" t="n">
        <x:v>5593500</x:v>
      </x:c>
      <x:c r="F4413" s="9" t="n">
        <x:v>0</x:v>
      </x:c>
    </x:row>
    <x:row r="4414" ht="34" customHeight="1">
      <x:c r="A4414" s="4" t="str">
        <x:v>RS-02230-I1</x:v>
      </x:c>
      <x:c r="B4414" s="4" t="str">
        <x:v>RS-02230</x:v>
      </x:c>
      <x:c r="C4414" s="9" t="n">
        <x:v>1</x:v>
      </x:c>
      <x:c r="D4414" s="8" t="n">
        <x:v>45430</x:v>
      </x:c>
      <x:c r="E4414" s="9" t="n">
        <x:v>4320000</x:v>
      </x:c>
      <x:c r="F4414" s="9" t="n">
        <x:v>4320000</x:v>
      </x:c>
    </x:row>
    <x:row r="4415" ht="34" customHeight="1">
      <x:c r="A4415" s="4" t="str">
        <x:v>RS-02230-I2</x:v>
      </x:c>
      <x:c r="B4415" s="4" t="str">
        <x:v>RS-02230</x:v>
      </x:c>
      <x:c r="C4415" s="9" t="n">
        <x:v>2</x:v>
      </x:c>
      <x:c r="D4415" s="8" t="n">
        <x:v>45460</x:v>
      </x:c>
      <x:c r="E4415" s="9" t="n">
        <x:v>4320000</x:v>
      </x:c>
      <x:c r="F4415" s="9" t="n">
        <x:v>4320000</x:v>
      </x:c>
    </x:row>
    <x:row r="4416" ht="34" customHeight="1">
      <x:c r="A4416" s="4" t="str">
        <x:v>RS-02230-I3</x:v>
      </x:c>
      <x:c r="B4416" s="4" t="str">
        <x:v>RS-02230</x:v>
      </x:c>
      <x:c r="C4416" s="9" t="n">
        <x:v>3</x:v>
      </x:c>
      <x:c r="D4416" s="8" t="n">
        <x:v>45490</x:v>
      </x:c>
      <x:c r="E4416" s="9" t="n">
        <x:v>4320000</x:v>
      </x:c>
      <x:c r="F4416" s="9" t="n">
        <x:v>0</x:v>
      </x:c>
    </x:row>
    <x:row r="4417" ht="34" customHeight="1">
      <x:c r="A4417" s="4" t="str">
        <x:v>RS-02230-I4</x:v>
      </x:c>
      <x:c r="B4417" s="4" t="str">
        <x:v>RS-02230</x:v>
      </x:c>
      <x:c r="C4417" s="9" t="n">
        <x:v>4</x:v>
      </x:c>
      <x:c r="D4417" s="8" t="n">
        <x:v>45520</x:v>
      </x:c>
      <x:c r="E4417" s="9" t="n">
        <x:v>4320000</x:v>
      </x:c>
      <x:c r="F4417" s="9" t="n">
        <x:v>0</x:v>
      </x:c>
    </x:row>
    <x:row r="4418" ht="34" customHeight="1">
      <x:c r="A4418" s="4" t="str">
        <x:v>RS-02234-I1</x:v>
      </x:c>
      <x:c r="B4418" s="4" t="str">
        <x:v>RS-02234</x:v>
      </x:c>
      <x:c r="C4418" s="9" t="n">
        <x:v>1</x:v>
      </x:c>
      <x:c r="D4418" s="8" t="n">
        <x:v>45434</x:v>
      </x:c>
      <x:c r="E4418" s="9" t="n">
        <x:v>3069000</x:v>
      </x:c>
      <x:c r="F4418" s="9" t="n">
        <x:v>3069000</x:v>
      </x:c>
    </x:row>
    <x:row r="4419" ht="34" customHeight="1">
      <x:c r="A4419" s="4" t="str">
        <x:v>RS-02234-I2</x:v>
      </x:c>
      <x:c r="B4419" s="4" t="str">
        <x:v>RS-02234</x:v>
      </x:c>
      <x:c r="C4419" s="9" t="n">
        <x:v>2</x:v>
      </x:c>
      <x:c r="D4419" s="8" t="n">
        <x:v>45464</x:v>
      </x:c>
      <x:c r="E4419" s="9" t="n">
        <x:v>3069000</x:v>
      </x:c>
      <x:c r="F4419" s="9" t="n">
        <x:v>3069000</x:v>
      </x:c>
    </x:row>
    <x:row r="4420" ht="34" customHeight="1">
      <x:c r="A4420" s="4" t="str">
        <x:v>RS-02234-I3</x:v>
      </x:c>
      <x:c r="B4420" s="4" t="str">
        <x:v>RS-02234</x:v>
      </x:c>
      <x:c r="C4420" s="9" t="n">
        <x:v>3</x:v>
      </x:c>
      <x:c r="D4420" s="8" t="n">
        <x:v>45494</x:v>
      </x:c>
      <x:c r="E4420" s="9" t="n">
        <x:v>3069000</x:v>
      </x:c>
      <x:c r="F4420" s="9" t="n">
        <x:v>3069000</x:v>
      </x:c>
    </x:row>
    <x:row r="4421" ht="34" customHeight="1">
      <x:c r="A4421" s="4" t="str">
        <x:v>RS-02234-I4</x:v>
      </x:c>
      <x:c r="B4421" s="4" t="str">
        <x:v>RS-02234</x:v>
      </x:c>
      <x:c r="C4421" s="9" t="n">
        <x:v>4</x:v>
      </x:c>
      <x:c r="D4421" s="8" t="n">
        <x:v>45524</x:v>
      </x:c>
      <x:c r="E4421" s="9" t="n">
        <x:v>3069000</x:v>
      </x:c>
      <x:c r="F4421" s="9" t="n">
        <x:v>3069000</x:v>
      </x:c>
    </x:row>
    <x:row r="4422" ht="34" customHeight="1">
      <x:c r="A4422" s="4" t="str">
        <x:v>RS-02236-I1</x:v>
      </x:c>
      <x:c r="B4422" s="4" t="str">
        <x:v>RS-02236</x:v>
      </x:c>
      <x:c r="C4422" s="9" t="n">
        <x:v>1</x:v>
      </x:c>
      <x:c r="D4422" s="8" t="n">
        <x:v>45436</x:v>
      </x:c>
      <x:c r="E4422" s="9" t="n">
        <x:v>4987500</x:v>
      </x:c>
      <x:c r="F4422" s="9" t="n">
        <x:v>4987500</x:v>
      </x:c>
    </x:row>
    <x:row r="4423" ht="34" customHeight="1">
      <x:c r="A4423" s="4" t="str">
        <x:v>RS-02236-I2</x:v>
      </x:c>
      <x:c r="B4423" s="4" t="str">
        <x:v>RS-02236</x:v>
      </x:c>
      <x:c r="C4423" s="9" t="n">
        <x:v>2</x:v>
      </x:c>
      <x:c r="D4423" s="8" t="n">
        <x:v>45466</x:v>
      </x:c>
      <x:c r="E4423" s="9" t="n">
        <x:v>4987500</x:v>
      </x:c>
      <x:c r="F4423" s="9" t="n">
        <x:v>4987500</x:v>
      </x:c>
    </x:row>
    <x:row r="4424" ht="34" customHeight="1">
      <x:c r="A4424" s="4" t="str">
        <x:v>RS-02236-I3</x:v>
      </x:c>
      <x:c r="B4424" s="4" t="str">
        <x:v>RS-02236</x:v>
      </x:c>
      <x:c r="C4424" s="9" t="n">
        <x:v>3</x:v>
      </x:c>
      <x:c r="D4424" s="8" t="n">
        <x:v>45496</x:v>
      </x:c>
      <x:c r="E4424" s="9" t="n">
        <x:v>4987500</x:v>
      </x:c>
      <x:c r="F4424" s="9" t="n">
        <x:v>4987500</x:v>
      </x:c>
    </x:row>
    <x:row r="4425" ht="34" customHeight="1">
      <x:c r="A4425" s="4" t="str">
        <x:v>RS-02236-I4</x:v>
      </x:c>
      <x:c r="B4425" s="4" t="str">
        <x:v>RS-02236</x:v>
      </x:c>
      <x:c r="C4425" s="9" t="n">
        <x:v>4</x:v>
      </x:c>
      <x:c r="D4425" s="8" t="n">
        <x:v>45526</x:v>
      </x:c>
      <x:c r="E4425" s="9" t="n">
        <x:v>4987500</x:v>
      </x:c>
      <x:c r="F4425" s="9" t="n">
        <x:v>4987500</x:v>
      </x:c>
    </x:row>
    <x:row r="4426" ht="34" customHeight="1">
      <x:c r="A4426" s="4" t="str">
        <x:v>RS-02237-I1</x:v>
      </x:c>
      <x:c r="B4426" s="4" t="str">
        <x:v>RS-02237</x:v>
      </x:c>
      <x:c r="C4426" s="9" t="n">
        <x:v>1</x:v>
      </x:c>
      <x:c r="D4426" s="8" t="n">
        <x:v>45437</x:v>
      </x:c>
      <x:c r="E4426" s="9" t="n">
        <x:v>2162250</x:v>
      </x:c>
      <x:c r="F4426" s="9" t="n">
        <x:v>2162250</x:v>
      </x:c>
    </x:row>
    <x:row r="4427" ht="34" customHeight="1">
      <x:c r="A4427" s="4" t="str">
        <x:v>RS-02237-I2</x:v>
      </x:c>
      <x:c r="B4427" s="4" t="str">
        <x:v>RS-02237</x:v>
      </x:c>
      <x:c r="C4427" s="9" t="n">
        <x:v>2</x:v>
      </x:c>
      <x:c r="D4427" s="8" t="n">
        <x:v>45467</x:v>
      </x:c>
      <x:c r="E4427" s="9" t="n">
        <x:v>2162250</x:v>
      </x:c>
      <x:c r="F4427" s="9" t="n">
        <x:v>0</x:v>
      </x:c>
    </x:row>
    <x:row r="4428" ht="34" customHeight="1">
      <x:c r="A4428" s="4" t="str">
        <x:v>RS-02237-I3</x:v>
      </x:c>
      <x:c r="B4428" s="4" t="str">
        <x:v>RS-02237</x:v>
      </x:c>
      <x:c r="C4428" s="9" t="n">
        <x:v>3</x:v>
      </x:c>
      <x:c r="D4428" s="8" t="n">
        <x:v>45497</x:v>
      </x:c>
      <x:c r="E4428" s="9" t="n">
        <x:v>2162250</x:v>
      </x:c>
      <x:c r="F4428" s="9" t="n">
        <x:v>0</x:v>
      </x:c>
    </x:row>
    <x:row r="4429" ht="34" customHeight="1">
      <x:c r="A4429" s="4" t="str">
        <x:v>RS-02237-I4</x:v>
      </x:c>
      <x:c r="B4429" s="4" t="str">
        <x:v>RS-02237</x:v>
      </x:c>
      <x:c r="C4429" s="9" t="n">
        <x:v>4</x:v>
      </x:c>
      <x:c r="D4429" s="8" t="n">
        <x:v>45527</x:v>
      </x:c>
      <x:c r="E4429" s="9" t="n">
        <x:v>2162250</x:v>
      </x:c>
      <x:c r="F4429" s="9" t="n">
        <x:v>0</x:v>
      </x:c>
    </x:row>
    <x:row r="4430" ht="34" customHeight="1">
      <x:c r="A4430" s="4" t="str">
        <x:v>RS-02239-I1</x:v>
      </x:c>
      <x:c r="B4430" s="4" t="str">
        <x:v>RS-02239</x:v>
      </x:c>
      <x:c r="C4430" s="9" t="n">
        <x:v>1</x:v>
      </x:c>
      <x:c r="D4430" s="8" t="n">
        <x:v>45439</x:v>
      </x:c>
      <x:c r="E4430" s="9" t="n">
        <x:v>1311000</x:v>
      </x:c>
      <x:c r="F4430" s="9" t="n">
        <x:v>1311000</x:v>
      </x:c>
    </x:row>
    <x:row r="4431" ht="34" customHeight="1">
      <x:c r="A4431" s="4" t="str">
        <x:v>RS-02239-I2</x:v>
      </x:c>
      <x:c r="B4431" s="4" t="str">
        <x:v>RS-02239</x:v>
      </x:c>
      <x:c r="C4431" s="9" t="n">
        <x:v>2</x:v>
      </x:c>
      <x:c r="D4431" s="8" t="n">
        <x:v>45469</x:v>
      </x:c>
      <x:c r="E4431" s="9" t="n">
        <x:v>1311000</x:v>
      </x:c>
      <x:c r="F4431" s="9" t="n">
        <x:v>0</x:v>
      </x:c>
    </x:row>
    <x:row r="4432" ht="34" customHeight="1">
      <x:c r="A4432" s="4" t="str">
        <x:v>RS-02239-I3</x:v>
      </x:c>
      <x:c r="B4432" s="4" t="str">
        <x:v>RS-02239</x:v>
      </x:c>
      <x:c r="C4432" s="9" t="n">
        <x:v>3</x:v>
      </x:c>
      <x:c r="D4432" s="8" t="n">
        <x:v>45499</x:v>
      </x:c>
      <x:c r="E4432" s="9" t="n">
        <x:v>1311000</x:v>
      </x:c>
      <x:c r="F4432" s="9" t="n">
        <x:v>0</x:v>
      </x:c>
    </x:row>
    <x:row r="4433" ht="34" customHeight="1">
      <x:c r="A4433" s="4" t="str">
        <x:v>RS-02239-I4</x:v>
      </x:c>
      <x:c r="B4433" s="4" t="str">
        <x:v>RS-02239</x:v>
      </x:c>
      <x:c r="C4433" s="9" t="n">
        <x:v>4</x:v>
      </x:c>
      <x:c r="D4433" s="8" t="n">
        <x:v>45529</x:v>
      </x:c>
      <x:c r="E4433" s="9" t="n">
        <x:v>1311000</x:v>
      </x:c>
      <x:c r="F4433" s="9" t="n">
        <x:v>0</x:v>
      </x:c>
    </x:row>
    <x:row r="4434" ht="34" customHeight="1">
      <x:c r="A4434" s="4" t="str">
        <x:v>RS-02242-I1</x:v>
      </x:c>
      <x:c r="B4434" s="4" t="str">
        <x:v>RS-02242</x:v>
      </x:c>
      <x:c r="C4434" s="9" t="n">
        <x:v>1</x:v>
      </x:c>
      <x:c r="D4434" s="8" t="n">
        <x:v>45414</x:v>
      </x:c>
      <x:c r="E4434" s="9" t="n">
        <x:v>742500</x:v>
      </x:c>
      <x:c r="F4434" s="9" t="n">
        <x:v>742500</x:v>
      </x:c>
    </x:row>
    <x:row r="4435" ht="34" customHeight="1">
      <x:c r="A4435" s="4" t="str">
        <x:v>RS-02242-I2</x:v>
      </x:c>
      <x:c r="B4435" s="4" t="str">
        <x:v>RS-02242</x:v>
      </x:c>
      <x:c r="C4435" s="9" t="n">
        <x:v>2</x:v>
      </x:c>
      <x:c r="D4435" s="8" t="n">
        <x:v>45444</x:v>
      </x:c>
      <x:c r="E4435" s="9" t="n">
        <x:v>742500</x:v>
      </x:c>
      <x:c r="F4435" s="9" t="n">
        <x:v>742500</x:v>
      </x:c>
    </x:row>
    <x:row r="4436" ht="34" customHeight="1">
      <x:c r="A4436" s="4" t="str">
        <x:v>RS-02242-I3</x:v>
      </x:c>
      <x:c r="B4436" s="4" t="str">
        <x:v>RS-02242</x:v>
      </x:c>
      <x:c r="C4436" s="9" t="n">
        <x:v>3</x:v>
      </x:c>
      <x:c r="D4436" s="8" t="n">
        <x:v>45474</x:v>
      </x:c>
      <x:c r="E4436" s="9" t="n">
        <x:v>742500</x:v>
      </x:c>
      <x:c r="F4436" s="9" t="n">
        <x:v>0</x:v>
      </x:c>
    </x:row>
    <x:row r="4437" ht="34" customHeight="1">
      <x:c r="A4437" s="4" t="str">
        <x:v>RS-02242-I4</x:v>
      </x:c>
      <x:c r="B4437" s="4" t="str">
        <x:v>RS-02242</x:v>
      </x:c>
      <x:c r="C4437" s="9" t="n">
        <x:v>4</x:v>
      </x:c>
      <x:c r="D4437" s="8" t="n">
        <x:v>45504</x:v>
      </x:c>
      <x:c r="E4437" s="9" t="n">
        <x:v>742500</x:v>
      </x:c>
      <x:c r="F4437" s="9" t="n">
        <x:v>0</x:v>
      </x:c>
    </x:row>
    <x:row r="4438" ht="34" customHeight="1">
      <x:c r="A4438" s="4" t="str">
        <x:v>RS-02243-I1</x:v>
      </x:c>
      <x:c r="B4438" s="4" t="str">
        <x:v>RS-02243</x:v>
      </x:c>
      <x:c r="C4438" s="9" t="n">
        <x:v>1</x:v>
      </x:c>
      <x:c r="D4438" s="8" t="n">
        <x:v>45415</x:v>
      </x:c>
      <x:c r="E4438" s="9" t="n">
        <x:v>3150000</x:v>
      </x:c>
      <x:c r="F4438" s="9" t="n">
        <x:v>1260000</x:v>
      </x:c>
    </x:row>
    <x:row r="4439" ht="34" customHeight="1">
      <x:c r="A4439" s="4" t="str">
        <x:v>RS-02243-I2</x:v>
      </x:c>
      <x:c r="B4439" s="4" t="str">
        <x:v>RS-02243</x:v>
      </x:c>
      <x:c r="C4439" s="9" t="n">
        <x:v>2</x:v>
      </x:c>
      <x:c r="D4439" s="8" t="n">
        <x:v>45445</x:v>
      </x:c>
      <x:c r="E4439" s="9" t="n">
        <x:v>3150000</x:v>
      </x:c>
      <x:c r="F4439" s="9" t="n">
        <x:v>0</x:v>
      </x:c>
    </x:row>
    <x:row r="4440" ht="34" customHeight="1">
      <x:c r="A4440" s="4" t="str">
        <x:v>RS-02243-I3</x:v>
      </x:c>
      <x:c r="B4440" s="4" t="str">
        <x:v>RS-02243</x:v>
      </x:c>
      <x:c r="C4440" s="9" t="n">
        <x:v>3</x:v>
      </x:c>
      <x:c r="D4440" s="8" t="n">
        <x:v>45475</x:v>
      </x:c>
      <x:c r="E4440" s="9" t="n">
        <x:v>3150000</x:v>
      </x:c>
      <x:c r="F4440" s="9" t="n">
        <x:v>0</x:v>
      </x:c>
    </x:row>
    <x:row r="4441" ht="34" customHeight="1">
      <x:c r="A4441" s="4" t="str">
        <x:v>RS-02243-I4</x:v>
      </x:c>
      <x:c r="B4441" s="4" t="str">
        <x:v>RS-02243</x:v>
      </x:c>
      <x:c r="C4441" s="9" t="n">
        <x:v>4</x:v>
      </x:c>
      <x:c r="D4441" s="8" t="n">
        <x:v>45505</x:v>
      </x:c>
      <x:c r="E4441" s="9" t="n">
        <x:v>3150000</x:v>
      </x:c>
      <x:c r="F4441" s="9" t="n">
        <x:v>0</x:v>
      </x:c>
    </x:row>
    <x:row r="4442" ht="34" customHeight="1">
      <x:c r="A4442" s="4" t="str">
        <x:v>RS-02245-I1</x:v>
      </x:c>
      <x:c r="B4442" s="4" t="str">
        <x:v>RS-02245</x:v>
      </x:c>
      <x:c r="C4442" s="9" t="n">
        <x:v>1</x:v>
      </x:c>
      <x:c r="D4442" s="8" t="n">
        <x:v>45417</x:v>
      </x:c>
      <x:c r="E4442" s="9" t="n">
        <x:v>810000</x:v>
      </x:c>
      <x:c r="F4442" s="9" t="n">
        <x:v>810000</x:v>
      </x:c>
    </x:row>
    <x:row r="4443" ht="34" customHeight="1">
      <x:c r="A4443" s="4" t="str">
        <x:v>RS-02245-I2</x:v>
      </x:c>
      <x:c r="B4443" s="4" t="str">
        <x:v>RS-02245</x:v>
      </x:c>
      <x:c r="C4443" s="9" t="n">
        <x:v>2</x:v>
      </x:c>
      <x:c r="D4443" s="8" t="n">
        <x:v>45447</x:v>
      </x:c>
      <x:c r="E4443" s="9" t="n">
        <x:v>810000</x:v>
      </x:c>
      <x:c r="F4443" s="9" t="n">
        <x:v>0</x:v>
      </x:c>
    </x:row>
    <x:row r="4444" ht="34" customHeight="1">
      <x:c r="A4444" s="4" t="str">
        <x:v>RS-02245-I3</x:v>
      </x:c>
      <x:c r="B4444" s="4" t="str">
        <x:v>RS-02245</x:v>
      </x:c>
      <x:c r="C4444" s="9" t="n">
        <x:v>3</x:v>
      </x:c>
      <x:c r="D4444" s="8" t="n">
        <x:v>45477</x:v>
      </x:c>
      <x:c r="E4444" s="9" t="n">
        <x:v>810000</x:v>
      </x:c>
      <x:c r="F4444" s="9" t="n">
        <x:v>0</x:v>
      </x:c>
    </x:row>
    <x:row r="4445" ht="34" customHeight="1">
      <x:c r="A4445" s="4" t="str">
        <x:v>RS-02245-I4</x:v>
      </x:c>
      <x:c r="B4445" s="4" t="str">
        <x:v>RS-02245</x:v>
      </x:c>
      <x:c r="C4445" s="9" t="n">
        <x:v>4</x:v>
      </x:c>
      <x:c r="D4445" s="8" t="n">
        <x:v>45507</x:v>
      </x:c>
      <x:c r="E4445" s="9" t="n">
        <x:v>810000</x:v>
      </x:c>
      <x:c r="F4445" s="9" t="n">
        <x:v>0</x:v>
      </x:c>
    </x:row>
    <x:row r="4446" ht="34" customHeight="1">
      <x:c r="A4446" s="4" t="str">
        <x:v>RS-02250-I1</x:v>
      </x:c>
      <x:c r="B4446" s="4" t="str">
        <x:v>RS-02250</x:v>
      </x:c>
      <x:c r="C4446" s="9" t="n">
        <x:v>1</x:v>
      </x:c>
      <x:c r="D4446" s="8" t="n">
        <x:v>45422</x:v>
      </x:c>
      <x:c r="E4446" s="9" t="n">
        <x:v>4504500</x:v>
      </x:c>
      <x:c r="F4446" s="9" t="n">
        <x:v>4504500</x:v>
      </x:c>
    </x:row>
    <x:row r="4447" ht="34" customHeight="1">
      <x:c r="A4447" s="4" t="str">
        <x:v>RS-02250-I2</x:v>
      </x:c>
      <x:c r="B4447" s="4" t="str">
        <x:v>RS-02250</x:v>
      </x:c>
      <x:c r="C4447" s="9" t="n">
        <x:v>2</x:v>
      </x:c>
      <x:c r="D4447" s="8" t="n">
        <x:v>45452</x:v>
      </x:c>
      <x:c r="E4447" s="9" t="n">
        <x:v>4504500</x:v>
      </x:c>
      <x:c r="F4447" s="9" t="n">
        <x:v>4504500</x:v>
      </x:c>
    </x:row>
    <x:row r="4448" ht="34" customHeight="1">
      <x:c r="A4448" s="4" t="str">
        <x:v>RS-02250-I3</x:v>
      </x:c>
      <x:c r="B4448" s="4" t="str">
        <x:v>RS-02250</x:v>
      </x:c>
      <x:c r="C4448" s="9" t="n">
        <x:v>3</x:v>
      </x:c>
      <x:c r="D4448" s="8" t="n">
        <x:v>45482</x:v>
      </x:c>
      <x:c r="E4448" s="9" t="n">
        <x:v>4504500</x:v>
      </x:c>
      <x:c r="F4448" s="9" t="n">
        <x:v>0</x:v>
      </x:c>
    </x:row>
    <x:row r="4449" ht="34" customHeight="1">
      <x:c r="A4449" s="4" t="str">
        <x:v>RS-02250-I4</x:v>
      </x:c>
      <x:c r="B4449" s="4" t="str">
        <x:v>RS-02250</x:v>
      </x:c>
      <x:c r="C4449" s="9" t="n">
        <x:v>4</x:v>
      </x:c>
      <x:c r="D4449" s="8" t="n">
        <x:v>45512</x:v>
      </x:c>
      <x:c r="E4449" s="9" t="n">
        <x:v>4504500</x:v>
      </x:c>
      <x:c r="F4449" s="9" t="n">
        <x:v>0</x:v>
      </x:c>
    </x:row>
    <x:row r="4450" ht="34" customHeight="1">
      <x:c r="A4450" s="4" t="str">
        <x:v>RS-02255-I1</x:v>
      </x:c>
      <x:c r="B4450" s="4" t="str">
        <x:v>RS-02255</x:v>
      </x:c>
      <x:c r="C4450" s="9" t="n">
        <x:v>1</x:v>
      </x:c>
      <x:c r="D4450" s="8" t="n">
        <x:v>45427</x:v>
      </x:c>
      <x:c r="E4450" s="9" t="n">
        <x:v>2548000</x:v>
      </x:c>
      <x:c r="F4450" s="9" t="n">
        <x:v>2548000</x:v>
      </x:c>
    </x:row>
    <x:row r="4451" ht="34" customHeight="1">
      <x:c r="A4451" s="4" t="str">
        <x:v>RS-02255-I2</x:v>
      </x:c>
      <x:c r="B4451" s="4" t="str">
        <x:v>RS-02255</x:v>
      </x:c>
      <x:c r="C4451" s="9" t="n">
        <x:v>2</x:v>
      </x:c>
      <x:c r="D4451" s="8" t="n">
        <x:v>45457</x:v>
      </x:c>
      <x:c r="E4451" s="9" t="n">
        <x:v>2548000</x:v>
      </x:c>
      <x:c r="F4451" s="9" t="n">
        <x:v>0</x:v>
      </x:c>
    </x:row>
    <x:row r="4452" ht="34" customHeight="1">
      <x:c r="A4452" s="4" t="str">
        <x:v>RS-02255-I3</x:v>
      </x:c>
      <x:c r="B4452" s="4" t="str">
        <x:v>RS-02255</x:v>
      </x:c>
      <x:c r="C4452" s="9" t="n">
        <x:v>3</x:v>
      </x:c>
      <x:c r="D4452" s="8" t="n">
        <x:v>45487</x:v>
      </x:c>
      <x:c r="E4452" s="9" t="n">
        <x:v>2548000</x:v>
      </x:c>
      <x:c r="F4452" s="9" t="n">
        <x:v>0</x:v>
      </x:c>
    </x:row>
    <x:row r="4453" ht="34" customHeight="1">
      <x:c r="A4453" s="4" t="str">
        <x:v>RS-02255-I4</x:v>
      </x:c>
      <x:c r="B4453" s="4" t="str">
        <x:v>RS-02255</x:v>
      </x:c>
      <x:c r="C4453" s="9" t="n">
        <x:v>4</x:v>
      </x:c>
      <x:c r="D4453" s="8" t="n">
        <x:v>45517</x:v>
      </x:c>
      <x:c r="E4453" s="9" t="n">
        <x:v>2548000</x:v>
      </x:c>
      <x:c r="F4453" s="9" t="n">
        <x:v>0</x:v>
      </x:c>
    </x:row>
    <x:row r="4454" ht="34" customHeight="1">
      <x:c r="A4454" s="4" t="str">
        <x:v>RS-02256-I1</x:v>
      </x:c>
      <x:c r="B4454" s="4" t="str">
        <x:v>RS-02256</x:v>
      </x:c>
      <x:c r="C4454" s="9" t="n">
        <x:v>1</x:v>
      </x:c>
      <x:c r="D4454" s="8" t="n">
        <x:v>45428</x:v>
      </x:c>
      <x:c r="E4454" s="9" t="n">
        <x:v>4792500</x:v>
      </x:c>
      <x:c r="F4454" s="9" t="n">
        <x:v>4792500</x:v>
      </x:c>
    </x:row>
    <x:row r="4455" ht="34" customHeight="1">
      <x:c r="A4455" s="4" t="str">
        <x:v>RS-02256-I2</x:v>
      </x:c>
      <x:c r="B4455" s="4" t="str">
        <x:v>RS-02256</x:v>
      </x:c>
      <x:c r="C4455" s="9" t="n">
        <x:v>2</x:v>
      </x:c>
      <x:c r="D4455" s="8" t="n">
        <x:v>45458</x:v>
      </x:c>
      <x:c r="E4455" s="9" t="n">
        <x:v>4792500</x:v>
      </x:c>
      <x:c r="F4455" s="9" t="n">
        <x:v>4792500</x:v>
      </x:c>
    </x:row>
    <x:row r="4456" ht="34" customHeight="1">
      <x:c r="A4456" s="4" t="str">
        <x:v>RS-02256-I3</x:v>
      </x:c>
      <x:c r="B4456" s="4" t="str">
        <x:v>RS-02256</x:v>
      </x:c>
      <x:c r="C4456" s="9" t="n">
        <x:v>3</x:v>
      </x:c>
      <x:c r="D4456" s="8" t="n">
        <x:v>45488</x:v>
      </x:c>
      <x:c r="E4456" s="9" t="n">
        <x:v>4792500</x:v>
      </x:c>
      <x:c r="F4456" s="9" t="n">
        <x:v>0</x:v>
      </x:c>
    </x:row>
    <x:row r="4457" ht="34" customHeight="1">
      <x:c r="A4457" s="4" t="str">
        <x:v>RS-02256-I4</x:v>
      </x:c>
      <x:c r="B4457" s="4" t="str">
        <x:v>RS-02256</x:v>
      </x:c>
      <x:c r="C4457" s="9" t="n">
        <x:v>4</x:v>
      </x:c>
      <x:c r="D4457" s="8" t="n">
        <x:v>45518</x:v>
      </x:c>
      <x:c r="E4457" s="9" t="n">
        <x:v>4792500</x:v>
      </x:c>
      <x:c r="F4457" s="9" t="n">
        <x:v>0</x:v>
      </x:c>
    </x:row>
    <x:row r="4458" ht="34" customHeight="1">
      <x:c r="A4458" s="4" t="str">
        <x:v>RS-02257-I1</x:v>
      </x:c>
      <x:c r="B4458" s="4" t="str">
        <x:v>RS-02257</x:v>
      </x:c>
      <x:c r="C4458" s="9" t="n">
        <x:v>1</x:v>
      </x:c>
      <x:c r="D4458" s="8" t="n">
        <x:v>45429</x:v>
      </x:c>
      <x:c r="E4458" s="9" t="n">
        <x:v>3344000</x:v>
      </x:c>
      <x:c r="F4458" s="9" t="n">
        <x:v>3344000</x:v>
      </x:c>
    </x:row>
    <x:row r="4459" ht="34" customHeight="1">
      <x:c r="A4459" s="4" t="str">
        <x:v>RS-02257-I2</x:v>
      </x:c>
      <x:c r="B4459" s="4" t="str">
        <x:v>RS-02257</x:v>
      </x:c>
      <x:c r="C4459" s="9" t="n">
        <x:v>2</x:v>
      </x:c>
      <x:c r="D4459" s="8" t="n">
        <x:v>45459</x:v>
      </x:c>
      <x:c r="E4459" s="9" t="n">
        <x:v>3344000</x:v>
      </x:c>
      <x:c r="F4459" s="9" t="n">
        <x:v>3344000</x:v>
      </x:c>
    </x:row>
    <x:row r="4460" ht="34" customHeight="1">
      <x:c r="A4460" s="4" t="str">
        <x:v>RS-02257-I3</x:v>
      </x:c>
      <x:c r="B4460" s="4" t="str">
        <x:v>RS-02257</x:v>
      </x:c>
      <x:c r="C4460" s="9" t="n">
        <x:v>3</x:v>
      </x:c>
      <x:c r="D4460" s="8" t="n">
        <x:v>45489</x:v>
      </x:c>
      <x:c r="E4460" s="9" t="n">
        <x:v>3344000</x:v>
      </x:c>
      <x:c r="F4460" s="9" t="n">
        <x:v>0</x:v>
      </x:c>
    </x:row>
    <x:row r="4461" ht="34" customHeight="1">
      <x:c r="A4461" s="4" t="str">
        <x:v>RS-02257-I4</x:v>
      </x:c>
      <x:c r="B4461" s="4" t="str">
        <x:v>RS-02257</x:v>
      </x:c>
      <x:c r="C4461" s="9" t="n">
        <x:v>4</x:v>
      </x:c>
      <x:c r="D4461" s="8" t="n">
        <x:v>45519</x:v>
      </x:c>
      <x:c r="E4461" s="9" t="n">
        <x:v>3344000</x:v>
      </x:c>
      <x:c r="F4461" s="9" t="n">
        <x:v>0</x:v>
      </x:c>
    </x:row>
    <x:row r="4462" ht="34" customHeight="1">
      <x:c r="A4462" s="4" t="str">
        <x:v>RS-02258-I1</x:v>
      </x:c>
      <x:c r="B4462" s="4" t="str">
        <x:v>RS-02258</x:v>
      </x:c>
      <x:c r="C4462" s="9" t="n">
        <x:v>1</x:v>
      </x:c>
      <x:c r="D4462" s="8" t="n">
        <x:v>45430</x:v>
      </x:c>
      <x:c r="E4462" s="9" t="n">
        <x:v>1905750</x:v>
      </x:c>
      <x:c r="F4462" s="9" t="n">
        <x:v>1905750</x:v>
      </x:c>
    </x:row>
    <x:row r="4463" ht="34" customHeight="1">
      <x:c r="A4463" s="4" t="str">
        <x:v>RS-02258-I2</x:v>
      </x:c>
      <x:c r="B4463" s="4" t="str">
        <x:v>RS-02258</x:v>
      </x:c>
      <x:c r="C4463" s="9" t="n">
        <x:v>2</x:v>
      </x:c>
      <x:c r="D4463" s="8" t="n">
        <x:v>45460</x:v>
      </x:c>
      <x:c r="E4463" s="9" t="n">
        <x:v>1905750</x:v>
      </x:c>
      <x:c r="F4463" s="9" t="n">
        <x:v>1905750</x:v>
      </x:c>
    </x:row>
    <x:row r="4464" ht="34" customHeight="1">
      <x:c r="A4464" s="4" t="str">
        <x:v>RS-02258-I3</x:v>
      </x:c>
      <x:c r="B4464" s="4" t="str">
        <x:v>RS-02258</x:v>
      </x:c>
      <x:c r="C4464" s="9" t="n">
        <x:v>3</x:v>
      </x:c>
      <x:c r="D4464" s="8" t="n">
        <x:v>45490</x:v>
      </x:c>
      <x:c r="E4464" s="9" t="n">
        <x:v>1905750</x:v>
      </x:c>
      <x:c r="F4464" s="9" t="n">
        <x:v>0</x:v>
      </x:c>
    </x:row>
    <x:row r="4465" ht="34" customHeight="1">
      <x:c r="A4465" s="4" t="str">
        <x:v>RS-02258-I4</x:v>
      </x:c>
      <x:c r="B4465" s="4" t="str">
        <x:v>RS-02258</x:v>
      </x:c>
      <x:c r="C4465" s="9" t="n">
        <x:v>4</x:v>
      </x:c>
      <x:c r="D4465" s="8" t="n">
        <x:v>45520</x:v>
      </x:c>
      <x:c r="E4465" s="9" t="n">
        <x:v>1905750</x:v>
      </x:c>
      <x:c r="F4465" s="9" t="n">
        <x:v>0</x:v>
      </x:c>
    </x:row>
    <x:row r="4466" ht="34" customHeight="1">
      <x:c r="A4466" s="4" t="str">
        <x:v>RS-02259-I1</x:v>
      </x:c>
      <x:c r="B4466" s="4" t="str">
        <x:v>RS-02259</x:v>
      </x:c>
      <x:c r="C4466" s="9" t="n">
        <x:v>1</x:v>
      </x:c>
      <x:c r="D4466" s="8" t="n">
        <x:v>45431</x:v>
      </x:c>
      <x:c r="E4466" s="9" t="n">
        <x:v>4656000</x:v>
      </x:c>
      <x:c r="F4466" s="9" t="n">
        <x:v>1862400</x:v>
      </x:c>
    </x:row>
    <x:row r="4467" ht="34" customHeight="1">
      <x:c r="A4467" s="4" t="str">
        <x:v>RS-02259-I2</x:v>
      </x:c>
      <x:c r="B4467" s="4" t="str">
        <x:v>RS-02259</x:v>
      </x:c>
      <x:c r="C4467" s="9" t="n">
        <x:v>2</x:v>
      </x:c>
      <x:c r="D4467" s="8" t="n">
        <x:v>45461</x:v>
      </x:c>
      <x:c r="E4467" s="9" t="n">
        <x:v>4656000</x:v>
      </x:c>
      <x:c r="F4467" s="9" t="n">
        <x:v>0</x:v>
      </x:c>
    </x:row>
    <x:row r="4468" ht="34" customHeight="1">
      <x:c r="A4468" s="4" t="str">
        <x:v>RS-02259-I3</x:v>
      </x:c>
      <x:c r="B4468" s="4" t="str">
        <x:v>RS-02259</x:v>
      </x:c>
      <x:c r="C4468" s="9" t="n">
        <x:v>3</x:v>
      </x:c>
      <x:c r="D4468" s="8" t="n">
        <x:v>45491</x:v>
      </x:c>
      <x:c r="E4468" s="9" t="n">
        <x:v>4656000</x:v>
      </x:c>
      <x:c r="F4468" s="9" t="n">
        <x:v>0</x:v>
      </x:c>
    </x:row>
    <x:row r="4469" ht="34" customHeight="1">
      <x:c r="A4469" s="4" t="str">
        <x:v>RS-02259-I4</x:v>
      </x:c>
      <x:c r="B4469" s="4" t="str">
        <x:v>RS-02259</x:v>
      </x:c>
      <x:c r="C4469" s="9" t="n">
        <x:v>4</x:v>
      </x:c>
      <x:c r="D4469" s="8" t="n">
        <x:v>45521</x:v>
      </x:c>
      <x:c r="E4469" s="9" t="n">
        <x:v>4656000</x:v>
      </x:c>
      <x:c r="F4469" s="9" t="n">
        <x:v>0</x:v>
      </x:c>
    </x:row>
    <x:row r="4470" ht="34" customHeight="1">
      <x:c r="A4470" s="4" t="str">
        <x:v>RS-02261-I1</x:v>
      </x:c>
      <x:c r="B4470" s="4" t="str">
        <x:v>RS-02261</x:v>
      </x:c>
      <x:c r="C4470" s="9" t="n">
        <x:v>1</x:v>
      </x:c>
      <x:c r="D4470" s="8" t="n">
        <x:v>45433</x:v>
      </x:c>
      <x:c r="E4470" s="9" t="n">
        <x:v>1382250</x:v>
      </x:c>
      <x:c r="F4470" s="9" t="n">
        <x:v>1382250</x:v>
      </x:c>
    </x:row>
    <x:row r="4471" ht="34" customHeight="1">
      <x:c r="A4471" s="4" t="str">
        <x:v>RS-02261-I2</x:v>
      </x:c>
      <x:c r="B4471" s="4" t="str">
        <x:v>RS-02261</x:v>
      </x:c>
      <x:c r="C4471" s="9" t="n">
        <x:v>2</x:v>
      </x:c>
      <x:c r="D4471" s="8" t="n">
        <x:v>45463</x:v>
      </x:c>
      <x:c r="E4471" s="9" t="n">
        <x:v>1382250</x:v>
      </x:c>
      <x:c r="F4471" s="9" t="n">
        <x:v>1382250</x:v>
      </x:c>
    </x:row>
    <x:row r="4472" ht="34" customHeight="1">
      <x:c r="A4472" s="4" t="str">
        <x:v>RS-02261-I3</x:v>
      </x:c>
      <x:c r="B4472" s="4" t="str">
        <x:v>RS-02261</x:v>
      </x:c>
      <x:c r="C4472" s="9" t="n">
        <x:v>3</x:v>
      </x:c>
      <x:c r="D4472" s="8" t="n">
        <x:v>45493</x:v>
      </x:c>
      <x:c r="E4472" s="9" t="n">
        <x:v>1382250</x:v>
      </x:c>
      <x:c r="F4472" s="9" t="n">
        <x:v>0</x:v>
      </x:c>
    </x:row>
    <x:row r="4473" ht="34" customHeight="1">
      <x:c r="A4473" s="4" t="str">
        <x:v>RS-02261-I4</x:v>
      </x:c>
      <x:c r="B4473" s="4" t="str">
        <x:v>RS-02261</x:v>
      </x:c>
      <x:c r="C4473" s="9" t="n">
        <x:v>4</x:v>
      </x:c>
      <x:c r="D4473" s="8" t="n">
        <x:v>45523</x:v>
      </x:c>
      <x:c r="E4473" s="9" t="n">
        <x:v>1382250</x:v>
      </x:c>
      <x:c r="F4473" s="9" t="n">
        <x:v>0</x:v>
      </x:c>
    </x:row>
    <x:row r="4474" ht="34" customHeight="1">
      <x:c r="A4474" s="4" t="str">
        <x:v>RS-02262-I1</x:v>
      </x:c>
      <x:c r="B4474" s="4" t="str">
        <x:v>RS-02262</x:v>
      </x:c>
      <x:c r="C4474" s="9" t="n">
        <x:v>1</x:v>
      </x:c>
      <x:c r="D4474" s="8" t="n">
        <x:v>45434</x:v>
      </x:c>
      <x:c r="E4474" s="9" t="n">
        <x:v>1372500</x:v>
      </x:c>
      <x:c r="F4474" s="9" t="n">
        <x:v>1372500</x:v>
      </x:c>
    </x:row>
    <x:row r="4475" ht="34" customHeight="1">
      <x:c r="A4475" s="4" t="str">
        <x:v>RS-02262-I2</x:v>
      </x:c>
      <x:c r="B4475" s="4" t="str">
        <x:v>RS-02262</x:v>
      </x:c>
      <x:c r="C4475" s="9" t="n">
        <x:v>2</x:v>
      </x:c>
      <x:c r="D4475" s="8" t="n">
        <x:v>45464</x:v>
      </x:c>
      <x:c r="E4475" s="9" t="n">
        <x:v>1372500</x:v>
      </x:c>
      <x:c r="F4475" s="9" t="n">
        <x:v>0</x:v>
      </x:c>
    </x:row>
    <x:row r="4476" ht="34" customHeight="1">
      <x:c r="A4476" s="4" t="str">
        <x:v>RS-02262-I3</x:v>
      </x:c>
      <x:c r="B4476" s="4" t="str">
        <x:v>RS-02262</x:v>
      </x:c>
      <x:c r="C4476" s="9" t="n">
        <x:v>3</x:v>
      </x:c>
      <x:c r="D4476" s="8" t="n">
        <x:v>45494</x:v>
      </x:c>
      <x:c r="E4476" s="9" t="n">
        <x:v>1372500</x:v>
      </x:c>
      <x:c r="F4476" s="9" t="n">
        <x:v>0</x:v>
      </x:c>
    </x:row>
    <x:row r="4477" ht="34" customHeight="1">
      <x:c r="A4477" s="4" t="str">
        <x:v>RS-02262-I4</x:v>
      </x:c>
      <x:c r="B4477" s="4" t="str">
        <x:v>RS-02262</x:v>
      </x:c>
      <x:c r="C4477" s="9" t="n">
        <x:v>4</x:v>
      </x:c>
      <x:c r="D4477" s="8" t="n">
        <x:v>45524</x:v>
      </x:c>
      <x:c r="E4477" s="9" t="n">
        <x:v>1372500</x:v>
      </x:c>
      <x:c r="F4477" s="9" t="n">
        <x:v>0</x:v>
      </x:c>
    </x:row>
    <x:row r="4478" ht="34" customHeight="1">
      <x:c r="A4478" s="4" t="str">
        <x:v>RS-02263-I1</x:v>
      </x:c>
      <x:c r="B4478" s="4" t="str">
        <x:v>RS-02263</x:v>
      </x:c>
      <x:c r="C4478" s="9" t="n">
        <x:v>1</x:v>
      </x:c>
      <x:c r="D4478" s="8" t="n">
        <x:v>45435</x:v>
      </x:c>
      <x:c r="E4478" s="9" t="n">
        <x:v>2202750</x:v>
      </x:c>
      <x:c r="F4478" s="9" t="n">
        <x:v>881100</x:v>
      </x:c>
    </x:row>
    <x:row r="4479" ht="34" customHeight="1">
      <x:c r="A4479" s="4" t="str">
        <x:v>RS-02263-I2</x:v>
      </x:c>
      <x:c r="B4479" s="4" t="str">
        <x:v>RS-02263</x:v>
      </x:c>
      <x:c r="C4479" s="9" t="n">
        <x:v>2</x:v>
      </x:c>
      <x:c r="D4479" s="8" t="n">
        <x:v>45465</x:v>
      </x:c>
      <x:c r="E4479" s="9" t="n">
        <x:v>2202750</x:v>
      </x:c>
      <x:c r="F4479" s="9" t="n">
        <x:v>0</x:v>
      </x:c>
    </x:row>
    <x:row r="4480" ht="34" customHeight="1">
      <x:c r="A4480" s="4" t="str">
        <x:v>RS-02263-I3</x:v>
      </x:c>
      <x:c r="B4480" s="4" t="str">
        <x:v>RS-02263</x:v>
      </x:c>
      <x:c r="C4480" s="9" t="n">
        <x:v>3</x:v>
      </x:c>
      <x:c r="D4480" s="8" t="n">
        <x:v>45495</x:v>
      </x:c>
      <x:c r="E4480" s="9" t="n">
        <x:v>2202750</x:v>
      </x:c>
      <x:c r="F4480" s="9" t="n">
        <x:v>0</x:v>
      </x:c>
    </x:row>
    <x:row r="4481" ht="34" customHeight="1">
      <x:c r="A4481" s="4" t="str">
        <x:v>RS-02263-I4</x:v>
      </x:c>
      <x:c r="B4481" s="4" t="str">
        <x:v>RS-02263</x:v>
      </x:c>
      <x:c r="C4481" s="9" t="n">
        <x:v>4</x:v>
      </x:c>
      <x:c r="D4481" s="8" t="n">
        <x:v>45525</x:v>
      </x:c>
      <x:c r="E4481" s="9" t="n">
        <x:v>2202750</x:v>
      </x:c>
      <x:c r="F4481" s="9" t="n">
        <x:v>0</x:v>
      </x:c>
    </x:row>
    <x:row r="4482" ht="34" customHeight="1">
      <x:c r="A4482" s="4" t="str">
        <x:v>RS-02264-I1</x:v>
      </x:c>
      <x:c r="B4482" s="4" t="str">
        <x:v>RS-02264</x:v>
      </x:c>
      <x:c r="C4482" s="9" t="n">
        <x:v>1</x:v>
      </x:c>
      <x:c r="D4482" s="8" t="n">
        <x:v>45436</x:v>
      </x:c>
      <x:c r="E4482" s="9" t="n">
        <x:v>2351250</x:v>
      </x:c>
      <x:c r="F4482" s="9" t="n">
        <x:v>940500</x:v>
      </x:c>
    </x:row>
    <x:row r="4483" ht="34" customHeight="1">
      <x:c r="A4483" s="4" t="str">
        <x:v>RS-02264-I2</x:v>
      </x:c>
      <x:c r="B4483" s="4" t="str">
        <x:v>RS-02264</x:v>
      </x:c>
      <x:c r="C4483" s="9" t="n">
        <x:v>2</x:v>
      </x:c>
      <x:c r="D4483" s="8" t="n">
        <x:v>45466</x:v>
      </x:c>
      <x:c r="E4483" s="9" t="n">
        <x:v>2351250</x:v>
      </x:c>
      <x:c r="F4483" s="9" t="n">
        <x:v>0</x:v>
      </x:c>
    </x:row>
    <x:row r="4484" ht="34" customHeight="1">
      <x:c r="A4484" s="4" t="str">
        <x:v>RS-02264-I3</x:v>
      </x:c>
      <x:c r="B4484" s="4" t="str">
        <x:v>RS-02264</x:v>
      </x:c>
      <x:c r="C4484" s="9" t="n">
        <x:v>3</x:v>
      </x:c>
      <x:c r="D4484" s="8" t="n">
        <x:v>45496</x:v>
      </x:c>
      <x:c r="E4484" s="9" t="n">
        <x:v>2351250</x:v>
      </x:c>
      <x:c r="F4484" s="9" t="n">
        <x:v>0</x:v>
      </x:c>
    </x:row>
    <x:row r="4485" ht="34" customHeight="1">
      <x:c r="A4485" s="4" t="str">
        <x:v>RS-02264-I4</x:v>
      </x:c>
      <x:c r="B4485" s="4" t="str">
        <x:v>RS-02264</x:v>
      </x:c>
      <x:c r="C4485" s="9" t="n">
        <x:v>4</x:v>
      </x:c>
      <x:c r="D4485" s="8" t="n">
        <x:v>45526</x:v>
      </x:c>
      <x:c r="E4485" s="9" t="n">
        <x:v>2351250</x:v>
      </x:c>
      <x:c r="F4485" s="9" t="n">
        <x:v>0</x:v>
      </x:c>
    </x:row>
    <x:row r="4486" ht="34" customHeight="1">
      <x:c r="A4486" s="4" t="str">
        <x:v>RS-02265-I1</x:v>
      </x:c>
      <x:c r="B4486" s="4" t="str">
        <x:v>RS-02265</x:v>
      </x:c>
      <x:c r="C4486" s="9" t="n">
        <x:v>1</x:v>
      </x:c>
      <x:c r="D4486" s="8" t="n">
        <x:v>45437</x:v>
      </x:c>
      <x:c r="E4486" s="9" t="n">
        <x:v>5152500</x:v>
      </x:c>
      <x:c r="F4486" s="9" t="n">
        <x:v>2061000</x:v>
      </x:c>
    </x:row>
    <x:row r="4487" ht="34" customHeight="1">
      <x:c r="A4487" s="4" t="str">
        <x:v>RS-02265-I2</x:v>
      </x:c>
      <x:c r="B4487" s="4" t="str">
        <x:v>RS-02265</x:v>
      </x:c>
      <x:c r="C4487" s="9" t="n">
        <x:v>2</x:v>
      </x:c>
      <x:c r="D4487" s="8" t="n">
        <x:v>45467</x:v>
      </x:c>
      <x:c r="E4487" s="9" t="n">
        <x:v>5152500</x:v>
      </x:c>
      <x:c r="F4487" s="9" t="n">
        <x:v>0</x:v>
      </x:c>
    </x:row>
    <x:row r="4488" ht="34" customHeight="1">
      <x:c r="A4488" s="4" t="str">
        <x:v>RS-02265-I3</x:v>
      </x:c>
      <x:c r="B4488" s="4" t="str">
        <x:v>RS-02265</x:v>
      </x:c>
      <x:c r="C4488" s="9" t="n">
        <x:v>3</x:v>
      </x:c>
      <x:c r="D4488" s="8" t="n">
        <x:v>45497</x:v>
      </x:c>
      <x:c r="E4488" s="9" t="n">
        <x:v>5152500</x:v>
      </x:c>
      <x:c r="F4488" s="9" t="n">
        <x:v>0</x:v>
      </x:c>
    </x:row>
    <x:row r="4489" ht="34" customHeight="1">
      <x:c r="A4489" s="4" t="str">
        <x:v>RS-02265-I4</x:v>
      </x:c>
      <x:c r="B4489" s="4" t="str">
        <x:v>RS-02265</x:v>
      </x:c>
      <x:c r="C4489" s="9" t="n">
        <x:v>4</x:v>
      </x:c>
      <x:c r="D4489" s="8" t="n">
        <x:v>45527</x:v>
      </x:c>
      <x:c r="E4489" s="9" t="n">
        <x:v>5152500</x:v>
      </x:c>
      <x:c r="F4489" s="9" t="n">
        <x:v>0</x:v>
      </x:c>
    </x:row>
    <x:row r="4490" ht="34" customHeight="1">
      <x:c r="A4490" s="4" t="str">
        <x:v>RS-02267-I1</x:v>
      </x:c>
      <x:c r="B4490" s="4" t="str">
        <x:v>RS-02267</x:v>
      </x:c>
      <x:c r="C4490" s="9" t="n">
        <x:v>1</x:v>
      </x:c>
      <x:c r="D4490" s="8" t="n">
        <x:v>45439</x:v>
      </x:c>
      <x:c r="E4490" s="9" t="n">
        <x:v>5005500</x:v>
      </x:c>
      <x:c r="F4490" s="9" t="n">
        <x:v>2002200</x:v>
      </x:c>
    </x:row>
    <x:row r="4491" ht="34" customHeight="1">
      <x:c r="A4491" s="4" t="str">
        <x:v>RS-02267-I2</x:v>
      </x:c>
      <x:c r="B4491" s="4" t="str">
        <x:v>RS-02267</x:v>
      </x:c>
      <x:c r="C4491" s="9" t="n">
        <x:v>2</x:v>
      </x:c>
      <x:c r="D4491" s="8" t="n">
        <x:v>45469</x:v>
      </x:c>
      <x:c r="E4491" s="9" t="n">
        <x:v>5005500</x:v>
      </x:c>
      <x:c r="F4491" s="9" t="n">
        <x:v>0</x:v>
      </x:c>
    </x:row>
    <x:row r="4492" ht="34" customHeight="1">
      <x:c r="A4492" s="4" t="str">
        <x:v>RS-02267-I3</x:v>
      </x:c>
      <x:c r="B4492" s="4" t="str">
        <x:v>RS-02267</x:v>
      </x:c>
      <x:c r="C4492" s="9" t="n">
        <x:v>3</x:v>
      </x:c>
      <x:c r="D4492" s="8" t="n">
        <x:v>45499</x:v>
      </x:c>
      <x:c r="E4492" s="9" t="n">
        <x:v>5005500</x:v>
      </x:c>
      <x:c r="F4492" s="9" t="n">
        <x:v>0</x:v>
      </x:c>
    </x:row>
    <x:row r="4493" ht="34" customHeight="1">
      <x:c r="A4493" s="4" t="str">
        <x:v>RS-02267-I4</x:v>
      </x:c>
      <x:c r="B4493" s="4" t="str">
        <x:v>RS-02267</x:v>
      </x:c>
      <x:c r="C4493" s="9" t="n">
        <x:v>4</x:v>
      </x:c>
      <x:c r="D4493" s="8" t="n">
        <x:v>45529</x:v>
      </x:c>
      <x:c r="E4493" s="9" t="n">
        <x:v>5005500</x:v>
      </x:c>
      <x:c r="F4493" s="9" t="n">
        <x:v>0</x:v>
      </x:c>
    </x:row>
    <x:row r="4494" ht="34" customHeight="1">
      <x:c r="A4494" s="4" t="str">
        <x:v>RS-02270-I1</x:v>
      </x:c>
      <x:c r="B4494" s="4" t="str">
        <x:v>RS-02270</x:v>
      </x:c>
      <x:c r="C4494" s="9" t="n">
        <x:v>1</x:v>
      </x:c>
      <x:c r="D4494" s="8" t="n">
        <x:v>45414</x:v>
      </x:c>
      <x:c r="E4494" s="9" t="n">
        <x:v>5316500</x:v>
      </x:c>
      <x:c r="F4494" s="9" t="n">
        <x:v>5316500</x:v>
      </x:c>
    </x:row>
    <x:row r="4495" ht="34" customHeight="1">
      <x:c r="A4495" s="4" t="str">
        <x:v>RS-02270-I2</x:v>
      </x:c>
      <x:c r="B4495" s="4" t="str">
        <x:v>RS-02270</x:v>
      </x:c>
      <x:c r="C4495" s="9" t="n">
        <x:v>2</x:v>
      </x:c>
      <x:c r="D4495" s="8" t="n">
        <x:v>45444</x:v>
      </x:c>
      <x:c r="E4495" s="9" t="n">
        <x:v>5316500</x:v>
      </x:c>
      <x:c r="F4495" s="9" t="n">
        <x:v>0</x:v>
      </x:c>
    </x:row>
    <x:row r="4496" ht="34" customHeight="1">
      <x:c r="A4496" s="4" t="str">
        <x:v>RS-02270-I3</x:v>
      </x:c>
      <x:c r="B4496" s="4" t="str">
        <x:v>RS-02270</x:v>
      </x:c>
      <x:c r="C4496" s="9" t="n">
        <x:v>3</x:v>
      </x:c>
      <x:c r="D4496" s="8" t="n">
        <x:v>45474</x:v>
      </x:c>
      <x:c r="E4496" s="9" t="n">
        <x:v>5316500</x:v>
      </x:c>
      <x:c r="F4496" s="9" t="n">
        <x:v>0</x:v>
      </x:c>
    </x:row>
    <x:row r="4497" ht="34" customHeight="1">
      <x:c r="A4497" s="4" t="str">
        <x:v>RS-02270-I4</x:v>
      </x:c>
      <x:c r="B4497" s="4" t="str">
        <x:v>RS-02270</x:v>
      </x:c>
      <x:c r="C4497" s="9" t="n">
        <x:v>4</x:v>
      </x:c>
      <x:c r="D4497" s="8" t="n">
        <x:v>45504</x:v>
      </x:c>
      <x:c r="E4497" s="9" t="n">
        <x:v>5316500</x:v>
      </x:c>
      <x:c r="F4497" s="9" t="n">
        <x:v>0</x:v>
      </x:c>
    </x:row>
    <x:row r="4498" ht="34" customHeight="1">
      <x:c r="A4498" s="4" t="str">
        <x:v>RS-02271-I1</x:v>
      </x:c>
      <x:c r="B4498" s="4" t="str">
        <x:v>RS-02271</x:v>
      </x:c>
      <x:c r="C4498" s="9" t="n">
        <x:v>1</x:v>
      </x:c>
      <x:c r="D4498" s="8" t="n">
        <x:v>45415</x:v>
      </x:c>
      <x:c r="E4498" s="9" t="n">
        <x:v>2301750</x:v>
      </x:c>
      <x:c r="F4498" s="9" t="n">
        <x:v>2301750</x:v>
      </x:c>
    </x:row>
    <x:row r="4499" ht="34" customHeight="1">
      <x:c r="A4499" s="4" t="str">
        <x:v>RS-02271-I2</x:v>
      </x:c>
      <x:c r="B4499" s="4" t="str">
        <x:v>RS-02271</x:v>
      </x:c>
      <x:c r="C4499" s="9" t="n">
        <x:v>2</x:v>
      </x:c>
      <x:c r="D4499" s="8" t="n">
        <x:v>45445</x:v>
      </x:c>
      <x:c r="E4499" s="9" t="n">
        <x:v>2301750</x:v>
      </x:c>
      <x:c r="F4499" s="9" t="n">
        <x:v>2301750</x:v>
      </x:c>
    </x:row>
    <x:row r="4500" ht="34" customHeight="1">
      <x:c r="A4500" s="4" t="str">
        <x:v>RS-02271-I3</x:v>
      </x:c>
      <x:c r="B4500" s="4" t="str">
        <x:v>RS-02271</x:v>
      </x:c>
      <x:c r="C4500" s="9" t="n">
        <x:v>3</x:v>
      </x:c>
      <x:c r="D4500" s="8" t="n">
        <x:v>45475</x:v>
      </x:c>
      <x:c r="E4500" s="9" t="n">
        <x:v>2301750</x:v>
      </x:c>
      <x:c r="F4500" s="9" t="n">
        <x:v>2301750</x:v>
      </x:c>
    </x:row>
    <x:row r="4501" ht="34" customHeight="1">
      <x:c r="A4501" s="4" t="str">
        <x:v>RS-02271-I4</x:v>
      </x:c>
      <x:c r="B4501" s="4" t="str">
        <x:v>RS-02271</x:v>
      </x:c>
      <x:c r="C4501" s="9" t="n">
        <x:v>4</x:v>
      </x:c>
      <x:c r="D4501" s="8" t="n">
        <x:v>45505</x:v>
      </x:c>
      <x:c r="E4501" s="9" t="n">
        <x:v>2301750</x:v>
      </x:c>
      <x:c r="F4501" s="9" t="n">
        <x:v>2301750</x:v>
      </x:c>
    </x:row>
    <x:row r="4502" ht="34" customHeight="1">
      <x:c r="A4502" s="4" t="str">
        <x:v>RS-02272-I1</x:v>
      </x:c>
      <x:c r="B4502" s="4" t="str">
        <x:v>RS-02272</x:v>
      </x:c>
      <x:c r="C4502" s="9" t="n">
        <x:v>1</x:v>
      </x:c>
      <x:c r="D4502" s="8" t="n">
        <x:v>45416</x:v>
      </x:c>
      <x:c r="E4502" s="9" t="n">
        <x:v>2778750</x:v>
      </x:c>
      <x:c r="F4502" s="9" t="n">
        <x:v>2778750</x:v>
      </x:c>
    </x:row>
    <x:row r="4503" ht="34" customHeight="1">
      <x:c r="A4503" s="4" t="str">
        <x:v>RS-02272-I2</x:v>
      </x:c>
      <x:c r="B4503" s="4" t="str">
        <x:v>RS-02272</x:v>
      </x:c>
      <x:c r="C4503" s="9" t="n">
        <x:v>2</x:v>
      </x:c>
      <x:c r="D4503" s="8" t="n">
        <x:v>45446</x:v>
      </x:c>
      <x:c r="E4503" s="9" t="n">
        <x:v>2778750</x:v>
      </x:c>
      <x:c r="F4503" s="9" t="n">
        <x:v>2778750</x:v>
      </x:c>
    </x:row>
    <x:row r="4504" ht="34" customHeight="1">
      <x:c r="A4504" s="4" t="str">
        <x:v>RS-02272-I3</x:v>
      </x:c>
      <x:c r="B4504" s="4" t="str">
        <x:v>RS-02272</x:v>
      </x:c>
      <x:c r="C4504" s="9" t="n">
        <x:v>3</x:v>
      </x:c>
      <x:c r="D4504" s="8" t="n">
        <x:v>45476</x:v>
      </x:c>
      <x:c r="E4504" s="9" t="n">
        <x:v>2778750</x:v>
      </x:c>
      <x:c r="F4504" s="9" t="n">
        <x:v>0</x:v>
      </x:c>
    </x:row>
    <x:row r="4505" ht="34" customHeight="1">
      <x:c r="A4505" s="4" t="str">
        <x:v>RS-02272-I4</x:v>
      </x:c>
      <x:c r="B4505" s="4" t="str">
        <x:v>RS-02272</x:v>
      </x:c>
      <x:c r="C4505" s="9" t="n">
        <x:v>4</x:v>
      </x:c>
      <x:c r="D4505" s="8" t="n">
        <x:v>45506</x:v>
      </x:c>
      <x:c r="E4505" s="9" t="n">
        <x:v>2778750</x:v>
      </x:c>
      <x:c r="F4505" s="9" t="n">
        <x:v>0</x:v>
      </x:c>
    </x:row>
    <x:row r="4506" ht="34" customHeight="1">
      <x:c r="A4506" s="4" t="str">
        <x:v>RS-02273-I1</x:v>
      </x:c>
      <x:c r="B4506" s="4" t="str">
        <x:v>RS-02273</x:v>
      </x:c>
      <x:c r="C4506" s="9" t="n">
        <x:v>1</x:v>
      </x:c>
      <x:c r="D4506" s="8" t="n">
        <x:v>45417</x:v>
      </x:c>
      <x:c r="E4506" s="9" t="n">
        <x:v>5868500</x:v>
      </x:c>
      <x:c r="F4506" s="9" t="n">
        <x:v>5868500</x:v>
      </x:c>
    </x:row>
    <x:row r="4507" ht="34" customHeight="1">
      <x:c r="A4507" s="4" t="str">
        <x:v>RS-02273-I2</x:v>
      </x:c>
      <x:c r="B4507" s="4" t="str">
        <x:v>RS-02273</x:v>
      </x:c>
      <x:c r="C4507" s="9" t="n">
        <x:v>2</x:v>
      </x:c>
      <x:c r="D4507" s="8" t="n">
        <x:v>45447</x:v>
      </x:c>
      <x:c r="E4507" s="9" t="n">
        <x:v>5868500</x:v>
      </x:c>
      <x:c r="F4507" s="9" t="n">
        <x:v>5868500</x:v>
      </x:c>
    </x:row>
    <x:row r="4508" ht="34" customHeight="1">
      <x:c r="A4508" s="4" t="str">
        <x:v>RS-02273-I3</x:v>
      </x:c>
      <x:c r="B4508" s="4" t="str">
        <x:v>RS-02273</x:v>
      </x:c>
      <x:c r="C4508" s="9" t="n">
        <x:v>3</x:v>
      </x:c>
      <x:c r="D4508" s="8" t="n">
        <x:v>45477</x:v>
      </x:c>
      <x:c r="E4508" s="9" t="n">
        <x:v>5868500</x:v>
      </x:c>
      <x:c r="F4508" s="9" t="n">
        <x:v>5868500</x:v>
      </x:c>
    </x:row>
    <x:row r="4509" ht="34" customHeight="1">
      <x:c r="A4509" s="4" t="str">
        <x:v>RS-02273-I4</x:v>
      </x:c>
      <x:c r="B4509" s="4" t="str">
        <x:v>RS-02273</x:v>
      </x:c>
      <x:c r="C4509" s="9" t="n">
        <x:v>4</x:v>
      </x:c>
      <x:c r="D4509" s="8" t="n">
        <x:v>45507</x:v>
      </x:c>
      <x:c r="E4509" s="9" t="n">
        <x:v>5868500</x:v>
      </x:c>
      <x:c r="F4509" s="9" t="n">
        <x:v>5868500</x:v>
      </x:c>
    </x:row>
    <x:row r="4510" ht="34" customHeight="1">
      <x:c r="A4510" s="4" t="str">
        <x:v>RS-02275-I1</x:v>
      </x:c>
      <x:c r="B4510" s="4" t="str">
        <x:v>RS-02275</x:v>
      </x:c>
      <x:c r="C4510" s="9" t="n">
        <x:v>1</x:v>
      </x:c>
      <x:c r="D4510" s="8" t="n">
        <x:v>45419</x:v>
      </x:c>
      <x:c r="E4510" s="9" t="n">
        <x:v>1100000</x:v>
      </x:c>
      <x:c r="F4510" s="9" t="n">
        <x:v>1100000</x:v>
      </x:c>
    </x:row>
    <x:row r="4511" ht="34" customHeight="1">
      <x:c r="A4511" s="4" t="str">
        <x:v>RS-02275-I2</x:v>
      </x:c>
      <x:c r="B4511" s="4" t="str">
        <x:v>RS-02275</x:v>
      </x:c>
      <x:c r="C4511" s="9" t="n">
        <x:v>2</x:v>
      </x:c>
      <x:c r="D4511" s="8" t="n">
        <x:v>45449</x:v>
      </x:c>
      <x:c r="E4511" s="9" t="n">
        <x:v>1100000</x:v>
      </x:c>
      <x:c r="F4511" s="9" t="n">
        <x:v>0</x:v>
      </x:c>
    </x:row>
    <x:row r="4512" ht="34" customHeight="1">
      <x:c r="A4512" s="4" t="str">
        <x:v>RS-02275-I3</x:v>
      </x:c>
      <x:c r="B4512" s="4" t="str">
        <x:v>RS-02275</x:v>
      </x:c>
      <x:c r="C4512" s="9" t="n">
        <x:v>3</x:v>
      </x:c>
      <x:c r="D4512" s="8" t="n">
        <x:v>45479</x:v>
      </x:c>
      <x:c r="E4512" s="9" t="n">
        <x:v>1100000</x:v>
      </x:c>
      <x:c r="F4512" s="9" t="n">
        <x:v>0</x:v>
      </x:c>
    </x:row>
    <x:row r="4513" ht="34" customHeight="1">
      <x:c r="A4513" s="4" t="str">
        <x:v>RS-02275-I4</x:v>
      </x:c>
      <x:c r="B4513" s="4" t="str">
        <x:v>RS-02275</x:v>
      </x:c>
      <x:c r="C4513" s="9" t="n">
        <x:v>4</x:v>
      </x:c>
      <x:c r="D4513" s="8" t="n">
        <x:v>45509</x:v>
      </x:c>
      <x:c r="E4513" s="9" t="n">
        <x:v>1100000</x:v>
      </x:c>
      <x:c r="F4513" s="9" t="n">
        <x:v>0</x:v>
      </x:c>
    </x:row>
    <x:row r="4514" ht="34" customHeight="1">
      <x:c r="A4514" s="4" t="str">
        <x:v>RS-02276-I1</x:v>
      </x:c>
      <x:c r="B4514" s="4" t="str">
        <x:v>RS-02276</x:v>
      </x:c>
      <x:c r="C4514" s="9" t="n">
        <x:v>1</x:v>
      </x:c>
      <x:c r="D4514" s="8" t="n">
        <x:v>45420</x:v>
      </x:c>
      <x:c r="E4514" s="9" t="n">
        <x:v>2206750</x:v>
      </x:c>
      <x:c r="F4514" s="9" t="n">
        <x:v>882700</x:v>
      </x:c>
    </x:row>
    <x:row r="4515" ht="34" customHeight="1">
      <x:c r="A4515" s="4" t="str">
        <x:v>RS-02276-I2</x:v>
      </x:c>
      <x:c r="B4515" s="4" t="str">
        <x:v>RS-02276</x:v>
      </x:c>
      <x:c r="C4515" s="9" t="n">
        <x:v>2</x:v>
      </x:c>
      <x:c r="D4515" s="8" t="n">
        <x:v>45450</x:v>
      </x:c>
      <x:c r="E4515" s="9" t="n">
        <x:v>2206750</x:v>
      </x:c>
      <x:c r="F4515" s="9" t="n">
        <x:v>0</x:v>
      </x:c>
    </x:row>
    <x:row r="4516" ht="34" customHeight="1">
      <x:c r="A4516" s="4" t="str">
        <x:v>RS-02276-I3</x:v>
      </x:c>
      <x:c r="B4516" s="4" t="str">
        <x:v>RS-02276</x:v>
      </x:c>
      <x:c r="C4516" s="9" t="n">
        <x:v>3</x:v>
      </x:c>
      <x:c r="D4516" s="8" t="n">
        <x:v>45480</x:v>
      </x:c>
      <x:c r="E4516" s="9" t="n">
        <x:v>2206750</x:v>
      </x:c>
      <x:c r="F4516" s="9" t="n">
        <x:v>0</x:v>
      </x:c>
    </x:row>
    <x:row r="4517" ht="34" customHeight="1">
      <x:c r="A4517" s="4" t="str">
        <x:v>RS-02276-I4</x:v>
      </x:c>
      <x:c r="B4517" s="4" t="str">
        <x:v>RS-02276</x:v>
      </x:c>
      <x:c r="C4517" s="9" t="n">
        <x:v>4</x:v>
      </x:c>
      <x:c r="D4517" s="8" t="n">
        <x:v>45510</x:v>
      </x:c>
      <x:c r="E4517" s="9" t="n">
        <x:v>2206750</x:v>
      </x:c>
      <x:c r="F4517" s="9" t="n">
        <x:v>0</x:v>
      </x:c>
    </x:row>
    <x:row r="4518" ht="34" customHeight="1">
      <x:c r="A4518" s="4" t="str">
        <x:v>RS-02278-I1</x:v>
      </x:c>
      <x:c r="B4518" s="4" t="str">
        <x:v>RS-02278</x:v>
      </x:c>
      <x:c r="C4518" s="9" t="n">
        <x:v>1</x:v>
      </x:c>
      <x:c r="D4518" s="8" t="n">
        <x:v>45422</x:v>
      </x:c>
      <x:c r="E4518" s="9" t="n">
        <x:v>4200000</x:v>
      </x:c>
      <x:c r="F4518" s="9" t="n">
        <x:v>4200000</x:v>
      </x:c>
    </x:row>
    <x:row r="4519" ht="34" customHeight="1">
      <x:c r="A4519" s="4" t="str">
        <x:v>RS-02278-I2</x:v>
      </x:c>
      <x:c r="B4519" s="4" t="str">
        <x:v>RS-02278</x:v>
      </x:c>
      <x:c r="C4519" s="9" t="n">
        <x:v>2</x:v>
      </x:c>
      <x:c r="D4519" s="8" t="n">
        <x:v>45452</x:v>
      </x:c>
      <x:c r="E4519" s="9" t="n">
        <x:v>4200000</x:v>
      </x:c>
      <x:c r="F4519" s="9" t="n">
        <x:v>4200000</x:v>
      </x:c>
    </x:row>
    <x:row r="4520" ht="34" customHeight="1">
      <x:c r="A4520" s="4" t="str">
        <x:v>RS-02278-I3</x:v>
      </x:c>
      <x:c r="B4520" s="4" t="str">
        <x:v>RS-02278</x:v>
      </x:c>
      <x:c r="C4520" s="9" t="n">
        <x:v>3</x:v>
      </x:c>
      <x:c r="D4520" s="8" t="n">
        <x:v>45482</x:v>
      </x:c>
      <x:c r="E4520" s="9" t="n">
        <x:v>4200000</x:v>
      </x:c>
      <x:c r="F4520" s="9" t="n">
        <x:v>4200000</x:v>
      </x:c>
    </x:row>
    <x:row r="4521" ht="34" customHeight="1">
      <x:c r="A4521" s="4" t="str">
        <x:v>RS-02278-I4</x:v>
      </x:c>
      <x:c r="B4521" s="4" t="str">
        <x:v>RS-02278</x:v>
      </x:c>
      <x:c r="C4521" s="9" t="n">
        <x:v>4</x:v>
      </x:c>
      <x:c r="D4521" s="8" t="n">
        <x:v>45512</x:v>
      </x:c>
      <x:c r="E4521" s="9" t="n">
        <x:v>4200000</x:v>
      </x:c>
      <x:c r="F4521" s="9" t="n">
        <x:v>4200000</x:v>
      </x:c>
    </x:row>
    <x:row r="4522" ht="34" customHeight="1">
      <x:c r="A4522" s="4" t="str">
        <x:v>RS-02279-I1</x:v>
      </x:c>
      <x:c r="B4522" s="4" t="str">
        <x:v>RS-02279</x:v>
      </x:c>
      <x:c r="C4522" s="9" t="n">
        <x:v>1</x:v>
      </x:c>
      <x:c r="D4522" s="8" t="n">
        <x:v>45423</x:v>
      </x:c>
      <x:c r="E4522" s="9" t="n">
        <x:v>5537000</x:v>
      </x:c>
      <x:c r="F4522" s="9" t="n">
        <x:v>5537000</x:v>
      </x:c>
    </x:row>
    <x:row r="4523" ht="34" customHeight="1">
      <x:c r="A4523" s="4" t="str">
        <x:v>RS-02279-I2</x:v>
      </x:c>
      <x:c r="B4523" s="4" t="str">
        <x:v>RS-02279</x:v>
      </x:c>
      <x:c r="C4523" s="9" t="n">
        <x:v>2</x:v>
      </x:c>
      <x:c r="D4523" s="8" t="n">
        <x:v>45453</x:v>
      </x:c>
      <x:c r="E4523" s="9" t="n">
        <x:v>5537000</x:v>
      </x:c>
      <x:c r="F4523" s="9" t="n">
        <x:v>0</x:v>
      </x:c>
    </x:row>
    <x:row r="4524" ht="34" customHeight="1">
      <x:c r="A4524" s="4" t="str">
        <x:v>RS-02279-I3</x:v>
      </x:c>
      <x:c r="B4524" s="4" t="str">
        <x:v>RS-02279</x:v>
      </x:c>
      <x:c r="C4524" s="9" t="n">
        <x:v>3</x:v>
      </x:c>
      <x:c r="D4524" s="8" t="n">
        <x:v>45483</x:v>
      </x:c>
      <x:c r="E4524" s="9" t="n">
        <x:v>5537000</x:v>
      </x:c>
      <x:c r="F4524" s="9" t="n">
        <x:v>0</x:v>
      </x:c>
    </x:row>
    <x:row r="4525" ht="34" customHeight="1">
      <x:c r="A4525" s="4" t="str">
        <x:v>RS-02279-I4</x:v>
      </x:c>
      <x:c r="B4525" s="4" t="str">
        <x:v>RS-02279</x:v>
      </x:c>
      <x:c r="C4525" s="9" t="n">
        <x:v>4</x:v>
      </x:c>
      <x:c r="D4525" s="8" t="n">
        <x:v>45513</x:v>
      </x:c>
      <x:c r="E4525" s="9" t="n">
        <x:v>5537000</x:v>
      </x:c>
      <x:c r="F4525" s="9" t="n">
        <x:v>0</x:v>
      </x:c>
    </x:row>
    <x:row r="4526" ht="34" customHeight="1">
      <x:c r="A4526" s="4" t="str">
        <x:v>RS-02280-I1</x:v>
      </x:c>
      <x:c r="B4526" s="4" t="str">
        <x:v>RS-02280</x:v>
      </x:c>
      <x:c r="C4526" s="9" t="n">
        <x:v>1</x:v>
      </x:c>
      <x:c r="D4526" s="8" t="n">
        <x:v>45424</x:v>
      </x:c>
      <x:c r="E4526" s="9" t="n">
        <x:v>5232000</x:v>
      </x:c>
      <x:c r="F4526" s="9" t="n">
        <x:v>2092800</x:v>
      </x:c>
    </x:row>
    <x:row r="4527" ht="34" customHeight="1">
      <x:c r="A4527" s="4" t="str">
        <x:v>RS-02280-I2</x:v>
      </x:c>
      <x:c r="B4527" s="4" t="str">
        <x:v>RS-02280</x:v>
      </x:c>
      <x:c r="C4527" s="9" t="n">
        <x:v>2</x:v>
      </x:c>
      <x:c r="D4527" s="8" t="n">
        <x:v>45454</x:v>
      </x:c>
      <x:c r="E4527" s="9" t="n">
        <x:v>5232000</x:v>
      </x:c>
      <x:c r="F4527" s="9" t="n">
        <x:v>0</x:v>
      </x:c>
    </x:row>
    <x:row r="4528" ht="34" customHeight="1">
      <x:c r="A4528" s="4" t="str">
        <x:v>RS-02280-I3</x:v>
      </x:c>
      <x:c r="B4528" s="4" t="str">
        <x:v>RS-02280</x:v>
      </x:c>
      <x:c r="C4528" s="9" t="n">
        <x:v>3</x:v>
      </x:c>
      <x:c r="D4528" s="8" t="n">
        <x:v>45484</x:v>
      </x:c>
      <x:c r="E4528" s="9" t="n">
        <x:v>5232000</x:v>
      </x:c>
      <x:c r="F4528" s="9" t="n">
        <x:v>0</x:v>
      </x:c>
    </x:row>
    <x:row r="4529" ht="34" customHeight="1">
      <x:c r="A4529" s="4" t="str">
        <x:v>RS-02280-I4</x:v>
      </x:c>
      <x:c r="B4529" s="4" t="str">
        <x:v>RS-02280</x:v>
      </x:c>
      <x:c r="C4529" s="9" t="n">
        <x:v>4</x:v>
      </x:c>
      <x:c r="D4529" s="8" t="n">
        <x:v>45514</x:v>
      </x:c>
      <x:c r="E4529" s="9" t="n">
        <x:v>5232000</x:v>
      </x:c>
      <x:c r="F4529" s="9" t="n">
        <x:v>0</x:v>
      </x:c>
    </x:row>
    <x:row r="4530" ht="34" customHeight="1">
      <x:c r="A4530" s="4" t="str">
        <x:v>RS-02281-I1</x:v>
      </x:c>
      <x:c r="B4530" s="4" t="str">
        <x:v>RS-02281</x:v>
      </x:c>
      <x:c r="C4530" s="9" t="n">
        <x:v>1</x:v>
      </x:c>
      <x:c r="D4530" s="8" t="n">
        <x:v>45425</x:v>
      </x:c>
      <x:c r="E4530" s="9" t="n">
        <x:v>5742750</x:v>
      </x:c>
      <x:c r="F4530" s="9" t="n">
        <x:v>5742750</x:v>
      </x:c>
    </x:row>
    <x:row r="4531" ht="34" customHeight="1">
      <x:c r="A4531" s="4" t="str">
        <x:v>RS-02281-I2</x:v>
      </x:c>
      <x:c r="B4531" s="4" t="str">
        <x:v>RS-02281</x:v>
      </x:c>
      <x:c r="C4531" s="9" t="n">
        <x:v>2</x:v>
      </x:c>
      <x:c r="D4531" s="8" t="n">
        <x:v>45455</x:v>
      </x:c>
      <x:c r="E4531" s="9" t="n">
        <x:v>5742750</x:v>
      </x:c>
      <x:c r="F4531" s="9" t="n">
        <x:v>5742750</x:v>
      </x:c>
    </x:row>
    <x:row r="4532" ht="34" customHeight="1">
      <x:c r="A4532" s="4" t="str">
        <x:v>RS-02281-I3</x:v>
      </x:c>
      <x:c r="B4532" s="4" t="str">
        <x:v>RS-02281</x:v>
      </x:c>
      <x:c r="C4532" s="9" t="n">
        <x:v>3</x:v>
      </x:c>
      <x:c r="D4532" s="8" t="n">
        <x:v>45485</x:v>
      </x:c>
      <x:c r="E4532" s="9" t="n">
        <x:v>5742750</x:v>
      </x:c>
      <x:c r="F4532" s="9" t="n">
        <x:v>0</x:v>
      </x:c>
    </x:row>
    <x:row r="4533" ht="34" customHeight="1">
      <x:c r="A4533" s="4" t="str">
        <x:v>RS-02281-I4</x:v>
      </x:c>
      <x:c r="B4533" s="4" t="str">
        <x:v>RS-02281</x:v>
      </x:c>
      <x:c r="C4533" s="9" t="n">
        <x:v>4</x:v>
      </x:c>
      <x:c r="D4533" s="8" t="n">
        <x:v>45515</x:v>
      </x:c>
      <x:c r="E4533" s="9" t="n">
        <x:v>5742750</x:v>
      </x:c>
      <x:c r="F4533" s="9" t="n">
        <x:v>0</x:v>
      </x:c>
    </x:row>
    <x:row r="4534" ht="34" customHeight="1">
      <x:c r="A4534" s="4" t="str">
        <x:v>RS-02282-I1</x:v>
      </x:c>
      <x:c r="B4534" s="4" t="str">
        <x:v>RS-02282</x:v>
      </x:c>
      <x:c r="C4534" s="9" t="n">
        <x:v>1</x:v>
      </x:c>
      <x:c r="D4534" s="8" t="n">
        <x:v>45426</x:v>
      </x:c>
      <x:c r="E4534" s="9" t="n">
        <x:v>3952500</x:v>
      </x:c>
      <x:c r="F4534" s="9" t="n">
        <x:v>1581000</x:v>
      </x:c>
    </x:row>
    <x:row r="4535" ht="34" customHeight="1">
      <x:c r="A4535" s="4" t="str">
        <x:v>RS-02282-I2</x:v>
      </x:c>
      <x:c r="B4535" s="4" t="str">
        <x:v>RS-02282</x:v>
      </x:c>
      <x:c r="C4535" s="9" t="n">
        <x:v>2</x:v>
      </x:c>
      <x:c r="D4535" s="8" t="n">
        <x:v>45456</x:v>
      </x:c>
      <x:c r="E4535" s="9" t="n">
        <x:v>3952500</x:v>
      </x:c>
      <x:c r="F4535" s="9" t="n">
        <x:v>0</x:v>
      </x:c>
    </x:row>
    <x:row r="4536" ht="34" customHeight="1">
      <x:c r="A4536" s="4" t="str">
        <x:v>RS-02282-I3</x:v>
      </x:c>
      <x:c r="B4536" s="4" t="str">
        <x:v>RS-02282</x:v>
      </x:c>
      <x:c r="C4536" s="9" t="n">
        <x:v>3</x:v>
      </x:c>
      <x:c r="D4536" s="8" t="n">
        <x:v>45486</x:v>
      </x:c>
      <x:c r="E4536" s="9" t="n">
        <x:v>3952500</x:v>
      </x:c>
      <x:c r="F4536" s="9" t="n">
        <x:v>0</x:v>
      </x:c>
    </x:row>
    <x:row r="4537" ht="34" customHeight="1">
      <x:c r="A4537" s="4" t="str">
        <x:v>RS-02282-I4</x:v>
      </x:c>
      <x:c r="B4537" s="4" t="str">
        <x:v>RS-02282</x:v>
      </x:c>
      <x:c r="C4537" s="9" t="n">
        <x:v>4</x:v>
      </x:c>
      <x:c r="D4537" s="8" t="n">
        <x:v>45516</x:v>
      </x:c>
      <x:c r="E4537" s="9" t="n">
        <x:v>3952500</x:v>
      </x:c>
      <x:c r="F4537" s="9" t="n">
        <x:v>0</x:v>
      </x:c>
    </x:row>
    <x:row r="4538" ht="34" customHeight="1">
      <x:c r="A4538" s="4" t="str">
        <x:v>RS-02283-I1</x:v>
      </x:c>
      <x:c r="B4538" s="4" t="str">
        <x:v>RS-02283</x:v>
      </x:c>
      <x:c r="C4538" s="9" t="n">
        <x:v>1</x:v>
      </x:c>
      <x:c r="D4538" s="8" t="n">
        <x:v>45427</x:v>
      </x:c>
      <x:c r="E4538" s="9" t="n">
        <x:v>5231250</x:v>
      </x:c>
      <x:c r="F4538" s="9" t="n">
        <x:v>2092500</x:v>
      </x:c>
    </x:row>
    <x:row r="4539" ht="34" customHeight="1">
      <x:c r="A4539" s="4" t="str">
        <x:v>RS-02283-I2</x:v>
      </x:c>
      <x:c r="B4539" s="4" t="str">
        <x:v>RS-02283</x:v>
      </x:c>
      <x:c r="C4539" s="9" t="n">
        <x:v>2</x:v>
      </x:c>
      <x:c r="D4539" s="8" t="n">
        <x:v>45457</x:v>
      </x:c>
      <x:c r="E4539" s="9" t="n">
        <x:v>5231250</x:v>
      </x:c>
      <x:c r="F4539" s="9" t="n">
        <x:v>0</x:v>
      </x:c>
    </x:row>
    <x:row r="4540" ht="34" customHeight="1">
      <x:c r="A4540" s="4" t="str">
        <x:v>RS-02283-I3</x:v>
      </x:c>
      <x:c r="B4540" s="4" t="str">
        <x:v>RS-02283</x:v>
      </x:c>
      <x:c r="C4540" s="9" t="n">
        <x:v>3</x:v>
      </x:c>
      <x:c r="D4540" s="8" t="n">
        <x:v>45487</x:v>
      </x:c>
      <x:c r="E4540" s="9" t="n">
        <x:v>5231250</x:v>
      </x:c>
      <x:c r="F4540" s="9" t="n">
        <x:v>0</x:v>
      </x:c>
    </x:row>
    <x:row r="4541" ht="34" customHeight="1">
      <x:c r="A4541" s="4" t="str">
        <x:v>RS-02283-I4</x:v>
      </x:c>
      <x:c r="B4541" s="4" t="str">
        <x:v>RS-02283</x:v>
      </x:c>
      <x:c r="C4541" s="9" t="n">
        <x:v>4</x:v>
      </x:c>
      <x:c r="D4541" s="8" t="n">
        <x:v>45517</x:v>
      </x:c>
      <x:c r="E4541" s="9" t="n">
        <x:v>5231250</x:v>
      </x:c>
      <x:c r="F4541" s="9" t="n">
        <x:v>0</x:v>
      </x:c>
    </x:row>
    <x:row r="4542" ht="34" customHeight="1">
      <x:c r="A4542" s="4" t="str">
        <x:v>RS-02284-I1</x:v>
      </x:c>
      <x:c r="B4542" s="4" t="str">
        <x:v>RS-02284</x:v>
      </x:c>
      <x:c r="C4542" s="9" t="n">
        <x:v>1</x:v>
      </x:c>
      <x:c r="D4542" s="8" t="n">
        <x:v>45428</x:v>
      </x:c>
      <x:c r="E4542" s="9" t="n">
        <x:v>2514250</x:v>
      </x:c>
      <x:c r="F4542" s="9" t="n">
        <x:v>2514250</x:v>
      </x:c>
    </x:row>
    <x:row r="4543" ht="34" customHeight="1">
      <x:c r="A4543" s="4" t="str">
        <x:v>RS-02284-I2</x:v>
      </x:c>
      <x:c r="B4543" s="4" t="str">
        <x:v>RS-02284</x:v>
      </x:c>
      <x:c r="C4543" s="9" t="n">
        <x:v>2</x:v>
      </x:c>
      <x:c r="D4543" s="8" t="n">
        <x:v>45458</x:v>
      </x:c>
      <x:c r="E4543" s="9" t="n">
        <x:v>2514250</x:v>
      </x:c>
      <x:c r="F4543" s="9" t="n">
        <x:v>2514250</x:v>
      </x:c>
    </x:row>
    <x:row r="4544" ht="34" customHeight="1">
      <x:c r="A4544" s="4" t="str">
        <x:v>RS-02284-I3</x:v>
      </x:c>
      <x:c r="B4544" s="4" t="str">
        <x:v>RS-02284</x:v>
      </x:c>
      <x:c r="C4544" s="9" t="n">
        <x:v>3</x:v>
      </x:c>
      <x:c r="D4544" s="8" t="n">
        <x:v>45488</x:v>
      </x:c>
      <x:c r="E4544" s="9" t="n">
        <x:v>2514250</x:v>
      </x:c>
      <x:c r="F4544" s="9" t="n">
        <x:v>0</x:v>
      </x:c>
    </x:row>
    <x:row r="4545" ht="34" customHeight="1">
      <x:c r="A4545" s="4" t="str">
        <x:v>RS-02284-I4</x:v>
      </x:c>
      <x:c r="B4545" s="4" t="str">
        <x:v>RS-02284</x:v>
      </x:c>
      <x:c r="C4545" s="9" t="n">
        <x:v>4</x:v>
      </x:c>
      <x:c r="D4545" s="8" t="n">
        <x:v>45518</x:v>
      </x:c>
      <x:c r="E4545" s="9" t="n">
        <x:v>2514250</x:v>
      </x:c>
      <x:c r="F4545" s="9" t="n">
        <x:v>0</x:v>
      </x:c>
    </x:row>
    <x:row r="4546" ht="34" customHeight="1">
      <x:c r="A4546" s="4" t="str">
        <x:v>RS-02287-I1</x:v>
      </x:c>
      <x:c r="B4546" s="4" t="str">
        <x:v>RS-02287</x:v>
      </x:c>
      <x:c r="C4546" s="9" t="n">
        <x:v>1</x:v>
      </x:c>
      <x:c r="D4546" s="8" t="n">
        <x:v>45431</x:v>
      </x:c>
      <x:c r="E4546" s="9" t="n">
        <x:v>2679000</x:v>
      </x:c>
      <x:c r="F4546" s="9" t="n">
        <x:v>2679000</x:v>
      </x:c>
    </x:row>
    <x:row r="4547" ht="34" customHeight="1">
      <x:c r="A4547" s="4" t="str">
        <x:v>RS-02287-I2</x:v>
      </x:c>
      <x:c r="B4547" s="4" t="str">
        <x:v>RS-02287</x:v>
      </x:c>
      <x:c r="C4547" s="9" t="n">
        <x:v>2</x:v>
      </x:c>
      <x:c r="D4547" s="8" t="n">
        <x:v>45461</x:v>
      </x:c>
      <x:c r="E4547" s="9" t="n">
        <x:v>2679000</x:v>
      </x:c>
      <x:c r="F4547" s="9" t="n">
        <x:v>2679000</x:v>
      </x:c>
    </x:row>
    <x:row r="4548" ht="34" customHeight="1">
      <x:c r="A4548" s="4" t="str">
        <x:v>RS-02287-I3</x:v>
      </x:c>
      <x:c r="B4548" s="4" t="str">
        <x:v>RS-02287</x:v>
      </x:c>
      <x:c r="C4548" s="9" t="n">
        <x:v>3</x:v>
      </x:c>
      <x:c r="D4548" s="8" t="n">
        <x:v>45491</x:v>
      </x:c>
      <x:c r="E4548" s="9" t="n">
        <x:v>2679000</x:v>
      </x:c>
      <x:c r="F4548" s="9" t="n">
        <x:v>0</x:v>
      </x:c>
    </x:row>
    <x:row r="4549" ht="34" customHeight="1">
      <x:c r="A4549" s="4" t="str">
        <x:v>RS-02287-I4</x:v>
      </x:c>
      <x:c r="B4549" s="4" t="str">
        <x:v>RS-02287</x:v>
      </x:c>
      <x:c r="C4549" s="9" t="n">
        <x:v>4</x:v>
      </x:c>
      <x:c r="D4549" s="8" t="n">
        <x:v>45521</x:v>
      </x:c>
      <x:c r="E4549" s="9" t="n">
        <x:v>2679000</x:v>
      </x:c>
      <x:c r="F4549" s="9" t="n">
        <x:v>0</x:v>
      </x:c>
    </x:row>
    <x:row r="4550" ht="34" customHeight="1">
      <x:c r="A4550" s="4" t="str">
        <x:v>RS-02288-I1</x:v>
      </x:c>
      <x:c r="B4550" s="4" t="str">
        <x:v>RS-02288</x:v>
      </x:c>
      <x:c r="C4550" s="9" t="n">
        <x:v>1</x:v>
      </x:c>
      <x:c r="D4550" s="8" t="n">
        <x:v>45432</x:v>
      </x:c>
      <x:c r="E4550" s="9" t="n">
        <x:v>3138750</x:v>
      </x:c>
      <x:c r="F4550" s="9" t="n">
        <x:v>3138750</x:v>
      </x:c>
    </x:row>
    <x:row r="4551" ht="34" customHeight="1">
      <x:c r="A4551" s="4" t="str">
        <x:v>RS-02288-I2</x:v>
      </x:c>
      <x:c r="B4551" s="4" t="str">
        <x:v>RS-02288</x:v>
      </x:c>
      <x:c r="C4551" s="9" t="n">
        <x:v>2</x:v>
      </x:c>
      <x:c r="D4551" s="8" t="n">
        <x:v>45462</x:v>
      </x:c>
      <x:c r="E4551" s="9" t="n">
        <x:v>3138750</x:v>
      </x:c>
      <x:c r="F4551" s="9" t="n">
        <x:v>3138750</x:v>
      </x:c>
    </x:row>
    <x:row r="4552" ht="34" customHeight="1">
      <x:c r="A4552" s="4" t="str">
        <x:v>RS-02288-I3</x:v>
      </x:c>
      <x:c r="B4552" s="4" t="str">
        <x:v>RS-02288</x:v>
      </x:c>
      <x:c r="C4552" s="9" t="n">
        <x:v>3</x:v>
      </x:c>
      <x:c r="D4552" s="8" t="n">
        <x:v>45492</x:v>
      </x:c>
      <x:c r="E4552" s="9" t="n">
        <x:v>3138750</x:v>
      </x:c>
      <x:c r="F4552" s="9" t="n">
        <x:v>3138750</x:v>
      </x:c>
    </x:row>
    <x:row r="4553" ht="34" customHeight="1">
      <x:c r="A4553" s="4" t="str">
        <x:v>RS-02288-I4</x:v>
      </x:c>
      <x:c r="B4553" s="4" t="str">
        <x:v>RS-02288</x:v>
      </x:c>
      <x:c r="C4553" s="9" t="n">
        <x:v>4</x:v>
      </x:c>
      <x:c r="D4553" s="8" t="n">
        <x:v>45522</x:v>
      </x:c>
      <x:c r="E4553" s="9" t="n">
        <x:v>3138750</x:v>
      </x:c>
      <x:c r="F4553" s="9" t="n">
        <x:v>3138750</x:v>
      </x:c>
    </x:row>
    <x:row r="4554" ht="34" customHeight="1">
      <x:c r="A4554" s="4" t="str">
        <x:v>RS-02289-I1</x:v>
      </x:c>
      <x:c r="B4554" s="4" t="str">
        <x:v>RS-02289</x:v>
      </x:c>
      <x:c r="C4554" s="9" t="n">
        <x:v>1</x:v>
      </x:c>
      <x:c r="D4554" s="8" t="n">
        <x:v>45433</x:v>
      </x:c>
      <x:c r="E4554" s="9" t="n">
        <x:v>5073000</x:v>
      </x:c>
      <x:c r="F4554" s="9" t="n">
        <x:v>2029200</x:v>
      </x:c>
    </x:row>
    <x:row r="4555" ht="34" customHeight="1">
      <x:c r="A4555" s="4" t="str">
        <x:v>RS-02289-I2</x:v>
      </x:c>
      <x:c r="B4555" s="4" t="str">
        <x:v>RS-02289</x:v>
      </x:c>
      <x:c r="C4555" s="9" t="n">
        <x:v>2</x:v>
      </x:c>
      <x:c r="D4555" s="8" t="n">
        <x:v>45463</x:v>
      </x:c>
      <x:c r="E4555" s="9" t="n">
        <x:v>5073000</x:v>
      </x:c>
      <x:c r="F4555" s="9" t="n">
        <x:v>0</x:v>
      </x:c>
    </x:row>
    <x:row r="4556" ht="34" customHeight="1">
      <x:c r="A4556" s="4" t="str">
        <x:v>RS-02289-I3</x:v>
      </x:c>
      <x:c r="B4556" s="4" t="str">
        <x:v>RS-02289</x:v>
      </x:c>
      <x:c r="C4556" s="9" t="n">
        <x:v>3</x:v>
      </x:c>
      <x:c r="D4556" s="8" t="n">
        <x:v>45493</x:v>
      </x:c>
      <x:c r="E4556" s="9" t="n">
        <x:v>5073000</x:v>
      </x:c>
      <x:c r="F4556" s="9" t="n">
        <x:v>0</x:v>
      </x:c>
    </x:row>
    <x:row r="4557" ht="34" customHeight="1">
      <x:c r="A4557" s="4" t="str">
        <x:v>RS-02289-I4</x:v>
      </x:c>
      <x:c r="B4557" s="4" t="str">
        <x:v>RS-02289</x:v>
      </x:c>
      <x:c r="C4557" s="9" t="n">
        <x:v>4</x:v>
      </x:c>
      <x:c r="D4557" s="8" t="n">
        <x:v>45523</x:v>
      </x:c>
      <x:c r="E4557" s="9" t="n">
        <x:v>5073000</x:v>
      </x:c>
      <x:c r="F4557" s="9" t="n">
        <x:v>0</x:v>
      </x:c>
    </x:row>
    <x:row r="4558" ht="34" customHeight="1">
      <x:c r="A4558" s="4" t="str">
        <x:v>RS-02291-I1</x:v>
      </x:c>
      <x:c r="B4558" s="4" t="str">
        <x:v>RS-02291</x:v>
      </x:c>
      <x:c r="C4558" s="9" t="n">
        <x:v>1</x:v>
      </x:c>
      <x:c r="D4558" s="8" t="n">
        <x:v>45435</x:v>
      </x:c>
      <x:c r="E4558" s="9" t="n">
        <x:v>4845750</x:v>
      </x:c>
      <x:c r="F4558" s="9" t="n">
        <x:v>4845750</x:v>
      </x:c>
    </x:row>
    <x:row r="4559" ht="34" customHeight="1">
      <x:c r="A4559" s="4" t="str">
        <x:v>RS-02291-I2</x:v>
      </x:c>
      <x:c r="B4559" s="4" t="str">
        <x:v>RS-02291</x:v>
      </x:c>
      <x:c r="C4559" s="9" t="n">
        <x:v>2</x:v>
      </x:c>
      <x:c r="D4559" s="8" t="n">
        <x:v>45465</x:v>
      </x:c>
      <x:c r="E4559" s="9" t="n">
        <x:v>4845750</x:v>
      </x:c>
      <x:c r="F4559" s="9" t="n">
        <x:v>0</x:v>
      </x:c>
    </x:row>
    <x:row r="4560" ht="34" customHeight="1">
      <x:c r="A4560" s="4" t="str">
        <x:v>RS-02291-I3</x:v>
      </x:c>
      <x:c r="B4560" s="4" t="str">
        <x:v>RS-02291</x:v>
      </x:c>
      <x:c r="C4560" s="9" t="n">
        <x:v>3</x:v>
      </x:c>
      <x:c r="D4560" s="8" t="n">
        <x:v>45495</x:v>
      </x:c>
      <x:c r="E4560" s="9" t="n">
        <x:v>4845750</x:v>
      </x:c>
      <x:c r="F4560" s="9" t="n">
        <x:v>0</x:v>
      </x:c>
    </x:row>
    <x:row r="4561" ht="34" customHeight="1">
      <x:c r="A4561" s="4" t="str">
        <x:v>RS-02291-I4</x:v>
      </x:c>
      <x:c r="B4561" s="4" t="str">
        <x:v>RS-02291</x:v>
      </x:c>
      <x:c r="C4561" s="9" t="n">
        <x:v>4</x:v>
      </x:c>
      <x:c r="D4561" s="8" t="n">
        <x:v>45525</x:v>
      </x:c>
      <x:c r="E4561" s="9" t="n">
        <x:v>4845750</x:v>
      </x:c>
      <x:c r="F4561" s="9" t="n">
        <x:v>0</x:v>
      </x:c>
    </x:row>
    <x:row r="4562" ht="34" customHeight="1">
      <x:c r="A4562" s="4" t="str">
        <x:v>RS-02292-I1</x:v>
      </x:c>
      <x:c r="B4562" s="4" t="str">
        <x:v>RS-02292</x:v>
      </x:c>
      <x:c r="C4562" s="9" t="n">
        <x:v>1</x:v>
      </x:c>
      <x:c r="D4562" s="8" t="n">
        <x:v>45436</x:v>
      </x:c>
      <x:c r="E4562" s="9" t="n">
        <x:v>5681000</x:v>
      </x:c>
      <x:c r="F4562" s="9" t="n">
        <x:v>5681000</x:v>
      </x:c>
    </x:row>
    <x:row r="4563" ht="34" customHeight="1">
      <x:c r="A4563" s="4" t="str">
        <x:v>RS-02292-I2</x:v>
      </x:c>
      <x:c r="B4563" s="4" t="str">
        <x:v>RS-02292</x:v>
      </x:c>
      <x:c r="C4563" s="9" t="n">
        <x:v>2</x:v>
      </x:c>
      <x:c r="D4563" s="8" t="n">
        <x:v>45466</x:v>
      </x:c>
      <x:c r="E4563" s="9" t="n">
        <x:v>5681000</x:v>
      </x:c>
      <x:c r="F4563" s="9" t="n">
        <x:v>5681000</x:v>
      </x:c>
    </x:row>
    <x:row r="4564" ht="34" customHeight="1">
      <x:c r="A4564" s="4" t="str">
        <x:v>RS-02292-I3</x:v>
      </x:c>
      <x:c r="B4564" s="4" t="str">
        <x:v>RS-02292</x:v>
      </x:c>
      <x:c r="C4564" s="9" t="n">
        <x:v>3</x:v>
      </x:c>
      <x:c r="D4564" s="8" t="n">
        <x:v>45496</x:v>
      </x:c>
      <x:c r="E4564" s="9" t="n">
        <x:v>5681000</x:v>
      </x:c>
      <x:c r="F4564" s="9" t="n">
        <x:v>5681000</x:v>
      </x:c>
    </x:row>
    <x:row r="4565" ht="34" customHeight="1">
      <x:c r="A4565" s="4" t="str">
        <x:v>RS-02292-I4</x:v>
      </x:c>
      <x:c r="B4565" s="4" t="str">
        <x:v>RS-02292</x:v>
      </x:c>
      <x:c r="C4565" s="9" t="n">
        <x:v>4</x:v>
      </x:c>
      <x:c r="D4565" s="8" t="n">
        <x:v>45526</x:v>
      </x:c>
      <x:c r="E4565" s="9" t="n">
        <x:v>5681000</x:v>
      </x:c>
      <x:c r="F4565" s="9" t="n">
        <x:v>5681000</x:v>
      </x:c>
    </x:row>
    <x:row r="4566" ht="34" customHeight="1">
      <x:c r="A4566" s="4" t="str">
        <x:v>RS-02295-I1</x:v>
      </x:c>
      <x:c r="B4566" s="4" t="str">
        <x:v>RS-02295</x:v>
      </x:c>
      <x:c r="C4566" s="9" t="n">
        <x:v>1</x:v>
      </x:c>
      <x:c r="D4566" s="8" t="n">
        <x:v>45439</x:v>
      </x:c>
      <x:c r="E4566" s="9" t="n">
        <x:v>1183000</x:v>
      </x:c>
      <x:c r="F4566" s="9" t="n">
        <x:v>1183000</x:v>
      </x:c>
    </x:row>
    <x:row r="4567" ht="34" customHeight="1">
      <x:c r="A4567" s="4" t="str">
        <x:v>RS-02295-I2</x:v>
      </x:c>
      <x:c r="B4567" s="4" t="str">
        <x:v>RS-02295</x:v>
      </x:c>
      <x:c r="C4567" s="9" t="n">
        <x:v>2</x:v>
      </x:c>
      <x:c r="D4567" s="8" t="n">
        <x:v>45469</x:v>
      </x:c>
      <x:c r="E4567" s="9" t="n">
        <x:v>1183000</x:v>
      </x:c>
      <x:c r="F4567" s="9" t="n">
        <x:v>0</x:v>
      </x:c>
    </x:row>
    <x:row r="4568" ht="34" customHeight="1">
      <x:c r="A4568" s="4" t="str">
        <x:v>RS-02295-I3</x:v>
      </x:c>
      <x:c r="B4568" s="4" t="str">
        <x:v>RS-02295</x:v>
      </x:c>
      <x:c r="C4568" s="9" t="n">
        <x:v>3</x:v>
      </x:c>
      <x:c r="D4568" s="8" t="n">
        <x:v>45499</x:v>
      </x:c>
      <x:c r="E4568" s="9" t="n">
        <x:v>1183000</x:v>
      </x:c>
      <x:c r="F4568" s="9" t="n">
        <x:v>0</x:v>
      </x:c>
    </x:row>
    <x:row r="4569" ht="34" customHeight="1">
      <x:c r="A4569" s="4" t="str">
        <x:v>RS-02295-I4</x:v>
      </x:c>
      <x:c r="B4569" s="4" t="str">
        <x:v>RS-02295</x:v>
      </x:c>
      <x:c r="C4569" s="9" t="n">
        <x:v>4</x:v>
      </x:c>
      <x:c r="D4569" s="8" t="n">
        <x:v>45529</x:v>
      </x:c>
      <x:c r="E4569" s="9" t="n">
        <x:v>1183000</x:v>
      </x:c>
      <x:c r="F4569" s="9" t="n">
        <x:v>0</x:v>
      </x:c>
    </x:row>
    <x:row r="4570" ht="34" customHeight="1">
      <x:c r="A4570" s="4" t="str">
        <x:v>RS-02297-I1</x:v>
      </x:c>
      <x:c r="B4570" s="4" t="str">
        <x:v>RS-02297</x:v>
      </x:c>
      <x:c r="C4570" s="9" t="n">
        <x:v>1</x:v>
      </x:c>
      <x:c r="D4570" s="8" t="n">
        <x:v>45413</x:v>
      </x:c>
      <x:c r="E4570" s="9" t="n">
        <x:v>4005000</x:v>
      </x:c>
      <x:c r="F4570" s="9" t="n">
        <x:v>4005000</x:v>
      </x:c>
    </x:row>
    <x:row r="4571" ht="34" customHeight="1">
      <x:c r="A4571" s="4" t="str">
        <x:v>RS-02297-I2</x:v>
      </x:c>
      <x:c r="B4571" s="4" t="str">
        <x:v>RS-02297</x:v>
      </x:c>
      <x:c r="C4571" s="9" t="n">
        <x:v>2</x:v>
      </x:c>
      <x:c r="D4571" s="8" t="n">
        <x:v>45443</x:v>
      </x:c>
      <x:c r="E4571" s="9" t="n">
        <x:v>4005000</x:v>
      </x:c>
      <x:c r="F4571" s="9" t="n">
        <x:v>4005000</x:v>
      </x:c>
    </x:row>
    <x:row r="4572" ht="34" customHeight="1">
      <x:c r="A4572" s="4" t="str">
        <x:v>RS-02297-I3</x:v>
      </x:c>
      <x:c r="B4572" s="4" t="str">
        <x:v>RS-02297</x:v>
      </x:c>
      <x:c r="C4572" s="9" t="n">
        <x:v>3</x:v>
      </x:c>
      <x:c r="D4572" s="8" t="n">
        <x:v>45473</x:v>
      </x:c>
      <x:c r="E4572" s="9" t="n">
        <x:v>4005000</x:v>
      </x:c>
      <x:c r="F4572" s="9" t="n">
        <x:v>4005000</x:v>
      </x:c>
    </x:row>
    <x:row r="4573" ht="34" customHeight="1">
      <x:c r="A4573" s="4" t="str">
        <x:v>RS-02297-I4</x:v>
      </x:c>
      <x:c r="B4573" s="4" t="str">
        <x:v>RS-02297</x:v>
      </x:c>
      <x:c r="C4573" s="9" t="n">
        <x:v>4</x:v>
      </x:c>
      <x:c r="D4573" s="8" t="n">
        <x:v>45503</x:v>
      </x:c>
      <x:c r="E4573" s="9" t="n">
        <x:v>4005000</x:v>
      </x:c>
      <x:c r="F4573" s="9" t="n">
        <x:v>4005000</x:v>
      </x:c>
    </x:row>
    <x:row r="4574" ht="34" customHeight="1">
      <x:c r="A4574" s="4" t="str">
        <x:v>RS-02301-I1</x:v>
      </x:c>
      <x:c r="B4574" s="4" t="str">
        <x:v>RS-02301</x:v>
      </x:c>
      <x:c r="C4574" s="9" t="n">
        <x:v>1</x:v>
      </x:c>
      <x:c r="D4574" s="8" t="n">
        <x:v>45417</x:v>
      </x:c>
      <x:c r="E4574" s="9" t="n">
        <x:v>5068500</x:v>
      </x:c>
      <x:c r="F4574" s="9" t="n">
        <x:v>5068500</x:v>
      </x:c>
    </x:row>
    <x:row r="4575" ht="34" customHeight="1">
      <x:c r="A4575" s="4" t="str">
        <x:v>RS-02301-I2</x:v>
      </x:c>
      <x:c r="B4575" s="4" t="str">
        <x:v>RS-02301</x:v>
      </x:c>
      <x:c r="C4575" s="9" t="n">
        <x:v>2</x:v>
      </x:c>
      <x:c r="D4575" s="8" t="n">
        <x:v>45447</x:v>
      </x:c>
      <x:c r="E4575" s="9" t="n">
        <x:v>5068500</x:v>
      </x:c>
      <x:c r="F4575" s="9" t="n">
        <x:v>5068500</x:v>
      </x:c>
    </x:row>
    <x:row r="4576" ht="34" customHeight="1">
      <x:c r="A4576" s="4" t="str">
        <x:v>RS-02301-I3</x:v>
      </x:c>
      <x:c r="B4576" s="4" t="str">
        <x:v>RS-02301</x:v>
      </x:c>
      <x:c r="C4576" s="9" t="n">
        <x:v>3</x:v>
      </x:c>
      <x:c r="D4576" s="8" t="n">
        <x:v>45477</x:v>
      </x:c>
      <x:c r="E4576" s="9" t="n">
        <x:v>5068500</x:v>
      </x:c>
      <x:c r="F4576" s="9" t="n">
        <x:v>5068500</x:v>
      </x:c>
    </x:row>
    <x:row r="4577" ht="34" customHeight="1">
      <x:c r="A4577" s="4" t="str">
        <x:v>RS-02301-I4</x:v>
      </x:c>
      <x:c r="B4577" s="4" t="str">
        <x:v>RS-02301</x:v>
      </x:c>
      <x:c r="C4577" s="9" t="n">
        <x:v>4</x:v>
      </x:c>
      <x:c r="D4577" s="8" t="n">
        <x:v>45507</x:v>
      </x:c>
      <x:c r="E4577" s="9" t="n">
        <x:v>5068500</x:v>
      </x:c>
      <x:c r="F4577" s="9" t="n">
        <x:v>5068500</x:v>
      </x:c>
    </x:row>
    <x:row r="4578" ht="34" customHeight="1">
      <x:c r="A4578" s="4" t="str">
        <x:v>RS-02303-I1</x:v>
      </x:c>
      <x:c r="B4578" s="4" t="str">
        <x:v>RS-02303</x:v>
      </x:c>
      <x:c r="C4578" s="9" t="n">
        <x:v>1</x:v>
      </x:c>
      <x:c r="D4578" s="8" t="n">
        <x:v>45419</x:v>
      </x:c>
      <x:c r="E4578" s="9" t="n">
        <x:v>1777500</x:v>
      </x:c>
      <x:c r="F4578" s="9" t="n">
        <x:v>1777500</x:v>
      </x:c>
    </x:row>
    <x:row r="4579" ht="34" customHeight="1">
      <x:c r="A4579" s="4" t="str">
        <x:v>RS-02303-I2</x:v>
      </x:c>
      <x:c r="B4579" s="4" t="str">
        <x:v>RS-02303</x:v>
      </x:c>
      <x:c r="C4579" s="9" t="n">
        <x:v>2</x:v>
      </x:c>
      <x:c r="D4579" s="8" t="n">
        <x:v>45449</x:v>
      </x:c>
      <x:c r="E4579" s="9" t="n">
        <x:v>1777500</x:v>
      </x:c>
      <x:c r="F4579" s="9" t="n">
        <x:v>1777500</x:v>
      </x:c>
    </x:row>
    <x:row r="4580" ht="34" customHeight="1">
      <x:c r="A4580" s="4" t="str">
        <x:v>RS-02303-I3</x:v>
      </x:c>
      <x:c r="B4580" s="4" t="str">
        <x:v>RS-02303</x:v>
      </x:c>
      <x:c r="C4580" s="9" t="n">
        <x:v>3</x:v>
      </x:c>
      <x:c r="D4580" s="8" t="n">
        <x:v>45479</x:v>
      </x:c>
      <x:c r="E4580" s="9" t="n">
        <x:v>1777500</x:v>
      </x:c>
      <x:c r="F4580" s="9" t="n">
        <x:v>1777500</x:v>
      </x:c>
    </x:row>
    <x:row r="4581" ht="34" customHeight="1">
      <x:c r="A4581" s="4" t="str">
        <x:v>RS-02303-I4</x:v>
      </x:c>
      <x:c r="B4581" s="4" t="str">
        <x:v>RS-02303</x:v>
      </x:c>
      <x:c r="C4581" s="9" t="n">
        <x:v>4</x:v>
      </x:c>
      <x:c r="D4581" s="8" t="n">
        <x:v>45509</x:v>
      </x:c>
      <x:c r="E4581" s="9" t="n">
        <x:v>1777500</x:v>
      </x:c>
      <x:c r="F4581" s="9" t="n">
        <x:v>1777500</x:v>
      </x:c>
    </x:row>
    <x:row r="4582" ht="34" customHeight="1">
      <x:c r="A4582" s="4" t="str">
        <x:v>RS-02308-I1</x:v>
      </x:c>
      <x:c r="B4582" s="4" t="str">
        <x:v>RS-02308</x:v>
      </x:c>
      <x:c r="C4582" s="9" t="n">
        <x:v>1</x:v>
      </x:c>
      <x:c r="D4582" s="8" t="n">
        <x:v>45424</x:v>
      </x:c>
      <x:c r="E4582" s="9" t="n">
        <x:v>1912500</x:v>
      </x:c>
      <x:c r="F4582" s="9" t="n">
        <x:v>1912500</x:v>
      </x:c>
    </x:row>
    <x:row r="4583" ht="34" customHeight="1">
      <x:c r="A4583" s="4" t="str">
        <x:v>RS-02308-I2</x:v>
      </x:c>
      <x:c r="B4583" s="4" t="str">
        <x:v>RS-02308</x:v>
      </x:c>
      <x:c r="C4583" s="9" t="n">
        <x:v>2</x:v>
      </x:c>
      <x:c r="D4583" s="8" t="n">
        <x:v>45454</x:v>
      </x:c>
      <x:c r="E4583" s="9" t="n">
        <x:v>1912500</x:v>
      </x:c>
      <x:c r="F4583" s="9" t="n">
        <x:v>1912500</x:v>
      </x:c>
    </x:row>
    <x:row r="4584" ht="34" customHeight="1">
      <x:c r="A4584" s="4" t="str">
        <x:v>RS-02308-I3</x:v>
      </x:c>
      <x:c r="B4584" s="4" t="str">
        <x:v>RS-02308</x:v>
      </x:c>
      <x:c r="C4584" s="9" t="n">
        <x:v>3</x:v>
      </x:c>
      <x:c r="D4584" s="8" t="n">
        <x:v>45484</x:v>
      </x:c>
      <x:c r="E4584" s="9" t="n">
        <x:v>1912500</x:v>
      </x:c>
      <x:c r="F4584" s="9" t="n">
        <x:v>1912500</x:v>
      </x:c>
    </x:row>
    <x:row r="4585" ht="34" customHeight="1">
      <x:c r="A4585" s="4" t="str">
        <x:v>RS-02308-I4</x:v>
      </x:c>
      <x:c r="B4585" s="4" t="str">
        <x:v>RS-02308</x:v>
      </x:c>
      <x:c r="C4585" s="9" t="n">
        <x:v>4</x:v>
      </x:c>
      <x:c r="D4585" s="8" t="n">
        <x:v>45514</x:v>
      </x:c>
      <x:c r="E4585" s="9" t="n">
        <x:v>1912500</x:v>
      </x:c>
      <x:c r="F4585" s="9" t="n">
        <x:v>1912500</x:v>
      </x:c>
    </x:row>
    <x:row r="4586" ht="34" customHeight="1">
      <x:c r="A4586" s="4" t="str">
        <x:v>RS-02310-I1</x:v>
      </x:c>
      <x:c r="B4586" s="4" t="str">
        <x:v>RS-02310</x:v>
      </x:c>
      <x:c r="C4586" s="9" t="n">
        <x:v>1</x:v>
      </x:c>
      <x:c r="D4586" s="8" t="n">
        <x:v>45426</x:v>
      </x:c>
      <x:c r="E4586" s="9" t="n">
        <x:v>4346250</x:v>
      </x:c>
      <x:c r="F4586" s="9" t="n">
        <x:v>4346250</x:v>
      </x:c>
    </x:row>
    <x:row r="4587" ht="34" customHeight="1">
      <x:c r="A4587" s="4" t="str">
        <x:v>RS-02310-I2</x:v>
      </x:c>
      <x:c r="B4587" s="4" t="str">
        <x:v>RS-02310</x:v>
      </x:c>
      <x:c r="C4587" s="9" t="n">
        <x:v>2</x:v>
      </x:c>
      <x:c r="D4587" s="8" t="n">
        <x:v>45456</x:v>
      </x:c>
      <x:c r="E4587" s="9" t="n">
        <x:v>4346250</x:v>
      </x:c>
      <x:c r="F4587" s="9" t="n">
        <x:v>4346250</x:v>
      </x:c>
    </x:row>
    <x:row r="4588" ht="34" customHeight="1">
      <x:c r="A4588" s="4" t="str">
        <x:v>RS-02310-I3</x:v>
      </x:c>
      <x:c r="B4588" s="4" t="str">
        <x:v>RS-02310</x:v>
      </x:c>
      <x:c r="C4588" s="9" t="n">
        <x:v>3</x:v>
      </x:c>
      <x:c r="D4588" s="8" t="n">
        <x:v>45486</x:v>
      </x:c>
      <x:c r="E4588" s="9" t="n">
        <x:v>4346250</x:v>
      </x:c>
      <x:c r="F4588" s="9" t="n">
        <x:v>4346250</x:v>
      </x:c>
    </x:row>
    <x:row r="4589" ht="34" customHeight="1">
      <x:c r="A4589" s="4" t="str">
        <x:v>RS-02310-I4</x:v>
      </x:c>
      <x:c r="B4589" s="4" t="str">
        <x:v>RS-02310</x:v>
      </x:c>
      <x:c r="C4589" s="9" t="n">
        <x:v>4</x:v>
      </x:c>
      <x:c r="D4589" s="8" t="n">
        <x:v>45516</x:v>
      </x:c>
      <x:c r="E4589" s="9" t="n">
        <x:v>4346250</x:v>
      </x:c>
      <x:c r="F4589" s="9" t="n">
        <x:v>4346250</x:v>
      </x:c>
    </x:row>
    <x:row r="4590" ht="34" customHeight="1">
      <x:c r="A4590" s="4" t="str">
        <x:v>RS-02312-I1</x:v>
      </x:c>
      <x:c r="B4590" s="4" t="str">
        <x:v>RS-02312</x:v>
      </x:c>
      <x:c r="C4590" s="9" t="n">
        <x:v>1</x:v>
      </x:c>
      <x:c r="D4590" s="8" t="n">
        <x:v>45428</x:v>
      </x:c>
      <x:c r="E4590" s="9" t="n">
        <x:v>5415000</x:v>
      </x:c>
      <x:c r="F4590" s="9" t="n">
        <x:v>5415000</x:v>
      </x:c>
    </x:row>
    <x:row r="4591" ht="34" customHeight="1">
      <x:c r="A4591" s="4" t="str">
        <x:v>RS-02312-I2</x:v>
      </x:c>
      <x:c r="B4591" s="4" t="str">
        <x:v>RS-02312</x:v>
      </x:c>
      <x:c r="C4591" s="9" t="n">
        <x:v>2</x:v>
      </x:c>
      <x:c r="D4591" s="8" t="n">
        <x:v>45458</x:v>
      </x:c>
      <x:c r="E4591" s="9" t="n">
        <x:v>5415000</x:v>
      </x:c>
      <x:c r="F4591" s="9" t="n">
        <x:v>5415000</x:v>
      </x:c>
    </x:row>
    <x:row r="4592" ht="34" customHeight="1">
      <x:c r="A4592" s="4" t="str">
        <x:v>RS-02312-I3</x:v>
      </x:c>
      <x:c r="B4592" s="4" t="str">
        <x:v>RS-02312</x:v>
      </x:c>
      <x:c r="C4592" s="9" t="n">
        <x:v>3</x:v>
      </x:c>
      <x:c r="D4592" s="8" t="n">
        <x:v>45488</x:v>
      </x:c>
      <x:c r="E4592" s="9" t="n">
        <x:v>5415000</x:v>
      </x:c>
      <x:c r="F4592" s="9" t="n">
        <x:v>0</x:v>
      </x:c>
    </x:row>
    <x:row r="4593" ht="34" customHeight="1">
      <x:c r="A4593" s="4" t="str">
        <x:v>RS-02312-I4</x:v>
      </x:c>
      <x:c r="B4593" s="4" t="str">
        <x:v>RS-02312</x:v>
      </x:c>
      <x:c r="C4593" s="9" t="n">
        <x:v>4</x:v>
      </x:c>
      <x:c r="D4593" s="8" t="n">
        <x:v>45518</x:v>
      </x:c>
      <x:c r="E4593" s="9" t="n">
        <x:v>5415000</x:v>
      </x:c>
      <x:c r="F4593" s="9" t="n">
        <x:v>0</x:v>
      </x:c>
    </x:row>
    <x:row r="4594" ht="34" customHeight="1">
      <x:c r="A4594" s="4" t="str">
        <x:v>RS-02317-I1</x:v>
      </x:c>
      <x:c r="B4594" s="4" t="str">
        <x:v>RS-02317</x:v>
      </x:c>
      <x:c r="C4594" s="9" t="n">
        <x:v>1</x:v>
      </x:c>
      <x:c r="D4594" s="8" t="n">
        <x:v>45433</x:v>
      </x:c>
      <x:c r="E4594" s="9" t="n">
        <x:v>4156250</x:v>
      </x:c>
      <x:c r="F4594" s="9" t="n">
        <x:v>4156250</x:v>
      </x:c>
    </x:row>
    <x:row r="4595" ht="34" customHeight="1">
      <x:c r="A4595" s="4" t="str">
        <x:v>RS-02317-I2</x:v>
      </x:c>
      <x:c r="B4595" s="4" t="str">
        <x:v>RS-02317</x:v>
      </x:c>
      <x:c r="C4595" s="9" t="n">
        <x:v>2</x:v>
      </x:c>
      <x:c r="D4595" s="8" t="n">
        <x:v>45463</x:v>
      </x:c>
      <x:c r="E4595" s="9" t="n">
        <x:v>4156250</x:v>
      </x:c>
      <x:c r="F4595" s="9" t="n">
        <x:v>4156250</x:v>
      </x:c>
    </x:row>
    <x:row r="4596" ht="34" customHeight="1">
      <x:c r="A4596" s="4" t="str">
        <x:v>RS-02317-I3</x:v>
      </x:c>
      <x:c r="B4596" s="4" t="str">
        <x:v>RS-02317</x:v>
      </x:c>
      <x:c r="C4596" s="9" t="n">
        <x:v>3</x:v>
      </x:c>
      <x:c r="D4596" s="8" t="n">
        <x:v>45493</x:v>
      </x:c>
      <x:c r="E4596" s="9" t="n">
        <x:v>4156250</x:v>
      </x:c>
      <x:c r="F4596" s="9" t="n">
        <x:v>4156250</x:v>
      </x:c>
    </x:row>
    <x:row r="4597" ht="34" customHeight="1">
      <x:c r="A4597" s="4" t="str">
        <x:v>RS-02317-I4</x:v>
      </x:c>
      <x:c r="B4597" s="4" t="str">
        <x:v>RS-02317</x:v>
      </x:c>
      <x:c r="C4597" s="9" t="n">
        <x:v>4</x:v>
      </x:c>
      <x:c r="D4597" s="8" t="n">
        <x:v>45523</x:v>
      </x:c>
      <x:c r="E4597" s="9" t="n">
        <x:v>4156250</x:v>
      </x:c>
      <x:c r="F4597" s="9" t="n">
        <x:v>4156250</x:v>
      </x:c>
    </x:row>
    <x:row r="4598" ht="34" customHeight="1">
      <x:c r="A4598" s="4" t="str">
        <x:v>RS-02318-I1</x:v>
      </x:c>
      <x:c r="B4598" s="4" t="str">
        <x:v>RS-02318</x:v>
      </x:c>
      <x:c r="C4598" s="9" t="n">
        <x:v>1</x:v>
      </x:c>
      <x:c r="D4598" s="8" t="n">
        <x:v>45434</x:v>
      </x:c>
      <x:c r="E4598" s="9" t="n">
        <x:v>1265000</x:v>
      </x:c>
      <x:c r="F4598" s="9" t="n">
        <x:v>1265000</x:v>
      </x:c>
    </x:row>
    <x:row r="4599" ht="34" customHeight="1">
      <x:c r="A4599" s="4" t="str">
        <x:v>RS-02318-I2</x:v>
      </x:c>
      <x:c r="B4599" s="4" t="str">
        <x:v>RS-02318</x:v>
      </x:c>
      <x:c r="C4599" s="9" t="n">
        <x:v>2</x:v>
      </x:c>
      <x:c r="D4599" s="8" t="n">
        <x:v>45464</x:v>
      </x:c>
      <x:c r="E4599" s="9" t="n">
        <x:v>1265000</x:v>
      </x:c>
      <x:c r="F4599" s="9" t="n">
        <x:v>1265000</x:v>
      </x:c>
    </x:row>
    <x:row r="4600" ht="34" customHeight="1">
      <x:c r="A4600" s="4" t="str">
        <x:v>RS-02318-I3</x:v>
      </x:c>
      <x:c r="B4600" s="4" t="str">
        <x:v>RS-02318</x:v>
      </x:c>
      <x:c r="C4600" s="9" t="n">
        <x:v>3</x:v>
      </x:c>
      <x:c r="D4600" s="8" t="n">
        <x:v>45494</x:v>
      </x:c>
      <x:c r="E4600" s="9" t="n">
        <x:v>1265000</x:v>
      </x:c>
      <x:c r="F4600" s="9" t="n">
        <x:v>0</x:v>
      </x:c>
    </x:row>
    <x:row r="4601" ht="34" customHeight="1">
      <x:c r="A4601" s="4" t="str">
        <x:v>RS-02318-I4</x:v>
      </x:c>
      <x:c r="B4601" s="4" t="str">
        <x:v>RS-02318</x:v>
      </x:c>
      <x:c r="C4601" s="9" t="n">
        <x:v>4</x:v>
      </x:c>
      <x:c r="D4601" s="8" t="n">
        <x:v>45524</x:v>
      </x:c>
      <x:c r="E4601" s="9" t="n">
        <x:v>1265000</x:v>
      </x:c>
      <x:c r="F4601" s="9" t="n">
        <x:v>0</x:v>
      </x:c>
    </x:row>
    <x:row r="4602" ht="34" customHeight="1">
      <x:c r="A4602" s="4" t="str">
        <x:v>RS-02319-I1</x:v>
      </x:c>
      <x:c r="B4602" s="4" t="str">
        <x:v>RS-02319</x:v>
      </x:c>
      <x:c r="C4602" s="9" t="n">
        <x:v>1</x:v>
      </x:c>
      <x:c r="D4602" s="8" t="n">
        <x:v>45435</x:v>
      </x:c>
      <x:c r="E4602" s="9" t="n">
        <x:v>3115500</x:v>
      </x:c>
      <x:c r="F4602" s="9" t="n">
        <x:v>3115500</x:v>
      </x:c>
    </x:row>
    <x:row r="4603" ht="34" customHeight="1">
      <x:c r="A4603" s="4" t="str">
        <x:v>RS-02319-I2</x:v>
      </x:c>
      <x:c r="B4603" s="4" t="str">
        <x:v>RS-02319</x:v>
      </x:c>
      <x:c r="C4603" s="9" t="n">
        <x:v>2</x:v>
      </x:c>
      <x:c r="D4603" s="8" t="n">
        <x:v>45465</x:v>
      </x:c>
      <x:c r="E4603" s="9" t="n">
        <x:v>3115500</x:v>
      </x:c>
      <x:c r="F4603" s="9" t="n">
        <x:v>0</x:v>
      </x:c>
    </x:row>
    <x:row r="4604" ht="34" customHeight="1">
      <x:c r="A4604" s="4" t="str">
        <x:v>RS-02319-I3</x:v>
      </x:c>
      <x:c r="B4604" s="4" t="str">
        <x:v>RS-02319</x:v>
      </x:c>
      <x:c r="C4604" s="9" t="n">
        <x:v>3</x:v>
      </x:c>
      <x:c r="D4604" s="8" t="n">
        <x:v>45495</x:v>
      </x:c>
      <x:c r="E4604" s="9" t="n">
        <x:v>3115500</x:v>
      </x:c>
      <x:c r="F4604" s="9" t="n">
        <x:v>0</x:v>
      </x:c>
    </x:row>
    <x:row r="4605" ht="34" customHeight="1">
      <x:c r="A4605" s="4" t="str">
        <x:v>RS-02319-I4</x:v>
      </x:c>
      <x:c r="B4605" s="4" t="str">
        <x:v>RS-02319</x:v>
      </x:c>
      <x:c r="C4605" s="9" t="n">
        <x:v>4</x:v>
      </x:c>
      <x:c r="D4605" s="8" t="n">
        <x:v>45525</x:v>
      </x:c>
      <x:c r="E4605" s="9" t="n">
        <x:v>3115500</x:v>
      </x:c>
      <x:c r="F4605" s="9" t="n">
        <x:v>0</x:v>
      </x:c>
    </x:row>
    <x:row r="4606" ht="34" customHeight="1">
      <x:c r="A4606" s="4" t="str">
        <x:v>RS-02321-I1</x:v>
      </x:c>
      <x:c r="B4606" s="4" t="str">
        <x:v>RS-02321</x:v>
      </x:c>
      <x:c r="C4606" s="9" t="n">
        <x:v>1</x:v>
      </x:c>
      <x:c r="D4606" s="8" t="n">
        <x:v>45437</x:v>
      </x:c>
      <x:c r="E4606" s="9" t="n">
        <x:v>4004000</x:v>
      </x:c>
      <x:c r="F4606" s="9" t="n">
        <x:v>4004000</x:v>
      </x:c>
    </x:row>
    <x:row r="4607" ht="34" customHeight="1">
      <x:c r="A4607" s="4" t="str">
        <x:v>RS-02321-I2</x:v>
      </x:c>
      <x:c r="B4607" s="4" t="str">
        <x:v>RS-02321</x:v>
      </x:c>
      <x:c r="C4607" s="9" t="n">
        <x:v>2</x:v>
      </x:c>
      <x:c r="D4607" s="8" t="n">
        <x:v>45467</x:v>
      </x:c>
      <x:c r="E4607" s="9" t="n">
        <x:v>4004000</x:v>
      </x:c>
      <x:c r="F4607" s="9" t="n">
        <x:v>0</x:v>
      </x:c>
    </x:row>
    <x:row r="4608" ht="34" customHeight="1">
      <x:c r="A4608" s="4" t="str">
        <x:v>RS-02321-I3</x:v>
      </x:c>
      <x:c r="B4608" s="4" t="str">
        <x:v>RS-02321</x:v>
      </x:c>
      <x:c r="C4608" s="9" t="n">
        <x:v>3</x:v>
      </x:c>
      <x:c r="D4608" s="8" t="n">
        <x:v>45497</x:v>
      </x:c>
      <x:c r="E4608" s="9" t="n">
        <x:v>4004000</x:v>
      </x:c>
      <x:c r="F4608" s="9" t="n">
        <x:v>0</x:v>
      </x:c>
    </x:row>
    <x:row r="4609" ht="34" customHeight="1">
      <x:c r="A4609" s="4" t="str">
        <x:v>RS-02321-I4</x:v>
      </x:c>
      <x:c r="B4609" s="4" t="str">
        <x:v>RS-02321</x:v>
      </x:c>
      <x:c r="C4609" s="9" t="n">
        <x:v>4</x:v>
      </x:c>
      <x:c r="D4609" s="8" t="n">
        <x:v>45527</x:v>
      </x:c>
      <x:c r="E4609" s="9" t="n">
        <x:v>4004000</x:v>
      </x:c>
      <x:c r="F4609" s="9" t="n">
        <x:v>0</x:v>
      </x:c>
    </x:row>
    <x:row r="4610" ht="34" customHeight="1">
      <x:c r="A4610" s="4" t="str">
        <x:v>RS-02322-I1</x:v>
      </x:c>
      <x:c r="B4610" s="4" t="str">
        <x:v>RS-02322</x:v>
      </x:c>
      <x:c r="C4610" s="9" t="n">
        <x:v>1</x:v>
      </x:c>
      <x:c r="D4610" s="8" t="n">
        <x:v>45438</x:v>
      </x:c>
      <x:c r="E4610" s="9" t="n">
        <x:v>6014000</x:v>
      </x:c>
      <x:c r="F4610" s="9" t="n">
        <x:v>2405600</x:v>
      </x:c>
    </x:row>
    <x:row r="4611" ht="34" customHeight="1">
      <x:c r="A4611" s="4" t="str">
        <x:v>RS-02322-I2</x:v>
      </x:c>
      <x:c r="B4611" s="4" t="str">
        <x:v>RS-02322</x:v>
      </x:c>
      <x:c r="C4611" s="9" t="n">
        <x:v>2</x:v>
      </x:c>
      <x:c r="D4611" s="8" t="n">
        <x:v>45468</x:v>
      </x:c>
      <x:c r="E4611" s="9" t="n">
        <x:v>6014000</x:v>
      </x:c>
      <x:c r="F4611" s="9" t="n">
        <x:v>0</x:v>
      </x:c>
    </x:row>
    <x:row r="4612" ht="34" customHeight="1">
      <x:c r="A4612" s="4" t="str">
        <x:v>RS-02322-I3</x:v>
      </x:c>
      <x:c r="B4612" s="4" t="str">
        <x:v>RS-02322</x:v>
      </x:c>
      <x:c r="C4612" s="9" t="n">
        <x:v>3</x:v>
      </x:c>
      <x:c r="D4612" s="8" t="n">
        <x:v>45498</x:v>
      </x:c>
      <x:c r="E4612" s="9" t="n">
        <x:v>6014000</x:v>
      </x:c>
      <x:c r="F4612" s="9" t="n">
        <x:v>0</x:v>
      </x:c>
    </x:row>
    <x:row r="4613" ht="34" customHeight="1">
      <x:c r="A4613" s="4" t="str">
        <x:v>RS-02322-I4</x:v>
      </x:c>
      <x:c r="B4613" s="4" t="str">
        <x:v>RS-02322</x:v>
      </x:c>
      <x:c r="C4613" s="9" t="n">
        <x:v>4</x:v>
      </x:c>
      <x:c r="D4613" s="8" t="n">
        <x:v>45528</x:v>
      </x:c>
      <x:c r="E4613" s="9" t="n">
        <x:v>6014000</x:v>
      </x:c>
      <x:c r="F4613" s="9" t="n">
        <x:v>0</x:v>
      </x:c>
    </x:row>
    <x:row r="4614" ht="34" customHeight="1">
      <x:c r="A4614" s="4" t="str">
        <x:v>RS-02324-I1</x:v>
      </x:c>
      <x:c r="B4614" s="4" t="str">
        <x:v>RS-02324</x:v>
      </x:c>
      <x:c r="C4614" s="9" t="n">
        <x:v>1</x:v>
      </x:c>
      <x:c r="D4614" s="8" t="n">
        <x:v>45440</x:v>
      </x:c>
      <x:c r="E4614" s="9" t="n">
        <x:v>2446250</x:v>
      </x:c>
      <x:c r="F4614" s="9" t="n">
        <x:v>2446250</x:v>
      </x:c>
    </x:row>
    <x:row r="4615" ht="34" customHeight="1">
      <x:c r="A4615" s="4" t="str">
        <x:v>RS-02324-I2</x:v>
      </x:c>
      <x:c r="B4615" s="4" t="str">
        <x:v>RS-02324</x:v>
      </x:c>
      <x:c r="C4615" s="9" t="n">
        <x:v>2</x:v>
      </x:c>
      <x:c r="D4615" s="8" t="n">
        <x:v>45470</x:v>
      </x:c>
      <x:c r="E4615" s="9" t="n">
        <x:v>2446250</x:v>
      </x:c>
      <x:c r="F4615" s="9" t="n">
        <x:v>2446250</x:v>
      </x:c>
    </x:row>
    <x:row r="4616" ht="34" customHeight="1">
      <x:c r="A4616" s="4" t="str">
        <x:v>RS-02324-I3</x:v>
      </x:c>
      <x:c r="B4616" s="4" t="str">
        <x:v>RS-02324</x:v>
      </x:c>
      <x:c r="C4616" s="9" t="n">
        <x:v>3</x:v>
      </x:c>
      <x:c r="D4616" s="8" t="n">
        <x:v>45500</x:v>
      </x:c>
      <x:c r="E4616" s="9" t="n">
        <x:v>2446250</x:v>
      </x:c>
      <x:c r="F4616" s="9" t="n">
        <x:v>2446250</x:v>
      </x:c>
    </x:row>
    <x:row r="4617" ht="34" customHeight="1">
      <x:c r="A4617" s="4" t="str">
        <x:v>RS-02324-I4</x:v>
      </x:c>
      <x:c r="B4617" s="4" t="str">
        <x:v>RS-02324</x:v>
      </x:c>
      <x:c r="C4617" s="9" t="n">
        <x:v>4</x:v>
      </x:c>
      <x:c r="D4617" s="8" t="n">
        <x:v>45530</x:v>
      </x:c>
      <x:c r="E4617" s="9" t="n">
        <x:v>2446250</x:v>
      </x:c>
      <x:c r="F4617" s="9" t="n">
        <x:v>2446250</x:v>
      </x:c>
    </x:row>
    <x:row r="4618" ht="34" customHeight="1">
      <x:c r="A4618" s="4" t="str">
        <x:v>RS-02328-I1</x:v>
      </x:c>
      <x:c r="B4618" s="4" t="str">
        <x:v>RS-02328</x:v>
      </x:c>
      <x:c r="C4618" s="9" t="n">
        <x:v>1</x:v>
      </x:c>
      <x:c r="D4618" s="8" t="n">
        <x:v>45416</x:v>
      </x:c>
      <x:c r="E4618" s="9" t="n">
        <x:v>3918750</x:v>
      </x:c>
      <x:c r="F4618" s="9" t="n">
        <x:v>1567500</x:v>
      </x:c>
    </x:row>
    <x:row r="4619" ht="34" customHeight="1">
      <x:c r="A4619" s="4" t="str">
        <x:v>RS-02328-I2</x:v>
      </x:c>
      <x:c r="B4619" s="4" t="str">
        <x:v>RS-02328</x:v>
      </x:c>
      <x:c r="C4619" s="9" t="n">
        <x:v>2</x:v>
      </x:c>
      <x:c r="D4619" s="8" t="n">
        <x:v>45446</x:v>
      </x:c>
      <x:c r="E4619" s="9" t="n">
        <x:v>3918750</x:v>
      </x:c>
      <x:c r="F4619" s="9" t="n">
        <x:v>0</x:v>
      </x:c>
    </x:row>
    <x:row r="4620" ht="34" customHeight="1">
      <x:c r="A4620" s="4" t="str">
        <x:v>RS-02328-I3</x:v>
      </x:c>
      <x:c r="B4620" s="4" t="str">
        <x:v>RS-02328</x:v>
      </x:c>
      <x:c r="C4620" s="9" t="n">
        <x:v>3</x:v>
      </x:c>
      <x:c r="D4620" s="8" t="n">
        <x:v>45476</x:v>
      </x:c>
      <x:c r="E4620" s="9" t="n">
        <x:v>3918750</x:v>
      </x:c>
      <x:c r="F4620" s="9" t="n">
        <x:v>0</x:v>
      </x:c>
    </x:row>
    <x:row r="4621" ht="34" customHeight="1">
      <x:c r="A4621" s="4" t="str">
        <x:v>RS-02328-I4</x:v>
      </x:c>
      <x:c r="B4621" s="4" t="str">
        <x:v>RS-02328</x:v>
      </x:c>
      <x:c r="C4621" s="9" t="n">
        <x:v>4</x:v>
      </x:c>
      <x:c r="D4621" s="8" t="n">
        <x:v>45506</x:v>
      </x:c>
      <x:c r="E4621" s="9" t="n">
        <x:v>3918750</x:v>
      </x:c>
      <x:c r="F4621" s="9" t="n">
        <x:v>0</x:v>
      </x:c>
    </x:row>
    <x:row r="4622" ht="34" customHeight="1">
      <x:c r="A4622" s="4" t="str">
        <x:v>RS-02332-I1</x:v>
      </x:c>
      <x:c r="B4622" s="4" t="str">
        <x:v>RS-02332</x:v>
      </x:c>
      <x:c r="C4622" s="9" t="n">
        <x:v>1</x:v>
      </x:c>
      <x:c r="D4622" s="8" t="n">
        <x:v>45420</x:v>
      </x:c>
      <x:c r="E4622" s="9" t="n">
        <x:v>2740250</x:v>
      </x:c>
      <x:c r="F4622" s="9" t="n">
        <x:v>2740250</x:v>
      </x:c>
    </x:row>
    <x:row r="4623" ht="34" customHeight="1">
      <x:c r="A4623" s="4" t="str">
        <x:v>RS-02332-I2</x:v>
      </x:c>
      <x:c r="B4623" s="4" t="str">
        <x:v>RS-02332</x:v>
      </x:c>
      <x:c r="C4623" s="9" t="n">
        <x:v>2</x:v>
      </x:c>
      <x:c r="D4623" s="8" t="n">
        <x:v>45450</x:v>
      </x:c>
      <x:c r="E4623" s="9" t="n">
        <x:v>2740250</x:v>
      </x:c>
      <x:c r="F4623" s="9" t="n">
        <x:v>2740250</x:v>
      </x:c>
    </x:row>
    <x:row r="4624" ht="34" customHeight="1">
      <x:c r="A4624" s="4" t="str">
        <x:v>RS-02332-I3</x:v>
      </x:c>
      <x:c r="B4624" s="4" t="str">
        <x:v>RS-02332</x:v>
      </x:c>
      <x:c r="C4624" s="9" t="n">
        <x:v>3</x:v>
      </x:c>
      <x:c r="D4624" s="8" t="n">
        <x:v>45480</x:v>
      </x:c>
      <x:c r="E4624" s="9" t="n">
        <x:v>2740250</x:v>
      </x:c>
      <x:c r="F4624" s="9" t="n">
        <x:v>2740250</x:v>
      </x:c>
    </x:row>
    <x:row r="4625" ht="34" customHeight="1">
      <x:c r="A4625" s="4" t="str">
        <x:v>RS-02332-I4</x:v>
      </x:c>
      <x:c r="B4625" s="4" t="str">
        <x:v>RS-02332</x:v>
      </x:c>
      <x:c r="C4625" s="9" t="n">
        <x:v>4</x:v>
      </x:c>
      <x:c r="D4625" s="8" t="n">
        <x:v>45510</x:v>
      </x:c>
      <x:c r="E4625" s="9" t="n">
        <x:v>2740250</x:v>
      </x:c>
      <x:c r="F4625" s="9" t="n">
        <x:v>2740250</x:v>
      </x:c>
    </x:row>
    <x:row r="4626" ht="34" customHeight="1">
      <x:c r="A4626" s="4" t="str">
        <x:v>RS-02333-I1</x:v>
      </x:c>
      <x:c r="B4626" s="4" t="str">
        <x:v>RS-02333</x:v>
      </x:c>
      <x:c r="C4626" s="9" t="n">
        <x:v>1</x:v>
      </x:c>
      <x:c r="D4626" s="8" t="n">
        <x:v>45421</x:v>
      </x:c>
      <x:c r="E4626" s="9" t="n">
        <x:v>2895750</x:v>
      </x:c>
      <x:c r="F4626" s="9" t="n">
        <x:v>2895750</x:v>
      </x:c>
    </x:row>
    <x:row r="4627" ht="34" customHeight="1">
      <x:c r="A4627" s="4" t="str">
        <x:v>RS-02333-I2</x:v>
      </x:c>
      <x:c r="B4627" s="4" t="str">
        <x:v>RS-02333</x:v>
      </x:c>
      <x:c r="C4627" s="9" t="n">
        <x:v>2</x:v>
      </x:c>
      <x:c r="D4627" s="8" t="n">
        <x:v>45451</x:v>
      </x:c>
      <x:c r="E4627" s="9" t="n">
        <x:v>2895750</x:v>
      </x:c>
      <x:c r="F4627" s="9" t="n">
        <x:v>0</x:v>
      </x:c>
    </x:row>
    <x:row r="4628" ht="34" customHeight="1">
      <x:c r="A4628" s="4" t="str">
        <x:v>RS-02333-I3</x:v>
      </x:c>
      <x:c r="B4628" s="4" t="str">
        <x:v>RS-02333</x:v>
      </x:c>
      <x:c r="C4628" s="9" t="n">
        <x:v>3</x:v>
      </x:c>
      <x:c r="D4628" s="8" t="n">
        <x:v>45481</x:v>
      </x:c>
      <x:c r="E4628" s="9" t="n">
        <x:v>2895750</x:v>
      </x:c>
      <x:c r="F4628" s="9" t="n">
        <x:v>0</x:v>
      </x:c>
    </x:row>
    <x:row r="4629" ht="34" customHeight="1">
      <x:c r="A4629" s="4" t="str">
        <x:v>RS-02333-I4</x:v>
      </x:c>
      <x:c r="B4629" s="4" t="str">
        <x:v>RS-02333</x:v>
      </x:c>
      <x:c r="C4629" s="9" t="n">
        <x:v>4</x:v>
      </x:c>
      <x:c r="D4629" s="8" t="n">
        <x:v>45511</x:v>
      </x:c>
      <x:c r="E4629" s="9" t="n">
        <x:v>2895750</x:v>
      </x:c>
      <x:c r="F4629" s="9" t="n">
        <x:v>0</x:v>
      </x:c>
    </x:row>
    <x:row r="4630" ht="34" customHeight="1">
      <x:c r="A4630" s="4" t="str">
        <x:v>RS-02334-I1</x:v>
      </x:c>
      <x:c r="B4630" s="4" t="str">
        <x:v>RS-02334</x:v>
      </x:c>
      <x:c r="C4630" s="9" t="n">
        <x:v>1</x:v>
      </x:c>
      <x:c r="D4630" s="8" t="n">
        <x:v>45422</x:v>
      </x:c>
      <x:c r="E4630" s="9" t="n">
        <x:v>4646000</x:v>
      </x:c>
      <x:c r="F4630" s="9" t="n">
        <x:v>1858400</x:v>
      </x:c>
    </x:row>
    <x:row r="4631" ht="34" customHeight="1">
      <x:c r="A4631" s="4" t="str">
        <x:v>RS-02334-I2</x:v>
      </x:c>
      <x:c r="B4631" s="4" t="str">
        <x:v>RS-02334</x:v>
      </x:c>
      <x:c r="C4631" s="9" t="n">
        <x:v>2</x:v>
      </x:c>
      <x:c r="D4631" s="8" t="n">
        <x:v>45452</x:v>
      </x:c>
      <x:c r="E4631" s="9" t="n">
        <x:v>4646000</x:v>
      </x:c>
      <x:c r="F4631" s="9" t="n">
        <x:v>0</x:v>
      </x:c>
    </x:row>
    <x:row r="4632" ht="34" customHeight="1">
      <x:c r="A4632" s="4" t="str">
        <x:v>RS-02334-I3</x:v>
      </x:c>
      <x:c r="B4632" s="4" t="str">
        <x:v>RS-02334</x:v>
      </x:c>
      <x:c r="C4632" s="9" t="n">
        <x:v>3</x:v>
      </x:c>
      <x:c r="D4632" s="8" t="n">
        <x:v>45482</x:v>
      </x:c>
      <x:c r="E4632" s="9" t="n">
        <x:v>4646000</x:v>
      </x:c>
      <x:c r="F4632" s="9" t="n">
        <x:v>0</x:v>
      </x:c>
    </x:row>
    <x:row r="4633" ht="34" customHeight="1">
      <x:c r="A4633" s="4" t="str">
        <x:v>RS-02334-I4</x:v>
      </x:c>
      <x:c r="B4633" s="4" t="str">
        <x:v>RS-02334</x:v>
      </x:c>
      <x:c r="C4633" s="9" t="n">
        <x:v>4</x:v>
      </x:c>
      <x:c r="D4633" s="8" t="n">
        <x:v>45512</x:v>
      </x:c>
      <x:c r="E4633" s="9" t="n">
        <x:v>4646000</x:v>
      </x:c>
      <x:c r="F4633" s="9" t="n">
        <x:v>0</x:v>
      </x:c>
    </x:row>
    <x:row r="4634" ht="34" customHeight="1">
      <x:c r="A4634" s="4" t="str">
        <x:v>RS-02335-I1</x:v>
      </x:c>
      <x:c r="B4634" s="4" t="str">
        <x:v>RS-02335</x:v>
      </x:c>
      <x:c r="C4634" s="9" t="n">
        <x:v>1</x:v>
      </x:c>
      <x:c r="D4634" s="8" t="n">
        <x:v>45423</x:v>
      </x:c>
      <x:c r="E4634" s="9" t="n">
        <x:v>727500</x:v>
      </x:c>
      <x:c r="F4634" s="9" t="n">
        <x:v>727500</x:v>
      </x:c>
    </x:row>
    <x:row r="4635" ht="34" customHeight="1">
      <x:c r="A4635" s="4" t="str">
        <x:v>RS-02335-I2</x:v>
      </x:c>
      <x:c r="B4635" s="4" t="str">
        <x:v>RS-02335</x:v>
      </x:c>
      <x:c r="C4635" s="9" t="n">
        <x:v>2</x:v>
      </x:c>
      <x:c r="D4635" s="8" t="n">
        <x:v>45453</x:v>
      </x:c>
      <x:c r="E4635" s="9" t="n">
        <x:v>727500</x:v>
      </x:c>
      <x:c r="F4635" s="9" t="n">
        <x:v>0</x:v>
      </x:c>
    </x:row>
    <x:row r="4636" ht="34" customHeight="1">
      <x:c r="A4636" s="4" t="str">
        <x:v>RS-02335-I3</x:v>
      </x:c>
      <x:c r="B4636" s="4" t="str">
        <x:v>RS-02335</x:v>
      </x:c>
      <x:c r="C4636" s="9" t="n">
        <x:v>3</x:v>
      </x:c>
      <x:c r="D4636" s="8" t="n">
        <x:v>45483</x:v>
      </x:c>
      <x:c r="E4636" s="9" t="n">
        <x:v>727500</x:v>
      </x:c>
      <x:c r="F4636" s="9" t="n">
        <x:v>0</x:v>
      </x:c>
    </x:row>
    <x:row r="4637" ht="34" customHeight="1">
      <x:c r="A4637" s="4" t="str">
        <x:v>RS-02335-I4</x:v>
      </x:c>
      <x:c r="B4637" s="4" t="str">
        <x:v>RS-02335</x:v>
      </x:c>
      <x:c r="C4637" s="9" t="n">
        <x:v>4</x:v>
      </x:c>
      <x:c r="D4637" s="8" t="n">
        <x:v>45513</x:v>
      </x:c>
      <x:c r="E4637" s="9" t="n">
        <x:v>727500</x:v>
      </x:c>
      <x:c r="F4637" s="9" t="n">
        <x:v>0</x:v>
      </x:c>
    </x:row>
    <x:row r="4638" ht="34" customHeight="1">
      <x:c r="A4638" s="4" t="str">
        <x:v>RS-02337-I1</x:v>
      </x:c>
      <x:c r="B4638" s="4" t="str">
        <x:v>RS-02337</x:v>
      </x:c>
      <x:c r="C4638" s="9" t="n">
        <x:v>1</x:v>
      </x:c>
      <x:c r="D4638" s="8" t="n">
        <x:v>45425</x:v>
      </x:c>
      <x:c r="E4638" s="9" t="n">
        <x:v>2115000</x:v>
      </x:c>
      <x:c r="F4638" s="9" t="n">
        <x:v>2115000</x:v>
      </x:c>
    </x:row>
    <x:row r="4639" ht="34" customHeight="1">
      <x:c r="A4639" s="4" t="str">
        <x:v>RS-02337-I2</x:v>
      </x:c>
      <x:c r="B4639" s="4" t="str">
        <x:v>RS-02337</x:v>
      </x:c>
      <x:c r="C4639" s="9" t="n">
        <x:v>2</x:v>
      </x:c>
      <x:c r="D4639" s="8" t="n">
        <x:v>45455</x:v>
      </x:c>
      <x:c r="E4639" s="9" t="n">
        <x:v>2115000</x:v>
      </x:c>
      <x:c r="F4639" s="9" t="n">
        <x:v>2115000</x:v>
      </x:c>
    </x:row>
    <x:row r="4640" ht="34" customHeight="1">
      <x:c r="A4640" s="4" t="str">
        <x:v>RS-02337-I3</x:v>
      </x:c>
      <x:c r="B4640" s="4" t="str">
        <x:v>RS-02337</x:v>
      </x:c>
      <x:c r="C4640" s="9" t="n">
        <x:v>3</x:v>
      </x:c>
      <x:c r="D4640" s="8" t="n">
        <x:v>45485</x:v>
      </x:c>
      <x:c r="E4640" s="9" t="n">
        <x:v>2115000</x:v>
      </x:c>
      <x:c r="F4640" s="9" t="n">
        <x:v>0</x:v>
      </x:c>
    </x:row>
    <x:row r="4641" ht="34" customHeight="1">
      <x:c r="A4641" s="4" t="str">
        <x:v>RS-02337-I4</x:v>
      </x:c>
      <x:c r="B4641" s="4" t="str">
        <x:v>RS-02337</x:v>
      </x:c>
      <x:c r="C4641" s="9" t="n">
        <x:v>4</x:v>
      </x:c>
      <x:c r="D4641" s="8" t="n">
        <x:v>45515</x:v>
      </x:c>
      <x:c r="E4641" s="9" t="n">
        <x:v>2115000</x:v>
      </x:c>
      <x:c r="F4641" s="9" t="n">
        <x:v>0</x:v>
      </x:c>
    </x:row>
    <x:row r="4642" ht="34" customHeight="1">
      <x:c r="A4642" s="4" t="str">
        <x:v>RS-02338-I1</x:v>
      </x:c>
      <x:c r="B4642" s="4" t="str">
        <x:v>RS-02338</x:v>
      </x:c>
      <x:c r="C4642" s="9" t="n">
        <x:v>1</x:v>
      </x:c>
      <x:c r="D4642" s="8" t="n">
        <x:v>45426</x:v>
      </x:c>
      <x:c r="E4642" s="9" t="n">
        <x:v>3783500</x:v>
      </x:c>
      <x:c r="F4642" s="9" t="n">
        <x:v>1513400</x:v>
      </x:c>
    </x:row>
    <x:row r="4643" ht="34" customHeight="1">
      <x:c r="A4643" s="4" t="str">
        <x:v>RS-02338-I2</x:v>
      </x:c>
      <x:c r="B4643" s="4" t="str">
        <x:v>RS-02338</x:v>
      </x:c>
      <x:c r="C4643" s="9" t="n">
        <x:v>2</x:v>
      </x:c>
      <x:c r="D4643" s="8" t="n">
        <x:v>45456</x:v>
      </x:c>
      <x:c r="E4643" s="9" t="n">
        <x:v>3783500</x:v>
      </x:c>
      <x:c r="F4643" s="9" t="n">
        <x:v>0</x:v>
      </x:c>
    </x:row>
    <x:row r="4644" ht="34" customHeight="1">
      <x:c r="A4644" s="4" t="str">
        <x:v>RS-02338-I3</x:v>
      </x:c>
      <x:c r="B4644" s="4" t="str">
        <x:v>RS-02338</x:v>
      </x:c>
      <x:c r="C4644" s="9" t="n">
        <x:v>3</x:v>
      </x:c>
      <x:c r="D4644" s="8" t="n">
        <x:v>45486</x:v>
      </x:c>
      <x:c r="E4644" s="9" t="n">
        <x:v>3783500</x:v>
      </x:c>
      <x:c r="F4644" s="9" t="n">
        <x:v>0</x:v>
      </x:c>
    </x:row>
    <x:row r="4645" ht="34" customHeight="1">
      <x:c r="A4645" s="4" t="str">
        <x:v>RS-02338-I4</x:v>
      </x:c>
      <x:c r="B4645" s="4" t="str">
        <x:v>RS-02338</x:v>
      </x:c>
      <x:c r="C4645" s="9" t="n">
        <x:v>4</x:v>
      </x:c>
      <x:c r="D4645" s="8" t="n">
        <x:v>45516</x:v>
      </x:c>
      <x:c r="E4645" s="9" t="n">
        <x:v>3783500</x:v>
      </x:c>
      <x:c r="F4645" s="9" t="n">
        <x:v>0</x:v>
      </x:c>
    </x:row>
    <x:row r="4646" ht="34" customHeight="1">
      <x:c r="A4646" s="4" t="str">
        <x:v>RS-02341-I1</x:v>
      </x:c>
      <x:c r="B4646" s="4" t="str">
        <x:v>RS-02341</x:v>
      </x:c>
      <x:c r="C4646" s="9" t="n">
        <x:v>1</x:v>
      </x:c>
      <x:c r="D4646" s="8" t="n">
        <x:v>45429</x:v>
      </x:c>
      <x:c r="E4646" s="9" t="n">
        <x:v>4272000</x:v>
      </x:c>
      <x:c r="F4646" s="9" t="n">
        <x:v>4272000</x:v>
      </x:c>
    </x:row>
    <x:row r="4647" ht="34" customHeight="1">
      <x:c r="A4647" s="4" t="str">
        <x:v>RS-02341-I2</x:v>
      </x:c>
      <x:c r="B4647" s="4" t="str">
        <x:v>RS-02341</x:v>
      </x:c>
      <x:c r="C4647" s="9" t="n">
        <x:v>2</x:v>
      </x:c>
      <x:c r="D4647" s="8" t="n">
        <x:v>45459</x:v>
      </x:c>
      <x:c r="E4647" s="9" t="n">
        <x:v>4272000</x:v>
      </x:c>
      <x:c r="F4647" s="9" t="n">
        <x:v>0</x:v>
      </x:c>
    </x:row>
    <x:row r="4648" ht="34" customHeight="1">
      <x:c r="A4648" s="4" t="str">
        <x:v>RS-02341-I3</x:v>
      </x:c>
      <x:c r="B4648" s="4" t="str">
        <x:v>RS-02341</x:v>
      </x:c>
      <x:c r="C4648" s="9" t="n">
        <x:v>3</x:v>
      </x:c>
      <x:c r="D4648" s="8" t="n">
        <x:v>45489</x:v>
      </x:c>
      <x:c r="E4648" s="9" t="n">
        <x:v>4272000</x:v>
      </x:c>
      <x:c r="F4648" s="9" t="n">
        <x:v>0</x:v>
      </x:c>
    </x:row>
    <x:row r="4649" ht="34" customHeight="1">
      <x:c r="A4649" s="4" t="str">
        <x:v>RS-02341-I4</x:v>
      </x:c>
      <x:c r="B4649" s="4" t="str">
        <x:v>RS-02341</x:v>
      </x:c>
      <x:c r="C4649" s="9" t="n">
        <x:v>4</x:v>
      </x:c>
      <x:c r="D4649" s="8" t="n">
        <x:v>45519</x:v>
      </x:c>
      <x:c r="E4649" s="9" t="n">
        <x:v>4272000</x:v>
      </x:c>
      <x:c r="F4649" s="9" t="n">
        <x:v>0</x:v>
      </x:c>
    </x:row>
    <x:row r="4650" ht="34" customHeight="1">
      <x:c r="A4650" s="4" t="str">
        <x:v>RS-02343-I1</x:v>
      </x:c>
      <x:c r="B4650" s="4" t="str">
        <x:v>RS-02343</x:v>
      </x:c>
      <x:c r="C4650" s="9" t="n">
        <x:v>1</x:v>
      </x:c>
      <x:c r="D4650" s="8" t="n">
        <x:v>45431</x:v>
      </x:c>
      <x:c r="E4650" s="9" t="n">
        <x:v>3092250</x:v>
      </x:c>
      <x:c r="F4650" s="9" t="n">
        <x:v>3092250</x:v>
      </x:c>
    </x:row>
    <x:row r="4651" ht="34" customHeight="1">
      <x:c r="A4651" s="4" t="str">
        <x:v>RS-02343-I2</x:v>
      </x:c>
      <x:c r="B4651" s="4" t="str">
        <x:v>RS-02343</x:v>
      </x:c>
      <x:c r="C4651" s="9" t="n">
        <x:v>2</x:v>
      </x:c>
      <x:c r="D4651" s="8" t="n">
        <x:v>45461</x:v>
      </x:c>
      <x:c r="E4651" s="9" t="n">
        <x:v>3092250</x:v>
      </x:c>
      <x:c r="F4651" s="9" t="n">
        <x:v>3092250</x:v>
      </x:c>
    </x:row>
    <x:row r="4652" ht="34" customHeight="1">
      <x:c r="A4652" s="4" t="str">
        <x:v>RS-02343-I3</x:v>
      </x:c>
      <x:c r="B4652" s="4" t="str">
        <x:v>RS-02343</x:v>
      </x:c>
      <x:c r="C4652" s="9" t="n">
        <x:v>3</x:v>
      </x:c>
      <x:c r="D4652" s="8" t="n">
        <x:v>45491</x:v>
      </x:c>
      <x:c r="E4652" s="9" t="n">
        <x:v>3092250</x:v>
      </x:c>
      <x:c r="F4652" s="9" t="n">
        <x:v>0</x:v>
      </x:c>
    </x:row>
    <x:row r="4653" ht="34" customHeight="1">
      <x:c r="A4653" s="4" t="str">
        <x:v>RS-02343-I4</x:v>
      </x:c>
      <x:c r="B4653" s="4" t="str">
        <x:v>RS-02343</x:v>
      </x:c>
      <x:c r="C4653" s="9" t="n">
        <x:v>4</x:v>
      </x:c>
      <x:c r="D4653" s="8" t="n">
        <x:v>45521</x:v>
      </x:c>
      <x:c r="E4653" s="9" t="n">
        <x:v>3092250</x:v>
      </x:c>
      <x:c r="F4653" s="9" t="n">
        <x:v>0</x:v>
      </x:c>
    </x:row>
    <x:row r="4654" ht="34" customHeight="1">
      <x:c r="A4654" s="4" t="str">
        <x:v>RS-02344-I1</x:v>
      </x:c>
      <x:c r="B4654" s="4" t="str">
        <x:v>RS-02344</x:v>
      </x:c>
      <x:c r="C4654" s="9" t="n">
        <x:v>1</x:v>
      </x:c>
      <x:c r="D4654" s="8" t="n">
        <x:v>45432</x:v>
      </x:c>
      <x:c r="E4654" s="9" t="n">
        <x:v>4416000</x:v>
      </x:c>
      <x:c r="F4654" s="9" t="n">
        <x:v>1766400</x:v>
      </x:c>
    </x:row>
    <x:row r="4655" ht="34" customHeight="1">
      <x:c r="A4655" s="4" t="str">
        <x:v>RS-02344-I2</x:v>
      </x:c>
      <x:c r="B4655" s="4" t="str">
        <x:v>RS-02344</x:v>
      </x:c>
      <x:c r="C4655" s="9" t="n">
        <x:v>2</x:v>
      </x:c>
      <x:c r="D4655" s="8" t="n">
        <x:v>45462</x:v>
      </x:c>
      <x:c r="E4655" s="9" t="n">
        <x:v>4416000</x:v>
      </x:c>
      <x:c r="F4655" s="9" t="n">
        <x:v>0</x:v>
      </x:c>
    </x:row>
    <x:row r="4656" ht="34" customHeight="1">
      <x:c r="A4656" s="4" t="str">
        <x:v>RS-02344-I3</x:v>
      </x:c>
      <x:c r="B4656" s="4" t="str">
        <x:v>RS-02344</x:v>
      </x:c>
      <x:c r="C4656" s="9" t="n">
        <x:v>3</x:v>
      </x:c>
      <x:c r="D4656" s="8" t="n">
        <x:v>45492</x:v>
      </x:c>
      <x:c r="E4656" s="9" t="n">
        <x:v>4416000</x:v>
      </x:c>
      <x:c r="F4656" s="9" t="n">
        <x:v>0</x:v>
      </x:c>
    </x:row>
    <x:row r="4657" ht="34" customHeight="1">
      <x:c r="A4657" s="4" t="str">
        <x:v>RS-02344-I4</x:v>
      </x:c>
      <x:c r="B4657" s="4" t="str">
        <x:v>RS-02344</x:v>
      </x:c>
      <x:c r="C4657" s="9" t="n">
        <x:v>4</x:v>
      </x:c>
      <x:c r="D4657" s="8" t="n">
        <x:v>45522</x:v>
      </x:c>
      <x:c r="E4657" s="9" t="n">
        <x:v>4416000</x:v>
      </x:c>
      <x:c r="F4657" s="9" t="n">
        <x:v>0</x:v>
      </x:c>
    </x:row>
    <x:row r="4658" ht="34" customHeight="1">
      <x:c r="A4658" s="4" t="str">
        <x:v>RS-02345-I1</x:v>
      </x:c>
      <x:c r="B4658" s="4" t="str">
        <x:v>RS-02345</x:v>
      </x:c>
      <x:c r="C4658" s="9" t="n">
        <x:v>1</x:v>
      </x:c>
      <x:c r="D4658" s="8" t="n">
        <x:v>45433</x:v>
      </x:c>
      <x:c r="E4658" s="9" t="n">
        <x:v>1209000</x:v>
      </x:c>
      <x:c r="F4658" s="9" t="n">
        <x:v>483600</x:v>
      </x:c>
    </x:row>
    <x:row r="4659" ht="34" customHeight="1">
      <x:c r="A4659" s="4" t="str">
        <x:v>RS-02345-I2</x:v>
      </x:c>
      <x:c r="B4659" s="4" t="str">
        <x:v>RS-02345</x:v>
      </x:c>
      <x:c r="C4659" s="9" t="n">
        <x:v>2</x:v>
      </x:c>
      <x:c r="D4659" s="8" t="n">
        <x:v>45463</x:v>
      </x:c>
      <x:c r="E4659" s="9" t="n">
        <x:v>1209000</x:v>
      </x:c>
      <x:c r="F4659" s="9" t="n">
        <x:v>0</x:v>
      </x:c>
    </x:row>
    <x:row r="4660" ht="34" customHeight="1">
      <x:c r="A4660" s="4" t="str">
        <x:v>RS-02345-I3</x:v>
      </x:c>
      <x:c r="B4660" s="4" t="str">
        <x:v>RS-02345</x:v>
      </x:c>
      <x:c r="C4660" s="9" t="n">
        <x:v>3</x:v>
      </x:c>
      <x:c r="D4660" s="8" t="n">
        <x:v>45493</x:v>
      </x:c>
      <x:c r="E4660" s="9" t="n">
        <x:v>1209000</x:v>
      </x:c>
      <x:c r="F4660" s="9" t="n">
        <x:v>0</x:v>
      </x:c>
    </x:row>
    <x:row r="4661" ht="34" customHeight="1">
      <x:c r="A4661" s="4" t="str">
        <x:v>RS-02345-I4</x:v>
      </x:c>
      <x:c r="B4661" s="4" t="str">
        <x:v>RS-02345</x:v>
      </x:c>
      <x:c r="C4661" s="9" t="n">
        <x:v>4</x:v>
      </x:c>
      <x:c r="D4661" s="8" t="n">
        <x:v>45523</x:v>
      </x:c>
      <x:c r="E4661" s="9" t="n">
        <x:v>1209000</x:v>
      </x:c>
      <x:c r="F4661" s="9" t="n">
        <x:v>0</x:v>
      </x:c>
    </x:row>
    <x:row r="4662" ht="34" customHeight="1">
      <x:c r="A4662" s="4" t="str">
        <x:v>RS-02346-I1</x:v>
      </x:c>
      <x:c r="B4662" s="4" t="str">
        <x:v>RS-02346</x:v>
      </x:c>
      <x:c r="C4662" s="9" t="n">
        <x:v>1</x:v>
      </x:c>
      <x:c r="D4662" s="8" t="n">
        <x:v>45434</x:v>
      </x:c>
      <x:c r="E4662" s="9" t="n">
        <x:v>4535500</x:v>
      </x:c>
      <x:c r="F4662" s="9" t="n">
        <x:v>1814200</x:v>
      </x:c>
    </x:row>
    <x:row r="4663" ht="34" customHeight="1">
      <x:c r="A4663" s="4" t="str">
        <x:v>RS-02346-I2</x:v>
      </x:c>
      <x:c r="B4663" s="4" t="str">
        <x:v>RS-02346</x:v>
      </x:c>
      <x:c r="C4663" s="9" t="n">
        <x:v>2</x:v>
      </x:c>
      <x:c r="D4663" s="8" t="n">
        <x:v>45464</x:v>
      </x:c>
      <x:c r="E4663" s="9" t="n">
        <x:v>4535500</x:v>
      </x:c>
      <x:c r="F4663" s="9" t="n">
        <x:v>0</x:v>
      </x:c>
    </x:row>
    <x:row r="4664" ht="34" customHeight="1">
      <x:c r="A4664" s="4" t="str">
        <x:v>RS-02346-I3</x:v>
      </x:c>
      <x:c r="B4664" s="4" t="str">
        <x:v>RS-02346</x:v>
      </x:c>
      <x:c r="C4664" s="9" t="n">
        <x:v>3</x:v>
      </x:c>
      <x:c r="D4664" s="8" t="n">
        <x:v>45494</x:v>
      </x:c>
      <x:c r="E4664" s="9" t="n">
        <x:v>4535500</x:v>
      </x:c>
      <x:c r="F4664" s="9" t="n">
        <x:v>0</x:v>
      </x:c>
    </x:row>
    <x:row r="4665" ht="34" customHeight="1">
      <x:c r="A4665" s="4" t="str">
        <x:v>RS-02346-I4</x:v>
      </x:c>
      <x:c r="B4665" s="4" t="str">
        <x:v>RS-02346</x:v>
      </x:c>
      <x:c r="C4665" s="9" t="n">
        <x:v>4</x:v>
      </x:c>
      <x:c r="D4665" s="8" t="n">
        <x:v>45524</x:v>
      </x:c>
      <x:c r="E4665" s="9" t="n">
        <x:v>4535500</x:v>
      </x:c>
      <x:c r="F4665" s="9" t="n">
        <x:v>0</x:v>
      </x:c>
    </x:row>
    <x:row r="4666" ht="34" customHeight="1">
      <x:c r="A4666" s="4" t="str">
        <x:v>RS-02350-I1</x:v>
      </x:c>
      <x:c r="B4666" s="4" t="str">
        <x:v>RS-02350</x:v>
      </x:c>
      <x:c r="C4666" s="9" t="n">
        <x:v>1</x:v>
      </x:c>
      <x:c r="D4666" s="8" t="n">
        <x:v>45438</x:v>
      </x:c>
      <x:c r="E4666" s="9" t="n">
        <x:v>1212500</x:v>
      </x:c>
      <x:c r="F4666" s="9" t="n">
        <x:v>1212500</x:v>
      </x:c>
    </x:row>
    <x:row r="4667" ht="34" customHeight="1">
      <x:c r="A4667" s="4" t="str">
        <x:v>RS-02350-I2</x:v>
      </x:c>
      <x:c r="B4667" s="4" t="str">
        <x:v>RS-02350</x:v>
      </x:c>
      <x:c r="C4667" s="9" t="n">
        <x:v>2</x:v>
      </x:c>
      <x:c r="D4667" s="8" t="n">
        <x:v>45468</x:v>
      </x:c>
      <x:c r="E4667" s="9" t="n">
        <x:v>1212500</x:v>
      </x:c>
      <x:c r="F4667" s="9" t="n">
        <x:v>1212500</x:v>
      </x:c>
    </x:row>
    <x:row r="4668" ht="34" customHeight="1">
      <x:c r="A4668" s="4" t="str">
        <x:v>RS-02350-I3</x:v>
      </x:c>
      <x:c r="B4668" s="4" t="str">
        <x:v>RS-02350</x:v>
      </x:c>
      <x:c r="C4668" s="9" t="n">
        <x:v>3</x:v>
      </x:c>
      <x:c r="D4668" s="8" t="n">
        <x:v>45498</x:v>
      </x:c>
      <x:c r="E4668" s="9" t="n">
        <x:v>1212500</x:v>
      </x:c>
      <x:c r="F4668" s="9" t="n">
        <x:v>1212500</x:v>
      </x:c>
    </x:row>
    <x:row r="4669" ht="34" customHeight="1">
      <x:c r="A4669" s="4" t="str">
        <x:v>RS-02350-I4</x:v>
      </x:c>
      <x:c r="B4669" s="4" t="str">
        <x:v>RS-02350</x:v>
      </x:c>
      <x:c r="C4669" s="9" t="n">
        <x:v>4</x:v>
      </x:c>
      <x:c r="D4669" s="8" t="n">
        <x:v>45528</x:v>
      </x:c>
      <x:c r="E4669" s="9" t="n">
        <x:v>1212500</x:v>
      </x:c>
      <x:c r="F4669" s="9" t="n">
        <x:v>1212500</x:v>
      </x:c>
    </x:row>
    <x:row r="4670" ht="34" customHeight="1">
      <x:c r="A4670" s="4" t="str">
        <x:v>RS-02351-I1</x:v>
      </x:c>
      <x:c r="B4670" s="4" t="str">
        <x:v>RS-02351</x:v>
      </x:c>
      <x:c r="C4670" s="9" t="n">
        <x:v>1</x:v>
      </x:c>
      <x:c r="D4670" s="8" t="n">
        <x:v>45439</x:v>
      </x:c>
      <x:c r="E4670" s="9" t="n">
        <x:v>2836500</x:v>
      </x:c>
      <x:c r="F4670" s="9" t="n">
        <x:v>2836500</x:v>
      </x:c>
    </x:row>
    <x:row r="4671" ht="34" customHeight="1">
      <x:c r="A4671" s="4" t="str">
        <x:v>RS-02351-I2</x:v>
      </x:c>
      <x:c r="B4671" s="4" t="str">
        <x:v>RS-02351</x:v>
      </x:c>
      <x:c r="C4671" s="9" t="n">
        <x:v>2</x:v>
      </x:c>
      <x:c r="D4671" s="8" t="n">
        <x:v>45469</x:v>
      </x:c>
      <x:c r="E4671" s="9" t="n">
        <x:v>2836500</x:v>
      </x:c>
      <x:c r="F4671" s="9" t="n">
        <x:v>0</x:v>
      </x:c>
    </x:row>
    <x:row r="4672" ht="34" customHeight="1">
      <x:c r="A4672" s="4" t="str">
        <x:v>RS-02351-I3</x:v>
      </x:c>
      <x:c r="B4672" s="4" t="str">
        <x:v>RS-02351</x:v>
      </x:c>
      <x:c r="C4672" s="9" t="n">
        <x:v>3</x:v>
      </x:c>
      <x:c r="D4672" s="8" t="n">
        <x:v>45499</x:v>
      </x:c>
      <x:c r="E4672" s="9" t="n">
        <x:v>2836500</x:v>
      </x:c>
      <x:c r="F4672" s="9" t="n">
        <x:v>0</x:v>
      </x:c>
    </x:row>
    <x:row r="4673" ht="34" customHeight="1">
      <x:c r="A4673" s="4" t="str">
        <x:v>RS-02351-I4</x:v>
      </x:c>
      <x:c r="B4673" s="4" t="str">
        <x:v>RS-02351</x:v>
      </x:c>
      <x:c r="C4673" s="9" t="n">
        <x:v>4</x:v>
      </x:c>
      <x:c r="D4673" s="8" t="n">
        <x:v>45529</x:v>
      </x:c>
      <x:c r="E4673" s="9" t="n">
        <x:v>2836500</x:v>
      </x:c>
      <x:c r="F4673" s="9" t="n">
        <x:v>0</x:v>
      </x:c>
    </x:row>
    <x:row r="4674" ht="34" customHeight="1">
      <x:c r="A4674" s="4" t="str">
        <x:v>RS-02354-I1</x:v>
      </x:c>
      <x:c r="B4674" s="4" t="str">
        <x:v>RS-02354</x:v>
      </x:c>
      <x:c r="C4674" s="9" t="n">
        <x:v>1</x:v>
      </x:c>
      <x:c r="D4674" s="8" t="n">
        <x:v>45414</x:v>
      </x:c>
      <x:c r="E4674" s="9" t="n">
        <x:v>1353750</x:v>
      </x:c>
      <x:c r="F4674" s="9" t="n">
        <x:v>1353750</x:v>
      </x:c>
    </x:row>
    <x:row r="4675" ht="34" customHeight="1">
      <x:c r="A4675" s="4" t="str">
        <x:v>RS-02354-I2</x:v>
      </x:c>
      <x:c r="B4675" s="4" t="str">
        <x:v>RS-02354</x:v>
      </x:c>
      <x:c r="C4675" s="9" t="n">
        <x:v>2</x:v>
      </x:c>
      <x:c r="D4675" s="8" t="n">
        <x:v>45444</x:v>
      </x:c>
      <x:c r="E4675" s="9" t="n">
        <x:v>1353750</x:v>
      </x:c>
      <x:c r="F4675" s="9" t="n">
        <x:v>0</x:v>
      </x:c>
    </x:row>
    <x:row r="4676" ht="34" customHeight="1">
      <x:c r="A4676" s="4" t="str">
        <x:v>RS-02354-I3</x:v>
      </x:c>
      <x:c r="B4676" s="4" t="str">
        <x:v>RS-02354</x:v>
      </x:c>
      <x:c r="C4676" s="9" t="n">
        <x:v>3</x:v>
      </x:c>
      <x:c r="D4676" s="8" t="n">
        <x:v>45474</x:v>
      </x:c>
      <x:c r="E4676" s="9" t="n">
        <x:v>1353750</x:v>
      </x:c>
      <x:c r="F4676" s="9" t="n">
        <x:v>0</x:v>
      </x:c>
    </x:row>
    <x:row r="4677" ht="34" customHeight="1">
      <x:c r="A4677" s="4" t="str">
        <x:v>RS-02354-I4</x:v>
      </x:c>
      <x:c r="B4677" s="4" t="str">
        <x:v>RS-02354</x:v>
      </x:c>
      <x:c r="C4677" s="9" t="n">
        <x:v>4</x:v>
      </x:c>
      <x:c r="D4677" s="8" t="n">
        <x:v>45504</x:v>
      </x:c>
      <x:c r="E4677" s="9" t="n">
        <x:v>1353750</x:v>
      </x:c>
      <x:c r="F4677" s="9" t="n">
        <x:v>0</x:v>
      </x:c>
    </x:row>
    <x:row r="4678" ht="34" customHeight="1">
      <x:c r="A4678" s="4" t="str">
        <x:v>RS-02355-I1</x:v>
      </x:c>
      <x:c r="B4678" s="4" t="str">
        <x:v>RS-02355</x:v>
      </x:c>
      <x:c r="C4678" s="9" t="n">
        <x:v>1</x:v>
      </x:c>
      <x:c r="D4678" s="8" t="n">
        <x:v>45415</x:v>
      </x:c>
      <x:c r="E4678" s="9" t="n">
        <x:v>3394500</x:v>
      </x:c>
      <x:c r="F4678" s="9" t="n">
        <x:v>3394500</x:v>
      </x:c>
    </x:row>
    <x:row r="4679" ht="34" customHeight="1">
      <x:c r="A4679" s="4" t="str">
        <x:v>RS-02355-I2</x:v>
      </x:c>
      <x:c r="B4679" s="4" t="str">
        <x:v>RS-02355</x:v>
      </x:c>
      <x:c r="C4679" s="9" t="n">
        <x:v>2</x:v>
      </x:c>
      <x:c r="D4679" s="8" t="n">
        <x:v>45445</x:v>
      </x:c>
      <x:c r="E4679" s="9" t="n">
        <x:v>3394500</x:v>
      </x:c>
      <x:c r="F4679" s="9" t="n">
        <x:v>0</x:v>
      </x:c>
    </x:row>
    <x:row r="4680" ht="34" customHeight="1">
      <x:c r="A4680" s="4" t="str">
        <x:v>RS-02355-I3</x:v>
      </x:c>
      <x:c r="B4680" s="4" t="str">
        <x:v>RS-02355</x:v>
      </x:c>
      <x:c r="C4680" s="9" t="n">
        <x:v>3</x:v>
      </x:c>
      <x:c r="D4680" s="8" t="n">
        <x:v>45475</x:v>
      </x:c>
      <x:c r="E4680" s="9" t="n">
        <x:v>3394500</x:v>
      </x:c>
      <x:c r="F4680" s="9" t="n">
        <x:v>0</x:v>
      </x:c>
    </x:row>
    <x:row r="4681" ht="34" customHeight="1">
      <x:c r="A4681" s="4" t="str">
        <x:v>RS-02355-I4</x:v>
      </x:c>
      <x:c r="B4681" s="4" t="str">
        <x:v>RS-02355</x:v>
      </x:c>
      <x:c r="C4681" s="9" t="n">
        <x:v>4</x:v>
      </x:c>
      <x:c r="D4681" s="8" t="n">
        <x:v>45505</x:v>
      </x:c>
      <x:c r="E4681" s="9" t="n">
        <x:v>3394500</x:v>
      </x:c>
      <x:c r="F4681" s="9" t="n">
        <x:v>0</x:v>
      </x:c>
    </x:row>
    <x:row r="4682" ht="34" customHeight="1">
      <x:c r="A4682" s="4" t="str">
        <x:v>RS-02357-I1</x:v>
      </x:c>
      <x:c r="B4682" s="4" t="str">
        <x:v>RS-02357</x:v>
      </x:c>
      <x:c r="C4682" s="9" t="n">
        <x:v>1</x:v>
      </x:c>
      <x:c r="D4682" s="8" t="n">
        <x:v>45417</x:v>
      </x:c>
      <x:c r="E4682" s="9" t="n">
        <x:v>953250</x:v>
      </x:c>
      <x:c r="F4682" s="9" t="n">
        <x:v>953250</x:v>
      </x:c>
    </x:row>
    <x:row r="4683" ht="34" customHeight="1">
      <x:c r="A4683" s="4" t="str">
        <x:v>RS-02357-I2</x:v>
      </x:c>
      <x:c r="B4683" s="4" t="str">
        <x:v>RS-02357</x:v>
      </x:c>
      <x:c r="C4683" s="9" t="n">
        <x:v>2</x:v>
      </x:c>
      <x:c r="D4683" s="8" t="n">
        <x:v>45447</x:v>
      </x:c>
      <x:c r="E4683" s="9" t="n">
        <x:v>953250</x:v>
      </x:c>
      <x:c r="F4683" s="9" t="n">
        <x:v>0</x:v>
      </x:c>
    </x:row>
    <x:row r="4684" ht="34" customHeight="1">
      <x:c r="A4684" s="4" t="str">
        <x:v>RS-02357-I3</x:v>
      </x:c>
      <x:c r="B4684" s="4" t="str">
        <x:v>RS-02357</x:v>
      </x:c>
      <x:c r="C4684" s="9" t="n">
        <x:v>3</x:v>
      </x:c>
      <x:c r="D4684" s="8" t="n">
        <x:v>45477</x:v>
      </x:c>
      <x:c r="E4684" s="9" t="n">
        <x:v>953250</x:v>
      </x:c>
      <x:c r="F4684" s="9" t="n">
        <x:v>0</x:v>
      </x:c>
    </x:row>
    <x:row r="4685" ht="34" customHeight="1">
      <x:c r="A4685" s="4" t="str">
        <x:v>RS-02357-I4</x:v>
      </x:c>
      <x:c r="B4685" s="4" t="str">
        <x:v>RS-02357</x:v>
      </x:c>
      <x:c r="C4685" s="9" t="n">
        <x:v>4</x:v>
      </x:c>
      <x:c r="D4685" s="8" t="n">
        <x:v>45507</x:v>
      </x:c>
      <x:c r="E4685" s="9" t="n">
        <x:v>953250</x:v>
      </x:c>
      <x:c r="F4685" s="9" t="n">
        <x:v>0</x:v>
      </x:c>
    </x:row>
    <x:row r="4686" ht="34" customHeight="1">
      <x:c r="A4686" s="4" t="str">
        <x:v>RS-02363-I1</x:v>
      </x:c>
      <x:c r="B4686" s="4" t="str">
        <x:v>RS-02363</x:v>
      </x:c>
      <x:c r="C4686" s="9" t="n">
        <x:v>1</x:v>
      </x:c>
      <x:c r="D4686" s="8" t="n">
        <x:v>45423</x:v>
      </x:c>
      <x:c r="E4686" s="9" t="n">
        <x:v>4504500</x:v>
      </x:c>
      <x:c r="F4686" s="9" t="n">
        <x:v>4504500</x:v>
      </x:c>
    </x:row>
    <x:row r="4687" ht="34" customHeight="1">
      <x:c r="A4687" s="4" t="str">
        <x:v>RS-02363-I2</x:v>
      </x:c>
      <x:c r="B4687" s="4" t="str">
        <x:v>RS-02363</x:v>
      </x:c>
      <x:c r="C4687" s="9" t="n">
        <x:v>2</x:v>
      </x:c>
      <x:c r="D4687" s="8" t="n">
        <x:v>45453</x:v>
      </x:c>
      <x:c r="E4687" s="9" t="n">
        <x:v>4504500</x:v>
      </x:c>
      <x:c r="F4687" s="9" t="n">
        <x:v>4504500</x:v>
      </x:c>
    </x:row>
    <x:row r="4688" ht="34" customHeight="1">
      <x:c r="A4688" s="4" t="str">
        <x:v>RS-02363-I3</x:v>
      </x:c>
      <x:c r="B4688" s="4" t="str">
        <x:v>RS-02363</x:v>
      </x:c>
      <x:c r="C4688" s="9" t="n">
        <x:v>3</x:v>
      </x:c>
      <x:c r="D4688" s="8" t="n">
        <x:v>45483</x:v>
      </x:c>
      <x:c r="E4688" s="9" t="n">
        <x:v>4504500</x:v>
      </x:c>
      <x:c r="F4688" s="9" t="n">
        <x:v>4504500</x:v>
      </x:c>
    </x:row>
    <x:row r="4689" ht="34" customHeight="1">
      <x:c r="A4689" s="4" t="str">
        <x:v>RS-02363-I4</x:v>
      </x:c>
      <x:c r="B4689" s="4" t="str">
        <x:v>RS-02363</x:v>
      </x:c>
      <x:c r="C4689" s="9" t="n">
        <x:v>4</x:v>
      </x:c>
      <x:c r="D4689" s="8" t="n">
        <x:v>45513</x:v>
      </x:c>
      <x:c r="E4689" s="9" t="n">
        <x:v>4504500</x:v>
      </x:c>
      <x:c r="F4689" s="9" t="n">
        <x:v>4504500</x:v>
      </x:c>
    </x:row>
    <x:row r="4690" ht="34" customHeight="1">
      <x:c r="A4690" s="4" t="str">
        <x:v>RS-02365-I1</x:v>
      </x:c>
      <x:c r="B4690" s="4" t="str">
        <x:v>RS-02365</x:v>
      </x:c>
      <x:c r="C4690" s="9" t="n">
        <x:v>1</x:v>
      </x:c>
      <x:c r="D4690" s="8" t="n">
        <x:v>45425</x:v>
      </x:c>
      <x:c r="E4690" s="9" t="n">
        <x:v>1152000</x:v>
      </x:c>
      <x:c r="F4690" s="9" t="n">
        <x:v>1152000</x:v>
      </x:c>
    </x:row>
    <x:row r="4691" ht="34" customHeight="1">
      <x:c r="A4691" s="4" t="str">
        <x:v>RS-02365-I2</x:v>
      </x:c>
      <x:c r="B4691" s="4" t="str">
        <x:v>RS-02365</x:v>
      </x:c>
      <x:c r="C4691" s="9" t="n">
        <x:v>2</x:v>
      </x:c>
      <x:c r="D4691" s="8" t="n">
        <x:v>45455</x:v>
      </x:c>
      <x:c r="E4691" s="9" t="n">
        <x:v>1152000</x:v>
      </x:c>
      <x:c r="F4691" s="9" t="n">
        <x:v>1152000</x:v>
      </x:c>
    </x:row>
    <x:row r="4692" ht="34" customHeight="1">
      <x:c r="A4692" s="4" t="str">
        <x:v>RS-02365-I3</x:v>
      </x:c>
      <x:c r="B4692" s="4" t="str">
        <x:v>RS-02365</x:v>
      </x:c>
      <x:c r="C4692" s="9" t="n">
        <x:v>3</x:v>
      </x:c>
      <x:c r="D4692" s="8" t="n">
        <x:v>45485</x:v>
      </x:c>
      <x:c r="E4692" s="9" t="n">
        <x:v>1152000</x:v>
      </x:c>
      <x:c r="F4692" s="9" t="n">
        <x:v>0</x:v>
      </x:c>
    </x:row>
    <x:row r="4693" ht="34" customHeight="1">
      <x:c r="A4693" s="4" t="str">
        <x:v>RS-02365-I4</x:v>
      </x:c>
      <x:c r="B4693" s="4" t="str">
        <x:v>RS-02365</x:v>
      </x:c>
      <x:c r="C4693" s="9" t="n">
        <x:v>4</x:v>
      </x:c>
      <x:c r="D4693" s="8" t="n">
        <x:v>45515</x:v>
      </x:c>
      <x:c r="E4693" s="9" t="n">
        <x:v>1152000</x:v>
      </x:c>
      <x:c r="F4693" s="9" t="n">
        <x:v>0</x:v>
      </x:c>
    </x:row>
    <x:row r="4694" ht="34" customHeight="1">
      <x:c r="A4694" s="4" t="str">
        <x:v>RS-02366-I1</x:v>
      </x:c>
      <x:c r="B4694" s="4" t="str">
        <x:v>RS-02366</x:v>
      </x:c>
      <x:c r="C4694" s="9" t="n">
        <x:v>1</x:v>
      </x:c>
      <x:c r="D4694" s="8" t="n">
        <x:v>45426</x:v>
      </x:c>
      <x:c r="E4694" s="9" t="n">
        <x:v>5106000</x:v>
      </x:c>
      <x:c r="F4694" s="9" t="n">
        <x:v>5106000</x:v>
      </x:c>
    </x:row>
    <x:row r="4695" ht="34" customHeight="1">
      <x:c r="A4695" s="4" t="str">
        <x:v>RS-02366-I2</x:v>
      </x:c>
      <x:c r="B4695" s="4" t="str">
        <x:v>RS-02366</x:v>
      </x:c>
      <x:c r="C4695" s="9" t="n">
        <x:v>2</x:v>
      </x:c>
      <x:c r="D4695" s="8" t="n">
        <x:v>45456</x:v>
      </x:c>
      <x:c r="E4695" s="9" t="n">
        <x:v>5106000</x:v>
      </x:c>
      <x:c r="F4695" s="9" t="n">
        <x:v>0</x:v>
      </x:c>
    </x:row>
    <x:row r="4696" ht="34" customHeight="1">
      <x:c r="A4696" s="4" t="str">
        <x:v>RS-02366-I3</x:v>
      </x:c>
      <x:c r="B4696" s="4" t="str">
        <x:v>RS-02366</x:v>
      </x:c>
      <x:c r="C4696" s="9" t="n">
        <x:v>3</x:v>
      </x:c>
      <x:c r="D4696" s="8" t="n">
        <x:v>45486</x:v>
      </x:c>
      <x:c r="E4696" s="9" t="n">
        <x:v>5106000</x:v>
      </x:c>
      <x:c r="F4696" s="9" t="n">
        <x:v>0</x:v>
      </x:c>
    </x:row>
    <x:row r="4697" ht="34" customHeight="1">
      <x:c r="A4697" s="4" t="str">
        <x:v>RS-02366-I4</x:v>
      </x:c>
      <x:c r="B4697" s="4" t="str">
        <x:v>RS-02366</x:v>
      </x:c>
      <x:c r="C4697" s="9" t="n">
        <x:v>4</x:v>
      </x:c>
      <x:c r="D4697" s="8" t="n">
        <x:v>45516</x:v>
      </x:c>
      <x:c r="E4697" s="9" t="n">
        <x:v>5106000</x:v>
      </x:c>
      <x:c r="F4697" s="9" t="n">
        <x:v>0</x:v>
      </x:c>
    </x:row>
    <x:row r="4698" ht="34" customHeight="1">
      <x:c r="A4698" s="4" t="str">
        <x:v>RS-02367-I1</x:v>
      </x:c>
      <x:c r="B4698" s="4" t="str">
        <x:v>RS-02367</x:v>
      </x:c>
      <x:c r="C4698" s="9" t="n">
        <x:v>1</x:v>
      </x:c>
      <x:c r="D4698" s="8" t="n">
        <x:v>45427</x:v>
      </x:c>
      <x:c r="E4698" s="9" t="n">
        <x:v>6088500</x:v>
      </x:c>
      <x:c r="F4698" s="9" t="n">
        <x:v>6088500</x:v>
      </x:c>
    </x:row>
    <x:row r="4699" ht="34" customHeight="1">
      <x:c r="A4699" s="4" t="str">
        <x:v>RS-02367-I2</x:v>
      </x:c>
      <x:c r="B4699" s="4" t="str">
        <x:v>RS-02367</x:v>
      </x:c>
      <x:c r="C4699" s="9" t="n">
        <x:v>2</x:v>
      </x:c>
      <x:c r="D4699" s="8" t="n">
        <x:v>45457</x:v>
      </x:c>
      <x:c r="E4699" s="9" t="n">
        <x:v>6088500</x:v>
      </x:c>
      <x:c r="F4699" s="9" t="n">
        <x:v>6088500</x:v>
      </x:c>
    </x:row>
    <x:row r="4700" ht="34" customHeight="1">
      <x:c r="A4700" s="4" t="str">
        <x:v>RS-02367-I3</x:v>
      </x:c>
      <x:c r="B4700" s="4" t="str">
        <x:v>RS-02367</x:v>
      </x:c>
      <x:c r="C4700" s="9" t="n">
        <x:v>3</x:v>
      </x:c>
      <x:c r="D4700" s="8" t="n">
        <x:v>45487</x:v>
      </x:c>
      <x:c r="E4700" s="9" t="n">
        <x:v>6088500</x:v>
      </x:c>
      <x:c r="F4700" s="9" t="n">
        <x:v>6088500</x:v>
      </x:c>
    </x:row>
    <x:row r="4701" ht="34" customHeight="1">
      <x:c r="A4701" s="4" t="str">
        <x:v>RS-02367-I4</x:v>
      </x:c>
      <x:c r="B4701" s="4" t="str">
        <x:v>RS-02367</x:v>
      </x:c>
      <x:c r="C4701" s="9" t="n">
        <x:v>4</x:v>
      </x:c>
      <x:c r="D4701" s="8" t="n">
        <x:v>45517</x:v>
      </x:c>
      <x:c r="E4701" s="9" t="n">
        <x:v>6088500</x:v>
      </x:c>
      <x:c r="F4701" s="9" t="n">
        <x:v>6088500</x:v>
      </x:c>
    </x:row>
    <x:row r="4702" ht="34" customHeight="1">
      <x:c r="A4702" s="4" t="str">
        <x:v>RS-02370-I1</x:v>
      </x:c>
      <x:c r="B4702" s="4" t="str">
        <x:v>RS-02370</x:v>
      </x:c>
      <x:c r="C4702" s="9" t="n">
        <x:v>1</x:v>
      </x:c>
      <x:c r="D4702" s="8" t="n">
        <x:v>45430</x:v>
      </x:c>
      <x:c r="E4702" s="9" t="n">
        <x:v>3849250</x:v>
      </x:c>
      <x:c r="F4702" s="9" t="n">
        <x:v>1539700</x:v>
      </x:c>
    </x:row>
    <x:row r="4703" ht="34" customHeight="1">
      <x:c r="A4703" s="4" t="str">
        <x:v>RS-02370-I2</x:v>
      </x:c>
      <x:c r="B4703" s="4" t="str">
        <x:v>RS-02370</x:v>
      </x:c>
      <x:c r="C4703" s="9" t="n">
        <x:v>2</x:v>
      </x:c>
      <x:c r="D4703" s="8" t="n">
        <x:v>45460</x:v>
      </x:c>
      <x:c r="E4703" s="9" t="n">
        <x:v>3849250</x:v>
      </x:c>
      <x:c r="F4703" s="9" t="n">
        <x:v>0</x:v>
      </x:c>
    </x:row>
    <x:row r="4704" ht="34" customHeight="1">
      <x:c r="A4704" s="4" t="str">
        <x:v>RS-02370-I3</x:v>
      </x:c>
      <x:c r="B4704" s="4" t="str">
        <x:v>RS-02370</x:v>
      </x:c>
      <x:c r="C4704" s="9" t="n">
        <x:v>3</x:v>
      </x:c>
      <x:c r="D4704" s="8" t="n">
        <x:v>45490</x:v>
      </x:c>
      <x:c r="E4704" s="9" t="n">
        <x:v>3849250</x:v>
      </x:c>
      <x:c r="F4704" s="9" t="n">
        <x:v>0</x:v>
      </x:c>
    </x:row>
    <x:row r="4705" ht="34" customHeight="1">
      <x:c r="A4705" s="4" t="str">
        <x:v>RS-02370-I4</x:v>
      </x:c>
      <x:c r="B4705" s="4" t="str">
        <x:v>RS-02370</x:v>
      </x:c>
      <x:c r="C4705" s="9" t="n">
        <x:v>4</x:v>
      </x:c>
      <x:c r="D4705" s="8" t="n">
        <x:v>45520</x:v>
      </x:c>
      <x:c r="E4705" s="9" t="n">
        <x:v>3849250</x:v>
      </x:c>
      <x:c r="F4705" s="9" t="n">
        <x:v>0</x:v>
      </x:c>
    </x:row>
    <x:row r="4706" ht="34" customHeight="1">
      <x:c r="A4706" s="4" t="str">
        <x:v>RS-02371-I1</x:v>
      </x:c>
      <x:c r="B4706" s="4" t="str">
        <x:v>RS-02371</x:v>
      </x:c>
      <x:c r="C4706" s="9" t="n">
        <x:v>1</x:v>
      </x:c>
      <x:c r="D4706" s="8" t="n">
        <x:v>45431</x:v>
      </x:c>
      <x:c r="E4706" s="9" t="n">
        <x:v>3136000</x:v>
      </x:c>
      <x:c r="F4706" s="9" t="n">
        <x:v>3136000</x:v>
      </x:c>
    </x:row>
    <x:row r="4707" ht="34" customHeight="1">
      <x:c r="A4707" s="4" t="str">
        <x:v>RS-02371-I2</x:v>
      </x:c>
      <x:c r="B4707" s="4" t="str">
        <x:v>RS-02371</x:v>
      </x:c>
      <x:c r="C4707" s="9" t="n">
        <x:v>2</x:v>
      </x:c>
      <x:c r="D4707" s="8" t="n">
        <x:v>45461</x:v>
      </x:c>
      <x:c r="E4707" s="9" t="n">
        <x:v>3136000</x:v>
      </x:c>
      <x:c r="F4707" s="9" t="n">
        <x:v>3136000</x:v>
      </x:c>
    </x:row>
    <x:row r="4708" ht="34" customHeight="1">
      <x:c r="A4708" s="4" t="str">
        <x:v>RS-02371-I3</x:v>
      </x:c>
      <x:c r="B4708" s="4" t="str">
        <x:v>RS-02371</x:v>
      </x:c>
      <x:c r="C4708" s="9" t="n">
        <x:v>3</x:v>
      </x:c>
      <x:c r="D4708" s="8" t="n">
        <x:v>45491</x:v>
      </x:c>
      <x:c r="E4708" s="9" t="n">
        <x:v>3136000</x:v>
      </x:c>
      <x:c r="F4708" s="9" t="n">
        <x:v>0</x:v>
      </x:c>
    </x:row>
    <x:row r="4709" ht="34" customHeight="1">
      <x:c r="A4709" s="4" t="str">
        <x:v>RS-02371-I4</x:v>
      </x:c>
      <x:c r="B4709" s="4" t="str">
        <x:v>RS-02371</x:v>
      </x:c>
      <x:c r="C4709" s="9" t="n">
        <x:v>4</x:v>
      </x:c>
      <x:c r="D4709" s="8" t="n">
        <x:v>45521</x:v>
      </x:c>
      <x:c r="E4709" s="9" t="n">
        <x:v>3136000</x:v>
      </x:c>
      <x:c r="F4709" s="9" t="n">
        <x:v>0</x:v>
      </x:c>
    </x:row>
    <x:row r="4710" ht="34" customHeight="1">
      <x:c r="A4710" s="4" t="str">
        <x:v>RS-02372-I1</x:v>
      </x:c>
      <x:c r="B4710" s="4" t="str">
        <x:v>RS-02372</x:v>
      </x:c>
      <x:c r="C4710" s="9" t="n">
        <x:v>1</x:v>
      </x:c>
      <x:c r="D4710" s="8" t="n">
        <x:v>45432</x:v>
      </x:c>
      <x:c r="E4710" s="9" t="n">
        <x:v>2116000</x:v>
      </x:c>
      <x:c r="F4710" s="9" t="n">
        <x:v>2116000</x:v>
      </x:c>
    </x:row>
    <x:row r="4711" ht="34" customHeight="1">
      <x:c r="A4711" s="4" t="str">
        <x:v>RS-02372-I2</x:v>
      </x:c>
      <x:c r="B4711" s="4" t="str">
        <x:v>RS-02372</x:v>
      </x:c>
      <x:c r="C4711" s="9" t="n">
        <x:v>2</x:v>
      </x:c>
      <x:c r="D4711" s="8" t="n">
        <x:v>45462</x:v>
      </x:c>
      <x:c r="E4711" s="9" t="n">
        <x:v>2116000</x:v>
      </x:c>
      <x:c r="F4711" s="9" t="n">
        <x:v>0</x:v>
      </x:c>
    </x:row>
    <x:row r="4712" ht="34" customHeight="1">
      <x:c r="A4712" s="4" t="str">
        <x:v>RS-02372-I3</x:v>
      </x:c>
      <x:c r="B4712" s="4" t="str">
        <x:v>RS-02372</x:v>
      </x:c>
      <x:c r="C4712" s="9" t="n">
        <x:v>3</x:v>
      </x:c>
      <x:c r="D4712" s="8" t="n">
        <x:v>45492</x:v>
      </x:c>
      <x:c r="E4712" s="9" t="n">
        <x:v>2116000</x:v>
      </x:c>
      <x:c r="F4712" s="9" t="n">
        <x:v>0</x:v>
      </x:c>
    </x:row>
    <x:row r="4713" ht="34" customHeight="1">
      <x:c r="A4713" s="4" t="str">
        <x:v>RS-02372-I4</x:v>
      </x:c>
      <x:c r="B4713" s="4" t="str">
        <x:v>RS-02372</x:v>
      </x:c>
      <x:c r="C4713" s="9" t="n">
        <x:v>4</x:v>
      </x:c>
      <x:c r="D4713" s="8" t="n">
        <x:v>45522</x:v>
      </x:c>
      <x:c r="E4713" s="9" t="n">
        <x:v>2116000</x:v>
      </x:c>
      <x:c r="F4713" s="9" t="n">
        <x:v>0</x:v>
      </x:c>
    </x:row>
    <x:row r="4714" ht="34" customHeight="1">
      <x:c r="A4714" s="4" t="str">
        <x:v>RS-02374-I1</x:v>
      </x:c>
      <x:c r="B4714" s="4" t="str">
        <x:v>RS-02374</x:v>
      </x:c>
      <x:c r="C4714" s="9" t="n">
        <x:v>1</x:v>
      </x:c>
      <x:c r="D4714" s="8" t="n">
        <x:v>45434</x:v>
      </x:c>
      <x:c r="E4714" s="9" t="n">
        <x:v>2952000</x:v>
      </x:c>
      <x:c r="F4714" s="9" t="n">
        <x:v>1180800</x:v>
      </x:c>
    </x:row>
    <x:row r="4715" ht="34" customHeight="1">
      <x:c r="A4715" s="4" t="str">
        <x:v>RS-02374-I2</x:v>
      </x:c>
      <x:c r="B4715" s="4" t="str">
        <x:v>RS-02374</x:v>
      </x:c>
      <x:c r="C4715" s="9" t="n">
        <x:v>2</x:v>
      </x:c>
      <x:c r="D4715" s="8" t="n">
        <x:v>45464</x:v>
      </x:c>
      <x:c r="E4715" s="9" t="n">
        <x:v>2952000</x:v>
      </x:c>
      <x:c r="F4715" s="9" t="n">
        <x:v>0</x:v>
      </x:c>
    </x:row>
    <x:row r="4716" ht="34" customHeight="1">
      <x:c r="A4716" s="4" t="str">
        <x:v>RS-02374-I3</x:v>
      </x:c>
      <x:c r="B4716" s="4" t="str">
        <x:v>RS-02374</x:v>
      </x:c>
      <x:c r="C4716" s="9" t="n">
        <x:v>3</x:v>
      </x:c>
      <x:c r="D4716" s="8" t="n">
        <x:v>45494</x:v>
      </x:c>
      <x:c r="E4716" s="9" t="n">
        <x:v>2952000</x:v>
      </x:c>
      <x:c r="F4716" s="9" t="n">
        <x:v>0</x:v>
      </x:c>
    </x:row>
    <x:row r="4717" ht="34" customHeight="1">
      <x:c r="A4717" s="4" t="str">
        <x:v>RS-02374-I4</x:v>
      </x:c>
      <x:c r="B4717" s="4" t="str">
        <x:v>RS-02374</x:v>
      </x:c>
      <x:c r="C4717" s="9" t="n">
        <x:v>4</x:v>
      </x:c>
      <x:c r="D4717" s="8" t="n">
        <x:v>45524</x:v>
      </x:c>
      <x:c r="E4717" s="9" t="n">
        <x:v>2952000</x:v>
      </x:c>
      <x:c r="F4717" s="9" t="n">
        <x:v>0</x:v>
      </x:c>
    </x:row>
    <x:row r="4718" ht="34" customHeight="1">
      <x:c r="A4718" s="4" t="str">
        <x:v>RS-02376-I1</x:v>
      </x:c>
      <x:c r="B4718" s="4" t="str">
        <x:v>RS-02376</x:v>
      </x:c>
      <x:c r="C4718" s="9" t="n">
        <x:v>1</x:v>
      </x:c>
      <x:c r="D4718" s="8" t="n">
        <x:v>45436</x:v>
      </x:c>
      <x:c r="E4718" s="9" t="n">
        <x:v>4004000</x:v>
      </x:c>
      <x:c r="F4718" s="9" t="n">
        <x:v>4004000</x:v>
      </x:c>
    </x:row>
    <x:row r="4719" ht="34" customHeight="1">
      <x:c r="A4719" s="4" t="str">
        <x:v>RS-02376-I2</x:v>
      </x:c>
      <x:c r="B4719" s="4" t="str">
        <x:v>RS-02376</x:v>
      </x:c>
      <x:c r="C4719" s="9" t="n">
        <x:v>2</x:v>
      </x:c>
      <x:c r="D4719" s="8" t="n">
        <x:v>45466</x:v>
      </x:c>
      <x:c r="E4719" s="9" t="n">
        <x:v>4004000</x:v>
      </x:c>
      <x:c r="F4719" s="9" t="n">
        <x:v>4004000</x:v>
      </x:c>
    </x:row>
    <x:row r="4720" ht="34" customHeight="1">
      <x:c r="A4720" s="4" t="str">
        <x:v>RS-02376-I3</x:v>
      </x:c>
      <x:c r="B4720" s="4" t="str">
        <x:v>RS-02376</x:v>
      </x:c>
      <x:c r="C4720" s="9" t="n">
        <x:v>3</x:v>
      </x:c>
      <x:c r="D4720" s="8" t="n">
        <x:v>45496</x:v>
      </x:c>
      <x:c r="E4720" s="9" t="n">
        <x:v>4004000</x:v>
      </x:c>
      <x:c r="F4720" s="9" t="n">
        <x:v>4004000</x:v>
      </x:c>
    </x:row>
    <x:row r="4721" ht="34" customHeight="1">
      <x:c r="A4721" s="4" t="str">
        <x:v>RS-02376-I4</x:v>
      </x:c>
      <x:c r="B4721" s="4" t="str">
        <x:v>RS-02376</x:v>
      </x:c>
      <x:c r="C4721" s="9" t="n">
        <x:v>4</x:v>
      </x:c>
      <x:c r="D4721" s="8" t="n">
        <x:v>45526</x:v>
      </x:c>
      <x:c r="E4721" s="9" t="n">
        <x:v>4004000</x:v>
      </x:c>
      <x:c r="F4721" s="9" t="n">
        <x:v>4004000</x:v>
      </x:c>
    </x:row>
    <x:row r="4722" ht="34" customHeight="1">
      <x:c r="A4722" s="4" t="str">
        <x:v>RS-02378-I1</x:v>
      </x:c>
      <x:c r="B4722" s="4" t="str">
        <x:v>RS-02378</x:v>
      </x:c>
      <x:c r="C4722" s="9" t="n">
        <x:v>1</x:v>
      </x:c>
      <x:c r="D4722" s="8" t="n">
        <x:v>45438</x:v>
      </x:c>
      <x:c r="E4722" s="9" t="n">
        <x:v>5382000</x:v>
      </x:c>
      <x:c r="F4722" s="9" t="n">
        <x:v>5382000</x:v>
      </x:c>
    </x:row>
    <x:row r="4723" ht="34" customHeight="1">
      <x:c r="A4723" s="4" t="str">
        <x:v>RS-02378-I2</x:v>
      </x:c>
      <x:c r="B4723" s="4" t="str">
        <x:v>RS-02378</x:v>
      </x:c>
      <x:c r="C4723" s="9" t="n">
        <x:v>2</x:v>
      </x:c>
      <x:c r="D4723" s="8" t="n">
        <x:v>45468</x:v>
      </x:c>
      <x:c r="E4723" s="9" t="n">
        <x:v>5382000</x:v>
      </x:c>
      <x:c r="F4723" s="9" t="n">
        <x:v>5382000</x:v>
      </x:c>
    </x:row>
    <x:row r="4724" ht="34" customHeight="1">
      <x:c r="A4724" s="4" t="str">
        <x:v>RS-02378-I3</x:v>
      </x:c>
      <x:c r="B4724" s="4" t="str">
        <x:v>RS-02378</x:v>
      </x:c>
      <x:c r="C4724" s="9" t="n">
        <x:v>3</x:v>
      </x:c>
      <x:c r="D4724" s="8" t="n">
        <x:v>45498</x:v>
      </x:c>
      <x:c r="E4724" s="9" t="n">
        <x:v>5382000</x:v>
      </x:c>
      <x:c r="F4724" s="9" t="n">
        <x:v>0</x:v>
      </x:c>
    </x:row>
    <x:row r="4725" ht="34" customHeight="1">
      <x:c r="A4725" s="4" t="str">
        <x:v>RS-02378-I4</x:v>
      </x:c>
      <x:c r="B4725" s="4" t="str">
        <x:v>RS-02378</x:v>
      </x:c>
      <x:c r="C4725" s="9" t="n">
        <x:v>4</x:v>
      </x:c>
      <x:c r="D4725" s="8" t="n">
        <x:v>45528</x:v>
      </x:c>
      <x:c r="E4725" s="9" t="n">
        <x:v>5382000</x:v>
      </x:c>
      <x:c r="F4725" s="9" t="n">
        <x:v>0</x:v>
      </x:c>
    </x:row>
    <x:row r="4726" ht="34" customHeight="1">
      <x:c r="A4726" s="4" t="str">
        <x:v>RS-02381-I1</x:v>
      </x:c>
      <x:c r="B4726" s="4" t="str">
        <x:v>RS-02381</x:v>
      </x:c>
      <x:c r="C4726" s="9" t="n">
        <x:v>1</x:v>
      </x:c>
      <x:c r="D4726" s="8" t="n">
        <x:v>45413</x:v>
      </x:c>
      <x:c r="E4726" s="9" t="n">
        <x:v>4486250</x:v>
      </x:c>
      <x:c r="F4726" s="9" t="n">
        <x:v>4486250</x:v>
      </x:c>
    </x:row>
    <x:row r="4727" ht="34" customHeight="1">
      <x:c r="A4727" s="4" t="str">
        <x:v>RS-02381-I2</x:v>
      </x:c>
      <x:c r="B4727" s="4" t="str">
        <x:v>RS-02381</x:v>
      </x:c>
      <x:c r="C4727" s="9" t="n">
        <x:v>2</x:v>
      </x:c>
      <x:c r="D4727" s="8" t="n">
        <x:v>45443</x:v>
      </x:c>
      <x:c r="E4727" s="9" t="n">
        <x:v>4486250</x:v>
      </x:c>
      <x:c r="F4727" s="9" t="n">
        <x:v>0</x:v>
      </x:c>
    </x:row>
    <x:row r="4728" ht="34" customHeight="1">
      <x:c r="A4728" s="4" t="str">
        <x:v>RS-02381-I3</x:v>
      </x:c>
      <x:c r="B4728" s="4" t="str">
        <x:v>RS-02381</x:v>
      </x:c>
      <x:c r="C4728" s="9" t="n">
        <x:v>3</x:v>
      </x:c>
      <x:c r="D4728" s="8" t="n">
        <x:v>45473</x:v>
      </x:c>
      <x:c r="E4728" s="9" t="n">
        <x:v>4486250</x:v>
      </x:c>
      <x:c r="F4728" s="9" t="n">
        <x:v>0</x:v>
      </x:c>
    </x:row>
    <x:row r="4729" ht="34" customHeight="1">
      <x:c r="A4729" s="4" t="str">
        <x:v>RS-02381-I4</x:v>
      </x:c>
      <x:c r="B4729" s="4" t="str">
        <x:v>RS-02381</x:v>
      </x:c>
      <x:c r="C4729" s="9" t="n">
        <x:v>4</x:v>
      </x:c>
      <x:c r="D4729" s="8" t="n">
        <x:v>45503</x:v>
      </x:c>
      <x:c r="E4729" s="9" t="n">
        <x:v>4486250</x:v>
      </x:c>
      <x:c r="F4729" s="9" t="n">
        <x:v>0</x:v>
      </x:c>
    </x:row>
    <x:row r="4730" ht="34" customHeight="1">
      <x:c r="A4730" s="4" t="str">
        <x:v>RS-02382-I1</x:v>
      </x:c>
      <x:c r="B4730" s="4" t="str">
        <x:v>RS-02382</x:v>
      </x:c>
      <x:c r="C4730" s="9" t="n">
        <x:v>1</x:v>
      </x:c>
      <x:c r="D4730" s="8" t="n">
        <x:v>45414</x:v>
      </x:c>
      <x:c r="E4730" s="9" t="n">
        <x:v>4950000</x:v>
      </x:c>
      <x:c r="F4730" s="9" t="n">
        <x:v>4950000</x:v>
      </x:c>
    </x:row>
    <x:row r="4731" ht="34" customHeight="1">
      <x:c r="A4731" s="4" t="str">
        <x:v>RS-02382-I2</x:v>
      </x:c>
      <x:c r="B4731" s="4" t="str">
        <x:v>RS-02382</x:v>
      </x:c>
      <x:c r="C4731" s="9" t="n">
        <x:v>2</x:v>
      </x:c>
      <x:c r="D4731" s="8" t="n">
        <x:v>45444</x:v>
      </x:c>
      <x:c r="E4731" s="9" t="n">
        <x:v>4950000</x:v>
      </x:c>
      <x:c r="F4731" s="9" t="n">
        <x:v>4950000</x:v>
      </x:c>
    </x:row>
    <x:row r="4732" ht="34" customHeight="1">
      <x:c r="A4732" s="4" t="str">
        <x:v>RS-02382-I3</x:v>
      </x:c>
      <x:c r="B4732" s="4" t="str">
        <x:v>RS-02382</x:v>
      </x:c>
      <x:c r="C4732" s="9" t="n">
        <x:v>3</x:v>
      </x:c>
      <x:c r="D4732" s="8" t="n">
        <x:v>45474</x:v>
      </x:c>
      <x:c r="E4732" s="9" t="n">
        <x:v>4950000</x:v>
      </x:c>
      <x:c r="F4732" s="9" t="n">
        <x:v>4950000</x:v>
      </x:c>
    </x:row>
    <x:row r="4733" ht="34" customHeight="1">
      <x:c r="A4733" s="4" t="str">
        <x:v>RS-02382-I4</x:v>
      </x:c>
      <x:c r="B4733" s="4" t="str">
        <x:v>RS-02382</x:v>
      </x:c>
      <x:c r="C4733" s="9" t="n">
        <x:v>4</x:v>
      </x:c>
      <x:c r="D4733" s="8" t="n">
        <x:v>45504</x:v>
      </x:c>
      <x:c r="E4733" s="9" t="n">
        <x:v>4950000</x:v>
      </x:c>
      <x:c r="F4733" s="9" t="n">
        <x:v>4950000</x:v>
      </x:c>
    </x:row>
    <x:row r="4734" ht="34" customHeight="1">
      <x:c r="A4734" s="4" t="str">
        <x:v>RS-02384-I1</x:v>
      </x:c>
      <x:c r="B4734" s="4" t="str">
        <x:v>RS-02384</x:v>
      </x:c>
      <x:c r="C4734" s="9" t="n">
        <x:v>1</x:v>
      </x:c>
      <x:c r="D4734" s="8" t="n">
        <x:v>45416</x:v>
      </x:c>
      <x:c r="E4734" s="9" t="n">
        <x:v>2902500</x:v>
      </x:c>
      <x:c r="F4734" s="9" t="n">
        <x:v>2902500</x:v>
      </x:c>
    </x:row>
    <x:row r="4735" ht="34" customHeight="1">
      <x:c r="A4735" s="4" t="str">
        <x:v>RS-02384-I2</x:v>
      </x:c>
      <x:c r="B4735" s="4" t="str">
        <x:v>RS-02384</x:v>
      </x:c>
      <x:c r="C4735" s="9" t="n">
        <x:v>2</x:v>
      </x:c>
      <x:c r="D4735" s="8" t="n">
        <x:v>45446</x:v>
      </x:c>
      <x:c r="E4735" s="9" t="n">
        <x:v>2902500</x:v>
      </x:c>
      <x:c r="F4735" s="9" t="n">
        <x:v>2902500</x:v>
      </x:c>
    </x:row>
    <x:row r="4736" ht="34" customHeight="1">
      <x:c r="A4736" s="4" t="str">
        <x:v>RS-02384-I3</x:v>
      </x:c>
      <x:c r="B4736" s="4" t="str">
        <x:v>RS-02384</x:v>
      </x:c>
      <x:c r="C4736" s="9" t="n">
        <x:v>3</x:v>
      </x:c>
      <x:c r="D4736" s="8" t="n">
        <x:v>45476</x:v>
      </x:c>
      <x:c r="E4736" s="9" t="n">
        <x:v>2902500</x:v>
      </x:c>
      <x:c r="F4736" s="9" t="n">
        <x:v>2902500</x:v>
      </x:c>
    </x:row>
    <x:row r="4737" ht="34" customHeight="1">
      <x:c r="A4737" s="4" t="str">
        <x:v>RS-02384-I4</x:v>
      </x:c>
      <x:c r="B4737" s="4" t="str">
        <x:v>RS-02384</x:v>
      </x:c>
      <x:c r="C4737" s="9" t="n">
        <x:v>4</x:v>
      </x:c>
      <x:c r="D4737" s="8" t="n">
        <x:v>45506</x:v>
      </x:c>
      <x:c r="E4737" s="9" t="n">
        <x:v>2902500</x:v>
      </x:c>
      <x:c r="F4737" s="9" t="n">
        <x:v>2902500</x:v>
      </x:c>
    </x:row>
    <x:row r="4738" ht="34" customHeight="1">
      <x:c r="A4738" s="4" t="str">
        <x:v>RS-02385-I1</x:v>
      </x:c>
      <x:c r="B4738" s="4" t="str">
        <x:v>RS-02385</x:v>
      </x:c>
      <x:c r="C4738" s="9" t="n">
        <x:v>1</x:v>
      </x:c>
      <x:c r="D4738" s="8" t="n">
        <x:v>45417</x:v>
      </x:c>
      <x:c r="E4738" s="9" t="n">
        <x:v>1151500</x:v>
      </x:c>
      <x:c r="F4738" s="9" t="n">
        <x:v>1151500</x:v>
      </x:c>
    </x:row>
    <x:row r="4739" ht="34" customHeight="1">
      <x:c r="A4739" s="4" t="str">
        <x:v>RS-02385-I2</x:v>
      </x:c>
      <x:c r="B4739" s="4" t="str">
        <x:v>RS-02385</x:v>
      </x:c>
      <x:c r="C4739" s="9" t="n">
        <x:v>2</x:v>
      </x:c>
      <x:c r="D4739" s="8" t="n">
        <x:v>45447</x:v>
      </x:c>
      <x:c r="E4739" s="9" t="n">
        <x:v>1151500</x:v>
      </x:c>
      <x:c r="F4739" s="9" t="n">
        <x:v>1151500</x:v>
      </x:c>
    </x:row>
    <x:row r="4740" ht="34" customHeight="1">
      <x:c r="A4740" s="4" t="str">
        <x:v>RS-02385-I3</x:v>
      </x:c>
      <x:c r="B4740" s="4" t="str">
        <x:v>RS-02385</x:v>
      </x:c>
      <x:c r="C4740" s="9" t="n">
        <x:v>3</x:v>
      </x:c>
      <x:c r="D4740" s="8" t="n">
        <x:v>45477</x:v>
      </x:c>
      <x:c r="E4740" s="9" t="n">
        <x:v>1151500</x:v>
      </x:c>
      <x:c r="F4740" s="9" t="n">
        <x:v>1151500</x:v>
      </x:c>
    </x:row>
    <x:row r="4741" ht="34" customHeight="1">
      <x:c r="A4741" s="4" t="str">
        <x:v>RS-02385-I4</x:v>
      </x:c>
      <x:c r="B4741" s="4" t="str">
        <x:v>RS-02385</x:v>
      </x:c>
      <x:c r="C4741" s="9" t="n">
        <x:v>4</x:v>
      </x:c>
      <x:c r="D4741" s="8" t="n">
        <x:v>45507</x:v>
      </x:c>
      <x:c r="E4741" s="9" t="n">
        <x:v>1151500</x:v>
      </x:c>
      <x:c r="F4741" s="9" t="n">
        <x:v>1151500</x:v>
      </x:c>
    </x:row>
    <x:row r="4742" ht="34" customHeight="1">
      <x:c r="A4742" s="4" t="str">
        <x:v>RS-02386-I1</x:v>
      </x:c>
      <x:c r="B4742" s="4" t="str">
        <x:v>RS-02386</x:v>
      </x:c>
      <x:c r="C4742" s="9" t="n">
        <x:v>1</x:v>
      </x:c>
      <x:c r="D4742" s="8" t="n">
        <x:v>45418</x:v>
      </x:c>
      <x:c r="E4742" s="9" t="n">
        <x:v>3576000</x:v>
      </x:c>
      <x:c r="F4742" s="9" t="n">
        <x:v>3576000</x:v>
      </x:c>
    </x:row>
    <x:row r="4743" ht="34" customHeight="1">
      <x:c r="A4743" s="4" t="str">
        <x:v>RS-02386-I2</x:v>
      </x:c>
      <x:c r="B4743" s="4" t="str">
        <x:v>RS-02386</x:v>
      </x:c>
      <x:c r="C4743" s="9" t="n">
        <x:v>2</x:v>
      </x:c>
      <x:c r="D4743" s="8" t="n">
        <x:v>45448</x:v>
      </x:c>
      <x:c r="E4743" s="9" t="n">
        <x:v>3576000</x:v>
      </x:c>
      <x:c r="F4743" s="9" t="n">
        <x:v>0</x:v>
      </x:c>
    </x:row>
    <x:row r="4744" ht="34" customHeight="1">
      <x:c r="A4744" s="4" t="str">
        <x:v>RS-02386-I3</x:v>
      </x:c>
      <x:c r="B4744" s="4" t="str">
        <x:v>RS-02386</x:v>
      </x:c>
      <x:c r="C4744" s="9" t="n">
        <x:v>3</x:v>
      </x:c>
      <x:c r="D4744" s="8" t="n">
        <x:v>45478</x:v>
      </x:c>
      <x:c r="E4744" s="9" t="n">
        <x:v>3576000</x:v>
      </x:c>
      <x:c r="F4744" s="9" t="n">
        <x:v>0</x:v>
      </x:c>
    </x:row>
    <x:row r="4745" ht="34" customHeight="1">
      <x:c r="A4745" s="4" t="str">
        <x:v>RS-02386-I4</x:v>
      </x:c>
      <x:c r="B4745" s="4" t="str">
        <x:v>RS-02386</x:v>
      </x:c>
      <x:c r="C4745" s="9" t="n">
        <x:v>4</x:v>
      </x:c>
      <x:c r="D4745" s="8" t="n">
        <x:v>45508</x:v>
      </x:c>
      <x:c r="E4745" s="9" t="n">
        <x:v>3576000</x:v>
      </x:c>
      <x:c r="F4745" s="9" t="n">
        <x:v>0</x:v>
      </x:c>
    </x:row>
    <x:row r="4746" ht="34" customHeight="1">
      <x:c r="A4746" s="4" t="str">
        <x:v>RS-02390-I1</x:v>
      </x:c>
      <x:c r="B4746" s="4" t="str">
        <x:v>RS-02390</x:v>
      </x:c>
      <x:c r="C4746" s="9" t="n">
        <x:v>1</x:v>
      </x:c>
      <x:c r="D4746" s="8" t="n">
        <x:v>45422</x:v>
      </x:c>
      <x:c r="E4746" s="9" t="n">
        <x:v>1365000</x:v>
      </x:c>
      <x:c r="F4746" s="9" t="n">
        <x:v>1365000</x:v>
      </x:c>
    </x:row>
    <x:row r="4747" ht="34" customHeight="1">
      <x:c r="A4747" s="4" t="str">
        <x:v>RS-02390-I2</x:v>
      </x:c>
      <x:c r="B4747" s="4" t="str">
        <x:v>RS-02390</x:v>
      </x:c>
      <x:c r="C4747" s="9" t="n">
        <x:v>2</x:v>
      </x:c>
      <x:c r="D4747" s="8" t="n">
        <x:v>45452</x:v>
      </x:c>
      <x:c r="E4747" s="9" t="n">
        <x:v>1365000</x:v>
      </x:c>
      <x:c r="F4747" s="9" t="n">
        <x:v>0</x:v>
      </x:c>
    </x:row>
    <x:row r="4748" ht="34" customHeight="1">
      <x:c r="A4748" s="4" t="str">
        <x:v>RS-02390-I3</x:v>
      </x:c>
      <x:c r="B4748" s="4" t="str">
        <x:v>RS-02390</x:v>
      </x:c>
      <x:c r="C4748" s="9" t="n">
        <x:v>3</x:v>
      </x:c>
      <x:c r="D4748" s="8" t="n">
        <x:v>45482</x:v>
      </x:c>
      <x:c r="E4748" s="9" t="n">
        <x:v>1365000</x:v>
      </x:c>
      <x:c r="F4748" s="9" t="n">
        <x:v>0</x:v>
      </x:c>
    </x:row>
    <x:row r="4749" ht="34" customHeight="1">
      <x:c r="A4749" s="4" t="str">
        <x:v>RS-02390-I4</x:v>
      </x:c>
      <x:c r="B4749" s="4" t="str">
        <x:v>RS-02390</x:v>
      </x:c>
      <x:c r="C4749" s="9" t="n">
        <x:v>4</x:v>
      </x:c>
      <x:c r="D4749" s="8" t="n">
        <x:v>45512</x:v>
      </x:c>
      <x:c r="E4749" s="9" t="n">
        <x:v>1365000</x:v>
      </x:c>
      <x:c r="F4749" s="9" t="n">
        <x:v>0</x:v>
      </x:c>
    </x:row>
    <x:row r="4750" ht="34" customHeight="1">
      <x:c r="A4750" s="4" t="str">
        <x:v>RS-02391-I1</x:v>
      </x:c>
      <x:c r="B4750" s="4" t="str">
        <x:v>RS-02391</x:v>
      </x:c>
      <x:c r="C4750" s="9" t="n">
        <x:v>1</x:v>
      </x:c>
      <x:c r="D4750" s="8" t="n">
        <x:v>45423</x:v>
      </x:c>
      <x:c r="E4750" s="9" t="n">
        <x:v>4138500</x:v>
      </x:c>
      <x:c r="F4750" s="9" t="n">
        <x:v>4138500</x:v>
      </x:c>
    </x:row>
    <x:row r="4751" ht="34" customHeight="1">
      <x:c r="A4751" s="4" t="str">
        <x:v>RS-02391-I2</x:v>
      </x:c>
      <x:c r="B4751" s="4" t="str">
        <x:v>RS-02391</x:v>
      </x:c>
      <x:c r="C4751" s="9" t="n">
        <x:v>2</x:v>
      </x:c>
      <x:c r="D4751" s="8" t="n">
        <x:v>45453</x:v>
      </x:c>
      <x:c r="E4751" s="9" t="n">
        <x:v>4138500</x:v>
      </x:c>
      <x:c r="F4751" s="9" t="n">
        <x:v>4138500</x:v>
      </x:c>
    </x:row>
    <x:row r="4752" ht="34" customHeight="1">
      <x:c r="A4752" s="4" t="str">
        <x:v>RS-02391-I3</x:v>
      </x:c>
      <x:c r="B4752" s="4" t="str">
        <x:v>RS-02391</x:v>
      </x:c>
      <x:c r="C4752" s="9" t="n">
        <x:v>3</x:v>
      </x:c>
      <x:c r="D4752" s="8" t="n">
        <x:v>45483</x:v>
      </x:c>
      <x:c r="E4752" s="9" t="n">
        <x:v>4138500</x:v>
      </x:c>
      <x:c r="F4752" s="9" t="n">
        <x:v>0</x:v>
      </x:c>
    </x:row>
    <x:row r="4753" ht="34" customHeight="1">
      <x:c r="A4753" s="4" t="str">
        <x:v>RS-02391-I4</x:v>
      </x:c>
      <x:c r="B4753" s="4" t="str">
        <x:v>RS-02391</x:v>
      </x:c>
      <x:c r="C4753" s="9" t="n">
        <x:v>4</x:v>
      </x:c>
      <x:c r="D4753" s="8" t="n">
        <x:v>45513</x:v>
      </x:c>
      <x:c r="E4753" s="9" t="n">
        <x:v>4138500</x:v>
      </x:c>
      <x:c r="F4753" s="9" t="n">
        <x:v>0</x:v>
      </x:c>
    </x:row>
    <x:row r="4754" ht="34" customHeight="1">
      <x:c r="A4754" s="4" t="str">
        <x:v>RS-02394-I1</x:v>
      </x:c>
      <x:c r="B4754" s="4" t="str">
        <x:v>RS-02394</x:v>
      </x:c>
      <x:c r="C4754" s="9" t="n">
        <x:v>1</x:v>
      </x:c>
      <x:c r="D4754" s="8" t="n">
        <x:v>45426</x:v>
      </x:c>
      <x:c r="E4754" s="9" t="n">
        <x:v>5412000</x:v>
      </x:c>
      <x:c r="F4754" s="9" t="n">
        <x:v>2164800</x:v>
      </x:c>
    </x:row>
    <x:row r="4755" ht="34" customHeight="1">
      <x:c r="A4755" s="4" t="str">
        <x:v>RS-02394-I2</x:v>
      </x:c>
      <x:c r="B4755" s="4" t="str">
        <x:v>RS-02394</x:v>
      </x:c>
      <x:c r="C4755" s="9" t="n">
        <x:v>2</x:v>
      </x:c>
      <x:c r="D4755" s="8" t="n">
        <x:v>45456</x:v>
      </x:c>
      <x:c r="E4755" s="9" t="n">
        <x:v>5412000</x:v>
      </x:c>
      <x:c r="F4755" s="9" t="n">
        <x:v>0</x:v>
      </x:c>
    </x:row>
    <x:row r="4756" ht="34" customHeight="1">
      <x:c r="A4756" s="4" t="str">
        <x:v>RS-02394-I3</x:v>
      </x:c>
      <x:c r="B4756" s="4" t="str">
        <x:v>RS-02394</x:v>
      </x:c>
      <x:c r="C4756" s="9" t="n">
        <x:v>3</x:v>
      </x:c>
      <x:c r="D4756" s="8" t="n">
        <x:v>45486</x:v>
      </x:c>
      <x:c r="E4756" s="9" t="n">
        <x:v>5412000</x:v>
      </x:c>
      <x:c r="F4756" s="9" t="n">
        <x:v>0</x:v>
      </x:c>
    </x:row>
    <x:row r="4757" ht="34" customHeight="1">
      <x:c r="A4757" s="4" t="str">
        <x:v>RS-02394-I4</x:v>
      </x:c>
      <x:c r="B4757" s="4" t="str">
        <x:v>RS-02394</x:v>
      </x:c>
      <x:c r="C4757" s="9" t="n">
        <x:v>4</x:v>
      </x:c>
      <x:c r="D4757" s="8" t="n">
        <x:v>45516</x:v>
      </x:c>
      <x:c r="E4757" s="9" t="n">
        <x:v>5412000</x:v>
      </x:c>
      <x:c r="F4757" s="9" t="n">
        <x:v>0</x:v>
      </x:c>
    </x:row>
    <x:row r="4758" ht="34" customHeight="1">
      <x:c r="A4758" s="4" t="str">
        <x:v>RS-02396-I1</x:v>
      </x:c>
      <x:c r="B4758" s="4" t="str">
        <x:v>RS-02396</x:v>
      </x:c>
      <x:c r="C4758" s="9" t="n">
        <x:v>1</x:v>
      </x:c>
      <x:c r="D4758" s="8" t="n">
        <x:v>45428</x:v>
      </x:c>
      <x:c r="E4758" s="9" t="n">
        <x:v>3861000</x:v>
      </x:c>
      <x:c r="F4758" s="9" t="n">
        <x:v>3861000</x:v>
      </x:c>
    </x:row>
    <x:row r="4759" ht="34" customHeight="1">
      <x:c r="A4759" s="4" t="str">
        <x:v>RS-02396-I2</x:v>
      </x:c>
      <x:c r="B4759" s="4" t="str">
        <x:v>RS-02396</x:v>
      </x:c>
      <x:c r="C4759" s="9" t="n">
        <x:v>2</x:v>
      </x:c>
      <x:c r="D4759" s="8" t="n">
        <x:v>45458</x:v>
      </x:c>
      <x:c r="E4759" s="9" t="n">
        <x:v>3861000</x:v>
      </x:c>
      <x:c r="F4759" s="9" t="n">
        <x:v>3861000</x:v>
      </x:c>
    </x:row>
    <x:row r="4760" ht="34" customHeight="1">
      <x:c r="A4760" s="4" t="str">
        <x:v>RS-02396-I3</x:v>
      </x:c>
      <x:c r="B4760" s="4" t="str">
        <x:v>RS-02396</x:v>
      </x:c>
      <x:c r="C4760" s="9" t="n">
        <x:v>3</x:v>
      </x:c>
      <x:c r="D4760" s="8" t="n">
        <x:v>45488</x:v>
      </x:c>
      <x:c r="E4760" s="9" t="n">
        <x:v>3861000</x:v>
      </x:c>
      <x:c r="F4760" s="9" t="n">
        <x:v>0</x:v>
      </x:c>
    </x:row>
    <x:row r="4761" ht="34" customHeight="1">
      <x:c r="A4761" s="4" t="str">
        <x:v>RS-02396-I4</x:v>
      </x:c>
      <x:c r="B4761" s="4" t="str">
        <x:v>RS-02396</x:v>
      </x:c>
      <x:c r="C4761" s="9" t="n">
        <x:v>4</x:v>
      </x:c>
      <x:c r="D4761" s="8" t="n">
        <x:v>45518</x:v>
      </x:c>
      <x:c r="E4761" s="9" t="n">
        <x:v>3861000</x:v>
      </x:c>
      <x:c r="F4761" s="9" t="n">
        <x:v>0</x:v>
      </x:c>
    </x:row>
    <x:row r="4762" ht="34" customHeight="1">
      <x:c r="A4762" s="4" t="str">
        <x:v>RS-02397-I1</x:v>
      </x:c>
      <x:c r="B4762" s="4" t="str">
        <x:v>RS-02397</x:v>
      </x:c>
      <x:c r="C4762" s="9" t="n">
        <x:v>1</x:v>
      </x:c>
      <x:c r="D4762" s="8" t="n">
        <x:v>45429</x:v>
      </x:c>
      <x:c r="E4762" s="9" t="n">
        <x:v>4176000</x:v>
      </x:c>
      <x:c r="F4762" s="9" t="n">
        <x:v>4176000</x:v>
      </x:c>
    </x:row>
    <x:row r="4763" ht="34" customHeight="1">
      <x:c r="A4763" s="4" t="str">
        <x:v>RS-02397-I2</x:v>
      </x:c>
      <x:c r="B4763" s="4" t="str">
        <x:v>RS-02397</x:v>
      </x:c>
      <x:c r="C4763" s="9" t="n">
        <x:v>2</x:v>
      </x:c>
      <x:c r="D4763" s="8" t="n">
        <x:v>45459</x:v>
      </x:c>
      <x:c r="E4763" s="9" t="n">
        <x:v>4176000</x:v>
      </x:c>
      <x:c r="F4763" s="9" t="n">
        <x:v>4176000</x:v>
      </x:c>
    </x:row>
    <x:row r="4764" ht="34" customHeight="1">
      <x:c r="A4764" s="4" t="str">
        <x:v>RS-02397-I3</x:v>
      </x:c>
      <x:c r="B4764" s="4" t="str">
        <x:v>RS-02397</x:v>
      </x:c>
      <x:c r="C4764" s="9" t="n">
        <x:v>3</x:v>
      </x:c>
      <x:c r="D4764" s="8" t="n">
        <x:v>45489</x:v>
      </x:c>
      <x:c r="E4764" s="9" t="n">
        <x:v>4176000</x:v>
      </x:c>
      <x:c r="F4764" s="9" t="n">
        <x:v>4176000</x:v>
      </x:c>
    </x:row>
    <x:row r="4765" ht="34" customHeight="1">
      <x:c r="A4765" s="4" t="str">
        <x:v>RS-02397-I4</x:v>
      </x:c>
      <x:c r="B4765" s="4" t="str">
        <x:v>RS-02397</x:v>
      </x:c>
      <x:c r="C4765" s="9" t="n">
        <x:v>4</x:v>
      </x:c>
      <x:c r="D4765" s="8" t="n">
        <x:v>45519</x:v>
      </x:c>
      <x:c r="E4765" s="9" t="n">
        <x:v>4176000</x:v>
      </x:c>
      <x:c r="F4765" s="9" t="n">
        <x:v>4176000</x:v>
      </x:c>
    </x:row>
    <x:row r="4766" ht="34" customHeight="1">
      <x:c r="A4766" s="4" t="str">
        <x:v>RS-02399-I1</x:v>
      </x:c>
      <x:c r="B4766" s="4" t="str">
        <x:v>RS-02399</x:v>
      </x:c>
      <x:c r="C4766" s="9" t="n">
        <x:v>1</x:v>
      </x:c>
      <x:c r="D4766" s="8" t="n">
        <x:v>45431</x:v>
      </x:c>
      <x:c r="E4766" s="9" t="n">
        <x:v>1188250</x:v>
      </x:c>
      <x:c r="F4766" s="9" t="n">
        <x:v>1188250</x:v>
      </x:c>
    </x:row>
    <x:row r="4767" ht="34" customHeight="1">
      <x:c r="A4767" s="4" t="str">
        <x:v>RS-02399-I2</x:v>
      </x:c>
      <x:c r="B4767" s="4" t="str">
        <x:v>RS-02399</x:v>
      </x:c>
      <x:c r="C4767" s="9" t="n">
        <x:v>2</x:v>
      </x:c>
      <x:c r="D4767" s="8" t="n">
        <x:v>45461</x:v>
      </x:c>
      <x:c r="E4767" s="9" t="n">
        <x:v>1188250</x:v>
      </x:c>
      <x:c r="F4767" s="9" t="n">
        <x:v>1188250</x:v>
      </x:c>
    </x:row>
    <x:row r="4768" ht="34" customHeight="1">
      <x:c r="A4768" s="4" t="str">
        <x:v>RS-02399-I3</x:v>
      </x:c>
      <x:c r="B4768" s="4" t="str">
        <x:v>RS-02399</x:v>
      </x:c>
      <x:c r="C4768" s="9" t="n">
        <x:v>3</x:v>
      </x:c>
      <x:c r="D4768" s="8" t="n">
        <x:v>45491</x:v>
      </x:c>
      <x:c r="E4768" s="9" t="n">
        <x:v>1188250</x:v>
      </x:c>
      <x:c r="F4768" s="9" t="n">
        <x:v>1188250</x:v>
      </x:c>
    </x:row>
    <x:row r="4769" ht="34" customHeight="1">
      <x:c r="A4769" s="4" t="str">
        <x:v>RS-02399-I4</x:v>
      </x:c>
      <x:c r="B4769" s="4" t="str">
        <x:v>RS-02399</x:v>
      </x:c>
      <x:c r="C4769" s="9" t="n">
        <x:v>4</x:v>
      </x:c>
      <x:c r="D4769" s="8" t="n">
        <x:v>45521</x:v>
      </x:c>
      <x:c r="E4769" s="9" t="n">
        <x:v>1188250</x:v>
      </x:c>
      <x:c r="F4769" s="9" t="n">
        <x:v>1188250</x:v>
      </x:c>
    </x:row>
    <x:row r="4770" ht="34" customHeight="1">
      <x:c r="A4770" s="4" t="str">
        <x:v>RS-02400-I1</x:v>
      </x:c>
      <x:c r="B4770" s="4" t="str">
        <x:v>RS-02400</x:v>
      </x:c>
      <x:c r="C4770" s="9" t="n">
        <x:v>1</x:v>
      </x:c>
      <x:c r="D4770" s="8" t="n">
        <x:v>45432</x:v>
      </x:c>
      <x:c r="E4770" s="9" t="n">
        <x:v>742500</x:v>
      </x:c>
      <x:c r="F4770" s="9" t="n">
        <x:v>742500</x:v>
      </x:c>
    </x:row>
    <x:row r="4771" ht="34" customHeight="1">
      <x:c r="A4771" s="4" t="str">
        <x:v>RS-02400-I2</x:v>
      </x:c>
      <x:c r="B4771" s="4" t="str">
        <x:v>RS-02400</x:v>
      </x:c>
      <x:c r="C4771" s="9" t="n">
        <x:v>2</x:v>
      </x:c>
      <x:c r="D4771" s="8" t="n">
        <x:v>45462</x:v>
      </x:c>
      <x:c r="E4771" s="9" t="n">
        <x:v>742500</x:v>
      </x:c>
      <x:c r="F4771" s="9" t="n">
        <x:v>742500</x:v>
      </x:c>
    </x:row>
    <x:row r="4772" ht="34" customHeight="1">
      <x:c r="A4772" s="4" t="str">
        <x:v>RS-02400-I3</x:v>
      </x:c>
      <x:c r="B4772" s="4" t="str">
        <x:v>RS-02400</x:v>
      </x:c>
      <x:c r="C4772" s="9" t="n">
        <x:v>3</x:v>
      </x:c>
      <x:c r="D4772" s="8" t="n">
        <x:v>45492</x:v>
      </x:c>
      <x:c r="E4772" s="9" t="n">
        <x:v>742500</x:v>
      </x:c>
      <x:c r="F4772" s="9" t="n">
        <x:v>742500</x:v>
      </x:c>
    </x:row>
    <x:row r="4773" ht="34" customHeight="1">
      <x:c r="A4773" s="4" t="str">
        <x:v>RS-02400-I4</x:v>
      </x:c>
      <x:c r="B4773" s="4" t="str">
        <x:v>RS-02400</x:v>
      </x:c>
      <x:c r="C4773" s="9" t="n">
        <x:v>4</x:v>
      </x:c>
      <x:c r="D4773" s="8" t="n">
        <x:v>45522</x:v>
      </x:c>
      <x:c r="E4773" s="9" t="n">
        <x:v>742500</x:v>
      </x:c>
      <x:c r="F4773" s="9" t="n">
        <x:v>742500</x:v>
      </x:c>
    </x:row>
    <x:row r="4774" ht="34" customHeight="1">
      <x:c r="A4774" s="4" t="str">
        <x:v>RS-02401-I1</x:v>
      </x:c>
      <x:c r="B4774" s="4" t="str">
        <x:v>RS-02401</x:v>
      </x:c>
      <x:c r="C4774" s="9" t="n">
        <x:v>1</x:v>
      </x:c>
      <x:c r="D4774" s="8" t="n">
        <x:v>45433</x:v>
      </x:c>
      <x:c r="E4774" s="9" t="n">
        <x:v>1068000</x:v>
      </x:c>
      <x:c r="F4774" s="9" t="n">
        <x:v>1068000</x:v>
      </x:c>
    </x:row>
    <x:row r="4775" ht="34" customHeight="1">
      <x:c r="A4775" s="4" t="str">
        <x:v>RS-02401-I2</x:v>
      </x:c>
      <x:c r="B4775" s="4" t="str">
        <x:v>RS-02401</x:v>
      </x:c>
      <x:c r="C4775" s="9" t="n">
        <x:v>2</x:v>
      </x:c>
      <x:c r="D4775" s="8" t="n">
        <x:v>45463</x:v>
      </x:c>
      <x:c r="E4775" s="9" t="n">
        <x:v>1068000</x:v>
      </x:c>
      <x:c r="F4775" s="9" t="n">
        <x:v>1068000</x:v>
      </x:c>
    </x:row>
    <x:row r="4776" ht="34" customHeight="1">
      <x:c r="A4776" s="4" t="str">
        <x:v>RS-02401-I3</x:v>
      </x:c>
      <x:c r="B4776" s="4" t="str">
        <x:v>RS-02401</x:v>
      </x:c>
      <x:c r="C4776" s="9" t="n">
        <x:v>3</x:v>
      </x:c>
      <x:c r="D4776" s="8" t="n">
        <x:v>45493</x:v>
      </x:c>
      <x:c r="E4776" s="9" t="n">
        <x:v>1068000</x:v>
      </x:c>
      <x:c r="F4776" s="9" t="n">
        <x:v>1068000</x:v>
      </x:c>
    </x:row>
    <x:row r="4777" ht="34" customHeight="1">
      <x:c r="A4777" s="4" t="str">
        <x:v>RS-02401-I4</x:v>
      </x:c>
      <x:c r="B4777" s="4" t="str">
        <x:v>RS-02401</x:v>
      </x:c>
      <x:c r="C4777" s="9" t="n">
        <x:v>4</x:v>
      </x:c>
      <x:c r="D4777" s="8" t="n">
        <x:v>45523</x:v>
      </x:c>
      <x:c r="E4777" s="9" t="n">
        <x:v>1068000</x:v>
      </x:c>
      <x:c r="F4777" s="9" t="n">
        <x:v>1068000</x:v>
      </x:c>
    </x:row>
    <x:row r="4778" ht="34" customHeight="1">
      <x:c r="A4778" s="4" t="str">
        <x:v>RS-02403-I1</x:v>
      </x:c>
      <x:c r="B4778" s="4" t="str">
        <x:v>RS-02403</x:v>
      </x:c>
      <x:c r="C4778" s="9" t="n">
        <x:v>1</x:v>
      </x:c>
      <x:c r="D4778" s="8" t="n">
        <x:v>45435</x:v>
      </x:c>
      <x:c r="E4778" s="9" t="n">
        <x:v>2749500</x:v>
      </x:c>
      <x:c r="F4778" s="9" t="n">
        <x:v>2749500</x:v>
      </x:c>
    </x:row>
    <x:row r="4779" ht="34" customHeight="1">
      <x:c r="A4779" s="4" t="str">
        <x:v>RS-02403-I2</x:v>
      </x:c>
      <x:c r="B4779" s="4" t="str">
        <x:v>RS-02403</x:v>
      </x:c>
      <x:c r="C4779" s="9" t="n">
        <x:v>2</x:v>
      </x:c>
      <x:c r="D4779" s="8" t="n">
        <x:v>45465</x:v>
      </x:c>
      <x:c r="E4779" s="9" t="n">
        <x:v>2749500</x:v>
      </x:c>
      <x:c r="F4779" s="9" t="n">
        <x:v>0</x:v>
      </x:c>
    </x:row>
    <x:row r="4780" ht="34" customHeight="1">
      <x:c r="A4780" s="4" t="str">
        <x:v>RS-02403-I3</x:v>
      </x:c>
      <x:c r="B4780" s="4" t="str">
        <x:v>RS-02403</x:v>
      </x:c>
      <x:c r="C4780" s="9" t="n">
        <x:v>3</x:v>
      </x:c>
      <x:c r="D4780" s="8" t="n">
        <x:v>45495</x:v>
      </x:c>
      <x:c r="E4780" s="9" t="n">
        <x:v>2749500</x:v>
      </x:c>
      <x:c r="F4780" s="9" t="n">
        <x:v>0</x:v>
      </x:c>
    </x:row>
    <x:row r="4781" ht="34" customHeight="1">
      <x:c r="A4781" s="4" t="str">
        <x:v>RS-02403-I4</x:v>
      </x:c>
      <x:c r="B4781" s="4" t="str">
        <x:v>RS-02403</x:v>
      </x:c>
      <x:c r="C4781" s="9" t="n">
        <x:v>4</x:v>
      </x:c>
      <x:c r="D4781" s="8" t="n">
        <x:v>45525</x:v>
      </x:c>
      <x:c r="E4781" s="9" t="n">
        <x:v>2749500</x:v>
      </x:c>
      <x:c r="F4781" s="9" t="n">
        <x:v>0</x:v>
      </x:c>
    </x:row>
    <x:row r="4782" ht="34" customHeight="1">
      <x:c r="A4782" s="4" t="str">
        <x:v>RS-02404-I1</x:v>
      </x:c>
      <x:c r="B4782" s="4" t="str">
        <x:v>RS-02404</x:v>
      </x:c>
      <x:c r="C4782" s="9" t="n">
        <x:v>1</x:v>
      </x:c>
      <x:c r="D4782" s="8" t="n">
        <x:v>45436</x:v>
      </x:c>
      <x:c r="E4782" s="9" t="n">
        <x:v>2817500</x:v>
      </x:c>
      <x:c r="F4782" s="9" t="n">
        <x:v>1127000</x:v>
      </x:c>
    </x:row>
    <x:row r="4783" ht="34" customHeight="1">
      <x:c r="A4783" s="4" t="str">
        <x:v>RS-02404-I2</x:v>
      </x:c>
      <x:c r="B4783" s="4" t="str">
        <x:v>RS-02404</x:v>
      </x:c>
      <x:c r="C4783" s="9" t="n">
        <x:v>2</x:v>
      </x:c>
      <x:c r="D4783" s="8" t="n">
        <x:v>45466</x:v>
      </x:c>
      <x:c r="E4783" s="9" t="n">
        <x:v>2817500</x:v>
      </x:c>
      <x:c r="F4783" s="9" t="n">
        <x:v>0</x:v>
      </x:c>
    </x:row>
    <x:row r="4784" ht="34" customHeight="1">
      <x:c r="A4784" s="4" t="str">
        <x:v>RS-02404-I3</x:v>
      </x:c>
      <x:c r="B4784" s="4" t="str">
        <x:v>RS-02404</x:v>
      </x:c>
      <x:c r="C4784" s="9" t="n">
        <x:v>3</x:v>
      </x:c>
      <x:c r="D4784" s="8" t="n">
        <x:v>45496</x:v>
      </x:c>
      <x:c r="E4784" s="9" t="n">
        <x:v>2817500</x:v>
      </x:c>
      <x:c r="F4784" s="9" t="n">
        <x:v>0</x:v>
      </x:c>
    </x:row>
    <x:row r="4785" ht="34" customHeight="1">
      <x:c r="A4785" s="4" t="str">
        <x:v>RS-02404-I4</x:v>
      </x:c>
      <x:c r="B4785" s="4" t="str">
        <x:v>RS-02404</x:v>
      </x:c>
      <x:c r="C4785" s="9" t="n">
        <x:v>4</x:v>
      </x:c>
      <x:c r="D4785" s="8" t="n">
        <x:v>45526</x:v>
      </x:c>
      <x:c r="E4785" s="9" t="n">
        <x:v>2817500</x:v>
      </x:c>
      <x:c r="F4785" s="9" t="n">
        <x:v>0</x:v>
      </x:c>
    </x:row>
    <x:row r="4786" ht="34" customHeight="1">
      <x:c r="A4786" s="4" t="str">
        <x:v>RS-02405-I1</x:v>
      </x:c>
      <x:c r="B4786" s="4" t="str">
        <x:v>RS-02405</x:v>
      </x:c>
      <x:c r="C4786" s="9" t="n">
        <x:v>1</x:v>
      </x:c>
      <x:c r="D4786" s="8" t="n">
        <x:v>45437</x:v>
      </x:c>
      <x:c r="E4786" s="9" t="n">
        <x:v>4207500</x:v>
      </x:c>
      <x:c r="F4786" s="9" t="n">
        <x:v>4207500</x:v>
      </x:c>
    </x:row>
    <x:row r="4787" ht="34" customHeight="1">
      <x:c r="A4787" s="4" t="str">
        <x:v>RS-02405-I2</x:v>
      </x:c>
      <x:c r="B4787" s="4" t="str">
        <x:v>RS-02405</x:v>
      </x:c>
      <x:c r="C4787" s="9" t="n">
        <x:v>2</x:v>
      </x:c>
      <x:c r="D4787" s="8" t="n">
        <x:v>45467</x:v>
      </x:c>
      <x:c r="E4787" s="9" t="n">
        <x:v>4207500</x:v>
      </x:c>
      <x:c r="F4787" s="9" t="n">
        <x:v>4207500</x:v>
      </x:c>
    </x:row>
    <x:row r="4788" ht="34" customHeight="1">
      <x:c r="A4788" s="4" t="str">
        <x:v>RS-02405-I3</x:v>
      </x:c>
      <x:c r="B4788" s="4" t="str">
        <x:v>RS-02405</x:v>
      </x:c>
      <x:c r="C4788" s="9" t="n">
        <x:v>3</x:v>
      </x:c>
      <x:c r="D4788" s="8" t="n">
        <x:v>45497</x:v>
      </x:c>
      <x:c r="E4788" s="9" t="n">
        <x:v>4207500</x:v>
      </x:c>
      <x:c r="F4788" s="9" t="n">
        <x:v>0</x:v>
      </x:c>
    </x:row>
    <x:row r="4789" ht="34" customHeight="1">
      <x:c r="A4789" s="4" t="str">
        <x:v>RS-02405-I4</x:v>
      </x:c>
      <x:c r="B4789" s="4" t="str">
        <x:v>RS-02405</x:v>
      </x:c>
      <x:c r="C4789" s="9" t="n">
        <x:v>4</x:v>
      </x:c>
      <x:c r="D4789" s="8" t="n">
        <x:v>45527</x:v>
      </x:c>
      <x:c r="E4789" s="9" t="n">
        <x:v>4207500</x:v>
      </x:c>
      <x:c r="F4789" s="9" t="n">
        <x:v>0</x:v>
      </x:c>
    </x:row>
    <x:row r="4790" ht="34" customHeight="1">
      <x:c r="A4790" s="4" t="str">
        <x:v>RS-02406-I1</x:v>
      </x:c>
      <x:c r="B4790" s="4" t="str">
        <x:v>RS-02406</x:v>
      </x:c>
      <x:c r="C4790" s="9" t="n">
        <x:v>1</x:v>
      </x:c>
      <x:c r="D4790" s="8" t="n">
        <x:v>45438</x:v>
      </x:c>
      <x:c r="E4790" s="9" t="n">
        <x:v>1080000</x:v>
      </x:c>
      <x:c r="F4790" s="9" t="n">
        <x:v>1080000</x:v>
      </x:c>
    </x:row>
    <x:row r="4791" ht="34" customHeight="1">
      <x:c r="A4791" s="4" t="str">
        <x:v>RS-02406-I2</x:v>
      </x:c>
      <x:c r="B4791" s="4" t="str">
        <x:v>RS-02406</x:v>
      </x:c>
      <x:c r="C4791" s="9" t="n">
        <x:v>2</x:v>
      </x:c>
      <x:c r="D4791" s="8" t="n">
        <x:v>45468</x:v>
      </x:c>
      <x:c r="E4791" s="9" t="n">
        <x:v>1080000</x:v>
      </x:c>
      <x:c r="F4791" s="9" t="n">
        <x:v>0</x:v>
      </x:c>
    </x:row>
    <x:row r="4792" ht="34" customHeight="1">
      <x:c r="A4792" s="4" t="str">
        <x:v>RS-02406-I3</x:v>
      </x:c>
      <x:c r="B4792" s="4" t="str">
        <x:v>RS-02406</x:v>
      </x:c>
      <x:c r="C4792" s="9" t="n">
        <x:v>3</x:v>
      </x:c>
      <x:c r="D4792" s="8" t="n">
        <x:v>45498</x:v>
      </x:c>
      <x:c r="E4792" s="9" t="n">
        <x:v>1080000</x:v>
      </x:c>
      <x:c r="F4792" s="9" t="n">
        <x:v>0</x:v>
      </x:c>
    </x:row>
    <x:row r="4793" ht="34" customHeight="1">
      <x:c r="A4793" s="4" t="str">
        <x:v>RS-02406-I4</x:v>
      </x:c>
      <x:c r="B4793" s="4" t="str">
        <x:v>RS-02406</x:v>
      </x:c>
      <x:c r="C4793" s="9" t="n">
        <x:v>4</x:v>
      </x:c>
      <x:c r="D4793" s="8" t="n">
        <x:v>45528</x:v>
      </x:c>
      <x:c r="E4793" s="9" t="n">
        <x:v>1080000</x:v>
      </x:c>
      <x:c r="F4793" s="9" t="n">
        <x:v>0</x:v>
      </x:c>
    </x:row>
    <x:row r="4794" ht="34" customHeight="1">
      <x:c r="A4794" s="4" t="str">
        <x:v>RS-02409-I1</x:v>
      </x:c>
      <x:c r="B4794" s="4" t="str">
        <x:v>RS-02409</x:v>
      </x:c>
      <x:c r="C4794" s="9" t="n">
        <x:v>1</x:v>
      </x:c>
      <x:c r="D4794" s="8" t="n">
        <x:v>45413</x:v>
      </x:c>
      <x:c r="E4794" s="9" t="n">
        <x:v>1410750</x:v>
      </x:c>
      <x:c r="F4794" s="9" t="n">
        <x:v>1410750</x:v>
      </x:c>
    </x:row>
    <x:row r="4795" ht="34" customHeight="1">
      <x:c r="A4795" s="4" t="str">
        <x:v>RS-02409-I2</x:v>
      </x:c>
      <x:c r="B4795" s="4" t="str">
        <x:v>RS-02409</x:v>
      </x:c>
      <x:c r="C4795" s="9" t="n">
        <x:v>2</x:v>
      </x:c>
      <x:c r="D4795" s="8" t="n">
        <x:v>45443</x:v>
      </x:c>
      <x:c r="E4795" s="9" t="n">
        <x:v>1410750</x:v>
      </x:c>
      <x:c r="F4795" s="9" t="n">
        <x:v>0</x:v>
      </x:c>
    </x:row>
    <x:row r="4796" ht="34" customHeight="1">
      <x:c r="A4796" s="4" t="str">
        <x:v>RS-02409-I3</x:v>
      </x:c>
      <x:c r="B4796" s="4" t="str">
        <x:v>RS-02409</x:v>
      </x:c>
      <x:c r="C4796" s="9" t="n">
        <x:v>3</x:v>
      </x:c>
      <x:c r="D4796" s="8" t="n">
        <x:v>45473</x:v>
      </x:c>
      <x:c r="E4796" s="9" t="n">
        <x:v>1410750</x:v>
      </x:c>
      <x:c r="F4796" s="9" t="n">
        <x:v>0</x:v>
      </x:c>
    </x:row>
    <x:row r="4797" ht="34" customHeight="1">
      <x:c r="A4797" s="4" t="str">
        <x:v>RS-02409-I4</x:v>
      </x:c>
      <x:c r="B4797" s="4" t="str">
        <x:v>RS-02409</x:v>
      </x:c>
      <x:c r="C4797" s="9" t="n">
        <x:v>4</x:v>
      </x:c>
      <x:c r="D4797" s="8" t="n">
        <x:v>45503</x:v>
      </x:c>
      <x:c r="E4797" s="9" t="n">
        <x:v>1410750</x:v>
      </x:c>
      <x:c r="F4797" s="9" t="n">
        <x:v>0</x:v>
      </x:c>
    </x:row>
    <x:row r="4798" ht="34" customHeight="1">
      <x:c r="A4798" s="4" t="str">
        <x:v>RS-02410-I1</x:v>
      </x:c>
      <x:c r="B4798" s="4" t="str">
        <x:v>RS-02410</x:v>
      </x:c>
      <x:c r="C4798" s="9" t="n">
        <x:v>1</x:v>
      </x:c>
      <x:c r="D4798" s="8" t="n">
        <x:v>45414</x:v>
      </x:c>
      <x:c r="E4798" s="9" t="n">
        <x:v>1503500</x:v>
      </x:c>
      <x:c r="F4798" s="9" t="n">
        <x:v>1503500</x:v>
      </x:c>
    </x:row>
    <x:row r="4799" ht="34" customHeight="1">
      <x:c r="A4799" s="4" t="str">
        <x:v>RS-02410-I2</x:v>
      </x:c>
      <x:c r="B4799" s="4" t="str">
        <x:v>RS-02410</x:v>
      </x:c>
      <x:c r="C4799" s="9" t="n">
        <x:v>2</x:v>
      </x:c>
      <x:c r="D4799" s="8" t="n">
        <x:v>45444</x:v>
      </x:c>
      <x:c r="E4799" s="9" t="n">
        <x:v>1503500</x:v>
      </x:c>
      <x:c r="F4799" s="9" t="n">
        <x:v>1503500</x:v>
      </x:c>
    </x:row>
    <x:row r="4800" ht="34" customHeight="1">
      <x:c r="A4800" s="4" t="str">
        <x:v>RS-02410-I3</x:v>
      </x:c>
      <x:c r="B4800" s="4" t="str">
        <x:v>RS-02410</x:v>
      </x:c>
      <x:c r="C4800" s="9" t="n">
        <x:v>3</x:v>
      </x:c>
      <x:c r="D4800" s="8" t="n">
        <x:v>45474</x:v>
      </x:c>
      <x:c r="E4800" s="9" t="n">
        <x:v>1503500</x:v>
      </x:c>
      <x:c r="F4800" s="9" t="n">
        <x:v>0</x:v>
      </x:c>
    </x:row>
    <x:row r="4801" ht="34" customHeight="1">
      <x:c r="A4801" s="4" t="str">
        <x:v>RS-02410-I4</x:v>
      </x:c>
      <x:c r="B4801" s="4" t="str">
        <x:v>RS-02410</x:v>
      </x:c>
      <x:c r="C4801" s="9" t="n">
        <x:v>4</x:v>
      </x:c>
      <x:c r="D4801" s="8" t="n">
        <x:v>45504</x:v>
      </x:c>
      <x:c r="E4801" s="9" t="n">
        <x:v>1503500</x:v>
      </x:c>
      <x:c r="F4801" s="9" t="n">
        <x:v>0</x:v>
      </x:c>
    </x:row>
    <x:row r="4802" ht="34" customHeight="1">
      <x:c r="A4802" s="4" t="str">
        <x:v>RS-02412-I1</x:v>
      </x:c>
      <x:c r="B4802" s="4" t="str">
        <x:v>RS-02412</x:v>
      </x:c>
      <x:c r="C4802" s="9" t="n">
        <x:v>1</x:v>
      </x:c>
      <x:c r="D4802" s="8" t="n">
        <x:v>45416</x:v>
      </x:c>
      <x:c r="E4802" s="9" t="n">
        <x:v>2138500</x:v>
      </x:c>
      <x:c r="F4802" s="9" t="n">
        <x:v>855400</x:v>
      </x:c>
    </x:row>
    <x:row r="4803" ht="34" customHeight="1">
      <x:c r="A4803" s="4" t="str">
        <x:v>RS-02412-I2</x:v>
      </x:c>
      <x:c r="B4803" s="4" t="str">
        <x:v>RS-02412</x:v>
      </x:c>
      <x:c r="C4803" s="9" t="n">
        <x:v>2</x:v>
      </x:c>
      <x:c r="D4803" s="8" t="n">
        <x:v>45446</x:v>
      </x:c>
      <x:c r="E4803" s="9" t="n">
        <x:v>2138500</x:v>
      </x:c>
      <x:c r="F4803" s="9" t="n">
        <x:v>0</x:v>
      </x:c>
    </x:row>
    <x:row r="4804" ht="34" customHeight="1">
      <x:c r="A4804" s="4" t="str">
        <x:v>RS-02412-I3</x:v>
      </x:c>
      <x:c r="B4804" s="4" t="str">
        <x:v>RS-02412</x:v>
      </x:c>
      <x:c r="C4804" s="9" t="n">
        <x:v>3</x:v>
      </x:c>
      <x:c r="D4804" s="8" t="n">
        <x:v>45476</x:v>
      </x:c>
      <x:c r="E4804" s="9" t="n">
        <x:v>2138500</x:v>
      </x:c>
      <x:c r="F4804" s="9" t="n">
        <x:v>0</x:v>
      </x:c>
    </x:row>
    <x:row r="4805" ht="34" customHeight="1">
      <x:c r="A4805" s="4" t="str">
        <x:v>RS-02412-I4</x:v>
      </x:c>
      <x:c r="B4805" s="4" t="str">
        <x:v>RS-02412</x:v>
      </x:c>
      <x:c r="C4805" s="9" t="n">
        <x:v>4</x:v>
      </x:c>
      <x:c r="D4805" s="8" t="n">
        <x:v>45506</x:v>
      </x:c>
      <x:c r="E4805" s="9" t="n">
        <x:v>2138500</x:v>
      </x:c>
      <x:c r="F4805" s="9" t="n">
        <x:v>0</x:v>
      </x:c>
    </x:row>
    <x:row r="4806" ht="34" customHeight="1">
      <x:c r="A4806" s="4" t="str">
        <x:v>RS-02413-I1</x:v>
      </x:c>
      <x:c r="B4806" s="4" t="str">
        <x:v>RS-02413</x:v>
      </x:c>
      <x:c r="C4806" s="9" t="n">
        <x:v>1</x:v>
      </x:c>
      <x:c r="D4806" s="8" t="n">
        <x:v>45417</x:v>
      </x:c>
      <x:c r="E4806" s="9" t="n">
        <x:v>880000</x:v>
      </x:c>
      <x:c r="F4806" s="9" t="n">
        <x:v>352000</x:v>
      </x:c>
    </x:row>
    <x:row r="4807" ht="34" customHeight="1">
      <x:c r="A4807" s="4" t="str">
        <x:v>RS-02413-I2</x:v>
      </x:c>
      <x:c r="B4807" s="4" t="str">
        <x:v>RS-02413</x:v>
      </x:c>
      <x:c r="C4807" s="9" t="n">
        <x:v>2</x:v>
      </x:c>
      <x:c r="D4807" s="8" t="n">
        <x:v>45447</x:v>
      </x:c>
      <x:c r="E4807" s="9" t="n">
        <x:v>880000</x:v>
      </x:c>
      <x:c r="F4807" s="9" t="n">
        <x:v>0</x:v>
      </x:c>
    </x:row>
    <x:row r="4808" ht="34" customHeight="1">
      <x:c r="A4808" s="4" t="str">
        <x:v>RS-02413-I3</x:v>
      </x:c>
      <x:c r="B4808" s="4" t="str">
        <x:v>RS-02413</x:v>
      </x:c>
      <x:c r="C4808" s="9" t="n">
        <x:v>3</x:v>
      </x:c>
      <x:c r="D4808" s="8" t="n">
        <x:v>45477</x:v>
      </x:c>
      <x:c r="E4808" s="9" t="n">
        <x:v>880000</x:v>
      </x:c>
      <x:c r="F4808" s="9" t="n">
        <x:v>0</x:v>
      </x:c>
    </x:row>
    <x:row r="4809" ht="34" customHeight="1">
      <x:c r="A4809" s="4" t="str">
        <x:v>RS-02413-I4</x:v>
      </x:c>
      <x:c r="B4809" s="4" t="str">
        <x:v>RS-02413</x:v>
      </x:c>
      <x:c r="C4809" s="9" t="n">
        <x:v>4</x:v>
      </x:c>
      <x:c r="D4809" s="8" t="n">
        <x:v>45507</x:v>
      </x:c>
      <x:c r="E4809" s="9" t="n">
        <x:v>880000</x:v>
      </x:c>
      <x:c r="F4809" s="9" t="n">
        <x:v>0</x:v>
      </x:c>
    </x:row>
    <x:row r="4810" ht="34" customHeight="1">
      <x:c r="A4810" s="4" t="str">
        <x:v>RS-02414-I1</x:v>
      </x:c>
      <x:c r="B4810" s="4" t="str">
        <x:v>RS-02414</x:v>
      </x:c>
      <x:c r="C4810" s="9" t="n">
        <x:v>1</x:v>
      </x:c>
      <x:c r="D4810" s="8" t="n">
        <x:v>45418</x:v>
      </x:c>
      <x:c r="E4810" s="9" t="n">
        <x:v>1842750</x:v>
      </x:c>
      <x:c r="F4810" s="9" t="n">
        <x:v>1842750</x:v>
      </x:c>
    </x:row>
    <x:row r="4811" ht="34" customHeight="1">
      <x:c r="A4811" s="4" t="str">
        <x:v>RS-02414-I2</x:v>
      </x:c>
      <x:c r="B4811" s="4" t="str">
        <x:v>RS-02414</x:v>
      </x:c>
      <x:c r="C4811" s="9" t="n">
        <x:v>2</x:v>
      </x:c>
      <x:c r="D4811" s="8" t="n">
        <x:v>45448</x:v>
      </x:c>
      <x:c r="E4811" s="9" t="n">
        <x:v>1842750</x:v>
      </x:c>
      <x:c r="F4811" s="9" t="n">
        <x:v>0</x:v>
      </x:c>
    </x:row>
    <x:row r="4812" ht="34" customHeight="1">
      <x:c r="A4812" s="4" t="str">
        <x:v>RS-02414-I3</x:v>
      </x:c>
      <x:c r="B4812" s="4" t="str">
        <x:v>RS-02414</x:v>
      </x:c>
      <x:c r="C4812" s="9" t="n">
        <x:v>3</x:v>
      </x:c>
      <x:c r="D4812" s="8" t="n">
        <x:v>45478</x:v>
      </x:c>
      <x:c r="E4812" s="9" t="n">
        <x:v>1842750</x:v>
      </x:c>
      <x:c r="F4812" s="9" t="n">
        <x:v>0</x:v>
      </x:c>
    </x:row>
    <x:row r="4813" ht="34" customHeight="1">
      <x:c r="A4813" s="4" t="str">
        <x:v>RS-02414-I4</x:v>
      </x:c>
      <x:c r="B4813" s="4" t="str">
        <x:v>RS-02414</x:v>
      </x:c>
      <x:c r="C4813" s="9" t="n">
        <x:v>4</x:v>
      </x:c>
      <x:c r="D4813" s="8" t="n">
        <x:v>45508</x:v>
      </x:c>
      <x:c r="E4813" s="9" t="n">
        <x:v>1842750</x:v>
      </x:c>
      <x:c r="F4813" s="9" t="n">
        <x:v>0</x:v>
      </x:c>
    </x:row>
    <x:row r="4814" ht="34" customHeight="1">
      <x:c r="A4814" s="4" t="str">
        <x:v>RS-02415-I1</x:v>
      </x:c>
      <x:c r="B4814" s="4" t="str">
        <x:v>RS-02415</x:v>
      </x:c>
      <x:c r="C4814" s="9" t="n">
        <x:v>1</x:v>
      </x:c>
      <x:c r="D4814" s="8" t="n">
        <x:v>45419</x:v>
      </x:c>
      <x:c r="E4814" s="9" t="n">
        <x:v>2999250</x:v>
      </x:c>
      <x:c r="F4814" s="9" t="n">
        <x:v>2999250</x:v>
      </x:c>
    </x:row>
    <x:row r="4815" ht="34" customHeight="1">
      <x:c r="A4815" s="4" t="str">
        <x:v>RS-02415-I2</x:v>
      </x:c>
      <x:c r="B4815" s="4" t="str">
        <x:v>RS-02415</x:v>
      </x:c>
      <x:c r="C4815" s="9" t="n">
        <x:v>2</x:v>
      </x:c>
      <x:c r="D4815" s="8" t="n">
        <x:v>45449</x:v>
      </x:c>
      <x:c r="E4815" s="9" t="n">
        <x:v>2999250</x:v>
      </x:c>
      <x:c r="F4815" s="9" t="n">
        <x:v>2999250</x:v>
      </x:c>
    </x:row>
    <x:row r="4816" ht="34" customHeight="1">
      <x:c r="A4816" s="4" t="str">
        <x:v>RS-02415-I3</x:v>
      </x:c>
      <x:c r="B4816" s="4" t="str">
        <x:v>RS-02415</x:v>
      </x:c>
      <x:c r="C4816" s="9" t="n">
        <x:v>3</x:v>
      </x:c>
      <x:c r="D4816" s="8" t="n">
        <x:v>45479</x:v>
      </x:c>
      <x:c r="E4816" s="9" t="n">
        <x:v>2999250</x:v>
      </x:c>
      <x:c r="F4816" s="9" t="n">
        <x:v>2999250</x:v>
      </x:c>
    </x:row>
    <x:row r="4817" ht="34" customHeight="1">
      <x:c r="A4817" s="4" t="str">
        <x:v>RS-02415-I4</x:v>
      </x:c>
      <x:c r="B4817" s="4" t="str">
        <x:v>RS-02415</x:v>
      </x:c>
      <x:c r="C4817" s="9" t="n">
        <x:v>4</x:v>
      </x:c>
      <x:c r="D4817" s="8" t="n">
        <x:v>45509</x:v>
      </x:c>
      <x:c r="E4817" s="9" t="n">
        <x:v>2999250</x:v>
      </x:c>
      <x:c r="F4817" s="9" t="n">
        <x:v>2999250</x:v>
      </x:c>
    </x:row>
    <x:row r="4818" ht="34" customHeight="1">
      <x:c r="A4818" s="4" t="str">
        <x:v>RS-02416-I1</x:v>
      </x:c>
      <x:c r="B4818" s="4" t="str">
        <x:v>RS-02416</x:v>
      </x:c>
      <x:c r="C4818" s="9" t="n">
        <x:v>1</x:v>
      </x:c>
      <x:c r="D4818" s="8" t="n">
        <x:v>45420</x:v>
      </x:c>
      <x:c r="E4818" s="9" t="n">
        <x:v>3249500</x:v>
      </x:c>
      <x:c r="F4818" s="9" t="n">
        <x:v>1299800</x:v>
      </x:c>
    </x:row>
    <x:row r="4819" ht="34" customHeight="1">
      <x:c r="A4819" s="4" t="str">
        <x:v>RS-02416-I2</x:v>
      </x:c>
      <x:c r="B4819" s="4" t="str">
        <x:v>RS-02416</x:v>
      </x:c>
      <x:c r="C4819" s="9" t="n">
        <x:v>2</x:v>
      </x:c>
      <x:c r="D4819" s="8" t="n">
        <x:v>45450</x:v>
      </x:c>
      <x:c r="E4819" s="9" t="n">
        <x:v>3249500</x:v>
      </x:c>
      <x:c r="F4819" s="9" t="n">
        <x:v>0</x:v>
      </x:c>
    </x:row>
    <x:row r="4820" ht="34" customHeight="1">
      <x:c r="A4820" s="4" t="str">
        <x:v>RS-02416-I3</x:v>
      </x:c>
      <x:c r="B4820" s="4" t="str">
        <x:v>RS-02416</x:v>
      </x:c>
      <x:c r="C4820" s="9" t="n">
        <x:v>3</x:v>
      </x:c>
      <x:c r="D4820" s="8" t="n">
        <x:v>45480</x:v>
      </x:c>
      <x:c r="E4820" s="9" t="n">
        <x:v>3249500</x:v>
      </x:c>
      <x:c r="F4820" s="9" t="n">
        <x:v>0</x:v>
      </x:c>
    </x:row>
    <x:row r="4821" ht="34" customHeight="1">
      <x:c r="A4821" s="4" t="str">
        <x:v>RS-02416-I4</x:v>
      </x:c>
      <x:c r="B4821" s="4" t="str">
        <x:v>RS-02416</x:v>
      </x:c>
      <x:c r="C4821" s="9" t="n">
        <x:v>4</x:v>
      </x:c>
      <x:c r="D4821" s="8" t="n">
        <x:v>45510</x:v>
      </x:c>
      <x:c r="E4821" s="9" t="n">
        <x:v>3249500</x:v>
      </x:c>
      <x:c r="F4821" s="9" t="n">
        <x:v>0</x:v>
      </x:c>
    </x:row>
    <x:row r="4822" ht="34" customHeight="1">
      <x:c r="A4822" s="4" t="str">
        <x:v>RS-02417-I1</x:v>
      </x:c>
      <x:c r="B4822" s="4" t="str">
        <x:v>RS-02417</x:v>
      </x:c>
      <x:c r="C4822" s="9" t="n">
        <x:v>1</x:v>
      </x:c>
      <x:c r="D4822" s="8" t="n">
        <x:v>45421</x:v>
      </x:c>
      <x:c r="E4822" s="9" t="n">
        <x:v>1064250</x:v>
      </x:c>
      <x:c r="F4822" s="9" t="n">
        <x:v>1064250</x:v>
      </x:c>
    </x:row>
    <x:row r="4823" ht="34" customHeight="1">
      <x:c r="A4823" s="4" t="str">
        <x:v>RS-02417-I2</x:v>
      </x:c>
      <x:c r="B4823" s="4" t="str">
        <x:v>RS-02417</x:v>
      </x:c>
      <x:c r="C4823" s="9" t="n">
        <x:v>2</x:v>
      </x:c>
      <x:c r="D4823" s="8" t="n">
        <x:v>45451</x:v>
      </x:c>
      <x:c r="E4823" s="9" t="n">
        <x:v>1064250</x:v>
      </x:c>
      <x:c r="F4823" s="9" t="n">
        <x:v>1064250</x:v>
      </x:c>
    </x:row>
    <x:row r="4824" ht="34" customHeight="1">
      <x:c r="A4824" s="4" t="str">
        <x:v>RS-02417-I3</x:v>
      </x:c>
      <x:c r="B4824" s="4" t="str">
        <x:v>RS-02417</x:v>
      </x:c>
      <x:c r="C4824" s="9" t="n">
        <x:v>3</x:v>
      </x:c>
      <x:c r="D4824" s="8" t="n">
        <x:v>45481</x:v>
      </x:c>
      <x:c r="E4824" s="9" t="n">
        <x:v>1064250</x:v>
      </x:c>
      <x:c r="F4824" s="9" t="n">
        <x:v>1064250</x:v>
      </x:c>
    </x:row>
    <x:row r="4825" ht="34" customHeight="1">
      <x:c r="A4825" s="4" t="str">
        <x:v>RS-02417-I4</x:v>
      </x:c>
      <x:c r="B4825" s="4" t="str">
        <x:v>RS-02417</x:v>
      </x:c>
      <x:c r="C4825" s="9" t="n">
        <x:v>4</x:v>
      </x:c>
      <x:c r="D4825" s="8" t="n">
        <x:v>45511</x:v>
      </x:c>
      <x:c r="E4825" s="9" t="n">
        <x:v>1064250</x:v>
      </x:c>
      <x:c r="F4825" s="9" t="n">
        <x:v>1064250</x:v>
      </x:c>
    </x:row>
    <x:row r="4826" ht="34" customHeight="1">
      <x:c r="A4826" s="4" t="str">
        <x:v>RS-02421-I1</x:v>
      </x:c>
      <x:c r="B4826" s="4" t="str">
        <x:v>RS-02421</x:v>
      </x:c>
      <x:c r="C4826" s="9" t="n">
        <x:v>1</x:v>
      </x:c>
      <x:c r="D4826" s="8" t="n">
        <x:v>45425</x:v>
      </x:c>
      <x:c r="E4826" s="9" t="n">
        <x:v>2825750</x:v>
      </x:c>
      <x:c r="F4826" s="9" t="n">
        <x:v>2825750</x:v>
      </x:c>
    </x:row>
    <x:row r="4827" ht="34" customHeight="1">
      <x:c r="A4827" s="4" t="str">
        <x:v>RS-02421-I2</x:v>
      </x:c>
      <x:c r="B4827" s="4" t="str">
        <x:v>RS-02421</x:v>
      </x:c>
      <x:c r="C4827" s="9" t="n">
        <x:v>2</x:v>
      </x:c>
      <x:c r="D4827" s="8" t="n">
        <x:v>45455</x:v>
      </x:c>
      <x:c r="E4827" s="9" t="n">
        <x:v>2825750</x:v>
      </x:c>
      <x:c r="F4827" s="9" t="n">
        <x:v>2825750</x:v>
      </x:c>
    </x:row>
    <x:row r="4828" ht="34" customHeight="1">
      <x:c r="A4828" s="4" t="str">
        <x:v>RS-02421-I3</x:v>
      </x:c>
      <x:c r="B4828" s="4" t="str">
        <x:v>RS-02421</x:v>
      </x:c>
      <x:c r="C4828" s="9" t="n">
        <x:v>3</x:v>
      </x:c>
      <x:c r="D4828" s="8" t="n">
        <x:v>45485</x:v>
      </x:c>
      <x:c r="E4828" s="9" t="n">
        <x:v>2825750</x:v>
      </x:c>
      <x:c r="F4828" s="9" t="n">
        <x:v>0</x:v>
      </x:c>
    </x:row>
    <x:row r="4829" ht="34" customHeight="1">
      <x:c r="A4829" s="4" t="str">
        <x:v>RS-02421-I4</x:v>
      </x:c>
      <x:c r="B4829" s="4" t="str">
        <x:v>RS-02421</x:v>
      </x:c>
      <x:c r="C4829" s="9" t="n">
        <x:v>4</x:v>
      </x:c>
      <x:c r="D4829" s="8" t="n">
        <x:v>45515</x:v>
      </x:c>
      <x:c r="E4829" s="9" t="n">
        <x:v>2825750</x:v>
      </x:c>
      <x:c r="F4829" s="9" t="n">
        <x:v>0</x:v>
      </x:c>
    </x:row>
    <x:row r="4830" ht="34" customHeight="1">
      <x:c r="A4830" s="4" t="str">
        <x:v>RS-02425-I1</x:v>
      </x:c>
      <x:c r="B4830" s="4" t="str">
        <x:v>RS-02425</x:v>
      </x:c>
      <x:c r="C4830" s="9" t="n">
        <x:v>1</x:v>
      </x:c>
      <x:c r="D4830" s="8" t="n">
        <x:v>45429</x:v>
      </x:c>
      <x:c r="E4830" s="9" t="n">
        <x:v>3185000</x:v>
      </x:c>
      <x:c r="F4830" s="9" t="n">
        <x:v>3185000</x:v>
      </x:c>
    </x:row>
    <x:row r="4831" ht="34" customHeight="1">
      <x:c r="A4831" s="4" t="str">
        <x:v>RS-02425-I2</x:v>
      </x:c>
      <x:c r="B4831" s="4" t="str">
        <x:v>RS-02425</x:v>
      </x:c>
      <x:c r="C4831" s="9" t="n">
        <x:v>2</x:v>
      </x:c>
      <x:c r="D4831" s="8" t="n">
        <x:v>45459</x:v>
      </x:c>
      <x:c r="E4831" s="9" t="n">
        <x:v>3185000</x:v>
      </x:c>
      <x:c r="F4831" s="9" t="n">
        <x:v>0</x:v>
      </x:c>
    </x:row>
    <x:row r="4832" ht="34" customHeight="1">
      <x:c r="A4832" s="4" t="str">
        <x:v>RS-02425-I3</x:v>
      </x:c>
      <x:c r="B4832" s="4" t="str">
        <x:v>RS-02425</x:v>
      </x:c>
      <x:c r="C4832" s="9" t="n">
        <x:v>3</x:v>
      </x:c>
      <x:c r="D4832" s="8" t="n">
        <x:v>45489</x:v>
      </x:c>
      <x:c r="E4832" s="9" t="n">
        <x:v>3185000</x:v>
      </x:c>
      <x:c r="F4832" s="9" t="n">
        <x:v>0</x:v>
      </x:c>
    </x:row>
    <x:row r="4833" ht="34" customHeight="1">
      <x:c r="A4833" s="4" t="str">
        <x:v>RS-02425-I4</x:v>
      </x:c>
      <x:c r="B4833" s="4" t="str">
        <x:v>RS-02425</x:v>
      </x:c>
      <x:c r="C4833" s="9" t="n">
        <x:v>4</x:v>
      </x:c>
      <x:c r="D4833" s="8" t="n">
        <x:v>45519</x:v>
      </x:c>
      <x:c r="E4833" s="9" t="n">
        <x:v>3185000</x:v>
      </x:c>
      <x:c r="F4833" s="9" t="n">
        <x:v>0</x:v>
      </x:c>
    </x:row>
    <x:row r="4834" ht="34" customHeight="1">
      <x:c r="A4834" s="4" t="str">
        <x:v>RS-02426-I1</x:v>
      </x:c>
      <x:c r="B4834" s="4" t="str">
        <x:v>RS-02426</x:v>
      </x:c>
      <x:c r="C4834" s="9" t="n">
        <x:v>1</x:v>
      </x:c>
      <x:c r="D4834" s="8" t="n">
        <x:v>45430</x:v>
      </x:c>
      <x:c r="E4834" s="9" t="n">
        <x:v>5522500</x:v>
      </x:c>
      <x:c r="F4834" s="9" t="n">
        <x:v>5522500</x:v>
      </x:c>
    </x:row>
    <x:row r="4835" ht="34" customHeight="1">
      <x:c r="A4835" s="4" t="str">
        <x:v>RS-02426-I2</x:v>
      </x:c>
      <x:c r="B4835" s="4" t="str">
        <x:v>RS-02426</x:v>
      </x:c>
      <x:c r="C4835" s="9" t="n">
        <x:v>2</x:v>
      </x:c>
      <x:c r="D4835" s="8" t="n">
        <x:v>45460</x:v>
      </x:c>
      <x:c r="E4835" s="9" t="n">
        <x:v>5522500</x:v>
      </x:c>
      <x:c r="F4835" s="9" t="n">
        <x:v>5522500</x:v>
      </x:c>
    </x:row>
    <x:row r="4836" ht="34" customHeight="1">
      <x:c r="A4836" s="4" t="str">
        <x:v>RS-02426-I3</x:v>
      </x:c>
      <x:c r="B4836" s="4" t="str">
        <x:v>RS-02426</x:v>
      </x:c>
      <x:c r="C4836" s="9" t="n">
        <x:v>3</x:v>
      </x:c>
      <x:c r="D4836" s="8" t="n">
        <x:v>45490</x:v>
      </x:c>
      <x:c r="E4836" s="9" t="n">
        <x:v>5522500</x:v>
      </x:c>
      <x:c r="F4836" s="9" t="n">
        <x:v>5522500</x:v>
      </x:c>
    </x:row>
    <x:row r="4837" ht="34" customHeight="1">
      <x:c r="A4837" s="4" t="str">
        <x:v>RS-02426-I4</x:v>
      </x:c>
      <x:c r="B4837" s="4" t="str">
        <x:v>RS-02426</x:v>
      </x:c>
      <x:c r="C4837" s="9" t="n">
        <x:v>4</x:v>
      </x:c>
      <x:c r="D4837" s="8" t="n">
        <x:v>45520</x:v>
      </x:c>
      <x:c r="E4837" s="9" t="n">
        <x:v>5522500</x:v>
      </x:c>
      <x:c r="F4837" s="9" t="n">
        <x:v>5522500</x:v>
      </x:c>
    </x:row>
    <x:row r="4838" ht="34" customHeight="1">
      <x:c r="A4838" s="4" t="str">
        <x:v>RS-02427-I1</x:v>
      </x:c>
      <x:c r="B4838" s="4" t="str">
        <x:v>RS-02427</x:v>
      </x:c>
      <x:c r="C4838" s="9" t="n">
        <x:v>1</x:v>
      </x:c>
      <x:c r="D4838" s="8" t="n">
        <x:v>45431</x:v>
      </x:c>
      <x:c r="E4838" s="9" t="n">
        <x:v>945750</x:v>
      </x:c>
      <x:c r="F4838" s="9" t="n">
        <x:v>945750</x:v>
      </x:c>
    </x:row>
    <x:row r="4839" ht="34" customHeight="1">
      <x:c r="A4839" s="4" t="str">
        <x:v>RS-02427-I2</x:v>
      </x:c>
      <x:c r="B4839" s="4" t="str">
        <x:v>RS-02427</x:v>
      </x:c>
      <x:c r="C4839" s="9" t="n">
        <x:v>2</x:v>
      </x:c>
      <x:c r="D4839" s="8" t="n">
        <x:v>45461</x:v>
      </x:c>
      <x:c r="E4839" s="9" t="n">
        <x:v>945750</x:v>
      </x:c>
      <x:c r="F4839" s="9" t="n">
        <x:v>0</x:v>
      </x:c>
    </x:row>
    <x:row r="4840" ht="34" customHeight="1">
      <x:c r="A4840" s="4" t="str">
        <x:v>RS-02427-I3</x:v>
      </x:c>
      <x:c r="B4840" s="4" t="str">
        <x:v>RS-02427</x:v>
      </x:c>
      <x:c r="C4840" s="9" t="n">
        <x:v>3</x:v>
      </x:c>
      <x:c r="D4840" s="8" t="n">
        <x:v>45491</x:v>
      </x:c>
      <x:c r="E4840" s="9" t="n">
        <x:v>945750</x:v>
      </x:c>
      <x:c r="F4840" s="9" t="n">
        <x:v>0</x:v>
      </x:c>
    </x:row>
    <x:row r="4841" ht="34" customHeight="1">
      <x:c r="A4841" s="4" t="str">
        <x:v>RS-02427-I4</x:v>
      </x:c>
      <x:c r="B4841" s="4" t="str">
        <x:v>RS-02427</x:v>
      </x:c>
      <x:c r="C4841" s="9" t="n">
        <x:v>4</x:v>
      </x:c>
      <x:c r="D4841" s="8" t="n">
        <x:v>45521</x:v>
      </x:c>
      <x:c r="E4841" s="9" t="n">
        <x:v>945750</x:v>
      </x:c>
      <x:c r="F4841" s="9" t="n">
        <x:v>0</x:v>
      </x:c>
    </x:row>
    <x:row r="4842" ht="34" customHeight="1">
      <x:c r="A4842" s="4" t="str">
        <x:v>RS-02428-I1</x:v>
      </x:c>
      <x:c r="B4842" s="4" t="str">
        <x:v>RS-02428</x:v>
      </x:c>
      <x:c r="C4842" s="9" t="n">
        <x:v>1</x:v>
      </x:c>
      <x:c r="D4842" s="8" t="n">
        <x:v>45432</x:v>
      </x:c>
      <x:c r="E4842" s="9" t="n">
        <x:v>5346000</x:v>
      </x:c>
      <x:c r="F4842" s="9" t="n">
        <x:v>5346000</x:v>
      </x:c>
    </x:row>
    <x:row r="4843" ht="34" customHeight="1">
      <x:c r="A4843" s="4" t="str">
        <x:v>RS-02428-I2</x:v>
      </x:c>
      <x:c r="B4843" s="4" t="str">
        <x:v>RS-02428</x:v>
      </x:c>
      <x:c r="C4843" s="9" t="n">
        <x:v>2</x:v>
      </x:c>
      <x:c r="D4843" s="8" t="n">
        <x:v>45462</x:v>
      </x:c>
      <x:c r="E4843" s="9" t="n">
        <x:v>5346000</x:v>
      </x:c>
      <x:c r="F4843" s="9" t="n">
        <x:v>5346000</x:v>
      </x:c>
    </x:row>
    <x:row r="4844" ht="34" customHeight="1">
      <x:c r="A4844" s="4" t="str">
        <x:v>RS-02428-I3</x:v>
      </x:c>
      <x:c r="B4844" s="4" t="str">
        <x:v>RS-02428</x:v>
      </x:c>
      <x:c r="C4844" s="9" t="n">
        <x:v>3</x:v>
      </x:c>
      <x:c r="D4844" s="8" t="n">
        <x:v>45492</x:v>
      </x:c>
      <x:c r="E4844" s="9" t="n">
        <x:v>5346000</x:v>
      </x:c>
      <x:c r="F4844" s="9" t="n">
        <x:v>0</x:v>
      </x:c>
    </x:row>
    <x:row r="4845" ht="34" customHeight="1">
      <x:c r="A4845" s="4" t="str">
        <x:v>RS-02428-I4</x:v>
      </x:c>
      <x:c r="B4845" s="4" t="str">
        <x:v>RS-02428</x:v>
      </x:c>
      <x:c r="C4845" s="9" t="n">
        <x:v>4</x:v>
      </x:c>
      <x:c r="D4845" s="8" t="n">
        <x:v>45522</x:v>
      </x:c>
      <x:c r="E4845" s="9" t="n">
        <x:v>5346000</x:v>
      </x:c>
      <x:c r="F4845" s="9" t="n">
        <x:v>0</x:v>
      </x:c>
    </x:row>
    <x:row r="4846" ht="34" customHeight="1">
      <x:c r="A4846" s="4" t="str">
        <x:v>RS-02429-I1</x:v>
      </x:c>
      <x:c r="B4846" s="4" t="str">
        <x:v>RS-02429</x:v>
      </x:c>
      <x:c r="C4846" s="9" t="n">
        <x:v>1</x:v>
      </x:c>
      <x:c r="D4846" s="8" t="n">
        <x:v>45433</x:v>
      </x:c>
      <x:c r="E4846" s="9" t="n">
        <x:v>3037500</x:v>
      </x:c>
      <x:c r="F4846" s="9" t="n">
        <x:v>3037500</x:v>
      </x:c>
    </x:row>
    <x:row r="4847" ht="34" customHeight="1">
      <x:c r="A4847" s="4" t="str">
        <x:v>RS-02429-I2</x:v>
      </x:c>
      <x:c r="B4847" s="4" t="str">
        <x:v>RS-02429</x:v>
      </x:c>
      <x:c r="C4847" s="9" t="n">
        <x:v>2</x:v>
      </x:c>
      <x:c r="D4847" s="8" t="n">
        <x:v>45463</x:v>
      </x:c>
      <x:c r="E4847" s="9" t="n">
        <x:v>3037500</x:v>
      </x:c>
      <x:c r="F4847" s="9" t="n">
        <x:v>0</x:v>
      </x:c>
    </x:row>
    <x:row r="4848" ht="34" customHeight="1">
      <x:c r="A4848" s="4" t="str">
        <x:v>RS-02429-I3</x:v>
      </x:c>
      <x:c r="B4848" s="4" t="str">
        <x:v>RS-02429</x:v>
      </x:c>
      <x:c r="C4848" s="9" t="n">
        <x:v>3</x:v>
      </x:c>
      <x:c r="D4848" s="8" t="n">
        <x:v>45493</x:v>
      </x:c>
      <x:c r="E4848" s="9" t="n">
        <x:v>3037500</x:v>
      </x:c>
      <x:c r="F4848" s="9" t="n">
        <x:v>0</x:v>
      </x:c>
    </x:row>
    <x:row r="4849" ht="34" customHeight="1">
      <x:c r="A4849" s="4" t="str">
        <x:v>RS-02429-I4</x:v>
      </x:c>
      <x:c r="B4849" s="4" t="str">
        <x:v>RS-02429</x:v>
      </x:c>
      <x:c r="C4849" s="9" t="n">
        <x:v>4</x:v>
      </x:c>
      <x:c r="D4849" s="8" t="n">
        <x:v>45523</x:v>
      </x:c>
      <x:c r="E4849" s="9" t="n">
        <x:v>3037500</x:v>
      </x:c>
      <x:c r="F4849" s="9" t="n">
        <x:v>0</x:v>
      </x:c>
    </x:row>
    <x:row r="4850" ht="34" customHeight="1">
      <x:c r="A4850" s="4" t="str">
        <x:v>RS-02430-I1</x:v>
      </x:c>
      <x:c r="B4850" s="4" t="str">
        <x:v>RS-02430</x:v>
      </x:c>
      <x:c r="C4850" s="9" t="n">
        <x:v>1</x:v>
      </x:c>
      <x:c r="D4850" s="8" t="n">
        <x:v>45434</x:v>
      </x:c>
      <x:c r="E4850" s="9" t="n">
        <x:v>4059000</x:v>
      </x:c>
      <x:c r="F4850" s="9" t="n">
        <x:v>4059000</x:v>
      </x:c>
    </x:row>
    <x:row r="4851" ht="34" customHeight="1">
      <x:c r="A4851" s="4" t="str">
        <x:v>RS-02430-I2</x:v>
      </x:c>
      <x:c r="B4851" s="4" t="str">
        <x:v>RS-02430</x:v>
      </x:c>
      <x:c r="C4851" s="9" t="n">
        <x:v>2</x:v>
      </x:c>
      <x:c r="D4851" s="8" t="n">
        <x:v>45464</x:v>
      </x:c>
      <x:c r="E4851" s="9" t="n">
        <x:v>4059000</x:v>
      </x:c>
      <x:c r="F4851" s="9" t="n">
        <x:v>0</x:v>
      </x:c>
    </x:row>
    <x:row r="4852" ht="34" customHeight="1">
      <x:c r="A4852" s="4" t="str">
        <x:v>RS-02430-I3</x:v>
      </x:c>
      <x:c r="B4852" s="4" t="str">
        <x:v>RS-02430</x:v>
      </x:c>
      <x:c r="C4852" s="9" t="n">
        <x:v>3</x:v>
      </x:c>
      <x:c r="D4852" s="8" t="n">
        <x:v>45494</x:v>
      </x:c>
      <x:c r="E4852" s="9" t="n">
        <x:v>4059000</x:v>
      </x:c>
      <x:c r="F4852" s="9" t="n">
        <x:v>0</x:v>
      </x:c>
    </x:row>
    <x:row r="4853" ht="34" customHeight="1">
      <x:c r="A4853" s="4" t="str">
        <x:v>RS-02430-I4</x:v>
      </x:c>
      <x:c r="B4853" s="4" t="str">
        <x:v>RS-02430</x:v>
      </x:c>
      <x:c r="C4853" s="9" t="n">
        <x:v>4</x:v>
      </x:c>
      <x:c r="D4853" s="8" t="n">
        <x:v>45524</x:v>
      </x:c>
      <x:c r="E4853" s="9" t="n">
        <x:v>4059000</x:v>
      </x:c>
      <x:c r="F4853" s="9" t="n">
        <x:v>0</x:v>
      </x:c>
    </x:row>
    <x:row r="4854" ht="34" customHeight="1">
      <x:c r="A4854" s="4" t="str">
        <x:v>RS-02433-I1</x:v>
      </x:c>
      <x:c r="B4854" s="4" t="str">
        <x:v>RS-02433</x:v>
      </x:c>
      <x:c r="C4854" s="9" t="n">
        <x:v>1</x:v>
      </x:c>
      <x:c r="D4854" s="8" t="n">
        <x:v>45437</x:v>
      </x:c>
      <x:c r="E4854" s="9" t="n">
        <x:v>4417500</x:v>
      </x:c>
      <x:c r="F4854" s="9" t="n">
        <x:v>4417500</x:v>
      </x:c>
    </x:row>
    <x:row r="4855" ht="34" customHeight="1">
      <x:c r="A4855" s="4" t="str">
        <x:v>RS-02433-I2</x:v>
      </x:c>
      <x:c r="B4855" s="4" t="str">
        <x:v>RS-02433</x:v>
      </x:c>
      <x:c r="C4855" s="9" t="n">
        <x:v>2</x:v>
      </x:c>
      <x:c r="D4855" s="8" t="n">
        <x:v>45467</x:v>
      </x:c>
      <x:c r="E4855" s="9" t="n">
        <x:v>4417500</x:v>
      </x:c>
      <x:c r="F4855" s="9" t="n">
        <x:v>4417500</x:v>
      </x:c>
    </x:row>
    <x:row r="4856" ht="34" customHeight="1">
      <x:c r="A4856" s="4" t="str">
        <x:v>RS-02433-I3</x:v>
      </x:c>
      <x:c r="B4856" s="4" t="str">
        <x:v>RS-02433</x:v>
      </x:c>
      <x:c r="C4856" s="9" t="n">
        <x:v>3</x:v>
      </x:c>
      <x:c r="D4856" s="8" t="n">
        <x:v>45497</x:v>
      </x:c>
      <x:c r="E4856" s="9" t="n">
        <x:v>4417500</x:v>
      </x:c>
      <x:c r="F4856" s="9" t="n">
        <x:v>4417500</x:v>
      </x:c>
    </x:row>
    <x:row r="4857" ht="34" customHeight="1">
      <x:c r="A4857" s="4" t="str">
        <x:v>RS-02433-I4</x:v>
      </x:c>
      <x:c r="B4857" s="4" t="str">
        <x:v>RS-02433</x:v>
      </x:c>
      <x:c r="C4857" s="9" t="n">
        <x:v>4</x:v>
      </x:c>
      <x:c r="D4857" s="8" t="n">
        <x:v>45527</x:v>
      </x:c>
      <x:c r="E4857" s="9" t="n">
        <x:v>4417500</x:v>
      </x:c>
      <x:c r="F4857" s="9" t="n">
        <x:v>4417500</x:v>
      </x:c>
    </x:row>
    <x:row r="4858" ht="34" customHeight="1">
      <x:c r="A4858" s="4" t="str">
        <x:v>RS-02434-I1</x:v>
      </x:c>
      <x:c r="B4858" s="4" t="str">
        <x:v>RS-02434</x:v>
      </x:c>
      <x:c r="C4858" s="9" t="n">
        <x:v>1</x:v>
      </x:c>
      <x:c r="D4858" s="8" t="n">
        <x:v>45438</x:v>
      </x:c>
      <x:c r="E4858" s="9" t="n">
        <x:v>1282500</x:v>
      </x:c>
      <x:c r="F4858" s="9" t="n">
        <x:v>513000</x:v>
      </x:c>
    </x:row>
    <x:row r="4859" ht="34" customHeight="1">
      <x:c r="A4859" s="4" t="str">
        <x:v>RS-02434-I2</x:v>
      </x:c>
      <x:c r="B4859" s="4" t="str">
        <x:v>RS-02434</x:v>
      </x:c>
      <x:c r="C4859" s="9" t="n">
        <x:v>2</x:v>
      </x:c>
      <x:c r="D4859" s="8" t="n">
        <x:v>45468</x:v>
      </x:c>
      <x:c r="E4859" s="9" t="n">
        <x:v>1282500</x:v>
      </x:c>
      <x:c r="F4859" s="9" t="n">
        <x:v>0</x:v>
      </x:c>
    </x:row>
    <x:row r="4860" ht="34" customHeight="1">
      <x:c r="A4860" s="4" t="str">
        <x:v>RS-02434-I3</x:v>
      </x:c>
      <x:c r="B4860" s="4" t="str">
        <x:v>RS-02434</x:v>
      </x:c>
      <x:c r="C4860" s="9" t="n">
        <x:v>3</x:v>
      </x:c>
      <x:c r="D4860" s="8" t="n">
        <x:v>45498</x:v>
      </x:c>
      <x:c r="E4860" s="9" t="n">
        <x:v>1282500</x:v>
      </x:c>
      <x:c r="F4860" s="9" t="n">
        <x:v>0</x:v>
      </x:c>
    </x:row>
    <x:row r="4861" ht="34" customHeight="1">
      <x:c r="A4861" s="4" t="str">
        <x:v>RS-02434-I4</x:v>
      </x:c>
      <x:c r="B4861" s="4" t="str">
        <x:v>RS-02434</x:v>
      </x:c>
      <x:c r="C4861" s="9" t="n">
        <x:v>4</x:v>
      </x:c>
      <x:c r="D4861" s="8" t="n">
        <x:v>45528</x:v>
      </x:c>
      <x:c r="E4861" s="9" t="n">
        <x:v>1282500</x:v>
      </x:c>
      <x:c r="F4861" s="9" t="n">
        <x:v>0</x:v>
      </x:c>
    </x:row>
    <x:row r="4862" ht="34" customHeight="1">
      <x:c r="A4862" s="4" t="str">
        <x:v>RS-02435-I1</x:v>
      </x:c>
      <x:c r="B4862" s="4" t="str">
        <x:v>RS-02435</x:v>
      </x:c>
      <x:c r="C4862" s="9" t="n">
        <x:v>1</x:v>
      </x:c>
      <x:c r="D4862" s="8" t="n">
        <x:v>45439</x:v>
      </x:c>
      <x:c r="E4862" s="9" t="n">
        <x:v>2958500</x:v>
      </x:c>
      <x:c r="F4862" s="9" t="n">
        <x:v>2958500</x:v>
      </x:c>
    </x:row>
    <x:row r="4863" ht="34" customHeight="1">
      <x:c r="A4863" s="4" t="str">
        <x:v>RS-02435-I2</x:v>
      </x:c>
      <x:c r="B4863" s="4" t="str">
        <x:v>RS-02435</x:v>
      </x:c>
      <x:c r="C4863" s="9" t="n">
        <x:v>2</x:v>
      </x:c>
      <x:c r="D4863" s="8" t="n">
        <x:v>45469</x:v>
      </x:c>
      <x:c r="E4863" s="9" t="n">
        <x:v>2958500</x:v>
      </x:c>
      <x:c r="F4863" s="9" t="n">
        <x:v>2958500</x:v>
      </x:c>
    </x:row>
    <x:row r="4864" ht="34" customHeight="1">
      <x:c r="A4864" s="4" t="str">
        <x:v>RS-02435-I3</x:v>
      </x:c>
      <x:c r="B4864" s="4" t="str">
        <x:v>RS-02435</x:v>
      </x:c>
      <x:c r="C4864" s="9" t="n">
        <x:v>3</x:v>
      </x:c>
      <x:c r="D4864" s="8" t="n">
        <x:v>45499</x:v>
      </x:c>
      <x:c r="E4864" s="9" t="n">
        <x:v>2958500</x:v>
      </x:c>
      <x:c r="F4864" s="9" t="n">
        <x:v>0</x:v>
      </x:c>
    </x:row>
    <x:row r="4865" ht="34" customHeight="1">
      <x:c r="A4865" s="4" t="str">
        <x:v>RS-02435-I4</x:v>
      </x:c>
      <x:c r="B4865" s="4" t="str">
        <x:v>RS-02435</x:v>
      </x:c>
      <x:c r="C4865" s="9" t="n">
        <x:v>4</x:v>
      </x:c>
      <x:c r="D4865" s="8" t="n">
        <x:v>45529</x:v>
      </x:c>
      <x:c r="E4865" s="9" t="n">
        <x:v>2958500</x:v>
      </x:c>
      <x:c r="F4865" s="9" t="n">
        <x:v>0</x:v>
      </x:c>
    </x:row>
    <x:row r="4866" ht="34" customHeight="1">
      <x:c r="A4866" s="4" t="str">
        <x:v>RS-02436-I1</x:v>
      </x:c>
      <x:c r="B4866" s="4" t="str">
        <x:v>RS-02436</x:v>
      </x:c>
      <x:c r="C4866" s="9" t="n">
        <x:v>1</x:v>
      </x:c>
      <x:c r="D4866" s="8" t="n">
        <x:v>45440</x:v>
      </x:c>
      <x:c r="E4866" s="9" t="n">
        <x:v>4608000</x:v>
      </x:c>
      <x:c r="F4866" s="9" t="n">
        <x:v>4608000</x:v>
      </x:c>
    </x:row>
    <x:row r="4867" ht="34" customHeight="1">
      <x:c r="A4867" s="4" t="str">
        <x:v>RS-02436-I2</x:v>
      </x:c>
      <x:c r="B4867" s="4" t="str">
        <x:v>RS-02436</x:v>
      </x:c>
      <x:c r="C4867" s="9" t="n">
        <x:v>2</x:v>
      </x:c>
      <x:c r="D4867" s="8" t="n">
        <x:v>45470</x:v>
      </x:c>
      <x:c r="E4867" s="9" t="n">
        <x:v>4608000</x:v>
      </x:c>
      <x:c r="F4867" s="9" t="n">
        <x:v>0</x:v>
      </x:c>
    </x:row>
    <x:row r="4868" ht="34" customHeight="1">
      <x:c r="A4868" s="4" t="str">
        <x:v>RS-02436-I3</x:v>
      </x:c>
      <x:c r="B4868" s="4" t="str">
        <x:v>RS-02436</x:v>
      </x:c>
      <x:c r="C4868" s="9" t="n">
        <x:v>3</x:v>
      </x:c>
      <x:c r="D4868" s="8" t="n">
        <x:v>45500</x:v>
      </x:c>
      <x:c r="E4868" s="9" t="n">
        <x:v>4608000</x:v>
      </x:c>
      <x:c r="F4868" s="9" t="n">
        <x:v>0</x:v>
      </x:c>
    </x:row>
    <x:row r="4869" ht="34" customHeight="1">
      <x:c r="A4869" s="4" t="str">
        <x:v>RS-02436-I4</x:v>
      </x:c>
      <x:c r="B4869" s="4" t="str">
        <x:v>RS-02436</x:v>
      </x:c>
      <x:c r="C4869" s="9" t="n">
        <x:v>4</x:v>
      </x:c>
      <x:c r="D4869" s="8" t="n">
        <x:v>45530</x:v>
      </x:c>
      <x:c r="E4869" s="9" t="n">
        <x:v>4608000</x:v>
      </x:c>
      <x:c r="F4869" s="9" t="n">
        <x:v>0</x:v>
      </x:c>
    </x:row>
    <x:row r="4870" ht="34" customHeight="1">
      <x:c r="A4870" s="4" t="str">
        <x:v>RS-02437-I1</x:v>
      </x:c>
      <x:c r="B4870" s="4" t="str">
        <x:v>RS-02437</x:v>
      </x:c>
      <x:c r="C4870" s="9" t="n">
        <x:v>1</x:v>
      </x:c>
      <x:c r="D4870" s="8" t="n">
        <x:v>45413</x:v>
      </x:c>
      <x:c r="E4870" s="9" t="n">
        <x:v>3298000</x:v>
      </x:c>
      <x:c r="F4870" s="9" t="n">
        <x:v>1319200</x:v>
      </x:c>
    </x:row>
    <x:row r="4871" ht="34" customHeight="1">
      <x:c r="A4871" s="4" t="str">
        <x:v>RS-02437-I2</x:v>
      </x:c>
      <x:c r="B4871" s="4" t="str">
        <x:v>RS-02437</x:v>
      </x:c>
      <x:c r="C4871" s="9" t="n">
        <x:v>2</x:v>
      </x:c>
      <x:c r="D4871" s="8" t="n">
        <x:v>45443</x:v>
      </x:c>
      <x:c r="E4871" s="9" t="n">
        <x:v>3298000</x:v>
      </x:c>
      <x:c r="F4871" s="9" t="n">
        <x:v>0</x:v>
      </x:c>
    </x:row>
    <x:row r="4872" ht="34" customHeight="1">
      <x:c r="A4872" s="4" t="str">
        <x:v>RS-02437-I3</x:v>
      </x:c>
      <x:c r="B4872" s="4" t="str">
        <x:v>RS-02437</x:v>
      </x:c>
      <x:c r="C4872" s="9" t="n">
        <x:v>3</x:v>
      </x:c>
      <x:c r="D4872" s="8" t="n">
        <x:v>45473</x:v>
      </x:c>
      <x:c r="E4872" s="9" t="n">
        <x:v>3298000</x:v>
      </x:c>
      <x:c r="F4872" s="9" t="n">
        <x:v>0</x:v>
      </x:c>
    </x:row>
    <x:row r="4873" ht="34" customHeight="1">
      <x:c r="A4873" s="4" t="str">
        <x:v>RS-02437-I4</x:v>
      </x:c>
      <x:c r="B4873" s="4" t="str">
        <x:v>RS-02437</x:v>
      </x:c>
      <x:c r="C4873" s="9" t="n">
        <x:v>4</x:v>
      </x:c>
      <x:c r="D4873" s="8" t="n">
        <x:v>45503</x:v>
      </x:c>
      <x:c r="E4873" s="9" t="n">
        <x:v>3298000</x:v>
      </x:c>
      <x:c r="F4873" s="9" t="n">
        <x:v>0</x:v>
      </x:c>
    </x:row>
    <x:row r="4874" ht="34" customHeight="1">
      <x:c r="A4874" s="4" t="str">
        <x:v>RS-02438-I1</x:v>
      </x:c>
      <x:c r="B4874" s="4" t="str">
        <x:v>RS-02438</x:v>
      </x:c>
      <x:c r="C4874" s="9" t="n">
        <x:v>1</x:v>
      </x:c>
      <x:c r="D4874" s="8" t="n">
        <x:v>45414</x:v>
      </x:c>
      <x:c r="E4874" s="9" t="n">
        <x:v>1624750</x:v>
      </x:c>
      <x:c r="F4874" s="9" t="n">
        <x:v>1624750</x:v>
      </x:c>
    </x:row>
    <x:row r="4875" ht="34" customHeight="1">
      <x:c r="A4875" s="4" t="str">
        <x:v>RS-02438-I2</x:v>
      </x:c>
      <x:c r="B4875" s="4" t="str">
        <x:v>RS-02438</x:v>
      </x:c>
      <x:c r="C4875" s="9" t="n">
        <x:v>2</x:v>
      </x:c>
      <x:c r="D4875" s="8" t="n">
        <x:v>45444</x:v>
      </x:c>
      <x:c r="E4875" s="9" t="n">
        <x:v>1624750</x:v>
      </x:c>
      <x:c r="F4875" s="9" t="n">
        <x:v>1624750</x:v>
      </x:c>
    </x:row>
    <x:row r="4876" ht="34" customHeight="1">
      <x:c r="A4876" s="4" t="str">
        <x:v>RS-02438-I3</x:v>
      </x:c>
      <x:c r="B4876" s="4" t="str">
        <x:v>RS-02438</x:v>
      </x:c>
      <x:c r="C4876" s="9" t="n">
        <x:v>3</x:v>
      </x:c>
      <x:c r="D4876" s="8" t="n">
        <x:v>45474</x:v>
      </x:c>
      <x:c r="E4876" s="9" t="n">
        <x:v>1624750</x:v>
      </x:c>
      <x:c r="F4876" s="9" t="n">
        <x:v>1624750</x:v>
      </x:c>
    </x:row>
    <x:row r="4877" ht="34" customHeight="1">
      <x:c r="A4877" s="4" t="str">
        <x:v>RS-02438-I4</x:v>
      </x:c>
      <x:c r="B4877" s="4" t="str">
        <x:v>RS-02438</x:v>
      </x:c>
      <x:c r="C4877" s="9" t="n">
        <x:v>4</x:v>
      </x:c>
      <x:c r="D4877" s="8" t="n">
        <x:v>45504</x:v>
      </x:c>
      <x:c r="E4877" s="9" t="n">
        <x:v>1624750</x:v>
      </x:c>
      <x:c r="F4877" s="9" t="n">
        <x:v>1624750</x:v>
      </x:c>
    </x:row>
    <x:row r="4878" ht="34" customHeight="1">
      <x:c r="A4878" s="4" t="str">
        <x:v>RS-02440-I1</x:v>
      </x:c>
      <x:c r="B4878" s="4" t="str">
        <x:v>RS-02440</x:v>
      </x:c>
      <x:c r="C4878" s="9" t="n">
        <x:v>1</x:v>
      </x:c>
      <x:c r="D4878" s="8" t="n">
        <x:v>45416</x:v>
      </x:c>
      <x:c r="E4878" s="9" t="n">
        <x:v>4347750</x:v>
      </x:c>
      <x:c r="F4878" s="9" t="n">
        <x:v>1739100</x:v>
      </x:c>
    </x:row>
    <x:row r="4879" ht="34" customHeight="1">
      <x:c r="A4879" s="4" t="str">
        <x:v>RS-02440-I2</x:v>
      </x:c>
      <x:c r="B4879" s="4" t="str">
        <x:v>RS-02440</x:v>
      </x:c>
      <x:c r="C4879" s="9" t="n">
        <x:v>2</x:v>
      </x:c>
      <x:c r="D4879" s="8" t="n">
        <x:v>45446</x:v>
      </x:c>
      <x:c r="E4879" s="9" t="n">
        <x:v>4347750</x:v>
      </x:c>
      <x:c r="F4879" s="9" t="n">
        <x:v>0</x:v>
      </x:c>
    </x:row>
    <x:row r="4880" ht="34" customHeight="1">
      <x:c r="A4880" s="4" t="str">
        <x:v>RS-02440-I3</x:v>
      </x:c>
      <x:c r="B4880" s="4" t="str">
        <x:v>RS-02440</x:v>
      </x:c>
      <x:c r="C4880" s="9" t="n">
        <x:v>3</x:v>
      </x:c>
      <x:c r="D4880" s="8" t="n">
        <x:v>45476</x:v>
      </x:c>
      <x:c r="E4880" s="9" t="n">
        <x:v>4347750</x:v>
      </x:c>
      <x:c r="F4880" s="9" t="n">
        <x:v>0</x:v>
      </x:c>
    </x:row>
    <x:row r="4881" ht="34" customHeight="1">
      <x:c r="A4881" s="4" t="str">
        <x:v>RS-02440-I4</x:v>
      </x:c>
      <x:c r="B4881" s="4" t="str">
        <x:v>RS-02440</x:v>
      </x:c>
      <x:c r="C4881" s="9" t="n">
        <x:v>4</x:v>
      </x:c>
      <x:c r="D4881" s="8" t="n">
        <x:v>45506</x:v>
      </x:c>
      <x:c r="E4881" s="9" t="n">
        <x:v>4347750</x:v>
      </x:c>
      <x:c r="F4881" s="9" t="n">
        <x:v>0</x:v>
      </x:c>
    </x:row>
    <x:row r="4882" ht="34" customHeight="1">
      <x:c r="A4882" s="4" t="str">
        <x:v>RS-02441-I1</x:v>
      </x:c>
      <x:c r="B4882" s="4" t="str">
        <x:v>RS-02441</x:v>
      </x:c>
      <x:c r="C4882" s="9" t="n">
        <x:v>1</x:v>
      </x:c>
      <x:c r="D4882" s="8" t="n">
        <x:v>45417</x:v>
      </x:c>
      <x:c r="E4882" s="9" t="n">
        <x:v>3082000</x:v>
      </x:c>
      <x:c r="F4882" s="9" t="n">
        <x:v>3082000</x:v>
      </x:c>
    </x:row>
    <x:row r="4883" ht="34" customHeight="1">
      <x:c r="A4883" s="4" t="str">
        <x:v>RS-02441-I2</x:v>
      </x:c>
      <x:c r="B4883" s="4" t="str">
        <x:v>RS-02441</x:v>
      </x:c>
      <x:c r="C4883" s="9" t="n">
        <x:v>2</x:v>
      </x:c>
      <x:c r="D4883" s="8" t="n">
        <x:v>45447</x:v>
      </x:c>
      <x:c r="E4883" s="9" t="n">
        <x:v>3082000</x:v>
      </x:c>
      <x:c r="F4883" s="9" t="n">
        <x:v>3082000</x:v>
      </x:c>
    </x:row>
    <x:row r="4884" ht="34" customHeight="1">
      <x:c r="A4884" s="4" t="str">
        <x:v>RS-02441-I3</x:v>
      </x:c>
      <x:c r="B4884" s="4" t="str">
        <x:v>RS-02441</x:v>
      </x:c>
      <x:c r="C4884" s="9" t="n">
        <x:v>3</x:v>
      </x:c>
      <x:c r="D4884" s="8" t="n">
        <x:v>45477</x:v>
      </x:c>
      <x:c r="E4884" s="9" t="n">
        <x:v>3082000</x:v>
      </x:c>
      <x:c r="F4884" s="9" t="n">
        <x:v>3082000</x:v>
      </x:c>
    </x:row>
    <x:row r="4885" ht="34" customHeight="1">
      <x:c r="A4885" s="4" t="str">
        <x:v>RS-02441-I4</x:v>
      </x:c>
      <x:c r="B4885" s="4" t="str">
        <x:v>RS-02441</x:v>
      </x:c>
      <x:c r="C4885" s="9" t="n">
        <x:v>4</x:v>
      </x:c>
      <x:c r="D4885" s="8" t="n">
        <x:v>45507</x:v>
      </x:c>
      <x:c r="E4885" s="9" t="n">
        <x:v>3082000</x:v>
      </x:c>
      <x:c r="F4885" s="9" t="n">
        <x:v>3082000</x:v>
      </x:c>
    </x:row>
    <x:row r="4886" ht="34" customHeight="1">
      <x:c r="A4886" s="4" t="str">
        <x:v>RS-02442-I1</x:v>
      </x:c>
      <x:c r="B4886" s="4" t="str">
        <x:v>RS-02442</x:v>
      </x:c>
      <x:c r="C4886" s="9" t="n">
        <x:v>1</x:v>
      </x:c>
      <x:c r="D4886" s="8" t="n">
        <x:v>45418</x:v>
      </x:c>
      <x:c r="E4886" s="9" t="n">
        <x:v>5643000</x:v>
      </x:c>
      <x:c r="F4886" s="9" t="n">
        <x:v>5643000</x:v>
      </x:c>
    </x:row>
    <x:row r="4887" ht="34" customHeight="1">
      <x:c r="A4887" s="4" t="str">
        <x:v>RS-02442-I2</x:v>
      </x:c>
      <x:c r="B4887" s="4" t="str">
        <x:v>RS-02442</x:v>
      </x:c>
      <x:c r="C4887" s="9" t="n">
        <x:v>2</x:v>
      </x:c>
      <x:c r="D4887" s="8" t="n">
        <x:v>45448</x:v>
      </x:c>
      <x:c r="E4887" s="9" t="n">
        <x:v>5643000</x:v>
      </x:c>
      <x:c r="F4887" s="9" t="n">
        <x:v>5643000</x:v>
      </x:c>
    </x:row>
    <x:row r="4888" ht="34" customHeight="1">
      <x:c r="A4888" s="4" t="str">
        <x:v>RS-02442-I3</x:v>
      </x:c>
      <x:c r="B4888" s="4" t="str">
        <x:v>RS-02442</x:v>
      </x:c>
      <x:c r="C4888" s="9" t="n">
        <x:v>3</x:v>
      </x:c>
      <x:c r="D4888" s="8" t="n">
        <x:v>45478</x:v>
      </x:c>
      <x:c r="E4888" s="9" t="n">
        <x:v>5643000</x:v>
      </x:c>
      <x:c r="F4888" s="9" t="n">
        <x:v>5643000</x:v>
      </x:c>
    </x:row>
    <x:row r="4889" ht="34" customHeight="1">
      <x:c r="A4889" s="4" t="str">
        <x:v>RS-02442-I4</x:v>
      </x:c>
      <x:c r="B4889" s="4" t="str">
        <x:v>RS-02442</x:v>
      </x:c>
      <x:c r="C4889" s="9" t="n">
        <x:v>4</x:v>
      </x:c>
      <x:c r="D4889" s="8" t="n">
        <x:v>45508</x:v>
      </x:c>
      <x:c r="E4889" s="9" t="n">
        <x:v>5643000</x:v>
      </x:c>
      <x:c r="F4889" s="9" t="n">
        <x:v>5643000</x:v>
      </x:c>
    </x:row>
    <x:row r="4890" ht="34" customHeight="1">
      <x:c r="A4890" s="4" t="str">
        <x:v>RS-02445-I1</x:v>
      </x:c>
      <x:c r="B4890" s="4" t="str">
        <x:v>RS-02445</x:v>
      </x:c>
      <x:c r="C4890" s="9" t="n">
        <x:v>1</x:v>
      </x:c>
      <x:c r="D4890" s="8" t="n">
        <x:v>45421</x:v>
      </x:c>
      <x:c r="E4890" s="9" t="n">
        <x:v>813750</x:v>
      </x:c>
      <x:c r="F4890" s="9" t="n">
        <x:v>813750</x:v>
      </x:c>
    </x:row>
    <x:row r="4891" ht="34" customHeight="1">
      <x:c r="A4891" s="4" t="str">
        <x:v>RS-02445-I2</x:v>
      </x:c>
      <x:c r="B4891" s="4" t="str">
        <x:v>RS-02445</x:v>
      </x:c>
      <x:c r="C4891" s="9" t="n">
        <x:v>2</x:v>
      </x:c>
      <x:c r="D4891" s="8" t="n">
        <x:v>45451</x:v>
      </x:c>
      <x:c r="E4891" s="9" t="n">
        <x:v>813750</x:v>
      </x:c>
      <x:c r="F4891" s="9" t="n">
        <x:v>0</x:v>
      </x:c>
    </x:row>
    <x:row r="4892" ht="34" customHeight="1">
      <x:c r="A4892" s="4" t="str">
        <x:v>RS-02445-I3</x:v>
      </x:c>
      <x:c r="B4892" s="4" t="str">
        <x:v>RS-02445</x:v>
      </x:c>
      <x:c r="C4892" s="9" t="n">
        <x:v>3</x:v>
      </x:c>
      <x:c r="D4892" s="8" t="n">
        <x:v>45481</x:v>
      </x:c>
      <x:c r="E4892" s="9" t="n">
        <x:v>813750</x:v>
      </x:c>
      <x:c r="F4892" s="9" t="n">
        <x:v>0</x:v>
      </x:c>
    </x:row>
    <x:row r="4893" ht="34" customHeight="1">
      <x:c r="A4893" s="4" t="str">
        <x:v>RS-02445-I4</x:v>
      </x:c>
      <x:c r="B4893" s="4" t="str">
        <x:v>RS-02445</x:v>
      </x:c>
      <x:c r="C4893" s="9" t="n">
        <x:v>4</x:v>
      </x:c>
      <x:c r="D4893" s="8" t="n">
        <x:v>45511</x:v>
      </x:c>
      <x:c r="E4893" s="9" t="n">
        <x:v>813750</x:v>
      </x:c>
      <x:c r="F4893" s="9" t="n">
        <x:v>0</x:v>
      </x:c>
    </x:row>
    <x:row r="4894" ht="34" customHeight="1">
      <x:c r="A4894" s="4" t="str">
        <x:v>RS-02446-I1</x:v>
      </x:c>
      <x:c r="B4894" s="4" t="str">
        <x:v>RS-02446</x:v>
      </x:c>
      <x:c r="C4894" s="9" t="n">
        <x:v>1</x:v>
      </x:c>
      <x:c r="D4894" s="8" t="n">
        <x:v>45422</x:v>
      </x:c>
      <x:c r="E4894" s="9" t="n">
        <x:v>5096000</x:v>
      </x:c>
      <x:c r="F4894" s="9" t="n">
        <x:v>2038400</x:v>
      </x:c>
    </x:row>
    <x:row r="4895" ht="34" customHeight="1">
      <x:c r="A4895" s="4" t="str">
        <x:v>RS-02446-I2</x:v>
      </x:c>
      <x:c r="B4895" s="4" t="str">
        <x:v>RS-02446</x:v>
      </x:c>
      <x:c r="C4895" s="9" t="n">
        <x:v>2</x:v>
      </x:c>
      <x:c r="D4895" s="8" t="n">
        <x:v>45452</x:v>
      </x:c>
      <x:c r="E4895" s="9" t="n">
        <x:v>5096000</x:v>
      </x:c>
      <x:c r="F4895" s="9" t="n">
        <x:v>0</x:v>
      </x:c>
    </x:row>
    <x:row r="4896" ht="34" customHeight="1">
      <x:c r="A4896" s="4" t="str">
        <x:v>RS-02446-I3</x:v>
      </x:c>
      <x:c r="B4896" s="4" t="str">
        <x:v>RS-02446</x:v>
      </x:c>
      <x:c r="C4896" s="9" t="n">
        <x:v>3</x:v>
      </x:c>
      <x:c r="D4896" s="8" t="n">
        <x:v>45482</x:v>
      </x:c>
      <x:c r="E4896" s="9" t="n">
        <x:v>5096000</x:v>
      </x:c>
      <x:c r="F4896" s="9" t="n">
        <x:v>0</x:v>
      </x:c>
    </x:row>
    <x:row r="4897" ht="34" customHeight="1">
      <x:c r="A4897" s="4" t="str">
        <x:v>RS-02446-I4</x:v>
      </x:c>
      <x:c r="B4897" s="4" t="str">
        <x:v>RS-02446</x:v>
      </x:c>
      <x:c r="C4897" s="9" t="n">
        <x:v>4</x:v>
      </x:c>
      <x:c r="D4897" s="8" t="n">
        <x:v>45512</x:v>
      </x:c>
      <x:c r="E4897" s="9" t="n">
        <x:v>5096000</x:v>
      </x:c>
      <x:c r="F4897" s="9" t="n">
        <x:v>0</x:v>
      </x:c>
    </x:row>
    <x:row r="4898" ht="34" customHeight="1">
      <x:c r="A4898" s="4" t="str">
        <x:v>RS-02447-I1</x:v>
      </x:c>
      <x:c r="B4898" s="4" t="str">
        <x:v>RS-02447</x:v>
      </x:c>
      <x:c r="C4898" s="9" t="n">
        <x:v>1</x:v>
      </x:c>
      <x:c r="D4898" s="8" t="n">
        <x:v>45423</x:v>
      </x:c>
      <x:c r="E4898" s="9" t="n">
        <x:v>5412000</x:v>
      </x:c>
      <x:c r="F4898" s="9" t="n">
        <x:v>5412000</x:v>
      </x:c>
    </x:row>
    <x:row r="4899" ht="34" customHeight="1">
      <x:c r="A4899" s="4" t="str">
        <x:v>RS-02447-I2</x:v>
      </x:c>
      <x:c r="B4899" s="4" t="str">
        <x:v>RS-02447</x:v>
      </x:c>
      <x:c r="C4899" s="9" t="n">
        <x:v>2</x:v>
      </x:c>
      <x:c r="D4899" s="8" t="n">
        <x:v>45453</x:v>
      </x:c>
      <x:c r="E4899" s="9" t="n">
        <x:v>5412000</x:v>
      </x:c>
      <x:c r="F4899" s="9" t="n">
        <x:v>5412000</x:v>
      </x:c>
    </x:row>
    <x:row r="4900" ht="34" customHeight="1">
      <x:c r="A4900" s="4" t="str">
        <x:v>RS-02447-I3</x:v>
      </x:c>
      <x:c r="B4900" s="4" t="str">
        <x:v>RS-02447</x:v>
      </x:c>
      <x:c r="C4900" s="9" t="n">
        <x:v>3</x:v>
      </x:c>
      <x:c r="D4900" s="8" t="n">
        <x:v>45483</x:v>
      </x:c>
      <x:c r="E4900" s="9" t="n">
        <x:v>5412000</x:v>
      </x:c>
      <x:c r="F4900" s="9" t="n">
        <x:v>0</x:v>
      </x:c>
    </x:row>
    <x:row r="4901" ht="34" customHeight="1">
      <x:c r="A4901" s="4" t="str">
        <x:v>RS-02447-I4</x:v>
      </x:c>
      <x:c r="B4901" s="4" t="str">
        <x:v>RS-02447</x:v>
      </x:c>
      <x:c r="C4901" s="9" t="n">
        <x:v>4</x:v>
      </x:c>
      <x:c r="D4901" s="8" t="n">
        <x:v>45513</x:v>
      </x:c>
      <x:c r="E4901" s="9" t="n">
        <x:v>5412000</x:v>
      </x:c>
      <x:c r="F4901" s="9" t="n">
        <x:v>0</x:v>
      </x:c>
    </x:row>
    <x:row r="4902" ht="34" customHeight="1">
      <x:c r="A4902" s="4" t="str">
        <x:v>RS-02448-I1</x:v>
      </x:c>
      <x:c r="B4902" s="4" t="str">
        <x:v>RS-02448</x:v>
      </x:c>
      <x:c r="C4902" s="9" t="n">
        <x:v>1</x:v>
      </x:c>
      <x:c r="D4902" s="8" t="n">
        <x:v>45424</x:v>
      </x:c>
      <x:c r="E4902" s="9" t="n">
        <x:v>773500</x:v>
      </x:c>
      <x:c r="F4902" s="9" t="n">
        <x:v>773500</x:v>
      </x:c>
    </x:row>
    <x:row r="4903" ht="34" customHeight="1">
      <x:c r="A4903" s="4" t="str">
        <x:v>RS-02448-I2</x:v>
      </x:c>
      <x:c r="B4903" s="4" t="str">
        <x:v>RS-02448</x:v>
      </x:c>
      <x:c r="C4903" s="9" t="n">
        <x:v>2</x:v>
      </x:c>
      <x:c r="D4903" s="8" t="n">
        <x:v>45454</x:v>
      </x:c>
      <x:c r="E4903" s="9" t="n">
        <x:v>773500</x:v>
      </x:c>
      <x:c r="F4903" s="9" t="n">
        <x:v>773500</x:v>
      </x:c>
    </x:row>
    <x:row r="4904" ht="34" customHeight="1">
      <x:c r="A4904" s="4" t="str">
        <x:v>RS-02448-I3</x:v>
      </x:c>
      <x:c r="B4904" s="4" t="str">
        <x:v>RS-02448</x:v>
      </x:c>
      <x:c r="C4904" s="9" t="n">
        <x:v>3</x:v>
      </x:c>
      <x:c r="D4904" s="8" t="n">
        <x:v>45484</x:v>
      </x:c>
      <x:c r="E4904" s="9" t="n">
        <x:v>773500</x:v>
      </x:c>
      <x:c r="F4904" s="9" t="n">
        <x:v>773500</x:v>
      </x:c>
    </x:row>
    <x:row r="4905" ht="34" customHeight="1">
      <x:c r="A4905" s="4" t="str">
        <x:v>RS-02448-I4</x:v>
      </x:c>
      <x:c r="B4905" s="4" t="str">
        <x:v>RS-02448</x:v>
      </x:c>
      <x:c r="C4905" s="9" t="n">
        <x:v>4</x:v>
      </x:c>
      <x:c r="D4905" s="8" t="n">
        <x:v>45514</x:v>
      </x:c>
      <x:c r="E4905" s="9" t="n">
        <x:v>773500</x:v>
      </x:c>
      <x:c r="F4905" s="9" t="n">
        <x:v>773500</x:v>
      </x:c>
    </x:row>
    <x:row r="4906" ht="34" customHeight="1">
      <x:c r="A4906" s="4" t="str">
        <x:v>RS-02450-I1</x:v>
      </x:c>
      <x:c r="B4906" s="4" t="str">
        <x:v>RS-02450</x:v>
      </x:c>
      <x:c r="C4906" s="9" t="n">
        <x:v>1</x:v>
      </x:c>
      <x:c r="D4906" s="8" t="n">
        <x:v>45426</x:v>
      </x:c>
      <x:c r="E4906" s="9" t="n">
        <x:v>2128500</x:v>
      </x:c>
      <x:c r="F4906" s="9" t="n">
        <x:v>2128500</x:v>
      </x:c>
    </x:row>
    <x:row r="4907" ht="34" customHeight="1">
      <x:c r="A4907" s="4" t="str">
        <x:v>RS-02450-I2</x:v>
      </x:c>
      <x:c r="B4907" s="4" t="str">
        <x:v>RS-02450</x:v>
      </x:c>
      <x:c r="C4907" s="9" t="n">
        <x:v>2</x:v>
      </x:c>
      <x:c r="D4907" s="8" t="n">
        <x:v>45456</x:v>
      </x:c>
      <x:c r="E4907" s="9" t="n">
        <x:v>2128500</x:v>
      </x:c>
      <x:c r="F4907" s="9" t="n">
        <x:v>2128500</x:v>
      </x:c>
    </x:row>
    <x:row r="4908" ht="34" customHeight="1">
      <x:c r="A4908" s="4" t="str">
        <x:v>RS-02450-I3</x:v>
      </x:c>
      <x:c r="B4908" s="4" t="str">
        <x:v>RS-02450</x:v>
      </x:c>
      <x:c r="C4908" s="9" t="n">
        <x:v>3</x:v>
      </x:c>
      <x:c r="D4908" s="8" t="n">
        <x:v>45486</x:v>
      </x:c>
      <x:c r="E4908" s="9" t="n">
        <x:v>2128500</x:v>
      </x:c>
      <x:c r="F4908" s="9" t="n">
        <x:v>0</x:v>
      </x:c>
    </x:row>
    <x:row r="4909" ht="34" customHeight="1">
      <x:c r="A4909" s="4" t="str">
        <x:v>RS-02450-I4</x:v>
      </x:c>
      <x:c r="B4909" s="4" t="str">
        <x:v>RS-02450</x:v>
      </x:c>
      <x:c r="C4909" s="9" t="n">
        <x:v>4</x:v>
      </x:c>
      <x:c r="D4909" s="8" t="n">
        <x:v>45516</x:v>
      </x:c>
      <x:c r="E4909" s="9" t="n">
        <x:v>2128500</x:v>
      </x:c>
      <x:c r="F4909" s="9" t="n">
        <x:v>0</x:v>
      </x:c>
    </x:row>
    <x:row r="4910" ht="34" customHeight="1">
      <x:c r="A4910" s="4" t="str">
        <x:v>RS-02451-I1</x:v>
      </x:c>
      <x:c r="B4910" s="4" t="str">
        <x:v>RS-02451</x:v>
      </x:c>
      <x:c r="C4910" s="9" t="n">
        <x:v>1</x:v>
      </x:c>
      <x:c r="D4910" s="8" t="n">
        <x:v>45427</x:v>
      </x:c>
      <x:c r="E4910" s="9" t="n">
        <x:v>4628250</x:v>
      </x:c>
      <x:c r="F4910" s="9" t="n">
        <x:v>4628250</x:v>
      </x:c>
    </x:row>
    <x:row r="4911" ht="34" customHeight="1">
      <x:c r="A4911" s="4" t="str">
        <x:v>RS-02451-I2</x:v>
      </x:c>
      <x:c r="B4911" s="4" t="str">
        <x:v>RS-02451</x:v>
      </x:c>
      <x:c r="C4911" s="9" t="n">
        <x:v>2</x:v>
      </x:c>
      <x:c r="D4911" s="8" t="n">
        <x:v>45457</x:v>
      </x:c>
      <x:c r="E4911" s="9" t="n">
        <x:v>4628250</x:v>
      </x:c>
      <x:c r="F4911" s="9" t="n">
        <x:v>0</x:v>
      </x:c>
    </x:row>
    <x:row r="4912" ht="34" customHeight="1">
      <x:c r="A4912" s="4" t="str">
        <x:v>RS-02451-I3</x:v>
      </x:c>
      <x:c r="B4912" s="4" t="str">
        <x:v>RS-02451</x:v>
      </x:c>
      <x:c r="C4912" s="9" t="n">
        <x:v>3</x:v>
      </x:c>
      <x:c r="D4912" s="8" t="n">
        <x:v>45487</x:v>
      </x:c>
      <x:c r="E4912" s="9" t="n">
        <x:v>4628250</x:v>
      </x:c>
      <x:c r="F4912" s="9" t="n">
        <x:v>0</x:v>
      </x:c>
    </x:row>
    <x:row r="4913" ht="34" customHeight="1">
      <x:c r="A4913" s="4" t="str">
        <x:v>RS-02451-I4</x:v>
      </x:c>
      <x:c r="B4913" s="4" t="str">
        <x:v>RS-02451</x:v>
      </x:c>
      <x:c r="C4913" s="9" t="n">
        <x:v>4</x:v>
      </x:c>
      <x:c r="D4913" s="8" t="n">
        <x:v>45517</x:v>
      </x:c>
      <x:c r="E4913" s="9" t="n">
        <x:v>4628250</x:v>
      </x:c>
      <x:c r="F4913" s="9" t="n">
        <x:v>0</x:v>
      </x:c>
    </x:row>
    <x:row r="4914" ht="34" customHeight="1">
      <x:c r="A4914" s="4" t="str">
        <x:v>RS-02452-I1</x:v>
      </x:c>
      <x:c r="B4914" s="4" t="str">
        <x:v>RS-02452</x:v>
      </x:c>
      <x:c r="C4914" s="9" t="n">
        <x:v>1</x:v>
      </x:c>
      <x:c r="D4914" s="8" t="n">
        <x:v>45428</x:v>
      </x:c>
      <x:c r="E4914" s="9" t="n">
        <x:v>3181750</x:v>
      </x:c>
      <x:c r="F4914" s="9" t="n">
        <x:v>3181750</x:v>
      </x:c>
    </x:row>
    <x:row r="4915" ht="34" customHeight="1">
      <x:c r="A4915" s="4" t="str">
        <x:v>RS-02452-I2</x:v>
      </x:c>
      <x:c r="B4915" s="4" t="str">
        <x:v>RS-02452</x:v>
      </x:c>
      <x:c r="C4915" s="9" t="n">
        <x:v>2</x:v>
      </x:c>
      <x:c r="D4915" s="8" t="n">
        <x:v>45458</x:v>
      </x:c>
      <x:c r="E4915" s="9" t="n">
        <x:v>3181750</x:v>
      </x:c>
      <x:c r="F4915" s="9" t="n">
        <x:v>3181750</x:v>
      </x:c>
    </x:row>
    <x:row r="4916" ht="34" customHeight="1">
      <x:c r="A4916" s="4" t="str">
        <x:v>RS-02452-I3</x:v>
      </x:c>
      <x:c r="B4916" s="4" t="str">
        <x:v>RS-02452</x:v>
      </x:c>
      <x:c r="C4916" s="9" t="n">
        <x:v>3</x:v>
      </x:c>
      <x:c r="D4916" s="8" t="n">
        <x:v>45488</x:v>
      </x:c>
      <x:c r="E4916" s="9" t="n">
        <x:v>3181750</x:v>
      </x:c>
      <x:c r="F4916" s="9" t="n">
        <x:v>3181750</x:v>
      </x:c>
    </x:row>
    <x:row r="4917" ht="34" customHeight="1">
      <x:c r="A4917" s="4" t="str">
        <x:v>RS-02452-I4</x:v>
      </x:c>
      <x:c r="B4917" s="4" t="str">
        <x:v>RS-02452</x:v>
      </x:c>
      <x:c r="C4917" s="9" t="n">
        <x:v>4</x:v>
      </x:c>
      <x:c r="D4917" s="8" t="n">
        <x:v>45518</x:v>
      </x:c>
      <x:c r="E4917" s="9" t="n">
        <x:v>3181750</x:v>
      </x:c>
      <x:c r="F4917" s="9" t="n">
        <x:v>3181750</x:v>
      </x:c>
    </x:row>
    <x:row r="4918" ht="34" customHeight="1">
      <x:c r="A4918" s="4" t="str">
        <x:v>RS-02456-I1</x:v>
      </x:c>
      <x:c r="B4918" s="4" t="str">
        <x:v>RS-02456</x:v>
      </x:c>
      <x:c r="C4918" s="9" t="n">
        <x:v>1</x:v>
      </x:c>
      <x:c r="D4918" s="8" t="n">
        <x:v>45432</x:v>
      </x:c>
      <x:c r="E4918" s="9" t="n">
        <x:v>1292500</x:v>
      </x:c>
      <x:c r="F4918" s="9" t="n">
        <x:v>1292500</x:v>
      </x:c>
    </x:row>
    <x:row r="4919" ht="34" customHeight="1">
      <x:c r="A4919" s="4" t="str">
        <x:v>RS-02456-I2</x:v>
      </x:c>
      <x:c r="B4919" s="4" t="str">
        <x:v>RS-02456</x:v>
      </x:c>
      <x:c r="C4919" s="9" t="n">
        <x:v>2</x:v>
      </x:c>
      <x:c r="D4919" s="8" t="n">
        <x:v>45462</x:v>
      </x:c>
      <x:c r="E4919" s="9" t="n">
        <x:v>1292500</x:v>
      </x:c>
      <x:c r="F4919" s="9" t="n">
        <x:v>0</x:v>
      </x:c>
    </x:row>
    <x:row r="4920" ht="34" customHeight="1">
      <x:c r="A4920" s="4" t="str">
        <x:v>RS-02456-I3</x:v>
      </x:c>
      <x:c r="B4920" s="4" t="str">
        <x:v>RS-02456</x:v>
      </x:c>
      <x:c r="C4920" s="9" t="n">
        <x:v>3</x:v>
      </x:c>
      <x:c r="D4920" s="8" t="n">
        <x:v>45492</x:v>
      </x:c>
      <x:c r="E4920" s="9" t="n">
        <x:v>1292500</x:v>
      </x:c>
      <x:c r="F4920" s="9" t="n">
        <x:v>0</x:v>
      </x:c>
    </x:row>
    <x:row r="4921" ht="34" customHeight="1">
      <x:c r="A4921" s="4" t="str">
        <x:v>RS-02456-I4</x:v>
      </x:c>
      <x:c r="B4921" s="4" t="str">
        <x:v>RS-02456</x:v>
      </x:c>
      <x:c r="C4921" s="9" t="n">
        <x:v>4</x:v>
      </x:c>
      <x:c r="D4921" s="8" t="n">
        <x:v>45522</x:v>
      </x:c>
      <x:c r="E4921" s="9" t="n">
        <x:v>1292500</x:v>
      </x:c>
      <x:c r="F4921" s="9" t="n">
        <x:v>0</x:v>
      </x:c>
    </x:row>
    <x:row r="4922" ht="34" customHeight="1">
      <x:c r="A4922" s="4" t="str">
        <x:v>RS-02457-I1</x:v>
      </x:c>
      <x:c r="B4922" s="4" t="str">
        <x:v>RS-02457</x:v>
      </x:c>
      <x:c r="C4922" s="9" t="n">
        <x:v>1</x:v>
      </x:c>
      <x:c r="D4922" s="8" t="n">
        <x:v>45433</x:v>
      </x:c>
      <x:c r="E4922" s="9" t="n">
        <x:v>1023500</x:v>
      </x:c>
      <x:c r="F4922" s="9" t="n">
        <x:v>1023500</x:v>
      </x:c>
    </x:row>
    <x:row r="4923" ht="34" customHeight="1">
      <x:c r="A4923" s="4" t="str">
        <x:v>RS-02457-I2</x:v>
      </x:c>
      <x:c r="B4923" s="4" t="str">
        <x:v>RS-02457</x:v>
      </x:c>
      <x:c r="C4923" s="9" t="n">
        <x:v>2</x:v>
      </x:c>
      <x:c r="D4923" s="8" t="n">
        <x:v>45463</x:v>
      </x:c>
      <x:c r="E4923" s="9" t="n">
        <x:v>1023500</x:v>
      </x:c>
      <x:c r="F4923" s="9" t="n">
        <x:v>1023500</x:v>
      </x:c>
    </x:row>
    <x:row r="4924" ht="34" customHeight="1">
      <x:c r="A4924" s="4" t="str">
        <x:v>RS-02457-I3</x:v>
      </x:c>
      <x:c r="B4924" s="4" t="str">
        <x:v>RS-02457</x:v>
      </x:c>
      <x:c r="C4924" s="9" t="n">
        <x:v>3</x:v>
      </x:c>
      <x:c r="D4924" s="8" t="n">
        <x:v>45493</x:v>
      </x:c>
      <x:c r="E4924" s="9" t="n">
        <x:v>1023500</x:v>
      </x:c>
      <x:c r="F4924" s="9" t="n">
        <x:v>0</x:v>
      </x:c>
    </x:row>
    <x:row r="4925" ht="34" customHeight="1">
      <x:c r="A4925" s="4" t="str">
        <x:v>RS-02457-I4</x:v>
      </x:c>
      <x:c r="B4925" s="4" t="str">
        <x:v>RS-02457</x:v>
      </x:c>
      <x:c r="C4925" s="9" t="n">
        <x:v>4</x:v>
      </x:c>
      <x:c r="D4925" s="8" t="n">
        <x:v>45523</x:v>
      </x:c>
      <x:c r="E4925" s="9" t="n">
        <x:v>1023500</x:v>
      </x:c>
      <x:c r="F4925" s="9" t="n">
        <x:v>0</x:v>
      </x:c>
    </x:row>
    <x:row r="4926" ht="34" customHeight="1">
      <x:c r="A4926" s="4" t="str">
        <x:v>RS-02463-I1</x:v>
      </x:c>
      <x:c r="B4926" s="4" t="str">
        <x:v>RS-02463</x:v>
      </x:c>
      <x:c r="C4926" s="9" t="n">
        <x:v>1</x:v>
      </x:c>
      <x:c r="D4926" s="8" t="n">
        <x:v>45439</x:v>
      </x:c>
      <x:c r="E4926" s="9" t="n">
        <x:v>4950000</x:v>
      </x:c>
      <x:c r="F4926" s="9" t="n">
        <x:v>4950000</x:v>
      </x:c>
    </x:row>
    <x:row r="4927" ht="34" customHeight="1">
      <x:c r="A4927" s="4" t="str">
        <x:v>RS-02463-I2</x:v>
      </x:c>
      <x:c r="B4927" s="4" t="str">
        <x:v>RS-02463</x:v>
      </x:c>
      <x:c r="C4927" s="9" t="n">
        <x:v>2</x:v>
      </x:c>
      <x:c r="D4927" s="8" t="n">
        <x:v>45469</x:v>
      </x:c>
      <x:c r="E4927" s="9" t="n">
        <x:v>4950000</x:v>
      </x:c>
      <x:c r="F4927" s="9" t="n">
        <x:v>4950000</x:v>
      </x:c>
    </x:row>
    <x:row r="4928" ht="34" customHeight="1">
      <x:c r="A4928" s="4" t="str">
        <x:v>RS-02463-I3</x:v>
      </x:c>
      <x:c r="B4928" s="4" t="str">
        <x:v>RS-02463</x:v>
      </x:c>
      <x:c r="C4928" s="9" t="n">
        <x:v>3</x:v>
      </x:c>
      <x:c r="D4928" s="8" t="n">
        <x:v>45499</x:v>
      </x:c>
      <x:c r="E4928" s="9" t="n">
        <x:v>4950000</x:v>
      </x:c>
      <x:c r="F4928" s="9" t="n">
        <x:v>4950000</x:v>
      </x:c>
    </x:row>
    <x:row r="4929" ht="34" customHeight="1">
      <x:c r="A4929" s="4" t="str">
        <x:v>RS-02463-I4</x:v>
      </x:c>
      <x:c r="B4929" s="4" t="str">
        <x:v>RS-02463</x:v>
      </x:c>
      <x:c r="C4929" s="9" t="n">
        <x:v>4</x:v>
      </x:c>
      <x:c r="D4929" s="8" t="n">
        <x:v>45529</x:v>
      </x:c>
      <x:c r="E4929" s="9" t="n">
        <x:v>4950000</x:v>
      </x:c>
      <x:c r="F4929" s="9" t="n">
        <x:v>4950000</x:v>
      </x:c>
    </x:row>
    <x:row r="4930" ht="34" customHeight="1">
      <x:c r="A4930" s="4" t="str">
        <x:v>RS-02464-I1</x:v>
      </x:c>
      <x:c r="B4930" s="4" t="str">
        <x:v>RS-02464</x:v>
      </x:c>
      <x:c r="C4930" s="9" t="n">
        <x:v>1</x:v>
      </x:c>
      <x:c r="D4930" s="8" t="n">
        <x:v>45440</x:v>
      </x:c>
      <x:c r="E4930" s="9" t="n">
        <x:v>5323500</x:v>
      </x:c>
      <x:c r="F4930" s="9" t="n">
        <x:v>2129400</x:v>
      </x:c>
    </x:row>
    <x:row r="4931" ht="34" customHeight="1">
      <x:c r="A4931" s="4" t="str">
        <x:v>RS-02464-I2</x:v>
      </x:c>
      <x:c r="B4931" s="4" t="str">
        <x:v>RS-02464</x:v>
      </x:c>
      <x:c r="C4931" s="9" t="n">
        <x:v>2</x:v>
      </x:c>
      <x:c r="D4931" s="8" t="n">
        <x:v>45470</x:v>
      </x:c>
      <x:c r="E4931" s="9" t="n">
        <x:v>5323500</x:v>
      </x:c>
      <x:c r="F4931" s="9" t="n">
        <x:v>0</x:v>
      </x:c>
    </x:row>
    <x:row r="4932" ht="34" customHeight="1">
      <x:c r="A4932" s="4" t="str">
        <x:v>RS-02464-I3</x:v>
      </x:c>
      <x:c r="B4932" s="4" t="str">
        <x:v>RS-02464</x:v>
      </x:c>
      <x:c r="C4932" s="9" t="n">
        <x:v>3</x:v>
      </x:c>
      <x:c r="D4932" s="8" t="n">
        <x:v>45500</x:v>
      </x:c>
      <x:c r="E4932" s="9" t="n">
        <x:v>5323500</x:v>
      </x:c>
      <x:c r="F4932" s="9" t="n">
        <x:v>0</x:v>
      </x:c>
    </x:row>
    <x:row r="4933" ht="34" customHeight="1">
      <x:c r="A4933" s="4" t="str">
        <x:v>RS-02464-I4</x:v>
      </x:c>
      <x:c r="B4933" s="4" t="str">
        <x:v>RS-02464</x:v>
      </x:c>
      <x:c r="C4933" s="9" t="n">
        <x:v>4</x:v>
      </x:c>
      <x:c r="D4933" s="8" t="n">
        <x:v>45530</x:v>
      </x:c>
      <x:c r="E4933" s="9" t="n">
        <x:v>5323500</x:v>
      </x:c>
      <x:c r="F4933" s="9" t="n">
        <x:v>0</x:v>
      </x:c>
    </x:row>
    <x:row r="4934" ht="34" customHeight="1">
      <x:c r="A4934" s="4" t="str">
        <x:v>RS-02466-I1</x:v>
      </x:c>
      <x:c r="B4934" s="4" t="str">
        <x:v>RS-02466</x:v>
      </x:c>
      <x:c r="C4934" s="9" t="n">
        <x:v>1</x:v>
      </x:c>
      <x:c r="D4934" s="8" t="n">
        <x:v>45414</x:v>
      </x:c>
      <x:c r="E4934" s="9" t="n">
        <x:v>4529250</x:v>
      </x:c>
      <x:c r="F4934" s="9" t="n">
        <x:v>4529250</x:v>
      </x:c>
    </x:row>
    <x:row r="4935" ht="34" customHeight="1">
      <x:c r="A4935" s="4" t="str">
        <x:v>RS-02466-I2</x:v>
      </x:c>
      <x:c r="B4935" s="4" t="str">
        <x:v>RS-02466</x:v>
      </x:c>
      <x:c r="C4935" s="9" t="n">
        <x:v>2</x:v>
      </x:c>
      <x:c r="D4935" s="8" t="n">
        <x:v>45444</x:v>
      </x:c>
      <x:c r="E4935" s="9" t="n">
        <x:v>4529250</x:v>
      </x:c>
      <x:c r="F4935" s="9" t="n">
        <x:v>4529250</x:v>
      </x:c>
    </x:row>
    <x:row r="4936" ht="34" customHeight="1">
      <x:c r="A4936" s="4" t="str">
        <x:v>RS-02466-I3</x:v>
      </x:c>
      <x:c r="B4936" s="4" t="str">
        <x:v>RS-02466</x:v>
      </x:c>
      <x:c r="C4936" s="9" t="n">
        <x:v>3</x:v>
      </x:c>
      <x:c r="D4936" s="8" t="n">
        <x:v>45474</x:v>
      </x:c>
      <x:c r="E4936" s="9" t="n">
        <x:v>4529250</x:v>
      </x:c>
      <x:c r="F4936" s="9" t="n">
        <x:v>4529250</x:v>
      </x:c>
    </x:row>
    <x:row r="4937" ht="34" customHeight="1">
      <x:c r="A4937" s="4" t="str">
        <x:v>RS-02466-I4</x:v>
      </x:c>
      <x:c r="B4937" s="4" t="str">
        <x:v>RS-02466</x:v>
      </x:c>
      <x:c r="C4937" s="9" t="n">
        <x:v>4</x:v>
      </x:c>
      <x:c r="D4937" s="8" t="n">
        <x:v>45504</x:v>
      </x:c>
      <x:c r="E4937" s="9" t="n">
        <x:v>4529250</x:v>
      </x:c>
      <x:c r="F4937" s="9" t="n">
        <x:v>4529250</x:v>
      </x:c>
    </x:row>
    <x:row r="4938" ht="34" customHeight="1">
      <x:c r="A4938" s="4" t="str">
        <x:v>RS-02468-I1</x:v>
      </x:c>
      <x:c r="B4938" s="4" t="str">
        <x:v>RS-02468</x:v>
      </x:c>
      <x:c r="C4938" s="9" t="n">
        <x:v>1</x:v>
      </x:c>
      <x:c r="D4938" s="8" t="n">
        <x:v>45416</x:v>
      </x:c>
      <x:c r="E4938" s="9" t="n">
        <x:v>2022750</x:v>
      </x:c>
      <x:c r="F4938" s="9" t="n">
        <x:v>2022750</x:v>
      </x:c>
    </x:row>
    <x:row r="4939" ht="34" customHeight="1">
      <x:c r="A4939" s="4" t="str">
        <x:v>RS-02468-I2</x:v>
      </x:c>
      <x:c r="B4939" s="4" t="str">
        <x:v>RS-02468</x:v>
      </x:c>
      <x:c r="C4939" s="9" t="n">
        <x:v>2</x:v>
      </x:c>
      <x:c r="D4939" s="8" t="n">
        <x:v>45446</x:v>
      </x:c>
      <x:c r="E4939" s="9" t="n">
        <x:v>2022750</x:v>
      </x:c>
      <x:c r="F4939" s="9" t="n">
        <x:v>0</x:v>
      </x:c>
    </x:row>
    <x:row r="4940" ht="34" customHeight="1">
      <x:c r="A4940" s="4" t="str">
        <x:v>RS-02468-I3</x:v>
      </x:c>
      <x:c r="B4940" s="4" t="str">
        <x:v>RS-02468</x:v>
      </x:c>
      <x:c r="C4940" s="9" t="n">
        <x:v>3</x:v>
      </x:c>
      <x:c r="D4940" s="8" t="n">
        <x:v>45476</x:v>
      </x:c>
      <x:c r="E4940" s="9" t="n">
        <x:v>2022750</x:v>
      </x:c>
      <x:c r="F4940" s="9" t="n">
        <x:v>0</x:v>
      </x:c>
    </x:row>
    <x:row r="4941" ht="34" customHeight="1">
      <x:c r="A4941" s="4" t="str">
        <x:v>RS-02468-I4</x:v>
      </x:c>
      <x:c r="B4941" s="4" t="str">
        <x:v>RS-02468</x:v>
      </x:c>
      <x:c r="C4941" s="9" t="n">
        <x:v>4</x:v>
      </x:c>
      <x:c r="D4941" s="8" t="n">
        <x:v>45506</x:v>
      </x:c>
      <x:c r="E4941" s="9" t="n">
        <x:v>2022750</x:v>
      </x:c>
      <x:c r="F4941" s="9" t="n">
        <x:v>0</x:v>
      </x:c>
    </x:row>
    <x:row r="4942" ht="34" customHeight="1">
      <x:c r="A4942" s="4" t="str">
        <x:v>RS-02469-I1</x:v>
      </x:c>
      <x:c r="B4942" s="4" t="str">
        <x:v>RS-02469</x:v>
      </x:c>
      <x:c r="C4942" s="9" t="n">
        <x:v>1</x:v>
      </x:c>
      <x:c r="D4942" s="8" t="n">
        <x:v>45417</x:v>
      </x:c>
      <x:c r="E4942" s="9" t="n">
        <x:v>5771250</x:v>
      </x:c>
      <x:c r="F4942" s="9" t="n">
        <x:v>5771250</x:v>
      </x:c>
    </x:row>
    <x:row r="4943" ht="34" customHeight="1">
      <x:c r="A4943" s="4" t="str">
        <x:v>RS-02469-I2</x:v>
      </x:c>
      <x:c r="B4943" s="4" t="str">
        <x:v>RS-02469</x:v>
      </x:c>
      <x:c r="C4943" s="9" t="n">
        <x:v>2</x:v>
      </x:c>
      <x:c r="D4943" s="8" t="n">
        <x:v>45447</x:v>
      </x:c>
      <x:c r="E4943" s="9" t="n">
        <x:v>5771250</x:v>
      </x:c>
      <x:c r="F4943" s="9" t="n">
        <x:v>5771250</x:v>
      </x:c>
    </x:row>
    <x:row r="4944" ht="34" customHeight="1">
      <x:c r="A4944" s="4" t="str">
        <x:v>RS-02469-I3</x:v>
      </x:c>
      <x:c r="B4944" s="4" t="str">
        <x:v>RS-02469</x:v>
      </x:c>
      <x:c r="C4944" s="9" t="n">
        <x:v>3</x:v>
      </x:c>
      <x:c r="D4944" s="8" t="n">
        <x:v>45477</x:v>
      </x:c>
      <x:c r="E4944" s="9" t="n">
        <x:v>5771250</x:v>
      </x:c>
      <x:c r="F4944" s="9" t="n">
        <x:v>0</x:v>
      </x:c>
    </x:row>
    <x:row r="4945" ht="34" customHeight="1">
      <x:c r="A4945" s="4" t="str">
        <x:v>RS-02469-I4</x:v>
      </x:c>
      <x:c r="B4945" s="4" t="str">
        <x:v>RS-02469</x:v>
      </x:c>
      <x:c r="C4945" s="9" t="n">
        <x:v>4</x:v>
      </x:c>
      <x:c r="D4945" s="8" t="n">
        <x:v>45507</x:v>
      </x:c>
      <x:c r="E4945" s="9" t="n">
        <x:v>5771250</x:v>
      </x:c>
      <x:c r="F4945" s="9" t="n">
        <x:v>0</x:v>
      </x:c>
    </x:row>
    <x:row r="4946" ht="34" customHeight="1">
      <x:c r="A4946" s="4" t="str">
        <x:v>RS-02470-I1</x:v>
      </x:c>
      <x:c r="B4946" s="4" t="str">
        <x:v>RS-02470</x:v>
      </x:c>
      <x:c r="C4946" s="9" t="n">
        <x:v>1</x:v>
      </x:c>
      <x:c r="D4946" s="8" t="n">
        <x:v>45418</x:v>
      </x:c>
      <x:c r="E4946" s="9" t="n">
        <x:v>4850500</x:v>
      </x:c>
      <x:c r="F4946" s="9" t="n">
        <x:v>1940200</x:v>
      </x:c>
    </x:row>
    <x:row r="4947" ht="34" customHeight="1">
      <x:c r="A4947" s="4" t="str">
        <x:v>RS-02470-I2</x:v>
      </x:c>
      <x:c r="B4947" s="4" t="str">
        <x:v>RS-02470</x:v>
      </x:c>
      <x:c r="C4947" s="9" t="n">
        <x:v>2</x:v>
      </x:c>
      <x:c r="D4947" s="8" t="n">
        <x:v>45448</x:v>
      </x:c>
      <x:c r="E4947" s="9" t="n">
        <x:v>4850500</x:v>
      </x:c>
      <x:c r="F4947" s="9" t="n">
        <x:v>0</x:v>
      </x:c>
    </x:row>
    <x:row r="4948" ht="34" customHeight="1">
      <x:c r="A4948" s="4" t="str">
        <x:v>RS-02470-I3</x:v>
      </x:c>
      <x:c r="B4948" s="4" t="str">
        <x:v>RS-02470</x:v>
      </x:c>
      <x:c r="C4948" s="9" t="n">
        <x:v>3</x:v>
      </x:c>
      <x:c r="D4948" s="8" t="n">
        <x:v>45478</x:v>
      </x:c>
      <x:c r="E4948" s="9" t="n">
        <x:v>4850500</x:v>
      </x:c>
      <x:c r="F4948" s="9" t="n">
        <x:v>0</x:v>
      </x:c>
    </x:row>
    <x:row r="4949" ht="34" customHeight="1">
      <x:c r="A4949" s="4" t="str">
        <x:v>RS-02470-I4</x:v>
      </x:c>
      <x:c r="B4949" s="4" t="str">
        <x:v>RS-02470</x:v>
      </x:c>
      <x:c r="C4949" s="9" t="n">
        <x:v>4</x:v>
      </x:c>
      <x:c r="D4949" s="8" t="n">
        <x:v>45508</x:v>
      </x:c>
      <x:c r="E4949" s="9" t="n">
        <x:v>4850500</x:v>
      </x:c>
      <x:c r="F4949" s="9" t="n">
        <x:v>0</x:v>
      </x:c>
    </x:row>
    <x:row r="4950" ht="34" customHeight="1">
      <x:c r="A4950" s="4" t="str">
        <x:v>RS-02471-I1</x:v>
      </x:c>
      <x:c r="B4950" s="4" t="str">
        <x:v>RS-02471</x:v>
      </x:c>
      <x:c r="C4950" s="9" t="n">
        <x:v>1</x:v>
      </x:c>
      <x:c r="D4950" s="8" t="n">
        <x:v>45419</x:v>
      </x:c>
      <x:c r="E4950" s="9" t="n">
        <x:v>5463750</x:v>
      </x:c>
      <x:c r="F4950" s="9" t="n">
        <x:v>2185500</x:v>
      </x:c>
    </x:row>
    <x:row r="4951" ht="34" customHeight="1">
      <x:c r="A4951" s="4" t="str">
        <x:v>RS-02471-I2</x:v>
      </x:c>
      <x:c r="B4951" s="4" t="str">
        <x:v>RS-02471</x:v>
      </x:c>
      <x:c r="C4951" s="9" t="n">
        <x:v>2</x:v>
      </x:c>
      <x:c r="D4951" s="8" t="n">
        <x:v>45449</x:v>
      </x:c>
      <x:c r="E4951" s="9" t="n">
        <x:v>5463750</x:v>
      </x:c>
      <x:c r="F4951" s="9" t="n">
        <x:v>0</x:v>
      </x:c>
    </x:row>
    <x:row r="4952" ht="34" customHeight="1">
      <x:c r="A4952" s="4" t="str">
        <x:v>RS-02471-I3</x:v>
      </x:c>
      <x:c r="B4952" s="4" t="str">
        <x:v>RS-02471</x:v>
      </x:c>
      <x:c r="C4952" s="9" t="n">
        <x:v>3</x:v>
      </x:c>
      <x:c r="D4952" s="8" t="n">
        <x:v>45479</x:v>
      </x:c>
      <x:c r="E4952" s="9" t="n">
        <x:v>5463750</x:v>
      </x:c>
      <x:c r="F4952" s="9" t="n">
        <x:v>0</x:v>
      </x:c>
    </x:row>
    <x:row r="4953" ht="34" customHeight="1">
      <x:c r="A4953" s="4" t="str">
        <x:v>RS-02471-I4</x:v>
      </x:c>
      <x:c r="B4953" s="4" t="str">
        <x:v>RS-02471</x:v>
      </x:c>
      <x:c r="C4953" s="9" t="n">
        <x:v>4</x:v>
      </x:c>
      <x:c r="D4953" s="8" t="n">
        <x:v>45509</x:v>
      </x:c>
      <x:c r="E4953" s="9" t="n">
        <x:v>5463750</x:v>
      </x:c>
      <x:c r="F4953" s="9" t="n">
        <x:v>0</x:v>
      </x:c>
    </x:row>
    <x:row r="4954" ht="34" customHeight="1">
      <x:c r="A4954" s="4" t="str">
        <x:v>RS-02472-I1</x:v>
      </x:c>
      <x:c r="B4954" s="4" t="str">
        <x:v>RS-02472</x:v>
      </x:c>
      <x:c r="C4954" s="9" t="n">
        <x:v>1</x:v>
      </x:c>
      <x:c r="D4954" s="8" t="n">
        <x:v>45420</x:v>
      </x:c>
      <x:c r="E4954" s="9" t="n">
        <x:v>1656000</x:v>
      </x:c>
      <x:c r="F4954" s="9" t="n">
        <x:v>662400</x:v>
      </x:c>
    </x:row>
    <x:row r="4955" ht="34" customHeight="1">
      <x:c r="A4955" s="4" t="str">
        <x:v>RS-02472-I2</x:v>
      </x:c>
      <x:c r="B4955" s="4" t="str">
        <x:v>RS-02472</x:v>
      </x:c>
      <x:c r="C4955" s="9" t="n">
        <x:v>2</x:v>
      </x:c>
      <x:c r="D4955" s="8" t="n">
        <x:v>45450</x:v>
      </x:c>
      <x:c r="E4955" s="9" t="n">
        <x:v>1656000</x:v>
      </x:c>
      <x:c r="F4955" s="9" t="n">
        <x:v>0</x:v>
      </x:c>
    </x:row>
    <x:row r="4956" ht="34" customHeight="1">
      <x:c r="A4956" s="4" t="str">
        <x:v>RS-02472-I3</x:v>
      </x:c>
      <x:c r="B4956" s="4" t="str">
        <x:v>RS-02472</x:v>
      </x:c>
      <x:c r="C4956" s="9" t="n">
        <x:v>3</x:v>
      </x:c>
      <x:c r="D4956" s="8" t="n">
        <x:v>45480</x:v>
      </x:c>
      <x:c r="E4956" s="9" t="n">
        <x:v>1656000</x:v>
      </x:c>
      <x:c r="F4956" s="9" t="n">
        <x:v>0</x:v>
      </x:c>
    </x:row>
    <x:row r="4957" ht="34" customHeight="1">
      <x:c r="A4957" s="4" t="str">
        <x:v>RS-02472-I4</x:v>
      </x:c>
      <x:c r="B4957" s="4" t="str">
        <x:v>RS-02472</x:v>
      </x:c>
      <x:c r="C4957" s="9" t="n">
        <x:v>4</x:v>
      </x:c>
      <x:c r="D4957" s="8" t="n">
        <x:v>45510</x:v>
      </x:c>
      <x:c r="E4957" s="9" t="n">
        <x:v>1656000</x:v>
      </x:c>
      <x:c r="F4957" s="9" t="n">
        <x:v>0</x:v>
      </x:c>
    </x:row>
    <x:row r="4958" ht="34" customHeight="1">
      <x:c r="A4958" s="4" t="str">
        <x:v>RS-02477-I1</x:v>
      </x:c>
      <x:c r="B4958" s="4" t="str">
        <x:v>RS-02477</x:v>
      </x:c>
      <x:c r="C4958" s="9" t="n">
        <x:v>1</x:v>
      </x:c>
      <x:c r="D4958" s="8" t="n">
        <x:v>45425</x:v>
      </x:c>
      <x:c r="E4958" s="9" t="n">
        <x:v>2047000</x:v>
      </x:c>
      <x:c r="F4958" s="9" t="n">
        <x:v>2047000</x:v>
      </x:c>
    </x:row>
    <x:row r="4959" ht="34" customHeight="1">
      <x:c r="A4959" s="4" t="str">
        <x:v>RS-02477-I2</x:v>
      </x:c>
      <x:c r="B4959" s="4" t="str">
        <x:v>RS-02477</x:v>
      </x:c>
      <x:c r="C4959" s="9" t="n">
        <x:v>2</x:v>
      </x:c>
      <x:c r="D4959" s="8" t="n">
        <x:v>45455</x:v>
      </x:c>
      <x:c r="E4959" s="9" t="n">
        <x:v>2047000</x:v>
      </x:c>
      <x:c r="F4959" s="9" t="n">
        <x:v>2047000</x:v>
      </x:c>
    </x:row>
    <x:row r="4960" ht="34" customHeight="1">
      <x:c r="A4960" s="4" t="str">
        <x:v>RS-02477-I3</x:v>
      </x:c>
      <x:c r="B4960" s="4" t="str">
        <x:v>RS-02477</x:v>
      </x:c>
      <x:c r="C4960" s="9" t="n">
        <x:v>3</x:v>
      </x:c>
      <x:c r="D4960" s="8" t="n">
        <x:v>45485</x:v>
      </x:c>
      <x:c r="E4960" s="9" t="n">
        <x:v>2047000</x:v>
      </x:c>
      <x:c r="F4960" s="9" t="n">
        <x:v>2047000</x:v>
      </x:c>
    </x:row>
    <x:row r="4961" ht="34" customHeight="1">
      <x:c r="A4961" s="4" t="str">
        <x:v>RS-02477-I4</x:v>
      </x:c>
      <x:c r="B4961" s="4" t="str">
        <x:v>RS-02477</x:v>
      </x:c>
      <x:c r="C4961" s="9" t="n">
        <x:v>4</x:v>
      </x:c>
      <x:c r="D4961" s="8" t="n">
        <x:v>45515</x:v>
      </x:c>
      <x:c r="E4961" s="9" t="n">
        <x:v>2047000</x:v>
      </x:c>
      <x:c r="F4961" s="9" t="n">
        <x:v>2047000</x:v>
      </x:c>
    </x:row>
    <x:row r="4962" ht="34" customHeight="1">
      <x:c r="A4962" s="4" t="str">
        <x:v>RS-02478-I1</x:v>
      </x:c>
      <x:c r="B4962" s="4" t="str">
        <x:v>RS-02478</x:v>
      </x:c>
      <x:c r="C4962" s="9" t="n">
        <x:v>1</x:v>
      </x:c>
      <x:c r="D4962" s="8" t="n">
        <x:v>45426</x:v>
      </x:c>
      <x:c r="E4962" s="9" t="n">
        <x:v>5073250</x:v>
      </x:c>
      <x:c r="F4962" s="9" t="n">
        <x:v>5073250</x:v>
      </x:c>
    </x:row>
    <x:row r="4963" ht="34" customHeight="1">
      <x:c r="A4963" s="4" t="str">
        <x:v>RS-02478-I2</x:v>
      </x:c>
      <x:c r="B4963" s="4" t="str">
        <x:v>RS-02478</x:v>
      </x:c>
      <x:c r="C4963" s="9" t="n">
        <x:v>2</x:v>
      </x:c>
      <x:c r="D4963" s="8" t="n">
        <x:v>45456</x:v>
      </x:c>
      <x:c r="E4963" s="9" t="n">
        <x:v>5073250</x:v>
      </x:c>
      <x:c r="F4963" s="9" t="n">
        <x:v>5073250</x:v>
      </x:c>
    </x:row>
    <x:row r="4964" ht="34" customHeight="1">
      <x:c r="A4964" s="4" t="str">
        <x:v>RS-02478-I3</x:v>
      </x:c>
      <x:c r="B4964" s="4" t="str">
        <x:v>RS-02478</x:v>
      </x:c>
      <x:c r="C4964" s="9" t="n">
        <x:v>3</x:v>
      </x:c>
      <x:c r="D4964" s="8" t="n">
        <x:v>45486</x:v>
      </x:c>
      <x:c r="E4964" s="9" t="n">
        <x:v>5073250</x:v>
      </x:c>
      <x:c r="F4964" s="9" t="n">
        <x:v>0</x:v>
      </x:c>
    </x:row>
    <x:row r="4965" ht="34" customHeight="1">
      <x:c r="A4965" s="4" t="str">
        <x:v>RS-02478-I4</x:v>
      </x:c>
      <x:c r="B4965" s="4" t="str">
        <x:v>RS-02478</x:v>
      </x:c>
      <x:c r="C4965" s="9" t="n">
        <x:v>4</x:v>
      </x:c>
      <x:c r="D4965" s="8" t="n">
        <x:v>45516</x:v>
      </x:c>
      <x:c r="E4965" s="9" t="n">
        <x:v>5073250</x:v>
      </x:c>
      <x:c r="F4965" s="9" t="n">
        <x:v>0</x:v>
      </x:c>
    </x:row>
    <x:row r="4966" ht="34" customHeight="1">
      <x:c r="A4966" s="4" t="str">
        <x:v>RS-02479-I1</x:v>
      </x:c>
      <x:c r="B4966" s="4" t="str">
        <x:v>RS-02479</x:v>
      </x:c>
      <x:c r="C4966" s="9" t="n">
        <x:v>1</x:v>
      </x:c>
      <x:c r="D4966" s="8" t="n">
        <x:v>45427</x:v>
      </x:c>
      <x:c r="E4966" s="9" t="n">
        <x:v>4631750</x:v>
      </x:c>
      <x:c r="F4966" s="9" t="n">
        <x:v>4631750</x:v>
      </x:c>
    </x:row>
    <x:row r="4967" ht="34" customHeight="1">
      <x:c r="A4967" s="4" t="str">
        <x:v>RS-02479-I2</x:v>
      </x:c>
      <x:c r="B4967" s="4" t="str">
        <x:v>RS-02479</x:v>
      </x:c>
      <x:c r="C4967" s="9" t="n">
        <x:v>2</x:v>
      </x:c>
      <x:c r="D4967" s="8" t="n">
        <x:v>45457</x:v>
      </x:c>
      <x:c r="E4967" s="9" t="n">
        <x:v>4631750</x:v>
      </x:c>
      <x:c r="F4967" s="9" t="n">
        <x:v>4631750</x:v>
      </x:c>
    </x:row>
    <x:row r="4968" ht="34" customHeight="1">
      <x:c r="A4968" s="4" t="str">
        <x:v>RS-02479-I3</x:v>
      </x:c>
      <x:c r="B4968" s="4" t="str">
        <x:v>RS-02479</x:v>
      </x:c>
      <x:c r="C4968" s="9" t="n">
        <x:v>3</x:v>
      </x:c>
      <x:c r="D4968" s="8" t="n">
        <x:v>45487</x:v>
      </x:c>
      <x:c r="E4968" s="9" t="n">
        <x:v>4631750</x:v>
      </x:c>
      <x:c r="F4968" s="9" t="n">
        <x:v>0</x:v>
      </x:c>
    </x:row>
    <x:row r="4969" ht="34" customHeight="1">
      <x:c r="A4969" s="4" t="str">
        <x:v>RS-02479-I4</x:v>
      </x:c>
      <x:c r="B4969" s="4" t="str">
        <x:v>RS-02479</x:v>
      </x:c>
      <x:c r="C4969" s="9" t="n">
        <x:v>4</x:v>
      </x:c>
      <x:c r="D4969" s="8" t="n">
        <x:v>45517</x:v>
      </x:c>
      <x:c r="E4969" s="9" t="n">
        <x:v>4631750</x:v>
      </x:c>
      <x:c r="F4969" s="9" t="n">
        <x:v>0</x:v>
      </x:c>
    </x:row>
    <x:row r="4970" ht="34" customHeight="1">
      <x:c r="A4970" s="4" t="str">
        <x:v>RS-02480-I1</x:v>
      </x:c>
      <x:c r="B4970" s="4" t="str">
        <x:v>RS-02480</x:v>
      </x:c>
      <x:c r="C4970" s="9" t="n">
        <x:v>1</x:v>
      </x:c>
      <x:c r="D4970" s="8" t="n">
        <x:v>45428</x:v>
      </x:c>
      <x:c r="E4970" s="9" t="n">
        <x:v>874000</x:v>
      </x:c>
      <x:c r="F4970" s="9" t="n">
        <x:v>349600</x:v>
      </x:c>
    </x:row>
    <x:row r="4971" ht="34" customHeight="1">
      <x:c r="A4971" s="4" t="str">
        <x:v>RS-02480-I2</x:v>
      </x:c>
      <x:c r="B4971" s="4" t="str">
        <x:v>RS-02480</x:v>
      </x:c>
      <x:c r="C4971" s="9" t="n">
        <x:v>2</x:v>
      </x:c>
      <x:c r="D4971" s="8" t="n">
        <x:v>45458</x:v>
      </x:c>
      <x:c r="E4971" s="9" t="n">
        <x:v>874000</x:v>
      </x:c>
      <x:c r="F4971" s="9" t="n">
        <x:v>0</x:v>
      </x:c>
    </x:row>
    <x:row r="4972" ht="34" customHeight="1">
      <x:c r="A4972" s="4" t="str">
        <x:v>RS-02480-I3</x:v>
      </x:c>
      <x:c r="B4972" s="4" t="str">
        <x:v>RS-02480</x:v>
      </x:c>
      <x:c r="C4972" s="9" t="n">
        <x:v>3</x:v>
      </x:c>
      <x:c r="D4972" s="8" t="n">
        <x:v>45488</x:v>
      </x:c>
      <x:c r="E4972" s="9" t="n">
        <x:v>874000</x:v>
      </x:c>
      <x:c r="F4972" s="9" t="n">
        <x:v>0</x:v>
      </x:c>
    </x:row>
    <x:row r="4973" ht="34" customHeight="1">
      <x:c r="A4973" s="4" t="str">
        <x:v>RS-02480-I4</x:v>
      </x:c>
      <x:c r="B4973" s="4" t="str">
        <x:v>RS-02480</x:v>
      </x:c>
      <x:c r="C4973" s="9" t="n">
        <x:v>4</x:v>
      </x:c>
      <x:c r="D4973" s="8" t="n">
        <x:v>45518</x:v>
      </x:c>
      <x:c r="E4973" s="9" t="n">
        <x:v>874000</x:v>
      </x:c>
      <x:c r="F4973" s="9" t="n">
        <x:v>0</x:v>
      </x:c>
    </x:row>
    <x:row r="4974" ht="34" customHeight="1">
      <x:c r="A4974" s="4" t="str">
        <x:v>RS-02482-I1</x:v>
      </x:c>
      <x:c r="B4974" s="4" t="str">
        <x:v>RS-02482</x:v>
      </x:c>
      <x:c r="C4974" s="9" t="n">
        <x:v>1</x:v>
      </x:c>
      <x:c r="D4974" s="8" t="n">
        <x:v>45430</x:v>
      </x:c>
      <x:c r="E4974" s="9" t="n">
        <x:v>2915500</x:v>
      </x:c>
      <x:c r="F4974" s="9" t="n">
        <x:v>1166200</x:v>
      </x:c>
    </x:row>
    <x:row r="4975" ht="34" customHeight="1">
      <x:c r="A4975" s="4" t="str">
        <x:v>RS-02482-I2</x:v>
      </x:c>
      <x:c r="B4975" s="4" t="str">
        <x:v>RS-02482</x:v>
      </x:c>
      <x:c r="C4975" s="9" t="n">
        <x:v>2</x:v>
      </x:c>
      <x:c r="D4975" s="8" t="n">
        <x:v>45460</x:v>
      </x:c>
      <x:c r="E4975" s="9" t="n">
        <x:v>2915500</x:v>
      </x:c>
      <x:c r="F4975" s="9" t="n">
        <x:v>0</x:v>
      </x:c>
    </x:row>
    <x:row r="4976" ht="34" customHeight="1">
      <x:c r="A4976" s="4" t="str">
        <x:v>RS-02482-I3</x:v>
      </x:c>
      <x:c r="B4976" s="4" t="str">
        <x:v>RS-02482</x:v>
      </x:c>
      <x:c r="C4976" s="9" t="n">
        <x:v>3</x:v>
      </x:c>
      <x:c r="D4976" s="8" t="n">
        <x:v>45490</x:v>
      </x:c>
      <x:c r="E4976" s="9" t="n">
        <x:v>2915500</x:v>
      </x:c>
      <x:c r="F4976" s="9" t="n">
        <x:v>0</x:v>
      </x:c>
    </x:row>
    <x:row r="4977" ht="34" customHeight="1">
      <x:c r="A4977" s="4" t="str">
        <x:v>RS-02482-I4</x:v>
      </x:c>
      <x:c r="B4977" s="4" t="str">
        <x:v>RS-02482</x:v>
      </x:c>
      <x:c r="C4977" s="9" t="n">
        <x:v>4</x:v>
      </x:c>
      <x:c r="D4977" s="8" t="n">
        <x:v>45520</x:v>
      </x:c>
      <x:c r="E4977" s="9" t="n">
        <x:v>2915500</x:v>
      </x:c>
      <x:c r="F4977" s="9" t="n">
        <x:v>0</x:v>
      </x:c>
    </x:row>
    <x:row r="4978" ht="34" customHeight="1">
      <x:c r="A4978" s="4" t="str">
        <x:v>RS-02483-I1</x:v>
      </x:c>
      <x:c r="B4978" s="4" t="str">
        <x:v>RS-02483</x:v>
      </x:c>
      <x:c r="C4978" s="9" t="n">
        <x:v>1</x:v>
      </x:c>
      <x:c r="D4978" s="8" t="n">
        <x:v>45431</x:v>
      </x:c>
      <x:c r="E4978" s="9" t="n">
        <x:v>3149000</x:v>
      </x:c>
      <x:c r="F4978" s="9" t="n">
        <x:v>3149000</x:v>
      </x:c>
    </x:row>
    <x:row r="4979" ht="34" customHeight="1">
      <x:c r="A4979" s="4" t="str">
        <x:v>RS-02483-I2</x:v>
      </x:c>
      <x:c r="B4979" s="4" t="str">
        <x:v>RS-02483</x:v>
      </x:c>
      <x:c r="C4979" s="9" t="n">
        <x:v>2</x:v>
      </x:c>
      <x:c r="D4979" s="8" t="n">
        <x:v>45461</x:v>
      </x:c>
      <x:c r="E4979" s="9" t="n">
        <x:v>3149000</x:v>
      </x:c>
      <x:c r="F4979" s="9" t="n">
        <x:v>0</x:v>
      </x:c>
    </x:row>
    <x:row r="4980" ht="34" customHeight="1">
      <x:c r="A4980" s="4" t="str">
        <x:v>RS-02483-I3</x:v>
      </x:c>
      <x:c r="B4980" s="4" t="str">
        <x:v>RS-02483</x:v>
      </x:c>
      <x:c r="C4980" s="9" t="n">
        <x:v>3</x:v>
      </x:c>
      <x:c r="D4980" s="8" t="n">
        <x:v>45491</x:v>
      </x:c>
      <x:c r="E4980" s="9" t="n">
        <x:v>3149000</x:v>
      </x:c>
      <x:c r="F4980" s="9" t="n">
        <x:v>0</x:v>
      </x:c>
    </x:row>
    <x:row r="4981" ht="34" customHeight="1">
      <x:c r="A4981" s="4" t="str">
        <x:v>RS-02483-I4</x:v>
      </x:c>
      <x:c r="B4981" s="4" t="str">
        <x:v>RS-02483</x:v>
      </x:c>
      <x:c r="C4981" s="9" t="n">
        <x:v>4</x:v>
      </x:c>
      <x:c r="D4981" s="8" t="n">
        <x:v>45521</x:v>
      </x:c>
      <x:c r="E4981" s="9" t="n">
        <x:v>3149000</x:v>
      </x:c>
      <x:c r="F4981" s="9" t="n">
        <x:v>0</x:v>
      </x:c>
    </x:row>
    <x:row r="4982" ht="34" customHeight="1">
      <x:c r="A4982" s="4" t="str">
        <x:v>RS-02485-I1</x:v>
      </x:c>
      <x:c r="B4982" s="4" t="str">
        <x:v>RS-02485</x:v>
      </x:c>
      <x:c r="C4982" s="9" t="n">
        <x:v>1</x:v>
      </x:c>
      <x:c r="D4982" s="8" t="n">
        <x:v>45433</x:v>
      </x:c>
      <x:c r="E4982" s="9" t="n">
        <x:v>3681250</x:v>
      </x:c>
      <x:c r="F4982" s="9" t="n">
        <x:v>3681250</x:v>
      </x:c>
    </x:row>
    <x:row r="4983" ht="34" customHeight="1">
      <x:c r="A4983" s="4" t="str">
        <x:v>RS-02485-I2</x:v>
      </x:c>
      <x:c r="B4983" s="4" t="str">
        <x:v>RS-02485</x:v>
      </x:c>
      <x:c r="C4983" s="9" t="n">
        <x:v>2</x:v>
      </x:c>
      <x:c r="D4983" s="8" t="n">
        <x:v>45463</x:v>
      </x:c>
      <x:c r="E4983" s="9" t="n">
        <x:v>3681250</x:v>
      </x:c>
      <x:c r="F4983" s="9" t="n">
        <x:v>3681250</x:v>
      </x:c>
    </x:row>
    <x:row r="4984" ht="34" customHeight="1">
      <x:c r="A4984" s="4" t="str">
        <x:v>RS-02485-I3</x:v>
      </x:c>
      <x:c r="B4984" s="4" t="str">
        <x:v>RS-02485</x:v>
      </x:c>
      <x:c r="C4984" s="9" t="n">
        <x:v>3</x:v>
      </x:c>
      <x:c r="D4984" s="8" t="n">
        <x:v>45493</x:v>
      </x:c>
      <x:c r="E4984" s="9" t="n">
        <x:v>3681250</x:v>
      </x:c>
      <x:c r="F4984" s="9" t="n">
        <x:v>3681250</x:v>
      </x:c>
    </x:row>
    <x:row r="4985" ht="34" customHeight="1">
      <x:c r="A4985" s="4" t="str">
        <x:v>RS-02485-I4</x:v>
      </x:c>
      <x:c r="B4985" s="4" t="str">
        <x:v>RS-02485</x:v>
      </x:c>
      <x:c r="C4985" s="9" t="n">
        <x:v>4</x:v>
      </x:c>
      <x:c r="D4985" s="8" t="n">
        <x:v>45523</x:v>
      </x:c>
      <x:c r="E4985" s="9" t="n">
        <x:v>3681250</x:v>
      </x:c>
      <x:c r="F4985" s="9" t="n">
        <x:v>3681250</x:v>
      </x:c>
    </x:row>
    <x:row r="4986" ht="34" customHeight="1">
      <x:c r="A4986" s="4" t="str">
        <x:v>RS-02486-I1</x:v>
      </x:c>
      <x:c r="B4986" s="4" t="str">
        <x:v>RS-02486</x:v>
      </x:c>
      <x:c r="C4986" s="9" t="n">
        <x:v>1</x:v>
      </x:c>
      <x:c r="D4986" s="8" t="n">
        <x:v>45434</x:v>
      </x:c>
      <x:c r="E4986" s="9" t="n">
        <x:v>4158000</x:v>
      </x:c>
      <x:c r="F4986" s="9" t="n">
        <x:v>4158000</x:v>
      </x:c>
    </x:row>
    <x:row r="4987" ht="34" customHeight="1">
      <x:c r="A4987" s="4" t="str">
        <x:v>RS-02486-I2</x:v>
      </x:c>
      <x:c r="B4987" s="4" t="str">
        <x:v>RS-02486</x:v>
      </x:c>
      <x:c r="C4987" s="9" t="n">
        <x:v>2</x:v>
      </x:c>
      <x:c r="D4987" s="8" t="n">
        <x:v>45464</x:v>
      </x:c>
      <x:c r="E4987" s="9" t="n">
        <x:v>4158000</x:v>
      </x:c>
      <x:c r="F4987" s="9" t="n">
        <x:v>4158000</x:v>
      </x:c>
    </x:row>
    <x:row r="4988" ht="34" customHeight="1">
      <x:c r="A4988" s="4" t="str">
        <x:v>RS-02486-I3</x:v>
      </x:c>
      <x:c r="B4988" s="4" t="str">
        <x:v>RS-02486</x:v>
      </x:c>
      <x:c r="C4988" s="9" t="n">
        <x:v>3</x:v>
      </x:c>
      <x:c r="D4988" s="8" t="n">
        <x:v>45494</x:v>
      </x:c>
      <x:c r="E4988" s="9" t="n">
        <x:v>4158000</x:v>
      </x:c>
      <x:c r="F4988" s="9" t="n">
        <x:v>4158000</x:v>
      </x:c>
    </x:row>
    <x:row r="4989" ht="34" customHeight="1">
      <x:c r="A4989" s="4" t="str">
        <x:v>RS-02486-I4</x:v>
      </x:c>
      <x:c r="B4989" s="4" t="str">
        <x:v>RS-02486</x:v>
      </x:c>
      <x:c r="C4989" s="9" t="n">
        <x:v>4</x:v>
      </x:c>
      <x:c r="D4989" s="8" t="n">
        <x:v>45524</x:v>
      </x:c>
      <x:c r="E4989" s="9" t="n">
        <x:v>4158000</x:v>
      </x:c>
      <x:c r="F4989" s="9" t="n">
        <x:v>4158000</x:v>
      </x:c>
    </x:row>
    <x:row r="4990" ht="34" customHeight="1">
      <x:c r="A4990" s="4" t="str">
        <x:v>RS-02487-I1</x:v>
      </x:c>
      <x:c r="B4990" s="4" t="str">
        <x:v>RS-02487</x:v>
      </x:c>
      <x:c r="C4990" s="9" t="n">
        <x:v>1</x:v>
      </x:c>
      <x:c r="D4990" s="8" t="n">
        <x:v>45435</x:v>
      </x:c>
      <x:c r="E4990" s="9" t="n">
        <x:v>2889250</x:v>
      </x:c>
      <x:c r="F4990" s="9" t="n">
        <x:v>1155700</x:v>
      </x:c>
    </x:row>
    <x:row r="4991" ht="34" customHeight="1">
      <x:c r="A4991" s="4" t="str">
        <x:v>RS-02487-I2</x:v>
      </x:c>
      <x:c r="B4991" s="4" t="str">
        <x:v>RS-02487</x:v>
      </x:c>
      <x:c r="C4991" s="9" t="n">
        <x:v>2</x:v>
      </x:c>
      <x:c r="D4991" s="8" t="n">
        <x:v>45465</x:v>
      </x:c>
      <x:c r="E4991" s="9" t="n">
        <x:v>2889250</x:v>
      </x:c>
      <x:c r="F4991" s="9" t="n">
        <x:v>0</x:v>
      </x:c>
    </x:row>
    <x:row r="4992" ht="34" customHeight="1">
      <x:c r="A4992" s="4" t="str">
        <x:v>RS-02487-I3</x:v>
      </x:c>
      <x:c r="B4992" s="4" t="str">
        <x:v>RS-02487</x:v>
      </x:c>
      <x:c r="C4992" s="9" t="n">
        <x:v>3</x:v>
      </x:c>
      <x:c r="D4992" s="8" t="n">
        <x:v>45495</x:v>
      </x:c>
      <x:c r="E4992" s="9" t="n">
        <x:v>2889250</x:v>
      </x:c>
      <x:c r="F4992" s="9" t="n">
        <x:v>0</x:v>
      </x:c>
    </x:row>
    <x:row r="4993" ht="34" customHeight="1">
      <x:c r="A4993" s="4" t="str">
        <x:v>RS-02487-I4</x:v>
      </x:c>
      <x:c r="B4993" s="4" t="str">
        <x:v>RS-02487</x:v>
      </x:c>
      <x:c r="C4993" s="9" t="n">
        <x:v>4</x:v>
      </x:c>
      <x:c r="D4993" s="8" t="n">
        <x:v>45525</x:v>
      </x:c>
      <x:c r="E4993" s="9" t="n">
        <x:v>2889250</x:v>
      </x:c>
      <x:c r="F4993" s="9" t="n">
        <x:v>0</x:v>
      </x:c>
    </x:row>
    <x:row r="4994" ht="34" customHeight="1">
      <x:c r="A4994" s="4" t="str">
        <x:v>RS-02488-I1</x:v>
      </x:c>
      <x:c r="B4994" s="4" t="str">
        <x:v>RS-02488</x:v>
      </x:c>
      <x:c r="C4994" s="9" t="n">
        <x:v>1</x:v>
      </x:c>
      <x:c r="D4994" s="8" t="n">
        <x:v>45436</x:v>
      </x:c>
      <x:c r="E4994" s="9" t="n">
        <x:v>4205250</x:v>
      </x:c>
      <x:c r="F4994" s="9" t="n">
        <x:v>1682100</x:v>
      </x:c>
    </x:row>
    <x:row r="4995" ht="34" customHeight="1">
      <x:c r="A4995" s="4" t="str">
        <x:v>RS-02488-I2</x:v>
      </x:c>
      <x:c r="B4995" s="4" t="str">
        <x:v>RS-02488</x:v>
      </x:c>
      <x:c r="C4995" s="9" t="n">
        <x:v>2</x:v>
      </x:c>
      <x:c r="D4995" s="8" t="n">
        <x:v>45466</x:v>
      </x:c>
      <x:c r="E4995" s="9" t="n">
        <x:v>4205250</x:v>
      </x:c>
      <x:c r="F4995" s="9" t="n">
        <x:v>0</x:v>
      </x:c>
    </x:row>
    <x:row r="4996" ht="34" customHeight="1">
      <x:c r="A4996" s="4" t="str">
        <x:v>RS-02488-I3</x:v>
      </x:c>
      <x:c r="B4996" s="4" t="str">
        <x:v>RS-02488</x:v>
      </x:c>
      <x:c r="C4996" s="9" t="n">
        <x:v>3</x:v>
      </x:c>
      <x:c r="D4996" s="8" t="n">
        <x:v>45496</x:v>
      </x:c>
      <x:c r="E4996" s="9" t="n">
        <x:v>4205250</x:v>
      </x:c>
      <x:c r="F4996" s="9" t="n">
        <x:v>0</x:v>
      </x:c>
    </x:row>
    <x:row r="4997" ht="34" customHeight="1">
      <x:c r="A4997" s="4" t="str">
        <x:v>RS-02488-I4</x:v>
      </x:c>
      <x:c r="B4997" s="4" t="str">
        <x:v>RS-02488</x:v>
      </x:c>
      <x:c r="C4997" s="9" t="n">
        <x:v>4</x:v>
      </x:c>
      <x:c r="D4997" s="8" t="n">
        <x:v>45526</x:v>
      </x:c>
      <x:c r="E4997" s="9" t="n">
        <x:v>4205250</x:v>
      </x:c>
      <x:c r="F4997" s="9" t="n">
        <x:v>0</x:v>
      </x:c>
    </x:row>
    <x:row r="4998" ht="34" customHeight="1">
      <x:c r="A4998" s="4" t="str">
        <x:v>RS-02489-I1</x:v>
      </x:c>
      <x:c r="B4998" s="4" t="str">
        <x:v>RS-02489</x:v>
      </x:c>
      <x:c r="C4998" s="9" t="n">
        <x:v>1</x:v>
      </x:c>
      <x:c r="D4998" s="8" t="n">
        <x:v>45437</x:v>
      </x:c>
      <x:c r="E4998" s="9" t="n">
        <x:v>4185000</x:v>
      </x:c>
      <x:c r="F4998" s="9" t="n">
        <x:v>4185000</x:v>
      </x:c>
    </x:row>
    <x:row r="4999" ht="34" customHeight="1">
      <x:c r="A4999" s="4" t="str">
        <x:v>RS-02489-I2</x:v>
      </x:c>
      <x:c r="B4999" s="4" t="str">
        <x:v>RS-02489</x:v>
      </x:c>
      <x:c r="C4999" s="9" t="n">
        <x:v>2</x:v>
      </x:c>
      <x:c r="D4999" s="8" t="n">
        <x:v>45467</x:v>
      </x:c>
      <x:c r="E4999" s="9" t="n">
        <x:v>4185000</x:v>
      </x:c>
      <x:c r="F4999" s="9" t="n">
        <x:v>4185000</x:v>
      </x:c>
    </x:row>
    <x:row r="5000" ht="34" customHeight="1">
      <x:c r="A5000" s="4" t="str">
        <x:v>RS-02489-I3</x:v>
      </x:c>
      <x:c r="B5000" s="4" t="str">
        <x:v>RS-02489</x:v>
      </x:c>
      <x:c r="C5000" s="9" t="n">
        <x:v>3</x:v>
      </x:c>
      <x:c r="D5000" s="8" t="n">
        <x:v>45497</x:v>
      </x:c>
      <x:c r="E5000" s="9" t="n">
        <x:v>4185000</x:v>
      </x:c>
      <x:c r="F5000" s="9" t="n">
        <x:v>0</x:v>
      </x:c>
    </x:row>
    <x:row r="5001" ht="34" customHeight="1">
      <x:c r="A5001" s="4" t="str">
        <x:v>RS-02489-I4</x:v>
      </x:c>
      <x:c r="B5001" s="4" t="str">
        <x:v>RS-02489</x:v>
      </x:c>
      <x:c r="C5001" s="9" t="n">
        <x:v>4</x:v>
      </x:c>
      <x:c r="D5001" s="8" t="n">
        <x:v>45527</x:v>
      </x:c>
      <x:c r="E5001" s="9" t="n">
        <x:v>4185000</x:v>
      </x:c>
      <x:c r="F5001" s="9" t="n">
        <x:v>0</x:v>
      </x:c>
    </x:row>
    <x:row r="5002" ht="34" customHeight="1">
      <x:c r="A5002" s="4" t="str">
        <x:v>RS-02490-I1</x:v>
      </x:c>
      <x:c r="B5002" s="4" t="str">
        <x:v>RS-02490</x:v>
      </x:c>
      <x:c r="C5002" s="9" t="n">
        <x:v>1</x:v>
      </x:c>
      <x:c r="D5002" s="8" t="n">
        <x:v>45438</x:v>
      </x:c>
      <x:c r="E5002" s="9" t="n">
        <x:v>4219500</x:v>
      </x:c>
      <x:c r="F5002" s="9" t="n">
        <x:v>1687800</x:v>
      </x:c>
    </x:row>
    <x:row r="5003" ht="34" customHeight="1">
      <x:c r="A5003" s="4" t="str">
        <x:v>RS-02490-I2</x:v>
      </x:c>
      <x:c r="B5003" s="4" t="str">
        <x:v>RS-02490</x:v>
      </x:c>
      <x:c r="C5003" s="9" t="n">
        <x:v>2</x:v>
      </x:c>
      <x:c r="D5003" s="8" t="n">
        <x:v>45468</x:v>
      </x:c>
      <x:c r="E5003" s="9" t="n">
        <x:v>4219500</x:v>
      </x:c>
      <x:c r="F5003" s="9" t="n">
        <x:v>0</x:v>
      </x:c>
    </x:row>
    <x:row r="5004" ht="34" customHeight="1">
      <x:c r="A5004" s="4" t="str">
        <x:v>RS-02490-I3</x:v>
      </x:c>
      <x:c r="B5004" s="4" t="str">
        <x:v>RS-02490</x:v>
      </x:c>
      <x:c r="C5004" s="9" t="n">
        <x:v>3</x:v>
      </x:c>
      <x:c r="D5004" s="8" t="n">
        <x:v>45498</x:v>
      </x:c>
      <x:c r="E5004" s="9" t="n">
        <x:v>4219500</x:v>
      </x:c>
      <x:c r="F5004" s="9" t="n">
        <x:v>0</x:v>
      </x:c>
    </x:row>
    <x:row r="5005" ht="34" customHeight="1">
      <x:c r="A5005" s="4" t="str">
        <x:v>RS-02490-I4</x:v>
      </x:c>
      <x:c r="B5005" s="4" t="str">
        <x:v>RS-02490</x:v>
      </x:c>
      <x:c r="C5005" s="9" t="n">
        <x:v>4</x:v>
      </x:c>
      <x:c r="D5005" s="8" t="n">
        <x:v>45528</x:v>
      </x:c>
      <x:c r="E5005" s="9" t="n">
        <x:v>4219500</x:v>
      </x:c>
      <x:c r="F5005" s="9" t="n">
        <x:v>0</x:v>
      </x:c>
    </x:row>
    <x:row r="5006" ht="34" customHeight="1">
      <x:c r="A5006" s="4" t="str">
        <x:v>RS-02491-I1</x:v>
      </x:c>
      <x:c r="B5006" s="4" t="str">
        <x:v>RS-02491</x:v>
      </x:c>
      <x:c r="C5006" s="9" t="n">
        <x:v>1</x:v>
      </x:c>
      <x:c r="D5006" s="8" t="n">
        <x:v>45439</x:v>
      </x:c>
      <x:c r="E5006" s="9" t="n">
        <x:v>4022250</x:v>
      </x:c>
      <x:c r="F5006" s="9" t="n">
        <x:v>1608900</x:v>
      </x:c>
    </x:row>
    <x:row r="5007" ht="34" customHeight="1">
      <x:c r="A5007" s="4" t="str">
        <x:v>RS-02491-I2</x:v>
      </x:c>
      <x:c r="B5007" s="4" t="str">
        <x:v>RS-02491</x:v>
      </x:c>
      <x:c r="C5007" s="9" t="n">
        <x:v>2</x:v>
      </x:c>
      <x:c r="D5007" s="8" t="n">
        <x:v>45469</x:v>
      </x:c>
      <x:c r="E5007" s="9" t="n">
        <x:v>4022250</x:v>
      </x:c>
      <x:c r="F5007" s="9" t="n">
        <x:v>0</x:v>
      </x:c>
    </x:row>
    <x:row r="5008" ht="34" customHeight="1">
      <x:c r="A5008" s="4" t="str">
        <x:v>RS-02491-I3</x:v>
      </x:c>
      <x:c r="B5008" s="4" t="str">
        <x:v>RS-02491</x:v>
      </x:c>
      <x:c r="C5008" s="9" t="n">
        <x:v>3</x:v>
      </x:c>
      <x:c r="D5008" s="8" t="n">
        <x:v>45499</x:v>
      </x:c>
      <x:c r="E5008" s="9" t="n">
        <x:v>4022250</x:v>
      </x:c>
      <x:c r="F5008" s="9" t="n">
        <x:v>0</x:v>
      </x:c>
    </x:row>
    <x:row r="5009" ht="34" customHeight="1">
      <x:c r="A5009" s="4" t="str">
        <x:v>RS-02491-I4</x:v>
      </x:c>
      <x:c r="B5009" s="4" t="str">
        <x:v>RS-02491</x:v>
      </x:c>
      <x:c r="C5009" s="9" t="n">
        <x:v>4</x:v>
      </x:c>
      <x:c r="D5009" s="8" t="n">
        <x:v>45529</x:v>
      </x:c>
      <x:c r="E5009" s="9" t="n">
        <x:v>4022250</x:v>
      </x:c>
      <x:c r="F5009" s="9" t="n">
        <x:v>0</x:v>
      </x:c>
    </x:row>
    <x:row r="5010" ht="34" customHeight="1">
      <x:c r="A5010" s="4" t="str">
        <x:v>RS-02493-I1</x:v>
      </x:c>
      <x:c r="B5010" s="4" t="str">
        <x:v>RS-02493</x:v>
      </x:c>
      <x:c r="C5010" s="9" t="n">
        <x:v>1</x:v>
      </x:c>
      <x:c r="D5010" s="8" t="n">
        <x:v>45413</x:v>
      </x:c>
      <x:c r="E5010" s="9" t="n">
        <x:v>5512500</x:v>
      </x:c>
      <x:c r="F5010" s="9" t="n">
        <x:v>5512500</x:v>
      </x:c>
    </x:row>
    <x:row r="5011" ht="34" customHeight="1">
      <x:c r="A5011" s="4" t="str">
        <x:v>RS-02493-I2</x:v>
      </x:c>
      <x:c r="B5011" s="4" t="str">
        <x:v>RS-02493</x:v>
      </x:c>
      <x:c r="C5011" s="9" t="n">
        <x:v>2</x:v>
      </x:c>
      <x:c r="D5011" s="8" t="n">
        <x:v>45443</x:v>
      </x:c>
      <x:c r="E5011" s="9" t="n">
        <x:v>5512500</x:v>
      </x:c>
      <x:c r="F5011" s="9" t="n">
        <x:v>5512500</x:v>
      </x:c>
    </x:row>
    <x:row r="5012" ht="34" customHeight="1">
      <x:c r="A5012" s="4" t="str">
        <x:v>RS-02493-I3</x:v>
      </x:c>
      <x:c r="B5012" s="4" t="str">
        <x:v>RS-02493</x:v>
      </x:c>
      <x:c r="C5012" s="9" t="n">
        <x:v>3</x:v>
      </x:c>
      <x:c r="D5012" s="8" t="n">
        <x:v>45473</x:v>
      </x:c>
      <x:c r="E5012" s="9" t="n">
        <x:v>5512500</x:v>
      </x:c>
      <x:c r="F5012" s="9" t="n">
        <x:v>5512500</x:v>
      </x:c>
    </x:row>
    <x:row r="5013" ht="34" customHeight="1">
      <x:c r="A5013" s="4" t="str">
        <x:v>RS-02493-I4</x:v>
      </x:c>
      <x:c r="B5013" s="4" t="str">
        <x:v>RS-02493</x:v>
      </x:c>
      <x:c r="C5013" s="9" t="n">
        <x:v>4</x:v>
      </x:c>
      <x:c r="D5013" s="8" t="n">
        <x:v>45503</x:v>
      </x:c>
      <x:c r="E5013" s="9" t="n">
        <x:v>5512500</x:v>
      </x:c>
      <x:c r="F5013" s="9" t="n">
        <x:v>5512500</x:v>
      </x:c>
    </x:row>
    <x:row r="5014" ht="34" customHeight="1">
      <x:c r="A5014" s="4" t="str">
        <x:v>RS-02498-I1</x:v>
      </x:c>
      <x:c r="B5014" s="4" t="str">
        <x:v>RS-02498</x:v>
      </x:c>
      <x:c r="C5014" s="9" t="n">
        <x:v>1</x:v>
      </x:c>
      <x:c r="D5014" s="8" t="n">
        <x:v>45418</x:v>
      </x:c>
      <x:c r="E5014" s="9" t="n">
        <x:v>2534250</x:v>
      </x:c>
      <x:c r="F5014" s="9" t="n">
        <x:v>2534250</x:v>
      </x:c>
    </x:row>
    <x:row r="5015" ht="34" customHeight="1">
      <x:c r="A5015" s="4" t="str">
        <x:v>RS-02498-I2</x:v>
      </x:c>
      <x:c r="B5015" s="4" t="str">
        <x:v>RS-02498</x:v>
      </x:c>
      <x:c r="C5015" s="9" t="n">
        <x:v>2</x:v>
      </x:c>
      <x:c r="D5015" s="8" t="n">
        <x:v>45448</x:v>
      </x:c>
      <x:c r="E5015" s="9" t="n">
        <x:v>2534250</x:v>
      </x:c>
      <x:c r="F5015" s="9" t="n">
        <x:v>2534250</x:v>
      </x:c>
    </x:row>
    <x:row r="5016" ht="34" customHeight="1">
      <x:c r="A5016" s="4" t="str">
        <x:v>RS-02498-I3</x:v>
      </x:c>
      <x:c r="B5016" s="4" t="str">
        <x:v>RS-02498</x:v>
      </x:c>
      <x:c r="C5016" s="9" t="n">
        <x:v>3</x:v>
      </x:c>
      <x:c r="D5016" s="8" t="n">
        <x:v>45478</x:v>
      </x:c>
      <x:c r="E5016" s="9" t="n">
        <x:v>2534250</x:v>
      </x:c>
      <x:c r="F5016" s="9" t="n">
        <x:v>0</x:v>
      </x:c>
    </x:row>
    <x:row r="5017" ht="34" customHeight="1">
      <x:c r="A5017" s="4" t="str">
        <x:v>RS-02498-I4</x:v>
      </x:c>
      <x:c r="B5017" s="4" t="str">
        <x:v>RS-02498</x:v>
      </x:c>
      <x:c r="C5017" s="9" t="n">
        <x:v>4</x:v>
      </x:c>
      <x:c r="D5017" s="8" t="n">
        <x:v>45508</x:v>
      </x:c>
      <x:c r="E5017" s="9" t="n">
        <x:v>2534250</x:v>
      </x:c>
      <x:c r="F5017" s="9" t="n">
        <x:v>0</x:v>
      </x:c>
    </x:row>
    <x:row r="5018" ht="34" customHeight="1">
      <x:c r="A5018" s="4" t="str">
        <x:v>RS-02502-I1</x:v>
      </x:c>
      <x:c r="B5018" s="4" t="str">
        <x:v>RS-02502</x:v>
      </x:c>
      <x:c r="C5018" s="9" t="n">
        <x:v>1</x:v>
      </x:c>
      <x:c r="D5018" s="8" t="n">
        <x:v>45453</x:v>
      </x:c>
      <x:c r="E5018" s="9" t="n">
        <x:v>2959250</x:v>
      </x:c>
      <x:c r="F5018" s="9" t="n">
        <x:v>2959250</x:v>
      </x:c>
    </x:row>
    <x:row r="5019" ht="34" customHeight="1">
      <x:c r="A5019" s="4" t="str">
        <x:v>RS-02502-I2</x:v>
      </x:c>
      <x:c r="B5019" s="4" t="str">
        <x:v>RS-02502</x:v>
      </x:c>
      <x:c r="C5019" s="9" t="n">
        <x:v>2</x:v>
      </x:c>
      <x:c r="D5019" s="8" t="n">
        <x:v>45483</x:v>
      </x:c>
      <x:c r="E5019" s="9" t="n">
        <x:v>2959250</x:v>
      </x:c>
      <x:c r="F5019" s="9" t="n">
        <x:v>2959250</x:v>
      </x:c>
    </x:row>
    <x:row r="5020" ht="34" customHeight="1">
      <x:c r="A5020" s="4" t="str">
        <x:v>RS-02502-I3</x:v>
      </x:c>
      <x:c r="B5020" s="4" t="str">
        <x:v>RS-02502</x:v>
      </x:c>
      <x:c r="C5020" s="9" t="n">
        <x:v>3</x:v>
      </x:c>
      <x:c r="D5020" s="8" t="n">
        <x:v>45513</x:v>
      </x:c>
      <x:c r="E5020" s="9" t="n">
        <x:v>2959250</x:v>
      </x:c>
      <x:c r="F5020" s="9" t="n">
        <x:v>0</x:v>
      </x:c>
    </x:row>
    <x:row r="5021" ht="34" customHeight="1">
      <x:c r="A5021" s="4" t="str">
        <x:v>RS-02502-I4</x:v>
      </x:c>
      <x:c r="B5021" s="4" t="str">
        <x:v>RS-02502</x:v>
      </x:c>
      <x:c r="C5021" s="9" t="n">
        <x:v>4</x:v>
      </x:c>
      <x:c r="D5021" s="8" t="n">
        <x:v>45543</x:v>
      </x:c>
      <x:c r="E5021" s="9" t="n">
        <x:v>2959250</x:v>
      </x:c>
      <x:c r="F5021" s="9" t="n">
        <x:v>0</x:v>
      </x:c>
    </x:row>
    <x:row r="5022" ht="34" customHeight="1">
      <x:c r="A5022" s="4" t="str">
        <x:v>RS-02503-I1</x:v>
      </x:c>
      <x:c r="B5022" s="4" t="str">
        <x:v>RS-02503</x:v>
      </x:c>
      <x:c r="C5022" s="9" t="n">
        <x:v>1</x:v>
      </x:c>
      <x:c r="D5022" s="8" t="n">
        <x:v>45454</x:v>
      </x:c>
      <x:c r="E5022" s="9" t="n">
        <x:v>5717250</x:v>
      </x:c>
      <x:c r="F5022" s="9" t="n">
        <x:v>5717250</x:v>
      </x:c>
    </x:row>
    <x:row r="5023" ht="34" customHeight="1">
      <x:c r="A5023" s="4" t="str">
        <x:v>RS-02503-I2</x:v>
      </x:c>
      <x:c r="B5023" s="4" t="str">
        <x:v>RS-02503</x:v>
      </x:c>
      <x:c r="C5023" s="9" t="n">
        <x:v>2</x:v>
      </x:c>
      <x:c r="D5023" s="8" t="n">
        <x:v>45484</x:v>
      </x:c>
      <x:c r="E5023" s="9" t="n">
        <x:v>5717250</x:v>
      </x:c>
      <x:c r="F5023" s="9" t="n">
        <x:v>5717250</x:v>
      </x:c>
    </x:row>
    <x:row r="5024" ht="34" customHeight="1">
      <x:c r="A5024" s="4" t="str">
        <x:v>RS-02503-I3</x:v>
      </x:c>
      <x:c r="B5024" s="4" t="str">
        <x:v>RS-02503</x:v>
      </x:c>
      <x:c r="C5024" s="9" t="n">
        <x:v>3</x:v>
      </x:c>
      <x:c r="D5024" s="8" t="n">
        <x:v>45514</x:v>
      </x:c>
      <x:c r="E5024" s="9" t="n">
        <x:v>5717250</x:v>
      </x:c>
      <x:c r="F5024" s="9" t="n">
        <x:v>5717250</x:v>
      </x:c>
    </x:row>
    <x:row r="5025" ht="34" customHeight="1">
      <x:c r="A5025" s="4" t="str">
        <x:v>RS-02503-I4</x:v>
      </x:c>
      <x:c r="B5025" s="4" t="str">
        <x:v>RS-02503</x:v>
      </x:c>
      <x:c r="C5025" s="9" t="n">
        <x:v>4</x:v>
      </x:c>
      <x:c r="D5025" s="8" t="n">
        <x:v>45544</x:v>
      </x:c>
      <x:c r="E5025" s="9" t="n">
        <x:v>5717250</x:v>
      </x:c>
      <x:c r="F5025" s="9" t="n">
        <x:v>5717250</x:v>
      </x:c>
    </x:row>
    <x:row r="5026" ht="34" customHeight="1">
      <x:c r="A5026" s="4" t="str">
        <x:v>RS-02504-I1</x:v>
      </x:c>
      <x:c r="B5026" s="4" t="str">
        <x:v>RS-02504</x:v>
      </x:c>
      <x:c r="C5026" s="9" t="n">
        <x:v>1</x:v>
      </x:c>
      <x:c r="D5026" s="8" t="n">
        <x:v>45455</x:v>
      </x:c>
      <x:c r="E5026" s="9" t="n">
        <x:v>4727250</x:v>
      </x:c>
      <x:c r="F5026" s="9" t="n">
        <x:v>4727250</x:v>
      </x:c>
    </x:row>
    <x:row r="5027" ht="34" customHeight="1">
      <x:c r="A5027" s="4" t="str">
        <x:v>RS-02504-I2</x:v>
      </x:c>
      <x:c r="B5027" s="4" t="str">
        <x:v>RS-02504</x:v>
      </x:c>
      <x:c r="C5027" s="9" t="n">
        <x:v>2</x:v>
      </x:c>
      <x:c r="D5027" s="8" t="n">
        <x:v>45485</x:v>
      </x:c>
      <x:c r="E5027" s="9" t="n">
        <x:v>4727250</x:v>
      </x:c>
      <x:c r="F5027" s="9" t="n">
        <x:v>4727250</x:v>
      </x:c>
    </x:row>
    <x:row r="5028" ht="34" customHeight="1">
      <x:c r="A5028" s="4" t="str">
        <x:v>RS-02504-I3</x:v>
      </x:c>
      <x:c r="B5028" s="4" t="str">
        <x:v>RS-02504</x:v>
      </x:c>
      <x:c r="C5028" s="9" t="n">
        <x:v>3</x:v>
      </x:c>
      <x:c r="D5028" s="8" t="n">
        <x:v>45515</x:v>
      </x:c>
      <x:c r="E5028" s="9" t="n">
        <x:v>4727250</x:v>
      </x:c>
      <x:c r="F5028" s="9" t="n">
        <x:v>0</x:v>
      </x:c>
    </x:row>
    <x:row r="5029" ht="34" customHeight="1">
      <x:c r="A5029" s="4" t="str">
        <x:v>RS-02504-I4</x:v>
      </x:c>
      <x:c r="B5029" s="4" t="str">
        <x:v>RS-02504</x:v>
      </x:c>
      <x:c r="C5029" s="9" t="n">
        <x:v>4</x:v>
      </x:c>
      <x:c r="D5029" s="8" t="n">
        <x:v>45545</x:v>
      </x:c>
      <x:c r="E5029" s="9" t="n">
        <x:v>4727250</x:v>
      </x:c>
      <x:c r="F5029" s="9" t="n">
        <x:v>0</x:v>
      </x:c>
    </x:row>
    <x:row r="5030" ht="34" customHeight="1">
      <x:c r="A5030" s="4" t="str">
        <x:v>RS-02505-I1</x:v>
      </x:c>
      <x:c r="B5030" s="4" t="str">
        <x:v>RS-02505</x:v>
      </x:c>
      <x:c r="C5030" s="9" t="n">
        <x:v>1</x:v>
      </x:c>
      <x:c r="D5030" s="8" t="n">
        <x:v>45456</x:v>
      </x:c>
      <x:c r="E5030" s="9" t="n">
        <x:v>4916250</x:v>
      </x:c>
      <x:c r="F5030" s="9" t="n">
        <x:v>4916250</x:v>
      </x:c>
    </x:row>
    <x:row r="5031" ht="34" customHeight="1">
      <x:c r="A5031" s="4" t="str">
        <x:v>RS-02505-I2</x:v>
      </x:c>
      <x:c r="B5031" s="4" t="str">
        <x:v>RS-02505</x:v>
      </x:c>
      <x:c r="C5031" s="9" t="n">
        <x:v>2</x:v>
      </x:c>
      <x:c r="D5031" s="8" t="n">
        <x:v>45486</x:v>
      </x:c>
      <x:c r="E5031" s="9" t="n">
        <x:v>4916250</x:v>
      </x:c>
      <x:c r="F5031" s="9" t="n">
        <x:v>4916250</x:v>
      </x:c>
    </x:row>
    <x:row r="5032" ht="34" customHeight="1">
      <x:c r="A5032" s="4" t="str">
        <x:v>RS-02505-I3</x:v>
      </x:c>
      <x:c r="B5032" s="4" t="str">
        <x:v>RS-02505</x:v>
      </x:c>
      <x:c r="C5032" s="9" t="n">
        <x:v>3</x:v>
      </x:c>
      <x:c r="D5032" s="8" t="n">
        <x:v>45516</x:v>
      </x:c>
      <x:c r="E5032" s="9" t="n">
        <x:v>4916250</x:v>
      </x:c>
      <x:c r="F5032" s="9" t="n">
        <x:v>4916250</x:v>
      </x:c>
    </x:row>
    <x:row r="5033" ht="34" customHeight="1">
      <x:c r="A5033" s="4" t="str">
        <x:v>RS-02505-I4</x:v>
      </x:c>
      <x:c r="B5033" s="4" t="str">
        <x:v>RS-02505</x:v>
      </x:c>
      <x:c r="C5033" s="9" t="n">
        <x:v>4</x:v>
      </x:c>
      <x:c r="D5033" s="8" t="n">
        <x:v>45546</x:v>
      </x:c>
      <x:c r="E5033" s="9" t="n">
        <x:v>4916250</x:v>
      </x:c>
      <x:c r="F5033" s="9" t="n">
        <x:v>4916250</x:v>
      </x:c>
    </x:row>
    <x:row r="5034" ht="34" customHeight="1">
      <x:c r="A5034" s="4" t="str">
        <x:v>RS-02506-I1</x:v>
      </x:c>
      <x:c r="B5034" s="4" t="str">
        <x:v>RS-02506</x:v>
      </x:c>
      <x:c r="C5034" s="9" t="n">
        <x:v>1</x:v>
      </x:c>
      <x:c r="D5034" s="8" t="n">
        <x:v>45457</x:v>
      </x:c>
      <x:c r="E5034" s="9" t="n">
        <x:v>3087000</x:v>
      </x:c>
      <x:c r="F5034" s="9" t="n">
        <x:v>1234800</x:v>
      </x:c>
    </x:row>
    <x:row r="5035" ht="34" customHeight="1">
      <x:c r="A5035" s="4" t="str">
        <x:v>RS-02506-I2</x:v>
      </x:c>
      <x:c r="B5035" s="4" t="str">
        <x:v>RS-02506</x:v>
      </x:c>
      <x:c r="C5035" s="9" t="n">
        <x:v>2</x:v>
      </x:c>
      <x:c r="D5035" s="8" t="n">
        <x:v>45487</x:v>
      </x:c>
      <x:c r="E5035" s="9" t="n">
        <x:v>3087000</x:v>
      </x:c>
      <x:c r="F5035" s="9" t="n">
        <x:v>0</x:v>
      </x:c>
    </x:row>
    <x:row r="5036" ht="34" customHeight="1">
      <x:c r="A5036" s="4" t="str">
        <x:v>RS-02506-I3</x:v>
      </x:c>
      <x:c r="B5036" s="4" t="str">
        <x:v>RS-02506</x:v>
      </x:c>
      <x:c r="C5036" s="9" t="n">
        <x:v>3</x:v>
      </x:c>
      <x:c r="D5036" s="8" t="n">
        <x:v>45517</x:v>
      </x:c>
      <x:c r="E5036" s="9" t="n">
        <x:v>3087000</x:v>
      </x:c>
      <x:c r="F5036" s="9" t="n">
        <x:v>0</x:v>
      </x:c>
    </x:row>
    <x:row r="5037" ht="34" customHeight="1">
      <x:c r="A5037" s="4" t="str">
        <x:v>RS-02506-I4</x:v>
      </x:c>
      <x:c r="B5037" s="4" t="str">
        <x:v>RS-02506</x:v>
      </x:c>
      <x:c r="C5037" s="9" t="n">
        <x:v>4</x:v>
      </x:c>
      <x:c r="D5037" s="8" t="n">
        <x:v>45547</x:v>
      </x:c>
      <x:c r="E5037" s="9" t="n">
        <x:v>3087000</x:v>
      </x:c>
      <x:c r="F5037" s="9" t="n">
        <x:v>0</x:v>
      </x:c>
    </x:row>
    <x:row r="5038" ht="34" customHeight="1">
      <x:c r="A5038" s="4" t="str">
        <x:v>RS-02507-I1</x:v>
      </x:c>
      <x:c r="B5038" s="4" t="str">
        <x:v>RS-02507</x:v>
      </x:c>
      <x:c r="C5038" s="9" t="n">
        <x:v>1</x:v>
      </x:c>
      <x:c r="D5038" s="8" t="n">
        <x:v>45458</x:v>
      </x:c>
      <x:c r="E5038" s="9" t="n">
        <x:v>4797500</x:v>
      </x:c>
      <x:c r="F5038" s="9" t="n">
        <x:v>4797500</x:v>
      </x:c>
    </x:row>
    <x:row r="5039" ht="34" customHeight="1">
      <x:c r="A5039" s="4" t="str">
        <x:v>RS-02507-I2</x:v>
      </x:c>
      <x:c r="B5039" s="4" t="str">
        <x:v>RS-02507</x:v>
      </x:c>
      <x:c r="C5039" s="9" t="n">
        <x:v>2</x:v>
      </x:c>
      <x:c r="D5039" s="8" t="n">
        <x:v>45488</x:v>
      </x:c>
      <x:c r="E5039" s="9" t="n">
        <x:v>4797500</x:v>
      </x:c>
      <x:c r="F5039" s="9" t="n">
        <x:v>4797500</x:v>
      </x:c>
    </x:row>
    <x:row r="5040" ht="34" customHeight="1">
      <x:c r="A5040" s="4" t="str">
        <x:v>RS-02507-I3</x:v>
      </x:c>
      <x:c r="B5040" s="4" t="str">
        <x:v>RS-02507</x:v>
      </x:c>
      <x:c r="C5040" s="9" t="n">
        <x:v>3</x:v>
      </x:c>
      <x:c r="D5040" s="8" t="n">
        <x:v>45518</x:v>
      </x:c>
      <x:c r="E5040" s="9" t="n">
        <x:v>4797500</x:v>
      </x:c>
      <x:c r="F5040" s="9" t="n">
        <x:v>4797500</x:v>
      </x:c>
    </x:row>
    <x:row r="5041" ht="34" customHeight="1">
      <x:c r="A5041" s="4" t="str">
        <x:v>RS-02507-I4</x:v>
      </x:c>
      <x:c r="B5041" s="4" t="str">
        <x:v>RS-02507</x:v>
      </x:c>
      <x:c r="C5041" s="9" t="n">
        <x:v>4</x:v>
      </x:c>
      <x:c r="D5041" s="8" t="n">
        <x:v>45548</x:v>
      </x:c>
      <x:c r="E5041" s="9" t="n">
        <x:v>4797500</x:v>
      </x:c>
      <x:c r="F5041" s="9" t="n">
        <x:v>4797500</x:v>
      </x:c>
    </x:row>
    <x:row r="5042" ht="34" customHeight="1">
      <x:c r="A5042" s="4" t="str">
        <x:v>RS-02510-I1</x:v>
      </x:c>
      <x:c r="B5042" s="4" t="str">
        <x:v>RS-02510</x:v>
      </x:c>
      <x:c r="C5042" s="9" t="n">
        <x:v>1</x:v>
      </x:c>
      <x:c r="D5042" s="8" t="n">
        <x:v>45461</x:v>
      </x:c>
      <x:c r="E5042" s="9" t="n">
        <x:v>1715500</x:v>
      </x:c>
      <x:c r="F5042" s="9" t="n">
        <x:v>1715500</x:v>
      </x:c>
    </x:row>
    <x:row r="5043" ht="34" customHeight="1">
      <x:c r="A5043" s="4" t="str">
        <x:v>RS-02510-I2</x:v>
      </x:c>
      <x:c r="B5043" s="4" t="str">
        <x:v>RS-02510</x:v>
      </x:c>
      <x:c r="C5043" s="9" t="n">
        <x:v>2</x:v>
      </x:c>
      <x:c r="D5043" s="8" t="n">
        <x:v>45491</x:v>
      </x:c>
      <x:c r="E5043" s="9" t="n">
        <x:v>1715500</x:v>
      </x:c>
      <x:c r="F5043" s="9" t="n">
        <x:v>1715500</x:v>
      </x:c>
    </x:row>
    <x:row r="5044" ht="34" customHeight="1">
      <x:c r="A5044" s="4" t="str">
        <x:v>RS-02510-I3</x:v>
      </x:c>
      <x:c r="B5044" s="4" t="str">
        <x:v>RS-02510</x:v>
      </x:c>
      <x:c r="C5044" s="9" t="n">
        <x:v>3</x:v>
      </x:c>
      <x:c r="D5044" s="8" t="n">
        <x:v>45521</x:v>
      </x:c>
      <x:c r="E5044" s="9" t="n">
        <x:v>1715500</x:v>
      </x:c>
      <x:c r="F5044" s="9" t="n">
        <x:v>0</x:v>
      </x:c>
    </x:row>
    <x:row r="5045" ht="34" customHeight="1">
      <x:c r="A5045" s="4" t="str">
        <x:v>RS-02510-I4</x:v>
      </x:c>
      <x:c r="B5045" s="4" t="str">
        <x:v>RS-02510</x:v>
      </x:c>
      <x:c r="C5045" s="9" t="n">
        <x:v>4</x:v>
      </x:c>
      <x:c r="D5045" s="8" t="n">
        <x:v>45551</x:v>
      </x:c>
      <x:c r="E5045" s="9" t="n">
        <x:v>1715500</x:v>
      </x:c>
      <x:c r="F5045" s="9" t="n">
        <x:v>0</x:v>
      </x:c>
    </x:row>
    <x:row r="5046" ht="34" customHeight="1">
      <x:c r="A5046" s="4" t="str">
        <x:v>RS-02514-I1</x:v>
      </x:c>
      <x:c r="B5046" s="4" t="str">
        <x:v>RS-02514</x:v>
      </x:c>
      <x:c r="C5046" s="9" t="n">
        <x:v>1</x:v>
      </x:c>
      <x:c r="D5046" s="8" t="n">
        <x:v>45465</x:v>
      </x:c>
      <x:c r="E5046" s="9" t="n">
        <x:v>5006250</x:v>
      </x:c>
      <x:c r="F5046" s="9" t="n">
        <x:v>5006250</x:v>
      </x:c>
    </x:row>
    <x:row r="5047" ht="34" customHeight="1">
      <x:c r="A5047" s="4" t="str">
        <x:v>RS-02514-I2</x:v>
      </x:c>
      <x:c r="B5047" s="4" t="str">
        <x:v>RS-02514</x:v>
      </x:c>
      <x:c r="C5047" s="9" t="n">
        <x:v>2</x:v>
      </x:c>
      <x:c r="D5047" s="8" t="n">
        <x:v>45495</x:v>
      </x:c>
      <x:c r="E5047" s="9" t="n">
        <x:v>5006250</x:v>
      </x:c>
      <x:c r="F5047" s="9" t="n">
        <x:v>5006250</x:v>
      </x:c>
    </x:row>
    <x:row r="5048" ht="34" customHeight="1">
      <x:c r="A5048" s="4" t="str">
        <x:v>RS-02514-I3</x:v>
      </x:c>
      <x:c r="B5048" s="4" t="str">
        <x:v>RS-02514</x:v>
      </x:c>
      <x:c r="C5048" s="9" t="n">
        <x:v>3</x:v>
      </x:c>
      <x:c r="D5048" s="8" t="n">
        <x:v>45525</x:v>
      </x:c>
      <x:c r="E5048" s="9" t="n">
        <x:v>5006250</x:v>
      </x:c>
      <x:c r="F5048" s="9" t="n">
        <x:v>5006250</x:v>
      </x:c>
    </x:row>
    <x:row r="5049" ht="34" customHeight="1">
      <x:c r="A5049" s="4" t="str">
        <x:v>RS-02514-I4</x:v>
      </x:c>
      <x:c r="B5049" s="4" t="str">
        <x:v>RS-02514</x:v>
      </x:c>
      <x:c r="C5049" s="9" t="n">
        <x:v>4</x:v>
      </x:c>
      <x:c r="D5049" s="8" t="n">
        <x:v>45555</x:v>
      </x:c>
      <x:c r="E5049" s="9" t="n">
        <x:v>5006250</x:v>
      </x:c>
      <x:c r="F5049" s="9" t="n">
        <x:v>5006250</x:v>
      </x:c>
    </x:row>
    <x:row r="5050" ht="34" customHeight="1">
      <x:c r="A5050" s="4" t="str">
        <x:v>RS-02516-I1</x:v>
      </x:c>
      <x:c r="B5050" s="4" t="str">
        <x:v>RS-02516</x:v>
      </x:c>
      <x:c r="C5050" s="9" t="n">
        <x:v>1</x:v>
      </x:c>
      <x:c r="D5050" s="8" t="n">
        <x:v>45467</x:v>
      </x:c>
      <x:c r="E5050" s="9" t="n">
        <x:v>3116750</x:v>
      </x:c>
      <x:c r="F5050" s="9" t="n">
        <x:v>3116750</x:v>
      </x:c>
    </x:row>
    <x:row r="5051" ht="34" customHeight="1">
      <x:c r="A5051" s="4" t="str">
        <x:v>RS-02516-I2</x:v>
      </x:c>
      <x:c r="B5051" s="4" t="str">
        <x:v>RS-02516</x:v>
      </x:c>
      <x:c r="C5051" s="9" t="n">
        <x:v>2</x:v>
      </x:c>
      <x:c r="D5051" s="8" t="n">
        <x:v>45497</x:v>
      </x:c>
      <x:c r="E5051" s="9" t="n">
        <x:v>3116750</x:v>
      </x:c>
      <x:c r="F5051" s="9" t="n">
        <x:v>0</x:v>
      </x:c>
    </x:row>
    <x:row r="5052" ht="34" customHeight="1">
      <x:c r="A5052" s="4" t="str">
        <x:v>RS-02516-I3</x:v>
      </x:c>
      <x:c r="B5052" s="4" t="str">
        <x:v>RS-02516</x:v>
      </x:c>
      <x:c r="C5052" s="9" t="n">
        <x:v>3</x:v>
      </x:c>
      <x:c r="D5052" s="8" t="n">
        <x:v>45527</x:v>
      </x:c>
      <x:c r="E5052" s="9" t="n">
        <x:v>3116750</x:v>
      </x:c>
      <x:c r="F5052" s="9" t="n">
        <x:v>0</x:v>
      </x:c>
    </x:row>
    <x:row r="5053" ht="34" customHeight="1">
      <x:c r="A5053" s="4" t="str">
        <x:v>RS-02516-I4</x:v>
      </x:c>
      <x:c r="B5053" s="4" t="str">
        <x:v>RS-02516</x:v>
      </x:c>
      <x:c r="C5053" s="9" t="n">
        <x:v>4</x:v>
      </x:c>
      <x:c r="D5053" s="8" t="n">
        <x:v>45557</x:v>
      </x:c>
      <x:c r="E5053" s="9" t="n">
        <x:v>3116750</x:v>
      </x:c>
      <x:c r="F5053" s="9" t="n">
        <x:v>0</x:v>
      </x:c>
    </x:row>
    <x:row r="5054" ht="34" customHeight="1">
      <x:c r="A5054" s="4" t="str">
        <x:v>RS-02518-I1</x:v>
      </x:c>
      <x:c r="B5054" s="4" t="str">
        <x:v>RS-02518</x:v>
      </x:c>
      <x:c r="C5054" s="9" t="n">
        <x:v>1</x:v>
      </x:c>
      <x:c r="D5054" s="8" t="n">
        <x:v>45469</x:v>
      </x:c>
      <x:c r="E5054" s="9" t="n">
        <x:v>2728000</x:v>
      </x:c>
      <x:c r="F5054" s="9" t="n">
        <x:v>2728000</x:v>
      </x:c>
    </x:row>
    <x:row r="5055" ht="34" customHeight="1">
      <x:c r="A5055" s="4" t="str">
        <x:v>RS-02518-I2</x:v>
      </x:c>
      <x:c r="B5055" s="4" t="str">
        <x:v>RS-02518</x:v>
      </x:c>
      <x:c r="C5055" s="9" t="n">
        <x:v>2</x:v>
      </x:c>
      <x:c r="D5055" s="8" t="n">
        <x:v>45499</x:v>
      </x:c>
      <x:c r="E5055" s="9" t="n">
        <x:v>2728000</x:v>
      </x:c>
      <x:c r="F5055" s="9" t="n">
        <x:v>0</x:v>
      </x:c>
    </x:row>
    <x:row r="5056" ht="34" customHeight="1">
      <x:c r="A5056" s="4" t="str">
        <x:v>RS-02518-I3</x:v>
      </x:c>
      <x:c r="B5056" s="4" t="str">
        <x:v>RS-02518</x:v>
      </x:c>
      <x:c r="C5056" s="9" t="n">
        <x:v>3</x:v>
      </x:c>
      <x:c r="D5056" s="8" t="n">
        <x:v>45529</x:v>
      </x:c>
      <x:c r="E5056" s="9" t="n">
        <x:v>2728000</x:v>
      </x:c>
      <x:c r="F5056" s="9" t="n">
        <x:v>0</x:v>
      </x:c>
    </x:row>
    <x:row r="5057" ht="34" customHeight="1">
      <x:c r="A5057" s="4" t="str">
        <x:v>RS-02518-I4</x:v>
      </x:c>
      <x:c r="B5057" s="4" t="str">
        <x:v>RS-02518</x:v>
      </x:c>
      <x:c r="C5057" s="9" t="n">
        <x:v>4</x:v>
      </x:c>
      <x:c r="D5057" s="8" t="n">
        <x:v>45559</x:v>
      </x:c>
      <x:c r="E5057" s="9" t="n">
        <x:v>2728000</x:v>
      </x:c>
      <x:c r="F5057" s="9" t="n">
        <x:v>0</x:v>
      </x:c>
    </x:row>
    <x:row r="5058" ht="34" customHeight="1">
      <x:c r="A5058" s="4" t="str">
        <x:v>RS-02519-I1</x:v>
      </x:c>
      <x:c r="B5058" s="4" t="str">
        <x:v>RS-02519</x:v>
      </x:c>
      <x:c r="C5058" s="9" t="n">
        <x:v>1</x:v>
      </x:c>
      <x:c r="D5058" s="8" t="n">
        <x:v>45470</x:v>
      </x:c>
      <x:c r="E5058" s="9" t="n">
        <x:v>4510500</x:v>
      </x:c>
      <x:c r="F5058" s="9" t="n">
        <x:v>4510500</x:v>
      </x:c>
    </x:row>
    <x:row r="5059" ht="34" customHeight="1">
      <x:c r="A5059" s="4" t="str">
        <x:v>RS-02519-I2</x:v>
      </x:c>
      <x:c r="B5059" s="4" t="str">
        <x:v>RS-02519</x:v>
      </x:c>
      <x:c r="C5059" s="9" t="n">
        <x:v>2</x:v>
      </x:c>
      <x:c r="D5059" s="8" t="n">
        <x:v>45500</x:v>
      </x:c>
      <x:c r="E5059" s="9" t="n">
        <x:v>4510500</x:v>
      </x:c>
      <x:c r="F5059" s="9" t="n">
        <x:v>4510500</x:v>
      </x:c>
    </x:row>
    <x:row r="5060" ht="34" customHeight="1">
      <x:c r="A5060" s="4" t="str">
        <x:v>RS-02519-I3</x:v>
      </x:c>
      <x:c r="B5060" s="4" t="str">
        <x:v>RS-02519</x:v>
      </x:c>
      <x:c r="C5060" s="9" t="n">
        <x:v>3</x:v>
      </x:c>
      <x:c r="D5060" s="8" t="n">
        <x:v>45530</x:v>
      </x:c>
      <x:c r="E5060" s="9" t="n">
        <x:v>4510500</x:v>
      </x:c>
      <x:c r="F5060" s="9" t="n">
        <x:v>4510500</x:v>
      </x:c>
    </x:row>
    <x:row r="5061" ht="34" customHeight="1">
      <x:c r="A5061" s="4" t="str">
        <x:v>RS-02519-I4</x:v>
      </x:c>
      <x:c r="B5061" s="4" t="str">
        <x:v>RS-02519</x:v>
      </x:c>
      <x:c r="C5061" s="9" t="n">
        <x:v>4</x:v>
      </x:c>
      <x:c r="D5061" s="8" t="n">
        <x:v>45560</x:v>
      </x:c>
      <x:c r="E5061" s="9" t="n">
        <x:v>4510500</x:v>
      </x:c>
      <x:c r="F5061" s="9" t="n">
        <x:v>4510500</x:v>
      </x:c>
    </x:row>
    <x:row r="5062" ht="34" customHeight="1">
      <x:c r="A5062" s="4" t="str">
        <x:v>RS-02520-I1</x:v>
      </x:c>
      <x:c r="B5062" s="4" t="str">
        <x:v>RS-02520</x:v>
      </x:c>
      <x:c r="C5062" s="9" t="n">
        <x:v>1</x:v>
      </x:c>
      <x:c r="D5062" s="8" t="n">
        <x:v>45471</x:v>
      </x:c>
      <x:c r="E5062" s="9" t="n">
        <x:v>1536000</x:v>
      </x:c>
      <x:c r="F5062" s="9" t="n">
        <x:v>1536000</x:v>
      </x:c>
    </x:row>
    <x:row r="5063" ht="34" customHeight="1">
      <x:c r="A5063" s="4" t="str">
        <x:v>RS-02520-I2</x:v>
      </x:c>
      <x:c r="B5063" s="4" t="str">
        <x:v>RS-02520</x:v>
      </x:c>
      <x:c r="C5063" s="9" t="n">
        <x:v>2</x:v>
      </x:c>
      <x:c r="D5063" s="8" t="n">
        <x:v>45501</x:v>
      </x:c>
      <x:c r="E5063" s="9" t="n">
        <x:v>1536000</x:v>
      </x:c>
      <x:c r="F5063" s="9" t="n">
        <x:v>1536000</x:v>
      </x:c>
    </x:row>
    <x:row r="5064" ht="34" customHeight="1">
      <x:c r="A5064" s="4" t="str">
        <x:v>RS-02520-I3</x:v>
      </x:c>
      <x:c r="B5064" s="4" t="str">
        <x:v>RS-02520</x:v>
      </x:c>
      <x:c r="C5064" s="9" t="n">
        <x:v>3</x:v>
      </x:c>
      <x:c r="D5064" s="8" t="n">
        <x:v>45531</x:v>
      </x:c>
      <x:c r="E5064" s="9" t="n">
        <x:v>1536000</x:v>
      </x:c>
      <x:c r="F5064" s="9" t="n">
        <x:v>0</x:v>
      </x:c>
    </x:row>
    <x:row r="5065" ht="34" customHeight="1">
      <x:c r="A5065" s="4" t="str">
        <x:v>RS-02520-I4</x:v>
      </x:c>
      <x:c r="B5065" s="4" t="str">
        <x:v>RS-02520</x:v>
      </x:c>
      <x:c r="C5065" s="9" t="n">
        <x:v>4</x:v>
      </x:c>
      <x:c r="D5065" s="8" t="n">
        <x:v>45561</x:v>
      </x:c>
      <x:c r="E5065" s="9" t="n">
        <x:v>1536000</x:v>
      </x:c>
      <x:c r="F5065" s="9" t="n">
        <x:v>0</x:v>
      </x:c>
    </x:row>
    <x:row r="5066" ht="34" customHeight="1">
      <x:c r="A5066" s="4" t="str">
        <x:v>RS-02522-I1</x:v>
      </x:c>
      <x:c r="B5066" s="4" t="str">
        <x:v>RS-02522</x:v>
      </x:c>
      <x:c r="C5066" s="9" t="n">
        <x:v>1</x:v>
      </x:c>
      <x:c r="D5066" s="8" t="n">
        <x:v>45445</x:v>
      </x:c>
      <x:c r="E5066" s="9" t="n">
        <x:v>1300000</x:v>
      </x:c>
      <x:c r="F5066" s="9" t="n">
        <x:v>1300000</x:v>
      </x:c>
    </x:row>
    <x:row r="5067" ht="34" customHeight="1">
      <x:c r="A5067" s="4" t="str">
        <x:v>RS-02522-I2</x:v>
      </x:c>
      <x:c r="B5067" s="4" t="str">
        <x:v>RS-02522</x:v>
      </x:c>
      <x:c r="C5067" s="9" t="n">
        <x:v>2</x:v>
      </x:c>
      <x:c r="D5067" s="8" t="n">
        <x:v>45475</x:v>
      </x:c>
      <x:c r="E5067" s="9" t="n">
        <x:v>1300000</x:v>
      </x:c>
      <x:c r="F5067" s="9" t="n">
        <x:v>0</x:v>
      </x:c>
    </x:row>
    <x:row r="5068" ht="34" customHeight="1">
      <x:c r="A5068" s="4" t="str">
        <x:v>RS-02522-I3</x:v>
      </x:c>
      <x:c r="B5068" s="4" t="str">
        <x:v>RS-02522</x:v>
      </x:c>
      <x:c r="C5068" s="9" t="n">
        <x:v>3</x:v>
      </x:c>
      <x:c r="D5068" s="8" t="n">
        <x:v>45505</x:v>
      </x:c>
      <x:c r="E5068" s="9" t="n">
        <x:v>1300000</x:v>
      </x:c>
      <x:c r="F5068" s="9" t="n">
        <x:v>0</x:v>
      </x:c>
    </x:row>
    <x:row r="5069" ht="34" customHeight="1">
      <x:c r="A5069" s="4" t="str">
        <x:v>RS-02522-I4</x:v>
      </x:c>
      <x:c r="B5069" s="4" t="str">
        <x:v>RS-02522</x:v>
      </x:c>
      <x:c r="C5069" s="9" t="n">
        <x:v>4</x:v>
      </x:c>
      <x:c r="D5069" s="8" t="n">
        <x:v>45535</x:v>
      </x:c>
      <x:c r="E5069" s="9" t="n">
        <x:v>1300000</x:v>
      </x:c>
      <x:c r="F5069" s="9" t="n">
        <x:v>0</x:v>
      </x:c>
    </x:row>
    <x:row r="5070" ht="34" customHeight="1">
      <x:c r="A5070" s="4" t="str">
        <x:v>RS-02525-I1</x:v>
      </x:c>
      <x:c r="B5070" s="4" t="str">
        <x:v>RS-02525</x:v>
      </x:c>
      <x:c r="C5070" s="9" t="n">
        <x:v>1</x:v>
      </x:c>
      <x:c r="D5070" s="8" t="n">
        <x:v>45448</x:v>
      </x:c>
      <x:c r="E5070" s="9" t="n">
        <x:v>1604250</x:v>
      </x:c>
      <x:c r="F5070" s="9" t="n">
        <x:v>1604250</x:v>
      </x:c>
    </x:row>
    <x:row r="5071" ht="34" customHeight="1">
      <x:c r="A5071" s="4" t="str">
        <x:v>RS-02525-I2</x:v>
      </x:c>
      <x:c r="B5071" s="4" t="str">
        <x:v>RS-02525</x:v>
      </x:c>
      <x:c r="C5071" s="9" t="n">
        <x:v>2</x:v>
      </x:c>
      <x:c r="D5071" s="8" t="n">
        <x:v>45478</x:v>
      </x:c>
      <x:c r="E5071" s="9" t="n">
        <x:v>1604250</x:v>
      </x:c>
      <x:c r="F5071" s="9" t="n">
        <x:v>1604250</x:v>
      </x:c>
    </x:row>
    <x:row r="5072" ht="34" customHeight="1">
      <x:c r="A5072" s="4" t="str">
        <x:v>RS-02525-I3</x:v>
      </x:c>
      <x:c r="B5072" s="4" t="str">
        <x:v>RS-02525</x:v>
      </x:c>
      <x:c r="C5072" s="9" t="n">
        <x:v>3</x:v>
      </x:c>
      <x:c r="D5072" s="8" t="n">
        <x:v>45508</x:v>
      </x:c>
      <x:c r="E5072" s="9" t="n">
        <x:v>1604250</x:v>
      </x:c>
      <x:c r="F5072" s="9" t="n">
        <x:v>1604250</x:v>
      </x:c>
    </x:row>
    <x:row r="5073" ht="34" customHeight="1">
      <x:c r="A5073" s="4" t="str">
        <x:v>RS-02525-I4</x:v>
      </x:c>
      <x:c r="B5073" s="4" t="str">
        <x:v>RS-02525</x:v>
      </x:c>
      <x:c r="C5073" s="9" t="n">
        <x:v>4</x:v>
      </x:c>
      <x:c r="D5073" s="8" t="n">
        <x:v>45538</x:v>
      </x:c>
      <x:c r="E5073" s="9" t="n">
        <x:v>1604250</x:v>
      </x:c>
      <x:c r="F5073" s="9" t="n">
        <x:v>1604250</x:v>
      </x:c>
    </x:row>
    <x:row r="5074" ht="34" customHeight="1">
      <x:c r="A5074" s="4" t="str">
        <x:v>RS-02526-I1</x:v>
      </x:c>
      <x:c r="B5074" s="4" t="str">
        <x:v>RS-02526</x:v>
      </x:c>
      <x:c r="C5074" s="9" t="n">
        <x:v>1</x:v>
      </x:c>
      <x:c r="D5074" s="8" t="n">
        <x:v>45449</x:v>
      </x:c>
      <x:c r="E5074" s="9" t="n">
        <x:v>2688000</x:v>
      </x:c>
      <x:c r="F5074" s="9" t="n">
        <x:v>2688000</x:v>
      </x:c>
    </x:row>
    <x:row r="5075" ht="34" customHeight="1">
      <x:c r="A5075" s="4" t="str">
        <x:v>RS-02526-I2</x:v>
      </x:c>
      <x:c r="B5075" s="4" t="str">
        <x:v>RS-02526</x:v>
      </x:c>
      <x:c r="C5075" s="9" t="n">
        <x:v>2</x:v>
      </x:c>
      <x:c r="D5075" s="8" t="n">
        <x:v>45479</x:v>
      </x:c>
      <x:c r="E5075" s="9" t="n">
        <x:v>2688000</x:v>
      </x:c>
      <x:c r="F5075" s="9" t="n">
        <x:v>2688000</x:v>
      </x:c>
    </x:row>
    <x:row r="5076" ht="34" customHeight="1">
      <x:c r="A5076" s="4" t="str">
        <x:v>RS-02526-I3</x:v>
      </x:c>
      <x:c r="B5076" s="4" t="str">
        <x:v>RS-02526</x:v>
      </x:c>
      <x:c r="C5076" s="9" t="n">
        <x:v>3</x:v>
      </x:c>
      <x:c r="D5076" s="8" t="n">
        <x:v>45509</x:v>
      </x:c>
      <x:c r="E5076" s="9" t="n">
        <x:v>2688000</x:v>
      </x:c>
      <x:c r="F5076" s="9" t="n">
        <x:v>0</x:v>
      </x:c>
    </x:row>
    <x:row r="5077" ht="34" customHeight="1">
      <x:c r="A5077" s="4" t="str">
        <x:v>RS-02526-I4</x:v>
      </x:c>
      <x:c r="B5077" s="4" t="str">
        <x:v>RS-02526</x:v>
      </x:c>
      <x:c r="C5077" s="9" t="n">
        <x:v>4</x:v>
      </x:c>
      <x:c r="D5077" s="8" t="n">
        <x:v>45539</x:v>
      </x:c>
      <x:c r="E5077" s="9" t="n">
        <x:v>2688000</x:v>
      </x:c>
      <x:c r="F5077" s="9" t="n">
        <x:v>0</x:v>
      </x:c>
    </x:row>
    <x:row r="5078" ht="34" customHeight="1">
      <x:c r="A5078" s="4" t="str">
        <x:v>RS-02537-I1</x:v>
      </x:c>
      <x:c r="B5078" s="4" t="str">
        <x:v>RS-02537</x:v>
      </x:c>
      <x:c r="C5078" s="9" t="n">
        <x:v>1</x:v>
      </x:c>
      <x:c r="D5078" s="8" t="n">
        <x:v>45460</x:v>
      </x:c>
      <x:c r="E5078" s="9" t="n">
        <x:v>6175000</x:v>
      </x:c>
      <x:c r="F5078" s="9" t="n">
        <x:v>6175000</x:v>
      </x:c>
    </x:row>
    <x:row r="5079" ht="34" customHeight="1">
      <x:c r="A5079" s="4" t="str">
        <x:v>RS-02537-I2</x:v>
      </x:c>
      <x:c r="B5079" s="4" t="str">
        <x:v>RS-02537</x:v>
      </x:c>
      <x:c r="C5079" s="9" t="n">
        <x:v>2</x:v>
      </x:c>
      <x:c r="D5079" s="8" t="n">
        <x:v>45490</x:v>
      </x:c>
      <x:c r="E5079" s="9" t="n">
        <x:v>6175000</x:v>
      </x:c>
      <x:c r="F5079" s="9" t="n">
        <x:v>6175000</x:v>
      </x:c>
    </x:row>
    <x:row r="5080" ht="34" customHeight="1">
      <x:c r="A5080" s="4" t="str">
        <x:v>RS-02537-I3</x:v>
      </x:c>
      <x:c r="B5080" s="4" t="str">
        <x:v>RS-02537</x:v>
      </x:c>
      <x:c r="C5080" s="9" t="n">
        <x:v>3</x:v>
      </x:c>
      <x:c r="D5080" s="8" t="n">
        <x:v>45520</x:v>
      </x:c>
      <x:c r="E5080" s="9" t="n">
        <x:v>6175000</x:v>
      </x:c>
      <x:c r="F5080" s="9" t="n">
        <x:v>0</x:v>
      </x:c>
    </x:row>
    <x:row r="5081" ht="34" customHeight="1">
      <x:c r="A5081" s="4" t="str">
        <x:v>RS-02537-I4</x:v>
      </x:c>
      <x:c r="B5081" s="4" t="str">
        <x:v>RS-02537</x:v>
      </x:c>
      <x:c r="C5081" s="9" t="n">
        <x:v>4</x:v>
      </x:c>
      <x:c r="D5081" s="8" t="n">
        <x:v>45550</x:v>
      </x:c>
      <x:c r="E5081" s="9" t="n">
        <x:v>6175000</x:v>
      </x:c>
      <x:c r="F5081" s="9" t="n">
        <x:v>0</x:v>
      </x:c>
    </x:row>
    <x:row r="5082" ht="34" customHeight="1">
      <x:c r="A5082" s="4" t="str">
        <x:v>RS-02541-I1</x:v>
      </x:c>
      <x:c r="B5082" s="4" t="str">
        <x:v>RS-02541</x:v>
      </x:c>
      <x:c r="C5082" s="9" t="n">
        <x:v>1</x:v>
      </x:c>
      <x:c r="D5082" s="8" t="n">
        <x:v>45464</x:v>
      </x:c>
      <x:c r="E5082" s="9" t="n">
        <x:v>4952250</x:v>
      </x:c>
      <x:c r="F5082" s="9" t="n">
        <x:v>4952250</x:v>
      </x:c>
    </x:row>
    <x:row r="5083" ht="34" customHeight="1">
      <x:c r="A5083" s="4" t="str">
        <x:v>RS-02541-I2</x:v>
      </x:c>
      <x:c r="B5083" s="4" t="str">
        <x:v>RS-02541</x:v>
      </x:c>
      <x:c r="C5083" s="9" t="n">
        <x:v>2</x:v>
      </x:c>
      <x:c r="D5083" s="8" t="n">
        <x:v>45494</x:v>
      </x:c>
      <x:c r="E5083" s="9" t="n">
        <x:v>4952250</x:v>
      </x:c>
      <x:c r="F5083" s="9" t="n">
        <x:v>4952250</x:v>
      </x:c>
    </x:row>
    <x:row r="5084" ht="34" customHeight="1">
      <x:c r="A5084" s="4" t="str">
        <x:v>RS-02541-I3</x:v>
      </x:c>
      <x:c r="B5084" s="4" t="str">
        <x:v>RS-02541</x:v>
      </x:c>
      <x:c r="C5084" s="9" t="n">
        <x:v>3</x:v>
      </x:c>
      <x:c r="D5084" s="8" t="n">
        <x:v>45524</x:v>
      </x:c>
      <x:c r="E5084" s="9" t="n">
        <x:v>4952250</x:v>
      </x:c>
      <x:c r="F5084" s="9" t="n">
        <x:v>0</x:v>
      </x:c>
    </x:row>
    <x:row r="5085" ht="34" customHeight="1">
      <x:c r="A5085" s="4" t="str">
        <x:v>RS-02541-I4</x:v>
      </x:c>
      <x:c r="B5085" s="4" t="str">
        <x:v>RS-02541</x:v>
      </x:c>
      <x:c r="C5085" s="9" t="n">
        <x:v>4</x:v>
      </x:c>
      <x:c r="D5085" s="8" t="n">
        <x:v>45554</x:v>
      </x:c>
      <x:c r="E5085" s="9" t="n">
        <x:v>4952250</x:v>
      </x:c>
      <x:c r="F5085" s="9" t="n">
        <x:v>0</x:v>
      </x:c>
    </x:row>
    <x:row r="5086" ht="34" customHeight="1">
      <x:c r="A5086" s="4" t="str">
        <x:v>RS-02544-I1</x:v>
      </x:c>
      <x:c r="B5086" s="4" t="str">
        <x:v>RS-02544</x:v>
      </x:c>
      <x:c r="C5086" s="9" t="n">
        <x:v>1</x:v>
      </x:c>
      <x:c r="D5086" s="8" t="n">
        <x:v>45467</x:v>
      </x:c>
      <x:c r="E5086" s="9" t="n">
        <x:v>1597500</x:v>
      </x:c>
      <x:c r="F5086" s="9" t="n">
        <x:v>1597500</x:v>
      </x:c>
    </x:row>
    <x:row r="5087" ht="34" customHeight="1">
      <x:c r="A5087" s="4" t="str">
        <x:v>RS-02544-I2</x:v>
      </x:c>
      <x:c r="B5087" s="4" t="str">
        <x:v>RS-02544</x:v>
      </x:c>
      <x:c r="C5087" s="9" t="n">
        <x:v>2</x:v>
      </x:c>
      <x:c r="D5087" s="8" t="n">
        <x:v>45497</x:v>
      </x:c>
      <x:c r="E5087" s="9" t="n">
        <x:v>1597500</x:v>
      </x:c>
      <x:c r="F5087" s="9" t="n">
        <x:v>1597500</x:v>
      </x:c>
    </x:row>
    <x:row r="5088" ht="34" customHeight="1">
      <x:c r="A5088" s="4" t="str">
        <x:v>RS-02544-I3</x:v>
      </x:c>
      <x:c r="B5088" s="4" t="str">
        <x:v>RS-02544</x:v>
      </x:c>
      <x:c r="C5088" s="9" t="n">
        <x:v>3</x:v>
      </x:c>
      <x:c r="D5088" s="8" t="n">
        <x:v>45527</x:v>
      </x:c>
      <x:c r="E5088" s="9" t="n">
        <x:v>1597500</x:v>
      </x:c>
      <x:c r="F5088" s="9" t="n">
        <x:v>0</x:v>
      </x:c>
    </x:row>
    <x:row r="5089" ht="34" customHeight="1">
      <x:c r="A5089" s="4" t="str">
        <x:v>RS-02544-I4</x:v>
      </x:c>
      <x:c r="B5089" s="4" t="str">
        <x:v>RS-02544</x:v>
      </x:c>
      <x:c r="C5089" s="9" t="n">
        <x:v>4</x:v>
      </x:c>
      <x:c r="D5089" s="8" t="n">
        <x:v>45557</x:v>
      </x:c>
      <x:c r="E5089" s="9" t="n">
        <x:v>1597500</x:v>
      </x:c>
      <x:c r="F5089" s="9" t="n">
        <x:v>0</x:v>
      </x:c>
    </x:row>
    <x:row r="5090" ht="34" customHeight="1">
      <x:c r="A5090" s="4" t="str">
        <x:v>RS-02545-I1</x:v>
      </x:c>
      <x:c r="B5090" s="4" t="str">
        <x:v>RS-02545</x:v>
      </x:c>
      <x:c r="C5090" s="9" t="n">
        <x:v>1</x:v>
      </x:c>
      <x:c r="D5090" s="8" t="n">
        <x:v>45468</x:v>
      </x:c>
      <x:c r="E5090" s="9" t="n">
        <x:v>5795000</x:v>
      </x:c>
      <x:c r="F5090" s="9" t="n">
        <x:v>5795000</x:v>
      </x:c>
    </x:row>
    <x:row r="5091" ht="34" customHeight="1">
      <x:c r="A5091" s="4" t="str">
        <x:v>RS-02545-I2</x:v>
      </x:c>
      <x:c r="B5091" s="4" t="str">
        <x:v>RS-02545</x:v>
      </x:c>
      <x:c r="C5091" s="9" t="n">
        <x:v>2</x:v>
      </x:c>
      <x:c r="D5091" s="8" t="n">
        <x:v>45498</x:v>
      </x:c>
      <x:c r="E5091" s="9" t="n">
        <x:v>5795000</x:v>
      </x:c>
      <x:c r="F5091" s="9" t="n">
        <x:v>5795000</x:v>
      </x:c>
    </x:row>
    <x:row r="5092" ht="34" customHeight="1">
      <x:c r="A5092" s="4" t="str">
        <x:v>RS-02545-I3</x:v>
      </x:c>
      <x:c r="B5092" s="4" t="str">
        <x:v>RS-02545</x:v>
      </x:c>
      <x:c r="C5092" s="9" t="n">
        <x:v>3</x:v>
      </x:c>
      <x:c r="D5092" s="8" t="n">
        <x:v>45528</x:v>
      </x:c>
      <x:c r="E5092" s="9" t="n">
        <x:v>5795000</x:v>
      </x:c>
      <x:c r="F5092" s="9" t="n">
        <x:v>5795000</x:v>
      </x:c>
    </x:row>
    <x:row r="5093" ht="34" customHeight="1">
      <x:c r="A5093" s="4" t="str">
        <x:v>RS-02545-I4</x:v>
      </x:c>
      <x:c r="B5093" s="4" t="str">
        <x:v>RS-02545</x:v>
      </x:c>
      <x:c r="C5093" s="9" t="n">
        <x:v>4</x:v>
      </x:c>
      <x:c r="D5093" s="8" t="n">
        <x:v>45558</x:v>
      </x:c>
      <x:c r="E5093" s="9" t="n">
        <x:v>5795000</x:v>
      </x:c>
      <x:c r="F5093" s="9" t="n">
        <x:v>5795000</x:v>
      </x:c>
    </x:row>
    <x:row r="5094" ht="34" customHeight="1">
      <x:c r="A5094" s="4" t="str">
        <x:v>RS-02547-I1</x:v>
      </x:c>
      <x:c r="B5094" s="4" t="str">
        <x:v>RS-02547</x:v>
      </x:c>
      <x:c r="C5094" s="9" t="n">
        <x:v>1</x:v>
      </x:c>
      <x:c r="D5094" s="8" t="n">
        <x:v>45470</x:v>
      </x:c>
      <x:c r="E5094" s="9" t="n">
        <x:v>2303000</x:v>
      </x:c>
      <x:c r="F5094" s="9" t="n">
        <x:v>921200</x:v>
      </x:c>
    </x:row>
    <x:row r="5095" ht="34" customHeight="1">
      <x:c r="A5095" s="4" t="str">
        <x:v>RS-02547-I2</x:v>
      </x:c>
      <x:c r="B5095" s="4" t="str">
        <x:v>RS-02547</x:v>
      </x:c>
      <x:c r="C5095" s="9" t="n">
        <x:v>2</x:v>
      </x:c>
      <x:c r="D5095" s="8" t="n">
        <x:v>45500</x:v>
      </x:c>
      <x:c r="E5095" s="9" t="n">
        <x:v>2303000</x:v>
      </x:c>
      <x:c r="F5095" s="9" t="n">
        <x:v>0</x:v>
      </x:c>
    </x:row>
    <x:row r="5096" ht="34" customHeight="1">
      <x:c r="A5096" s="4" t="str">
        <x:v>RS-02547-I3</x:v>
      </x:c>
      <x:c r="B5096" s="4" t="str">
        <x:v>RS-02547</x:v>
      </x:c>
      <x:c r="C5096" s="9" t="n">
        <x:v>3</x:v>
      </x:c>
      <x:c r="D5096" s="8" t="n">
        <x:v>45530</x:v>
      </x:c>
      <x:c r="E5096" s="9" t="n">
        <x:v>2303000</x:v>
      </x:c>
      <x:c r="F5096" s="9" t="n">
        <x:v>0</x:v>
      </x:c>
    </x:row>
    <x:row r="5097" ht="34" customHeight="1">
      <x:c r="A5097" s="4" t="str">
        <x:v>RS-02547-I4</x:v>
      </x:c>
      <x:c r="B5097" s="4" t="str">
        <x:v>RS-02547</x:v>
      </x:c>
      <x:c r="C5097" s="9" t="n">
        <x:v>4</x:v>
      </x:c>
      <x:c r="D5097" s="8" t="n">
        <x:v>45560</x:v>
      </x:c>
      <x:c r="E5097" s="9" t="n">
        <x:v>2303000</x:v>
      </x:c>
      <x:c r="F5097" s="9" t="n">
        <x:v>0</x:v>
      </x:c>
    </x:row>
    <x:row r="5098" ht="34" customHeight="1">
      <x:c r="A5098" s="4" t="str">
        <x:v>RS-02548-I1</x:v>
      </x:c>
      <x:c r="B5098" s="4" t="str">
        <x:v>RS-02548</x:v>
      </x:c>
      <x:c r="C5098" s="9" t="n">
        <x:v>1</x:v>
      </x:c>
      <x:c r="D5098" s="8" t="n">
        <x:v>45471</x:v>
      </x:c>
      <x:c r="E5098" s="9" t="n">
        <x:v>3804750</x:v>
      </x:c>
      <x:c r="F5098" s="9" t="n">
        <x:v>3804750</x:v>
      </x:c>
    </x:row>
    <x:row r="5099" ht="34" customHeight="1">
      <x:c r="A5099" s="4" t="str">
        <x:v>RS-02548-I2</x:v>
      </x:c>
      <x:c r="B5099" s="4" t="str">
        <x:v>RS-02548</x:v>
      </x:c>
      <x:c r="C5099" s="9" t="n">
        <x:v>2</x:v>
      </x:c>
      <x:c r="D5099" s="8" t="n">
        <x:v>45501</x:v>
      </x:c>
      <x:c r="E5099" s="9" t="n">
        <x:v>3804750</x:v>
      </x:c>
      <x:c r="F5099" s="9" t="n">
        <x:v>0</x:v>
      </x:c>
    </x:row>
    <x:row r="5100" ht="34" customHeight="1">
      <x:c r="A5100" s="4" t="str">
        <x:v>RS-02548-I3</x:v>
      </x:c>
      <x:c r="B5100" s="4" t="str">
        <x:v>RS-02548</x:v>
      </x:c>
      <x:c r="C5100" s="9" t="n">
        <x:v>3</x:v>
      </x:c>
      <x:c r="D5100" s="8" t="n">
        <x:v>45531</x:v>
      </x:c>
      <x:c r="E5100" s="9" t="n">
        <x:v>3804750</x:v>
      </x:c>
      <x:c r="F5100" s="9" t="n">
        <x:v>0</x:v>
      </x:c>
    </x:row>
    <x:row r="5101" ht="34" customHeight="1">
      <x:c r="A5101" s="4" t="str">
        <x:v>RS-02548-I4</x:v>
      </x:c>
      <x:c r="B5101" s="4" t="str">
        <x:v>RS-02548</x:v>
      </x:c>
      <x:c r="C5101" s="9" t="n">
        <x:v>4</x:v>
      </x:c>
      <x:c r="D5101" s="8" t="n">
        <x:v>45561</x:v>
      </x:c>
      <x:c r="E5101" s="9" t="n">
        <x:v>3804750</x:v>
      </x:c>
      <x:c r="F5101" s="9" t="n">
        <x:v>0</x:v>
      </x:c>
    </x:row>
    <x:row r="5102" ht="34" customHeight="1">
      <x:c r="A5102" s="4" t="str">
        <x:v>RS-02551-I1</x:v>
      </x:c>
      <x:c r="B5102" s="4" t="str">
        <x:v>RS-02551</x:v>
      </x:c>
      <x:c r="C5102" s="9" t="n">
        <x:v>1</x:v>
      </x:c>
      <x:c r="D5102" s="8" t="n">
        <x:v>45446</x:v>
      </x:c>
      <x:c r="E5102" s="9" t="n">
        <x:v>2646000</x:v>
      </x:c>
      <x:c r="F5102" s="9" t="n">
        <x:v>2646000</x:v>
      </x:c>
    </x:row>
    <x:row r="5103" ht="34" customHeight="1">
      <x:c r="A5103" s="4" t="str">
        <x:v>RS-02551-I2</x:v>
      </x:c>
      <x:c r="B5103" s="4" t="str">
        <x:v>RS-02551</x:v>
      </x:c>
      <x:c r="C5103" s="9" t="n">
        <x:v>2</x:v>
      </x:c>
      <x:c r="D5103" s="8" t="n">
        <x:v>45476</x:v>
      </x:c>
      <x:c r="E5103" s="9" t="n">
        <x:v>2646000</x:v>
      </x:c>
      <x:c r="F5103" s="9" t="n">
        <x:v>2646000</x:v>
      </x:c>
    </x:row>
    <x:row r="5104" ht="34" customHeight="1">
      <x:c r="A5104" s="4" t="str">
        <x:v>RS-02551-I3</x:v>
      </x:c>
      <x:c r="B5104" s="4" t="str">
        <x:v>RS-02551</x:v>
      </x:c>
      <x:c r="C5104" s="9" t="n">
        <x:v>3</x:v>
      </x:c>
      <x:c r="D5104" s="8" t="n">
        <x:v>45506</x:v>
      </x:c>
      <x:c r="E5104" s="9" t="n">
        <x:v>2646000</x:v>
      </x:c>
      <x:c r="F5104" s="9" t="n">
        <x:v>2646000</x:v>
      </x:c>
    </x:row>
    <x:row r="5105" ht="34" customHeight="1">
      <x:c r="A5105" s="4" t="str">
        <x:v>RS-02551-I4</x:v>
      </x:c>
      <x:c r="B5105" s="4" t="str">
        <x:v>RS-02551</x:v>
      </x:c>
      <x:c r="C5105" s="9" t="n">
        <x:v>4</x:v>
      </x:c>
      <x:c r="D5105" s="8" t="n">
        <x:v>45536</x:v>
      </x:c>
      <x:c r="E5105" s="9" t="n">
        <x:v>2646000</x:v>
      </x:c>
      <x:c r="F5105" s="9" t="n">
        <x:v>2646000</x:v>
      </x:c>
    </x:row>
    <x:row r="5106" ht="34" customHeight="1">
      <x:c r="A5106" s="4" t="str">
        <x:v>RS-02553-I1</x:v>
      </x:c>
      <x:c r="B5106" s="4" t="str">
        <x:v>RS-02553</x:v>
      </x:c>
      <x:c r="C5106" s="9" t="n">
        <x:v>1</x:v>
      </x:c>
      <x:c r="D5106" s="8" t="n">
        <x:v>45448</x:v>
      </x:c>
      <x:c r="E5106" s="9" t="n">
        <x:v>3487500</x:v>
      </x:c>
      <x:c r="F5106" s="9" t="n">
        <x:v>1395000</x:v>
      </x:c>
    </x:row>
    <x:row r="5107" ht="34" customHeight="1">
      <x:c r="A5107" s="4" t="str">
        <x:v>RS-02553-I2</x:v>
      </x:c>
      <x:c r="B5107" s="4" t="str">
        <x:v>RS-02553</x:v>
      </x:c>
      <x:c r="C5107" s="9" t="n">
        <x:v>2</x:v>
      </x:c>
      <x:c r="D5107" s="8" t="n">
        <x:v>45478</x:v>
      </x:c>
      <x:c r="E5107" s="9" t="n">
        <x:v>3487500</x:v>
      </x:c>
      <x:c r="F5107" s="9" t="n">
        <x:v>0</x:v>
      </x:c>
    </x:row>
    <x:row r="5108" ht="34" customHeight="1">
      <x:c r="A5108" s="4" t="str">
        <x:v>RS-02553-I3</x:v>
      </x:c>
      <x:c r="B5108" s="4" t="str">
        <x:v>RS-02553</x:v>
      </x:c>
      <x:c r="C5108" s="9" t="n">
        <x:v>3</x:v>
      </x:c>
      <x:c r="D5108" s="8" t="n">
        <x:v>45508</x:v>
      </x:c>
      <x:c r="E5108" s="9" t="n">
        <x:v>3487500</x:v>
      </x:c>
      <x:c r="F5108" s="9" t="n">
        <x:v>0</x:v>
      </x:c>
    </x:row>
    <x:row r="5109" ht="34" customHeight="1">
      <x:c r="A5109" s="4" t="str">
        <x:v>RS-02553-I4</x:v>
      </x:c>
      <x:c r="B5109" s="4" t="str">
        <x:v>RS-02553</x:v>
      </x:c>
      <x:c r="C5109" s="9" t="n">
        <x:v>4</x:v>
      </x:c>
      <x:c r="D5109" s="8" t="n">
        <x:v>45538</x:v>
      </x:c>
      <x:c r="E5109" s="9" t="n">
        <x:v>3487500</x:v>
      </x:c>
      <x:c r="F5109" s="9" t="n">
        <x:v>0</x:v>
      </x:c>
    </x:row>
    <x:row r="5110" ht="34" customHeight="1">
      <x:c r="A5110" s="4" t="str">
        <x:v>RS-02556-I1</x:v>
      </x:c>
      <x:c r="B5110" s="4" t="str">
        <x:v>RS-02556</x:v>
      </x:c>
      <x:c r="C5110" s="9" t="n">
        <x:v>1</x:v>
      </x:c>
      <x:c r="D5110" s="8" t="n">
        <x:v>45451</x:v>
      </x:c>
      <x:c r="E5110" s="9" t="n">
        <x:v>867750</x:v>
      </x:c>
      <x:c r="F5110" s="9" t="n">
        <x:v>347100</x:v>
      </x:c>
    </x:row>
    <x:row r="5111" ht="34" customHeight="1">
      <x:c r="A5111" s="4" t="str">
        <x:v>RS-02556-I2</x:v>
      </x:c>
      <x:c r="B5111" s="4" t="str">
        <x:v>RS-02556</x:v>
      </x:c>
      <x:c r="C5111" s="9" t="n">
        <x:v>2</x:v>
      </x:c>
      <x:c r="D5111" s="8" t="n">
        <x:v>45481</x:v>
      </x:c>
      <x:c r="E5111" s="9" t="n">
        <x:v>867750</x:v>
      </x:c>
      <x:c r="F5111" s="9" t="n">
        <x:v>0</x:v>
      </x:c>
    </x:row>
    <x:row r="5112" ht="34" customHeight="1">
      <x:c r="A5112" s="4" t="str">
        <x:v>RS-02556-I3</x:v>
      </x:c>
      <x:c r="B5112" s="4" t="str">
        <x:v>RS-02556</x:v>
      </x:c>
      <x:c r="C5112" s="9" t="n">
        <x:v>3</x:v>
      </x:c>
      <x:c r="D5112" s="8" t="n">
        <x:v>45511</x:v>
      </x:c>
      <x:c r="E5112" s="9" t="n">
        <x:v>867750</x:v>
      </x:c>
      <x:c r="F5112" s="9" t="n">
        <x:v>0</x:v>
      </x:c>
    </x:row>
    <x:row r="5113" ht="34" customHeight="1">
      <x:c r="A5113" s="4" t="str">
        <x:v>RS-02556-I4</x:v>
      </x:c>
      <x:c r="B5113" s="4" t="str">
        <x:v>RS-02556</x:v>
      </x:c>
      <x:c r="C5113" s="9" t="n">
        <x:v>4</x:v>
      </x:c>
      <x:c r="D5113" s="8" t="n">
        <x:v>45541</x:v>
      </x:c>
      <x:c r="E5113" s="9" t="n">
        <x:v>867750</x:v>
      </x:c>
      <x:c r="F5113" s="9" t="n">
        <x:v>0</x:v>
      </x:c>
    </x:row>
    <x:row r="5114" ht="34" customHeight="1">
      <x:c r="A5114" s="4" t="str">
        <x:v>RS-02563-I1</x:v>
      </x:c>
      <x:c r="B5114" s="4" t="str">
        <x:v>RS-02563</x:v>
      </x:c>
      <x:c r="C5114" s="9" t="n">
        <x:v>1</x:v>
      </x:c>
      <x:c r="D5114" s="8" t="n">
        <x:v>45458</x:v>
      </x:c>
      <x:c r="E5114" s="9" t="n">
        <x:v>1166000</x:v>
      </x:c>
      <x:c r="F5114" s="9" t="n">
        <x:v>466400</x:v>
      </x:c>
    </x:row>
    <x:row r="5115" ht="34" customHeight="1">
      <x:c r="A5115" s="4" t="str">
        <x:v>RS-02563-I2</x:v>
      </x:c>
      <x:c r="B5115" s="4" t="str">
        <x:v>RS-02563</x:v>
      </x:c>
      <x:c r="C5115" s="9" t="n">
        <x:v>2</x:v>
      </x:c>
      <x:c r="D5115" s="8" t="n">
        <x:v>45488</x:v>
      </x:c>
      <x:c r="E5115" s="9" t="n">
        <x:v>1166000</x:v>
      </x:c>
      <x:c r="F5115" s="9" t="n">
        <x:v>0</x:v>
      </x:c>
    </x:row>
    <x:row r="5116" ht="34" customHeight="1">
      <x:c r="A5116" s="4" t="str">
        <x:v>RS-02563-I3</x:v>
      </x:c>
      <x:c r="B5116" s="4" t="str">
        <x:v>RS-02563</x:v>
      </x:c>
      <x:c r="C5116" s="9" t="n">
        <x:v>3</x:v>
      </x:c>
      <x:c r="D5116" s="8" t="n">
        <x:v>45518</x:v>
      </x:c>
      <x:c r="E5116" s="9" t="n">
        <x:v>1166000</x:v>
      </x:c>
      <x:c r="F5116" s="9" t="n">
        <x:v>0</x:v>
      </x:c>
    </x:row>
    <x:row r="5117" ht="34" customHeight="1">
      <x:c r="A5117" s="4" t="str">
        <x:v>RS-02563-I4</x:v>
      </x:c>
      <x:c r="B5117" s="4" t="str">
        <x:v>RS-02563</x:v>
      </x:c>
      <x:c r="C5117" s="9" t="n">
        <x:v>4</x:v>
      </x:c>
      <x:c r="D5117" s="8" t="n">
        <x:v>45548</x:v>
      </x:c>
      <x:c r="E5117" s="9" t="n">
        <x:v>1166000</x:v>
      </x:c>
      <x:c r="F5117" s="9" t="n">
        <x:v>0</x:v>
      </x:c>
    </x:row>
    <x:row r="5118" ht="34" customHeight="1">
      <x:c r="A5118" s="4" t="str">
        <x:v>RS-02567-I1</x:v>
      </x:c>
      <x:c r="B5118" s="4" t="str">
        <x:v>RS-02567</x:v>
      </x:c>
      <x:c r="C5118" s="9" t="n">
        <x:v>1</x:v>
      </x:c>
      <x:c r="D5118" s="8" t="n">
        <x:v>45462</x:v>
      </x:c>
      <x:c r="E5118" s="9" t="n">
        <x:v>3526250</x:v>
      </x:c>
      <x:c r="F5118" s="9" t="n">
        <x:v>1410500</x:v>
      </x:c>
    </x:row>
    <x:row r="5119" ht="34" customHeight="1">
      <x:c r="A5119" s="4" t="str">
        <x:v>RS-02567-I2</x:v>
      </x:c>
      <x:c r="B5119" s="4" t="str">
        <x:v>RS-02567</x:v>
      </x:c>
      <x:c r="C5119" s="9" t="n">
        <x:v>2</x:v>
      </x:c>
      <x:c r="D5119" s="8" t="n">
        <x:v>45492</x:v>
      </x:c>
      <x:c r="E5119" s="9" t="n">
        <x:v>3526250</x:v>
      </x:c>
      <x:c r="F5119" s="9" t="n">
        <x:v>0</x:v>
      </x:c>
    </x:row>
    <x:row r="5120" ht="34" customHeight="1">
      <x:c r="A5120" s="4" t="str">
        <x:v>RS-02567-I3</x:v>
      </x:c>
      <x:c r="B5120" s="4" t="str">
        <x:v>RS-02567</x:v>
      </x:c>
      <x:c r="C5120" s="9" t="n">
        <x:v>3</x:v>
      </x:c>
      <x:c r="D5120" s="8" t="n">
        <x:v>45522</x:v>
      </x:c>
      <x:c r="E5120" s="9" t="n">
        <x:v>3526250</x:v>
      </x:c>
      <x:c r="F5120" s="9" t="n">
        <x:v>0</x:v>
      </x:c>
    </x:row>
    <x:row r="5121" ht="34" customHeight="1">
      <x:c r="A5121" s="4" t="str">
        <x:v>RS-02567-I4</x:v>
      </x:c>
      <x:c r="B5121" s="4" t="str">
        <x:v>RS-02567</x:v>
      </x:c>
      <x:c r="C5121" s="9" t="n">
        <x:v>4</x:v>
      </x:c>
      <x:c r="D5121" s="8" t="n">
        <x:v>45552</x:v>
      </x:c>
      <x:c r="E5121" s="9" t="n">
        <x:v>3526250</x:v>
      </x:c>
      <x:c r="F5121" s="9" t="n">
        <x:v>0</x:v>
      </x:c>
    </x:row>
    <x:row r="5122" ht="34" customHeight="1">
      <x:c r="A5122" s="4" t="str">
        <x:v>RS-02568-I1</x:v>
      </x:c>
      <x:c r="B5122" s="4" t="str">
        <x:v>RS-02568</x:v>
      </x:c>
      <x:c r="C5122" s="9" t="n">
        <x:v>1</x:v>
      </x:c>
      <x:c r="D5122" s="8" t="n">
        <x:v>45463</x:v>
      </x:c>
      <x:c r="E5122" s="9" t="n">
        <x:v>5006250</x:v>
      </x:c>
      <x:c r="F5122" s="9" t="n">
        <x:v>2002500</x:v>
      </x:c>
    </x:row>
    <x:row r="5123" ht="34" customHeight="1">
      <x:c r="A5123" s="4" t="str">
        <x:v>RS-02568-I2</x:v>
      </x:c>
      <x:c r="B5123" s="4" t="str">
        <x:v>RS-02568</x:v>
      </x:c>
      <x:c r="C5123" s="9" t="n">
        <x:v>2</x:v>
      </x:c>
      <x:c r="D5123" s="8" t="n">
        <x:v>45493</x:v>
      </x:c>
      <x:c r="E5123" s="9" t="n">
        <x:v>5006250</x:v>
      </x:c>
      <x:c r="F5123" s="9" t="n">
        <x:v>0</x:v>
      </x:c>
    </x:row>
    <x:row r="5124" ht="34" customHeight="1">
      <x:c r="A5124" s="4" t="str">
        <x:v>RS-02568-I3</x:v>
      </x:c>
      <x:c r="B5124" s="4" t="str">
        <x:v>RS-02568</x:v>
      </x:c>
      <x:c r="C5124" s="9" t="n">
        <x:v>3</x:v>
      </x:c>
      <x:c r="D5124" s="8" t="n">
        <x:v>45523</x:v>
      </x:c>
      <x:c r="E5124" s="9" t="n">
        <x:v>5006250</x:v>
      </x:c>
      <x:c r="F5124" s="9" t="n">
        <x:v>0</x:v>
      </x:c>
    </x:row>
    <x:row r="5125" ht="34" customHeight="1">
      <x:c r="A5125" s="4" t="str">
        <x:v>RS-02568-I4</x:v>
      </x:c>
      <x:c r="B5125" s="4" t="str">
        <x:v>RS-02568</x:v>
      </x:c>
      <x:c r="C5125" s="9" t="n">
        <x:v>4</x:v>
      </x:c>
      <x:c r="D5125" s="8" t="n">
        <x:v>45553</x:v>
      </x:c>
      <x:c r="E5125" s="9" t="n">
        <x:v>5006250</x:v>
      </x:c>
      <x:c r="F5125" s="9" t="n">
        <x:v>0</x:v>
      </x:c>
    </x:row>
    <x:row r="5126" ht="34" customHeight="1">
      <x:c r="A5126" s="4" t="str">
        <x:v>RS-02570-I1</x:v>
      </x:c>
      <x:c r="B5126" s="4" t="str">
        <x:v>RS-02570</x:v>
      </x:c>
      <x:c r="C5126" s="9" t="n">
        <x:v>1</x:v>
      </x:c>
      <x:c r="D5126" s="8" t="n">
        <x:v>45465</x:v>
      </x:c>
      <x:c r="E5126" s="9" t="n">
        <x:v>1222000</x:v>
      </x:c>
      <x:c r="F5126" s="9" t="n">
        <x:v>1222000</x:v>
      </x:c>
    </x:row>
    <x:row r="5127" ht="34" customHeight="1">
      <x:c r="A5127" s="4" t="str">
        <x:v>RS-02570-I2</x:v>
      </x:c>
      <x:c r="B5127" s="4" t="str">
        <x:v>RS-02570</x:v>
      </x:c>
      <x:c r="C5127" s="9" t="n">
        <x:v>2</x:v>
      </x:c>
      <x:c r="D5127" s="8" t="n">
        <x:v>45495</x:v>
      </x:c>
      <x:c r="E5127" s="9" t="n">
        <x:v>1222000</x:v>
      </x:c>
      <x:c r="F5127" s="9" t="n">
        <x:v>0</x:v>
      </x:c>
    </x:row>
    <x:row r="5128" ht="34" customHeight="1">
      <x:c r="A5128" s="4" t="str">
        <x:v>RS-02570-I3</x:v>
      </x:c>
      <x:c r="B5128" s="4" t="str">
        <x:v>RS-02570</x:v>
      </x:c>
      <x:c r="C5128" s="9" t="n">
        <x:v>3</x:v>
      </x:c>
      <x:c r="D5128" s="8" t="n">
        <x:v>45525</x:v>
      </x:c>
      <x:c r="E5128" s="9" t="n">
        <x:v>1222000</x:v>
      </x:c>
      <x:c r="F5128" s="9" t="n">
        <x:v>0</x:v>
      </x:c>
    </x:row>
    <x:row r="5129" ht="34" customHeight="1">
      <x:c r="A5129" s="4" t="str">
        <x:v>RS-02570-I4</x:v>
      </x:c>
      <x:c r="B5129" s="4" t="str">
        <x:v>RS-02570</x:v>
      </x:c>
      <x:c r="C5129" s="9" t="n">
        <x:v>4</x:v>
      </x:c>
      <x:c r="D5129" s="8" t="n">
        <x:v>45555</x:v>
      </x:c>
      <x:c r="E5129" s="9" t="n">
        <x:v>1222000</x:v>
      </x:c>
      <x:c r="F5129" s="9" t="n">
        <x:v>0</x:v>
      </x:c>
    </x:row>
    <x:row r="5130" ht="34" customHeight="1">
      <x:c r="A5130" s="4" t="str">
        <x:v>RS-02573-I1</x:v>
      </x:c>
      <x:c r="B5130" s="4" t="str">
        <x:v>RS-02573</x:v>
      </x:c>
      <x:c r="C5130" s="9" t="n">
        <x:v>1</x:v>
      </x:c>
      <x:c r="D5130" s="8" t="n">
        <x:v>45468</x:v>
      </x:c>
      <x:c r="E5130" s="9" t="n">
        <x:v>4345250</x:v>
      </x:c>
      <x:c r="F5130" s="9" t="n">
        <x:v>4345250</x:v>
      </x:c>
    </x:row>
    <x:row r="5131" ht="34" customHeight="1">
      <x:c r="A5131" s="4" t="str">
        <x:v>RS-02573-I2</x:v>
      </x:c>
      <x:c r="B5131" s="4" t="str">
        <x:v>RS-02573</x:v>
      </x:c>
      <x:c r="C5131" s="9" t="n">
        <x:v>2</x:v>
      </x:c>
      <x:c r="D5131" s="8" t="n">
        <x:v>45498</x:v>
      </x:c>
      <x:c r="E5131" s="9" t="n">
        <x:v>4345250</x:v>
      </x:c>
      <x:c r="F5131" s="9" t="n">
        <x:v>4345250</x:v>
      </x:c>
    </x:row>
    <x:row r="5132" ht="34" customHeight="1">
      <x:c r="A5132" s="4" t="str">
        <x:v>RS-02573-I3</x:v>
      </x:c>
      <x:c r="B5132" s="4" t="str">
        <x:v>RS-02573</x:v>
      </x:c>
      <x:c r="C5132" s="9" t="n">
        <x:v>3</x:v>
      </x:c>
      <x:c r="D5132" s="8" t="n">
        <x:v>45528</x:v>
      </x:c>
      <x:c r="E5132" s="9" t="n">
        <x:v>4345250</x:v>
      </x:c>
      <x:c r="F5132" s="9" t="n">
        <x:v>0</x:v>
      </x:c>
    </x:row>
    <x:row r="5133" ht="34" customHeight="1">
      <x:c r="A5133" s="4" t="str">
        <x:v>RS-02573-I4</x:v>
      </x:c>
      <x:c r="B5133" s="4" t="str">
        <x:v>RS-02573</x:v>
      </x:c>
      <x:c r="C5133" s="9" t="n">
        <x:v>4</x:v>
      </x:c>
      <x:c r="D5133" s="8" t="n">
        <x:v>45558</x:v>
      </x:c>
      <x:c r="E5133" s="9" t="n">
        <x:v>4345250</x:v>
      </x:c>
      <x:c r="F5133" s="9" t="n">
        <x:v>0</x:v>
      </x:c>
    </x:row>
    <x:row r="5134" ht="34" customHeight="1">
      <x:c r="A5134" s="4" t="str">
        <x:v>RS-02574-I1</x:v>
      </x:c>
      <x:c r="B5134" s="4" t="str">
        <x:v>RS-02574</x:v>
      </x:c>
      <x:c r="C5134" s="9" t="n">
        <x:v>1</x:v>
      </x:c>
      <x:c r="D5134" s="8" t="n">
        <x:v>45469</x:v>
      </x:c>
      <x:c r="E5134" s="9" t="n">
        <x:v>4554000</x:v>
      </x:c>
      <x:c r="F5134" s="9" t="n">
        <x:v>4554000</x:v>
      </x:c>
    </x:row>
    <x:row r="5135" ht="34" customHeight="1">
      <x:c r="A5135" s="4" t="str">
        <x:v>RS-02574-I2</x:v>
      </x:c>
      <x:c r="B5135" s="4" t="str">
        <x:v>RS-02574</x:v>
      </x:c>
      <x:c r="C5135" s="9" t="n">
        <x:v>2</x:v>
      </x:c>
      <x:c r="D5135" s="8" t="n">
        <x:v>45499</x:v>
      </x:c>
      <x:c r="E5135" s="9" t="n">
        <x:v>4554000</x:v>
      </x:c>
      <x:c r="F5135" s="9" t="n">
        <x:v>4554000</x:v>
      </x:c>
    </x:row>
    <x:row r="5136" ht="34" customHeight="1">
      <x:c r="A5136" s="4" t="str">
        <x:v>RS-02574-I3</x:v>
      </x:c>
      <x:c r="B5136" s="4" t="str">
        <x:v>RS-02574</x:v>
      </x:c>
      <x:c r="C5136" s="9" t="n">
        <x:v>3</x:v>
      </x:c>
      <x:c r="D5136" s="8" t="n">
        <x:v>45529</x:v>
      </x:c>
      <x:c r="E5136" s="9" t="n">
        <x:v>4554000</x:v>
      </x:c>
      <x:c r="F5136" s="9" t="n">
        <x:v>4554000</x:v>
      </x:c>
    </x:row>
    <x:row r="5137" ht="34" customHeight="1">
      <x:c r="A5137" s="4" t="str">
        <x:v>RS-02574-I4</x:v>
      </x:c>
      <x:c r="B5137" s="4" t="str">
        <x:v>RS-02574</x:v>
      </x:c>
      <x:c r="C5137" s="9" t="n">
        <x:v>4</x:v>
      </x:c>
      <x:c r="D5137" s="8" t="n">
        <x:v>45559</x:v>
      </x:c>
      <x:c r="E5137" s="9" t="n">
        <x:v>4554000</x:v>
      </x:c>
      <x:c r="F5137" s="9" t="n">
        <x:v>4554000</x:v>
      </x:c>
    </x:row>
    <x:row r="5138" ht="34" customHeight="1">
      <x:c r="A5138" s="4" t="str">
        <x:v>RS-02578-I1</x:v>
      </x:c>
      <x:c r="B5138" s="4" t="str">
        <x:v>RS-02578</x:v>
      </x:c>
      <x:c r="C5138" s="9" t="n">
        <x:v>1</x:v>
      </x:c>
      <x:c r="D5138" s="8" t="n">
        <x:v>45445</x:v>
      </x:c>
      <x:c r="E5138" s="9" t="n">
        <x:v>4632000</x:v>
      </x:c>
      <x:c r="F5138" s="9" t="n">
        <x:v>4632000</x:v>
      </x:c>
    </x:row>
    <x:row r="5139" ht="34" customHeight="1">
      <x:c r="A5139" s="4" t="str">
        <x:v>RS-02578-I2</x:v>
      </x:c>
      <x:c r="B5139" s="4" t="str">
        <x:v>RS-02578</x:v>
      </x:c>
      <x:c r="C5139" s="9" t="n">
        <x:v>2</x:v>
      </x:c>
      <x:c r="D5139" s="8" t="n">
        <x:v>45475</x:v>
      </x:c>
      <x:c r="E5139" s="9" t="n">
        <x:v>4632000</x:v>
      </x:c>
      <x:c r="F5139" s="9" t="n">
        <x:v>0</x:v>
      </x:c>
    </x:row>
    <x:row r="5140" ht="34" customHeight="1">
      <x:c r="A5140" s="4" t="str">
        <x:v>RS-02578-I3</x:v>
      </x:c>
      <x:c r="B5140" s="4" t="str">
        <x:v>RS-02578</x:v>
      </x:c>
      <x:c r="C5140" s="9" t="n">
        <x:v>3</x:v>
      </x:c>
      <x:c r="D5140" s="8" t="n">
        <x:v>45505</x:v>
      </x:c>
      <x:c r="E5140" s="9" t="n">
        <x:v>4632000</x:v>
      </x:c>
      <x:c r="F5140" s="9" t="n">
        <x:v>0</x:v>
      </x:c>
    </x:row>
    <x:row r="5141" ht="34" customHeight="1">
      <x:c r="A5141" s="4" t="str">
        <x:v>RS-02578-I4</x:v>
      </x:c>
      <x:c r="B5141" s="4" t="str">
        <x:v>RS-02578</x:v>
      </x:c>
      <x:c r="C5141" s="9" t="n">
        <x:v>4</x:v>
      </x:c>
      <x:c r="D5141" s="8" t="n">
        <x:v>45535</x:v>
      </x:c>
      <x:c r="E5141" s="9" t="n">
        <x:v>4632000</x:v>
      </x:c>
      <x:c r="F5141" s="9" t="n">
        <x:v>0</x:v>
      </x:c>
    </x:row>
    <x:row r="5142" ht="34" customHeight="1">
      <x:c r="A5142" s="4" t="str">
        <x:v>RS-02580-I1</x:v>
      </x:c>
      <x:c r="B5142" s="4" t="str">
        <x:v>RS-02580</x:v>
      </x:c>
      <x:c r="C5142" s="9" t="n">
        <x:v>1</x:v>
      </x:c>
      <x:c r="D5142" s="8" t="n">
        <x:v>45447</x:v>
      </x:c>
      <x:c r="E5142" s="9" t="n">
        <x:v>1010500</x:v>
      </x:c>
      <x:c r="F5142" s="9" t="n">
        <x:v>1010500</x:v>
      </x:c>
    </x:row>
    <x:row r="5143" ht="34" customHeight="1">
      <x:c r="A5143" s="4" t="str">
        <x:v>RS-02580-I2</x:v>
      </x:c>
      <x:c r="B5143" s="4" t="str">
        <x:v>RS-02580</x:v>
      </x:c>
      <x:c r="C5143" s="9" t="n">
        <x:v>2</x:v>
      </x:c>
      <x:c r="D5143" s="8" t="n">
        <x:v>45477</x:v>
      </x:c>
      <x:c r="E5143" s="9" t="n">
        <x:v>1010500</x:v>
      </x:c>
      <x:c r="F5143" s="9" t="n">
        <x:v>1010500</x:v>
      </x:c>
    </x:row>
    <x:row r="5144" ht="34" customHeight="1">
      <x:c r="A5144" s="4" t="str">
        <x:v>RS-02580-I3</x:v>
      </x:c>
      <x:c r="B5144" s="4" t="str">
        <x:v>RS-02580</x:v>
      </x:c>
      <x:c r="C5144" s="9" t="n">
        <x:v>3</x:v>
      </x:c>
      <x:c r="D5144" s="8" t="n">
        <x:v>45507</x:v>
      </x:c>
      <x:c r="E5144" s="9" t="n">
        <x:v>1010500</x:v>
      </x:c>
      <x:c r="F5144" s="9" t="n">
        <x:v>1010500</x:v>
      </x:c>
    </x:row>
    <x:row r="5145" ht="34" customHeight="1">
      <x:c r="A5145" s="4" t="str">
        <x:v>RS-02580-I4</x:v>
      </x:c>
      <x:c r="B5145" s="4" t="str">
        <x:v>RS-02580</x:v>
      </x:c>
      <x:c r="C5145" s="9" t="n">
        <x:v>4</x:v>
      </x:c>
      <x:c r="D5145" s="8" t="n">
        <x:v>45537</x:v>
      </x:c>
      <x:c r="E5145" s="9" t="n">
        <x:v>1010500</x:v>
      </x:c>
      <x:c r="F5145" s="9" t="n">
        <x:v>1010500</x:v>
      </x:c>
    </x:row>
    <x:row r="5146" ht="34" customHeight="1">
      <x:c r="A5146" s="4" t="str">
        <x:v>RS-02582-I1</x:v>
      </x:c>
      <x:c r="B5146" s="4" t="str">
        <x:v>RS-02582</x:v>
      </x:c>
      <x:c r="C5146" s="9" t="n">
        <x:v>1</x:v>
      </x:c>
      <x:c r="D5146" s="8" t="n">
        <x:v>45449</x:v>
      </x:c>
      <x:c r="E5146" s="9" t="n">
        <x:v>3234000</x:v>
      </x:c>
      <x:c r="F5146" s="9" t="n">
        <x:v>3234000</x:v>
      </x:c>
    </x:row>
    <x:row r="5147" ht="34" customHeight="1">
      <x:c r="A5147" s="4" t="str">
        <x:v>RS-02582-I2</x:v>
      </x:c>
      <x:c r="B5147" s="4" t="str">
        <x:v>RS-02582</x:v>
      </x:c>
      <x:c r="C5147" s="9" t="n">
        <x:v>2</x:v>
      </x:c>
      <x:c r="D5147" s="8" t="n">
        <x:v>45479</x:v>
      </x:c>
      <x:c r="E5147" s="9" t="n">
        <x:v>3234000</x:v>
      </x:c>
      <x:c r="F5147" s="9" t="n">
        <x:v>3234000</x:v>
      </x:c>
    </x:row>
    <x:row r="5148" ht="34" customHeight="1">
      <x:c r="A5148" s="4" t="str">
        <x:v>RS-02582-I3</x:v>
      </x:c>
      <x:c r="B5148" s="4" t="str">
        <x:v>RS-02582</x:v>
      </x:c>
      <x:c r="C5148" s="9" t="n">
        <x:v>3</x:v>
      </x:c>
      <x:c r="D5148" s="8" t="n">
        <x:v>45509</x:v>
      </x:c>
      <x:c r="E5148" s="9" t="n">
        <x:v>3234000</x:v>
      </x:c>
      <x:c r="F5148" s="9" t="n">
        <x:v>0</x:v>
      </x:c>
    </x:row>
    <x:row r="5149" ht="34" customHeight="1">
      <x:c r="A5149" s="4" t="str">
        <x:v>RS-02582-I4</x:v>
      </x:c>
      <x:c r="B5149" s="4" t="str">
        <x:v>RS-02582</x:v>
      </x:c>
      <x:c r="C5149" s="9" t="n">
        <x:v>4</x:v>
      </x:c>
      <x:c r="D5149" s="8" t="n">
        <x:v>45539</x:v>
      </x:c>
      <x:c r="E5149" s="9" t="n">
        <x:v>3234000</x:v>
      </x:c>
      <x:c r="F5149" s="9" t="n">
        <x:v>0</x:v>
      </x:c>
    </x:row>
    <x:row r="5150" ht="34" customHeight="1">
      <x:c r="A5150" s="4" t="str">
        <x:v>RS-02583-I1</x:v>
      </x:c>
      <x:c r="B5150" s="4" t="str">
        <x:v>RS-02583</x:v>
      </x:c>
      <x:c r="C5150" s="9" t="n">
        <x:v>1</x:v>
      </x:c>
      <x:c r="D5150" s="8" t="n">
        <x:v>45450</x:v>
      </x:c>
      <x:c r="E5150" s="9" t="n">
        <x:v>1971250</x:v>
      </x:c>
      <x:c r="F5150" s="9" t="n">
        <x:v>788500</x:v>
      </x:c>
    </x:row>
    <x:row r="5151" ht="34" customHeight="1">
      <x:c r="A5151" s="4" t="str">
        <x:v>RS-02583-I2</x:v>
      </x:c>
      <x:c r="B5151" s="4" t="str">
        <x:v>RS-02583</x:v>
      </x:c>
      <x:c r="C5151" s="9" t="n">
        <x:v>2</x:v>
      </x:c>
      <x:c r="D5151" s="8" t="n">
        <x:v>45480</x:v>
      </x:c>
      <x:c r="E5151" s="9" t="n">
        <x:v>1971250</x:v>
      </x:c>
      <x:c r="F5151" s="9" t="n">
        <x:v>0</x:v>
      </x:c>
    </x:row>
    <x:row r="5152" ht="34" customHeight="1">
      <x:c r="A5152" s="4" t="str">
        <x:v>RS-02583-I3</x:v>
      </x:c>
      <x:c r="B5152" s="4" t="str">
        <x:v>RS-02583</x:v>
      </x:c>
      <x:c r="C5152" s="9" t="n">
        <x:v>3</x:v>
      </x:c>
      <x:c r="D5152" s="8" t="n">
        <x:v>45510</x:v>
      </x:c>
      <x:c r="E5152" s="9" t="n">
        <x:v>1971250</x:v>
      </x:c>
      <x:c r="F5152" s="9" t="n">
        <x:v>0</x:v>
      </x:c>
    </x:row>
    <x:row r="5153" ht="34" customHeight="1">
      <x:c r="A5153" s="4" t="str">
        <x:v>RS-02583-I4</x:v>
      </x:c>
      <x:c r="B5153" s="4" t="str">
        <x:v>RS-02583</x:v>
      </x:c>
      <x:c r="C5153" s="9" t="n">
        <x:v>4</x:v>
      </x:c>
      <x:c r="D5153" s="8" t="n">
        <x:v>45540</x:v>
      </x:c>
      <x:c r="E5153" s="9" t="n">
        <x:v>1971250</x:v>
      </x:c>
      <x:c r="F5153" s="9" t="n">
        <x:v>0</x:v>
      </x:c>
    </x:row>
    <x:row r="5154" ht="34" customHeight="1">
      <x:c r="A5154" s="4" t="str">
        <x:v>RS-02584-I1</x:v>
      </x:c>
      <x:c r="B5154" s="4" t="str">
        <x:v>RS-02584</x:v>
      </x:c>
      <x:c r="C5154" s="9" t="n">
        <x:v>1</x:v>
      </x:c>
      <x:c r="D5154" s="8" t="n">
        <x:v>45451</x:v>
      </x:c>
      <x:c r="E5154" s="9" t="n">
        <x:v>750750</x:v>
      </x:c>
      <x:c r="F5154" s="9" t="n">
        <x:v>750750</x:v>
      </x:c>
    </x:row>
    <x:row r="5155" ht="34" customHeight="1">
      <x:c r="A5155" s="4" t="str">
        <x:v>RS-02584-I2</x:v>
      </x:c>
      <x:c r="B5155" s="4" t="str">
        <x:v>RS-02584</x:v>
      </x:c>
      <x:c r="C5155" s="9" t="n">
        <x:v>2</x:v>
      </x:c>
      <x:c r="D5155" s="8" t="n">
        <x:v>45481</x:v>
      </x:c>
      <x:c r="E5155" s="9" t="n">
        <x:v>750750</x:v>
      </x:c>
      <x:c r="F5155" s="9" t="n">
        <x:v>750750</x:v>
      </x:c>
    </x:row>
    <x:row r="5156" ht="34" customHeight="1">
      <x:c r="A5156" s="4" t="str">
        <x:v>RS-02584-I3</x:v>
      </x:c>
      <x:c r="B5156" s="4" t="str">
        <x:v>RS-02584</x:v>
      </x:c>
      <x:c r="C5156" s="9" t="n">
        <x:v>3</x:v>
      </x:c>
      <x:c r="D5156" s="8" t="n">
        <x:v>45511</x:v>
      </x:c>
      <x:c r="E5156" s="9" t="n">
        <x:v>750750</x:v>
      </x:c>
      <x:c r="F5156" s="9" t="n">
        <x:v>750750</x:v>
      </x:c>
    </x:row>
    <x:row r="5157" ht="34" customHeight="1">
      <x:c r="A5157" s="4" t="str">
        <x:v>RS-02584-I4</x:v>
      </x:c>
      <x:c r="B5157" s="4" t="str">
        <x:v>RS-02584</x:v>
      </x:c>
      <x:c r="C5157" s="9" t="n">
        <x:v>4</x:v>
      </x:c>
      <x:c r="D5157" s="8" t="n">
        <x:v>45541</x:v>
      </x:c>
      <x:c r="E5157" s="9" t="n">
        <x:v>750750</x:v>
      </x:c>
      <x:c r="F5157" s="9" t="n">
        <x:v>750750</x:v>
      </x:c>
    </x:row>
    <x:row r="5158" ht="34" customHeight="1">
      <x:c r="A5158" s="4" t="str">
        <x:v>RS-02586-I1</x:v>
      </x:c>
      <x:c r="B5158" s="4" t="str">
        <x:v>RS-02586</x:v>
      </x:c>
      <x:c r="C5158" s="9" t="n">
        <x:v>1</x:v>
      </x:c>
      <x:c r="D5158" s="8" t="n">
        <x:v>45453</x:v>
      </x:c>
      <x:c r="E5158" s="9" t="n">
        <x:v>2639000</x:v>
      </x:c>
      <x:c r="F5158" s="9" t="n">
        <x:v>2639000</x:v>
      </x:c>
    </x:row>
    <x:row r="5159" ht="34" customHeight="1">
      <x:c r="A5159" s="4" t="str">
        <x:v>RS-02586-I2</x:v>
      </x:c>
      <x:c r="B5159" s="4" t="str">
        <x:v>RS-02586</x:v>
      </x:c>
      <x:c r="C5159" s="9" t="n">
        <x:v>2</x:v>
      </x:c>
      <x:c r="D5159" s="8" t="n">
        <x:v>45483</x:v>
      </x:c>
      <x:c r="E5159" s="9" t="n">
        <x:v>2639000</x:v>
      </x:c>
      <x:c r="F5159" s="9" t="n">
        <x:v>0</x:v>
      </x:c>
    </x:row>
    <x:row r="5160" ht="34" customHeight="1">
      <x:c r="A5160" s="4" t="str">
        <x:v>RS-02586-I3</x:v>
      </x:c>
      <x:c r="B5160" s="4" t="str">
        <x:v>RS-02586</x:v>
      </x:c>
      <x:c r="C5160" s="9" t="n">
        <x:v>3</x:v>
      </x:c>
      <x:c r="D5160" s="8" t="n">
        <x:v>45513</x:v>
      </x:c>
      <x:c r="E5160" s="9" t="n">
        <x:v>2639000</x:v>
      </x:c>
      <x:c r="F5160" s="9" t="n">
        <x:v>0</x:v>
      </x:c>
    </x:row>
    <x:row r="5161" ht="34" customHeight="1">
      <x:c r="A5161" s="4" t="str">
        <x:v>RS-02586-I4</x:v>
      </x:c>
      <x:c r="B5161" s="4" t="str">
        <x:v>RS-02586</x:v>
      </x:c>
      <x:c r="C5161" s="9" t="n">
        <x:v>4</x:v>
      </x:c>
      <x:c r="D5161" s="8" t="n">
        <x:v>45543</x:v>
      </x:c>
      <x:c r="E5161" s="9" t="n">
        <x:v>2639000</x:v>
      </x:c>
      <x:c r="F5161" s="9" t="n">
        <x:v>0</x:v>
      </x:c>
    </x:row>
    <x:row r="5162" ht="34" customHeight="1">
      <x:c r="A5162" s="4" t="str">
        <x:v>RS-02590-I1</x:v>
      </x:c>
      <x:c r="B5162" s="4" t="str">
        <x:v>RS-02590</x:v>
      </x:c>
      <x:c r="C5162" s="9" t="n">
        <x:v>1</x:v>
      </x:c>
      <x:c r="D5162" s="8" t="n">
        <x:v>45457</x:v>
      </x:c>
      <x:c r="E5162" s="9" t="n">
        <x:v>4257000</x:v>
      </x:c>
      <x:c r="F5162" s="9" t="n">
        <x:v>1702800</x:v>
      </x:c>
    </x:row>
    <x:row r="5163" ht="34" customHeight="1">
      <x:c r="A5163" s="4" t="str">
        <x:v>RS-02590-I2</x:v>
      </x:c>
      <x:c r="B5163" s="4" t="str">
        <x:v>RS-02590</x:v>
      </x:c>
      <x:c r="C5163" s="9" t="n">
        <x:v>2</x:v>
      </x:c>
      <x:c r="D5163" s="8" t="n">
        <x:v>45487</x:v>
      </x:c>
      <x:c r="E5163" s="9" t="n">
        <x:v>4257000</x:v>
      </x:c>
      <x:c r="F5163" s="9" t="n">
        <x:v>0</x:v>
      </x:c>
    </x:row>
    <x:row r="5164" ht="34" customHeight="1">
      <x:c r="A5164" s="4" t="str">
        <x:v>RS-02590-I3</x:v>
      </x:c>
      <x:c r="B5164" s="4" t="str">
        <x:v>RS-02590</x:v>
      </x:c>
      <x:c r="C5164" s="9" t="n">
        <x:v>3</x:v>
      </x:c>
      <x:c r="D5164" s="8" t="n">
        <x:v>45517</x:v>
      </x:c>
      <x:c r="E5164" s="9" t="n">
        <x:v>4257000</x:v>
      </x:c>
      <x:c r="F5164" s="9" t="n">
        <x:v>0</x:v>
      </x:c>
    </x:row>
    <x:row r="5165" ht="34" customHeight="1">
      <x:c r="A5165" s="4" t="str">
        <x:v>RS-02590-I4</x:v>
      </x:c>
      <x:c r="B5165" s="4" t="str">
        <x:v>RS-02590</x:v>
      </x:c>
      <x:c r="C5165" s="9" t="n">
        <x:v>4</x:v>
      </x:c>
      <x:c r="D5165" s="8" t="n">
        <x:v>45547</x:v>
      </x:c>
      <x:c r="E5165" s="9" t="n">
        <x:v>4257000</x:v>
      </x:c>
      <x:c r="F5165" s="9" t="n">
        <x:v>0</x:v>
      </x:c>
    </x:row>
    <x:row r="5166" ht="34" customHeight="1">
      <x:c r="A5166" s="4" t="str">
        <x:v>RS-02594-I1</x:v>
      </x:c>
      <x:c r="B5166" s="4" t="str">
        <x:v>RS-02594</x:v>
      </x:c>
      <x:c r="C5166" s="9" t="n">
        <x:v>1</x:v>
      </x:c>
      <x:c r="D5166" s="8" t="n">
        <x:v>45461</x:v>
      </x:c>
      <x:c r="E5166" s="9" t="n">
        <x:v>4607500</x:v>
      </x:c>
      <x:c r="F5166" s="9" t="n">
        <x:v>4607500</x:v>
      </x:c>
    </x:row>
    <x:row r="5167" ht="34" customHeight="1">
      <x:c r="A5167" s="4" t="str">
        <x:v>RS-02594-I2</x:v>
      </x:c>
      <x:c r="B5167" s="4" t="str">
        <x:v>RS-02594</x:v>
      </x:c>
      <x:c r="C5167" s="9" t="n">
        <x:v>2</x:v>
      </x:c>
      <x:c r="D5167" s="8" t="n">
        <x:v>45491</x:v>
      </x:c>
      <x:c r="E5167" s="9" t="n">
        <x:v>4607500</x:v>
      </x:c>
      <x:c r="F5167" s="9" t="n">
        <x:v>0</x:v>
      </x:c>
    </x:row>
    <x:row r="5168" ht="34" customHeight="1">
      <x:c r="A5168" s="4" t="str">
        <x:v>RS-02594-I3</x:v>
      </x:c>
      <x:c r="B5168" s="4" t="str">
        <x:v>RS-02594</x:v>
      </x:c>
      <x:c r="C5168" s="9" t="n">
        <x:v>3</x:v>
      </x:c>
      <x:c r="D5168" s="8" t="n">
        <x:v>45521</x:v>
      </x:c>
      <x:c r="E5168" s="9" t="n">
        <x:v>4607500</x:v>
      </x:c>
      <x:c r="F5168" s="9" t="n">
        <x:v>0</x:v>
      </x:c>
    </x:row>
    <x:row r="5169" ht="34" customHeight="1">
      <x:c r="A5169" s="4" t="str">
        <x:v>RS-02594-I4</x:v>
      </x:c>
      <x:c r="B5169" s="4" t="str">
        <x:v>RS-02594</x:v>
      </x:c>
      <x:c r="C5169" s="9" t="n">
        <x:v>4</x:v>
      </x:c>
      <x:c r="D5169" s="8" t="n">
        <x:v>45551</x:v>
      </x:c>
      <x:c r="E5169" s="9" t="n">
        <x:v>4607500</x:v>
      </x:c>
      <x:c r="F5169" s="9" t="n">
        <x:v>0</x:v>
      </x:c>
    </x:row>
    <x:row r="5170" ht="34" customHeight="1">
      <x:c r="A5170" s="4" t="str">
        <x:v>RS-02601-I1</x:v>
      </x:c>
      <x:c r="B5170" s="4" t="str">
        <x:v>RS-02601</x:v>
      </x:c>
      <x:c r="C5170" s="9" t="n">
        <x:v>1</x:v>
      </x:c>
      <x:c r="D5170" s="8" t="n">
        <x:v>45468</x:v>
      </x:c>
      <x:c r="E5170" s="9" t="n">
        <x:v>1925000</x:v>
      </x:c>
      <x:c r="F5170" s="9" t="n">
        <x:v>1925000</x:v>
      </x:c>
    </x:row>
    <x:row r="5171" ht="34" customHeight="1">
      <x:c r="A5171" s="4" t="str">
        <x:v>RS-02601-I2</x:v>
      </x:c>
      <x:c r="B5171" s="4" t="str">
        <x:v>RS-02601</x:v>
      </x:c>
      <x:c r="C5171" s="9" t="n">
        <x:v>2</x:v>
      </x:c>
      <x:c r="D5171" s="8" t="n">
        <x:v>45498</x:v>
      </x:c>
      <x:c r="E5171" s="9" t="n">
        <x:v>1925000</x:v>
      </x:c>
      <x:c r="F5171" s="9" t="n">
        <x:v>1925000</x:v>
      </x:c>
    </x:row>
    <x:row r="5172" ht="34" customHeight="1">
      <x:c r="A5172" s="4" t="str">
        <x:v>RS-02601-I3</x:v>
      </x:c>
      <x:c r="B5172" s="4" t="str">
        <x:v>RS-02601</x:v>
      </x:c>
      <x:c r="C5172" s="9" t="n">
        <x:v>3</x:v>
      </x:c>
      <x:c r="D5172" s="8" t="n">
        <x:v>45528</x:v>
      </x:c>
      <x:c r="E5172" s="9" t="n">
        <x:v>1925000</x:v>
      </x:c>
      <x:c r="F5172" s="9" t="n">
        <x:v>0</x:v>
      </x:c>
    </x:row>
    <x:row r="5173" ht="34" customHeight="1">
      <x:c r="A5173" s="4" t="str">
        <x:v>RS-02601-I4</x:v>
      </x:c>
      <x:c r="B5173" s="4" t="str">
        <x:v>RS-02601</x:v>
      </x:c>
      <x:c r="C5173" s="9" t="n">
        <x:v>4</x:v>
      </x:c>
      <x:c r="D5173" s="8" t="n">
        <x:v>45558</x:v>
      </x:c>
      <x:c r="E5173" s="9" t="n">
        <x:v>1925000</x:v>
      </x:c>
      <x:c r="F5173" s="9" t="n">
        <x:v>0</x:v>
      </x:c>
    </x:row>
    <x:row r="5174" ht="34" customHeight="1">
      <x:c r="A5174" s="4" t="str">
        <x:v>RS-02603-I1</x:v>
      </x:c>
      <x:c r="B5174" s="4" t="str">
        <x:v>RS-02603</x:v>
      </x:c>
      <x:c r="C5174" s="9" t="n">
        <x:v>1</x:v>
      </x:c>
      <x:c r="D5174" s="8" t="n">
        <x:v>45470</x:v>
      </x:c>
      <x:c r="E5174" s="9" t="n">
        <x:v>4500000</x:v>
      </x:c>
      <x:c r="F5174" s="9" t="n">
        <x:v>4500000</x:v>
      </x:c>
    </x:row>
    <x:row r="5175" ht="34" customHeight="1">
      <x:c r="A5175" s="4" t="str">
        <x:v>RS-02603-I2</x:v>
      </x:c>
      <x:c r="B5175" s="4" t="str">
        <x:v>RS-02603</x:v>
      </x:c>
      <x:c r="C5175" s="9" t="n">
        <x:v>2</x:v>
      </x:c>
      <x:c r="D5175" s="8" t="n">
        <x:v>45500</x:v>
      </x:c>
      <x:c r="E5175" s="9" t="n">
        <x:v>4500000</x:v>
      </x:c>
      <x:c r="F5175" s="9" t="n">
        <x:v>4500000</x:v>
      </x:c>
    </x:row>
    <x:row r="5176" ht="34" customHeight="1">
      <x:c r="A5176" s="4" t="str">
        <x:v>RS-02603-I3</x:v>
      </x:c>
      <x:c r="B5176" s="4" t="str">
        <x:v>RS-02603</x:v>
      </x:c>
      <x:c r="C5176" s="9" t="n">
        <x:v>3</x:v>
      </x:c>
      <x:c r="D5176" s="8" t="n">
        <x:v>45530</x:v>
      </x:c>
      <x:c r="E5176" s="9" t="n">
        <x:v>4500000</x:v>
      </x:c>
      <x:c r="F5176" s="9" t="n">
        <x:v>0</x:v>
      </x:c>
    </x:row>
    <x:row r="5177" ht="34" customHeight="1">
      <x:c r="A5177" s="4" t="str">
        <x:v>RS-02603-I4</x:v>
      </x:c>
      <x:c r="B5177" s="4" t="str">
        <x:v>RS-02603</x:v>
      </x:c>
      <x:c r="C5177" s="9" t="n">
        <x:v>4</x:v>
      </x:c>
      <x:c r="D5177" s="8" t="n">
        <x:v>45560</x:v>
      </x:c>
      <x:c r="E5177" s="9" t="n">
        <x:v>4500000</x:v>
      </x:c>
      <x:c r="F5177" s="9" t="n">
        <x:v>0</x:v>
      </x:c>
    </x:row>
    <x:row r="5178" ht="34" customHeight="1">
      <x:c r="A5178" s="4" t="str">
        <x:v>RS-02604-I1</x:v>
      </x:c>
      <x:c r="B5178" s="4" t="str">
        <x:v>RS-02604</x:v>
      </x:c>
      <x:c r="C5178" s="9" t="n">
        <x:v>1</x:v>
      </x:c>
      <x:c r="D5178" s="8" t="n">
        <x:v>45471</x:v>
      </x:c>
      <x:c r="E5178" s="9" t="n">
        <x:v>3760250</x:v>
      </x:c>
      <x:c r="F5178" s="9" t="n">
        <x:v>3760250</x:v>
      </x:c>
    </x:row>
    <x:row r="5179" ht="34" customHeight="1">
      <x:c r="A5179" s="4" t="str">
        <x:v>RS-02604-I2</x:v>
      </x:c>
      <x:c r="B5179" s="4" t="str">
        <x:v>RS-02604</x:v>
      </x:c>
      <x:c r="C5179" s="9" t="n">
        <x:v>2</x:v>
      </x:c>
      <x:c r="D5179" s="8" t="n">
        <x:v>45501</x:v>
      </x:c>
      <x:c r="E5179" s="9" t="n">
        <x:v>3760250</x:v>
      </x:c>
      <x:c r="F5179" s="9" t="n">
        <x:v>0</x:v>
      </x:c>
    </x:row>
    <x:row r="5180" ht="34" customHeight="1">
      <x:c r="A5180" s="4" t="str">
        <x:v>RS-02604-I3</x:v>
      </x:c>
      <x:c r="B5180" s="4" t="str">
        <x:v>RS-02604</x:v>
      </x:c>
      <x:c r="C5180" s="9" t="n">
        <x:v>3</x:v>
      </x:c>
      <x:c r="D5180" s="8" t="n">
        <x:v>45531</x:v>
      </x:c>
      <x:c r="E5180" s="9" t="n">
        <x:v>3760250</x:v>
      </x:c>
      <x:c r="F5180" s="9" t="n">
        <x:v>0</x:v>
      </x:c>
    </x:row>
    <x:row r="5181" ht="34" customHeight="1">
      <x:c r="A5181" s="4" t="str">
        <x:v>RS-02604-I4</x:v>
      </x:c>
      <x:c r="B5181" s="4" t="str">
        <x:v>RS-02604</x:v>
      </x:c>
      <x:c r="C5181" s="9" t="n">
        <x:v>4</x:v>
      </x:c>
      <x:c r="D5181" s="8" t="n">
        <x:v>45561</x:v>
      </x:c>
      <x:c r="E5181" s="9" t="n">
        <x:v>3760250</x:v>
      </x:c>
      <x:c r="F5181" s="9" t="n">
        <x:v>0</x:v>
      </x:c>
    </x:row>
    <x:row r="5182" ht="34" customHeight="1">
      <x:c r="A5182" s="4" t="str">
        <x:v>RS-02605-I1</x:v>
      </x:c>
      <x:c r="B5182" s="4" t="str">
        <x:v>RS-02605</x:v>
      </x:c>
      <x:c r="C5182" s="9" t="n">
        <x:v>1</x:v>
      </x:c>
      <x:c r="D5182" s="8" t="n">
        <x:v>45444</x:v>
      </x:c>
      <x:c r="E5182" s="9" t="n">
        <x:v>4554000</x:v>
      </x:c>
      <x:c r="F5182" s="9" t="n">
        <x:v>4554000</x:v>
      </x:c>
    </x:row>
    <x:row r="5183" ht="34" customHeight="1">
      <x:c r="A5183" s="4" t="str">
        <x:v>RS-02605-I2</x:v>
      </x:c>
      <x:c r="B5183" s="4" t="str">
        <x:v>RS-02605</x:v>
      </x:c>
      <x:c r="C5183" s="9" t="n">
        <x:v>2</x:v>
      </x:c>
      <x:c r="D5183" s="8" t="n">
        <x:v>45474</x:v>
      </x:c>
      <x:c r="E5183" s="9" t="n">
        <x:v>4554000</x:v>
      </x:c>
      <x:c r="F5183" s="9" t="n">
        <x:v>4554000</x:v>
      </x:c>
    </x:row>
    <x:row r="5184" ht="34" customHeight="1">
      <x:c r="A5184" s="4" t="str">
        <x:v>RS-02605-I3</x:v>
      </x:c>
      <x:c r="B5184" s="4" t="str">
        <x:v>RS-02605</x:v>
      </x:c>
      <x:c r="C5184" s="9" t="n">
        <x:v>3</x:v>
      </x:c>
      <x:c r="D5184" s="8" t="n">
        <x:v>45504</x:v>
      </x:c>
      <x:c r="E5184" s="9" t="n">
        <x:v>4554000</x:v>
      </x:c>
      <x:c r="F5184" s="9" t="n">
        <x:v>4554000</x:v>
      </x:c>
    </x:row>
    <x:row r="5185" ht="34" customHeight="1">
      <x:c r="A5185" s="4" t="str">
        <x:v>RS-02605-I4</x:v>
      </x:c>
      <x:c r="B5185" s="4" t="str">
        <x:v>RS-02605</x:v>
      </x:c>
      <x:c r="C5185" s="9" t="n">
        <x:v>4</x:v>
      </x:c>
      <x:c r="D5185" s="8" t="n">
        <x:v>45534</x:v>
      </x:c>
      <x:c r="E5185" s="9" t="n">
        <x:v>4554000</x:v>
      </x:c>
      <x:c r="F5185" s="9" t="n">
        <x:v>4554000</x:v>
      </x:c>
    </x:row>
    <x:row r="5186" ht="34" customHeight="1">
      <x:c r="A5186" s="4" t="str">
        <x:v>RS-02607-I1</x:v>
      </x:c>
      <x:c r="B5186" s="4" t="str">
        <x:v>RS-02607</x:v>
      </x:c>
      <x:c r="C5186" s="9" t="n">
        <x:v>1</x:v>
      </x:c>
      <x:c r="D5186" s="8" t="n">
        <x:v>45446</x:v>
      </x:c>
      <x:c r="E5186" s="9" t="n">
        <x:v>3638250</x:v>
      </x:c>
      <x:c r="F5186" s="9" t="n">
        <x:v>1455300</x:v>
      </x:c>
    </x:row>
    <x:row r="5187" ht="34" customHeight="1">
      <x:c r="A5187" s="4" t="str">
        <x:v>RS-02607-I2</x:v>
      </x:c>
      <x:c r="B5187" s="4" t="str">
        <x:v>RS-02607</x:v>
      </x:c>
      <x:c r="C5187" s="9" t="n">
        <x:v>2</x:v>
      </x:c>
      <x:c r="D5187" s="8" t="n">
        <x:v>45476</x:v>
      </x:c>
      <x:c r="E5187" s="9" t="n">
        <x:v>3638250</x:v>
      </x:c>
      <x:c r="F5187" s="9" t="n">
        <x:v>0</x:v>
      </x:c>
    </x:row>
    <x:row r="5188" ht="34" customHeight="1">
      <x:c r="A5188" s="4" t="str">
        <x:v>RS-02607-I3</x:v>
      </x:c>
      <x:c r="B5188" s="4" t="str">
        <x:v>RS-02607</x:v>
      </x:c>
      <x:c r="C5188" s="9" t="n">
        <x:v>3</x:v>
      </x:c>
      <x:c r="D5188" s="8" t="n">
        <x:v>45506</x:v>
      </x:c>
      <x:c r="E5188" s="9" t="n">
        <x:v>3638250</x:v>
      </x:c>
      <x:c r="F5188" s="9" t="n">
        <x:v>0</x:v>
      </x:c>
    </x:row>
    <x:row r="5189" ht="34" customHeight="1">
      <x:c r="A5189" s="4" t="str">
        <x:v>RS-02607-I4</x:v>
      </x:c>
      <x:c r="B5189" s="4" t="str">
        <x:v>RS-02607</x:v>
      </x:c>
      <x:c r="C5189" s="9" t="n">
        <x:v>4</x:v>
      </x:c>
      <x:c r="D5189" s="8" t="n">
        <x:v>45536</x:v>
      </x:c>
      <x:c r="E5189" s="9" t="n">
        <x:v>3638250</x:v>
      </x:c>
      <x:c r="F5189" s="9" t="n">
        <x:v>0</x:v>
      </x:c>
    </x:row>
    <x:row r="5190" ht="34" customHeight="1">
      <x:c r="A5190" s="4" t="str">
        <x:v>RS-02608-I1</x:v>
      </x:c>
      <x:c r="B5190" s="4" t="str">
        <x:v>RS-02608</x:v>
      </x:c>
      <x:c r="C5190" s="9" t="n">
        <x:v>1</x:v>
      </x:c>
      <x:c r="D5190" s="8" t="n">
        <x:v>45447</x:v>
      </x:c>
      <x:c r="E5190" s="9" t="n">
        <x:v>1496250</x:v>
      </x:c>
      <x:c r="F5190" s="9" t="n">
        <x:v>1496250</x:v>
      </x:c>
    </x:row>
    <x:row r="5191" ht="34" customHeight="1">
      <x:c r="A5191" s="4" t="str">
        <x:v>RS-02608-I2</x:v>
      </x:c>
      <x:c r="B5191" s="4" t="str">
        <x:v>RS-02608</x:v>
      </x:c>
      <x:c r="C5191" s="9" t="n">
        <x:v>2</x:v>
      </x:c>
      <x:c r="D5191" s="8" t="n">
        <x:v>45477</x:v>
      </x:c>
      <x:c r="E5191" s="9" t="n">
        <x:v>1496250</x:v>
      </x:c>
      <x:c r="F5191" s="9" t="n">
        <x:v>1496250</x:v>
      </x:c>
    </x:row>
    <x:row r="5192" ht="34" customHeight="1">
      <x:c r="A5192" s="4" t="str">
        <x:v>RS-02608-I3</x:v>
      </x:c>
      <x:c r="B5192" s="4" t="str">
        <x:v>RS-02608</x:v>
      </x:c>
      <x:c r="C5192" s="9" t="n">
        <x:v>3</x:v>
      </x:c>
      <x:c r="D5192" s="8" t="n">
        <x:v>45507</x:v>
      </x:c>
      <x:c r="E5192" s="9" t="n">
        <x:v>1496250</x:v>
      </x:c>
      <x:c r="F5192" s="9" t="n">
        <x:v>0</x:v>
      </x:c>
    </x:row>
    <x:row r="5193" ht="34" customHeight="1">
      <x:c r="A5193" s="4" t="str">
        <x:v>RS-02608-I4</x:v>
      </x:c>
      <x:c r="B5193" s="4" t="str">
        <x:v>RS-02608</x:v>
      </x:c>
      <x:c r="C5193" s="9" t="n">
        <x:v>4</x:v>
      </x:c>
      <x:c r="D5193" s="8" t="n">
        <x:v>45537</x:v>
      </x:c>
      <x:c r="E5193" s="9" t="n">
        <x:v>1496250</x:v>
      </x:c>
      <x:c r="F5193" s="9" t="n">
        <x:v>0</x:v>
      </x:c>
    </x:row>
    <x:row r="5194" ht="34" customHeight="1">
      <x:c r="A5194" s="4" t="str">
        <x:v>RS-02609-I1</x:v>
      </x:c>
      <x:c r="B5194" s="4" t="str">
        <x:v>RS-02609</x:v>
      </x:c>
      <x:c r="C5194" s="9" t="n">
        <x:v>1</x:v>
      </x:c>
      <x:c r="D5194" s="8" t="n">
        <x:v>45448</x:v>
      </x:c>
      <x:c r="E5194" s="9" t="n">
        <x:v>4818000</x:v>
      </x:c>
      <x:c r="F5194" s="9" t="n">
        <x:v>4818000</x:v>
      </x:c>
    </x:row>
    <x:row r="5195" ht="34" customHeight="1">
      <x:c r="A5195" s="4" t="str">
        <x:v>RS-02609-I2</x:v>
      </x:c>
      <x:c r="B5195" s="4" t="str">
        <x:v>RS-02609</x:v>
      </x:c>
      <x:c r="C5195" s="9" t="n">
        <x:v>2</x:v>
      </x:c>
      <x:c r="D5195" s="8" t="n">
        <x:v>45478</x:v>
      </x:c>
      <x:c r="E5195" s="9" t="n">
        <x:v>4818000</x:v>
      </x:c>
      <x:c r="F5195" s="9" t="n">
        <x:v>4818000</x:v>
      </x:c>
    </x:row>
    <x:row r="5196" ht="34" customHeight="1">
      <x:c r="A5196" s="4" t="str">
        <x:v>RS-02609-I3</x:v>
      </x:c>
      <x:c r="B5196" s="4" t="str">
        <x:v>RS-02609</x:v>
      </x:c>
      <x:c r="C5196" s="9" t="n">
        <x:v>3</x:v>
      </x:c>
      <x:c r="D5196" s="8" t="n">
        <x:v>45508</x:v>
      </x:c>
      <x:c r="E5196" s="9" t="n">
        <x:v>4818000</x:v>
      </x:c>
      <x:c r="F5196" s="9" t="n">
        <x:v>4818000</x:v>
      </x:c>
    </x:row>
    <x:row r="5197" ht="34" customHeight="1">
      <x:c r="A5197" s="4" t="str">
        <x:v>RS-02609-I4</x:v>
      </x:c>
      <x:c r="B5197" s="4" t="str">
        <x:v>RS-02609</x:v>
      </x:c>
      <x:c r="C5197" s="9" t="n">
        <x:v>4</x:v>
      </x:c>
      <x:c r="D5197" s="8" t="n">
        <x:v>45538</x:v>
      </x:c>
      <x:c r="E5197" s="9" t="n">
        <x:v>4818000</x:v>
      </x:c>
      <x:c r="F5197" s="9" t="n">
        <x:v>4818000</x:v>
      </x:c>
    </x:row>
    <x:row r="5198" ht="34" customHeight="1">
      <x:c r="A5198" s="4" t="str">
        <x:v>RS-02610-I1</x:v>
      </x:c>
      <x:c r="B5198" s="4" t="str">
        <x:v>RS-02610</x:v>
      </x:c>
      <x:c r="C5198" s="9" t="n">
        <x:v>1</x:v>
      </x:c>
      <x:c r="D5198" s="8" t="n">
        <x:v>45449</x:v>
      </x:c>
      <x:c r="E5198" s="9" t="n">
        <x:v>5842500</x:v>
      </x:c>
      <x:c r="F5198" s="9" t="n">
        <x:v>2337000</x:v>
      </x:c>
    </x:row>
    <x:row r="5199" ht="34" customHeight="1">
      <x:c r="A5199" s="4" t="str">
        <x:v>RS-02610-I2</x:v>
      </x:c>
      <x:c r="B5199" s="4" t="str">
        <x:v>RS-02610</x:v>
      </x:c>
      <x:c r="C5199" s="9" t="n">
        <x:v>2</x:v>
      </x:c>
      <x:c r="D5199" s="8" t="n">
        <x:v>45479</x:v>
      </x:c>
      <x:c r="E5199" s="9" t="n">
        <x:v>5842500</x:v>
      </x:c>
      <x:c r="F5199" s="9" t="n">
        <x:v>0</x:v>
      </x:c>
    </x:row>
    <x:row r="5200" ht="34" customHeight="1">
      <x:c r="A5200" s="4" t="str">
        <x:v>RS-02610-I3</x:v>
      </x:c>
      <x:c r="B5200" s="4" t="str">
        <x:v>RS-02610</x:v>
      </x:c>
      <x:c r="C5200" s="9" t="n">
        <x:v>3</x:v>
      </x:c>
      <x:c r="D5200" s="8" t="n">
        <x:v>45509</x:v>
      </x:c>
      <x:c r="E5200" s="9" t="n">
        <x:v>5842500</x:v>
      </x:c>
      <x:c r="F5200" s="9" t="n">
        <x:v>0</x:v>
      </x:c>
    </x:row>
    <x:row r="5201" ht="34" customHeight="1">
      <x:c r="A5201" s="4" t="str">
        <x:v>RS-02610-I4</x:v>
      </x:c>
      <x:c r="B5201" s="4" t="str">
        <x:v>RS-02610</x:v>
      </x:c>
      <x:c r="C5201" s="9" t="n">
        <x:v>4</x:v>
      </x:c>
      <x:c r="D5201" s="8" t="n">
        <x:v>45539</x:v>
      </x:c>
      <x:c r="E5201" s="9" t="n">
        <x:v>5842500</x:v>
      </x:c>
      <x:c r="F5201" s="9" t="n">
        <x:v>0</x:v>
      </x:c>
    </x:row>
    <x:row r="5202" ht="34" customHeight="1">
      <x:c r="A5202" s="4" t="str">
        <x:v>RS-02611-I1</x:v>
      </x:c>
      <x:c r="B5202" s="4" t="str">
        <x:v>RS-02611</x:v>
      </x:c>
      <x:c r="C5202" s="9" t="n">
        <x:v>1</x:v>
      </x:c>
      <x:c r="D5202" s="8" t="n">
        <x:v>45450</x:v>
      </x:c>
      <x:c r="E5202" s="9" t="n">
        <x:v>3093750</x:v>
      </x:c>
      <x:c r="F5202" s="9" t="n">
        <x:v>3093750</x:v>
      </x:c>
    </x:row>
    <x:row r="5203" ht="34" customHeight="1">
      <x:c r="A5203" s="4" t="str">
        <x:v>RS-02611-I2</x:v>
      </x:c>
      <x:c r="B5203" s="4" t="str">
        <x:v>RS-02611</x:v>
      </x:c>
      <x:c r="C5203" s="9" t="n">
        <x:v>2</x:v>
      </x:c>
      <x:c r="D5203" s="8" t="n">
        <x:v>45480</x:v>
      </x:c>
      <x:c r="E5203" s="9" t="n">
        <x:v>3093750</x:v>
      </x:c>
      <x:c r="F5203" s="9" t="n">
        <x:v>3093750</x:v>
      </x:c>
    </x:row>
    <x:row r="5204" ht="34" customHeight="1">
      <x:c r="A5204" s="4" t="str">
        <x:v>RS-02611-I3</x:v>
      </x:c>
      <x:c r="B5204" s="4" t="str">
        <x:v>RS-02611</x:v>
      </x:c>
      <x:c r="C5204" s="9" t="n">
        <x:v>3</x:v>
      </x:c>
      <x:c r="D5204" s="8" t="n">
        <x:v>45510</x:v>
      </x:c>
      <x:c r="E5204" s="9" t="n">
        <x:v>3093750</x:v>
      </x:c>
      <x:c r="F5204" s="9" t="n">
        <x:v>0</x:v>
      </x:c>
    </x:row>
    <x:row r="5205" ht="34" customHeight="1">
      <x:c r="A5205" s="4" t="str">
        <x:v>RS-02611-I4</x:v>
      </x:c>
      <x:c r="B5205" s="4" t="str">
        <x:v>RS-02611</x:v>
      </x:c>
      <x:c r="C5205" s="9" t="n">
        <x:v>4</x:v>
      </x:c>
      <x:c r="D5205" s="8" t="n">
        <x:v>45540</x:v>
      </x:c>
      <x:c r="E5205" s="9" t="n">
        <x:v>3093750</x:v>
      </x:c>
      <x:c r="F5205" s="9" t="n">
        <x:v>0</x:v>
      </x:c>
    </x:row>
    <x:row r="5206" ht="34" customHeight="1">
      <x:c r="A5206" s="4" t="str">
        <x:v>RS-02612-I1</x:v>
      </x:c>
      <x:c r="B5206" s="4" t="str">
        <x:v>RS-02612</x:v>
      </x:c>
      <x:c r="C5206" s="9" t="n">
        <x:v>1</x:v>
      </x:c>
      <x:c r="D5206" s="8" t="n">
        <x:v>45451</x:v>
      </x:c>
      <x:c r="E5206" s="9" t="n">
        <x:v>4607500</x:v>
      </x:c>
      <x:c r="F5206" s="9" t="n">
        <x:v>1843000</x:v>
      </x:c>
    </x:row>
    <x:row r="5207" ht="34" customHeight="1">
      <x:c r="A5207" s="4" t="str">
        <x:v>RS-02612-I2</x:v>
      </x:c>
      <x:c r="B5207" s="4" t="str">
        <x:v>RS-02612</x:v>
      </x:c>
      <x:c r="C5207" s="9" t="n">
        <x:v>2</x:v>
      </x:c>
      <x:c r="D5207" s="8" t="n">
        <x:v>45481</x:v>
      </x:c>
      <x:c r="E5207" s="9" t="n">
        <x:v>4607500</x:v>
      </x:c>
      <x:c r="F5207" s="9" t="n">
        <x:v>0</x:v>
      </x:c>
    </x:row>
    <x:row r="5208" ht="34" customHeight="1">
      <x:c r="A5208" s="4" t="str">
        <x:v>RS-02612-I3</x:v>
      </x:c>
      <x:c r="B5208" s="4" t="str">
        <x:v>RS-02612</x:v>
      </x:c>
      <x:c r="C5208" s="9" t="n">
        <x:v>3</x:v>
      </x:c>
      <x:c r="D5208" s="8" t="n">
        <x:v>45511</x:v>
      </x:c>
      <x:c r="E5208" s="9" t="n">
        <x:v>4607500</x:v>
      </x:c>
      <x:c r="F5208" s="9" t="n">
        <x:v>0</x:v>
      </x:c>
    </x:row>
    <x:row r="5209" ht="34" customHeight="1">
      <x:c r="A5209" s="4" t="str">
        <x:v>RS-02612-I4</x:v>
      </x:c>
      <x:c r="B5209" s="4" t="str">
        <x:v>RS-02612</x:v>
      </x:c>
      <x:c r="C5209" s="9" t="n">
        <x:v>4</x:v>
      </x:c>
      <x:c r="D5209" s="8" t="n">
        <x:v>45541</x:v>
      </x:c>
      <x:c r="E5209" s="9" t="n">
        <x:v>4607500</x:v>
      </x:c>
      <x:c r="F5209" s="9" t="n">
        <x:v>0</x:v>
      </x:c>
    </x:row>
    <x:row r="5210" ht="34" customHeight="1">
      <x:c r="A5210" s="4" t="str">
        <x:v>RS-02613-I1</x:v>
      </x:c>
      <x:c r="B5210" s="4" t="str">
        <x:v>RS-02613</x:v>
      </x:c>
      <x:c r="C5210" s="9" t="n">
        <x:v>1</x:v>
      </x:c>
      <x:c r="D5210" s="8" t="n">
        <x:v>45452</x:v>
      </x:c>
      <x:c r="E5210" s="9" t="n">
        <x:v>3783000</x:v>
      </x:c>
      <x:c r="F5210" s="9" t="n">
        <x:v>3783000</x:v>
      </x:c>
    </x:row>
    <x:row r="5211" ht="34" customHeight="1">
      <x:c r="A5211" s="4" t="str">
        <x:v>RS-02613-I2</x:v>
      </x:c>
      <x:c r="B5211" s="4" t="str">
        <x:v>RS-02613</x:v>
      </x:c>
      <x:c r="C5211" s="9" t="n">
        <x:v>2</x:v>
      </x:c>
      <x:c r="D5211" s="8" t="n">
        <x:v>45482</x:v>
      </x:c>
      <x:c r="E5211" s="9" t="n">
        <x:v>3783000</x:v>
      </x:c>
      <x:c r="F5211" s="9" t="n">
        <x:v>3783000</x:v>
      </x:c>
    </x:row>
    <x:row r="5212" ht="34" customHeight="1">
      <x:c r="A5212" s="4" t="str">
        <x:v>RS-02613-I3</x:v>
      </x:c>
      <x:c r="B5212" s="4" t="str">
        <x:v>RS-02613</x:v>
      </x:c>
      <x:c r="C5212" s="9" t="n">
        <x:v>3</x:v>
      </x:c>
      <x:c r="D5212" s="8" t="n">
        <x:v>45512</x:v>
      </x:c>
      <x:c r="E5212" s="9" t="n">
        <x:v>3783000</x:v>
      </x:c>
      <x:c r="F5212" s="9" t="n">
        <x:v>0</x:v>
      </x:c>
    </x:row>
    <x:row r="5213" ht="34" customHeight="1">
      <x:c r="A5213" s="4" t="str">
        <x:v>RS-02613-I4</x:v>
      </x:c>
      <x:c r="B5213" s="4" t="str">
        <x:v>RS-02613</x:v>
      </x:c>
      <x:c r="C5213" s="9" t="n">
        <x:v>4</x:v>
      </x:c>
      <x:c r="D5213" s="8" t="n">
        <x:v>45542</x:v>
      </x:c>
      <x:c r="E5213" s="9" t="n">
        <x:v>3783000</x:v>
      </x:c>
      <x:c r="F5213" s="9" t="n">
        <x:v>0</x:v>
      </x:c>
    </x:row>
    <x:row r="5214" ht="34" customHeight="1">
      <x:c r="A5214" s="4" t="str">
        <x:v>RS-02615-I1</x:v>
      </x:c>
      <x:c r="B5214" s="4" t="str">
        <x:v>RS-02615</x:v>
      </x:c>
      <x:c r="C5214" s="9" t="n">
        <x:v>1</x:v>
      </x:c>
      <x:c r="D5214" s="8" t="n">
        <x:v>45454</x:v>
      </x:c>
      <x:c r="E5214" s="9" t="n">
        <x:v>5153750</x:v>
      </x:c>
      <x:c r="F5214" s="9" t="n">
        <x:v>5153750</x:v>
      </x:c>
    </x:row>
    <x:row r="5215" ht="34" customHeight="1">
      <x:c r="A5215" s="4" t="str">
        <x:v>RS-02615-I2</x:v>
      </x:c>
      <x:c r="B5215" s="4" t="str">
        <x:v>RS-02615</x:v>
      </x:c>
      <x:c r="C5215" s="9" t="n">
        <x:v>2</x:v>
      </x:c>
      <x:c r="D5215" s="8" t="n">
        <x:v>45484</x:v>
      </x:c>
      <x:c r="E5215" s="9" t="n">
        <x:v>5153750</x:v>
      </x:c>
      <x:c r="F5215" s="9" t="n">
        <x:v>5153750</x:v>
      </x:c>
    </x:row>
    <x:row r="5216" ht="34" customHeight="1">
      <x:c r="A5216" s="4" t="str">
        <x:v>RS-02615-I3</x:v>
      </x:c>
      <x:c r="B5216" s="4" t="str">
        <x:v>RS-02615</x:v>
      </x:c>
      <x:c r="C5216" s="9" t="n">
        <x:v>3</x:v>
      </x:c>
      <x:c r="D5216" s="8" t="n">
        <x:v>45514</x:v>
      </x:c>
      <x:c r="E5216" s="9" t="n">
        <x:v>5153750</x:v>
      </x:c>
      <x:c r="F5216" s="9" t="n">
        <x:v>5153750</x:v>
      </x:c>
    </x:row>
    <x:row r="5217" ht="34" customHeight="1">
      <x:c r="A5217" s="4" t="str">
        <x:v>RS-02615-I4</x:v>
      </x:c>
      <x:c r="B5217" s="4" t="str">
        <x:v>RS-02615</x:v>
      </x:c>
      <x:c r="C5217" s="9" t="n">
        <x:v>4</x:v>
      </x:c>
      <x:c r="D5217" s="8" t="n">
        <x:v>45544</x:v>
      </x:c>
      <x:c r="E5217" s="9" t="n">
        <x:v>5153750</x:v>
      </x:c>
      <x:c r="F5217" s="9" t="n">
        <x:v>5153750</x:v>
      </x:c>
    </x:row>
    <x:row r="5218" ht="34" customHeight="1">
      <x:c r="A5218" s="4" t="str">
        <x:v>RS-02616-I1</x:v>
      </x:c>
      <x:c r="B5218" s="4" t="str">
        <x:v>RS-02616</x:v>
      </x:c>
      <x:c r="C5218" s="9" t="n">
        <x:v>1</x:v>
      </x:c>
      <x:c r="D5218" s="8" t="n">
        <x:v>45455</x:v>
      </x:c>
      <x:c r="E5218" s="9" t="n">
        <x:v>2673750</x:v>
      </x:c>
      <x:c r="F5218" s="9" t="n">
        <x:v>2673750</x:v>
      </x:c>
    </x:row>
    <x:row r="5219" ht="34" customHeight="1">
      <x:c r="A5219" s="4" t="str">
        <x:v>RS-02616-I2</x:v>
      </x:c>
      <x:c r="B5219" s="4" t="str">
        <x:v>RS-02616</x:v>
      </x:c>
      <x:c r="C5219" s="9" t="n">
        <x:v>2</x:v>
      </x:c>
      <x:c r="D5219" s="8" t="n">
        <x:v>45485</x:v>
      </x:c>
      <x:c r="E5219" s="9" t="n">
        <x:v>2673750</x:v>
      </x:c>
      <x:c r="F5219" s="9" t="n">
        <x:v>2673750</x:v>
      </x:c>
    </x:row>
    <x:row r="5220" ht="34" customHeight="1">
      <x:c r="A5220" s="4" t="str">
        <x:v>RS-02616-I3</x:v>
      </x:c>
      <x:c r="B5220" s="4" t="str">
        <x:v>RS-02616</x:v>
      </x:c>
      <x:c r="C5220" s="9" t="n">
        <x:v>3</x:v>
      </x:c>
      <x:c r="D5220" s="8" t="n">
        <x:v>45515</x:v>
      </x:c>
      <x:c r="E5220" s="9" t="n">
        <x:v>2673750</x:v>
      </x:c>
      <x:c r="F5220" s="9" t="n">
        <x:v>2673750</x:v>
      </x:c>
    </x:row>
    <x:row r="5221" ht="34" customHeight="1">
      <x:c r="A5221" s="4" t="str">
        <x:v>RS-02616-I4</x:v>
      </x:c>
      <x:c r="B5221" s="4" t="str">
        <x:v>RS-02616</x:v>
      </x:c>
      <x:c r="C5221" s="9" t="n">
        <x:v>4</x:v>
      </x:c>
      <x:c r="D5221" s="8" t="n">
        <x:v>45545</x:v>
      </x:c>
      <x:c r="E5221" s="9" t="n">
        <x:v>2673750</x:v>
      </x:c>
      <x:c r="F5221" s="9" t="n">
        <x:v>2673750</x:v>
      </x:c>
    </x:row>
    <x:row r="5222" ht="34" customHeight="1">
      <x:c r="A5222" s="4" t="str">
        <x:v>RS-02621-I1</x:v>
      </x:c>
      <x:c r="B5222" s="4" t="str">
        <x:v>RS-02621</x:v>
      </x:c>
      <x:c r="C5222" s="9" t="n">
        <x:v>1</x:v>
      </x:c>
      <x:c r="D5222" s="8" t="n">
        <x:v>45460</x:v>
      </x:c>
      <x:c r="E5222" s="9" t="n">
        <x:v>2520000</x:v>
      </x:c>
      <x:c r="F5222" s="9" t="n">
        <x:v>2520000</x:v>
      </x:c>
    </x:row>
    <x:row r="5223" ht="34" customHeight="1">
      <x:c r="A5223" s="4" t="str">
        <x:v>RS-02621-I2</x:v>
      </x:c>
      <x:c r="B5223" s="4" t="str">
        <x:v>RS-02621</x:v>
      </x:c>
      <x:c r="C5223" s="9" t="n">
        <x:v>2</x:v>
      </x:c>
      <x:c r="D5223" s="8" t="n">
        <x:v>45490</x:v>
      </x:c>
      <x:c r="E5223" s="9" t="n">
        <x:v>2520000</x:v>
      </x:c>
      <x:c r="F5223" s="9" t="n">
        <x:v>2520000</x:v>
      </x:c>
    </x:row>
    <x:row r="5224" ht="34" customHeight="1">
      <x:c r="A5224" s="4" t="str">
        <x:v>RS-02621-I3</x:v>
      </x:c>
      <x:c r="B5224" s="4" t="str">
        <x:v>RS-02621</x:v>
      </x:c>
      <x:c r="C5224" s="9" t="n">
        <x:v>3</x:v>
      </x:c>
      <x:c r="D5224" s="8" t="n">
        <x:v>45520</x:v>
      </x:c>
      <x:c r="E5224" s="9" t="n">
        <x:v>2520000</x:v>
      </x:c>
      <x:c r="F5224" s="9" t="n">
        <x:v>0</x:v>
      </x:c>
    </x:row>
    <x:row r="5225" ht="34" customHeight="1">
      <x:c r="A5225" s="4" t="str">
        <x:v>RS-02621-I4</x:v>
      </x:c>
      <x:c r="B5225" s="4" t="str">
        <x:v>RS-02621</x:v>
      </x:c>
      <x:c r="C5225" s="9" t="n">
        <x:v>4</x:v>
      </x:c>
      <x:c r="D5225" s="8" t="n">
        <x:v>45550</x:v>
      </x:c>
      <x:c r="E5225" s="9" t="n">
        <x:v>2520000</x:v>
      </x:c>
      <x:c r="F5225" s="9" t="n">
        <x:v>0</x:v>
      </x:c>
    </x:row>
    <x:row r="5226" ht="34" customHeight="1">
      <x:c r="A5226" s="4" t="str">
        <x:v>RS-02622-I1</x:v>
      </x:c>
      <x:c r="B5226" s="4" t="str">
        <x:v>RS-02622</x:v>
      </x:c>
      <x:c r="C5226" s="9" t="n">
        <x:v>1</x:v>
      </x:c>
      <x:c r="D5226" s="8" t="n">
        <x:v>45461</x:v>
      </x:c>
      <x:c r="E5226" s="9" t="n">
        <x:v>3207750</x:v>
      </x:c>
      <x:c r="F5226" s="9" t="n">
        <x:v>3207750</x:v>
      </x:c>
    </x:row>
    <x:row r="5227" ht="34" customHeight="1">
      <x:c r="A5227" s="4" t="str">
        <x:v>RS-02622-I2</x:v>
      </x:c>
      <x:c r="B5227" s="4" t="str">
        <x:v>RS-02622</x:v>
      </x:c>
      <x:c r="C5227" s="9" t="n">
        <x:v>2</x:v>
      </x:c>
      <x:c r="D5227" s="8" t="n">
        <x:v>45491</x:v>
      </x:c>
      <x:c r="E5227" s="9" t="n">
        <x:v>3207750</x:v>
      </x:c>
      <x:c r="F5227" s="9" t="n">
        <x:v>0</x:v>
      </x:c>
    </x:row>
    <x:row r="5228" ht="34" customHeight="1">
      <x:c r="A5228" s="4" t="str">
        <x:v>RS-02622-I3</x:v>
      </x:c>
      <x:c r="B5228" s="4" t="str">
        <x:v>RS-02622</x:v>
      </x:c>
      <x:c r="C5228" s="9" t="n">
        <x:v>3</x:v>
      </x:c>
      <x:c r="D5228" s="8" t="n">
        <x:v>45521</x:v>
      </x:c>
      <x:c r="E5228" s="9" t="n">
        <x:v>3207750</x:v>
      </x:c>
      <x:c r="F5228" s="9" t="n">
        <x:v>0</x:v>
      </x:c>
    </x:row>
    <x:row r="5229" ht="34" customHeight="1">
      <x:c r="A5229" s="4" t="str">
        <x:v>RS-02622-I4</x:v>
      </x:c>
      <x:c r="B5229" s="4" t="str">
        <x:v>RS-02622</x:v>
      </x:c>
      <x:c r="C5229" s="9" t="n">
        <x:v>4</x:v>
      </x:c>
      <x:c r="D5229" s="8" t="n">
        <x:v>45551</x:v>
      </x:c>
      <x:c r="E5229" s="9" t="n">
        <x:v>3207750</x:v>
      </x:c>
      <x:c r="F5229" s="9" t="n">
        <x:v>0</x:v>
      </x:c>
    </x:row>
    <x:row r="5230" ht="34" customHeight="1">
      <x:c r="A5230" s="4" t="str">
        <x:v>RS-02624-I1</x:v>
      </x:c>
      <x:c r="B5230" s="4" t="str">
        <x:v>RS-02624</x:v>
      </x:c>
      <x:c r="C5230" s="9" t="n">
        <x:v>1</x:v>
      </x:c>
      <x:c r="D5230" s="8" t="n">
        <x:v>45463</x:v>
      </x:c>
      <x:c r="E5230" s="9" t="n">
        <x:v>5640000</x:v>
      </x:c>
      <x:c r="F5230" s="9" t="n">
        <x:v>5640000</x:v>
      </x:c>
    </x:row>
    <x:row r="5231" ht="34" customHeight="1">
      <x:c r="A5231" s="4" t="str">
        <x:v>RS-02624-I2</x:v>
      </x:c>
      <x:c r="B5231" s="4" t="str">
        <x:v>RS-02624</x:v>
      </x:c>
      <x:c r="C5231" s="9" t="n">
        <x:v>2</x:v>
      </x:c>
      <x:c r="D5231" s="8" t="n">
        <x:v>45493</x:v>
      </x:c>
      <x:c r="E5231" s="9" t="n">
        <x:v>5640000</x:v>
      </x:c>
      <x:c r="F5231" s="9" t="n">
        <x:v>0</x:v>
      </x:c>
    </x:row>
    <x:row r="5232" ht="34" customHeight="1">
      <x:c r="A5232" s="4" t="str">
        <x:v>RS-02624-I3</x:v>
      </x:c>
      <x:c r="B5232" s="4" t="str">
        <x:v>RS-02624</x:v>
      </x:c>
      <x:c r="C5232" s="9" t="n">
        <x:v>3</x:v>
      </x:c>
      <x:c r="D5232" s="8" t="n">
        <x:v>45523</x:v>
      </x:c>
      <x:c r="E5232" s="9" t="n">
        <x:v>5640000</x:v>
      </x:c>
      <x:c r="F5232" s="9" t="n">
        <x:v>0</x:v>
      </x:c>
    </x:row>
    <x:row r="5233" ht="34" customHeight="1">
      <x:c r="A5233" s="4" t="str">
        <x:v>RS-02624-I4</x:v>
      </x:c>
      <x:c r="B5233" s="4" t="str">
        <x:v>RS-02624</x:v>
      </x:c>
      <x:c r="C5233" s="9" t="n">
        <x:v>4</x:v>
      </x:c>
      <x:c r="D5233" s="8" t="n">
        <x:v>45553</x:v>
      </x:c>
      <x:c r="E5233" s="9" t="n">
        <x:v>5640000</x:v>
      </x:c>
      <x:c r="F5233" s="9" t="n">
        <x:v>0</x:v>
      </x:c>
    </x:row>
    <x:row r="5234" ht="34" customHeight="1">
      <x:c r="A5234" s="4" t="str">
        <x:v>RS-02626-I1</x:v>
      </x:c>
      <x:c r="B5234" s="4" t="str">
        <x:v>RS-02626</x:v>
      </x:c>
      <x:c r="C5234" s="9" t="n">
        <x:v>1</x:v>
      </x:c>
      <x:c r="D5234" s="8" t="n">
        <x:v>45465</x:v>
      </x:c>
      <x:c r="E5234" s="9" t="n">
        <x:v>2670000</x:v>
      </x:c>
      <x:c r="F5234" s="9" t="n">
        <x:v>2670000</x:v>
      </x:c>
    </x:row>
    <x:row r="5235" ht="34" customHeight="1">
      <x:c r="A5235" s="4" t="str">
        <x:v>RS-02626-I2</x:v>
      </x:c>
      <x:c r="B5235" s="4" t="str">
        <x:v>RS-02626</x:v>
      </x:c>
      <x:c r="C5235" s="9" t="n">
        <x:v>2</x:v>
      </x:c>
      <x:c r="D5235" s="8" t="n">
        <x:v>45495</x:v>
      </x:c>
      <x:c r="E5235" s="9" t="n">
        <x:v>2670000</x:v>
      </x:c>
      <x:c r="F5235" s="9" t="n">
        <x:v>0</x:v>
      </x:c>
    </x:row>
    <x:row r="5236" ht="34" customHeight="1">
      <x:c r="A5236" s="4" t="str">
        <x:v>RS-02626-I3</x:v>
      </x:c>
      <x:c r="B5236" s="4" t="str">
        <x:v>RS-02626</x:v>
      </x:c>
      <x:c r="C5236" s="9" t="n">
        <x:v>3</x:v>
      </x:c>
      <x:c r="D5236" s="8" t="n">
        <x:v>45525</x:v>
      </x:c>
      <x:c r="E5236" s="9" t="n">
        <x:v>2670000</x:v>
      </x:c>
      <x:c r="F5236" s="9" t="n">
        <x:v>0</x:v>
      </x:c>
    </x:row>
    <x:row r="5237" ht="34" customHeight="1">
      <x:c r="A5237" s="4" t="str">
        <x:v>RS-02626-I4</x:v>
      </x:c>
      <x:c r="B5237" s="4" t="str">
        <x:v>RS-02626</x:v>
      </x:c>
      <x:c r="C5237" s="9" t="n">
        <x:v>4</x:v>
      </x:c>
      <x:c r="D5237" s="8" t="n">
        <x:v>45555</x:v>
      </x:c>
      <x:c r="E5237" s="9" t="n">
        <x:v>2670000</x:v>
      </x:c>
      <x:c r="F5237" s="9" t="n">
        <x:v>0</x:v>
      </x:c>
    </x:row>
    <x:row r="5238" ht="34" customHeight="1">
      <x:c r="A5238" s="4" t="str">
        <x:v>RS-02629-I1</x:v>
      </x:c>
      <x:c r="B5238" s="4" t="str">
        <x:v>RS-02629</x:v>
      </x:c>
      <x:c r="C5238" s="9" t="n">
        <x:v>1</x:v>
      </x:c>
      <x:c r="D5238" s="8" t="n">
        <x:v>45468</x:v>
      </x:c>
      <x:c r="E5238" s="9" t="n">
        <x:v>828000</x:v>
      </x:c>
      <x:c r="F5238" s="9" t="n">
        <x:v>828000</x:v>
      </x:c>
    </x:row>
    <x:row r="5239" ht="34" customHeight="1">
      <x:c r="A5239" s="4" t="str">
        <x:v>RS-02629-I2</x:v>
      </x:c>
      <x:c r="B5239" s="4" t="str">
        <x:v>RS-02629</x:v>
      </x:c>
      <x:c r="C5239" s="9" t="n">
        <x:v>2</x:v>
      </x:c>
      <x:c r="D5239" s="8" t="n">
        <x:v>45498</x:v>
      </x:c>
      <x:c r="E5239" s="9" t="n">
        <x:v>828000</x:v>
      </x:c>
      <x:c r="F5239" s="9" t="n">
        <x:v>828000</x:v>
      </x:c>
    </x:row>
    <x:row r="5240" ht="34" customHeight="1">
      <x:c r="A5240" s="4" t="str">
        <x:v>RS-02629-I3</x:v>
      </x:c>
      <x:c r="B5240" s="4" t="str">
        <x:v>RS-02629</x:v>
      </x:c>
      <x:c r="C5240" s="9" t="n">
        <x:v>3</x:v>
      </x:c>
      <x:c r="D5240" s="8" t="n">
        <x:v>45528</x:v>
      </x:c>
      <x:c r="E5240" s="9" t="n">
        <x:v>828000</x:v>
      </x:c>
      <x:c r="F5240" s="9" t="n">
        <x:v>0</x:v>
      </x:c>
    </x:row>
    <x:row r="5241" ht="34" customHeight="1">
      <x:c r="A5241" s="4" t="str">
        <x:v>RS-02629-I4</x:v>
      </x:c>
      <x:c r="B5241" s="4" t="str">
        <x:v>RS-02629</x:v>
      </x:c>
      <x:c r="C5241" s="9" t="n">
        <x:v>4</x:v>
      </x:c>
      <x:c r="D5241" s="8" t="n">
        <x:v>45558</x:v>
      </x:c>
      <x:c r="E5241" s="9" t="n">
        <x:v>828000</x:v>
      </x:c>
      <x:c r="F5241" s="9" t="n">
        <x:v>0</x:v>
      </x:c>
    </x:row>
    <x:row r="5242" ht="34" customHeight="1">
      <x:c r="A5242" s="4" t="str">
        <x:v>RS-02630-I1</x:v>
      </x:c>
      <x:c r="B5242" s="4" t="str">
        <x:v>RS-02630</x:v>
      </x:c>
      <x:c r="C5242" s="9" t="n">
        <x:v>1</x:v>
      </x:c>
      <x:c r="D5242" s="8" t="n">
        <x:v>45469</x:v>
      </x:c>
      <x:c r="E5242" s="9" t="n">
        <x:v>4042000</x:v>
      </x:c>
      <x:c r="F5242" s="9" t="n">
        <x:v>4042000</x:v>
      </x:c>
    </x:row>
    <x:row r="5243" ht="34" customHeight="1">
      <x:c r="A5243" s="4" t="str">
        <x:v>RS-02630-I2</x:v>
      </x:c>
      <x:c r="B5243" s="4" t="str">
        <x:v>RS-02630</x:v>
      </x:c>
      <x:c r="C5243" s="9" t="n">
        <x:v>2</x:v>
      </x:c>
      <x:c r="D5243" s="8" t="n">
        <x:v>45499</x:v>
      </x:c>
      <x:c r="E5243" s="9" t="n">
        <x:v>4042000</x:v>
      </x:c>
      <x:c r="F5243" s="9" t="n">
        <x:v>4042000</x:v>
      </x:c>
    </x:row>
    <x:row r="5244" ht="34" customHeight="1">
      <x:c r="A5244" s="4" t="str">
        <x:v>RS-02630-I3</x:v>
      </x:c>
      <x:c r="B5244" s="4" t="str">
        <x:v>RS-02630</x:v>
      </x:c>
      <x:c r="C5244" s="9" t="n">
        <x:v>3</x:v>
      </x:c>
      <x:c r="D5244" s="8" t="n">
        <x:v>45529</x:v>
      </x:c>
      <x:c r="E5244" s="9" t="n">
        <x:v>4042000</x:v>
      </x:c>
      <x:c r="F5244" s="9" t="n">
        <x:v>0</x:v>
      </x:c>
    </x:row>
    <x:row r="5245" ht="34" customHeight="1">
      <x:c r="A5245" s="4" t="str">
        <x:v>RS-02630-I4</x:v>
      </x:c>
      <x:c r="B5245" s="4" t="str">
        <x:v>RS-02630</x:v>
      </x:c>
      <x:c r="C5245" s="9" t="n">
        <x:v>4</x:v>
      </x:c>
      <x:c r="D5245" s="8" t="n">
        <x:v>45559</x:v>
      </x:c>
      <x:c r="E5245" s="9" t="n">
        <x:v>4042000</x:v>
      </x:c>
      <x:c r="F5245" s="9" t="n">
        <x:v>0</x:v>
      </x:c>
    </x:row>
    <x:row r="5246" ht="34" customHeight="1">
      <x:c r="A5246" s="4" t="str">
        <x:v>RS-02631-I1</x:v>
      </x:c>
      <x:c r="B5246" s="4" t="str">
        <x:v>RS-02631</x:v>
      </x:c>
      <x:c r="C5246" s="9" t="n">
        <x:v>1</x:v>
      </x:c>
      <x:c r="D5246" s="8" t="n">
        <x:v>45470</x:v>
      </x:c>
      <x:c r="E5246" s="9" t="n">
        <x:v>1249500</x:v>
      </x:c>
      <x:c r="F5246" s="9" t="n">
        <x:v>1249500</x:v>
      </x:c>
    </x:row>
    <x:row r="5247" ht="34" customHeight="1">
      <x:c r="A5247" s="4" t="str">
        <x:v>RS-02631-I2</x:v>
      </x:c>
      <x:c r="B5247" s="4" t="str">
        <x:v>RS-02631</x:v>
      </x:c>
      <x:c r="C5247" s="9" t="n">
        <x:v>2</x:v>
      </x:c>
      <x:c r="D5247" s="8" t="n">
        <x:v>45500</x:v>
      </x:c>
      <x:c r="E5247" s="9" t="n">
        <x:v>1249500</x:v>
      </x:c>
      <x:c r="F5247" s="9" t="n">
        <x:v>1249500</x:v>
      </x:c>
    </x:row>
    <x:row r="5248" ht="34" customHeight="1">
      <x:c r="A5248" s="4" t="str">
        <x:v>RS-02631-I3</x:v>
      </x:c>
      <x:c r="B5248" s="4" t="str">
        <x:v>RS-02631</x:v>
      </x:c>
      <x:c r="C5248" s="9" t="n">
        <x:v>3</x:v>
      </x:c>
      <x:c r="D5248" s="8" t="n">
        <x:v>45530</x:v>
      </x:c>
      <x:c r="E5248" s="9" t="n">
        <x:v>1249500</x:v>
      </x:c>
      <x:c r="F5248" s="9" t="n">
        <x:v>0</x:v>
      </x:c>
    </x:row>
    <x:row r="5249" ht="34" customHeight="1">
      <x:c r="A5249" s="4" t="str">
        <x:v>RS-02631-I4</x:v>
      </x:c>
      <x:c r="B5249" s="4" t="str">
        <x:v>RS-02631</x:v>
      </x:c>
      <x:c r="C5249" s="9" t="n">
        <x:v>4</x:v>
      </x:c>
      <x:c r="D5249" s="8" t="n">
        <x:v>45560</x:v>
      </x:c>
      <x:c r="E5249" s="9" t="n">
        <x:v>1249500</x:v>
      </x:c>
      <x:c r="F5249" s="9" t="n">
        <x:v>0</x:v>
      </x:c>
    </x:row>
    <x:row r="5250" ht="34" customHeight="1">
      <x:c r="A5250" s="4" t="str">
        <x:v>RS-02636-I1</x:v>
      </x:c>
      <x:c r="B5250" s="4" t="str">
        <x:v>RS-02636</x:v>
      </x:c>
      <x:c r="C5250" s="9" t="n">
        <x:v>1</x:v>
      </x:c>
      <x:c r="D5250" s="8" t="n">
        <x:v>45447</x:v>
      </x:c>
      <x:c r="E5250" s="9" t="n">
        <x:v>4702500</x:v>
      </x:c>
      <x:c r="F5250" s="9" t="n">
        <x:v>4702500</x:v>
      </x:c>
    </x:row>
    <x:row r="5251" ht="34" customHeight="1">
      <x:c r="A5251" s="4" t="str">
        <x:v>RS-02636-I2</x:v>
      </x:c>
      <x:c r="B5251" s="4" t="str">
        <x:v>RS-02636</x:v>
      </x:c>
      <x:c r="C5251" s="9" t="n">
        <x:v>2</x:v>
      </x:c>
      <x:c r="D5251" s="8" t="n">
        <x:v>45477</x:v>
      </x:c>
      <x:c r="E5251" s="9" t="n">
        <x:v>4702500</x:v>
      </x:c>
      <x:c r="F5251" s="9" t="n">
        <x:v>4702500</x:v>
      </x:c>
    </x:row>
    <x:row r="5252" ht="34" customHeight="1">
      <x:c r="A5252" s="4" t="str">
        <x:v>RS-02636-I3</x:v>
      </x:c>
      <x:c r="B5252" s="4" t="str">
        <x:v>RS-02636</x:v>
      </x:c>
      <x:c r="C5252" s="9" t="n">
        <x:v>3</x:v>
      </x:c>
      <x:c r="D5252" s="8" t="n">
        <x:v>45507</x:v>
      </x:c>
      <x:c r="E5252" s="9" t="n">
        <x:v>4702500</x:v>
      </x:c>
      <x:c r="F5252" s="9" t="n">
        <x:v>0</x:v>
      </x:c>
    </x:row>
    <x:row r="5253" ht="34" customHeight="1">
      <x:c r="A5253" s="4" t="str">
        <x:v>RS-02636-I4</x:v>
      </x:c>
      <x:c r="B5253" s="4" t="str">
        <x:v>RS-02636</x:v>
      </x:c>
      <x:c r="C5253" s="9" t="n">
        <x:v>4</x:v>
      </x:c>
      <x:c r="D5253" s="8" t="n">
        <x:v>45537</x:v>
      </x:c>
      <x:c r="E5253" s="9" t="n">
        <x:v>4702500</x:v>
      </x:c>
      <x:c r="F5253" s="9" t="n">
        <x:v>0</x:v>
      </x:c>
    </x:row>
    <x:row r="5254" ht="34" customHeight="1">
      <x:c r="A5254" s="4" t="str">
        <x:v>RS-02637-I1</x:v>
      </x:c>
      <x:c r="B5254" s="4" t="str">
        <x:v>RS-02637</x:v>
      </x:c>
      <x:c r="C5254" s="9" t="n">
        <x:v>1</x:v>
      </x:c>
      <x:c r="D5254" s="8" t="n">
        <x:v>45448</x:v>
      </x:c>
      <x:c r="E5254" s="9" t="n">
        <x:v>3760000</x:v>
      </x:c>
      <x:c r="F5254" s="9" t="n">
        <x:v>3760000</x:v>
      </x:c>
    </x:row>
    <x:row r="5255" ht="34" customHeight="1">
      <x:c r="A5255" s="4" t="str">
        <x:v>RS-02637-I2</x:v>
      </x:c>
      <x:c r="B5255" s="4" t="str">
        <x:v>RS-02637</x:v>
      </x:c>
      <x:c r="C5255" s="9" t="n">
        <x:v>2</x:v>
      </x:c>
      <x:c r="D5255" s="8" t="n">
        <x:v>45478</x:v>
      </x:c>
      <x:c r="E5255" s="9" t="n">
        <x:v>3760000</x:v>
      </x:c>
      <x:c r="F5255" s="9" t="n">
        <x:v>3760000</x:v>
      </x:c>
    </x:row>
    <x:row r="5256" ht="34" customHeight="1">
      <x:c r="A5256" s="4" t="str">
        <x:v>RS-02637-I3</x:v>
      </x:c>
      <x:c r="B5256" s="4" t="str">
        <x:v>RS-02637</x:v>
      </x:c>
      <x:c r="C5256" s="9" t="n">
        <x:v>3</x:v>
      </x:c>
      <x:c r="D5256" s="8" t="n">
        <x:v>45508</x:v>
      </x:c>
      <x:c r="E5256" s="9" t="n">
        <x:v>3760000</x:v>
      </x:c>
      <x:c r="F5256" s="9" t="n">
        <x:v>3760000</x:v>
      </x:c>
    </x:row>
    <x:row r="5257" ht="34" customHeight="1">
      <x:c r="A5257" s="4" t="str">
        <x:v>RS-02637-I4</x:v>
      </x:c>
      <x:c r="B5257" s="4" t="str">
        <x:v>RS-02637</x:v>
      </x:c>
      <x:c r="C5257" s="9" t="n">
        <x:v>4</x:v>
      </x:c>
      <x:c r="D5257" s="8" t="n">
        <x:v>45538</x:v>
      </x:c>
      <x:c r="E5257" s="9" t="n">
        <x:v>3760000</x:v>
      </x:c>
      <x:c r="F5257" s="9" t="n">
        <x:v>3760000</x:v>
      </x:c>
    </x:row>
    <x:row r="5258" ht="34" customHeight="1">
      <x:c r="A5258" s="4" t="str">
        <x:v>RS-02640-I1</x:v>
      </x:c>
      <x:c r="B5258" s="4" t="str">
        <x:v>RS-02640</x:v>
      </x:c>
      <x:c r="C5258" s="9" t="n">
        <x:v>1</x:v>
      </x:c>
      <x:c r="D5258" s="8" t="n">
        <x:v>45451</x:v>
      </x:c>
      <x:c r="E5258" s="9" t="n">
        <x:v>5475500</x:v>
      </x:c>
      <x:c r="F5258" s="9" t="n">
        <x:v>5475500</x:v>
      </x:c>
    </x:row>
    <x:row r="5259" ht="34" customHeight="1">
      <x:c r="A5259" s="4" t="str">
        <x:v>RS-02640-I2</x:v>
      </x:c>
      <x:c r="B5259" s="4" t="str">
        <x:v>RS-02640</x:v>
      </x:c>
      <x:c r="C5259" s="9" t="n">
        <x:v>2</x:v>
      </x:c>
      <x:c r="D5259" s="8" t="n">
        <x:v>45481</x:v>
      </x:c>
      <x:c r="E5259" s="9" t="n">
        <x:v>5475500</x:v>
      </x:c>
      <x:c r="F5259" s="9" t="n">
        <x:v>5475500</x:v>
      </x:c>
    </x:row>
    <x:row r="5260" ht="34" customHeight="1">
      <x:c r="A5260" s="4" t="str">
        <x:v>RS-02640-I3</x:v>
      </x:c>
      <x:c r="B5260" s="4" t="str">
        <x:v>RS-02640</x:v>
      </x:c>
      <x:c r="C5260" s="9" t="n">
        <x:v>3</x:v>
      </x:c>
      <x:c r="D5260" s="8" t="n">
        <x:v>45511</x:v>
      </x:c>
      <x:c r="E5260" s="9" t="n">
        <x:v>5475500</x:v>
      </x:c>
      <x:c r="F5260" s="9" t="n">
        <x:v>0</x:v>
      </x:c>
    </x:row>
    <x:row r="5261" ht="34" customHeight="1">
      <x:c r="A5261" s="4" t="str">
        <x:v>RS-02640-I4</x:v>
      </x:c>
      <x:c r="B5261" s="4" t="str">
        <x:v>RS-02640</x:v>
      </x:c>
      <x:c r="C5261" s="9" t="n">
        <x:v>4</x:v>
      </x:c>
      <x:c r="D5261" s="8" t="n">
        <x:v>45541</x:v>
      </x:c>
      <x:c r="E5261" s="9" t="n">
        <x:v>5475500</x:v>
      </x:c>
      <x:c r="F5261" s="9" t="n">
        <x:v>0</x:v>
      </x:c>
    </x:row>
    <x:row r="5262" ht="34" customHeight="1">
      <x:c r="A5262" s="4" t="str">
        <x:v>RS-02647-I1</x:v>
      </x:c>
      <x:c r="B5262" s="4" t="str">
        <x:v>RS-02647</x:v>
      </x:c>
      <x:c r="C5262" s="9" t="n">
        <x:v>1</x:v>
      </x:c>
      <x:c r="D5262" s="8" t="n">
        <x:v>45458</x:v>
      </x:c>
      <x:c r="E5262" s="9" t="n">
        <x:v>1122000</x:v>
      </x:c>
      <x:c r="F5262" s="9" t="n">
        <x:v>448800</x:v>
      </x:c>
    </x:row>
    <x:row r="5263" ht="34" customHeight="1">
      <x:c r="A5263" s="4" t="str">
        <x:v>RS-02647-I2</x:v>
      </x:c>
      <x:c r="B5263" s="4" t="str">
        <x:v>RS-02647</x:v>
      </x:c>
      <x:c r="C5263" s="9" t="n">
        <x:v>2</x:v>
      </x:c>
      <x:c r="D5263" s="8" t="n">
        <x:v>45488</x:v>
      </x:c>
      <x:c r="E5263" s="9" t="n">
        <x:v>1122000</x:v>
      </x:c>
      <x:c r="F5263" s="9" t="n">
        <x:v>0</x:v>
      </x:c>
    </x:row>
    <x:row r="5264" ht="34" customHeight="1">
      <x:c r="A5264" s="4" t="str">
        <x:v>RS-02647-I3</x:v>
      </x:c>
      <x:c r="B5264" s="4" t="str">
        <x:v>RS-02647</x:v>
      </x:c>
      <x:c r="C5264" s="9" t="n">
        <x:v>3</x:v>
      </x:c>
      <x:c r="D5264" s="8" t="n">
        <x:v>45518</x:v>
      </x:c>
      <x:c r="E5264" s="9" t="n">
        <x:v>1122000</x:v>
      </x:c>
      <x:c r="F5264" s="9" t="n">
        <x:v>0</x:v>
      </x:c>
    </x:row>
    <x:row r="5265" ht="34" customHeight="1">
      <x:c r="A5265" s="4" t="str">
        <x:v>RS-02647-I4</x:v>
      </x:c>
      <x:c r="B5265" s="4" t="str">
        <x:v>RS-02647</x:v>
      </x:c>
      <x:c r="C5265" s="9" t="n">
        <x:v>4</x:v>
      </x:c>
      <x:c r="D5265" s="8" t="n">
        <x:v>45548</x:v>
      </x:c>
      <x:c r="E5265" s="9" t="n">
        <x:v>1122000</x:v>
      </x:c>
      <x:c r="F5265" s="9" t="n">
        <x:v>0</x:v>
      </x:c>
    </x:row>
    <x:row r="5266" ht="34" customHeight="1">
      <x:c r="A5266" s="4" t="str">
        <x:v>RS-02650-I1</x:v>
      </x:c>
      <x:c r="B5266" s="4" t="str">
        <x:v>RS-02650</x:v>
      </x:c>
      <x:c r="C5266" s="9" t="n">
        <x:v>1</x:v>
      </x:c>
      <x:c r="D5266" s="8" t="n">
        <x:v>45461</x:v>
      </x:c>
      <x:c r="E5266" s="9" t="n">
        <x:v>5050750</x:v>
      </x:c>
      <x:c r="F5266" s="9" t="n">
        <x:v>5050750</x:v>
      </x:c>
    </x:row>
    <x:row r="5267" ht="34" customHeight="1">
      <x:c r="A5267" s="4" t="str">
        <x:v>RS-02650-I2</x:v>
      </x:c>
      <x:c r="B5267" s="4" t="str">
        <x:v>RS-02650</x:v>
      </x:c>
      <x:c r="C5267" s="9" t="n">
        <x:v>2</x:v>
      </x:c>
      <x:c r="D5267" s="8" t="n">
        <x:v>45491</x:v>
      </x:c>
      <x:c r="E5267" s="9" t="n">
        <x:v>5050750</x:v>
      </x:c>
      <x:c r="F5267" s="9" t="n">
        <x:v>5050750</x:v>
      </x:c>
    </x:row>
    <x:row r="5268" ht="34" customHeight="1">
      <x:c r="A5268" s="4" t="str">
        <x:v>RS-02650-I3</x:v>
      </x:c>
      <x:c r="B5268" s="4" t="str">
        <x:v>RS-02650</x:v>
      </x:c>
      <x:c r="C5268" s="9" t="n">
        <x:v>3</x:v>
      </x:c>
      <x:c r="D5268" s="8" t="n">
        <x:v>45521</x:v>
      </x:c>
      <x:c r="E5268" s="9" t="n">
        <x:v>5050750</x:v>
      </x:c>
      <x:c r="F5268" s="9" t="n">
        <x:v>0</x:v>
      </x:c>
    </x:row>
    <x:row r="5269" ht="34" customHeight="1">
      <x:c r="A5269" s="4" t="str">
        <x:v>RS-02650-I4</x:v>
      </x:c>
      <x:c r="B5269" s="4" t="str">
        <x:v>RS-02650</x:v>
      </x:c>
      <x:c r="C5269" s="9" t="n">
        <x:v>4</x:v>
      </x:c>
      <x:c r="D5269" s="8" t="n">
        <x:v>45551</x:v>
      </x:c>
      <x:c r="E5269" s="9" t="n">
        <x:v>5050750</x:v>
      </x:c>
      <x:c r="F5269" s="9" t="n">
        <x:v>0</x:v>
      </x:c>
    </x:row>
    <x:row r="5270" ht="34" customHeight="1">
      <x:c r="A5270" s="4" t="str">
        <x:v>RS-02653-I1</x:v>
      </x:c>
      <x:c r="B5270" s="4" t="str">
        <x:v>RS-02653</x:v>
      </x:c>
      <x:c r="C5270" s="9" t="n">
        <x:v>1</x:v>
      </x:c>
      <x:c r="D5270" s="8" t="n">
        <x:v>45464</x:v>
      </x:c>
      <x:c r="E5270" s="9" t="n">
        <x:v>3776500</x:v>
      </x:c>
      <x:c r="F5270" s="9" t="n">
        <x:v>3776500</x:v>
      </x:c>
    </x:row>
    <x:row r="5271" ht="34" customHeight="1">
      <x:c r="A5271" s="4" t="str">
        <x:v>RS-02653-I2</x:v>
      </x:c>
      <x:c r="B5271" s="4" t="str">
        <x:v>RS-02653</x:v>
      </x:c>
      <x:c r="C5271" s="9" t="n">
        <x:v>2</x:v>
      </x:c>
      <x:c r="D5271" s="8" t="n">
        <x:v>45494</x:v>
      </x:c>
      <x:c r="E5271" s="9" t="n">
        <x:v>3776500</x:v>
      </x:c>
      <x:c r="F5271" s="9" t="n">
        <x:v>0</x:v>
      </x:c>
    </x:row>
    <x:row r="5272" ht="34" customHeight="1">
      <x:c r="A5272" s="4" t="str">
        <x:v>RS-02653-I3</x:v>
      </x:c>
      <x:c r="B5272" s="4" t="str">
        <x:v>RS-02653</x:v>
      </x:c>
      <x:c r="C5272" s="9" t="n">
        <x:v>3</x:v>
      </x:c>
      <x:c r="D5272" s="8" t="n">
        <x:v>45524</x:v>
      </x:c>
      <x:c r="E5272" s="9" t="n">
        <x:v>3776500</x:v>
      </x:c>
      <x:c r="F5272" s="9" t="n">
        <x:v>0</x:v>
      </x:c>
    </x:row>
    <x:row r="5273" ht="34" customHeight="1">
      <x:c r="A5273" s="4" t="str">
        <x:v>RS-02653-I4</x:v>
      </x:c>
      <x:c r="B5273" s="4" t="str">
        <x:v>RS-02653</x:v>
      </x:c>
      <x:c r="C5273" s="9" t="n">
        <x:v>4</x:v>
      </x:c>
      <x:c r="D5273" s="8" t="n">
        <x:v>45554</x:v>
      </x:c>
      <x:c r="E5273" s="9" t="n">
        <x:v>3776500</x:v>
      </x:c>
      <x:c r="F5273" s="9" t="n">
        <x:v>0</x:v>
      </x:c>
    </x:row>
    <x:row r="5274" ht="34" customHeight="1">
      <x:c r="A5274" s="4" t="str">
        <x:v>RS-02654-I1</x:v>
      </x:c>
      <x:c r="B5274" s="4" t="str">
        <x:v>RS-02654</x:v>
      </x:c>
      <x:c r="C5274" s="9" t="n">
        <x:v>1</x:v>
      </x:c>
      <x:c r="D5274" s="8" t="n">
        <x:v>45465</x:v>
      </x:c>
      <x:c r="E5274" s="9" t="n">
        <x:v>4301000</x:v>
      </x:c>
      <x:c r="F5274" s="9" t="n">
        <x:v>4301000</x:v>
      </x:c>
    </x:row>
    <x:row r="5275" ht="34" customHeight="1">
      <x:c r="A5275" s="4" t="str">
        <x:v>RS-02654-I2</x:v>
      </x:c>
      <x:c r="B5275" s="4" t="str">
        <x:v>RS-02654</x:v>
      </x:c>
      <x:c r="C5275" s="9" t="n">
        <x:v>2</x:v>
      </x:c>
      <x:c r="D5275" s="8" t="n">
        <x:v>45495</x:v>
      </x:c>
      <x:c r="E5275" s="9" t="n">
        <x:v>4301000</x:v>
      </x:c>
      <x:c r="F5275" s="9" t="n">
        <x:v>4301000</x:v>
      </x:c>
    </x:row>
    <x:row r="5276" ht="34" customHeight="1">
      <x:c r="A5276" s="4" t="str">
        <x:v>RS-02654-I3</x:v>
      </x:c>
      <x:c r="B5276" s="4" t="str">
        <x:v>RS-02654</x:v>
      </x:c>
      <x:c r="C5276" s="9" t="n">
        <x:v>3</x:v>
      </x:c>
      <x:c r="D5276" s="8" t="n">
        <x:v>45525</x:v>
      </x:c>
      <x:c r="E5276" s="9" t="n">
        <x:v>4301000</x:v>
      </x:c>
      <x:c r="F5276" s="9" t="n">
        <x:v>4301000</x:v>
      </x:c>
    </x:row>
    <x:row r="5277" ht="34" customHeight="1">
      <x:c r="A5277" s="4" t="str">
        <x:v>RS-02654-I4</x:v>
      </x:c>
      <x:c r="B5277" s="4" t="str">
        <x:v>RS-02654</x:v>
      </x:c>
      <x:c r="C5277" s="9" t="n">
        <x:v>4</x:v>
      </x:c>
      <x:c r="D5277" s="8" t="n">
        <x:v>45555</x:v>
      </x:c>
      <x:c r="E5277" s="9" t="n">
        <x:v>4301000</x:v>
      </x:c>
      <x:c r="F5277" s="9" t="n">
        <x:v>4301000</x:v>
      </x:c>
    </x:row>
    <x:row r="5278" ht="34" customHeight="1">
      <x:c r="A5278" s="4" t="str">
        <x:v>RS-02656-I1</x:v>
      </x:c>
      <x:c r="B5278" s="4" t="str">
        <x:v>RS-02656</x:v>
      </x:c>
      <x:c r="C5278" s="9" t="n">
        <x:v>1</x:v>
      </x:c>
      <x:c r="D5278" s="8" t="n">
        <x:v>45467</x:v>
      </x:c>
      <x:c r="E5278" s="9" t="n">
        <x:v>4655000</x:v>
      </x:c>
      <x:c r="F5278" s="9" t="n">
        <x:v>1862000</x:v>
      </x:c>
    </x:row>
    <x:row r="5279" ht="34" customHeight="1">
      <x:c r="A5279" s="4" t="str">
        <x:v>RS-02656-I2</x:v>
      </x:c>
      <x:c r="B5279" s="4" t="str">
        <x:v>RS-02656</x:v>
      </x:c>
      <x:c r="C5279" s="9" t="n">
        <x:v>2</x:v>
      </x:c>
      <x:c r="D5279" s="8" t="n">
        <x:v>45497</x:v>
      </x:c>
      <x:c r="E5279" s="9" t="n">
        <x:v>4655000</x:v>
      </x:c>
      <x:c r="F5279" s="9" t="n">
        <x:v>0</x:v>
      </x:c>
    </x:row>
    <x:row r="5280" ht="34" customHeight="1">
      <x:c r="A5280" s="4" t="str">
        <x:v>RS-02656-I3</x:v>
      </x:c>
      <x:c r="B5280" s="4" t="str">
        <x:v>RS-02656</x:v>
      </x:c>
      <x:c r="C5280" s="9" t="n">
        <x:v>3</x:v>
      </x:c>
      <x:c r="D5280" s="8" t="n">
        <x:v>45527</x:v>
      </x:c>
      <x:c r="E5280" s="9" t="n">
        <x:v>4655000</x:v>
      </x:c>
      <x:c r="F5280" s="9" t="n">
        <x:v>0</x:v>
      </x:c>
    </x:row>
    <x:row r="5281" ht="34" customHeight="1">
      <x:c r="A5281" s="4" t="str">
        <x:v>RS-02656-I4</x:v>
      </x:c>
      <x:c r="B5281" s="4" t="str">
        <x:v>RS-02656</x:v>
      </x:c>
      <x:c r="C5281" s="9" t="n">
        <x:v>4</x:v>
      </x:c>
      <x:c r="D5281" s="8" t="n">
        <x:v>45557</x:v>
      </x:c>
      <x:c r="E5281" s="9" t="n">
        <x:v>4655000</x:v>
      </x:c>
      <x:c r="F5281" s="9" t="n">
        <x:v>0</x:v>
      </x:c>
    </x:row>
    <x:row r="5282" ht="34" customHeight="1">
      <x:c r="A5282" s="4" t="str">
        <x:v>RS-02659-I1</x:v>
      </x:c>
      <x:c r="B5282" s="4" t="str">
        <x:v>RS-02659</x:v>
      </x:c>
      <x:c r="C5282" s="9" t="n">
        <x:v>1</x:v>
      </x:c>
      <x:c r="D5282" s="8" t="n">
        <x:v>45470</x:v>
      </x:c>
      <x:c r="E5282" s="9" t="n">
        <x:v>1762500</x:v>
      </x:c>
      <x:c r="F5282" s="9" t="n">
        <x:v>1762500</x:v>
      </x:c>
    </x:row>
    <x:row r="5283" ht="34" customHeight="1">
      <x:c r="A5283" s="4" t="str">
        <x:v>RS-02659-I2</x:v>
      </x:c>
      <x:c r="B5283" s="4" t="str">
        <x:v>RS-02659</x:v>
      </x:c>
      <x:c r="C5283" s="9" t="n">
        <x:v>2</x:v>
      </x:c>
      <x:c r="D5283" s="8" t="n">
        <x:v>45500</x:v>
      </x:c>
      <x:c r="E5283" s="9" t="n">
        <x:v>1762500</x:v>
      </x:c>
      <x:c r="F5283" s="9" t="n">
        <x:v>1762500</x:v>
      </x:c>
    </x:row>
    <x:row r="5284" ht="34" customHeight="1">
      <x:c r="A5284" s="4" t="str">
        <x:v>RS-02659-I3</x:v>
      </x:c>
      <x:c r="B5284" s="4" t="str">
        <x:v>RS-02659</x:v>
      </x:c>
      <x:c r="C5284" s="9" t="n">
        <x:v>3</x:v>
      </x:c>
      <x:c r="D5284" s="8" t="n">
        <x:v>45530</x:v>
      </x:c>
      <x:c r="E5284" s="9" t="n">
        <x:v>1762500</x:v>
      </x:c>
      <x:c r="F5284" s="9" t="n">
        <x:v>0</x:v>
      </x:c>
    </x:row>
    <x:row r="5285" ht="34" customHeight="1">
      <x:c r="A5285" s="4" t="str">
        <x:v>RS-02659-I4</x:v>
      </x:c>
      <x:c r="B5285" s="4" t="str">
        <x:v>RS-02659</x:v>
      </x:c>
      <x:c r="C5285" s="9" t="n">
        <x:v>4</x:v>
      </x:c>
      <x:c r="D5285" s="8" t="n">
        <x:v>45560</x:v>
      </x:c>
      <x:c r="E5285" s="9" t="n">
        <x:v>1762500</x:v>
      </x:c>
      <x:c r="F5285" s="9" t="n">
        <x:v>0</x:v>
      </x:c>
    </x:row>
    <x:row r="5286" ht="34" customHeight="1">
      <x:c r="A5286" s="4" t="str">
        <x:v>RS-02660-I1</x:v>
      </x:c>
      <x:c r="B5286" s="4" t="str">
        <x:v>RS-02660</x:v>
      </x:c>
      <x:c r="C5286" s="9" t="n">
        <x:v>1</x:v>
      </x:c>
      <x:c r="D5286" s="8" t="n">
        <x:v>45471</x:v>
      </x:c>
      <x:c r="E5286" s="9" t="n">
        <x:v>4905750</x:v>
      </x:c>
      <x:c r="F5286" s="9" t="n">
        <x:v>4905750</x:v>
      </x:c>
    </x:row>
    <x:row r="5287" ht="34" customHeight="1">
      <x:c r="A5287" s="4" t="str">
        <x:v>RS-02660-I2</x:v>
      </x:c>
      <x:c r="B5287" s="4" t="str">
        <x:v>RS-02660</x:v>
      </x:c>
      <x:c r="C5287" s="9" t="n">
        <x:v>2</x:v>
      </x:c>
      <x:c r="D5287" s="8" t="n">
        <x:v>45501</x:v>
      </x:c>
      <x:c r="E5287" s="9" t="n">
        <x:v>4905750</x:v>
      </x:c>
      <x:c r="F5287" s="9" t="n">
        <x:v>4905750</x:v>
      </x:c>
    </x:row>
    <x:row r="5288" ht="34" customHeight="1">
      <x:c r="A5288" s="4" t="str">
        <x:v>RS-02660-I3</x:v>
      </x:c>
      <x:c r="B5288" s="4" t="str">
        <x:v>RS-02660</x:v>
      </x:c>
      <x:c r="C5288" s="9" t="n">
        <x:v>3</x:v>
      </x:c>
      <x:c r="D5288" s="8" t="n">
        <x:v>45531</x:v>
      </x:c>
      <x:c r="E5288" s="9" t="n">
        <x:v>4905750</x:v>
      </x:c>
      <x:c r="F5288" s="9" t="n">
        <x:v>4905750</x:v>
      </x:c>
    </x:row>
    <x:row r="5289" ht="34" customHeight="1">
      <x:c r="A5289" s="4" t="str">
        <x:v>RS-02660-I4</x:v>
      </x:c>
      <x:c r="B5289" s="4" t="str">
        <x:v>RS-02660</x:v>
      </x:c>
      <x:c r="C5289" s="9" t="n">
        <x:v>4</x:v>
      </x:c>
      <x:c r="D5289" s="8" t="n">
        <x:v>45561</x:v>
      </x:c>
      <x:c r="E5289" s="9" t="n">
        <x:v>4905750</x:v>
      </x:c>
      <x:c r="F5289" s="9" t="n">
        <x:v>4905750</x:v>
      </x:c>
    </x:row>
    <x:row r="5290" ht="34" customHeight="1">
      <x:c r="A5290" s="4" t="str">
        <x:v>RS-02661-I1</x:v>
      </x:c>
      <x:c r="B5290" s="4" t="str">
        <x:v>RS-02661</x:v>
      </x:c>
      <x:c r="C5290" s="9" t="n">
        <x:v>1</x:v>
      </x:c>
      <x:c r="D5290" s="8" t="n">
        <x:v>45444</x:v>
      </x:c>
      <x:c r="E5290" s="9" t="n">
        <x:v>4807000</x:v>
      </x:c>
      <x:c r="F5290" s="9" t="n">
        <x:v>4807000</x:v>
      </x:c>
    </x:row>
    <x:row r="5291" ht="34" customHeight="1">
      <x:c r="A5291" s="4" t="str">
        <x:v>RS-02661-I2</x:v>
      </x:c>
      <x:c r="B5291" s="4" t="str">
        <x:v>RS-02661</x:v>
      </x:c>
      <x:c r="C5291" s="9" t="n">
        <x:v>2</x:v>
      </x:c>
      <x:c r="D5291" s="8" t="n">
        <x:v>45474</x:v>
      </x:c>
      <x:c r="E5291" s="9" t="n">
        <x:v>4807000</x:v>
      </x:c>
      <x:c r="F5291" s="9" t="n">
        <x:v>0</x:v>
      </x:c>
    </x:row>
    <x:row r="5292" ht="34" customHeight="1">
      <x:c r="A5292" s="4" t="str">
        <x:v>RS-02661-I3</x:v>
      </x:c>
      <x:c r="B5292" s="4" t="str">
        <x:v>RS-02661</x:v>
      </x:c>
      <x:c r="C5292" s="9" t="n">
        <x:v>3</x:v>
      </x:c>
      <x:c r="D5292" s="8" t="n">
        <x:v>45504</x:v>
      </x:c>
      <x:c r="E5292" s="9" t="n">
        <x:v>4807000</x:v>
      </x:c>
      <x:c r="F5292" s="9" t="n">
        <x:v>0</x:v>
      </x:c>
    </x:row>
    <x:row r="5293" ht="34" customHeight="1">
      <x:c r="A5293" s="4" t="str">
        <x:v>RS-02661-I4</x:v>
      </x:c>
      <x:c r="B5293" s="4" t="str">
        <x:v>RS-02661</x:v>
      </x:c>
      <x:c r="C5293" s="9" t="n">
        <x:v>4</x:v>
      </x:c>
      <x:c r="D5293" s="8" t="n">
        <x:v>45534</x:v>
      </x:c>
      <x:c r="E5293" s="9" t="n">
        <x:v>4807000</x:v>
      </x:c>
      <x:c r="F5293" s="9" t="n">
        <x:v>0</x:v>
      </x:c>
    </x:row>
    <x:row r="5294" ht="34" customHeight="1">
      <x:c r="A5294" s="4" t="str">
        <x:v>RS-02667-I1</x:v>
      </x:c>
      <x:c r="B5294" s="4" t="str">
        <x:v>RS-02667</x:v>
      </x:c>
      <x:c r="C5294" s="9" t="n">
        <x:v>1</x:v>
      </x:c>
      <x:c r="D5294" s="8" t="n">
        <x:v>45450</x:v>
      </x:c>
      <x:c r="E5294" s="9" t="n">
        <x:v>2549250</x:v>
      </x:c>
      <x:c r="F5294" s="9" t="n">
        <x:v>1019700</x:v>
      </x:c>
    </x:row>
    <x:row r="5295" ht="34" customHeight="1">
      <x:c r="A5295" s="4" t="str">
        <x:v>RS-02667-I2</x:v>
      </x:c>
      <x:c r="B5295" s="4" t="str">
        <x:v>RS-02667</x:v>
      </x:c>
      <x:c r="C5295" s="9" t="n">
        <x:v>2</x:v>
      </x:c>
      <x:c r="D5295" s="8" t="n">
        <x:v>45480</x:v>
      </x:c>
      <x:c r="E5295" s="9" t="n">
        <x:v>2549250</x:v>
      </x:c>
      <x:c r="F5295" s="9" t="n">
        <x:v>0</x:v>
      </x:c>
    </x:row>
    <x:row r="5296" ht="34" customHeight="1">
      <x:c r="A5296" s="4" t="str">
        <x:v>RS-02667-I3</x:v>
      </x:c>
      <x:c r="B5296" s="4" t="str">
        <x:v>RS-02667</x:v>
      </x:c>
      <x:c r="C5296" s="9" t="n">
        <x:v>3</x:v>
      </x:c>
      <x:c r="D5296" s="8" t="n">
        <x:v>45510</x:v>
      </x:c>
      <x:c r="E5296" s="9" t="n">
        <x:v>2549250</x:v>
      </x:c>
      <x:c r="F5296" s="9" t="n">
        <x:v>0</x:v>
      </x:c>
    </x:row>
    <x:row r="5297" ht="34" customHeight="1">
      <x:c r="A5297" s="4" t="str">
        <x:v>RS-02667-I4</x:v>
      </x:c>
      <x:c r="B5297" s="4" t="str">
        <x:v>RS-02667</x:v>
      </x:c>
      <x:c r="C5297" s="9" t="n">
        <x:v>4</x:v>
      </x:c>
      <x:c r="D5297" s="8" t="n">
        <x:v>45540</x:v>
      </x:c>
      <x:c r="E5297" s="9" t="n">
        <x:v>2549250</x:v>
      </x:c>
      <x:c r="F5297" s="9" t="n">
        <x:v>0</x:v>
      </x:c>
    </x:row>
    <x:row r="5298" ht="34" customHeight="1">
      <x:c r="A5298" s="4" t="str">
        <x:v>RS-02669-I1</x:v>
      </x:c>
      <x:c r="B5298" s="4" t="str">
        <x:v>RS-02669</x:v>
      </x:c>
      <x:c r="C5298" s="9" t="n">
        <x:v>1</x:v>
      </x:c>
      <x:c r="D5298" s="8" t="n">
        <x:v>45452</x:v>
      </x:c>
      <x:c r="E5298" s="9" t="n">
        <x:v>4183000</x:v>
      </x:c>
      <x:c r="F5298" s="9" t="n">
        <x:v>1673200</x:v>
      </x:c>
    </x:row>
    <x:row r="5299" ht="34" customHeight="1">
      <x:c r="A5299" s="4" t="str">
        <x:v>RS-02669-I2</x:v>
      </x:c>
      <x:c r="B5299" s="4" t="str">
        <x:v>RS-02669</x:v>
      </x:c>
      <x:c r="C5299" s="9" t="n">
        <x:v>2</x:v>
      </x:c>
      <x:c r="D5299" s="8" t="n">
        <x:v>45482</x:v>
      </x:c>
      <x:c r="E5299" s="9" t="n">
        <x:v>4183000</x:v>
      </x:c>
      <x:c r="F5299" s="9" t="n">
        <x:v>0</x:v>
      </x:c>
    </x:row>
    <x:row r="5300" ht="34" customHeight="1">
      <x:c r="A5300" s="4" t="str">
        <x:v>RS-02669-I3</x:v>
      </x:c>
      <x:c r="B5300" s="4" t="str">
        <x:v>RS-02669</x:v>
      </x:c>
      <x:c r="C5300" s="9" t="n">
        <x:v>3</x:v>
      </x:c>
      <x:c r="D5300" s="8" t="n">
        <x:v>45512</x:v>
      </x:c>
      <x:c r="E5300" s="9" t="n">
        <x:v>4183000</x:v>
      </x:c>
      <x:c r="F5300" s="9" t="n">
        <x:v>0</x:v>
      </x:c>
    </x:row>
    <x:row r="5301" ht="34" customHeight="1">
      <x:c r="A5301" s="4" t="str">
        <x:v>RS-02669-I4</x:v>
      </x:c>
      <x:c r="B5301" s="4" t="str">
        <x:v>RS-02669</x:v>
      </x:c>
      <x:c r="C5301" s="9" t="n">
        <x:v>4</x:v>
      </x:c>
      <x:c r="D5301" s="8" t="n">
        <x:v>45542</x:v>
      </x:c>
      <x:c r="E5301" s="9" t="n">
        <x:v>4183000</x:v>
      </x:c>
      <x:c r="F5301" s="9" t="n">
        <x:v>0</x:v>
      </x:c>
    </x:row>
    <x:row r="5302" ht="34" customHeight="1">
      <x:c r="A5302" s="4" t="str">
        <x:v>RS-02670-I1</x:v>
      </x:c>
      <x:c r="B5302" s="4" t="str">
        <x:v>RS-02670</x:v>
      </x:c>
      <x:c r="C5302" s="9" t="n">
        <x:v>1</x:v>
      </x:c>
      <x:c r="D5302" s="8" t="n">
        <x:v>45453</x:v>
      </x:c>
      <x:c r="E5302" s="9" t="n">
        <x:v>1425000</x:v>
      </x:c>
      <x:c r="F5302" s="9" t="n">
        <x:v>1425000</x:v>
      </x:c>
    </x:row>
    <x:row r="5303" ht="34" customHeight="1">
      <x:c r="A5303" s="4" t="str">
        <x:v>RS-02670-I2</x:v>
      </x:c>
      <x:c r="B5303" s="4" t="str">
        <x:v>RS-02670</x:v>
      </x:c>
      <x:c r="C5303" s="9" t="n">
        <x:v>2</x:v>
      </x:c>
      <x:c r="D5303" s="8" t="n">
        <x:v>45483</x:v>
      </x:c>
      <x:c r="E5303" s="9" t="n">
        <x:v>1425000</x:v>
      </x:c>
      <x:c r="F5303" s="9" t="n">
        <x:v>0</x:v>
      </x:c>
    </x:row>
    <x:row r="5304" ht="34" customHeight="1">
      <x:c r="A5304" s="4" t="str">
        <x:v>RS-02670-I3</x:v>
      </x:c>
      <x:c r="B5304" s="4" t="str">
        <x:v>RS-02670</x:v>
      </x:c>
      <x:c r="C5304" s="9" t="n">
        <x:v>3</x:v>
      </x:c>
      <x:c r="D5304" s="8" t="n">
        <x:v>45513</x:v>
      </x:c>
      <x:c r="E5304" s="9" t="n">
        <x:v>1425000</x:v>
      </x:c>
      <x:c r="F5304" s="9" t="n">
        <x:v>0</x:v>
      </x:c>
    </x:row>
    <x:row r="5305" ht="34" customHeight="1">
      <x:c r="A5305" s="4" t="str">
        <x:v>RS-02670-I4</x:v>
      </x:c>
      <x:c r="B5305" s="4" t="str">
        <x:v>RS-02670</x:v>
      </x:c>
      <x:c r="C5305" s="9" t="n">
        <x:v>4</x:v>
      </x:c>
      <x:c r="D5305" s="8" t="n">
        <x:v>45543</x:v>
      </x:c>
      <x:c r="E5305" s="9" t="n">
        <x:v>1425000</x:v>
      </x:c>
      <x:c r="F5305" s="9" t="n">
        <x:v>0</x:v>
      </x:c>
    </x:row>
    <x:row r="5306" ht="34" customHeight="1">
      <x:c r="A5306" s="4" t="str">
        <x:v>RS-02671-I1</x:v>
      </x:c>
      <x:c r="B5306" s="4" t="str">
        <x:v>RS-02671</x:v>
      </x:c>
      <x:c r="C5306" s="9" t="n">
        <x:v>1</x:v>
      </x:c>
      <x:c r="D5306" s="8" t="n">
        <x:v>45454</x:v>
      </x:c>
      <x:c r="E5306" s="9" t="n">
        <x:v>4727250</x:v>
      </x:c>
      <x:c r="F5306" s="9" t="n">
        <x:v>4727250</x:v>
      </x:c>
    </x:row>
    <x:row r="5307" ht="34" customHeight="1">
      <x:c r="A5307" s="4" t="str">
        <x:v>RS-02671-I2</x:v>
      </x:c>
      <x:c r="B5307" s="4" t="str">
        <x:v>RS-02671</x:v>
      </x:c>
      <x:c r="C5307" s="9" t="n">
        <x:v>2</x:v>
      </x:c>
      <x:c r="D5307" s="8" t="n">
        <x:v>45484</x:v>
      </x:c>
      <x:c r="E5307" s="9" t="n">
        <x:v>4727250</x:v>
      </x:c>
      <x:c r="F5307" s="9" t="n">
        <x:v>4727250</x:v>
      </x:c>
    </x:row>
    <x:row r="5308" ht="34" customHeight="1">
      <x:c r="A5308" s="4" t="str">
        <x:v>RS-02671-I3</x:v>
      </x:c>
      <x:c r="B5308" s="4" t="str">
        <x:v>RS-02671</x:v>
      </x:c>
      <x:c r="C5308" s="9" t="n">
        <x:v>3</x:v>
      </x:c>
      <x:c r="D5308" s="8" t="n">
        <x:v>45514</x:v>
      </x:c>
      <x:c r="E5308" s="9" t="n">
        <x:v>4727250</x:v>
      </x:c>
      <x:c r="F5308" s="9" t="n">
        <x:v>4727250</x:v>
      </x:c>
    </x:row>
    <x:row r="5309" ht="34" customHeight="1">
      <x:c r="A5309" s="4" t="str">
        <x:v>RS-02671-I4</x:v>
      </x:c>
      <x:c r="B5309" s="4" t="str">
        <x:v>RS-02671</x:v>
      </x:c>
      <x:c r="C5309" s="9" t="n">
        <x:v>4</x:v>
      </x:c>
      <x:c r="D5309" s="8" t="n">
        <x:v>45544</x:v>
      </x:c>
      <x:c r="E5309" s="9" t="n">
        <x:v>4727250</x:v>
      </x:c>
      <x:c r="F5309" s="9" t="n">
        <x:v>4727250</x:v>
      </x:c>
    </x:row>
    <x:row r="5310" ht="34" customHeight="1">
      <x:c r="A5310" s="4" t="str">
        <x:v>RS-02672-I1</x:v>
      </x:c>
      <x:c r="B5310" s="4" t="str">
        <x:v>RS-02672</x:v>
      </x:c>
      <x:c r="C5310" s="9" t="n">
        <x:v>1</x:v>
      </x:c>
      <x:c r="D5310" s="8" t="n">
        <x:v>45455</x:v>
      </x:c>
      <x:c r="E5310" s="9" t="n">
        <x:v>4251250</x:v>
      </x:c>
      <x:c r="F5310" s="9" t="n">
        <x:v>4251250</x:v>
      </x:c>
    </x:row>
    <x:row r="5311" ht="34" customHeight="1">
      <x:c r="A5311" s="4" t="str">
        <x:v>RS-02672-I2</x:v>
      </x:c>
      <x:c r="B5311" s="4" t="str">
        <x:v>RS-02672</x:v>
      </x:c>
      <x:c r="C5311" s="9" t="n">
        <x:v>2</x:v>
      </x:c>
      <x:c r="D5311" s="8" t="n">
        <x:v>45485</x:v>
      </x:c>
      <x:c r="E5311" s="9" t="n">
        <x:v>4251250</x:v>
      </x:c>
      <x:c r="F5311" s="9" t="n">
        <x:v>0</x:v>
      </x:c>
    </x:row>
    <x:row r="5312" ht="34" customHeight="1">
      <x:c r="A5312" s="4" t="str">
        <x:v>RS-02672-I3</x:v>
      </x:c>
      <x:c r="B5312" s="4" t="str">
        <x:v>RS-02672</x:v>
      </x:c>
      <x:c r="C5312" s="9" t="n">
        <x:v>3</x:v>
      </x:c>
      <x:c r="D5312" s="8" t="n">
        <x:v>45515</x:v>
      </x:c>
      <x:c r="E5312" s="9" t="n">
        <x:v>4251250</x:v>
      </x:c>
      <x:c r="F5312" s="9" t="n">
        <x:v>0</x:v>
      </x:c>
    </x:row>
    <x:row r="5313" ht="34" customHeight="1">
      <x:c r="A5313" s="4" t="str">
        <x:v>RS-02672-I4</x:v>
      </x:c>
      <x:c r="B5313" s="4" t="str">
        <x:v>RS-02672</x:v>
      </x:c>
      <x:c r="C5313" s="9" t="n">
        <x:v>4</x:v>
      </x:c>
      <x:c r="D5313" s="8" t="n">
        <x:v>45545</x:v>
      </x:c>
      <x:c r="E5313" s="9" t="n">
        <x:v>4251250</x:v>
      </x:c>
      <x:c r="F5313" s="9" t="n">
        <x:v>0</x:v>
      </x:c>
    </x:row>
    <x:row r="5314" ht="34" customHeight="1">
      <x:c r="A5314" s="4" t="str">
        <x:v>RS-02673-I1</x:v>
      </x:c>
      <x:c r="B5314" s="4" t="str">
        <x:v>RS-02673</x:v>
      </x:c>
      <x:c r="C5314" s="9" t="n">
        <x:v>1</x:v>
      </x:c>
      <x:c r="D5314" s="8" t="n">
        <x:v>45456</x:v>
      </x:c>
      <x:c r="E5314" s="9" t="n">
        <x:v>2587500</x:v>
      </x:c>
      <x:c r="F5314" s="9" t="n">
        <x:v>2587500</x:v>
      </x:c>
    </x:row>
    <x:row r="5315" ht="34" customHeight="1">
      <x:c r="A5315" s="4" t="str">
        <x:v>RS-02673-I2</x:v>
      </x:c>
      <x:c r="B5315" s="4" t="str">
        <x:v>RS-02673</x:v>
      </x:c>
      <x:c r="C5315" s="9" t="n">
        <x:v>2</x:v>
      </x:c>
      <x:c r="D5315" s="8" t="n">
        <x:v>45486</x:v>
      </x:c>
      <x:c r="E5315" s="9" t="n">
        <x:v>2587500</x:v>
      </x:c>
      <x:c r="F5315" s="9" t="n">
        <x:v>2587500</x:v>
      </x:c>
    </x:row>
    <x:row r="5316" ht="34" customHeight="1">
      <x:c r="A5316" s="4" t="str">
        <x:v>RS-02673-I3</x:v>
      </x:c>
      <x:c r="B5316" s="4" t="str">
        <x:v>RS-02673</x:v>
      </x:c>
      <x:c r="C5316" s="9" t="n">
        <x:v>3</x:v>
      </x:c>
      <x:c r="D5316" s="8" t="n">
        <x:v>45516</x:v>
      </x:c>
      <x:c r="E5316" s="9" t="n">
        <x:v>2587500</x:v>
      </x:c>
      <x:c r="F5316" s="9" t="n">
        <x:v>2587500</x:v>
      </x:c>
    </x:row>
    <x:row r="5317" ht="34" customHeight="1">
      <x:c r="A5317" s="4" t="str">
        <x:v>RS-02673-I4</x:v>
      </x:c>
      <x:c r="B5317" s="4" t="str">
        <x:v>RS-02673</x:v>
      </x:c>
      <x:c r="C5317" s="9" t="n">
        <x:v>4</x:v>
      </x:c>
      <x:c r="D5317" s="8" t="n">
        <x:v>45546</x:v>
      </x:c>
      <x:c r="E5317" s="9" t="n">
        <x:v>2587500</x:v>
      </x:c>
      <x:c r="F5317" s="9" t="n">
        <x:v>2587500</x:v>
      </x:c>
    </x:row>
    <x:row r="5318" ht="34" customHeight="1">
      <x:c r="A5318" s="4" t="str">
        <x:v>RS-02674-I1</x:v>
      </x:c>
      <x:c r="B5318" s="4" t="str">
        <x:v>RS-02674</x:v>
      </x:c>
      <x:c r="C5318" s="9" t="n">
        <x:v>1</x:v>
      </x:c>
      <x:c r="D5318" s="8" t="n">
        <x:v>45457</x:v>
      </x:c>
      <x:c r="E5318" s="9" t="n">
        <x:v>735000</x:v>
      </x:c>
      <x:c r="F5318" s="9" t="n">
        <x:v>294000</x:v>
      </x:c>
    </x:row>
    <x:row r="5319" ht="34" customHeight="1">
      <x:c r="A5319" s="4" t="str">
        <x:v>RS-02674-I2</x:v>
      </x:c>
      <x:c r="B5319" s="4" t="str">
        <x:v>RS-02674</x:v>
      </x:c>
      <x:c r="C5319" s="9" t="n">
        <x:v>2</x:v>
      </x:c>
      <x:c r="D5319" s="8" t="n">
        <x:v>45487</x:v>
      </x:c>
      <x:c r="E5319" s="9" t="n">
        <x:v>735000</x:v>
      </x:c>
      <x:c r="F5319" s="9" t="n">
        <x:v>0</x:v>
      </x:c>
    </x:row>
    <x:row r="5320" ht="34" customHeight="1">
      <x:c r="A5320" s="4" t="str">
        <x:v>RS-02674-I3</x:v>
      </x:c>
      <x:c r="B5320" s="4" t="str">
        <x:v>RS-02674</x:v>
      </x:c>
      <x:c r="C5320" s="9" t="n">
        <x:v>3</x:v>
      </x:c>
      <x:c r="D5320" s="8" t="n">
        <x:v>45517</x:v>
      </x:c>
      <x:c r="E5320" s="9" t="n">
        <x:v>735000</x:v>
      </x:c>
      <x:c r="F5320" s="9" t="n">
        <x:v>0</x:v>
      </x:c>
    </x:row>
    <x:row r="5321" ht="34" customHeight="1">
      <x:c r="A5321" s="4" t="str">
        <x:v>RS-02674-I4</x:v>
      </x:c>
      <x:c r="B5321" s="4" t="str">
        <x:v>RS-02674</x:v>
      </x:c>
      <x:c r="C5321" s="9" t="n">
        <x:v>4</x:v>
      </x:c>
      <x:c r="D5321" s="8" t="n">
        <x:v>45547</x:v>
      </x:c>
      <x:c r="E5321" s="9" t="n">
        <x:v>735000</x:v>
      </x:c>
      <x:c r="F5321" s="9" t="n">
        <x:v>0</x:v>
      </x:c>
    </x:row>
    <x:row r="5322" ht="34" customHeight="1">
      <x:c r="A5322" s="4" t="str">
        <x:v>RS-02678-I1</x:v>
      </x:c>
      <x:c r="B5322" s="4" t="str">
        <x:v>RS-02678</x:v>
      </x:c>
      <x:c r="C5322" s="9" t="n">
        <x:v>1</x:v>
      </x:c>
      <x:c r="D5322" s="8" t="n">
        <x:v>45461</x:v>
      </x:c>
      <x:c r="E5322" s="9" t="n">
        <x:v>1909000</x:v>
      </x:c>
      <x:c r="F5322" s="9" t="n">
        <x:v>1909000</x:v>
      </x:c>
    </x:row>
    <x:row r="5323" ht="34" customHeight="1">
      <x:c r="A5323" s="4" t="str">
        <x:v>RS-02678-I2</x:v>
      </x:c>
      <x:c r="B5323" s="4" t="str">
        <x:v>RS-02678</x:v>
      </x:c>
      <x:c r="C5323" s="9" t="n">
        <x:v>2</x:v>
      </x:c>
      <x:c r="D5323" s="8" t="n">
        <x:v>45491</x:v>
      </x:c>
      <x:c r="E5323" s="9" t="n">
        <x:v>1909000</x:v>
      </x:c>
      <x:c r="F5323" s="9" t="n">
        <x:v>0</x:v>
      </x:c>
    </x:row>
    <x:row r="5324" ht="34" customHeight="1">
      <x:c r="A5324" s="4" t="str">
        <x:v>RS-02678-I3</x:v>
      </x:c>
      <x:c r="B5324" s="4" t="str">
        <x:v>RS-02678</x:v>
      </x:c>
      <x:c r="C5324" s="9" t="n">
        <x:v>3</x:v>
      </x:c>
      <x:c r="D5324" s="8" t="n">
        <x:v>45521</x:v>
      </x:c>
      <x:c r="E5324" s="9" t="n">
        <x:v>1909000</x:v>
      </x:c>
      <x:c r="F5324" s="9" t="n">
        <x:v>0</x:v>
      </x:c>
    </x:row>
    <x:row r="5325" ht="34" customHeight="1">
      <x:c r="A5325" s="4" t="str">
        <x:v>RS-02678-I4</x:v>
      </x:c>
      <x:c r="B5325" s="4" t="str">
        <x:v>RS-02678</x:v>
      </x:c>
      <x:c r="C5325" s="9" t="n">
        <x:v>4</x:v>
      </x:c>
      <x:c r="D5325" s="8" t="n">
        <x:v>45551</x:v>
      </x:c>
      <x:c r="E5325" s="9" t="n">
        <x:v>1909000</x:v>
      </x:c>
      <x:c r="F5325" s="9" t="n">
        <x:v>0</x:v>
      </x:c>
    </x:row>
    <x:row r="5326" ht="34" customHeight="1">
      <x:c r="A5326" s="4" t="str">
        <x:v>RS-02679-I1</x:v>
      </x:c>
      <x:c r="B5326" s="4" t="str">
        <x:v>RS-02679</x:v>
      </x:c>
      <x:c r="C5326" s="9" t="n">
        <x:v>1</x:v>
      </x:c>
      <x:c r="D5326" s="8" t="n">
        <x:v>45462</x:v>
      </x:c>
      <x:c r="E5326" s="9" t="n">
        <x:v>5232500</x:v>
      </x:c>
      <x:c r="F5326" s="9" t="n">
        <x:v>5232500</x:v>
      </x:c>
    </x:row>
    <x:row r="5327" ht="34" customHeight="1">
      <x:c r="A5327" s="4" t="str">
        <x:v>RS-02679-I2</x:v>
      </x:c>
      <x:c r="B5327" s="4" t="str">
        <x:v>RS-02679</x:v>
      </x:c>
      <x:c r="C5327" s="9" t="n">
        <x:v>2</x:v>
      </x:c>
      <x:c r="D5327" s="8" t="n">
        <x:v>45492</x:v>
      </x:c>
      <x:c r="E5327" s="9" t="n">
        <x:v>5232500</x:v>
      </x:c>
      <x:c r="F5327" s="9" t="n">
        <x:v>5232500</x:v>
      </x:c>
    </x:row>
    <x:row r="5328" ht="34" customHeight="1">
      <x:c r="A5328" s="4" t="str">
        <x:v>RS-02679-I3</x:v>
      </x:c>
      <x:c r="B5328" s="4" t="str">
        <x:v>RS-02679</x:v>
      </x:c>
      <x:c r="C5328" s="9" t="n">
        <x:v>3</x:v>
      </x:c>
      <x:c r="D5328" s="8" t="n">
        <x:v>45522</x:v>
      </x:c>
      <x:c r="E5328" s="9" t="n">
        <x:v>5232500</x:v>
      </x:c>
      <x:c r="F5328" s="9" t="n">
        <x:v>0</x:v>
      </x:c>
    </x:row>
    <x:row r="5329" ht="34" customHeight="1">
      <x:c r="A5329" s="4" t="str">
        <x:v>RS-02679-I4</x:v>
      </x:c>
      <x:c r="B5329" s="4" t="str">
        <x:v>RS-02679</x:v>
      </x:c>
      <x:c r="C5329" s="9" t="n">
        <x:v>4</x:v>
      </x:c>
      <x:c r="D5329" s="8" t="n">
        <x:v>45552</x:v>
      </x:c>
      <x:c r="E5329" s="9" t="n">
        <x:v>5232500</x:v>
      </x:c>
      <x:c r="F5329" s="9" t="n">
        <x:v>0</x:v>
      </x:c>
    </x:row>
    <x:row r="5330" ht="34" customHeight="1">
      <x:c r="A5330" s="4" t="str">
        <x:v>RS-02680-I1</x:v>
      </x:c>
      <x:c r="B5330" s="4" t="str">
        <x:v>RS-02680</x:v>
      </x:c>
      <x:c r="C5330" s="9" t="n">
        <x:v>1</x:v>
      </x:c>
      <x:c r="D5330" s="8" t="n">
        <x:v>45463</x:v>
      </x:c>
      <x:c r="E5330" s="9" t="n">
        <x:v>4342500</x:v>
      </x:c>
      <x:c r="F5330" s="9" t="n">
        <x:v>4342500</x:v>
      </x:c>
    </x:row>
    <x:row r="5331" ht="34" customHeight="1">
      <x:c r="A5331" s="4" t="str">
        <x:v>RS-02680-I2</x:v>
      </x:c>
      <x:c r="B5331" s="4" t="str">
        <x:v>RS-02680</x:v>
      </x:c>
      <x:c r="C5331" s="9" t="n">
        <x:v>2</x:v>
      </x:c>
      <x:c r="D5331" s="8" t="n">
        <x:v>45493</x:v>
      </x:c>
      <x:c r="E5331" s="9" t="n">
        <x:v>4342500</x:v>
      </x:c>
      <x:c r="F5331" s="9" t="n">
        <x:v>4342500</x:v>
      </x:c>
    </x:row>
    <x:row r="5332" ht="34" customHeight="1">
      <x:c r="A5332" s="4" t="str">
        <x:v>RS-02680-I3</x:v>
      </x:c>
      <x:c r="B5332" s="4" t="str">
        <x:v>RS-02680</x:v>
      </x:c>
      <x:c r="C5332" s="9" t="n">
        <x:v>3</x:v>
      </x:c>
      <x:c r="D5332" s="8" t="n">
        <x:v>45523</x:v>
      </x:c>
      <x:c r="E5332" s="9" t="n">
        <x:v>4342500</x:v>
      </x:c>
      <x:c r="F5332" s="9" t="n">
        <x:v>4342500</x:v>
      </x:c>
    </x:row>
    <x:row r="5333" ht="34" customHeight="1">
      <x:c r="A5333" s="4" t="str">
        <x:v>RS-02680-I4</x:v>
      </x:c>
      <x:c r="B5333" s="4" t="str">
        <x:v>RS-02680</x:v>
      </x:c>
      <x:c r="C5333" s="9" t="n">
        <x:v>4</x:v>
      </x:c>
      <x:c r="D5333" s="8" t="n">
        <x:v>45553</x:v>
      </x:c>
      <x:c r="E5333" s="9" t="n">
        <x:v>4342500</x:v>
      </x:c>
      <x:c r="F5333" s="9" t="n">
        <x:v>4342500</x:v>
      </x:c>
    </x:row>
    <x:row r="5334" ht="34" customHeight="1">
      <x:c r="A5334" s="4" t="str">
        <x:v>RS-02681-I1</x:v>
      </x:c>
      <x:c r="B5334" s="4" t="str">
        <x:v>RS-02681</x:v>
      </x:c>
      <x:c r="C5334" s="9" t="n">
        <x:v>1</x:v>
      </x:c>
      <x:c r="D5334" s="8" t="n">
        <x:v>45464</x:v>
      </x:c>
      <x:c r="E5334" s="9" t="n">
        <x:v>690000</x:v>
      </x:c>
      <x:c r="F5334" s="9" t="n">
        <x:v>690000</x:v>
      </x:c>
    </x:row>
    <x:row r="5335" ht="34" customHeight="1">
      <x:c r="A5335" s="4" t="str">
        <x:v>RS-02681-I2</x:v>
      </x:c>
      <x:c r="B5335" s="4" t="str">
        <x:v>RS-02681</x:v>
      </x:c>
      <x:c r="C5335" s="9" t="n">
        <x:v>2</x:v>
      </x:c>
      <x:c r="D5335" s="8" t="n">
        <x:v>45494</x:v>
      </x:c>
      <x:c r="E5335" s="9" t="n">
        <x:v>690000</x:v>
      </x:c>
      <x:c r="F5335" s="9" t="n">
        <x:v>690000</x:v>
      </x:c>
    </x:row>
    <x:row r="5336" ht="34" customHeight="1">
      <x:c r="A5336" s="4" t="str">
        <x:v>RS-02681-I3</x:v>
      </x:c>
      <x:c r="B5336" s="4" t="str">
        <x:v>RS-02681</x:v>
      </x:c>
      <x:c r="C5336" s="9" t="n">
        <x:v>3</x:v>
      </x:c>
      <x:c r="D5336" s="8" t="n">
        <x:v>45524</x:v>
      </x:c>
      <x:c r="E5336" s="9" t="n">
        <x:v>690000</x:v>
      </x:c>
      <x:c r="F5336" s="9" t="n">
        <x:v>0</x:v>
      </x:c>
    </x:row>
    <x:row r="5337" ht="34" customHeight="1">
      <x:c r="A5337" s="4" t="str">
        <x:v>RS-02681-I4</x:v>
      </x:c>
      <x:c r="B5337" s="4" t="str">
        <x:v>RS-02681</x:v>
      </x:c>
      <x:c r="C5337" s="9" t="n">
        <x:v>4</x:v>
      </x:c>
      <x:c r="D5337" s="8" t="n">
        <x:v>45554</x:v>
      </x:c>
      <x:c r="E5337" s="9" t="n">
        <x:v>690000</x:v>
      </x:c>
      <x:c r="F5337" s="9" t="n">
        <x:v>0</x:v>
      </x:c>
    </x:row>
    <x:row r="5338" ht="34" customHeight="1">
      <x:c r="A5338" s="4" t="str">
        <x:v>RS-02683-I1</x:v>
      </x:c>
      <x:c r="B5338" s="4" t="str">
        <x:v>RS-02683</x:v>
      </x:c>
      <x:c r="C5338" s="9" t="n">
        <x:v>1</x:v>
      </x:c>
      <x:c r="D5338" s="8" t="n">
        <x:v>45466</x:v>
      </x:c>
      <x:c r="E5338" s="9" t="n">
        <x:v>1552000</x:v>
      </x:c>
      <x:c r="F5338" s="9" t="n">
        <x:v>1552000</x:v>
      </x:c>
    </x:row>
    <x:row r="5339" ht="34" customHeight="1">
      <x:c r="A5339" s="4" t="str">
        <x:v>RS-02683-I2</x:v>
      </x:c>
      <x:c r="B5339" s="4" t="str">
        <x:v>RS-02683</x:v>
      </x:c>
      <x:c r="C5339" s="9" t="n">
        <x:v>2</x:v>
      </x:c>
      <x:c r="D5339" s="8" t="n">
        <x:v>45496</x:v>
      </x:c>
      <x:c r="E5339" s="9" t="n">
        <x:v>1552000</x:v>
      </x:c>
      <x:c r="F5339" s="9" t="n">
        <x:v>1552000</x:v>
      </x:c>
    </x:row>
    <x:row r="5340" ht="34" customHeight="1">
      <x:c r="A5340" s="4" t="str">
        <x:v>RS-02683-I3</x:v>
      </x:c>
      <x:c r="B5340" s="4" t="str">
        <x:v>RS-02683</x:v>
      </x:c>
      <x:c r="C5340" s="9" t="n">
        <x:v>3</x:v>
      </x:c>
      <x:c r="D5340" s="8" t="n">
        <x:v>45526</x:v>
      </x:c>
      <x:c r="E5340" s="9" t="n">
        <x:v>1552000</x:v>
      </x:c>
      <x:c r="F5340" s="9" t="n">
        <x:v>0</x:v>
      </x:c>
    </x:row>
    <x:row r="5341" ht="34" customHeight="1">
      <x:c r="A5341" s="4" t="str">
        <x:v>RS-02683-I4</x:v>
      </x:c>
      <x:c r="B5341" s="4" t="str">
        <x:v>RS-02683</x:v>
      </x:c>
      <x:c r="C5341" s="9" t="n">
        <x:v>4</x:v>
      </x:c>
      <x:c r="D5341" s="8" t="n">
        <x:v>45556</x:v>
      </x:c>
      <x:c r="E5341" s="9" t="n">
        <x:v>1552000</x:v>
      </x:c>
      <x:c r="F5341" s="9" t="n">
        <x:v>0</x:v>
      </x:c>
    </x:row>
    <x:row r="5342" ht="34" customHeight="1">
      <x:c r="A5342" s="4" t="str">
        <x:v>RS-02684-I1</x:v>
      </x:c>
      <x:c r="B5342" s="4" t="str">
        <x:v>RS-02684</x:v>
      </x:c>
      <x:c r="C5342" s="9" t="n">
        <x:v>1</x:v>
      </x:c>
      <x:c r="D5342" s="8" t="n">
        <x:v>45467</x:v>
      </x:c>
      <x:c r="E5342" s="9" t="n">
        <x:v>866250</x:v>
      </x:c>
      <x:c r="F5342" s="9" t="n">
        <x:v>866250</x:v>
      </x:c>
    </x:row>
    <x:row r="5343" ht="34" customHeight="1">
      <x:c r="A5343" s="4" t="str">
        <x:v>RS-02684-I2</x:v>
      </x:c>
      <x:c r="B5343" s="4" t="str">
        <x:v>RS-02684</x:v>
      </x:c>
      <x:c r="C5343" s="9" t="n">
        <x:v>2</x:v>
      </x:c>
      <x:c r="D5343" s="8" t="n">
        <x:v>45497</x:v>
      </x:c>
      <x:c r="E5343" s="9" t="n">
        <x:v>866250</x:v>
      </x:c>
      <x:c r="F5343" s="9" t="n">
        <x:v>866250</x:v>
      </x:c>
    </x:row>
    <x:row r="5344" ht="34" customHeight="1">
      <x:c r="A5344" s="4" t="str">
        <x:v>RS-02684-I3</x:v>
      </x:c>
      <x:c r="B5344" s="4" t="str">
        <x:v>RS-02684</x:v>
      </x:c>
      <x:c r="C5344" s="9" t="n">
        <x:v>3</x:v>
      </x:c>
      <x:c r="D5344" s="8" t="n">
        <x:v>45527</x:v>
      </x:c>
      <x:c r="E5344" s="9" t="n">
        <x:v>866250</x:v>
      </x:c>
      <x:c r="F5344" s="9" t="n">
        <x:v>0</x:v>
      </x:c>
    </x:row>
    <x:row r="5345" ht="34" customHeight="1">
      <x:c r="A5345" s="4" t="str">
        <x:v>RS-02684-I4</x:v>
      </x:c>
      <x:c r="B5345" s="4" t="str">
        <x:v>RS-02684</x:v>
      </x:c>
      <x:c r="C5345" s="9" t="n">
        <x:v>4</x:v>
      </x:c>
      <x:c r="D5345" s="8" t="n">
        <x:v>45557</x:v>
      </x:c>
      <x:c r="E5345" s="9" t="n">
        <x:v>866250</x:v>
      </x:c>
      <x:c r="F5345" s="9" t="n">
        <x:v>0</x:v>
      </x:c>
    </x:row>
    <x:row r="5346" ht="34" customHeight="1">
      <x:c r="A5346" s="4" t="str">
        <x:v>RS-02686-I1</x:v>
      </x:c>
      <x:c r="B5346" s="4" t="str">
        <x:v>RS-02686</x:v>
      </x:c>
      <x:c r="C5346" s="9" t="n">
        <x:v>1</x:v>
      </x:c>
      <x:c r="D5346" s="8" t="n">
        <x:v>45469</x:v>
      </x:c>
      <x:c r="E5346" s="9" t="n">
        <x:v>4138500</x:v>
      </x:c>
      <x:c r="F5346" s="9" t="n">
        <x:v>4138500</x:v>
      </x:c>
    </x:row>
    <x:row r="5347" ht="34" customHeight="1">
      <x:c r="A5347" s="4" t="str">
        <x:v>RS-02686-I2</x:v>
      </x:c>
      <x:c r="B5347" s="4" t="str">
        <x:v>RS-02686</x:v>
      </x:c>
      <x:c r="C5347" s="9" t="n">
        <x:v>2</x:v>
      </x:c>
      <x:c r="D5347" s="8" t="n">
        <x:v>45499</x:v>
      </x:c>
      <x:c r="E5347" s="9" t="n">
        <x:v>4138500</x:v>
      </x:c>
      <x:c r="F5347" s="9" t="n">
        <x:v>4138500</x:v>
      </x:c>
    </x:row>
    <x:row r="5348" ht="34" customHeight="1">
      <x:c r="A5348" s="4" t="str">
        <x:v>RS-02686-I3</x:v>
      </x:c>
      <x:c r="B5348" s="4" t="str">
        <x:v>RS-02686</x:v>
      </x:c>
      <x:c r="C5348" s="9" t="n">
        <x:v>3</x:v>
      </x:c>
      <x:c r="D5348" s="8" t="n">
        <x:v>45529</x:v>
      </x:c>
      <x:c r="E5348" s="9" t="n">
        <x:v>4138500</x:v>
      </x:c>
      <x:c r="F5348" s="9" t="n">
        <x:v>4138500</x:v>
      </x:c>
    </x:row>
    <x:row r="5349" ht="34" customHeight="1">
      <x:c r="A5349" s="4" t="str">
        <x:v>RS-02686-I4</x:v>
      </x:c>
      <x:c r="B5349" s="4" t="str">
        <x:v>RS-02686</x:v>
      </x:c>
      <x:c r="C5349" s="9" t="n">
        <x:v>4</x:v>
      </x:c>
      <x:c r="D5349" s="8" t="n">
        <x:v>45559</x:v>
      </x:c>
      <x:c r="E5349" s="9" t="n">
        <x:v>4138500</x:v>
      </x:c>
      <x:c r="F5349" s="9" t="n">
        <x:v>4138500</x:v>
      </x:c>
    </x:row>
    <x:row r="5350" ht="34" customHeight="1">
      <x:c r="A5350" s="4" t="str">
        <x:v>RS-02687-I1</x:v>
      </x:c>
      <x:c r="B5350" s="4" t="str">
        <x:v>RS-02687</x:v>
      </x:c>
      <x:c r="C5350" s="9" t="n">
        <x:v>1</x:v>
      </x:c>
      <x:c r="D5350" s="8" t="n">
        <x:v>45470</x:v>
      </x:c>
      <x:c r="E5350" s="9" t="n">
        <x:v>2303750</x:v>
      </x:c>
      <x:c r="F5350" s="9" t="n">
        <x:v>921500</x:v>
      </x:c>
    </x:row>
    <x:row r="5351" ht="34" customHeight="1">
      <x:c r="A5351" s="4" t="str">
        <x:v>RS-02687-I2</x:v>
      </x:c>
      <x:c r="B5351" s="4" t="str">
        <x:v>RS-02687</x:v>
      </x:c>
      <x:c r="C5351" s="9" t="n">
        <x:v>2</x:v>
      </x:c>
      <x:c r="D5351" s="8" t="n">
        <x:v>45500</x:v>
      </x:c>
      <x:c r="E5351" s="9" t="n">
        <x:v>2303750</x:v>
      </x:c>
      <x:c r="F5351" s="9" t="n">
        <x:v>0</x:v>
      </x:c>
    </x:row>
    <x:row r="5352" ht="34" customHeight="1">
      <x:c r="A5352" s="4" t="str">
        <x:v>RS-02687-I3</x:v>
      </x:c>
      <x:c r="B5352" s="4" t="str">
        <x:v>RS-02687</x:v>
      </x:c>
      <x:c r="C5352" s="9" t="n">
        <x:v>3</x:v>
      </x:c>
      <x:c r="D5352" s="8" t="n">
        <x:v>45530</x:v>
      </x:c>
      <x:c r="E5352" s="9" t="n">
        <x:v>2303750</x:v>
      </x:c>
      <x:c r="F5352" s="9" t="n">
        <x:v>0</x:v>
      </x:c>
    </x:row>
    <x:row r="5353" ht="34" customHeight="1">
      <x:c r="A5353" s="4" t="str">
        <x:v>RS-02687-I4</x:v>
      </x:c>
      <x:c r="B5353" s="4" t="str">
        <x:v>RS-02687</x:v>
      </x:c>
      <x:c r="C5353" s="9" t="n">
        <x:v>4</x:v>
      </x:c>
      <x:c r="D5353" s="8" t="n">
        <x:v>45560</x:v>
      </x:c>
      <x:c r="E5353" s="9" t="n">
        <x:v>2303750</x:v>
      </x:c>
      <x:c r="F5353" s="9" t="n">
        <x:v>0</x:v>
      </x:c>
    </x:row>
    <x:row r="5354" ht="34" customHeight="1">
      <x:c r="A5354" s="4" t="str">
        <x:v>RS-02688-I1</x:v>
      </x:c>
      <x:c r="B5354" s="4" t="str">
        <x:v>RS-02688</x:v>
      </x:c>
      <x:c r="C5354" s="9" t="n">
        <x:v>1</x:v>
      </x:c>
      <x:c r="D5354" s="8" t="n">
        <x:v>45471</x:v>
      </x:c>
      <x:c r="E5354" s="9" t="n">
        <x:v>5929000</x:v>
      </x:c>
      <x:c r="F5354" s="9" t="n">
        <x:v>5929000</x:v>
      </x:c>
    </x:row>
    <x:row r="5355" ht="34" customHeight="1">
      <x:c r="A5355" s="4" t="str">
        <x:v>RS-02688-I2</x:v>
      </x:c>
      <x:c r="B5355" s="4" t="str">
        <x:v>RS-02688</x:v>
      </x:c>
      <x:c r="C5355" s="9" t="n">
        <x:v>2</x:v>
      </x:c>
      <x:c r="D5355" s="8" t="n">
        <x:v>45501</x:v>
      </x:c>
      <x:c r="E5355" s="9" t="n">
        <x:v>5929000</x:v>
      </x:c>
      <x:c r="F5355" s="9" t="n">
        <x:v>5929000</x:v>
      </x:c>
    </x:row>
    <x:row r="5356" ht="34" customHeight="1">
      <x:c r="A5356" s="4" t="str">
        <x:v>RS-02688-I3</x:v>
      </x:c>
      <x:c r="B5356" s="4" t="str">
        <x:v>RS-02688</x:v>
      </x:c>
      <x:c r="C5356" s="9" t="n">
        <x:v>3</x:v>
      </x:c>
      <x:c r="D5356" s="8" t="n">
        <x:v>45531</x:v>
      </x:c>
      <x:c r="E5356" s="9" t="n">
        <x:v>5929000</x:v>
      </x:c>
      <x:c r="F5356" s="9" t="n">
        <x:v>5929000</x:v>
      </x:c>
    </x:row>
    <x:row r="5357" ht="34" customHeight="1">
      <x:c r="A5357" s="4" t="str">
        <x:v>RS-02688-I4</x:v>
      </x:c>
      <x:c r="B5357" s="4" t="str">
        <x:v>RS-02688</x:v>
      </x:c>
      <x:c r="C5357" s="9" t="n">
        <x:v>4</x:v>
      </x:c>
      <x:c r="D5357" s="8" t="n">
        <x:v>45561</x:v>
      </x:c>
      <x:c r="E5357" s="9" t="n">
        <x:v>5929000</x:v>
      </x:c>
      <x:c r="F5357" s="9" t="n">
        <x:v>5929000</x:v>
      </x:c>
    </x:row>
    <x:row r="5358" ht="34" customHeight="1">
      <x:c r="A5358" s="4" t="str">
        <x:v>RS-02689-I1</x:v>
      </x:c>
      <x:c r="B5358" s="4" t="str">
        <x:v>RS-02689</x:v>
      </x:c>
      <x:c r="C5358" s="9" t="n">
        <x:v>1</x:v>
      </x:c>
      <x:c r="D5358" s="8" t="n">
        <x:v>45444</x:v>
      </x:c>
      <x:c r="E5358" s="9" t="n">
        <x:v>792000</x:v>
      </x:c>
      <x:c r="F5358" s="9" t="n">
        <x:v>792000</x:v>
      </x:c>
    </x:row>
    <x:row r="5359" ht="34" customHeight="1">
      <x:c r="A5359" s="4" t="str">
        <x:v>RS-02689-I2</x:v>
      </x:c>
      <x:c r="B5359" s="4" t="str">
        <x:v>RS-02689</x:v>
      </x:c>
      <x:c r="C5359" s="9" t="n">
        <x:v>2</x:v>
      </x:c>
      <x:c r="D5359" s="8" t="n">
        <x:v>45474</x:v>
      </x:c>
      <x:c r="E5359" s="9" t="n">
        <x:v>792000</x:v>
      </x:c>
      <x:c r="F5359" s="9" t="n">
        <x:v>0</x:v>
      </x:c>
    </x:row>
    <x:row r="5360" ht="34" customHeight="1">
      <x:c r="A5360" s="4" t="str">
        <x:v>RS-02689-I3</x:v>
      </x:c>
      <x:c r="B5360" s="4" t="str">
        <x:v>RS-02689</x:v>
      </x:c>
      <x:c r="C5360" s="9" t="n">
        <x:v>3</x:v>
      </x:c>
      <x:c r="D5360" s="8" t="n">
        <x:v>45504</x:v>
      </x:c>
      <x:c r="E5360" s="9" t="n">
        <x:v>792000</x:v>
      </x:c>
      <x:c r="F5360" s="9" t="n">
        <x:v>0</x:v>
      </x:c>
    </x:row>
    <x:row r="5361" ht="34" customHeight="1">
      <x:c r="A5361" s="4" t="str">
        <x:v>RS-02689-I4</x:v>
      </x:c>
      <x:c r="B5361" s="4" t="str">
        <x:v>RS-02689</x:v>
      </x:c>
      <x:c r="C5361" s="9" t="n">
        <x:v>4</x:v>
      </x:c>
      <x:c r="D5361" s="8" t="n">
        <x:v>45534</x:v>
      </x:c>
      <x:c r="E5361" s="9" t="n">
        <x:v>792000</x:v>
      </x:c>
      <x:c r="F5361" s="9" t="n">
        <x:v>0</x:v>
      </x:c>
    </x:row>
    <x:row r="5362" ht="34" customHeight="1">
      <x:c r="A5362" s="4" t="str">
        <x:v>RS-02694-I1</x:v>
      </x:c>
      <x:c r="B5362" s="4" t="str">
        <x:v>RS-02694</x:v>
      </x:c>
      <x:c r="C5362" s="9" t="n">
        <x:v>1</x:v>
      </x:c>
      <x:c r="D5362" s="8" t="n">
        <x:v>45449</x:v>
      </x:c>
      <x:c r="E5362" s="9" t="n">
        <x:v>4200000</x:v>
      </x:c>
      <x:c r="F5362" s="9" t="n">
        <x:v>4200000</x:v>
      </x:c>
    </x:row>
    <x:row r="5363" ht="34" customHeight="1">
      <x:c r="A5363" s="4" t="str">
        <x:v>RS-02694-I2</x:v>
      </x:c>
      <x:c r="B5363" s="4" t="str">
        <x:v>RS-02694</x:v>
      </x:c>
      <x:c r="C5363" s="9" t="n">
        <x:v>2</x:v>
      </x:c>
      <x:c r="D5363" s="8" t="n">
        <x:v>45479</x:v>
      </x:c>
      <x:c r="E5363" s="9" t="n">
        <x:v>4200000</x:v>
      </x:c>
      <x:c r="F5363" s="9" t="n">
        <x:v>4200000</x:v>
      </x:c>
    </x:row>
    <x:row r="5364" ht="34" customHeight="1">
      <x:c r="A5364" s="4" t="str">
        <x:v>RS-02694-I3</x:v>
      </x:c>
      <x:c r="B5364" s="4" t="str">
        <x:v>RS-02694</x:v>
      </x:c>
      <x:c r="C5364" s="9" t="n">
        <x:v>3</x:v>
      </x:c>
      <x:c r="D5364" s="8" t="n">
        <x:v>45509</x:v>
      </x:c>
      <x:c r="E5364" s="9" t="n">
        <x:v>4200000</x:v>
      </x:c>
      <x:c r="F5364" s="9" t="n">
        <x:v>0</x:v>
      </x:c>
    </x:row>
    <x:row r="5365" ht="34" customHeight="1">
      <x:c r="A5365" s="4" t="str">
        <x:v>RS-02694-I4</x:v>
      </x:c>
      <x:c r="B5365" s="4" t="str">
        <x:v>RS-02694</x:v>
      </x:c>
      <x:c r="C5365" s="9" t="n">
        <x:v>4</x:v>
      </x:c>
      <x:c r="D5365" s="8" t="n">
        <x:v>45539</x:v>
      </x:c>
      <x:c r="E5365" s="9" t="n">
        <x:v>4200000</x:v>
      </x:c>
      <x:c r="F5365" s="9" t="n">
        <x:v>0</x:v>
      </x:c>
    </x:row>
    <x:row r="5366" ht="34" customHeight="1">
      <x:c r="A5366" s="4" t="str">
        <x:v>RS-02696-I1</x:v>
      </x:c>
      <x:c r="B5366" s="4" t="str">
        <x:v>RS-02696</x:v>
      </x:c>
      <x:c r="C5366" s="9" t="n">
        <x:v>1</x:v>
      </x:c>
      <x:c r="D5366" s="8" t="n">
        <x:v>45451</x:v>
      </x:c>
      <x:c r="E5366" s="9" t="n">
        <x:v>5384500</x:v>
      </x:c>
      <x:c r="F5366" s="9" t="n">
        <x:v>5384500</x:v>
      </x:c>
    </x:row>
    <x:row r="5367" ht="34" customHeight="1">
      <x:c r="A5367" s="4" t="str">
        <x:v>RS-02696-I2</x:v>
      </x:c>
      <x:c r="B5367" s="4" t="str">
        <x:v>RS-02696</x:v>
      </x:c>
      <x:c r="C5367" s="9" t="n">
        <x:v>2</x:v>
      </x:c>
      <x:c r="D5367" s="8" t="n">
        <x:v>45481</x:v>
      </x:c>
      <x:c r="E5367" s="9" t="n">
        <x:v>5384500</x:v>
      </x:c>
      <x:c r="F5367" s="9" t="n">
        <x:v>0</x:v>
      </x:c>
    </x:row>
    <x:row r="5368" ht="34" customHeight="1">
      <x:c r="A5368" s="4" t="str">
        <x:v>RS-02696-I3</x:v>
      </x:c>
      <x:c r="B5368" s="4" t="str">
        <x:v>RS-02696</x:v>
      </x:c>
      <x:c r="C5368" s="9" t="n">
        <x:v>3</x:v>
      </x:c>
      <x:c r="D5368" s="8" t="n">
        <x:v>45511</x:v>
      </x:c>
      <x:c r="E5368" s="9" t="n">
        <x:v>5384500</x:v>
      </x:c>
      <x:c r="F5368" s="9" t="n">
        <x:v>0</x:v>
      </x:c>
    </x:row>
    <x:row r="5369" ht="34" customHeight="1">
      <x:c r="A5369" s="4" t="str">
        <x:v>RS-02696-I4</x:v>
      </x:c>
      <x:c r="B5369" s="4" t="str">
        <x:v>RS-02696</x:v>
      </x:c>
      <x:c r="C5369" s="9" t="n">
        <x:v>4</x:v>
      </x:c>
      <x:c r="D5369" s="8" t="n">
        <x:v>45541</x:v>
      </x:c>
      <x:c r="E5369" s="9" t="n">
        <x:v>5384500</x:v>
      </x:c>
      <x:c r="F5369" s="9" t="n">
        <x:v>0</x:v>
      </x:c>
    </x:row>
    <x:row r="5370" ht="34" customHeight="1">
      <x:c r="A5370" s="4" t="str">
        <x:v>RS-02700-I1</x:v>
      </x:c>
      <x:c r="B5370" s="4" t="str">
        <x:v>RS-02700</x:v>
      </x:c>
      <x:c r="C5370" s="9" t="n">
        <x:v>1</x:v>
      </x:c>
      <x:c r="D5370" s="8" t="n">
        <x:v>45455</x:v>
      </x:c>
      <x:c r="E5370" s="9" t="n">
        <x:v>5164250</x:v>
      </x:c>
      <x:c r="F5370" s="9" t="n">
        <x:v>5164250</x:v>
      </x:c>
    </x:row>
    <x:row r="5371" ht="34" customHeight="1">
      <x:c r="A5371" s="4" t="str">
        <x:v>RS-02700-I2</x:v>
      </x:c>
      <x:c r="B5371" s="4" t="str">
        <x:v>RS-02700</x:v>
      </x:c>
      <x:c r="C5371" s="9" t="n">
        <x:v>2</x:v>
      </x:c>
      <x:c r="D5371" s="8" t="n">
        <x:v>45485</x:v>
      </x:c>
      <x:c r="E5371" s="9" t="n">
        <x:v>5164250</x:v>
      </x:c>
      <x:c r="F5371" s="9" t="n">
        <x:v>0</x:v>
      </x:c>
    </x:row>
    <x:row r="5372" ht="34" customHeight="1">
      <x:c r="A5372" s="4" t="str">
        <x:v>RS-02700-I3</x:v>
      </x:c>
      <x:c r="B5372" s="4" t="str">
        <x:v>RS-02700</x:v>
      </x:c>
      <x:c r="C5372" s="9" t="n">
        <x:v>3</x:v>
      </x:c>
      <x:c r="D5372" s="8" t="n">
        <x:v>45515</x:v>
      </x:c>
      <x:c r="E5372" s="9" t="n">
        <x:v>5164250</x:v>
      </x:c>
      <x:c r="F5372" s="9" t="n">
        <x:v>0</x:v>
      </x:c>
    </x:row>
    <x:row r="5373" ht="34" customHeight="1">
      <x:c r="A5373" s="4" t="str">
        <x:v>RS-02700-I4</x:v>
      </x:c>
      <x:c r="B5373" s="4" t="str">
        <x:v>RS-02700</x:v>
      </x:c>
      <x:c r="C5373" s="9" t="n">
        <x:v>4</x:v>
      </x:c>
      <x:c r="D5373" s="8" t="n">
        <x:v>45545</x:v>
      </x:c>
      <x:c r="E5373" s="9" t="n">
        <x:v>5164250</x:v>
      </x:c>
      <x:c r="F5373" s="9" t="n">
        <x:v>0</x:v>
      </x:c>
    </x:row>
    <x:row r="5374" ht="34" customHeight="1">
      <x:c r="A5374" s="4" t="str">
        <x:v>RS-02702-I1</x:v>
      </x:c>
      <x:c r="B5374" s="4" t="str">
        <x:v>RS-02702</x:v>
      </x:c>
      <x:c r="C5374" s="9" t="n">
        <x:v>1</x:v>
      </x:c>
      <x:c r="D5374" s="8" t="n">
        <x:v>45457</x:v>
      </x:c>
      <x:c r="E5374" s="9" t="n">
        <x:v>1552500</x:v>
      </x:c>
      <x:c r="F5374" s="9" t="n">
        <x:v>1552500</x:v>
      </x:c>
    </x:row>
    <x:row r="5375" ht="34" customHeight="1">
      <x:c r="A5375" s="4" t="str">
        <x:v>RS-02702-I2</x:v>
      </x:c>
      <x:c r="B5375" s="4" t="str">
        <x:v>RS-02702</x:v>
      </x:c>
      <x:c r="C5375" s="9" t="n">
        <x:v>2</x:v>
      </x:c>
      <x:c r="D5375" s="8" t="n">
        <x:v>45487</x:v>
      </x:c>
      <x:c r="E5375" s="9" t="n">
        <x:v>1552500</x:v>
      </x:c>
      <x:c r="F5375" s="9" t="n">
        <x:v>1552500</x:v>
      </x:c>
    </x:row>
    <x:row r="5376" ht="34" customHeight="1">
      <x:c r="A5376" s="4" t="str">
        <x:v>RS-02702-I3</x:v>
      </x:c>
      <x:c r="B5376" s="4" t="str">
        <x:v>RS-02702</x:v>
      </x:c>
      <x:c r="C5376" s="9" t="n">
        <x:v>3</x:v>
      </x:c>
      <x:c r="D5376" s="8" t="n">
        <x:v>45517</x:v>
      </x:c>
      <x:c r="E5376" s="9" t="n">
        <x:v>1552500</x:v>
      </x:c>
      <x:c r="F5376" s="9" t="n">
        <x:v>0</x:v>
      </x:c>
    </x:row>
    <x:row r="5377" ht="34" customHeight="1">
      <x:c r="A5377" s="4" t="str">
        <x:v>RS-02702-I4</x:v>
      </x:c>
      <x:c r="B5377" s="4" t="str">
        <x:v>RS-02702</x:v>
      </x:c>
      <x:c r="C5377" s="9" t="n">
        <x:v>4</x:v>
      </x:c>
      <x:c r="D5377" s="8" t="n">
        <x:v>45547</x:v>
      </x:c>
      <x:c r="E5377" s="9" t="n">
        <x:v>1552500</x:v>
      </x:c>
      <x:c r="F5377" s="9" t="n">
        <x:v>0</x:v>
      </x:c>
    </x:row>
    <x:row r="5378" ht="34" customHeight="1">
      <x:c r="A5378" s="4" t="str">
        <x:v>RS-02703-I1</x:v>
      </x:c>
      <x:c r="B5378" s="4" t="str">
        <x:v>RS-02703</x:v>
      </x:c>
      <x:c r="C5378" s="9" t="n">
        <x:v>1</x:v>
      </x:c>
      <x:c r="D5378" s="8" t="n">
        <x:v>45458</x:v>
      </x:c>
      <x:c r="E5378" s="9" t="n">
        <x:v>2093000</x:v>
      </x:c>
      <x:c r="F5378" s="9" t="n">
        <x:v>2093000</x:v>
      </x:c>
    </x:row>
    <x:row r="5379" ht="34" customHeight="1">
      <x:c r="A5379" s="4" t="str">
        <x:v>RS-02703-I2</x:v>
      </x:c>
      <x:c r="B5379" s="4" t="str">
        <x:v>RS-02703</x:v>
      </x:c>
      <x:c r="C5379" s="9" t="n">
        <x:v>2</x:v>
      </x:c>
      <x:c r="D5379" s="8" t="n">
        <x:v>45488</x:v>
      </x:c>
      <x:c r="E5379" s="9" t="n">
        <x:v>2093000</x:v>
      </x:c>
      <x:c r="F5379" s="9" t="n">
        <x:v>2093000</x:v>
      </x:c>
    </x:row>
    <x:row r="5380" ht="34" customHeight="1">
      <x:c r="A5380" s="4" t="str">
        <x:v>RS-02703-I3</x:v>
      </x:c>
      <x:c r="B5380" s="4" t="str">
        <x:v>RS-02703</x:v>
      </x:c>
      <x:c r="C5380" s="9" t="n">
        <x:v>3</x:v>
      </x:c>
      <x:c r="D5380" s="8" t="n">
        <x:v>45518</x:v>
      </x:c>
      <x:c r="E5380" s="9" t="n">
        <x:v>2093000</x:v>
      </x:c>
      <x:c r="F5380" s="9" t="n">
        <x:v>0</x:v>
      </x:c>
    </x:row>
    <x:row r="5381" ht="34" customHeight="1">
      <x:c r="A5381" s="4" t="str">
        <x:v>RS-02703-I4</x:v>
      </x:c>
      <x:c r="B5381" s="4" t="str">
        <x:v>RS-02703</x:v>
      </x:c>
      <x:c r="C5381" s="9" t="n">
        <x:v>4</x:v>
      </x:c>
      <x:c r="D5381" s="8" t="n">
        <x:v>45548</x:v>
      </x:c>
      <x:c r="E5381" s="9" t="n">
        <x:v>2093000</x:v>
      </x:c>
      <x:c r="F5381" s="9" t="n">
        <x:v>0</x:v>
      </x:c>
    </x:row>
    <x:row r="5382" ht="34" customHeight="1">
      <x:c r="A5382" s="4" t="str">
        <x:v>RS-02704-I1</x:v>
      </x:c>
      <x:c r="B5382" s="4" t="str">
        <x:v>RS-02704</x:v>
      </x:c>
      <x:c r="C5382" s="9" t="n">
        <x:v>1</x:v>
      </x:c>
      <x:c r="D5382" s="8" t="n">
        <x:v>45459</x:v>
      </x:c>
      <x:c r="E5382" s="9" t="n">
        <x:v>5247000</x:v>
      </x:c>
      <x:c r="F5382" s="9" t="n">
        <x:v>5247000</x:v>
      </x:c>
    </x:row>
    <x:row r="5383" ht="34" customHeight="1">
      <x:c r="A5383" s="4" t="str">
        <x:v>RS-02704-I2</x:v>
      </x:c>
      <x:c r="B5383" s="4" t="str">
        <x:v>RS-02704</x:v>
      </x:c>
      <x:c r="C5383" s="9" t="n">
        <x:v>2</x:v>
      </x:c>
      <x:c r="D5383" s="8" t="n">
        <x:v>45489</x:v>
      </x:c>
      <x:c r="E5383" s="9" t="n">
        <x:v>5247000</x:v>
      </x:c>
      <x:c r="F5383" s="9" t="n">
        <x:v>5247000</x:v>
      </x:c>
    </x:row>
    <x:row r="5384" ht="34" customHeight="1">
      <x:c r="A5384" s="4" t="str">
        <x:v>RS-02704-I3</x:v>
      </x:c>
      <x:c r="B5384" s="4" t="str">
        <x:v>RS-02704</x:v>
      </x:c>
      <x:c r="C5384" s="9" t="n">
        <x:v>3</x:v>
      </x:c>
      <x:c r="D5384" s="8" t="n">
        <x:v>45519</x:v>
      </x:c>
      <x:c r="E5384" s="9" t="n">
        <x:v>5247000</x:v>
      </x:c>
      <x:c r="F5384" s="9" t="n">
        <x:v>5247000</x:v>
      </x:c>
    </x:row>
    <x:row r="5385" ht="34" customHeight="1">
      <x:c r="A5385" s="4" t="str">
        <x:v>RS-02704-I4</x:v>
      </x:c>
      <x:c r="B5385" s="4" t="str">
        <x:v>RS-02704</x:v>
      </x:c>
      <x:c r="C5385" s="9" t="n">
        <x:v>4</x:v>
      </x:c>
      <x:c r="D5385" s="8" t="n">
        <x:v>45549</x:v>
      </x:c>
      <x:c r="E5385" s="9" t="n">
        <x:v>5247000</x:v>
      </x:c>
      <x:c r="F5385" s="9" t="n">
        <x:v>5247000</x:v>
      </x:c>
    </x:row>
    <x:row r="5386" ht="34" customHeight="1">
      <x:c r="A5386" s="4" t="str">
        <x:v>RS-02707-I1</x:v>
      </x:c>
      <x:c r="B5386" s="4" t="str">
        <x:v>RS-02707</x:v>
      </x:c>
      <x:c r="C5386" s="9" t="n">
        <x:v>1</x:v>
      </x:c>
      <x:c r="D5386" s="8" t="n">
        <x:v>45462</x:v>
      </x:c>
      <x:c r="E5386" s="9" t="n">
        <x:v>2813000</x:v>
      </x:c>
      <x:c r="F5386" s="9" t="n">
        <x:v>1125200</x:v>
      </x:c>
    </x:row>
    <x:row r="5387" ht="34" customHeight="1">
      <x:c r="A5387" s="4" t="str">
        <x:v>RS-02707-I2</x:v>
      </x:c>
      <x:c r="B5387" s="4" t="str">
        <x:v>RS-02707</x:v>
      </x:c>
      <x:c r="C5387" s="9" t="n">
        <x:v>2</x:v>
      </x:c>
      <x:c r="D5387" s="8" t="n">
        <x:v>45492</x:v>
      </x:c>
      <x:c r="E5387" s="9" t="n">
        <x:v>2813000</x:v>
      </x:c>
      <x:c r="F5387" s="9" t="n">
        <x:v>0</x:v>
      </x:c>
    </x:row>
    <x:row r="5388" ht="34" customHeight="1">
      <x:c r="A5388" s="4" t="str">
        <x:v>RS-02707-I3</x:v>
      </x:c>
      <x:c r="B5388" s="4" t="str">
        <x:v>RS-02707</x:v>
      </x:c>
      <x:c r="C5388" s="9" t="n">
        <x:v>3</x:v>
      </x:c>
      <x:c r="D5388" s="8" t="n">
        <x:v>45522</x:v>
      </x:c>
      <x:c r="E5388" s="9" t="n">
        <x:v>2813000</x:v>
      </x:c>
      <x:c r="F5388" s="9" t="n">
        <x:v>0</x:v>
      </x:c>
    </x:row>
    <x:row r="5389" ht="34" customHeight="1">
      <x:c r="A5389" s="4" t="str">
        <x:v>RS-02707-I4</x:v>
      </x:c>
      <x:c r="B5389" s="4" t="str">
        <x:v>RS-02707</x:v>
      </x:c>
      <x:c r="C5389" s="9" t="n">
        <x:v>4</x:v>
      </x:c>
      <x:c r="D5389" s="8" t="n">
        <x:v>45552</x:v>
      </x:c>
      <x:c r="E5389" s="9" t="n">
        <x:v>2813000</x:v>
      </x:c>
      <x:c r="F5389" s="9" t="n">
        <x:v>0</x:v>
      </x:c>
    </x:row>
    <x:row r="5390" ht="34" customHeight="1">
      <x:c r="A5390" s="4" t="str">
        <x:v>RS-02710-I1</x:v>
      </x:c>
      <x:c r="B5390" s="4" t="str">
        <x:v>RS-02710</x:v>
      </x:c>
      <x:c r="C5390" s="9" t="n">
        <x:v>1</x:v>
      </x:c>
      <x:c r="D5390" s="8" t="n">
        <x:v>45465</x:v>
      </x:c>
      <x:c r="E5390" s="9" t="n">
        <x:v>5448000</x:v>
      </x:c>
      <x:c r="F5390" s="9" t="n">
        <x:v>5448000</x:v>
      </x:c>
    </x:row>
    <x:row r="5391" ht="34" customHeight="1">
      <x:c r="A5391" s="4" t="str">
        <x:v>RS-02710-I2</x:v>
      </x:c>
      <x:c r="B5391" s="4" t="str">
        <x:v>RS-02710</x:v>
      </x:c>
      <x:c r="C5391" s="9" t="n">
        <x:v>2</x:v>
      </x:c>
      <x:c r="D5391" s="8" t="n">
        <x:v>45495</x:v>
      </x:c>
      <x:c r="E5391" s="9" t="n">
        <x:v>5448000</x:v>
      </x:c>
      <x:c r="F5391" s="9" t="n">
        <x:v>5448000</x:v>
      </x:c>
    </x:row>
    <x:row r="5392" ht="34" customHeight="1">
      <x:c r="A5392" s="4" t="str">
        <x:v>RS-02710-I3</x:v>
      </x:c>
      <x:c r="B5392" s="4" t="str">
        <x:v>RS-02710</x:v>
      </x:c>
      <x:c r="C5392" s="9" t="n">
        <x:v>3</x:v>
      </x:c>
      <x:c r="D5392" s="8" t="n">
        <x:v>45525</x:v>
      </x:c>
      <x:c r="E5392" s="9" t="n">
        <x:v>5448000</x:v>
      </x:c>
      <x:c r="F5392" s="9" t="n">
        <x:v>0</x:v>
      </x:c>
    </x:row>
    <x:row r="5393" ht="34" customHeight="1">
      <x:c r="A5393" s="4" t="str">
        <x:v>RS-02710-I4</x:v>
      </x:c>
      <x:c r="B5393" s="4" t="str">
        <x:v>RS-02710</x:v>
      </x:c>
      <x:c r="C5393" s="9" t="n">
        <x:v>4</x:v>
      </x:c>
      <x:c r="D5393" s="8" t="n">
        <x:v>45555</x:v>
      </x:c>
      <x:c r="E5393" s="9" t="n">
        <x:v>5448000</x:v>
      </x:c>
      <x:c r="F5393" s="9" t="n">
        <x:v>0</x:v>
      </x:c>
    </x:row>
    <x:row r="5394" ht="34" customHeight="1">
      <x:c r="A5394" s="4" t="str">
        <x:v>RS-02711-I1</x:v>
      </x:c>
      <x:c r="B5394" s="4" t="str">
        <x:v>RS-02711</x:v>
      </x:c>
      <x:c r="C5394" s="9" t="n">
        <x:v>1</x:v>
      </x:c>
      <x:c r="D5394" s="8" t="n">
        <x:v>45466</x:v>
      </x:c>
      <x:c r="E5394" s="9" t="n">
        <x:v>1662500</x:v>
      </x:c>
      <x:c r="F5394" s="9" t="n">
        <x:v>1662500</x:v>
      </x:c>
    </x:row>
    <x:row r="5395" ht="34" customHeight="1">
      <x:c r="A5395" s="4" t="str">
        <x:v>RS-02711-I2</x:v>
      </x:c>
      <x:c r="B5395" s="4" t="str">
        <x:v>RS-02711</x:v>
      </x:c>
      <x:c r="C5395" s="9" t="n">
        <x:v>2</x:v>
      </x:c>
      <x:c r="D5395" s="8" t="n">
        <x:v>45496</x:v>
      </x:c>
      <x:c r="E5395" s="9" t="n">
        <x:v>1662500</x:v>
      </x:c>
      <x:c r="F5395" s="9" t="n">
        <x:v>0</x:v>
      </x:c>
    </x:row>
    <x:row r="5396" ht="34" customHeight="1">
      <x:c r="A5396" s="4" t="str">
        <x:v>RS-02711-I3</x:v>
      </x:c>
      <x:c r="B5396" s="4" t="str">
        <x:v>RS-02711</x:v>
      </x:c>
      <x:c r="C5396" s="9" t="n">
        <x:v>3</x:v>
      </x:c>
      <x:c r="D5396" s="8" t="n">
        <x:v>45526</x:v>
      </x:c>
      <x:c r="E5396" s="9" t="n">
        <x:v>1662500</x:v>
      </x:c>
      <x:c r="F5396" s="9" t="n">
        <x:v>0</x:v>
      </x:c>
    </x:row>
    <x:row r="5397" ht="34" customHeight="1">
      <x:c r="A5397" s="4" t="str">
        <x:v>RS-02711-I4</x:v>
      </x:c>
      <x:c r="B5397" s="4" t="str">
        <x:v>RS-02711</x:v>
      </x:c>
      <x:c r="C5397" s="9" t="n">
        <x:v>4</x:v>
      </x:c>
      <x:c r="D5397" s="8" t="n">
        <x:v>45556</x:v>
      </x:c>
      <x:c r="E5397" s="9" t="n">
        <x:v>1662500</x:v>
      </x:c>
      <x:c r="F5397" s="9" t="n">
        <x:v>0</x:v>
      </x:c>
    </x:row>
    <x:row r="5398" ht="34" customHeight="1">
      <x:c r="A5398" s="4" t="str">
        <x:v>RS-02717-I1</x:v>
      </x:c>
      <x:c r="B5398" s="4" t="str">
        <x:v>RS-02717</x:v>
      </x:c>
      <x:c r="C5398" s="9" t="n">
        <x:v>1</x:v>
      </x:c>
      <x:c r="D5398" s="8" t="n">
        <x:v>45444</x:v>
      </x:c>
      <x:c r="E5398" s="9" t="n">
        <x:v>4631250</x:v>
      </x:c>
      <x:c r="F5398" s="9" t="n">
        <x:v>4631250</x:v>
      </x:c>
    </x:row>
    <x:row r="5399" ht="34" customHeight="1">
      <x:c r="A5399" s="4" t="str">
        <x:v>RS-02717-I2</x:v>
      </x:c>
      <x:c r="B5399" s="4" t="str">
        <x:v>RS-02717</x:v>
      </x:c>
      <x:c r="C5399" s="9" t="n">
        <x:v>2</x:v>
      </x:c>
      <x:c r="D5399" s="8" t="n">
        <x:v>45474</x:v>
      </x:c>
      <x:c r="E5399" s="9" t="n">
        <x:v>4631250</x:v>
      </x:c>
      <x:c r="F5399" s="9" t="n">
        <x:v>4631250</x:v>
      </x:c>
    </x:row>
    <x:row r="5400" ht="34" customHeight="1">
      <x:c r="A5400" s="4" t="str">
        <x:v>RS-02717-I3</x:v>
      </x:c>
      <x:c r="B5400" s="4" t="str">
        <x:v>RS-02717</x:v>
      </x:c>
      <x:c r="C5400" s="9" t="n">
        <x:v>3</x:v>
      </x:c>
      <x:c r="D5400" s="8" t="n">
        <x:v>45504</x:v>
      </x:c>
      <x:c r="E5400" s="9" t="n">
        <x:v>4631250</x:v>
      </x:c>
      <x:c r="F5400" s="9" t="n">
        <x:v>4631250</x:v>
      </x:c>
    </x:row>
    <x:row r="5401" ht="34" customHeight="1">
      <x:c r="A5401" s="4" t="str">
        <x:v>RS-02717-I4</x:v>
      </x:c>
      <x:c r="B5401" s="4" t="str">
        <x:v>RS-02717</x:v>
      </x:c>
      <x:c r="C5401" s="9" t="n">
        <x:v>4</x:v>
      </x:c>
      <x:c r="D5401" s="8" t="n">
        <x:v>45534</x:v>
      </x:c>
      <x:c r="E5401" s="9" t="n">
        <x:v>4631250</x:v>
      </x:c>
      <x:c r="F5401" s="9" t="n">
        <x:v>4631250</x:v>
      </x:c>
    </x:row>
    <x:row r="5402" ht="34" customHeight="1">
      <x:c r="A5402" s="4" t="str">
        <x:v>RS-02719-I1</x:v>
      </x:c>
      <x:c r="B5402" s="4" t="str">
        <x:v>RS-02719</x:v>
      </x:c>
      <x:c r="C5402" s="9" t="n">
        <x:v>1</x:v>
      </x:c>
      <x:c r="D5402" s="8" t="n">
        <x:v>45446</x:v>
      </x:c>
      <x:c r="E5402" s="9" t="n">
        <x:v>1387750</x:v>
      </x:c>
      <x:c r="F5402" s="9" t="n">
        <x:v>1387750</x:v>
      </x:c>
    </x:row>
    <x:row r="5403" ht="34" customHeight="1">
      <x:c r="A5403" s="4" t="str">
        <x:v>RS-02719-I2</x:v>
      </x:c>
      <x:c r="B5403" s="4" t="str">
        <x:v>RS-02719</x:v>
      </x:c>
      <x:c r="C5403" s="9" t="n">
        <x:v>2</x:v>
      </x:c>
      <x:c r="D5403" s="8" t="n">
        <x:v>45476</x:v>
      </x:c>
      <x:c r="E5403" s="9" t="n">
        <x:v>1387750</x:v>
      </x:c>
      <x:c r="F5403" s="9" t="n">
        <x:v>1387750</x:v>
      </x:c>
    </x:row>
    <x:row r="5404" ht="34" customHeight="1">
      <x:c r="A5404" s="4" t="str">
        <x:v>RS-02719-I3</x:v>
      </x:c>
      <x:c r="B5404" s="4" t="str">
        <x:v>RS-02719</x:v>
      </x:c>
      <x:c r="C5404" s="9" t="n">
        <x:v>3</x:v>
      </x:c>
      <x:c r="D5404" s="8" t="n">
        <x:v>45506</x:v>
      </x:c>
      <x:c r="E5404" s="9" t="n">
        <x:v>1387750</x:v>
      </x:c>
      <x:c r="F5404" s="9" t="n">
        <x:v>0</x:v>
      </x:c>
    </x:row>
    <x:row r="5405" ht="34" customHeight="1">
      <x:c r="A5405" s="4" t="str">
        <x:v>RS-02719-I4</x:v>
      </x:c>
      <x:c r="B5405" s="4" t="str">
        <x:v>RS-02719</x:v>
      </x:c>
      <x:c r="C5405" s="9" t="n">
        <x:v>4</x:v>
      </x:c>
      <x:c r="D5405" s="8" t="n">
        <x:v>45536</x:v>
      </x:c>
      <x:c r="E5405" s="9" t="n">
        <x:v>1387750</x:v>
      </x:c>
      <x:c r="F5405" s="9" t="n">
        <x:v>0</x:v>
      </x:c>
    </x:row>
    <x:row r="5406" ht="34" customHeight="1">
      <x:c r="A5406" s="4" t="str">
        <x:v>RS-02720-I1</x:v>
      </x:c>
      <x:c r="B5406" s="4" t="str">
        <x:v>RS-02720</x:v>
      </x:c>
      <x:c r="C5406" s="9" t="n">
        <x:v>1</x:v>
      </x:c>
      <x:c r="D5406" s="8" t="n">
        <x:v>45447</x:v>
      </x:c>
      <x:c r="E5406" s="9" t="n">
        <x:v>2790000</x:v>
      </x:c>
      <x:c r="F5406" s="9" t="n">
        <x:v>2790000</x:v>
      </x:c>
    </x:row>
    <x:row r="5407" ht="34" customHeight="1">
      <x:c r="A5407" s="4" t="str">
        <x:v>RS-02720-I2</x:v>
      </x:c>
      <x:c r="B5407" s="4" t="str">
        <x:v>RS-02720</x:v>
      </x:c>
      <x:c r="C5407" s="9" t="n">
        <x:v>2</x:v>
      </x:c>
      <x:c r="D5407" s="8" t="n">
        <x:v>45477</x:v>
      </x:c>
      <x:c r="E5407" s="9" t="n">
        <x:v>2790000</x:v>
      </x:c>
      <x:c r="F5407" s="9" t="n">
        <x:v>2790000</x:v>
      </x:c>
    </x:row>
    <x:row r="5408" ht="34" customHeight="1">
      <x:c r="A5408" s="4" t="str">
        <x:v>RS-02720-I3</x:v>
      </x:c>
      <x:c r="B5408" s="4" t="str">
        <x:v>RS-02720</x:v>
      </x:c>
      <x:c r="C5408" s="9" t="n">
        <x:v>3</x:v>
      </x:c>
      <x:c r="D5408" s="8" t="n">
        <x:v>45507</x:v>
      </x:c>
      <x:c r="E5408" s="9" t="n">
        <x:v>2790000</x:v>
      </x:c>
      <x:c r="F5408" s="9" t="n">
        <x:v>0</x:v>
      </x:c>
    </x:row>
    <x:row r="5409" ht="34" customHeight="1">
      <x:c r="A5409" s="4" t="str">
        <x:v>RS-02720-I4</x:v>
      </x:c>
      <x:c r="B5409" s="4" t="str">
        <x:v>RS-02720</x:v>
      </x:c>
      <x:c r="C5409" s="9" t="n">
        <x:v>4</x:v>
      </x:c>
      <x:c r="D5409" s="8" t="n">
        <x:v>45537</x:v>
      </x:c>
      <x:c r="E5409" s="9" t="n">
        <x:v>2790000</x:v>
      </x:c>
      <x:c r="F5409" s="9" t="n">
        <x:v>0</x:v>
      </x:c>
    </x:row>
    <x:row r="5410" ht="34" customHeight="1">
      <x:c r="A5410" s="4" t="str">
        <x:v>RS-02722-I1</x:v>
      </x:c>
      <x:c r="B5410" s="4" t="str">
        <x:v>RS-02722</x:v>
      </x:c>
      <x:c r="C5410" s="9" t="n">
        <x:v>1</x:v>
      </x:c>
      <x:c r="D5410" s="8" t="n">
        <x:v>45449</x:v>
      </x:c>
      <x:c r="E5410" s="9" t="n">
        <x:v>2469750</x:v>
      </x:c>
      <x:c r="F5410" s="9" t="n">
        <x:v>2469750</x:v>
      </x:c>
    </x:row>
    <x:row r="5411" ht="34" customHeight="1">
      <x:c r="A5411" s="4" t="str">
        <x:v>RS-02722-I2</x:v>
      </x:c>
      <x:c r="B5411" s="4" t="str">
        <x:v>RS-02722</x:v>
      </x:c>
      <x:c r="C5411" s="9" t="n">
        <x:v>2</x:v>
      </x:c>
      <x:c r="D5411" s="8" t="n">
        <x:v>45479</x:v>
      </x:c>
      <x:c r="E5411" s="9" t="n">
        <x:v>2469750</x:v>
      </x:c>
      <x:c r="F5411" s="9" t="n">
        <x:v>2469750</x:v>
      </x:c>
    </x:row>
    <x:row r="5412" ht="34" customHeight="1">
      <x:c r="A5412" s="4" t="str">
        <x:v>RS-02722-I3</x:v>
      </x:c>
      <x:c r="B5412" s="4" t="str">
        <x:v>RS-02722</x:v>
      </x:c>
      <x:c r="C5412" s="9" t="n">
        <x:v>3</x:v>
      </x:c>
      <x:c r="D5412" s="8" t="n">
        <x:v>45509</x:v>
      </x:c>
      <x:c r="E5412" s="9" t="n">
        <x:v>2469750</x:v>
      </x:c>
      <x:c r="F5412" s="9" t="n">
        <x:v>0</x:v>
      </x:c>
    </x:row>
    <x:row r="5413" ht="34" customHeight="1">
      <x:c r="A5413" s="4" t="str">
        <x:v>RS-02722-I4</x:v>
      </x:c>
      <x:c r="B5413" s="4" t="str">
        <x:v>RS-02722</x:v>
      </x:c>
      <x:c r="C5413" s="9" t="n">
        <x:v>4</x:v>
      </x:c>
      <x:c r="D5413" s="8" t="n">
        <x:v>45539</x:v>
      </x:c>
      <x:c r="E5413" s="9" t="n">
        <x:v>2469750</x:v>
      </x:c>
      <x:c r="F5413" s="9" t="n">
        <x:v>0</x:v>
      </x:c>
    </x:row>
    <x:row r="5414" ht="34" customHeight="1">
      <x:c r="A5414" s="4" t="str">
        <x:v>RS-02723-I1</x:v>
      </x:c>
      <x:c r="B5414" s="4" t="str">
        <x:v>RS-02723</x:v>
      </x:c>
      <x:c r="C5414" s="9" t="n">
        <x:v>1</x:v>
      </x:c>
      <x:c r="D5414" s="8" t="n">
        <x:v>45450</x:v>
      </x:c>
      <x:c r="E5414" s="9" t="n">
        <x:v>4950000</x:v>
      </x:c>
      <x:c r="F5414" s="9" t="n">
        <x:v>4950000</x:v>
      </x:c>
    </x:row>
    <x:row r="5415" ht="34" customHeight="1">
      <x:c r="A5415" s="4" t="str">
        <x:v>RS-02723-I2</x:v>
      </x:c>
      <x:c r="B5415" s="4" t="str">
        <x:v>RS-02723</x:v>
      </x:c>
      <x:c r="C5415" s="9" t="n">
        <x:v>2</x:v>
      </x:c>
      <x:c r="D5415" s="8" t="n">
        <x:v>45480</x:v>
      </x:c>
      <x:c r="E5415" s="9" t="n">
        <x:v>4950000</x:v>
      </x:c>
      <x:c r="F5415" s="9" t="n">
        <x:v>4950000</x:v>
      </x:c>
    </x:row>
    <x:row r="5416" ht="34" customHeight="1">
      <x:c r="A5416" s="4" t="str">
        <x:v>RS-02723-I3</x:v>
      </x:c>
      <x:c r="B5416" s="4" t="str">
        <x:v>RS-02723</x:v>
      </x:c>
      <x:c r="C5416" s="9" t="n">
        <x:v>3</x:v>
      </x:c>
      <x:c r="D5416" s="8" t="n">
        <x:v>45510</x:v>
      </x:c>
      <x:c r="E5416" s="9" t="n">
        <x:v>4950000</x:v>
      </x:c>
      <x:c r="F5416" s="9" t="n">
        <x:v>0</x:v>
      </x:c>
    </x:row>
    <x:row r="5417" ht="34" customHeight="1">
      <x:c r="A5417" s="4" t="str">
        <x:v>RS-02723-I4</x:v>
      </x:c>
      <x:c r="B5417" s="4" t="str">
        <x:v>RS-02723</x:v>
      </x:c>
      <x:c r="C5417" s="9" t="n">
        <x:v>4</x:v>
      </x:c>
      <x:c r="D5417" s="8" t="n">
        <x:v>45540</x:v>
      </x:c>
      <x:c r="E5417" s="9" t="n">
        <x:v>4950000</x:v>
      </x:c>
      <x:c r="F5417" s="9" t="n">
        <x:v>0</x:v>
      </x:c>
    </x:row>
    <x:row r="5418" ht="34" customHeight="1">
      <x:c r="A5418" s="4" t="str">
        <x:v>RS-02726-I1</x:v>
      </x:c>
      <x:c r="B5418" s="4" t="str">
        <x:v>RS-02726</x:v>
      </x:c>
      <x:c r="C5418" s="9" t="n">
        <x:v>1</x:v>
      </x:c>
      <x:c r="D5418" s="8" t="n">
        <x:v>45453</x:v>
      </x:c>
      <x:c r="E5418" s="9" t="n">
        <x:v>712000</x:v>
      </x:c>
      <x:c r="F5418" s="9" t="n">
        <x:v>712000</x:v>
      </x:c>
    </x:row>
    <x:row r="5419" ht="34" customHeight="1">
      <x:c r="A5419" s="4" t="str">
        <x:v>RS-02726-I2</x:v>
      </x:c>
      <x:c r="B5419" s="4" t="str">
        <x:v>RS-02726</x:v>
      </x:c>
      <x:c r="C5419" s="9" t="n">
        <x:v>2</x:v>
      </x:c>
      <x:c r="D5419" s="8" t="n">
        <x:v>45483</x:v>
      </x:c>
      <x:c r="E5419" s="9" t="n">
        <x:v>712000</x:v>
      </x:c>
      <x:c r="F5419" s="9" t="n">
        <x:v>712000</x:v>
      </x:c>
    </x:row>
    <x:row r="5420" ht="34" customHeight="1">
      <x:c r="A5420" s="4" t="str">
        <x:v>RS-02726-I3</x:v>
      </x:c>
      <x:c r="B5420" s="4" t="str">
        <x:v>RS-02726</x:v>
      </x:c>
      <x:c r="C5420" s="9" t="n">
        <x:v>3</x:v>
      </x:c>
      <x:c r="D5420" s="8" t="n">
        <x:v>45513</x:v>
      </x:c>
      <x:c r="E5420" s="9" t="n">
        <x:v>712000</x:v>
      </x:c>
      <x:c r="F5420" s="9" t="n">
        <x:v>0</x:v>
      </x:c>
    </x:row>
    <x:row r="5421" ht="34" customHeight="1">
      <x:c r="A5421" s="4" t="str">
        <x:v>RS-02726-I4</x:v>
      </x:c>
      <x:c r="B5421" s="4" t="str">
        <x:v>RS-02726</x:v>
      </x:c>
      <x:c r="C5421" s="9" t="n">
        <x:v>4</x:v>
      </x:c>
      <x:c r="D5421" s="8" t="n">
        <x:v>45543</x:v>
      </x:c>
      <x:c r="E5421" s="9" t="n">
        <x:v>712000</x:v>
      </x:c>
      <x:c r="F5421" s="9" t="n">
        <x:v>0</x:v>
      </x:c>
    </x:row>
    <x:row r="5422" ht="34" customHeight="1">
      <x:c r="A5422" s="4" t="str">
        <x:v>RS-02728-I1</x:v>
      </x:c>
      <x:c r="B5422" s="4" t="str">
        <x:v>RS-02728</x:v>
      </x:c>
      <x:c r="C5422" s="9" t="n">
        <x:v>1</x:v>
      </x:c>
      <x:c r="D5422" s="8" t="n">
        <x:v>45455</x:v>
      </x:c>
      <x:c r="E5422" s="9" t="n">
        <x:v>1472500</x:v>
      </x:c>
      <x:c r="F5422" s="9" t="n">
        <x:v>1472500</x:v>
      </x:c>
    </x:row>
    <x:row r="5423" ht="34" customHeight="1">
      <x:c r="A5423" s="4" t="str">
        <x:v>RS-02728-I2</x:v>
      </x:c>
      <x:c r="B5423" s="4" t="str">
        <x:v>RS-02728</x:v>
      </x:c>
      <x:c r="C5423" s="9" t="n">
        <x:v>2</x:v>
      </x:c>
      <x:c r="D5423" s="8" t="n">
        <x:v>45485</x:v>
      </x:c>
      <x:c r="E5423" s="9" t="n">
        <x:v>1472500</x:v>
      </x:c>
      <x:c r="F5423" s="9" t="n">
        <x:v>1472500</x:v>
      </x:c>
    </x:row>
    <x:row r="5424" ht="34" customHeight="1">
      <x:c r="A5424" s="4" t="str">
        <x:v>RS-02728-I3</x:v>
      </x:c>
      <x:c r="B5424" s="4" t="str">
        <x:v>RS-02728</x:v>
      </x:c>
      <x:c r="C5424" s="9" t="n">
        <x:v>3</x:v>
      </x:c>
      <x:c r="D5424" s="8" t="n">
        <x:v>45515</x:v>
      </x:c>
      <x:c r="E5424" s="9" t="n">
        <x:v>1472500</x:v>
      </x:c>
      <x:c r="F5424" s="9" t="n">
        <x:v>0</x:v>
      </x:c>
    </x:row>
    <x:row r="5425" ht="34" customHeight="1">
      <x:c r="A5425" s="4" t="str">
        <x:v>RS-02728-I4</x:v>
      </x:c>
      <x:c r="B5425" s="4" t="str">
        <x:v>RS-02728</x:v>
      </x:c>
      <x:c r="C5425" s="9" t="n">
        <x:v>4</x:v>
      </x:c>
      <x:c r="D5425" s="8" t="n">
        <x:v>45545</x:v>
      </x:c>
      <x:c r="E5425" s="9" t="n">
        <x:v>1472500</x:v>
      </x:c>
      <x:c r="F5425" s="9" t="n">
        <x:v>0</x:v>
      </x:c>
    </x:row>
    <x:row r="5426" ht="34" customHeight="1">
      <x:c r="A5426" s="4" t="str">
        <x:v>RS-02731-I1</x:v>
      </x:c>
      <x:c r="B5426" s="4" t="str">
        <x:v>RS-02731</x:v>
      </x:c>
      <x:c r="C5426" s="9" t="n">
        <x:v>1</x:v>
      </x:c>
      <x:c r="D5426" s="8" t="n">
        <x:v>45458</x:v>
      </x:c>
      <x:c r="E5426" s="9" t="n">
        <x:v>5892750</x:v>
      </x:c>
      <x:c r="F5426" s="9" t="n">
        <x:v>5892750</x:v>
      </x:c>
    </x:row>
    <x:row r="5427" ht="34" customHeight="1">
      <x:c r="A5427" s="4" t="str">
        <x:v>RS-02731-I2</x:v>
      </x:c>
      <x:c r="B5427" s="4" t="str">
        <x:v>RS-02731</x:v>
      </x:c>
      <x:c r="C5427" s="9" t="n">
        <x:v>2</x:v>
      </x:c>
      <x:c r="D5427" s="8" t="n">
        <x:v>45488</x:v>
      </x:c>
      <x:c r="E5427" s="9" t="n">
        <x:v>5892750</x:v>
      </x:c>
      <x:c r="F5427" s="9" t="n">
        <x:v>5892750</x:v>
      </x:c>
    </x:row>
    <x:row r="5428" ht="34" customHeight="1">
      <x:c r="A5428" s="4" t="str">
        <x:v>RS-02731-I3</x:v>
      </x:c>
      <x:c r="B5428" s="4" t="str">
        <x:v>RS-02731</x:v>
      </x:c>
      <x:c r="C5428" s="9" t="n">
        <x:v>3</x:v>
      </x:c>
      <x:c r="D5428" s="8" t="n">
        <x:v>45518</x:v>
      </x:c>
      <x:c r="E5428" s="9" t="n">
        <x:v>5892750</x:v>
      </x:c>
      <x:c r="F5428" s="9" t="n">
        <x:v>5892750</x:v>
      </x:c>
    </x:row>
    <x:row r="5429" ht="34" customHeight="1">
      <x:c r="A5429" s="4" t="str">
        <x:v>RS-02731-I4</x:v>
      </x:c>
      <x:c r="B5429" s="4" t="str">
        <x:v>RS-02731</x:v>
      </x:c>
      <x:c r="C5429" s="9" t="n">
        <x:v>4</x:v>
      </x:c>
      <x:c r="D5429" s="8" t="n">
        <x:v>45548</x:v>
      </x:c>
      <x:c r="E5429" s="9" t="n">
        <x:v>5892750</x:v>
      </x:c>
      <x:c r="F5429" s="9" t="n">
        <x:v>5892750</x:v>
      </x:c>
    </x:row>
    <x:row r="5430" ht="34" customHeight="1">
      <x:c r="A5430" s="4" t="str">
        <x:v>RS-02732-I1</x:v>
      </x:c>
      <x:c r="B5430" s="4" t="str">
        <x:v>RS-02732</x:v>
      </x:c>
      <x:c r="C5430" s="9" t="n">
        <x:v>1</x:v>
      </x:c>
      <x:c r="D5430" s="8" t="n">
        <x:v>45459</x:v>
      </x:c>
      <x:c r="E5430" s="9" t="n">
        <x:v>5710500</x:v>
      </x:c>
      <x:c r="F5430" s="9" t="n">
        <x:v>2284200</x:v>
      </x:c>
    </x:row>
    <x:row r="5431" ht="34" customHeight="1">
      <x:c r="A5431" s="4" t="str">
        <x:v>RS-02732-I2</x:v>
      </x:c>
      <x:c r="B5431" s="4" t="str">
        <x:v>RS-02732</x:v>
      </x:c>
      <x:c r="C5431" s="9" t="n">
        <x:v>2</x:v>
      </x:c>
      <x:c r="D5431" s="8" t="n">
        <x:v>45489</x:v>
      </x:c>
      <x:c r="E5431" s="9" t="n">
        <x:v>5710500</x:v>
      </x:c>
      <x:c r="F5431" s="9" t="n">
        <x:v>0</x:v>
      </x:c>
    </x:row>
    <x:row r="5432" ht="34" customHeight="1">
      <x:c r="A5432" s="4" t="str">
        <x:v>RS-02732-I3</x:v>
      </x:c>
      <x:c r="B5432" s="4" t="str">
        <x:v>RS-02732</x:v>
      </x:c>
      <x:c r="C5432" s="9" t="n">
        <x:v>3</x:v>
      </x:c>
      <x:c r="D5432" s="8" t="n">
        <x:v>45519</x:v>
      </x:c>
      <x:c r="E5432" s="9" t="n">
        <x:v>5710500</x:v>
      </x:c>
      <x:c r="F5432" s="9" t="n">
        <x:v>0</x:v>
      </x:c>
    </x:row>
    <x:row r="5433" ht="34" customHeight="1">
      <x:c r="A5433" s="4" t="str">
        <x:v>RS-02732-I4</x:v>
      </x:c>
      <x:c r="B5433" s="4" t="str">
        <x:v>RS-02732</x:v>
      </x:c>
      <x:c r="C5433" s="9" t="n">
        <x:v>4</x:v>
      </x:c>
      <x:c r="D5433" s="8" t="n">
        <x:v>45549</x:v>
      </x:c>
      <x:c r="E5433" s="9" t="n">
        <x:v>5710500</x:v>
      </x:c>
      <x:c r="F5433" s="9" t="n">
        <x:v>0</x:v>
      </x:c>
    </x:row>
    <x:row r="5434" ht="34" customHeight="1">
      <x:c r="A5434" s="4" t="str">
        <x:v>RS-02735-I1</x:v>
      </x:c>
      <x:c r="B5434" s="4" t="str">
        <x:v>RS-02735</x:v>
      </x:c>
      <x:c r="C5434" s="9" t="n">
        <x:v>1</x:v>
      </x:c>
      <x:c r="D5434" s="8" t="n">
        <x:v>45462</x:v>
      </x:c>
      <x:c r="E5434" s="9" t="n">
        <x:v>5228750</x:v>
      </x:c>
      <x:c r="F5434" s="9" t="n">
        <x:v>5228750</x:v>
      </x:c>
    </x:row>
    <x:row r="5435" ht="34" customHeight="1">
      <x:c r="A5435" s="4" t="str">
        <x:v>RS-02735-I2</x:v>
      </x:c>
      <x:c r="B5435" s="4" t="str">
        <x:v>RS-02735</x:v>
      </x:c>
      <x:c r="C5435" s="9" t="n">
        <x:v>2</x:v>
      </x:c>
      <x:c r="D5435" s="8" t="n">
        <x:v>45492</x:v>
      </x:c>
      <x:c r="E5435" s="9" t="n">
        <x:v>5228750</x:v>
      </x:c>
      <x:c r="F5435" s="9" t="n">
        <x:v>5228750</x:v>
      </x:c>
    </x:row>
    <x:row r="5436" ht="34" customHeight="1">
      <x:c r="A5436" s="4" t="str">
        <x:v>RS-02735-I3</x:v>
      </x:c>
      <x:c r="B5436" s="4" t="str">
        <x:v>RS-02735</x:v>
      </x:c>
      <x:c r="C5436" s="9" t="n">
        <x:v>3</x:v>
      </x:c>
      <x:c r="D5436" s="8" t="n">
        <x:v>45522</x:v>
      </x:c>
      <x:c r="E5436" s="9" t="n">
        <x:v>5228750</x:v>
      </x:c>
      <x:c r="F5436" s="9" t="n">
        <x:v>5228750</x:v>
      </x:c>
    </x:row>
    <x:row r="5437" ht="34" customHeight="1">
      <x:c r="A5437" s="4" t="str">
        <x:v>RS-02735-I4</x:v>
      </x:c>
      <x:c r="B5437" s="4" t="str">
        <x:v>RS-02735</x:v>
      </x:c>
      <x:c r="C5437" s="9" t="n">
        <x:v>4</x:v>
      </x:c>
      <x:c r="D5437" s="8" t="n">
        <x:v>45552</x:v>
      </x:c>
      <x:c r="E5437" s="9" t="n">
        <x:v>5228750</x:v>
      </x:c>
      <x:c r="F5437" s="9" t="n">
        <x:v>5228750</x:v>
      </x:c>
    </x:row>
    <x:row r="5438" ht="34" customHeight="1">
      <x:c r="A5438" s="4" t="str">
        <x:v>RS-02736-I1</x:v>
      </x:c>
      <x:c r="B5438" s="4" t="str">
        <x:v>RS-02736</x:v>
      </x:c>
      <x:c r="C5438" s="9" t="n">
        <x:v>1</x:v>
      </x:c>
      <x:c r="D5438" s="8" t="n">
        <x:v>45463</x:v>
      </x:c>
      <x:c r="E5438" s="9" t="n">
        <x:v>5153750</x:v>
      </x:c>
      <x:c r="F5438" s="9" t="n">
        <x:v>5153750</x:v>
      </x:c>
    </x:row>
    <x:row r="5439" ht="34" customHeight="1">
      <x:c r="A5439" s="4" t="str">
        <x:v>RS-02736-I2</x:v>
      </x:c>
      <x:c r="B5439" s="4" t="str">
        <x:v>RS-02736</x:v>
      </x:c>
      <x:c r="C5439" s="9" t="n">
        <x:v>2</x:v>
      </x:c>
      <x:c r="D5439" s="8" t="n">
        <x:v>45493</x:v>
      </x:c>
      <x:c r="E5439" s="9" t="n">
        <x:v>5153750</x:v>
      </x:c>
      <x:c r="F5439" s="9" t="n">
        <x:v>5153750</x:v>
      </x:c>
    </x:row>
    <x:row r="5440" ht="34" customHeight="1">
      <x:c r="A5440" s="4" t="str">
        <x:v>RS-02736-I3</x:v>
      </x:c>
      <x:c r="B5440" s="4" t="str">
        <x:v>RS-02736</x:v>
      </x:c>
      <x:c r="C5440" s="9" t="n">
        <x:v>3</x:v>
      </x:c>
      <x:c r="D5440" s="8" t="n">
        <x:v>45523</x:v>
      </x:c>
      <x:c r="E5440" s="9" t="n">
        <x:v>5153750</x:v>
      </x:c>
      <x:c r="F5440" s="9" t="n">
        <x:v>0</x:v>
      </x:c>
    </x:row>
    <x:row r="5441" ht="34" customHeight="1">
      <x:c r="A5441" s="4" t="str">
        <x:v>RS-02736-I4</x:v>
      </x:c>
      <x:c r="B5441" s="4" t="str">
        <x:v>RS-02736</x:v>
      </x:c>
      <x:c r="C5441" s="9" t="n">
        <x:v>4</x:v>
      </x:c>
      <x:c r="D5441" s="8" t="n">
        <x:v>45553</x:v>
      </x:c>
      <x:c r="E5441" s="9" t="n">
        <x:v>5153750</x:v>
      </x:c>
      <x:c r="F5441" s="9" t="n">
        <x:v>0</x:v>
      </x:c>
    </x:row>
    <x:row r="5442" ht="34" customHeight="1">
      <x:c r="A5442" s="4" t="str">
        <x:v>RS-02737-I1</x:v>
      </x:c>
      <x:c r="B5442" s="4" t="str">
        <x:v>RS-02737</x:v>
      </x:c>
      <x:c r="C5442" s="9" t="n">
        <x:v>1</x:v>
      </x:c>
      <x:c r="D5442" s="8" t="n">
        <x:v>45464</x:v>
      </x:c>
      <x:c r="E5442" s="9" t="n">
        <x:v>4251250</x:v>
      </x:c>
      <x:c r="F5442" s="9" t="n">
        <x:v>4251250</x:v>
      </x:c>
    </x:row>
    <x:row r="5443" ht="34" customHeight="1">
      <x:c r="A5443" s="4" t="str">
        <x:v>RS-02737-I2</x:v>
      </x:c>
      <x:c r="B5443" s="4" t="str">
        <x:v>RS-02737</x:v>
      </x:c>
      <x:c r="C5443" s="9" t="n">
        <x:v>2</x:v>
      </x:c>
      <x:c r="D5443" s="8" t="n">
        <x:v>45494</x:v>
      </x:c>
      <x:c r="E5443" s="9" t="n">
        <x:v>4251250</x:v>
      </x:c>
      <x:c r="F5443" s="9" t="n">
        <x:v>4251250</x:v>
      </x:c>
    </x:row>
    <x:row r="5444" ht="34" customHeight="1">
      <x:c r="A5444" s="4" t="str">
        <x:v>RS-02737-I3</x:v>
      </x:c>
      <x:c r="B5444" s="4" t="str">
        <x:v>RS-02737</x:v>
      </x:c>
      <x:c r="C5444" s="9" t="n">
        <x:v>3</x:v>
      </x:c>
      <x:c r="D5444" s="8" t="n">
        <x:v>45524</x:v>
      </x:c>
      <x:c r="E5444" s="9" t="n">
        <x:v>4251250</x:v>
      </x:c>
      <x:c r="F5444" s="9" t="n">
        <x:v>0</x:v>
      </x:c>
    </x:row>
    <x:row r="5445" ht="34" customHeight="1">
      <x:c r="A5445" s="4" t="str">
        <x:v>RS-02737-I4</x:v>
      </x:c>
      <x:c r="B5445" s="4" t="str">
        <x:v>RS-02737</x:v>
      </x:c>
      <x:c r="C5445" s="9" t="n">
        <x:v>4</x:v>
      </x:c>
      <x:c r="D5445" s="8" t="n">
        <x:v>45554</x:v>
      </x:c>
      <x:c r="E5445" s="9" t="n">
        <x:v>4251250</x:v>
      </x:c>
      <x:c r="F5445" s="9" t="n">
        <x:v>0</x:v>
      </x:c>
    </x:row>
    <x:row r="5446" ht="34" customHeight="1">
      <x:c r="A5446" s="4" t="str">
        <x:v>RS-02738-I1</x:v>
      </x:c>
      <x:c r="B5446" s="4" t="str">
        <x:v>RS-02738</x:v>
      </x:c>
      <x:c r="C5446" s="9" t="n">
        <x:v>1</x:v>
      </x:c>
      <x:c r="D5446" s="8" t="n">
        <x:v>45465</x:v>
      </x:c>
      <x:c r="E5446" s="9" t="n">
        <x:v>2277000</x:v>
      </x:c>
      <x:c r="F5446" s="9" t="n">
        <x:v>910800</x:v>
      </x:c>
    </x:row>
    <x:row r="5447" ht="34" customHeight="1">
      <x:c r="A5447" s="4" t="str">
        <x:v>RS-02738-I2</x:v>
      </x:c>
      <x:c r="B5447" s="4" t="str">
        <x:v>RS-02738</x:v>
      </x:c>
      <x:c r="C5447" s="9" t="n">
        <x:v>2</x:v>
      </x:c>
      <x:c r="D5447" s="8" t="n">
        <x:v>45495</x:v>
      </x:c>
      <x:c r="E5447" s="9" t="n">
        <x:v>2277000</x:v>
      </x:c>
      <x:c r="F5447" s="9" t="n">
        <x:v>0</x:v>
      </x:c>
    </x:row>
    <x:row r="5448" ht="34" customHeight="1">
      <x:c r="A5448" s="4" t="str">
        <x:v>RS-02738-I3</x:v>
      </x:c>
      <x:c r="B5448" s="4" t="str">
        <x:v>RS-02738</x:v>
      </x:c>
      <x:c r="C5448" s="9" t="n">
        <x:v>3</x:v>
      </x:c>
      <x:c r="D5448" s="8" t="n">
        <x:v>45525</x:v>
      </x:c>
      <x:c r="E5448" s="9" t="n">
        <x:v>2277000</x:v>
      </x:c>
      <x:c r="F5448" s="9" t="n">
        <x:v>0</x:v>
      </x:c>
    </x:row>
    <x:row r="5449" ht="34" customHeight="1">
      <x:c r="A5449" s="4" t="str">
        <x:v>RS-02738-I4</x:v>
      </x:c>
      <x:c r="B5449" s="4" t="str">
        <x:v>RS-02738</x:v>
      </x:c>
      <x:c r="C5449" s="9" t="n">
        <x:v>4</x:v>
      </x:c>
      <x:c r="D5449" s="8" t="n">
        <x:v>45555</x:v>
      </x:c>
      <x:c r="E5449" s="9" t="n">
        <x:v>2277000</x:v>
      </x:c>
      <x:c r="F5449" s="9" t="n">
        <x:v>0</x:v>
      </x:c>
    </x:row>
    <x:row r="5450" ht="34" customHeight="1">
      <x:c r="A5450" s="4" t="str">
        <x:v>RS-02739-I1</x:v>
      </x:c>
      <x:c r="B5450" s="4" t="str">
        <x:v>RS-02739</x:v>
      </x:c>
      <x:c r="C5450" s="9" t="n">
        <x:v>1</x:v>
      </x:c>
      <x:c r="D5450" s="8" t="n">
        <x:v>45466</x:v>
      </x:c>
      <x:c r="E5450" s="9" t="n">
        <x:v>4094000</x:v>
      </x:c>
      <x:c r="F5450" s="9" t="n">
        <x:v>4094000</x:v>
      </x:c>
    </x:row>
    <x:row r="5451" ht="34" customHeight="1">
      <x:c r="A5451" s="4" t="str">
        <x:v>RS-02739-I2</x:v>
      </x:c>
      <x:c r="B5451" s="4" t="str">
        <x:v>RS-02739</x:v>
      </x:c>
      <x:c r="C5451" s="9" t="n">
        <x:v>2</x:v>
      </x:c>
      <x:c r="D5451" s="8" t="n">
        <x:v>45496</x:v>
      </x:c>
      <x:c r="E5451" s="9" t="n">
        <x:v>4094000</x:v>
      </x:c>
      <x:c r="F5451" s="9" t="n">
        <x:v>4094000</x:v>
      </x:c>
    </x:row>
    <x:row r="5452" ht="34" customHeight="1">
      <x:c r="A5452" s="4" t="str">
        <x:v>RS-02739-I3</x:v>
      </x:c>
      <x:c r="B5452" s="4" t="str">
        <x:v>RS-02739</x:v>
      </x:c>
      <x:c r="C5452" s="9" t="n">
        <x:v>3</x:v>
      </x:c>
      <x:c r="D5452" s="8" t="n">
        <x:v>45526</x:v>
      </x:c>
      <x:c r="E5452" s="9" t="n">
        <x:v>4094000</x:v>
      </x:c>
      <x:c r="F5452" s="9" t="n">
        <x:v>4094000</x:v>
      </x:c>
    </x:row>
    <x:row r="5453" ht="34" customHeight="1">
      <x:c r="A5453" s="4" t="str">
        <x:v>RS-02739-I4</x:v>
      </x:c>
      <x:c r="B5453" s="4" t="str">
        <x:v>RS-02739</x:v>
      </x:c>
      <x:c r="C5453" s="9" t="n">
        <x:v>4</x:v>
      </x:c>
      <x:c r="D5453" s="8" t="n">
        <x:v>45556</x:v>
      </x:c>
      <x:c r="E5453" s="9" t="n">
        <x:v>4094000</x:v>
      </x:c>
      <x:c r="F5453" s="9" t="n">
        <x:v>4094000</x:v>
      </x:c>
    </x:row>
    <x:row r="5454" ht="34" customHeight="1">
      <x:c r="A5454" s="4" t="str">
        <x:v>RS-02742-I1</x:v>
      </x:c>
      <x:c r="B5454" s="4" t="str">
        <x:v>RS-02742</x:v>
      </x:c>
      <x:c r="C5454" s="9" t="n">
        <x:v>1</x:v>
      </x:c>
      <x:c r="D5454" s="8" t="n">
        <x:v>45469</x:v>
      </x:c>
      <x:c r="E5454" s="9" t="n">
        <x:v>3151000</x:v>
      </x:c>
      <x:c r="F5454" s="9" t="n">
        <x:v>1260400</x:v>
      </x:c>
    </x:row>
    <x:row r="5455" ht="34" customHeight="1">
      <x:c r="A5455" s="4" t="str">
        <x:v>RS-02742-I2</x:v>
      </x:c>
      <x:c r="B5455" s="4" t="str">
        <x:v>RS-02742</x:v>
      </x:c>
      <x:c r="C5455" s="9" t="n">
        <x:v>2</x:v>
      </x:c>
      <x:c r="D5455" s="8" t="n">
        <x:v>45499</x:v>
      </x:c>
      <x:c r="E5455" s="9" t="n">
        <x:v>3151000</x:v>
      </x:c>
      <x:c r="F5455" s="9" t="n">
        <x:v>0</x:v>
      </x:c>
    </x:row>
    <x:row r="5456" ht="34" customHeight="1">
      <x:c r="A5456" s="4" t="str">
        <x:v>RS-02742-I3</x:v>
      </x:c>
      <x:c r="B5456" s="4" t="str">
        <x:v>RS-02742</x:v>
      </x:c>
      <x:c r="C5456" s="9" t="n">
        <x:v>3</x:v>
      </x:c>
      <x:c r="D5456" s="8" t="n">
        <x:v>45529</x:v>
      </x:c>
      <x:c r="E5456" s="9" t="n">
        <x:v>3151000</x:v>
      </x:c>
      <x:c r="F5456" s="9" t="n">
        <x:v>0</x:v>
      </x:c>
    </x:row>
    <x:row r="5457" ht="34" customHeight="1">
      <x:c r="A5457" s="4" t="str">
        <x:v>RS-02742-I4</x:v>
      </x:c>
      <x:c r="B5457" s="4" t="str">
        <x:v>RS-02742</x:v>
      </x:c>
      <x:c r="C5457" s="9" t="n">
        <x:v>4</x:v>
      </x:c>
      <x:c r="D5457" s="8" t="n">
        <x:v>45559</x:v>
      </x:c>
      <x:c r="E5457" s="9" t="n">
        <x:v>3151000</x:v>
      </x:c>
      <x:c r="F5457" s="9" t="n">
        <x:v>0</x:v>
      </x:c>
    </x:row>
    <x:row r="5458" ht="34" customHeight="1">
      <x:c r="A5458" s="4" t="str">
        <x:v>RS-02744-I1</x:v>
      </x:c>
      <x:c r="B5458" s="4" t="str">
        <x:v>RS-02744</x:v>
      </x:c>
      <x:c r="C5458" s="9" t="n">
        <x:v>1</x:v>
      </x:c>
      <x:c r="D5458" s="8" t="n">
        <x:v>45471</x:v>
      </x:c>
      <x:c r="E5458" s="9" t="n">
        <x:v>4635000</x:v>
      </x:c>
      <x:c r="F5458" s="9" t="n">
        <x:v>4635000</x:v>
      </x:c>
    </x:row>
    <x:row r="5459" ht="34" customHeight="1">
      <x:c r="A5459" s="4" t="str">
        <x:v>RS-02744-I2</x:v>
      </x:c>
      <x:c r="B5459" s="4" t="str">
        <x:v>RS-02744</x:v>
      </x:c>
      <x:c r="C5459" s="9" t="n">
        <x:v>2</x:v>
      </x:c>
      <x:c r="D5459" s="8" t="n">
        <x:v>45501</x:v>
      </x:c>
      <x:c r="E5459" s="9" t="n">
        <x:v>4635000</x:v>
      </x:c>
      <x:c r="F5459" s="9" t="n">
        <x:v>4635000</x:v>
      </x:c>
    </x:row>
    <x:row r="5460" ht="34" customHeight="1">
      <x:c r="A5460" s="4" t="str">
        <x:v>RS-02744-I3</x:v>
      </x:c>
      <x:c r="B5460" s="4" t="str">
        <x:v>RS-02744</x:v>
      </x:c>
      <x:c r="C5460" s="9" t="n">
        <x:v>3</x:v>
      </x:c>
      <x:c r="D5460" s="8" t="n">
        <x:v>45531</x:v>
      </x:c>
      <x:c r="E5460" s="9" t="n">
        <x:v>4635000</x:v>
      </x:c>
      <x:c r="F5460" s="9" t="n">
        <x:v>4635000</x:v>
      </x:c>
    </x:row>
    <x:row r="5461" ht="34" customHeight="1">
      <x:c r="A5461" s="4" t="str">
        <x:v>RS-02744-I4</x:v>
      </x:c>
      <x:c r="B5461" s="4" t="str">
        <x:v>RS-02744</x:v>
      </x:c>
      <x:c r="C5461" s="9" t="n">
        <x:v>4</x:v>
      </x:c>
      <x:c r="D5461" s="8" t="n">
        <x:v>45561</x:v>
      </x:c>
      <x:c r="E5461" s="9" t="n">
        <x:v>4635000</x:v>
      </x:c>
      <x:c r="F5461" s="9" t="n">
        <x:v>4635000</x:v>
      </x:c>
    </x:row>
    <x:row r="5462" ht="34" customHeight="1">
      <x:c r="A5462" s="4" t="str">
        <x:v>RS-02746-I1</x:v>
      </x:c>
      <x:c r="B5462" s="4" t="str">
        <x:v>RS-02746</x:v>
      </x:c>
      <x:c r="C5462" s="9" t="n">
        <x:v>1</x:v>
      </x:c>
      <x:c r="D5462" s="8" t="n">
        <x:v>45445</x:v>
      </x:c>
      <x:c r="E5462" s="9" t="n">
        <x:v>4680250</x:v>
      </x:c>
      <x:c r="F5462" s="9" t="n">
        <x:v>4680250</x:v>
      </x:c>
    </x:row>
    <x:row r="5463" ht="34" customHeight="1">
      <x:c r="A5463" s="4" t="str">
        <x:v>RS-02746-I2</x:v>
      </x:c>
      <x:c r="B5463" s="4" t="str">
        <x:v>RS-02746</x:v>
      </x:c>
      <x:c r="C5463" s="9" t="n">
        <x:v>2</x:v>
      </x:c>
      <x:c r="D5463" s="8" t="n">
        <x:v>45475</x:v>
      </x:c>
      <x:c r="E5463" s="9" t="n">
        <x:v>4680250</x:v>
      </x:c>
      <x:c r="F5463" s="9" t="n">
        <x:v>0</x:v>
      </x:c>
    </x:row>
    <x:row r="5464" ht="34" customHeight="1">
      <x:c r="A5464" s="4" t="str">
        <x:v>RS-02746-I3</x:v>
      </x:c>
      <x:c r="B5464" s="4" t="str">
        <x:v>RS-02746</x:v>
      </x:c>
      <x:c r="C5464" s="9" t="n">
        <x:v>3</x:v>
      </x:c>
      <x:c r="D5464" s="8" t="n">
        <x:v>45505</x:v>
      </x:c>
      <x:c r="E5464" s="9" t="n">
        <x:v>4680250</x:v>
      </x:c>
      <x:c r="F5464" s="9" t="n">
        <x:v>0</x:v>
      </x:c>
    </x:row>
    <x:row r="5465" ht="34" customHeight="1">
      <x:c r="A5465" s="4" t="str">
        <x:v>RS-02746-I4</x:v>
      </x:c>
      <x:c r="B5465" s="4" t="str">
        <x:v>RS-02746</x:v>
      </x:c>
      <x:c r="C5465" s="9" t="n">
        <x:v>4</x:v>
      </x:c>
      <x:c r="D5465" s="8" t="n">
        <x:v>45535</x:v>
      </x:c>
      <x:c r="E5465" s="9" t="n">
        <x:v>4680250</x:v>
      </x:c>
      <x:c r="F5465" s="9" t="n">
        <x:v>0</x:v>
      </x:c>
    </x:row>
    <x:row r="5466" ht="34" customHeight="1">
      <x:c r="A5466" s="4" t="str">
        <x:v>RS-02748-I1</x:v>
      </x:c>
      <x:c r="B5466" s="4" t="str">
        <x:v>RS-02748</x:v>
      </x:c>
      <x:c r="C5466" s="9" t="n">
        <x:v>1</x:v>
      </x:c>
      <x:c r="D5466" s="8" t="n">
        <x:v>45447</x:v>
      </x:c>
      <x:c r="E5466" s="9" t="n">
        <x:v>5928000</x:v>
      </x:c>
      <x:c r="F5466" s="9" t="n">
        <x:v>5928000</x:v>
      </x:c>
    </x:row>
    <x:row r="5467" ht="34" customHeight="1">
      <x:c r="A5467" s="4" t="str">
        <x:v>RS-02748-I2</x:v>
      </x:c>
      <x:c r="B5467" s="4" t="str">
        <x:v>RS-02748</x:v>
      </x:c>
      <x:c r="C5467" s="9" t="n">
        <x:v>2</x:v>
      </x:c>
      <x:c r="D5467" s="8" t="n">
        <x:v>45477</x:v>
      </x:c>
      <x:c r="E5467" s="9" t="n">
        <x:v>5928000</x:v>
      </x:c>
      <x:c r="F5467" s="9" t="n">
        <x:v>5928000</x:v>
      </x:c>
    </x:row>
    <x:row r="5468" ht="34" customHeight="1">
      <x:c r="A5468" s="4" t="str">
        <x:v>RS-02748-I3</x:v>
      </x:c>
      <x:c r="B5468" s="4" t="str">
        <x:v>RS-02748</x:v>
      </x:c>
      <x:c r="C5468" s="9" t="n">
        <x:v>3</x:v>
      </x:c>
      <x:c r="D5468" s="8" t="n">
        <x:v>45507</x:v>
      </x:c>
      <x:c r="E5468" s="9" t="n">
        <x:v>5928000</x:v>
      </x:c>
      <x:c r="F5468" s="9" t="n">
        <x:v>5928000</x:v>
      </x:c>
    </x:row>
    <x:row r="5469" ht="34" customHeight="1">
      <x:c r="A5469" s="4" t="str">
        <x:v>RS-02748-I4</x:v>
      </x:c>
      <x:c r="B5469" s="4" t="str">
        <x:v>RS-02748</x:v>
      </x:c>
      <x:c r="C5469" s="9" t="n">
        <x:v>4</x:v>
      </x:c>
      <x:c r="D5469" s="8" t="n">
        <x:v>45537</x:v>
      </x:c>
      <x:c r="E5469" s="9" t="n">
        <x:v>5928000</x:v>
      </x:c>
      <x:c r="F5469" s="9" t="n">
        <x:v>5928000</x:v>
      </x:c>
    </x:row>
    <x:row r="5470" ht="34" customHeight="1">
      <x:c r="A5470" s="4" t="str">
        <x:v>RS-02749-I1</x:v>
      </x:c>
      <x:c r="B5470" s="4" t="str">
        <x:v>RS-02749</x:v>
      </x:c>
      <x:c r="C5470" s="9" t="n">
        <x:v>1</x:v>
      </x:c>
      <x:c r="D5470" s="8" t="n">
        <x:v>45448</x:v>
      </x:c>
      <x:c r="E5470" s="9" t="n">
        <x:v>3525000</x:v>
      </x:c>
      <x:c r="F5470" s="9" t="n">
        <x:v>3525000</x:v>
      </x:c>
    </x:row>
    <x:row r="5471" ht="34" customHeight="1">
      <x:c r="A5471" s="4" t="str">
        <x:v>RS-02749-I2</x:v>
      </x:c>
      <x:c r="B5471" s="4" t="str">
        <x:v>RS-02749</x:v>
      </x:c>
      <x:c r="C5471" s="9" t="n">
        <x:v>2</x:v>
      </x:c>
      <x:c r="D5471" s="8" t="n">
        <x:v>45478</x:v>
      </x:c>
      <x:c r="E5471" s="9" t="n">
        <x:v>3525000</x:v>
      </x:c>
      <x:c r="F5471" s="9" t="n">
        <x:v>0</x:v>
      </x:c>
    </x:row>
    <x:row r="5472" ht="34" customHeight="1">
      <x:c r="A5472" s="4" t="str">
        <x:v>RS-02749-I3</x:v>
      </x:c>
      <x:c r="B5472" s="4" t="str">
        <x:v>RS-02749</x:v>
      </x:c>
      <x:c r="C5472" s="9" t="n">
        <x:v>3</x:v>
      </x:c>
      <x:c r="D5472" s="8" t="n">
        <x:v>45508</x:v>
      </x:c>
      <x:c r="E5472" s="9" t="n">
        <x:v>3525000</x:v>
      </x:c>
      <x:c r="F5472" s="9" t="n">
        <x:v>0</x:v>
      </x:c>
    </x:row>
    <x:row r="5473" ht="34" customHeight="1">
      <x:c r="A5473" s="4" t="str">
        <x:v>RS-02749-I4</x:v>
      </x:c>
      <x:c r="B5473" s="4" t="str">
        <x:v>RS-02749</x:v>
      </x:c>
      <x:c r="C5473" s="9" t="n">
        <x:v>4</x:v>
      </x:c>
      <x:c r="D5473" s="8" t="n">
        <x:v>45538</x:v>
      </x:c>
      <x:c r="E5473" s="9" t="n">
        <x:v>3525000</x:v>
      </x:c>
      <x:c r="F5473" s="9" t="n">
        <x:v>0</x:v>
      </x:c>
    </x:row>
    <x:row r="5474" ht="34" customHeight="1">
      <x:c r="A5474" s="4" t="str">
        <x:v>RS-02750-I1</x:v>
      </x:c>
      <x:c r="B5474" s="4" t="str">
        <x:v>RS-02750</x:v>
      </x:c>
      <x:c r="C5474" s="9" t="n">
        <x:v>1</x:v>
      </x:c>
      <x:c r="D5474" s="8" t="n">
        <x:v>45449</x:v>
      </x:c>
      <x:c r="E5474" s="9" t="n">
        <x:v>2650500</x:v>
      </x:c>
      <x:c r="F5474" s="9" t="n">
        <x:v>2650500</x:v>
      </x:c>
    </x:row>
    <x:row r="5475" ht="34" customHeight="1">
      <x:c r="A5475" s="4" t="str">
        <x:v>RS-02750-I2</x:v>
      </x:c>
      <x:c r="B5475" s="4" t="str">
        <x:v>RS-02750</x:v>
      </x:c>
      <x:c r="C5475" s="9" t="n">
        <x:v>2</x:v>
      </x:c>
      <x:c r="D5475" s="8" t="n">
        <x:v>45479</x:v>
      </x:c>
      <x:c r="E5475" s="9" t="n">
        <x:v>2650500</x:v>
      </x:c>
      <x:c r="F5475" s="9" t="n">
        <x:v>0</x:v>
      </x:c>
    </x:row>
    <x:row r="5476" ht="34" customHeight="1">
      <x:c r="A5476" s="4" t="str">
        <x:v>RS-02750-I3</x:v>
      </x:c>
      <x:c r="B5476" s="4" t="str">
        <x:v>RS-02750</x:v>
      </x:c>
      <x:c r="C5476" s="9" t="n">
        <x:v>3</x:v>
      </x:c>
      <x:c r="D5476" s="8" t="n">
        <x:v>45509</x:v>
      </x:c>
      <x:c r="E5476" s="9" t="n">
        <x:v>2650500</x:v>
      </x:c>
      <x:c r="F5476" s="9" t="n">
        <x:v>0</x:v>
      </x:c>
    </x:row>
    <x:row r="5477" ht="34" customHeight="1">
      <x:c r="A5477" s="4" t="str">
        <x:v>RS-02750-I4</x:v>
      </x:c>
      <x:c r="B5477" s="4" t="str">
        <x:v>RS-02750</x:v>
      </x:c>
      <x:c r="C5477" s="9" t="n">
        <x:v>4</x:v>
      </x:c>
      <x:c r="D5477" s="8" t="n">
        <x:v>45539</x:v>
      </x:c>
      <x:c r="E5477" s="9" t="n">
        <x:v>2650500</x:v>
      </x:c>
      <x:c r="F5477" s="9" t="n">
        <x:v>0</x:v>
      </x:c>
    </x:row>
    <x:row r="5478" ht="34" customHeight="1">
      <x:c r="A5478" s="4" t="str">
        <x:v>RS-02751-I1</x:v>
      </x:c>
      <x:c r="B5478" s="4" t="str">
        <x:v>RS-02751</x:v>
      </x:c>
      <x:c r="C5478" s="9" t="n">
        <x:v>1</x:v>
      </x:c>
      <x:c r="D5478" s="8" t="n">
        <x:v>45450</x:v>
      </x:c>
      <x:c r="E5478" s="9" t="n">
        <x:v>4851000</x:v>
      </x:c>
      <x:c r="F5478" s="9" t="n">
        <x:v>4851000</x:v>
      </x:c>
    </x:row>
    <x:row r="5479" ht="34" customHeight="1">
      <x:c r="A5479" s="4" t="str">
        <x:v>RS-02751-I2</x:v>
      </x:c>
      <x:c r="B5479" s="4" t="str">
        <x:v>RS-02751</x:v>
      </x:c>
      <x:c r="C5479" s="9" t="n">
        <x:v>2</x:v>
      </x:c>
      <x:c r="D5479" s="8" t="n">
        <x:v>45480</x:v>
      </x:c>
      <x:c r="E5479" s="9" t="n">
        <x:v>4851000</x:v>
      </x:c>
      <x:c r="F5479" s="9" t="n">
        <x:v>0</x:v>
      </x:c>
    </x:row>
    <x:row r="5480" ht="34" customHeight="1">
      <x:c r="A5480" s="4" t="str">
        <x:v>RS-02751-I3</x:v>
      </x:c>
      <x:c r="B5480" s="4" t="str">
        <x:v>RS-02751</x:v>
      </x:c>
      <x:c r="C5480" s="9" t="n">
        <x:v>3</x:v>
      </x:c>
      <x:c r="D5480" s="8" t="n">
        <x:v>45510</x:v>
      </x:c>
      <x:c r="E5480" s="9" t="n">
        <x:v>4851000</x:v>
      </x:c>
      <x:c r="F5480" s="9" t="n">
        <x:v>0</x:v>
      </x:c>
    </x:row>
    <x:row r="5481" ht="34" customHeight="1">
      <x:c r="A5481" s="4" t="str">
        <x:v>RS-02751-I4</x:v>
      </x:c>
      <x:c r="B5481" s="4" t="str">
        <x:v>RS-02751</x:v>
      </x:c>
      <x:c r="C5481" s="9" t="n">
        <x:v>4</x:v>
      </x:c>
      <x:c r="D5481" s="8" t="n">
        <x:v>45540</x:v>
      </x:c>
      <x:c r="E5481" s="9" t="n">
        <x:v>4851000</x:v>
      </x:c>
      <x:c r="F5481" s="9" t="n">
        <x:v>0</x:v>
      </x:c>
    </x:row>
    <x:row r="5482" ht="34" customHeight="1">
      <x:c r="A5482" s="4" t="str">
        <x:v>RS-02760-I1</x:v>
      </x:c>
      <x:c r="B5482" s="4" t="str">
        <x:v>RS-02760</x:v>
      </x:c>
      <x:c r="C5482" s="9" t="n">
        <x:v>1</x:v>
      </x:c>
      <x:c r="D5482" s="8" t="n">
        <x:v>45459</x:v>
      </x:c>
      <x:c r="E5482" s="9" t="n">
        <x:v>3799250</x:v>
      </x:c>
      <x:c r="F5482" s="9" t="n">
        <x:v>3799250</x:v>
      </x:c>
    </x:row>
    <x:row r="5483" ht="34" customHeight="1">
      <x:c r="A5483" s="4" t="str">
        <x:v>RS-02760-I2</x:v>
      </x:c>
      <x:c r="B5483" s="4" t="str">
        <x:v>RS-02760</x:v>
      </x:c>
      <x:c r="C5483" s="9" t="n">
        <x:v>2</x:v>
      </x:c>
      <x:c r="D5483" s="8" t="n">
        <x:v>45489</x:v>
      </x:c>
      <x:c r="E5483" s="9" t="n">
        <x:v>3799250</x:v>
      </x:c>
      <x:c r="F5483" s="9" t="n">
        <x:v>3799250</x:v>
      </x:c>
    </x:row>
    <x:row r="5484" ht="34" customHeight="1">
      <x:c r="A5484" s="4" t="str">
        <x:v>RS-02760-I3</x:v>
      </x:c>
      <x:c r="B5484" s="4" t="str">
        <x:v>RS-02760</x:v>
      </x:c>
      <x:c r="C5484" s="9" t="n">
        <x:v>3</x:v>
      </x:c>
      <x:c r="D5484" s="8" t="n">
        <x:v>45519</x:v>
      </x:c>
      <x:c r="E5484" s="9" t="n">
        <x:v>3799250</x:v>
      </x:c>
      <x:c r="F5484" s="9" t="n">
        <x:v>3799250</x:v>
      </x:c>
    </x:row>
    <x:row r="5485" ht="34" customHeight="1">
      <x:c r="A5485" s="4" t="str">
        <x:v>RS-02760-I4</x:v>
      </x:c>
      <x:c r="B5485" s="4" t="str">
        <x:v>RS-02760</x:v>
      </x:c>
      <x:c r="C5485" s="9" t="n">
        <x:v>4</x:v>
      </x:c>
      <x:c r="D5485" s="8" t="n">
        <x:v>45549</x:v>
      </x:c>
      <x:c r="E5485" s="9" t="n">
        <x:v>3799250</x:v>
      </x:c>
      <x:c r="F5485" s="9" t="n">
        <x:v>3799250</x:v>
      </x:c>
    </x:row>
    <x:row r="5486" ht="34" customHeight="1">
      <x:c r="A5486" s="4" t="str">
        <x:v>RS-02761-I1</x:v>
      </x:c>
      <x:c r="B5486" s="4" t="str">
        <x:v>RS-02761</x:v>
      </x:c>
      <x:c r="C5486" s="9" t="n">
        <x:v>1</x:v>
      </x:c>
      <x:c r="D5486" s="8" t="n">
        <x:v>45460</x:v>
      </x:c>
      <x:c r="E5486" s="9" t="n">
        <x:v>1913500</x:v>
      </x:c>
      <x:c r="F5486" s="9" t="n">
        <x:v>1913500</x:v>
      </x:c>
    </x:row>
    <x:row r="5487" ht="34" customHeight="1">
      <x:c r="A5487" s="4" t="str">
        <x:v>RS-02761-I2</x:v>
      </x:c>
      <x:c r="B5487" s="4" t="str">
        <x:v>RS-02761</x:v>
      </x:c>
      <x:c r="C5487" s="9" t="n">
        <x:v>2</x:v>
      </x:c>
      <x:c r="D5487" s="8" t="n">
        <x:v>45490</x:v>
      </x:c>
      <x:c r="E5487" s="9" t="n">
        <x:v>1913500</x:v>
      </x:c>
      <x:c r="F5487" s="9" t="n">
        <x:v>1913500</x:v>
      </x:c>
    </x:row>
    <x:row r="5488" ht="34" customHeight="1">
      <x:c r="A5488" s="4" t="str">
        <x:v>RS-02761-I3</x:v>
      </x:c>
      <x:c r="B5488" s="4" t="str">
        <x:v>RS-02761</x:v>
      </x:c>
      <x:c r="C5488" s="9" t="n">
        <x:v>3</x:v>
      </x:c>
      <x:c r="D5488" s="8" t="n">
        <x:v>45520</x:v>
      </x:c>
      <x:c r="E5488" s="9" t="n">
        <x:v>1913500</x:v>
      </x:c>
      <x:c r="F5488" s="9" t="n">
        <x:v>1913500</x:v>
      </x:c>
    </x:row>
    <x:row r="5489" ht="34" customHeight="1">
      <x:c r="A5489" s="4" t="str">
        <x:v>RS-02761-I4</x:v>
      </x:c>
      <x:c r="B5489" s="4" t="str">
        <x:v>RS-02761</x:v>
      </x:c>
      <x:c r="C5489" s="9" t="n">
        <x:v>4</x:v>
      </x:c>
      <x:c r="D5489" s="8" t="n">
        <x:v>45550</x:v>
      </x:c>
      <x:c r="E5489" s="9" t="n">
        <x:v>1913500</x:v>
      </x:c>
      <x:c r="F5489" s="9" t="n">
        <x:v>1913500</x:v>
      </x:c>
    </x:row>
    <x:row r="5490" ht="34" customHeight="1">
      <x:c r="A5490" s="4" t="str">
        <x:v>RS-02762-I1</x:v>
      </x:c>
      <x:c r="B5490" s="4" t="str">
        <x:v>RS-02762</x:v>
      </x:c>
      <x:c r="C5490" s="9" t="n">
        <x:v>1</x:v>
      </x:c>
      <x:c r="D5490" s="8" t="n">
        <x:v>45461</x:v>
      </x:c>
      <x:c r="E5490" s="9" t="n">
        <x:v>5362250</x:v>
      </x:c>
      <x:c r="F5490" s="9" t="n">
        <x:v>5362250</x:v>
      </x:c>
    </x:row>
    <x:row r="5491" ht="34" customHeight="1">
      <x:c r="A5491" s="4" t="str">
        <x:v>RS-02762-I2</x:v>
      </x:c>
      <x:c r="B5491" s="4" t="str">
        <x:v>RS-02762</x:v>
      </x:c>
      <x:c r="C5491" s="9" t="n">
        <x:v>2</x:v>
      </x:c>
      <x:c r="D5491" s="8" t="n">
        <x:v>45491</x:v>
      </x:c>
      <x:c r="E5491" s="9" t="n">
        <x:v>5362250</x:v>
      </x:c>
      <x:c r="F5491" s="9" t="n">
        <x:v>0</x:v>
      </x:c>
    </x:row>
    <x:row r="5492" ht="34" customHeight="1">
      <x:c r="A5492" s="4" t="str">
        <x:v>RS-02762-I3</x:v>
      </x:c>
      <x:c r="B5492" s="4" t="str">
        <x:v>RS-02762</x:v>
      </x:c>
      <x:c r="C5492" s="9" t="n">
        <x:v>3</x:v>
      </x:c>
      <x:c r="D5492" s="8" t="n">
        <x:v>45521</x:v>
      </x:c>
      <x:c r="E5492" s="9" t="n">
        <x:v>5362250</x:v>
      </x:c>
      <x:c r="F5492" s="9" t="n">
        <x:v>0</x:v>
      </x:c>
    </x:row>
    <x:row r="5493" ht="34" customHeight="1">
      <x:c r="A5493" s="4" t="str">
        <x:v>RS-02762-I4</x:v>
      </x:c>
      <x:c r="B5493" s="4" t="str">
        <x:v>RS-02762</x:v>
      </x:c>
      <x:c r="C5493" s="9" t="n">
        <x:v>4</x:v>
      </x:c>
      <x:c r="D5493" s="8" t="n">
        <x:v>45551</x:v>
      </x:c>
      <x:c r="E5493" s="9" t="n">
        <x:v>5362250</x:v>
      </x:c>
      <x:c r="F5493" s="9" t="n">
        <x:v>0</x:v>
      </x:c>
    </x:row>
    <x:row r="5494" ht="34" customHeight="1">
      <x:c r="A5494" s="4" t="str">
        <x:v>RS-02764-I1</x:v>
      </x:c>
      <x:c r="B5494" s="4" t="str">
        <x:v>RS-02764</x:v>
      </x:c>
      <x:c r="C5494" s="9" t="n">
        <x:v>1</x:v>
      </x:c>
      <x:c r="D5494" s="8" t="n">
        <x:v>45463</x:v>
      </x:c>
      <x:c r="E5494" s="9" t="n">
        <x:v>4830000</x:v>
      </x:c>
      <x:c r="F5494" s="9" t="n">
        <x:v>4830000</x:v>
      </x:c>
    </x:row>
    <x:row r="5495" ht="34" customHeight="1">
      <x:c r="A5495" s="4" t="str">
        <x:v>RS-02764-I2</x:v>
      </x:c>
      <x:c r="B5495" s="4" t="str">
        <x:v>RS-02764</x:v>
      </x:c>
      <x:c r="C5495" s="9" t="n">
        <x:v>2</x:v>
      </x:c>
      <x:c r="D5495" s="8" t="n">
        <x:v>45493</x:v>
      </x:c>
      <x:c r="E5495" s="9" t="n">
        <x:v>4830000</x:v>
      </x:c>
      <x:c r="F5495" s="9" t="n">
        <x:v>0</x:v>
      </x:c>
    </x:row>
    <x:row r="5496" ht="34" customHeight="1">
      <x:c r="A5496" s="4" t="str">
        <x:v>RS-02764-I3</x:v>
      </x:c>
      <x:c r="B5496" s="4" t="str">
        <x:v>RS-02764</x:v>
      </x:c>
      <x:c r="C5496" s="9" t="n">
        <x:v>3</x:v>
      </x:c>
      <x:c r="D5496" s="8" t="n">
        <x:v>45523</x:v>
      </x:c>
      <x:c r="E5496" s="9" t="n">
        <x:v>4830000</x:v>
      </x:c>
      <x:c r="F5496" s="9" t="n">
        <x:v>0</x:v>
      </x:c>
    </x:row>
    <x:row r="5497" ht="34" customHeight="1">
      <x:c r="A5497" s="4" t="str">
        <x:v>RS-02764-I4</x:v>
      </x:c>
      <x:c r="B5497" s="4" t="str">
        <x:v>RS-02764</x:v>
      </x:c>
      <x:c r="C5497" s="9" t="n">
        <x:v>4</x:v>
      </x:c>
      <x:c r="D5497" s="8" t="n">
        <x:v>45553</x:v>
      </x:c>
      <x:c r="E5497" s="9" t="n">
        <x:v>4830000</x:v>
      </x:c>
      <x:c r="F5497" s="9" t="n">
        <x:v>0</x:v>
      </x:c>
    </x:row>
    <x:row r="5498" ht="34" customHeight="1">
      <x:c r="A5498" s="4" t="str">
        <x:v>RS-02766-I1</x:v>
      </x:c>
      <x:c r="B5498" s="4" t="str">
        <x:v>RS-02766</x:v>
      </x:c>
      <x:c r="C5498" s="9" t="n">
        <x:v>1</x:v>
      </x:c>
      <x:c r="D5498" s="8" t="n">
        <x:v>45465</x:v>
      </x:c>
      <x:c r="E5498" s="9" t="n">
        <x:v>4347000</x:v>
      </x:c>
      <x:c r="F5498" s="9" t="n">
        <x:v>1738800</x:v>
      </x:c>
    </x:row>
    <x:row r="5499" ht="34" customHeight="1">
      <x:c r="A5499" s="4" t="str">
        <x:v>RS-02766-I2</x:v>
      </x:c>
      <x:c r="B5499" s="4" t="str">
        <x:v>RS-02766</x:v>
      </x:c>
      <x:c r="C5499" s="9" t="n">
        <x:v>2</x:v>
      </x:c>
      <x:c r="D5499" s="8" t="n">
        <x:v>45495</x:v>
      </x:c>
      <x:c r="E5499" s="9" t="n">
        <x:v>4347000</x:v>
      </x:c>
      <x:c r="F5499" s="9" t="n">
        <x:v>0</x:v>
      </x:c>
    </x:row>
    <x:row r="5500" ht="34" customHeight="1">
      <x:c r="A5500" s="4" t="str">
        <x:v>RS-02766-I3</x:v>
      </x:c>
      <x:c r="B5500" s="4" t="str">
        <x:v>RS-02766</x:v>
      </x:c>
      <x:c r="C5500" s="9" t="n">
        <x:v>3</x:v>
      </x:c>
      <x:c r="D5500" s="8" t="n">
        <x:v>45525</x:v>
      </x:c>
      <x:c r="E5500" s="9" t="n">
        <x:v>4347000</x:v>
      </x:c>
      <x:c r="F5500" s="9" t="n">
        <x:v>0</x:v>
      </x:c>
    </x:row>
    <x:row r="5501" ht="34" customHeight="1">
      <x:c r="A5501" s="4" t="str">
        <x:v>RS-02766-I4</x:v>
      </x:c>
      <x:c r="B5501" s="4" t="str">
        <x:v>RS-02766</x:v>
      </x:c>
      <x:c r="C5501" s="9" t="n">
        <x:v>4</x:v>
      </x:c>
      <x:c r="D5501" s="8" t="n">
        <x:v>45555</x:v>
      </x:c>
      <x:c r="E5501" s="9" t="n">
        <x:v>4347000</x:v>
      </x:c>
      <x:c r="F5501" s="9" t="n">
        <x:v>0</x:v>
      </x:c>
    </x:row>
    <x:row r="5502" ht="34" customHeight="1">
      <x:c r="A5502" s="4" t="str">
        <x:v>RS-02770-I1</x:v>
      </x:c>
      <x:c r="B5502" s="4" t="str">
        <x:v>RS-02770</x:v>
      </x:c>
      <x:c r="C5502" s="9" t="n">
        <x:v>1</x:v>
      </x:c>
      <x:c r="D5502" s="8" t="n">
        <x:v>45469</x:v>
      </x:c>
      <x:c r="E5502" s="9" t="n">
        <x:v>5365500</x:v>
      </x:c>
      <x:c r="F5502" s="9" t="n">
        <x:v>5365500</x:v>
      </x:c>
    </x:row>
    <x:row r="5503" ht="34" customHeight="1">
      <x:c r="A5503" s="4" t="str">
        <x:v>RS-02770-I2</x:v>
      </x:c>
      <x:c r="B5503" s="4" t="str">
        <x:v>RS-02770</x:v>
      </x:c>
      <x:c r="C5503" s="9" t="n">
        <x:v>2</x:v>
      </x:c>
      <x:c r="D5503" s="8" t="n">
        <x:v>45499</x:v>
      </x:c>
      <x:c r="E5503" s="9" t="n">
        <x:v>5365500</x:v>
      </x:c>
      <x:c r="F5503" s="9" t="n">
        <x:v>5365500</x:v>
      </x:c>
    </x:row>
    <x:row r="5504" ht="34" customHeight="1">
      <x:c r="A5504" s="4" t="str">
        <x:v>RS-02770-I3</x:v>
      </x:c>
      <x:c r="B5504" s="4" t="str">
        <x:v>RS-02770</x:v>
      </x:c>
      <x:c r="C5504" s="9" t="n">
        <x:v>3</x:v>
      </x:c>
      <x:c r="D5504" s="8" t="n">
        <x:v>45529</x:v>
      </x:c>
      <x:c r="E5504" s="9" t="n">
        <x:v>5365500</x:v>
      </x:c>
      <x:c r="F5504" s="9" t="n">
        <x:v>0</x:v>
      </x:c>
    </x:row>
    <x:row r="5505" ht="34" customHeight="1">
      <x:c r="A5505" s="4" t="str">
        <x:v>RS-02770-I4</x:v>
      </x:c>
      <x:c r="B5505" s="4" t="str">
        <x:v>RS-02770</x:v>
      </x:c>
      <x:c r="C5505" s="9" t="n">
        <x:v>4</x:v>
      </x:c>
      <x:c r="D5505" s="8" t="n">
        <x:v>45559</x:v>
      </x:c>
      <x:c r="E5505" s="9" t="n">
        <x:v>5365500</x:v>
      </x:c>
      <x:c r="F5505" s="9" t="n">
        <x:v>0</x:v>
      </x:c>
    </x:row>
    <x:row r="5506" ht="34" customHeight="1">
      <x:c r="A5506" s="4" t="str">
        <x:v>RS-02771-I1</x:v>
      </x:c>
      <x:c r="B5506" s="4" t="str">
        <x:v>RS-02771</x:v>
      </x:c>
      <x:c r="C5506" s="9" t="n">
        <x:v>1</x:v>
      </x:c>
      <x:c r="D5506" s="8" t="n">
        <x:v>45470</x:v>
      </x:c>
      <x:c r="E5506" s="9" t="n">
        <x:v>4296000</x:v>
      </x:c>
      <x:c r="F5506" s="9" t="n">
        <x:v>4296000</x:v>
      </x:c>
    </x:row>
    <x:row r="5507" ht="34" customHeight="1">
      <x:c r="A5507" s="4" t="str">
        <x:v>RS-02771-I2</x:v>
      </x:c>
      <x:c r="B5507" s="4" t="str">
        <x:v>RS-02771</x:v>
      </x:c>
      <x:c r="C5507" s="9" t="n">
        <x:v>2</x:v>
      </x:c>
      <x:c r="D5507" s="8" t="n">
        <x:v>45500</x:v>
      </x:c>
      <x:c r="E5507" s="9" t="n">
        <x:v>4296000</x:v>
      </x:c>
      <x:c r="F5507" s="9" t="n">
        <x:v>0</x:v>
      </x:c>
    </x:row>
    <x:row r="5508" ht="34" customHeight="1">
      <x:c r="A5508" s="4" t="str">
        <x:v>RS-02771-I3</x:v>
      </x:c>
      <x:c r="B5508" s="4" t="str">
        <x:v>RS-02771</x:v>
      </x:c>
      <x:c r="C5508" s="9" t="n">
        <x:v>3</x:v>
      </x:c>
      <x:c r="D5508" s="8" t="n">
        <x:v>45530</x:v>
      </x:c>
      <x:c r="E5508" s="9" t="n">
        <x:v>4296000</x:v>
      </x:c>
      <x:c r="F5508" s="9" t="n">
        <x:v>0</x:v>
      </x:c>
    </x:row>
    <x:row r="5509" ht="34" customHeight="1">
      <x:c r="A5509" s="4" t="str">
        <x:v>RS-02771-I4</x:v>
      </x:c>
      <x:c r="B5509" s="4" t="str">
        <x:v>RS-02771</x:v>
      </x:c>
      <x:c r="C5509" s="9" t="n">
        <x:v>4</x:v>
      </x:c>
      <x:c r="D5509" s="8" t="n">
        <x:v>45560</x:v>
      </x:c>
      <x:c r="E5509" s="9" t="n">
        <x:v>4296000</x:v>
      </x:c>
      <x:c r="F5509" s="9" t="n">
        <x:v>0</x:v>
      </x:c>
    </x:row>
    <x:row r="5510" ht="34" customHeight="1">
      <x:c r="A5510" s="4" t="str">
        <x:v>RS-02776-I1</x:v>
      </x:c>
      <x:c r="B5510" s="4" t="str">
        <x:v>RS-02776</x:v>
      </x:c>
      <x:c r="C5510" s="9" t="n">
        <x:v>1</x:v>
      </x:c>
      <x:c r="D5510" s="8" t="n">
        <x:v>45447</x:v>
      </x:c>
      <x:c r="E5510" s="9" t="n">
        <x:v>2740250</x:v>
      </x:c>
      <x:c r="F5510" s="9" t="n">
        <x:v>2740250</x:v>
      </x:c>
    </x:row>
    <x:row r="5511" ht="34" customHeight="1">
      <x:c r="A5511" s="4" t="str">
        <x:v>RS-02776-I2</x:v>
      </x:c>
      <x:c r="B5511" s="4" t="str">
        <x:v>RS-02776</x:v>
      </x:c>
      <x:c r="C5511" s="9" t="n">
        <x:v>2</x:v>
      </x:c>
      <x:c r="D5511" s="8" t="n">
        <x:v>45477</x:v>
      </x:c>
      <x:c r="E5511" s="9" t="n">
        <x:v>2740250</x:v>
      </x:c>
      <x:c r="F5511" s="9" t="n">
        <x:v>2740250</x:v>
      </x:c>
    </x:row>
    <x:row r="5512" ht="34" customHeight="1">
      <x:c r="A5512" s="4" t="str">
        <x:v>RS-02776-I3</x:v>
      </x:c>
      <x:c r="B5512" s="4" t="str">
        <x:v>RS-02776</x:v>
      </x:c>
      <x:c r="C5512" s="9" t="n">
        <x:v>3</x:v>
      </x:c>
      <x:c r="D5512" s="8" t="n">
        <x:v>45507</x:v>
      </x:c>
      <x:c r="E5512" s="9" t="n">
        <x:v>2740250</x:v>
      </x:c>
      <x:c r="F5512" s="9" t="n">
        <x:v>2740250</x:v>
      </x:c>
    </x:row>
    <x:row r="5513" ht="34" customHeight="1">
      <x:c r="A5513" s="4" t="str">
        <x:v>RS-02776-I4</x:v>
      </x:c>
      <x:c r="B5513" s="4" t="str">
        <x:v>RS-02776</x:v>
      </x:c>
      <x:c r="C5513" s="9" t="n">
        <x:v>4</x:v>
      </x:c>
      <x:c r="D5513" s="8" t="n">
        <x:v>45537</x:v>
      </x:c>
      <x:c r="E5513" s="9" t="n">
        <x:v>2740250</x:v>
      </x:c>
      <x:c r="F5513" s="9" t="n">
        <x:v>2740250</x:v>
      </x:c>
    </x:row>
    <x:row r="5514" ht="34" customHeight="1">
      <x:c r="A5514" s="4" t="str">
        <x:v>RS-02777-I1</x:v>
      </x:c>
      <x:c r="B5514" s="4" t="str">
        <x:v>RS-02777</x:v>
      </x:c>
      <x:c r="C5514" s="9" t="n">
        <x:v>1</x:v>
      </x:c>
      <x:c r="D5514" s="8" t="n">
        <x:v>45448</x:v>
      </x:c>
      <x:c r="E5514" s="9" t="n">
        <x:v>5652500</x:v>
      </x:c>
      <x:c r="F5514" s="9" t="n">
        <x:v>5652500</x:v>
      </x:c>
    </x:row>
    <x:row r="5515" ht="34" customHeight="1">
      <x:c r="A5515" s="4" t="str">
        <x:v>RS-02777-I2</x:v>
      </x:c>
      <x:c r="B5515" s="4" t="str">
        <x:v>RS-02777</x:v>
      </x:c>
      <x:c r="C5515" s="9" t="n">
        <x:v>2</x:v>
      </x:c>
      <x:c r="D5515" s="8" t="n">
        <x:v>45478</x:v>
      </x:c>
      <x:c r="E5515" s="9" t="n">
        <x:v>5652500</x:v>
      </x:c>
      <x:c r="F5515" s="9" t="n">
        <x:v>0</x:v>
      </x:c>
    </x:row>
    <x:row r="5516" ht="34" customHeight="1">
      <x:c r="A5516" s="4" t="str">
        <x:v>RS-02777-I3</x:v>
      </x:c>
      <x:c r="B5516" s="4" t="str">
        <x:v>RS-02777</x:v>
      </x:c>
      <x:c r="C5516" s="9" t="n">
        <x:v>3</x:v>
      </x:c>
      <x:c r="D5516" s="8" t="n">
        <x:v>45508</x:v>
      </x:c>
      <x:c r="E5516" s="9" t="n">
        <x:v>5652500</x:v>
      </x:c>
      <x:c r="F5516" s="9" t="n">
        <x:v>0</x:v>
      </x:c>
    </x:row>
    <x:row r="5517" ht="34" customHeight="1">
      <x:c r="A5517" s="4" t="str">
        <x:v>RS-02777-I4</x:v>
      </x:c>
      <x:c r="B5517" s="4" t="str">
        <x:v>RS-02777</x:v>
      </x:c>
      <x:c r="C5517" s="9" t="n">
        <x:v>4</x:v>
      </x:c>
      <x:c r="D5517" s="8" t="n">
        <x:v>45538</x:v>
      </x:c>
      <x:c r="E5517" s="9" t="n">
        <x:v>5652500</x:v>
      </x:c>
      <x:c r="F5517" s="9" t="n">
        <x:v>0</x:v>
      </x:c>
    </x:row>
    <x:row r="5518" ht="34" customHeight="1">
      <x:c r="A5518" s="4" t="str">
        <x:v>RS-02779-I1</x:v>
      </x:c>
      <x:c r="B5518" s="4" t="str">
        <x:v>RS-02779</x:v>
      </x:c>
      <x:c r="C5518" s="9" t="n">
        <x:v>1</x:v>
      </x:c>
      <x:c r="D5518" s="8" t="n">
        <x:v>45450</x:v>
      </x:c>
      <x:c r="E5518" s="9" t="n">
        <x:v>1157000</x:v>
      </x:c>
      <x:c r="F5518" s="9" t="n">
        <x:v>1157000</x:v>
      </x:c>
    </x:row>
    <x:row r="5519" ht="34" customHeight="1">
      <x:c r="A5519" s="4" t="str">
        <x:v>RS-02779-I2</x:v>
      </x:c>
      <x:c r="B5519" s="4" t="str">
        <x:v>RS-02779</x:v>
      </x:c>
      <x:c r="C5519" s="9" t="n">
        <x:v>2</x:v>
      </x:c>
      <x:c r="D5519" s="8" t="n">
        <x:v>45480</x:v>
      </x:c>
      <x:c r="E5519" s="9" t="n">
        <x:v>1157000</x:v>
      </x:c>
      <x:c r="F5519" s="9" t="n">
        <x:v>0</x:v>
      </x:c>
    </x:row>
    <x:row r="5520" ht="34" customHeight="1">
      <x:c r="A5520" s="4" t="str">
        <x:v>RS-02779-I3</x:v>
      </x:c>
      <x:c r="B5520" s="4" t="str">
        <x:v>RS-02779</x:v>
      </x:c>
      <x:c r="C5520" s="9" t="n">
        <x:v>3</x:v>
      </x:c>
      <x:c r="D5520" s="8" t="n">
        <x:v>45510</x:v>
      </x:c>
      <x:c r="E5520" s="9" t="n">
        <x:v>1157000</x:v>
      </x:c>
      <x:c r="F5520" s="9" t="n">
        <x:v>0</x:v>
      </x:c>
    </x:row>
    <x:row r="5521" ht="34" customHeight="1">
      <x:c r="A5521" s="4" t="str">
        <x:v>RS-02779-I4</x:v>
      </x:c>
      <x:c r="B5521" s="4" t="str">
        <x:v>RS-02779</x:v>
      </x:c>
      <x:c r="C5521" s="9" t="n">
        <x:v>4</x:v>
      </x:c>
      <x:c r="D5521" s="8" t="n">
        <x:v>45540</x:v>
      </x:c>
      <x:c r="E5521" s="9" t="n">
        <x:v>1157000</x:v>
      </x:c>
      <x:c r="F5521" s="9" t="n">
        <x:v>0</x:v>
      </x:c>
    </x:row>
    <x:row r="5522" ht="34" customHeight="1">
      <x:c r="A5522" s="4" t="str">
        <x:v>RS-02781-I1</x:v>
      </x:c>
      <x:c r="B5522" s="4" t="str">
        <x:v>RS-02781</x:v>
      </x:c>
      <x:c r="C5522" s="9" t="n">
        <x:v>1</x:v>
      </x:c>
      <x:c r="D5522" s="8" t="n">
        <x:v>45452</x:v>
      </x:c>
      <x:c r="E5522" s="9" t="n">
        <x:v>2820000</x:v>
      </x:c>
      <x:c r="F5522" s="9" t="n">
        <x:v>2820000</x:v>
      </x:c>
    </x:row>
    <x:row r="5523" ht="34" customHeight="1">
      <x:c r="A5523" s="4" t="str">
        <x:v>RS-02781-I2</x:v>
      </x:c>
      <x:c r="B5523" s="4" t="str">
        <x:v>RS-02781</x:v>
      </x:c>
      <x:c r="C5523" s="9" t="n">
        <x:v>2</x:v>
      </x:c>
      <x:c r="D5523" s="8" t="n">
        <x:v>45482</x:v>
      </x:c>
      <x:c r="E5523" s="9" t="n">
        <x:v>2820000</x:v>
      </x:c>
      <x:c r="F5523" s="9" t="n">
        <x:v>2820000</x:v>
      </x:c>
    </x:row>
    <x:row r="5524" ht="34" customHeight="1">
      <x:c r="A5524" s="4" t="str">
        <x:v>RS-02781-I3</x:v>
      </x:c>
      <x:c r="B5524" s="4" t="str">
        <x:v>RS-02781</x:v>
      </x:c>
      <x:c r="C5524" s="9" t="n">
        <x:v>3</x:v>
      </x:c>
      <x:c r="D5524" s="8" t="n">
        <x:v>45512</x:v>
      </x:c>
      <x:c r="E5524" s="9" t="n">
        <x:v>2820000</x:v>
      </x:c>
      <x:c r="F5524" s="9" t="n">
        <x:v>0</x:v>
      </x:c>
    </x:row>
    <x:row r="5525" ht="34" customHeight="1">
      <x:c r="A5525" s="4" t="str">
        <x:v>RS-02781-I4</x:v>
      </x:c>
      <x:c r="B5525" s="4" t="str">
        <x:v>RS-02781</x:v>
      </x:c>
      <x:c r="C5525" s="9" t="n">
        <x:v>4</x:v>
      </x:c>
      <x:c r="D5525" s="8" t="n">
        <x:v>45542</x:v>
      </x:c>
      <x:c r="E5525" s="9" t="n">
        <x:v>2820000</x:v>
      </x:c>
      <x:c r="F5525" s="9" t="n">
        <x:v>0</x:v>
      </x:c>
    </x:row>
    <x:row r="5526" ht="34" customHeight="1">
      <x:c r="A5526" s="4" t="str">
        <x:v>RS-02784-I1</x:v>
      </x:c>
      <x:c r="B5526" s="4" t="str">
        <x:v>RS-02784</x:v>
      </x:c>
      <x:c r="C5526" s="9" t="n">
        <x:v>1</x:v>
      </x:c>
      <x:c r="D5526" s="8" t="n">
        <x:v>45455</x:v>
      </x:c>
      <x:c r="E5526" s="9" t="n">
        <x:v>4342500</x:v>
      </x:c>
      <x:c r="F5526" s="9" t="n">
        <x:v>1737000</x:v>
      </x:c>
    </x:row>
    <x:row r="5527" ht="34" customHeight="1">
      <x:c r="A5527" s="4" t="str">
        <x:v>RS-02784-I2</x:v>
      </x:c>
      <x:c r="B5527" s="4" t="str">
        <x:v>RS-02784</x:v>
      </x:c>
      <x:c r="C5527" s="9" t="n">
        <x:v>2</x:v>
      </x:c>
      <x:c r="D5527" s="8" t="n">
        <x:v>45485</x:v>
      </x:c>
      <x:c r="E5527" s="9" t="n">
        <x:v>4342500</x:v>
      </x:c>
      <x:c r="F5527" s="9" t="n">
        <x:v>0</x:v>
      </x:c>
    </x:row>
    <x:row r="5528" ht="34" customHeight="1">
      <x:c r="A5528" s="4" t="str">
        <x:v>RS-02784-I3</x:v>
      </x:c>
      <x:c r="B5528" s="4" t="str">
        <x:v>RS-02784</x:v>
      </x:c>
      <x:c r="C5528" s="9" t="n">
        <x:v>3</x:v>
      </x:c>
      <x:c r="D5528" s="8" t="n">
        <x:v>45515</x:v>
      </x:c>
      <x:c r="E5528" s="9" t="n">
        <x:v>4342500</x:v>
      </x:c>
      <x:c r="F5528" s="9" t="n">
        <x:v>0</x:v>
      </x:c>
    </x:row>
    <x:row r="5529" ht="34" customHeight="1">
      <x:c r="A5529" s="4" t="str">
        <x:v>RS-02784-I4</x:v>
      </x:c>
      <x:c r="B5529" s="4" t="str">
        <x:v>RS-02784</x:v>
      </x:c>
      <x:c r="C5529" s="9" t="n">
        <x:v>4</x:v>
      </x:c>
      <x:c r="D5529" s="8" t="n">
        <x:v>45545</x:v>
      </x:c>
      <x:c r="E5529" s="9" t="n">
        <x:v>4342500</x:v>
      </x:c>
      <x:c r="F5529" s="9" t="n">
        <x:v>0</x:v>
      </x:c>
    </x:row>
    <x:row r="5530" ht="34" customHeight="1">
      <x:c r="A5530" s="4" t="str">
        <x:v>RS-02787-I1</x:v>
      </x:c>
      <x:c r="B5530" s="4" t="str">
        <x:v>RS-02787</x:v>
      </x:c>
      <x:c r="C5530" s="9" t="n">
        <x:v>1</x:v>
      </x:c>
      <x:c r="D5530" s="8" t="n">
        <x:v>45458</x:v>
      </x:c>
      <x:c r="E5530" s="9" t="n">
        <x:v>2061250</x:v>
      </x:c>
      <x:c r="F5530" s="9" t="n">
        <x:v>2061250</x:v>
      </x:c>
    </x:row>
    <x:row r="5531" ht="34" customHeight="1">
      <x:c r="A5531" s="4" t="str">
        <x:v>RS-02787-I2</x:v>
      </x:c>
      <x:c r="B5531" s="4" t="str">
        <x:v>RS-02787</x:v>
      </x:c>
      <x:c r="C5531" s="9" t="n">
        <x:v>2</x:v>
      </x:c>
      <x:c r="D5531" s="8" t="n">
        <x:v>45488</x:v>
      </x:c>
      <x:c r="E5531" s="9" t="n">
        <x:v>2061250</x:v>
      </x:c>
      <x:c r="F5531" s="9" t="n">
        <x:v>0</x:v>
      </x:c>
    </x:row>
    <x:row r="5532" ht="34" customHeight="1">
      <x:c r="A5532" s="4" t="str">
        <x:v>RS-02787-I3</x:v>
      </x:c>
      <x:c r="B5532" s="4" t="str">
        <x:v>RS-02787</x:v>
      </x:c>
      <x:c r="C5532" s="9" t="n">
        <x:v>3</x:v>
      </x:c>
      <x:c r="D5532" s="8" t="n">
        <x:v>45518</x:v>
      </x:c>
      <x:c r="E5532" s="9" t="n">
        <x:v>2061250</x:v>
      </x:c>
      <x:c r="F5532" s="9" t="n">
        <x:v>0</x:v>
      </x:c>
    </x:row>
    <x:row r="5533" ht="34" customHeight="1">
      <x:c r="A5533" s="4" t="str">
        <x:v>RS-02787-I4</x:v>
      </x:c>
      <x:c r="B5533" s="4" t="str">
        <x:v>RS-02787</x:v>
      </x:c>
      <x:c r="C5533" s="9" t="n">
        <x:v>4</x:v>
      </x:c>
      <x:c r="D5533" s="8" t="n">
        <x:v>45548</x:v>
      </x:c>
      <x:c r="E5533" s="9" t="n">
        <x:v>2061250</x:v>
      </x:c>
      <x:c r="F5533" s="9" t="n">
        <x:v>0</x:v>
      </x:c>
    </x:row>
    <x:row r="5534" ht="34" customHeight="1">
      <x:c r="A5534" s="4" t="str">
        <x:v>RS-02792-I1</x:v>
      </x:c>
      <x:c r="B5534" s="4" t="str">
        <x:v>RS-02792</x:v>
      </x:c>
      <x:c r="C5534" s="9" t="n">
        <x:v>1</x:v>
      </x:c>
      <x:c r="D5534" s="8" t="n">
        <x:v>45463</x:v>
      </x:c>
      <x:c r="E5534" s="9" t="n">
        <x:v>2852000</x:v>
      </x:c>
      <x:c r="F5534" s="9" t="n">
        <x:v>2852000</x:v>
      </x:c>
    </x:row>
    <x:row r="5535" ht="34" customHeight="1">
      <x:c r="A5535" s="4" t="str">
        <x:v>RS-02792-I2</x:v>
      </x:c>
      <x:c r="B5535" s="4" t="str">
        <x:v>RS-02792</x:v>
      </x:c>
      <x:c r="C5535" s="9" t="n">
        <x:v>2</x:v>
      </x:c>
      <x:c r="D5535" s="8" t="n">
        <x:v>45493</x:v>
      </x:c>
      <x:c r="E5535" s="9" t="n">
        <x:v>2852000</x:v>
      </x:c>
      <x:c r="F5535" s="9" t="n">
        <x:v>2852000</x:v>
      </x:c>
    </x:row>
    <x:row r="5536" ht="34" customHeight="1">
      <x:c r="A5536" s="4" t="str">
        <x:v>RS-02792-I3</x:v>
      </x:c>
      <x:c r="B5536" s="4" t="str">
        <x:v>RS-02792</x:v>
      </x:c>
      <x:c r="C5536" s="9" t="n">
        <x:v>3</x:v>
      </x:c>
      <x:c r="D5536" s="8" t="n">
        <x:v>45523</x:v>
      </x:c>
      <x:c r="E5536" s="9" t="n">
        <x:v>2852000</x:v>
      </x:c>
      <x:c r="F5536" s="9" t="n">
        <x:v>2852000</x:v>
      </x:c>
    </x:row>
    <x:row r="5537" ht="34" customHeight="1">
      <x:c r="A5537" s="4" t="str">
        <x:v>RS-02792-I4</x:v>
      </x:c>
      <x:c r="B5537" s="4" t="str">
        <x:v>RS-02792</x:v>
      </x:c>
      <x:c r="C5537" s="9" t="n">
        <x:v>4</x:v>
      </x:c>
      <x:c r="D5537" s="8" t="n">
        <x:v>45553</x:v>
      </x:c>
      <x:c r="E5537" s="9" t="n">
        <x:v>2852000</x:v>
      </x:c>
      <x:c r="F5537" s="9" t="n">
        <x:v>2852000</x:v>
      </x:c>
    </x:row>
    <x:row r="5538" ht="34" customHeight="1">
      <x:c r="A5538" s="4" t="str">
        <x:v>RS-02794-I1</x:v>
      </x:c>
      <x:c r="B5538" s="4" t="str">
        <x:v>RS-02794</x:v>
      </x:c>
      <x:c r="C5538" s="9" t="n">
        <x:v>1</x:v>
      </x:c>
      <x:c r="D5538" s="8" t="n">
        <x:v>45465</x:v>
      </x:c>
      <x:c r="E5538" s="9" t="n">
        <x:v>1330000</x:v>
      </x:c>
      <x:c r="F5538" s="9" t="n">
        <x:v>1330000</x:v>
      </x:c>
    </x:row>
    <x:row r="5539" ht="34" customHeight="1">
      <x:c r="A5539" s="4" t="str">
        <x:v>RS-02794-I2</x:v>
      </x:c>
      <x:c r="B5539" s="4" t="str">
        <x:v>RS-02794</x:v>
      </x:c>
      <x:c r="C5539" s="9" t="n">
        <x:v>2</x:v>
      </x:c>
      <x:c r="D5539" s="8" t="n">
        <x:v>45495</x:v>
      </x:c>
      <x:c r="E5539" s="9" t="n">
        <x:v>1330000</x:v>
      </x:c>
      <x:c r="F5539" s="9" t="n">
        <x:v>0</x:v>
      </x:c>
    </x:row>
    <x:row r="5540" ht="34" customHeight="1">
      <x:c r="A5540" s="4" t="str">
        <x:v>RS-02794-I3</x:v>
      </x:c>
      <x:c r="B5540" s="4" t="str">
        <x:v>RS-02794</x:v>
      </x:c>
      <x:c r="C5540" s="9" t="n">
        <x:v>3</x:v>
      </x:c>
      <x:c r="D5540" s="8" t="n">
        <x:v>45525</x:v>
      </x:c>
      <x:c r="E5540" s="9" t="n">
        <x:v>1330000</x:v>
      </x:c>
      <x:c r="F5540" s="9" t="n">
        <x:v>0</x:v>
      </x:c>
    </x:row>
    <x:row r="5541" ht="34" customHeight="1">
      <x:c r="A5541" s="4" t="str">
        <x:v>RS-02794-I4</x:v>
      </x:c>
      <x:c r="B5541" s="4" t="str">
        <x:v>RS-02794</x:v>
      </x:c>
      <x:c r="C5541" s="9" t="n">
        <x:v>4</x:v>
      </x:c>
      <x:c r="D5541" s="8" t="n">
        <x:v>45555</x:v>
      </x:c>
      <x:c r="E5541" s="9" t="n">
        <x:v>1330000</x:v>
      </x:c>
      <x:c r="F5541" s="9" t="n">
        <x:v>0</x:v>
      </x:c>
    </x:row>
    <x:row r="5542" ht="34" customHeight="1">
      <x:c r="A5542" s="4" t="str">
        <x:v>RS-02796-I1</x:v>
      </x:c>
      <x:c r="B5542" s="4" t="str">
        <x:v>RS-02796</x:v>
      </x:c>
      <x:c r="C5542" s="9" t="n">
        <x:v>1</x:v>
      </x:c>
      <x:c r="D5542" s="8" t="n">
        <x:v>45467</x:v>
      </x:c>
      <x:c r="E5542" s="9" t="n">
        <x:v>1462500</x:v>
      </x:c>
      <x:c r="F5542" s="9" t="n">
        <x:v>1462500</x:v>
      </x:c>
    </x:row>
    <x:row r="5543" ht="34" customHeight="1">
      <x:c r="A5543" s="4" t="str">
        <x:v>RS-02796-I2</x:v>
      </x:c>
      <x:c r="B5543" s="4" t="str">
        <x:v>RS-02796</x:v>
      </x:c>
      <x:c r="C5543" s="9" t="n">
        <x:v>2</x:v>
      </x:c>
      <x:c r="D5543" s="8" t="n">
        <x:v>45497</x:v>
      </x:c>
      <x:c r="E5543" s="9" t="n">
        <x:v>1462500</x:v>
      </x:c>
      <x:c r="F5543" s="9" t="n">
        <x:v>0</x:v>
      </x:c>
    </x:row>
    <x:row r="5544" ht="34" customHeight="1">
      <x:c r="A5544" s="4" t="str">
        <x:v>RS-02796-I3</x:v>
      </x:c>
      <x:c r="B5544" s="4" t="str">
        <x:v>RS-02796</x:v>
      </x:c>
      <x:c r="C5544" s="9" t="n">
        <x:v>3</x:v>
      </x:c>
      <x:c r="D5544" s="8" t="n">
        <x:v>45527</x:v>
      </x:c>
      <x:c r="E5544" s="9" t="n">
        <x:v>1462500</x:v>
      </x:c>
      <x:c r="F5544" s="9" t="n">
        <x:v>0</x:v>
      </x:c>
    </x:row>
    <x:row r="5545" ht="34" customHeight="1">
      <x:c r="A5545" s="4" t="str">
        <x:v>RS-02796-I4</x:v>
      </x:c>
      <x:c r="B5545" s="4" t="str">
        <x:v>RS-02796</x:v>
      </x:c>
      <x:c r="C5545" s="9" t="n">
        <x:v>4</x:v>
      </x:c>
      <x:c r="D5545" s="8" t="n">
        <x:v>45557</x:v>
      </x:c>
      <x:c r="E5545" s="9" t="n">
        <x:v>1462500</x:v>
      </x:c>
      <x:c r="F5545" s="9" t="n">
        <x:v>0</x:v>
      </x:c>
    </x:row>
    <x:row r="5546" ht="34" customHeight="1">
      <x:c r="A5546" s="4" t="str">
        <x:v>RS-02798-I1</x:v>
      </x:c>
      <x:c r="B5546" s="4" t="str">
        <x:v>RS-02798</x:v>
      </x:c>
      <x:c r="C5546" s="9" t="n">
        <x:v>1</x:v>
      </x:c>
      <x:c r="D5546" s="8" t="n">
        <x:v>45469</x:v>
      </x:c>
      <x:c r="E5546" s="9" t="n">
        <x:v>1843000</x:v>
      </x:c>
      <x:c r="F5546" s="9" t="n">
        <x:v>1843000</x:v>
      </x:c>
    </x:row>
    <x:row r="5547" ht="34" customHeight="1">
      <x:c r="A5547" s="4" t="str">
        <x:v>RS-02798-I2</x:v>
      </x:c>
      <x:c r="B5547" s="4" t="str">
        <x:v>RS-02798</x:v>
      </x:c>
      <x:c r="C5547" s="9" t="n">
        <x:v>2</x:v>
      </x:c>
      <x:c r="D5547" s="8" t="n">
        <x:v>45499</x:v>
      </x:c>
      <x:c r="E5547" s="9" t="n">
        <x:v>1843000</x:v>
      </x:c>
      <x:c r="F5547" s="9" t="n">
        <x:v>1843000</x:v>
      </x:c>
    </x:row>
    <x:row r="5548" ht="34" customHeight="1">
      <x:c r="A5548" s="4" t="str">
        <x:v>RS-02798-I3</x:v>
      </x:c>
      <x:c r="B5548" s="4" t="str">
        <x:v>RS-02798</x:v>
      </x:c>
      <x:c r="C5548" s="9" t="n">
        <x:v>3</x:v>
      </x:c>
      <x:c r="D5548" s="8" t="n">
        <x:v>45529</x:v>
      </x:c>
      <x:c r="E5548" s="9" t="n">
        <x:v>1843000</x:v>
      </x:c>
      <x:c r="F5548" s="9" t="n">
        <x:v>1843000</x:v>
      </x:c>
    </x:row>
    <x:row r="5549" ht="34" customHeight="1">
      <x:c r="A5549" s="4" t="str">
        <x:v>RS-02798-I4</x:v>
      </x:c>
      <x:c r="B5549" s="4" t="str">
        <x:v>RS-02798</x:v>
      </x:c>
      <x:c r="C5549" s="9" t="n">
        <x:v>4</x:v>
      </x:c>
      <x:c r="D5549" s="8" t="n">
        <x:v>45559</x:v>
      </x:c>
      <x:c r="E5549" s="9" t="n">
        <x:v>1843000</x:v>
      </x:c>
      <x:c r="F5549" s="9" t="n">
        <x:v>1843000</x:v>
      </x:c>
    </x:row>
    <x:row r="5550" ht="34" customHeight="1">
      <x:c r="A5550" s="4" t="str">
        <x:v>RS-02799-I1</x:v>
      </x:c>
      <x:c r="B5550" s="4" t="str">
        <x:v>RS-02799</x:v>
      </x:c>
      <x:c r="C5550" s="9" t="n">
        <x:v>1</x:v>
      </x:c>
      <x:c r="D5550" s="8" t="n">
        <x:v>45470</x:v>
      </x:c>
      <x:c r="E5550" s="9" t="n">
        <x:v>3384000</x:v>
      </x:c>
      <x:c r="F5550" s="9" t="n">
        <x:v>3384000</x:v>
      </x:c>
    </x:row>
    <x:row r="5551" ht="34" customHeight="1">
      <x:c r="A5551" s="4" t="str">
        <x:v>RS-02799-I2</x:v>
      </x:c>
      <x:c r="B5551" s="4" t="str">
        <x:v>RS-02799</x:v>
      </x:c>
      <x:c r="C5551" s="9" t="n">
        <x:v>2</x:v>
      </x:c>
      <x:c r="D5551" s="8" t="n">
        <x:v>45500</x:v>
      </x:c>
      <x:c r="E5551" s="9" t="n">
        <x:v>3384000</x:v>
      </x:c>
      <x:c r="F5551" s="9" t="n">
        <x:v>0</x:v>
      </x:c>
    </x:row>
    <x:row r="5552" ht="34" customHeight="1">
      <x:c r="A5552" s="4" t="str">
        <x:v>RS-02799-I3</x:v>
      </x:c>
      <x:c r="B5552" s="4" t="str">
        <x:v>RS-02799</x:v>
      </x:c>
      <x:c r="C5552" s="9" t="n">
        <x:v>3</x:v>
      </x:c>
      <x:c r="D5552" s="8" t="n">
        <x:v>45530</x:v>
      </x:c>
      <x:c r="E5552" s="9" t="n">
        <x:v>3384000</x:v>
      </x:c>
      <x:c r="F5552" s="9" t="n">
        <x:v>0</x:v>
      </x:c>
    </x:row>
    <x:row r="5553" ht="34" customHeight="1">
      <x:c r="A5553" s="4" t="str">
        <x:v>RS-02799-I4</x:v>
      </x:c>
      <x:c r="B5553" s="4" t="str">
        <x:v>RS-02799</x:v>
      </x:c>
      <x:c r="C5553" s="9" t="n">
        <x:v>4</x:v>
      </x:c>
      <x:c r="D5553" s="8" t="n">
        <x:v>45560</x:v>
      </x:c>
      <x:c r="E5553" s="9" t="n">
        <x:v>3384000</x:v>
      </x:c>
      <x:c r="F5553" s="9" t="n">
        <x:v>0</x:v>
      </x:c>
    </x:row>
    <x:row r="5554" ht="34" customHeight="1">
      <x:c r="A5554" s="4" t="str">
        <x:v>RS-02800-I1</x:v>
      </x:c>
      <x:c r="B5554" s="4" t="str">
        <x:v>RS-02800</x:v>
      </x:c>
      <x:c r="C5554" s="9" t="n">
        <x:v>1</x:v>
      </x:c>
      <x:c r="D5554" s="8" t="n">
        <x:v>45471</x:v>
      </x:c>
      <x:c r="E5554" s="9" t="n">
        <x:v>4032000</x:v>
      </x:c>
      <x:c r="F5554" s="9" t="n">
        <x:v>1612800</x:v>
      </x:c>
    </x:row>
    <x:row r="5555" ht="34" customHeight="1">
      <x:c r="A5555" s="4" t="str">
        <x:v>RS-02800-I2</x:v>
      </x:c>
      <x:c r="B5555" s="4" t="str">
        <x:v>RS-02800</x:v>
      </x:c>
      <x:c r="C5555" s="9" t="n">
        <x:v>2</x:v>
      </x:c>
      <x:c r="D5555" s="8" t="n">
        <x:v>45501</x:v>
      </x:c>
      <x:c r="E5555" s="9" t="n">
        <x:v>4032000</x:v>
      </x:c>
      <x:c r="F5555" s="9" t="n">
        <x:v>0</x:v>
      </x:c>
    </x:row>
    <x:row r="5556" ht="34" customHeight="1">
      <x:c r="A5556" s="4" t="str">
        <x:v>RS-02800-I3</x:v>
      </x:c>
      <x:c r="B5556" s="4" t="str">
        <x:v>RS-02800</x:v>
      </x:c>
      <x:c r="C5556" s="9" t="n">
        <x:v>3</x:v>
      </x:c>
      <x:c r="D5556" s="8" t="n">
        <x:v>45531</x:v>
      </x:c>
      <x:c r="E5556" s="9" t="n">
        <x:v>4032000</x:v>
      </x:c>
      <x:c r="F5556" s="9" t="n">
        <x:v>0</x:v>
      </x:c>
    </x:row>
    <x:row r="5557" ht="34" customHeight="1">
      <x:c r="A5557" s="4" t="str">
        <x:v>RS-02800-I4</x:v>
      </x:c>
      <x:c r="B5557" s="4" t="str">
        <x:v>RS-02800</x:v>
      </x:c>
      <x:c r="C5557" s="9" t="n">
        <x:v>4</x:v>
      </x:c>
      <x:c r="D5557" s="8" t="n">
        <x:v>45561</x:v>
      </x:c>
      <x:c r="E5557" s="9" t="n">
        <x:v>4032000</x:v>
      </x:c>
      <x:c r="F5557" s="9" t="n">
        <x:v>0</x:v>
      </x:c>
    </x:row>
    <x:row r="5558" ht="34" customHeight="1">
      <x:c r="A5558" s="4" t="str">
        <x:v>RS-02801-I1</x:v>
      </x:c>
      <x:c r="B5558" s="4" t="str">
        <x:v>RS-02801</x:v>
      </x:c>
      <x:c r="C5558" s="9" t="n">
        <x:v>1</x:v>
      </x:c>
      <x:c r="D5558" s="8" t="n">
        <x:v>45444</x:v>
      </x:c>
      <x:c r="E5558" s="9" t="n">
        <x:v>2082500</x:v>
      </x:c>
      <x:c r="F5558" s="9" t="n">
        <x:v>833000</x:v>
      </x:c>
    </x:row>
    <x:row r="5559" ht="34" customHeight="1">
      <x:c r="A5559" s="4" t="str">
        <x:v>RS-02801-I2</x:v>
      </x:c>
      <x:c r="B5559" s="4" t="str">
        <x:v>RS-02801</x:v>
      </x:c>
      <x:c r="C5559" s="9" t="n">
        <x:v>2</x:v>
      </x:c>
      <x:c r="D5559" s="8" t="n">
        <x:v>45474</x:v>
      </x:c>
      <x:c r="E5559" s="9" t="n">
        <x:v>2082500</x:v>
      </x:c>
      <x:c r="F5559" s="9" t="n">
        <x:v>0</x:v>
      </x:c>
    </x:row>
    <x:row r="5560" ht="34" customHeight="1">
      <x:c r="A5560" s="4" t="str">
        <x:v>RS-02801-I3</x:v>
      </x:c>
      <x:c r="B5560" s="4" t="str">
        <x:v>RS-02801</x:v>
      </x:c>
      <x:c r="C5560" s="9" t="n">
        <x:v>3</x:v>
      </x:c>
      <x:c r="D5560" s="8" t="n">
        <x:v>45504</x:v>
      </x:c>
      <x:c r="E5560" s="9" t="n">
        <x:v>2082500</x:v>
      </x:c>
      <x:c r="F5560" s="9" t="n">
        <x:v>0</x:v>
      </x:c>
    </x:row>
    <x:row r="5561" ht="34" customHeight="1">
      <x:c r="A5561" s="4" t="str">
        <x:v>RS-02801-I4</x:v>
      </x:c>
      <x:c r="B5561" s="4" t="str">
        <x:v>RS-02801</x:v>
      </x:c>
      <x:c r="C5561" s="9" t="n">
        <x:v>4</x:v>
      </x:c>
      <x:c r="D5561" s="8" t="n">
        <x:v>45534</x:v>
      </x:c>
      <x:c r="E5561" s="9" t="n">
        <x:v>2082500</x:v>
      </x:c>
      <x:c r="F5561" s="9" t="n">
        <x:v>0</x:v>
      </x:c>
    </x:row>
    <x:row r="5562" ht="34" customHeight="1">
      <x:c r="A5562" s="4" t="str">
        <x:v>RS-02803-I1</x:v>
      </x:c>
      <x:c r="B5562" s="4" t="str">
        <x:v>RS-02803</x:v>
      </x:c>
      <x:c r="C5562" s="9" t="n">
        <x:v>1</x:v>
      </x:c>
      <x:c r="D5562" s="8" t="n">
        <x:v>45446</x:v>
      </x:c>
      <x:c r="E5562" s="9" t="n">
        <x:v>728500</x:v>
      </x:c>
      <x:c r="F5562" s="9" t="n">
        <x:v>728500</x:v>
      </x:c>
    </x:row>
    <x:row r="5563" ht="34" customHeight="1">
      <x:c r="A5563" s="4" t="str">
        <x:v>RS-02803-I2</x:v>
      </x:c>
      <x:c r="B5563" s="4" t="str">
        <x:v>RS-02803</x:v>
      </x:c>
      <x:c r="C5563" s="9" t="n">
        <x:v>2</x:v>
      </x:c>
      <x:c r="D5563" s="8" t="n">
        <x:v>45476</x:v>
      </x:c>
      <x:c r="E5563" s="9" t="n">
        <x:v>728500</x:v>
      </x:c>
      <x:c r="F5563" s="9" t="n">
        <x:v>728500</x:v>
      </x:c>
    </x:row>
    <x:row r="5564" ht="34" customHeight="1">
      <x:c r="A5564" s="4" t="str">
        <x:v>RS-02803-I3</x:v>
      </x:c>
      <x:c r="B5564" s="4" t="str">
        <x:v>RS-02803</x:v>
      </x:c>
      <x:c r="C5564" s="9" t="n">
        <x:v>3</x:v>
      </x:c>
      <x:c r="D5564" s="8" t="n">
        <x:v>45506</x:v>
      </x:c>
      <x:c r="E5564" s="9" t="n">
        <x:v>728500</x:v>
      </x:c>
      <x:c r="F5564" s="9" t="n">
        <x:v>728500</x:v>
      </x:c>
    </x:row>
    <x:row r="5565" ht="34" customHeight="1">
      <x:c r="A5565" s="4" t="str">
        <x:v>RS-02803-I4</x:v>
      </x:c>
      <x:c r="B5565" s="4" t="str">
        <x:v>RS-02803</x:v>
      </x:c>
      <x:c r="C5565" s="9" t="n">
        <x:v>4</x:v>
      </x:c>
      <x:c r="D5565" s="8" t="n">
        <x:v>45536</x:v>
      </x:c>
      <x:c r="E5565" s="9" t="n">
        <x:v>728500</x:v>
      </x:c>
      <x:c r="F5565" s="9" t="n">
        <x:v>728500</x:v>
      </x:c>
    </x:row>
    <x:row r="5566" ht="34" customHeight="1">
      <x:c r="A5566" s="4" t="str">
        <x:v>RS-02805-I1</x:v>
      </x:c>
      <x:c r="B5566" s="4" t="str">
        <x:v>RS-02805</x:v>
      </x:c>
      <x:c r="C5566" s="9" t="n">
        <x:v>1</x:v>
      </x:c>
      <x:c r="D5566" s="8" t="n">
        <x:v>45448</x:v>
      </x:c>
      <x:c r="E5566" s="9" t="n">
        <x:v>5355000</x:v>
      </x:c>
      <x:c r="F5566" s="9" t="n">
        <x:v>5355000</x:v>
      </x:c>
    </x:row>
    <x:row r="5567" ht="34" customHeight="1">
      <x:c r="A5567" s="4" t="str">
        <x:v>RS-02805-I2</x:v>
      </x:c>
      <x:c r="B5567" s="4" t="str">
        <x:v>RS-02805</x:v>
      </x:c>
      <x:c r="C5567" s="9" t="n">
        <x:v>2</x:v>
      </x:c>
      <x:c r="D5567" s="8" t="n">
        <x:v>45478</x:v>
      </x:c>
      <x:c r="E5567" s="9" t="n">
        <x:v>5355000</x:v>
      </x:c>
      <x:c r="F5567" s="9" t="n">
        <x:v>5355000</x:v>
      </x:c>
    </x:row>
    <x:row r="5568" ht="34" customHeight="1">
      <x:c r="A5568" s="4" t="str">
        <x:v>RS-02805-I3</x:v>
      </x:c>
      <x:c r="B5568" s="4" t="str">
        <x:v>RS-02805</x:v>
      </x:c>
      <x:c r="C5568" s="9" t="n">
        <x:v>3</x:v>
      </x:c>
      <x:c r="D5568" s="8" t="n">
        <x:v>45508</x:v>
      </x:c>
      <x:c r="E5568" s="9" t="n">
        <x:v>5355000</x:v>
      </x:c>
      <x:c r="F5568" s="9" t="n">
        <x:v>0</x:v>
      </x:c>
    </x:row>
    <x:row r="5569" ht="34" customHeight="1">
      <x:c r="A5569" s="4" t="str">
        <x:v>RS-02805-I4</x:v>
      </x:c>
      <x:c r="B5569" s="4" t="str">
        <x:v>RS-02805</x:v>
      </x:c>
      <x:c r="C5569" s="9" t="n">
        <x:v>4</x:v>
      </x:c>
      <x:c r="D5569" s="8" t="n">
        <x:v>45538</x:v>
      </x:c>
      <x:c r="E5569" s="9" t="n">
        <x:v>5355000</x:v>
      </x:c>
      <x:c r="F5569" s="9" t="n">
        <x:v>0</x:v>
      </x:c>
    </x:row>
    <x:row r="5570" ht="34" customHeight="1">
      <x:c r="A5570" s="4" t="str">
        <x:v>RS-02806-I1</x:v>
      </x:c>
      <x:c r="B5570" s="4" t="str">
        <x:v>RS-02806</x:v>
      </x:c>
      <x:c r="C5570" s="9" t="n">
        <x:v>1</x:v>
      </x:c>
      <x:c r="D5570" s="8" t="n">
        <x:v>45449</x:v>
      </x:c>
      <x:c r="E5570" s="9" t="n">
        <x:v>4224000</x:v>
      </x:c>
      <x:c r="F5570" s="9" t="n">
        <x:v>4224000</x:v>
      </x:c>
    </x:row>
    <x:row r="5571" ht="34" customHeight="1">
      <x:c r="A5571" s="4" t="str">
        <x:v>RS-02806-I2</x:v>
      </x:c>
      <x:c r="B5571" s="4" t="str">
        <x:v>RS-02806</x:v>
      </x:c>
      <x:c r="C5571" s="9" t="n">
        <x:v>2</x:v>
      </x:c>
      <x:c r="D5571" s="8" t="n">
        <x:v>45479</x:v>
      </x:c>
      <x:c r="E5571" s="9" t="n">
        <x:v>4224000</x:v>
      </x:c>
      <x:c r="F5571" s="9" t="n">
        <x:v>4224000</x:v>
      </x:c>
    </x:row>
    <x:row r="5572" ht="34" customHeight="1">
      <x:c r="A5572" s="4" t="str">
        <x:v>RS-02806-I3</x:v>
      </x:c>
      <x:c r="B5572" s="4" t="str">
        <x:v>RS-02806</x:v>
      </x:c>
      <x:c r="C5572" s="9" t="n">
        <x:v>3</x:v>
      </x:c>
      <x:c r="D5572" s="8" t="n">
        <x:v>45509</x:v>
      </x:c>
      <x:c r="E5572" s="9" t="n">
        <x:v>4224000</x:v>
      </x:c>
      <x:c r="F5572" s="9" t="n">
        <x:v>4224000</x:v>
      </x:c>
    </x:row>
    <x:row r="5573" ht="34" customHeight="1">
      <x:c r="A5573" s="4" t="str">
        <x:v>RS-02806-I4</x:v>
      </x:c>
      <x:c r="B5573" s="4" t="str">
        <x:v>RS-02806</x:v>
      </x:c>
      <x:c r="C5573" s="9" t="n">
        <x:v>4</x:v>
      </x:c>
      <x:c r="D5573" s="8" t="n">
        <x:v>45539</x:v>
      </x:c>
      <x:c r="E5573" s="9" t="n">
        <x:v>4224000</x:v>
      </x:c>
      <x:c r="F5573" s="9" t="n">
        <x:v>4224000</x:v>
      </x:c>
    </x:row>
    <x:row r="5574" ht="34" customHeight="1">
      <x:c r="A5574" s="4" t="str">
        <x:v>RS-02809-I1</x:v>
      </x:c>
      <x:c r="B5574" s="4" t="str">
        <x:v>RS-02809</x:v>
      </x:c>
      <x:c r="C5574" s="9" t="n">
        <x:v>1</x:v>
      </x:c>
      <x:c r="D5574" s="8" t="n">
        <x:v>45452</x:v>
      </x:c>
      <x:c r="E5574" s="9" t="n">
        <x:v>1417500</x:v>
      </x:c>
      <x:c r="F5574" s="9" t="n">
        <x:v>1417500</x:v>
      </x:c>
    </x:row>
    <x:row r="5575" ht="34" customHeight="1">
      <x:c r="A5575" s="4" t="str">
        <x:v>RS-02809-I2</x:v>
      </x:c>
      <x:c r="B5575" s="4" t="str">
        <x:v>RS-02809</x:v>
      </x:c>
      <x:c r="C5575" s="9" t="n">
        <x:v>2</x:v>
      </x:c>
      <x:c r="D5575" s="8" t="n">
        <x:v>45482</x:v>
      </x:c>
      <x:c r="E5575" s="9" t="n">
        <x:v>1417500</x:v>
      </x:c>
      <x:c r="F5575" s="9" t="n">
        <x:v>1417500</x:v>
      </x:c>
    </x:row>
    <x:row r="5576" ht="34" customHeight="1">
      <x:c r="A5576" s="4" t="str">
        <x:v>RS-02809-I3</x:v>
      </x:c>
      <x:c r="B5576" s="4" t="str">
        <x:v>RS-02809</x:v>
      </x:c>
      <x:c r="C5576" s="9" t="n">
        <x:v>3</x:v>
      </x:c>
      <x:c r="D5576" s="8" t="n">
        <x:v>45512</x:v>
      </x:c>
      <x:c r="E5576" s="9" t="n">
        <x:v>1417500</x:v>
      </x:c>
      <x:c r="F5576" s="9" t="n">
        <x:v>1417500</x:v>
      </x:c>
    </x:row>
    <x:row r="5577" ht="34" customHeight="1">
      <x:c r="A5577" s="4" t="str">
        <x:v>RS-02809-I4</x:v>
      </x:c>
      <x:c r="B5577" s="4" t="str">
        <x:v>RS-02809</x:v>
      </x:c>
      <x:c r="C5577" s="9" t="n">
        <x:v>4</x:v>
      </x:c>
      <x:c r="D5577" s="8" t="n">
        <x:v>45542</x:v>
      </x:c>
      <x:c r="E5577" s="9" t="n">
        <x:v>1417500</x:v>
      </x:c>
      <x:c r="F5577" s="9" t="n">
        <x:v>1417500</x:v>
      </x:c>
    </x:row>
    <x:row r="5578" ht="34" customHeight="1">
      <x:c r="A5578" s="4" t="str">
        <x:v>RS-02810-I1</x:v>
      </x:c>
      <x:c r="B5578" s="4" t="str">
        <x:v>RS-02810</x:v>
      </x:c>
      <x:c r="C5578" s="9" t="n">
        <x:v>1</x:v>
      </x:c>
      <x:c r="D5578" s="8" t="n">
        <x:v>45453</x:v>
      </x:c>
      <x:c r="E5578" s="9" t="n">
        <x:v>5828000</x:v>
      </x:c>
      <x:c r="F5578" s="9" t="n">
        <x:v>5828000</x:v>
      </x:c>
    </x:row>
    <x:row r="5579" ht="34" customHeight="1">
      <x:c r="A5579" s="4" t="str">
        <x:v>RS-02810-I2</x:v>
      </x:c>
      <x:c r="B5579" s="4" t="str">
        <x:v>RS-02810</x:v>
      </x:c>
      <x:c r="C5579" s="9" t="n">
        <x:v>2</x:v>
      </x:c>
      <x:c r="D5579" s="8" t="n">
        <x:v>45483</x:v>
      </x:c>
      <x:c r="E5579" s="9" t="n">
        <x:v>5828000</x:v>
      </x:c>
      <x:c r="F5579" s="9" t="n">
        <x:v>0</x:v>
      </x:c>
    </x:row>
    <x:row r="5580" ht="34" customHeight="1">
      <x:c r="A5580" s="4" t="str">
        <x:v>RS-02810-I3</x:v>
      </x:c>
      <x:c r="B5580" s="4" t="str">
        <x:v>RS-02810</x:v>
      </x:c>
      <x:c r="C5580" s="9" t="n">
        <x:v>3</x:v>
      </x:c>
      <x:c r="D5580" s="8" t="n">
        <x:v>45513</x:v>
      </x:c>
      <x:c r="E5580" s="9" t="n">
        <x:v>5828000</x:v>
      </x:c>
      <x:c r="F5580" s="9" t="n">
        <x:v>0</x:v>
      </x:c>
    </x:row>
    <x:row r="5581" ht="34" customHeight="1">
      <x:c r="A5581" s="4" t="str">
        <x:v>RS-02810-I4</x:v>
      </x:c>
      <x:c r="B5581" s="4" t="str">
        <x:v>RS-02810</x:v>
      </x:c>
      <x:c r="C5581" s="9" t="n">
        <x:v>4</x:v>
      </x:c>
      <x:c r="D5581" s="8" t="n">
        <x:v>45543</x:v>
      </x:c>
      <x:c r="E5581" s="9" t="n">
        <x:v>5828000</x:v>
      </x:c>
      <x:c r="F5581" s="9" t="n">
        <x:v>0</x:v>
      </x:c>
    </x:row>
    <x:row r="5582" ht="34" customHeight="1">
      <x:c r="A5582" s="4" t="str">
        <x:v>RS-02811-I1</x:v>
      </x:c>
      <x:c r="B5582" s="4" t="str">
        <x:v>RS-02811</x:v>
      </x:c>
      <x:c r="C5582" s="9" t="n">
        <x:v>1</x:v>
      </x:c>
      <x:c r="D5582" s="8" t="n">
        <x:v>45454</x:v>
      </x:c>
      <x:c r="E5582" s="9" t="n">
        <x:v>2300000</x:v>
      </x:c>
      <x:c r="F5582" s="9" t="n">
        <x:v>2300000</x:v>
      </x:c>
    </x:row>
    <x:row r="5583" ht="34" customHeight="1">
      <x:c r="A5583" s="4" t="str">
        <x:v>RS-02811-I2</x:v>
      </x:c>
      <x:c r="B5583" s="4" t="str">
        <x:v>RS-02811</x:v>
      </x:c>
      <x:c r="C5583" s="9" t="n">
        <x:v>2</x:v>
      </x:c>
      <x:c r="D5583" s="8" t="n">
        <x:v>45484</x:v>
      </x:c>
      <x:c r="E5583" s="9" t="n">
        <x:v>2300000</x:v>
      </x:c>
      <x:c r="F5583" s="9" t="n">
        <x:v>2300000</x:v>
      </x:c>
    </x:row>
    <x:row r="5584" ht="34" customHeight="1">
      <x:c r="A5584" s="4" t="str">
        <x:v>RS-02811-I3</x:v>
      </x:c>
      <x:c r="B5584" s="4" t="str">
        <x:v>RS-02811</x:v>
      </x:c>
      <x:c r="C5584" s="9" t="n">
        <x:v>3</x:v>
      </x:c>
      <x:c r="D5584" s="8" t="n">
        <x:v>45514</x:v>
      </x:c>
      <x:c r="E5584" s="9" t="n">
        <x:v>2300000</x:v>
      </x:c>
      <x:c r="F5584" s="9" t="n">
        <x:v>2300000</x:v>
      </x:c>
    </x:row>
    <x:row r="5585" ht="34" customHeight="1">
      <x:c r="A5585" s="4" t="str">
        <x:v>RS-02811-I4</x:v>
      </x:c>
      <x:c r="B5585" s="4" t="str">
        <x:v>RS-02811</x:v>
      </x:c>
      <x:c r="C5585" s="9" t="n">
        <x:v>4</x:v>
      </x:c>
      <x:c r="D5585" s="8" t="n">
        <x:v>45544</x:v>
      </x:c>
      <x:c r="E5585" s="9" t="n">
        <x:v>2300000</x:v>
      </x:c>
      <x:c r="F5585" s="9" t="n">
        <x:v>2300000</x:v>
      </x:c>
    </x:row>
    <x:row r="5586" ht="34" customHeight="1">
      <x:c r="A5586" s="4" t="str">
        <x:v>RS-02814-I1</x:v>
      </x:c>
      <x:c r="B5586" s="4" t="str">
        <x:v>RS-02814</x:v>
      </x:c>
      <x:c r="C5586" s="9" t="n">
        <x:v>1</x:v>
      </x:c>
      <x:c r="D5586" s="8" t="n">
        <x:v>45457</x:v>
      </x:c>
      <x:c r="E5586" s="9" t="n">
        <x:v>6225000</x:v>
      </x:c>
      <x:c r="F5586" s="9" t="n">
        <x:v>6225000</x:v>
      </x:c>
    </x:row>
    <x:row r="5587" ht="34" customHeight="1">
      <x:c r="A5587" s="4" t="str">
        <x:v>RS-02814-I2</x:v>
      </x:c>
      <x:c r="B5587" s="4" t="str">
        <x:v>RS-02814</x:v>
      </x:c>
      <x:c r="C5587" s="9" t="n">
        <x:v>2</x:v>
      </x:c>
      <x:c r="D5587" s="8" t="n">
        <x:v>45487</x:v>
      </x:c>
      <x:c r="E5587" s="9" t="n">
        <x:v>6225000</x:v>
      </x:c>
      <x:c r="F5587" s="9" t="n">
        <x:v>6225000</x:v>
      </x:c>
    </x:row>
    <x:row r="5588" ht="34" customHeight="1">
      <x:c r="A5588" s="4" t="str">
        <x:v>RS-02814-I3</x:v>
      </x:c>
      <x:c r="B5588" s="4" t="str">
        <x:v>RS-02814</x:v>
      </x:c>
      <x:c r="C5588" s="9" t="n">
        <x:v>3</x:v>
      </x:c>
      <x:c r="D5588" s="8" t="n">
        <x:v>45517</x:v>
      </x:c>
      <x:c r="E5588" s="9" t="n">
        <x:v>6225000</x:v>
      </x:c>
      <x:c r="F5588" s="9" t="n">
        <x:v>0</x:v>
      </x:c>
    </x:row>
    <x:row r="5589" ht="34" customHeight="1">
      <x:c r="A5589" s="4" t="str">
        <x:v>RS-02814-I4</x:v>
      </x:c>
      <x:c r="B5589" s="4" t="str">
        <x:v>RS-02814</x:v>
      </x:c>
      <x:c r="C5589" s="9" t="n">
        <x:v>4</x:v>
      </x:c>
      <x:c r="D5589" s="8" t="n">
        <x:v>45547</x:v>
      </x:c>
      <x:c r="E5589" s="9" t="n">
        <x:v>6225000</x:v>
      </x:c>
      <x:c r="F5589" s="9" t="n">
        <x:v>0</x:v>
      </x:c>
    </x:row>
    <x:row r="5590" ht="34" customHeight="1">
      <x:c r="A5590" s="4" t="str">
        <x:v>RS-02815-I1</x:v>
      </x:c>
      <x:c r="B5590" s="4" t="str">
        <x:v>RS-02815</x:v>
      </x:c>
      <x:c r="C5590" s="9" t="n">
        <x:v>1</x:v>
      </x:c>
      <x:c r="D5590" s="8" t="n">
        <x:v>45458</x:v>
      </x:c>
      <x:c r="E5590" s="9" t="n">
        <x:v>4679500</x:v>
      </x:c>
      <x:c r="F5590" s="9" t="n">
        <x:v>4679500</x:v>
      </x:c>
    </x:row>
    <x:row r="5591" ht="34" customHeight="1">
      <x:c r="A5591" s="4" t="str">
        <x:v>RS-02815-I2</x:v>
      </x:c>
      <x:c r="B5591" s="4" t="str">
        <x:v>RS-02815</x:v>
      </x:c>
      <x:c r="C5591" s="9" t="n">
        <x:v>2</x:v>
      </x:c>
      <x:c r="D5591" s="8" t="n">
        <x:v>45488</x:v>
      </x:c>
      <x:c r="E5591" s="9" t="n">
        <x:v>4679500</x:v>
      </x:c>
      <x:c r="F5591" s="9" t="n">
        <x:v>4679500</x:v>
      </x:c>
    </x:row>
    <x:row r="5592" ht="34" customHeight="1">
      <x:c r="A5592" s="4" t="str">
        <x:v>RS-02815-I3</x:v>
      </x:c>
      <x:c r="B5592" s="4" t="str">
        <x:v>RS-02815</x:v>
      </x:c>
      <x:c r="C5592" s="9" t="n">
        <x:v>3</x:v>
      </x:c>
      <x:c r="D5592" s="8" t="n">
        <x:v>45518</x:v>
      </x:c>
      <x:c r="E5592" s="9" t="n">
        <x:v>4679500</x:v>
      </x:c>
      <x:c r="F5592" s="9" t="n">
        <x:v>0</x:v>
      </x:c>
    </x:row>
    <x:row r="5593" ht="34" customHeight="1">
      <x:c r="A5593" s="4" t="str">
        <x:v>RS-02815-I4</x:v>
      </x:c>
      <x:c r="B5593" s="4" t="str">
        <x:v>RS-02815</x:v>
      </x:c>
      <x:c r="C5593" s="9" t="n">
        <x:v>4</x:v>
      </x:c>
      <x:c r="D5593" s="8" t="n">
        <x:v>45548</x:v>
      </x:c>
      <x:c r="E5593" s="9" t="n">
        <x:v>4679500</x:v>
      </x:c>
      <x:c r="F5593" s="9" t="n">
        <x:v>0</x:v>
      </x:c>
    </x:row>
    <x:row r="5594" ht="34" customHeight="1">
      <x:c r="A5594" s="4" t="str">
        <x:v>RS-02816-I1</x:v>
      </x:c>
      <x:c r="B5594" s="4" t="str">
        <x:v>RS-02816</x:v>
      </x:c>
      <x:c r="C5594" s="9" t="n">
        <x:v>1</x:v>
      </x:c>
      <x:c r="D5594" s="8" t="n">
        <x:v>45459</x:v>
      </x:c>
      <x:c r="E5594" s="9" t="n">
        <x:v>4230000</x:v>
      </x:c>
      <x:c r="F5594" s="9" t="n">
        <x:v>4230000</x:v>
      </x:c>
    </x:row>
    <x:row r="5595" ht="34" customHeight="1">
      <x:c r="A5595" s="4" t="str">
        <x:v>RS-02816-I2</x:v>
      </x:c>
      <x:c r="B5595" s="4" t="str">
        <x:v>RS-02816</x:v>
      </x:c>
      <x:c r="C5595" s="9" t="n">
        <x:v>2</x:v>
      </x:c>
      <x:c r="D5595" s="8" t="n">
        <x:v>45489</x:v>
      </x:c>
      <x:c r="E5595" s="9" t="n">
        <x:v>4230000</x:v>
      </x:c>
      <x:c r="F5595" s="9" t="n">
        <x:v>4230000</x:v>
      </x:c>
    </x:row>
    <x:row r="5596" ht="34" customHeight="1">
      <x:c r="A5596" s="4" t="str">
        <x:v>RS-02816-I3</x:v>
      </x:c>
      <x:c r="B5596" s="4" t="str">
        <x:v>RS-02816</x:v>
      </x:c>
      <x:c r="C5596" s="9" t="n">
        <x:v>3</x:v>
      </x:c>
      <x:c r="D5596" s="8" t="n">
        <x:v>45519</x:v>
      </x:c>
      <x:c r="E5596" s="9" t="n">
        <x:v>4230000</x:v>
      </x:c>
      <x:c r="F5596" s="9" t="n">
        <x:v>0</x:v>
      </x:c>
    </x:row>
    <x:row r="5597" ht="34" customHeight="1">
      <x:c r="A5597" s="4" t="str">
        <x:v>RS-02816-I4</x:v>
      </x:c>
      <x:c r="B5597" s="4" t="str">
        <x:v>RS-02816</x:v>
      </x:c>
      <x:c r="C5597" s="9" t="n">
        <x:v>4</x:v>
      </x:c>
      <x:c r="D5597" s="8" t="n">
        <x:v>45549</x:v>
      </x:c>
      <x:c r="E5597" s="9" t="n">
        <x:v>4230000</x:v>
      </x:c>
      <x:c r="F5597" s="9" t="n">
        <x:v>0</x:v>
      </x:c>
    </x:row>
    <x:row r="5598" ht="34" customHeight="1">
      <x:c r="A5598" s="4" t="str">
        <x:v>RS-02817-I1</x:v>
      </x:c>
      <x:c r="B5598" s="4" t="str">
        <x:v>RS-02817</x:v>
      </x:c>
      <x:c r="C5598" s="9" t="n">
        <x:v>1</x:v>
      </x:c>
      <x:c r="D5598" s="8" t="n">
        <x:v>45460</x:v>
      </x:c>
      <x:c r="E5598" s="9" t="n">
        <x:v>1080000</x:v>
      </x:c>
      <x:c r="F5598" s="9" t="n">
        <x:v>1080000</x:v>
      </x:c>
    </x:row>
    <x:row r="5599" ht="34" customHeight="1">
      <x:c r="A5599" s="4" t="str">
        <x:v>RS-02817-I2</x:v>
      </x:c>
      <x:c r="B5599" s="4" t="str">
        <x:v>RS-02817</x:v>
      </x:c>
      <x:c r="C5599" s="9" t="n">
        <x:v>2</x:v>
      </x:c>
      <x:c r="D5599" s="8" t="n">
        <x:v>45490</x:v>
      </x:c>
      <x:c r="E5599" s="9" t="n">
        <x:v>1080000</x:v>
      </x:c>
      <x:c r="F5599" s="9" t="n">
        <x:v>1080000</x:v>
      </x:c>
    </x:row>
    <x:row r="5600" ht="34" customHeight="1">
      <x:c r="A5600" s="4" t="str">
        <x:v>RS-02817-I3</x:v>
      </x:c>
      <x:c r="B5600" s="4" t="str">
        <x:v>RS-02817</x:v>
      </x:c>
      <x:c r="C5600" s="9" t="n">
        <x:v>3</x:v>
      </x:c>
      <x:c r="D5600" s="8" t="n">
        <x:v>45520</x:v>
      </x:c>
      <x:c r="E5600" s="9" t="n">
        <x:v>1080000</x:v>
      </x:c>
      <x:c r="F5600" s="9" t="n">
        <x:v>0</x:v>
      </x:c>
    </x:row>
    <x:row r="5601" ht="34" customHeight="1">
      <x:c r="A5601" s="4" t="str">
        <x:v>RS-02817-I4</x:v>
      </x:c>
      <x:c r="B5601" s="4" t="str">
        <x:v>RS-02817</x:v>
      </x:c>
      <x:c r="C5601" s="9" t="n">
        <x:v>4</x:v>
      </x:c>
      <x:c r="D5601" s="8" t="n">
        <x:v>45550</x:v>
      </x:c>
      <x:c r="E5601" s="9" t="n">
        <x:v>1080000</x:v>
      </x:c>
      <x:c r="F5601" s="9" t="n">
        <x:v>0</x:v>
      </x:c>
    </x:row>
    <x:row r="5602" ht="34" customHeight="1">
      <x:c r="A5602" s="4" t="str">
        <x:v>RS-02818-I1</x:v>
      </x:c>
      <x:c r="B5602" s="4" t="str">
        <x:v>RS-02818</x:v>
      </x:c>
      <x:c r="C5602" s="9" t="n">
        <x:v>1</x:v>
      </x:c>
      <x:c r="D5602" s="8" t="n">
        <x:v>45461</x:v>
      </x:c>
      <x:c r="E5602" s="9" t="n">
        <x:v>3715750</x:v>
      </x:c>
      <x:c r="F5602" s="9" t="n">
        <x:v>3715750</x:v>
      </x:c>
    </x:row>
    <x:row r="5603" ht="34" customHeight="1">
      <x:c r="A5603" s="4" t="str">
        <x:v>RS-02818-I2</x:v>
      </x:c>
      <x:c r="B5603" s="4" t="str">
        <x:v>RS-02818</x:v>
      </x:c>
      <x:c r="C5603" s="9" t="n">
        <x:v>2</x:v>
      </x:c>
      <x:c r="D5603" s="8" t="n">
        <x:v>45491</x:v>
      </x:c>
      <x:c r="E5603" s="9" t="n">
        <x:v>3715750</x:v>
      </x:c>
      <x:c r="F5603" s="9" t="n">
        <x:v>3715750</x:v>
      </x:c>
    </x:row>
    <x:row r="5604" ht="34" customHeight="1">
      <x:c r="A5604" s="4" t="str">
        <x:v>RS-02818-I3</x:v>
      </x:c>
      <x:c r="B5604" s="4" t="str">
        <x:v>RS-02818</x:v>
      </x:c>
      <x:c r="C5604" s="9" t="n">
        <x:v>3</x:v>
      </x:c>
      <x:c r="D5604" s="8" t="n">
        <x:v>45521</x:v>
      </x:c>
      <x:c r="E5604" s="9" t="n">
        <x:v>3715750</x:v>
      </x:c>
      <x:c r="F5604" s="9" t="n">
        <x:v>3715750</x:v>
      </x:c>
    </x:row>
    <x:row r="5605" ht="34" customHeight="1">
      <x:c r="A5605" s="4" t="str">
        <x:v>RS-02818-I4</x:v>
      </x:c>
      <x:c r="B5605" s="4" t="str">
        <x:v>RS-02818</x:v>
      </x:c>
      <x:c r="C5605" s="9" t="n">
        <x:v>4</x:v>
      </x:c>
      <x:c r="D5605" s="8" t="n">
        <x:v>45551</x:v>
      </x:c>
      <x:c r="E5605" s="9" t="n">
        <x:v>3715750</x:v>
      </x:c>
      <x:c r="F5605" s="9" t="n">
        <x:v>3715750</x:v>
      </x:c>
    </x:row>
    <x:row r="5606" ht="34" customHeight="1">
      <x:c r="A5606" s="4" t="str">
        <x:v>RS-02819-I1</x:v>
      </x:c>
      <x:c r="B5606" s="4" t="str">
        <x:v>RS-02819</x:v>
      </x:c>
      <x:c r="C5606" s="9" t="n">
        <x:v>1</x:v>
      </x:c>
      <x:c r="D5606" s="8" t="n">
        <x:v>45462</x:v>
      </x:c>
      <x:c r="E5606" s="9" t="n">
        <x:v>1333750</x:v>
      </x:c>
      <x:c r="F5606" s="9" t="n">
        <x:v>533500</x:v>
      </x:c>
    </x:row>
    <x:row r="5607" ht="34" customHeight="1">
      <x:c r="A5607" s="4" t="str">
        <x:v>RS-02819-I2</x:v>
      </x:c>
      <x:c r="B5607" s="4" t="str">
        <x:v>RS-02819</x:v>
      </x:c>
      <x:c r="C5607" s="9" t="n">
        <x:v>2</x:v>
      </x:c>
      <x:c r="D5607" s="8" t="n">
        <x:v>45492</x:v>
      </x:c>
      <x:c r="E5607" s="9" t="n">
        <x:v>1333750</x:v>
      </x:c>
      <x:c r="F5607" s="9" t="n">
        <x:v>0</x:v>
      </x:c>
    </x:row>
    <x:row r="5608" ht="34" customHeight="1">
      <x:c r="A5608" s="4" t="str">
        <x:v>RS-02819-I3</x:v>
      </x:c>
      <x:c r="B5608" s="4" t="str">
        <x:v>RS-02819</x:v>
      </x:c>
      <x:c r="C5608" s="9" t="n">
        <x:v>3</x:v>
      </x:c>
      <x:c r="D5608" s="8" t="n">
        <x:v>45522</x:v>
      </x:c>
      <x:c r="E5608" s="9" t="n">
        <x:v>1333750</x:v>
      </x:c>
      <x:c r="F5608" s="9" t="n">
        <x:v>0</x:v>
      </x:c>
    </x:row>
    <x:row r="5609" ht="34" customHeight="1">
      <x:c r="A5609" s="4" t="str">
        <x:v>RS-02819-I4</x:v>
      </x:c>
      <x:c r="B5609" s="4" t="str">
        <x:v>RS-02819</x:v>
      </x:c>
      <x:c r="C5609" s="9" t="n">
        <x:v>4</x:v>
      </x:c>
      <x:c r="D5609" s="8" t="n">
        <x:v>45552</x:v>
      </x:c>
      <x:c r="E5609" s="9" t="n">
        <x:v>1333750</x:v>
      </x:c>
      <x:c r="F5609" s="9" t="n">
        <x:v>0</x:v>
      </x:c>
    </x:row>
    <x:row r="5610" ht="34" customHeight="1">
      <x:c r="A5610" s="4" t="str">
        <x:v>RS-02821-I1</x:v>
      </x:c>
      <x:c r="B5610" s="4" t="str">
        <x:v>RS-02821</x:v>
      </x:c>
      <x:c r="C5610" s="9" t="n">
        <x:v>1</x:v>
      </x:c>
      <x:c r="D5610" s="8" t="n">
        <x:v>45464</x:v>
      </x:c>
      <x:c r="E5610" s="9" t="n">
        <x:v>2371500</x:v>
      </x:c>
      <x:c r="F5610" s="9" t="n">
        <x:v>2371500</x:v>
      </x:c>
    </x:row>
    <x:row r="5611" ht="34" customHeight="1">
      <x:c r="A5611" s="4" t="str">
        <x:v>RS-02821-I2</x:v>
      </x:c>
      <x:c r="B5611" s="4" t="str">
        <x:v>RS-02821</x:v>
      </x:c>
      <x:c r="C5611" s="9" t="n">
        <x:v>2</x:v>
      </x:c>
      <x:c r="D5611" s="8" t="n">
        <x:v>45494</x:v>
      </x:c>
      <x:c r="E5611" s="9" t="n">
        <x:v>2371500</x:v>
      </x:c>
      <x:c r="F5611" s="9" t="n">
        <x:v>2371500</x:v>
      </x:c>
    </x:row>
    <x:row r="5612" ht="34" customHeight="1">
      <x:c r="A5612" s="4" t="str">
        <x:v>RS-02821-I3</x:v>
      </x:c>
      <x:c r="B5612" s="4" t="str">
        <x:v>RS-02821</x:v>
      </x:c>
      <x:c r="C5612" s="9" t="n">
        <x:v>3</x:v>
      </x:c>
      <x:c r="D5612" s="8" t="n">
        <x:v>45524</x:v>
      </x:c>
      <x:c r="E5612" s="9" t="n">
        <x:v>2371500</x:v>
      </x:c>
      <x:c r="F5612" s="9" t="n">
        <x:v>0</x:v>
      </x:c>
    </x:row>
    <x:row r="5613" ht="34" customHeight="1">
      <x:c r="A5613" s="4" t="str">
        <x:v>RS-02821-I4</x:v>
      </x:c>
      <x:c r="B5613" s="4" t="str">
        <x:v>RS-02821</x:v>
      </x:c>
      <x:c r="C5613" s="9" t="n">
        <x:v>4</x:v>
      </x:c>
      <x:c r="D5613" s="8" t="n">
        <x:v>45554</x:v>
      </x:c>
      <x:c r="E5613" s="9" t="n">
        <x:v>2371500</x:v>
      </x:c>
      <x:c r="F5613" s="9" t="n">
        <x:v>0</x:v>
      </x:c>
    </x:row>
    <x:row r="5614" ht="34" customHeight="1">
      <x:c r="A5614" s="4" t="str">
        <x:v>RS-02824-I1</x:v>
      </x:c>
      <x:c r="B5614" s="4" t="str">
        <x:v>RS-02824</x:v>
      </x:c>
      <x:c r="C5614" s="9" t="n">
        <x:v>1</x:v>
      </x:c>
      <x:c r="D5614" s="8" t="n">
        <x:v>45467</x:v>
      </x:c>
      <x:c r="E5614" s="9" t="n">
        <x:v>1646500</x:v>
      </x:c>
      <x:c r="F5614" s="9" t="n">
        <x:v>1646500</x:v>
      </x:c>
    </x:row>
    <x:row r="5615" ht="34" customHeight="1">
      <x:c r="A5615" s="4" t="str">
        <x:v>RS-02824-I2</x:v>
      </x:c>
      <x:c r="B5615" s="4" t="str">
        <x:v>RS-02824</x:v>
      </x:c>
      <x:c r="C5615" s="9" t="n">
        <x:v>2</x:v>
      </x:c>
      <x:c r="D5615" s="8" t="n">
        <x:v>45497</x:v>
      </x:c>
      <x:c r="E5615" s="9" t="n">
        <x:v>1646500</x:v>
      </x:c>
      <x:c r="F5615" s="9" t="n">
        <x:v>1646500</x:v>
      </x:c>
    </x:row>
    <x:row r="5616" ht="34" customHeight="1">
      <x:c r="A5616" s="4" t="str">
        <x:v>RS-02824-I3</x:v>
      </x:c>
      <x:c r="B5616" s="4" t="str">
        <x:v>RS-02824</x:v>
      </x:c>
      <x:c r="C5616" s="9" t="n">
        <x:v>3</x:v>
      </x:c>
      <x:c r="D5616" s="8" t="n">
        <x:v>45527</x:v>
      </x:c>
      <x:c r="E5616" s="9" t="n">
        <x:v>1646500</x:v>
      </x:c>
      <x:c r="F5616" s="9" t="n">
        <x:v>1646500</x:v>
      </x:c>
    </x:row>
    <x:row r="5617" ht="34" customHeight="1">
      <x:c r="A5617" s="4" t="str">
        <x:v>RS-02824-I4</x:v>
      </x:c>
      <x:c r="B5617" s="4" t="str">
        <x:v>RS-02824</x:v>
      </x:c>
      <x:c r="C5617" s="9" t="n">
        <x:v>4</x:v>
      </x:c>
      <x:c r="D5617" s="8" t="n">
        <x:v>45557</x:v>
      </x:c>
      <x:c r="E5617" s="9" t="n">
        <x:v>1646500</x:v>
      </x:c>
      <x:c r="F5617" s="9" t="n">
        <x:v>1646500</x:v>
      </x:c>
    </x:row>
    <x:row r="5618" ht="34" customHeight="1">
      <x:c r="A5618" s="4" t="str">
        <x:v>RS-02826-I1</x:v>
      </x:c>
      <x:c r="B5618" s="4" t="str">
        <x:v>RS-02826</x:v>
      </x:c>
      <x:c r="C5618" s="9" t="n">
        <x:v>1</x:v>
      </x:c>
      <x:c r="D5618" s="8" t="n">
        <x:v>45469</x:v>
      </x:c>
      <x:c r="E5618" s="9" t="n">
        <x:v>2448000</x:v>
      </x:c>
      <x:c r="F5618" s="9" t="n">
        <x:v>2448000</x:v>
      </x:c>
    </x:row>
    <x:row r="5619" ht="34" customHeight="1">
      <x:c r="A5619" s="4" t="str">
        <x:v>RS-02826-I2</x:v>
      </x:c>
      <x:c r="B5619" s="4" t="str">
        <x:v>RS-02826</x:v>
      </x:c>
      <x:c r="C5619" s="9" t="n">
        <x:v>2</x:v>
      </x:c>
      <x:c r="D5619" s="8" t="n">
        <x:v>45499</x:v>
      </x:c>
      <x:c r="E5619" s="9" t="n">
        <x:v>2448000</x:v>
      </x:c>
      <x:c r="F5619" s="9" t="n">
        <x:v>2448000</x:v>
      </x:c>
    </x:row>
    <x:row r="5620" ht="34" customHeight="1">
      <x:c r="A5620" s="4" t="str">
        <x:v>RS-02826-I3</x:v>
      </x:c>
      <x:c r="B5620" s="4" t="str">
        <x:v>RS-02826</x:v>
      </x:c>
      <x:c r="C5620" s="9" t="n">
        <x:v>3</x:v>
      </x:c>
      <x:c r="D5620" s="8" t="n">
        <x:v>45529</x:v>
      </x:c>
      <x:c r="E5620" s="9" t="n">
        <x:v>2448000</x:v>
      </x:c>
      <x:c r="F5620" s="9" t="n">
        <x:v>2448000</x:v>
      </x:c>
    </x:row>
    <x:row r="5621" ht="34" customHeight="1">
      <x:c r="A5621" s="4" t="str">
        <x:v>RS-02826-I4</x:v>
      </x:c>
      <x:c r="B5621" s="4" t="str">
        <x:v>RS-02826</x:v>
      </x:c>
      <x:c r="C5621" s="9" t="n">
        <x:v>4</x:v>
      </x:c>
      <x:c r="D5621" s="8" t="n">
        <x:v>45559</x:v>
      </x:c>
      <x:c r="E5621" s="9" t="n">
        <x:v>2448000</x:v>
      </x:c>
      <x:c r="F5621" s="9" t="n">
        <x:v>2448000</x:v>
      </x:c>
    </x:row>
    <x:row r="5622" ht="34" customHeight="1">
      <x:c r="A5622" s="4" t="str">
        <x:v>RS-02830-I1</x:v>
      </x:c>
      <x:c r="B5622" s="4" t="str">
        <x:v>RS-02830</x:v>
      </x:c>
      <x:c r="C5622" s="9" t="n">
        <x:v>1</x:v>
      </x:c>
      <x:c r="D5622" s="8" t="n">
        <x:v>45445</x:v>
      </x:c>
      <x:c r="E5622" s="9" t="n">
        <x:v>1980000</x:v>
      </x:c>
      <x:c r="F5622" s="9" t="n">
        <x:v>1980000</x:v>
      </x:c>
    </x:row>
    <x:row r="5623" ht="34" customHeight="1">
      <x:c r="A5623" s="4" t="str">
        <x:v>RS-02830-I2</x:v>
      </x:c>
      <x:c r="B5623" s="4" t="str">
        <x:v>RS-02830</x:v>
      </x:c>
      <x:c r="C5623" s="9" t="n">
        <x:v>2</x:v>
      </x:c>
      <x:c r="D5623" s="8" t="n">
        <x:v>45475</x:v>
      </x:c>
      <x:c r="E5623" s="9" t="n">
        <x:v>1980000</x:v>
      </x:c>
      <x:c r="F5623" s="9" t="n">
        <x:v>1980000</x:v>
      </x:c>
    </x:row>
    <x:row r="5624" ht="34" customHeight="1">
      <x:c r="A5624" s="4" t="str">
        <x:v>RS-02830-I3</x:v>
      </x:c>
      <x:c r="B5624" s="4" t="str">
        <x:v>RS-02830</x:v>
      </x:c>
      <x:c r="C5624" s="9" t="n">
        <x:v>3</x:v>
      </x:c>
      <x:c r="D5624" s="8" t="n">
        <x:v>45505</x:v>
      </x:c>
      <x:c r="E5624" s="9" t="n">
        <x:v>1980000</x:v>
      </x:c>
      <x:c r="F5624" s="9" t="n">
        <x:v>1980000</x:v>
      </x:c>
    </x:row>
    <x:row r="5625" ht="34" customHeight="1">
      <x:c r="A5625" s="4" t="str">
        <x:v>RS-02830-I4</x:v>
      </x:c>
      <x:c r="B5625" s="4" t="str">
        <x:v>RS-02830</x:v>
      </x:c>
      <x:c r="C5625" s="9" t="n">
        <x:v>4</x:v>
      </x:c>
      <x:c r="D5625" s="8" t="n">
        <x:v>45535</x:v>
      </x:c>
      <x:c r="E5625" s="9" t="n">
        <x:v>1980000</x:v>
      </x:c>
      <x:c r="F5625" s="9" t="n">
        <x:v>1980000</x:v>
      </x:c>
    </x:row>
    <x:row r="5626" ht="34" customHeight="1">
      <x:c r="A5626" s="4" t="str">
        <x:v>RS-02831-I1</x:v>
      </x:c>
      <x:c r="B5626" s="4" t="str">
        <x:v>RS-02831</x:v>
      </x:c>
      <x:c r="C5626" s="9" t="n">
        <x:v>1</x:v>
      </x:c>
      <x:c r="D5626" s="8" t="n">
        <x:v>45446</x:v>
      </x:c>
      <x:c r="E5626" s="9" t="n">
        <x:v>1435500</x:v>
      </x:c>
      <x:c r="F5626" s="9" t="n">
        <x:v>574200</x:v>
      </x:c>
    </x:row>
    <x:row r="5627" ht="34" customHeight="1">
      <x:c r="A5627" s="4" t="str">
        <x:v>RS-02831-I2</x:v>
      </x:c>
      <x:c r="B5627" s="4" t="str">
        <x:v>RS-02831</x:v>
      </x:c>
      <x:c r="C5627" s="9" t="n">
        <x:v>2</x:v>
      </x:c>
      <x:c r="D5627" s="8" t="n">
        <x:v>45476</x:v>
      </x:c>
      <x:c r="E5627" s="9" t="n">
        <x:v>1435500</x:v>
      </x:c>
      <x:c r="F5627" s="9" t="n">
        <x:v>0</x:v>
      </x:c>
    </x:row>
    <x:row r="5628" ht="34" customHeight="1">
      <x:c r="A5628" s="4" t="str">
        <x:v>RS-02831-I3</x:v>
      </x:c>
      <x:c r="B5628" s="4" t="str">
        <x:v>RS-02831</x:v>
      </x:c>
      <x:c r="C5628" s="9" t="n">
        <x:v>3</x:v>
      </x:c>
      <x:c r="D5628" s="8" t="n">
        <x:v>45506</x:v>
      </x:c>
      <x:c r="E5628" s="9" t="n">
        <x:v>1435500</x:v>
      </x:c>
      <x:c r="F5628" s="9" t="n">
        <x:v>0</x:v>
      </x:c>
    </x:row>
    <x:row r="5629" ht="34" customHeight="1">
      <x:c r="A5629" s="4" t="str">
        <x:v>RS-02831-I4</x:v>
      </x:c>
      <x:c r="B5629" s="4" t="str">
        <x:v>RS-02831</x:v>
      </x:c>
      <x:c r="C5629" s="9" t="n">
        <x:v>4</x:v>
      </x:c>
      <x:c r="D5629" s="8" t="n">
        <x:v>45536</x:v>
      </x:c>
      <x:c r="E5629" s="9" t="n">
        <x:v>1435500</x:v>
      </x:c>
      <x:c r="F5629" s="9" t="n">
        <x:v>0</x:v>
      </x:c>
    </x:row>
    <x:row r="5630" ht="34" customHeight="1">
      <x:c r="A5630" s="4" t="str">
        <x:v>RS-02832-I1</x:v>
      </x:c>
      <x:c r="B5630" s="4" t="str">
        <x:v>RS-02832</x:v>
      </x:c>
      <x:c r="C5630" s="9" t="n">
        <x:v>1</x:v>
      </x:c>
      <x:c r="D5630" s="8" t="n">
        <x:v>45447</x:v>
      </x:c>
      <x:c r="E5630" s="9" t="n">
        <x:v>2009000</x:v>
      </x:c>
      <x:c r="F5630" s="9" t="n">
        <x:v>2009000</x:v>
      </x:c>
    </x:row>
    <x:row r="5631" ht="34" customHeight="1">
      <x:c r="A5631" s="4" t="str">
        <x:v>RS-02832-I2</x:v>
      </x:c>
      <x:c r="B5631" s="4" t="str">
        <x:v>RS-02832</x:v>
      </x:c>
      <x:c r="C5631" s="9" t="n">
        <x:v>2</x:v>
      </x:c>
      <x:c r="D5631" s="8" t="n">
        <x:v>45477</x:v>
      </x:c>
      <x:c r="E5631" s="9" t="n">
        <x:v>2009000</x:v>
      </x:c>
      <x:c r="F5631" s="9" t="n">
        <x:v>0</x:v>
      </x:c>
    </x:row>
    <x:row r="5632" ht="34" customHeight="1">
      <x:c r="A5632" s="4" t="str">
        <x:v>RS-02832-I3</x:v>
      </x:c>
      <x:c r="B5632" s="4" t="str">
        <x:v>RS-02832</x:v>
      </x:c>
      <x:c r="C5632" s="9" t="n">
        <x:v>3</x:v>
      </x:c>
      <x:c r="D5632" s="8" t="n">
        <x:v>45507</x:v>
      </x:c>
      <x:c r="E5632" s="9" t="n">
        <x:v>2009000</x:v>
      </x:c>
      <x:c r="F5632" s="9" t="n">
        <x:v>0</x:v>
      </x:c>
    </x:row>
    <x:row r="5633" ht="34" customHeight="1">
      <x:c r="A5633" s="4" t="str">
        <x:v>RS-02832-I4</x:v>
      </x:c>
      <x:c r="B5633" s="4" t="str">
        <x:v>RS-02832</x:v>
      </x:c>
      <x:c r="C5633" s="9" t="n">
        <x:v>4</x:v>
      </x:c>
      <x:c r="D5633" s="8" t="n">
        <x:v>45537</x:v>
      </x:c>
      <x:c r="E5633" s="9" t="n">
        <x:v>2009000</x:v>
      </x:c>
      <x:c r="F5633" s="9" t="n">
        <x:v>0</x:v>
      </x:c>
    </x:row>
    <x:row r="5634" ht="34" customHeight="1">
      <x:c r="A5634" s="4" t="str">
        <x:v>RS-02836-I1</x:v>
      </x:c>
      <x:c r="B5634" s="4" t="str">
        <x:v>RS-02836</x:v>
      </x:c>
      <x:c r="C5634" s="9" t="n">
        <x:v>1</x:v>
      </x:c>
      <x:c r="D5634" s="8" t="n">
        <x:v>45451</x:v>
      </x:c>
      <x:c r="E5634" s="9" t="n">
        <x:v>921500</x:v>
      </x:c>
      <x:c r="F5634" s="9" t="n">
        <x:v>921500</x:v>
      </x:c>
    </x:row>
    <x:row r="5635" ht="34" customHeight="1">
      <x:c r="A5635" s="4" t="str">
        <x:v>RS-02836-I2</x:v>
      </x:c>
      <x:c r="B5635" s="4" t="str">
        <x:v>RS-02836</x:v>
      </x:c>
      <x:c r="C5635" s="9" t="n">
        <x:v>2</x:v>
      </x:c>
      <x:c r="D5635" s="8" t="n">
        <x:v>45481</x:v>
      </x:c>
      <x:c r="E5635" s="9" t="n">
        <x:v>921500</x:v>
      </x:c>
      <x:c r="F5635" s="9" t="n">
        <x:v>921500</x:v>
      </x:c>
    </x:row>
    <x:row r="5636" ht="34" customHeight="1">
      <x:c r="A5636" s="4" t="str">
        <x:v>RS-02836-I3</x:v>
      </x:c>
      <x:c r="B5636" s="4" t="str">
        <x:v>RS-02836</x:v>
      </x:c>
      <x:c r="C5636" s="9" t="n">
        <x:v>3</x:v>
      </x:c>
      <x:c r="D5636" s="8" t="n">
        <x:v>45511</x:v>
      </x:c>
      <x:c r="E5636" s="9" t="n">
        <x:v>921500</x:v>
      </x:c>
      <x:c r="F5636" s="9" t="n">
        <x:v>921500</x:v>
      </x:c>
    </x:row>
    <x:row r="5637" ht="34" customHeight="1">
      <x:c r="A5637" s="4" t="str">
        <x:v>RS-02836-I4</x:v>
      </x:c>
      <x:c r="B5637" s="4" t="str">
        <x:v>RS-02836</x:v>
      </x:c>
      <x:c r="C5637" s="9" t="n">
        <x:v>4</x:v>
      </x:c>
      <x:c r="D5637" s="8" t="n">
        <x:v>45541</x:v>
      </x:c>
      <x:c r="E5637" s="9" t="n">
        <x:v>921500</x:v>
      </x:c>
      <x:c r="F5637" s="9" t="n">
        <x:v>921500</x:v>
      </x:c>
    </x:row>
    <x:row r="5638" ht="34" customHeight="1">
      <x:c r="A5638" s="4" t="str">
        <x:v>RS-02838-I1</x:v>
      </x:c>
      <x:c r="B5638" s="4" t="str">
        <x:v>RS-02838</x:v>
      </x:c>
      <x:c r="C5638" s="9" t="n">
        <x:v>1</x:v>
      </x:c>
      <x:c r="D5638" s="8" t="n">
        <x:v>45453</x:v>
      </x:c>
      <x:c r="E5638" s="9" t="n">
        <x:v>3952500</x:v>
      </x:c>
      <x:c r="F5638" s="9" t="n">
        <x:v>1581000</x:v>
      </x:c>
    </x:row>
    <x:row r="5639" ht="34" customHeight="1">
      <x:c r="A5639" s="4" t="str">
        <x:v>RS-02838-I2</x:v>
      </x:c>
      <x:c r="B5639" s="4" t="str">
        <x:v>RS-02838</x:v>
      </x:c>
      <x:c r="C5639" s="9" t="n">
        <x:v>2</x:v>
      </x:c>
      <x:c r="D5639" s="8" t="n">
        <x:v>45483</x:v>
      </x:c>
      <x:c r="E5639" s="9" t="n">
        <x:v>3952500</x:v>
      </x:c>
      <x:c r="F5639" s="9" t="n">
        <x:v>0</x:v>
      </x:c>
    </x:row>
    <x:row r="5640" ht="34" customHeight="1">
      <x:c r="A5640" s="4" t="str">
        <x:v>RS-02838-I3</x:v>
      </x:c>
      <x:c r="B5640" s="4" t="str">
        <x:v>RS-02838</x:v>
      </x:c>
      <x:c r="C5640" s="9" t="n">
        <x:v>3</x:v>
      </x:c>
      <x:c r="D5640" s="8" t="n">
        <x:v>45513</x:v>
      </x:c>
      <x:c r="E5640" s="9" t="n">
        <x:v>3952500</x:v>
      </x:c>
      <x:c r="F5640" s="9" t="n">
        <x:v>0</x:v>
      </x:c>
    </x:row>
    <x:row r="5641" ht="34" customHeight="1">
      <x:c r="A5641" s="4" t="str">
        <x:v>RS-02838-I4</x:v>
      </x:c>
      <x:c r="B5641" s="4" t="str">
        <x:v>RS-02838</x:v>
      </x:c>
      <x:c r="C5641" s="9" t="n">
        <x:v>4</x:v>
      </x:c>
      <x:c r="D5641" s="8" t="n">
        <x:v>45543</x:v>
      </x:c>
      <x:c r="E5641" s="9" t="n">
        <x:v>3952500</x:v>
      </x:c>
      <x:c r="F5641" s="9" t="n">
        <x:v>0</x:v>
      </x:c>
    </x:row>
    <x:row r="5642" ht="34" customHeight="1">
      <x:c r="A5642" s="4" t="str">
        <x:v>RS-02839-I1</x:v>
      </x:c>
      <x:c r="B5642" s="4" t="str">
        <x:v>RS-02839</x:v>
      </x:c>
      <x:c r="C5642" s="9" t="n">
        <x:v>1</x:v>
      </x:c>
      <x:c r="D5642" s="8" t="n">
        <x:v>45454</x:v>
      </x:c>
      <x:c r="E5642" s="9" t="n">
        <x:v>2796750</x:v>
      </x:c>
      <x:c r="F5642" s="9" t="n">
        <x:v>1118700</x:v>
      </x:c>
    </x:row>
    <x:row r="5643" ht="34" customHeight="1">
      <x:c r="A5643" s="4" t="str">
        <x:v>RS-02839-I2</x:v>
      </x:c>
      <x:c r="B5643" s="4" t="str">
        <x:v>RS-02839</x:v>
      </x:c>
      <x:c r="C5643" s="9" t="n">
        <x:v>2</x:v>
      </x:c>
      <x:c r="D5643" s="8" t="n">
        <x:v>45484</x:v>
      </x:c>
      <x:c r="E5643" s="9" t="n">
        <x:v>2796750</x:v>
      </x:c>
      <x:c r="F5643" s="9" t="n">
        <x:v>0</x:v>
      </x:c>
    </x:row>
    <x:row r="5644" ht="34" customHeight="1">
      <x:c r="A5644" s="4" t="str">
        <x:v>RS-02839-I3</x:v>
      </x:c>
      <x:c r="B5644" s="4" t="str">
        <x:v>RS-02839</x:v>
      </x:c>
      <x:c r="C5644" s="9" t="n">
        <x:v>3</x:v>
      </x:c>
      <x:c r="D5644" s="8" t="n">
        <x:v>45514</x:v>
      </x:c>
      <x:c r="E5644" s="9" t="n">
        <x:v>2796750</x:v>
      </x:c>
      <x:c r="F5644" s="9" t="n">
        <x:v>0</x:v>
      </x:c>
    </x:row>
    <x:row r="5645" ht="34" customHeight="1">
      <x:c r="A5645" s="4" t="str">
        <x:v>RS-02839-I4</x:v>
      </x:c>
      <x:c r="B5645" s="4" t="str">
        <x:v>RS-02839</x:v>
      </x:c>
      <x:c r="C5645" s="9" t="n">
        <x:v>4</x:v>
      </x:c>
      <x:c r="D5645" s="8" t="n">
        <x:v>45544</x:v>
      </x:c>
      <x:c r="E5645" s="9" t="n">
        <x:v>2796750</x:v>
      </x:c>
      <x:c r="F5645" s="9" t="n">
        <x:v>0</x:v>
      </x:c>
    </x:row>
    <x:row r="5646" ht="34" customHeight="1">
      <x:c r="A5646" s="4" t="str">
        <x:v>RS-02840-I1</x:v>
      </x:c>
      <x:c r="B5646" s="4" t="str">
        <x:v>RS-02840</x:v>
      </x:c>
      <x:c r="C5646" s="9" t="n">
        <x:v>1</x:v>
      </x:c>
      <x:c r="D5646" s="8" t="n">
        <x:v>45455</x:v>
      </x:c>
      <x:c r="E5646" s="9" t="n">
        <x:v>2092500</x:v>
      </x:c>
      <x:c r="F5646" s="9" t="n">
        <x:v>2092500</x:v>
      </x:c>
    </x:row>
    <x:row r="5647" ht="34" customHeight="1">
      <x:c r="A5647" s="4" t="str">
        <x:v>RS-02840-I2</x:v>
      </x:c>
      <x:c r="B5647" s="4" t="str">
        <x:v>RS-02840</x:v>
      </x:c>
      <x:c r="C5647" s="9" t="n">
        <x:v>2</x:v>
      </x:c>
      <x:c r="D5647" s="8" t="n">
        <x:v>45485</x:v>
      </x:c>
      <x:c r="E5647" s="9" t="n">
        <x:v>2092500</x:v>
      </x:c>
      <x:c r="F5647" s="9" t="n">
        <x:v>2092500</x:v>
      </x:c>
    </x:row>
    <x:row r="5648" ht="34" customHeight="1">
      <x:c r="A5648" s="4" t="str">
        <x:v>RS-02840-I3</x:v>
      </x:c>
      <x:c r="B5648" s="4" t="str">
        <x:v>RS-02840</x:v>
      </x:c>
      <x:c r="C5648" s="9" t="n">
        <x:v>3</x:v>
      </x:c>
      <x:c r="D5648" s="8" t="n">
        <x:v>45515</x:v>
      </x:c>
      <x:c r="E5648" s="9" t="n">
        <x:v>2092500</x:v>
      </x:c>
      <x:c r="F5648" s="9" t="n">
        <x:v>2092500</x:v>
      </x:c>
    </x:row>
    <x:row r="5649" ht="34" customHeight="1">
      <x:c r="A5649" s="4" t="str">
        <x:v>RS-02840-I4</x:v>
      </x:c>
      <x:c r="B5649" s="4" t="str">
        <x:v>RS-02840</x:v>
      </x:c>
      <x:c r="C5649" s="9" t="n">
        <x:v>4</x:v>
      </x:c>
      <x:c r="D5649" s="8" t="n">
        <x:v>45545</x:v>
      </x:c>
      <x:c r="E5649" s="9" t="n">
        <x:v>2092500</x:v>
      </x:c>
      <x:c r="F5649" s="9" t="n">
        <x:v>2092500</x:v>
      </x:c>
    </x:row>
    <x:row r="5650" ht="34" customHeight="1">
      <x:c r="A5650" s="4" t="str">
        <x:v>RS-02843-I1</x:v>
      </x:c>
      <x:c r="B5650" s="4" t="str">
        <x:v>RS-02843</x:v>
      </x:c>
      <x:c r="C5650" s="9" t="n">
        <x:v>1</x:v>
      </x:c>
      <x:c r="D5650" s="8" t="n">
        <x:v>45458</x:v>
      </x:c>
      <x:c r="E5650" s="9" t="n">
        <x:v>3822000</x:v>
      </x:c>
      <x:c r="F5650" s="9" t="n">
        <x:v>3822000</x:v>
      </x:c>
    </x:row>
    <x:row r="5651" ht="34" customHeight="1">
      <x:c r="A5651" s="4" t="str">
        <x:v>RS-02843-I2</x:v>
      </x:c>
      <x:c r="B5651" s="4" t="str">
        <x:v>RS-02843</x:v>
      </x:c>
      <x:c r="C5651" s="9" t="n">
        <x:v>2</x:v>
      </x:c>
      <x:c r="D5651" s="8" t="n">
        <x:v>45488</x:v>
      </x:c>
      <x:c r="E5651" s="9" t="n">
        <x:v>3822000</x:v>
      </x:c>
      <x:c r="F5651" s="9" t="n">
        <x:v>3822000</x:v>
      </x:c>
    </x:row>
    <x:row r="5652" ht="34" customHeight="1">
      <x:c r="A5652" s="4" t="str">
        <x:v>RS-02843-I3</x:v>
      </x:c>
      <x:c r="B5652" s="4" t="str">
        <x:v>RS-02843</x:v>
      </x:c>
      <x:c r="C5652" s="9" t="n">
        <x:v>3</x:v>
      </x:c>
      <x:c r="D5652" s="8" t="n">
        <x:v>45518</x:v>
      </x:c>
      <x:c r="E5652" s="9" t="n">
        <x:v>3822000</x:v>
      </x:c>
      <x:c r="F5652" s="9" t="n">
        <x:v>0</x:v>
      </x:c>
    </x:row>
    <x:row r="5653" ht="34" customHeight="1">
      <x:c r="A5653" s="4" t="str">
        <x:v>RS-02843-I4</x:v>
      </x:c>
      <x:c r="B5653" s="4" t="str">
        <x:v>RS-02843</x:v>
      </x:c>
      <x:c r="C5653" s="9" t="n">
        <x:v>4</x:v>
      </x:c>
      <x:c r="D5653" s="8" t="n">
        <x:v>45548</x:v>
      </x:c>
      <x:c r="E5653" s="9" t="n">
        <x:v>3822000</x:v>
      </x:c>
      <x:c r="F5653" s="9" t="n">
        <x:v>0</x:v>
      </x:c>
    </x:row>
    <x:row r="5654" ht="34" customHeight="1">
      <x:c r="A5654" s="4" t="str">
        <x:v>RS-02844-I1</x:v>
      </x:c>
      <x:c r="B5654" s="4" t="str">
        <x:v>RS-02844</x:v>
      </x:c>
      <x:c r="C5654" s="9" t="n">
        <x:v>1</x:v>
      </x:c>
      <x:c r="D5654" s="8" t="n">
        <x:v>45459</x:v>
      </x:c>
      <x:c r="E5654" s="9" t="n">
        <x:v>1115500</x:v>
      </x:c>
      <x:c r="F5654" s="9" t="n">
        <x:v>1115500</x:v>
      </x:c>
    </x:row>
    <x:row r="5655" ht="34" customHeight="1">
      <x:c r="A5655" s="4" t="str">
        <x:v>RS-02844-I2</x:v>
      </x:c>
      <x:c r="B5655" s="4" t="str">
        <x:v>RS-02844</x:v>
      </x:c>
      <x:c r="C5655" s="9" t="n">
        <x:v>2</x:v>
      </x:c>
      <x:c r="D5655" s="8" t="n">
        <x:v>45489</x:v>
      </x:c>
      <x:c r="E5655" s="9" t="n">
        <x:v>1115500</x:v>
      </x:c>
      <x:c r="F5655" s="9" t="n">
        <x:v>1115500</x:v>
      </x:c>
    </x:row>
    <x:row r="5656" ht="34" customHeight="1">
      <x:c r="A5656" s="4" t="str">
        <x:v>RS-02844-I3</x:v>
      </x:c>
      <x:c r="B5656" s="4" t="str">
        <x:v>RS-02844</x:v>
      </x:c>
      <x:c r="C5656" s="9" t="n">
        <x:v>3</x:v>
      </x:c>
      <x:c r="D5656" s="8" t="n">
        <x:v>45519</x:v>
      </x:c>
      <x:c r="E5656" s="9" t="n">
        <x:v>1115500</x:v>
      </x:c>
      <x:c r="F5656" s="9" t="n">
        <x:v>0</x:v>
      </x:c>
    </x:row>
    <x:row r="5657" ht="34" customHeight="1">
      <x:c r="A5657" s="4" t="str">
        <x:v>RS-02844-I4</x:v>
      </x:c>
      <x:c r="B5657" s="4" t="str">
        <x:v>RS-02844</x:v>
      </x:c>
      <x:c r="C5657" s="9" t="n">
        <x:v>4</x:v>
      </x:c>
      <x:c r="D5657" s="8" t="n">
        <x:v>45549</x:v>
      </x:c>
      <x:c r="E5657" s="9" t="n">
        <x:v>1115500</x:v>
      </x:c>
      <x:c r="F5657" s="9" t="n">
        <x:v>0</x:v>
      </x:c>
    </x:row>
    <x:row r="5658" ht="34" customHeight="1">
      <x:c r="A5658" s="4" t="str">
        <x:v>RS-02845-I1</x:v>
      </x:c>
      <x:c r="B5658" s="4" t="str">
        <x:v>RS-02845</x:v>
      </x:c>
      <x:c r="C5658" s="9" t="n">
        <x:v>1</x:v>
      </x:c>
      <x:c r="D5658" s="8" t="n">
        <x:v>45460</x:v>
      </x:c>
      <x:c r="E5658" s="9" t="n">
        <x:v>4998000</x:v>
      </x:c>
      <x:c r="F5658" s="9" t="n">
        <x:v>4998000</x:v>
      </x:c>
    </x:row>
    <x:row r="5659" ht="34" customHeight="1">
      <x:c r="A5659" s="4" t="str">
        <x:v>RS-02845-I2</x:v>
      </x:c>
      <x:c r="B5659" s="4" t="str">
        <x:v>RS-02845</x:v>
      </x:c>
      <x:c r="C5659" s="9" t="n">
        <x:v>2</x:v>
      </x:c>
      <x:c r="D5659" s="8" t="n">
        <x:v>45490</x:v>
      </x:c>
      <x:c r="E5659" s="9" t="n">
        <x:v>4998000</x:v>
      </x:c>
      <x:c r="F5659" s="9" t="n">
        <x:v>4998000</x:v>
      </x:c>
    </x:row>
    <x:row r="5660" ht="34" customHeight="1">
      <x:c r="A5660" s="4" t="str">
        <x:v>RS-02845-I3</x:v>
      </x:c>
      <x:c r="B5660" s="4" t="str">
        <x:v>RS-02845</x:v>
      </x:c>
      <x:c r="C5660" s="9" t="n">
        <x:v>3</x:v>
      </x:c>
      <x:c r="D5660" s="8" t="n">
        <x:v>45520</x:v>
      </x:c>
      <x:c r="E5660" s="9" t="n">
        <x:v>4998000</x:v>
      </x:c>
      <x:c r="F5660" s="9" t="n">
        <x:v>0</x:v>
      </x:c>
    </x:row>
    <x:row r="5661" ht="34" customHeight="1">
      <x:c r="A5661" s="4" t="str">
        <x:v>RS-02845-I4</x:v>
      </x:c>
      <x:c r="B5661" s="4" t="str">
        <x:v>RS-02845</x:v>
      </x:c>
      <x:c r="C5661" s="9" t="n">
        <x:v>4</x:v>
      </x:c>
      <x:c r="D5661" s="8" t="n">
        <x:v>45550</x:v>
      </x:c>
      <x:c r="E5661" s="9" t="n">
        <x:v>4998000</x:v>
      </x:c>
      <x:c r="F5661" s="9" t="n">
        <x:v>0</x:v>
      </x:c>
    </x:row>
    <x:row r="5662" ht="34" customHeight="1">
      <x:c r="A5662" s="4" t="str">
        <x:v>RS-02846-I1</x:v>
      </x:c>
      <x:c r="B5662" s="4" t="str">
        <x:v>RS-02846</x:v>
      </x:c>
      <x:c r="C5662" s="9" t="n">
        <x:v>1</x:v>
      </x:c>
      <x:c r="D5662" s="8" t="n">
        <x:v>45461</x:v>
      </x:c>
      <x:c r="E5662" s="9" t="n">
        <x:v>4777250</x:v>
      </x:c>
      <x:c r="F5662" s="9" t="n">
        <x:v>4777250</x:v>
      </x:c>
    </x:row>
    <x:row r="5663" ht="34" customHeight="1">
      <x:c r="A5663" s="4" t="str">
        <x:v>RS-02846-I2</x:v>
      </x:c>
      <x:c r="B5663" s="4" t="str">
        <x:v>RS-02846</x:v>
      </x:c>
      <x:c r="C5663" s="9" t="n">
        <x:v>2</x:v>
      </x:c>
      <x:c r="D5663" s="8" t="n">
        <x:v>45491</x:v>
      </x:c>
      <x:c r="E5663" s="9" t="n">
        <x:v>4777250</x:v>
      </x:c>
      <x:c r="F5663" s="9" t="n">
        <x:v>4777250</x:v>
      </x:c>
    </x:row>
    <x:row r="5664" ht="34" customHeight="1">
      <x:c r="A5664" s="4" t="str">
        <x:v>RS-02846-I3</x:v>
      </x:c>
      <x:c r="B5664" s="4" t="str">
        <x:v>RS-02846</x:v>
      </x:c>
      <x:c r="C5664" s="9" t="n">
        <x:v>3</x:v>
      </x:c>
      <x:c r="D5664" s="8" t="n">
        <x:v>45521</x:v>
      </x:c>
      <x:c r="E5664" s="9" t="n">
        <x:v>4777250</x:v>
      </x:c>
      <x:c r="F5664" s="9" t="n">
        <x:v>0</x:v>
      </x:c>
    </x:row>
    <x:row r="5665" ht="34" customHeight="1">
      <x:c r="A5665" s="4" t="str">
        <x:v>RS-02846-I4</x:v>
      </x:c>
      <x:c r="B5665" s="4" t="str">
        <x:v>RS-02846</x:v>
      </x:c>
      <x:c r="C5665" s="9" t="n">
        <x:v>4</x:v>
      </x:c>
      <x:c r="D5665" s="8" t="n">
        <x:v>45551</x:v>
      </x:c>
      <x:c r="E5665" s="9" t="n">
        <x:v>4777250</x:v>
      </x:c>
      <x:c r="F5665" s="9" t="n">
        <x:v>0</x:v>
      </x:c>
    </x:row>
    <x:row r="5666" ht="34" customHeight="1">
      <x:c r="A5666" s="4" t="str">
        <x:v>RS-02850-I1</x:v>
      </x:c>
      <x:c r="B5666" s="4" t="str">
        <x:v>RS-02850</x:v>
      </x:c>
      <x:c r="C5666" s="9" t="n">
        <x:v>1</x:v>
      </x:c>
      <x:c r="D5666" s="8" t="n">
        <x:v>45465</x:v>
      </x:c>
      <x:c r="E5666" s="9" t="n">
        <x:v>3075000</x:v>
      </x:c>
      <x:c r="F5666" s="9" t="n">
        <x:v>3075000</x:v>
      </x:c>
    </x:row>
    <x:row r="5667" ht="34" customHeight="1">
      <x:c r="A5667" s="4" t="str">
        <x:v>RS-02850-I2</x:v>
      </x:c>
      <x:c r="B5667" s="4" t="str">
        <x:v>RS-02850</x:v>
      </x:c>
      <x:c r="C5667" s="9" t="n">
        <x:v>2</x:v>
      </x:c>
      <x:c r="D5667" s="8" t="n">
        <x:v>45495</x:v>
      </x:c>
      <x:c r="E5667" s="9" t="n">
        <x:v>3075000</x:v>
      </x:c>
      <x:c r="F5667" s="9" t="n">
        <x:v>3075000</x:v>
      </x:c>
    </x:row>
    <x:row r="5668" ht="34" customHeight="1">
      <x:c r="A5668" s="4" t="str">
        <x:v>RS-02850-I3</x:v>
      </x:c>
      <x:c r="B5668" s="4" t="str">
        <x:v>RS-02850</x:v>
      </x:c>
      <x:c r="C5668" s="9" t="n">
        <x:v>3</x:v>
      </x:c>
      <x:c r="D5668" s="8" t="n">
        <x:v>45525</x:v>
      </x:c>
      <x:c r="E5668" s="9" t="n">
        <x:v>3075000</x:v>
      </x:c>
      <x:c r="F5668" s="9" t="n">
        <x:v>3075000</x:v>
      </x:c>
    </x:row>
    <x:row r="5669" ht="34" customHeight="1">
      <x:c r="A5669" s="4" t="str">
        <x:v>RS-02850-I4</x:v>
      </x:c>
      <x:c r="B5669" s="4" t="str">
        <x:v>RS-02850</x:v>
      </x:c>
      <x:c r="C5669" s="9" t="n">
        <x:v>4</x:v>
      </x:c>
      <x:c r="D5669" s="8" t="n">
        <x:v>45555</x:v>
      </x:c>
      <x:c r="E5669" s="9" t="n">
        <x:v>3075000</x:v>
      </x:c>
      <x:c r="F5669" s="9" t="n">
        <x:v>3075000</x:v>
      </x:c>
    </x:row>
    <x:row r="5670" ht="34" customHeight="1">
      <x:c r="A5670" s="4" t="str">
        <x:v>RS-02853-I1</x:v>
      </x:c>
      <x:c r="B5670" s="4" t="str">
        <x:v>RS-02853</x:v>
      </x:c>
      <x:c r="C5670" s="9" t="n">
        <x:v>1</x:v>
      </x:c>
      <x:c r="D5670" s="8" t="n">
        <x:v>45468</x:v>
      </x:c>
      <x:c r="E5670" s="9" t="n">
        <x:v>2162250</x:v>
      </x:c>
      <x:c r="F5670" s="9" t="n">
        <x:v>2162250</x:v>
      </x:c>
    </x:row>
    <x:row r="5671" ht="34" customHeight="1">
      <x:c r="A5671" s="4" t="str">
        <x:v>RS-02853-I2</x:v>
      </x:c>
      <x:c r="B5671" s="4" t="str">
        <x:v>RS-02853</x:v>
      </x:c>
      <x:c r="C5671" s="9" t="n">
        <x:v>2</x:v>
      </x:c>
      <x:c r="D5671" s="8" t="n">
        <x:v>45498</x:v>
      </x:c>
      <x:c r="E5671" s="9" t="n">
        <x:v>2162250</x:v>
      </x:c>
      <x:c r="F5671" s="9" t="n">
        <x:v>2162250</x:v>
      </x:c>
    </x:row>
    <x:row r="5672" ht="34" customHeight="1">
      <x:c r="A5672" s="4" t="str">
        <x:v>RS-02853-I3</x:v>
      </x:c>
      <x:c r="B5672" s="4" t="str">
        <x:v>RS-02853</x:v>
      </x:c>
      <x:c r="C5672" s="9" t="n">
        <x:v>3</x:v>
      </x:c>
      <x:c r="D5672" s="8" t="n">
        <x:v>45528</x:v>
      </x:c>
      <x:c r="E5672" s="9" t="n">
        <x:v>2162250</x:v>
      </x:c>
      <x:c r="F5672" s="9" t="n">
        <x:v>2162250</x:v>
      </x:c>
    </x:row>
    <x:row r="5673" ht="34" customHeight="1">
      <x:c r="A5673" s="4" t="str">
        <x:v>RS-02853-I4</x:v>
      </x:c>
      <x:c r="B5673" s="4" t="str">
        <x:v>RS-02853</x:v>
      </x:c>
      <x:c r="C5673" s="9" t="n">
        <x:v>4</x:v>
      </x:c>
      <x:c r="D5673" s="8" t="n">
        <x:v>45558</x:v>
      </x:c>
      <x:c r="E5673" s="9" t="n">
        <x:v>2162250</x:v>
      </x:c>
      <x:c r="F5673" s="9" t="n">
        <x:v>2162250</x:v>
      </x:c>
    </x:row>
    <x:row r="5674" ht="34" customHeight="1">
      <x:c r="A5674" s="4" t="str">
        <x:v>RS-02854-I1</x:v>
      </x:c>
      <x:c r="B5674" s="4" t="str">
        <x:v>RS-02854</x:v>
      </x:c>
      <x:c r="C5674" s="9" t="n">
        <x:v>1</x:v>
      </x:c>
      <x:c r="D5674" s="8" t="n">
        <x:v>45469</x:v>
      </x:c>
      <x:c r="E5674" s="9" t="n">
        <x:v>1794500</x:v>
      </x:c>
      <x:c r="F5674" s="9" t="n">
        <x:v>1794500</x:v>
      </x:c>
    </x:row>
    <x:row r="5675" ht="34" customHeight="1">
      <x:c r="A5675" s="4" t="str">
        <x:v>RS-02854-I2</x:v>
      </x:c>
      <x:c r="B5675" s="4" t="str">
        <x:v>RS-02854</x:v>
      </x:c>
      <x:c r="C5675" s="9" t="n">
        <x:v>2</x:v>
      </x:c>
      <x:c r="D5675" s="8" t="n">
        <x:v>45499</x:v>
      </x:c>
      <x:c r="E5675" s="9" t="n">
        <x:v>1794500</x:v>
      </x:c>
      <x:c r="F5675" s="9" t="n">
        <x:v>1794500</x:v>
      </x:c>
    </x:row>
    <x:row r="5676" ht="34" customHeight="1">
      <x:c r="A5676" s="4" t="str">
        <x:v>RS-02854-I3</x:v>
      </x:c>
      <x:c r="B5676" s="4" t="str">
        <x:v>RS-02854</x:v>
      </x:c>
      <x:c r="C5676" s="9" t="n">
        <x:v>3</x:v>
      </x:c>
      <x:c r="D5676" s="8" t="n">
        <x:v>45529</x:v>
      </x:c>
      <x:c r="E5676" s="9" t="n">
        <x:v>1794500</x:v>
      </x:c>
      <x:c r="F5676" s="9" t="n">
        <x:v>1794500</x:v>
      </x:c>
    </x:row>
    <x:row r="5677" ht="34" customHeight="1">
      <x:c r="A5677" s="4" t="str">
        <x:v>RS-02854-I4</x:v>
      </x:c>
      <x:c r="B5677" s="4" t="str">
        <x:v>RS-02854</x:v>
      </x:c>
      <x:c r="C5677" s="9" t="n">
        <x:v>4</x:v>
      </x:c>
      <x:c r="D5677" s="8" t="n">
        <x:v>45559</x:v>
      </x:c>
      <x:c r="E5677" s="9" t="n">
        <x:v>1794500</x:v>
      </x:c>
      <x:c r="F5677" s="9" t="n">
        <x:v>1794500</x:v>
      </x:c>
    </x:row>
    <x:row r="5678" ht="34" customHeight="1">
      <x:c r="A5678" s="4" t="str">
        <x:v>RS-02856-I1</x:v>
      </x:c>
      <x:c r="B5678" s="4" t="str">
        <x:v>RS-02856</x:v>
      </x:c>
      <x:c r="C5678" s="9" t="n">
        <x:v>1</x:v>
      </x:c>
      <x:c r="D5678" s="8" t="n">
        <x:v>45471</x:v>
      </x:c>
      <x:c r="E5678" s="9" t="n">
        <x:v>4085000</x:v>
      </x:c>
      <x:c r="F5678" s="9" t="n">
        <x:v>4085000</x:v>
      </x:c>
    </x:row>
    <x:row r="5679" ht="34" customHeight="1">
      <x:c r="A5679" s="4" t="str">
        <x:v>RS-02856-I2</x:v>
      </x:c>
      <x:c r="B5679" s="4" t="str">
        <x:v>RS-02856</x:v>
      </x:c>
      <x:c r="C5679" s="9" t="n">
        <x:v>2</x:v>
      </x:c>
      <x:c r="D5679" s="8" t="n">
        <x:v>45501</x:v>
      </x:c>
      <x:c r="E5679" s="9" t="n">
        <x:v>4085000</x:v>
      </x:c>
      <x:c r="F5679" s="9" t="n">
        <x:v>0</x:v>
      </x:c>
    </x:row>
    <x:row r="5680" ht="34" customHeight="1">
      <x:c r="A5680" s="4" t="str">
        <x:v>RS-02856-I3</x:v>
      </x:c>
      <x:c r="B5680" s="4" t="str">
        <x:v>RS-02856</x:v>
      </x:c>
      <x:c r="C5680" s="9" t="n">
        <x:v>3</x:v>
      </x:c>
      <x:c r="D5680" s="8" t="n">
        <x:v>45531</x:v>
      </x:c>
      <x:c r="E5680" s="9" t="n">
        <x:v>4085000</x:v>
      </x:c>
      <x:c r="F5680" s="9" t="n">
        <x:v>0</x:v>
      </x:c>
    </x:row>
    <x:row r="5681" ht="34" customHeight="1">
      <x:c r="A5681" s="4" t="str">
        <x:v>RS-02856-I4</x:v>
      </x:c>
      <x:c r="B5681" s="4" t="str">
        <x:v>RS-02856</x:v>
      </x:c>
      <x:c r="C5681" s="9" t="n">
        <x:v>4</x:v>
      </x:c>
      <x:c r="D5681" s="8" t="n">
        <x:v>45561</x:v>
      </x:c>
      <x:c r="E5681" s="9" t="n">
        <x:v>4085000</x:v>
      </x:c>
      <x:c r="F5681" s="9" t="n">
        <x:v>0</x:v>
      </x:c>
    </x:row>
    <x:row r="5682" ht="34" customHeight="1">
      <x:c r="A5682" s="4" t="str">
        <x:v>RS-02860-I1</x:v>
      </x:c>
      <x:c r="B5682" s="4" t="str">
        <x:v>RS-02860</x:v>
      </x:c>
      <x:c r="C5682" s="9" t="n">
        <x:v>1</x:v>
      </x:c>
      <x:c r="D5682" s="8" t="n">
        <x:v>45447</x:v>
      </x:c>
      <x:c r="E5682" s="9" t="n">
        <x:v>5818750</x:v>
      </x:c>
      <x:c r="F5682" s="9" t="n">
        <x:v>2327500</x:v>
      </x:c>
    </x:row>
    <x:row r="5683" ht="34" customHeight="1">
      <x:c r="A5683" s="4" t="str">
        <x:v>RS-02860-I2</x:v>
      </x:c>
      <x:c r="B5683" s="4" t="str">
        <x:v>RS-02860</x:v>
      </x:c>
      <x:c r="C5683" s="9" t="n">
        <x:v>2</x:v>
      </x:c>
      <x:c r="D5683" s="8" t="n">
        <x:v>45477</x:v>
      </x:c>
      <x:c r="E5683" s="9" t="n">
        <x:v>5818750</x:v>
      </x:c>
      <x:c r="F5683" s="9" t="n">
        <x:v>0</x:v>
      </x:c>
    </x:row>
    <x:row r="5684" ht="34" customHeight="1">
      <x:c r="A5684" s="4" t="str">
        <x:v>RS-02860-I3</x:v>
      </x:c>
      <x:c r="B5684" s="4" t="str">
        <x:v>RS-02860</x:v>
      </x:c>
      <x:c r="C5684" s="9" t="n">
        <x:v>3</x:v>
      </x:c>
      <x:c r="D5684" s="8" t="n">
        <x:v>45507</x:v>
      </x:c>
      <x:c r="E5684" s="9" t="n">
        <x:v>5818750</x:v>
      </x:c>
      <x:c r="F5684" s="9" t="n">
        <x:v>0</x:v>
      </x:c>
    </x:row>
    <x:row r="5685" ht="34" customHeight="1">
      <x:c r="A5685" s="4" t="str">
        <x:v>RS-02860-I4</x:v>
      </x:c>
      <x:c r="B5685" s="4" t="str">
        <x:v>RS-02860</x:v>
      </x:c>
      <x:c r="C5685" s="9" t="n">
        <x:v>4</x:v>
      </x:c>
      <x:c r="D5685" s="8" t="n">
        <x:v>45537</x:v>
      </x:c>
      <x:c r="E5685" s="9" t="n">
        <x:v>5818750</x:v>
      </x:c>
      <x:c r="F5685" s="9" t="n">
        <x:v>0</x:v>
      </x:c>
    </x:row>
    <x:row r="5686" ht="34" customHeight="1">
      <x:c r="A5686" s="4" t="str">
        <x:v>RS-02861-I1</x:v>
      </x:c>
      <x:c r="B5686" s="4" t="str">
        <x:v>RS-02861</x:v>
      </x:c>
      <x:c r="C5686" s="9" t="n">
        <x:v>1</x:v>
      </x:c>
      <x:c r="D5686" s="8" t="n">
        <x:v>45448</x:v>
      </x:c>
      <x:c r="E5686" s="9" t="n">
        <x:v>5346000</x:v>
      </x:c>
      <x:c r="F5686" s="9" t="n">
        <x:v>5346000</x:v>
      </x:c>
    </x:row>
    <x:row r="5687" ht="34" customHeight="1">
      <x:c r="A5687" s="4" t="str">
        <x:v>RS-02861-I2</x:v>
      </x:c>
      <x:c r="B5687" s="4" t="str">
        <x:v>RS-02861</x:v>
      </x:c>
      <x:c r="C5687" s="9" t="n">
        <x:v>2</x:v>
      </x:c>
      <x:c r="D5687" s="8" t="n">
        <x:v>45478</x:v>
      </x:c>
      <x:c r="E5687" s="9" t="n">
        <x:v>5346000</x:v>
      </x:c>
      <x:c r="F5687" s="9" t="n">
        <x:v>5346000</x:v>
      </x:c>
    </x:row>
    <x:row r="5688" ht="34" customHeight="1">
      <x:c r="A5688" s="4" t="str">
        <x:v>RS-02861-I3</x:v>
      </x:c>
      <x:c r="B5688" s="4" t="str">
        <x:v>RS-02861</x:v>
      </x:c>
      <x:c r="C5688" s="9" t="n">
        <x:v>3</x:v>
      </x:c>
      <x:c r="D5688" s="8" t="n">
        <x:v>45508</x:v>
      </x:c>
      <x:c r="E5688" s="9" t="n">
        <x:v>5346000</x:v>
      </x:c>
      <x:c r="F5688" s="9" t="n">
        <x:v>0</x:v>
      </x:c>
    </x:row>
    <x:row r="5689" ht="34" customHeight="1">
      <x:c r="A5689" s="4" t="str">
        <x:v>RS-02861-I4</x:v>
      </x:c>
      <x:c r="B5689" s="4" t="str">
        <x:v>RS-02861</x:v>
      </x:c>
      <x:c r="C5689" s="9" t="n">
        <x:v>4</x:v>
      </x:c>
      <x:c r="D5689" s="8" t="n">
        <x:v>45538</x:v>
      </x:c>
      <x:c r="E5689" s="9" t="n">
        <x:v>5346000</x:v>
      </x:c>
      <x:c r="F5689" s="9" t="n">
        <x:v>0</x:v>
      </x:c>
    </x:row>
    <x:row r="5690" ht="34" customHeight="1">
      <x:c r="A5690" s="4" t="str">
        <x:v>RS-02864-I1</x:v>
      </x:c>
      <x:c r="B5690" s="4" t="str">
        <x:v>RS-02864</x:v>
      </x:c>
      <x:c r="C5690" s="9" t="n">
        <x:v>1</x:v>
      </x:c>
      <x:c r="D5690" s="8" t="n">
        <x:v>45451</x:v>
      </x:c>
      <x:c r="E5690" s="9" t="n">
        <x:v>2206750</x:v>
      </x:c>
      <x:c r="F5690" s="9" t="n">
        <x:v>2206750</x:v>
      </x:c>
    </x:row>
    <x:row r="5691" ht="34" customHeight="1">
      <x:c r="A5691" s="4" t="str">
        <x:v>RS-02864-I2</x:v>
      </x:c>
      <x:c r="B5691" s="4" t="str">
        <x:v>RS-02864</x:v>
      </x:c>
      <x:c r="C5691" s="9" t="n">
        <x:v>2</x:v>
      </x:c>
      <x:c r="D5691" s="8" t="n">
        <x:v>45481</x:v>
      </x:c>
      <x:c r="E5691" s="9" t="n">
        <x:v>2206750</x:v>
      </x:c>
      <x:c r="F5691" s="9" t="n">
        <x:v>0</x:v>
      </x:c>
    </x:row>
    <x:row r="5692" ht="34" customHeight="1">
      <x:c r="A5692" s="4" t="str">
        <x:v>RS-02864-I3</x:v>
      </x:c>
      <x:c r="B5692" s="4" t="str">
        <x:v>RS-02864</x:v>
      </x:c>
      <x:c r="C5692" s="9" t="n">
        <x:v>3</x:v>
      </x:c>
      <x:c r="D5692" s="8" t="n">
        <x:v>45511</x:v>
      </x:c>
      <x:c r="E5692" s="9" t="n">
        <x:v>2206750</x:v>
      </x:c>
      <x:c r="F5692" s="9" t="n">
        <x:v>0</x:v>
      </x:c>
    </x:row>
    <x:row r="5693" ht="34" customHeight="1">
      <x:c r="A5693" s="4" t="str">
        <x:v>RS-02864-I4</x:v>
      </x:c>
      <x:c r="B5693" s="4" t="str">
        <x:v>RS-02864</x:v>
      </x:c>
      <x:c r="C5693" s="9" t="n">
        <x:v>4</x:v>
      </x:c>
      <x:c r="D5693" s="8" t="n">
        <x:v>45541</x:v>
      </x:c>
      <x:c r="E5693" s="9" t="n">
        <x:v>2206750</x:v>
      </x:c>
      <x:c r="F5693" s="9" t="n">
        <x:v>0</x:v>
      </x:c>
    </x:row>
    <x:row r="5694" ht="34" customHeight="1">
      <x:c r="A5694" s="4" t="str">
        <x:v>RS-02865-I1</x:v>
      </x:c>
      <x:c r="B5694" s="4" t="str">
        <x:v>RS-02865</x:v>
      </x:c>
      <x:c r="C5694" s="9" t="n">
        <x:v>1</x:v>
      </x:c>
      <x:c r="D5694" s="8" t="n">
        <x:v>45452</x:v>
      </x:c>
      <x:c r="E5694" s="9" t="n">
        <x:v>4486250</x:v>
      </x:c>
      <x:c r="F5694" s="9" t="n">
        <x:v>4486250</x:v>
      </x:c>
    </x:row>
    <x:row r="5695" ht="34" customHeight="1">
      <x:c r="A5695" s="4" t="str">
        <x:v>RS-02865-I2</x:v>
      </x:c>
      <x:c r="B5695" s="4" t="str">
        <x:v>RS-02865</x:v>
      </x:c>
      <x:c r="C5695" s="9" t="n">
        <x:v>2</x:v>
      </x:c>
      <x:c r="D5695" s="8" t="n">
        <x:v>45482</x:v>
      </x:c>
      <x:c r="E5695" s="9" t="n">
        <x:v>4486250</x:v>
      </x:c>
      <x:c r="F5695" s="9" t="n">
        <x:v>4486250</x:v>
      </x:c>
    </x:row>
    <x:row r="5696" ht="34" customHeight="1">
      <x:c r="A5696" s="4" t="str">
        <x:v>RS-02865-I3</x:v>
      </x:c>
      <x:c r="B5696" s="4" t="str">
        <x:v>RS-02865</x:v>
      </x:c>
      <x:c r="C5696" s="9" t="n">
        <x:v>3</x:v>
      </x:c>
      <x:c r="D5696" s="8" t="n">
        <x:v>45512</x:v>
      </x:c>
      <x:c r="E5696" s="9" t="n">
        <x:v>4486250</x:v>
      </x:c>
      <x:c r="F5696" s="9" t="n">
        <x:v>0</x:v>
      </x:c>
    </x:row>
    <x:row r="5697" ht="34" customHeight="1">
      <x:c r="A5697" s="4" t="str">
        <x:v>RS-02865-I4</x:v>
      </x:c>
      <x:c r="B5697" s="4" t="str">
        <x:v>RS-02865</x:v>
      </x:c>
      <x:c r="C5697" s="9" t="n">
        <x:v>4</x:v>
      </x:c>
      <x:c r="D5697" s="8" t="n">
        <x:v>45542</x:v>
      </x:c>
      <x:c r="E5697" s="9" t="n">
        <x:v>4486250</x:v>
      </x:c>
      <x:c r="F5697" s="9" t="n">
        <x:v>0</x:v>
      </x:c>
    </x:row>
    <x:row r="5698" ht="34" customHeight="1">
      <x:c r="A5698" s="4" t="str">
        <x:v>RS-02866-I1</x:v>
      </x:c>
      <x:c r="B5698" s="4" t="str">
        <x:v>RS-02866</x:v>
      </x:c>
      <x:c r="C5698" s="9" t="n">
        <x:v>1</x:v>
      </x:c>
      <x:c r="D5698" s="8" t="n">
        <x:v>45453</x:v>
      </x:c>
      <x:c r="E5698" s="9" t="n">
        <x:v>3836250</x:v>
      </x:c>
      <x:c r="F5698" s="9" t="n">
        <x:v>3836250</x:v>
      </x:c>
    </x:row>
    <x:row r="5699" ht="34" customHeight="1">
      <x:c r="A5699" s="4" t="str">
        <x:v>RS-02866-I2</x:v>
      </x:c>
      <x:c r="B5699" s="4" t="str">
        <x:v>RS-02866</x:v>
      </x:c>
      <x:c r="C5699" s="9" t="n">
        <x:v>2</x:v>
      </x:c>
      <x:c r="D5699" s="8" t="n">
        <x:v>45483</x:v>
      </x:c>
      <x:c r="E5699" s="9" t="n">
        <x:v>3836250</x:v>
      </x:c>
      <x:c r="F5699" s="9" t="n">
        <x:v>3836250</x:v>
      </x:c>
    </x:row>
    <x:row r="5700" ht="34" customHeight="1">
      <x:c r="A5700" s="4" t="str">
        <x:v>RS-02866-I3</x:v>
      </x:c>
      <x:c r="B5700" s="4" t="str">
        <x:v>RS-02866</x:v>
      </x:c>
      <x:c r="C5700" s="9" t="n">
        <x:v>3</x:v>
      </x:c>
      <x:c r="D5700" s="8" t="n">
        <x:v>45513</x:v>
      </x:c>
      <x:c r="E5700" s="9" t="n">
        <x:v>3836250</x:v>
      </x:c>
      <x:c r="F5700" s="9" t="n">
        <x:v>0</x:v>
      </x:c>
    </x:row>
    <x:row r="5701" ht="34" customHeight="1">
      <x:c r="A5701" s="4" t="str">
        <x:v>RS-02866-I4</x:v>
      </x:c>
      <x:c r="B5701" s="4" t="str">
        <x:v>RS-02866</x:v>
      </x:c>
      <x:c r="C5701" s="9" t="n">
        <x:v>4</x:v>
      </x:c>
      <x:c r="D5701" s="8" t="n">
        <x:v>45543</x:v>
      </x:c>
      <x:c r="E5701" s="9" t="n">
        <x:v>3836250</x:v>
      </x:c>
      <x:c r="F5701" s="9" t="n">
        <x:v>0</x:v>
      </x:c>
    </x:row>
    <x:row r="5702" ht="34" customHeight="1">
      <x:c r="A5702" s="4" t="str">
        <x:v>RS-02867-I1</x:v>
      </x:c>
      <x:c r="B5702" s="4" t="str">
        <x:v>RS-02867</x:v>
      </x:c>
      <x:c r="C5702" s="9" t="n">
        <x:v>1</x:v>
      </x:c>
      <x:c r="D5702" s="8" t="n">
        <x:v>45454</x:v>
      </x:c>
      <x:c r="E5702" s="9" t="n">
        <x:v>2990000</x:v>
      </x:c>
      <x:c r="F5702" s="9" t="n">
        <x:v>2990000</x:v>
      </x:c>
    </x:row>
    <x:row r="5703" ht="34" customHeight="1">
      <x:c r="A5703" s="4" t="str">
        <x:v>RS-02867-I2</x:v>
      </x:c>
      <x:c r="B5703" s="4" t="str">
        <x:v>RS-02867</x:v>
      </x:c>
      <x:c r="C5703" s="9" t="n">
        <x:v>2</x:v>
      </x:c>
      <x:c r="D5703" s="8" t="n">
        <x:v>45484</x:v>
      </x:c>
      <x:c r="E5703" s="9" t="n">
        <x:v>2990000</x:v>
      </x:c>
      <x:c r="F5703" s="9" t="n">
        <x:v>0</x:v>
      </x:c>
    </x:row>
    <x:row r="5704" ht="34" customHeight="1">
      <x:c r="A5704" s="4" t="str">
        <x:v>RS-02867-I3</x:v>
      </x:c>
      <x:c r="B5704" s="4" t="str">
        <x:v>RS-02867</x:v>
      </x:c>
      <x:c r="C5704" s="9" t="n">
        <x:v>3</x:v>
      </x:c>
      <x:c r="D5704" s="8" t="n">
        <x:v>45514</x:v>
      </x:c>
      <x:c r="E5704" s="9" t="n">
        <x:v>2990000</x:v>
      </x:c>
      <x:c r="F5704" s="9" t="n">
        <x:v>0</x:v>
      </x:c>
    </x:row>
    <x:row r="5705" ht="34" customHeight="1">
      <x:c r="A5705" s="4" t="str">
        <x:v>RS-02867-I4</x:v>
      </x:c>
      <x:c r="B5705" s="4" t="str">
        <x:v>RS-02867</x:v>
      </x:c>
      <x:c r="C5705" s="9" t="n">
        <x:v>4</x:v>
      </x:c>
      <x:c r="D5705" s="8" t="n">
        <x:v>45544</x:v>
      </x:c>
      <x:c r="E5705" s="9" t="n">
        <x:v>2990000</x:v>
      </x:c>
      <x:c r="F5705" s="9" t="n">
        <x:v>0</x:v>
      </x:c>
    </x:row>
    <x:row r="5706" ht="34" customHeight="1">
      <x:c r="A5706" s="4" t="str">
        <x:v>RS-02868-I1</x:v>
      </x:c>
      <x:c r="B5706" s="4" t="str">
        <x:v>RS-02868</x:v>
      </x:c>
      <x:c r="C5706" s="9" t="n">
        <x:v>1</x:v>
      </x:c>
      <x:c r="D5706" s="8" t="n">
        <x:v>45455</x:v>
      </x:c>
      <x:c r="E5706" s="9" t="n">
        <x:v>1774500</x:v>
      </x:c>
      <x:c r="F5706" s="9" t="n">
        <x:v>1774500</x:v>
      </x:c>
    </x:row>
    <x:row r="5707" ht="34" customHeight="1">
      <x:c r="A5707" s="4" t="str">
        <x:v>RS-02868-I2</x:v>
      </x:c>
      <x:c r="B5707" s="4" t="str">
        <x:v>RS-02868</x:v>
      </x:c>
      <x:c r="C5707" s="9" t="n">
        <x:v>2</x:v>
      </x:c>
      <x:c r="D5707" s="8" t="n">
        <x:v>45485</x:v>
      </x:c>
      <x:c r="E5707" s="9" t="n">
        <x:v>1774500</x:v>
      </x:c>
      <x:c r="F5707" s="9" t="n">
        <x:v>1774500</x:v>
      </x:c>
    </x:row>
    <x:row r="5708" ht="34" customHeight="1">
      <x:c r="A5708" s="4" t="str">
        <x:v>RS-02868-I3</x:v>
      </x:c>
      <x:c r="B5708" s="4" t="str">
        <x:v>RS-02868</x:v>
      </x:c>
      <x:c r="C5708" s="9" t="n">
        <x:v>3</x:v>
      </x:c>
      <x:c r="D5708" s="8" t="n">
        <x:v>45515</x:v>
      </x:c>
      <x:c r="E5708" s="9" t="n">
        <x:v>1774500</x:v>
      </x:c>
      <x:c r="F5708" s="9" t="n">
        <x:v>1774500</x:v>
      </x:c>
    </x:row>
    <x:row r="5709" ht="34" customHeight="1">
      <x:c r="A5709" s="4" t="str">
        <x:v>RS-02868-I4</x:v>
      </x:c>
      <x:c r="B5709" s="4" t="str">
        <x:v>RS-02868</x:v>
      </x:c>
      <x:c r="C5709" s="9" t="n">
        <x:v>4</x:v>
      </x:c>
      <x:c r="D5709" s="8" t="n">
        <x:v>45545</x:v>
      </x:c>
      <x:c r="E5709" s="9" t="n">
        <x:v>1774500</x:v>
      </x:c>
      <x:c r="F5709" s="9" t="n">
        <x:v>1774500</x:v>
      </x:c>
    </x:row>
    <x:row r="5710" ht="34" customHeight="1">
      <x:c r="A5710" s="4" t="str">
        <x:v>RS-02869-I1</x:v>
      </x:c>
      <x:c r="B5710" s="4" t="str">
        <x:v>RS-02869</x:v>
      </x:c>
      <x:c r="C5710" s="9" t="n">
        <x:v>1</x:v>
      </x:c>
      <x:c r="D5710" s="8" t="n">
        <x:v>45456</x:v>
      </x:c>
      <x:c r="E5710" s="9" t="n">
        <x:v>3560000</x:v>
      </x:c>
      <x:c r="F5710" s="9" t="n">
        <x:v>3560000</x:v>
      </x:c>
    </x:row>
    <x:row r="5711" ht="34" customHeight="1">
      <x:c r="A5711" s="4" t="str">
        <x:v>RS-02869-I2</x:v>
      </x:c>
      <x:c r="B5711" s="4" t="str">
        <x:v>RS-02869</x:v>
      </x:c>
      <x:c r="C5711" s="9" t="n">
        <x:v>2</x:v>
      </x:c>
      <x:c r="D5711" s="8" t="n">
        <x:v>45486</x:v>
      </x:c>
      <x:c r="E5711" s="9" t="n">
        <x:v>3560000</x:v>
      </x:c>
      <x:c r="F5711" s="9" t="n">
        <x:v>3560000</x:v>
      </x:c>
    </x:row>
    <x:row r="5712" ht="34" customHeight="1">
      <x:c r="A5712" s="4" t="str">
        <x:v>RS-02869-I3</x:v>
      </x:c>
      <x:c r="B5712" s="4" t="str">
        <x:v>RS-02869</x:v>
      </x:c>
      <x:c r="C5712" s="9" t="n">
        <x:v>3</x:v>
      </x:c>
      <x:c r="D5712" s="8" t="n">
        <x:v>45516</x:v>
      </x:c>
      <x:c r="E5712" s="9" t="n">
        <x:v>3560000</x:v>
      </x:c>
      <x:c r="F5712" s="9" t="n">
        <x:v>3560000</x:v>
      </x:c>
    </x:row>
    <x:row r="5713" ht="34" customHeight="1">
      <x:c r="A5713" s="4" t="str">
        <x:v>RS-02869-I4</x:v>
      </x:c>
      <x:c r="B5713" s="4" t="str">
        <x:v>RS-02869</x:v>
      </x:c>
      <x:c r="C5713" s="9" t="n">
        <x:v>4</x:v>
      </x:c>
      <x:c r="D5713" s="8" t="n">
        <x:v>45546</x:v>
      </x:c>
      <x:c r="E5713" s="9" t="n">
        <x:v>3560000</x:v>
      </x:c>
      <x:c r="F5713" s="9" t="n">
        <x:v>3560000</x:v>
      </x:c>
    </x:row>
    <x:row r="5714" ht="34" customHeight="1">
      <x:c r="A5714" s="4" t="str">
        <x:v>RS-02871-I1</x:v>
      </x:c>
      <x:c r="B5714" s="4" t="str">
        <x:v>RS-02871</x:v>
      </x:c>
      <x:c r="C5714" s="9" t="n">
        <x:v>1</x:v>
      </x:c>
      <x:c r="D5714" s="8" t="n">
        <x:v>45458</x:v>
      </x:c>
      <x:c r="E5714" s="9" t="n">
        <x:v>1691000</x:v>
      </x:c>
      <x:c r="F5714" s="9" t="n">
        <x:v>1691000</x:v>
      </x:c>
    </x:row>
    <x:row r="5715" ht="34" customHeight="1">
      <x:c r="A5715" s="4" t="str">
        <x:v>RS-02871-I2</x:v>
      </x:c>
      <x:c r="B5715" s="4" t="str">
        <x:v>RS-02871</x:v>
      </x:c>
      <x:c r="C5715" s="9" t="n">
        <x:v>2</x:v>
      </x:c>
      <x:c r="D5715" s="8" t="n">
        <x:v>45488</x:v>
      </x:c>
      <x:c r="E5715" s="9" t="n">
        <x:v>1691000</x:v>
      </x:c>
      <x:c r="F5715" s="9" t="n">
        <x:v>1691000</x:v>
      </x:c>
    </x:row>
    <x:row r="5716" ht="34" customHeight="1">
      <x:c r="A5716" s="4" t="str">
        <x:v>RS-02871-I3</x:v>
      </x:c>
      <x:c r="B5716" s="4" t="str">
        <x:v>RS-02871</x:v>
      </x:c>
      <x:c r="C5716" s="9" t="n">
        <x:v>3</x:v>
      </x:c>
      <x:c r="D5716" s="8" t="n">
        <x:v>45518</x:v>
      </x:c>
      <x:c r="E5716" s="9" t="n">
        <x:v>1691000</x:v>
      </x:c>
      <x:c r="F5716" s="9" t="n">
        <x:v>0</x:v>
      </x:c>
    </x:row>
    <x:row r="5717" ht="34" customHeight="1">
      <x:c r="A5717" s="4" t="str">
        <x:v>RS-02871-I4</x:v>
      </x:c>
      <x:c r="B5717" s="4" t="str">
        <x:v>RS-02871</x:v>
      </x:c>
      <x:c r="C5717" s="9" t="n">
        <x:v>4</x:v>
      </x:c>
      <x:c r="D5717" s="8" t="n">
        <x:v>45548</x:v>
      </x:c>
      <x:c r="E5717" s="9" t="n">
        <x:v>1691000</x:v>
      </x:c>
      <x:c r="F5717" s="9" t="n">
        <x:v>0</x:v>
      </x:c>
    </x:row>
    <x:row r="5718" ht="34" customHeight="1">
      <x:c r="A5718" s="4" t="str">
        <x:v>RS-02872-I1</x:v>
      </x:c>
      <x:c r="B5718" s="4" t="str">
        <x:v>RS-02872</x:v>
      </x:c>
      <x:c r="C5718" s="9" t="n">
        <x:v>1</x:v>
      </x:c>
      <x:c r="D5718" s="8" t="n">
        <x:v>45459</x:v>
      </x:c>
      <x:c r="E5718" s="9" t="n">
        <x:v>4704000</x:v>
      </x:c>
      <x:c r="F5718" s="9" t="n">
        <x:v>4704000</x:v>
      </x:c>
    </x:row>
    <x:row r="5719" ht="34" customHeight="1">
      <x:c r="A5719" s="4" t="str">
        <x:v>RS-02872-I2</x:v>
      </x:c>
      <x:c r="B5719" s="4" t="str">
        <x:v>RS-02872</x:v>
      </x:c>
      <x:c r="C5719" s="9" t="n">
        <x:v>2</x:v>
      </x:c>
      <x:c r="D5719" s="8" t="n">
        <x:v>45489</x:v>
      </x:c>
      <x:c r="E5719" s="9" t="n">
        <x:v>4704000</x:v>
      </x:c>
      <x:c r="F5719" s="9" t="n">
        <x:v>4704000</x:v>
      </x:c>
    </x:row>
    <x:row r="5720" ht="34" customHeight="1">
      <x:c r="A5720" s="4" t="str">
        <x:v>RS-02872-I3</x:v>
      </x:c>
      <x:c r="B5720" s="4" t="str">
        <x:v>RS-02872</x:v>
      </x:c>
      <x:c r="C5720" s="9" t="n">
        <x:v>3</x:v>
      </x:c>
      <x:c r="D5720" s="8" t="n">
        <x:v>45519</x:v>
      </x:c>
      <x:c r="E5720" s="9" t="n">
        <x:v>4704000</x:v>
      </x:c>
      <x:c r="F5720" s="9" t="n">
        <x:v>0</x:v>
      </x:c>
    </x:row>
    <x:row r="5721" ht="34" customHeight="1">
      <x:c r="A5721" s="4" t="str">
        <x:v>RS-02872-I4</x:v>
      </x:c>
      <x:c r="B5721" s="4" t="str">
        <x:v>RS-02872</x:v>
      </x:c>
      <x:c r="C5721" s="9" t="n">
        <x:v>4</x:v>
      </x:c>
      <x:c r="D5721" s="8" t="n">
        <x:v>45549</x:v>
      </x:c>
      <x:c r="E5721" s="9" t="n">
        <x:v>4704000</x:v>
      </x:c>
      <x:c r="F5721" s="9" t="n">
        <x:v>0</x:v>
      </x:c>
    </x:row>
    <x:row r="5722" ht="34" customHeight="1">
      <x:c r="A5722" s="4" t="str">
        <x:v>RS-02873-I1</x:v>
      </x:c>
      <x:c r="B5722" s="4" t="str">
        <x:v>RS-02873</x:v>
      </x:c>
      <x:c r="C5722" s="9" t="n">
        <x:v>1</x:v>
      </x:c>
      <x:c r="D5722" s="8" t="n">
        <x:v>45460</x:v>
      </x:c>
      <x:c r="E5722" s="9" t="n">
        <x:v>4531000</x:v>
      </x:c>
      <x:c r="F5722" s="9" t="n">
        <x:v>4531000</x:v>
      </x:c>
    </x:row>
    <x:row r="5723" ht="34" customHeight="1">
      <x:c r="A5723" s="4" t="str">
        <x:v>RS-02873-I2</x:v>
      </x:c>
      <x:c r="B5723" s="4" t="str">
        <x:v>RS-02873</x:v>
      </x:c>
      <x:c r="C5723" s="9" t="n">
        <x:v>2</x:v>
      </x:c>
      <x:c r="D5723" s="8" t="n">
        <x:v>45490</x:v>
      </x:c>
      <x:c r="E5723" s="9" t="n">
        <x:v>4531000</x:v>
      </x:c>
      <x:c r="F5723" s="9" t="n">
        <x:v>0</x:v>
      </x:c>
    </x:row>
    <x:row r="5724" ht="34" customHeight="1">
      <x:c r="A5724" s="4" t="str">
        <x:v>RS-02873-I3</x:v>
      </x:c>
      <x:c r="B5724" s="4" t="str">
        <x:v>RS-02873</x:v>
      </x:c>
      <x:c r="C5724" s="9" t="n">
        <x:v>3</x:v>
      </x:c>
      <x:c r="D5724" s="8" t="n">
        <x:v>45520</x:v>
      </x:c>
      <x:c r="E5724" s="9" t="n">
        <x:v>4531000</x:v>
      </x:c>
      <x:c r="F5724" s="9" t="n">
        <x:v>0</x:v>
      </x:c>
    </x:row>
    <x:row r="5725" ht="34" customHeight="1">
      <x:c r="A5725" s="4" t="str">
        <x:v>RS-02873-I4</x:v>
      </x:c>
      <x:c r="B5725" s="4" t="str">
        <x:v>RS-02873</x:v>
      </x:c>
      <x:c r="C5725" s="9" t="n">
        <x:v>4</x:v>
      </x:c>
      <x:c r="D5725" s="8" t="n">
        <x:v>45550</x:v>
      </x:c>
      <x:c r="E5725" s="9" t="n">
        <x:v>4531000</x:v>
      </x:c>
      <x:c r="F5725" s="9" t="n">
        <x:v>0</x:v>
      </x:c>
    </x:row>
    <x:row r="5726" ht="34" customHeight="1">
      <x:c r="A5726" s="4" t="str">
        <x:v>RS-02874-I1</x:v>
      </x:c>
      <x:c r="B5726" s="4" t="str">
        <x:v>RS-02874</x:v>
      </x:c>
      <x:c r="C5726" s="9" t="n">
        <x:v>1</x:v>
      </x:c>
      <x:c r="D5726" s="8" t="n">
        <x:v>45461</x:v>
      </x:c>
      <x:c r="E5726" s="9" t="n">
        <x:v>4158000</x:v>
      </x:c>
      <x:c r="F5726" s="9" t="n">
        <x:v>4158000</x:v>
      </x:c>
    </x:row>
    <x:row r="5727" ht="34" customHeight="1">
      <x:c r="A5727" s="4" t="str">
        <x:v>RS-02874-I2</x:v>
      </x:c>
      <x:c r="B5727" s="4" t="str">
        <x:v>RS-02874</x:v>
      </x:c>
      <x:c r="C5727" s="9" t="n">
        <x:v>2</x:v>
      </x:c>
      <x:c r="D5727" s="8" t="n">
        <x:v>45491</x:v>
      </x:c>
      <x:c r="E5727" s="9" t="n">
        <x:v>4158000</x:v>
      </x:c>
      <x:c r="F5727" s="9" t="n">
        <x:v>0</x:v>
      </x:c>
    </x:row>
    <x:row r="5728" ht="34" customHeight="1">
      <x:c r="A5728" s="4" t="str">
        <x:v>RS-02874-I3</x:v>
      </x:c>
      <x:c r="B5728" s="4" t="str">
        <x:v>RS-02874</x:v>
      </x:c>
      <x:c r="C5728" s="9" t="n">
        <x:v>3</x:v>
      </x:c>
      <x:c r="D5728" s="8" t="n">
        <x:v>45521</x:v>
      </x:c>
      <x:c r="E5728" s="9" t="n">
        <x:v>4158000</x:v>
      </x:c>
      <x:c r="F5728" s="9" t="n">
        <x:v>0</x:v>
      </x:c>
    </x:row>
    <x:row r="5729" ht="34" customHeight="1">
      <x:c r="A5729" s="4" t="str">
        <x:v>RS-02874-I4</x:v>
      </x:c>
      <x:c r="B5729" s="4" t="str">
        <x:v>RS-02874</x:v>
      </x:c>
      <x:c r="C5729" s="9" t="n">
        <x:v>4</x:v>
      </x:c>
      <x:c r="D5729" s="8" t="n">
        <x:v>45551</x:v>
      </x:c>
      <x:c r="E5729" s="9" t="n">
        <x:v>4158000</x:v>
      </x:c>
      <x:c r="F5729" s="9" t="n">
        <x:v>0</x:v>
      </x:c>
    </x:row>
    <x:row r="5730" ht="34" customHeight="1">
      <x:c r="A5730" s="4" t="str">
        <x:v>RS-02876-I1</x:v>
      </x:c>
      <x:c r="B5730" s="4" t="str">
        <x:v>RS-02876</x:v>
      </x:c>
      <x:c r="C5730" s="9" t="n">
        <x:v>1</x:v>
      </x:c>
      <x:c r="D5730" s="8" t="n">
        <x:v>45463</x:v>
      </x:c>
      <x:c r="E5730" s="9" t="n">
        <x:v>1587000</x:v>
      </x:c>
      <x:c r="F5730" s="9" t="n">
        <x:v>1587000</x:v>
      </x:c>
    </x:row>
    <x:row r="5731" ht="34" customHeight="1">
      <x:c r="A5731" s="4" t="str">
        <x:v>RS-02876-I2</x:v>
      </x:c>
      <x:c r="B5731" s="4" t="str">
        <x:v>RS-02876</x:v>
      </x:c>
      <x:c r="C5731" s="9" t="n">
        <x:v>2</x:v>
      </x:c>
      <x:c r="D5731" s="8" t="n">
        <x:v>45493</x:v>
      </x:c>
      <x:c r="E5731" s="9" t="n">
        <x:v>1587000</x:v>
      </x:c>
      <x:c r="F5731" s="9" t="n">
        <x:v>0</x:v>
      </x:c>
    </x:row>
    <x:row r="5732" ht="34" customHeight="1">
      <x:c r="A5732" s="4" t="str">
        <x:v>RS-02876-I3</x:v>
      </x:c>
      <x:c r="B5732" s="4" t="str">
        <x:v>RS-02876</x:v>
      </x:c>
      <x:c r="C5732" s="9" t="n">
        <x:v>3</x:v>
      </x:c>
      <x:c r="D5732" s="8" t="n">
        <x:v>45523</x:v>
      </x:c>
      <x:c r="E5732" s="9" t="n">
        <x:v>1587000</x:v>
      </x:c>
      <x:c r="F5732" s="9" t="n">
        <x:v>0</x:v>
      </x:c>
    </x:row>
    <x:row r="5733" ht="34" customHeight="1">
      <x:c r="A5733" s="4" t="str">
        <x:v>RS-02876-I4</x:v>
      </x:c>
      <x:c r="B5733" s="4" t="str">
        <x:v>RS-02876</x:v>
      </x:c>
      <x:c r="C5733" s="9" t="n">
        <x:v>4</x:v>
      </x:c>
      <x:c r="D5733" s="8" t="n">
        <x:v>45553</x:v>
      </x:c>
      <x:c r="E5733" s="9" t="n">
        <x:v>1587000</x:v>
      </x:c>
      <x:c r="F5733" s="9" t="n">
        <x:v>0</x:v>
      </x:c>
    </x:row>
    <x:row r="5734" ht="34" customHeight="1">
      <x:c r="A5734" s="4" t="str">
        <x:v>RS-02877-I1</x:v>
      </x:c>
      <x:c r="B5734" s="4" t="str">
        <x:v>RS-02877</x:v>
      </x:c>
      <x:c r="C5734" s="9" t="n">
        <x:v>1</x:v>
      </x:c>
      <x:c r="D5734" s="8" t="n">
        <x:v>45464</x:v>
      </x:c>
      <x:c r="E5734" s="9" t="n">
        <x:v>2992500</x:v>
      </x:c>
      <x:c r="F5734" s="9" t="n">
        <x:v>2992500</x:v>
      </x:c>
    </x:row>
    <x:row r="5735" ht="34" customHeight="1">
      <x:c r="A5735" s="4" t="str">
        <x:v>RS-02877-I2</x:v>
      </x:c>
      <x:c r="B5735" s="4" t="str">
        <x:v>RS-02877</x:v>
      </x:c>
      <x:c r="C5735" s="9" t="n">
        <x:v>2</x:v>
      </x:c>
      <x:c r="D5735" s="8" t="n">
        <x:v>45494</x:v>
      </x:c>
      <x:c r="E5735" s="9" t="n">
        <x:v>2992500</x:v>
      </x:c>
      <x:c r="F5735" s="9" t="n">
        <x:v>0</x:v>
      </x:c>
    </x:row>
    <x:row r="5736" ht="34" customHeight="1">
      <x:c r="A5736" s="4" t="str">
        <x:v>RS-02877-I3</x:v>
      </x:c>
      <x:c r="B5736" s="4" t="str">
        <x:v>RS-02877</x:v>
      </x:c>
      <x:c r="C5736" s="9" t="n">
        <x:v>3</x:v>
      </x:c>
      <x:c r="D5736" s="8" t="n">
        <x:v>45524</x:v>
      </x:c>
      <x:c r="E5736" s="9" t="n">
        <x:v>2992500</x:v>
      </x:c>
      <x:c r="F5736" s="9" t="n">
        <x:v>0</x:v>
      </x:c>
    </x:row>
    <x:row r="5737" ht="34" customHeight="1">
      <x:c r="A5737" s="4" t="str">
        <x:v>RS-02877-I4</x:v>
      </x:c>
      <x:c r="B5737" s="4" t="str">
        <x:v>RS-02877</x:v>
      </x:c>
      <x:c r="C5737" s="9" t="n">
        <x:v>4</x:v>
      </x:c>
      <x:c r="D5737" s="8" t="n">
        <x:v>45554</x:v>
      </x:c>
      <x:c r="E5737" s="9" t="n">
        <x:v>2992500</x:v>
      </x:c>
      <x:c r="F5737" s="9" t="n">
        <x:v>0</x:v>
      </x:c>
    </x:row>
    <x:row r="5738" ht="34" customHeight="1">
      <x:c r="A5738" s="4" t="str">
        <x:v>RS-02878-I1</x:v>
      </x:c>
      <x:c r="B5738" s="4" t="str">
        <x:v>RS-02878</x:v>
      </x:c>
      <x:c r="C5738" s="9" t="n">
        <x:v>1</x:v>
      </x:c>
      <x:c r="D5738" s="8" t="n">
        <x:v>45465</x:v>
      </x:c>
      <x:c r="E5738" s="9" t="n">
        <x:v>4089000</x:v>
      </x:c>
      <x:c r="F5738" s="9" t="n">
        <x:v>4089000</x:v>
      </x:c>
    </x:row>
    <x:row r="5739" ht="34" customHeight="1">
      <x:c r="A5739" s="4" t="str">
        <x:v>RS-02878-I2</x:v>
      </x:c>
      <x:c r="B5739" s="4" t="str">
        <x:v>RS-02878</x:v>
      </x:c>
      <x:c r="C5739" s="9" t="n">
        <x:v>2</x:v>
      </x:c>
      <x:c r="D5739" s="8" t="n">
        <x:v>45495</x:v>
      </x:c>
      <x:c r="E5739" s="9" t="n">
        <x:v>4089000</x:v>
      </x:c>
      <x:c r="F5739" s="9" t="n">
        <x:v>0</x:v>
      </x:c>
    </x:row>
    <x:row r="5740" ht="34" customHeight="1">
      <x:c r="A5740" s="4" t="str">
        <x:v>RS-02878-I3</x:v>
      </x:c>
      <x:c r="B5740" s="4" t="str">
        <x:v>RS-02878</x:v>
      </x:c>
      <x:c r="C5740" s="9" t="n">
        <x:v>3</x:v>
      </x:c>
      <x:c r="D5740" s="8" t="n">
        <x:v>45525</x:v>
      </x:c>
      <x:c r="E5740" s="9" t="n">
        <x:v>4089000</x:v>
      </x:c>
      <x:c r="F5740" s="9" t="n">
        <x:v>0</x:v>
      </x:c>
    </x:row>
    <x:row r="5741" ht="34" customHeight="1">
      <x:c r="A5741" s="4" t="str">
        <x:v>RS-02878-I4</x:v>
      </x:c>
      <x:c r="B5741" s="4" t="str">
        <x:v>RS-02878</x:v>
      </x:c>
      <x:c r="C5741" s="9" t="n">
        <x:v>4</x:v>
      </x:c>
      <x:c r="D5741" s="8" t="n">
        <x:v>45555</x:v>
      </x:c>
      <x:c r="E5741" s="9" t="n">
        <x:v>4089000</x:v>
      </x:c>
      <x:c r="F5741" s="9" t="n">
        <x:v>0</x:v>
      </x:c>
    </x:row>
    <x:row r="5742" ht="34" customHeight="1">
      <x:c r="A5742" s="4" t="str">
        <x:v>RS-02880-I1</x:v>
      </x:c>
      <x:c r="B5742" s="4" t="str">
        <x:v>RS-02880</x:v>
      </x:c>
      <x:c r="C5742" s="9" t="n">
        <x:v>1</x:v>
      </x:c>
      <x:c r="D5742" s="8" t="n">
        <x:v>45467</x:v>
      </x:c>
      <x:c r="E5742" s="9" t="n">
        <x:v>1824000</x:v>
      </x:c>
      <x:c r="F5742" s="9" t="n">
        <x:v>1824000</x:v>
      </x:c>
    </x:row>
    <x:row r="5743" ht="34" customHeight="1">
      <x:c r="A5743" s="4" t="str">
        <x:v>RS-02880-I2</x:v>
      </x:c>
      <x:c r="B5743" s="4" t="str">
        <x:v>RS-02880</x:v>
      </x:c>
      <x:c r="C5743" s="9" t="n">
        <x:v>2</x:v>
      </x:c>
      <x:c r="D5743" s="8" t="n">
        <x:v>45497</x:v>
      </x:c>
      <x:c r="E5743" s="9" t="n">
        <x:v>1824000</x:v>
      </x:c>
      <x:c r="F5743" s="9" t="n">
        <x:v>0</x:v>
      </x:c>
    </x:row>
    <x:row r="5744" ht="34" customHeight="1">
      <x:c r="A5744" s="4" t="str">
        <x:v>RS-02880-I3</x:v>
      </x:c>
      <x:c r="B5744" s="4" t="str">
        <x:v>RS-02880</x:v>
      </x:c>
      <x:c r="C5744" s="9" t="n">
        <x:v>3</x:v>
      </x:c>
      <x:c r="D5744" s="8" t="n">
        <x:v>45527</x:v>
      </x:c>
      <x:c r="E5744" s="9" t="n">
        <x:v>1824000</x:v>
      </x:c>
      <x:c r="F5744" s="9" t="n">
        <x:v>0</x:v>
      </x:c>
    </x:row>
    <x:row r="5745" ht="34" customHeight="1">
      <x:c r="A5745" s="4" t="str">
        <x:v>RS-02880-I4</x:v>
      </x:c>
      <x:c r="B5745" s="4" t="str">
        <x:v>RS-02880</x:v>
      </x:c>
      <x:c r="C5745" s="9" t="n">
        <x:v>4</x:v>
      </x:c>
      <x:c r="D5745" s="8" t="n">
        <x:v>45557</x:v>
      </x:c>
      <x:c r="E5745" s="9" t="n">
        <x:v>1824000</x:v>
      </x:c>
      <x:c r="F5745" s="9" t="n">
        <x:v>0</x:v>
      </x:c>
    </x:row>
    <x:row r="5746" ht="34" customHeight="1">
      <x:c r="A5746" s="4" t="str">
        <x:v>RS-02881-I1</x:v>
      </x:c>
      <x:c r="B5746" s="4" t="str">
        <x:v>RS-02881</x:v>
      </x:c>
      <x:c r="C5746" s="9" t="n">
        <x:v>1</x:v>
      </x:c>
      <x:c r="D5746" s="8" t="n">
        <x:v>45468</x:v>
      </x:c>
      <x:c r="E5746" s="9" t="n">
        <x:v>1721750</x:v>
      </x:c>
      <x:c r="F5746" s="9" t="n">
        <x:v>688700</x:v>
      </x:c>
    </x:row>
    <x:row r="5747" ht="34" customHeight="1">
      <x:c r="A5747" s="4" t="str">
        <x:v>RS-02881-I2</x:v>
      </x:c>
      <x:c r="B5747" s="4" t="str">
        <x:v>RS-02881</x:v>
      </x:c>
      <x:c r="C5747" s="9" t="n">
        <x:v>2</x:v>
      </x:c>
      <x:c r="D5747" s="8" t="n">
        <x:v>45498</x:v>
      </x:c>
      <x:c r="E5747" s="9" t="n">
        <x:v>1721750</x:v>
      </x:c>
      <x:c r="F5747" s="9" t="n">
        <x:v>0</x:v>
      </x:c>
    </x:row>
    <x:row r="5748" ht="34" customHeight="1">
      <x:c r="A5748" s="4" t="str">
        <x:v>RS-02881-I3</x:v>
      </x:c>
      <x:c r="B5748" s="4" t="str">
        <x:v>RS-02881</x:v>
      </x:c>
      <x:c r="C5748" s="9" t="n">
        <x:v>3</x:v>
      </x:c>
      <x:c r="D5748" s="8" t="n">
        <x:v>45528</x:v>
      </x:c>
      <x:c r="E5748" s="9" t="n">
        <x:v>1721750</x:v>
      </x:c>
      <x:c r="F5748" s="9" t="n">
        <x:v>0</x:v>
      </x:c>
    </x:row>
    <x:row r="5749" ht="34" customHeight="1">
      <x:c r="A5749" s="4" t="str">
        <x:v>RS-02881-I4</x:v>
      </x:c>
      <x:c r="B5749" s="4" t="str">
        <x:v>RS-02881</x:v>
      </x:c>
      <x:c r="C5749" s="9" t="n">
        <x:v>4</x:v>
      </x:c>
      <x:c r="D5749" s="8" t="n">
        <x:v>45558</x:v>
      </x:c>
      <x:c r="E5749" s="9" t="n">
        <x:v>1721750</x:v>
      </x:c>
      <x:c r="F5749" s="9" t="n">
        <x:v>0</x:v>
      </x:c>
    </x:row>
    <x:row r="5750" ht="34" customHeight="1">
      <x:c r="A5750" s="4" t="str">
        <x:v>RS-02882-I1</x:v>
      </x:c>
      <x:c r="B5750" s="4" t="str">
        <x:v>RS-02882</x:v>
      </x:c>
      <x:c r="C5750" s="9" t="n">
        <x:v>1</x:v>
      </x:c>
      <x:c r="D5750" s="8" t="n">
        <x:v>45469</x:v>
      </x:c>
      <x:c r="E5750" s="9" t="n">
        <x:v>4632000</x:v>
      </x:c>
      <x:c r="F5750" s="9" t="n">
        <x:v>4632000</x:v>
      </x:c>
    </x:row>
    <x:row r="5751" ht="34" customHeight="1">
      <x:c r="A5751" s="4" t="str">
        <x:v>RS-02882-I2</x:v>
      </x:c>
      <x:c r="B5751" s="4" t="str">
        <x:v>RS-02882</x:v>
      </x:c>
      <x:c r="C5751" s="9" t="n">
        <x:v>2</x:v>
      </x:c>
      <x:c r="D5751" s="8" t="n">
        <x:v>45499</x:v>
      </x:c>
      <x:c r="E5751" s="9" t="n">
        <x:v>4632000</x:v>
      </x:c>
      <x:c r="F5751" s="9" t="n">
        <x:v>0</x:v>
      </x:c>
    </x:row>
    <x:row r="5752" ht="34" customHeight="1">
      <x:c r="A5752" s="4" t="str">
        <x:v>RS-02882-I3</x:v>
      </x:c>
      <x:c r="B5752" s="4" t="str">
        <x:v>RS-02882</x:v>
      </x:c>
      <x:c r="C5752" s="9" t="n">
        <x:v>3</x:v>
      </x:c>
      <x:c r="D5752" s="8" t="n">
        <x:v>45529</x:v>
      </x:c>
      <x:c r="E5752" s="9" t="n">
        <x:v>4632000</x:v>
      </x:c>
      <x:c r="F5752" s="9" t="n">
        <x:v>0</x:v>
      </x:c>
    </x:row>
    <x:row r="5753" ht="34" customHeight="1">
      <x:c r="A5753" s="4" t="str">
        <x:v>RS-02882-I4</x:v>
      </x:c>
      <x:c r="B5753" s="4" t="str">
        <x:v>RS-02882</x:v>
      </x:c>
      <x:c r="C5753" s="9" t="n">
        <x:v>4</x:v>
      </x:c>
      <x:c r="D5753" s="8" t="n">
        <x:v>45559</x:v>
      </x:c>
      <x:c r="E5753" s="9" t="n">
        <x:v>4632000</x:v>
      </x:c>
      <x:c r="F5753" s="9" t="n">
        <x:v>0</x:v>
      </x:c>
    </x:row>
    <x:row r="5754" ht="34" customHeight="1">
      <x:c r="A5754" s="4" t="str">
        <x:v>RS-02884-I1</x:v>
      </x:c>
      <x:c r="B5754" s="4" t="str">
        <x:v>RS-02884</x:v>
      </x:c>
      <x:c r="C5754" s="9" t="n">
        <x:v>1</x:v>
      </x:c>
      <x:c r="D5754" s="8" t="n">
        <x:v>45471</x:v>
      </x:c>
      <x:c r="E5754" s="9" t="n">
        <x:v>3431000</x:v>
      </x:c>
      <x:c r="F5754" s="9" t="n">
        <x:v>3431000</x:v>
      </x:c>
    </x:row>
    <x:row r="5755" ht="34" customHeight="1">
      <x:c r="A5755" s="4" t="str">
        <x:v>RS-02884-I2</x:v>
      </x:c>
      <x:c r="B5755" s="4" t="str">
        <x:v>RS-02884</x:v>
      </x:c>
      <x:c r="C5755" s="9" t="n">
        <x:v>2</x:v>
      </x:c>
      <x:c r="D5755" s="8" t="n">
        <x:v>45501</x:v>
      </x:c>
      <x:c r="E5755" s="9" t="n">
        <x:v>3431000</x:v>
      </x:c>
      <x:c r="F5755" s="9" t="n">
        <x:v>0</x:v>
      </x:c>
    </x:row>
    <x:row r="5756" ht="34" customHeight="1">
      <x:c r="A5756" s="4" t="str">
        <x:v>RS-02884-I3</x:v>
      </x:c>
      <x:c r="B5756" s="4" t="str">
        <x:v>RS-02884</x:v>
      </x:c>
      <x:c r="C5756" s="9" t="n">
        <x:v>3</x:v>
      </x:c>
      <x:c r="D5756" s="8" t="n">
        <x:v>45531</x:v>
      </x:c>
      <x:c r="E5756" s="9" t="n">
        <x:v>3431000</x:v>
      </x:c>
      <x:c r="F5756" s="9" t="n">
        <x:v>0</x:v>
      </x:c>
    </x:row>
    <x:row r="5757" ht="34" customHeight="1">
      <x:c r="A5757" s="4" t="str">
        <x:v>RS-02884-I4</x:v>
      </x:c>
      <x:c r="B5757" s="4" t="str">
        <x:v>RS-02884</x:v>
      </x:c>
      <x:c r="C5757" s="9" t="n">
        <x:v>4</x:v>
      </x:c>
      <x:c r="D5757" s="8" t="n">
        <x:v>45561</x:v>
      </x:c>
      <x:c r="E5757" s="9" t="n">
        <x:v>3431000</x:v>
      </x:c>
      <x:c r="F5757" s="9" t="n">
        <x:v>0</x:v>
      </x:c>
    </x:row>
    <x:row r="5758" ht="34" customHeight="1">
      <x:c r="A5758" s="4" t="str">
        <x:v>RS-02886-I1</x:v>
      </x:c>
      <x:c r="B5758" s="4" t="str">
        <x:v>RS-02886</x:v>
      </x:c>
      <x:c r="C5758" s="9" t="n">
        <x:v>1</x:v>
      </x:c>
      <x:c r="D5758" s="8" t="n">
        <x:v>45445</x:v>
      </x:c>
      <x:c r="E5758" s="9" t="n">
        <x:v>5875000</x:v>
      </x:c>
      <x:c r="F5758" s="9" t="n">
        <x:v>5875000</x:v>
      </x:c>
    </x:row>
    <x:row r="5759" ht="34" customHeight="1">
      <x:c r="A5759" s="4" t="str">
        <x:v>RS-02886-I2</x:v>
      </x:c>
      <x:c r="B5759" s="4" t="str">
        <x:v>RS-02886</x:v>
      </x:c>
      <x:c r="C5759" s="9" t="n">
        <x:v>2</x:v>
      </x:c>
      <x:c r="D5759" s="8" t="n">
        <x:v>45475</x:v>
      </x:c>
      <x:c r="E5759" s="9" t="n">
        <x:v>5875000</x:v>
      </x:c>
      <x:c r="F5759" s="9" t="n">
        <x:v>0</x:v>
      </x:c>
    </x:row>
    <x:row r="5760" ht="34" customHeight="1">
      <x:c r="A5760" s="4" t="str">
        <x:v>RS-02886-I3</x:v>
      </x:c>
      <x:c r="B5760" s="4" t="str">
        <x:v>RS-02886</x:v>
      </x:c>
      <x:c r="C5760" s="9" t="n">
        <x:v>3</x:v>
      </x:c>
      <x:c r="D5760" s="8" t="n">
        <x:v>45505</x:v>
      </x:c>
      <x:c r="E5760" s="9" t="n">
        <x:v>5875000</x:v>
      </x:c>
      <x:c r="F5760" s="9" t="n">
        <x:v>0</x:v>
      </x:c>
    </x:row>
    <x:row r="5761" ht="34" customHeight="1">
      <x:c r="A5761" s="4" t="str">
        <x:v>RS-02886-I4</x:v>
      </x:c>
      <x:c r="B5761" s="4" t="str">
        <x:v>RS-02886</x:v>
      </x:c>
      <x:c r="C5761" s="9" t="n">
        <x:v>4</x:v>
      </x:c>
      <x:c r="D5761" s="8" t="n">
        <x:v>45535</x:v>
      </x:c>
      <x:c r="E5761" s="9" t="n">
        <x:v>5875000</x:v>
      </x:c>
      <x:c r="F5761" s="9" t="n">
        <x:v>0</x:v>
      </x:c>
    </x:row>
    <x:row r="5762" ht="34" customHeight="1">
      <x:c r="A5762" s="4" t="str">
        <x:v>RS-02887-I1</x:v>
      </x:c>
      <x:c r="B5762" s="4" t="str">
        <x:v>RS-02887</x:v>
      </x:c>
      <x:c r="C5762" s="9" t="n">
        <x:v>1</x:v>
      </x:c>
      <x:c r="D5762" s="8" t="n">
        <x:v>45446</x:v>
      </x:c>
      <x:c r="E5762" s="9" t="n">
        <x:v>4025000</x:v>
      </x:c>
      <x:c r="F5762" s="9" t="n">
        <x:v>4025000</x:v>
      </x:c>
    </x:row>
    <x:row r="5763" ht="34" customHeight="1">
      <x:c r="A5763" s="4" t="str">
        <x:v>RS-02887-I2</x:v>
      </x:c>
      <x:c r="B5763" s="4" t="str">
        <x:v>RS-02887</x:v>
      </x:c>
      <x:c r="C5763" s="9" t="n">
        <x:v>2</x:v>
      </x:c>
      <x:c r="D5763" s="8" t="n">
        <x:v>45476</x:v>
      </x:c>
      <x:c r="E5763" s="9" t="n">
        <x:v>4025000</x:v>
      </x:c>
      <x:c r="F5763" s="9" t="n">
        <x:v>4025000</x:v>
      </x:c>
    </x:row>
    <x:row r="5764" ht="34" customHeight="1">
      <x:c r="A5764" s="4" t="str">
        <x:v>RS-02887-I3</x:v>
      </x:c>
      <x:c r="B5764" s="4" t="str">
        <x:v>RS-02887</x:v>
      </x:c>
      <x:c r="C5764" s="9" t="n">
        <x:v>3</x:v>
      </x:c>
      <x:c r="D5764" s="8" t="n">
        <x:v>45506</x:v>
      </x:c>
      <x:c r="E5764" s="9" t="n">
        <x:v>4025000</x:v>
      </x:c>
      <x:c r="F5764" s="9" t="n">
        <x:v>0</x:v>
      </x:c>
    </x:row>
    <x:row r="5765" ht="34" customHeight="1">
      <x:c r="A5765" s="4" t="str">
        <x:v>RS-02887-I4</x:v>
      </x:c>
      <x:c r="B5765" s="4" t="str">
        <x:v>RS-02887</x:v>
      </x:c>
      <x:c r="C5765" s="9" t="n">
        <x:v>4</x:v>
      </x:c>
      <x:c r="D5765" s="8" t="n">
        <x:v>45536</x:v>
      </x:c>
      <x:c r="E5765" s="9" t="n">
        <x:v>4025000</x:v>
      </x:c>
      <x:c r="F5765" s="9" t="n">
        <x:v>0</x:v>
      </x:c>
    </x:row>
    <x:row r="5766" ht="34" customHeight="1">
      <x:c r="A5766" s="4" t="str">
        <x:v>RS-02893-I1</x:v>
      </x:c>
      <x:c r="B5766" s="4" t="str">
        <x:v>RS-02893</x:v>
      </x:c>
      <x:c r="C5766" s="9" t="n">
        <x:v>1</x:v>
      </x:c>
      <x:c r="D5766" s="8" t="n">
        <x:v>45452</x:v>
      </x:c>
      <x:c r="E5766" s="9" t="n">
        <x:v>5231250</x:v>
      </x:c>
      <x:c r="F5766" s="9" t="n">
        <x:v>2092500</x:v>
      </x:c>
    </x:row>
    <x:row r="5767" ht="34" customHeight="1">
      <x:c r="A5767" s="4" t="str">
        <x:v>RS-02893-I2</x:v>
      </x:c>
      <x:c r="B5767" s="4" t="str">
        <x:v>RS-02893</x:v>
      </x:c>
      <x:c r="C5767" s="9" t="n">
        <x:v>2</x:v>
      </x:c>
      <x:c r="D5767" s="8" t="n">
        <x:v>45482</x:v>
      </x:c>
      <x:c r="E5767" s="9" t="n">
        <x:v>5231250</x:v>
      </x:c>
      <x:c r="F5767" s="9" t="n">
        <x:v>0</x:v>
      </x:c>
    </x:row>
    <x:row r="5768" ht="34" customHeight="1">
      <x:c r="A5768" s="4" t="str">
        <x:v>RS-02893-I3</x:v>
      </x:c>
      <x:c r="B5768" s="4" t="str">
        <x:v>RS-02893</x:v>
      </x:c>
      <x:c r="C5768" s="9" t="n">
        <x:v>3</x:v>
      </x:c>
      <x:c r="D5768" s="8" t="n">
        <x:v>45512</x:v>
      </x:c>
      <x:c r="E5768" s="9" t="n">
        <x:v>5231250</x:v>
      </x:c>
      <x:c r="F5768" s="9" t="n">
        <x:v>0</x:v>
      </x:c>
    </x:row>
    <x:row r="5769" ht="34" customHeight="1">
      <x:c r="A5769" s="4" t="str">
        <x:v>RS-02893-I4</x:v>
      </x:c>
      <x:c r="B5769" s="4" t="str">
        <x:v>RS-02893</x:v>
      </x:c>
      <x:c r="C5769" s="9" t="n">
        <x:v>4</x:v>
      </x:c>
      <x:c r="D5769" s="8" t="n">
        <x:v>45542</x:v>
      </x:c>
      <x:c r="E5769" s="9" t="n">
        <x:v>5231250</x:v>
      </x:c>
      <x:c r="F5769" s="9" t="n">
        <x:v>0</x:v>
      </x:c>
    </x:row>
    <x:row r="5770" ht="34" customHeight="1">
      <x:c r="A5770" s="4" t="str">
        <x:v>RS-02894-I1</x:v>
      </x:c>
      <x:c r="B5770" s="4" t="str">
        <x:v>RS-02894</x:v>
      </x:c>
      <x:c r="C5770" s="9" t="n">
        <x:v>1</x:v>
      </x:c>
      <x:c r="D5770" s="8" t="n">
        <x:v>45453</x:v>
      </x:c>
      <x:c r="E5770" s="9" t="n">
        <x:v>1042750</x:v>
      </x:c>
      <x:c r="F5770" s="9" t="n">
        <x:v>1042750</x:v>
      </x:c>
    </x:row>
    <x:row r="5771" ht="34" customHeight="1">
      <x:c r="A5771" s="4" t="str">
        <x:v>RS-02894-I2</x:v>
      </x:c>
      <x:c r="B5771" s="4" t="str">
        <x:v>RS-02894</x:v>
      </x:c>
      <x:c r="C5771" s="9" t="n">
        <x:v>2</x:v>
      </x:c>
      <x:c r="D5771" s="8" t="n">
        <x:v>45483</x:v>
      </x:c>
      <x:c r="E5771" s="9" t="n">
        <x:v>1042750</x:v>
      </x:c>
      <x:c r="F5771" s="9" t="n">
        <x:v>1042750</x:v>
      </x:c>
    </x:row>
    <x:row r="5772" ht="34" customHeight="1">
      <x:c r="A5772" s="4" t="str">
        <x:v>RS-02894-I3</x:v>
      </x:c>
      <x:c r="B5772" s="4" t="str">
        <x:v>RS-02894</x:v>
      </x:c>
      <x:c r="C5772" s="9" t="n">
        <x:v>3</x:v>
      </x:c>
      <x:c r="D5772" s="8" t="n">
        <x:v>45513</x:v>
      </x:c>
      <x:c r="E5772" s="9" t="n">
        <x:v>1042750</x:v>
      </x:c>
      <x:c r="F5772" s="9" t="n">
        <x:v>1042750</x:v>
      </x:c>
    </x:row>
    <x:row r="5773" ht="34" customHeight="1">
      <x:c r="A5773" s="4" t="str">
        <x:v>RS-02894-I4</x:v>
      </x:c>
      <x:c r="B5773" s="4" t="str">
        <x:v>RS-02894</x:v>
      </x:c>
      <x:c r="C5773" s="9" t="n">
        <x:v>4</x:v>
      </x:c>
      <x:c r="D5773" s="8" t="n">
        <x:v>45543</x:v>
      </x:c>
      <x:c r="E5773" s="9" t="n">
        <x:v>1042750</x:v>
      </x:c>
      <x:c r="F5773" s="9" t="n">
        <x:v>1042750</x:v>
      </x:c>
    </x:row>
    <x:row r="5774" ht="34" customHeight="1">
      <x:c r="A5774" s="4" t="str">
        <x:v>RS-02899-I1</x:v>
      </x:c>
      <x:c r="B5774" s="4" t="str">
        <x:v>RS-02899</x:v>
      </x:c>
      <x:c r="C5774" s="9" t="n">
        <x:v>1</x:v>
      </x:c>
      <x:c r="D5774" s="8" t="n">
        <x:v>45458</x:v>
      </x:c>
      <x:c r="E5774" s="9" t="n">
        <x:v>5875000</x:v>
      </x:c>
      <x:c r="F5774" s="9" t="n">
        <x:v>2350000</x:v>
      </x:c>
    </x:row>
    <x:row r="5775" ht="34" customHeight="1">
      <x:c r="A5775" s="4" t="str">
        <x:v>RS-02899-I2</x:v>
      </x:c>
      <x:c r="B5775" s="4" t="str">
        <x:v>RS-02899</x:v>
      </x:c>
      <x:c r="C5775" s="9" t="n">
        <x:v>2</x:v>
      </x:c>
      <x:c r="D5775" s="8" t="n">
        <x:v>45488</x:v>
      </x:c>
      <x:c r="E5775" s="9" t="n">
        <x:v>5875000</x:v>
      </x:c>
      <x:c r="F5775" s="9" t="n">
        <x:v>0</x:v>
      </x:c>
    </x:row>
    <x:row r="5776" ht="34" customHeight="1">
      <x:c r="A5776" s="4" t="str">
        <x:v>RS-02899-I3</x:v>
      </x:c>
      <x:c r="B5776" s="4" t="str">
        <x:v>RS-02899</x:v>
      </x:c>
      <x:c r="C5776" s="9" t="n">
        <x:v>3</x:v>
      </x:c>
      <x:c r="D5776" s="8" t="n">
        <x:v>45518</x:v>
      </x:c>
      <x:c r="E5776" s="9" t="n">
        <x:v>5875000</x:v>
      </x:c>
      <x:c r="F5776" s="9" t="n">
        <x:v>0</x:v>
      </x:c>
    </x:row>
    <x:row r="5777" ht="34" customHeight="1">
      <x:c r="A5777" s="4" t="str">
        <x:v>RS-02899-I4</x:v>
      </x:c>
      <x:c r="B5777" s="4" t="str">
        <x:v>RS-02899</x:v>
      </x:c>
      <x:c r="C5777" s="9" t="n">
        <x:v>4</x:v>
      </x:c>
      <x:c r="D5777" s="8" t="n">
        <x:v>45548</x:v>
      </x:c>
      <x:c r="E5777" s="9" t="n">
        <x:v>5875000</x:v>
      </x:c>
      <x:c r="F5777" s="9" t="n">
        <x:v>0</x:v>
      </x:c>
    </x:row>
    <x:row r="5778" ht="34" customHeight="1">
      <x:c r="A5778" s="4" t="str">
        <x:v>RS-02901-I1</x:v>
      </x:c>
      <x:c r="B5778" s="4" t="str">
        <x:v>RS-02901</x:v>
      </x:c>
      <x:c r="C5778" s="9" t="n">
        <x:v>1</x:v>
      </x:c>
      <x:c r="D5778" s="8" t="n">
        <x:v>45460</x:v>
      </x:c>
      <x:c r="E5778" s="9" t="n">
        <x:v>3400000</x:v>
      </x:c>
      <x:c r="F5778" s="9" t="n">
        <x:v>3400000</x:v>
      </x:c>
    </x:row>
    <x:row r="5779" ht="34" customHeight="1">
      <x:c r="A5779" s="4" t="str">
        <x:v>RS-02901-I2</x:v>
      </x:c>
      <x:c r="B5779" s="4" t="str">
        <x:v>RS-02901</x:v>
      </x:c>
      <x:c r="C5779" s="9" t="n">
        <x:v>2</x:v>
      </x:c>
      <x:c r="D5779" s="8" t="n">
        <x:v>45490</x:v>
      </x:c>
      <x:c r="E5779" s="9" t="n">
        <x:v>3400000</x:v>
      </x:c>
      <x:c r="F5779" s="9" t="n">
        <x:v>0</x:v>
      </x:c>
    </x:row>
    <x:row r="5780" ht="34" customHeight="1">
      <x:c r="A5780" s="4" t="str">
        <x:v>RS-02901-I3</x:v>
      </x:c>
      <x:c r="B5780" s="4" t="str">
        <x:v>RS-02901</x:v>
      </x:c>
      <x:c r="C5780" s="9" t="n">
        <x:v>3</x:v>
      </x:c>
      <x:c r="D5780" s="8" t="n">
        <x:v>45520</x:v>
      </x:c>
      <x:c r="E5780" s="9" t="n">
        <x:v>3400000</x:v>
      </x:c>
      <x:c r="F5780" s="9" t="n">
        <x:v>0</x:v>
      </x:c>
    </x:row>
    <x:row r="5781" ht="34" customHeight="1">
      <x:c r="A5781" s="4" t="str">
        <x:v>RS-02901-I4</x:v>
      </x:c>
      <x:c r="B5781" s="4" t="str">
        <x:v>RS-02901</x:v>
      </x:c>
      <x:c r="C5781" s="9" t="n">
        <x:v>4</x:v>
      </x:c>
      <x:c r="D5781" s="8" t="n">
        <x:v>45550</x:v>
      </x:c>
      <x:c r="E5781" s="9" t="n">
        <x:v>3400000</x:v>
      </x:c>
      <x:c r="F5781" s="9" t="n">
        <x:v>0</x:v>
      </x:c>
    </x:row>
    <x:row r="5782" ht="34" customHeight="1">
      <x:c r="A5782" s="4" t="str">
        <x:v>RS-02905-I1</x:v>
      </x:c>
      <x:c r="B5782" s="4" t="str">
        <x:v>RS-02905</x:v>
      </x:c>
      <x:c r="C5782" s="9" t="n">
        <x:v>1</x:v>
      </x:c>
      <x:c r="D5782" s="8" t="n">
        <x:v>45464</x:v>
      </x:c>
      <x:c r="E5782" s="9" t="n">
        <x:v>5198000</x:v>
      </x:c>
      <x:c r="F5782" s="9" t="n">
        <x:v>2079200</x:v>
      </x:c>
    </x:row>
    <x:row r="5783" ht="34" customHeight="1">
      <x:c r="A5783" s="4" t="str">
        <x:v>RS-02905-I2</x:v>
      </x:c>
      <x:c r="B5783" s="4" t="str">
        <x:v>RS-02905</x:v>
      </x:c>
      <x:c r="C5783" s="9" t="n">
        <x:v>2</x:v>
      </x:c>
      <x:c r="D5783" s="8" t="n">
        <x:v>45494</x:v>
      </x:c>
      <x:c r="E5783" s="9" t="n">
        <x:v>5198000</x:v>
      </x:c>
      <x:c r="F5783" s="9" t="n">
        <x:v>0</x:v>
      </x:c>
    </x:row>
    <x:row r="5784" ht="34" customHeight="1">
      <x:c r="A5784" s="4" t="str">
        <x:v>RS-02905-I3</x:v>
      </x:c>
      <x:c r="B5784" s="4" t="str">
        <x:v>RS-02905</x:v>
      </x:c>
      <x:c r="C5784" s="9" t="n">
        <x:v>3</x:v>
      </x:c>
      <x:c r="D5784" s="8" t="n">
        <x:v>45524</x:v>
      </x:c>
      <x:c r="E5784" s="9" t="n">
        <x:v>5198000</x:v>
      </x:c>
      <x:c r="F5784" s="9" t="n">
        <x:v>0</x:v>
      </x:c>
    </x:row>
    <x:row r="5785" ht="34" customHeight="1">
      <x:c r="A5785" s="4" t="str">
        <x:v>RS-02905-I4</x:v>
      </x:c>
      <x:c r="B5785" s="4" t="str">
        <x:v>RS-02905</x:v>
      </x:c>
      <x:c r="C5785" s="9" t="n">
        <x:v>4</x:v>
      </x:c>
      <x:c r="D5785" s="8" t="n">
        <x:v>45554</x:v>
      </x:c>
      <x:c r="E5785" s="9" t="n">
        <x:v>5198000</x:v>
      </x:c>
      <x:c r="F5785" s="9" t="n">
        <x:v>0</x:v>
      </x:c>
    </x:row>
    <x:row r="5786" ht="34" customHeight="1">
      <x:c r="A5786" s="4" t="str">
        <x:v>RS-02908-I1</x:v>
      </x:c>
      <x:c r="B5786" s="4" t="str">
        <x:v>RS-02908</x:v>
      </x:c>
      <x:c r="C5786" s="9" t="n">
        <x:v>1</x:v>
      </x:c>
      <x:c r="D5786" s="8" t="n">
        <x:v>45467</x:v>
      </x:c>
      <x:c r="E5786" s="9" t="n">
        <x:v>4152000</x:v>
      </x:c>
      <x:c r="F5786" s="9" t="n">
        <x:v>4152000</x:v>
      </x:c>
    </x:row>
    <x:row r="5787" ht="34" customHeight="1">
      <x:c r="A5787" s="4" t="str">
        <x:v>RS-02908-I2</x:v>
      </x:c>
      <x:c r="B5787" s="4" t="str">
        <x:v>RS-02908</x:v>
      </x:c>
      <x:c r="C5787" s="9" t="n">
        <x:v>2</x:v>
      </x:c>
      <x:c r="D5787" s="8" t="n">
        <x:v>45497</x:v>
      </x:c>
      <x:c r="E5787" s="9" t="n">
        <x:v>4152000</x:v>
      </x:c>
      <x:c r="F5787" s="9" t="n">
        <x:v>0</x:v>
      </x:c>
    </x:row>
    <x:row r="5788" ht="34" customHeight="1">
      <x:c r="A5788" s="4" t="str">
        <x:v>RS-02908-I3</x:v>
      </x:c>
      <x:c r="B5788" s="4" t="str">
        <x:v>RS-02908</x:v>
      </x:c>
      <x:c r="C5788" s="9" t="n">
        <x:v>3</x:v>
      </x:c>
      <x:c r="D5788" s="8" t="n">
        <x:v>45527</x:v>
      </x:c>
      <x:c r="E5788" s="9" t="n">
        <x:v>4152000</x:v>
      </x:c>
      <x:c r="F5788" s="9" t="n">
        <x:v>0</x:v>
      </x:c>
    </x:row>
    <x:row r="5789" ht="34" customHeight="1">
      <x:c r="A5789" s="4" t="str">
        <x:v>RS-02908-I4</x:v>
      </x:c>
      <x:c r="B5789" s="4" t="str">
        <x:v>RS-02908</x:v>
      </x:c>
      <x:c r="C5789" s="9" t="n">
        <x:v>4</x:v>
      </x:c>
      <x:c r="D5789" s="8" t="n">
        <x:v>45557</x:v>
      </x:c>
      <x:c r="E5789" s="9" t="n">
        <x:v>4152000</x:v>
      </x:c>
      <x:c r="F5789" s="9" t="n">
        <x:v>0</x:v>
      </x:c>
    </x:row>
    <x:row r="5790" ht="34" customHeight="1">
      <x:c r="A5790" s="4" t="str">
        <x:v>RS-02911-I1</x:v>
      </x:c>
      <x:c r="B5790" s="4" t="str">
        <x:v>RS-02911</x:v>
      </x:c>
      <x:c r="C5790" s="9" t="n">
        <x:v>1</x:v>
      </x:c>
      <x:c r="D5790" s="8" t="n">
        <x:v>45470</x:v>
      </x:c>
      <x:c r="E5790" s="9" t="n">
        <x:v>4826250</x:v>
      </x:c>
      <x:c r="F5790" s="9" t="n">
        <x:v>4826250</x:v>
      </x:c>
    </x:row>
    <x:row r="5791" ht="34" customHeight="1">
      <x:c r="A5791" s="4" t="str">
        <x:v>RS-02911-I2</x:v>
      </x:c>
      <x:c r="B5791" s="4" t="str">
        <x:v>RS-02911</x:v>
      </x:c>
      <x:c r="C5791" s="9" t="n">
        <x:v>2</x:v>
      </x:c>
      <x:c r="D5791" s="8" t="n">
        <x:v>45500</x:v>
      </x:c>
      <x:c r="E5791" s="9" t="n">
        <x:v>4826250</x:v>
      </x:c>
      <x:c r="F5791" s="9" t="n">
        <x:v>4826250</x:v>
      </x:c>
    </x:row>
    <x:row r="5792" ht="34" customHeight="1">
      <x:c r="A5792" s="4" t="str">
        <x:v>RS-02911-I3</x:v>
      </x:c>
      <x:c r="B5792" s="4" t="str">
        <x:v>RS-02911</x:v>
      </x:c>
      <x:c r="C5792" s="9" t="n">
        <x:v>3</x:v>
      </x:c>
      <x:c r="D5792" s="8" t="n">
        <x:v>45530</x:v>
      </x:c>
      <x:c r="E5792" s="9" t="n">
        <x:v>4826250</x:v>
      </x:c>
      <x:c r="F5792" s="9" t="n">
        <x:v>4826250</x:v>
      </x:c>
    </x:row>
    <x:row r="5793" ht="34" customHeight="1">
      <x:c r="A5793" s="4" t="str">
        <x:v>RS-02911-I4</x:v>
      </x:c>
      <x:c r="B5793" s="4" t="str">
        <x:v>RS-02911</x:v>
      </x:c>
      <x:c r="C5793" s="9" t="n">
        <x:v>4</x:v>
      </x:c>
      <x:c r="D5793" s="8" t="n">
        <x:v>45560</x:v>
      </x:c>
      <x:c r="E5793" s="9" t="n">
        <x:v>4826250</x:v>
      </x:c>
      <x:c r="F5793" s="9" t="n">
        <x:v>4826250</x:v>
      </x:c>
    </x:row>
    <x:row r="5794" ht="34" customHeight="1">
      <x:c r="A5794" s="4" t="str">
        <x:v>RS-02912-I1</x:v>
      </x:c>
      <x:c r="B5794" s="4" t="str">
        <x:v>RS-02912</x:v>
      </x:c>
      <x:c r="C5794" s="9" t="n">
        <x:v>1</x:v>
      </x:c>
      <x:c r="D5794" s="8" t="n">
        <x:v>45471</x:v>
      </x:c>
      <x:c r="E5794" s="9" t="n">
        <x:v>1728000</x:v>
      </x:c>
      <x:c r="F5794" s="9" t="n">
        <x:v>691200</x:v>
      </x:c>
    </x:row>
    <x:row r="5795" ht="34" customHeight="1">
      <x:c r="A5795" s="4" t="str">
        <x:v>RS-02912-I2</x:v>
      </x:c>
      <x:c r="B5795" s="4" t="str">
        <x:v>RS-02912</x:v>
      </x:c>
      <x:c r="C5795" s="9" t="n">
        <x:v>2</x:v>
      </x:c>
      <x:c r="D5795" s="8" t="n">
        <x:v>45501</x:v>
      </x:c>
      <x:c r="E5795" s="9" t="n">
        <x:v>1728000</x:v>
      </x:c>
      <x:c r="F5795" s="9" t="n">
        <x:v>0</x:v>
      </x:c>
    </x:row>
    <x:row r="5796" ht="34" customHeight="1">
      <x:c r="A5796" s="4" t="str">
        <x:v>RS-02912-I3</x:v>
      </x:c>
      <x:c r="B5796" s="4" t="str">
        <x:v>RS-02912</x:v>
      </x:c>
      <x:c r="C5796" s="9" t="n">
        <x:v>3</x:v>
      </x:c>
      <x:c r="D5796" s="8" t="n">
        <x:v>45531</x:v>
      </x:c>
      <x:c r="E5796" s="9" t="n">
        <x:v>1728000</x:v>
      </x:c>
      <x:c r="F5796" s="9" t="n">
        <x:v>0</x:v>
      </x:c>
    </x:row>
    <x:row r="5797" ht="34" customHeight="1">
      <x:c r="A5797" s="4" t="str">
        <x:v>RS-02912-I4</x:v>
      </x:c>
      <x:c r="B5797" s="4" t="str">
        <x:v>RS-02912</x:v>
      </x:c>
      <x:c r="C5797" s="9" t="n">
        <x:v>4</x:v>
      </x:c>
      <x:c r="D5797" s="8" t="n">
        <x:v>45561</x:v>
      </x:c>
      <x:c r="E5797" s="9" t="n">
        <x:v>1728000</x:v>
      </x:c>
      <x:c r="F5797" s="9" t="n">
        <x:v>0</x:v>
      </x:c>
    </x:row>
    <x:row r="5798" ht="34" customHeight="1">
      <x:c r="A5798" s="4" t="str">
        <x:v>RS-02915-I1</x:v>
      </x:c>
      <x:c r="B5798" s="4" t="str">
        <x:v>RS-02915</x:v>
      </x:c>
      <x:c r="C5798" s="9" t="n">
        <x:v>1</x:v>
      </x:c>
      <x:c r="D5798" s="8" t="n">
        <x:v>45446</x:v>
      </x:c>
      <x:c r="E5798" s="9" t="n">
        <x:v>5618250</x:v>
      </x:c>
      <x:c r="F5798" s="9" t="n">
        <x:v>5618250</x:v>
      </x:c>
    </x:row>
    <x:row r="5799" ht="34" customHeight="1">
      <x:c r="A5799" s="4" t="str">
        <x:v>RS-02915-I2</x:v>
      </x:c>
      <x:c r="B5799" s="4" t="str">
        <x:v>RS-02915</x:v>
      </x:c>
      <x:c r="C5799" s="9" t="n">
        <x:v>2</x:v>
      </x:c>
      <x:c r="D5799" s="8" t="n">
        <x:v>45476</x:v>
      </x:c>
      <x:c r="E5799" s="9" t="n">
        <x:v>5618250</x:v>
      </x:c>
      <x:c r="F5799" s="9" t="n">
        <x:v>0</x:v>
      </x:c>
    </x:row>
    <x:row r="5800" ht="34" customHeight="1">
      <x:c r="A5800" s="4" t="str">
        <x:v>RS-02915-I3</x:v>
      </x:c>
      <x:c r="B5800" s="4" t="str">
        <x:v>RS-02915</x:v>
      </x:c>
      <x:c r="C5800" s="9" t="n">
        <x:v>3</x:v>
      </x:c>
      <x:c r="D5800" s="8" t="n">
        <x:v>45506</x:v>
      </x:c>
      <x:c r="E5800" s="9" t="n">
        <x:v>5618250</x:v>
      </x:c>
      <x:c r="F5800" s="9" t="n">
        <x:v>0</x:v>
      </x:c>
    </x:row>
    <x:row r="5801" ht="34" customHeight="1">
      <x:c r="A5801" s="4" t="str">
        <x:v>RS-02915-I4</x:v>
      </x:c>
      <x:c r="B5801" s="4" t="str">
        <x:v>RS-02915</x:v>
      </x:c>
      <x:c r="C5801" s="9" t="n">
        <x:v>4</x:v>
      </x:c>
      <x:c r="D5801" s="8" t="n">
        <x:v>45536</x:v>
      </x:c>
      <x:c r="E5801" s="9" t="n">
        <x:v>5618250</x:v>
      </x:c>
      <x:c r="F5801" s="9" t="n">
        <x:v>0</x:v>
      </x:c>
    </x:row>
    <x:row r="5802" ht="34" customHeight="1">
      <x:c r="A5802" s="4" t="str">
        <x:v>RS-02917-I1</x:v>
      </x:c>
      <x:c r="B5802" s="4" t="str">
        <x:v>RS-02917</x:v>
      </x:c>
      <x:c r="C5802" s="9" t="n">
        <x:v>1</x:v>
      </x:c>
      <x:c r="D5802" s="8" t="n">
        <x:v>45448</x:v>
      </x:c>
      <x:c r="E5802" s="9" t="n">
        <x:v>2388750</x:v>
      </x:c>
      <x:c r="F5802" s="9" t="n">
        <x:v>2388750</x:v>
      </x:c>
    </x:row>
    <x:row r="5803" ht="34" customHeight="1">
      <x:c r="A5803" s="4" t="str">
        <x:v>RS-02917-I2</x:v>
      </x:c>
      <x:c r="B5803" s="4" t="str">
        <x:v>RS-02917</x:v>
      </x:c>
      <x:c r="C5803" s="9" t="n">
        <x:v>2</x:v>
      </x:c>
      <x:c r="D5803" s="8" t="n">
        <x:v>45478</x:v>
      </x:c>
      <x:c r="E5803" s="9" t="n">
        <x:v>2388750</x:v>
      </x:c>
      <x:c r="F5803" s="9" t="n">
        <x:v>2388750</x:v>
      </x:c>
    </x:row>
    <x:row r="5804" ht="34" customHeight="1">
      <x:c r="A5804" s="4" t="str">
        <x:v>RS-02917-I3</x:v>
      </x:c>
      <x:c r="B5804" s="4" t="str">
        <x:v>RS-02917</x:v>
      </x:c>
      <x:c r="C5804" s="9" t="n">
        <x:v>3</x:v>
      </x:c>
      <x:c r="D5804" s="8" t="n">
        <x:v>45508</x:v>
      </x:c>
      <x:c r="E5804" s="9" t="n">
        <x:v>2388750</x:v>
      </x:c>
      <x:c r="F5804" s="9" t="n">
        <x:v>0</x:v>
      </x:c>
    </x:row>
    <x:row r="5805" ht="34" customHeight="1">
      <x:c r="A5805" s="4" t="str">
        <x:v>RS-02917-I4</x:v>
      </x:c>
      <x:c r="B5805" s="4" t="str">
        <x:v>RS-02917</x:v>
      </x:c>
      <x:c r="C5805" s="9" t="n">
        <x:v>4</x:v>
      </x:c>
      <x:c r="D5805" s="8" t="n">
        <x:v>45538</x:v>
      </x:c>
      <x:c r="E5805" s="9" t="n">
        <x:v>2388750</x:v>
      </x:c>
      <x:c r="F5805" s="9" t="n">
        <x:v>0</x:v>
      </x:c>
    </x:row>
    <x:row r="5806" ht="34" customHeight="1">
      <x:c r="A5806" s="4" t="str">
        <x:v>RS-02918-I1</x:v>
      </x:c>
      <x:c r="B5806" s="4" t="str">
        <x:v>RS-02918</x:v>
      </x:c>
      <x:c r="C5806" s="9" t="n">
        <x:v>1</x:v>
      </x:c>
      <x:c r="D5806" s="8" t="n">
        <x:v>45449</x:v>
      </x:c>
      <x:c r="E5806" s="9" t="n">
        <x:v>4287500</x:v>
      </x:c>
      <x:c r="F5806" s="9" t="n">
        <x:v>4287500</x:v>
      </x:c>
    </x:row>
    <x:row r="5807" ht="34" customHeight="1">
      <x:c r="A5807" s="4" t="str">
        <x:v>RS-02918-I2</x:v>
      </x:c>
      <x:c r="B5807" s="4" t="str">
        <x:v>RS-02918</x:v>
      </x:c>
      <x:c r="C5807" s="9" t="n">
        <x:v>2</x:v>
      </x:c>
      <x:c r="D5807" s="8" t="n">
        <x:v>45479</x:v>
      </x:c>
      <x:c r="E5807" s="9" t="n">
        <x:v>4287500</x:v>
      </x:c>
      <x:c r="F5807" s="9" t="n">
        <x:v>4287500</x:v>
      </x:c>
    </x:row>
    <x:row r="5808" ht="34" customHeight="1">
      <x:c r="A5808" s="4" t="str">
        <x:v>RS-02918-I3</x:v>
      </x:c>
      <x:c r="B5808" s="4" t="str">
        <x:v>RS-02918</x:v>
      </x:c>
      <x:c r="C5808" s="9" t="n">
        <x:v>3</x:v>
      </x:c>
      <x:c r="D5808" s="8" t="n">
        <x:v>45509</x:v>
      </x:c>
      <x:c r="E5808" s="9" t="n">
        <x:v>4287500</x:v>
      </x:c>
      <x:c r="F5808" s="9" t="n">
        <x:v>4287500</x:v>
      </x:c>
    </x:row>
    <x:row r="5809" ht="34" customHeight="1">
      <x:c r="A5809" s="4" t="str">
        <x:v>RS-02918-I4</x:v>
      </x:c>
      <x:c r="B5809" s="4" t="str">
        <x:v>RS-02918</x:v>
      </x:c>
      <x:c r="C5809" s="9" t="n">
        <x:v>4</x:v>
      </x:c>
      <x:c r="D5809" s="8" t="n">
        <x:v>45539</x:v>
      </x:c>
      <x:c r="E5809" s="9" t="n">
        <x:v>4287500</x:v>
      </x:c>
      <x:c r="F5809" s="9" t="n">
        <x:v>4287500</x:v>
      </x:c>
    </x:row>
    <x:row r="5810" ht="34" customHeight="1">
      <x:c r="A5810" s="4" t="str">
        <x:v>RS-02919-I1</x:v>
      </x:c>
      <x:c r="B5810" s="4" t="str">
        <x:v>RS-02919</x:v>
      </x:c>
      <x:c r="C5810" s="9" t="n">
        <x:v>1</x:v>
      </x:c>
      <x:c r="D5810" s="8" t="n">
        <x:v>45450</x:v>
      </x:c>
      <x:c r="E5810" s="9" t="n">
        <x:v>1813500</x:v>
      </x:c>
      <x:c r="F5810" s="9" t="n">
        <x:v>1813500</x:v>
      </x:c>
    </x:row>
    <x:row r="5811" ht="34" customHeight="1">
      <x:c r="A5811" s="4" t="str">
        <x:v>RS-02919-I2</x:v>
      </x:c>
      <x:c r="B5811" s="4" t="str">
        <x:v>RS-02919</x:v>
      </x:c>
      <x:c r="C5811" s="9" t="n">
        <x:v>2</x:v>
      </x:c>
      <x:c r="D5811" s="8" t="n">
        <x:v>45480</x:v>
      </x:c>
      <x:c r="E5811" s="9" t="n">
        <x:v>1813500</x:v>
      </x:c>
      <x:c r="F5811" s="9" t="n">
        <x:v>1813500</x:v>
      </x:c>
    </x:row>
    <x:row r="5812" ht="34" customHeight="1">
      <x:c r="A5812" s="4" t="str">
        <x:v>RS-02919-I3</x:v>
      </x:c>
      <x:c r="B5812" s="4" t="str">
        <x:v>RS-02919</x:v>
      </x:c>
      <x:c r="C5812" s="9" t="n">
        <x:v>3</x:v>
      </x:c>
      <x:c r="D5812" s="8" t="n">
        <x:v>45510</x:v>
      </x:c>
      <x:c r="E5812" s="9" t="n">
        <x:v>1813500</x:v>
      </x:c>
      <x:c r="F5812" s="9" t="n">
        <x:v>0</x:v>
      </x:c>
    </x:row>
    <x:row r="5813" ht="34" customHeight="1">
      <x:c r="A5813" s="4" t="str">
        <x:v>RS-02919-I4</x:v>
      </x:c>
      <x:c r="B5813" s="4" t="str">
        <x:v>RS-02919</x:v>
      </x:c>
      <x:c r="C5813" s="9" t="n">
        <x:v>4</x:v>
      </x:c>
      <x:c r="D5813" s="8" t="n">
        <x:v>45540</x:v>
      </x:c>
      <x:c r="E5813" s="9" t="n">
        <x:v>1813500</x:v>
      </x:c>
      <x:c r="F5813" s="9" t="n">
        <x:v>0</x:v>
      </x:c>
    </x:row>
    <x:row r="5814" ht="34" customHeight="1">
      <x:c r="A5814" s="4" t="str">
        <x:v>RS-02920-I1</x:v>
      </x:c>
      <x:c r="B5814" s="4" t="str">
        <x:v>RS-02920</x:v>
      </x:c>
      <x:c r="C5814" s="9" t="n">
        <x:v>1</x:v>
      </x:c>
      <x:c r="D5814" s="8" t="n">
        <x:v>45451</x:v>
      </x:c>
      <x:c r="E5814" s="9" t="n">
        <x:v>4056000</x:v>
      </x:c>
      <x:c r="F5814" s="9" t="n">
        <x:v>4056000</x:v>
      </x:c>
    </x:row>
    <x:row r="5815" ht="34" customHeight="1">
      <x:c r="A5815" s="4" t="str">
        <x:v>RS-02920-I2</x:v>
      </x:c>
      <x:c r="B5815" s="4" t="str">
        <x:v>RS-02920</x:v>
      </x:c>
      <x:c r="C5815" s="9" t="n">
        <x:v>2</x:v>
      </x:c>
      <x:c r="D5815" s="8" t="n">
        <x:v>45481</x:v>
      </x:c>
      <x:c r="E5815" s="9" t="n">
        <x:v>4056000</x:v>
      </x:c>
      <x:c r="F5815" s="9" t="n">
        <x:v>4056000</x:v>
      </x:c>
    </x:row>
    <x:row r="5816" ht="34" customHeight="1">
      <x:c r="A5816" s="4" t="str">
        <x:v>RS-02920-I3</x:v>
      </x:c>
      <x:c r="B5816" s="4" t="str">
        <x:v>RS-02920</x:v>
      </x:c>
      <x:c r="C5816" s="9" t="n">
        <x:v>3</x:v>
      </x:c>
      <x:c r="D5816" s="8" t="n">
        <x:v>45511</x:v>
      </x:c>
      <x:c r="E5816" s="9" t="n">
        <x:v>4056000</x:v>
      </x:c>
      <x:c r="F5816" s="9" t="n">
        <x:v>0</x:v>
      </x:c>
    </x:row>
    <x:row r="5817" ht="34" customHeight="1">
      <x:c r="A5817" s="4" t="str">
        <x:v>RS-02920-I4</x:v>
      </x:c>
      <x:c r="B5817" s="4" t="str">
        <x:v>RS-02920</x:v>
      </x:c>
      <x:c r="C5817" s="9" t="n">
        <x:v>4</x:v>
      </x:c>
      <x:c r="D5817" s="8" t="n">
        <x:v>45541</x:v>
      </x:c>
      <x:c r="E5817" s="9" t="n">
        <x:v>4056000</x:v>
      </x:c>
      <x:c r="F5817" s="9" t="n">
        <x:v>0</x:v>
      </x:c>
    </x:row>
    <x:row r="5818" ht="34" customHeight="1">
      <x:c r="A5818" s="4" t="str">
        <x:v>RS-02921-I1</x:v>
      </x:c>
      <x:c r="B5818" s="4" t="str">
        <x:v>RS-02921</x:v>
      </x:c>
      <x:c r="C5818" s="9" t="n">
        <x:v>1</x:v>
      </x:c>
      <x:c r="D5818" s="8" t="n">
        <x:v>45452</x:v>
      </x:c>
      <x:c r="E5818" s="9" t="n">
        <x:v>2002000</x:v>
      </x:c>
      <x:c r="F5818" s="9" t="n">
        <x:v>2002000</x:v>
      </x:c>
    </x:row>
    <x:row r="5819" ht="34" customHeight="1">
      <x:c r="A5819" s="4" t="str">
        <x:v>RS-02921-I2</x:v>
      </x:c>
      <x:c r="B5819" s="4" t="str">
        <x:v>RS-02921</x:v>
      </x:c>
      <x:c r="C5819" s="9" t="n">
        <x:v>2</x:v>
      </x:c>
      <x:c r="D5819" s="8" t="n">
        <x:v>45482</x:v>
      </x:c>
      <x:c r="E5819" s="9" t="n">
        <x:v>2002000</x:v>
      </x:c>
      <x:c r="F5819" s="9" t="n">
        <x:v>2002000</x:v>
      </x:c>
    </x:row>
    <x:row r="5820" ht="34" customHeight="1">
      <x:c r="A5820" s="4" t="str">
        <x:v>RS-02921-I3</x:v>
      </x:c>
      <x:c r="B5820" s="4" t="str">
        <x:v>RS-02921</x:v>
      </x:c>
      <x:c r="C5820" s="9" t="n">
        <x:v>3</x:v>
      </x:c>
      <x:c r="D5820" s="8" t="n">
        <x:v>45512</x:v>
      </x:c>
      <x:c r="E5820" s="9" t="n">
        <x:v>2002000</x:v>
      </x:c>
      <x:c r="F5820" s="9" t="n">
        <x:v>2002000</x:v>
      </x:c>
    </x:row>
    <x:row r="5821" ht="34" customHeight="1">
      <x:c r="A5821" s="4" t="str">
        <x:v>RS-02921-I4</x:v>
      </x:c>
      <x:c r="B5821" s="4" t="str">
        <x:v>RS-02921</x:v>
      </x:c>
      <x:c r="C5821" s="9" t="n">
        <x:v>4</x:v>
      </x:c>
      <x:c r="D5821" s="8" t="n">
        <x:v>45542</x:v>
      </x:c>
      <x:c r="E5821" s="9" t="n">
        <x:v>2002000</x:v>
      </x:c>
      <x:c r="F5821" s="9" t="n">
        <x:v>2002000</x:v>
      </x:c>
    </x:row>
    <x:row r="5822" ht="34" customHeight="1">
      <x:c r="A5822" s="4" t="str">
        <x:v>RS-02923-I1</x:v>
      </x:c>
      <x:c r="B5822" s="4" t="str">
        <x:v>RS-02923</x:v>
      </x:c>
      <x:c r="C5822" s="9" t="n">
        <x:v>1</x:v>
      </x:c>
      <x:c r="D5822" s="8" t="n">
        <x:v>45454</x:v>
      </x:c>
      <x:c r="E5822" s="9" t="n">
        <x:v>1069500</x:v>
      </x:c>
      <x:c r="F5822" s="9" t="n">
        <x:v>1069500</x:v>
      </x:c>
    </x:row>
    <x:row r="5823" ht="34" customHeight="1">
      <x:c r="A5823" s="4" t="str">
        <x:v>RS-02923-I2</x:v>
      </x:c>
      <x:c r="B5823" s="4" t="str">
        <x:v>RS-02923</x:v>
      </x:c>
      <x:c r="C5823" s="9" t="n">
        <x:v>2</x:v>
      </x:c>
      <x:c r="D5823" s="8" t="n">
        <x:v>45484</x:v>
      </x:c>
      <x:c r="E5823" s="9" t="n">
        <x:v>1069500</x:v>
      </x:c>
      <x:c r="F5823" s="9" t="n">
        <x:v>1069500</x:v>
      </x:c>
    </x:row>
    <x:row r="5824" ht="34" customHeight="1">
      <x:c r="A5824" s="4" t="str">
        <x:v>RS-02923-I3</x:v>
      </x:c>
      <x:c r="B5824" s="4" t="str">
        <x:v>RS-02923</x:v>
      </x:c>
      <x:c r="C5824" s="9" t="n">
        <x:v>3</x:v>
      </x:c>
      <x:c r="D5824" s="8" t="n">
        <x:v>45514</x:v>
      </x:c>
      <x:c r="E5824" s="9" t="n">
        <x:v>1069500</x:v>
      </x:c>
      <x:c r="F5824" s="9" t="n">
        <x:v>0</x:v>
      </x:c>
    </x:row>
    <x:row r="5825" ht="34" customHeight="1">
      <x:c r="A5825" s="4" t="str">
        <x:v>RS-02923-I4</x:v>
      </x:c>
      <x:c r="B5825" s="4" t="str">
        <x:v>RS-02923</x:v>
      </x:c>
      <x:c r="C5825" s="9" t="n">
        <x:v>4</x:v>
      </x:c>
      <x:c r="D5825" s="8" t="n">
        <x:v>45544</x:v>
      </x:c>
      <x:c r="E5825" s="9" t="n">
        <x:v>1069500</x:v>
      </x:c>
      <x:c r="F5825" s="9" t="n">
        <x:v>0</x:v>
      </x:c>
    </x:row>
    <x:row r="5826" ht="34" customHeight="1">
      <x:c r="A5826" s="4" t="str">
        <x:v>RS-02925-I1</x:v>
      </x:c>
      <x:c r="B5826" s="4" t="str">
        <x:v>RS-02925</x:v>
      </x:c>
      <x:c r="C5826" s="9" t="n">
        <x:v>1</x:v>
      </x:c>
      <x:c r="D5826" s="8" t="n">
        <x:v>45456</x:v>
      </x:c>
      <x:c r="E5826" s="9" t="n">
        <x:v>3871000</x:v>
      </x:c>
      <x:c r="F5826" s="9" t="n">
        <x:v>3871000</x:v>
      </x:c>
    </x:row>
    <x:row r="5827" ht="34" customHeight="1">
      <x:c r="A5827" s="4" t="str">
        <x:v>RS-02925-I2</x:v>
      </x:c>
      <x:c r="B5827" s="4" t="str">
        <x:v>RS-02925</x:v>
      </x:c>
      <x:c r="C5827" s="9" t="n">
        <x:v>2</x:v>
      </x:c>
      <x:c r="D5827" s="8" t="n">
        <x:v>45486</x:v>
      </x:c>
      <x:c r="E5827" s="9" t="n">
        <x:v>3871000</x:v>
      </x:c>
      <x:c r="F5827" s="9" t="n">
        <x:v>3871000</x:v>
      </x:c>
    </x:row>
    <x:row r="5828" ht="34" customHeight="1">
      <x:c r="A5828" s="4" t="str">
        <x:v>RS-02925-I3</x:v>
      </x:c>
      <x:c r="B5828" s="4" t="str">
        <x:v>RS-02925</x:v>
      </x:c>
      <x:c r="C5828" s="9" t="n">
        <x:v>3</x:v>
      </x:c>
      <x:c r="D5828" s="8" t="n">
        <x:v>45516</x:v>
      </x:c>
      <x:c r="E5828" s="9" t="n">
        <x:v>3871000</x:v>
      </x:c>
      <x:c r="F5828" s="9" t="n">
        <x:v>0</x:v>
      </x:c>
    </x:row>
    <x:row r="5829" ht="34" customHeight="1">
      <x:c r="A5829" s="4" t="str">
        <x:v>RS-02925-I4</x:v>
      </x:c>
      <x:c r="B5829" s="4" t="str">
        <x:v>RS-02925</x:v>
      </x:c>
      <x:c r="C5829" s="9" t="n">
        <x:v>4</x:v>
      </x:c>
      <x:c r="D5829" s="8" t="n">
        <x:v>45546</x:v>
      </x:c>
      <x:c r="E5829" s="9" t="n">
        <x:v>3871000</x:v>
      </x:c>
      <x:c r="F5829" s="9" t="n">
        <x:v>0</x:v>
      </x:c>
    </x:row>
    <x:row r="5830" ht="34" customHeight="1">
      <x:c r="A5830" s="4" t="str">
        <x:v>RS-02926-I1</x:v>
      </x:c>
      <x:c r="B5830" s="4" t="str">
        <x:v>RS-02926</x:v>
      </x:c>
      <x:c r="C5830" s="9" t="n">
        <x:v>1</x:v>
      </x:c>
      <x:c r="D5830" s="8" t="n">
        <x:v>45457</x:v>
      </x:c>
      <x:c r="E5830" s="9" t="n">
        <x:v>4536250</x:v>
      </x:c>
      <x:c r="F5830" s="9" t="n">
        <x:v>4536250</x:v>
      </x:c>
    </x:row>
    <x:row r="5831" ht="34" customHeight="1">
      <x:c r="A5831" s="4" t="str">
        <x:v>RS-02926-I2</x:v>
      </x:c>
      <x:c r="B5831" s="4" t="str">
        <x:v>RS-02926</x:v>
      </x:c>
      <x:c r="C5831" s="9" t="n">
        <x:v>2</x:v>
      </x:c>
      <x:c r="D5831" s="8" t="n">
        <x:v>45487</x:v>
      </x:c>
      <x:c r="E5831" s="9" t="n">
        <x:v>4536250</x:v>
      </x:c>
      <x:c r="F5831" s="9" t="n">
        <x:v>4536250</x:v>
      </x:c>
    </x:row>
    <x:row r="5832" ht="34" customHeight="1">
      <x:c r="A5832" s="4" t="str">
        <x:v>RS-02926-I3</x:v>
      </x:c>
      <x:c r="B5832" s="4" t="str">
        <x:v>RS-02926</x:v>
      </x:c>
      <x:c r="C5832" s="9" t="n">
        <x:v>3</x:v>
      </x:c>
      <x:c r="D5832" s="8" t="n">
        <x:v>45517</x:v>
      </x:c>
      <x:c r="E5832" s="9" t="n">
        <x:v>4536250</x:v>
      </x:c>
      <x:c r="F5832" s="9" t="n">
        <x:v>0</x:v>
      </x:c>
    </x:row>
    <x:row r="5833" ht="34" customHeight="1">
      <x:c r="A5833" s="4" t="str">
        <x:v>RS-02926-I4</x:v>
      </x:c>
      <x:c r="B5833" s="4" t="str">
        <x:v>RS-02926</x:v>
      </x:c>
      <x:c r="C5833" s="9" t="n">
        <x:v>4</x:v>
      </x:c>
      <x:c r="D5833" s="8" t="n">
        <x:v>45547</x:v>
      </x:c>
      <x:c r="E5833" s="9" t="n">
        <x:v>4536250</x:v>
      </x:c>
      <x:c r="F5833" s="9" t="n">
        <x:v>0</x:v>
      </x:c>
    </x:row>
    <x:row r="5834" ht="34" customHeight="1">
      <x:c r="A5834" s="4" t="str">
        <x:v>RS-02927-I1</x:v>
      </x:c>
      <x:c r="B5834" s="4" t="str">
        <x:v>RS-02927</x:v>
      </x:c>
      <x:c r="C5834" s="9" t="n">
        <x:v>1</x:v>
      </x:c>
      <x:c r="D5834" s="8" t="n">
        <x:v>45458</x:v>
      </x:c>
      <x:c r="E5834" s="9" t="n">
        <x:v>792000</x:v>
      </x:c>
      <x:c r="F5834" s="9" t="n">
        <x:v>316800</x:v>
      </x:c>
    </x:row>
    <x:row r="5835" ht="34" customHeight="1">
      <x:c r="A5835" s="4" t="str">
        <x:v>RS-02927-I2</x:v>
      </x:c>
      <x:c r="B5835" s="4" t="str">
        <x:v>RS-02927</x:v>
      </x:c>
      <x:c r="C5835" s="9" t="n">
        <x:v>2</x:v>
      </x:c>
      <x:c r="D5835" s="8" t="n">
        <x:v>45488</x:v>
      </x:c>
      <x:c r="E5835" s="9" t="n">
        <x:v>792000</x:v>
      </x:c>
      <x:c r="F5835" s="9" t="n">
        <x:v>0</x:v>
      </x:c>
    </x:row>
    <x:row r="5836" ht="34" customHeight="1">
      <x:c r="A5836" s="4" t="str">
        <x:v>RS-02927-I3</x:v>
      </x:c>
      <x:c r="B5836" s="4" t="str">
        <x:v>RS-02927</x:v>
      </x:c>
      <x:c r="C5836" s="9" t="n">
        <x:v>3</x:v>
      </x:c>
      <x:c r="D5836" s="8" t="n">
        <x:v>45518</x:v>
      </x:c>
      <x:c r="E5836" s="9" t="n">
        <x:v>792000</x:v>
      </x:c>
      <x:c r="F5836" s="9" t="n">
        <x:v>0</x:v>
      </x:c>
    </x:row>
    <x:row r="5837" ht="34" customHeight="1">
      <x:c r="A5837" s="4" t="str">
        <x:v>RS-02927-I4</x:v>
      </x:c>
      <x:c r="B5837" s="4" t="str">
        <x:v>RS-02927</x:v>
      </x:c>
      <x:c r="C5837" s="9" t="n">
        <x:v>4</x:v>
      </x:c>
      <x:c r="D5837" s="8" t="n">
        <x:v>45548</x:v>
      </x:c>
      <x:c r="E5837" s="9" t="n">
        <x:v>792000</x:v>
      </x:c>
      <x:c r="F5837" s="9" t="n">
        <x:v>0</x:v>
      </x:c>
    </x:row>
    <x:row r="5838" ht="34" customHeight="1">
      <x:c r="A5838" s="4" t="str">
        <x:v>RS-02928-I1</x:v>
      </x:c>
      <x:c r="B5838" s="4" t="str">
        <x:v>RS-02928</x:v>
      </x:c>
      <x:c r="C5838" s="9" t="n">
        <x:v>1</x:v>
      </x:c>
      <x:c r="D5838" s="8" t="n">
        <x:v>45459</x:v>
      </x:c>
      <x:c r="E5838" s="9" t="n">
        <x:v>1127000</x:v>
      </x:c>
      <x:c r="F5838" s="9" t="n">
        <x:v>450800</x:v>
      </x:c>
    </x:row>
    <x:row r="5839" ht="34" customHeight="1">
      <x:c r="A5839" s="4" t="str">
        <x:v>RS-02928-I2</x:v>
      </x:c>
      <x:c r="B5839" s="4" t="str">
        <x:v>RS-02928</x:v>
      </x:c>
      <x:c r="C5839" s="9" t="n">
        <x:v>2</x:v>
      </x:c>
      <x:c r="D5839" s="8" t="n">
        <x:v>45489</x:v>
      </x:c>
      <x:c r="E5839" s="9" t="n">
        <x:v>1127000</x:v>
      </x:c>
      <x:c r="F5839" s="9" t="n">
        <x:v>0</x:v>
      </x:c>
    </x:row>
    <x:row r="5840" ht="34" customHeight="1">
      <x:c r="A5840" s="4" t="str">
        <x:v>RS-02928-I3</x:v>
      </x:c>
      <x:c r="B5840" s="4" t="str">
        <x:v>RS-02928</x:v>
      </x:c>
      <x:c r="C5840" s="9" t="n">
        <x:v>3</x:v>
      </x:c>
      <x:c r="D5840" s="8" t="n">
        <x:v>45519</x:v>
      </x:c>
      <x:c r="E5840" s="9" t="n">
        <x:v>1127000</x:v>
      </x:c>
      <x:c r="F5840" s="9" t="n">
        <x:v>0</x:v>
      </x:c>
    </x:row>
    <x:row r="5841" ht="34" customHeight="1">
      <x:c r="A5841" s="4" t="str">
        <x:v>RS-02928-I4</x:v>
      </x:c>
      <x:c r="B5841" s="4" t="str">
        <x:v>RS-02928</x:v>
      </x:c>
      <x:c r="C5841" s="9" t="n">
        <x:v>4</x:v>
      </x:c>
      <x:c r="D5841" s="8" t="n">
        <x:v>45549</x:v>
      </x:c>
      <x:c r="E5841" s="9" t="n">
        <x:v>1127000</x:v>
      </x:c>
      <x:c r="F5841" s="9" t="n">
        <x:v>0</x:v>
      </x:c>
    </x:row>
    <x:row r="5842" ht="34" customHeight="1">
      <x:c r="A5842" s="4" t="str">
        <x:v>RS-02929-I1</x:v>
      </x:c>
      <x:c r="B5842" s="4" t="str">
        <x:v>RS-02929</x:v>
      </x:c>
      <x:c r="C5842" s="9" t="n">
        <x:v>1</x:v>
      </x:c>
      <x:c r="D5842" s="8" t="n">
        <x:v>45460</x:v>
      </x:c>
      <x:c r="E5842" s="9" t="n">
        <x:v>4000000</x:v>
      </x:c>
      <x:c r="F5842" s="9" t="n">
        <x:v>4000000</x:v>
      </x:c>
    </x:row>
    <x:row r="5843" ht="34" customHeight="1">
      <x:c r="A5843" s="4" t="str">
        <x:v>RS-02929-I2</x:v>
      </x:c>
      <x:c r="B5843" s="4" t="str">
        <x:v>RS-02929</x:v>
      </x:c>
      <x:c r="C5843" s="9" t="n">
        <x:v>2</x:v>
      </x:c>
      <x:c r="D5843" s="8" t="n">
        <x:v>45490</x:v>
      </x:c>
      <x:c r="E5843" s="9" t="n">
        <x:v>4000000</x:v>
      </x:c>
      <x:c r="F5843" s="9" t="n">
        <x:v>4000000</x:v>
      </x:c>
    </x:row>
    <x:row r="5844" ht="34" customHeight="1">
      <x:c r="A5844" s="4" t="str">
        <x:v>RS-02929-I3</x:v>
      </x:c>
      <x:c r="B5844" s="4" t="str">
        <x:v>RS-02929</x:v>
      </x:c>
      <x:c r="C5844" s="9" t="n">
        <x:v>3</x:v>
      </x:c>
      <x:c r="D5844" s="8" t="n">
        <x:v>45520</x:v>
      </x:c>
      <x:c r="E5844" s="9" t="n">
        <x:v>4000000</x:v>
      </x:c>
      <x:c r="F5844" s="9" t="n">
        <x:v>0</x:v>
      </x:c>
    </x:row>
    <x:row r="5845" ht="34" customHeight="1">
      <x:c r="A5845" s="4" t="str">
        <x:v>RS-02929-I4</x:v>
      </x:c>
      <x:c r="B5845" s="4" t="str">
        <x:v>RS-02929</x:v>
      </x:c>
      <x:c r="C5845" s="9" t="n">
        <x:v>4</x:v>
      </x:c>
      <x:c r="D5845" s="8" t="n">
        <x:v>45550</x:v>
      </x:c>
      <x:c r="E5845" s="9" t="n">
        <x:v>4000000</x:v>
      </x:c>
      <x:c r="F5845" s="9" t="n">
        <x:v>0</x:v>
      </x:c>
    </x:row>
    <x:row r="5846" ht="34" customHeight="1">
      <x:c r="A5846" s="4" t="str">
        <x:v>RS-02931-I1</x:v>
      </x:c>
      <x:c r="B5846" s="4" t="str">
        <x:v>RS-02931</x:v>
      </x:c>
      <x:c r="C5846" s="9" t="n">
        <x:v>1</x:v>
      </x:c>
      <x:c r="D5846" s="8" t="n">
        <x:v>45462</x:v>
      </x:c>
      <x:c r="E5846" s="9" t="n">
        <x:v>5187000</x:v>
      </x:c>
      <x:c r="F5846" s="9" t="n">
        <x:v>2074800</x:v>
      </x:c>
    </x:row>
    <x:row r="5847" ht="34" customHeight="1">
      <x:c r="A5847" s="4" t="str">
        <x:v>RS-02931-I2</x:v>
      </x:c>
      <x:c r="B5847" s="4" t="str">
        <x:v>RS-02931</x:v>
      </x:c>
      <x:c r="C5847" s="9" t="n">
        <x:v>2</x:v>
      </x:c>
      <x:c r="D5847" s="8" t="n">
        <x:v>45492</x:v>
      </x:c>
      <x:c r="E5847" s="9" t="n">
        <x:v>5187000</x:v>
      </x:c>
      <x:c r="F5847" s="9" t="n">
        <x:v>0</x:v>
      </x:c>
    </x:row>
    <x:row r="5848" ht="34" customHeight="1">
      <x:c r="A5848" s="4" t="str">
        <x:v>RS-02931-I3</x:v>
      </x:c>
      <x:c r="B5848" s="4" t="str">
        <x:v>RS-02931</x:v>
      </x:c>
      <x:c r="C5848" s="9" t="n">
        <x:v>3</x:v>
      </x:c>
      <x:c r="D5848" s="8" t="n">
        <x:v>45522</x:v>
      </x:c>
      <x:c r="E5848" s="9" t="n">
        <x:v>5187000</x:v>
      </x:c>
      <x:c r="F5848" s="9" t="n">
        <x:v>0</x:v>
      </x:c>
    </x:row>
    <x:row r="5849" ht="34" customHeight="1">
      <x:c r="A5849" s="4" t="str">
        <x:v>RS-02931-I4</x:v>
      </x:c>
      <x:c r="B5849" s="4" t="str">
        <x:v>RS-02931</x:v>
      </x:c>
      <x:c r="C5849" s="9" t="n">
        <x:v>4</x:v>
      </x:c>
      <x:c r="D5849" s="8" t="n">
        <x:v>45552</x:v>
      </x:c>
      <x:c r="E5849" s="9" t="n">
        <x:v>5187000</x:v>
      </x:c>
      <x:c r="F5849" s="9" t="n">
        <x:v>0</x:v>
      </x:c>
    </x:row>
    <x:row r="5850" ht="34" customHeight="1">
      <x:c r="A5850" s="4" t="str">
        <x:v>RS-02933-I1</x:v>
      </x:c>
      <x:c r="B5850" s="4" t="str">
        <x:v>RS-02933</x:v>
      </x:c>
      <x:c r="C5850" s="9" t="n">
        <x:v>1</x:v>
      </x:c>
      <x:c r="D5850" s="8" t="n">
        <x:v>45464</x:v>
      </x:c>
      <x:c r="E5850" s="9" t="n">
        <x:v>4945000</x:v>
      </x:c>
      <x:c r="F5850" s="9" t="n">
        <x:v>1978000</x:v>
      </x:c>
    </x:row>
    <x:row r="5851" ht="34" customHeight="1">
      <x:c r="A5851" s="4" t="str">
        <x:v>RS-02933-I2</x:v>
      </x:c>
      <x:c r="B5851" s="4" t="str">
        <x:v>RS-02933</x:v>
      </x:c>
      <x:c r="C5851" s="9" t="n">
        <x:v>2</x:v>
      </x:c>
      <x:c r="D5851" s="8" t="n">
        <x:v>45494</x:v>
      </x:c>
      <x:c r="E5851" s="9" t="n">
        <x:v>4945000</x:v>
      </x:c>
      <x:c r="F5851" s="9" t="n">
        <x:v>0</x:v>
      </x:c>
    </x:row>
    <x:row r="5852" ht="34" customHeight="1">
      <x:c r="A5852" s="4" t="str">
        <x:v>RS-02933-I3</x:v>
      </x:c>
      <x:c r="B5852" s="4" t="str">
        <x:v>RS-02933</x:v>
      </x:c>
      <x:c r="C5852" s="9" t="n">
        <x:v>3</x:v>
      </x:c>
      <x:c r="D5852" s="8" t="n">
        <x:v>45524</x:v>
      </x:c>
      <x:c r="E5852" s="9" t="n">
        <x:v>4945000</x:v>
      </x:c>
      <x:c r="F5852" s="9" t="n">
        <x:v>0</x:v>
      </x:c>
    </x:row>
    <x:row r="5853" ht="34" customHeight="1">
      <x:c r="A5853" s="4" t="str">
        <x:v>RS-02933-I4</x:v>
      </x:c>
      <x:c r="B5853" s="4" t="str">
        <x:v>RS-02933</x:v>
      </x:c>
      <x:c r="C5853" s="9" t="n">
        <x:v>4</x:v>
      </x:c>
      <x:c r="D5853" s="8" t="n">
        <x:v>45554</x:v>
      </x:c>
      <x:c r="E5853" s="9" t="n">
        <x:v>4945000</x:v>
      </x:c>
      <x:c r="F5853" s="9" t="n">
        <x:v>0</x:v>
      </x:c>
    </x:row>
    <x:row r="5854" ht="34" customHeight="1">
      <x:c r="A5854" s="4" t="str">
        <x:v>RS-02937-I1</x:v>
      </x:c>
      <x:c r="B5854" s="4" t="str">
        <x:v>RS-02937</x:v>
      </x:c>
      <x:c r="C5854" s="9" t="n">
        <x:v>1</x:v>
      </x:c>
      <x:c r="D5854" s="8" t="n">
        <x:v>45468</x:v>
      </x:c>
      <x:c r="E5854" s="9" t="n">
        <x:v>1683000</x:v>
      </x:c>
      <x:c r="F5854" s="9" t="n">
        <x:v>1683000</x:v>
      </x:c>
    </x:row>
    <x:row r="5855" ht="34" customHeight="1">
      <x:c r="A5855" s="4" t="str">
        <x:v>RS-02937-I2</x:v>
      </x:c>
      <x:c r="B5855" s="4" t="str">
        <x:v>RS-02937</x:v>
      </x:c>
      <x:c r="C5855" s="9" t="n">
        <x:v>2</x:v>
      </x:c>
      <x:c r="D5855" s="8" t="n">
        <x:v>45498</x:v>
      </x:c>
      <x:c r="E5855" s="9" t="n">
        <x:v>1683000</x:v>
      </x:c>
      <x:c r="F5855" s="9" t="n">
        <x:v>0</x:v>
      </x:c>
    </x:row>
    <x:row r="5856" ht="34" customHeight="1">
      <x:c r="A5856" s="4" t="str">
        <x:v>RS-02937-I3</x:v>
      </x:c>
      <x:c r="B5856" s="4" t="str">
        <x:v>RS-02937</x:v>
      </x:c>
      <x:c r="C5856" s="9" t="n">
        <x:v>3</x:v>
      </x:c>
      <x:c r="D5856" s="8" t="n">
        <x:v>45528</x:v>
      </x:c>
      <x:c r="E5856" s="9" t="n">
        <x:v>1683000</x:v>
      </x:c>
      <x:c r="F5856" s="9" t="n">
        <x:v>0</x:v>
      </x:c>
    </x:row>
    <x:row r="5857" ht="34" customHeight="1">
      <x:c r="A5857" s="4" t="str">
        <x:v>RS-02937-I4</x:v>
      </x:c>
      <x:c r="B5857" s="4" t="str">
        <x:v>RS-02937</x:v>
      </x:c>
      <x:c r="C5857" s="9" t="n">
        <x:v>4</x:v>
      </x:c>
      <x:c r="D5857" s="8" t="n">
        <x:v>45558</x:v>
      </x:c>
      <x:c r="E5857" s="9" t="n">
        <x:v>1683000</x:v>
      </x:c>
      <x:c r="F5857" s="9" t="n">
        <x:v>0</x:v>
      </x:c>
    </x:row>
    <x:row r="5858" ht="34" customHeight="1">
      <x:c r="A5858" s="4" t="str">
        <x:v>RS-02938-I1</x:v>
      </x:c>
      <x:c r="B5858" s="4" t="str">
        <x:v>RS-02938</x:v>
      </x:c>
      <x:c r="C5858" s="9" t="n">
        <x:v>1</x:v>
      </x:c>
      <x:c r="D5858" s="8" t="n">
        <x:v>45469</x:v>
      </x:c>
      <x:c r="E5858" s="9" t="n">
        <x:v>4823000</x:v>
      </x:c>
      <x:c r="F5858" s="9" t="n">
        <x:v>4823000</x:v>
      </x:c>
    </x:row>
    <x:row r="5859" ht="34" customHeight="1">
      <x:c r="A5859" s="4" t="str">
        <x:v>RS-02938-I2</x:v>
      </x:c>
      <x:c r="B5859" s="4" t="str">
        <x:v>RS-02938</x:v>
      </x:c>
      <x:c r="C5859" s="9" t="n">
        <x:v>2</x:v>
      </x:c>
      <x:c r="D5859" s="8" t="n">
        <x:v>45499</x:v>
      </x:c>
      <x:c r="E5859" s="9" t="n">
        <x:v>4823000</x:v>
      </x:c>
      <x:c r="F5859" s="9" t="n">
        <x:v>4823000</x:v>
      </x:c>
    </x:row>
    <x:row r="5860" ht="34" customHeight="1">
      <x:c r="A5860" s="4" t="str">
        <x:v>RS-02938-I3</x:v>
      </x:c>
      <x:c r="B5860" s="4" t="str">
        <x:v>RS-02938</x:v>
      </x:c>
      <x:c r="C5860" s="9" t="n">
        <x:v>3</x:v>
      </x:c>
      <x:c r="D5860" s="8" t="n">
        <x:v>45529</x:v>
      </x:c>
      <x:c r="E5860" s="9" t="n">
        <x:v>4823000</x:v>
      </x:c>
      <x:c r="F5860" s="9" t="n">
        <x:v>0</x:v>
      </x:c>
    </x:row>
    <x:row r="5861" ht="34" customHeight="1">
      <x:c r="A5861" s="4" t="str">
        <x:v>RS-02938-I4</x:v>
      </x:c>
      <x:c r="B5861" s="4" t="str">
        <x:v>RS-02938</x:v>
      </x:c>
      <x:c r="C5861" s="9" t="n">
        <x:v>4</x:v>
      </x:c>
      <x:c r="D5861" s="8" t="n">
        <x:v>45559</x:v>
      </x:c>
      <x:c r="E5861" s="9" t="n">
        <x:v>4823000</x:v>
      </x:c>
      <x:c r="F5861" s="9" t="n">
        <x:v>0</x:v>
      </x:c>
    </x:row>
    <x:row r="5862" ht="34" customHeight="1">
      <x:c r="A5862" s="4" t="str">
        <x:v>RS-02939-I1</x:v>
      </x:c>
      <x:c r="B5862" s="4" t="str">
        <x:v>RS-02939</x:v>
      </x:c>
      <x:c r="C5862" s="9" t="n">
        <x:v>1</x:v>
      </x:c>
      <x:c r="D5862" s="8" t="n">
        <x:v>45470</x:v>
      </x:c>
      <x:c r="E5862" s="9" t="n">
        <x:v>5904500</x:v>
      </x:c>
      <x:c r="F5862" s="9" t="n">
        <x:v>5904500</x:v>
      </x:c>
    </x:row>
    <x:row r="5863" ht="34" customHeight="1">
      <x:c r="A5863" s="4" t="str">
        <x:v>RS-02939-I2</x:v>
      </x:c>
      <x:c r="B5863" s="4" t="str">
        <x:v>RS-02939</x:v>
      </x:c>
      <x:c r="C5863" s="9" t="n">
        <x:v>2</x:v>
      </x:c>
      <x:c r="D5863" s="8" t="n">
        <x:v>45500</x:v>
      </x:c>
      <x:c r="E5863" s="9" t="n">
        <x:v>5904500</x:v>
      </x:c>
      <x:c r="F5863" s="9" t="n">
        <x:v>5904500</x:v>
      </x:c>
    </x:row>
    <x:row r="5864" ht="34" customHeight="1">
      <x:c r="A5864" s="4" t="str">
        <x:v>RS-02939-I3</x:v>
      </x:c>
      <x:c r="B5864" s="4" t="str">
        <x:v>RS-02939</x:v>
      </x:c>
      <x:c r="C5864" s="9" t="n">
        <x:v>3</x:v>
      </x:c>
      <x:c r="D5864" s="8" t="n">
        <x:v>45530</x:v>
      </x:c>
      <x:c r="E5864" s="9" t="n">
        <x:v>5904500</x:v>
      </x:c>
      <x:c r="F5864" s="9" t="n">
        <x:v>0</x:v>
      </x:c>
    </x:row>
    <x:row r="5865" ht="34" customHeight="1">
      <x:c r="A5865" s="4" t="str">
        <x:v>RS-02939-I4</x:v>
      </x:c>
      <x:c r="B5865" s="4" t="str">
        <x:v>RS-02939</x:v>
      </x:c>
      <x:c r="C5865" s="9" t="n">
        <x:v>4</x:v>
      </x:c>
      <x:c r="D5865" s="8" t="n">
        <x:v>45560</x:v>
      </x:c>
      <x:c r="E5865" s="9" t="n">
        <x:v>5904500</x:v>
      </x:c>
      <x:c r="F5865" s="9" t="n">
        <x:v>0</x:v>
      </x:c>
    </x:row>
    <x:row r="5866" ht="34" customHeight="1">
      <x:c r="A5866" s="4" t="str">
        <x:v>RS-02942-I1</x:v>
      </x:c>
      <x:c r="B5866" s="4" t="str">
        <x:v>RS-02942</x:v>
      </x:c>
      <x:c r="C5866" s="9" t="n">
        <x:v>1</x:v>
      </x:c>
      <x:c r="D5866" s="8" t="n">
        <x:v>45445</x:v>
      </x:c>
      <x:c r="E5866" s="9" t="n">
        <x:v>4531000</x:v>
      </x:c>
      <x:c r="F5866" s="9" t="n">
        <x:v>4531000</x:v>
      </x:c>
    </x:row>
    <x:row r="5867" ht="34" customHeight="1">
      <x:c r="A5867" s="4" t="str">
        <x:v>RS-02942-I2</x:v>
      </x:c>
      <x:c r="B5867" s="4" t="str">
        <x:v>RS-02942</x:v>
      </x:c>
      <x:c r="C5867" s="9" t="n">
        <x:v>2</x:v>
      </x:c>
      <x:c r="D5867" s="8" t="n">
        <x:v>45475</x:v>
      </x:c>
      <x:c r="E5867" s="9" t="n">
        <x:v>4531000</x:v>
      </x:c>
      <x:c r="F5867" s="9" t="n">
        <x:v>4531000</x:v>
      </x:c>
    </x:row>
    <x:row r="5868" ht="34" customHeight="1">
      <x:c r="A5868" s="4" t="str">
        <x:v>RS-02942-I3</x:v>
      </x:c>
      <x:c r="B5868" s="4" t="str">
        <x:v>RS-02942</x:v>
      </x:c>
      <x:c r="C5868" s="9" t="n">
        <x:v>3</x:v>
      </x:c>
      <x:c r="D5868" s="8" t="n">
        <x:v>45505</x:v>
      </x:c>
      <x:c r="E5868" s="9" t="n">
        <x:v>4531000</x:v>
      </x:c>
      <x:c r="F5868" s="9" t="n">
        <x:v>4531000</x:v>
      </x:c>
    </x:row>
    <x:row r="5869" ht="34" customHeight="1">
      <x:c r="A5869" s="4" t="str">
        <x:v>RS-02942-I4</x:v>
      </x:c>
      <x:c r="B5869" s="4" t="str">
        <x:v>RS-02942</x:v>
      </x:c>
      <x:c r="C5869" s="9" t="n">
        <x:v>4</x:v>
      </x:c>
      <x:c r="D5869" s="8" t="n">
        <x:v>45535</x:v>
      </x:c>
      <x:c r="E5869" s="9" t="n">
        <x:v>4531000</x:v>
      </x:c>
      <x:c r="F5869" s="9" t="n">
        <x:v>4531000</x:v>
      </x:c>
    </x:row>
    <x:row r="5870" ht="34" customHeight="1">
      <x:c r="A5870" s="4" t="str">
        <x:v>RS-02943-I1</x:v>
      </x:c>
      <x:c r="B5870" s="4" t="str">
        <x:v>RS-02943</x:v>
      </x:c>
      <x:c r="C5870" s="9" t="n">
        <x:v>1</x:v>
      </x:c>
      <x:c r="D5870" s="8" t="n">
        <x:v>45446</x:v>
      </x:c>
      <x:c r="E5870" s="9" t="n">
        <x:v>1446250</x:v>
      </x:c>
      <x:c r="F5870" s="9" t="n">
        <x:v>1446250</x:v>
      </x:c>
    </x:row>
    <x:row r="5871" ht="34" customHeight="1">
      <x:c r="A5871" s="4" t="str">
        <x:v>RS-02943-I2</x:v>
      </x:c>
      <x:c r="B5871" s="4" t="str">
        <x:v>RS-02943</x:v>
      </x:c>
      <x:c r="C5871" s="9" t="n">
        <x:v>2</x:v>
      </x:c>
      <x:c r="D5871" s="8" t="n">
        <x:v>45476</x:v>
      </x:c>
      <x:c r="E5871" s="9" t="n">
        <x:v>1446250</x:v>
      </x:c>
      <x:c r="F5871" s="9" t="n">
        <x:v>1446250</x:v>
      </x:c>
    </x:row>
    <x:row r="5872" ht="34" customHeight="1">
      <x:c r="A5872" s="4" t="str">
        <x:v>RS-02943-I3</x:v>
      </x:c>
      <x:c r="B5872" s="4" t="str">
        <x:v>RS-02943</x:v>
      </x:c>
      <x:c r="C5872" s="9" t="n">
        <x:v>3</x:v>
      </x:c>
      <x:c r="D5872" s="8" t="n">
        <x:v>45506</x:v>
      </x:c>
      <x:c r="E5872" s="9" t="n">
        <x:v>1446250</x:v>
      </x:c>
      <x:c r="F5872" s="9" t="n">
        <x:v>0</x:v>
      </x:c>
    </x:row>
    <x:row r="5873" ht="34" customHeight="1">
      <x:c r="A5873" s="4" t="str">
        <x:v>RS-02943-I4</x:v>
      </x:c>
      <x:c r="B5873" s="4" t="str">
        <x:v>RS-02943</x:v>
      </x:c>
      <x:c r="C5873" s="9" t="n">
        <x:v>4</x:v>
      </x:c>
      <x:c r="D5873" s="8" t="n">
        <x:v>45536</x:v>
      </x:c>
      <x:c r="E5873" s="9" t="n">
        <x:v>1446250</x:v>
      </x:c>
      <x:c r="F5873" s="9" t="n">
        <x:v>0</x:v>
      </x:c>
    </x:row>
    <x:row r="5874" ht="34" customHeight="1">
      <x:c r="A5874" s="4" t="str">
        <x:v>RS-02944-I1</x:v>
      </x:c>
      <x:c r="B5874" s="4" t="str">
        <x:v>RS-02944</x:v>
      </x:c>
      <x:c r="C5874" s="9" t="n">
        <x:v>1</x:v>
      </x:c>
      <x:c r="D5874" s="8" t="n">
        <x:v>45447</x:v>
      </x:c>
      <x:c r="E5874" s="9" t="n">
        <x:v>5370750</x:v>
      </x:c>
      <x:c r="F5874" s="9" t="n">
        <x:v>5370750</x:v>
      </x:c>
    </x:row>
    <x:row r="5875" ht="34" customHeight="1">
      <x:c r="A5875" s="4" t="str">
        <x:v>RS-02944-I2</x:v>
      </x:c>
      <x:c r="B5875" s="4" t="str">
        <x:v>RS-02944</x:v>
      </x:c>
      <x:c r="C5875" s="9" t="n">
        <x:v>2</x:v>
      </x:c>
      <x:c r="D5875" s="8" t="n">
        <x:v>45477</x:v>
      </x:c>
      <x:c r="E5875" s="9" t="n">
        <x:v>5370750</x:v>
      </x:c>
      <x:c r="F5875" s="9" t="n">
        <x:v>5370750</x:v>
      </x:c>
    </x:row>
    <x:row r="5876" ht="34" customHeight="1">
      <x:c r="A5876" s="4" t="str">
        <x:v>RS-02944-I3</x:v>
      </x:c>
      <x:c r="B5876" s="4" t="str">
        <x:v>RS-02944</x:v>
      </x:c>
      <x:c r="C5876" s="9" t="n">
        <x:v>3</x:v>
      </x:c>
      <x:c r="D5876" s="8" t="n">
        <x:v>45507</x:v>
      </x:c>
      <x:c r="E5876" s="9" t="n">
        <x:v>5370750</x:v>
      </x:c>
      <x:c r="F5876" s="9" t="n">
        <x:v>0</x:v>
      </x:c>
    </x:row>
    <x:row r="5877" ht="34" customHeight="1">
      <x:c r="A5877" s="4" t="str">
        <x:v>RS-02944-I4</x:v>
      </x:c>
      <x:c r="B5877" s="4" t="str">
        <x:v>RS-02944</x:v>
      </x:c>
      <x:c r="C5877" s="9" t="n">
        <x:v>4</x:v>
      </x:c>
      <x:c r="D5877" s="8" t="n">
        <x:v>45537</x:v>
      </x:c>
      <x:c r="E5877" s="9" t="n">
        <x:v>5370750</x:v>
      </x:c>
      <x:c r="F5877" s="9" t="n">
        <x:v>0</x:v>
      </x:c>
    </x:row>
    <x:row r="5878" ht="34" customHeight="1">
      <x:c r="A5878" s="4" t="str">
        <x:v>RS-02950-I1</x:v>
      </x:c>
      <x:c r="B5878" s="4" t="str">
        <x:v>RS-02950</x:v>
      </x:c>
      <x:c r="C5878" s="9" t="n">
        <x:v>1</x:v>
      </x:c>
      <x:c r="D5878" s="8" t="n">
        <x:v>45453</x:v>
      </x:c>
      <x:c r="E5878" s="9" t="n">
        <x:v>4356000</x:v>
      </x:c>
      <x:c r="F5878" s="9" t="n">
        <x:v>4356000</x:v>
      </x:c>
    </x:row>
    <x:row r="5879" ht="34" customHeight="1">
      <x:c r="A5879" s="4" t="str">
        <x:v>RS-02950-I2</x:v>
      </x:c>
      <x:c r="B5879" s="4" t="str">
        <x:v>RS-02950</x:v>
      </x:c>
      <x:c r="C5879" s="9" t="n">
        <x:v>2</x:v>
      </x:c>
      <x:c r="D5879" s="8" t="n">
        <x:v>45483</x:v>
      </x:c>
      <x:c r="E5879" s="9" t="n">
        <x:v>4356000</x:v>
      </x:c>
      <x:c r="F5879" s="9" t="n">
        <x:v>0</x:v>
      </x:c>
    </x:row>
    <x:row r="5880" ht="34" customHeight="1">
      <x:c r="A5880" s="4" t="str">
        <x:v>RS-02950-I3</x:v>
      </x:c>
      <x:c r="B5880" s="4" t="str">
        <x:v>RS-02950</x:v>
      </x:c>
      <x:c r="C5880" s="9" t="n">
        <x:v>3</x:v>
      </x:c>
      <x:c r="D5880" s="8" t="n">
        <x:v>45513</x:v>
      </x:c>
      <x:c r="E5880" s="9" t="n">
        <x:v>4356000</x:v>
      </x:c>
      <x:c r="F5880" s="9" t="n">
        <x:v>0</x:v>
      </x:c>
    </x:row>
    <x:row r="5881" ht="34" customHeight="1">
      <x:c r="A5881" s="4" t="str">
        <x:v>RS-02950-I4</x:v>
      </x:c>
      <x:c r="B5881" s="4" t="str">
        <x:v>RS-02950</x:v>
      </x:c>
      <x:c r="C5881" s="9" t="n">
        <x:v>4</x:v>
      </x:c>
      <x:c r="D5881" s="8" t="n">
        <x:v>45543</x:v>
      </x:c>
      <x:c r="E5881" s="9" t="n">
        <x:v>4356000</x:v>
      </x:c>
      <x:c r="F5881" s="9" t="n">
        <x:v>0</x:v>
      </x:c>
    </x:row>
    <x:row r="5882" ht="34" customHeight="1">
      <x:c r="A5882" s="4" t="str">
        <x:v>RS-02951-I1</x:v>
      </x:c>
      <x:c r="B5882" s="4" t="str">
        <x:v>RS-02951</x:v>
      </x:c>
      <x:c r="C5882" s="9" t="n">
        <x:v>1</x:v>
      </x:c>
      <x:c r="D5882" s="8" t="n">
        <x:v>45454</x:v>
      </x:c>
      <x:c r="E5882" s="9" t="n">
        <x:v>965250</x:v>
      </x:c>
      <x:c r="F5882" s="9" t="n">
        <x:v>965250</x:v>
      </x:c>
    </x:row>
    <x:row r="5883" ht="34" customHeight="1">
      <x:c r="A5883" s="4" t="str">
        <x:v>RS-02951-I2</x:v>
      </x:c>
      <x:c r="B5883" s="4" t="str">
        <x:v>RS-02951</x:v>
      </x:c>
      <x:c r="C5883" s="9" t="n">
        <x:v>2</x:v>
      </x:c>
      <x:c r="D5883" s="8" t="n">
        <x:v>45484</x:v>
      </x:c>
      <x:c r="E5883" s="9" t="n">
        <x:v>965250</x:v>
      </x:c>
      <x:c r="F5883" s="9" t="n">
        <x:v>965250</x:v>
      </x:c>
    </x:row>
    <x:row r="5884" ht="34" customHeight="1">
      <x:c r="A5884" s="4" t="str">
        <x:v>RS-02951-I3</x:v>
      </x:c>
      <x:c r="B5884" s="4" t="str">
        <x:v>RS-02951</x:v>
      </x:c>
      <x:c r="C5884" s="9" t="n">
        <x:v>3</x:v>
      </x:c>
      <x:c r="D5884" s="8" t="n">
        <x:v>45514</x:v>
      </x:c>
      <x:c r="E5884" s="9" t="n">
        <x:v>965250</x:v>
      </x:c>
      <x:c r="F5884" s="9" t="n">
        <x:v>0</x:v>
      </x:c>
    </x:row>
    <x:row r="5885" ht="34" customHeight="1">
      <x:c r="A5885" s="4" t="str">
        <x:v>RS-02951-I4</x:v>
      </x:c>
      <x:c r="B5885" s="4" t="str">
        <x:v>RS-02951</x:v>
      </x:c>
      <x:c r="C5885" s="9" t="n">
        <x:v>4</x:v>
      </x:c>
      <x:c r="D5885" s="8" t="n">
        <x:v>45544</x:v>
      </x:c>
      <x:c r="E5885" s="9" t="n">
        <x:v>965250</x:v>
      </x:c>
      <x:c r="F5885" s="9" t="n">
        <x:v>0</x:v>
      </x:c>
    </x:row>
    <x:row r="5886" ht="34" customHeight="1">
      <x:c r="A5886" s="4" t="str">
        <x:v>RS-02953-I1</x:v>
      </x:c>
      <x:c r="B5886" s="4" t="str">
        <x:v>RS-02953</x:v>
      </x:c>
      <x:c r="C5886" s="9" t="n">
        <x:v>1</x:v>
      </x:c>
      <x:c r="D5886" s="8" t="n">
        <x:v>45456</x:v>
      </x:c>
      <x:c r="E5886" s="9" t="n">
        <x:v>705250</x:v>
      </x:c>
      <x:c r="F5886" s="9" t="n">
        <x:v>705250</x:v>
      </x:c>
    </x:row>
    <x:row r="5887" ht="34" customHeight="1">
      <x:c r="A5887" s="4" t="str">
        <x:v>RS-02953-I2</x:v>
      </x:c>
      <x:c r="B5887" s="4" t="str">
        <x:v>RS-02953</x:v>
      </x:c>
      <x:c r="C5887" s="9" t="n">
        <x:v>2</x:v>
      </x:c>
      <x:c r="D5887" s="8" t="n">
        <x:v>45486</x:v>
      </x:c>
      <x:c r="E5887" s="9" t="n">
        <x:v>705250</x:v>
      </x:c>
      <x:c r="F5887" s="9" t="n">
        <x:v>705250</x:v>
      </x:c>
    </x:row>
    <x:row r="5888" ht="34" customHeight="1">
      <x:c r="A5888" s="4" t="str">
        <x:v>RS-02953-I3</x:v>
      </x:c>
      <x:c r="B5888" s="4" t="str">
        <x:v>RS-02953</x:v>
      </x:c>
      <x:c r="C5888" s="9" t="n">
        <x:v>3</x:v>
      </x:c>
      <x:c r="D5888" s="8" t="n">
        <x:v>45516</x:v>
      </x:c>
      <x:c r="E5888" s="9" t="n">
        <x:v>705250</x:v>
      </x:c>
      <x:c r="F5888" s="9" t="n">
        <x:v>0</x:v>
      </x:c>
    </x:row>
    <x:row r="5889" ht="34" customHeight="1">
      <x:c r="A5889" s="4" t="str">
        <x:v>RS-02953-I4</x:v>
      </x:c>
      <x:c r="B5889" s="4" t="str">
        <x:v>RS-02953</x:v>
      </x:c>
      <x:c r="C5889" s="9" t="n">
        <x:v>4</x:v>
      </x:c>
      <x:c r="D5889" s="8" t="n">
        <x:v>45546</x:v>
      </x:c>
      <x:c r="E5889" s="9" t="n">
        <x:v>705250</x:v>
      </x:c>
      <x:c r="F5889" s="9" t="n">
        <x:v>0</x:v>
      </x:c>
    </x:row>
    <x:row r="5890" ht="34" customHeight="1">
      <x:c r="A5890" s="4" t="str">
        <x:v>RS-02955-I1</x:v>
      </x:c>
      <x:c r="B5890" s="4" t="str">
        <x:v>RS-02955</x:v>
      </x:c>
      <x:c r="C5890" s="9" t="n">
        <x:v>1</x:v>
      </x:c>
      <x:c r="D5890" s="8" t="n">
        <x:v>45458</x:v>
      </x:c>
      <x:c r="E5890" s="9" t="n">
        <x:v>4345250</x:v>
      </x:c>
      <x:c r="F5890" s="9" t="n">
        <x:v>4345250</x:v>
      </x:c>
    </x:row>
    <x:row r="5891" ht="34" customHeight="1">
      <x:c r="A5891" s="4" t="str">
        <x:v>RS-02955-I2</x:v>
      </x:c>
      <x:c r="B5891" s="4" t="str">
        <x:v>RS-02955</x:v>
      </x:c>
      <x:c r="C5891" s="9" t="n">
        <x:v>2</x:v>
      </x:c>
      <x:c r="D5891" s="8" t="n">
        <x:v>45488</x:v>
      </x:c>
      <x:c r="E5891" s="9" t="n">
        <x:v>4345250</x:v>
      </x:c>
      <x:c r="F5891" s="9" t="n">
        <x:v>4345250</x:v>
      </x:c>
    </x:row>
    <x:row r="5892" ht="34" customHeight="1">
      <x:c r="A5892" s="4" t="str">
        <x:v>RS-02955-I3</x:v>
      </x:c>
      <x:c r="B5892" s="4" t="str">
        <x:v>RS-02955</x:v>
      </x:c>
      <x:c r="C5892" s="9" t="n">
        <x:v>3</x:v>
      </x:c>
      <x:c r="D5892" s="8" t="n">
        <x:v>45518</x:v>
      </x:c>
      <x:c r="E5892" s="9" t="n">
        <x:v>4345250</x:v>
      </x:c>
      <x:c r="F5892" s="9" t="n">
        <x:v>0</x:v>
      </x:c>
    </x:row>
    <x:row r="5893" ht="34" customHeight="1">
      <x:c r="A5893" s="4" t="str">
        <x:v>RS-02955-I4</x:v>
      </x:c>
      <x:c r="B5893" s="4" t="str">
        <x:v>RS-02955</x:v>
      </x:c>
      <x:c r="C5893" s="9" t="n">
        <x:v>4</x:v>
      </x:c>
      <x:c r="D5893" s="8" t="n">
        <x:v>45548</x:v>
      </x:c>
      <x:c r="E5893" s="9" t="n">
        <x:v>4345250</x:v>
      </x:c>
      <x:c r="F5893" s="9" t="n">
        <x:v>0</x:v>
      </x:c>
    </x:row>
    <x:row r="5894" ht="34" customHeight="1">
      <x:c r="A5894" s="4" t="str">
        <x:v>RS-02958-I1</x:v>
      </x:c>
      <x:c r="B5894" s="4" t="str">
        <x:v>RS-02958</x:v>
      </x:c>
      <x:c r="C5894" s="9" t="n">
        <x:v>1</x:v>
      </x:c>
      <x:c r="D5894" s="8" t="n">
        <x:v>45461</x:v>
      </x:c>
      <x:c r="E5894" s="9" t="n">
        <x:v>2376500</x:v>
      </x:c>
      <x:c r="F5894" s="9" t="n">
        <x:v>2376500</x:v>
      </x:c>
    </x:row>
    <x:row r="5895" ht="34" customHeight="1">
      <x:c r="A5895" s="4" t="str">
        <x:v>RS-02958-I2</x:v>
      </x:c>
      <x:c r="B5895" s="4" t="str">
        <x:v>RS-02958</x:v>
      </x:c>
      <x:c r="C5895" s="9" t="n">
        <x:v>2</x:v>
      </x:c>
      <x:c r="D5895" s="8" t="n">
        <x:v>45491</x:v>
      </x:c>
      <x:c r="E5895" s="9" t="n">
        <x:v>2376500</x:v>
      </x:c>
      <x:c r="F5895" s="9" t="n">
        <x:v>2376500</x:v>
      </x:c>
    </x:row>
    <x:row r="5896" ht="34" customHeight="1">
      <x:c r="A5896" s="4" t="str">
        <x:v>RS-02958-I3</x:v>
      </x:c>
      <x:c r="B5896" s="4" t="str">
        <x:v>RS-02958</x:v>
      </x:c>
      <x:c r="C5896" s="9" t="n">
        <x:v>3</x:v>
      </x:c>
      <x:c r="D5896" s="8" t="n">
        <x:v>45521</x:v>
      </x:c>
      <x:c r="E5896" s="9" t="n">
        <x:v>2376500</x:v>
      </x:c>
      <x:c r="F5896" s="9" t="n">
        <x:v>2376500</x:v>
      </x:c>
    </x:row>
    <x:row r="5897" ht="34" customHeight="1">
      <x:c r="A5897" s="4" t="str">
        <x:v>RS-02958-I4</x:v>
      </x:c>
      <x:c r="B5897" s="4" t="str">
        <x:v>RS-02958</x:v>
      </x:c>
      <x:c r="C5897" s="9" t="n">
        <x:v>4</x:v>
      </x:c>
      <x:c r="D5897" s="8" t="n">
        <x:v>45551</x:v>
      </x:c>
      <x:c r="E5897" s="9" t="n">
        <x:v>2376500</x:v>
      </x:c>
      <x:c r="F5897" s="9" t="n">
        <x:v>2376500</x:v>
      </x:c>
    </x:row>
    <x:row r="5898" ht="34" customHeight="1">
      <x:c r="A5898" s="4" t="str">
        <x:v>RS-02960-I1</x:v>
      </x:c>
      <x:c r="B5898" s="4" t="str">
        <x:v>RS-02960</x:v>
      </x:c>
      <x:c r="C5898" s="9" t="n">
        <x:v>1</x:v>
      </x:c>
      <x:c r="D5898" s="8" t="n">
        <x:v>45463</x:v>
      </x:c>
      <x:c r="E5898" s="9" t="n">
        <x:v>3038000</x:v>
      </x:c>
      <x:c r="F5898" s="9" t="n">
        <x:v>3038000</x:v>
      </x:c>
    </x:row>
    <x:row r="5899" ht="34" customHeight="1">
      <x:c r="A5899" s="4" t="str">
        <x:v>RS-02960-I2</x:v>
      </x:c>
      <x:c r="B5899" s="4" t="str">
        <x:v>RS-02960</x:v>
      </x:c>
      <x:c r="C5899" s="9" t="n">
        <x:v>2</x:v>
      </x:c>
      <x:c r="D5899" s="8" t="n">
        <x:v>45493</x:v>
      </x:c>
      <x:c r="E5899" s="9" t="n">
        <x:v>3038000</x:v>
      </x:c>
      <x:c r="F5899" s="9" t="n">
        <x:v>3038000</x:v>
      </x:c>
    </x:row>
    <x:row r="5900" ht="34" customHeight="1">
      <x:c r="A5900" s="4" t="str">
        <x:v>RS-02960-I3</x:v>
      </x:c>
      <x:c r="B5900" s="4" t="str">
        <x:v>RS-02960</x:v>
      </x:c>
      <x:c r="C5900" s="9" t="n">
        <x:v>3</x:v>
      </x:c>
      <x:c r="D5900" s="8" t="n">
        <x:v>45523</x:v>
      </x:c>
      <x:c r="E5900" s="9" t="n">
        <x:v>3038000</x:v>
      </x:c>
      <x:c r="F5900" s="9" t="n">
        <x:v>3038000</x:v>
      </x:c>
    </x:row>
    <x:row r="5901" ht="34" customHeight="1">
      <x:c r="A5901" s="4" t="str">
        <x:v>RS-02960-I4</x:v>
      </x:c>
      <x:c r="B5901" s="4" t="str">
        <x:v>RS-02960</x:v>
      </x:c>
      <x:c r="C5901" s="9" t="n">
        <x:v>4</x:v>
      </x:c>
      <x:c r="D5901" s="8" t="n">
        <x:v>45553</x:v>
      </x:c>
      <x:c r="E5901" s="9" t="n">
        <x:v>3038000</x:v>
      </x:c>
      <x:c r="F5901" s="9" t="n">
        <x:v>3038000</x:v>
      </x:c>
    </x:row>
    <x:row r="5902" ht="34" customHeight="1">
      <x:c r="A5902" s="4" t="str">
        <x:v>RS-02961-I1</x:v>
      </x:c>
      <x:c r="B5902" s="4" t="str">
        <x:v>RS-02961</x:v>
      </x:c>
      <x:c r="C5902" s="9" t="n">
        <x:v>1</x:v>
      </x:c>
      <x:c r="D5902" s="8" t="n">
        <x:v>45464</x:v>
      </x:c>
      <x:c r="E5902" s="9" t="n">
        <x:v>4554000</x:v>
      </x:c>
      <x:c r="F5902" s="9" t="n">
        <x:v>4554000</x:v>
      </x:c>
    </x:row>
    <x:row r="5903" ht="34" customHeight="1">
      <x:c r="A5903" s="4" t="str">
        <x:v>RS-02961-I2</x:v>
      </x:c>
      <x:c r="B5903" s="4" t="str">
        <x:v>RS-02961</x:v>
      </x:c>
      <x:c r="C5903" s="9" t="n">
        <x:v>2</x:v>
      </x:c>
      <x:c r="D5903" s="8" t="n">
        <x:v>45494</x:v>
      </x:c>
      <x:c r="E5903" s="9" t="n">
        <x:v>4554000</x:v>
      </x:c>
      <x:c r="F5903" s="9" t="n">
        <x:v>0</x:v>
      </x:c>
    </x:row>
    <x:row r="5904" ht="34" customHeight="1">
      <x:c r="A5904" s="4" t="str">
        <x:v>RS-02961-I3</x:v>
      </x:c>
      <x:c r="B5904" s="4" t="str">
        <x:v>RS-02961</x:v>
      </x:c>
      <x:c r="C5904" s="9" t="n">
        <x:v>3</x:v>
      </x:c>
      <x:c r="D5904" s="8" t="n">
        <x:v>45524</x:v>
      </x:c>
      <x:c r="E5904" s="9" t="n">
        <x:v>4554000</x:v>
      </x:c>
      <x:c r="F5904" s="9" t="n">
        <x:v>0</x:v>
      </x:c>
    </x:row>
    <x:row r="5905" ht="34" customHeight="1">
      <x:c r="A5905" s="4" t="str">
        <x:v>RS-02961-I4</x:v>
      </x:c>
      <x:c r="B5905" s="4" t="str">
        <x:v>RS-02961</x:v>
      </x:c>
      <x:c r="C5905" s="9" t="n">
        <x:v>4</x:v>
      </x:c>
      <x:c r="D5905" s="8" t="n">
        <x:v>45554</x:v>
      </x:c>
      <x:c r="E5905" s="9" t="n">
        <x:v>4554000</x:v>
      </x:c>
      <x:c r="F5905" s="9" t="n">
        <x:v>0</x:v>
      </x:c>
    </x:row>
    <x:row r="5906" ht="34" customHeight="1">
      <x:c r="A5906" s="4" t="str">
        <x:v>RS-02962-I1</x:v>
      </x:c>
      <x:c r="B5906" s="4" t="str">
        <x:v>RS-02962</x:v>
      </x:c>
      <x:c r="C5906" s="9" t="n">
        <x:v>1</x:v>
      </x:c>
      <x:c r="D5906" s="8" t="n">
        <x:v>45465</x:v>
      </x:c>
      <x:c r="E5906" s="9" t="n">
        <x:v>2934750</x:v>
      </x:c>
      <x:c r="F5906" s="9" t="n">
        <x:v>2934750</x:v>
      </x:c>
    </x:row>
    <x:row r="5907" ht="34" customHeight="1">
      <x:c r="A5907" s="4" t="str">
        <x:v>RS-02962-I2</x:v>
      </x:c>
      <x:c r="B5907" s="4" t="str">
        <x:v>RS-02962</x:v>
      </x:c>
      <x:c r="C5907" s="9" t="n">
        <x:v>2</x:v>
      </x:c>
      <x:c r="D5907" s="8" t="n">
        <x:v>45495</x:v>
      </x:c>
      <x:c r="E5907" s="9" t="n">
        <x:v>2934750</x:v>
      </x:c>
      <x:c r="F5907" s="9" t="n">
        <x:v>0</x:v>
      </x:c>
    </x:row>
    <x:row r="5908" ht="34" customHeight="1">
      <x:c r="A5908" s="4" t="str">
        <x:v>RS-02962-I3</x:v>
      </x:c>
      <x:c r="B5908" s="4" t="str">
        <x:v>RS-02962</x:v>
      </x:c>
      <x:c r="C5908" s="9" t="n">
        <x:v>3</x:v>
      </x:c>
      <x:c r="D5908" s="8" t="n">
        <x:v>45525</x:v>
      </x:c>
      <x:c r="E5908" s="9" t="n">
        <x:v>2934750</x:v>
      </x:c>
      <x:c r="F5908" s="9" t="n">
        <x:v>0</x:v>
      </x:c>
    </x:row>
    <x:row r="5909" ht="34" customHeight="1">
      <x:c r="A5909" s="4" t="str">
        <x:v>RS-02962-I4</x:v>
      </x:c>
      <x:c r="B5909" s="4" t="str">
        <x:v>RS-02962</x:v>
      </x:c>
      <x:c r="C5909" s="9" t="n">
        <x:v>4</x:v>
      </x:c>
      <x:c r="D5909" s="8" t="n">
        <x:v>45555</x:v>
      </x:c>
      <x:c r="E5909" s="9" t="n">
        <x:v>2934750</x:v>
      </x:c>
      <x:c r="F5909" s="9" t="n">
        <x:v>0</x:v>
      </x:c>
    </x:row>
    <x:row r="5910" ht="34" customHeight="1">
      <x:c r="A5910" s="4" t="str">
        <x:v>RS-02963-I1</x:v>
      </x:c>
      <x:c r="B5910" s="4" t="str">
        <x:v>RS-02963</x:v>
      </x:c>
      <x:c r="C5910" s="9" t="n">
        <x:v>1</x:v>
      </x:c>
      <x:c r="D5910" s="8" t="n">
        <x:v>45466</x:v>
      </x:c>
      <x:c r="E5910" s="9" t="n">
        <x:v>690000</x:v>
      </x:c>
      <x:c r="F5910" s="9" t="n">
        <x:v>690000</x:v>
      </x:c>
    </x:row>
    <x:row r="5911" ht="34" customHeight="1">
      <x:c r="A5911" s="4" t="str">
        <x:v>RS-02963-I2</x:v>
      </x:c>
      <x:c r="B5911" s="4" t="str">
        <x:v>RS-02963</x:v>
      </x:c>
      <x:c r="C5911" s="9" t="n">
        <x:v>2</x:v>
      </x:c>
      <x:c r="D5911" s="8" t="n">
        <x:v>45496</x:v>
      </x:c>
      <x:c r="E5911" s="9" t="n">
        <x:v>690000</x:v>
      </x:c>
      <x:c r="F5911" s="9" t="n">
        <x:v>690000</x:v>
      </x:c>
    </x:row>
    <x:row r="5912" ht="34" customHeight="1">
      <x:c r="A5912" s="4" t="str">
        <x:v>RS-02963-I3</x:v>
      </x:c>
      <x:c r="B5912" s="4" t="str">
        <x:v>RS-02963</x:v>
      </x:c>
      <x:c r="C5912" s="9" t="n">
        <x:v>3</x:v>
      </x:c>
      <x:c r="D5912" s="8" t="n">
        <x:v>45526</x:v>
      </x:c>
      <x:c r="E5912" s="9" t="n">
        <x:v>690000</x:v>
      </x:c>
      <x:c r="F5912" s="9" t="n">
        <x:v>0</x:v>
      </x:c>
    </x:row>
    <x:row r="5913" ht="34" customHeight="1">
      <x:c r="A5913" s="4" t="str">
        <x:v>RS-02963-I4</x:v>
      </x:c>
      <x:c r="B5913" s="4" t="str">
        <x:v>RS-02963</x:v>
      </x:c>
      <x:c r="C5913" s="9" t="n">
        <x:v>4</x:v>
      </x:c>
      <x:c r="D5913" s="8" t="n">
        <x:v>45556</x:v>
      </x:c>
      <x:c r="E5913" s="9" t="n">
        <x:v>690000</x:v>
      </x:c>
      <x:c r="F5913" s="9" t="n">
        <x:v>0</x:v>
      </x:c>
    </x:row>
    <x:row r="5914" ht="34" customHeight="1">
      <x:c r="A5914" s="4" t="str">
        <x:v>RS-02964-I1</x:v>
      </x:c>
      <x:c r="B5914" s="4" t="str">
        <x:v>RS-02964</x:v>
      </x:c>
      <x:c r="C5914" s="9" t="n">
        <x:v>1</x:v>
      </x:c>
      <x:c r="D5914" s="8" t="n">
        <x:v>45467</x:v>
      </x:c>
      <x:c r="E5914" s="9" t="n">
        <x:v>3058000</x:v>
      </x:c>
      <x:c r="F5914" s="9" t="n">
        <x:v>1223200</x:v>
      </x:c>
    </x:row>
    <x:row r="5915" ht="34" customHeight="1">
      <x:c r="A5915" s="4" t="str">
        <x:v>RS-02964-I2</x:v>
      </x:c>
      <x:c r="B5915" s="4" t="str">
        <x:v>RS-02964</x:v>
      </x:c>
      <x:c r="C5915" s="9" t="n">
        <x:v>2</x:v>
      </x:c>
      <x:c r="D5915" s="8" t="n">
        <x:v>45497</x:v>
      </x:c>
      <x:c r="E5915" s="9" t="n">
        <x:v>3058000</x:v>
      </x:c>
      <x:c r="F5915" s="9" t="n">
        <x:v>0</x:v>
      </x:c>
    </x:row>
    <x:row r="5916" ht="34" customHeight="1">
      <x:c r="A5916" s="4" t="str">
        <x:v>RS-02964-I3</x:v>
      </x:c>
      <x:c r="B5916" s="4" t="str">
        <x:v>RS-02964</x:v>
      </x:c>
      <x:c r="C5916" s="9" t="n">
        <x:v>3</x:v>
      </x:c>
      <x:c r="D5916" s="8" t="n">
        <x:v>45527</x:v>
      </x:c>
      <x:c r="E5916" s="9" t="n">
        <x:v>3058000</x:v>
      </x:c>
      <x:c r="F5916" s="9" t="n">
        <x:v>0</x:v>
      </x:c>
    </x:row>
    <x:row r="5917" ht="34" customHeight="1">
      <x:c r="A5917" s="4" t="str">
        <x:v>RS-02964-I4</x:v>
      </x:c>
      <x:c r="B5917" s="4" t="str">
        <x:v>RS-02964</x:v>
      </x:c>
      <x:c r="C5917" s="9" t="n">
        <x:v>4</x:v>
      </x:c>
      <x:c r="D5917" s="8" t="n">
        <x:v>45557</x:v>
      </x:c>
      <x:c r="E5917" s="9" t="n">
        <x:v>3058000</x:v>
      </x:c>
      <x:c r="F5917" s="9" t="n">
        <x:v>0</x:v>
      </x:c>
    </x:row>
    <x:row r="5918" ht="34" customHeight="1">
      <x:c r="A5918" s="4" t="str">
        <x:v>RS-02965-I1</x:v>
      </x:c>
      <x:c r="B5918" s="4" t="str">
        <x:v>RS-02965</x:v>
      </x:c>
      <x:c r="C5918" s="9" t="n">
        <x:v>1</x:v>
      </x:c>
      <x:c r="D5918" s="8" t="n">
        <x:v>45468</x:v>
      </x:c>
      <x:c r="E5918" s="9" t="n">
        <x:v>4487250</x:v>
      </x:c>
      <x:c r="F5918" s="9" t="n">
        <x:v>1794900</x:v>
      </x:c>
    </x:row>
    <x:row r="5919" ht="34" customHeight="1">
      <x:c r="A5919" s="4" t="str">
        <x:v>RS-02965-I2</x:v>
      </x:c>
      <x:c r="B5919" s="4" t="str">
        <x:v>RS-02965</x:v>
      </x:c>
      <x:c r="C5919" s="9" t="n">
        <x:v>2</x:v>
      </x:c>
      <x:c r="D5919" s="8" t="n">
        <x:v>45498</x:v>
      </x:c>
      <x:c r="E5919" s="9" t="n">
        <x:v>4487250</x:v>
      </x:c>
      <x:c r="F5919" s="9" t="n">
        <x:v>0</x:v>
      </x:c>
    </x:row>
    <x:row r="5920" ht="34" customHeight="1">
      <x:c r="A5920" s="4" t="str">
        <x:v>RS-02965-I3</x:v>
      </x:c>
      <x:c r="B5920" s="4" t="str">
        <x:v>RS-02965</x:v>
      </x:c>
      <x:c r="C5920" s="9" t="n">
        <x:v>3</x:v>
      </x:c>
      <x:c r="D5920" s="8" t="n">
        <x:v>45528</x:v>
      </x:c>
      <x:c r="E5920" s="9" t="n">
        <x:v>4487250</x:v>
      </x:c>
      <x:c r="F5920" s="9" t="n">
        <x:v>0</x:v>
      </x:c>
    </x:row>
    <x:row r="5921" ht="34" customHeight="1">
      <x:c r="A5921" s="4" t="str">
        <x:v>RS-02965-I4</x:v>
      </x:c>
      <x:c r="B5921" s="4" t="str">
        <x:v>RS-02965</x:v>
      </x:c>
      <x:c r="C5921" s="9" t="n">
        <x:v>4</x:v>
      </x:c>
      <x:c r="D5921" s="8" t="n">
        <x:v>45558</x:v>
      </x:c>
      <x:c r="E5921" s="9" t="n">
        <x:v>4487250</x:v>
      </x:c>
      <x:c r="F5921" s="9" t="n">
        <x:v>0</x:v>
      </x:c>
    </x:row>
    <x:row r="5922" ht="34" customHeight="1">
      <x:c r="A5922" s="4" t="str">
        <x:v>RS-02966-I1</x:v>
      </x:c>
      <x:c r="B5922" s="4" t="str">
        <x:v>RS-02966</x:v>
      </x:c>
      <x:c r="C5922" s="9" t="n">
        <x:v>1</x:v>
      </x:c>
      <x:c r="D5922" s="8" t="n">
        <x:v>45469</x:v>
      </x:c>
      <x:c r="E5922" s="9" t="n">
        <x:v>5014000</x:v>
      </x:c>
      <x:c r="F5922" s="9" t="n">
        <x:v>2005600</x:v>
      </x:c>
    </x:row>
    <x:row r="5923" ht="34" customHeight="1">
      <x:c r="A5923" s="4" t="str">
        <x:v>RS-02966-I2</x:v>
      </x:c>
      <x:c r="B5923" s="4" t="str">
        <x:v>RS-02966</x:v>
      </x:c>
      <x:c r="C5923" s="9" t="n">
        <x:v>2</x:v>
      </x:c>
      <x:c r="D5923" s="8" t="n">
        <x:v>45499</x:v>
      </x:c>
      <x:c r="E5923" s="9" t="n">
        <x:v>5014000</x:v>
      </x:c>
      <x:c r="F5923" s="9" t="n">
        <x:v>0</x:v>
      </x:c>
    </x:row>
    <x:row r="5924" ht="34" customHeight="1">
      <x:c r="A5924" s="4" t="str">
        <x:v>RS-02966-I3</x:v>
      </x:c>
      <x:c r="B5924" s="4" t="str">
        <x:v>RS-02966</x:v>
      </x:c>
      <x:c r="C5924" s="9" t="n">
        <x:v>3</x:v>
      </x:c>
      <x:c r="D5924" s="8" t="n">
        <x:v>45529</x:v>
      </x:c>
      <x:c r="E5924" s="9" t="n">
        <x:v>5014000</x:v>
      </x:c>
      <x:c r="F5924" s="9" t="n">
        <x:v>0</x:v>
      </x:c>
    </x:row>
    <x:row r="5925" ht="34" customHeight="1">
      <x:c r="A5925" s="4" t="str">
        <x:v>RS-02966-I4</x:v>
      </x:c>
      <x:c r="B5925" s="4" t="str">
        <x:v>RS-02966</x:v>
      </x:c>
      <x:c r="C5925" s="9" t="n">
        <x:v>4</x:v>
      </x:c>
      <x:c r="D5925" s="8" t="n">
        <x:v>45559</x:v>
      </x:c>
      <x:c r="E5925" s="9" t="n">
        <x:v>5014000</x:v>
      </x:c>
      <x:c r="F5925" s="9" t="n">
        <x:v>0</x:v>
      </x:c>
    </x:row>
    <x:row r="5926" ht="34" customHeight="1">
      <x:c r="A5926" s="4" t="str">
        <x:v>RS-02970-I1</x:v>
      </x:c>
      <x:c r="B5926" s="4" t="str">
        <x:v>RS-02970</x:v>
      </x:c>
      <x:c r="C5926" s="9" t="n">
        <x:v>1</x:v>
      </x:c>
      <x:c r="D5926" s="8" t="n">
        <x:v>45445</x:v>
      </x:c>
      <x:c r="E5926" s="9" t="n">
        <x:v>4773750</x:v>
      </x:c>
      <x:c r="F5926" s="9" t="n">
        <x:v>4773750</x:v>
      </x:c>
    </x:row>
    <x:row r="5927" ht="34" customHeight="1">
      <x:c r="A5927" s="4" t="str">
        <x:v>RS-02970-I2</x:v>
      </x:c>
      <x:c r="B5927" s="4" t="str">
        <x:v>RS-02970</x:v>
      </x:c>
      <x:c r="C5927" s="9" t="n">
        <x:v>2</x:v>
      </x:c>
      <x:c r="D5927" s="8" t="n">
        <x:v>45475</x:v>
      </x:c>
      <x:c r="E5927" s="9" t="n">
        <x:v>4773750</x:v>
      </x:c>
      <x:c r="F5927" s="9" t="n">
        <x:v>4773750</x:v>
      </x:c>
    </x:row>
    <x:row r="5928" ht="34" customHeight="1">
      <x:c r="A5928" s="4" t="str">
        <x:v>RS-02970-I3</x:v>
      </x:c>
      <x:c r="B5928" s="4" t="str">
        <x:v>RS-02970</x:v>
      </x:c>
      <x:c r="C5928" s="9" t="n">
        <x:v>3</x:v>
      </x:c>
      <x:c r="D5928" s="8" t="n">
        <x:v>45505</x:v>
      </x:c>
      <x:c r="E5928" s="9" t="n">
        <x:v>4773750</x:v>
      </x:c>
      <x:c r="F5928" s="9" t="n">
        <x:v>0</x:v>
      </x:c>
    </x:row>
    <x:row r="5929" ht="34" customHeight="1">
      <x:c r="A5929" s="4" t="str">
        <x:v>RS-02970-I4</x:v>
      </x:c>
      <x:c r="B5929" s="4" t="str">
        <x:v>RS-02970</x:v>
      </x:c>
      <x:c r="C5929" s="9" t="n">
        <x:v>4</x:v>
      </x:c>
      <x:c r="D5929" s="8" t="n">
        <x:v>45535</x:v>
      </x:c>
      <x:c r="E5929" s="9" t="n">
        <x:v>4773750</x:v>
      </x:c>
      <x:c r="F5929" s="9" t="n">
        <x:v>0</x:v>
      </x:c>
    </x:row>
    <x:row r="5930" ht="34" customHeight="1">
      <x:c r="A5930" s="4" t="str">
        <x:v>RS-02972-I1</x:v>
      </x:c>
      <x:c r="B5930" s="4" t="str">
        <x:v>RS-02972</x:v>
      </x:c>
      <x:c r="C5930" s="9" t="n">
        <x:v>1</x:v>
      </x:c>
      <x:c r="D5930" s="8" t="n">
        <x:v>45447</x:v>
      </x:c>
      <x:c r="E5930" s="9" t="n">
        <x:v>5248750</x:v>
      </x:c>
      <x:c r="F5930" s="9" t="n">
        <x:v>5248750</x:v>
      </x:c>
    </x:row>
    <x:row r="5931" ht="34" customHeight="1">
      <x:c r="A5931" s="4" t="str">
        <x:v>RS-02972-I2</x:v>
      </x:c>
      <x:c r="B5931" s="4" t="str">
        <x:v>RS-02972</x:v>
      </x:c>
      <x:c r="C5931" s="9" t="n">
        <x:v>2</x:v>
      </x:c>
      <x:c r="D5931" s="8" t="n">
        <x:v>45477</x:v>
      </x:c>
      <x:c r="E5931" s="9" t="n">
        <x:v>5248750</x:v>
      </x:c>
      <x:c r="F5931" s="9" t="n">
        <x:v>0</x:v>
      </x:c>
    </x:row>
    <x:row r="5932" ht="34" customHeight="1">
      <x:c r="A5932" s="4" t="str">
        <x:v>RS-02972-I3</x:v>
      </x:c>
      <x:c r="B5932" s="4" t="str">
        <x:v>RS-02972</x:v>
      </x:c>
      <x:c r="C5932" s="9" t="n">
        <x:v>3</x:v>
      </x:c>
      <x:c r="D5932" s="8" t="n">
        <x:v>45507</x:v>
      </x:c>
      <x:c r="E5932" s="9" t="n">
        <x:v>5248750</x:v>
      </x:c>
      <x:c r="F5932" s="9" t="n">
        <x:v>0</x:v>
      </x:c>
    </x:row>
    <x:row r="5933" ht="34" customHeight="1">
      <x:c r="A5933" s="4" t="str">
        <x:v>RS-02972-I4</x:v>
      </x:c>
      <x:c r="B5933" s="4" t="str">
        <x:v>RS-02972</x:v>
      </x:c>
      <x:c r="C5933" s="9" t="n">
        <x:v>4</x:v>
      </x:c>
      <x:c r="D5933" s="8" t="n">
        <x:v>45537</x:v>
      </x:c>
      <x:c r="E5933" s="9" t="n">
        <x:v>5248750</x:v>
      </x:c>
      <x:c r="F5933" s="9" t="n">
        <x:v>0</x:v>
      </x:c>
    </x:row>
    <x:row r="5934" ht="34" customHeight="1">
      <x:c r="A5934" s="4" t="str">
        <x:v>RS-02975-I1</x:v>
      </x:c>
      <x:c r="B5934" s="4" t="str">
        <x:v>RS-02975</x:v>
      </x:c>
      <x:c r="C5934" s="9" t="n">
        <x:v>1</x:v>
      </x:c>
      <x:c r="D5934" s="8" t="n">
        <x:v>45450</x:v>
      </x:c>
      <x:c r="E5934" s="9" t="n">
        <x:v>4094000</x:v>
      </x:c>
      <x:c r="F5934" s="9" t="n">
        <x:v>1637600</x:v>
      </x:c>
    </x:row>
    <x:row r="5935" ht="34" customHeight="1">
      <x:c r="A5935" s="4" t="str">
        <x:v>RS-02975-I2</x:v>
      </x:c>
      <x:c r="B5935" s="4" t="str">
        <x:v>RS-02975</x:v>
      </x:c>
      <x:c r="C5935" s="9" t="n">
        <x:v>2</x:v>
      </x:c>
      <x:c r="D5935" s="8" t="n">
        <x:v>45480</x:v>
      </x:c>
      <x:c r="E5935" s="9" t="n">
        <x:v>4094000</x:v>
      </x:c>
      <x:c r="F5935" s="9" t="n">
        <x:v>0</x:v>
      </x:c>
    </x:row>
    <x:row r="5936" ht="34" customHeight="1">
      <x:c r="A5936" s="4" t="str">
        <x:v>RS-02975-I3</x:v>
      </x:c>
      <x:c r="B5936" s="4" t="str">
        <x:v>RS-02975</x:v>
      </x:c>
      <x:c r="C5936" s="9" t="n">
        <x:v>3</x:v>
      </x:c>
      <x:c r="D5936" s="8" t="n">
        <x:v>45510</x:v>
      </x:c>
      <x:c r="E5936" s="9" t="n">
        <x:v>4094000</x:v>
      </x:c>
      <x:c r="F5936" s="9" t="n">
        <x:v>0</x:v>
      </x:c>
    </x:row>
    <x:row r="5937" ht="34" customHeight="1">
      <x:c r="A5937" s="4" t="str">
        <x:v>RS-02975-I4</x:v>
      </x:c>
      <x:c r="B5937" s="4" t="str">
        <x:v>RS-02975</x:v>
      </x:c>
      <x:c r="C5937" s="9" t="n">
        <x:v>4</x:v>
      </x:c>
      <x:c r="D5937" s="8" t="n">
        <x:v>45540</x:v>
      </x:c>
      <x:c r="E5937" s="9" t="n">
        <x:v>4094000</x:v>
      </x:c>
      <x:c r="F5937" s="9" t="n">
        <x:v>0</x:v>
      </x:c>
    </x:row>
    <x:row r="5938" ht="34" customHeight="1">
      <x:c r="A5938" s="4" t="str">
        <x:v>RS-02977-I1</x:v>
      </x:c>
      <x:c r="B5938" s="4" t="str">
        <x:v>RS-02977</x:v>
      </x:c>
      <x:c r="C5938" s="9" t="n">
        <x:v>1</x:v>
      </x:c>
      <x:c r="D5938" s="8" t="n">
        <x:v>45452</x:v>
      </x:c>
      <x:c r="E5938" s="9" t="n">
        <x:v>4466000</x:v>
      </x:c>
      <x:c r="F5938" s="9" t="n">
        <x:v>4466000</x:v>
      </x:c>
    </x:row>
    <x:row r="5939" ht="34" customHeight="1">
      <x:c r="A5939" s="4" t="str">
        <x:v>RS-02977-I2</x:v>
      </x:c>
      <x:c r="B5939" s="4" t="str">
        <x:v>RS-02977</x:v>
      </x:c>
      <x:c r="C5939" s="9" t="n">
        <x:v>2</x:v>
      </x:c>
      <x:c r="D5939" s="8" t="n">
        <x:v>45482</x:v>
      </x:c>
      <x:c r="E5939" s="9" t="n">
        <x:v>4466000</x:v>
      </x:c>
      <x:c r="F5939" s="9" t="n">
        <x:v>4466000</x:v>
      </x:c>
    </x:row>
    <x:row r="5940" ht="34" customHeight="1">
      <x:c r="A5940" s="4" t="str">
        <x:v>RS-02977-I3</x:v>
      </x:c>
      <x:c r="B5940" s="4" t="str">
        <x:v>RS-02977</x:v>
      </x:c>
      <x:c r="C5940" s="9" t="n">
        <x:v>3</x:v>
      </x:c>
      <x:c r="D5940" s="8" t="n">
        <x:v>45512</x:v>
      </x:c>
      <x:c r="E5940" s="9" t="n">
        <x:v>4466000</x:v>
      </x:c>
      <x:c r="F5940" s="9" t="n">
        <x:v>0</x:v>
      </x:c>
    </x:row>
    <x:row r="5941" ht="34" customHeight="1">
      <x:c r="A5941" s="4" t="str">
        <x:v>RS-02977-I4</x:v>
      </x:c>
      <x:c r="B5941" s="4" t="str">
        <x:v>RS-02977</x:v>
      </x:c>
      <x:c r="C5941" s="9" t="n">
        <x:v>4</x:v>
      </x:c>
      <x:c r="D5941" s="8" t="n">
        <x:v>45542</x:v>
      </x:c>
      <x:c r="E5941" s="9" t="n">
        <x:v>4466000</x:v>
      </x:c>
      <x:c r="F5941" s="9" t="n">
        <x:v>0</x:v>
      </x:c>
    </x:row>
    <x:row r="5942" ht="34" customHeight="1">
      <x:c r="A5942" s="4" t="str">
        <x:v>RS-02978-I1</x:v>
      </x:c>
      <x:c r="B5942" s="4" t="str">
        <x:v>RS-02978</x:v>
      </x:c>
      <x:c r="C5942" s="9" t="n">
        <x:v>1</x:v>
      </x:c>
      <x:c r="D5942" s="8" t="n">
        <x:v>45453</x:v>
      </x:c>
      <x:c r="E5942" s="9" t="n">
        <x:v>3435250</x:v>
      </x:c>
      <x:c r="F5942" s="9" t="n">
        <x:v>3435250</x:v>
      </x:c>
    </x:row>
    <x:row r="5943" ht="34" customHeight="1">
      <x:c r="A5943" s="4" t="str">
        <x:v>RS-02978-I2</x:v>
      </x:c>
      <x:c r="B5943" s="4" t="str">
        <x:v>RS-02978</x:v>
      </x:c>
      <x:c r="C5943" s="9" t="n">
        <x:v>2</x:v>
      </x:c>
      <x:c r="D5943" s="8" t="n">
        <x:v>45483</x:v>
      </x:c>
      <x:c r="E5943" s="9" t="n">
        <x:v>3435250</x:v>
      </x:c>
      <x:c r="F5943" s="9" t="n">
        <x:v>3435250</x:v>
      </x:c>
    </x:row>
    <x:row r="5944" ht="34" customHeight="1">
      <x:c r="A5944" s="4" t="str">
        <x:v>RS-02978-I3</x:v>
      </x:c>
      <x:c r="B5944" s="4" t="str">
        <x:v>RS-02978</x:v>
      </x:c>
      <x:c r="C5944" s="9" t="n">
        <x:v>3</x:v>
      </x:c>
      <x:c r="D5944" s="8" t="n">
        <x:v>45513</x:v>
      </x:c>
      <x:c r="E5944" s="9" t="n">
        <x:v>3435250</x:v>
      </x:c>
      <x:c r="F5944" s="9" t="n">
        <x:v>0</x:v>
      </x:c>
    </x:row>
    <x:row r="5945" ht="34" customHeight="1">
      <x:c r="A5945" s="4" t="str">
        <x:v>RS-02978-I4</x:v>
      </x:c>
      <x:c r="B5945" s="4" t="str">
        <x:v>RS-02978</x:v>
      </x:c>
      <x:c r="C5945" s="9" t="n">
        <x:v>4</x:v>
      </x:c>
      <x:c r="D5945" s="8" t="n">
        <x:v>45543</x:v>
      </x:c>
      <x:c r="E5945" s="9" t="n">
        <x:v>3435250</x:v>
      </x:c>
      <x:c r="F5945" s="9" t="n">
        <x:v>0</x:v>
      </x:c>
    </x:row>
    <x:row r="5946" ht="34" customHeight="1">
      <x:c r="A5946" s="4" t="str">
        <x:v>RS-02980-I1</x:v>
      </x:c>
      <x:c r="B5946" s="4" t="str">
        <x:v>RS-02980</x:v>
      </x:c>
      <x:c r="C5946" s="9" t="n">
        <x:v>1</x:v>
      </x:c>
      <x:c r="D5946" s="8" t="n">
        <x:v>45455</x:v>
      </x:c>
      <x:c r="E5946" s="9" t="n">
        <x:v>3336000</x:v>
      </x:c>
      <x:c r="F5946" s="9" t="n">
        <x:v>3336000</x:v>
      </x:c>
    </x:row>
    <x:row r="5947" ht="34" customHeight="1">
      <x:c r="A5947" s="4" t="str">
        <x:v>RS-02980-I2</x:v>
      </x:c>
      <x:c r="B5947" s="4" t="str">
        <x:v>RS-02980</x:v>
      </x:c>
      <x:c r="C5947" s="9" t="n">
        <x:v>2</x:v>
      </x:c>
      <x:c r="D5947" s="8" t="n">
        <x:v>45485</x:v>
      </x:c>
      <x:c r="E5947" s="9" t="n">
        <x:v>3336000</x:v>
      </x:c>
      <x:c r="F5947" s="9" t="n">
        <x:v>3336000</x:v>
      </x:c>
    </x:row>
    <x:row r="5948" ht="34" customHeight="1">
      <x:c r="A5948" s="4" t="str">
        <x:v>RS-02980-I3</x:v>
      </x:c>
      <x:c r="B5948" s="4" t="str">
        <x:v>RS-02980</x:v>
      </x:c>
      <x:c r="C5948" s="9" t="n">
        <x:v>3</x:v>
      </x:c>
      <x:c r="D5948" s="8" t="n">
        <x:v>45515</x:v>
      </x:c>
      <x:c r="E5948" s="9" t="n">
        <x:v>3336000</x:v>
      </x:c>
      <x:c r="F5948" s="9" t="n">
        <x:v>3336000</x:v>
      </x:c>
    </x:row>
    <x:row r="5949" ht="34" customHeight="1">
      <x:c r="A5949" s="4" t="str">
        <x:v>RS-02980-I4</x:v>
      </x:c>
      <x:c r="B5949" s="4" t="str">
        <x:v>RS-02980</x:v>
      </x:c>
      <x:c r="C5949" s="9" t="n">
        <x:v>4</x:v>
      </x:c>
      <x:c r="D5949" s="8" t="n">
        <x:v>45545</x:v>
      </x:c>
      <x:c r="E5949" s="9" t="n">
        <x:v>3336000</x:v>
      </x:c>
      <x:c r="F5949" s="9" t="n">
        <x:v>3336000</x:v>
      </x:c>
    </x:row>
    <x:row r="5950" ht="34" customHeight="1">
      <x:c r="A5950" s="4" t="str">
        <x:v>RS-02983-I1</x:v>
      </x:c>
      <x:c r="B5950" s="4" t="str">
        <x:v>RS-02983</x:v>
      </x:c>
      <x:c r="C5950" s="9" t="n">
        <x:v>1</x:v>
      </x:c>
      <x:c r="D5950" s="8" t="n">
        <x:v>45458</x:v>
      </x:c>
      <x:c r="E5950" s="9" t="n">
        <x:v>6100500</x:v>
      </x:c>
      <x:c r="F5950" s="9" t="n">
        <x:v>6100500</x:v>
      </x:c>
    </x:row>
    <x:row r="5951" ht="34" customHeight="1">
      <x:c r="A5951" s="4" t="str">
        <x:v>RS-02983-I2</x:v>
      </x:c>
      <x:c r="B5951" s="4" t="str">
        <x:v>RS-02983</x:v>
      </x:c>
      <x:c r="C5951" s="9" t="n">
        <x:v>2</x:v>
      </x:c>
      <x:c r="D5951" s="8" t="n">
        <x:v>45488</x:v>
      </x:c>
      <x:c r="E5951" s="9" t="n">
        <x:v>6100500</x:v>
      </x:c>
      <x:c r="F5951" s="9" t="n">
        <x:v>0</x:v>
      </x:c>
    </x:row>
    <x:row r="5952" ht="34" customHeight="1">
      <x:c r="A5952" s="4" t="str">
        <x:v>RS-02983-I3</x:v>
      </x:c>
      <x:c r="B5952" s="4" t="str">
        <x:v>RS-02983</x:v>
      </x:c>
      <x:c r="C5952" s="9" t="n">
        <x:v>3</x:v>
      </x:c>
      <x:c r="D5952" s="8" t="n">
        <x:v>45518</x:v>
      </x:c>
      <x:c r="E5952" s="9" t="n">
        <x:v>6100500</x:v>
      </x:c>
      <x:c r="F5952" s="9" t="n">
        <x:v>0</x:v>
      </x:c>
    </x:row>
    <x:row r="5953" ht="34" customHeight="1">
      <x:c r="A5953" s="4" t="str">
        <x:v>RS-02983-I4</x:v>
      </x:c>
      <x:c r="B5953" s="4" t="str">
        <x:v>RS-02983</x:v>
      </x:c>
      <x:c r="C5953" s="9" t="n">
        <x:v>4</x:v>
      </x:c>
      <x:c r="D5953" s="8" t="n">
        <x:v>45548</x:v>
      </x:c>
      <x:c r="E5953" s="9" t="n">
        <x:v>6100500</x:v>
      </x:c>
      <x:c r="F5953" s="9" t="n">
        <x:v>0</x:v>
      </x:c>
    </x:row>
    <x:row r="5954" ht="34" customHeight="1">
      <x:c r="A5954" s="4" t="str">
        <x:v>RS-02984-I1</x:v>
      </x:c>
      <x:c r="B5954" s="4" t="str">
        <x:v>RS-02984</x:v>
      </x:c>
      <x:c r="C5954" s="9" t="n">
        <x:v>1</x:v>
      </x:c>
      <x:c r="D5954" s="8" t="n">
        <x:v>45459</x:v>
      </x:c>
      <x:c r="E5954" s="9" t="n">
        <x:v>5120500</x:v>
      </x:c>
      <x:c r="F5954" s="9" t="n">
        <x:v>5120500</x:v>
      </x:c>
    </x:row>
    <x:row r="5955" ht="34" customHeight="1">
      <x:c r="A5955" s="4" t="str">
        <x:v>RS-02984-I2</x:v>
      </x:c>
      <x:c r="B5955" s="4" t="str">
        <x:v>RS-02984</x:v>
      </x:c>
      <x:c r="C5955" s="9" t="n">
        <x:v>2</x:v>
      </x:c>
      <x:c r="D5955" s="8" t="n">
        <x:v>45489</x:v>
      </x:c>
      <x:c r="E5955" s="9" t="n">
        <x:v>5120500</x:v>
      </x:c>
      <x:c r="F5955" s="9" t="n">
        <x:v>5120500</x:v>
      </x:c>
    </x:row>
    <x:row r="5956" ht="34" customHeight="1">
      <x:c r="A5956" s="4" t="str">
        <x:v>RS-02984-I3</x:v>
      </x:c>
      <x:c r="B5956" s="4" t="str">
        <x:v>RS-02984</x:v>
      </x:c>
      <x:c r="C5956" s="9" t="n">
        <x:v>3</x:v>
      </x:c>
      <x:c r="D5956" s="8" t="n">
        <x:v>45519</x:v>
      </x:c>
      <x:c r="E5956" s="9" t="n">
        <x:v>5120500</x:v>
      </x:c>
      <x:c r="F5956" s="9" t="n">
        <x:v>0</x:v>
      </x:c>
    </x:row>
    <x:row r="5957" ht="34" customHeight="1">
      <x:c r="A5957" s="4" t="str">
        <x:v>RS-02984-I4</x:v>
      </x:c>
      <x:c r="B5957" s="4" t="str">
        <x:v>RS-02984</x:v>
      </x:c>
      <x:c r="C5957" s="9" t="n">
        <x:v>4</x:v>
      </x:c>
      <x:c r="D5957" s="8" t="n">
        <x:v>45549</x:v>
      </x:c>
      <x:c r="E5957" s="9" t="n">
        <x:v>5120500</x:v>
      </x:c>
      <x:c r="F5957" s="9" t="n">
        <x:v>0</x:v>
      </x:c>
    </x:row>
    <x:row r="5958" ht="34" customHeight="1">
      <x:c r="A5958" s="4" t="str">
        <x:v>RS-02985-I1</x:v>
      </x:c>
      <x:c r="B5958" s="4" t="str">
        <x:v>RS-02985</x:v>
      </x:c>
      <x:c r="C5958" s="9" t="n">
        <x:v>1</x:v>
      </x:c>
      <x:c r="D5958" s="8" t="n">
        <x:v>45460</x:v>
      </x:c>
      <x:c r="E5958" s="9" t="n">
        <x:v>4812750</x:v>
      </x:c>
      <x:c r="F5958" s="9" t="n">
        <x:v>4812750</x:v>
      </x:c>
    </x:row>
    <x:row r="5959" ht="34" customHeight="1">
      <x:c r="A5959" s="4" t="str">
        <x:v>RS-02985-I2</x:v>
      </x:c>
      <x:c r="B5959" s="4" t="str">
        <x:v>RS-02985</x:v>
      </x:c>
      <x:c r="C5959" s="9" t="n">
        <x:v>2</x:v>
      </x:c>
      <x:c r="D5959" s="8" t="n">
        <x:v>45490</x:v>
      </x:c>
      <x:c r="E5959" s="9" t="n">
        <x:v>4812750</x:v>
      </x:c>
      <x:c r="F5959" s="9" t="n">
        <x:v>0</x:v>
      </x:c>
    </x:row>
    <x:row r="5960" ht="34" customHeight="1">
      <x:c r="A5960" s="4" t="str">
        <x:v>RS-02985-I3</x:v>
      </x:c>
      <x:c r="B5960" s="4" t="str">
        <x:v>RS-02985</x:v>
      </x:c>
      <x:c r="C5960" s="9" t="n">
        <x:v>3</x:v>
      </x:c>
      <x:c r="D5960" s="8" t="n">
        <x:v>45520</x:v>
      </x:c>
      <x:c r="E5960" s="9" t="n">
        <x:v>4812750</x:v>
      </x:c>
      <x:c r="F5960" s="9" t="n">
        <x:v>0</x:v>
      </x:c>
    </x:row>
    <x:row r="5961" ht="34" customHeight="1">
      <x:c r="A5961" s="4" t="str">
        <x:v>RS-02985-I4</x:v>
      </x:c>
      <x:c r="B5961" s="4" t="str">
        <x:v>RS-02985</x:v>
      </x:c>
      <x:c r="C5961" s="9" t="n">
        <x:v>4</x:v>
      </x:c>
      <x:c r="D5961" s="8" t="n">
        <x:v>45550</x:v>
      </x:c>
      <x:c r="E5961" s="9" t="n">
        <x:v>4812750</x:v>
      </x:c>
      <x:c r="F5961" s="9" t="n">
        <x:v>0</x:v>
      </x:c>
    </x:row>
    <x:row r="5962" ht="34" customHeight="1">
      <x:c r="A5962" s="4" t="str">
        <x:v>RS-02986-I1</x:v>
      </x:c>
      <x:c r="B5962" s="4" t="str">
        <x:v>RS-02986</x:v>
      </x:c>
      <x:c r="C5962" s="9" t="n">
        <x:v>1</x:v>
      </x:c>
      <x:c r="D5962" s="8" t="n">
        <x:v>45461</x:v>
      </x:c>
      <x:c r="E5962" s="9" t="n">
        <x:v>736000</x:v>
      </x:c>
      <x:c r="F5962" s="9" t="n">
        <x:v>294400</x:v>
      </x:c>
    </x:row>
    <x:row r="5963" ht="34" customHeight="1">
      <x:c r="A5963" s="4" t="str">
        <x:v>RS-02986-I2</x:v>
      </x:c>
      <x:c r="B5963" s="4" t="str">
        <x:v>RS-02986</x:v>
      </x:c>
      <x:c r="C5963" s="9" t="n">
        <x:v>2</x:v>
      </x:c>
      <x:c r="D5963" s="8" t="n">
        <x:v>45491</x:v>
      </x:c>
      <x:c r="E5963" s="9" t="n">
        <x:v>736000</x:v>
      </x:c>
      <x:c r="F5963" s="9" t="n">
        <x:v>0</x:v>
      </x:c>
    </x:row>
    <x:row r="5964" ht="34" customHeight="1">
      <x:c r="A5964" s="4" t="str">
        <x:v>RS-02986-I3</x:v>
      </x:c>
      <x:c r="B5964" s="4" t="str">
        <x:v>RS-02986</x:v>
      </x:c>
      <x:c r="C5964" s="9" t="n">
        <x:v>3</x:v>
      </x:c>
      <x:c r="D5964" s="8" t="n">
        <x:v>45521</x:v>
      </x:c>
      <x:c r="E5964" s="9" t="n">
        <x:v>736000</x:v>
      </x:c>
      <x:c r="F5964" s="9" t="n">
        <x:v>0</x:v>
      </x:c>
    </x:row>
    <x:row r="5965" ht="34" customHeight="1">
      <x:c r="A5965" s="4" t="str">
        <x:v>RS-02986-I4</x:v>
      </x:c>
      <x:c r="B5965" s="4" t="str">
        <x:v>RS-02986</x:v>
      </x:c>
      <x:c r="C5965" s="9" t="n">
        <x:v>4</x:v>
      </x:c>
      <x:c r="D5965" s="8" t="n">
        <x:v>45551</x:v>
      </x:c>
      <x:c r="E5965" s="9" t="n">
        <x:v>736000</x:v>
      </x:c>
      <x:c r="F5965" s="9" t="n">
        <x:v>0</x:v>
      </x:c>
    </x:row>
    <x:row r="5966" ht="34" customHeight="1">
      <x:c r="A5966" s="4" t="str">
        <x:v>RS-02988-I1</x:v>
      </x:c>
      <x:c r="B5966" s="4" t="str">
        <x:v>RS-02988</x:v>
      </x:c>
      <x:c r="C5966" s="9" t="n">
        <x:v>1</x:v>
      </x:c>
      <x:c r="D5966" s="8" t="n">
        <x:v>45463</x:v>
      </x:c>
      <x:c r="E5966" s="9" t="n">
        <x:v>1134750</x:v>
      </x:c>
      <x:c r="F5966" s="9" t="n">
        <x:v>1134750</x:v>
      </x:c>
    </x:row>
    <x:row r="5967" ht="34" customHeight="1">
      <x:c r="A5967" s="4" t="str">
        <x:v>RS-02988-I2</x:v>
      </x:c>
      <x:c r="B5967" s="4" t="str">
        <x:v>RS-02988</x:v>
      </x:c>
      <x:c r="C5967" s="9" t="n">
        <x:v>2</x:v>
      </x:c>
      <x:c r="D5967" s="8" t="n">
        <x:v>45493</x:v>
      </x:c>
      <x:c r="E5967" s="9" t="n">
        <x:v>1134750</x:v>
      </x:c>
      <x:c r="F5967" s="9" t="n">
        <x:v>1134750</x:v>
      </x:c>
    </x:row>
    <x:row r="5968" ht="34" customHeight="1">
      <x:c r="A5968" s="4" t="str">
        <x:v>RS-02988-I3</x:v>
      </x:c>
      <x:c r="B5968" s="4" t="str">
        <x:v>RS-02988</x:v>
      </x:c>
      <x:c r="C5968" s="9" t="n">
        <x:v>3</x:v>
      </x:c>
      <x:c r="D5968" s="8" t="n">
        <x:v>45523</x:v>
      </x:c>
      <x:c r="E5968" s="9" t="n">
        <x:v>1134750</x:v>
      </x:c>
      <x:c r="F5968" s="9" t="n">
        <x:v>0</x:v>
      </x:c>
    </x:row>
    <x:row r="5969" ht="34" customHeight="1">
      <x:c r="A5969" s="4" t="str">
        <x:v>RS-02988-I4</x:v>
      </x:c>
      <x:c r="B5969" s="4" t="str">
        <x:v>RS-02988</x:v>
      </x:c>
      <x:c r="C5969" s="9" t="n">
        <x:v>4</x:v>
      </x:c>
      <x:c r="D5969" s="8" t="n">
        <x:v>45553</x:v>
      </x:c>
      <x:c r="E5969" s="9" t="n">
        <x:v>1134750</x:v>
      </x:c>
      <x:c r="F5969" s="9" t="n">
        <x:v>0</x:v>
      </x:c>
    </x:row>
    <x:row r="5970" ht="34" customHeight="1">
      <x:c r="A5970" s="4" t="str">
        <x:v>RS-02990-I1</x:v>
      </x:c>
      <x:c r="B5970" s="4" t="str">
        <x:v>RS-02990</x:v>
      </x:c>
      <x:c r="C5970" s="9" t="n">
        <x:v>1</x:v>
      </x:c>
      <x:c r="D5970" s="8" t="n">
        <x:v>45465</x:v>
      </x:c>
      <x:c r="E5970" s="9" t="n">
        <x:v>3792000</x:v>
      </x:c>
      <x:c r="F5970" s="9" t="n">
        <x:v>3792000</x:v>
      </x:c>
    </x:row>
    <x:row r="5971" ht="34" customHeight="1">
      <x:c r="A5971" s="4" t="str">
        <x:v>RS-02990-I2</x:v>
      </x:c>
      <x:c r="B5971" s="4" t="str">
        <x:v>RS-02990</x:v>
      </x:c>
      <x:c r="C5971" s="9" t="n">
        <x:v>2</x:v>
      </x:c>
      <x:c r="D5971" s="8" t="n">
        <x:v>45495</x:v>
      </x:c>
      <x:c r="E5971" s="9" t="n">
        <x:v>3792000</x:v>
      </x:c>
      <x:c r="F5971" s="9" t="n">
        <x:v>0</x:v>
      </x:c>
    </x:row>
    <x:row r="5972" ht="34" customHeight="1">
      <x:c r="A5972" s="4" t="str">
        <x:v>RS-02990-I3</x:v>
      </x:c>
      <x:c r="B5972" s="4" t="str">
        <x:v>RS-02990</x:v>
      </x:c>
      <x:c r="C5972" s="9" t="n">
        <x:v>3</x:v>
      </x:c>
      <x:c r="D5972" s="8" t="n">
        <x:v>45525</x:v>
      </x:c>
      <x:c r="E5972" s="9" t="n">
        <x:v>3792000</x:v>
      </x:c>
      <x:c r="F5972" s="9" t="n">
        <x:v>0</x:v>
      </x:c>
    </x:row>
    <x:row r="5973" ht="34" customHeight="1">
      <x:c r="A5973" s="4" t="str">
        <x:v>RS-02990-I4</x:v>
      </x:c>
      <x:c r="B5973" s="4" t="str">
        <x:v>RS-02990</x:v>
      </x:c>
      <x:c r="C5973" s="9" t="n">
        <x:v>4</x:v>
      </x:c>
      <x:c r="D5973" s="8" t="n">
        <x:v>45555</x:v>
      </x:c>
      <x:c r="E5973" s="9" t="n">
        <x:v>3792000</x:v>
      </x:c>
      <x:c r="F5973" s="9" t="n">
        <x:v>0</x:v>
      </x:c>
    </x:row>
    <x:row r="5974" ht="34" customHeight="1">
      <x:c r="A5974" s="4" t="str">
        <x:v>RS-02995-I1</x:v>
      </x:c>
      <x:c r="B5974" s="4" t="str">
        <x:v>RS-02995</x:v>
      </x:c>
      <x:c r="C5974" s="9" t="n">
        <x:v>1</x:v>
      </x:c>
      <x:c r="D5974" s="8" t="n">
        <x:v>45470</x:v>
      </x:c>
      <x:c r="E5974" s="9" t="n">
        <x:v>3285000</x:v>
      </x:c>
      <x:c r="F5974" s="9" t="n">
        <x:v>3285000</x:v>
      </x:c>
    </x:row>
    <x:row r="5975" ht="34" customHeight="1">
      <x:c r="A5975" s="4" t="str">
        <x:v>RS-02995-I2</x:v>
      </x:c>
      <x:c r="B5975" s="4" t="str">
        <x:v>RS-02995</x:v>
      </x:c>
      <x:c r="C5975" s="9" t="n">
        <x:v>2</x:v>
      </x:c>
      <x:c r="D5975" s="8" t="n">
        <x:v>45500</x:v>
      </x:c>
      <x:c r="E5975" s="9" t="n">
        <x:v>3285000</x:v>
      </x:c>
      <x:c r="F5975" s="9" t="n">
        <x:v>3285000</x:v>
      </x:c>
    </x:row>
    <x:row r="5976" ht="34" customHeight="1">
      <x:c r="A5976" s="4" t="str">
        <x:v>RS-02995-I3</x:v>
      </x:c>
      <x:c r="B5976" s="4" t="str">
        <x:v>RS-02995</x:v>
      </x:c>
      <x:c r="C5976" s="9" t="n">
        <x:v>3</x:v>
      </x:c>
      <x:c r="D5976" s="8" t="n">
        <x:v>45530</x:v>
      </x:c>
      <x:c r="E5976" s="9" t="n">
        <x:v>3285000</x:v>
      </x:c>
      <x:c r="F5976" s="9" t="n">
        <x:v>0</x:v>
      </x:c>
    </x:row>
    <x:row r="5977" ht="34" customHeight="1">
      <x:c r="A5977" s="4" t="str">
        <x:v>RS-02995-I4</x:v>
      </x:c>
      <x:c r="B5977" s="4" t="str">
        <x:v>RS-02995</x:v>
      </x:c>
      <x:c r="C5977" s="9" t="n">
        <x:v>4</x:v>
      </x:c>
      <x:c r="D5977" s="8" t="n">
        <x:v>45560</x:v>
      </x:c>
      <x:c r="E5977" s="9" t="n">
        <x:v>3285000</x:v>
      </x:c>
      <x:c r="F5977" s="9" t="n">
        <x:v>0</x:v>
      </x:c>
    </x:row>
    <x:row r="5978" ht="34" customHeight="1">
      <x:c r="A5978" s="4" t="str">
        <x:v>RS-02997-I1</x:v>
      </x:c>
      <x:c r="B5978" s="4" t="str">
        <x:v>RS-02997</x:v>
      </x:c>
      <x:c r="C5978" s="9" t="n">
        <x:v>1</x:v>
      </x:c>
      <x:c r="D5978" s="8" t="n">
        <x:v>45444</x:v>
      </x:c>
      <x:c r="E5978" s="9" t="n">
        <x:v>4138500</x:v>
      </x:c>
      <x:c r="F5978" s="9" t="n">
        <x:v>4138500</x:v>
      </x:c>
    </x:row>
    <x:row r="5979" ht="34" customHeight="1">
      <x:c r="A5979" s="4" t="str">
        <x:v>RS-02997-I2</x:v>
      </x:c>
      <x:c r="B5979" s="4" t="str">
        <x:v>RS-02997</x:v>
      </x:c>
      <x:c r="C5979" s="9" t="n">
        <x:v>2</x:v>
      </x:c>
      <x:c r="D5979" s="8" t="n">
        <x:v>45474</x:v>
      </x:c>
      <x:c r="E5979" s="9" t="n">
        <x:v>4138500</x:v>
      </x:c>
      <x:c r="F5979" s="9" t="n">
        <x:v>4138500</x:v>
      </x:c>
    </x:row>
    <x:row r="5980" ht="34" customHeight="1">
      <x:c r="A5980" s="4" t="str">
        <x:v>RS-02997-I3</x:v>
      </x:c>
      <x:c r="B5980" s="4" t="str">
        <x:v>RS-02997</x:v>
      </x:c>
      <x:c r="C5980" s="9" t="n">
        <x:v>3</x:v>
      </x:c>
      <x:c r="D5980" s="8" t="n">
        <x:v>45504</x:v>
      </x:c>
      <x:c r="E5980" s="9" t="n">
        <x:v>4138500</x:v>
      </x:c>
      <x:c r="F5980" s="9" t="n">
        <x:v>0</x:v>
      </x:c>
    </x:row>
    <x:row r="5981" ht="34" customHeight="1">
      <x:c r="A5981" s="4" t="str">
        <x:v>RS-02997-I4</x:v>
      </x:c>
      <x:c r="B5981" s="4" t="str">
        <x:v>RS-02997</x:v>
      </x:c>
      <x:c r="C5981" s="9" t="n">
        <x:v>4</x:v>
      </x:c>
      <x:c r="D5981" s="8" t="n">
        <x:v>45534</x:v>
      </x:c>
      <x:c r="E5981" s="9" t="n">
        <x:v>4138500</x:v>
      </x:c>
      <x:c r="F5981" s="9" t="n">
        <x:v>0</x:v>
      </x:c>
    </x:row>
    <x:row r="5982" ht="34" customHeight="1">
      <x:c r="A5982" s="4" t="str">
        <x:v>RS-02999-I1</x:v>
      </x:c>
      <x:c r="B5982" s="4" t="str">
        <x:v>RS-02999</x:v>
      </x:c>
      <x:c r="C5982" s="9" t="n">
        <x:v>1</x:v>
      </x:c>
      <x:c r="D5982" s="8" t="n">
        <x:v>45446</x:v>
      </x:c>
      <x:c r="E5982" s="9" t="n">
        <x:v>4899000</x:v>
      </x:c>
      <x:c r="F5982" s="9" t="n">
        <x:v>4899000</x:v>
      </x:c>
    </x:row>
    <x:row r="5983" ht="34" customHeight="1">
      <x:c r="A5983" s="4" t="str">
        <x:v>RS-02999-I2</x:v>
      </x:c>
      <x:c r="B5983" s="4" t="str">
        <x:v>RS-02999</x:v>
      </x:c>
      <x:c r="C5983" s="9" t="n">
        <x:v>2</x:v>
      </x:c>
      <x:c r="D5983" s="8" t="n">
        <x:v>45476</x:v>
      </x:c>
      <x:c r="E5983" s="9" t="n">
        <x:v>4899000</x:v>
      </x:c>
      <x:c r="F5983" s="9" t="n">
        <x:v>0</x:v>
      </x:c>
    </x:row>
    <x:row r="5984" ht="34" customHeight="1">
      <x:c r="A5984" s="4" t="str">
        <x:v>RS-02999-I3</x:v>
      </x:c>
      <x:c r="B5984" s="4" t="str">
        <x:v>RS-02999</x:v>
      </x:c>
      <x:c r="C5984" s="9" t="n">
        <x:v>3</x:v>
      </x:c>
      <x:c r="D5984" s="8" t="n">
        <x:v>45506</x:v>
      </x:c>
      <x:c r="E5984" s="9" t="n">
        <x:v>4899000</x:v>
      </x:c>
      <x:c r="F5984" s="9" t="n">
        <x:v>0</x:v>
      </x:c>
    </x:row>
    <x:row r="5985" ht="34" customHeight="1">
      <x:c r="A5985" s="4" t="str">
        <x:v>RS-02999-I4</x:v>
      </x:c>
      <x:c r="B5985" s="4" t="str">
        <x:v>RS-02999</x:v>
      </x:c>
      <x:c r="C5985" s="9" t="n">
        <x:v>4</x:v>
      </x:c>
      <x:c r="D5985" s="8" t="n">
        <x:v>45536</x:v>
      </x:c>
      <x:c r="E5985" s="9" t="n">
        <x:v>4899000</x:v>
      </x:c>
      <x:c r="F5985" s="9" t="n">
        <x:v>0</x:v>
      </x:c>
    </x:row>
    <x:row r="5986" ht="34" customHeight="1">
      <x:c r="A5986" s="4" t="str">
        <x:v>RS-03000-I1</x:v>
      </x:c>
      <x:c r="B5986" s="4" t="str">
        <x:v>RS-03000</x:v>
      </x:c>
      <x:c r="C5986" s="9" t="n">
        <x:v>1</x:v>
      </x:c>
      <x:c r="D5986" s="8" t="n">
        <x:v>45447</x:v>
      </x:c>
      <x:c r="E5986" s="9" t="n">
        <x:v>1344000</x:v>
      </x:c>
      <x:c r="F5986" s="9" t="n">
        <x:v>1344000</x:v>
      </x:c>
    </x:row>
    <x:row r="5987" ht="34" customHeight="1">
      <x:c r="A5987" s="4" t="str">
        <x:v>RS-03000-I2</x:v>
      </x:c>
      <x:c r="B5987" s="4" t="str">
        <x:v>RS-03000</x:v>
      </x:c>
      <x:c r="C5987" s="9" t="n">
        <x:v>2</x:v>
      </x:c>
      <x:c r="D5987" s="8" t="n">
        <x:v>45477</x:v>
      </x:c>
      <x:c r="E5987" s="9" t="n">
        <x:v>1344000</x:v>
      </x:c>
      <x:c r="F5987" s="9" t="n">
        <x:v>1344000</x:v>
      </x:c>
    </x:row>
    <x:row r="5988" ht="34" customHeight="1">
      <x:c r="A5988" s="4" t="str">
        <x:v>RS-03000-I3</x:v>
      </x:c>
      <x:c r="B5988" s="4" t="str">
        <x:v>RS-03000</x:v>
      </x:c>
      <x:c r="C5988" s="9" t="n">
        <x:v>3</x:v>
      </x:c>
      <x:c r="D5988" s="8" t="n">
        <x:v>45507</x:v>
      </x:c>
      <x:c r="E5988" s="9" t="n">
        <x:v>1344000</x:v>
      </x:c>
      <x:c r="F5988" s="9" t="n">
        <x:v>1344000</x:v>
      </x:c>
    </x:row>
    <x:row r="5989" ht="34" customHeight="1">
      <x:c r="A5989" s="4" t="str">
        <x:v>RS-03000-I4</x:v>
      </x:c>
      <x:c r="B5989" s="4" t="str">
        <x:v>RS-03000</x:v>
      </x:c>
      <x:c r="C5989" s="9" t="n">
        <x:v>4</x:v>
      </x:c>
      <x:c r="D5989" s="8" t="n">
        <x:v>45537</x:v>
      </x:c>
      <x:c r="E5989" s="9" t="n">
        <x:v>1344000</x:v>
      </x:c>
      <x:c r="F5989" s="9" t="n">
        <x:v>1344000</x:v>
      </x:c>
    </x:row>
    <x:row r="5990" ht="34" customHeight="1">
      <x:c r="A5990" s="4" t="str">
        <x:v>RS-03001-I1</x:v>
      </x:c>
      <x:c r="B5990" s="4" t="str">
        <x:v>RS-03001</x:v>
      </x:c>
      <x:c r="C5990" s="9" t="n">
        <x:v>1</x:v>
      </x:c>
      <x:c r="D5990" s="8" t="n">
        <x:v>45478</x:v>
      </x:c>
      <x:c r="E5990" s="9" t="n">
        <x:v>1964250</x:v>
      </x:c>
      <x:c r="F5990" s="9" t="n">
        <x:v>785700</x:v>
      </x:c>
    </x:row>
    <x:row r="5991" ht="34" customHeight="1">
      <x:c r="A5991" s="4" t="str">
        <x:v>RS-03001-I2</x:v>
      </x:c>
      <x:c r="B5991" s="4" t="str">
        <x:v>RS-03001</x:v>
      </x:c>
      <x:c r="C5991" s="9" t="n">
        <x:v>2</x:v>
      </x:c>
      <x:c r="D5991" s="8" t="n">
        <x:v>45508</x:v>
      </x:c>
      <x:c r="E5991" s="9" t="n">
        <x:v>1964250</x:v>
      </x:c>
      <x:c r="F5991" s="9" t="n">
        <x:v>0</x:v>
      </x:c>
    </x:row>
    <x:row r="5992" ht="34" customHeight="1">
      <x:c r="A5992" s="4" t="str">
        <x:v>RS-03001-I3</x:v>
      </x:c>
      <x:c r="B5992" s="4" t="str">
        <x:v>RS-03001</x:v>
      </x:c>
      <x:c r="C5992" s="9" t="n">
        <x:v>3</x:v>
      </x:c>
      <x:c r="D5992" s="8" t="n">
        <x:v>45538</x:v>
      </x:c>
      <x:c r="E5992" s="9" t="n">
        <x:v>1964250</x:v>
      </x:c>
      <x:c r="F5992" s="9" t="n">
        <x:v>0</x:v>
      </x:c>
    </x:row>
    <x:row r="5993" ht="34" customHeight="1">
      <x:c r="A5993" s="4" t="str">
        <x:v>RS-03001-I4</x:v>
      </x:c>
      <x:c r="B5993" s="4" t="str">
        <x:v>RS-03001</x:v>
      </x:c>
      <x:c r="C5993" s="9" t="n">
        <x:v>4</x:v>
      </x:c>
      <x:c r="D5993" s="8" t="n">
        <x:v>45568</x:v>
      </x:c>
      <x:c r="E5993" s="9" t="n">
        <x:v>1964250</x:v>
      </x:c>
      <x:c r="F5993" s="9" t="n">
        <x:v>0</x:v>
      </x:c>
    </x:row>
    <x:row r="5994" ht="34" customHeight="1">
      <x:c r="A5994" s="4" t="str">
        <x:v>RS-03005-I1</x:v>
      </x:c>
      <x:c r="B5994" s="4" t="str">
        <x:v>RS-03005</x:v>
      </x:c>
      <x:c r="C5994" s="9" t="n">
        <x:v>1</x:v>
      </x:c>
      <x:c r="D5994" s="8" t="n">
        <x:v>45482</x:v>
      </x:c>
      <x:c r="E5994" s="9" t="n">
        <x:v>2046000</x:v>
      </x:c>
      <x:c r="F5994" s="9" t="n">
        <x:v>2046000</x:v>
      </x:c>
    </x:row>
    <x:row r="5995" ht="34" customHeight="1">
      <x:c r="A5995" s="4" t="str">
        <x:v>RS-03005-I2</x:v>
      </x:c>
      <x:c r="B5995" s="4" t="str">
        <x:v>RS-03005</x:v>
      </x:c>
      <x:c r="C5995" s="9" t="n">
        <x:v>2</x:v>
      </x:c>
      <x:c r="D5995" s="8" t="n">
        <x:v>45512</x:v>
      </x:c>
      <x:c r="E5995" s="9" t="n">
        <x:v>2046000</x:v>
      </x:c>
      <x:c r="F5995" s="9" t="n">
        <x:v>2046000</x:v>
      </x:c>
    </x:row>
    <x:row r="5996" ht="34" customHeight="1">
      <x:c r="A5996" s="4" t="str">
        <x:v>RS-03005-I3</x:v>
      </x:c>
      <x:c r="B5996" s="4" t="str">
        <x:v>RS-03005</x:v>
      </x:c>
      <x:c r="C5996" s="9" t="n">
        <x:v>3</x:v>
      </x:c>
      <x:c r="D5996" s="8" t="n">
        <x:v>45542</x:v>
      </x:c>
      <x:c r="E5996" s="9" t="n">
        <x:v>2046000</x:v>
      </x:c>
      <x:c r="F5996" s="9" t="n">
        <x:v>0</x:v>
      </x:c>
    </x:row>
    <x:row r="5997" ht="34" customHeight="1">
      <x:c r="A5997" s="4" t="str">
        <x:v>RS-03005-I4</x:v>
      </x:c>
      <x:c r="B5997" s="4" t="str">
        <x:v>RS-03005</x:v>
      </x:c>
      <x:c r="C5997" s="9" t="n">
        <x:v>4</x:v>
      </x:c>
      <x:c r="D5997" s="8" t="n">
        <x:v>45572</x:v>
      </x:c>
      <x:c r="E5997" s="9" t="n">
        <x:v>2046000</x:v>
      </x:c>
      <x:c r="F5997" s="9" t="n">
        <x:v>0</x:v>
      </x:c>
    </x:row>
    <x:row r="5998" ht="34" customHeight="1">
      <x:c r="A5998" s="4" t="str">
        <x:v>RS-03006-I1</x:v>
      </x:c>
      <x:c r="B5998" s="4" t="str">
        <x:v>RS-03006</x:v>
      </x:c>
      <x:c r="C5998" s="9" t="n">
        <x:v>1</x:v>
      </x:c>
      <x:c r="D5998" s="8" t="n">
        <x:v>45483</x:v>
      </x:c>
      <x:c r="E5998" s="9" t="n">
        <x:v>4163000</x:v>
      </x:c>
      <x:c r="F5998" s="9" t="n">
        <x:v>1665200</x:v>
      </x:c>
    </x:row>
    <x:row r="5999" ht="34" customHeight="1">
      <x:c r="A5999" s="4" t="str">
        <x:v>RS-03006-I2</x:v>
      </x:c>
      <x:c r="B5999" s="4" t="str">
        <x:v>RS-03006</x:v>
      </x:c>
      <x:c r="C5999" s="9" t="n">
        <x:v>2</x:v>
      </x:c>
      <x:c r="D5999" s="8" t="n">
        <x:v>45513</x:v>
      </x:c>
      <x:c r="E5999" s="9" t="n">
        <x:v>4163000</x:v>
      </x:c>
      <x:c r="F5999" s="9" t="n">
        <x:v>0</x:v>
      </x:c>
    </x:row>
    <x:row r="6000" ht="34" customHeight="1">
      <x:c r="A6000" s="4" t="str">
        <x:v>RS-03006-I3</x:v>
      </x:c>
      <x:c r="B6000" s="4" t="str">
        <x:v>RS-03006</x:v>
      </x:c>
      <x:c r="C6000" s="9" t="n">
        <x:v>3</x:v>
      </x:c>
      <x:c r="D6000" s="8" t="n">
        <x:v>45543</x:v>
      </x:c>
      <x:c r="E6000" s="9" t="n">
        <x:v>4163000</x:v>
      </x:c>
      <x:c r="F6000" s="9" t="n">
        <x:v>0</x:v>
      </x:c>
    </x:row>
    <x:row r="6001" ht="34" customHeight="1">
      <x:c r="A6001" s="4" t="str">
        <x:v>RS-03006-I4</x:v>
      </x:c>
      <x:c r="B6001" s="4" t="str">
        <x:v>RS-03006</x:v>
      </x:c>
      <x:c r="C6001" s="9" t="n">
        <x:v>4</x:v>
      </x:c>
      <x:c r="D6001" s="8" t="n">
        <x:v>45573</x:v>
      </x:c>
      <x:c r="E6001" s="9" t="n">
        <x:v>4163000</x:v>
      </x:c>
      <x:c r="F6001" s="9" t="n">
        <x:v>0</x:v>
      </x:c>
    </x:row>
    <x:row r="6002" ht="34" customHeight="1">
      <x:c r="A6002" s="4" t="str">
        <x:v>RS-03010-I1</x:v>
      </x:c>
      <x:c r="B6002" s="4" t="str">
        <x:v>RS-03010</x:v>
      </x:c>
      <x:c r="C6002" s="9" t="n">
        <x:v>1</x:v>
      </x:c>
      <x:c r="D6002" s="8" t="n">
        <x:v>45487</x:v>
      </x:c>
      <x:c r="E6002" s="9" t="n">
        <x:v>4529250</x:v>
      </x:c>
      <x:c r="F6002" s="9" t="n">
        <x:v>4529250</x:v>
      </x:c>
    </x:row>
    <x:row r="6003" ht="34" customHeight="1">
      <x:c r="A6003" s="4" t="str">
        <x:v>RS-03010-I2</x:v>
      </x:c>
      <x:c r="B6003" s="4" t="str">
        <x:v>RS-03010</x:v>
      </x:c>
      <x:c r="C6003" s="9" t="n">
        <x:v>2</x:v>
      </x:c>
      <x:c r="D6003" s="8" t="n">
        <x:v>45517</x:v>
      </x:c>
      <x:c r="E6003" s="9" t="n">
        <x:v>4529250</x:v>
      </x:c>
      <x:c r="F6003" s="9" t="n">
        <x:v>4529250</x:v>
      </x:c>
    </x:row>
    <x:row r="6004" ht="34" customHeight="1">
      <x:c r="A6004" s="4" t="str">
        <x:v>RS-03010-I3</x:v>
      </x:c>
      <x:c r="B6004" s="4" t="str">
        <x:v>RS-03010</x:v>
      </x:c>
      <x:c r="C6004" s="9" t="n">
        <x:v>3</x:v>
      </x:c>
      <x:c r="D6004" s="8" t="n">
        <x:v>45547</x:v>
      </x:c>
      <x:c r="E6004" s="9" t="n">
        <x:v>4529250</x:v>
      </x:c>
      <x:c r="F6004" s="9" t="n">
        <x:v>4529250</x:v>
      </x:c>
    </x:row>
    <x:row r="6005" ht="34" customHeight="1">
      <x:c r="A6005" s="4" t="str">
        <x:v>RS-03010-I4</x:v>
      </x:c>
      <x:c r="B6005" s="4" t="str">
        <x:v>RS-03010</x:v>
      </x:c>
      <x:c r="C6005" s="9" t="n">
        <x:v>4</x:v>
      </x:c>
      <x:c r="D6005" s="8" t="n">
        <x:v>45577</x:v>
      </x:c>
      <x:c r="E6005" s="9" t="n">
        <x:v>4529250</x:v>
      </x:c>
      <x:c r="F6005" s="9" t="n">
        <x:v>4529250</x:v>
      </x:c>
    </x:row>
    <x:row r="6006" ht="34" customHeight="1">
      <x:c r="A6006" s="4" t="str">
        <x:v>RS-03011-I1</x:v>
      </x:c>
      <x:c r="B6006" s="4" t="str">
        <x:v>RS-03011</x:v>
      </x:c>
      <x:c r="C6006" s="9" t="n">
        <x:v>1</x:v>
      </x:c>
      <x:c r="D6006" s="8" t="n">
        <x:v>45488</x:v>
      </x:c>
      <x:c r="E6006" s="9" t="n">
        <x:v>1979250</x:v>
      </x:c>
      <x:c r="F6006" s="9" t="n">
        <x:v>791700</x:v>
      </x:c>
    </x:row>
    <x:row r="6007" ht="34" customHeight="1">
      <x:c r="A6007" s="4" t="str">
        <x:v>RS-03011-I2</x:v>
      </x:c>
      <x:c r="B6007" s="4" t="str">
        <x:v>RS-03011</x:v>
      </x:c>
      <x:c r="C6007" s="9" t="n">
        <x:v>2</x:v>
      </x:c>
      <x:c r="D6007" s="8" t="n">
        <x:v>45518</x:v>
      </x:c>
      <x:c r="E6007" s="9" t="n">
        <x:v>1979250</x:v>
      </x:c>
      <x:c r="F6007" s="9" t="n">
        <x:v>0</x:v>
      </x:c>
    </x:row>
    <x:row r="6008" ht="34" customHeight="1">
      <x:c r="A6008" s="4" t="str">
        <x:v>RS-03011-I3</x:v>
      </x:c>
      <x:c r="B6008" s="4" t="str">
        <x:v>RS-03011</x:v>
      </x:c>
      <x:c r="C6008" s="9" t="n">
        <x:v>3</x:v>
      </x:c>
      <x:c r="D6008" s="8" t="n">
        <x:v>45548</x:v>
      </x:c>
      <x:c r="E6008" s="9" t="n">
        <x:v>1979250</x:v>
      </x:c>
      <x:c r="F6008" s="9" t="n">
        <x:v>0</x:v>
      </x:c>
    </x:row>
    <x:row r="6009" ht="34" customHeight="1">
      <x:c r="A6009" s="4" t="str">
        <x:v>RS-03011-I4</x:v>
      </x:c>
      <x:c r="B6009" s="4" t="str">
        <x:v>RS-03011</x:v>
      </x:c>
      <x:c r="C6009" s="9" t="n">
        <x:v>4</x:v>
      </x:c>
      <x:c r="D6009" s="8" t="n">
        <x:v>45578</x:v>
      </x:c>
      <x:c r="E6009" s="9" t="n">
        <x:v>1979250</x:v>
      </x:c>
      <x:c r="F6009" s="9" t="n">
        <x:v>0</x:v>
      </x:c>
    </x:row>
    <x:row r="6010" ht="34" customHeight="1">
      <x:c r="A6010" s="4" t="str">
        <x:v>RS-03012-I1</x:v>
      </x:c>
      <x:c r="B6010" s="4" t="str">
        <x:v>RS-03012</x:v>
      </x:c>
      <x:c r="C6010" s="9" t="n">
        <x:v>1</x:v>
      </x:c>
      <x:c r="D6010" s="8" t="n">
        <x:v>45489</x:v>
      </x:c>
      <x:c r="E6010" s="9" t="n">
        <x:v>2825000</x:v>
      </x:c>
      <x:c r="F6010" s="9" t="n">
        <x:v>1130000</x:v>
      </x:c>
    </x:row>
    <x:row r="6011" ht="34" customHeight="1">
      <x:c r="A6011" s="4" t="str">
        <x:v>RS-03012-I2</x:v>
      </x:c>
      <x:c r="B6011" s="4" t="str">
        <x:v>RS-03012</x:v>
      </x:c>
      <x:c r="C6011" s="9" t="n">
        <x:v>2</x:v>
      </x:c>
      <x:c r="D6011" s="8" t="n">
        <x:v>45519</x:v>
      </x:c>
      <x:c r="E6011" s="9" t="n">
        <x:v>2825000</x:v>
      </x:c>
      <x:c r="F6011" s="9" t="n">
        <x:v>0</x:v>
      </x:c>
    </x:row>
    <x:row r="6012" ht="34" customHeight="1">
      <x:c r="A6012" s="4" t="str">
        <x:v>RS-03012-I3</x:v>
      </x:c>
      <x:c r="B6012" s="4" t="str">
        <x:v>RS-03012</x:v>
      </x:c>
      <x:c r="C6012" s="9" t="n">
        <x:v>3</x:v>
      </x:c>
      <x:c r="D6012" s="8" t="n">
        <x:v>45549</x:v>
      </x:c>
      <x:c r="E6012" s="9" t="n">
        <x:v>2825000</x:v>
      </x:c>
      <x:c r="F6012" s="9" t="n">
        <x:v>0</x:v>
      </x:c>
    </x:row>
    <x:row r="6013" ht="34" customHeight="1">
      <x:c r="A6013" s="4" t="str">
        <x:v>RS-03012-I4</x:v>
      </x:c>
      <x:c r="B6013" s="4" t="str">
        <x:v>RS-03012</x:v>
      </x:c>
      <x:c r="C6013" s="9" t="n">
        <x:v>4</x:v>
      </x:c>
      <x:c r="D6013" s="8" t="n">
        <x:v>45579</x:v>
      </x:c>
      <x:c r="E6013" s="9" t="n">
        <x:v>2825000</x:v>
      </x:c>
      <x:c r="F6013" s="9" t="n">
        <x:v>0</x:v>
      </x:c>
    </x:row>
    <x:row r="6014" ht="34" customHeight="1">
      <x:c r="A6014" s="4" t="str">
        <x:v>RS-03014-I1</x:v>
      </x:c>
      <x:c r="B6014" s="4" t="str">
        <x:v>RS-03014</x:v>
      </x:c>
      <x:c r="C6014" s="9" t="n">
        <x:v>1</x:v>
      </x:c>
      <x:c r="D6014" s="8" t="n">
        <x:v>45491</x:v>
      </x:c>
      <x:c r="E6014" s="9" t="n">
        <x:v>934500</x:v>
      </x:c>
      <x:c r="F6014" s="9" t="n">
        <x:v>934500</x:v>
      </x:c>
    </x:row>
    <x:row r="6015" ht="34" customHeight="1">
      <x:c r="A6015" s="4" t="str">
        <x:v>RS-03014-I2</x:v>
      </x:c>
      <x:c r="B6015" s="4" t="str">
        <x:v>RS-03014</x:v>
      </x:c>
      <x:c r="C6015" s="9" t="n">
        <x:v>2</x:v>
      </x:c>
      <x:c r="D6015" s="8" t="n">
        <x:v>45521</x:v>
      </x:c>
      <x:c r="E6015" s="9" t="n">
        <x:v>934500</x:v>
      </x:c>
      <x:c r="F6015" s="9" t="n">
        <x:v>934500</x:v>
      </x:c>
    </x:row>
    <x:row r="6016" ht="34" customHeight="1">
      <x:c r="A6016" s="4" t="str">
        <x:v>RS-03014-I3</x:v>
      </x:c>
      <x:c r="B6016" s="4" t="str">
        <x:v>RS-03014</x:v>
      </x:c>
      <x:c r="C6016" s="9" t="n">
        <x:v>3</x:v>
      </x:c>
      <x:c r="D6016" s="8" t="n">
        <x:v>45551</x:v>
      </x:c>
      <x:c r="E6016" s="9" t="n">
        <x:v>934500</x:v>
      </x:c>
      <x:c r="F6016" s="9" t="n">
        <x:v>0</x:v>
      </x:c>
    </x:row>
    <x:row r="6017" ht="34" customHeight="1">
      <x:c r="A6017" s="4" t="str">
        <x:v>RS-03014-I4</x:v>
      </x:c>
      <x:c r="B6017" s="4" t="str">
        <x:v>RS-03014</x:v>
      </x:c>
      <x:c r="C6017" s="9" t="n">
        <x:v>4</x:v>
      </x:c>
      <x:c r="D6017" s="8" t="n">
        <x:v>45581</x:v>
      </x:c>
      <x:c r="E6017" s="9" t="n">
        <x:v>934500</x:v>
      </x:c>
      <x:c r="F6017" s="9" t="n">
        <x:v>0</x:v>
      </x:c>
    </x:row>
    <x:row r="6018" ht="34" customHeight="1">
      <x:c r="A6018" s="4" t="str">
        <x:v>RS-03016-I1</x:v>
      </x:c>
      <x:c r="B6018" s="4" t="str">
        <x:v>RS-03016</x:v>
      </x:c>
      <x:c r="C6018" s="9" t="n">
        <x:v>1</x:v>
      </x:c>
      <x:c r="D6018" s="8" t="n">
        <x:v>45493</x:v>
      </x:c>
      <x:c r="E6018" s="9" t="n">
        <x:v>2683750</x:v>
      </x:c>
      <x:c r="F6018" s="9" t="n">
        <x:v>1073500</x:v>
      </x:c>
    </x:row>
    <x:row r="6019" ht="34" customHeight="1">
      <x:c r="A6019" s="4" t="str">
        <x:v>RS-03016-I2</x:v>
      </x:c>
      <x:c r="B6019" s="4" t="str">
        <x:v>RS-03016</x:v>
      </x:c>
      <x:c r="C6019" s="9" t="n">
        <x:v>2</x:v>
      </x:c>
      <x:c r="D6019" s="8" t="n">
        <x:v>45523</x:v>
      </x:c>
      <x:c r="E6019" s="9" t="n">
        <x:v>2683750</x:v>
      </x:c>
      <x:c r="F6019" s="9" t="n">
        <x:v>0</x:v>
      </x:c>
    </x:row>
    <x:row r="6020" ht="34" customHeight="1">
      <x:c r="A6020" s="4" t="str">
        <x:v>RS-03016-I3</x:v>
      </x:c>
      <x:c r="B6020" s="4" t="str">
        <x:v>RS-03016</x:v>
      </x:c>
      <x:c r="C6020" s="9" t="n">
        <x:v>3</x:v>
      </x:c>
      <x:c r="D6020" s="8" t="n">
        <x:v>45553</x:v>
      </x:c>
      <x:c r="E6020" s="9" t="n">
        <x:v>2683750</x:v>
      </x:c>
      <x:c r="F6020" s="9" t="n">
        <x:v>0</x:v>
      </x:c>
    </x:row>
    <x:row r="6021" ht="34" customHeight="1">
      <x:c r="A6021" s="4" t="str">
        <x:v>RS-03016-I4</x:v>
      </x:c>
      <x:c r="B6021" s="4" t="str">
        <x:v>RS-03016</x:v>
      </x:c>
      <x:c r="C6021" s="9" t="n">
        <x:v>4</x:v>
      </x:c>
      <x:c r="D6021" s="8" t="n">
        <x:v>45583</x:v>
      </x:c>
      <x:c r="E6021" s="9" t="n">
        <x:v>2683750</x:v>
      </x:c>
      <x:c r="F6021" s="9" t="n">
        <x:v>0</x:v>
      </x:c>
    </x:row>
    <x:row r="6022" ht="34" customHeight="1">
      <x:c r="A6022" s="4" t="str">
        <x:v>RS-03017-I1</x:v>
      </x:c>
      <x:c r="B6022" s="4" t="str">
        <x:v>RS-03017</x:v>
      </x:c>
      <x:c r="C6022" s="9" t="n">
        <x:v>1</x:v>
      </x:c>
      <x:c r="D6022" s="8" t="n">
        <x:v>45494</x:v>
      </x:c>
      <x:c r="E6022" s="9" t="n">
        <x:v>1034000</x:v>
      </x:c>
      <x:c r="F6022" s="9" t="n">
        <x:v>1034000</x:v>
      </x:c>
    </x:row>
    <x:row r="6023" ht="34" customHeight="1">
      <x:c r="A6023" s="4" t="str">
        <x:v>RS-03017-I2</x:v>
      </x:c>
      <x:c r="B6023" s="4" t="str">
        <x:v>RS-03017</x:v>
      </x:c>
      <x:c r="C6023" s="9" t="n">
        <x:v>2</x:v>
      </x:c>
      <x:c r="D6023" s="8" t="n">
        <x:v>45524</x:v>
      </x:c>
      <x:c r="E6023" s="9" t="n">
        <x:v>1034000</x:v>
      </x:c>
      <x:c r="F6023" s="9" t="n">
        <x:v>0</x:v>
      </x:c>
    </x:row>
    <x:row r="6024" ht="34" customHeight="1">
      <x:c r="A6024" s="4" t="str">
        <x:v>RS-03017-I3</x:v>
      </x:c>
      <x:c r="B6024" s="4" t="str">
        <x:v>RS-03017</x:v>
      </x:c>
      <x:c r="C6024" s="9" t="n">
        <x:v>3</x:v>
      </x:c>
      <x:c r="D6024" s="8" t="n">
        <x:v>45554</x:v>
      </x:c>
      <x:c r="E6024" s="9" t="n">
        <x:v>1034000</x:v>
      </x:c>
      <x:c r="F6024" s="9" t="n">
        <x:v>0</x:v>
      </x:c>
    </x:row>
    <x:row r="6025" ht="34" customHeight="1">
      <x:c r="A6025" s="4" t="str">
        <x:v>RS-03017-I4</x:v>
      </x:c>
      <x:c r="B6025" s="4" t="str">
        <x:v>RS-03017</x:v>
      </x:c>
      <x:c r="C6025" s="9" t="n">
        <x:v>4</x:v>
      </x:c>
      <x:c r="D6025" s="8" t="n">
        <x:v>45584</x:v>
      </x:c>
      <x:c r="E6025" s="9" t="n">
        <x:v>1034000</x:v>
      </x:c>
      <x:c r="F6025" s="9" t="n">
        <x:v>0</x:v>
      </x:c>
    </x:row>
    <x:row r="6026" ht="34" customHeight="1">
      <x:c r="A6026" s="4" t="str">
        <x:v>RS-03018-I1</x:v>
      </x:c>
      <x:c r="B6026" s="4" t="str">
        <x:v>RS-03018</x:v>
      </x:c>
      <x:c r="C6026" s="9" t="n">
        <x:v>1</x:v>
      </x:c>
      <x:c r="D6026" s="8" t="n">
        <x:v>45495</x:v>
      </x:c>
      <x:c r="E6026" s="9" t="n">
        <x:v>1536000</x:v>
      </x:c>
      <x:c r="F6026" s="9" t="n">
        <x:v>614400</x:v>
      </x:c>
    </x:row>
    <x:row r="6027" ht="34" customHeight="1">
      <x:c r="A6027" s="4" t="str">
        <x:v>RS-03018-I2</x:v>
      </x:c>
      <x:c r="B6027" s="4" t="str">
        <x:v>RS-03018</x:v>
      </x:c>
      <x:c r="C6027" s="9" t="n">
        <x:v>2</x:v>
      </x:c>
      <x:c r="D6027" s="8" t="n">
        <x:v>45525</x:v>
      </x:c>
      <x:c r="E6027" s="9" t="n">
        <x:v>1536000</x:v>
      </x:c>
      <x:c r="F6027" s="9" t="n">
        <x:v>0</x:v>
      </x:c>
    </x:row>
    <x:row r="6028" ht="34" customHeight="1">
      <x:c r="A6028" s="4" t="str">
        <x:v>RS-03018-I3</x:v>
      </x:c>
      <x:c r="B6028" s="4" t="str">
        <x:v>RS-03018</x:v>
      </x:c>
      <x:c r="C6028" s="9" t="n">
        <x:v>3</x:v>
      </x:c>
      <x:c r="D6028" s="8" t="n">
        <x:v>45555</x:v>
      </x:c>
      <x:c r="E6028" s="9" t="n">
        <x:v>1536000</x:v>
      </x:c>
      <x:c r="F6028" s="9" t="n">
        <x:v>0</x:v>
      </x:c>
    </x:row>
    <x:row r="6029" ht="34" customHeight="1">
      <x:c r="A6029" s="4" t="str">
        <x:v>RS-03018-I4</x:v>
      </x:c>
      <x:c r="B6029" s="4" t="str">
        <x:v>RS-03018</x:v>
      </x:c>
      <x:c r="C6029" s="9" t="n">
        <x:v>4</x:v>
      </x:c>
      <x:c r="D6029" s="8" t="n">
        <x:v>45585</x:v>
      </x:c>
      <x:c r="E6029" s="9" t="n">
        <x:v>1536000</x:v>
      </x:c>
      <x:c r="F6029" s="9" t="n">
        <x:v>0</x:v>
      </x:c>
    </x:row>
    <x:row r="6030" ht="34" customHeight="1">
      <x:c r="A6030" s="4" t="str">
        <x:v>RS-03019-I1</x:v>
      </x:c>
      <x:c r="B6030" s="4" t="str">
        <x:v>RS-03019</x:v>
      </x:c>
      <x:c r="C6030" s="9" t="n">
        <x:v>1</x:v>
      </x:c>
      <x:c r="D6030" s="8" t="n">
        <x:v>45496</x:v>
      </x:c>
      <x:c r="E6030" s="9" t="n">
        <x:v>2208750</x:v>
      </x:c>
      <x:c r="F6030" s="9" t="n">
        <x:v>2208750</x:v>
      </x:c>
    </x:row>
    <x:row r="6031" ht="34" customHeight="1">
      <x:c r="A6031" s="4" t="str">
        <x:v>RS-03019-I2</x:v>
      </x:c>
      <x:c r="B6031" s="4" t="str">
        <x:v>RS-03019</x:v>
      </x:c>
      <x:c r="C6031" s="9" t="n">
        <x:v>2</x:v>
      </x:c>
      <x:c r="D6031" s="8" t="n">
        <x:v>45526</x:v>
      </x:c>
      <x:c r="E6031" s="9" t="n">
        <x:v>2208750</x:v>
      </x:c>
      <x:c r="F6031" s="9" t="n">
        <x:v>2208750</x:v>
      </x:c>
    </x:row>
    <x:row r="6032" ht="34" customHeight="1">
      <x:c r="A6032" s="4" t="str">
        <x:v>RS-03019-I3</x:v>
      </x:c>
      <x:c r="B6032" s="4" t="str">
        <x:v>RS-03019</x:v>
      </x:c>
      <x:c r="C6032" s="9" t="n">
        <x:v>3</x:v>
      </x:c>
      <x:c r="D6032" s="8" t="n">
        <x:v>45556</x:v>
      </x:c>
      <x:c r="E6032" s="9" t="n">
        <x:v>2208750</x:v>
      </x:c>
      <x:c r="F6032" s="9" t="n">
        <x:v>0</x:v>
      </x:c>
    </x:row>
    <x:row r="6033" ht="34" customHeight="1">
      <x:c r="A6033" s="4" t="str">
        <x:v>RS-03019-I4</x:v>
      </x:c>
      <x:c r="B6033" s="4" t="str">
        <x:v>RS-03019</x:v>
      </x:c>
      <x:c r="C6033" s="9" t="n">
        <x:v>4</x:v>
      </x:c>
      <x:c r="D6033" s="8" t="n">
        <x:v>45586</x:v>
      </x:c>
      <x:c r="E6033" s="9" t="n">
        <x:v>2208750</x:v>
      </x:c>
      <x:c r="F6033" s="9" t="n">
        <x:v>0</x:v>
      </x:c>
    </x:row>
    <x:row r="6034" ht="34" customHeight="1">
      <x:c r="A6034" s="4" t="str">
        <x:v>RS-03020-I1</x:v>
      </x:c>
      <x:c r="B6034" s="4" t="str">
        <x:v>RS-03020</x:v>
      </x:c>
      <x:c r="C6034" s="9" t="n">
        <x:v>1</x:v>
      </x:c>
      <x:c r="D6034" s="8" t="n">
        <x:v>45497</x:v>
      </x:c>
      <x:c r="E6034" s="9" t="n">
        <x:v>4375000</x:v>
      </x:c>
      <x:c r="F6034" s="9" t="n">
        <x:v>4375000</x:v>
      </x:c>
    </x:row>
    <x:row r="6035" ht="34" customHeight="1">
      <x:c r="A6035" s="4" t="str">
        <x:v>RS-03020-I2</x:v>
      </x:c>
      <x:c r="B6035" s="4" t="str">
        <x:v>RS-03020</x:v>
      </x:c>
      <x:c r="C6035" s="9" t="n">
        <x:v>2</x:v>
      </x:c>
      <x:c r="D6035" s="8" t="n">
        <x:v>45527</x:v>
      </x:c>
      <x:c r="E6035" s="9" t="n">
        <x:v>4375000</x:v>
      </x:c>
      <x:c r="F6035" s="9" t="n">
        <x:v>4375000</x:v>
      </x:c>
    </x:row>
    <x:row r="6036" ht="34" customHeight="1">
      <x:c r="A6036" s="4" t="str">
        <x:v>RS-03020-I3</x:v>
      </x:c>
      <x:c r="B6036" s="4" t="str">
        <x:v>RS-03020</x:v>
      </x:c>
      <x:c r="C6036" s="9" t="n">
        <x:v>3</x:v>
      </x:c>
      <x:c r="D6036" s="8" t="n">
        <x:v>45557</x:v>
      </x:c>
      <x:c r="E6036" s="9" t="n">
        <x:v>4375000</x:v>
      </x:c>
      <x:c r="F6036" s="9" t="n">
        <x:v>4375000</x:v>
      </x:c>
    </x:row>
    <x:row r="6037" ht="34" customHeight="1">
      <x:c r="A6037" s="4" t="str">
        <x:v>RS-03020-I4</x:v>
      </x:c>
      <x:c r="B6037" s="4" t="str">
        <x:v>RS-03020</x:v>
      </x:c>
      <x:c r="C6037" s="9" t="n">
        <x:v>4</x:v>
      </x:c>
      <x:c r="D6037" s="8" t="n">
        <x:v>45587</x:v>
      </x:c>
      <x:c r="E6037" s="9" t="n">
        <x:v>4375000</x:v>
      </x:c>
      <x:c r="F6037" s="9" t="n">
        <x:v>4375000</x:v>
      </x:c>
    </x:row>
    <x:row r="6038" ht="34" customHeight="1">
      <x:c r="A6038" s="4" t="str">
        <x:v>RS-03021-I1</x:v>
      </x:c>
      <x:c r="B6038" s="4" t="str">
        <x:v>RS-03021</x:v>
      </x:c>
      <x:c r="C6038" s="9" t="n">
        <x:v>1</x:v>
      </x:c>
      <x:c r="D6038" s="8" t="n">
        <x:v>45498</x:v>
      </x:c>
      <x:c r="E6038" s="9" t="n">
        <x:v>5116750</x:v>
      </x:c>
      <x:c r="F6038" s="9" t="n">
        <x:v>5116750</x:v>
      </x:c>
    </x:row>
    <x:row r="6039" ht="34" customHeight="1">
      <x:c r="A6039" s="4" t="str">
        <x:v>RS-03021-I2</x:v>
      </x:c>
      <x:c r="B6039" s="4" t="str">
        <x:v>RS-03021</x:v>
      </x:c>
      <x:c r="C6039" s="9" t="n">
        <x:v>2</x:v>
      </x:c>
      <x:c r="D6039" s="8" t="n">
        <x:v>45528</x:v>
      </x:c>
      <x:c r="E6039" s="9" t="n">
        <x:v>5116750</x:v>
      </x:c>
      <x:c r="F6039" s="9" t="n">
        <x:v>5116750</x:v>
      </x:c>
    </x:row>
    <x:row r="6040" ht="34" customHeight="1">
      <x:c r="A6040" s="4" t="str">
        <x:v>RS-03021-I3</x:v>
      </x:c>
      <x:c r="B6040" s="4" t="str">
        <x:v>RS-03021</x:v>
      </x:c>
      <x:c r="C6040" s="9" t="n">
        <x:v>3</x:v>
      </x:c>
      <x:c r="D6040" s="8" t="n">
        <x:v>45558</x:v>
      </x:c>
      <x:c r="E6040" s="9" t="n">
        <x:v>5116750</x:v>
      </x:c>
      <x:c r="F6040" s="9" t="n">
        <x:v>5116750</x:v>
      </x:c>
    </x:row>
    <x:row r="6041" ht="34" customHeight="1">
      <x:c r="A6041" s="4" t="str">
        <x:v>RS-03021-I4</x:v>
      </x:c>
      <x:c r="B6041" s="4" t="str">
        <x:v>RS-03021</x:v>
      </x:c>
      <x:c r="C6041" s="9" t="n">
        <x:v>4</x:v>
      </x:c>
      <x:c r="D6041" s="8" t="n">
        <x:v>45588</x:v>
      </x:c>
      <x:c r="E6041" s="9" t="n">
        <x:v>5116750</x:v>
      </x:c>
      <x:c r="F6041" s="9" t="n">
        <x:v>5116750</x:v>
      </x:c>
    </x:row>
    <x:row r="6042" ht="34" customHeight="1">
      <x:c r="A6042" s="4" t="str">
        <x:v>RS-03022-I1</x:v>
      </x:c>
      <x:c r="B6042" s="4" t="str">
        <x:v>RS-03022</x:v>
      </x:c>
      <x:c r="C6042" s="9" t="n">
        <x:v>1</x:v>
      </x:c>
      <x:c r="D6042" s="8" t="n">
        <x:v>45499</x:v>
      </x:c>
      <x:c r="E6042" s="9" t="n">
        <x:v>940500</x:v>
      </x:c>
      <x:c r="F6042" s="9" t="n">
        <x:v>940500</x:v>
      </x:c>
    </x:row>
    <x:row r="6043" ht="34" customHeight="1">
      <x:c r="A6043" s="4" t="str">
        <x:v>RS-03022-I2</x:v>
      </x:c>
      <x:c r="B6043" s="4" t="str">
        <x:v>RS-03022</x:v>
      </x:c>
      <x:c r="C6043" s="9" t="n">
        <x:v>2</x:v>
      </x:c>
      <x:c r="D6043" s="8" t="n">
        <x:v>45529</x:v>
      </x:c>
      <x:c r="E6043" s="9" t="n">
        <x:v>940500</x:v>
      </x:c>
      <x:c r="F6043" s="9" t="n">
        <x:v>940500</x:v>
      </x:c>
    </x:row>
    <x:row r="6044" ht="34" customHeight="1">
      <x:c r="A6044" s="4" t="str">
        <x:v>RS-03022-I3</x:v>
      </x:c>
      <x:c r="B6044" s="4" t="str">
        <x:v>RS-03022</x:v>
      </x:c>
      <x:c r="C6044" s="9" t="n">
        <x:v>3</x:v>
      </x:c>
      <x:c r="D6044" s="8" t="n">
        <x:v>45559</x:v>
      </x:c>
      <x:c r="E6044" s="9" t="n">
        <x:v>940500</x:v>
      </x:c>
      <x:c r="F6044" s="9" t="n">
        <x:v>940500</x:v>
      </x:c>
    </x:row>
    <x:row r="6045" ht="34" customHeight="1">
      <x:c r="A6045" s="4" t="str">
        <x:v>RS-03022-I4</x:v>
      </x:c>
      <x:c r="B6045" s="4" t="str">
        <x:v>RS-03022</x:v>
      </x:c>
      <x:c r="C6045" s="9" t="n">
        <x:v>4</x:v>
      </x:c>
      <x:c r="D6045" s="8" t="n">
        <x:v>45589</x:v>
      </x:c>
      <x:c r="E6045" s="9" t="n">
        <x:v>940500</x:v>
      </x:c>
      <x:c r="F6045" s="9" t="n">
        <x:v>940500</x:v>
      </x:c>
    </x:row>
    <x:row r="6046" ht="34" customHeight="1">
      <x:c r="A6046" s="4" t="str">
        <x:v>RS-03025-I1</x:v>
      </x:c>
      <x:c r="B6046" s="4" t="str">
        <x:v>RS-03025</x:v>
      </x:c>
      <x:c r="C6046" s="9" t="n">
        <x:v>1</x:v>
      </x:c>
      <x:c r="D6046" s="8" t="n">
        <x:v>45474</x:v>
      </x:c>
      <x:c r="E6046" s="9" t="n">
        <x:v>4485000</x:v>
      </x:c>
      <x:c r="F6046" s="9" t="n">
        <x:v>4485000</x:v>
      </x:c>
    </x:row>
    <x:row r="6047" ht="34" customHeight="1">
      <x:c r="A6047" s="4" t="str">
        <x:v>RS-03025-I2</x:v>
      </x:c>
      <x:c r="B6047" s="4" t="str">
        <x:v>RS-03025</x:v>
      </x:c>
      <x:c r="C6047" s="9" t="n">
        <x:v>2</x:v>
      </x:c>
      <x:c r="D6047" s="8" t="n">
        <x:v>45504</x:v>
      </x:c>
      <x:c r="E6047" s="9" t="n">
        <x:v>4485000</x:v>
      </x:c>
      <x:c r="F6047" s="9" t="n">
        <x:v>0</x:v>
      </x:c>
    </x:row>
    <x:row r="6048" ht="34" customHeight="1">
      <x:c r="A6048" s="4" t="str">
        <x:v>RS-03025-I3</x:v>
      </x:c>
      <x:c r="B6048" s="4" t="str">
        <x:v>RS-03025</x:v>
      </x:c>
      <x:c r="C6048" s="9" t="n">
        <x:v>3</x:v>
      </x:c>
      <x:c r="D6048" s="8" t="n">
        <x:v>45534</x:v>
      </x:c>
      <x:c r="E6048" s="9" t="n">
        <x:v>4485000</x:v>
      </x:c>
      <x:c r="F6048" s="9" t="n">
        <x:v>0</x:v>
      </x:c>
    </x:row>
    <x:row r="6049" ht="34" customHeight="1">
      <x:c r="A6049" s="4" t="str">
        <x:v>RS-03025-I4</x:v>
      </x:c>
      <x:c r="B6049" s="4" t="str">
        <x:v>RS-03025</x:v>
      </x:c>
      <x:c r="C6049" s="9" t="n">
        <x:v>4</x:v>
      </x:c>
      <x:c r="D6049" s="8" t="n">
        <x:v>45564</x:v>
      </x:c>
      <x:c r="E6049" s="9" t="n">
        <x:v>4485000</x:v>
      </x:c>
      <x:c r="F6049" s="9" t="n">
        <x:v>0</x:v>
      </x:c>
    </x:row>
    <x:row r="6050" ht="34" customHeight="1">
      <x:c r="A6050" s="4" t="str">
        <x:v>RS-03026-I1</x:v>
      </x:c>
      <x:c r="B6050" s="4" t="str">
        <x:v>RS-03026</x:v>
      </x:c>
      <x:c r="C6050" s="9" t="n">
        <x:v>1</x:v>
      </x:c>
      <x:c r="D6050" s="8" t="n">
        <x:v>45475</x:v>
      </x:c>
      <x:c r="E6050" s="9" t="n">
        <x:v>5228750</x:v>
      </x:c>
      <x:c r="F6050" s="9" t="n">
        <x:v>5228750</x:v>
      </x:c>
    </x:row>
    <x:row r="6051" ht="34" customHeight="1">
      <x:c r="A6051" s="4" t="str">
        <x:v>RS-03026-I2</x:v>
      </x:c>
      <x:c r="B6051" s="4" t="str">
        <x:v>RS-03026</x:v>
      </x:c>
      <x:c r="C6051" s="9" t="n">
        <x:v>2</x:v>
      </x:c>
      <x:c r="D6051" s="8" t="n">
        <x:v>45505</x:v>
      </x:c>
      <x:c r="E6051" s="9" t="n">
        <x:v>5228750</x:v>
      </x:c>
      <x:c r="F6051" s="9" t="n">
        <x:v>0</x:v>
      </x:c>
    </x:row>
    <x:row r="6052" ht="34" customHeight="1">
      <x:c r="A6052" s="4" t="str">
        <x:v>RS-03026-I3</x:v>
      </x:c>
      <x:c r="B6052" s="4" t="str">
        <x:v>RS-03026</x:v>
      </x:c>
      <x:c r="C6052" s="9" t="n">
        <x:v>3</x:v>
      </x:c>
      <x:c r="D6052" s="8" t="n">
        <x:v>45535</x:v>
      </x:c>
      <x:c r="E6052" s="9" t="n">
        <x:v>5228750</x:v>
      </x:c>
      <x:c r="F6052" s="9" t="n">
        <x:v>0</x:v>
      </x:c>
    </x:row>
    <x:row r="6053" ht="34" customHeight="1">
      <x:c r="A6053" s="4" t="str">
        <x:v>RS-03026-I4</x:v>
      </x:c>
      <x:c r="B6053" s="4" t="str">
        <x:v>RS-03026</x:v>
      </x:c>
      <x:c r="C6053" s="9" t="n">
        <x:v>4</x:v>
      </x:c>
      <x:c r="D6053" s="8" t="n">
        <x:v>45565</x:v>
      </x:c>
      <x:c r="E6053" s="9" t="n">
        <x:v>5228750</x:v>
      </x:c>
      <x:c r="F6053" s="9" t="n">
        <x:v>0</x:v>
      </x:c>
    </x:row>
    <x:row r="6054" ht="34" customHeight="1">
      <x:c r="A6054" s="4" t="str">
        <x:v>RS-03027-I1</x:v>
      </x:c>
      <x:c r="B6054" s="4" t="str">
        <x:v>RS-03027</x:v>
      </x:c>
      <x:c r="C6054" s="9" t="n">
        <x:v>1</x:v>
      </x:c>
      <x:c r="D6054" s="8" t="n">
        <x:v>45476</x:v>
      </x:c>
      <x:c r="E6054" s="9" t="n">
        <x:v>3726000</x:v>
      </x:c>
      <x:c r="F6054" s="9" t="n">
        <x:v>3726000</x:v>
      </x:c>
    </x:row>
    <x:row r="6055" ht="34" customHeight="1">
      <x:c r="A6055" s="4" t="str">
        <x:v>RS-03027-I2</x:v>
      </x:c>
      <x:c r="B6055" s="4" t="str">
        <x:v>RS-03027</x:v>
      </x:c>
      <x:c r="C6055" s="9" t="n">
        <x:v>2</x:v>
      </x:c>
      <x:c r="D6055" s="8" t="n">
        <x:v>45506</x:v>
      </x:c>
      <x:c r="E6055" s="9" t="n">
        <x:v>3726000</x:v>
      </x:c>
      <x:c r="F6055" s="9" t="n">
        <x:v>3726000</x:v>
      </x:c>
    </x:row>
    <x:row r="6056" ht="34" customHeight="1">
      <x:c r="A6056" s="4" t="str">
        <x:v>RS-03027-I3</x:v>
      </x:c>
      <x:c r="B6056" s="4" t="str">
        <x:v>RS-03027</x:v>
      </x:c>
      <x:c r="C6056" s="9" t="n">
        <x:v>3</x:v>
      </x:c>
      <x:c r="D6056" s="8" t="n">
        <x:v>45536</x:v>
      </x:c>
      <x:c r="E6056" s="9" t="n">
        <x:v>3726000</x:v>
      </x:c>
      <x:c r="F6056" s="9" t="n">
        <x:v>3726000</x:v>
      </x:c>
    </x:row>
    <x:row r="6057" ht="34" customHeight="1">
      <x:c r="A6057" s="4" t="str">
        <x:v>RS-03027-I4</x:v>
      </x:c>
      <x:c r="B6057" s="4" t="str">
        <x:v>RS-03027</x:v>
      </x:c>
      <x:c r="C6057" s="9" t="n">
        <x:v>4</x:v>
      </x:c>
      <x:c r="D6057" s="8" t="n">
        <x:v>45566</x:v>
      </x:c>
      <x:c r="E6057" s="9" t="n">
        <x:v>3726000</x:v>
      </x:c>
      <x:c r="F6057" s="9" t="n">
        <x:v>3726000</x:v>
      </x:c>
    </x:row>
    <x:row r="6058" ht="34" customHeight="1">
      <x:c r="A6058" s="4" t="str">
        <x:v>RS-03028-I1</x:v>
      </x:c>
      <x:c r="B6058" s="4" t="str">
        <x:v>RS-03028</x:v>
      </x:c>
      <x:c r="C6058" s="9" t="n">
        <x:v>1</x:v>
      </x:c>
      <x:c r="D6058" s="8" t="n">
        <x:v>45477</x:v>
      </x:c>
      <x:c r="E6058" s="9" t="n">
        <x:v>1140000</x:v>
      </x:c>
      <x:c r="F6058" s="9" t="n">
        <x:v>456000</x:v>
      </x:c>
    </x:row>
    <x:row r="6059" ht="34" customHeight="1">
      <x:c r="A6059" s="4" t="str">
        <x:v>RS-03028-I2</x:v>
      </x:c>
      <x:c r="B6059" s="4" t="str">
        <x:v>RS-03028</x:v>
      </x:c>
      <x:c r="C6059" s="9" t="n">
        <x:v>2</x:v>
      </x:c>
      <x:c r="D6059" s="8" t="n">
        <x:v>45507</x:v>
      </x:c>
      <x:c r="E6059" s="9" t="n">
        <x:v>1140000</x:v>
      </x:c>
      <x:c r="F6059" s="9" t="n">
        <x:v>0</x:v>
      </x:c>
    </x:row>
    <x:row r="6060" ht="34" customHeight="1">
      <x:c r="A6060" s="4" t="str">
        <x:v>RS-03028-I3</x:v>
      </x:c>
      <x:c r="B6060" s="4" t="str">
        <x:v>RS-03028</x:v>
      </x:c>
      <x:c r="C6060" s="9" t="n">
        <x:v>3</x:v>
      </x:c>
      <x:c r="D6060" s="8" t="n">
        <x:v>45537</x:v>
      </x:c>
      <x:c r="E6060" s="9" t="n">
        <x:v>1140000</x:v>
      </x:c>
      <x:c r="F6060" s="9" t="n">
        <x:v>0</x:v>
      </x:c>
    </x:row>
    <x:row r="6061" ht="34" customHeight="1">
      <x:c r="A6061" s="4" t="str">
        <x:v>RS-03028-I4</x:v>
      </x:c>
      <x:c r="B6061" s="4" t="str">
        <x:v>RS-03028</x:v>
      </x:c>
      <x:c r="C6061" s="9" t="n">
        <x:v>4</x:v>
      </x:c>
      <x:c r="D6061" s="8" t="n">
        <x:v>45567</x:v>
      </x:c>
      <x:c r="E6061" s="9" t="n">
        <x:v>1140000</x:v>
      </x:c>
      <x:c r="F6061" s="9" t="n">
        <x:v>0</x:v>
      </x:c>
    </x:row>
    <x:row r="6062" ht="34" customHeight="1">
      <x:c r="A6062" s="4" t="str">
        <x:v>RS-03029-I1</x:v>
      </x:c>
      <x:c r="B6062" s="4" t="str">
        <x:v>RS-03029</x:v>
      </x:c>
      <x:c r="C6062" s="9" t="n">
        <x:v>1</x:v>
      </x:c>
      <x:c r="D6062" s="8" t="n">
        <x:v>45478</x:v>
      </x:c>
      <x:c r="E6062" s="9" t="n">
        <x:v>4427750</x:v>
      </x:c>
      <x:c r="F6062" s="9" t="n">
        <x:v>1771100</x:v>
      </x:c>
    </x:row>
    <x:row r="6063" ht="34" customHeight="1">
      <x:c r="A6063" s="4" t="str">
        <x:v>RS-03029-I2</x:v>
      </x:c>
      <x:c r="B6063" s="4" t="str">
        <x:v>RS-03029</x:v>
      </x:c>
      <x:c r="C6063" s="9" t="n">
        <x:v>2</x:v>
      </x:c>
      <x:c r="D6063" s="8" t="n">
        <x:v>45508</x:v>
      </x:c>
      <x:c r="E6063" s="9" t="n">
        <x:v>4427750</x:v>
      </x:c>
      <x:c r="F6063" s="9" t="n">
        <x:v>0</x:v>
      </x:c>
    </x:row>
    <x:row r="6064" ht="34" customHeight="1">
      <x:c r="A6064" s="4" t="str">
        <x:v>RS-03029-I3</x:v>
      </x:c>
      <x:c r="B6064" s="4" t="str">
        <x:v>RS-03029</x:v>
      </x:c>
      <x:c r="C6064" s="9" t="n">
        <x:v>3</x:v>
      </x:c>
      <x:c r="D6064" s="8" t="n">
        <x:v>45538</x:v>
      </x:c>
      <x:c r="E6064" s="9" t="n">
        <x:v>4427750</x:v>
      </x:c>
      <x:c r="F6064" s="9" t="n">
        <x:v>0</x:v>
      </x:c>
    </x:row>
    <x:row r="6065" ht="34" customHeight="1">
      <x:c r="A6065" s="4" t="str">
        <x:v>RS-03029-I4</x:v>
      </x:c>
      <x:c r="B6065" s="4" t="str">
        <x:v>RS-03029</x:v>
      </x:c>
      <x:c r="C6065" s="9" t="n">
        <x:v>4</x:v>
      </x:c>
      <x:c r="D6065" s="8" t="n">
        <x:v>45568</x:v>
      </x:c>
      <x:c r="E6065" s="9" t="n">
        <x:v>4427750</x:v>
      </x:c>
      <x:c r="F6065" s="9" t="n">
        <x:v>0</x:v>
      </x:c>
    </x:row>
    <x:row r="6066" ht="34" customHeight="1">
      <x:c r="A6066" s="4" t="str">
        <x:v>RS-03032-I1</x:v>
      </x:c>
      <x:c r="B6066" s="4" t="str">
        <x:v>RS-03032</x:v>
      </x:c>
      <x:c r="C6066" s="9" t="n">
        <x:v>1</x:v>
      </x:c>
      <x:c r="D6066" s="8" t="n">
        <x:v>45481</x:v>
      </x:c>
      <x:c r="E6066" s="9" t="n">
        <x:v>3330000</x:v>
      </x:c>
      <x:c r="F6066" s="9" t="n">
        <x:v>3330000</x:v>
      </x:c>
    </x:row>
    <x:row r="6067" ht="34" customHeight="1">
      <x:c r="A6067" s="4" t="str">
        <x:v>RS-03032-I2</x:v>
      </x:c>
      <x:c r="B6067" s="4" t="str">
        <x:v>RS-03032</x:v>
      </x:c>
      <x:c r="C6067" s="9" t="n">
        <x:v>2</x:v>
      </x:c>
      <x:c r="D6067" s="8" t="n">
        <x:v>45511</x:v>
      </x:c>
      <x:c r="E6067" s="9" t="n">
        <x:v>3330000</x:v>
      </x:c>
      <x:c r="F6067" s="9" t="n">
        <x:v>3330000</x:v>
      </x:c>
    </x:row>
    <x:row r="6068" ht="34" customHeight="1">
      <x:c r="A6068" s="4" t="str">
        <x:v>RS-03032-I3</x:v>
      </x:c>
      <x:c r="B6068" s="4" t="str">
        <x:v>RS-03032</x:v>
      </x:c>
      <x:c r="C6068" s="9" t="n">
        <x:v>3</x:v>
      </x:c>
      <x:c r="D6068" s="8" t="n">
        <x:v>45541</x:v>
      </x:c>
      <x:c r="E6068" s="9" t="n">
        <x:v>3330000</x:v>
      </x:c>
      <x:c r="F6068" s="9" t="n">
        <x:v>0</x:v>
      </x:c>
    </x:row>
    <x:row r="6069" ht="34" customHeight="1">
      <x:c r="A6069" s="4" t="str">
        <x:v>RS-03032-I4</x:v>
      </x:c>
      <x:c r="B6069" s="4" t="str">
        <x:v>RS-03032</x:v>
      </x:c>
      <x:c r="C6069" s="9" t="n">
        <x:v>4</x:v>
      </x:c>
      <x:c r="D6069" s="8" t="n">
        <x:v>45571</x:v>
      </x:c>
      <x:c r="E6069" s="9" t="n">
        <x:v>3330000</x:v>
      </x:c>
      <x:c r="F6069" s="9" t="n">
        <x:v>0</x:v>
      </x:c>
    </x:row>
    <x:row r="6070" ht="34" customHeight="1">
      <x:c r="A6070" s="4" t="str">
        <x:v>RS-03033-I1</x:v>
      </x:c>
      <x:c r="B6070" s="4" t="str">
        <x:v>RS-03033</x:v>
      </x:c>
      <x:c r="C6070" s="9" t="n">
        <x:v>1</x:v>
      </x:c>
      <x:c r="D6070" s="8" t="n">
        <x:v>45482</x:v>
      </x:c>
      <x:c r="E6070" s="9" t="n">
        <x:v>1700000</x:v>
      </x:c>
      <x:c r="F6070" s="9" t="n">
        <x:v>1700000</x:v>
      </x:c>
    </x:row>
    <x:row r="6071" ht="34" customHeight="1">
      <x:c r="A6071" s="4" t="str">
        <x:v>RS-03033-I2</x:v>
      </x:c>
      <x:c r="B6071" s="4" t="str">
        <x:v>RS-03033</x:v>
      </x:c>
      <x:c r="C6071" s="9" t="n">
        <x:v>2</x:v>
      </x:c>
      <x:c r="D6071" s="8" t="n">
        <x:v>45512</x:v>
      </x:c>
      <x:c r="E6071" s="9" t="n">
        <x:v>1700000</x:v>
      </x:c>
      <x:c r="F6071" s="9" t="n">
        <x:v>0</x:v>
      </x:c>
    </x:row>
    <x:row r="6072" ht="34" customHeight="1">
      <x:c r="A6072" s="4" t="str">
        <x:v>RS-03033-I3</x:v>
      </x:c>
      <x:c r="B6072" s="4" t="str">
        <x:v>RS-03033</x:v>
      </x:c>
      <x:c r="C6072" s="9" t="n">
        <x:v>3</x:v>
      </x:c>
      <x:c r="D6072" s="8" t="n">
        <x:v>45542</x:v>
      </x:c>
      <x:c r="E6072" s="9" t="n">
        <x:v>1700000</x:v>
      </x:c>
      <x:c r="F6072" s="9" t="n">
        <x:v>0</x:v>
      </x:c>
    </x:row>
    <x:row r="6073" ht="34" customHeight="1">
      <x:c r="A6073" s="4" t="str">
        <x:v>RS-03033-I4</x:v>
      </x:c>
      <x:c r="B6073" s="4" t="str">
        <x:v>RS-03033</x:v>
      </x:c>
      <x:c r="C6073" s="9" t="n">
        <x:v>4</x:v>
      </x:c>
      <x:c r="D6073" s="8" t="n">
        <x:v>45572</x:v>
      </x:c>
      <x:c r="E6073" s="9" t="n">
        <x:v>1700000</x:v>
      </x:c>
      <x:c r="F6073" s="9" t="n">
        <x:v>0</x:v>
      </x:c>
    </x:row>
    <x:row r="6074" ht="34" customHeight="1">
      <x:c r="A6074" s="4" t="str">
        <x:v>RS-03034-I1</x:v>
      </x:c>
      <x:c r="B6074" s="4" t="str">
        <x:v>RS-03034</x:v>
      </x:c>
      <x:c r="C6074" s="9" t="n">
        <x:v>1</x:v>
      </x:c>
      <x:c r="D6074" s="8" t="n">
        <x:v>45483</x:v>
      </x:c>
      <x:c r="E6074" s="9" t="n">
        <x:v>5251000</x:v>
      </x:c>
      <x:c r="F6074" s="9" t="n">
        <x:v>5251000</x:v>
      </x:c>
    </x:row>
    <x:row r="6075" ht="34" customHeight="1">
      <x:c r="A6075" s="4" t="str">
        <x:v>RS-03034-I2</x:v>
      </x:c>
      <x:c r="B6075" s="4" t="str">
        <x:v>RS-03034</x:v>
      </x:c>
      <x:c r="C6075" s="9" t="n">
        <x:v>2</x:v>
      </x:c>
      <x:c r="D6075" s="8" t="n">
        <x:v>45513</x:v>
      </x:c>
      <x:c r="E6075" s="9" t="n">
        <x:v>5251000</x:v>
      </x:c>
      <x:c r="F6075" s="9" t="n">
        <x:v>5251000</x:v>
      </x:c>
    </x:row>
    <x:row r="6076" ht="34" customHeight="1">
      <x:c r="A6076" s="4" t="str">
        <x:v>RS-03034-I3</x:v>
      </x:c>
      <x:c r="B6076" s="4" t="str">
        <x:v>RS-03034</x:v>
      </x:c>
      <x:c r="C6076" s="9" t="n">
        <x:v>3</x:v>
      </x:c>
      <x:c r="D6076" s="8" t="n">
        <x:v>45543</x:v>
      </x:c>
      <x:c r="E6076" s="9" t="n">
        <x:v>5251000</x:v>
      </x:c>
      <x:c r="F6076" s="9" t="n">
        <x:v>0</x:v>
      </x:c>
    </x:row>
    <x:row r="6077" ht="34" customHeight="1">
      <x:c r="A6077" s="4" t="str">
        <x:v>RS-03034-I4</x:v>
      </x:c>
      <x:c r="B6077" s="4" t="str">
        <x:v>RS-03034</x:v>
      </x:c>
      <x:c r="C6077" s="9" t="n">
        <x:v>4</x:v>
      </x:c>
      <x:c r="D6077" s="8" t="n">
        <x:v>45573</x:v>
      </x:c>
      <x:c r="E6077" s="9" t="n">
        <x:v>5251000</x:v>
      </x:c>
      <x:c r="F6077" s="9" t="n">
        <x:v>0</x:v>
      </x:c>
    </x:row>
    <x:row r="6078" ht="34" customHeight="1">
      <x:c r="A6078" s="4" t="str">
        <x:v>RS-03036-I1</x:v>
      </x:c>
      <x:c r="B6078" s="4" t="str">
        <x:v>RS-03036</x:v>
      </x:c>
      <x:c r="C6078" s="9" t="n">
        <x:v>1</x:v>
      </x:c>
      <x:c r="D6078" s="8" t="n">
        <x:v>45485</x:v>
      </x:c>
      <x:c r="E6078" s="9" t="n">
        <x:v>1480500</x:v>
      </x:c>
      <x:c r="F6078" s="9" t="n">
        <x:v>592200</x:v>
      </x:c>
    </x:row>
    <x:row r="6079" ht="34" customHeight="1">
      <x:c r="A6079" s="4" t="str">
        <x:v>RS-03036-I2</x:v>
      </x:c>
      <x:c r="B6079" s="4" t="str">
        <x:v>RS-03036</x:v>
      </x:c>
      <x:c r="C6079" s="9" t="n">
        <x:v>2</x:v>
      </x:c>
      <x:c r="D6079" s="8" t="n">
        <x:v>45515</x:v>
      </x:c>
      <x:c r="E6079" s="9" t="n">
        <x:v>1480500</x:v>
      </x:c>
      <x:c r="F6079" s="9" t="n">
        <x:v>0</x:v>
      </x:c>
    </x:row>
    <x:row r="6080" ht="34" customHeight="1">
      <x:c r="A6080" s="4" t="str">
        <x:v>RS-03036-I3</x:v>
      </x:c>
      <x:c r="B6080" s="4" t="str">
        <x:v>RS-03036</x:v>
      </x:c>
      <x:c r="C6080" s="9" t="n">
        <x:v>3</x:v>
      </x:c>
      <x:c r="D6080" s="8" t="n">
        <x:v>45545</x:v>
      </x:c>
      <x:c r="E6080" s="9" t="n">
        <x:v>1480500</x:v>
      </x:c>
      <x:c r="F6080" s="9" t="n">
        <x:v>0</x:v>
      </x:c>
    </x:row>
    <x:row r="6081" ht="34" customHeight="1">
      <x:c r="A6081" s="4" t="str">
        <x:v>RS-03036-I4</x:v>
      </x:c>
      <x:c r="B6081" s="4" t="str">
        <x:v>RS-03036</x:v>
      </x:c>
      <x:c r="C6081" s="9" t="n">
        <x:v>4</x:v>
      </x:c>
      <x:c r="D6081" s="8" t="n">
        <x:v>45575</x:v>
      </x:c>
      <x:c r="E6081" s="9" t="n">
        <x:v>1480500</x:v>
      </x:c>
      <x:c r="F6081" s="9" t="n">
        <x:v>0</x:v>
      </x:c>
    </x:row>
    <x:row r="6082" ht="34" customHeight="1">
      <x:c r="A6082" s="4" t="str">
        <x:v>RS-03037-I1</x:v>
      </x:c>
      <x:c r="B6082" s="4" t="str">
        <x:v>RS-03037</x:v>
      </x:c>
      <x:c r="C6082" s="9" t="n">
        <x:v>1</x:v>
      </x:c>
      <x:c r="D6082" s="8" t="n">
        <x:v>45486</x:v>
      </x:c>
      <x:c r="E6082" s="9" t="n">
        <x:v>4972500</x:v>
      </x:c>
      <x:c r="F6082" s="9" t="n">
        <x:v>4972500</x:v>
      </x:c>
    </x:row>
    <x:row r="6083" ht="34" customHeight="1">
      <x:c r="A6083" s="4" t="str">
        <x:v>RS-03037-I2</x:v>
      </x:c>
      <x:c r="B6083" s="4" t="str">
        <x:v>RS-03037</x:v>
      </x:c>
      <x:c r="C6083" s="9" t="n">
        <x:v>2</x:v>
      </x:c>
      <x:c r="D6083" s="8" t="n">
        <x:v>45516</x:v>
      </x:c>
      <x:c r="E6083" s="9" t="n">
        <x:v>4972500</x:v>
      </x:c>
      <x:c r="F6083" s="9" t="n">
        <x:v>4972500</x:v>
      </x:c>
    </x:row>
    <x:row r="6084" ht="34" customHeight="1">
      <x:c r="A6084" s="4" t="str">
        <x:v>RS-03037-I3</x:v>
      </x:c>
      <x:c r="B6084" s="4" t="str">
        <x:v>RS-03037</x:v>
      </x:c>
      <x:c r="C6084" s="9" t="n">
        <x:v>3</x:v>
      </x:c>
      <x:c r="D6084" s="8" t="n">
        <x:v>45546</x:v>
      </x:c>
      <x:c r="E6084" s="9" t="n">
        <x:v>4972500</x:v>
      </x:c>
      <x:c r="F6084" s="9" t="n">
        <x:v>0</x:v>
      </x:c>
    </x:row>
    <x:row r="6085" ht="34" customHeight="1">
      <x:c r="A6085" s="4" t="str">
        <x:v>RS-03037-I4</x:v>
      </x:c>
      <x:c r="B6085" s="4" t="str">
        <x:v>RS-03037</x:v>
      </x:c>
      <x:c r="C6085" s="9" t="n">
        <x:v>4</x:v>
      </x:c>
      <x:c r="D6085" s="8" t="n">
        <x:v>45576</x:v>
      </x:c>
      <x:c r="E6085" s="9" t="n">
        <x:v>4972500</x:v>
      </x:c>
      <x:c r="F6085" s="9" t="n">
        <x:v>0</x:v>
      </x:c>
    </x:row>
    <x:row r="6086" ht="34" customHeight="1">
      <x:c r="A6086" s="4" t="str">
        <x:v>RS-03045-I1</x:v>
      </x:c>
      <x:c r="B6086" s="4" t="str">
        <x:v>RS-03045</x:v>
      </x:c>
      <x:c r="C6086" s="9" t="n">
        <x:v>1</x:v>
      </x:c>
      <x:c r="D6086" s="8" t="n">
        <x:v>45494</x:v>
      </x:c>
      <x:c r="E6086" s="9" t="n">
        <x:v>3696750</x:v>
      </x:c>
      <x:c r="F6086" s="9" t="n">
        <x:v>3696750</x:v>
      </x:c>
    </x:row>
    <x:row r="6087" ht="34" customHeight="1">
      <x:c r="A6087" s="4" t="str">
        <x:v>RS-03045-I2</x:v>
      </x:c>
      <x:c r="B6087" s="4" t="str">
        <x:v>RS-03045</x:v>
      </x:c>
      <x:c r="C6087" s="9" t="n">
        <x:v>2</x:v>
      </x:c>
      <x:c r="D6087" s="8" t="n">
        <x:v>45524</x:v>
      </x:c>
      <x:c r="E6087" s="9" t="n">
        <x:v>3696750</x:v>
      </x:c>
      <x:c r="F6087" s="9" t="n">
        <x:v>3696750</x:v>
      </x:c>
    </x:row>
    <x:row r="6088" ht="34" customHeight="1">
      <x:c r="A6088" s="4" t="str">
        <x:v>RS-03045-I3</x:v>
      </x:c>
      <x:c r="B6088" s="4" t="str">
        <x:v>RS-03045</x:v>
      </x:c>
      <x:c r="C6088" s="9" t="n">
        <x:v>3</x:v>
      </x:c>
      <x:c r="D6088" s="8" t="n">
        <x:v>45554</x:v>
      </x:c>
      <x:c r="E6088" s="9" t="n">
        <x:v>3696750</x:v>
      </x:c>
      <x:c r="F6088" s="9" t="n">
        <x:v>0</x:v>
      </x:c>
    </x:row>
    <x:row r="6089" ht="34" customHeight="1">
      <x:c r="A6089" s="4" t="str">
        <x:v>RS-03045-I4</x:v>
      </x:c>
      <x:c r="B6089" s="4" t="str">
        <x:v>RS-03045</x:v>
      </x:c>
      <x:c r="C6089" s="9" t="n">
        <x:v>4</x:v>
      </x:c>
      <x:c r="D6089" s="8" t="n">
        <x:v>45584</x:v>
      </x:c>
      <x:c r="E6089" s="9" t="n">
        <x:v>3696750</x:v>
      </x:c>
      <x:c r="F6089" s="9" t="n">
        <x:v>0</x:v>
      </x:c>
    </x:row>
    <x:row r="6090" ht="34" customHeight="1">
      <x:c r="A6090" s="4" t="str">
        <x:v>RS-03048-I1</x:v>
      </x:c>
      <x:c r="B6090" s="4" t="str">
        <x:v>RS-03048</x:v>
      </x:c>
      <x:c r="C6090" s="9" t="n">
        <x:v>1</x:v>
      </x:c>
      <x:c r="D6090" s="8" t="n">
        <x:v>45497</x:v>
      </x:c>
      <x:c r="E6090" s="9" t="n">
        <x:v>1638750</x:v>
      </x:c>
      <x:c r="F6090" s="9" t="n">
        <x:v>1638750</x:v>
      </x:c>
    </x:row>
    <x:row r="6091" ht="34" customHeight="1">
      <x:c r="A6091" s="4" t="str">
        <x:v>RS-03048-I2</x:v>
      </x:c>
      <x:c r="B6091" s="4" t="str">
        <x:v>RS-03048</x:v>
      </x:c>
      <x:c r="C6091" s="9" t="n">
        <x:v>2</x:v>
      </x:c>
      <x:c r="D6091" s="8" t="n">
        <x:v>45527</x:v>
      </x:c>
      <x:c r="E6091" s="9" t="n">
        <x:v>1638750</x:v>
      </x:c>
      <x:c r="F6091" s="9" t="n">
        <x:v>1638750</x:v>
      </x:c>
    </x:row>
    <x:row r="6092" ht="34" customHeight="1">
      <x:c r="A6092" s="4" t="str">
        <x:v>RS-03048-I3</x:v>
      </x:c>
      <x:c r="B6092" s="4" t="str">
        <x:v>RS-03048</x:v>
      </x:c>
      <x:c r="C6092" s="9" t="n">
        <x:v>3</x:v>
      </x:c>
      <x:c r="D6092" s="8" t="n">
        <x:v>45557</x:v>
      </x:c>
      <x:c r="E6092" s="9" t="n">
        <x:v>1638750</x:v>
      </x:c>
      <x:c r="F6092" s="9" t="n">
        <x:v>1638750</x:v>
      </x:c>
    </x:row>
    <x:row r="6093" ht="34" customHeight="1">
      <x:c r="A6093" s="4" t="str">
        <x:v>RS-03048-I4</x:v>
      </x:c>
      <x:c r="B6093" s="4" t="str">
        <x:v>RS-03048</x:v>
      </x:c>
      <x:c r="C6093" s="9" t="n">
        <x:v>4</x:v>
      </x:c>
      <x:c r="D6093" s="8" t="n">
        <x:v>45587</x:v>
      </x:c>
      <x:c r="E6093" s="9" t="n">
        <x:v>1638750</x:v>
      </x:c>
      <x:c r="F6093" s="9" t="n">
        <x:v>1638750</x:v>
      </x:c>
    </x:row>
    <x:row r="6094" ht="34" customHeight="1">
      <x:c r="A6094" s="4" t="str">
        <x:v>RS-03051-I1</x:v>
      </x:c>
      <x:c r="B6094" s="4" t="str">
        <x:v>RS-03051</x:v>
      </x:c>
      <x:c r="C6094" s="9" t="n">
        <x:v>1</x:v>
      </x:c>
      <x:c r="D6094" s="8" t="n">
        <x:v>45500</x:v>
      </x:c>
      <x:c r="E6094" s="9" t="n">
        <x:v>4995500</x:v>
      </x:c>
      <x:c r="F6094" s="9" t="n">
        <x:v>4995500</x:v>
      </x:c>
    </x:row>
    <x:row r="6095" ht="34" customHeight="1">
      <x:c r="A6095" s="4" t="str">
        <x:v>RS-03051-I2</x:v>
      </x:c>
      <x:c r="B6095" s="4" t="str">
        <x:v>RS-03051</x:v>
      </x:c>
      <x:c r="C6095" s="9" t="n">
        <x:v>2</x:v>
      </x:c>
      <x:c r="D6095" s="8" t="n">
        <x:v>45530</x:v>
      </x:c>
      <x:c r="E6095" s="9" t="n">
        <x:v>4995500</x:v>
      </x:c>
      <x:c r="F6095" s="9" t="n">
        <x:v>4995500</x:v>
      </x:c>
    </x:row>
    <x:row r="6096" ht="34" customHeight="1">
      <x:c r="A6096" s="4" t="str">
        <x:v>RS-03051-I3</x:v>
      </x:c>
      <x:c r="B6096" s="4" t="str">
        <x:v>RS-03051</x:v>
      </x:c>
      <x:c r="C6096" s="9" t="n">
        <x:v>3</x:v>
      </x:c>
      <x:c r="D6096" s="8" t="n">
        <x:v>45560</x:v>
      </x:c>
      <x:c r="E6096" s="9" t="n">
        <x:v>4995500</x:v>
      </x:c>
      <x:c r="F6096" s="9" t="n">
        <x:v>4995500</x:v>
      </x:c>
    </x:row>
    <x:row r="6097" ht="34" customHeight="1">
      <x:c r="A6097" s="4" t="str">
        <x:v>RS-03051-I4</x:v>
      </x:c>
      <x:c r="B6097" s="4" t="str">
        <x:v>RS-03051</x:v>
      </x:c>
      <x:c r="C6097" s="9" t="n">
        <x:v>4</x:v>
      </x:c>
      <x:c r="D6097" s="8" t="n">
        <x:v>45590</x:v>
      </x:c>
      <x:c r="E6097" s="9" t="n">
        <x:v>4995500</x:v>
      </x:c>
      <x:c r="F6097" s="9" t="n">
        <x:v>4995500</x:v>
      </x:c>
    </x:row>
    <x:row r="6098" ht="34" customHeight="1">
      <x:c r="A6098" s="4" t="str">
        <x:v>RS-03052-I1</x:v>
      </x:c>
      <x:c r="B6098" s="4" t="str">
        <x:v>RS-03052</x:v>
      </x:c>
      <x:c r="C6098" s="9" t="n">
        <x:v>1</x:v>
      </x:c>
      <x:c r="D6098" s="8" t="n">
        <x:v>45501</x:v>
      </x:c>
      <x:c r="E6098" s="9" t="n">
        <x:v>4655000</x:v>
      </x:c>
      <x:c r="F6098" s="9" t="n">
        <x:v>4655000</x:v>
      </x:c>
    </x:row>
    <x:row r="6099" ht="34" customHeight="1">
      <x:c r="A6099" s="4" t="str">
        <x:v>RS-03052-I2</x:v>
      </x:c>
      <x:c r="B6099" s="4" t="str">
        <x:v>RS-03052</x:v>
      </x:c>
      <x:c r="C6099" s="9" t="n">
        <x:v>2</x:v>
      </x:c>
      <x:c r="D6099" s="8" t="n">
        <x:v>45531</x:v>
      </x:c>
      <x:c r="E6099" s="9" t="n">
        <x:v>4655000</x:v>
      </x:c>
      <x:c r="F6099" s="9" t="n">
        <x:v>4655000</x:v>
      </x:c>
    </x:row>
    <x:row r="6100" ht="34" customHeight="1">
      <x:c r="A6100" s="4" t="str">
        <x:v>RS-03052-I3</x:v>
      </x:c>
      <x:c r="B6100" s="4" t="str">
        <x:v>RS-03052</x:v>
      </x:c>
      <x:c r="C6100" s="9" t="n">
        <x:v>3</x:v>
      </x:c>
      <x:c r="D6100" s="8" t="n">
        <x:v>45561</x:v>
      </x:c>
      <x:c r="E6100" s="9" t="n">
        <x:v>4655000</x:v>
      </x:c>
      <x:c r="F6100" s="9" t="n">
        <x:v>0</x:v>
      </x:c>
    </x:row>
    <x:row r="6101" ht="34" customHeight="1">
      <x:c r="A6101" s="4" t="str">
        <x:v>RS-03052-I4</x:v>
      </x:c>
      <x:c r="B6101" s="4" t="str">
        <x:v>RS-03052</x:v>
      </x:c>
      <x:c r="C6101" s="9" t="n">
        <x:v>4</x:v>
      </x:c>
      <x:c r="D6101" s="8" t="n">
        <x:v>45591</x:v>
      </x:c>
      <x:c r="E6101" s="9" t="n">
        <x:v>4655000</x:v>
      </x:c>
      <x:c r="F6101" s="9" t="n">
        <x:v>0</x:v>
      </x:c>
    </x:row>
    <x:row r="6102" ht="34" customHeight="1">
      <x:c r="A6102" s="4" t="str">
        <x:v>RS-03055-I1</x:v>
      </x:c>
      <x:c r="B6102" s="4" t="str">
        <x:v>RS-03055</x:v>
      </x:c>
      <x:c r="C6102" s="9" t="n">
        <x:v>1</x:v>
      </x:c>
      <x:c r="D6102" s="8" t="n">
        <x:v>45476</x:v>
      </x:c>
      <x:c r="E6102" s="9" t="n">
        <x:v>3638250</x:v>
      </x:c>
      <x:c r="F6102" s="9" t="n">
        <x:v>3638250</x:v>
      </x:c>
    </x:row>
    <x:row r="6103" ht="34" customHeight="1">
      <x:c r="A6103" s="4" t="str">
        <x:v>RS-03055-I2</x:v>
      </x:c>
      <x:c r="B6103" s="4" t="str">
        <x:v>RS-03055</x:v>
      </x:c>
      <x:c r="C6103" s="9" t="n">
        <x:v>2</x:v>
      </x:c>
      <x:c r="D6103" s="8" t="n">
        <x:v>45506</x:v>
      </x:c>
      <x:c r="E6103" s="9" t="n">
        <x:v>3638250</x:v>
      </x:c>
      <x:c r="F6103" s="9" t="n">
        <x:v>3638250</x:v>
      </x:c>
    </x:row>
    <x:row r="6104" ht="34" customHeight="1">
      <x:c r="A6104" s="4" t="str">
        <x:v>RS-03055-I3</x:v>
      </x:c>
      <x:c r="B6104" s="4" t="str">
        <x:v>RS-03055</x:v>
      </x:c>
      <x:c r="C6104" s="9" t="n">
        <x:v>3</x:v>
      </x:c>
      <x:c r="D6104" s="8" t="n">
        <x:v>45536</x:v>
      </x:c>
      <x:c r="E6104" s="9" t="n">
        <x:v>3638250</x:v>
      </x:c>
      <x:c r="F6104" s="9" t="n">
        <x:v>3638250</x:v>
      </x:c>
    </x:row>
    <x:row r="6105" ht="34" customHeight="1">
      <x:c r="A6105" s="4" t="str">
        <x:v>RS-03055-I4</x:v>
      </x:c>
      <x:c r="B6105" s="4" t="str">
        <x:v>RS-03055</x:v>
      </x:c>
      <x:c r="C6105" s="9" t="n">
        <x:v>4</x:v>
      </x:c>
      <x:c r="D6105" s="8" t="n">
        <x:v>45566</x:v>
      </x:c>
      <x:c r="E6105" s="9" t="n">
        <x:v>3638250</x:v>
      </x:c>
      <x:c r="F6105" s="9" t="n">
        <x:v>3638250</x:v>
      </x:c>
    </x:row>
    <x:row r="6106" ht="34" customHeight="1">
      <x:c r="A6106" s="4" t="str">
        <x:v>RS-03057-I1</x:v>
      </x:c>
      <x:c r="B6106" s="4" t="str">
        <x:v>RS-03057</x:v>
      </x:c>
      <x:c r="C6106" s="9" t="n">
        <x:v>1</x:v>
      </x:c>
      <x:c r="D6106" s="8" t="n">
        <x:v>45478</x:v>
      </x:c>
      <x:c r="E6106" s="9" t="n">
        <x:v>5150000</x:v>
      </x:c>
      <x:c r="F6106" s="9" t="n">
        <x:v>5150000</x:v>
      </x:c>
    </x:row>
    <x:row r="6107" ht="34" customHeight="1">
      <x:c r="A6107" s="4" t="str">
        <x:v>RS-03057-I2</x:v>
      </x:c>
      <x:c r="B6107" s="4" t="str">
        <x:v>RS-03057</x:v>
      </x:c>
      <x:c r="C6107" s="9" t="n">
        <x:v>2</x:v>
      </x:c>
      <x:c r="D6107" s="8" t="n">
        <x:v>45508</x:v>
      </x:c>
      <x:c r="E6107" s="9" t="n">
        <x:v>5150000</x:v>
      </x:c>
      <x:c r="F6107" s="9" t="n">
        <x:v>5150000</x:v>
      </x:c>
    </x:row>
    <x:row r="6108" ht="34" customHeight="1">
      <x:c r="A6108" s="4" t="str">
        <x:v>RS-03057-I3</x:v>
      </x:c>
      <x:c r="B6108" s="4" t="str">
        <x:v>RS-03057</x:v>
      </x:c>
      <x:c r="C6108" s="9" t="n">
        <x:v>3</x:v>
      </x:c>
      <x:c r="D6108" s="8" t="n">
        <x:v>45538</x:v>
      </x:c>
      <x:c r="E6108" s="9" t="n">
        <x:v>5150000</x:v>
      </x:c>
      <x:c r="F6108" s="9" t="n">
        <x:v>5150000</x:v>
      </x:c>
    </x:row>
    <x:row r="6109" ht="34" customHeight="1">
      <x:c r="A6109" s="4" t="str">
        <x:v>RS-03057-I4</x:v>
      </x:c>
      <x:c r="B6109" s="4" t="str">
        <x:v>RS-03057</x:v>
      </x:c>
      <x:c r="C6109" s="9" t="n">
        <x:v>4</x:v>
      </x:c>
      <x:c r="D6109" s="8" t="n">
        <x:v>45568</x:v>
      </x:c>
      <x:c r="E6109" s="9" t="n">
        <x:v>5150000</x:v>
      </x:c>
      <x:c r="F6109" s="9" t="n">
        <x:v>5150000</x:v>
      </x:c>
    </x:row>
    <x:row r="6110" ht="34" customHeight="1">
      <x:c r="A6110" s="4" t="str">
        <x:v>RS-03059-I1</x:v>
      </x:c>
      <x:c r="B6110" s="4" t="str">
        <x:v>RS-03059</x:v>
      </x:c>
      <x:c r="C6110" s="9" t="n">
        <x:v>1</x:v>
      </x:c>
      <x:c r="D6110" s="8" t="n">
        <x:v>45480</x:v>
      </x:c>
      <x:c r="E6110" s="9" t="n">
        <x:v>1883250</x:v>
      </x:c>
      <x:c r="F6110" s="9" t="n">
        <x:v>1883250</x:v>
      </x:c>
    </x:row>
    <x:row r="6111" ht="34" customHeight="1">
      <x:c r="A6111" s="4" t="str">
        <x:v>RS-03059-I2</x:v>
      </x:c>
      <x:c r="B6111" s="4" t="str">
        <x:v>RS-03059</x:v>
      </x:c>
      <x:c r="C6111" s="9" t="n">
        <x:v>2</x:v>
      </x:c>
      <x:c r="D6111" s="8" t="n">
        <x:v>45510</x:v>
      </x:c>
      <x:c r="E6111" s="9" t="n">
        <x:v>1883250</x:v>
      </x:c>
      <x:c r="F6111" s="9" t="n">
        <x:v>1883250</x:v>
      </x:c>
    </x:row>
    <x:row r="6112" ht="34" customHeight="1">
      <x:c r="A6112" s="4" t="str">
        <x:v>RS-03059-I3</x:v>
      </x:c>
      <x:c r="B6112" s="4" t="str">
        <x:v>RS-03059</x:v>
      </x:c>
      <x:c r="C6112" s="9" t="n">
        <x:v>3</x:v>
      </x:c>
      <x:c r="D6112" s="8" t="n">
        <x:v>45540</x:v>
      </x:c>
      <x:c r="E6112" s="9" t="n">
        <x:v>1883250</x:v>
      </x:c>
      <x:c r="F6112" s="9" t="n">
        <x:v>0</x:v>
      </x:c>
    </x:row>
    <x:row r="6113" ht="34" customHeight="1">
      <x:c r="A6113" s="4" t="str">
        <x:v>RS-03059-I4</x:v>
      </x:c>
      <x:c r="B6113" s="4" t="str">
        <x:v>RS-03059</x:v>
      </x:c>
      <x:c r="C6113" s="9" t="n">
        <x:v>4</x:v>
      </x:c>
      <x:c r="D6113" s="8" t="n">
        <x:v>45570</x:v>
      </x:c>
      <x:c r="E6113" s="9" t="n">
        <x:v>1883250</x:v>
      </x:c>
      <x:c r="F6113" s="9" t="n">
        <x:v>0</x:v>
      </x:c>
    </x:row>
    <x:row r="6114" ht="34" customHeight="1">
      <x:c r="A6114" s="4" t="str">
        <x:v>RS-03060-I1</x:v>
      </x:c>
      <x:c r="B6114" s="4" t="str">
        <x:v>RS-03060</x:v>
      </x:c>
      <x:c r="C6114" s="9" t="n">
        <x:v>1</x:v>
      </x:c>
      <x:c r="D6114" s="8" t="n">
        <x:v>45481</x:v>
      </x:c>
      <x:c r="E6114" s="9" t="n">
        <x:v>5381500</x:v>
      </x:c>
      <x:c r="F6114" s="9" t="n">
        <x:v>5381500</x:v>
      </x:c>
    </x:row>
    <x:row r="6115" ht="34" customHeight="1">
      <x:c r="A6115" s="4" t="str">
        <x:v>RS-03060-I2</x:v>
      </x:c>
      <x:c r="B6115" s="4" t="str">
        <x:v>RS-03060</x:v>
      </x:c>
      <x:c r="C6115" s="9" t="n">
        <x:v>2</x:v>
      </x:c>
      <x:c r="D6115" s="8" t="n">
        <x:v>45511</x:v>
      </x:c>
      <x:c r="E6115" s="9" t="n">
        <x:v>5381500</x:v>
      </x:c>
      <x:c r="F6115" s="9" t="n">
        <x:v>5381500</x:v>
      </x:c>
    </x:row>
    <x:row r="6116" ht="34" customHeight="1">
      <x:c r="A6116" s="4" t="str">
        <x:v>RS-03060-I3</x:v>
      </x:c>
      <x:c r="B6116" s="4" t="str">
        <x:v>RS-03060</x:v>
      </x:c>
      <x:c r="C6116" s="9" t="n">
        <x:v>3</x:v>
      </x:c>
      <x:c r="D6116" s="8" t="n">
        <x:v>45541</x:v>
      </x:c>
      <x:c r="E6116" s="9" t="n">
        <x:v>5381500</x:v>
      </x:c>
      <x:c r="F6116" s="9" t="n">
        <x:v>5381500</x:v>
      </x:c>
    </x:row>
    <x:row r="6117" ht="34" customHeight="1">
      <x:c r="A6117" s="4" t="str">
        <x:v>RS-03060-I4</x:v>
      </x:c>
      <x:c r="B6117" s="4" t="str">
        <x:v>RS-03060</x:v>
      </x:c>
      <x:c r="C6117" s="9" t="n">
        <x:v>4</x:v>
      </x:c>
      <x:c r="D6117" s="8" t="n">
        <x:v>45571</x:v>
      </x:c>
      <x:c r="E6117" s="9" t="n">
        <x:v>5381500</x:v>
      </x:c>
      <x:c r="F6117" s="9" t="n">
        <x:v>5381500</x:v>
      </x:c>
    </x:row>
    <x:row r="6118" ht="34" customHeight="1">
      <x:c r="A6118" s="4" t="str">
        <x:v>RS-03063-I1</x:v>
      </x:c>
      <x:c r="B6118" s="4" t="str">
        <x:v>RS-03063</x:v>
      </x:c>
      <x:c r="C6118" s="9" t="n">
        <x:v>1</x:v>
      </x:c>
      <x:c r="D6118" s="8" t="n">
        <x:v>45484</x:v>
      </x:c>
      <x:c r="E6118" s="9" t="n">
        <x:v>4018000</x:v>
      </x:c>
      <x:c r="F6118" s="9" t="n">
        <x:v>4018000</x:v>
      </x:c>
    </x:row>
    <x:row r="6119" ht="34" customHeight="1">
      <x:c r="A6119" s="4" t="str">
        <x:v>RS-03063-I2</x:v>
      </x:c>
      <x:c r="B6119" s="4" t="str">
        <x:v>RS-03063</x:v>
      </x:c>
      <x:c r="C6119" s="9" t="n">
        <x:v>2</x:v>
      </x:c>
      <x:c r="D6119" s="8" t="n">
        <x:v>45514</x:v>
      </x:c>
      <x:c r="E6119" s="9" t="n">
        <x:v>4018000</x:v>
      </x:c>
      <x:c r="F6119" s="9" t="n">
        <x:v>4018000</x:v>
      </x:c>
    </x:row>
    <x:row r="6120" ht="34" customHeight="1">
      <x:c r="A6120" s="4" t="str">
        <x:v>RS-03063-I3</x:v>
      </x:c>
      <x:c r="B6120" s="4" t="str">
        <x:v>RS-03063</x:v>
      </x:c>
      <x:c r="C6120" s="9" t="n">
        <x:v>3</x:v>
      </x:c>
      <x:c r="D6120" s="8" t="n">
        <x:v>45544</x:v>
      </x:c>
      <x:c r="E6120" s="9" t="n">
        <x:v>4018000</x:v>
      </x:c>
      <x:c r="F6120" s="9" t="n">
        <x:v>4018000</x:v>
      </x:c>
    </x:row>
    <x:row r="6121" ht="34" customHeight="1">
      <x:c r="A6121" s="4" t="str">
        <x:v>RS-03063-I4</x:v>
      </x:c>
      <x:c r="B6121" s="4" t="str">
        <x:v>RS-03063</x:v>
      </x:c>
      <x:c r="C6121" s="9" t="n">
        <x:v>4</x:v>
      </x:c>
      <x:c r="D6121" s="8" t="n">
        <x:v>45574</x:v>
      </x:c>
      <x:c r="E6121" s="9" t="n">
        <x:v>4018000</x:v>
      </x:c>
      <x:c r="F6121" s="9" t="n">
        <x:v>4018000</x:v>
      </x:c>
    </x:row>
    <x:row r="6122" ht="34" customHeight="1">
      <x:c r="A6122" s="4" t="str">
        <x:v>RS-03064-I1</x:v>
      </x:c>
      <x:c r="B6122" s="4" t="str">
        <x:v>RS-03064</x:v>
      </x:c>
      <x:c r="C6122" s="9" t="n">
        <x:v>1</x:v>
      </x:c>
      <x:c r="D6122" s="8" t="n">
        <x:v>45485</x:v>
      </x:c>
      <x:c r="E6122" s="9" t="n">
        <x:v>5904000</x:v>
      </x:c>
      <x:c r="F6122" s="9" t="n">
        <x:v>2361600</x:v>
      </x:c>
    </x:row>
    <x:row r="6123" ht="34" customHeight="1">
      <x:c r="A6123" s="4" t="str">
        <x:v>RS-03064-I2</x:v>
      </x:c>
      <x:c r="B6123" s="4" t="str">
        <x:v>RS-03064</x:v>
      </x:c>
      <x:c r="C6123" s="9" t="n">
        <x:v>2</x:v>
      </x:c>
      <x:c r="D6123" s="8" t="n">
        <x:v>45515</x:v>
      </x:c>
      <x:c r="E6123" s="9" t="n">
        <x:v>5904000</x:v>
      </x:c>
      <x:c r="F6123" s="9" t="n">
        <x:v>0</x:v>
      </x:c>
    </x:row>
    <x:row r="6124" ht="34" customHeight="1">
      <x:c r="A6124" s="4" t="str">
        <x:v>RS-03064-I3</x:v>
      </x:c>
      <x:c r="B6124" s="4" t="str">
        <x:v>RS-03064</x:v>
      </x:c>
      <x:c r="C6124" s="9" t="n">
        <x:v>3</x:v>
      </x:c>
      <x:c r="D6124" s="8" t="n">
        <x:v>45545</x:v>
      </x:c>
      <x:c r="E6124" s="9" t="n">
        <x:v>5904000</x:v>
      </x:c>
      <x:c r="F6124" s="9" t="n">
        <x:v>0</x:v>
      </x:c>
    </x:row>
    <x:row r="6125" ht="34" customHeight="1">
      <x:c r="A6125" s="4" t="str">
        <x:v>RS-03064-I4</x:v>
      </x:c>
      <x:c r="B6125" s="4" t="str">
        <x:v>RS-03064</x:v>
      </x:c>
      <x:c r="C6125" s="9" t="n">
        <x:v>4</x:v>
      </x:c>
      <x:c r="D6125" s="8" t="n">
        <x:v>45575</x:v>
      </x:c>
      <x:c r="E6125" s="9" t="n">
        <x:v>5904000</x:v>
      </x:c>
      <x:c r="F6125" s="9" t="n">
        <x:v>0</x:v>
      </x:c>
    </x:row>
    <x:row r="6126" ht="34" customHeight="1">
      <x:c r="A6126" s="4" t="str">
        <x:v>RS-03065-I1</x:v>
      </x:c>
      <x:c r="B6126" s="4" t="str">
        <x:v>RS-03065</x:v>
      </x:c>
      <x:c r="C6126" s="9" t="n">
        <x:v>1</x:v>
      </x:c>
      <x:c r="D6126" s="8" t="n">
        <x:v>45486</x:v>
      </x:c>
      <x:c r="E6126" s="9" t="n">
        <x:v>925000</x:v>
      </x:c>
      <x:c r="F6126" s="9" t="n">
        <x:v>925000</x:v>
      </x:c>
    </x:row>
    <x:row r="6127" ht="34" customHeight="1">
      <x:c r="A6127" s="4" t="str">
        <x:v>RS-03065-I2</x:v>
      </x:c>
      <x:c r="B6127" s="4" t="str">
        <x:v>RS-03065</x:v>
      </x:c>
      <x:c r="C6127" s="9" t="n">
        <x:v>2</x:v>
      </x:c>
      <x:c r="D6127" s="8" t="n">
        <x:v>45516</x:v>
      </x:c>
      <x:c r="E6127" s="9" t="n">
        <x:v>925000</x:v>
      </x:c>
      <x:c r="F6127" s="9" t="n">
        <x:v>0</x:v>
      </x:c>
    </x:row>
    <x:row r="6128" ht="34" customHeight="1">
      <x:c r="A6128" s="4" t="str">
        <x:v>RS-03065-I3</x:v>
      </x:c>
      <x:c r="B6128" s="4" t="str">
        <x:v>RS-03065</x:v>
      </x:c>
      <x:c r="C6128" s="9" t="n">
        <x:v>3</x:v>
      </x:c>
      <x:c r="D6128" s="8" t="n">
        <x:v>45546</x:v>
      </x:c>
      <x:c r="E6128" s="9" t="n">
        <x:v>925000</x:v>
      </x:c>
      <x:c r="F6128" s="9" t="n">
        <x:v>0</x:v>
      </x:c>
    </x:row>
    <x:row r="6129" ht="34" customHeight="1">
      <x:c r="A6129" s="4" t="str">
        <x:v>RS-03065-I4</x:v>
      </x:c>
      <x:c r="B6129" s="4" t="str">
        <x:v>RS-03065</x:v>
      </x:c>
      <x:c r="C6129" s="9" t="n">
        <x:v>4</x:v>
      </x:c>
      <x:c r="D6129" s="8" t="n">
        <x:v>45576</x:v>
      </x:c>
      <x:c r="E6129" s="9" t="n">
        <x:v>925000</x:v>
      </x:c>
      <x:c r="F6129" s="9" t="n">
        <x:v>0</x:v>
      </x:c>
    </x:row>
    <x:row r="6130" ht="34" customHeight="1">
      <x:c r="A6130" s="4" t="str">
        <x:v>RS-03066-I1</x:v>
      </x:c>
      <x:c r="B6130" s="4" t="str">
        <x:v>RS-03066</x:v>
      </x:c>
      <x:c r="C6130" s="9" t="n">
        <x:v>1</x:v>
      </x:c>
      <x:c r="D6130" s="8" t="n">
        <x:v>45487</x:v>
      </x:c>
      <x:c r="E6130" s="9" t="n">
        <x:v>3216000</x:v>
      </x:c>
      <x:c r="F6130" s="9" t="n">
        <x:v>3216000</x:v>
      </x:c>
    </x:row>
    <x:row r="6131" ht="34" customHeight="1">
      <x:c r="A6131" s="4" t="str">
        <x:v>RS-03066-I2</x:v>
      </x:c>
      <x:c r="B6131" s="4" t="str">
        <x:v>RS-03066</x:v>
      </x:c>
      <x:c r="C6131" s="9" t="n">
        <x:v>2</x:v>
      </x:c>
      <x:c r="D6131" s="8" t="n">
        <x:v>45517</x:v>
      </x:c>
      <x:c r="E6131" s="9" t="n">
        <x:v>3216000</x:v>
      </x:c>
      <x:c r="F6131" s="9" t="n">
        <x:v>3216000</x:v>
      </x:c>
    </x:row>
    <x:row r="6132" ht="34" customHeight="1">
      <x:c r="A6132" s="4" t="str">
        <x:v>RS-03066-I3</x:v>
      </x:c>
      <x:c r="B6132" s="4" t="str">
        <x:v>RS-03066</x:v>
      </x:c>
      <x:c r="C6132" s="9" t="n">
        <x:v>3</x:v>
      </x:c>
      <x:c r="D6132" s="8" t="n">
        <x:v>45547</x:v>
      </x:c>
      <x:c r="E6132" s="9" t="n">
        <x:v>3216000</x:v>
      </x:c>
      <x:c r="F6132" s="9" t="n">
        <x:v>0</x:v>
      </x:c>
    </x:row>
    <x:row r="6133" ht="34" customHeight="1">
      <x:c r="A6133" s="4" t="str">
        <x:v>RS-03066-I4</x:v>
      </x:c>
      <x:c r="B6133" s="4" t="str">
        <x:v>RS-03066</x:v>
      </x:c>
      <x:c r="C6133" s="9" t="n">
        <x:v>4</x:v>
      </x:c>
      <x:c r="D6133" s="8" t="n">
        <x:v>45577</x:v>
      </x:c>
      <x:c r="E6133" s="9" t="n">
        <x:v>3216000</x:v>
      </x:c>
      <x:c r="F6133" s="9" t="n">
        <x:v>0</x:v>
      </x:c>
    </x:row>
    <x:row r="6134" ht="34" customHeight="1">
      <x:c r="A6134" s="4" t="str">
        <x:v>RS-03068-I1</x:v>
      </x:c>
      <x:c r="B6134" s="4" t="str">
        <x:v>RS-03068</x:v>
      </x:c>
      <x:c r="C6134" s="9" t="n">
        <x:v>1</x:v>
      </x:c>
      <x:c r="D6134" s="8" t="n">
        <x:v>45489</x:v>
      </x:c>
      <x:c r="E6134" s="9" t="n">
        <x:v>3136000</x:v>
      </x:c>
      <x:c r="F6134" s="9" t="n">
        <x:v>1254400</x:v>
      </x:c>
    </x:row>
    <x:row r="6135" ht="34" customHeight="1">
      <x:c r="A6135" s="4" t="str">
        <x:v>RS-03068-I2</x:v>
      </x:c>
      <x:c r="B6135" s="4" t="str">
        <x:v>RS-03068</x:v>
      </x:c>
      <x:c r="C6135" s="9" t="n">
        <x:v>2</x:v>
      </x:c>
      <x:c r="D6135" s="8" t="n">
        <x:v>45519</x:v>
      </x:c>
      <x:c r="E6135" s="9" t="n">
        <x:v>3136000</x:v>
      </x:c>
      <x:c r="F6135" s="9" t="n">
        <x:v>0</x:v>
      </x:c>
    </x:row>
    <x:row r="6136" ht="34" customHeight="1">
      <x:c r="A6136" s="4" t="str">
        <x:v>RS-03068-I3</x:v>
      </x:c>
      <x:c r="B6136" s="4" t="str">
        <x:v>RS-03068</x:v>
      </x:c>
      <x:c r="C6136" s="9" t="n">
        <x:v>3</x:v>
      </x:c>
      <x:c r="D6136" s="8" t="n">
        <x:v>45549</x:v>
      </x:c>
      <x:c r="E6136" s="9" t="n">
        <x:v>3136000</x:v>
      </x:c>
      <x:c r="F6136" s="9" t="n">
        <x:v>0</x:v>
      </x:c>
    </x:row>
    <x:row r="6137" ht="34" customHeight="1">
      <x:c r="A6137" s="4" t="str">
        <x:v>RS-03068-I4</x:v>
      </x:c>
      <x:c r="B6137" s="4" t="str">
        <x:v>RS-03068</x:v>
      </x:c>
      <x:c r="C6137" s="9" t="n">
        <x:v>4</x:v>
      </x:c>
      <x:c r="D6137" s="8" t="n">
        <x:v>45579</x:v>
      </x:c>
      <x:c r="E6137" s="9" t="n">
        <x:v>3136000</x:v>
      </x:c>
      <x:c r="F6137" s="9" t="n">
        <x:v>0</x:v>
      </x:c>
    </x:row>
    <x:row r="6138" ht="34" customHeight="1">
      <x:c r="A6138" s="4" t="str">
        <x:v>RS-03076-I1</x:v>
      </x:c>
      <x:c r="B6138" s="4" t="str">
        <x:v>RS-03076</x:v>
      </x:c>
      <x:c r="C6138" s="9" t="n">
        <x:v>1</x:v>
      </x:c>
      <x:c r="D6138" s="8" t="n">
        <x:v>45497</x:v>
      </x:c>
      <x:c r="E6138" s="9" t="n">
        <x:v>2772000</x:v>
      </x:c>
      <x:c r="F6138" s="9" t="n">
        <x:v>2772000</x:v>
      </x:c>
    </x:row>
    <x:row r="6139" ht="34" customHeight="1">
      <x:c r="A6139" s="4" t="str">
        <x:v>RS-03076-I2</x:v>
      </x:c>
      <x:c r="B6139" s="4" t="str">
        <x:v>RS-03076</x:v>
      </x:c>
      <x:c r="C6139" s="9" t="n">
        <x:v>2</x:v>
      </x:c>
      <x:c r="D6139" s="8" t="n">
        <x:v>45527</x:v>
      </x:c>
      <x:c r="E6139" s="9" t="n">
        <x:v>2772000</x:v>
      </x:c>
      <x:c r="F6139" s="9" t="n">
        <x:v>2772000</x:v>
      </x:c>
    </x:row>
    <x:row r="6140" ht="34" customHeight="1">
      <x:c r="A6140" s="4" t="str">
        <x:v>RS-03076-I3</x:v>
      </x:c>
      <x:c r="B6140" s="4" t="str">
        <x:v>RS-03076</x:v>
      </x:c>
      <x:c r="C6140" s="9" t="n">
        <x:v>3</x:v>
      </x:c>
      <x:c r="D6140" s="8" t="n">
        <x:v>45557</x:v>
      </x:c>
      <x:c r="E6140" s="9" t="n">
        <x:v>2772000</x:v>
      </x:c>
      <x:c r="F6140" s="9" t="n">
        <x:v>0</x:v>
      </x:c>
    </x:row>
    <x:row r="6141" ht="34" customHeight="1">
      <x:c r="A6141" s="4" t="str">
        <x:v>RS-03076-I4</x:v>
      </x:c>
      <x:c r="B6141" s="4" t="str">
        <x:v>RS-03076</x:v>
      </x:c>
      <x:c r="C6141" s="9" t="n">
        <x:v>4</x:v>
      </x:c>
      <x:c r="D6141" s="8" t="n">
        <x:v>45587</x:v>
      </x:c>
      <x:c r="E6141" s="9" t="n">
        <x:v>2772000</x:v>
      </x:c>
      <x:c r="F6141" s="9" t="n">
        <x:v>0</x:v>
      </x:c>
    </x:row>
    <x:row r="6142" ht="34" customHeight="1">
      <x:c r="A6142" s="4" t="str">
        <x:v>RS-03079-I1</x:v>
      </x:c>
      <x:c r="B6142" s="4" t="str">
        <x:v>RS-03079</x:v>
      </x:c>
      <x:c r="C6142" s="9" t="n">
        <x:v>1</x:v>
      </x:c>
      <x:c r="D6142" s="8" t="n">
        <x:v>45500</x:v>
      </x:c>
      <x:c r="E6142" s="9" t="n">
        <x:v>2434250</x:v>
      </x:c>
      <x:c r="F6142" s="9" t="n">
        <x:v>973700</x:v>
      </x:c>
    </x:row>
    <x:row r="6143" ht="34" customHeight="1">
      <x:c r="A6143" s="4" t="str">
        <x:v>RS-03079-I2</x:v>
      </x:c>
      <x:c r="B6143" s="4" t="str">
        <x:v>RS-03079</x:v>
      </x:c>
      <x:c r="C6143" s="9" t="n">
        <x:v>2</x:v>
      </x:c>
      <x:c r="D6143" s="8" t="n">
        <x:v>45530</x:v>
      </x:c>
      <x:c r="E6143" s="9" t="n">
        <x:v>2434250</x:v>
      </x:c>
      <x:c r="F6143" s="9" t="n">
        <x:v>0</x:v>
      </x:c>
    </x:row>
    <x:row r="6144" ht="34" customHeight="1">
      <x:c r="A6144" s="4" t="str">
        <x:v>RS-03079-I3</x:v>
      </x:c>
      <x:c r="B6144" s="4" t="str">
        <x:v>RS-03079</x:v>
      </x:c>
      <x:c r="C6144" s="9" t="n">
        <x:v>3</x:v>
      </x:c>
      <x:c r="D6144" s="8" t="n">
        <x:v>45560</x:v>
      </x:c>
      <x:c r="E6144" s="9" t="n">
        <x:v>2434250</x:v>
      </x:c>
      <x:c r="F6144" s="9" t="n">
        <x:v>0</x:v>
      </x:c>
    </x:row>
    <x:row r="6145" ht="34" customHeight="1">
      <x:c r="A6145" s="4" t="str">
        <x:v>RS-03079-I4</x:v>
      </x:c>
      <x:c r="B6145" s="4" t="str">
        <x:v>RS-03079</x:v>
      </x:c>
      <x:c r="C6145" s="9" t="n">
        <x:v>4</x:v>
      </x:c>
      <x:c r="D6145" s="8" t="n">
        <x:v>45590</x:v>
      </x:c>
      <x:c r="E6145" s="9" t="n">
        <x:v>2434250</x:v>
      </x:c>
      <x:c r="F6145" s="9" t="n">
        <x:v>0</x:v>
      </x:c>
    </x:row>
    <x:row r="6146" ht="34" customHeight="1">
      <x:c r="A6146" s="4" t="str">
        <x:v>RS-03082-I1</x:v>
      </x:c>
      <x:c r="B6146" s="4" t="str">
        <x:v>RS-03082</x:v>
      </x:c>
      <x:c r="C6146" s="9" t="n">
        <x:v>1</x:v>
      </x:c>
      <x:c r="D6146" s="8" t="n">
        <x:v>45475</x:v>
      </x:c>
      <x:c r="E6146" s="9" t="n">
        <x:v>1223750</x:v>
      </x:c>
      <x:c r="F6146" s="9" t="n">
        <x:v>1223750</x:v>
      </x:c>
    </x:row>
    <x:row r="6147" ht="34" customHeight="1">
      <x:c r="A6147" s="4" t="str">
        <x:v>RS-03082-I2</x:v>
      </x:c>
      <x:c r="B6147" s="4" t="str">
        <x:v>RS-03082</x:v>
      </x:c>
      <x:c r="C6147" s="9" t="n">
        <x:v>2</x:v>
      </x:c>
      <x:c r="D6147" s="8" t="n">
        <x:v>45505</x:v>
      </x:c>
      <x:c r="E6147" s="9" t="n">
        <x:v>1223750</x:v>
      </x:c>
      <x:c r="F6147" s="9" t="n">
        <x:v>1223750</x:v>
      </x:c>
    </x:row>
    <x:row r="6148" ht="34" customHeight="1">
      <x:c r="A6148" s="4" t="str">
        <x:v>RS-03082-I3</x:v>
      </x:c>
      <x:c r="B6148" s="4" t="str">
        <x:v>RS-03082</x:v>
      </x:c>
      <x:c r="C6148" s="9" t="n">
        <x:v>3</x:v>
      </x:c>
      <x:c r="D6148" s="8" t="n">
        <x:v>45535</x:v>
      </x:c>
      <x:c r="E6148" s="9" t="n">
        <x:v>1223750</x:v>
      </x:c>
      <x:c r="F6148" s="9" t="n">
        <x:v>0</x:v>
      </x:c>
    </x:row>
    <x:row r="6149" ht="34" customHeight="1">
      <x:c r="A6149" s="4" t="str">
        <x:v>RS-03082-I4</x:v>
      </x:c>
      <x:c r="B6149" s="4" t="str">
        <x:v>RS-03082</x:v>
      </x:c>
      <x:c r="C6149" s="9" t="n">
        <x:v>4</x:v>
      </x:c>
      <x:c r="D6149" s="8" t="n">
        <x:v>45565</x:v>
      </x:c>
      <x:c r="E6149" s="9" t="n">
        <x:v>1223750</x:v>
      </x:c>
      <x:c r="F6149" s="9" t="n">
        <x:v>0</x:v>
      </x:c>
    </x:row>
    <x:row r="6150" ht="34" customHeight="1">
      <x:c r="A6150" s="4" t="str">
        <x:v>RS-03083-I1</x:v>
      </x:c>
      <x:c r="B6150" s="4" t="str">
        <x:v>RS-03083</x:v>
      </x:c>
      <x:c r="C6150" s="9" t="n">
        <x:v>1</x:v>
      </x:c>
      <x:c r="D6150" s="8" t="n">
        <x:v>45476</x:v>
      </x:c>
      <x:c r="E6150" s="9" t="n">
        <x:v>1604250</x:v>
      </x:c>
      <x:c r="F6150" s="9" t="n">
        <x:v>1604250</x:v>
      </x:c>
    </x:row>
    <x:row r="6151" ht="34" customHeight="1">
      <x:c r="A6151" s="4" t="str">
        <x:v>RS-03083-I2</x:v>
      </x:c>
      <x:c r="B6151" s="4" t="str">
        <x:v>RS-03083</x:v>
      </x:c>
      <x:c r="C6151" s="9" t="n">
        <x:v>2</x:v>
      </x:c>
      <x:c r="D6151" s="8" t="n">
        <x:v>45506</x:v>
      </x:c>
      <x:c r="E6151" s="9" t="n">
        <x:v>1604250</x:v>
      </x:c>
      <x:c r="F6151" s="9" t="n">
        <x:v>1604250</x:v>
      </x:c>
    </x:row>
    <x:row r="6152" ht="34" customHeight="1">
      <x:c r="A6152" s="4" t="str">
        <x:v>RS-03083-I3</x:v>
      </x:c>
      <x:c r="B6152" s="4" t="str">
        <x:v>RS-03083</x:v>
      </x:c>
      <x:c r="C6152" s="9" t="n">
        <x:v>3</x:v>
      </x:c>
      <x:c r="D6152" s="8" t="n">
        <x:v>45536</x:v>
      </x:c>
      <x:c r="E6152" s="9" t="n">
        <x:v>1604250</x:v>
      </x:c>
      <x:c r="F6152" s="9" t="n">
        <x:v>0</x:v>
      </x:c>
    </x:row>
    <x:row r="6153" ht="34" customHeight="1">
      <x:c r="A6153" s="4" t="str">
        <x:v>RS-03083-I4</x:v>
      </x:c>
      <x:c r="B6153" s="4" t="str">
        <x:v>RS-03083</x:v>
      </x:c>
      <x:c r="C6153" s="9" t="n">
        <x:v>4</x:v>
      </x:c>
      <x:c r="D6153" s="8" t="n">
        <x:v>45566</x:v>
      </x:c>
      <x:c r="E6153" s="9" t="n">
        <x:v>1604250</x:v>
      </x:c>
      <x:c r="F6153" s="9" t="n">
        <x:v>0</x:v>
      </x:c>
    </x:row>
    <x:row r="6154" ht="34" customHeight="1">
      <x:c r="A6154" s="4" t="str">
        <x:v>RS-03086-I1</x:v>
      </x:c>
      <x:c r="B6154" s="4" t="str">
        <x:v>RS-03086</x:v>
      </x:c>
      <x:c r="C6154" s="9" t="n">
        <x:v>1</x:v>
      </x:c>
      <x:c r="D6154" s="8" t="n">
        <x:v>45479</x:v>
      </x:c>
      <x:c r="E6154" s="9" t="n">
        <x:v>1662500</x:v>
      </x:c>
      <x:c r="F6154" s="9" t="n">
        <x:v>1662500</x:v>
      </x:c>
    </x:row>
    <x:row r="6155" ht="34" customHeight="1">
      <x:c r="A6155" s="4" t="str">
        <x:v>RS-03086-I2</x:v>
      </x:c>
      <x:c r="B6155" s="4" t="str">
        <x:v>RS-03086</x:v>
      </x:c>
      <x:c r="C6155" s="9" t="n">
        <x:v>2</x:v>
      </x:c>
      <x:c r="D6155" s="8" t="n">
        <x:v>45509</x:v>
      </x:c>
      <x:c r="E6155" s="9" t="n">
        <x:v>1662500</x:v>
      </x:c>
      <x:c r="F6155" s="9" t="n">
        <x:v>1662500</x:v>
      </x:c>
    </x:row>
    <x:row r="6156" ht="34" customHeight="1">
      <x:c r="A6156" s="4" t="str">
        <x:v>RS-03086-I3</x:v>
      </x:c>
      <x:c r="B6156" s="4" t="str">
        <x:v>RS-03086</x:v>
      </x:c>
      <x:c r="C6156" s="9" t="n">
        <x:v>3</x:v>
      </x:c>
      <x:c r="D6156" s="8" t="n">
        <x:v>45539</x:v>
      </x:c>
      <x:c r="E6156" s="9" t="n">
        <x:v>1662500</x:v>
      </x:c>
      <x:c r="F6156" s="9" t="n">
        <x:v>1662500</x:v>
      </x:c>
    </x:row>
    <x:row r="6157" ht="34" customHeight="1">
      <x:c r="A6157" s="4" t="str">
        <x:v>RS-03086-I4</x:v>
      </x:c>
      <x:c r="B6157" s="4" t="str">
        <x:v>RS-03086</x:v>
      </x:c>
      <x:c r="C6157" s="9" t="n">
        <x:v>4</x:v>
      </x:c>
      <x:c r="D6157" s="8" t="n">
        <x:v>45569</x:v>
      </x:c>
      <x:c r="E6157" s="9" t="n">
        <x:v>1662500</x:v>
      </x:c>
      <x:c r="F6157" s="9" t="n">
        <x:v>1662500</x:v>
      </x:c>
    </x:row>
    <x:row r="6158" ht="34" customHeight="1">
      <x:c r="A6158" s="4" t="str">
        <x:v>RS-03088-I1</x:v>
      </x:c>
      <x:c r="B6158" s="4" t="str">
        <x:v>RS-03088</x:v>
      </x:c>
      <x:c r="C6158" s="9" t="n">
        <x:v>1</x:v>
      </x:c>
      <x:c r="D6158" s="8" t="n">
        <x:v>45481</x:v>
      </x:c>
      <x:c r="E6158" s="9" t="n">
        <x:v>1602000</x:v>
      </x:c>
      <x:c r="F6158" s="9" t="n">
        <x:v>640800</x:v>
      </x:c>
    </x:row>
    <x:row r="6159" ht="34" customHeight="1">
      <x:c r="A6159" s="4" t="str">
        <x:v>RS-03088-I2</x:v>
      </x:c>
      <x:c r="B6159" s="4" t="str">
        <x:v>RS-03088</x:v>
      </x:c>
      <x:c r="C6159" s="9" t="n">
        <x:v>2</x:v>
      </x:c>
      <x:c r="D6159" s="8" t="n">
        <x:v>45511</x:v>
      </x:c>
      <x:c r="E6159" s="9" t="n">
        <x:v>1602000</x:v>
      </x:c>
      <x:c r="F6159" s="9" t="n">
        <x:v>0</x:v>
      </x:c>
    </x:row>
    <x:row r="6160" ht="34" customHeight="1">
      <x:c r="A6160" s="4" t="str">
        <x:v>RS-03088-I3</x:v>
      </x:c>
      <x:c r="B6160" s="4" t="str">
        <x:v>RS-03088</x:v>
      </x:c>
      <x:c r="C6160" s="9" t="n">
        <x:v>3</x:v>
      </x:c>
      <x:c r="D6160" s="8" t="n">
        <x:v>45541</x:v>
      </x:c>
      <x:c r="E6160" s="9" t="n">
        <x:v>1602000</x:v>
      </x:c>
      <x:c r="F6160" s="9" t="n">
        <x:v>0</x:v>
      </x:c>
    </x:row>
    <x:row r="6161" ht="34" customHeight="1">
      <x:c r="A6161" s="4" t="str">
        <x:v>RS-03088-I4</x:v>
      </x:c>
      <x:c r="B6161" s="4" t="str">
        <x:v>RS-03088</x:v>
      </x:c>
      <x:c r="C6161" s="9" t="n">
        <x:v>4</x:v>
      </x:c>
      <x:c r="D6161" s="8" t="n">
        <x:v>45571</x:v>
      </x:c>
      <x:c r="E6161" s="9" t="n">
        <x:v>1602000</x:v>
      </x:c>
      <x:c r="F6161" s="9" t="n">
        <x:v>0</x:v>
      </x:c>
    </x:row>
    <x:row r="6162" ht="34" customHeight="1">
      <x:c r="A6162" s="4" t="str">
        <x:v>RS-03089-I1</x:v>
      </x:c>
      <x:c r="B6162" s="4" t="str">
        <x:v>RS-03089</x:v>
      </x:c>
      <x:c r="C6162" s="9" t="n">
        <x:v>1</x:v>
      </x:c>
      <x:c r="D6162" s="8" t="n">
        <x:v>45482</x:v>
      </x:c>
      <x:c r="E6162" s="9" t="n">
        <x:v>4465000</x:v>
      </x:c>
      <x:c r="F6162" s="9" t="n">
        <x:v>4465000</x:v>
      </x:c>
    </x:row>
    <x:row r="6163" ht="34" customHeight="1">
      <x:c r="A6163" s="4" t="str">
        <x:v>RS-03089-I2</x:v>
      </x:c>
      <x:c r="B6163" s="4" t="str">
        <x:v>RS-03089</x:v>
      </x:c>
      <x:c r="C6163" s="9" t="n">
        <x:v>2</x:v>
      </x:c>
      <x:c r="D6163" s="8" t="n">
        <x:v>45512</x:v>
      </x:c>
      <x:c r="E6163" s="9" t="n">
        <x:v>4465000</x:v>
      </x:c>
      <x:c r="F6163" s="9" t="n">
        <x:v>4465000</x:v>
      </x:c>
    </x:row>
    <x:row r="6164" ht="34" customHeight="1">
      <x:c r="A6164" s="4" t="str">
        <x:v>RS-03089-I3</x:v>
      </x:c>
      <x:c r="B6164" s="4" t="str">
        <x:v>RS-03089</x:v>
      </x:c>
      <x:c r="C6164" s="9" t="n">
        <x:v>3</x:v>
      </x:c>
      <x:c r="D6164" s="8" t="n">
        <x:v>45542</x:v>
      </x:c>
      <x:c r="E6164" s="9" t="n">
        <x:v>4465000</x:v>
      </x:c>
      <x:c r="F6164" s="9" t="n">
        <x:v>4465000</x:v>
      </x:c>
    </x:row>
    <x:row r="6165" ht="34" customHeight="1">
      <x:c r="A6165" s="4" t="str">
        <x:v>RS-03089-I4</x:v>
      </x:c>
      <x:c r="B6165" s="4" t="str">
        <x:v>RS-03089</x:v>
      </x:c>
      <x:c r="C6165" s="9" t="n">
        <x:v>4</x:v>
      </x:c>
      <x:c r="D6165" s="8" t="n">
        <x:v>45572</x:v>
      </x:c>
      <x:c r="E6165" s="9" t="n">
        <x:v>4465000</x:v>
      </x:c>
      <x:c r="F6165" s="9" t="n">
        <x:v>4465000</x:v>
      </x:c>
    </x:row>
    <x:row r="6166" ht="34" customHeight="1">
      <x:c r="A6166" s="4" t="str">
        <x:v>RS-03090-I1</x:v>
      </x:c>
      <x:c r="B6166" s="4" t="str">
        <x:v>RS-03090</x:v>
      </x:c>
      <x:c r="C6166" s="9" t="n">
        <x:v>1</x:v>
      </x:c>
      <x:c r="D6166" s="8" t="n">
        <x:v>45483</x:v>
      </x:c>
      <x:c r="E6166" s="9" t="n">
        <x:v>5518000</x:v>
      </x:c>
      <x:c r="F6166" s="9" t="n">
        <x:v>5518000</x:v>
      </x:c>
    </x:row>
    <x:row r="6167" ht="34" customHeight="1">
      <x:c r="A6167" s="4" t="str">
        <x:v>RS-03090-I2</x:v>
      </x:c>
      <x:c r="B6167" s="4" t="str">
        <x:v>RS-03090</x:v>
      </x:c>
      <x:c r="C6167" s="9" t="n">
        <x:v>2</x:v>
      </x:c>
      <x:c r="D6167" s="8" t="n">
        <x:v>45513</x:v>
      </x:c>
      <x:c r="E6167" s="9" t="n">
        <x:v>5518000</x:v>
      </x:c>
      <x:c r="F6167" s="9" t="n">
        <x:v>5518000</x:v>
      </x:c>
    </x:row>
    <x:row r="6168" ht="34" customHeight="1">
      <x:c r="A6168" s="4" t="str">
        <x:v>RS-03090-I3</x:v>
      </x:c>
      <x:c r="B6168" s="4" t="str">
        <x:v>RS-03090</x:v>
      </x:c>
      <x:c r="C6168" s="9" t="n">
        <x:v>3</x:v>
      </x:c>
      <x:c r="D6168" s="8" t="n">
        <x:v>45543</x:v>
      </x:c>
      <x:c r="E6168" s="9" t="n">
        <x:v>5518000</x:v>
      </x:c>
      <x:c r="F6168" s="9" t="n">
        <x:v>5518000</x:v>
      </x:c>
    </x:row>
    <x:row r="6169" ht="34" customHeight="1">
      <x:c r="A6169" s="4" t="str">
        <x:v>RS-03090-I4</x:v>
      </x:c>
      <x:c r="B6169" s="4" t="str">
        <x:v>RS-03090</x:v>
      </x:c>
      <x:c r="C6169" s="9" t="n">
        <x:v>4</x:v>
      </x:c>
      <x:c r="D6169" s="8" t="n">
        <x:v>45573</x:v>
      </x:c>
      <x:c r="E6169" s="9" t="n">
        <x:v>5518000</x:v>
      </x:c>
      <x:c r="F6169" s="9" t="n">
        <x:v>5518000</x:v>
      </x:c>
    </x:row>
    <x:row r="6170" ht="34" customHeight="1">
      <x:c r="A6170" s="4" t="str">
        <x:v>RS-03091-I1</x:v>
      </x:c>
      <x:c r="B6170" s="4" t="str">
        <x:v>RS-03091</x:v>
      </x:c>
      <x:c r="C6170" s="9" t="n">
        <x:v>1</x:v>
      </x:c>
      <x:c r="D6170" s="8" t="n">
        <x:v>45484</x:v>
      </x:c>
      <x:c r="E6170" s="9" t="n">
        <x:v>2836500</x:v>
      </x:c>
      <x:c r="F6170" s="9" t="n">
        <x:v>2836500</x:v>
      </x:c>
    </x:row>
    <x:row r="6171" ht="34" customHeight="1">
      <x:c r="A6171" s="4" t="str">
        <x:v>RS-03091-I2</x:v>
      </x:c>
      <x:c r="B6171" s="4" t="str">
        <x:v>RS-03091</x:v>
      </x:c>
      <x:c r="C6171" s="9" t="n">
        <x:v>2</x:v>
      </x:c>
      <x:c r="D6171" s="8" t="n">
        <x:v>45514</x:v>
      </x:c>
      <x:c r="E6171" s="9" t="n">
        <x:v>2836500</x:v>
      </x:c>
      <x:c r="F6171" s="9" t="n">
        <x:v>2836500</x:v>
      </x:c>
    </x:row>
    <x:row r="6172" ht="34" customHeight="1">
      <x:c r="A6172" s="4" t="str">
        <x:v>RS-03091-I3</x:v>
      </x:c>
      <x:c r="B6172" s="4" t="str">
        <x:v>RS-03091</x:v>
      </x:c>
      <x:c r="C6172" s="9" t="n">
        <x:v>3</x:v>
      </x:c>
      <x:c r="D6172" s="8" t="n">
        <x:v>45544</x:v>
      </x:c>
      <x:c r="E6172" s="9" t="n">
        <x:v>2836500</x:v>
      </x:c>
      <x:c r="F6172" s="9" t="n">
        <x:v>2836500</x:v>
      </x:c>
    </x:row>
    <x:row r="6173" ht="34" customHeight="1">
      <x:c r="A6173" s="4" t="str">
        <x:v>RS-03091-I4</x:v>
      </x:c>
      <x:c r="B6173" s="4" t="str">
        <x:v>RS-03091</x:v>
      </x:c>
      <x:c r="C6173" s="9" t="n">
        <x:v>4</x:v>
      </x:c>
      <x:c r="D6173" s="8" t="n">
        <x:v>45574</x:v>
      </x:c>
      <x:c r="E6173" s="9" t="n">
        <x:v>2836500</x:v>
      </x:c>
      <x:c r="F6173" s="9" t="n">
        <x:v>2836500</x:v>
      </x:c>
    </x:row>
    <x:row r="6174" ht="34" customHeight="1">
      <x:c r="A6174" s="4" t="str">
        <x:v>RS-03093-I1</x:v>
      </x:c>
      <x:c r="B6174" s="4" t="str">
        <x:v>RS-03093</x:v>
      </x:c>
      <x:c r="C6174" s="9" t="n">
        <x:v>1</x:v>
      </x:c>
      <x:c r="D6174" s="8" t="n">
        <x:v>45486</x:v>
      </x:c>
      <x:c r="E6174" s="9" t="n">
        <x:v>1687500</x:v>
      </x:c>
      <x:c r="F6174" s="9" t="n">
        <x:v>1687500</x:v>
      </x:c>
    </x:row>
    <x:row r="6175" ht="34" customHeight="1">
      <x:c r="A6175" s="4" t="str">
        <x:v>RS-03093-I2</x:v>
      </x:c>
      <x:c r="B6175" s="4" t="str">
        <x:v>RS-03093</x:v>
      </x:c>
      <x:c r="C6175" s="9" t="n">
        <x:v>2</x:v>
      </x:c>
      <x:c r="D6175" s="8" t="n">
        <x:v>45516</x:v>
      </x:c>
      <x:c r="E6175" s="9" t="n">
        <x:v>1687500</x:v>
      </x:c>
      <x:c r="F6175" s="9" t="n">
        <x:v>1687500</x:v>
      </x:c>
    </x:row>
    <x:row r="6176" ht="34" customHeight="1">
      <x:c r="A6176" s="4" t="str">
        <x:v>RS-03093-I3</x:v>
      </x:c>
      <x:c r="B6176" s="4" t="str">
        <x:v>RS-03093</x:v>
      </x:c>
      <x:c r="C6176" s="9" t="n">
        <x:v>3</x:v>
      </x:c>
      <x:c r="D6176" s="8" t="n">
        <x:v>45546</x:v>
      </x:c>
      <x:c r="E6176" s="9" t="n">
        <x:v>1687500</x:v>
      </x:c>
      <x:c r="F6176" s="9" t="n">
        <x:v>1687500</x:v>
      </x:c>
    </x:row>
    <x:row r="6177" ht="34" customHeight="1">
      <x:c r="A6177" s="4" t="str">
        <x:v>RS-03093-I4</x:v>
      </x:c>
      <x:c r="B6177" s="4" t="str">
        <x:v>RS-03093</x:v>
      </x:c>
      <x:c r="C6177" s="9" t="n">
        <x:v>4</x:v>
      </x:c>
      <x:c r="D6177" s="8" t="n">
        <x:v>45576</x:v>
      </x:c>
      <x:c r="E6177" s="9" t="n">
        <x:v>1687500</x:v>
      </x:c>
      <x:c r="F6177" s="9" t="n">
        <x:v>1687500</x:v>
      </x:c>
    </x:row>
    <x:row r="6178" ht="34" customHeight="1">
      <x:c r="A6178" s="4" t="str">
        <x:v>RS-03094-I1</x:v>
      </x:c>
      <x:c r="B6178" s="4" t="str">
        <x:v>RS-03094</x:v>
      </x:c>
      <x:c r="C6178" s="9" t="n">
        <x:v>1</x:v>
      </x:c>
      <x:c r="D6178" s="8" t="n">
        <x:v>45487</x:v>
      </x:c>
      <x:c r="E6178" s="9" t="n">
        <x:v>3792000</x:v>
      </x:c>
      <x:c r="F6178" s="9" t="n">
        <x:v>3792000</x:v>
      </x:c>
    </x:row>
    <x:row r="6179" ht="34" customHeight="1">
      <x:c r="A6179" s="4" t="str">
        <x:v>RS-03094-I2</x:v>
      </x:c>
      <x:c r="B6179" s="4" t="str">
        <x:v>RS-03094</x:v>
      </x:c>
      <x:c r="C6179" s="9" t="n">
        <x:v>2</x:v>
      </x:c>
      <x:c r="D6179" s="8" t="n">
        <x:v>45517</x:v>
      </x:c>
      <x:c r="E6179" s="9" t="n">
        <x:v>3792000</x:v>
      </x:c>
      <x:c r="F6179" s="9" t="n">
        <x:v>3792000</x:v>
      </x:c>
    </x:row>
    <x:row r="6180" ht="34" customHeight="1">
      <x:c r="A6180" s="4" t="str">
        <x:v>RS-03094-I3</x:v>
      </x:c>
      <x:c r="B6180" s="4" t="str">
        <x:v>RS-03094</x:v>
      </x:c>
      <x:c r="C6180" s="9" t="n">
        <x:v>3</x:v>
      </x:c>
      <x:c r="D6180" s="8" t="n">
        <x:v>45547</x:v>
      </x:c>
      <x:c r="E6180" s="9" t="n">
        <x:v>3792000</x:v>
      </x:c>
      <x:c r="F6180" s="9" t="n">
        <x:v>3792000</x:v>
      </x:c>
    </x:row>
    <x:row r="6181" ht="34" customHeight="1">
      <x:c r="A6181" s="4" t="str">
        <x:v>RS-03094-I4</x:v>
      </x:c>
      <x:c r="B6181" s="4" t="str">
        <x:v>RS-03094</x:v>
      </x:c>
      <x:c r="C6181" s="9" t="n">
        <x:v>4</x:v>
      </x:c>
      <x:c r="D6181" s="8" t="n">
        <x:v>45577</x:v>
      </x:c>
      <x:c r="E6181" s="9" t="n">
        <x:v>3792000</x:v>
      </x:c>
      <x:c r="F6181" s="9" t="n">
        <x:v>3792000</x:v>
      </x:c>
    </x:row>
    <x:row r="6182" ht="34" customHeight="1">
      <x:c r="A6182" s="4" t="str">
        <x:v>RS-03095-I1</x:v>
      </x:c>
      <x:c r="B6182" s="4" t="str">
        <x:v>RS-03095</x:v>
      </x:c>
      <x:c r="C6182" s="9" t="n">
        <x:v>1</x:v>
      </x:c>
      <x:c r="D6182" s="8" t="n">
        <x:v>45488</x:v>
      </x:c>
      <x:c r="E6182" s="9" t="n">
        <x:v>5504750</x:v>
      </x:c>
      <x:c r="F6182" s="9" t="n">
        <x:v>5504750</x:v>
      </x:c>
    </x:row>
    <x:row r="6183" ht="34" customHeight="1">
      <x:c r="A6183" s="4" t="str">
        <x:v>RS-03095-I2</x:v>
      </x:c>
      <x:c r="B6183" s="4" t="str">
        <x:v>RS-03095</x:v>
      </x:c>
      <x:c r="C6183" s="9" t="n">
        <x:v>2</x:v>
      </x:c>
      <x:c r="D6183" s="8" t="n">
        <x:v>45518</x:v>
      </x:c>
      <x:c r="E6183" s="9" t="n">
        <x:v>5504750</x:v>
      </x:c>
      <x:c r="F6183" s="9" t="n">
        <x:v>5504750</x:v>
      </x:c>
    </x:row>
    <x:row r="6184" ht="34" customHeight="1">
      <x:c r="A6184" s="4" t="str">
        <x:v>RS-03095-I3</x:v>
      </x:c>
      <x:c r="B6184" s="4" t="str">
        <x:v>RS-03095</x:v>
      </x:c>
      <x:c r="C6184" s="9" t="n">
        <x:v>3</x:v>
      </x:c>
      <x:c r="D6184" s="8" t="n">
        <x:v>45548</x:v>
      </x:c>
      <x:c r="E6184" s="9" t="n">
        <x:v>5504750</x:v>
      </x:c>
      <x:c r="F6184" s="9" t="n">
        <x:v>0</x:v>
      </x:c>
    </x:row>
    <x:row r="6185" ht="34" customHeight="1">
      <x:c r="A6185" s="4" t="str">
        <x:v>RS-03095-I4</x:v>
      </x:c>
      <x:c r="B6185" s="4" t="str">
        <x:v>RS-03095</x:v>
      </x:c>
      <x:c r="C6185" s="9" t="n">
        <x:v>4</x:v>
      </x:c>
      <x:c r="D6185" s="8" t="n">
        <x:v>45578</x:v>
      </x:c>
      <x:c r="E6185" s="9" t="n">
        <x:v>5504750</x:v>
      </x:c>
      <x:c r="F6185" s="9" t="n">
        <x:v>0</x:v>
      </x:c>
    </x:row>
    <x:row r="6186" ht="34" customHeight="1">
      <x:c r="A6186" s="4" t="str">
        <x:v>RS-03097-I1</x:v>
      </x:c>
      <x:c r="B6186" s="4" t="str">
        <x:v>RS-03097</x:v>
      </x:c>
      <x:c r="C6186" s="9" t="n">
        <x:v>1</x:v>
      </x:c>
      <x:c r="D6186" s="8" t="n">
        <x:v>45490</x:v>
      </x:c>
      <x:c r="E6186" s="9" t="n">
        <x:v>5035000</x:v>
      </x:c>
      <x:c r="F6186" s="9" t="n">
        <x:v>5035000</x:v>
      </x:c>
    </x:row>
    <x:row r="6187" ht="34" customHeight="1">
      <x:c r="A6187" s="4" t="str">
        <x:v>RS-03097-I2</x:v>
      </x:c>
      <x:c r="B6187" s="4" t="str">
        <x:v>RS-03097</x:v>
      </x:c>
      <x:c r="C6187" s="9" t="n">
        <x:v>2</x:v>
      </x:c>
      <x:c r="D6187" s="8" t="n">
        <x:v>45520</x:v>
      </x:c>
      <x:c r="E6187" s="9" t="n">
        <x:v>5035000</x:v>
      </x:c>
      <x:c r="F6187" s="9" t="n">
        <x:v>0</x:v>
      </x:c>
    </x:row>
    <x:row r="6188" ht="34" customHeight="1">
      <x:c r="A6188" s="4" t="str">
        <x:v>RS-03097-I3</x:v>
      </x:c>
      <x:c r="B6188" s="4" t="str">
        <x:v>RS-03097</x:v>
      </x:c>
      <x:c r="C6188" s="9" t="n">
        <x:v>3</x:v>
      </x:c>
      <x:c r="D6188" s="8" t="n">
        <x:v>45550</x:v>
      </x:c>
      <x:c r="E6188" s="9" t="n">
        <x:v>5035000</x:v>
      </x:c>
      <x:c r="F6188" s="9" t="n">
        <x:v>0</x:v>
      </x:c>
    </x:row>
    <x:row r="6189" ht="34" customHeight="1">
      <x:c r="A6189" s="4" t="str">
        <x:v>RS-03097-I4</x:v>
      </x:c>
      <x:c r="B6189" s="4" t="str">
        <x:v>RS-03097</x:v>
      </x:c>
      <x:c r="C6189" s="9" t="n">
        <x:v>4</x:v>
      </x:c>
      <x:c r="D6189" s="8" t="n">
        <x:v>45580</x:v>
      </x:c>
      <x:c r="E6189" s="9" t="n">
        <x:v>5035000</x:v>
      </x:c>
      <x:c r="F6189" s="9" t="n">
        <x:v>0</x:v>
      </x:c>
    </x:row>
    <x:row r="6190" ht="34" customHeight="1">
      <x:c r="A6190" s="4" t="str">
        <x:v>RS-03098-I1</x:v>
      </x:c>
      <x:c r="B6190" s="4" t="str">
        <x:v>RS-03098</x:v>
      </x:c>
      <x:c r="C6190" s="9" t="n">
        <x:v>1</x:v>
      </x:c>
      <x:c r="D6190" s="8" t="n">
        <x:v>45491</x:v>
      </x:c>
      <x:c r="E6190" s="9" t="n">
        <x:v>5663500</x:v>
      </x:c>
      <x:c r="F6190" s="9" t="n">
        <x:v>5663500</x:v>
      </x:c>
    </x:row>
    <x:row r="6191" ht="34" customHeight="1">
      <x:c r="A6191" s="4" t="str">
        <x:v>RS-03098-I2</x:v>
      </x:c>
      <x:c r="B6191" s="4" t="str">
        <x:v>RS-03098</x:v>
      </x:c>
      <x:c r="C6191" s="9" t="n">
        <x:v>2</x:v>
      </x:c>
      <x:c r="D6191" s="8" t="n">
        <x:v>45521</x:v>
      </x:c>
      <x:c r="E6191" s="9" t="n">
        <x:v>5663500</x:v>
      </x:c>
      <x:c r="F6191" s="9" t="n">
        <x:v>5663500</x:v>
      </x:c>
    </x:row>
    <x:row r="6192" ht="34" customHeight="1">
      <x:c r="A6192" s="4" t="str">
        <x:v>RS-03098-I3</x:v>
      </x:c>
      <x:c r="B6192" s="4" t="str">
        <x:v>RS-03098</x:v>
      </x:c>
      <x:c r="C6192" s="9" t="n">
        <x:v>3</x:v>
      </x:c>
      <x:c r="D6192" s="8" t="n">
        <x:v>45551</x:v>
      </x:c>
      <x:c r="E6192" s="9" t="n">
        <x:v>5663500</x:v>
      </x:c>
      <x:c r="F6192" s="9" t="n">
        <x:v>5663500</x:v>
      </x:c>
    </x:row>
    <x:row r="6193" ht="34" customHeight="1">
      <x:c r="A6193" s="4" t="str">
        <x:v>RS-03098-I4</x:v>
      </x:c>
      <x:c r="B6193" s="4" t="str">
        <x:v>RS-03098</x:v>
      </x:c>
      <x:c r="C6193" s="9" t="n">
        <x:v>4</x:v>
      </x:c>
      <x:c r="D6193" s="8" t="n">
        <x:v>45581</x:v>
      </x:c>
      <x:c r="E6193" s="9" t="n">
        <x:v>5663500</x:v>
      </x:c>
      <x:c r="F6193" s="9" t="n">
        <x:v>5663500</x:v>
      </x:c>
    </x:row>
    <x:row r="6194" ht="34" customHeight="1">
      <x:c r="A6194" s="4" t="str">
        <x:v>RS-03100-I1</x:v>
      </x:c>
      <x:c r="B6194" s="4" t="str">
        <x:v>RS-03100</x:v>
      </x:c>
      <x:c r="C6194" s="9" t="n">
        <x:v>1</x:v>
      </x:c>
      <x:c r="D6194" s="8" t="n">
        <x:v>45493</x:v>
      </x:c>
      <x:c r="E6194" s="9" t="n">
        <x:v>3850000</x:v>
      </x:c>
      <x:c r="F6194" s="9" t="n">
        <x:v>3850000</x:v>
      </x:c>
    </x:row>
    <x:row r="6195" ht="34" customHeight="1">
      <x:c r="A6195" s="4" t="str">
        <x:v>RS-03100-I2</x:v>
      </x:c>
      <x:c r="B6195" s="4" t="str">
        <x:v>RS-03100</x:v>
      </x:c>
      <x:c r="C6195" s="9" t="n">
        <x:v>2</x:v>
      </x:c>
      <x:c r="D6195" s="8" t="n">
        <x:v>45523</x:v>
      </x:c>
      <x:c r="E6195" s="9" t="n">
        <x:v>3850000</x:v>
      </x:c>
      <x:c r="F6195" s="9" t="n">
        <x:v>3850000</x:v>
      </x:c>
    </x:row>
    <x:row r="6196" ht="34" customHeight="1">
      <x:c r="A6196" s="4" t="str">
        <x:v>RS-03100-I3</x:v>
      </x:c>
      <x:c r="B6196" s="4" t="str">
        <x:v>RS-03100</x:v>
      </x:c>
      <x:c r="C6196" s="9" t="n">
        <x:v>3</x:v>
      </x:c>
      <x:c r="D6196" s="8" t="n">
        <x:v>45553</x:v>
      </x:c>
      <x:c r="E6196" s="9" t="n">
        <x:v>3850000</x:v>
      </x:c>
      <x:c r="F6196" s="9" t="n">
        <x:v>3850000</x:v>
      </x:c>
    </x:row>
    <x:row r="6197" ht="34" customHeight="1">
      <x:c r="A6197" s="4" t="str">
        <x:v>RS-03100-I4</x:v>
      </x:c>
      <x:c r="B6197" s="4" t="str">
        <x:v>RS-03100</x:v>
      </x:c>
      <x:c r="C6197" s="9" t="n">
        <x:v>4</x:v>
      </x:c>
      <x:c r="D6197" s="8" t="n">
        <x:v>45583</x:v>
      </x:c>
      <x:c r="E6197" s="9" t="n">
        <x:v>3850000</x:v>
      </x:c>
      <x:c r="F6197" s="9" t="n">
        <x:v>3850000</x:v>
      </x:c>
    </x:row>
    <x:row r="6198" ht="34" customHeight="1">
      <x:c r="A6198" s="4" t="str">
        <x:v>RS-03104-I1</x:v>
      </x:c>
      <x:c r="B6198" s="4" t="str">
        <x:v>RS-03104</x:v>
      </x:c>
      <x:c r="C6198" s="9" t="n">
        <x:v>1</x:v>
      </x:c>
      <x:c r="D6198" s="8" t="n">
        <x:v>45497</x:v>
      </x:c>
      <x:c r="E6198" s="9" t="n">
        <x:v>1660750</x:v>
      </x:c>
      <x:c r="F6198" s="9" t="n">
        <x:v>1660750</x:v>
      </x:c>
    </x:row>
    <x:row r="6199" ht="34" customHeight="1">
      <x:c r="A6199" s="4" t="str">
        <x:v>RS-03104-I2</x:v>
      </x:c>
      <x:c r="B6199" s="4" t="str">
        <x:v>RS-03104</x:v>
      </x:c>
      <x:c r="C6199" s="9" t="n">
        <x:v>2</x:v>
      </x:c>
      <x:c r="D6199" s="8" t="n">
        <x:v>45527</x:v>
      </x:c>
      <x:c r="E6199" s="9" t="n">
        <x:v>1660750</x:v>
      </x:c>
      <x:c r="F6199" s="9" t="n">
        <x:v>1660750</x:v>
      </x:c>
    </x:row>
    <x:row r="6200" ht="34" customHeight="1">
      <x:c r="A6200" s="4" t="str">
        <x:v>RS-03104-I3</x:v>
      </x:c>
      <x:c r="B6200" s="4" t="str">
        <x:v>RS-03104</x:v>
      </x:c>
      <x:c r="C6200" s="9" t="n">
        <x:v>3</x:v>
      </x:c>
      <x:c r="D6200" s="8" t="n">
        <x:v>45557</x:v>
      </x:c>
      <x:c r="E6200" s="9" t="n">
        <x:v>1660750</x:v>
      </x:c>
      <x:c r="F6200" s="9" t="n">
        <x:v>1660750</x:v>
      </x:c>
    </x:row>
    <x:row r="6201" ht="34" customHeight="1">
      <x:c r="A6201" s="4" t="str">
        <x:v>RS-03104-I4</x:v>
      </x:c>
      <x:c r="B6201" s="4" t="str">
        <x:v>RS-03104</x:v>
      </x:c>
      <x:c r="C6201" s="9" t="n">
        <x:v>4</x:v>
      </x:c>
      <x:c r="D6201" s="8" t="n">
        <x:v>45587</x:v>
      </x:c>
      <x:c r="E6201" s="9" t="n">
        <x:v>1660750</x:v>
      </x:c>
      <x:c r="F6201" s="9" t="n">
        <x:v>1660750</x:v>
      </x:c>
    </x:row>
    <x:row r="6202" ht="34" customHeight="1">
      <x:c r="A6202" s="4" t="str">
        <x:v>RS-03106-I1</x:v>
      </x:c>
      <x:c r="B6202" s="4" t="str">
        <x:v>RS-03106</x:v>
      </x:c>
      <x:c r="C6202" s="9" t="n">
        <x:v>1</x:v>
      </x:c>
      <x:c r="D6202" s="8" t="n">
        <x:v>45499</x:v>
      </x:c>
      <x:c r="E6202" s="9" t="n">
        <x:v>1274000</x:v>
      </x:c>
      <x:c r="F6202" s="9" t="n">
        <x:v>509600</x:v>
      </x:c>
    </x:row>
    <x:row r="6203" ht="34" customHeight="1">
      <x:c r="A6203" s="4" t="str">
        <x:v>RS-03106-I2</x:v>
      </x:c>
      <x:c r="B6203" s="4" t="str">
        <x:v>RS-03106</x:v>
      </x:c>
      <x:c r="C6203" s="9" t="n">
        <x:v>2</x:v>
      </x:c>
      <x:c r="D6203" s="8" t="n">
        <x:v>45529</x:v>
      </x:c>
      <x:c r="E6203" s="9" t="n">
        <x:v>1274000</x:v>
      </x:c>
      <x:c r="F6203" s="9" t="n">
        <x:v>0</x:v>
      </x:c>
    </x:row>
    <x:row r="6204" ht="34" customHeight="1">
      <x:c r="A6204" s="4" t="str">
        <x:v>RS-03106-I3</x:v>
      </x:c>
      <x:c r="B6204" s="4" t="str">
        <x:v>RS-03106</x:v>
      </x:c>
      <x:c r="C6204" s="9" t="n">
        <x:v>3</x:v>
      </x:c>
      <x:c r="D6204" s="8" t="n">
        <x:v>45559</x:v>
      </x:c>
      <x:c r="E6204" s="9" t="n">
        <x:v>1274000</x:v>
      </x:c>
      <x:c r="F6204" s="9" t="n">
        <x:v>0</x:v>
      </x:c>
    </x:row>
    <x:row r="6205" ht="34" customHeight="1">
      <x:c r="A6205" s="4" t="str">
        <x:v>RS-03106-I4</x:v>
      </x:c>
      <x:c r="B6205" s="4" t="str">
        <x:v>RS-03106</x:v>
      </x:c>
      <x:c r="C6205" s="9" t="n">
        <x:v>4</x:v>
      </x:c>
      <x:c r="D6205" s="8" t="n">
        <x:v>45589</x:v>
      </x:c>
      <x:c r="E6205" s="9" t="n">
        <x:v>1274000</x:v>
      </x:c>
      <x:c r="F6205" s="9" t="n">
        <x:v>0</x:v>
      </x:c>
    </x:row>
    <x:row r="6206" ht="34" customHeight="1">
      <x:c r="A6206" s="4" t="str">
        <x:v>RS-03108-I1</x:v>
      </x:c>
      <x:c r="B6206" s="4" t="str">
        <x:v>RS-03108</x:v>
      </x:c>
      <x:c r="C6206" s="9" t="n">
        <x:v>1</x:v>
      </x:c>
      <x:c r="D6206" s="8" t="n">
        <x:v>45501</x:v>
      </x:c>
      <x:c r="E6206" s="9" t="n">
        <x:v>5391250</x:v>
      </x:c>
      <x:c r="F6206" s="9" t="n">
        <x:v>5391250</x:v>
      </x:c>
    </x:row>
    <x:row r="6207" ht="34" customHeight="1">
      <x:c r="A6207" s="4" t="str">
        <x:v>RS-03108-I2</x:v>
      </x:c>
      <x:c r="B6207" s="4" t="str">
        <x:v>RS-03108</x:v>
      </x:c>
      <x:c r="C6207" s="9" t="n">
        <x:v>2</x:v>
      </x:c>
      <x:c r="D6207" s="8" t="n">
        <x:v>45531</x:v>
      </x:c>
      <x:c r="E6207" s="9" t="n">
        <x:v>5391250</x:v>
      </x:c>
      <x:c r="F6207" s="9" t="n">
        <x:v>0</x:v>
      </x:c>
    </x:row>
    <x:row r="6208" ht="34" customHeight="1">
      <x:c r="A6208" s="4" t="str">
        <x:v>RS-03108-I3</x:v>
      </x:c>
      <x:c r="B6208" s="4" t="str">
        <x:v>RS-03108</x:v>
      </x:c>
      <x:c r="C6208" s="9" t="n">
        <x:v>3</x:v>
      </x:c>
      <x:c r="D6208" s="8" t="n">
        <x:v>45561</x:v>
      </x:c>
      <x:c r="E6208" s="9" t="n">
        <x:v>5391250</x:v>
      </x:c>
      <x:c r="F6208" s="9" t="n">
        <x:v>0</x:v>
      </x:c>
    </x:row>
    <x:row r="6209" ht="34" customHeight="1">
      <x:c r="A6209" s="4" t="str">
        <x:v>RS-03108-I4</x:v>
      </x:c>
      <x:c r="B6209" s="4" t="str">
        <x:v>RS-03108</x:v>
      </x:c>
      <x:c r="C6209" s="9" t="n">
        <x:v>4</x:v>
      </x:c>
      <x:c r="D6209" s="8" t="n">
        <x:v>45591</x:v>
      </x:c>
      <x:c r="E6209" s="9" t="n">
        <x:v>5391250</x:v>
      </x:c>
      <x:c r="F6209" s="9" t="n">
        <x:v>0</x:v>
      </x:c>
    </x:row>
    <x:row r="6210" ht="34" customHeight="1">
      <x:c r="A6210" s="4" t="str">
        <x:v>RS-03111-I1</x:v>
      </x:c>
      <x:c r="B6210" s="4" t="str">
        <x:v>RS-03111</x:v>
      </x:c>
      <x:c r="C6210" s="9" t="n">
        <x:v>1</x:v>
      </x:c>
      <x:c r="D6210" s="8" t="n">
        <x:v>45476</x:v>
      </x:c>
      <x:c r="E6210" s="9" t="n">
        <x:v>1353750</x:v>
      </x:c>
      <x:c r="F6210" s="9" t="n">
        <x:v>1353750</x:v>
      </x:c>
    </x:row>
    <x:row r="6211" ht="34" customHeight="1">
      <x:c r="A6211" s="4" t="str">
        <x:v>RS-03111-I2</x:v>
      </x:c>
      <x:c r="B6211" s="4" t="str">
        <x:v>RS-03111</x:v>
      </x:c>
      <x:c r="C6211" s="9" t="n">
        <x:v>2</x:v>
      </x:c>
      <x:c r="D6211" s="8" t="n">
        <x:v>45506</x:v>
      </x:c>
      <x:c r="E6211" s="9" t="n">
        <x:v>1353750</x:v>
      </x:c>
      <x:c r="F6211" s="9" t="n">
        <x:v>1353750</x:v>
      </x:c>
    </x:row>
    <x:row r="6212" ht="34" customHeight="1">
      <x:c r="A6212" s="4" t="str">
        <x:v>RS-03111-I3</x:v>
      </x:c>
      <x:c r="B6212" s="4" t="str">
        <x:v>RS-03111</x:v>
      </x:c>
      <x:c r="C6212" s="9" t="n">
        <x:v>3</x:v>
      </x:c>
      <x:c r="D6212" s="8" t="n">
        <x:v>45536</x:v>
      </x:c>
      <x:c r="E6212" s="9" t="n">
        <x:v>1353750</x:v>
      </x:c>
      <x:c r="F6212" s="9" t="n">
        <x:v>0</x:v>
      </x:c>
    </x:row>
    <x:row r="6213" ht="34" customHeight="1">
      <x:c r="A6213" s="4" t="str">
        <x:v>RS-03111-I4</x:v>
      </x:c>
      <x:c r="B6213" s="4" t="str">
        <x:v>RS-03111</x:v>
      </x:c>
      <x:c r="C6213" s="9" t="n">
        <x:v>4</x:v>
      </x:c>
      <x:c r="D6213" s="8" t="n">
        <x:v>45566</x:v>
      </x:c>
      <x:c r="E6213" s="9" t="n">
        <x:v>1353750</x:v>
      </x:c>
      <x:c r="F6213" s="9" t="n">
        <x:v>0</x:v>
      </x:c>
    </x:row>
    <x:row r="6214" ht="34" customHeight="1">
      <x:c r="A6214" s="4" t="str">
        <x:v>RS-03112-I1</x:v>
      </x:c>
      <x:c r="B6214" s="4" t="str">
        <x:v>RS-03112</x:v>
      </x:c>
      <x:c r="C6214" s="9" t="n">
        <x:v>1</x:v>
      </x:c>
      <x:c r="D6214" s="8" t="n">
        <x:v>45477</x:v>
      </x:c>
      <x:c r="E6214" s="9" t="n">
        <x:v>5719500</x:v>
      </x:c>
      <x:c r="F6214" s="9" t="n">
        <x:v>5719500</x:v>
      </x:c>
    </x:row>
    <x:row r="6215" ht="34" customHeight="1">
      <x:c r="A6215" s="4" t="str">
        <x:v>RS-03112-I2</x:v>
      </x:c>
      <x:c r="B6215" s="4" t="str">
        <x:v>RS-03112</x:v>
      </x:c>
      <x:c r="C6215" s="9" t="n">
        <x:v>2</x:v>
      </x:c>
      <x:c r="D6215" s="8" t="n">
        <x:v>45507</x:v>
      </x:c>
      <x:c r="E6215" s="9" t="n">
        <x:v>5719500</x:v>
      </x:c>
      <x:c r="F6215" s="9" t="n">
        <x:v>5719500</x:v>
      </x:c>
    </x:row>
    <x:row r="6216" ht="34" customHeight="1">
      <x:c r="A6216" s="4" t="str">
        <x:v>RS-03112-I3</x:v>
      </x:c>
      <x:c r="B6216" s="4" t="str">
        <x:v>RS-03112</x:v>
      </x:c>
      <x:c r="C6216" s="9" t="n">
        <x:v>3</x:v>
      </x:c>
      <x:c r="D6216" s="8" t="n">
        <x:v>45537</x:v>
      </x:c>
      <x:c r="E6216" s="9" t="n">
        <x:v>5719500</x:v>
      </x:c>
      <x:c r="F6216" s="9" t="n">
        <x:v>5719500</x:v>
      </x:c>
    </x:row>
    <x:row r="6217" ht="34" customHeight="1">
      <x:c r="A6217" s="4" t="str">
        <x:v>RS-03112-I4</x:v>
      </x:c>
      <x:c r="B6217" s="4" t="str">
        <x:v>RS-03112</x:v>
      </x:c>
      <x:c r="C6217" s="9" t="n">
        <x:v>4</x:v>
      </x:c>
      <x:c r="D6217" s="8" t="n">
        <x:v>45567</x:v>
      </x:c>
      <x:c r="E6217" s="9" t="n">
        <x:v>5719500</x:v>
      </x:c>
      <x:c r="F6217" s="9" t="n">
        <x:v>5719500</x:v>
      </x:c>
    </x:row>
    <x:row r="6218" ht="34" customHeight="1">
      <x:c r="A6218" s="4" t="str">
        <x:v>RS-03116-I1</x:v>
      </x:c>
      <x:c r="B6218" s="4" t="str">
        <x:v>RS-03116</x:v>
      </x:c>
      <x:c r="C6218" s="9" t="n">
        <x:v>1</x:v>
      </x:c>
      <x:c r="D6218" s="8" t="n">
        <x:v>45481</x:v>
      </x:c>
      <x:c r="E6218" s="9" t="n">
        <x:v>1748000</x:v>
      </x:c>
      <x:c r="F6218" s="9" t="n">
        <x:v>699200</x:v>
      </x:c>
    </x:row>
    <x:row r="6219" ht="34" customHeight="1">
      <x:c r="A6219" s="4" t="str">
        <x:v>RS-03116-I2</x:v>
      </x:c>
      <x:c r="B6219" s="4" t="str">
        <x:v>RS-03116</x:v>
      </x:c>
      <x:c r="C6219" s="9" t="n">
        <x:v>2</x:v>
      </x:c>
      <x:c r="D6219" s="8" t="n">
        <x:v>45511</x:v>
      </x:c>
      <x:c r="E6219" s="9" t="n">
        <x:v>1748000</x:v>
      </x:c>
      <x:c r="F6219" s="9" t="n">
        <x:v>0</x:v>
      </x:c>
    </x:row>
    <x:row r="6220" ht="34" customHeight="1">
      <x:c r="A6220" s="4" t="str">
        <x:v>RS-03116-I3</x:v>
      </x:c>
      <x:c r="B6220" s="4" t="str">
        <x:v>RS-03116</x:v>
      </x:c>
      <x:c r="C6220" s="9" t="n">
        <x:v>3</x:v>
      </x:c>
      <x:c r="D6220" s="8" t="n">
        <x:v>45541</x:v>
      </x:c>
      <x:c r="E6220" s="9" t="n">
        <x:v>1748000</x:v>
      </x:c>
      <x:c r="F6220" s="9" t="n">
        <x:v>0</x:v>
      </x:c>
    </x:row>
    <x:row r="6221" ht="34" customHeight="1">
      <x:c r="A6221" s="4" t="str">
        <x:v>RS-03116-I4</x:v>
      </x:c>
      <x:c r="B6221" s="4" t="str">
        <x:v>RS-03116</x:v>
      </x:c>
      <x:c r="C6221" s="9" t="n">
        <x:v>4</x:v>
      </x:c>
      <x:c r="D6221" s="8" t="n">
        <x:v>45571</x:v>
      </x:c>
      <x:c r="E6221" s="9" t="n">
        <x:v>1748000</x:v>
      </x:c>
      <x:c r="F6221" s="9" t="n">
        <x:v>0</x:v>
      </x:c>
    </x:row>
    <x:row r="6222" ht="34" customHeight="1">
      <x:c r="A6222" s="4" t="str">
        <x:v>RS-03119-I1</x:v>
      </x:c>
      <x:c r="B6222" s="4" t="str">
        <x:v>RS-03119</x:v>
      </x:c>
      <x:c r="C6222" s="9" t="n">
        <x:v>1</x:v>
      </x:c>
      <x:c r="D6222" s="8" t="n">
        <x:v>45484</x:v>
      </x:c>
      <x:c r="E6222" s="9" t="n">
        <x:v>4022250</x:v>
      </x:c>
      <x:c r="F6222" s="9" t="n">
        <x:v>4022250</x:v>
      </x:c>
    </x:row>
    <x:row r="6223" ht="34" customHeight="1">
      <x:c r="A6223" s="4" t="str">
        <x:v>RS-03119-I2</x:v>
      </x:c>
      <x:c r="B6223" s="4" t="str">
        <x:v>RS-03119</x:v>
      </x:c>
      <x:c r="C6223" s="9" t="n">
        <x:v>2</x:v>
      </x:c>
      <x:c r="D6223" s="8" t="n">
        <x:v>45514</x:v>
      </x:c>
      <x:c r="E6223" s="9" t="n">
        <x:v>4022250</x:v>
      </x:c>
      <x:c r="F6223" s="9" t="n">
        <x:v>0</x:v>
      </x:c>
    </x:row>
    <x:row r="6224" ht="34" customHeight="1">
      <x:c r="A6224" s="4" t="str">
        <x:v>RS-03119-I3</x:v>
      </x:c>
      <x:c r="B6224" s="4" t="str">
        <x:v>RS-03119</x:v>
      </x:c>
      <x:c r="C6224" s="9" t="n">
        <x:v>3</x:v>
      </x:c>
      <x:c r="D6224" s="8" t="n">
        <x:v>45544</x:v>
      </x:c>
      <x:c r="E6224" s="9" t="n">
        <x:v>4022250</x:v>
      </x:c>
      <x:c r="F6224" s="9" t="n">
        <x:v>0</x:v>
      </x:c>
    </x:row>
    <x:row r="6225" ht="34" customHeight="1">
      <x:c r="A6225" s="4" t="str">
        <x:v>RS-03119-I4</x:v>
      </x:c>
      <x:c r="B6225" s="4" t="str">
        <x:v>RS-03119</x:v>
      </x:c>
      <x:c r="C6225" s="9" t="n">
        <x:v>4</x:v>
      </x:c>
      <x:c r="D6225" s="8" t="n">
        <x:v>45574</x:v>
      </x:c>
      <x:c r="E6225" s="9" t="n">
        <x:v>4022250</x:v>
      </x:c>
      <x:c r="F6225" s="9" t="n">
        <x:v>0</x:v>
      </x:c>
    </x:row>
    <x:row r="6226" ht="34" customHeight="1">
      <x:c r="A6226" s="4" t="str">
        <x:v>RS-03121-I1</x:v>
      </x:c>
      <x:c r="B6226" s="4" t="str">
        <x:v>RS-03121</x:v>
      </x:c>
      <x:c r="C6226" s="9" t="n">
        <x:v>1</x:v>
      </x:c>
      <x:c r="D6226" s="8" t="n">
        <x:v>45486</x:v>
      </x:c>
      <x:c r="E6226" s="9" t="n">
        <x:v>1032000</x:v>
      </x:c>
      <x:c r="F6226" s="9" t="n">
        <x:v>1032000</x:v>
      </x:c>
    </x:row>
    <x:row r="6227" ht="34" customHeight="1">
      <x:c r="A6227" s="4" t="str">
        <x:v>RS-03121-I2</x:v>
      </x:c>
      <x:c r="B6227" s="4" t="str">
        <x:v>RS-03121</x:v>
      </x:c>
      <x:c r="C6227" s="9" t="n">
        <x:v>2</x:v>
      </x:c>
      <x:c r="D6227" s="8" t="n">
        <x:v>45516</x:v>
      </x:c>
      <x:c r="E6227" s="9" t="n">
        <x:v>1032000</x:v>
      </x:c>
      <x:c r="F6227" s="9" t="n">
        <x:v>0</x:v>
      </x:c>
    </x:row>
    <x:row r="6228" ht="34" customHeight="1">
      <x:c r="A6228" s="4" t="str">
        <x:v>RS-03121-I3</x:v>
      </x:c>
      <x:c r="B6228" s="4" t="str">
        <x:v>RS-03121</x:v>
      </x:c>
      <x:c r="C6228" s="9" t="n">
        <x:v>3</x:v>
      </x:c>
      <x:c r="D6228" s="8" t="n">
        <x:v>45546</x:v>
      </x:c>
      <x:c r="E6228" s="9" t="n">
        <x:v>1032000</x:v>
      </x:c>
      <x:c r="F6228" s="9" t="n">
        <x:v>0</x:v>
      </x:c>
    </x:row>
    <x:row r="6229" ht="34" customHeight="1">
      <x:c r="A6229" s="4" t="str">
        <x:v>RS-03121-I4</x:v>
      </x:c>
      <x:c r="B6229" s="4" t="str">
        <x:v>RS-03121</x:v>
      </x:c>
      <x:c r="C6229" s="9" t="n">
        <x:v>4</x:v>
      </x:c>
      <x:c r="D6229" s="8" t="n">
        <x:v>45576</x:v>
      </x:c>
      <x:c r="E6229" s="9" t="n">
        <x:v>1032000</x:v>
      </x:c>
      <x:c r="F6229" s="9" t="n">
        <x:v>0</x:v>
      </x:c>
    </x:row>
    <x:row r="6230" ht="34" customHeight="1">
      <x:c r="A6230" s="4" t="str">
        <x:v>RS-03124-I1</x:v>
      </x:c>
      <x:c r="B6230" s="4" t="str">
        <x:v>RS-03124</x:v>
      </x:c>
      <x:c r="C6230" s="9" t="n">
        <x:v>1</x:v>
      </x:c>
      <x:c r="D6230" s="8" t="n">
        <x:v>45489</x:v>
      </x:c>
      <x:c r="E6230" s="9" t="n">
        <x:v>4663750</x:v>
      </x:c>
      <x:c r="F6230" s="9" t="n">
        <x:v>1865500</x:v>
      </x:c>
    </x:row>
    <x:row r="6231" ht="34" customHeight="1">
      <x:c r="A6231" s="4" t="str">
        <x:v>RS-03124-I2</x:v>
      </x:c>
      <x:c r="B6231" s="4" t="str">
        <x:v>RS-03124</x:v>
      </x:c>
      <x:c r="C6231" s="9" t="n">
        <x:v>2</x:v>
      </x:c>
      <x:c r="D6231" s="8" t="n">
        <x:v>45519</x:v>
      </x:c>
      <x:c r="E6231" s="9" t="n">
        <x:v>4663750</x:v>
      </x:c>
      <x:c r="F6231" s="9" t="n">
        <x:v>0</x:v>
      </x:c>
    </x:row>
    <x:row r="6232" ht="34" customHeight="1">
      <x:c r="A6232" s="4" t="str">
        <x:v>RS-03124-I3</x:v>
      </x:c>
      <x:c r="B6232" s="4" t="str">
        <x:v>RS-03124</x:v>
      </x:c>
      <x:c r="C6232" s="9" t="n">
        <x:v>3</x:v>
      </x:c>
      <x:c r="D6232" s="8" t="n">
        <x:v>45549</x:v>
      </x:c>
      <x:c r="E6232" s="9" t="n">
        <x:v>4663750</x:v>
      </x:c>
      <x:c r="F6232" s="9" t="n">
        <x:v>0</x:v>
      </x:c>
    </x:row>
    <x:row r="6233" ht="34" customHeight="1">
      <x:c r="A6233" s="4" t="str">
        <x:v>RS-03124-I4</x:v>
      </x:c>
      <x:c r="B6233" s="4" t="str">
        <x:v>RS-03124</x:v>
      </x:c>
      <x:c r="C6233" s="9" t="n">
        <x:v>4</x:v>
      </x:c>
      <x:c r="D6233" s="8" t="n">
        <x:v>45579</x:v>
      </x:c>
      <x:c r="E6233" s="9" t="n">
        <x:v>4663750</x:v>
      </x:c>
      <x:c r="F6233" s="9" t="n">
        <x:v>0</x:v>
      </x:c>
    </x:row>
    <x:row r="6234" ht="34" customHeight="1">
      <x:c r="A6234" s="4" t="str">
        <x:v>RS-03125-I1</x:v>
      </x:c>
      <x:c r="B6234" s="4" t="str">
        <x:v>RS-03125</x:v>
      </x:c>
      <x:c r="C6234" s="9" t="n">
        <x:v>1</x:v>
      </x:c>
      <x:c r="D6234" s="8" t="n">
        <x:v>45490</x:v>
      </x:c>
      <x:c r="E6234" s="9" t="n">
        <x:v>5248750</x:v>
      </x:c>
      <x:c r="F6234" s="9" t="n">
        <x:v>5248750</x:v>
      </x:c>
    </x:row>
    <x:row r="6235" ht="34" customHeight="1">
      <x:c r="A6235" s="4" t="str">
        <x:v>RS-03125-I2</x:v>
      </x:c>
      <x:c r="B6235" s="4" t="str">
        <x:v>RS-03125</x:v>
      </x:c>
      <x:c r="C6235" s="9" t="n">
        <x:v>2</x:v>
      </x:c>
      <x:c r="D6235" s="8" t="n">
        <x:v>45520</x:v>
      </x:c>
      <x:c r="E6235" s="9" t="n">
        <x:v>5248750</x:v>
      </x:c>
      <x:c r="F6235" s="9" t="n">
        <x:v>5248750</x:v>
      </x:c>
    </x:row>
    <x:row r="6236" ht="34" customHeight="1">
      <x:c r="A6236" s="4" t="str">
        <x:v>RS-03125-I3</x:v>
      </x:c>
      <x:c r="B6236" s="4" t="str">
        <x:v>RS-03125</x:v>
      </x:c>
      <x:c r="C6236" s="9" t="n">
        <x:v>3</x:v>
      </x:c>
      <x:c r="D6236" s="8" t="n">
        <x:v>45550</x:v>
      </x:c>
      <x:c r="E6236" s="9" t="n">
        <x:v>5248750</x:v>
      </x:c>
      <x:c r="F6236" s="9" t="n">
        <x:v>5248750</x:v>
      </x:c>
    </x:row>
    <x:row r="6237" ht="34" customHeight="1">
      <x:c r="A6237" s="4" t="str">
        <x:v>RS-03125-I4</x:v>
      </x:c>
      <x:c r="B6237" s="4" t="str">
        <x:v>RS-03125</x:v>
      </x:c>
      <x:c r="C6237" s="9" t="n">
        <x:v>4</x:v>
      </x:c>
      <x:c r="D6237" s="8" t="n">
        <x:v>45580</x:v>
      </x:c>
      <x:c r="E6237" s="9" t="n">
        <x:v>5248750</x:v>
      </x:c>
      <x:c r="F6237" s="9" t="n">
        <x:v>5248750</x:v>
      </x:c>
    </x:row>
    <x:row r="6238" ht="34" customHeight="1">
      <x:c r="A6238" s="4" t="str">
        <x:v>RS-03126-I1</x:v>
      </x:c>
      <x:c r="B6238" s="4" t="str">
        <x:v>RS-03126</x:v>
      </x:c>
      <x:c r="C6238" s="9" t="n">
        <x:v>1</x:v>
      </x:c>
      <x:c r="D6238" s="8" t="n">
        <x:v>45491</x:v>
      </x:c>
      <x:c r="E6238" s="9" t="n">
        <x:v>4812750</x:v>
      </x:c>
      <x:c r="F6238" s="9" t="n">
        <x:v>4812750</x:v>
      </x:c>
    </x:row>
    <x:row r="6239" ht="34" customHeight="1">
      <x:c r="A6239" s="4" t="str">
        <x:v>RS-03126-I2</x:v>
      </x:c>
      <x:c r="B6239" s="4" t="str">
        <x:v>RS-03126</x:v>
      </x:c>
      <x:c r="C6239" s="9" t="n">
        <x:v>2</x:v>
      </x:c>
      <x:c r="D6239" s="8" t="n">
        <x:v>45521</x:v>
      </x:c>
      <x:c r="E6239" s="9" t="n">
        <x:v>4812750</x:v>
      </x:c>
      <x:c r="F6239" s="9" t="n">
        <x:v>4812750</x:v>
      </x:c>
    </x:row>
    <x:row r="6240" ht="34" customHeight="1">
      <x:c r="A6240" s="4" t="str">
        <x:v>RS-03126-I3</x:v>
      </x:c>
      <x:c r="B6240" s="4" t="str">
        <x:v>RS-03126</x:v>
      </x:c>
      <x:c r="C6240" s="9" t="n">
        <x:v>3</x:v>
      </x:c>
      <x:c r="D6240" s="8" t="n">
        <x:v>45551</x:v>
      </x:c>
      <x:c r="E6240" s="9" t="n">
        <x:v>4812750</x:v>
      </x:c>
      <x:c r="F6240" s="9" t="n">
        <x:v>4812750</x:v>
      </x:c>
    </x:row>
    <x:row r="6241" ht="34" customHeight="1">
      <x:c r="A6241" s="4" t="str">
        <x:v>RS-03126-I4</x:v>
      </x:c>
      <x:c r="B6241" s="4" t="str">
        <x:v>RS-03126</x:v>
      </x:c>
      <x:c r="C6241" s="9" t="n">
        <x:v>4</x:v>
      </x:c>
      <x:c r="D6241" s="8" t="n">
        <x:v>45581</x:v>
      </x:c>
      <x:c r="E6241" s="9" t="n">
        <x:v>4812750</x:v>
      </x:c>
      <x:c r="F6241" s="9" t="n">
        <x:v>4812750</x:v>
      </x:c>
    </x:row>
    <x:row r="6242" ht="34" customHeight="1">
      <x:c r="A6242" s="4" t="str">
        <x:v>RS-03131-I1</x:v>
      </x:c>
      <x:c r="B6242" s="4" t="str">
        <x:v>RS-03131</x:v>
      </x:c>
      <x:c r="C6242" s="9" t="n">
        <x:v>1</x:v>
      </x:c>
      <x:c r="D6242" s="8" t="n">
        <x:v>45496</x:v>
      </x:c>
      <x:c r="E6242" s="9" t="n">
        <x:v>2867000</x:v>
      </x:c>
      <x:c r="F6242" s="9" t="n">
        <x:v>2867000</x:v>
      </x:c>
    </x:row>
    <x:row r="6243" ht="34" customHeight="1">
      <x:c r="A6243" s="4" t="str">
        <x:v>RS-03131-I2</x:v>
      </x:c>
      <x:c r="B6243" s="4" t="str">
        <x:v>RS-03131</x:v>
      </x:c>
      <x:c r="C6243" s="9" t="n">
        <x:v>2</x:v>
      </x:c>
      <x:c r="D6243" s="8" t="n">
        <x:v>45526</x:v>
      </x:c>
      <x:c r="E6243" s="9" t="n">
        <x:v>2867000</x:v>
      </x:c>
      <x:c r="F6243" s="9" t="n">
        <x:v>2867000</x:v>
      </x:c>
    </x:row>
    <x:row r="6244" ht="34" customHeight="1">
      <x:c r="A6244" s="4" t="str">
        <x:v>RS-03131-I3</x:v>
      </x:c>
      <x:c r="B6244" s="4" t="str">
        <x:v>RS-03131</x:v>
      </x:c>
      <x:c r="C6244" s="9" t="n">
        <x:v>3</x:v>
      </x:c>
      <x:c r="D6244" s="8" t="n">
        <x:v>45556</x:v>
      </x:c>
      <x:c r="E6244" s="9" t="n">
        <x:v>2867000</x:v>
      </x:c>
      <x:c r="F6244" s="9" t="n">
        <x:v>2867000</x:v>
      </x:c>
    </x:row>
    <x:row r="6245" ht="34" customHeight="1">
      <x:c r="A6245" s="4" t="str">
        <x:v>RS-03131-I4</x:v>
      </x:c>
      <x:c r="B6245" s="4" t="str">
        <x:v>RS-03131</x:v>
      </x:c>
      <x:c r="C6245" s="9" t="n">
        <x:v>4</x:v>
      </x:c>
      <x:c r="D6245" s="8" t="n">
        <x:v>45586</x:v>
      </x:c>
      <x:c r="E6245" s="9" t="n">
        <x:v>2867000</x:v>
      </x:c>
      <x:c r="F6245" s="9" t="n">
        <x:v>2867000</x:v>
      </x:c>
    </x:row>
    <x:row r="6246" ht="34" customHeight="1">
      <x:c r="A6246" s="4" t="str">
        <x:v>RS-03132-I1</x:v>
      </x:c>
      <x:c r="B6246" s="4" t="str">
        <x:v>RS-03132</x:v>
      </x:c>
      <x:c r="C6246" s="9" t="n">
        <x:v>1</x:v>
      </x:c>
      <x:c r="D6246" s="8" t="n">
        <x:v>45497</x:v>
      </x:c>
      <x:c r="E6246" s="9" t="n">
        <x:v>5820000</x:v>
      </x:c>
      <x:c r="F6246" s="9" t="n">
        <x:v>5820000</x:v>
      </x:c>
    </x:row>
    <x:row r="6247" ht="34" customHeight="1">
      <x:c r="A6247" s="4" t="str">
        <x:v>RS-03132-I2</x:v>
      </x:c>
      <x:c r="B6247" s="4" t="str">
        <x:v>RS-03132</x:v>
      </x:c>
      <x:c r="C6247" s="9" t="n">
        <x:v>2</x:v>
      </x:c>
      <x:c r="D6247" s="8" t="n">
        <x:v>45527</x:v>
      </x:c>
      <x:c r="E6247" s="9" t="n">
        <x:v>5820000</x:v>
      </x:c>
      <x:c r="F6247" s="9" t="n">
        <x:v>5820000</x:v>
      </x:c>
    </x:row>
    <x:row r="6248" ht="34" customHeight="1">
      <x:c r="A6248" s="4" t="str">
        <x:v>RS-03132-I3</x:v>
      </x:c>
      <x:c r="B6248" s="4" t="str">
        <x:v>RS-03132</x:v>
      </x:c>
      <x:c r="C6248" s="9" t="n">
        <x:v>3</x:v>
      </x:c>
      <x:c r="D6248" s="8" t="n">
        <x:v>45557</x:v>
      </x:c>
      <x:c r="E6248" s="9" t="n">
        <x:v>5820000</x:v>
      </x:c>
      <x:c r="F6248" s="9" t="n">
        <x:v>5820000</x:v>
      </x:c>
    </x:row>
    <x:row r="6249" ht="34" customHeight="1">
      <x:c r="A6249" s="4" t="str">
        <x:v>RS-03132-I4</x:v>
      </x:c>
      <x:c r="B6249" s="4" t="str">
        <x:v>RS-03132</x:v>
      </x:c>
      <x:c r="C6249" s="9" t="n">
        <x:v>4</x:v>
      </x:c>
      <x:c r="D6249" s="8" t="n">
        <x:v>45587</x:v>
      </x:c>
      <x:c r="E6249" s="9" t="n">
        <x:v>5820000</x:v>
      </x:c>
      <x:c r="F6249" s="9" t="n">
        <x:v>5820000</x:v>
      </x:c>
    </x:row>
    <x:row r="6250" ht="34" customHeight="1">
      <x:c r="A6250" s="4" t="str">
        <x:v>RS-03134-I1</x:v>
      </x:c>
      <x:c r="B6250" s="4" t="str">
        <x:v>RS-03134</x:v>
      </x:c>
      <x:c r="C6250" s="9" t="n">
        <x:v>1</x:v>
      </x:c>
      <x:c r="D6250" s="8" t="n">
        <x:v>45499</x:v>
      </x:c>
      <x:c r="E6250" s="9" t="n">
        <x:v>5027750</x:v>
      </x:c>
      <x:c r="F6250" s="9" t="n">
        <x:v>5027750</x:v>
      </x:c>
    </x:row>
    <x:row r="6251" ht="34" customHeight="1">
      <x:c r="A6251" s="4" t="str">
        <x:v>RS-03134-I2</x:v>
      </x:c>
      <x:c r="B6251" s="4" t="str">
        <x:v>RS-03134</x:v>
      </x:c>
      <x:c r="C6251" s="9" t="n">
        <x:v>2</x:v>
      </x:c>
      <x:c r="D6251" s="8" t="n">
        <x:v>45529</x:v>
      </x:c>
      <x:c r="E6251" s="9" t="n">
        <x:v>5027750</x:v>
      </x:c>
      <x:c r="F6251" s="9" t="n">
        <x:v>5027750</x:v>
      </x:c>
    </x:row>
    <x:row r="6252" ht="34" customHeight="1">
      <x:c r="A6252" s="4" t="str">
        <x:v>RS-03134-I3</x:v>
      </x:c>
      <x:c r="B6252" s="4" t="str">
        <x:v>RS-03134</x:v>
      </x:c>
      <x:c r="C6252" s="9" t="n">
        <x:v>3</x:v>
      </x:c>
      <x:c r="D6252" s="8" t="n">
        <x:v>45559</x:v>
      </x:c>
      <x:c r="E6252" s="9" t="n">
        <x:v>5027750</x:v>
      </x:c>
      <x:c r="F6252" s="9" t="n">
        <x:v>0</x:v>
      </x:c>
    </x:row>
    <x:row r="6253" ht="34" customHeight="1">
      <x:c r="A6253" s="4" t="str">
        <x:v>RS-03134-I4</x:v>
      </x:c>
      <x:c r="B6253" s="4" t="str">
        <x:v>RS-03134</x:v>
      </x:c>
      <x:c r="C6253" s="9" t="n">
        <x:v>4</x:v>
      </x:c>
      <x:c r="D6253" s="8" t="n">
        <x:v>45589</x:v>
      </x:c>
      <x:c r="E6253" s="9" t="n">
        <x:v>5027750</x:v>
      </x:c>
      <x:c r="F6253" s="9" t="n">
        <x:v>0</x:v>
      </x:c>
    </x:row>
    <x:row r="6254" ht="34" customHeight="1">
      <x:c r="A6254" s="4" t="str">
        <x:v>RS-03136-I1</x:v>
      </x:c>
      <x:c r="B6254" s="4" t="str">
        <x:v>RS-03136</x:v>
      </x:c>
      <x:c r="C6254" s="9" t="n">
        <x:v>1</x:v>
      </x:c>
      <x:c r="D6254" s="8" t="n">
        <x:v>45501</x:v>
      </x:c>
      <x:c r="E6254" s="9" t="n">
        <x:v>2254000</x:v>
      </x:c>
      <x:c r="F6254" s="9" t="n">
        <x:v>2254000</x:v>
      </x:c>
    </x:row>
    <x:row r="6255" ht="34" customHeight="1">
      <x:c r="A6255" s="4" t="str">
        <x:v>RS-03136-I2</x:v>
      </x:c>
      <x:c r="B6255" s="4" t="str">
        <x:v>RS-03136</x:v>
      </x:c>
      <x:c r="C6255" s="9" t="n">
        <x:v>2</x:v>
      </x:c>
      <x:c r="D6255" s="8" t="n">
        <x:v>45531</x:v>
      </x:c>
      <x:c r="E6255" s="9" t="n">
        <x:v>2254000</x:v>
      </x:c>
      <x:c r="F6255" s="9" t="n">
        <x:v>0</x:v>
      </x:c>
    </x:row>
    <x:row r="6256" ht="34" customHeight="1">
      <x:c r="A6256" s="4" t="str">
        <x:v>RS-03136-I3</x:v>
      </x:c>
      <x:c r="B6256" s="4" t="str">
        <x:v>RS-03136</x:v>
      </x:c>
      <x:c r="C6256" s="9" t="n">
        <x:v>3</x:v>
      </x:c>
      <x:c r="D6256" s="8" t="n">
        <x:v>45561</x:v>
      </x:c>
      <x:c r="E6256" s="9" t="n">
        <x:v>2254000</x:v>
      </x:c>
      <x:c r="F6256" s="9" t="n">
        <x:v>0</x:v>
      </x:c>
    </x:row>
    <x:row r="6257" ht="34" customHeight="1">
      <x:c r="A6257" s="4" t="str">
        <x:v>RS-03136-I4</x:v>
      </x:c>
      <x:c r="B6257" s="4" t="str">
        <x:v>RS-03136</x:v>
      </x:c>
      <x:c r="C6257" s="9" t="n">
        <x:v>4</x:v>
      </x:c>
      <x:c r="D6257" s="8" t="n">
        <x:v>45591</x:v>
      </x:c>
      <x:c r="E6257" s="9" t="n">
        <x:v>2254000</x:v>
      </x:c>
      <x:c r="F6257" s="9" t="n">
        <x:v>0</x:v>
      </x:c>
    </x:row>
    <x:row r="6258" ht="34" customHeight="1">
      <x:c r="A6258" s="4" t="str">
        <x:v>RS-03139-I1</x:v>
      </x:c>
      <x:c r="B6258" s="4" t="str">
        <x:v>RS-03139</x:v>
      </x:c>
      <x:c r="C6258" s="9" t="n">
        <x:v>1</x:v>
      </x:c>
      <x:c r="D6258" s="8" t="n">
        <x:v>45476</x:v>
      </x:c>
      <x:c r="E6258" s="9" t="n">
        <x:v>4680000</x:v>
      </x:c>
      <x:c r="F6258" s="9" t="n">
        <x:v>1872000</x:v>
      </x:c>
    </x:row>
    <x:row r="6259" ht="34" customHeight="1">
      <x:c r="A6259" s="4" t="str">
        <x:v>RS-03139-I2</x:v>
      </x:c>
      <x:c r="B6259" s="4" t="str">
        <x:v>RS-03139</x:v>
      </x:c>
      <x:c r="C6259" s="9" t="n">
        <x:v>2</x:v>
      </x:c>
      <x:c r="D6259" s="8" t="n">
        <x:v>45506</x:v>
      </x:c>
      <x:c r="E6259" s="9" t="n">
        <x:v>4680000</x:v>
      </x:c>
      <x:c r="F6259" s="9" t="n">
        <x:v>0</x:v>
      </x:c>
    </x:row>
    <x:row r="6260" ht="34" customHeight="1">
      <x:c r="A6260" s="4" t="str">
        <x:v>RS-03139-I3</x:v>
      </x:c>
      <x:c r="B6260" s="4" t="str">
        <x:v>RS-03139</x:v>
      </x:c>
      <x:c r="C6260" s="9" t="n">
        <x:v>3</x:v>
      </x:c>
      <x:c r="D6260" s="8" t="n">
        <x:v>45536</x:v>
      </x:c>
      <x:c r="E6260" s="9" t="n">
        <x:v>4680000</x:v>
      </x:c>
      <x:c r="F6260" s="9" t="n">
        <x:v>0</x:v>
      </x:c>
    </x:row>
    <x:row r="6261" ht="34" customHeight="1">
      <x:c r="A6261" s="4" t="str">
        <x:v>RS-03139-I4</x:v>
      </x:c>
      <x:c r="B6261" s="4" t="str">
        <x:v>RS-03139</x:v>
      </x:c>
      <x:c r="C6261" s="9" t="n">
        <x:v>4</x:v>
      </x:c>
      <x:c r="D6261" s="8" t="n">
        <x:v>45566</x:v>
      </x:c>
      <x:c r="E6261" s="9" t="n">
        <x:v>4680000</x:v>
      </x:c>
      <x:c r="F6261" s="9" t="n">
        <x:v>0</x:v>
      </x:c>
    </x:row>
    <x:row r="6262" ht="34" customHeight="1">
      <x:c r="A6262" s="4" t="str">
        <x:v>RS-03142-I1</x:v>
      </x:c>
      <x:c r="B6262" s="4" t="str">
        <x:v>RS-03142</x:v>
      </x:c>
      <x:c r="C6262" s="9" t="n">
        <x:v>1</x:v>
      </x:c>
      <x:c r="D6262" s="8" t="n">
        <x:v>45479</x:v>
      </x:c>
      <x:c r="E6262" s="9" t="n">
        <x:v>2992500</x:v>
      </x:c>
      <x:c r="F6262" s="9" t="n">
        <x:v>1197000</x:v>
      </x:c>
    </x:row>
    <x:row r="6263" ht="34" customHeight="1">
      <x:c r="A6263" s="4" t="str">
        <x:v>RS-03142-I2</x:v>
      </x:c>
      <x:c r="B6263" s="4" t="str">
        <x:v>RS-03142</x:v>
      </x:c>
      <x:c r="C6263" s="9" t="n">
        <x:v>2</x:v>
      </x:c>
      <x:c r="D6263" s="8" t="n">
        <x:v>45509</x:v>
      </x:c>
      <x:c r="E6263" s="9" t="n">
        <x:v>2992500</x:v>
      </x:c>
      <x:c r="F6263" s="9" t="n">
        <x:v>0</x:v>
      </x:c>
    </x:row>
    <x:row r="6264" ht="34" customHeight="1">
      <x:c r="A6264" s="4" t="str">
        <x:v>RS-03142-I3</x:v>
      </x:c>
      <x:c r="B6264" s="4" t="str">
        <x:v>RS-03142</x:v>
      </x:c>
      <x:c r="C6264" s="9" t="n">
        <x:v>3</x:v>
      </x:c>
      <x:c r="D6264" s="8" t="n">
        <x:v>45539</x:v>
      </x:c>
      <x:c r="E6264" s="9" t="n">
        <x:v>2992500</x:v>
      </x:c>
      <x:c r="F6264" s="9" t="n">
        <x:v>0</x:v>
      </x:c>
    </x:row>
    <x:row r="6265" ht="34" customHeight="1">
      <x:c r="A6265" s="4" t="str">
        <x:v>RS-03142-I4</x:v>
      </x:c>
      <x:c r="B6265" s="4" t="str">
        <x:v>RS-03142</x:v>
      </x:c>
      <x:c r="C6265" s="9" t="n">
        <x:v>4</x:v>
      </x:c>
      <x:c r="D6265" s="8" t="n">
        <x:v>45569</x:v>
      </x:c>
      <x:c r="E6265" s="9" t="n">
        <x:v>2992500</x:v>
      </x:c>
      <x:c r="F6265" s="9" t="n">
        <x:v>0</x:v>
      </x:c>
    </x:row>
    <x:row r="6266" ht="34" customHeight="1">
      <x:c r="A6266" s="4" t="str">
        <x:v>RS-03143-I1</x:v>
      </x:c>
      <x:c r="B6266" s="4" t="str">
        <x:v>RS-03143</x:v>
      </x:c>
      <x:c r="C6266" s="9" t="n">
        <x:v>1</x:v>
      </x:c>
      <x:c r="D6266" s="8" t="n">
        <x:v>45480</x:v>
      </x:c>
      <x:c r="E6266" s="9" t="n">
        <x:v>6025000</x:v>
      </x:c>
      <x:c r="F6266" s="9" t="n">
        <x:v>6025000</x:v>
      </x:c>
    </x:row>
    <x:row r="6267" ht="34" customHeight="1">
      <x:c r="A6267" s="4" t="str">
        <x:v>RS-03143-I2</x:v>
      </x:c>
      <x:c r="B6267" s="4" t="str">
        <x:v>RS-03143</x:v>
      </x:c>
      <x:c r="C6267" s="9" t="n">
        <x:v>2</x:v>
      </x:c>
      <x:c r="D6267" s="8" t="n">
        <x:v>45510</x:v>
      </x:c>
      <x:c r="E6267" s="9" t="n">
        <x:v>6025000</x:v>
      </x:c>
      <x:c r="F6267" s="9" t="n">
        <x:v>6025000</x:v>
      </x:c>
    </x:row>
    <x:row r="6268" ht="34" customHeight="1">
      <x:c r="A6268" s="4" t="str">
        <x:v>RS-03143-I3</x:v>
      </x:c>
      <x:c r="B6268" s="4" t="str">
        <x:v>RS-03143</x:v>
      </x:c>
      <x:c r="C6268" s="9" t="n">
        <x:v>3</x:v>
      </x:c>
      <x:c r="D6268" s="8" t="n">
        <x:v>45540</x:v>
      </x:c>
      <x:c r="E6268" s="9" t="n">
        <x:v>6025000</x:v>
      </x:c>
      <x:c r="F6268" s="9" t="n">
        <x:v>6025000</x:v>
      </x:c>
    </x:row>
    <x:row r="6269" ht="34" customHeight="1">
      <x:c r="A6269" s="4" t="str">
        <x:v>RS-03143-I4</x:v>
      </x:c>
      <x:c r="B6269" s="4" t="str">
        <x:v>RS-03143</x:v>
      </x:c>
      <x:c r="C6269" s="9" t="n">
        <x:v>4</x:v>
      </x:c>
      <x:c r="D6269" s="8" t="n">
        <x:v>45570</x:v>
      </x:c>
      <x:c r="E6269" s="9" t="n">
        <x:v>6025000</x:v>
      </x:c>
      <x:c r="F6269" s="9" t="n">
        <x:v>6025000</x:v>
      </x:c>
    </x:row>
    <x:row r="6270" ht="34" customHeight="1">
      <x:c r="A6270" s="4" t="str">
        <x:v>RS-03148-I1</x:v>
      </x:c>
      <x:c r="B6270" s="4" t="str">
        <x:v>RS-03148</x:v>
      </x:c>
      <x:c r="C6270" s="9" t="n">
        <x:v>1</x:v>
      </x:c>
      <x:c r="D6270" s="8" t="n">
        <x:v>45485</x:v>
      </x:c>
      <x:c r="E6270" s="9" t="n">
        <x:v>4704000</x:v>
      </x:c>
      <x:c r="F6270" s="9" t="n">
        <x:v>4704000</x:v>
      </x:c>
    </x:row>
    <x:row r="6271" ht="34" customHeight="1">
      <x:c r="A6271" s="4" t="str">
        <x:v>RS-03148-I2</x:v>
      </x:c>
      <x:c r="B6271" s="4" t="str">
        <x:v>RS-03148</x:v>
      </x:c>
      <x:c r="C6271" s="9" t="n">
        <x:v>2</x:v>
      </x:c>
      <x:c r="D6271" s="8" t="n">
        <x:v>45515</x:v>
      </x:c>
      <x:c r="E6271" s="9" t="n">
        <x:v>4704000</x:v>
      </x:c>
      <x:c r="F6271" s="9" t="n">
        <x:v>0</x:v>
      </x:c>
    </x:row>
    <x:row r="6272" ht="34" customHeight="1">
      <x:c r="A6272" s="4" t="str">
        <x:v>RS-03148-I3</x:v>
      </x:c>
      <x:c r="B6272" s="4" t="str">
        <x:v>RS-03148</x:v>
      </x:c>
      <x:c r="C6272" s="9" t="n">
        <x:v>3</x:v>
      </x:c>
      <x:c r="D6272" s="8" t="n">
        <x:v>45545</x:v>
      </x:c>
      <x:c r="E6272" s="9" t="n">
        <x:v>4704000</x:v>
      </x:c>
      <x:c r="F6272" s="9" t="n">
        <x:v>0</x:v>
      </x:c>
    </x:row>
    <x:row r="6273" ht="34" customHeight="1">
      <x:c r="A6273" s="4" t="str">
        <x:v>RS-03148-I4</x:v>
      </x:c>
      <x:c r="B6273" s="4" t="str">
        <x:v>RS-03148</x:v>
      </x:c>
      <x:c r="C6273" s="9" t="n">
        <x:v>4</x:v>
      </x:c>
      <x:c r="D6273" s="8" t="n">
        <x:v>45575</x:v>
      </x:c>
      <x:c r="E6273" s="9" t="n">
        <x:v>4704000</x:v>
      </x:c>
      <x:c r="F6273" s="9" t="n">
        <x:v>0</x:v>
      </x:c>
    </x:row>
    <x:row r="6274" ht="34" customHeight="1">
      <x:c r="A6274" s="4" t="str">
        <x:v>RS-03155-I1</x:v>
      </x:c>
      <x:c r="B6274" s="4" t="str">
        <x:v>RS-03155</x:v>
      </x:c>
      <x:c r="C6274" s="9" t="n">
        <x:v>1</x:v>
      </x:c>
      <x:c r="D6274" s="8" t="n">
        <x:v>45492</x:v>
      </x:c>
      <x:c r="E6274" s="9" t="n">
        <x:v>2890500</x:v>
      </x:c>
      <x:c r="F6274" s="9" t="n">
        <x:v>2890500</x:v>
      </x:c>
    </x:row>
    <x:row r="6275" ht="34" customHeight="1">
      <x:c r="A6275" s="4" t="str">
        <x:v>RS-03155-I2</x:v>
      </x:c>
      <x:c r="B6275" s="4" t="str">
        <x:v>RS-03155</x:v>
      </x:c>
      <x:c r="C6275" s="9" t="n">
        <x:v>2</x:v>
      </x:c>
      <x:c r="D6275" s="8" t="n">
        <x:v>45522</x:v>
      </x:c>
      <x:c r="E6275" s="9" t="n">
        <x:v>2890500</x:v>
      </x:c>
      <x:c r="F6275" s="9" t="n">
        <x:v>2890500</x:v>
      </x:c>
    </x:row>
    <x:row r="6276" ht="34" customHeight="1">
      <x:c r="A6276" s="4" t="str">
        <x:v>RS-03155-I3</x:v>
      </x:c>
      <x:c r="B6276" s="4" t="str">
        <x:v>RS-03155</x:v>
      </x:c>
      <x:c r="C6276" s="9" t="n">
        <x:v>3</x:v>
      </x:c>
      <x:c r="D6276" s="8" t="n">
        <x:v>45552</x:v>
      </x:c>
      <x:c r="E6276" s="9" t="n">
        <x:v>2890500</x:v>
      </x:c>
      <x:c r="F6276" s="9" t="n">
        <x:v>2890500</x:v>
      </x:c>
    </x:row>
    <x:row r="6277" ht="34" customHeight="1">
      <x:c r="A6277" s="4" t="str">
        <x:v>RS-03155-I4</x:v>
      </x:c>
      <x:c r="B6277" s="4" t="str">
        <x:v>RS-03155</x:v>
      </x:c>
      <x:c r="C6277" s="9" t="n">
        <x:v>4</x:v>
      </x:c>
      <x:c r="D6277" s="8" t="n">
        <x:v>45582</x:v>
      </x:c>
      <x:c r="E6277" s="9" t="n">
        <x:v>2890500</x:v>
      </x:c>
      <x:c r="F6277" s="9" t="n">
        <x:v>2890500</x:v>
      </x:c>
    </x:row>
    <x:row r="6278" ht="34" customHeight="1">
      <x:c r="A6278" s="4" t="str">
        <x:v>RS-03158-I1</x:v>
      </x:c>
      <x:c r="B6278" s="4" t="str">
        <x:v>RS-03158</x:v>
      </x:c>
      <x:c r="C6278" s="9" t="n">
        <x:v>1</x:v>
      </x:c>
      <x:c r="D6278" s="8" t="n">
        <x:v>45495</x:v>
      </x:c>
      <x:c r="E6278" s="9" t="n">
        <x:v>5663500</x:v>
      </x:c>
      <x:c r="F6278" s="9" t="n">
        <x:v>5663500</x:v>
      </x:c>
    </x:row>
    <x:row r="6279" ht="34" customHeight="1">
      <x:c r="A6279" s="4" t="str">
        <x:v>RS-03158-I2</x:v>
      </x:c>
      <x:c r="B6279" s="4" t="str">
        <x:v>RS-03158</x:v>
      </x:c>
      <x:c r="C6279" s="9" t="n">
        <x:v>2</x:v>
      </x:c>
      <x:c r="D6279" s="8" t="n">
        <x:v>45525</x:v>
      </x:c>
      <x:c r="E6279" s="9" t="n">
        <x:v>5663500</x:v>
      </x:c>
      <x:c r="F6279" s="9" t="n">
        <x:v>0</x:v>
      </x:c>
    </x:row>
    <x:row r="6280" ht="34" customHeight="1">
      <x:c r="A6280" s="4" t="str">
        <x:v>RS-03158-I3</x:v>
      </x:c>
      <x:c r="B6280" s="4" t="str">
        <x:v>RS-03158</x:v>
      </x:c>
      <x:c r="C6280" s="9" t="n">
        <x:v>3</x:v>
      </x:c>
      <x:c r="D6280" s="8" t="n">
        <x:v>45555</x:v>
      </x:c>
      <x:c r="E6280" s="9" t="n">
        <x:v>5663500</x:v>
      </x:c>
      <x:c r="F6280" s="9" t="n">
        <x:v>0</x:v>
      </x:c>
    </x:row>
    <x:row r="6281" ht="34" customHeight="1">
      <x:c r="A6281" s="4" t="str">
        <x:v>RS-03158-I4</x:v>
      </x:c>
      <x:c r="B6281" s="4" t="str">
        <x:v>RS-03158</x:v>
      </x:c>
      <x:c r="C6281" s="9" t="n">
        <x:v>4</x:v>
      </x:c>
      <x:c r="D6281" s="8" t="n">
        <x:v>45585</x:v>
      </x:c>
      <x:c r="E6281" s="9" t="n">
        <x:v>5663500</x:v>
      </x:c>
      <x:c r="F6281" s="9" t="n">
        <x:v>0</x:v>
      </x:c>
    </x:row>
    <x:row r="6282" ht="34" customHeight="1">
      <x:c r="A6282" s="4" t="str">
        <x:v>RS-03159-I1</x:v>
      </x:c>
      <x:c r="B6282" s="4" t="str">
        <x:v>RS-03159</x:v>
      </x:c>
      <x:c r="C6282" s="9" t="n">
        <x:v>1</x:v>
      </x:c>
      <x:c r="D6282" s="8" t="n">
        <x:v>45496</x:v>
      </x:c>
      <x:c r="E6282" s="9" t="n">
        <x:v>2442000</x:v>
      </x:c>
      <x:c r="F6282" s="9" t="n">
        <x:v>2442000</x:v>
      </x:c>
    </x:row>
    <x:row r="6283" ht="34" customHeight="1">
      <x:c r="A6283" s="4" t="str">
        <x:v>RS-03159-I2</x:v>
      </x:c>
      <x:c r="B6283" s="4" t="str">
        <x:v>RS-03159</x:v>
      </x:c>
      <x:c r="C6283" s="9" t="n">
        <x:v>2</x:v>
      </x:c>
      <x:c r="D6283" s="8" t="n">
        <x:v>45526</x:v>
      </x:c>
      <x:c r="E6283" s="9" t="n">
        <x:v>2442000</x:v>
      </x:c>
      <x:c r="F6283" s="9" t="n">
        <x:v>2442000</x:v>
      </x:c>
    </x:row>
    <x:row r="6284" ht="34" customHeight="1">
      <x:c r="A6284" s="4" t="str">
        <x:v>RS-03159-I3</x:v>
      </x:c>
      <x:c r="B6284" s="4" t="str">
        <x:v>RS-03159</x:v>
      </x:c>
      <x:c r="C6284" s="9" t="n">
        <x:v>3</x:v>
      </x:c>
      <x:c r="D6284" s="8" t="n">
        <x:v>45556</x:v>
      </x:c>
      <x:c r="E6284" s="9" t="n">
        <x:v>2442000</x:v>
      </x:c>
      <x:c r="F6284" s="9" t="n">
        <x:v>0</x:v>
      </x:c>
    </x:row>
    <x:row r="6285" ht="34" customHeight="1">
      <x:c r="A6285" s="4" t="str">
        <x:v>RS-03159-I4</x:v>
      </x:c>
      <x:c r="B6285" s="4" t="str">
        <x:v>RS-03159</x:v>
      </x:c>
      <x:c r="C6285" s="9" t="n">
        <x:v>4</x:v>
      </x:c>
      <x:c r="D6285" s="8" t="n">
        <x:v>45586</x:v>
      </x:c>
      <x:c r="E6285" s="9" t="n">
        <x:v>2442000</x:v>
      </x:c>
      <x:c r="F6285" s="9" t="n">
        <x:v>0</x:v>
      </x:c>
    </x:row>
    <x:row r="6286" ht="34" customHeight="1">
      <x:c r="A6286" s="4" t="str">
        <x:v>RS-03167-I1</x:v>
      </x:c>
      <x:c r="B6286" s="4" t="str">
        <x:v>RS-03167</x:v>
      </x:c>
      <x:c r="C6286" s="9" t="n">
        <x:v>1</x:v>
      </x:c>
      <x:c r="D6286" s="8" t="n">
        <x:v>45476</x:v>
      </x:c>
      <x:c r="E6286" s="9" t="n">
        <x:v>2280000</x:v>
      </x:c>
      <x:c r="F6286" s="9" t="n">
        <x:v>912000</x:v>
      </x:c>
    </x:row>
    <x:row r="6287" ht="34" customHeight="1">
      <x:c r="A6287" s="4" t="str">
        <x:v>RS-03167-I2</x:v>
      </x:c>
      <x:c r="B6287" s="4" t="str">
        <x:v>RS-03167</x:v>
      </x:c>
      <x:c r="C6287" s="9" t="n">
        <x:v>2</x:v>
      </x:c>
      <x:c r="D6287" s="8" t="n">
        <x:v>45506</x:v>
      </x:c>
      <x:c r="E6287" s="9" t="n">
        <x:v>2280000</x:v>
      </x:c>
      <x:c r="F6287" s="9" t="n">
        <x:v>0</x:v>
      </x:c>
    </x:row>
    <x:row r="6288" ht="34" customHeight="1">
      <x:c r="A6288" s="4" t="str">
        <x:v>RS-03167-I3</x:v>
      </x:c>
      <x:c r="B6288" s="4" t="str">
        <x:v>RS-03167</x:v>
      </x:c>
      <x:c r="C6288" s="9" t="n">
        <x:v>3</x:v>
      </x:c>
      <x:c r="D6288" s="8" t="n">
        <x:v>45536</x:v>
      </x:c>
      <x:c r="E6288" s="9" t="n">
        <x:v>2280000</x:v>
      </x:c>
      <x:c r="F6288" s="9" t="n">
        <x:v>0</x:v>
      </x:c>
    </x:row>
    <x:row r="6289" ht="34" customHeight="1">
      <x:c r="A6289" s="4" t="str">
        <x:v>RS-03167-I4</x:v>
      </x:c>
      <x:c r="B6289" s="4" t="str">
        <x:v>RS-03167</x:v>
      </x:c>
      <x:c r="C6289" s="9" t="n">
        <x:v>4</x:v>
      </x:c>
      <x:c r="D6289" s="8" t="n">
        <x:v>45566</x:v>
      </x:c>
      <x:c r="E6289" s="9" t="n">
        <x:v>2280000</x:v>
      </x:c>
      <x:c r="F6289" s="9" t="n">
        <x:v>0</x:v>
      </x:c>
    </x:row>
    <x:row r="6290" ht="34" customHeight="1">
      <x:c r="A6290" s="4" t="str">
        <x:v>RS-03169-I1</x:v>
      </x:c>
      <x:c r="B6290" s="4" t="str">
        <x:v>RS-03169</x:v>
      </x:c>
      <x:c r="C6290" s="9" t="n">
        <x:v>1</x:v>
      </x:c>
      <x:c r="D6290" s="8" t="n">
        <x:v>45478</x:v>
      </x:c>
      <x:c r="E6290" s="9" t="n">
        <x:v>5696250</x:v>
      </x:c>
      <x:c r="F6290" s="9" t="n">
        <x:v>5696250</x:v>
      </x:c>
    </x:row>
    <x:row r="6291" ht="34" customHeight="1">
      <x:c r="A6291" s="4" t="str">
        <x:v>RS-03169-I2</x:v>
      </x:c>
      <x:c r="B6291" s="4" t="str">
        <x:v>RS-03169</x:v>
      </x:c>
      <x:c r="C6291" s="9" t="n">
        <x:v>2</x:v>
      </x:c>
      <x:c r="D6291" s="8" t="n">
        <x:v>45508</x:v>
      </x:c>
      <x:c r="E6291" s="9" t="n">
        <x:v>5696250</x:v>
      </x:c>
      <x:c r="F6291" s="9" t="n">
        <x:v>5696250</x:v>
      </x:c>
    </x:row>
    <x:row r="6292" ht="34" customHeight="1">
      <x:c r="A6292" s="4" t="str">
        <x:v>RS-03169-I3</x:v>
      </x:c>
      <x:c r="B6292" s="4" t="str">
        <x:v>RS-03169</x:v>
      </x:c>
      <x:c r="C6292" s="9" t="n">
        <x:v>3</x:v>
      </x:c>
      <x:c r="D6292" s="8" t="n">
        <x:v>45538</x:v>
      </x:c>
      <x:c r="E6292" s="9" t="n">
        <x:v>5696250</x:v>
      </x:c>
      <x:c r="F6292" s="9" t="n">
        <x:v>5696250</x:v>
      </x:c>
    </x:row>
    <x:row r="6293" ht="34" customHeight="1">
      <x:c r="A6293" s="4" t="str">
        <x:v>RS-03169-I4</x:v>
      </x:c>
      <x:c r="B6293" s="4" t="str">
        <x:v>RS-03169</x:v>
      </x:c>
      <x:c r="C6293" s="9" t="n">
        <x:v>4</x:v>
      </x:c>
      <x:c r="D6293" s="8" t="n">
        <x:v>45568</x:v>
      </x:c>
      <x:c r="E6293" s="9" t="n">
        <x:v>5696250</x:v>
      </x:c>
      <x:c r="F6293" s="9" t="n">
        <x:v>5696250</x:v>
      </x:c>
    </x:row>
    <x:row r="6294" ht="34" customHeight="1">
      <x:c r="A6294" s="4" t="str">
        <x:v>RS-03173-I1</x:v>
      </x:c>
      <x:c r="B6294" s="4" t="str">
        <x:v>RS-03173</x:v>
      </x:c>
      <x:c r="C6294" s="9" t="n">
        <x:v>1</x:v>
      </x:c>
      <x:c r="D6294" s="8" t="n">
        <x:v>45482</x:v>
      </x:c>
      <x:c r="E6294" s="9" t="n">
        <x:v>1104500</x:v>
      </x:c>
      <x:c r="F6294" s="9" t="n">
        <x:v>1104500</x:v>
      </x:c>
    </x:row>
    <x:row r="6295" ht="34" customHeight="1">
      <x:c r="A6295" s="4" t="str">
        <x:v>RS-03173-I2</x:v>
      </x:c>
      <x:c r="B6295" s="4" t="str">
        <x:v>RS-03173</x:v>
      </x:c>
      <x:c r="C6295" s="9" t="n">
        <x:v>2</x:v>
      </x:c>
      <x:c r="D6295" s="8" t="n">
        <x:v>45512</x:v>
      </x:c>
      <x:c r="E6295" s="9" t="n">
        <x:v>1104500</x:v>
      </x:c>
      <x:c r="F6295" s="9" t="n">
        <x:v>1104500</x:v>
      </x:c>
    </x:row>
    <x:row r="6296" ht="34" customHeight="1">
      <x:c r="A6296" s="4" t="str">
        <x:v>RS-03173-I3</x:v>
      </x:c>
      <x:c r="B6296" s="4" t="str">
        <x:v>RS-03173</x:v>
      </x:c>
      <x:c r="C6296" s="9" t="n">
        <x:v>3</x:v>
      </x:c>
      <x:c r="D6296" s="8" t="n">
        <x:v>45542</x:v>
      </x:c>
      <x:c r="E6296" s="9" t="n">
        <x:v>1104500</x:v>
      </x:c>
      <x:c r="F6296" s="9" t="n">
        <x:v>0</x:v>
      </x:c>
    </x:row>
    <x:row r="6297" ht="34" customHeight="1">
      <x:c r="A6297" s="4" t="str">
        <x:v>RS-03173-I4</x:v>
      </x:c>
      <x:c r="B6297" s="4" t="str">
        <x:v>RS-03173</x:v>
      </x:c>
      <x:c r="C6297" s="9" t="n">
        <x:v>4</x:v>
      </x:c>
      <x:c r="D6297" s="8" t="n">
        <x:v>45572</x:v>
      </x:c>
      <x:c r="E6297" s="9" t="n">
        <x:v>1104500</x:v>
      </x:c>
      <x:c r="F6297" s="9" t="n">
        <x:v>0</x:v>
      </x:c>
    </x:row>
    <x:row r="6298" ht="34" customHeight="1">
      <x:c r="A6298" s="4" t="str">
        <x:v>RS-03180-I1</x:v>
      </x:c>
      <x:c r="B6298" s="4" t="str">
        <x:v>RS-03180</x:v>
      </x:c>
      <x:c r="C6298" s="9" t="n">
        <x:v>1</x:v>
      </x:c>
      <x:c r="D6298" s="8" t="n">
        <x:v>45489</x:v>
      </x:c>
      <x:c r="E6298" s="9" t="n">
        <x:v>2623500</x:v>
      </x:c>
      <x:c r="F6298" s="9" t="n">
        <x:v>2623500</x:v>
      </x:c>
    </x:row>
    <x:row r="6299" ht="34" customHeight="1">
      <x:c r="A6299" s="4" t="str">
        <x:v>RS-03180-I2</x:v>
      </x:c>
      <x:c r="B6299" s="4" t="str">
        <x:v>RS-03180</x:v>
      </x:c>
      <x:c r="C6299" s="9" t="n">
        <x:v>2</x:v>
      </x:c>
      <x:c r="D6299" s="8" t="n">
        <x:v>45519</x:v>
      </x:c>
      <x:c r="E6299" s="9" t="n">
        <x:v>2623500</x:v>
      </x:c>
      <x:c r="F6299" s="9" t="n">
        <x:v>2623500</x:v>
      </x:c>
    </x:row>
    <x:row r="6300" ht="34" customHeight="1">
      <x:c r="A6300" s="4" t="str">
        <x:v>RS-03180-I3</x:v>
      </x:c>
      <x:c r="B6300" s="4" t="str">
        <x:v>RS-03180</x:v>
      </x:c>
      <x:c r="C6300" s="9" t="n">
        <x:v>3</x:v>
      </x:c>
      <x:c r="D6300" s="8" t="n">
        <x:v>45549</x:v>
      </x:c>
      <x:c r="E6300" s="9" t="n">
        <x:v>2623500</x:v>
      </x:c>
      <x:c r="F6300" s="9" t="n">
        <x:v>0</x:v>
      </x:c>
    </x:row>
    <x:row r="6301" ht="34" customHeight="1">
      <x:c r="A6301" s="4" t="str">
        <x:v>RS-03180-I4</x:v>
      </x:c>
      <x:c r="B6301" s="4" t="str">
        <x:v>RS-03180</x:v>
      </x:c>
      <x:c r="C6301" s="9" t="n">
        <x:v>4</x:v>
      </x:c>
      <x:c r="D6301" s="8" t="n">
        <x:v>45579</x:v>
      </x:c>
      <x:c r="E6301" s="9" t="n">
        <x:v>2623500</x:v>
      </x:c>
      <x:c r="F6301" s="9" t="n">
        <x:v>0</x:v>
      </x:c>
    </x:row>
    <x:row r="6302" ht="34" customHeight="1">
      <x:c r="A6302" s="4" t="str">
        <x:v>RS-03181-I1</x:v>
      </x:c>
      <x:c r="B6302" s="4" t="str">
        <x:v>RS-03181</x:v>
      </x:c>
      <x:c r="C6302" s="9" t="n">
        <x:v>1</x:v>
      </x:c>
      <x:c r="D6302" s="8" t="n">
        <x:v>45490</x:v>
      </x:c>
      <x:c r="E6302" s="9" t="n">
        <x:v>2227500</x:v>
      </x:c>
      <x:c r="F6302" s="9" t="n">
        <x:v>2227500</x:v>
      </x:c>
    </x:row>
    <x:row r="6303" ht="34" customHeight="1">
      <x:c r="A6303" s="4" t="str">
        <x:v>RS-03181-I2</x:v>
      </x:c>
      <x:c r="B6303" s="4" t="str">
        <x:v>RS-03181</x:v>
      </x:c>
      <x:c r="C6303" s="9" t="n">
        <x:v>2</x:v>
      </x:c>
      <x:c r="D6303" s="8" t="n">
        <x:v>45520</x:v>
      </x:c>
      <x:c r="E6303" s="9" t="n">
        <x:v>2227500</x:v>
      </x:c>
      <x:c r="F6303" s="9" t="n">
        <x:v>0</x:v>
      </x:c>
    </x:row>
    <x:row r="6304" ht="34" customHeight="1">
      <x:c r="A6304" s="4" t="str">
        <x:v>RS-03181-I3</x:v>
      </x:c>
      <x:c r="B6304" s="4" t="str">
        <x:v>RS-03181</x:v>
      </x:c>
      <x:c r="C6304" s="9" t="n">
        <x:v>3</x:v>
      </x:c>
      <x:c r="D6304" s="8" t="n">
        <x:v>45550</x:v>
      </x:c>
      <x:c r="E6304" s="9" t="n">
        <x:v>2227500</x:v>
      </x:c>
      <x:c r="F6304" s="9" t="n">
        <x:v>0</x:v>
      </x:c>
    </x:row>
    <x:row r="6305" ht="34" customHeight="1">
      <x:c r="A6305" s="4" t="str">
        <x:v>RS-03181-I4</x:v>
      </x:c>
      <x:c r="B6305" s="4" t="str">
        <x:v>RS-03181</x:v>
      </x:c>
      <x:c r="C6305" s="9" t="n">
        <x:v>4</x:v>
      </x:c>
      <x:c r="D6305" s="8" t="n">
        <x:v>45580</x:v>
      </x:c>
      <x:c r="E6305" s="9" t="n">
        <x:v>2227500</x:v>
      </x:c>
      <x:c r="F6305" s="9" t="n">
        <x:v>0</x:v>
      </x:c>
    </x:row>
    <x:row r="6306" ht="34" customHeight="1">
      <x:c r="A6306" s="4" t="str">
        <x:v>RS-03182-I1</x:v>
      </x:c>
      <x:c r="B6306" s="4" t="str">
        <x:v>RS-03182</x:v>
      </x:c>
      <x:c r="C6306" s="9" t="n">
        <x:v>1</x:v>
      </x:c>
      <x:c r="D6306" s="8" t="n">
        <x:v>45491</x:v>
      </x:c>
      <x:c r="E6306" s="9" t="n">
        <x:v>1541000</x:v>
      </x:c>
      <x:c r="F6306" s="9" t="n">
        <x:v>1541000</x:v>
      </x:c>
    </x:row>
    <x:row r="6307" ht="34" customHeight="1">
      <x:c r="A6307" s="4" t="str">
        <x:v>RS-03182-I2</x:v>
      </x:c>
      <x:c r="B6307" s="4" t="str">
        <x:v>RS-03182</x:v>
      </x:c>
      <x:c r="C6307" s="9" t="n">
        <x:v>2</x:v>
      </x:c>
      <x:c r="D6307" s="8" t="n">
        <x:v>45521</x:v>
      </x:c>
      <x:c r="E6307" s="9" t="n">
        <x:v>1541000</x:v>
      </x:c>
      <x:c r="F6307" s="9" t="n">
        <x:v>0</x:v>
      </x:c>
    </x:row>
    <x:row r="6308" ht="34" customHeight="1">
      <x:c r="A6308" s="4" t="str">
        <x:v>RS-03182-I3</x:v>
      </x:c>
      <x:c r="B6308" s="4" t="str">
        <x:v>RS-03182</x:v>
      </x:c>
      <x:c r="C6308" s="9" t="n">
        <x:v>3</x:v>
      </x:c>
      <x:c r="D6308" s="8" t="n">
        <x:v>45551</x:v>
      </x:c>
      <x:c r="E6308" s="9" t="n">
        <x:v>1541000</x:v>
      </x:c>
      <x:c r="F6308" s="9" t="n">
        <x:v>0</x:v>
      </x:c>
    </x:row>
    <x:row r="6309" ht="34" customHeight="1">
      <x:c r="A6309" s="4" t="str">
        <x:v>RS-03182-I4</x:v>
      </x:c>
      <x:c r="B6309" s="4" t="str">
        <x:v>RS-03182</x:v>
      </x:c>
      <x:c r="C6309" s="9" t="n">
        <x:v>4</x:v>
      </x:c>
      <x:c r="D6309" s="8" t="n">
        <x:v>45581</x:v>
      </x:c>
      <x:c r="E6309" s="9" t="n">
        <x:v>1541000</x:v>
      </x:c>
      <x:c r="F6309" s="9" t="n">
        <x:v>0</x:v>
      </x:c>
    </x:row>
    <x:row r="6310" ht="34" customHeight="1">
      <x:c r="A6310" s="4" t="str">
        <x:v>RS-03183-I1</x:v>
      </x:c>
      <x:c r="B6310" s="4" t="str">
        <x:v>RS-03183</x:v>
      </x:c>
      <x:c r="C6310" s="9" t="n">
        <x:v>1</x:v>
      </x:c>
      <x:c r="D6310" s="8" t="n">
        <x:v>45492</x:v>
      </x:c>
      <x:c r="E6310" s="9" t="n">
        <x:v>1557750</x:v>
      </x:c>
      <x:c r="F6310" s="9" t="n">
        <x:v>1557750</x:v>
      </x:c>
    </x:row>
    <x:row r="6311" ht="34" customHeight="1">
      <x:c r="A6311" s="4" t="str">
        <x:v>RS-03183-I2</x:v>
      </x:c>
      <x:c r="B6311" s="4" t="str">
        <x:v>RS-03183</x:v>
      </x:c>
      <x:c r="C6311" s="9" t="n">
        <x:v>2</x:v>
      </x:c>
      <x:c r="D6311" s="8" t="n">
        <x:v>45522</x:v>
      </x:c>
      <x:c r="E6311" s="9" t="n">
        <x:v>1557750</x:v>
      </x:c>
      <x:c r="F6311" s="9" t="n">
        <x:v>1557750</x:v>
      </x:c>
    </x:row>
    <x:row r="6312" ht="34" customHeight="1">
      <x:c r="A6312" s="4" t="str">
        <x:v>RS-03183-I3</x:v>
      </x:c>
      <x:c r="B6312" s="4" t="str">
        <x:v>RS-03183</x:v>
      </x:c>
      <x:c r="C6312" s="9" t="n">
        <x:v>3</x:v>
      </x:c>
      <x:c r="D6312" s="8" t="n">
        <x:v>45552</x:v>
      </x:c>
      <x:c r="E6312" s="9" t="n">
        <x:v>1557750</x:v>
      </x:c>
      <x:c r="F6312" s="9" t="n">
        <x:v>1557750</x:v>
      </x:c>
    </x:row>
    <x:row r="6313" ht="34" customHeight="1">
      <x:c r="A6313" s="4" t="str">
        <x:v>RS-03183-I4</x:v>
      </x:c>
      <x:c r="B6313" s="4" t="str">
        <x:v>RS-03183</x:v>
      </x:c>
      <x:c r="C6313" s="9" t="n">
        <x:v>4</x:v>
      </x:c>
      <x:c r="D6313" s="8" t="n">
        <x:v>45582</x:v>
      </x:c>
      <x:c r="E6313" s="9" t="n">
        <x:v>1557750</x:v>
      </x:c>
      <x:c r="F6313" s="9" t="n">
        <x:v>1557750</x:v>
      </x:c>
    </x:row>
    <x:row r="6314" ht="34" customHeight="1">
      <x:c r="A6314" s="4" t="str">
        <x:v>RS-03185-I1</x:v>
      </x:c>
      <x:c r="B6314" s="4" t="str">
        <x:v>RS-03185</x:v>
      </x:c>
      <x:c r="C6314" s="9" t="n">
        <x:v>1</x:v>
      </x:c>
      <x:c r="D6314" s="8" t="n">
        <x:v>45494</x:v>
      </x:c>
      <x:c r="E6314" s="9" t="n">
        <x:v>2842000</x:v>
      </x:c>
      <x:c r="F6314" s="9" t="n">
        <x:v>2842000</x:v>
      </x:c>
    </x:row>
    <x:row r="6315" ht="34" customHeight="1">
      <x:c r="A6315" s="4" t="str">
        <x:v>RS-03185-I2</x:v>
      </x:c>
      <x:c r="B6315" s="4" t="str">
        <x:v>RS-03185</x:v>
      </x:c>
      <x:c r="C6315" s="9" t="n">
        <x:v>2</x:v>
      </x:c>
      <x:c r="D6315" s="8" t="n">
        <x:v>45524</x:v>
      </x:c>
      <x:c r="E6315" s="9" t="n">
        <x:v>2842000</x:v>
      </x:c>
      <x:c r="F6315" s="9" t="n">
        <x:v>2842000</x:v>
      </x:c>
    </x:row>
    <x:row r="6316" ht="34" customHeight="1">
      <x:c r="A6316" s="4" t="str">
        <x:v>RS-03185-I3</x:v>
      </x:c>
      <x:c r="B6316" s="4" t="str">
        <x:v>RS-03185</x:v>
      </x:c>
      <x:c r="C6316" s="9" t="n">
        <x:v>3</x:v>
      </x:c>
      <x:c r="D6316" s="8" t="n">
        <x:v>45554</x:v>
      </x:c>
      <x:c r="E6316" s="9" t="n">
        <x:v>2842000</x:v>
      </x:c>
      <x:c r="F6316" s="9" t="n">
        <x:v>2842000</x:v>
      </x:c>
    </x:row>
    <x:row r="6317" ht="34" customHeight="1">
      <x:c r="A6317" s="4" t="str">
        <x:v>RS-03185-I4</x:v>
      </x:c>
      <x:c r="B6317" s="4" t="str">
        <x:v>RS-03185</x:v>
      </x:c>
      <x:c r="C6317" s="9" t="n">
        <x:v>4</x:v>
      </x:c>
      <x:c r="D6317" s="8" t="n">
        <x:v>45584</x:v>
      </x:c>
      <x:c r="E6317" s="9" t="n">
        <x:v>2842000</x:v>
      </x:c>
      <x:c r="F6317" s="9" t="n">
        <x:v>2842000</x:v>
      </x:c>
    </x:row>
    <x:row r="6318" ht="34" customHeight="1">
      <x:c r="A6318" s="4" t="str">
        <x:v>RS-03186-I1</x:v>
      </x:c>
      <x:c r="B6318" s="4" t="str">
        <x:v>RS-03186</x:v>
      </x:c>
      <x:c r="C6318" s="9" t="n">
        <x:v>1</x:v>
      </x:c>
      <x:c r="D6318" s="8" t="n">
        <x:v>45495</x:v>
      </x:c>
      <x:c r="E6318" s="9" t="n">
        <x:v>1200500</x:v>
      </x:c>
      <x:c r="F6318" s="9" t="n">
        <x:v>1200500</x:v>
      </x:c>
    </x:row>
    <x:row r="6319" ht="34" customHeight="1">
      <x:c r="A6319" s="4" t="str">
        <x:v>RS-03186-I2</x:v>
      </x:c>
      <x:c r="B6319" s="4" t="str">
        <x:v>RS-03186</x:v>
      </x:c>
      <x:c r="C6319" s="9" t="n">
        <x:v>2</x:v>
      </x:c>
      <x:c r="D6319" s="8" t="n">
        <x:v>45525</x:v>
      </x:c>
      <x:c r="E6319" s="9" t="n">
        <x:v>1200500</x:v>
      </x:c>
      <x:c r="F6319" s="9" t="n">
        <x:v>1200500</x:v>
      </x:c>
    </x:row>
    <x:row r="6320" ht="34" customHeight="1">
      <x:c r="A6320" s="4" t="str">
        <x:v>RS-03186-I3</x:v>
      </x:c>
      <x:c r="B6320" s="4" t="str">
        <x:v>RS-03186</x:v>
      </x:c>
      <x:c r="C6320" s="9" t="n">
        <x:v>3</x:v>
      </x:c>
      <x:c r="D6320" s="8" t="n">
        <x:v>45555</x:v>
      </x:c>
      <x:c r="E6320" s="9" t="n">
        <x:v>1200500</x:v>
      </x:c>
      <x:c r="F6320" s="9" t="n">
        <x:v>0</x:v>
      </x:c>
    </x:row>
    <x:row r="6321" ht="34" customHeight="1">
      <x:c r="A6321" s="4" t="str">
        <x:v>RS-03186-I4</x:v>
      </x:c>
      <x:c r="B6321" s="4" t="str">
        <x:v>RS-03186</x:v>
      </x:c>
      <x:c r="C6321" s="9" t="n">
        <x:v>4</x:v>
      </x:c>
      <x:c r="D6321" s="8" t="n">
        <x:v>45585</x:v>
      </x:c>
      <x:c r="E6321" s="9" t="n">
        <x:v>1200500</x:v>
      </x:c>
      <x:c r="F6321" s="9" t="n">
        <x:v>0</x:v>
      </x:c>
    </x:row>
    <x:row r="6322" ht="34" customHeight="1">
      <x:c r="A6322" s="4" t="str">
        <x:v>RS-03188-I1</x:v>
      </x:c>
      <x:c r="B6322" s="4" t="str">
        <x:v>RS-03188</x:v>
      </x:c>
      <x:c r="C6322" s="9" t="n">
        <x:v>1</x:v>
      </x:c>
      <x:c r="D6322" s="8" t="n">
        <x:v>45497</x:v>
      </x:c>
      <x:c r="E6322" s="9" t="n">
        <x:v>1824000</x:v>
      </x:c>
      <x:c r="F6322" s="9" t="n">
        <x:v>729600</x:v>
      </x:c>
    </x:row>
    <x:row r="6323" ht="34" customHeight="1">
      <x:c r="A6323" s="4" t="str">
        <x:v>RS-03188-I2</x:v>
      </x:c>
      <x:c r="B6323" s="4" t="str">
        <x:v>RS-03188</x:v>
      </x:c>
      <x:c r="C6323" s="9" t="n">
        <x:v>2</x:v>
      </x:c>
      <x:c r="D6323" s="8" t="n">
        <x:v>45527</x:v>
      </x:c>
      <x:c r="E6323" s="9" t="n">
        <x:v>1824000</x:v>
      </x:c>
      <x:c r="F6323" s="9" t="n">
        <x:v>0</x:v>
      </x:c>
    </x:row>
    <x:row r="6324" ht="34" customHeight="1">
      <x:c r="A6324" s="4" t="str">
        <x:v>RS-03188-I3</x:v>
      </x:c>
      <x:c r="B6324" s="4" t="str">
        <x:v>RS-03188</x:v>
      </x:c>
      <x:c r="C6324" s="9" t="n">
        <x:v>3</x:v>
      </x:c>
      <x:c r="D6324" s="8" t="n">
        <x:v>45557</x:v>
      </x:c>
      <x:c r="E6324" s="9" t="n">
        <x:v>1824000</x:v>
      </x:c>
      <x:c r="F6324" s="9" t="n">
        <x:v>0</x:v>
      </x:c>
    </x:row>
    <x:row r="6325" ht="34" customHeight="1">
      <x:c r="A6325" s="4" t="str">
        <x:v>RS-03188-I4</x:v>
      </x:c>
      <x:c r="B6325" s="4" t="str">
        <x:v>RS-03188</x:v>
      </x:c>
      <x:c r="C6325" s="9" t="n">
        <x:v>4</x:v>
      </x:c>
      <x:c r="D6325" s="8" t="n">
        <x:v>45587</x:v>
      </x:c>
      <x:c r="E6325" s="9" t="n">
        <x:v>1824000</x:v>
      </x:c>
      <x:c r="F6325" s="9" t="n">
        <x:v>0</x:v>
      </x:c>
    </x:row>
    <x:row r="6326" ht="34" customHeight="1">
      <x:c r="A6326" s="4" t="str">
        <x:v>RS-03189-I1</x:v>
      </x:c>
      <x:c r="B6326" s="4" t="str">
        <x:v>RS-03189</x:v>
      </x:c>
      <x:c r="C6326" s="9" t="n">
        <x:v>1</x:v>
      </x:c>
      <x:c r="D6326" s="8" t="n">
        <x:v>45498</x:v>
      </x:c>
      <x:c r="E6326" s="9" t="n">
        <x:v>2511000</x:v>
      </x:c>
      <x:c r="F6326" s="9" t="n">
        <x:v>2511000</x:v>
      </x:c>
    </x:row>
    <x:row r="6327" ht="34" customHeight="1">
      <x:c r="A6327" s="4" t="str">
        <x:v>RS-03189-I2</x:v>
      </x:c>
      <x:c r="B6327" s="4" t="str">
        <x:v>RS-03189</x:v>
      </x:c>
      <x:c r="C6327" s="9" t="n">
        <x:v>2</x:v>
      </x:c>
      <x:c r="D6327" s="8" t="n">
        <x:v>45528</x:v>
      </x:c>
      <x:c r="E6327" s="9" t="n">
        <x:v>2511000</x:v>
      </x:c>
      <x:c r="F6327" s="9" t="n">
        <x:v>2511000</x:v>
      </x:c>
    </x:row>
    <x:row r="6328" ht="34" customHeight="1">
      <x:c r="A6328" s="4" t="str">
        <x:v>RS-03189-I3</x:v>
      </x:c>
      <x:c r="B6328" s="4" t="str">
        <x:v>RS-03189</x:v>
      </x:c>
      <x:c r="C6328" s="9" t="n">
        <x:v>3</x:v>
      </x:c>
      <x:c r="D6328" s="8" t="n">
        <x:v>45558</x:v>
      </x:c>
      <x:c r="E6328" s="9" t="n">
        <x:v>2511000</x:v>
      </x:c>
      <x:c r="F6328" s="9" t="n">
        <x:v>0</x:v>
      </x:c>
    </x:row>
    <x:row r="6329" ht="34" customHeight="1">
      <x:c r="A6329" s="4" t="str">
        <x:v>RS-03189-I4</x:v>
      </x:c>
      <x:c r="B6329" s="4" t="str">
        <x:v>RS-03189</x:v>
      </x:c>
      <x:c r="C6329" s="9" t="n">
        <x:v>4</x:v>
      </x:c>
      <x:c r="D6329" s="8" t="n">
        <x:v>45588</x:v>
      </x:c>
      <x:c r="E6329" s="9" t="n">
        <x:v>2511000</x:v>
      </x:c>
      <x:c r="F6329" s="9" t="n">
        <x:v>0</x:v>
      </x:c>
    </x:row>
    <x:row r="6330" ht="34" customHeight="1">
      <x:c r="A6330" s="4" t="str">
        <x:v>RS-03191-I1</x:v>
      </x:c>
      <x:c r="B6330" s="4" t="str">
        <x:v>RS-03191</x:v>
      </x:c>
      <x:c r="C6330" s="9" t="n">
        <x:v>1</x:v>
      </x:c>
      <x:c r="D6330" s="8" t="n">
        <x:v>45500</x:v>
      </x:c>
      <x:c r="E6330" s="9" t="n">
        <x:v>4316500</x:v>
      </x:c>
      <x:c r="F6330" s="9" t="n">
        <x:v>4316500</x:v>
      </x:c>
    </x:row>
    <x:row r="6331" ht="34" customHeight="1">
      <x:c r="A6331" s="4" t="str">
        <x:v>RS-03191-I2</x:v>
      </x:c>
      <x:c r="B6331" s="4" t="str">
        <x:v>RS-03191</x:v>
      </x:c>
      <x:c r="C6331" s="9" t="n">
        <x:v>2</x:v>
      </x:c>
      <x:c r="D6331" s="8" t="n">
        <x:v>45530</x:v>
      </x:c>
      <x:c r="E6331" s="9" t="n">
        <x:v>4316500</x:v>
      </x:c>
      <x:c r="F6331" s="9" t="n">
        <x:v>4316500</x:v>
      </x:c>
    </x:row>
    <x:row r="6332" ht="34" customHeight="1">
      <x:c r="A6332" s="4" t="str">
        <x:v>RS-03191-I3</x:v>
      </x:c>
      <x:c r="B6332" s="4" t="str">
        <x:v>RS-03191</x:v>
      </x:c>
      <x:c r="C6332" s="9" t="n">
        <x:v>3</x:v>
      </x:c>
      <x:c r="D6332" s="8" t="n">
        <x:v>45560</x:v>
      </x:c>
      <x:c r="E6332" s="9" t="n">
        <x:v>4316500</x:v>
      </x:c>
      <x:c r="F6332" s="9" t="n">
        <x:v>4316500</x:v>
      </x:c>
    </x:row>
    <x:row r="6333" ht="34" customHeight="1">
      <x:c r="A6333" s="4" t="str">
        <x:v>RS-03191-I4</x:v>
      </x:c>
      <x:c r="B6333" s="4" t="str">
        <x:v>RS-03191</x:v>
      </x:c>
      <x:c r="C6333" s="9" t="n">
        <x:v>4</x:v>
      </x:c>
      <x:c r="D6333" s="8" t="n">
        <x:v>45590</x:v>
      </x:c>
      <x:c r="E6333" s="9" t="n">
        <x:v>4316500</x:v>
      </x:c>
      <x:c r="F6333" s="9" t="n">
        <x:v>4316500</x:v>
      </x:c>
    </x:row>
    <x:row r="6334" ht="34" customHeight="1">
      <x:c r="A6334" s="4" t="str">
        <x:v>RS-03195-I1</x:v>
      </x:c>
      <x:c r="B6334" s="4" t="str">
        <x:v>RS-03195</x:v>
      </x:c>
      <x:c r="C6334" s="9" t="n">
        <x:v>1</x:v>
      </x:c>
      <x:c r="D6334" s="8" t="n">
        <x:v>45476</x:v>
      </x:c>
      <x:c r="E6334" s="9" t="n">
        <x:v>1604250</x:v>
      </x:c>
      <x:c r="F6334" s="9" t="n">
        <x:v>1604250</x:v>
      </x:c>
    </x:row>
    <x:row r="6335" ht="34" customHeight="1">
      <x:c r="A6335" s="4" t="str">
        <x:v>RS-03195-I2</x:v>
      </x:c>
      <x:c r="B6335" s="4" t="str">
        <x:v>RS-03195</x:v>
      </x:c>
      <x:c r="C6335" s="9" t="n">
        <x:v>2</x:v>
      </x:c>
      <x:c r="D6335" s="8" t="n">
        <x:v>45506</x:v>
      </x:c>
      <x:c r="E6335" s="9" t="n">
        <x:v>1604250</x:v>
      </x:c>
      <x:c r="F6335" s="9" t="n">
        <x:v>1604250</x:v>
      </x:c>
    </x:row>
    <x:row r="6336" ht="34" customHeight="1">
      <x:c r="A6336" s="4" t="str">
        <x:v>RS-03195-I3</x:v>
      </x:c>
      <x:c r="B6336" s="4" t="str">
        <x:v>RS-03195</x:v>
      </x:c>
      <x:c r="C6336" s="9" t="n">
        <x:v>3</x:v>
      </x:c>
      <x:c r="D6336" s="8" t="n">
        <x:v>45536</x:v>
      </x:c>
      <x:c r="E6336" s="9" t="n">
        <x:v>1604250</x:v>
      </x:c>
      <x:c r="F6336" s="9" t="n">
        <x:v>1604250</x:v>
      </x:c>
    </x:row>
    <x:row r="6337" ht="34" customHeight="1">
      <x:c r="A6337" s="4" t="str">
        <x:v>RS-03195-I4</x:v>
      </x:c>
      <x:c r="B6337" s="4" t="str">
        <x:v>RS-03195</x:v>
      </x:c>
      <x:c r="C6337" s="9" t="n">
        <x:v>4</x:v>
      </x:c>
      <x:c r="D6337" s="8" t="n">
        <x:v>45566</x:v>
      </x:c>
      <x:c r="E6337" s="9" t="n">
        <x:v>1604250</x:v>
      </x:c>
      <x:c r="F6337" s="9" t="n">
        <x:v>1604250</x:v>
      </x:c>
    </x:row>
    <x:row r="6338" ht="34" customHeight="1">
      <x:c r="A6338" s="4" t="str">
        <x:v>RS-03196-I1</x:v>
      </x:c>
      <x:c r="B6338" s="4" t="str">
        <x:v>RS-03196</x:v>
      </x:c>
      <x:c r="C6338" s="9" t="n">
        <x:v>1</x:v>
      </x:c>
      <x:c r="D6338" s="8" t="n">
        <x:v>45477</x:v>
      </x:c>
      <x:c r="E6338" s="9" t="n">
        <x:v>2875000</x:v>
      </x:c>
      <x:c r="F6338" s="9" t="n">
        <x:v>2875000</x:v>
      </x:c>
    </x:row>
    <x:row r="6339" ht="34" customHeight="1">
      <x:c r="A6339" s="4" t="str">
        <x:v>RS-03196-I2</x:v>
      </x:c>
      <x:c r="B6339" s="4" t="str">
        <x:v>RS-03196</x:v>
      </x:c>
      <x:c r="C6339" s="9" t="n">
        <x:v>2</x:v>
      </x:c>
      <x:c r="D6339" s="8" t="n">
        <x:v>45507</x:v>
      </x:c>
      <x:c r="E6339" s="9" t="n">
        <x:v>2875000</x:v>
      </x:c>
      <x:c r="F6339" s="9" t="n">
        <x:v>2875000</x:v>
      </x:c>
    </x:row>
    <x:row r="6340" ht="34" customHeight="1">
      <x:c r="A6340" s="4" t="str">
        <x:v>RS-03196-I3</x:v>
      </x:c>
      <x:c r="B6340" s="4" t="str">
        <x:v>RS-03196</x:v>
      </x:c>
      <x:c r="C6340" s="9" t="n">
        <x:v>3</x:v>
      </x:c>
      <x:c r="D6340" s="8" t="n">
        <x:v>45537</x:v>
      </x:c>
      <x:c r="E6340" s="9" t="n">
        <x:v>2875000</x:v>
      </x:c>
      <x:c r="F6340" s="9" t="n">
        <x:v>0</x:v>
      </x:c>
    </x:row>
    <x:row r="6341" ht="34" customHeight="1">
      <x:c r="A6341" s="4" t="str">
        <x:v>RS-03196-I4</x:v>
      </x:c>
      <x:c r="B6341" s="4" t="str">
        <x:v>RS-03196</x:v>
      </x:c>
      <x:c r="C6341" s="9" t="n">
        <x:v>4</x:v>
      </x:c>
      <x:c r="D6341" s="8" t="n">
        <x:v>45567</x:v>
      </x:c>
      <x:c r="E6341" s="9" t="n">
        <x:v>2875000</x:v>
      </x:c>
      <x:c r="F6341" s="9" t="n">
        <x:v>0</x:v>
      </x:c>
    </x:row>
    <x:row r="6342" ht="34" customHeight="1">
      <x:c r="A6342" s="4" t="str">
        <x:v>RS-03203-I1</x:v>
      </x:c>
      <x:c r="B6342" s="4" t="str">
        <x:v>RS-03203</x:v>
      </x:c>
      <x:c r="C6342" s="9" t="n">
        <x:v>1</x:v>
      </x:c>
      <x:c r="D6342" s="8" t="n">
        <x:v>45484</x:v>
      </x:c>
      <x:c r="E6342" s="9" t="n">
        <x:v>4238500</x:v>
      </x:c>
      <x:c r="F6342" s="9" t="n">
        <x:v>4238500</x:v>
      </x:c>
    </x:row>
    <x:row r="6343" ht="34" customHeight="1">
      <x:c r="A6343" s="4" t="str">
        <x:v>RS-03203-I2</x:v>
      </x:c>
      <x:c r="B6343" s="4" t="str">
        <x:v>RS-03203</x:v>
      </x:c>
      <x:c r="C6343" s="9" t="n">
        <x:v>2</x:v>
      </x:c>
      <x:c r="D6343" s="8" t="n">
        <x:v>45514</x:v>
      </x:c>
      <x:c r="E6343" s="9" t="n">
        <x:v>4238500</x:v>
      </x:c>
      <x:c r="F6343" s="9" t="n">
        <x:v>0</x:v>
      </x:c>
    </x:row>
    <x:row r="6344" ht="34" customHeight="1">
      <x:c r="A6344" s="4" t="str">
        <x:v>RS-03203-I3</x:v>
      </x:c>
      <x:c r="B6344" s="4" t="str">
        <x:v>RS-03203</x:v>
      </x:c>
      <x:c r="C6344" s="9" t="n">
        <x:v>3</x:v>
      </x:c>
      <x:c r="D6344" s="8" t="n">
        <x:v>45544</x:v>
      </x:c>
      <x:c r="E6344" s="9" t="n">
        <x:v>4238500</x:v>
      </x:c>
      <x:c r="F6344" s="9" t="n">
        <x:v>0</x:v>
      </x:c>
    </x:row>
    <x:row r="6345" ht="34" customHeight="1">
      <x:c r="A6345" s="4" t="str">
        <x:v>RS-03203-I4</x:v>
      </x:c>
      <x:c r="B6345" s="4" t="str">
        <x:v>RS-03203</x:v>
      </x:c>
      <x:c r="C6345" s="9" t="n">
        <x:v>4</x:v>
      </x:c>
      <x:c r="D6345" s="8" t="n">
        <x:v>45574</x:v>
      </x:c>
      <x:c r="E6345" s="9" t="n">
        <x:v>4238500</x:v>
      </x:c>
      <x:c r="F6345" s="9" t="n">
        <x:v>0</x:v>
      </x:c>
    </x:row>
    <x:row r="6346" ht="34" customHeight="1">
      <x:c r="A6346" s="4" t="str">
        <x:v>RS-03205-I1</x:v>
      </x:c>
      <x:c r="B6346" s="4" t="str">
        <x:v>RS-03205</x:v>
      </x:c>
      <x:c r="C6346" s="9" t="n">
        <x:v>1</x:v>
      </x:c>
      <x:c r="D6346" s="8" t="n">
        <x:v>45486</x:v>
      </x:c>
      <x:c r="E6346" s="9" t="n">
        <x:v>4481750</x:v>
      </x:c>
      <x:c r="F6346" s="9" t="n">
        <x:v>4481750</x:v>
      </x:c>
    </x:row>
    <x:row r="6347" ht="34" customHeight="1">
      <x:c r="A6347" s="4" t="str">
        <x:v>RS-03205-I2</x:v>
      </x:c>
      <x:c r="B6347" s="4" t="str">
        <x:v>RS-03205</x:v>
      </x:c>
      <x:c r="C6347" s="9" t="n">
        <x:v>2</x:v>
      </x:c>
      <x:c r="D6347" s="8" t="n">
        <x:v>45516</x:v>
      </x:c>
      <x:c r="E6347" s="9" t="n">
        <x:v>4481750</x:v>
      </x:c>
      <x:c r="F6347" s="9" t="n">
        <x:v>4481750</x:v>
      </x:c>
    </x:row>
    <x:row r="6348" ht="34" customHeight="1">
      <x:c r="A6348" s="4" t="str">
        <x:v>RS-03205-I3</x:v>
      </x:c>
      <x:c r="B6348" s="4" t="str">
        <x:v>RS-03205</x:v>
      </x:c>
      <x:c r="C6348" s="9" t="n">
        <x:v>3</x:v>
      </x:c>
      <x:c r="D6348" s="8" t="n">
        <x:v>45546</x:v>
      </x:c>
      <x:c r="E6348" s="9" t="n">
        <x:v>4481750</x:v>
      </x:c>
      <x:c r="F6348" s="9" t="n">
        <x:v>0</x:v>
      </x:c>
    </x:row>
    <x:row r="6349" ht="34" customHeight="1">
      <x:c r="A6349" s="4" t="str">
        <x:v>RS-03205-I4</x:v>
      </x:c>
      <x:c r="B6349" s="4" t="str">
        <x:v>RS-03205</x:v>
      </x:c>
      <x:c r="C6349" s="9" t="n">
        <x:v>4</x:v>
      </x:c>
      <x:c r="D6349" s="8" t="n">
        <x:v>45576</x:v>
      </x:c>
      <x:c r="E6349" s="9" t="n">
        <x:v>4481750</x:v>
      </x:c>
      <x:c r="F6349" s="9" t="n">
        <x:v>0</x:v>
      </x:c>
    </x:row>
    <x:row r="6350" ht="34" customHeight="1">
      <x:c r="A6350" s="4" t="str">
        <x:v>RS-03206-I1</x:v>
      </x:c>
      <x:c r="B6350" s="4" t="str">
        <x:v>RS-03206</x:v>
      </x:c>
      <x:c r="C6350" s="9" t="n">
        <x:v>1</x:v>
      </x:c>
      <x:c r="D6350" s="8" t="n">
        <x:v>45487</x:v>
      </x:c>
      <x:c r="E6350" s="9" t="n">
        <x:v>2744000</x:v>
      </x:c>
      <x:c r="F6350" s="9" t="n">
        <x:v>2744000</x:v>
      </x:c>
    </x:row>
    <x:row r="6351" ht="34" customHeight="1">
      <x:c r="A6351" s="4" t="str">
        <x:v>RS-03206-I2</x:v>
      </x:c>
      <x:c r="B6351" s="4" t="str">
        <x:v>RS-03206</x:v>
      </x:c>
      <x:c r="C6351" s="9" t="n">
        <x:v>2</x:v>
      </x:c>
      <x:c r="D6351" s="8" t="n">
        <x:v>45517</x:v>
      </x:c>
      <x:c r="E6351" s="9" t="n">
        <x:v>2744000</x:v>
      </x:c>
      <x:c r="F6351" s="9" t="n">
        <x:v>2744000</x:v>
      </x:c>
    </x:row>
    <x:row r="6352" ht="34" customHeight="1">
      <x:c r="A6352" s="4" t="str">
        <x:v>RS-03206-I3</x:v>
      </x:c>
      <x:c r="B6352" s="4" t="str">
        <x:v>RS-03206</x:v>
      </x:c>
      <x:c r="C6352" s="9" t="n">
        <x:v>3</x:v>
      </x:c>
      <x:c r="D6352" s="8" t="n">
        <x:v>45547</x:v>
      </x:c>
      <x:c r="E6352" s="9" t="n">
        <x:v>2744000</x:v>
      </x:c>
      <x:c r="F6352" s="9" t="n">
        <x:v>0</x:v>
      </x:c>
    </x:row>
    <x:row r="6353" ht="34" customHeight="1">
      <x:c r="A6353" s="4" t="str">
        <x:v>RS-03206-I4</x:v>
      </x:c>
      <x:c r="B6353" s="4" t="str">
        <x:v>RS-03206</x:v>
      </x:c>
      <x:c r="C6353" s="9" t="n">
        <x:v>4</x:v>
      </x:c>
      <x:c r="D6353" s="8" t="n">
        <x:v>45577</x:v>
      </x:c>
      <x:c r="E6353" s="9" t="n">
        <x:v>2744000</x:v>
      </x:c>
      <x:c r="F6353" s="9" t="n">
        <x:v>0</x:v>
      </x:c>
    </x:row>
    <x:row r="6354" ht="34" customHeight="1">
      <x:c r="A6354" s="4" t="str">
        <x:v>RS-03207-I1</x:v>
      </x:c>
      <x:c r="B6354" s="4" t="str">
        <x:v>RS-03207</x:v>
      </x:c>
      <x:c r="C6354" s="9" t="n">
        <x:v>1</x:v>
      </x:c>
      <x:c r="D6354" s="8" t="n">
        <x:v>45488</x:v>
      </x:c>
      <x:c r="E6354" s="9" t="n">
        <x:v>1000000</x:v>
      </x:c>
      <x:c r="F6354" s="9" t="n">
        <x:v>1000000</x:v>
      </x:c>
    </x:row>
    <x:row r="6355" ht="34" customHeight="1">
      <x:c r="A6355" s="4" t="str">
        <x:v>RS-03207-I2</x:v>
      </x:c>
      <x:c r="B6355" s="4" t="str">
        <x:v>RS-03207</x:v>
      </x:c>
      <x:c r="C6355" s="9" t="n">
        <x:v>2</x:v>
      </x:c>
      <x:c r="D6355" s="8" t="n">
        <x:v>45518</x:v>
      </x:c>
      <x:c r="E6355" s="9" t="n">
        <x:v>1000000</x:v>
      </x:c>
      <x:c r="F6355" s="9" t="n">
        <x:v>0</x:v>
      </x:c>
    </x:row>
    <x:row r="6356" ht="34" customHeight="1">
      <x:c r="A6356" s="4" t="str">
        <x:v>RS-03207-I3</x:v>
      </x:c>
      <x:c r="B6356" s="4" t="str">
        <x:v>RS-03207</x:v>
      </x:c>
      <x:c r="C6356" s="9" t="n">
        <x:v>3</x:v>
      </x:c>
      <x:c r="D6356" s="8" t="n">
        <x:v>45548</x:v>
      </x:c>
      <x:c r="E6356" s="9" t="n">
        <x:v>1000000</x:v>
      </x:c>
      <x:c r="F6356" s="9" t="n">
        <x:v>0</x:v>
      </x:c>
    </x:row>
    <x:row r="6357" ht="34" customHeight="1">
      <x:c r="A6357" s="4" t="str">
        <x:v>RS-03207-I4</x:v>
      </x:c>
      <x:c r="B6357" s="4" t="str">
        <x:v>RS-03207</x:v>
      </x:c>
      <x:c r="C6357" s="9" t="n">
        <x:v>4</x:v>
      </x:c>
      <x:c r="D6357" s="8" t="n">
        <x:v>45578</x:v>
      </x:c>
      <x:c r="E6357" s="9" t="n">
        <x:v>1000000</x:v>
      </x:c>
      <x:c r="F6357" s="9" t="n">
        <x:v>0</x:v>
      </x:c>
    </x:row>
    <x:row r="6358" ht="34" customHeight="1">
      <x:c r="A6358" s="4" t="str">
        <x:v>RS-03210-I1</x:v>
      </x:c>
      <x:c r="B6358" s="4" t="str">
        <x:v>RS-03210</x:v>
      </x:c>
      <x:c r="C6358" s="9" t="n">
        <x:v>1</x:v>
      </x:c>
      <x:c r="D6358" s="8" t="n">
        <x:v>45491</x:v>
      </x:c>
      <x:c r="E6358" s="9" t="n">
        <x:v>2208750</x:v>
      </x:c>
      <x:c r="F6358" s="9" t="n">
        <x:v>2208750</x:v>
      </x:c>
    </x:row>
    <x:row r="6359" ht="34" customHeight="1">
      <x:c r="A6359" s="4" t="str">
        <x:v>RS-03210-I2</x:v>
      </x:c>
      <x:c r="B6359" s="4" t="str">
        <x:v>RS-03210</x:v>
      </x:c>
      <x:c r="C6359" s="9" t="n">
        <x:v>2</x:v>
      </x:c>
      <x:c r="D6359" s="8" t="n">
        <x:v>45521</x:v>
      </x:c>
      <x:c r="E6359" s="9" t="n">
        <x:v>2208750</x:v>
      </x:c>
      <x:c r="F6359" s="9" t="n">
        <x:v>2208750</x:v>
      </x:c>
    </x:row>
    <x:row r="6360" ht="34" customHeight="1">
      <x:c r="A6360" s="4" t="str">
        <x:v>RS-03210-I3</x:v>
      </x:c>
      <x:c r="B6360" s="4" t="str">
        <x:v>RS-03210</x:v>
      </x:c>
      <x:c r="C6360" s="9" t="n">
        <x:v>3</x:v>
      </x:c>
      <x:c r="D6360" s="8" t="n">
        <x:v>45551</x:v>
      </x:c>
      <x:c r="E6360" s="9" t="n">
        <x:v>2208750</x:v>
      </x:c>
      <x:c r="F6360" s="9" t="n">
        <x:v>2208750</x:v>
      </x:c>
    </x:row>
    <x:row r="6361" ht="34" customHeight="1">
      <x:c r="A6361" s="4" t="str">
        <x:v>RS-03210-I4</x:v>
      </x:c>
      <x:c r="B6361" s="4" t="str">
        <x:v>RS-03210</x:v>
      </x:c>
      <x:c r="C6361" s="9" t="n">
        <x:v>4</x:v>
      </x:c>
      <x:c r="D6361" s="8" t="n">
        <x:v>45581</x:v>
      </x:c>
      <x:c r="E6361" s="9" t="n">
        <x:v>2208750</x:v>
      </x:c>
      <x:c r="F6361" s="9" t="n">
        <x:v>2208750</x:v>
      </x:c>
    </x:row>
    <x:row r="6362" ht="34" customHeight="1">
      <x:c r="A6362" s="4" t="str">
        <x:v>RS-03211-I1</x:v>
      </x:c>
      <x:c r="B6362" s="4" t="str">
        <x:v>RS-03211</x:v>
      </x:c>
      <x:c r="C6362" s="9" t="n">
        <x:v>1</x:v>
      </x:c>
      <x:c r="D6362" s="8" t="n">
        <x:v>45492</x:v>
      </x:c>
      <x:c r="E6362" s="9" t="n">
        <x:v>800250</x:v>
      </x:c>
      <x:c r="F6362" s="9" t="n">
        <x:v>320100</x:v>
      </x:c>
    </x:row>
    <x:row r="6363" ht="34" customHeight="1">
      <x:c r="A6363" s="4" t="str">
        <x:v>RS-03211-I2</x:v>
      </x:c>
      <x:c r="B6363" s="4" t="str">
        <x:v>RS-03211</x:v>
      </x:c>
      <x:c r="C6363" s="9" t="n">
        <x:v>2</x:v>
      </x:c>
      <x:c r="D6363" s="8" t="n">
        <x:v>45522</x:v>
      </x:c>
      <x:c r="E6363" s="9" t="n">
        <x:v>800250</x:v>
      </x:c>
      <x:c r="F6363" s="9" t="n">
        <x:v>0</x:v>
      </x:c>
    </x:row>
    <x:row r="6364" ht="34" customHeight="1">
      <x:c r="A6364" s="4" t="str">
        <x:v>RS-03211-I3</x:v>
      </x:c>
      <x:c r="B6364" s="4" t="str">
        <x:v>RS-03211</x:v>
      </x:c>
      <x:c r="C6364" s="9" t="n">
        <x:v>3</x:v>
      </x:c>
      <x:c r="D6364" s="8" t="n">
        <x:v>45552</x:v>
      </x:c>
      <x:c r="E6364" s="9" t="n">
        <x:v>800250</x:v>
      </x:c>
      <x:c r="F6364" s="9" t="n">
        <x:v>0</x:v>
      </x:c>
    </x:row>
    <x:row r="6365" ht="34" customHeight="1">
      <x:c r="A6365" s="4" t="str">
        <x:v>RS-03211-I4</x:v>
      </x:c>
      <x:c r="B6365" s="4" t="str">
        <x:v>RS-03211</x:v>
      </x:c>
      <x:c r="C6365" s="9" t="n">
        <x:v>4</x:v>
      </x:c>
      <x:c r="D6365" s="8" t="n">
        <x:v>45582</x:v>
      </x:c>
      <x:c r="E6365" s="9" t="n">
        <x:v>800250</x:v>
      </x:c>
      <x:c r="F6365" s="9" t="n">
        <x:v>0</x:v>
      </x:c>
    </x:row>
    <x:row r="6366" ht="34" customHeight="1">
      <x:c r="A6366" s="4" t="str">
        <x:v>RS-03215-I1</x:v>
      </x:c>
      <x:c r="B6366" s="4" t="str">
        <x:v>RS-03215</x:v>
      </x:c>
      <x:c r="C6366" s="9" t="n">
        <x:v>1</x:v>
      </x:c>
      <x:c r="D6366" s="8" t="n">
        <x:v>45496</x:v>
      </x:c>
      <x:c r="E6366" s="9" t="n">
        <x:v>1435500</x:v>
      </x:c>
      <x:c r="F6366" s="9" t="n">
        <x:v>574200</x:v>
      </x:c>
    </x:row>
    <x:row r="6367" ht="34" customHeight="1">
      <x:c r="A6367" s="4" t="str">
        <x:v>RS-03215-I2</x:v>
      </x:c>
      <x:c r="B6367" s="4" t="str">
        <x:v>RS-03215</x:v>
      </x:c>
      <x:c r="C6367" s="9" t="n">
        <x:v>2</x:v>
      </x:c>
      <x:c r="D6367" s="8" t="n">
        <x:v>45526</x:v>
      </x:c>
      <x:c r="E6367" s="9" t="n">
        <x:v>1435500</x:v>
      </x:c>
      <x:c r="F6367" s="9" t="n">
        <x:v>0</x:v>
      </x:c>
    </x:row>
    <x:row r="6368" ht="34" customHeight="1">
      <x:c r="A6368" s="4" t="str">
        <x:v>RS-03215-I3</x:v>
      </x:c>
      <x:c r="B6368" s="4" t="str">
        <x:v>RS-03215</x:v>
      </x:c>
      <x:c r="C6368" s="9" t="n">
        <x:v>3</x:v>
      </x:c>
      <x:c r="D6368" s="8" t="n">
        <x:v>45556</x:v>
      </x:c>
      <x:c r="E6368" s="9" t="n">
        <x:v>1435500</x:v>
      </x:c>
      <x:c r="F6368" s="9" t="n">
        <x:v>0</x:v>
      </x:c>
    </x:row>
    <x:row r="6369" ht="34" customHeight="1">
      <x:c r="A6369" s="4" t="str">
        <x:v>RS-03215-I4</x:v>
      </x:c>
      <x:c r="B6369" s="4" t="str">
        <x:v>RS-03215</x:v>
      </x:c>
      <x:c r="C6369" s="9" t="n">
        <x:v>4</x:v>
      </x:c>
      <x:c r="D6369" s="8" t="n">
        <x:v>45586</x:v>
      </x:c>
      <x:c r="E6369" s="9" t="n">
        <x:v>1435500</x:v>
      </x:c>
      <x:c r="F6369" s="9" t="n">
        <x:v>0</x:v>
      </x:c>
    </x:row>
    <x:row r="6370" ht="34" customHeight="1">
      <x:c r="A6370" s="4" t="str">
        <x:v>RS-03216-I1</x:v>
      </x:c>
      <x:c r="B6370" s="4" t="str">
        <x:v>RS-03216</x:v>
      </x:c>
      <x:c r="C6370" s="9" t="n">
        <x:v>1</x:v>
      </x:c>
      <x:c r="D6370" s="8" t="n">
        <x:v>45497</x:v>
      </x:c>
      <x:c r="E6370" s="9" t="n">
        <x:v>902000</x:v>
      </x:c>
      <x:c r="F6370" s="9" t="n">
        <x:v>902000</x:v>
      </x:c>
    </x:row>
    <x:row r="6371" ht="34" customHeight="1">
      <x:c r="A6371" s="4" t="str">
        <x:v>RS-03216-I2</x:v>
      </x:c>
      <x:c r="B6371" s="4" t="str">
        <x:v>RS-03216</x:v>
      </x:c>
      <x:c r="C6371" s="9" t="n">
        <x:v>2</x:v>
      </x:c>
      <x:c r="D6371" s="8" t="n">
        <x:v>45527</x:v>
      </x:c>
      <x:c r="E6371" s="9" t="n">
        <x:v>902000</x:v>
      </x:c>
      <x:c r="F6371" s="9" t="n">
        <x:v>902000</x:v>
      </x:c>
    </x:row>
    <x:row r="6372" ht="34" customHeight="1">
      <x:c r="A6372" s="4" t="str">
        <x:v>RS-03216-I3</x:v>
      </x:c>
      <x:c r="B6372" s="4" t="str">
        <x:v>RS-03216</x:v>
      </x:c>
      <x:c r="C6372" s="9" t="n">
        <x:v>3</x:v>
      </x:c>
      <x:c r="D6372" s="8" t="n">
        <x:v>45557</x:v>
      </x:c>
      <x:c r="E6372" s="9" t="n">
        <x:v>902000</x:v>
      </x:c>
      <x:c r="F6372" s="9" t="n">
        <x:v>0</x:v>
      </x:c>
    </x:row>
    <x:row r="6373" ht="34" customHeight="1">
      <x:c r="A6373" s="4" t="str">
        <x:v>RS-03216-I4</x:v>
      </x:c>
      <x:c r="B6373" s="4" t="str">
        <x:v>RS-03216</x:v>
      </x:c>
      <x:c r="C6373" s="9" t="n">
        <x:v>4</x:v>
      </x:c>
      <x:c r="D6373" s="8" t="n">
        <x:v>45587</x:v>
      </x:c>
      <x:c r="E6373" s="9" t="n">
        <x:v>902000</x:v>
      </x:c>
      <x:c r="F6373" s="9" t="n">
        <x:v>0</x:v>
      </x:c>
    </x:row>
    <x:row r="6374" ht="34" customHeight="1">
      <x:c r="A6374" s="4" t="str">
        <x:v>RS-03217-I1</x:v>
      </x:c>
      <x:c r="B6374" s="4" t="str">
        <x:v>RS-03217</x:v>
      </x:c>
      <x:c r="C6374" s="9" t="n">
        <x:v>1</x:v>
      </x:c>
      <x:c r="D6374" s="8" t="n">
        <x:v>45498</x:v>
      </x:c>
      <x:c r="E6374" s="9" t="n">
        <x:v>1401750</x:v>
      </x:c>
      <x:c r="F6374" s="9" t="n">
        <x:v>1401750</x:v>
      </x:c>
    </x:row>
    <x:row r="6375" ht="34" customHeight="1">
      <x:c r="A6375" s="4" t="str">
        <x:v>RS-03217-I2</x:v>
      </x:c>
      <x:c r="B6375" s="4" t="str">
        <x:v>RS-03217</x:v>
      </x:c>
      <x:c r="C6375" s="9" t="n">
        <x:v>2</x:v>
      </x:c>
      <x:c r="D6375" s="8" t="n">
        <x:v>45528</x:v>
      </x:c>
      <x:c r="E6375" s="9" t="n">
        <x:v>1401750</x:v>
      </x:c>
      <x:c r="F6375" s="9" t="n">
        <x:v>1401750</x:v>
      </x:c>
    </x:row>
    <x:row r="6376" ht="34" customHeight="1">
      <x:c r="A6376" s="4" t="str">
        <x:v>RS-03217-I3</x:v>
      </x:c>
      <x:c r="B6376" s="4" t="str">
        <x:v>RS-03217</x:v>
      </x:c>
      <x:c r="C6376" s="9" t="n">
        <x:v>3</x:v>
      </x:c>
      <x:c r="D6376" s="8" t="n">
        <x:v>45558</x:v>
      </x:c>
      <x:c r="E6376" s="9" t="n">
        <x:v>1401750</x:v>
      </x:c>
      <x:c r="F6376" s="9" t="n">
        <x:v>0</x:v>
      </x:c>
    </x:row>
    <x:row r="6377" ht="34" customHeight="1">
      <x:c r="A6377" s="4" t="str">
        <x:v>RS-03217-I4</x:v>
      </x:c>
      <x:c r="B6377" s="4" t="str">
        <x:v>RS-03217</x:v>
      </x:c>
      <x:c r="C6377" s="9" t="n">
        <x:v>4</x:v>
      </x:c>
      <x:c r="D6377" s="8" t="n">
        <x:v>45588</x:v>
      </x:c>
      <x:c r="E6377" s="9" t="n">
        <x:v>1401750</x:v>
      </x:c>
      <x:c r="F6377" s="9" t="n">
        <x:v>0</x:v>
      </x:c>
    </x:row>
    <x:row r="6378" ht="34" customHeight="1">
      <x:c r="A6378" s="4" t="str">
        <x:v>RS-03221-I1</x:v>
      </x:c>
      <x:c r="B6378" s="4" t="str">
        <x:v>RS-03221</x:v>
      </x:c>
      <x:c r="C6378" s="9" t="n">
        <x:v>1</x:v>
      </x:c>
      <x:c r="D6378" s="8" t="n">
        <x:v>45474</x:v>
      </x:c>
      <x:c r="E6378" s="9" t="n">
        <x:v>2255250</x:v>
      </x:c>
      <x:c r="F6378" s="9" t="n">
        <x:v>2255250</x:v>
      </x:c>
    </x:row>
    <x:row r="6379" ht="34" customHeight="1">
      <x:c r="A6379" s="4" t="str">
        <x:v>RS-03221-I2</x:v>
      </x:c>
      <x:c r="B6379" s="4" t="str">
        <x:v>RS-03221</x:v>
      </x:c>
      <x:c r="C6379" s="9" t="n">
        <x:v>2</x:v>
      </x:c>
      <x:c r="D6379" s="8" t="n">
        <x:v>45504</x:v>
      </x:c>
      <x:c r="E6379" s="9" t="n">
        <x:v>2255250</x:v>
      </x:c>
      <x:c r="F6379" s="9" t="n">
        <x:v>0</x:v>
      </x:c>
    </x:row>
    <x:row r="6380" ht="34" customHeight="1">
      <x:c r="A6380" s="4" t="str">
        <x:v>RS-03221-I3</x:v>
      </x:c>
      <x:c r="B6380" s="4" t="str">
        <x:v>RS-03221</x:v>
      </x:c>
      <x:c r="C6380" s="9" t="n">
        <x:v>3</x:v>
      </x:c>
      <x:c r="D6380" s="8" t="n">
        <x:v>45534</x:v>
      </x:c>
      <x:c r="E6380" s="9" t="n">
        <x:v>2255250</x:v>
      </x:c>
      <x:c r="F6380" s="9" t="n">
        <x:v>0</x:v>
      </x:c>
    </x:row>
    <x:row r="6381" ht="34" customHeight="1">
      <x:c r="A6381" s="4" t="str">
        <x:v>RS-03221-I4</x:v>
      </x:c>
      <x:c r="B6381" s="4" t="str">
        <x:v>RS-03221</x:v>
      </x:c>
      <x:c r="C6381" s="9" t="n">
        <x:v>4</x:v>
      </x:c>
      <x:c r="D6381" s="8" t="n">
        <x:v>45564</x:v>
      </x:c>
      <x:c r="E6381" s="9" t="n">
        <x:v>2255250</x:v>
      </x:c>
      <x:c r="F6381" s="9" t="n">
        <x:v>0</x:v>
      </x:c>
    </x:row>
    <x:row r="6382" ht="34" customHeight="1">
      <x:c r="A6382" s="4" t="str">
        <x:v>RS-03223-I1</x:v>
      </x:c>
      <x:c r="B6382" s="4" t="str">
        <x:v>RS-03223</x:v>
      </x:c>
      <x:c r="C6382" s="9" t="n">
        <x:v>1</x:v>
      </x:c>
      <x:c r="D6382" s="8" t="n">
        <x:v>45476</x:v>
      </x:c>
      <x:c r="E6382" s="9" t="n">
        <x:v>976500</x:v>
      </x:c>
      <x:c r="F6382" s="9" t="n">
        <x:v>976500</x:v>
      </x:c>
    </x:row>
    <x:row r="6383" ht="34" customHeight="1">
      <x:c r="A6383" s="4" t="str">
        <x:v>RS-03223-I2</x:v>
      </x:c>
      <x:c r="B6383" s="4" t="str">
        <x:v>RS-03223</x:v>
      </x:c>
      <x:c r="C6383" s="9" t="n">
        <x:v>2</x:v>
      </x:c>
      <x:c r="D6383" s="8" t="n">
        <x:v>45506</x:v>
      </x:c>
      <x:c r="E6383" s="9" t="n">
        <x:v>976500</x:v>
      </x:c>
      <x:c r="F6383" s="9" t="n">
        <x:v>976500</x:v>
      </x:c>
    </x:row>
    <x:row r="6384" ht="34" customHeight="1">
      <x:c r="A6384" s="4" t="str">
        <x:v>RS-03223-I3</x:v>
      </x:c>
      <x:c r="B6384" s="4" t="str">
        <x:v>RS-03223</x:v>
      </x:c>
      <x:c r="C6384" s="9" t="n">
        <x:v>3</x:v>
      </x:c>
      <x:c r="D6384" s="8" t="n">
        <x:v>45536</x:v>
      </x:c>
      <x:c r="E6384" s="9" t="n">
        <x:v>976500</x:v>
      </x:c>
      <x:c r="F6384" s="9" t="n">
        <x:v>0</x:v>
      </x:c>
    </x:row>
    <x:row r="6385" ht="34" customHeight="1">
      <x:c r="A6385" s="4" t="str">
        <x:v>RS-03223-I4</x:v>
      </x:c>
      <x:c r="B6385" s="4" t="str">
        <x:v>RS-03223</x:v>
      </x:c>
      <x:c r="C6385" s="9" t="n">
        <x:v>4</x:v>
      </x:c>
      <x:c r="D6385" s="8" t="n">
        <x:v>45566</x:v>
      </x:c>
      <x:c r="E6385" s="9" t="n">
        <x:v>976500</x:v>
      </x:c>
      <x:c r="F6385" s="9" t="n">
        <x:v>0</x:v>
      </x:c>
    </x:row>
    <x:row r="6386" ht="34" customHeight="1">
      <x:c r="A6386" s="4" t="str">
        <x:v>RS-03225-I1</x:v>
      </x:c>
      <x:c r="B6386" s="4" t="str">
        <x:v>RS-03225</x:v>
      </x:c>
      <x:c r="C6386" s="9" t="n">
        <x:v>1</x:v>
      </x:c>
      <x:c r="D6386" s="8" t="n">
        <x:v>45478</x:v>
      </x:c>
      <x:c r="E6386" s="9" t="n">
        <x:v>4950000</x:v>
      </x:c>
      <x:c r="F6386" s="9" t="n">
        <x:v>4950000</x:v>
      </x:c>
    </x:row>
    <x:row r="6387" ht="34" customHeight="1">
      <x:c r="A6387" s="4" t="str">
        <x:v>RS-03225-I2</x:v>
      </x:c>
      <x:c r="B6387" s="4" t="str">
        <x:v>RS-03225</x:v>
      </x:c>
      <x:c r="C6387" s="9" t="n">
        <x:v>2</x:v>
      </x:c>
      <x:c r="D6387" s="8" t="n">
        <x:v>45508</x:v>
      </x:c>
      <x:c r="E6387" s="9" t="n">
        <x:v>4950000</x:v>
      </x:c>
      <x:c r="F6387" s="9" t="n">
        <x:v>0</x:v>
      </x:c>
    </x:row>
    <x:row r="6388" ht="34" customHeight="1">
      <x:c r="A6388" s="4" t="str">
        <x:v>RS-03225-I3</x:v>
      </x:c>
      <x:c r="B6388" s="4" t="str">
        <x:v>RS-03225</x:v>
      </x:c>
      <x:c r="C6388" s="9" t="n">
        <x:v>3</x:v>
      </x:c>
      <x:c r="D6388" s="8" t="n">
        <x:v>45538</x:v>
      </x:c>
      <x:c r="E6388" s="9" t="n">
        <x:v>4950000</x:v>
      </x:c>
      <x:c r="F6388" s="9" t="n">
        <x:v>0</x:v>
      </x:c>
    </x:row>
    <x:row r="6389" ht="34" customHeight="1">
      <x:c r="A6389" s="4" t="str">
        <x:v>RS-03225-I4</x:v>
      </x:c>
      <x:c r="B6389" s="4" t="str">
        <x:v>RS-03225</x:v>
      </x:c>
      <x:c r="C6389" s="9" t="n">
        <x:v>4</x:v>
      </x:c>
      <x:c r="D6389" s="8" t="n">
        <x:v>45568</x:v>
      </x:c>
      <x:c r="E6389" s="9" t="n">
        <x:v>4950000</x:v>
      </x:c>
      <x:c r="F6389" s="9" t="n">
        <x:v>0</x:v>
      </x:c>
    </x:row>
    <x:row r="6390" ht="34" customHeight="1">
      <x:c r="A6390" s="4" t="str">
        <x:v>RS-03226-I1</x:v>
      </x:c>
      <x:c r="B6390" s="4" t="str">
        <x:v>RS-03226</x:v>
      </x:c>
      <x:c r="C6390" s="9" t="n">
        <x:v>1</x:v>
      </x:c>
      <x:c r="D6390" s="8" t="n">
        <x:v>45479</x:v>
      </x:c>
      <x:c r="E6390" s="9" t="n">
        <x:v>5580000</x:v>
      </x:c>
      <x:c r="F6390" s="9" t="n">
        <x:v>5580000</x:v>
      </x:c>
    </x:row>
    <x:row r="6391" ht="34" customHeight="1">
      <x:c r="A6391" s="4" t="str">
        <x:v>RS-03226-I2</x:v>
      </x:c>
      <x:c r="B6391" s="4" t="str">
        <x:v>RS-03226</x:v>
      </x:c>
      <x:c r="C6391" s="9" t="n">
        <x:v>2</x:v>
      </x:c>
      <x:c r="D6391" s="8" t="n">
        <x:v>45509</x:v>
      </x:c>
      <x:c r="E6391" s="9" t="n">
        <x:v>5580000</x:v>
      </x:c>
      <x:c r="F6391" s="9" t="n">
        <x:v>0</x:v>
      </x:c>
    </x:row>
    <x:row r="6392" ht="34" customHeight="1">
      <x:c r="A6392" s="4" t="str">
        <x:v>RS-03226-I3</x:v>
      </x:c>
      <x:c r="B6392" s="4" t="str">
        <x:v>RS-03226</x:v>
      </x:c>
      <x:c r="C6392" s="9" t="n">
        <x:v>3</x:v>
      </x:c>
      <x:c r="D6392" s="8" t="n">
        <x:v>45539</x:v>
      </x:c>
      <x:c r="E6392" s="9" t="n">
        <x:v>5580000</x:v>
      </x:c>
      <x:c r="F6392" s="9" t="n">
        <x:v>0</x:v>
      </x:c>
    </x:row>
    <x:row r="6393" ht="34" customHeight="1">
      <x:c r="A6393" s="4" t="str">
        <x:v>RS-03226-I4</x:v>
      </x:c>
      <x:c r="B6393" s="4" t="str">
        <x:v>RS-03226</x:v>
      </x:c>
      <x:c r="C6393" s="9" t="n">
        <x:v>4</x:v>
      </x:c>
      <x:c r="D6393" s="8" t="n">
        <x:v>45569</x:v>
      </x:c>
      <x:c r="E6393" s="9" t="n">
        <x:v>5580000</x:v>
      </x:c>
      <x:c r="F6393" s="9" t="n">
        <x:v>0</x:v>
      </x:c>
    </x:row>
    <x:row r="6394" ht="34" customHeight="1">
      <x:c r="A6394" s="4" t="str">
        <x:v>RS-03227-I1</x:v>
      </x:c>
      <x:c r="B6394" s="4" t="str">
        <x:v>RS-03227</x:v>
      </x:c>
      <x:c r="C6394" s="9" t="n">
        <x:v>1</x:v>
      </x:c>
      <x:c r="D6394" s="8" t="n">
        <x:v>45480</x:v>
      </x:c>
      <x:c r="E6394" s="9" t="n">
        <x:v>3830500</x:v>
      </x:c>
      <x:c r="F6394" s="9" t="n">
        <x:v>3830500</x:v>
      </x:c>
    </x:row>
    <x:row r="6395" ht="34" customHeight="1">
      <x:c r="A6395" s="4" t="str">
        <x:v>RS-03227-I2</x:v>
      </x:c>
      <x:c r="B6395" s="4" t="str">
        <x:v>RS-03227</x:v>
      </x:c>
      <x:c r="C6395" s="9" t="n">
        <x:v>2</x:v>
      </x:c>
      <x:c r="D6395" s="8" t="n">
        <x:v>45510</x:v>
      </x:c>
      <x:c r="E6395" s="9" t="n">
        <x:v>3830500</x:v>
      </x:c>
      <x:c r="F6395" s="9" t="n">
        <x:v>3830500</x:v>
      </x:c>
    </x:row>
    <x:row r="6396" ht="34" customHeight="1">
      <x:c r="A6396" s="4" t="str">
        <x:v>RS-03227-I3</x:v>
      </x:c>
      <x:c r="B6396" s="4" t="str">
        <x:v>RS-03227</x:v>
      </x:c>
      <x:c r="C6396" s="9" t="n">
        <x:v>3</x:v>
      </x:c>
      <x:c r="D6396" s="8" t="n">
        <x:v>45540</x:v>
      </x:c>
      <x:c r="E6396" s="9" t="n">
        <x:v>3830500</x:v>
      </x:c>
      <x:c r="F6396" s="9" t="n">
        <x:v>0</x:v>
      </x:c>
    </x:row>
    <x:row r="6397" ht="34" customHeight="1">
      <x:c r="A6397" s="4" t="str">
        <x:v>RS-03227-I4</x:v>
      </x:c>
      <x:c r="B6397" s="4" t="str">
        <x:v>RS-03227</x:v>
      </x:c>
      <x:c r="C6397" s="9" t="n">
        <x:v>4</x:v>
      </x:c>
      <x:c r="D6397" s="8" t="n">
        <x:v>45570</x:v>
      </x:c>
      <x:c r="E6397" s="9" t="n">
        <x:v>3830500</x:v>
      </x:c>
      <x:c r="F6397" s="9" t="n">
        <x:v>0</x:v>
      </x:c>
    </x:row>
    <x:row r="6398" ht="34" customHeight="1">
      <x:c r="A6398" s="4" t="str">
        <x:v>RS-03228-I1</x:v>
      </x:c>
      <x:c r="B6398" s="4" t="str">
        <x:v>RS-03228</x:v>
      </x:c>
      <x:c r="C6398" s="9" t="n">
        <x:v>1</x:v>
      </x:c>
      <x:c r="D6398" s="8" t="n">
        <x:v>45481</x:v>
      </x:c>
      <x:c r="E6398" s="9" t="n">
        <x:v>1395000</x:v>
      </x:c>
      <x:c r="F6398" s="9" t="n">
        <x:v>558000</x:v>
      </x:c>
    </x:row>
    <x:row r="6399" ht="34" customHeight="1">
      <x:c r="A6399" s="4" t="str">
        <x:v>RS-03228-I2</x:v>
      </x:c>
      <x:c r="B6399" s="4" t="str">
        <x:v>RS-03228</x:v>
      </x:c>
      <x:c r="C6399" s="9" t="n">
        <x:v>2</x:v>
      </x:c>
      <x:c r="D6399" s="8" t="n">
        <x:v>45511</x:v>
      </x:c>
      <x:c r="E6399" s="9" t="n">
        <x:v>1395000</x:v>
      </x:c>
      <x:c r="F6399" s="9" t="n">
        <x:v>0</x:v>
      </x:c>
    </x:row>
    <x:row r="6400" ht="34" customHeight="1">
      <x:c r="A6400" s="4" t="str">
        <x:v>RS-03228-I3</x:v>
      </x:c>
      <x:c r="B6400" s="4" t="str">
        <x:v>RS-03228</x:v>
      </x:c>
      <x:c r="C6400" s="9" t="n">
        <x:v>3</x:v>
      </x:c>
      <x:c r="D6400" s="8" t="n">
        <x:v>45541</x:v>
      </x:c>
      <x:c r="E6400" s="9" t="n">
        <x:v>1395000</x:v>
      </x:c>
      <x:c r="F6400" s="9" t="n">
        <x:v>0</x:v>
      </x:c>
    </x:row>
    <x:row r="6401" ht="34" customHeight="1">
      <x:c r="A6401" s="4" t="str">
        <x:v>RS-03228-I4</x:v>
      </x:c>
      <x:c r="B6401" s="4" t="str">
        <x:v>RS-03228</x:v>
      </x:c>
      <x:c r="C6401" s="9" t="n">
        <x:v>4</x:v>
      </x:c>
      <x:c r="D6401" s="8" t="n">
        <x:v>45571</x:v>
      </x:c>
      <x:c r="E6401" s="9" t="n">
        <x:v>1395000</x:v>
      </x:c>
      <x:c r="F6401" s="9" t="n">
        <x:v>0</x:v>
      </x:c>
    </x:row>
    <x:row r="6402" ht="34" customHeight="1">
      <x:c r="A6402" s="4" t="str">
        <x:v>RS-03230-I1</x:v>
      </x:c>
      <x:c r="B6402" s="4" t="str">
        <x:v>RS-03230</x:v>
      </x:c>
      <x:c r="C6402" s="9" t="n">
        <x:v>1</x:v>
      </x:c>
      <x:c r="D6402" s="8" t="n">
        <x:v>45483</x:v>
      </x:c>
      <x:c r="E6402" s="9" t="n">
        <x:v>3288000</x:v>
      </x:c>
      <x:c r="F6402" s="9" t="n">
        <x:v>1315200</x:v>
      </x:c>
    </x:row>
    <x:row r="6403" ht="34" customHeight="1">
      <x:c r="A6403" s="4" t="str">
        <x:v>RS-03230-I2</x:v>
      </x:c>
      <x:c r="B6403" s="4" t="str">
        <x:v>RS-03230</x:v>
      </x:c>
      <x:c r="C6403" s="9" t="n">
        <x:v>2</x:v>
      </x:c>
      <x:c r="D6403" s="8" t="n">
        <x:v>45513</x:v>
      </x:c>
      <x:c r="E6403" s="9" t="n">
        <x:v>3288000</x:v>
      </x:c>
      <x:c r="F6403" s="9" t="n">
        <x:v>0</x:v>
      </x:c>
    </x:row>
    <x:row r="6404" ht="34" customHeight="1">
      <x:c r="A6404" s="4" t="str">
        <x:v>RS-03230-I3</x:v>
      </x:c>
      <x:c r="B6404" s="4" t="str">
        <x:v>RS-03230</x:v>
      </x:c>
      <x:c r="C6404" s="9" t="n">
        <x:v>3</x:v>
      </x:c>
      <x:c r="D6404" s="8" t="n">
        <x:v>45543</x:v>
      </x:c>
      <x:c r="E6404" s="9" t="n">
        <x:v>3288000</x:v>
      </x:c>
      <x:c r="F6404" s="9" t="n">
        <x:v>0</x:v>
      </x:c>
    </x:row>
    <x:row r="6405" ht="34" customHeight="1">
      <x:c r="A6405" s="4" t="str">
        <x:v>RS-03230-I4</x:v>
      </x:c>
      <x:c r="B6405" s="4" t="str">
        <x:v>RS-03230</x:v>
      </x:c>
      <x:c r="C6405" s="9" t="n">
        <x:v>4</x:v>
      </x:c>
      <x:c r="D6405" s="8" t="n">
        <x:v>45573</x:v>
      </x:c>
      <x:c r="E6405" s="9" t="n">
        <x:v>3288000</x:v>
      </x:c>
      <x:c r="F6405" s="9" t="n">
        <x:v>0</x:v>
      </x:c>
    </x:row>
    <x:row r="6406" ht="34" customHeight="1">
      <x:c r="A6406" s="4" t="str">
        <x:v>RS-03233-I1</x:v>
      </x:c>
      <x:c r="B6406" s="4" t="str">
        <x:v>RS-03233</x:v>
      </x:c>
      <x:c r="C6406" s="9" t="n">
        <x:v>1</x:v>
      </x:c>
      <x:c r="D6406" s="8" t="n">
        <x:v>45486</x:v>
      </x:c>
      <x:c r="E6406" s="9" t="n">
        <x:v>3827000</x:v>
      </x:c>
      <x:c r="F6406" s="9" t="n">
        <x:v>3827000</x:v>
      </x:c>
    </x:row>
    <x:row r="6407" ht="34" customHeight="1">
      <x:c r="A6407" s="4" t="str">
        <x:v>RS-03233-I2</x:v>
      </x:c>
      <x:c r="B6407" s="4" t="str">
        <x:v>RS-03233</x:v>
      </x:c>
      <x:c r="C6407" s="9" t="n">
        <x:v>2</x:v>
      </x:c>
      <x:c r="D6407" s="8" t="n">
        <x:v>45516</x:v>
      </x:c>
      <x:c r="E6407" s="9" t="n">
        <x:v>3827000</x:v>
      </x:c>
      <x:c r="F6407" s="9" t="n">
        <x:v>0</x:v>
      </x:c>
    </x:row>
    <x:row r="6408" ht="34" customHeight="1">
      <x:c r="A6408" s="4" t="str">
        <x:v>RS-03233-I3</x:v>
      </x:c>
      <x:c r="B6408" s="4" t="str">
        <x:v>RS-03233</x:v>
      </x:c>
      <x:c r="C6408" s="9" t="n">
        <x:v>3</x:v>
      </x:c>
      <x:c r="D6408" s="8" t="n">
        <x:v>45546</x:v>
      </x:c>
      <x:c r="E6408" s="9" t="n">
        <x:v>3827000</x:v>
      </x:c>
      <x:c r="F6408" s="9" t="n">
        <x:v>0</x:v>
      </x:c>
    </x:row>
    <x:row r="6409" ht="34" customHeight="1">
      <x:c r="A6409" s="4" t="str">
        <x:v>RS-03233-I4</x:v>
      </x:c>
      <x:c r="B6409" s="4" t="str">
        <x:v>RS-03233</x:v>
      </x:c>
      <x:c r="C6409" s="9" t="n">
        <x:v>4</x:v>
      </x:c>
      <x:c r="D6409" s="8" t="n">
        <x:v>45576</x:v>
      </x:c>
      <x:c r="E6409" s="9" t="n">
        <x:v>3827000</x:v>
      </x:c>
      <x:c r="F6409" s="9" t="n">
        <x:v>0</x:v>
      </x:c>
    </x:row>
    <x:row r="6410" ht="34" customHeight="1">
      <x:c r="A6410" s="4" t="str">
        <x:v>RS-03234-I1</x:v>
      </x:c>
      <x:c r="B6410" s="4" t="str">
        <x:v>RS-03234</x:v>
      </x:c>
      <x:c r="C6410" s="9" t="n">
        <x:v>1</x:v>
      </x:c>
      <x:c r="D6410" s="8" t="n">
        <x:v>45487</x:v>
      </x:c>
      <x:c r="E6410" s="9" t="n">
        <x:v>1604250</x:v>
      </x:c>
      <x:c r="F6410" s="9" t="n">
        <x:v>1604250</x:v>
      </x:c>
    </x:row>
    <x:row r="6411" ht="34" customHeight="1">
      <x:c r="A6411" s="4" t="str">
        <x:v>RS-03234-I2</x:v>
      </x:c>
      <x:c r="B6411" s="4" t="str">
        <x:v>RS-03234</x:v>
      </x:c>
      <x:c r="C6411" s="9" t="n">
        <x:v>2</x:v>
      </x:c>
      <x:c r="D6411" s="8" t="n">
        <x:v>45517</x:v>
      </x:c>
      <x:c r="E6411" s="9" t="n">
        <x:v>1604250</x:v>
      </x:c>
      <x:c r="F6411" s="9" t="n">
        <x:v>1604250</x:v>
      </x:c>
    </x:row>
    <x:row r="6412" ht="34" customHeight="1">
      <x:c r="A6412" s="4" t="str">
        <x:v>RS-03234-I3</x:v>
      </x:c>
      <x:c r="B6412" s="4" t="str">
        <x:v>RS-03234</x:v>
      </x:c>
      <x:c r="C6412" s="9" t="n">
        <x:v>3</x:v>
      </x:c>
      <x:c r="D6412" s="8" t="n">
        <x:v>45547</x:v>
      </x:c>
      <x:c r="E6412" s="9" t="n">
        <x:v>1604250</x:v>
      </x:c>
      <x:c r="F6412" s="9" t="n">
        <x:v>0</x:v>
      </x:c>
    </x:row>
    <x:row r="6413" ht="34" customHeight="1">
      <x:c r="A6413" s="4" t="str">
        <x:v>RS-03234-I4</x:v>
      </x:c>
      <x:c r="B6413" s="4" t="str">
        <x:v>RS-03234</x:v>
      </x:c>
      <x:c r="C6413" s="9" t="n">
        <x:v>4</x:v>
      </x:c>
      <x:c r="D6413" s="8" t="n">
        <x:v>45577</x:v>
      </x:c>
      <x:c r="E6413" s="9" t="n">
        <x:v>1604250</x:v>
      </x:c>
      <x:c r="F6413" s="9" t="n">
        <x:v>0</x:v>
      </x:c>
    </x:row>
    <x:row r="6414" ht="34" customHeight="1">
      <x:c r="A6414" s="4" t="str">
        <x:v>RS-03237-I1</x:v>
      </x:c>
      <x:c r="B6414" s="4" t="str">
        <x:v>RS-03237</x:v>
      </x:c>
      <x:c r="C6414" s="9" t="n">
        <x:v>1</x:v>
      </x:c>
      <x:c r="D6414" s="8" t="n">
        <x:v>45490</x:v>
      </x:c>
      <x:c r="E6414" s="9" t="n">
        <x:v>1350000</x:v>
      </x:c>
      <x:c r="F6414" s="9" t="n">
        <x:v>1350000</x:v>
      </x:c>
    </x:row>
    <x:row r="6415" ht="34" customHeight="1">
      <x:c r="A6415" s="4" t="str">
        <x:v>RS-03237-I2</x:v>
      </x:c>
      <x:c r="B6415" s="4" t="str">
        <x:v>RS-03237</x:v>
      </x:c>
      <x:c r="C6415" s="9" t="n">
        <x:v>2</x:v>
      </x:c>
      <x:c r="D6415" s="8" t="n">
        <x:v>45520</x:v>
      </x:c>
      <x:c r="E6415" s="9" t="n">
        <x:v>1350000</x:v>
      </x:c>
      <x:c r="F6415" s="9" t="n">
        <x:v>0</x:v>
      </x:c>
    </x:row>
    <x:row r="6416" ht="34" customHeight="1">
      <x:c r="A6416" s="4" t="str">
        <x:v>RS-03237-I3</x:v>
      </x:c>
      <x:c r="B6416" s="4" t="str">
        <x:v>RS-03237</x:v>
      </x:c>
      <x:c r="C6416" s="9" t="n">
        <x:v>3</x:v>
      </x:c>
      <x:c r="D6416" s="8" t="n">
        <x:v>45550</x:v>
      </x:c>
      <x:c r="E6416" s="9" t="n">
        <x:v>1350000</x:v>
      </x:c>
      <x:c r="F6416" s="9" t="n">
        <x:v>0</x:v>
      </x:c>
    </x:row>
    <x:row r="6417" ht="34" customHeight="1">
      <x:c r="A6417" s="4" t="str">
        <x:v>RS-03237-I4</x:v>
      </x:c>
      <x:c r="B6417" s="4" t="str">
        <x:v>RS-03237</x:v>
      </x:c>
      <x:c r="C6417" s="9" t="n">
        <x:v>4</x:v>
      </x:c>
      <x:c r="D6417" s="8" t="n">
        <x:v>45580</x:v>
      </x:c>
      <x:c r="E6417" s="9" t="n">
        <x:v>1350000</x:v>
      </x:c>
      <x:c r="F6417" s="9" t="n">
        <x:v>0</x:v>
      </x:c>
    </x:row>
    <x:row r="6418" ht="34" customHeight="1">
      <x:c r="A6418" s="4" t="str">
        <x:v>RS-03239-I1</x:v>
      </x:c>
      <x:c r="B6418" s="4" t="str">
        <x:v>RS-03239</x:v>
      </x:c>
      <x:c r="C6418" s="9" t="n">
        <x:v>1</x:v>
      </x:c>
      <x:c r="D6418" s="8" t="n">
        <x:v>45492</x:v>
      </x:c>
      <x:c r="E6418" s="9" t="n">
        <x:v>1912500</x:v>
      </x:c>
      <x:c r="F6418" s="9" t="n">
        <x:v>1912500</x:v>
      </x:c>
    </x:row>
    <x:row r="6419" ht="34" customHeight="1">
      <x:c r="A6419" s="4" t="str">
        <x:v>RS-03239-I2</x:v>
      </x:c>
      <x:c r="B6419" s="4" t="str">
        <x:v>RS-03239</x:v>
      </x:c>
      <x:c r="C6419" s="9" t="n">
        <x:v>2</x:v>
      </x:c>
      <x:c r="D6419" s="8" t="n">
        <x:v>45522</x:v>
      </x:c>
      <x:c r="E6419" s="9" t="n">
        <x:v>1912500</x:v>
      </x:c>
      <x:c r="F6419" s="9" t="n">
        <x:v>1912500</x:v>
      </x:c>
    </x:row>
    <x:row r="6420" ht="34" customHeight="1">
      <x:c r="A6420" s="4" t="str">
        <x:v>RS-03239-I3</x:v>
      </x:c>
      <x:c r="B6420" s="4" t="str">
        <x:v>RS-03239</x:v>
      </x:c>
      <x:c r="C6420" s="9" t="n">
        <x:v>3</x:v>
      </x:c>
      <x:c r="D6420" s="8" t="n">
        <x:v>45552</x:v>
      </x:c>
      <x:c r="E6420" s="9" t="n">
        <x:v>1912500</x:v>
      </x:c>
      <x:c r="F6420" s="9" t="n">
        <x:v>1912500</x:v>
      </x:c>
    </x:row>
    <x:row r="6421" ht="34" customHeight="1">
      <x:c r="A6421" s="4" t="str">
        <x:v>RS-03239-I4</x:v>
      </x:c>
      <x:c r="B6421" s="4" t="str">
        <x:v>RS-03239</x:v>
      </x:c>
      <x:c r="C6421" s="9" t="n">
        <x:v>4</x:v>
      </x:c>
      <x:c r="D6421" s="8" t="n">
        <x:v>45582</x:v>
      </x:c>
      <x:c r="E6421" s="9" t="n">
        <x:v>1912500</x:v>
      </x:c>
      <x:c r="F6421" s="9" t="n">
        <x:v>1912500</x:v>
      </x:c>
    </x:row>
    <x:row r="6422" ht="34" customHeight="1">
      <x:c r="A6422" s="4" t="str">
        <x:v>RS-03243-I1</x:v>
      </x:c>
      <x:c r="B6422" s="4" t="str">
        <x:v>RS-03243</x:v>
      </x:c>
      <x:c r="C6422" s="9" t="n">
        <x:v>1</x:v>
      </x:c>
      <x:c r="D6422" s="8" t="n">
        <x:v>45496</x:v>
      </x:c>
      <x:c r="E6422" s="9" t="n">
        <x:v>3206250</x:v>
      </x:c>
      <x:c r="F6422" s="9" t="n">
        <x:v>3206250</x:v>
      </x:c>
    </x:row>
    <x:row r="6423" ht="34" customHeight="1">
      <x:c r="A6423" s="4" t="str">
        <x:v>RS-03243-I2</x:v>
      </x:c>
      <x:c r="B6423" s="4" t="str">
        <x:v>RS-03243</x:v>
      </x:c>
      <x:c r="C6423" s="9" t="n">
        <x:v>2</x:v>
      </x:c>
      <x:c r="D6423" s="8" t="n">
        <x:v>45526</x:v>
      </x:c>
      <x:c r="E6423" s="9" t="n">
        <x:v>3206250</x:v>
      </x:c>
      <x:c r="F6423" s="9" t="n">
        <x:v>0</x:v>
      </x:c>
    </x:row>
    <x:row r="6424" ht="34" customHeight="1">
      <x:c r="A6424" s="4" t="str">
        <x:v>RS-03243-I3</x:v>
      </x:c>
      <x:c r="B6424" s="4" t="str">
        <x:v>RS-03243</x:v>
      </x:c>
      <x:c r="C6424" s="9" t="n">
        <x:v>3</x:v>
      </x:c>
      <x:c r="D6424" s="8" t="n">
        <x:v>45556</x:v>
      </x:c>
      <x:c r="E6424" s="9" t="n">
        <x:v>3206250</x:v>
      </x:c>
      <x:c r="F6424" s="9" t="n">
        <x:v>0</x:v>
      </x:c>
    </x:row>
    <x:row r="6425" ht="34" customHeight="1">
      <x:c r="A6425" s="4" t="str">
        <x:v>RS-03243-I4</x:v>
      </x:c>
      <x:c r="B6425" s="4" t="str">
        <x:v>RS-03243</x:v>
      </x:c>
      <x:c r="C6425" s="9" t="n">
        <x:v>4</x:v>
      </x:c>
      <x:c r="D6425" s="8" t="n">
        <x:v>45586</x:v>
      </x:c>
      <x:c r="E6425" s="9" t="n">
        <x:v>3206250</x:v>
      </x:c>
      <x:c r="F6425" s="9" t="n">
        <x:v>0</x:v>
      </x:c>
    </x:row>
    <x:row r="6426" ht="34" customHeight="1">
      <x:c r="A6426" s="4" t="str">
        <x:v>RS-03245-I1</x:v>
      </x:c>
      <x:c r="B6426" s="4" t="str">
        <x:v>RS-03245</x:v>
      </x:c>
      <x:c r="C6426" s="9" t="n">
        <x:v>1</x:v>
      </x:c>
      <x:c r="D6426" s="8" t="n">
        <x:v>45498</x:v>
      </x:c>
      <x:c r="E6426" s="9" t="n">
        <x:v>2139000</x:v>
      </x:c>
      <x:c r="F6426" s="9" t="n">
        <x:v>2139000</x:v>
      </x:c>
    </x:row>
    <x:row r="6427" ht="34" customHeight="1">
      <x:c r="A6427" s="4" t="str">
        <x:v>RS-03245-I2</x:v>
      </x:c>
      <x:c r="B6427" s="4" t="str">
        <x:v>RS-03245</x:v>
      </x:c>
      <x:c r="C6427" s="9" t="n">
        <x:v>2</x:v>
      </x:c>
      <x:c r="D6427" s="8" t="n">
        <x:v>45528</x:v>
      </x:c>
      <x:c r="E6427" s="9" t="n">
        <x:v>2139000</x:v>
      </x:c>
      <x:c r="F6427" s="9" t="n">
        <x:v>0</x:v>
      </x:c>
    </x:row>
    <x:row r="6428" ht="34" customHeight="1">
      <x:c r="A6428" s="4" t="str">
        <x:v>RS-03245-I3</x:v>
      </x:c>
      <x:c r="B6428" s="4" t="str">
        <x:v>RS-03245</x:v>
      </x:c>
      <x:c r="C6428" s="9" t="n">
        <x:v>3</x:v>
      </x:c>
      <x:c r="D6428" s="8" t="n">
        <x:v>45558</x:v>
      </x:c>
      <x:c r="E6428" s="9" t="n">
        <x:v>2139000</x:v>
      </x:c>
      <x:c r="F6428" s="9" t="n">
        <x:v>0</x:v>
      </x:c>
    </x:row>
    <x:row r="6429" ht="34" customHeight="1">
      <x:c r="A6429" s="4" t="str">
        <x:v>RS-03245-I4</x:v>
      </x:c>
      <x:c r="B6429" s="4" t="str">
        <x:v>RS-03245</x:v>
      </x:c>
      <x:c r="C6429" s="9" t="n">
        <x:v>4</x:v>
      </x:c>
      <x:c r="D6429" s="8" t="n">
        <x:v>45588</x:v>
      </x:c>
      <x:c r="E6429" s="9" t="n">
        <x:v>2139000</x:v>
      </x:c>
      <x:c r="F6429" s="9" t="n">
        <x:v>0</x:v>
      </x:c>
    </x:row>
    <x:row r="6430" ht="34" customHeight="1">
      <x:c r="A6430" s="4" t="str">
        <x:v>RS-03246-I1</x:v>
      </x:c>
      <x:c r="B6430" s="4" t="str">
        <x:v>RS-03246</x:v>
      </x:c>
      <x:c r="C6430" s="9" t="n">
        <x:v>1</x:v>
      </x:c>
      <x:c r="D6430" s="8" t="n">
        <x:v>45499</x:v>
      </x:c>
      <x:c r="E6430" s="9" t="n">
        <x:v>1656000</x:v>
      </x:c>
      <x:c r="F6430" s="9" t="n">
        <x:v>1656000</x:v>
      </x:c>
    </x:row>
    <x:row r="6431" ht="34" customHeight="1">
      <x:c r="A6431" s="4" t="str">
        <x:v>RS-03246-I2</x:v>
      </x:c>
      <x:c r="B6431" s="4" t="str">
        <x:v>RS-03246</x:v>
      </x:c>
      <x:c r="C6431" s="9" t="n">
        <x:v>2</x:v>
      </x:c>
      <x:c r="D6431" s="8" t="n">
        <x:v>45529</x:v>
      </x:c>
      <x:c r="E6431" s="9" t="n">
        <x:v>1656000</x:v>
      </x:c>
      <x:c r="F6431" s="9" t="n">
        <x:v>1656000</x:v>
      </x:c>
    </x:row>
    <x:row r="6432" ht="34" customHeight="1">
      <x:c r="A6432" s="4" t="str">
        <x:v>RS-03246-I3</x:v>
      </x:c>
      <x:c r="B6432" s="4" t="str">
        <x:v>RS-03246</x:v>
      </x:c>
      <x:c r="C6432" s="9" t="n">
        <x:v>3</x:v>
      </x:c>
      <x:c r="D6432" s="8" t="n">
        <x:v>45559</x:v>
      </x:c>
      <x:c r="E6432" s="9" t="n">
        <x:v>1656000</x:v>
      </x:c>
      <x:c r="F6432" s="9" t="n">
        <x:v>0</x:v>
      </x:c>
    </x:row>
    <x:row r="6433" ht="34" customHeight="1">
      <x:c r="A6433" s="4" t="str">
        <x:v>RS-03246-I4</x:v>
      </x:c>
      <x:c r="B6433" s="4" t="str">
        <x:v>RS-03246</x:v>
      </x:c>
      <x:c r="C6433" s="9" t="n">
        <x:v>4</x:v>
      </x:c>
      <x:c r="D6433" s="8" t="n">
        <x:v>45589</x:v>
      </x:c>
      <x:c r="E6433" s="9" t="n">
        <x:v>1656000</x:v>
      </x:c>
      <x:c r="F6433" s="9" t="n">
        <x:v>0</x:v>
      </x:c>
    </x:row>
    <x:row r="6434" ht="34" customHeight="1">
      <x:c r="A6434" s="4" t="str">
        <x:v>RS-03247-I1</x:v>
      </x:c>
      <x:c r="B6434" s="4" t="str">
        <x:v>RS-03247</x:v>
      </x:c>
      <x:c r="C6434" s="9" t="n">
        <x:v>1</x:v>
      </x:c>
      <x:c r="D6434" s="8" t="n">
        <x:v>45500</x:v>
      </x:c>
      <x:c r="E6434" s="9" t="n">
        <x:v>3321500</x:v>
      </x:c>
      <x:c r="F6434" s="9" t="n">
        <x:v>1328600</x:v>
      </x:c>
    </x:row>
    <x:row r="6435" ht="34" customHeight="1">
      <x:c r="A6435" s="4" t="str">
        <x:v>RS-03247-I2</x:v>
      </x:c>
      <x:c r="B6435" s="4" t="str">
        <x:v>RS-03247</x:v>
      </x:c>
      <x:c r="C6435" s="9" t="n">
        <x:v>2</x:v>
      </x:c>
      <x:c r="D6435" s="8" t="n">
        <x:v>45530</x:v>
      </x:c>
      <x:c r="E6435" s="9" t="n">
        <x:v>3321500</x:v>
      </x:c>
      <x:c r="F6435" s="9" t="n">
        <x:v>0</x:v>
      </x:c>
    </x:row>
    <x:row r="6436" ht="34" customHeight="1">
      <x:c r="A6436" s="4" t="str">
        <x:v>RS-03247-I3</x:v>
      </x:c>
      <x:c r="B6436" s="4" t="str">
        <x:v>RS-03247</x:v>
      </x:c>
      <x:c r="C6436" s="9" t="n">
        <x:v>3</x:v>
      </x:c>
      <x:c r="D6436" s="8" t="n">
        <x:v>45560</x:v>
      </x:c>
      <x:c r="E6436" s="9" t="n">
        <x:v>3321500</x:v>
      </x:c>
      <x:c r="F6436" s="9" t="n">
        <x:v>0</x:v>
      </x:c>
    </x:row>
    <x:row r="6437" ht="34" customHeight="1">
      <x:c r="A6437" s="4" t="str">
        <x:v>RS-03247-I4</x:v>
      </x:c>
      <x:c r="B6437" s="4" t="str">
        <x:v>RS-03247</x:v>
      </x:c>
      <x:c r="C6437" s="9" t="n">
        <x:v>4</x:v>
      </x:c>
      <x:c r="D6437" s="8" t="n">
        <x:v>45590</x:v>
      </x:c>
      <x:c r="E6437" s="9" t="n">
        <x:v>3321500</x:v>
      </x:c>
      <x:c r="F6437" s="9" t="n">
        <x:v>0</x:v>
      </x:c>
    </x:row>
    <x:row r="6438" ht="34" customHeight="1">
      <x:c r="A6438" s="4" t="str">
        <x:v>RS-03254-I1</x:v>
      </x:c>
      <x:c r="B6438" s="4" t="str">
        <x:v>RS-03254</x:v>
      </x:c>
      <x:c r="C6438" s="9" t="n">
        <x:v>1</x:v>
      </x:c>
      <x:c r="D6438" s="8" t="n">
        <x:v>45479</x:v>
      </x:c>
      <x:c r="E6438" s="9" t="n">
        <x:v>4692000</x:v>
      </x:c>
      <x:c r="F6438" s="9" t="n">
        <x:v>1876800</x:v>
      </x:c>
    </x:row>
    <x:row r="6439" ht="34" customHeight="1">
      <x:c r="A6439" s="4" t="str">
        <x:v>RS-03254-I2</x:v>
      </x:c>
      <x:c r="B6439" s="4" t="str">
        <x:v>RS-03254</x:v>
      </x:c>
      <x:c r="C6439" s="9" t="n">
        <x:v>2</x:v>
      </x:c>
      <x:c r="D6439" s="8" t="n">
        <x:v>45509</x:v>
      </x:c>
      <x:c r="E6439" s="9" t="n">
        <x:v>4692000</x:v>
      </x:c>
      <x:c r="F6439" s="9" t="n">
        <x:v>0</x:v>
      </x:c>
    </x:row>
    <x:row r="6440" ht="34" customHeight="1">
      <x:c r="A6440" s="4" t="str">
        <x:v>RS-03254-I3</x:v>
      </x:c>
      <x:c r="B6440" s="4" t="str">
        <x:v>RS-03254</x:v>
      </x:c>
      <x:c r="C6440" s="9" t="n">
        <x:v>3</x:v>
      </x:c>
      <x:c r="D6440" s="8" t="n">
        <x:v>45539</x:v>
      </x:c>
      <x:c r="E6440" s="9" t="n">
        <x:v>4692000</x:v>
      </x:c>
      <x:c r="F6440" s="9" t="n">
        <x:v>0</x:v>
      </x:c>
    </x:row>
    <x:row r="6441" ht="34" customHeight="1">
      <x:c r="A6441" s="4" t="str">
        <x:v>RS-03254-I4</x:v>
      </x:c>
      <x:c r="B6441" s="4" t="str">
        <x:v>RS-03254</x:v>
      </x:c>
      <x:c r="C6441" s="9" t="n">
        <x:v>4</x:v>
      </x:c>
      <x:c r="D6441" s="8" t="n">
        <x:v>45569</x:v>
      </x:c>
      <x:c r="E6441" s="9" t="n">
        <x:v>4692000</x:v>
      </x:c>
      <x:c r="F6441" s="9" t="n">
        <x:v>0</x:v>
      </x:c>
    </x:row>
    <x:row r="6442" ht="34" customHeight="1">
      <x:c r="A6442" s="4" t="str">
        <x:v>RS-03255-I1</x:v>
      </x:c>
      <x:c r="B6442" s="4" t="str">
        <x:v>RS-03255</x:v>
      </x:c>
      <x:c r="C6442" s="9" t="n">
        <x:v>1</x:v>
      </x:c>
      <x:c r="D6442" s="8" t="n">
        <x:v>45480</x:v>
      </x:c>
      <x:c r="E6442" s="9" t="n">
        <x:v>2139000</x:v>
      </x:c>
      <x:c r="F6442" s="9" t="n">
        <x:v>2139000</x:v>
      </x:c>
    </x:row>
    <x:row r="6443" ht="34" customHeight="1">
      <x:c r="A6443" s="4" t="str">
        <x:v>RS-03255-I2</x:v>
      </x:c>
      <x:c r="B6443" s="4" t="str">
        <x:v>RS-03255</x:v>
      </x:c>
      <x:c r="C6443" s="9" t="n">
        <x:v>2</x:v>
      </x:c>
      <x:c r="D6443" s="8" t="n">
        <x:v>45510</x:v>
      </x:c>
      <x:c r="E6443" s="9" t="n">
        <x:v>2139000</x:v>
      </x:c>
      <x:c r="F6443" s="9" t="n">
        <x:v>2139000</x:v>
      </x:c>
    </x:row>
    <x:row r="6444" ht="34" customHeight="1">
      <x:c r="A6444" s="4" t="str">
        <x:v>RS-03255-I3</x:v>
      </x:c>
      <x:c r="B6444" s="4" t="str">
        <x:v>RS-03255</x:v>
      </x:c>
      <x:c r="C6444" s="9" t="n">
        <x:v>3</x:v>
      </x:c>
      <x:c r="D6444" s="8" t="n">
        <x:v>45540</x:v>
      </x:c>
      <x:c r="E6444" s="9" t="n">
        <x:v>2139000</x:v>
      </x:c>
      <x:c r="F6444" s="9" t="n">
        <x:v>2139000</x:v>
      </x:c>
    </x:row>
    <x:row r="6445" ht="34" customHeight="1">
      <x:c r="A6445" s="4" t="str">
        <x:v>RS-03255-I4</x:v>
      </x:c>
      <x:c r="B6445" s="4" t="str">
        <x:v>RS-03255</x:v>
      </x:c>
      <x:c r="C6445" s="9" t="n">
        <x:v>4</x:v>
      </x:c>
      <x:c r="D6445" s="8" t="n">
        <x:v>45570</x:v>
      </x:c>
      <x:c r="E6445" s="9" t="n">
        <x:v>2139000</x:v>
      </x:c>
      <x:c r="F6445" s="9" t="n">
        <x:v>2139000</x:v>
      </x:c>
    </x:row>
    <x:row r="6446" ht="34" customHeight="1">
      <x:c r="A6446" s="4" t="str">
        <x:v>RS-03256-I1</x:v>
      </x:c>
      <x:c r="B6446" s="4" t="str">
        <x:v>RS-03256</x:v>
      </x:c>
      <x:c r="C6446" s="9" t="n">
        <x:v>1</x:v>
      </x:c>
      <x:c r="D6446" s="8" t="n">
        <x:v>45481</x:v>
      </x:c>
      <x:c r="E6446" s="9" t="n">
        <x:v>3000000</x:v>
      </x:c>
      <x:c r="F6446" s="9" t="n">
        <x:v>3000000</x:v>
      </x:c>
    </x:row>
    <x:row r="6447" ht="34" customHeight="1">
      <x:c r="A6447" s="4" t="str">
        <x:v>RS-03256-I2</x:v>
      </x:c>
      <x:c r="B6447" s="4" t="str">
        <x:v>RS-03256</x:v>
      </x:c>
      <x:c r="C6447" s="9" t="n">
        <x:v>2</x:v>
      </x:c>
      <x:c r="D6447" s="8" t="n">
        <x:v>45511</x:v>
      </x:c>
      <x:c r="E6447" s="9" t="n">
        <x:v>3000000</x:v>
      </x:c>
      <x:c r="F6447" s="9" t="n">
        <x:v>3000000</x:v>
      </x:c>
    </x:row>
    <x:row r="6448" ht="34" customHeight="1">
      <x:c r="A6448" s="4" t="str">
        <x:v>RS-03256-I3</x:v>
      </x:c>
      <x:c r="B6448" s="4" t="str">
        <x:v>RS-03256</x:v>
      </x:c>
      <x:c r="C6448" s="9" t="n">
        <x:v>3</x:v>
      </x:c>
      <x:c r="D6448" s="8" t="n">
        <x:v>45541</x:v>
      </x:c>
      <x:c r="E6448" s="9" t="n">
        <x:v>3000000</x:v>
      </x:c>
      <x:c r="F6448" s="9" t="n">
        <x:v>3000000</x:v>
      </x:c>
    </x:row>
    <x:row r="6449" ht="34" customHeight="1">
      <x:c r="A6449" s="4" t="str">
        <x:v>RS-03256-I4</x:v>
      </x:c>
      <x:c r="B6449" s="4" t="str">
        <x:v>RS-03256</x:v>
      </x:c>
      <x:c r="C6449" s="9" t="n">
        <x:v>4</x:v>
      </x:c>
      <x:c r="D6449" s="8" t="n">
        <x:v>45571</x:v>
      </x:c>
      <x:c r="E6449" s="9" t="n">
        <x:v>3000000</x:v>
      </x:c>
      <x:c r="F6449" s="9" t="n">
        <x:v>3000000</x:v>
      </x:c>
    </x:row>
    <x:row r="6450" ht="34" customHeight="1">
      <x:c r="A6450" s="4" t="str">
        <x:v>RS-03257-I1</x:v>
      </x:c>
      <x:c r="B6450" s="4" t="str">
        <x:v>RS-03257</x:v>
      </x:c>
      <x:c r="C6450" s="9" t="n">
        <x:v>1</x:v>
      </x:c>
      <x:c r="D6450" s="8" t="n">
        <x:v>45482</x:v>
      </x:c>
      <x:c r="E6450" s="9" t="n">
        <x:v>1650750</x:v>
      </x:c>
      <x:c r="F6450" s="9" t="n">
        <x:v>1650750</x:v>
      </x:c>
    </x:row>
    <x:row r="6451" ht="34" customHeight="1">
      <x:c r="A6451" s="4" t="str">
        <x:v>RS-03257-I2</x:v>
      </x:c>
      <x:c r="B6451" s="4" t="str">
        <x:v>RS-03257</x:v>
      </x:c>
      <x:c r="C6451" s="9" t="n">
        <x:v>2</x:v>
      </x:c>
      <x:c r="D6451" s="8" t="n">
        <x:v>45512</x:v>
      </x:c>
      <x:c r="E6451" s="9" t="n">
        <x:v>1650750</x:v>
      </x:c>
      <x:c r="F6451" s="9" t="n">
        <x:v>1650750</x:v>
      </x:c>
    </x:row>
    <x:row r="6452" ht="34" customHeight="1">
      <x:c r="A6452" s="4" t="str">
        <x:v>RS-03257-I3</x:v>
      </x:c>
      <x:c r="B6452" s="4" t="str">
        <x:v>RS-03257</x:v>
      </x:c>
      <x:c r="C6452" s="9" t="n">
        <x:v>3</x:v>
      </x:c>
      <x:c r="D6452" s="8" t="n">
        <x:v>45542</x:v>
      </x:c>
      <x:c r="E6452" s="9" t="n">
        <x:v>1650750</x:v>
      </x:c>
      <x:c r="F6452" s="9" t="n">
        <x:v>1650750</x:v>
      </x:c>
    </x:row>
    <x:row r="6453" ht="34" customHeight="1">
      <x:c r="A6453" s="4" t="str">
        <x:v>RS-03257-I4</x:v>
      </x:c>
      <x:c r="B6453" s="4" t="str">
        <x:v>RS-03257</x:v>
      </x:c>
      <x:c r="C6453" s="9" t="n">
        <x:v>4</x:v>
      </x:c>
      <x:c r="D6453" s="8" t="n">
        <x:v>45572</x:v>
      </x:c>
      <x:c r="E6453" s="9" t="n">
        <x:v>1650750</x:v>
      </x:c>
      <x:c r="F6453" s="9" t="n">
        <x:v>1650750</x:v>
      </x:c>
    </x:row>
    <x:row r="6454" ht="34" customHeight="1">
      <x:c r="A6454" s="4" t="str">
        <x:v>RS-03258-I1</x:v>
      </x:c>
      <x:c r="B6454" s="4" t="str">
        <x:v>RS-03258</x:v>
      </x:c>
      <x:c r="C6454" s="9" t="n">
        <x:v>1</x:v>
      </x:c>
      <x:c r="D6454" s="8" t="n">
        <x:v>45483</x:v>
      </x:c>
      <x:c r="E6454" s="9" t="n">
        <x:v>3313500</x:v>
      </x:c>
      <x:c r="F6454" s="9" t="n">
        <x:v>3313500</x:v>
      </x:c>
    </x:row>
    <x:row r="6455" ht="34" customHeight="1">
      <x:c r="A6455" s="4" t="str">
        <x:v>RS-03258-I2</x:v>
      </x:c>
      <x:c r="B6455" s="4" t="str">
        <x:v>RS-03258</x:v>
      </x:c>
      <x:c r="C6455" s="9" t="n">
        <x:v>2</x:v>
      </x:c>
      <x:c r="D6455" s="8" t="n">
        <x:v>45513</x:v>
      </x:c>
      <x:c r="E6455" s="9" t="n">
        <x:v>3313500</x:v>
      </x:c>
      <x:c r="F6455" s="9" t="n">
        <x:v>3313500</x:v>
      </x:c>
    </x:row>
    <x:row r="6456" ht="34" customHeight="1">
      <x:c r="A6456" s="4" t="str">
        <x:v>RS-03258-I3</x:v>
      </x:c>
      <x:c r="B6456" s="4" t="str">
        <x:v>RS-03258</x:v>
      </x:c>
      <x:c r="C6456" s="9" t="n">
        <x:v>3</x:v>
      </x:c>
      <x:c r="D6456" s="8" t="n">
        <x:v>45543</x:v>
      </x:c>
      <x:c r="E6456" s="9" t="n">
        <x:v>3313500</x:v>
      </x:c>
      <x:c r="F6456" s="9" t="n">
        <x:v>0</x:v>
      </x:c>
    </x:row>
    <x:row r="6457" ht="34" customHeight="1">
      <x:c r="A6457" s="4" t="str">
        <x:v>RS-03258-I4</x:v>
      </x:c>
      <x:c r="B6457" s="4" t="str">
        <x:v>RS-03258</x:v>
      </x:c>
      <x:c r="C6457" s="9" t="n">
        <x:v>4</x:v>
      </x:c>
      <x:c r="D6457" s="8" t="n">
        <x:v>45573</x:v>
      </x:c>
      <x:c r="E6457" s="9" t="n">
        <x:v>3313500</x:v>
      </x:c>
      <x:c r="F6457" s="9" t="n">
        <x:v>0</x:v>
      </x:c>
    </x:row>
    <x:row r="6458" ht="34" customHeight="1">
      <x:c r="A6458" s="4" t="str">
        <x:v>RS-03260-I1</x:v>
      </x:c>
      <x:c r="B6458" s="4" t="str">
        <x:v>RS-03260</x:v>
      </x:c>
      <x:c r="C6458" s="9" t="n">
        <x:v>1</x:v>
      </x:c>
      <x:c r="D6458" s="8" t="n">
        <x:v>45485</x:v>
      </x:c>
      <x:c r="E6458" s="9" t="n">
        <x:v>2388750</x:v>
      </x:c>
      <x:c r="F6458" s="9" t="n">
        <x:v>955500</x:v>
      </x:c>
    </x:row>
    <x:row r="6459" ht="34" customHeight="1">
      <x:c r="A6459" s="4" t="str">
        <x:v>RS-03260-I2</x:v>
      </x:c>
      <x:c r="B6459" s="4" t="str">
        <x:v>RS-03260</x:v>
      </x:c>
      <x:c r="C6459" s="9" t="n">
        <x:v>2</x:v>
      </x:c>
      <x:c r="D6459" s="8" t="n">
        <x:v>45515</x:v>
      </x:c>
      <x:c r="E6459" s="9" t="n">
        <x:v>2388750</x:v>
      </x:c>
      <x:c r="F6459" s="9" t="n">
        <x:v>0</x:v>
      </x:c>
    </x:row>
    <x:row r="6460" ht="34" customHeight="1">
      <x:c r="A6460" s="4" t="str">
        <x:v>RS-03260-I3</x:v>
      </x:c>
      <x:c r="B6460" s="4" t="str">
        <x:v>RS-03260</x:v>
      </x:c>
      <x:c r="C6460" s="9" t="n">
        <x:v>3</x:v>
      </x:c>
      <x:c r="D6460" s="8" t="n">
        <x:v>45545</x:v>
      </x:c>
      <x:c r="E6460" s="9" t="n">
        <x:v>2388750</x:v>
      </x:c>
      <x:c r="F6460" s="9" t="n">
        <x:v>0</x:v>
      </x:c>
    </x:row>
    <x:row r="6461" ht="34" customHeight="1">
      <x:c r="A6461" s="4" t="str">
        <x:v>RS-03260-I4</x:v>
      </x:c>
      <x:c r="B6461" s="4" t="str">
        <x:v>RS-03260</x:v>
      </x:c>
      <x:c r="C6461" s="9" t="n">
        <x:v>4</x:v>
      </x:c>
      <x:c r="D6461" s="8" t="n">
        <x:v>45575</x:v>
      </x:c>
      <x:c r="E6461" s="9" t="n">
        <x:v>2388750</x:v>
      </x:c>
      <x:c r="F6461" s="9" t="n">
        <x:v>0</x:v>
      </x:c>
    </x:row>
    <x:row r="6462" ht="34" customHeight="1">
      <x:c r="A6462" s="4" t="str">
        <x:v>RS-03261-I1</x:v>
      </x:c>
      <x:c r="B6462" s="4" t="str">
        <x:v>RS-03261</x:v>
      </x:c>
      <x:c r="C6462" s="9" t="n">
        <x:v>1</x:v>
      </x:c>
      <x:c r="D6462" s="8" t="n">
        <x:v>45486</x:v>
      </x:c>
      <x:c r="E6462" s="9" t="n">
        <x:v>3776500</x:v>
      </x:c>
      <x:c r="F6462" s="9" t="n">
        <x:v>3776500</x:v>
      </x:c>
    </x:row>
    <x:row r="6463" ht="34" customHeight="1">
      <x:c r="A6463" s="4" t="str">
        <x:v>RS-03261-I2</x:v>
      </x:c>
      <x:c r="B6463" s="4" t="str">
        <x:v>RS-03261</x:v>
      </x:c>
      <x:c r="C6463" s="9" t="n">
        <x:v>2</x:v>
      </x:c>
      <x:c r="D6463" s="8" t="n">
        <x:v>45516</x:v>
      </x:c>
      <x:c r="E6463" s="9" t="n">
        <x:v>3776500</x:v>
      </x:c>
      <x:c r="F6463" s="9" t="n">
        <x:v>3776500</x:v>
      </x:c>
    </x:row>
    <x:row r="6464" ht="34" customHeight="1">
      <x:c r="A6464" s="4" t="str">
        <x:v>RS-03261-I3</x:v>
      </x:c>
      <x:c r="B6464" s="4" t="str">
        <x:v>RS-03261</x:v>
      </x:c>
      <x:c r="C6464" s="9" t="n">
        <x:v>3</x:v>
      </x:c>
      <x:c r="D6464" s="8" t="n">
        <x:v>45546</x:v>
      </x:c>
      <x:c r="E6464" s="9" t="n">
        <x:v>3776500</x:v>
      </x:c>
      <x:c r="F6464" s="9" t="n">
        <x:v>3776500</x:v>
      </x:c>
    </x:row>
    <x:row r="6465" ht="34" customHeight="1">
      <x:c r="A6465" s="4" t="str">
        <x:v>RS-03261-I4</x:v>
      </x:c>
      <x:c r="B6465" s="4" t="str">
        <x:v>RS-03261</x:v>
      </x:c>
      <x:c r="C6465" s="9" t="n">
        <x:v>4</x:v>
      </x:c>
      <x:c r="D6465" s="8" t="n">
        <x:v>45576</x:v>
      </x:c>
      <x:c r="E6465" s="9" t="n">
        <x:v>3776500</x:v>
      </x:c>
      <x:c r="F6465" s="9" t="n">
        <x:v>3776500</x:v>
      </x:c>
    </x:row>
    <x:row r="6466" ht="34" customHeight="1">
      <x:c r="A6466" s="4" t="str">
        <x:v>RS-03264-I1</x:v>
      </x:c>
      <x:c r="B6466" s="4" t="str">
        <x:v>RS-03264</x:v>
      </x:c>
      <x:c r="C6466" s="9" t="n">
        <x:v>1</x:v>
      </x:c>
      <x:c r="D6466" s="8" t="n">
        <x:v>45489</x:v>
      </x:c>
      <x:c r="E6466" s="9" t="n">
        <x:v>5083000</x:v>
      </x:c>
      <x:c r="F6466" s="9" t="n">
        <x:v>2033200</x:v>
      </x:c>
    </x:row>
    <x:row r="6467" ht="34" customHeight="1">
      <x:c r="A6467" s="4" t="str">
        <x:v>RS-03264-I2</x:v>
      </x:c>
      <x:c r="B6467" s="4" t="str">
        <x:v>RS-03264</x:v>
      </x:c>
      <x:c r="C6467" s="9" t="n">
        <x:v>2</x:v>
      </x:c>
      <x:c r="D6467" s="8" t="n">
        <x:v>45519</x:v>
      </x:c>
      <x:c r="E6467" s="9" t="n">
        <x:v>5083000</x:v>
      </x:c>
      <x:c r="F6467" s="9" t="n">
        <x:v>0</x:v>
      </x:c>
    </x:row>
    <x:row r="6468" ht="34" customHeight="1">
      <x:c r="A6468" s="4" t="str">
        <x:v>RS-03264-I3</x:v>
      </x:c>
      <x:c r="B6468" s="4" t="str">
        <x:v>RS-03264</x:v>
      </x:c>
      <x:c r="C6468" s="9" t="n">
        <x:v>3</x:v>
      </x:c>
      <x:c r="D6468" s="8" t="n">
        <x:v>45549</x:v>
      </x:c>
      <x:c r="E6468" s="9" t="n">
        <x:v>5083000</x:v>
      </x:c>
      <x:c r="F6468" s="9" t="n">
        <x:v>0</x:v>
      </x:c>
    </x:row>
    <x:row r="6469" ht="34" customHeight="1">
      <x:c r="A6469" s="4" t="str">
        <x:v>RS-03264-I4</x:v>
      </x:c>
      <x:c r="B6469" s="4" t="str">
        <x:v>RS-03264</x:v>
      </x:c>
      <x:c r="C6469" s="9" t="n">
        <x:v>4</x:v>
      </x:c>
      <x:c r="D6469" s="8" t="n">
        <x:v>45579</x:v>
      </x:c>
      <x:c r="E6469" s="9" t="n">
        <x:v>5083000</x:v>
      </x:c>
      <x:c r="F6469" s="9" t="n">
        <x:v>0</x:v>
      </x:c>
    </x:row>
    <x:row r="6470" ht="34" customHeight="1">
      <x:c r="A6470" s="4" t="str">
        <x:v>RS-03266-I1</x:v>
      </x:c>
      <x:c r="B6470" s="4" t="str">
        <x:v>RS-03266</x:v>
      </x:c>
      <x:c r="C6470" s="9" t="n">
        <x:v>1</x:v>
      </x:c>
      <x:c r="D6470" s="8" t="n">
        <x:v>45491</x:v>
      </x:c>
      <x:c r="E6470" s="9" t="n">
        <x:v>1069500</x:v>
      </x:c>
      <x:c r="F6470" s="9" t="n">
        <x:v>1069500</x:v>
      </x:c>
    </x:row>
    <x:row r="6471" ht="34" customHeight="1">
      <x:c r="A6471" s="4" t="str">
        <x:v>RS-03266-I2</x:v>
      </x:c>
      <x:c r="B6471" s="4" t="str">
        <x:v>RS-03266</x:v>
      </x:c>
      <x:c r="C6471" s="9" t="n">
        <x:v>2</x:v>
      </x:c>
      <x:c r="D6471" s="8" t="n">
        <x:v>45521</x:v>
      </x:c>
      <x:c r="E6471" s="9" t="n">
        <x:v>1069500</x:v>
      </x:c>
      <x:c r="F6471" s="9" t="n">
        <x:v>1069500</x:v>
      </x:c>
    </x:row>
    <x:row r="6472" ht="34" customHeight="1">
      <x:c r="A6472" s="4" t="str">
        <x:v>RS-03266-I3</x:v>
      </x:c>
      <x:c r="B6472" s="4" t="str">
        <x:v>RS-03266</x:v>
      </x:c>
      <x:c r="C6472" s="9" t="n">
        <x:v>3</x:v>
      </x:c>
      <x:c r="D6472" s="8" t="n">
        <x:v>45551</x:v>
      </x:c>
      <x:c r="E6472" s="9" t="n">
        <x:v>1069500</x:v>
      </x:c>
      <x:c r="F6472" s="9" t="n">
        <x:v>0</x:v>
      </x:c>
    </x:row>
    <x:row r="6473" ht="34" customHeight="1">
      <x:c r="A6473" s="4" t="str">
        <x:v>RS-03266-I4</x:v>
      </x:c>
      <x:c r="B6473" s="4" t="str">
        <x:v>RS-03266</x:v>
      </x:c>
      <x:c r="C6473" s="9" t="n">
        <x:v>4</x:v>
      </x:c>
      <x:c r="D6473" s="8" t="n">
        <x:v>45581</x:v>
      </x:c>
      <x:c r="E6473" s="9" t="n">
        <x:v>1069500</x:v>
      </x:c>
      <x:c r="F6473" s="9" t="n">
        <x:v>0</x:v>
      </x:c>
    </x:row>
    <x:row r="6474" ht="34" customHeight="1">
      <x:c r="A6474" s="4" t="str">
        <x:v>RS-03267-I1</x:v>
      </x:c>
      <x:c r="B6474" s="4" t="str">
        <x:v>RS-03267</x:v>
      </x:c>
      <x:c r="C6474" s="9" t="n">
        <x:v>1</x:v>
      </x:c>
      <x:c r="D6474" s="8" t="n">
        <x:v>45492</x:v>
      </x:c>
      <x:c r="E6474" s="9" t="n">
        <x:v>1183000</x:v>
      </x:c>
      <x:c r="F6474" s="9" t="n">
        <x:v>1183000</x:v>
      </x:c>
    </x:row>
    <x:row r="6475" ht="34" customHeight="1">
      <x:c r="A6475" s="4" t="str">
        <x:v>RS-03267-I2</x:v>
      </x:c>
      <x:c r="B6475" s="4" t="str">
        <x:v>RS-03267</x:v>
      </x:c>
      <x:c r="C6475" s="9" t="n">
        <x:v>2</x:v>
      </x:c>
      <x:c r="D6475" s="8" t="n">
        <x:v>45522</x:v>
      </x:c>
      <x:c r="E6475" s="9" t="n">
        <x:v>1183000</x:v>
      </x:c>
      <x:c r="F6475" s="9" t="n">
        <x:v>1183000</x:v>
      </x:c>
    </x:row>
    <x:row r="6476" ht="34" customHeight="1">
      <x:c r="A6476" s="4" t="str">
        <x:v>RS-03267-I3</x:v>
      </x:c>
      <x:c r="B6476" s="4" t="str">
        <x:v>RS-03267</x:v>
      </x:c>
      <x:c r="C6476" s="9" t="n">
        <x:v>3</x:v>
      </x:c>
      <x:c r="D6476" s="8" t="n">
        <x:v>45552</x:v>
      </x:c>
      <x:c r="E6476" s="9" t="n">
        <x:v>1183000</x:v>
      </x:c>
      <x:c r="F6476" s="9" t="n">
        <x:v>0</x:v>
      </x:c>
    </x:row>
    <x:row r="6477" ht="34" customHeight="1">
      <x:c r="A6477" s="4" t="str">
        <x:v>RS-03267-I4</x:v>
      </x:c>
      <x:c r="B6477" s="4" t="str">
        <x:v>RS-03267</x:v>
      </x:c>
      <x:c r="C6477" s="9" t="n">
        <x:v>4</x:v>
      </x:c>
      <x:c r="D6477" s="8" t="n">
        <x:v>45582</x:v>
      </x:c>
      <x:c r="E6477" s="9" t="n">
        <x:v>1183000</x:v>
      </x:c>
      <x:c r="F6477" s="9" t="n">
        <x:v>0</x:v>
      </x:c>
    </x:row>
    <x:row r="6478" ht="34" customHeight="1">
      <x:c r="A6478" s="4" t="str">
        <x:v>RS-03268-I1</x:v>
      </x:c>
      <x:c r="B6478" s="4" t="str">
        <x:v>RS-03268</x:v>
      </x:c>
      <x:c r="C6478" s="9" t="n">
        <x:v>1</x:v>
      </x:c>
      <x:c r="D6478" s="8" t="n">
        <x:v>45493</x:v>
      </x:c>
      <x:c r="E6478" s="9" t="n">
        <x:v>4483500</x:v>
      </x:c>
      <x:c r="F6478" s="9" t="n">
        <x:v>4483500</x:v>
      </x:c>
    </x:row>
    <x:row r="6479" ht="34" customHeight="1">
      <x:c r="A6479" s="4" t="str">
        <x:v>RS-03268-I2</x:v>
      </x:c>
      <x:c r="B6479" s="4" t="str">
        <x:v>RS-03268</x:v>
      </x:c>
      <x:c r="C6479" s="9" t="n">
        <x:v>2</x:v>
      </x:c>
      <x:c r="D6479" s="8" t="n">
        <x:v>45523</x:v>
      </x:c>
      <x:c r="E6479" s="9" t="n">
        <x:v>4483500</x:v>
      </x:c>
      <x:c r="F6479" s="9" t="n">
        <x:v>4483500</x:v>
      </x:c>
    </x:row>
    <x:row r="6480" ht="34" customHeight="1">
      <x:c r="A6480" s="4" t="str">
        <x:v>RS-03268-I3</x:v>
      </x:c>
      <x:c r="B6480" s="4" t="str">
        <x:v>RS-03268</x:v>
      </x:c>
      <x:c r="C6480" s="9" t="n">
        <x:v>3</x:v>
      </x:c>
      <x:c r="D6480" s="8" t="n">
        <x:v>45553</x:v>
      </x:c>
      <x:c r="E6480" s="9" t="n">
        <x:v>4483500</x:v>
      </x:c>
      <x:c r="F6480" s="9" t="n">
        <x:v>0</x:v>
      </x:c>
    </x:row>
    <x:row r="6481" ht="34" customHeight="1">
      <x:c r="A6481" s="4" t="str">
        <x:v>RS-03268-I4</x:v>
      </x:c>
      <x:c r="B6481" s="4" t="str">
        <x:v>RS-03268</x:v>
      </x:c>
      <x:c r="C6481" s="9" t="n">
        <x:v>4</x:v>
      </x:c>
      <x:c r="D6481" s="8" t="n">
        <x:v>45583</x:v>
      </x:c>
      <x:c r="E6481" s="9" t="n">
        <x:v>4483500</x:v>
      </x:c>
      <x:c r="F6481" s="9" t="n">
        <x:v>0</x:v>
      </x:c>
    </x:row>
    <x:row r="6482" ht="34" customHeight="1">
      <x:c r="A6482" s="4" t="str">
        <x:v>RS-03271-I1</x:v>
      </x:c>
      <x:c r="B6482" s="4" t="str">
        <x:v>RS-03271</x:v>
      </x:c>
      <x:c r="C6482" s="9" t="n">
        <x:v>1</x:v>
      </x:c>
      <x:c r="D6482" s="8" t="n">
        <x:v>45496</x:v>
      </x:c>
      <x:c r="E6482" s="9" t="n">
        <x:v>2813250</x:v>
      </x:c>
      <x:c r="F6482" s="9" t="n">
        <x:v>1125300</x:v>
      </x:c>
    </x:row>
    <x:row r="6483" ht="34" customHeight="1">
      <x:c r="A6483" s="4" t="str">
        <x:v>RS-03271-I2</x:v>
      </x:c>
      <x:c r="B6483" s="4" t="str">
        <x:v>RS-03271</x:v>
      </x:c>
      <x:c r="C6483" s="9" t="n">
        <x:v>2</x:v>
      </x:c>
      <x:c r="D6483" s="8" t="n">
        <x:v>45526</x:v>
      </x:c>
      <x:c r="E6483" s="9" t="n">
        <x:v>2813250</x:v>
      </x:c>
      <x:c r="F6483" s="9" t="n">
        <x:v>0</x:v>
      </x:c>
    </x:row>
    <x:row r="6484" ht="34" customHeight="1">
      <x:c r="A6484" s="4" t="str">
        <x:v>RS-03271-I3</x:v>
      </x:c>
      <x:c r="B6484" s="4" t="str">
        <x:v>RS-03271</x:v>
      </x:c>
      <x:c r="C6484" s="9" t="n">
        <x:v>3</x:v>
      </x:c>
      <x:c r="D6484" s="8" t="n">
        <x:v>45556</x:v>
      </x:c>
      <x:c r="E6484" s="9" t="n">
        <x:v>2813250</x:v>
      </x:c>
      <x:c r="F6484" s="9" t="n">
        <x:v>0</x:v>
      </x:c>
    </x:row>
    <x:row r="6485" ht="34" customHeight="1">
      <x:c r="A6485" s="4" t="str">
        <x:v>RS-03271-I4</x:v>
      </x:c>
      <x:c r="B6485" s="4" t="str">
        <x:v>RS-03271</x:v>
      </x:c>
      <x:c r="C6485" s="9" t="n">
        <x:v>4</x:v>
      </x:c>
      <x:c r="D6485" s="8" t="n">
        <x:v>45586</x:v>
      </x:c>
      <x:c r="E6485" s="9" t="n">
        <x:v>2813250</x:v>
      </x:c>
      <x:c r="F6485" s="9" t="n">
        <x:v>0</x:v>
      </x:c>
    </x:row>
    <x:row r="6486" ht="34" customHeight="1">
      <x:c r="A6486" s="4" t="str">
        <x:v>RS-03272-I1</x:v>
      </x:c>
      <x:c r="B6486" s="4" t="str">
        <x:v>RS-03272</x:v>
      </x:c>
      <x:c r="C6486" s="9" t="n">
        <x:v>1</x:v>
      </x:c>
      <x:c r="D6486" s="8" t="n">
        <x:v>45497</x:v>
      </x:c>
      <x:c r="E6486" s="9" t="n">
        <x:v>2575000</x:v>
      </x:c>
      <x:c r="F6486" s="9" t="n">
        <x:v>2575000</x:v>
      </x:c>
    </x:row>
    <x:row r="6487" ht="34" customHeight="1">
      <x:c r="A6487" s="4" t="str">
        <x:v>RS-03272-I2</x:v>
      </x:c>
      <x:c r="B6487" s="4" t="str">
        <x:v>RS-03272</x:v>
      </x:c>
      <x:c r="C6487" s="9" t="n">
        <x:v>2</x:v>
      </x:c>
      <x:c r="D6487" s="8" t="n">
        <x:v>45527</x:v>
      </x:c>
      <x:c r="E6487" s="9" t="n">
        <x:v>2575000</x:v>
      </x:c>
      <x:c r="F6487" s="9" t="n">
        <x:v>2575000</x:v>
      </x:c>
    </x:row>
    <x:row r="6488" ht="34" customHeight="1">
      <x:c r="A6488" s="4" t="str">
        <x:v>RS-03272-I3</x:v>
      </x:c>
      <x:c r="B6488" s="4" t="str">
        <x:v>RS-03272</x:v>
      </x:c>
      <x:c r="C6488" s="9" t="n">
        <x:v>3</x:v>
      </x:c>
      <x:c r="D6488" s="8" t="n">
        <x:v>45557</x:v>
      </x:c>
      <x:c r="E6488" s="9" t="n">
        <x:v>2575000</x:v>
      </x:c>
      <x:c r="F6488" s="9" t="n">
        <x:v>2575000</x:v>
      </x:c>
    </x:row>
    <x:row r="6489" ht="34" customHeight="1">
      <x:c r="A6489" s="4" t="str">
        <x:v>RS-03272-I4</x:v>
      </x:c>
      <x:c r="B6489" s="4" t="str">
        <x:v>RS-03272</x:v>
      </x:c>
      <x:c r="C6489" s="9" t="n">
        <x:v>4</x:v>
      </x:c>
      <x:c r="D6489" s="8" t="n">
        <x:v>45587</x:v>
      </x:c>
      <x:c r="E6489" s="9" t="n">
        <x:v>2575000</x:v>
      </x:c>
      <x:c r="F6489" s="9" t="n">
        <x:v>2575000</x:v>
      </x:c>
    </x:row>
    <x:row r="6490" ht="34" customHeight="1">
      <x:c r="A6490" s="4" t="str">
        <x:v>RS-03273-I1</x:v>
      </x:c>
      <x:c r="B6490" s="4" t="str">
        <x:v>RS-03273</x:v>
      </x:c>
      <x:c r="C6490" s="9" t="n">
        <x:v>1</x:v>
      </x:c>
      <x:c r="D6490" s="8" t="n">
        <x:v>45498</x:v>
      </x:c>
      <x:c r="E6490" s="9" t="n">
        <x:v>2252250</x:v>
      </x:c>
      <x:c r="F6490" s="9" t="n">
        <x:v>2252250</x:v>
      </x:c>
    </x:row>
    <x:row r="6491" ht="34" customHeight="1">
      <x:c r="A6491" s="4" t="str">
        <x:v>RS-03273-I2</x:v>
      </x:c>
      <x:c r="B6491" s="4" t="str">
        <x:v>RS-03273</x:v>
      </x:c>
      <x:c r="C6491" s="9" t="n">
        <x:v>2</x:v>
      </x:c>
      <x:c r="D6491" s="8" t="n">
        <x:v>45528</x:v>
      </x:c>
      <x:c r="E6491" s="9" t="n">
        <x:v>2252250</x:v>
      </x:c>
      <x:c r="F6491" s="9" t="n">
        <x:v>2252250</x:v>
      </x:c>
    </x:row>
    <x:row r="6492" ht="34" customHeight="1">
      <x:c r="A6492" s="4" t="str">
        <x:v>RS-03273-I3</x:v>
      </x:c>
      <x:c r="B6492" s="4" t="str">
        <x:v>RS-03273</x:v>
      </x:c>
      <x:c r="C6492" s="9" t="n">
        <x:v>3</x:v>
      </x:c>
      <x:c r="D6492" s="8" t="n">
        <x:v>45558</x:v>
      </x:c>
      <x:c r="E6492" s="9" t="n">
        <x:v>2252250</x:v>
      </x:c>
      <x:c r="F6492" s="9" t="n">
        <x:v>2252250</x:v>
      </x:c>
    </x:row>
    <x:row r="6493" ht="34" customHeight="1">
      <x:c r="A6493" s="4" t="str">
        <x:v>RS-03273-I4</x:v>
      </x:c>
      <x:c r="B6493" s="4" t="str">
        <x:v>RS-03273</x:v>
      </x:c>
      <x:c r="C6493" s="9" t="n">
        <x:v>4</x:v>
      </x:c>
      <x:c r="D6493" s="8" t="n">
        <x:v>45588</x:v>
      </x:c>
      <x:c r="E6493" s="9" t="n">
        <x:v>2252250</x:v>
      </x:c>
      <x:c r="F6493" s="9" t="n">
        <x:v>2252250</x:v>
      </x:c>
    </x:row>
    <x:row r="6494" ht="34" customHeight="1">
      <x:c r="A6494" s="4" t="str">
        <x:v>RS-03274-I1</x:v>
      </x:c>
      <x:c r="B6494" s="4" t="str">
        <x:v>RS-03274</x:v>
      </x:c>
      <x:c r="C6494" s="9" t="n">
        <x:v>1</x:v>
      </x:c>
      <x:c r="D6494" s="8" t="n">
        <x:v>45499</x:v>
      </x:c>
      <x:c r="E6494" s="9" t="n">
        <x:v>5628750</x:v>
      </x:c>
      <x:c r="F6494" s="9" t="n">
        <x:v>5628750</x:v>
      </x:c>
    </x:row>
    <x:row r="6495" ht="34" customHeight="1">
      <x:c r="A6495" s="4" t="str">
        <x:v>RS-03274-I2</x:v>
      </x:c>
      <x:c r="B6495" s="4" t="str">
        <x:v>RS-03274</x:v>
      </x:c>
      <x:c r="C6495" s="9" t="n">
        <x:v>2</x:v>
      </x:c>
      <x:c r="D6495" s="8" t="n">
        <x:v>45529</x:v>
      </x:c>
      <x:c r="E6495" s="9" t="n">
        <x:v>5628750</x:v>
      </x:c>
      <x:c r="F6495" s="9" t="n">
        <x:v>0</x:v>
      </x:c>
    </x:row>
    <x:row r="6496" ht="34" customHeight="1">
      <x:c r="A6496" s="4" t="str">
        <x:v>RS-03274-I3</x:v>
      </x:c>
      <x:c r="B6496" s="4" t="str">
        <x:v>RS-03274</x:v>
      </x:c>
      <x:c r="C6496" s="9" t="n">
        <x:v>3</x:v>
      </x:c>
      <x:c r="D6496" s="8" t="n">
        <x:v>45559</x:v>
      </x:c>
      <x:c r="E6496" s="9" t="n">
        <x:v>5628750</x:v>
      </x:c>
      <x:c r="F6496" s="9" t="n">
        <x:v>0</x:v>
      </x:c>
    </x:row>
    <x:row r="6497" ht="34" customHeight="1">
      <x:c r="A6497" s="4" t="str">
        <x:v>RS-03274-I4</x:v>
      </x:c>
      <x:c r="B6497" s="4" t="str">
        <x:v>RS-03274</x:v>
      </x:c>
      <x:c r="C6497" s="9" t="n">
        <x:v>4</x:v>
      </x:c>
      <x:c r="D6497" s="8" t="n">
        <x:v>45589</x:v>
      </x:c>
      <x:c r="E6497" s="9" t="n">
        <x:v>5628750</x:v>
      </x:c>
      <x:c r="F6497" s="9" t="n">
        <x:v>0</x:v>
      </x:c>
    </x:row>
    <x:row r="6498" ht="34" customHeight="1">
      <x:c r="A6498" s="4" t="str">
        <x:v>RS-03277-I1</x:v>
      </x:c>
      <x:c r="B6498" s="4" t="str">
        <x:v>RS-03277</x:v>
      </x:c>
      <x:c r="C6498" s="9" t="n">
        <x:v>1</x:v>
      </x:c>
      <x:c r="D6498" s="8" t="n">
        <x:v>45474</x:v>
      </x:c>
      <x:c r="E6498" s="9" t="n">
        <x:v>5335000</x:v>
      </x:c>
      <x:c r="F6498" s="9" t="n">
        <x:v>5335000</x:v>
      </x:c>
    </x:row>
    <x:row r="6499" ht="34" customHeight="1">
      <x:c r="A6499" s="4" t="str">
        <x:v>RS-03277-I2</x:v>
      </x:c>
      <x:c r="B6499" s="4" t="str">
        <x:v>RS-03277</x:v>
      </x:c>
      <x:c r="C6499" s="9" t="n">
        <x:v>2</x:v>
      </x:c>
      <x:c r="D6499" s="8" t="n">
        <x:v>45504</x:v>
      </x:c>
      <x:c r="E6499" s="9" t="n">
        <x:v>5335000</x:v>
      </x:c>
      <x:c r="F6499" s="9" t="n">
        <x:v>5335000</x:v>
      </x:c>
    </x:row>
    <x:row r="6500" ht="34" customHeight="1">
      <x:c r="A6500" s="4" t="str">
        <x:v>RS-03277-I3</x:v>
      </x:c>
      <x:c r="B6500" s="4" t="str">
        <x:v>RS-03277</x:v>
      </x:c>
      <x:c r="C6500" s="9" t="n">
        <x:v>3</x:v>
      </x:c>
      <x:c r="D6500" s="8" t="n">
        <x:v>45534</x:v>
      </x:c>
      <x:c r="E6500" s="9" t="n">
        <x:v>5335000</x:v>
      </x:c>
      <x:c r="F6500" s="9" t="n">
        <x:v>5335000</x:v>
      </x:c>
    </x:row>
    <x:row r="6501" ht="34" customHeight="1">
      <x:c r="A6501" s="4" t="str">
        <x:v>RS-03277-I4</x:v>
      </x:c>
      <x:c r="B6501" s="4" t="str">
        <x:v>RS-03277</x:v>
      </x:c>
      <x:c r="C6501" s="9" t="n">
        <x:v>4</x:v>
      </x:c>
      <x:c r="D6501" s="8" t="n">
        <x:v>45564</x:v>
      </x:c>
      <x:c r="E6501" s="9" t="n">
        <x:v>5335000</x:v>
      </x:c>
      <x:c r="F6501" s="9" t="n">
        <x:v>5335000</x:v>
      </x:c>
    </x:row>
    <x:row r="6502" ht="34" customHeight="1">
      <x:c r="A6502" s="4" t="str">
        <x:v>RS-03278-I1</x:v>
      </x:c>
      <x:c r="B6502" s="4" t="str">
        <x:v>RS-03278</x:v>
      </x:c>
      <x:c r="C6502" s="9" t="n">
        <x:v>1</x:v>
      </x:c>
      <x:c r="D6502" s="8" t="n">
        <x:v>45475</x:v>
      </x:c>
      <x:c r="E6502" s="9" t="n">
        <x:v>2661750</x:v>
      </x:c>
      <x:c r="F6502" s="9" t="n">
        <x:v>1064700</x:v>
      </x:c>
    </x:row>
    <x:row r="6503" ht="34" customHeight="1">
      <x:c r="A6503" s="4" t="str">
        <x:v>RS-03278-I2</x:v>
      </x:c>
      <x:c r="B6503" s="4" t="str">
        <x:v>RS-03278</x:v>
      </x:c>
      <x:c r="C6503" s="9" t="n">
        <x:v>2</x:v>
      </x:c>
      <x:c r="D6503" s="8" t="n">
        <x:v>45505</x:v>
      </x:c>
      <x:c r="E6503" s="9" t="n">
        <x:v>2661750</x:v>
      </x:c>
      <x:c r="F6503" s="9" t="n">
        <x:v>0</x:v>
      </x:c>
    </x:row>
    <x:row r="6504" ht="34" customHeight="1">
      <x:c r="A6504" s="4" t="str">
        <x:v>RS-03278-I3</x:v>
      </x:c>
      <x:c r="B6504" s="4" t="str">
        <x:v>RS-03278</x:v>
      </x:c>
      <x:c r="C6504" s="9" t="n">
        <x:v>3</x:v>
      </x:c>
      <x:c r="D6504" s="8" t="n">
        <x:v>45535</x:v>
      </x:c>
      <x:c r="E6504" s="9" t="n">
        <x:v>2661750</x:v>
      </x:c>
      <x:c r="F6504" s="9" t="n">
        <x:v>0</x:v>
      </x:c>
    </x:row>
    <x:row r="6505" ht="34" customHeight="1">
      <x:c r="A6505" s="4" t="str">
        <x:v>RS-03278-I4</x:v>
      </x:c>
      <x:c r="B6505" s="4" t="str">
        <x:v>RS-03278</x:v>
      </x:c>
      <x:c r="C6505" s="9" t="n">
        <x:v>4</x:v>
      </x:c>
      <x:c r="D6505" s="8" t="n">
        <x:v>45565</x:v>
      </x:c>
      <x:c r="E6505" s="9" t="n">
        <x:v>2661750</x:v>
      </x:c>
      <x:c r="F6505" s="9" t="n">
        <x:v>0</x:v>
      </x:c>
    </x:row>
    <x:row r="6506" ht="34" customHeight="1">
      <x:c r="A6506" s="4" t="str">
        <x:v>RS-03279-I1</x:v>
      </x:c>
      <x:c r="B6506" s="4" t="str">
        <x:v>RS-03279</x:v>
      </x:c>
      <x:c r="C6506" s="9" t="n">
        <x:v>1</x:v>
      </x:c>
      <x:c r="D6506" s="8" t="n">
        <x:v>45476</x:v>
      </x:c>
      <x:c r="E6506" s="9" t="n">
        <x:v>3200000</x:v>
      </x:c>
      <x:c r="F6506" s="9" t="n">
        <x:v>3200000</x:v>
      </x:c>
    </x:row>
    <x:row r="6507" ht="34" customHeight="1">
      <x:c r="A6507" s="4" t="str">
        <x:v>RS-03279-I2</x:v>
      </x:c>
      <x:c r="B6507" s="4" t="str">
        <x:v>RS-03279</x:v>
      </x:c>
      <x:c r="C6507" s="9" t="n">
        <x:v>2</x:v>
      </x:c>
      <x:c r="D6507" s="8" t="n">
        <x:v>45506</x:v>
      </x:c>
      <x:c r="E6507" s="9" t="n">
        <x:v>3200000</x:v>
      </x:c>
      <x:c r="F6507" s="9" t="n">
        <x:v>3200000</x:v>
      </x:c>
    </x:row>
    <x:row r="6508" ht="34" customHeight="1">
      <x:c r="A6508" s="4" t="str">
        <x:v>RS-03279-I3</x:v>
      </x:c>
      <x:c r="B6508" s="4" t="str">
        <x:v>RS-03279</x:v>
      </x:c>
      <x:c r="C6508" s="9" t="n">
        <x:v>3</x:v>
      </x:c>
      <x:c r="D6508" s="8" t="n">
        <x:v>45536</x:v>
      </x:c>
      <x:c r="E6508" s="9" t="n">
        <x:v>3200000</x:v>
      </x:c>
      <x:c r="F6508" s="9" t="n">
        <x:v>0</x:v>
      </x:c>
    </x:row>
    <x:row r="6509" ht="34" customHeight="1">
      <x:c r="A6509" s="4" t="str">
        <x:v>RS-03279-I4</x:v>
      </x:c>
      <x:c r="B6509" s="4" t="str">
        <x:v>RS-03279</x:v>
      </x:c>
      <x:c r="C6509" s="9" t="n">
        <x:v>4</x:v>
      </x:c>
      <x:c r="D6509" s="8" t="n">
        <x:v>45566</x:v>
      </x:c>
      <x:c r="E6509" s="9" t="n">
        <x:v>3200000</x:v>
      </x:c>
      <x:c r="F6509" s="9" t="n">
        <x:v>0</x:v>
      </x:c>
    </x:row>
    <x:row r="6510" ht="34" customHeight="1">
      <x:c r="A6510" s="4" t="str">
        <x:v>RS-03280-I1</x:v>
      </x:c>
      <x:c r="B6510" s="4" t="str">
        <x:v>RS-03280</x:v>
      </x:c>
      <x:c r="C6510" s="9" t="n">
        <x:v>1</x:v>
      </x:c>
      <x:c r="D6510" s="8" t="n">
        <x:v>45477</x:v>
      </x:c>
      <x:c r="E6510" s="9" t="n">
        <x:v>2585000</x:v>
      </x:c>
      <x:c r="F6510" s="9" t="n">
        <x:v>1034000</x:v>
      </x:c>
    </x:row>
    <x:row r="6511" ht="34" customHeight="1">
      <x:c r="A6511" s="4" t="str">
        <x:v>RS-03280-I2</x:v>
      </x:c>
      <x:c r="B6511" s="4" t="str">
        <x:v>RS-03280</x:v>
      </x:c>
      <x:c r="C6511" s="9" t="n">
        <x:v>2</x:v>
      </x:c>
      <x:c r="D6511" s="8" t="n">
        <x:v>45507</x:v>
      </x:c>
      <x:c r="E6511" s="9" t="n">
        <x:v>2585000</x:v>
      </x:c>
      <x:c r="F6511" s="9" t="n">
        <x:v>0</x:v>
      </x:c>
    </x:row>
    <x:row r="6512" ht="34" customHeight="1">
      <x:c r="A6512" s="4" t="str">
        <x:v>RS-03280-I3</x:v>
      </x:c>
      <x:c r="B6512" s="4" t="str">
        <x:v>RS-03280</x:v>
      </x:c>
      <x:c r="C6512" s="9" t="n">
        <x:v>3</x:v>
      </x:c>
      <x:c r="D6512" s="8" t="n">
        <x:v>45537</x:v>
      </x:c>
      <x:c r="E6512" s="9" t="n">
        <x:v>2585000</x:v>
      </x:c>
      <x:c r="F6512" s="9" t="n">
        <x:v>0</x:v>
      </x:c>
    </x:row>
    <x:row r="6513" ht="34" customHeight="1">
      <x:c r="A6513" s="4" t="str">
        <x:v>RS-03280-I4</x:v>
      </x:c>
      <x:c r="B6513" s="4" t="str">
        <x:v>RS-03280</x:v>
      </x:c>
      <x:c r="C6513" s="9" t="n">
        <x:v>4</x:v>
      </x:c>
      <x:c r="D6513" s="8" t="n">
        <x:v>45567</x:v>
      </x:c>
      <x:c r="E6513" s="9" t="n">
        <x:v>2585000</x:v>
      </x:c>
      <x:c r="F6513" s="9" t="n">
        <x:v>0</x:v>
      </x:c>
    </x:row>
    <x:row r="6514" ht="34" customHeight="1">
      <x:c r="A6514" s="4" t="str">
        <x:v>RS-03281-I1</x:v>
      </x:c>
      <x:c r="B6514" s="4" t="str">
        <x:v>RS-03281</x:v>
      </x:c>
      <x:c r="C6514" s="9" t="n">
        <x:v>1</x:v>
      </x:c>
      <x:c r="D6514" s="8" t="n">
        <x:v>45478</x:v>
      </x:c>
      <x:c r="E6514" s="9" t="n">
        <x:v>4536250</x:v>
      </x:c>
      <x:c r="F6514" s="9" t="n">
        <x:v>4536250</x:v>
      </x:c>
    </x:row>
    <x:row r="6515" ht="34" customHeight="1">
      <x:c r="A6515" s="4" t="str">
        <x:v>RS-03281-I2</x:v>
      </x:c>
      <x:c r="B6515" s="4" t="str">
        <x:v>RS-03281</x:v>
      </x:c>
      <x:c r="C6515" s="9" t="n">
        <x:v>2</x:v>
      </x:c>
      <x:c r="D6515" s="8" t="n">
        <x:v>45508</x:v>
      </x:c>
      <x:c r="E6515" s="9" t="n">
        <x:v>4536250</x:v>
      </x:c>
      <x:c r="F6515" s="9" t="n">
        <x:v>0</x:v>
      </x:c>
    </x:row>
    <x:row r="6516" ht="34" customHeight="1">
      <x:c r="A6516" s="4" t="str">
        <x:v>RS-03281-I3</x:v>
      </x:c>
      <x:c r="B6516" s="4" t="str">
        <x:v>RS-03281</x:v>
      </x:c>
      <x:c r="C6516" s="9" t="n">
        <x:v>3</x:v>
      </x:c>
      <x:c r="D6516" s="8" t="n">
        <x:v>45538</x:v>
      </x:c>
      <x:c r="E6516" s="9" t="n">
        <x:v>4536250</x:v>
      </x:c>
      <x:c r="F6516" s="9" t="n">
        <x:v>0</x:v>
      </x:c>
    </x:row>
    <x:row r="6517" ht="34" customHeight="1">
      <x:c r="A6517" s="4" t="str">
        <x:v>RS-03281-I4</x:v>
      </x:c>
      <x:c r="B6517" s="4" t="str">
        <x:v>RS-03281</x:v>
      </x:c>
      <x:c r="C6517" s="9" t="n">
        <x:v>4</x:v>
      </x:c>
      <x:c r="D6517" s="8" t="n">
        <x:v>45568</x:v>
      </x:c>
      <x:c r="E6517" s="9" t="n">
        <x:v>4536250</x:v>
      </x:c>
      <x:c r="F6517" s="9" t="n">
        <x:v>0</x:v>
      </x:c>
    </x:row>
    <x:row r="6518" ht="34" customHeight="1">
      <x:c r="A6518" s="4" t="str">
        <x:v>RS-03282-I1</x:v>
      </x:c>
      <x:c r="B6518" s="4" t="str">
        <x:v>RS-03282</x:v>
      </x:c>
      <x:c r="C6518" s="9" t="n">
        <x:v>1</x:v>
      </x:c>
      <x:c r="D6518" s="8" t="n">
        <x:v>45479</x:v>
      </x:c>
      <x:c r="E6518" s="9" t="n">
        <x:v>5842500</x:v>
      </x:c>
      <x:c r="F6518" s="9" t="n">
        <x:v>5842500</x:v>
      </x:c>
    </x:row>
    <x:row r="6519" ht="34" customHeight="1">
      <x:c r="A6519" s="4" t="str">
        <x:v>RS-03282-I2</x:v>
      </x:c>
      <x:c r="B6519" s="4" t="str">
        <x:v>RS-03282</x:v>
      </x:c>
      <x:c r="C6519" s="9" t="n">
        <x:v>2</x:v>
      </x:c>
      <x:c r="D6519" s="8" t="n">
        <x:v>45509</x:v>
      </x:c>
      <x:c r="E6519" s="9" t="n">
        <x:v>5842500</x:v>
      </x:c>
      <x:c r="F6519" s="9" t="n">
        <x:v>0</x:v>
      </x:c>
    </x:row>
    <x:row r="6520" ht="34" customHeight="1">
      <x:c r="A6520" s="4" t="str">
        <x:v>RS-03282-I3</x:v>
      </x:c>
      <x:c r="B6520" s="4" t="str">
        <x:v>RS-03282</x:v>
      </x:c>
      <x:c r="C6520" s="9" t="n">
        <x:v>3</x:v>
      </x:c>
      <x:c r="D6520" s="8" t="n">
        <x:v>45539</x:v>
      </x:c>
      <x:c r="E6520" s="9" t="n">
        <x:v>5842500</x:v>
      </x:c>
      <x:c r="F6520" s="9" t="n">
        <x:v>0</x:v>
      </x:c>
    </x:row>
    <x:row r="6521" ht="34" customHeight="1">
      <x:c r="A6521" s="4" t="str">
        <x:v>RS-03282-I4</x:v>
      </x:c>
      <x:c r="B6521" s="4" t="str">
        <x:v>RS-03282</x:v>
      </x:c>
      <x:c r="C6521" s="9" t="n">
        <x:v>4</x:v>
      </x:c>
      <x:c r="D6521" s="8" t="n">
        <x:v>45569</x:v>
      </x:c>
      <x:c r="E6521" s="9" t="n">
        <x:v>5842500</x:v>
      </x:c>
      <x:c r="F6521" s="9" t="n">
        <x:v>0</x:v>
      </x:c>
    </x:row>
    <x:row r="6522" ht="34" customHeight="1">
      <x:c r="A6522" s="4" t="str">
        <x:v>RS-03284-I1</x:v>
      </x:c>
      <x:c r="B6522" s="4" t="str">
        <x:v>RS-03284</x:v>
      </x:c>
      <x:c r="C6522" s="9" t="n">
        <x:v>1</x:v>
      </x:c>
      <x:c r="D6522" s="8" t="n">
        <x:v>45481</x:v>
      </x:c>
      <x:c r="E6522" s="9" t="n">
        <x:v>750750</x:v>
      </x:c>
      <x:c r="F6522" s="9" t="n">
        <x:v>750750</x:v>
      </x:c>
    </x:row>
    <x:row r="6523" ht="34" customHeight="1">
      <x:c r="A6523" s="4" t="str">
        <x:v>RS-03284-I2</x:v>
      </x:c>
      <x:c r="B6523" s="4" t="str">
        <x:v>RS-03284</x:v>
      </x:c>
      <x:c r="C6523" s="9" t="n">
        <x:v>2</x:v>
      </x:c>
      <x:c r="D6523" s="8" t="n">
        <x:v>45511</x:v>
      </x:c>
      <x:c r="E6523" s="9" t="n">
        <x:v>750750</x:v>
      </x:c>
      <x:c r="F6523" s="9" t="n">
        <x:v>0</x:v>
      </x:c>
    </x:row>
    <x:row r="6524" ht="34" customHeight="1">
      <x:c r="A6524" s="4" t="str">
        <x:v>RS-03284-I3</x:v>
      </x:c>
      <x:c r="B6524" s="4" t="str">
        <x:v>RS-03284</x:v>
      </x:c>
      <x:c r="C6524" s="9" t="n">
        <x:v>3</x:v>
      </x:c>
      <x:c r="D6524" s="8" t="n">
        <x:v>45541</x:v>
      </x:c>
      <x:c r="E6524" s="9" t="n">
        <x:v>750750</x:v>
      </x:c>
      <x:c r="F6524" s="9" t="n">
        <x:v>0</x:v>
      </x:c>
    </x:row>
    <x:row r="6525" ht="34" customHeight="1">
      <x:c r="A6525" s="4" t="str">
        <x:v>RS-03284-I4</x:v>
      </x:c>
      <x:c r="B6525" s="4" t="str">
        <x:v>RS-03284</x:v>
      </x:c>
      <x:c r="C6525" s="9" t="n">
        <x:v>4</x:v>
      </x:c>
      <x:c r="D6525" s="8" t="n">
        <x:v>45571</x:v>
      </x:c>
      <x:c r="E6525" s="9" t="n">
        <x:v>750750</x:v>
      </x:c>
      <x:c r="F6525" s="9" t="n">
        <x:v>0</x:v>
      </x:c>
    </x:row>
    <x:row r="6526" ht="34" customHeight="1">
      <x:c r="A6526" s="4" t="str">
        <x:v>RS-03285-I1</x:v>
      </x:c>
      <x:c r="B6526" s="4" t="str">
        <x:v>RS-03285</x:v>
      </x:c>
      <x:c r="C6526" s="9" t="n">
        <x:v>1</x:v>
      </x:c>
      <x:c r="D6526" s="8" t="n">
        <x:v>45482</x:v>
      </x:c>
      <x:c r="E6526" s="9" t="n">
        <x:v>5184000</x:v>
      </x:c>
      <x:c r="F6526" s="9" t="n">
        <x:v>2073600</x:v>
      </x:c>
    </x:row>
    <x:row r="6527" ht="34" customHeight="1">
      <x:c r="A6527" s="4" t="str">
        <x:v>RS-03285-I2</x:v>
      </x:c>
      <x:c r="B6527" s="4" t="str">
        <x:v>RS-03285</x:v>
      </x:c>
      <x:c r="C6527" s="9" t="n">
        <x:v>2</x:v>
      </x:c>
      <x:c r="D6527" s="8" t="n">
        <x:v>45512</x:v>
      </x:c>
      <x:c r="E6527" s="9" t="n">
        <x:v>5184000</x:v>
      </x:c>
      <x:c r="F6527" s="9" t="n">
        <x:v>0</x:v>
      </x:c>
    </x:row>
    <x:row r="6528" ht="34" customHeight="1">
      <x:c r="A6528" s="4" t="str">
        <x:v>RS-03285-I3</x:v>
      </x:c>
      <x:c r="B6528" s="4" t="str">
        <x:v>RS-03285</x:v>
      </x:c>
      <x:c r="C6528" s="9" t="n">
        <x:v>3</x:v>
      </x:c>
      <x:c r="D6528" s="8" t="n">
        <x:v>45542</x:v>
      </x:c>
      <x:c r="E6528" s="9" t="n">
        <x:v>5184000</x:v>
      </x:c>
      <x:c r="F6528" s="9" t="n">
        <x:v>0</x:v>
      </x:c>
    </x:row>
    <x:row r="6529" ht="34" customHeight="1">
      <x:c r="A6529" s="4" t="str">
        <x:v>RS-03285-I4</x:v>
      </x:c>
      <x:c r="B6529" s="4" t="str">
        <x:v>RS-03285</x:v>
      </x:c>
      <x:c r="C6529" s="9" t="n">
        <x:v>4</x:v>
      </x:c>
      <x:c r="D6529" s="8" t="n">
        <x:v>45572</x:v>
      </x:c>
      <x:c r="E6529" s="9" t="n">
        <x:v>5184000</x:v>
      </x:c>
      <x:c r="F6529" s="9" t="n">
        <x:v>0</x:v>
      </x:c>
    </x:row>
    <x:row r="6530" ht="34" customHeight="1">
      <x:c r="A6530" s="4" t="str">
        <x:v>RS-03286-I1</x:v>
      </x:c>
      <x:c r="B6530" s="4" t="str">
        <x:v>RS-03286</x:v>
      </x:c>
      <x:c r="C6530" s="9" t="n">
        <x:v>1</x:v>
      </x:c>
      <x:c r="D6530" s="8" t="n">
        <x:v>45483</x:v>
      </x:c>
      <x:c r="E6530" s="9" t="n">
        <x:v>2447500</x:v>
      </x:c>
      <x:c r="F6530" s="9" t="n">
        <x:v>2447500</x:v>
      </x:c>
    </x:row>
    <x:row r="6531" ht="34" customHeight="1">
      <x:c r="A6531" s="4" t="str">
        <x:v>RS-03286-I2</x:v>
      </x:c>
      <x:c r="B6531" s="4" t="str">
        <x:v>RS-03286</x:v>
      </x:c>
      <x:c r="C6531" s="9" t="n">
        <x:v>2</x:v>
      </x:c>
      <x:c r="D6531" s="8" t="n">
        <x:v>45513</x:v>
      </x:c>
      <x:c r="E6531" s="9" t="n">
        <x:v>2447500</x:v>
      </x:c>
      <x:c r="F6531" s="9" t="n">
        <x:v>2447500</x:v>
      </x:c>
    </x:row>
    <x:row r="6532" ht="34" customHeight="1">
      <x:c r="A6532" s="4" t="str">
        <x:v>RS-03286-I3</x:v>
      </x:c>
      <x:c r="B6532" s="4" t="str">
        <x:v>RS-03286</x:v>
      </x:c>
      <x:c r="C6532" s="9" t="n">
        <x:v>3</x:v>
      </x:c>
      <x:c r="D6532" s="8" t="n">
        <x:v>45543</x:v>
      </x:c>
      <x:c r="E6532" s="9" t="n">
        <x:v>2447500</x:v>
      </x:c>
      <x:c r="F6532" s="9" t="n">
        <x:v>0</x:v>
      </x:c>
    </x:row>
    <x:row r="6533" ht="34" customHeight="1">
      <x:c r="A6533" s="4" t="str">
        <x:v>RS-03286-I4</x:v>
      </x:c>
      <x:c r="B6533" s="4" t="str">
        <x:v>RS-03286</x:v>
      </x:c>
      <x:c r="C6533" s="9" t="n">
        <x:v>4</x:v>
      </x:c>
      <x:c r="D6533" s="8" t="n">
        <x:v>45573</x:v>
      </x:c>
      <x:c r="E6533" s="9" t="n">
        <x:v>2447500</x:v>
      </x:c>
      <x:c r="F6533" s="9" t="n">
        <x:v>0</x:v>
      </x:c>
    </x:row>
    <x:row r="6534" ht="34" customHeight="1">
      <x:c r="A6534" s="4" t="str">
        <x:v>RS-03287-I1</x:v>
      </x:c>
      <x:c r="B6534" s="4" t="str">
        <x:v>RS-03287</x:v>
      </x:c>
      <x:c r="C6534" s="9" t="n">
        <x:v>1</x:v>
      </x:c>
      <x:c r="D6534" s="8" t="n">
        <x:v>45484</x:v>
      </x:c>
      <x:c r="E6534" s="9" t="n">
        <x:v>3293000</x:v>
      </x:c>
      <x:c r="F6534" s="9" t="n">
        <x:v>3293000</x:v>
      </x:c>
    </x:row>
    <x:row r="6535" ht="34" customHeight="1">
      <x:c r="A6535" s="4" t="str">
        <x:v>RS-03287-I2</x:v>
      </x:c>
      <x:c r="B6535" s="4" t="str">
        <x:v>RS-03287</x:v>
      </x:c>
      <x:c r="C6535" s="9" t="n">
        <x:v>2</x:v>
      </x:c>
      <x:c r="D6535" s="8" t="n">
        <x:v>45514</x:v>
      </x:c>
      <x:c r="E6535" s="9" t="n">
        <x:v>3293000</x:v>
      </x:c>
      <x:c r="F6535" s="9" t="n">
        <x:v>0</x:v>
      </x:c>
    </x:row>
    <x:row r="6536" ht="34" customHeight="1">
      <x:c r="A6536" s="4" t="str">
        <x:v>RS-03287-I3</x:v>
      </x:c>
      <x:c r="B6536" s="4" t="str">
        <x:v>RS-03287</x:v>
      </x:c>
      <x:c r="C6536" s="9" t="n">
        <x:v>3</x:v>
      </x:c>
      <x:c r="D6536" s="8" t="n">
        <x:v>45544</x:v>
      </x:c>
      <x:c r="E6536" s="9" t="n">
        <x:v>3293000</x:v>
      </x:c>
      <x:c r="F6536" s="9" t="n">
        <x:v>0</x:v>
      </x:c>
    </x:row>
    <x:row r="6537" ht="34" customHeight="1">
      <x:c r="A6537" s="4" t="str">
        <x:v>RS-03287-I4</x:v>
      </x:c>
      <x:c r="B6537" s="4" t="str">
        <x:v>RS-03287</x:v>
      </x:c>
      <x:c r="C6537" s="9" t="n">
        <x:v>4</x:v>
      </x:c>
      <x:c r="D6537" s="8" t="n">
        <x:v>45574</x:v>
      </x:c>
      <x:c r="E6537" s="9" t="n">
        <x:v>3293000</x:v>
      </x:c>
      <x:c r="F6537" s="9" t="n">
        <x:v>0</x:v>
      </x:c>
    </x:row>
    <x:row r="6538" ht="34" customHeight="1">
      <x:c r="A6538" s="4" t="str">
        <x:v>RS-03288-I1</x:v>
      </x:c>
      <x:c r="B6538" s="4" t="str">
        <x:v>RS-03288</x:v>
      </x:c>
      <x:c r="C6538" s="9" t="n">
        <x:v>1</x:v>
      </x:c>
      <x:c r="D6538" s="8" t="n">
        <x:v>45485</x:v>
      </x:c>
      <x:c r="E6538" s="9" t="n">
        <x:v>5456000</x:v>
      </x:c>
      <x:c r="F6538" s="9" t="n">
        <x:v>2182400</x:v>
      </x:c>
    </x:row>
    <x:row r="6539" ht="34" customHeight="1">
      <x:c r="A6539" s="4" t="str">
        <x:v>RS-03288-I2</x:v>
      </x:c>
      <x:c r="B6539" s="4" t="str">
        <x:v>RS-03288</x:v>
      </x:c>
      <x:c r="C6539" s="9" t="n">
        <x:v>2</x:v>
      </x:c>
      <x:c r="D6539" s="8" t="n">
        <x:v>45515</x:v>
      </x:c>
      <x:c r="E6539" s="9" t="n">
        <x:v>5456000</x:v>
      </x:c>
      <x:c r="F6539" s="9" t="n">
        <x:v>0</x:v>
      </x:c>
    </x:row>
    <x:row r="6540" ht="34" customHeight="1">
      <x:c r="A6540" s="4" t="str">
        <x:v>RS-03288-I3</x:v>
      </x:c>
      <x:c r="B6540" s="4" t="str">
        <x:v>RS-03288</x:v>
      </x:c>
      <x:c r="C6540" s="9" t="n">
        <x:v>3</x:v>
      </x:c>
      <x:c r="D6540" s="8" t="n">
        <x:v>45545</x:v>
      </x:c>
      <x:c r="E6540" s="9" t="n">
        <x:v>5456000</x:v>
      </x:c>
      <x:c r="F6540" s="9" t="n">
        <x:v>0</x:v>
      </x:c>
    </x:row>
    <x:row r="6541" ht="34" customHeight="1">
      <x:c r="A6541" s="4" t="str">
        <x:v>RS-03288-I4</x:v>
      </x:c>
      <x:c r="B6541" s="4" t="str">
        <x:v>RS-03288</x:v>
      </x:c>
      <x:c r="C6541" s="9" t="n">
        <x:v>4</x:v>
      </x:c>
      <x:c r="D6541" s="8" t="n">
        <x:v>45575</x:v>
      </x:c>
      <x:c r="E6541" s="9" t="n">
        <x:v>5456000</x:v>
      </x:c>
      <x:c r="F6541" s="9" t="n">
        <x:v>0</x:v>
      </x:c>
    </x:row>
    <x:row r="6542" ht="34" customHeight="1">
      <x:c r="A6542" s="4" t="str">
        <x:v>RS-03289-I1</x:v>
      </x:c>
      <x:c r="B6542" s="4" t="str">
        <x:v>RS-03289</x:v>
      </x:c>
      <x:c r="C6542" s="9" t="n">
        <x:v>1</x:v>
      </x:c>
      <x:c r="D6542" s="8" t="n">
        <x:v>45486</x:v>
      </x:c>
      <x:c r="E6542" s="9" t="n">
        <x:v>800250</x:v>
      </x:c>
      <x:c r="F6542" s="9" t="n">
        <x:v>800250</x:v>
      </x:c>
    </x:row>
    <x:row r="6543" ht="34" customHeight="1">
      <x:c r="A6543" s="4" t="str">
        <x:v>RS-03289-I2</x:v>
      </x:c>
      <x:c r="B6543" s="4" t="str">
        <x:v>RS-03289</x:v>
      </x:c>
      <x:c r="C6543" s="9" t="n">
        <x:v>2</x:v>
      </x:c>
      <x:c r="D6543" s="8" t="n">
        <x:v>45516</x:v>
      </x:c>
      <x:c r="E6543" s="9" t="n">
        <x:v>800250</x:v>
      </x:c>
      <x:c r="F6543" s="9" t="n">
        <x:v>800250</x:v>
      </x:c>
    </x:row>
    <x:row r="6544" ht="34" customHeight="1">
      <x:c r="A6544" s="4" t="str">
        <x:v>RS-03289-I3</x:v>
      </x:c>
      <x:c r="B6544" s="4" t="str">
        <x:v>RS-03289</x:v>
      </x:c>
      <x:c r="C6544" s="9" t="n">
        <x:v>3</x:v>
      </x:c>
      <x:c r="D6544" s="8" t="n">
        <x:v>45546</x:v>
      </x:c>
      <x:c r="E6544" s="9" t="n">
        <x:v>800250</x:v>
      </x:c>
      <x:c r="F6544" s="9" t="n">
        <x:v>800250</x:v>
      </x:c>
    </x:row>
    <x:row r="6545" ht="34" customHeight="1">
      <x:c r="A6545" s="4" t="str">
        <x:v>RS-03289-I4</x:v>
      </x:c>
      <x:c r="B6545" s="4" t="str">
        <x:v>RS-03289</x:v>
      </x:c>
      <x:c r="C6545" s="9" t="n">
        <x:v>4</x:v>
      </x:c>
      <x:c r="D6545" s="8" t="n">
        <x:v>45576</x:v>
      </x:c>
      <x:c r="E6545" s="9" t="n">
        <x:v>800250</x:v>
      </x:c>
      <x:c r="F6545" s="9" t="n">
        <x:v>800250</x:v>
      </x:c>
    </x:row>
    <x:row r="6546" ht="34" customHeight="1">
      <x:c r="A6546" s="4" t="str">
        <x:v>RS-03290-I1</x:v>
      </x:c>
      <x:c r="B6546" s="4" t="str">
        <x:v>RS-03290</x:v>
      </x:c>
      <x:c r="C6546" s="9" t="n">
        <x:v>1</x:v>
      </x:c>
      <x:c r="D6546" s="8" t="n">
        <x:v>45487</x:v>
      </x:c>
      <x:c r="E6546" s="9" t="n">
        <x:v>5370750</x:v>
      </x:c>
      <x:c r="F6546" s="9" t="n">
        <x:v>5370750</x:v>
      </x:c>
    </x:row>
    <x:row r="6547" ht="34" customHeight="1">
      <x:c r="A6547" s="4" t="str">
        <x:v>RS-03290-I2</x:v>
      </x:c>
      <x:c r="B6547" s="4" t="str">
        <x:v>RS-03290</x:v>
      </x:c>
      <x:c r="C6547" s="9" t="n">
        <x:v>2</x:v>
      </x:c>
      <x:c r="D6547" s="8" t="n">
        <x:v>45517</x:v>
      </x:c>
      <x:c r="E6547" s="9" t="n">
        <x:v>5370750</x:v>
      </x:c>
      <x:c r="F6547" s="9" t="n">
        <x:v>5370750</x:v>
      </x:c>
    </x:row>
    <x:row r="6548" ht="34" customHeight="1">
      <x:c r="A6548" s="4" t="str">
        <x:v>RS-03290-I3</x:v>
      </x:c>
      <x:c r="B6548" s="4" t="str">
        <x:v>RS-03290</x:v>
      </x:c>
      <x:c r="C6548" s="9" t="n">
        <x:v>3</x:v>
      </x:c>
      <x:c r="D6548" s="8" t="n">
        <x:v>45547</x:v>
      </x:c>
      <x:c r="E6548" s="9" t="n">
        <x:v>5370750</x:v>
      </x:c>
      <x:c r="F6548" s="9" t="n">
        <x:v>0</x:v>
      </x:c>
    </x:row>
    <x:row r="6549" ht="34" customHeight="1">
      <x:c r="A6549" s="4" t="str">
        <x:v>RS-03290-I4</x:v>
      </x:c>
      <x:c r="B6549" s="4" t="str">
        <x:v>RS-03290</x:v>
      </x:c>
      <x:c r="C6549" s="9" t="n">
        <x:v>4</x:v>
      </x:c>
      <x:c r="D6549" s="8" t="n">
        <x:v>45577</x:v>
      </x:c>
      <x:c r="E6549" s="9" t="n">
        <x:v>5370750</x:v>
      </x:c>
      <x:c r="F6549" s="9" t="n">
        <x:v>0</x:v>
      </x:c>
    </x:row>
    <x:row r="6550" ht="34" customHeight="1">
      <x:c r="A6550" s="4" t="str">
        <x:v>RS-03292-I1</x:v>
      </x:c>
      <x:c r="B6550" s="4" t="str">
        <x:v>RS-03292</x:v>
      </x:c>
      <x:c r="C6550" s="9" t="n">
        <x:v>1</x:v>
      </x:c>
      <x:c r="D6550" s="8" t="n">
        <x:v>45489</x:v>
      </x:c>
      <x:c r="E6550" s="9" t="n">
        <x:v>965250</x:v>
      </x:c>
      <x:c r="F6550" s="9" t="n">
        <x:v>386100</x:v>
      </x:c>
    </x:row>
    <x:row r="6551" ht="34" customHeight="1">
      <x:c r="A6551" s="4" t="str">
        <x:v>RS-03292-I2</x:v>
      </x:c>
      <x:c r="B6551" s="4" t="str">
        <x:v>RS-03292</x:v>
      </x:c>
      <x:c r="C6551" s="9" t="n">
        <x:v>2</x:v>
      </x:c>
      <x:c r="D6551" s="8" t="n">
        <x:v>45519</x:v>
      </x:c>
      <x:c r="E6551" s="9" t="n">
        <x:v>965250</x:v>
      </x:c>
      <x:c r="F6551" s="9" t="n">
        <x:v>0</x:v>
      </x:c>
    </x:row>
    <x:row r="6552" ht="34" customHeight="1">
      <x:c r="A6552" s="4" t="str">
        <x:v>RS-03292-I3</x:v>
      </x:c>
      <x:c r="B6552" s="4" t="str">
        <x:v>RS-03292</x:v>
      </x:c>
      <x:c r="C6552" s="9" t="n">
        <x:v>3</x:v>
      </x:c>
      <x:c r="D6552" s="8" t="n">
        <x:v>45549</x:v>
      </x:c>
      <x:c r="E6552" s="9" t="n">
        <x:v>965250</x:v>
      </x:c>
      <x:c r="F6552" s="9" t="n">
        <x:v>0</x:v>
      </x:c>
    </x:row>
    <x:row r="6553" ht="34" customHeight="1">
      <x:c r="A6553" s="4" t="str">
        <x:v>RS-03292-I4</x:v>
      </x:c>
      <x:c r="B6553" s="4" t="str">
        <x:v>RS-03292</x:v>
      </x:c>
      <x:c r="C6553" s="9" t="n">
        <x:v>4</x:v>
      </x:c>
      <x:c r="D6553" s="8" t="n">
        <x:v>45579</x:v>
      </x:c>
      <x:c r="E6553" s="9" t="n">
        <x:v>965250</x:v>
      </x:c>
      <x:c r="F6553" s="9" t="n">
        <x:v>0</x:v>
      </x:c>
    </x:row>
    <x:row r="6554" ht="34" customHeight="1">
      <x:c r="A6554" s="4" t="str">
        <x:v>RS-03293-I1</x:v>
      </x:c>
      <x:c r="B6554" s="4" t="str">
        <x:v>RS-03293</x:v>
      </x:c>
      <x:c r="C6554" s="9" t="n">
        <x:v>1</x:v>
      </x:c>
      <x:c r="D6554" s="8" t="n">
        <x:v>45490</x:v>
      </x:c>
      <x:c r="E6554" s="9" t="n">
        <x:v>1997500</x:v>
      </x:c>
      <x:c r="F6554" s="9" t="n">
        <x:v>1997500</x:v>
      </x:c>
    </x:row>
    <x:row r="6555" ht="34" customHeight="1">
      <x:c r="A6555" s="4" t="str">
        <x:v>RS-03293-I2</x:v>
      </x:c>
      <x:c r="B6555" s="4" t="str">
        <x:v>RS-03293</x:v>
      </x:c>
      <x:c r="C6555" s="9" t="n">
        <x:v>2</x:v>
      </x:c>
      <x:c r="D6555" s="8" t="n">
        <x:v>45520</x:v>
      </x:c>
      <x:c r="E6555" s="9" t="n">
        <x:v>1997500</x:v>
      </x:c>
      <x:c r="F6555" s="9" t="n">
        <x:v>1997500</x:v>
      </x:c>
    </x:row>
    <x:row r="6556" ht="34" customHeight="1">
      <x:c r="A6556" s="4" t="str">
        <x:v>RS-03293-I3</x:v>
      </x:c>
      <x:c r="B6556" s="4" t="str">
        <x:v>RS-03293</x:v>
      </x:c>
      <x:c r="C6556" s="9" t="n">
        <x:v>3</x:v>
      </x:c>
      <x:c r="D6556" s="8" t="n">
        <x:v>45550</x:v>
      </x:c>
      <x:c r="E6556" s="9" t="n">
        <x:v>1997500</x:v>
      </x:c>
      <x:c r="F6556" s="9" t="n">
        <x:v>1997500</x:v>
      </x:c>
    </x:row>
    <x:row r="6557" ht="34" customHeight="1">
      <x:c r="A6557" s="4" t="str">
        <x:v>RS-03293-I4</x:v>
      </x:c>
      <x:c r="B6557" s="4" t="str">
        <x:v>RS-03293</x:v>
      </x:c>
      <x:c r="C6557" s="9" t="n">
        <x:v>4</x:v>
      </x:c>
      <x:c r="D6557" s="8" t="n">
        <x:v>45580</x:v>
      </x:c>
      <x:c r="E6557" s="9" t="n">
        <x:v>1997500</x:v>
      </x:c>
      <x:c r="F6557" s="9" t="n">
        <x:v>1997500</x:v>
      </x:c>
    </x:row>
    <x:row r="6558" ht="34" customHeight="1">
      <x:c r="A6558" s="4" t="str">
        <x:v>RS-03295-I1</x:v>
      </x:c>
      <x:c r="B6558" s="4" t="str">
        <x:v>RS-03295</x:v>
      </x:c>
      <x:c r="C6558" s="9" t="n">
        <x:v>1</x:v>
      </x:c>
      <x:c r="D6558" s="8" t="n">
        <x:v>45492</x:v>
      </x:c>
      <x:c r="E6558" s="9" t="n">
        <x:v>3359750</x:v>
      </x:c>
      <x:c r="F6558" s="9" t="n">
        <x:v>1343900</x:v>
      </x:c>
    </x:row>
    <x:row r="6559" ht="34" customHeight="1">
      <x:c r="A6559" s="4" t="str">
        <x:v>RS-03295-I2</x:v>
      </x:c>
      <x:c r="B6559" s="4" t="str">
        <x:v>RS-03295</x:v>
      </x:c>
      <x:c r="C6559" s="9" t="n">
        <x:v>2</x:v>
      </x:c>
      <x:c r="D6559" s="8" t="n">
        <x:v>45522</x:v>
      </x:c>
      <x:c r="E6559" s="9" t="n">
        <x:v>3359750</x:v>
      </x:c>
      <x:c r="F6559" s="9" t="n">
        <x:v>0</x:v>
      </x:c>
    </x:row>
    <x:row r="6560" ht="34" customHeight="1">
      <x:c r="A6560" s="4" t="str">
        <x:v>RS-03295-I3</x:v>
      </x:c>
      <x:c r="B6560" s="4" t="str">
        <x:v>RS-03295</x:v>
      </x:c>
      <x:c r="C6560" s="9" t="n">
        <x:v>3</x:v>
      </x:c>
      <x:c r="D6560" s="8" t="n">
        <x:v>45552</x:v>
      </x:c>
      <x:c r="E6560" s="9" t="n">
        <x:v>3359750</x:v>
      </x:c>
      <x:c r="F6560" s="9" t="n">
        <x:v>0</x:v>
      </x:c>
    </x:row>
    <x:row r="6561" ht="34" customHeight="1">
      <x:c r="A6561" s="4" t="str">
        <x:v>RS-03295-I4</x:v>
      </x:c>
      <x:c r="B6561" s="4" t="str">
        <x:v>RS-03295</x:v>
      </x:c>
      <x:c r="C6561" s="9" t="n">
        <x:v>4</x:v>
      </x:c>
      <x:c r="D6561" s="8" t="n">
        <x:v>45582</x:v>
      </x:c>
      <x:c r="E6561" s="9" t="n">
        <x:v>3359750</x:v>
      </x:c>
      <x:c r="F6561" s="9" t="n">
        <x:v>0</x:v>
      </x:c>
    </x:row>
    <x:row r="6562" ht="34" customHeight="1">
      <x:c r="A6562" s="4" t="str">
        <x:v>RS-03297-I1</x:v>
      </x:c>
      <x:c r="B6562" s="4" t="str">
        <x:v>RS-03297</x:v>
      </x:c>
      <x:c r="C6562" s="9" t="n">
        <x:v>1</x:v>
      </x:c>
      <x:c r="D6562" s="8" t="n">
        <x:v>45494</x:v>
      </x:c>
      <x:c r="E6562" s="9" t="n">
        <x:v>3610000</x:v>
      </x:c>
      <x:c r="F6562" s="9" t="n">
        <x:v>3610000</x:v>
      </x:c>
    </x:row>
    <x:row r="6563" ht="34" customHeight="1">
      <x:c r="A6563" s="4" t="str">
        <x:v>RS-03297-I2</x:v>
      </x:c>
      <x:c r="B6563" s="4" t="str">
        <x:v>RS-03297</x:v>
      </x:c>
      <x:c r="C6563" s="9" t="n">
        <x:v>2</x:v>
      </x:c>
      <x:c r="D6563" s="8" t="n">
        <x:v>45524</x:v>
      </x:c>
      <x:c r="E6563" s="9" t="n">
        <x:v>3610000</x:v>
      </x:c>
      <x:c r="F6563" s="9" t="n">
        <x:v>3610000</x:v>
      </x:c>
    </x:row>
    <x:row r="6564" ht="34" customHeight="1">
      <x:c r="A6564" s="4" t="str">
        <x:v>RS-03297-I3</x:v>
      </x:c>
      <x:c r="B6564" s="4" t="str">
        <x:v>RS-03297</x:v>
      </x:c>
      <x:c r="C6564" s="9" t="n">
        <x:v>3</x:v>
      </x:c>
      <x:c r="D6564" s="8" t="n">
        <x:v>45554</x:v>
      </x:c>
      <x:c r="E6564" s="9" t="n">
        <x:v>3610000</x:v>
      </x:c>
      <x:c r="F6564" s="9" t="n">
        <x:v>0</x:v>
      </x:c>
    </x:row>
    <x:row r="6565" ht="34" customHeight="1">
      <x:c r="A6565" s="4" t="str">
        <x:v>RS-03297-I4</x:v>
      </x:c>
      <x:c r="B6565" s="4" t="str">
        <x:v>RS-03297</x:v>
      </x:c>
      <x:c r="C6565" s="9" t="n">
        <x:v>4</x:v>
      </x:c>
      <x:c r="D6565" s="8" t="n">
        <x:v>45584</x:v>
      </x:c>
      <x:c r="E6565" s="9" t="n">
        <x:v>3610000</x:v>
      </x:c>
      <x:c r="F6565" s="9" t="n">
        <x:v>0</x:v>
      </x:c>
    </x:row>
    <x:row r="6566" ht="34" customHeight="1">
      <x:c r="A6566" s="4" t="str">
        <x:v>RS-03298-I1</x:v>
      </x:c>
      <x:c r="B6566" s="4" t="str">
        <x:v>RS-03298</x:v>
      </x:c>
      <x:c r="C6566" s="9" t="n">
        <x:v>1</x:v>
      </x:c>
      <x:c r="D6566" s="8" t="n">
        <x:v>45495</x:v>
      </x:c>
      <x:c r="E6566" s="9" t="n">
        <x:v>4828250</x:v>
      </x:c>
      <x:c r="F6566" s="9" t="n">
        <x:v>1931300</x:v>
      </x:c>
    </x:row>
    <x:row r="6567" ht="34" customHeight="1">
      <x:c r="A6567" s="4" t="str">
        <x:v>RS-03298-I2</x:v>
      </x:c>
      <x:c r="B6567" s="4" t="str">
        <x:v>RS-03298</x:v>
      </x:c>
      <x:c r="C6567" s="9" t="n">
        <x:v>2</x:v>
      </x:c>
      <x:c r="D6567" s="8" t="n">
        <x:v>45525</x:v>
      </x:c>
      <x:c r="E6567" s="9" t="n">
        <x:v>4828250</x:v>
      </x:c>
      <x:c r="F6567" s="9" t="n">
        <x:v>0</x:v>
      </x:c>
    </x:row>
    <x:row r="6568" ht="34" customHeight="1">
      <x:c r="A6568" s="4" t="str">
        <x:v>RS-03298-I3</x:v>
      </x:c>
      <x:c r="B6568" s="4" t="str">
        <x:v>RS-03298</x:v>
      </x:c>
      <x:c r="C6568" s="9" t="n">
        <x:v>3</x:v>
      </x:c>
      <x:c r="D6568" s="8" t="n">
        <x:v>45555</x:v>
      </x:c>
      <x:c r="E6568" s="9" t="n">
        <x:v>4828250</x:v>
      </x:c>
      <x:c r="F6568" s="9" t="n">
        <x:v>0</x:v>
      </x:c>
    </x:row>
    <x:row r="6569" ht="34" customHeight="1">
      <x:c r="A6569" s="4" t="str">
        <x:v>RS-03298-I4</x:v>
      </x:c>
      <x:c r="B6569" s="4" t="str">
        <x:v>RS-03298</x:v>
      </x:c>
      <x:c r="C6569" s="9" t="n">
        <x:v>4</x:v>
      </x:c>
      <x:c r="D6569" s="8" t="n">
        <x:v>45585</x:v>
      </x:c>
      <x:c r="E6569" s="9" t="n">
        <x:v>4828250</x:v>
      </x:c>
      <x:c r="F6569" s="9" t="n">
        <x:v>0</x:v>
      </x:c>
    </x:row>
    <x:row r="6570" ht="34" customHeight="1">
      <x:c r="A6570" s="4" t="str">
        <x:v>RS-03299-I1</x:v>
      </x:c>
      <x:c r="B6570" s="4" t="str">
        <x:v>RS-03299</x:v>
      </x:c>
      <x:c r="C6570" s="9" t="n">
        <x:v>1</x:v>
      </x:c>
      <x:c r="D6570" s="8" t="n">
        <x:v>45496</x:v>
      </x:c>
      <x:c r="E6570" s="9" t="n">
        <x:v>926250</x:v>
      </x:c>
      <x:c r="F6570" s="9" t="n">
        <x:v>926250</x:v>
      </x:c>
    </x:row>
    <x:row r="6571" ht="34" customHeight="1">
      <x:c r="A6571" s="4" t="str">
        <x:v>RS-03299-I2</x:v>
      </x:c>
      <x:c r="B6571" s="4" t="str">
        <x:v>RS-03299</x:v>
      </x:c>
      <x:c r="C6571" s="9" t="n">
        <x:v>2</x:v>
      </x:c>
      <x:c r="D6571" s="8" t="n">
        <x:v>45526</x:v>
      </x:c>
      <x:c r="E6571" s="9" t="n">
        <x:v>926250</x:v>
      </x:c>
      <x:c r="F6571" s="9" t="n">
        <x:v>926250</x:v>
      </x:c>
    </x:row>
    <x:row r="6572" ht="34" customHeight="1">
      <x:c r="A6572" s="4" t="str">
        <x:v>RS-03299-I3</x:v>
      </x:c>
      <x:c r="B6572" s="4" t="str">
        <x:v>RS-03299</x:v>
      </x:c>
      <x:c r="C6572" s="9" t="n">
        <x:v>3</x:v>
      </x:c>
      <x:c r="D6572" s="8" t="n">
        <x:v>45556</x:v>
      </x:c>
      <x:c r="E6572" s="9" t="n">
        <x:v>926250</x:v>
      </x:c>
      <x:c r="F6572" s="9" t="n">
        <x:v>0</x:v>
      </x:c>
    </x:row>
    <x:row r="6573" ht="34" customHeight="1">
      <x:c r="A6573" s="4" t="str">
        <x:v>RS-03299-I4</x:v>
      </x:c>
      <x:c r="B6573" s="4" t="str">
        <x:v>RS-03299</x:v>
      </x:c>
      <x:c r="C6573" s="9" t="n">
        <x:v>4</x:v>
      </x:c>
      <x:c r="D6573" s="8" t="n">
        <x:v>45586</x:v>
      </x:c>
      <x:c r="E6573" s="9" t="n">
        <x:v>926250</x:v>
      </x:c>
      <x:c r="F6573" s="9" t="n">
        <x:v>0</x:v>
      </x:c>
    </x:row>
    <x:row r="6574" ht="34" customHeight="1">
      <x:c r="A6574" s="4" t="str">
        <x:v>RS-03301-I1</x:v>
      </x:c>
      <x:c r="B6574" s="4" t="str">
        <x:v>RS-03301</x:v>
      </x:c>
      <x:c r="C6574" s="9" t="n">
        <x:v>1</x:v>
      </x:c>
      <x:c r="D6574" s="8" t="n">
        <x:v>45498</x:v>
      </x:c>
      <x:c r="E6574" s="9" t="n">
        <x:v>2794000</x:v>
      </x:c>
      <x:c r="F6574" s="9" t="n">
        <x:v>2794000</x:v>
      </x:c>
    </x:row>
    <x:row r="6575" ht="34" customHeight="1">
      <x:c r="A6575" s="4" t="str">
        <x:v>RS-03301-I2</x:v>
      </x:c>
      <x:c r="B6575" s="4" t="str">
        <x:v>RS-03301</x:v>
      </x:c>
      <x:c r="C6575" s="9" t="n">
        <x:v>2</x:v>
      </x:c>
      <x:c r="D6575" s="8" t="n">
        <x:v>45528</x:v>
      </x:c>
      <x:c r="E6575" s="9" t="n">
        <x:v>2794000</x:v>
      </x:c>
      <x:c r="F6575" s="9" t="n">
        <x:v>2794000</x:v>
      </x:c>
    </x:row>
    <x:row r="6576" ht="34" customHeight="1">
      <x:c r="A6576" s="4" t="str">
        <x:v>RS-03301-I3</x:v>
      </x:c>
      <x:c r="B6576" s="4" t="str">
        <x:v>RS-03301</x:v>
      </x:c>
      <x:c r="C6576" s="9" t="n">
        <x:v>3</x:v>
      </x:c>
      <x:c r="D6576" s="8" t="n">
        <x:v>45558</x:v>
      </x:c>
      <x:c r="E6576" s="9" t="n">
        <x:v>2794000</x:v>
      </x:c>
      <x:c r="F6576" s="9" t="n">
        <x:v>0</x:v>
      </x:c>
    </x:row>
    <x:row r="6577" ht="34" customHeight="1">
      <x:c r="A6577" s="4" t="str">
        <x:v>RS-03301-I4</x:v>
      </x:c>
      <x:c r="B6577" s="4" t="str">
        <x:v>RS-03301</x:v>
      </x:c>
      <x:c r="C6577" s="9" t="n">
        <x:v>4</x:v>
      </x:c>
      <x:c r="D6577" s="8" t="n">
        <x:v>45588</x:v>
      </x:c>
      <x:c r="E6577" s="9" t="n">
        <x:v>2794000</x:v>
      </x:c>
      <x:c r="F6577" s="9" t="n">
        <x:v>0</x:v>
      </x:c>
    </x:row>
    <x:row r="6578" ht="34" customHeight="1">
      <x:c r="A6578" s="4" t="str">
        <x:v>RS-03303-I1</x:v>
      </x:c>
      <x:c r="B6578" s="4" t="str">
        <x:v>RS-03303</x:v>
      </x:c>
      <x:c r="C6578" s="9" t="n">
        <x:v>1</x:v>
      </x:c>
      <x:c r="D6578" s="8" t="n">
        <x:v>45500</x:v>
      </x:c>
      <x:c r="E6578" s="9" t="n">
        <x:v>3634000</x:v>
      </x:c>
      <x:c r="F6578" s="9" t="n">
        <x:v>3634000</x:v>
      </x:c>
    </x:row>
    <x:row r="6579" ht="34" customHeight="1">
      <x:c r="A6579" s="4" t="str">
        <x:v>RS-03303-I2</x:v>
      </x:c>
      <x:c r="B6579" s="4" t="str">
        <x:v>RS-03303</x:v>
      </x:c>
      <x:c r="C6579" s="9" t="n">
        <x:v>2</x:v>
      </x:c>
      <x:c r="D6579" s="8" t="n">
        <x:v>45530</x:v>
      </x:c>
      <x:c r="E6579" s="9" t="n">
        <x:v>3634000</x:v>
      </x:c>
      <x:c r="F6579" s="9" t="n">
        <x:v>0</x:v>
      </x:c>
    </x:row>
    <x:row r="6580" ht="34" customHeight="1">
      <x:c r="A6580" s="4" t="str">
        <x:v>RS-03303-I3</x:v>
      </x:c>
      <x:c r="B6580" s="4" t="str">
        <x:v>RS-03303</x:v>
      </x:c>
      <x:c r="C6580" s="9" t="n">
        <x:v>3</x:v>
      </x:c>
      <x:c r="D6580" s="8" t="n">
        <x:v>45560</x:v>
      </x:c>
      <x:c r="E6580" s="9" t="n">
        <x:v>3634000</x:v>
      </x:c>
      <x:c r="F6580" s="9" t="n">
        <x:v>0</x:v>
      </x:c>
    </x:row>
    <x:row r="6581" ht="34" customHeight="1">
      <x:c r="A6581" s="4" t="str">
        <x:v>RS-03303-I4</x:v>
      </x:c>
      <x:c r="B6581" s="4" t="str">
        <x:v>RS-03303</x:v>
      </x:c>
      <x:c r="C6581" s="9" t="n">
        <x:v>4</x:v>
      </x:c>
      <x:c r="D6581" s="8" t="n">
        <x:v>45590</x:v>
      </x:c>
      <x:c r="E6581" s="9" t="n">
        <x:v>3634000</x:v>
      </x:c>
      <x:c r="F6581" s="9" t="n">
        <x:v>0</x:v>
      </x:c>
    </x:row>
    <x:row r="6582" ht="34" customHeight="1">
      <x:c r="A6582" s="4" t="str">
        <x:v>RS-03304-I1</x:v>
      </x:c>
      <x:c r="B6582" s="4" t="str">
        <x:v>RS-03304</x:v>
      </x:c>
      <x:c r="C6582" s="9" t="n">
        <x:v>1</x:v>
      </x:c>
      <x:c r="D6582" s="8" t="n">
        <x:v>45501</x:v>
      </x:c>
      <x:c r="E6582" s="9" t="n">
        <x:v>2131500</x:v>
      </x:c>
      <x:c r="F6582" s="9" t="n">
        <x:v>2131500</x:v>
      </x:c>
    </x:row>
    <x:row r="6583" ht="34" customHeight="1">
      <x:c r="A6583" s="4" t="str">
        <x:v>RS-03304-I2</x:v>
      </x:c>
      <x:c r="B6583" s="4" t="str">
        <x:v>RS-03304</x:v>
      </x:c>
      <x:c r="C6583" s="9" t="n">
        <x:v>2</x:v>
      </x:c>
      <x:c r="D6583" s="8" t="n">
        <x:v>45531</x:v>
      </x:c>
      <x:c r="E6583" s="9" t="n">
        <x:v>2131500</x:v>
      </x:c>
      <x:c r="F6583" s="9" t="n">
        <x:v>0</x:v>
      </x:c>
    </x:row>
    <x:row r="6584" ht="34" customHeight="1">
      <x:c r="A6584" s="4" t="str">
        <x:v>RS-03304-I3</x:v>
      </x:c>
      <x:c r="B6584" s="4" t="str">
        <x:v>RS-03304</x:v>
      </x:c>
      <x:c r="C6584" s="9" t="n">
        <x:v>3</x:v>
      </x:c>
      <x:c r="D6584" s="8" t="n">
        <x:v>45561</x:v>
      </x:c>
      <x:c r="E6584" s="9" t="n">
        <x:v>2131500</x:v>
      </x:c>
      <x:c r="F6584" s="9" t="n">
        <x:v>0</x:v>
      </x:c>
    </x:row>
    <x:row r="6585" ht="34" customHeight="1">
      <x:c r="A6585" s="4" t="str">
        <x:v>RS-03304-I4</x:v>
      </x:c>
      <x:c r="B6585" s="4" t="str">
        <x:v>RS-03304</x:v>
      </x:c>
      <x:c r="C6585" s="9" t="n">
        <x:v>4</x:v>
      </x:c>
      <x:c r="D6585" s="8" t="n">
        <x:v>45591</x:v>
      </x:c>
      <x:c r="E6585" s="9" t="n">
        <x:v>2131500</x:v>
      </x:c>
      <x:c r="F6585" s="9" t="n">
        <x:v>0</x:v>
      </x:c>
    </x:row>
    <x:row r="6586" ht="34" customHeight="1">
      <x:c r="A6586" s="4" t="str">
        <x:v>RS-03306-I1</x:v>
      </x:c>
      <x:c r="B6586" s="4" t="str">
        <x:v>RS-03306</x:v>
      </x:c>
      <x:c r="C6586" s="9" t="n">
        <x:v>1</x:v>
      </x:c>
      <x:c r="D6586" s="8" t="n">
        <x:v>45475</x:v>
      </x:c>
      <x:c r="E6586" s="9" t="n">
        <x:v>4872000</x:v>
      </x:c>
      <x:c r="F6586" s="9" t="n">
        <x:v>4872000</x:v>
      </x:c>
    </x:row>
    <x:row r="6587" ht="34" customHeight="1">
      <x:c r="A6587" s="4" t="str">
        <x:v>RS-03306-I2</x:v>
      </x:c>
      <x:c r="B6587" s="4" t="str">
        <x:v>RS-03306</x:v>
      </x:c>
      <x:c r="C6587" s="9" t="n">
        <x:v>2</x:v>
      </x:c>
      <x:c r="D6587" s="8" t="n">
        <x:v>45505</x:v>
      </x:c>
      <x:c r="E6587" s="9" t="n">
        <x:v>4872000</x:v>
      </x:c>
      <x:c r="F6587" s="9" t="n">
        <x:v>4872000</x:v>
      </x:c>
    </x:row>
    <x:row r="6588" ht="34" customHeight="1">
      <x:c r="A6588" s="4" t="str">
        <x:v>RS-03306-I3</x:v>
      </x:c>
      <x:c r="B6588" s="4" t="str">
        <x:v>RS-03306</x:v>
      </x:c>
      <x:c r="C6588" s="9" t="n">
        <x:v>3</x:v>
      </x:c>
      <x:c r="D6588" s="8" t="n">
        <x:v>45535</x:v>
      </x:c>
      <x:c r="E6588" s="9" t="n">
        <x:v>4872000</x:v>
      </x:c>
      <x:c r="F6588" s="9" t="n">
        <x:v>4872000</x:v>
      </x:c>
    </x:row>
    <x:row r="6589" ht="34" customHeight="1">
      <x:c r="A6589" s="4" t="str">
        <x:v>RS-03306-I4</x:v>
      </x:c>
      <x:c r="B6589" s="4" t="str">
        <x:v>RS-03306</x:v>
      </x:c>
      <x:c r="C6589" s="9" t="n">
        <x:v>4</x:v>
      </x:c>
      <x:c r="D6589" s="8" t="n">
        <x:v>45565</x:v>
      </x:c>
      <x:c r="E6589" s="9" t="n">
        <x:v>4872000</x:v>
      </x:c>
      <x:c r="F6589" s="9" t="n">
        <x:v>4872000</x:v>
      </x:c>
    </x:row>
    <x:row r="6590" ht="34" customHeight="1">
      <x:c r="A6590" s="4" t="str">
        <x:v>RS-03309-I1</x:v>
      </x:c>
      <x:c r="B6590" s="4" t="str">
        <x:v>RS-03309</x:v>
      </x:c>
      <x:c r="C6590" s="9" t="n">
        <x:v>1</x:v>
      </x:c>
      <x:c r="D6590" s="8" t="n">
        <x:v>45478</x:v>
      </x:c>
      <x:c r="E6590" s="9" t="n">
        <x:v>4583500</x:v>
      </x:c>
      <x:c r="F6590" s="9" t="n">
        <x:v>4583500</x:v>
      </x:c>
    </x:row>
    <x:row r="6591" ht="34" customHeight="1">
      <x:c r="A6591" s="4" t="str">
        <x:v>RS-03309-I2</x:v>
      </x:c>
      <x:c r="B6591" s="4" t="str">
        <x:v>RS-03309</x:v>
      </x:c>
      <x:c r="C6591" s="9" t="n">
        <x:v>2</x:v>
      </x:c>
      <x:c r="D6591" s="8" t="n">
        <x:v>45508</x:v>
      </x:c>
      <x:c r="E6591" s="9" t="n">
        <x:v>4583500</x:v>
      </x:c>
      <x:c r="F6591" s="9" t="n">
        <x:v>4583500</x:v>
      </x:c>
    </x:row>
    <x:row r="6592" ht="34" customHeight="1">
      <x:c r="A6592" s="4" t="str">
        <x:v>RS-03309-I3</x:v>
      </x:c>
      <x:c r="B6592" s="4" t="str">
        <x:v>RS-03309</x:v>
      </x:c>
      <x:c r="C6592" s="9" t="n">
        <x:v>3</x:v>
      </x:c>
      <x:c r="D6592" s="8" t="n">
        <x:v>45538</x:v>
      </x:c>
      <x:c r="E6592" s="9" t="n">
        <x:v>4583500</x:v>
      </x:c>
      <x:c r="F6592" s="9" t="n">
        <x:v>4583500</x:v>
      </x:c>
    </x:row>
    <x:row r="6593" ht="34" customHeight="1">
      <x:c r="A6593" s="4" t="str">
        <x:v>RS-03309-I4</x:v>
      </x:c>
      <x:c r="B6593" s="4" t="str">
        <x:v>RS-03309</x:v>
      </x:c>
      <x:c r="C6593" s="9" t="n">
        <x:v>4</x:v>
      </x:c>
      <x:c r="D6593" s="8" t="n">
        <x:v>45568</x:v>
      </x:c>
      <x:c r="E6593" s="9" t="n">
        <x:v>4583500</x:v>
      </x:c>
      <x:c r="F6593" s="9" t="n">
        <x:v>4583500</x:v>
      </x:c>
    </x:row>
    <x:row r="6594" ht="34" customHeight="1">
      <x:c r="A6594" s="4" t="str">
        <x:v>RS-03310-I1</x:v>
      </x:c>
      <x:c r="B6594" s="4" t="str">
        <x:v>RS-03310</x:v>
      </x:c>
      <x:c r="C6594" s="9" t="n">
        <x:v>1</x:v>
      </x:c>
      <x:c r="D6594" s="8" t="n">
        <x:v>45479</x:v>
      </x:c>
      <x:c r="E6594" s="9" t="n">
        <x:v>3849250</x:v>
      </x:c>
      <x:c r="F6594" s="9" t="n">
        <x:v>3849250</x:v>
      </x:c>
    </x:row>
    <x:row r="6595" ht="34" customHeight="1">
      <x:c r="A6595" s="4" t="str">
        <x:v>RS-03310-I2</x:v>
      </x:c>
      <x:c r="B6595" s="4" t="str">
        <x:v>RS-03310</x:v>
      </x:c>
      <x:c r="C6595" s="9" t="n">
        <x:v>2</x:v>
      </x:c>
      <x:c r="D6595" s="8" t="n">
        <x:v>45509</x:v>
      </x:c>
      <x:c r="E6595" s="9" t="n">
        <x:v>3849250</x:v>
      </x:c>
      <x:c r="F6595" s="9" t="n">
        <x:v>0</x:v>
      </x:c>
    </x:row>
    <x:row r="6596" ht="34" customHeight="1">
      <x:c r="A6596" s="4" t="str">
        <x:v>RS-03310-I3</x:v>
      </x:c>
      <x:c r="B6596" s="4" t="str">
        <x:v>RS-03310</x:v>
      </x:c>
      <x:c r="C6596" s="9" t="n">
        <x:v>3</x:v>
      </x:c>
      <x:c r="D6596" s="8" t="n">
        <x:v>45539</x:v>
      </x:c>
      <x:c r="E6596" s="9" t="n">
        <x:v>3849250</x:v>
      </x:c>
      <x:c r="F6596" s="9" t="n">
        <x:v>0</x:v>
      </x:c>
    </x:row>
    <x:row r="6597" ht="34" customHeight="1">
      <x:c r="A6597" s="4" t="str">
        <x:v>RS-03310-I4</x:v>
      </x:c>
      <x:c r="B6597" s="4" t="str">
        <x:v>RS-03310</x:v>
      </x:c>
      <x:c r="C6597" s="9" t="n">
        <x:v>4</x:v>
      </x:c>
      <x:c r="D6597" s="8" t="n">
        <x:v>45569</x:v>
      </x:c>
      <x:c r="E6597" s="9" t="n">
        <x:v>3849250</x:v>
      </x:c>
      <x:c r="F6597" s="9" t="n">
        <x:v>0</x:v>
      </x:c>
    </x:row>
    <x:row r="6598" ht="34" customHeight="1">
      <x:c r="A6598" s="4" t="str">
        <x:v>RS-03311-I1</x:v>
      </x:c>
      <x:c r="B6598" s="4" t="str">
        <x:v>RS-03311</x:v>
      </x:c>
      <x:c r="C6598" s="9" t="n">
        <x:v>1</x:v>
      </x:c>
      <x:c r="D6598" s="8" t="n">
        <x:v>45480</x:v>
      </x:c>
      <x:c r="E6598" s="9" t="n">
        <x:v>2252250</x:v>
      </x:c>
      <x:c r="F6598" s="9" t="n">
        <x:v>2252250</x:v>
      </x:c>
    </x:row>
    <x:row r="6599" ht="34" customHeight="1">
      <x:c r="A6599" s="4" t="str">
        <x:v>RS-03311-I2</x:v>
      </x:c>
      <x:c r="B6599" s="4" t="str">
        <x:v>RS-03311</x:v>
      </x:c>
      <x:c r="C6599" s="9" t="n">
        <x:v>2</x:v>
      </x:c>
      <x:c r="D6599" s="8" t="n">
        <x:v>45510</x:v>
      </x:c>
      <x:c r="E6599" s="9" t="n">
        <x:v>2252250</x:v>
      </x:c>
      <x:c r="F6599" s="9" t="n">
        <x:v>0</x:v>
      </x:c>
    </x:row>
    <x:row r="6600" ht="34" customHeight="1">
      <x:c r="A6600" s="4" t="str">
        <x:v>RS-03311-I3</x:v>
      </x:c>
      <x:c r="B6600" s="4" t="str">
        <x:v>RS-03311</x:v>
      </x:c>
      <x:c r="C6600" s="9" t="n">
        <x:v>3</x:v>
      </x:c>
      <x:c r="D6600" s="8" t="n">
        <x:v>45540</x:v>
      </x:c>
      <x:c r="E6600" s="9" t="n">
        <x:v>2252250</x:v>
      </x:c>
      <x:c r="F6600" s="9" t="n">
        <x:v>0</x:v>
      </x:c>
    </x:row>
    <x:row r="6601" ht="34" customHeight="1">
      <x:c r="A6601" s="4" t="str">
        <x:v>RS-03311-I4</x:v>
      </x:c>
      <x:c r="B6601" s="4" t="str">
        <x:v>RS-03311</x:v>
      </x:c>
      <x:c r="C6601" s="9" t="n">
        <x:v>4</x:v>
      </x:c>
      <x:c r="D6601" s="8" t="n">
        <x:v>45570</x:v>
      </x:c>
      <x:c r="E6601" s="9" t="n">
        <x:v>2252250</x:v>
      </x:c>
      <x:c r="F6601" s="9" t="n">
        <x:v>0</x:v>
      </x:c>
    </x:row>
    <x:row r="6602" ht="34" customHeight="1">
      <x:c r="A6602" s="4" t="str">
        <x:v>RS-03313-I1</x:v>
      </x:c>
      <x:c r="B6602" s="4" t="str">
        <x:v>RS-03313</x:v>
      </x:c>
      <x:c r="C6602" s="9" t="n">
        <x:v>1</x:v>
      </x:c>
      <x:c r="D6602" s="8" t="n">
        <x:v>45482</x:v>
      </x:c>
      <x:c r="E6602" s="9" t="n">
        <x:v>5022500</x:v>
      </x:c>
      <x:c r="F6602" s="9" t="n">
        <x:v>2009000</x:v>
      </x:c>
    </x:row>
    <x:row r="6603" ht="34" customHeight="1">
      <x:c r="A6603" s="4" t="str">
        <x:v>RS-03313-I2</x:v>
      </x:c>
      <x:c r="B6603" s="4" t="str">
        <x:v>RS-03313</x:v>
      </x:c>
      <x:c r="C6603" s="9" t="n">
        <x:v>2</x:v>
      </x:c>
      <x:c r="D6603" s="8" t="n">
        <x:v>45512</x:v>
      </x:c>
      <x:c r="E6603" s="9" t="n">
        <x:v>5022500</x:v>
      </x:c>
      <x:c r="F6603" s="9" t="n">
        <x:v>0</x:v>
      </x:c>
    </x:row>
    <x:row r="6604" ht="34" customHeight="1">
      <x:c r="A6604" s="4" t="str">
        <x:v>RS-03313-I3</x:v>
      </x:c>
      <x:c r="B6604" s="4" t="str">
        <x:v>RS-03313</x:v>
      </x:c>
      <x:c r="C6604" s="9" t="n">
        <x:v>3</x:v>
      </x:c>
      <x:c r="D6604" s="8" t="n">
        <x:v>45542</x:v>
      </x:c>
      <x:c r="E6604" s="9" t="n">
        <x:v>5022500</x:v>
      </x:c>
      <x:c r="F6604" s="9" t="n">
        <x:v>0</x:v>
      </x:c>
    </x:row>
    <x:row r="6605" ht="34" customHeight="1">
      <x:c r="A6605" s="4" t="str">
        <x:v>RS-03313-I4</x:v>
      </x:c>
      <x:c r="B6605" s="4" t="str">
        <x:v>RS-03313</x:v>
      </x:c>
      <x:c r="C6605" s="9" t="n">
        <x:v>4</x:v>
      </x:c>
      <x:c r="D6605" s="8" t="n">
        <x:v>45572</x:v>
      </x:c>
      <x:c r="E6605" s="9" t="n">
        <x:v>5022500</x:v>
      </x:c>
      <x:c r="F6605" s="9" t="n">
        <x:v>0</x:v>
      </x:c>
    </x:row>
    <x:row r="6606" ht="34" customHeight="1">
      <x:c r="A6606" s="4" t="str">
        <x:v>RS-03314-I1</x:v>
      </x:c>
      <x:c r="B6606" s="4" t="str">
        <x:v>RS-03314</x:v>
      </x:c>
      <x:c r="C6606" s="9" t="n">
        <x:v>1</x:v>
      </x:c>
      <x:c r="D6606" s="8" t="n">
        <x:v>45483</x:v>
      </x:c>
      <x:c r="E6606" s="9" t="n">
        <x:v>5152500</x:v>
      </x:c>
      <x:c r="F6606" s="9" t="n">
        <x:v>5152500</x:v>
      </x:c>
    </x:row>
    <x:row r="6607" ht="34" customHeight="1">
      <x:c r="A6607" s="4" t="str">
        <x:v>RS-03314-I2</x:v>
      </x:c>
      <x:c r="B6607" s="4" t="str">
        <x:v>RS-03314</x:v>
      </x:c>
      <x:c r="C6607" s="9" t="n">
        <x:v>2</x:v>
      </x:c>
      <x:c r="D6607" s="8" t="n">
        <x:v>45513</x:v>
      </x:c>
      <x:c r="E6607" s="9" t="n">
        <x:v>5152500</x:v>
      </x:c>
      <x:c r="F6607" s="9" t="n">
        <x:v>5152500</x:v>
      </x:c>
    </x:row>
    <x:row r="6608" ht="34" customHeight="1">
      <x:c r="A6608" s="4" t="str">
        <x:v>RS-03314-I3</x:v>
      </x:c>
      <x:c r="B6608" s="4" t="str">
        <x:v>RS-03314</x:v>
      </x:c>
      <x:c r="C6608" s="9" t="n">
        <x:v>3</x:v>
      </x:c>
      <x:c r="D6608" s="8" t="n">
        <x:v>45543</x:v>
      </x:c>
      <x:c r="E6608" s="9" t="n">
        <x:v>5152500</x:v>
      </x:c>
      <x:c r="F6608" s="9" t="n">
        <x:v>5152500</x:v>
      </x:c>
    </x:row>
    <x:row r="6609" ht="34" customHeight="1">
      <x:c r="A6609" s="4" t="str">
        <x:v>RS-03314-I4</x:v>
      </x:c>
      <x:c r="B6609" s="4" t="str">
        <x:v>RS-03314</x:v>
      </x:c>
      <x:c r="C6609" s="9" t="n">
        <x:v>4</x:v>
      </x:c>
      <x:c r="D6609" s="8" t="n">
        <x:v>45573</x:v>
      </x:c>
      <x:c r="E6609" s="9" t="n">
        <x:v>5152500</x:v>
      </x:c>
      <x:c r="F6609" s="9" t="n">
        <x:v>5152500</x:v>
      </x:c>
    </x:row>
    <x:row r="6610" ht="34" customHeight="1">
      <x:c r="A6610" s="4" t="str">
        <x:v>RS-03316-I1</x:v>
      </x:c>
      <x:c r="B6610" s="4" t="str">
        <x:v>RS-03316</x:v>
      </x:c>
      <x:c r="C6610" s="9" t="n">
        <x:v>1</x:v>
      </x:c>
      <x:c r="D6610" s="8" t="n">
        <x:v>45485</x:v>
      </x:c>
      <x:c r="E6610" s="9" t="n">
        <x:v>2507000</x:v>
      </x:c>
      <x:c r="F6610" s="9" t="n">
        <x:v>2507000</x:v>
      </x:c>
    </x:row>
    <x:row r="6611" ht="34" customHeight="1">
      <x:c r="A6611" s="4" t="str">
        <x:v>RS-03316-I2</x:v>
      </x:c>
      <x:c r="B6611" s="4" t="str">
        <x:v>RS-03316</x:v>
      </x:c>
      <x:c r="C6611" s="9" t="n">
        <x:v>2</x:v>
      </x:c>
      <x:c r="D6611" s="8" t="n">
        <x:v>45515</x:v>
      </x:c>
      <x:c r="E6611" s="9" t="n">
        <x:v>2507000</x:v>
      </x:c>
      <x:c r="F6611" s="9" t="n">
        <x:v>0</x:v>
      </x:c>
    </x:row>
    <x:row r="6612" ht="34" customHeight="1">
      <x:c r="A6612" s="4" t="str">
        <x:v>RS-03316-I3</x:v>
      </x:c>
      <x:c r="B6612" s="4" t="str">
        <x:v>RS-03316</x:v>
      </x:c>
      <x:c r="C6612" s="9" t="n">
        <x:v>3</x:v>
      </x:c>
      <x:c r="D6612" s="8" t="n">
        <x:v>45545</x:v>
      </x:c>
      <x:c r="E6612" s="9" t="n">
        <x:v>2507000</x:v>
      </x:c>
      <x:c r="F6612" s="9" t="n">
        <x:v>0</x:v>
      </x:c>
    </x:row>
    <x:row r="6613" ht="34" customHeight="1">
      <x:c r="A6613" s="4" t="str">
        <x:v>RS-03316-I4</x:v>
      </x:c>
      <x:c r="B6613" s="4" t="str">
        <x:v>RS-03316</x:v>
      </x:c>
      <x:c r="C6613" s="9" t="n">
        <x:v>4</x:v>
      </x:c>
      <x:c r="D6613" s="8" t="n">
        <x:v>45575</x:v>
      </x:c>
      <x:c r="E6613" s="9" t="n">
        <x:v>2507000</x:v>
      </x:c>
      <x:c r="F6613" s="9" t="n">
        <x:v>0</x:v>
      </x:c>
    </x:row>
    <x:row r="6614" ht="34" customHeight="1">
      <x:c r="A6614" s="4" t="str">
        <x:v>RS-03318-I1</x:v>
      </x:c>
      <x:c r="B6614" s="4" t="str">
        <x:v>RS-03318</x:v>
      </x:c>
      <x:c r="C6614" s="9" t="n">
        <x:v>1</x:v>
      </x:c>
      <x:c r="D6614" s="8" t="n">
        <x:v>45487</x:v>
      </x:c>
      <x:c r="E6614" s="9" t="n">
        <x:v>2093000</x:v>
      </x:c>
      <x:c r="F6614" s="9" t="n">
        <x:v>837200</x:v>
      </x:c>
    </x:row>
    <x:row r="6615" ht="34" customHeight="1">
      <x:c r="A6615" s="4" t="str">
        <x:v>RS-03318-I2</x:v>
      </x:c>
      <x:c r="B6615" s="4" t="str">
        <x:v>RS-03318</x:v>
      </x:c>
      <x:c r="C6615" s="9" t="n">
        <x:v>2</x:v>
      </x:c>
      <x:c r="D6615" s="8" t="n">
        <x:v>45517</x:v>
      </x:c>
      <x:c r="E6615" s="9" t="n">
        <x:v>2093000</x:v>
      </x:c>
      <x:c r="F6615" s="9" t="n">
        <x:v>0</x:v>
      </x:c>
    </x:row>
    <x:row r="6616" ht="34" customHeight="1">
      <x:c r="A6616" s="4" t="str">
        <x:v>RS-03318-I3</x:v>
      </x:c>
      <x:c r="B6616" s="4" t="str">
        <x:v>RS-03318</x:v>
      </x:c>
      <x:c r="C6616" s="9" t="n">
        <x:v>3</x:v>
      </x:c>
      <x:c r="D6616" s="8" t="n">
        <x:v>45547</x:v>
      </x:c>
      <x:c r="E6616" s="9" t="n">
        <x:v>2093000</x:v>
      </x:c>
      <x:c r="F6616" s="9" t="n">
        <x:v>0</x:v>
      </x:c>
    </x:row>
    <x:row r="6617" ht="34" customHeight="1">
      <x:c r="A6617" s="4" t="str">
        <x:v>RS-03318-I4</x:v>
      </x:c>
      <x:c r="B6617" s="4" t="str">
        <x:v>RS-03318</x:v>
      </x:c>
      <x:c r="C6617" s="9" t="n">
        <x:v>4</x:v>
      </x:c>
      <x:c r="D6617" s="8" t="n">
        <x:v>45577</x:v>
      </x:c>
      <x:c r="E6617" s="9" t="n">
        <x:v>2093000</x:v>
      </x:c>
      <x:c r="F6617" s="9" t="n">
        <x:v>0</x:v>
      </x:c>
    </x:row>
    <x:row r="6618" ht="34" customHeight="1">
      <x:c r="A6618" s="4" t="str">
        <x:v>RS-03321-I1</x:v>
      </x:c>
      <x:c r="B6618" s="4" t="str">
        <x:v>RS-03321</x:v>
      </x:c>
      <x:c r="C6618" s="9" t="n">
        <x:v>1</x:v>
      </x:c>
      <x:c r="D6618" s="8" t="n">
        <x:v>45490</x:v>
      </x:c>
      <x:c r="E6618" s="9" t="n">
        <x:v>4434500</x:v>
      </x:c>
      <x:c r="F6618" s="9" t="n">
        <x:v>4434500</x:v>
      </x:c>
    </x:row>
    <x:row r="6619" ht="34" customHeight="1">
      <x:c r="A6619" s="4" t="str">
        <x:v>RS-03321-I2</x:v>
      </x:c>
      <x:c r="B6619" s="4" t="str">
        <x:v>RS-03321</x:v>
      </x:c>
      <x:c r="C6619" s="9" t="n">
        <x:v>2</x:v>
      </x:c>
      <x:c r="D6619" s="8" t="n">
        <x:v>45520</x:v>
      </x:c>
      <x:c r="E6619" s="9" t="n">
        <x:v>4434500</x:v>
      </x:c>
      <x:c r="F6619" s="9" t="n">
        <x:v>4434500</x:v>
      </x:c>
    </x:row>
    <x:row r="6620" ht="34" customHeight="1">
      <x:c r="A6620" s="4" t="str">
        <x:v>RS-03321-I3</x:v>
      </x:c>
      <x:c r="B6620" s="4" t="str">
        <x:v>RS-03321</x:v>
      </x:c>
      <x:c r="C6620" s="9" t="n">
        <x:v>3</x:v>
      </x:c>
      <x:c r="D6620" s="8" t="n">
        <x:v>45550</x:v>
      </x:c>
      <x:c r="E6620" s="9" t="n">
        <x:v>4434500</x:v>
      </x:c>
      <x:c r="F6620" s="9" t="n">
        <x:v>4434500</x:v>
      </x:c>
    </x:row>
    <x:row r="6621" ht="34" customHeight="1">
      <x:c r="A6621" s="4" t="str">
        <x:v>RS-03321-I4</x:v>
      </x:c>
      <x:c r="B6621" s="4" t="str">
        <x:v>RS-03321</x:v>
      </x:c>
      <x:c r="C6621" s="9" t="n">
        <x:v>4</x:v>
      </x:c>
      <x:c r="D6621" s="8" t="n">
        <x:v>45580</x:v>
      </x:c>
      <x:c r="E6621" s="9" t="n">
        <x:v>4434500</x:v>
      </x:c>
      <x:c r="F6621" s="9" t="n">
        <x:v>4434500</x:v>
      </x:c>
    </x:row>
    <x:row r="6622" ht="34" customHeight="1">
      <x:c r="A6622" s="4" t="str">
        <x:v>RS-03322-I1</x:v>
      </x:c>
      <x:c r="B6622" s="4" t="str">
        <x:v>RS-03322</x:v>
      </x:c>
      <x:c r="C6622" s="9" t="n">
        <x:v>1</x:v>
      </x:c>
      <x:c r="D6622" s="8" t="n">
        <x:v>45491</x:v>
      </x:c>
      <x:c r="E6622" s="9" t="n">
        <x:v>1316000</x:v>
      </x:c>
      <x:c r="F6622" s="9" t="n">
        <x:v>526400</x:v>
      </x:c>
    </x:row>
    <x:row r="6623" ht="34" customHeight="1">
      <x:c r="A6623" s="4" t="str">
        <x:v>RS-03322-I2</x:v>
      </x:c>
      <x:c r="B6623" s="4" t="str">
        <x:v>RS-03322</x:v>
      </x:c>
      <x:c r="C6623" s="9" t="n">
        <x:v>2</x:v>
      </x:c>
      <x:c r="D6623" s="8" t="n">
        <x:v>45521</x:v>
      </x:c>
      <x:c r="E6623" s="9" t="n">
        <x:v>1316000</x:v>
      </x:c>
      <x:c r="F6623" s="9" t="n">
        <x:v>0</x:v>
      </x:c>
    </x:row>
    <x:row r="6624" ht="34" customHeight="1">
      <x:c r="A6624" s="4" t="str">
        <x:v>RS-03322-I3</x:v>
      </x:c>
      <x:c r="B6624" s="4" t="str">
        <x:v>RS-03322</x:v>
      </x:c>
      <x:c r="C6624" s="9" t="n">
        <x:v>3</x:v>
      </x:c>
      <x:c r="D6624" s="8" t="n">
        <x:v>45551</x:v>
      </x:c>
      <x:c r="E6624" s="9" t="n">
        <x:v>1316000</x:v>
      </x:c>
      <x:c r="F6624" s="9" t="n">
        <x:v>0</x:v>
      </x:c>
    </x:row>
    <x:row r="6625" ht="34" customHeight="1">
      <x:c r="A6625" s="4" t="str">
        <x:v>RS-03322-I4</x:v>
      </x:c>
      <x:c r="B6625" s="4" t="str">
        <x:v>RS-03322</x:v>
      </x:c>
      <x:c r="C6625" s="9" t="n">
        <x:v>4</x:v>
      </x:c>
      <x:c r="D6625" s="8" t="n">
        <x:v>45581</x:v>
      </x:c>
      <x:c r="E6625" s="9" t="n">
        <x:v>1316000</x:v>
      </x:c>
      <x:c r="F6625" s="9" t="n">
        <x:v>0</x:v>
      </x:c>
    </x:row>
    <x:row r="6626" ht="34" customHeight="1">
      <x:c r="A6626" s="4" t="str">
        <x:v>RS-03323-I1</x:v>
      </x:c>
      <x:c r="B6626" s="4" t="str">
        <x:v>RS-03323</x:v>
      </x:c>
      <x:c r="C6626" s="9" t="n">
        <x:v>1</x:v>
      </x:c>
      <x:c r="D6626" s="8" t="n">
        <x:v>45492</x:v>
      </x:c>
      <x:c r="E6626" s="9" t="n">
        <x:v>4920000</x:v>
      </x:c>
      <x:c r="F6626" s="9" t="n">
        <x:v>4920000</x:v>
      </x:c>
    </x:row>
    <x:row r="6627" ht="34" customHeight="1">
      <x:c r="A6627" s="4" t="str">
        <x:v>RS-03323-I2</x:v>
      </x:c>
      <x:c r="B6627" s="4" t="str">
        <x:v>RS-03323</x:v>
      </x:c>
      <x:c r="C6627" s="9" t="n">
        <x:v>2</x:v>
      </x:c>
      <x:c r="D6627" s="8" t="n">
        <x:v>45522</x:v>
      </x:c>
      <x:c r="E6627" s="9" t="n">
        <x:v>4920000</x:v>
      </x:c>
      <x:c r="F6627" s="9" t="n">
        <x:v>4920000</x:v>
      </x:c>
    </x:row>
    <x:row r="6628" ht="34" customHeight="1">
      <x:c r="A6628" s="4" t="str">
        <x:v>RS-03323-I3</x:v>
      </x:c>
      <x:c r="B6628" s="4" t="str">
        <x:v>RS-03323</x:v>
      </x:c>
      <x:c r="C6628" s="9" t="n">
        <x:v>3</x:v>
      </x:c>
      <x:c r="D6628" s="8" t="n">
        <x:v>45552</x:v>
      </x:c>
      <x:c r="E6628" s="9" t="n">
        <x:v>4920000</x:v>
      </x:c>
      <x:c r="F6628" s="9" t="n">
        <x:v>0</x:v>
      </x:c>
    </x:row>
    <x:row r="6629" ht="34" customHeight="1">
      <x:c r="A6629" s="4" t="str">
        <x:v>RS-03323-I4</x:v>
      </x:c>
      <x:c r="B6629" s="4" t="str">
        <x:v>RS-03323</x:v>
      </x:c>
      <x:c r="C6629" s="9" t="n">
        <x:v>4</x:v>
      </x:c>
      <x:c r="D6629" s="8" t="n">
        <x:v>45582</x:v>
      </x:c>
      <x:c r="E6629" s="9" t="n">
        <x:v>4920000</x:v>
      </x:c>
      <x:c r="F6629" s="9" t="n">
        <x:v>0</x:v>
      </x:c>
    </x:row>
    <x:row r="6630" ht="34" customHeight="1">
      <x:c r="A6630" s="4" t="str">
        <x:v>RS-03326-I1</x:v>
      </x:c>
      <x:c r="B6630" s="4" t="str">
        <x:v>RS-03326</x:v>
      </x:c>
      <x:c r="C6630" s="9" t="n">
        <x:v>1</x:v>
      </x:c>
      <x:c r="D6630" s="8" t="n">
        <x:v>45495</x:v>
      </x:c>
      <x:c r="E6630" s="9" t="n">
        <x:v>3003000</x:v>
      </x:c>
      <x:c r="F6630" s="9" t="n">
        <x:v>3003000</x:v>
      </x:c>
    </x:row>
    <x:row r="6631" ht="34" customHeight="1">
      <x:c r="A6631" s="4" t="str">
        <x:v>RS-03326-I2</x:v>
      </x:c>
      <x:c r="B6631" s="4" t="str">
        <x:v>RS-03326</x:v>
      </x:c>
      <x:c r="C6631" s="9" t="n">
        <x:v>2</x:v>
      </x:c>
      <x:c r="D6631" s="8" t="n">
        <x:v>45525</x:v>
      </x:c>
      <x:c r="E6631" s="9" t="n">
        <x:v>3003000</x:v>
      </x:c>
      <x:c r="F6631" s="9" t="n">
        <x:v>3003000</x:v>
      </x:c>
    </x:row>
    <x:row r="6632" ht="34" customHeight="1">
      <x:c r="A6632" s="4" t="str">
        <x:v>RS-03326-I3</x:v>
      </x:c>
      <x:c r="B6632" s="4" t="str">
        <x:v>RS-03326</x:v>
      </x:c>
      <x:c r="C6632" s="9" t="n">
        <x:v>3</x:v>
      </x:c>
      <x:c r="D6632" s="8" t="n">
        <x:v>45555</x:v>
      </x:c>
      <x:c r="E6632" s="9" t="n">
        <x:v>3003000</x:v>
      </x:c>
      <x:c r="F6632" s="9" t="n">
        <x:v>0</x:v>
      </x:c>
    </x:row>
    <x:row r="6633" ht="34" customHeight="1">
      <x:c r="A6633" s="4" t="str">
        <x:v>RS-03326-I4</x:v>
      </x:c>
      <x:c r="B6633" s="4" t="str">
        <x:v>RS-03326</x:v>
      </x:c>
      <x:c r="C6633" s="9" t="n">
        <x:v>4</x:v>
      </x:c>
      <x:c r="D6633" s="8" t="n">
        <x:v>45585</x:v>
      </x:c>
      <x:c r="E6633" s="9" t="n">
        <x:v>3003000</x:v>
      </x:c>
      <x:c r="F6633" s="9" t="n">
        <x:v>0</x:v>
      </x:c>
    </x:row>
    <x:row r="6634" ht="34" customHeight="1">
      <x:c r="A6634" s="4" t="str">
        <x:v>RS-03327-I1</x:v>
      </x:c>
      <x:c r="B6634" s="4" t="str">
        <x:v>RS-03327</x:v>
      </x:c>
      <x:c r="C6634" s="9" t="n">
        <x:v>1</x:v>
      </x:c>
      <x:c r="D6634" s="8" t="n">
        <x:v>45496</x:v>
      </x:c>
      <x:c r="E6634" s="9" t="n">
        <x:v>3448750</x:v>
      </x:c>
      <x:c r="F6634" s="9" t="n">
        <x:v>3448750</x:v>
      </x:c>
    </x:row>
    <x:row r="6635" ht="34" customHeight="1">
      <x:c r="A6635" s="4" t="str">
        <x:v>RS-03327-I2</x:v>
      </x:c>
      <x:c r="B6635" s="4" t="str">
        <x:v>RS-03327</x:v>
      </x:c>
      <x:c r="C6635" s="9" t="n">
        <x:v>2</x:v>
      </x:c>
      <x:c r="D6635" s="8" t="n">
        <x:v>45526</x:v>
      </x:c>
      <x:c r="E6635" s="9" t="n">
        <x:v>3448750</x:v>
      </x:c>
      <x:c r="F6635" s="9" t="n">
        <x:v>0</x:v>
      </x:c>
    </x:row>
    <x:row r="6636" ht="34" customHeight="1">
      <x:c r="A6636" s="4" t="str">
        <x:v>RS-03327-I3</x:v>
      </x:c>
      <x:c r="B6636" s="4" t="str">
        <x:v>RS-03327</x:v>
      </x:c>
      <x:c r="C6636" s="9" t="n">
        <x:v>3</x:v>
      </x:c>
      <x:c r="D6636" s="8" t="n">
        <x:v>45556</x:v>
      </x:c>
      <x:c r="E6636" s="9" t="n">
        <x:v>3448750</x:v>
      </x:c>
      <x:c r="F6636" s="9" t="n">
        <x:v>0</x:v>
      </x:c>
    </x:row>
    <x:row r="6637" ht="34" customHeight="1">
      <x:c r="A6637" s="4" t="str">
        <x:v>RS-03327-I4</x:v>
      </x:c>
      <x:c r="B6637" s="4" t="str">
        <x:v>RS-03327</x:v>
      </x:c>
      <x:c r="C6637" s="9" t="n">
        <x:v>4</x:v>
      </x:c>
      <x:c r="D6637" s="8" t="n">
        <x:v>45586</x:v>
      </x:c>
      <x:c r="E6637" s="9" t="n">
        <x:v>3448750</x:v>
      </x:c>
      <x:c r="F6637" s="9" t="n">
        <x:v>0</x:v>
      </x:c>
    </x:row>
    <x:row r="6638" ht="34" customHeight="1">
      <x:c r="A6638" s="4" t="str">
        <x:v>RS-03329-I1</x:v>
      </x:c>
      <x:c r="B6638" s="4" t="str">
        <x:v>RS-03329</x:v>
      </x:c>
      <x:c r="C6638" s="9" t="n">
        <x:v>1</x:v>
      </x:c>
      <x:c r="D6638" s="8" t="n">
        <x:v>45498</x:v>
      </x:c>
      <x:c r="E6638" s="9" t="n">
        <x:v>3990000</x:v>
      </x:c>
      <x:c r="F6638" s="9" t="n">
        <x:v>3990000</x:v>
      </x:c>
    </x:row>
    <x:row r="6639" ht="34" customHeight="1">
      <x:c r="A6639" s="4" t="str">
        <x:v>RS-03329-I2</x:v>
      </x:c>
      <x:c r="B6639" s="4" t="str">
        <x:v>RS-03329</x:v>
      </x:c>
      <x:c r="C6639" s="9" t="n">
        <x:v>2</x:v>
      </x:c>
      <x:c r="D6639" s="8" t="n">
        <x:v>45528</x:v>
      </x:c>
      <x:c r="E6639" s="9" t="n">
        <x:v>3990000</x:v>
      </x:c>
      <x:c r="F6639" s="9" t="n">
        <x:v>3990000</x:v>
      </x:c>
    </x:row>
    <x:row r="6640" ht="34" customHeight="1">
      <x:c r="A6640" s="4" t="str">
        <x:v>RS-03329-I3</x:v>
      </x:c>
      <x:c r="B6640" s="4" t="str">
        <x:v>RS-03329</x:v>
      </x:c>
      <x:c r="C6640" s="9" t="n">
        <x:v>3</x:v>
      </x:c>
      <x:c r="D6640" s="8" t="n">
        <x:v>45558</x:v>
      </x:c>
      <x:c r="E6640" s="9" t="n">
        <x:v>3990000</x:v>
      </x:c>
      <x:c r="F6640" s="9" t="n">
        <x:v>0</x:v>
      </x:c>
    </x:row>
    <x:row r="6641" ht="34" customHeight="1">
      <x:c r="A6641" s="4" t="str">
        <x:v>RS-03329-I4</x:v>
      </x:c>
      <x:c r="B6641" s="4" t="str">
        <x:v>RS-03329</x:v>
      </x:c>
      <x:c r="C6641" s="9" t="n">
        <x:v>4</x:v>
      </x:c>
      <x:c r="D6641" s="8" t="n">
        <x:v>45588</x:v>
      </x:c>
      <x:c r="E6641" s="9" t="n">
        <x:v>3990000</x:v>
      </x:c>
      <x:c r="F6641" s="9" t="n">
        <x:v>0</x:v>
      </x:c>
    </x:row>
    <x:row r="6642" ht="34" customHeight="1">
      <x:c r="A6642" s="4" t="str">
        <x:v>RS-03330-I1</x:v>
      </x:c>
      <x:c r="B6642" s="4" t="str">
        <x:v>RS-03330</x:v>
      </x:c>
      <x:c r="C6642" s="9" t="n">
        <x:v>1</x:v>
      </x:c>
      <x:c r="D6642" s="8" t="n">
        <x:v>45499</x:v>
      </x:c>
      <x:c r="E6642" s="9" t="n">
        <x:v>1245500</x:v>
      </x:c>
      <x:c r="F6642" s="9" t="n">
        <x:v>1245500</x:v>
      </x:c>
    </x:row>
    <x:row r="6643" ht="34" customHeight="1">
      <x:c r="A6643" s="4" t="str">
        <x:v>RS-03330-I2</x:v>
      </x:c>
      <x:c r="B6643" s="4" t="str">
        <x:v>RS-03330</x:v>
      </x:c>
      <x:c r="C6643" s="9" t="n">
        <x:v>2</x:v>
      </x:c>
      <x:c r="D6643" s="8" t="n">
        <x:v>45529</x:v>
      </x:c>
      <x:c r="E6643" s="9" t="n">
        <x:v>1245500</x:v>
      </x:c>
      <x:c r="F6643" s="9" t="n">
        <x:v>1245500</x:v>
      </x:c>
    </x:row>
    <x:row r="6644" ht="34" customHeight="1">
      <x:c r="A6644" s="4" t="str">
        <x:v>RS-03330-I3</x:v>
      </x:c>
      <x:c r="B6644" s="4" t="str">
        <x:v>RS-03330</x:v>
      </x:c>
      <x:c r="C6644" s="9" t="n">
        <x:v>3</x:v>
      </x:c>
      <x:c r="D6644" s="8" t="n">
        <x:v>45559</x:v>
      </x:c>
      <x:c r="E6644" s="9" t="n">
        <x:v>1245500</x:v>
      </x:c>
      <x:c r="F6644" s="9" t="n">
        <x:v>0</x:v>
      </x:c>
    </x:row>
    <x:row r="6645" ht="34" customHeight="1">
      <x:c r="A6645" s="4" t="str">
        <x:v>RS-03330-I4</x:v>
      </x:c>
      <x:c r="B6645" s="4" t="str">
        <x:v>RS-03330</x:v>
      </x:c>
      <x:c r="C6645" s="9" t="n">
        <x:v>4</x:v>
      </x:c>
      <x:c r="D6645" s="8" t="n">
        <x:v>45589</x:v>
      </x:c>
      <x:c r="E6645" s="9" t="n">
        <x:v>1245500</x:v>
      </x:c>
      <x:c r="F6645" s="9" t="n">
        <x:v>0</x:v>
      </x:c>
    </x:row>
    <x:row r="6646" ht="34" customHeight="1">
      <x:c r="A6646" s="4" t="str">
        <x:v>RS-03334-I1</x:v>
      </x:c>
      <x:c r="B6646" s="4" t="str">
        <x:v>RS-03334</x:v>
      </x:c>
      <x:c r="C6646" s="9" t="n">
        <x:v>1</x:v>
      </x:c>
      <x:c r="D6646" s="8" t="n">
        <x:v>45475</x:v>
      </x:c>
      <x:c r="E6646" s="9" t="n">
        <x:v>1697250</x:v>
      </x:c>
      <x:c r="F6646" s="9" t="n">
        <x:v>1697250</x:v>
      </x:c>
    </x:row>
    <x:row r="6647" ht="34" customHeight="1">
      <x:c r="A6647" s="4" t="str">
        <x:v>RS-03334-I2</x:v>
      </x:c>
      <x:c r="B6647" s="4" t="str">
        <x:v>RS-03334</x:v>
      </x:c>
      <x:c r="C6647" s="9" t="n">
        <x:v>2</x:v>
      </x:c>
      <x:c r="D6647" s="8" t="n">
        <x:v>45505</x:v>
      </x:c>
      <x:c r="E6647" s="9" t="n">
        <x:v>1697250</x:v>
      </x:c>
      <x:c r="F6647" s="9" t="n">
        <x:v>0</x:v>
      </x:c>
    </x:row>
    <x:row r="6648" ht="34" customHeight="1">
      <x:c r="A6648" s="4" t="str">
        <x:v>RS-03334-I3</x:v>
      </x:c>
      <x:c r="B6648" s="4" t="str">
        <x:v>RS-03334</x:v>
      </x:c>
      <x:c r="C6648" s="9" t="n">
        <x:v>3</x:v>
      </x:c>
      <x:c r="D6648" s="8" t="n">
        <x:v>45535</x:v>
      </x:c>
      <x:c r="E6648" s="9" t="n">
        <x:v>1697250</x:v>
      </x:c>
      <x:c r="F6648" s="9" t="n">
        <x:v>0</x:v>
      </x:c>
    </x:row>
    <x:row r="6649" ht="34" customHeight="1">
      <x:c r="A6649" s="4" t="str">
        <x:v>RS-03334-I4</x:v>
      </x:c>
      <x:c r="B6649" s="4" t="str">
        <x:v>RS-03334</x:v>
      </x:c>
      <x:c r="C6649" s="9" t="n">
        <x:v>4</x:v>
      </x:c>
      <x:c r="D6649" s="8" t="n">
        <x:v>45565</x:v>
      </x:c>
      <x:c r="E6649" s="9" t="n">
        <x:v>1697250</x:v>
      </x:c>
      <x:c r="F6649" s="9" t="n">
        <x:v>0</x:v>
      </x:c>
    </x:row>
    <x:row r="6650" ht="34" customHeight="1">
      <x:c r="A6650" s="4" t="str">
        <x:v>RS-03335-I1</x:v>
      </x:c>
      <x:c r="B6650" s="4" t="str">
        <x:v>RS-03335</x:v>
      </x:c>
      <x:c r="C6650" s="9" t="n">
        <x:v>1</x:v>
      </x:c>
      <x:c r="D6650" s="8" t="n">
        <x:v>45476</x:v>
      </x:c>
      <x:c r="E6650" s="9" t="n">
        <x:v>2400750</x:v>
      </x:c>
      <x:c r="F6650" s="9" t="n">
        <x:v>2400750</x:v>
      </x:c>
    </x:row>
    <x:row r="6651" ht="34" customHeight="1">
      <x:c r="A6651" s="4" t="str">
        <x:v>RS-03335-I2</x:v>
      </x:c>
      <x:c r="B6651" s="4" t="str">
        <x:v>RS-03335</x:v>
      </x:c>
      <x:c r="C6651" s="9" t="n">
        <x:v>2</x:v>
      </x:c>
      <x:c r="D6651" s="8" t="n">
        <x:v>45506</x:v>
      </x:c>
      <x:c r="E6651" s="9" t="n">
        <x:v>2400750</x:v>
      </x:c>
      <x:c r="F6651" s="9" t="n">
        <x:v>0</x:v>
      </x:c>
    </x:row>
    <x:row r="6652" ht="34" customHeight="1">
      <x:c r="A6652" s="4" t="str">
        <x:v>RS-03335-I3</x:v>
      </x:c>
      <x:c r="B6652" s="4" t="str">
        <x:v>RS-03335</x:v>
      </x:c>
      <x:c r="C6652" s="9" t="n">
        <x:v>3</x:v>
      </x:c>
      <x:c r="D6652" s="8" t="n">
        <x:v>45536</x:v>
      </x:c>
      <x:c r="E6652" s="9" t="n">
        <x:v>2400750</x:v>
      </x:c>
      <x:c r="F6652" s="9" t="n">
        <x:v>0</x:v>
      </x:c>
    </x:row>
    <x:row r="6653" ht="34" customHeight="1">
      <x:c r="A6653" s="4" t="str">
        <x:v>RS-03335-I4</x:v>
      </x:c>
      <x:c r="B6653" s="4" t="str">
        <x:v>RS-03335</x:v>
      </x:c>
      <x:c r="C6653" s="9" t="n">
        <x:v>4</x:v>
      </x:c>
      <x:c r="D6653" s="8" t="n">
        <x:v>45566</x:v>
      </x:c>
      <x:c r="E6653" s="9" t="n">
        <x:v>2400750</x:v>
      </x:c>
      <x:c r="F6653" s="9" t="n">
        <x:v>0</x:v>
      </x:c>
    </x:row>
    <x:row r="6654" ht="34" customHeight="1">
      <x:c r="A6654" s="4" t="str">
        <x:v>RS-03336-I1</x:v>
      </x:c>
      <x:c r="B6654" s="4" t="str">
        <x:v>RS-03336</x:v>
      </x:c>
      <x:c r="C6654" s="9" t="n">
        <x:v>1</x:v>
      </x:c>
      <x:c r="D6654" s="8" t="n">
        <x:v>45477</x:v>
      </x:c>
      <x:c r="E6654" s="9" t="n">
        <x:v>3298000</x:v>
      </x:c>
      <x:c r="F6654" s="9" t="n">
        <x:v>3298000</x:v>
      </x:c>
    </x:row>
    <x:row r="6655" ht="34" customHeight="1">
      <x:c r="A6655" s="4" t="str">
        <x:v>RS-03336-I2</x:v>
      </x:c>
      <x:c r="B6655" s="4" t="str">
        <x:v>RS-03336</x:v>
      </x:c>
      <x:c r="C6655" s="9" t="n">
        <x:v>2</x:v>
      </x:c>
      <x:c r="D6655" s="8" t="n">
        <x:v>45507</x:v>
      </x:c>
      <x:c r="E6655" s="9" t="n">
        <x:v>3298000</x:v>
      </x:c>
      <x:c r="F6655" s="9" t="n">
        <x:v>3298000</x:v>
      </x:c>
    </x:row>
    <x:row r="6656" ht="34" customHeight="1">
      <x:c r="A6656" s="4" t="str">
        <x:v>RS-03336-I3</x:v>
      </x:c>
      <x:c r="B6656" s="4" t="str">
        <x:v>RS-03336</x:v>
      </x:c>
      <x:c r="C6656" s="9" t="n">
        <x:v>3</x:v>
      </x:c>
      <x:c r="D6656" s="8" t="n">
        <x:v>45537</x:v>
      </x:c>
      <x:c r="E6656" s="9" t="n">
        <x:v>3298000</x:v>
      </x:c>
      <x:c r="F6656" s="9" t="n">
        <x:v>3298000</x:v>
      </x:c>
    </x:row>
    <x:row r="6657" ht="34" customHeight="1">
      <x:c r="A6657" s="4" t="str">
        <x:v>RS-03336-I4</x:v>
      </x:c>
      <x:c r="B6657" s="4" t="str">
        <x:v>RS-03336</x:v>
      </x:c>
      <x:c r="C6657" s="9" t="n">
        <x:v>4</x:v>
      </x:c>
      <x:c r="D6657" s="8" t="n">
        <x:v>45567</x:v>
      </x:c>
      <x:c r="E6657" s="9" t="n">
        <x:v>3298000</x:v>
      </x:c>
      <x:c r="F6657" s="9" t="n">
        <x:v>3298000</x:v>
      </x:c>
    </x:row>
    <x:row r="6658" ht="34" customHeight="1">
      <x:c r="A6658" s="4" t="str">
        <x:v>RS-03338-I1</x:v>
      </x:c>
      <x:c r="B6658" s="4" t="str">
        <x:v>RS-03338</x:v>
      </x:c>
      <x:c r="C6658" s="9" t="n">
        <x:v>1</x:v>
      </x:c>
      <x:c r="D6658" s="8" t="n">
        <x:v>45479</x:v>
      </x:c>
      <x:c r="E6658" s="9" t="n">
        <x:v>851000</x:v>
      </x:c>
      <x:c r="F6658" s="9" t="n">
        <x:v>340400</x:v>
      </x:c>
    </x:row>
    <x:row r="6659" ht="34" customHeight="1">
      <x:c r="A6659" s="4" t="str">
        <x:v>RS-03338-I2</x:v>
      </x:c>
      <x:c r="B6659" s="4" t="str">
        <x:v>RS-03338</x:v>
      </x:c>
      <x:c r="C6659" s="9" t="n">
        <x:v>2</x:v>
      </x:c>
      <x:c r="D6659" s="8" t="n">
        <x:v>45509</x:v>
      </x:c>
      <x:c r="E6659" s="9" t="n">
        <x:v>851000</x:v>
      </x:c>
      <x:c r="F6659" s="9" t="n">
        <x:v>0</x:v>
      </x:c>
    </x:row>
    <x:row r="6660" ht="34" customHeight="1">
      <x:c r="A6660" s="4" t="str">
        <x:v>RS-03338-I3</x:v>
      </x:c>
      <x:c r="B6660" s="4" t="str">
        <x:v>RS-03338</x:v>
      </x:c>
      <x:c r="C6660" s="9" t="n">
        <x:v>3</x:v>
      </x:c>
      <x:c r="D6660" s="8" t="n">
        <x:v>45539</x:v>
      </x:c>
      <x:c r="E6660" s="9" t="n">
        <x:v>851000</x:v>
      </x:c>
      <x:c r="F6660" s="9" t="n">
        <x:v>0</x:v>
      </x:c>
    </x:row>
    <x:row r="6661" ht="34" customHeight="1">
      <x:c r="A6661" s="4" t="str">
        <x:v>RS-03338-I4</x:v>
      </x:c>
      <x:c r="B6661" s="4" t="str">
        <x:v>RS-03338</x:v>
      </x:c>
      <x:c r="C6661" s="9" t="n">
        <x:v>4</x:v>
      </x:c>
      <x:c r="D6661" s="8" t="n">
        <x:v>45569</x:v>
      </x:c>
      <x:c r="E6661" s="9" t="n">
        <x:v>851000</x:v>
      </x:c>
      <x:c r="F6661" s="9" t="n">
        <x:v>0</x:v>
      </x:c>
    </x:row>
    <x:row r="6662" ht="34" customHeight="1">
      <x:c r="A6662" s="4" t="str">
        <x:v>RS-03339-I1</x:v>
      </x:c>
      <x:c r="B6662" s="4" t="str">
        <x:v>RS-03339</x:v>
      </x:c>
      <x:c r="C6662" s="9" t="n">
        <x:v>1</x:v>
      </x:c>
      <x:c r="D6662" s="8" t="n">
        <x:v>45480</x:v>
      </x:c>
      <x:c r="E6662" s="9" t="n">
        <x:v>4950000</x:v>
      </x:c>
      <x:c r="F6662" s="9" t="n">
        <x:v>1980000</x:v>
      </x:c>
    </x:row>
    <x:row r="6663" ht="34" customHeight="1">
      <x:c r="A6663" s="4" t="str">
        <x:v>RS-03339-I2</x:v>
      </x:c>
      <x:c r="B6663" s="4" t="str">
        <x:v>RS-03339</x:v>
      </x:c>
      <x:c r="C6663" s="9" t="n">
        <x:v>2</x:v>
      </x:c>
      <x:c r="D6663" s="8" t="n">
        <x:v>45510</x:v>
      </x:c>
      <x:c r="E6663" s="9" t="n">
        <x:v>4950000</x:v>
      </x:c>
      <x:c r="F6663" s="9" t="n">
        <x:v>0</x:v>
      </x:c>
    </x:row>
    <x:row r="6664" ht="34" customHeight="1">
      <x:c r="A6664" s="4" t="str">
        <x:v>RS-03339-I3</x:v>
      </x:c>
      <x:c r="B6664" s="4" t="str">
        <x:v>RS-03339</x:v>
      </x:c>
      <x:c r="C6664" s="9" t="n">
        <x:v>3</x:v>
      </x:c>
      <x:c r="D6664" s="8" t="n">
        <x:v>45540</x:v>
      </x:c>
      <x:c r="E6664" s="9" t="n">
        <x:v>4950000</x:v>
      </x:c>
      <x:c r="F6664" s="9" t="n">
        <x:v>0</x:v>
      </x:c>
    </x:row>
    <x:row r="6665" ht="34" customHeight="1">
      <x:c r="A6665" s="4" t="str">
        <x:v>RS-03339-I4</x:v>
      </x:c>
      <x:c r="B6665" s="4" t="str">
        <x:v>RS-03339</x:v>
      </x:c>
      <x:c r="C6665" s="9" t="n">
        <x:v>4</x:v>
      </x:c>
      <x:c r="D6665" s="8" t="n">
        <x:v>45570</x:v>
      </x:c>
      <x:c r="E6665" s="9" t="n">
        <x:v>4950000</x:v>
      </x:c>
      <x:c r="F6665" s="9" t="n">
        <x:v>0</x:v>
      </x:c>
    </x:row>
    <x:row r="6666" ht="34" customHeight="1">
      <x:c r="A6666" s="4" t="str">
        <x:v>RS-03340-I1</x:v>
      </x:c>
      <x:c r="B6666" s="4" t="str">
        <x:v>RS-03340</x:v>
      </x:c>
      <x:c r="C6666" s="9" t="n">
        <x:v>1</x:v>
      </x:c>
      <x:c r="D6666" s="8" t="n">
        <x:v>45481</x:v>
      </x:c>
      <x:c r="E6666" s="9" t="n">
        <x:v>2773000</x:v>
      </x:c>
      <x:c r="F6666" s="9" t="n">
        <x:v>2773000</x:v>
      </x:c>
    </x:row>
    <x:row r="6667" ht="34" customHeight="1">
      <x:c r="A6667" s="4" t="str">
        <x:v>RS-03340-I2</x:v>
      </x:c>
      <x:c r="B6667" s="4" t="str">
        <x:v>RS-03340</x:v>
      </x:c>
      <x:c r="C6667" s="9" t="n">
        <x:v>2</x:v>
      </x:c>
      <x:c r="D6667" s="8" t="n">
        <x:v>45511</x:v>
      </x:c>
      <x:c r="E6667" s="9" t="n">
        <x:v>2773000</x:v>
      </x:c>
      <x:c r="F6667" s="9" t="n">
        <x:v>2773000</x:v>
      </x:c>
    </x:row>
    <x:row r="6668" ht="34" customHeight="1">
      <x:c r="A6668" s="4" t="str">
        <x:v>RS-03340-I3</x:v>
      </x:c>
      <x:c r="B6668" s="4" t="str">
        <x:v>RS-03340</x:v>
      </x:c>
      <x:c r="C6668" s="9" t="n">
        <x:v>3</x:v>
      </x:c>
      <x:c r="D6668" s="8" t="n">
        <x:v>45541</x:v>
      </x:c>
      <x:c r="E6668" s="9" t="n">
        <x:v>2773000</x:v>
      </x:c>
      <x:c r="F6668" s="9" t="n">
        <x:v>2773000</x:v>
      </x:c>
    </x:row>
    <x:row r="6669" ht="34" customHeight="1">
      <x:c r="A6669" s="4" t="str">
        <x:v>RS-03340-I4</x:v>
      </x:c>
      <x:c r="B6669" s="4" t="str">
        <x:v>RS-03340</x:v>
      </x:c>
      <x:c r="C6669" s="9" t="n">
        <x:v>4</x:v>
      </x:c>
      <x:c r="D6669" s="8" t="n">
        <x:v>45571</x:v>
      </x:c>
      <x:c r="E6669" s="9" t="n">
        <x:v>2773000</x:v>
      </x:c>
      <x:c r="F6669" s="9" t="n">
        <x:v>2773000</x:v>
      </x:c>
    </x:row>
    <x:row r="6670" ht="34" customHeight="1">
      <x:c r="A6670" s="4" t="str">
        <x:v>RS-03342-I1</x:v>
      </x:c>
      <x:c r="B6670" s="4" t="str">
        <x:v>RS-03342</x:v>
      </x:c>
      <x:c r="C6670" s="9" t="n">
        <x:v>1</x:v>
      </x:c>
      <x:c r="D6670" s="8" t="n">
        <x:v>45483</x:v>
      </x:c>
      <x:c r="E6670" s="9" t="n">
        <x:v>3168000</x:v>
      </x:c>
      <x:c r="F6670" s="9" t="n">
        <x:v>3168000</x:v>
      </x:c>
    </x:row>
    <x:row r="6671" ht="34" customHeight="1">
      <x:c r="A6671" s="4" t="str">
        <x:v>RS-03342-I2</x:v>
      </x:c>
      <x:c r="B6671" s="4" t="str">
        <x:v>RS-03342</x:v>
      </x:c>
      <x:c r="C6671" s="9" t="n">
        <x:v>2</x:v>
      </x:c>
      <x:c r="D6671" s="8" t="n">
        <x:v>45513</x:v>
      </x:c>
      <x:c r="E6671" s="9" t="n">
        <x:v>3168000</x:v>
      </x:c>
      <x:c r="F6671" s="9" t="n">
        <x:v>3168000</x:v>
      </x:c>
    </x:row>
    <x:row r="6672" ht="34" customHeight="1">
      <x:c r="A6672" s="4" t="str">
        <x:v>RS-03342-I3</x:v>
      </x:c>
      <x:c r="B6672" s="4" t="str">
        <x:v>RS-03342</x:v>
      </x:c>
      <x:c r="C6672" s="9" t="n">
        <x:v>3</x:v>
      </x:c>
      <x:c r="D6672" s="8" t="n">
        <x:v>45543</x:v>
      </x:c>
      <x:c r="E6672" s="9" t="n">
        <x:v>3168000</x:v>
      </x:c>
      <x:c r="F6672" s="9" t="n">
        <x:v>0</x:v>
      </x:c>
    </x:row>
    <x:row r="6673" ht="34" customHeight="1">
      <x:c r="A6673" s="4" t="str">
        <x:v>RS-03342-I4</x:v>
      </x:c>
      <x:c r="B6673" s="4" t="str">
        <x:v>RS-03342</x:v>
      </x:c>
      <x:c r="C6673" s="9" t="n">
        <x:v>4</x:v>
      </x:c>
      <x:c r="D6673" s="8" t="n">
        <x:v>45573</x:v>
      </x:c>
      <x:c r="E6673" s="9" t="n">
        <x:v>3168000</x:v>
      </x:c>
      <x:c r="F6673" s="9" t="n">
        <x:v>0</x:v>
      </x:c>
    </x:row>
    <x:row r="6674" ht="34" customHeight="1">
      <x:c r="A6674" s="4" t="str">
        <x:v>RS-03343-I1</x:v>
      </x:c>
      <x:c r="B6674" s="4" t="str">
        <x:v>RS-03343</x:v>
      </x:c>
      <x:c r="C6674" s="9" t="n">
        <x:v>1</x:v>
      </x:c>
      <x:c r="D6674" s="8" t="n">
        <x:v>45484</x:v>
      </x:c>
      <x:c r="E6674" s="9" t="n">
        <x:v>4673250</x:v>
      </x:c>
      <x:c r="F6674" s="9" t="n">
        <x:v>4673250</x:v>
      </x:c>
    </x:row>
    <x:row r="6675" ht="34" customHeight="1">
      <x:c r="A6675" s="4" t="str">
        <x:v>RS-03343-I2</x:v>
      </x:c>
      <x:c r="B6675" s="4" t="str">
        <x:v>RS-03343</x:v>
      </x:c>
      <x:c r="C6675" s="9" t="n">
        <x:v>2</x:v>
      </x:c>
      <x:c r="D6675" s="8" t="n">
        <x:v>45514</x:v>
      </x:c>
      <x:c r="E6675" s="9" t="n">
        <x:v>4673250</x:v>
      </x:c>
      <x:c r="F6675" s="9" t="n">
        <x:v>4673250</x:v>
      </x:c>
    </x:row>
    <x:row r="6676" ht="34" customHeight="1">
      <x:c r="A6676" s="4" t="str">
        <x:v>RS-03343-I3</x:v>
      </x:c>
      <x:c r="B6676" s="4" t="str">
        <x:v>RS-03343</x:v>
      </x:c>
      <x:c r="C6676" s="9" t="n">
        <x:v>3</x:v>
      </x:c>
      <x:c r="D6676" s="8" t="n">
        <x:v>45544</x:v>
      </x:c>
      <x:c r="E6676" s="9" t="n">
        <x:v>4673250</x:v>
      </x:c>
      <x:c r="F6676" s="9" t="n">
        <x:v>4673250</x:v>
      </x:c>
    </x:row>
    <x:row r="6677" ht="34" customHeight="1">
      <x:c r="A6677" s="4" t="str">
        <x:v>RS-03343-I4</x:v>
      </x:c>
      <x:c r="B6677" s="4" t="str">
        <x:v>RS-03343</x:v>
      </x:c>
      <x:c r="C6677" s="9" t="n">
        <x:v>4</x:v>
      </x:c>
      <x:c r="D6677" s="8" t="n">
        <x:v>45574</x:v>
      </x:c>
      <x:c r="E6677" s="9" t="n">
        <x:v>4673250</x:v>
      </x:c>
      <x:c r="F6677" s="9" t="n">
        <x:v>4673250</x:v>
      </x:c>
    </x:row>
    <x:row r="6678" ht="34" customHeight="1">
      <x:c r="A6678" s="4" t="str">
        <x:v>RS-03345-I1</x:v>
      </x:c>
      <x:c r="B6678" s="4" t="str">
        <x:v>RS-03345</x:v>
      </x:c>
      <x:c r="C6678" s="9" t="n">
        <x:v>1</x:v>
      </x:c>
      <x:c r="D6678" s="8" t="n">
        <x:v>45486</x:v>
      </x:c>
      <x:c r="E6678" s="9" t="n">
        <x:v>2968750</x:v>
      </x:c>
      <x:c r="F6678" s="9" t="n">
        <x:v>2968750</x:v>
      </x:c>
    </x:row>
    <x:row r="6679" ht="34" customHeight="1">
      <x:c r="A6679" s="4" t="str">
        <x:v>RS-03345-I2</x:v>
      </x:c>
      <x:c r="B6679" s="4" t="str">
        <x:v>RS-03345</x:v>
      </x:c>
      <x:c r="C6679" s="9" t="n">
        <x:v>2</x:v>
      </x:c>
      <x:c r="D6679" s="8" t="n">
        <x:v>45516</x:v>
      </x:c>
      <x:c r="E6679" s="9" t="n">
        <x:v>2968750</x:v>
      </x:c>
      <x:c r="F6679" s="9" t="n">
        <x:v>2968750</x:v>
      </x:c>
    </x:row>
    <x:row r="6680" ht="34" customHeight="1">
      <x:c r="A6680" s="4" t="str">
        <x:v>RS-03345-I3</x:v>
      </x:c>
      <x:c r="B6680" s="4" t="str">
        <x:v>RS-03345</x:v>
      </x:c>
      <x:c r="C6680" s="9" t="n">
        <x:v>3</x:v>
      </x:c>
      <x:c r="D6680" s="8" t="n">
        <x:v>45546</x:v>
      </x:c>
      <x:c r="E6680" s="9" t="n">
        <x:v>2968750</x:v>
      </x:c>
      <x:c r="F6680" s="9" t="n">
        <x:v>2968750</x:v>
      </x:c>
    </x:row>
    <x:row r="6681" ht="34" customHeight="1">
      <x:c r="A6681" s="4" t="str">
        <x:v>RS-03345-I4</x:v>
      </x:c>
      <x:c r="B6681" s="4" t="str">
        <x:v>RS-03345</x:v>
      </x:c>
      <x:c r="C6681" s="9" t="n">
        <x:v>4</x:v>
      </x:c>
      <x:c r="D6681" s="8" t="n">
        <x:v>45576</x:v>
      </x:c>
      <x:c r="E6681" s="9" t="n">
        <x:v>2968750</x:v>
      </x:c>
      <x:c r="F6681" s="9" t="n">
        <x:v>2968750</x:v>
      </x:c>
    </x:row>
    <x:row r="6682" ht="34" customHeight="1">
      <x:c r="A6682" s="4" t="str">
        <x:v>RS-03350-I1</x:v>
      </x:c>
      <x:c r="B6682" s="4" t="str">
        <x:v>RS-03350</x:v>
      </x:c>
      <x:c r="C6682" s="9" t="n">
        <x:v>1</x:v>
      </x:c>
      <x:c r="D6682" s="8" t="n">
        <x:v>45491</x:v>
      </x:c>
      <x:c r="E6682" s="9" t="n">
        <x:v>2808000</x:v>
      </x:c>
      <x:c r="F6682" s="9" t="n">
        <x:v>1123200</x:v>
      </x:c>
    </x:row>
    <x:row r="6683" ht="34" customHeight="1">
      <x:c r="A6683" s="4" t="str">
        <x:v>RS-03350-I2</x:v>
      </x:c>
      <x:c r="B6683" s="4" t="str">
        <x:v>RS-03350</x:v>
      </x:c>
      <x:c r="C6683" s="9" t="n">
        <x:v>2</x:v>
      </x:c>
      <x:c r="D6683" s="8" t="n">
        <x:v>45521</x:v>
      </x:c>
      <x:c r="E6683" s="9" t="n">
        <x:v>2808000</x:v>
      </x:c>
      <x:c r="F6683" s="9" t="n">
        <x:v>0</x:v>
      </x:c>
    </x:row>
    <x:row r="6684" ht="34" customHeight="1">
      <x:c r="A6684" s="4" t="str">
        <x:v>RS-03350-I3</x:v>
      </x:c>
      <x:c r="B6684" s="4" t="str">
        <x:v>RS-03350</x:v>
      </x:c>
      <x:c r="C6684" s="9" t="n">
        <x:v>3</x:v>
      </x:c>
      <x:c r="D6684" s="8" t="n">
        <x:v>45551</x:v>
      </x:c>
      <x:c r="E6684" s="9" t="n">
        <x:v>2808000</x:v>
      </x:c>
      <x:c r="F6684" s="9" t="n">
        <x:v>0</x:v>
      </x:c>
    </x:row>
    <x:row r="6685" ht="34" customHeight="1">
      <x:c r="A6685" s="4" t="str">
        <x:v>RS-03350-I4</x:v>
      </x:c>
      <x:c r="B6685" s="4" t="str">
        <x:v>RS-03350</x:v>
      </x:c>
      <x:c r="C6685" s="9" t="n">
        <x:v>4</x:v>
      </x:c>
      <x:c r="D6685" s="8" t="n">
        <x:v>45581</x:v>
      </x:c>
      <x:c r="E6685" s="9" t="n">
        <x:v>2808000</x:v>
      </x:c>
      <x:c r="F6685" s="9" t="n">
        <x:v>0</x:v>
      </x:c>
    </x:row>
    <x:row r="6686" ht="34" customHeight="1">
      <x:c r="A6686" s="4" t="str">
        <x:v>RS-03351-I1</x:v>
      </x:c>
      <x:c r="B6686" s="4" t="str">
        <x:v>RS-03351</x:v>
      </x:c>
      <x:c r="C6686" s="9" t="n">
        <x:v>1</x:v>
      </x:c>
      <x:c r="D6686" s="8" t="n">
        <x:v>45492</x:v>
      </x:c>
      <x:c r="E6686" s="9" t="n">
        <x:v>4162500</x:v>
      </x:c>
      <x:c r="F6686" s="9" t="n">
        <x:v>4162500</x:v>
      </x:c>
    </x:row>
    <x:row r="6687" ht="34" customHeight="1">
      <x:c r="A6687" s="4" t="str">
        <x:v>RS-03351-I2</x:v>
      </x:c>
      <x:c r="B6687" s="4" t="str">
        <x:v>RS-03351</x:v>
      </x:c>
      <x:c r="C6687" s="9" t="n">
        <x:v>2</x:v>
      </x:c>
      <x:c r="D6687" s="8" t="n">
        <x:v>45522</x:v>
      </x:c>
      <x:c r="E6687" s="9" t="n">
        <x:v>4162500</x:v>
      </x:c>
      <x:c r="F6687" s="9" t="n">
        <x:v>0</x:v>
      </x:c>
    </x:row>
    <x:row r="6688" ht="34" customHeight="1">
      <x:c r="A6688" s="4" t="str">
        <x:v>RS-03351-I3</x:v>
      </x:c>
      <x:c r="B6688" s="4" t="str">
        <x:v>RS-03351</x:v>
      </x:c>
      <x:c r="C6688" s="9" t="n">
        <x:v>3</x:v>
      </x:c>
      <x:c r="D6688" s="8" t="n">
        <x:v>45552</x:v>
      </x:c>
      <x:c r="E6688" s="9" t="n">
        <x:v>4162500</x:v>
      </x:c>
      <x:c r="F6688" s="9" t="n">
        <x:v>0</x:v>
      </x:c>
    </x:row>
    <x:row r="6689" ht="34" customHeight="1">
      <x:c r="A6689" s="4" t="str">
        <x:v>RS-03351-I4</x:v>
      </x:c>
      <x:c r="B6689" s="4" t="str">
        <x:v>RS-03351</x:v>
      </x:c>
      <x:c r="C6689" s="9" t="n">
        <x:v>4</x:v>
      </x:c>
      <x:c r="D6689" s="8" t="n">
        <x:v>45582</x:v>
      </x:c>
      <x:c r="E6689" s="9" t="n">
        <x:v>4162500</x:v>
      </x:c>
      <x:c r="F6689" s="9" t="n">
        <x:v>0</x:v>
      </x:c>
    </x:row>
    <x:row r="6690" ht="34" customHeight="1">
      <x:c r="A6690" s="4" t="str">
        <x:v>RS-03353-I1</x:v>
      </x:c>
      <x:c r="B6690" s="4" t="str">
        <x:v>RS-03353</x:v>
      </x:c>
      <x:c r="C6690" s="9" t="n">
        <x:v>1</x:v>
      </x:c>
      <x:c r="D6690" s="8" t="n">
        <x:v>45494</x:v>
      </x:c>
      <x:c r="E6690" s="9" t="n">
        <x:v>5808000</x:v>
      </x:c>
      <x:c r="F6690" s="9" t="n">
        <x:v>5808000</x:v>
      </x:c>
    </x:row>
    <x:row r="6691" ht="34" customHeight="1">
      <x:c r="A6691" s="4" t="str">
        <x:v>RS-03353-I2</x:v>
      </x:c>
      <x:c r="B6691" s="4" t="str">
        <x:v>RS-03353</x:v>
      </x:c>
      <x:c r="C6691" s="9" t="n">
        <x:v>2</x:v>
      </x:c>
      <x:c r="D6691" s="8" t="n">
        <x:v>45524</x:v>
      </x:c>
      <x:c r="E6691" s="9" t="n">
        <x:v>5808000</x:v>
      </x:c>
      <x:c r="F6691" s="9" t="n">
        <x:v>5808000</x:v>
      </x:c>
    </x:row>
    <x:row r="6692" ht="34" customHeight="1">
      <x:c r="A6692" s="4" t="str">
        <x:v>RS-03353-I3</x:v>
      </x:c>
      <x:c r="B6692" s="4" t="str">
        <x:v>RS-03353</x:v>
      </x:c>
      <x:c r="C6692" s="9" t="n">
        <x:v>3</x:v>
      </x:c>
      <x:c r="D6692" s="8" t="n">
        <x:v>45554</x:v>
      </x:c>
      <x:c r="E6692" s="9" t="n">
        <x:v>5808000</x:v>
      </x:c>
      <x:c r="F6692" s="9" t="n">
        <x:v>5808000</x:v>
      </x:c>
    </x:row>
    <x:row r="6693" ht="34" customHeight="1">
      <x:c r="A6693" s="4" t="str">
        <x:v>RS-03353-I4</x:v>
      </x:c>
      <x:c r="B6693" s="4" t="str">
        <x:v>RS-03353</x:v>
      </x:c>
      <x:c r="C6693" s="9" t="n">
        <x:v>4</x:v>
      </x:c>
      <x:c r="D6693" s="8" t="n">
        <x:v>45584</x:v>
      </x:c>
      <x:c r="E6693" s="9" t="n">
        <x:v>5808000</x:v>
      </x:c>
      <x:c r="F6693" s="9" t="n">
        <x:v>5808000</x:v>
      </x:c>
    </x:row>
    <x:row r="6694" ht="34" customHeight="1">
      <x:c r="A6694" s="4" t="str">
        <x:v>RS-03354-I1</x:v>
      </x:c>
      <x:c r="B6694" s="4" t="str">
        <x:v>RS-03354</x:v>
      </x:c>
      <x:c r="C6694" s="9" t="n">
        <x:v>1</x:v>
      </x:c>
      <x:c r="D6694" s="8" t="n">
        <x:v>45495</x:v>
      </x:c>
      <x:c r="E6694" s="9" t="n">
        <x:v>2278500</x:v>
      </x:c>
      <x:c r="F6694" s="9" t="n">
        <x:v>2278500</x:v>
      </x:c>
    </x:row>
    <x:row r="6695" ht="34" customHeight="1">
      <x:c r="A6695" s="4" t="str">
        <x:v>RS-03354-I2</x:v>
      </x:c>
      <x:c r="B6695" s="4" t="str">
        <x:v>RS-03354</x:v>
      </x:c>
      <x:c r="C6695" s="9" t="n">
        <x:v>2</x:v>
      </x:c>
      <x:c r="D6695" s="8" t="n">
        <x:v>45525</x:v>
      </x:c>
      <x:c r="E6695" s="9" t="n">
        <x:v>2278500</x:v>
      </x:c>
      <x:c r="F6695" s="9" t="n">
        <x:v>2278500</x:v>
      </x:c>
    </x:row>
    <x:row r="6696" ht="34" customHeight="1">
      <x:c r="A6696" s="4" t="str">
        <x:v>RS-03354-I3</x:v>
      </x:c>
      <x:c r="B6696" s="4" t="str">
        <x:v>RS-03354</x:v>
      </x:c>
      <x:c r="C6696" s="9" t="n">
        <x:v>3</x:v>
      </x:c>
      <x:c r="D6696" s="8" t="n">
        <x:v>45555</x:v>
      </x:c>
      <x:c r="E6696" s="9" t="n">
        <x:v>2278500</x:v>
      </x:c>
      <x:c r="F6696" s="9" t="n">
        <x:v>2278500</x:v>
      </x:c>
    </x:row>
    <x:row r="6697" ht="34" customHeight="1">
      <x:c r="A6697" s="4" t="str">
        <x:v>RS-03354-I4</x:v>
      </x:c>
      <x:c r="B6697" s="4" t="str">
        <x:v>RS-03354</x:v>
      </x:c>
      <x:c r="C6697" s="9" t="n">
        <x:v>4</x:v>
      </x:c>
      <x:c r="D6697" s="8" t="n">
        <x:v>45585</x:v>
      </x:c>
      <x:c r="E6697" s="9" t="n">
        <x:v>2278500</x:v>
      </x:c>
      <x:c r="F6697" s="9" t="n">
        <x:v>2278500</x:v>
      </x:c>
    </x:row>
    <x:row r="6698" ht="34" customHeight="1">
      <x:c r="A6698" s="4" t="str">
        <x:v>RS-03355-I1</x:v>
      </x:c>
      <x:c r="B6698" s="4" t="str">
        <x:v>RS-03355</x:v>
      </x:c>
      <x:c r="C6698" s="9" t="n">
        <x:v>1</x:v>
      </x:c>
      <x:c r="D6698" s="8" t="n">
        <x:v>45496</x:v>
      </x:c>
      <x:c r="E6698" s="9" t="n">
        <x:v>2534250</x:v>
      </x:c>
      <x:c r="F6698" s="9" t="n">
        <x:v>2534250</x:v>
      </x:c>
    </x:row>
    <x:row r="6699" ht="34" customHeight="1">
      <x:c r="A6699" s="4" t="str">
        <x:v>RS-03355-I2</x:v>
      </x:c>
      <x:c r="B6699" s="4" t="str">
        <x:v>RS-03355</x:v>
      </x:c>
      <x:c r="C6699" s="9" t="n">
        <x:v>2</x:v>
      </x:c>
      <x:c r="D6699" s="8" t="n">
        <x:v>45526</x:v>
      </x:c>
      <x:c r="E6699" s="9" t="n">
        <x:v>2534250</x:v>
      </x:c>
      <x:c r="F6699" s="9" t="n">
        <x:v>2534250</x:v>
      </x:c>
    </x:row>
    <x:row r="6700" ht="34" customHeight="1">
      <x:c r="A6700" s="4" t="str">
        <x:v>RS-03355-I3</x:v>
      </x:c>
      <x:c r="B6700" s="4" t="str">
        <x:v>RS-03355</x:v>
      </x:c>
      <x:c r="C6700" s="9" t="n">
        <x:v>3</x:v>
      </x:c>
      <x:c r="D6700" s="8" t="n">
        <x:v>45556</x:v>
      </x:c>
      <x:c r="E6700" s="9" t="n">
        <x:v>2534250</x:v>
      </x:c>
      <x:c r="F6700" s="9" t="n">
        <x:v>2534250</x:v>
      </x:c>
    </x:row>
    <x:row r="6701" ht="34" customHeight="1">
      <x:c r="A6701" s="4" t="str">
        <x:v>RS-03355-I4</x:v>
      </x:c>
      <x:c r="B6701" s="4" t="str">
        <x:v>RS-03355</x:v>
      </x:c>
      <x:c r="C6701" s="9" t="n">
        <x:v>4</x:v>
      </x:c>
      <x:c r="D6701" s="8" t="n">
        <x:v>45586</x:v>
      </x:c>
      <x:c r="E6701" s="9" t="n">
        <x:v>2534250</x:v>
      </x:c>
      <x:c r="F6701" s="9" t="n">
        <x:v>2534250</x:v>
      </x:c>
    </x:row>
    <x:row r="6702" ht="34" customHeight="1">
      <x:c r="A6702" s="4" t="str">
        <x:v>RS-03356-I1</x:v>
      </x:c>
      <x:c r="B6702" s="4" t="str">
        <x:v>RS-03356</x:v>
      </x:c>
      <x:c r="C6702" s="9" t="n">
        <x:v>1</x:v>
      </x:c>
      <x:c r="D6702" s="8" t="n">
        <x:v>45497</x:v>
      </x:c>
      <x:c r="E6702" s="9" t="n">
        <x:v>5267500</x:v>
      </x:c>
      <x:c r="F6702" s="9" t="n">
        <x:v>2107000</x:v>
      </x:c>
    </x:row>
    <x:row r="6703" ht="34" customHeight="1">
      <x:c r="A6703" s="4" t="str">
        <x:v>RS-03356-I2</x:v>
      </x:c>
      <x:c r="B6703" s="4" t="str">
        <x:v>RS-03356</x:v>
      </x:c>
      <x:c r="C6703" s="9" t="n">
        <x:v>2</x:v>
      </x:c>
      <x:c r="D6703" s="8" t="n">
        <x:v>45527</x:v>
      </x:c>
      <x:c r="E6703" s="9" t="n">
        <x:v>5267500</x:v>
      </x:c>
      <x:c r="F6703" s="9" t="n">
        <x:v>0</x:v>
      </x:c>
    </x:row>
    <x:row r="6704" ht="34" customHeight="1">
      <x:c r="A6704" s="4" t="str">
        <x:v>RS-03356-I3</x:v>
      </x:c>
      <x:c r="B6704" s="4" t="str">
        <x:v>RS-03356</x:v>
      </x:c>
      <x:c r="C6704" s="9" t="n">
        <x:v>3</x:v>
      </x:c>
      <x:c r="D6704" s="8" t="n">
        <x:v>45557</x:v>
      </x:c>
      <x:c r="E6704" s="9" t="n">
        <x:v>5267500</x:v>
      </x:c>
      <x:c r="F6704" s="9" t="n">
        <x:v>0</x:v>
      </x:c>
    </x:row>
    <x:row r="6705" ht="34" customHeight="1">
      <x:c r="A6705" s="4" t="str">
        <x:v>RS-03356-I4</x:v>
      </x:c>
      <x:c r="B6705" s="4" t="str">
        <x:v>RS-03356</x:v>
      </x:c>
      <x:c r="C6705" s="9" t="n">
        <x:v>4</x:v>
      </x:c>
      <x:c r="D6705" s="8" t="n">
        <x:v>45587</x:v>
      </x:c>
      <x:c r="E6705" s="9" t="n">
        <x:v>5267500</x:v>
      </x:c>
      <x:c r="F6705" s="9" t="n">
        <x:v>0</x:v>
      </x:c>
    </x:row>
    <x:row r="6706" ht="34" customHeight="1">
      <x:c r="A6706" s="4" t="str">
        <x:v>RS-03357-I1</x:v>
      </x:c>
      <x:c r="B6706" s="4" t="str">
        <x:v>RS-03357</x:v>
      </x:c>
      <x:c r="C6706" s="9" t="n">
        <x:v>1</x:v>
      </x:c>
      <x:c r="D6706" s="8" t="n">
        <x:v>45498</x:v>
      </x:c>
      <x:c r="E6706" s="9" t="n">
        <x:v>5164250</x:v>
      </x:c>
      <x:c r="F6706" s="9" t="n">
        <x:v>5164250</x:v>
      </x:c>
    </x:row>
    <x:row r="6707" ht="34" customHeight="1">
      <x:c r="A6707" s="4" t="str">
        <x:v>RS-03357-I2</x:v>
      </x:c>
      <x:c r="B6707" s="4" t="str">
        <x:v>RS-03357</x:v>
      </x:c>
      <x:c r="C6707" s="9" t="n">
        <x:v>2</x:v>
      </x:c>
      <x:c r="D6707" s="8" t="n">
        <x:v>45528</x:v>
      </x:c>
      <x:c r="E6707" s="9" t="n">
        <x:v>5164250</x:v>
      </x:c>
      <x:c r="F6707" s="9" t="n">
        <x:v>5164250</x:v>
      </x:c>
    </x:row>
    <x:row r="6708" ht="34" customHeight="1">
      <x:c r="A6708" s="4" t="str">
        <x:v>RS-03357-I3</x:v>
      </x:c>
      <x:c r="B6708" s="4" t="str">
        <x:v>RS-03357</x:v>
      </x:c>
      <x:c r="C6708" s="9" t="n">
        <x:v>3</x:v>
      </x:c>
      <x:c r="D6708" s="8" t="n">
        <x:v>45558</x:v>
      </x:c>
      <x:c r="E6708" s="9" t="n">
        <x:v>5164250</x:v>
      </x:c>
      <x:c r="F6708" s="9" t="n">
        <x:v>5164250</x:v>
      </x:c>
    </x:row>
    <x:row r="6709" ht="34" customHeight="1">
      <x:c r="A6709" s="4" t="str">
        <x:v>RS-03357-I4</x:v>
      </x:c>
      <x:c r="B6709" s="4" t="str">
        <x:v>RS-03357</x:v>
      </x:c>
      <x:c r="C6709" s="9" t="n">
        <x:v>4</x:v>
      </x:c>
      <x:c r="D6709" s="8" t="n">
        <x:v>45588</x:v>
      </x:c>
      <x:c r="E6709" s="9" t="n">
        <x:v>5164250</x:v>
      </x:c>
      <x:c r="F6709" s="9" t="n">
        <x:v>5164250</x:v>
      </x:c>
    </x:row>
    <x:row r="6710" ht="34" customHeight="1">
      <x:c r="A6710" s="4" t="str">
        <x:v>RS-03358-I1</x:v>
      </x:c>
      <x:c r="B6710" s="4" t="str">
        <x:v>RS-03358</x:v>
      </x:c>
      <x:c r="C6710" s="9" t="n">
        <x:v>1</x:v>
      </x:c>
      <x:c r="D6710" s="8" t="n">
        <x:v>45499</x:v>
      </x:c>
      <x:c r="E6710" s="9" t="n">
        <x:v>3174000</x:v>
      </x:c>
      <x:c r="F6710" s="9" t="n">
        <x:v>3174000</x:v>
      </x:c>
    </x:row>
    <x:row r="6711" ht="34" customHeight="1">
      <x:c r="A6711" s="4" t="str">
        <x:v>RS-03358-I2</x:v>
      </x:c>
      <x:c r="B6711" s="4" t="str">
        <x:v>RS-03358</x:v>
      </x:c>
      <x:c r="C6711" s="9" t="n">
        <x:v>2</x:v>
      </x:c>
      <x:c r="D6711" s="8" t="n">
        <x:v>45529</x:v>
      </x:c>
      <x:c r="E6711" s="9" t="n">
        <x:v>3174000</x:v>
      </x:c>
      <x:c r="F6711" s="9" t="n">
        <x:v>3174000</x:v>
      </x:c>
    </x:row>
    <x:row r="6712" ht="34" customHeight="1">
      <x:c r="A6712" s="4" t="str">
        <x:v>RS-03358-I3</x:v>
      </x:c>
      <x:c r="B6712" s="4" t="str">
        <x:v>RS-03358</x:v>
      </x:c>
      <x:c r="C6712" s="9" t="n">
        <x:v>3</x:v>
      </x:c>
      <x:c r="D6712" s="8" t="n">
        <x:v>45559</x:v>
      </x:c>
      <x:c r="E6712" s="9" t="n">
        <x:v>3174000</x:v>
      </x:c>
      <x:c r="F6712" s="9" t="n">
        <x:v>0</x:v>
      </x:c>
    </x:row>
    <x:row r="6713" ht="34" customHeight="1">
      <x:c r="A6713" s="4" t="str">
        <x:v>RS-03358-I4</x:v>
      </x:c>
      <x:c r="B6713" s="4" t="str">
        <x:v>RS-03358</x:v>
      </x:c>
      <x:c r="C6713" s="9" t="n">
        <x:v>4</x:v>
      </x:c>
      <x:c r="D6713" s="8" t="n">
        <x:v>45589</x:v>
      </x:c>
      <x:c r="E6713" s="9" t="n">
        <x:v>3174000</x:v>
      </x:c>
      <x:c r="F6713" s="9" t="n">
        <x:v>0</x:v>
      </x:c>
    </x:row>
    <x:row r="6714" ht="34" customHeight="1">
      <x:c r="A6714" s="4" t="str">
        <x:v>RS-03359-I1</x:v>
      </x:c>
      <x:c r="B6714" s="4" t="str">
        <x:v>RS-03359</x:v>
      </x:c>
      <x:c r="C6714" s="9" t="n">
        <x:v>1</x:v>
      </x:c>
      <x:c r="D6714" s="8" t="n">
        <x:v>45500</x:v>
      </x:c>
      <x:c r="E6714" s="9" t="n">
        <x:v>4095000</x:v>
      </x:c>
      <x:c r="F6714" s="9" t="n">
        <x:v>4095000</x:v>
      </x:c>
    </x:row>
    <x:row r="6715" ht="34" customHeight="1">
      <x:c r="A6715" s="4" t="str">
        <x:v>RS-03359-I2</x:v>
      </x:c>
      <x:c r="B6715" s="4" t="str">
        <x:v>RS-03359</x:v>
      </x:c>
      <x:c r="C6715" s="9" t="n">
        <x:v>2</x:v>
      </x:c>
      <x:c r="D6715" s="8" t="n">
        <x:v>45530</x:v>
      </x:c>
      <x:c r="E6715" s="9" t="n">
        <x:v>4095000</x:v>
      </x:c>
      <x:c r="F6715" s="9" t="n">
        <x:v>4095000</x:v>
      </x:c>
    </x:row>
    <x:row r="6716" ht="34" customHeight="1">
      <x:c r="A6716" s="4" t="str">
        <x:v>RS-03359-I3</x:v>
      </x:c>
      <x:c r="B6716" s="4" t="str">
        <x:v>RS-03359</x:v>
      </x:c>
      <x:c r="C6716" s="9" t="n">
        <x:v>3</x:v>
      </x:c>
      <x:c r="D6716" s="8" t="n">
        <x:v>45560</x:v>
      </x:c>
      <x:c r="E6716" s="9" t="n">
        <x:v>4095000</x:v>
      </x:c>
      <x:c r="F6716" s="9" t="n">
        <x:v>4095000</x:v>
      </x:c>
    </x:row>
    <x:row r="6717" ht="34" customHeight="1">
      <x:c r="A6717" s="4" t="str">
        <x:v>RS-03359-I4</x:v>
      </x:c>
      <x:c r="B6717" s="4" t="str">
        <x:v>RS-03359</x:v>
      </x:c>
      <x:c r="C6717" s="9" t="n">
        <x:v>4</x:v>
      </x:c>
      <x:c r="D6717" s="8" t="n">
        <x:v>45590</x:v>
      </x:c>
      <x:c r="E6717" s="9" t="n">
        <x:v>4095000</x:v>
      </x:c>
      <x:c r="F6717" s="9" t="n">
        <x:v>4095000</x:v>
      </x:c>
    </x:row>
    <x:row r="6718" ht="34" customHeight="1">
      <x:c r="A6718" s="4" t="str">
        <x:v>RS-03360-I1</x:v>
      </x:c>
      <x:c r="B6718" s="4" t="str">
        <x:v>RS-03360</x:v>
      </x:c>
      <x:c r="C6718" s="9" t="n">
        <x:v>1</x:v>
      </x:c>
      <x:c r="D6718" s="8" t="n">
        <x:v>45501</x:v>
      </x:c>
      <x:c r="E6718" s="9" t="n">
        <x:v>2688000</x:v>
      </x:c>
      <x:c r="F6718" s="9" t="n">
        <x:v>2688000</x:v>
      </x:c>
    </x:row>
    <x:row r="6719" ht="34" customHeight="1">
      <x:c r="A6719" s="4" t="str">
        <x:v>RS-03360-I2</x:v>
      </x:c>
      <x:c r="B6719" s="4" t="str">
        <x:v>RS-03360</x:v>
      </x:c>
      <x:c r="C6719" s="9" t="n">
        <x:v>2</x:v>
      </x:c>
      <x:c r="D6719" s="8" t="n">
        <x:v>45531</x:v>
      </x:c>
      <x:c r="E6719" s="9" t="n">
        <x:v>2688000</x:v>
      </x:c>
      <x:c r="F6719" s="9" t="n">
        <x:v>2688000</x:v>
      </x:c>
    </x:row>
    <x:row r="6720" ht="34" customHeight="1">
      <x:c r="A6720" s="4" t="str">
        <x:v>RS-03360-I3</x:v>
      </x:c>
      <x:c r="B6720" s="4" t="str">
        <x:v>RS-03360</x:v>
      </x:c>
      <x:c r="C6720" s="9" t="n">
        <x:v>3</x:v>
      </x:c>
      <x:c r="D6720" s="8" t="n">
        <x:v>45561</x:v>
      </x:c>
      <x:c r="E6720" s="9" t="n">
        <x:v>2688000</x:v>
      </x:c>
      <x:c r="F6720" s="9" t="n">
        <x:v>2688000</x:v>
      </x:c>
    </x:row>
    <x:row r="6721" ht="34" customHeight="1">
      <x:c r="A6721" s="4" t="str">
        <x:v>RS-03360-I4</x:v>
      </x:c>
      <x:c r="B6721" s="4" t="str">
        <x:v>RS-03360</x:v>
      </x:c>
      <x:c r="C6721" s="9" t="n">
        <x:v>4</x:v>
      </x:c>
      <x:c r="D6721" s="8" t="n">
        <x:v>45591</x:v>
      </x:c>
      <x:c r="E6721" s="9" t="n">
        <x:v>2688000</x:v>
      </x:c>
      <x:c r="F6721" s="9" t="n">
        <x:v>2688000</x:v>
      </x:c>
    </x:row>
    <x:row r="6722" ht="34" customHeight="1">
      <x:c r="A6722" s="4" t="str">
        <x:v>RS-03366-I1</x:v>
      </x:c>
      <x:c r="B6722" s="4" t="str">
        <x:v>RS-03366</x:v>
      </x:c>
      <x:c r="C6722" s="9" t="n">
        <x:v>1</x:v>
      </x:c>
      <x:c r="D6722" s="8" t="n">
        <x:v>45479</x:v>
      </x:c>
      <x:c r="E6722" s="9" t="n">
        <x:v>980000</x:v>
      </x:c>
      <x:c r="F6722" s="9" t="n">
        <x:v>392000</x:v>
      </x:c>
    </x:row>
    <x:row r="6723" ht="34" customHeight="1">
      <x:c r="A6723" s="4" t="str">
        <x:v>RS-03366-I2</x:v>
      </x:c>
      <x:c r="B6723" s="4" t="str">
        <x:v>RS-03366</x:v>
      </x:c>
      <x:c r="C6723" s="9" t="n">
        <x:v>2</x:v>
      </x:c>
      <x:c r="D6723" s="8" t="n">
        <x:v>45509</x:v>
      </x:c>
      <x:c r="E6723" s="9" t="n">
        <x:v>980000</x:v>
      </x:c>
      <x:c r="F6723" s="9" t="n">
        <x:v>0</x:v>
      </x:c>
    </x:row>
    <x:row r="6724" ht="34" customHeight="1">
      <x:c r="A6724" s="4" t="str">
        <x:v>RS-03366-I3</x:v>
      </x:c>
      <x:c r="B6724" s="4" t="str">
        <x:v>RS-03366</x:v>
      </x:c>
      <x:c r="C6724" s="9" t="n">
        <x:v>3</x:v>
      </x:c>
      <x:c r="D6724" s="8" t="n">
        <x:v>45539</x:v>
      </x:c>
      <x:c r="E6724" s="9" t="n">
        <x:v>980000</x:v>
      </x:c>
      <x:c r="F6724" s="9" t="n">
        <x:v>0</x:v>
      </x:c>
    </x:row>
    <x:row r="6725" ht="34" customHeight="1">
      <x:c r="A6725" s="4" t="str">
        <x:v>RS-03366-I4</x:v>
      </x:c>
      <x:c r="B6725" s="4" t="str">
        <x:v>RS-03366</x:v>
      </x:c>
      <x:c r="C6725" s="9" t="n">
        <x:v>4</x:v>
      </x:c>
      <x:c r="D6725" s="8" t="n">
        <x:v>45569</x:v>
      </x:c>
      <x:c r="E6725" s="9" t="n">
        <x:v>980000</x:v>
      </x:c>
      <x:c r="F6725" s="9" t="n">
        <x:v>0</x:v>
      </x:c>
    </x:row>
    <x:row r="6726" ht="34" customHeight="1">
      <x:c r="A6726" s="4" t="str">
        <x:v>RS-03367-I1</x:v>
      </x:c>
      <x:c r="B6726" s="4" t="str">
        <x:v>RS-03367</x:v>
      </x:c>
      <x:c r="C6726" s="9" t="n">
        <x:v>1</x:v>
      </x:c>
      <x:c r="D6726" s="8" t="n">
        <x:v>45480</x:v>
      </x:c>
      <x:c r="E6726" s="9" t="n">
        <x:v>3895000</x:v>
      </x:c>
      <x:c r="F6726" s="9" t="n">
        <x:v>3895000</x:v>
      </x:c>
    </x:row>
    <x:row r="6727" ht="34" customHeight="1">
      <x:c r="A6727" s="4" t="str">
        <x:v>RS-03367-I2</x:v>
      </x:c>
      <x:c r="B6727" s="4" t="str">
        <x:v>RS-03367</x:v>
      </x:c>
      <x:c r="C6727" s="9" t="n">
        <x:v>2</x:v>
      </x:c>
      <x:c r="D6727" s="8" t="n">
        <x:v>45510</x:v>
      </x:c>
      <x:c r="E6727" s="9" t="n">
        <x:v>3895000</x:v>
      </x:c>
      <x:c r="F6727" s="9" t="n">
        <x:v>3895000</x:v>
      </x:c>
    </x:row>
    <x:row r="6728" ht="34" customHeight="1">
      <x:c r="A6728" s="4" t="str">
        <x:v>RS-03367-I3</x:v>
      </x:c>
      <x:c r="B6728" s="4" t="str">
        <x:v>RS-03367</x:v>
      </x:c>
      <x:c r="C6728" s="9" t="n">
        <x:v>3</x:v>
      </x:c>
      <x:c r="D6728" s="8" t="n">
        <x:v>45540</x:v>
      </x:c>
      <x:c r="E6728" s="9" t="n">
        <x:v>3895000</x:v>
      </x:c>
      <x:c r="F6728" s="9" t="n">
        <x:v>0</x:v>
      </x:c>
    </x:row>
    <x:row r="6729" ht="34" customHeight="1">
      <x:c r="A6729" s="4" t="str">
        <x:v>RS-03367-I4</x:v>
      </x:c>
      <x:c r="B6729" s="4" t="str">
        <x:v>RS-03367</x:v>
      </x:c>
      <x:c r="C6729" s="9" t="n">
        <x:v>4</x:v>
      </x:c>
      <x:c r="D6729" s="8" t="n">
        <x:v>45570</x:v>
      </x:c>
      <x:c r="E6729" s="9" t="n">
        <x:v>3895000</x:v>
      </x:c>
      <x:c r="F6729" s="9" t="n">
        <x:v>0</x:v>
      </x:c>
    </x:row>
    <x:row r="6730" ht="34" customHeight="1">
      <x:c r="A6730" s="4" t="str">
        <x:v>RS-03368-I1</x:v>
      </x:c>
      <x:c r="B6730" s="4" t="str">
        <x:v>RS-03368</x:v>
      </x:c>
      <x:c r="C6730" s="9" t="n">
        <x:v>1</x:v>
      </x:c>
      <x:c r="D6730" s="8" t="n">
        <x:v>45481</x:v>
      </x:c>
      <x:c r="E6730" s="9" t="n">
        <x:v>3025750</x:v>
      </x:c>
      <x:c r="F6730" s="9" t="n">
        <x:v>1210300</x:v>
      </x:c>
    </x:row>
    <x:row r="6731" ht="34" customHeight="1">
      <x:c r="A6731" s="4" t="str">
        <x:v>RS-03368-I2</x:v>
      </x:c>
      <x:c r="B6731" s="4" t="str">
        <x:v>RS-03368</x:v>
      </x:c>
      <x:c r="C6731" s="9" t="n">
        <x:v>2</x:v>
      </x:c>
      <x:c r="D6731" s="8" t="n">
        <x:v>45511</x:v>
      </x:c>
      <x:c r="E6731" s="9" t="n">
        <x:v>3025750</x:v>
      </x:c>
      <x:c r="F6731" s="9" t="n">
        <x:v>0</x:v>
      </x:c>
    </x:row>
    <x:row r="6732" ht="34" customHeight="1">
      <x:c r="A6732" s="4" t="str">
        <x:v>RS-03368-I3</x:v>
      </x:c>
      <x:c r="B6732" s="4" t="str">
        <x:v>RS-03368</x:v>
      </x:c>
      <x:c r="C6732" s="9" t="n">
        <x:v>3</x:v>
      </x:c>
      <x:c r="D6732" s="8" t="n">
        <x:v>45541</x:v>
      </x:c>
      <x:c r="E6732" s="9" t="n">
        <x:v>3025750</x:v>
      </x:c>
      <x:c r="F6732" s="9" t="n">
        <x:v>0</x:v>
      </x:c>
    </x:row>
    <x:row r="6733" ht="34" customHeight="1">
      <x:c r="A6733" s="4" t="str">
        <x:v>RS-03368-I4</x:v>
      </x:c>
      <x:c r="B6733" s="4" t="str">
        <x:v>RS-03368</x:v>
      </x:c>
      <x:c r="C6733" s="9" t="n">
        <x:v>4</x:v>
      </x:c>
      <x:c r="D6733" s="8" t="n">
        <x:v>45571</x:v>
      </x:c>
      <x:c r="E6733" s="9" t="n">
        <x:v>3025750</x:v>
      </x:c>
      <x:c r="F6733" s="9" t="n">
        <x:v>0</x:v>
      </x:c>
    </x:row>
    <x:row r="6734" ht="34" customHeight="1">
      <x:c r="A6734" s="4" t="str">
        <x:v>RS-03371-I1</x:v>
      </x:c>
      <x:c r="B6734" s="4" t="str">
        <x:v>RS-03371</x:v>
      </x:c>
      <x:c r="C6734" s="9" t="n">
        <x:v>1</x:v>
      </x:c>
      <x:c r="D6734" s="8" t="n">
        <x:v>45484</x:v>
      </x:c>
      <x:c r="E6734" s="9" t="n">
        <x:v>1010500</x:v>
      </x:c>
      <x:c r="F6734" s="9" t="n">
        <x:v>1010500</x:v>
      </x:c>
    </x:row>
    <x:row r="6735" ht="34" customHeight="1">
      <x:c r="A6735" s="4" t="str">
        <x:v>RS-03371-I2</x:v>
      </x:c>
      <x:c r="B6735" s="4" t="str">
        <x:v>RS-03371</x:v>
      </x:c>
      <x:c r="C6735" s="9" t="n">
        <x:v>2</x:v>
      </x:c>
      <x:c r="D6735" s="8" t="n">
        <x:v>45514</x:v>
      </x:c>
      <x:c r="E6735" s="9" t="n">
        <x:v>1010500</x:v>
      </x:c>
      <x:c r="F6735" s="9" t="n">
        <x:v>1010500</x:v>
      </x:c>
    </x:row>
    <x:row r="6736" ht="34" customHeight="1">
      <x:c r="A6736" s="4" t="str">
        <x:v>RS-03371-I3</x:v>
      </x:c>
      <x:c r="B6736" s="4" t="str">
        <x:v>RS-03371</x:v>
      </x:c>
      <x:c r="C6736" s="9" t="n">
        <x:v>3</x:v>
      </x:c>
      <x:c r="D6736" s="8" t="n">
        <x:v>45544</x:v>
      </x:c>
      <x:c r="E6736" s="9" t="n">
        <x:v>1010500</x:v>
      </x:c>
      <x:c r="F6736" s="9" t="n">
        <x:v>0</x:v>
      </x:c>
    </x:row>
    <x:row r="6737" ht="34" customHeight="1">
      <x:c r="A6737" s="4" t="str">
        <x:v>RS-03371-I4</x:v>
      </x:c>
      <x:c r="B6737" s="4" t="str">
        <x:v>RS-03371</x:v>
      </x:c>
      <x:c r="C6737" s="9" t="n">
        <x:v>4</x:v>
      </x:c>
      <x:c r="D6737" s="8" t="n">
        <x:v>45574</x:v>
      </x:c>
      <x:c r="E6737" s="9" t="n">
        <x:v>1010500</x:v>
      </x:c>
      <x:c r="F6737" s="9" t="n">
        <x:v>0</x:v>
      </x:c>
    </x:row>
    <x:row r="6738" ht="34" customHeight="1">
      <x:c r="A6738" s="4" t="str">
        <x:v>RS-03372-I1</x:v>
      </x:c>
      <x:c r="B6738" s="4" t="str">
        <x:v>RS-03372</x:v>
      </x:c>
      <x:c r="C6738" s="9" t="n">
        <x:v>1</x:v>
      </x:c>
      <x:c r="D6738" s="8" t="n">
        <x:v>45485</x:v>
      </x:c>
      <x:c r="E6738" s="9" t="n">
        <x:v>1058000</x:v>
      </x:c>
      <x:c r="F6738" s="9" t="n">
        <x:v>1058000</x:v>
      </x:c>
    </x:row>
    <x:row r="6739" ht="34" customHeight="1">
      <x:c r="A6739" s="4" t="str">
        <x:v>RS-03372-I2</x:v>
      </x:c>
      <x:c r="B6739" s="4" t="str">
        <x:v>RS-03372</x:v>
      </x:c>
      <x:c r="C6739" s="9" t="n">
        <x:v>2</x:v>
      </x:c>
      <x:c r="D6739" s="8" t="n">
        <x:v>45515</x:v>
      </x:c>
      <x:c r="E6739" s="9" t="n">
        <x:v>1058000</x:v>
      </x:c>
      <x:c r="F6739" s="9" t="n">
        <x:v>0</x:v>
      </x:c>
    </x:row>
    <x:row r="6740" ht="34" customHeight="1">
      <x:c r="A6740" s="4" t="str">
        <x:v>RS-03372-I3</x:v>
      </x:c>
      <x:c r="B6740" s="4" t="str">
        <x:v>RS-03372</x:v>
      </x:c>
      <x:c r="C6740" s="9" t="n">
        <x:v>3</x:v>
      </x:c>
      <x:c r="D6740" s="8" t="n">
        <x:v>45545</x:v>
      </x:c>
      <x:c r="E6740" s="9" t="n">
        <x:v>1058000</x:v>
      </x:c>
      <x:c r="F6740" s="9" t="n">
        <x:v>0</x:v>
      </x:c>
    </x:row>
    <x:row r="6741" ht="34" customHeight="1">
      <x:c r="A6741" s="4" t="str">
        <x:v>RS-03372-I4</x:v>
      </x:c>
      <x:c r="B6741" s="4" t="str">
        <x:v>RS-03372</x:v>
      </x:c>
      <x:c r="C6741" s="9" t="n">
        <x:v>4</x:v>
      </x:c>
      <x:c r="D6741" s="8" t="n">
        <x:v>45575</x:v>
      </x:c>
      <x:c r="E6741" s="9" t="n">
        <x:v>1058000</x:v>
      </x:c>
      <x:c r="F6741" s="9" t="n">
        <x:v>0</x:v>
      </x:c>
    </x:row>
    <x:row r="6742" ht="34" customHeight="1">
      <x:c r="A6742" s="4" t="str">
        <x:v>RS-03375-I1</x:v>
      </x:c>
      <x:c r="B6742" s="4" t="str">
        <x:v>RS-03375</x:v>
      </x:c>
      <x:c r="C6742" s="9" t="n">
        <x:v>1</x:v>
      </x:c>
      <x:c r="D6742" s="8" t="n">
        <x:v>45488</x:v>
      </x:c>
      <x:c r="E6742" s="9" t="n">
        <x:v>2778750</x:v>
      </x:c>
      <x:c r="F6742" s="9" t="n">
        <x:v>2778750</x:v>
      </x:c>
    </x:row>
    <x:row r="6743" ht="34" customHeight="1">
      <x:c r="A6743" s="4" t="str">
        <x:v>RS-03375-I2</x:v>
      </x:c>
      <x:c r="B6743" s="4" t="str">
        <x:v>RS-03375</x:v>
      </x:c>
      <x:c r="C6743" s="9" t="n">
        <x:v>2</x:v>
      </x:c>
      <x:c r="D6743" s="8" t="n">
        <x:v>45518</x:v>
      </x:c>
      <x:c r="E6743" s="9" t="n">
        <x:v>2778750</x:v>
      </x:c>
      <x:c r="F6743" s="9" t="n">
        <x:v>2778750</x:v>
      </x:c>
    </x:row>
    <x:row r="6744" ht="34" customHeight="1">
      <x:c r="A6744" s="4" t="str">
        <x:v>RS-03375-I3</x:v>
      </x:c>
      <x:c r="B6744" s="4" t="str">
        <x:v>RS-03375</x:v>
      </x:c>
      <x:c r="C6744" s="9" t="n">
        <x:v>3</x:v>
      </x:c>
      <x:c r="D6744" s="8" t="n">
        <x:v>45548</x:v>
      </x:c>
      <x:c r="E6744" s="9" t="n">
        <x:v>2778750</x:v>
      </x:c>
      <x:c r="F6744" s="9" t="n">
        <x:v>0</x:v>
      </x:c>
    </x:row>
    <x:row r="6745" ht="34" customHeight="1">
      <x:c r="A6745" s="4" t="str">
        <x:v>RS-03375-I4</x:v>
      </x:c>
      <x:c r="B6745" s="4" t="str">
        <x:v>RS-03375</x:v>
      </x:c>
      <x:c r="C6745" s="9" t="n">
        <x:v>4</x:v>
      </x:c>
      <x:c r="D6745" s="8" t="n">
        <x:v>45578</x:v>
      </x:c>
      <x:c r="E6745" s="9" t="n">
        <x:v>2778750</x:v>
      </x:c>
      <x:c r="F6745" s="9" t="n">
        <x:v>0</x:v>
      </x:c>
    </x:row>
    <x:row r="6746" ht="34" customHeight="1">
      <x:c r="A6746" s="4" t="str">
        <x:v>RS-03378-I1</x:v>
      </x:c>
      <x:c r="B6746" s="4" t="str">
        <x:v>RS-03378</x:v>
      </x:c>
      <x:c r="C6746" s="9" t="n">
        <x:v>1</x:v>
      </x:c>
      <x:c r="D6746" s="8" t="n">
        <x:v>45491</x:v>
      </x:c>
      <x:c r="E6746" s="9" t="n">
        <x:v>4032000</x:v>
      </x:c>
      <x:c r="F6746" s="9" t="n">
        <x:v>4032000</x:v>
      </x:c>
    </x:row>
    <x:row r="6747" ht="34" customHeight="1">
      <x:c r="A6747" s="4" t="str">
        <x:v>RS-03378-I2</x:v>
      </x:c>
      <x:c r="B6747" s="4" t="str">
        <x:v>RS-03378</x:v>
      </x:c>
      <x:c r="C6747" s="9" t="n">
        <x:v>2</x:v>
      </x:c>
      <x:c r="D6747" s="8" t="n">
        <x:v>45521</x:v>
      </x:c>
      <x:c r="E6747" s="9" t="n">
        <x:v>4032000</x:v>
      </x:c>
      <x:c r="F6747" s="9" t="n">
        <x:v>4032000</x:v>
      </x:c>
    </x:row>
    <x:row r="6748" ht="34" customHeight="1">
      <x:c r="A6748" s="4" t="str">
        <x:v>RS-03378-I3</x:v>
      </x:c>
      <x:c r="B6748" s="4" t="str">
        <x:v>RS-03378</x:v>
      </x:c>
      <x:c r="C6748" s="9" t="n">
        <x:v>3</x:v>
      </x:c>
      <x:c r="D6748" s="8" t="n">
        <x:v>45551</x:v>
      </x:c>
      <x:c r="E6748" s="9" t="n">
        <x:v>4032000</x:v>
      </x:c>
      <x:c r="F6748" s="9" t="n">
        <x:v>0</x:v>
      </x:c>
    </x:row>
    <x:row r="6749" ht="34" customHeight="1">
      <x:c r="A6749" s="4" t="str">
        <x:v>RS-03378-I4</x:v>
      </x:c>
      <x:c r="B6749" s="4" t="str">
        <x:v>RS-03378</x:v>
      </x:c>
      <x:c r="C6749" s="9" t="n">
        <x:v>4</x:v>
      </x:c>
      <x:c r="D6749" s="8" t="n">
        <x:v>45581</x:v>
      </x:c>
      <x:c r="E6749" s="9" t="n">
        <x:v>4032000</x:v>
      </x:c>
      <x:c r="F6749" s="9" t="n">
        <x:v>0</x:v>
      </x:c>
    </x:row>
    <x:row r="6750" ht="34" customHeight="1">
      <x:c r="A6750" s="4" t="str">
        <x:v>RS-03379-I1</x:v>
      </x:c>
      <x:c r="B6750" s="4" t="str">
        <x:v>RS-03379</x:v>
      </x:c>
      <x:c r="C6750" s="9" t="n">
        <x:v>1</x:v>
      </x:c>
      <x:c r="D6750" s="8" t="n">
        <x:v>45492</x:v>
      </x:c>
      <x:c r="E6750" s="9" t="n">
        <x:v>5868500</x:v>
      </x:c>
      <x:c r="F6750" s="9" t="n">
        <x:v>5868500</x:v>
      </x:c>
    </x:row>
    <x:row r="6751" ht="34" customHeight="1">
      <x:c r="A6751" s="4" t="str">
        <x:v>RS-03379-I2</x:v>
      </x:c>
      <x:c r="B6751" s="4" t="str">
        <x:v>RS-03379</x:v>
      </x:c>
      <x:c r="C6751" s="9" t="n">
        <x:v>2</x:v>
      </x:c>
      <x:c r="D6751" s="8" t="n">
        <x:v>45522</x:v>
      </x:c>
      <x:c r="E6751" s="9" t="n">
        <x:v>5868500</x:v>
      </x:c>
      <x:c r="F6751" s="9" t="n">
        <x:v>5868500</x:v>
      </x:c>
    </x:row>
    <x:row r="6752" ht="34" customHeight="1">
      <x:c r="A6752" s="4" t="str">
        <x:v>RS-03379-I3</x:v>
      </x:c>
      <x:c r="B6752" s="4" t="str">
        <x:v>RS-03379</x:v>
      </x:c>
      <x:c r="C6752" s="9" t="n">
        <x:v>3</x:v>
      </x:c>
      <x:c r="D6752" s="8" t="n">
        <x:v>45552</x:v>
      </x:c>
      <x:c r="E6752" s="9" t="n">
        <x:v>5868500</x:v>
      </x:c>
      <x:c r="F6752" s="9" t="n">
        <x:v>5868500</x:v>
      </x:c>
    </x:row>
    <x:row r="6753" ht="34" customHeight="1">
      <x:c r="A6753" s="4" t="str">
        <x:v>RS-03379-I4</x:v>
      </x:c>
      <x:c r="B6753" s="4" t="str">
        <x:v>RS-03379</x:v>
      </x:c>
      <x:c r="C6753" s="9" t="n">
        <x:v>4</x:v>
      </x:c>
      <x:c r="D6753" s="8" t="n">
        <x:v>45582</x:v>
      </x:c>
      <x:c r="E6753" s="9" t="n">
        <x:v>5868500</x:v>
      </x:c>
      <x:c r="F6753" s="9" t="n">
        <x:v>5868500</x:v>
      </x:c>
    </x:row>
    <x:row r="6754" ht="34" customHeight="1">
      <x:c r="A6754" s="4" t="str">
        <x:v>RS-03384-I1</x:v>
      </x:c>
      <x:c r="B6754" s="4" t="str">
        <x:v>RS-03384</x:v>
      </x:c>
      <x:c r="C6754" s="9" t="n">
        <x:v>1</x:v>
      </x:c>
      <x:c r="D6754" s="8" t="n">
        <x:v>45497</x:v>
      </x:c>
      <x:c r="E6754" s="9" t="n">
        <x:v>3264000</x:v>
      </x:c>
      <x:c r="F6754" s="9" t="n">
        <x:v>3264000</x:v>
      </x:c>
    </x:row>
    <x:row r="6755" ht="34" customHeight="1">
      <x:c r="A6755" s="4" t="str">
        <x:v>RS-03384-I2</x:v>
      </x:c>
      <x:c r="B6755" s="4" t="str">
        <x:v>RS-03384</x:v>
      </x:c>
      <x:c r="C6755" s="9" t="n">
        <x:v>2</x:v>
      </x:c>
      <x:c r="D6755" s="8" t="n">
        <x:v>45527</x:v>
      </x:c>
      <x:c r="E6755" s="9" t="n">
        <x:v>3264000</x:v>
      </x:c>
      <x:c r="F6755" s="9" t="n">
        <x:v>0</x:v>
      </x:c>
    </x:row>
    <x:row r="6756" ht="34" customHeight="1">
      <x:c r="A6756" s="4" t="str">
        <x:v>RS-03384-I3</x:v>
      </x:c>
      <x:c r="B6756" s="4" t="str">
        <x:v>RS-03384</x:v>
      </x:c>
      <x:c r="C6756" s="9" t="n">
        <x:v>3</x:v>
      </x:c>
      <x:c r="D6756" s="8" t="n">
        <x:v>45557</x:v>
      </x:c>
      <x:c r="E6756" s="9" t="n">
        <x:v>3264000</x:v>
      </x:c>
      <x:c r="F6756" s="9" t="n">
        <x:v>0</x:v>
      </x:c>
    </x:row>
    <x:row r="6757" ht="34" customHeight="1">
      <x:c r="A6757" s="4" t="str">
        <x:v>RS-03384-I4</x:v>
      </x:c>
      <x:c r="B6757" s="4" t="str">
        <x:v>RS-03384</x:v>
      </x:c>
      <x:c r="C6757" s="9" t="n">
        <x:v>4</x:v>
      </x:c>
      <x:c r="D6757" s="8" t="n">
        <x:v>45587</x:v>
      </x:c>
      <x:c r="E6757" s="9" t="n">
        <x:v>3264000</x:v>
      </x:c>
      <x:c r="F6757" s="9" t="n">
        <x:v>0</x:v>
      </x:c>
    </x:row>
    <x:row r="6758" ht="34" customHeight="1">
      <x:c r="A6758" s="4" t="str">
        <x:v>RS-03386-I1</x:v>
      </x:c>
      <x:c r="B6758" s="4" t="str">
        <x:v>RS-03386</x:v>
      </x:c>
      <x:c r="C6758" s="9" t="n">
        <x:v>1</x:v>
      </x:c>
      <x:c r="D6758" s="8" t="n">
        <x:v>45499</x:v>
      </x:c>
      <x:c r="E6758" s="9" t="n">
        <x:v>2982750</x:v>
      </x:c>
      <x:c r="F6758" s="9" t="n">
        <x:v>1193100</x:v>
      </x:c>
    </x:row>
    <x:row r="6759" ht="34" customHeight="1">
      <x:c r="A6759" s="4" t="str">
        <x:v>RS-03386-I2</x:v>
      </x:c>
      <x:c r="B6759" s="4" t="str">
        <x:v>RS-03386</x:v>
      </x:c>
      <x:c r="C6759" s="9" t="n">
        <x:v>2</x:v>
      </x:c>
      <x:c r="D6759" s="8" t="n">
        <x:v>45529</x:v>
      </x:c>
      <x:c r="E6759" s="9" t="n">
        <x:v>2982750</x:v>
      </x:c>
      <x:c r="F6759" s="9" t="n">
        <x:v>0</x:v>
      </x:c>
    </x:row>
    <x:row r="6760" ht="34" customHeight="1">
      <x:c r="A6760" s="4" t="str">
        <x:v>RS-03386-I3</x:v>
      </x:c>
      <x:c r="B6760" s="4" t="str">
        <x:v>RS-03386</x:v>
      </x:c>
      <x:c r="C6760" s="9" t="n">
        <x:v>3</x:v>
      </x:c>
      <x:c r="D6760" s="8" t="n">
        <x:v>45559</x:v>
      </x:c>
      <x:c r="E6760" s="9" t="n">
        <x:v>2982750</x:v>
      </x:c>
      <x:c r="F6760" s="9" t="n">
        <x:v>0</x:v>
      </x:c>
    </x:row>
    <x:row r="6761" ht="34" customHeight="1">
      <x:c r="A6761" s="4" t="str">
        <x:v>RS-03386-I4</x:v>
      </x:c>
      <x:c r="B6761" s="4" t="str">
        <x:v>RS-03386</x:v>
      </x:c>
      <x:c r="C6761" s="9" t="n">
        <x:v>4</x:v>
      </x:c>
      <x:c r="D6761" s="8" t="n">
        <x:v>45589</x:v>
      </x:c>
      <x:c r="E6761" s="9" t="n">
        <x:v>2982750</x:v>
      </x:c>
      <x:c r="F6761" s="9" t="n">
        <x:v>0</x:v>
      </x:c>
    </x:row>
    <x:row r="6762" ht="34" customHeight="1">
      <x:c r="A6762" s="4" t="str">
        <x:v>RS-03389-I1</x:v>
      </x:c>
      <x:c r="B6762" s="4" t="str">
        <x:v>RS-03389</x:v>
      </x:c>
      <x:c r="C6762" s="9" t="n">
        <x:v>1</x:v>
      </x:c>
      <x:c r="D6762" s="8" t="n">
        <x:v>45474</x:v>
      </x:c>
      <x:c r="E6762" s="9" t="n">
        <x:v>936000</x:v>
      </x:c>
      <x:c r="F6762" s="9" t="n">
        <x:v>374400</x:v>
      </x:c>
    </x:row>
    <x:row r="6763" ht="34" customHeight="1">
      <x:c r="A6763" s="4" t="str">
        <x:v>RS-03389-I2</x:v>
      </x:c>
      <x:c r="B6763" s="4" t="str">
        <x:v>RS-03389</x:v>
      </x:c>
      <x:c r="C6763" s="9" t="n">
        <x:v>2</x:v>
      </x:c>
      <x:c r="D6763" s="8" t="n">
        <x:v>45504</x:v>
      </x:c>
      <x:c r="E6763" s="9" t="n">
        <x:v>936000</x:v>
      </x:c>
      <x:c r="F6763" s="9" t="n">
        <x:v>0</x:v>
      </x:c>
    </x:row>
    <x:row r="6764" ht="34" customHeight="1">
      <x:c r="A6764" s="4" t="str">
        <x:v>RS-03389-I3</x:v>
      </x:c>
      <x:c r="B6764" s="4" t="str">
        <x:v>RS-03389</x:v>
      </x:c>
      <x:c r="C6764" s="9" t="n">
        <x:v>3</x:v>
      </x:c>
      <x:c r="D6764" s="8" t="n">
        <x:v>45534</x:v>
      </x:c>
      <x:c r="E6764" s="9" t="n">
        <x:v>936000</x:v>
      </x:c>
      <x:c r="F6764" s="9" t="n">
        <x:v>0</x:v>
      </x:c>
    </x:row>
    <x:row r="6765" ht="34" customHeight="1">
      <x:c r="A6765" s="4" t="str">
        <x:v>RS-03389-I4</x:v>
      </x:c>
      <x:c r="B6765" s="4" t="str">
        <x:v>RS-03389</x:v>
      </x:c>
      <x:c r="C6765" s="9" t="n">
        <x:v>4</x:v>
      </x:c>
      <x:c r="D6765" s="8" t="n">
        <x:v>45564</x:v>
      </x:c>
      <x:c r="E6765" s="9" t="n">
        <x:v>936000</x:v>
      </x:c>
      <x:c r="F6765" s="9" t="n">
        <x:v>0</x:v>
      </x:c>
    </x:row>
    <x:row r="6766" ht="34" customHeight="1">
      <x:c r="A6766" s="4" t="str">
        <x:v>RS-03391-I1</x:v>
      </x:c>
      <x:c r="B6766" s="4" t="str">
        <x:v>RS-03391</x:v>
      </x:c>
      <x:c r="C6766" s="9" t="n">
        <x:v>1</x:v>
      </x:c>
      <x:c r="D6766" s="8" t="n">
        <x:v>45476</x:v>
      </x:c>
      <x:c r="E6766" s="9" t="n">
        <x:v>5045250</x:v>
      </x:c>
      <x:c r="F6766" s="9" t="n">
        <x:v>2018100</x:v>
      </x:c>
    </x:row>
    <x:row r="6767" ht="34" customHeight="1">
      <x:c r="A6767" s="4" t="str">
        <x:v>RS-03391-I2</x:v>
      </x:c>
      <x:c r="B6767" s="4" t="str">
        <x:v>RS-03391</x:v>
      </x:c>
      <x:c r="C6767" s="9" t="n">
        <x:v>2</x:v>
      </x:c>
      <x:c r="D6767" s="8" t="n">
        <x:v>45506</x:v>
      </x:c>
      <x:c r="E6767" s="9" t="n">
        <x:v>5045250</x:v>
      </x:c>
      <x:c r="F6767" s="9" t="n">
        <x:v>0</x:v>
      </x:c>
    </x:row>
    <x:row r="6768" ht="34" customHeight="1">
      <x:c r="A6768" s="4" t="str">
        <x:v>RS-03391-I3</x:v>
      </x:c>
      <x:c r="B6768" s="4" t="str">
        <x:v>RS-03391</x:v>
      </x:c>
      <x:c r="C6768" s="9" t="n">
        <x:v>3</x:v>
      </x:c>
      <x:c r="D6768" s="8" t="n">
        <x:v>45536</x:v>
      </x:c>
      <x:c r="E6768" s="9" t="n">
        <x:v>5045250</x:v>
      </x:c>
      <x:c r="F6768" s="9" t="n">
        <x:v>0</x:v>
      </x:c>
    </x:row>
    <x:row r="6769" ht="34" customHeight="1">
      <x:c r="A6769" s="4" t="str">
        <x:v>RS-03391-I4</x:v>
      </x:c>
      <x:c r="B6769" s="4" t="str">
        <x:v>RS-03391</x:v>
      </x:c>
      <x:c r="C6769" s="9" t="n">
        <x:v>4</x:v>
      </x:c>
      <x:c r="D6769" s="8" t="n">
        <x:v>45566</x:v>
      </x:c>
      <x:c r="E6769" s="9" t="n">
        <x:v>5045250</x:v>
      </x:c>
      <x:c r="F6769" s="9" t="n">
        <x:v>0</x:v>
      </x:c>
    </x:row>
    <x:row r="6770" ht="34" customHeight="1">
      <x:c r="A6770" s="4" t="str">
        <x:v>RS-03399-I1</x:v>
      </x:c>
      <x:c r="B6770" s="4" t="str">
        <x:v>RS-03399</x:v>
      </x:c>
      <x:c r="C6770" s="9" t="n">
        <x:v>1</x:v>
      </x:c>
      <x:c r="D6770" s="8" t="n">
        <x:v>45484</x:v>
      </x:c>
      <x:c r="E6770" s="9" t="n">
        <x:v>3234000</x:v>
      </x:c>
      <x:c r="F6770" s="9" t="n">
        <x:v>3234000</x:v>
      </x:c>
    </x:row>
    <x:row r="6771" ht="34" customHeight="1">
      <x:c r="A6771" s="4" t="str">
        <x:v>RS-03399-I2</x:v>
      </x:c>
      <x:c r="B6771" s="4" t="str">
        <x:v>RS-03399</x:v>
      </x:c>
      <x:c r="C6771" s="9" t="n">
        <x:v>2</x:v>
      </x:c>
      <x:c r="D6771" s="8" t="n">
        <x:v>45514</x:v>
      </x:c>
      <x:c r="E6771" s="9" t="n">
        <x:v>3234000</x:v>
      </x:c>
      <x:c r="F6771" s="9" t="n">
        <x:v>3234000</x:v>
      </x:c>
    </x:row>
    <x:row r="6772" ht="34" customHeight="1">
      <x:c r="A6772" s="4" t="str">
        <x:v>RS-03399-I3</x:v>
      </x:c>
      <x:c r="B6772" s="4" t="str">
        <x:v>RS-03399</x:v>
      </x:c>
      <x:c r="C6772" s="9" t="n">
        <x:v>3</x:v>
      </x:c>
      <x:c r="D6772" s="8" t="n">
        <x:v>45544</x:v>
      </x:c>
      <x:c r="E6772" s="9" t="n">
        <x:v>3234000</x:v>
      </x:c>
      <x:c r="F6772" s="9" t="n">
        <x:v>3234000</x:v>
      </x:c>
    </x:row>
    <x:row r="6773" ht="34" customHeight="1">
      <x:c r="A6773" s="4" t="str">
        <x:v>RS-03399-I4</x:v>
      </x:c>
      <x:c r="B6773" s="4" t="str">
        <x:v>RS-03399</x:v>
      </x:c>
      <x:c r="C6773" s="9" t="n">
        <x:v>4</x:v>
      </x:c>
      <x:c r="D6773" s="8" t="n">
        <x:v>45574</x:v>
      </x:c>
      <x:c r="E6773" s="9" t="n">
        <x:v>3234000</x:v>
      </x:c>
      <x:c r="F6773" s="9" t="n">
        <x:v>3234000</x:v>
      </x:c>
    </x:row>
    <x:row r="6774" ht="34" customHeight="1">
      <x:c r="A6774" s="4" t="str">
        <x:v>RS-03400-I1</x:v>
      </x:c>
      <x:c r="B6774" s="4" t="str">
        <x:v>RS-03400</x:v>
      </x:c>
      <x:c r="C6774" s="9" t="n">
        <x:v>1</x:v>
      </x:c>
      <x:c r="D6774" s="8" t="n">
        <x:v>45485</x:v>
      </x:c>
      <x:c r="E6774" s="9" t="n">
        <x:v>2450000</x:v>
      </x:c>
      <x:c r="F6774" s="9" t="n">
        <x:v>2450000</x:v>
      </x:c>
    </x:row>
    <x:row r="6775" ht="34" customHeight="1">
      <x:c r="A6775" s="4" t="str">
        <x:v>RS-03400-I2</x:v>
      </x:c>
      <x:c r="B6775" s="4" t="str">
        <x:v>RS-03400</x:v>
      </x:c>
      <x:c r="C6775" s="9" t="n">
        <x:v>2</x:v>
      </x:c>
      <x:c r="D6775" s="8" t="n">
        <x:v>45515</x:v>
      </x:c>
      <x:c r="E6775" s="9" t="n">
        <x:v>2450000</x:v>
      </x:c>
      <x:c r="F6775" s="9" t="n">
        <x:v>0</x:v>
      </x:c>
    </x:row>
    <x:row r="6776" ht="34" customHeight="1">
      <x:c r="A6776" s="4" t="str">
        <x:v>RS-03400-I3</x:v>
      </x:c>
      <x:c r="B6776" s="4" t="str">
        <x:v>RS-03400</x:v>
      </x:c>
      <x:c r="C6776" s="9" t="n">
        <x:v>3</x:v>
      </x:c>
      <x:c r="D6776" s="8" t="n">
        <x:v>45545</x:v>
      </x:c>
      <x:c r="E6776" s="9" t="n">
        <x:v>2450000</x:v>
      </x:c>
      <x:c r="F6776" s="9" t="n">
        <x:v>0</x:v>
      </x:c>
    </x:row>
    <x:row r="6777" ht="34" customHeight="1">
      <x:c r="A6777" s="4" t="str">
        <x:v>RS-03400-I4</x:v>
      </x:c>
      <x:c r="B6777" s="4" t="str">
        <x:v>RS-03400</x:v>
      </x:c>
      <x:c r="C6777" s="9" t="n">
        <x:v>4</x:v>
      </x:c>
      <x:c r="D6777" s="8" t="n">
        <x:v>45575</x:v>
      </x:c>
      <x:c r="E6777" s="9" t="n">
        <x:v>2450000</x:v>
      </x:c>
      <x:c r="F6777" s="9" t="n">
        <x:v>0</x:v>
      </x:c>
    </x:row>
    <x:row r="6778" ht="34" customHeight="1">
      <x:c r="A6778" s="4" t="str">
        <x:v>RS-03402-I1</x:v>
      </x:c>
      <x:c r="B6778" s="4" t="str">
        <x:v>RS-03402</x:v>
      </x:c>
      <x:c r="C6778" s="9" t="n">
        <x:v>1</x:v>
      </x:c>
      <x:c r="D6778" s="8" t="n">
        <x:v>45487</x:v>
      </x:c>
      <x:c r="E6778" s="9" t="n">
        <x:v>3080000</x:v>
      </x:c>
      <x:c r="F6778" s="9" t="n">
        <x:v>1232000</x:v>
      </x:c>
    </x:row>
    <x:row r="6779" ht="34" customHeight="1">
      <x:c r="A6779" s="4" t="str">
        <x:v>RS-03402-I2</x:v>
      </x:c>
      <x:c r="B6779" s="4" t="str">
        <x:v>RS-03402</x:v>
      </x:c>
      <x:c r="C6779" s="9" t="n">
        <x:v>2</x:v>
      </x:c>
      <x:c r="D6779" s="8" t="n">
        <x:v>45517</x:v>
      </x:c>
      <x:c r="E6779" s="9" t="n">
        <x:v>3080000</x:v>
      </x:c>
      <x:c r="F6779" s="9" t="n">
        <x:v>0</x:v>
      </x:c>
    </x:row>
    <x:row r="6780" ht="34" customHeight="1">
      <x:c r="A6780" s="4" t="str">
        <x:v>RS-03402-I3</x:v>
      </x:c>
      <x:c r="B6780" s="4" t="str">
        <x:v>RS-03402</x:v>
      </x:c>
      <x:c r="C6780" s="9" t="n">
        <x:v>3</x:v>
      </x:c>
      <x:c r="D6780" s="8" t="n">
        <x:v>45547</x:v>
      </x:c>
      <x:c r="E6780" s="9" t="n">
        <x:v>3080000</x:v>
      </x:c>
      <x:c r="F6780" s="9" t="n">
        <x:v>0</x:v>
      </x:c>
    </x:row>
    <x:row r="6781" ht="34" customHeight="1">
      <x:c r="A6781" s="4" t="str">
        <x:v>RS-03402-I4</x:v>
      </x:c>
      <x:c r="B6781" s="4" t="str">
        <x:v>RS-03402</x:v>
      </x:c>
      <x:c r="C6781" s="9" t="n">
        <x:v>4</x:v>
      </x:c>
      <x:c r="D6781" s="8" t="n">
        <x:v>45577</x:v>
      </x:c>
      <x:c r="E6781" s="9" t="n">
        <x:v>3080000</x:v>
      </x:c>
      <x:c r="F6781" s="9" t="n">
        <x:v>0</x:v>
      </x:c>
    </x:row>
    <x:row r="6782" ht="34" customHeight="1">
      <x:c r="A6782" s="4" t="str">
        <x:v>RS-03405-I1</x:v>
      </x:c>
      <x:c r="B6782" s="4" t="str">
        <x:v>RS-03405</x:v>
      </x:c>
      <x:c r="C6782" s="9" t="n">
        <x:v>1</x:v>
      </x:c>
      <x:c r="D6782" s="8" t="n">
        <x:v>45490</x:v>
      </x:c>
      <x:c r="E6782" s="9" t="n">
        <x:v>3540500</x:v>
      </x:c>
      <x:c r="F6782" s="9" t="n">
        <x:v>3540500</x:v>
      </x:c>
    </x:row>
    <x:row r="6783" ht="34" customHeight="1">
      <x:c r="A6783" s="4" t="str">
        <x:v>RS-03405-I2</x:v>
      </x:c>
      <x:c r="B6783" s="4" t="str">
        <x:v>RS-03405</x:v>
      </x:c>
      <x:c r="C6783" s="9" t="n">
        <x:v>2</x:v>
      </x:c>
      <x:c r="D6783" s="8" t="n">
        <x:v>45520</x:v>
      </x:c>
      <x:c r="E6783" s="9" t="n">
        <x:v>3540500</x:v>
      </x:c>
      <x:c r="F6783" s="9" t="n">
        <x:v>3540500</x:v>
      </x:c>
    </x:row>
    <x:row r="6784" ht="34" customHeight="1">
      <x:c r="A6784" s="4" t="str">
        <x:v>RS-03405-I3</x:v>
      </x:c>
      <x:c r="B6784" s="4" t="str">
        <x:v>RS-03405</x:v>
      </x:c>
      <x:c r="C6784" s="9" t="n">
        <x:v>3</x:v>
      </x:c>
      <x:c r="D6784" s="8" t="n">
        <x:v>45550</x:v>
      </x:c>
      <x:c r="E6784" s="9" t="n">
        <x:v>3540500</x:v>
      </x:c>
      <x:c r="F6784" s="9" t="n">
        <x:v>3540500</x:v>
      </x:c>
    </x:row>
    <x:row r="6785" ht="34" customHeight="1">
      <x:c r="A6785" s="4" t="str">
        <x:v>RS-03405-I4</x:v>
      </x:c>
      <x:c r="B6785" s="4" t="str">
        <x:v>RS-03405</x:v>
      </x:c>
      <x:c r="C6785" s="9" t="n">
        <x:v>4</x:v>
      </x:c>
      <x:c r="D6785" s="8" t="n">
        <x:v>45580</x:v>
      </x:c>
      <x:c r="E6785" s="9" t="n">
        <x:v>3540500</x:v>
      </x:c>
      <x:c r="F6785" s="9" t="n">
        <x:v>3540500</x:v>
      </x:c>
    </x:row>
    <x:row r="6786" ht="34" customHeight="1">
      <x:c r="A6786" s="4" t="str">
        <x:v>RS-03406-I1</x:v>
      </x:c>
      <x:c r="B6786" s="4" t="str">
        <x:v>RS-03406</x:v>
      </x:c>
      <x:c r="C6786" s="9" t="n">
        <x:v>1</x:v>
      </x:c>
      <x:c r="D6786" s="8" t="n">
        <x:v>45491</x:v>
      </x:c>
      <x:c r="E6786" s="9" t="n">
        <x:v>4160750</x:v>
      </x:c>
      <x:c r="F6786" s="9" t="n">
        <x:v>1664300</x:v>
      </x:c>
    </x:row>
    <x:row r="6787" ht="34" customHeight="1">
      <x:c r="A6787" s="4" t="str">
        <x:v>RS-03406-I2</x:v>
      </x:c>
      <x:c r="B6787" s="4" t="str">
        <x:v>RS-03406</x:v>
      </x:c>
      <x:c r="C6787" s="9" t="n">
        <x:v>2</x:v>
      </x:c>
      <x:c r="D6787" s="8" t="n">
        <x:v>45521</x:v>
      </x:c>
      <x:c r="E6787" s="9" t="n">
        <x:v>4160750</x:v>
      </x:c>
      <x:c r="F6787" s="9" t="n">
        <x:v>0</x:v>
      </x:c>
    </x:row>
    <x:row r="6788" ht="34" customHeight="1">
      <x:c r="A6788" s="4" t="str">
        <x:v>RS-03406-I3</x:v>
      </x:c>
      <x:c r="B6788" s="4" t="str">
        <x:v>RS-03406</x:v>
      </x:c>
      <x:c r="C6788" s="9" t="n">
        <x:v>3</x:v>
      </x:c>
      <x:c r="D6788" s="8" t="n">
        <x:v>45551</x:v>
      </x:c>
      <x:c r="E6788" s="9" t="n">
        <x:v>4160750</x:v>
      </x:c>
      <x:c r="F6788" s="9" t="n">
        <x:v>0</x:v>
      </x:c>
    </x:row>
    <x:row r="6789" ht="34" customHeight="1">
      <x:c r="A6789" s="4" t="str">
        <x:v>RS-03406-I4</x:v>
      </x:c>
      <x:c r="B6789" s="4" t="str">
        <x:v>RS-03406</x:v>
      </x:c>
      <x:c r="C6789" s="9" t="n">
        <x:v>4</x:v>
      </x:c>
      <x:c r="D6789" s="8" t="n">
        <x:v>45581</x:v>
      </x:c>
      <x:c r="E6789" s="9" t="n">
        <x:v>4160750</x:v>
      </x:c>
      <x:c r="F6789" s="9" t="n">
        <x:v>0</x:v>
      </x:c>
    </x:row>
    <x:row r="6790" ht="34" customHeight="1">
      <x:c r="A6790" s="4" t="str">
        <x:v>RS-03407-I1</x:v>
      </x:c>
      <x:c r="B6790" s="4" t="str">
        <x:v>RS-03407</x:v>
      </x:c>
      <x:c r="C6790" s="9" t="n">
        <x:v>1</x:v>
      </x:c>
      <x:c r="D6790" s="8" t="n">
        <x:v>45492</x:v>
      </x:c>
      <x:c r="E6790" s="9" t="n">
        <x:v>4800000</x:v>
      </x:c>
      <x:c r="F6790" s="9" t="n">
        <x:v>4800000</x:v>
      </x:c>
    </x:row>
    <x:row r="6791" ht="34" customHeight="1">
      <x:c r="A6791" s="4" t="str">
        <x:v>RS-03407-I2</x:v>
      </x:c>
      <x:c r="B6791" s="4" t="str">
        <x:v>RS-03407</x:v>
      </x:c>
      <x:c r="C6791" s="9" t="n">
        <x:v>2</x:v>
      </x:c>
      <x:c r="D6791" s="8" t="n">
        <x:v>45522</x:v>
      </x:c>
      <x:c r="E6791" s="9" t="n">
        <x:v>4800000</x:v>
      </x:c>
      <x:c r="F6791" s="9" t="n">
        <x:v>4800000</x:v>
      </x:c>
    </x:row>
    <x:row r="6792" ht="34" customHeight="1">
      <x:c r="A6792" s="4" t="str">
        <x:v>RS-03407-I3</x:v>
      </x:c>
      <x:c r="B6792" s="4" t="str">
        <x:v>RS-03407</x:v>
      </x:c>
      <x:c r="C6792" s="9" t="n">
        <x:v>3</x:v>
      </x:c>
      <x:c r="D6792" s="8" t="n">
        <x:v>45552</x:v>
      </x:c>
      <x:c r="E6792" s="9" t="n">
        <x:v>4800000</x:v>
      </x:c>
      <x:c r="F6792" s="9" t="n">
        <x:v>0</x:v>
      </x:c>
    </x:row>
    <x:row r="6793" ht="34" customHeight="1">
      <x:c r="A6793" s="4" t="str">
        <x:v>RS-03407-I4</x:v>
      </x:c>
      <x:c r="B6793" s="4" t="str">
        <x:v>RS-03407</x:v>
      </x:c>
      <x:c r="C6793" s="9" t="n">
        <x:v>4</x:v>
      </x:c>
      <x:c r="D6793" s="8" t="n">
        <x:v>45582</x:v>
      </x:c>
      <x:c r="E6793" s="9" t="n">
        <x:v>4800000</x:v>
      </x:c>
      <x:c r="F6793" s="9" t="n">
        <x:v>0</x:v>
      </x:c>
    </x:row>
    <x:row r="6794" ht="34" customHeight="1">
      <x:c r="A6794" s="4" t="str">
        <x:v>RS-03409-I1</x:v>
      </x:c>
      <x:c r="B6794" s="4" t="str">
        <x:v>RS-03409</x:v>
      </x:c>
      <x:c r="C6794" s="9" t="n">
        <x:v>1</x:v>
      </x:c>
      <x:c r="D6794" s="8" t="n">
        <x:v>45494</x:v>
      </x:c>
      <x:c r="E6794" s="9" t="n">
        <x:v>3007000</x:v>
      </x:c>
      <x:c r="F6794" s="9" t="n">
        <x:v>3007000</x:v>
      </x:c>
    </x:row>
    <x:row r="6795" ht="34" customHeight="1">
      <x:c r="A6795" s="4" t="str">
        <x:v>RS-03409-I2</x:v>
      </x:c>
      <x:c r="B6795" s="4" t="str">
        <x:v>RS-03409</x:v>
      </x:c>
      <x:c r="C6795" s="9" t="n">
        <x:v>2</x:v>
      </x:c>
      <x:c r="D6795" s="8" t="n">
        <x:v>45524</x:v>
      </x:c>
      <x:c r="E6795" s="9" t="n">
        <x:v>3007000</x:v>
      </x:c>
      <x:c r="F6795" s="9" t="n">
        <x:v>3007000</x:v>
      </x:c>
    </x:row>
    <x:row r="6796" ht="34" customHeight="1">
      <x:c r="A6796" s="4" t="str">
        <x:v>RS-03409-I3</x:v>
      </x:c>
      <x:c r="B6796" s="4" t="str">
        <x:v>RS-03409</x:v>
      </x:c>
      <x:c r="C6796" s="9" t="n">
        <x:v>3</x:v>
      </x:c>
      <x:c r="D6796" s="8" t="n">
        <x:v>45554</x:v>
      </x:c>
      <x:c r="E6796" s="9" t="n">
        <x:v>3007000</x:v>
      </x:c>
      <x:c r="F6796" s="9" t="n">
        <x:v>0</x:v>
      </x:c>
    </x:row>
    <x:row r="6797" ht="34" customHeight="1">
      <x:c r="A6797" s="4" t="str">
        <x:v>RS-03409-I4</x:v>
      </x:c>
      <x:c r="B6797" s="4" t="str">
        <x:v>RS-03409</x:v>
      </x:c>
      <x:c r="C6797" s="9" t="n">
        <x:v>4</x:v>
      </x:c>
      <x:c r="D6797" s="8" t="n">
        <x:v>45584</x:v>
      </x:c>
      <x:c r="E6797" s="9" t="n">
        <x:v>3007000</x:v>
      </x:c>
      <x:c r="F6797" s="9" t="n">
        <x:v>0</x:v>
      </x:c>
    </x:row>
    <x:row r="6798" ht="34" customHeight="1">
      <x:c r="A6798" s="4" t="str">
        <x:v>RS-03414-I1</x:v>
      </x:c>
      <x:c r="B6798" s="4" t="str">
        <x:v>RS-03414</x:v>
      </x:c>
      <x:c r="C6798" s="9" t="n">
        <x:v>1</x:v>
      </x:c>
      <x:c r="D6798" s="8" t="n">
        <x:v>45499</x:v>
      </x:c>
      <x:c r="E6798" s="9" t="n">
        <x:v>978250</x:v>
      </x:c>
      <x:c r="F6798" s="9" t="n">
        <x:v>978250</x:v>
      </x:c>
    </x:row>
    <x:row r="6799" ht="34" customHeight="1">
      <x:c r="A6799" s="4" t="str">
        <x:v>RS-03414-I2</x:v>
      </x:c>
      <x:c r="B6799" s="4" t="str">
        <x:v>RS-03414</x:v>
      </x:c>
      <x:c r="C6799" s="9" t="n">
        <x:v>2</x:v>
      </x:c>
      <x:c r="D6799" s="8" t="n">
        <x:v>45529</x:v>
      </x:c>
      <x:c r="E6799" s="9" t="n">
        <x:v>978250</x:v>
      </x:c>
      <x:c r="F6799" s="9" t="n">
        <x:v>978250</x:v>
      </x:c>
    </x:row>
    <x:row r="6800" ht="34" customHeight="1">
      <x:c r="A6800" s="4" t="str">
        <x:v>RS-03414-I3</x:v>
      </x:c>
      <x:c r="B6800" s="4" t="str">
        <x:v>RS-03414</x:v>
      </x:c>
      <x:c r="C6800" s="9" t="n">
        <x:v>3</x:v>
      </x:c>
      <x:c r="D6800" s="8" t="n">
        <x:v>45559</x:v>
      </x:c>
      <x:c r="E6800" s="9" t="n">
        <x:v>978250</x:v>
      </x:c>
      <x:c r="F6800" s="9" t="n">
        <x:v>0</x:v>
      </x:c>
    </x:row>
    <x:row r="6801" ht="34" customHeight="1">
      <x:c r="A6801" s="4" t="str">
        <x:v>RS-03414-I4</x:v>
      </x:c>
      <x:c r="B6801" s="4" t="str">
        <x:v>RS-03414</x:v>
      </x:c>
      <x:c r="C6801" s="9" t="n">
        <x:v>4</x:v>
      </x:c>
      <x:c r="D6801" s="8" t="n">
        <x:v>45589</x:v>
      </x:c>
      <x:c r="E6801" s="9" t="n">
        <x:v>978250</x:v>
      </x:c>
      <x:c r="F6801" s="9" t="n">
        <x:v>0</x:v>
      </x:c>
    </x:row>
    <x:row r="6802" ht="34" customHeight="1">
      <x:c r="A6802" s="4" t="str">
        <x:v>RS-03417-I1</x:v>
      </x:c>
      <x:c r="B6802" s="4" t="str">
        <x:v>RS-03417</x:v>
      </x:c>
      <x:c r="C6802" s="9" t="n">
        <x:v>1</x:v>
      </x:c>
      <x:c r="D6802" s="8" t="n">
        <x:v>45474</x:v>
      </x:c>
      <x:c r="E6802" s="9" t="n">
        <x:v>4114000</x:v>
      </x:c>
      <x:c r="F6802" s="9" t="n">
        <x:v>4114000</x:v>
      </x:c>
    </x:row>
    <x:row r="6803" ht="34" customHeight="1">
      <x:c r="A6803" s="4" t="str">
        <x:v>RS-03417-I2</x:v>
      </x:c>
      <x:c r="B6803" s="4" t="str">
        <x:v>RS-03417</x:v>
      </x:c>
      <x:c r="C6803" s="9" t="n">
        <x:v>2</x:v>
      </x:c>
      <x:c r="D6803" s="8" t="n">
        <x:v>45504</x:v>
      </x:c>
      <x:c r="E6803" s="9" t="n">
        <x:v>4114000</x:v>
      </x:c>
      <x:c r="F6803" s="9" t="n">
        <x:v>0</x:v>
      </x:c>
    </x:row>
    <x:row r="6804" ht="34" customHeight="1">
      <x:c r="A6804" s="4" t="str">
        <x:v>RS-03417-I3</x:v>
      </x:c>
      <x:c r="B6804" s="4" t="str">
        <x:v>RS-03417</x:v>
      </x:c>
      <x:c r="C6804" s="9" t="n">
        <x:v>3</x:v>
      </x:c>
      <x:c r="D6804" s="8" t="n">
        <x:v>45534</x:v>
      </x:c>
      <x:c r="E6804" s="9" t="n">
        <x:v>4114000</x:v>
      </x:c>
      <x:c r="F6804" s="9" t="n">
        <x:v>0</x:v>
      </x:c>
    </x:row>
    <x:row r="6805" ht="34" customHeight="1">
      <x:c r="A6805" s="4" t="str">
        <x:v>RS-03417-I4</x:v>
      </x:c>
      <x:c r="B6805" s="4" t="str">
        <x:v>RS-03417</x:v>
      </x:c>
      <x:c r="C6805" s="9" t="n">
        <x:v>4</x:v>
      </x:c>
      <x:c r="D6805" s="8" t="n">
        <x:v>45564</x:v>
      </x:c>
      <x:c r="E6805" s="9" t="n">
        <x:v>4114000</x:v>
      </x:c>
      <x:c r="F6805" s="9" t="n">
        <x:v>0</x:v>
      </x:c>
    </x:row>
    <x:row r="6806" ht="34" customHeight="1">
      <x:c r="A6806" s="4" t="str">
        <x:v>RS-03418-I1</x:v>
      </x:c>
      <x:c r="B6806" s="4" t="str">
        <x:v>RS-03418</x:v>
      </x:c>
      <x:c r="C6806" s="9" t="n">
        <x:v>1</x:v>
      </x:c>
      <x:c r="D6806" s="8" t="n">
        <x:v>45475</x:v>
      </x:c>
      <x:c r="E6806" s="9" t="n">
        <x:v>5027750</x:v>
      </x:c>
      <x:c r="F6806" s="9" t="n">
        <x:v>5027750</x:v>
      </x:c>
    </x:row>
    <x:row r="6807" ht="34" customHeight="1">
      <x:c r="A6807" s="4" t="str">
        <x:v>RS-03418-I2</x:v>
      </x:c>
      <x:c r="B6807" s="4" t="str">
        <x:v>RS-03418</x:v>
      </x:c>
      <x:c r="C6807" s="9" t="n">
        <x:v>2</x:v>
      </x:c>
      <x:c r="D6807" s="8" t="n">
        <x:v>45505</x:v>
      </x:c>
      <x:c r="E6807" s="9" t="n">
        <x:v>5027750</x:v>
      </x:c>
      <x:c r="F6807" s="9" t="n">
        <x:v>0</x:v>
      </x:c>
    </x:row>
    <x:row r="6808" ht="34" customHeight="1">
      <x:c r="A6808" s="4" t="str">
        <x:v>RS-03418-I3</x:v>
      </x:c>
      <x:c r="B6808" s="4" t="str">
        <x:v>RS-03418</x:v>
      </x:c>
      <x:c r="C6808" s="9" t="n">
        <x:v>3</x:v>
      </x:c>
      <x:c r="D6808" s="8" t="n">
        <x:v>45535</x:v>
      </x:c>
      <x:c r="E6808" s="9" t="n">
        <x:v>5027750</x:v>
      </x:c>
      <x:c r="F6808" s="9" t="n">
        <x:v>0</x:v>
      </x:c>
    </x:row>
    <x:row r="6809" ht="34" customHeight="1">
      <x:c r="A6809" s="4" t="str">
        <x:v>RS-03418-I4</x:v>
      </x:c>
      <x:c r="B6809" s="4" t="str">
        <x:v>RS-03418</x:v>
      </x:c>
      <x:c r="C6809" s="9" t="n">
        <x:v>4</x:v>
      </x:c>
      <x:c r="D6809" s="8" t="n">
        <x:v>45565</x:v>
      </x:c>
      <x:c r="E6809" s="9" t="n">
        <x:v>5027750</x:v>
      </x:c>
      <x:c r="F6809" s="9" t="n">
        <x:v>0</x:v>
      </x:c>
    </x:row>
    <x:row r="6810" ht="34" customHeight="1">
      <x:c r="A6810" s="4" t="str">
        <x:v>RS-03419-I1</x:v>
      </x:c>
      <x:c r="B6810" s="4" t="str">
        <x:v>RS-03419</x:v>
      </x:c>
      <x:c r="C6810" s="9" t="n">
        <x:v>1</x:v>
      </x:c>
      <x:c r="D6810" s="8" t="n">
        <x:v>45476</x:v>
      </x:c>
      <x:c r="E6810" s="9" t="n">
        <x:v>5429000</x:v>
      </x:c>
      <x:c r="F6810" s="9" t="n">
        <x:v>2171600</x:v>
      </x:c>
    </x:row>
    <x:row r="6811" ht="34" customHeight="1">
      <x:c r="A6811" s="4" t="str">
        <x:v>RS-03419-I2</x:v>
      </x:c>
      <x:c r="B6811" s="4" t="str">
        <x:v>RS-03419</x:v>
      </x:c>
      <x:c r="C6811" s="9" t="n">
        <x:v>2</x:v>
      </x:c>
      <x:c r="D6811" s="8" t="n">
        <x:v>45506</x:v>
      </x:c>
      <x:c r="E6811" s="9" t="n">
        <x:v>5429000</x:v>
      </x:c>
      <x:c r="F6811" s="9" t="n">
        <x:v>0</x:v>
      </x:c>
    </x:row>
    <x:row r="6812" ht="34" customHeight="1">
      <x:c r="A6812" s="4" t="str">
        <x:v>RS-03419-I3</x:v>
      </x:c>
      <x:c r="B6812" s="4" t="str">
        <x:v>RS-03419</x:v>
      </x:c>
      <x:c r="C6812" s="9" t="n">
        <x:v>3</x:v>
      </x:c>
      <x:c r="D6812" s="8" t="n">
        <x:v>45536</x:v>
      </x:c>
      <x:c r="E6812" s="9" t="n">
        <x:v>5429000</x:v>
      </x:c>
      <x:c r="F6812" s="9" t="n">
        <x:v>0</x:v>
      </x:c>
    </x:row>
    <x:row r="6813" ht="34" customHeight="1">
      <x:c r="A6813" s="4" t="str">
        <x:v>RS-03419-I4</x:v>
      </x:c>
      <x:c r="B6813" s="4" t="str">
        <x:v>RS-03419</x:v>
      </x:c>
      <x:c r="C6813" s="9" t="n">
        <x:v>4</x:v>
      </x:c>
      <x:c r="D6813" s="8" t="n">
        <x:v>45566</x:v>
      </x:c>
      <x:c r="E6813" s="9" t="n">
        <x:v>5429000</x:v>
      </x:c>
      <x:c r="F6813" s="9" t="n">
        <x:v>0</x:v>
      </x:c>
    </x:row>
    <x:row r="6814" ht="34" customHeight="1">
      <x:c r="A6814" s="4" t="str">
        <x:v>RS-03421-I1</x:v>
      </x:c>
      <x:c r="B6814" s="4" t="str">
        <x:v>RS-03421</x:v>
      </x:c>
      <x:c r="C6814" s="9" t="n">
        <x:v>1</x:v>
      </x:c>
      <x:c r="D6814" s="8" t="n">
        <x:v>45478</x:v>
      </x:c>
      <x:c r="E6814" s="9" t="n">
        <x:v>742500</x:v>
      </x:c>
      <x:c r="F6814" s="9" t="n">
        <x:v>297000</x:v>
      </x:c>
    </x:row>
    <x:row r="6815" ht="34" customHeight="1">
      <x:c r="A6815" s="4" t="str">
        <x:v>RS-03421-I2</x:v>
      </x:c>
      <x:c r="B6815" s="4" t="str">
        <x:v>RS-03421</x:v>
      </x:c>
      <x:c r="C6815" s="9" t="n">
        <x:v>2</x:v>
      </x:c>
      <x:c r="D6815" s="8" t="n">
        <x:v>45508</x:v>
      </x:c>
      <x:c r="E6815" s="9" t="n">
        <x:v>742500</x:v>
      </x:c>
      <x:c r="F6815" s="9" t="n">
        <x:v>0</x:v>
      </x:c>
    </x:row>
    <x:row r="6816" ht="34" customHeight="1">
      <x:c r="A6816" s="4" t="str">
        <x:v>RS-03421-I3</x:v>
      </x:c>
      <x:c r="B6816" s="4" t="str">
        <x:v>RS-03421</x:v>
      </x:c>
      <x:c r="C6816" s="9" t="n">
        <x:v>3</x:v>
      </x:c>
      <x:c r="D6816" s="8" t="n">
        <x:v>45538</x:v>
      </x:c>
      <x:c r="E6816" s="9" t="n">
        <x:v>742500</x:v>
      </x:c>
      <x:c r="F6816" s="9" t="n">
        <x:v>0</x:v>
      </x:c>
    </x:row>
    <x:row r="6817" ht="34" customHeight="1">
      <x:c r="A6817" s="4" t="str">
        <x:v>RS-03421-I4</x:v>
      </x:c>
      <x:c r="B6817" s="4" t="str">
        <x:v>RS-03421</x:v>
      </x:c>
      <x:c r="C6817" s="9" t="n">
        <x:v>4</x:v>
      </x:c>
      <x:c r="D6817" s="8" t="n">
        <x:v>45568</x:v>
      </x:c>
      <x:c r="E6817" s="9" t="n">
        <x:v>742500</x:v>
      </x:c>
      <x:c r="F6817" s="9" t="n">
        <x:v>0</x:v>
      </x:c>
    </x:row>
    <x:row r="6818" ht="34" customHeight="1">
      <x:c r="A6818" s="4" t="str">
        <x:v>RS-03422-I1</x:v>
      </x:c>
      <x:c r="B6818" s="4" t="str">
        <x:v>RS-03422</x:v>
      </x:c>
      <x:c r="C6818" s="9" t="n">
        <x:v>1</x:v>
      </x:c>
      <x:c r="D6818" s="8" t="n">
        <x:v>45479</x:v>
      </x:c>
      <x:c r="E6818" s="9" t="n">
        <x:v>4982000</x:v>
      </x:c>
      <x:c r="F6818" s="9" t="n">
        <x:v>4982000</x:v>
      </x:c>
    </x:row>
    <x:row r="6819" ht="34" customHeight="1">
      <x:c r="A6819" s="4" t="str">
        <x:v>RS-03422-I2</x:v>
      </x:c>
      <x:c r="B6819" s="4" t="str">
        <x:v>RS-03422</x:v>
      </x:c>
      <x:c r="C6819" s="9" t="n">
        <x:v>2</x:v>
      </x:c>
      <x:c r="D6819" s="8" t="n">
        <x:v>45509</x:v>
      </x:c>
      <x:c r="E6819" s="9" t="n">
        <x:v>4982000</x:v>
      </x:c>
      <x:c r="F6819" s="9" t="n">
        <x:v>4982000</x:v>
      </x:c>
    </x:row>
    <x:row r="6820" ht="34" customHeight="1">
      <x:c r="A6820" s="4" t="str">
        <x:v>RS-03422-I3</x:v>
      </x:c>
      <x:c r="B6820" s="4" t="str">
        <x:v>RS-03422</x:v>
      </x:c>
      <x:c r="C6820" s="9" t="n">
        <x:v>3</x:v>
      </x:c>
      <x:c r="D6820" s="8" t="n">
        <x:v>45539</x:v>
      </x:c>
      <x:c r="E6820" s="9" t="n">
        <x:v>4982000</x:v>
      </x:c>
      <x:c r="F6820" s="9" t="n">
        <x:v>4982000</x:v>
      </x:c>
    </x:row>
    <x:row r="6821" ht="34" customHeight="1">
      <x:c r="A6821" s="4" t="str">
        <x:v>RS-03422-I4</x:v>
      </x:c>
      <x:c r="B6821" s="4" t="str">
        <x:v>RS-03422</x:v>
      </x:c>
      <x:c r="C6821" s="9" t="n">
        <x:v>4</x:v>
      </x:c>
      <x:c r="D6821" s="8" t="n">
        <x:v>45569</x:v>
      </x:c>
      <x:c r="E6821" s="9" t="n">
        <x:v>4982000</x:v>
      </x:c>
      <x:c r="F6821" s="9" t="n">
        <x:v>4982000</x:v>
      </x:c>
    </x:row>
    <x:row r="6822" ht="34" customHeight="1">
      <x:c r="A6822" s="4" t="str">
        <x:v>RS-03423-I1</x:v>
      </x:c>
      <x:c r="B6822" s="4" t="str">
        <x:v>RS-03423</x:v>
      </x:c>
      <x:c r="C6822" s="9" t="n">
        <x:v>1</x:v>
      </x:c>
      <x:c r="D6822" s="8" t="n">
        <x:v>45480</x:v>
      </x:c>
      <x:c r="E6822" s="9" t="n">
        <x:v>2232000</x:v>
      </x:c>
      <x:c r="F6822" s="9" t="n">
        <x:v>2232000</x:v>
      </x:c>
    </x:row>
    <x:row r="6823" ht="34" customHeight="1">
      <x:c r="A6823" s="4" t="str">
        <x:v>RS-03423-I2</x:v>
      </x:c>
      <x:c r="B6823" s="4" t="str">
        <x:v>RS-03423</x:v>
      </x:c>
      <x:c r="C6823" s="9" t="n">
        <x:v>2</x:v>
      </x:c>
      <x:c r="D6823" s="8" t="n">
        <x:v>45510</x:v>
      </x:c>
      <x:c r="E6823" s="9" t="n">
        <x:v>2232000</x:v>
      </x:c>
      <x:c r="F6823" s="9" t="n">
        <x:v>2232000</x:v>
      </x:c>
    </x:row>
    <x:row r="6824" ht="34" customHeight="1">
      <x:c r="A6824" s="4" t="str">
        <x:v>RS-03423-I3</x:v>
      </x:c>
      <x:c r="B6824" s="4" t="str">
        <x:v>RS-03423</x:v>
      </x:c>
      <x:c r="C6824" s="9" t="n">
        <x:v>3</x:v>
      </x:c>
      <x:c r="D6824" s="8" t="n">
        <x:v>45540</x:v>
      </x:c>
      <x:c r="E6824" s="9" t="n">
        <x:v>2232000</x:v>
      </x:c>
      <x:c r="F6824" s="9" t="n">
        <x:v>0</x:v>
      </x:c>
    </x:row>
    <x:row r="6825" ht="34" customHeight="1">
      <x:c r="A6825" s="4" t="str">
        <x:v>RS-03423-I4</x:v>
      </x:c>
      <x:c r="B6825" s="4" t="str">
        <x:v>RS-03423</x:v>
      </x:c>
      <x:c r="C6825" s="9" t="n">
        <x:v>4</x:v>
      </x:c>
      <x:c r="D6825" s="8" t="n">
        <x:v>45570</x:v>
      </x:c>
      <x:c r="E6825" s="9" t="n">
        <x:v>2232000</x:v>
      </x:c>
      <x:c r="F6825" s="9" t="n">
        <x:v>0</x:v>
      </x:c>
    </x:row>
    <x:row r="6826" ht="34" customHeight="1">
      <x:c r="A6826" s="4" t="str">
        <x:v>RS-03424-I1</x:v>
      </x:c>
      <x:c r="B6826" s="4" t="str">
        <x:v>RS-03424</x:v>
      </x:c>
      <x:c r="C6826" s="9" t="n">
        <x:v>1</x:v>
      </x:c>
      <x:c r="D6826" s="8" t="n">
        <x:v>45481</x:v>
      </x:c>
      <x:c r="E6826" s="9" t="n">
        <x:v>3799250</x:v>
      </x:c>
      <x:c r="F6826" s="9" t="n">
        <x:v>3799250</x:v>
      </x:c>
    </x:row>
    <x:row r="6827" ht="34" customHeight="1">
      <x:c r="A6827" s="4" t="str">
        <x:v>RS-03424-I2</x:v>
      </x:c>
      <x:c r="B6827" s="4" t="str">
        <x:v>RS-03424</x:v>
      </x:c>
      <x:c r="C6827" s="9" t="n">
        <x:v>2</x:v>
      </x:c>
      <x:c r="D6827" s="8" t="n">
        <x:v>45511</x:v>
      </x:c>
      <x:c r="E6827" s="9" t="n">
        <x:v>3799250</x:v>
      </x:c>
      <x:c r="F6827" s="9" t="n">
        <x:v>3799250</x:v>
      </x:c>
    </x:row>
    <x:row r="6828" ht="34" customHeight="1">
      <x:c r="A6828" s="4" t="str">
        <x:v>RS-03424-I3</x:v>
      </x:c>
      <x:c r="B6828" s="4" t="str">
        <x:v>RS-03424</x:v>
      </x:c>
      <x:c r="C6828" s="9" t="n">
        <x:v>3</x:v>
      </x:c>
      <x:c r="D6828" s="8" t="n">
        <x:v>45541</x:v>
      </x:c>
      <x:c r="E6828" s="9" t="n">
        <x:v>3799250</x:v>
      </x:c>
      <x:c r="F6828" s="9" t="n">
        <x:v>3799250</x:v>
      </x:c>
    </x:row>
    <x:row r="6829" ht="34" customHeight="1">
      <x:c r="A6829" s="4" t="str">
        <x:v>RS-03424-I4</x:v>
      </x:c>
      <x:c r="B6829" s="4" t="str">
        <x:v>RS-03424</x:v>
      </x:c>
      <x:c r="C6829" s="9" t="n">
        <x:v>4</x:v>
      </x:c>
      <x:c r="D6829" s="8" t="n">
        <x:v>45571</x:v>
      </x:c>
      <x:c r="E6829" s="9" t="n">
        <x:v>3799250</x:v>
      </x:c>
      <x:c r="F6829" s="9" t="n">
        <x:v>3799250</x:v>
      </x:c>
    </x:row>
    <x:row r="6830" ht="34" customHeight="1">
      <x:c r="A6830" s="4" t="str">
        <x:v>RS-03429-I1</x:v>
      </x:c>
      <x:c r="B6830" s="4" t="str">
        <x:v>RS-03429</x:v>
      </x:c>
      <x:c r="C6830" s="9" t="n">
        <x:v>1</x:v>
      </x:c>
      <x:c r="D6830" s="8" t="n">
        <x:v>45486</x:v>
      </x:c>
      <x:c r="E6830" s="9" t="n">
        <x:v>4441500</x:v>
      </x:c>
      <x:c r="F6830" s="9" t="n">
        <x:v>4441500</x:v>
      </x:c>
    </x:row>
    <x:row r="6831" ht="34" customHeight="1">
      <x:c r="A6831" s="4" t="str">
        <x:v>RS-03429-I2</x:v>
      </x:c>
      <x:c r="B6831" s="4" t="str">
        <x:v>RS-03429</x:v>
      </x:c>
      <x:c r="C6831" s="9" t="n">
        <x:v>2</x:v>
      </x:c>
      <x:c r="D6831" s="8" t="n">
        <x:v>45516</x:v>
      </x:c>
      <x:c r="E6831" s="9" t="n">
        <x:v>4441500</x:v>
      </x:c>
      <x:c r="F6831" s="9" t="n">
        <x:v>0</x:v>
      </x:c>
    </x:row>
    <x:row r="6832" ht="34" customHeight="1">
      <x:c r="A6832" s="4" t="str">
        <x:v>RS-03429-I3</x:v>
      </x:c>
      <x:c r="B6832" s="4" t="str">
        <x:v>RS-03429</x:v>
      </x:c>
      <x:c r="C6832" s="9" t="n">
        <x:v>3</x:v>
      </x:c>
      <x:c r="D6832" s="8" t="n">
        <x:v>45546</x:v>
      </x:c>
      <x:c r="E6832" s="9" t="n">
        <x:v>4441500</x:v>
      </x:c>
      <x:c r="F6832" s="9" t="n">
        <x:v>0</x:v>
      </x:c>
    </x:row>
    <x:row r="6833" ht="34" customHeight="1">
      <x:c r="A6833" s="4" t="str">
        <x:v>RS-03429-I4</x:v>
      </x:c>
      <x:c r="B6833" s="4" t="str">
        <x:v>RS-03429</x:v>
      </x:c>
      <x:c r="C6833" s="9" t="n">
        <x:v>4</x:v>
      </x:c>
      <x:c r="D6833" s="8" t="n">
        <x:v>45576</x:v>
      </x:c>
      <x:c r="E6833" s="9" t="n">
        <x:v>4441500</x:v>
      </x:c>
      <x:c r="F6833" s="9" t="n">
        <x:v>0</x:v>
      </x:c>
    </x:row>
    <x:row r="6834" ht="34" customHeight="1">
      <x:c r="A6834" s="4" t="str">
        <x:v>RS-03431-I1</x:v>
      </x:c>
      <x:c r="B6834" s="4" t="str">
        <x:v>RS-03431</x:v>
      </x:c>
      <x:c r="C6834" s="9" t="n">
        <x:v>1</x:v>
      </x:c>
      <x:c r="D6834" s="8" t="n">
        <x:v>45488</x:v>
      </x:c>
      <x:c r="E6834" s="9" t="n">
        <x:v>2796750</x:v>
      </x:c>
      <x:c r="F6834" s="9" t="n">
        <x:v>2796750</x:v>
      </x:c>
    </x:row>
    <x:row r="6835" ht="34" customHeight="1">
      <x:c r="A6835" s="4" t="str">
        <x:v>RS-03431-I2</x:v>
      </x:c>
      <x:c r="B6835" s="4" t="str">
        <x:v>RS-03431</x:v>
      </x:c>
      <x:c r="C6835" s="9" t="n">
        <x:v>2</x:v>
      </x:c>
      <x:c r="D6835" s="8" t="n">
        <x:v>45518</x:v>
      </x:c>
      <x:c r="E6835" s="9" t="n">
        <x:v>2796750</x:v>
      </x:c>
      <x:c r="F6835" s="9" t="n">
        <x:v>2796750</x:v>
      </x:c>
    </x:row>
    <x:row r="6836" ht="34" customHeight="1">
      <x:c r="A6836" s="4" t="str">
        <x:v>RS-03431-I3</x:v>
      </x:c>
      <x:c r="B6836" s="4" t="str">
        <x:v>RS-03431</x:v>
      </x:c>
      <x:c r="C6836" s="9" t="n">
        <x:v>3</x:v>
      </x:c>
      <x:c r="D6836" s="8" t="n">
        <x:v>45548</x:v>
      </x:c>
      <x:c r="E6836" s="9" t="n">
        <x:v>2796750</x:v>
      </x:c>
      <x:c r="F6836" s="9" t="n">
        <x:v>2796750</x:v>
      </x:c>
    </x:row>
    <x:row r="6837" ht="34" customHeight="1">
      <x:c r="A6837" s="4" t="str">
        <x:v>RS-03431-I4</x:v>
      </x:c>
      <x:c r="B6837" s="4" t="str">
        <x:v>RS-03431</x:v>
      </x:c>
      <x:c r="C6837" s="9" t="n">
        <x:v>4</x:v>
      </x:c>
      <x:c r="D6837" s="8" t="n">
        <x:v>45578</x:v>
      </x:c>
      <x:c r="E6837" s="9" t="n">
        <x:v>2796750</x:v>
      </x:c>
      <x:c r="F6837" s="9" t="n">
        <x:v>2796750</x:v>
      </x:c>
    </x:row>
    <x:row r="6838" ht="34" customHeight="1">
      <x:c r="A6838" s="4" t="str">
        <x:v>RS-03435-I1</x:v>
      </x:c>
      <x:c r="B6838" s="4" t="str">
        <x:v>RS-03435</x:v>
      </x:c>
      <x:c r="C6838" s="9" t="n">
        <x:v>1</x:v>
      </x:c>
      <x:c r="D6838" s="8" t="n">
        <x:v>45492</x:v>
      </x:c>
      <x:c r="E6838" s="9" t="n">
        <x:v>4394250</x:v>
      </x:c>
      <x:c r="F6838" s="9" t="n">
        <x:v>4394250</x:v>
      </x:c>
    </x:row>
    <x:row r="6839" ht="34" customHeight="1">
      <x:c r="A6839" s="4" t="str">
        <x:v>RS-03435-I2</x:v>
      </x:c>
      <x:c r="B6839" s="4" t="str">
        <x:v>RS-03435</x:v>
      </x:c>
      <x:c r="C6839" s="9" t="n">
        <x:v>2</x:v>
      </x:c>
      <x:c r="D6839" s="8" t="n">
        <x:v>45522</x:v>
      </x:c>
      <x:c r="E6839" s="9" t="n">
        <x:v>4394250</x:v>
      </x:c>
      <x:c r="F6839" s="9" t="n">
        <x:v>4394250</x:v>
      </x:c>
    </x:row>
    <x:row r="6840" ht="34" customHeight="1">
      <x:c r="A6840" s="4" t="str">
        <x:v>RS-03435-I3</x:v>
      </x:c>
      <x:c r="B6840" s="4" t="str">
        <x:v>RS-03435</x:v>
      </x:c>
      <x:c r="C6840" s="9" t="n">
        <x:v>3</x:v>
      </x:c>
      <x:c r="D6840" s="8" t="n">
        <x:v>45552</x:v>
      </x:c>
      <x:c r="E6840" s="9" t="n">
        <x:v>4394250</x:v>
      </x:c>
      <x:c r="F6840" s="9" t="n">
        <x:v>4394250</x:v>
      </x:c>
    </x:row>
    <x:row r="6841" ht="34" customHeight="1">
      <x:c r="A6841" s="4" t="str">
        <x:v>RS-03435-I4</x:v>
      </x:c>
      <x:c r="B6841" s="4" t="str">
        <x:v>RS-03435</x:v>
      </x:c>
      <x:c r="C6841" s="9" t="n">
        <x:v>4</x:v>
      </x:c>
      <x:c r="D6841" s="8" t="n">
        <x:v>45582</x:v>
      </x:c>
      <x:c r="E6841" s="9" t="n">
        <x:v>4394250</x:v>
      </x:c>
      <x:c r="F6841" s="9" t="n">
        <x:v>4394250</x:v>
      </x:c>
    </x:row>
    <x:row r="6842" ht="34" customHeight="1">
      <x:c r="A6842" s="4" t="str">
        <x:v>RS-03437-I1</x:v>
      </x:c>
      <x:c r="B6842" s="4" t="str">
        <x:v>RS-03437</x:v>
      </x:c>
      <x:c r="C6842" s="9" t="n">
        <x:v>1</x:v>
      </x:c>
      <x:c r="D6842" s="8" t="n">
        <x:v>45494</x:v>
      </x:c>
      <x:c r="E6842" s="9" t="n">
        <x:v>5350000</x:v>
      </x:c>
      <x:c r="F6842" s="9" t="n">
        <x:v>5350000</x:v>
      </x:c>
    </x:row>
    <x:row r="6843" ht="34" customHeight="1">
      <x:c r="A6843" s="4" t="str">
        <x:v>RS-03437-I2</x:v>
      </x:c>
      <x:c r="B6843" s="4" t="str">
        <x:v>RS-03437</x:v>
      </x:c>
      <x:c r="C6843" s="9" t="n">
        <x:v>2</x:v>
      </x:c>
      <x:c r="D6843" s="8" t="n">
        <x:v>45524</x:v>
      </x:c>
      <x:c r="E6843" s="9" t="n">
        <x:v>5350000</x:v>
      </x:c>
      <x:c r="F6843" s="9" t="n">
        <x:v>0</x:v>
      </x:c>
    </x:row>
    <x:row r="6844" ht="34" customHeight="1">
      <x:c r="A6844" s="4" t="str">
        <x:v>RS-03437-I3</x:v>
      </x:c>
      <x:c r="B6844" s="4" t="str">
        <x:v>RS-03437</x:v>
      </x:c>
      <x:c r="C6844" s="9" t="n">
        <x:v>3</x:v>
      </x:c>
      <x:c r="D6844" s="8" t="n">
        <x:v>45554</x:v>
      </x:c>
      <x:c r="E6844" s="9" t="n">
        <x:v>5350000</x:v>
      </x:c>
      <x:c r="F6844" s="9" t="n">
        <x:v>0</x:v>
      </x:c>
    </x:row>
    <x:row r="6845" ht="34" customHeight="1">
      <x:c r="A6845" s="4" t="str">
        <x:v>RS-03437-I4</x:v>
      </x:c>
      <x:c r="B6845" s="4" t="str">
        <x:v>RS-03437</x:v>
      </x:c>
      <x:c r="C6845" s="9" t="n">
        <x:v>4</x:v>
      </x:c>
      <x:c r="D6845" s="8" t="n">
        <x:v>45584</x:v>
      </x:c>
      <x:c r="E6845" s="9" t="n">
        <x:v>5350000</x:v>
      </x:c>
      <x:c r="F6845" s="9" t="n">
        <x:v>0</x:v>
      </x:c>
    </x:row>
    <x:row r="6846" ht="34" customHeight="1">
      <x:c r="A6846" s="4" t="str">
        <x:v>RS-03438-I1</x:v>
      </x:c>
      <x:c r="B6846" s="4" t="str">
        <x:v>RS-03438</x:v>
      </x:c>
      <x:c r="C6846" s="9" t="n">
        <x:v>1</x:v>
      </x:c>
      <x:c r="D6846" s="8" t="n">
        <x:v>45495</x:v>
      </x:c>
      <x:c r="E6846" s="9" t="n">
        <x:v>4394500</x:v>
      </x:c>
      <x:c r="F6846" s="9" t="n">
        <x:v>1757800</x:v>
      </x:c>
    </x:row>
    <x:row r="6847" ht="34" customHeight="1">
      <x:c r="A6847" s="4" t="str">
        <x:v>RS-03438-I2</x:v>
      </x:c>
      <x:c r="B6847" s="4" t="str">
        <x:v>RS-03438</x:v>
      </x:c>
      <x:c r="C6847" s="9" t="n">
        <x:v>2</x:v>
      </x:c>
      <x:c r="D6847" s="8" t="n">
        <x:v>45525</x:v>
      </x:c>
      <x:c r="E6847" s="9" t="n">
        <x:v>4394500</x:v>
      </x:c>
      <x:c r="F6847" s="9" t="n">
        <x:v>0</x:v>
      </x:c>
    </x:row>
    <x:row r="6848" ht="34" customHeight="1">
      <x:c r="A6848" s="4" t="str">
        <x:v>RS-03438-I3</x:v>
      </x:c>
      <x:c r="B6848" s="4" t="str">
        <x:v>RS-03438</x:v>
      </x:c>
      <x:c r="C6848" s="9" t="n">
        <x:v>3</x:v>
      </x:c>
      <x:c r="D6848" s="8" t="n">
        <x:v>45555</x:v>
      </x:c>
      <x:c r="E6848" s="9" t="n">
        <x:v>4394500</x:v>
      </x:c>
      <x:c r="F6848" s="9" t="n">
        <x:v>0</x:v>
      </x:c>
    </x:row>
    <x:row r="6849" ht="34" customHeight="1">
      <x:c r="A6849" s="4" t="str">
        <x:v>RS-03438-I4</x:v>
      </x:c>
      <x:c r="B6849" s="4" t="str">
        <x:v>RS-03438</x:v>
      </x:c>
      <x:c r="C6849" s="9" t="n">
        <x:v>4</x:v>
      </x:c>
      <x:c r="D6849" s="8" t="n">
        <x:v>45585</x:v>
      </x:c>
      <x:c r="E6849" s="9" t="n">
        <x:v>4394500</x:v>
      </x:c>
      <x:c r="F6849" s="9" t="n">
        <x:v>0</x:v>
      </x:c>
    </x:row>
    <x:row r="6850" ht="34" customHeight="1">
      <x:c r="A6850" s="4" t="str">
        <x:v>RS-03440-I1</x:v>
      </x:c>
      <x:c r="B6850" s="4" t="str">
        <x:v>RS-03440</x:v>
      </x:c>
      <x:c r="C6850" s="9" t="n">
        <x:v>1</x:v>
      </x:c>
      <x:c r="D6850" s="8" t="n">
        <x:v>45497</x:v>
      </x:c>
      <x:c r="E6850" s="9" t="n">
        <x:v>2520000</x:v>
      </x:c>
      <x:c r="F6850" s="9" t="n">
        <x:v>2520000</x:v>
      </x:c>
    </x:row>
    <x:row r="6851" ht="34" customHeight="1">
      <x:c r="A6851" s="4" t="str">
        <x:v>RS-03440-I2</x:v>
      </x:c>
      <x:c r="B6851" s="4" t="str">
        <x:v>RS-03440</x:v>
      </x:c>
      <x:c r="C6851" s="9" t="n">
        <x:v>2</x:v>
      </x:c>
      <x:c r="D6851" s="8" t="n">
        <x:v>45527</x:v>
      </x:c>
      <x:c r="E6851" s="9" t="n">
        <x:v>2520000</x:v>
      </x:c>
      <x:c r="F6851" s="9" t="n">
        <x:v>2520000</x:v>
      </x:c>
    </x:row>
    <x:row r="6852" ht="34" customHeight="1">
      <x:c r="A6852" s="4" t="str">
        <x:v>RS-03440-I3</x:v>
      </x:c>
      <x:c r="B6852" s="4" t="str">
        <x:v>RS-03440</x:v>
      </x:c>
      <x:c r="C6852" s="9" t="n">
        <x:v>3</x:v>
      </x:c>
      <x:c r="D6852" s="8" t="n">
        <x:v>45557</x:v>
      </x:c>
      <x:c r="E6852" s="9" t="n">
        <x:v>2520000</x:v>
      </x:c>
      <x:c r="F6852" s="9" t="n">
        <x:v>0</x:v>
      </x:c>
    </x:row>
    <x:row r="6853" ht="34" customHeight="1">
      <x:c r="A6853" s="4" t="str">
        <x:v>RS-03440-I4</x:v>
      </x:c>
      <x:c r="B6853" s="4" t="str">
        <x:v>RS-03440</x:v>
      </x:c>
      <x:c r="C6853" s="9" t="n">
        <x:v>4</x:v>
      </x:c>
      <x:c r="D6853" s="8" t="n">
        <x:v>45587</x:v>
      </x:c>
      <x:c r="E6853" s="9" t="n">
        <x:v>2520000</x:v>
      </x:c>
      <x:c r="F6853" s="9" t="n">
        <x:v>0</x:v>
      </x:c>
    </x:row>
    <x:row r="6854" ht="34" customHeight="1">
      <x:c r="A6854" s="4" t="str">
        <x:v>RS-03441-I1</x:v>
      </x:c>
      <x:c r="B6854" s="4" t="str">
        <x:v>RS-03441</x:v>
      </x:c>
      <x:c r="C6854" s="9" t="n">
        <x:v>1</x:v>
      </x:c>
      <x:c r="D6854" s="8" t="n">
        <x:v>45498</x:v>
      </x:c>
      <x:c r="E6854" s="9" t="n">
        <x:v>1503500</x:v>
      </x:c>
      <x:c r="F6854" s="9" t="n">
        <x:v>1503500</x:v>
      </x:c>
    </x:row>
    <x:row r="6855" ht="34" customHeight="1">
      <x:c r="A6855" s="4" t="str">
        <x:v>RS-03441-I2</x:v>
      </x:c>
      <x:c r="B6855" s="4" t="str">
        <x:v>RS-03441</x:v>
      </x:c>
      <x:c r="C6855" s="9" t="n">
        <x:v>2</x:v>
      </x:c>
      <x:c r="D6855" s="8" t="n">
        <x:v>45528</x:v>
      </x:c>
      <x:c r="E6855" s="9" t="n">
        <x:v>1503500</x:v>
      </x:c>
      <x:c r="F6855" s="9" t="n">
        <x:v>1503500</x:v>
      </x:c>
    </x:row>
    <x:row r="6856" ht="34" customHeight="1">
      <x:c r="A6856" s="4" t="str">
        <x:v>RS-03441-I3</x:v>
      </x:c>
      <x:c r="B6856" s="4" t="str">
        <x:v>RS-03441</x:v>
      </x:c>
      <x:c r="C6856" s="9" t="n">
        <x:v>3</x:v>
      </x:c>
      <x:c r="D6856" s="8" t="n">
        <x:v>45558</x:v>
      </x:c>
      <x:c r="E6856" s="9" t="n">
        <x:v>1503500</x:v>
      </x:c>
      <x:c r="F6856" s="9" t="n">
        <x:v>0</x:v>
      </x:c>
    </x:row>
    <x:row r="6857" ht="34" customHeight="1">
      <x:c r="A6857" s="4" t="str">
        <x:v>RS-03441-I4</x:v>
      </x:c>
      <x:c r="B6857" s="4" t="str">
        <x:v>RS-03441</x:v>
      </x:c>
      <x:c r="C6857" s="9" t="n">
        <x:v>4</x:v>
      </x:c>
      <x:c r="D6857" s="8" t="n">
        <x:v>45588</x:v>
      </x:c>
      <x:c r="E6857" s="9" t="n">
        <x:v>1503500</x:v>
      </x:c>
      <x:c r="F6857" s="9" t="n">
        <x:v>0</x:v>
      </x:c>
    </x:row>
    <x:row r="6858" ht="34" customHeight="1">
      <x:c r="A6858" s="4" t="str">
        <x:v>RS-03442-I1</x:v>
      </x:c>
      <x:c r="B6858" s="4" t="str">
        <x:v>RS-03442</x:v>
      </x:c>
      <x:c r="C6858" s="9" t="n">
        <x:v>1</x:v>
      </x:c>
      <x:c r="D6858" s="8" t="n">
        <x:v>45499</x:v>
      </x:c>
      <x:c r="E6858" s="9" t="n">
        <x:v>1377500</x:v>
      </x:c>
      <x:c r="F6858" s="9" t="n">
        <x:v>1377500</x:v>
      </x:c>
    </x:row>
    <x:row r="6859" ht="34" customHeight="1">
      <x:c r="A6859" s="4" t="str">
        <x:v>RS-03442-I2</x:v>
      </x:c>
      <x:c r="B6859" s="4" t="str">
        <x:v>RS-03442</x:v>
      </x:c>
      <x:c r="C6859" s="9" t="n">
        <x:v>2</x:v>
      </x:c>
      <x:c r="D6859" s="8" t="n">
        <x:v>45529</x:v>
      </x:c>
      <x:c r="E6859" s="9" t="n">
        <x:v>1377500</x:v>
      </x:c>
      <x:c r="F6859" s="9" t="n">
        <x:v>1377500</x:v>
      </x:c>
    </x:row>
    <x:row r="6860" ht="34" customHeight="1">
      <x:c r="A6860" s="4" t="str">
        <x:v>RS-03442-I3</x:v>
      </x:c>
      <x:c r="B6860" s="4" t="str">
        <x:v>RS-03442</x:v>
      </x:c>
      <x:c r="C6860" s="9" t="n">
        <x:v>3</x:v>
      </x:c>
      <x:c r="D6860" s="8" t="n">
        <x:v>45559</x:v>
      </x:c>
      <x:c r="E6860" s="9" t="n">
        <x:v>1377500</x:v>
      </x:c>
      <x:c r="F6860" s="9" t="n">
        <x:v>1377500</x:v>
      </x:c>
    </x:row>
    <x:row r="6861" ht="34" customHeight="1">
      <x:c r="A6861" s="4" t="str">
        <x:v>RS-03442-I4</x:v>
      </x:c>
      <x:c r="B6861" s="4" t="str">
        <x:v>RS-03442</x:v>
      </x:c>
      <x:c r="C6861" s="9" t="n">
        <x:v>4</x:v>
      </x:c>
      <x:c r="D6861" s="8" t="n">
        <x:v>45589</x:v>
      </x:c>
      <x:c r="E6861" s="9" t="n">
        <x:v>1377500</x:v>
      </x:c>
      <x:c r="F6861" s="9" t="n">
        <x:v>1377500</x:v>
      </x:c>
    </x:row>
    <x:row r="6862" ht="34" customHeight="1">
      <x:c r="A6862" s="4" t="str">
        <x:v>RS-03443-I1</x:v>
      </x:c>
      <x:c r="B6862" s="4" t="str">
        <x:v>RS-03443</x:v>
      </x:c>
      <x:c r="C6862" s="9" t="n">
        <x:v>1</x:v>
      </x:c>
      <x:c r="D6862" s="8" t="n">
        <x:v>45500</x:v>
      </x:c>
      <x:c r="E6862" s="9" t="n">
        <x:v>5688000</x:v>
      </x:c>
      <x:c r="F6862" s="9" t="n">
        <x:v>5688000</x:v>
      </x:c>
    </x:row>
    <x:row r="6863" ht="34" customHeight="1">
      <x:c r="A6863" s="4" t="str">
        <x:v>RS-03443-I2</x:v>
      </x:c>
      <x:c r="B6863" s="4" t="str">
        <x:v>RS-03443</x:v>
      </x:c>
      <x:c r="C6863" s="9" t="n">
        <x:v>2</x:v>
      </x:c>
      <x:c r="D6863" s="8" t="n">
        <x:v>45530</x:v>
      </x:c>
      <x:c r="E6863" s="9" t="n">
        <x:v>5688000</x:v>
      </x:c>
      <x:c r="F6863" s="9" t="n">
        <x:v>5688000</x:v>
      </x:c>
    </x:row>
    <x:row r="6864" ht="34" customHeight="1">
      <x:c r="A6864" s="4" t="str">
        <x:v>RS-03443-I3</x:v>
      </x:c>
      <x:c r="B6864" s="4" t="str">
        <x:v>RS-03443</x:v>
      </x:c>
      <x:c r="C6864" s="9" t="n">
        <x:v>3</x:v>
      </x:c>
      <x:c r="D6864" s="8" t="n">
        <x:v>45560</x:v>
      </x:c>
      <x:c r="E6864" s="9" t="n">
        <x:v>5688000</x:v>
      </x:c>
      <x:c r="F6864" s="9" t="n">
        <x:v>0</x:v>
      </x:c>
    </x:row>
    <x:row r="6865" ht="34" customHeight="1">
      <x:c r="A6865" s="4" t="str">
        <x:v>RS-03443-I4</x:v>
      </x:c>
      <x:c r="B6865" s="4" t="str">
        <x:v>RS-03443</x:v>
      </x:c>
      <x:c r="C6865" s="9" t="n">
        <x:v>4</x:v>
      </x:c>
      <x:c r="D6865" s="8" t="n">
        <x:v>45590</x:v>
      </x:c>
      <x:c r="E6865" s="9" t="n">
        <x:v>5688000</x:v>
      </x:c>
      <x:c r="F6865" s="9" t="n">
        <x:v>0</x:v>
      </x:c>
    </x:row>
    <x:row r="6866" ht="34" customHeight="1">
      <x:c r="A6866" s="4" t="str">
        <x:v>RS-03445-I1</x:v>
      </x:c>
      <x:c r="B6866" s="4" t="str">
        <x:v>RS-03445</x:v>
      </x:c>
      <x:c r="C6866" s="9" t="n">
        <x:v>1</x:v>
      </x:c>
      <x:c r="D6866" s="8" t="n">
        <x:v>45474</x:v>
      </x:c>
      <x:c r="E6866" s="9" t="n">
        <x:v>5198000</x:v>
      </x:c>
      <x:c r="F6866" s="9" t="n">
        <x:v>5198000</x:v>
      </x:c>
    </x:row>
    <x:row r="6867" ht="34" customHeight="1">
      <x:c r="A6867" s="4" t="str">
        <x:v>RS-03445-I2</x:v>
      </x:c>
      <x:c r="B6867" s="4" t="str">
        <x:v>RS-03445</x:v>
      </x:c>
      <x:c r="C6867" s="9" t="n">
        <x:v>2</x:v>
      </x:c>
      <x:c r="D6867" s="8" t="n">
        <x:v>45504</x:v>
      </x:c>
      <x:c r="E6867" s="9" t="n">
        <x:v>5198000</x:v>
      </x:c>
      <x:c r="F6867" s="9" t="n">
        <x:v>5198000</x:v>
      </x:c>
    </x:row>
    <x:row r="6868" ht="34" customHeight="1">
      <x:c r="A6868" s="4" t="str">
        <x:v>RS-03445-I3</x:v>
      </x:c>
      <x:c r="B6868" s="4" t="str">
        <x:v>RS-03445</x:v>
      </x:c>
      <x:c r="C6868" s="9" t="n">
        <x:v>3</x:v>
      </x:c>
      <x:c r="D6868" s="8" t="n">
        <x:v>45534</x:v>
      </x:c>
      <x:c r="E6868" s="9" t="n">
        <x:v>5198000</x:v>
      </x:c>
      <x:c r="F6868" s="9" t="n">
        <x:v>0</x:v>
      </x:c>
    </x:row>
    <x:row r="6869" ht="34" customHeight="1">
      <x:c r="A6869" s="4" t="str">
        <x:v>RS-03445-I4</x:v>
      </x:c>
      <x:c r="B6869" s="4" t="str">
        <x:v>RS-03445</x:v>
      </x:c>
      <x:c r="C6869" s="9" t="n">
        <x:v>4</x:v>
      </x:c>
      <x:c r="D6869" s="8" t="n">
        <x:v>45564</x:v>
      </x:c>
      <x:c r="E6869" s="9" t="n">
        <x:v>5198000</x:v>
      </x:c>
      <x:c r="F6869" s="9" t="n">
        <x:v>0</x:v>
      </x:c>
    </x:row>
    <x:row r="6870" ht="34" customHeight="1">
      <x:c r="A6870" s="4" t="str">
        <x:v>RS-03447-I1</x:v>
      </x:c>
      <x:c r="B6870" s="4" t="str">
        <x:v>RS-03447</x:v>
      </x:c>
      <x:c r="C6870" s="9" t="n">
        <x:v>1</x:v>
      </x:c>
      <x:c r="D6870" s="8" t="n">
        <x:v>45476</x:v>
      </x:c>
      <x:c r="E6870" s="9" t="n">
        <x:v>989000</x:v>
      </x:c>
      <x:c r="F6870" s="9" t="n">
        <x:v>989000</x:v>
      </x:c>
    </x:row>
    <x:row r="6871" ht="34" customHeight="1">
      <x:c r="A6871" s="4" t="str">
        <x:v>RS-03447-I2</x:v>
      </x:c>
      <x:c r="B6871" s="4" t="str">
        <x:v>RS-03447</x:v>
      </x:c>
      <x:c r="C6871" s="9" t="n">
        <x:v>2</x:v>
      </x:c>
      <x:c r="D6871" s="8" t="n">
        <x:v>45506</x:v>
      </x:c>
      <x:c r="E6871" s="9" t="n">
        <x:v>989000</x:v>
      </x:c>
      <x:c r="F6871" s="9" t="n">
        <x:v>0</x:v>
      </x:c>
    </x:row>
    <x:row r="6872" ht="34" customHeight="1">
      <x:c r="A6872" s="4" t="str">
        <x:v>RS-03447-I3</x:v>
      </x:c>
      <x:c r="B6872" s="4" t="str">
        <x:v>RS-03447</x:v>
      </x:c>
      <x:c r="C6872" s="9" t="n">
        <x:v>3</x:v>
      </x:c>
      <x:c r="D6872" s="8" t="n">
        <x:v>45536</x:v>
      </x:c>
      <x:c r="E6872" s="9" t="n">
        <x:v>989000</x:v>
      </x:c>
      <x:c r="F6872" s="9" t="n">
        <x:v>0</x:v>
      </x:c>
    </x:row>
    <x:row r="6873" ht="34" customHeight="1">
      <x:c r="A6873" s="4" t="str">
        <x:v>RS-03447-I4</x:v>
      </x:c>
      <x:c r="B6873" s="4" t="str">
        <x:v>RS-03447</x:v>
      </x:c>
      <x:c r="C6873" s="9" t="n">
        <x:v>4</x:v>
      </x:c>
      <x:c r="D6873" s="8" t="n">
        <x:v>45566</x:v>
      </x:c>
      <x:c r="E6873" s="9" t="n">
        <x:v>989000</x:v>
      </x:c>
      <x:c r="F6873" s="9" t="n">
        <x:v>0</x:v>
      </x:c>
    </x:row>
    <x:row r="6874" ht="34" customHeight="1">
      <x:c r="A6874" s="4" t="str">
        <x:v>RS-03448-I1</x:v>
      </x:c>
      <x:c r="B6874" s="4" t="str">
        <x:v>RS-03448</x:v>
      </x:c>
      <x:c r="C6874" s="9" t="n">
        <x:v>1</x:v>
      </x:c>
      <x:c r="D6874" s="8" t="n">
        <x:v>45477</x:v>
      </x:c>
      <x:c r="E6874" s="9" t="n">
        <x:v>3019500</x:v>
      </x:c>
      <x:c r="F6874" s="9" t="n">
        <x:v>3019500</x:v>
      </x:c>
    </x:row>
    <x:row r="6875" ht="34" customHeight="1">
      <x:c r="A6875" s="4" t="str">
        <x:v>RS-03448-I2</x:v>
      </x:c>
      <x:c r="B6875" s="4" t="str">
        <x:v>RS-03448</x:v>
      </x:c>
      <x:c r="C6875" s="9" t="n">
        <x:v>2</x:v>
      </x:c>
      <x:c r="D6875" s="8" t="n">
        <x:v>45507</x:v>
      </x:c>
      <x:c r="E6875" s="9" t="n">
        <x:v>3019500</x:v>
      </x:c>
      <x:c r="F6875" s="9" t="n">
        <x:v>3019500</x:v>
      </x:c>
    </x:row>
    <x:row r="6876" ht="34" customHeight="1">
      <x:c r="A6876" s="4" t="str">
        <x:v>RS-03448-I3</x:v>
      </x:c>
      <x:c r="B6876" s="4" t="str">
        <x:v>RS-03448</x:v>
      </x:c>
      <x:c r="C6876" s="9" t="n">
        <x:v>3</x:v>
      </x:c>
      <x:c r="D6876" s="8" t="n">
        <x:v>45537</x:v>
      </x:c>
      <x:c r="E6876" s="9" t="n">
        <x:v>3019500</x:v>
      </x:c>
      <x:c r="F6876" s="9" t="n">
        <x:v>0</x:v>
      </x:c>
    </x:row>
    <x:row r="6877" ht="34" customHeight="1">
      <x:c r="A6877" s="4" t="str">
        <x:v>RS-03448-I4</x:v>
      </x:c>
      <x:c r="B6877" s="4" t="str">
        <x:v>RS-03448</x:v>
      </x:c>
      <x:c r="C6877" s="9" t="n">
        <x:v>4</x:v>
      </x:c>
      <x:c r="D6877" s="8" t="n">
        <x:v>45567</x:v>
      </x:c>
      <x:c r="E6877" s="9" t="n">
        <x:v>3019500</x:v>
      </x:c>
      <x:c r="F6877" s="9" t="n">
        <x:v>0</x:v>
      </x:c>
    </x:row>
    <x:row r="6878" ht="34" customHeight="1">
      <x:c r="A6878" s="4" t="str">
        <x:v>RS-03449-I1</x:v>
      </x:c>
      <x:c r="B6878" s="4" t="str">
        <x:v>RS-03449</x:v>
      </x:c>
      <x:c r="C6878" s="9" t="n">
        <x:v>1</x:v>
      </x:c>
      <x:c r="D6878" s="8" t="n">
        <x:v>45478</x:v>
      </x:c>
      <x:c r="E6878" s="9" t="n">
        <x:v>5006250</x:v>
      </x:c>
      <x:c r="F6878" s="9" t="n">
        <x:v>5006250</x:v>
      </x:c>
    </x:row>
    <x:row r="6879" ht="34" customHeight="1">
      <x:c r="A6879" s="4" t="str">
        <x:v>RS-03449-I2</x:v>
      </x:c>
      <x:c r="B6879" s="4" t="str">
        <x:v>RS-03449</x:v>
      </x:c>
      <x:c r="C6879" s="9" t="n">
        <x:v>2</x:v>
      </x:c>
      <x:c r="D6879" s="8" t="n">
        <x:v>45508</x:v>
      </x:c>
      <x:c r="E6879" s="9" t="n">
        <x:v>5006250</x:v>
      </x:c>
      <x:c r="F6879" s="9" t="n">
        <x:v>5006250</x:v>
      </x:c>
    </x:row>
    <x:row r="6880" ht="34" customHeight="1">
      <x:c r="A6880" s="4" t="str">
        <x:v>RS-03449-I3</x:v>
      </x:c>
      <x:c r="B6880" s="4" t="str">
        <x:v>RS-03449</x:v>
      </x:c>
      <x:c r="C6880" s="9" t="n">
        <x:v>3</x:v>
      </x:c>
      <x:c r="D6880" s="8" t="n">
        <x:v>45538</x:v>
      </x:c>
      <x:c r="E6880" s="9" t="n">
        <x:v>5006250</x:v>
      </x:c>
      <x:c r="F6880" s="9" t="n">
        <x:v>0</x:v>
      </x:c>
    </x:row>
    <x:row r="6881" ht="34" customHeight="1">
      <x:c r="A6881" s="4" t="str">
        <x:v>RS-03449-I4</x:v>
      </x:c>
      <x:c r="B6881" s="4" t="str">
        <x:v>RS-03449</x:v>
      </x:c>
      <x:c r="C6881" s="9" t="n">
        <x:v>4</x:v>
      </x:c>
      <x:c r="D6881" s="8" t="n">
        <x:v>45568</x:v>
      </x:c>
      <x:c r="E6881" s="9" t="n">
        <x:v>5006250</x:v>
      </x:c>
      <x:c r="F6881" s="9" t="n">
        <x:v>0</x:v>
      </x:c>
    </x:row>
    <x:row r="6882" ht="34" customHeight="1">
      <x:c r="A6882" s="4" t="str">
        <x:v>RS-03451-I1</x:v>
      </x:c>
      <x:c r="B6882" s="4" t="str">
        <x:v>RS-03451</x:v>
      </x:c>
      <x:c r="C6882" s="9" t="n">
        <x:v>1</x:v>
      </x:c>
      <x:c r="D6882" s="8" t="n">
        <x:v>45480</x:v>
      </x:c>
      <x:c r="E6882" s="9" t="n">
        <x:v>1209000</x:v>
      </x:c>
      <x:c r="F6882" s="9" t="n">
        <x:v>1209000</x:v>
      </x:c>
    </x:row>
    <x:row r="6883" ht="34" customHeight="1">
      <x:c r="A6883" s="4" t="str">
        <x:v>RS-03451-I2</x:v>
      </x:c>
      <x:c r="B6883" s="4" t="str">
        <x:v>RS-03451</x:v>
      </x:c>
      <x:c r="C6883" s="9" t="n">
        <x:v>2</x:v>
      </x:c>
      <x:c r="D6883" s="8" t="n">
        <x:v>45510</x:v>
      </x:c>
      <x:c r="E6883" s="9" t="n">
        <x:v>1209000</x:v>
      </x:c>
      <x:c r="F6883" s="9" t="n">
        <x:v>1209000</x:v>
      </x:c>
    </x:row>
    <x:row r="6884" ht="34" customHeight="1">
      <x:c r="A6884" s="4" t="str">
        <x:v>RS-03451-I3</x:v>
      </x:c>
      <x:c r="B6884" s="4" t="str">
        <x:v>RS-03451</x:v>
      </x:c>
      <x:c r="C6884" s="9" t="n">
        <x:v>3</x:v>
      </x:c>
      <x:c r="D6884" s="8" t="n">
        <x:v>45540</x:v>
      </x:c>
      <x:c r="E6884" s="9" t="n">
        <x:v>1209000</x:v>
      </x:c>
      <x:c r="F6884" s="9" t="n">
        <x:v>0</x:v>
      </x:c>
    </x:row>
    <x:row r="6885" ht="34" customHeight="1">
      <x:c r="A6885" s="4" t="str">
        <x:v>RS-03451-I4</x:v>
      </x:c>
      <x:c r="B6885" s="4" t="str">
        <x:v>RS-03451</x:v>
      </x:c>
      <x:c r="C6885" s="9" t="n">
        <x:v>4</x:v>
      </x:c>
      <x:c r="D6885" s="8" t="n">
        <x:v>45570</x:v>
      </x:c>
      <x:c r="E6885" s="9" t="n">
        <x:v>1209000</x:v>
      </x:c>
      <x:c r="F6885" s="9" t="n">
        <x:v>0</x:v>
      </x:c>
    </x:row>
    <x:row r="6886" ht="34" customHeight="1">
      <x:c r="A6886" s="4" t="str">
        <x:v>RS-03452-I1</x:v>
      </x:c>
      <x:c r="B6886" s="4" t="str">
        <x:v>RS-03452</x:v>
      </x:c>
      <x:c r="C6886" s="9" t="n">
        <x:v>1</x:v>
      </x:c>
      <x:c r="D6886" s="8" t="n">
        <x:v>45481</x:v>
      </x:c>
      <x:c r="E6886" s="9" t="n">
        <x:v>5781000</x:v>
      </x:c>
      <x:c r="F6886" s="9" t="n">
        <x:v>5781000</x:v>
      </x:c>
    </x:row>
    <x:row r="6887" ht="34" customHeight="1">
      <x:c r="A6887" s="4" t="str">
        <x:v>RS-03452-I2</x:v>
      </x:c>
      <x:c r="B6887" s="4" t="str">
        <x:v>RS-03452</x:v>
      </x:c>
      <x:c r="C6887" s="9" t="n">
        <x:v>2</x:v>
      </x:c>
      <x:c r="D6887" s="8" t="n">
        <x:v>45511</x:v>
      </x:c>
      <x:c r="E6887" s="9" t="n">
        <x:v>5781000</x:v>
      </x:c>
      <x:c r="F6887" s="9" t="n">
        <x:v>5781000</x:v>
      </x:c>
    </x:row>
    <x:row r="6888" ht="34" customHeight="1">
      <x:c r="A6888" s="4" t="str">
        <x:v>RS-03452-I3</x:v>
      </x:c>
      <x:c r="B6888" s="4" t="str">
        <x:v>RS-03452</x:v>
      </x:c>
      <x:c r="C6888" s="9" t="n">
        <x:v>3</x:v>
      </x:c>
      <x:c r="D6888" s="8" t="n">
        <x:v>45541</x:v>
      </x:c>
      <x:c r="E6888" s="9" t="n">
        <x:v>5781000</x:v>
      </x:c>
      <x:c r="F6888" s="9" t="n">
        <x:v>5781000</x:v>
      </x:c>
    </x:row>
    <x:row r="6889" ht="34" customHeight="1">
      <x:c r="A6889" s="4" t="str">
        <x:v>RS-03452-I4</x:v>
      </x:c>
      <x:c r="B6889" s="4" t="str">
        <x:v>RS-03452</x:v>
      </x:c>
      <x:c r="C6889" s="9" t="n">
        <x:v>4</x:v>
      </x:c>
      <x:c r="D6889" s="8" t="n">
        <x:v>45571</x:v>
      </x:c>
      <x:c r="E6889" s="9" t="n">
        <x:v>5781000</x:v>
      </x:c>
      <x:c r="F6889" s="9" t="n">
        <x:v>5781000</x:v>
      </x:c>
    </x:row>
    <x:row r="6890" ht="34" customHeight="1">
      <x:c r="A6890" s="4" t="str">
        <x:v>RS-03454-I1</x:v>
      </x:c>
      <x:c r="B6890" s="4" t="str">
        <x:v>RS-03454</x:v>
      </x:c>
      <x:c r="C6890" s="9" t="n">
        <x:v>1</x:v>
      </x:c>
      <x:c r="D6890" s="8" t="n">
        <x:v>45483</x:v>
      </x:c>
      <x:c r="E6890" s="9" t="n">
        <x:v>6100500</x:v>
      </x:c>
      <x:c r="F6890" s="9" t="n">
        <x:v>6100500</x:v>
      </x:c>
    </x:row>
    <x:row r="6891" ht="34" customHeight="1">
      <x:c r="A6891" s="4" t="str">
        <x:v>RS-03454-I2</x:v>
      </x:c>
      <x:c r="B6891" s="4" t="str">
        <x:v>RS-03454</x:v>
      </x:c>
      <x:c r="C6891" s="9" t="n">
        <x:v>2</x:v>
      </x:c>
      <x:c r="D6891" s="8" t="n">
        <x:v>45513</x:v>
      </x:c>
      <x:c r="E6891" s="9" t="n">
        <x:v>6100500</x:v>
      </x:c>
      <x:c r="F6891" s="9" t="n">
        <x:v>6100500</x:v>
      </x:c>
    </x:row>
    <x:row r="6892" ht="34" customHeight="1">
      <x:c r="A6892" s="4" t="str">
        <x:v>RS-03454-I3</x:v>
      </x:c>
      <x:c r="B6892" s="4" t="str">
        <x:v>RS-03454</x:v>
      </x:c>
      <x:c r="C6892" s="9" t="n">
        <x:v>3</x:v>
      </x:c>
      <x:c r="D6892" s="8" t="n">
        <x:v>45543</x:v>
      </x:c>
      <x:c r="E6892" s="9" t="n">
        <x:v>6100500</x:v>
      </x:c>
      <x:c r="F6892" s="9" t="n">
        <x:v>0</x:v>
      </x:c>
    </x:row>
    <x:row r="6893" ht="34" customHeight="1">
      <x:c r="A6893" s="4" t="str">
        <x:v>RS-03454-I4</x:v>
      </x:c>
      <x:c r="B6893" s="4" t="str">
        <x:v>RS-03454</x:v>
      </x:c>
      <x:c r="C6893" s="9" t="n">
        <x:v>4</x:v>
      </x:c>
      <x:c r="D6893" s="8" t="n">
        <x:v>45573</x:v>
      </x:c>
      <x:c r="E6893" s="9" t="n">
        <x:v>6100500</x:v>
      </x:c>
      <x:c r="F6893" s="9" t="n">
        <x:v>0</x:v>
      </x:c>
    </x:row>
    <x:row r="6894" ht="34" customHeight="1">
      <x:c r="A6894" s="4" t="str">
        <x:v>RS-03456-I1</x:v>
      </x:c>
      <x:c r="B6894" s="4" t="str">
        <x:v>RS-03456</x:v>
      </x:c>
      <x:c r="C6894" s="9" t="n">
        <x:v>1</x:v>
      </x:c>
      <x:c r="D6894" s="8" t="n">
        <x:v>45485</x:v>
      </x:c>
      <x:c r="E6894" s="9" t="n">
        <x:v>4026750</x:v>
      </x:c>
      <x:c r="F6894" s="9" t="n">
        <x:v>1610700</x:v>
      </x:c>
    </x:row>
    <x:row r="6895" ht="34" customHeight="1">
      <x:c r="A6895" s="4" t="str">
        <x:v>RS-03456-I2</x:v>
      </x:c>
      <x:c r="B6895" s="4" t="str">
        <x:v>RS-03456</x:v>
      </x:c>
      <x:c r="C6895" s="9" t="n">
        <x:v>2</x:v>
      </x:c>
      <x:c r="D6895" s="8" t="n">
        <x:v>45515</x:v>
      </x:c>
      <x:c r="E6895" s="9" t="n">
        <x:v>4026750</x:v>
      </x:c>
      <x:c r="F6895" s="9" t="n">
        <x:v>0</x:v>
      </x:c>
    </x:row>
    <x:row r="6896" ht="34" customHeight="1">
      <x:c r="A6896" s="4" t="str">
        <x:v>RS-03456-I3</x:v>
      </x:c>
      <x:c r="B6896" s="4" t="str">
        <x:v>RS-03456</x:v>
      </x:c>
      <x:c r="C6896" s="9" t="n">
        <x:v>3</x:v>
      </x:c>
      <x:c r="D6896" s="8" t="n">
        <x:v>45545</x:v>
      </x:c>
      <x:c r="E6896" s="9" t="n">
        <x:v>4026750</x:v>
      </x:c>
      <x:c r="F6896" s="9" t="n">
        <x:v>0</x:v>
      </x:c>
    </x:row>
    <x:row r="6897" ht="34" customHeight="1">
      <x:c r="A6897" s="4" t="str">
        <x:v>RS-03456-I4</x:v>
      </x:c>
      <x:c r="B6897" s="4" t="str">
        <x:v>RS-03456</x:v>
      </x:c>
      <x:c r="C6897" s="9" t="n">
        <x:v>4</x:v>
      </x:c>
      <x:c r="D6897" s="8" t="n">
        <x:v>45575</x:v>
      </x:c>
      <x:c r="E6897" s="9" t="n">
        <x:v>4026750</x:v>
      </x:c>
      <x:c r="F6897" s="9" t="n">
        <x:v>0</x:v>
      </x:c>
    </x:row>
    <x:row r="6898" ht="34" customHeight="1">
      <x:c r="A6898" s="4" t="str">
        <x:v>RS-03457-I1</x:v>
      </x:c>
      <x:c r="B6898" s="4" t="str">
        <x:v>RS-03457</x:v>
      </x:c>
      <x:c r="C6898" s="9" t="n">
        <x:v>1</x:v>
      </x:c>
      <x:c r="D6898" s="8" t="n">
        <x:v>45486</x:v>
      </x:c>
      <x:c r="E6898" s="9" t="n">
        <x:v>4929000</x:v>
      </x:c>
      <x:c r="F6898" s="9" t="n">
        <x:v>4929000</x:v>
      </x:c>
    </x:row>
    <x:row r="6899" ht="34" customHeight="1">
      <x:c r="A6899" s="4" t="str">
        <x:v>RS-03457-I2</x:v>
      </x:c>
      <x:c r="B6899" s="4" t="str">
        <x:v>RS-03457</x:v>
      </x:c>
      <x:c r="C6899" s="9" t="n">
        <x:v>2</x:v>
      </x:c>
      <x:c r="D6899" s="8" t="n">
        <x:v>45516</x:v>
      </x:c>
      <x:c r="E6899" s="9" t="n">
        <x:v>4929000</x:v>
      </x:c>
      <x:c r="F6899" s="9" t="n">
        <x:v>4929000</x:v>
      </x:c>
    </x:row>
    <x:row r="6900" ht="34" customHeight="1">
      <x:c r="A6900" s="4" t="str">
        <x:v>RS-03457-I3</x:v>
      </x:c>
      <x:c r="B6900" s="4" t="str">
        <x:v>RS-03457</x:v>
      </x:c>
      <x:c r="C6900" s="9" t="n">
        <x:v>3</x:v>
      </x:c>
      <x:c r="D6900" s="8" t="n">
        <x:v>45546</x:v>
      </x:c>
      <x:c r="E6900" s="9" t="n">
        <x:v>4929000</x:v>
      </x:c>
      <x:c r="F6900" s="9" t="n">
        <x:v>0</x:v>
      </x:c>
    </x:row>
    <x:row r="6901" ht="34" customHeight="1">
      <x:c r="A6901" s="4" t="str">
        <x:v>RS-03457-I4</x:v>
      </x:c>
      <x:c r="B6901" s="4" t="str">
        <x:v>RS-03457</x:v>
      </x:c>
      <x:c r="C6901" s="9" t="n">
        <x:v>4</x:v>
      </x:c>
      <x:c r="D6901" s="8" t="n">
        <x:v>45576</x:v>
      </x:c>
      <x:c r="E6901" s="9" t="n">
        <x:v>4929000</x:v>
      </x:c>
      <x:c r="F6901" s="9" t="n">
        <x:v>0</x:v>
      </x:c>
    </x:row>
    <x:row r="6902" ht="34" customHeight="1">
      <x:c r="A6902" s="4" t="str">
        <x:v>RS-03459-I1</x:v>
      </x:c>
      <x:c r="B6902" s="4" t="str">
        <x:v>RS-03459</x:v>
      </x:c>
      <x:c r="C6902" s="9" t="n">
        <x:v>1</x:v>
      </x:c>
      <x:c r="D6902" s="8" t="n">
        <x:v>45488</x:v>
      </x:c>
      <x:c r="E6902" s="9" t="n">
        <x:v>2970000</x:v>
      </x:c>
      <x:c r="F6902" s="9" t="n">
        <x:v>2970000</x:v>
      </x:c>
    </x:row>
    <x:row r="6903" ht="34" customHeight="1">
      <x:c r="A6903" s="4" t="str">
        <x:v>RS-03459-I2</x:v>
      </x:c>
      <x:c r="B6903" s="4" t="str">
        <x:v>RS-03459</x:v>
      </x:c>
      <x:c r="C6903" s="9" t="n">
        <x:v>2</x:v>
      </x:c>
      <x:c r="D6903" s="8" t="n">
        <x:v>45518</x:v>
      </x:c>
      <x:c r="E6903" s="9" t="n">
        <x:v>2970000</x:v>
      </x:c>
      <x:c r="F6903" s="9" t="n">
        <x:v>2970000</x:v>
      </x:c>
    </x:row>
    <x:row r="6904" ht="34" customHeight="1">
      <x:c r="A6904" s="4" t="str">
        <x:v>RS-03459-I3</x:v>
      </x:c>
      <x:c r="B6904" s="4" t="str">
        <x:v>RS-03459</x:v>
      </x:c>
      <x:c r="C6904" s="9" t="n">
        <x:v>3</x:v>
      </x:c>
      <x:c r="D6904" s="8" t="n">
        <x:v>45548</x:v>
      </x:c>
      <x:c r="E6904" s="9" t="n">
        <x:v>2970000</x:v>
      </x:c>
      <x:c r="F6904" s="9" t="n">
        <x:v>2970000</x:v>
      </x:c>
    </x:row>
    <x:row r="6905" ht="34" customHeight="1">
      <x:c r="A6905" s="4" t="str">
        <x:v>RS-03459-I4</x:v>
      </x:c>
      <x:c r="B6905" s="4" t="str">
        <x:v>RS-03459</x:v>
      </x:c>
      <x:c r="C6905" s="9" t="n">
        <x:v>4</x:v>
      </x:c>
      <x:c r="D6905" s="8" t="n">
        <x:v>45578</x:v>
      </x:c>
      <x:c r="E6905" s="9" t="n">
        <x:v>2970000</x:v>
      </x:c>
      <x:c r="F6905" s="9" t="n">
        <x:v>2970000</x:v>
      </x:c>
    </x:row>
    <x:row r="6906" ht="34" customHeight="1">
      <x:c r="A6906" s="4" t="str">
        <x:v>RS-03461-I1</x:v>
      </x:c>
      <x:c r="B6906" s="4" t="str">
        <x:v>RS-03461</x:v>
      </x:c>
      <x:c r="C6906" s="9" t="n">
        <x:v>1</x:v>
      </x:c>
      <x:c r="D6906" s="8" t="n">
        <x:v>45490</x:v>
      </x:c>
      <x:c r="E6906" s="9" t="n">
        <x:v>5136000</x:v>
      </x:c>
      <x:c r="F6906" s="9" t="n">
        <x:v>5136000</x:v>
      </x:c>
    </x:row>
    <x:row r="6907" ht="34" customHeight="1">
      <x:c r="A6907" s="4" t="str">
        <x:v>RS-03461-I2</x:v>
      </x:c>
      <x:c r="B6907" s="4" t="str">
        <x:v>RS-03461</x:v>
      </x:c>
      <x:c r="C6907" s="9" t="n">
        <x:v>2</x:v>
      </x:c>
      <x:c r="D6907" s="8" t="n">
        <x:v>45520</x:v>
      </x:c>
      <x:c r="E6907" s="9" t="n">
        <x:v>5136000</x:v>
      </x:c>
      <x:c r="F6907" s="9" t="n">
        <x:v>5136000</x:v>
      </x:c>
    </x:row>
    <x:row r="6908" ht="34" customHeight="1">
      <x:c r="A6908" s="4" t="str">
        <x:v>RS-03461-I3</x:v>
      </x:c>
      <x:c r="B6908" s="4" t="str">
        <x:v>RS-03461</x:v>
      </x:c>
      <x:c r="C6908" s="9" t="n">
        <x:v>3</x:v>
      </x:c>
      <x:c r="D6908" s="8" t="n">
        <x:v>45550</x:v>
      </x:c>
      <x:c r="E6908" s="9" t="n">
        <x:v>5136000</x:v>
      </x:c>
      <x:c r="F6908" s="9" t="n">
        <x:v>5136000</x:v>
      </x:c>
    </x:row>
    <x:row r="6909" ht="34" customHeight="1">
      <x:c r="A6909" s="4" t="str">
        <x:v>RS-03461-I4</x:v>
      </x:c>
      <x:c r="B6909" s="4" t="str">
        <x:v>RS-03461</x:v>
      </x:c>
      <x:c r="C6909" s="9" t="n">
        <x:v>4</x:v>
      </x:c>
      <x:c r="D6909" s="8" t="n">
        <x:v>45580</x:v>
      </x:c>
      <x:c r="E6909" s="9" t="n">
        <x:v>5136000</x:v>
      </x:c>
      <x:c r="F6909" s="9" t="n">
        <x:v>5136000</x:v>
      </x:c>
    </x:row>
    <x:row r="6910" ht="34" customHeight="1">
      <x:c r="A6910" s="4" t="str">
        <x:v>RS-03462-I1</x:v>
      </x:c>
      <x:c r="B6910" s="4" t="str">
        <x:v>RS-03462</x:v>
      </x:c>
      <x:c r="C6910" s="9" t="n">
        <x:v>1</x:v>
      </x:c>
      <x:c r="D6910" s="8" t="n">
        <x:v>45491</x:v>
      </x:c>
      <x:c r="E6910" s="9" t="n">
        <x:v>4475000</x:v>
      </x:c>
      <x:c r="F6910" s="9" t="n">
        <x:v>4475000</x:v>
      </x:c>
    </x:row>
    <x:row r="6911" ht="34" customHeight="1">
      <x:c r="A6911" s="4" t="str">
        <x:v>RS-03462-I2</x:v>
      </x:c>
      <x:c r="B6911" s="4" t="str">
        <x:v>RS-03462</x:v>
      </x:c>
      <x:c r="C6911" s="9" t="n">
        <x:v>2</x:v>
      </x:c>
      <x:c r="D6911" s="8" t="n">
        <x:v>45521</x:v>
      </x:c>
      <x:c r="E6911" s="9" t="n">
        <x:v>4475000</x:v>
      </x:c>
      <x:c r="F6911" s="9" t="n">
        <x:v>4475000</x:v>
      </x:c>
    </x:row>
    <x:row r="6912" ht="34" customHeight="1">
      <x:c r="A6912" s="4" t="str">
        <x:v>RS-03462-I3</x:v>
      </x:c>
      <x:c r="B6912" s="4" t="str">
        <x:v>RS-03462</x:v>
      </x:c>
      <x:c r="C6912" s="9" t="n">
        <x:v>3</x:v>
      </x:c>
      <x:c r="D6912" s="8" t="n">
        <x:v>45551</x:v>
      </x:c>
      <x:c r="E6912" s="9" t="n">
        <x:v>4475000</x:v>
      </x:c>
      <x:c r="F6912" s="9" t="n">
        <x:v>4475000</x:v>
      </x:c>
    </x:row>
    <x:row r="6913" ht="34" customHeight="1">
      <x:c r="A6913" s="4" t="str">
        <x:v>RS-03462-I4</x:v>
      </x:c>
      <x:c r="B6913" s="4" t="str">
        <x:v>RS-03462</x:v>
      </x:c>
      <x:c r="C6913" s="9" t="n">
        <x:v>4</x:v>
      </x:c>
      <x:c r="D6913" s="8" t="n">
        <x:v>45581</x:v>
      </x:c>
      <x:c r="E6913" s="9" t="n">
        <x:v>4475000</x:v>
      </x:c>
      <x:c r="F6913" s="9" t="n">
        <x:v>4475000</x:v>
      </x:c>
    </x:row>
    <x:row r="6914" ht="34" customHeight="1">
      <x:c r="A6914" s="4" t="str">
        <x:v>RS-03463-I1</x:v>
      </x:c>
      <x:c r="B6914" s="4" t="str">
        <x:v>RS-03463</x:v>
      </x:c>
      <x:c r="C6914" s="9" t="n">
        <x:v>1</x:v>
      </x:c>
      <x:c r="D6914" s="8" t="n">
        <x:v>45492</x:v>
      </x:c>
      <x:c r="E6914" s="9" t="n">
        <x:v>4872750</x:v>
      </x:c>
      <x:c r="F6914" s="9" t="n">
        <x:v>4872750</x:v>
      </x:c>
    </x:row>
    <x:row r="6915" ht="34" customHeight="1">
      <x:c r="A6915" s="4" t="str">
        <x:v>RS-03463-I2</x:v>
      </x:c>
      <x:c r="B6915" s="4" t="str">
        <x:v>RS-03463</x:v>
      </x:c>
      <x:c r="C6915" s="9" t="n">
        <x:v>2</x:v>
      </x:c>
      <x:c r="D6915" s="8" t="n">
        <x:v>45522</x:v>
      </x:c>
      <x:c r="E6915" s="9" t="n">
        <x:v>4872750</x:v>
      </x:c>
      <x:c r="F6915" s="9" t="n">
        <x:v>4872750</x:v>
      </x:c>
    </x:row>
    <x:row r="6916" ht="34" customHeight="1">
      <x:c r="A6916" s="4" t="str">
        <x:v>RS-03463-I3</x:v>
      </x:c>
      <x:c r="B6916" s="4" t="str">
        <x:v>RS-03463</x:v>
      </x:c>
      <x:c r="C6916" s="9" t="n">
        <x:v>3</x:v>
      </x:c>
      <x:c r="D6916" s="8" t="n">
        <x:v>45552</x:v>
      </x:c>
      <x:c r="E6916" s="9" t="n">
        <x:v>4872750</x:v>
      </x:c>
      <x:c r="F6916" s="9" t="n">
        <x:v>0</x:v>
      </x:c>
    </x:row>
    <x:row r="6917" ht="34" customHeight="1">
      <x:c r="A6917" s="4" t="str">
        <x:v>RS-03463-I4</x:v>
      </x:c>
      <x:c r="B6917" s="4" t="str">
        <x:v>RS-03463</x:v>
      </x:c>
      <x:c r="C6917" s="9" t="n">
        <x:v>4</x:v>
      </x:c>
      <x:c r="D6917" s="8" t="n">
        <x:v>45582</x:v>
      </x:c>
      <x:c r="E6917" s="9" t="n">
        <x:v>4872750</x:v>
      </x:c>
      <x:c r="F6917" s="9" t="n">
        <x:v>0</x:v>
      </x:c>
    </x:row>
    <x:row r="6918" ht="34" customHeight="1">
      <x:c r="A6918" s="4" t="str">
        <x:v>RS-03464-I1</x:v>
      </x:c>
      <x:c r="B6918" s="4" t="str">
        <x:v>RS-03464</x:v>
      </x:c>
      <x:c r="C6918" s="9" t="n">
        <x:v>1</x:v>
      </x:c>
      <x:c r="D6918" s="8" t="n">
        <x:v>45493</x:v>
      </x:c>
      <x:c r="E6918" s="9" t="n">
        <x:v>2910000</x:v>
      </x:c>
      <x:c r="F6918" s="9" t="n">
        <x:v>1164000</x:v>
      </x:c>
    </x:row>
    <x:row r="6919" ht="34" customHeight="1">
      <x:c r="A6919" s="4" t="str">
        <x:v>RS-03464-I2</x:v>
      </x:c>
      <x:c r="B6919" s="4" t="str">
        <x:v>RS-03464</x:v>
      </x:c>
      <x:c r="C6919" s="9" t="n">
        <x:v>2</x:v>
      </x:c>
      <x:c r="D6919" s="8" t="n">
        <x:v>45523</x:v>
      </x:c>
      <x:c r="E6919" s="9" t="n">
        <x:v>2910000</x:v>
      </x:c>
      <x:c r="F6919" s="9" t="n">
        <x:v>0</x:v>
      </x:c>
    </x:row>
    <x:row r="6920" ht="34" customHeight="1">
      <x:c r="A6920" s="4" t="str">
        <x:v>RS-03464-I3</x:v>
      </x:c>
      <x:c r="B6920" s="4" t="str">
        <x:v>RS-03464</x:v>
      </x:c>
      <x:c r="C6920" s="9" t="n">
        <x:v>3</x:v>
      </x:c>
      <x:c r="D6920" s="8" t="n">
        <x:v>45553</x:v>
      </x:c>
      <x:c r="E6920" s="9" t="n">
        <x:v>2910000</x:v>
      </x:c>
      <x:c r="F6920" s="9" t="n">
        <x:v>0</x:v>
      </x:c>
    </x:row>
    <x:row r="6921" ht="34" customHeight="1">
      <x:c r="A6921" s="4" t="str">
        <x:v>RS-03464-I4</x:v>
      </x:c>
      <x:c r="B6921" s="4" t="str">
        <x:v>RS-03464</x:v>
      </x:c>
      <x:c r="C6921" s="9" t="n">
        <x:v>4</x:v>
      </x:c>
      <x:c r="D6921" s="8" t="n">
        <x:v>45583</x:v>
      </x:c>
      <x:c r="E6921" s="9" t="n">
        <x:v>2910000</x:v>
      </x:c>
      <x:c r="F6921" s="9" t="n">
        <x:v>0</x:v>
      </x:c>
    </x:row>
    <x:row r="6922" ht="34" customHeight="1">
      <x:c r="A6922" s="4" t="str">
        <x:v>RS-03465-I1</x:v>
      </x:c>
      <x:c r="B6922" s="4" t="str">
        <x:v>RS-03465</x:v>
      </x:c>
      <x:c r="C6922" s="9" t="n">
        <x:v>1</x:v>
      </x:c>
      <x:c r="D6922" s="8" t="n">
        <x:v>45494</x:v>
      </x:c>
      <x:c r="E6922" s="9" t="n">
        <x:v>2255250</x:v>
      </x:c>
      <x:c r="F6922" s="9" t="n">
        <x:v>2255250</x:v>
      </x:c>
    </x:row>
    <x:row r="6923" ht="34" customHeight="1">
      <x:c r="A6923" s="4" t="str">
        <x:v>RS-03465-I2</x:v>
      </x:c>
      <x:c r="B6923" s="4" t="str">
        <x:v>RS-03465</x:v>
      </x:c>
      <x:c r="C6923" s="9" t="n">
        <x:v>2</x:v>
      </x:c>
      <x:c r="D6923" s="8" t="n">
        <x:v>45524</x:v>
      </x:c>
      <x:c r="E6923" s="9" t="n">
        <x:v>2255250</x:v>
      </x:c>
      <x:c r="F6923" s="9" t="n">
        <x:v>0</x:v>
      </x:c>
    </x:row>
    <x:row r="6924" ht="34" customHeight="1">
      <x:c r="A6924" s="4" t="str">
        <x:v>RS-03465-I3</x:v>
      </x:c>
      <x:c r="B6924" s="4" t="str">
        <x:v>RS-03465</x:v>
      </x:c>
      <x:c r="C6924" s="9" t="n">
        <x:v>3</x:v>
      </x:c>
      <x:c r="D6924" s="8" t="n">
        <x:v>45554</x:v>
      </x:c>
      <x:c r="E6924" s="9" t="n">
        <x:v>2255250</x:v>
      </x:c>
      <x:c r="F6924" s="9" t="n">
        <x:v>0</x:v>
      </x:c>
    </x:row>
    <x:row r="6925" ht="34" customHeight="1">
      <x:c r="A6925" s="4" t="str">
        <x:v>RS-03465-I4</x:v>
      </x:c>
      <x:c r="B6925" s="4" t="str">
        <x:v>RS-03465</x:v>
      </x:c>
      <x:c r="C6925" s="9" t="n">
        <x:v>4</x:v>
      </x:c>
      <x:c r="D6925" s="8" t="n">
        <x:v>45584</x:v>
      </x:c>
      <x:c r="E6925" s="9" t="n">
        <x:v>2255250</x:v>
      </x:c>
      <x:c r="F6925" s="9" t="n">
        <x:v>0</x:v>
      </x:c>
    </x:row>
    <x:row r="6926" ht="34" customHeight="1">
      <x:c r="A6926" s="4" t="str">
        <x:v>RS-03468-I1</x:v>
      </x:c>
      <x:c r="B6926" s="4" t="str">
        <x:v>RS-03468</x:v>
      </x:c>
      <x:c r="C6926" s="9" t="n">
        <x:v>1</x:v>
      </x:c>
      <x:c r="D6926" s="8" t="n">
        <x:v>45497</x:v>
      </x:c>
      <x:c r="E6926" s="9" t="n">
        <x:v>967500</x:v>
      </x:c>
      <x:c r="F6926" s="9" t="n">
        <x:v>967500</x:v>
      </x:c>
    </x:row>
    <x:row r="6927" ht="34" customHeight="1">
      <x:c r="A6927" s="4" t="str">
        <x:v>RS-03468-I2</x:v>
      </x:c>
      <x:c r="B6927" s="4" t="str">
        <x:v>RS-03468</x:v>
      </x:c>
      <x:c r="C6927" s="9" t="n">
        <x:v>2</x:v>
      </x:c>
      <x:c r="D6927" s="8" t="n">
        <x:v>45527</x:v>
      </x:c>
      <x:c r="E6927" s="9" t="n">
        <x:v>967500</x:v>
      </x:c>
      <x:c r="F6927" s="9" t="n">
        <x:v>0</x:v>
      </x:c>
    </x:row>
    <x:row r="6928" ht="34" customHeight="1">
      <x:c r="A6928" s="4" t="str">
        <x:v>RS-03468-I3</x:v>
      </x:c>
      <x:c r="B6928" s="4" t="str">
        <x:v>RS-03468</x:v>
      </x:c>
      <x:c r="C6928" s="9" t="n">
        <x:v>3</x:v>
      </x:c>
      <x:c r="D6928" s="8" t="n">
        <x:v>45557</x:v>
      </x:c>
      <x:c r="E6928" s="9" t="n">
        <x:v>967500</x:v>
      </x:c>
      <x:c r="F6928" s="9" t="n">
        <x:v>0</x:v>
      </x:c>
    </x:row>
    <x:row r="6929" ht="34" customHeight="1">
      <x:c r="A6929" s="4" t="str">
        <x:v>RS-03468-I4</x:v>
      </x:c>
      <x:c r="B6929" s="4" t="str">
        <x:v>RS-03468</x:v>
      </x:c>
      <x:c r="C6929" s="9" t="n">
        <x:v>4</x:v>
      </x:c>
      <x:c r="D6929" s="8" t="n">
        <x:v>45587</x:v>
      </x:c>
      <x:c r="E6929" s="9" t="n">
        <x:v>967500</x:v>
      </x:c>
      <x:c r="F6929" s="9" t="n">
        <x:v>0</x:v>
      </x:c>
    </x:row>
    <x:row r="6930" ht="34" customHeight="1">
      <x:c r="A6930" s="4" t="str">
        <x:v>RS-03470-I1</x:v>
      </x:c>
      <x:c r="B6930" s="4" t="str">
        <x:v>RS-03470</x:v>
      </x:c>
      <x:c r="C6930" s="9" t="n">
        <x:v>1</x:v>
      </x:c>
      <x:c r="D6930" s="8" t="n">
        <x:v>45499</x:v>
      </x:c>
      <x:c r="E6930" s="9" t="n">
        <x:v>1128000</x:v>
      </x:c>
      <x:c r="F6930" s="9" t="n">
        <x:v>1128000</x:v>
      </x:c>
    </x:row>
    <x:row r="6931" ht="34" customHeight="1">
      <x:c r="A6931" s="4" t="str">
        <x:v>RS-03470-I2</x:v>
      </x:c>
      <x:c r="B6931" s="4" t="str">
        <x:v>RS-03470</x:v>
      </x:c>
      <x:c r="C6931" s="9" t="n">
        <x:v>2</x:v>
      </x:c>
      <x:c r="D6931" s="8" t="n">
        <x:v>45529</x:v>
      </x:c>
      <x:c r="E6931" s="9" t="n">
        <x:v>1128000</x:v>
      </x:c>
      <x:c r="F6931" s="9" t="n">
        <x:v>1128000</x:v>
      </x:c>
    </x:row>
    <x:row r="6932" ht="34" customHeight="1">
      <x:c r="A6932" s="4" t="str">
        <x:v>RS-03470-I3</x:v>
      </x:c>
      <x:c r="B6932" s="4" t="str">
        <x:v>RS-03470</x:v>
      </x:c>
      <x:c r="C6932" s="9" t="n">
        <x:v>3</x:v>
      </x:c>
      <x:c r="D6932" s="8" t="n">
        <x:v>45559</x:v>
      </x:c>
      <x:c r="E6932" s="9" t="n">
        <x:v>1128000</x:v>
      </x:c>
      <x:c r="F6932" s="9" t="n">
        <x:v>1128000</x:v>
      </x:c>
    </x:row>
    <x:row r="6933" ht="34" customHeight="1">
      <x:c r="A6933" s="4" t="str">
        <x:v>RS-03470-I4</x:v>
      </x:c>
      <x:c r="B6933" s="4" t="str">
        <x:v>RS-03470</x:v>
      </x:c>
      <x:c r="C6933" s="9" t="n">
        <x:v>4</x:v>
      </x:c>
      <x:c r="D6933" s="8" t="n">
        <x:v>45589</x:v>
      </x:c>
      <x:c r="E6933" s="9" t="n">
        <x:v>1128000</x:v>
      </x:c>
      <x:c r="F6933" s="9" t="n">
        <x:v>1128000</x:v>
      </x:c>
    </x:row>
    <x:row r="6934" ht="34" customHeight="1">
      <x:c r="A6934" s="4" t="str">
        <x:v>RS-03471-I1</x:v>
      </x:c>
      <x:c r="B6934" s="4" t="str">
        <x:v>RS-03471</x:v>
      </x:c>
      <x:c r="C6934" s="9" t="n">
        <x:v>1</x:v>
      </x:c>
      <x:c r="D6934" s="8" t="n">
        <x:v>45500</x:v>
      </x:c>
      <x:c r="E6934" s="9" t="n">
        <x:v>3410000</x:v>
      </x:c>
      <x:c r="F6934" s="9" t="n">
        <x:v>1364000</x:v>
      </x:c>
    </x:row>
    <x:row r="6935" ht="34" customHeight="1">
      <x:c r="A6935" s="4" t="str">
        <x:v>RS-03471-I2</x:v>
      </x:c>
      <x:c r="B6935" s="4" t="str">
        <x:v>RS-03471</x:v>
      </x:c>
      <x:c r="C6935" s="9" t="n">
        <x:v>2</x:v>
      </x:c>
      <x:c r="D6935" s="8" t="n">
        <x:v>45530</x:v>
      </x:c>
      <x:c r="E6935" s="9" t="n">
        <x:v>3410000</x:v>
      </x:c>
      <x:c r="F6935" s="9" t="n">
        <x:v>0</x:v>
      </x:c>
    </x:row>
    <x:row r="6936" ht="34" customHeight="1">
      <x:c r="A6936" s="4" t="str">
        <x:v>RS-03471-I3</x:v>
      </x:c>
      <x:c r="B6936" s="4" t="str">
        <x:v>RS-03471</x:v>
      </x:c>
      <x:c r="C6936" s="9" t="n">
        <x:v>3</x:v>
      </x:c>
      <x:c r="D6936" s="8" t="n">
        <x:v>45560</x:v>
      </x:c>
      <x:c r="E6936" s="9" t="n">
        <x:v>3410000</x:v>
      </x:c>
      <x:c r="F6936" s="9" t="n">
        <x:v>0</x:v>
      </x:c>
    </x:row>
    <x:row r="6937" ht="34" customHeight="1">
      <x:c r="A6937" s="4" t="str">
        <x:v>RS-03471-I4</x:v>
      </x:c>
      <x:c r="B6937" s="4" t="str">
        <x:v>RS-03471</x:v>
      </x:c>
      <x:c r="C6937" s="9" t="n">
        <x:v>4</x:v>
      </x:c>
      <x:c r="D6937" s="8" t="n">
        <x:v>45590</x:v>
      </x:c>
      <x:c r="E6937" s="9" t="n">
        <x:v>3410000</x:v>
      </x:c>
      <x:c r="F6937" s="9" t="n">
        <x:v>0</x:v>
      </x:c>
    </x:row>
    <x:row r="6938" ht="34" customHeight="1">
      <x:c r="A6938" s="4" t="str">
        <x:v>RS-03475-I1</x:v>
      </x:c>
      <x:c r="B6938" s="4" t="str">
        <x:v>RS-03475</x:v>
      </x:c>
      <x:c r="C6938" s="9" t="n">
        <x:v>1</x:v>
      </x:c>
      <x:c r="D6938" s="8" t="n">
        <x:v>45476</x:v>
      </x:c>
      <x:c r="E6938" s="9" t="n">
        <x:v>4950000</x:v>
      </x:c>
      <x:c r="F6938" s="9" t="n">
        <x:v>4950000</x:v>
      </x:c>
    </x:row>
    <x:row r="6939" ht="34" customHeight="1">
      <x:c r="A6939" s="4" t="str">
        <x:v>RS-03475-I2</x:v>
      </x:c>
      <x:c r="B6939" s="4" t="str">
        <x:v>RS-03475</x:v>
      </x:c>
      <x:c r="C6939" s="9" t="n">
        <x:v>2</x:v>
      </x:c>
      <x:c r="D6939" s="8" t="n">
        <x:v>45506</x:v>
      </x:c>
      <x:c r="E6939" s="9" t="n">
        <x:v>4950000</x:v>
      </x:c>
      <x:c r="F6939" s="9" t="n">
        <x:v>0</x:v>
      </x:c>
    </x:row>
    <x:row r="6940" ht="34" customHeight="1">
      <x:c r="A6940" s="4" t="str">
        <x:v>RS-03475-I3</x:v>
      </x:c>
      <x:c r="B6940" s="4" t="str">
        <x:v>RS-03475</x:v>
      </x:c>
      <x:c r="C6940" s="9" t="n">
        <x:v>3</x:v>
      </x:c>
      <x:c r="D6940" s="8" t="n">
        <x:v>45536</x:v>
      </x:c>
      <x:c r="E6940" s="9" t="n">
        <x:v>4950000</x:v>
      </x:c>
      <x:c r="F6940" s="9" t="n">
        <x:v>0</x:v>
      </x:c>
    </x:row>
    <x:row r="6941" ht="34" customHeight="1">
      <x:c r="A6941" s="4" t="str">
        <x:v>RS-03475-I4</x:v>
      </x:c>
      <x:c r="B6941" s="4" t="str">
        <x:v>RS-03475</x:v>
      </x:c>
      <x:c r="C6941" s="9" t="n">
        <x:v>4</x:v>
      </x:c>
      <x:c r="D6941" s="8" t="n">
        <x:v>45566</x:v>
      </x:c>
      <x:c r="E6941" s="9" t="n">
        <x:v>4950000</x:v>
      </x:c>
      <x:c r="F6941" s="9" t="n">
        <x:v>0</x:v>
      </x:c>
    </x:row>
    <x:row r="6942" ht="34" customHeight="1">
      <x:c r="A6942" s="4" t="str">
        <x:v>RS-03477-I1</x:v>
      </x:c>
      <x:c r="B6942" s="4" t="str">
        <x:v>RS-03477</x:v>
      </x:c>
      <x:c r="C6942" s="9" t="n">
        <x:v>1</x:v>
      </x:c>
      <x:c r="D6942" s="8" t="n">
        <x:v>45478</x:v>
      </x:c>
      <x:c r="E6942" s="9" t="n">
        <x:v>5217000</x:v>
      </x:c>
      <x:c r="F6942" s="9" t="n">
        <x:v>2086800</x:v>
      </x:c>
    </x:row>
    <x:row r="6943" ht="34" customHeight="1">
      <x:c r="A6943" s="4" t="str">
        <x:v>RS-03477-I2</x:v>
      </x:c>
      <x:c r="B6943" s="4" t="str">
        <x:v>RS-03477</x:v>
      </x:c>
      <x:c r="C6943" s="9" t="n">
        <x:v>2</x:v>
      </x:c>
      <x:c r="D6943" s="8" t="n">
        <x:v>45508</x:v>
      </x:c>
      <x:c r="E6943" s="9" t="n">
        <x:v>5217000</x:v>
      </x:c>
      <x:c r="F6943" s="9" t="n">
        <x:v>0</x:v>
      </x:c>
    </x:row>
    <x:row r="6944" ht="34" customHeight="1">
      <x:c r="A6944" s="4" t="str">
        <x:v>RS-03477-I3</x:v>
      </x:c>
      <x:c r="B6944" s="4" t="str">
        <x:v>RS-03477</x:v>
      </x:c>
      <x:c r="C6944" s="9" t="n">
        <x:v>3</x:v>
      </x:c>
      <x:c r="D6944" s="8" t="n">
        <x:v>45538</x:v>
      </x:c>
      <x:c r="E6944" s="9" t="n">
        <x:v>5217000</x:v>
      </x:c>
      <x:c r="F6944" s="9" t="n">
        <x:v>0</x:v>
      </x:c>
    </x:row>
    <x:row r="6945" ht="34" customHeight="1">
      <x:c r="A6945" s="4" t="str">
        <x:v>RS-03477-I4</x:v>
      </x:c>
      <x:c r="B6945" s="4" t="str">
        <x:v>RS-03477</x:v>
      </x:c>
      <x:c r="C6945" s="9" t="n">
        <x:v>4</x:v>
      </x:c>
      <x:c r="D6945" s="8" t="n">
        <x:v>45568</x:v>
      </x:c>
      <x:c r="E6945" s="9" t="n">
        <x:v>5217000</x:v>
      </x:c>
      <x:c r="F6945" s="9" t="n">
        <x:v>0</x:v>
      </x:c>
    </x:row>
    <x:row r="6946" ht="34" customHeight="1">
      <x:c r="A6946" s="4" t="str">
        <x:v>RS-03478-I1</x:v>
      </x:c>
      <x:c r="B6946" s="4" t="str">
        <x:v>RS-03478</x:v>
      </x:c>
      <x:c r="C6946" s="9" t="n">
        <x:v>1</x:v>
      </x:c>
      <x:c r="D6946" s="8" t="n">
        <x:v>45479</x:v>
      </x:c>
      <x:c r="E6946" s="9" t="n">
        <x:v>2064000</x:v>
      </x:c>
      <x:c r="F6946" s="9" t="n">
        <x:v>2064000</x:v>
      </x:c>
    </x:row>
    <x:row r="6947" ht="34" customHeight="1">
      <x:c r="A6947" s="4" t="str">
        <x:v>RS-03478-I2</x:v>
      </x:c>
      <x:c r="B6947" s="4" t="str">
        <x:v>RS-03478</x:v>
      </x:c>
      <x:c r="C6947" s="9" t="n">
        <x:v>2</x:v>
      </x:c>
      <x:c r="D6947" s="8" t="n">
        <x:v>45509</x:v>
      </x:c>
      <x:c r="E6947" s="9" t="n">
        <x:v>2064000</x:v>
      </x:c>
      <x:c r="F6947" s="9" t="n">
        <x:v>2064000</x:v>
      </x:c>
    </x:row>
    <x:row r="6948" ht="34" customHeight="1">
      <x:c r="A6948" s="4" t="str">
        <x:v>RS-03478-I3</x:v>
      </x:c>
      <x:c r="B6948" s="4" t="str">
        <x:v>RS-03478</x:v>
      </x:c>
      <x:c r="C6948" s="9" t="n">
        <x:v>3</x:v>
      </x:c>
      <x:c r="D6948" s="8" t="n">
        <x:v>45539</x:v>
      </x:c>
      <x:c r="E6948" s="9" t="n">
        <x:v>2064000</x:v>
      </x:c>
      <x:c r="F6948" s="9" t="n">
        <x:v>0</x:v>
      </x:c>
    </x:row>
    <x:row r="6949" ht="34" customHeight="1">
      <x:c r="A6949" s="4" t="str">
        <x:v>RS-03478-I4</x:v>
      </x:c>
      <x:c r="B6949" s="4" t="str">
        <x:v>RS-03478</x:v>
      </x:c>
      <x:c r="C6949" s="9" t="n">
        <x:v>4</x:v>
      </x:c>
      <x:c r="D6949" s="8" t="n">
        <x:v>45569</x:v>
      </x:c>
      <x:c r="E6949" s="9" t="n">
        <x:v>2064000</x:v>
      </x:c>
      <x:c r="F6949" s="9" t="n">
        <x:v>0</x:v>
      </x:c>
    </x:row>
    <x:row r="6950" ht="34" customHeight="1">
      <x:c r="A6950" s="4" t="str">
        <x:v>RS-03479-I1</x:v>
      </x:c>
      <x:c r="B6950" s="4" t="str">
        <x:v>RS-03479</x:v>
      </x:c>
      <x:c r="C6950" s="9" t="n">
        <x:v>1</x:v>
      </x:c>
      <x:c r="D6950" s="8" t="n">
        <x:v>45480</x:v>
      </x:c>
      <x:c r="E6950" s="9" t="n">
        <x:v>2592000</x:v>
      </x:c>
      <x:c r="F6950" s="9" t="n">
        <x:v>2592000</x:v>
      </x:c>
    </x:row>
    <x:row r="6951" ht="34" customHeight="1">
      <x:c r="A6951" s="4" t="str">
        <x:v>RS-03479-I2</x:v>
      </x:c>
      <x:c r="B6951" s="4" t="str">
        <x:v>RS-03479</x:v>
      </x:c>
      <x:c r="C6951" s="9" t="n">
        <x:v>2</x:v>
      </x:c>
      <x:c r="D6951" s="8" t="n">
        <x:v>45510</x:v>
      </x:c>
      <x:c r="E6951" s="9" t="n">
        <x:v>2592000</x:v>
      </x:c>
      <x:c r="F6951" s="9" t="n">
        <x:v>2592000</x:v>
      </x:c>
    </x:row>
    <x:row r="6952" ht="34" customHeight="1">
      <x:c r="A6952" s="4" t="str">
        <x:v>RS-03479-I3</x:v>
      </x:c>
      <x:c r="B6952" s="4" t="str">
        <x:v>RS-03479</x:v>
      </x:c>
      <x:c r="C6952" s="9" t="n">
        <x:v>3</x:v>
      </x:c>
      <x:c r="D6952" s="8" t="n">
        <x:v>45540</x:v>
      </x:c>
      <x:c r="E6952" s="9" t="n">
        <x:v>2592000</x:v>
      </x:c>
      <x:c r="F6952" s="9" t="n">
        <x:v>0</x:v>
      </x:c>
    </x:row>
    <x:row r="6953" ht="34" customHeight="1">
      <x:c r="A6953" s="4" t="str">
        <x:v>RS-03479-I4</x:v>
      </x:c>
      <x:c r="B6953" s="4" t="str">
        <x:v>RS-03479</x:v>
      </x:c>
      <x:c r="C6953" s="9" t="n">
        <x:v>4</x:v>
      </x:c>
      <x:c r="D6953" s="8" t="n">
        <x:v>45570</x:v>
      </x:c>
      <x:c r="E6953" s="9" t="n">
        <x:v>2592000</x:v>
      </x:c>
      <x:c r="F6953" s="9" t="n">
        <x:v>0</x:v>
      </x:c>
    </x:row>
    <x:row r="6954" ht="34" customHeight="1">
      <x:c r="A6954" s="4" t="str">
        <x:v>RS-03480-I1</x:v>
      </x:c>
      <x:c r="B6954" s="4" t="str">
        <x:v>RS-03480</x:v>
      </x:c>
      <x:c r="C6954" s="9" t="n">
        <x:v>1</x:v>
      </x:c>
      <x:c r="D6954" s="8" t="n">
        <x:v>45481</x:v>
      </x:c>
      <x:c r="E6954" s="9" t="n">
        <x:v>1330000</x:v>
      </x:c>
      <x:c r="F6954" s="9" t="n">
        <x:v>1330000</x:v>
      </x:c>
    </x:row>
    <x:row r="6955" ht="34" customHeight="1">
      <x:c r="A6955" s="4" t="str">
        <x:v>RS-03480-I2</x:v>
      </x:c>
      <x:c r="B6955" s="4" t="str">
        <x:v>RS-03480</x:v>
      </x:c>
      <x:c r="C6955" s="9" t="n">
        <x:v>2</x:v>
      </x:c>
      <x:c r="D6955" s="8" t="n">
        <x:v>45511</x:v>
      </x:c>
      <x:c r="E6955" s="9" t="n">
        <x:v>1330000</x:v>
      </x:c>
      <x:c r="F6955" s="9" t="n">
        <x:v>1330000</x:v>
      </x:c>
    </x:row>
    <x:row r="6956" ht="34" customHeight="1">
      <x:c r="A6956" s="4" t="str">
        <x:v>RS-03480-I3</x:v>
      </x:c>
      <x:c r="B6956" s="4" t="str">
        <x:v>RS-03480</x:v>
      </x:c>
      <x:c r="C6956" s="9" t="n">
        <x:v>3</x:v>
      </x:c>
      <x:c r="D6956" s="8" t="n">
        <x:v>45541</x:v>
      </x:c>
      <x:c r="E6956" s="9" t="n">
        <x:v>1330000</x:v>
      </x:c>
      <x:c r="F6956" s="9" t="n">
        <x:v>0</x:v>
      </x:c>
    </x:row>
    <x:row r="6957" ht="34" customHeight="1">
      <x:c r="A6957" s="4" t="str">
        <x:v>RS-03480-I4</x:v>
      </x:c>
      <x:c r="B6957" s="4" t="str">
        <x:v>RS-03480</x:v>
      </x:c>
      <x:c r="C6957" s="9" t="n">
        <x:v>4</x:v>
      </x:c>
      <x:c r="D6957" s="8" t="n">
        <x:v>45571</x:v>
      </x:c>
      <x:c r="E6957" s="9" t="n">
        <x:v>1330000</x:v>
      </x:c>
      <x:c r="F6957" s="9" t="n">
        <x:v>0</x:v>
      </x:c>
    </x:row>
    <x:row r="6958" ht="34" customHeight="1">
      <x:c r="A6958" s="4" t="str">
        <x:v>RS-03483-I1</x:v>
      </x:c>
      <x:c r="B6958" s="4" t="str">
        <x:v>RS-03483</x:v>
      </x:c>
      <x:c r="C6958" s="9" t="n">
        <x:v>1</x:v>
      </x:c>
      <x:c r="D6958" s="8" t="n">
        <x:v>45484</x:v>
      </x:c>
      <x:c r="E6958" s="9" t="n">
        <x:v>4754750</x:v>
      </x:c>
      <x:c r="F6958" s="9" t="n">
        <x:v>1901900</x:v>
      </x:c>
    </x:row>
    <x:row r="6959" ht="34" customHeight="1">
      <x:c r="A6959" s="4" t="str">
        <x:v>RS-03483-I2</x:v>
      </x:c>
      <x:c r="B6959" s="4" t="str">
        <x:v>RS-03483</x:v>
      </x:c>
      <x:c r="C6959" s="9" t="n">
        <x:v>2</x:v>
      </x:c>
      <x:c r="D6959" s="8" t="n">
        <x:v>45514</x:v>
      </x:c>
      <x:c r="E6959" s="9" t="n">
        <x:v>4754750</x:v>
      </x:c>
      <x:c r="F6959" s="9" t="n">
        <x:v>0</x:v>
      </x:c>
    </x:row>
    <x:row r="6960" ht="34" customHeight="1">
      <x:c r="A6960" s="4" t="str">
        <x:v>RS-03483-I3</x:v>
      </x:c>
      <x:c r="B6960" s="4" t="str">
        <x:v>RS-03483</x:v>
      </x:c>
      <x:c r="C6960" s="9" t="n">
        <x:v>3</x:v>
      </x:c>
      <x:c r="D6960" s="8" t="n">
        <x:v>45544</x:v>
      </x:c>
      <x:c r="E6960" s="9" t="n">
        <x:v>4754750</x:v>
      </x:c>
      <x:c r="F6960" s="9" t="n">
        <x:v>0</x:v>
      </x:c>
    </x:row>
    <x:row r="6961" ht="34" customHeight="1">
      <x:c r="A6961" s="4" t="str">
        <x:v>RS-03483-I4</x:v>
      </x:c>
      <x:c r="B6961" s="4" t="str">
        <x:v>RS-03483</x:v>
      </x:c>
      <x:c r="C6961" s="9" t="n">
        <x:v>4</x:v>
      </x:c>
      <x:c r="D6961" s="8" t="n">
        <x:v>45574</x:v>
      </x:c>
      <x:c r="E6961" s="9" t="n">
        <x:v>4754750</x:v>
      </x:c>
      <x:c r="F6961" s="9" t="n">
        <x:v>0</x:v>
      </x:c>
    </x:row>
    <x:row r="6962" ht="34" customHeight="1">
      <x:c r="A6962" s="4" t="str">
        <x:v>RS-03484-I1</x:v>
      </x:c>
      <x:c r="B6962" s="4" t="str">
        <x:v>RS-03484</x:v>
      </x:c>
      <x:c r="C6962" s="9" t="n">
        <x:v>1</x:v>
      </x:c>
      <x:c r="D6962" s="8" t="n">
        <x:v>45485</x:v>
      </x:c>
      <x:c r="E6962" s="9" t="n">
        <x:v>1268250</x:v>
      </x:c>
      <x:c r="F6962" s="9" t="n">
        <x:v>1268250</x:v>
      </x:c>
    </x:row>
    <x:row r="6963" ht="34" customHeight="1">
      <x:c r="A6963" s="4" t="str">
        <x:v>RS-03484-I2</x:v>
      </x:c>
      <x:c r="B6963" s="4" t="str">
        <x:v>RS-03484</x:v>
      </x:c>
      <x:c r="C6963" s="9" t="n">
        <x:v>2</x:v>
      </x:c>
      <x:c r="D6963" s="8" t="n">
        <x:v>45515</x:v>
      </x:c>
      <x:c r="E6963" s="9" t="n">
        <x:v>1268250</x:v>
      </x:c>
      <x:c r="F6963" s="9" t="n">
        <x:v>1268250</x:v>
      </x:c>
    </x:row>
    <x:row r="6964" ht="34" customHeight="1">
      <x:c r="A6964" s="4" t="str">
        <x:v>RS-03484-I3</x:v>
      </x:c>
      <x:c r="B6964" s="4" t="str">
        <x:v>RS-03484</x:v>
      </x:c>
      <x:c r="C6964" s="9" t="n">
        <x:v>3</x:v>
      </x:c>
      <x:c r="D6964" s="8" t="n">
        <x:v>45545</x:v>
      </x:c>
      <x:c r="E6964" s="9" t="n">
        <x:v>1268250</x:v>
      </x:c>
      <x:c r="F6964" s="9" t="n">
        <x:v>0</x:v>
      </x:c>
    </x:row>
    <x:row r="6965" ht="34" customHeight="1">
      <x:c r="A6965" s="4" t="str">
        <x:v>RS-03484-I4</x:v>
      </x:c>
      <x:c r="B6965" s="4" t="str">
        <x:v>RS-03484</x:v>
      </x:c>
      <x:c r="C6965" s="9" t="n">
        <x:v>4</x:v>
      </x:c>
      <x:c r="D6965" s="8" t="n">
        <x:v>45575</x:v>
      </x:c>
      <x:c r="E6965" s="9" t="n">
        <x:v>1268250</x:v>
      </x:c>
      <x:c r="F6965" s="9" t="n">
        <x:v>0</x:v>
      </x:c>
    </x:row>
    <x:row r="6966" ht="34" customHeight="1">
      <x:c r="A6966" s="4" t="str">
        <x:v>RS-03488-I1</x:v>
      </x:c>
      <x:c r="B6966" s="4" t="str">
        <x:v>RS-03488</x:v>
      </x:c>
      <x:c r="C6966" s="9" t="n">
        <x:v>1</x:v>
      </x:c>
      <x:c r="D6966" s="8" t="n">
        <x:v>45489</x:v>
      </x:c>
      <x:c r="E6966" s="9" t="n">
        <x:v>1032000</x:v>
      </x:c>
      <x:c r="F6966" s="9" t="n">
        <x:v>1032000</x:v>
      </x:c>
    </x:row>
    <x:row r="6967" ht="34" customHeight="1">
      <x:c r="A6967" s="4" t="str">
        <x:v>RS-03488-I2</x:v>
      </x:c>
      <x:c r="B6967" s="4" t="str">
        <x:v>RS-03488</x:v>
      </x:c>
      <x:c r="C6967" s="9" t="n">
        <x:v>2</x:v>
      </x:c>
      <x:c r="D6967" s="8" t="n">
        <x:v>45519</x:v>
      </x:c>
      <x:c r="E6967" s="9" t="n">
        <x:v>1032000</x:v>
      </x:c>
      <x:c r="F6967" s="9" t="n">
        <x:v>0</x:v>
      </x:c>
    </x:row>
    <x:row r="6968" ht="34" customHeight="1">
      <x:c r="A6968" s="4" t="str">
        <x:v>RS-03488-I3</x:v>
      </x:c>
      <x:c r="B6968" s="4" t="str">
        <x:v>RS-03488</x:v>
      </x:c>
      <x:c r="C6968" s="9" t="n">
        <x:v>3</x:v>
      </x:c>
      <x:c r="D6968" s="8" t="n">
        <x:v>45549</x:v>
      </x:c>
      <x:c r="E6968" s="9" t="n">
        <x:v>1032000</x:v>
      </x:c>
      <x:c r="F6968" s="9" t="n">
        <x:v>0</x:v>
      </x:c>
    </x:row>
    <x:row r="6969" ht="34" customHeight="1">
      <x:c r="A6969" s="4" t="str">
        <x:v>RS-03488-I4</x:v>
      </x:c>
      <x:c r="B6969" s="4" t="str">
        <x:v>RS-03488</x:v>
      </x:c>
      <x:c r="C6969" s="9" t="n">
        <x:v>4</x:v>
      </x:c>
      <x:c r="D6969" s="8" t="n">
        <x:v>45579</x:v>
      </x:c>
      <x:c r="E6969" s="9" t="n">
        <x:v>1032000</x:v>
      </x:c>
      <x:c r="F6969" s="9" t="n">
        <x:v>0</x:v>
      </x:c>
    </x:row>
    <x:row r="6970" ht="34" customHeight="1">
      <x:c r="A6970" s="4" t="str">
        <x:v>RS-03489-I1</x:v>
      </x:c>
      <x:c r="B6970" s="4" t="str">
        <x:v>RS-03489</x:v>
      </x:c>
      <x:c r="C6970" s="9" t="n">
        <x:v>1</x:v>
      </x:c>
      <x:c r="D6970" s="8" t="n">
        <x:v>45490</x:v>
      </x:c>
      <x:c r="E6970" s="9" t="n">
        <x:v>1127000</x:v>
      </x:c>
      <x:c r="F6970" s="9" t="n">
        <x:v>1127000</x:v>
      </x:c>
    </x:row>
    <x:row r="6971" ht="34" customHeight="1">
      <x:c r="A6971" s="4" t="str">
        <x:v>RS-03489-I2</x:v>
      </x:c>
      <x:c r="B6971" s="4" t="str">
        <x:v>RS-03489</x:v>
      </x:c>
      <x:c r="C6971" s="9" t="n">
        <x:v>2</x:v>
      </x:c>
      <x:c r="D6971" s="8" t="n">
        <x:v>45520</x:v>
      </x:c>
      <x:c r="E6971" s="9" t="n">
        <x:v>1127000</x:v>
      </x:c>
      <x:c r="F6971" s="9" t="n">
        <x:v>1127000</x:v>
      </x:c>
    </x:row>
    <x:row r="6972" ht="34" customHeight="1">
      <x:c r="A6972" s="4" t="str">
        <x:v>RS-03489-I3</x:v>
      </x:c>
      <x:c r="B6972" s="4" t="str">
        <x:v>RS-03489</x:v>
      </x:c>
      <x:c r="C6972" s="9" t="n">
        <x:v>3</x:v>
      </x:c>
      <x:c r="D6972" s="8" t="n">
        <x:v>45550</x:v>
      </x:c>
      <x:c r="E6972" s="9" t="n">
        <x:v>1127000</x:v>
      </x:c>
      <x:c r="F6972" s="9" t="n">
        <x:v>1127000</x:v>
      </x:c>
    </x:row>
    <x:row r="6973" ht="34" customHeight="1">
      <x:c r="A6973" s="4" t="str">
        <x:v>RS-03489-I4</x:v>
      </x:c>
      <x:c r="B6973" s="4" t="str">
        <x:v>RS-03489</x:v>
      </x:c>
      <x:c r="C6973" s="9" t="n">
        <x:v>4</x:v>
      </x:c>
      <x:c r="D6973" s="8" t="n">
        <x:v>45580</x:v>
      </x:c>
      <x:c r="E6973" s="9" t="n">
        <x:v>1127000</x:v>
      </x:c>
      <x:c r="F6973" s="9" t="n">
        <x:v>1127000</x:v>
      </x:c>
    </x:row>
    <x:row r="6974" ht="34" customHeight="1">
      <x:c r="A6974" s="4" t="str">
        <x:v>RS-03492-I1</x:v>
      </x:c>
      <x:c r="B6974" s="4" t="str">
        <x:v>RS-03492</x:v>
      </x:c>
      <x:c r="C6974" s="9" t="n">
        <x:v>1</x:v>
      </x:c>
      <x:c r="D6974" s="8" t="n">
        <x:v>45493</x:v>
      </x:c>
      <x:c r="E6974" s="9" t="n">
        <x:v>3576000</x:v>
      </x:c>
      <x:c r="F6974" s="9" t="n">
        <x:v>3576000</x:v>
      </x:c>
    </x:row>
    <x:row r="6975" ht="34" customHeight="1">
      <x:c r="A6975" s="4" t="str">
        <x:v>RS-03492-I2</x:v>
      </x:c>
      <x:c r="B6975" s="4" t="str">
        <x:v>RS-03492</x:v>
      </x:c>
      <x:c r="C6975" s="9" t="n">
        <x:v>2</x:v>
      </x:c>
      <x:c r="D6975" s="8" t="n">
        <x:v>45523</x:v>
      </x:c>
      <x:c r="E6975" s="9" t="n">
        <x:v>3576000</x:v>
      </x:c>
      <x:c r="F6975" s="9" t="n">
        <x:v>0</x:v>
      </x:c>
    </x:row>
    <x:row r="6976" ht="34" customHeight="1">
      <x:c r="A6976" s="4" t="str">
        <x:v>RS-03492-I3</x:v>
      </x:c>
      <x:c r="B6976" s="4" t="str">
        <x:v>RS-03492</x:v>
      </x:c>
      <x:c r="C6976" s="9" t="n">
        <x:v>3</x:v>
      </x:c>
      <x:c r="D6976" s="8" t="n">
        <x:v>45553</x:v>
      </x:c>
      <x:c r="E6976" s="9" t="n">
        <x:v>3576000</x:v>
      </x:c>
      <x:c r="F6976" s="9" t="n">
        <x:v>0</x:v>
      </x:c>
    </x:row>
    <x:row r="6977" ht="34" customHeight="1">
      <x:c r="A6977" s="4" t="str">
        <x:v>RS-03492-I4</x:v>
      </x:c>
      <x:c r="B6977" s="4" t="str">
        <x:v>RS-03492</x:v>
      </x:c>
      <x:c r="C6977" s="9" t="n">
        <x:v>4</x:v>
      </x:c>
      <x:c r="D6977" s="8" t="n">
        <x:v>45583</x:v>
      </x:c>
      <x:c r="E6977" s="9" t="n">
        <x:v>3576000</x:v>
      </x:c>
      <x:c r="F6977" s="9" t="n">
        <x:v>0</x:v>
      </x:c>
    </x:row>
    <x:row r="6978" ht="34" customHeight="1">
      <x:c r="A6978" s="4" t="str">
        <x:v>RS-03493-I1</x:v>
      </x:c>
      <x:c r="B6978" s="4" t="str">
        <x:v>RS-03493</x:v>
      </x:c>
      <x:c r="C6978" s="9" t="n">
        <x:v>1</x:v>
      </x:c>
      <x:c r="D6978" s="8" t="n">
        <x:v>45494</x:v>
      </x:c>
      <x:c r="E6978" s="9" t="n">
        <x:v>2202750</x:v>
      </x:c>
      <x:c r="F6978" s="9" t="n">
        <x:v>2202750</x:v>
      </x:c>
    </x:row>
    <x:row r="6979" ht="34" customHeight="1">
      <x:c r="A6979" s="4" t="str">
        <x:v>RS-03493-I2</x:v>
      </x:c>
      <x:c r="B6979" s="4" t="str">
        <x:v>RS-03493</x:v>
      </x:c>
      <x:c r="C6979" s="9" t="n">
        <x:v>2</x:v>
      </x:c>
      <x:c r="D6979" s="8" t="n">
        <x:v>45524</x:v>
      </x:c>
      <x:c r="E6979" s="9" t="n">
        <x:v>2202750</x:v>
      </x:c>
      <x:c r="F6979" s="9" t="n">
        <x:v>2202750</x:v>
      </x:c>
    </x:row>
    <x:row r="6980" ht="34" customHeight="1">
      <x:c r="A6980" s="4" t="str">
        <x:v>RS-03493-I3</x:v>
      </x:c>
      <x:c r="B6980" s="4" t="str">
        <x:v>RS-03493</x:v>
      </x:c>
      <x:c r="C6980" s="9" t="n">
        <x:v>3</x:v>
      </x:c>
      <x:c r="D6980" s="8" t="n">
        <x:v>45554</x:v>
      </x:c>
      <x:c r="E6980" s="9" t="n">
        <x:v>2202750</x:v>
      </x:c>
      <x:c r="F6980" s="9" t="n">
        <x:v>2202750</x:v>
      </x:c>
    </x:row>
    <x:row r="6981" ht="34" customHeight="1">
      <x:c r="A6981" s="4" t="str">
        <x:v>RS-03493-I4</x:v>
      </x:c>
      <x:c r="B6981" s="4" t="str">
        <x:v>RS-03493</x:v>
      </x:c>
      <x:c r="C6981" s="9" t="n">
        <x:v>4</x:v>
      </x:c>
      <x:c r="D6981" s="8" t="n">
        <x:v>45584</x:v>
      </x:c>
      <x:c r="E6981" s="9" t="n">
        <x:v>2202750</x:v>
      </x:c>
      <x:c r="F6981" s="9" t="n">
        <x:v>2202750</x:v>
      </x:c>
    </x:row>
    <x:row r="6982" ht="34" customHeight="1">
      <x:c r="A6982" s="4" t="str">
        <x:v>RS-03494-I1</x:v>
      </x:c>
      <x:c r="B6982" s="4" t="str">
        <x:v>RS-03494</x:v>
      </x:c>
      <x:c r="C6982" s="9" t="n">
        <x:v>1</x:v>
      </x:c>
      <x:c r="D6982" s="8" t="n">
        <x:v>45495</x:v>
      </x:c>
      <x:c r="E6982" s="9" t="n">
        <x:v>1464750</x:v>
      </x:c>
      <x:c r="F6982" s="9" t="n">
        <x:v>585900</x:v>
      </x:c>
    </x:row>
    <x:row r="6983" ht="34" customHeight="1">
      <x:c r="A6983" s="4" t="str">
        <x:v>RS-03494-I2</x:v>
      </x:c>
      <x:c r="B6983" s="4" t="str">
        <x:v>RS-03494</x:v>
      </x:c>
      <x:c r="C6983" s="9" t="n">
        <x:v>2</x:v>
      </x:c>
      <x:c r="D6983" s="8" t="n">
        <x:v>45525</x:v>
      </x:c>
      <x:c r="E6983" s="9" t="n">
        <x:v>1464750</x:v>
      </x:c>
      <x:c r="F6983" s="9" t="n">
        <x:v>0</x:v>
      </x:c>
    </x:row>
    <x:row r="6984" ht="34" customHeight="1">
      <x:c r="A6984" s="4" t="str">
        <x:v>RS-03494-I3</x:v>
      </x:c>
      <x:c r="B6984" s="4" t="str">
        <x:v>RS-03494</x:v>
      </x:c>
      <x:c r="C6984" s="9" t="n">
        <x:v>3</x:v>
      </x:c>
      <x:c r="D6984" s="8" t="n">
        <x:v>45555</x:v>
      </x:c>
      <x:c r="E6984" s="9" t="n">
        <x:v>1464750</x:v>
      </x:c>
      <x:c r="F6984" s="9" t="n">
        <x:v>0</x:v>
      </x:c>
    </x:row>
    <x:row r="6985" ht="34" customHeight="1">
      <x:c r="A6985" s="4" t="str">
        <x:v>RS-03494-I4</x:v>
      </x:c>
      <x:c r="B6985" s="4" t="str">
        <x:v>RS-03494</x:v>
      </x:c>
      <x:c r="C6985" s="9" t="n">
        <x:v>4</x:v>
      </x:c>
      <x:c r="D6985" s="8" t="n">
        <x:v>45585</x:v>
      </x:c>
      <x:c r="E6985" s="9" t="n">
        <x:v>1464750</x:v>
      </x:c>
      <x:c r="F6985" s="9" t="n">
        <x:v>0</x:v>
      </x:c>
    </x:row>
    <x:row r="6986" ht="34" customHeight="1">
      <x:c r="A6986" s="4" t="str">
        <x:v>RS-03495-I1</x:v>
      </x:c>
      <x:c r="B6986" s="4" t="str">
        <x:v>RS-03495</x:v>
      </x:c>
      <x:c r="C6986" s="9" t="n">
        <x:v>1</x:v>
      </x:c>
      <x:c r="D6986" s="8" t="n">
        <x:v>45496</x:v>
      </x:c>
      <x:c r="E6986" s="9" t="n">
        <x:v>953250</x:v>
      </x:c>
      <x:c r="F6986" s="9" t="n">
        <x:v>953250</x:v>
      </x:c>
    </x:row>
    <x:row r="6987" ht="34" customHeight="1">
      <x:c r="A6987" s="4" t="str">
        <x:v>RS-03495-I2</x:v>
      </x:c>
      <x:c r="B6987" s="4" t="str">
        <x:v>RS-03495</x:v>
      </x:c>
      <x:c r="C6987" s="9" t="n">
        <x:v>2</x:v>
      </x:c>
      <x:c r="D6987" s="8" t="n">
        <x:v>45526</x:v>
      </x:c>
      <x:c r="E6987" s="9" t="n">
        <x:v>953250</x:v>
      </x:c>
      <x:c r="F6987" s="9" t="n">
        <x:v>953250</x:v>
      </x:c>
    </x:row>
    <x:row r="6988" ht="34" customHeight="1">
      <x:c r="A6988" s="4" t="str">
        <x:v>RS-03495-I3</x:v>
      </x:c>
      <x:c r="B6988" s="4" t="str">
        <x:v>RS-03495</x:v>
      </x:c>
      <x:c r="C6988" s="9" t="n">
        <x:v>3</x:v>
      </x:c>
      <x:c r="D6988" s="8" t="n">
        <x:v>45556</x:v>
      </x:c>
      <x:c r="E6988" s="9" t="n">
        <x:v>953250</x:v>
      </x:c>
      <x:c r="F6988" s="9" t="n">
        <x:v>953250</x:v>
      </x:c>
    </x:row>
    <x:row r="6989" ht="34" customHeight="1">
      <x:c r="A6989" s="4" t="str">
        <x:v>RS-03495-I4</x:v>
      </x:c>
      <x:c r="B6989" s="4" t="str">
        <x:v>RS-03495</x:v>
      </x:c>
      <x:c r="C6989" s="9" t="n">
        <x:v>4</x:v>
      </x:c>
      <x:c r="D6989" s="8" t="n">
        <x:v>45586</x:v>
      </x:c>
      <x:c r="E6989" s="9" t="n">
        <x:v>953250</x:v>
      </x:c>
      <x:c r="F6989" s="9" t="n">
        <x:v>953250</x:v>
      </x:c>
    </x:row>
    <x:row r="6990" ht="34" customHeight="1">
      <x:c r="A6990" s="4" t="str">
        <x:v>RS-03496-I1</x:v>
      </x:c>
      <x:c r="B6990" s="4" t="str">
        <x:v>RS-03496</x:v>
      </x:c>
      <x:c r="C6990" s="9" t="n">
        <x:v>1</x:v>
      </x:c>
      <x:c r="D6990" s="8" t="n">
        <x:v>45497</x:v>
      </x:c>
      <x:c r="E6990" s="9" t="n">
        <x:v>3102000</x:v>
      </x:c>
      <x:c r="F6990" s="9" t="n">
        <x:v>3102000</x:v>
      </x:c>
    </x:row>
    <x:row r="6991" ht="34" customHeight="1">
      <x:c r="A6991" s="4" t="str">
        <x:v>RS-03496-I2</x:v>
      </x:c>
      <x:c r="B6991" s="4" t="str">
        <x:v>RS-03496</x:v>
      </x:c>
      <x:c r="C6991" s="9" t="n">
        <x:v>2</x:v>
      </x:c>
      <x:c r="D6991" s="8" t="n">
        <x:v>45527</x:v>
      </x:c>
      <x:c r="E6991" s="9" t="n">
        <x:v>3102000</x:v>
      </x:c>
      <x:c r="F6991" s="9" t="n">
        <x:v>3102000</x:v>
      </x:c>
    </x:row>
    <x:row r="6992" ht="34" customHeight="1">
      <x:c r="A6992" s="4" t="str">
        <x:v>RS-03496-I3</x:v>
      </x:c>
      <x:c r="B6992" s="4" t="str">
        <x:v>RS-03496</x:v>
      </x:c>
      <x:c r="C6992" s="9" t="n">
        <x:v>3</x:v>
      </x:c>
      <x:c r="D6992" s="8" t="n">
        <x:v>45557</x:v>
      </x:c>
      <x:c r="E6992" s="9" t="n">
        <x:v>3102000</x:v>
      </x:c>
      <x:c r="F6992" s="9" t="n">
        <x:v>0</x:v>
      </x:c>
    </x:row>
    <x:row r="6993" ht="34" customHeight="1">
      <x:c r="A6993" s="4" t="str">
        <x:v>RS-03496-I4</x:v>
      </x:c>
      <x:c r="B6993" s="4" t="str">
        <x:v>RS-03496</x:v>
      </x:c>
      <x:c r="C6993" s="9" t="n">
        <x:v>4</x:v>
      </x:c>
      <x:c r="D6993" s="8" t="n">
        <x:v>45587</x:v>
      </x:c>
      <x:c r="E6993" s="9" t="n">
        <x:v>3102000</x:v>
      </x:c>
      <x:c r="F6993" s="9" t="n">
        <x:v>0</x:v>
      </x:c>
    </x:row>
    <x:row r="6994" ht="34" customHeight="1">
      <x:c r="A6994" s="4" t="str">
        <x:v>RS-03497-I1</x:v>
      </x:c>
      <x:c r="B6994" s="4" t="str">
        <x:v>RS-03497</x:v>
      </x:c>
      <x:c r="C6994" s="9" t="n">
        <x:v>1</x:v>
      </x:c>
      <x:c r="D6994" s="8" t="n">
        <x:v>45498</x:v>
      </x:c>
      <x:c r="E6994" s="9" t="n">
        <x:v>3685500</x:v>
      </x:c>
      <x:c r="F6994" s="9" t="n">
        <x:v>3685500</x:v>
      </x:c>
    </x:row>
    <x:row r="6995" ht="34" customHeight="1">
      <x:c r="A6995" s="4" t="str">
        <x:v>RS-03497-I2</x:v>
      </x:c>
      <x:c r="B6995" s="4" t="str">
        <x:v>RS-03497</x:v>
      </x:c>
      <x:c r="C6995" s="9" t="n">
        <x:v>2</x:v>
      </x:c>
      <x:c r="D6995" s="8" t="n">
        <x:v>45528</x:v>
      </x:c>
      <x:c r="E6995" s="9" t="n">
        <x:v>3685500</x:v>
      </x:c>
      <x:c r="F6995" s="9" t="n">
        <x:v>3685500</x:v>
      </x:c>
    </x:row>
    <x:row r="6996" ht="34" customHeight="1">
      <x:c r="A6996" s="4" t="str">
        <x:v>RS-03497-I3</x:v>
      </x:c>
      <x:c r="B6996" s="4" t="str">
        <x:v>RS-03497</x:v>
      </x:c>
      <x:c r="C6996" s="9" t="n">
        <x:v>3</x:v>
      </x:c>
      <x:c r="D6996" s="8" t="n">
        <x:v>45558</x:v>
      </x:c>
      <x:c r="E6996" s="9" t="n">
        <x:v>3685500</x:v>
      </x:c>
      <x:c r="F6996" s="9" t="n">
        <x:v>3685500</x:v>
      </x:c>
    </x:row>
    <x:row r="6997" ht="34" customHeight="1">
      <x:c r="A6997" s="4" t="str">
        <x:v>RS-03497-I4</x:v>
      </x:c>
      <x:c r="B6997" s="4" t="str">
        <x:v>RS-03497</x:v>
      </x:c>
      <x:c r="C6997" s="9" t="n">
        <x:v>4</x:v>
      </x:c>
      <x:c r="D6997" s="8" t="n">
        <x:v>45588</x:v>
      </x:c>
      <x:c r="E6997" s="9" t="n">
        <x:v>3685500</x:v>
      </x:c>
      <x:c r="F6997" s="9" t="n">
        <x:v>3685500</x:v>
      </x:c>
    </x:row>
    <x:row r="6998" ht="34" customHeight="1">
      <x:c r="A6998" s="4" t="str">
        <x:v>RS-03498-I1</x:v>
      </x:c>
      <x:c r="B6998" s="4" t="str">
        <x:v>RS-03498</x:v>
      </x:c>
      <x:c r="C6998" s="9" t="n">
        <x:v>1</x:v>
      </x:c>
      <x:c r="D6998" s="8" t="n">
        <x:v>45499</x:v>
      </x:c>
      <x:c r="E6998" s="9" t="n">
        <x:v>990000</x:v>
      </x:c>
      <x:c r="F6998" s="9" t="n">
        <x:v>396000</x:v>
      </x:c>
    </x:row>
    <x:row r="6999" ht="34" customHeight="1">
      <x:c r="A6999" s="4" t="str">
        <x:v>RS-03498-I2</x:v>
      </x:c>
      <x:c r="B6999" s="4" t="str">
        <x:v>RS-03498</x:v>
      </x:c>
      <x:c r="C6999" s="9" t="n">
        <x:v>2</x:v>
      </x:c>
      <x:c r="D6999" s="8" t="n">
        <x:v>45529</x:v>
      </x:c>
      <x:c r="E6999" s="9" t="n">
        <x:v>990000</x:v>
      </x:c>
      <x:c r="F6999" s="9" t="n">
        <x:v>0</x:v>
      </x:c>
    </x:row>
    <x:row r="7000" ht="34" customHeight="1">
      <x:c r="A7000" s="4" t="str">
        <x:v>RS-03498-I3</x:v>
      </x:c>
      <x:c r="B7000" s="4" t="str">
        <x:v>RS-03498</x:v>
      </x:c>
      <x:c r="C7000" s="9" t="n">
        <x:v>3</x:v>
      </x:c>
      <x:c r="D7000" s="8" t="n">
        <x:v>45559</x:v>
      </x:c>
      <x:c r="E7000" s="9" t="n">
        <x:v>990000</x:v>
      </x:c>
      <x:c r="F7000" s="9" t="n">
        <x:v>0</x:v>
      </x:c>
    </x:row>
    <x:row r="7001" ht="34" customHeight="1">
      <x:c r="A7001" s="4" t="str">
        <x:v>RS-03498-I4</x:v>
      </x:c>
      <x:c r="B7001" s="4" t="str">
        <x:v>RS-03498</x:v>
      </x:c>
      <x:c r="C7001" s="9" t="n">
        <x:v>4</x:v>
      </x:c>
      <x:c r="D7001" s="8" t="n">
        <x:v>45589</x:v>
      </x:c>
      <x:c r="E7001" s="9" t="n">
        <x:v>990000</x:v>
      </x:c>
      <x:c r="F7001" s="9" t="n">
        <x:v>0</x:v>
      </x:c>
    </x:row>
    <x:row r="7002" ht="34" customHeight="1">
      <x:c r="A7002" s="4" t="str">
        <x:v>RS-03500-I1</x:v>
      </x:c>
      <x:c r="B7002" s="4" t="str">
        <x:v>RS-03500</x:v>
      </x:c>
      <x:c r="C7002" s="9" t="n">
        <x:v>1</x:v>
      </x:c>
      <x:c r="D7002" s="8" t="n">
        <x:v>45501</x:v>
      </x:c>
      <x:c r="E7002" s="9" t="n">
        <x:v>3443750</x:v>
      </x:c>
      <x:c r="F7002" s="9" t="n">
        <x:v>3443750</x:v>
      </x:c>
    </x:row>
    <x:row r="7003" ht="34" customHeight="1">
      <x:c r="A7003" s="4" t="str">
        <x:v>RS-03500-I2</x:v>
      </x:c>
      <x:c r="B7003" s="4" t="str">
        <x:v>RS-03500</x:v>
      </x:c>
      <x:c r="C7003" s="9" t="n">
        <x:v>2</x:v>
      </x:c>
      <x:c r="D7003" s="8" t="n">
        <x:v>45531</x:v>
      </x:c>
      <x:c r="E7003" s="9" t="n">
        <x:v>3443750</x:v>
      </x:c>
      <x:c r="F7003" s="9" t="n">
        <x:v>3443750</x:v>
      </x:c>
    </x:row>
    <x:row r="7004" ht="34" customHeight="1">
      <x:c r="A7004" s="4" t="str">
        <x:v>RS-03500-I3</x:v>
      </x:c>
      <x:c r="B7004" s="4" t="str">
        <x:v>RS-03500</x:v>
      </x:c>
      <x:c r="C7004" s="9" t="n">
        <x:v>3</x:v>
      </x:c>
      <x:c r="D7004" s="8" t="n">
        <x:v>45561</x:v>
      </x:c>
      <x:c r="E7004" s="9" t="n">
        <x:v>3443750</x:v>
      </x:c>
      <x:c r="F7004" s="9" t="n">
        <x:v>0</x:v>
      </x:c>
    </x:row>
    <x:row r="7005" ht="34" customHeight="1">
      <x:c r="A7005" s="4" t="str">
        <x:v>RS-03500-I4</x:v>
      </x:c>
      <x:c r="B7005" s="4" t="str">
        <x:v>RS-03500</x:v>
      </x:c>
      <x:c r="C7005" s="9" t="n">
        <x:v>4</x:v>
      </x:c>
      <x:c r="D7005" s="8" t="n">
        <x:v>45591</x:v>
      </x:c>
      <x:c r="E7005" s="9" t="n">
        <x:v>3443750</x:v>
      </x:c>
      <x:c r="F7005" s="9" t="n">
        <x:v>0</x:v>
      </x:c>
    </x:row>
    <x:row r="7006" ht="34" customHeight="1">
      <x:c r="A7006" s="4" t="str">
        <x:v>RS-03503-I1</x:v>
      </x:c>
      <x:c r="B7006" s="4" t="str">
        <x:v>RS-03503</x:v>
      </x:c>
      <x:c r="C7006" s="9" t="n">
        <x:v>1</x:v>
      </x:c>
      <x:c r="D7006" s="8" t="n">
        <x:v>45507</x:v>
      </x:c>
      <x:c r="E7006" s="9" t="n">
        <x:v>2806000</x:v>
      </x:c>
      <x:c r="F7006" s="9" t="n">
        <x:v>2806000</x:v>
      </x:c>
    </x:row>
    <x:row r="7007" ht="34" customHeight="1">
      <x:c r="A7007" s="4" t="str">
        <x:v>RS-03503-I2</x:v>
      </x:c>
      <x:c r="B7007" s="4" t="str">
        <x:v>RS-03503</x:v>
      </x:c>
      <x:c r="C7007" s="9" t="n">
        <x:v>2</x:v>
      </x:c>
      <x:c r="D7007" s="8" t="n">
        <x:v>45537</x:v>
      </x:c>
      <x:c r="E7007" s="9" t="n">
        <x:v>2806000</x:v>
      </x:c>
      <x:c r="F7007" s="9" t="n">
        <x:v>2806000</x:v>
      </x:c>
    </x:row>
    <x:row r="7008" ht="34" customHeight="1">
      <x:c r="A7008" s="4" t="str">
        <x:v>RS-03503-I3</x:v>
      </x:c>
      <x:c r="B7008" s="4" t="str">
        <x:v>RS-03503</x:v>
      </x:c>
      <x:c r="C7008" s="9" t="n">
        <x:v>3</x:v>
      </x:c>
      <x:c r="D7008" s="8" t="n">
        <x:v>45567</x:v>
      </x:c>
      <x:c r="E7008" s="9" t="n">
        <x:v>2806000</x:v>
      </x:c>
      <x:c r="F7008" s="9" t="n">
        <x:v>2806000</x:v>
      </x:c>
    </x:row>
    <x:row r="7009" ht="34" customHeight="1">
      <x:c r="A7009" s="4" t="str">
        <x:v>RS-03503-I4</x:v>
      </x:c>
      <x:c r="B7009" s="4" t="str">
        <x:v>RS-03503</x:v>
      </x:c>
      <x:c r="C7009" s="9" t="n">
        <x:v>4</x:v>
      </x:c>
      <x:c r="D7009" s="8" t="n">
        <x:v>45597</x:v>
      </x:c>
      <x:c r="E7009" s="9" t="n">
        <x:v>2806000</x:v>
      </x:c>
      <x:c r="F7009" s="9" t="n">
        <x:v>2806000</x:v>
      </x:c>
    </x:row>
    <x:row r="7010" ht="34" customHeight="1">
      <x:c r="A7010" s="4" t="str">
        <x:v>RS-03504-I1</x:v>
      </x:c>
      <x:c r="B7010" s="4" t="str">
        <x:v>RS-03504</x:v>
      </x:c>
      <x:c r="C7010" s="9" t="n">
        <x:v>1</x:v>
      </x:c>
      <x:c r="D7010" s="8" t="n">
        <x:v>45508</x:v>
      </x:c>
      <x:c r="E7010" s="9" t="n">
        <x:v>1725000</x:v>
      </x:c>
      <x:c r="F7010" s="9" t="n">
        <x:v>1725000</x:v>
      </x:c>
    </x:row>
    <x:row r="7011" ht="34" customHeight="1">
      <x:c r="A7011" s="4" t="str">
        <x:v>RS-03504-I2</x:v>
      </x:c>
      <x:c r="B7011" s="4" t="str">
        <x:v>RS-03504</x:v>
      </x:c>
      <x:c r="C7011" s="9" t="n">
        <x:v>2</x:v>
      </x:c>
      <x:c r="D7011" s="8" t="n">
        <x:v>45538</x:v>
      </x:c>
      <x:c r="E7011" s="9" t="n">
        <x:v>1725000</x:v>
      </x:c>
      <x:c r="F7011" s="9" t="n">
        <x:v>1725000</x:v>
      </x:c>
    </x:row>
    <x:row r="7012" ht="34" customHeight="1">
      <x:c r="A7012" s="4" t="str">
        <x:v>RS-03504-I3</x:v>
      </x:c>
      <x:c r="B7012" s="4" t="str">
        <x:v>RS-03504</x:v>
      </x:c>
      <x:c r="C7012" s="9" t="n">
        <x:v>3</x:v>
      </x:c>
      <x:c r="D7012" s="8" t="n">
        <x:v>45568</x:v>
      </x:c>
      <x:c r="E7012" s="9" t="n">
        <x:v>1725000</x:v>
      </x:c>
      <x:c r="F7012" s="9" t="n">
        <x:v>1725000</x:v>
      </x:c>
    </x:row>
    <x:row r="7013" ht="34" customHeight="1">
      <x:c r="A7013" s="4" t="str">
        <x:v>RS-03504-I4</x:v>
      </x:c>
      <x:c r="B7013" s="4" t="str">
        <x:v>RS-03504</x:v>
      </x:c>
      <x:c r="C7013" s="9" t="n">
        <x:v>4</x:v>
      </x:c>
      <x:c r="D7013" s="8" t="n">
        <x:v>45598</x:v>
      </x:c>
      <x:c r="E7013" s="9" t="n">
        <x:v>1725000</x:v>
      </x:c>
      <x:c r="F7013" s="9" t="n">
        <x:v>1725000</x:v>
      </x:c>
    </x:row>
    <x:row r="7014" ht="34" customHeight="1">
      <x:c r="A7014" s="4" t="str">
        <x:v>RS-03505-I1</x:v>
      </x:c>
      <x:c r="B7014" s="4" t="str">
        <x:v>RS-03505</x:v>
      </x:c>
      <x:c r="C7014" s="9" t="n">
        <x:v>1</x:v>
      </x:c>
      <x:c r="D7014" s="8" t="n">
        <x:v>45509</x:v>
      </x:c>
      <x:c r="E7014" s="9" t="n">
        <x:v>5400000</x:v>
      </x:c>
      <x:c r="F7014" s="9" t="n">
        <x:v>5400000</x:v>
      </x:c>
    </x:row>
    <x:row r="7015" ht="34" customHeight="1">
      <x:c r="A7015" s="4" t="str">
        <x:v>RS-03505-I2</x:v>
      </x:c>
      <x:c r="B7015" s="4" t="str">
        <x:v>RS-03505</x:v>
      </x:c>
      <x:c r="C7015" s="9" t="n">
        <x:v>2</x:v>
      </x:c>
      <x:c r="D7015" s="8" t="n">
        <x:v>45539</x:v>
      </x:c>
      <x:c r="E7015" s="9" t="n">
        <x:v>5400000</x:v>
      </x:c>
      <x:c r="F7015" s="9" t="n">
        <x:v>5400000</x:v>
      </x:c>
    </x:row>
    <x:row r="7016" ht="34" customHeight="1">
      <x:c r="A7016" s="4" t="str">
        <x:v>RS-03505-I3</x:v>
      </x:c>
      <x:c r="B7016" s="4" t="str">
        <x:v>RS-03505</x:v>
      </x:c>
      <x:c r="C7016" s="9" t="n">
        <x:v>3</x:v>
      </x:c>
      <x:c r="D7016" s="8" t="n">
        <x:v>45569</x:v>
      </x:c>
      <x:c r="E7016" s="9" t="n">
        <x:v>5400000</x:v>
      </x:c>
      <x:c r="F7016" s="9" t="n">
        <x:v>0</x:v>
      </x:c>
    </x:row>
    <x:row r="7017" ht="34" customHeight="1">
      <x:c r="A7017" s="4" t="str">
        <x:v>RS-03505-I4</x:v>
      </x:c>
      <x:c r="B7017" s="4" t="str">
        <x:v>RS-03505</x:v>
      </x:c>
      <x:c r="C7017" s="9" t="n">
        <x:v>4</x:v>
      </x:c>
      <x:c r="D7017" s="8" t="n">
        <x:v>45599</x:v>
      </x:c>
      <x:c r="E7017" s="9" t="n">
        <x:v>5400000</x:v>
      </x:c>
      <x:c r="F7017" s="9" t="n">
        <x:v>0</x:v>
      </x:c>
    </x:row>
    <x:row r="7018" ht="34" customHeight="1">
      <x:c r="A7018" s="4" t="str">
        <x:v>RS-03507-I1</x:v>
      </x:c>
      <x:c r="B7018" s="4" t="str">
        <x:v>RS-03507</x:v>
      </x:c>
      <x:c r="C7018" s="9" t="n">
        <x:v>1</x:v>
      </x:c>
      <x:c r="D7018" s="8" t="n">
        <x:v>45511</x:v>
      </x:c>
      <x:c r="E7018" s="9" t="n">
        <x:v>5851500</x:v>
      </x:c>
      <x:c r="F7018" s="9" t="n">
        <x:v>2340600</x:v>
      </x:c>
    </x:row>
    <x:row r="7019" ht="34" customHeight="1">
      <x:c r="A7019" s="4" t="str">
        <x:v>RS-03507-I2</x:v>
      </x:c>
      <x:c r="B7019" s="4" t="str">
        <x:v>RS-03507</x:v>
      </x:c>
      <x:c r="C7019" s="9" t="n">
        <x:v>2</x:v>
      </x:c>
      <x:c r="D7019" s="8" t="n">
        <x:v>45541</x:v>
      </x:c>
      <x:c r="E7019" s="9" t="n">
        <x:v>5851500</x:v>
      </x:c>
      <x:c r="F7019" s="9" t="n">
        <x:v>0</x:v>
      </x:c>
    </x:row>
    <x:row r="7020" ht="34" customHeight="1">
      <x:c r="A7020" s="4" t="str">
        <x:v>RS-03507-I3</x:v>
      </x:c>
      <x:c r="B7020" s="4" t="str">
        <x:v>RS-03507</x:v>
      </x:c>
      <x:c r="C7020" s="9" t="n">
        <x:v>3</x:v>
      </x:c>
      <x:c r="D7020" s="8" t="n">
        <x:v>45571</x:v>
      </x:c>
      <x:c r="E7020" s="9" t="n">
        <x:v>5851500</x:v>
      </x:c>
      <x:c r="F7020" s="9" t="n">
        <x:v>0</x:v>
      </x:c>
    </x:row>
    <x:row r="7021" ht="34" customHeight="1">
      <x:c r="A7021" s="4" t="str">
        <x:v>RS-03507-I4</x:v>
      </x:c>
      <x:c r="B7021" s="4" t="str">
        <x:v>RS-03507</x:v>
      </x:c>
      <x:c r="C7021" s="9" t="n">
        <x:v>4</x:v>
      </x:c>
      <x:c r="D7021" s="8" t="n">
        <x:v>45601</x:v>
      </x:c>
      <x:c r="E7021" s="9" t="n">
        <x:v>5851500</x:v>
      </x:c>
      <x:c r="F7021" s="9" t="n">
        <x:v>0</x:v>
      </x:c>
    </x:row>
    <x:row r="7022" ht="34" customHeight="1">
      <x:c r="A7022" s="4" t="str">
        <x:v>RS-03508-I1</x:v>
      </x:c>
      <x:c r="B7022" s="4" t="str">
        <x:v>RS-03508</x:v>
      </x:c>
      <x:c r="C7022" s="9" t="n">
        <x:v>1</x:v>
      </x:c>
      <x:c r="D7022" s="8" t="n">
        <x:v>45512</x:v>
      </x:c>
      <x:c r="E7022" s="9" t="n">
        <x:v>3885750</x:v>
      </x:c>
      <x:c r="F7022" s="9" t="n">
        <x:v>3885750</x:v>
      </x:c>
    </x:row>
    <x:row r="7023" ht="34" customHeight="1">
      <x:c r="A7023" s="4" t="str">
        <x:v>RS-03508-I2</x:v>
      </x:c>
      <x:c r="B7023" s="4" t="str">
        <x:v>RS-03508</x:v>
      </x:c>
      <x:c r="C7023" s="9" t="n">
        <x:v>2</x:v>
      </x:c>
      <x:c r="D7023" s="8" t="n">
        <x:v>45542</x:v>
      </x:c>
      <x:c r="E7023" s="9" t="n">
        <x:v>3885750</x:v>
      </x:c>
      <x:c r="F7023" s="9" t="n">
        <x:v>3885750</x:v>
      </x:c>
    </x:row>
    <x:row r="7024" ht="34" customHeight="1">
      <x:c r="A7024" s="4" t="str">
        <x:v>RS-03508-I3</x:v>
      </x:c>
      <x:c r="B7024" s="4" t="str">
        <x:v>RS-03508</x:v>
      </x:c>
      <x:c r="C7024" s="9" t="n">
        <x:v>3</x:v>
      </x:c>
      <x:c r="D7024" s="8" t="n">
        <x:v>45572</x:v>
      </x:c>
      <x:c r="E7024" s="9" t="n">
        <x:v>3885750</x:v>
      </x:c>
      <x:c r="F7024" s="9" t="n">
        <x:v>3885750</x:v>
      </x:c>
    </x:row>
    <x:row r="7025" ht="34" customHeight="1">
      <x:c r="A7025" s="4" t="str">
        <x:v>RS-03508-I4</x:v>
      </x:c>
      <x:c r="B7025" s="4" t="str">
        <x:v>RS-03508</x:v>
      </x:c>
      <x:c r="C7025" s="9" t="n">
        <x:v>4</x:v>
      </x:c>
      <x:c r="D7025" s="8" t="n">
        <x:v>45602</x:v>
      </x:c>
      <x:c r="E7025" s="9" t="n">
        <x:v>3885750</x:v>
      </x:c>
      <x:c r="F7025" s="9" t="n">
        <x:v>3885750</x:v>
      </x:c>
    </x:row>
    <x:row r="7026" ht="34" customHeight="1">
      <x:c r="A7026" s="4" t="str">
        <x:v>RS-03509-I1</x:v>
      </x:c>
      <x:c r="B7026" s="4" t="str">
        <x:v>RS-03509</x:v>
      </x:c>
      <x:c r="C7026" s="9" t="n">
        <x:v>1</x:v>
      </x:c>
      <x:c r="D7026" s="8" t="n">
        <x:v>45513</x:v>
      </x:c>
      <x:c r="E7026" s="9" t="n">
        <x:v>2093000</x:v>
      </x:c>
      <x:c r="F7026" s="9" t="n">
        <x:v>2093000</x:v>
      </x:c>
    </x:row>
    <x:row r="7027" ht="34" customHeight="1">
      <x:c r="A7027" s="4" t="str">
        <x:v>RS-03509-I2</x:v>
      </x:c>
      <x:c r="B7027" s="4" t="str">
        <x:v>RS-03509</x:v>
      </x:c>
      <x:c r="C7027" s="9" t="n">
        <x:v>2</x:v>
      </x:c>
      <x:c r="D7027" s="8" t="n">
        <x:v>45543</x:v>
      </x:c>
      <x:c r="E7027" s="9" t="n">
        <x:v>2093000</x:v>
      </x:c>
      <x:c r="F7027" s="9" t="n">
        <x:v>2093000</x:v>
      </x:c>
    </x:row>
    <x:row r="7028" ht="34" customHeight="1">
      <x:c r="A7028" s="4" t="str">
        <x:v>RS-03509-I3</x:v>
      </x:c>
      <x:c r="B7028" s="4" t="str">
        <x:v>RS-03509</x:v>
      </x:c>
      <x:c r="C7028" s="9" t="n">
        <x:v>3</x:v>
      </x:c>
      <x:c r="D7028" s="8" t="n">
        <x:v>45573</x:v>
      </x:c>
      <x:c r="E7028" s="9" t="n">
        <x:v>2093000</x:v>
      </x:c>
      <x:c r="F7028" s="9" t="n">
        <x:v>2093000</x:v>
      </x:c>
    </x:row>
    <x:row r="7029" ht="34" customHeight="1">
      <x:c r="A7029" s="4" t="str">
        <x:v>RS-03509-I4</x:v>
      </x:c>
      <x:c r="B7029" s="4" t="str">
        <x:v>RS-03509</x:v>
      </x:c>
      <x:c r="C7029" s="9" t="n">
        <x:v>4</x:v>
      </x:c>
      <x:c r="D7029" s="8" t="n">
        <x:v>45603</x:v>
      </x:c>
      <x:c r="E7029" s="9" t="n">
        <x:v>2093000</x:v>
      </x:c>
      <x:c r="F7029" s="9" t="n">
        <x:v>2093000</x:v>
      </x:c>
    </x:row>
    <x:row r="7030" ht="34" customHeight="1">
      <x:c r="A7030" s="4" t="str">
        <x:v>RS-03512-I1</x:v>
      </x:c>
      <x:c r="B7030" s="4" t="str">
        <x:v>RS-03512</x:v>
      </x:c>
      <x:c r="C7030" s="9" t="n">
        <x:v>1</x:v>
      </x:c>
      <x:c r="D7030" s="8" t="n">
        <x:v>45516</x:v>
      </x:c>
      <x:c r="E7030" s="9" t="n">
        <x:v>4005000</x:v>
      </x:c>
      <x:c r="F7030" s="9" t="n">
        <x:v>4005000</x:v>
      </x:c>
    </x:row>
    <x:row r="7031" ht="34" customHeight="1">
      <x:c r="A7031" s="4" t="str">
        <x:v>RS-03512-I2</x:v>
      </x:c>
      <x:c r="B7031" s="4" t="str">
        <x:v>RS-03512</x:v>
      </x:c>
      <x:c r="C7031" s="9" t="n">
        <x:v>2</x:v>
      </x:c>
      <x:c r="D7031" s="8" t="n">
        <x:v>45546</x:v>
      </x:c>
      <x:c r="E7031" s="9" t="n">
        <x:v>4005000</x:v>
      </x:c>
      <x:c r="F7031" s="9" t="n">
        <x:v>4005000</x:v>
      </x:c>
    </x:row>
    <x:row r="7032" ht="34" customHeight="1">
      <x:c r="A7032" s="4" t="str">
        <x:v>RS-03512-I3</x:v>
      </x:c>
      <x:c r="B7032" s="4" t="str">
        <x:v>RS-03512</x:v>
      </x:c>
      <x:c r="C7032" s="9" t="n">
        <x:v>3</x:v>
      </x:c>
      <x:c r="D7032" s="8" t="n">
        <x:v>45576</x:v>
      </x:c>
      <x:c r="E7032" s="9" t="n">
        <x:v>4005000</x:v>
      </x:c>
      <x:c r="F7032" s="9" t="n">
        <x:v>4005000</x:v>
      </x:c>
    </x:row>
    <x:row r="7033" ht="34" customHeight="1">
      <x:c r="A7033" s="4" t="str">
        <x:v>RS-03512-I4</x:v>
      </x:c>
      <x:c r="B7033" s="4" t="str">
        <x:v>RS-03512</x:v>
      </x:c>
      <x:c r="C7033" s="9" t="n">
        <x:v>4</x:v>
      </x:c>
      <x:c r="D7033" s="8" t="n">
        <x:v>45606</x:v>
      </x:c>
      <x:c r="E7033" s="9" t="n">
        <x:v>4005000</x:v>
      </x:c>
      <x:c r="F7033" s="9" t="n">
        <x:v>4005000</x:v>
      </x:c>
    </x:row>
    <x:row r="7034" ht="34" customHeight="1">
      <x:c r="A7034" s="4" t="str">
        <x:v>RS-03513-I1</x:v>
      </x:c>
      <x:c r="B7034" s="4" t="str">
        <x:v>RS-03513</x:v>
      </x:c>
      <x:c r="C7034" s="9" t="n">
        <x:v>1</x:v>
      </x:c>
      <x:c r="D7034" s="8" t="n">
        <x:v>45517</x:v>
      </x:c>
      <x:c r="E7034" s="9" t="n">
        <x:v>4704000</x:v>
      </x:c>
      <x:c r="F7034" s="9" t="n">
        <x:v>4704000</x:v>
      </x:c>
    </x:row>
    <x:row r="7035" ht="34" customHeight="1">
      <x:c r="A7035" s="4" t="str">
        <x:v>RS-03513-I2</x:v>
      </x:c>
      <x:c r="B7035" s="4" t="str">
        <x:v>RS-03513</x:v>
      </x:c>
      <x:c r="C7035" s="9" t="n">
        <x:v>2</x:v>
      </x:c>
      <x:c r="D7035" s="8" t="n">
        <x:v>45547</x:v>
      </x:c>
      <x:c r="E7035" s="9" t="n">
        <x:v>4704000</x:v>
      </x:c>
      <x:c r="F7035" s="9" t="n">
        <x:v>4704000</x:v>
      </x:c>
    </x:row>
    <x:row r="7036" ht="34" customHeight="1">
      <x:c r="A7036" s="4" t="str">
        <x:v>RS-03513-I3</x:v>
      </x:c>
      <x:c r="B7036" s="4" t="str">
        <x:v>RS-03513</x:v>
      </x:c>
      <x:c r="C7036" s="9" t="n">
        <x:v>3</x:v>
      </x:c>
      <x:c r="D7036" s="8" t="n">
        <x:v>45577</x:v>
      </x:c>
      <x:c r="E7036" s="9" t="n">
        <x:v>4704000</x:v>
      </x:c>
      <x:c r="F7036" s="9" t="n">
        <x:v>0</x:v>
      </x:c>
    </x:row>
    <x:row r="7037" ht="34" customHeight="1">
      <x:c r="A7037" s="4" t="str">
        <x:v>RS-03513-I4</x:v>
      </x:c>
      <x:c r="B7037" s="4" t="str">
        <x:v>RS-03513</x:v>
      </x:c>
      <x:c r="C7037" s="9" t="n">
        <x:v>4</x:v>
      </x:c>
      <x:c r="D7037" s="8" t="n">
        <x:v>45607</x:v>
      </x:c>
      <x:c r="E7037" s="9" t="n">
        <x:v>4704000</x:v>
      </x:c>
      <x:c r="F7037" s="9" t="n">
        <x:v>0</x:v>
      </x:c>
    </x:row>
    <x:row r="7038" ht="34" customHeight="1">
      <x:c r="A7038" s="4" t="str">
        <x:v>RS-03514-I1</x:v>
      </x:c>
      <x:c r="B7038" s="4" t="str">
        <x:v>RS-03514</x:v>
      </x:c>
      <x:c r="C7038" s="9" t="n">
        <x:v>1</x:v>
      </x:c>
      <x:c r="D7038" s="8" t="n">
        <x:v>45518</x:v>
      </x:c>
      <x:c r="E7038" s="9" t="n">
        <x:v>897250</x:v>
      </x:c>
      <x:c r="F7038" s="9" t="n">
        <x:v>358900</x:v>
      </x:c>
    </x:row>
    <x:row r="7039" ht="34" customHeight="1">
      <x:c r="A7039" s="4" t="str">
        <x:v>RS-03514-I2</x:v>
      </x:c>
      <x:c r="B7039" s="4" t="str">
        <x:v>RS-03514</x:v>
      </x:c>
      <x:c r="C7039" s="9" t="n">
        <x:v>2</x:v>
      </x:c>
      <x:c r="D7039" s="8" t="n">
        <x:v>45548</x:v>
      </x:c>
      <x:c r="E7039" s="9" t="n">
        <x:v>897250</x:v>
      </x:c>
      <x:c r="F7039" s="9" t="n">
        <x:v>0</x:v>
      </x:c>
    </x:row>
    <x:row r="7040" ht="34" customHeight="1">
      <x:c r="A7040" s="4" t="str">
        <x:v>RS-03514-I3</x:v>
      </x:c>
      <x:c r="B7040" s="4" t="str">
        <x:v>RS-03514</x:v>
      </x:c>
      <x:c r="C7040" s="9" t="n">
        <x:v>3</x:v>
      </x:c>
      <x:c r="D7040" s="8" t="n">
        <x:v>45578</x:v>
      </x:c>
      <x:c r="E7040" s="9" t="n">
        <x:v>897250</x:v>
      </x:c>
      <x:c r="F7040" s="9" t="n">
        <x:v>0</x:v>
      </x:c>
    </x:row>
    <x:row r="7041" ht="34" customHeight="1">
      <x:c r="A7041" s="4" t="str">
        <x:v>RS-03514-I4</x:v>
      </x:c>
      <x:c r="B7041" s="4" t="str">
        <x:v>RS-03514</x:v>
      </x:c>
      <x:c r="C7041" s="9" t="n">
        <x:v>4</x:v>
      </x:c>
      <x:c r="D7041" s="8" t="n">
        <x:v>45608</x:v>
      </x:c>
      <x:c r="E7041" s="9" t="n">
        <x:v>897250</x:v>
      </x:c>
      <x:c r="F7041" s="9" t="n">
        <x:v>0</x:v>
      </x:c>
    </x:row>
    <x:row r="7042" ht="34" customHeight="1">
      <x:c r="A7042" s="4" t="str">
        <x:v>RS-03516-I1</x:v>
      </x:c>
      <x:c r="B7042" s="4" t="str">
        <x:v>RS-03516</x:v>
      </x:c>
      <x:c r="C7042" s="9" t="n">
        <x:v>1</x:v>
      </x:c>
      <x:c r="D7042" s="8" t="n">
        <x:v>45520</x:v>
      </x:c>
      <x:c r="E7042" s="9" t="n">
        <x:v>4750000</x:v>
      </x:c>
      <x:c r="F7042" s="9" t="n">
        <x:v>1900000</x:v>
      </x:c>
    </x:row>
    <x:row r="7043" ht="34" customHeight="1">
      <x:c r="A7043" s="4" t="str">
        <x:v>RS-03516-I2</x:v>
      </x:c>
      <x:c r="B7043" s="4" t="str">
        <x:v>RS-03516</x:v>
      </x:c>
      <x:c r="C7043" s="9" t="n">
        <x:v>2</x:v>
      </x:c>
      <x:c r="D7043" s="8" t="n">
        <x:v>45550</x:v>
      </x:c>
      <x:c r="E7043" s="9" t="n">
        <x:v>4750000</x:v>
      </x:c>
      <x:c r="F7043" s="9" t="n">
        <x:v>0</x:v>
      </x:c>
    </x:row>
    <x:row r="7044" ht="34" customHeight="1">
      <x:c r="A7044" s="4" t="str">
        <x:v>RS-03516-I3</x:v>
      </x:c>
      <x:c r="B7044" s="4" t="str">
        <x:v>RS-03516</x:v>
      </x:c>
      <x:c r="C7044" s="9" t="n">
        <x:v>3</x:v>
      </x:c>
      <x:c r="D7044" s="8" t="n">
        <x:v>45580</x:v>
      </x:c>
      <x:c r="E7044" s="9" t="n">
        <x:v>4750000</x:v>
      </x:c>
      <x:c r="F7044" s="9" t="n">
        <x:v>0</x:v>
      </x:c>
    </x:row>
    <x:row r="7045" ht="34" customHeight="1">
      <x:c r="A7045" s="4" t="str">
        <x:v>RS-03516-I4</x:v>
      </x:c>
      <x:c r="B7045" s="4" t="str">
        <x:v>RS-03516</x:v>
      </x:c>
      <x:c r="C7045" s="9" t="n">
        <x:v>4</x:v>
      </x:c>
      <x:c r="D7045" s="8" t="n">
        <x:v>45610</x:v>
      </x:c>
      <x:c r="E7045" s="9" t="n">
        <x:v>4750000</x:v>
      </x:c>
      <x:c r="F7045" s="9" t="n">
        <x:v>0</x:v>
      </x:c>
    </x:row>
    <x:row r="7046" ht="34" customHeight="1">
      <x:c r="A7046" s="4" t="str">
        <x:v>RS-03518-I1</x:v>
      </x:c>
      <x:c r="B7046" s="4" t="str">
        <x:v>RS-03518</x:v>
      </x:c>
      <x:c r="C7046" s="9" t="n">
        <x:v>1</x:v>
      </x:c>
      <x:c r="D7046" s="8" t="n">
        <x:v>45522</x:v>
      </x:c>
      <x:c r="E7046" s="9" t="n">
        <x:v>4008000</x:v>
      </x:c>
      <x:c r="F7046" s="9" t="n">
        <x:v>1603200</x:v>
      </x:c>
    </x:row>
    <x:row r="7047" ht="34" customHeight="1">
      <x:c r="A7047" s="4" t="str">
        <x:v>RS-03518-I2</x:v>
      </x:c>
      <x:c r="B7047" s="4" t="str">
        <x:v>RS-03518</x:v>
      </x:c>
      <x:c r="C7047" s="9" t="n">
        <x:v>2</x:v>
      </x:c>
      <x:c r="D7047" s="8" t="n">
        <x:v>45552</x:v>
      </x:c>
      <x:c r="E7047" s="9" t="n">
        <x:v>4008000</x:v>
      </x:c>
      <x:c r="F7047" s="9" t="n">
        <x:v>0</x:v>
      </x:c>
    </x:row>
    <x:row r="7048" ht="34" customHeight="1">
      <x:c r="A7048" s="4" t="str">
        <x:v>RS-03518-I3</x:v>
      </x:c>
      <x:c r="B7048" s="4" t="str">
        <x:v>RS-03518</x:v>
      </x:c>
      <x:c r="C7048" s="9" t="n">
        <x:v>3</x:v>
      </x:c>
      <x:c r="D7048" s="8" t="n">
        <x:v>45582</x:v>
      </x:c>
      <x:c r="E7048" s="9" t="n">
        <x:v>4008000</x:v>
      </x:c>
      <x:c r="F7048" s="9" t="n">
        <x:v>0</x:v>
      </x:c>
    </x:row>
    <x:row r="7049" ht="34" customHeight="1">
      <x:c r="A7049" s="4" t="str">
        <x:v>RS-03518-I4</x:v>
      </x:c>
      <x:c r="B7049" s="4" t="str">
        <x:v>RS-03518</x:v>
      </x:c>
      <x:c r="C7049" s="9" t="n">
        <x:v>4</x:v>
      </x:c>
      <x:c r="D7049" s="8" t="n">
        <x:v>45612</x:v>
      </x:c>
      <x:c r="E7049" s="9" t="n">
        <x:v>4008000</x:v>
      </x:c>
      <x:c r="F7049" s="9" t="n">
        <x:v>0</x:v>
      </x:c>
    </x:row>
    <x:row r="7050" ht="34" customHeight="1">
      <x:c r="A7050" s="4" t="str">
        <x:v>RS-03519-I1</x:v>
      </x:c>
      <x:c r="B7050" s="4" t="str">
        <x:v>RS-03519</x:v>
      </x:c>
      <x:c r="C7050" s="9" t="n">
        <x:v>1</x:v>
      </x:c>
      <x:c r="D7050" s="8" t="n">
        <x:v>45523</x:v>
      </x:c>
      <x:c r="E7050" s="9" t="n">
        <x:v>3248500</x:v>
      </x:c>
      <x:c r="F7050" s="9" t="n">
        <x:v>1299400</x:v>
      </x:c>
    </x:row>
    <x:row r="7051" ht="34" customHeight="1">
      <x:c r="A7051" s="4" t="str">
        <x:v>RS-03519-I2</x:v>
      </x:c>
      <x:c r="B7051" s="4" t="str">
        <x:v>RS-03519</x:v>
      </x:c>
      <x:c r="C7051" s="9" t="n">
        <x:v>2</x:v>
      </x:c>
      <x:c r="D7051" s="8" t="n">
        <x:v>45553</x:v>
      </x:c>
      <x:c r="E7051" s="9" t="n">
        <x:v>3248500</x:v>
      </x:c>
      <x:c r="F7051" s="9" t="n">
        <x:v>0</x:v>
      </x:c>
    </x:row>
    <x:row r="7052" ht="34" customHeight="1">
      <x:c r="A7052" s="4" t="str">
        <x:v>RS-03519-I3</x:v>
      </x:c>
      <x:c r="B7052" s="4" t="str">
        <x:v>RS-03519</x:v>
      </x:c>
      <x:c r="C7052" s="9" t="n">
        <x:v>3</x:v>
      </x:c>
      <x:c r="D7052" s="8" t="n">
        <x:v>45583</x:v>
      </x:c>
      <x:c r="E7052" s="9" t="n">
        <x:v>3248500</x:v>
      </x:c>
      <x:c r="F7052" s="9" t="n">
        <x:v>0</x:v>
      </x:c>
    </x:row>
    <x:row r="7053" ht="34" customHeight="1">
      <x:c r="A7053" s="4" t="str">
        <x:v>RS-03519-I4</x:v>
      </x:c>
      <x:c r="B7053" s="4" t="str">
        <x:v>RS-03519</x:v>
      </x:c>
      <x:c r="C7053" s="9" t="n">
        <x:v>4</x:v>
      </x:c>
      <x:c r="D7053" s="8" t="n">
        <x:v>45613</x:v>
      </x:c>
      <x:c r="E7053" s="9" t="n">
        <x:v>3248500</x:v>
      </x:c>
      <x:c r="F7053" s="9" t="n">
        <x:v>0</x:v>
      </x:c>
    </x:row>
    <x:row r="7054" ht="34" customHeight="1">
      <x:c r="A7054" s="4" t="str">
        <x:v>RS-03521-I1</x:v>
      </x:c>
      <x:c r="B7054" s="4" t="str">
        <x:v>RS-03521</x:v>
      </x:c>
      <x:c r="C7054" s="9" t="n">
        <x:v>1</x:v>
      </x:c>
      <x:c r="D7054" s="8" t="n">
        <x:v>45525</x:v>
      </x:c>
      <x:c r="E7054" s="9" t="n">
        <x:v>1363000</x:v>
      </x:c>
      <x:c r="F7054" s="9" t="n">
        <x:v>1363000</x:v>
      </x:c>
    </x:row>
    <x:row r="7055" ht="34" customHeight="1">
      <x:c r="A7055" s="4" t="str">
        <x:v>RS-03521-I2</x:v>
      </x:c>
      <x:c r="B7055" s="4" t="str">
        <x:v>RS-03521</x:v>
      </x:c>
      <x:c r="C7055" s="9" t="n">
        <x:v>2</x:v>
      </x:c>
      <x:c r="D7055" s="8" t="n">
        <x:v>45555</x:v>
      </x:c>
      <x:c r="E7055" s="9" t="n">
        <x:v>1363000</x:v>
      </x:c>
      <x:c r="F7055" s="9" t="n">
        <x:v>0</x:v>
      </x:c>
    </x:row>
    <x:row r="7056" ht="34" customHeight="1">
      <x:c r="A7056" s="4" t="str">
        <x:v>RS-03521-I3</x:v>
      </x:c>
      <x:c r="B7056" s="4" t="str">
        <x:v>RS-03521</x:v>
      </x:c>
      <x:c r="C7056" s="9" t="n">
        <x:v>3</x:v>
      </x:c>
      <x:c r="D7056" s="8" t="n">
        <x:v>45585</x:v>
      </x:c>
      <x:c r="E7056" s="9" t="n">
        <x:v>1363000</x:v>
      </x:c>
      <x:c r="F7056" s="9" t="n">
        <x:v>0</x:v>
      </x:c>
    </x:row>
    <x:row r="7057" ht="34" customHeight="1">
      <x:c r="A7057" s="4" t="str">
        <x:v>RS-03521-I4</x:v>
      </x:c>
      <x:c r="B7057" s="4" t="str">
        <x:v>RS-03521</x:v>
      </x:c>
      <x:c r="C7057" s="9" t="n">
        <x:v>4</x:v>
      </x:c>
      <x:c r="D7057" s="8" t="n">
        <x:v>45615</x:v>
      </x:c>
      <x:c r="E7057" s="9" t="n">
        <x:v>1363000</x:v>
      </x:c>
      <x:c r="F7057" s="9" t="n">
        <x:v>0</x:v>
      </x:c>
    </x:row>
    <x:row r="7058" ht="34" customHeight="1">
      <x:c r="A7058" s="4" t="str">
        <x:v>RS-03522-I1</x:v>
      </x:c>
      <x:c r="B7058" s="4" t="str">
        <x:v>RS-03522</x:v>
      </x:c>
      <x:c r="C7058" s="9" t="n">
        <x:v>1</x:v>
      </x:c>
      <x:c r="D7058" s="8" t="n">
        <x:v>45526</x:v>
      </x:c>
      <x:c r="E7058" s="9" t="n">
        <x:v>1426000</x:v>
      </x:c>
      <x:c r="F7058" s="9" t="n">
        <x:v>1426000</x:v>
      </x:c>
    </x:row>
    <x:row r="7059" ht="34" customHeight="1">
      <x:c r="A7059" s="4" t="str">
        <x:v>RS-03522-I2</x:v>
      </x:c>
      <x:c r="B7059" s="4" t="str">
        <x:v>RS-03522</x:v>
      </x:c>
      <x:c r="C7059" s="9" t="n">
        <x:v>2</x:v>
      </x:c>
      <x:c r="D7059" s="8" t="n">
        <x:v>45556</x:v>
      </x:c>
      <x:c r="E7059" s="9" t="n">
        <x:v>1426000</x:v>
      </x:c>
      <x:c r="F7059" s="9" t="n">
        <x:v>0</x:v>
      </x:c>
    </x:row>
    <x:row r="7060" ht="34" customHeight="1">
      <x:c r="A7060" s="4" t="str">
        <x:v>RS-03522-I3</x:v>
      </x:c>
      <x:c r="B7060" s="4" t="str">
        <x:v>RS-03522</x:v>
      </x:c>
      <x:c r="C7060" s="9" t="n">
        <x:v>3</x:v>
      </x:c>
      <x:c r="D7060" s="8" t="n">
        <x:v>45586</x:v>
      </x:c>
      <x:c r="E7060" s="9" t="n">
        <x:v>1426000</x:v>
      </x:c>
      <x:c r="F7060" s="9" t="n">
        <x:v>0</x:v>
      </x:c>
    </x:row>
    <x:row r="7061" ht="34" customHeight="1">
      <x:c r="A7061" s="4" t="str">
        <x:v>RS-03522-I4</x:v>
      </x:c>
      <x:c r="B7061" s="4" t="str">
        <x:v>RS-03522</x:v>
      </x:c>
      <x:c r="C7061" s="9" t="n">
        <x:v>4</x:v>
      </x:c>
      <x:c r="D7061" s="8" t="n">
        <x:v>45616</x:v>
      </x:c>
      <x:c r="E7061" s="9" t="n">
        <x:v>1426000</x:v>
      </x:c>
      <x:c r="F7061" s="9" t="n">
        <x:v>0</x:v>
      </x:c>
    </x:row>
    <x:row r="7062" ht="34" customHeight="1">
      <x:c r="A7062" s="4" t="str">
        <x:v>RS-03523-I1</x:v>
      </x:c>
      <x:c r="B7062" s="4" t="str">
        <x:v>RS-03523</x:v>
      </x:c>
      <x:c r="C7062" s="9" t="n">
        <x:v>1</x:v>
      </x:c>
      <x:c r="D7062" s="8" t="n">
        <x:v>45527</x:v>
      </x:c>
      <x:c r="E7062" s="9" t="n">
        <x:v>2726000</x:v>
      </x:c>
      <x:c r="F7062" s="9" t="n">
        <x:v>1090400</x:v>
      </x:c>
    </x:row>
    <x:row r="7063" ht="34" customHeight="1">
      <x:c r="A7063" s="4" t="str">
        <x:v>RS-03523-I2</x:v>
      </x:c>
      <x:c r="B7063" s="4" t="str">
        <x:v>RS-03523</x:v>
      </x:c>
      <x:c r="C7063" s="9" t="n">
        <x:v>2</x:v>
      </x:c>
      <x:c r="D7063" s="8" t="n">
        <x:v>45557</x:v>
      </x:c>
      <x:c r="E7063" s="9" t="n">
        <x:v>2726000</x:v>
      </x:c>
      <x:c r="F7063" s="9" t="n">
        <x:v>0</x:v>
      </x:c>
    </x:row>
    <x:row r="7064" ht="34" customHeight="1">
      <x:c r="A7064" s="4" t="str">
        <x:v>RS-03523-I3</x:v>
      </x:c>
      <x:c r="B7064" s="4" t="str">
        <x:v>RS-03523</x:v>
      </x:c>
      <x:c r="C7064" s="9" t="n">
        <x:v>3</x:v>
      </x:c>
      <x:c r="D7064" s="8" t="n">
        <x:v>45587</x:v>
      </x:c>
      <x:c r="E7064" s="9" t="n">
        <x:v>2726000</x:v>
      </x:c>
      <x:c r="F7064" s="9" t="n">
        <x:v>0</x:v>
      </x:c>
    </x:row>
    <x:row r="7065" ht="34" customHeight="1">
      <x:c r="A7065" s="4" t="str">
        <x:v>RS-03523-I4</x:v>
      </x:c>
      <x:c r="B7065" s="4" t="str">
        <x:v>RS-03523</x:v>
      </x:c>
      <x:c r="C7065" s="9" t="n">
        <x:v>4</x:v>
      </x:c>
      <x:c r="D7065" s="8" t="n">
        <x:v>45617</x:v>
      </x:c>
      <x:c r="E7065" s="9" t="n">
        <x:v>2726000</x:v>
      </x:c>
      <x:c r="F7065" s="9" t="n">
        <x:v>0</x:v>
      </x:c>
    </x:row>
    <x:row r="7066" ht="34" customHeight="1">
      <x:c r="A7066" s="4" t="str">
        <x:v>RS-03524-I1</x:v>
      </x:c>
      <x:c r="B7066" s="4" t="str">
        <x:v>RS-03524</x:v>
      </x:c>
      <x:c r="C7066" s="9" t="n">
        <x:v>1</x:v>
      </x:c>
      <x:c r="D7066" s="8" t="n">
        <x:v>45528</x:v>
      </x:c>
      <x:c r="E7066" s="9" t="n">
        <x:v>1212750</x:v>
      </x:c>
      <x:c r="F7066" s="9" t="n">
        <x:v>1212750</x:v>
      </x:c>
    </x:row>
    <x:row r="7067" ht="34" customHeight="1">
      <x:c r="A7067" s="4" t="str">
        <x:v>RS-03524-I2</x:v>
      </x:c>
      <x:c r="B7067" s="4" t="str">
        <x:v>RS-03524</x:v>
      </x:c>
      <x:c r="C7067" s="9" t="n">
        <x:v>2</x:v>
      </x:c>
      <x:c r="D7067" s="8" t="n">
        <x:v>45558</x:v>
      </x:c>
      <x:c r="E7067" s="9" t="n">
        <x:v>1212750</x:v>
      </x:c>
      <x:c r="F7067" s="9" t="n">
        <x:v>1212750</x:v>
      </x:c>
    </x:row>
    <x:row r="7068" ht="34" customHeight="1">
      <x:c r="A7068" s="4" t="str">
        <x:v>RS-03524-I3</x:v>
      </x:c>
      <x:c r="B7068" s="4" t="str">
        <x:v>RS-03524</x:v>
      </x:c>
      <x:c r="C7068" s="9" t="n">
        <x:v>3</x:v>
      </x:c>
      <x:c r="D7068" s="8" t="n">
        <x:v>45588</x:v>
      </x:c>
      <x:c r="E7068" s="9" t="n">
        <x:v>1212750</x:v>
      </x:c>
      <x:c r="F7068" s="9" t="n">
        <x:v>0</x:v>
      </x:c>
    </x:row>
    <x:row r="7069" ht="34" customHeight="1">
      <x:c r="A7069" s="4" t="str">
        <x:v>RS-03524-I4</x:v>
      </x:c>
      <x:c r="B7069" s="4" t="str">
        <x:v>RS-03524</x:v>
      </x:c>
      <x:c r="C7069" s="9" t="n">
        <x:v>4</x:v>
      </x:c>
      <x:c r="D7069" s="8" t="n">
        <x:v>45618</x:v>
      </x:c>
      <x:c r="E7069" s="9" t="n">
        <x:v>1212750</x:v>
      </x:c>
      <x:c r="F7069" s="9" t="n">
        <x:v>0</x:v>
      </x:c>
    </x:row>
    <x:row r="7070" ht="34" customHeight="1">
      <x:c r="A7070" s="4" t="str">
        <x:v>RS-03527-I1</x:v>
      </x:c>
      <x:c r="B7070" s="4" t="str">
        <x:v>RS-03527</x:v>
      </x:c>
      <x:c r="C7070" s="9" t="n">
        <x:v>1</x:v>
      </x:c>
      <x:c r="D7070" s="8" t="n">
        <x:v>45531</x:v>
      </x:c>
      <x:c r="E7070" s="9" t="n">
        <x:v>1534500</x:v>
      </x:c>
      <x:c r="F7070" s="9" t="n">
        <x:v>1534500</x:v>
      </x:c>
    </x:row>
    <x:row r="7071" ht="34" customHeight="1">
      <x:c r="A7071" s="4" t="str">
        <x:v>RS-03527-I2</x:v>
      </x:c>
      <x:c r="B7071" s="4" t="str">
        <x:v>RS-03527</x:v>
      </x:c>
      <x:c r="C7071" s="9" t="n">
        <x:v>2</x:v>
      </x:c>
      <x:c r="D7071" s="8" t="n">
        <x:v>45561</x:v>
      </x:c>
      <x:c r="E7071" s="9" t="n">
        <x:v>1534500</x:v>
      </x:c>
      <x:c r="F7071" s="9" t="n">
        <x:v>1534500</x:v>
      </x:c>
    </x:row>
    <x:row r="7072" ht="34" customHeight="1">
      <x:c r="A7072" s="4" t="str">
        <x:v>RS-03527-I3</x:v>
      </x:c>
      <x:c r="B7072" s="4" t="str">
        <x:v>RS-03527</x:v>
      </x:c>
      <x:c r="C7072" s="9" t="n">
        <x:v>3</x:v>
      </x:c>
      <x:c r="D7072" s="8" t="n">
        <x:v>45591</x:v>
      </x:c>
      <x:c r="E7072" s="9" t="n">
        <x:v>1534500</x:v>
      </x:c>
      <x:c r="F7072" s="9" t="n">
        <x:v>1534500</x:v>
      </x:c>
    </x:row>
    <x:row r="7073" ht="34" customHeight="1">
      <x:c r="A7073" s="4" t="str">
        <x:v>RS-03527-I4</x:v>
      </x:c>
      <x:c r="B7073" s="4" t="str">
        <x:v>RS-03527</x:v>
      </x:c>
      <x:c r="C7073" s="9" t="n">
        <x:v>4</x:v>
      </x:c>
      <x:c r="D7073" s="8" t="n">
        <x:v>45621</x:v>
      </x:c>
      <x:c r="E7073" s="9" t="n">
        <x:v>1534500</x:v>
      </x:c>
      <x:c r="F7073" s="9" t="n">
        <x:v>1534500</x:v>
      </x:c>
    </x:row>
    <x:row r="7074" ht="34" customHeight="1">
      <x:c r="A7074" s="4" t="str">
        <x:v>RS-03528-I1</x:v>
      </x:c>
      <x:c r="B7074" s="4" t="str">
        <x:v>RS-03528</x:v>
      </x:c>
      <x:c r="C7074" s="9" t="n">
        <x:v>1</x:v>
      </x:c>
      <x:c r="D7074" s="8" t="n">
        <x:v>45532</x:v>
      </x:c>
      <x:c r="E7074" s="9" t="n">
        <x:v>2139000</x:v>
      </x:c>
      <x:c r="F7074" s="9" t="n">
        <x:v>2139000</x:v>
      </x:c>
    </x:row>
    <x:row r="7075" ht="34" customHeight="1">
      <x:c r="A7075" s="4" t="str">
        <x:v>RS-03528-I2</x:v>
      </x:c>
      <x:c r="B7075" s="4" t="str">
        <x:v>RS-03528</x:v>
      </x:c>
      <x:c r="C7075" s="9" t="n">
        <x:v>2</x:v>
      </x:c>
      <x:c r="D7075" s="8" t="n">
        <x:v>45562</x:v>
      </x:c>
      <x:c r="E7075" s="9" t="n">
        <x:v>2139000</x:v>
      </x:c>
      <x:c r="F7075" s="9" t="n">
        <x:v>2139000</x:v>
      </x:c>
    </x:row>
    <x:row r="7076" ht="34" customHeight="1">
      <x:c r="A7076" s="4" t="str">
        <x:v>RS-03528-I3</x:v>
      </x:c>
      <x:c r="B7076" s="4" t="str">
        <x:v>RS-03528</x:v>
      </x:c>
      <x:c r="C7076" s="9" t="n">
        <x:v>3</x:v>
      </x:c>
      <x:c r="D7076" s="8" t="n">
        <x:v>45592</x:v>
      </x:c>
      <x:c r="E7076" s="9" t="n">
        <x:v>2139000</x:v>
      </x:c>
      <x:c r="F7076" s="9" t="n">
        <x:v>0</x:v>
      </x:c>
    </x:row>
    <x:row r="7077" ht="34" customHeight="1">
      <x:c r="A7077" s="4" t="str">
        <x:v>RS-03528-I4</x:v>
      </x:c>
      <x:c r="B7077" s="4" t="str">
        <x:v>RS-03528</x:v>
      </x:c>
      <x:c r="C7077" s="9" t="n">
        <x:v>4</x:v>
      </x:c>
      <x:c r="D7077" s="8" t="n">
        <x:v>45622</x:v>
      </x:c>
      <x:c r="E7077" s="9" t="n">
        <x:v>2139000</x:v>
      </x:c>
      <x:c r="F7077" s="9" t="n">
        <x:v>0</x:v>
      </x:c>
    </x:row>
    <x:row r="7078" ht="34" customHeight="1">
      <x:c r="A7078" s="4" t="str">
        <x:v>RS-03529-I1</x:v>
      </x:c>
      <x:c r="B7078" s="4" t="str">
        <x:v>RS-03529</x:v>
      </x:c>
      <x:c r="C7078" s="9" t="n">
        <x:v>1</x:v>
      </x:c>
      <x:c r="D7078" s="8" t="n">
        <x:v>45505</x:v>
      </x:c>
      <x:c r="E7078" s="9" t="n">
        <x:v>3960000</x:v>
      </x:c>
      <x:c r="F7078" s="9" t="n">
        <x:v>3960000</x:v>
      </x:c>
    </x:row>
    <x:row r="7079" ht="34" customHeight="1">
      <x:c r="A7079" s="4" t="str">
        <x:v>RS-03529-I2</x:v>
      </x:c>
      <x:c r="B7079" s="4" t="str">
        <x:v>RS-03529</x:v>
      </x:c>
      <x:c r="C7079" s="9" t="n">
        <x:v>2</x:v>
      </x:c>
      <x:c r="D7079" s="8" t="n">
        <x:v>45535</x:v>
      </x:c>
      <x:c r="E7079" s="9" t="n">
        <x:v>3960000</x:v>
      </x:c>
      <x:c r="F7079" s="9" t="n">
        <x:v>0</x:v>
      </x:c>
    </x:row>
    <x:row r="7080" ht="34" customHeight="1">
      <x:c r="A7080" s="4" t="str">
        <x:v>RS-03529-I3</x:v>
      </x:c>
      <x:c r="B7080" s="4" t="str">
        <x:v>RS-03529</x:v>
      </x:c>
      <x:c r="C7080" s="9" t="n">
        <x:v>3</x:v>
      </x:c>
      <x:c r="D7080" s="8" t="n">
        <x:v>45565</x:v>
      </x:c>
      <x:c r="E7080" s="9" t="n">
        <x:v>3960000</x:v>
      </x:c>
      <x:c r="F7080" s="9" t="n">
        <x:v>0</x:v>
      </x:c>
    </x:row>
    <x:row r="7081" ht="34" customHeight="1">
      <x:c r="A7081" s="4" t="str">
        <x:v>RS-03529-I4</x:v>
      </x:c>
      <x:c r="B7081" s="4" t="str">
        <x:v>RS-03529</x:v>
      </x:c>
      <x:c r="C7081" s="9" t="n">
        <x:v>4</x:v>
      </x:c>
      <x:c r="D7081" s="8" t="n">
        <x:v>45595</x:v>
      </x:c>
      <x:c r="E7081" s="9" t="n">
        <x:v>3960000</x:v>
      </x:c>
      <x:c r="F7081" s="9" t="n">
        <x:v>0</x:v>
      </x:c>
    </x:row>
    <x:row r="7082" ht="34" customHeight="1">
      <x:c r="A7082" s="4" t="str">
        <x:v>RS-03532-I1</x:v>
      </x:c>
      <x:c r="B7082" s="4" t="str">
        <x:v>RS-03532</x:v>
      </x:c>
      <x:c r="C7082" s="9" t="n">
        <x:v>1</x:v>
      </x:c>
      <x:c r="D7082" s="8" t="n">
        <x:v>45508</x:v>
      </x:c>
      <x:c r="E7082" s="9" t="n">
        <x:v>4800000</x:v>
      </x:c>
      <x:c r="F7082" s="9" t="n">
        <x:v>4800000</x:v>
      </x:c>
    </x:row>
    <x:row r="7083" ht="34" customHeight="1">
      <x:c r="A7083" s="4" t="str">
        <x:v>RS-03532-I2</x:v>
      </x:c>
      <x:c r="B7083" s="4" t="str">
        <x:v>RS-03532</x:v>
      </x:c>
      <x:c r="C7083" s="9" t="n">
        <x:v>2</x:v>
      </x:c>
      <x:c r="D7083" s="8" t="n">
        <x:v>45538</x:v>
      </x:c>
      <x:c r="E7083" s="9" t="n">
        <x:v>4800000</x:v>
      </x:c>
      <x:c r="F7083" s="9" t="n">
        <x:v>4800000</x:v>
      </x:c>
    </x:row>
    <x:row r="7084" ht="34" customHeight="1">
      <x:c r="A7084" s="4" t="str">
        <x:v>RS-03532-I3</x:v>
      </x:c>
      <x:c r="B7084" s="4" t="str">
        <x:v>RS-03532</x:v>
      </x:c>
      <x:c r="C7084" s="9" t="n">
        <x:v>3</x:v>
      </x:c>
      <x:c r="D7084" s="8" t="n">
        <x:v>45568</x:v>
      </x:c>
      <x:c r="E7084" s="9" t="n">
        <x:v>4800000</x:v>
      </x:c>
      <x:c r="F7084" s="9" t="n">
        <x:v>4800000</x:v>
      </x:c>
    </x:row>
    <x:row r="7085" ht="34" customHeight="1">
      <x:c r="A7085" s="4" t="str">
        <x:v>RS-03532-I4</x:v>
      </x:c>
      <x:c r="B7085" s="4" t="str">
        <x:v>RS-03532</x:v>
      </x:c>
      <x:c r="C7085" s="9" t="n">
        <x:v>4</x:v>
      </x:c>
      <x:c r="D7085" s="8" t="n">
        <x:v>45598</x:v>
      </x:c>
      <x:c r="E7085" s="9" t="n">
        <x:v>4800000</x:v>
      </x:c>
      <x:c r="F7085" s="9" t="n">
        <x:v>4800000</x:v>
      </x:c>
    </x:row>
    <x:row r="7086" ht="34" customHeight="1">
      <x:c r="A7086" s="4" t="str">
        <x:v>RS-03533-I1</x:v>
      </x:c>
      <x:c r="B7086" s="4" t="str">
        <x:v>RS-03533</x:v>
      </x:c>
      <x:c r="C7086" s="9" t="n">
        <x:v>1</x:v>
      </x:c>
      <x:c r="D7086" s="8" t="n">
        <x:v>45509</x:v>
      </x:c>
      <x:c r="E7086" s="9" t="n">
        <x:v>3111250</x:v>
      </x:c>
      <x:c r="F7086" s="9" t="n">
        <x:v>3111250</x:v>
      </x:c>
    </x:row>
    <x:row r="7087" ht="34" customHeight="1">
      <x:c r="A7087" s="4" t="str">
        <x:v>RS-03533-I2</x:v>
      </x:c>
      <x:c r="B7087" s="4" t="str">
        <x:v>RS-03533</x:v>
      </x:c>
      <x:c r="C7087" s="9" t="n">
        <x:v>2</x:v>
      </x:c>
      <x:c r="D7087" s="8" t="n">
        <x:v>45539</x:v>
      </x:c>
      <x:c r="E7087" s="9" t="n">
        <x:v>3111250</x:v>
      </x:c>
      <x:c r="F7087" s="9" t="n">
        <x:v>0</x:v>
      </x:c>
    </x:row>
    <x:row r="7088" ht="34" customHeight="1">
      <x:c r="A7088" s="4" t="str">
        <x:v>RS-03533-I3</x:v>
      </x:c>
      <x:c r="B7088" s="4" t="str">
        <x:v>RS-03533</x:v>
      </x:c>
      <x:c r="C7088" s="9" t="n">
        <x:v>3</x:v>
      </x:c>
      <x:c r="D7088" s="8" t="n">
        <x:v>45569</x:v>
      </x:c>
      <x:c r="E7088" s="9" t="n">
        <x:v>3111250</x:v>
      </x:c>
      <x:c r="F7088" s="9" t="n">
        <x:v>0</x:v>
      </x:c>
    </x:row>
    <x:row r="7089" ht="34" customHeight="1">
      <x:c r="A7089" s="4" t="str">
        <x:v>RS-03533-I4</x:v>
      </x:c>
      <x:c r="B7089" s="4" t="str">
        <x:v>RS-03533</x:v>
      </x:c>
      <x:c r="C7089" s="9" t="n">
        <x:v>4</x:v>
      </x:c>
      <x:c r="D7089" s="8" t="n">
        <x:v>45599</x:v>
      </x:c>
      <x:c r="E7089" s="9" t="n">
        <x:v>3111250</x:v>
      </x:c>
      <x:c r="F7089" s="9" t="n">
        <x:v>0</x:v>
      </x:c>
    </x:row>
    <x:row r="7090" ht="34" customHeight="1">
      <x:c r="A7090" s="4" t="str">
        <x:v>RS-03537-I1</x:v>
      </x:c>
      <x:c r="B7090" s="4" t="str">
        <x:v>RS-03537</x:v>
      </x:c>
      <x:c r="C7090" s="9" t="n">
        <x:v>1</x:v>
      </x:c>
      <x:c r="D7090" s="8" t="n">
        <x:v>45513</x:v>
      </x:c>
      <x:c r="E7090" s="9" t="n">
        <x:v>1748000</x:v>
      </x:c>
      <x:c r="F7090" s="9" t="n">
        <x:v>1748000</x:v>
      </x:c>
    </x:row>
    <x:row r="7091" ht="34" customHeight="1">
      <x:c r="A7091" s="4" t="str">
        <x:v>RS-03537-I2</x:v>
      </x:c>
      <x:c r="B7091" s="4" t="str">
        <x:v>RS-03537</x:v>
      </x:c>
      <x:c r="C7091" s="9" t="n">
        <x:v>2</x:v>
      </x:c>
      <x:c r="D7091" s="8" t="n">
        <x:v>45543</x:v>
      </x:c>
      <x:c r="E7091" s="9" t="n">
        <x:v>1748000</x:v>
      </x:c>
      <x:c r="F7091" s="9" t="n">
        <x:v>1748000</x:v>
      </x:c>
    </x:row>
    <x:row r="7092" ht="34" customHeight="1">
      <x:c r="A7092" s="4" t="str">
        <x:v>RS-03537-I3</x:v>
      </x:c>
      <x:c r="B7092" s="4" t="str">
        <x:v>RS-03537</x:v>
      </x:c>
      <x:c r="C7092" s="9" t="n">
        <x:v>3</x:v>
      </x:c>
      <x:c r="D7092" s="8" t="n">
        <x:v>45573</x:v>
      </x:c>
      <x:c r="E7092" s="9" t="n">
        <x:v>1748000</x:v>
      </x:c>
      <x:c r="F7092" s="9" t="n">
        <x:v>1748000</x:v>
      </x:c>
    </x:row>
    <x:row r="7093" ht="34" customHeight="1">
      <x:c r="A7093" s="4" t="str">
        <x:v>RS-03537-I4</x:v>
      </x:c>
      <x:c r="B7093" s="4" t="str">
        <x:v>RS-03537</x:v>
      </x:c>
      <x:c r="C7093" s="9" t="n">
        <x:v>4</x:v>
      </x:c>
      <x:c r="D7093" s="8" t="n">
        <x:v>45603</x:v>
      </x:c>
      <x:c r="E7093" s="9" t="n">
        <x:v>1748000</x:v>
      </x:c>
      <x:c r="F7093" s="9" t="n">
        <x:v>1748000</x:v>
      </x:c>
    </x:row>
    <x:row r="7094" ht="34" customHeight="1">
      <x:c r="A7094" s="4" t="str">
        <x:v>RS-03540-I1</x:v>
      </x:c>
      <x:c r="B7094" s="4" t="str">
        <x:v>RS-03540</x:v>
      </x:c>
      <x:c r="C7094" s="9" t="n">
        <x:v>1</x:v>
      </x:c>
      <x:c r="D7094" s="8" t="n">
        <x:v>45516</x:v>
      </x:c>
      <x:c r="E7094" s="9" t="n">
        <x:v>2937000</x:v>
      </x:c>
      <x:c r="F7094" s="9" t="n">
        <x:v>1174800</x:v>
      </x:c>
    </x:row>
    <x:row r="7095" ht="34" customHeight="1">
      <x:c r="A7095" s="4" t="str">
        <x:v>RS-03540-I2</x:v>
      </x:c>
      <x:c r="B7095" s="4" t="str">
        <x:v>RS-03540</x:v>
      </x:c>
      <x:c r="C7095" s="9" t="n">
        <x:v>2</x:v>
      </x:c>
      <x:c r="D7095" s="8" t="n">
        <x:v>45546</x:v>
      </x:c>
      <x:c r="E7095" s="9" t="n">
        <x:v>2937000</x:v>
      </x:c>
      <x:c r="F7095" s="9" t="n">
        <x:v>0</x:v>
      </x:c>
    </x:row>
    <x:row r="7096" ht="34" customHeight="1">
      <x:c r="A7096" s="4" t="str">
        <x:v>RS-03540-I3</x:v>
      </x:c>
      <x:c r="B7096" s="4" t="str">
        <x:v>RS-03540</x:v>
      </x:c>
      <x:c r="C7096" s="9" t="n">
        <x:v>3</x:v>
      </x:c>
      <x:c r="D7096" s="8" t="n">
        <x:v>45576</x:v>
      </x:c>
      <x:c r="E7096" s="9" t="n">
        <x:v>2937000</x:v>
      </x:c>
      <x:c r="F7096" s="9" t="n">
        <x:v>0</x:v>
      </x:c>
    </x:row>
    <x:row r="7097" ht="34" customHeight="1">
      <x:c r="A7097" s="4" t="str">
        <x:v>RS-03540-I4</x:v>
      </x:c>
      <x:c r="B7097" s="4" t="str">
        <x:v>RS-03540</x:v>
      </x:c>
      <x:c r="C7097" s="9" t="n">
        <x:v>4</x:v>
      </x:c>
      <x:c r="D7097" s="8" t="n">
        <x:v>45606</x:v>
      </x:c>
      <x:c r="E7097" s="9" t="n">
        <x:v>2937000</x:v>
      </x:c>
      <x:c r="F7097" s="9" t="n">
        <x:v>0</x:v>
      </x:c>
    </x:row>
    <x:row r="7098" ht="34" customHeight="1">
      <x:c r="A7098" s="4" t="str">
        <x:v>RS-03541-I1</x:v>
      </x:c>
      <x:c r="B7098" s="4" t="str">
        <x:v>RS-03541</x:v>
      </x:c>
      <x:c r="C7098" s="9" t="n">
        <x:v>1</x:v>
      </x:c>
      <x:c r="D7098" s="8" t="n">
        <x:v>45517</x:v>
      </x:c>
      <x:c r="E7098" s="9" t="n">
        <x:v>2004750</x:v>
      </x:c>
      <x:c r="F7098" s="9" t="n">
        <x:v>2004750</x:v>
      </x:c>
    </x:row>
    <x:row r="7099" ht="34" customHeight="1">
      <x:c r="A7099" s="4" t="str">
        <x:v>RS-03541-I2</x:v>
      </x:c>
      <x:c r="B7099" s="4" t="str">
        <x:v>RS-03541</x:v>
      </x:c>
      <x:c r="C7099" s="9" t="n">
        <x:v>2</x:v>
      </x:c>
      <x:c r="D7099" s="8" t="n">
        <x:v>45547</x:v>
      </x:c>
      <x:c r="E7099" s="9" t="n">
        <x:v>2004750</x:v>
      </x:c>
      <x:c r="F7099" s="9" t="n">
        <x:v>0</x:v>
      </x:c>
    </x:row>
    <x:row r="7100" ht="34" customHeight="1">
      <x:c r="A7100" s="4" t="str">
        <x:v>RS-03541-I3</x:v>
      </x:c>
      <x:c r="B7100" s="4" t="str">
        <x:v>RS-03541</x:v>
      </x:c>
      <x:c r="C7100" s="9" t="n">
        <x:v>3</x:v>
      </x:c>
      <x:c r="D7100" s="8" t="n">
        <x:v>45577</x:v>
      </x:c>
      <x:c r="E7100" s="9" t="n">
        <x:v>2004750</x:v>
      </x:c>
      <x:c r="F7100" s="9" t="n">
        <x:v>0</x:v>
      </x:c>
    </x:row>
    <x:row r="7101" ht="34" customHeight="1">
      <x:c r="A7101" s="4" t="str">
        <x:v>RS-03541-I4</x:v>
      </x:c>
      <x:c r="B7101" s="4" t="str">
        <x:v>RS-03541</x:v>
      </x:c>
      <x:c r="C7101" s="9" t="n">
        <x:v>4</x:v>
      </x:c>
      <x:c r="D7101" s="8" t="n">
        <x:v>45607</x:v>
      </x:c>
      <x:c r="E7101" s="9" t="n">
        <x:v>2004750</x:v>
      </x:c>
      <x:c r="F7101" s="9" t="n">
        <x:v>0</x:v>
      </x:c>
    </x:row>
    <x:row r="7102" ht="34" customHeight="1">
      <x:c r="A7102" s="4" t="str">
        <x:v>RS-03542-I1</x:v>
      </x:c>
      <x:c r="B7102" s="4" t="str">
        <x:v>RS-03542</x:v>
      </x:c>
      <x:c r="C7102" s="9" t="n">
        <x:v>1</x:v>
      </x:c>
      <x:c r="D7102" s="8" t="n">
        <x:v>45518</x:v>
      </x:c>
      <x:c r="E7102" s="9" t="n">
        <x:v>3975750</x:v>
      </x:c>
      <x:c r="F7102" s="9" t="n">
        <x:v>1590300</x:v>
      </x:c>
    </x:row>
    <x:row r="7103" ht="34" customHeight="1">
      <x:c r="A7103" s="4" t="str">
        <x:v>RS-03542-I2</x:v>
      </x:c>
      <x:c r="B7103" s="4" t="str">
        <x:v>RS-03542</x:v>
      </x:c>
      <x:c r="C7103" s="9" t="n">
        <x:v>2</x:v>
      </x:c>
      <x:c r="D7103" s="8" t="n">
        <x:v>45548</x:v>
      </x:c>
      <x:c r="E7103" s="9" t="n">
        <x:v>3975750</x:v>
      </x:c>
      <x:c r="F7103" s="9" t="n">
        <x:v>0</x:v>
      </x:c>
    </x:row>
    <x:row r="7104" ht="34" customHeight="1">
      <x:c r="A7104" s="4" t="str">
        <x:v>RS-03542-I3</x:v>
      </x:c>
      <x:c r="B7104" s="4" t="str">
        <x:v>RS-03542</x:v>
      </x:c>
      <x:c r="C7104" s="9" t="n">
        <x:v>3</x:v>
      </x:c>
      <x:c r="D7104" s="8" t="n">
        <x:v>45578</x:v>
      </x:c>
      <x:c r="E7104" s="9" t="n">
        <x:v>3975750</x:v>
      </x:c>
      <x:c r="F7104" s="9" t="n">
        <x:v>0</x:v>
      </x:c>
    </x:row>
    <x:row r="7105" ht="34" customHeight="1">
      <x:c r="A7105" s="4" t="str">
        <x:v>RS-03542-I4</x:v>
      </x:c>
      <x:c r="B7105" s="4" t="str">
        <x:v>RS-03542</x:v>
      </x:c>
      <x:c r="C7105" s="9" t="n">
        <x:v>4</x:v>
      </x:c>
      <x:c r="D7105" s="8" t="n">
        <x:v>45608</x:v>
      </x:c>
      <x:c r="E7105" s="9" t="n">
        <x:v>3975750</x:v>
      </x:c>
      <x:c r="F7105" s="9" t="n">
        <x:v>0</x:v>
      </x:c>
    </x:row>
    <x:row r="7106" ht="34" customHeight="1">
      <x:c r="A7106" s="4" t="str">
        <x:v>RS-03543-I1</x:v>
      </x:c>
      <x:c r="B7106" s="4" t="str">
        <x:v>RS-03543</x:v>
      </x:c>
      <x:c r="C7106" s="9" t="n">
        <x:v>1</x:v>
      </x:c>
      <x:c r="D7106" s="8" t="n">
        <x:v>45519</x:v>
      </x:c>
      <x:c r="E7106" s="9" t="n">
        <x:v>4208750</x:v>
      </x:c>
      <x:c r="F7106" s="9" t="n">
        <x:v>4208750</x:v>
      </x:c>
    </x:row>
    <x:row r="7107" ht="34" customHeight="1">
      <x:c r="A7107" s="4" t="str">
        <x:v>RS-03543-I2</x:v>
      </x:c>
      <x:c r="B7107" s="4" t="str">
        <x:v>RS-03543</x:v>
      </x:c>
      <x:c r="C7107" s="9" t="n">
        <x:v>2</x:v>
      </x:c>
      <x:c r="D7107" s="8" t="n">
        <x:v>45549</x:v>
      </x:c>
      <x:c r="E7107" s="9" t="n">
        <x:v>4208750</x:v>
      </x:c>
      <x:c r="F7107" s="9" t="n">
        <x:v>4208750</x:v>
      </x:c>
    </x:row>
    <x:row r="7108" ht="34" customHeight="1">
      <x:c r="A7108" s="4" t="str">
        <x:v>RS-03543-I3</x:v>
      </x:c>
      <x:c r="B7108" s="4" t="str">
        <x:v>RS-03543</x:v>
      </x:c>
      <x:c r="C7108" s="9" t="n">
        <x:v>3</x:v>
      </x:c>
      <x:c r="D7108" s="8" t="n">
        <x:v>45579</x:v>
      </x:c>
      <x:c r="E7108" s="9" t="n">
        <x:v>4208750</x:v>
      </x:c>
      <x:c r="F7108" s="9" t="n">
        <x:v>0</x:v>
      </x:c>
    </x:row>
    <x:row r="7109" ht="34" customHeight="1">
      <x:c r="A7109" s="4" t="str">
        <x:v>RS-03543-I4</x:v>
      </x:c>
      <x:c r="B7109" s="4" t="str">
        <x:v>RS-03543</x:v>
      </x:c>
      <x:c r="C7109" s="9" t="n">
        <x:v>4</x:v>
      </x:c>
      <x:c r="D7109" s="8" t="n">
        <x:v>45609</x:v>
      </x:c>
      <x:c r="E7109" s="9" t="n">
        <x:v>4208750</x:v>
      </x:c>
      <x:c r="F7109" s="9" t="n">
        <x:v>0</x:v>
      </x:c>
    </x:row>
    <x:row r="7110" ht="34" customHeight="1">
      <x:c r="A7110" s="4" t="str">
        <x:v>RS-03544-I1</x:v>
      </x:c>
      <x:c r="B7110" s="4" t="str">
        <x:v>RS-03544</x:v>
      </x:c>
      <x:c r="C7110" s="9" t="n">
        <x:v>1</x:v>
      </x:c>
      <x:c r="D7110" s="8" t="n">
        <x:v>45520</x:v>
      </x:c>
      <x:c r="E7110" s="9" t="n">
        <x:v>4202000</x:v>
      </x:c>
      <x:c r="F7110" s="9" t="n">
        <x:v>4202000</x:v>
      </x:c>
    </x:row>
    <x:row r="7111" ht="34" customHeight="1">
      <x:c r="A7111" s="4" t="str">
        <x:v>RS-03544-I2</x:v>
      </x:c>
      <x:c r="B7111" s="4" t="str">
        <x:v>RS-03544</x:v>
      </x:c>
      <x:c r="C7111" s="9" t="n">
        <x:v>2</x:v>
      </x:c>
      <x:c r="D7111" s="8" t="n">
        <x:v>45550</x:v>
      </x:c>
      <x:c r="E7111" s="9" t="n">
        <x:v>4202000</x:v>
      </x:c>
      <x:c r="F7111" s="9" t="n">
        <x:v>4202000</x:v>
      </x:c>
    </x:row>
    <x:row r="7112" ht="34" customHeight="1">
      <x:c r="A7112" s="4" t="str">
        <x:v>RS-03544-I3</x:v>
      </x:c>
      <x:c r="B7112" s="4" t="str">
        <x:v>RS-03544</x:v>
      </x:c>
      <x:c r="C7112" s="9" t="n">
        <x:v>3</x:v>
      </x:c>
      <x:c r="D7112" s="8" t="n">
        <x:v>45580</x:v>
      </x:c>
      <x:c r="E7112" s="9" t="n">
        <x:v>4202000</x:v>
      </x:c>
      <x:c r="F7112" s="9" t="n">
        <x:v>0</x:v>
      </x:c>
    </x:row>
    <x:row r="7113" ht="34" customHeight="1">
      <x:c r="A7113" s="4" t="str">
        <x:v>RS-03544-I4</x:v>
      </x:c>
      <x:c r="B7113" s="4" t="str">
        <x:v>RS-03544</x:v>
      </x:c>
      <x:c r="C7113" s="9" t="n">
        <x:v>4</x:v>
      </x:c>
      <x:c r="D7113" s="8" t="n">
        <x:v>45610</x:v>
      </x:c>
      <x:c r="E7113" s="9" t="n">
        <x:v>4202000</x:v>
      </x:c>
      <x:c r="F7113" s="9" t="n">
        <x:v>0</x:v>
      </x:c>
    </x:row>
    <x:row r="7114" ht="34" customHeight="1">
      <x:c r="A7114" s="4" t="str">
        <x:v>RS-03547-I1</x:v>
      </x:c>
      <x:c r="B7114" s="4" t="str">
        <x:v>RS-03547</x:v>
      </x:c>
      <x:c r="C7114" s="9" t="n">
        <x:v>1</x:v>
      </x:c>
      <x:c r="D7114" s="8" t="n">
        <x:v>45523</x:v>
      </x:c>
      <x:c r="E7114" s="9" t="n">
        <x:v>3092750</x:v>
      </x:c>
      <x:c r="F7114" s="9" t="n">
        <x:v>3092750</x:v>
      </x:c>
    </x:row>
    <x:row r="7115" ht="34" customHeight="1">
      <x:c r="A7115" s="4" t="str">
        <x:v>RS-03547-I2</x:v>
      </x:c>
      <x:c r="B7115" s="4" t="str">
        <x:v>RS-03547</x:v>
      </x:c>
      <x:c r="C7115" s="9" t="n">
        <x:v>2</x:v>
      </x:c>
      <x:c r="D7115" s="8" t="n">
        <x:v>45553</x:v>
      </x:c>
      <x:c r="E7115" s="9" t="n">
        <x:v>3092750</x:v>
      </x:c>
      <x:c r="F7115" s="9" t="n">
        <x:v>3092750</x:v>
      </x:c>
    </x:row>
    <x:row r="7116" ht="34" customHeight="1">
      <x:c r="A7116" s="4" t="str">
        <x:v>RS-03547-I3</x:v>
      </x:c>
      <x:c r="B7116" s="4" t="str">
        <x:v>RS-03547</x:v>
      </x:c>
      <x:c r="C7116" s="9" t="n">
        <x:v>3</x:v>
      </x:c>
      <x:c r="D7116" s="8" t="n">
        <x:v>45583</x:v>
      </x:c>
      <x:c r="E7116" s="9" t="n">
        <x:v>3092750</x:v>
      </x:c>
      <x:c r="F7116" s="9" t="n">
        <x:v>3092750</x:v>
      </x:c>
    </x:row>
    <x:row r="7117" ht="34" customHeight="1">
      <x:c r="A7117" s="4" t="str">
        <x:v>RS-03547-I4</x:v>
      </x:c>
      <x:c r="B7117" s="4" t="str">
        <x:v>RS-03547</x:v>
      </x:c>
      <x:c r="C7117" s="9" t="n">
        <x:v>4</x:v>
      </x:c>
      <x:c r="D7117" s="8" t="n">
        <x:v>45613</x:v>
      </x:c>
      <x:c r="E7117" s="9" t="n">
        <x:v>3092750</x:v>
      </x:c>
      <x:c r="F7117" s="9" t="n">
        <x:v>3092750</x:v>
      </x:c>
    </x:row>
    <x:row r="7118" ht="34" customHeight="1">
      <x:c r="A7118" s="4" t="str">
        <x:v>RS-03548-I1</x:v>
      </x:c>
      <x:c r="B7118" s="4" t="str">
        <x:v>RS-03548</x:v>
      </x:c>
      <x:c r="C7118" s="9" t="n">
        <x:v>1</x:v>
      </x:c>
      <x:c r="D7118" s="8" t="n">
        <x:v>45524</x:v>
      </x:c>
      <x:c r="E7118" s="9" t="n">
        <x:v>4950000</x:v>
      </x:c>
      <x:c r="F7118" s="9" t="n">
        <x:v>4950000</x:v>
      </x:c>
    </x:row>
    <x:row r="7119" ht="34" customHeight="1">
      <x:c r="A7119" s="4" t="str">
        <x:v>RS-03548-I2</x:v>
      </x:c>
      <x:c r="B7119" s="4" t="str">
        <x:v>RS-03548</x:v>
      </x:c>
      <x:c r="C7119" s="9" t="n">
        <x:v>2</x:v>
      </x:c>
      <x:c r="D7119" s="8" t="n">
        <x:v>45554</x:v>
      </x:c>
      <x:c r="E7119" s="9" t="n">
        <x:v>4950000</x:v>
      </x:c>
      <x:c r="F7119" s="9" t="n">
        <x:v>4950000</x:v>
      </x:c>
    </x:row>
    <x:row r="7120" ht="34" customHeight="1">
      <x:c r="A7120" s="4" t="str">
        <x:v>RS-03548-I3</x:v>
      </x:c>
      <x:c r="B7120" s="4" t="str">
        <x:v>RS-03548</x:v>
      </x:c>
      <x:c r="C7120" s="9" t="n">
        <x:v>3</x:v>
      </x:c>
      <x:c r="D7120" s="8" t="n">
        <x:v>45584</x:v>
      </x:c>
      <x:c r="E7120" s="9" t="n">
        <x:v>4950000</x:v>
      </x:c>
      <x:c r="F7120" s="9" t="n">
        <x:v>0</x:v>
      </x:c>
    </x:row>
    <x:row r="7121" ht="34" customHeight="1">
      <x:c r="A7121" s="4" t="str">
        <x:v>RS-03548-I4</x:v>
      </x:c>
      <x:c r="B7121" s="4" t="str">
        <x:v>RS-03548</x:v>
      </x:c>
      <x:c r="C7121" s="9" t="n">
        <x:v>4</x:v>
      </x:c>
      <x:c r="D7121" s="8" t="n">
        <x:v>45614</x:v>
      </x:c>
      <x:c r="E7121" s="9" t="n">
        <x:v>4950000</x:v>
      </x:c>
      <x:c r="F7121" s="9" t="n">
        <x:v>0</x:v>
      </x:c>
    </x:row>
    <x:row r="7122" ht="34" customHeight="1">
      <x:c r="A7122" s="4" t="str">
        <x:v>RS-03549-I1</x:v>
      </x:c>
      <x:c r="B7122" s="4" t="str">
        <x:v>RS-03549</x:v>
      </x:c>
      <x:c r="C7122" s="9" t="n">
        <x:v>1</x:v>
      </x:c>
      <x:c r="D7122" s="8" t="n">
        <x:v>45525</x:v>
      </x:c>
      <x:c r="E7122" s="9" t="n">
        <x:v>2790000</x:v>
      </x:c>
      <x:c r="F7122" s="9" t="n">
        <x:v>2790000</x:v>
      </x:c>
    </x:row>
    <x:row r="7123" ht="34" customHeight="1">
      <x:c r="A7123" s="4" t="str">
        <x:v>RS-03549-I2</x:v>
      </x:c>
      <x:c r="B7123" s="4" t="str">
        <x:v>RS-03549</x:v>
      </x:c>
      <x:c r="C7123" s="9" t="n">
        <x:v>2</x:v>
      </x:c>
      <x:c r="D7123" s="8" t="n">
        <x:v>45555</x:v>
      </x:c>
      <x:c r="E7123" s="9" t="n">
        <x:v>2790000</x:v>
      </x:c>
      <x:c r="F7123" s="9" t="n">
        <x:v>2790000</x:v>
      </x:c>
    </x:row>
    <x:row r="7124" ht="34" customHeight="1">
      <x:c r="A7124" s="4" t="str">
        <x:v>RS-03549-I3</x:v>
      </x:c>
      <x:c r="B7124" s="4" t="str">
        <x:v>RS-03549</x:v>
      </x:c>
      <x:c r="C7124" s="9" t="n">
        <x:v>3</x:v>
      </x:c>
      <x:c r="D7124" s="8" t="n">
        <x:v>45585</x:v>
      </x:c>
      <x:c r="E7124" s="9" t="n">
        <x:v>2790000</x:v>
      </x:c>
      <x:c r="F7124" s="9" t="n">
        <x:v>2790000</x:v>
      </x:c>
    </x:row>
    <x:row r="7125" ht="34" customHeight="1">
      <x:c r="A7125" s="4" t="str">
        <x:v>RS-03549-I4</x:v>
      </x:c>
      <x:c r="B7125" s="4" t="str">
        <x:v>RS-03549</x:v>
      </x:c>
      <x:c r="C7125" s="9" t="n">
        <x:v>4</x:v>
      </x:c>
      <x:c r="D7125" s="8" t="n">
        <x:v>45615</x:v>
      </x:c>
      <x:c r="E7125" s="9" t="n">
        <x:v>2790000</x:v>
      </x:c>
      <x:c r="F7125" s="9" t="n">
        <x:v>2790000</x:v>
      </x:c>
    </x:row>
    <x:row r="7126" ht="34" customHeight="1">
      <x:c r="A7126" s="4" t="str">
        <x:v>RS-03554-I1</x:v>
      </x:c>
      <x:c r="B7126" s="4" t="str">
        <x:v>RS-03554</x:v>
      </x:c>
      <x:c r="C7126" s="9" t="n">
        <x:v>1</x:v>
      </x:c>
      <x:c r="D7126" s="8" t="n">
        <x:v>45530</x:v>
      </x:c>
      <x:c r="E7126" s="9" t="n">
        <x:v>2232000</x:v>
      </x:c>
      <x:c r="F7126" s="9" t="n">
        <x:v>2232000</x:v>
      </x:c>
    </x:row>
    <x:row r="7127" ht="34" customHeight="1">
      <x:c r="A7127" s="4" t="str">
        <x:v>RS-03554-I2</x:v>
      </x:c>
      <x:c r="B7127" s="4" t="str">
        <x:v>RS-03554</x:v>
      </x:c>
      <x:c r="C7127" s="9" t="n">
        <x:v>2</x:v>
      </x:c>
      <x:c r="D7127" s="8" t="n">
        <x:v>45560</x:v>
      </x:c>
      <x:c r="E7127" s="9" t="n">
        <x:v>2232000</x:v>
      </x:c>
      <x:c r="F7127" s="9" t="n">
        <x:v>2232000</x:v>
      </x:c>
    </x:row>
    <x:row r="7128" ht="34" customHeight="1">
      <x:c r="A7128" s="4" t="str">
        <x:v>RS-03554-I3</x:v>
      </x:c>
      <x:c r="B7128" s="4" t="str">
        <x:v>RS-03554</x:v>
      </x:c>
      <x:c r="C7128" s="9" t="n">
        <x:v>3</x:v>
      </x:c>
      <x:c r="D7128" s="8" t="n">
        <x:v>45590</x:v>
      </x:c>
      <x:c r="E7128" s="9" t="n">
        <x:v>2232000</x:v>
      </x:c>
      <x:c r="F7128" s="9" t="n">
        <x:v>2232000</x:v>
      </x:c>
    </x:row>
    <x:row r="7129" ht="34" customHeight="1">
      <x:c r="A7129" s="4" t="str">
        <x:v>RS-03554-I4</x:v>
      </x:c>
      <x:c r="B7129" s="4" t="str">
        <x:v>RS-03554</x:v>
      </x:c>
      <x:c r="C7129" s="9" t="n">
        <x:v>4</x:v>
      </x:c>
      <x:c r="D7129" s="8" t="n">
        <x:v>45620</x:v>
      </x:c>
      <x:c r="E7129" s="9" t="n">
        <x:v>2232000</x:v>
      </x:c>
      <x:c r="F7129" s="9" t="n">
        <x:v>2232000</x:v>
      </x:c>
    </x:row>
    <x:row r="7130" ht="34" customHeight="1">
      <x:c r="A7130" s="4" t="str">
        <x:v>RS-03555-I1</x:v>
      </x:c>
      <x:c r="B7130" s="4" t="str">
        <x:v>RS-03555</x:v>
      </x:c>
      <x:c r="C7130" s="9" t="n">
        <x:v>1</x:v>
      </x:c>
      <x:c r="D7130" s="8" t="n">
        <x:v>45531</x:v>
      </x:c>
      <x:c r="E7130" s="9" t="n">
        <x:v>1978000</x:v>
      </x:c>
      <x:c r="F7130" s="9" t="n">
        <x:v>1978000</x:v>
      </x:c>
    </x:row>
    <x:row r="7131" ht="34" customHeight="1">
      <x:c r="A7131" s="4" t="str">
        <x:v>RS-03555-I2</x:v>
      </x:c>
      <x:c r="B7131" s="4" t="str">
        <x:v>RS-03555</x:v>
      </x:c>
      <x:c r="C7131" s="9" t="n">
        <x:v>2</x:v>
      </x:c>
      <x:c r="D7131" s="8" t="n">
        <x:v>45561</x:v>
      </x:c>
      <x:c r="E7131" s="9" t="n">
        <x:v>1978000</x:v>
      </x:c>
      <x:c r="F7131" s="9" t="n">
        <x:v>1978000</x:v>
      </x:c>
    </x:row>
    <x:row r="7132" ht="34" customHeight="1">
      <x:c r="A7132" s="4" t="str">
        <x:v>RS-03555-I3</x:v>
      </x:c>
      <x:c r="B7132" s="4" t="str">
        <x:v>RS-03555</x:v>
      </x:c>
      <x:c r="C7132" s="9" t="n">
        <x:v>3</x:v>
      </x:c>
      <x:c r="D7132" s="8" t="n">
        <x:v>45591</x:v>
      </x:c>
      <x:c r="E7132" s="9" t="n">
        <x:v>1978000</x:v>
      </x:c>
      <x:c r="F7132" s="9" t="n">
        <x:v>0</x:v>
      </x:c>
    </x:row>
    <x:row r="7133" ht="34" customHeight="1">
      <x:c r="A7133" s="4" t="str">
        <x:v>RS-03555-I4</x:v>
      </x:c>
      <x:c r="B7133" s="4" t="str">
        <x:v>RS-03555</x:v>
      </x:c>
      <x:c r="C7133" s="9" t="n">
        <x:v>4</x:v>
      </x:c>
      <x:c r="D7133" s="8" t="n">
        <x:v>45621</x:v>
      </x:c>
      <x:c r="E7133" s="9" t="n">
        <x:v>1978000</x:v>
      </x:c>
      <x:c r="F7133" s="9" t="n">
        <x:v>0</x:v>
      </x:c>
    </x:row>
    <x:row r="7134" ht="34" customHeight="1">
      <x:c r="A7134" s="4" t="str">
        <x:v>RS-03560-I1</x:v>
      </x:c>
      <x:c r="B7134" s="4" t="str">
        <x:v>RS-03560</x:v>
      </x:c>
      <x:c r="C7134" s="9" t="n">
        <x:v>1</x:v>
      </x:c>
      <x:c r="D7134" s="8" t="n">
        <x:v>45508</x:v>
      </x:c>
      <x:c r="E7134" s="9" t="n">
        <x:v>5619250</x:v>
      </x:c>
      <x:c r="F7134" s="9" t="n">
        <x:v>5619250</x:v>
      </x:c>
    </x:row>
    <x:row r="7135" ht="34" customHeight="1">
      <x:c r="A7135" s="4" t="str">
        <x:v>RS-03560-I2</x:v>
      </x:c>
      <x:c r="B7135" s="4" t="str">
        <x:v>RS-03560</x:v>
      </x:c>
      <x:c r="C7135" s="9" t="n">
        <x:v>2</x:v>
      </x:c>
      <x:c r="D7135" s="8" t="n">
        <x:v>45538</x:v>
      </x:c>
      <x:c r="E7135" s="9" t="n">
        <x:v>5619250</x:v>
      </x:c>
      <x:c r="F7135" s="9" t="n">
        <x:v>0</x:v>
      </x:c>
    </x:row>
    <x:row r="7136" ht="34" customHeight="1">
      <x:c r="A7136" s="4" t="str">
        <x:v>RS-03560-I3</x:v>
      </x:c>
      <x:c r="B7136" s="4" t="str">
        <x:v>RS-03560</x:v>
      </x:c>
      <x:c r="C7136" s="9" t="n">
        <x:v>3</x:v>
      </x:c>
      <x:c r="D7136" s="8" t="n">
        <x:v>45568</x:v>
      </x:c>
      <x:c r="E7136" s="9" t="n">
        <x:v>5619250</x:v>
      </x:c>
      <x:c r="F7136" s="9" t="n">
        <x:v>0</x:v>
      </x:c>
    </x:row>
    <x:row r="7137" ht="34" customHeight="1">
      <x:c r="A7137" s="4" t="str">
        <x:v>RS-03560-I4</x:v>
      </x:c>
      <x:c r="B7137" s="4" t="str">
        <x:v>RS-03560</x:v>
      </x:c>
      <x:c r="C7137" s="9" t="n">
        <x:v>4</x:v>
      </x:c>
      <x:c r="D7137" s="8" t="n">
        <x:v>45598</x:v>
      </x:c>
      <x:c r="E7137" s="9" t="n">
        <x:v>5619250</x:v>
      </x:c>
      <x:c r="F7137" s="9" t="n">
        <x:v>0</x:v>
      </x:c>
    </x:row>
    <x:row r="7138" ht="34" customHeight="1">
      <x:c r="A7138" s="4" t="str">
        <x:v>RS-03561-I1</x:v>
      </x:c>
      <x:c r="B7138" s="4" t="str">
        <x:v>RS-03561</x:v>
      </x:c>
      <x:c r="C7138" s="9" t="n">
        <x:v>1</x:v>
      </x:c>
      <x:c r="D7138" s="8" t="n">
        <x:v>45509</x:v>
      </x:c>
      <x:c r="E7138" s="9" t="n">
        <x:v>3749000</x:v>
      </x:c>
      <x:c r="F7138" s="9" t="n">
        <x:v>3749000</x:v>
      </x:c>
    </x:row>
    <x:row r="7139" ht="34" customHeight="1">
      <x:c r="A7139" s="4" t="str">
        <x:v>RS-03561-I2</x:v>
      </x:c>
      <x:c r="B7139" s="4" t="str">
        <x:v>RS-03561</x:v>
      </x:c>
      <x:c r="C7139" s="9" t="n">
        <x:v>2</x:v>
      </x:c>
      <x:c r="D7139" s="8" t="n">
        <x:v>45539</x:v>
      </x:c>
      <x:c r="E7139" s="9" t="n">
        <x:v>3749000</x:v>
      </x:c>
      <x:c r="F7139" s="9" t="n">
        <x:v>0</x:v>
      </x:c>
    </x:row>
    <x:row r="7140" ht="34" customHeight="1">
      <x:c r="A7140" s="4" t="str">
        <x:v>RS-03561-I3</x:v>
      </x:c>
      <x:c r="B7140" s="4" t="str">
        <x:v>RS-03561</x:v>
      </x:c>
      <x:c r="C7140" s="9" t="n">
        <x:v>3</x:v>
      </x:c>
      <x:c r="D7140" s="8" t="n">
        <x:v>45569</x:v>
      </x:c>
      <x:c r="E7140" s="9" t="n">
        <x:v>3749000</x:v>
      </x:c>
      <x:c r="F7140" s="9" t="n">
        <x:v>0</x:v>
      </x:c>
    </x:row>
    <x:row r="7141" ht="34" customHeight="1">
      <x:c r="A7141" s="4" t="str">
        <x:v>RS-03561-I4</x:v>
      </x:c>
      <x:c r="B7141" s="4" t="str">
        <x:v>RS-03561</x:v>
      </x:c>
      <x:c r="C7141" s="9" t="n">
        <x:v>4</x:v>
      </x:c>
      <x:c r="D7141" s="8" t="n">
        <x:v>45599</x:v>
      </x:c>
      <x:c r="E7141" s="9" t="n">
        <x:v>3749000</x:v>
      </x:c>
      <x:c r="F7141" s="9" t="n">
        <x:v>0</x:v>
      </x:c>
    </x:row>
    <x:row r="7142" ht="34" customHeight="1">
      <x:c r="A7142" s="4" t="str">
        <x:v>RS-03562-I1</x:v>
      </x:c>
      <x:c r="B7142" s="4" t="str">
        <x:v>RS-03562</x:v>
      </x:c>
      <x:c r="C7142" s="9" t="n">
        <x:v>1</x:v>
      </x:c>
      <x:c r="D7142" s="8" t="n">
        <x:v>45510</x:v>
      </x:c>
      <x:c r="E7142" s="9" t="n">
        <x:v>2113750</x:v>
      </x:c>
      <x:c r="F7142" s="9" t="n">
        <x:v>2113750</x:v>
      </x:c>
    </x:row>
    <x:row r="7143" ht="34" customHeight="1">
      <x:c r="A7143" s="4" t="str">
        <x:v>RS-03562-I2</x:v>
      </x:c>
      <x:c r="B7143" s="4" t="str">
        <x:v>RS-03562</x:v>
      </x:c>
      <x:c r="C7143" s="9" t="n">
        <x:v>2</x:v>
      </x:c>
      <x:c r="D7143" s="8" t="n">
        <x:v>45540</x:v>
      </x:c>
      <x:c r="E7143" s="9" t="n">
        <x:v>2113750</x:v>
      </x:c>
      <x:c r="F7143" s="9" t="n">
        <x:v>2113750</x:v>
      </x:c>
    </x:row>
    <x:row r="7144" ht="34" customHeight="1">
      <x:c r="A7144" s="4" t="str">
        <x:v>RS-03562-I3</x:v>
      </x:c>
      <x:c r="B7144" s="4" t="str">
        <x:v>RS-03562</x:v>
      </x:c>
      <x:c r="C7144" s="9" t="n">
        <x:v>3</x:v>
      </x:c>
      <x:c r="D7144" s="8" t="n">
        <x:v>45570</x:v>
      </x:c>
      <x:c r="E7144" s="9" t="n">
        <x:v>2113750</x:v>
      </x:c>
      <x:c r="F7144" s="9" t="n">
        <x:v>0</x:v>
      </x:c>
    </x:row>
    <x:row r="7145" ht="34" customHeight="1">
      <x:c r="A7145" s="4" t="str">
        <x:v>RS-03562-I4</x:v>
      </x:c>
      <x:c r="B7145" s="4" t="str">
        <x:v>RS-03562</x:v>
      </x:c>
      <x:c r="C7145" s="9" t="n">
        <x:v>4</x:v>
      </x:c>
      <x:c r="D7145" s="8" t="n">
        <x:v>45600</x:v>
      </x:c>
      <x:c r="E7145" s="9" t="n">
        <x:v>2113750</x:v>
      </x:c>
      <x:c r="F7145" s="9" t="n">
        <x:v>0</x:v>
      </x:c>
    </x:row>
    <x:row r="7146" ht="34" customHeight="1">
      <x:c r="A7146" s="4" t="str">
        <x:v>RS-03563-I1</x:v>
      </x:c>
      <x:c r="B7146" s="4" t="str">
        <x:v>RS-03563</x:v>
      </x:c>
      <x:c r="C7146" s="9" t="n">
        <x:v>1</x:v>
      </x:c>
      <x:c r="D7146" s="8" t="n">
        <x:v>45511</x:v>
      </x:c>
      <x:c r="E7146" s="9" t="n">
        <x:v>1833000</x:v>
      </x:c>
      <x:c r="F7146" s="9" t="n">
        <x:v>1833000</x:v>
      </x:c>
    </x:row>
    <x:row r="7147" ht="34" customHeight="1">
      <x:c r="A7147" s="4" t="str">
        <x:v>RS-03563-I2</x:v>
      </x:c>
      <x:c r="B7147" s="4" t="str">
        <x:v>RS-03563</x:v>
      </x:c>
      <x:c r="C7147" s="9" t="n">
        <x:v>2</x:v>
      </x:c>
      <x:c r="D7147" s="8" t="n">
        <x:v>45541</x:v>
      </x:c>
      <x:c r="E7147" s="9" t="n">
        <x:v>1833000</x:v>
      </x:c>
      <x:c r="F7147" s="9" t="n">
        <x:v>1833000</x:v>
      </x:c>
    </x:row>
    <x:row r="7148" ht="34" customHeight="1">
      <x:c r="A7148" s="4" t="str">
        <x:v>RS-03563-I3</x:v>
      </x:c>
      <x:c r="B7148" s="4" t="str">
        <x:v>RS-03563</x:v>
      </x:c>
      <x:c r="C7148" s="9" t="n">
        <x:v>3</x:v>
      </x:c>
      <x:c r="D7148" s="8" t="n">
        <x:v>45571</x:v>
      </x:c>
      <x:c r="E7148" s="9" t="n">
        <x:v>1833000</x:v>
      </x:c>
      <x:c r="F7148" s="9" t="n">
        <x:v>0</x:v>
      </x:c>
    </x:row>
    <x:row r="7149" ht="34" customHeight="1">
      <x:c r="A7149" s="4" t="str">
        <x:v>RS-03563-I4</x:v>
      </x:c>
      <x:c r="B7149" s="4" t="str">
        <x:v>RS-03563</x:v>
      </x:c>
      <x:c r="C7149" s="9" t="n">
        <x:v>4</x:v>
      </x:c>
      <x:c r="D7149" s="8" t="n">
        <x:v>45601</x:v>
      </x:c>
      <x:c r="E7149" s="9" t="n">
        <x:v>1833000</x:v>
      </x:c>
      <x:c r="F7149" s="9" t="n">
        <x:v>0</x:v>
      </x:c>
    </x:row>
    <x:row r="7150" ht="34" customHeight="1">
      <x:c r="A7150" s="4" t="str">
        <x:v>RS-03564-I1</x:v>
      </x:c>
      <x:c r="B7150" s="4" t="str">
        <x:v>RS-03564</x:v>
      </x:c>
      <x:c r="C7150" s="9" t="n">
        <x:v>1</x:v>
      </x:c>
      <x:c r="D7150" s="8" t="n">
        <x:v>45512</x:v>
      </x:c>
      <x:c r="E7150" s="9" t="n">
        <x:v>2944000</x:v>
      </x:c>
      <x:c r="F7150" s="9" t="n">
        <x:v>1177600</x:v>
      </x:c>
    </x:row>
    <x:row r="7151" ht="34" customHeight="1">
      <x:c r="A7151" s="4" t="str">
        <x:v>RS-03564-I2</x:v>
      </x:c>
      <x:c r="B7151" s="4" t="str">
        <x:v>RS-03564</x:v>
      </x:c>
      <x:c r="C7151" s="9" t="n">
        <x:v>2</x:v>
      </x:c>
      <x:c r="D7151" s="8" t="n">
        <x:v>45542</x:v>
      </x:c>
      <x:c r="E7151" s="9" t="n">
        <x:v>2944000</x:v>
      </x:c>
      <x:c r="F7151" s="9" t="n">
        <x:v>0</x:v>
      </x:c>
    </x:row>
    <x:row r="7152" ht="34" customHeight="1">
      <x:c r="A7152" s="4" t="str">
        <x:v>RS-03564-I3</x:v>
      </x:c>
      <x:c r="B7152" s="4" t="str">
        <x:v>RS-03564</x:v>
      </x:c>
      <x:c r="C7152" s="9" t="n">
        <x:v>3</x:v>
      </x:c>
      <x:c r="D7152" s="8" t="n">
        <x:v>45572</x:v>
      </x:c>
      <x:c r="E7152" s="9" t="n">
        <x:v>2944000</x:v>
      </x:c>
      <x:c r="F7152" s="9" t="n">
        <x:v>0</x:v>
      </x:c>
    </x:row>
    <x:row r="7153" ht="34" customHeight="1">
      <x:c r="A7153" s="4" t="str">
        <x:v>RS-03564-I4</x:v>
      </x:c>
      <x:c r="B7153" s="4" t="str">
        <x:v>RS-03564</x:v>
      </x:c>
      <x:c r="C7153" s="9" t="n">
        <x:v>4</x:v>
      </x:c>
      <x:c r="D7153" s="8" t="n">
        <x:v>45602</x:v>
      </x:c>
      <x:c r="E7153" s="9" t="n">
        <x:v>2944000</x:v>
      </x:c>
      <x:c r="F7153" s="9" t="n">
        <x:v>0</x:v>
      </x:c>
    </x:row>
    <x:row r="7154" ht="34" customHeight="1">
      <x:c r="A7154" s="4" t="str">
        <x:v>RS-03565-I1</x:v>
      </x:c>
      <x:c r="B7154" s="4" t="str">
        <x:v>RS-03565</x:v>
      </x:c>
      <x:c r="C7154" s="9" t="n">
        <x:v>1</x:v>
      </x:c>
      <x:c r="D7154" s="8" t="n">
        <x:v>45513</x:v>
      </x:c>
      <x:c r="E7154" s="9" t="n">
        <x:v>4968000</x:v>
      </x:c>
      <x:c r="F7154" s="9" t="n">
        <x:v>4968000</x:v>
      </x:c>
    </x:row>
    <x:row r="7155" ht="34" customHeight="1">
      <x:c r="A7155" s="4" t="str">
        <x:v>RS-03565-I2</x:v>
      </x:c>
      <x:c r="B7155" s="4" t="str">
        <x:v>RS-03565</x:v>
      </x:c>
      <x:c r="C7155" s="9" t="n">
        <x:v>2</x:v>
      </x:c>
      <x:c r="D7155" s="8" t="n">
        <x:v>45543</x:v>
      </x:c>
      <x:c r="E7155" s="9" t="n">
        <x:v>4968000</x:v>
      </x:c>
      <x:c r="F7155" s="9" t="n">
        <x:v>4968000</x:v>
      </x:c>
    </x:row>
    <x:row r="7156" ht="34" customHeight="1">
      <x:c r="A7156" s="4" t="str">
        <x:v>RS-03565-I3</x:v>
      </x:c>
      <x:c r="B7156" s="4" t="str">
        <x:v>RS-03565</x:v>
      </x:c>
      <x:c r="C7156" s="9" t="n">
        <x:v>3</x:v>
      </x:c>
      <x:c r="D7156" s="8" t="n">
        <x:v>45573</x:v>
      </x:c>
      <x:c r="E7156" s="9" t="n">
        <x:v>4968000</x:v>
      </x:c>
      <x:c r="F7156" s="9" t="n">
        <x:v>0</x:v>
      </x:c>
    </x:row>
    <x:row r="7157" ht="34" customHeight="1">
      <x:c r="A7157" s="4" t="str">
        <x:v>RS-03565-I4</x:v>
      </x:c>
      <x:c r="B7157" s="4" t="str">
        <x:v>RS-03565</x:v>
      </x:c>
      <x:c r="C7157" s="9" t="n">
        <x:v>4</x:v>
      </x:c>
      <x:c r="D7157" s="8" t="n">
        <x:v>45603</x:v>
      </x:c>
      <x:c r="E7157" s="9" t="n">
        <x:v>4968000</x:v>
      </x:c>
      <x:c r="F7157" s="9" t="n">
        <x:v>0</x:v>
      </x:c>
    </x:row>
    <x:row r="7158" ht="34" customHeight="1">
      <x:c r="A7158" s="4" t="str">
        <x:v>RS-03566-I1</x:v>
      </x:c>
      <x:c r="B7158" s="4" t="str">
        <x:v>RS-03566</x:v>
      </x:c>
      <x:c r="C7158" s="9" t="n">
        <x:v>1</x:v>
      </x:c>
      <x:c r="D7158" s="8" t="n">
        <x:v>45514</x:v>
      </x:c>
      <x:c r="E7158" s="9" t="n">
        <x:v>3322250</x:v>
      </x:c>
      <x:c r="F7158" s="9" t="n">
        <x:v>3322250</x:v>
      </x:c>
    </x:row>
    <x:row r="7159" ht="34" customHeight="1">
      <x:c r="A7159" s="4" t="str">
        <x:v>RS-03566-I2</x:v>
      </x:c>
      <x:c r="B7159" s="4" t="str">
        <x:v>RS-03566</x:v>
      </x:c>
      <x:c r="C7159" s="9" t="n">
        <x:v>2</x:v>
      </x:c>
      <x:c r="D7159" s="8" t="n">
        <x:v>45544</x:v>
      </x:c>
      <x:c r="E7159" s="9" t="n">
        <x:v>3322250</x:v>
      </x:c>
      <x:c r="F7159" s="9" t="n">
        <x:v>3322250</x:v>
      </x:c>
    </x:row>
    <x:row r="7160" ht="34" customHeight="1">
      <x:c r="A7160" s="4" t="str">
        <x:v>RS-03566-I3</x:v>
      </x:c>
      <x:c r="B7160" s="4" t="str">
        <x:v>RS-03566</x:v>
      </x:c>
      <x:c r="C7160" s="9" t="n">
        <x:v>3</x:v>
      </x:c>
      <x:c r="D7160" s="8" t="n">
        <x:v>45574</x:v>
      </x:c>
      <x:c r="E7160" s="9" t="n">
        <x:v>3322250</x:v>
      </x:c>
      <x:c r="F7160" s="9" t="n">
        <x:v>0</x:v>
      </x:c>
    </x:row>
    <x:row r="7161" ht="34" customHeight="1">
      <x:c r="A7161" s="4" t="str">
        <x:v>RS-03566-I4</x:v>
      </x:c>
      <x:c r="B7161" s="4" t="str">
        <x:v>RS-03566</x:v>
      </x:c>
      <x:c r="C7161" s="9" t="n">
        <x:v>4</x:v>
      </x:c>
      <x:c r="D7161" s="8" t="n">
        <x:v>45604</x:v>
      </x:c>
      <x:c r="E7161" s="9" t="n">
        <x:v>3322250</x:v>
      </x:c>
      <x:c r="F7161" s="9" t="n">
        <x:v>0</x:v>
      </x:c>
    </x:row>
    <x:row r="7162" ht="34" customHeight="1">
      <x:c r="A7162" s="4" t="str">
        <x:v>RS-03567-I1</x:v>
      </x:c>
      <x:c r="B7162" s="4" t="str">
        <x:v>RS-03567</x:v>
      </x:c>
      <x:c r="C7162" s="9" t="n">
        <x:v>1</x:v>
      </x:c>
      <x:c r="D7162" s="8" t="n">
        <x:v>45515</x:v>
      </x:c>
      <x:c r="E7162" s="9" t="n">
        <x:v>1464750</x:v>
      </x:c>
      <x:c r="F7162" s="9" t="n">
        <x:v>1464750</x:v>
      </x:c>
    </x:row>
    <x:row r="7163" ht="34" customHeight="1">
      <x:c r="A7163" s="4" t="str">
        <x:v>RS-03567-I2</x:v>
      </x:c>
      <x:c r="B7163" s="4" t="str">
        <x:v>RS-03567</x:v>
      </x:c>
      <x:c r="C7163" s="9" t="n">
        <x:v>2</x:v>
      </x:c>
      <x:c r="D7163" s="8" t="n">
        <x:v>45545</x:v>
      </x:c>
      <x:c r="E7163" s="9" t="n">
        <x:v>1464750</x:v>
      </x:c>
      <x:c r="F7163" s="9" t="n">
        <x:v>1464750</x:v>
      </x:c>
    </x:row>
    <x:row r="7164" ht="34" customHeight="1">
      <x:c r="A7164" s="4" t="str">
        <x:v>RS-03567-I3</x:v>
      </x:c>
      <x:c r="B7164" s="4" t="str">
        <x:v>RS-03567</x:v>
      </x:c>
      <x:c r="C7164" s="9" t="n">
        <x:v>3</x:v>
      </x:c>
      <x:c r="D7164" s="8" t="n">
        <x:v>45575</x:v>
      </x:c>
      <x:c r="E7164" s="9" t="n">
        <x:v>1464750</x:v>
      </x:c>
      <x:c r="F7164" s="9" t="n">
        <x:v>0</x:v>
      </x:c>
    </x:row>
    <x:row r="7165" ht="34" customHeight="1">
      <x:c r="A7165" s="4" t="str">
        <x:v>RS-03567-I4</x:v>
      </x:c>
      <x:c r="B7165" s="4" t="str">
        <x:v>RS-03567</x:v>
      </x:c>
      <x:c r="C7165" s="9" t="n">
        <x:v>4</x:v>
      </x:c>
      <x:c r="D7165" s="8" t="n">
        <x:v>45605</x:v>
      </x:c>
      <x:c r="E7165" s="9" t="n">
        <x:v>1464750</x:v>
      </x:c>
      <x:c r="F7165" s="9" t="n">
        <x:v>0</x:v>
      </x:c>
    </x:row>
    <x:row r="7166" ht="34" customHeight="1">
      <x:c r="A7166" s="4" t="str">
        <x:v>RS-03568-I1</x:v>
      </x:c>
      <x:c r="B7166" s="4" t="str">
        <x:v>RS-03568</x:v>
      </x:c>
      <x:c r="C7166" s="9" t="n">
        <x:v>1</x:v>
      </x:c>
      <x:c r="D7166" s="8" t="n">
        <x:v>45516</x:v>
      </x:c>
      <x:c r="E7166" s="9" t="n">
        <x:v>1067000</x:v>
      </x:c>
      <x:c r="F7166" s="9" t="n">
        <x:v>426800</x:v>
      </x:c>
    </x:row>
    <x:row r="7167" ht="34" customHeight="1">
      <x:c r="A7167" s="4" t="str">
        <x:v>RS-03568-I2</x:v>
      </x:c>
      <x:c r="B7167" s="4" t="str">
        <x:v>RS-03568</x:v>
      </x:c>
      <x:c r="C7167" s="9" t="n">
        <x:v>2</x:v>
      </x:c>
      <x:c r="D7167" s="8" t="n">
        <x:v>45546</x:v>
      </x:c>
      <x:c r="E7167" s="9" t="n">
        <x:v>1067000</x:v>
      </x:c>
      <x:c r="F7167" s="9" t="n">
        <x:v>0</x:v>
      </x:c>
    </x:row>
    <x:row r="7168" ht="34" customHeight="1">
      <x:c r="A7168" s="4" t="str">
        <x:v>RS-03568-I3</x:v>
      </x:c>
      <x:c r="B7168" s="4" t="str">
        <x:v>RS-03568</x:v>
      </x:c>
      <x:c r="C7168" s="9" t="n">
        <x:v>3</x:v>
      </x:c>
      <x:c r="D7168" s="8" t="n">
        <x:v>45576</x:v>
      </x:c>
      <x:c r="E7168" s="9" t="n">
        <x:v>1067000</x:v>
      </x:c>
      <x:c r="F7168" s="9" t="n">
        <x:v>0</x:v>
      </x:c>
    </x:row>
    <x:row r="7169" ht="34" customHeight="1">
      <x:c r="A7169" s="4" t="str">
        <x:v>RS-03568-I4</x:v>
      </x:c>
      <x:c r="B7169" s="4" t="str">
        <x:v>RS-03568</x:v>
      </x:c>
      <x:c r="C7169" s="9" t="n">
        <x:v>4</x:v>
      </x:c>
      <x:c r="D7169" s="8" t="n">
        <x:v>45606</x:v>
      </x:c>
      <x:c r="E7169" s="9" t="n">
        <x:v>1067000</x:v>
      </x:c>
      <x:c r="F7169" s="9" t="n">
        <x:v>0</x:v>
      </x:c>
    </x:row>
    <x:row r="7170" ht="34" customHeight="1">
      <x:c r="A7170" s="4" t="str">
        <x:v>RS-03570-I1</x:v>
      </x:c>
      <x:c r="B7170" s="4" t="str">
        <x:v>RS-03570</x:v>
      </x:c>
      <x:c r="C7170" s="9" t="n">
        <x:v>1</x:v>
      </x:c>
      <x:c r="D7170" s="8" t="n">
        <x:v>45518</x:v>
      </x:c>
      <x:c r="E7170" s="9" t="n">
        <x:v>4092000</x:v>
      </x:c>
      <x:c r="F7170" s="9" t="n">
        <x:v>1636800</x:v>
      </x:c>
    </x:row>
    <x:row r="7171" ht="34" customHeight="1">
      <x:c r="A7171" s="4" t="str">
        <x:v>RS-03570-I2</x:v>
      </x:c>
      <x:c r="B7171" s="4" t="str">
        <x:v>RS-03570</x:v>
      </x:c>
      <x:c r="C7171" s="9" t="n">
        <x:v>2</x:v>
      </x:c>
      <x:c r="D7171" s="8" t="n">
        <x:v>45548</x:v>
      </x:c>
      <x:c r="E7171" s="9" t="n">
        <x:v>4092000</x:v>
      </x:c>
      <x:c r="F7171" s="9" t="n">
        <x:v>0</x:v>
      </x:c>
    </x:row>
    <x:row r="7172" ht="34" customHeight="1">
      <x:c r="A7172" s="4" t="str">
        <x:v>RS-03570-I3</x:v>
      </x:c>
      <x:c r="B7172" s="4" t="str">
        <x:v>RS-03570</x:v>
      </x:c>
      <x:c r="C7172" s="9" t="n">
        <x:v>3</x:v>
      </x:c>
      <x:c r="D7172" s="8" t="n">
        <x:v>45578</x:v>
      </x:c>
      <x:c r="E7172" s="9" t="n">
        <x:v>4092000</x:v>
      </x:c>
      <x:c r="F7172" s="9" t="n">
        <x:v>0</x:v>
      </x:c>
    </x:row>
    <x:row r="7173" ht="34" customHeight="1">
      <x:c r="A7173" s="4" t="str">
        <x:v>RS-03570-I4</x:v>
      </x:c>
      <x:c r="B7173" s="4" t="str">
        <x:v>RS-03570</x:v>
      </x:c>
      <x:c r="C7173" s="9" t="n">
        <x:v>4</x:v>
      </x:c>
      <x:c r="D7173" s="8" t="n">
        <x:v>45608</x:v>
      </x:c>
      <x:c r="E7173" s="9" t="n">
        <x:v>4092000</x:v>
      </x:c>
      <x:c r="F7173" s="9" t="n">
        <x:v>0</x:v>
      </x:c>
    </x:row>
    <x:row r="7174" ht="34" customHeight="1">
      <x:c r="A7174" s="4" t="str">
        <x:v>RS-03572-I1</x:v>
      </x:c>
      <x:c r="B7174" s="4" t="str">
        <x:v>RS-03572</x:v>
      </x:c>
      <x:c r="C7174" s="9" t="n">
        <x:v>1</x:v>
      </x:c>
      <x:c r="D7174" s="8" t="n">
        <x:v>45520</x:v>
      </x:c>
      <x:c r="E7174" s="9" t="n">
        <x:v>2136000</x:v>
      </x:c>
      <x:c r="F7174" s="9" t="n">
        <x:v>2136000</x:v>
      </x:c>
    </x:row>
    <x:row r="7175" ht="34" customHeight="1">
      <x:c r="A7175" s="4" t="str">
        <x:v>RS-03572-I2</x:v>
      </x:c>
      <x:c r="B7175" s="4" t="str">
        <x:v>RS-03572</x:v>
      </x:c>
      <x:c r="C7175" s="9" t="n">
        <x:v>2</x:v>
      </x:c>
      <x:c r="D7175" s="8" t="n">
        <x:v>45550</x:v>
      </x:c>
      <x:c r="E7175" s="9" t="n">
        <x:v>2136000</x:v>
      </x:c>
      <x:c r="F7175" s="9" t="n">
        <x:v>2136000</x:v>
      </x:c>
    </x:row>
    <x:row r="7176" ht="34" customHeight="1">
      <x:c r="A7176" s="4" t="str">
        <x:v>RS-03572-I3</x:v>
      </x:c>
      <x:c r="B7176" s="4" t="str">
        <x:v>RS-03572</x:v>
      </x:c>
      <x:c r="C7176" s="9" t="n">
        <x:v>3</x:v>
      </x:c>
      <x:c r="D7176" s="8" t="n">
        <x:v>45580</x:v>
      </x:c>
      <x:c r="E7176" s="9" t="n">
        <x:v>2136000</x:v>
      </x:c>
      <x:c r="F7176" s="9" t="n">
        <x:v>0</x:v>
      </x:c>
    </x:row>
    <x:row r="7177" ht="34" customHeight="1">
      <x:c r="A7177" s="4" t="str">
        <x:v>RS-03572-I4</x:v>
      </x:c>
      <x:c r="B7177" s="4" t="str">
        <x:v>RS-03572</x:v>
      </x:c>
      <x:c r="C7177" s="9" t="n">
        <x:v>4</x:v>
      </x:c>
      <x:c r="D7177" s="8" t="n">
        <x:v>45610</x:v>
      </x:c>
      <x:c r="E7177" s="9" t="n">
        <x:v>2136000</x:v>
      </x:c>
      <x:c r="F7177" s="9" t="n">
        <x:v>0</x:v>
      </x:c>
    </x:row>
    <x:row r="7178" ht="34" customHeight="1">
      <x:c r="A7178" s="4" t="str">
        <x:v>RS-03573-I1</x:v>
      </x:c>
      <x:c r="B7178" s="4" t="str">
        <x:v>RS-03573</x:v>
      </x:c>
      <x:c r="C7178" s="9" t="n">
        <x:v>1</x:v>
      </x:c>
      <x:c r="D7178" s="8" t="n">
        <x:v>45521</x:v>
      </x:c>
      <x:c r="E7178" s="9" t="n">
        <x:v>2254000</x:v>
      </x:c>
      <x:c r="F7178" s="9" t="n">
        <x:v>901600</x:v>
      </x:c>
    </x:row>
    <x:row r="7179" ht="34" customHeight="1">
      <x:c r="A7179" s="4" t="str">
        <x:v>RS-03573-I2</x:v>
      </x:c>
      <x:c r="B7179" s="4" t="str">
        <x:v>RS-03573</x:v>
      </x:c>
      <x:c r="C7179" s="9" t="n">
        <x:v>2</x:v>
      </x:c>
      <x:c r="D7179" s="8" t="n">
        <x:v>45551</x:v>
      </x:c>
      <x:c r="E7179" s="9" t="n">
        <x:v>2254000</x:v>
      </x:c>
      <x:c r="F7179" s="9" t="n">
        <x:v>0</x:v>
      </x:c>
    </x:row>
    <x:row r="7180" ht="34" customHeight="1">
      <x:c r="A7180" s="4" t="str">
        <x:v>RS-03573-I3</x:v>
      </x:c>
      <x:c r="B7180" s="4" t="str">
        <x:v>RS-03573</x:v>
      </x:c>
      <x:c r="C7180" s="9" t="n">
        <x:v>3</x:v>
      </x:c>
      <x:c r="D7180" s="8" t="n">
        <x:v>45581</x:v>
      </x:c>
      <x:c r="E7180" s="9" t="n">
        <x:v>2254000</x:v>
      </x:c>
      <x:c r="F7180" s="9" t="n">
        <x:v>0</x:v>
      </x:c>
    </x:row>
    <x:row r="7181" ht="34" customHeight="1">
      <x:c r="A7181" s="4" t="str">
        <x:v>RS-03573-I4</x:v>
      </x:c>
      <x:c r="B7181" s="4" t="str">
        <x:v>RS-03573</x:v>
      </x:c>
      <x:c r="C7181" s="9" t="n">
        <x:v>4</x:v>
      </x:c>
      <x:c r="D7181" s="8" t="n">
        <x:v>45611</x:v>
      </x:c>
      <x:c r="E7181" s="9" t="n">
        <x:v>2254000</x:v>
      </x:c>
      <x:c r="F7181" s="9" t="n">
        <x:v>0</x:v>
      </x:c>
    </x:row>
    <x:row r="7182" ht="34" customHeight="1">
      <x:c r="A7182" s="4" t="str">
        <x:v>RS-03574-I1</x:v>
      </x:c>
      <x:c r="B7182" s="4" t="str">
        <x:v>RS-03574</x:v>
      </x:c>
      <x:c r="C7182" s="9" t="n">
        <x:v>1</x:v>
      </x:c>
      <x:c r="D7182" s="8" t="n">
        <x:v>45522</x:v>
      </x:c>
      <x:c r="E7182" s="9" t="n">
        <x:v>3749000</x:v>
      </x:c>
      <x:c r="F7182" s="9" t="n">
        <x:v>1499600</x:v>
      </x:c>
    </x:row>
    <x:row r="7183" ht="34" customHeight="1">
      <x:c r="A7183" s="4" t="str">
        <x:v>RS-03574-I2</x:v>
      </x:c>
      <x:c r="B7183" s="4" t="str">
        <x:v>RS-03574</x:v>
      </x:c>
      <x:c r="C7183" s="9" t="n">
        <x:v>2</x:v>
      </x:c>
      <x:c r="D7183" s="8" t="n">
        <x:v>45552</x:v>
      </x:c>
      <x:c r="E7183" s="9" t="n">
        <x:v>3749000</x:v>
      </x:c>
      <x:c r="F7183" s="9" t="n">
        <x:v>0</x:v>
      </x:c>
    </x:row>
    <x:row r="7184" ht="34" customHeight="1">
      <x:c r="A7184" s="4" t="str">
        <x:v>RS-03574-I3</x:v>
      </x:c>
      <x:c r="B7184" s="4" t="str">
        <x:v>RS-03574</x:v>
      </x:c>
      <x:c r="C7184" s="9" t="n">
        <x:v>3</x:v>
      </x:c>
      <x:c r="D7184" s="8" t="n">
        <x:v>45582</x:v>
      </x:c>
      <x:c r="E7184" s="9" t="n">
        <x:v>3749000</x:v>
      </x:c>
      <x:c r="F7184" s="9" t="n">
        <x:v>0</x:v>
      </x:c>
    </x:row>
    <x:row r="7185" ht="34" customHeight="1">
      <x:c r="A7185" s="4" t="str">
        <x:v>RS-03574-I4</x:v>
      </x:c>
      <x:c r="B7185" s="4" t="str">
        <x:v>RS-03574</x:v>
      </x:c>
      <x:c r="C7185" s="9" t="n">
        <x:v>4</x:v>
      </x:c>
      <x:c r="D7185" s="8" t="n">
        <x:v>45612</x:v>
      </x:c>
      <x:c r="E7185" s="9" t="n">
        <x:v>3749000</x:v>
      </x:c>
      <x:c r="F7185" s="9" t="n">
        <x:v>0</x:v>
      </x:c>
    </x:row>
    <x:row r="7186" ht="34" customHeight="1">
      <x:c r="A7186" s="4" t="str">
        <x:v>RS-03575-I1</x:v>
      </x:c>
      <x:c r="B7186" s="4" t="str">
        <x:v>RS-03575</x:v>
      </x:c>
      <x:c r="C7186" s="9" t="n">
        <x:v>1</x:v>
      </x:c>
      <x:c r="D7186" s="8" t="n">
        <x:v>45523</x:v>
      </x:c>
      <x:c r="E7186" s="9" t="n">
        <x:v>2269500</x:v>
      </x:c>
      <x:c r="F7186" s="9" t="n">
        <x:v>2269500</x:v>
      </x:c>
    </x:row>
    <x:row r="7187" ht="34" customHeight="1">
      <x:c r="A7187" s="4" t="str">
        <x:v>RS-03575-I2</x:v>
      </x:c>
      <x:c r="B7187" s="4" t="str">
        <x:v>RS-03575</x:v>
      </x:c>
      <x:c r="C7187" s="9" t="n">
        <x:v>2</x:v>
      </x:c>
      <x:c r="D7187" s="8" t="n">
        <x:v>45553</x:v>
      </x:c>
      <x:c r="E7187" s="9" t="n">
        <x:v>2269500</x:v>
      </x:c>
      <x:c r="F7187" s="9" t="n">
        <x:v>2269500</x:v>
      </x:c>
    </x:row>
    <x:row r="7188" ht="34" customHeight="1">
      <x:c r="A7188" s="4" t="str">
        <x:v>RS-03575-I3</x:v>
      </x:c>
      <x:c r="B7188" s="4" t="str">
        <x:v>RS-03575</x:v>
      </x:c>
      <x:c r="C7188" s="9" t="n">
        <x:v>3</x:v>
      </x:c>
      <x:c r="D7188" s="8" t="n">
        <x:v>45583</x:v>
      </x:c>
      <x:c r="E7188" s="9" t="n">
        <x:v>2269500</x:v>
      </x:c>
      <x:c r="F7188" s="9" t="n">
        <x:v>2269500</x:v>
      </x:c>
    </x:row>
    <x:row r="7189" ht="34" customHeight="1">
      <x:c r="A7189" s="4" t="str">
        <x:v>RS-03575-I4</x:v>
      </x:c>
      <x:c r="B7189" s="4" t="str">
        <x:v>RS-03575</x:v>
      </x:c>
      <x:c r="C7189" s="9" t="n">
        <x:v>4</x:v>
      </x:c>
      <x:c r="D7189" s="8" t="n">
        <x:v>45613</x:v>
      </x:c>
      <x:c r="E7189" s="9" t="n">
        <x:v>2269500</x:v>
      </x:c>
      <x:c r="F7189" s="9" t="n">
        <x:v>2269500</x:v>
      </x:c>
    </x:row>
    <x:row r="7190" ht="34" customHeight="1">
      <x:c r="A7190" s="4" t="str">
        <x:v>RS-03578-I1</x:v>
      </x:c>
      <x:c r="B7190" s="4" t="str">
        <x:v>RS-03578</x:v>
      </x:c>
      <x:c r="C7190" s="9" t="n">
        <x:v>1</x:v>
      </x:c>
      <x:c r="D7190" s="8" t="n">
        <x:v>45526</x:v>
      </x:c>
      <x:c r="E7190" s="9" t="n">
        <x:v>2479750</x:v>
      </x:c>
      <x:c r="F7190" s="9" t="n">
        <x:v>2479750</x:v>
      </x:c>
    </x:row>
    <x:row r="7191" ht="34" customHeight="1">
      <x:c r="A7191" s="4" t="str">
        <x:v>RS-03578-I2</x:v>
      </x:c>
      <x:c r="B7191" s="4" t="str">
        <x:v>RS-03578</x:v>
      </x:c>
      <x:c r="C7191" s="9" t="n">
        <x:v>2</x:v>
      </x:c>
      <x:c r="D7191" s="8" t="n">
        <x:v>45556</x:v>
      </x:c>
      <x:c r="E7191" s="9" t="n">
        <x:v>2479750</x:v>
      </x:c>
      <x:c r="F7191" s="9" t="n">
        <x:v>2479750</x:v>
      </x:c>
    </x:row>
    <x:row r="7192" ht="34" customHeight="1">
      <x:c r="A7192" s="4" t="str">
        <x:v>RS-03578-I3</x:v>
      </x:c>
      <x:c r="B7192" s="4" t="str">
        <x:v>RS-03578</x:v>
      </x:c>
      <x:c r="C7192" s="9" t="n">
        <x:v>3</x:v>
      </x:c>
      <x:c r="D7192" s="8" t="n">
        <x:v>45586</x:v>
      </x:c>
      <x:c r="E7192" s="9" t="n">
        <x:v>2479750</x:v>
      </x:c>
      <x:c r="F7192" s="9" t="n">
        <x:v>2479750</x:v>
      </x:c>
    </x:row>
    <x:row r="7193" ht="34" customHeight="1">
      <x:c r="A7193" s="4" t="str">
        <x:v>RS-03578-I4</x:v>
      </x:c>
      <x:c r="B7193" s="4" t="str">
        <x:v>RS-03578</x:v>
      </x:c>
      <x:c r="C7193" s="9" t="n">
        <x:v>4</x:v>
      </x:c>
      <x:c r="D7193" s="8" t="n">
        <x:v>45616</x:v>
      </x:c>
      <x:c r="E7193" s="9" t="n">
        <x:v>2479750</x:v>
      </x:c>
      <x:c r="F7193" s="9" t="n">
        <x:v>2479750</x:v>
      </x:c>
    </x:row>
    <x:row r="7194" ht="34" customHeight="1">
      <x:c r="A7194" s="4" t="str">
        <x:v>RS-03579-I1</x:v>
      </x:c>
      <x:c r="B7194" s="4" t="str">
        <x:v>RS-03579</x:v>
      </x:c>
      <x:c r="C7194" s="9" t="n">
        <x:v>1</x:v>
      </x:c>
      <x:c r="D7194" s="8" t="n">
        <x:v>45527</x:v>
      </x:c>
      <x:c r="E7194" s="9" t="n">
        <x:v>4629500</x:v>
      </x:c>
      <x:c r="F7194" s="9" t="n">
        <x:v>4629500</x:v>
      </x:c>
    </x:row>
    <x:row r="7195" ht="34" customHeight="1">
      <x:c r="A7195" s="4" t="str">
        <x:v>RS-03579-I2</x:v>
      </x:c>
      <x:c r="B7195" s="4" t="str">
        <x:v>RS-03579</x:v>
      </x:c>
      <x:c r="C7195" s="9" t="n">
        <x:v>2</x:v>
      </x:c>
      <x:c r="D7195" s="8" t="n">
        <x:v>45557</x:v>
      </x:c>
      <x:c r="E7195" s="9" t="n">
        <x:v>4629500</x:v>
      </x:c>
      <x:c r="F7195" s="9" t="n">
        <x:v>4629500</x:v>
      </x:c>
    </x:row>
    <x:row r="7196" ht="34" customHeight="1">
      <x:c r="A7196" s="4" t="str">
        <x:v>RS-03579-I3</x:v>
      </x:c>
      <x:c r="B7196" s="4" t="str">
        <x:v>RS-03579</x:v>
      </x:c>
      <x:c r="C7196" s="9" t="n">
        <x:v>3</x:v>
      </x:c>
      <x:c r="D7196" s="8" t="n">
        <x:v>45587</x:v>
      </x:c>
      <x:c r="E7196" s="9" t="n">
        <x:v>4629500</x:v>
      </x:c>
      <x:c r="F7196" s="9" t="n">
        <x:v>4629500</x:v>
      </x:c>
    </x:row>
    <x:row r="7197" ht="34" customHeight="1">
      <x:c r="A7197" s="4" t="str">
        <x:v>RS-03579-I4</x:v>
      </x:c>
      <x:c r="B7197" s="4" t="str">
        <x:v>RS-03579</x:v>
      </x:c>
      <x:c r="C7197" s="9" t="n">
        <x:v>4</x:v>
      </x:c>
      <x:c r="D7197" s="8" t="n">
        <x:v>45617</x:v>
      </x:c>
      <x:c r="E7197" s="9" t="n">
        <x:v>4629500</x:v>
      </x:c>
      <x:c r="F7197" s="9" t="n">
        <x:v>4629500</x:v>
      </x:c>
    </x:row>
    <x:row r="7198" ht="34" customHeight="1">
      <x:c r="A7198" s="4" t="str">
        <x:v>RS-03582-I1</x:v>
      </x:c>
      <x:c r="B7198" s="4" t="str">
        <x:v>RS-03582</x:v>
      </x:c>
      <x:c r="C7198" s="9" t="n">
        <x:v>1</x:v>
      </x:c>
      <x:c r="D7198" s="8" t="n">
        <x:v>45530</x:v>
      </x:c>
      <x:c r="E7198" s="9" t="n">
        <x:v>4876000</x:v>
      </x:c>
      <x:c r="F7198" s="9" t="n">
        <x:v>4876000</x:v>
      </x:c>
    </x:row>
    <x:row r="7199" ht="34" customHeight="1">
      <x:c r="A7199" s="4" t="str">
        <x:v>RS-03582-I2</x:v>
      </x:c>
      <x:c r="B7199" s="4" t="str">
        <x:v>RS-03582</x:v>
      </x:c>
      <x:c r="C7199" s="9" t="n">
        <x:v>2</x:v>
      </x:c>
      <x:c r="D7199" s="8" t="n">
        <x:v>45560</x:v>
      </x:c>
      <x:c r="E7199" s="9" t="n">
        <x:v>4876000</x:v>
      </x:c>
      <x:c r="F7199" s="9" t="n">
        <x:v>0</x:v>
      </x:c>
    </x:row>
    <x:row r="7200" ht="34" customHeight="1">
      <x:c r="A7200" s="4" t="str">
        <x:v>RS-03582-I3</x:v>
      </x:c>
      <x:c r="B7200" s="4" t="str">
        <x:v>RS-03582</x:v>
      </x:c>
      <x:c r="C7200" s="9" t="n">
        <x:v>3</x:v>
      </x:c>
      <x:c r="D7200" s="8" t="n">
        <x:v>45590</x:v>
      </x:c>
      <x:c r="E7200" s="9" t="n">
        <x:v>4876000</x:v>
      </x:c>
      <x:c r="F7200" s="9" t="n">
        <x:v>0</x:v>
      </x:c>
    </x:row>
    <x:row r="7201" ht="34" customHeight="1">
      <x:c r="A7201" s="4" t="str">
        <x:v>RS-03582-I4</x:v>
      </x:c>
      <x:c r="B7201" s="4" t="str">
        <x:v>RS-03582</x:v>
      </x:c>
      <x:c r="C7201" s="9" t="n">
        <x:v>4</x:v>
      </x:c>
      <x:c r="D7201" s="8" t="n">
        <x:v>45620</x:v>
      </x:c>
      <x:c r="E7201" s="9" t="n">
        <x:v>4876000</x:v>
      </x:c>
      <x:c r="F7201" s="9" t="n">
        <x:v>0</x:v>
      </x:c>
    </x:row>
    <x:row r="7202" ht="34" customHeight="1">
      <x:c r="A7202" s="4" t="str">
        <x:v>RS-03583-I1</x:v>
      </x:c>
      <x:c r="B7202" s="4" t="str">
        <x:v>RS-03583</x:v>
      </x:c>
      <x:c r="C7202" s="9" t="n">
        <x:v>1</x:v>
      </x:c>
      <x:c r="D7202" s="8" t="n">
        <x:v>45531</x:v>
      </x:c>
      <x:c r="E7202" s="9" t="n">
        <x:v>3700000</x:v>
      </x:c>
      <x:c r="F7202" s="9" t="n">
        <x:v>3700000</x:v>
      </x:c>
    </x:row>
    <x:row r="7203" ht="34" customHeight="1">
      <x:c r="A7203" s="4" t="str">
        <x:v>RS-03583-I2</x:v>
      </x:c>
      <x:c r="B7203" s="4" t="str">
        <x:v>RS-03583</x:v>
      </x:c>
      <x:c r="C7203" s="9" t="n">
        <x:v>2</x:v>
      </x:c>
      <x:c r="D7203" s="8" t="n">
        <x:v>45561</x:v>
      </x:c>
      <x:c r="E7203" s="9" t="n">
        <x:v>3700000</x:v>
      </x:c>
      <x:c r="F7203" s="9" t="n">
        <x:v>3700000</x:v>
      </x:c>
    </x:row>
    <x:row r="7204" ht="34" customHeight="1">
      <x:c r="A7204" s="4" t="str">
        <x:v>RS-03583-I3</x:v>
      </x:c>
      <x:c r="B7204" s="4" t="str">
        <x:v>RS-03583</x:v>
      </x:c>
      <x:c r="C7204" s="9" t="n">
        <x:v>3</x:v>
      </x:c>
      <x:c r="D7204" s="8" t="n">
        <x:v>45591</x:v>
      </x:c>
      <x:c r="E7204" s="9" t="n">
        <x:v>3700000</x:v>
      </x:c>
      <x:c r="F7204" s="9" t="n">
        <x:v>0</x:v>
      </x:c>
    </x:row>
    <x:row r="7205" ht="34" customHeight="1">
      <x:c r="A7205" s="4" t="str">
        <x:v>RS-03583-I4</x:v>
      </x:c>
      <x:c r="B7205" s="4" t="str">
        <x:v>RS-03583</x:v>
      </x:c>
      <x:c r="C7205" s="9" t="n">
        <x:v>4</x:v>
      </x:c>
      <x:c r="D7205" s="8" t="n">
        <x:v>45621</x:v>
      </x:c>
      <x:c r="E7205" s="9" t="n">
        <x:v>3700000</x:v>
      </x:c>
      <x:c r="F7205" s="9" t="n">
        <x:v>0</x:v>
      </x:c>
    </x:row>
    <x:row r="7206" ht="34" customHeight="1">
      <x:c r="A7206" s="4" t="str">
        <x:v>RS-03585-I1</x:v>
      </x:c>
      <x:c r="B7206" s="4" t="str">
        <x:v>RS-03585</x:v>
      </x:c>
      <x:c r="C7206" s="9" t="n">
        <x:v>1</x:v>
      </x:c>
      <x:c r="D7206" s="8" t="n">
        <x:v>45505</x:v>
      </x:c>
      <x:c r="E7206" s="9" t="n">
        <x:v>4189500</x:v>
      </x:c>
      <x:c r="F7206" s="9" t="n">
        <x:v>4189500</x:v>
      </x:c>
    </x:row>
    <x:row r="7207" ht="34" customHeight="1">
      <x:c r="A7207" s="4" t="str">
        <x:v>RS-03585-I2</x:v>
      </x:c>
      <x:c r="B7207" s="4" t="str">
        <x:v>RS-03585</x:v>
      </x:c>
      <x:c r="C7207" s="9" t="n">
        <x:v>2</x:v>
      </x:c>
      <x:c r="D7207" s="8" t="n">
        <x:v>45535</x:v>
      </x:c>
      <x:c r="E7207" s="9" t="n">
        <x:v>4189500</x:v>
      </x:c>
      <x:c r="F7207" s="9" t="n">
        <x:v>4189500</x:v>
      </x:c>
    </x:row>
    <x:row r="7208" ht="34" customHeight="1">
      <x:c r="A7208" s="4" t="str">
        <x:v>RS-03585-I3</x:v>
      </x:c>
      <x:c r="B7208" s="4" t="str">
        <x:v>RS-03585</x:v>
      </x:c>
      <x:c r="C7208" s="9" t="n">
        <x:v>3</x:v>
      </x:c>
      <x:c r="D7208" s="8" t="n">
        <x:v>45565</x:v>
      </x:c>
      <x:c r="E7208" s="9" t="n">
        <x:v>4189500</x:v>
      </x:c>
      <x:c r="F7208" s="9" t="n">
        <x:v>4189500</x:v>
      </x:c>
    </x:row>
    <x:row r="7209" ht="34" customHeight="1">
      <x:c r="A7209" s="4" t="str">
        <x:v>RS-03585-I4</x:v>
      </x:c>
      <x:c r="B7209" s="4" t="str">
        <x:v>RS-03585</x:v>
      </x:c>
      <x:c r="C7209" s="9" t="n">
        <x:v>4</x:v>
      </x:c>
      <x:c r="D7209" s="8" t="n">
        <x:v>45595</x:v>
      </x:c>
      <x:c r="E7209" s="9" t="n">
        <x:v>4189500</x:v>
      </x:c>
      <x:c r="F7209" s="9" t="n">
        <x:v>4189500</x:v>
      </x:c>
    </x:row>
    <x:row r="7210" ht="34" customHeight="1">
      <x:c r="A7210" s="4" t="str">
        <x:v>RS-03586-I1</x:v>
      </x:c>
      <x:c r="B7210" s="4" t="str">
        <x:v>RS-03586</x:v>
      </x:c>
      <x:c r="C7210" s="9" t="n">
        <x:v>1</x:v>
      </x:c>
      <x:c r="D7210" s="8" t="n">
        <x:v>45506</x:v>
      </x:c>
      <x:c r="E7210" s="9" t="n">
        <x:v>4845000</x:v>
      </x:c>
      <x:c r="F7210" s="9" t="n">
        <x:v>1938000</x:v>
      </x:c>
    </x:row>
    <x:row r="7211" ht="34" customHeight="1">
      <x:c r="A7211" s="4" t="str">
        <x:v>RS-03586-I2</x:v>
      </x:c>
      <x:c r="B7211" s="4" t="str">
        <x:v>RS-03586</x:v>
      </x:c>
      <x:c r="C7211" s="9" t="n">
        <x:v>2</x:v>
      </x:c>
      <x:c r="D7211" s="8" t="n">
        <x:v>45536</x:v>
      </x:c>
      <x:c r="E7211" s="9" t="n">
        <x:v>4845000</x:v>
      </x:c>
      <x:c r="F7211" s="9" t="n">
        <x:v>0</x:v>
      </x:c>
    </x:row>
    <x:row r="7212" ht="34" customHeight="1">
      <x:c r="A7212" s="4" t="str">
        <x:v>RS-03586-I3</x:v>
      </x:c>
      <x:c r="B7212" s="4" t="str">
        <x:v>RS-03586</x:v>
      </x:c>
      <x:c r="C7212" s="9" t="n">
        <x:v>3</x:v>
      </x:c>
      <x:c r="D7212" s="8" t="n">
        <x:v>45566</x:v>
      </x:c>
      <x:c r="E7212" s="9" t="n">
        <x:v>4845000</x:v>
      </x:c>
      <x:c r="F7212" s="9" t="n">
        <x:v>0</x:v>
      </x:c>
    </x:row>
    <x:row r="7213" ht="34" customHeight="1">
      <x:c r="A7213" s="4" t="str">
        <x:v>RS-03586-I4</x:v>
      </x:c>
      <x:c r="B7213" s="4" t="str">
        <x:v>RS-03586</x:v>
      </x:c>
      <x:c r="C7213" s="9" t="n">
        <x:v>4</x:v>
      </x:c>
      <x:c r="D7213" s="8" t="n">
        <x:v>45596</x:v>
      </x:c>
      <x:c r="E7213" s="9" t="n">
        <x:v>4845000</x:v>
      </x:c>
      <x:c r="F7213" s="9" t="n">
        <x:v>0</x:v>
      </x:c>
    </x:row>
    <x:row r="7214" ht="34" customHeight="1">
      <x:c r="A7214" s="4" t="str">
        <x:v>RS-03587-I1</x:v>
      </x:c>
      <x:c r="B7214" s="4" t="str">
        <x:v>RS-03587</x:v>
      </x:c>
      <x:c r="C7214" s="9" t="n">
        <x:v>1</x:v>
      </x:c>
      <x:c r="D7214" s="8" t="n">
        <x:v>45507</x:v>
      </x:c>
      <x:c r="E7214" s="9" t="n">
        <x:v>1559250</x:v>
      </x:c>
      <x:c r="F7214" s="9" t="n">
        <x:v>1559250</x:v>
      </x:c>
    </x:row>
    <x:row r="7215" ht="34" customHeight="1">
      <x:c r="A7215" s="4" t="str">
        <x:v>RS-03587-I2</x:v>
      </x:c>
      <x:c r="B7215" s="4" t="str">
        <x:v>RS-03587</x:v>
      </x:c>
      <x:c r="C7215" s="9" t="n">
        <x:v>2</x:v>
      </x:c>
      <x:c r="D7215" s="8" t="n">
        <x:v>45537</x:v>
      </x:c>
      <x:c r="E7215" s="9" t="n">
        <x:v>1559250</x:v>
      </x:c>
      <x:c r="F7215" s="9" t="n">
        <x:v>1559250</x:v>
      </x:c>
    </x:row>
    <x:row r="7216" ht="34" customHeight="1">
      <x:c r="A7216" s="4" t="str">
        <x:v>RS-03587-I3</x:v>
      </x:c>
      <x:c r="B7216" s="4" t="str">
        <x:v>RS-03587</x:v>
      </x:c>
      <x:c r="C7216" s="9" t="n">
        <x:v>3</x:v>
      </x:c>
      <x:c r="D7216" s="8" t="n">
        <x:v>45567</x:v>
      </x:c>
      <x:c r="E7216" s="9" t="n">
        <x:v>1559250</x:v>
      </x:c>
      <x:c r="F7216" s="9" t="n">
        <x:v>0</x:v>
      </x:c>
    </x:row>
    <x:row r="7217" ht="34" customHeight="1">
      <x:c r="A7217" s="4" t="str">
        <x:v>RS-03587-I4</x:v>
      </x:c>
      <x:c r="B7217" s="4" t="str">
        <x:v>RS-03587</x:v>
      </x:c>
      <x:c r="C7217" s="9" t="n">
        <x:v>4</x:v>
      </x:c>
      <x:c r="D7217" s="8" t="n">
        <x:v>45597</x:v>
      </x:c>
      <x:c r="E7217" s="9" t="n">
        <x:v>1559250</x:v>
      </x:c>
      <x:c r="F7217" s="9" t="n">
        <x:v>0</x:v>
      </x:c>
    </x:row>
    <x:row r="7218" ht="34" customHeight="1">
      <x:c r="A7218" s="4" t="str">
        <x:v>RS-03588-I1</x:v>
      </x:c>
      <x:c r="B7218" s="4" t="str">
        <x:v>RS-03588</x:v>
      </x:c>
      <x:c r="C7218" s="9" t="n">
        <x:v>1</x:v>
      </x:c>
      <x:c r="D7218" s="8" t="n">
        <x:v>45508</x:v>
      </x:c>
      <x:c r="E7218" s="9" t="n">
        <x:v>1755000</x:v>
      </x:c>
      <x:c r="F7218" s="9" t="n">
        <x:v>1755000</x:v>
      </x:c>
    </x:row>
    <x:row r="7219" ht="34" customHeight="1">
      <x:c r="A7219" s="4" t="str">
        <x:v>RS-03588-I2</x:v>
      </x:c>
      <x:c r="B7219" s="4" t="str">
        <x:v>RS-03588</x:v>
      </x:c>
      <x:c r="C7219" s="9" t="n">
        <x:v>2</x:v>
      </x:c>
      <x:c r="D7219" s="8" t="n">
        <x:v>45538</x:v>
      </x:c>
      <x:c r="E7219" s="9" t="n">
        <x:v>1755000</x:v>
      </x:c>
      <x:c r="F7219" s="9" t="n">
        <x:v>0</x:v>
      </x:c>
    </x:row>
    <x:row r="7220" ht="34" customHeight="1">
      <x:c r="A7220" s="4" t="str">
        <x:v>RS-03588-I3</x:v>
      </x:c>
      <x:c r="B7220" s="4" t="str">
        <x:v>RS-03588</x:v>
      </x:c>
      <x:c r="C7220" s="9" t="n">
        <x:v>3</x:v>
      </x:c>
      <x:c r="D7220" s="8" t="n">
        <x:v>45568</x:v>
      </x:c>
      <x:c r="E7220" s="9" t="n">
        <x:v>1755000</x:v>
      </x:c>
      <x:c r="F7220" s="9" t="n">
        <x:v>0</x:v>
      </x:c>
    </x:row>
    <x:row r="7221" ht="34" customHeight="1">
      <x:c r="A7221" s="4" t="str">
        <x:v>RS-03588-I4</x:v>
      </x:c>
      <x:c r="B7221" s="4" t="str">
        <x:v>RS-03588</x:v>
      </x:c>
      <x:c r="C7221" s="9" t="n">
        <x:v>4</x:v>
      </x:c>
      <x:c r="D7221" s="8" t="n">
        <x:v>45598</x:v>
      </x:c>
      <x:c r="E7221" s="9" t="n">
        <x:v>1755000</x:v>
      </x:c>
      <x:c r="F7221" s="9" t="n">
        <x:v>0</x:v>
      </x:c>
    </x:row>
    <x:row r="7222" ht="34" customHeight="1">
      <x:c r="A7222" s="4" t="str">
        <x:v>RS-03590-I1</x:v>
      </x:c>
      <x:c r="B7222" s="4" t="str">
        <x:v>RS-03590</x:v>
      </x:c>
      <x:c r="C7222" s="9" t="n">
        <x:v>1</x:v>
      </x:c>
      <x:c r="D7222" s="8" t="n">
        <x:v>45510</x:v>
      </x:c>
      <x:c r="E7222" s="9" t="n">
        <x:v>4389250</x:v>
      </x:c>
      <x:c r="F7222" s="9" t="n">
        <x:v>4389250</x:v>
      </x:c>
    </x:row>
    <x:row r="7223" ht="34" customHeight="1">
      <x:c r="A7223" s="4" t="str">
        <x:v>RS-03590-I2</x:v>
      </x:c>
      <x:c r="B7223" s="4" t="str">
        <x:v>RS-03590</x:v>
      </x:c>
      <x:c r="C7223" s="9" t="n">
        <x:v>2</x:v>
      </x:c>
      <x:c r="D7223" s="8" t="n">
        <x:v>45540</x:v>
      </x:c>
      <x:c r="E7223" s="9" t="n">
        <x:v>4389250</x:v>
      </x:c>
      <x:c r="F7223" s="9" t="n">
        <x:v>4389250</x:v>
      </x:c>
    </x:row>
    <x:row r="7224" ht="34" customHeight="1">
      <x:c r="A7224" s="4" t="str">
        <x:v>RS-03590-I3</x:v>
      </x:c>
      <x:c r="B7224" s="4" t="str">
        <x:v>RS-03590</x:v>
      </x:c>
      <x:c r="C7224" s="9" t="n">
        <x:v>3</x:v>
      </x:c>
      <x:c r="D7224" s="8" t="n">
        <x:v>45570</x:v>
      </x:c>
      <x:c r="E7224" s="9" t="n">
        <x:v>4389250</x:v>
      </x:c>
      <x:c r="F7224" s="9" t="n">
        <x:v>4389250</x:v>
      </x:c>
    </x:row>
    <x:row r="7225" ht="34" customHeight="1">
      <x:c r="A7225" s="4" t="str">
        <x:v>RS-03590-I4</x:v>
      </x:c>
      <x:c r="B7225" s="4" t="str">
        <x:v>RS-03590</x:v>
      </x:c>
      <x:c r="C7225" s="9" t="n">
        <x:v>4</x:v>
      </x:c>
      <x:c r="D7225" s="8" t="n">
        <x:v>45600</x:v>
      </x:c>
      <x:c r="E7225" s="9" t="n">
        <x:v>4389250</x:v>
      </x:c>
      <x:c r="F7225" s="9" t="n">
        <x:v>4389250</x:v>
      </x:c>
    </x:row>
    <x:row r="7226" ht="34" customHeight="1">
      <x:c r="A7226" s="4" t="str">
        <x:v>RS-03593-I1</x:v>
      </x:c>
      <x:c r="B7226" s="4" t="str">
        <x:v>RS-03593</x:v>
      </x:c>
      <x:c r="C7226" s="9" t="n">
        <x:v>1</x:v>
      </x:c>
      <x:c r="D7226" s="8" t="n">
        <x:v>45513</x:v>
      </x:c>
      <x:c r="E7226" s="9" t="n">
        <x:v>5573750</x:v>
      </x:c>
      <x:c r="F7226" s="9" t="n">
        <x:v>5573750</x:v>
      </x:c>
    </x:row>
    <x:row r="7227" ht="34" customHeight="1">
      <x:c r="A7227" s="4" t="str">
        <x:v>RS-03593-I2</x:v>
      </x:c>
      <x:c r="B7227" s="4" t="str">
        <x:v>RS-03593</x:v>
      </x:c>
      <x:c r="C7227" s="9" t="n">
        <x:v>2</x:v>
      </x:c>
      <x:c r="D7227" s="8" t="n">
        <x:v>45543</x:v>
      </x:c>
      <x:c r="E7227" s="9" t="n">
        <x:v>5573750</x:v>
      </x:c>
      <x:c r="F7227" s="9" t="n">
        <x:v>0</x:v>
      </x:c>
    </x:row>
    <x:row r="7228" ht="34" customHeight="1">
      <x:c r="A7228" s="4" t="str">
        <x:v>RS-03593-I3</x:v>
      </x:c>
      <x:c r="B7228" s="4" t="str">
        <x:v>RS-03593</x:v>
      </x:c>
      <x:c r="C7228" s="9" t="n">
        <x:v>3</x:v>
      </x:c>
      <x:c r="D7228" s="8" t="n">
        <x:v>45573</x:v>
      </x:c>
      <x:c r="E7228" s="9" t="n">
        <x:v>5573750</x:v>
      </x:c>
      <x:c r="F7228" s="9" t="n">
        <x:v>0</x:v>
      </x:c>
    </x:row>
    <x:row r="7229" ht="34" customHeight="1">
      <x:c r="A7229" s="4" t="str">
        <x:v>RS-03593-I4</x:v>
      </x:c>
      <x:c r="B7229" s="4" t="str">
        <x:v>RS-03593</x:v>
      </x:c>
      <x:c r="C7229" s="9" t="n">
        <x:v>4</x:v>
      </x:c>
      <x:c r="D7229" s="8" t="n">
        <x:v>45603</x:v>
      </x:c>
      <x:c r="E7229" s="9" t="n">
        <x:v>5573750</x:v>
      </x:c>
      <x:c r="F7229" s="9" t="n">
        <x:v>0</x:v>
      </x:c>
    </x:row>
    <x:row r="7230" ht="34" customHeight="1">
      <x:c r="A7230" s="4" t="str">
        <x:v>RS-03594-I1</x:v>
      </x:c>
      <x:c r="B7230" s="4" t="str">
        <x:v>RS-03594</x:v>
      </x:c>
      <x:c r="C7230" s="9" t="n">
        <x:v>1</x:v>
      </x:c>
      <x:c r="D7230" s="8" t="n">
        <x:v>45514</x:v>
      </x:c>
      <x:c r="E7230" s="9" t="n">
        <x:v>1863000</x:v>
      </x:c>
      <x:c r="F7230" s="9" t="n">
        <x:v>745200</x:v>
      </x:c>
    </x:row>
    <x:row r="7231" ht="34" customHeight="1">
      <x:c r="A7231" s="4" t="str">
        <x:v>RS-03594-I2</x:v>
      </x:c>
      <x:c r="B7231" s="4" t="str">
        <x:v>RS-03594</x:v>
      </x:c>
      <x:c r="C7231" s="9" t="n">
        <x:v>2</x:v>
      </x:c>
      <x:c r="D7231" s="8" t="n">
        <x:v>45544</x:v>
      </x:c>
      <x:c r="E7231" s="9" t="n">
        <x:v>1863000</x:v>
      </x:c>
      <x:c r="F7231" s="9" t="n">
        <x:v>0</x:v>
      </x:c>
    </x:row>
    <x:row r="7232" ht="34" customHeight="1">
      <x:c r="A7232" s="4" t="str">
        <x:v>RS-03594-I3</x:v>
      </x:c>
      <x:c r="B7232" s="4" t="str">
        <x:v>RS-03594</x:v>
      </x:c>
      <x:c r="C7232" s="9" t="n">
        <x:v>3</x:v>
      </x:c>
      <x:c r="D7232" s="8" t="n">
        <x:v>45574</x:v>
      </x:c>
      <x:c r="E7232" s="9" t="n">
        <x:v>1863000</x:v>
      </x:c>
      <x:c r="F7232" s="9" t="n">
        <x:v>0</x:v>
      </x:c>
    </x:row>
    <x:row r="7233" ht="34" customHeight="1">
      <x:c r="A7233" s="4" t="str">
        <x:v>RS-03594-I4</x:v>
      </x:c>
      <x:c r="B7233" s="4" t="str">
        <x:v>RS-03594</x:v>
      </x:c>
      <x:c r="C7233" s="9" t="n">
        <x:v>4</x:v>
      </x:c>
      <x:c r="D7233" s="8" t="n">
        <x:v>45604</x:v>
      </x:c>
      <x:c r="E7233" s="9" t="n">
        <x:v>1863000</x:v>
      </x:c>
      <x:c r="F7233" s="9" t="n">
        <x:v>0</x:v>
      </x:c>
    </x:row>
    <x:row r="7234" ht="34" customHeight="1">
      <x:c r="A7234" s="4" t="str">
        <x:v>RS-03597-I1</x:v>
      </x:c>
      <x:c r="B7234" s="4" t="str">
        <x:v>RS-03597</x:v>
      </x:c>
      <x:c r="C7234" s="9" t="n">
        <x:v>1</x:v>
      </x:c>
      <x:c r="D7234" s="8" t="n">
        <x:v>45517</x:v>
      </x:c>
      <x:c r="E7234" s="9" t="n">
        <x:v>5698750</x:v>
      </x:c>
      <x:c r="F7234" s="9" t="n">
        <x:v>5698750</x:v>
      </x:c>
    </x:row>
    <x:row r="7235" ht="34" customHeight="1">
      <x:c r="A7235" s="4" t="str">
        <x:v>RS-03597-I2</x:v>
      </x:c>
      <x:c r="B7235" s="4" t="str">
        <x:v>RS-03597</x:v>
      </x:c>
      <x:c r="C7235" s="9" t="n">
        <x:v>2</x:v>
      </x:c>
      <x:c r="D7235" s="8" t="n">
        <x:v>45547</x:v>
      </x:c>
      <x:c r="E7235" s="9" t="n">
        <x:v>5698750</x:v>
      </x:c>
      <x:c r="F7235" s="9" t="n">
        <x:v>5698750</x:v>
      </x:c>
    </x:row>
    <x:row r="7236" ht="34" customHeight="1">
      <x:c r="A7236" s="4" t="str">
        <x:v>RS-03597-I3</x:v>
      </x:c>
      <x:c r="B7236" s="4" t="str">
        <x:v>RS-03597</x:v>
      </x:c>
      <x:c r="C7236" s="9" t="n">
        <x:v>3</x:v>
      </x:c>
      <x:c r="D7236" s="8" t="n">
        <x:v>45577</x:v>
      </x:c>
      <x:c r="E7236" s="9" t="n">
        <x:v>5698750</x:v>
      </x:c>
      <x:c r="F7236" s="9" t="n">
        <x:v>5698750</x:v>
      </x:c>
    </x:row>
    <x:row r="7237" ht="34" customHeight="1">
      <x:c r="A7237" s="4" t="str">
        <x:v>RS-03597-I4</x:v>
      </x:c>
      <x:c r="B7237" s="4" t="str">
        <x:v>RS-03597</x:v>
      </x:c>
      <x:c r="C7237" s="9" t="n">
        <x:v>4</x:v>
      </x:c>
      <x:c r="D7237" s="8" t="n">
        <x:v>45607</x:v>
      </x:c>
      <x:c r="E7237" s="9" t="n">
        <x:v>5698750</x:v>
      </x:c>
      <x:c r="F7237" s="9" t="n">
        <x:v>5698750</x:v>
      </x:c>
    </x:row>
    <x:row r="7238" ht="34" customHeight="1">
      <x:c r="A7238" s="4" t="str">
        <x:v>RS-03599-I1</x:v>
      </x:c>
      <x:c r="B7238" s="4" t="str">
        <x:v>RS-03599</x:v>
      </x:c>
      <x:c r="C7238" s="9" t="n">
        <x:v>1</x:v>
      </x:c>
      <x:c r="D7238" s="8" t="n">
        <x:v>45519</x:v>
      </x:c>
      <x:c r="E7238" s="9" t="n">
        <x:v>3780000</x:v>
      </x:c>
      <x:c r="F7238" s="9" t="n">
        <x:v>1512000</x:v>
      </x:c>
    </x:row>
    <x:row r="7239" ht="34" customHeight="1">
      <x:c r="A7239" s="4" t="str">
        <x:v>RS-03599-I2</x:v>
      </x:c>
      <x:c r="B7239" s="4" t="str">
        <x:v>RS-03599</x:v>
      </x:c>
      <x:c r="C7239" s="9" t="n">
        <x:v>2</x:v>
      </x:c>
      <x:c r="D7239" s="8" t="n">
        <x:v>45549</x:v>
      </x:c>
      <x:c r="E7239" s="9" t="n">
        <x:v>3780000</x:v>
      </x:c>
      <x:c r="F7239" s="9" t="n">
        <x:v>0</x:v>
      </x:c>
    </x:row>
    <x:row r="7240" ht="34" customHeight="1">
      <x:c r="A7240" s="4" t="str">
        <x:v>RS-03599-I3</x:v>
      </x:c>
      <x:c r="B7240" s="4" t="str">
        <x:v>RS-03599</x:v>
      </x:c>
      <x:c r="C7240" s="9" t="n">
        <x:v>3</x:v>
      </x:c>
      <x:c r="D7240" s="8" t="n">
        <x:v>45579</x:v>
      </x:c>
      <x:c r="E7240" s="9" t="n">
        <x:v>3780000</x:v>
      </x:c>
      <x:c r="F7240" s="9" t="n">
        <x:v>0</x:v>
      </x:c>
    </x:row>
    <x:row r="7241" ht="34" customHeight="1">
      <x:c r="A7241" s="4" t="str">
        <x:v>RS-03599-I4</x:v>
      </x:c>
      <x:c r="B7241" s="4" t="str">
        <x:v>RS-03599</x:v>
      </x:c>
      <x:c r="C7241" s="9" t="n">
        <x:v>4</x:v>
      </x:c>
      <x:c r="D7241" s="8" t="n">
        <x:v>45609</x:v>
      </x:c>
      <x:c r="E7241" s="9" t="n">
        <x:v>3780000</x:v>
      </x:c>
      <x:c r="F7241" s="9" t="n">
        <x:v>0</x:v>
      </x:c>
    </x:row>
    <x:row r="7242" ht="34" customHeight="1">
      <x:c r="A7242" s="4" t="str">
        <x:v>RS-03601-I1</x:v>
      </x:c>
      <x:c r="B7242" s="4" t="str">
        <x:v>RS-03601</x:v>
      </x:c>
      <x:c r="C7242" s="9" t="n">
        <x:v>1</x:v>
      </x:c>
      <x:c r="D7242" s="8" t="n">
        <x:v>45521</x:v>
      </x:c>
      <x:c r="E7242" s="9" t="n">
        <x:v>3975000</x:v>
      </x:c>
      <x:c r="F7242" s="9" t="n">
        <x:v>3975000</x:v>
      </x:c>
    </x:row>
    <x:row r="7243" ht="34" customHeight="1">
      <x:c r="A7243" s="4" t="str">
        <x:v>RS-03601-I2</x:v>
      </x:c>
      <x:c r="B7243" s="4" t="str">
        <x:v>RS-03601</x:v>
      </x:c>
      <x:c r="C7243" s="9" t="n">
        <x:v>2</x:v>
      </x:c>
      <x:c r="D7243" s="8" t="n">
        <x:v>45551</x:v>
      </x:c>
      <x:c r="E7243" s="9" t="n">
        <x:v>3975000</x:v>
      </x:c>
      <x:c r="F7243" s="9" t="n">
        <x:v>0</x:v>
      </x:c>
    </x:row>
    <x:row r="7244" ht="34" customHeight="1">
      <x:c r="A7244" s="4" t="str">
        <x:v>RS-03601-I3</x:v>
      </x:c>
      <x:c r="B7244" s="4" t="str">
        <x:v>RS-03601</x:v>
      </x:c>
      <x:c r="C7244" s="9" t="n">
        <x:v>3</x:v>
      </x:c>
      <x:c r="D7244" s="8" t="n">
        <x:v>45581</x:v>
      </x:c>
      <x:c r="E7244" s="9" t="n">
        <x:v>3975000</x:v>
      </x:c>
      <x:c r="F7244" s="9" t="n">
        <x:v>0</x:v>
      </x:c>
    </x:row>
    <x:row r="7245" ht="34" customHeight="1">
      <x:c r="A7245" s="4" t="str">
        <x:v>RS-03601-I4</x:v>
      </x:c>
      <x:c r="B7245" s="4" t="str">
        <x:v>RS-03601</x:v>
      </x:c>
      <x:c r="C7245" s="9" t="n">
        <x:v>4</x:v>
      </x:c>
      <x:c r="D7245" s="8" t="n">
        <x:v>45611</x:v>
      </x:c>
      <x:c r="E7245" s="9" t="n">
        <x:v>3975000</x:v>
      </x:c>
      <x:c r="F7245" s="9" t="n">
        <x:v>0</x:v>
      </x:c>
    </x:row>
    <x:row r="7246" ht="34" customHeight="1">
      <x:c r="A7246" s="4" t="str">
        <x:v>RS-03602-I1</x:v>
      </x:c>
      <x:c r="B7246" s="4" t="str">
        <x:v>RS-03602</x:v>
      </x:c>
      <x:c r="C7246" s="9" t="n">
        <x:v>1</x:v>
      </x:c>
      <x:c r="D7246" s="8" t="n">
        <x:v>45522</x:v>
      </x:c>
      <x:c r="E7246" s="9" t="n">
        <x:v>1245500</x:v>
      </x:c>
      <x:c r="F7246" s="9" t="n">
        <x:v>1245500</x:v>
      </x:c>
    </x:row>
    <x:row r="7247" ht="34" customHeight="1">
      <x:c r="A7247" s="4" t="str">
        <x:v>RS-03602-I2</x:v>
      </x:c>
      <x:c r="B7247" s="4" t="str">
        <x:v>RS-03602</x:v>
      </x:c>
      <x:c r="C7247" s="9" t="n">
        <x:v>2</x:v>
      </x:c>
      <x:c r="D7247" s="8" t="n">
        <x:v>45552</x:v>
      </x:c>
      <x:c r="E7247" s="9" t="n">
        <x:v>1245500</x:v>
      </x:c>
      <x:c r="F7247" s="9" t="n">
        <x:v>1245500</x:v>
      </x:c>
    </x:row>
    <x:row r="7248" ht="34" customHeight="1">
      <x:c r="A7248" s="4" t="str">
        <x:v>RS-03602-I3</x:v>
      </x:c>
      <x:c r="B7248" s="4" t="str">
        <x:v>RS-03602</x:v>
      </x:c>
      <x:c r="C7248" s="9" t="n">
        <x:v>3</x:v>
      </x:c>
      <x:c r="D7248" s="8" t="n">
        <x:v>45582</x:v>
      </x:c>
      <x:c r="E7248" s="9" t="n">
        <x:v>1245500</x:v>
      </x:c>
      <x:c r="F7248" s="9" t="n">
        <x:v>1245500</x:v>
      </x:c>
    </x:row>
    <x:row r="7249" ht="34" customHeight="1">
      <x:c r="A7249" s="4" t="str">
        <x:v>RS-03602-I4</x:v>
      </x:c>
      <x:c r="B7249" s="4" t="str">
        <x:v>RS-03602</x:v>
      </x:c>
      <x:c r="C7249" s="9" t="n">
        <x:v>4</x:v>
      </x:c>
      <x:c r="D7249" s="8" t="n">
        <x:v>45612</x:v>
      </x:c>
      <x:c r="E7249" s="9" t="n">
        <x:v>1245500</x:v>
      </x:c>
      <x:c r="F7249" s="9" t="n">
        <x:v>1245500</x:v>
      </x:c>
    </x:row>
    <x:row r="7250" ht="34" customHeight="1">
      <x:c r="A7250" s="4" t="str">
        <x:v>RS-03603-I1</x:v>
      </x:c>
      <x:c r="B7250" s="4" t="str">
        <x:v>RS-03603</x:v>
      </x:c>
      <x:c r="C7250" s="9" t="n">
        <x:v>1</x:v>
      </x:c>
      <x:c r="D7250" s="8" t="n">
        <x:v>45523</x:v>
      </x:c>
      <x:c r="E7250" s="9" t="n">
        <x:v>5475500</x:v>
      </x:c>
      <x:c r="F7250" s="9" t="n">
        <x:v>2190200</x:v>
      </x:c>
    </x:row>
    <x:row r="7251" ht="34" customHeight="1">
      <x:c r="A7251" s="4" t="str">
        <x:v>RS-03603-I2</x:v>
      </x:c>
      <x:c r="B7251" s="4" t="str">
        <x:v>RS-03603</x:v>
      </x:c>
      <x:c r="C7251" s="9" t="n">
        <x:v>2</x:v>
      </x:c>
      <x:c r="D7251" s="8" t="n">
        <x:v>45553</x:v>
      </x:c>
      <x:c r="E7251" s="9" t="n">
        <x:v>5475500</x:v>
      </x:c>
      <x:c r="F7251" s="9" t="n">
        <x:v>0</x:v>
      </x:c>
    </x:row>
    <x:row r="7252" ht="34" customHeight="1">
      <x:c r="A7252" s="4" t="str">
        <x:v>RS-03603-I3</x:v>
      </x:c>
      <x:c r="B7252" s="4" t="str">
        <x:v>RS-03603</x:v>
      </x:c>
      <x:c r="C7252" s="9" t="n">
        <x:v>3</x:v>
      </x:c>
      <x:c r="D7252" s="8" t="n">
        <x:v>45583</x:v>
      </x:c>
      <x:c r="E7252" s="9" t="n">
        <x:v>5475500</x:v>
      </x:c>
      <x:c r="F7252" s="9" t="n">
        <x:v>0</x:v>
      </x:c>
    </x:row>
    <x:row r="7253" ht="34" customHeight="1">
      <x:c r="A7253" s="4" t="str">
        <x:v>RS-03603-I4</x:v>
      </x:c>
      <x:c r="B7253" s="4" t="str">
        <x:v>RS-03603</x:v>
      </x:c>
      <x:c r="C7253" s="9" t="n">
        <x:v>4</x:v>
      </x:c>
      <x:c r="D7253" s="8" t="n">
        <x:v>45613</x:v>
      </x:c>
      <x:c r="E7253" s="9" t="n">
        <x:v>5475500</x:v>
      </x:c>
      <x:c r="F7253" s="9" t="n">
        <x:v>0</x:v>
      </x:c>
    </x:row>
    <x:row r="7254" ht="34" customHeight="1">
      <x:c r="A7254" s="4" t="str">
        <x:v>RS-03605-I1</x:v>
      </x:c>
      <x:c r="B7254" s="4" t="str">
        <x:v>RS-03605</x:v>
      </x:c>
      <x:c r="C7254" s="9" t="n">
        <x:v>1</x:v>
      </x:c>
      <x:c r="D7254" s="8" t="n">
        <x:v>45525</x:v>
      </x:c>
      <x:c r="E7254" s="9" t="n">
        <x:v>5696250</x:v>
      </x:c>
      <x:c r="F7254" s="9" t="n">
        <x:v>5696250</x:v>
      </x:c>
    </x:row>
    <x:row r="7255" ht="34" customHeight="1">
      <x:c r="A7255" s="4" t="str">
        <x:v>RS-03605-I2</x:v>
      </x:c>
      <x:c r="B7255" s="4" t="str">
        <x:v>RS-03605</x:v>
      </x:c>
      <x:c r="C7255" s="9" t="n">
        <x:v>2</x:v>
      </x:c>
      <x:c r="D7255" s="8" t="n">
        <x:v>45555</x:v>
      </x:c>
      <x:c r="E7255" s="9" t="n">
        <x:v>5696250</x:v>
      </x:c>
      <x:c r="F7255" s="9" t="n">
        <x:v>0</x:v>
      </x:c>
    </x:row>
    <x:row r="7256" ht="34" customHeight="1">
      <x:c r="A7256" s="4" t="str">
        <x:v>RS-03605-I3</x:v>
      </x:c>
      <x:c r="B7256" s="4" t="str">
        <x:v>RS-03605</x:v>
      </x:c>
      <x:c r="C7256" s="9" t="n">
        <x:v>3</x:v>
      </x:c>
      <x:c r="D7256" s="8" t="n">
        <x:v>45585</x:v>
      </x:c>
      <x:c r="E7256" s="9" t="n">
        <x:v>5696250</x:v>
      </x:c>
      <x:c r="F7256" s="9" t="n">
        <x:v>0</x:v>
      </x:c>
    </x:row>
    <x:row r="7257" ht="34" customHeight="1">
      <x:c r="A7257" s="4" t="str">
        <x:v>RS-03605-I4</x:v>
      </x:c>
      <x:c r="B7257" s="4" t="str">
        <x:v>RS-03605</x:v>
      </x:c>
      <x:c r="C7257" s="9" t="n">
        <x:v>4</x:v>
      </x:c>
      <x:c r="D7257" s="8" t="n">
        <x:v>45615</x:v>
      </x:c>
      <x:c r="E7257" s="9" t="n">
        <x:v>5696250</x:v>
      </x:c>
      <x:c r="F7257" s="9" t="n">
        <x:v>0</x:v>
      </x:c>
    </x:row>
    <x:row r="7258" ht="34" customHeight="1">
      <x:c r="A7258" s="4" t="str">
        <x:v>RS-03607-I1</x:v>
      </x:c>
      <x:c r="B7258" s="4" t="str">
        <x:v>RS-03607</x:v>
      </x:c>
      <x:c r="C7258" s="9" t="n">
        <x:v>1</x:v>
      </x:c>
      <x:c r="D7258" s="8" t="n">
        <x:v>45527</x:v>
      </x:c>
      <x:c r="E7258" s="9" t="n">
        <x:v>3696000</x:v>
      </x:c>
      <x:c r="F7258" s="9" t="n">
        <x:v>1478400</x:v>
      </x:c>
    </x:row>
    <x:row r="7259" ht="34" customHeight="1">
      <x:c r="A7259" s="4" t="str">
        <x:v>RS-03607-I2</x:v>
      </x:c>
      <x:c r="B7259" s="4" t="str">
        <x:v>RS-03607</x:v>
      </x:c>
      <x:c r="C7259" s="9" t="n">
        <x:v>2</x:v>
      </x:c>
      <x:c r="D7259" s="8" t="n">
        <x:v>45557</x:v>
      </x:c>
      <x:c r="E7259" s="9" t="n">
        <x:v>3696000</x:v>
      </x:c>
      <x:c r="F7259" s="9" t="n">
        <x:v>0</x:v>
      </x:c>
    </x:row>
    <x:row r="7260" ht="34" customHeight="1">
      <x:c r="A7260" s="4" t="str">
        <x:v>RS-03607-I3</x:v>
      </x:c>
      <x:c r="B7260" s="4" t="str">
        <x:v>RS-03607</x:v>
      </x:c>
      <x:c r="C7260" s="9" t="n">
        <x:v>3</x:v>
      </x:c>
      <x:c r="D7260" s="8" t="n">
        <x:v>45587</x:v>
      </x:c>
      <x:c r="E7260" s="9" t="n">
        <x:v>3696000</x:v>
      </x:c>
      <x:c r="F7260" s="9" t="n">
        <x:v>0</x:v>
      </x:c>
    </x:row>
    <x:row r="7261" ht="34" customHeight="1">
      <x:c r="A7261" s="4" t="str">
        <x:v>RS-03607-I4</x:v>
      </x:c>
      <x:c r="B7261" s="4" t="str">
        <x:v>RS-03607</x:v>
      </x:c>
      <x:c r="C7261" s="9" t="n">
        <x:v>4</x:v>
      </x:c>
      <x:c r="D7261" s="8" t="n">
        <x:v>45617</x:v>
      </x:c>
      <x:c r="E7261" s="9" t="n">
        <x:v>3696000</x:v>
      </x:c>
      <x:c r="F7261" s="9" t="n">
        <x:v>0</x:v>
      </x:c>
    </x:row>
    <x:row r="7262" ht="34" customHeight="1">
      <x:c r="A7262" s="4" t="str">
        <x:v>RS-03609-I1</x:v>
      </x:c>
      <x:c r="B7262" s="4" t="str">
        <x:v>RS-03609</x:v>
      </x:c>
      <x:c r="C7262" s="9" t="n">
        <x:v>1</x:v>
      </x:c>
      <x:c r="D7262" s="8" t="n">
        <x:v>45529</x:v>
      </x:c>
      <x:c r="E7262" s="9" t="n">
        <x:v>5141500</x:v>
      </x:c>
      <x:c r="F7262" s="9" t="n">
        <x:v>5141500</x:v>
      </x:c>
    </x:row>
    <x:row r="7263" ht="34" customHeight="1">
      <x:c r="A7263" s="4" t="str">
        <x:v>RS-03609-I2</x:v>
      </x:c>
      <x:c r="B7263" s="4" t="str">
        <x:v>RS-03609</x:v>
      </x:c>
      <x:c r="C7263" s="9" t="n">
        <x:v>2</x:v>
      </x:c>
      <x:c r="D7263" s="8" t="n">
        <x:v>45559</x:v>
      </x:c>
      <x:c r="E7263" s="9" t="n">
        <x:v>5141500</x:v>
      </x:c>
      <x:c r="F7263" s="9" t="n">
        <x:v>5141500</x:v>
      </x:c>
    </x:row>
    <x:row r="7264" ht="34" customHeight="1">
      <x:c r="A7264" s="4" t="str">
        <x:v>RS-03609-I3</x:v>
      </x:c>
      <x:c r="B7264" s="4" t="str">
        <x:v>RS-03609</x:v>
      </x:c>
      <x:c r="C7264" s="9" t="n">
        <x:v>3</x:v>
      </x:c>
      <x:c r="D7264" s="8" t="n">
        <x:v>45589</x:v>
      </x:c>
      <x:c r="E7264" s="9" t="n">
        <x:v>5141500</x:v>
      </x:c>
      <x:c r="F7264" s="9" t="n">
        <x:v>5141500</x:v>
      </x:c>
    </x:row>
    <x:row r="7265" ht="34" customHeight="1">
      <x:c r="A7265" s="4" t="str">
        <x:v>RS-03609-I4</x:v>
      </x:c>
      <x:c r="B7265" s="4" t="str">
        <x:v>RS-03609</x:v>
      </x:c>
      <x:c r="C7265" s="9" t="n">
        <x:v>4</x:v>
      </x:c>
      <x:c r="D7265" s="8" t="n">
        <x:v>45619</x:v>
      </x:c>
      <x:c r="E7265" s="9" t="n">
        <x:v>5141500</x:v>
      </x:c>
      <x:c r="F7265" s="9" t="n">
        <x:v>5141500</x:v>
      </x:c>
    </x:row>
    <x:row r="7266" ht="34" customHeight="1">
      <x:c r="A7266" s="4" t="str">
        <x:v>RS-03610-I1</x:v>
      </x:c>
      <x:c r="B7266" s="4" t="str">
        <x:v>RS-03610</x:v>
      </x:c>
      <x:c r="C7266" s="9" t="n">
        <x:v>1</x:v>
      </x:c>
      <x:c r="D7266" s="8" t="n">
        <x:v>45530</x:v>
      </x:c>
      <x:c r="E7266" s="9" t="n">
        <x:v>1872000</x:v>
      </x:c>
      <x:c r="F7266" s="9" t="n">
        <x:v>1872000</x:v>
      </x:c>
    </x:row>
    <x:row r="7267" ht="34" customHeight="1">
      <x:c r="A7267" s="4" t="str">
        <x:v>RS-03610-I2</x:v>
      </x:c>
      <x:c r="B7267" s="4" t="str">
        <x:v>RS-03610</x:v>
      </x:c>
      <x:c r="C7267" s="9" t="n">
        <x:v>2</x:v>
      </x:c>
      <x:c r="D7267" s="8" t="n">
        <x:v>45560</x:v>
      </x:c>
      <x:c r="E7267" s="9" t="n">
        <x:v>1872000</x:v>
      </x:c>
      <x:c r="F7267" s="9" t="n">
        <x:v>1872000</x:v>
      </x:c>
    </x:row>
    <x:row r="7268" ht="34" customHeight="1">
      <x:c r="A7268" s="4" t="str">
        <x:v>RS-03610-I3</x:v>
      </x:c>
      <x:c r="B7268" s="4" t="str">
        <x:v>RS-03610</x:v>
      </x:c>
      <x:c r="C7268" s="9" t="n">
        <x:v>3</x:v>
      </x:c>
      <x:c r="D7268" s="8" t="n">
        <x:v>45590</x:v>
      </x:c>
      <x:c r="E7268" s="9" t="n">
        <x:v>1872000</x:v>
      </x:c>
      <x:c r="F7268" s="9" t="n">
        <x:v>1872000</x:v>
      </x:c>
    </x:row>
    <x:row r="7269" ht="34" customHeight="1">
      <x:c r="A7269" s="4" t="str">
        <x:v>RS-03610-I4</x:v>
      </x:c>
      <x:c r="B7269" s="4" t="str">
        <x:v>RS-03610</x:v>
      </x:c>
      <x:c r="C7269" s="9" t="n">
        <x:v>4</x:v>
      </x:c>
      <x:c r="D7269" s="8" t="n">
        <x:v>45620</x:v>
      </x:c>
      <x:c r="E7269" s="9" t="n">
        <x:v>1872000</x:v>
      </x:c>
      <x:c r="F7269" s="9" t="n">
        <x:v>1872000</x:v>
      </x:c>
    </x:row>
    <x:row r="7270" ht="34" customHeight="1">
      <x:c r="A7270" s="4" t="str">
        <x:v>RS-03611-I1</x:v>
      </x:c>
      <x:c r="B7270" s="4" t="str">
        <x:v>RS-03611</x:v>
      </x:c>
      <x:c r="C7270" s="9" t="n">
        <x:v>1</x:v>
      </x:c>
      <x:c r="D7270" s="8" t="n">
        <x:v>45531</x:v>
      </x:c>
      <x:c r="E7270" s="9" t="n">
        <x:v>1668500</x:v>
      </x:c>
      <x:c r="F7270" s="9" t="n">
        <x:v>1668500</x:v>
      </x:c>
    </x:row>
    <x:row r="7271" ht="34" customHeight="1">
      <x:c r="A7271" s="4" t="str">
        <x:v>RS-03611-I2</x:v>
      </x:c>
      <x:c r="B7271" s="4" t="str">
        <x:v>RS-03611</x:v>
      </x:c>
      <x:c r="C7271" s="9" t="n">
        <x:v>2</x:v>
      </x:c>
      <x:c r="D7271" s="8" t="n">
        <x:v>45561</x:v>
      </x:c>
      <x:c r="E7271" s="9" t="n">
        <x:v>1668500</x:v>
      </x:c>
      <x:c r="F7271" s="9" t="n">
        <x:v>1668500</x:v>
      </x:c>
    </x:row>
    <x:row r="7272" ht="34" customHeight="1">
      <x:c r="A7272" s="4" t="str">
        <x:v>RS-03611-I3</x:v>
      </x:c>
      <x:c r="B7272" s="4" t="str">
        <x:v>RS-03611</x:v>
      </x:c>
      <x:c r="C7272" s="9" t="n">
        <x:v>3</x:v>
      </x:c>
      <x:c r="D7272" s="8" t="n">
        <x:v>45591</x:v>
      </x:c>
      <x:c r="E7272" s="9" t="n">
        <x:v>1668500</x:v>
      </x:c>
      <x:c r="F7272" s="9" t="n">
        <x:v>1668500</x:v>
      </x:c>
    </x:row>
    <x:row r="7273" ht="34" customHeight="1">
      <x:c r="A7273" s="4" t="str">
        <x:v>RS-03611-I4</x:v>
      </x:c>
      <x:c r="B7273" s="4" t="str">
        <x:v>RS-03611</x:v>
      </x:c>
      <x:c r="C7273" s="9" t="n">
        <x:v>4</x:v>
      </x:c>
      <x:c r="D7273" s="8" t="n">
        <x:v>45621</x:v>
      </x:c>
      <x:c r="E7273" s="9" t="n">
        <x:v>1668500</x:v>
      </x:c>
      <x:c r="F7273" s="9" t="n">
        <x:v>1668500</x:v>
      </x:c>
    </x:row>
    <x:row r="7274" ht="34" customHeight="1">
      <x:c r="A7274" s="4" t="str">
        <x:v>RS-03612-I1</x:v>
      </x:c>
      <x:c r="B7274" s="4" t="str">
        <x:v>RS-03612</x:v>
      </x:c>
      <x:c r="C7274" s="9" t="n">
        <x:v>1</x:v>
      </x:c>
      <x:c r="D7274" s="8" t="n">
        <x:v>45532</x:v>
      </x:c>
      <x:c r="E7274" s="9" t="n">
        <x:v>3666000</x:v>
      </x:c>
      <x:c r="F7274" s="9" t="n">
        <x:v>3666000</x:v>
      </x:c>
    </x:row>
    <x:row r="7275" ht="34" customHeight="1">
      <x:c r="A7275" s="4" t="str">
        <x:v>RS-03612-I2</x:v>
      </x:c>
      <x:c r="B7275" s="4" t="str">
        <x:v>RS-03612</x:v>
      </x:c>
      <x:c r="C7275" s="9" t="n">
        <x:v>2</x:v>
      </x:c>
      <x:c r="D7275" s="8" t="n">
        <x:v>45562</x:v>
      </x:c>
      <x:c r="E7275" s="9" t="n">
        <x:v>3666000</x:v>
      </x:c>
      <x:c r="F7275" s="9" t="n">
        <x:v>0</x:v>
      </x:c>
    </x:row>
    <x:row r="7276" ht="34" customHeight="1">
      <x:c r="A7276" s="4" t="str">
        <x:v>RS-03612-I3</x:v>
      </x:c>
      <x:c r="B7276" s="4" t="str">
        <x:v>RS-03612</x:v>
      </x:c>
      <x:c r="C7276" s="9" t="n">
        <x:v>3</x:v>
      </x:c>
      <x:c r="D7276" s="8" t="n">
        <x:v>45592</x:v>
      </x:c>
      <x:c r="E7276" s="9" t="n">
        <x:v>3666000</x:v>
      </x:c>
      <x:c r="F7276" s="9" t="n">
        <x:v>0</x:v>
      </x:c>
    </x:row>
    <x:row r="7277" ht="34" customHeight="1">
      <x:c r="A7277" s="4" t="str">
        <x:v>RS-03612-I4</x:v>
      </x:c>
      <x:c r="B7277" s="4" t="str">
        <x:v>RS-03612</x:v>
      </x:c>
      <x:c r="C7277" s="9" t="n">
        <x:v>4</x:v>
      </x:c>
      <x:c r="D7277" s="8" t="n">
        <x:v>45622</x:v>
      </x:c>
      <x:c r="E7277" s="9" t="n">
        <x:v>3666000</x:v>
      </x:c>
      <x:c r="F7277" s="9" t="n">
        <x:v>0</x:v>
      </x:c>
    </x:row>
    <x:row r="7278" ht="34" customHeight="1">
      <x:c r="A7278" s="4" t="str">
        <x:v>RS-03616-I1</x:v>
      </x:c>
      <x:c r="B7278" s="4" t="str">
        <x:v>RS-03616</x:v>
      </x:c>
      <x:c r="C7278" s="9" t="n">
        <x:v>1</x:v>
      </x:c>
      <x:c r="D7278" s="8" t="n">
        <x:v>45508</x:v>
      </x:c>
      <x:c r="E7278" s="9" t="n">
        <x:v>4646000</x:v>
      </x:c>
      <x:c r="F7278" s="9" t="n">
        <x:v>1858400</x:v>
      </x:c>
    </x:row>
    <x:row r="7279" ht="34" customHeight="1">
      <x:c r="A7279" s="4" t="str">
        <x:v>RS-03616-I2</x:v>
      </x:c>
      <x:c r="B7279" s="4" t="str">
        <x:v>RS-03616</x:v>
      </x:c>
      <x:c r="C7279" s="9" t="n">
        <x:v>2</x:v>
      </x:c>
      <x:c r="D7279" s="8" t="n">
        <x:v>45538</x:v>
      </x:c>
      <x:c r="E7279" s="9" t="n">
        <x:v>4646000</x:v>
      </x:c>
      <x:c r="F7279" s="9" t="n">
        <x:v>0</x:v>
      </x:c>
    </x:row>
    <x:row r="7280" ht="34" customHeight="1">
      <x:c r="A7280" s="4" t="str">
        <x:v>RS-03616-I3</x:v>
      </x:c>
      <x:c r="B7280" s="4" t="str">
        <x:v>RS-03616</x:v>
      </x:c>
      <x:c r="C7280" s="9" t="n">
        <x:v>3</x:v>
      </x:c>
      <x:c r="D7280" s="8" t="n">
        <x:v>45568</x:v>
      </x:c>
      <x:c r="E7280" s="9" t="n">
        <x:v>4646000</x:v>
      </x:c>
      <x:c r="F7280" s="9" t="n">
        <x:v>0</x:v>
      </x:c>
    </x:row>
    <x:row r="7281" ht="34" customHeight="1">
      <x:c r="A7281" s="4" t="str">
        <x:v>RS-03616-I4</x:v>
      </x:c>
      <x:c r="B7281" s="4" t="str">
        <x:v>RS-03616</x:v>
      </x:c>
      <x:c r="C7281" s="9" t="n">
        <x:v>4</x:v>
      </x:c>
      <x:c r="D7281" s="8" t="n">
        <x:v>45598</x:v>
      </x:c>
      <x:c r="E7281" s="9" t="n">
        <x:v>4646000</x:v>
      </x:c>
      <x:c r="F7281" s="9" t="n">
        <x:v>0</x:v>
      </x:c>
    </x:row>
    <x:row r="7282" ht="34" customHeight="1">
      <x:c r="A7282" s="4" t="str">
        <x:v>RS-03617-I1</x:v>
      </x:c>
      <x:c r="B7282" s="4" t="str">
        <x:v>RS-03617</x:v>
      </x:c>
      <x:c r="C7282" s="9" t="n">
        <x:v>1</x:v>
      </x:c>
      <x:c r="D7282" s="8" t="n">
        <x:v>45509</x:v>
      </x:c>
      <x:c r="E7282" s="9" t="n">
        <x:v>4243750</x:v>
      </x:c>
      <x:c r="F7282" s="9" t="n">
        <x:v>4243750</x:v>
      </x:c>
    </x:row>
    <x:row r="7283" ht="34" customHeight="1">
      <x:c r="A7283" s="4" t="str">
        <x:v>RS-03617-I2</x:v>
      </x:c>
      <x:c r="B7283" s="4" t="str">
        <x:v>RS-03617</x:v>
      </x:c>
      <x:c r="C7283" s="9" t="n">
        <x:v>2</x:v>
      </x:c>
      <x:c r="D7283" s="8" t="n">
        <x:v>45539</x:v>
      </x:c>
      <x:c r="E7283" s="9" t="n">
        <x:v>4243750</x:v>
      </x:c>
      <x:c r="F7283" s="9" t="n">
        <x:v>4243750</x:v>
      </x:c>
    </x:row>
    <x:row r="7284" ht="34" customHeight="1">
      <x:c r="A7284" s="4" t="str">
        <x:v>RS-03617-I3</x:v>
      </x:c>
      <x:c r="B7284" s="4" t="str">
        <x:v>RS-03617</x:v>
      </x:c>
      <x:c r="C7284" s="9" t="n">
        <x:v>3</x:v>
      </x:c>
      <x:c r="D7284" s="8" t="n">
        <x:v>45569</x:v>
      </x:c>
      <x:c r="E7284" s="9" t="n">
        <x:v>4243750</x:v>
      </x:c>
      <x:c r="F7284" s="9" t="n">
        <x:v>4243750</x:v>
      </x:c>
    </x:row>
    <x:row r="7285" ht="34" customHeight="1">
      <x:c r="A7285" s="4" t="str">
        <x:v>RS-03617-I4</x:v>
      </x:c>
      <x:c r="B7285" s="4" t="str">
        <x:v>RS-03617</x:v>
      </x:c>
      <x:c r="C7285" s="9" t="n">
        <x:v>4</x:v>
      </x:c>
      <x:c r="D7285" s="8" t="n">
        <x:v>45599</x:v>
      </x:c>
      <x:c r="E7285" s="9" t="n">
        <x:v>4243750</x:v>
      </x:c>
      <x:c r="F7285" s="9" t="n">
        <x:v>4243750</x:v>
      </x:c>
    </x:row>
    <x:row r="7286" ht="34" customHeight="1">
      <x:c r="A7286" s="4" t="str">
        <x:v>RS-03618-I1</x:v>
      </x:c>
      <x:c r="B7286" s="4" t="str">
        <x:v>RS-03618</x:v>
      </x:c>
      <x:c r="C7286" s="9" t="n">
        <x:v>1</x:v>
      </x:c>
      <x:c r="D7286" s="8" t="n">
        <x:v>45510</x:v>
      </x:c>
      <x:c r="E7286" s="9" t="n">
        <x:v>1151500</x:v>
      </x:c>
      <x:c r="F7286" s="9" t="n">
        <x:v>1151500</x:v>
      </x:c>
    </x:row>
    <x:row r="7287" ht="34" customHeight="1">
      <x:c r="A7287" s="4" t="str">
        <x:v>RS-03618-I2</x:v>
      </x:c>
      <x:c r="B7287" s="4" t="str">
        <x:v>RS-03618</x:v>
      </x:c>
      <x:c r="C7287" s="9" t="n">
        <x:v>2</x:v>
      </x:c>
      <x:c r="D7287" s="8" t="n">
        <x:v>45540</x:v>
      </x:c>
      <x:c r="E7287" s="9" t="n">
        <x:v>1151500</x:v>
      </x:c>
      <x:c r="F7287" s="9" t="n">
        <x:v>0</x:v>
      </x:c>
    </x:row>
    <x:row r="7288" ht="34" customHeight="1">
      <x:c r="A7288" s="4" t="str">
        <x:v>RS-03618-I3</x:v>
      </x:c>
      <x:c r="B7288" s="4" t="str">
        <x:v>RS-03618</x:v>
      </x:c>
      <x:c r="C7288" s="9" t="n">
        <x:v>3</x:v>
      </x:c>
      <x:c r="D7288" s="8" t="n">
        <x:v>45570</x:v>
      </x:c>
      <x:c r="E7288" s="9" t="n">
        <x:v>1151500</x:v>
      </x:c>
      <x:c r="F7288" s="9" t="n">
        <x:v>0</x:v>
      </x:c>
    </x:row>
    <x:row r="7289" ht="34" customHeight="1">
      <x:c r="A7289" s="4" t="str">
        <x:v>RS-03618-I4</x:v>
      </x:c>
      <x:c r="B7289" s="4" t="str">
        <x:v>RS-03618</x:v>
      </x:c>
      <x:c r="C7289" s="9" t="n">
        <x:v>4</x:v>
      </x:c>
      <x:c r="D7289" s="8" t="n">
        <x:v>45600</x:v>
      </x:c>
      <x:c r="E7289" s="9" t="n">
        <x:v>1151500</x:v>
      </x:c>
      <x:c r="F7289" s="9" t="n">
        <x:v>0</x:v>
      </x:c>
    </x:row>
    <x:row r="7290" ht="34" customHeight="1">
      <x:c r="A7290" s="4" t="str">
        <x:v>RS-03619-I1</x:v>
      </x:c>
      <x:c r="B7290" s="4" t="str">
        <x:v>RS-03619</x:v>
      </x:c>
      <x:c r="C7290" s="9" t="n">
        <x:v>1</x:v>
      </x:c>
      <x:c r="D7290" s="8" t="n">
        <x:v>45511</x:v>
      </x:c>
      <x:c r="E7290" s="9" t="n">
        <x:v>5011250</x:v>
      </x:c>
      <x:c r="F7290" s="9" t="n">
        <x:v>5011250</x:v>
      </x:c>
    </x:row>
    <x:row r="7291" ht="34" customHeight="1">
      <x:c r="A7291" s="4" t="str">
        <x:v>RS-03619-I2</x:v>
      </x:c>
      <x:c r="B7291" s="4" t="str">
        <x:v>RS-03619</x:v>
      </x:c>
      <x:c r="C7291" s="9" t="n">
        <x:v>2</x:v>
      </x:c>
      <x:c r="D7291" s="8" t="n">
        <x:v>45541</x:v>
      </x:c>
      <x:c r="E7291" s="9" t="n">
        <x:v>5011250</x:v>
      </x:c>
      <x:c r="F7291" s="9" t="n">
        <x:v>5011250</x:v>
      </x:c>
    </x:row>
    <x:row r="7292" ht="34" customHeight="1">
      <x:c r="A7292" s="4" t="str">
        <x:v>RS-03619-I3</x:v>
      </x:c>
      <x:c r="B7292" s="4" t="str">
        <x:v>RS-03619</x:v>
      </x:c>
      <x:c r="C7292" s="9" t="n">
        <x:v>3</x:v>
      </x:c>
      <x:c r="D7292" s="8" t="n">
        <x:v>45571</x:v>
      </x:c>
      <x:c r="E7292" s="9" t="n">
        <x:v>5011250</x:v>
      </x:c>
      <x:c r="F7292" s="9" t="n">
        <x:v>5011250</x:v>
      </x:c>
    </x:row>
    <x:row r="7293" ht="34" customHeight="1">
      <x:c r="A7293" s="4" t="str">
        <x:v>RS-03619-I4</x:v>
      </x:c>
      <x:c r="B7293" s="4" t="str">
        <x:v>RS-03619</x:v>
      </x:c>
      <x:c r="C7293" s="9" t="n">
        <x:v>4</x:v>
      </x:c>
      <x:c r="D7293" s="8" t="n">
        <x:v>45601</x:v>
      </x:c>
      <x:c r="E7293" s="9" t="n">
        <x:v>5011250</x:v>
      </x:c>
      <x:c r="F7293" s="9" t="n">
        <x:v>5011250</x:v>
      </x:c>
    </x:row>
    <x:row r="7294" ht="34" customHeight="1">
      <x:c r="A7294" s="4" t="str">
        <x:v>RS-03621-I1</x:v>
      </x:c>
      <x:c r="B7294" s="4" t="str">
        <x:v>RS-03621</x:v>
      </x:c>
      <x:c r="C7294" s="9" t="n">
        <x:v>1</x:v>
      </x:c>
      <x:c r="D7294" s="8" t="n">
        <x:v>45513</x:v>
      </x:c>
      <x:c r="E7294" s="9" t="n">
        <x:v>5316500</x:v>
      </x:c>
      <x:c r="F7294" s="9" t="n">
        <x:v>5316500</x:v>
      </x:c>
    </x:row>
    <x:row r="7295" ht="34" customHeight="1">
      <x:c r="A7295" s="4" t="str">
        <x:v>RS-03621-I2</x:v>
      </x:c>
      <x:c r="B7295" s="4" t="str">
        <x:v>RS-03621</x:v>
      </x:c>
      <x:c r="C7295" s="9" t="n">
        <x:v>2</x:v>
      </x:c>
      <x:c r="D7295" s="8" t="n">
        <x:v>45543</x:v>
      </x:c>
      <x:c r="E7295" s="9" t="n">
        <x:v>5316500</x:v>
      </x:c>
      <x:c r="F7295" s="9" t="n">
        <x:v>5316500</x:v>
      </x:c>
    </x:row>
    <x:row r="7296" ht="34" customHeight="1">
      <x:c r="A7296" s="4" t="str">
        <x:v>RS-03621-I3</x:v>
      </x:c>
      <x:c r="B7296" s="4" t="str">
        <x:v>RS-03621</x:v>
      </x:c>
      <x:c r="C7296" s="9" t="n">
        <x:v>3</x:v>
      </x:c>
      <x:c r="D7296" s="8" t="n">
        <x:v>45573</x:v>
      </x:c>
      <x:c r="E7296" s="9" t="n">
        <x:v>5316500</x:v>
      </x:c>
      <x:c r="F7296" s="9" t="n">
        <x:v>5316500</x:v>
      </x:c>
    </x:row>
    <x:row r="7297" ht="34" customHeight="1">
      <x:c r="A7297" s="4" t="str">
        <x:v>RS-03621-I4</x:v>
      </x:c>
      <x:c r="B7297" s="4" t="str">
        <x:v>RS-03621</x:v>
      </x:c>
      <x:c r="C7297" s="9" t="n">
        <x:v>4</x:v>
      </x:c>
      <x:c r="D7297" s="8" t="n">
        <x:v>45603</x:v>
      </x:c>
      <x:c r="E7297" s="9" t="n">
        <x:v>5316500</x:v>
      </x:c>
      <x:c r="F7297" s="9" t="n">
        <x:v>5316500</x:v>
      </x:c>
    </x:row>
    <x:row r="7298" ht="34" customHeight="1">
      <x:c r="A7298" s="4" t="str">
        <x:v>RS-03622-I1</x:v>
      </x:c>
      <x:c r="B7298" s="4" t="str">
        <x:v>RS-03622</x:v>
      </x:c>
      <x:c r="C7298" s="9" t="n">
        <x:v>1</x:v>
      </x:c>
      <x:c r="D7298" s="8" t="n">
        <x:v>45514</x:v>
      </x:c>
      <x:c r="E7298" s="9" t="n">
        <x:v>1116250</x:v>
      </x:c>
      <x:c r="F7298" s="9" t="n">
        <x:v>1116250</x:v>
      </x:c>
    </x:row>
    <x:row r="7299" ht="34" customHeight="1">
      <x:c r="A7299" s="4" t="str">
        <x:v>RS-03622-I2</x:v>
      </x:c>
      <x:c r="B7299" s="4" t="str">
        <x:v>RS-03622</x:v>
      </x:c>
      <x:c r="C7299" s="9" t="n">
        <x:v>2</x:v>
      </x:c>
      <x:c r="D7299" s="8" t="n">
        <x:v>45544</x:v>
      </x:c>
      <x:c r="E7299" s="9" t="n">
        <x:v>1116250</x:v>
      </x:c>
      <x:c r="F7299" s="9" t="n">
        <x:v>0</x:v>
      </x:c>
    </x:row>
    <x:row r="7300" ht="34" customHeight="1">
      <x:c r="A7300" s="4" t="str">
        <x:v>RS-03622-I3</x:v>
      </x:c>
      <x:c r="B7300" s="4" t="str">
        <x:v>RS-03622</x:v>
      </x:c>
      <x:c r="C7300" s="9" t="n">
        <x:v>3</x:v>
      </x:c>
      <x:c r="D7300" s="8" t="n">
        <x:v>45574</x:v>
      </x:c>
      <x:c r="E7300" s="9" t="n">
        <x:v>1116250</x:v>
      </x:c>
      <x:c r="F7300" s="9" t="n">
        <x:v>0</x:v>
      </x:c>
    </x:row>
    <x:row r="7301" ht="34" customHeight="1">
      <x:c r="A7301" s="4" t="str">
        <x:v>RS-03622-I4</x:v>
      </x:c>
      <x:c r="B7301" s="4" t="str">
        <x:v>RS-03622</x:v>
      </x:c>
      <x:c r="C7301" s="9" t="n">
        <x:v>4</x:v>
      </x:c>
      <x:c r="D7301" s="8" t="n">
        <x:v>45604</x:v>
      </x:c>
      <x:c r="E7301" s="9" t="n">
        <x:v>1116250</x:v>
      </x:c>
      <x:c r="F7301" s="9" t="n">
        <x:v>0</x:v>
      </x:c>
    </x:row>
    <x:row r="7302" ht="34" customHeight="1">
      <x:c r="A7302" s="4" t="str">
        <x:v>RS-03623-I1</x:v>
      </x:c>
      <x:c r="B7302" s="4" t="str">
        <x:v>RS-03623</x:v>
      </x:c>
      <x:c r="C7302" s="9" t="n">
        <x:v>1</x:v>
      </x:c>
      <x:c r="D7302" s="8" t="n">
        <x:v>45515</x:v>
      </x:c>
      <x:c r="E7302" s="9" t="n">
        <x:v>2254000</x:v>
      </x:c>
      <x:c r="F7302" s="9" t="n">
        <x:v>2254000</x:v>
      </x:c>
    </x:row>
    <x:row r="7303" ht="34" customHeight="1">
      <x:c r="A7303" s="4" t="str">
        <x:v>RS-03623-I2</x:v>
      </x:c>
      <x:c r="B7303" s="4" t="str">
        <x:v>RS-03623</x:v>
      </x:c>
      <x:c r="C7303" s="9" t="n">
        <x:v>2</x:v>
      </x:c>
      <x:c r="D7303" s="8" t="n">
        <x:v>45545</x:v>
      </x:c>
      <x:c r="E7303" s="9" t="n">
        <x:v>2254000</x:v>
      </x:c>
      <x:c r="F7303" s="9" t="n">
        <x:v>2254000</x:v>
      </x:c>
    </x:row>
    <x:row r="7304" ht="34" customHeight="1">
      <x:c r="A7304" s="4" t="str">
        <x:v>RS-03623-I3</x:v>
      </x:c>
      <x:c r="B7304" s="4" t="str">
        <x:v>RS-03623</x:v>
      </x:c>
      <x:c r="C7304" s="9" t="n">
        <x:v>3</x:v>
      </x:c>
      <x:c r="D7304" s="8" t="n">
        <x:v>45575</x:v>
      </x:c>
      <x:c r="E7304" s="9" t="n">
        <x:v>2254000</x:v>
      </x:c>
      <x:c r="F7304" s="9" t="n">
        <x:v>2254000</x:v>
      </x:c>
    </x:row>
    <x:row r="7305" ht="34" customHeight="1">
      <x:c r="A7305" s="4" t="str">
        <x:v>RS-03623-I4</x:v>
      </x:c>
      <x:c r="B7305" s="4" t="str">
        <x:v>RS-03623</x:v>
      </x:c>
      <x:c r="C7305" s="9" t="n">
        <x:v>4</x:v>
      </x:c>
      <x:c r="D7305" s="8" t="n">
        <x:v>45605</x:v>
      </x:c>
      <x:c r="E7305" s="9" t="n">
        <x:v>2254000</x:v>
      </x:c>
      <x:c r="F7305" s="9" t="n">
        <x:v>2254000</x:v>
      </x:c>
    </x:row>
    <x:row r="7306" ht="34" customHeight="1">
      <x:c r="A7306" s="4" t="str">
        <x:v>RS-03624-I1</x:v>
      </x:c>
      <x:c r="B7306" s="4" t="str">
        <x:v>RS-03624</x:v>
      </x:c>
      <x:c r="C7306" s="9" t="n">
        <x:v>1</x:v>
      </x:c>
      <x:c r="D7306" s="8" t="n">
        <x:v>45516</x:v>
      </x:c>
      <x:c r="E7306" s="9" t="n">
        <x:v>3650250</x:v>
      </x:c>
      <x:c r="F7306" s="9" t="n">
        <x:v>3650250</x:v>
      </x:c>
    </x:row>
    <x:row r="7307" ht="34" customHeight="1">
      <x:c r="A7307" s="4" t="str">
        <x:v>RS-03624-I2</x:v>
      </x:c>
      <x:c r="B7307" s="4" t="str">
        <x:v>RS-03624</x:v>
      </x:c>
      <x:c r="C7307" s="9" t="n">
        <x:v>2</x:v>
      </x:c>
      <x:c r="D7307" s="8" t="n">
        <x:v>45546</x:v>
      </x:c>
      <x:c r="E7307" s="9" t="n">
        <x:v>3650250</x:v>
      </x:c>
      <x:c r="F7307" s="9" t="n">
        <x:v>3650250</x:v>
      </x:c>
    </x:row>
    <x:row r="7308" ht="34" customHeight="1">
      <x:c r="A7308" s="4" t="str">
        <x:v>RS-03624-I3</x:v>
      </x:c>
      <x:c r="B7308" s="4" t="str">
        <x:v>RS-03624</x:v>
      </x:c>
      <x:c r="C7308" s="9" t="n">
        <x:v>3</x:v>
      </x:c>
      <x:c r="D7308" s="8" t="n">
        <x:v>45576</x:v>
      </x:c>
      <x:c r="E7308" s="9" t="n">
        <x:v>3650250</x:v>
      </x:c>
      <x:c r="F7308" s="9" t="n">
        <x:v>0</x:v>
      </x:c>
    </x:row>
    <x:row r="7309" ht="34" customHeight="1">
      <x:c r="A7309" s="4" t="str">
        <x:v>RS-03624-I4</x:v>
      </x:c>
      <x:c r="B7309" s="4" t="str">
        <x:v>RS-03624</x:v>
      </x:c>
      <x:c r="C7309" s="9" t="n">
        <x:v>4</x:v>
      </x:c>
      <x:c r="D7309" s="8" t="n">
        <x:v>45606</x:v>
      </x:c>
      <x:c r="E7309" s="9" t="n">
        <x:v>3650250</x:v>
      </x:c>
      <x:c r="F7309" s="9" t="n">
        <x:v>0</x:v>
      </x:c>
    </x:row>
    <x:row r="7310" ht="34" customHeight="1">
      <x:c r="A7310" s="4" t="str">
        <x:v>RS-03626-I1</x:v>
      </x:c>
      <x:c r="B7310" s="4" t="str">
        <x:v>RS-03626</x:v>
      </x:c>
      <x:c r="C7310" s="9" t="n">
        <x:v>1</x:v>
      </x:c>
      <x:c r="D7310" s="8" t="n">
        <x:v>45518</x:v>
      </x:c>
      <x:c r="E7310" s="9" t="n">
        <x:v>4138500</x:v>
      </x:c>
      <x:c r="F7310" s="9" t="n">
        <x:v>1655400</x:v>
      </x:c>
    </x:row>
    <x:row r="7311" ht="34" customHeight="1">
      <x:c r="A7311" s="4" t="str">
        <x:v>RS-03626-I2</x:v>
      </x:c>
      <x:c r="B7311" s="4" t="str">
        <x:v>RS-03626</x:v>
      </x:c>
      <x:c r="C7311" s="9" t="n">
        <x:v>2</x:v>
      </x:c>
      <x:c r="D7311" s="8" t="n">
        <x:v>45548</x:v>
      </x:c>
      <x:c r="E7311" s="9" t="n">
        <x:v>4138500</x:v>
      </x:c>
      <x:c r="F7311" s="9" t="n">
        <x:v>0</x:v>
      </x:c>
    </x:row>
    <x:row r="7312" ht="34" customHeight="1">
      <x:c r="A7312" s="4" t="str">
        <x:v>RS-03626-I3</x:v>
      </x:c>
      <x:c r="B7312" s="4" t="str">
        <x:v>RS-03626</x:v>
      </x:c>
      <x:c r="C7312" s="9" t="n">
        <x:v>3</x:v>
      </x:c>
      <x:c r="D7312" s="8" t="n">
        <x:v>45578</x:v>
      </x:c>
      <x:c r="E7312" s="9" t="n">
        <x:v>4138500</x:v>
      </x:c>
      <x:c r="F7312" s="9" t="n">
        <x:v>0</x:v>
      </x:c>
    </x:row>
    <x:row r="7313" ht="34" customHeight="1">
      <x:c r="A7313" s="4" t="str">
        <x:v>RS-03626-I4</x:v>
      </x:c>
      <x:c r="B7313" s="4" t="str">
        <x:v>RS-03626</x:v>
      </x:c>
      <x:c r="C7313" s="9" t="n">
        <x:v>4</x:v>
      </x:c>
      <x:c r="D7313" s="8" t="n">
        <x:v>45608</x:v>
      </x:c>
      <x:c r="E7313" s="9" t="n">
        <x:v>4138500</x:v>
      </x:c>
      <x:c r="F7313" s="9" t="n">
        <x:v>0</x:v>
      </x:c>
    </x:row>
    <x:row r="7314" ht="34" customHeight="1">
      <x:c r="A7314" s="4" t="str">
        <x:v>RS-03627-I1</x:v>
      </x:c>
      <x:c r="B7314" s="4" t="str">
        <x:v>RS-03627</x:v>
      </x:c>
      <x:c r="C7314" s="9" t="n">
        <x:v>1</x:v>
      </x:c>
      <x:c r="D7314" s="8" t="n">
        <x:v>45519</x:v>
      </x:c>
      <x:c r="E7314" s="9" t="n">
        <x:v>3118500</x:v>
      </x:c>
      <x:c r="F7314" s="9" t="n">
        <x:v>3118500</x:v>
      </x:c>
    </x:row>
    <x:row r="7315" ht="34" customHeight="1">
      <x:c r="A7315" s="4" t="str">
        <x:v>RS-03627-I2</x:v>
      </x:c>
      <x:c r="B7315" s="4" t="str">
        <x:v>RS-03627</x:v>
      </x:c>
      <x:c r="C7315" s="9" t="n">
        <x:v>2</x:v>
      </x:c>
      <x:c r="D7315" s="8" t="n">
        <x:v>45549</x:v>
      </x:c>
      <x:c r="E7315" s="9" t="n">
        <x:v>3118500</x:v>
      </x:c>
      <x:c r="F7315" s="9" t="n">
        <x:v>3118500</x:v>
      </x:c>
    </x:row>
    <x:row r="7316" ht="34" customHeight="1">
      <x:c r="A7316" s="4" t="str">
        <x:v>RS-03627-I3</x:v>
      </x:c>
      <x:c r="B7316" s="4" t="str">
        <x:v>RS-03627</x:v>
      </x:c>
      <x:c r="C7316" s="9" t="n">
        <x:v>3</x:v>
      </x:c>
      <x:c r="D7316" s="8" t="n">
        <x:v>45579</x:v>
      </x:c>
      <x:c r="E7316" s="9" t="n">
        <x:v>3118500</x:v>
      </x:c>
      <x:c r="F7316" s="9" t="n">
        <x:v>0</x:v>
      </x:c>
    </x:row>
    <x:row r="7317" ht="34" customHeight="1">
      <x:c r="A7317" s="4" t="str">
        <x:v>RS-03627-I4</x:v>
      </x:c>
      <x:c r="B7317" s="4" t="str">
        <x:v>RS-03627</x:v>
      </x:c>
      <x:c r="C7317" s="9" t="n">
        <x:v>4</x:v>
      </x:c>
      <x:c r="D7317" s="8" t="n">
        <x:v>45609</x:v>
      </x:c>
      <x:c r="E7317" s="9" t="n">
        <x:v>3118500</x:v>
      </x:c>
      <x:c r="F7317" s="9" t="n">
        <x:v>0</x:v>
      </x:c>
    </x:row>
    <x:row r="7318" ht="34" customHeight="1">
      <x:c r="A7318" s="4" t="str">
        <x:v>RS-03631-I1</x:v>
      </x:c>
      <x:c r="B7318" s="4" t="str">
        <x:v>RS-03631</x:v>
      </x:c>
      <x:c r="C7318" s="9" t="n">
        <x:v>1</x:v>
      </x:c>
      <x:c r="D7318" s="8" t="n">
        <x:v>45523</x:v>
      </x:c>
      <x:c r="E7318" s="9" t="n">
        <x:v>5370750</x:v>
      </x:c>
      <x:c r="F7318" s="9" t="n">
        <x:v>2148300</x:v>
      </x:c>
    </x:row>
    <x:row r="7319" ht="34" customHeight="1">
      <x:c r="A7319" s="4" t="str">
        <x:v>RS-03631-I2</x:v>
      </x:c>
      <x:c r="B7319" s="4" t="str">
        <x:v>RS-03631</x:v>
      </x:c>
      <x:c r="C7319" s="9" t="n">
        <x:v>2</x:v>
      </x:c>
      <x:c r="D7319" s="8" t="n">
        <x:v>45553</x:v>
      </x:c>
      <x:c r="E7319" s="9" t="n">
        <x:v>5370750</x:v>
      </x:c>
      <x:c r="F7319" s="9" t="n">
        <x:v>0</x:v>
      </x:c>
    </x:row>
    <x:row r="7320" ht="34" customHeight="1">
      <x:c r="A7320" s="4" t="str">
        <x:v>RS-03631-I3</x:v>
      </x:c>
      <x:c r="B7320" s="4" t="str">
        <x:v>RS-03631</x:v>
      </x:c>
      <x:c r="C7320" s="9" t="n">
        <x:v>3</x:v>
      </x:c>
      <x:c r="D7320" s="8" t="n">
        <x:v>45583</x:v>
      </x:c>
      <x:c r="E7320" s="9" t="n">
        <x:v>5370750</x:v>
      </x:c>
      <x:c r="F7320" s="9" t="n">
        <x:v>0</x:v>
      </x:c>
    </x:row>
    <x:row r="7321" ht="34" customHeight="1">
      <x:c r="A7321" s="4" t="str">
        <x:v>RS-03631-I4</x:v>
      </x:c>
      <x:c r="B7321" s="4" t="str">
        <x:v>RS-03631</x:v>
      </x:c>
      <x:c r="C7321" s="9" t="n">
        <x:v>4</x:v>
      </x:c>
      <x:c r="D7321" s="8" t="n">
        <x:v>45613</x:v>
      </x:c>
      <x:c r="E7321" s="9" t="n">
        <x:v>5370750</x:v>
      </x:c>
      <x:c r="F7321" s="9" t="n">
        <x:v>0</x:v>
      </x:c>
    </x:row>
    <x:row r="7322" ht="34" customHeight="1">
      <x:c r="A7322" s="4" t="str">
        <x:v>RS-03632-I1</x:v>
      </x:c>
      <x:c r="B7322" s="4" t="str">
        <x:v>RS-03632</x:v>
      </x:c>
      <x:c r="C7322" s="9" t="n">
        <x:v>1</x:v>
      </x:c>
      <x:c r="D7322" s="8" t="n">
        <x:v>45524</x:v>
      </x:c>
      <x:c r="E7322" s="9" t="n">
        <x:v>4900500</x:v>
      </x:c>
      <x:c r="F7322" s="9" t="n">
        <x:v>1960200</x:v>
      </x:c>
    </x:row>
    <x:row r="7323" ht="34" customHeight="1">
      <x:c r="A7323" s="4" t="str">
        <x:v>RS-03632-I2</x:v>
      </x:c>
      <x:c r="B7323" s="4" t="str">
        <x:v>RS-03632</x:v>
      </x:c>
      <x:c r="C7323" s="9" t="n">
        <x:v>2</x:v>
      </x:c>
      <x:c r="D7323" s="8" t="n">
        <x:v>45554</x:v>
      </x:c>
      <x:c r="E7323" s="9" t="n">
        <x:v>4900500</x:v>
      </x:c>
      <x:c r="F7323" s="9" t="n">
        <x:v>0</x:v>
      </x:c>
    </x:row>
    <x:row r="7324" ht="34" customHeight="1">
      <x:c r="A7324" s="4" t="str">
        <x:v>RS-03632-I3</x:v>
      </x:c>
      <x:c r="B7324" s="4" t="str">
        <x:v>RS-03632</x:v>
      </x:c>
      <x:c r="C7324" s="9" t="n">
        <x:v>3</x:v>
      </x:c>
      <x:c r="D7324" s="8" t="n">
        <x:v>45584</x:v>
      </x:c>
      <x:c r="E7324" s="9" t="n">
        <x:v>4900500</x:v>
      </x:c>
      <x:c r="F7324" s="9" t="n">
        <x:v>0</x:v>
      </x:c>
    </x:row>
    <x:row r="7325" ht="34" customHeight="1">
      <x:c r="A7325" s="4" t="str">
        <x:v>RS-03632-I4</x:v>
      </x:c>
      <x:c r="B7325" s="4" t="str">
        <x:v>RS-03632</x:v>
      </x:c>
      <x:c r="C7325" s="9" t="n">
        <x:v>4</x:v>
      </x:c>
      <x:c r="D7325" s="8" t="n">
        <x:v>45614</x:v>
      </x:c>
      <x:c r="E7325" s="9" t="n">
        <x:v>4900500</x:v>
      </x:c>
      <x:c r="F7325" s="9" t="n">
        <x:v>0</x:v>
      </x:c>
    </x:row>
    <x:row r="7326" ht="34" customHeight="1">
      <x:c r="A7326" s="4" t="str">
        <x:v>RS-03633-I1</x:v>
      </x:c>
      <x:c r="B7326" s="4" t="str">
        <x:v>RS-03633</x:v>
      </x:c>
      <x:c r="C7326" s="9" t="n">
        <x:v>1</x:v>
      </x:c>
      <x:c r="D7326" s="8" t="n">
        <x:v>45525</x:v>
      </x:c>
      <x:c r="E7326" s="9" t="n">
        <x:v>1800000</x:v>
      </x:c>
      <x:c r="F7326" s="9" t="n">
        <x:v>720000</x:v>
      </x:c>
    </x:row>
    <x:row r="7327" ht="34" customHeight="1">
      <x:c r="A7327" s="4" t="str">
        <x:v>RS-03633-I2</x:v>
      </x:c>
      <x:c r="B7327" s="4" t="str">
        <x:v>RS-03633</x:v>
      </x:c>
      <x:c r="C7327" s="9" t="n">
        <x:v>2</x:v>
      </x:c>
      <x:c r="D7327" s="8" t="n">
        <x:v>45555</x:v>
      </x:c>
      <x:c r="E7327" s="9" t="n">
        <x:v>1800000</x:v>
      </x:c>
      <x:c r="F7327" s="9" t="n">
        <x:v>0</x:v>
      </x:c>
    </x:row>
    <x:row r="7328" ht="34" customHeight="1">
      <x:c r="A7328" s="4" t="str">
        <x:v>RS-03633-I3</x:v>
      </x:c>
      <x:c r="B7328" s="4" t="str">
        <x:v>RS-03633</x:v>
      </x:c>
      <x:c r="C7328" s="9" t="n">
        <x:v>3</x:v>
      </x:c>
      <x:c r="D7328" s="8" t="n">
        <x:v>45585</x:v>
      </x:c>
      <x:c r="E7328" s="9" t="n">
        <x:v>1800000</x:v>
      </x:c>
      <x:c r="F7328" s="9" t="n">
        <x:v>0</x:v>
      </x:c>
    </x:row>
    <x:row r="7329" ht="34" customHeight="1">
      <x:c r="A7329" s="4" t="str">
        <x:v>RS-03633-I4</x:v>
      </x:c>
      <x:c r="B7329" s="4" t="str">
        <x:v>RS-03633</x:v>
      </x:c>
      <x:c r="C7329" s="9" t="n">
        <x:v>4</x:v>
      </x:c>
      <x:c r="D7329" s="8" t="n">
        <x:v>45615</x:v>
      </x:c>
      <x:c r="E7329" s="9" t="n">
        <x:v>1800000</x:v>
      </x:c>
      <x:c r="F7329" s="9" t="n">
        <x:v>0</x:v>
      </x:c>
    </x:row>
    <x:row r="7330" ht="34" customHeight="1">
      <x:c r="A7330" s="4" t="str">
        <x:v>RS-03634-I1</x:v>
      </x:c>
      <x:c r="B7330" s="4" t="str">
        <x:v>RS-03634</x:v>
      </x:c>
      <x:c r="C7330" s="9" t="n">
        <x:v>1</x:v>
      </x:c>
      <x:c r="D7330" s="8" t="n">
        <x:v>45526</x:v>
      </x:c>
      <x:c r="E7330" s="9" t="n">
        <x:v>5198000</x:v>
      </x:c>
      <x:c r="F7330" s="9" t="n">
        <x:v>5198000</x:v>
      </x:c>
    </x:row>
    <x:row r="7331" ht="34" customHeight="1">
      <x:c r="A7331" s="4" t="str">
        <x:v>RS-03634-I2</x:v>
      </x:c>
      <x:c r="B7331" s="4" t="str">
        <x:v>RS-03634</x:v>
      </x:c>
      <x:c r="C7331" s="9" t="n">
        <x:v>2</x:v>
      </x:c>
      <x:c r="D7331" s="8" t="n">
        <x:v>45556</x:v>
      </x:c>
      <x:c r="E7331" s="9" t="n">
        <x:v>5198000</x:v>
      </x:c>
      <x:c r="F7331" s="9" t="n">
        <x:v>0</x:v>
      </x:c>
    </x:row>
    <x:row r="7332" ht="34" customHeight="1">
      <x:c r="A7332" s="4" t="str">
        <x:v>RS-03634-I3</x:v>
      </x:c>
      <x:c r="B7332" s="4" t="str">
        <x:v>RS-03634</x:v>
      </x:c>
      <x:c r="C7332" s="9" t="n">
        <x:v>3</x:v>
      </x:c>
      <x:c r="D7332" s="8" t="n">
        <x:v>45586</x:v>
      </x:c>
      <x:c r="E7332" s="9" t="n">
        <x:v>5198000</x:v>
      </x:c>
      <x:c r="F7332" s="9" t="n">
        <x:v>0</x:v>
      </x:c>
    </x:row>
    <x:row r="7333" ht="34" customHeight="1">
      <x:c r="A7333" s="4" t="str">
        <x:v>RS-03634-I4</x:v>
      </x:c>
      <x:c r="B7333" s="4" t="str">
        <x:v>RS-03634</x:v>
      </x:c>
      <x:c r="C7333" s="9" t="n">
        <x:v>4</x:v>
      </x:c>
      <x:c r="D7333" s="8" t="n">
        <x:v>45616</x:v>
      </x:c>
      <x:c r="E7333" s="9" t="n">
        <x:v>5198000</x:v>
      </x:c>
      <x:c r="F7333" s="9" t="n">
        <x:v>0</x:v>
      </x:c>
    </x:row>
    <x:row r="7334" ht="34" customHeight="1">
      <x:c r="A7334" s="4" t="str">
        <x:v>RS-03635-I1</x:v>
      </x:c>
      <x:c r="B7334" s="4" t="str">
        <x:v>RS-03635</x:v>
      </x:c>
      <x:c r="C7334" s="9" t="n">
        <x:v>1</x:v>
      </x:c>
      <x:c r="D7334" s="8" t="n">
        <x:v>45527</x:v>
      </x:c>
      <x:c r="E7334" s="9" t="n">
        <x:v>5831000</x:v>
      </x:c>
      <x:c r="F7334" s="9" t="n">
        <x:v>5831000</x:v>
      </x:c>
    </x:row>
    <x:row r="7335" ht="34" customHeight="1">
      <x:c r="A7335" s="4" t="str">
        <x:v>RS-03635-I2</x:v>
      </x:c>
      <x:c r="B7335" s="4" t="str">
        <x:v>RS-03635</x:v>
      </x:c>
      <x:c r="C7335" s="9" t="n">
        <x:v>2</x:v>
      </x:c>
      <x:c r="D7335" s="8" t="n">
        <x:v>45557</x:v>
      </x:c>
      <x:c r="E7335" s="9" t="n">
        <x:v>5831000</x:v>
      </x:c>
      <x:c r="F7335" s="9" t="n">
        <x:v>0</x:v>
      </x:c>
    </x:row>
    <x:row r="7336" ht="34" customHeight="1">
      <x:c r="A7336" s="4" t="str">
        <x:v>RS-03635-I3</x:v>
      </x:c>
      <x:c r="B7336" s="4" t="str">
        <x:v>RS-03635</x:v>
      </x:c>
      <x:c r="C7336" s="9" t="n">
        <x:v>3</x:v>
      </x:c>
      <x:c r="D7336" s="8" t="n">
        <x:v>45587</x:v>
      </x:c>
      <x:c r="E7336" s="9" t="n">
        <x:v>5831000</x:v>
      </x:c>
      <x:c r="F7336" s="9" t="n">
        <x:v>0</x:v>
      </x:c>
    </x:row>
    <x:row r="7337" ht="34" customHeight="1">
      <x:c r="A7337" s="4" t="str">
        <x:v>RS-03635-I4</x:v>
      </x:c>
      <x:c r="B7337" s="4" t="str">
        <x:v>RS-03635</x:v>
      </x:c>
      <x:c r="C7337" s="9" t="n">
        <x:v>4</x:v>
      </x:c>
      <x:c r="D7337" s="8" t="n">
        <x:v>45617</x:v>
      </x:c>
      <x:c r="E7337" s="9" t="n">
        <x:v>5831000</x:v>
      </x:c>
      <x:c r="F7337" s="9" t="n">
        <x:v>0</x:v>
      </x:c>
    </x:row>
    <x:row r="7338" ht="34" customHeight="1">
      <x:c r="A7338" s="4" t="str">
        <x:v>RS-03636-I1</x:v>
      </x:c>
      <x:c r="B7338" s="4" t="str">
        <x:v>RS-03636</x:v>
      </x:c>
      <x:c r="C7338" s="9" t="n">
        <x:v>1</x:v>
      </x:c>
      <x:c r="D7338" s="8" t="n">
        <x:v>45528</x:v>
      </x:c>
      <x:c r="E7338" s="9" t="n">
        <x:v>751750</x:v>
      </x:c>
      <x:c r="F7338" s="9" t="n">
        <x:v>300700</x:v>
      </x:c>
    </x:row>
    <x:row r="7339" ht="34" customHeight="1">
      <x:c r="A7339" s="4" t="str">
        <x:v>RS-03636-I2</x:v>
      </x:c>
      <x:c r="B7339" s="4" t="str">
        <x:v>RS-03636</x:v>
      </x:c>
      <x:c r="C7339" s="9" t="n">
        <x:v>2</x:v>
      </x:c>
      <x:c r="D7339" s="8" t="n">
        <x:v>45558</x:v>
      </x:c>
      <x:c r="E7339" s="9" t="n">
        <x:v>751750</x:v>
      </x:c>
      <x:c r="F7339" s="9" t="n">
        <x:v>0</x:v>
      </x:c>
    </x:row>
    <x:row r="7340" ht="34" customHeight="1">
      <x:c r="A7340" s="4" t="str">
        <x:v>RS-03636-I3</x:v>
      </x:c>
      <x:c r="B7340" s="4" t="str">
        <x:v>RS-03636</x:v>
      </x:c>
      <x:c r="C7340" s="9" t="n">
        <x:v>3</x:v>
      </x:c>
      <x:c r="D7340" s="8" t="n">
        <x:v>45588</x:v>
      </x:c>
      <x:c r="E7340" s="9" t="n">
        <x:v>751750</x:v>
      </x:c>
      <x:c r="F7340" s="9" t="n">
        <x:v>0</x:v>
      </x:c>
    </x:row>
    <x:row r="7341" ht="34" customHeight="1">
      <x:c r="A7341" s="4" t="str">
        <x:v>RS-03636-I4</x:v>
      </x:c>
      <x:c r="B7341" s="4" t="str">
        <x:v>RS-03636</x:v>
      </x:c>
      <x:c r="C7341" s="9" t="n">
        <x:v>4</x:v>
      </x:c>
      <x:c r="D7341" s="8" t="n">
        <x:v>45618</x:v>
      </x:c>
      <x:c r="E7341" s="9" t="n">
        <x:v>751750</x:v>
      </x:c>
      <x:c r="F7341" s="9" t="n">
        <x:v>0</x:v>
      </x:c>
    </x:row>
    <x:row r="7342" ht="34" customHeight="1">
      <x:c r="A7342" s="4" t="str">
        <x:v>RS-03638-I1</x:v>
      </x:c>
      <x:c r="B7342" s="4" t="str">
        <x:v>RS-03638</x:v>
      </x:c>
      <x:c r="C7342" s="9" t="n">
        <x:v>1</x:v>
      </x:c>
      <x:c r="D7342" s="8" t="n">
        <x:v>45530</x:v>
      </x:c>
      <x:c r="E7342" s="9" t="n">
        <x:v>1865500</x:v>
      </x:c>
      <x:c r="F7342" s="9" t="n">
        <x:v>1865500</x:v>
      </x:c>
    </x:row>
    <x:row r="7343" ht="34" customHeight="1">
      <x:c r="A7343" s="4" t="str">
        <x:v>RS-03638-I2</x:v>
      </x:c>
      <x:c r="B7343" s="4" t="str">
        <x:v>RS-03638</x:v>
      </x:c>
      <x:c r="C7343" s="9" t="n">
        <x:v>2</x:v>
      </x:c>
      <x:c r="D7343" s="8" t="n">
        <x:v>45560</x:v>
      </x:c>
      <x:c r="E7343" s="9" t="n">
        <x:v>1865500</x:v>
      </x:c>
      <x:c r="F7343" s="9" t="n">
        <x:v>1865500</x:v>
      </x:c>
    </x:row>
    <x:row r="7344" ht="34" customHeight="1">
      <x:c r="A7344" s="4" t="str">
        <x:v>RS-03638-I3</x:v>
      </x:c>
      <x:c r="B7344" s="4" t="str">
        <x:v>RS-03638</x:v>
      </x:c>
      <x:c r="C7344" s="9" t="n">
        <x:v>3</x:v>
      </x:c>
      <x:c r="D7344" s="8" t="n">
        <x:v>45590</x:v>
      </x:c>
      <x:c r="E7344" s="9" t="n">
        <x:v>1865500</x:v>
      </x:c>
      <x:c r="F7344" s="9" t="n">
        <x:v>1865500</x:v>
      </x:c>
    </x:row>
    <x:row r="7345" ht="34" customHeight="1">
      <x:c r="A7345" s="4" t="str">
        <x:v>RS-03638-I4</x:v>
      </x:c>
      <x:c r="B7345" s="4" t="str">
        <x:v>RS-03638</x:v>
      </x:c>
      <x:c r="C7345" s="9" t="n">
        <x:v>4</x:v>
      </x:c>
      <x:c r="D7345" s="8" t="n">
        <x:v>45620</x:v>
      </x:c>
      <x:c r="E7345" s="9" t="n">
        <x:v>1865500</x:v>
      </x:c>
      <x:c r="F7345" s="9" t="n">
        <x:v>1865500</x:v>
      </x:c>
    </x:row>
    <x:row r="7346" ht="34" customHeight="1">
      <x:c r="A7346" s="4" t="str">
        <x:v>RS-03639-I1</x:v>
      </x:c>
      <x:c r="B7346" s="4" t="str">
        <x:v>RS-03639</x:v>
      </x:c>
      <x:c r="C7346" s="9" t="n">
        <x:v>1</x:v>
      </x:c>
      <x:c r="D7346" s="8" t="n">
        <x:v>45531</x:v>
      </x:c>
      <x:c r="E7346" s="9" t="n">
        <x:v>4841000</x:v>
      </x:c>
      <x:c r="F7346" s="9" t="n">
        <x:v>4841000</x:v>
      </x:c>
    </x:row>
    <x:row r="7347" ht="34" customHeight="1">
      <x:c r="A7347" s="4" t="str">
        <x:v>RS-03639-I2</x:v>
      </x:c>
      <x:c r="B7347" s="4" t="str">
        <x:v>RS-03639</x:v>
      </x:c>
      <x:c r="C7347" s="9" t="n">
        <x:v>2</x:v>
      </x:c>
      <x:c r="D7347" s="8" t="n">
        <x:v>45561</x:v>
      </x:c>
      <x:c r="E7347" s="9" t="n">
        <x:v>4841000</x:v>
      </x:c>
      <x:c r="F7347" s="9" t="n">
        <x:v>4841000</x:v>
      </x:c>
    </x:row>
    <x:row r="7348" ht="34" customHeight="1">
      <x:c r="A7348" s="4" t="str">
        <x:v>RS-03639-I3</x:v>
      </x:c>
      <x:c r="B7348" s="4" t="str">
        <x:v>RS-03639</x:v>
      </x:c>
      <x:c r="C7348" s="9" t="n">
        <x:v>3</x:v>
      </x:c>
      <x:c r="D7348" s="8" t="n">
        <x:v>45591</x:v>
      </x:c>
      <x:c r="E7348" s="9" t="n">
        <x:v>4841000</x:v>
      </x:c>
      <x:c r="F7348" s="9" t="n">
        <x:v>4841000</x:v>
      </x:c>
    </x:row>
    <x:row r="7349" ht="34" customHeight="1">
      <x:c r="A7349" s="4" t="str">
        <x:v>RS-03639-I4</x:v>
      </x:c>
      <x:c r="B7349" s="4" t="str">
        <x:v>RS-03639</x:v>
      </x:c>
      <x:c r="C7349" s="9" t="n">
        <x:v>4</x:v>
      </x:c>
      <x:c r="D7349" s="8" t="n">
        <x:v>45621</x:v>
      </x:c>
      <x:c r="E7349" s="9" t="n">
        <x:v>4841000</x:v>
      </x:c>
      <x:c r="F7349" s="9" t="n">
        <x:v>4841000</x:v>
      </x:c>
    </x:row>
    <x:row r="7350" ht="34" customHeight="1">
      <x:c r="A7350" s="4" t="str">
        <x:v>RS-03643-I1</x:v>
      </x:c>
      <x:c r="B7350" s="4" t="str">
        <x:v>RS-03643</x:v>
      </x:c>
      <x:c r="C7350" s="9" t="n">
        <x:v>1</x:v>
      </x:c>
      <x:c r="D7350" s="8" t="n">
        <x:v>45507</x:v>
      </x:c>
      <x:c r="E7350" s="9" t="n">
        <x:v>4949000</x:v>
      </x:c>
      <x:c r="F7350" s="9" t="n">
        <x:v>4949000</x:v>
      </x:c>
    </x:row>
    <x:row r="7351" ht="34" customHeight="1">
      <x:c r="A7351" s="4" t="str">
        <x:v>RS-03643-I2</x:v>
      </x:c>
      <x:c r="B7351" s="4" t="str">
        <x:v>RS-03643</x:v>
      </x:c>
      <x:c r="C7351" s="9" t="n">
        <x:v>2</x:v>
      </x:c>
      <x:c r="D7351" s="8" t="n">
        <x:v>45537</x:v>
      </x:c>
      <x:c r="E7351" s="9" t="n">
        <x:v>4949000</x:v>
      </x:c>
      <x:c r="F7351" s="9" t="n">
        <x:v>4949000</x:v>
      </x:c>
    </x:row>
    <x:row r="7352" ht="34" customHeight="1">
      <x:c r="A7352" s="4" t="str">
        <x:v>RS-03643-I3</x:v>
      </x:c>
      <x:c r="B7352" s="4" t="str">
        <x:v>RS-03643</x:v>
      </x:c>
      <x:c r="C7352" s="9" t="n">
        <x:v>3</x:v>
      </x:c>
      <x:c r="D7352" s="8" t="n">
        <x:v>45567</x:v>
      </x:c>
      <x:c r="E7352" s="9" t="n">
        <x:v>4949000</x:v>
      </x:c>
      <x:c r="F7352" s="9" t="n">
        <x:v>0</x:v>
      </x:c>
    </x:row>
    <x:row r="7353" ht="34" customHeight="1">
      <x:c r="A7353" s="4" t="str">
        <x:v>RS-03643-I4</x:v>
      </x:c>
      <x:c r="B7353" s="4" t="str">
        <x:v>RS-03643</x:v>
      </x:c>
      <x:c r="C7353" s="9" t="n">
        <x:v>4</x:v>
      </x:c>
      <x:c r="D7353" s="8" t="n">
        <x:v>45597</x:v>
      </x:c>
      <x:c r="E7353" s="9" t="n">
        <x:v>4949000</x:v>
      </x:c>
      <x:c r="F7353" s="9" t="n">
        <x:v>0</x:v>
      </x:c>
    </x:row>
    <x:row r="7354" ht="34" customHeight="1">
      <x:c r="A7354" s="4" t="str">
        <x:v>RS-03644-I1</x:v>
      </x:c>
      <x:c r="B7354" s="4" t="str">
        <x:v>RS-03644</x:v>
      </x:c>
      <x:c r="C7354" s="9" t="n">
        <x:v>1</x:v>
      </x:c>
      <x:c r="D7354" s="8" t="n">
        <x:v>45508</x:v>
      </x:c>
      <x:c r="E7354" s="9" t="n">
        <x:v>4072250</x:v>
      </x:c>
      <x:c r="F7354" s="9" t="n">
        <x:v>1628900</x:v>
      </x:c>
    </x:row>
    <x:row r="7355" ht="34" customHeight="1">
      <x:c r="A7355" s="4" t="str">
        <x:v>RS-03644-I2</x:v>
      </x:c>
      <x:c r="B7355" s="4" t="str">
        <x:v>RS-03644</x:v>
      </x:c>
      <x:c r="C7355" s="9" t="n">
        <x:v>2</x:v>
      </x:c>
      <x:c r="D7355" s="8" t="n">
        <x:v>45538</x:v>
      </x:c>
      <x:c r="E7355" s="9" t="n">
        <x:v>4072250</x:v>
      </x:c>
      <x:c r="F7355" s="9" t="n">
        <x:v>0</x:v>
      </x:c>
    </x:row>
    <x:row r="7356" ht="34" customHeight="1">
      <x:c r="A7356" s="4" t="str">
        <x:v>RS-03644-I3</x:v>
      </x:c>
      <x:c r="B7356" s="4" t="str">
        <x:v>RS-03644</x:v>
      </x:c>
      <x:c r="C7356" s="9" t="n">
        <x:v>3</x:v>
      </x:c>
      <x:c r="D7356" s="8" t="n">
        <x:v>45568</x:v>
      </x:c>
      <x:c r="E7356" s="9" t="n">
        <x:v>4072250</x:v>
      </x:c>
      <x:c r="F7356" s="9" t="n">
        <x:v>0</x:v>
      </x:c>
    </x:row>
    <x:row r="7357" ht="34" customHeight="1">
      <x:c r="A7357" s="4" t="str">
        <x:v>RS-03644-I4</x:v>
      </x:c>
      <x:c r="B7357" s="4" t="str">
        <x:v>RS-03644</x:v>
      </x:c>
      <x:c r="C7357" s="9" t="n">
        <x:v>4</x:v>
      </x:c>
      <x:c r="D7357" s="8" t="n">
        <x:v>45598</x:v>
      </x:c>
      <x:c r="E7357" s="9" t="n">
        <x:v>4072250</x:v>
      </x:c>
      <x:c r="F7357" s="9" t="n">
        <x:v>0</x:v>
      </x:c>
    </x:row>
    <x:row r="7358" ht="34" customHeight="1">
      <x:c r="A7358" s="4" t="str">
        <x:v>RS-03646-I1</x:v>
      </x:c>
      <x:c r="B7358" s="4" t="str">
        <x:v>RS-03646</x:v>
      </x:c>
      <x:c r="C7358" s="9" t="n">
        <x:v>1</x:v>
      </x:c>
      <x:c r="D7358" s="8" t="n">
        <x:v>45510</x:v>
      </x:c>
      <x:c r="E7358" s="9" t="n">
        <x:v>3960000</x:v>
      </x:c>
      <x:c r="F7358" s="9" t="n">
        <x:v>3960000</x:v>
      </x:c>
    </x:row>
    <x:row r="7359" ht="34" customHeight="1">
      <x:c r="A7359" s="4" t="str">
        <x:v>RS-03646-I2</x:v>
      </x:c>
      <x:c r="B7359" s="4" t="str">
        <x:v>RS-03646</x:v>
      </x:c>
      <x:c r="C7359" s="9" t="n">
        <x:v>2</x:v>
      </x:c>
      <x:c r="D7359" s="8" t="n">
        <x:v>45540</x:v>
      </x:c>
      <x:c r="E7359" s="9" t="n">
        <x:v>3960000</x:v>
      </x:c>
      <x:c r="F7359" s="9" t="n">
        <x:v>3960000</x:v>
      </x:c>
    </x:row>
    <x:row r="7360" ht="34" customHeight="1">
      <x:c r="A7360" s="4" t="str">
        <x:v>RS-03646-I3</x:v>
      </x:c>
      <x:c r="B7360" s="4" t="str">
        <x:v>RS-03646</x:v>
      </x:c>
      <x:c r="C7360" s="9" t="n">
        <x:v>3</x:v>
      </x:c>
      <x:c r="D7360" s="8" t="n">
        <x:v>45570</x:v>
      </x:c>
      <x:c r="E7360" s="9" t="n">
        <x:v>3960000</x:v>
      </x:c>
      <x:c r="F7360" s="9" t="n">
        <x:v>0</x:v>
      </x:c>
    </x:row>
    <x:row r="7361" ht="34" customHeight="1">
      <x:c r="A7361" s="4" t="str">
        <x:v>RS-03646-I4</x:v>
      </x:c>
      <x:c r="B7361" s="4" t="str">
        <x:v>RS-03646</x:v>
      </x:c>
      <x:c r="C7361" s="9" t="n">
        <x:v>4</x:v>
      </x:c>
      <x:c r="D7361" s="8" t="n">
        <x:v>45600</x:v>
      </x:c>
      <x:c r="E7361" s="9" t="n">
        <x:v>3960000</x:v>
      </x:c>
      <x:c r="F7361" s="9" t="n">
        <x:v>0</x:v>
      </x:c>
    </x:row>
    <x:row r="7362" ht="34" customHeight="1">
      <x:c r="A7362" s="4" t="str">
        <x:v>RS-03647-I1</x:v>
      </x:c>
      <x:c r="B7362" s="4" t="str">
        <x:v>RS-03647</x:v>
      </x:c>
      <x:c r="C7362" s="9" t="n">
        <x:v>1</x:v>
      </x:c>
      <x:c r="D7362" s="8" t="n">
        <x:v>45511</x:v>
      </x:c>
      <x:c r="E7362" s="9" t="n">
        <x:v>2944000</x:v>
      </x:c>
      <x:c r="F7362" s="9" t="n">
        <x:v>2944000</x:v>
      </x:c>
    </x:row>
    <x:row r="7363" ht="34" customHeight="1">
      <x:c r="A7363" s="4" t="str">
        <x:v>RS-03647-I2</x:v>
      </x:c>
      <x:c r="B7363" s="4" t="str">
        <x:v>RS-03647</x:v>
      </x:c>
      <x:c r="C7363" s="9" t="n">
        <x:v>2</x:v>
      </x:c>
      <x:c r="D7363" s="8" t="n">
        <x:v>45541</x:v>
      </x:c>
      <x:c r="E7363" s="9" t="n">
        <x:v>2944000</x:v>
      </x:c>
      <x:c r="F7363" s="9" t="n">
        <x:v>2944000</x:v>
      </x:c>
    </x:row>
    <x:row r="7364" ht="34" customHeight="1">
      <x:c r="A7364" s="4" t="str">
        <x:v>RS-03647-I3</x:v>
      </x:c>
      <x:c r="B7364" s="4" t="str">
        <x:v>RS-03647</x:v>
      </x:c>
      <x:c r="C7364" s="9" t="n">
        <x:v>3</x:v>
      </x:c>
      <x:c r="D7364" s="8" t="n">
        <x:v>45571</x:v>
      </x:c>
      <x:c r="E7364" s="9" t="n">
        <x:v>2944000</x:v>
      </x:c>
      <x:c r="F7364" s="9" t="n">
        <x:v>0</x:v>
      </x:c>
    </x:row>
    <x:row r="7365" ht="34" customHeight="1">
      <x:c r="A7365" s="4" t="str">
        <x:v>RS-03647-I4</x:v>
      </x:c>
      <x:c r="B7365" s="4" t="str">
        <x:v>RS-03647</x:v>
      </x:c>
      <x:c r="C7365" s="9" t="n">
        <x:v>4</x:v>
      </x:c>
      <x:c r="D7365" s="8" t="n">
        <x:v>45601</x:v>
      </x:c>
      <x:c r="E7365" s="9" t="n">
        <x:v>2944000</x:v>
      </x:c>
      <x:c r="F7365" s="9" t="n">
        <x:v>0</x:v>
      </x:c>
    </x:row>
    <x:row r="7366" ht="34" customHeight="1">
      <x:c r="A7366" s="4" t="str">
        <x:v>RS-03648-I1</x:v>
      </x:c>
      <x:c r="B7366" s="4" t="str">
        <x:v>RS-03648</x:v>
      </x:c>
      <x:c r="C7366" s="9" t="n">
        <x:v>1</x:v>
      </x:c>
      <x:c r="D7366" s="8" t="n">
        <x:v>45512</x:v>
      </x:c>
      <x:c r="E7366" s="9" t="n">
        <x:v>5831000</x:v>
      </x:c>
      <x:c r="F7366" s="9" t="n">
        <x:v>5831000</x:v>
      </x:c>
    </x:row>
    <x:row r="7367" ht="34" customHeight="1">
      <x:c r="A7367" s="4" t="str">
        <x:v>RS-03648-I2</x:v>
      </x:c>
      <x:c r="B7367" s="4" t="str">
        <x:v>RS-03648</x:v>
      </x:c>
      <x:c r="C7367" s="9" t="n">
        <x:v>2</x:v>
      </x:c>
      <x:c r="D7367" s="8" t="n">
        <x:v>45542</x:v>
      </x:c>
      <x:c r="E7367" s="9" t="n">
        <x:v>5831000</x:v>
      </x:c>
      <x:c r="F7367" s="9" t="n">
        <x:v>5831000</x:v>
      </x:c>
    </x:row>
    <x:row r="7368" ht="34" customHeight="1">
      <x:c r="A7368" s="4" t="str">
        <x:v>RS-03648-I3</x:v>
      </x:c>
      <x:c r="B7368" s="4" t="str">
        <x:v>RS-03648</x:v>
      </x:c>
      <x:c r="C7368" s="9" t="n">
        <x:v>3</x:v>
      </x:c>
      <x:c r="D7368" s="8" t="n">
        <x:v>45572</x:v>
      </x:c>
      <x:c r="E7368" s="9" t="n">
        <x:v>5831000</x:v>
      </x:c>
      <x:c r="F7368" s="9" t="n">
        <x:v>5831000</x:v>
      </x:c>
    </x:row>
    <x:row r="7369" ht="34" customHeight="1">
      <x:c r="A7369" s="4" t="str">
        <x:v>RS-03648-I4</x:v>
      </x:c>
      <x:c r="B7369" s="4" t="str">
        <x:v>RS-03648</x:v>
      </x:c>
      <x:c r="C7369" s="9" t="n">
        <x:v>4</x:v>
      </x:c>
      <x:c r="D7369" s="8" t="n">
        <x:v>45602</x:v>
      </x:c>
      <x:c r="E7369" s="9" t="n">
        <x:v>5831000</x:v>
      </x:c>
      <x:c r="F7369" s="9" t="n">
        <x:v>5831000</x:v>
      </x:c>
    </x:row>
    <x:row r="7370" ht="34" customHeight="1">
      <x:c r="A7370" s="4" t="str">
        <x:v>RS-03650-I1</x:v>
      </x:c>
      <x:c r="B7370" s="4" t="str">
        <x:v>RS-03650</x:v>
      </x:c>
      <x:c r="C7370" s="9" t="n">
        <x:v>1</x:v>
      </x:c>
      <x:c r="D7370" s="8" t="n">
        <x:v>45514</x:v>
      </x:c>
      <x:c r="E7370" s="9" t="n">
        <x:v>3250000</x:v>
      </x:c>
      <x:c r="F7370" s="9" t="n">
        <x:v>3250000</x:v>
      </x:c>
    </x:row>
    <x:row r="7371" ht="34" customHeight="1">
      <x:c r="A7371" s="4" t="str">
        <x:v>RS-03650-I2</x:v>
      </x:c>
      <x:c r="B7371" s="4" t="str">
        <x:v>RS-03650</x:v>
      </x:c>
      <x:c r="C7371" s="9" t="n">
        <x:v>2</x:v>
      </x:c>
      <x:c r="D7371" s="8" t="n">
        <x:v>45544</x:v>
      </x:c>
      <x:c r="E7371" s="9" t="n">
        <x:v>3250000</x:v>
      </x:c>
      <x:c r="F7371" s="9" t="n">
        <x:v>3250000</x:v>
      </x:c>
    </x:row>
    <x:row r="7372" ht="34" customHeight="1">
      <x:c r="A7372" s="4" t="str">
        <x:v>RS-03650-I3</x:v>
      </x:c>
      <x:c r="B7372" s="4" t="str">
        <x:v>RS-03650</x:v>
      </x:c>
      <x:c r="C7372" s="9" t="n">
        <x:v>3</x:v>
      </x:c>
      <x:c r="D7372" s="8" t="n">
        <x:v>45574</x:v>
      </x:c>
      <x:c r="E7372" s="9" t="n">
        <x:v>3250000</x:v>
      </x:c>
      <x:c r="F7372" s="9" t="n">
        <x:v>3250000</x:v>
      </x:c>
    </x:row>
    <x:row r="7373" ht="34" customHeight="1">
      <x:c r="A7373" s="4" t="str">
        <x:v>RS-03650-I4</x:v>
      </x:c>
      <x:c r="B7373" s="4" t="str">
        <x:v>RS-03650</x:v>
      </x:c>
      <x:c r="C7373" s="9" t="n">
        <x:v>4</x:v>
      </x:c>
      <x:c r="D7373" s="8" t="n">
        <x:v>45604</x:v>
      </x:c>
      <x:c r="E7373" s="9" t="n">
        <x:v>3250000</x:v>
      </x:c>
      <x:c r="F7373" s="9" t="n">
        <x:v>3250000</x:v>
      </x:c>
    </x:row>
    <x:row r="7374" ht="34" customHeight="1">
      <x:c r="A7374" s="4" t="str">
        <x:v>RS-03652-I1</x:v>
      </x:c>
      <x:c r="B7374" s="4" t="str">
        <x:v>RS-03652</x:v>
      </x:c>
      <x:c r="C7374" s="9" t="n">
        <x:v>1</x:v>
      </x:c>
      <x:c r="D7374" s="8" t="n">
        <x:v>45516</x:v>
      </x:c>
      <x:c r="E7374" s="9" t="n">
        <x:v>2002500</x:v>
      </x:c>
      <x:c r="F7374" s="9" t="n">
        <x:v>2002500</x:v>
      </x:c>
    </x:row>
    <x:row r="7375" ht="34" customHeight="1">
      <x:c r="A7375" s="4" t="str">
        <x:v>RS-03652-I2</x:v>
      </x:c>
      <x:c r="B7375" s="4" t="str">
        <x:v>RS-03652</x:v>
      </x:c>
      <x:c r="C7375" s="9" t="n">
        <x:v>2</x:v>
      </x:c>
      <x:c r="D7375" s="8" t="n">
        <x:v>45546</x:v>
      </x:c>
      <x:c r="E7375" s="9" t="n">
        <x:v>2002500</x:v>
      </x:c>
      <x:c r="F7375" s="9" t="n">
        <x:v>0</x:v>
      </x:c>
    </x:row>
    <x:row r="7376" ht="34" customHeight="1">
      <x:c r="A7376" s="4" t="str">
        <x:v>RS-03652-I3</x:v>
      </x:c>
      <x:c r="B7376" s="4" t="str">
        <x:v>RS-03652</x:v>
      </x:c>
      <x:c r="C7376" s="9" t="n">
        <x:v>3</x:v>
      </x:c>
      <x:c r="D7376" s="8" t="n">
        <x:v>45576</x:v>
      </x:c>
      <x:c r="E7376" s="9" t="n">
        <x:v>2002500</x:v>
      </x:c>
      <x:c r="F7376" s="9" t="n">
        <x:v>0</x:v>
      </x:c>
    </x:row>
    <x:row r="7377" ht="34" customHeight="1">
      <x:c r="A7377" s="4" t="str">
        <x:v>RS-03652-I4</x:v>
      </x:c>
      <x:c r="B7377" s="4" t="str">
        <x:v>RS-03652</x:v>
      </x:c>
      <x:c r="C7377" s="9" t="n">
        <x:v>4</x:v>
      </x:c>
      <x:c r="D7377" s="8" t="n">
        <x:v>45606</x:v>
      </x:c>
      <x:c r="E7377" s="9" t="n">
        <x:v>2002500</x:v>
      </x:c>
      <x:c r="F7377" s="9" t="n">
        <x:v>0</x:v>
      </x:c>
    </x:row>
    <x:row r="7378" ht="34" customHeight="1">
      <x:c r="A7378" s="4" t="str">
        <x:v>RS-03658-I1</x:v>
      </x:c>
      <x:c r="B7378" s="4" t="str">
        <x:v>RS-03658</x:v>
      </x:c>
      <x:c r="C7378" s="9" t="n">
        <x:v>1</x:v>
      </x:c>
      <x:c r="D7378" s="8" t="n">
        <x:v>45522</x:v>
      </x:c>
      <x:c r="E7378" s="9" t="n">
        <x:v>5635000</x:v>
      </x:c>
      <x:c r="F7378" s="9" t="n">
        <x:v>5635000</x:v>
      </x:c>
    </x:row>
    <x:row r="7379" ht="34" customHeight="1">
      <x:c r="A7379" s="4" t="str">
        <x:v>RS-03658-I2</x:v>
      </x:c>
      <x:c r="B7379" s="4" t="str">
        <x:v>RS-03658</x:v>
      </x:c>
      <x:c r="C7379" s="9" t="n">
        <x:v>2</x:v>
      </x:c>
      <x:c r="D7379" s="8" t="n">
        <x:v>45552</x:v>
      </x:c>
      <x:c r="E7379" s="9" t="n">
        <x:v>5635000</x:v>
      </x:c>
      <x:c r="F7379" s="9" t="n">
        <x:v>0</x:v>
      </x:c>
    </x:row>
    <x:row r="7380" ht="34" customHeight="1">
      <x:c r="A7380" s="4" t="str">
        <x:v>RS-03658-I3</x:v>
      </x:c>
      <x:c r="B7380" s="4" t="str">
        <x:v>RS-03658</x:v>
      </x:c>
      <x:c r="C7380" s="9" t="n">
        <x:v>3</x:v>
      </x:c>
      <x:c r="D7380" s="8" t="n">
        <x:v>45582</x:v>
      </x:c>
      <x:c r="E7380" s="9" t="n">
        <x:v>5635000</x:v>
      </x:c>
      <x:c r="F7380" s="9" t="n">
        <x:v>0</x:v>
      </x:c>
    </x:row>
    <x:row r="7381" ht="34" customHeight="1">
      <x:c r="A7381" s="4" t="str">
        <x:v>RS-03658-I4</x:v>
      </x:c>
      <x:c r="B7381" s="4" t="str">
        <x:v>RS-03658</x:v>
      </x:c>
      <x:c r="C7381" s="9" t="n">
        <x:v>4</x:v>
      </x:c>
      <x:c r="D7381" s="8" t="n">
        <x:v>45612</x:v>
      </x:c>
      <x:c r="E7381" s="9" t="n">
        <x:v>5635000</x:v>
      </x:c>
      <x:c r="F7381" s="9" t="n">
        <x:v>0</x:v>
      </x:c>
    </x:row>
    <x:row r="7382" ht="34" customHeight="1">
      <x:c r="A7382" s="4" t="str">
        <x:v>RS-03659-I1</x:v>
      </x:c>
      <x:c r="B7382" s="4" t="str">
        <x:v>RS-03659</x:v>
      </x:c>
      <x:c r="C7382" s="9" t="n">
        <x:v>1</x:v>
      </x:c>
      <x:c r="D7382" s="8" t="n">
        <x:v>45523</x:v>
      </x:c>
      <x:c r="E7382" s="9" t="n">
        <x:v>5425000</x:v>
      </x:c>
      <x:c r="F7382" s="9" t="n">
        <x:v>5425000</x:v>
      </x:c>
    </x:row>
    <x:row r="7383" ht="34" customHeight="1">
      <x:c r="A7383" s="4" t="str">
        <x:v>RS-03659-I2</x:v>
      </x:c>
      <x:c r="B7383" s="4" t="str">
        <x:v>RS-03659</x:v>
      </x:c>
      <x:c r="C7383" s="9" t="n">
        <x:v>2</x:v>
      </x:c>
      <x:c r="D7383" s="8" t="n">
        <x:v>45553</x:v>
      </x:c>
      <x:c r="E7383" s="9" t="n">
        <x:v>5425000</x:v>
      </x:c>
      <x:c r="F7383" s="9" t="n">
        <x:v>5425000</x:v>
      </x:c>
    </x:row>
    <x:row r="7384" ht="34" customHeight="1">
      <x:c r="A7384" s="4" t="str">
        <x:v>RS-03659-I3</x:v>
      </x:c>
      <x:c r="B7384" s="4" t="str">
        <x:v>RS-03659</x:v>
      </x:c>
      <x:c r="C7384" s="9" t="n">
        <x:v>3</x:v>
      </x:c>
      <x:c r="D7384" s="8" t="n">
        <x:v>45583</x:v>
      </x:c>
      <x:c r="E7384" s="9" t="n">
        <x:v>5425000</x:v>
      </x:c>
      <x:c r="F7384" s="9" t="n">
        <x:v>5425000</x:v>
      </x:c>
    </x:row>
    <x:row r="7385" ht="34" customHeight="1">
      <x:c r="A7385" s="4" t="str">
        <x:v>RS-03659-I4</x:v>
      </x:c>
      <x:c r="B7385" s="4" t="str">
        <x:v>RS-03659</x:v>
      </x:c>
      <x:c r="C7385" s="9" t="n">
        <x:v>4</x:v>
      </x:c>
      <x:c r="D7385" s="8" t="n">
        <x:v>45613</x:v>
      </x:c>
      <x:c r="E7385" s="9" t="n">
        <x:v>5425000</x:v>
      </x:c>
      <x:c r="F7385" s="9" t="n">
        <x:v>5425000</x:v>
      </x:c>
    </x:row>
    <x:row r="7386" ht="34" customHeight="1">
      <x:c r="A7386" s="4" t="str">
        <x:v>RS-03663-I1</x:v>
      </x:c>
      <x:c r="B7386" s="4" t="str">
        <x:v>RS-03663</x:v>
      </x:c>
      <x:c r="C7386" s="9" t="n">
        <x:v>1</x:v>
      </x:c>
      <x:c r="D7386" s="8" t="n">
        <x:v>45527</x:v>
      </x:c>
      <x:c r="E7386" s="9" t="n">
        <x:v>5851500</x:v>
      </x:c>
      <x:c r="F7386" s="9" t="n">
        <x:v>2340600</x:v>
      </x:c>
    </x:row>
    <x:row r="7387" ht="34" customHeight="1">
      <x:c r="A7387" s="4" t="str">
        <x:v>RS-03663-I2</x:v>
      </x:c>
      <x:c r="B7387" s="4" t="str">
        <x:v>RS-03663</x:v>
      </x:c>
      <x:c r="C7387" s="9" t="n">
        <x:v>2</x:v>
      </x:c>
      <x:c r="D7387" s="8" t="n">
        <x:v>45557</x:v>
      </x:c>
      <x:c r="E7387" s="9" t="n">
        <x:v>5851500</x:v>
      </x:c>
      <x:c r="F7387" s="9" t="n">
        <x:v>0</x:v>
      </x:c>
    </x:row>
    <x:row r="7388" ht="34" customHeight="1">
      <x:c r="A7388" s="4" t="str">
        <x:v>RS-03663-I3</x:v>
      </x:c>
      <x:c r="B7388" s="4" t="str">
        <x:v>RS-03663</x:v>
      </x:c>
      <x:c r="C7388" s="9" t="n">
        <x:v>3</x:v>
      </x:c>
      <x:c r="D7388" s="8" t="n">
        <x:v>45587</x:v>
      </x:c>
      <x:c r="E7388" s="9" t="n">
        <x:v>5851500</x:v>
      </x:c>
      <x:c r="F7388" s="9" t="n">
        <x:v>0</x:v>
      </x:c>
    </x:row>
    <x:row r="7389" ht="34" customHeight="1">
      <x:c r="A7389" s="4" t="str">
        <x:v>RS-03663-I4</x:v>
      </x:c>
      <x:c r="B7389" s="4" t="str">
        <x:v>RS-03663</x:v>
      </x:c>
      <x:c r="C7389" s="9" t="n">
        <x:v>4</x:v>
      </x:c>
      <x:c r="D7389" s="8" t="n">
        <x:v>45617</x:v>
      </x:c>
      <x:c r="E7389" s="9" t="n">
        <x:v>5851500</x:v>
      </x:c>
      <x:c r="F7389" s="9" t="n">
        <x:v>0</x:v>
      </x:c>
    </x:row>
    <x:row r="7390" ht="34" customHeight="1">
      <x:c r="A7390" s="4" t="str">
        <x:v>RS-03664-I1</x:v>
      </x:c>
      <x:c r="B7390" s="4" t="str">
        <x:v>RS-03664</x:v>
      </x:c>
      <x:c r="C7390" s="9" t="n">
        <x:v>1</x:v>
      </x:c>
      <x:c r="D7390" s="8" t="n">
        <x:v>45528</x:v>
      </x:c>
      <x:c r="E7390" s="9" t="n">
        <x:v>1157000</x:v>
      </x:c>
      <x:c r="F7390" s="9" t="n">
        <x:v>462800</x:v>
      </x:c>
    </x:row>
    <x:row r="7391" ht="34" customHeight="1">
      <x:c r="A7391" s="4" t="str">
        <x:v>RS-03664-I2</x:v>
      </x:c>
      <x:c r="B7391" s="4" t="str">
        <x:v>RS-03664</x:v>
      </x:c>
      <x:c r="C7391" s="9" t="n">
        <x:v>2</x:v>
      </x:c>
      <x:c r="D7391" s="8" t="n">
        <x:v>45558</x:v>
      </x:c>
      <x:c r="E7391" s="9" t="n">
        <x:v>1157000</x:v>
      </x:c>
      <x:c r="F7391" s="9" t="n">
        <x:v>0</x:v>
      </x:c>
    </x:row>
    <x:row r="7392" ht="34" customHeight="1">
      <x:c r="A7392" s="4" t="str">
        <x:v>RS-03664-I3</x:v>
      </x:c>
      <x:c r="B7392" s="4" t="str">
        <x:v>RS-03664</x:v>
      </x:c>
      <x:c r="C7392" s="9" t="n">
        <x:v>3</x:v>
      </x:c>
      <x:c r="D7392" s="8" t="n">
        <x:v>45588</x:v>
      </x:c>
      <x:c r="E7392" s="9" t="n">
        <x:v>1157000</x:v>
      </x:c>
      <x:c r="F7392" s="9" t="n">
        <x:v>0</x:v>
      </x:c>
    </x:row>
    <x:row r="7393" ht="34" customHeight="1">
      <x:c r="A7393" s="4" t="str">
        <x:v>RS-03664-I4</x:v>
      </x:c>
      <x:c r="B7393" s="4" t="str">
        <x:v>RS-03664</x:v>
      </x:c>
      <x:c r="C7393" s="9" t="n">
        <x:v>4</x:v>
      </x:c>
      <x:c r="D7393" s="8" t="n">
        <x:v>45618</x:v>
      </x:c>
      <x:c r="E7393" s="9" t="n">
        <x:v>1157000</x:v>
      </x:c>
      <x:c r="F7393" s="9" t="n">
        <x:v>0</x:v>
      </x:c>
    </x:row>
    <x:row r="7394" ht="34" customHeight="1">
      <x:c r="A7394" s="4" t="str">
        <x:v>RS-03667-I1</x:v>
      </x:c>
      <x:c r="B7394" s="4" t="str">
        <x:v>RS-03667</x:v>
      </x:c>
      <x:c r="C7394" s="9" t="n">
        <x:v>1</x:v>
      </x:c>
      <x:c r="D7394" s="8" t="n">
        <x:v>45531</x:v>
      </x:c>
      <x:c r="E7394" s="9" t="n">
        <x:v>5757500</x:v>
      </x:c>
      <x:c r="F7394" s="9" t="n">
        <x:v>5757500</x:v>
      </x:c>
    </x:row>
    <x:row r="7395" ht="34" customHeight="1">
      <x:c r="A7395" s="4" t="str">
        <x:v>RS-03667-I2</x:v>
      </x:c>
      <x:c r="B7395" s="4" t="str">
        <x:v>RS-03667</x:v>
      </x:c>
      <x:c r="C7395" s="9" t="n">
        <x:v>2</x:v>
      </x:c>
      <x:c r="D7395" s="8" t="n">
        <x:v>45561</x:v>
      </x:c>
      <x:c r="E7395" s="9" t="n">
        <x:v>5757500</x:v>
      </x:c>
      <x:c r="F7395" s="9" t="n">
        <x:v>0</x:v>
      </x:c>
    </x:row>
    <x:row r="7396" ht="34" customHeight="1">
      <x:c r="A7396" s="4" t="str">
        <x:v>RS-03667-I3</x:v>
      </x:c>
      <x:c r="B7396" s="4" t="str">
        <x:v>RS-03667</x:v>
      </x:c>
      <x:c r="C7396" s="9" t="n">
        <x:v>3</x:v>
      </x:c>
      <x:c r="D7396" s="8" t="n">
        <x:v>45591</x:v>
      </x:c>
      <x:c r="E7396" s="9" t="n">
        <x:v>5757500</x:v>
      </x:c>
      <x:c r="F7396" s="9" t="n">
        <x:v>0</x:v>
      </x:c>
    </x:row>
    <x:row r="7397" ht="34" customHeight="1">
      <x:c r="A7397" s="4" t="str">
        <x:v>RS-03667-I4</x:v>
      </x:c>
      <x:c r="B7397" s="4" t="str">
        <x:v>RS-03667</x:v>
      </x:c>
      <x:c r="C7397" s="9" t="n">
        <x:v>4</x:v>
      </x:c>
      <x:c r="D7397" s="8" t="n">
        <x:v>45621</x:v>
      </x:c>
      <x:c r="E7397" s="9" t="n">
        <x:v>5757500</x:v>
      </x:c>
      <x:c r="F7397" s="9" t="n">
        <x:v>0</x:v>
      </x:c>
    </x:row>
    <x:row r="7398" ht="34" customHeight="1">
      <x:c r="A7398" s="4" t="str">
        <x:v>RS-03669-I1</x:v>
      </x:c>
      <x:c r="B7398" s="4" t="str">
        <x:v>RS-03669</x:v>
      </x:c>
      <x:c r="C7398" s="9" t="n">
        <x:v>1</x:v>
      </x:c>
      <x:c r="D7398" s="8" t="n">
        <x:v>45505</x:v>
      </x:c>
      <x:c r="E7398" s="9" t="n">
        <x:v>3882750</x:v>
      </x:c>
      <x:c r="F7398" s="9" t="n">
        <x:v>3882750</x:v>
      </x:c>
    </x:row>
    <x:row r="7399" ht="34" customHeight="1">
      <x:c r="A7399" s="4" t="str">
        <x:v>RS-03669-I2</x:v>
      </x:c>
      <x:c r="B7399" s="4" t="str">
        <x:v>RS-03669</x:v>
      </x:c>
      <x:c r="C7399" s="9" t="n">
        <x:v>2</x:v>
      </x:c>
      <x:c r="D7399" s="8" t="n">
        <x:v>45535</x:v>
      </x:c>
      <x:c r="E7399" s="9" t="n">
        <x:v>3882750</x:v>
      </x:c>
      <x:c r="F7399" s="9" t="n">
        <x:v>3882750</x:v>
      </x:c>
    </x:row>
    <x:row r="7400" ht="34" customHeight="1">
      <x:c r="A7400" s="4" t="str">
        <x:v>RS-03669-I3</x:v>
      </x:c>
      <x:c r="B7400" s="4" t="str">
        <x:v>RS-03669</x:v>
      </x:c>
      <x:c r="C7400" s="9" t="n">
        <x:v>3</x:v>
      </x:c>
      <x:c r="D7400" s="8" t="n">
        <x:v>45565</x:v>
      </x:c>
      <x:c r="E7400" s="9" t="n">
        <x:v>3882750</x:v>
      </x:c>
      <x:c r="F7400" s="9" t="n">
        <x:v>3882750</x:v>
      </x:c>
    </x:row>
    <x:row r="7401" ht="34" customHeight="1">
      <x:c r="A7401" s="4" t="str">
        <x:v>RS-03669-I4</x:v>
      </x:c>
      <x:c r="B7401" s="4" t="str">
        <x:v>RS-03669</x:v>
      </x:c>
      <x:c r="C7401" s="9" t="n">
        <x:v>4</x:v>
      </x:c>
      <x:c r="D7401" s="8" t="n">
        <x:v>45595</x:v>
      </x:c>
      <x:c r="E7401" s="9" t="n">
        <x:v>3882750</x:v>
      </x:c>
      <x:c r="F7401" s="9" t="n">
        <x:v>3882750</x:v>
      </x:c>
    </x:row>
    <x:row r="7402" ht="34" customHeight="1">
      <x:c r="A7402" s="4" t="str">
        <x:v>RS-03670-I1</x:v>
      </x:c>
      <x:c r="B7402" s="4" t="str">
        <x:v>RS-03670</x:v>
      </x:c>
      <x:c r="C7402" s="9" t="n">
        <x:v>1</x:v>
      </x:c>
      <x:c r="D7402" s="8" t="n">
        <x:v>45506</x:v>
      </x:c>
      <x:c r="E7402" s="9" t="n">
        <x:v>2632000</x:v>
      </x:c>
      <x:c r="F7402" s="9" t="n">
        <x:v>2632000</x:v>
      </x:c>
    </x:row>
    <x:row r="7403" ht="34" customHeight="1">
      <x:c r="A7403" s="4" t="str">
        <x:v>RS-03670-I2</x:v>
      </x:c>
      <x:c r="B7403" s="4" t="str">
        <x:v>RS-03670</x:v>
      </x:c>
      <x:c r="C7403" s="9" t="n">
        <x:v>2</x:v>
      </x:c>
      <x:c r="D7403" s="8" t="n">
        <x:v>45536</x:v>
      </x:c>
      <x:c r="E7403" s="9" t="n">
        <x:v>2632000</x:v>
      </x:c>
      <x:c r="F7403" s="9" t="n">
        <x:v>2632000</x:v>
      </x:c>
    </x:row>
    <x:row r="7404" ht="34" customHeight="1">
      <x:c r="A7404" s="4" t="str">
        <x:v>RS-03670-I3</x:v>
      </x:c>
      <x:c r="B7404" s="4" t="str">
        <x:v>RS-03670</x:v>
      </x:c>
      <x:c r="C7404" s="9" t="n">
        <x:v>3</x:v>
      </x:c>
      <x:c r="D7404" s="8" t="n">
        <x:v>45566</x:v>
      </x:c>
      <x:c r="E7404" s="9" t="n">
        <x:v>2632000</x:v>
      </x:c>
      <x:c r="F7404" s="9" t="n">
        <x:v>0</x:v>
      </x:c>
    </x:row>
    <x:row r="7405" ht="34" customHeight="1">
      <x:c r="A7405" s="4" t="str">
        <x:v>RS-03670-I4</x:v>
      </x:c>
      <x:c r="B7405" s="4" t="str">
        <x:v>RS-03670</x:v>
      </x:c>
      <x:c r="C7405" s="9" t="n">
        <x:v>4</x:v>
      </x:c>
      <x:c r="D7405" s="8" t="n">
        <x:v>45596</x:v>
      </x:c>
      <x:c r="E7405" s="9" t="n">
        <x:v>2632000</x:v>
      </x:c>
      <x:c r="F7405" s="9" t="n">
        <x:v>0</x:v>
      </x:c>
    </x:row>
    <x:row r="7406" ht="34" customHeight="1">
      <x:c r="A7406" s="4" t="str">
        <x:v>RS-03672-I1</x:v>
      </x:c>
      <x:c r="B7406" s="4" t="str">
        <x:v>RS-03672</x:v>
      </x:c>
      <x:c r="C7406" s="9" t="n">
        <x:v>1</x:v>
      </x:c>
      <x:c r="D7406" s="8" t="n">
        <x:v>45508</x:v>
      </x:c>
      <x:c r="E7406" s="9" t="n">
        <x:v>2720250</x:v>
      </x:c>
      <x:c r="F7406" s="9" t="n">
        <x:v>2720250</x:v>
      </x:c>
    </x:row>
    <x:row r="7407" ht="34" customHeight="1">
      <x:c r="A7407" s="4" t="str">
        <x:v>RS-03672-I2</x:v>
      </x:c>
      <x:c r="B7407" s="4" t="str">
        <x:v>RS-03672</x:v>
      </x:c>
      <x:c r="C7407" s="9" t="n">
        <x:v>2</x:v>
      </x:c>
      <x:c r="D7407" s="8" t="n">
        <x:v>45538</x:v>
      </x:c>
      <x:c r="E7407" s="9" t="n">
        <x:v>2720250</x:v>
      </x:c>
      <x:c r="F7407" s="9" t="n">
        <x:v>2720250</x:v>
      </x:c>
    </x:row>
    <x:row r="7408" ht="34" customHeight="1">
      <x:c r="A7408" s="4" t="str">
        <x:v>RS-03672-I3</x:v>
      </x:c>
      <x:c r="B7408" s="4" t="str">
        <x:v>RS-03672</x:v>
      </x:c>
      <x:c r="C7408" s="9" t="n">
        <x:v>3</x:v>
      </x:c>
      <x:c r="D7408" s="8" t="n">
        <x:v>45568</x:v>
      </x:c>
      <x:c r="E7408" s="9" t="n">
        <x:v>2720250</x:v>
      </x:c>
      <x:c r="F7408" s="9" t="n">
        <x:v>0</x:v>
      </x:c>
    </x:row>
    <x:row r="7409" ht="34" customHeight="1">
      <x:c r="A7409" s="4" t="str">
        <x:v>RS-03672-I4</x:v>
      </x:c>
      <x:c r="B7409" s="4" t="str">
        <x:v>RS-03672</x:v>
      </x:c>
      <x:c r="C7409" s="9" t="n">
        <x:v>4</x:v>
      </x:c>
      <x:c r="D7409" s="8" t="n">
        <x:v>45598</x:v>
      </x:c>
      <x:c r="E7409" s="9" t="n">
        <x:v>2720250</x:v>
      </x:c>
      <x:c r="F7409" s="9" t="n">
        <x:v>0</x:v>
      </x:c>
    </x:row>
    <x:row r="7410" ht="34" customHeight="1">
      <x:c r="A7410" s="4" t="str">
        <x:v>RS-03673-I1</x:v>
      </x:c>
      <x:c r="B7410" s="4" t="str">
        <x:v>RS-03673</x:v>
      </x:c>
      <x:c r="C7410" s="9" t="n">
        <x:v>1</x:v>
      </x:c>
      <x:c r="D7410" s="8" t="n">
        <x:v>45509</x:v>
      </x:c>
      <x:c r="E7410" s="9" t="n">
        <x:v>775500</x:v>
      </x:c>
      <x:c r="F7410" s="9" t="n">
        <x:v>775500</x:v>
      </x:c>
    </x:row>
    <x:row r="7411" ht="34" customHeight="1">
      <x:c r="A7411" s="4" t="str">
        <x:v>RS-03673-I2</x:v>
      </x:c>
      <x:c r="B7411" s="4" t="str">
        <x:v>RS-03673</x:v>
      </x:c>
      <x:c r="C7411" s="9" t="n">
        <x:v>2</x:v>
      </x:c>
      <x:c r="D7411" s="8" t="n">
        <x:v>45539</x:v>
      </x:c>
      <x:c r="E7411" s="9" t="n">
        <x:v>775500</x:v>
      </x:c>
      <x:c r="F7411" s="9" t="n">
        <x:v>775500</x:v>
      </x:c>
    </x:row>
    <x:row r="7412" ht="34" customHeight="1">
      <x:c r="A7412" s="4" t="str">
        <x:v>RS-03673-I3</x:v>
      </x:c>
      <x:c r="B7412" s="4" t="str">
        <x:v>RS-03673</x:v>
      </x:c>
      <x:c r="C7412" s="9" t="n">
        <x:v>3</x:v>
      </x:c>
      <x:c r="D7412" s="8" t="n">
        <x:v>45569</x:v>
      </x:c>
      <x:c r="E7412" s="9" t="n">
        <x:v>775500</x:v>
      </x:c>
      <x:c r="F7412" s="9" t="n">
        <x:v>0</x:v>
      </x:c>
    </x:row>
    <x:row r="7413" ht="34" customHeight="1">
      <x:c r="A7413" s="4" t="str">
        <x:v>RS-03673-I4</x:v>
      </x:c>
      <x:c r="B7413" s="4" t="str">
        <x:v>RS-03673</x:v>
      </x:c>
      <x:c r="C7413" s="9" t="n">
        <x:v>4</x:v>
      </x:c>
      <x:c r="D7413" s="8" t="n">
        <x:v>45599</x:v>
      </x:c>
      <x:c r="E7413" s="9" t="n">
        <x:v>775500</x:v>
      </x:c>
      <x:c r="F7413" s="9" t="n">
        <x:v>0</x:v>
      </x:c>
    </x:row>
    <x:row r="7414" ht="34" customHeight="1">
      <x:c r="A7414" s="4" t="str">
        <x:v>RS-03674-I1</x:v>
      </x:c>
      <x:c r="B7414" s="4" t="str">
        <x:v>RS-03674</x:v>
      </x:c>
      <x:c r="C7414" s="9" t="n">
        <x:v>1</x:v>
      </x:c>
      <x:c r="D7414" s="8" t="n">
        <x:v>45510</x:v>
      </x:c>
      <x:c r="E7414" s="9" t="n">
        <x:v>4851000</x:v>
      </x:c>
      <x:c r="F7414" s="9" t="n">
        <x:v>4851000</x:v>
      </x:c>
    </x:row>
    <x:row r="7415" ht="34" customHeight="1">
      <x:c r="A7415" s="4" t="str">
        <x:v>RS-03674-I2</x:v>
      </x:c>
      <x:c r="B7415" s="4" t="str">
        <x:v>RS-03674</x:v>
      </x:c>
      <x:c r="C7415" s="9" t="n">
        <x:v>2</x:v>
      </x:c>
      <x:c r="D7415" s="8" t="n">
        <x:v>45540</x:v>
      </x:c>
      <x:c r="E7415" s="9" t="n">
        <x:v>4851000</x:v>
      </x:c>
      <x:c r="F7415" s="9" t="n">
        <x:v>4851000</x:v>
      </x:c>
    </x:row>
    <x:row r="7416" ht="34" customHeight="1">
      <x:c r="A7416" s="4" t="str">
        <x:v>RS-03674-I3</x:v>
      </x:c>
      <x:c r="B7416" s="4" t="str">
        <x:v>RS-03674</x:v>
      </x:c>
      <x:c r="C7416" s="9" t="n">
        <x:v>3</x:v>
      </x:c>
      <x:c r="D7416" s="8" t="n">
        <x:v>45570</x:v>
      </x:c>
      <x:c r="E7416" s="9" t="n">
        <x:v>4851000</x:v>
      </x:c>
      <x:c r="F7416" s="9" t="n">
        <x:v>4851000</x:v>
      </x:c>
    </x:row>
    <x:row r="7417" ht="34" customHeight="1">
      <x:c r="A7417" s="4" t="str">
        <x:v>RS-03674-I4</x:v>
      </x:c>
      <x:c r="B7417" s="4" t="str">
        <x:v>RS-03674</x:v>
      </x:c>
      <x:c r="C7417" s="9" t="n">
        <x:v>4</x:v>
      </x:c>
      <x:c r="D7417" s="8" t="n">
        <x:v>45600</x:v>
      </x:c>
      <x:c r="E7417" s="9" t="n">
        <x:v>4851000</x:v>
      </x:c>
      <x:c r="F7417" s="9" t="n">
        <x:v>4851000</x:v>
      </x:c>
    </x:row>
    <x:row r="7418" ht="34" customHeight="1">
      <x:c r="A7418" s="4" t="str">
        <x:v>RS-03675-I1</x:v>
      </x:c>
      <x:c r="B7418" s="4" t="str">
        <x:v>RS-03675</x:v>
      </x:c>
      <x:c r="C7418" s="9" t="n">
        <x:v>1</x:v>
      </x:c>
      <x:c r="D7418" s="8" t="n">
        <x:v>45511</x:v>
      </x:c>
      <x:c r="E7418" s="9" t="n">
        <x:v>3758750</x:v>
      </x:c>
      <x:c r="F7418" s="9" t="n">
        <x:v>3758750</x:v>
      </x:c>
    </x:row>
    <x:row r="7419" ht="34" customHeight="1">
      <x:c r="A7419" s="4" t="str">
        <x:v>RS-03675-I2</x:v>
      </x:c>
      <x:c r="B7419" s="4" t="str">
        <x:v>RS-03675</x:v>
      </x:c>
      <x:c r="C7419" s="9" t="n">
        <x:v>2</x:v>
      </x:c>
      <x:c r="D7419" s="8" t="n">
        <x:v>45541</x:v>
      </x:c>
      <x:c r="E7419" s="9" t="n">
        <x:v>3758750</x:v>
      </x:c>
      <x:c r="F7419" s="9" t="n">
        <x:v>3758750</x:v>
      </x:c>
    </x:row>
    <x:row r="7420" ht="34" customHeight="1">
      <x:c r="A7420" s="4" t="str">
        <x:v>RS-03675-I3</x:v>
      </x:c>
      <x:c r="B7420" s="4" t="str">
        <x:v>RS-03675</x:v>
      </x:c>
      <x:c r="C7420" s="9" t="n">
        <x:v>3</x:v>
      </x:c>
      <x:c r="D7420" s="8" t="n">
        <x:v>45571</x:v>
      </x:c>
      <x:c r="E7420" s="9" t="n">
        <x:v>3758750</x:v>
      </x:c>
      <x:c r="F7420" s="9" t="n">
        <x:v>3758750</x:v>
      </x:c>
    </x:row>
    <x:row r="7421" ht="34" customHeight="1">
      <x:c r="A7421" s="4" t="str">
        <x:v>RS-03675-I4</x:v>
      </x:c>
      <x:c r="B7421" s="4" t="str">
        <x:v>RS-03675</x:v>
      </x:c>
      <x:c r="C7421" s="9" t="n">
        <x:v>4</x:v>
      </x:c>
      <x:c r="D7421" s="8" t="n">
        <x:v>45601</x:v>
      </x:c>
      <x:c r="E7421" s="9" t="n">
        <x:v>3758750</x:v>
      </x:c>
      <x:c r="F7421" s="9" t="n">
        <x:v>3758750</x:v>
      </x:c>
    </x:row>
    <x:row r="7422" ht="34" customHeight="1">
      <x:c r="A7422" s="4" t="str">
        <x:v>RS-03676-I1</x:v>
      </x:c>
      <x:c r="B7422" s="4" t="str">
        <x:v>RS-03676</x:v>
      </x:c>
      <x:c r="C7422" s="9" t="n">
        <x:v>1</x:v>
      </x:c>
      <x:c r="D7422" s="8" t="n">
        <x:v>45512</x:v>
      </x:c>
      <x:c r="E7422" s="9" t="n">
        <x:v>5141500</x:v>
      </x:c>
      <x:c r="F7422" s="9" t="n">
        <x:v>5141500</x:v>
      </x:c>
    </x:row>
    <x:row r="7423" ht="34" customHeight="1">
      <x:c r="A7423" s="4" t="str">
        <x:v>RS-03676-I2</x:v>
      </x:c>
      <x:c r="B7423" s="4" t="str">
        <x:v>RS-03676</x:v>
      </x:c>
      <x:c r="C7423" s="9" t="n">
        <x:v>2</x:v>
      </x:c>
      <x:c r="D7423" s="8" t="n">
        <x:v>45542</x:v>
      </x:c>
      <x:c r="E7423" s="9" t="n">
        <x:v>5141500</x:v>
      </x:c>
      <x:c r="F7423" s="9" t="n">
        <x:v>5141500</x:v>
      </x:c>
    </x:row>
    <x:row r="7424" ht="34" customHeight="1">
      <x:c r="A7424" s="4" t="str">
        <x:v>RS-03676-I3</x:v>
      </x:c>
      <x:c r="B7424" s="4" t="str">
        <x:v>RS-03676</x:v>
      </x:c>
      <x:c r="C7424" s="9" t="n">
        <x:v>3</x:v>
      </x:c>
      <x:c r="D7424" s="8" t="n">
        <x:v>45572</x:v>
      </x:c>
      <x:c r="E7424" s="9" t="n">
        <x:v>5141500</x:v>
      </x:c>
      <x:c r="F7424" s="9" t="n">
        <x:v>0</x:v>
      </x:c>
    </x:row>
    <x:row r="7425" ht="34" customHeight="1">
      <x:c r="A7425" s="4" t="str">
        <x:v>RS-03676-I4</x:v>
      </x:c>
      <x:c r="B7425" s="4" t="str">
        <x:v>RS-03676</x:v>
      </x:c>
      <x:c r="C7425" s="9" t="n">
        <x:v>4</x:v>
      </x:c>
      <x:c r="D7425" s="8" t="n">
        <x:v>45602</x:v>
      </x:c>
      <x:c r="E7425" s="9" t="n">
        <x:v>5141500</x:v>
      </x:c>
      <x:c r="F7425" s="9" t="n">
        <x:v>0</x:v>
      </x:c>
    </x:row>
    <x:row r="7426" ht="34" customHeight="1">
      <x:c r="A7426" s="4" t="str">
        <x:v>RS-03677-I1</x:v>
      </x:c>
      <x:c r="B7426" s="4" t="str">
        <x:v>RS-03677</x:v>
      </x:c>
      <x:c r="C7426" s="9" t="n">
        <x:v>1</x:v>
      </x:c>
      <x:c r="D7426" s="8" t="n">
        <x:v>45513</x:v>
      </x:c>
      <x:c r="E7426" s="9" t="n">
        <x:v>5550000</x:v>
      </x:c>
      <x:c r="F7426" s="9" t="n">
        <x:v>5550000</x:v>
      </x:c>
    </x:row>
    <x:row r="7427" ht="34" customHeight="1">
      <x:c r="A7427" s="4" t="str">
        <x:v>RS-03677-I2</x:v>
      </x:c>
      <x:c r="B7427" s="4" t="str">
        <x:v>RS-03677</x:v>
      </x:c>
      <x:c r="C7427" s="9" t="n">
        <x:v>2</x:v>
      </x:c>
      <x:c r="D7427" s="8" t="n">
        <x:v>45543</x:v>
      </x:c>
      <x:c r="E7427" s="9" t="n">
        <x:v>5550000</x:v>
      </x:c>
      <x:c r="F7427" s="9" t="n">
        <x:v>0</x:v>
      </x:c>
    </x:row>
    <x:row r="7428" ht="34" customHeight="1">
      <x:c r="A7428" s="4" t="str">
        <x:v>RS-03677-I3</x:v>
      </x:c>
      <x:c r="B7428" s="4" t="str">
        <x:v>RS-03677</x:v>
      </x:c>
      <x:c r="C7428" s="9" t="n">
        <x:v>3</x:v>
      </x:c>
      <x:c r="D7428" s="8" t="n">
        <x:v>45573</x:v>
      </x:c>
      <x:c r="E7428" s="9" t="n">
        <x:v>5550000</x:v>
      </x:c>
      <x:c r="F7428" s="9" t="n">
        <x:v>0</x:v>
      </x:c>
    </x:row>
    <x:row r="7429" ht="34" customHeight="1">
      <x:c r="A7429" s="4" t="str">
        <x:v>RS-03677-I4</x:v>
      </x:c>
      <x:c r="B7429" s="4" t="str">
        <x:v>RS-03677</x:v>
      </x:c>
      <x:c r="C7429" s="9" t="n">
        <x:v>4</x:v>
      </x:c>
      <x:c r="D7429" s="8" t="n">
        <x:v>45603</x:v>
      </x:c>
      <x:c r="E7429" s="9" t="n">
        <x:v>5550000</x:v>
      </x:c>
      <x:c r="F7429" s="9" t="n">
        <x:v>0</x:v>
      </x:c>
    </x:row>
    <x:row r="7430" ht="34" customHeight="1">
      <x:c r="A7430" s="4" t="str">
        <x:v>RS-03679-I1</x:v>
      </x:c>
      <x:c r="B7430" s="4" t="str">
        <x:v>RS-03679</x:v>
      </x:c>
      <x:c r="C7430" s="9" t="n">
        <x:v>1</x:v>
      </x:c>
      <x:c r="D7430" s="8" t="n">
        <x:v>45515</x:v>
      </x:c>
      <x:c r="E7430" s="9" t="n">
        <x:v>1932000</x:v>
      </x:c>
      <x:c r="F7430" s="9" t="n">
        <x:v>772800</x:v>
      </x:c>
    </x:row>
    <x:row r="7431" ht="34" customHeight="1">
      <x:c r="A7431" s="4" t="str">
        <x:v>RS-03679-I2</x:v>
      </x:c>
      <x:c r="B7431" s="4" t="str">
        <x:v>RS-03679</x:v>
      </x:c>
      <x:c r="C7431" s="9" t="n">
        <x:v>2</x:v>
      </x:c>
      <x:c r="D7431" s="8" t="n">
        <x:v>45545</x:v>
      </x:c>
      <x:c r="E7431" s="9" t="n">
        <x:v>1932000</x:v>
      </x:c>
      <x:c r="F7431" s="9" t="n">
        <x:v>0</x:v>
      </x:c>
    </x:row>
    <x:row r="7432" ht="34" customHeight="1">
      <x:c r="A7432" s="4" t="str">
        <x:v>RS-03679-I3</x:v>
      </x:c>
      <x:c r="B7432" s="4" t="str">
        <x:v>RS-03679</x:v>
      </x:c>
      <x:c r="C7432" s="9" t="n">
        <x:v>3</x:v>
      </x:c>
      <x:c r="D7432" s="8" t="n">
        <x:v>45575</x:v>
      </x:c>
      <x:c r="E7432" s="9" t="n">
        <x:v>1932000</x:v>
      </x:c>
      <x:c r="F7432" s="9" t="n">
        <x:v>0</x:v>
      </x:c>
    </x:row>
    <x:row r="7433" ht="34" customHeight="1">
      <x:c r="A7433" s="4" t="str">
        <x:v>RS-03679-I4</x:v>
      </x:c>
      <x:c r="B7433" s="4" t="str">
        <x:v>RS-03679</x:v>
      </x:c>
      <x:c r="C7433" s="9" t="n">
        <x:v>4</x:v>
      </x:c>
      <x:c r="D7433" s="8" t="n">
        <x:v>45605</x:v>
      </x:c>
      <x:c r="E7433" s="9" t="n">
        <x:v>1932000</x:v>
      </x:c>
      <x:c r="F7433" s="9" t="n">
        <x:v>0</x:v>
      </x:c>
    </x:row>
    <x:row r="7434" ht="34" customHeight="1">
      <x:c r="A7434" s="4" t="str">
        <x:v>RS-03680-I1</x:v>
      </x:c>
      <x:c r="B7434" s="4" t="str">
        <x:v>RS-03680</x:v>
      </x:c>
      <x:c r="C7434" s="9" t="n">
        <x:v>1</x:v>
      </x:c>
      <x:c r="D7434" s="8" t="n">
        <x:v>45516</x:v>
      </x:c>
      <x:c r="E7434" s="9" t="n">
        <x:v>5267500</x:v>
      </x:c>
      <x:c r="F7434" s="9" t="n">
        <x:v>2107000</x:v>
      </x:c>
    </x:row>
    <x:row r="7435" ht="34" customHeight="1">
      <x:c r="A7435" s="4" t="str">
        <x:v>RS-03680-I2</x:v>
      </x:c>
      <x:c r="B7435" s="4" t="str">
        <x:v>RS-03680</x:v>
      </x:c>
      <x:c r="C7435" s="9" t="n">
        <x:v>2</x:v>
      </x:c>
      <x:c r="D7435" s="8" t="n">
        <x:v>45546</x:v>
      </x:c>
      <x:c r="E7435" s="9" t="n">
        <x:v>5267500</x:v>
      </x:c>
      <x:c r="F7435" s="9" t="n">
        <x:v>0</x:v>
      </x:c>
    </x:row>
    <x:row r="7436" ht="34" customHeight="1">
      <x:c r="A7436" s="4" t="str">
        <x:v>RS-03680-I3</x:v>
      </x:c>
      <x:c r="B7436" s="4" t="str">
        <x:v>RS-03680</x:v>
      </x:c>
      <x:c r="C7436" s="9" t="n">
        <x:v>3</x:v>
      </x:c>
      <x:c r="D7436" s="8" t="n">
        <x:v>45576</x:v>
      </x:c>
      <x:c r="E7436" s="9" t="n">
        <x:v>5267500</x:v>
      </x:c>
      <x:c r="F7436" s="9" t="n">
        <x:v>0</x:v>
      </x:c>
    </x:row>
    <x:row r="7437" ht="34" customHeight="1">
      <x:c r="A7437" s="4" t="str">
        <x:v>RS-03680-I4</x:v>
      </x:c>
      <x:c r="B7437" s="4" t="str">
        <x:v>RS-03680</x:v>
      </x:c>
      <x:c r="C7437" s="9" t="n">
        <x:v>4</x:v>
      </x:c>
      <x:c r="D7437" s="8" t="n">
        <x:v>45606</x:v>
      </x:c>
      <x:c r="E7437" s="9" t="n">
        <x:v>5267500</x:v>
      </x:c>
      <x:c r="F7437" s="9" t="n">
        <x:v>0</x:v>
      </x:c>
    </x:row>
    <x:row r="7438" ht="34" customHeight="1">
      <x:c r="A7438" s="4" t="str">
        <x:v>RS-03681-I1</x:v>
      </x:c>
      <x:c r="B7438" s="4" t="str">
        <x:v>RS-03681</x:v>
      </x:c>
      <x:c r="C7438" s="9" t="n">
        <x:v>1</x:v>
      </x:c>
      <x:c r="D7438" s="8" t="n">
        <x:v>45517</x:v>
      </x:c>
      <x:c r="E7438" s="9" t="n">
        <x:v>4371000</x:v>
      </x:c>
      <x:c r="F7438" s="9" t="n">
        <x:v>4371000</x:v>
      </x:c>
    </x:row>
    <x:row r="7439" ht="34" customHeight="1">
      <x:c r="A7439" s="4" t="str">
        <x:v>RS-03681-I2</x:v>
      </x:c>
      <x:c r="B7439" s="4" t="str">
        <x:v>RS-03681</x:v>
      </x:c>
      <x:c r="C7439" s="9" t="n">
        <x:v>2</x:v>
      </x:c>
      <x:c r="D7439" s="8" t="n">
        <x:v>45547</x:v>
      </x:c>
      <x:c r="E7439" s="9" t="n">
        <x:v>4371000</x:v>
      </x:c>
      <x:c r="F7439" s="9" t="n">
        <x:v>4371000</x:v>
      </x:c>
    </x:row>
    <x:row r="7440" ht="34" customHeight="1">
      <x:c r="A7440" s="4" t="str">
        <x:v>RS-03681-I3</x:v>
      </x:c>
      <x:c r="B7440" s="4" t="str">
        <x:v>RS-03681</x:v>
      </x:c>
      <x:c r="C7440" s="9" t="n">
        <x:v>3</x:v>
      </x:c>
      <x:c r="D7440" s="8" t="n">
        <x:v>45577</x:v>
      </x:c>
      <x:c r="E7440" s="9" t="n">
        <x:v>4371000</x:v>
      </x:c>
      <x:c r="F7440" s="9" t="n">
        <x:v>0</x:v>
      </x:c>
    </x:row>
    <x:row r="7441" ht="34" customHeight="1">
      <x:c r="A7441" s="4" t="str">
        <x:v>RS-03681-I4</x:v>
      </x:c>
      <x:c r="B7441" s="4" t="str">
        <x:v>RS-03681</x:v>
      </x:c>
      <x:c r="C7441" s="9" t="n">
        <x:v>4</x:v>
      </x:c>
      <x:c r="D7441" s="8" t="n">
        <x:v>45607</x:v>
      </x:c>
      <x:c r="E7441" s="9" t="n">
        <x:v>4371000</x:v>
      </x:c>
      <x:c r="F7441" s="9" t="n">
        <x:v>0</x:v>
      </x:c>
    </x:row>
    <x:row r="7442" ht="34" customHeight="1">
      <x:c r="A7442" s="4" t="str">
        <x:v>RS-03682-I1</x:v>
      </x:c>
      <x:c r="B7442" s="4" t="str">
        <x:v>RS-03682</x:v>
      </x:c>
      <x:c r="C7442" s="9" t="n">
        <x:v>1</x:v>
      </x:c>
      <x:c r="D7442" s="8" t="n">
        <x:v>45518</x:v>
      </x:c>
      <x:c r="E7442" s="9" t="n">
        <x:v>4678750</x:v>
      </x:c>
      <x:c r="F7442" s="9" t="n">
        <x:v>4678750</x:v>
      </x:c>
    </x:row>
    <x:row r="7443" ht="34" customHeight="1">
      <x:c r="A7443" s="4" t="str">
        <x:v>RS-03682-I2</x:v>
      </x:c>
      <x:c r="B7443" s="4" t="str">
        <x:v>RS-03682</x:v>
      </x:c>
      <x:c r="C7443" s="9" t="n">
        <x:v>2</x:v>
      </x:c>
      <x:c r="D7443" s="8" t="n">
        <x:v>45548</x:v>
      </x:c>
      <x:c r="E7443" s="9" t="n">
        <x:v>4678750</x:v>
      </x:c>
      <x:c r="F7443" s="9" t="n">
        <x:v>4678750</x:v>
      </x:c>
    </x:row>
    <x:row r="7444" ht="34" customHeight="1">
      <x:c r="A7444" s="4" t="str">
        <x:v>RS-03682-I3</x:v>
      </x:c>
      <x:c r="B7444" s="4" t="str">
        <x:v>RS-03682</x:v>
      </x:c>
      <x:c r="C7444" s="9" t="n">
        <x:v>3</x:v>
      </x:c>
      <x:c r="D7444" s="8" t="n">
        <x:v>45578</x:v>
      </x:c>
      <x:c r="E7444" s="9" t="n">
        <x:v>4678750</x:v>
      </x:c>
      <x:c r="F7444" s="9" t="n">
        <x:v>4678750</x:v>
      </x:c>
    </x:row>
    <x:row r="7445" ht="34" customHeight="1">
      <x:c r="A7445" s="4" t="str">
        <x:v>RS-03682-I4</x:v>
      </x:c>
      <x:c r="B7445" s="4" t="str">
        <x:v>RS-03682</x:v>
      </x:c>
      <x:c r="C7445" s="9" t="n">
        <x:v>4</x:v>
      </x:c>
      <x:c r="D7445" s="8" t="n">
        <x:v>45608</x:v>
      </x:c>
      <x:c r="E7445" s="9" t="n">
        <x:v>4678750</x:v>
      </x:c>
      <x:c r="F7445" s="9" t="n">
        <x:v>4678750</x:v>
      </x:c>
    </x:row>
    <x:row r="7446" ht="34" customHeight="1">
      <x:c r="A7446" s="4" t="str">
        <x:v>RS-03687-I1</x:v>
      </x:c>
      <x:c r="B7446" s="4" t="str">
        <x:v>RS-03687</x:v>
      </x:c>
      <x:c r="C7446" s="9" t="n">
        <x:v>1</x:v>
      </x:c>
      <x:c r="D7446" s="8" t="n">
        <x:v>45523</x:v>
      </x:c>
      <x:c r="E7446" s="9" t="n">
        <x:v>2139000</x:v>
      </x:c>
      <x:c r="F7446" s="9" t="n">
        <x:v>2139000</x:v>
      </x:c>
    </x:row>
    <x:row r="7447" ht="34" customHeight="1">
      <x:c r="A7447" s="4" t="str">
        <x:v>RS-03687-I2</x:v>
      </x:c>
      <x:c r="B7447" s="4" t="str">
        <x:v>RS-03687</x:v>
      </x:c>
      <x:c r="C7447" s="9" t="n">
        <x:v>2</x:v>
      </x:c>
      <x:c r="D7447" s="8" t="n">
        <x:v>45553</x:v>
      </x:c>
      <x:c r="E7447" s="9" t="n">
        <x:v>2139000</x:v>
      </x:c>
      <x:c r="F7447" s="9" t="n">
        <x:v>0</x:v>
      </x:c>
    </x:row>
    <x:row r="7448" ht="34" customHeight="1">
      <x:c r="A7448" s="4" t="str">
        <x:v>RS-03687-I3</x:v>
      </x:c>
      <x:c r="B7448" s="4" t="str">
        <x:v>RS-03687</x:v>
      </x:c>
      <x:c r="C7448" s="9" t="n">
        <x:v>3</x:v>
      </x:c>
      <x:c r="D7448" s="8" t="n">
        <x:v>45583</x:v>
      </x:c>
      <x:c r="E7448" s="9" t="n">
        <x:v>2139000</x:v>
      </x:c>
      <x:c r="F7448" s="9" t="n">
        <x:v>0</x:v>
      </x:c>
    </x:row>
    <x:row r="7449" ht="34" customHeight="1">
      <x:c r="A7449" s="4" t="str">
        <x:v>RS-03687-I4</x:v>
      </x:c>
      <x:c r="B7449" s="4" t="str">
        <x:v>RS-03687</x:v>
      </x:c>
      <x:c r="C7449" s="9" t="n">
        <x:v>4</x:v>
      </x:c>
      <x:c r="D7449" s="8" t="n">
        <x:v>45613</x:v>
      </x:c>
      <x:c r="E7449" s="9" t="n">
        <x:v>2139000</x:v>
      </x:c>
      <x:c r="F7449" s="9" t="n">
        <x:v>0</x:v>
      </x:c>
    </x:row>
    <x:row r="7450" ht="34" customHeight="1">
      <x:c r="A7450" s="4" t="str">
        <x:v>RS-03689-I1</x:v>
      </x:c>
      <x:c r="B7450" s="4" t="str">
        <x:v>RS-03689</x:v>
      </x:c>
      <x:c r="C7450" s="9" t="n">
        <x:v>1</x:v>
      </x:c>
      <x:c r="D7450" s="8" t="n">
        <x:v>45525</x:v>
      </x:c>
      <x:c r="E7450" s="9" t="n">
        <x:v>2358500</x:v>
      </x:c>
      <x:c r="F7450" s="9" t="n">
        <x:v>943400</x:v>
      </x:c>
    </x:row>
    <x:row r="7451" ht="34" customHeight="1">
      <x:c r="A7451" s="4" t="str">
        <x:v>RS-03689-I2</x:v>
      </x:c>
      <x:c r="B7451" s="4" t="str">
        <x:v>RS-03689</x:v>
      </x:c>
      <x:c r="C7451" s="9" t="n">
        <x:v>2</x:v>
      </x:c>
      <x:c r="D7451" s="8" t="n">
        <x:v>45555</x:v>
      </x:c>
      <x:c r="E7451" s="9" t="n">
        <x:v>2358500</x:v>
      </x:c>
      <x:c r="F7451" s="9" t="n">
        <x:v>0</x:v>
      </x:c>
    </x:row>
    <x:row r="7452" ht="34" customHeight="1">
      <x:c r="A7452" s="4" t="str">
        <x:v>RS-03689-I3</x:v>
      </x:c>
      <x:c r="B7452" s="4" t="str">
        <x:v>RS-03689</x:v>
      </x:c>
      <x:c r="C7452" s="9" t="n">
        <x:v>3</x:v>
      </x:c>
      <x:c r="D7452" s="8" t="n">
        <x:v>45585</x:v>
      </x:c>
      <x:c r="E7452" s="9" t="n">
        <x:v>2358500</x:v>
      </x:c>
      <x:c r="F7452" s="9" t="n">
        <x:v>0</x:v>
      </x:c>
    </x:row>
    <x:row r="7453" ht="34" customHeight="1">
      <x:c r="A7453" s="4" t="str">
        <x:v>RS-03689-I4</x:v>
      </x:c>
      <x:c r="B7453" s="4" t="str">
        <x:v>RS-03689</x:v>
      </x:c>
      <x:c r="C7453" s="9" t="n">
        <x:v>4</x:v>
      </x:c>
      <x:c r="D7453" s="8" t="n">
        <x:v>45615</x:v>
      </x:c>
      <x:c r="E7453" s="9" t="n">
        <x:v>2358500</x:v>
      </x:c>
      <x:c r="F7453" s="9" t="n">
        <x:v>0</x:v>
      </x:c>
    </x:row>
    <x:row r="7454" ht="34" customHeight="1">
      <x:c r="A7454" s="4" t="str">
        <x:v>RS-03693-I1</x:v>
      </x:c>
      <x:c r="B7454" s="4" t="str">
        <x:v>RS-03693</x:v>
      </x:c>
      <x:c r="C7454" s="9" t="n">
        <x:v>1</x:v>
      </x:c>
      <x:c r="D7454" s="8" t="n">
        <x:v>45529</x:v>
      </x:c>
      <x:c r="E7454" s="9" t="n">
        <x:v>3278250</x:v>
      </x:c>
      <x:c r="F7454" s="9" t="n">
        <x:v>3278250</x:v>
      </x:c>
    </x:row>
    <x:row r="7455" ht="34" customHeight="1">
      <x:c r="A7455" s="4" t="str">
        <x:v>RS-03693-I2</x:v>
      </x:c>
      <x:c r="B7455" s="4" t="str">
        <x:v>RS-03693</x:v>
      </x:c>
      <x:c r="C7455" s="9" t="n">
        <x:v>2</x:v>
      </x:c>
      <x:c r="D7455" s="8" t="n">
        <x:v>45559</x:v>
      </x:c>
      <x:c r="E7455" s="9" t="n">
        <x:v>3278250</x:v>
      </x:c>
      <x:c r="F7455" s="9" t="n">
        <x:v>0</x:v>
      </x:c>
    </x:row>
    <x:row r="7456" ht="34" customHeight="1">
      <x:c r="A7456" s="4" t="str">
        <x:v>RS-03693-I3</x:v>
      </x:c>
      <x:c r="B7456" s="4" t="str">
        <x:v>RS-03693</x:v>
      </x:c>
      <x:c r="C7456" s="9" t="n">
        <x:v>3</x:v>
      </x:c>
      <x:c r="D7456" s="8" t="n">
        <x:v>45589</x:v>
      </x:c>
      <x:c r="E7456" s="9" t="n">
        <x:v>3278250</x:v>
      </x:c>
      <x:c r="F7456" s="9" t="n">
        <x:v>0</x:v>
      </x:c>
    </x:row>
    <x:row r="7457" ht="34" customHeight="1">
      <x:c r="A7457" s="4" t="str">
        <x:v>RS-03693-I4</x:v>
      </x:c>
      <x:c r="B7457" s="4" t="str">
        <x:v>RS-03693</x:v>
      </x:c>
      <x:c r="C7457" s="9" t="n">
        <x:v>4</x:v>
      </x:c>
      <x:c r="D7457" s="8" t="n">
        <x:v>45619</x:v>
      </x:c>
      <x:c r="E7457" s="9" t="n">
        <x:v>3278250</x:v>
      </x:c>
      <x:c r="F7457" s="9" t="n">
        <x:v>0</x:v>
      </x:c>
    </x:row>
    <x:row r="7458" ht="34" customHeight="1">
      <x:c r="A7458" s="4" t="str">
        <x:v>RS-03696-I1</x:v>
      </x:c>
      <x:c r="B7458" s="4" t="str">
        <x:v>RS-03696</x:v>
      </x:c>
      <x:c r="C7458" s="9" t="n">
        <x:v>1</x:v>
      </x:c>
      <x:c r="D7458" s="8" t="n">
        <x:v>45532</x:v>
      </x:c>
      <x:c r="E7458" s="9" t="n">
        <x:v>5875000</x:v>
      </x:c>
      <x:c r="F7458" s="9" t="n">
        <x:v>5875000</x:v>
      </x:c>
    </x:row>
    <x:row r="7459" ht="34" customHeight="1">
      <x:c r="A7459" s="4" t="str">
        <x:v>RS-03696-I2</x:v>
      </x:c>
      <x:c r="B7459" s="4" t="str">
        <x:v>RS-03696</x:v>
      </x:c>
      <x:c r="C7459" s="9" t="n">
        <x:v>2</x:v>
      </x:c>
      <x:c r="D7459" s="8" t="n">
        <x:v>45562</x:v>
      </x:c>
      <x:c r="E7459" s="9" t="n">
        <x:v>5875000</x:v>
      </x:c>
      <x:c r="F7459" s="9" t="n">
        <x:v>5875000</x:v>
      </x:c>
    </x:row>
    <x:row r="7460" ht="34" customHeight="1">
      <x:c r="A7460" s="4" t="str">
        <x:v>RS-03696-I3</x:v>
      </x:c>
      <x:c r="B7460" s="4" t="str">
        <x:v>RS-03696</x:v>
      </x:c>
      <x:c r="C7460" s="9" t="n">
        <x:v>3</x:v>
      </x:c>
      <x:c r="D7460" s="8" t="n">
        <x:v>45592</x:v>
      </x:c>
      <x:c r="E7460" s="9" t="n">
        <x:v>5875000</x:v>
      </x:c>
      <x:c r="F7460" s="9" t="n">
        <x:v>0</x:v>
      </x:c>
    </x:row>
    <x:row r="7461" ht="34" customHeight="1">
      <x:c r="A7461" s="4" t="str">
        <x:v>RS-03696-I4</x:v>
      </x:c>
      <x:c r="B7461" s="4" t="str">
        <x:v>RS-03696</x:v>
      </x:c>
      <x:c r="C7461" s="9" t="n">
        <x:v>4</x:v>
      </x:c>
      <x:c r="D7461" s="8" t="n">
        <x:v>45622</x:v>
      </x:c>
      <x:c r="E7461" s="9" t="n">
        <x:v>5875000</x:v>
      </x:c>
      <x:c r="F7461" s="9" t="n">
        <x:v>0</x:v>
      </x:c>
    </x:row>
    <x:row r="7462" ht="34" customHeight="1">
      <x:c r="A7462" s="4" t="str">
        <x:v>RS-03697-I1</x:v>
      </x:c>
      <x:c r="B7462" s="4" t="str">
        <x:v>RS-03697</x:v>
      </x:c>
      <x:c r="C7462" s="9" t="n">
        <x:v>1</x:v>
      </x:c>
      <x:c r="D7462" s="8" t="n">
        <x:v>45505</x:v>
      </x:c>
      <x:c r="E7462" s="9" t="n">
        <x:v>3657000</x:v>
      </x:c>
      <x:c r="F7462" s="9" t="n">
        <x:v>1462800</x:v>
      </x:c>
    </x:row>
    <x:row r="7463" ht="34" customHeight="1">
      <x:c r="A7463" s="4" t="str">
        <x:v>RS-03697-I2</x:v>
      </x:c>
      <x:c r="B7463" s="4" t="str">
        <x:v>RS-03697</x:v>
      </x:c>
      <x:c r="C7463" s="9" t="n">
        <x:v>2</x:v>
      </x:c>
      <x:c r="D7463" s="8" t="n">
        <x:v>45535</x:v>
      </x:c>
      <x:c r="E7463" s="9" t="n">
        <x:v>3657000</x:v>
      </x:c>
      <x:c r="F7463" s="9" t="n">
        <x:v>0</x:v>
      </x:c>
    </x:row>
    <x:row r="7464" ht="34" customHeight="1">
      <x:c r="A7464" s="4" t="str">
        <x:v>RS-03697-I3</x:v>
      </x:c>
      <x:c r="B7464" s="4" t="str">
        <x:v>RS-03697</x:v>
      </x:c>
      <x:c r="C7464" s="9" t="n">
        <x:v>3</x:v>
      </x:c>
      <x:c r="D7464" s="8" t="n">
        <x:v>45565</x:v>
      </x:c>
      <x:c r="E7464" s="9" t="n">
        <x:v>3657000</x:v>
      </x:c>
      <x:c r="F7464" s="9" t="n">
        <x:v>0</x:v>
      </x:c>
    </x:row>
    <x:row r="7465" ht="34" customHeight="1">
      <x:c r="A7465" s="4" t="str">
        <x:v>RS-03697-I4</x:v>
      </x:c>
      <x:c r="B7465" s="4" t="str">
        <x:v>RS-03697</x:v>
      </x:c>
      <x:c r="C7465" s="9" t="n">
        <x:v>4</x:v>
      </x:c>
      <x:c r="D7465" s="8" t="n">
        <x:v>45595</x:v>
      </x:c>
      <x:c r="E7465" s="9" t="n">
        <x:v>3657000</x:v>
      </x:c>
      <x:c r="F7465" s="9" t="n">
        <x:v>0</x:v>
      </x:c>
    </x:row>
    <x:row r="7466" ht="34" customHeight="1">
      <x:c r="A7466" s="4" t="str">
        <x:v>RS-03699-I1</x:v>
      </x:c>
      <x:c r="B7466" s="4" t="str">
        <x:v>RS-03699</x:v>
      </x:c>
      <x:c r="C7466" s="9" t="n">
        <x:v>1</x:v>
      </x:c>
      <x:c r="D7466" s="8" t="n">
        <x:v>45507</x:v>
      </x:c>
      <x:c r="E7466" s="9" t="n">
        <x:v>1862000</x:v>
      </x:c>
      <x:c r="F7466" s="9" t="n">
        <x:v>1862000</x:v>
      </x:c>
    </x:row>
    <x:row r="7467" ht="34" customHeight="1">
      <x:c r="A7467" s="4" t="str">
        <x:v>RS-03699-I2</x:v>
      </x:c>
      <x:c r="B7467" s="4" t="str">
        <x:v>RS-03699</x:v>
      </x:c>
      <x:c r="C7467" s="9" t="n">
        <x:v>2</x:v>
      </x:c>
      <x:c r="D7467" s="8" t="n">
        <x:v>45537</x:v>
      </x:c>
      <x:c r="E7467" s="9" t="n">
        <x:v>1862000</x:v>
      </x:c>
      <x:c r="F7467" s="9" t="n">
        <x:v>0</x:v>
      </x:c>
    </x:row>
    <x:row r="7468" ht="34" customHeight="1">
      <x:c r="A7468" s="4" t="str">
        <x:v>RS-03699-I3</x:v>
      </x:c>
      <x:c r="B7468" s="4" t="str">
        <x:v>RS-03699</x:v>
      </x:c>
      <x:c r="C7468" s="9" t="n">
        <x:v>3</x:v>
      </x:c>
      <x:c r="D7468" s="8" t="n">
        <x:v>45567</x:v>
      </x:c>
      <x:c r="E7468" s="9" t="n">
        <x:v>1862000</x:v>
      </x:c>
      <x:c r="F7468" s="9" t="n">
        <x:v>0</x:v>
      </x:c>
    </x:row>
    <x:row r="7469" ht="34" customHeight="1">
      <x:c r="A7469" s="4" t="str">
        <x:v>RS-03699-I4</x:v>
      </x:c>
      <x:c r="B7469" s="4" t="str">
        <x:v>RS-03699</x:v>
      </x:c>
      <x:c r="C7469" s="9" t="n">
        <x:v>4</x:v>
      </x:c>
      <x:c r="D7469" s="8" t="n">
        <x:v>45597</x:v>
      </x:c>
      <x:c r="E7469" s="9" t="n">
        <x:v>1862000</x:v>
      </x:c>
      <x:c r="F7469" s="9" t="n">
        <x:v>0</x:v>
      </x:c>
    </x:row>
    <x:row r="7470" ht="34" customHeight="1">
      <x:c r="A7470" s="4" t="str">
        <x:v>RS-03702-I1</x:v>
      </x:c>
      <x:c r="B7470" s="4" t="str">
        <x:v>RS-03702</x:v>
      </x:c>
      <x:c r="C7470" s="9" t="n">
        <x:v>1</x:v>
      </x:c>
      <x:c r="D7470" s="8" t="n">
        <x:v>45510</x:v>
      </x:c>
      <x:c r="E7470" s="9" t="n">
        <x:v>1215000</x:v>
      </x:c>
      <x:c r="F7470" s="9" t="n">
        <x:v>486000</x:v>
      </x:c>
    </x:row>
    <x:row r="7471" ht="34" customHeight="1">
      <x:c r="A7471" s="4" t="str">
        <x:v>RS-03702-I2</x:v>
      </x:c>
      <x:c r="B7471" s="4" t="str">
        <x:v>RS-03702</x:v>
      </x:c>
      <x:c r="C7471" s="9" t="n">
        <x:v>2</x:v>
      </x:c>
      <x:c r="D7471" s="8" t="n">
        <x:v>45540</x:v>
      </x:c>
      <x:c r="E7471" s="9" t="n">
        <x:v>1215000</x:v>
      </x:c>
      <x:c r="F7471" s="9" t="n">
        <x:v>0</x:v>
      </x:c>
    </x:row>
    <x:row r="7472" ht="34" customHeight="1">
      <x:c r="A7472" s="4" t="str">
        <x:v>RS-03702-I3</x:v>
      </x:c>
      <x:c r="B7472" s="4" t="str">
        <x:v>RS-03702</x:v>
      </x:c>
      <x:c r="C7472" s="9" t="n">
        <x:v>3</x:v>
      </x:c>
      <x:c r="D7472" s="8" t="n">
        <x:v>45570</x:v>
      </x:c>
      <x:c r="E7472" s="9" t="n">
        <x:v>1215000</x:v>
      </x:c>
      <x:c r="F7472" s="9" t="n">
        <x:v>0</x:v>
      </x:c>
    </x:row>
    <x:row r="7473" ht="34" customHeight="1">
      <x:c r="A7473" s="4" t="str">
        <x:v>RS-03702-I4</x:v>
      </x:c>
      <x:c r="B7473" s="4" t="str">
        <x:v>RS-03702</x:v>
      </x:c>
      <x:c r="C7473" s="9" t="n">
        <x:v>4</x:v>
      </x:c>
      <x:c r="D7473" s="8" t="n">
        <x:v>45600</x:v>
      </x:c>
      <x:c r="E7473" s="9" t="n">
        <x:v>1215000</x:v>
      </x:c>
      <x:c r="F7473" s="9" t="n">
        <x:v>0</x:v>
      </x:c>
    </x:row>
    <x:row r="7474" ht="34" customHeight="1">
      <x:c r="A7474" s="4" t="str">
        <x:v>RS-03703-I1</x:v>
      </x:c>
      <x:c r="B7474" s="4" t="str">
        <x:v>RS-03703</x:v>
      </x:c>
      <x:c r="C7474" s="9" t="n">
        <x:v>1</x:v>
      </x:c>
      <x:c r="D7474" s="8" t="n">
        <x:v>45511</x:v>
      </x:c>
      <x:c r="E7474" s="9" t="n">
        <x:v>2184000</x:v>
      </x:c>
      <x:c r="F7474" s="9" t="n">
        <x:v>2184000</x:v>
      </x:c>
    </x:row>
    <x:row r="7475" ht="34" customHeight="1">
      <x:c r="A7475" s="4" t="str">
        <x:v>RS-03703-I2</x:v>
      </x:c>
      <x:c r="B7475" s="4" t="str">
        <x:v>RS-03703</x:v>
      </x:c>
      <x:c r="C7475" s="9" t="n">
        <x:v>2</x:v>
      </x:c>
      <x:c r="D7475" s="8" t="n">
        <x:v>45541</x:v>
      </x:c>
      <x:c r="E7475" s="9" t="n">
        <x:v>2184000</x:v>
      </x:c>
      <x:c r="F7475" s="9" t="n">
        <x:v>2184000</x:v>
      </x:c>
    </x:row>
    <x:row r="7476" ht="34" customHeight="1">
      <x:c r="A7476" s="4" t="str">
        <x:v>RS-03703-I3</x:v>
      </x:c>
      <x:c r="B7476" s="4" t="str">
        <x:v>RS-03703</x:v>
      </x:c>
      <x:c r="C7476" s="9" t="n">
        <x:v>3</x:v>
      </x:c>
      <x:c r="D7476" s="8" t="n">
        <x:v>45571</x:v>
      </x:c>
      <x:c r="E7476" s="9" t="n">
        <x:v>2184000</x:v>
      </x:c>
      <x:c r="F7476" s="9" t="n">
        <x:v>2184000</x:v>
      </x:c>
    </x:row>
    <x:row r="7477" ht="34" customHeight="1">
      <x:c r="A7477" s="4" t="str">
        <x:v>RS-03703-I4</x:v>
      </x:c>
      <x:c r="B7477" s="4" t="str">
        <x:v>RS-03703</x:v>
      </x:c>
      <x:c r="C7477" s="9" t="n">
        <x:v>4</x:v>
      </x:c>
      <x:c r="D7477" s="8" t="n">
        <x:v>45601</x:v>
      </x:c>
      <x:c r="E7477" s="9" t="n">
        <x:v>2184000</x:v>
      </x:c>
      <x:c r="F7477" s="9" t="n">
        <x:v>2184000</x:v>
      </x:c>
    </x:row>
    <x:row r="7478" ht="34" customHeight="1">
      <x:c r="A7478" s="4" t="str">
        <x:v>RS-03705-I1</x:v>
      </x:c>
      <x:c r="B7478" s="4" t="str">
        <x:v>RS-03705</x:v>
      </x:c>
      <x:c r="C7478" s="9" t="n">
        <x:v>1</x:v>
      </x:c>
      <x:c r="D7478" s="8" t="n">
        <x:v>45513</x:v>
      </x:c>
      <x:c r="E7478" s="9" t="n">
        <x:v>1501500</x:v>
      </x:c>
      <x:c r="F7478" s="9" t="n">
        <x:v>1501500</x:v>
      </x:c>
    </x:row>
    <x:row r="7479" ht="34" customHeight="1">
      <x:c r="A7479" s="4" t="str">
        <x:v>RS-03705-I2</x:v>
      </x:c>
      <x:c r="B7479" s="4" t="str">
        <x:v>RS-03705</x:v>
      </x:c>
      <x:c r="C7479" s="9" t="n">
        <x:v>2</x:v>
      </x:c>
      <x:c r="D7479" s="8" t="n">
        <x:v>45543</x:v>
      </x:c>
      <x:c r="E7479" s="9" t="n">
        <x:v>1501500</x:v>
      </x:c>
      <x:c r="F7479" s="9" t="n">
        <x:v>1501500</x:v>
      </x:c>
    </x:row>
    <x:row r="7480" ht="34" customHeight="1">
      <x:c r="A7480" s="4" t="str">
        <x:v>RS-03705-I3</x:v>
      </x:c>
      <x:c r="B7480" s="4" t="str">
        <x:v>RS-03705</x:v>
      </x:c>
      <x:c r="C7480" s="9" t="n">
        <x:v>3</x:v>
      </x:c>
      <x:c r="D7480" s="8" t="n">
        <x:v>45573</x:v>
      </x:c>
      <x:c r="E7480" s="9" t="n">
        <x:v>1501500</x:v>
      </x:c>
      <x:c r="F7480" s="9" t="n">
        <x:v>1501500</x:v>
      </x:c>
    </x:row>
    <x:row r="7481" ht="34" customHeight="1">
      <x:c r="A7481" s="4" t="str">
        <x:v>RS-03705-I4</x:v>
      </x:c>
      <x:c r="B7481" s="4" t="str">
        <x:v>RS-03705</x:v>
      </x:c>
      <x:c r="C7481" s="9" t="n">
        <x:v>4</x:v>
      </x:c>
      <x:c r="D7481" s="8" t="n">
        <x:v>45603</x:v>
      </x:c>
      <x:c r="E7481" s="9" t="n">
        <x:v>1501500</x:v>
      </x:c>
      <x:c r="F7481" s="9" t="n">
        <x:v>1501500</x:v>
      </x:c>
    </x:row>
    <x:row r="7482" ht="34" customHeight="1">
      <x:c r="A7482" s="4" t="str">
        <x:v>RS-03706-I1</x:v>
      </x:c>
      <x:c r="B7482" s="4" t="str">
        <x:v>RS-03706</x:v>
      </x:c>
      <x:c r="C7482" s="9" t="n">
        <x:v>1</x:v>
      </x:c>
      <x:c r="D7482" s="8" t="n">
        <x:v>45514</x:v>
      </x:c>
      <x:c r="E7482" s="9" t="n">
        <x:v>5687500</x:v>
      </x:c>
      <x:c r="F7482" s="9" t="n">
        <x:v>5687500</x:v>
      </x:c>
    </x:row>
    <x:row r="7483" ht="34" customHeight="1">
      <x:c r="A7483" s="4" t="str">
        <x:v>RS-03706-I2</x:v>
      </x:c>
      <x:c r="B7483" s="4" t="str">
        <x:v>RS-03706</x:v>
      </x:c>
      <x:c r="C7483" s="9" t="n">
        <x:v>2</x:v>
      </x:c>
      <x:c r="D7483" s="8" t="n">
        <x:v>45544</x:v>
      </x:c>
      <x:c r="E7483" s="9" t="n">
        <x:v>5687500</x:v>
      </x:c>
      <x:c r="F7483" s="9" t="n">
        <x:v>5687500</x:v>
      </x:c>
    </x:row>
    <x:row r="7484" ht="34" customHeight="1">
      <x:c r="A7484" s="4" t="str">
        <x:v>RS-03706-I3</x:v>
      </x:c>
      <x:c r="B7484" s="4" t="str">
        <x:v>RS-03706</x:v>
      </x:c>
      <x:c r="C7484" s="9" t="n">
        <x:v>3</x:v>
      </x:c>
      <x:c r="D7484" s="8" t="n">
        <x:v>45574</x:v>
      </x:c>
      <x:c r="E7484" s="9" t="n">
        <x:v>5687500</x:v>
      </x:c>
      <x:c r="F7484" s="9" t="n">
        <x:v>5687500</x:v>
      </x:c>
    </x:row>
    <x:row r="7485" ht="34" customHeight="1">
      <x:c r="A7485" s="4" t="str">
        <x:v>RS-03706-I4</x:v>
      </x:c>
      <x:c r="B7485" s="4" t="str">
        <x:v>RS-03706</x:v>
      </x:c>
      <x:c r="C7485" s="9" t="n">
        <x:v>4</x:v>
      </x:c>
      <x:c r="D7485" s="8" t="n">
        <x:v>45604</x:v>
      </x:c>
      <x:c r="E7485" s="9" t="n">
        <x:v>5687500</x:v>
      </x:c>
      <x:c r="F7485" s="9" t="n">
        <x:v>5687500</x:v>
      </x:c>
    </x:row>
    <x:row r="7486" ht="34" customHeight="1">
      <x:c r="A7486" s="4" t="str">
        <x:v>RS-03708-I1</x:v>
      </x:c>
      <x:c r="B7486" s="4" t="str">
        <x:v>RS-03708</x:v>
      </x:c>
      <x:c r="C7486" s="9" t="n">
        <x:v>1</x:v>
      </x:c>
      <x:c r="D7486" s="8" t="n">
        <x:v>45516</x:v>
      </x:c>
      <x:c r="E7486" s="9" t="n">
        <x:v>5568750</x:v>
      </x:c>
      <x:c r="F7486" s="9" t="n">
        <x:v>5568750</x:v>
      </x:c>
    </x:row>
    <x:row r="7487" ht="34" customHeight="1">
      <x:c r="A7487" s="4" t="str">
        <x:v>RS-03708-I2</x:v>
      </x:c>
      <x:c r="B7487" s="4" t="str">
        <x:v>RS-03708</x:v>
      </x:c>
      <x:c r="C7487" s="9" t="n">
        <x:v>2</x:v>
      </x:c>
      <x:c r="D7487" s="8" t="n">
        <x:v>45546</x:v>
      </x:c>
      <x:c r="E7487" s="9" t="n">
        <x:v>5568750</x:v>
      </x:c>
      <x:c r="F7487" s="9" t="n">
        <x:v>0</x:v>
      </x:c>
    </x:row>
    <x:row r="7488" ht="34" customHeight="1">
      <x:c r="A7488" s="4" t="str">
        <x:v>RS-03708-I3</x:v>
      </x:c>
      <x:c r="B7488" s="4" t="str">
        <x:v>RS-03708</x:v>
      </x:c>
      <x:c r="C7488" s="9" t="n">
        <x:v>3</x:v>
      </x:c>
      <x:c r="D7488" s="8" t="n">
        <x:v>45576</x:v>
      </x:c>
      <x:c r="E7488" s="9" t="n">
        <x:v>5568750</x:v>
      </x:c>
      <x:c r="F7488" s="9" t="n">
        <x:v>0</x:v>
      </x:c>
    </x:row>
    <x:row r="7489" ht="34" customHeight="1">
      <x:c r="A7489" s="4" t="str">
        <x:v>RS-03708-I4</x:v>
      </x:c>
      <x:c r="B7489" s="4" t="str">
        <x:v>RS-03708</x:v>
      </x:c>
      <x:c r="C7489" s="9" t="n">
        <x:v>4</x:v>
      </x:c>
      <x:c r="D7489" s="8" t="n">
        <x:v>45606</x:v>
      </x:c>
      <x:c r="E7489" s="9" t="n">
        <x:v>5568750</x:v>
      </x:c>
      <x:c r="F7489" s="9" t="n">
        <x:v>0</x:v>
      </x:c>
    </x:row>
    <x:row r="7490" ht="34" customHeight="1">
      <x:c r="A7490" s="4" t="str">
        <x:v>RS-03709-I1</x:v>
      </x:c>
      <x:c r="B7490" s="4" t="str">
        <x:v>RS-03709</x:v>
      </x:c>
      <x:c r="C7490" s="9" t="n">
        <x:v>1</x:v>
      </x:c>
      <x:c r="D7490" s="8" t="n">
        <x:v>45517</x:v>
      </x:c>
      <x:c r="E7490" s="9" t="n">
        <x:v>2255250</x:v>
      </x:c>
      <x:c r="F7490" s="9" t="n">
        <x:v>2255250</x:v>
      </x:c>
    </x:row>
    <x:row r="7491" ht="34" customHeight="1">
      <x:c r="A7491" s="4" t="str">
        <x:v>RS-03709-I2</x:v>
      </x:c>
      <x:c r="B7491" s="4" t="str">
        <x:v>RS-03709</x:v>
      </x:c>
      <x:c r="C7491" s="9" t="n">
        <x:v>2</x:v>
      </x:c>
      <x:c r="D7491" s="8" t="n">
        <x:v>45547</x:v>
      </x:c>
      <x:c r="E7491" s="9" t="n">
        <x:v>2255250</x:v>
      </x:c>
      <x:c r="F7491" s="9" t="n">
        <x:v>2255250</x:v>
      </x:c>
    </x:row>
    <x:row r="7492" ht="34" customHeight="1">
      <x:c r="A7492" s="4" t="str">
        <x:v>RS-03709-I3</x:v>
      </x:c>
      <x:c r="B7492" s="4" t="str">
        <x:v>RS-03709</x:v>
      </x:c>
      <x:c r="C7492" s="9" t="n">
        <x:v>3</x:v>
      </x:c>
      <x:c r="D7492" s="8" t="n">
        <x:v>45577</x:v>
      </x:c>
      <x:c r="E7492" s="9" t="n">
        <x:v>2255250</x:v>
      </x:c>
      <x:c r="F7492" s="9" t="n">
        <x:v>2255250</x:v>
      </x:c>
    </x:row>
    <x:row r="7493" ht="34" customHeight="1">
      <x:c r="A7493" s="4" t="str">
        <x:v>RS-03709-I4</x:v>
      </x:c>
      <x:c r="B7493" s="4" t="str">
        <x:v>RS-03709</x:v>
      </x:c>
      <x:c r="C7493" s="9" t="n">
        <x:v>4</x:v>
      </x:c>
      <x:c r="D7493" s="8" t="n">
        <x:v>45607</x:v>
      </x:c>
      <x:c r="E7493" s="9" t="n">
        <x:v>2255250</x:v>
      </x:c>
      <x:c r="F7493" s="9" t="n">
        <x:v>2255250</x:v>
      </x:c>
    </x:row>
    <x:row r="7494" ht="34" customHeight="1">
      <x:c r="A7494" s="4" t="str">
        <x:v>RS-03712-I1</x:v>
      </x:c>
      <x:c r="B7494" s="4" t="str">
        <x:v>RS-03712</x:v>
      </x:c>
      <x:c r="C7494" s="9" t="n">
        <x:v>1</x:v>
      </x:c>
      <x:c r="D7494" s="8" t="n">
        <x:v>45520</x:v>
      </x:c>
      <x:c r="E7494" s="9" t="n">
        <x:v>3516250</x:v>
      </x:c>
      <x:c r="F7494" s="9" t="n">
        <x:v>1406500</x:v>
      </x:c>
    </x:row>
    <x:row r="7495" ht="34" customHeight="1">
      <x:c r="A7495" s="4" t="str">
        <x:v>RS-03712-I2</x:v>
      </x:c>
      <x:c r="B7495" s="4" t="str">
        <x:v>RS-03712</x:v>
      </x:c>
      <x:c r="C7495" s="9" t="n">
        <x:v>2</x:v>
      </x:c>
      <x:c r="D7495" s="8" t="n">
        <x:v>45550</x:v>
      </x:c>
      <x:c r="E7495" s="9" t="n">
        <x:v>3516250</x:v>
      </x:c>
      <x:c r="F7495" s="9" t="n">
        <x:v>0</x:v>
      </x:c>
    </x:row>
    <x:row r="7496" ht="34" customHeight="1">
      <x:c r="A7496" s="4" t="str">
        <x:v>RS-03712-I3</x:v>
      </x:c>
      <x:c r="B7496" s="4" t="str">
        <x:v>RS-03712</x:v>
      </x:c>
      <x:c r="C7496" s="9" t="n">
        <x:v>3</x:v>
      </x:c>
      <x:c r="D7496" s="8" t="n">
        <x:v>45580</x:v>
      </x:c>
      <x:c r="E7496" s="9" t="n">
        <x:v>3516250</x:v>
      </x:c>
      <x:c r="F7496" s="9" t="n">
        <x:v>0</x:v>
      </x:c>
    </x:row>
    <x:row r="7497" ht="34" customHeight="1">
      <x:c r="A7497" s="4" t="str">
        <x:v>RS-03712-I4</x:v>
      </x:c>
      <x:c r="B7497" s="4" t="str">
        <x:v>RS-03712</x:v>
      </x:c>
      <x:c r="C7497" s="9" t="n">
        <x:v>4</x:v>
      </x:c>
      <x:c r="D7497" s="8" t="n">
        <x:v>45610</x:v>
      </x:c>
      <x:c r="E7497" s="9" t="n">
        <x:v>3516250</x:v>
      </x:c>
      <x:c r="F7497" s="9" t="n">
        <x:v>0</x:v>
      </x:c>
    </x:row>
    <x:row r="7498" ht="34" customHeight="1">
      <x:c r="A7498" s="4" t="str">
        <x:v>RS-03715-I1</x:v>
      </x:c>
      <x:c r="B7498" s="4" t="str">
        <x:v>RS-03715</x:v>
      </x:c>
      <x:c r="C7498" s="9" t="n">
        <x:v>1</x:v>
      </x:c>
      <x:c r="D7498" s="8" t="n">
        <x:v>45523</x:v>
      </x:c>
      <x:c r="E7498" s="9" t="n">
        <x:v>1464750</x:v>
      </x:c>
      <x:c r="F7498" s="9" t="n">
        <x:v>585900</x:v>
      </x:c>
    </x:row>
    <x:row r="7499" ht="34" customHeight="1">
      <x:c r="A7499" s="4" t="str">
        <x:v>RS-03715-I2</x:v>
      </x:c>
      <x:c r="B7499" s="4" t="str">
        <x:v>RS-03715</x:v>
      </x:c>
      <x:c r="C7499" s="9" t="n">
        <x:v>2</x:v>
      </x:c>
      <x:c r="D7499" s="8" t="n">
        <x:v>45553</x:v>
      </x:c>
      <x:c r="E7499" s="9" t="n">
        <x:v>1464750</x:v>
      </x:c>
      <x:c r="F7499" s="9" t="n">
        <x:v>0</x:v>
      </x:c>
    </x:row>
    <x:row r="7500" ht="34" customHeight="1">
      <x:c r="A7500" s="4" t="str">
        <x:v>RS-03715-I3</x:v>
      </x:c>
      <x:c r="B7500" s="4" t="str">
        <x:v>RS-03715</x:v>
      </x:c>
      <x:c r="C7500" s="9" t="n">
        <x:v>3</x:v>
      </x:c>
      <x:c r="D7500" s="8" t="n">
        <x:v>45583</x:v>
      </x:c>
      <x:c r="E7500" s="9" t="n">
        <x:v>1464750</x:v>
      </x:c>
      <x:c r="F7500" s="9" t="n">
        <x:v>0</x:v>
      </x:c>
    </x:row>
    <x:row r="7501" ht="34" customHeight="1">
      <x:c r="A7501" s="4" t="str">
        <x:v>RS-03715-I4</x:v>
      </x:c>
      <x:c r="B7501" s="4" t="str">
        <x:v>RS-03715</x:v>
      </x:c>
      <x:c r="C7501" s="9" t="n">
        <x:v>4</x:v>
      </x:c>
      <x:c r="D7501" s="8" t="n">
        <x:v>45613</x:v>
      </x:c>
      <x:c r="E7501" s="9" t="n">
        <x:v>1464750</x:v>
      </x:c>
      <x:c r="F7501" s="9" t="n">
        <x:v>0</x:v>
      </x:c>
    </x:row>
    <x:row r="7502" ht="34" customHeight="1">
      <x:c r="A7502" s="4" t="str">
        <x:v>RS-03720-I1</x:v>
      </x:c>
      <x:c r="B7502" s="4" t="str">
        <x:v>RS-03720</x:v>
      </x:c>
      <x:c r="C7502" s="9" t="n">
        <x:v>1</x:v>
      </x:c>
      <x:c r="D7502" s="8" t="n">
        <x:v>45528</x:v>
      </x:c>
      <x:c r="E7502" s="9" t="n">
        <x:v>5316500</x:v>
      </x:c>
      <x:c r="F7502" s="9" t="n">
        <x:v>5316500</x:v>
      </x:c>
    </x:row>
    <x:row r="7503" ht="34" customHeight="1">
      <x:c r="A7503" s="4" t="str">
        <x:v>RS-03720-I2</x:v>
      </x:c>
      <x:c r="B7503" s="4" t="str">
        <x:v>RS-03720</x:v>
      </x:c>
      <x:c r="C7503" s="9" t="n">
        <x:v>2</x:v>
      </x:c>
      <x:c r="D7503" s="8" t="n">
        <x:v>45558</x:v>
      </x:c>
      <x:c r="E7503" s="9" t="n">
        <x:v>5316500</x:v>
      </x:c>
      <x:c r="F7503" s="9" t="n">
        <x:v>5316500</x:v>
      </x:c>
    </x:row>
    <x:row r="7504" ht="34" customHeight="1">
      <x:c r="A7504" s="4" t="str">
        <x:v>RS-03720-I3</x:v>
      </x:c>
      <x:c r="B7504" s="4" t="str">
        <x:v>RS-03720</x:v>
      </x:c>
      <x:c r="C7504" s="9" t="n">
        <x:v>3</x:v>
      </x:c>
      <x:c r="D7504" s="8" t="n">
        <x:v>45588</x:v>
      </x:c>
      <x:c r="E7504" s="9" t="n">
        <x:v>5316500</x:v>
      </x:c>
      <x:c r="F7504" s="9" t="n">
        <x:v>0</x:v>
      </x:c>
    </x:row>
    <x:row r="7505" ht="34" customHeight="1">
      <x:c r="A7505" s="4" t="str">
        <x:v>RS-03720-I4</x:v>
      </x:c>
      <x:c r="B7505" s="4" t="str">
        <x:v>RS-03720</x:v>
      </x:c>
      <x:c r="C7505" s="9" t="n">
        <x:v>4</x:v>
      </x:c>
      <x:c r="D7505" s="8" t="n">
        <x:v>45618</x:v>
      </x:c>
      <x:c r="E7505" s="9" t="n">
        <x:v>5316500</x:v>
      </x:c>
      <x:c r="F7505" s="9" t="n">
        <x:v>0</x:v>
      </x:c>
    </x:row>
    <x:row r="7506" ht="34" customHeight="1">
      <x:c r="A7506" s="4" t="str">
        <x:v>RS-03721-I1</x:v>
      </x:c>
      <x:c r="B7506" s="4" t="str">
        <x:v>RS-03721</x:v>
      </x:c>
      <x:c r="C7506" s="9" t="n">
        <x:v>1</x:v>
      </x:c>
      <x:c r="D7506" s="8" t="n">
        <x:v>45529</x:v>
      </x:c>
      <x:c r="E7506" s="9" t="n">
        <x:v>3162000</x:v>
      </x:c>
      <x:c r="F7506" s="9" t="n">
        <x:v>3162000</x:v>
      </x:c>
    </x:row>
    <x:row r="7507" ht="34" customHeight="1">
      <x:c r="A7507" s="4" t="str">
        <x:v>RS-03721-I2</x:v>
      </x:c>
      <x:c r="B7507" s="4" t="str">
        <x:v>RS-03721</x:v>
      </x:c>
      <x:c r="C7507" s="9" t="n">
        <x:v>2</x:v>
      </x:c>
      <x:c r="D7507" s="8" t="n">
        <x:v>45559</x:v>
      </x:c>
      <x:c r="E7507" s="9" t="n">
        <x:v>3162000</x:v>
      </x:c>
      <x:c r="F7507" s="9" t="n">
        <x:v>3162000</x:v>
      </x:c>
    </x:row>
    <x:row r="7508" ht="34" customHeight="1">
      <x:c r="A7508" s="4" t="str">
        <x:v>RS-03721-I3</x:v>
      </x:c>
      <x:c r="B7508" s="4" t="str">
        <x:v>RS-03721</x:v>
      </x:c>
      <x:c r="C7508" s="9" t="n">
        <x:v>3</x:v>
      </x:c>
      <x:c r="D7508" s="8" t="n">
        <x:v>45589</x:v>
      </x:c>
      <x:c r="E7508" s="9" t="n">
        <x:v>3162000</x:v>
      </x:c>
      <x:c r="F7508" s="9" t="n">
        <x:v>0</x:v>
      </x:c>
    </x:row>
    <x:row r="7509" ht="34" customHeight="1">
      <x:c r="A7509" s="4" t="str">
        <x:v>RS-03721-I4</x:v>
      </x:c>
      <x:c r="B7509" s="4" t="str">
        <x:v>RS-03721</x:v>
      </x:c>
      <x:c r="C7509" s="9" t="n">
        <x:v>4</x:v>
      </x:c>
      <x:c r="D7509" s="8" t="n">
        <x:v>45619</x:v>
      </x:c>
      <x:c r="E7509" s="9" t="n">
        <x:v>3162000</x:v>
      </x:c>
      <x:c r="F7509" s="9" t="n">
        <x:v>0</x:v>
      </x:c>
    </x:row>
    <x:row r="7510" ht="34" customHeight="1">
      <x:c r="A7510" s="4" t="str">
        <x:v>RS-03724-I1</x:v>
      </x:c>
      <x:c r="B7510" s="4" t="str">
        <x:v>RS-03724</x:v>
      </x:c>
      <x:c r="C7510" s="9" t="n">
        <x:v>1</x:v>
      </x:c>
      <x:c r="D7510" s="8" t="n">
        <x:v>45532</x:v>
      </x:c>
      <x:c r="E7510" s="9" t="n">
        <x:v>2541250</x:v>
      </x:c>
      <x:c r="F7510" s="9" t="n">
        <x:v>2541250</x:v>
      </x:c>
    </x:row>
    <x:row r="7511" ht="34" customHeight="1">
      <x:c r="A7511" s="4" t="str">
        <x:v>RS-03724-I2</x:v>
      </x:c>
      <x:c r="B7511" s="4" t="str">
        <x:v>RS-03724</x:v>
      </x:c>
      <x:c r="C7511" s="9" t="n">
        <x:v>2</x:v>
      </x:c>
      <x:c r="D7511" s="8" t="n">
        <x:v>45562</x:v>
      </x:c>
      <x:c r="E7511" s="9" t="n">
        <x:v>2541250</x:v>
      </x:c>
      <x:c r="F7511" s="9" t="n">
        <x:v>2541250</x:v>
      </x:c>
    </x:row>
    <x:row r="7512" ht="34" customHeight="1">
      <x:c r="A7512" s="4" t="str">
        <x:v>RS-03724-I3</x:v>
      </x:c>
      <x:c r="B7512" s="4" t="str">
        <x:v>RS-03724</x:v>
      </x:c>
      <x:c r="C7512" s="9" t="n">
        <x:v>3</x:v>
      </x:c>
      <x:c r="D7512" s="8" t="n">
        <x:v>45592</x:v>
      </x:c>
      <x:c r="E7512" s="9" t="n">
        <x:v>2541250</x:v>
      </x:c>
      <x:c r="F7512" s="9" t="n">
        <x:v>2541250</x:v>
      </x:c>
    </x:row>
    <x:row r="7513" ht="34" customHeight="1">
      <x:c r="A7513" s="4" t="str">
        <x:v>RS-03724-I4</x:v>
      </x:c>
      <x:c r="B7513" s="4" t="str">
        <x:v>RS-03724</x:v>
      </x:c>
      <x:c r="C7513" s="9" t="n">
        <x:v>4</x:v>
      </x:c>
      <x:c r="D7513" s="8" t="n">
        <x:v>45622</x:v>
      </x:c>
      <x:c r="E7513" s="9" t="n">
        <x:v>2541250</x:v>
      </x:c>
      <x:c r="F7513" s="9" t="n">
        <x:v>2541250</x:v>
      </x:c>
    </x:row>
    <x:row r="7514" ht="34" customHeight="1">
      <x:c r="A7514" s="4" t="str">
        <x:v>RS-03725-I1</x:v>
      </x:c>
      <x:c r="B7514" s="4" t="str">
        <x:v>RS-03725</x:v>
      </x:c>
      <x:c r="C7514" s="9" t="n">
        <x:v>1</x:v>
      </x:c>
      <x:c r="D7514" s="8" t="n">
        <x:v>45505</x:v>
      </x:c>
      <x:c r="E7514" s="9" t="n">
        <x:v>1495000</x:v>
      </x:c>
      <x:c r="F7514" s="9" t="n">
        <x:v>1495000</x:v>
      </x:c>
    </x:row>
    <x:row r="7515" ht="34" customHeight="1">
      <x:c r="A7515" s="4" t="str">
        <x:v>RS-03725-I2</x:v>
      </x:c>
      <x:c r="B7515" s="4" t="str">
        <x:v>RS-03725</x:v>
      </x:c>
      <x:c r="C7515" s="9" t="n">
        <x:v>2</x:v>
      </x:c>
      <x:c r="D7515" s="8" t="n">
        <x:v>45535</x:v>
      </x:c>
      <x:c r="E7515" s="9" t="n">
        <x:v>1495000</x:v>
      </x:c>
      <x:c r="F7515" s="9" t="n">
        <x:v>0</x:v>
      </x:c>
    </x:row>
    <x:row r="7516" ht="34" customHeight="1">
      <x:c r="A7516" s="4" t="str">
        <x:v>RS-03725-I3</x:v>
      </x:c>
      <x:c r="B7516" s="4" t="str">
        <x:v>RS-03725</x:v>
      </x:c>
      <x:c r="C7516" s="9" t="n">
        <x:v>3</x:v>
      </x:c>
      <x:c r="D7516" s="8" t="n">
        <x:v>45565</x:v>
      </x:c>
      <x:c r="E7516" s="9" t="n">
        <x:v>1495000</x:v>
      </x:c>
      <x:c r="F7516" s="9" t="n">
        <x:v>0</x:v>
      </x:c>
    </x:row>
    <x:row r="7517" ht="34" customHeight="1">
      <x:c r="A7517" s="4" t="str">
        <x:v>RS-03725-I4</x:v>
      </x:c>
      <x:c r="B7517" s="4" t="str">
        <x:v>RS-03725</x:v>
      </x:c>
      <x:c r="C7517" s="9" t="n">
        <x:v>4</x:v>
      </x:c>
      <x:c r="D7517" s="8" t="n">
        <x:v>45595</x:v>
      </x:c>
      <x:c r="E7517" s="9" t="n">
        <x:v>1495000</x:v>
      </x:c>
      <x:c r="F7517" s="9" t="n">
        <x:v>0</x:v>
      </x:c>
    </x:row>
    <x:row r="7518" ht="34" customHeight="1">
      <x:c r="A7518" s="4" t="str">
        <x:v>RS-03726-I1</x:v>
      </x:c>
      <x:c r="B7518" s="4" t="str">
        <x:v>RS-03726</x:v>
      </x:c>
      <x:c r="C7518" s="9" t="n">
        <x:v>1</x:v>
      </x:c>
      <x:c r="D7518" s="8" t="n">
        <x:v>45506</x:v>
      </x:c>
      <x:c r="E7518" s="9" t="n">
        <x:v>3571750</x:v>
      </x:c>
      <x:c r="F7518" s="9" t="n">
        <x:v>3571750</x:v>
      </x:c>
    </x:row>
    <x:row r="7519" ht="34" customHeight="1">
      <x:c r="A7519" s="4" t="str">
        <x:v>RS-03726-I2</x:v>
      </x:c>
      <x:c r="B7519" s="4" t="str">
        <x:v>RS-03726</x:v>
      </x:c>
      <x:c r="C7519" s="9" t="n">
        <x:v>2</x:v>
      </x:c>
      <x:c r="D7519" s="8" t="n">
        <x:v>45536</x:v>
      </x:c>
      <x:c r="E7519" s="9" t="n">
        <x:v>3571750</x:v>
      </x:c>
      <x:c r="F7519" s="9" t="n">
        <x:v>0</x:v>
      </x:c>
    </x:row>
    <x:row r="7520" ht="34" customHeight="1">
      <x:c r="A7520" s="4" t="str">
        <x:v>RS-03726-I3</x:v>
      </x:c>
      <x:c r="B7520" s="4" t="str">
        <x:v>RS-03726</x:v>
      </x:c>
      <x:c r="C7520" s="9" t="n">
        <x:v>3</x:v>
      </x:c>
      <x:c r="D7520" s="8" t="n">
        <x:v>45566</x:v>
      </x:c>
      <x:c r="E7520" s="9" t="n">
        <x:v>3571750</x:v>
      </x:c>
      <x:c r="F7520" s="9" t="n">
        <x:v>0</x:v>
      </x:c>
    </x:row>
    <x:row r="7521" ht="34" customHeight="1">
      <x:c r="A7521" s="4" t="str">
        <x:v>RS-03726-I4</x:v>
      </x:c>
      <x:c r="B7521" s="4" t="str">
        <x:v>RS-03726</x:v>
      </x:c>
      <x:c r="C7521" s="9" t="n">
        <x:v>4</x:v>
      </x:c>
      <x:c r="D7521" s="8" t="n">
        <x:v>45596</x:v>
      </x:c>
      <x:c r="E7521" s="9" t="n">
        <x:v>3571750</x:v>
      </x:c>
      <x:c r="F7521" s="9" t="n">
        <x:v>0</x:v>
      </x:c>
    </x:row>
    <x:row r="7522" ht="34" customHeight="1">
      <x:c r="A7522" s="4" t="str">
        <x:v>RS-03728-I1</x:v>
      </x:c>
      <x:c r="B7522" s="4" t="str">
        <x:v>RS-03728</x:v>
      </x:c>
      <x:c r="C7522" s="9" t="n">
        <x:v>1</x:v>
      </x:c>
      <x:c r="D7522" s="8" t="n">
        <x:v>45508</x:v>
      </x:c>
      <x:c r="E7522" s="9" t="n">
        <x:v>3549000</x:v>
      </x:c>
      <x:c r="F7522" s="9" t="n">
        <x:v>1419600</x:v>
      </x:c>
    </x:row>
    <x:row r="7523" ht="34" customHeight="1">
      <x:c r="A7523" s="4" t="str">
        <x:v>RS-03728-I2</x:v>
      </x:c>
      <x:c r="B7523" s="4" t="str">
        <x:v>RS-03728</x:v>
      </x:c>
      <x:c r="C7523" s="9" t="n">
        <x:v>2</x:v>
      </x:c>
      <x:c r="D7523" s="8" t="n">
        <x:v>45538</x:v>
      </x:c>
      <x:c r="E7523" s="9" t="n">
        <x:v>3549000</x:v>
      </x:c>
      <x:c r="F7523" s="9" t="n">
        <x:v>0</x:v>
      </x:c>
    </x:row>
    <x:row r="7524" ht="34" customHeight="1">
      <x:c r="A7524" s="4" t="str">
        <x:v>RS-03728-I3</x:v>
      </x:c>
      <x:c r="B7524" s="4" t="str">
        <x:v>RS-03728</x:v>
      </x:c>
      <x:c r="C7524" s="9" t="n">
        <x:v>3</x:v>
      </x:c>
      <x:c r="D7524" s="8" t="n">
        <x:v>45568</x:v>
      </x:c>
      <x:c r="E7524" s="9" t="n">
        <x:v>3549000</x:v>
      </x:c>
      <x:c r="F7524" s="9" t="n">
        <x:v>0</x:v>
      </x:c>
    </x:row>
    <x:row r="7525" ht="34" customHeight="1">
      <x:c r="A7525" s="4" t="str">
        <x:v>RS-03728-I4</x:v>
      </x:c>
      <x:c r="B7525" s="4" t="str">
        <x:v>RS-03728</x:v>
      </x:c>
      <x:c r="C7525" s="9" t="n">
        <x:v>4</x:v>
      </x:c>
      <x:c r="D7525" s="8" t="n">
        <x:v>45598</x:v>
      </x:c>
      <x:c r="E7525" s="9" t="n">
        <x:v>3549000</x:v>
      </x:c>
      <x:c r="F7525" s="9" t="n">
        <x:v>0</x:v>
      </x:c>
    </x:row>
    <x:row r="7526" ht="34" customHeight="1">
      <x:c r="A7526" s="4" t="str">
        <x:v>RS-03731-I1</x:v>
      </x:c>
      <x:c r="B7526" s="4" t="str">
        <x:v>RS-03731</x:v>
      </x:c>
      <x:c r="C7526" s="9" t="n">
        <x:v>1</x:v>
      </x:c>
      <x:c r="D7526" s="8" t="n">
        <x:v>45511</x:v>
      </x:c>
      <x:c r="E7526" s="9" t="n">
        <x:v>4709250</x:v>
      </x:c>
      <x:c r="F7526" s="9" t="n">
        <x:v>4709250</x:v>
      </x:c>
    </x:row>
    <x:row r="7527" ht="34" customHeight="1">
      <x:c r="A7527" s="4" t="str">
        <x:v>RS-03731-I2</x:v>
      </x:c>
      <x:c r="B7527" s="4" t="str">
        <x:v>RS-03731</x:v>
      </x:c>
      <x:c r="C7527" s="9" t="n">
        <x:v>2</x:v>
      </x:c>
      <x:c r="D7527" s="8" t="n">
        <x:v>45541</x:v>
      </x:c>
      <x:c r="E7527" s="9" t="n">
        <x:v>4709250</x:v>
      </x:c>
      <x:c r="F7527" s="9" t="n">
        <x:v>4709250</x:v>
      </x:c>
    </x:row>
    <x:row r="7528" ht="34" customHeight="1">
      <x:c r="A7528" s="4" t="str">
        <x:v>RS-03731-I3</x:v>
      </x:c>
      <x:c r="B7528" s="4" t="str">
        <x:v>RS-03731</x:v>
      </x:c>
      <x:c r="C7528" s="9" t="n">
        <x:v>3</x:v>
      </x:c>
      <x:c r="D7528" s="8" t="n">
        <x:v>45571</x:v>
      </x:c>
      <x:c r="E7528" s="9" t="n">
        <x:v>4709250</x:v>
      </x:c>
      <x:c r="F7528" s="9" t="n">
        <x:v>0</x:v>
      </x:c>
    </x:row>
    <x:row r="7529" ht="34" customHeight="1">
      <x:c r="A7529" s="4" t="str">
        <x:v>RS-03731-I4</x:v>
      </x:c>
      <x:c r="B7529" s="4" t="str">
        <x:v>RS-03731</x:v>
      </x:c>
      <x:c r="C7529" s="9" t="n">
        <x:v>4</x:v>
      </x:c>
      <x:c r="D7529" s="8" t="n">
        <x:v>45601</x:v>
      </x:c>
      <x:c r="E7529" s="9" t="n">
        <x:v>4709250</x:v>
      </x:c>
      <x:c r="F7529" s="9" t="n">
        <x:v>0</x:v>
      </x:c>
    </x:row>
    <x:row r="7530" ht="34" customHeight="1">
      <x:c r="A7530" s="4" t="str">
        <x:v>RS-03735-I1</x:v>
      </x:c>
      <x:c r="B7530" s="4" t="str">
        <x:v>RS-03735</x:v>
      </x:c>
      <x:c r="C7530" s="9" t="n">
        <x:v>1</x:v>
      </x:c>
      <x:c r="D7530" s="8" t="n">
        <x:v>45515</x:v>
      </x:c>
      <x:c r="E7530" s="9" t="n">
        <x:v>1472500</x:v>
      </x:c>
      <x:c r="F7530" s="9" t="n">
        <x:v>1472500</x:v>
      </x:c>
    </x:row>
    <x:row r="7531" ht="34" customHeight="1">
      <x:c r="A7531" s="4" t="str">
        <x:v>RS-03735-I2</x:v>
      </x:c>
      <x:c r="B7531" s="4" t="str">
        <x:v>RS-03735</x:v>
      </x:c>
      <x:c r="C7531" s="9" t="n">
        <x:v>2</x:v>
      </x:c>
      <x:c r="D7531" s="8" t="n">
        <x:v>45545</x:v>
      </x:c>
      <x:c r="E7531" s="9" t="n">
        <x:v>1472500</x:v>
      </x:c>
      <x:c r="F7531" s="9" t="n">
        <x:v>0</x:v>
      </x:c>
    </x:row>
    <x:row r="7532" ht="34" customHeight="1">
      <x:c r="A7532" s="4" t="str">
        <x:v>RS-03735-I3</x:v>
      </x:c>
      <x:c r="B7532" s="4" t="str">
        <x:v>RS-03735</x:v>
      </x:c>
      <x:c r="C7532" s="9" t="n">
        <x:v>3</x:v>
      </x:c>
      <x:c r="D7532" s="8" t="n">
        <x:v>45575</x:v>
      </x:c>
      <x:c r="E7532" s="9" t="n">
        <x:v>1472500</x:v>
      </x:c>
      <x:c r="F7532" s="9" t="n">
        <x:v>0</x:v>
      </x:c>
    </x:row>
    <x:row r="7533" ht="34" customHeight="1">
      <x:c r="A7533" s="4" t="str">
        <x:v>RS-03735-I4</x:v>
      </x:c>
      <x:c r="B7533" s="4" t="str">
        <x:v>RS-03735</x:v>
      </x:c>
      <x:c r="C7533" s="9" t="n">
        <x:v>4</x:v>
      </x:c>
      <x:c r="D7533" s="8" t="n">
        <x:v>45605</x:v>
      </x:c>
      <x:c r="E7533" s="9" t="n">
        <x:v>1472500</x:v>
      </x:c>
      <x:c r="F7533" s="9" t="n">
        <x:v>0</x:v>
      </x:c>
    </x:row>
    <x:row r="7534" ht="34" customHeight="1">
      <x:c r="A7534" s="4" t="str">
        <x:v>RS-03737-I1</x:v>
      </x:c>
      <x:c r="B7534" s="4" t="str">
        <x:v>RS-03737</x:v>
      </x:c>
      <x:c r="C7534" s="9" t="n">
        <x:v>1</x:v>
      </x:c>
      <x:c r="D7534" s="8" t="n">
        <x:v>45517</x:v>
      </x:c>
      <x:c r="E7534" s="9" t="n">
        <x:v>1782000</x:v>
      </x:c>
      <x:c r="F7534" s="9" t="n">
        <x:v>1782000</x:v>
      </x:c>
    </x:row>
    <x:row r="7535" ht="34" customHeight="1">
      <x:c r="A7535" s="4" t="str">
        <x:v>RS-03737-I2</x:v>
      </x:c>
      <x:c r="B7535" s="4" t="str">
        <x:v>RS-03737</x:v>
      </x:c>
      <x:c r="C7535" s="9" t="n">
        <x:v>2</x:v>
      </x:c>
      <x:c r="D7535" s="8" t="n">
        <x:v>45547</x:v>
      </x:c>
      <x:c r="E7535" s="9" t="n">
        <x:v>1782000</x:v>
      </x:c>
      <x:c r="F7535" s="9" t="n">
        <x:v>0</x:v>
      </x:c>
    </x:row>
    <x:row r="7536" ht="34" customHeight="1">
      <x:c r="A7536" s="4" t="str">
        <x:v>RS-03737-I3</x:v>
      </x:c>
      <x:c r="B7536" s="4" t="str">
        <x:v>RS-03737</x:v>
      </x:c>
      <x:c r="C7536" s="9" t="n">
        <x:v>3</x:v>
      </x:c>
      <x:c r="D7536" s="8" t="n">
        <x:v>45577</x:v>
      </x:c>
      <x:c r="E7536" s="9" t="n">
        <x:v>1782000</x:v>
      </x:c>
      <x:c r="F7536" s="9" t="n">
        <x:v>0</x:v>
      </x:c>
    </x:row>
    <x:row r="7537" ht="34" customHeight="1">
      <x:c r="A7537" s="4" t="str">
        <x:v>RS-03737-I4</x:v>
      </x:c>
      <x:c r="B7537" s="4" t="str">
        <x:v>RS-03737</x:v>
      </x:c>
      <x:c r="C7537" s="9" t="n">
        <x:v>4</x:v>
      </x:c>
      <x:c r="D7537" s="8" t="n">
        <x:v>45607</x:v>
      </x:c>
      <x:c r="E7537" s="9" t="n">
        <x:v>1782000</x:v>
      </x:c>
      <x:c r="F7537" s="9" t="n">
        <x:v>0</x:v>
      </x:c>
    </x:row>
    <x:row r="7538" ht="34" customHeight="1">
      <x:c r="A7538" s="4" t="str">
        <x:v>RS-03741-I1</x:v>
      </x:c>
      <x:c r="B7538" s="4" t="str">
        <x:v>RS-03741</x:v>
      </x:c>
      <x:c r="C7538" s="9" t="n">
        <x:v>1</x:v>
      </x:c>
      <x:c r="D7538" s="8" t="n">
        <x:v>45521</x:v>
      </x:c>
      <x:c r="E7538" s="9" t="n">
        <x:v>1697500</x:v>
      </x:c>
      <x:c r="F7538" s="9" t="n">
        <x:v>1697500</x:v>
      </x:c>
    </x:row>
    <x:row r="7539" ht="34" customHeight="1">
      <x:c r="A7539" s="4" t="str">
        <x:v>RS-03741-I2</x:v>
      </x:c>
      <x:c r="B7539" s="4" t="str">
        <x:v>RS-03741</x:v>
      </x:c>
      <x:c r="C7539" s="9" t="n">
        <x:v>2</x:v>
      </x:c>
      <x:c r="D7539" s="8" t="n">
        <x:v>45551</x:v>
      </x:c>
      <x:c r="E7539" s="9" t="n">
        <x:v>1697500</x:v>
      </x:c>
      <x:c r="F7539" s="9" t="n">
        <x:v>1697500</x:v>
      </x:c>
    </x:row>
    <x:row r="7540" ht="34" customHeight="1">
      <x:c r="A7540" s="4" t="str">
        <x:v>RS-03741-I3</x:v>
      </x:c>
      <x:c r="B7540" s="4" t="str">
        <x:v>RS-03741</x:v>
      </x:c>
      <x:c r="C7540" s="9" t="n">
        <x:v>3</x:v>
      </x:c>
      <x:c r="D7540" s="8" t="n">
        <x:v>45581</x:v>
      </x:c>
      <x:c r="E7540" s="9" t="n">
        <x:v>1697500</x:v>
      </x:c>
      <x:c r="F7540" s="9" t="n">
        <x:v>0</x:v>
      </x:c>
    </x:row>
    <x:row r="7541" ht="34" customHeight="1">
      <x:c r="A7541" s="4" t="str">
        <x:v>RS-03741-I4</x:v>
      </x:c>
      <x:c r="B7541" s="4" t="str">
        <x:v>RS-03741</x:v>
      </x:c>
      <x:c r="C7541" s="9" t="n">
        <x:v>4</x:v>
      </x:c>
      <x:c r="D7541" s="8" t="n">
        <x:v>45611</x:v>
      </x:c>
      <x:c r="E7541" s="9" t="n">
        <x:v>1697500</x:v>
      </x:c>
      <x:c r="F7541" s="9" t="n">
        <x:v>0</x:v>
      </x:c>
    </x:row>
    <x:row r="7542" ht="34" customHeight="1">
      <x:c r="A7542" s="4" t="str">
        <x:v>RS-03742-I1</x:v>
      </x:c>
      <x:c r="B7542" s="4" t="str">
        <x:v>RS-03742</x:v>
      </x:c>
      <x:c r="C7542" s="9" t="n">
        <x:v>1</x:v>
      </x:c>
      <x:c r="D7542" s="8" t="n">
        <x:v>45522</x:v>
      </x:c>
      <x:c r="E7542" s="9" t="n">
        <x:v>979000</x:v>
      </x:c>
      <x:c r="F7542" s="9" t="n">
        <x:v>979000</x:v>
      </x:c>
    </x:row>
    <x:row r="7543" ht="34" customHeight="1">
      <x:c r="A7543" s="4" t="str">
        <x:v>RS-03742-I2</x:v>
      </x:c>
      <x:c r="B7543" s="4" t="str">
        <x:v>RS-03742</x:v>
      </x:c>
      <x:c r="C7543" s="9" t="n">
        <x:v>2</x:v>
      </x:c>
      <x:c r="D7543" s="8" t="n">
        <x:v>45552</x:v>
      </x:c>
      <x:c r="E7543" s="9" t="n">
        <x:v>979000</x:v>
      </x:c>
      <x:c r="F7543" s="9" t="n">
        <x:v>979000</x:v>
      </x:c>
    </x:row>
    <x:row r="7544" ht="34" customHeight="1">
      <x:c r="A7544" s="4" t="str">
        <x:v>RS-03742-I3</x:v>
      </x:c>
      <x:c r="B7544" s="4" t="str">
        <x:v>RS-03742</x:v>
      </x:c>
      <x:c r="C7544" s="9" t="n">
        <x:v>3</x:v>
      </x:c>
      <x:c r="D7544" s="8" t="n">
        <x:v>45582</x:v>
      </x:c>
      <x:c r="E7544" s="9" t="n">
        <x:v>979000</x:v>
      </x:c>
      <x:c r="F7544" s="9" t="n">
        <x:v>979000</x:v>
      </x:c>
    </x:row>
    <x:row r="7545" ht="34" customHeight="1">
      <x:c r="A7545" s="4" t="str">
        <x:v>RS-03742-I4</x:v>
      </x:c>
      <x:c r="B7545" s="4" t="str">
        <x:v>RS-03742</x:v>
      </x:c>
      <x:c r="C7545" s="9" t="n">
        <x:v>4</x:v>
      </x:c>
      <x:c r="D7545" s="8" t="n">
        <x:v>45612</x:v>
      </x:c>
      <x:c r="E7545" s="9" t="n">
        <x:v>979000</x:v>
      </x:c>
      <x:c r="F7545" s="9" t="n">
        <x:v>979000</x:v>
      </x:c>
    </x:row>
    <x:row r="7546" ht="34" customHeight="1">
      <x:c r="A7546" s="4" t="str">
        <x:v>RS-03746-I1</x:v>
      </x:c>
      <x:c r="B7546" s="4" t="str">
        <x:v>RS-03746</x:v>
      </x:c>
      <x:c r="C7546" s="9" t="n">
        <x:v>1</x:v>
      </x:c>
      <x:c r="D7546" s="8" t="n">
        <x:v>45526</x:v>
      </x:c>
      <x:c r="E7546" s="9" t="n">
        <x:v>5808000</x:v>
      </x:c>
      <x:c r="F7546" s="9" t="n">
        <x:v>5808000</x:v>
      </x:c>
    </x:row>
    <x:row r="7547" ht="34" customHeight="1">
      <x:c r="A7547" s="4" t="str">
        <x:v>RS-03746-I2</x:v>
      </x:c>
      <x:c r="B7547" s="4" t="str">
        <x:v>RS-03746</x:v>
      </x:c>
      <x:c r="C7547" s="9" t="n">
        <x:v>2</x:v>
      </x:c>
      <x:c r="D7547" s="8" t="n">
        <x:v>45556</x:v>
      </x:c>
      <x:c r="E7547" s="9" t="n">
        <x:v>5808000</x:v>
      </x:c>
      <x:c r="F7547" s="9" t="n">
        <x:v>5808000</x:v>
      </x:c>
    </x:row>
    <x:row r="7548" ht="34" customHeight="1">
      <x:c r="A7548" s="4" t="str">
        <x:v>RS-03746-I3</x:v>
      </x:c>
      <x:c r="B7548" s="4" t="str">
        <x:v>RS-03746</x:v>
      </x:c>
      <x:c r="C7548" s="9" t="n">
        <x:v>3</x:v>
      </x:c>
      <x:c r="D7548" s="8" t="n">
        <x:v>45586</x:v>
      </x:c>
      <x:c r="E7548" s="9" t="n">
        <x:v>5808000</x:v>
      </x:c>
      <x:c r="F7548" s="9" t="n">
        <x:v>5808000</x:v>
      </x:c>
    </x:row>
    <x:row r="7549" ht="34" customHeight="1">
      <x:c r="A7549" s="4" t="str">
        <x:v>RS-03746-I4</x:v>
      </x:c>
      <x:c r="B7549" s="4" t="str">
        <x:v>RS-03746</x:v>
      </x:c>
      <x:c r="C7549" s="9" t="n">
        <x:v>4</x:v>
      </x:c>
      <x:c r="D7549" s="8" t="n">
        <x:v>45616</x:v>
      </x:c>
      <x:c r="E7549" s="9" t="n">
        <x:v>5808000</x:v>
      </x:c>
      <x:c r="F7549" s="9" t="n">
        <x:v>5808000</x:v>
      </x:c>
    </x:row>
    <x:row r="7550" ht="34" customHeight="1">
      <x:c r="A7550" s="4" t="str">
        <x:v>RS-03749-I1</x:v>
      </x:c>
      <x:c r="B7550" s="4" t="str">
        <x:v>RS-03749</x:v>
      </x:c>
      <x:c r="C7550" s="9" t="n">
        <x:v>1</x:v>
      </x:c>
      <x:c r="D7550" s="8" t="n">
        <x:v>45529</x:v>
      </x:c>
      <x:c r="E7550" s="9" t="n">
        <x:v>3960000</x:v>
      </x:c>
      <x:c r="F7550" s="9" t="n">
        <x:v>3960000</x:v>
      </x:c>
    </x:row>
    <x:row r="7551" ht="34" customHeight="1">
      <x:c r="A7551" s="4" t="str">
        <x:v>RS-03749-I2</x:v>
      </x:c>
      <x:c r="B7551" s="4" t="str">
        <x:v>RS-03749</x:v>
      </x:c>
      <x:c r="C7551" s="9" t="n">
        <x:v>2</x:v>
      </x:c>
      <x:c r="D7551" s="8" t="n">
        <x:v>45559</x:v>
      </x:c>
      <x:c r="E7551" s="9" t="n">
        <x:v>3960000</x:v>
      </x:c>
      <x:c r="F7551" s="9" t="n">
        <x:v>3960000</x:v>
      </x:c>
    </x:row>
    <x:row r="7552" ht="34" customHeight="1">
      <x:c r="A7552" s="4" t="str">
        <x:v>RS-03749-I3</x:v>
      </x:c>
      <x:c r="B7552" s="4" t="str">
        <x:v>RS-03749</x:v>
      </x:c>
      <x:c r="C7552" s="9" t="n">
        <x:v>3</x:v>
      </x:c>
      <x:c r="D7552" s="8" t="n">
        <x:v>45589</x:v>
      </x:c>
      <x:c r="E7552" s="9" t="n">
        <x:v>3960000</x:v>
      </x:c>
      <x:c r="F7552" s="9" t="n">
        <x:v>3960000</x:v>
      </x:c>
    </x:row>
    <x:row r="7553" ht="34" customHeight="1">
      <x:c r="A7553" s="4" t="str">
        <x:v>RS-03749-I4</x:v>
      </x:c>
      <x:c r="B7553" s="4" t="str">
        <x:v>RS-03749</x:v>
      </x:c>
      <x:c r="C7553" s="9" t="n">
        <x:v>4</x:v>
      </x:c>
      <x:c r="D7553" s="8" t="n">
        <x:v>45619</x:v>
      </x:c>
      <x:c r="E7553" s="9" t="n">
        <x:v>3960000</x:v>
      </x:c>
      <x:c r="F7553" s="9" t="n">
        <x:v>3960000</x:v>
      </x:c>
    </x:row>
    <x:row r="7554" ht="34" customHeight="1">
      <x:c r="A7554" s="4" t="str">
        <x:v>RS-03750-I1</x:v>
      </x:c>
      <x:c r="B7554" s="4" t="str">
        <x:v>RS-03750</x:v>
      </x:c>
      <x:c r="C7554" s="9" t="n">
        <x:v>1</x:v>
      </x:c>
      <x:c r="D7554" s="8" t="n">
        <x:v>45530</x:v>
      </x:c>
      <x:c r="E7554" s="9" t="n">
        <x:v>3640000</x:v>
      </x:c>
      <x:c r="F7554" s="9" t="n">
        <x:v>3640000</x:v>
      </x:c>
    </x:row>
    <x:row r="7555" ht="34" customHeight="1">
      <x:c r="A7555" s="4" t="str">
        <x:v>RS-03750-I2</x:v>
      </x:c>
      <x:c r="B7555" s="4" t="str">
        <x:v>RS-03750</x:v>
      </x:c>
      <x:c r="C7555" s="9" t="n">
        <x:v>2</x:v>
      </x:c>
      <x:c r="D7555" s="8" t="n">
        <x:v>45560</x:v>
      </x:c>
      <x:c r="E7555" s="9" t="n">
        <x:v>3640000</x:v>
      </x:c>
      <x:c r="F7555" s="9" t="n">
        <x:v>0</x:v>
      </x:c>
    </x:row>
    <x:row r="7556" ht="34" customHeight="1">
      <x:c r="A7556" s="4" t="str">
        <x:v>RS-03750-I3</x:v>
      </x:c>
      <x:c r="B7556" s="4" t="str">
        <x:v>RS-03750</x:v>
      </x:c>
      <x:c r="C7556" s="9" t="n">
        <x:v>3</x:v>
      </x:c>
      <x:c r="D7556" s="8" t="n">
        <x:v>45590</x:v>
      </x:c>
      <x:c r="E7556" s="9" t="n">
        <x:v>3640000</x:v>
      </x:c>
      <x:c r="F7556" s="9" t="n">
        <x:v>0</x:v>
      </x:c>
    </x:row>
    <x:row r="7557" ht="34" customHeight="1">
      <x:c r="A7557" s="4" t="str">
        <x:v>RS-03750-I4</x:v>
      </x:c>
      <x:c r="B7557" s="4" t="str">
        <x:v>RS-03750</x:v>
      </x:c>
      <x:c r="C7557" s="9" t="n">
        <x:v>4</x:v>
      </x:c>
      <x:c r="D7557" s="8" t="n">
        <x:v>45620</x:v>
      </x:c>
      <x:c r="E7557" s="9" t="n">
        <x:v>3640000</x:v>
      </x:c>
      <x:c r="F7557" s="9" t="n">
        <x:v>0</x:v>
      </x:c>
    </x:row>
    <x:row r="7558" ht="34" customHeight="1">
      <x:c r="A7558" s="4" t="str">
        <x:v>RS-03752-I1</x:v>
      </x:c>
      <x:c r="B7558" s="4" t="str">
        <x:v>RS-03752</x:v>
      </x:c>
      <x:c r="C7558" s="9" t="n">
        <x:v>1</x:v>
      </x:c>
      <x:c r="D7558" s="8" t="n">
        <x:v>45532</x:v>
      </x:c>
      <x:c r="E7558" s="9" t="n">
        <x:v>4361000</x:v>
      </x:c>
      <x:c r="F7558" s="9" t="n">
        <x:v>4361000</x:v>
      </x:c>
    </x:row>
    <x:row r="7559" ht="34" customHeight="1">
      <x:c r="A7559" s="4" t="str">
        <x:v>RS-03752-I2</x:v>
      </x:c>
      <x:c r="B7559" s="4" t="str">
        <x:v>RS-03752</x:v>
      </x:c>
      <x:c r="C7559" s="9" t="n">
        <x:v>2</x:v>
      </x:c>
      <x:c r="D7559" s="8" t="n">
        <x:v>45562</x:v>
      </x:c>
      <x:c r="E7559" s="9" t="n">
        <x:v>4361000</x:v>
      </x:c>
      <x:c r="F7559" s="9" t="n">
        <x:v>0</x:v>
      </x:c>
    </x:row>
    <x:row r="7560" ht="34" customHeight="1">
      <x:c r="A7560" s="4" t="str">
        <x:v>RS-03752-I3</x:v>
      </x:c>
      <x:c r="B7560" s="4" t="str">
        <x:v>RS-03752</x:v>
      </x:c>
      <x:c r="C7560" s="9" t="n">
        <x:v>3</x:v>
      </x:c>
      <x:c r="D7560" s="8" t="n">
        <x:v>45592</x:v>
      </x:c>
      <x:c r="E7560" s="9" t="n">
        <x:v>4361000</x:v>
      </x:c>
      <x:c r="F7560" s="9" t="n">
        <x:v>0</x:v>
      </x:c>
    </x:row>
    <x:row r="7561" ht="34" customHeight="1">
      <x:c r="A7561" s="4" t="str">
        <x:v>RS-03752-I4</x:v>
      </x:c>
      <x:c r="B7561" s="4" t="str">
        <x:v>RS-03752</x:v>
      </x:c>
      <x:c r="C7561" s="9" t="n">
        <x:v>4</x:v>
      </x:c>
      <x:c r="D7561" s="8" t="n">
        <x:v>45622</x:v>
      </x:c>
      <x:c r="E7561" s="9" t="n">
        <x:v>4361000</x:v>
      </x:c>
      <x:c r="F7561" s="9" t="n">
        <x:v>0</x:v>
      </x:c>
    </x:row>
    <x:row r="7562" ht="34" customHeight="1">
      <x:c r="A7562" s="4" t="str">
        <x:v>RS-03753-I1</x:v>
      </x:c>
      <x:c r="B7562" s="4" t="str">
        <x:v>RS-03753</x:v>
      </x:c>
      <x:c r="C7562" s="9" t="n">
        <x:v>1</x:v>
      </x:c>
      <x:c r="D7562" s="8" t="n">
        <x:v>45505</x:v>
      </x:c>
      <x:c r="E7562" s="9" t="n">
        <x:v>4380750</x:v>
      </x:c>
      <x:c r="F7562" s="9" t="n">
        <x:v>4380750</x:v>
      </x:c>
    </x:row>
    <x:row r="7563" ht="34" customHeight="1">
      <x:c r="A7563" s="4" t="str">
        <x:v>RS-03753-I2</x:v>
      </x:c>
      <x:c r="B7563" s="4" t="str">
        <x:v>RS-03753</x:v>
      </x:c>
      <x:c r="C7563" s="9" t="n">
        <x:v>2</x:v>
      </x:c>
      <x:c r="D7563" s="8" t="n">
        <x:v>45535</x:v>
      </x:c>
      <x:c r="E7563" s="9" t="n">
        <x:v>4380750</x:v>
      </x:c>
      <x:c r="F7563" s="9" t="n">
        <x:v>4380750</x:v>
      </x:c>
    </x:row>
    <x:row r="7564" ht="34" customHeight="1">
      <x:c r="A7564" s="4" t="str">
        <x:v>RS-03753-I3</x:v>
      </x:c>
      <x:c r="B7564" s="4" t="str">
        <x:v>RS-03753</x:v>
      </x:c>
      <x:c r="C7564" s="9" t="n">
        <x:v>3</x:v>
      </x:c>
      <x:c r="D7564" s="8" t="n">
        <x:v>45565</x:v>
      </x:c>
      <x:c r="E7564" s="9" t="n">
        <x:v>4380750</x:v>
      </x:c>
      <x:c r="F7564" s="9" t="n">
        <x:v>4380750</x:v>
      </x:c>
    </x:row>
    <x:row r="7565" ht="34" customHeight="1">
      <x:c r="A7565" s="4" t="str">
        <x:v>RS-03753-I4</x:v>
      </x:c>
      <x:c r="B7565" s="4" t="str">
        <x:v>RS-03753</x:v>
      </x:c>
      <x:c r="C7565" s="9" t="n">
        <x:v>4</x:v>
      </x:c>
      <x:c r="D7565" s="8" t="n">
        <x:v>45595</x:v>
      </x:c>
      <x:c r="E7565" s="9" t="n">
        <x:v>4380750</x:v>
      </x:c>
      <x:c r="F7565" s="9" t="n">
        <x:v>4380750</x:v>
      </x:c>
    </x:row>
    <x:row r="7566" ht="34" customHeight="1">
      <x:c r="A7566" s="4" t="str">
        <x:v>RS-03754-I1</x:v>
      </x:c>
      <x:c r="B7566" s="4" t="str">
        <x:v>RS-03754</x:v>
      </x:c>
      <x:c r="C7566" s="9" t="n">
        <x:v>1</x:v>
      </x:c>
      <x:c r="D7566" s="8" t="n">
        <x:v>45506</x:v>
      </x:c>
      <x:c r="E7566" s="9" t="n">
        <x:v>1090250</x:v>
      </x:c>
      <x:c r="F7566" s="9" t="n">
        <x:v>1090250</x:v>
      </x:c>
    </x:row>
    <x:row r="7567" ht="34" customHeight="1">
      <x:c r="A7567" s="4" t="str">
        <x:v>RS-03754-I2</x:v>
      </x:c>
      <x:c r="B7567" s="4" t="str">
        <x:v>RS-03754</x:v>
      </x:c>
      <x:c r="C7567" s="9" t="n">
        <x:v>2</x:v>
      </x:c>
      <x:c r="D7567" s="8" t="n">
        <x:v>45536</x:v>
      </x:c>
      <x:c r="E7567" s="9" t="n">
        <x:v>1090250</x:v>
      </x:c>
      <x:c r="F7567" s="9" t="n">
        <x:v>0</x:v>
      </x:c>
    </x:row>
    <x:row r="7568" ht="34" customHeight="1">
      <x:c r="A7568" s="4" t="str">
        <x:v>RS-03754-I3</x:v>
      </x:c>
      <x:c r="B7568" s="4" t="str">
        <x:v>RS-03754</x:v>
      </x:c>
      <x:c r="C7568" s="9" t="n">
        <x:v>3</x:v>
      </x:c>
      <x:c r="D7568" s="8" t="n">
        <x:v>45566</x:v>
      </x:c>
      <x:c r="E7568" s="9" t="n">
        <x:v>1090250</x:v>
      </x:c>
      <x:c r="F7568" s="9" t="n">
        <x:v>0</x:v>
      </x:c>
    </x:row>
    <x:row r="7569" ht="34" customHeight="1">
      <x:c r="A7569" s="4" t="str">
        <x:v>RS-03754-I4</x:v>
      </x:c>
      <x:c r="B7569" s="4" t="str">
        <x:v>RS-03754</x:v>
      </x:c>
      <x:c r="C7569" s="9" t="n">
        <x:v>4</x:v>
      </x:c>
      <x:c r="D7569" s="8" t="n">
        <x:v>45596</x:v>
      </x:c>
      <x:c r="E7569" s="9" t="n">
        <x:v>1090250</x:v>
      </x:c>
      <x:c r="F7569" s="9" t="n">
        <x:v>0</x:v>
      </x:c>
    </x:row>
    <x:row r="7570" ht="34" customHeight="1">
      <x:c r="A7570" s="4" t="str">
        <x:v>RS-03756-I1</x:v>
      </x:c>
      <x:c r="B7570" s="4" t="str">
        <x:v>RS-03756</x:v>
      </x:c>
      <x:c r="C7570" s="9" t="n">
        <x:v>1</x:v>
      </x:c>
      <x:c r="D7570" s="8" t="n">
        <x:v>45508</x:v>
      </x:c>
      <x:c r="E7570" s="9" t="n">
        <x:v>4607500</x:v>
      </x:c>
      <x:c r="F7570" s="9" t="n">
        <x:v>1843000</x:v>
      </x:c>
    </x:row>
    <x:row r="7571" ht="34" customHeight="1">
      <x:c r="A7571" s="4" t="str">
        <x:v>RS-03756-I2</x:v>
      </x:c>
      <x:c r="B7571" s="4" t="str">
        <x:v>RS-03756</x:v>
      </x:c>
      <x:c r="C7571" s="9" t="n">
        <x:v>2</x:v>
      </x:c>
      <x:c r="D7571" s="8" t="n">
        <x:v>45538</x:v>
      </x:c>
      <x:c r="E7571" s="9" t="n">
        <x:v>4607500</x:v>
      </x:c>
      <x:c r="F7571" s="9" t="n">
        <x:v>0</x:v>
      </x:c>
    </x:row>
    <x:row r="7572" ht="34" customHeight="1">
      <x:c r="A7572" s="4" t="str">
        <x:v>RS-03756-I3</x:v>
      </x:c>
      <x:c r="B7572" s="4" t="str">
        <x:v>RS-03756</x:v>
      </x:c>
      <x:c r="C7572" s="9" t="n">
        <x:v>3</x:v>
      </x:c>
      <x:c r="D7572" s="8" t="n">
        <x:v>45568</x:v>
      </x:c>
      <x:c r="E7572" s="9" t="n">
        <x:v>4607500</x:v>
      </x:c>
      <x:c r="F7572" s="9" t="n">
        <x:v>0</x:v>
      </x:c>
    </x:row>
    <x:row r="7573" ht="34" customHeight="1">
      <x:c r="A7573" s="4" t="str">
        <x:v>RS-03756-I4</x:v>
      </x:c>
      <x:c r="B7573" s="4" t="str">
        <x:v>RS-03756</x:v>
      </x:c>
      <x:c r="C7573" s="9" t="n">
        <x:v>4</x:v>
      </x:c>
      <x:c r="D7573" s="8" t="n">
        <x:v>45598</x:v>
      </x:c>
      <x:c r="E7573" s="9" t="n">
        <x:v>4607500</x:v>
      </x:c>
      <x:c r="F7573" s="9" t="n">
        <x:v>0</x:v>
      </x:c>
    </x:row>
    <x:row r="7574" ht="34" customHeight="1">
      <x:c r="A7574" s="4" t="str">
        <x:v>RS-03758-I1</x:v>
      </x:c>
      <x:c r="B7574" s="4" t="str">
        <x:v>RS-03758</x:v>
      </x:c>
      <x:c r="C7574" s="9" t="n">
        <x:v>1</x:v>
      </x:c>
      <x:c r="D7574" s="8" t="n">
        <x:v>45510</x:v>
      </x:c>
      <x:c r="E7574" s="9" t="n">
        <x:v>2420500</x:v>
      </x:c>
      <x:c r="F7574" s="9" t="n">
        <x:v>2420500</x:v>
      </x:c>
    </x:row>
    <x:row r="7575" ht="34" customHeight="1">
      <x:c r="A7575" s="4" t="str">
        <x:v>RS-03758-I2</x:v>
      </x:c>
      <x:c r="B7575" s="4" t="str">
        <x:v>RS-03758</x:v>
      </x:c>
      <x:c r="C7575" s="9" t="n">
        <x:v>2</x:v>
      </x:c>
      <x:c r="D7575" s="8" t="n">
        <x:v>45540</x:v>
      </x:c>
      <x:c r="E7575" s="9" t="n">
        <x:v>2420500</x:v>
      </x:c>
      <x:c r="F7575" s="9" t="n">
        <x:v>2420500</x:v>
      </x:c>
    </x:row>
    <x:row r="7576" ht="34" customHeight="1">
      <x:c r="A7576" s="4" t="str">
        <x:v>RS-03758-I3</x:v>
      </x:c>
      <x:c r="B7576" s="4" t="str">
        <x:v>RS-03758</x:v>
      </x:c>
      <x:c r="C7576" s="9" t="n">
        <x:v>3</x:v>
      </x:c>
      <x:c r="D7576" s="8" t="n">
        <x:v>45570</x:v>
      </x:c>
      <x:c r="E7576" s="9" t="n">
        <x:v>2420500</x:v>
      </x:c>
      <x:c r="F7576" s="9" t="n">
        <x:v>0</x:v>
      </x:c>
    </x:row>
    <x:row r="7577" ht="34" customHeight="1">
      <x:c r="A7577" s="4" t="str">
        <x:v>RS-03758-I4</x:v>
      </x:c>
      <x:c r="B7577" s="4" t="str">
        <x:v>RS-03758</x:v>
      </x:c>
      <x:c r="C7577" s="9" t="n">
        <x:v>4</x:v>
      </x:c>
      <x:c r="D7577" s="8" t="n">
        <x:v>45600</x:v>
      </x:c>
      <x:c r="E7577" s="9" t="n">
        <x:v>2420500</x:v>
      </x:c>
      <x:c r="F7577" s="9" t="n">
        <x:v>0</x:v>
      </x:c>
    </x:row>
    <x:row r="7578" ht="34" customHeight="1">
      <x:c r="A7578" s="4" t="str">
        <x:v>RS-03759-I1</x:v>
      </x:c>
      <x:c r="B7578" s="4" t="str">
        <x:v>RS-03759</x:v>
      </x:c>
      <x:c r="C7578" s="9" t="n">
        <x:v>1</x:v>
      </x:c>
      <x:c r="D7578" s="8" t="n">
        <x:v>45511</x:v>
      </x:c>
      <x:c r="E7578" s="9" t="n">
        <x:v>1592500</x:v>
      </x:c>
      <x:c r="F7578" s="9" t="n">
        <x:v>1592500</x:v>
      </x:c>
    </x:row>
    <x:row r="7579" ht="34" customHeight="1">
      <x:c r="A7579" s="4" t="str">
        <x:v>RS-03759-I2</x:v>
      </x:c>
      <x:c r="B7579" s="4" t="str">
        <x:v>RS-03759</x:v>
      </x:c>
      <x:c r="C7579" s="9" t="n">
        <x:v>2</x:v>
      </x:c>
      <x:c r="D7579" s="8" t="n">
        <x:v>45541</x:v>
      </x:c>
      <x:c r="E7579" s="9" t="n">
        <x:v>1592500</x:v>
      </x:c>
      <x:c r="F7579" s="9" t="n">
        <x:v>1592500</x:v>
      </x:c>
    </x:row>
    <x:row r="7580" ht="34" customHeight="1">
      <x:c r="A7580" s="4" t="str">
        <x:v>RS-03759-I3</x:v>
      </x:c>
      <x:c r="B7580" s="4" t="str">
        <x:v>RS-03759</x:v>
      </x:c>
      <x:c r="C7580" s="9" t="n">
        <x:v>3</x:v>
      </x:c>
      <x:c r="D7580" s="8" t="n">
        <x:v>45571</x:v>
      </x:c>
      <x:c r="E7580" s="9" t="n">
        <x:v>1592500</x:v>
      </x:c>
      <x:c r="F7580" s="9" t="n">
        <x:v>1592500</x:v>
      </x:c>
    </x:row>
    <x:row r="7581" ht="34" customHeight="1">
      <x:c r="A7581" s="4" t="str">
        <x:v>RS-03759-I4</x:v>
      </x:c>
      <x:c r="B7581" s="4" t="str">
        <x:v>RS-03759</x:v>
      </x:c>
      <x:c r="C7581" s="9" t="n">
        <x:v>4</x:v>
      </x:c>
      <x:c r="D7581" s="8" t="n">
        <x:v>45601</x:v>
      </x:c>
      <x:c r="E7581" s="9" t="n">
        <x:v>1592500</x:v>
      </x:c>
      <x:c r="F7581" s="9" t="n">
        <x:v>1592500</x:v>
      </x:c>
    </x:row>
    <x:row r="7582" ht="34" customHeight="1">
      <x:c r="A7582" s="4" t="str">
        <x:v>RS-03760-I1</x:v>
      </x:c>
      <x:c r="B7582" s="4" t="str">
        <x:v>RS-03760</x:v>
      </x:c>
      <x:c r="C7582" s="9" t="n">
        <x:v>1</x:v>
      </x:c>
      <x:c r="D7582" s="8" t="n">
        <x:v>45512</x:v>
      </x:c>
      <x:c r="E7582" s="9" t="n">
        <x:v>4922000</x:v>
      </x:c>
      <x:c r="F7582" s="9" t="n">
        <x:v>4922000</x:v>
      </x:c>
    </x:row>
    <x:row r="7583" ht="34" customHeight="1">
      <x:c r="A7583" s="4" t="str">
        <x:v>RS-03760-I2</x:v>
      </x:c>
      <x:c r="B7583" s="4" t="str">
        <x:v>RS-03760</x:v>
      </x:c>
      <x:c r="C7583" s="9" t="n">
        <x:v>2</x:v>
      </x:c>
      <x:c r="D7583" s="8" t="n">
        <x:v>45542</x:v>
      </x:c>
      <x:c r="E7583" s="9" t="n">
        <x:v>4922000</x:v>
      </x:c>
      <x:c r="F7583" s="9" t="n">
        <x:v>0</x:v>
      </x:c>
    </x:row>
    <x:row r="7584" ht="34" customHeight="1">
      <x:c r="A7584" s="4" t="str">
        <x:v>RS-03760-I3</x:v>
      </x:c>
      <x:c r="B7584" s="4" t="str">
        <x:v>RS-03760</x:v>
      </x:c>
      <x:c r="C7584" s="9" t="n">
        <x:v>3</x:v>
      </x:c>
      <x:c r="D7584" s="8" t="n">
        <x:v>45572</x:v>
      </x:c>
      <x:c r="E7584" s="9" t="n">
        <x:v>4922000</x:v>
      </x:c>
      <x:c r="F7584" s="9" t="n">
        <x:v>0</x:v>
      </x:c>
    </x:row>
    <x:row r="7585" ht="34" customHeight="1">
      <x:c r="A7585" s="4" t="str">
        <x:v>RS-03760-I4</x:v>
      </x:c>
      <x:c r="B7585" s="4" t="str">
        <x:v>RS-03760</x:v>
      </x:c>
      <x:c r="C7585" s="9" t="n">
        <x:v>4</x:v>
      </x:c>
      <x:c r="D7585" s="8" t="n">
        <x:v>45602</x:v>
      </x:c>
      <x:c r="E7585" s="9" t="n">
        <x:v>4922000</x:v>
      </x:c>
      <x:c r="F7585" s="9" t="n">
        <x:v>0</x:v>
      </x:c>
    </x:row>
    <x:row r="7586" ht="34" customHeight="1">
      <x:c r="A7586" s="4" t="str">
        <x:v>RS-03761-I1</x:v>
      </x:c>
      <x:c r="B7586" s="4" t="str">
        <x:v>RS-03761</x:v>
      </x:c>
      <x:c r="C7586" s="9" t="n">
        <x:v>1</x:v>
      </x:c>
      <x:c r="D7586" s="8" t="n">
        <x:v>45513</x:v>
      </x:c>
      <x:c r="E7586" s="9" t="n">
        <x:v>1424000</x:v>
      </x:c>
      <x:c r="F7586" s="9" t="n">
        <x:v>1424000</x:v>
      </x:c>
    </x:row>
    <x:row r="7587" ht="34" customHeight="1">
      <x:c r="A7587" s="4" t="str">
        <x:v>RS-03761-I2</x:v>
      </x:c>
      <x:c r="B7587" s="4" t="str">
        <x:v>RS-03761</x:v>
      </x:c>
      <x:c r="C7587" s="9" t="n">
        <x:v>2</x:v>
      </x:c>
      <x:c r="D7587" s="8" t="n">
        <x:v>45543</x:v>
      </x:c>
      <x:c r="E7587" s="9" t="n">
        <x:v>1424000</x:v>
      </x:c>
      <x:c r="F7587" s="9" t="n">
        <x:v>1424000</x:v>
      </x:c>
    </x:row>
    <x:row r="7588" ht="34" customHeight="1">
      <x:c r="A7588" s="4" t="str">
        <x:v>RS-03761-I3</x:v>
      </x:c>
      <x:c r="B7588" s="4" t="str">
        <x:v>RS-03761</x:v>
      </x:c>
      <x:c r="C7588" s="9" t="n">
        <x:v>3</x:v>
      </x:c>
      <x:c r="D7588" s="8" t="n">
        <x:v>45573</x:v>
      </x:c>
      <x:c r="E7588" s="9" t="n">
        <x:v>1424000</x:v>
      </x:c>
      <x:c r="F7588" s="9" t="n">
        <x:v>0</x:v>
      </x:c>
    </x:row>
    <x:row r="7589" ht="34" customHeight="1">
      <x:c r="A7589" s="4" t="str">
        <x:v>RS-03761-I4</x:v>
      </x:c>
      <x:c r="B7589" s="4" t="str">
        <x:v>RS-03761</x:v>
      </x:c>
      <x:c r="C7589" s="9" t="n">
        <x:v>4</x:v>
      </x:c>
      <x:c r="D7589" s="8" t="n">
        <x:v>45603</x:v>
      </x:c>
      <x:c r="E7589" s="9" t="n">
        <x:v>1424000</x:v>
      </x:c>
      <x:c r="F7589" s="9" t="n">
        <x:v>0</x:v>
      </x:c>
    </x:row>
    <x:row r="7590" ht="34" customHeight="1">
      <x:c r="A7590" s="4" t="str">
        <x:v>RS-03764-I1</x:v>
      </x:c>
      <x:c r="B7590" s="4" t="str">
        <x:v>RS-03764</x:v>
      </x:c>
      <x:c r="C7590" s="9" t="n">
        <x:v>1</x:v>
      </x:c>
      <x:c r="D7590" s="8" t="n">
        <x:v>45516</x:v>
      </x:c>
      <x:c r="E7590" s="9" t="n">
        <x:v>1205750</x:v>
      </x:c>
      <x:c r="F7590" s="9" t="n">
        <x:v>1205750</x:v>
      </x:c>
    </x:row>
    <x:row r="7591" ht="34" customHeight="1">
      <x:c r="A7591" s="4" t="str">
        <x:v>RS-03764-I2</x:v>
      </x:c>
      <x:c r="B7591" s="4" t="str">
        <x:v>RS-03764</x:v>
      </x:c>
      <x:c r="C7591" s="9" t="n">
        <x:v>2</x:v>
      </x:c>
      <x:c r="D7591" s="8" t="n">
        <x:v>45546</x:v>
      </x:c>
      <x:c r="E7591" s="9" t="n">
        <x:v>1205750</x:v>
      </x:c>
      <x:c r="F7591" s="9" t="n">
        <x:v>1205750</x:v>
      </x:c>
    </x:row>
    <x:row r="7592" ht="34" customHeight="1">
      <x:c r="A7592" s="4" t="str">
        <x:v>RS-03764-I3</x:v>
      </x:c>
      <x:c r="B7592" s="4" t="str">
        <x:v>RS-03764</x:v>
      </x:c>
      <x:c r="C7592" s="9" t="n">
        <x:v>3</x:v>
      </x:c>
      <x:c r="D7592" s="8" t="n">
        <x:v>45576</x:v>
      </x:c>
      <x:c r="E7592" s="9" t="n">
        <x:v>1205750</x:v>
      </x:c>
      <x:c r="F7592" s="9" t="n">
        <x:v>1205750</x:v>
      </x:c>
    </x:row>
    <x:row r="7593" ht="34" customHeight="1">
      <x:c r="A7593" s="4" t="str">
        <x:v>RS-03764-I4</x:v>
      </x:c>
      <x:c r="B7593" s="4" t="str">
        <x:v>RS-03764</x:v>
      </x:c>
      <x:c r="C7593" s="9" t="n">
        <x:v>4</x:v>
      </x:c>
      <x:c r="D7593" s="8" t="n">
        <x:v>45606</x:v>
      </x:c>
      <x:c r="E7593" s="9" t="n">
        <x:v>1205750</x:v>
      </x:c>
      <x:c r="F7593" s="9" t="n">
        <x:v>1205750</x:v>
      </x:c>
    </x:row>
    <x:row r="7594" ht="34" customHeight="1">
      <x:c r="A7594" s="4" t="str">
        <x:v>RS-03765-I1</x:v>
      </x:c>
      <x:c r="B7594" s="4" t="str">
        <x:v>RS-03765</x:v>
      </x:c>
      <x:c r="C7594" s="9" t="n">
        <x:v>1</x:v>
      </x:c>
      <x:c r="D7594" s="8" t="n">
        <x:v>45517</x:v>
      </x:c>
      <x:c r="E7594" s="9" t="n">
        <x:v>3206250</x:v>
      </x:c>
      <x:c r="F7594" s="9" t="n">
        <x:v>3206250</x:v>
      </x:c>
    </x:row>
    <x:row r="7595" ht="34" customHeight="1">
      <x:c r="A7595" s="4" t="str">
        <x:v>RS-03765-I2</x:v>
      </x:c>
      <x:c r="B7595" s="4" t="str">
        <x:v>RS-03765</x:v>
      </x:c>
      <x:c r="C7595" s="9" t="n">
        <x:v>2</x:v>
      </x:c>
      <x:c r="D7595" s="8" t="n">
        <x:v>45547</x:v>
      </x:c>
      <x:c r="E7595" s="9" t="n">
        <x:v>3206250</x:v>
      </x:c>
      <x:c r="F7595" s="9" t="n">
        <x:v>3206250</x:v>
      </x:c>
    </x:row>
    <x:row r="7596" ht="34" customHeight="1">
      <x:c r="A7596" s="4" t="str">
        <x:v>RS-03765-I3</x:v>
      </x:c>
      <x:c r="B7596" s="4" t="str">
        <x:v>RS-03765</x:v>
      </x:c>
      <x:c r="C7596" s="9" t="n">
        <x:v>3</x:v>
      </x:c>
      <x:c r="D7596" s="8" t="n">
        <x:v>45577</x:v>
      </x:c>
      <x:c r="E7596" s="9" t="n">
        <x:v>3206250</x:v>
      </x:c>
      <x:c r="F7596" s="9" t="n">
        <x:v>3206250</x:v>
      </x:c>
    </x:row>
    <x:row r="7597" ht="34" customHeight="1">
      <x:c r="A7597" s="4" t="str">
        <x:v>RS-03765-I4</x:v>
      </x:c>
      <x:c r="B7597" s="4" t="str">
        <x:v>RS-03765</x:v>
      </x:c>
      <x:c r="C7597" s="9" t="n">
        <x:v>4</x:v>
      </x:c>
      <x:c r="D7597" s="8" t="n">
        <x:v>45607</x:v>
      </x:c>
      <x:c r="E7597" s="9" t="n">
        <x:v>3206250</x:v>
      </x:c>
      <x:c r="F7597" s="9" t="n">
        <x:v>3206250</x:v>
      </x:c>
    </x:row>
    <x:row r="7598" ht="34" customHeight="1">
      <x:c r="A7598" s="4" t="str">
        <x:v>RS-03767-I1</x:v>
      </x:c>
      <x:c r="B7598" s="4" t="str">
        <x:v>RS-03767</x:v>
      </x:c>
      <x:c r="C7598" s="9" t="n">
        <x:v>1</x:v>
      </x:c>
      <x:c r="D7598" s="8" t="n">
        <x:v>45519</x:v>
      </x:c>
      <x:c r="E7598" s="9" t="n">
        <x:v>5469750</x:v>
      </x:c>
      <x:c r="F7598" s="9" t="n">
        <x:v>2187900</x:v>
      </x:c>
    </x:row>
    <x:row r="7599" ht="34" customHeight="1">
      <x:c r="A7599" s="4" t="str">
        <x:v>RS-03767-I2</x:v>
      </x:c>
      <x:c r="B7599" s="4" t="str">
        <x:v>RS-03767</x:v>
      </x:c>
      <x:c r="C7599" s="9" t="n">
        <x:v>2</x:v>
      </x:c>
      <x:c r="D7599" s="8" t="n">
        <x:v>45549</x:v>
      </x:c>
      <x:c r="E7599" s="9" t="n">
        <x:v>5469750</x:v>
      </x:c>
      <x:c r="F7599" s="9" t="n">
        <x:v>0</x:v>
      </x:c>
    </x:row>
    <x:row r="7600" ht="34" customHeight="1">
      <x:c r="A7600" s="4" t="str">
        <x:v>RS-03767-I3</x:v>
      </x:c>
      <x:c r="B7600" s="4" t="str">
        <x:v>RS-03767</x:v>
      </x:c>
      <x:c r="C7600" s="9" t="n">
        <x:v>3</x:v>
      </x:c>
      <x:c r="D7600" s="8" t="n">
        <x:v>45579</x:v>
      </x:c>
      <x:c r="E7600" s="9" t="n">
        <x:v>5469750</x:v>
      </x:c>
      <x:c r="F7600" s="9" t="n">
        <x:v>0</x:v>
      </x:c>
    </x:row>
    <x:row r="7601" ht="34" customHeight="1">
      <x:c r="A7601" s="4" t="str">
        <x:v>RS-03767-I4</x:v>
      </x:c>
      <x:c r="B7601" s="4" t="str">
        <x:v>RS-03767</x:v>
      </x:c>
      <x:c r="C7601" s="9" t="n">
        <x:v>4</x:v>
      </x:c>
      <x:c r="D7601" s="8" t="n">
        <x:v>45609</x:v>
      </x:c>
      <x:c r="E7601" s="9" t="n">
        <x:v>5469750</x:v>
      </x:c>
      <x:c r="F7601" s="9" t="n">
        <x:v>0</x:v>
      </x:c>
    </x:row>
    <x:row r="7602" ht="34" customHeight="1">
      <x:c r="A7602" s="4" t="str">
        <x:v>RS-03768-I1</x:v>
      </x:c>
      <x:c r="B7602" s="4" t="str">
        <x:v>RS-03768</x:v>
      </x:c>
      <x:c r="C7602" s="9" t="n">
        <x:v>1</x:v>
      </x:c>
      <x:c r="D7602" s="8" t="n">
        <x:v>45520</x:v>
      </x:c>
      <x:c r="E7602" s="9" t="n">
        <x:v>1557500</x:v>
      </x:c>
      <x:c r="F7602" s="9" t="n">
        <x:v>623000</x:v>
      </x:c>
    </x:row>
    <x:row r="7603" ht="34" customHeight="1">
      <x:c r="A7603" s="4" t="str">
        <x:v>RS-03768-I2</x:v>
      </x:c>
      <x:c r="B7603" s="4" t="str">
        <x:v>RS-03768</x:v>
      </x:c>
      <x:c r="C7603" s="9" t="n">
        <x:v>2</x:v>
      </x:c>
      <x:c r="D7603" s="8" t="n">
        <x:v>45550</x:v>
      </x:c>
      <x:c r="E7603" s="9" t="n">
        <x:v>1557500</x:v>
      </x:c>
      <x:c r="F7603" s="9" t="n">
        <x:v>0</x:v>
      </x:c>
    </x:row>
    <x:row r="7604" ht="34" customHeight="1">
      <x:c r="A7604" s="4" t="str">
        <x:v>RS-03768-I3</x:v>
      </x:c>
      <x:c r="B7604" s="4" t="str">
        <x:v>RS-03768</x:v>
      </x:c>
      <x:c r="C7604" s="9" t="n">
        <x:v>3</x:v>
      </x:c>
      <x:c r="D7604" s="8" t="n">
        <x:v>45580</x:v>
      </x:c>
      <x:c r="E7604" s="9" t="n">
        <x:v>1557500</x:v>
      </x:c>
      <x:c r="F7604" s="9" t="n">
        <x:v>0</x:v>
      </x:c>
    </x:row>
    <x:row r="7605" ht="34" customHeight="1">
      <x:c r="A7605" s="4" t="str">
        <x:v>RS-03768-I4</x:v>
      </x:c>
      <x:c r="B7605" s="4" t="str">
        <x:v>RS-03768</x:v>
      </x:c>
      <x:c r="C7605" s="9" t="n">
        <x:v>4</x:v>
      </x:c>
      <x:c r="D7605" s="8" t="n">
        <x:v>45610</x:v>
      </x:c>
      <x:c r="E7605" s="9" t="n">
        <x:v>1557500</x:v>
      </x:c>
      <x:c r="F7605" s="9" t="n">
        <x:v>0</x:v>
      </x:c>
    </x:row>
    <x:row r="7606" ht="34" customHeight="1">
      <x:c r="A7606" s="4" t="str">
        <x:v>RS-03769-I1</x:v>
      </x:c>
      <x:c r="B7606" s="4" t="str">
        <x:v>RS-03769</x:v>
      </x:c>
      <x:c r="C7606" s="9" t="n">
        <x:v>1</x:v>
      </x:c>
      <x:c r="D7606" s="8" t="n">
        <x:v>45521</x:v>
      </x:c>
      <x:c r="E7606" s="9" t="n">
        <x:v>4641000</x:v>
      </x:c>
      <x:c r="F7606" s="9" t="n">
        <x:v>1856400</x:v>
      </x:c>
    </x:row>
    <x:row r="7607" ht="34" customHeight="1">
      <x:c r="A7607" s="4" t="str">
        <x:v>RS-03769-I2</x:v>
      </x:c>
      <x:c r="B7607" s="4" t="str">
        <x:v>RS-03769</x:v>
      </x:c>
      <x:c r="C7607" s="9" t="n">
        <x:v>2</x:v>
      </x:c>
      <x:c r="D7607" s="8" t="n">
        <x:v>45551</x:v>
      </x:c>
      <x:c r="E7607" s="9" t="n">
        <x:v>4641000</x:v>
      </x:c>
      <x:c r="F7607" s="9" t="n">
        <x:v>0</x:v>
      </x:c>
    </x:row>
    <x:row r="7608" ht="34" customHeight="1">
      <x:c r="A7608" s="4" t="str">
        <x:v>RS-03769-I3</x:v>
      </x:c>
      <x:c r="B7608" s="4" t="str">
        <x:v>RS-03769</x:v>
      </x:c>
      <x:c r="C7608" s="9" t="n">
        <x:v>3</x:v>
      </x:c>
      <x:c r="D7608" s="8" t="n">
        <x:v>45581</x:v>
      </x:c>
      <x:c r="E7608" s="9" t="n">
        <x:v>4641000</x:v>
      </x:c>
      <x:c r="F7608" s="9" t="n">
        <x:v>0</x:v>
      </x:c>
    </x:row>
    <x:row r="7609" ht="34" customHeight="1">
      <x:c r="A7609" s="4" t="str">
        <x:v>RS-03769-I4</x:v>
      </x:c>
      <x:c r="B7609" s="4" t="str">
        <x:v>RS-03769</x:v>
      </x:c>
      <x:c r="C7609" s="9" t="n">
        <x:v>4</x:v>
      </x:c>
      <x:c r="D7609" s="8" t="n">
        <x:v>45611</x:v>
      </x:c>
      <x:c r="E7609" s="9" t="n">
        <x:v>4641000</x:v>
      </x:c>
      <x:c r="F7609" s="9" t="n">
        <x:v>0</x:v>
      </x:c>
    </x:row>
    <x:row r="7610" ht="34" customHeight="1">
      <x:c r="A7610" s="4" t="str">
        <x:v>RS-03770-I1</x:v>
      </x:c>
      <x:c r="B7610" s="4" t="str">
        <x:v>RS-03770</x:v>
      </x:c>
      <x:c r="C7610" s="9" t="n">
        <x:v>1</x:v>
      </x:c>
      <x:c r="D7610" s="8" t="n">
        <x:v>45522</x:v>
      </x:c>
      <x:c r="E7610" s="9" t="n">
        <x:v>3493250</x:v>
      </x:c>
      <x:c r="F7610" s="9" t="n">
        <x:v>1397300</x:v>
      </x:c>
    </x:row>
    <x:row r="7611" ht="34" customHeight="1">
      <x:c r="A7611" s="4" t="str">
        <x:v>RS-03770-I2</x:v>
      </x:c>
      <x:c r="B7611" s="4" t="str">
        <x:v>RS-03770</x:v>
      </x:c>
      <x:c r="C7611" s="9" t="n">
        <x:v>2</x:v>
      </x:c>
      <x:c r="D7611" s="8" t="n">
        <x:v>45552</x:v>
      </x:c>
      <x:c r="E7611" s="9" t="n">
        <x:v>3493250</x:v>
      </x:c>
      <x:c r="F7611" s="9" t="n">
        <x:v>0</x:v>
      </x:c>
    </x:row>
    <x:row r="7612" ht="34" customHeight="1">
      <x:c r="A7612" s="4" t="str">
        <x:v>RS-03770-I3</x:v>
      </x:c>
      <x:c r="B7612" s="4" t="str">
        <x:v>RS-03770</x:v>
      </x:c>
      <x:c r="C7612" s="9" t="n">
        <x:v>3</x:v>
      </x:c>
      <x:c r="D7612" s="8" t="n">
        <x:v>45582</x:v>
      </x:c>
      <x:c r="E7612" s="9" t="n">
        <x:v>3493250</x:v>
      </x:c>
      <x:c r="F7612" s="9" t="n">
        <x:v>0</x:v>
      </x:c>
    </x:row>
    <x:row r="7613" ht="34" customHeight="1">
      <x:c r="A7613" s="4" t="str">
        <x:v>RS-03770-I4</x:v>
      </x:c>
      <x:c r="B7613" s="4" t="str">
        <x:v>RS-03770</x:v>
      </x:c>
      <x:c r="C7613" s="9" t="n">
        <x:v>4</x:v>
      </x:c>
      <x:c r="D7613" s="8" t="n">
        <x:v>45612</x:v>
      </x:c>
      <x:c r="E7613" s="9" t="n">
        <x:v>3493250</x:v>
      </x:c>
      <x:c r="F7613" s="9" t="n">
        <x:v>0</x:v>
      </x:c>
    </x:row>
    <x:row r="7614" ht="34" customHeight="1">
      <x:c r="A7614" s="4" t="str">
        <x:v>RS-03771-I1</x:v>
      </x:c>
      <x:c r="B7614" s="4" t="str">
        <x:v>RS-03771</x:v>
      </x:c>
      <x:c r="C7614" s="9" t="n">
        <x:v>1</x:v>
      </x:c>
      <x:c r="D7614" s="8" t="n">
        <x:v>45523</x:v>
      </x:c>
      <x:c r="E7614" s="9" t="n">
        <x:v>2507000</x:v>
      </x:c>
      <x:c r="F7614" s="9" t="n">
        <x:v>2507000</x:v>
      </x:c>
    </x:row>
    <x:row r="7615" ht="34" customHeight="1">
      <x:c r="A7615" s="4" t="str">
        <x:v>RS-03771-I2</x:v>
      </x:c>
      <x:c r="B7615" s="4" t="str">
        <x:v>RS-03771</x:v>
      </x:c>
      <x:c r="C7615" s="9" t="n">
        <x:v>2</x:v>
      </x:c>
      <x:c r="D7615" s="8" t="n">
        <x:v>45553</x:v>
      </x:c>
      <x:c r="E7615" s="9" t="n">
        <x:v>2507000</x:v>
      </x:c>
      <x:c r="F7615" s="9" t="n">
        <x:v>2507000</x:v>
      </x:c>
    </x:row>
    <x:row r="7616" ht="34" customHeight="1">
      <x:c r="A7616" s="4" t="str">
        <x:v>RS-03771-I3</x:v>
      </x:c>
      <x:c r="B7616" s="4" t="str">
        <x:v>RS-03771</x:v>
      </x:c>
      <x:c r="C7616" s="9" t="n">
        <x:v>3</x:v>
      </x:c>
      <x:c r="D7616" s="8" t="n">
        <x:v>45583</x:v>
      </x:c>
      <x:c r="E7616" s="9" t="n">
        <x:v>2507000</x:v>
      </x:c>
      <x:c r="F7616" s="9" t="n">
        <x:v>2507000</x:v>
      </x:c>
    </x:row>
    <x:row r="7617" ht="34" customHeight="1">
      <x:c r="A7617" s="4" t="str">
        <x:v>RS-03771-I4</x:v>
      </x:c>
      <x:c r="B7617" s="4" t="str">
        <x:v>RS-03771</x:v>
      </x:c>
      <x:c r="C7617" s="9" t="n">
        <x:v>4</x:v>
      </x:c>
      <x:c r="D7617" s="8" t="n">
        <x:v>45613</x:v>
      </x:c>
      <x:c r="E7617" s="9" t="n">
        <x:v>2507000</x:v>
      </x:c>
      <x:c r="F7617" s="9" t="n">
        <x:v>2507000</x:v>
      </x:c>
    </x:row>
    <x:row r="7618" ht="34" customHeight="1">
      <x:c r="A7618" s="4" t="str">
        <x:v>RS-03777-I1</x:v>
      </x:c>
      <x:c r="B7618" s="4" t="str">
        <x:v>RS-03777</x:v>
      </x:c>
      <x:c r="C7618" s="9" t="n">
        <x:v>1</x:v>
      </x:c>
      <x:c r="D7618" s="8" t="n">
        <x:v>45529</x:v>
      </x:c>
      <x:c r="E7618" s="9" t="n">
        <x:v>751750</x:v>
      </x:c>
      <x:c r="F7618" s="9" t="n">
        <x:v>751750</x:v>
      </x:c>
    </x:row>
    <x:row r="7619" ht="34" customHeight="1">
      <x:c r="A7619" s="4" t="str">
        <x:v>RS-03777-I2</x:v>
      </x:c>
      <x:c r="B7619" s="4" t="str">
        <x:v>RS-03777</x:v>
      </x:c>
      <x:c r="C7619" s="9" t="n">
        <x:v>2</x:v>
      </x:c>
      <x:c r="D7619" s="8" t="n">
        <x:v>45559</x:v>
      </x:c>
      <x:c r="E7619" s="9" t="n">
        <x:v>751750</x:v>
      </x:c>
      <x:c r="F7619" s="9" t="n">
        <x:v>751750</x:v>
      </x:c>
    </x:row>
    <x:row r="7620" ht="34" customHeight="1">
      <x:c r="A7620" s="4" t="str">
        <x:v>RS-03777-I3</x:v>
      </x:c>
      <x:c r="B7620" s="4" t="str">
        <x:v>RS-03777</x:v>
      </x:c>
      <x:c r="C7620" s="9" t="n">
        <x:v>3</x:v>
      </x:c>
      <x:c r="D7620" s="8" t="n">
        <x:v>45589</x:v>
      </x:c>
      <x:c r="E7620" s="9" t="n">
        <x:v>751750</x:v>
      </x:c>
      <x:c r="F7620" s="9" t="n">
        <x:v>0</x:v>
      </x:c>
    </x:row>
    <x:row r="7621" ht="34" customHeight="1">
      <x:c r="A7621" s="4" t="str">
        <x:v>RS-03777-I4</x:v>
      </x:c>
      <x:c r="B7621" s="4" t="str">
        <x:v>RS-03777</x:v>
      </x:c>
      <x:c r="C7621" s="9" t="n">
        <x:v>4</x:v>
      </x:c>
      <x:c r="D7621" s="8" t="n">
        <x:v>45619</x:v>
      </x:c>
      <x:c r="E7621" s="9" t="n">
        <x:v>751750</x:v>
      </x:c>
      <x:c r="F7621" s="9" t="n">
        <x:v>0</x:v>
      </x:c>
    </x:row>
    <x:row r="7622" ht="34" customHeight="1">
      <x:c r="A7622" s="4" t="str">
        <x:v>RS-03778-I1</x:v>
      </x:c>
      <x:c r="B7622" s="4" t="str">
        <x:v>RS-03778</x:v>
      </x:c>
      <x:c r="C7622" s="9" t="n">
        <x:v>1</x:v>
      </x:c>
      <x:c r="D7622" s="8" t="n">
        <x:v>45530</x:v>
      </x:c>
      <x:c r="E7622" s="9" t="n">
        <x:v>2348250</x:v>
      </x:c>
      <x:c r="F7622" s="9" t="n">
        <x:v>2348250</x:v>
      </x:c>
    </x:row>
    <x:row r="7623" ht="34" customHeight="1">
      <x:c r="A7623" s="4" t="str">
        <x:v>RS-03778-I2</x:v>
      </x:c>
      <x:c r="B7623" s="4" t="str">
        <x:v>RS-03778</x:v>
      </x:c>
      <x:c r="C7623" s="9" t="n">
        <x:v>2</x:v>
      </x:c>
      <x:c r="D7623" s="8" t="n">
        <x:v>45560</x:v>
      </x:c>
      <x:c r="E7623" s="9" t="n">
        <x:v>2348250</x:v>
      </x:c>
      <x:c r="F7623" s="9" t="n">
        <x:v>2348250</x:v>
      </x:c>
    </x:row>
    <x:row r="7624" ht="34" customHeight="1">
      <x:c r="A7624" s="4" t="str">
        <x:v>RS-03778-I3</x:v>
      </x:c>
      <x:c r="B7624" s="4" t="str">
        <x:v>RS-03778</x:v>
      </x:c>
      <x:c r="C7624" s="9" t="n">
        <x:v>3</x:v>
      </x:c>
      <x:c r="D7624" s="8" t="n">
        <x:v>45590</x:v>
      </x:c>
      <x:c r="E7624" s="9" t="n">
        <x:v>2348250</x:v>
      </x:c>
      <x:c r="F7624" s="9" t="n">
        <x:v>2348250</x:v>
      </x:c>
    </x:row>
    <x:row r="7625" ht="34" customHeight="1">
      <x:c r="A7625" s="4" t="str">
        <x:v>RS-03778-I4</x:v>
      </x:c>
      <x:c r="B7625" s="4" t="str">
        <x:v>RS-03778</x:v>
      </x:c>
      <x:c r="C7625" s="9" t="n">
        <x:v>4</x:v>
      </x:c>
      <x:c r="D7625" s="8" t="n">
        <x:v>45620</x:v>
      </x:c>
      <x:c r="E7625" s="9" t="n">
        <x:v>2348250</x:v>
      </x:c>
      <x:c r="F7625" s="9" t="n">
        <x:v>2348250</x:v>
      </x:c>
    </x:row>
    <x:row r="7626" ht="34" customHeight="1">
      <x:c r="A7626" s="4" t="str">
        <x:v>RS-03781-I1</x:v>
      </x:c>
      <x:c r="B7626" s="4" t="str">
        <x:v>RS-03781</x:v>
      </x:c>
      <x:c r="C7626" s="9" t="n">
        <x:v>1</x:v>
      </x:c>
      <x:c r="D7626" s="8" t="n">
        <x:v>45505</x:v>
      </x:c>
      <x:c r="E7626" s="9" t="n">
        <x:v>3400000</x:v>
      </x:c>
      <x:c r="F7626" s="9" t="n">
        <x:v>3400000</x:v>
      </x:c>
    </x:row>
    <x:row r="7627" ht="34" customHeight="1">
      <x:c r="A7627" s="4" t="str">
        <x:v>RS-03781-I2</x:v>
      </x:c>
      <x:c r="B7627" s="4" t="str">
        <x:v>RS-03781</x:v>
      </x:c>
      <x:c r="C7627" s="9" t="n">
        <x:v>2</x:v>
      </x:c>
      <x:c r="D7627" s="8" t="n">
        <x:v>45535</x:v>
      </x:c>
      <x:c r="E7627" s="9" t="n">
        <x:v>3400000</x:v>
      </x:c>
      <x:c r="F7627" s="9" t="n">
        <x:v>3400000</x:v>
      </x:c>
    </x:row>
    <x:row r="7628" ht="34" customHeight="1">
      <x:c r="A7628" s="4" t="str">
        <x:v>RS-03781-I3</x:v>
      </x:c>
      <x:c r="B7628" s="4" t="str">
        <x:v>RS-03781</x:v>
      </x:c>
      <x:c r="C7628" s="9" t="n">
        <x:v>3</x:v>
      </x:c>
      <x:c r="D7628" s="8" t="n">
        <x:v>45565</x:v>
      </x:c>
      <x:c r="E7628" s="9" t="n">
        <x:v>3400000</x:v>
      </x:c>
      <x:c r="F7628" s="9" t="n">
        <x:v>3400000</x:v>
      </x:c>
    </x:row>
    <x:row r="7629" ht="34" customHeight="1">
      <x:c r="A7629" s="4" t="str">
        <x:v>RS-03781-I4</x:v>
      </x:c>
      <x:c r="B7629" s="4" t="str">
        <x:v>RS-03781</x:v>
      </x:c>
      <x:c r="C7629" s="9" t="n">
        <x:v>4</x:v>
      </x:c>
      <x:c r="D7629" s="8" t="n">
        <x:v>45595</x:v>
      </x:c>
      <x:c r="E7629" s="9" t="n">
        <x:v>3400000</x:v>
      </x:c>
      <x:c r="F7629" s="9" t="n">
        <x:v>3400000</x:v>
      </x:c>
    </x:row>
    <x:row r="7630" ht="34" customHeight="1">
      <x:c r="A7630" s="4" t="str">
        <x:v>RS-03783-I1</x:v>
      </x:c>
      <x:c r="B7630" s="4" t="str">
        <x:v>RS-03783</x:v>
      </x:c>
      <x:c r="C7630" s="9" t="n">
        <x:v>1</x:v>
      </x:c>
      <x:c r="D7630" s="8" t="n">
        <x:v>45507</x:v>
      </x:c>
      <x:c r="E7630" s="9" t="n">
        <x:v>4316500</x:v>
      </x:c>
      <x:c r="F7630" s="9" t="n">
        <x:v>4316500</x:v>
      </x:c>
    </x:row>
    <x:row r="7631" ht="34" customHeight="1">
      <x:c r="A7631" s="4" t="str">
        <x:v>RS-03783-I2</x:v>
      </x:c>
      <x:c r="B7631" s="4" t="str">
        <x:v>RS-03783</x:v>
      </x:c>
      <x:c r="C7631" s="9" t="n">
        <x:v>2</x:v>
      </x:c>
      <x:c r="D7631" s="8" t="n">
        <x:v>45537</x:v>
      </x:c>
      <x:c r="E7631" s="9" t="n">
        <x:v>4316500</x:v>
      </x:c>
      <x:c r="F7631" s="9" t="n">
        <x:v>0</x:v>
      </x:c>
    </x:row>
    <x:row r="7632" ht="34" customHeight="1">
      <x:c r="A7632" s="4" t="str">
        <x:v>RS-03783-I3</x:v>
      </x:c>
      <x:c r="B7632" s="4" t="str">
        <x:v>RS-03783</x:v>
      </x:c>
      <x:c r="C7632" s="9" t="n">
        <x:v>3</x:v>
      </x:c>
      <x:c r="D7632" s="8" t="n">
        <x:v>45567</x:v>
      </x:c>
      <x:c r="E7632" s="9" t="n">
        <x:v>4316500</x:v>
      </x:c>
      <x:c r="F7632" s="9" t="n">
        <x:v>0</x:v>
      </x:c>
    </x:row>
    <x:row r="7633" ht="34" customHeight="1">
      <x:c r="A7633" s="4" t="str">
        <x:v>RS-03783-I4</x:v>
      </x:c>
      <x:c r="B7633" s="4" t="str">
        <x:v>RS-03783</x:v>
      </x:c>
      <x:c r="C7633" s="9" t="n">
        <x:v>4</x:v>
      </x:c>
      <x:c r="D7633" s="8" t="n">
        <x:v>45597</x:v>
      </x:c>
      <x:c r="E7633" s="9" t="n">
        <x:v>4316500</x:v>
      </x:c>
      <x:c r="F7633" s="9" t="n">
        <x:v>0</x:v>
      </x:c>
    </x:row>
    <x:row r="7634" ht="34" customHeight="1">
      <x:c r="A7634" s="4" t="str">
        <x:v>RS-03785-I1</x:v>
      </x:c>
      <x:c r="B7634" s="4" t="str">
        <x:v>RS-03785</x:v>
      </x:c>
      <x:c r="C7634" s="9" t="n">
        <x:v>1</x:v>
      </x:c>
      <x:c r="D7634" s="8" t="n">
        <x:v>45509</x:v>
      </x:c>
      <x:c r="E7634" s="9" t="n">
        <x:v>5841000</x:v>
      </x:c>
      <x:c r="F7634" s="9" t="n">
        <x:v>2336400</x:v>
      </x:c>
    </x:row>
    <x:row r="7635" ht="34" customHeight="1">
      <x:c r="A7635" s="4" t="str">
        <x:v>RS-03785-I2</x:v>
      </x:c>
      <x:c r="B7635" s="4" t="str">
        <x:v>RS-03785</x:v>
      </x:c>
      <x:c r="C7635" s="9" t="n">
        <x:v>2</x:v>
      </x:c>
      <x:c r="D7635" s="8" t="n">
        <x:v>45539</x:v>
      </x:c>
      <x:c r="E7635" s="9" t="n">
        <x:v>5841000</x:v>
      </x:c>
      <x:c r="F7635" s="9" t="n">
        <x:v>0</x:v>
      </x:c>
    </x:row>
    <x:row r="7636" ht="34" customHeight="1">
      <x:c r="A7636" s="4" t="str">
        <x:v>RS-03785-I3</x:v>
      </x:c>
      <x:c r="B7636" s="4" t="str">
        <x:v>RS-03785</x:v>
      </x:c>
      <x:c r="C7636" s="9" t="n">
        <x:v>3</x:v>
      </x:c>
      <x:c r="D7636" s="8" t="n">
        <x:v>45569</x:v>
      </x:c>
      <x:c r="E7636" s="9" t="n">
        <x:v>5841000</x:v>
      </x:c>
      <x:c r="F7636" s="9" t="n">
        <x:v>0</x:v>
      </x:c>
    </x:row>
    <x:row r="7637" ht="34" customHeight="1">
      <x:c r="A7637" s="4" t="str">
        <x:v>RS-03785-I4</x:v>
      </x:c>
      <x:c r="B7637" s="4" t="str">
        <x:v>RS-03785</x:v>
      </x:c>
      <x:c r="C7637" s="9" t="n">
        <x:v>4</x:v>
      </x:c>
      <x:c r="D7637" s="8" t="n">
        <x:v>45599</x:v>
      </x:c>
      <x:c r="E7637" s="9" t="n">
        <x:v>5841000</x:v>
      </x:c>
      <x:c r="F7637" s="9" t="n">
        <x:v>0</x:v>
      </x:c>
    </x:row>
    <x:row r="7638" ht="34" customHeight="1">
      <x:c r="A7638" s="4" t="str">
        <x:v>RS-03791-I1</x:v>
      </x:c>
      <x:c r="B7638" s="4" t="str">
        <x:v>RS-03791</x:v>
      </x:c>
      <x:c r="C7638" s="9" t="n">
        <x:v>1</x:v>
      </x:c>
      <x:c r="D7638" s="8" t="n">
        <x:v>45515</x:v>
      </x:c>
      <x:c r="E7638" s="9" t="n">
        <x:v>2788750</x:v>
      </x:c>
      <x:c r="F7638" s="9" t="n">
        <x:v>2788750</x:v>
      </x:c>
    </x:row>
    <x:row r="7639" ht="34" customHeight="1">
      <x:c r="A7639" s="4" t="str">
        <x:v>RS-03791-I2</x:v>
      </x:c>
      <x:c r="B7639" s="4" t="str">
        <x:v>RS-03791</x:v>
      </x:c>
      <x:c r="C7639" s="9" t="n">
        <x:v>2</x:v>
      </x:c>
      <x:c r="D7639" s="8" t="n">
        <x:v>45545</x:v>
      </x:c>
      <x:c r="E7639" s="9" t="n">
        <x:v>2788750</x:v>
      </x:c>
      <x:c r="F7639" s="9" t="n">
        <x:v>0</x:v>
      </x:c>
    </x:row>
    <x:row r="7640" ht="34" customHeight="1">
      <x:c r="A7640" s="4" t="str">
        <x:v>RS-03791-I3</x:v>
      </x:c>
      <x:c r="B7640" s="4" t="str">
        <x:v>RS-03791</x:v>
      </x:c>
      <x:c r="C7640" s="9" t="n">
        <x:v>3</x:v>
      </x:c>
      <x:c r="D7640" s="8" t="n">
        <x:v>45575</x:v>
      </x:c>
      <x:c r="E7640" s="9" t="n">
        <x:v>2788750</x:v>
      </x:c>
      <x:c r="F7640" s="9" t="n">
        <x:v>0</x:v>
      </x:c>
    </x:row>
    <x:row r="7641" ht="34" customHeight="1">
      <x:c r="A7641" s="4" t="str">
        <x:v>RS-03791-I4</x:v>
      </x:c>
      <x:c r="B7641" s="4" t="str">
        <x:v>RS-03791</x:v>
      </x:c>
      <x:c r="C7641" s="9" t="n">
        <x:v>4</x:v>
      </x:c>
      <x:c r="D7641" s="8" t="n">
        <x:v>45605</x:v>
      </x:c>
      <x:c r="E7641" s="9" t="n">
        <x:v>2788750</x:v>
      </x:c>
      <x:c r="F7641" s="9" t="n">
        <x:v>0</x:v>
      </x:c>
    </x:row>
    <x:row r="7642" ht="34" customHeight="1">
      <x:c r="A7642" s="4" t="str">
        <x:v>RS-03792-I1</x:v>
      </x:c>
      <x:c r="B7642" s="4" t="str">
        <x:v>RS-03792</x:v>
      </x:c>
      <x:c r="C7642" s="9" t="n">
        <x:v>1</x:v>
      </x:c>
      <x:c r="D7642" s="8" t="n">
        <x:v>45516</x:v>
      </x:c>
      <x:c r="E7642" s="9" t="n">
        <x:v>3359750</x:v>
      </x:c>
      <x:c r="F7642" s="9" t="n">
        <x:v>3359750</x:v>
      </x:c>
    </x:row>
    <x:row r="7643" ht="34" customHeight="1">
      <x:c r="A7643" s="4" t="str">
        <x:v>RS-03792-I2</x:v>
      </x:c>
      <x:c r="B7643" s="4" t="str">
        <x:v>RS-03792</x:v>
      </x:c>
      <x:c r="C7643" s="9" t="n">
        <x:v>2</x:v>
      </x:c>
      <x:c r="D7643" s="8" t="n">
        <x:v>45546</x:v>
      </x:c>
      <x:c r="E7643" s="9" t="n">
        <x:v>3359750</x:v>
      </x:c>
      <x:c r="F7643" s="9" t="n">
        <x:v>3359750</x:v>
      </x:c>
    </x:row>
    <x:row r="7644" ht="34" customHeight="1">
      <x:c r="A7644" s="4" t="str">
        <x:v>RS-03792-I3</x:v>
      </x:c>
      <x:c r="B7644" s="4" t="str">
        <x:v>RS-03792</x:v>
      </x:c>
      <x:c r="C7644" s="9" t="n">
        <x:v>3</x:v>
      </x:c>
      <x:c r="D7644" s="8" t="n">
        <x:v>45576</x:v>
      </x:c>
      <x:c r="E7644" s="9" t="n">
        <x:v>3359750</x:v>
      </x:c>
      <x:c r="F7644" s="9" t="n">
        <x:v>3359750</x:v>
      </x:c>
    </x:row>
    <x:row r="7645" ht="34" customHeight="1">
      <x:c r="A7645" s="4" t="str">
        <x:v>RS-03792-I4</x:v>
      </x:c>
      <x:c r="B7645" s="4" t="str">
        <x:v>RS-03792</x:v>
      </x:c>
      <x:c r="C7645" s="9" t="n">
        <x:v>4</x:v>
      </x:c>
      <x:c r="D7645" s="8" t="n">
        <x:v>45606</x:v>
      </x:c>
      <x:c r="E7645" s="9" t="n">
        <x:v>3359750</x:v>
      </x:c>
      <x:c r="F7645" s="9" t="n">
        <x:v>3359750</x:v>
      </x:c>
    </x:row>
    <x:row r="7646" ht="34" customHeight="1">
      <x:c r="A7646" s="4" t="str">
        <x:v>RS-03793-I1</x:v>
      </x:c>
      <x:c r="B7646" s="4" t="str">
        <x:v>RS-03793</x:v>
      </x:c>
      <x:c r="C7646" s="9" t="n">
        <x:v>1</x:v>
      </x:c>
      <x:c r="D7646" s="8" t="n">
        <x:v>45517</x:v>
      </x:c>
      <x:c r="E7646" s="9" t="n">
        <x:v>5577500</x:v>
      </x:c>
      <x:c r="F7646" s="9" t="n">
        <x:v>5577500</x:v>
      </x:c>
    </x:row>
    <x:row r="7647" ht="34" customHeight="1">
      <x:c r="A7647" s="4" t="str">
        <x:v>RS-03793-I2</x:v>
      </x:c>
      <x:c r="B7647" s="4" t="str">
        <x:v>RS-03793</x:v>
      </x:c>
      <x:c r="C7647" s="9" t="n">
        <x:v>2</x:v>
      </x:c>
      <x:c r="D7647" s="8" t="n">
        <x:v>45547</x:v>
      </x:c>
      <x:c r="E7647" s="9" t="n">
        <x:v>5577500</x:v>
      </x:c>
      <x:c r="F7647" s="9" t="n">
        <x:v>5577500</x:v>
      </x:c>
    </x:row>
    <x:row r="7648" ht="34" customHeight="1">
      <x:c r="A7648" s="4" t="str">
        <x:v>RS-03793-I3</x:v>
      </x:c>
      <x:c r="B7648" s="4" t="str">
        <x:v>RS-03793</x:v>
      </x:c>
      <x:c r="C7648" s="9" t="n">
        <x:v>3</x:v>
      </x:c>
      <x:c r="D7648" s="8" t="n">
        <x:v>45577</x:v>
      </x:c>
      <x:c r="E7648" s="9" t="n">
        <x:v>5577500</x:v>
      </x:c>
      <x:c r="F7648" s="9" t="n">
        <x:v>5577500</x:v>
      </x:c>
    </x:row>
    <x:row r="7649" ht="34" customHeight="1">
      <x:c r="A7649" s="4" t="str">
        <x:v>RS-03793-I4</x:v>
      </x:c>
      <x:c r="B7649" s="4" t="str">
        <x:v>RS-03793</x:v>
      </x:c>
      <x:c r="C7649" s="9" t="n">
        <x:v>4</x:v>
      </x:c>
      <x:c r="D7649" s="8" t="n">
        <x:v>45607</x:v>
      </x:c>
      <x:c r="E7649" s="9" t="n">
        <x:v>5577500</x:v>
      </x:c>
      <x:c r="F7649" s="9" t="n">
        <x:v>5577500</x:v>
      </x:c>
    </x:row>
    <x:row r="7650" ht="34" customHeight="1">
      <x:c r="A7650" s="4" t="str">
        <x:v>RS-03794-I1</x:v>
      </x:c>
      <x:c r="B7650" s="4" t="str">
        <x:v>RS-03794</x:v>
      </x:c>
      <x:c r="C7650" s="9" t="n">
        <x:v>1</x:v>
      </x:c>
      <x:c r="D7650" s="8" t="n">
        <x:v>45518</x:v>
      </x:c>
      <x:c r="E7650" s="9" t="n">
        <x:v>1650000</x:v>
      </x:c>
      <x:c r="F7650" s="9" t="n">
        <x:v>1650000</x:v>
      </x:c>
    </x:row>
    <x:row r="7651" ht="34" customHeight="1">
      <x:c r="A7651" s="4" t="str">
        <x:v>RS-03794-I2</x:v>
      </x:c>
      <x:c r="B7651" s="4" t="str">
        <x:v>RS-03794</x:v>
      </x:c>
      <x:c r="C7651" s="9" t="n">
        <x:v>2</x:v>
      </x:c>
      <x:c r="D7651" s="8" t="n">
        <x:v>45548</x:v>
      </x:c>
      <x:c r="E7651" s="9" t="n">
        <x:v>1650000</x:v>
      </x:c>
      <x:c r="F7651" s="9" t="n">
        <x:v>1650000</x:v>
      </x:c>
    </x:row>
    <x:row r="7652" ht="34" customHeight="1">
      <x:c r="A7652" s="4" t="str">
        <x:v>RS-03794-I3</x:v>
      </x:c>
      <x:c r="B7652" s="4" t="str">
        <x:v>RS-03794</x:v>
      </x:c>
      <x:c r="C7652" s="9" t="n">
        <x:v>3</x:v>
      </x:c>
      <x:c r="D7652" s="8" t="n">
        <x:v>45578</x:v>
      </x:c>
      <x:c r="E7652" s="9" t="n">
        <x:v>1650000</x:v>
      </x:c>
      <x:c r="F7652" s="9" t="n">
        <x:v>0</x:v>
      </x:c>
    </x:row>
    <x:row r="7653" ht="34" customHeight="1">
      <x:c r="A7653" s="4" t="str">
        <x:v>RS-03794-I4</x:v>
      </x:c>
      <x:c r="B7653" s="4" t="str">
        <x:v>RS-03794</x:v>
      </x:c>
      <x:c r="C7653" s="9" t="n">
        <x:v>4</x:v>
      </x:c>
      <x:c r="D7653" s="8" t="n">
        <x:v>45608</x:v>
      </x:c>
      <x:c r="E7653" s="9" t="n">
        <x:v>1650000</x:v>
      </x:c>
      <x:c r="F7653" s="9" t="n">
        <x:v>0</x:v>
      </x:c>
    </x:row>
    <x:row r="7654" ht="34" customHeight="1">
      <x:c r="A7654" s="4" t="str">
        <x:v>RS-03797-I1</x:v>
      </x:c>
      <x:c r="B7654" s="4" t="str">
        <x:v>RS-03797</x:v>
      </x:c>
      <x:c r="C7654" s="9" t="n">
        <x:v>1</x:v>
      </x:c>
      <x:c r="D7654" s="8" t="n">
        <x:v>45521</x:v>
      </x:c>
      <x:c r="E7654" s="9" t="n">
        <x:v>1886000</x:v>
      </x:c>
      <x:c r="F7654" s="9" t="n">
        <x:v>754400</x:v>
      </x:c>
    </x:row>
    <x:row r="7655" ht="34" customHeight="1">
      <x:c r="A7655" s="4" t="str">
        <x:v>RS-03797-I2</x:v>
      </x:c>
      <x:c r="B7655" s="4" t="str">
        <x:v>RS-03797</x:v>
      </x:c>
      <x:c r="C7655" s="9" t="n">
        <x:v>2</x:v>
      </x:c>
      <x:c r="D7655" s="8" t="n">
        <x:v>45551</x:v>
      </x:c>
      <x:c r="E7655" s="9" t="n">
        <x:v>1886000</x:v>
      </x:c>
      <x:c r="F7655" s="9" t="n">
        <x:v>0</x:v>
      </x:c>
    </x:row>
    <x:row r="7656" ht="34" customHeight="1">
      <x:c r="A7656" s="4" t="str">
        <x:v>RS-03797-I3</x:v>
      </x:c>
      <x:c r="B7656" s="4" t="str">
        <x:v>RS-03797</x:v>
      </x:c>
      <x:c r="C7656" s="9" t="n">
        <x:v>3</x:v>
      </x:c>
      <x:c r="D7656" s="8" t="n">
        <x:v>45581</x:v>
      </x:c>
      <x:c r="E7656" s="9" t="n">
        <x:v>1886000</x:v>
      </x:c>
      <x:c r="F7656" s="9" t="n">
        <x:v>0</x:v>
      </x:c>
    </x:row>
    <x:row r="7657" ht="34" customHeight="1">
      <x:c r="A7657" s="4" t="str">
        <x:v>RS-03797-I4</x:v>
      </x:c>
      <x:c r="B7657" s="4" t="str">
        <x:v>RS-03797</x:v>
      </x:c>
      <x:c r="C7657" s="9" t="n">
        <x:v>4</x:v>
      </x:c>
      <x:c r="D7657" s="8" t="n">
        <x:v>45611</x:v>
      </x:c>
      <x:c r="E7657" s="9" t="n">
        <x:v>1886000</x:v>
      </x:c>
      <x:c r="F7657" s="9" t="n">
        <x:v>0</x:v>
      </x:c>
    </x:row>
    <x:row r="7658" ht="34" customHeight="1">
      <x:c r="A7658" s="4" t="str">
        <x:v>RS-03798-I1</x:v>
      </x:c>
      <x:c r="B7658" s="4" t="str">
        <x:v>RS-03798</x:v>
      </x:c>
      <x:c r="C7658" s="9" t="n">
        <x:v>1</x:v>
      </x:c>
      <x:c r="D7658" s="8" t="n">
        <x:v>45522</x:v>
      </x:c>
      <x:c r="E7658" s="9" t="n">
        <x:v>3929250</x:v>
      </x:c>
      <x:c r="F7658" s="9" t="n">
        <x:v>3929250</x:v>
      </x:c>
    </x:row>
    <x:row r="7659" ht="34" customHeight="1">
      <x:c r="A7659" s="4" t="str">
        <x:v>RS-03798-I2</x:v>
      </x:c>
      <x:c r="B7659" s="4" t="str">
        <x:v>RS-03798</x:v>
      </x:c>
      <x:c r="C7659" s="9" t="n">
        <x:v>2</x:v>
      </x:c>
      <x:c r="D7659" s="8" t="n">
        <x:v>45552</x:v>
      </x:c>
      <x:c r="E7659" s="9" t="n">
        <x:v>3929250</x:v>
      </x:c>
      <x:c r="F7659" s="9" t="n">
        <x:v>3929250</x:v>
      </x:c>
    </x:row>
    <x:row r="7660" ht="34" customHeight="1">
      <x:c r="A7660" s="4" t="str">
        <x:v>RS-03798-I3</x:v>
      </x:c>
      <x:c r="B7660" s="4" t="str">
        <x:v>RS-03798</x:v>
      </x:c>
      <x:c r="C7660" s="9" t="n">
        <x:v>3</x:v>
      </x:c>
      <x:c r="D7660" s="8" t="n">
        <x:v>45582</x:v>
      </x:c>
      <x:c r="E7660" s="9" t="n">
        <x:v>3929250</x:v>
      </x:c>
      <x:c r="F7660" s="9" t="n">
        <x:v>3929250</x:v>
      </x:c>
    </x:row>
    <x:row r="7661" ht="34" customHeight="1">
      <x:c r="A7661" s="4" t="str">
        <x:v>RS-03798-I4</x:v>
      </x:c>
      <x:c r="B7661" s="4" t="str">
        <x:v>RS-03798</x:v>
      </x:c>
      <x:c r="C7661" s="9" t="n">
        <x:v>4</x:v>
      </x:c>
      <x:c r="D7661" s="8" t="n">
        <x:v>45612</x:v>
      </x:c>
      <x:c r="E7661" s="9" t="n">
        <x:v>3929250</x:v>
      </x:c>
      <x:c r="F7661" s="9" t="n">
        <x:v>3929250</x:v>
      </x:c>
    </x:row>
    <x:row r="7662" ht="34" customHeight="1">
      <x:c r="A7662" s="4" t="str">
        <x:v>RS-03800-I1</x:v>
      </x:c>
      <x:c r="B7662" s="4" t="str">
        <x:v>RS-03800</x:v>
      </x:c>
      <x:c r="C7662" s="9" t="n">
        <x:v>1</x:v>
      </x:c>
      <x:c r="D7662" s="8" t="n">
        <x:v>45524</x:v>
      </x:c>
      <x:c r="E7662" s="9" t="n">
        <x:v>2497750</x:v>
      </x:c>
      <x:c r="F7662" s="9" t="n">
        <x:v>2497750</x:v>
      </x:c>
    </x:row>
    <x:row r="7663" ht="34" customHeight="1">
      <x:c r="A7663" s="4" t="str">
        <x:v>RS-03800-I2</x:v>
      </x:c>
      <x:c r="B7663" s="4" t="str">
        <x:v>RS-03800</x:v>
      </x:c>
      <x:c r="C7663" s="9" t="n">
        <x:v>2</x:v>
      </x:c>
      <x:c r="D7663" s="8" t="n">
        <x:v>45554</x:v>
      </x:c>
      <x:c r="E7663" s="9" t="n">
        <x:v>2497750</x:v>
      </x:c>
      <x:c r="F7663" s="9" t="n">
        <x:v>0</x:v>
      </x:c>
    </x:row>
    <x:row r="7664" ht="34" customHeight="1">
      <x:c r="A7664" s="4" t="str">
        <x:v>RS-03800-I3</x:v>
      </x:c>
      <x:c r="B7664" s="4" t="str">
        <x:v>RS-03800</x:v>
      </x:c>
      <x:c r="C7664" s="9" t="n">
        <x:v>3</x:v>
      </x:c>
      <x:c r="D7664" s="8" t="n">
        <x:v>45584</x:v>
      </x:c>
      <x:c r="E7664" s="9" t="n">
        <x:v>2497750</x:v>
      </x:c>
      <x:c r="F7664" s="9" t="n">
        <x:v>0</x:v>
      </x:c>
    </x:row>
    <x:row r="7665" ht="34" customHeight="1">
      <x:c r="A7665" s="4" t="str">
        <x:v>RS-03800-I4</x:v>
      </x:c>
      <x:c r="B7665" s="4" t="str">
        <x:v>RS-03800</x:v>
      </x:c>
      <x:c r="C7665" s="9" t="n">
        <x:v>4</x:v>
      </x:c>
      <x:c r="D7665" s="8" t="n">
        <x:v>45614</x:v>
      </x:c>
      <x:c r="E7665" s="9" t="n">
        <x:v>2497750</x:v>
      </x:c>
      <x:c r="F7665" s="9" t="n">
        <x:v>0</x:v>
      </x:c>
    </x:row>
    <x:row r="7666" ht="34" customHeight="1">
      <x:c r="A7666" s="4" t="str">
        <x:v>RS-03802-I1</x:v>
      </x:c>
      <x:c r="B7666" s="4" t="str">
        <x:v>RS-03802</x:v>
      </x:c>
      <x:c r="C7666" s="9" t="n">
        <x:v>1</x:v>
      </x:c>
      <x:c r="D7666" s="8" t="n">
        <x:v>45526</x:v>
      </x:c>
      <x:c r="E7666" s="9" t="n">
        <x:v>3735000</x:v>
      </x:c>
      <x:c r="F7666" s="9" t="n">
        <x:v>1494000</x:v>
      </x:c>
    </x:row>
    <x:row r="7667" ht="34" customHeight="1">
      <x:c r="A7667" s="4" t="str">
        <x:v>RS-03802-I2</x:v>
      </x:c>
      <x:c r="B7667" s="4" t="str">
        <x:v>RS-03802</x:v>
      </x:c>
      <x:c r="C7667" s="9" t="n">
        <x:v>2</x:v>
      </x:c>
      <x:c r="D7667" s="8" t="n">
        <x:v>45556</x:v>
      </x:c>
      <x:c r="E7667" s="9" t="n">
        <x:v>3735000</x:v>
      </x:c>
      <x:c r="F7667" s="9" t="n">
        <x:v>0</x:v>
      </x:c>
    </x:row>
    <x:row r="7668" ht="34" customHeight="1">
      <x:c r="A7668" s="4" t="str">
        <x:v>RS-03802-I3</x:v>
      </x:c>
      <x:c r="B7668" s="4" t="str">
        <x:v>RS-03802</x:v>
      </x:c>
      <x:c r="C7668" s="9" t="n">
        <x:v>3</x:v>
      </x:c>
      <x:c r="D7668" s="8" t="n">
        <x:v>45586</x:v>
      </x:c>
      <x:c r="E7668" s="9" t="n">
        <x:v>3735000</x:v>
      </x:c>
      <x:c r="F7668" s="9" t="n">
        <x:v>0</x:v>
      </x:c>
    </x:row>
    <x:row r="7669" ht="34" customHeight="1">
      <x:c r="A7669" s="4" t="str">
        <x:v>RS-03802-I4</x:v>
      </x:c>
      <x:c r="B7669" s="4" t="str">
        <x:v>RS-03802</x:v>
      </x:c>
      <x:c r="C7669" s="9" t="n">
        <x:v>4</x:v>
      </x:c>
      <x:c r="D7669" s="8" t="n">
        <x:v>45616</x:v>
      </x:c>
      <x:c r="E7669" s="9" t="n">
        <x:v>3735000</x:v>
      </x:c>
      <x:c r="F7669" s="9" t="n">
        <x:v>0</x:v>
      </x:c>
    </x:row>
    <x:row r="7670" ht="34" customHeight="1">
      <x:c r="A7670" s="4" t="str">
        <x:v>RS-03805-I1</x:v>
      </x:c>
      <x:c r="B7670" s="4" t="str">
        <x:v>RS-03805</x:v>
      </x:c>
      <x:c r="C7670" s="9" t="n">
        <x:v>1</x:v>
      </x:c>
      <x:c r="D7670" s="8" t="n">
        <x:v>45529</x:v>
      </x:c>
      <x:c r="E7670" s="9" t="n">
        <x:v>3489750</x:v>
      </x:c>
      <x:c r="F7670" s="9" t="n">
        <x:v>3489750</x:v>
      </x:c>
    </x:row>
    <x:row r="7671" ht="34" customHeight="1">
      <x:c r="A7671" s="4" t="str">
        <x:v>RS-03805-I2</x:v>
      </x:c>
      <x:c r="B7671" s="4" t="str">
        <x:v>RS-03805</x:v>
      </x:c>
      <x:c r="C7671" s="9" t="n">
        <x:v>2</x:v>
      </x:c>
      <x:c r="D7671" s="8" t="n">
        <x:v>45559</x:v>
      </x:c>
      <x:c r="E7671" s="9" t="n">
        <x:v>3489750</x:v>
      </x:c>
      <x:c r="F7671" s="9" t="n">
        <x:v>0</x:v>
      </x:c>
    </x:row>
    <x:row r="7672" ht="34" customHeight="1">
      <x:c r="A7672" s="4" t="str">
        <x:v>RS-03805-I3</x:v>
      </x:c>
      <x:c r="B7672" s="4" t="str">
        <x:v>RS-03805</x:v>
      </x:c>
      <x:c r="C7672" s="9" t="n">
        <x:v>3</x:v>
      </x:c>
      <x:c r="D7672" s="8" t="n">
        <x:v>45589</x:v>
      </x:c>
      <x:c r="E7672" s="9" t="n">
        <x:v>3489750</x:v>
      </x:c>
      <x:c r="F7672" s="9" t="n">
        <x:v>0</x:v>
      </x:c>
    </x:row>
    <x:row r="7673" ht="34" customHeight="1">
      <x:c r="A7673" s="4" t="str">
        <x:v>RS-03805-I4</x:v>
      </x:c>
      <x:c r="B7673" s="4" t="str">
        <x:v>RS-03805</x:v>
      </x:c>
      <x:c r="C7673" s="9" t="n">
        <x:v>4</x:v>
      </x:c>
      <x:c r="D7673" s="8" t="n">
        <x:v>45619</x:v>
      </x:c>
      <x:c r="E7673" s="9" t="n">
        <x:v>3489750</x:v>
      </x:c>
      <x:c r="F7673" s="9" t="n">
        <x:v>0</x:v>
      </x:c>
    </x:row>
    <x:row r="7674" ht="34" customHeight="1">
      <x:c r="A7674" s="4" t="str">
        <x:v>RS-03806-I1</x:v>
      </x:c>
      <x:c r="B7674" s="4" t="str">
        <x:v>RS-03806</x:v>
      </x:c>
      <x:c r="C7674" s="9" t="n">
        <x:v>1</x:v>
      </x:c>
      <x:c r="D7674" s="8" t="n">
        <x:v>45530</x:v>
      </x:c>
      <x:c r="E7674" s="9" t="n">
        <x:v>922500</x:v>
      </x:c>
      <x:c r="F7674" s="9" t="n">
        <x:v>922500</x:v>
      </x:c>
    </x:row>
    <x:row r="7675" ht="34" customHeight="1">
      <x:c r="A7675" s="4" t="str">
        <x:v>RS-03806-I2</x:v>
      </x:c>
      <x:c r="B7675" s="4" t="str">
        <x:v>RS-03806</x:v>
      </x:c>
      <x:c r="C7675" s="9" t="n">
        <x:v>2</x:v>
      </x:c>
      <x:c r="D7675" s="8" t="n">
        <x:v>45560</x:v>
      </x:c>
      <x:c r="E7675" s="9" t="n">
        <x:v>922500</x:v>
      </x:c>
      <x:c r="F7675" s="9" t="n">
        <x:v>922500</x:v>
      </x:c>
    </x:row>
    <x:row r="7676" ht="34" customHeight="1">
      <x:c r="A7676" s="4" t="str">
        <x:v>RS-03806-I3</x:v>
      </x:c>
      <x:c r="B7676" s="4" t="str">
        <x:v>RS-03806</x:v>
      </x:c>
      <x:c r="C7676" s="9" t="n">
        <x:v>3</x:v>
      </x:c>
      <x:c r="D7676" s="8" t="n">
        <x:v>45590</x:v>
      </x:c>
      <x:c r="E7676" s="9" t="n">
        <x:v>922500</x:v>
      </x:c>
      <x:c r="F7676" s="9" t="n">
        <x:v>922500</x:v>
      </x:c>
    </x:row>
    <x:row r="7677" ht="34" customHeight="1">
      <x:c r="A7677" s="4" t="str">
        <x:v>RS-03806-I4</x:v>
      </x:c>
      <x:c r="B7677" s="4" t="str">
        <x:v>RS-03806</x:v>
      </x:c>
      <x:c r="C7677" s="9" t="n">
        <x:v>4</x:v>
      </x:c>
      <x:c r="D7677" s="8" t="n">
        <x:v>45620</x:v>
      </x:c>
      <x:c r="E7677" s="9" t="n">
        <x:v>922500</x:v>
      </x:c>
      <x:c r="F7677" s="9" t="n">
        <x:v>922500</x:v>
      </x:c>
    </x:row>
    <x:row r="7678" ht="34" customHeight="1">
      <x:c r="A7678" s="4" t="str">
        <x:v>RS-03807-I1</x:v>
      </x:c>
      <x:c r="B7678" s="4" t="str">
        <x:v>RS-03807</x:v>
      </x:c>
      <x:c r="C7678" s="9" t="n">
        <x:v>1</x:v>
      </x:c>
      <x:c r="D7678" s="8" t="n">
        <x:v>45531</x:v>
      </x:c>
      <x:c r="E7678" s="9" t="n">
        <x:v>5820000</x:v>
      </x:c>
      <x:c r="F7678" s="9" t="n">
        <x:v>2328000</x:v>
      </x:c>
    </x:row>
    <x:row r="7679" ht="34" customHeight="1">
      <x:c r="A7679" s="4" t="str">
        <x:v>RS-03807-I2</x:v>
      </x:c>
      <x:c r="B7679" s="4" t="str">
        <x:v>RS-03807</x:v>
      </x:c>
      <x:c r="C7679" s="9" t="n">
        <x:v>2</x:v>
      </x:c>
      <x:c r="D7679" s="8" t="n">
        <x:v>45561</x:v>
      </x:c>
      <x:c r="E7679" s="9" t="n">
        <x:v>5820000</x:v>
      </x:c>
      <x:c r="F7679" s="9" t="n">
        <x:v>0</x:v>
      </x:c>
    </x:row>
    <x:row r="7680" ht="34" customHeight="1">
      <x:c r="A7680" s="4" t="str">
        <x:v>RS-03807-I3</x:v>
      </x:c>
      <x:c r="B7680" s="4" t="str">
        <x:v>RS-03807</x:v>
      </x:c>
      <x:c r="C7680" s="9" t="n">
        <x:v>3</x:v>
      </x:c>
      <x:c r="D7680" s="8" t="n">
        <x:v>45591</x:v>
      </x:c>
      <x:c r="E7680" s="9" t="n">
        <x:v>5820000</x:v>
      </x:c>
      <x:c r="F7680" s="9" t="n">
        <x:v>0</x:v>
      </x:c>
    </x:row>
    <x:row r="7681" ht="34" customHeight="1">
      <x:c r="A7681" s="4" t="str">
        <x:v>RS-03807-I4</x:v>
      </x:c>
      <x:c r="B7681" s="4" t="str">
        <x:v>RS-03807</x:v>
      </x:c>
      <x:c r="C7681" s="9" t="n">
        <x:v>4</x:v>
      </x:c>
      <x:c r="D7681" s="8" t="n">
        <x:v>45621</x:v>
      </x:c>
      <x:c r="E7681" s="9" t="n">
        <x:v>5820000</x:v>
      </x:c>
      <x:c r="F7681" s="9" t="n">
        <x:v>0</x:v>
      </x:c>
    </x:row>
    <x:row r="7682" ht="34" customHeight="1">
      <x:c r="A7682" s="4" t="str">
        <x:v>RS-03809-I1</x:v>
      </x:c>
      <x:c r="B7682" s="4" t="str">
        <x:v>RS-03809</x:v>
      </x:c>
      <x:c r="C7682" s="9" t="n">
        <x:v>1</x:v>
      </x:c>
      <x:c r="D7682" s="8" t="n">
        <x:v>45505</x:v>
      </x:c>
      <x:c r="E7682" s="9" t="n">
        <x:v>2320500</x:v>
      </x:c>
      <x:c r="F7682" s="9" t="n">
        <x:v>2320500</x:v>
      </x:c>
    </x:row>
    <x:row r="7683" ht="34" customHeight="1">
      <x:c r="A7683" s="4" t="str">
        <x:v>RS-03809-I2</x:v>
      </x:c>
      <x:c r="B7683" s="4" t="str">
        <x:v>RS-03809</x:v>
      </x:c>
      <x:c r="C7683" s="9" t="n">
        <x:v>2</x:v>
      </x:c>
      <x:c r="D7683" s="8" t="n">
        <x:v>45535</x:v>
      </x:c>
      <x:c r="E7683" s="9" t="n">
        <x:v>2320500</x:v>
      </x:c>
      <x:c r="F7683" s="9" t="n">
        <x:v>2320500</x:v>
      </x:c>
    </x:row>
    <x:row r="7684" ht="34" customHeight="1">
      <x:c r="A7684" s="4" t="str">
        <x:v>RS-03809-I3</x:v>
      </x:c>
      <x:c r="B7684" s="4" t="str">
        <x:v>RS-03809</x:v>
      </x:c>
      <x:c r="C7684" s="9" t="n">
        <x:v>3</x:v>
      </x:c>
      <x:c r="D7684" s="8" t="n">
        <x:v>45565</x:v>
      </x:c>
      <x:c r="E7684" s="9" t="n">
        <x:v>2320500</x:v>
      </x:c>
      <x:c r="F7684" s="9" t="n">
        <x:v>0</x:v>
      </x:c>
    </x:row>
    <x:row r="7685" ht="34" customHeight="1">
      <x:c r="A7685" s="4" t="str">
        <x:v>RS-03809-I4</x:v>
      </x:c>
      <x:c r="B7685" s="4" t="str">
        <x:v>RS-03809</x:v>
      </x:c>
      <x:c r="C7685" s="9" t="n">
        <x:v>4</x:v>
      </x:c>
      <x:c r="D7685" s="8" t="n">
        <x:v>45595</x:v>
      </x:c>
      <x:c r="E7685" s="9" t="n">
        <x:v>2320500</x:v>
      </x:c>
      <x:c r="F7685" s="9" t="n">
        <x:v>0</x:v>
      </x:c>
    </x:row>
    <x:row r="7686" ht="34" customHeight="1">
      <x:c r="A7686" s="4" t="str">
        <x:v>RS-03810-I1</x:v>
      </x:c>
      <x:c r="B7686" s="4" t="str">
        <x:v>RS-03810</x:v>
      </x:c>
      <x:c r="C7686" s="9" t="n">
        <x:v>1</x:v>
      </x:c>
      <x:c r="D7686" s="8" t="n">
        <x:v>45506</x:v>
      </x:c>
      <x:c r="E7686" s="9" t="n">
        <x:v>4800250</x:v>
      </x:c>
      <x:c r="F7686" s="9" t="n">
        <x:v>4800250</x:v>
      </x:c>
    </x:row>
    <x:row r="7687" ht="34" customHeight="1">
      <x:c r="A7687" s="4" t="str">
        <x:v>RS-03810-I2</x:v>
      </x:c>
      <x:c r="B7687" s="4" t="str">
        <x:v>RS-03810</x:v>
      </x:c>
      <x:c r="C7687" s="9" t="n">
        <x:v>2</x:v>
      </x:c>
      <x:c r="D7687" s="8" t="n">
        <x:v>45536</x:v>
      </x:c>
      <x:c r="E7687" s="9" t="n">
        <x:v>4800250</x:v>
      </x:c>
      <x:c r="F7687" s="9" t="n">
        <x:v>0</x:v>
      </x:c>
    </x:row>
    <x:row r="7688" ht="34" customHeight="1">
      <x:c r="A7688" s="4" t="str">
        <x:v>RS-03810-I3</x:v>
      </x:c>
      <x:c r="B7688" s="4" t="str">
        <x:v>RS-03810</x:v>
      </x:c>
      <x:c r="C7688" s="9" t="n">
        <x:v>3</x:v>
      </x:c>
      <x:c r="D7688" s="8" t="n">
        <x:v>45566</x:v>
      </x:c>
      <x:c r="E7688" s="9" t="n">
        <x:v>4800250</x:v>
      </x:c>
      <x:c r="F7688" s="9" t="n">
        <x:v>0</x:v>
      </x:c>
    </x:row>
    <x:row r="7689" ht="34" customHeight="1">
      <x:c r="A7689" s="4" t="str">
        <x:v>RS-03810-I4</x:v>
      </x:c>
      <x:c r="B7689" s="4" t="str">
        <x:v>RS-03810</x:v>
      </x:c>
      <x:c r="C7689" s="9" t="n">
        <x:v>4</x:v>
      </x:c>
      <x:c r="D7689" s="8" t="n">
        <x:v>45596</x:v>
      </x:c>
      <x:c r="E7689" s="9" t="n">
        <x:v>4800250</x:v>
      </x:c>
      <x:c r="F7689" s="9" t="n">
        <x:v>0</x:v>
      </x:c>
    </x:row>
    <x:row r="7690" ht="34" customHeight="1">
      <x:c r="A7690" s="4" t="str">
        <x:v>RS-03812-I1</x:v>
      </x:c>
      <x:c r="B7690" s="4" t="str">
        <x:v>RS-03812</x:v>
      </x:c>
      <x:c r="C7690" s="9" t="n">
        <x:v>1</x:v>
      </x:c>
      <x:c r="D7690" s="8" t="n">
        <x:v>45508</x:v>
      </x:c>
      <x:c r="E7690" s="9" t="n">
        <x:v>4656000</x:v>
      </x:c>
      <x:c r="F7690" s="9" t="n">
        <x:v>4656000</x:v>
      </x:c>
    </x:row>
    <x:row r="7691" ht="34" customHeight="1">
      <x:c r="A7691" s="4" t="str">
        <x:v>RS-03812-I2</x:v>
      </x:c>
      <x:c r="B7691" s="4" t="str">
        <x:v>RS-03812</x:v>
      </x:c>
      <x:c r="C7691" s="9" t="n">
        <x:v>2</x:v>
      </x:c>
      <x:c r="D7691" s="8" t="n">
        <x:v>45538</x:v>
      </x:c>
      <x:c r="E7691" s="9" t="n">
        <x:v>4656000</x:v>
      </x:c>
      <x:c r="F7691" s="9" t="n">
        <x:v>4656000</x:v>
      </x:c>
    </x:row>
    <x:row r="7692" ht="34" customHeight="1">
      <x:c r="A7692" s="4" t="str">
        <x:v>RS-03812-I3</x:v>
      </x:c>
      <x:c r="B7692" s="4" t="str">
        <x:v>RS-03812</x:v>
      </x:c>
      <x:c r="C7692" s="9" t="n">
        <x:v>3</x:v>
      </x:c>
      <x:c r="D7692" s="8" t="n">
        <x:v>45568</x:v>
      </x:c>
      <x:c r="E7692" s="9" t="n">
        <x:v>4656000</x:v>
      </x:c>
      <x:c r="F7692" s="9" t="n">
        <x:v>0</x:v>
      </x:c>
    </x:row>
    <x:row r="7693" ht="34" customHeight="1">
      <x:c r="A7693" s="4" t="str">
        <x:v>RS-03812-I4</x:v>
      </x:c>
      <x:c r="B7693" s="4" t="str">
        <x:v>RS-03812</x:v>
      </x:c>
      <x:c r="C7693" s="9" t="n">
        <x:v>4</x:v>
      </x:c>
      <x:c r="D7693" s="8" t="n">
        <x:v>45598</x:v>
      </x:c>
      <x:c r="E7693" s="9" t="n">
        <x:v>4656000</x:v>
      </x:c>
      <x:c r="F7693" s="9" t="n">
        <x:v>0</x:v>
      </x:c>
    </x:row>
    <x:row r="7694" ht="34" customHeight="1">
      <x:c r="A7694" s="4" t="str">
        <x:v>RS-03813-I1</x:v>
      </x:c>
      <x:c r="B7694" s="4" t="str">
        <x:v>RS-03813</x:v>
      </x:c>
      <x:c r="C7694" s="9" t="n">
        <x:v>1</x:v>
      </x:c>
      <x:c r="D7694" s="8" t="n">
        <x:v>45509</x:v>
      </x:c>
      <x:c r="E7694" s="9" t="n">
        <x:v>1173000</x:v>
      </x:c>
      <x:c r="F7694" s="9" t="n">
        <x:v>469200</x:v>
      </x:c>
    </x:row>
    <x:row r="7695" ht="34" customHeight="1">
      <x:c r="A7695" s="4" t="str">
        <x:v>RS-03813-I2</x:v>
      </x:c>
      <x:c r="B7695" s="4" t="str">
        <x:v>RS-03813</x:v>
      </x:c>
      <x:c r="C7695" s="9" t="n">
        <x:v>2</x:v>
      </x:c>
      <x:c r="D7695" s="8" t="n">
        <x:v>45539</x:v>
      </x:c>
      <x:c r="E7695" s="9" t="n">
        <x:v>1173000</x:v>
      </x:c>
      <x:c r="F7695" s="9" t="n">
        <x:v>0</x:v>
      </x:c>
    </x:row>
    <x:row r="7696" ht="34" customHeight="1">
      <x:c r="A7696" s="4" t="str">
        <x:v>RS-03813-I3</x:v>
      </x:c>
      <x:c r="B7696" s="4" t="str">
        <x:v>RS-03813</x:v>
      </x:c>
      <x:c r="C7696" s="9" t="n">
        <x:v>3</x:v>
      </x:c>
      <x:c r="D7696" s="8" t="n">
        <x:v>45569</x:v>
      </x:c>
      <x:c r="E7696" s="9" t="n">
        <x:v>1173000</x:v>
      </x:c>
      <x:c r="F7696" s="9" t="n">
        <x:v>0</x:v>
      </x:c>
    </x:row>
    <x:row r="7697" ht="34" customHeight="1">
      <x:c r="A7697" s="4" t="str">
        <x:v>RS-03813-I4</x:v>
      </x:c>
      <x:c r="B7697" s="4" t="str">
        <x:v>RS-03813</x:v>
      </x:c>
      <x:c r="C7697" s="9" t="n">
        <x:v>4</x:v>
      </x:c>
      <x:c r="D7697" s="8" t="n">
        <x:v>45599</x:v>
      </x:c>
      <x:c r="E7697" s="9" t="n">
        <x:v>1173000</x:v>
      </x:c>
      <x:c r="F7697" s="9" t="n">
        <x:v>0</x:v>
      </x:c>
    </x:row>
    <x:row r="7698" ht="34" customHeight="1">
      <x:c r="A7698" s="4" t="str">
        <x:v>RS-03814-I1</x:v>
      </x:c>
      <x:c r="B7698" s="4" t="str">
        <x:v>RS-03814</x:v>
      </x:c>
      <x:c r="C7698" s="9" t="n">
        <x:v>1</x:v>
      </x:c>
      <x:c r="D7698" s="8" t="n">
        <x:v>45510</x:v>
      </x:c>
      <x:c r="E7698" s="9" t="n">
        <x:v>3266500</x:v>
      </x:c>
      <x:c r="F7698" s="9" t="n">
        <x:v>3266500</x:v>
      </x:c>
    </x:row>
    <x:row r="7699" ht="34" customHeight="1">
      <x:c r="A7699" s="4" t="str">
        <x:v>RS-03814-I2</x:v>
      </x:c>
      <x:c r="B7699" s="4" t="str">
        <x:v>RS-03814</x:v>
      </x:c>
      <x:c r="C7699" s="9" t="n">
        <x:v>2</x:v>
      </x:c>
      <x:c r="D7699" s="8" t="n">
        <x:v>45540</x:v>
      </x:c>
      <x:c r="E7699" s="9" t="n">
        <x:v>3266500</x:v>
      </x:c>
      <x:c r="F7699" s="9" t="n">
        <x:v>0</x:v>
      </x:c>
    </x:row>
    <x:row r="7700" ht="34" customHeight="1">
      <x:c r="A7700" s="4" t="str">
        <x:v>RS-03814-I3</x:v>
      </x:c>
      <x:c r="B7700" s="4" t="str">
        <x:v>RS-03814</x:v>
      </x:c>
      <x:c r="C7700" s="9" t="n">
        <x:v>3</x:v>
      </x:c>
      <x:c r="D7700" s="8" t="n">
        <x:v>45570</x:v>
      </x:c>
      <x:c r="E7700" s="9" t="n">
        <x:v>3266500</x:v>
      </x:c>
      <x:c r="F7700" s="9" t="n">
        <x:v>0</x:v>
      </x:c>
    </x:row>
    <x:row r="7701" ht="34" customHeight="1">
      <x:c r="A7701" s="4" t="str">
        <x:v>RS-03814-I4</x:v>
      </x:c>
      <x:c r="B7701" s="4" t="str">
        <x:v>RS-03814</x:v>
      </x:c>
      <x:c r="C7701" s="9" t="n">
        <x:v>4</x:v>
      </x:c>
      <x:c r="D7701" s="8" t="n">
        <x:v>45600</x:v>
      </x:c>
      <x:c r="E7701" s="9" t="n">
        <x:v>3266500</x:v>
      </x:c>
      <x:c r="F7701" s="9" t="n">
        <x:v>0</x:v>
      </x:c>
    </x:row>
    <x:row r="7702" ht="34" customHeight="1">
      <x:c r="A7702" s="4" t="str">
        <x:v>RS-03817-I1</x:v>
      </x:c>
      <x:c r="B7702" s="4" t="str">
        <x:v>RS-03817</x:v>
      </x:c>
      <x:c r="C7702" s="9" t="n">
        <x:v>1</x:v>
      </x:c>
      <x:c r="D7702" s="8" t="n">
        <x:v>45513</x:v>
      </x:c>
      <x:c r="E7702" s="9" t="n">
        <x:v>5568000</x:v>
      </x:c>
      <x:c r="F7702" s="9" t="n">
        <x:v>5568000</x:v>
      </x:c>
    </x:row>
    <x:row r="7703" ht="34" customHeight="1">
      <x:c r="A7703" s="4" t="str">
        <x:v>RS-03817-I2</x:v>
      </x:c>
      <x:c r="B7703" s="4" t="str">
        <x:v>RS-03817</x:v>
      </x:c>
      <x:c r="C7703" s="9" t="n">
        <x:v>2</x:v>
      </x:c>
      <x:c r="D7703" s="8" t="n">
        <x:v>45543</x:v>
      </x:c>
      <x:c r="E7703" s="9" t="n">
        <x:v>5568000</x:v>
      </x:c>
      <x:c r="F7703" s="9" t="n">
        <x:v>5568000</x:v>
      </x:c>
    </x:row>
    <x:row r="7704" ht="34" customHeight="1">
      <x:c r="A7704" s="4" t="str">
        <x:v>RS-03817-I3</x:v>
      </x:c>
      <x:c r="B7704" s="4" t="str">
        <x:v>RS-03817</x:v>
      </x:c>
      <x:c r="C7704" s="9" t="n">
        <x:v>3</x:v>
      </x:c>
      <x:c r="D7704" s="8" t="n">
        <x:v>45573</x:v>
      </x:c>
      <x:c r="E7704" s="9" t="n">
        <x:v>5568000</x:v>
      </x:c>
      <x:c r="F7704" s="9" t="n">
        <x:v>5568000</x:v>
      </x:c>
    </x:row>
    <x:row r="7705" ht="34" customHeight="1">
      <x:c r="A7705" s="4" t="str">
        <x:v>RS-03817-I4</x:v>
      </x:c>
      <x:c r="B7705" s="4" t="str">
        <x:v>RS-03817</x:v>
      </x:c>
      <x:c r="C7705" s="9" t="n">
        <x:v>4</x:v>
      </x:c>
      <x:c r="D7705" s="8" t="n">
        <x:v>45603</x:v>
      </x:c>
      <x:c r="E7705" s="9" t="n">
        <x:v>5568000</x:v>
      </x:c>
      <x:c r="F7705" s="9" t="n">
        <x:v>5568000</x:v>
      </x:c>
    </x:row>
    <x:row r="7706" ht="34" customHeight="1">
      <x:c r="A7706" s="4" t="str">
        <x:v>RS-03818-I1</x:v>
      </x:c>
      <x:c r="B7706" s="4" t="str">
        <x:v>RS-03818</x:v>
      </x:c>
      <x:c r="C7706" s="9" t="n">
        <x:v>1</x:v>
      </x:c>
      <x:c r="D7706" s="8" t="n">
        <x:v>45514</x:v>
      </x:c>
      <x:c r="E7706" s="9" t="n">
        <x:v>3539250</x:v>
      </x:c>
      <x:c r="F7706" s="9" t="n">
        <x:v>3539250</x:v>
      </x:c>
    </x:row>
    <x:row r="7707" ht="34" customHeight="1">
      <x:c r="A7707" s="4" t="str">
        <x:v>RS-03818-I2</x:v>
      </x:c>
      <x:c r="B7707" s="4" t="str">
        <x:v>RS-03818</x:v>
      </x:c>
      <x:c r="C7707" s="9" t="n">
        <x:v>2</x:v>
      </x:c>
      <x:c r="D7707" s="8" t="n">
        <x:v>45544</x:v>
      </x:c>
      <x:c r="E7707" s="9" t="n">
        <x:v>3539250</x:v>
      </x:c>
      <x:c r="F7707" s="9" t="n">
        <x:v>3539250</x:v>
      </x:c>
    </x:row>
    <x:row r="7708" ht="34" customHeight="1">
      <x:c r="A7708" s="4" t="str">
        <x:v>RS-03818-I3</x:v>
      </x:c>
      <x:c r="B7708" s="4" t="str">
        <x:v>RS-03818</x:v>
      </x:c>
      <x:c r="C7708" s="9" t="n">
        <x:v>3</x:v>
      </x:c>
      <x:c r="D7708" s="8" t="n">
        <x:v>45574</x:v>
      </x:c>
      <x:c r="E7708" s="9" t="n">
        <x:v>3539250</x:v>
      </x:c>
      <x:c r="F7708" s="9" t="n">
        <x:v>3539250</x:v>
      </x:c>
    </x:row>
    <x:row r="7709" ht="34" customHeight="1">
      <x:c r="A7709" s="4" t="str">
        <x:v>RS-03818-I4</x:v>
      </x:c>
      <x:c r="B7709" s="4" t="str">
        <x:v>RS-03818</x:v>
      </x:c>
      <x:c r="C7709" s="9" t="n">
        <x:v>4</x:v>
      </x:c>
      <x:c r="D7709" s="8" t="n">
        <x:v>45604</x:v>
      </x:c>
      <x:c r="E7709" s="9" t="n">
        <x:v>3539250</x:v>
      </x:c>
      <x:c r="F7709" s="9" t="n">
        <x:v>3539250</x:v>
      </x:c>
    </x:row>
    <x:row r="7710" ht="34" customHeight="1">
      <x:c r="A7710" s="4" t="str">
        <x:v>RS-03819-I1</x:v>
      </x:c>
      <x:c r="B7710" s="4" t="str">
        <x:v>RS-03819</x:v>
      </x:c>
      <x:c r="C7710" s="9" t="n">
        <x:v>1</x:v>
      </x:c>
      <x:c r="D7710" s="8" t="n">
        <x:v>45515</x:v>
      </x:c>
      <x:c r="E7710" s="9" t="n">
        <x:v>2623500</x:v>
      </x:c>
      <x:c r="F7710" s="9" t="n">
        <x:v>1049400</x:v>
      </x:c>
    </x:row>
    <x:row r="7711" ht="34" customHeight="1">
      <x:c r="A7711" s="4" t="str">
        <x:v>RS-03819-I2</x:v>
      </x:c>
      <x:c r="B7711" s="4" t="str">
        <x:v>RS-03819</x:v>
      </x:c>
      <x:c r="C7711" s="9" t="n">
        <x:v>2</x:v>
      </x:c>
      <x:c r="D7711" s="8" t="n">
        <x:v>45545</x:v>
      </x:c>
      <x:c r="E7711" s="9" t="n">
        <x:v>2623500</x:v>
      </x:c>
      <x:c r="F7711" s="9" t="n">
        <x:v>0</x:v>
      </x:c>
    </x:row>
    <x:row r="7712" ht="34" customHeight="1">
      <x:c r="A7712" s="4" t="str">
        <x:v>RS-03819-I3</x:v>
      </x:c>
      <x:c r="B7712" s="4" t="str">
        <x:v>RS-03819</x:v>
      </x:c>
      <x:c r="C7712" s="9" t="n">
        <x:v>3</x:v>
      </x:c>
      <x:c r="D7712" s="8" t="n">
        <x:v>45575</x:v>
      </x:c>
      <x:c r="E7712" s="9" t="n">
        <x:v>2623500</x:v>
      </x:c>
      <x:c r="F7712" s="9" t="n">
        <x:v>0</x:v>
      </x:c>
    </x:row>
    <x:row r="7713" ht="34" customHeight="1">
      <x:c r="A7713" s="4" t="str">
        <x:v>RS-03819-I4</x:v>
      </x:c>
      <x:c r="B7713" s="4" t="str">
        <x:v>RS-03819</x:v>
      </x:c>
      <x:c r="C7713" s="9" t="n">
        <x:v>4</x:v>
      </x:c>
      <x:c r="D7713" s="8" t="n">
        <x:v>45605</x:v>
      </x:c>
      <x:c r="E7713" s="9" t="n">
        <x:v>2623500</x:v>
      </x:c>
      <x:c r="F7713" s="9" t="n">
        <x:v>0</x:v>
      </x:c>
    </x:row>
    <x:row r="7714" ht="34" customHeight="1">
      <x:c r="A7714" s="4" t="str">
        <x:v>RS-03824-I1</x:v>
      </x:c>
      <x:c r="B7714" s="4" t="str">
        <x:v>RS-03824</x:v>
      </x:c>
      <x:c r="C7714" s="9" t="n">
        <x:v>1</x:v>
      </x:c>
      <x:c r="D7714" s="8" t="n">
        <x:v>45520</x:v>
      </x:c>
      <x:c r="E7714" s="9" t="n">
        <x:v>1697500</x:v>
      </x:c>
      <x:c r="F7714" s="9" t="n">
        <x:v>1697500</x:v>
      </x:c>
    </x:row>
    <x:row r="7715" ht="34" customHeight="1">
      <x:c r="A7715" s="4" t="str">
        <x:v>RS-03824-I2</x:v>
      </x:c>
      <x:c r="B7715" s="4" t="str">
        <x:v>RS-03824</x:v>
      </x:c>
      <x:c r="C7715" s="9" t="n">
        <x:v>2</x:v>
      </x:c>
      <x:c r="D7715" s="8" t="n">
        <x:v>45550</x:v>
      </x:c>
      <x:c r="E7715" s="9" t="n">
        <x:v>1697500</x:v>
      </x:c>
      <x:c r="F7715" s="9" t="n">
        <x:v>1697500</x:v>
      </x:c>
    </x:row>
    <x:row r="7716" ht="34" customHeight="1">
      <x:c r="A7716" s="4" t="str">
        <x:v>RS-03824-I3</x:v>
      </x:c>
      <x:c r="B7716" s="4" t="str">
        <x:v>RS-03824</x:v>
      </x:c>
      <x:c r="C7716" s="9" t="n">
        <x:v>3</x:v>
      </x:c>
      <x:c r="D7716" s="8" t="n">
        <x:v>45580</x:v>
      </x:c>
      <x:c r="E7716" s="9" t="n">
        <x:v>1697500</x:v>
      </x:c>
      <x:c r="F7716" s="9" t="n">
        <x:v>1697500</x:v>
      </x:c>
    </x:row>
    <x:row r="7717" ht="34" customHeight="1">
      <x:c r="A7717" s="4" t="str">
        <x:v>RS-03824-I4</x:v>
      </x:c>
      <x:c r="B7717" s="4" t="str">
        <x:v>RS-03824</x:v>
      </x:c>
      <x:c r="C7717" s="9" t="n">
        <x:v>4</x:v>
      </x:c>
      <x:c r="D7717" s="8" t="n">
        <x:v>45610</x:v>
      </x:c>
      <x:c r="E7717" s="9" t="n">
        <x:v>1697500</x:v>
      </x:c>
      <x:c r="F7717" s="9" t="n">
        <x:v>1697500</x:v>
      </x:c>
    </x:row>
    <x:row r="7718" ht="34" customHeight="1">
      <x:c r="A7718" s="4" t="str">
        <x:v>RS-03826-I1</x:v>
      </x:c>
      <x:c r="B7718" s="4" t="str">
        <x:v>RS-03826</x:v>
      </x:c>
      <x:c r="C7718" s="9" t="n">
        <x:v>1</x:v>
      </x:c>
      <x:c r="D7718" s="8" t="n">
        <x:v>45522</x:v>
      </x:c>
      <x:c r="E7718" s="9" t="n">
        <x:v>1788500</x:v>
      </x:c>
      <x:c r="F7718" s="9" t="n">
        <x:v>715400</x:v>
      </x:c>
    </x:row>
    <x:row r="7719" ht="34" customHeight="1">
      <x:c r="A7719" s="4" t="str">
        <x:v>RS-03826-I2</x:v>
      </x:c>
      <x:c r="B7719" s="4" t="str">
        <x:v>RS-03826</x:v>
      </x:c>
      <x:c r="C7719" s="9" t="n">
        <x:v>2</x:v>
      </x:c>
      <x:c r="D7719" s="8" t="n">
        <x:v>45552</x:v>
      </x:c>
      <x:c r="E7719" s="9" t="n">
        <x:v>1788500</x:v>
      </x:c>
      <x:c r="F7719" s="9" t="n">
        <x:v>0</x:v>
      </x:c>
    </x:row>
    <x:row r="7720" ht="34" customHeight="1">
      <x:c r="A7720" s="4" t="str">
        <x:v>RS-03826-I3</x:v>
      </x:c>
      <x:c r="B7720" s="4" t="str">
        <x:v>RS-03826</x:v>
      </x:c>
      <x:c r="C7720" s="9" t="n">
        <x:v>3</x:v>
      </x:c>
      <x:c r="D7720" s="8" t="n">
        <x:v>45582</x:v>
      </x:c>
      <x:c r="E7720" s="9" t="n">
        <x:v>1788500</x:v>
      </x:c>
      <x:c r="F7720" s="9" t="n">
        <x:v>0</x:v>
      </x:c>
    </x:row>
    <x:row r="7721" ht="34" customHeight="1">
      <x:c r="A7721" s="4" t="str">
        <x:v>RS-03826-I4</x:v>
      </x:c>
      <x:c r="B7721" s="4" t="str">
        <x:v>RS-03826</x:v>
      </x:c>
      <x:c r="C7721" s="9" t="n">
        <x:v>4</x:v>
      </x:c>
      <x:c r="D7721" s="8" t="n">
        <x:v>45612</x:v>
      </x:c>
      <x:c r="E7721" s="9" t="n">
        <x:v>1788500</x:v>
      </x:c>
      <x:c r="F7721" s="9" t="n">
        <x:v>0</x:v>
      </x:c>
    </x:row>
    <x:row r="7722" ht="34" customHeight="1">
      <x:c r="A7722" s="4" t="str">
        <x:v>RS-03832-I1</x:v>
      </x:c>
      <x:c r="B7722" s="4" t="str">
        <x:v>RS-03832</x:v>
      </x:c>
      <x:c r="C7722" s="9" t="n">
        <x:v>1</x:v>
      </x:c>
      <x:c r="D7722" s="8" t="n">
        <x:v>45528</x:v>
      </x:c>
      <x:c r="E7722" s="9" t="n">
        <x:v>5533500</x:v>
      </x:c>
      <x:c r="F7722" s="9" t="n">
        <x:v>2213400</x:v>
      </x:c>
    </x:row>
    <x:row r="7723" ht="34" customHeight="1">
      <x:c r="A7723" s="4" t="str">
        <x:v>RS-03832-I2</x:v>
      </x:c>
      <x:c r="B7723" s="4" t="str">
        <x:v>RS-03832</x:v>
      </x:c>
      <x:c r="C7723" s="9" t="n">
        <x:v>2</x:v>
      </x:c>
      <x:c r="D7723" s="8" t="n">
        <x:v>45558</x:v>
      </x:c>
      <x:c r="E7723" s="9" t="n">
        <x:v>5533500</x:v>
      </x:c>
      <x:c r="F7723" s="9" t="n">
        <x:v>0</x:v>
      </x:c>
    </x:row>
    <x:row r="7724" ht="34" customHeight="1">
      <x:c r="A7724" s="4" t="str">
        <x:v>RS-03832-I3</x:v>
      </x:c>
      <x:c r="B7724" s="4" t="str">
        <x:v>RS-03832</x:v>
      </x:c>
      <x:c r="C7724" s="9" t="n">
        <x:v>3</x:v>
      </x:c>
      <x:c r="D7724" s="8" t="n">
        <x:v>45588</x:v>
      </x:c>
      <x:c r="E7724" s="9" t="n">
        <x:v>5533500</x:v>
      </x:c>
      <x:c r="F7724" s="9" t="n">
        <x:v>0</x:v>
      </x:c>
    </x:row>
    <x:row r="7725" ht="34" customHeight="1">
      <x:c r="A7725" s="4" t="str">
        <x:v>RS-03832-I4</x:v>
      </x:c>
      <x:c r="B7725" s="4" t="str">
        <x:v>RS-03832</x:v>
      </x:c>
      <x:c r="C7725" s="9" t="n">
        <x:v>4</x:v>
      </x:c>
      <x:c r="D7725" s="8" t="n">
        <x:v>45618</x:v>
      </x:c>
      <x:c r="E7725" s="9" t="n">
        <x:v>5533500</x:v>
      </x:c>
      <x:c r="F7725" s="9" t="n">
        <x:v>0</x:v>
      </x:c>
    </x:row>
    <x:row r="7726" ht="34" customHeight="1">
      <x:c r="A7726" s="4" t="str">
        <x:v>RS-03834-I1</x:v>
      </x:c>
      <x:c r="B7726" s="4" t="str">
        <x:v>RS-03834</x:v>
      </x:c>
      <x:c r="C7726" s="9" t="n">
        <x:v>1</x:v>
      </x:c>
      <x:c r="D7726" s="8" t="n">
        <x:v>45530</x:v>
      </x:c>
      <x:c r="E7726" s="9" t="n">
        <x:v>742500</x:v>
      </x:c>
      <x:c r="F7726" s="9" t="n">
        <x:v>742500</x:v>
      </x:c>
    </x:row>
    <x:row r="7727" ht="34" customHeight="1">
      <x:c r="A7727" s="4" t="str">
        <x:v>RS-03834-I2</x:v>
      </x:c>
      <x:c r="B7727" s="4" t="str">
        <x:v>RS-03834</x:v>
      </x:c>
      <x:c r="C7727" s="9" t="n">
        <x:v>2</x:v>
      </x:c>
      <x:c r="D7727" s="8" t="n">
        <x:v>45560</x:v>
      </x:c>
      <x:c r="E7727" s="9" t="n">
        <x:v>742500</x:v>
      </x:c>
      <x:c r="F7727" s="9" t="n">
        <x:v>742500</x:v>
      </x:c>
    </x:row>
    <x:row r="7728" ht="34" customHeight="1">
      <x:c r="A7728" s="4" t="str">
        <x:v>RS-03834-I3</x:v>
      </x:c>
      <x:c r="B7728" s="4" t="str">
        <x:v>RS-03834</x:v>
      </x:c>
      <x:c r="C7728" s="9" t="n">
        <x:v>3</x:v>
      </x:c>
      <x:c r="D7728" s="8" t="n">
        <x:v>45590</x:v>
      </x:c>
      <x:c r="E7728" s="9" t="n">
        <x:v>742500</x:v>
      </x:c>
      <x:c r="F7728" s="9" t="n">
        <x:v>742500</x:v>
      </x:c>
    </x:row>
    <x:row r="7729" ht="34" customHeight="1">
      <x:c r="A7729" s="4" t="str">
        <x:v>RS-03834-I4</x:v>
      </x:c>
      <x:c r="B7729" s="4" t="str">
        <x:v>RS-03834</x:v>
      </x:c>
      <x:c r="C7729" s="9" t="n">
        <x:v>4</x:v>
      </x:c>
      <x:c r="D7729" s="8" t="n">
        <x:v>45620</x:v>
      </x:c>
      <x:c r="E7729" s="9" t="n">
        <x:v>742500</x:v>
      </x:c>
      <x:c r="F7729" s="9" t="n">
        <x:v>742500</x:v>
      </x:c>
    </x:row>
    <x:row r="7730" ht="34" customHeight="1">
      <x:c r="A7730" s="4" t="str">
        <x:v>RS-03835-I1</x:v>
      </x:c>
      <x:c r="B7730" s="4" t="str">
        <x:v>RS-03835</x:v>
      </x:c>
      <x:c r="C7730" s="9" t="n">
        <x:v>1</x:v>
      </x:c>
      <x:c r="D7730" s="8" t="n">
        <x:v>45531</x:v>
      </x:c>
      <x:c r="E7730" s="9" t="n">
        <x:v>3135000</x:v>
      </x:c>
      <x:c r="F7730" s="9" t="n">
        <x:v>3135000</x:v>
      </x:c>
    </x:row>
    <x:row r="7731" ht="34" customHeight="1">
      <x:c r="A7731" s="4" t="str">
        <x:v>RS-03835-I2</x:v>
      </x:c>
      <x:c r="B7731" s="4" t="str">
        <x:v>RS-03835</x:v>
      </x:c>
      <x:c r="C7731" s="9" t="n">
        <x:v>2</x:v>
      </x:c>
      <x:c r="D7731" s="8" t="n">
        <x:v>45561</x:v>
      </x:c>
      <x:c r="E7731" s="9" t="n">
        <x:v>3135000</x:v>
      </x:c>
      <x:c r="F7731" s="9" t="n">
        <x:v>0</x:v>
      </x:c>
    </x:row>
    <x:row r="7732" ht="34" customHeight="1">
      <x:c r="A7732" s="4" t="str">
        <x:v>RS-03835-I3</x:v>
      </x:c>
      <x:c r="B7732" s="4" t="str">
        <x:v>RS-03835</x:v>
      </x:c>
      <x:c r="C7732" s="9" t="n">
        <x:v>3</x:v>
      </x:c>
      <x:c r="D7732" s="8" t="n">
        <x:v>45591</x:v>
      </x:c>
      <x:c r="E7732" s="9" t="n">
        <x:v>3135000</x:v>
      </x:c>
      <x:c r="F7732" s="9" t="n">
        <x:v>0</x:v>
      </x:c>
    </x:row>
    <x:row r="7733" ht="34" customHeight="1">
      <x:c r="A7733" s="4" t="str">
        <x:v>RS-03835-I4</x:v>
      </x:c>
      <x:c r="B7733" s="4" t="str">
        <x:v>RS-03835</x:v>
      </x:c>
      <x:c r="C7733" s="9" t="n">
        <x:v>4</x:v>
      </x:c>
      <x:c r="D7733" s="8" t="n">
        <x:v>45621</x:v>
      </x:c>
      <x:c r="E7733" s="9" t="n">
        <x:v>3135000</x:v>
      </x:c>
      <x:c r="F7733" s="9" t="n">
        <x:v>0</x:v>
      </x:c>
    </x:row>
    <x:row r="7734" ht="34" customHeight="1">
      <x:c r="A7734" s="4" t="str">
        <x:v>RS-03837-I1</x:v>
      </x:c>
      <x:c r="B7734" s="4" t="str">
        <x:v>RS-03837</x:v>
      </x:c>
      <x:c r="C7734" s="9" t="n">
        <x:v>1</x:v>
      </x:c>
      <x:c r="D7734" s="8" t="n">
        <x:v>45505</x:v>
      </x:c>
      <x:c r="E7734" s="9" t="n">
        <x:v>2691000</x:v>
      </x:c>
      <x:c r="F7734" s="9" t="n">
        <x:v>2691000</x:v>
      </x:c>
    </x:row>
    <x:row r="7735" ht="34" customHeight="1">
      <x:c r="A7735" s="4" t="str">
        <x:v>RS-03837-I2</x:v>
      </x:c>
      <x:c r="B7735" s="4" t="str">
        <x:v>RS-03837</x:v>
      </x:c>
      <x:c r="C7735" s="9" t="n">
        <x:v>2</x:v>
      </x:c>
      <x:c r="D7735" s="8" t="n">
        <x:v>45535</x:v>
      </x:c>
      <x:c r="E7735" s="9" t="n">
        <x:v>2691000</x:v>
      </x:c>
      <x:c r="F7735" s="9" t="n">
        <x:v>2691000</x:v>
      </x:c>
    </x:row>
    <x:row r="7736" ht="34" customHeight="1">
      <x:c r="A7736" s="4" t="str">
        <x:v>RS-03837-I3</x:v>
      </x:c>
      <x:c r="B7736" s="4" t="str">
        <x:v>RS-03837</x:v>
      </x:c>
      <x:c r="C7736" s="9" t="n">
        <x:v>3</x:v>
      </x:c>
      <x:c r="D7736" s="8" t="n">
        <x:v>45565</x:v>
      </x:c>
      <x:c r="E7736" s="9" t="n">
        <x:v>2691000</x:v>
      </x:c>
      <x:c r="F7736" s="9" t="n">
        <x:v>2691000</x:v>
      </x:c>
    </x:row>
    <x:row r="7737" ht="34" customHeight="1">
      <x:c r="A7737" s="4" t="str">
        <x:v>RS-03837-I4</x:v>
      </x:c>
      <x:c r="B7737" s="4" t="str">
        <x:v>RS-03837</x:v>
      </x:c>
      <x:c r="C7737" s="9" t="n">
        <x:v>4</x:v>
      </x:c>
      <x:c r="D7737" s="8" t="n">
        <x:v>45595</x:v>
      </x:c>
      <x:c r="E7737" s="9" t="n">
        <x:v>2691000</x:v>
      </x:c>
      <x:c r="F7737" s="9" t="n">
        <x:v>2691000</x:v>
      </x:c>
    </x:row>
    <x:row r="7738" ht="34" customHeight="1">
      <x:c r="A7738" s="4" t="str">
        <x:v>RS-03840-I1</x:v>
      </x:c>
      <x:c r="B7738" s="4" t="str">
        <x:v>RS-03840</x:v>
      </x:c>
      <x:c r="C7738" s="9" t="n">
        <x:v>1</x:v>
      </x:c>
      <x:c r="D7738" s="8" t="n">
        <x:v>45508</x:v>
      </x:c>
      <x:c r="E7738" s="9" t="n">
        <x:v>1012500</x:v>
      </x:c>
      <x:c r="F7738" s="9" t="n">
        <x:v>405000</x:v>
      </x:c>
    </x:row>
    <x:row r="7739" ht="34" customHeight="1">
      <x:c r="A7739" s="4" t="str">
        <x:v>RS-03840-I2</x:v>
      </x:c>
      <x:c r="B7739" s="4" t="str">
        <x:v>RS-03840</x:v>
      </x:c>
      <x:c r="C7739" s="9" t="n">
        <x:v>2</x:v>
      </x:c>
      <x:c r="D7739" s="8" t="n">
        <x:v>45538</x:v>
      </x:c>
      <x:c r="E7739" s="9" t="n">
        <x:v>1012500</x:v>
      </x:c>
      <x:c r="F7739" s="9" t="n">
        <x:v>0</x:v>
      </x:c>
    </x:row>
    <x:row r="7740" ht="34" customHeight="1">
      <x:c r="A7740" s="4" t="str">
        <x:v>RS-03840-I3</x:v>
      </x:c>
      <x:c r="B7740" s="4" t="str">
        <x:v>RS-03840</x:v>
      </x:c>
      <x:c r="C7740" s="9" t="n">
        <x:v>3</x:v>
      </x:c>
      <x:c r="D7740" s="8" t="n">
        <x:v>45568</x:v>
      </x:c>
      <x:c r="E7740" s="9" t="n">
        <x:v>1012500</x:v>
      </x:c>
      <x:c r="F7740" s="9" t="n">
        <x:v>0</x:v>
      </x:c>
    </x:row>
    <x:row r="7741" ht="34" customHeight="1">
      <x:c r="A7741" s="4" t="str">
        <x:v>RS-03840-I4</x:v>
      </x:c>
      <x:c r="B7741" s="4" t="str">
        <x:v>RS-03840</x:v>
      </x:c>
      <x:c r="C7741" s="9" t="n">
        <x:v>4</x:v>
      </x:c>
      <x:c r="D7741" s="8" t="n">
        <x:v>45598</x:v>
      </x:c>
      <x:c r="E7741" s="9" t="n">
        <x:v>1012500</x:v>
      </x:c>
      <x:c r="F7741" s="9" t="n">
        <x:v>0</x:v>
      </x:c>
    </x:row>
    <x:row r="7742" ht="34" customHeight="1">
      <x:c r="A7742" s="4" t="str">
        <x:v>RS-03841-I1</x:v>
      </x:c>
      <x:c r="B7742" s="4" t="str">
        <x:v>RS-03841</x:v>
      </x:c>
      <x:c r="C7742" s="9" t="n">
        <x:v>1</x:v>
      </x:c>
      <x:c r="D7742" s="8" t="n">
        <x:v>45509</x:v>
      </x:c>
      <x:c r="E7742" s="9" t="n">
        <x:v>1581000</x:v>
      </x:c>
      <x:c r="F7742" s="9" t="n">
        <x:v>1581000</x:v>
      </x:c>
    </x:row>
    <x:row r="7743" ht="34" customHeight="1">
      <x:c r="A7743" s="4" t="str">
        <x:v>RS-03841-I2</x:v>
      </x:c>
      <x:c r="B7743" s="4" t="str">
        <x:v>RS-03841</x:v>
      </x:c>
      <x:c r="C7743" s="9" t="n">
        <x:v>2</x:v>
      </x:c>
      <x:c r="D7743" s="8" t="n">
        <x:v>45539</x:v>
      </x:c>
      <x:c r="E7743" s="9" t="n">
        <x:v>1581000</x:v>
      </x:c>
      <x:c r="F7743" s="9" t="n">
        <x:v>1581000</x:v>
      </x:c>
    </x:row>
    <x:row r="7744" ht="34" customHeight="1">
      <x:c r="A7744" s="4" t="str">
        <x:v>RS-03841-I3</x:v>
      </x:c>
      <x:c r="B7744" s="4" t="str">
        <x:v>RS-03841</x:v>
      </x:c>
      <x:c r="C7744" s="9" t="n">
        <x:v>3</x:v>
      </x:c>
      <x:c r="D7744" s="8" t="n">
        <x:v>45569</x:v>
      </x:c>
      <x:c r="E7744" s="9" t="n">
        <x:v>1581000</x:v>
      </x:c>
      <x:c r="F7744" s="9" t="n">
        <x:v>1581000</x:v>
      </x:c>
    </x:row>
    <x:row r="7745" ht="34" customHeight="1">
      <x:c r="A7745" s="4" t="str">
        <x:v>RS-03841-I4</x:v>
      </x:c>
      <x:c r="B7745" s="4" t="str">
        <x:v>RS-03841</x:v>
      </x:c>
      <x:c r="C7745" s="9" t="n">
        <x:v>4</x:v>
      </x:c>
      <x:c r="D7745" s="8" t="n">
        <x:v>45599</x:v>
      </x:c>
      <x:c r="E7745" s="9" t="n">
        <x:v>1581000</x:v>
      </x:c>
      <x:c r="F7745" s="9" t="n">
        <x:v>1581000</x:v>
      </x:c>
    </x:row>
    <x:row r="7746" ht="34" customHeight="1">
      <x:c r="A7746" s="4" t="str">
        <x:v>RS-03842-I1</x:v>
      </x:c>
      <x:c r="B7746" s="4" t="str">
        <x:v>RS-03842</x:v>
      </x:c>
      <x:c r="C7746" s="9" t="n">
        <x:v>1</x:v>
      </x:c>
      <x:c r="D7746" s="8" t="n">
        <x:v>45510</x:v>
      </x:c>
      <x:c r="E7746" s="9" t="n">
        <x:v>900000</x:v>
      </x:c>
      <x:c r="F7746" s="9" t="n">
        <x:v>900000</x:v>
      </x:c>
    </x:row>
    <x:row r="7747" ht="34" customHeight="1">
      <x:c r="A7747" s="4" t="str">
        <x:v>RS-03842-I2</x:v>
      </x:c>
      <x:c r="B7747" s="4" t="str">
        <x:v>RS-03842</x:v>
      </x:c>
      <x:c r="C7747" s="9" t="n">
        <x:v>2</x:v>
      </x:c>
      <x:c r="D7747" s="8" t="n">
        <x:v>45540</x:v>
      </x:c>
      <x:c r="E7747" s="9" t="n">
        <x:v>900000</x:v>
      </x:c>
      <x:c r="F7747" s="9" t="n">
        <x:v>900000</x:v>
      </x:c>
    </x:row>
    <x:row r="7748" ht="34" customHeight="1">
      <x:c r="A7748" s="4" t="str">
        <x:v>RS-03842-I3</x:v>
      </x:c>
      <x:c r="B7748" s="4" t="str">
        <x:v>RS-03842</x:v>
      </x:c>
      <x:c r="C7748" s="9" t="n">
        <x:v>3</x:v>
      </x:c>
      <x:c r="D7748" s="8" t="n">
        <x:v>45570</x:v>
      </x:c>
      <x:c r="E7748" s="9" t="n">
        <x:v>900000</x:v>
      </x:c>
      <x:c r="F7748" s="9" t="n">
        <x:v>900000</x:v>
      </x:c>
    </x:row>
    <x:row r="7749" ht="34" customHeight="1">
      <x:c r="A7749" s="4" t="str">
        <x:v>RS-03842-I4</x:v>
      </x:c>
      <x:c r="B7749" s="4" t="str">
        <x:v>RS-03842</x:v>
      </x:c>
      <x:c r="C7749" s="9" t="n">
        <x:v>4</x:v>
      </x:c>
      <x:c r="D7749" s="8" t="n">
        <x:v>45600</x:v>
      </x:c>
      <x:c r="E7749" s="9" t="n">
        <x:v>900000</x:v>
      </x:c>
      <x:c r="F7749" s="9" t="n">
        <x:v>900000</x:v>
      </x:c>
    </x:row>
    <x:row r="7750" ht="34" customHeight="1">
      <x:c r="A7750" s="4" t="str">
        <x:v>RS-03846-I1</x:v>
      </x:c>
      <x:c r="B7750" s="4" t="str">
        <x:v>RS-03846</x:v>
      </x:c>
      <x:c r="C7750" s="9" t="n">
        <x:v>1</x:v>
      </x:c>
      <x:c r="D7750" s="8" t="n">
        <x:v>45514</x:v>
      </x:c>
      <x:c r="E7750" s="9" t="n">
        <x:v>1246000</x:v>
      </x:c>
      <x:c r="F7750" s="9" t="n">
        <x:v>1246000</x:v>
      </x:c>
    </x:row>
    <x:row r="7751" ht="34" customHeight="1">
      <x:c r="A7751" s="4" t="str">
        <x:v>RS-03846-I2</x:v>
      </x:c>
      <x:c r="B7751" s="4" t="str">
        <x:v>RS-03846</x:v>
      </x:c>
      <x:c r="C7751" s="9" t="n">
        <x:v>2</x:v>
      </x:c>
      <x:c r="D7751" s="8" t="n">
        <x:v>45544</x:v>
      </x:c>
      <x:c r="E7751" s="9" t="n">
        <x:v>1246000</x:v>
      </x:c>
      <x:c r="F7751" s="9" t="n">
        <x:v>0</x:v>
      </x:c>
    </x:row>
    <x:row r="7752" ht="34" customHeight="1">
      <x:c r="A7752" s="4" t="str">
        <x:v>RS-03846-I3</x:v>
      </x:c>
      <x:c r="B7752" s="4" t="str">
        <x:v>RS-03846</x:v>
      </x:c>
      <x:c r="C7752" s="9" t="n">
        <x:v>3</x:v>
      </x:c>
      <x:c r="D7752" s="8" t="n">
        <x:v>45574</x:v>
      </x:c>
      <x:c r="E7752" s="9" t="n">
        <x:v>1246000</x:v>
      </x:c>
      <x:c r="F7752" s="9" t="n">
        <x:v>0</x:v>
      </x:c>
    </x:row>
    <x:row r="7753" ht="34" customHeight="1">
      <x:c r="A7753" s="4" t="str">
        <x:v>RS-03846-I4</x:v>
      </x:c>
      <x:c r="B7753" s="4" t="str">
        <x:v>RS-03846</x:v>
      </x:c>
      <x:c r="C7753" s="9" t="n">
        <x:v>4</x:v>
      </x:c>
      <x:c r="D7753" s="8" t="n">
        <x:v>45604</x:v>
      </x:c>
      <x:c r="E7753" s="9" t="n">
        <x:v>1246000</x:v>
      </x:c>
      <x:c r="F7753" s="9" t="n">
        <x:v>0</x:v>
      </x:c>
    </x:row>
    <x:row r="7754" ht="34" customHeight="1">
      <x:c r="A7754" s="4" t="str">
        <x:v>RS-03848-I1</x:v>
      </x:c>
      <x:c r="B7754" s="4" t="str">
        <x:v>RS-03848</x:v>
      </x:c>
      <x:c r="C7754" s="9" t="n">
        <x:v>1</x:v>
      </x:c>
      <x:c r="D7754" s="8" t="n">
        <x:v>45516</x:v>
      </x:c>
      <x:c r="E7754" s="9" t="n">
        <x:v>2225000</x:v>
      </x:c>
      <x:c r="F7754" s="9" t="n">
        <x:v>2225000</x:v>
      </x:c>
    </x:row>
    <x:row r="7755" ht="34" customHeight="1">
      <x:c r="A7755" s="4" t="str">
        <x:v>RS-03848-I2</x:v>
      </x:c>
      <x:c r="B7755" s="4" t="str">
        <x:v>RS-03848</x:v>
      </x:c>
      <x:c r="C7755" s="9" t="n">
        <x:v>2</x:v>
      </x:c>
      <x:c r="D7755" s="8" t="n">
        <x:v>45546</x:v>
      </x:c>
      <x:c r="E7755" s="9" t="n">
        <x:v>2225000</x:v>
      </x:c>
      <x:c r="F7755" s="9" t="n">
        <x:v>2225000</x:v>
      </x:c>
    </x:row>
    <x:row r="7756" ht="34" customHeight="1">
      <x:c r="A7756" s="4" t="str">
        <x:v>RS-03848-I3</x:v>
      </x:c>
      <x:c r="B7756" s="4" t="str">
        <x:v>RS-03848</x:v>
      </x:c>
      <x:c r="C7756" s="9" t="n">
        <x:v>3</x:v>
      </x:c>
      <x:c r="D7756" s="8" t="n">
        <x:v>45576</x:v>
      </x:c>
      <x:c r="E7756" s="9" t="n">
        <x:v>2225000</x:v>
      </x:c>
      <x:c r="F7756" s="9" t="n">
        <x:v>2225000</x:v>
      </x:c>
    </x:row>
    <x:row r="7757" ht="34" customHeight="1">
      <x:c r="A7757" s="4" t="str">
        <x:v>RS-03848-I4</x:v>
      </x:c>
      <x:c r="B7757" s="4" t="str">
        <x:v>RS-03848</x:v>
      </x:c>
      <x:c r="C7757" s="9" t="n">
        <x:v>4</x:v>
      </x:c>
      <x:c r="D7757" s="8" t="n">
        <x:v>45606</x:v>
      </x:c>
      <x:c r="E7757" s="9" t="n">
        <x:v>2225000</x:v>
      </x:c>
      <x:c r="F7757" s="9" t="n">
        <x:v>2225000</x:v>
      </x:c>
    </x:row>
    <x:row r="7758" ht="34" customHeight="1">
      <x:c r="A7758" s="4" t="str">
        <x:v>RS-03849-I1</x:v>
      </x:c>
      <x:c r="B7758" s="4" t="str">
        <x:v>RS-03849</x:v>
      </x:c>
      <x:c r="C7758" s="9" t="n">
        <x:v>1</x:v>
      </x:c>
      <x:c r="D7758" s="8" t="n">
        <x:v>45517</x:v>
      </x:c>
      <x:c r="E7758" s="9" t="n">
        <x:v>3015000</x:v>
      </x:c>
      <x:c r="F7758" s="9" t="n">
        <x:v>3015000</x:v>
      </x:c>
    </x:row>
    <x:row r="7759" ht="34" customHeight="1">
      <x:c r="A7759" s="4" t="str">
        <x:v>RS-03849-I2</x:v>
      </x:c>
      <x:c r="B7759" s="4" t="str">
        <x:v>RS-03849</x:v>
      </x:c>
      <x:c r="C7759" s="9" t="n">
        <x:v>2</x:v>
      </x:c>
      <x:c r="D7759" s="8" t="n">
        <x:v>45547</x:v>
      </x:c>
      <x:c r="E7759" s="9" t="n">
        <x:v>3015000</x:v>
      </x:c>
      <x:c r="F7759" s="9" t="n">
        <x:v>3015000</x:v>
      </x:c>
    </x:row>
    <x:row r="7760" ht="34" customHeight="1">
      <x:c r="A7760" s="4" t="str">
        <x:v>RS-03849-I3</x:v>
      </x:c>
      <x:c r="B7760" s="4" t="str">
        <x:v>RS-03849</x:v>
      </x:c>
      <x:c r="C7760" s="9" t="n">
        <x:v>3</x:v>
      </x:c>
      <x:c r="D7760" s="8" t="n">
        <x:v>45577</x:v>
      </x:c>
      <x:c r="E7760" s="9" t="n">
        <x:v>3015000</x:v>
      </x:c>
      <x:c r="F7760" s="9" t="n">
        <x:v>0</x:v>
      </x:c>
    </x:row>
    <x:row r="7761" ht="34" customHeight="1">
      <x:c r="A7761" s="4" t="str">
        <x:v>RS-03849-I4</x:v>
      </x:c>
      <x:c r="B7761" s="4" t="str">
        <x:v>RS-03849</x:v>
      </x:c>
      <x:c r="C7761" s="9" t="n">
        <x:v>4</x:v>
      </x:c>
      <x:c r="D7761" s="8" t="n">
        <x:v>45607</x:v>
      </x:c>
      <x:c r="E7761" s="9" t="n">
        <x:v>3015000</x:v>
      </x:c>
      <x:c r="F7761" s="9" t="n">
        <x:v>0</x:v>
      </x:c>
    </x:row>
    <x:row r="7762" ht="34" customHeight="1">
      <x:c r="A7762" s="4" t="str">
        <x:v>RS-03851-I1</x:v>
      </x:c>
      <x:c r="B7762" s="4" t="str">
        <x:v>RS-03851</x:v>
      </x:c>
      <x:c r="C7762" s="9" t="n">
        <x:v>1</x:v>
      </x:c>
      <x:c r="D7762" s="8" t="n">
        <x:v>45519</x:v>
      </x:c>
      <x:c r="E7762" s="9" t="n">
        <x:v>4825000</x:v>
      </x:c>
      <x:c r="F7762" s="9" t="n">
        <x:v>4825000</x:v>
      </x:c>
    </x:row>
    <x:row r="7763" ht="34" customHeight="1">
      <x:c r="A7763" s="4" t="str">
        <x:v>RS-03851-I2</x:v>
      </x:c>
      <x:c r="B7763" s="4" t="str">
        <x:v>RS-03851</x:v>
      </x:c>
      <x:c r="C7763" s="9" t="n">
        <x:v>2</x:v>
      </x:c>
      <x:c r="D7763" s="8" t="n">
        <x:v>45549</x:v>
      </x:c>
      <x:c r="E7763" s="9" t="n">
        <x:v>4825000</x:v>
      </x:c>
      <x:c r="F7763" s="9" t="n">
        <x:v>4825000</x:v>
      </x:c>
    </x:row>
    <x:row r="7764" ht="34" customHeight="1">
      <x:c r="A7764" s="4" t="str">
        <x:v>RS-03851-I3</x:v>
      </x:c>
      <x:c r="B7764" s="4" t="str">
        <x:v>RS-03851</x:v>
      </x:c>
      <x:c r="C7764" s="9" t="n">
        <x:v>3</x:v>
      </x:c>
      <x:c r="D7764" s="8" t="n">
        <x:v>45579</x:v>
      </x:c>
      <x:c r="E7764" s="9" t="n">
        <x:v>4825000</x:v>
      </x:c>
      <x:c r="F7764" s="9" t="n">
        <x:v>4825000</x:v>
      </x:c>
    </x:row>
    <x:row r="7765" ht="34" customHeight="1">
      <x:c r="A7765" s="4" t="str">
        <x:v>RS-03851-I4</x:v>
      </x:c>
      <x:c r="B7765" s="4" t="str">
        <x:v>RS-03851</x:v>
      </x:c>
      <x:c r="C7765" s="9" t="n">
        <x:v>4</x:v>
      </x:c>
      <x:c r="D7765" s="8" t="n">
        <x:v>45609</x:v>
      </x:c>
      <x:c r="E7765" s="9" t="n">
        <x:v>4825000</x:v>
      </x:c>
      <x:c r="F7765" s="9" t="n">
        <x:v>4825000</x:v>
      </x:c>
    </x:row>
    <x:row r="7766" ht="34" customHeight="1">
      <x:c r="A7766" s="4" t="str">
        <x:v>RS-03853-I1</x:v>
      </x:c>
      <x:c r="B7766" s="4" t="str">
        <x:v>RS-03853</x:v>
      </x:c>
      <x:c r="C7766" s="9" t="n">
        <x:v>1</x:v>
      </x:c>
      <x:c r="D7766" s="8" t="n">
        <x:v>45521</x:v>
      </x:c>
      <x:c r="E7766" s="9" t="n">
        <x:v>4686000</x:v>
      </x:c>
      <x:c r="F7766" s="9" t="n">
        <x:v>4686000</x:v>
      </x:c>
    </x:row>
    <x:row r="7767" ht="34" customHeight="1">
      <x:c r="A7767" s="4" t="str">
        <x:v>RS-03853-I2</x:v>
      </x:c>
      <x:c r="B7767" s="4" t="str">
        <x:v>RS-03853</x:v>
      </x:c>
      <x:c r="C7767" s="9" t="n">
        <x:v>2</x:v>
      </x:c>
      <x:c r="D7767" s="8" t="n">
        <x:v>45551</x:v>
      </x:c>
      <x:c r="E7767" s="9" t="n">
        <x:v>4686000</x:v>
      </x:c>
      <x:c r="F7767" s="9" t="n">
        <x:v>4686000</x:v>
      </x:c>
    </x:row>
    <x:row r="7768" ht="34" customHeight="1">
      <x:c r="A7768" s="4" t="str">
        <x:v>RS-03853-I3</x:v>
      </x:c>
      <x:c r="B7768" s="4" t="str">
        <x:v>RS-03853</x:v>
      </x:c>
      <x:c r="C7768" s="9" t="n">
        <x:v>3</x:v>
      </x:c>
      <x:c r="D7768" s="8" t="n">
        <x:v>45581</x:v>
      </x:c>
      <x:c r="E7768" s="9" t="n">
        <x:v>4686000</x:v>
      </x:c>
      <x:c r="F7768" s="9" t="n">
        <x:v>4686000</x:v>
      </x:c>
    </x:row>
    <x:row r="7769" ht="34" customHeight="1">
      <x:c r="A7769" s="4" t="str">
        <x:v>RS-03853-I4</x:v>
      </x:c>
      <x:c r="B7769" s="4" t="str">
        <x:v>RS-03853</x:v>
      </x:c>
      <x:c r="C7769" s="9" t="n">
        <x:v>4</x:v>
      </x:c>
      <x:c r="D7769" s="8" t="n">
        <x:v>45611</x:v>
      </x:c>
      <x:c r="E7769" s="9" t="n">
        <x:v>4686000</x:v>
      </x:c>
      <x:c r="F7769" s="9" t="n">
        <x:v>4686000</x:v>
      </x:c>
    </x:row>
    <x:row r="7770" ht="34" customHeight="1">
      <x:c r="A7770" s="4" t="str">
        <x:v>RS-03857-I1</x:v>
      </x:c>
      <x:c r="B7770" s="4" t="str">
        <x:v>RS-03857</x:v>
      </x:c>
      <x:c r="C7770" s="9" t="n">
        <x:v>1</x:v>
      </x:c>
      <x:c r="D7770" s="8" t="n">
        <x:v>45525</x:v>
      </x:c>
      <x:c r="E7770" s="9" t="n">
        <x:v>4950000</x:v>
      </x:c>
      <x:c r="F7770" s="9" t="n">
        <x:v>4950000</x:v>
      </x:c>
    </x:row>
    <x:row r="7771" ht="34" customHeight="1">
      <x:c r="A7771" s="4" t="str">
        <x:v>RS-03857-I2</x:v>
      </x:c>
      <x:c r="B7771" s="4" t="str">
        <x:v>RS-03857</x:v>
      </x:c>
      <x:c r="C7771" s="9" t="n">
        <x:v>2</x:v>
      </x:c>
      <x:c r="D7771" s="8" t="n">
        <x:v>45555</x:v>
      </x:c>
      <x:c r="E7771" s="9" t="n">
        <x:v>4950000</x:v>
      </x:c>
      <x:c r="F7771" s="9" t="n">
        <x:v>4950000</x:v>
      </x:c>
    </x:row>
    <x:row r="7772" ht="34" customHeight="1">
      <x:c r="A7772" s="4" t="str">
        <x:v>RS-03857-I3</x:v>
      </x:c>
      <x:c r="B7772" s="4" t="str">
        <x:v>RS-03857</x:v>
      </x:c>
      <x:c r="C7772" s="9" t="n">
        <x:v>3</x:v>
      </x:c>
      <x:c r="D7772" s="8" t="n">
        <x:v>45585</x:v>
      </x:c>
      <x:c r="E7772" s="9" t="n">
        <x:v>4950000</x:v>
      </x:c>
      <x:c r="F7772" s="9" t="n">
        <x:v>0</x:v>
      </x:c>
    </x:row>
    <x:row r="7773" ht="34" customHeight="1">
      <x:c r="A7773" s="4" t="str">
        <x:v>RS-03857-I4</x:v>
      </x:c>
      <x:c r="B7773" s="4" t="str">
        <x:v>RS-03857</x:v>
      </x:c>
      <x:c r="C7773" s="9" t="n">
        <x:v>4</x:v>
      </x:c>
      <x:c r="D7773" s="8" t="n">
        <x:v>45615</x:v>
      </x:c>
      <x:c r="E7773" s="9" t="n">
        <x:v>4950000</x:v>
      </x:c>
      <x:c r="F7773" s="9" t="n">
        <x:v>0</x:v>
      </x:c>
    </x:row>
    <x:row r="7774" ht="34" customHeight="1">
      <x:c r="A7774" s="4" t="str">
        <x:v>RS-03858-I1</x:v>
      </x:c>
      <x:c r="B7774" s="4" t="str">
        <x:v>RS-03858</x:v>
      </x:c>
      <x:c r="C7774" s="9" t="n">
        <x:v>1</x:v>
      </x:c>
      <x:c r="D7774" s="8" t="n">
        <x:v>45526</x:v>
      </x:c>
      <x:c r="E7774" s="9" t="n">
        <x:v>1417500</x:v>
      </x:c>
      <x:c r="F7774" s="9" t="n">
        <x:v>1417500</x:v>
      </x:c>
    </x:row>
    <x:row r="7775" ht="34" customHeight="1">
      <x:c r="A7775" s="4" t="str">
        <x:v>RS-03858-I2</x:v>
      </x:c>
      <x:c r="B7775" s="4" t="str">
        <x:v>RS-03858</x:v>
      </x:c>
      <x:c r="C7775" s="9" t="n">
        <x:v>2</x:v>
      </x:c>
      <x:c r="D7775" s="8" t="n">
        <x:v>45556</x:v>
      </x:c>
      <x:c r="E7775" s="9" t="n">
        <x:v>1417500</x:v>
      </x:c>
      <x:c r="F7775" s="9" t="n">
        <x:v>1417500</x:v>
      </x:c>
    </x:row>
    <x:row r="7776" ht="34" customHeight="1">
      <x:c r="A7776" s="4" t="str">
        <x:v>RS-03858-I3</x:v>
      </x:c>
      <x:c r="B7776" s="4" t="str">
        <x:v>RS-03858</x:v>
      </x:c>
      <x:c r="C7776" s="9" t="n">
        <x:v>3</x:v>
      </x:c>
      <x:c r="D7776" s="8" t="n">
        <x:v>45586</x:v>
      </x:c>
      <x:c r="E7776" s="9" t="n">
        <x:v>1417500</x:v>
      </x:c>
      <x:c r="F7776" s="9" t="n">
        <x:v>1417500</x:v>
      </x:c>
    </x:row>
    <x:row r="7777" ht="34" customHeight="1">
      <x:c r="A7777" s="4" t="str">
        <x:v>RS-03858-I4</x:v>
      </x:c>
      <x:c r="B7777" s="4" t="str">
        <x:v>RS-03858</x:v>
      </x:c>
      <x:c r="C7777" s="9" t="n">
        <x:v>4</x:v>
      </x:c>
      <x:c r="D7777" s="8" t="n">
        <x:v>45616</x:v>
      </x:c>
      <x:c r="E7777" s="9" t="n">
        <x:v>1417500</x:v>
      </x:c>
      <x:c r="F7777" s="9" t="n">
        <x:v>1417500</x:v>
      </x:c>
    </x:row>
    <x:row r="7778" ht="34" customHeight="1">
      <x:c r="A7778" s="4" t="str">
        <x:v>RS-03860-I1</x:v>
      </x:c>
      <x:c r="B7778" s="4" t="str">
        <x:v>RS-03860</x:v>
      </x:c>
      <x:c r="C7778" s="9" t="n">
        <x:v>1</x:v>
      </x:c>
      <x:c r="D7778" s="8" t="n">
        <x:v>45528</x:v>
      </x:c>
      <x:c r="E7778" s="9" t="n">
        <x:v>3172500</x:v>
      </x:c>
      <x:c r="F7778" s="9" t="n">
        <x:v>3172500</x:v>
      </x:c>
    </x:row>
    <x:row r="7779" ht="34" customHeight="1">
      <x:c r="A7779" s="4" t="str">
        <x:v>RS-03860-I2</x:v>
      </x:c>
      <x:c r="B7779" s="4" t="str">
        <x:v>RS-03860</x:v>
      </x:c>
      <x:c r="C7779" s="9" t="n">
        <x:v>2</x:v>
      </x:c>
      <x:c r="D7779" s="8" t="n">
        <x:v>45558</x:v>
      </x:c>
      <x:c r="E7779" s="9" t="n">
        <x:v>3172500</x:v>
      </x:c>
      <x:c r="F7779" s="9" t="n">
        <x:v>3172500</x:v>
      </x:c>
    </x:row>
    <x:row r="7780" ht="34" customHeight="1">
      <x:c r="A7780" s="4" t="str">
        <x:v>RS-03860-I3</x:v>
      </x:c>
      <x:c r="B7780" s="4" t="str">
        <x:v>RS-03860</x:v>
      </x:c>
      <x:c r="C7780" s="9" t="n">
        <x:v>3</x:v>
      </x:c>
      <x:c r="D7780" s="8" t="n">
        <x:v>45588</x:v>
      </x:c>
      <x:c r="E7780" s="9" t="n">
        <x:v>3172500</x:v>
      </x:c>
      <x:c r="F7780" s="9" t="n">
        <x:v>3172500</x:v>
      </x:c>
    </x:row>
    <x:row r="7781" ht="34" customHeight="1">
      <x:c r="A7781" s="4" t="str">
        <x:v>RS-03860-I4</x:v>
      </x:c>
      <x:c r="B7781" s="4" t="str">
        <x:v>RS-03860</x:v>
      </x:c>
      <x:c r="C7781" s="9" t="n">
        <x:v>4</x:v>
      </x:c>
      <x:c r="D7781" s="8" t="n">
        <x:v>45618</x:v>
      </x:c>
      <x:c r="E7781" s="9" t="n">
        <x:v>3172500</x:v>
      </x:c>
      <x:c r="F7781" s="9" t="n">
        <x:v>3172500</x:v>
      </x:c>
    </x:row>
    <x:row r="7782" ht="34" customHeight="1">
      <x:c r="A7782" s="4" t="str">
        <x:v>RS-03862-I1</x:v>
      </x:c>
      <x:c r="B7782" s="4" t="str">
        <x:v>RS-03862</x:v>
      </x:c>
      <x:c r="C7782" s="9" t="n">
        <x:v>1</x:v>
      </x:c>
      <x:c r="D7782" s="8" t="n">
        <x:v>45530</x:v>
      </x:c>
      <x:c r="E7782" s="9" t="n">
        <x:v>3381000</x:v>
      </x:c>
      <x:c r="F7782" s="9" t="n">
        <x:v>1352400</x:v>
      </x:c>
    </x:row>
    <x:row r="7783" ht="34" customHeight="1">
      <x:c r="A7783" s="4" t="str">
        <x:v>RS-03862-I2</x:v>
      </x:c>
      <x:c r="B7783" s="4" t="str">
        <x:v>RS-03862</x:v>
      </x:c>
      <x:c r="C7783" s="9" t="n">
        <x:v>2</x:v>
      </x:c>
      <x:c r="D7783" s="8" t="n">
        <x:v>45560</x:v>
      </x:c>
      <x:c r="E7783" s="9" t="n">
        <x:v>3381000</x:v>
      </x:c>
      <x:c r="F7783" s="9" t="n">
        <x:v>0</x:v>
      </x:c>
    </x:row>
    <x:row r="7784" ht="34" customHeight="1">
      <x:c r="A7784" s="4" t="str">
        <x:v>RS-03862-I3</x:v>
      </x:c>
      <x:c r="B7784" s="4" t="str">
        <x:v>RS-03862</x:v>
      </x:c>
      <x:c r="C7784" s="9" t="n">
        <x:v>3</x:v>
      </x:c>
      <x:c r="D7784" s="8" t="n">
        <x:v>45590</x:v>
      </x:c>
      <x:c r="E7784" s="9" t="n">
        <x:v>3381000</x:v>
      </x:c>
      <x:c r="F7784" s="9" t="n">
        <x:v>0</x:v>
      </x:c>
    </x:row>
    <x:row r="7785" ht="34" customHeight="1">
      <x:c r="A7785" s="4" t="str">
        <x:v>RS-03862-I4</x:v>
      </x:c>
      <x:c r="B7785" s="4" t="str">
        <x:v>RS-03862</x:v>
      </x:c>
      <x:c r="C7785" s="9" t="n">
        <x:v>4</x:v>
      </x:c>
      <x:c r="D7785" s="8" t="n">
        <x:v>45620</x:v>
      </x:c>
      <x:c r="E7785" s="9" t="n">
        <x:v>3381000</x:v>
      </x:c>
      <x:c r="F7785" s="9" t="n">
        <x:v>0</x:v>
      </x:c>
    </x:row>
    <x:row r="7786" ht="34" customHeight="1">
      <x:c r="A7786" s="4" t="str">
        <x:v>RS-03866-I1</x:v>
      </x:c>
      <x:c r="B7786" s="4" t="str">
        <x:v>RS-03866</x:v>
      </x:c>
      <x:c r="C7786" s="9" t="n">
        <x:v>1</x:v>
      </x:c>
      <x:c r="D7786" s="8" t="n">
        <x:v>45506</x:v>
      </x:c>
      <x:c r="E7786" s="9" t="n">
        <x:v>4775000</x:v>
      </x:c>
      <x:c r="F7786" s="9" t="n">
        <x:v>4775000</x:v>
      </x:c>
    </x:row>
    <x:row r="7787" ht="34" customHeight="1">
      <x:c r="A7787" s="4" t="str">
        <x:v>RS-03866-I2</x:v>
      </x:c>
      <x:c r="B7787" s="4" t="str">
        <x:v>RS-03866</x:v>
      </x:c>
      <x:c r="C7787" s="9" t="n">
        <x:v>2</x:v>
      </x:c>
      <x:c r="D7787" s="8" t="n">
        <x:v>45536</x:v>
      </x:c>
      <x:c r="E7787" s="9" t="n">
        <x:v>4775000</x:v>
      </x:c>
      <x:c r="F7787" s="9" t="n">
        <x:v>0</x:v>
      </x:c>
    </x:row>
    <x:row r="7788" ht="34" customHeight="1">
      <x:c r="A7788" s="4" t="str">
        <x:v>RS-03866-I3</x:v>
      </x:c>
      <x:c r="B7788" s="4" t="str">
        <x:v>RS-03866</x:v>
      </x:c>
      <x:c r="C7788" s="9" t="n">
        <x:v>3</x:v>
      </x:c>
      <x:c r="D7788" s="8" t="n">
        <x:v>45566</x:v>
      </x:c>
      <x:c r="E7788" s="9" t="n">
        <x:v>4775000</x:v>
      </x:c>
      <x:c r="F7788" s="9" t="n">
        <x:v>0</x:v>
      </x:c>
    </x:row>
    <x:row r="7789" ht="34" customHeight="1">
      <x:c r="A7789" s="4" t="str">
        <x:v>RS-03866-I4</x:v>
      </x:c>
      <x:c r="B7789" s="4" t="str">
        <x:v>RS-03866</x:v>
      </x:c>
      <x:c r="C7789" s="9" t="n">
        <x:v>4</x:v>
      </x:c>
      <x:c r="D7789" s="8" t="n">
        <x:v>45596</x:v>
      </x:c>
      <x:c r="E7789" s="9" t="n">
        <x:v>4775000</x:v>
      </x:c>
      <x:c r="F7789" s="9" t="n">
        <x:v>0</x:v>
      </x:c>
    </x:row>
    <x:row r="7790" ht="34" customHeight="1">
      <x:c r="A7790" s="4" t="str">
        <x:v>RS-03867-I1</x:v>
      </x:c>
      <x:c r="B7790" s="4" t="str">
        <x:v>RS-03867</x:v>
      </x:c>
      <x:c r="C7790" s="9" t="n">
        <x:v>1</x:v>
      </x:c>
      <x:c r="D7790" s="8" t="n">
        <x:v>45507</x:v>
      </x:c>
      <x:c r="E7790" s="9" t="n">
        <x:v>3220000</x:v>
      </x:c>
      <x:c r="F7790" s="9" t="n">
        <x:v>3220000</x:v>
      </x:c>
    </x:row>
    <x:row r="7791" ht="34" customHeight="1">
      <x:c r="A7791" s="4" t="str">
        <x:v>RS-03867-I2</x:v>
      </x:c>
      <x:c r="B7791" s="4" t="str">
        <x:v>RS-03867</x:v>
      </x:c>
      <x:c r="C7791" s="9" t="n">
        <x:v>2</x:v>
      </x:c>
      <x:c r="D7791" s="8" t="n">
        <x:v>45537</x:v>
      </x:c>
      <x:c r="E7791" s="9" t="n">
        <x:v>3220000</x:v>
      </x:c>
      <x:c r="F7791" s="9" t="n">
        <x:v>3220000</x:v>
      </x:c>
    </x:row>
    <x:row r="7792" ht="34" customHeight="1">
      <x:c r="A7792" s="4" t="str">
        <x:v>RS-03867-I3</x:v>
      </x:c>
      <x:c r="B7792" s="4" t="str">
        <x:v>RS-03867</x:v>
      </x:c>
      <x:c r="C7792" s="9" t="n">
        <x:v>3</x:v>
      </x:c>
      <x:c r="D7792" s="8" t="n">
        <x:v>45567</x:v>
      </x:c>
      <x:c r="E7792" s="9" t="n">
        <x:v>3220000</x:v>
      </x:c>
      <x:c r="F7792" s="9" t="n">
        <x:v>0</x:v>
      </x:c>
    </x:row>
    <x:row r="7793" ht="34" customHeight="1">
      <x:c r="A7793" s="4" t="str">
        <x:v>RS-03867-I4</x:v>
      </x:c>
      <x:c r="B7793" s="4" t="str">
        <x:v>RS-03867</x:v>
      </x:c>
      <x:c r="C7793" s="9" t="n">
        <x:v>4</x:v>
      </x:c>
      <x:c r="D7793" s="8" t="n">
        <x:v>45597</x:v>
      </x:c>
      <x:c r="E7793" s="9" t="n">
        <x:v>3220000</x:v>
      </x:c>
      <x:c r="F7793" s="9" t="n">
        <x:v>0</x:v>
      </x:c>
    </x:row>
    <x:row r="7794" ht="34" customHeight="1">
      <x:c r="A7794" s="4" t="str">
        <x:v>RS-03869-I1</x:v>
      </x:c>
      <x:c r="B7794" s="4" t="str">
        <x:v>RS-03869</x:v>
      </x:c>
      <x:c r="C7794" s="9" t="n">
        <x:v>1</x:v>
      </x:c>
      <x:c r="D7794" s="8" t="n">
        <x:v>45509</x:v>
      </x:c>
      <x:c r="E7794" s="9" t="n">
        <x:v>2185500</x:v>
      </x:c>
      <x:c r="F7794" s="9" t="n">
        <x:v>2185500</x:v>
      </x:c>
    </x:row>
    <x:row r="7795" ht="34" customHeight="1">
      <x:c r="A7795" s="4" t="str">
        <x:v>RS-03869-I2</x:v>
      </x:c>
      <x:c r="B7795" s="4" t="str">
        <x:v>RS-03869</x:v>
      </x:c>
      <x:c r="C7795" s="9" t="n">
        <x:v>2</x:v>
      </x:c>
      <x:c r="D7795" s="8" t="n">
        <x:v>45539</x:v>
      </x:c>
      <x:c r="E7795" s="9" t="n">
        <x:v>2185500</x:v>
      </x:c>
      <x:c r="F7795" s="9" t="n">
        <x:v>2185500</x:v>
      </x:c>
    </x:row>
    <x:row r="7796" ht="34" customHeight="1">
      <x:c r="A7796" s="4" t="str">
        <x:v>RS-03869-I3</x:v>
      </x:c>
      <x:c r="B7796" s="4" t="str">
        <x:v>RS-03869</x:v>
      </x:c>
      <x:c r="C7796" s="9" t="n">
        <x:v>3</x:v>
      </x:c>
      <x:c r="D7796" s="8" t="n">
        <x:v>45569</x:v>
      </x:c>
      <x:c r="E7796" s="9" t="n">
        <x:v>2185500</x:v>
      </x:c>
      <x:c r="F7796" s="9" t="n">
        <x:v>2185500</x:v>
      </x:c>
    </x:row>
    <x:row r="7797" ht="34" customHeight="1">
      <x:c r="A7797" s="4" t="str">
        <x:v>RS-03869-I4</x:v>
      </x:c>
      <x:c r="B7797" s="4" t="str">
        <x:v>RS-03869</x:v>
      </x:c>
      <x:c r="C7797" s="9" t="n">
        <x:v>4</x:v>
      </x:c>
      <x:c r="D7797" s="8" t="n">
        <x:v>45599</x:v>
      </x:c>
      <x:c r="E7797" s="9" t="n">
        <x:v>2185500</x:v>
      </x:c>
      <x:c r="F7797" s="9" t="n">
        <x:v>2185500</x:v>
      </x:c>
    </x:row>
    <x:row r="7798" ht="34" customHeight="1">
      <x:c r="A7798" s="4" t="str">
        <x:v>RS-03873-I1</x:v>
      </x:c>
      <x:c r="B7798" s="4" t="str">
        <x:v>RS-03873</x:v>
      </x:c>
      <x:c r="C7798" s="9" t="n">
        <x:v>1</x:v>
      </x:c>
      <x:c r="D7798" s="8" t="n">
        <x:v>45513</x:v>
      </x:c>
      <x:c r="E7798" s="9" t="n">
        <x:v>4747000</x:v>
      </x:c>
      <x:c r="F7798" s="9" t="n">
        <x:v>1898800</x:v>
      </x:c>
    </x:row>
    <x:row r="7799" ht="34" customHeight="1">
      <x:c r="A7799" s="4" t="str">
        <x:v>RS-03873-I2</x:v>
      </x:c>
      <x:c r="B7799" s="4" t="str">
        <x:v>RS-03873</x:v>
      </x:c>
      <x:c r="C7799" s="9" t="n">
        <x:v>2</x:v>
      </x:c>
      <x:c r="D7799" s="8" t="n">
        <x:v>45543</x:v>
      </x:c>
      <x:c r="E7799" s="9" t="n">
        <x:v>4747000</x:v>
      </x:c>
      <x:c r="F7799" s="9" t="n">
        <x:v>0</x:v>
      </x:c>
    </x:row>
    <x:row r="7800" ht="34" customHeight="1">
      <x:c r="A7800" s="4" t="str">
        <x:v>RS-03873-I3</x:v>
      </x:c>
      <x:c r="B7800" s="4" t="str">
        <x:v>RS-03873</x:v>
      </x:c>
      <x:c r="C7800" s="9" t="n">
        <x:v>3</x:v>
      </x:c>
      <x:c r="D7800" s="8" t="n">
        <x:v>45573</x:v>
      </x:c>
      <x:c r="E7800" s="9" t="n">
        <x:v>4747000</x:v>
      </x:c>
      <x:c r="F7800" s="9" t="n">
        <x:v>0</x:v>
      </x:c>
    </x:row>
    <x:row r="7801" ht="34" customHeight="1">
      <x:c r="A7801" s="4" t="str">
        <x:v>RS-03873-I4</x:v>
      </x:c>
      <x:c r="B7801" s="4" t="str">
        <x:v>RS-03873</x:v>
      </x:c>
      <x:c r="C7801" s="9" t="n">
        <x:v>4</x:v>
      </x:c>
      <x:c r="D7801" s="8" t="n">
        <x:v>45603</x:v>
      </x:c>
      <x:c r="E7801" s="9" t="n">
        <x:v>4747000</x:v>
      </x:c>
      <x:c r="F7801" s="9" t="n">
        <x:v>0</x:v>
      </x:c>
    </x:row>
    <x:row r="7802" ht="34" customHeight="1">
      <x:c r="A7802" s="4" t="str">
        <x:v>RS-03877-I1</x:v>
      </x:c>
      <x:c r="B7802" s="4" t="str">
        <x:v>RS-03877</x:v>
      </x:c>
      <x:c r="C7802" s="9" t="n">
        <x:v>1</x:v>
      </x:c>
      <x:c r="D7802" s="8" t="n">
        <x:v>45517</x:v>
      </x:c>
      <x:c r="E7802" s="9" t="n">
        <x:v>2760000</x:v>
      </x:c>
      <x:c r="F7802" s="9" t="n">
        <x:v>1104000</x:v>
      </x:c>
    </x:row>
    <x:row r="7803" ht="34" customHeight="1">
      <x:c r="A7803" s="4" t="str">
        <x:v>RS-03877-I2</x:v>
      </x:c>
      <x:c r="B7803" s="4" t="str">
        <x:v>RS-03877</x:v>
      </x:c>
      <x:c r="C7803" s="9" t="n">
        <x:v>2</x:v>
      </x:c>
      <x:c r="D7803" s="8" t="n">
        <x:v>45547</x:v>
      </x:c>
      <x:c r="E7803" s="9" t="n">
        <x:v>2760000</x:v>
      </x:c>
      <x:c r="F7803" s="9" t="n">
        <x:v>0</x:v>
      </x:c>
    </x:row>
    <x:row r="7804" ht="34" customHeight="1">
      <x:c r="A7804" s="4" t="str">
        <x:v>RS-03877-I3</x:v>
      </x:c>
      <x:c r="B7804" s="4" t="str">
        <x:v>RS-03877</x:v>
      </x:c>
      <x:c r="C7804" s="9" t="n">
        <x:v>3</x:v>
      </x:c>
      <x:c r="D7804" s="8" t="n">
        <x:v>45577</x:v>
      </x:c>
      <x:c r="E7804" s="9" t="n">
        <x:v>2760000</x:v>
      </x:c>
      <x:c r="F7804" s="9" t="n">
        <x:v>0</x:v>
      </x:c>
    </x:row>
    <x:row r="7805" ht="34" customHeight="1">
      <x:c r="A7805" s="4" t="str">
        <x:v>RS-03877-I4</x:v>
      </x:c>
      <x:c r="B7805" s="4" t="str">
        <x:v>RS-03877</x:v>
      </x:c>
      <x:c r="C7805" s="9" t="n">
        <x:v>4</x:v>
      </x:c>
      <x:c r="D7805" s="8" t="n">
        <x:v>45607</x:v>
      </x:c>
      <x:c r="E7805" s="9" t="n">
        <x:v>2760000</x:v>
      </x:c>
      <x:c r="F7805" s="9" t="n">
        <x:v>0</x:v>
      </x:c>
    </x:row>
    <x:row r="7806" ht="34" customHeight="1">
      <x:c r="A7806" s="4" t="str">
        <x:v>RS-03879-I1</x:v>
      </x:c>
      <x:c r="B7806" s="4" t="str">
        <x:v>RS-03879</x:v>
      </x:c>
      <x:c r="C7806" s="9" t="n">
        <x:v>1</x:v>
      </x:c>
      <x:c r="D7806" s="8" t="n">
        <x:v>45519</x:v>
      </x:c>
      <x:c r="E7806" s="9" t="n">
        <x:v>1888250</x:v>
      </x:c>
      <x:c r="F7806" s="9" t="n">
        <x:v>1888250</x:v>
      </x:c>
    </x:row>
    <x:row r="7807" ht="34" customHeight="1">
      <x:c r="A7807" s="4" t="str">
        <x:v>RS-03879-I2</x:v>
      </x:c>
      <x:c r="B7807" s="4" t="str">
        <x:v>RS-03879</x:v>
      </x:c>
      <x:c r="C7807" s="9" t="n">
        <x:v>2</x:v>
      </x:c>
      <x:c r="D7807" s="8" t="n">
        <x:v>45549</x:v>
      </x:c>
      <x:c r="E7807" s="9" t="n">
        <x:v>1888250</x:v>
      </x:c>
      <x:c r="F7807" s="9" t="n">
        <x:v>0</x:v>
      </x:c>
    </x:row>
    <x:row r="7808" ht="34" customHeight="1">
      <x:c r="A7808" s="4" t="str">
        <x:v>RS-03879-I3</x:v>
      </x:c>
      <x:c r="B7808" s="4" t="str">
        <x:v>RS-03879</x:v>
      </x:c>
      <x:c r="C7808" s="9" t="n">
        <x:v>3</x:v>
      </x:c>
      <x:c r="D7808" s="8" t="n">
        <x:v>45579</x:v>
      </x:c>
      <x:c r="E7808" s="9" t="n">
        <x:v>1888250</x:v>
      </x:c>
      <x:c r="F7808" s="9" t="n">
        <x:v>0</x:v>
      </x:c>
    </x:row>
    <x:row r="7809" ht="34" customHeight="1">
      <x:c r="A7809" s="4" t="str">
        <x:v>RS-03879-I4</x:v>
      </x:c>
      <x:c r="B7809" s="4" t="str">
        <x:v>RS-03879</x:v>
      </x:c>
      <x:c r="C7809" s="9" t="n">
        <x:v>4</x:v>
      </x:c>
      <x:c r="D7809" s="8" t="n">
        <x:v>45609</x:v>
      </x:c>
      <x:c r="E7809" s="9" t="n">
        <x:v>1888250</x:v>
      </x:c>
      <x:c r="F7809" s="9" t="n">
        <x:v>0</x:v>
      </x:c>
    </x:row>
    <x:row r="7810" ht="34" customHeight="1">
      <x:c r="A7810" s="4" t="str">
        <x:v>RS-03881-I1</x:v>
      </x:c>
      <x:c r="B7810" s="4" t="str">
        <x:v>RS-03881</x:v>
      </x:c>
      <x:c r="C7810" s="9" t="n">
        <x:v>1</x:v>
      </x:c>
      <x:c r="D7810" s="8" t="n">
        <x:v>45521</x:v>
      </x:c>
      <x:c r="E7810" s="9" t="n">
        <x:v>953250</x:v>
      </x:c>
      <x:c r="F7810" s="9" t="n">
        <x:v>381300</x:v>
      </x:c>
    </x:row>
    <x:row r="7811" ht="34" customHeight="1">
      <x:c r="A7811" s="4" t="str">
        <x:v>RS-03881-I2</x:v>
      </x:c>
      <x:c r="B7811" s="4" t="str">
        <x:v>RS-03881</x:v>
      </x:c>
      <x:c r="C7811" s="9" t="n">
        <x:v>2</x:v>
      </x:c>
      <x:c r="D7811" s="8" t="n">
        <x:v>45551</x:v>
      </x:c>
      <x:c r="E7811" s="9" t="n">
        <x:v>953250</x:v>
      </x:c>
      <x:c r="F7811" s="9" t="n">
        <x:v>0</x:v>
      </x:c>
    </x:row>
    <x:row r="7812" ht="34" customHeight="1">
      <x:c r="A7812" s="4" t="str">
        <x:v>RS-03881-I3</x:v>
      </x:c>
      <x:c r="B7812" s="4" t="str">
        <x:v>RS-03881</x:v>
      </x:c>
      <x:c r="C7812" s="9" t="n">
        <x:v>3</x:v>
      </x:c>
      <x:c r="D7812" s="8" t="n">
        <x:v>45581</x:v>
      </x:c>
      <x:c r="E7812" s="9" t="n">
        <x:v>953250</x:v>
      </x:c>
      <x:c r="F7812" s="9" t="n">
        <x:v>0</x:v>
      </x:c>
    </x:row>
    <x:row r="7813" ht="34" customHeight="1">
      <x:c r="A7813" s="4" t="str">
        <x:v>RS-03881-I4</x:v>
      </x:c>
      <x:c r="B7813" s="4" t="str">
        <x:v>RS-03881</x:v>
      </x:c>
      <x:c r="C7813" s="9" t="n">
        <x:v>4</x:v>
      </x:c>
      <x:c r="D7813" s="8" t="n">
        <x:v>45611</x:v>
      </x:c>
      <x:c r="E7813" s="9" t="n">
        <x:v>953250</x:v>
      </x:c>
      <x:c r="F7813" s="9" t="n">
        <x:v>0</x:v>
      </x:c>
    </x:row>
    <x:row r="7814" ht="34" customHeight="1">
      <x:c r="A7814" s="4" t="str">
        <x:v>RS-03882-I1</x:v>
      </x:c>
      <x:c r="B7814" s="4" t="str">
        <x:v>RS-03882</x:v>
      </x:c>
      <x:c r="C7814" s="9" t="n">
        <x:v>1</x:v>
      </x:c>
      <x:c r="D7814" s="8" t="n">
        <x:v>45522</x:v>
      </x:c>
      <x:c r="E7814" s="9" t="n">
        <x:v>808500</x:v>
      </x:c>
      <x:c r="F7814" s="9" t="n">
        <x:v>323400</x:v>
      </x:c>
    </x:row>
    <x:row r="7815" ht="34" customHeight="1">
      <x:c r="A7815" s="4" t="str">
        <x:v>RS-03882-I2</x:v>
      </x:c>
      <x:c r="B7815" s="4" t="str">
        <x:v>RS-03882</x:v>
      </x:c>
      <x:c r="C7815" s="9" t="n">
        <x:v>2</x:v>
      </x:c>
      <x:c r="D7815" s="8" t="n">
        <x:v>45552</x:v>
      </x:c>
      <x:c r="E7815" s="9" t="n">
        <x:v>808500</x:v>
      </x:c>
      <x:c r="F7815" s="9" t="n">
        <x:v>0</x:v>
      </x:c>
    </x:row>
    <x:row r="7816" ht="34" customHeight="1">
      <x:c r="A7816" s="4" t="str">
        <x:v>RS-03882-I3</x:v>
      </x:c>
      <x:c r="B7816" s="4" t="str">
        <x:v>RS-03882</x:v>
      </x:c>
      <x:c r="C7816" s="9" t="n">
        <x:v>3</x:v>
      </x:c>
      <x:c r="D7816" s="8" t="n">
        <x:v>45582</x:v>
      </x:c>
      <x:c r="E7816" s="9" t="n">
        <x:v>808500</x:v>
      </x:c>
      <x:c r="F7816" s="9" t="n">
        <x:v>0</x:v>
      </x:c>
    </x:row>
    <x:row r="7817" ht="34" customHeight="1">
      <x:c r="A7817" s="4" t="str">
        <x:v>RS-03882-I4</x:v>
      </x:c>
      <x:c r="B7817" s="4" t="str">
        <x:v>RS-03882</x:v>
      </x:c>
      <x:c r="C7817" s="9" t="n">
        <x:v>4</x:v>
      </x:c>
      <x:c r="D7817" s="8" t="n">
        <x:v>45612</x:v>
      </x:c>
      <x:c r="E7817" s="9" t="n">
        <x:v>808500</x:v>
      </x:c>
      <x:c r="F7817" s="9" t="n">
        <x:v>0</x:v>
      </x:c>
    </x:row>
    <x:row r="7818" ht="34" customHeight="1">
      <x:c r="A7818" s="4" t="str">
        <x:v>RS-03883-I1</x:v>
      </x:c>
      <x:c r="B7818" s="4" t="str">
        <x:v>RS-03883</x:v>
      </x:c>
      <x:c r="C7818" s="9" t="n">
        <x:v>1</x:v>
      </x:c>
      <x:c r="D7818" s="8" t="n">
        <x:v>45523</x:v>
      </x:c>
      <x:c r="E7818" s="9" t="n">
        <x:v>2981500</x:v>
      </x:c>
      <x:c r="F7818" s="9" t="n">
        <x:v>1192600</x:v>
      </x:c>
    </x:row>
    <x:row r="7819" ht="34" customHeight="1">
      <x:c r="A7819" s="4" t="str">
        <x:v>RS-03883-I2</x:v>
      </x:c>
      <x:c r="B7819" s="4" t="str">
        <x:v>RS-03883</x:v>
      </x:c>
      <x:c r="C7819" s="9" t="n">
        <x:v>2</x:v>
      </x:c>
      <x:c r="D7819" s="8" t="n">
        <x:v>45553</x:v>
      </x:c>
      <x:c r="E7819" s="9" t="n">
        <x:v>2981500</x:v>
      </x:c>
      <x:c r="F7819" s="9" t="n">
        <x:v>0</x:v>
      </x:c>
    </x:row>
    <x:row r="7820" ht="34" customHeight="1">
      <x:c r="A7820" s="4" t="str">
        <x:v>RS-03883-I3</x:v>
      </x:c>
      <x:c r="B7820" s="4" t="str">
        <x:v>RS-03883</x:v>
      </x:c>
      <x:c r="C7820" s="9" t="n">
        <x:v>3</x:v>
      </x:c>
      <x:c r="D7820" s="8" t="n">
        <x:v>45583</x:v>
      </x:c>
      <x:c r="E7820" s="9" t="n">
        <x:v>2981500</x:v>
      </x:c>
      <x:c r="F7820" s="9" t="n">
        <x:v>0</x:v>
      </x:c>
    </x:row>
    <x:row r="7821" ht="34" customHeight="1">
      <x:c r="A7821" s="4" t="str">
        <x:v>RS-03883-I4</x:v>
      </x:c>
      <x:c r="B7821" s="4" t="str">
        <x:v>RS-03883</x:v>
      </x:c>
      <x:c r="C7821" s="9" t="n">
        <x:v>4</x:v>
      </x:c>
      <x:c r="D7821" s="8" t="n">
        <x:v>45613</x:v>
      </x:c>
      <x:c r="E7821" s="9" t="n">
        <x:v>2981500</x:v>
      </x:c>
      <x:c r="F7821" s="9" t="n">
        <x:v>0</x:v>
      </x:c>
    </x:row>
    <x:row r="7822" ht="34" customHeight="1">
      <x:c r="A7822" s="4" t="str">
        <x:v>RS-03884-I1</x:v>
      </x:c>
      <x:c r="B7822" s="4" t="str">
        <x:v>RS-03884</x:v>
      </x:c>
      <x:c r="C7822" s="9" t="n">
        <x:v>1</x:v>
      </x:c>
      <x:c r="D7822" s="8" t="n">
        <x:v>45524</x:v>
      </x:c>
      <x:c r="E7822" s="9" t="n">
        <x:v>4826500</x:v>
      </x:c>
      <x:c r="F7822" s="9" t="n">
        <x:v>4826500</x:v>
      </x:c>
    </x:row>
    <x:row r="7823" ht="34" customHeight="1">
      <x:c r="A7823" s="4" t="str">
        <x:v>RS-03884-I2</x:v>
      </x:c>
      <x:c r="B7823" s="4" t="str">
        <x:v>RS-03884</x:v>
      </x:c>
      <x:c r="C7823" s="9" t="n">
        <x:v>2</x:v>
      </x:c>
      <x:c r="D7823" s="8" t="n">
        <x:v>45554</x:v>
      </x:c>
      <x:c r="E7823" s="9" t="n">
        <x:v>4826500</x:v>
      </x:c>
      <x:c r="F7823" s="9" t="n">
        <x:v>4826500</x:v>
      </x:c>
    </x:row>
    <x:row r="7824" ht="34" customHeight="1">
      <x:c r="A7824" s="4" t="str">
        <x:v>RS-03884-I3</x:v>
      </x:c>
      <x:c r="B7824" s="4" t="str">
        <x:v>RS-03884</x:v>
      </x:c>
      <x:c r="C7824" s="9" t="n">
        <x:v>3</x:v>
      </x:c>
      <x:c r="D7824" s="8" t="n">
        <x:v>45584</x:v>
      </x:c>
      <x:c r="E7824" s="9" t="n">
        <x:v>4826500</x:v>
      </x:c>
      <x:c r="F7824" s="9" t="n">
        <x:v>4826500</x:v>
      </x:c>
    </x:row>
    <x:row r="7825" ht="34" customHeight="1">
      <x:c r="A7825" s="4" t="str">
        <x:v>RS-03884-I4</x:v>
      </x:c>
      <x:c r="B7825" s="4" t="str">
        <x:v>RS-03884</x:v>
      </x:c>
      <x:c r="C7825" s="9" t="n">
        <x:v>4</x:v>
      </x:c>
      <x:c r="D7825" s="8" t="n">
        <x:v>45614</x:v>
      </x:c>
      <x:c r="E7825" s="9" t="n">
        <x:v>4826500</x:v>
      </x:c>
      <x:c r="F7825" s="9" t="n">
        <x:v>4826500</x:v>
      </x:c>
    </x:row>
    <x:row r="7826" ht="34" customHeight="1">
      <x:c r="A7826" s="4" t="str">
        <x:v>RS-03886-I1</x:v>
      </x:c>
      <x:c r="B7826" s="4" t="str">
        <x:v>RS-03886</x:v>
      </x:c>
      <x:c r="C7826" s="9" t="n">
        <x:v>1</x:v>
      </x:c>
      <x:c r="D7826" s="8" t="n">
        <x:v>45526</x:v>
      </x:c>
      <x:c r="E7826" s="9" t="n">
        <x:v>2328000</x:v>
      </x:c>
      <x:c r="F7826" s="9" t="n">
        <x:v>2328000</x:v>
      </x:c>
    </x:row>
    <x:row r="7827" ht="34" customHeight="1">
      <x:c r="A7827" s="4" t="str">
        <x:v>RS-03886-I2</x:v>
      </x:c>
      <x:c r="B7827" s="4" t="str">
        <x:v>RS-03886</x:v>
      </x:c>
      <x:c r="C7827" s="9" t="n">
        <x:v>2</x:v>
      </x:c>
      <x:c r="D7827" s="8" t="n">
        <x:v>45556</x:v>
      </x:c>
      <x:c r="E7827" s="9" t="n">
        <x:v>2328000</x:v>
      </x:c>
      <x:c r="F7827" s="9" t="n">
        <x:v>2328000</x:v>
      </x:c>
    </x:row>
    <x:row r="7828" ht="34" customHeight="1">
      <x:c r="A7828" s="4" t="str">
        <x:v>RS-03886-I3</x:v>
      </x:c>
      <x:c r="B7828" s="4" t="str">
        <x:v>RS-03886</x:v>
      </x:c>
      <x:c r="C7828" s="9" t="n">
        <x:v>3</x:v>
      </x:c>
      <x:c r="D7828" s="8" t="n">
        <x:v>45586</x:v>
      </x:c>
      <x:c r="E7828" s="9" t="n">
        <x:v>2328000</x:v>
      </x:c>
      <x:c r="F7828" s="9" t="n">
        <x:v>2328000</x:v>
      </x:c>
    </x:row>
    <x:row r="7829" ht="34" customHeight="1">
      <x:c r="A7829" s="4" t="str">
        <x:v>RS-03886-I4</x:v>
      </x:c>
      <x:c r="B7829" s="4" t="str">
        <x:v>RS-03886</x:v>
      </x:c>
      <x:c r="C7829" s="9" t="n">
        <x:v>4</x:v>
      </x:c>
      <x:c r="D7829" s="8" t="n">
        <x:v>45616</x:v>
      </x:c>
      <x:c r="E7829" s="9" t="n">
        <x:v>2328000</x:v>
      </x:c>
      <x:c r="F7829" s="9" t="n">
        <x:v>2328000</x:v>
      </x:c>
    </x:row>
    <x:row r="7830" ht="34" customHeight="1">
      <x:c r="A7830" s="4" t="str">
        <x:v>RS-03890-I1</x:v>
      </x:c>
      <x:c r="B7830" s="4" t="str">
        <x:v>RS-03890</x:v>
      </x:c>
      <x:c r="C7830" s="9" t="n">
        <x:v>1</x:v>
      </x:c>
      <x:c r="D7830" s="8" t="n">
        <x:v>45530</x:v>
      </x:c>
      <x:c r="E7830" s="9" t="n">
        <x:v>4940000</x:v>
      </x:c>
      <x:c r="F7830" s="9" t="n">
        <x:v>4940000</x:v>
      </x:c>
    </x:row>
    <x:row r="7831" ht="34" customHeight="1">
      <x:c r="A7831" s="4" t="str">
        <x:v>RS-03890-I2</x:v>
      </x:c>
      <x:c r="B7831" s="4" t="str">
        <x:v>RS-03890</x:v>
      </x:c>
      <x:c r="C7831" s="9" t="n">
        <x:v>2</x:v>
      </x:c>
      <x:c r="D7831" s="8" t="n">
        <x:v>45560</x:v>
      </x:c>
      <x:c r="E7831" s="9" t="n">
        <x:v>4940000</x:v>
      </x:c>
      <x:c r="F7831" s="9" t="n">
        <x:v>4940000</x:v>
      </x:c>
    </x:row>
    <x:row r="7832" ht="34" customHeight="1">
      <x:c r="A7832" s="4" t="str">
        <x:v>RS-03890-I3</x:v>
      </x:c>
      <x:c r="B7832" s="4" t="str">
        <x:v>RS-03890</x:v>
      </x:c>
      <x:c r="C7832" s="9" t="n">
        <x:v>3</x:v>
      </x:c>
      <x:c r="D7832" s="8" t="n">
        <x:v>45590</x:v>
      </x:c>
      <x:c r="E7832" s="9" t="n">
        <x:v>4940000</x:v>
      </x:c>
      <x:c r="F7832" s="9" t="n">
        <x:v>0</x:v>
      </x:c>
    </x:row>
    <x:row r="7833" ht="34" customHeight="1">
      <x:c r="A7833" s="4" t="str">
        <x:v>RS-03890-I4</x:v>
      </x:c>
      <x:c r="B7833" s="4" t="str">
        <x:v>RS-03890</x:v>
      </x:c>
      <x:c r="C7833" s="9" t="n">
        <x:v>4</x:v>
      </x:c>
      <x:c r="D7833" s="8" t="n">
        <x:v>45620</x:v>
      </x:c>
      <x:c r="E7833" s="9" t="n">
        <x:v>4940000</x:v>
      </x:c>
      <x:c r="F7833" s="9" t="n">
        <x:v>0</x:v>
      </x:c>
    </x:row>
    <x:row r="7834" ht="34" customHeight="1">
      <x:c r="A7834" s="4" t="str">
        <x:v>RS-03891-I1</x:v>
      </x:c>
      <x:c r="B7834" s="4" t="str">
        <x:v>RS-03891</x:v>
      </x:c>
      <x:c r="C7834" s="9" t="n">
        <x:v>1</x:v>
      </x:c>
      <x:c r="D7834" s="8" t="n">
        <x:v>45531</x:v>
      </x:c>
      <x:c r="E7834" s="9" t="n">
        <x:v>5856000</x:v>
      </x:c>
      <x:c r="F7834" s="9" t="n">
        <x:v>5856000</x:v>
      </x:c>
    </x:row>
    <x:row r="7835" ht="34" customHeight="1">
      <x:c r="A7835" s="4" t="str">
        <x:v>RS-03891-I2</x:v>
      </x:c>
      <x:c r="B7835" s="4" t="str">
        <x:v>RS-03891</x:v>
      </x:c>
      <x:c r="C7835" s="9" t="n">
        <x:v>2</x:v>
      </x:c>
      <x:c r="D7835" s="8" t="n">
        <x:v>45561</x:v>
      </x:c>
      <x:c r="E7835" s="9" t="n">
        <x:v>5856000</x:v>
      </x:c>
      <x:c r="F7835" s="9" t="n">
        <x:v>5856000</x:v>
      </x:c>
    </x:row>
    <x:row r="7836" ht="34" customHeight="1">
      <x:c r="A7836" s="4" t="str">
        <x:v>RS-03891-I3</x:v>
      </x:c>
      <x:c r="B7836" s="4" t="str">
        <x:v>RS-03891</x:v>
      </x:c>
      <x:c r="C7836" s="9" t="n">
        <x:v>3</x:v>
      </x:c>
      <x:c r="D7836" s="8" t="n">
        <x:v>45591</x:v>
      </x:c>
      <x:c r="E7836" s="9" t="n">
        <x:v>5856000</x:v>
      </x:c>
      <x:c r="F7836" s="9" t="n">
        <x:v>0</x:v>
      </x:c>
    </x:row>
    <x:row r="7837" ht="34" customHeight="1">
      <x:c r="A7837" s="4" t="str">
        <x:v>RS-03891-I4</x:v>
      </x:c>
      <x:c r="B7837" s="4" t="str">
        <x:v>RS-03891</x:v>
      </x:c>
      <x:c r="C7837" s="9" t="n">
        <x:v>4</x:v>
      </x:c>
      <x:c r="D7837" s="8" t="n">
        <x:v>45621</x:v>
      </x:c>
      <x:c r="E7837" s="9" t="n">
        <x:v>5856000</x:v>
      </x:c>
      <x:c r="F7837" s="9" t="n">
        <x:v>0</x:v>
      </x:c>
    </x:row>
    <x:row r="7838" ht="34" customHeight="1">
      <x:c r="A7838" s="4" t="str">
        <x:v>RS-03892-I1</x:v>
      </x:c>
      <x:c r="B7838" s="4" t="str">
        <x:v>RS-03892</x:v>
      </x:c>
      <x:c r="C7838" s="9" t="n">
        <x:v>1</x:v>
      </x:c>
      <x:c r="D7838" s="8" t="n">
        <x:v>45532</x:v>
      </x:c>
      <x:c r="E7838" s="9" t="n">
        <x:v>1448750</x:v>
      </x:c>
      <x:c r="F7838" s="9" t="n">
        <x:v>1448750</x:v>
      </x:c>
    </x:row>
    <x:row r="7839" ht="34" customHeight="1">
      <x:c r="A7839" s="4" t="str">
        <x:v>RS-03892-I2</x:v>
      </x:c>
      <x:c r="B7839" s="4" t="str">
        <x:v>RS-03892</x:v>
      </x:c>
      <x:c r="C7839" s="9" t="n">
        <x:v>2</x:v>
      </x:c>
      <x:c r="D7839" s="8" t="n">
        <x:v>45562</x:v>
      </x:c>
      <x:c r="E7839" s="9" t="n">
        <x:v>1448750</x:v>
      </x:c>
      <x:c r="F7839" s="9" t="n">
        <x:v>0</x:v>
      </x:c>
    </x:row>
    <x:row r="7840" ht="34" customHeight="1">
      <x:c r="A7840" s="4" t="str">
        <x:v>RS-03892-I3</x:v>
      </x:c>
      <x:c r="B7840" s="4" t="str">
        <x:v>RS-03892</x:v>
      </x:c>
      <x:c r="C7840" s="9" t="n">
        <x:v>3</x:v>
      </x:c>
      <x:c r="D7840" s="8" t="n">
        <x:v>45592</x:v>
      </x:c>
      <x:c r="E7840" s="9" t="n">
        <x:v>1448750</x:v>
      </x:c>
      <x:c r="F7840" s="9" t="n">
        <x:v>0</x:v>
      </x:c>
    </x:row>
    <x:row r="7841" ht="34" customHeight="1">
      <x:c r="A7841" s="4" t="str">
        <x:v>RS-03892-I4</x:v>
      </x:c>
      <x:c r="B7841" s="4" t="str">
        <x:v>RS-03892</x:v>
      </x:c>
      <x:c r="C7841" s="9" t="n">
        <x:v>4</x:v>
      </x:c>
      <x:c r="D7841" s="8" t="n">
        <x:v>45622</x:v>
      </x:c>
      <x:c r="E7841" s="9" t="n">
        <x:v>1448750</x:v>
      </x:c>
      <x:c r="F7841" s="9" t="n">
        <x:v>0</x:v>
      </x:c>
    </x:row>
    <x:row r="7842" ht="34" customHeight="1">
      <x:c r="A7842" s="4" t="str">
        <x:v>RS-03895-I1</x:v>
      </x:c>
      <x:c r="B7842" s="4" t="str">
        <x:v>RS-03895</x:v>
      </x:c>
      <x:c r="C7842" s="9" t="n">
        <x:v>1</x:v>
      </x:c>
      <x:c r="D7842" s="8" t="n">
        <x:v>45507</x:v>
      </x:c>
      <x:c r="E7842" s="9" t="n">
        <x:v>5592000</x:v>
      </x:c>
      <x:c r="F7842" s="9" t="n">
        <x:v>5592000</x:v>
      </x:c>
    </x:row>
    <x:row r="7843" ht="34" customHeight="1">
      <x:c r="A7843" s="4" t="str">
        <x:v>RS-03895-I2</x:v>
      </x:c>
      <x:c r="B7843" s="4" t="str">
        <x:v>RS-03895</x:v>
      </x:c>
      <x:c r="C7843" s="9" t="n">
        <x:v>2</x:v>
      </x:c>
      <x:c r="D7843" s="8" t="n">
        <x:v>45537</x:v>
      </x:c>
      <x:c r="E7843" s="9" t="n">
        <x:v>5592000</x:v>
      </x:c>
      <x:c r="F7843" s="9" t="n">
        <x:v>0</x:v>
      </x:c>
    </x:row>
    <x:row r="7844" ht="34" customHeight="1">
      <x:c r="A7844" s="4" t="str">
        <x:v>RS-03895-I3</x:v>
      </x:c>
      <x:c r="B7844" s="4" t="str">
        <x:v>RS-03895</x:v>
      </x:c>
      <x:c r="C7844" s="9" t="n">
        <x:v>3</x:v>
      </x:c>
      <x:c r="D7844" s="8" t="n">
        <x:v>45567</x:v>
      </x:c>
      <x:c r="E7844" s="9" t="n">
        <x:v>5592000</x:v>
      </x:c>
      <x:c r="F7844" s="9" t="n">
        <x:v>0</x:v>
      </x:c>
    </x:row>
    <x:row r="7845" ht="34" customHeight="1">
      <x:c r="A7845" s="4" t="str">
        <x:v>RS-03895-I4</x:v>
      </x:c>
      <x:c r="B7845" s="4" t="str">
        <x:v>RS-03895</x:v>
      </x:c>
      <x:c r="C7845" s="9" t="n">
        <x:v>4</x:v>
      </x:c>
      <x:c r="D7845" s="8" t="n">
        <x:v>45597</x:v>
      </x:c>
      <x:c r="E7845" s="9" t="n">
        <x:v>5592000</x:v>
      </x:c>
      <x:c r="F7845" s="9" t="n">
        <x:v>0</x:v>
      </x:c>
    </x:row>
    <x:row r="7846" ht="34" customHeight="1">
      <x:c r="A7846" s="4" t="str">
        <x:v>RS-03896-I1</x:v>
      </x:c>
      <x:c r="B7846" s="4" t="str">
        <x:v>RS-03896</x:v>
      </x:c>
      <x:c r="C7846" s="9" t="n">
        <x:v>1</x:v>
      </x:c>
      <x:c r="D7846" s="8" t="n">
        <x:v>45508</x:v>
      </x:c>
      <x:c r="E7846" s="9" t="n">
        <x:v>4578750</x:v>
      </x:c>
      <x:c r="F7846" s="9" t="n">
        <x:v>4578750</x:v>
      </x:c>
    </x:row>
    <x:row r="7847" ht="34" customHeight="1">
      <x:c r="A7847" s="4" t="str">
        <x:v>RS-03896-I2</x:v>
      </x:c>
      <x:c r="B7847" s="4" t="str">
        <x:v>RS-03896</x:v>
      </x:c>
      <x:c r="C7847" s="9" t="n">
        <x:v>2</x:v>
      </x:c>
      <x:c r="D7847" s="8" t="n">
        <x:v>45538</x:v>
      </x:c>
      <x:c r="E7847" s="9" t="n">
        <x:v>4578750</x:v>
      </x:c>
      <x:c r="F7847" s="9" t="n">
        <x:v>0</x:v>
      </x:c>
    </x:row>
    <x:row r="7848" ht="34" customHeight="1">
      <x:c r="A7848" s="4" t="str">
        <x:v>RS-03896-I3</x:v>
      </x:c>
      <x:c r="B7848" s="4" t="str">
        <x:v>RS-03896</x:v>
      </x:c>
      <x:c r="C7848" s="9" t="n">
        <x:v>3</x:v>
      </x:c>
      <x:c r="D7848" s="8" t="n">
        <x:v>45568</x:v>
      </x:c>
      <x:c r="E7848" s="9" t="n">
        <x:v>4578750</x:v>
      </x:c>
      <x:c r="F7848" s="9" t="n">
        <x:v>0</x:v>
      </x:c>
    </x:row>
    <x:row r="7849" ht="34" customHeight="1">
      <x:c r="A7849" s="4" t="str">
        <x:v>RS-03896-I4</x:v>
      </x:c>
      <x:c r="B7849" s="4" t="str">
        <x:v>RS-03896</x:v>
      </x:c>
      <x:c r="C7849" s="9" t="n">
        <x:v>4</x:v>
      </x:c>
      <x:c r="D7849" s="8" t="n">
        <x:v>45598</x:v>
      </x:c>
      <x:c r="E7849" s="9" t="n">
        <x:v>4578750</x:v>
      </x:c>
      <x:c r="F7849" s="9" t="n">
        <x:v>0</x:v>
      </x:c>
    </x:row>
    <x:row r="7850" ht="34" customHeight="1">
      <x:c r="A7850" s="4" t="str">
        <x:v>RS-03897-I1</x:v>
      </x:c>
      <x:c r="B7850" s="4" t="str">
        <x:v>RS-03897</x:v>
      </x:c>
      <x:c r="C7850" s="9" t="n">
        <x:v>1</x:v>
      </x:c>
      <x:c r="D7850" s="8" t="n">
        <x:v>45509</x:v>
      </x:c>
      <x:c r="E7850" s="9" t="n">
        <x:v>4037500</x:v>
      </x:c>
      <x:c r="F7850" s="9" t="n">
        <x:v>4037500</x:v>
      </x:c>
    </x:row>
    <x:row r="7851" ht="34" customHeight="1">
      <x:c r="A7851" s="4" t="str">
        <x:v>RS-03897-I2</x:v>
      </x:c>
      <x:c r="B7851" s="4" t="str">
        <x:v>RS-03897</x:v>
      </x:c>
      <x:c r="C7851" s="9" t="n">
        <x:v>2</x:v>
      </x:c>
      <x:c r="D7851" s="8" t="n">
        <x:v>45539</x:v>
      </x:c>
      <x:c r="E7851" s="9" t="n">
        <x:v>4037500</x:v>
      </x:c>
      <x:c r="F7851" s="9" t="n">
        <x:v>4037500</x:v>
      </x:c>
    </x:row>
    <x:row r="7852" ht="34" customHeight="1">
      <x:c r="A7852" s="4" t="str">
        <x:v>RS-03897-I3</x:v>
      </x:c>
      <x:c r="B7852" s="4" t="str">
        <x:v>RS-03897</x:v>
      </x:c>
      <x:c r="C7852" s="9" t="n">
        <x:v>3</x:v>
      </x:c>
      <x:c r="D7852" s="8" t="n">
        <x:v>45569</x:v>
      </x:c>
      <x:c r="E7852" s="9" t="n">
        <x:v>4037500</x:v>
      </x:c>
      <x:c r="F7852" s="9" t="n">
        <x:v>4037500</x:v>
      </x:c>
    </x:row>
    <x:row r="7853" ht="34" customHeight="1">
      <x:c r="A7853" s="4" t="str">
        <x:v>RS-03897-I4</x:v>
      </x:c>
      <x:c r="B7853" s="4" t="str">
        <x:v>RS-03897</x:v>
      </x:c>
      <x:c r="C7853" s="9" t="n">
        <x:v>4</x:v>
      </x:c>
      <x:c r="D7853" s="8" t="n">
        <x:v>45599</x:v>
      </x:c>
      <x:c r="E7853" s="9" t="n">
        <x:v>4037500</x:v>
      </x:c>
      <x:c r="F7853" s="9" t="n">
        <x:v>4037500</x:v>
      </x:c>
    </x:row>
    <x:row r="7854" ht="34" customHeight="1">
      <x:c r="A7854" s="4" t="str">
        <x:v>RS-03898-I1</x:v>
      </x:c>
      <x:c r="B7854" s="4" t="str">
        <x:v>RS-03898</x:v>
      </x:c>
      <x:c r="C7854" s="9" t="n">
        <x:v>1</x:v>
      </x:c>
      <x:c r="D7854" s="8" t="n">
        <x:v>45510</x:v>
      </x:c>
      <x:c r="E7854" s="9" t="n">
        <x:v>3800000</x:v>
      </x:c>
      <x:c r="F7854" s="9" t="n">
        <x:v>3800000</x:v>
      </x:c>
    </x:row>
    <x:row r="7855" ht="34" customHeight="1">
      <x:c r="A7855" s="4" t="str">
        <x:v>RS-03898-I2</x:v>
      </x:c>
      <x:c r="B7855" s="4" t="str">
        <x:v>RS-03898</x:v>
      </x:c>
      <x:c r="C7855" s="9" t="n">
        <x:v>2</x:v>
      </x:c>
      <x:c r="D7855" s="8" t="n">
        <x:v>45540</x:v>
      </x:c>
      <x:c r="E7855" s="9" t="n">
        <x:v>3800000</x:v>
      </x:c>
      <x:c r="F7855" s="9" t="n">
        <x:v>0</x:v>
      </x:c>
    </x:row>
    <x:row r="7856" ht="34" customHeight="1">
      <x:c r="A7856" s="4" t="str">
        <x:v>RS-03898-I3</x:v>
      </x:c>
      <x:c r="B7856" s="4" t="str">
        <x:v>RS-03898</x:v>
      </x:c>
      <x:c r="C7856" s="9" t="n">
        <x:v>3</x:v>
      </x:c>
      <x:c r="D7856" s="8" t="n">
        <x:v>45570</x:v>
      </x:c>
      <x:c r="E7856" s="9" t="n">
        <x:v>3800000</x:v>
      </x:c>
      <x:c r="F7856" s="9" t="n">
        <x:v>0</x:v>
      </x:c>
    </x:row>
    <x:row r="7857" ht="34" customHeight="1">
      <x:c r="A7857" s="4" t="str">
        <x:v>RS-03898-I4</x:v>
      </x:c>
      <x:c r="B7857" s="4" t="str">
        <x:v>RS-03898</x:v>
      </x:c>
      <x:c r="C7857" s="9" t="n">
        <x:v>4</x:v>
      </x:c>
      <x:c r="D7857" s="8" t="n">
        <x:v>45600</x:v>
      </x:c>
      <x:c r="E7857" s="9" t="n">
        <x:v>3800000</x:v>
      </x:c>
      <x:c r="F7857" s="9" t="n">
        <x:v>0</x:v>
      </x:c>
    </x:row>
    <x:row r="7858" ht="34" customHeight="1">
      <x:c r="A7858" s="4" t="str">
        <x:v>RS-03901-I1</x:v>
      </x:c>
      <x:c r="B7858" s="4" t="str">
        <x:v>RS-03901</x:v>
      </x:c>
      <x:c r="C7858" s="9" t="n">
        <x:v>1</x:v>
      </x:c>
      <x:c r="D7858" s="8" t="n">
        <x:v>45513</x:v>
      </x:c>
      <x:c r="E7858" s="9" t="n">
        <x:v>1406500</x:v>
      </x:c>
      <x:c r="F7858" s="9" t="n">
        <x:v>1406500</x:v>
      </x:c>
    </x:row>
    <x:row r="7859" ht="34" customHeight="1">
      <x:c r="A7859" s="4" t="str">
        <x:v>RS-03901-I2</x:v>
      </x:c>
      <x:c r="B7859" s="4" t="str">
        <x:v>RS-03901</x:v>
      </x:c>
      <x:c r="C7859" s="9" t="n">
        <x:v>2</x:v>
      </x:c>
      <x:c r="D7859" s="8" t="n">
        <x:v>45543</x:v>
      </x:c>
      <x:c r="E7859" s="9" t="n">
        <x:v>1406500</x:v>
      </x:c>
      <x:c r="F7859" s="9" t="n">
        <x:v>0</x:v>
      </x:c>
    </x:row>
    <x:row r="7860" ht="34" customHeight="1">
      <x:c r="A7860" s="4" t="str">
        <x:v>RS-03901-I3</x:v>
      </x:c>
      <x:c r="B7860" s="4" t="str">
        <x:v>RS-03901</x:v>
      </x:c>
      <x:c r="C7860" s="9" t="n">
        <x:v>3</x:v>
      </x:c>
      <x:c r="D7860" s="8" t="n">
        <x:v>45573</x:v>
      </x:c>
      <x:c r="E7860" s="9" t="n">
        <x:v>1406500</x:v>
      </x:c>
      <x:c r="F7860" s="9" t="n">
        <x:v>0</x:v>
      </x:c>
    </x:row>
    <x:row r="7861" ht="34" customHeight="1">
      <x:c r="A7861" s="4" t="str">
        <x:v>RS-03901-I4</x:v>
      </x:c>
      <x:c r="B7861" s="4" t="str">
        <x:v>RS-03901</x:v>
      </x:c>
      <x:c r="C7861" s="9" t="n">
        <x:v>4</x:v>
      </x:c>
      <x:c r="D7861" s="8" t="n">
        <x:v>45603</x:v>
      </x:c>
      <x:c r="E7861" s="9" t="n">
        <x:v>1406500</x:v>
      </x:c>
      <x:c r="F7861" s="9" t="n">
        <x:v>0</x:v>
      </x:c>
    </x:row>
    <x:row r="7862" ht="34" customHeight="1">
      <x:c r="A7862" s="4" t="str">
        <x:v>RS-03902-I1</x:v>
      </x:c>
      <x:c r="B7862" s="4" t="str">
        <x:v>RS-03902</x:v>
      </x:c>
      <x:c r="C7862" s="9" t="n">
        <x:v>1</x:v>
      </x:c>
      <x:c r="D7862" s="8" t="n">
        <x:v>45514</x:v>
      </x:c>
      <x:c r="E7862" s="9" t="n">
        <x:v>4346250</x:v>
      </x:c>
      <x:c r="F7862" s="9" t="n">
        <x:v>1738500</x:v>
      </x:c>
    </x:row>
    <x:row r="7863" ht="34" customHeight="1">
      <x:c r="A7863" s="4" t="str">
        <x:v>RS-03902-I2</x:v>
      </x:c>
      <x:c r="B7863" s="4" t="str">
        <x:v>RS-03902</x:v>
      </x:c>
      <x:c r="C7863" s="9" t="n">
        <x:v>2</x:v>
      </x:c>
      <x:c r="D7863" s="8" t="n">
        <x:v>45544</x:v>
      </x:c>
      <x:c r="E7863" s="9" t="n">
        <x:v>4346250</x:v>
      </x:c>
      <x:c r="F7863" s="9" t="n">
        <x:v>0</x:v>
      </x:c>
    </x:row>
    <x:row r="7864" ht="34" customHeight="1">
      <x:c r="A7864" s="4" t="str">
        <x:v>RS-03902-I3</x:v>
      </x:c>
      <x:c r="B7864" s="4" t="str">
        <x:v>RS-03902</x:v>
      </x:c>
      <x:c r="C7864" s="9" t="n">
        <x:v>3</x:v>
      </x:c>
      <x:c r="D7864" s="8" t="n">
        <x:v>45574</x:v>
      </x:c>
      <x:c r="E7864" s="9" t="n">
        <x:v>4346250</x:v>
      </x:c>
      <x:c r="F7864" s="9" t="n">
        <x:v>0</x:v>
      </x:c>
    </x:row>
    <x:row r="7865" ht="34" customHeight="1">
      <x:c r="A7865" s="4" t="str">
        <x:v>RS-03902-I4</x:v>
      </x:c>
      <x:c r="B7865" s="4" t="str">
        <x:v>RS-03902</x:v>
      </x:c>
      <x:c r="C7865" s="9" t="n">
        <x:v>4</x:v>
      </x:c>
      <x:c r="D7865" s="8" t="n">
        <x:v>45604</x:v>
      </x:c>
      <x:c r="E7865" s="9" t="n">
        <x:v>4346250</x:v>
      </x:c>
      <x:c r="F7865" s="9" t="n">
        <x:v>0</x:v>
      </x:c>
    </x:row>
    <x:row r="7866" ht="34" customHeight="1">
      <x:c r="A7866" s="4" t="str">
        <x:v>RS-03903-I1</x:v>
      </x:c>
      <x:c r="B7866" s="4" t="str">
        <x:v>RS-03903</x:v>
      </x:c>
      <x:c r="C7866" s="9" t="n">
        <x:v>1</x:v>
      </x:c>
      <x:c r="D7866" s="8" t="n">
        <x:v>45515</x:v>
      </x:c>
      <x:c r="E7866" s="9" t="n">
        <x:v>3249500</x:v>
      </x:c>
      <x:c r="F7866" s="9" t="n">
        <x:v>1299800</x:v>
      </x:c>
    </x:row>
    <x:row r="7867" ht="34" customHeight="1">
      <x:c r="A7867" s="4" t="str">
        <x:v>RS-03903-I2</x:v>
      </x:c>
      <x:c r="B7867" s="4" t="str">
        <x:v>RS-03903</x:v>
      </x:c>
      <x:c r="C7867" s="9" t="n">
        <x:v>2</x:v>
      </x:c>
      <x:c r="D7867" s="8" t="n">
        <x:v>45545</x:v>
      </x:c>
      <x:c r="E7867" s="9" t="n">
        <x:v>3249500</x:v>
      </x:c>
      <x:c r="F7867" s="9" t="n">
        <x:v>0</x:v>
      </x:c>
    </x:row>
    <x:row r="7868" ht="34" customHeight="1">
      <x:c r="A7868" s="4" t="str">
        <x:v>RS-03903-I3</x:v>
      </x:c>
      <x:c r="B7868" s="4" t="str">
        <x:v>RS-03903</x:v>
      </x:c>
      <x:c r="C7868" s="9" t="n">
        <x:v>3</x:v>
      </x:c>
      <x:c r="D7868" s="8" t="n">
        <x:v>45575</x:v>
      </x:c>
      <x:c r="E7868" s="9" t="n">
        <x:v>3249500</x:v>
      </x:c>
      <x:c r="F7868" s="9" t="n">
        <x:v>0</x:v>
      </x:c>
    </x:row>
    <x:row r="7869" ht="34" customHeight="1">
      <x:c r="A7869" s="4" t="str">
        <x:v>RS-03903-I4</x:v>
      </x:c>
      <x:c r="B7869" s="4" t="str">
        <x:v>RS-03903</x:v>
      </x:c>
      <x:c r="C7869" s="9" t="n">
        <x:v>4</x:v>
      </x:c>
      <x:c r="D7869" s="8" t="n">
        <x:v>45605</x:v>
      </x:c>
      <x:c r="E7869" s="9" t="n">
        <x:v>3249500</x:v>
      </x:c>
      <x:c r="F7869" s="9" t="n">
        <x:v>0</x:v>
      </x:c>
    </x:row>
    <x:row r="7870" ht="34" customHeight="1">
      <x:c r="A7870" s="4" t="str">
        <x:v>RS-03904-I1</x:v>
      </x:c>
      <x:c r="B7870" s="4" t="str">
        <x:v>RS-03904</x:v>
      </x:c>
      <x:c r="C7870" s="9" t="n">
        <x:v>1</x:v>
      </x:c>
      <x:c r="D7870" s="8" t="n">
        <x:v>45516</x:v>
      </x:c>
      <x:c r="E7870" s="9" t="n">
        <x:v>1923750</x:v>
      </x:c>
      <x:c r="F7870" s="9" t="n">
        <x:v>1923750</x:v>
      </x:c>
    </x:row>
    <x:row r="7871" ht="34" customHeight="1">
      <x:c r="A7871" s="4" t="str">
        <x:v>RS-03904-I2</x:v>
      </x:c>
      <x:c r="B7871" s="4" t="str">
        <x:v>RS-03904</x:v>
      </x:c>
      <x:c r="C7871" s="9" t="n">
        <x:v>2</x:v>
      </x:c>
      <x:c r="D7871" s="8" t="n">
        <x:v>45546</x:v>
      </x:c>
      <x:c r="E7871" s="9" t="n">
        <x:v>1923750</x:v>
      </x:c>
      <x:c r="F7871" s="9" t="n">
        <x:v>0</x:v>
      </x:c>
    </x:row>
    <x:row r="7872" ht="34" customHeight="1">
      <x:c r="A7872" s="4" t="str">
        <x:v>RS-03904-I3</x:v>
      </x:c>
      <x:c r="B7872" s="4" t="str">
        <x:v>RS-03904</x:v>
      </x:c>
      <x:c r="C7872" s="9" t="n">
        <x:v>3</x:v>
      </x:c>
      <x:c r="D7872" s="8" t="n">
        <x:v>45576</x:v>
      </x:c>
      <x:c r="E7872" s="9" t="n">
        <x:v>1923750</x:v>
      </x:c>
      <x:c r="F7872" s="9" t="n">
        <x:v>0</x:v>
      </x:c>
    </x:row>
    <x:row r="7873" ht="34" customHeight="1">
      <x:c r="A7873" s="4" t="str">
        <x:v>RS-03904-I4</x:v>
      </x:c>
      <x:c r="B7873" s="4" t="str">
        <x:v>RS-03904</x:v>
      </x:c>
      <x:c r="C7873" s="9" t="n">
        <x:v>4</x:v>
      </x:c>
      <x:c r="D7873" s="8" t="n">
        <x:v>45606</x:v>
      </x:c>
      <x:c r="E7873" s="9" t="n">
        <x:v>1923750</x:v>
      </x:c>
      <x:c r="F7873" s="9" t="n">
        <x:v>0</x:v>
      </x:c>
    </x:row>
    <x:row r="7874" ht="34" customHeight="1">
      <x:c r="A7874" s="4" t="str">
        <x:v>RS-03905-I1</x:v>
      </x:c>
      <x:c r="B7874" s="4" t="str">
        <x:v>RS-03905</x:v>
      </x:c>
      <x:c r="C7874" s="9" t="n">
        <x:v>1</x:v>
      </x:c>
      <x:c r="D7874" s="8" t="n">
        <x:v>45517</x:v>
      </x:c>
      <x:c r="E7874" s="9" t="n">
        <x:v>5865750</x:v>
      </x:c>
      <x:c r="F7874" s="9" t="n">
        <x:v>5865750</x:v>
      </x:c>
    </x:row>
    <x:row r="7875" ht="34" customHeight="1">
      <x:c r="A7875" s="4" t="str">
        <x:v>RS-03905-I2</x:v>
      </x:c>
      <x:c r="B7875" s="4" t="str">
        <x:v>RS-03905</x:v>
      </x:c>
      <x:c r="C7875" s="9" t="n">
        <x:v>2</x:v>
      </x:c>
      <x:c r="D7875" s="8" t="n">
        <x:v>45547</x:v>
      </x:c>
      <x:c r="E7875" s="9" t="n">
        <x:v>5865750</x:v>
      </x:c>
      <x:c r="F7875" s="9" t="n">
        <x:v>0</x:v>
      </x:c>
    </x:row>
    <x:row r="7876" ht="34" customHeight="1">
      <x:c r="A7876" s="4" t="str">
        <x:v>RS-03905-I3</x:v>
      </x:c>
      <x:c r="B7876" s="4" t="str">
        <x:v>RS-03905</x:v>
      </x:c>
      <x:c r="C7876" s="9" t="n">
        <x:v>3</x:v>
      </x:c>
      <x:c r="D7876" s="8" t="n">
        <x:v>45577</x:v>
      </x:c>
      <x:c r="E7876" s="9" t="n">
        <x:v>5865750</x:v>
      </x:c>
      <x:c r="F7876" s="9" t="n">
        <x:v>0</x:v>
      </x:c>
    </x:row>
    <x:row r="7877" ht="34" customHeight="1">
      <x:c r="A7877" s="4" t="str">
        <x:v>RS-03905-I4</x:v>
      </x:c>
      <x:c r="B7877" s="4" t="str">
        <x:v>RS-03905</x:v>
      </x:c>
      <x:c r="C7877" s="9" t="n">
        <x:v>4</x:v>
      </x:c>
      <x:c r="D7877" s="8" t="n">
        <x:v>45607</x:v>
      </x:c>
      <x:c r="E7877" s="9" t="n">
        <x:v>5865750</x:v>
      </x:c>
      <x:c r="F7877" s="9" t="n">
        <x:v>0</x:v>
      </x:c>
    </x:row>
    <x:row r="7878" ht="34" customHeight="1">
      <x:c r="A7878" s="4" t="str">
        <x:v>RS-03906-I1</x:v>
      </x:c>
      <x:c r="B7878" s="4" t="str">
        <x:v>RS-03906</x:v>
      </x:c>
      <x:c r="C7878" s="9" t="n">
        <x:v>1</x:v>
      </x:c>
      <x:c r="D7878" s="8" t="n">
        <x:v>45518</x:v>
      </x:c>
      <x:c r="E7878" s="9" t="n">
        <x:v>5225000</x:v>
      </x:c>
      <x:c r="F7878" s="9" t="n">
        <x:v>2090000</x:v>
      </x:c>
    </x:row>
    <x:row r="7879" ht="34" customHeight="1">
      <x:c r="A7879" s="4" t="str">
        <x:v>RS-03906-I2</x:v>
      </x:c>
      <x:c r="B7879" s="4" t="str">
        <x:v>RS-03906</x:v>
      </x:c>
      <x:c r="C7879" s="9" t="n">
        <x:v>2</x:v>
      </x:c>
      <x:c r="D7879" s="8" t="n">
        <x:v>45548</x:v>
      </x:c>
      <x:c r="E7879" s="9" t="n">
        <x:v>5225000</x:v>
      </x:c>
      <x:c r="F7879" s="9" t="n">
        <x:v>0</x:v>
      </x:c>
    </x:row>
    <x:row r="7880" ht="34" customHeight="1">
      <x:c r="A7880" s="4" t="str">
        <x:v>RS-03906-I3</x:v>
      </x:c>
      <x:c r="B7880" s="4" t="str">
        <x:v>RS-03906</x:v>
      </x:c>
      <x:c r="C7880" s="9" t="n">
        <x:v>3</x:v>
      </x:c>
      <x:c r="D7880" s="8" t="n">
        <x:v>45578</x:v>
      </x:c>
      <x:c r="E7880" s="9" t="n">
        <x:v>5225000</x:v>
      </x:c>
      <x:c r="F7880" s="9" t="n">
        <x:v>0</x:v>
      </x:c>
    </x:row>
    <x:row r="7881" ht="34" customHeight="1">
      <x:c r="A7881" s="4" t="str">
        <x:v>RS-03906-I4</x:v>
      </x:c>
      <x:c r="B7881" s="4" t="str">
        <x:v>RS-03906</x:v>
      </x:c>
      <x:c r="C7881" s="9" t="n">
        <x:v>4</x:v>
      </x:c>
      <x:c r="D7881" s="8" t="n">
        <x:v>45608</x:v>
      </x:c>
      <x:c r="E7881" s="9" t="n">
        <x:v>5225000</x:v>
      </x:c>
      <x:c r="F7881" s="9" t="n">
        <x:v>0</x:v>
      </x:c>
    </x:row>
    <x:row r="7882" ht="34" customHeight="1">
      <x:c r="A7882" s="4" t="str">
        <x:v>RS-03909-I1</x:v>
      </x:c>
      <x:c r="B7882" s="4" t="str">
        <x:v>RS-03909</x:v>
      </x:c>
      <x:c r="C7882" s="9" t="n">
        <x:v>1</x:v>
      </x:c>
      <x:c r="D7882" s="8" t="n">
        <x:v>45521</x:v>
      </x:c>
      <x:c r="E7882" s="9" t="n">
        <x:v>5251000</x:v>
      </x:c>
      <x:c r="F7882" s="9" t="n">
        <x:v>5251000</x:v>
      </x:c>
    </x:row>
    <x:row r="7883" ht="34" customHeight="1">
      <x:c r="A7883" s="4" t="str">
        <x:v>RS-03909-I2</x:v>
      </x:c>
      <x:c r="B7883" s="4" t="str">
        <x:v>RS-03909</x:v>
      </x:c>
      <x:c r="C7883" s="9" t="n">
        <x:v>2</x:v>
      </x:c>
      <x:c r="D7883" s="8" t="n">
        <x:v>45551</x:v>
      </x:c>
      <x:c r="E7883" s="9" t="n">
        <x:v>5251000</x:v>
      </x:c>
      <x:c r="F7883" s="9" t="n">
        <x:v>5251000</x:v>
      </x:c>
    </x:row>
    <x:row r="7884" ht="34" customHeight="1">
      <x:c r="A7884" s="4" t="str">
        <x:v>RS-03909-I3</x:v>
      </x:c>
      <x:c r="B7884" s="4" t="str">
        <x:v>RS-03909</x:v>
      </x:c>
      <x:c r="C7884" s="9" t="n">
        <x:v>3</x:v>
      </x:c>
      <x:c r="D7884" s="8" t="n">
        <x:v>45581</x:v>
      </x:c>
      <x:c r="E7884" s="9" t="n">
        <x:v>5251000</x:v>
      </x:c>
      <x:c r="F7884" s="9" t="n">
        <x:v>0</x:v>
      </x:c>
    </x:row>
    <x:row r="7885" ht="34" customHeight="1">
      <x:c r="A7885" s="4" t="str">
        <x:v>RS-03909-I4</x:v>
      </x:c>
      <x:c r="B7885" s="4" t="str">
        <x:v>RS-03909</x:v>
      </x:c>
      <x:c r="C7885" s="9" t="n">
        <x:v>4</x:v>
      </x:c>
      <x:c r="D7885" s="8" t="n">
        <x:v>45611</x:v>
      </x:c>
      <x:c r="E7885" s="9" t="n">
        <x:v>5251000</x:v>
      </x:c>
      <x:c r="F7885" s="9" t="n">
        <x:v>0</x:v>
      </x:c>
    </x:row>
    <x:row r="7886" ht="34" customHeight="1">
      <x:c r="A7886" s="4" t="str">
        <x:v>RS-03910-I1</x:v>
      </x:c>
      <x:c r="B7886" s="4" t="str">
        <x:v>RS-03910</x:v>
      </x:c>
      <x:c r="C7886" s="9" t="n">
        <x:v>1</x:v>
      </x:c>
      <x:c r="D7886" s="8" t="n">
        <x:v>45522</x:v>
      </x:c>
      <x:c r="E7886" s="9" t="n">
        <x:v>3344000</x:v>
      </x:c>
      <x:c r="F7886" s="9" t="n">
        <x:v>1337600</x:v>
      </x:c>
    </x:row>
    <x:row r="7887" ht="34" customHeight="1">
      <x:c r="A7887" s="4" t="str">
        <x:v>RS-03910-I2</x:v>
      </x:c>
      <x:c r="B7887" s="4" t="str">
        <x:v>RS-03910</x:v>
      </x:c>
      <x:c r="C7887" s="9" t="n">
        <x:v>2</x:v>
      </x:c>
      <x:c r="D7887" s="8" t="n">
        <x:v>45552</x:v>
      </x:c>
      <x:c r="E7887" s="9" t="n">
        <x:v>3344000</x:v>
      </x:c>
      <x:c r="F7887" s="9" t="n">
        <x:v>0</x:v>
      </x:c>
    </x:row>
    <x:row r="7888" ht="34" customHeight="1">
      <x:c r="A7888" s="4" t="str">
        <x:v>RS-03910-I3</x:v>
      </x:c>
      <x:c r="B7888" s="4" t="str">
        <x:v>RS-03910</x:v>
      </x:c>
      <x:c r="C7888" s="9" t="n">
        <x:v>3</x:v>
      </x:c>
      <x:c r="D7888" s="8" t="n">
        <x:v>45582</x:v>
      </x:c>
      <x:c r="E7888" s="9" t="n">
        <x:v>3344000</x:v>
      </x:c>
      <x:c r="F7888" s="9" t="n">
        <x:v>0</x:v>
      </x:c>
    </x:row>
    <x:row r="7889" ht="34" customHeight="1">
      <x:c r="A7889" s="4" t="str">
        <x:v>RS-03910-I4</x:v>
      </x:c>
      <x:c r="B7889" s="4" t="str">
        <x:v>RS-03910</x:v>
      </x:c>
      <x:c r="C7889" s="9" t="n">
        <x:v>4</x:v>
      </x:c>
      <x:c r="D7889" s="8" t="n">
        <x:v>45612</x:v>
      </x:c>
      <x:c r="E7889" s="9" t="n">
        <x:v>3344000</x:v>
      </x:c>
      <x:c r="F7889" s="9" t="n">
        <x:v>0</x:v>
      </x:c>
    </x:row>
    <x:row r="7890" ht="34" customHeight="1">
      <x:c r="A7890" s="4" t="str">
        <x:v>RS-03912-I1</x:v>
      </x:c>
      <x:c r="B7890" s="4" t="str">
        <x:v>RS-03912</x:v>
      </x:c>
      <x:c r="C7890" s="9" t="n">
        <x:v>1</x:v>
      </x:c>
      <x:c r="D7890" s="8" t="n">
        <x:v>45524</x:v>
      </x:c>
      <x:c r="E7890" s="9" t="n">
        <x:v>2552000</x:v>
      </x:c>
      <x:c r="F7890" s="9" t="n">
        <x:v>2552000</x:v>
      </x:c>
    </x:row>
    <x:row r="7891" ht="34" customHeight="1">
      <x:c r="A7891" s="4" t="str">
        <x:v>RS-03912-I2</x:v>
      </x:c>
      <x:c r="B7891" s="4" t="str">
        <x:v>RS-03912</x:v>
      </x:c>
      <x:c r="C7891" s="9" t="n">
        <x:v>2</x:v>
      </x:c>
      <x:c r="D7891" s="8" t="n">
        <x:v>45554</x:v>
      </x:c>
      <x:c r="E7891" s="9" t="n">
        <x:v>2552000</x:v>
      </x:c>
      <x:c r="F7891" s="9" t="n">
        <x:v>2552000</x:v>
      </x:c>
    </x:row>
    <x:row r="7892" ht="34" customHeight="1">
      <x:c r="A7892" s="4" t="str">
        <x:v>RS-03912-I3</x:v>
      </x:c>
      <x:c r="B7892" s="4" t="str">
        <x:v>RS-03912</x:v>
      </x:c>
      <x:c r="C7892" s="9" t="n">
        <x:v>3</x:v>
      </x:c>
      <x:c r="D7892" s="8" t="n">
        <x:v>45584</x:v>
      </x:c>
      <x:c r="E7892" s="9" t="n">
        <x:v>2552000</x:v>
      </x:c>
      <x:c r="F7892" s="9" t="n">
        <x:v>0</x:v>
      </x:c>
    </x:row>
    <x:row r="7893" ht="34" customHeight="1">
      <x:c r="A7893" s="4" t="str">
        <x:v>RS-03912-I4</x:v>
      </x:c>
      <x:c r="B7893" s="4" t="str">
        <x:v>RS-03912</x:v>
      </x:c>
      <x:c r="C7893" s="9" t="n">
        <x:v>4</x:v>
      </x:c>
      <x:c r="D7893" s="8" t="n">
        <x:v>45614</x:v>
      </x:c>
      <x:c r="E7893" s="9" t="n">
        <x:v>2552000</x:v>
      </x:c>
      <x:c r="F7893" s="9" t="n">
        <x:v>0</x:v>
      </x:c>
    </x:row>
    <x:row r="7894" ht="34" customHeight="1">
      <x:c r="A7894" s="4" t="str">
        <x:v>RS-03913-I1</x:v>
      </x:c>
      <x:c r="B7894" s="4" t="str">
        <x:v>RS-03913</x:v>
      </x:c>
      <x:c r="C7894" s="9" t="n">
        <x:v>1</x:v>
      </x:c>
      <x:c r="D7894" s="8" t="n">
        <x:v>45525</x:v>
      </x:c>
      <x:c r="E7894" s="9" t="n">
        <x:v>3910000</x:v>
      </x:c>
      <x:c r="F7894" s="9" t="n">
        <x:v>3910000</x:v>
      </x:c>
    </x:row>
    <x:row r="7895" ht="34" customHeight="1">
      <x:c r="A7895" s="4" t="str">
        <x:v>RS-03913-I2</x:v>
      </x:c>
      <x:c r="B7895" s="4" t="str">
        <x:v>RS-03913</x:v>
      </x:c>
      <x:c r="C7895" s="9" t="n">
        <x:v>2</x:v>
      </x:c>
      <x:c r="D7895" s="8" t="n">
        <x:v>45555</x:v>
      </x:c>
      <x:c r="E7895" s="9" t="n">
        <x:v>3910000</x:v>
      </x:c>
      <x:c r="F7895" s="9" t="n">
        <x:v>3910000</x:v>
      </x:c>
    </x:row>
    <x:row r="7896" ht="34" customHeight="1">
      <x:c r="A7896" s="4" t="str">
        <x:v>RS-03913-I3</x:v>
      </x:c>
      <x:c r="B7896" s="4" t="str">
        <x:v>RS-03913</x:v>
      </x:c>
      <x:c r="C7896" s="9" t="n">
        <x:v>3</x:v>
      </x:c>
      <x:c r="D7896" s="8" t="n">
        <x:v>45585</x:v>
      </x:c>
      <x:c r="E7896" s="9" t="n">
        <x:v>3910000</x:v>
      </x:c>
      <x:c r="F7896" s="9" t="n">
        <x:v>0</x:v>
      </x:c>
    </x:row>
    <x:row r="7897" ht="34" customHeight="1">
      <x:c r="A7897" s="4" t="str">
        <x:v>RS-03913-I4</x:v>
      </x:c>
      <x:c r="B7897" s="4" t="str">
        <x:v>RS-03913</x:v>
      </x:c>
      <x:c r="C7897" s="9" t="n">
        <x:v>4</x:v>
      </x:c>
      <x:c r="D7897" s="8" t="n">
        <x:v>45615</x:v>
      </x:c>
      <x:c r="E7897" s="9" t="n">
        <x:v>3910000</x:v>
      </x:c>
      <x:c r="F7897" s="9" t="n">
        <x:v>0</x:v>
      </x:c>
    </x:row>
    <x:row r="7898" ht="34" customHeight="1">
      <x:c r="A7898" s="4" t="str">
        <x:v>RS-03914-I1</x:v>
      </x:c>
      <x:c r="B7898" s="4" t="str">
        <x:v>RS-03914</x:v>
      </x:c>
      <x:c r="C7898" s="9" t="n">
        <x:v>1</x:v>
      </x:c>
      <x:c r="D7898" s="8" t="n">
        <x:v>45526</x:v>
      </x:c>
      <x:c r="E7898" s="9" t="n">
        <x:v>5383500</x:v>
      </x:c>
      <x:c r="F7898" s="9" t="n">
        <x:v>5383500</x:v>
      </x:c>
    </x:row>
    <x:row r="7899" ht="34" customHeight="1">
      <x:c r="A7899" s="4" t="str">
        <x:v>RS-03914-I2</x:v>
      </x:c>
      <x:c r="B7899" s="4" t="str">
        <x:v>RS-03914</x:v>
      </x:c>
      <x:c r="C7899" s="9" t="n">
        <x:v>2</x:v>
      </x:c>
      <x:c r="D7899" s="8" t="n">
        <x:v>45556</x:v>
      </x:c>
      <x:c r="E7899" s="9" t="n">
        <x:v>5383500</x:v>
      </x:c>
      <x:c r="F7899" s="9" t="n">
        <x:v>5383500</x:v>
      </x:c>
    </x:row>
    <x:row r="7900" ht="34" customHeight="1">
      <x:c r="A7900" s="4" t="str">
        <x:v>RS-03914-I3</x:v>
      </x:c>
      <x:c r="B7900" s="4" t="str">
        <x:v>RS-03914</x:v>
      </x:c>
      <x:c r="C7900" s="9" t="n">
        <x:v>3</x:v>
      </x:c>
      <x:c r="D7900" s="8" t="n">
        <x:v>45586</x:v>
      </x:c>
      <x:c r="E7900" s="9" t="n">
        <x:v>5383500</x:v>
      </x:c>
      <x:c r="F7900" s="9" t="n">
        <x:v>5383500</x:v>
      </x:c>
    </x:row>
    <x:row r="7901" ht="34" customHeight="1">
      <x:c r="A7901" s="4" t="str">
        <x:v>RS-03914-I4</x:v>
      </x:c>
      <x:c r="B7901" s="4" t="str">
        <x:v>RS-03914</x:v>
      </x:c>
      <x:c r="C7901" s="9" t="n">
        <x:v>4</x:v>
      </x:c>
      <x:c r="D7901" s="8" t="n">
        <x:v>45616</x:v>
      </x:c>
      <x:c r="E7901" s="9" t="n">
        <x:v>5383500</x:v>
      </x:c>
      <x:c r="F7901" s="9" t="n">
        <x:v>5383500</x:v>
      </x:c>
    </x:row>
    <x:row r="7902" ht="34" customHeight="1">
      <x:c r="A7902" s="4" t="str">
        <x:v>RS-03917-I1</x:v>
      </x:c>
      <x:c r="B7902" s="4" t="str">
        <x:v>RS-03917</x:v>
      </x:c>
      <x:c r="C7902" s="9" t="n">
        <x:v>1</x:v>
      </x:c>
      <x:c r="D7902" s="8" t="n">
        <x:v>45529</x:v>
      </x:c>
      <x:c r="E7902" s="9" t="n">
        <x:v>2475000</x:v>
      </x:c>
      <x:c r="F7902" s="9" t="n">
        <x:v>990000</x:v>
      </x:c>
    </x:row>
    <x:row r="7903" ht="34" customHeight="1">
      <x:c r="A7903" s="4" t="str">
        <x:v>RS-03917-I2</x:v>
      </x:c>
      <x:c r="B7903" s="4" t="str">
        <x:v>RS-03917</x:v>
      </x:c>
      <x:c r="C7903" s="9" t="n">
        <x:v>2</x:v>
      </x:c>
      <x:c r="D7903" s="8" t="n">
        <x:v>45559</x:v>
      </x:c>
      <x:c r="E7903" s="9" t="n">
        <x:v>2475000</x:v>
      </x:c>
      <x:c r="F7903" s="9" t="n">
        <x:v>0</x:v>
      </x:c>
    </x:row>
    <x:row r="7904" ht="34" customHeight="1">
      <x:c r="A7904" s="4" t="str">
        <x:v>RS-03917-I3</x:v>
      </x:c>
      <x:c r="B7904" s="4" t="str">
        <x:v>RS-03917</x:v>
      </x:c>
      <x:c r="C7904" s="9" t="n">
        <x:v>3</x:v>
      </x:c>
      <x:c r="D7904" s="8" t="n">
        <x:v>45589</x:v>
      </x:c>
      <x:c r="E7904" s="9" t="n">
        <x:v>2475000</x:v>
      </x:c>
      <x:c r="F7904" s="9" t="n">
        <x:v>0</x:v>
      </x:c>
    </x:row>
    <x:row r="7905" ht="34" customHeight="1">
      <x:c r="A7905" s="4" t="str">
        <x:v>RS-03917-I4</x:v>
      </x:c>
      <x:c r="B7905" s="4" t="str">
        <x:v>RS-03917</x:v>
      </x:c>
      <x:c r="C7905" s="9" t="n">
        <x:v>4</x:v>
      </x:c>
      <x:c r="D7905" s="8" t="n">
        <x:v>45619</x:v>
      </x:c>
      <x:c r="E7905" s="9" t="n">
        <x:v>2475000</x:v>
      </x:c>
      <x:c r="F7905" s="9" t="n">
        <x:v>0</x:v>
      </x:c>
    </x:row>
    <x:row r="7906" ht="34" customHeight="1">
      <x:c r="A7906" s="4" t="str">
        <x:v>RS-03918-I1</x:v>
      </x:c>
      <x:c r="B7906" s="4" t="str">
        <x:v>RS-03918</x:v>
      </x:c>
      <x:c r="C7906" s="9" t="n">
        <x:v>1</x:v>
      </x:c>
      <x:c r="D7906" s="8" t="n">
        <x:v>45530</x:v>
      </x:c>
      <x:c r="E7906" s="9" t="n">
        <x:v>3360000</x:v>
      </x:c>
      <x:c r="F7906" s="9" t="n">
        <x:v>3360000</x:v>
      </x:c>
    </x:row>
    <x:row r="7907" ht="34" customHeight="1">
      <x:c r="A7907" s="4" t="str">
        <x:v>RS-03918-I2</x:v>
      </x:c>
      <x:c r="B7907" s="4" t="str">
        <x:v>RS-03918</x:v>
      </x:c>
      <x:c r="C7907" s="9" t="n">
        <x:v>2</x:v>
      </x:c>
      <x:c r="D7907" s="8" t="n">
        <x:v>45560</x:v>
      </x:c>
      <x:c r="E7907" s="9" t="n">
        <x:v>3360000</x:v>
      </x:c>
      <x:c r="F7907" s="9" t="n">
        <x:v>3360000</x:v>
      </x:c>
    </x:row>
    <x:row r="7908" ht="34" customHeight="1">
      <x:c r="A7908" s="4" t="str">
        <x:v>RS-03918-I3</x:v>
      </x:c>
      <x:c r="B7908" s="4" t="str">
        <x:v>RS-03918</x:v>
      </x:c>
      <x:c r="C7908" s="9" t="n">
        <x:v>3</x:v>
      </x:c>
      <x:c r="D7908" s="8" t="n">
        <x:v>45590</x:v>
      </x:c>
      <x:c r="E7908" s="9" t="n">
        <x:v>3360000</x:v>
      </x:c>
      <x:c r="F7908" s="9" t="n">
        <x:v>0</x:v>
      </x:c>
    </x:row>
    <x:row r="7909" ht="34" customHeight="1">
      <x:c r="A7909" s="4" t="str">
        <x:v>RS-03918-I4</x:v>
      </x:c>
      <x:c r="B7909" s="4" t="str">
        <x:v>RS-03918</x:v>
      </x:c>
      <x:c r="C7909" s="9" t="n">
        <x:v>4</x:v>
      </x:c>
      <x:c r="D7909" s="8" t="n">
        <x:v>45620</x:v>
      </x:c>
      <x:c r="E7909" s="9" t="n">
        <x:v>3360000</x:v>
      </x:c>
      <x:c r="F7909" s="9" t="n">
        <x:v>0</x:v>
      </x:c>
    </x:row>
    <x:row r="7910" ht="34" customHeight="1">
      <x:c r="A7910" s="4" t="str">
        <x:v>RS-03920-I1</x:v>
      </x:c>
      <x:c r="B7910" s="4" t="str">
        <x:v>RS-03920</x:v>
      </x:c>
      <x:c r="C7910" s="9" t="n">
        <x:v>1</x:v>
      </x:c>
      <x:c r="D7910" s="8" t="n">
        <x:v>45532</x:v>
      </x:c>
      <x:c r="E7910" s="9" t="n">
        <x:v>4316500</x:v>
      </x:c>
      <x:c r="F7910" s="9" t="n">
        <x:v>4316500</x:v>
      </x:c>
    </x:row>
    <x:row r="7911" ht="34" customHeight="1">
      <x:c r="A7911" s="4" t="str">
        <x:v>RS-03920-I2</x:v>
      </x:c>
      <x:c r="B7911" s="4" t="str">
        <x:v>RS-03920</x:v>
      </x:c>
      <x:c r="C7911" s="9" t="n">
        <x:v>2</x:v>
      </x:c>
      <x:c r="D7911" s="8" t="n">
        <x:v>45562</x:v>
      </x:c>
      <x:c r="E7911" s="9" t="n">
        <x:v>4316500</x:v>
      </x:c>
      <x:c r="F7911" s="9" t="n">
        <x:v>4316500</x:v>
      </x:c>
    </x:row>
    <x:row r="7912" ht="34" customHeight="1">
      <x:c r="A7912" s="4" t="str">
        <x:v>RS-03920-I3</x:v>
      </x:c>
      <x:c r="B7912" s="4" t="str">
        <x:v>RS-03920</x:v>
      </x:c>
      <x:c r="C7912" s="9" t="n">
        <x:v>3</x:v>
      </x:c>
      <x:c r="D7912" s="8" t="n">
        <x:v>45592</x:v>
      </x:c>
      <x:c r="E7912" s="9" t="n">
        <x:v>4316500</x:v>
      </x:c>
      <x:c r="F7912" s="9" t="n">
        <x:v>0</x:v>
      </x:c>
    </x:row>
    <x:row r="7913" ht="34" customHeight="1">
      <x:c r="A7913" s="4" t="str">
        <x:v>RS-03920-I4</x:v>
      </x:c>
      <x:c r="B7913" s="4" t="str">
        <x:v>RS-03920</x:v>
      </x:c>
      <x:c r="C7913" s="9" t="n">
        <x:v>4</x:v>
      </x:c>
      <x:c r="D7913" s="8" t="n">
        <x:v>45622</x:v>
      </x:c>
      <x:c r="E7913" s="9" t="n">
        <x:v>4316500</x:v>
      </x:c>
      <x:c r="F7913" s="9" t="n">
        <x:v>0</x:v>
      </x:c>
    </x:row>
    <x:row r="7914" ht="34" customHeight="1">
      <x:c r="A7914" s="4" t="str">
        <x:v>RS-03921-I1</x:v>
      </x:c>
      <x:c r="B7914" s="4" t="str">
        <x:v>RS-03921</x:v>
      </x:c>
      <x:c r="C7914" s="9" t="n">
        <x:v>1</x:v>
      </x:c>
      <x:c r="D7914" s="8" t="n">
        <x:v>45505</x:v>
      </x:c>
      <x:c r="E7914" s="9" t="n">
        <x:v>3473000</x:v>
      </x:c>
      <x:c r="F7914" s="9" t="n">
        <x:v>3473000</x:v>
      </x:c>
    </x:row>
    <x:row r="7915" ht="34" customHeight="1">
      <x:c r="A7915" s="4" t="str">
        <x:v>RS-03921-I2</x:v>
      </x:c>
      <x:c r="B7915" s="4" t="str">
        <x:v>RS-03921</x:v>
      </x:c>
      <x:c r="C7915" s="9" t="n">
        <x:v>2</x:v>
      </x:c>
      <x:c r="D7915" s="8" t="n">
        <x:v>45535</x:v>
      </x:c>
      <x:c r="E7915" s="9" t="n">
        <x:v>3473000</x:v>
      </x:c>
      <x:c r="F7915" s="9" t="n">
        <x:v>3473000</x:v>
      </x:c>
    </x:row>
    <x:row r="7916" ht="34" customHeight="1">
      <x:c r="A7916" s="4" t="str">
        <x:v>RS-03921-I3</x:v>
      </x:c>
      <x:c r="B7916" s="4" t="str">
        <x:v>RS-03921</x:v>
      </x:c>
      <x:c r="C7916" s="9" t="n">
        <x:v>3</x:v>
      </x:c>
      <x:c r="D7916" s="8" t="n">
        <x:v>45565</x:v>
      </x:c>
      <x:c r="E7916" s="9" t="n">
        <x:v>3473000</x:v>
      </x:c>
      <x:c r="F7916" s="9" t="n">
        <x:v>3473000</x:v>
      </x:c>
    </x:row>
    <x:row r="7917" ht="34" customHeight="1">
      <x:c r="A7917" s="4" t="str">
        <x:v>RS-03921-I4</x:v>
      </x:c>
      <x:c r="B7917" s="4" t="str">
        <x:v>RS-03921</x:v>
      </x:c>
      <x:c r="C7917" s="9" t="n">
        <x:v>4</x:v>
      </x:c>
      <x:c r="D7917" s="8" t="n">
        <x:v>45595</x:v>
      </x:c>
      <x:c r="E7917" s="9" t="n">
        <x:v>3473000</x:v>
      </x:c>
      <x:c r="F7917" s="9" t="n">
        <x:v>3473000</x:v>
      </x:c>
    </x:row>
    <x:row r="7918" ht="34" customHeight="1">
      <x:c r="A7918" s="4" t="str">
        <x:v>RS-03925-I1</x:v>
      </x:c>
      <x:c r="B7918" s="4" t="str">
        <x:v>RS-03925</x:v>
      </x:c>
      <x:c r="C7918" s="9" t="n">
        <x:v>1</x:v>
      </x:c>
      <x:c r="D7918" s="8" t="n">
        <x:v>45509</x:v>
      </x:c>
      <x:c r="E7918" s="9" t="n">
        <x:v>5831000</x:v>
      </x:c>
      <x:c r="F7918" s="9" t="n">
        <x:v>2332400</x:v>
      </x:c>
    </x:row>
    <x:row r="7919" ht="34" customHeight="1">
      <x:c r="A7919" s="4" t="str">
        <x:v>RS-03925-I2</x:v>
      </x:c>
      <x:c r="B7919" s="4" t="str">
        <x:v>RS-03925</x:v>
      </x:c>
      <x:c r="C7919" s="9" t="n">
        <x:v>2</x:v>
      </x:c>
      <x:c r="D7919" s="8" t="n">
        <x:v>45539</x:v>
      </x:c>
      <x:c r="E7919" s="9" t="n">
        <x:v>5831000</x:v>
      </x:c>
      <x:c r="F7919" s="9" t="n">
        <x:v>0</x:v>
      </x:c>
    </x:row>
    <x:row r="7920" ht="34" customHeight="1">
      <x:c r="A7920" s="4" t="str">
        <x:v>RS-03925-I3</x:v>
      </x:c>
      <x:c r="B7920" s="4" t="str">
        <x:v>RS-03925</x:v>
      </x:c>
      <x:c r="C7920" s="9" t="n">
        <x:v>3</x:v>
      </x:c>
      <x:c r="D7920" s="8" t="n">
        <x:v>45569</x:v>
      </x:c>
      <x:c r="E7920" s="9" t="n">
        <x:v>5831000</x:v>
      </x:c>
      <x:c r="F7920" s="9" t="n">
        <x:v>0</x:v>
      </x:c>
    </x:row>
    <x:row r="7921" ht="34" customHeight="1">
      <x:c r="A7921" s="4" t="str">
        <x:v>RS-03925-I4</x:v>
      </x:c>
      <x:c r="B7921" s="4" t="str">
        <x:v>RS-03925</x:v>
      </x:c>
      <x:c r="C7921" s="9" t="n">
        <x:v>4</x:v>
      </x:c>
      <x:c r="D7921" s="8" t="n">
        <x:v>45599</x:v>
      </x:c>
      <x:c r="E7921" s="9" t="n">
        <x:v>5831000</x:v>
      </x:c>
      <x:c r="F7921" s="9" t="n">
        <x:v>0</x:v>
      </x:c>
    </x:row>
    <x:row r="7922" ht="34" customHeight="1">
      <x:c r="A7922" s="4" t="str">
        <x:v>RS-03927-I1</x:v>
      </x:c>
      <x:c r="B7922" s="4" t="str">
        <x:v>RS-03927</x:v>
      </x:c>
      <x:c r="C7922" s="9" t="n">
        <x:v>1</x:v>
      </x:c>
      <x:c r="D7922" s="8" t="n">
        <x:v>45511</x:v>
      </x:c>
      <x:c r="E7922" s="9" t="n">
        <x:v>1794500</x:v>
      </x:c>
      <x:c r="F7922" s="9" t="n">
        <x:v>1794500</x:v>
      </x:c>
    </x:row>
    <x:row r="7923" ht="34" customHeight="1">
      <x:c r="A7923" s="4" t="str">
        <x:v>RS-03927-I2</x:v>
      </x:c>
      <x:c r="B7923" s="4" t="str">
        <x:v>RS-03927</x:v>
      </x:c>
      <x:c r="C7923" s="9" t="n">
        <x:v>2</x:v>
      </x:c>
      <x:c r="D7923" s="8" t="n">
        <x:v>45541</x:v>
      </x:c>
      <x:c r="E7923" s="9" t="n">
        <x:v>1794500</x:v>
      </x:c>
      <x:c r="F7923" s="9" t="n">
        <x:v>1794500</x:v>
      </x:c>
    </x:row>
    <x:row r="7924" ht="34" customHeight="1">
      <x:c r="A7924" s="4" t="str">
        <x:v>RS-03927-I3</x:v>
      </x:c>
      <x:c r="B7924" s="4" t="str">
        <x:v>RS-03927</x:v>
      </x:c>
      <x:c r="C7924" s="9" t="n">
        <x:v>3</x:v>
      </x:c>
      <x:c r="D7924" s="8" t="n">
        <x:v>45571</x:v>
      </x:c>
      <x:c r="E7924" s="9" t="n">
        <x:v>1794500</x:v>
      </x:c>
      <x:c r="F7924" s="9" t="n">
        <x:v>0</x:v>
      </x:c>
    </x:row>
    <x:row r="7925" ht="34" customHeight="1">
      <x:c r="A7925" s="4" t="str">
        <x:v>RS-03927-I4</x:v>
      </x:c>
      <x:c r="B7925" s="4" t="str">
        <x:v>RS-03927</x:v>
      </x:c>
      <x:c r="C7925" s="9" t="n">
        <x:v>4</x:v>
      </x:c>
      <x:c r="D7925" s="8" t="n">
        <x:v>45601</x:v>
      </x:c>
      <x:c r="E7925" s="9" t="n">
        <x:v>1794500</x:v>
      </x:c>
      <x:c r="F7925" s="9" t="n">
        <x:v>0</x:v>
      </x:c>
    </x:row>
    <x:row r="7926" ht="34" customHeight="1">
      <x:c r="A7926" s="4" t="str">
        <x:v>RS-03928-I1</x:v>
      </x:c>
      <x:c r="B7926" s="4" t="str">
        <x:v>RS-03928</x:v>
      </x:c>
      <x:c r="C7926" s="9" t="n">
        <x:v>1</x:v>
      </x:c>
      <x:c r="D7926" s="8" t="n">
        <x:v>45512</x:v>
      </x:c>
      <x:c r="E7926" s="9" t="n">
        <x:v>3984000</x:v>
      </x:c>
      <x:c r="F7926" s="9" t="n">
        <x:v>3984000</x:v>
      </x:c>
    </x:row>
    <x:row r="7927" ht="34" customHeight="1">
      <x:c r="A7927" s="4" t="str">
        <x:v>RS-03928-I2</x:v>
      </x:c>
      <x:c r="B7927" s="4" t="str">
        <x:v>RS-03928</x:v>
      </x:c>
      <x:c r="C7927" s="9" t="n">
        <x:v>2</x:v>
      </x:c>
      <x:c r="D7927" s="8" t="n">
        <x:v>45542</x:v>
      </x:c>
      <x:c r="E7927" s="9" t="n">
        <x:v>3984000</x:v>
      </x:c>
      <x:c r="F7927" s="9" t="n">
        <x:v>3984000</x:v>
      </x:c>
    </x:row>
    <x:row r="7928" ht="34" customHeight="1">
      <x:c r="A7928" s="4" t="str">
        <x:v>RS-03928-I3</x:v>
      </x:c>
      <x:c r="B7928" s="4" t="str">
        <x:v>RS-03928</x:v>
      </x:c>
      <x:c r="C7928" s="9" t="n">
        <x:v>3</x:v>
      </x:c>
      <x:c r="D7928" s="8" t="n">
        <x:v>45572</x:v>
      </x:c>
      <x:c r="E7928" s="9" t="n">
        <x:v>3984000</x:v>
      </x:c>
      <x:c r="F7928" s="9" t="n">
        <x:v>0</x:v>
      </x:c>
    </x:row>
    <x:row r="7929" ht="34" customHeight="1">
      <x:c r="A7929" s="4" t="str">
        <x:v>RS-03928-I4</x:v>
      </x:c>
      <x:c r="B7929" s="4" t="str">
        <x:v>RS-03928</x:v>
      </x:c>
      <x:c r="C7929" s="9" t="n">
        <x:v>4</x:v>
      </x:c>
      <x:c r="D7929" s="8" t="n">
        <x:v>45602</x:v>
      </x:c>
      <x:c r="E7929" s="9" t="n">
        <x:v>3984000</x:v>
      </x:c>
      <x:c r="F7929" s="9" t="n">
        <x:v>0</x:v>
      </x:c>
    </x:row>
    <x:row r="7930" ht="34" customHeight="1">
      <x:c r="A7930" s="4" t="str">
        <x:v>RS-03930-I1</x:v>
      </x:c>
      <x:c r="B7930" s="4" t="str">
        <x:v>RS-03930</x:v>
      </x:c>
      <x:c r="C7930" s="9" t="n">
        <x:v>1</x:v>
      </x:c>
      <x:c r="D7930" s="8" t="n">
        <x:v>45514</x:v>
      </x:c>
      <x:c r="E7930" s="9" t="n">
        <x:v>2846250</x:v>
      </x:c>
      <x:c r="F7930" s="9" t="n">
        <x:v>1138500</x:v>
      </x:c>
    </x:row>
    <x:row r="7931" ht="34" customHeight="1">
      <x:c r="A7931" s="4" t="str">
        <x:v>RS-03930-I2</x:v>
      </x:c>
      <x:c r="B7931" s="4" t="str">
        <x:v>RS-03930</x:v>
      </x:c>
      <x:c r="C7931" s="9" t="n">
        <x:v>2</x:v>
      </x:c>
      <x:c r="D7931" s="8" t="n">
        <x:v>45544</x:v>
      </x:c>
      <x:c r="E7931" s="9" t="n">
        <x:v>2846250</x:v>
      </x:c>
      <x:c r="F7931" s="9" t="n">
        <x:v>0</x:v>
      </x:c>
    </x:row>
    <x:row r="7932" ht="34" customHeight="1">
      <x:c r="A7932" s="4" t="str">
        <x:v>RS-03930-I3</x:v>
      </x:c>
      <x:c r="B7932" s="4" t="str">
        <x:v>RS-03930</x:v>
      </x:c>
      <x:c r="C7932" s="9" t="n">
        <x:v>3</x:v>
      </x:c>
      <x:c r="D7932" s="8" t="n">
        <x:v>45574</x:v>
      </x:c>
      <x:c r="E7932" s="9" t="n">
        <x:v>2846250</x:v>
      </x:c>
      <x:c r="F7932" s="9" t="n">
        <x:v>0</x:v>
      </x:c>
    </x:row>
    <x:row r="7933" ht="34" customHeight="1">
      <x:c r="A7933" s="4" t="str">
        <x:v>RS-03930-I4</x:v>
      </x:c>
      <x:c r="B7933" s="4" t="str">
        <x:v>RS-03930</x:v>
      </x:c>
      <x:c r="C7933" s="9" t="n">
        <x:v>4</x:v>
      </x:c>
      <x:c r="D7933" s="8" t="n">
        <x:v>45604</x:v>
      </x:c>
      <x:c r="E7933" s="9" t="n">
        <x:v>2846250</x:v>
      </x:c>
      <x:c r="F7933" s="9" t="n">
        <x:v>0</x:v>
      </x:c>
    </x:row>
    <x:row r="7934" ht="34" customHeight="1">
      <x:c r="A7934" s="4" t="str">
        <x:v>RS-03932-I1</x:v>
      </x:c>
      <x:c r="B7934" s="4" t="str">
        <x:v>RS-03932</x:v>
      </x:c>
      <x:c r="C7934" s="9" t="n">
        <x:v>1</x:v>
      </x:c>
      <x:c r="D7934" s="8" t="n">
        <x:v>45516</x:v>
      </x:c>
      <x:c r="E7934" s="9" t="n">
        <x:v>1842750</x:v>
      </x:c>
      <x:c r="F7934" s="9" t="n">
        <x:v>1842750</x:v>
      </x:c>
    </x:row>
    <x:row r="7935" ht="34" customHeight="1">
      <x:c r="A7935" s="4" t="str">
        <x:v>RS-03932-I2</x:v>
      </x:c>
      <x:c r="B7935" s="4" t="str">
        <x:v>RS-03932</x:v>
      </x:c>
      <x:c r="C7935" s="9" t="n">
        <x:v>2</x:v>
      </x:c>
      <x:c r="D7935" s="8" t="n">
        <x:v>45546</x:v>
      </x:c>
      <x:c r="E7935" s="9" t="n">
        <x:v>1842750</x:v>
      </x:c>
      <x:c r="F7935" s="9" t="n">
        <x:v>1842750</x:v>
      </x:c>
    </x:row>
    <x:row r="7936" ht="34" customHeight="1">
      <x:c r="A7936" s="4" t="str">
        <x:v>RS-03932-I3</x:v>
      </x:c>
      <x:c r="B7936" s="4" t="str">
        <x:v>RS-03932</x:v>
      </x:c>
      <x:c r="C7936" s="9" t="n">
        <x:v>3</x:v>
      </x:c>
      <x:c r="D7936" s="8" t="n">
        <x:v>45576</x:v>
      </x:c>
      <x:c r="E7936" s="9" t="n">
        <x:v>1842750</x:v>
      </x:c>
      <x:c r="F7936" s="9" t="n">
        <x:v>0</x:v>
      </x:c>
    </x:row>
    <x:row r="7937" ht="34" customHeight="1">
      <x:c r="A7937" s="4" t="str">
        <x:v>RS-03932-I4</x:v>
      </x:c>
      <x:c r="B7937" s="4" t="str">
        <x:v>RS-03932</x:v>
      </x:c>
      <x:c r="C7937" s="9" t="n">
        <x:v>4</x:v>
      </x:c>
      <x:c r="D7937" s="8" t="n">
        <x:v>45606</x:v>
      </x:c>
      <x:c r="E7937" s="9" t="n">
        <x:v>1842750</x:v>
      </x:c>
      <x:c r="F7937" s="9" t="n">
        <x:v>0</x:v>
      </x:c>
    </x:row>
    <x:row r="7938" ht="34" customHeight="1">
      <x:c r="A7938" s="4" t="str">
        <x:v>RS-03933-I1</x:v>
      </x:c>
      <x:c r="B7938" s="4" t="str">
        <x:v>RS-03933</x:v>
      </x:c>
      <x:c r="C7938" s="9" t="n">
        <x:v>1</x:v>
      </x:c>
      <x:c r="D7938" s="8" t="n">
        <x:v>45517</x:v>
      </x:c>
      <x:c r="E7938" s="9" t="n">
        <x:v>1248000</x:v>
      </x:c>
      <x:c r="F7938" s="9" t="n">
        <x:v>1248000</x:v>
      </x:c>
    </x:row>
    <x:row r="7939" ht="34" customHeight="1">
      <x:c r="A7939" s="4" t="str">
        <x:v>RS-03933-I2</x:v>
      </x:c>
      <x:c r="B7939" s="4" t="str">
        <x:v>RS-03933</x:v>
      </x:c>
      <x:c r="C7939" s="9" t="n">
        <x:v>2</x:v>
      </x:c>
      <x:c r="D7939" s="8" t="n">
        <x:v>45547</x:v>
      </x:c>
      <x:c r="E7939" s="9" t="n">
        <x:v>1248000</x:v>
      </x:c>
      <x:c r="F7939" s="9" t="n">
        <x:v>0</x:v>
      </x:c>
    </x:row>
    <x:row r="7940" ht="34" customHeight="1">
      <x:c r="A7940" s="4" t="str">
        <x:v>RS-03933-I3</x:v>
      </x:c>
      <x:c r="B7940" s="4" t="str">
        <x:v>RS-03933</x:v>
      </x:c>
      <x:c r="C7940" s="9" t="n">
        <x:v>3</x:v>
      </x:c>
      <x:c r="D7940" s="8" t="n">
        <x:v>45577</x:v>
      </x:c>
      <x:c r="E7940" s="9" t="n">
        <x:v>1248000</x:v>
      </x:c>
      <x:c r="F7940" s="9" t="n">
        <x:v>0</x:v>
      </x:c>
    </x:row>
    <x:row r="7941" ht="34" customHeight="1">
      <x:c r="A7941" s="4" t="str">
        <x:v>RS-03933-I4</x:v>
      </x:c>
      <x:c r="B7941" s="4" t="str">
        <x:v>RS-03933</x:v>
      </x:c>
      <x:c r="C7941" s="9" t="n">
        <x:v>4</x:v>
      </x:c>
      <x:c r="D7941" s="8" t="n">
        <x:v>45607</x:v>
      </x:c>
      <x:c r="E7941" s="9" t="n">
        <x:v>1248000</x:v>
      </x:c>
      <x:c r="F7941" s="9" t="n">
        <x:v>0</x:v>
      </x:c>
    </x:row>
    <x:row r="7942" ht="34" customHeight="1">
      <x:c r="A7942" s="4" t="str">
        <x:v>RS-03935-I1</x:v>
      </x:c>
      <x:c r="B7942" s="4" t="str">
        <x:v>RS-03935</x:v>
      </x:c>
      <x:c r="C7942" s="9" t="n">
        <x:v>1</x:v>
      </x:c>
      <x:c r="D7942" s="8" t="n">
        <x:v>45519</x:v>
      </x:c>
      <x:c r="E7942" s="9" t="n">
        <x:v>902500</x:v>
      </x:c>
      <x:c r="F7942" s="9" t="n">
        <x:v>902500</x:v>
      </x:c>
    </x:row>
    <x:row r="7943" ht="34" customHeight="1">
      <x:c r="A7943" s="4" t="str">
        <x:v>RS-03935-I2</x:v>
      </x:c>
      <x:c r="B7943" s="4" t="str">
        <x:v>RS-03935</x:v>
      </x:c>
      <x:c r="C7943" s="9" t="n">
        <x:v>2</x:v>
      </x:c>
      <x:c r="D7943" s="8" t="n">
        <x:v>45549</x:v>
      </x:c>
      <x:c r="E7943" s="9" t="n">
        <x:v>902500</x:v>
      </x:c>
      <x:c r="F7943" s="9" t="n">
        <x:v>0</x:v>
      </x:c>
    </x:row>
    <x:row r="7944" ht="34" customHeight="1">
      <x:c r="A7944" s="4" t="str">
        <x:v>RS-03935-I3</x:v>
      </x:c>
      <x:c r="B7944" s="4" t="str">
        <x:v>RS-03935</x:v>
      </x:c>
      <x:c r="C7944" s="9" t="n">
        <x:v>3</x:v>
      </x:c>
      <x:c r="D7944" s="8" t="n">
        <x:v>45579</x:v>
      </x:c>
      <x:c r="E7944" s="9" t="n">
        <x:v>902500</x:v>
      </x:c>
      <x:c r="F7944" s="9" t="n">
        <x:v>0</x:v>
      </x:c>
    </x:row>
    <x:row r="7945" ht="34" customHeight="1">
      <x:c r="A7945" s="4" t="str">
        <x:v>RS-03935-I4</x:v>
      </x:c>
      <x:c r="B7945" s="4" t="str">
        <x:v>RS-03935</x:v>
      </x:c>
      <x:c r="C7945" s="9" t="n">
        <x:v>4</x:v>
      </x:c>
      <x:c r="D7945" s="8" t="n">
        <x:v>45609</x:v>
      </x:c>
      <x:c r="E7945" s="9" t="n">
        <x:v>902500</x:v>
      </x:c>
      <x:c r="F7945" s="9" t="n">
        <x:v>0</x:v>
      </x:c>
    </x:row>
    <x:row r="7946" ht="34" customHeight="1">
      <x:c r="A7946" s="4" t="str">
        <x:v>RS-03937-I1</x:v>
      </x:c>
      <x:c r="B7946" s="4" t="str">
        <x:v>RS-03937</x:v>
      </x:c>
      <x:c r="C7946" s="9" t="n">
        <x:v>1</x:v>
      </x:c>
      <x:c r="D7946" s="8" t="n">
        <x:v>45521</x:v>
      </x:c>
      <x:c r="E7946" s="9" t="n">
        <x:v>3888000</x:v>
      </x:c>
      <x:c r="F7946" s="9" t="n">
        <x:v>3888000</x:v>
      </x:c>
    </x:row>
    <x:row r="7947" ht="34" customHeight="1">
      <x:c r="A7947" s="4" t="str">
        <x:v>RS-03937-I2</x:v>
      </x:c>
      <x:c r="B7947" s="4" t="str">
        <x:v>RS-03937</x:v>
      </x:c>
      <x:c r="C7947" s="9" t="n">
        <x:v>2</x:v>
      </x:c>
      <x:c r="D7947" s="8" t="n">
        <x:v>45551</x:v>
      </x:c>
      <x:c r="E7947" s="9" t="n">
        <x:v>3888000</x:v>
      </x:c>
      <x:c r="F7947" s="9" t="n">
        <x:v>3888000</x:v>
      </x:c>
    </x:row>
    <x:row r="7948" ht="34" customHeight="1">
      <x:c r="A7948" s="4" t="str">
        <x:v>RS-03937-I3</x:v>
      </x:c>
      <x:c r="B7948" s="4" t="str">
        <x:v>RS-03937</x:v>
      </x:c>
      <x:c r="C7948" s="9" t="n">
        <x:v>3</x:v>
      </x:c>
      <x:c r="D7948" s="8" t="n">
        <x:v>45581</x:v>
      </x:c>
      <x:c r="E7948" s="9" t="n">
        <x:v>3888000</x:v>
      </x:c>
      <x:c r="F7948" s="9" t="n">
        <x:v>3888000</x:v>
      </x:c>
    </x:row>
    <x:row r="7949" ht="34" customHeight="1">
      <x:c r="A7949" s="4" t="str">
        <x:v>RS-03937-I4</x:v>
      </x:c>
      <x:c r="B7949" s="4" t="str">
        <x:v>RS-03937</x:v>
      </x:c>
      <x:c r="C7949" s="9" t="n">
        <x:v>4</x:v>
      </x:c>
      <x:c r="D7949" s="8" t="n">
        <x:v>45611</x:v>
      </x:c>
      <x:c r="E7949" s="9" t="n">
        <x:v>3888000</x:v>
      </x:c>
      <x:c r="F7949" s="9" t="n">
        <x:v>3888000</x:v>
      </x:c>
    </x:row>
    <x:row r="7950" ht="34" customHeight="1">
      <x:c r="A7950" s="4" t="str">
        <x:v>RS-03938-I1</x:v>
      </x:c>
      <x:c r="B7950" s="4" t="str">
        <x:v>RS-03938</x:v>
      </x:c>
      <x:c r="C7950" s="9" t="n">
        <x:v>1</x:v>
      </x:c>
      <x:c r="D7950" s="8" t="n">
        <x:v>45522</x:v>
      </x:c>
      <x:c r="E7950" s="9" t="n">
        <x:v>3467750</x:v>
      </x:c>
      <x:c r="F7950" s="9" t="n">
        <x:v>3467750</x:v>
      </x:c>
    </x:row>
    <x:row r="7951" ht="34" customHeight="1">
      <x:c r="A7951" s="4" t="str">
        <x:v>RS-03938-I2</x:v>
      </x:c>
      <x:c r="B7951" s="4" t="str">
        <x:v>RS-03938</x:v>
      </x:c>
      <x:c r="C7951" s="9" t="n">
        <x:v>2</x:v>
      </x:c>
      <x:c r="D7951" s="8" t="n">
        <x:v>45552</x:v>
      </x:c>
      <x:c r="E7951" s="9" t="n">
        <x:v>3467750</x:v>
      </x:c>
      <x:c r="F7951" s="9" t="n">
        <x:v>0</x:v>
      </x:c>
    </x:row>
    <x:row r="7952" ht="34" customHeight="1">
      <x:c r="A7952" s="4" t="str">
        <x:v>RS-03938-I3</x:v>
      </x:c>
      <x:c r="B7952" s="4" t="str">
        <x:v>RS-03938</x:v>
      </x:c>
      <x:c r="C7952" s="9" t="n">
        <x:v>3</x:v>
      </x:c>
      <x:c r="D7952" s="8" t="n">
        <x:v>45582</x:v>
      </x:c>
      <x:c r="E7952" s="9" t="n">
        <x:v>3467750</x:v>
      </x:c>
      <x:c r="F7952" s="9" t="n">
        <x:v>0</x:v>
      </x:c>
    </x:row>
    <x:row r="7953" ht="34" customHeight="1">
      <x:c r="A7953" s="4" t="str">
        <x:v>RS-03938-I4</x:v>
      </x:c>
      <x:c r="B7953" s="4" t="str">
        <x:v>RS-03938</x:v>
      </x:c>
      <x:c r="C7953" s="9" t="n">
        <x:v>4</x:v>
      </x:c>
      <x:c r="D7953" s="8" t="n">
        <x:v>45612</x:v>
      </x:c>
      <x:c r="E7953" s="9" t="n">
        <x:v>3467750</x:v>
      </x:c>
      <x:c r="F7953" s="9" t="n">
        <x:v>0</x:v>
      </x:c>
    </x:row>
    <x:row r="7954" ht="34" customHeight="1">
      <x:c r="A7954" s="4" t="str">
        <x:v>RS-03942-I1</x:v>
      </x:c>
      <x:c r="B7954" s="4" t="str">
        <x:v>RS-03942</x:v>
      </x:c>
      <x:c r="C7954" s="9" t="n">
        <x:v>1</x:v>
      </x:c>
      <x:c r="D7954" s="8" t="n">
        <x:v>45526</x:v>
      </x:c>
      <x:c r="E7954" s="9" t="n">
        <x:v>5512500</x:v>
      </x:c>
      <x:c r="F7954" s="9" t="n">
        <x:v>5512500</x:v>
      </x:c>
    </x:row>
    <x:row r="7955" ht="34" customHeight="1">
      <x:c r="A7955" s="4" t="str">
        <x:v>RS-03942-I2</x:v>
      </x:c>
      <x:c r="B7955" s="4" t="str">
        <x:v>RS-03942</x:v>
      </x:c>
      <x:c r="C7955" s="9" t="n">
        <x:v>2</x:v>
      </x:c>
      <x:c r="D7955" s="8" t="n">
        <x:v>45556</x:v>
      </x:c>
      <x:c r="E7955" s="9" t="n">
        <x:v>5512500</x:v>
      </x:c>
      <x:c r="F7955" s="9" t="n">
        <x:v>0</x:v>
      </x:c>
    </x:row>
    <x:row r="7956" ht="34" customHeight="1">
      <x:c r="A7956" s="4" t="str">
        <x:v>RS-03942-I3</x:v>
      </x:c>
      <x:c r="B7956" s="4" t="str">
        <x:v>RS-03942</x:v>
      </x:c>
      <x:c r="C7956" s="9" t="n">
        <x:v>3</x:v>
      </x:c>
      <x:c r="D7956" s="8" t="n">
        <x:v>45586</x:v>
      </x:c>
      <x:c r="E7956" s="9" t="n">
        <x:v>5512500</x:v>
      </x:c>
      <x:c r="F7956" s="9" t="n">
        <x:v>0</x:v>
      </x:c>
    </x:row>
    <x:row r="7957" ht="34" customHeight="1">
      <x:c r="A7957" s="4" t="str">
        <x:v>RS-03942-I4</x:v>
      </x:c>
      <x:c r="B7957" s="4" t="str">
        <x:v>RS-03942</x:v>
      </x:c>
      <x:c r="C7957" s="9" t="n">
        <x:v>4</x:v>
      </x:c>
      <x:c r="D7957" s="8" t="n">
        <x:v>45616</x:v>
      </x:c>
      <x:c r="E7957" s="9" t="n">
        <x:v>5512500</x:v>
      </x:c>
      <x:c r="F7957" s="9" t="n">
        <x:v>0</x:v>
      </x:c>
    </x:row>
    <x:row r="7958" ht="34" customHeight="1">
      <x:c r="A7958" s="4" t="str">
        <x:v>RS-03943-I1</x:v>
      </x:c>
      <x:c r="B7958" s="4" t="str">
        <x:v>RS-03943</x:v>
      </x:c>
      <x:c r="C7958" s="9" t="n">
        <x:v>1</x:v>
      </x:c>
      <x:c r="D7958" s="8" t="n">
        <x:v>45527</x:v>
      </x:c>
      <x:c r="E7958" s="9" t="n">
        <x:v>2303000</x:v>
      </x:c>
      <x:c r="F7958" s="9" t="n">
        <x:v>2303000</x:v>
      </x:c>
    </x:row>
    <x:row r="7959" ht="34" customHeight="1">
      <x:c r="A7959" s="4" t="str">
        <x:v>RS-03943-I2</x:v>
      </x:c>
      <x:c r="B7959" s="4" t="str">
        <x:v>RS-03943</x:v>
      </x:c>
      <x:c r="C7959" s="9" t="n">
        <x:v>2</x:v>
      </x:c>
      <x:c r="D7959" s="8" t="n">
        <x:v>45557</x:v>
      </x:c>
      <x:c r="E7959" s="9" t="n">
        <x:v>2303000</x:v>
      </x:c>
      <x:c r="F7959" s="9" t="n">
        <x:v>2303000</x:v>
      </x:c>
    </x:row>
    <x:row r="7960" ht="34" customHeight="1">
      <x:c r="A7960" s="4" t="str">
        <x:v>RS-03943-I3</x:v>
      </x:c>
      <x:c r="B7960" s="4" t="str">
        <x:v>RS-03943</x:v>
      </x:c>
      <x:c r="C7960" s="9" t="n">
        <x:v>3</x:v>
      </x:c>
      <x:c r="D7960" s="8" t="n">
        <x:v>45587</x:v>
      </x:c>
      <x:c r="E7960" s="9" t="n">
        <x:v>2303000</x:v>
      </x:c>
      <x:c r="F7960" s="9" t="n">
        <x:v>2303000</x:v>
      </x:c>
    </x:row>
    <x:row r="7961" ht="34" customHeight="1">
      <x:c r="A7961" s="4" t="str">
        <x:v>RS-03943-I4</x:v>
      </x:c>
      <x:c r="B7961" s="4" t="str">
        <x:v>RS-03943</x:v>
      </x:c>
      <x:c r="C7961" s="9" t="n">
        <x:v>4</x:v>
      </x:c>
      <x:c r="D7961" s="8" t="n">
        <x:v>45617</x:v>
      </x:c>
      <x:c r="E7961" s="9" t="n">
        <x:v>2303000</x:v>
      </x:c>
      <x:c r="F7961" s="9" t="n">
        <x:v>2303000</x:v>
      </x:c>
    </x:row>
    <x:row r="7962" ht="34" customHeight="1">
      <x:c r="A7962" s="4" t="str">
        <x:v>RS-03944-I1</x:v>
      </x:c>
      <x:c r="B7962" s="4" t="str">
        <x:v>RS-03944</x:v>
      </x:c>
      <x:c r="C7962" s="9" t="n">
        <x:v>1</x:v>
      </x:c>
      <x:c r="D7962" s="8" t="n">
        <x:v>45528</x:v>
      </x:c>
      <x:c r="E7962" s="9" t="n">
        <x:v>4189500</x:v>
      </x:c>
      <x:c r="F7962" s="9" t="n">
        <x:v>4189500</x:v>
      </x:c>
    </x:row>
    <x:row r="7963" ht="34" customHeight="1">
      <x:c r="A7963" s="4" t="str">
        <x:v>RS-03944-I2</x:v>
      </x:c>
      <x:c r="B7963" s="4" t="str">
        <x:v>RS-03944</x:v>
      </x:c>
      <x:c r="C7963" s="9" t="n">
        <x:v>2</x:v>
      </x:c>
      <x:c r="D7963" s="8" t="n">
        <x:v>45558</x:v>
      </x:c>
      <x:c r="E7963" s="9" t="n">
        <x:v>4189500</x:v>
      </x:c>
      <x:c r="F7963" s="9" t="n">
        <x:v>4189500</x:v>
      </x:c>
    </x:row>
    <x:row r="7964" ht="34" customHeight="1">
      <x:c r="A7964" s="4" t="str">
        <x:v>RS-03944-I3</x:v>
      </x:c>
      <x:c r="B7964" s="4" t="str">
        <x:v>RS-03944</x:v>
      </x:c>
      <x:c r="C7964" s="9" t="n">
        <x:v>3</x:v>
      </x:c>
      <x:c r="D7964" s="8" t="n">
        <x:v>45588</x:v>
      </x:c>
      <x:c r="E7964" s="9" t="n">
        <x:v>4189500</x:v>
      </x:c>
      <x:c r="F7964" s="9" t="n">
        <x:v>0</x:v>
      </x:c>
    </x:row>
    <x:row r="7965" ht="34" customHeight="1">
      <x:c r="A7965" s="4" t="str">
        <x:v>RS-03944-I4</x:v>
      </x:c>
      <x:c r="B7965" s="4" t="str">
        <x:v>RS-03944</x:v>
      </x:c>
      <x:c r="C7965" s="9" t="n">
        <x:v>4</x:v>
      </x:c>
      <x:c r="D7965" s="8" t="n">
        <x:v>45618</x:v>
      </x:c>
      <x:c r="E7965" s="9" t="n">
        <x:v>4189500</x:v>
      </x:c>
      <x:c r="F7965" s="9" t="n">
        <x:v>0</x:v>
      </x:c>
    </x:row>
    <x:row r="7966" ht="34" customHeight="1">
      <x:c r="A7966" s="4" t="str">
        <x:v>RS-03945-I1</x:v>
      </x:c>
      <x:c r="B7966" s="4" t="str">
        <x:v>RS-03945</x:v>
      </x:c>
      <x:c r="C7966" s="9" t="n">
        <x:v>1</x:v>
      </x:c>
      <x:c r="D7966" s="8" t="n">
        <x:v>45529</x:v>
      </x:c>
      <x:c r="E7966" s="9" t="n">
        <x:v>1116250</x:v>
      </x:c>
      <x:c r="F7966" s="9" t="n">
        <x:v>1116250</x:v>
      </x:c>
    </x:row>
    <x:row r="7967" ht="34" customHeight="1">
      <x:c r="A7967" s="4" t="str">
        <x:v>RS-03945-I2</x:v>
      </x:c>
      <x:c r="B7967" s="4" t="str">
        <x:v>RS-03945</x:v>
      </x:c>
      <x:c r="C7967" s="9" t="n">
        <x:v>2</x:v>
      </x:c>
      <x:c r="D7967" s="8" t="n">
        <x:v>45559</x:v>
      </x:c>
      <x:c r="E7967" s="9" t="n">
        <x:v>1116250</x:v>
      </x:c>
      <x:c r="F7967" s="9" t="n">
        <x:v>1116250</x:v>
      </x:c>
    </x:row>
    <x:row r="7968" ht="34" customHeight="1">
      <x:c r="A7968" s="4" t="str">
        <x:v>RS-03945-I3</x:v>
      </x:c>
      <x:c r="B7968" s="4" t="str">
        <x:v>RS-03945</x:v>
      </x:c>
      <x:c r="C7968" s="9" t="n">
        <x:v>3</x:v>
      </x:c>
      <x:c r="D7968" s="8" t="n">
        <x:v>45589</x:v>
      </x:c>
      <x:c r="E7968" s="9" t="n">
        <x:v>1116250</x:v>
      </x:c>
      <x:c r="F7968" s="9" t="n">
        <x:v>1116250</x:v>
      </x:c>
    </x:row>
    <x:row r="7969" ht="34" customHeight="1">
      <x:c r="A7969" s="4" t="str">
        <x:v>RS-03945-I4</x:v>
      </x:c>
      <x:c r="B7969" s="4" t="str">
        <x:v>RS-03945</x:v>
      </x:c>
      <x:c r="C7969" s="9" t="n">
        <x:v>4</x:v>
      </x:c>
      <x:c r="D7969" s="8" t="n">
        <x:v>45619</x:v>
      </x:c>
      <x:c r="E7969" s="9" t="n">
        <x:v>1116250</x:v>
      </x:c>
      <x:c r="F7969" s="9" t="n">
        <x:v>1116250</x:v>
      </x:c>
    </x:row>
    <x:row r="7970" ht="34" customHeight="1">
      <x:c r="A7970" s="4" t="str">
        <x:v>RS-03946-I1</x:v>
      </x:c>
      <x:c r="B7970" s="4" t="str">
        <x:v>RS-03946</x:v>
      </x:c>
      <x:c r="C7970" s="9" t="n">
        <x:v>1</x:v>
      </x:c>
      <x:c r="D7970" s="8" t="n">
        <x:v>45530</x:v>
      </x:c>
      <x:c r="E7970" s="9" t="n">
        <x:v>808500</x:v>
      </x:c>
      <x:c r="F7970" s="9" t="n">
        <x:v>808500</x:v>
      </x:c>
    </x:row>
    <x:row r="7971" ht="34" customHeight="1">
      <x:c r="A7971" s="4" t="str">
        <x:v>RS-03946-I2</x:v>
      </x:c>
      <x:c r="B7971" s="4" t="str">
        <x:v>RS-03946</x:v>
      </x:c>
      <x:c r="C7971" s="9" t="n">
        <x:v>2</x:v>
      </x:c>
      <x:c r="D7971" s="8" t="n">
        <x:v>45560</x:v>
      </x:c>
      <x:c r="E7971" s="9" t="n">
        <x:v>808500</x:v>
      </x:c>
      <x:c r="F7971" s="9" t="n">
        <x:v>0</x:v>
      </x:c>
    </x:row>
    <x:row r="7972" ht="34" customHeight="1">
      <x:c r="A7972" s="4" t="str">
        <x:v>RS-03946-I3</x:v>
      </x:c>
      <x:c r="B7972" s="4" t="str">
        <x:v>RS-03946</x:v>
      </x:c>
      <x:c r="C7972" s="9" t="n">
        <x:v>3</x:v>
      </x:c>
      <x:c r="D7972" s="8" t="n">
        <x:v>45590</x:v>
      </x:c>
      <x:c r="E7972" s="9" t="n">
        <x:v>808500</x:v>
      </x:c>
      <x:c r="F7972" s="9" t="n">
        <x:v>0</x:v>
      </x:c>
    </x:row>
    <x:row r="7973" ht="34" customHeight="1">
      <x:c r="A7973" s="4" t="str">
        <x:v>RS-03946-I4</x:v>
      </x:c>
      <x:c r="B7973" s="4" t="str">
        <x:v>RS-03946</x:v>
      </x:c>
      <x:c r="C7973" s="9" t="n">
        <x:v>4</x:v>
      </x:c>
      <x:c r="D7973" s="8" t="n">
        <x:v>45620</x:v>
      </x:c>
      <x:c r="E7973" s="9" t="n">
        <x:v>808500</x:v>
      </x:c>
      <x:c r="F7973" s="9" t="n">
        <x:v>0</x:v>
      </x:c>
    </x:row>
    <x:row r="7974" ht="34" customHeight="1">
      <x:c r="A7974" s="4" t="str">
        <x:v>RS-03947-I1</x:v>
      </x:c>
      <x:c r="B7974" s="4" t="str">
        <x:v>RS-03947</x:v>
      </x:c>
      <x:c r="C7974" s="9" t="n">
        <x:v>1</x:v>
      </x:c>
      <x:c r="D7974" s="8" t="n">
        <x:v>45531</x:v>
      </x:c>
      <x:c r="E7974" s="9" t="n">
        <x:v>6014250</x:v>
      </x:c>
      <x:c r="F7974" s="9" t="n">
        <x:v>6014250</x:v>
      </x:c>
    </x:row>
    <x:row r="7975" ht="34" customHeight="1">
      <x:c r="A7975" s="4" t="str">
        <x:v>RS-03947-I2</x:v>
      </x:c>
      <x:c r="B7975" s="4" t="str">
        <x:v>RS-03947</x:v>
      </x:c>
      <x:c r="C7975" s="9" t="n">
        <x:v>2</x:v>
      </x:c>
      <x:c r="D7975" s="8" t="n">
        <x:v>45561</x:v>
      </x:c>
      <x:c r="E7975" s="9" t="n">
        <x:v>6014250</x:v>
      </x:c>
      <x:c r="F7975" s="9" t="n">
        <x:v>0</x:v>
      </x:c>
    </x:row>
    <x:row r="7976" ht="34" customHeight="1">
      <x:c r="A7976" s="4" t="str">
        <x:v>RS-03947-I3</x:v>
      </x:c>
      <x:c r="B7976" s="4" t="str">
        <x:v>RS-03947</x:v>
      </x:c>
      <x:c r="C7976" s="9" t="n">
        <x:v>3</x:v>
      </x:c>
      <x:c r="D7976" s="8" t="n">
        <x:v>45591</x:v>
      </x:c>
      <x:c r="E7976" s="9" t="n">
        <x:v>6014250</x:v>
      </x:c>
      <x:c r="F7976" s="9" t="n">
        <x:v>0</x:v>
      </x:c>
    </x:row>
    <x:row r="7977" ht="34" customHeight="1">
      <x:c r="A7977" s="4" t="str">
        <x:v>RS-03947-I4</x:v>
      </x:c>
      <x:c r="B7977" s="4" t="str">
        <x:v>RS-03947</x:v>
      </x:c>
      <x:c r="C7977" s="9" t="n">
        <x:v>4</x:v>
      </x:c>
      <x:c r="D7977" s="8" t="n">
        <x:v>45621</x:v>
      </x:c>
      <x:c r="E7977" s="9" t="n">
        <x:v>6014250</x:v>
      </x:c>
      <x:c r="F7977" s="9" t="n">
        <x:v>0</x:v>
      </x:c>
    </x:row>
    <x:row r="7978" ht="34" customHeight="1">
      <x:c r="A7978" s="4" t="str">
        <x:v>RS-03948-I1</x:v>
      </x:c>
      <x:c r="B7978" s="4" t="str">
        <x:v>RS-03948</x:v>
      </x:c>
      <x:c r="C7978" s="9" t="n">
        <x:v>1</x:v>
      </x:c>
      <x:c r="D7978" s="8" t="n">
        <x:v>45532</x:v>
      </x:c>
      <x:c r="E7978" s="9" t="n">
        <x:v>3981250</x:v>
      </x:c>
      <x:c r="F7978" s="9" t="n">
        <x:v>3981250</x:v>
      </x:c>
    </x:row>
    <x:row r="7979" ht="34" customHeight="1">
      <x:c r="A7979" s="4" t="str">
        <x:v>RS-03948-I2</x:v>
      </x:c>
      <x:c r="B7979" s="4" t="str">
        <x:v>RS-03948</x:v>
      </x:c>
      <x:c r="C7979" s="9" t="n">
        <x:v>2</x:v>
      </x:c>
      <x:c r="D7979" s="8" t="n">
        <x:v>45562</x:v>
      </x:c>
      <x:c r="E7979" s="9" t="n">
        <x:v>3981250</x:v>
      </x:c>
      <x:c r="F7979" s="9" t="n">
        <x:v>3981250</x:v>
      </x:c>
    </x:row>
    <x:row r="7980" ht="34" customHeight="1">
      <x:c r="A7980" s="4" t="str">
        <x:v>RS-03948-I3</x:v>
      </x:c>
      <x:c r="B7980" s="4" t="str">
        <x:v>RS-03948</x:v>
      </x:c>
      <x:c r="C7980" s="9" t="n">
        <x:v>3</x:v>
      </x:c>
      <x:c r="D7980" s="8" t="n">
        <x:v>45592</x:v>
      </x:c>
      <x:c r="E7980" s="9" t="n">
        <x:v>3981250</x:v>
      </x:c>
      <x:c r="F7980" s="9" t="n">
        <x:v>0</x:v>
      </x:c>
    </x:row>
    <x:row r="7981" ht="34" customHeight="1">
      <x:c r="A7981" s="4" t="str">
        <x:v>RS-03948-I4</x:v>
      </x:c>
      <x:c r="B7981" s="4" t="str">
        <x:v>RS-03948</x:v>
      </x:c>
      <x:c r="C7981" s="9" t="n">
        <x:v>4</x:v>
      </x:c>
      <x:c r="D7981" s="8" t="n">
        <x:v>45622</x:v>
      </x:c>
      <x:c r="E7981" s="9" t="n">
        <x:v>3981250</x:v>
      </x:c>
      <x:c r="F7981" s="9" t="n">
        <x:v>0</x:v>
      </x:c>
    </x:row>
    <x:row r="7982" ht="34" customHeight="1">
      <x:c r="A7982" s="4" t="str">
        <x:v>RS-03949-I1</x:v>
      </x:c>
      <x:c r="B7982" s="4" t="str">
        <x:v>RS-03949</x:v>
      </x:c>
      <x:c r="C7982" s="9" t="n">
        <x:v>1</x:v>
      </x:c>
      <x:c r="D7982" s="8" t="n">
        <x:v>45505</x:v>
      </x:c>
      <x:c r="E7982" s="9" t="n">
        <x:v>4027500</x:v>
      </x:c>
      <x:c r="F7982" s="9" t="n">
        <x:v>4027500</x:v>
      </x:c>
    </x:row>
    <x:row r="7983" ht="34" customHeight="1">
      <x:c r="A7983" s="4" t="str">
        <x:v>RS-03949-I2</x:v>
      </x:c>
      <x:c r="B7983" s="4" t="str">
        <x:v>RS-03949</x:v>
      </x:c>
      <x:c r="C7983" s="9" t="n">
        <x:v>2</x:v>
      </x:c>
      <x:c r="D7983" s="8" t="n">
        <x:v>45535</x:v>
      </x:c>
      <x:c r="E7983" s="9" t="n">
        <x:v>4027500</x:v>
      </x:c>
      <x:c r="F7983" s="9" t="n">
        <x:v>4027500</x:v>
      </x:c>
    </x:row>
    <x:row r="7984" ht="34" customHeight="1">
      <x:c r="A7984" s="4" t="str">
        <x:v>RS-03949-I3</x:v>
      </x:c>
      <x:c r="B7984" s="4" t="str">
        <x:v>RS-03949</x:v>
      </x:c>
      <x:c r="C7984" s="9" t="n">
        <x:v>3</x:v>
      </x:c>
      <x:c r="D7984" s="8" t="n">
        <x:v>45565</x:v>
      </x:c>
      <x:c r="E7984" s="9" t="n">
        <x:v>4027500</x:v>
      </x:c>
      <x:c r="F7984" s="9" t="n">
        <x:v>4027500</x:v>
      </x:c>
    </x:row>
    <x:row r="7985" ht="34" customHeight="1">
      <x:c r="A7985" s="4" t="str">
        <x:v>RS-03949-I4</x:v>
      </x:c>
      <x:c r="B7985" s="4" t="str">
        <x:v>RS-03949</x:v>
      </x:c>
      <x:c r="C7985" s="9" t="n">
        <x:v>4</x:v>
      </x:c>
      <x:c r="D7985" s="8" t="n">
        <x:v>45595</x:v>
      </x:c>
      <x:c r="E7985" s="9" t="n">
        <x:v>4027500</x:v>
      </x:c>
      <x:c r="F7985" s="9" t="n">
        <x:v>4027500</x:v>
      </x:c>
    </x:row>
    <x:row r="7986" ht="34" customHeight="1">
      <x:c r="A7986" s="4" t="str">
        <x:v>RS-03950-I1</x:v>
      </x:c>
      <x:c r="B7986" s="4" t="str">
        <x:v>RS-03950</x:v>
      </x:c>
      <x:c r="C7986" s="9" t="n">
        <x:v>1</x:v>
      </x:c>
      <x:c r="D7986" s="8" t="n">
        <x:v>45506</x:v>
      </x:c>
      <x:c r="E7986" s="9" t="n">
        <x:v>816000</x:v>
      </x:c>
      <x:c r="F7986" s="9" t="n">
        <x:v>816000</x:v>
      </x:c>
    </x:row>
    <x:row r="7987" ht="34" customHeight="1">
      <x:c r="A7987" s="4" t="str">
        <x:v>RS-03950-I2</x:v>
      </x:c>
      <x:c r="B7987" s="4" t="str">
        <x:v>RS-03950</x:v>
      </x:c>
      <x:c r="C7987" s="9" t="n">
        <x:v>2</x:v>
      </x:c>
      <x:c r="D7987" s="8" t="n">
        <x:v>45536</x:v>
      </x:c>
      <x:c r="E7987" s="9" t="n">
        <x:v>816000</x:v>
      </x:c>
      <x:c r="F7987" s="9" t="n">
        <x:v>816000</x:v>
      </x:c>
    </x:row>
    <x:row r="7988" ht="34" customHeight="1">
      <x:c r="A7988" s="4" t="str">
        <x:v>RS-03950-I3</x:v>
      </x:c>
      <x:c r="B7988" s="4" t="str">
        <x:v>RS-03950</x:v>
      </x:c>
      <x:c r="C7988" s="9" t="n">
        <x:v>3</x:v>
      </x:c>
      <x:c r="D7988" s="8" t="n">
        <x:v>45566</x:v>
      </x:c>
      <x:c r="E7988" s="9" t="n">
        <x:v>816000</x:v>
      </x:c>
      <x:c r="F7988" s="9" t="n">
        <x:v>816000</x:v>
      </x:c>
    </x:row>
    <x:row r="7989" ht="34" customHeight="1">
      <x:c r="A7989" s="4" t="str">
        <x:v>RS-03950-I4</x:v>
      </x:c>
      <x:c r="B7989" s="4" t="str">
        <x:v>RS-03950</x:v>
      </x:c>
      <x:c r="C7989" s="9" t="n">
        <x:v>4</x:v>
      </x:c>
      <x:c r="D7989" s="8" t="n">
        <x:v>45596</x:v>
      </x:c>
      <x:c r="E7989" s="9" t="n">
        <x:v>816000</x:v>
      </x:c>
      <x:c r="F7989" s="9" t="n">
        <x:v>816000</x:v>
      </x:c>
    </x:row>
    <x:row r="7990" ht="34" customHeight="1">
      <x:c r="A7990" s="4" t="str">
        <x:v>RS-03952-I1</x:v>
      </x:c>
      <x:c r="B7990" s="4" t="str">
        <x:v>RS-03952</x:v>
      </x:c>
      <x:c r="C7990" s="9" t="n">
        <x:v>1</x:v>
      </x:c>
      <x:c r="D7990" s="8" t="n">
        <x:v>45508</x:v>
      </x:c>
      <x:c r="E7990" s="9" t="n">
        <x:v>953250</x:v>
      </x:c>
      <x:c r="F7990" s="9" t="n">
        <x:v>953250</x:v>
      </x:c>
    </x:row>
    <x:row r="7991" ht="34" customHeight="1">
      <x:c r="A7991" s="4" t="str">
        <x:v>RS-03952-I2</x:v>
      </x:c>
      <x:c r="B7991" s="4" t="str">
        <x:v>RS-03952</x:v>
      </x:c>
      <x:c r="C7991" s="9" t="n">
        <x:v>2</x:v>
      </x:c>
      <x:c r="D7991" s="8" t="n">
        <x:v>45538</x:v>
      </x:c>
      <x:c r="E7991" s="9" t="n">
        <x:v>953250</x:v>
      </x:c>
      <x:c r="F7991" s="9" t="n">
        <x:v>953250</x:v>
      </x:c>
    </x:row>
    <x:row r="7992" ht="34" customHeight="1">
      <x:c r="A7992" s="4" t="str">
        <x:v>RS-03952-I3</x:v>
      </x:c>
      <x:c r="B7992" s="4" t="str">
        <x:v>RS-03952</x:v>
      </x:c>
      <x:c r="C7992" s="9" t="n">
        <x:v>3</x:v>
      </x:c>
      <x:c r="D7992" s="8" t="n">
        <x:v>45568</x:v>
      </x:c>
      <x:c r="E7992" s="9" t="n">
        <x:v>953250</x:v>
      </x:c>
      <x:c r="F7992" s="9" t="n">
        <x:v>0</x:v>
      </x:c>
    </x:row>
    <x:row r="7993" ht="34" customHeight="1">
      <x:c r="A7993" s="4" t="str">
        <x:v>RS-03952-I4</x:v>
      </x:c>
      <x:c r="B7993" s="4" t="str">
        <x:v>RS-03952</x:v>
      </x:c>
      <x:c r="C7993" s="9" t="n">
        <x:v>4</x:v>
      </x:c>
      <x:c r="D7993" s="8" t="n">
        <x:v>45598</x:v>
      </x:c>
      <x:c r="E7993" s="9" t="n">
        <x:v>953250</x:v>
      </x:c>
      <x:c r="F7993" s="9" t="n">
        <x:v>0</x:v>
      </x:c>
    </x:row>
    <x:row r="7994" ht="34" customHeight="1">
      <x:c r="A7994" s="4" t="str">
        <x:v>RS-03954-I1</x:v>
      </x:c>
      <x:c r="B7994" s="4" t="str">
        <x:v>RS-03954</x:v>
      </x:c>
      <x:c r="C7994" s="9" t="n">
        <x:v>1</x:v>
      </x:c>
      <x:c r="D7994" s="8" t="n">
        <x:v>45510</x:v>
      </x:c>
      <x:c r="E7994" s="9" t="n">
        <x:v>4231500</x:v>
      </x:c>
      <x:c r="F7994" s="9" t="n">
        <x:v>4231500</x:v>
      </x:c>
    </x:row>
    <x:row r="7995" ht="34" customHeight="1">
      <x:c r="A7995" s="4" t="str">
        <x:v>RS-03954-I2</x:v>
      </x:c>
      <x:c r="B7995" s="4" t="str">
        <x:v>RS-03954</x:v>
      </x:c>
      <x:c r="C7995" s="9" t="n">
        <x:v>2</x:v>
      </x:c>
      <x:c r="D7995" s="8" t="n">
        <x:v>45540</x:v>
      </x:c>
      <x:c r="E7995" s="9" t="n">
        <x:v>4231500</x:v>
      </x:c>
      <x:c r="F7995" s="9" t="n">
        <x:v>0</x:v>
      </x:c>
    </x:row>
    <x:row r="7996" ht="34" customHeight="1">
      <x:c r="A7996" s="4" t="str">
        <x:v>RS-03954-I3</x:v>
      </x:c>
      <x:c r="B7996" s="4" t="str">
        <x:v>RS-03954</x:v>
      </x:c>
      <x:c r="C7996" s="9" t="n">
        <x:v>3</x:v>
      </x:c>
      <x:c r="D7996" s="8" t="n">
        <x:v>45570</x:v>
      </x:c>
      <x:c r="E7996" s="9" t="n">
        <x:v>4231500</x:v>
      </x:c>
      <x:c r="F7996" s="9" t="n">
        <x:v>0</x:v>
      </x:c>
    </x:row>
    <x:row r="7997" ht="34" customHeight="1">
      <x:c r="A7997" s="4" t="str">
        <x:v>RS-03954-I4</x:v>
      </x:c>
      <x:c r="B7997" s="4" t="str">
        <x:v>RS-03954</x:v>
      </x:c>
      <x:c r="C7997" s="9" t="n">
        <x:v>4</x:v>
      </x:c>
      <x:c r="D7997" s="8" t="n">
        <x:v>45600</x:v>
      </x:c>
      <x:c r="E7997" s="9" t="n">
        <x:v>4231500</x:v>
      </x:c>
      <x:c r="F7997" s="9" t="n">
        <x:v>0</x:v>
      </x:c>
    </x:row>
    <x:row r="7998" ht="34" customHeight="1">
      <x:c r="A7998" s="4" t="str">
        <x:v>RS-03956-I1</x:v>
      </x:c>
      <x:c r="B7998" s="4" t="str">
        <x:v>RS-03956</x:v>
      </x:c>
      <x:c r="C7998" s="9" t="n">
        <x:v>1</x:v>
      </x:c>
      <x:c r="D7998" s="8" t="n">
        <x:v>45512</x:v>
      </x:c>
      <x:c r="E7998" s="9" t="n">
        <x:v>2520000</x:v>
      </x:c>
      <x:c r="F7998" s="9" t="n">
        <x:v>1008000</x:v>
      </x:c>
    </x:row>
    <x:row r="7999" ht="34" customHeight="1">
      <x:c r="A7999" s="4" t="str">
        <x:v>RS-03956-I2</x:v>
      </x:c>
      <x:c r="B7999" s="4" t="str">
        <x:v>RS-03956</x:v>
      </x:c>
      <x:c r="C7999" s="9" t="n">
        <x:v>2</x:v>
      </x:c>
      <x:c r="D7999" s="8" t="n">
        <x:v>45542</x:v>
      </x:c>
      <x:c r="E7999" s="9" t="n">
        <x:v>2520000</x:v>
      </x:c>
      <x:c r="F7999" s="9" t="n">
        <x:v>0</x:v>
      </x:c>
    </x:row>
    <x:row r="8000" ht="34" customHeight="1">
      <x:c r="A8000" s="4" t="str">
        <x:v>RS-03956-I3</x:v>
      </x:c>
      <x:c r="B8000" s="4" t="str">
        <x:v>RS-03956</x:v>
      </x:c>
      <x:c r="C8000" s="9" t="n">
        <x:v>3</x:v>
      </x:c>
      <x:c r="D8000" s="8" t="n">
        <x:v>45572</x:v>
      </x:c>
      <x:c r="E8000" s="9" t="n">
        <x:v>2520000</x:v>
      </x:c>
      <x:c r="F8000" s="9" t="n">
        <x:v>0</x:v>
      </x:c>
    </x:row>
    <x:row r="8001" ht="34" customHeight="1">
      <x:c r="A8001" s="4" t="str">
        <x:v>RS-03956-I4</x:v>
      </x:c>
      <x:c r="B8001" s="4" t="str">
        <x:v>RS-03956</x:v>
      </x:c>
      <x:c r="C8001" s="9" t="n">
        <x:v>4</x:v>
      </x:c>
      <x:c r="D8001" s="8" t="n">
        <x:v>45602</x:v>
      </x:c>
      <x:c r="E8001" s="9" t="n">
        <x:v>2520000</x:v>
      </x:c>
      <x:c r="F8001" s="9" t="n">
        <x:v>0</x:v>
      </x:c>
    </x:row>
    <x:row r="8002" ht="34" customHeight="1">
      <x:c r="A8002" s="4" t="str">
        <x:v>RS-03958-I1</x:v>
      </x:c>
      <x:c r="B8002" s="4" t="str">
        <x:v>RS-03958</x:v>
      </x:c>
      <x:c r="C8002" s="9" t="n">
        <x:v>1</x:v>
      </x:c>
      <x:c r="D8002" s="8" t="n">
        <x:v>45514</x:v>
      </x:c>
      <x:c r="E8002" s="9" t="n">
        <x:v>4385500</x:v>
      </x:c>
      <x:c r="F8002" s="9" t="n">
        <x:v>1754200</x:v>
      </x:c>
    </x:row>
    <x:row r="8003" ht="34" customHeight="1">
      <x:c r="A8003" s="4" t="str">
        <x:v>RS-03958-I2</x:v>
      </x:c>
      <x:c r="B8003" s="4" t="str">
        <x:v>RS-03958</x:v>
      </x:c>
      <x:c r="C8003" s="9" t="n">
        <x:v>2</x:v>
      </x:c>
      <x:c r="D8003" s="8" t="n">
        <x:v>45544</x:v>
      </x:c>
      <x:c r="E8003" s="9" t="n">
        <x:v>4385500</x:v>
      </x:c>
      <x:c r="F8003" s="9" t="n">
        <x:v>0</x:v>
      </x:c>
    </x:row>
    <x:row r="8004" ht="34" customHeight="1">
      <x:c r="A8004" s="4" t="str">
        <x:v>RS-03958-I3</x:v>
      </x:c>
      <x:c r="B8004" s="4" t="str">
        <x:v>RS-03958</x:v>
      </x:c>
      <x:c r="C8004" s="9" t="n">
        <x:v>3</x:v>
      </x:c>
      <x:c r="D8004" s="8" t="n">
        <x:v>45574</x:v>
      </x:c>
      <x:c r="E8004" s="9" t="n">
        <x:v>4385500</x:v>
      </x:c>
      <x:c r="F8004" s="9" t="n">
        <x:v>0</x:v>
      </x:c>
    </x:row>
    <x:row r="8005" ht="34" customHeight="1">
      <x:c r="A8005" s="4" t="str">
        <x:v>RS-03958-I4</x:v>
      </x:c>
      <x:c r="B8005" s="4" t="str">
        <x:v>RS-03958</x:v>
      </x:c>
      <x:c r="C8005" s="9" t="n">
        <x:v>4</x:v>
      </x:c>
      <x:c r="D8005" s="8" t="n">
        <x:v>45604</x:v>
      </x:c>
      <x:c r="E8005" s="9" t="n">
        <x:v>4385500</x:v>
      </x:c>
      <x:c r="F8005" s="9" t="n">
        <x:v>0</x:v>
      </x:c>
    </x:row>
    <x:row r="8006" ht="34" customHeight="1">
      <x:c r="A8006" s="4" t="str">
        <x:v>RS-03963-I1</x:v>
      </x:c>
      <x:c r="B8006" s="4" t="str">
        <x:v>RS-03963</x:v>
      </x:c>
      <x:c r="C8006" s="9" t="n">
        <x:v>1</x:v>
      </x:c>
      <x:c r="D8006" s="8" t="n">
        <x:v>45519</x:v>
      </x:c>
      <x:c r="E8006" s="9" t="n">
        <x:v>2632500</x:v>
      </x:c>
      <x:c r="F8006" s="9" t="n">
        <x:v>2632500</x:v>
      </x:c>
    </x:row>
    <x:row r="8007" ht="34" customHeight="1">
      <x:c r="A8007" s="4" t="str">
        <x:v>RS-03963-I2</x:v>
      </x:c>
      <x:c r="B8007" s="4" t="str">
        <x:v>RS-03963</x:v>
      </x:c>
      <x:c r="C8007" s="9" t="n">
        <x:v>2</x:v>
      </x:c>
      <x:c r="D8007" s="8" t="n">
        <x:v>45549</x:v>
      </x:c>
      <x:c r="E8007" s="9" t="n">
        <x:v>2632500</x:v>
      </x:c>
      <x:c r="F8007" s="9" t="n">
        <x:v>2632500</x:v>
      </x:c>
    </x:row>
    <x:row r="8008" ht="34" customHeight="1">
      <x:c r="A8008" s="4" t="str">
        <x:v>RS-03963-I3</x:v>
      </x:c>
      <x:c r="B8008" s="4" t="str">
        <x:v>RS-03963</x:v>
      </x:c>
      <x:c r="C8008" s="9" t="n">
        <x:v>3</x:v>
      </x:c>
      <x:c r="D8008" s="8" t="n">
        <x:v>45579</x:v>
      </x:c>
      <x:c r="E8008" s="9" t="n">
        <x:v>2632500</x:v>
      </x:c>
      <x:c r="F8008" s="9" t="n">
        <x:v>0</x:v>
      </x:c>
    </x:row>
    <x:row r="8009" ht="34" customHeight="1">
      <x:c r="A8009" s="4" t="str">
        <x:v>RS-03963-I4</x:v>
      </x:c>
      <x:c r="B8009" s="4" t="str">
        <x:v>RS-03963</x:v>
      </x:c>
      <x:c r="C8009" s="9" t="n">
        <x:v>4</x:v>
      </x:c>
      <x:c r="D8009" s="8" t="n">
        <x:v>45609</x:v>
      </x:c>
      <x:c r="E8009" s="9" t="n">
        <x:v>2632500</x:v>
      </x:c>
      <x:c r="F8009" s="9" t="n">
        <x:v>0</x:v>
      </x:c>
    </x:row>
    <x:row r="8010" ht="34" customHeight="1">
      <x:c r="A8010" s="4" t="str">
        <x:v>RS-03967-I1</x:v>
      </x:c>
      <x:c r="B8010" s="4" t="str">
        <x:v>RS-03967</x:v>
      </x:c>
      <x:c r="C8010" s="9" t="n">
        <x:v>1</x:v>
      </x:c>
      <x:c r="D8010" s="8" t="n">
        <x:v>45523</x:v>
      </x:c>
      <x:c r="E8010" s="9" t="n">
        <x:v>4049500</x:v>
      </x:c>
      <x:c r="F8010" s="9" t="n">
        <x:v>1619800</x:v>
      </x:c>
    </x:row>
    <x:row r="8011" ht="34" customHeight="1">
      <x:c r="A8011" s="4" t="str">
        <x:v>RS-03967-I2</x:v>
      </x:c>
      <x:c r="B8011" s="4" t="str">
        <x:v>RS-03967</x:v>
      </x:c>
      <x:c r="C8011" s="9" t="n">
        <x:v>2</x:v>
      </x:c>
      <x:c r="D8011" s="8" t="n">
        <x:v>45553</x:v>
      </x:c>
      <x:c r="E8011" s="9" t="n">
        <x:v>4049500</x:v>
      </x:c>
      <x:c r="F8011" s="9" t="n">
        <x:v>0</x:v>
      </x:c>
    </x:row>
    <x:row r="8012" ht="34" customHeight="1">
      <x:c r="A8012" s="4" t="str">
        <x:v>RS-03967-I3</x:v>
      </x:c>
      <x:c r="B8012" s="4" t="str">
        <x:v>RS-03967</x:v>
      </x:c>
      <x:c r="C8012" s="9" t="n">
        <x:v>3</x:v>
      </x:c>
      <x:c r="D8012" s="8" t="n">
        <x:v>45583</x:v>
      </x:c>
      <x:c r="E8012" s="9" t="n">
        <x:v>4049500</x:v>
      </x:c>
      <x:c r="F8012" s="9" t="n">
        <x:v>0</x:v>
      </x:c>
    </x:row>
    <x:row r="8013" ht="34" customHeight="1">
      <x:c r="A8013" s="4" t="str">
        <x:v>RS-03967-I4</x:v>
      </x:c>
      <x:c r="B8013" s="4" t="str">
        <x:v>RS-03967</x:v>
      </x:c>
      <x:c r="C8013" s="9" t="n">
        <x:v>4</x:v>
      </x:c>
      <x:c r="D8013" s="8" t="n">
        <x:v>45613</x:v>
      </x:c>
      <x:c r="E8013" s="9" t="n">
        <x:v>4049500</x:v>
      </x:c>
      <x:c r="F8013" s="9" t="n">
        <x:v>0</x:v>
      </x:c>
    </x:row>
    <x:row r="8014" ht="34" customHeight="1">
      <x:c r="A8014" s="4" t="str">
        <x:v>RS-03968-I1</x:v>
      </x:c>
      <x:c r="B8014" s="4" t="str">
        <x:v>RS-03968</x:v>
      </x:c>
      <x:c r="C8014" s="9" t="n">
        <x:v>1</x:v>
      </x:c>
      <x:c r="D8014" s="8" t="n">
        <x:v>45524</x:v>
      </x:c>
      <x:c r="E8014" s="9" t="n">
        <x:v>4704000</x:v>
      </x:c>
      <x:c r="F8014" s="9" t="n">
        <x:v>4704000</x:v>
      </x:c>
    </x:row>
    <x:row r="8015" ht="34" customHeight="1">
      <x:c r="A8015" s="4" t="str">
        <x:v>RS-03968-I2</x:v>
      </x:c>
      <x:c r="B8015" s="4" t="str">
        <x:v>RS-03968</x:v>
      </x:c>
      <x:c r="C8015" s="9" t="n">
        <x:v>2</x:v>
      </x:c>
      <x:c r="D8015" s="8" t="n">
        <x:v>45554</x:v>
      </x:c>
      <x:c r="E8015" s="9" t="n">
        <x:v>4704000</x:v>
      </x:c>
      <x:c r="F8015" s="9" t="n">
        <x:v>4704000</x:v>
      </x:c>
    </x:row>
    <x:row r="8016" ht="34" customHeight="1">
      <x:c r="A8016" s="4" t="str">
        <x:v>RS-03968-I3</x:v>
      </x:c>
      <x:c r="B8016" s="4" t="str">
        <x:v>RS-03968</x:v>
      </x:c>
      <x:c r="C8016" s="9" t="n">
        <x:v>3</x:v>
      </x:c>
      <x:c r="D8016" s="8" t="n">
        <x:v>45584</x:v>
      </x:c>
      <x:c r="E8016" s="9" t="n">
        <x:v>4704000</x:v>
      </x:c>
      <x:c r="F8016" s="9" t="n">
        <x:v>0</x:v>
      </x:c>
    </x:row>
    <x:row r="8017" ht="34" customHeight="1">
      <x:c r="A8017" s="4" t="str">
        <x:v>RS-03968-I4</x:v>
      </x:c>
      <x:c r="B8017" s="4" t="str">
        <x:v>RS-03968</x:v>
      </x:c>
      <x:c r="C8017" s="9" t="n">
        <x:v>4</x:v>
      </x:c>
      <x:c r="D8017" s="8" t="n">
        <x:v>45614</x:v>
      </x:c>
      <x:c r="E8017" s="9" t="n">
        <x:v>4704000</x:v>
      </x:c>
      <x:c r="F8017" s="9" t="n">
        <x:v>0</x:v>
      </x:c>
    </x:row>
    <x:row r="8018" ht="34" customHeight="1">
      <x:c r="A8018" s="4" t="str">
        <x:v>RS-03969-I1</x:v>
      </x:c>
      <x:c r="B8018" s="4" t="str">
        <x:v>RS-03969</x:v>
      </x:c>
      <x:c r="C8018" s="9" t="n">
        <x:v>1</x:v>
      </x:c>
      <x:c r="D8018" s="8" t="n">
        <x:v>45525</x:v>
      </x:c>
      <x:c r="E8018" s="9" t="n">
        <x:v>3278250</x:v>
      </x:c>
      <x:c r="F8018" s="9" t="n">
        <x:v>1311300</x:v>
      </x:c>
    </x:row>
    <x:row r="8019" ht="34" customHeight="1">
      <x:c r="A8019" s="4" t="str">
        <x:v>RS-03969-I2</x:v>
      </x:c>
      <x:c r="B8019" s="4" t="str">
        <x:v>RS-03969</x:v>
      </x:c>
      <x:c r="C8019" s="9" t="n">
        <x:v>2</x:v>
      </x:c>
      <x:c r="D8019" s="8" t="n">
        <x:v>45555</x:v>
      </x:c>
      <x:c r="E8019" s="9" t="n">
        <x:v>3278250</x:v>
      </x:c>
      <x:c r="F8019" s="9" t="n">
        <x:v>0</x:v>
      </x:c>
    </x:row>
    <x:row r="8020" ht="34" customHeight="1">
      <x:c r="A8020" s="4" t="str">
        <x:v>RS-03969-I3</x:v>
      </x:c>
      <x:c r="B8020" s="4" t="str">
        <x:v>RS-03969</x:v>
      </x:c>
      <x:c r="C8020" s="9" t="n">
        <x:v>3</x:v>
      </x:c>
      <x:c r="D8020" s="8" t="n">
        <x:v>45585</x:v>
      </x:c>
      <x:c r="E8020" s="9" t="n">
        <x:v>3278250</x:v>
      </x:c>
      <x:c r="F8020" s="9" t="n">
        <x:v>0</x:v>
      </x:c>
    </x:row>
    <x:row r="8021" ht="34" customHeight="1">
      <x:c r="A8021" s="4" t="str">
        <x:v>RS-03969-I4</x:v>
      </x:c>
      <x:c r="B8021" s="4" t="str">
        <x:v>RS-03969</x:v>
      </x:c>
      <x:c r="C8021" s="9" t="n">
        <x:v>4</x:v>
      </x:c>
      <x:c r="D8021" s="8" t="n">
        <x:v>45615</x:v>
      </x:c>
      <x:c r="E8021" s="9" t="n">
        <x:v>3278250</x:v>
      </x:c>
      <x:c r="F8021" s="9" t="n">
        <x:v>0</x:v>
      </x:c>
    </x:row>
    <x:row r="8022" ht="34" customHeight="1">
      <x:c r="A8022" s="4" t="str">
        <x:v>RS-03971-I1</x:v>
      </x:c>
      <x:c r="B8022" s="4" t="str">
        <x:v>RS-03971</x:v>
      </x:c>
      <x:c r="C8022" s="9" t="n">
        <x:v>1</x:v>
      </x:c>
      <x:c r="D8022" s="8" t="n">
        <x:v>45527</x:v>
      </x:c>
      <x:c r="E8022" s="9" t="n">
        <x:v>3410000</x:v>
      </x:c>
      <x:c r="F8022" s="9" t="n">
        <x:v>1364000</x:v>
      </x:c>
    </x:row>
    <x:row r="8023" ht="34" customHeight="1">
      <x:c r="A8023" s="4" t="str">
        <x:v>RS-03971-I2</x:v>
      </x:c>
      <x:c r="B8023" s="4" t="str">
        <x:v>RS-03971</x:v>
      </x:c>
      <x:c r="C8023" s="9" t="n">
        <x:v>2</x:v>
      </x:c>
      <x:c r="D8023" s="8" t="n">
        <x:v>45557</x:v>
      </x:c>
      <x:c r="E8023" s="9" t="n">
        <x:v>3410000</x:v>
      </x:c>
      <x:c r="F8023" s="9" t="n">
        <x:v>0</x:v>
      </x:c>
    </x:row>
    <x:row r="8024" ht="34" customHeight="1">
      <x:c r="A8024" s="4" t="str">
        <x:v>RS-03971-I3</x:v>
      </x:c>
      <x:c r="B8024" s="4" t="str">
        <x:v>RS-03971</x:v>
      </x:c>
      <x:c r="C8024" s="9" t="n">
        <x:v>3</x:v>
      </x:c>
      <x:c r="D8024" s="8" t="n">
        <x:v>45587</x:v>
      </x:c>
      <x:c r="E8024" s="9" t="n">
        <x:v>3410000</x:v>
      </x:c>
      <x:c r="F8024" s="9" t="n">
        <x:v>0</x:v>
      </x:c>
    </x:row>
    <x:row r="8025" ht="34" customHeight="1">
      <x:c r="A8025" s="4" t="str">
        <x:v>RS-03971-I4</x:v>
      </x:c>
      <x:c r="B8025" s="4" t="str">
        <x:v>RS-03971</x:v>
      </x:c>
      <x:c r="C8025" s="9" t="n">
        <x:v>4</x:v>
      </x:c>
      <x:c r="D8025" s="8" t="n">
        <x:v>45617</x:v>
      </x:c>
      <x:c r="E8025" s="9" t="n">
        <x:v>3410000</x:v>
      </x:c>
      <x:c r="F8025" s="9" t="n">
        <x:v>0</x:v>
      </x:c>
    </x:row>
    <x:row r="8026" ht="34" customHeight="1">
      <x:c r="A8026" s="4" t="str">
        <x:v>RS-03972-I1</x:v>
      </x:c>
      <x:c r="B8026" s="4" t="str">
        <x:v>RS-03972</x:v>
      </x:c>
      <x:c r="C8026" s="9" t="n">
        <x:v>1</x:v>
      </x:c>
      <x:c r="D8026" s="8" t="n">
        <x:v>45528</x:v>
      </x:c>
      <x:c r="E8026" s="9" t="n">
        <x:v>4815000</x:v>
      </x:c>
      <x:c r="F8026" s="9" t="n">
        <x:v>1926000</x:v>
      </x:c>
    </x:row>
    <x:row r="8027" ht="34" customHeight="1">
      <x:c r="A8027" s="4" t="str">
        <x:v>RS-03972-I2</x:v>
      </x:c>
      <x:c r="B8027" s="4" t="str">
        <x:v>RS-03972</x:v>
      </x:c>
      <x:c r="C8027" s="9" t="n">
        <x:v>2</x:v>
      </x:c>
      <x:c r="D8027" s="8" t="n">
        <x:v>45558</x:v>
      </x:c>
      <x:c r="E8027" s="9" t="n">
        <x:v>4815000</x:v>
      </x:c>
      <x:c r="F8027" s="9" t="n">
        <x:v>0</x:v>
      </x:c>
    </x:row>
    <x:row r="8028" ht="34" customHeight="1">
      <x:c r="A8028" s="4" t="str">
        <x:v>RS-03972-I3</x:v>
      </x:c>
      <x:c r="B8028" s="4" t="str">
        <x:v>RS-03972</x:v>
      </x:c>
      <x:c r="C8028" s="9" t="n">
        <x:v>3</x:v>
      </x:c>
      <x:c r="D8028" s="8" t="n">
        <x:v>45588</x:v>
      </x:c>
      <x:c r="E8028" s="9" t="n">
        <x:v>4815000</x:v>
      </x:c>
      <x:c r="F8028" s="9" t="n">
        <x:v>0</x:v>
      </x:c>
    </x:row>
    <x:row r="8029" ht="34" customHeight="1">
      <x:c r="A8029" s="4" t="str">
        <x:v>RS-03972-I4</x:v>
      </x:c>
      <x:c r="B8029" s="4" t="str">
        <x:v>RS-03972</x:v>
      </x:c>
      <x:c r="C8029" s="9" t="n">
        <x:v>4</x:v>
      </x:c>
      <x:c r="D8029" s="8" t="n">
        <x:v>45618</x:v>
      </x:c>
      <x:c r="E8029" s="9" t="n">
        <x:v>4815000</x:v>
      </x:c>
      <x:c r="F8029" s="9" t="n">
        <x:v>0</x:v>
      </x:c>
    </x:row>
    <x:row r="8030" ht="34" customHeight="1">
      <x:c r="A8030" s="4" t="str">
        <x:v>RS-03973-I1</x:v>
      </x:c>
      <x:c r="B8030" s="4" t="str">
        <x:v>RS-03973</x:v>
      </x:c>
      <x:c r="C8030" s="9" t="n">
        <x:v>1</x:v>
      </x:c>
      <x:c r="D8030" s="8" t="n">
        <x:v>45529</x:v>
      </x:c>
      <x:c r="E8030" s="9" t="n">
        <x:v>1579750</x:v>
      </x:c>
      <x:c r="F8030" s="9" t="n">
        <x:v>1579750</x:v>
      </x:c>
    </x:row>
    <x:row r="8031" ht="34" customHeight="1">
      <x:c r="A8031" s="4" t="str">
        <x:v>RS-03973-I2</x:v>
      </x:c>
      <x:c r="B8031" s="4" t="str">
        <x:v>RS-03973</x:v>
      </x:c>
      <x:c r="C8031" s="9" t="n">
        <x:v>2</x:v>
      </x:c>
      <x:c r="D8031" s="8" t="n">
        <x:v>45559</x:v>
      </x:c>
      <x:c r="E8031" s="9" t="n">
        <x:v>1579750</x:v>
      </x:c>
      <x:c r="F8031" s="9" t="n">
        <x:v>1579750</x:v>
      </x:c>
    </x:row>
    <x:row r="8032" ht="34" customHeight="1">
      <x:c r="A8032" s="4" t="str">
        <x:v>RS-03973-I3</x:v>
      </x:c>
      <x:c r="B8032" s="4" t="str">
        <x:v>RS-03973</x:v>
      </x:c>
      <x:c r="C8032" s="9" t="n">
        <x:v>3</x:v>
      </x:c>
      <x:c r="D8032" s="8" t="n">
        <x:v>45589</x:v>
      </x:c>
      <x:c r="E8032" s="9" t="n">
        <x:v>1579750</x:v>
      </x:c>
      <x:c r="F8032" s="9" t="n">
        <x:v>0</x:v>
      </x:c>
    </x:row>
    <x:row r="8033" ht="34" customHeight="1">
      <x:c r="A8033" s="4" t="str">
        <x:v>RS-03973-I4</x:v>
      </x:c>
      <x:c r="B8033" s="4" t="str">
        <x:v>RS-03973</x:v>
      </x:c>
      <x:c r="C8033" s="9" t="n">
        <x:v>4</x:v>
      </x:c>
      <x:c r="D8033" s="8" t="n">
        <x:v>45619</x:v>
      </x:c>
      <x:c r="E8033" s="9" t="n">
        <x:v>1579750</x:v>
      </x:c>
      <x:c r="F8033" s="9" t="n">
        <x:v>0</x:v>
      </x:c>
    </x:row>
    <x:row r="8034" ht="34" customHeight="1">
      <x:c r="A8034" s="4" t="str">
        <x:v>RS-03979-I1</x:v>
      </x:c>
      <x:c r="B8034" s="4" t="str">
        <x:v>RS-03979</x:v>
      </x:c>
      <x:c r="C8034" s="9" t="n">
        <x:v>1</x:v>
      </x:c>
      <x:c r="D8034" s="8" t="n">
        <x:v>45507</x:v>
      </x:c>
      <x:c r="E8034" s="9" t="n">
        <x:v>4005000</x:v>
      </x:c>
      <x:c r="F8034" s="9" t="n">
        <x:v>4005000</x:v>
      </x:c>
    </x:row>
    <x:row r="8035" ht="34" customHeight="1">
      <x:c r="A8035" s="4" t="str">
        <x:v>RS-03979-I2</x:v>
      </x:c>
      <x:c r="B8035" s="4" t="str">
        <x:v>RS-03979</x:v>
      </x:c>
      <x:c r="C8035" s="9" t="n">
        <x:v>2</x:v>
      </x:c>
      <x:c r="D8035" s="8" t="n">
        <x:v>45537</x:v>
      </x:c>
      <x:c r="E8035" s="9" t="n">
        <x:v>4005000</x:v>
      </x:c>
      <x:c r="F8035" s="9" t="n">
        <x:v>4005000</x:v>
      </x:c>
    </x:row>
    <x:row r="8036" ht="34" customHeight="1">
      <x:c r="A8036" s="4" t="str">
        <x:v>RS-03979-I3</x:v>
      </x:c>
      <x:c r="B8036" s="4" t="str">
        <x:v>RS-03979</x:v>
      </x:c>
      <x:c r="C8036" s="9" t="n">
        <x:v>3</x:v>
      </x:c>
      <x:c r="D8036" s="8" t="n">
        <x:v>45567</x:v>
      </x:c>
      <x:c r="E8036" s="9" t="n">
        <x:v>4005000</x:v>
      </x:c>
      <x:c r="F8036" s="9" t="n">
        <x:v>4005000</x:v>
      </x:c>
    </x:row>
    <x:row r="8037" ht="34" customHeight="1">
      <x:c r="A8037" s="4" t="str">
        <x:v>RS-03979-I4</x:v>
      </x:c>
      <x:c r="B8037" s="4" t="str">
        <x:v>RS-03979</x:v>
      </x:c>
      <x:c r="C8037" s="9" t="n">
        <x:v>4</x:v>
      </x:c>
      <x:c r="D8037" s="8" t="n">
        <x:v>45597</x:v>
      </x:c>
      <x:c r="E8037" s="9" t="n">
        <x:v>4005000</x:v>
      </x:c>
      <x:c r="F8037" s="9" t="n">
        <x:v>4005000</x:v>
      </x:c>
    </x:row>
    <x:row r="8038" ht="34" customHeight="1">
      <x:c r="A8038" s="4" t="str">
        <x:v>RS-03981-I1</x:v>
      </x:c>
      <x:c r="B8038" s="4" t="str">
        <x:v>RS-03981</x:v>
      </x:c>
      <x:c r="C8038" s="9" t="n">
        <x:v>1</x:v>
      </x:c>
      <x:c r="D8038" s="8" t="n">
        <x:v>45509</x:v>
      </x:c>
      <x:c r="E8038" s="9" t="n">
        <x:v>1176000</x:v>
      </x:c>
      <x:c r="F8038" s="9" t="n">
        <x:v>1176000</x:v>
      </x:c>
    </x:row>
    <x:row r="8039" ht="34" customHeight="1">
      <x:c r="A8039" s="4" t="str">
        <x:v>RS-03981-I2</x:v>
      </x:c>
      <x:c r="B8039" s="4" t="str">
        <x:v>RS-03981</x:v>
      </x:c>
      <x:c r="C8039" s="9" t="n">
        <x:v>2</x:v>
      </x:c>
      <x:c r="D8039" s="8" t="n">
        <x:v>45539</x:v>
      </x:c>
      <x:c r="E8039" s="9" t="n">
        <x:v>1176000</x:v>
      </x:c>
      <x:c r="F8039" s="9" t="n">
        <x:v>1176000</x:v>
      </x:c>
    </x:row>
    <x:row r="8040" ht="34" customHeight="1">
      <x:c r="A8040" s="4" t="str">
        <x:v>RS-03981-I3</x:v>
      </x:c>
      <x:c r="B8040" s="4" t="str">
        <x:v>RS-03981</x:v>
      </x:c>
      <x:c r="C8040" s="9" t="n">
        <x:v>3</x:v>
      </x:c>
      <x:c r="D8040" s="8" t="n">
        <x:v>45569</x:v>
      </x:c>
      <x:c r="E8040" s="9" t="n">
        <x:v>1176000</x:v>
      </x:c>
      <x:c r="F8040" s="9" t="n">
        <x:v>1176000</x:v>
      </x:c>
    </x:row>
    <x:row r="8041" ht="34" customHeight="1">
      <x:c r="A8041" s="4" t="str">
        <x:v>RS-03981-I4</x:v>
      </x:c>
      <x:c r="B8041" s="4" t="str">
        <x:v>RS-03981</x:v>
      </x:c>
      <x:c r="C8041" s="9" t="n">
        <x:v>4</x:v>
      </x:c>
      <x:c r="D8041" s="8" t="n">
        <x:v>45599</x:v>
      </x:c>
      <x:c r="E8041" s="9" t="n">
        <x:v>1176000</x:v>
      </x:c>
      <x:c r="F8041" s="9" t="n">
        <x:v>1176000</x:v>
      </x:c>
    </x:row>
    <x:row r="8042" ht="34" customHeight="1">
      <x:c r="A8042" s="4" t="str">
        <x:v>RS-03983-I1</x:v>
      </x:c>
      <x:c r="B8042" s="4" t="str">
        <x:v>RS-03983</x:v>
      </x:c>
      <x:c r="C8042" s="9" t="n">
        <x:v>1</x:v>
      </x:c>
      <x:c r="D8042" s="8" t="n">
        <x:v>45511</x:v>
      </x:c>
      <x:c r="E8042" s="9" t="n">
        <x:v>750000</x:v>
      </x:c>
      <x:c r="F8042" s="9" t="n">
        <x:v>300000</x:v>
      </x:c>
    </x:row>
    <x:row r="8043" ht="34" customHeight="1">
      <x:c r="A8043" s="4" t="str">
        <x:v>RS-03983-I2</x:v>
      </x:c>
      <x:c r="B8043" s="4" t="str">
        <x:v>RS-03983</x:v>
      </x:c>
      <x:c r="C8043" s="9" t="n">
        <x:v>2</x:v>
      </x:c>
      <x:c r="D8043" s="8" t="n">
        <x:v>45541</x:v>
      </x:c>
      <x:c r="E8043" s="9" t="n">
        <x:v>750000</x:v>
      </x:c>
      <x:c r="F8043" s="9" t="n">
        <x:v>0</x:v>
      </x:c>
    </x:row>
    <x:row r="8044" ht="34" customHeight="1">
      <x:c r="A8044" s="4" t="str">
        <x:v>RS-03983-I3</x:v>
      </x:c>
      <x:c r="B8044" s="4" t="str">
        <x:v>RS-03983</x:v>
      </x:c>
      <x:c r="C8044" s="9" t="n">
        <x:v>3</x:v>
      </x:c>
      <x:c r="D8044" s="8" t="n">
        <x:v>45571</x:v>
      </x:c>
      <x:c r="E8044" s="9" t="n">
        <x:v>750000</x:v>
      </x:c>
      <x:c r="F8044" s="9" t="n">
        <x:v>0</x:v>
      </x:c>
    </x:row>
    <x:row r="8045" ht="34" customHeight="1">
      <x:c r="A8045" s="4" t="str">
        <x:v>RS-03983-I4</x:v>
      </x:c>
      <x:c r="B8045" s="4" t="str">
        <x:v>RS-03983</x:v>
      </x:c>
      <x:c r="C8045" s="9" t="n">
        <x:v>4</x:v>
      </x:c>
      <x:c r="D8045" s="8" t="n">
        <x:v>45601</x:v>
      </x:c>
      <x:c r="E8045" s="9" t="n">
        <x:v>750000</x:v>
      </x:c>
      <x:c r="F8045" s="9" t="n">
        <x:v>0</x:v>
      </x:c>
    </x:row>
    <x:row r="8046" ht="34" customHeight="1">
      <x:c r="A8046" s="4" t="str">
        <x:v>RS-03985-I1</x:v>
      </x:c>
      <x:c r="B8046" s="4" t="str">
        <x:v>RS-03985</x:v>
      </x:c>
      <x:c r="C8046" s="9" t="n">
        <x:v>1</x:v>
      </x:c>
      <x:c r="D8046" s="8" t="n">
        <x:v>45513</x:v>
      </x:c>
      <x:c r="E8046" s="9" t="n">
        <x:v>4797500</x:v>
      </x:c>
      <x:c r="F8046" s="9" t="n">
        <x:v>1919000</x:v>
      </x:c>
    </x:row>
    <x:row r="8047" ht="34" customHeight="1">
      <x:c r="A8047" s="4" t="str">
        <x:v>RS-03985-I2</x:v>
      </x:c>
      <x:c r="B8047" s="4" t="str">
        <x:v>RS-03985</x:v>
      </x:c>
      <x:c r="C8047" s="9" t="n">
        <x:v>2</x:v>
      </x:c>
      <x:c r="D8047" s="8" t="n">
        <x:v>45543</x:v>
      </x:c>
      <x:c r="E8047" s="9" t="n">
        <x:v>4797500</x:v>
      </x:c>
      <x:c r="F8047" s="9" t="n">
        <x:v>0</x:v>
      </x:c>
    </x:row>
    <x:row r="8048" ht="34" customHeight="1">
      <x:c r="A8048" s="4" t="str">
        <x:v>RS-03985-I3</x:v>
      </x:c>
      <x:c r="B8048" s="4" t="str">
        <x:v>RS-03985</x:v>
      </x:c>
      <x:c r="C8048" s="9" t="n">
        <x:v>3</x:v>
      </x:c>
      <x:c r="D8048" s="8" t="n">
        <x:v>45573</x:v>
      </x:c>
      <x:c r="E8048" s="9" t="n">
        <x:v>4797500</x:v>
      </x:c>
      <x:c r="F8048" s="9" t="n">
        <x:v>0</x:v>
      </x:c>
    </x:row>
    <x:row r="8049" ht="34" customHeight="1">
      <x:c r="A8049" s="4" t="str">
        <x:v>RS-03985-I4</x:v>
      </x:c>
      <x:c r="B8049" s="4" t="str">
        <x:v>RS-03985</x:v>
      </x:c>
      <x:c r="C8049" s="9" t="n">
        <x:v>4</x:v>
      </x:c>
      <x:c r="D8049" s="8" t="n">
        <x:v>45603</x:v>
      </x:c>
      <x:c r="E8049" s="9" t="n">
        <x:v>4797500</x:v>
      </x:c>
      <x:c r="F8049" s="9" t="n">
        <x:v>0</x:v>
      </x:c>
    </x:row>
    <x:row r="8050" ht="34" customHeight="1">
      <x:c r="A8050" s="4" t="str">
        <x:v>RS-03987-I1</x:v>
      </x:c>
      <x:c r="B8050" s="4" t="str">
        <x:v>RS-03987</x:v>
      </x:c>
      <x:c r="C8050" s="9" t="n">
        <x:v>1</x:v>
      </x:c>
      <x:c r="D8050" s="8" t="n">
        <x:v>45515</x:v>
      </x:c>
      <x:c r="E8050" s="9" t="n">
        <x:v>1852500</x:v>
      </x:c>
      <x:c r="F8050" s="9" t="n">
        <x:v>741000</x:v>
      </x:c>
    </x:row>
    <x:row r="8051" ht="34" customHeight="1">
      <x:c r="A8051" s="4" t="str">
        <x:v>RS-03987-I2</x:v>
      </x:c>
      <x:c r="B8051" s="4" t="str">
        <x:v>RS-03987</x:v>
      </x:c>
      <x:c r="C8051" s="9" t="n">
        <x:v>2</x:v>
      </x:c>
      <x:c r="D8051" s="8" t="n">
        <x:v>45545</x:v>
      </x:c>
      <x:c r="E8051" s="9" t="n">
        <x:v>1852500</x:v>
      </x:c>
      <x:c r="F8051" s="9" t="n">
        <x:v>0</x:v>
      </x:c>
    </x:row>
    <x:row r="8052" ht="34" customHeight="1">
      <x:c r="A8052" s="4" t="str">
        <x:v>RS-03987-I3</x:v>
      </x:c>
      <x:c r="B8052" s="4" t="str">
        <x:v>RS-03987</x:v>
      </x:c>
      <x:c r="C8052" s="9" t="n">
        <x:v>3</x:v>
      </x:c>
      <x:c r="D8052" s="8" t="n">
        <x:v>45575</x:v>
      </x:c>
      <x:c r="E8052" s="9" t="n">
        <x:v>1852500</x:v>
      </x:c>
      <x:c r="F8052" s="9" t="n">
        <x:v>0</x:v>
      </x:c>
    </x:row>
    <x:row r="8053" ht="34" customHeight="1">
      <x:c r="A8053" s="4" t="str">
        <x:v>RS-03987-I4</x:v>
      </x:c>
      <x:c r="B8053" s="4" t="str">
        <x:v>RS-03987</x:v>
      </x:c>
      <x:c r="C8053" s="9" t="n">
        <x:v>4</x:v>
      </x:c>
      <x:c r="D8053" s="8" t="n">
        <x:v>45605</x:v>
      </x:c>
      <x:c r="E8053" s="9" t="n">
        <x:v>1852500</x:v>
      </x:c>
      <x:c r="F8053" s="9" t="n">
        <x:v>0</x:v>
      </x:c>
    </x:row>
    <x:row r="8054" ht="34" customHeight="1">
      <x:c r="A8054" s="4" t="str">
        <x:v>RS-03989-I1</x:v>
      </x:c>
      <x:c r="B8054" s="4" t="str">
        <x:v>RS-03989</x:v>
      </x:c>
      <x:c r="C8054" s="9" t="n">
        <x:v>1</x:v>
      </x:c>
      <x:c r="D8054" s="8" t="n">
        <x:v>45517</x:v>
      </x:c>
      <x:c r="E8054" s="9" t="n">
        <x:v>3072000</x:v>
      </x:c>
      <x:c r="F8054" s="9" t="n">
        <x:v>3072000</x:v>
      </x:c>
    </x:row>
    <x:row r="8055" ht="34" customHeight="1">
      <x:c r="A8055" s="4" t="str">
        <x:v>RS-03989-I2</x:v>
      </x:c>
      <x:c r="B8055" s="4" t="str">
        <x:v>RS-03989</x:v>
      </x:c>
      <x:c r="C8055" s="9" t="n">
        <x:v>2</x:v>
      </x:c>
      <x:c r="D8055" s="8" t="n">
        <x:v>45547</x:v>
      </x:c>
      <x:c r="E8055" s="9" t="n">
        <x:v>3072000</x:v>
      </x:c>
      <x:c r="F8055" s="9" t="n">
        <x:v>3072000</x:v>
      </x:c>
    </x:row>
    <x:row r="8056" ht="34" customHeight="1">
      <x:c r="A8056" s="4" t="str">
        <x:v>RS-03989-I3</x:v>
      </x:c>
      <x:c r="B8056" s="4" t="str">
        <x:v>RS-03989</x:v>
      </x:c>
      <x:c r="C8056" s="9" t="n">
        <x:v>3</x:v>
      </x:c>
      <x:c r="D8056" s="8" t="n">
        <x:v>45577</x:v>
      </x:c>
      <x:c r="E8056" s="9" t="n">
        <x:v>3072000</x:v>
      </x:c>
      <x:c r="F8056" s="9" t="n">
        <x:v>0</x:v>
      </x:c>
    </x:row>
    <x:row r="8057" ht="34" customHeight="1">
      <x:c r="A8057" s="4" t="str">
        <x:v>RS-03989-I4</x:v>
      </x:c>
      <x:c r="B8057" s="4" t="str">
        <x:v>RS-03989</x:v>
      </x:c>
      <x:c r="C8057" s="9" t="n">
        <x:v>4</x:v>
      </x:c>
      <x:c r="D8057" s="8" t="n">
        <x:v>45607</x:v>
      </x:c>
      <x:c r="E8057" s="9" t="n">
        <x:v>3072000</x:v>
      </x:c>
      <x:c r="F8057" s="9" t="n">
        <x:v>0</x:v>
      </x:c>
    </x:row>
    <x:row r="8058" ht="34" customHeight="1">
      <x:c r="A8058" s="4" t="str">
        <x:v>RS-03991-I1</x:v>
      </x:c>
      <x:c r="B8058" s="4" t="str">
        <x:v>RS-03991</x:v>
      </x:c>
      <x:c r="C8058" s="9" t="n">
        <x:v>1</x:v>
      </x:c>
      <x:c r="D8058" s="8" t="n">
        <x:v>45519</x:v>
      </x:c>
      <x:c r="E8058" s="9" t="n">
        <x:v>3408000</x:v>
      </x:c>
      <x:c r="F8058" s="9" t="n">
        <x:v>1363200</x:v>
      </x:c>
    </x:row>
    <x:row r="8059" ht="34" customHeight="1">
      <x:c r="A8059" s="4" t="str">
        <x:v>RS-03991-I2</x:v>
      </x:c>
      <x:c r="B8059" s="4" t="str">
        <x:v>RS-03991</x:v>
      </x:c>
      <x:c r="C8059" s="9" t="n">
        <x:v>2</x:v>
      </x:c>
      <x:c r="D8059" s="8" t="n">
        <x:v>45549</x:v>
      </x:c>
      <x:c r="E8059" s="9" t="n">
        <x:v>3408000</x:v>
      </x:c>
      <x:c r="F8059" s="9" t="n">
        <x:v>0</x:v>
      </x:c>
    </x:row>
    <x:row r="8060" ht="34" customHeight="1">
      <x:c r="A8060" s="4" t="str">
        <x:v>RS-03991-I3</x:v>
      </x:c>
      <x:c r="B8060" s="4" t="str">
        <x:v>RS-03991</x:v>
      </x:c>
      <x:c r="C8060" s="9" t="n">
        <x:v>3</x:v>
      </x:c>
      <x:c r="D8060" s="8" t="n">
        <x:v>45579</x:v>
      </x:c>
      <x:c r="E8060" s="9" t="n">
        <x:v>3408000</x:v>
      </x:c>
      <x:c r="F8060" s="9" t="n">
        <x:v>0</x:v>
      </x:c>
    </x:row>
    <x:row r="8061" ht="34" customHeight="1">
      <x:c r="A8061" s="4" t="str">
        <x:v>RS-03991-I4</x:v>
      </x:c>
      <x:c r="B8061" s="4" t="str">
        <x:v>RS-03991</x:v>
      </x:c>
      <x:c r="C8061" s="9" t="n">
        <x:v>4</x:v>
      </x:c>
      <x:c r="D8061" s="8" t="n">
        <x:v>45609</x:v>
      </x:c>
      <x:c r="E8061" s="9" t="n">
        <x:v>3408000</x:v>
      </x:c>
      <x:c r="F8061" s="9" t="n">
        <x:v>0</x:v>
      </x:c>
    </x:row>
    <x:row r="8062" ht="34" customHeight="1">
      <x:c r="A8062" s="4" t="str">
        <x:v>RS-03995-I1</x:v>
      </x:c>
      <x:c r="B8062" s="4" t="str">
        <x:v>RS-03995</x:v>
      </x:c>
      <x:c r="C8062" s="9" t="n">
        <x:v>1</x:v>
      </x:c>
      <x:c r="D8062" s="8" t="n">
        <x:v>45523</x:v>
      </x:c>
      <x:c r="E8062" s="9" t="n">
        <x:v>1535250</x:v>
      </x:c>
      <x:c r="F8062" s="9" t="n">
        <x:v>1535250</x:v>
      </x:c>
    </x:row>
    <x:row r="8063" ht="34" customHeight="1">
      <x:c r="A8063" s="4" t="str">
        <x:v>RS-03995-I2</x:v>
      </x:c>
      <x:c r="B8063" s="4" t="str">
        <x:v>RS-03995</x:v>
      </x:c>
      <x:c r="C8063" s="9" t="n">
        <x:v>2</x:v>
      </x:c>
      <x:c r="D8063" s="8" t="n">
        <x:v>45553</x:v>
      </x:c>
      <x:c r="E8063" s="9" t="n">
        <x:v>1535250</x:v>
      </x:c>
      <x:c r="F8063" s="9" t="n">
        <x:v>0</x:v>
      </x:c>
    </x:row>
    <x:row r="8064" ht="34" customHeight="1">
      <x:c r="A8064" s="4" t="str">
        <x:v>RS-03995-I3</x:v>
      </x:c>
      <x:c r="B8064" s="4" t="str">
        <x:v>RS-03995</x:v>
      </x:c>
      <x:c r="C8064" s="9" t="n">
        <x:v>3</x:v>
      </x:c>
      <x:c r="D8064" s="8" t="n">
        <x:v>45583</x:v>
      </x:c>
      <x:c r="E8064" s="9" t="n">
        <x:v>1535250</x:v>
      </x:c>
      <x:c r="F8064" s="9" t="n">
        <x:v>0</x:v>
      </x:c>
    </x:row>
    <x:row r="8065" ht="34" customHeight="1">
      <x:c r="A8065" s="4" t="str">
        <x:v>RS-03995-I4</x:v>
      </x:c>
      <x:c r="B8065" s="4" t="str">
        <x:v>RS-03995</x:v>
      </x:c>
      <x:c r="C8065" s="9" t="n">
        <x:v>4</x:v>
      </x:c>
      <x:c r="D8065" s="8" t="n">
        <x:v>45613</x:v>
      </x:c>
      <x:c r="E8065" s="9" t="n">
        <x:v>1535250</x:v>
      </x:c>
      <x:c r="F8065" s="9" t="n">
        <x:v>0</x:v>
      </x:c>
    </x:row>
    <x:row r="8066" ht="34" customHeight="1">
      <x:c r="A8066" s="4" t="str">
        <x:v>RS-03997-I1</x:v>
      </x:c>
      <x:c r="B8066" s="4" t="str">
        <x:v>RS-03997</x:v>
      </x:c>
      <x:c r="C8066" s="9" t="n">
        <x:v>1</x:v>
      </x:c>
      <x:c r="D8066" s="8" t="n">
        <x:v>45525</x:v>
      </x:c>
      <x:c r="E8066" s="9" t="n">
        <x:v>5313000</x:v>
      </x:c>
      <x:c r="F8066" s="9" t="n">
        <x:v>5313000</x:v>
      </x:c>
    </x:row>
    <x:row r="8067" ht="34" customHeight="1">
      <x:c r="A8067" s="4" t="str">
        <x:v>RS-03997-I2</x:v>
      </x:c>
      <x:c r="B8067" s="4" t="str">
        <x:v>RS-03997</x:v>
      </x:c>
      <x:c r="C8067" s="9" t="n">
        <x:v>2</x:v>
      </x:c>
      <x:c r="D8067" s="8" t="n">
        <x:v>45555</x:v>
      </x:c>
      <x:c r="E8067" s="9" t="n">
        <x:v>5313000</x:v>
      </x:c>
      <x:c r="F8067" s="9" t="n">
        <x:v>5313000</x:v>
      </x:c>
    </x:row>
    <x:row r="8068" ht="34" customHeight="1">
      <x:c r="A8068" s="4" t="str">
        <x:v>RS-03997-I3</x:v>
      </x:c>
      <x:c r="B8068" s="4" t="str">
        <x:v>RS-03997</x:v>
      </x:c>
      <x:c r="C8068" s="9" t="n">
        <x:v>3</x:v>
      </x:c>
      <x:c r="D8068" s="8" t="n">
        <x:v>45585</x:v>
      </x:c>
      <x:c r="E8068" s="9" t="n">
        <x:v>5313000</x:v>
      </x:c>
      <x:c r="F8068" s="9" t="n">
        <x:v>5313000</x:v>
      </x:c>
    </x:row>
    <x:row r="8069" ht="34" customHeight="1">
      <x:c r="A8069" s="4" t="str">
        <x:v>RS-03997-I4</x:v>
      </x:c>
      <x:c r="B8069" s="4" t="str">
        <x:v>RS-03997</x:v>
      </x:c>
      <x:c r="C8069" s="9" t="n">
        <x:v>4</x:v>
      </x:c>
      <x:c r="D8069" s="8" t="n">
        <x:v>45615</x:v>
      </x:c>
      <x:c r="E8069" s="9" t="n">
        <x:v>5313000</x:v>
      </x:c>
      <x:c r="F8069" s="9" t="n">
        <x:v>5313000</x:v>
      </x:c>
    </x:row>
    <x:row r="8070" ht="34" customHeight="1">
      <x:c r="A8070" s="4" t="str">
        <x:v>RS-03998-I1</x:v>
      </x:c>
      <x:c r="B8070" s="4" t="str">
        <x:v>RS-03998</x:v>
      </x:c>
      <x:c r="C8070" s="9" t="n">
        <x:v>1</x:v>
      </x:c>
      <x:c r="D8070" s="8" t="n">
        <x:v>45526</x:v>
      </x:c>
      <x:c r="E8070" s="9" t="n">
        <x:v>2929500</x:v>
      </x:c>
      <x:c r="F8070" s="9" t="n">
        <x:v>2929500</x:v>
      </x:c>
    </x:row>
    <x:row r="8071" ht="34" customHeight="1">
      <x:c r="A8071" s="4" t="str">
        <x:v>RS-03998-I2</x:v>
      </x:c>
      <x:c r="B8071" s="4" t="str">
        <x:v>RS-03998</x:v>
      </x:c>
      <x:c r="C8071" s="9" t="n">
        <x:v>2</x:v>
      </x:c>
      <x:c r="D8071" s="8" t="n">
        <x:v>45556</x:v>
      </x:c>
      <x:c r="E8071" s="9" t="n">
        <x:v>2929500</x:v>
      </x:c>
      <x:c r="F8071" s="9" t="n">
        <x:v>2929500</x:v>
      </x:c>
    </x:row>
    <x:row r="8072" ht="34" customHeight="1">
      <x:c r="A8072" s="4" t="str">
        <x:v>RS-03998-I3</x:v>
      </x:c>
      <x:c r="B8072" s="4" t="str">
        <x:v>RS-03998</x:v>
      </x:c>
      <x:c r="C8072" s="9" t="n">
        <x:v>3</x:v>
      </x:c>
      <x:c r="D8072" s="8" t="n">
        <x:v>45586</x:v>
      </x:c>
      <x:c r="E8072" s="9" t="n">
        <x:v>2929500</x:v>
      </x:c>
      <x:c r="F8072" s="9" t="n">
        <x:v>0</x:v>
      </x:c>
    </x:row>
    <x:row r="8073" ht="34" customHeight="1">
      <x:c r="A8073" s="4" t="str">
        <x:v>RS-03998-I4</x:v>
      </x:c>
      <x:c r="B8073" s="4" t="str">
        <x:v>RS-03998</x:v>
      </x:c>
      <x:c r="C8073" s="9" t="n">
        <x:v>4</x:v>
      </x:c>
      <x:c r="D8073" s="8" t="n">
        <x:v>45616</x:v>
      </x:c>
      <x:c r="E8073" s="9" t="n">
        <x:v>2929500</x:v>
      </x:c>
      <x:c r="F8073" s="9" t="n">
        <x:v>0</x:v>
      </x:c>
    </x:row>
    <x:row r="8074" ht="34" customHeight="1">
      <x:c r="A8074" s="4" t="str">
        <x:v>RS-04001-I1</x:v>
      </x:c>
      <x:c r="B8074" s="4" t="str">
        <x:v>RS-04001</x:v>
      </x:c>
      <x:c r="C8074" s="9" t="n">
        <x:v>1</x:v>
      </x:c>
      <x:c r="D8074" s="8" t="n">
        <x:v>45560</x:v>
      </x:c>
      <x:c r="E8074" s="9" t="n">
        <x:v>2760000</x:v>
      </x:c>
      <x:c r="F8074" s="9" t="n">
        <x:v>2760000</x:v>
      </x:c>
    </x:row>
    <x:row r="8075" ht="34" customHeight="1">
      <x:c r="A8075" s="4" t="str">
        <x:v>RS-04001-I2</x:v>
      </x:c>
      <x:c r="B8075" s="4" t="str">
        <x:v>RS-04001</x:v>
      </x:c>
      <x:c r="C8075" s="9" t="n">
        <x:v>2</x:v>
      </x:c>
      <x:c r="D8075" s="8" t="n">
        <x:v>45590</x:v>
      </x:c>
      <x:c r="E8075" s="9" t="n">
        <x:v>2760000</x:v>
      </x:c>
      <x:c r="F8075" s="9" t="n">
        <x:v>2760000</x:v>
      </x:c>
    </x:row>
    <x:row r="8076" ht="34" customHeight="1">
      <x:c r="A8076" s="4" t="str">
        <x:v>RS-04001-I3</x:v>
      </x:c>
      <x:c r="B8076" s="4" t="str">
        <x:v>RS-04001</x:v>
      </x:c>
      <x:c r="C8076" s="9" t="n">
        <x:v>3</x:v>
      </x:c>
      <x:c r="D8076" s="8" t="n">
        <x:v>45620</x:v>
      </x:c>
      <x:c r="E8076" s="9" t="n">
        <x:v>2760000</x:v>
      </x:c>
      <x:c r="F8076" s="9" t="n">
        <x:v>0</x:v>
      </x:c>
    </x:row>
    <x:row r="8077" ht="34" customHeight="1">
      <x:c r="A8077" s="4" t="str">
        <x:v>RS-04001-I4</x:v>
      </x:c>
      <x:c r="B8077" s="4" t="str">
        <x:v>RS-04001</x:v>
      </x:c>
      <x:c r="C8077" s="9" t="n">
        <x:v>4</x:v>
      </x:c>
      <x:c r="D8077" s="8" t="n">
        <x:v>45650</x:v>
      </x:c>
      <x:c r="E8077" s="9" t="n">
        <x:v>2760000</x:v>
      </x:c>
      <x:c r="F8077" s="9" t="n">
        <x:v>0</x:v>
      </x:c>
    </x:row>
    <x:row r="8078" ht="34" customHeight="1">
      <x:c r="A8078" s="4" t="str">
        <x:v>RS-04007-I1</x:v>
      </x:c>
      <x:c r="B8078" s="4" t="str">
        <x:v>RS-04007</x:v>
      </x:c>
      <x:c r="C8078" s="9" t="n">
        <x:v>1</x:v>
      </x:c>
      <x:c r="D8078" s="8" t="n">
        <x:v>45538</x:v>
      </x:c>
      <x:c r="E8078" s="9" t="n">
        <x:v>4122500</x:v>
      </x:c>
      <x:c r="F8078" s="9" t="n">
        <x:v>4122500</x:v>
      </x:c>
    </x:row>
    <x:row r="8079" ht="34" customHeight="1">
      <x:c r="A8079" s="4" t="str">
        <x:v>RS-04007-I2</x:v>
      </x:c>
      <x:c r="B8079" s="4" t="str">
        <x:v>RS-04007</x:v>
      </x:c>
      <x:c r="C8079" s="9" t="n">
        <x:v>2</x:v>
      </x:c>
      <x:c r="D8079" s="8" t="n">
        <x:v>45568</x:v>
      </x:c>
      <x:c r="E8079" s="9" t="n">
        <x:v>4122500</x:v>
      </x:c>
      <x:c r="F8079" s="9" t="n">
        <x:v>0</x:v>
      </x:c>
    </x:row>
    <x:row r="8080" ht="34" customHeight="1">
      <x:c r="A8080" s="4" t="str">
        <x:v>RS-04007-I3</x:v>
      </x:c>
      <x:c r="B8080" s="4" t="str">
        <x:v>RS-04007</x:v>
      </x:c>
      <x:c r="C8080" s="9" t="n">
        <x:v>3</x:v>
      </x:c>
      <x:c r="D8080" s="8" t="n">
        <x:v>45598</x:v>
      </x:c>
      <x:c r="E8080" s="9" t="n">
        <x:v>4122500</x:v>
      </x:c>
      <x:c r="F8080" s="9" t="n">
        <x:v>0</x:v>
      </x:c>
    </x:row>
    <x:row r="8081" ht="34" customHeight="1">
      <x:c r="A8081" s="4" t="str">
        <x:v>RS-04007-I4</x:v>
      </x:c>
      <x:c r="B8081" s="4" t="str">
        <x:v>RS-04007</x:v>
      </x:c>
      <x:c r="C8081" s="9" t="n">
        <x:v>4</x:v>
      </x:c>
      <x:c r="D8081" s="8" t="n">
        <x:v>45628</x:v>
      </x:c>
      <x:c r="E8081" s="9" t="n">
        <x:v>4122500</x:v>
      </x:c>
      <x:c r="F8081" s="9" t="n">
        <x:v>0</x:v>
      </x:c>
    </x:row>
    <x:row r="8082" ht="34" customHeight="1">
      <x:c r="A8082" s="4" t="str">
        <x:v>RS-04008-I1</x:v>
      </x:c>
      <x:c r="B8082" s="4" t="str">
        <x:v>RS-04008</x:v>
      </x:c>
      <x:c r="C8082" s="9" t="n">
        <x:v>1</x:v>
      </x:c>
      <x:c r="D8082" s="8" t="n">
        <x:v>45539</x:v>
      </x:c>
      <x:c r="E8082" s="9" t="n">
        <x:v>3069000</x:v>
      </x:c>
      <x:c r="F8082" s="9" t="n">
        <x:v>3069000</x:v>
      </x:c>
    </x:row>
    <x:row r="8083" ht="34" customHeight="1">
      <x:c r="A8083" s="4" t="str">
        <x:v>RS-04008-I2</x:v>
      </x:c>
      <x:c r="B8083" s="4" t="str">
        <x:v>RS-04008</x:v>
      </x:c>
      <x:c r="C8083" s="9" t="n">
        <x:v>2</x:v>
      </x:c>
      <x:c r="D8083" s="8" t="n">
        <x:v>45569</x:v>
      </x:c>
      <x:c r="E8083" s="9" t="n">
        <x:v>3069000</x:v>
      </x:c>
      <x:c r="F8083" s="9" t="n">
        <x:v>3069000</x:v>
      </x:c>
    </x:row>
    <x:row r="8084" ht="34" customHeight="1">
      <x:c r="A8084" s="4" t="str">
        <x:v>RS-04008-I3</x:v>
      </x:c>
      <x:c r="B8084" s="4" t="str">
        <x:v>RS-04008</x:v>
      </x:c>
      <x:c r="C8084" s="9" t="n">
        <x:v>3</x:v>
      </x:c>
      <x:c r="D8084" s="8" t="n">
        <x:v>45599</x:v>
      </x:c>
      <x:c r="E8084" s="9" t="n">
        <x:v>3069000</x:v>
      </x:c>
      <x:c r="F8084" s="9" t="n">
        <x:v>0</x:v>
      </x:c>
    </x:row>
    <x:row r="8085" ht="34" customHeight="1">
      <x:c r="A8085" s="4" t="str">
        <x:v>RS-04008-I4</x:v>
      </x:c>
      <x:c r="B8085" s="4" t="str">
        <x:v>RS-04008</x:v>
      </x:c>
      <x:c r="C8085" s="9" t="n">
        <x:v>4</x:v>
      </x:c>
      <x:c r="D8085" s="8" t="n">
        <x:v>45629</x:v>
      </x:c>
      <x:c r="E8085" s="9" t="n">
        <x:v>3069000</x:v>
      </x:c>
      <x:c r="F8085" s="9" t="n">
        <x:v>0</x:v>
      </x:c>
    </x:row>
    <x:row r="8086" ht="34" customHeight="1">
      <x:c r="A8086" s="4" t="str">
        <x:v>RS-04009-I1</x:v>
      </x:c>
      <x:c r="B8086" s="4" t="str">
        <x:v>RS-04009</x:v>
      </x:c>
      <x:c r="C8086" s="9" t="n">
        <x:v>1</x:v>
      </x:c>
      <x:c r="D8086" s="8" t="n">
        <x:v>45540</x:v>
      </x:c>
      <x:c r="E8086" s="9" t="n">
        <x:v>4393750</x:v>
      </x:c>
      <x:c r="F8086" s="9" t="n">
        <x:v>1757500</x:v>
      </x:c>
    </x:row>
    <x:row r="8087" ht="34" customHeight="1">
      <x:c r="A8087" s="4" t="str">
        <x:v>RS-04009-I2</x:v>
      </x:c>
      <x:c r="B8087" s="4" t="str">
        <x:v>RS-04009</x:v>
      </x:c>
      <x:c r="C8087" s="9" t="n">
        <x:v>2</x:v>
      </x:c>
      <x:c r="D8087" s="8" t="n">
        <x:v>45570</x:v>
      </x:c>
      <x:c r="E8087" s="9" t="n">
        <x:v>4393750</x:v>
      </x:c>
      <x:c r="F8087" s="9" t="n">
        <x:v>0</x:v>
      </x:c>
    </x:row>
    <x:row r="8088" ht="34" customHeight="1">
      <x:c r="A8088" s="4" t="str">
        <x:v>RS-04009-I3</x:v>
      </x:c>
      <x:c r="B8088" s="4" t="str">
        <x:v>RS-04009</x:v>
      </x:c>
      <x:c r="C8088" s="9" t="n">
        <x:v>3</x:v>
      </x:c>
      <x:c r="D8088" s="8" t="n">
        <x:v>45600</x:v>
      </x:c>
      <x:c r="E8088" s="9" t="n">
        <x:v>4393750</x:v>
      </x:c>
      <x:c r="F8088" s="9" t="n">
        <x:v>0</x:v>
      </x:c>
    </x:row>
    <x:row r="8089" ht="34" customHeight="1">
      <x:c r="A8089" s="4" t="str">
        <x:v>RS-04009-I4</x:v>
      </x:c>
      <x:c r="B8089" s="4" t="str">
        <x:v>RS-04009</x:v>
      </x:c>
      <x:c r="C8089" s="9" t="n">
        <x:v>4</x:v>
      </x:c>
      <x:c r="D8089" s="8" t="n">
        <x:v>45630</x:v>
      </x:c>
      <x:c r="E8089" s="9" t="n">
        <x:v>4393750</x:v>
      </x:c>
      <x:c r="F8089" s="9" t="n">
        <x:v>0</x:v>
      </x:c>
    </x:row>
    <x:row r="8090" ht="34" customHeight="1">
      <x:c r="A8090" s="4" t="str">
        <x:v>RS-04010-I1</x:v>
      </x:c>
      <x:c r="B8090" s="4" t="str">
        <x:v>RS-04010</x:v>
      </x:c>
      <x:c r="C8090" s="9" t="n">
        <x:v>1</x:v>
      </x:c>
      <x:c r="D8090" s="8" t="n">
        <x:v>45541</x:v>
      </x:c>
      <x:c r="E8090" s="9" t="n">
        <x:v>3895500</x:v>
      </x:c>
      <x:c r="F8090" s="9" t="n">
        <x:v>3895500</x:v>
      </x:c>
    </x:row>
    <x:row r="8091" ht="34" customHeight="1">
      <x:c r="A8091" s="4" t="str">
        <x:v>RS-04010-I2</x:v>
      </x:c>
      <x:c r="B8091" s="4" t="str">
        <x:v>RS-04010</x:v>
      </x:c>
      <x:c r="C8091" s="9" t="n">
        <x:v>2</x:v>
      </x:c>
      <x:c r="D8091" s="8" t="n">
        <x:v>45571</x:v>
      </x:c>
      <x:c r="E8091" s="9" t="n">
        <x:v>3895500</x:v>
      </x:c>
      <x:c r="F8091" s="9" t="n">
        <x:v>3895500</x:v>
      </x:c>
    </x:row>
    <x:row r="8092" ht="34" customHeight="1">
      <x:c r="A8092" s="4" t="str">
        <x:v>RS-04010-I3</x:v>
      </x:c>
      <x:c r="B8092" s="4" t="str">
        <x:v>RS-04010</x:v>
      </x:c>
      <x:c r="C8092" s="9" t="n">
        <x:v>3</x:v>
      </x:c>
      <x:c r="D8092" s="8" t="n">
        <x:v>45601</x:v>
      </x:c>
      <x:c r="E8092" s="9" t="n">
        <x:v>3895500</x:v>
      </x:c>
      <x:c r="F8092" s="9" t="n">
        <x:v>0</x:v>
      </x:c>
    </x:row>
    <x:row r="8093" ht="34" customHeight="1">
      <x:c r="A8093" s="4" t="str">
        <x:v>RS-04010-I4</x:v>
      </x:c>
      <x:c r="B8093" s="4" t="str">
        <x:v>RS-04010</x:v>
      </x:c>
      <x:c r="C8093" s="9" t="n">
        <x:v>4</x:v>
      </x:c>
      <x:c r="D8093" s="8" t="n">
        <x:v>45631</x:v>
      </x:c>
      <x:c r="E8093" s="9" t="n">
        <x:v>3895500</x:v>
      </x:c>
      <x:c r="F8093" s="9" t="n">
        <x:v>0</x:v>
      </x:c>
    </x:row>
    <x:row r="8094" ht="34" customHeight="1">
      <x:c r="A8094" s="4" t="str">
        <x:v>RS-04013-I1</x:v>
      </x:c>
      <x:c r="B8094" s="4" t="str">
        <x:v>RS-04013</x:v>
      </x:c>
      <x:c r="C8094" s="9" t="n">
        <x:v>1</x:v>
      </x:c>
      <x:c r="D8094" s="8" t="n">
        <x:v>45544</x:v>
      </x:c>
      <x:c r="E8094" s="9" t="n">
        <x:v>2575000</x:v>
      </x:c>
      <x:c r="F8094" s="9" t="n">
        <x:v>1030000</x:v>
      </x:c>
    </x:row>
    <x:row r="8095" ht="34" customHeight="1">
      <x:c r="A8095" s="4" t="str">
        <x:v>RS-04013-I2</x:v>
      </x:c>
      <x:c r="B8095" s="4" t="str">
        <x:v>RS-04013</x:v>
      </x:c>
      <x:c r="C8095" s="9" t="n">
        <x:v>2</x:v>
      </x:c>
      <x:c r="D8095" s="8" t="n">
        <x:v>45574</x:v>
      </x:c>
      <x:c r="E8095" s="9" t="n">
        <x:v>2575000</x:v>
      </x:c>
      <x:c r="F8095" s="9" t="n">
        <x:v>0</x:v>
      </x:c>
    </x:row>
    <x:row r="8096" ht="34" customHeight="1">
      <x:c r="A8096" s="4" t="str">
        <x:v>RS-04013-I3</x:v>
      </x:c>
      <x:c r="B8096" s="4" t="str">
        <x:v>RS-04013</x:v>
      </x:c>
      <x:c r="C8096" s="9" t="n">
        <x:v>3</x:v>
      </x:c>
      <x:c r="D8096" s="8" t="n">
        <x:v>45604</x:v>
      </x:c>
      <x:c r="E8096" s="9" t="n">
        <x:v>2575000</x:v>
      </x:c>
      <x:c r="F8096" s="9" t="n">
        <x:v>0</x:v>
      </x:c>
    </x:row>
    <x:row r="8097" ht="34" customHeight="1">
      <x:c r="A8097" s="4" t="str">
        <x:v>RS-04013-I4</x:v>
      </x:c>
      <x:c r="B8097" s="4" t="str">
        <x:v>RS-04013</x:v>
      </x:c>
      <x:c r="C8097" s="9" t="n">
        <x:v>4</x:v>
      </x:c>
      <x:c r="D8097" s="8" t="n">
        <x:v>45634</x:v>
      </x:c>
      <x:c r="E8097" s="9" t="n">
        <x:v>2575000</x:v>
      </x:c>
      <x:c r="F8097" s="9" t="n">
        <x:v>0</x:v>
      </x:c>
    </x:row>
    <x:row r="8098" ht="34" customHeight="1">
      <x:c r="A8098" s="4" t="str">
        <x:v>RS-04015-I1</x:v>
      </x:c>
      <x:c r="B8098" s="4" t="str">
        <x:v>RS-04015</x:v>
      </x:c>
      <x:c r="C8098" s="9" t="n">
        <x:v>1</x:v>
      </x:c>
      <x:c r="D8098" s="8" t="n">
        <x:v>45546</x:v>
      </x:c>
      <x:c r="E8098" s="9" t="n">
        <x:v>963500</x:v>
      </x:c>
      <x:c r="F8098" s="9" t="n">
        <x:v>963500</x:v>
      </x:c>
    </x:row>
    <x:row r="8099" ht="34" customHeight="1">
      <x:c r="A8099" s="4" t="str">
        <x:v>RS-04015-I2</x:v>
      </x:c>
      <x:c r="B8099" s="4" t="str">
        <x:v>RS-04015</x:v>
      </x:c>
      <x:c r="C8099" s="9" t="n">
        <x:v>2</x:v>
      </x:c>
      <x:c r="D8099" s="8" t="n">
        <x:v>45576</x:v>
      </x:c>
      <x:c r="E8099" s="9" t="n">
        <x:v>963500</x:v>
      </x:c>
      <x:c r="F8099" s="9" t="n">
        <x:v>963500</x:v>
      </x:c>
    </x:row>
    <x:row r="8100" ht="34" customHeight="1">
      <x:c r="A8100" s="4" t="str">
        <x:v>RS-04015-I3</x:v>
      </x:c>
      <x:c r="B8100" s="4" t="str">
        <x:v>RS-04015</x:v>
      </x:c>
      <x:c r="C8100" s="9" t="n">
        <x:v>3</x:v>
      </x:c>
      <x:c r="D8100" s="8" t="n">
        <x:v>45606</x:v>
      </x:c>
      <x:c r="E8100" s="9" t="n">
        <x:v>963500</x:v>
      </x:c>
      <x:c r="F8100" s="9" t="n">
        <x:v>963500</x:v>
      </x:c>
    </x:row>
    <x:row r="8101" ht="34" customHeight="1">
      <x:c r="A8101" s="4" t="str">
        <x:v>RS-04015-I4</x:v>
      </x:c>
      <x:c r="B8101" s="4" t="str">
        <x:v>RS-04015</x:v>
      </x:c>
      <x:c r="C8101" s="9" t="n">
        <x:v>4</x:v>
      </x:c>
      <x:c r="D8101" s="8" t="n">
        <x:v>45636</x:v>
      </x:c>
      <x:c r="E8101" s="9" t="n">
        <x:v>963500</x:v>
      </x:c>
      <x:c r="F8101" s="9" t="n">
        <x:v>963500</x:v>
      </x:c>
    </x:row>
    <x:row r="8102" ht="34" customHeight="1">
      <x:c r="A8102" s="4" t="str">
        <x:v>RS-04018-I1</x:v>
      </x:c>
      <x:c r="B8102" s="4" t="str">
        <x:v>RS-04018</x:v>
      </x:c>
      <x:c r="C8102" s="9" t="n">
        <x:v>1</x:v>
      </x:c>
      <x:c r="D8102" s="8" t="n">
        <x:v>45549</x:v>
      </x:c>
      <x:c r="E8102" s="9" t="n">
        <x:v>3151000</x:v>
      </x:c>
      <x:c r="F8102" s="9" t="n">
        <x:v>3151000</x:v>
      </x:c>
    </x:row>
    <x:row r="8103" ht="34" customHeight="1">
      <x:c r="A8103" s="4" t="str">
        <x:v>RS-04018-I2</x:v>
      </x:c>
      <x:c r="B8103" s="4" t="str">
        <x:v>RS-04018</x:v>
      </x:c>
      <x:c r="C8103" s="9" t="n">
        <x:v>2</x:v>
      </x:c>
      <x:c r="D8103" s="8" t="n">
        <x:v>45579</x:v>
      </x:c>
      <x:c r="E8103" s="9" t="n">
        <x:v>3151000</x:v>
      </x:c>
      <x:c r="F8103" s="9" t="n">
        <x:v>3151000</x:v>
      </x:c>
    </x:row>
    <x:row r="8104" ht="34" customHeight="1">
      <x:c r="A8104" s="4" t="str">
        <x:v>RS-04018-I3</x:v>
      </x:c>
      <x:c r="B8104" s="4" t="str">
        <x:v>RS-04018</x:v>
      </x:c>
      <x:c r="C8104" s="9" t="n">
        <x:v>3</x:v>
      </x:c>
      <x:c r="D8104" s="8" t="n">
        <x:v>45609</x:v>
      </x:c>
      <x:c r="E8104" s="9" t="n">
        <x:v>3151000</x:v>
      </x:c>
      <x:c r="F8104" s="9" t="n">
        <x:v>3151000</x:v>
      </x:c>
    </x:row>
    <x:row r="8105" ht="34" customHeight="1">
      <x:c r="A8105" s="4" t="str">
        <x:v>RS-04018-I4</x:v>
      </x:c>
      <x:c r="B8105" s="4" t="str">
        <x:v>RS-04018</x:v>
      </x:c>
      <x:c r="C8105" s="9" t="n">
        <x:v>4</x:v>
      </x:c>
      <x:c r="D8105" s="8" t="n">
        <x:v>45639</x:v>
      </x:c>
      <x:c r="E8105" s="9" t="n">
        <x:v>3151000</x:v>
      </x:c>
      <x:c r="F8105" s="9" t="n">
        <x:v>3151000</x:v>
      </x:c>
    </x:row>
    <x:row r="8106" ht="34" customHeight="1">
      <x:c r="A8106" s="4" t="str">
        <x:v>RS-04020-I1</x:v>
      </x:c>
      <x:c r="B8106" s="4" t="str">
        <x:v>RS-04020</x:v>
      </x:c>
      <x:c r="C8106" s="9" t="n">
        <x:v>1</x:v>
      </x:c>
      <x:c r="D8106" s="8" t="n">
        <x:v>45551</x:v>
      </x:c>
      <x:c r="E8106" s="9" t="n">
        <x:v>2885750</x:v>
      </x:c>
      <x:c r="F8106" s="9" t="n">
        <x:v>2885750</x:v>
      </x:c>
    </x:row>
    <x:row r="8107" ht="34" customHeight="1">
      <x:c r="A8107" s="4" t="str">
        <x:v>RS-04020-I2</x:v>
      </x:c>
      <x:c r="B8107" s="4" t="str">
        <x:v>RS-04020</x:v>
      </x:c>
      <x:c r="C8107" s="9" t="n">
        <x:v>2</x:v>
      </x:c>
      <x:c r="D8107" s="8" t="n">
        <x:v>45581</x:v>
      </x:c>
      <x:c r="E8107" s="9" t="n">
        <x:v>2885750</x:v>
      </x:c>
      <x:c r="F8107" s="9" t="n">
        <x:v>0</x:v>
      </x:c>
    </x:row>
    <x:row r="8108" ht="34" customHeight="1">
      <x:c r="A8108" s="4" t="str">
        <x:v>RS-04020-I3</x:v>
      </x:c>
      <x:c r="B8108" s="4" t="str">
        <x:v>RS-04020</x:v>
      </x:c>
      <x:c r="C8108" s="9" t="n">
        <x:v>3</x:v>
      </x:c>
      <x:c r="D8108" s="8" t="n">
        <x:v>45611</x:v>
      </x:c>
      <x:c r="E8108" s="9" t="n">
        <x:v>2885750</x:v>
      </x:c>
      <x:c r="F8108" s="9" t="n">
        <x:v>0</x:v>
      </x:c>
    </x:row>
    <x:row r="8109" ht="34" customHeight="1">
      <x:c r="A8109" s="4" t="str">
        <x:v>RS-04020-I4</x:v>
      </x:c>
      <x:c r="B8109" s="4" t="str">
        <x:v>RS-04020</x:v>
      </x:c>
      <x:c r="C8109" s="9" t="n">
        <x:v>4</x:v>
      </x:c>
      <x:c r="D8109" s="8" t="n">
        <x:v>45641</x:v>
      </x:c>
      <x:c r="E8109" s="9" t="n">
        <x:v>2885750</x:v>
      </x:c>
      <x:c r="F8109" s="9" t="n">
        <x:v>0</x:v>
      </x:c>
    </x:row>
    <x:row r="8110" ht="34" customHeight="1">
      <x:c r="A8110" s="4" t="str">
        <x:v>RS-04021-I1</x:v>
      </x:c>
      <x:c r="B8110" s="4" t="str">
        <x:v>RS-04021</x:v>
      </x:c>
      <x:c r="C8110" s="9" t="n">
        <x:v>1</x:v>
      </x:c>
      <x:c r="D8110" s="8" t="n">
        <x:v>45552</x:v>
      </x:c>
      <x:c r="E8110" s="9" t="n">
        <x:v>801000</x:v>
      </x:c>
      <x:c r="F8110" s="9" t="n">
        <x:v>801000</x:v>
      </x:c>
    </x:row>
    <x:row r="8111" ht="34" customHeight="1">
      <x:c r="A8111" s="4" t="str">
        <x:v>RS-04021-I2</x:v>
      </x:c>
      <x:c r="B8111" s="4" t="str">
        <x:v>RS-04021</x:v>
      </x:c>
      <x:c r="C8111" s="9" t="n">
        <x:v>2</x:v>
      </x:c>
      <x:c r="D8111" s="8" t="n">
        <x:v>45582</x:v>
      </x:c>
      <x:c r="E8111" s="9" t="n">
        <x:v>801000</x:v>
      </x:c>
      <x:c r="F8111" s="9" t="n">
        <x:v>801000</x:v>
      </x:c>
    </x:row>
    <x:row r="8112" ht="34" customHeight="1">
      <x:c r="A8112" s="4" t="str">
        <x:v>RS-04021-I3</x:v>
      </x:c>
      <x:c r="B8112" s="4" t="str">
        <x:v>RS-04021</x:v>
      </x:c>
      <x:c r="C8112" s="9" t="n">
        <x:v>3</x:v>
      </x:c>
      <x:c r="D8112" s="8" t="n">
        <x:v>45612</x:v>
      </x:c>
      <x:c r="E8112" s="9" t="n">
        <x:v>801000</x:v>
      </x:c>
      <x:c r="F8112" s="9" t="n">
        <x:v>0</x:v>
      </x:c>
    </x:row>
    <x:row r="8113" ht="34" customHeight="1">
      <x:c r="A8113" s="4" t="str">
        <x:v>RS-04021-I4</x:v>
      </x:c>
      <x:c r="B8113" s="4" t="str">
        <x:v>RS-04021</x:v>
      </x:c>
      <x:c r="C8113" s="9" t="n">
        <x:v>4</x:v>
      </x:c>
      <x:c r="D8113" s="8" t="n">
        <x:v>45642</x:v>
      </x:c>
      <x:c r="E8113" s="9" t="n">
        <x:v>801000</x:v>
      </x:c>
      <x:c r="F8113" s="9" t="n">
        <x:v>0</x:v>
      </x:c>
    </x:row>
    <x:row r="8114" ht="34" customHeight="1">
      <x:c r="A8114" s="4" t="str">
        <x:v>RS-04022-I1</x:v>
      </x:c>
      <x:c r="B8114" s="4" t="str">
        <x:v>RS-04022</x:v>
      </x:c>
      <x:c r="C8114" s="9" t="n">
        <x:v>1</x:v>
      </x:c>
      <x:c r="D8114" s="8" t="n">
        <x:v>45553</x:v>
      </x:c>
      <x:c r="E8114" s="9" t="n">
        <x:v>3432000</x:v>
      </x:c>
      <x:c r="F8114" s="9" t="n">
        <x:v>3432000</x:v>
      </x:c>
    </x:row>
    <x:row r="8115" ht="34" customHeight="1">
      <x:c r="A8115" s="4" t="str">
        <x:v>RS-04022-I2</x:v>
      </x:c>
      <x:c r="B8115" s="4" t="str">
        <x:v>RS-04022</x:v>
      </x:c>
      <x:c r="C8115" s="9" t="n">
        <x:v>2</x:v>
      </x:c>
      <x:c r="D8115" s="8" t="n">
        <x:v>45583</x:v>
      </x:c>
      <x:c r="E8115" s="9" t="n">
        <x:v>3432000</x:v>
      </x:c>
      <x:c r="F8115" s="9" t="n">
        <x:v>0</x:v>
      </x:c>
    </x:row>
    <x:row r="8116" ht="34" customHeight="1">
      <x:c r="A8116" s="4" t="str">
        <x:v>RS-04022-I3</x:v>
      </x:c>
      <x:c r="B8116" s="4" t="str">
        <x:v>RS-04022</x:v>
      </x:c>
      <x:c r="C8116" s="9" t="n">
        <x:v>3</x:v>
      </x:c>
      <x:c r="D8116" s="8" t="n">
        <x:v>45613</x:v>
      </x:c>
      <x:c r="E8116" s="9" t="n">
        <x:v>3432000</x:v>
      </x:c>
      <x:c r="F8116" s="9" t="n">
        <x:v>0</x:v>
      </x:c>
    </x:row>
    <x:row r="8117" ht="34" customHeight="1">
      <x:c r="A8117" s="4" t="str">
        <x:v>RS-04022-I4</x:v>
      </x:c>
      <x:c r="B8117" s="4" t="str">
        <x:v>RS-04022</x:v>
      </x:c>
      <x:c r="C8117" s="9" t="n">
        <x:v>4</x:v>
      </x:c>
      <x:c r="D8117" s="8" t="n">
        <x:v>45643</x:v>
      </x:c>
      <x:c r="E8117" s="9" t="n">
        <x:v>3432000</x:v>
      </x:c>
      <x:c r="F8117" s="9" t="n">
        <x:v>0</x:v>
      </x:c>
    </x:row>
    <x:row r="8118" ht="34" customHeight="1">
      <x:c r="A8118" s="4" t="str">
        <x:v>RS-04026-I1</x:v>
      </x:c>
      <x:c r="B8118" s="4" t="str">
        <x:v>RS-04026</x:v>
      </x:c>
      <x:c r="C8118" s="9" t="n">
        <x:v>1</x:v>
      </x:c>
      <x:c r="D8118" s="8" t="n">
        <x:v>45557</x:v>
      </x:c>
      <x:c r="E8118" s="9" t="n">
        <x:v>1012000</x:v>
      </x:c>
      <x:c r="F8118" s="9" t="n">
        <x:v>1012000</x:v>
      </x:c>
    </x:row>
    <x:row r="8119" ht="34" customHeight="1">
      <x:c r="A8119" s="4" t="str">
        <x:v>RS-04026-I2</x:v>
      </x:c>
      <x:c r="B8119" s="4" t="str">
        <x:v>RS-04026</x:v>
      </x:c>
      <x:c r="C8119" s="9" t="n">
        <x:v>2</x:v>
      </x:c>
      <x:c r="D8119" s="8" t="n">
        <x:v>45587</x:v>
      </x:c>
      <x:c r="E8119" s="9" t="n">
        <x:v>1012000</x:v>
      </x:c>
      <x:c r="F8119" s="9" t="n">
        <x:v>1012000</x:v>
      </x:c>
    </x:row>
    <x:row r="8120" ht="34" customHeight="1">
      <x:c r="A8120" s="4" t="str">
        <x:v>RS-04026-I3</x:v>
      </x:c>
      <x:c r="B8120" s="4" t="str">
        <x:v>RS-04026</x:v>
      </x:c>
      <x:c r="C8120" s="9" t="n">
        <x:v>3</x:v>
      </x:c>
      <x:c r="D8120" s="8" t="n">
        <x:v>45617</x:v>
      </x:c>
      <x:c r="E8120" s="9" t="n">
        <x:v>1012000</x:v>
      </x:c>
      <x:c r="F8120" s="9" t="n">
        <x:v>1012000</x:v>
      </x:c>
    </x:row>
    <x:row r="8121" ht="34" customHeight="1">
      <x:c r="A8121" s="4" t="str">
        <x:v>RS-04026-I4</x:v>
      </x:c>
      <x:c r="B8121" s="4" t="str">
        <x:v>RS-04026</x:v>
      </x:c>
      <x:c r="C8121" s="9" t="n">
        <x:v>4</x:v>
      </x:c>
      <x:c r="D8121" s="8" t="n">
        <x:v>45647</x:v>
      </x:c>
      <x:c r="E8121" s="9" t="n">
        <x:v>1012000</x:v>
      </x:c>
      <x:c r="F8121" s="9" t="n">
        <x:v>1012000</x:v>
      </x:c>
    </x:row>
    <x:row r="8122" ht="34" customHeight="1">
      <x:c r="A8122" s="4" t="str">
        <x:v>RS-04027-I1</x:v>
      </x:c>
      <x:c r="B8122" s="4" t="str">
        <x:v>RS-04027</x:v>
      </x:c>
      <x:c r="C8122" s="9" t="n">
        <x:v>1</x:v>
      </x:c>
      <x:c r="D8122" s="8" t="n">
        <x:v>45558</x:v>
      </x:c>
      <x:c r="E8122" s="9" t="n">
        <x:v>1752000</x:v>
      </x:c>
      <x:c r="F8122" s="9" t="n">
        <x:v>1752000</x:v>
      </x:c>
    </x:row>
    <x:row r="8123" ht="34" customHeight="1">
      <x:c r="A8123" s="4" t="str">
        <x:v>RS-04027-I2</x:v>
      </x:c>
      <x:c r="B8123" s="4" t="str">
        <x:v>RS-04027</x:v>
      </x:c>
      <x:c r="C8123" s="9" t="n">
        <x:v>2</x:v>
      </x:c>
      <x:c r="D8123" s="8" t="n">
        <x:v>45588</x:v>
      </x:c>
      <x:c r="E8123" s="9" t="n">
        <x:v>1752000</x:v>
      </x:c>
      <x:c r="F8123" s="9" t="n">
        <x:v>1752000</x:v>
      </x:c>
    </x:row>
    <x:row r="8124" ht="34" customHeight="1">
      <x:c r="A8124" s="4" t="str">
        <x:v>RS-04027-I3</x:v>
      </x:c>
      <x:c r="B8124" s="4" t="str">
        <x:v>RS-04027</x:v>
      </x:c>
      <x:c r="C8124" s="9" t="n">
        <x:v>3</x:v>
      </x:c>
      <x:c r="D8124" s="8" t="n">
        <x:v>45618</x:v>
      </x:c>
      <x:c r="E8124" s="9" t="n">
        <x:v>1752000</x:v>
      </x:c>
      <x:c r="F8124" s="9" t="n">
        <x:v>0</x:v>
      </x:c>
    </x:row>
    <x:row r="8125" ht="34" customHeight="1">
      <x:c r="A8125" s="4" t="str">
        <x:v>RS-04027-I4</x:v>
      </x:c>
      <x:c r="B8125" s="4" t="str">
        <x:v>RS-04027</x:v>
      </x:c>
      <x:c r="C8125" s="9" t="n">
        <x:v>4</x:v>
      </x:c>
      <x:c r="D8125" s="8" t="n">
        <x:v>45648</x:v>
      </x:c>
      <x:c r="E8125" s="9" t="n">
        <x:v>1752000</x:v>
      </x:c>
      <x:c r="F8125" s="9" t="n">
        <x:v>0</x:v>
      </x:c>
    </x:row>
    <x:row r="8126" ht="34" customHeight="1">
      <x:c r="A8126" s="4" t="str">
        <x:v>RS-04030-I1</x:v>
      </x:c>
      <x:c r="B8126" s="4" t="str">
        <x:v>RS-04030</x:v>
      </x:c>
      <x:c r="C8126" s="9" t="n">
        <x:v>1</x:v>
      </x:c>
      <x:c r="D8126" s="8" t="n">
        <x:v>45561</x:v>
      </x:c>
      <x:c r="E8126" s="9" t="n">
        <x:v>2856000</x:v>
      </x:c>
      <x:c r="F8126" s="9" t="n">
        <x:v>2856000</x:v>
      </x:c>
    </x:row>
    <x:row r="8127" ht="34" customHeight="1">
      <x:c r="A8127" s="4" t="str">
        <x:v>RS-04030-I2</x:v>
      </x:c>
      <x:c r="B8127" s="4" t="str">
        <x:v>RS-04030</x:v>
      </x:c>
      <x:c r="C8127" s="9" t="n">
        <x:v>2</x:v>
      </x:c>
      <x:c r="D8127" s="8" t="n">
        <x:v>45591</x:v>
      </x:c>
      <x:c r="E8127" s="9" t="n">
        <x:v>2856000</x:v>
      </x:c>
      <x:c r="F8127" s="9" t="n">
        <x:v>0</x:v>
      </x:c>
    </x:row>
    <x:row r="8128" ht="34" customHeight="1">
      <x:c r="A8128" s="4" t="str">
        <x:v>RS-04030-I3</x:v>
      </x:c>
      <x:c r="B8128" s="4" t="str">
        <x:v>RS-04030</x:v>
      </x:c>
      <x:c r="C8128" s="9" t="n">
        <x:v>3</x:v>
      </x:c>
      <x:c r="D8128" s="8" t="n">
        <x:v>45621</x:v>
      </x:c>
      <x:c r="E8128" s="9" t="n">
        <x:v>2856000</x:v>
      </x:c>
      <x:c r="F8128" s="9" t="n">
        <x:v>0</x:v>
      </x:c>
    </x:row>
    <x:row r="8129" ht="34" customHeight="1">
      <x:c r="A8129" s="4" t="str">
        <x:v>RS-04030-I4</x:v>
      </x:c>
      <x:c r="B8129" s="4" t="str">
        <x:v>RS-04030</x:v>
      </x:c>
      <x:c r="C8129" s="9" t="n">
        <x:v>4</x:v>
      </x:c>
      <x:c r="D8129" s="8" t="n">
        <x:v>45651</x:v>
      </x:c>
      <x:c r="E8129" s="9" t="n">
        <x:v>2856000</x:v>
      </x:c>
      <x:c r="F8129" s="9" t="n">
        <x:v>0</x:v>
      </x:c>
    </x:row>
    <x:row r="8130" ht="34" customHeight="1">
      <x:c r="A8130" s="4" t="str">
        <x:v>RS-04032-I1</x:v>
      </x:c>
      <x:c r="B8130" s="4" t="str">
        <x:v>RS-04032</x:v>
      </x:c>
      <x:c r="C8130" s="9" t="n">
        <x:v>1</x:v>
      </x:c>
      <x:c r="D8130" s="8" t="n">
        <x:v>45563</x:v>
      </x:c>
      <x:c r="E8130" s="9" t="n">
        <x:v>1892000</x:v>
      </x:c>
      <x:c r="F8130" s="9" t="n">
        <x:v>1892000</x:v>
      </x:c>
    </x:row>
    <x:row r="8131" ht="34" customHeight="1">
      <x:c r="A8131" s="4" t="str">
        <x:v>RS-04032-I2</x:v>
      </x:c>
      <x:c r="B8131" s="4" t="str">
        <x:v>RS-04032</x:v>
      </x:c>
      <x:c r="C8131" s="9" t="n">
        <x:v>2</x:v>
      </x:c>
      <x:c r="D8131" s="8" t="n">
        <x:v>45593</x:v>
      </x:c>
      <x:c r="E8131" s="9" t="n">
        <x:v>1892000</x:v>
      </x:c>
      <x:c r="F8131" s="9" t="n">
        <x:v>1892000</x:v>
      </x:c>
    </x:row>
    <x:row r="8132" ht="34" customHeight="1">
      <x:c r="A8132" s="4" t="str">
        <x:v>RS-04032-I3</x:v>
      </x:c>
      <x:c r="B8132" s="4" t="str">
        <x:v>RS-04032</x:v>
      </x:c>
      <x:c r="C8132" s="9" t="n">
        <x:v>3</x:v>
      </x:c>
      <x:c r="D8132" s="8" t="n">
        <x:v>45623</x:v>
      </x:c>
      <x:c r="E8132" s="9" t="n">
        <x:v>1892000</x:v>
      </x:c>
      <x:c r="F8132" s="9" t="n">
        <x:v>1892000</x:v>
      </x:c>
    </x:row>
    <x:row r="8133" ht="34" customHeight="1">
      <x:c r="A8133" s="4" t="str">
        <x:v>RS-04032-I4</x:v>
      </x:c>
      <x:c r="B8133" s="4" t="str">
        <x:v>RS-04032</x:v>
      </x:c>
      <x:c r="C8133" s="9" t="n">
        <x:v>4</x:v>
      </x:c>
      <x:c r="D8133" s="8" t="n">
        <x:v>45653</x:v>
      </x:c>
      <x:c r="E8133" s="9" t="n">
        <x:v>1892000</x:v>
      </x:c>
      <x:c r="F8133" s="9" t="n">
        <x:v>1892000</x:v>
      </x:c>
    </x:row>
    <x:row r="8134" ht="34" customHeight="1">
      <x:c r="A8134" s="4" t="str">
        <x:v>RS-04034-I1</x:v>
      </x:c>
      <x:c r="B8134" s="4" t="str">
        <x:v>RS-04034</x:v>
      </x:c>
      <x:c r="C8134" s="9" t="n">
        <x:v>1</x:v>
      </x:c>
      <x:c r="D8134" s="8" t="n">
        <x:v>45537</x:v>
      </x:c>
      <x:c r="E8134" s="9" t="n">
        <x:v>4752000</x:v>
      </x:c>
      <x:c r="F8134" s="9" t="n">
        <x:v>4752000</x:v>
      </x:c>
    </x:row>
    <x:row r="8135" ht="34" customHeight="1">
      <x:c r="A8135" s="4" t="str">
        <x:v>RS-04034-I2</x:v>
      </x:c>
      <x:c r="B8135" s="4" t="str">
        <x:v>RS-04034</x:v>
      </x:c>
      <x:c r="C8135" s="9" t="n">
        <x:v>2</x:v>
      </x:c>
      <x:c r="D8135" s="8" t="n">
        <x:v>45567</x:v>
      </x:c>
      <x:c r="E8135" s="9" t="n">
        <x:v>4752000</x:v>
      </x:c>
      <x:c r="F8135" s="9" t="n">
        <x:v>4752000</x:v>
      </x:c>
    </x:row>
    <x:row r="8136" ht="34" customHeight="1">
      <x:c r="A8136" s="4" t="str">
        <x:v>RS-04034-I3</x:v>
      </x:c>
      <x:c r="B8136" s="4" t="str">
        <x:v>RS-04034</x:v>
      </x:c>
      <x:c r="C8136" s="9" t="n">
        <x:v>3</x:v>
      </x:c>
      <x:c r="D8136" s="8" t="n">
        <x:v>45597</x:v>
      </x:c>
      <x:c r="E8136" s="9" t="n">
        <x:v>4752000</x:v>
      </x:c>
      <x:c r="F8136" s="9" t="n">
        <x:v>0</x:v>
      </x:c>
    </x:row>
    <x:row r="8137" ht="34" customHeight="1">
      <x:c r="A8137" s="4" t="str">
        <x:v>RS-04034-I4</x:v>
      </x:c>
      <x:c r="B8137" s="4" t="str">
        <x:v>RS-04034</x:v>
      </x:c>
      <x:c r="C8137" s="9" t="n">
        <x:v>4</x:v>
      </x:c>
      <x:c r="D8137" s="8" t="n">
        <x:v>45627</x:v>
      </x:c>
      <x:c r="E8137" s="9" t="n">
        <x:v>4752000</x:v>
      </x:c>
      <x:c r="F8137" s="9" t="n">
        <x:v>0</x:v>
      </x:c>
    </x:row>
    <x:row r="8138" ht="34" customHeight="1">
      <x:c r="A8138" s="4" t="str">
        <x:v>RS-04037-I1</x:v>
      </x:c>
      <x:c r="B8138" s="4" t="str">
        <x:v>RS-04037</x:v>
      </x:c>
      <x:c r="C8138" s="9" t="n">
        <x:v>1</x:v>
      </x:c>
      <x:c r="D8138" s="8" t="n">
        <x:v>45540</x:v>
      </x:c>
      <x:c r="E8138" s="9" t="n">
        <x:v>1425000</x:v>
      </x:c>
      <x:c r="F8138" s="9" t="n">
        <x:v>1425000</x:v>
      </x:c>
    </x:row>
    <x:row r="8139" ht="34" customHeight="1">
      <x:c r="A8139" s="4" t="str">
        <x:v>RS-04037-I2</x:v>
      </x:c>
      <x:c r="B8139" s="4" t="str">
        <x:v>RS-04037</x:v>
      </x:c>
      <x:c r="C8139" s="9" t="n">
        <x:v>2</x:v>
      </x:c>
      <x:c r="D8139" s="8" t="n">
        <x:v>45570</x:v>
      </x:c>
      <x:c r="E8139" s="9" t="n">
        <x:v>1425000</x:v>
      </x:c>
      <x:c r="F8139" s="9" t="n">
        <x:v>1425000</x:v>
      </x:c>
    </x:row>
    <x:row r="8140" ht="34" customHeight="1">
      <x:c r="A8140" s="4" t="str">
        <x:v>RS-04037-I3</x:v>
      </x:c>
      <x:c r="B8140" s="4" t="str">
        <x:v>RS-04037</x:v>
      </x:c>
      <x:c r="C8140" s="9" t="n">
        <x:v>3</x:v>
      </x:c>
      <x:c r="D8140" s="8" t="n">
        <x:v>45600</x:v>
      </x:c>
      <x:c r="E8140" s="9" t="n">
        <x:v>1425000</x:v>
      </x:c>
      <x:c r="F8140" s="9" t="n">
        <x:v>1425000</x:v>
      </x:c>
    </x:row>
    <x:row r="8141" ht="34" customHeight="1">
      <x:c r="A8141" s="4" t="str">
        <x:v>RS-04037-I4</x:v>
      </x:c>
      <x:c r="B8141" s="4" t="str">
        <x:v>RS-04037</x:v>
      </x:c>
      <x:c r="C8141" s="9" t="n">
        <x:v>4</x:v>
      </x:c>
      <x:c r="D8141" s="8" t="n">
        <x:v>45630</x:v>
      </x:c>
      <x:c r="E8141" s="9" t="n">
        <x:v>1425000</x:v>
      </x:c>
      <x:c r="F8141" s="9" t="n">
        <x:v>1425000</x:v>
      </x:c>
    </x:row>
    <x:row r="8142" ht="34" customHeight="1">
      <x:c r="A8142" s="4" t="str">
        <x:v>RS-04038-I1</x:v>
      </x:c>
      <x:c r="B8142" s="4" t="str">
        <x:v>RS-04038</x:v>
      </x:c>
      <x:c r="C8142" s="9" t="n">
        <x:v>1</x:v>
      </x:c>
      <x:c r="D8142" s="8" t="n">
        <x:v>45541</x:v>
      </x:c>
      <x:c r="E8142" s="9" t="n">
        <x:v>2588750</x:v>
      </x:c>
      <x:c r="F8142" s="9" t="n">
        <x:v>2588750</x:v>
      </x:c>
    </x:row>
    <x:row r="8143" ht="34" customHeight="1">
      <x:c r="A8143" s="4" t="str">
        <x:v>RS-04038-I2</x:v>
      </x:c>
      <x:c r="B8143" s="4" t="str">
        <x:v>RS-04038</x:v>
      </x:c>
      <x:c r="C8143" s="9" t="n">
        <x:v>2</x:v>
      </x:c>
      <x:c r="D8143" s="8" t="n">
        <x:v>45571</x:v>
      </x:c>
      <x:c r="E8143" s="9" t="n">
        <x:v>2588750</x:v>
      </x:c>
      <x:c r="F8143" s="9" t="n">
        <x:v>2588750</x:v>
      </x:c>
    </x:row>
    <x:row r="8144" ht="34" customHeight="1">
      <x:c r="A8144" s="4" t="str">
        <x:v>RS-04038-I3</x:v>
      </x:c>
      <x:c r="B8144" s="4" t="str">
        <x:v>RS-04038</x:v>
      </x:c>
      <x:c r="C8144" s="9" t="n">
        <x:v>3</x:v>
      </x:c>
      <x:c r="D8144" s="8" t="n">
        <x:v>45601</x:v>
      </x:c>
      <x:c r="E8144" s="9" t="n">
        <x:v>2588750</x:v>
      </x:c>
      <x:c r="F8144" s="9" t="n">
        <x:v>0</x:v>
      </x:c>
    </x:row>
    <x:row r="8145" ht="34" customHeight="1">
      <x:c r="A8145" s="4" t="str">
        <x:v>RS-04038-I4</x:v>
      </x:c>
      <x:c r="B8145" s="4" t="str">
        <x:v>RS-04038</x:v>
      </x:c>
      <x:c r="C8145" s="9" t="n">
        <x:v>4</x:v>
      </x:c>
      <x:c r="D8145" s="8" t="n">
        <x:v>45631</x:v>
      </x:c>
      <x:c r="E8145" s="9" t="n">
        <x:v>2588750</x:v>
      </x:c>
      <x:c r="F8145" s="9" t="n">
        <x:v>0</x:v>
      </x:c>
    </x:row>
    <x:row r="8146" ht="34" customHeight="1">
      <x:c r="A8146" s="4" t="str">
        <x:v>RS-04039-I1</x:v>
      </x:c>
      <x:c r="B8146" s="4" t="str">
        <x:v>RS-04039</x:v>
      </x:c>
      <x:c r="C8146" s="9" t="n">
        <x:v>1</x:v>
      </x:c>
      <x:c r="D8146" s="8" t="n">
        <x:v>45542</x:v>
      </x:c>
      <x:c r="E8146" s="9" t="n">
        <x:v>2679000</x:v>
      </x:c>
      <x:c r="F8146" s="9" t="n">
        <x:v>1071600</x:v>
      </x:c>
    </x:row>
    <x:row r="8147" ht="34" customHeight="1">
      <x:c r="A8147" s="4" t="str">
        <x:v>RS-04039-I2</x:v>
      </x:c>
      <x:c r="B8147" s="4" t="str">
        <x:v>RS-04039</x:v>
      </x:c>
      <x:c r="C8147" s="9" t="n">
        <x:v>2</x:v>
      </x:c>
      <x:c r="D8147" s="8" t="n">
        <x:v>45572</x:v>
      </x:c>
      <x:c r="E8147" s="9" t="n">
        <x:v>2679000</x:v>
      </x:c>
      <x:c r="F8147" s="9" t="n">
        <x:v>0</x:v>
      </x:c>
    </x:row>
    <x:row r="8148" ht="34" customHeight="1">
      <x:c r="A8148" s="4" t="str">
        <x:v>RS-04039-I3</x:v>
      </x:c>
      <x:c r="B8148" s="4" t="str">
        <x:v>RS-04039</x:v>
      </x:c>
      <x:c r="C8148" s="9" t="n">
        <x:v>3</x:v>
      </x:c>
      <x:c r="D8148" s="8" t="n">
        <x:v>45602</x:v>
      </x:c>
      <x:c r="E8148" s="9" t="n">
        <x:v>2679000</x:v>
      </x:c>
      <x:c r="F8148" s="9" t="n">
        <x:v>0</x:v>
      </x:c>
    </x:row>
    <x:row r="8149" ht="34" customHeight="1">
      <x:c r="A8149" s="4" t="str">
        <x:v>RS-04039-I4</x:v>
      </x:c>
      <x:c r="B8149" s="4" t="str">
        <x:v>RS-04039</x:v>
      </x:c>
      <x:c r="C8149" s="9" t="n">
        <x:v>4</x:v>
      </x:c>
      <x:c r="D8149" s="8" t="n">
        <x:v>45632</x:v>
      </x:c>
      <x:c r="E8149" s="9" t="n">
        <x:v>2679000</x:v>
      </x:c>
      <x:c r="F8149" s="9" t="n">
        <x:v>0</x:v>
      </x:c>
    </x:row>
    <x:row r="8150" ht="34" customHeight="1">
      <x:c r="A8150" s="4" t="str">
        <x:v>RS-04040-I1</x:v>
      </x:c>
      <x:c r="B8150" s="4" t="str">
        <x:v>RS-04040</x:v>
      </x:c>
      <x:c r="C8150" s="9" t="n">
        <x:v>1</x:v>
      </x:c>
      <x:c r="D8150" s="8" t="n">
        <x:v>45543</x:v>
      </x:c>
      <x:c r="E8150" s="9" t="n">
        <x:v>2430000</x:v>
      </x:c>
      <x:c r="F8150" s="9" t="n">
        <x:v>2430000</x:v>
      </x:c>
    </x:row>
    <x:row r="8151" ht="34" customHeight="1">
      <x:c r="A8151" s="4" t="str">
        <x:v>RS-04040-I2</x:v>
      </x:c>
      <x:c r="B8151" s="4" t="str">
        <x:v>RS-04040</x:v>
      </x:c>
      <x:c r="C8151" s="9" t="n">
        <x:v>2</x:v>
      </x:c>
      <x:c r="D8151" s="8" t="n">
        <x:v>45573</x:v>
      </x:c>
      <x:c r="E8151" s="9" t="n">
        <x:v>2430000</x:v>
      </x:c>
      <x:c r="F8151" s="9" t="n">
        <x:v>2430000</x:v>
      </x:c>
    </x:row>
    <x:row r="8152" ht="34" customHeight="1">
      <x:c r="A8152" s="4" t="str">
        <x:v>RS-04040-I3</x:v>
      </x:c>
      <x:c r="B8152" s="4" t="str">
        <x:v>RS-04040</x:v>
      </x:c>
      <x:c r="C8152" s="9" t="n">
        <x:v>3</x:v>
      </x:c>
      <x:c r="D8152" s="8" t="n">
        <x:v>45603</x:v>
      </x:c>
      <x:c r="E8152" s="9" t="n">
        <x:v>2430000</x:v>
      </x:c>
      <x:c r="F8152" s="9" t="n">
        <x:v>2430000</x:v>
      </x:c>
    </x:row>
    <x:row r="8153" ht="34" customHeight="1">
      <x:c r="A8153" s="4" t="str">
        <x:v>RS-04040-I4</x:v>
      </x:c>
      <x:c r="B8153" s="4" t="str">
        <x:v>RS-04040</x:v>
      </x:c>
      <x:c r="C8153" s="9" t="n">
        <x:v>4</x:v>
      </x:c>
      <x:c r="D8153" s="8" t="n">
        <x:v>45633</x:v>
      </x:c>
      <x:c r="E8153" s="9" t="n">
        <x:v>2430000</x:v>
      </x:c>
      <x:c r="F8153" s="9" t="n">
        <x:v>2430000</x:v>
      </x:c>
    </x:row>
    <x:row r="8154" ht="34" customHeight="1">
      <x:c r="A8154" s="4" t="str">
        <x:v>RS-04041-I1</x:v>
      </x:c>
      <x:c r="B8154" s="4" t="str">
        <x:v>RS-04041</x:v>
      </x:c>
      <x:c r="C8154" s="9" t="n">
        <x:v>1</x:v>
      </x:c>
      <x:c r="D8154" s="8" t="n">
        <x:v>45544</x:v>
      </x:c>
      <x:c r="E8154" s="9" t="n">
        <x:v>2820000</x:v>
      </x:c>
      <x:c r="F8154" s="9" t="n">
        <x:v>1128000</x:v>
      </x:c>
    </x:row>
    <x:row r="8155" ht="34" customHeight="1">
      <x:c r="A8155" s="4" t="str">
        <x:v>RS-04041-I2</x:v>
      </x:c>
      <x:c r="B8155" s="4" t="str">
        <x:v>RS-04041</x:v>
      </x:c>
      <x:c r="C8155" s="9" t="n">
        <x:v>2</x:v>
      </x:c>
      <x:c r="D8155" s="8" t="n">
        <x:v>45574</x:v>
      </x:c>
      <x:c r="E8155" s="9" t="n">
        <x:v>2820000</x:v>
      </x:c>
      <x:c r="F8155" s="9" t="n">
        <x:v>0</x:v>
      </x:c>
    </x:row>
    <x:row r="8156" ht="34" customHeight="1">
      <x:c r="A8156" s="4" t="str">
        <x:v>RS-04041-I3</x:v>
      </x:c>
      <x:c r="B8156" s="4" t="str">
        <x:v>RS-04041</x:v>
      </x:c>
      <x:c r="C8156" s="9" t="n">
        <x:v>3</x:v>
      </x:c>
      <x:c r="D8156" s="8" t="n">
        <x:v>45604</x:v>
      </x:c>
      <x:c r="E8156" s="9" t="n">
        <x:v>2820000</x:v>
      </x:c>
      <x:c r="F8156" s="9" t="n">
        <x:v>0</x:v>
      </x:c>
    </x:row>
    <x:row r="8157" ht="34" customHeight="1">
      <x:c r="A8157" s="4" t="str">
        <x:v>RS-04041-I4</x:v>
      </x:c>
      <x:c r="B8157" s="4" t="str">
        <x:v>RS-04041</x:v>
      </x:c>
      <x:c r="C8157" s="9" t="n">
        <x:v>4</x:v>
      </x:c>
      <x:c r="D8157" s="8" t="n">
        <x:v>45634</x:v>
      </x:c>
      <x:c r="E8157" s="9" t="n">
        <x:v>2820000</x:v>
      </x:c>
      <x:c r="F8157" s="9" t="n">
        <x:v>0</x:v>
      </x:c>
    </x:row>
    <x:row r="8158" ht="34" customHeight="1">
      <x:c r="A8158" s="4" t="str">
        <x:v>RS-04042-I1</x:v>
      </x:c>
      <x:c r="B8158" s="4" t="str">
        <x:v>RS-04042</x:v>
      </x:c>
      <x:c r="C8158" s="9" t="n">
        <x:v>1</x:v>
      </x:c>
      <x:c r="D8158" s="8" t="n">
        <x:v>45545</x:v>
      </x:c>
      <x:c r="E8158" s="9" t="n">
        <x:v>5566000</x:v>
      </x:c>
      <x:c r="F8158" s="9" t="n">
        <x:v>5566000</x:v>
      </x:c>
    </x:row>
    <x:row r="8159" ht="34" customHeight="1">
      <x:c r="A8159" s="4" t="str">
        <x:v>RS-04042-I2</x:v>
      </x:c>
      <x:c r="B8159" s="4" t="str">
        <x:v>RS-04042</x:v>
      </x:c>
      <x:c r="C8159" s="9" t="n">
        <x:v>2</x:v>
      </x:c>
      <x:c r="D8159" s="8" t="n">
        <x:v>45575</x:v>
      </x:c>
      <x:c r="E8159" s="9" t="n">
        <x:v>5566000</x:v>
      </x:c>
      <x:c r="F8159" s="9" t="n">
        <x:v>5566000</x:v>
      </x:c>
    </x:row>
    <x:row r="8160" ht="34" customHeight="1">
      <x:c r="A8160" s="4" t="str">
        <x:v>RS-04042-I3</x:v>
      </x:c>
      <x:c r="B8160" s="4" t="str">
        <x:v>RS-04042</x:v>
      </x:c>
      <x:c r="C8160" s="9" t="n">
        <x:v>3</x:v>
      </x:c>
      <x:c r="D8160" s="8" t="n">
        <x:v>45605</x:v>
      </x:c>
      <x:c r="E8160" s="9" t="n">
        <x:v>5566000</x:v>
      </x:c>
      <x:c r="F8160" s="9" t="n">
        <x:v>0</x:v>
      </x:c>
    </x:row>
    <x:row r="8161" ht="34" customHeight="1">
      <x:c r="A8161" s="4" t="str">
        <x:v>RS-04042-I4</x:v>
      </x:c>
      <x:c r="B8161" s="4" t="str">
        <x:v>RS-04042</x:v>
      </x:c>
      <x:c r="C8161" s="9" t="n">
        <x:v>4</x:v>
      </x:c>
      <x:c r="D8161" s="8" t="n">
        <x:v>45635</x:v>
      </x:c>
      <x:c r="E8161" s="9" t="n">
        <x:v>5566000</x:v>
      </x:c>
      <x:c r="F8161" s="9" t="n">
        <x:v>0</x:v>
      </x:c>
    </x:row>
    <x:row r="8162" ht="34" customHeight="1">
      <x:c r="A8162" s="4" t="str">
        <x:v>RS-04043-I1</x:v>
      </x:c>
      <x:c r="B8162" s="4" t="str">
        <x:v>RS-04043</x:v>
      </x:c>
      <x:c r="C8162" s="9" t="n">
        <x:v>1</x:v>
      </x:c>
      <x:c r="D8162" s="8" t="n">
        <x:v>45546</x:v>
      </x:c>
      <x:c r="E8162" s="9" t="n">
        <x:v>4982250</x:v>
      </x:c>
      <x:c r="F8162" s="9" t="n">
        <x:v>4982250</x:v>
      </x:c>
    </x:row>
    <x:row r="8163" ht="34" customHeight="1">
      <x:c r="A8163" s="4" t="str">
        <x:v>RS-04043-I2</x:v>
      </x:c>
      <x:c r="B8163" s="4" t="str">
        <x:v>RS-04043</x:v>
      </x:c>
      <x:c r="C8163" s="9" t="n">
        <x:v>2</x:v>
      </x:c>
      <x:c r="D8163" s="8" t="n">
        <x:v>45576</x:v>
      </x:c>
      <x:c r="E8163" s="9" t="n">
        <x:v>4982250</x:v>
      </x:c>
      <x:c r="F8163" s="9" t="n">
        <x:v>4982250</x:v>
      </x:c>
    </x:row>
    <x:row r="8164" ht="34" customHeight="1">
      <x:c r="A8164" s="4" t="str">
        <x:v>RS-04043-I3</x:v>
      </x:c>
      <x:c r="B8164" s="4" t="str">
        <x:v>RS-04043</x:v>
      </x:c>
      <x:c r="C8164" s="9" t="n">
        <x:v>3</x:v>
      </x:c>
      <x:c r="D8164" s="8" t="n">
        <x:v>45606</x:v>
      </x:c>
      <x:c r="E8164" s="9" t="n">
        <x:v>4982250</x:v>
      </x:c>
      <x:c r="F8164" s="9" t="n">
        <x:v>0</x:v>
      </x:c>
    </x:row>
    <x:row r="8165" ht="34" customHeight="1">
      <x:c r="A8165" s="4" t="str">
        <x:v>RS-04043-I4</x:v>
      </x:c>
      <x:c r="B8165" s="4" t="str">
        <x:v>RS-04043</x:v>
      </x:c>
      <x:c r="C8165" s="9" t="n">
        <x:v>4</x:v>
      </x:c>
      <x:c r="D8165" s="8" t="n">
        <x:v>45636</x:v>
      </x:c>
      <x:c r="E8165" s="9" t="n">
        <x:v>4982250</x:v>
      </x:c>
      <x:c r="F8165" s="9" t="n">
        <x:v>0</x:v>
      </x:c>
    </x:row>
    <x:row r="8166" ht="34" customHeight="1">
      <x:c r="A8166" s="4" t="str">
        <x:v>RS-04044-I1</x:v>
      </x:c>
      <x:c r="B8166" s="4" t="str">
        <x:v>RS-04044</x:v>
      </x:c>
      <x:c r="C8166" s="9" t="n">
        <x:v>1</x:v>
      </x:c>
      <x:c r="D8166" s="8" t="n">
        <x:v>45547</x:v>
      </x:c>
      <x:c r="E8166" s="9" t="n">
        <x:v>1001250</x:v>
      </x:c>
      <x:c r="F8166" s="9" t="n">
        <x:v>400500</x:v>
      </x:c>
    </x:row>
    <x:row r="8167" ht="34" customHeight="1">
      <x:c r="A8167" s="4" t="str">
        <x:v>RS-04044-I2</x:v>
      </x:c>
      <x:c r="B8167" s="4" t="str">
        <x:v>RS-04044</x:v>
      </x:c>
      <x:c r="C8167" s="9" t="n">
        <x:v>2</x:v>
      </x:c>
      <x:c r="D8167" s="8" t="n">
        <x:v>45577</x:v>
      </x:c>
      <x:c r="E8167" s="9" t="n">
        <x:v>1001250</x:v>
      </x:c>
      <x:c r="F8167" s="9" t="n">
        <x:v>0</x:v>
      </x:c>
    </x:row>
    <x:row r="8168" ht="34" customHeight="1">
      <x:c r="A8168" s="4" t="str">
        <x:v>RS-04044-I3</x:v>
      </x:c>
      <x:c r="B8168" s="4" t="str">
        <x:v>RS-04044</x:v>
      </x:c>
      <x:c r="C8168" s="9" t="n">
        <x:v>3</x:v>
      </x:c>
      <x:c r="D8168" s="8" t="n">
        <x:v>45607</x:v>
      </x:c>
      <x:c r="E8168" s="9" t="n">
        <x:v>1001250</x:v>
      </x:c>
      <x:c r="F8168" s="9" t="n">
        <x:v>0</x:v>
      </x:c>
    </x:row>
    <x:row r="8169" ht="34" customHeight="1">
      <x:c r="A8169" s="4" t="str">
        <x:v>RS-04044-I4</x:v>
      </x:c>
      <x:c r="B8169" s="4" t="str">
        <x:v>RS-04044</x:v>
      </x:c>
      <x:c r="C8169" s="9" t="n">
        <x:v>4</x:v>
      </x:c>
      <x:c r="D8169" s="8" t="n">
        <x:v>45637</x:v>
      </x:c>
      <x:c r="E8169" s="9" t="n">
        <x:v>1001250</x:v>
      </x:c>
      <x:c r="F8169" s="9" t="n">
        <x:v>0</x:v>
      </x:c>
    </x:row>
    <x:row r="8170" ht="34" customHeight="1">
      <x:c r="A8170" s="4" t="str">
        <x:v>RS-04045-I1</x:v>
      </x:c>
      <x:c r="B8170" s="4" t="str">
        <x:v>RS-04045</x:v>
      </x:c>
      <x:c r="C8170" s="9" t="n">
        <x:v>1</x:v>
      </x:c>
      <x:c r="D8170" s="8" t="n">
        <x:v>45548</x:v>
      </x:c>
      <x:c r="E8170" s="9" t="n">
        <x:v>5953500</x:v>
      </x:c>
      <x:c r="F8170" s="9" t="n">
        <x:v>2381400</x:v>
      </x:c>
    </x:row>
    <x:row r="8171" ht="34" customHeight="1">
      <x:c r="A8171" s="4" t="str">
        <x:v>RS-04045-I2</x:v>
      </x:c>
      <x:c r="B8171" s="4" t="str">
        <x:v>RS-04045</x:v>
      </x:c>
      <x:c r="C8171" s="9" t="n">
        <x:v>2</x:v>
      </x:c>
      <x:c r="D8171" s="8" t="n">
        <x:v>45578</x:v>
      </x:c>
      <x:c r="E8171" s="9" t="n">
        <x:v>5953500</x:v>
      </x:c>
      <x:c r="F8171" s="9" t="n">
        <x:v>0</x:v>
      </x:c>
    </x:row>
    <x:row r="8172" ht="34" customHeight="1">
      <x:c r="A8172" s="4" t="str">
        <x:v>RS-04045-I3</x:v>
      </x:c>
      <x:c r="B8172" s="4" t="str">
        <x:v>RS-04045</x:v>
      </x:c>
      <x:c r="C8172" s="9" t="n">
        <x:v>3</x:v>
      </x:c>
      <x:c r="D8172" s="8" t="n">
        <x:v>45608</x:v>
      </x:c>
      <x:c r="E8172" s="9" t="n">
        <x:v>5953500</x:v>
      </x:c>
      <x:c r="F8172" s="9" t="n">
        <x:v>0</x:v>
      </x:c>
    </x:row>
    <x:row r="8173" ht="34" customHeight="1">
      <x:c r="A8173" s="4" t="str">
        <x:v>RS-04045-I4</x:v>
      </x:c>
      <x:c r="B8173" s="4" t="str">
        <x:v>RS-04045</x:v>
      </x:c>
      <x:c r="C8173" s="9" t="n">
        <x:v>4</x:v>
      </x:c>
      <x:c r="D8173" s="8" t="n">
        <x:v>45638</x:v>
      </x:c>
      <x:c r="E8173" s="9" t="n">
        <x:v>5953500</x:v>
      </x:c>
      <x:c r="F8173" s="9" t="n">
        <x:v>0</x:v>
      </x:c>
    </x:row>
    <x:row r="8174" ht="34" customHeight="1">
      <x:c r="A8174" s="4" t="str">
        <x:v>RS-04047-I1</x:v>
      </x:c>
      <x:c r="B8174" s="4" t="str">
        <x:v>RS-04047</x:v>
      </x:c>
      <x:c r="C8174" s="9" t="n">
        <x:v>1</x:v>
      </x:c>
      <x:c r="D8174" s="8" t="n">
        <x:v>45550</x:v>
      </x:c>
      <x:c r="E8174" s="9" t="n">
        <x:v>4653000</x:v>
      </x:c>
      <x:c r="F8174" s="9" t="n">
        <x:v>4653000</x:v>
      </x:c>
    </x:row>
    <x:row r="8175" ht="34" customHeight="1">
      <x:c r="A8175" s="4" t="str">
        <x:v>RS-04047-I2</x:v>
      </x:c>
      <x:c r="B8175" s="4" t="str">
        <x:v>RS-04047</x:v>
      </x:c>
      <x:c r="C8175" s="9" t="n">
        <x:v>2</x:v>
      </x:c>
      <x:c r="D8175" s="8" t="n">
        <x:v>45580</x:v>
      </x:c>
      <x:c r="E8175" s="9" t="n">
        <x:v>4653000</x:v>
      </x:c>
      <x:c r="F8175" s="9" t="n">
        <x:v>4653000</x:v>
      </x:c>
    </x:row>
    <x:row r="8176" ht="34" customHeight="1">
      <x:c r="A8176" s="4" t="str">
        <x:v>RS-04047-I3</x:v>
      </x:c>
      <x:c r="B8176" s="4" t="str">
        <x:v>RS-04047</x:v>
      </x:c>
      <x:c r="C8176" s="9" t="n">
        <x:v>3</x:v>
      </x:c>
      <x:c r="D8176" s="8" t="n">
        <x:v>45610</x:v>
      </x:c>
      <x:c r="E8176" s="9" t="n">
        <x:v>4653000</x:v>
      </x:c>
      <x:c r="F8176" s="9" t="n">
        <x:v>4653000</x:v>
      </x:c>
    </x:row>
    <x:row r="8177" ht="34" customHeight="1">
      <x:c r="A8177" s="4" t="str">
        <x:v>RS-04047-I4</x:v>
      </x:c>
      <x:c r="B8177" s="4" t="str">
        <x:v>RS-04047</x:v>
      </x:c>
      <x:c r="C8177" s="9" t="n">
        <x:v>4</x:v>
      </x:c>
      <x:c r="D8177" s="8" t="n">
        <x:v>45640</x:v>
      </x:c>
      <x:c r="E8177" s="9" t="n">
        <x:v>4653000</x:v>
      </x:c>
      <x:c r="F8177" s="9" t="n">
        <x:v>4653000</x:v>
      </x:c>
    </x:row>
    <x:row r="8178" ht="34" customHeight="1">
      <x:c r="A8178" s="4" t="str">
        <x:v>RS-04048-I1</x:v>
      </x:c>
      <x:c r="B8178" s="4" t="str">
        <x:v>RS-04048</x:v>
      </x:c>
      <x:c r="C8178" s="9" t="n">
        <x:v>1</x:v>
      </x:c>
      <x:c r="D8178" s="8" t="n">
        <x:v>45551</x:v>
      </x:c>
      <x:c r="E8178" s="9" t="n">
        <x:v>5208000</x:v>
      </x:c>
      <x:c r="F8178" s="9" t="n">
        <x:v>2083200</x:v>
      </x:c>
    </x:row>
    <x:row r="8179" ht="34" customHeight="1">
      <x:c r="A8179" s="4" t="str">
        <x:v>RS-04048-I2</x:v>
      </x:c>
      <x:c r="B8179" s="4" t="str">
        <x:v>RS-04048</x:v>
      </x:c>
      <x:c r="C8179" s="9" t="n">
        <x:v>2</x:v>
      </x:c>
      <x:c r="D8179" s="8" t="n">
        <x:v>45581</x:v>
      </x:c>
      <x:c r="E8179" s="9" t="n">
        <x:v>5208000</x:v>
      </x:c>
      <x:c r="F8179" s="9" t="n">
        <x:v>0</x:v>
      </x:c>
    </x:row>
    <x:row r="8180" ht="34" customHeight="1">
      <x:c r="A8180" s="4" t="str">
        <x:v>RS-04048-I3</x:v>
      </x:c>
      <x:c r="B8180" s="4" t="str">
        <x:v>RS-04048</x:v>
      </x:c>
      <x:c r="C8180" s="9" t="n">
        <x:v>3</x:v>
      </x:c>
      <x:c r="D8180" s="8" t="n">
        <x:v>45611</x:v>
      </x:c>
      <x:c r="E8180" s="9" t="n">
        <x:v>5208000</x:v>
      </x:c>
      <x:c r="F8180" s="9" t="n">
        <x:v>0</x:v>
      </x:c>
    </x:row>
    <x:row r="8181" ht="34" customHeight="1">
      <x:c r="A8181" s="4" t="str">
        <x:v>RS-04048-I4</x:v>
      </x:c>
      <x:c r="B8181" s="4" t="str">
        <x:v>RS-04048</x:v>
      </x:c>
      <x:c r="C8181" s="9" t="n">
        <x:v>4</x:v>
      </x:c>
      <x:c r="D8181" s="8" t="n">
        <x:v>45641</x:v>
      </x:c>
      <x:c r="E8181" s="9" t="n">
        <x:v>5208000</x:v>
      </x:c>
      <x:c r="F8181" s="9" t="n">
        <x:v>0</x:v>
      </x:c>
    </x:row>
    <x:row r="8182" ht="34" customHeight="1">
      <x:c r="A8182" s="4" t="str">
        <x:v>RS-04049-I1</x:v>
      </x:c>
      <x:c r="B8182" s="4" t="str">
        <x:v>RS-04049</x:v>
      </x:c>
      <x:c r="C8182" s="9" t="n">
        <x:v>1</x:v>
      </x:c>
      <x:c r="D8182" s="8" t="n">
        <x:v>45552</x:v>
      </x:c>
      <x:c r="E8182" s="9" t="n">
        <x:v>3948000</x:v>
      </x:c>
      <x:c r="F8182" s="9" t="n">
        <x:v>3948000</x:v>
      </x:c>
    </x:row>
    <x:row r="8183" ht="34" customHeight="1">
      <x:c r="A8183" s="4" t="str">
        <x:v>RS-04049-I2</x:v>
      </x:c>
      <x:c r="B8183" s="4" t="str">
        <x:v>RS-04049</x:v>
      </x:c>
      <x:c r="C8183" s="9" t="n">
        <x:v>2</x:v>
      </x:c>
      <x:c r="D8183" s="8" t="n">
        <x:v>45582</x:v>
      </x:c>
      <x:c r="E8183" s="9" t="n">
        <x:v>3948000</x:v>
      </x:c>
      <x:c r="F8183" s="9" t="n">
        <x:v>3948000</x:v>
      </x:c>
    </x:row>
    <x:row r="8184" ht="34" customHeight="1">
      <x:c r="A8184" s="4" t="str">
        <x:v>RS-04049-I3</x:v>
      </x:c>
      <x:c r="B8184" s="4" t="str">
        <x:v>RS-04049</x:v>
      </x:c>
      <x:c r="C8184" s="9" t="n">
        <x:v>3</x:v>
      </x:c>
      <x:c r="D8184" s="8" t="n">
        <x:v>45612</x:v>
      </x:c>
      <x:c r="E8184" s="9" t="n">
        <x:v>3948000</x:v>
      </x:c>
      <x:c r="F8184" s="9" t="n">
        <x:v>3948000</x:v>
      </x:c>
    </x:row>
    <x:row r="8185" ht="34" customHeight="1">
      <x:c r="A8185" s="4" t="str">
        <x:v>RS-04049-I4</x:v>
      </x:c>
      <x:c r="B8185" s="4" t="str">
        <x:v>RS-04049</x:v>
      </x:c>
      <x:c r="C8185" s="9" t="n">
        <x:v>4</x:v>
      </x:c>
      <x:c r="D8185" s="8" t="n">
        <x:v>45642</x:v>
      </x:c>
      <x:c r="E8185" s="9" t="n">
        <x:v>3948000</x:v>
      </x:c>
      <x:c r="F8185" s="9" t="n">
        <x:v>3948000</x:v>
      </x:c>
    </x:row>
    <x:row r="8186" ht="34" customHeight="1">
      <x:c r="A8186" s="4" t="str">
        <x:v>RS-04050-I1</x:v>
      </x:c>
      <x:c r="B8186" s="4" t="str">
        <x:v>RS-04050</x:v>
      </x:c>
      <x:c r="C8186" s="9" t="n">
        <x:v>1</x:v>
      </x:c>
      <x:c r="D8186" s="8" t="n">
        <x:v>45553</x:v>
      </x:c>
      <x:c r="E8186" s="9" t="n">
        <x:v>2232000</x:v>
      </x:c>
      <x:c r="F8186" s="9" t="n">
        <x:v>2232000</x:v>
      </x:c>
    </x:row>
    <x:row r="8187" ht="34" customHeight="1">
      <x:c r="A8187" s="4" t="str">
        <x:v>RS-04050-I2</x:v>
      </x:c>
      <x:c r="B8187" s="4" t="str">
        <x:v>RS-04050</x:v>
      </x:c>
      <x:c r="C8187" s="9" t="n">
        <x:v>2</x:v>
      </x:c>
      <x:c r="D8187" s="8" t="n">
        <x:v>45583</x:v>
      </x:c>
      <x:c r="E8187" s="9" t="n">
        <x:v>2232000</x:v>
      </x:c>
      <x:c r="F8187" s="9" t="n">
        <x:v>0</x:v>
      </x:c>
    </x:row>
    <x:row r="8188" ht="34" customHeight="1">
      <x:c r="A8188" s="4" t="str">
        <x:v>RS-04050-I3</x:v>
      </x:c>
      <x:c r="B8188" s="4" t="str">
        <x:v>RS-04050</x:v>
      </x:c>
      <x:c r="C8188" s="9" t="n">
        <x:v>3</x:v>
      </x:c>
      <x:c r="D8188" s="8" t="n">
        <x:v>45613</x:v>
      </x:c>
      <x:c r="E8188" s="9" t="n">
        <x:v>2232000</x:v>
      </x:c>
      <x:c r="F8188" s="9" t="n">
        <x:v>0</x:v>
      </x:c>
    </x:row>
    <x:row r="8189" ht="34" customHeight="1">
      <x:c r="A8189" s="4" t="str">
        <x:v>RS-04050-I4</x:v>
      </x:c>
      <x:c r="B8189" s="4" t="str">
        <x:v>RS-04050</x:v>
      </x:c>
      <x:c r="C8189" s="9" t="n">
        <x:v>4</x:v>
      </x:c>
      <x:c r="D8189" s="8" t="n">
        <x:v>45643</x:v>
      </x:c>
      <x:c r="E8189" s="9" t="n">
        <x:v>2232000</x:v>
      </x:c>
      <x:c r="F8189" s="9" t="n">
        <x:v>0</x:v>
      </x:c>
    </x:row>
    <x:row r="8190" ht="34" customHeight="1">
      <x:c r="A8190" s="4" t="str">
        <x:v>RS-04052-I1</x:v>
      </x:c>
      <x:c r="B8190" s="4" t="str">
        <x:v>RS-04052</x:v>
      </x:c>
      <x:c r="C8190" s="9" t="n">
        <x:v>1</x:v>
      </x:c>
      <x:c r="D8190" s="8" t="n">
        <x:v>45555</x:v>
      </x:c>
      <x:c r="E8190" s="9" t="n">
        <x:v>3539250</x:v>
      </x:c>
      <x:c r="F8190" s="9" t="n">
        <x:v>3539250</x:v>
      </x:c>
    </x:row>
    <x:row r="8191" ht="34" customHeight="1">
      <x:c r="A8191" s="4" t="str">
        <x:v>RS-04052-I2</x:v>
      </x:c>
      <x:c r="B8191" s="4" t="str">
        <x:v>RS-04052</x:v>
      </x:c>
      <x:c r="C8191" s="9" t="n">
        <x:v>2</x:v>
      </x:c>
      <x:c r="D8191" s="8" t="n">
        <x:v>45585</x:v>
      </x:c>
      <x:c r="E8191" s="9" t="n">
        <x:v>3539250</x:v>
      </x:c>
      <x:c r="F8191" s="9" t="n">
        <x:v>3539250</x:v>
      </x:c>
    </x:row>
    <x:row r="8192" ht="34" customHeight="1">
      <x:c r="A8192" s="4" t="str">
        <x:v>RS-04052-I3</x:v>
      </x:c>
      <x:c r="B8192" s="4" t="str">
        <x:v>RS-04052</x:v>
      </x:c>
      <x:c r="C8192" s="9" t="n">
        <x:v>3</x:v>
      </x:c>
      <x:c r="D8192" s="8" t="n">
        <x:v>45615</x:v>
      </x:c>
      <x:c r="E8192" s="9" t="n">
        <x:v>3539250</x:v>
      </x:c>
      <x:c r="F8192" s="9" t="n">
        <x:v>0</x:v>
      </x:c>
    </x:row>
    <x:row r="8193" ht="34" customHeight="1">
      <x:c r="A8193" s="4" t="str">
        <x:v>RS-04052-I4</x:v>
      </x:c>
      <x:c r="B8193" s="4" t="str">
        <x:v>RS-04052</x:v>
      </x:c>
      <x:c r="C8193" s="9" t="n">
        <x:v>4</x:v>
      </x:c>
      <x:c r="D8193" s="8" t="n">
        <x:v>45645</x:v>
      </x:c>
      <x:c r="E8193" s="9" t="n">
        <x:v>3539250</x:v>
      </x:c>
      <x:c r="F8193" s="9" t="n">
        <x:v>0</x:v>
      </x:c>
    </x:row>
    <x:row r="8194" ht="34" customHeight="1">
      <x:c r="A8194" s="4" t="str">
        <x:v>RS-04056-I1</x:v>
      </x:c>
      <x:c r="B8194" s="4" t="str">
        <x:v>RS-04056</x:v>
      </x:c>
      <x:c r="C8194" s="9" t="n">
        <x:v>1</x:v>
      </x:c>
      <x:c r="D8194" s="8" t="n">
        <x:v>45559</x:v>
      </x:c>
      <x:c r="E8194" s="9" t="n">
        <x:v>2616250</x:v>
      </x:c>
      <x:c r="F8194" s="9" t="n">
        <x:v>1046500</x:v>
      </x:c>
    </x:row>
    <x:row r="8195" ht="34" customHeight="1">
      <x:c r="A8195" s="4" t="str">
        <x:v>RS-04056-I2</x:v>
      </x:c>
      <x:c r="B8195" s="4" t="str">
        <x:v>RS-04056</x:v>
      </x:c>
      <x:c r="C8195" s="9" t="n">
        <x:v>2</x:v>
      </x:c>
      <x:c r="D8195" s="8" t="n">
        <x:v>45589</x:v>
      </x:c>
      <x:c r="E8195" s="9" t="n">
        <x:v>2616250</x:v>
      </x:c>
      <x:c r="F8195" s="9" t="n">
        <x:v>0</x:v>
      </x:c>
    </x:row>
    <x:row r="8196" ht="34" customHeight="1">
      <x:c r="A8196" s="4" t="str">
        <x:v>RS-04056-I3</x:v>
      </x:c>
      <x:c r="B8196" s="4" t="str">
        <x:v>RS-04056</x:v>
      </x:c>
      <x:c r="C8196" s="9" t="n">
        <x:v>3</x:v>
      </x:c>
      <x:c r="D8196" s="8" t="n">
        <x:v>45619</x:v>
      </x:c>
      <x:c r="E8196" s="9" t="n">
        <x:v>2616250</x:v>
      </x:c>
      <x:c r="F8196" s="9" t="n">
        <x:v>0</x:v>
      </x:c>
    </x:row>
    <x:row r="8197" ht="34" customHeight="1">
      <x:c r="A8197" s="4" t="str">
        <x:v>RS-04056-I4</x:v>
      </x:c>
      <x:c r="B8197" s="4" t="str">
        <x:v>RS-04056</x:v>
      </x:c>
      <x:c r="C8197" s="9" t="n">
        <x:v>4</x:v>
      </x:c>
      <x:c r="D8197" s="8" t="n">
        <x:v>45649</x:v>
      </x:c>
      <x:c r="E8197" s="9" t="n">
        <x:v>2616250</x:v>
      </x:c>
      <x:c r="F8197" s="9" t="n">
        <x:v>0</x:v>
      </x:c>
    </x:row>
    <x:row r="8198" ht="34" customHeight="1">
      <x:c r="A8198" s="4" t="str">
        <x:v>RS-04057-I1</x:v>
      </x:c>
      <x:c r="B8198" s="4" t="str">
        <x:v>RS-04057</x:v>
      </x:c>
      <x:c r="C8198" s="9" t="n">
        <x:v>1</x:v>
      </x:c>
      <x:c r="D8198" s="8" t="n">
        <x:v>45560</x:v>
      </x:c>
      <x:c r="E8198" s="9" t="n">
        <x:v>1752000</x:v>
      </x:c>
      <x:c r="F8198" s="9" t="n">
        <x:v>700800</x:v>
      </x:c>
    </x:row>
    <x:row r="8199" ht="34" customHeight="1">
      <x:c r="A8199" s="4" t="str">
        <x:v>RS-04057-I2</x:v>
      </x:c>
      <x:c r="B8199" s="4" t="str">
        <x:v>RS-04057</x:v>
      </x:c>
      <x:c r="C8199" s="9" t="n">
        <x:v>2</x:v>
      </x:c>
      <x:c r="D8199" s="8" t="n">
        <x:v>45590</x:v>
      </x:c>
      <x:c r="E8199" s="9" t="n">
        <x:v>1752000</x:v>
      </x:c>
      <x:c r="F8199" s="9" t="n">
        <x:v>0</x:v>
      </x:c>
    </x:row>
    <x:row r="8200" ht="34" customHeight="1">
      <x:c r="A8200" s="4" t="str">
        <x:v>RS-04057-I3</x:v>
      </x:c>
      <x:c r="B8200" s="4" t="str">
        <x:v>RS-04057</x:v>
      </x:c>
      <x:c r="C8200" s="9" t="n">
        <x:v>3</x:v>
      </x:c>
      <x:c r="D8200" s="8" t="n">
        <x:v>45620</x:v>
      </x:c>
      <x:c r="E8200" s="9" t="n">
        <x:v>1752000</x:v>
      </x:c>
      <x:c r="F8200" s="9" t="n">
        <x:v>0</x:v>
      </x:c>
    </x:row>
    <x:row r="8201" ht="34" customHeight="1">
      <x:c r="A8201" s="4" t="str">
        <x:v>RS-04057-I4</x:v>
      </x:c>
      <x:c r="B8201" s="4" t="str">
        <x:v>RS-04057</x:v>
      </x:c>
      <x:c r="C8201" s="9" t="n">
        <x:v>4</x:v>
      </x:c>
      <x:c r="D8201" s="8" t="n">
        <x:v>45650</x:v>
      </x:c>
      <x:c r="E8201" s="9" t="n">
        <x:v>1752000</x:v>
      </x:c>
      <x:c r="F8201" s="9" t="n">
        <x:v>0</x:v>
      </x:c>
    </x:row>
    <x:row r="8202" ht="34" customHeight="1">
      <x:c r="A8202" s="4" t="str">
        <x:v>RS-04060-I1</x:v>
      </x:c>
      <x:c r="B8202" s="4" t="str">
        <x:v>RS-04060</x:v>
      </x:c>
      <x:c r="C8202" s="9" t="n">
        <x:v>1</x:v>
      </x:c>
      <x:c r="D8202" s="8" t="n">
        <x:v>45563</x:v>
      </x:c>
      <x:c r="E8202" s="9" t="n">
        <x:v>2002500</x:v>
      </x:c>
      <x:c r="F8202" s="9" t="n">
        <x:v>2002500</x:v>
      </x:c>
    </x:row>
    <x:row r="8203" ht="34" customHeight="1">
      <x:c r="A8203" s="4" t="str">
        <x:v>RS-04060-I2</x:v>
      </x:c>
      <x:c r="B8203" s="4" t="str">
        <x:v>RS-04060</x:v>
      </x:c>
      <x:c r="C8203" s="9" t="n">
        <x:v>2</x:v>
      </x:c>
      <x:c r="D8203" s="8" t="n">
        <x:v>45593</x:v>
      </x:c>
      <x:c r="E8203" s="9" t="n">
        <x:v>2002500</x:v>
      </x:c>
      <x:c r="F8203" s="9" t="n">
        <x:v>2002500</x:v>
      </x:c>
    </x:row>
    <x:row r="8204" ht="34" customHeight="1">
      <x:c r="A8204" s="4" t="str">
        <x:v>RS-04060-I3</x:v>
      </x:c>
      <x:c r="B8204" s="4" t="str">
        <x:v>RS-04060</x:v>
      </x:c>
      <x:c r="C8204" s="9" t="n">
        <x:v>3</x:v>
      </x:c>
      <x:c r="D8204" s="8" t="n">
        <x:v>45623</x:v>
      </x:c>
      <x:c r="E8204" s="9" t="n">
        <x:v>2002500</x:v>
      </x:c>
      <x:c r="F8204" s="9" t="n">
        <x:v>2002500</x:v>
      </x:c>
    </x:row>
    <x:row r="8205" ht="34" customHeight="1">
      <x:c r="A8205" s="4" t="str">
        <x:v>RS-04060-I4</x:v>
      </x:c>
      <x:c r="B8205" s="4" t="str">
        <x:v>RS-04060</x:v>
      </x:c>
      <x:c r="C8205" s="9" t="n">
        <x:v>4</x:v>
      </x:c>
      <x:c r="D8205" s="8" t="n">
        <x:v>45653</x:v>
      </x:c>
      <x:c r="E8205" s="9" t="n">
        <x:v>2002500</x:v>
      </x:c>
      <x:c r="F8205" s="9" t="n">
        <x:v>2002500</x:v>
      </x:c>
    </x:row>
    <x:row r="8206" ht="34" customHeight="1">
      <x:c r="A8206" s="4" t="str">
        <x:v>RS-04061-I1</x:v>
      </x:c>
      <x:c r="B8206" s="4" t="str">
        <x:v>RS-04061</x:v>
      </x:c>
      <x:c r="C8206" s="9" t="n">
        <x:v>1</x:v>
      </x:c>
      <x:c r="D8206" s="8" t="n">
        <x:v>45536</x:v>
      </x:c>
      <x:c r="E8206" s="9" t="n">
        <x:v>1598000</x:v>
      </x:c>
      <x:c r="F8206" s="9" t="n">
        <x:v>1598000</x:v>
      </x:c>
    </x:row>
    <x:row r="8207" ht="34" customHeight="1">
      <x:c r="A8207" s="4" t="str">
        <x:v>RS-04061-I2</x:v>
      </x:c>
      <x:c r="B8207" s="4" t="str">
        <x:v>RS-04061</x:v>
      </x:c>
      <x:c r="C8207" s="9" t="n">
        <x:v>2</x:v>
      </x:c>
      <x:c r="D8207" s="8" t="n">
        <x:v>45566</x:v>
      </x:c>
      <x:c r="E8207" s="9" t="n">
        <x:v>1598000</x:v>
      </x:c>
      <x:c r="F8207" s="9" t="n">
        <x:v>1598000</x:v>
      </x:c>
    </x:row>
    <x:row r="8208" ht="34" customHeight="1">
      <x:c r="A8208" s="4" t="str">
        <x:v>RS-04061-I3</x:v>
      </x:c>
      <x:c r="B8208" s="4" t="str">
        <x:v>RS-04061</x:v>
      </x:c>
      <x:c r="C8208" s="9" t="n">
        <x:v>3</x:v>
      </x:c>
      <x:c r="D8208" s="8" t="n">
        <x:v>45596</x:v>
      </x:c>
      <x:c r="E8208" s="9" t="n">
        <x:v>1598000</x:v>
      </x:c>
      <x:c r="F8208" s="9" t="n">
        <x:v>0</x:v>
      </x:c>
    </x:row>
    <x:row r="8209" ht="34" customHeight="1">
      <x:c r="A8209" s="4" t="str">
        <x:v>RS-04061-I4</x:v>
      </x:c>
      <x:c r="B8209" s="4" t="str">
        <x:v>RS-04061</x:v>
      </x:c>
      <x:c r="C8209" s="9" t="n">
        <x:v>4</x:v>
      </x:c>
      <x:c r="D8209" s="8" t="n">
        <x:v>45626</x:v>
      </x:c>
      <x:c r="E8209" s="9" t="n">
        <x:v>1598000</x:v>
      </x:c>
      <x:c r="F8209" s="9" t="n">
        <x:v>0</x:v>
      </x:c>
    </x:row>
    <x:row r="8210" ht="34" customHeight="1">
      <x:c r="A8210" s="4" t="str">
        <x:v>RS-04064-I1</x:v>
      </x:c>
      <x:c r="B8210" s="4" t="str">
        <x:v>RS-04064</x:v>
      </x:c>
      <x:c r="C8210" s="9" t="n">
        <x:v>1</x:v>
      </x:c>
      <x:c r="D8210" s="8" t="n">
        <x:v>45539</x:v>
      </x:c>
      <x:c r="E8210" s="9" t="n">
        <x:v>5024250</x:v>
      </x:c>
      <x:c r="F8210" s="9" t="n">
        <x:v>5024250</x:v>
      </x:c>
    </x:row>
    <x:row r="8211" ht="34" customHeight="1">
      <x:c r="A8211" s="4" t="str">
        <x:v>RS-04064-I2</x:v>
      </x:c>
      <x:c r="B8211" s="4" t="str">
        <x:v>RS-04064</x:v>
      </x:c>
      <x:c r="C8211" s="9" t="n">
        <x:v>2</x:v>
      </x:c>
      <x:c r="D8211" s="8" t="n">
        <x:v>45569</x:v>
      </x:c>
      <x:c r="E8211" s="9" t="n">
        <x:v>5024250</x:v>
      </x:c>
      <x:c r="F8211" s="9" t="n">
        <x:v>5024250</x:v>
      </x:c>
    </x:row>
    <x:row r="8212" ht="34" customHeight="1">
      <x:c r="A8212" s="4" t="str">
        <x:v>RS-04064-I3</x:v>
      </x:c>
      <x:c r="B8212" s="4" t="str">
        <x:v>RS-04064</x:v>
      </x:c>
      <x:c r="C8212" s="9" t="n">
        <x:v>3</x:v>
      </x:c>
      <x:c r="D8212" s="8" t="n">
        <x:v>45599</x:v>
      </x:c>
      <x:c r="E8212" s="9" t="n">
        <x:v>5024250</x:v>
      </x:c>
      <x:c r="F8212" s="9" t="n">
        <x:v>0</x:v>
      </x:c>
    </x:row>
    <x:row r="8213" ht="34" customHeight="1">
      <x:c r="A8213" s="4" t="str">
        <x:v>RS-04064-I4</x:v>
      </x:c>
      <x:c r="B8213" s="4" t="str">
        <x:v>RS-04064</x:v>
      </x:c>
      <x:c r="C8213" s="9" t="n">
        <x:v>4</x:v>
      </x:c>
      <x:c r="D8213" s="8" t="n">
        <x:v>45629</x:v>
      </x:c>
      <x:c r="E8213" s="9" t="n">
        <x:v>5024250</x:v>
      </x:c>
      <x:c r="F8213" s="9" t="n">
        <x:v>0</x:v>
      </x:c>
    </x:row>
    <x:row r="8214" ht="34" customHeight="1">
      <x:c r="A8214" s="4" t="str">
        <x:v>RS-04067-I1</x:v>
      </x:c>
      <x:c r="B8214" s="4" t="str">
        <x:v>RS-04067</x:v>
      </x:c>
      <x:c r="C8214" s="9" t="n">
        <x:v>1</x:v>
      </x:c>
      <x:c r="D8214" s="8" t="n">
        <x:v>45542</x:v>
      </x:c>
      <x:c r="E8214" s="9" t="n">
        <x:v>1592500</x:v>
      </x:c>
      <x:c r="F8214" s="9" t="n">
        <x:v>1592500</x:v>
      </x:c>
    </x:row>
    <x:row r="8215" ht="34" customHeight="1">
      <x:c r="A8215" s="4" t="str">
        <x:v>RS-04067-I2</x:v>
      </x:c>
      <x:c r="B8215" s="4" t="str">
        <x:v>RS-04067</x:v>
      </x:c>
      <x:c r="C8215" s="9" t="n">
        <x:v>2</x:v>
      </x:c>
      <x:c r="D8215" s="8" t="n">
        <x:v>45572</x:v>
      </x:c>
      <x:c r="E8215" s="9" t="n">
        <x:v>1592500</x:v>
      </x:c>
      <x:c r="F8215" s="9" t="n">
        <x:v>1592500</x:v>
      </x:c>
    </x:row>
    <x:row r="8216" ht="34" customHeight="1">
      <x:c r="A8216" s="4" t="str">
        <x:v>RS-04067-I3</x:v>
      </x:c>
      <x:c r="B8216" s="4" t="str">
        <x:v>RS-04067</x:v>
      </x:c>
      <x:c r="C8216" s="9" t="n">
        <x:v>3</x:v>
      </x:c>
      <x:c r="D8216" s="8" t="n">
        <x:v>45602</x:v>
      </x:c>
      <x:c r="E8216" s="9" t="n">
        <x:v>1592500</x:v>
      </x:c>
      <x:c r="F8216" s="9" t="n">
        <x:v>1592500</x:v>
      </x:c>
    </x:row>
    <x:row r="8217" ht="34" customHeight="1">
      <x:c r="A8217" s="4" t="str">
        <x:v>RS-04067-I4</x:v>
      </x:c>
      <x:c r="B8217" s="4" t="str">
        <x:v>RS-04067</x:v>
      </x:c>
      <x:c r="C8217" s="9" t="n">
        <x:v>4</x:v>
      </x:c>
      <x:c r="D8217" s="8" t="n">
        <x:v>45632</x:v>
      </x:c>
      <x:c r="E8217" s="9" t="n">
        <x:v>1592500</x:v>
      </x:c>
      <x:c r="F8217" s="9" t="n">
        <x:v>1592500</x:v>
      </x:c>
    </x:row>
    <x:row r="8218" ht="34" customHeight="1">
      <x:c r="A8218" s="4" t="str">
        <x:v>RS-04070-I1</x:v>
      </x:c>
      <x:c r="B8218" s="4" t="str">
        <x:v>RS-04070</x:v>
      </x:c>
      <x:c r="C8218" s="9" t="n">
        <x:v>1</x:v>
      </x:c>
      <x:c r="D8218" s="8" t="n">
        <x:v>45545</x:v>
      </x:c>
      <x:c r="E8218" s="9" t="n">
        <x:v>4576000</x:v>
      </x:c>
      <x:c r="F8218" s="9" t="n">
        <x:v>4576000</x:v>
      </x:c>
    </x:row>
    <x:row r="8219" ht="34" customHeight="1">
      <x:c r="A8219" s="4" t="str">
        <x:v>RS-04070-I2</x:v>
      </x:c>
      <x:c r="B8219" s="4" t="str">
        <x:v>RS-04070</x:v>
      </x:c>
      <x:c r="C8219" s="9" t="n">
        <x:v>2</x:v>
      </x:c>
      <x:c r="D8219" s="8" t="n">
        <x:v>45575</x:v>
      </x:c>
      <x:c r="E8219" s="9" t="n">
        <x:v>4576000</x:v>
      </x:c>
      <x:c r="F8219" s="9" t="n">
        <x:v>0</x:v>
      </x:c>
    </x:row>
    <x:row r="8220" ht="34" customHeight="1">
      <x:c r="A8220" s="4" t="str">
        <x:v>RS-04070-I3</x:v>
      </x:c>
      <x:c r="B8220" s="4" t="str">
        <x:v>RS-04070</x:v>
      </x:c>
      <x:c r="C8220" s="9" t="n">
        <x:v>3</x:v>
      </x:c>
      <x:c r="D8220" s="8" t="n">
        <x:v>45605</x:v>
      </x:c>
      <x:c r="E8220" s="9" t="n">
        <x:v>4576000</x:v>
      </x:c>
      <x:c r="F8220" s="9" t="n">
        <x:v>0</x:v>
      </x:c>
    </x:row>
    <x:row r="8221" ht="34" customHeight="1">
      <x:c r="A8221" s="4" t="str">
        <x:v>RS-04070-I4</x:v>
      </x:c>
      <x:c r="B8221" s="4" t="str">
        <x:v>RS-04070</x:v>
      </x:c>
      <x:c r="C8221" s="9" t="n">
        <x:v>4</x:v>
      </x:c>
      <x:c r="D8221" s="8" t="n">
        <x:v>45635</x:v>
      </x:c>
      <x:c r="E8221" s="9" t="n">
        <x:v>4576000</x:v>
      </x:c>
      <x:c r="F8221" s="9" t="n">
        <x:v>0</x:v>
      </x:c>
    </x:row>
    <x:row r="8222" ht="34" customHeight="1">
      <x:c r="A8222" s="4" t="str">
        <x:v>RS-04072-I1</x:v>
      </x:c>
      <x:c r="B8222" s="4" t="str">
        <x:v>RS-04072</x:v>
      </x:c>
      <x:c r="C8222" s="9" t="n">
        <x:v>1</x:v>
      </x:c>
      <x:c r="D8222" s="8" t="n">
        <x:v>45547</x:v>
      </x:c>
      <x:c r="E8222" s="9" t="n">
        <x:v>2692250</x:v>
      </x:c>
      <x:c r="F8222" s="9" t="n">
        <x:v>2692250</x:v>
      </x:c>
    </x:row>
    <x:row r="8223" ht="34" customHeight="1">
      <x:c r="A8223" s="4" t="str">
        <x:v>RS-04072-I2</x:v>
      </x:c>
      <x:c r="B8223" s="4" t="str">
        <x:v>RS-04072</x:v>
      </x:c>
      <x:c r="C8223" s="9" t="n">
        <x:v>2</x:v>
      </x:c>
      <x:c r="D8223" s="8" t="n">
        <x:v>45577</x:v>
      </x:c>
      <x:c r="E8223" s="9" t="n">
        <x:v>2692250</x:v>
      </x:c>
      <x:c r="F8223" s="9" t="n">
        <x:v>2692250</x:v>
      </x:c>
    </x:row>
    <x:row r="8224" ht="34" customHeight="1">
      <x:c r="A8224" s="4" t="str">
        <x:v>RS-04072-I3</x:v>
      </x:c>
      <x:c r="B8224" s="4" t="str">
        <x:v>RS-04072</x:v>
      </x:c>
      <x:c r="C8224" s="9" t="n">
        <x:v>3</x:v>
      </x:c>
      <x:c r="D8224" s="8" t="n">
        <x:v>45607</x:v>
      </x:c>
      <x:c r="E8224" s="9" t="n">
        <x:v>2692250</x:v>
      </x:c>
      <x:c r="F8224" s="9" t="n">
        <x:v>0</x:v>
      </x:c>
    </x:row>
    <x:row r="8225" ht="34" customHeight="1">
      <x:c r="A8225" s="4" t="str">
        <x:v>RS-04072-I4</x:v>
      </x:c>
      <x:c r="B8225" s="4" t="str">
        <x:v>RS-04072</x:v>
      </x:c>
      <x:c r="C8225" s="9" t="n">
        <x:v>4</x:v>
      </x:c>
      <x:c r="D8225" s="8" t="n">
        <x:v>45637</x:v>
      </x:c>
      <x:c r="E8225" s="9" t="n">
        <x:v>2692250</x:v>
      </x:c>
      <x:c r="F8225" s="9" t="n">
        <x:v>0</x:v>
      </x:c>
    </x:row>
    <x:row r="8226" ht="34" customHeight="1">
      <x:c r="A8226" s="4" t="str">
        <x:v>RS-04073-I1</x:v>
      </x:c>
      <x:c r="B8226" s="4" t="str">
        <x:v>RS-04073</x:v>
      </x:c>
      <x:c r="C8226" s="9" t="n">
        <x:v>1</x:v>
      </x:c>
      <x:c r="D8226" s="8" t="n">
        <x:v>45548</x:v>
      </x:c>
      <x:c r="E8226" s="9" t="n">
        <x:v>5037000</x:v>
      </x:c>
      <x:c r="F8226" s="9" t="n">
        <x:v>2014800</x:v>
      </x:c>
    </x:row>
    <x:row r="8227" ht="34" customHeight="1">
      <x:c r="A8227" s="4" t="str">
        <x:v>RS-04073-I2</x:v>
      </x:c>
      <x:c r="B8227" s="4" t="str">
        <x:v>RS-04073</x:v>
      </x:c>
      <x:c r="C8227" s="9" t="n">
        <x:v>2</x:v>
      </x:c>
      <x:c r="D8227" s="8" t="n">
        <x:v>45578</x:v>
      </x:c>
      <x:c r="E8227" s="9" t="n">
        <x:v>5037000</x:v>
      </x:c>
      <x:c r="F8227" s="9" t="n">
        <x:v>0</x:v>
      </x:c>
    </x:row>
    <x:row r="8228" ht="34" customHeight="1">
      <x:c r="A8228" s="4" t="str">
        <x:v>RS-04073-I3</x:v>
      </x:c>
      <x:c r="B8228" s="4" t="str">
        <x:v>RS-04073</x:v>
      </x:c>
      <x:c r="C8228" s="9" t="n">
        <x:v>3</x:v>
      </x:c>
      <x:c r="D8228" s="8" t="n">
        <x:v>45608</x:v>
      </x:c>
      <x:c r="E8228" s="9" t="n">
        <x:v>5037000</x:v>
      </x:c>
      <x:c r="F8228" s="9" t="n">
        <x:v>0</x:v>
      </x:c>
    </x:row>
    <x:row r="8229" ht="34" customHeight="1">
      <x:c r="A8229" s="4" t="str">
        <x:v>RS-04073-I4</x:v>
      </x:c>
      <x:c r="B8229" s="4" t="str">
        <x:v>RS-04073</x:v>
      </x:c>
      <x:c r="C8229" s="9" t="n">
        <x:v>4</x:v>
      </x:c>
      <x:c r="D8229" s="8" t="n">
        <x:v>45638</x:v>
      </x:c>
      <x:c r="E8229" s="9" t="n">
        <x:v>5037000</x:v>
      </x:c>
      <x:c r="F8229" s="9" t="n">
        <x:v>0</x:v>
      </x:c>
    </x:row>
    <x:row r="8230" ht="34" customHeight="1">
      <x:c r="A8230" s="4" t="str">
        <x:v>RS-04074-I1</x:v>
      </x:c>
      <x:c r="B8230" s="4" t="str">
        <x:v>RS-04074</x:v>
      </x:c>
      <x:c r="C8230" s="9" t="n">
        <x:v>1</x:v>
      </x:c>
      <x:c r="D8230" s="8" t="n">
        <x:v>45549</x:v>
      </x:c>
      <x:c r="E8230" s="9" t="n">
        <x:v>3712500</x:v>
      </x:c>
      <x:c r="F8230" s="9" t="n">
        <x:v>3712500</x:v>
      </x:c>
    </x:row>
    <x:row r="8231" ht="34" customHeight="1">
      <x:c r="A8231" s="4" t="str">
        <x:v>RS-04074-I2</x:v>
      </x:c>
      <x:c r="B8231" s="4" t="str">
        <x:v>RS-04074</x:v>
      </x:c>
      <x:c r="C8231" s="9" t="n">
        <x:v>2</x:v>
      </x:c>
      <x:c r="D8231" s="8" t="n">
        <x:v>45579</x:v>
      </x:c>
      <x:c r="E8231" s="9" t="n">
        <x:v>3712500</x:v>
      </x:c>
      <x:c r="F8231" s="9" t="n">
        <x:v>3712500</x:v>
      </x:c>
    </x:row>
    <x:row r="8232" ht="34" customHeight="1">
      <x:c r="A8232" s="4" t="str">
        <x:v>RS-04074-I3</x:v>
      </x:c>
      <x:c r="B8232" s="4" t="str">
        <x:v>RS-04074</x:v>
      </x:c>
      <x:c r="C8232" s="9" t="n">
        <x:v>3</x:v>
      </x:c>
      <x:c r="D8232" s="8" t="n">
        <x:v>45609</x:v>
      </x:c>
      <x:c r="E8232" s="9" t="n">
        <x:v>3712500</x:v>
      </x:c>
      <x:c r="F8232" s="9" t="n">
        <x:v>0</x:v>
      </x:c>
    </x:row>
    <x:row r="8233" ht="34" customHeight="1">
      <x:c r="A8233" s="4" t="str">
        <x:v>RS-04074-I4</x:v>
      </x:c>
      <x:c r="B8233" s="4" t="str">
        <x:v>RS-04074</x:v>
      </x:c>
      <x:c r="C8233" s="9" t="n">
        <x:v>4</x:v>
      </x:c>
      <x:c r="D8233" s="8" t="n">
        <x:v>45639</x:v>
      </x:c>
      <x:c r="E8233" s="9" t="n">
        <x:v>3712500</x:v>
      </x:c>
      <x:c r="F8233" s="9" t="n">
        <x:v>0</x:v>
      </x:c>
    </x:row>
    <x:row r="8234" ht="34" customHeight="1">
      <x:c r="A8234" s="4" t="str">
        <x:v>RS-04076-I1</x:v>
      </x:c>
      <x:c r="B8234" s="4" t="str">
        <x:v>RS-04076</x:v>
      </x:c>
      <x:c r="C8234" s="9" t="n">
        <x:v>1</x:v>
      </x:c>
      <x:c r="D8234" s="8" t="n">
        <x:v>45551</x:v>
      </x:c>
      <x:c r="E8234" s="9" t="n">
        <x:v>3823750</x:v>
      </x:c>
      <x:c r="F8234" s="9" t="n">
        <x:v>1529500</x:v>
      </x:c>
    </x:row>
    <x:row r="8235" ht="34" customHeight="1">
      <x:c r="A8235" s="4" t="str">
        <x:v>RS-04076-I2</x:v>
      </x:c>
      <x:c r="B8235" s="4" t="str">
        <x:v>RS-04076</x:v>
      </x:c>
      <x:c r="C8235" s="9" t="n">
        <x:v>2</x:v>
      </x:c>
      <x:c r="D8235" s="8" t="n">
        <x:v>45581</x:v>
      </x:c>
      <x:c r="E8235" s="9" t="n">
        <x:v>3823750</x:v>
      </x:c>
      <x:c r="F8235" s="9" t="n">
        <x:v>0</x:v>
      </x:c>
    </x:row>
    <x:row r="8236" ht="34" customHeight="1">
      <x:c r="A8236" s="4" t="str">
        <x:v>RS-04076-I3</x:v>
      </x:c>
      <x:c r="B8236" s="4" t="str">
        <x:v>RS-04076</x:v>
      </x:c>
      <x:c r="C8236" s="9" t="n">
        <x:v>3</x:v>
      </x:c>
      <x:c r="D8236" s="8" t="n">
        <x:v>45611</x:v>
      </x:c>
      <x:c r="E8236" s="9" t="n">
        <x:v>3823750</x:v>
      </x:c>
      <x:c r="F8236" s="9" t="n">
        <x:v>0</x:v>
      </x:c>
    </x:row>
    <x:row r="8237" ht="34" customHeight="1">
      <x:c r="A8237" s="4" t="str">
        <x:v>RS-04076-I4</x:v>
      </x:c>
      <x:c r="B8237" s="4" t="str">
        <x:v>RS-04076</x:v>
      </x:c>
      <x:c r="C8237" s="9" t="n">
        <x:v>4</x:v>
      </x:c>
      <x:c r="D8237" s="8" t="n">
        <x:v>45641</x:v>
      </x:c>
      <x:c r="E8237" s="9" t="n">
        <x:v>3823750</x:v>
      </x:c>
      <x:c r="F8237" s="9" t="n">
        <x:v>0</x:v>
      </x:c>
    </x:row>
    <x:row r="8238" ht="34" customHeight="1">
      <x:c r="A8238" s="4" t="str">
        <x:v>RS-04077-I1</x:v>
      </x:c>
      <x:c r="B8238" s="4" t="str">
        <x:v>RS-04077</x:v>
      </x:c>
      <x:c r="C8238" s="9" t="n">
        <x:v>1</x:v>
      </x:c>
      <x:c r="D8238" s="8" t="n">
        <x:v>45552</x:v>
      </x:c>
      <x:c r="E8238" s="9" t="n">
        <x:v>2250000</x:v>
      </x:c>
      <x:c r="F8238" s="9" t="n">
        <x:v>900000</x:v>
      </x:c>
    </x:row>
    <x:row r="8239" ht="34" customHeight="1">
      <x:c r="A8239" s="4" t="str">
        <x:v>RS-04077-I2</x:v>
      </x:c>
      <x:c r="B8239" s="4" t="str">
        <x:v>RS-04077</x:v>
      </x:c>
      <x:c r="C8239" s="9" t="n">
        <x:v>2</x:v>
      </x:c>
      <x:c r="D8239" s="8" t="n">
        <x:v>45582</x:v>
      </x:c>
      <x:c r="E8239" s="9" t="n">
        <x:v>2250000</x:v>
      </x:c>
      <x:c r="F8239" s="9" t="n">
        <x:v>0</x:v>
      </x:c>
    </x:row>
    <x:row r="8240" ht="34" customHeight="1">
      <x:c r="A8240" s="4" t="str">
        <x:v>RS-04077-I3</x:v>
      </x:c>
      <x:c r="B8240" s="4" t="str">
        <x:v>RS-04077</x:v>
      </x:c>
      <x:c r="C8240" s="9" t="n">
        <x:v>3</x:v>
      </x:c>
      <x:c r="D8240" s="8" t="n">
        <x:v>45612</x:v>
      </x:c>
      <x:c r="E8240" s="9" t="n">
        <x:v>2250000</x:v>
      </x:c>
      <x:c r="F8240" s="9" t="n">
        <x:v>0</x:v>
      </x:c>
    </x:row>
    <x:row r="8241" ht="34" customHeight="1">
      <x:c r="A8241" s="4" t="str">
        <x:v>RS-04077-I4</x:v>
      </x:c>
      <x:c r="B8241" s="4" t="str">
        <x:v>RS-04077</x:v>
      </x:c>
      <x:c r="C8241" s="9" t="n">
        <x:v>4</x:v>
      </x:c>
      <x:c r="D8241" s="8" t="n">
        <x:v>45642</x:v>
      </x:c>
      <x:c r="E8241" s="9" t="n">
        <x:v>2250000</x:v>
      </x:c>
      <x:c r="F8241" s="9" t="n">
        <x:v>0</x:v>
      </x:c>
    </x:row>
    <x:row r="8242" ht="34" customHeight="1">
      <x:c r="A8242" s="4" t="str">
        <x:v>RS-04080-I1</x:v>
      </x:c>
      <x:c r="B8242" s="4" t="str">
        <x:v>RS-04080</x:v>
      </x:c>
      <x:c r="C8242" s="9" t="n">
        <x:v>1</x:v>
      </x:c>
      <x:c r="D8242" s="8" t="n">
        <x:v>45555</x:v>
      </x:c>
      <x:c r="E8242" s="9" t="n">
        <x:v>4203750</x:v>
      </x:c>
      <x:c r="F8242" s="9" t="n">
        <x:v>4203750</x:v>
      </x:c>
    </x:row>
    <x:row r="8243" ht="34" customHeight="1">
      <x:c r="A8243" s="4" t="str">
        <x:v>RS-04080-I2</x:v>
      </x:c>
      <x:c r="B8243" s="4" t="str">
        <x:v>RS-04080</x:v>
      </x:c>
      <x:c r="C8243" s="9" t="n">
        <x:v>2</x:v>
      </x:c>
      <x:c r="D8243" s="8" t="n">
        <x:v>45585</x:v>
      </x:c>
      <x:c r="E8243" s="9" t="n">
        <x:v>4203750</x:v>
      </x:c>
      <x:c r="F8243" s="9" t="n">
        <x:v>0</x:v>
      </x:c>
    </x:row>
    <x:row r="8244" ht="34" customHeight="1">
      <x:c r="A8244" s="4" t="str">
        <x:v>RS-04080-I3</x:v>
      </x:c>
      <x:c r="B8244" s="4" t="str">
        <x:v>RS-04080</x:v>
      </x:c>
      <x:c r="C8244" s="9" t="n">
        <x:v>3</x:v>
      </x:c>
      <x:c r="D8244" s="8" t="n">
        <x:v>45615</x:v>
      </x:c>
      <x:c r="E8244" s="9" t="n">
        <x:v>4203750</x:v>
      </x:c>
      <x:c r="F8244" s="9" t="n">
        <x:v>0</x:v>
      </x:c>
    </x:row>
    <x:row r="8245" ht="34" customHeight="1">
      <x:c r="A8245" s="4" t="str">
        <x:v>RS-04080-I4</x:v>
      </x:c>
      <x:c r="B8245" s="4" t="str">
        <x:v>RS-04080</x:v>
      </x:c>
      <x:c r="C8245" s="9" t="n">
        <x:v>4</x:v>
      </x:c>
      <x:c r="D8245" s="8" t="n">
        <x:v>45645</x:v>
      </x:c>
      <x:c r="E8245" s="9" t="n">
        <x:v>4203750</x:v>
      </x:c>
      <x:c r="F8245" s="9" t="n">
        <x:v>0</x:v>
      </x:c>
    </x:row>
    <x:row r="8246" ht="34" customHeight="1">
      <x:c r="A8246" s="4" t="str">
        <x:v>RS-04082-I1</x:v>
      </x:c>
      <x:c r="B8246" s="4" t="str">
        <x:v>RS-04082</x:v>
      </x:c>
      <x:c r="C8246" s="9" t="n">
        <x:v>1</x:v>
      </x:c>
      <x:c r="D8246" s="8" t="n">
        <x:v>45557</x:v>
      </x:c>
      <x:c r="E8246" s="9" t="n">
        <x:v>5028500</x:v>
      </x:c>
      <x:c r="F8246" s="9" t="n">
        <x:v>5028500</x:v>
      </x:c>
    </x:row>
    <x:row r="8247" ht="34" customHeight="1">
      <x:c r="A8247" s="4" t="str">
        <x:v>RS-04082-I2</x:v>
      </x:c>
      <x:c r="B8247" s="4" t="str">
        <x:v>RS-04082</x:v>
      </x:c>
      <x:c r="C8247" s="9" t="n">
        <x:v>2</x:v>
      </x:c>
      <x:c r="D8247" s="8" t="n">
        <x:v>45587</x:v>
      </x:c>
      <x:c r="E8247" s="9" t="n">
        <x:v>5028500</x:v>
      </x:c>
      <x:c r="F8247" s="9" t="n">
        <x:v>5028500</x:v>
      </x:c>
    </x:row>
    <x:row r="8248" ht="34" customHeight="1">
      <x:c r="A8248" s="4" t="str">
        <x:v>RS-04082-I3</x:v>
      </x:c>
      <x:c r="B8248" s="4" t="str">
        <x:v>RS-04082</x:v>
      </x:c>
      <x:c r="C8248" s="9" t="n">
        <x:v>3</x:v>
      </x:c>
      <x:c r="D8248" s="8" t="n">
        <x:v>45617</x:v>
      </x:c>
      <x:c r="E8248" s="9" t="n">
        <x:v>5028500</x:v>
      </x:c>
      <x:c r="F8248" s="9" t="n">
        <x:v>5028500</x:v>
      </x:c>
    </x:row>
    <x:row r="8249" ht="34" customHeight="1">
      <x:c r="A8249" s="4" t="str">
        <x:v>RS-04082-I4</x:v>
      </x:c>
      <x:c r="B8249" s="4" t="str">
        <x:v>RS-04082</x:v>
      </x:c>
      <x:c r="C8249" s="9" t="n">
        <x:v>4</x:v>
      </x:c>
      <x:c r="D8249" s="8" t="n">
        <x:v>45647</x:v>
      </x:c>
      <x:c r="E8249" s="9" t="n">
        <x:v>5028500</x:v>
      </x:c>
      <x:c r="F8249" s="9" t="n">
        <x:v>5028500</x:v>
      </x:c>
    </x:row>
    <x:row r="8250" ht="34" customHeight="1">
      <x:c r="A8250" s="4" t="str">
        <x:v>RS-04083-I1</x:v>
      </x:c>
      <x:c r="B8250" s="4" t="str">
        <x:v>RS-04083</x:v>
      </x:c>
      <x:c r="C8250" s="9" t="n">
        <x:v>1</x:v>
      </x:c>
      <x:c r="D8250" s="8" t="n">
        <x:v>45558</x:v>
      </x:c>
      <x:c r="E8250" s="9" t="n">
        <x:v>4531000</x:v>
      </x:c>
      <x:c r="F8250" s="9" t="n">
        <x:v>4531000</x:v>
      </x:c>
    </x:row>
    <x:row r="8251" ht="34" customHeight="1">
      <x:c r="A8251" s="4" t="str">
        <x:v>RS-04083-I2</x:v>
      </x:c>
      <x:c r="B8251" s="4" t="str">
        <x:v>RS-04083</x:v>
      </x:c>
      <x:c r="C8251" s="9" t="n">
        <x:v>2</x:v>
      </x:c>
      <x:c r="D8251" s="8" t="n">
        <x:v>45588</x:v>
      </x:c>
      <x:c r="E8251" s="9" t="n">
        <x:v>4531000</x:v>
      </x:c>
      <x:c r="F8251" s="9" t="n">
        <x:v>4531000</x:v>
      </x:c>
    </x:row>
    <x:row r="8252" ht="34" customHeight="1">
      <x:c r="A8252" s="4" t="str">
        <x:v>RS-04083-I3</x:v>
      </x:c>
      <x:c r="B8252" s="4" t="str">
        <x:v>RS-04083</x:v>
      </x:c>
      <x:c r="C8252" s="9" t="n">
        <x:v>3</x:v>
      </x:c>
      <x:c r="D8252" s="8" t="n">
        <x:v>45618</x:v>
      </x:c>
      <x:c r="E8252" s="9" t="n">
        <x:v>4531000</x:v>
      </x:c>
      <x:c r="F8252" s="9" t="n">
        <x:v>4531000</x:v>
      </x:c>
    </x:row>
    <x:row r="8253" ht="34" customHeight="1">
      <x:c r="A8253" s="4" t="str">
        <x:v>RS-04083-I4</x:v>
      </x:c>
      <x:c r="B8253" s="4" t="str">
        <x:v>RS-04083</x:v>
      </x:c>
      <x:c r="C8253" s="9" t="n">
        <x:v>4</x:v>
      </x:c>
      <x:c r="D8253" s="8" t="n">
        <x:v>45648</x:v>
      </x:c>
      <x:c r="E8253" s="9" t="n">
        <x:v>4531000</x:v>
      </x:c>
      <x:c r="F8253" s="9" t="n">
        <x:v>4531000</x:v>
      </x:c>
    </x:row>
    <x:row r="8254" ht="34" customHeight="1">
      <x:c r="A8254" s="4" t="str">
        <x:v>RS-04084-I1</x:v>
      </x:c>
      <x:c r="B8254" s="4" t="str">
        <x:v>RS-04084</x:v>
      </x:c>
      <x:c r="C8254" s="9" t="n">
        <x:v>1</x:v>
      </x:c>
      <x:c r="D8254" s="8" t="n">
        <x:v>45559</x:v>
      </x:c>
      <x:c r="E8254" s="9" t="n">
        <x:v>3799250</x:v>
      </x:c>
      <x:c r="F8254" s="9" t="n">
        <x:v>3799250</x:v>
      </x:c>
    </x:row>
    <x:row r="8255" ht="34" customHeight="1">
      <x:c r="A8255" s="4" t="str">
        <x:v>RS-04084-I2</x:v>
      </x:c>
      <x:c r="B8255" s="4" t="str">
        <x:v>RS-04084</x:v>
      </x:c>
      <x:c r="C8255" s="9" t="n">
        <x:v>2</x:v>
      </x:c>
      <x:c r="D8255" s="8" t="n">
        <x:v>45589</x:v>
      </x:c>
      <x:c r="E8255" s="9" t="n">
        <x:v>3799250</x:v>
      </x:c>
      <x:c r="F8255" s="9" t="n">
        <x:v>3799250</x:v>
      </x:c>
    </x:row>
    <x:row r="8256" ht="34" customHeight="1">
      <x:c r="A8256" s="4" t="str">
        <x:v>RS-04084-I3</x:v>
      </x:c>
      <x:c r="B8256" s="4" t="str">
        <x:v>RS-04084</x:v>
      </x:c>
      <x:c r="C8256" s="9" t="n">
        <x:v>3</x:v>
      </x:c>
      <x:c r="D8256" s="8" t="n">
        <x:v>45619</x:v>
      </x:c>
      <x:c r="E8256" s="9" t="n">
        <x:v>3799250</x:v>
      </x:c>
      <x:c r="F8256" s="9" t="n">
        <x:v>0</x:v>
      </x:c>
    </x:row>
    <x:row r="8257" ht="34" customHeight="1">
      <x:c r="A8257" s="4" t="str">
        <x:v>RS-04084-I4</x:v>
      </x:c>
      <x:c r="B8257" s="4" t="str">
        <x:v>RS-04084</x:v>
      </x:c>
      <x:c r="C8257" s="9" t="n">
        <x:v>4</x:v>
      </x:c>
      <x:c r="D8257" s="8" t="n">
        <x:v>45649</x:v>
      </x:c>
      <x:c r="E8257" s="9" t="n">
        <x:v>3799250</x:v>
      </x:c>
      <x:c r="F8257" s="9" t="n">
        <x:v>0</x:v>
      </x:c>
    </x:row>
    <x:row r="8258" ht="34" customHeight="1">
      <x:c r="A8258" s="4" t="str">
        <x:v>RS-04086-I1</x:v>
      </x:c>
      <x:c r="B8258" s="4" t="str">
        <x:v>RS-04086</x:v>
      </x:c>
      <x:c r="C8258" s="9" t="n">
        <x:v>1</x:v>
      </x:c>
      <x:c r="D8258" s="8" t="n">
        <x:v>45561</x:v>
      </x:c>
      <x:c r="E8258" s="9" t="n">
        <x:v>1507500</x:v>
      </x:c>
      <x:c r="F8258" s="9" t="n">
        <x:v>1507500</x:v>
      </x:c>
    </x:row>
    <x:row r="8259" ht="34" customHeight="1">
      <x:c r="A8259" s="4" t="str">
        <x:v>RS-04086-I2</x:v>
      </x:c>
      <x:c r="B8259" s="4" t="str">
        <x:v>RS-04086</x:v>
      </x:c>
      <x:c r="C8259" s="9" t="n">
        <x:v>2</x:v>
      </x:c>
      <x:c r="D8259" s="8" t="n">
        <x:v>45591</x:v>
      </x:c>
      <x:c r="E8259" s="9" t="n">
        <x:v>1507500</x:v>
      </x:c>
      <x:c r="F8259" s="9" t="n">
        <x:v>1507500</x:v>
      </x:c>
    </x:row>
    <x:row r="8260" ht="34" customHeight="1">
      <x:c r="A8260" s="4" t="str">
        <x:v>RS-04086-I3</x:v>
      </x:c>
      <x:c r="B8260" s="4" t="str">
        <x:v>RS-04086</x:v>
      </x:c>
      <x:c r="C8260" s="9" t="n">
        <x:v>3</x:v>
      </x:c>
      <x:c r="D8260" s="8" t="n">
        <x:v>45621</x:v>
      </x:c>
      <x:c r="E8260" s="9" t="n">
        <x:v>1507500</x:v>
      </x:c>
      <x:c r="F8260" s="9" t="n">
        <x:v>1507500</x:v>
      </x:c>
    </x:row>
    <x:row r="8261" ht="34" customHeight="1">
      <x:c r="A8261" s="4" t="str">
        <x:v>RS-04086-I4</x:v>
      </x:c>
      <x:c r="B8261" s="4" t="str">
        <x:v>RS-04086</x:v>
      </x:c>
      <x:c r="C8261" s="9" t="n">
        <x:v>4</x:v>
      </x:c>
      <x:c r="D8261" s="8" t="n">
        <x:v>45651</x:v>
      </x:c>
      <x:c r="E8261" s="9" t="n">
        <x:v>1507500</x:v>
      </x:c>
      <x:c r="F8261" s="9" t="n">
        <x:v>1507500</x:v>
      </x:c>
    </x:row>
    <x:row r="8262" ht="34" customHeight="1">
      <x:c r="A8262" s="4" t="str">
        <x:v>RS-04087-I1</x:v>
      </x:c>
      <x:c r="B8262" s="4" t="str">
        <x:v>RS-04087</x:v>
      </x:c>
      <x:c r="C8262" s="9" t="n">
        <x:v>1</x:v>
      </x:c>
      <x:c r="D8262" s="8" t="n">
        <x:v>45562</x:v>
      </x:c>
      <x:c r="E8262" s="9" t="n">
        <x:v>2156000</x:v>
      </x:c>
      <x:c r="F8262" s="9" t="n">
        <x:v>862400</x:v>
      </x:c>
    </x:row>
    <x:row r="8263" ht="34" customHeight="1">
      <x:c r="A8263" s="4" t="str">
        <x:v>RS-04087-I2</x:v>
      </x:c>
      <x:c r="B8263" s="4" t="str">
        <x:v>RS-04087</x:v>
      </x:c>
      <x:c r="C8263" s="9" t="n">
        <x:v>2</x:v>
      </x:c>
      <x:c r="D8263" s="8" t="n">
        <x:v>45592</x:v>
      </x:c>
      <x:c r="E8263" s="9" t="n">
        <x:v>2156000</x:v>
      </x:c>
      <x:c r="F8263" s="9" t="n">
        <x:v>0</x:v>
      </x:c>
    </x:row>
    <x:row r="8264" ht="34" customHeight="1">
      <x:c r="A8264" s="4" t="str">
        <x:v>RS-04087-I3</x:v>
      </x:c>
      <x:c r="B8264" s="4" t="str">
        <x:v>RS-04087</x:v>
      </x:c>
      <x:c r="C8264" s="9" t="n">
        <x:v>3</x:v>
      </x:c>
      <x:c r="D8264" s="8" t="n">
        <x:v>45622</x:v>
      </x:c>
      <x:c r="E8264" s="9" t="n">
        <x:v>2156000</x:v>
      </x:c>
      <x:c r="F8264" s="9" t="n">
        <x:v>0</x:v>
      </x:c>
    </x:row>
    <x:row r="8265" ht="34" customHeight="1">
      <x:c r="A8265" s="4" t="str">
        <x:v>RS-04087-I4</x:v>
      </x:c>
      <x:c r="B8265" s="4" t="str">
        <x:v>RS-04087</x:v>
      </x:c>
      <x:c r="C8265" s="9" t="n">
        <x:v>4</x:v>
      </x:c>
      <x:c r="D8265" s="8" t="n">
        <x:v>45652</x:v>
      </x:c>
      <x:c r="E8265" s="9" t="n">
        <x:v>2156000</x:v>
      </x:c>
      <x:c r="F8265" s="9" t="n">
        <x:v>0</x:v>
      </x:c>
    </x:row>
    <x:row r="8266" ht="34" customHeight="1">
      <x:c r="A8266" s="4" t="str">
        <x:v>RS-04088-I1</x:v>
      </x:c>
      <x:c r="B8266" s="4" t="str">
        <x:v>RS-04088</x:v>
      </x:c>
      <x:c r="C8266" s="9" t="n">
        <x:v>1</x:v>
      </x:c>
      <x:c r="D8266" s="8" t="n">
        <x:v>45563</x:v>
      </x:c>
      <x:c r="E8266" s="9" t="n">
        <x:v>4653000</x:v>
      </x:c>
      <x:c r="F8266" s="9" t="n">
        <x:v>4653000</x:v>
      </x:c>
    </x:row>
    <x:row r="8267" ht="34" customHeight="1">
      <x:c r="A8267" s="4" t="str">
        <x:v>RS-04088-I2</x:v>
      </x:c>
      <x:c r="B8267" s="4" t="str">
        <x:v>RS-04088</x:v>
      </x:c>
      <x:c r="C8267" s="9" t="n">
        <x:v>2</x:v>
      </x:c>
      <x:c r="D8267" s="8" t="n">
        <x:v>45593</x:v>
      </x:c>
      <x:c r="E8267" s="9" t="n">
        <x:v>4653000</x:v>
      </x:c>
      <x:c r="F8267" s="9" t="n">
        <x:v>4653000</x:v>
      </x:c>
    </x:row>
    <x:row r="8268" ht="34" customHeight="1">
      <x:c r="A8268" s="4" t="str">
        <x:v>RS-04088-I3</x:v>
      </x:c>
      <x:c r="B8268" s="4" t="str">
        <x:v>RS-04088</x:v>
      </x:c>
      <x:c r="C8268" s="9" t="n">
        <x:v>3</x:v>
      </x:c>
      <x:c r="D8268" s="8" t="n">
        <x:v>45623</x:v>
      </x:c>
      <x:c r="E8268" s="9" t="n">
        <x:v>4653000</x:v>
      </x:c>
      <x:c r="F8268" s="9" t="n">
        <x:v>0</x:v>
      </x:c>
    </x:row>
    <x:row r="8269" ht="34" customHeight="1">
      <x:c r="A8269" s="4" t="str">
        <x:v>RS-04088-I4</x:v>
      </x:c>
      <x:c r="B8269" s="4" t="str">
        <x:v>RS-04088</x:v>
      </x:c>
      <x:c r="C8269" s="9" t="n">
        <x:v>4</x:v>
      </x:c>
      <x:c r="D8269" s="8" t="n">
        <x:v>45653</x:v>
      </x:c>
      <x:c r="E8269" s="9" t="n">
        <x:v>4653000</x:v>
      </x:c>
      <x:c r="F8269" s="9" t="n">
        <x:v>0</x:v>
      </x:c>
    </x:row>
    <x:row r="8270" ht="34" customHeight="1">
      <x:c r="A8270" s="4" t="str">
        <x:v>RS-04090-I1</x:v>
      </x:c>
      <x:c r="B8270" s="4" t="str">
        <x:v>RS-04090</x:v>
      </x:c>
      <x:c r="C8270" s="9" t="n">
        <x:v>1</x:v>
      </x:c>
      <x:c r="D8270" s="8" t="n">
        <x:v>45537</x:v>
      </x:c>
      <x:c r="E8270" s="9" t="n">
        <x:v>4004000</x:v>
      </x:c>
      <x:c r="F8270" s="9" t="n">
        <x:v>4004000</x:v>
      </x:c>
    </x:row>
    <x:row r="8271" ht="34" customHeight="1">
      <x:c r="A8271" s="4" t="str">
        <x:v>RS-04090-I2</x:v>
      </x:c>
      <x:c r="B8271" s="4" t="str">
        <x:v>RS-04090</x:v>
      </x:c>
      <x:c r="C8271" s="9" t="n">
        <x:v>2</x:v>
      </x:c>
      <x:c r="D8271" s="8" t="n">
        <x:v>45567</x:v>
      </x:c>
      <x:c r="E8271" s="9" t="n">
        <x:v>4004000</x:v>
      </x:c>
      <x:c r="F8271" s="9" t="n">
        <x:v>4004000</x:v>
      </x:c>
    </x:row>
    <x:row r="8272" ht="34" customHeight="1">
      <x:c r="A8272" s="4" t="str">
        <x:v>RS-04090-I3</x:v>
      </x:c>
      <x:c r="B8272" s="4" t="str">
        <x:v>RS-04090</x:v>
      </x:c>
      <x:c r="C8272" s="9" t="n">
        <x:v>3</x:v>
      </x:c>
      <x:c r="D8272" s="8" t="n">
        <x:v>45597</x:v>
      </x:c>
      <x:c r="E8272" s="9" t="n">
        <x:v>4004000</x:v>
      </x:c>
      <x:c r="F8272" s="9" t="n">
        <x:v>4004000</x:v>
      </x:c>
    </x:row>
    <x:row r="8273" ht="34" customHeight="1">
      <x:c r="A8273" s="4" t="str">
        <x:v>RS-04090-I4</x:v>
      </x:c>
      <x:c r="B8273" s="4" t="str">
        <x:v>RS-04090</x:v>
      </x:c>
      <x:c r="C8273" s="9" t="n">
        <x:v>4</x:v>
      </x:c>
      <x:c r="D8273" s="8" t="n">
        <x:v>45627</x:v>
      </x:c>
      <x:c r="E8273" s="9" t="n">
        <x:v>4004000</x:v>
      </x:c>
      <x:c r="F8273" s="9" t="n">
        <x:v>4004000</x:v>
      </x:c>
    </x:row>
    <x:row r="8274" ht="34" customHeight="1">
      <x:c r="A8274" s="4" t="str">
        <x:v>RS-04091-I1</x:v>
      </x:c>
      <x:c r="B8274" s="4" t="str">
        <x:v>RS-04091</x:v>
      </x:c>
      <x:c r="C8274" s="9" t="n">
        <x:v>1</x:v>
      </x:c>
      <x:c r="D8274" s="8" t="n">
        <x:v>45538</x:v>
      </x:c>
      <x:c r="E8274" s="9" t="n">
        <x:v>5347500</x:v>
      </x:c>
      <x:c r="F8274" s="9" t="n">
        <x:v>2139000</x:v>
      </x:c>
    </x:row>
    <x:row r="8275" ht="34" customHeight="1">
      <x:c r="A8275" s="4" t="str">
        <x:v>RS-04091-I2</x:v>
      </x:c>
      <x:c r="B8275" s="4" t="str">
        <x:v>RS-04091</x:v>
      </x:c>
      <x:c r="C8275" s="9" t="n">
        <x:v>2</x:v>
      </x:c>
      <x:c r="D8275" s="8" t="n">
        <x:v>45568</x:v>
      </x:c>
      <x:c r="E8275" s="9" t="n">
        <x:v>5347500</x:v>
      </x:c>
      <x:c r="F8275" s="9" t="n">
        <x:v>0</x:v>
      </x:c>
    </x:row>
    <x:row r="8276" ht="34" customHeight="1">
      <x:c r="A8276" s="4" t="str">
        <x:v>RS-04091-I3</x:v>
      </x:c>
      <x:c r="B8276" s="4" t="str">
        <x:v>RS-04091</x:v>
      </x:c>
      <x:c r="C8276" s="9" t="n">
        <x:v>3</x:v>
      </x:c>
      <x:c r="D8276" s="8" t="n">
        <x:v>45598</x:v>
      </x:c>
      <x:c r="E8276" s="9" t="n">
        <x:v>5347500</x:v>
      </x:c>
      <x:c r="F8276" s="9" t="n">
        <x:v>0</x:v>
      </x:c>
    </x:row>
    <x:row r="8277" ht="34" customHeight="1">
      <x:c r="A8277" s="4" t="str">
        <x:v>RS-04091-I4</x:v>
      </x:c>
      <x:c r="B8277" s="4" t="str">
        <x:v>RS-04091</x:v>
      </x:c>
      <x:c r="C8277" s="9" t="n">
        <x:v>4</x:v>
      </x:c>
      <x:c r="D8277" s="8" t="n">
        <x:v>45628</x:v>
      </x:c>
      <x:c r="E8277" s="9" t="n">
        <x:v>5347500</x:v>
      </x:c>
      <x:c r="F8277" s="9" t="n">
        <x:v>0</x:v>
      </x:c>
    </x:row>
    <x:row r="8278" ht="34" customHeight="1">
      <x:c r="A8278" s="4" t="str">
        <x:v>RS-04097-I1</x:v>
      </x:c>
      <x:c r="B8278" s="4" t="str">
        <x:v>RS-04097</x:v>
      </x:c>
      <x:c r="C8278" s="9" t="n">
        <x:v>1</x:v>
      </x:c>
      <x:c r="D8278" s="8" t="n">
        <x:v>45544</x:v>
      </x:c>
      <x:c r="E8278" s="9" t="n">
        <x:v>2812500</x:v>
      </x:c>
      <x:c r="F8278" s="9" t="n">
        <x:v>2812500</x:v>
      </x:c>
    </x:row>
    <x:row r="8279" ht="34" customHeight="1">
      <x:c r="A8279" s="4" t="str">
        <x:v>RS-04097-I2</x:v>
      </x:c>
      <x:c r="B8279" s="4" t="str">
        <x:v>RS-04097</x:v>
      </x:c>
      <x:c r="C8279" s="9" t="n">
        <x:v>2</x:v>
      </x:c>
      <x:c r="D8279" s="8" t="n">
        <x:v>45574</x:v>
      </x:c>
      <x:c r="E8279" s="9" t="n">
        <x:v>2812500</x:v>
      </x:c>
      <x:c r="F8279" s="9" t="n">
        <x:v>2812500</x:v>
      </x:c>
    </x:row>
    <x:row r="8280" ht="34" customHeight="1">
      <x:c r="A8280" s="4" t="str">
        <x:v>RS-04097-I3</x:v>
      </x:c>
      <x:c r="B8280" s="4" t="str">
        <x:v>RS-04097</x:v>
      </x:c>
      <x:c r="C8280" s="9" t="n">
        <x:v>3</x:v>
      </x:c>
      <x:c r="D8280" s="8" t="n">
        <x:v>45604</x:v>
      </x:c>
      <x:c r="E8280" s="9" t="n">
        <x:v>2812500</x:v>
      </x:c>
      <x:c r="F8280" s="9" t="n">
        <x:v>0</x:v>
      </x:c>
    </x:row>
    <x:row r="8281" ht="34" customHeight="1">
      <x:c r="A8281" s="4" t="str">
        <x:v>RS-04097-I4</x:v>
      </x:c>
      <x:c r="B8281" s="4" t="str">
        <x:v>RS-04097</x:v>
      </x:c>
      <x:c r="C8281" s="9" t="n">
        <x:v>4</x:v>
      </x:c>
      <x:c r="D8281" s="8" t="n">
        <x:v>45634</x:v>
      </x:c>
      <x:c r="E8281" s="9" t="n">
        <x:v>2812500</x:v>
      </x:c>
      <x:c r="F8281" s="9" t="n">
        <x:v>0</x:v>
      </x:c>
    </x:row>
    <x:row r="8282" ht="34" customHeight="1">
      <x:c r="A8282" s="4" t="str">
        <x:v>RS-04099-I1</x:v>
      </x:c>
      <x:c r="B8282" s="4" t="str">
        <x:v>RS-04099</x:v>
      </x:c>
      <x:c r="C8282" s="9" t="n">
        <x:v>1</x:v>
      </x:c>
      <x:c r="D8282" s="8" t="n">
        <x:v>45546</x:v>
      </x:c>
      <x:c r="E8282" s="9" t="n">
        <x:v>848750</x:v>
      </x:c>
      <x:c r="F8282" s="9" t="n">
        <x:v>848750</x:v>
      </x:c>
    </x:row>
    <x:row r="8283" ht="34" customHeight="1">
      <x:c r="A8283" s="4" t="str">
        <x:v>RS-04099-I2</x:v>
      </x:c>
      <x:c r="B8283" s="4" t="str">
        <x:v>RS-04099</x:v>
      </x:c>
      <x:c r="C8283" s="9" t="n">
        <x:v>2</x:v>
      </x:c>
      <x:c r="D8283" s="8" t="n">
        <x:v>45576</x:v>
      </x:c>
      <x:c r="E8283" s="9" t="n">
        <x:v>848750</x:v>
      </x:c>
      <x:c r="F8283" s="9" t="n">
        <x:v>848750</x:v>
      </x:c>
    </x:row>
    <x:row r="8284" ht="34" customHeight="1">
      <x:c r="A8284" s="4" t="str">
        <x:v>RS-04099-I3</x:v>
      </x:c>
      <x:c r="B8284" s="4" t="str">
        <x:v>RS-04099</x:v>
      </x:c>
      <x:c r="C8284" s="9" t="n">
        <x:v>3</x:v>
      </x:c>
      <x:c r="D8284" s="8" t="n">
        <x:v>45606</x:v>
      </x:c>
      <x:c r="E8284" s="9" t="n">
        <x:v>848750</x:v>
      </x:c>
      <x:c r="F8284" s="9" t="n">
        <x:v>0</x:v>
      </x:c>
    </x:row>
    <x:row r="8285" ht="34" customHeight="1">
      <x:c r="A8285" s="4" t="str">
        <x:v>RS-04099-I4</x:v>
      </x:c>
      <x:c r="B8285" s="4" t="str">
        <x:v>RS-04099</x:v>
      </x:c>
      <x:c r="C8285" s="9" t="n">
        <x:v>4</x:v>
      </x:c>
      <x:c r="D8285" s="8" t="n">
        <x:v>45636</x:v>
      </x:c>
      <x:c r="E8285" s="9" t="n">
        <x:v>848750</x:v>
      </x:c>
      <x:c r="F8285" s="9" t="n">
        <x:v>0</x:v>
      </x:c>
    </x:row>
    <x:row r="8286" ht="34" customHeight="1">
      <x:c r="A8286" s="4" t="str">
        <x:v>RS-04101-I1</x:v>
      </x:c>
      <x:c r="B8286" s="4" t="str">
        <x:v>RS-04101</x:v>
      </x:c>
      <x:c r="C8286" s="9" t="n">
        <x:v>1</x:v>
      </x:c>
      <x:c r="D8286" s="8" t="n">
        <x:v>45548</x:v>
      </x:c>
      <x:c r="E8286" s="9" t="n">
        <x:v>1964250</x:v>
      </x:c>
      <x:c r="F8286" s="9" t="n">
        <x:v>1964250</x:v>
      </x:c>
    </x:row>
    <x:row r="8287" ht="34" customHeight="1">
      <x:c r="A8287" s="4" t="str">
        <x:v>RS-04101-I2</x:v>
      </x:c>
      <x:c r="B8287" s="4" t="str">
        <x:v>RS-04101</x:v>
      </x:c>
      <x:c r="C8287" s="9" t="n">
        <x:v>2</x:v>
      </x:c>
      <x:c r="D8287" s="8" t="n">
        <x:v>45578</x:v>
      </x:c>
      <x:c r="E8287" s="9" t="n">
        <x:v>1964250</x:v>
      </x:c>
      <x:c r="F8287" s="9" t="n">
        <x:v>1964250</x:v>
      </x:c>
    </x:row>
    <x:row r="8288" ht="34" customHeight="1">
      <x:c r="A8288" s="4" t="str">
        <x:v>RS-04101-I3</x:v>
      </x:c>
      <x:c r="B8288" s="4" t="str">
        <x:v>RS-04101</x:v>
      </x:c>
      <x:c r="C8288" s="9" t="n">
        <x:v>3</x:v>
      </x:c>
      <x:c r="D8288" s="8" t="n">
        <x:v>45608</x:v>
      </x:c>
      <x:c r="E8288" s="9" t="n">
        <x:v>1964250</x:v>
      </x:c>
      <x:c r="F8288" s="9" t="n">
        <x:v>0</x:v>
      </x:c>
    </x:row>
    <x:row r="8289" ht="34" customHeight="1">
      <x:c r="A8289" s="4" t="str">
        <x:v>RS-04101-I4</x:v>
      </x:c>
      <x:c r="B8289" s="4" t="str">
        <x:v>RS-04101</x:v>
      </x:c>
      <x:c r="C8289" s="9" t="n">
        <x:v>4</x:v>
      </x:c>
      <x:c r="D8289" s="8" t="n">
        <x:v>45638</x:v>
      </x:c>
      <x:c r="E8289" s="9" t="n">
        <x:v>1964250</x:v>
      </x:c>
      <x:c r="F8289" s="9" t="n">
        <x:v>0</x:v>
      </x:c>
    </x:row>
    <x:row r="8290" ht="34" customHeight="1">
      <x:c r="A8290" s="4" t="str">
        <x:v>RS-04103-I1</x:v>
      </x:c>
      <x:c r="B8290" s="4" t="str">
        <x:v>RS-04103</x:v>
      </x:c>
      <x:c r="C8290" s="9" t="n">
        <x:v>1</x:v>
      </x:c>
      <x:c r="D8290" s="8" t="n">
        <x:v>45550</x:v>
      </x:c>
      <x:c r="E8290" s="9" t="n">
        <x:v>5569500</x:v>
      </x:c>
      <x:c r="F8290" s="9" t="n">
        <x:v>5569500</x:v>
      </x:c>
    </x:row>
    <x:row r="8291" ht="34" customHeight="1">
      <x:c r="A8291" s="4" t="str">
        <x:v>RS-04103-I2</x:v>
      </x:c>
      <x:c r="B8291" s="4" t="str">
        <x:v>RS-04103</x:v>
      </x:c>
      <x:c r="C8291" s="9" t="n">
        <x:v>2</x:v>
      </x:c>
      <x:c r="D8291" s="8" t="n">
        <x:v>45580</x:v>
      </x:c>
      <x:c r="E8291" s="9" t="n">
        <x:v>5569500</x:v>
      </x:c>
      <x:c r="F8291" s="9" t="n">
        <x:v>5569500</x:v>
      </x:c>
    </x:row>
    <x:row r="8292" ht="34" customHeight="1">
      <x:c r="A8292" s="4" t="str">
        <x:v>RS-04103-I3</x:v>
      </x:c>
      <x:c r="B8292" s="4" t="str">
        <x:v>RS-04103</x:v>
      </x:c>
      <x:c r="C8292" s="9" t="n">
        <x:v>3</x:v>
      </x:c>
      <x:c r="D8292" s="8" t="n">
        <x:v>45610</x:v>
      </x:c>
      <x:c r="E8292" s="9" t="n">
        <x:v>5569500</x:v>
      </x:c>
      <x:c r="F8292" s="9" t="n">
        <x:v>5569500</x:v>
      </x:c>
    </x:row>
    <x:row r="8293" ht="34" customHeight="1">
      <x:c r="A8293" s="4" t="str">
        <x:v>RS-04103-I4</x:v>
      </x:c>
      <x:c r="B8293" s="4" t="str">
        <x:v>RS-04103</x:v>
      </x:c>
      <x:c r="C8293" s="9" t="n">
        <x:v>4</x:v>
      </x:c>
      <x:c r="D8293" s="8" t="n">
        <x:v>45640</x:v>
      </x:c>
      <x:c r="E8293" s="9" t="n">
        <x:v>5569500</x:v>
      </x:c>
      <x:c r="F8293" s="9" t="n">
        <x:v>5569500</x:v>
      </x:c>
    </x:row>
    <x:row r="8294" ht="34" customHeight="1">
      <x:c r="A8294" s="4" t="str">
        <x:v>RS-04106-I1</x:v>
      </x:c>
      <x:c r="B8294" s="4" t="str">
        <x:v>RS-04106</x:v>
      </x:c>
      <x:c r="C8294" s="9" t="n">
        <x:v>1</x:v>
      </x:c>
      <x:c r="D8294" s="8" t="n">
        <x:v>45553</x:v>
      </x:c>
      <x:c r="E8294" s="9" t="n">
        <x:v>1739500</x:v>
      </x:c>
      <x:c r="F8294" s="9" t="n">
        <x:v>1739500</x:v>
      </x:c>
    </x:row>
    <x:row r="8295" ht="34" customHeight="1">
      <x:c r="A8295" s="4" t="str">
        <x:v>RS-04106-I2</x:v>
      </x:c>
      <x:c r="B8295" s="4" t="str">
        <x:v>RS-04106</x:v>
      </x:c>
      <x:c r="C8295" s="9" t="n">
        <x:v>2</x:v>
      </x:c>
      <x:c r="D8295" s="8" t="n">
        <x:v>45583</x:v>
      </x:c>
      <x:c r="E8295" s="9" t="n">
        <x:v>1739500</x:v>
      </x:c>
      <x:c r="F8295" s="9" t="n">
        <x:v>0</x:v>
      </x:c>
    </x:row>
    <x:row r="8296" ht="34" customHeight="1">
      <x:c r="A8296" s="4" t="str">
        <x:v>RS-04106-I3</x:v>
      </x:c>
      <x:c r="B8296" s="4" t="str">
        <x:v>RS-04106</x:v>
      </x:c>
      <x:c r="C8296" s="9" t="n">
        <x:v>3</x:v>
      </x:c>
      <x:c r="D8296" s="8" t="n">
        <x:v>45613</x:v>
      </x:c>
      <x:c r="E8296" s="9" t="n">
        <x:v>1739500</x:v>
      </x:c>
      <x:c r="F8296" s="9" t="n">
        <x:v>0</x:v>
      </x:c>
    </x:row>
    <x:row r="8297" ht="34" customHeight="1">
      <x:c r="A8297" s="4" t="str">
        <x:v>RS-04106-I4</x:v>
      </x:c>
      <x:c r="B8297" s="4" t="str">
        <x:v>RS-04106</x:v>
      </x:c>
      <x:c r="C8297" s="9" t="n">
        <x:v>4</x:v>
      </x:c>
      <x:c r="D8297" s="8" t="n">
        <x:v>45643</x:v>
      </x:c>
      <x:c r="E8297" s="9" t="n">
        <x:v>1739500</x:v>
      </x:c>
      <x:c r="F8297" s="9" t="n">
        <x:v>0</x:v>
      </x:c>
    </x:row>
    <x:row r="8298" ht="34" customHeight="1">
      <x:c r="A8298" s="4" t="str">
        <x:v>RS-04107-I1</x:v>
      </x:c>
      <x:c r="B8298" s="4" t="str">
        <x:v>RS-04107</x:v>
      </x:c>
      <x:c r="C8298" s="9" t="n">
        <x:v>1</x:v>
      </x:c>
      <x:c r="D8298" s="8" t="n">
        <x:v>45554</x:v>
      </x:c>
      <x:c r="E8298" s="9" t="n">
        <x:v>2470000</x:v>
      </x:c>
      <x:c r="F8298" s="9" t="n">
        <x:v>2470000</x:v>
      </x:c>
    </x:row>
    <x:row r="8299" ht="34" customHeight="1">
      <x:c r="A8299" s="4" t="str">
        <x:v>RS-04107-I2</x:v>
      </x:c>
      <x:c r="B8299" s="4" t="str">
        <x:v>RS-04107</x:v>
      </x:c>
      <x:c r="C8299" s="9" t="n">
        <x:v>2</x:v>
      </x:c>
      <x:c r="D8299" s="8" t="n">
        <x:v>45584</x:v>
      </x:c>
      <x:c r="E8299" s="9" t="n">
        <x:v>2470000</x:v>
      </x:c>
      <x:c r="F8299" s="9" t="n">
        <x:v>0</x:v>
      </x:c>
    </x:row>
    <x:row r="8300" ht="34" customHeight="1">
      <x:c r="A8300" s="4" t="str">
        <x:v>RS-04107-I3</x:v>
      </x:c>
      <x:c r="B8300" s="4" t="str">
        <x:v>RS-04107</x:v>
      </x:c>
      <x:c r="C8300" s="9" t="n">
        <x:v>3</x:v>
      </x:c>
      <x:c r="D8300" s="8" t="n">
        <x:v>45614</x:v>
      </x:c>
      <x:c r="E8300" s="9" t="n">
        <x:v>2470000</x:v>
      </x:c>
      <x:c r="F8300" s="9" t="n">
        <x:v>0</x:v>
      </x:c>
    </x:row>
    <x:row r="8301" ht="34" customHeight="1">
      <x:c r="A8301" s="4" t="str">
        <x:v>RS-04107-I4</x:v>
      </x:c>
      <x:c r="B8301" s="4" t="str">
        <x:v>RS-04107</x:v>
      </x:c>
      <x:c r="C8301" s="9" t="n">
        <x:v>4</x:v>
      </x:c>
      <x:c r="D8301" s="8" t="n">
        <x:v>45644</x:v>
      </x:c>
      <x:c r="E8301" s="9" t="n">
        <x:v>2470000</x:v>
      </x:c>
      <x:c r="F8301" s="9" t="n">
        <x:v>0</x:v>
      </x:c>
    </x:row>
    <x:row r="8302" ht="34" customHeight="1">
      <x:c r="A8302" s="4" t="str">
        <x:v>RS-04110-I1</x:v>
      </x:c>
      <x:c r="B8302" s="4" t="str">
        <x:v>RS-04110</x:v>
      </x:c>
      <x:c r="C8302" s="9" t="n">
        <x:v>1</x:v>
      </x:c>
      <x:c r="D8302" s="8" t="n">
        <x:v>45557</x:v>
      </x:c>
      <x:c r="E8302" s="9" t="n">
        <x:v>5175000</x:v>
      </x:c>
      <x:c r="F8302" s="9" t="n">
        <x:v>5175000</x:v>
      </x:c>
    </x:row>
    <x:row r="8303" ht="34" customHeight="1">
      <x:c r="A8303" s="4" t="str">
        <x:v>RS-04110-I2</x:v>
      </x:c>
      <x:c r="B8303" s="4" t="str">
        <x:v>RS-04110</x:v>
      </x:c>
      <x:c r="C8303" s="9" t="n">
        <x:v>2</x:v>
      </x:c>
      <x:c r="D8303" s="8" t="n">
        <x:v>45587</x:v>
      </x:c>
      <x:c r="E8303" s="9" t="n">
        <x:v>5175000</x:v>
      </x:c>
      <x:c r="F8303" s="9" t="n">
        <x:v>5175000</x:v>
      </x:c>
    </x:row>
    <x:row r="8304" ht="34" customHeight="1">
      <x:c r="A8304" s="4" t="str">
        <x:v>RS-04110-I3</x:v>
      </x:c>
      <x:c r="B8304" s="4" t="str">
        <x:v>RS-04110</x:v>
      </x:c>
      <x:c r="C8304" s="9" t="n">
        <x:v>3</x:v>
      </x:c>
      <x:c r="D8304" s="8" t="n">
        <x:v>45617</x:v>
      </x:c>
      <x:c r="E8304" s="9" t="n">
        <x:v>5175000</x:v>
      </x:c>
      <x:c r="F8304" s="9" t="n">
        <x:v>0</x:v>
      </x:c>
    </x:row>
    <x:row r="8305" ht="34" customHeight="1">
      <x:c r="A8305" s="4" t="str">
        <x:v>RS-04110-I4</x:v>
      </x:c>
      <x:c r="B8305" s="4" t="str">
        <x:v>RS-04110</x:v>
      </x:c>
      <x:c r="C8305" s="9" t="n">
        <x:v>4</x:v>
      </x:c>
      <x:c r="D8305" s="8" t="n">
        <x:v>45647</x:v>
      </x:c>
      <x:c r="E8305" s="9" t="n">
        <x:v>5175000</x:v>
      </x:c>
      <x:c r="F8305" s="9" t="n">
        <x:v>0</x:v>
      </x:c>
    </x:row>
    <x:row r="8306" ht="34" customHeight="1">
      <x:c r="A8306" s="4" t="str">
        <x:v>RS-04111-I1</x:v>
      </x:c>
      <x:c r="B8306" s="4" t="str">
        <x:v>RS-04111</x:v>
      </x:c>
      <x:c r="C8306" s="9" t="n">
        <x:v>1</x:v>
      </x:c>
      <x:c r="D8306" s="8" t="n">
        <x:v>45558</x:v>
      </x:c>
      <x:c r="E8306" s="9" t="n">
        <x:v>2826250</x:v>
      </x:c>
      <x:c r="F8306" s="9" t="n">
        <x:v>2826250</x:v>
      </x:c>
    </x:row>
    <x:row r="8307" ht="34" customHeight="1">
      <x:c r="A8307" s="4" t="str">
        <x:v>RS-04111-I2</x:v>
      </x:c>
      <x:c r="B8307" s="4" t="str">
        <x:v>RS-04111</x:v>
      </x:c>
      <x:c r="C8307" s="9" t="n">
        <x:v>2</x:v>
      </x:c>
      <x:c r="D8307" s="8" t="n">
        <x:v>45588</x:v>
      </x:c>
      <x:c r="E8307" s="9" t="n">
        <x:v>2826250</x:v>
      </x:c>
      <x:c r="F8307" s="9" t="n">
        <x:v>2826250</x:v>
      </x:c>
    </x:row>
    <x:row r="8308" ht="34" customHeight="1">
      <x:c r="A8308" s="4" t="str">
        <x:v>RS-04111-I3</x:v>
      </x:c>
      <x:c r="B8308" s="4" t="str">
        <x:v>RS-04111</x:v>
      </x:c>
      <x:c r="C8308" s="9" t="n">
        <x:v>3</x:v>
      </x:c>
      <x:c r="D8308" s="8" t="n">
        <x:v>45618</x:v>
      </x:c>
      <x:c r="E8308" s="9" t="n">
        <x:v>2826250</x:v>
      </x:c>
      <x:c r="F8308" s="9" t="n">
        <x:v>0</x:v>
      </x:c>
    </x:row>
    <x:row r="8309" ht="34" customHeight="1">
      <x:c r="A8309" s="4" t="str">
        <x:v>RS-04111-I4</x:v>
      </x:c>
      <x:c r="B8309" s="4" t="str">
        <x:v>RS-04111</x:v>
      </x:c>
      <x:c r="C8309" s="9" t="n">
        <x:v>4</x:v>
      </x:c>
      <x:c r="D8309" s="8" t="n">
        <x:v>45648</x:v>
      </x:c>
      <x:c r="E8309" s="9" t="n">
        <x:v>2826250</x:v>
      </x:c>
      <x:c r="F8309" s="9" t="n">
        <x:v>0</x:v>
      </x:c>
    </x:row>
    <x:row r="8310" ht="34" customHeight="1">
      <x:c r="A8310" s="4" t="str">
        <x:v>RS-04112-I1</x:v>
      </x:c>
      <x:c r="B8310" s="4" t="str">
        <x:v>RS-04112</x:v>
      </x:c>
      <x:c r="C8310" s="9" t="n">
        <x:v>1</x:v>
      </x:c>
      <x:c r="D8310" s="8" t="n">
        <x:v>45559</x:v>
      </x:c>
      <x:c r="E8310" s="9" t="n">
        <x:v>3013000</x:v>
      </x:c>
      <x:c r="F8310" s="9" t="n">
        <x:v>3013000</x:v>
      </x:c>
    </x:row>
    <x:row r="8311" ht="34" customHeight="1">
      <x:c r="A8311" s="4" t="str">
        <x:v>RS-04112-I2</x:v>
      </x:c>
      <x:c r="B8311" s="4" t="str">
        <x:v>RS-04112</x:v>
      </x:c>
      <x:c r="C8311" s="9" t="n">
        <x:v>2</x:v>
      </x:c>
      <x:c r="D8311" s="8" t="n">
        <x:v>45589</x:v>
      </x:c>
      <x:c r="E8311" s="9" t="n">
        <x:v>3013000</x:v>
      </x:c>
      <x:c r="F8311" s="9" t="n">
        <x:v>0</x:v>
      </x:c>
    </x:row>
    <x:row r="8312" ht="34" customHeight="1">
      <x:c r="A8312" s="4" t="str">
        <x:v>RS-04112-I3</x:v>
      </x:c>
      <x:c r="B8312" s="4" t="str">
        <x:v>RS-04112</x:v>
      </x:c>
      <x:c r="C8312" s="9" t="n">
        <x:v>3</x:v>
      </x:c>
      <x:c r="D8312" s="8" t="n">
        <x:v>45619</x:v>
      </x:c>
      <x:c r="E8312" s="9" t="n">
        <x:v>3013000</x:v>
      </x:c>
      <x:c r="F8312" s="9" t="n">
        <x:v>0</x:v>
      </x:c>
    </x:row>
    <x:row r="8313" ht="34" customHeight="1">
      <x:c r="A8313" s="4" t="str">
        <x:v>RS-04112-I4</x:v>
      </x:c>
      <x:c r="B8313" s="4" t="str">
        <x:v>RS-04112</x:v>
      </x:c>
      <x:c r="C8313" s="9" t="n">
        <x:v>4</x:v>
      </x:c>
      <x:c r="D8313" s="8" t="n">
        <x:v>45649</x:v>
      </x:c>
      <x:c r="E8313" s="9" t="n">
        <x:v>3013000</x:v>
      </x:c>
      <x:c r="F8313" s="9" t="n">
        <x:v>0</x:v>
      </x:c>
    </x:row>
    <x:row r="8314" ht="34" customHeight="1">
      <x:c r="A8314" s="4" t="str">
        <x:v>RS-04116-I1</x:v>
      </x:c>
      <x:c r="B8314" s="4" t="str">
        <x:v>RS-04116</x:v>
      </x:c>
      <x:c r="C8314" s="9" t="n">
        <x:v>1</x:v>
      </x:c>
      <x:c r="D8314" s="8" t="n">
        <x:v>45563</x:v>
      </x:c>
      <x:c r="E8314" s="9" t="n">
        <x:v>1805000</x:v>
      </x:c>
      <x:c r="F8314" s="9" t="n">
        <x:v>1805000</x:v>
      </x:c>
    </x:row>
    <x:row r="8315" ht="34" customHeight="1">
      <x:c r="A8315" s="4" t="str">
        <x:v>RS-04116-I2</x:v>
      </x:c>
      <x:c r="B8315" s="4" t="str">
        <x:v>RS-04116</x:v>
      </x:c>
      <x:c r="C8315" s="9" t="n">
        <x:v>2</x:v>
      </x:c>
      <x:c r="D8315" s="8" t="n">
        <x:v>45593</x:v>
      </x:c>
      <x:c r="E8315" s="9" t="n">
        <x:v>1805000</x:v>
      </x:c>
      <x:c r="F8315" s="9" t="n">
        <x:v>1805000</x:v>
      </x:c>
    </x:row>
    <x:row r="8316" ht="34" customHeight="1">
      <x:c r="A8316" s="4" t="str">
        <x:v>RS-04116-I3</x:v>
      </x:c>
      <x:c r="B8316" s="4" t="str">
        <x:v>RS-04116</x:v>
      </x:c>
      <x:c r="C8316" s="9" t="n">
        <x:v>3</x:v>
      </x:c>
      <x:c r="D8316" s="8" t="n">
        <x:v>45623</x:v>
      </x:c>
      <x:c r="E8316" s="9" t="n">
        <x:v>1805000</x:v>
      </x:c>
      <x:c r="F8316" s="9" t="n">
        <x:v>0</x:v>
      </x:c>
    </x:row>
    <x:row r="8317" ht="34" customHeight="1">
      <x:c r="A8317" s="4" t="str">
        <x:v>RS-04116-I4</x:v>
      </x:c>
      <x:c r="B8317" s="4" t="str">
        <x:v>RS-04116</x:v>
      </x:c>
      <x:c r="C8317" s="9" t="n">
        <x:v>4</x:v>
      </x:c>
      <x:c r="D8317" s="8" t="n">
        <x:v>45653</x:v>
      </x:c>
      <x:c r="E8317" s="9" t="n">
        <x:v>1805000</x:v>
      </x:c>
      <x:c r="F8317" s="9" t="n">
        <x:v>0</x:v>
      </x:c>
    </x:row>
    <x:row r="8318" ht="34" customHeight="1">
      <x:c r="A8318" s="4" t="str">
        <x:v>RS-04118-I1</x:v>
      </x:c>
      <x:c r="B8318" s="4" t="str">
        <x:v>RS-04118</x:v>
      </x:c>
      <x:c r="C8318" s="9" t="n">
        <x:v>1</x:v>
      </x:c>
      <x:c r="D8318" s="8" t="n">
        <x:v>45537</x:v>
      </x:c>
      <x:c r="E8318" s="9" t="n">
        <x:v>5346000</x:v>
      </x:c>
      <x:c r="F8318" s="9" t="n">
        <x:v>5346000</x:v>
      </x:c>
    </x:row>
    <x:row r="8319" ht="34" customHeight="1">
      <x:c r="A8319" s="4" t="str">
        <x:v>RS-04118-I2</x:v>
      </x:c>
      <x:c r="B8319" s="4" t="str">
        <x:v>RS-04118</x:v>
      </x:c>
      <x:c r="C8319" s="9" t="n">
        <x:v>2</x:v>
      </x:c>
      <x:c r="D8319" s="8" t="n">
        <x:v>45567</x:v>
      </x:c>
      <x:c r="E8319" s="9" t="n">
        <x:v>5346000</x:v>
      </x:c>
      <x:c r="F8319" s="9" t="n">
        <x:v>0</x:v>
      </x:c>
    </x:row>
    <x:row r="8320" ht="34" customHeight="1">
      <x:c r="A8320" s="4" t="str">
        <x:v>RS-04118-I3</x:v>
      </x:c>
      <x:c r="B8320" s="4" t="str">
        <x:v>RS-04118</x:v>
      </x:c>
      <x:c r="C8320" s="9" t="n">
        <x:v>3</x:v>
      </x:c>
      <x:c r="D8320" s="8" t="n">
        <x:v>45597</x:v>
      </x:c>
      <x:c r="E8320" s="9" t="n">
        <x:v>5346000</x:v>
      </x:c>
      <x:c r="F8320" s="9" t="n">
        <x:v>0</x:v>
      </x:c>
    </x:row>
    <x:row r="8321" ht="34" customHeight="1">
      <x:c r="A8321" s="4" t="str">
        <x:v>RS-04118-I4</x:v>
      </x:c>
      <x:c r="B8321" s="4" t="str">
        <x:v>RS-04118</x:v>
      </x:c>
      <x:c r="C8321" s="9" t="n">
        <x:v>4</x:v>
      </x:c>
      <x:c r="D8321" s="8" t="n">
        <x:v>45627</x:v>
      </x:c>
      <x:c r="E8321" s="9" t="n">
        <x:v>5346000</x:v>
      </x:c>
      <x:c r="F8321" s="9" t="n">
        <x:v>0</x:v>
      </x:c>
    </x:row>
    <x:row r="8322" ht="34" customHeight="1">
      <x:c r="A8322" s="4" t="str">
        <x:v>RS-04121-I1</x:v>
      </x:c>
      <x:c r="B8322" s="4" t="str">
        <x:v>RS-04121</x:v>
      </x:c>
      <x:c r="C8322" s="9" t="n">
        <x:v>1</x:v>
      </x:c>
      <x:c r="D8322" s="8" t="n">
        <x:v>45540</x:v>
      </x:c>
      <x:c r="E8322" s="9" t="n">
        <x:v>1494500</x:v>
      </x:c>
      <x:c r="F8322" s="9" t="n">
        <x:v>1494500</x:v>
      </x:c>
    </x:row>
    <x:row r="8323" ht="34" customHeight="1">
      <x:c r="A8323" s="4" t="str">
        <x:v>RS-04121-I2</x:v>
      </x:c>
      <x:c r="B8323" s="4" t="str">
        <x:v>RS-04121</x:v>
      </x:c>
      <x:c r="C8323" s="9" t="n">
        <x:v>2</x:v>
      </x:c>
      <x:c r="D8323" s="8" t="n">
        <x:v>45570</x:v>
      </x:c>
      <x:c r="E8323" s="9" t="n">
        <x:v>1494500</x:v>
      </x:c>
      <x:c r="F8323" s="9" t="n">
        <x:v>1494500</x:v>
      </x:c>
    </x:row>
    <x:row r="8324" ht="34" customHeight="1">
      <x:c r="A8324" s="4" t="str">
        <x:v>RS-04121-I3</x:v>
      </x:c>
      <x:c r="B8324" s="4" t="str">
        <x:v>RS-04121</x:v>
      </x:c>
      <x:c r="C8324" s="9" t="n">
        <x:v>3</x:v>
      </x:c>
      <x:c r="D8324" s="8" t="n">
        <x:v>45600</x:v>
      </x:c>
      <x:c r="E8324" s="9" t="n">
        <x:v>1494500</x:v>
      </x:c>
      <x:c r="F8324" s="9" t="n">
        <x:v>1494500</x:v>
      </x:c>
    </x:row>
    <x:row r="8325" ht="34" customHeight="1">
      <x:c r="A8325" s="4" t="str">
        <x:v>RS-04121-I4</x:v>
      </x:c>
      <x:c r="B8325" s="4" t="str">
        <x:v>RS-04121</x:v>
      </x:c>
      <x:c r="C8325" s="9" t="n">
        <x:v>4</x:v>
      </x:c>
      <x:c r="D8325" s="8" t="n">
        <x:v>45630</x:v>
      </x:c>
      <x:c r="E8325" s="9" t="n">
        <x:v>1494500</x:v>
      </x:c>
      <x:c r="F8325" s="9" t="n">
        <x:v>1494500</x:v>
      </x:c>
    </x:row>
    <x:row r="8326" ht="34" customHeight="1">
      <x:c r="A8326" s="4" t="str">
        <x:v>RS-04123-I1</x:v>
      </x:c>
      <x:c r="B8326" s="4" t="str">
        <x:v>RS-04123</x:v>
      </x:c>
      <x:c r="C8326" s="9" t="n">
        <x:v>1</x:v>
      </x:c>
      <x:c r="D8326" s="8" t="n">
        <x:v>45542</x:v>
      </x:c>
      <x:c r="E8326" s="9" t="n">
        <x:v>1646500</x:v>
      </x:c>
      <x:c r="F8326" s="9" t="n">
        <x:v>1646500</x:v>
      </x:c>
    </x:row>
    <x:row r="8327" ht="34" customHeight="1">
      <x:c r="A8327" s="4" t="str">
        <x:v>RS-04123-I2</x:v>
      </x:c>
      <x:c r="B8327" s="4" t="str">
        <x:v>RS-04123</x:v>
      </x:c>
      <x:c r="C8327" s="9" t="n">
        <x:v>2</x:v>
      </x:c>
      <x:c r="D8327" s="8" t="n">
        <x:v>45572</x:v>
      </x:c>
      <x:c r="E8327" s="9" t="n">
        <x:v>1646500</x:v>
      </x:c>
      <x:c r="F8327" s="9" t="n">
        <x:v>1646500</x:v>
      </x:c>
    </x:row>
    <x:row r="8328" ht="34" customHeight="1">
      <x:c r="A8328" s="4" t="str">
        <x:v>RS-04123-I3</x:v>
      </x:c>
      <x:c r="B8328" s="4" t="str">
        <x:v>RS-04123</x:v>
      </x:c>
      <x:c r="C8328" s="9" t="n">
        <x:v>3</x:v>
      </x:c>
      <x:c r="D8328" s="8" t="n">
        <x:v>45602</x:v>
      </x:c>
      <x:c r="E8328" s="9" t="n">
        <x:v>1646500</x:v>
      </x:c>
      <x:c r="F8328" s="9" t="n">
        <x:v>1646500</x:v>
      </x:c>
    </x:row>
    <x:row r="8329" ht="34" customHeight="1">
      <x:c r="A8329" s="4" t="str">
        <x:v>RS-04123-I4</x:v>
      </x:c>
      <x:c r="B8329" s="4" t="str">
        <x:v>RS-04123</x:v>
      </x:c>
      <x:c r="C8329" s="9" t="n">
        <x:v>4</x:v>
      </x:c>
      <x:c r="D8329" s="8" t="n">
        <x:v>45632</x:v>
      </x:c>
      <x:c r="E8329" s="9" t="n">
        <x:v>1646500</x:v>
      </x:c>
      <x:c r="F8329" s="9" t="n">
        <x:v>1646500</x:v>
      </x:c>
    </x:row>
    <x:row r="8330" ht="34" customHeight="1">
      <x:c r="A8330" s="4" t="str">
        <x:v>RS-04124-I1</x:v>
      </x:c>
      <x:c r="B8330" s="4" t="str">
        <x:v>RS-04124</x:v>
      </x:c>
      <x:c r="C8330" s="9" t="n">
        <x:v>1</x:v>
      </x:c>
      <x:c r="D8330" s="8" t="n">
        <x:v>45543</x:v>
      </x:c>
      <x:c r="E8330" s="9" t="n">
        <x:v>2153250</x:v>
      </x:c>
      <x:c r="F8330" s="9" t="n">
        <x:v>861300</x:v>
      </x:c>
    </x:row>
    <x:row r="8331" ht="34" customHeight="1">
      <x:c r="A8331" s="4" t="str">
        <x:v>RS-04124-I2</x:v>
      </x:c>
      <x:c r="B8331" s="4" t="str">
        <x:v>RS-04124</x:v>
      </x:c>
      <x:c r="C8331" s="9" t="n">
        <x:v>2</x:v>
      </x:c>
      <x:c r="D8331" s="8" t="n">
        <x:v>45573</x:v>
      </x:c>
      <x:c r="E8331" s="9" t="n">
        <x:v>2153250</x:v>
      </x:c>
      <x:c r="F8331" s="9" t="n">
        <x:v>0</x:v>
      </x:c>
    </x:row>
    <x:row r="8332" ht="34" customHeight="1">
      <x:c r="A8332" s="4" t="str">
        <x:v>RS-04124-I3</x:v>
      </x:c>
      <x:c r="B8332" s="4" t="str">
        <x:v>RS-04124</x:v>
      </x:c>
      <x:c r="C8332" s="9" t="n">
        <x:v>3</x:v>
      </x:c>
      <x:c r="D8332" s="8" t="n">
        <x:v>45603</x:v>
      </x:c>
      <x:c r="E8332" s="9" t="n">
        <x:v>2153250</x:v>
      </x:c>
      <x:c r="F8332" s="9" t="n">
        <x:v>0</x:v>
      </x:c>
    </x:row>
    <x:row r="8333" ht="34" customHeight="1">
      <x:c r="A8333" s="4" t="str">
        <x:v>RS-04124-I4</x:v>
      </x:c>
      <x:c r="B8333" s="4" t="str">
        <x:v>RS-04124</x:v>
      </x:c>
      <x:c r="C8333" s="9" t="n">
        <x:v>4</x:v>
      </x:c>
      <x:c r="D8333" s="8" t="n">
        <x:v>45633</x:v>
      </x:c>
      <x:c r="E8333" s="9" t="n">
        <x:v>2153250</x:v>
      </x:c>
      <x:c r="F8333" s="9" t="n">
        <x:v>0</x:v>
      </x:c>
    </x:row>
    <x:row r="8334" ht="34" customHeight="1">
      <x:c r="A8334" s="4" t="str">
        <x:v>RS-04126-I1</x:v>
      </x:c>
      <x:c r="B8334" s="4" t="str">
        <x:v>RS-04126</x:v>
      </x:c>
      <x:c r="C8334" s="9" t="n">
        <x:v>1</x:v>
      </x:c>
      <x:c r="D8334" s="8" t="n">
        <x:v>45545</x:v>
      </x:c>
      <x:c r="E8334" s="9" t="n">
        <x:v>3977000</x:v>
      </x:c>
      <x:c r="F8334" s="9" t="n">
        <x:v>3977000</x:v>
      </x:c>
    </x:row>
    <x:row r="8335" ht="34" customHeight="1">
      <x:c r="A8335" s="4" t="str">
        <x:v>RS-04126-I2</x:v>
      </x:c>
      <x:c r="B8335" s="4" t="str">
        <x:v>RS-04126</x:v>
      </x:c>
      <x:c r="C8335" s="9" t="n">
        <x:v>2</x:v>
      </x:c>
      <x:c r="D8335" s="8" t="n">
        <x:v>45575</x:v>
      </x:c>
      <x:c r="E8335" s="9" t="n">
        <x:v>3977000</x:v>
      </x:c>
      <x:c r="F8335" s="9" t="n">
        <x:v>3977000</x:v>
      </x:c>
    </x:row>
    <x:row r="8336" ht="34" customHeight="1">
      <x:c r="A8336" s="4" t="str">
        <x:v>RS-04126-I3</x:v>
      </x:c>
      <x:c r="B8336" s="4" t="str">
        <x:v>RS-04126</x:v>
      </x:c>
      <x:c r="C8336" s="9" t="n">
        <x:v>3</x:v>
      </x:c>
      <x:c r="D8336" s="8" t="n">
        <x:v>45605</x:v>
      </x:c>
      <x:c r="E8336" s="9" t="n">
        <x:v>3977000</x:v>
      </x:c>
      <x:c r="F8336" s="9" t="n">
        <x:v>0</x:v>
      </x:c>
    </x:row>
    <x:row r="8337" ht="34" customHeight="1">
      <x:c r="A8337" s="4" t="str">
        <x:v>RS-04126-I4</x:v>
      </x:c>
      <x:c r="B8337" s="4" t="str">
        <x:v>RS-04126</x:v>
      </x:c>
      <x:c r="C8337" s="9" t="n">
        <x:v>4</x:v>
      </x:c>
      <x:c r="D8337" s="8" t="n">
        <x:v>45635</x:v>
      </x:c>
      <x:c r="E8337" s="9" t="n">
        <x:v>3977000</x:v>
      </x:c>
      <x:c r="F8337" s="9" t="n">
        <x:v>0</x:v>
      </x:c>
    </x:row>
    <x:row r="8338" ht="34" customHeight="1">
      <x:c r="A8338" s="4" t="str">
        <x:v>RS-04127-I1</x:v>
      </x:c>
      <x:c r="B8338" s="4" t="str">
        <x:v>RS-04127</x:v>
      </x:c>
      <x:c r="C8338" s="9" t="n">
        <x:v>1</x:v>
      </x:c>
      <x:c r="D8338" s="8" t="n">
        <x:v>45546</x:v>
      </x:c>
      <x:c r="E8338" s="9" t="n">
        <x:v>1188000</x:v>
      </x:c>
      <x:c r="F8338" s="9" t="n">
        <x:v>1188000</x:v>
      </x:c>
    </x:row>
    <x:row r="8339" ht="34" customHeight="1">
      <x:c r="A8339" s="4" t="str">
        <x:v>RS-04127-I2</x:v>
      </x:c>
      <x:c r="B8339" s="4" t="str">
        <x:v>RS-04127</x:v>
      </x:c>
      <x:c r="C8339" s="9" t="n">
        <x:v>2</x:v>
      </x:c>
      <x:c r="D8339" s="8" t="n">
        <x:v>45576</x:v>
      </x:c>
      <x:c r="E8339" s="9" t="n">
        <x:v>1188000</x:v>
      </x:c>
      <x:c r="F8339" s="9" t="n">
        <x:v>1188000</x:v>
      </x:c>
    </x:row>
    <x:row r="8340" ht="34" customHeight="1">
      <x:c r="A8340" s="4" t="str">
        <x:v>RS-04127-I3</x:v>
      </x:c>
      <x:c r="B8340" s="4" t="str">
        <x:v>RS-04127</x:v>
      </x:c>
      <x:c r="C8340" s="9" t="n">
        <x:v>3</x:v>
      </x:c>
      <x:c r="D8340" s="8" t="n">
        <x:v>45606</x:v>
      </x:c>
      <x:c r="E8340" s="9" t="n">
        <x:v>1188000</x:v>
      </x:c>
      <x:c r="F8340" s="9" t="n">
        <x:v>1188000</x:v>
      </x:c>
    </x:row>
    <x:row r="8341" ht="34" customHeight="1">
      <x:c r="A8341" s="4" t="str">
        <x:v>RS-04127-I4</x:v>
      </x:c>
      <x:c r="B8341" s="4" t="str">
        <x:v>RS-04127</x:v>
      </x:c>
      <x:c r="C8341" s="9" t="n">
        <x:v>4</x:v>
      </x:c>
      <x:c r="D8341" s="8" t="n">
        <x:v>45636</x:v>
      </x:c>
      <x:c r="E8341" s="9" t="n">
        <x:v>1188000</x:v>
      </x:c>
      <x:c r="F8341" s="9" t="n">
        <x:v>1188000</x:v>
      </x:c>
    </x:row>
    <x:row r="8342" ht="34" customHeight="1">
      <x:c r="A8342" s="4" t="str">
        <x:v>RS-04129-I1</x:v>
      </x:c>
      <x:c r="B8342" s="4" t="str">
        <x:v>RS-04129</x:v>
      </x:c>
      <x:c r="C8342" s="9" t="n">
        <x:v>1</x:v>
      </x:c>
      <x:c r="D8342" s="8" t="n">
        <x:v>45548</x:v>
      </x:c>
      <x:c r="E8342" s="9" t="n">
        <x:v>1767000</x:v>
      </x:c>
      <x:c r="F8342" s="9" t="n">
        <x:v>1767000</x:v>
      </x:c>
    </x:row>
    <x:row r="8343" ht="34" customHeight="1">
      <x:c r="A8343" s="4" t="str">
        <x:v>RS-04129-I2</x:v>
      </x:c>
      <x:c r="B8343" s="4" t="str">
        <x:v>RS-04129</x:v>
      </x:c>
      <x:c r="C8343" s="9" t="n">
        <x:v>2</x:v>
      </x:c>
      <x:c r="D8343" s="8" t="n">
        <x:v>45578</x:v>
      </x:c>
      <x:c r="E8343" s="9" t="n">
        <x:v>1767000</x:v>
      </x:c>
      <x:c r="F8343" s="9" t="n">
        <x:v>1767000</x:v>
      </x:c>
    </x:row>
    <x:row r="8344" ht="34" customHeight="1">
      <x:c r="A8344" s="4" t="str">
        <x:v>RS-04129-I3</x:v>
      </x:c>
      <x:c r="B8344" s="4" t="str">
        <x:v>RS-04129</x:v>
      </x:c>
      <x:c r="C8344" s="9" t="n">
        <x:v>3</x:v>
      </x:c>
      <x:c r="D8344" s="8" t="n">
        <x:v>45608</x:v>
      </x:c>
      <x:c r="E8344" s="9" t="n">
        <x:v>1767000</x:v>
      </x:c>
      <x:c r="F8344" s="9" t="n">
        <x:v>1767000</x:v>
      </x:c>
    </x:row>
    <x:row r="8345" ht="34" customHeight="1">
      <x:c r="A8345" s="4" t="str">
        <x:v>RS-04129-I4</x:v>
      </x:c>
      <x:c r="B8345" s="4" t="str">
        <x:v>RS-04129</x:v>
      </x:c>
      <x:c r="C8345" s="9" t="n">
        <x:v>4</x:v>
      </x:c>
      <x:c r="D8345" s="8" t="n">
        <x:v>45638</x:v>
      </x:c>
      <x:c r="E8345" s="9" t="n">
        <x:v>1767000</x:v>
      </x:c>
      <x:c r="F8345" s="9" t="n">
        <x:v>1767000</x:v>
      </x:c>
    </x:row>
    <x:row r="8346" ht="34" customHeight="1">
      <x:c r="A8346" s="4" t="str">
        <x:v>RS-04131-I1</x:v>
      </x:c>
      <x:c r="B8346" s="4" t="str">
        <x:v>RS-04131</x:v>
      </x:c>
      <x:c r="C8346" s="9" t="n">
        <x:v>1</x:v>
      </x:c>
      <x:c r="D8346" s="8" t="n">
        <x:v>45550</x:v>
      </x:c>
      <x:c r="E8346" s="9" t="n">
        <x:v>6250000</x:v>
      </x:c>
      <x:c r="F8346" s="9" t="n">
        <x:v>6250000</x:v>
      </x:c>
    </x:row>
    <x:row r="8347" ht="34" customHeight="1">
      <x:c r="A8347" s="4" t="str">
        <x:v>RS-04131-I2</x:v>
      </x:c>
      <x:c r="B8347" s="4" t="str">
        <x:v>RS-04131</x:v>
      </x:c>
      <x:c r="C8347" s="9" t="n">
        <x:v>2</x:v>
      </x:c>
      <x:c r="D8347" s="8" t="n">
        <x:v>45580</x:v>
      </x:c>
      <x:c r="E8347" s="9" t="n">
        <x:v>6250000</x:v>
      </x:c>
      <x:c r="F8347" s="9" t="n">
        <x:v>6250000</x:v>
      </x:c>
    </x:row>
    <x:row r="8348" ht="34" customHeight="1">
      <x:c r="A8348" s="4" t="str">
        <x:v>RS-04131-I3</x:v>
      </x:c>
      <x:c r="B8348" s="4" t="str">
        <x:v>RS-04131</x:v>
      </x:c>
      <x:c r="C8348" s="9" t="n">
        <x:v>3</x:v>
      </x:c>
      <x:c r="D8348" s="8" t="n">
        <x:v>45610</x:v>
      </x:c>
      <x:c r="E8348" s="9" t="n">
        <x:v>6250000</x:v>
      </x:c>
      <x:c r="F8348" s="9" t="n">
        <x:v>6250000</x:v>
      </x:c>
    </x:row>
    <x:row r="8349" ht="34" customHeight="1">
      <x:c r="A8349" s="4" t="str">
        <x:v>RS-04131-I4</x:v>
      </x:c>
      <x:c r="B8349" s="4" t="str">
        <x:v>RS-04131</x:v>
      </x:c>
      <x:c r="C8349" s="9" t="n">
        <x:v>4</x:v>
      </x:c>
      <x:c r="D8349" s="8" t="n">
        <x:v>45640</x:v>
      </x:c>
      <x:c r="E8349" s="9" t="n">
        <x:v>6250000</x:v>
      </x:c>
      <x:c r="F8349" s="9" t="n">
        <x:v>6250000</x:v>
      </x:c>
    </x:row>
    <x:row r="8350" ht="34" customHeight="1">
      <x:c r="A8350" s="4" t="str">
        <x:v>RS-04132-I1</x:v>
      </x:c>
      <x:c r="B8350" s="4" t="str">
        <x:v>RS-04132</x:v>
      </x:c>
      <x:c r="C8350" s="9" t="n">
        <x:v>1</x:v>
      </x:c>
      <x:c r="D8350" s="8" t="n">
        <x:v>45551</x:v>
      </x:c>
      <x:c r="E8350" s="9" t="n">
        <x:v>2398750</x:v>
      </x:c>
      <x:c r="F8350" s="9" t="n">
        <x:v>2398750</x:v>
      </x:c>
    </x:row>
    <x:row r="8351" ht="34" customHeight="1">
      <x:c r="A8351" s="4" t="str">
        <x:v>RS-04132-I2</x:v>
      </x:c>
      <x:c r="B8351" s="4" t="str">
        <x:v>RS-04132</x:v>
      </x:c>
      <x:c r="C8351" s="9" t="n">
        <x:v>2</x:v>
      </x:c>
      <x:c r="D8351" s="8" t="n">
        <x:v>45581</x:v>
      </x:c>
      <x:c r="E8351" s="9" t="n">
        <x:v>2398750</x:v>
      </x:c>
      <x:c r="F8351" s="9" t="n">
        <x:v>0</x:v>
      </x:c>
    </x:row>
    <x:row r="8352" ht="34" customHeight="1">
      <x:c r="A8352" s="4" t="str">
        <x:v>RS-04132-I3</x:v>
      </x:c>
      <x:c r="B8352" s="4" t="str">
        <x:v>RS-04132</x:v>
      </x:c>
      <x:c r="C8352" s="9" t="n">
        <x:v>3</x:v>
      </x:c>
      <x:c r="D8352" s="8" t="n">
        <x:v>45611</x:v>
      </x:c>
      <x:c r="E8352" s="9" t="n">
        <x:v>2398750</x:v>
      </x:c>
      <x:c r="F8352" s="9" t="n">
        <x:v>0</x:v>
      </x:c>
    </x:row>
    <x:row r="8353" ht="34" customHeight="1">
      <x:c r="A8353" s="4" t="str">
        <x:v>RS-04132-I4</x:v>
      </x:c>
      <x:c r="B8353" s="4" t="str">
        <x:v>RS-04132</x:v>
      </x:c>
      <x:c r="C8353" s="9" t="n">
        <x:v>4</x:v>
      </x:c>
      <x:c r="D8353" s="8" t="n">
        <x:v>45641</x:v>
      </x:c>
      <x:c r="E8353" s="9" t="n">
        <x:v>2398750</x:v>
      </x:c>
      <x:c r="F8353" s="9" t="n">
        <x:v>0</x:v>
      </x:c>
    </x:row>
    <x:row r="8354" ht="34" customHeight="1">
      <x:c r="A8354" s="4" t="str">
        <x:v>RS-04133-I1</x:v>
      </x:c>
      <x:c r="B8354" s="4" t="str">
        <x:v>RS-04133</x:v>
      </x:c>
      <x:c r="C8354" s="9" t="n">
        <x:v>1</x:v>
      </x:c>
      <x:c r="D8354" s="8" t="n">
        <x:v>45552</x:v>
      </x:c>
      <x:c r="E8354" s="9" t="n">
        <x:v>3537750</x:v>
      </x:c>
      <x:c r="F8354" s="9" t="n">
        <x:v>1415100</x:v>
      </x:c>
    </x:row>
    <x:row r="8355" ht="34" customHeight="1">
      <x:c r="A8355" s="4" t="str">
        <x:v>RS-04133-I2</x:v>
      </x:c>
      <x:c r="B8355" s="4" t="str">
        <x:v>RS-04133</x:v>
      </x:c>
      <x:c r="C8355" s="9" t="n">
        <x:v>2</x:v>
      </x:c>
      <x:c r="D8355" s="8" t="n">
        <x:v>45582</x:v>
      </x:c>
      <x:c r="E8355" s="9" t="n">
        <x:v>3537750</x:v>
      </x:c>
      <x:c r="F8355" s="9" t="n">
        <x:v>0</x:v>
      </x:c>
    </x:row>
    <x:row r="8356" ht="34" customHeight="1">
      <x:c r="A8356" s="4" t="str">
        <x:v>RS-04133-I3</x:v>
      </x:c>
      <x:c r="B8356" s="4" t="str">
        <x:v>RS-04133</x:v>
      </x:c>
      <x:c r="C8356" s="9" t="n">
        <x:v>3</x:v>
      </x:c>
      <x:c r="D8356" s="8" t="n">
        <x:v>45612</x:v>
      </x:c>
      <x:c r="E8356" s="9" t="n">
        <x:v>3537750</x:v>
      </x:c>
      <x:c r="F8356" s="9" t="n">
        <x:v>0</x:v>
      </x:c>
    </x:row>
    <x:row r="8357" ht="34" customHeight="1">
      <x:c r="A8357" s="4" t="str">
        <x:v>RS-04133-I4</x:v>
      </x:c>
      <x:c r="B8357" s="4" t="str">
        <x:v>RS-04133</x:v>
      </x:c>
      <x:c r="C8357" s="9" t="n">
        <x:v>4</x:v>
      </x:c>
      <x:c r="D8357" s="8" t="n">
        <x:v>45642</x:v>
      </x:c>
      <x:c r="E8357" s="9" t="n">
        <x:v>3537750</x:v>
      </x:c>
      <x:c r="F8357" s="9" t="n">
        <x:v>0</x:v>
      </x:c>
    </x:row>
    <x:row r="8358" ht="34" customHeight="1">
      <x:c r="A8358" s="4" t="str">
        <x:v>RS-04137-I1</x:v>
      </x:c>
      <x:c r="B8358" s="4" t="str">
        <x:v>RS-04137</x:v>
      </x:c>
      <x:c r="C8358" s="9" t="n">
        <x:v>1</x:v>
      </x:c>
      <x:c r="D8358" s="8" t="n">
        <x:v>45556</x:v>
      </x:c>
      <x:c r="E8358" s="9" t="n">
        <x:v>1809500</x:v>
      </x:c>
      <x:c r="F8358" s="9" t="n">
        <x:v>1809500</x:v>
      </x:c>
    </x:row>
    <x:row r="8359" ht="34" customHeight="1">
      <x:c r="A8359" s="4" t="str">
        <x:v>RS-04137-I2</x:v>
      </x:c>
      <x:c r="B8359" s="4" t="str">
        <x:v>RS-04137</x:v>
      </x:c>
      <x:c r="C8359" s="9" t="n">
        <x:v>2</x:v>
      </x:c>
      <x:c r="D8359" s="8" t="n">
        <x:v>45586</x:v>
      </x:c>
      <x:c r="E8359" s="9" t="n">
        <x:v>1809500</x:v>
      </x:c>
      <x:c r="F8359" s="9" t="n">
        <x:v>1809500</x:v>
      </x:c>
    </x:row>
    <x:row r="8360" ht="34" customHeight="1">
      <x:c r="A8360" s="4" t="str">
        <x:v>RS-04137-I3</x:v>
      </x:c>
      <x:c r="B8360" s="4" t="str">
        <x:v>RS-04137</x:v>
      </x:c>
      <x:c r="C8360" s="9" t="n">
        <x:v>3</x:v>
      </x:c>
      <x:c r="D8360" s="8" t="n">
        <x:v>45616</x:v>
      </x:c>
      <x:c r="E8360" s="9" t="n">
        <x:v>1809500</x:v>
      </x:c>
      <x:c r="F8360" s="9" t="n">
        <x:v>0</x:v>
      </x:c>
    </x:row>
    <x:row r="8361" ht="34" customHeight="1">
      <x:c r="A8361" s="4" t="str">
        <x:v>RS-04137-I4</x:v>
      </x:c>
      <x:c r="B8361" s="4" t="str">
        <x:v>RS-04137</x:v>
      </x:c>
      <x:c r="C8361" s="9" t="n">
        <x:v>4</x:v>
      </x:c>
      <x:c r="D8361" s="8" t="n">
        <x:v>45646</x:v>
      </x:c>
      <x:c r="E8361" s="9" t="n">
        <x:v>1809500</x:v>
      </x:c>
      <x:c r="F8361" s="9" t="n">
        <x:v>0</x:v>
      </x:c>
    </x:row>
    <x:row r="8362" ht="34" customHeight="1">
      <x:c r="A8362" s="4" t="str">
        <x:v>RS-04138-I1</x:v>
      </x:c>
      <x:c r="B8362" s="4" t="str">
        <x:v>RS-04138</x:v>
      </x:c>
      <x:c r="C8362" s="9" t="n">
        <x:v>1</x:v>
      </x:c>
      <x:c r="D8362" s="8" t="n">
        <x:v>45557</x:v>
      </x:c>
      <x:c r="E8362" s="9" t="n">
        <x:v>4830000</x:v>
      </x:c>
      <x:c r="F8362" s="9" t="n">
        <x:v>4830000</x:v>
      </x:c>
    </x:row>
    <x:row r="8363" ht="34" customHeight="1">
      <x:c r="A8363" s="4" t="str">
        <x:v>RS-04138-I2</x:v>
      </x:c>
      <x:c r="B8363" s="4" t="str">
        <x:v>RS-04138</x:v>
      </x:c>
      <x:c r="C8363" s="9" t="n">
        <x:v>2</x:v>
      </x:c>
      <x:c r="D8363" s="8" t="n">
        <x:v>45587</x:v>
      </x:c>
      <x:c r="E8363" s="9" t="n">
        <x:v>4830000</x:v>
      </x:c>
      <x:c r="F8363" s="9" t="n">
        <x:v>0</x:v>
      </x:c>
    </x:row>
    <x:row r="8364" ht="34" customHeight="1">
      <x:c r="A8364" s="4" t="str">
        <x:v>RS-04138-I3</x:v>
      </x:c>
      <x:c r="B8364" s="4" t="str">
        <x:v>RS-04138</x:v>
      </x:c>
      <x:c r="C8364" s="9" t="n">
        <x:v>3</x:v>
      </x:c>
      <x:c r="D8364" s="8" t="n">
        <x:v>45617</x:v>
      </x:c>
      <x:c r="E8364" s="9" t="n">
        <x:v>4830000</x:v>
      </x:c>
      <x:c r="F8364" s="9" t="n">
        <x:v>0</x:v>
      </x:c>
    </x:row>
    <x:row r="8365" ht="34" customHeight="1">
      <x:c r="A8365" s="4" t="str">
        <x:v>RS-04138-I4</x:v>
      </x:c>
      <x:c r="B8365" s="4" t="str">
        <x:v>RS-04138</x:v>
      </x:c>
      <x:c r="C8365" s="9" t="n">
        <x:v>4</x:v>
      </x:c>
      <x:c r="D8365" s="8" t="n">
        <x:v>45647</x:v>
      </x:c>
      <x:c r="E8365" s="9" t="n">
        <x:v>4830000</x:v>
      </x:c>
      <x:c r="F8365" s="9" t="n">
        <x:v>0</x:v>
      </x:c>
    </x:row>
    <x:row r="8366" ht="34" customHeight="1">
      <x:c r="A8366" s="4" t="str">
        <x:v>RS-04143-I1</x:v>
      </x:c>
      <x:c r="B8366" s="4" t="str">
        <x:v>RS-04143</x:v>
      </x:c>
      <x:c r="C8366" s="9" t="n">
        <x:v>1</x:v>
      </x:c>
      <x:c r="D8366" s="8" t="n">
        <x:v>45562</x:v>
      </x:c>
      <x:c r="E8366" s="9" t="n">
        <x:v>2070000</x:v>
      </x:c>
      <x:c r="F8366" s="9" t="n">
        <x:v>2070000</x:v>
      </x:c>
    </x:row>
    <x:row r="8367" ht="34" customHeight="1">
      <x:c r="A8367" s="4" t="str">
        <x:v>RS-04143-I2</x:v>
      </x:c>
      <x:c r="B8367" s="4" t="str">
        <x:v>RS-04143</x:v>
      </x:c>
      <x:c r="C8367" s="9" t="n">
        <x:v>2</x:v>
      </x:c>
      <x:c r="D8367" s="8" t="n">
        <x:v>45592</x:v>
      </x:c>
      <x:c r="E8367" s="9" t="n">
        <x:v>2070000</x:v>
      </x:c>
      <x:c r="F8367" s="9" t="n">
        <x:v>2070000</x:v>
      </x:c>
    </x:row>
    <x:row r="8368" ht="34" customHeight="1">
      <x:c r="A8368" s="4" t="str">
        <x:v>RS-04143-I3</x:v>
      </x:c>
      <x:c r="B8368" s="4" t="str">
        <x:v>RS-04143</x:v>
      </x:c>
      <x:c r="C8368" s="9" t="n">
        <x:v>3</x:v>
      </x:c>
      <x:c r="D8368" s="8" t="n">
        <x:v>45622</x:v>
      </x:c>
      <x:c r="E8368" s="9" t="n">
        <x:v>2070000</x:v>
      </x:c>
      <x:c r="F8368" s="9" t="n">
        <x:v>0</x:v>
      </x:c>
    </x:row>
    <x:row r="8369" ht="34" customHeight="1">
      <x:c r="A8369" s="4" t="str">
        <x:v>RS-04143-I4</x:v>
      </x:c>
      <x:c r="B8369" s="4" t="str">
        <x:v>RS-04143</x:v>
      </x:c>
      <x:c r="C8369" s="9" t="n">
        <x:v>4</x:v>
      </x:c>
      <x:c r="D8369" s="8" t="n">
        <x:v>45652</x:v>
      </x:c>
      <x:c r="E8369" s="9" t="n">
        <x:v>2070000</x:v>
      </x:c>
      <x:c r="F8369" s="9" t="n">
        <x:v>0</x:v>
      </x:c>
    </x:row>
    <x:row r="8370" ht="34" customHeight="1">
      <x:c r="A8370" s="4" t="str">
        <x:v>RS-04145-I1</x:v>
      </x:c>
      <x:c r="B8370" s="4" t="str">
        <x:v>RS-04145</x:v>
      </x:c>
      <x:c r="C8370" s="9" t="n">
        <x:v>1</x:v>
      </x:c>
      <x:c r="D8370" s="8" t="n">
        <x:v>45536</x:v>
      </x:c>
      <x:c r="E8370" s="9" t="n">
        <x:v>1306250</x:v>
      </x:c>
      <x:c r="F8370" s="9" t="n">
        <x:v>1306250</x:v>
      </x:c>
    </x:row>
    <x:row r="8371" ht="34" customHeight="1">
      <x:c r="A8371" s="4" t="str">
        <x:v>RS-04145-I2</x:v>
      </x:c>
      <x:c r="B8371" s="4" t="str">
        <x:v>RS-04145</x:v>
      </x:c>
      <x:c r="C8371" s="9" t="n">
        <x:v>2</x:v>
      </x:c>
      <x:c r="D8371" s="8" t="n">
        <x:v>45566</x:v>
      </x:c>
      <x:c r="E8371" s="9" t="n">
        <x:v>1306250</x:v>
      </x:c>
      <x:c r="F8371" s="9" t="n">
        <x:v>0</x:v>
      </x:c>
    </x:row>
    <x:row r="8372" ht="34" customHeight="1">
      <x:c r="A8372" s="4" t="str">
        <x:v>RS-04145-I3</x:v>
      </x:c>
      <x:c r="B8372" s="4" t="str">
        <x:v>RS-04145</x:v>
      </x:c>
      <x:c r="C8372" s="9" t="n">
        <x:v>3</x:v>
      </x:c>
      <x:c r="D8372" s="8" t="n">
        <x:v>45596</x:v>
      </x:c>
      <x:c r="E8372" s="9" t="n">
        <x:v>1306250</x:v>
      </x:c>
      <x:c r="F8372" s="9" t="n">
        <x:v>0</x:v>
      </x:c>
    </x:row>
    <x:row r="8373" ht="34" customHeight="1">
      <x:c r="A8373" s="4" t="str">
        <x:v>RS-04145-I4</x:v>
      </x:c>
      <x:c r="B8373" s="4" t="str">
        <x:v>RS-04145</x:v>
      </x:c>
      <x:c r="C8373" s="9" t="n">
        <x:v>4</x:v>
      </x:c>
      <x:c r="D8373" s="8" t="n">
        <x:v>45626</x:v>
      </x:c>
      <x:c r="E8373" s="9" t="n">
        <x:v>1306250</x:v>
      </x:c>
      <x:c r="F8373" s="9" t="n">
        <x:v>0</x:v>
      </x:c>
    </x:row>
    <x:row r="8374" ht="34" customHeight="1">
      <x:c r="A8374" s="4" t="str">
        <x:v>RS-04147-I1</x:v>
      </x:c>
      <x:c r="B8374" s="4" t="str">
        <x:v>RS-04147</x:v>
      </x:c>
      <x:c r="C8374" s="9" t="n">
        <x:v>1</x:v>
      </x:c>
      <x:c r="D8374" s="8" t="n">
        <x:v>45538</x:v>
      </x:c>
      <x:c r="E8374" s="9" t="n">
        <x:v>1842750</x:v>
      </x:c>
      <x:c r="F8374" s="9" t="n">
        <x:v>1842750</x:v>
      </x:c>
    </x:row>
    <x:row r="8375" ht="34" customHeight="1">
      <x:c r="A8375" s="4" t="str">
        <x:v>RS-04147-I2</x:v>
      </x:c>
      <x:c r="B8375" s="4" t="str">
        <x:v>RS-04147</x:v>
      </x:c>
      <x:c r="C8375" s="9" t="n">
        <x:v>2</x:v>
      </x:c>
      <x:c r="D8375" s="8" t="n">
        <x:v>45568</x:v>
      </x:c>
      <x:c r="E8375" s="9" t="n">
        <x:v>1842750</x:v>
      </x:c>
      <x:c r="F8375" s="9" t="n">
        <x:v>0</x:v>
      </x:c>
    </x:row>
    <x:row r="8376" ht="34" customHeight="1">
      <x:c r="A8376" s="4" t="str">
        <x:v>RS-04147-I3</x:v>
      </x:c>
      <x:c r="B8376" s="4" t="str">
        <x:v>RS-04147</x:v>
      </x:c>
      <x:c r="C8376" s="9" t="n">
        <x:v>3</x:v>
      </x:c>
      <x:c r="D8376" s="8" t="n">
        <x:v>45598</x:v>
      </x:c>
      <x:c r="E8376" s="9" t="n">
        <x:v>1842750</x:v>
      </x:c>
      <x:c r="F8376" s="9" t="n">
        <x:v>0</x:v>
      </x:c>
    </x:row>
    <x:row r="8377" ht="34" customHeight="1">
      <x:c r="A8377" s="4" t="str">
        <x:v>RS-04147-I4</x:v>
      </x:c>
      <x:c r="B8377" s="4" t="str">
        <x:v>RS-04147</x:v>
      </x:c>
      <x:c r="C8377" s="9" t="n">
        <x:v>4</x:v>
      </x:c>
      <x:c r="D8377" s="8" t="n">
        <x:v>45628</x:v>
      </x:c>
      <x:c r="E8377" s="9" t="n">
        <x:v>1842750</x:v>
      </x:c>
      <x:c r="F8377" s="9" t="n">
        <x:v>0</x:v>
      </x:c>
    </x:row>
    <x:row r="8378" ht="34" customHeight="1">
      <x:c r="A8378" s="4" t="str">
        <x:v>RS-04150-I1</x:v>
      </x:c>
      <x:c r="B8378" s="4" t="str">
        <x:v>RS-04150</x:v>
      </x:c>
      <x:c r="C8378" s="9" t="n">
        <x:v>1</x:v>
      </x:c>
      <x:c r="D8378" s="8" t="n">
        <x:v>45541</x:v>
      </x:c>
      <x:c r="E8378" s="9" t="n">
        <x:v>3537750</x:v>
      </x:c>
      <x:c r="F8378" s="9" t="n">
        <x:v>3537750</x:v>
      </x:c>
    </x:row>
    <x:row r="8379" ht="34" customHeight="1">
      <x:c r="A8379" s="4" t="str">
        <x:v>RS-04150-I2</x:v>
      </x:c>
      <x:c r="B8379" s="4" t="str">
        <x:v>RS-04150</x:v>
      </x:c>
      <x:c r="C8379" s="9" t="n">
        <x:v>2</x:v>
      </x:c>
      <x:c r="D8379" s="8" t="n">
        <x:v>45571</x:v>
      </x:c>
      <x:c r="E8379" s="9" t="n">
        <x:v>3537750</x:v>
      </x:c>
      <x:c r="F8379" s="9" t="n">
        <x:v>3537750</x:v>
      </x:c>
    </x:row>
    <x:row r="8380" ht="34" customHeight="1">
      <x:c r="A8380" s="4" t="str">
        <x:v>RS-04150-I3</x:v>
      </x:c>
      <x:c r="B8380" s="4" t="str">
        <x:v>RS-04150</x:v>
      </x:c>
      <x:c r="C8380" s="9" t="n">
        <x:v>3</x:v>
      </x:c>
      <x:c r="D8380" s="8" t="n">
        <x:v>45601</x:v>
      </x:c>
      <x:c r="E8380" s="9" t="n">
        <x:v>3537750</x:v>
      </x:c>
      <x:c r="F8380" s="9" t="n">
        <x:v>0</x:v>
      </x:c>
    </x:row>
    <x:row r="8381" ht="34" customHeight="1">
      <x:c r="A8381" s="4" t="str">
        <x:v>RS-04150-I4</x:v>
      </x:c>
      <x:c r="B8381" s="4" t="str">
        <x:v>RS-04150</x:v>
      </x:c>
      <x:c r="C8381" s="9" t="n">
        <x:v>4</x:v>
      </x:c>
      <x:c r="D8381" s="8" t="n">
        <x:v>45631</x:v>
      </x:c>
      <x:c r="E8381" s="9" t="n">
        <x:v>3537750</x:v>
      </x:c>
      <x:c r="F8381" s="9" t="n">
        <x:v>0</x:v>
      </x:c>
    </x:row>
    <x:row r="8382" ht="34" customHeight="1">
      <x:c r="A8382" s="4" t="str">
        <x:v>RS-04154-I1</x:v>
      </x:c>
      <x:c r="B8382" s="4" t="str">
        <x:v>RS-04154</x:v>
      </x:c>
      <x:c r="C8382" s="9" t="n">
        <x:v>1</x:v>
      </x:c>
      <x:c r="D8382" s="8" t="n">
        <x:v>45545</x:v>
      </x:c>
      <x:c r="E8382" s="9" t="n">
        <x:v>973750</x:v>
      </x:c>
      <x:c r="F8382" s="9" t="n">
        <x:v>973750</x:v>
      </x:c>
    </x:row>
    <x:row r="8383" ht="34" customHeight="1">
      <x:c r="A8383" s="4" t="str">
        <x:v>RS-04154-I2</x:v>
      </x:c>
      <x:c r="B8383" s="4" t="str">
        <x:v>RS-04154</x:v>
      </x:c>
      <x:c r="C8383" s="9" t="n">
        <x:v>2</x:v>
      </x:c>
      <x:c r="D8383" s="8" t="n">
        <x:v>45575</x:v>
      </x:c>
      <x:c r="E8383" s="9" t="n">
        <x:v>973750</x:v>
      </x:c>
      <x:c r="F8383" s="9" t="n">
        <x:v>973750</x:v>
      </x:c>
    </x:row>
    <x:row r="8384" ht="34" customHeight="1">
      <x:c r="A8384" s="4" t="str">
        <x:v>RS-04154-I3</x:v>
      </x:c>
      <x:c r="B8384" s="4" t="str">
        <x:v>RS-04154</x:v>
      </x:c>
      <x:c r="C8384" s="9" t="n">
        <x:v>3</x:v>
      </x:c>
      <x:c r="D8384" s="8" t="n">
        <x:v>45605</x:v>
      </x:c>
      <x:c r="E8384" s="9" t="n">
        <x:v>973750</x:v>
      </x:c>
      <x:c r="F8384" s="9" t="n">
        <x:v>0</x:v>
      </x:c>
    </x:row>
    <x:row r="8385" ht="34" customHeight="1">
      <x:c r="A8385" s="4" t="str">
        <x:v>RS-04154-I4</x:v>
      </x:c>
      <x:c r="B8385" s="4" t="str">
        <x:v>RS-04154</x:v>
      </x:c>
      <x:c r="C8385" s="9" t="n">
        <x:v>4</x:v>
      </x:c>
      <x:c r="D8385" s="8" t="n">
        <x:v>45635</x:v>
      </x:c>
      <x:c r="E8385" s="9" t="n">
        <x:v>973750</x:v>
      </x:c>
      <x:c r="F8385" s="9" t="n">
        <x:v>0</x:v>
      </x:c>
    </x:row>
    <x:row r="8386" ht="34" customHeight="1">
      <x:c r="A8386" s="4" t="str">
        <x:v>RS-04156-I1</x:v>
      </x:c>
      <x:c r="B8386" s="4" t="str">
        <x:v>RS-04156</x:v>
      </x:c>
      <x:c r="C8386" s="9" t="n">
        <x:v>1</x:v>
      </x:c>
      <x:c r="D8386" s="8" t="n">
        <x:v>45547</x:v>
      </x:c>
      <x:c r="E8386" s="9" t="n">
        <x:v>4851000</x:v>
      </x:c>
      <x:c r="F8386" s="9" t="n">
        <x:v>4851000</x:v>
      </x:c>
    </x:row>
    <x:row r="8387" ht="34" customHeight="1">
      <x:c r="A8387" s="4" t="str">
        <x:v>RS-04156-I2</x:v>
      </x:c>
      <x:c r="B8387" s="4" t="str">
        <x:v>RS-04156</x:v>
      </x:c>
      <x:c r="C8387" s="9" t="n">
        <x:v>2</x:v>
      </x:c>
      <x:c r="D8387" s="8" t="n">
        <x:v>45577</x:v>
      </x:c>
      <x:c r="E8387" s="9" t="n">
        <x:v>4851000</x:v>
      </x:c>
      <x:c r="F8387" s="9" t="n">
        <x:v>4851000</x:v>
      </x:c>
    </x:row>
    <x:row r="8388" ht="34" customHeight="1">
      <x:c r="A8388" s="4" t="str">
        <x:v>RS-04156-I3</x:v>
      </x:c>
      <x:c r="B8388" s="4" t="str">
        <x:v>RS-04156</x:v>
      </x:c>
      <x:c r="C8388" s="9" t="n">
        <x:v>3</x:v>
      </x:c>
      <x:c r="D8388" s="8" t="n">
        <x:v>45607</x:v>
      </x:c>
      <x:c r="E8388" s="9" t="n">
        <x:v>4851000</x:v>
      </x:c>
      <x:c r="F8388" s="9" t="n">
        <x:v>0</x:v>
      </x:c>
    </x:row>
    <x:row r="8389" ht="34" customHeight="1">
      <x:c r="A8389" s="4" t="str">
        <x:v>RS-04156-I4</x:v>
      </x:c>
      <x:c r="B8389" s="4" t="str">
        <x:v>RS-04156</x:v>
      </x:c>
      <x:c r="C8389" s="9" t="n">
        <x:v>4</x:v>
      </x:c>
      <x:c r="D8389" s="8" t="n">
        <x:v>45637</x:v>
      </x:c>
      <x:c r="E8389" s="9" t="n">
        <x:v>4851000</x:v>
      </x:c>
      <x:c r="F8389" s="9" t="n">
        <x:v>0</x:v>
      </x:c>
    </x:row>
    <x:row r="8390" ht="34" customHeight="1">
      <x:c r="A8390" s="4" t="str">
        <x:v>RS-04158-I1</x:v>
      </x:c>
      <x:c r="B8390" s="4" t="str">
        <x:v>RS-04158</x:v>
      </x:c>
      <x:c r="C8390" s="9" t="n">
        <x:v>1</x:v>
      </x:c>
      <x:c r="D8390" s="8" t="n">
        <x:v>45549</x:v>
      </x:c>
      <x:c r="E8390" s="9" t="n">
        <x:v>3816000</x:v>
      </x:c>
      <x:c r="F8390" s="9" t="n">
        <x:v>1526400</x:v>
      </x:c>
    </x:row>
    <x:row r="8391" ht="34" customHeight="1">
      <x:c r="A8391" s="4" t="str">
        <x:v>RS-04158-I2</x:v>
      </x:c>
      <x:c r="B8391" s="4" t="str">
        <x:v>RS-04158</x:v>
      </x:c>
      <x:c r="C8391" s="9" t="n">
        <x:v>2</x:v>
      </x:c>
      <x:c r="D8391" s="8" t="n">
        <x:v>45579</x:v>
      </x:c>
      <x:c r="E8391" s="9" t="n">
        <x:v>3816000</x:v>
      </x:c>
      <x:c r="F8391" s="9" t="n">
        <x:v>0</x:v>
      </x:c>
    </x:row>
    <x:row r="8392" ht="34" customHeight="1">
      <x:c r="A8392" s="4" t="str">
        <x:v>RS-04158-I3</x:v>
      </x:c>
      <x:c r="B8392" s="4" t="str">
        <x:v>RS-04158</x:v>
      </x:c>
      <x:c r="C8392" s="9" t="n">
        <x:v>3</x:v>
      </x:c>
      <x:c r="D8392" s="8" t="n">
        <x:v>45609</x:v>
      </x:c>
      <x:c r="E8392" s="9" t="n">
        <x:v>3816000</x:v>
      </x:c>
      <x:c r="F8392" s="9" t="n">
        <x:v>0</x:v>
      </x:c>
    </x:row>
    <x:row r="8393" ht="34" customHeight="1">
      <x:c r="A8393" s="4" t="str">
        <x:v>RS-04158-I4</x:v>
      </x:c>
      <x:c r="B8393" s="4" t="str">
        <x:v>RS-04158</x:v>
      </x:c>
      <x:c r="C8393" s="9" t="n">
        <x:v>4</x:v>
      </x:c>
      <x:c r="D8393" s="8" t="n">
        <x:v>45639</x:v>
      </x:c>
      <x:c r="E8393" s="9" t="n">
        <x:v>3816000</x:v>
      </x:c>
      <x:c r="F8393" s="9" t="n">
        <x:v>0</x:v>
      </x:c>
    </x:row>
    <x:row r="8394" ht="34" customHeight="1">
      <x:c r="A8394" s="4" t="str">
        <x:v>RS-04163-I1</x:v>
      </x:c>
      <x:c r="B8394" s="4" t="str">
        <x:v>RS-04163</x:v>
      </x:c>
      <x:c r="C8394" s="9" t="n">
        <x:v>1</x:v>
      </x:c>
      <x:c r="D8394" s="8" t="n">
        <x:v>45554</x:v>
      </x:c>
      <x:c r="E8394" s="9" t="n">
        <x:v>3160500</x:v>
      </x:c>
      <x:c r="F8394" s="9" t="n">
        <x:v>3160500</x:v>
      </x:c>
    </x:row>
    <x:row r="8395" ht="34" customHeight="1">
      <x:c r="A8395" s="4" t="str">
        <x:v>RS-04163-I2</x:v>
      </x:c>
      <x:c r="B8395" s="4" t="str">
        <x:v>RS-04163</x:v>
      </x:c>
      <x:c r="C8395" s="9" t="n">
        <x:v>2</x:v>
      </x:c>
      <x:c r="D8395" s="8" t="n">
        <x:v>45584</x:v>
      </x:c>
      <x:c r="E8395" s="9" t="n">
        <x:v>3160500</x:v>
      </x:c>
      <x:c r="F8395" s="9" t="n">
        <x:v>0</x:v>
      </x:c>
    </x:row>
    <x:row r="8396" ht="34" customHeight="1">
      <x:c r="A8396" s="4" t="str">
        <x:v>RS-04163-I3</x:v>
      </x:c>
      <x:c r="B8396" s="4" t="str">
        <x:v>RS-04163</x:v>
      </x:c>
      <x:c r="C8396" s="9" t="n">
        <x:v>3</x:v>
      </x:c>
      <x:c r="D8396" s="8" t="n">
        <x:v>45614</x:v>
      </x:c>
      <x:c r="E8396" s="9" t="n">
        <x:v>3160500</x:v>
      </x:c>
      <x:c r="F8396" s="9" t="n">
        <x:v>0</x:v>
      </x:c>
    </x:row>
    <x:row r="8397" ht="34" customHeight="1">
      <x:c r="A8397" s="4" t="str">
        <x:v>RS-04163-I4</x:v>
      </x:c>
      <x:c r="B8397" s="4" t="str">
        <x:v>RS-04163</x:v>
      </x:c>
      <x:c r="C8397" s="9" t="n">
        <x:v>4</x:v>
      </x:c>
      <x:c r="D8397" s="8" t="n">
        <x:v>45644</x:v>
      </x:c>
      <x:c r="E8397" s="9" t="n">
        <x:v>3160500</x:v>
      </x:c>
      <x:c r="F8397" s="9" t="n">
        <x:v>0</x:v>
      </x:c>
    </x:row>
    <x:row r="8398" ht="34" customHeight="1">
      <x:c r="A8398" s="4" t="str">
        <x:v>RS-04164-I1</x:v>
      </x:c>
      <x:c r="B8398" s="4" t="str">
        <x:v>RS-04164</x:v>
      </x:c>
      <x:c r="C8398" s="9" t="n">
        <x:v>1</x:v>
      </x:c>
      <x:c r="D8398" s="8" t="n">
        <x:v>45555</x:v>
      </x:c>
      <x:c r="E8398" s="9" t="n">
        <x:v>3118500</x:v>
      </x:c>
      <x:c r="F8398" s="9" t="n">
        <x:v>1247400</x:v>
      </x:c>
    </x:row>
    <x:row r="8399" ht="34" customHeight="1">
      <x:c r="A8399" s="4" t="str">
        <x:v>RS-04164-I2</x:v>
      </x:c>
      <x:c r="B8399" s="4" t="str">
        <x:v>RS-04164</x:v>
      </x:c>
      <x:c r="C8399" s="9" t="n">
        <x:v>2</x:v>
      </x:c>
      <x:c r="D8399" s="8" t="n">
        <x:v>45585</x:v>
      </x:c>
      <x:c r="E8399" s="9" t="n">
        <x:v>3118500</x:v>
      </x:c>
      <x:c r="F8399" s="9" t="n">
        <x:v>0</x:v>
      </x:c>
    </x:row>
    <x:row r="8400" ht="34" customHeight="1">
      <x:c r="A8400" s="4" t="str">
        <x:v>RS-04164-I3</x:v>
      </x:c>
      <x:c r="B8400" s="4" t="str">
        <x:v>RS-04164</x:v>
      </x:c>
      <x:c r="C8400" s="9" t="n">
        <x:v>3</x:v>
      </x:c>
      <x:c r="D8400" s="8" t="n">
        <x:v>45615</x:v>
      </x:c>
      <x:c r="E8400" s="9" t="n">
        <x:v>3118500</x:v>
      </x:c>
      <x:c r="F8400" s="9" t="n">
        <x:v>0</x:v>
      </x:c>
    </x:row>
    <x:row r="8401" ht="34" customHeight="1">
      <x:c r="A8401" s="4" t="str">
        <x:v>RS-04164-I4</x:v>
      </x:c>
      <x:c r="B8401" s="4" t="str">
        <x:v>RS-04164</x:v>
      </x:c>
      <x:c r="C8401" s="9" t="n">
        <x:v>4</x:v>
      </x:c>
      <x:c r="D8401" s="8" t="n">
        <x:v>45645</x:v>
      </x:c>
      <x:c r="E8401" s="9" t="n">
        <x:v>3118500</x:v>
      </x:c>
      <x:c r="F8401" s="9" t="n">
        <x:v>0</x:v>
      </x:c>
    </x:row>
    <x:row r="8402" ht="34" customHeight="1">
      <x:c r="A8402" s="4" t="str">
        <x:v>RS-04169-I1</x:v>
      </x:c>
      <x:c r="B8402" s="4" t="str">
        <x:v>RS-04169</x:v>
      </x:c>
      <x:c r="C8402" s="9" t="n">
        <x:v>1</x:v>
      </x:c>
      <x:c r="D8402" s="8" t="n">
        <x:v>45560</x:v>
      </x:c>
      <x:c r="E8402" s="9" t="n">
        <x:v>2541250</x:v>
      </x:c>
      <x:c r="F8402" s="9" t="n">
        <x:v>1016500</x:v>
      </x:c>
    </x:row>
    <x:row r="8403" ht="34" customHeight="1">
      <x:c r="A8403" s="4" t="str">
        <x:v>RS-04169-I2</x:v>
      </x:c>
      <x:c r="B8403" s="4" t="str">
        <x:v>RS-04169</x:v>
      </x:c>
      <x:c r="C8403" s="9" t="n">
        <x:v>2</x:v>
      </x:c>
      <x:c r="D8403" s="8" t="n">
        <x:v>45590</x:v>
      </x:c>
      <x:c r="E8403" s="9" t="n">
        <x:v>2541250</x:v>
      </x:c>
      <x:c r="F8403" s="9" t="n">
        <x:v>0</x:v>
      </x:c>
    </x:row>
    <x:row r="8404" ht="34" customHeight="1">
      <x:c r="A8404" s="4" t="str">
        <x:v>RS-04169-I3</x:v>
      </x:c>
      <x:c r="B8404" s="4" t="str">
        <x:v>RS-04169</x:v>
      </x:c>
      <x:c r="C8404" s="9" t="n">
        <x:v>3</x:v>
      </x:c>
      <x:c r="D8404" s="8" t="n">
        <x:v>45620</x:v>
      </x:c>
      <x:c r="E8404" s="9" t="n">
        <x:v>2541250</x:v>
      </x:c>
      <x:c r="F8404" s="9" t="n">
        <x:v>0</x:v>
      </x:c>
    </x:row>
    <x:row r="8405" ht="34" customHeight="1">
      <x:c r="A8405" s="4" t="str">
        <x:v>RS-04169-I4</x:v>
      </x:c>
      <x:c r="B8405" s="4" t="str">
        <x:v>RS-04169</x:v>
      </x:c>
      <x:c r="C8405" s="9" t="n">
        <x:v>4</x:v>
      </x:c>
      <x:c r="D8405" s="8" t="n">
        <x:v>45650</x:v>
      </x:c>
      <x:c r="E8405" s="9" t="n">
        <x:v>2541250</x:v>
      </x:c>
      <x:c r="F8405" s="9" t="n">
        <x:v>0</x:v>
      </x:c>
    </x:row>
    <x:row r="8406" ht="34" customHeight="1">
      <x:c r="A8406" s="4" t="str">
        <x:v>RS-04170-I1</x:v>
      </x:c>
      <x:c r="B8406" s="4" t="str">
        <x:v>RS-04170</x:v>
      </x:c>
      <x:c r="C8406" s="9" t="n">
        <x:v>1</x:v>
      </x:c>
      <x:c r="D8406" s="8" t="n">
        <x:v>45561</x:v>
      </x:c>
      <x:c r="E8406" s="9" t="n">
        <x:v>4294250</x:v>
      </x:c>
      <x:c r="F8406" s="9" t="n">
        <x:v>4294250</x:v>
      </x:c>
    </x:row>
    <x:row r="8407" ht="34" customHeight="1">
      <x:c r="A8407" s="4" t="str">
        <x:v>RS-04170-I2</x:v>
      </x:c>
      <x:c r="B8407" s="4" t="str">
        <x:v>RS-04170</x:v>
      </x:c>
      <x:c r="C8407" s="9" t="n">
        <x:v>2</x:v>
      </x:c>
      <x:c r="D8407" s="8" t="n">
        <x:v>45591</x:v>
      </x:c>
      <x:c r="E8407" s="9" t="n">
        <x:v>4294250</x:v>
      </x:c>
      <x:c r="F8407" s="9" t="n">
        <x:v>4294250</x:v>
      </x:c>
    </x:row>
    <x:row r="8408" ht="34" customHeight="1">
      <x:c r="A8408" s="4" t="str">
        <x:v>RS-04170-I3</x:v>
      </x:c>
      <x:c r="B8408" s="4" t="str">
        <x:v>RS-04170</x:v>
      </x:c>
      <x:c r="C8408" s="9" t="n">
        <x:v>3</x:v>
      </x:c>
      <x:c r="D8408" s="8" t="n">
        <x:v>45621</x:v>
      </x:c>
      <x:c r="E8408" s="9" t="n">
        <x:v>4294250</x:v>
      </x:c>
      <x:c r="F8408" s="9" t="n">
        <x:v>0</x:v>
      </x:c>
    </x:row>
    <x:row r="8409" ht="34" customHeight="1">
      <x:c r="A8409" s="4" t="str">
        <x:v>RS-04170-I4</x:v>
      </x:c>
      <x:c r="B8409" s="4" t="str">
        <x:v>RS-04170</x:v>
      </x:c>
      <x:c r="C8409" s="9" t="n">
        <x:v>4</x:v>
      </x:c>
      <x:c r="D8409" s="8" t="n">
        <x:v>45651</x:v>
      </x:c>
      <x:c r="E8409" s="9" t="n">
        <x:v>4294250</x:v>
      </x:c>
      <x:c r="F8409" s="9" t="n">
        <x:v>0</x:v>
      </x:c>
    </x:row>
    <x:row r="8410" ht="34" customHeight="1">
      <x:c r="A8410" s="4" t="str">
        <x:v>RS-04171-I1</x:v>
      </x:c>
      <x:c r="B8410" s="4" t="str">
        <x:v>RS-04171</x:v>
      </x:c>
      <x:c r="C8410" s="9" t="n">
        <x:v>1</x:v>
      </x:c>
      <x:c r="D8410" s="8" t="n">
        <x:v>45562</x:v>
      </x:c>
      <x:c r="E8410" s="9" t="n">
        <x:v>5146500</x:v>
      </x:c>
      <x:c r="F8410" s="9" t="n">
        <x:v>5146500</x:v>
      </x:c>
    </x:row>
    <x:row r="8411" ht="34" customHeight="1">
      <x:c r="A8411" s="4" t="str">
        <x:v>RS-04171-I2</x:v>
      </x:c>
      <x:c r="B8411" s="4" t="str">
        <x:v>RS-04171</x:v>
      </x:c>
      <x:c r="C8411" s="9" t="n">
        <x:v>2</x:v>
      </x:c>
      <x:c r="D8411" s="8" t="n">
        <x:v>45592</x:v>
      </x:c>
      <x:c r="E8411" s="9" t="n">
        <x:v>5146500</x:v>
      </x:c>
      <x:c r="F8411" s="9" t="n">
        <x:v>5146500</x:v>
      </x:c>
    </x:row>
    <x:row r="8412" ht="34" customHeight="1">
      <x:c r="A8412" s="4" t="str">
        <x:v>RS-04171-I3</x:v>
      </x:c>
      <x:c r="B8412" s="4" t="str">
        <x:v>RS-04171</x:v>
      </x:c>
      <x:c r="C8412" s="9" t="n">
        <x:v>3</x:v>
      </x:c>
      <x:c r="D8412" s="8" t="n">
        <x:v>45622</x:v>
      </x:c>
      <x:c r="E8412" s="9" t="n">
        <x:v>5146500</x:v>
      </x:c>
      <x:c r="F8412" s="9" t="n">
        <x:v>0</x:v>
      </x:c>
    </x:row>
    <x:row r="8413" ht="34" customHeight="1">
      <x:c r="A8413" s="4" t="str">
        <x:v>RS-04171-I4</x:v>
      </x:c>
      <x:c r="B8413" s="4" t="str">
        <x:v>RS-04171</x:v>
      </x:c>
      <x:c r="C8413" s="9" t="n">
        <x:v>4</x:v>
      </x:c>
      <x:c r="D8413" s="8" t="n">
        <x:v>45652</x:v>
      </x:c>
      <x:c r="E8413" s="9" t="n">
        <x:v>5146500</x:v>
      </x:c>
      <x:c r="F8413" s="9" t="n">
        <x:v>0</x:v>
      </x:c>
    </x:row>
    <x:row r="8414" ht="34" customHeight="1">
      <x:c r="A8414" s="4" t="str">
        <x:v>RS-04173-I1</x:v>
      </x:c>
      <x:c r="B8414" s="4" t="str">
        <x:v>RS-04173</x:v>
      </x:c>
      <x:c r="C8414" s="9" t="n">
        <x:v>1</x:v>
      </x:c>
      <x:c r="D8414" s="8" t="n">
        <x:v>45536</x:v>
      </x:c>
      <x:c r="E8414" s="9" t="n">
        <x:v>3748500</x:v>
      </x:c>
      <x:c r="F8414" s="9" t="n">
        <x:v>3748500</x:v>
      </x:c>
    </x:row>
    <x:row r="8415" ht="34" customHeight="1">
      <x:c r="A8415" s="4" t="str">
        <x:v>RS-04173-I2</x:v>
      </x:c>
      <x:c r="B8415" s="4" t="str">
        <x:v>RS-04173</x:v>
      </x:c>
      <x:c r="C8415" s="9" t="n">
        <x:v>2</x:v>
      </x:c>
      <x:c r="D8415" s="8" t="n">
        <x:v>45566</x:v>
      </x:c>
      <x:c r="E8415" s="9" t="n">
        <x:v>3748500</x:v>
      </x:c>
      <x:c r="F8415" s="9" t="n">
        <x:v>3748500</x:v>
      </x:c>
    </x:row>
    <x:row r="8416" ht="34" customHeight="1">
      <x:c r="A8416" s="4" t="str">
        <x:v>RS-04173-I3</x:v>
      </x:c>
      <x:c r="B8416" s="4" t="str">
        <x:v>RS-04173</x:v>
      </x:c>
      <x:c r="C8416" s="9" t="n">
        <x:v>3</x:v>
      </x:c>
      <x:c r="D8416" s="8" t="n">
        <x:v>45596</x:v>
      </x:c>
      <x:c r="E8416" s="9" t="n">
        <x:v>3748500</x:v>
      </x:c>
      <x:c r="F8416" s="9" t="n">
        <x:v>0</x:v>
      </x:c>
    </x:row>
    <x:row r="8417" ht="34" customHeight="1">
      <x:c r="A8417" s="4" t="str">
        <x:v>RS-04173-I4</x:v>
      </x:c>
      <x:c r="B8417" s="4" t="str">
        <x:v>RS-04173</x:v>
      </x:c>
      <x:c r="C8417" s="9" t="n">
        <x:v>4</x:v>
      </x:c>
      <x:c r="D8417" s="8" t="n">
        <x:v>45626</x:v>
      </x:c>
      <x:c r="E8417" s="9" t="n">
        <x:v>3748500</x:v>
      </x:c>
      <x:c r="F8417" s="9" t="n">
        <x:v>0</x:v>
      </x:c>
    </x:row>
    <x:row r="8418" ht="34" customHeight="1">
      <x:c r="A8418" s="4" t="str">
        <x:v>RS-04174-I1</x:v>
      </x:c>
      <x:c r="B8418" s="4" t="str">
        <x:v>RS-04174</x:v>
      </x:c>
      <x:c r="C8418" s="9" t="n">
        <x:v>1</x:v>
      </x:c>
      <x:c r="D8418" s="8" t="n">
        <x:v>45537</x:v>
      </x:c>
      <x:c r="E8418" s="9" t="n">
        <x:v>5795000</x:v>
      </x:c>
      <x:c r="F8418" s="9" t="n">
        <x:v>5795000</x:v>
      </x:c>
    </x:row>
    <x:row r="8419" ht="34" customHeight="1">
      <x:c r="A8419" s="4" t="str">
        <x:v>RS-04174-I2</x:v>
      </x:c>
      <x:c r="B8419" s="4" t="str">
        <x:v>RS-04174</x:v>
      </x:c>
      <x:c r="C8419" s="9" t="n">
        <x:v>2</x:v>
      </x:c>
      <x:c r="D8419" s="8" t="n">
        <x:v>45567</x:v>
      </x:c>
      <x:c r="E8419" s="9" t="n">
        <x:v>5795000</x:v>
      </x:c>
      <x:c r="F8419" s="9" t="n">
        <x:v>5795000</x:v>
      </x:c>
    </x:row>
    <x:row r="8420" ht="34" customHeight="1">
      <x:c r="A8420" s="4" t="str">
        <x:v>RS-04174-I3</x:v>
      </x:c>
      <x:c r="B8420" s="4" t="str">
        <x:v>RS-04174</x:v>
      </x:c>
      <x:c r="C8420" s="9" t="n">
        <x:v>3</x:v>
      </x:c>
      <x:c r="D8420" s="8" t="n">
        <x:v>45597</x:v>
      </x:c>
      <x:c r="E8420" s="9" t="n">
        <x:v>5795000</x:v>
      </x:c>
      <x:c r="F8420" s="9" t="n">
        <x:v>5795000</x:v>
      </x:c>
    </x:row>
    <x:row r="8421" ht="34" customHeight="1">
      <x:c r="A8421" s="4" t="str">
        <x:v>RS-04174-I4</x:v>
      </x:c>
      <x:c r="B8421" s="4" t="str">
        <x:v>RS-04174</x:v>
      </x:c>
      <x:c r="C8421" s="9" t="n">
        <x:v>4</x:v>
      </x:c>
      <x:c r="D8421" s="8" t="n">
        <x:v>45627</x:v>
      </x:c>
      <x:c r="E8421" s="9" t="n">
        <x:v>5795000</x:v>
      </x:c>
      <x:c r="F8421" s="9" t="n">
        <x:v>5795000</x:v>
      </x:c>
    </x:row>
    <x:row r="8422" ht="34" customHeight="1">
      <x:c r="A8422" s="4" t="str">
        <x:v>RS-04175-I1</x:v>
      </x:c>
      <x:c r="B8422" s="4" t="str">
        <x:v>RS-04175</x:v>
      </x:c>
      <x:c r="C8422" s="9" t="n">
        <x:v>1</x:v>
      </x:c>
      <x:c r="D8422" s="8" t="n">
        <x:v>45538</x:v>
      </x:c>
      <x:c r="E8422" s="9" t="n">
        <x:v>1927000</x:v>
      </x:c>
      <x:c r="F8422" s="9" t="n">
        <x:v>1927000</x:v>
      </x:c>
    </x:row>
    <x:row r="8423" ht="34" customHeight="1">
      <x:c r="A8423" s="4" t="str">
        <x:v>RS-04175-I2</x:v>
      </x:c>
      <x:c r="B8423" s="4" t="str">
        <x:v>RS-04175</x:v>
      </x:c>
      <x:c r="C8423" s="9" t="n">
        <x:v>2</x:v>
      </x:c>
      <x:c r="D8423" s="8" t="n">
        <x:v>45568</x:v>
      </x:c>
      <x:c r="E8423" s="9" t="n">
        <x:v>1927000</x:v>
      </x:c>
      <x:c r="F8423" s="9" t="n">
        <x:v>0</x:v>
      </x:c>
    </x:row>
    <x:row r="8424" ht="34" customHeight="1">
      <x:c r="A8424" s="4" t="str">
        <x:v>RS-04175-I3</x:v>
      </x:c>
      <x:c r="B8424" s="4" t="str">
        <x:v>RS-04175</x:v>
      </x:c>
      <x:c r="C8424" s="9" t="n">
        <x:v>3</x:v>
      </x:c>
      <x:c r="D8424" s="8" t="n">
        <x:v>45598</x:v>
      </x:c>
      <x:c r="E8424" s="9" t="n">
        <x:v>1927000</x:v>
      </x:c>
      <x:c r="F8424" s="9" t="n">
        <x:v>0</x:v>
      </x:c>
    </x:row>
    <x:row r="8425" ht="34" customHeight="1">
      <x:c r="A8425" s="4" t="str">
        <x:v>RS-04175-I4</x:v>
      </x:c>
      <x:c r="B8425" s="4" t="str">
        <x:v>RS-04175</x:v>
      </x:c>
      <x:c r="C8425" s="9" t="n">
        <x:v>4</x:v>
      </x:c>
      <x:c r="D8425" s="8" t="n">
        <x:v>45628</x:v>
      </x:c>
      <x:c r="E8425" s="9" t="n">
        <x:v>1927000</x:v>
      </x:c>
      <x:c r="F8425" s="9" t="n">
        <x:v>0</x:v>
      </x:c>
    </x:row>
    <x:row r="8426" ht="34" customHeight="1">
      <x:c r="A8426" s="4" t="str">
        <x:v>RS-04176-I1</x:v>
      </x:c>
      <x:c r="B8426" s="4" t="str">
        <x:v>RS-04176</x:v>
      </x:c>
      <x:c r="C8426" s="9" t="n">
        <x:v>1</x:v>
      </x:c>
      <x:c r="D8426" s="8" t="n">
        <x:v>45539</x:v>
      </x:c>
      <x:c r="E8426" s="9" t="n">
        <x:v>4950000</x:v>
      </x:c>
      <x:c r="F8426" s="9" t="n">
        <x:v>4950000</x:v>
      </x:c>
    </x:row>
    <x:row r="8427" ht="34" customHeight="1">
      <x:c r="A8427" s="4" t="str">
        <x:v>RS-04176-I2</x:v>
      </x:c>
      <x:c r="B8427" s="4" t="str">
        <x:v>RS-04176</x:v>
      </x:c>
      <x:c r="C8427" s="9" t="n">
        <x:v>2</x:v>
      </x:c>
      <x:c r="D8427" s="8" t="n">
        <x:v>45569</x:v>
      </x:c>
      <x:c r="E8427" s="9" t="n">
        <x:v>4950000</x:v>
      </x:c>
      <x:c r="F8427" s="9" t="n">
        <x:v>4950000</x:v>
      </x:c>
    </x:row>
    <x:row r="8428" ht="34" customHeight="1">
      <x:c r="A8428" s="4" t="str">
        <x:v>RS-04176-I3</x:v>
      </x:c>
      <x:c r="B8428" s="4" t="str">
        <x:v>RS-04176</x:v>
      </x:c>
      <x:c r="C8428" s="9" t="n">
        <x:v>3</x:v>
      </x:c>
      <x:c r="D8428" s="8" t="n">
        <x:v>45599</x:v>
      </x:c>
      <x:c r="E8428" s="9" t="n">
        <x:v>4950000</x:v>
      </x:c>
      <x:c r="F8428" s="9" t="n">
        <x:v>0</x:v>
      </x:c>
    </x:row>
    <x:row r="8429" ht="34" customHeight="1">
      <x:c r="A8429" s="4" t="str">
        <x:v>RS-04176-I4</x:v>
      </x:c>
      <x:c r="B8429" s="4" t="str">
        <x:v>RS-04176</x:v>
      </x:c>
      <x:c r="C8429" s="9" t="n">
        <x:v>4</x:v>
      </x:c>
      <x:c r="D8429" s="8" t="n">
        <x:v>45629</x:v>
      </x:c>
      <x:c r="E8429" s="9" t="n">
        <x:v>4950000</x:v>
      </x:c>
      <x:c r="F8429" s="9" t="n">
        <x:v>0</x:v>
      </x:c>
    </x:row>
    <x:row r="8430" ht="34" customHeight="1">
      <x:c r="A8430" s="4" t="str">
        <x:v>RS-04178-I1</x:v>
      </x:c>
      <x:c r="B8430" s="4" t="str">
        <x:v>RS-04178</x:v>
      </x:c>
      <x:c r="C8430" s="9" t="n">
        <x:v>1</x:v>
      </x:c>
      <x:c r="D8430" s="8" t="n">
        <x:v>45541</x:v>
      </x:c>
      <x:c r="E8430" s="9" t="n">
        <x:v>1237500</x:v>
      </x:c>
      <x:c r="F8430" s="9" t="n">
        <x:v>495000</x:v>
      </x:c>
    </x:row>
    <x:row r="8431" ht="34" customHeight="1">
      <x:c r="A8431" s="4" t="str">
        <x:v>RS-04178-I2</x:v>
      </x:c>
      <x:c r="B8431" s="4" t="str">
        <x:v>RS-04178</x:v>
      </x:c>
      <x:c r="C8431" s="9" t="n">
        <x:v>2</x:v>
      </x:c>
      <x:c r="D8431" s="8" t="n">
        <x:v>45571</x:v>
      </x:c>
      <x:c r="E8431" s="9" t="n">
        <x:v>1237500</x:v>
      </x:c>
      <x:c r="F8431" s="9" t="n">
        <x:v>0</x:v>
      </x:c>
    </x:row>
    <x:row r="8432" ht="34" customHeight="1">
      <x:c r="A8432" s="4" t="str">
        <x:v>RS-04178-I3</x:v>
      </x:c>
      <x:c r="B8432" s="4" t="str">
        <x:v>RS-04178</x:v>
      </x:c>
      <x:c r="C8432" s="9" t="n">
        <x:v>3</x:v>
      </x:c>
      <x:c r="D8432" s="8" t="n">
        <x:v>45601</x:v>
      </x:c>
      <x:c r="E8432" s="9" t="n">
        <x:v>1237500</x:v>
      </x:c>
      <x:c r="F8432" s="9" t="n">
        <x:v>0</x:v>
      </x:c>
    </x:row>
    <x:row r="8433" ht="34" customHeight="1">
      <x:c r="A8433" s="4" t="str">
        <x:v>RS-04178-I4</x:v>
      </x:c>
      <x:c r="B8433" s="4" t="str">
        <x:v>RS-04178</x:v>
      </x:c>
      <x:c r="C8433" s="9" t="n">
        <x:v>4</x:v>
      </x:c>
      <x:c r="D8433" s="8" t="n">
        <x:v>45631</x:v>
      </x:c>
      <x:c r="E8433" s="9" t="n">
        <x:v>1237500</x:v>
      </x:c>
      <x:c r="F8433" s="9" t="n">
        <x:v>0</x:v>
      </x:c>
    </x:row>
    <x:row r="8434" ht="34" customHeight="1">
      <x:c r="A8434" s="4" t="str">
        <x:v>RS-04179-I1</x:v>
      </x:c>
      <x:c r="B8434" s="4" t="str">
        <x:v>RS-04179</x:v>
      </x:c>
      <x:c r="C8434" s="9" t="n">
        <x:v>1</x:v>
      </x:c>
      <x:c r="D8434" s="8" t="n">
        <x:v>45542</x:v>
      </x:c>
      <x:c r="E8434" s="9" t="n">
        <x:v>4312000</x:v>
      </x:c>
      <x:c r="F8434" s="9" t="n">
        <x:v>4312000</x:v>
      </x:c>
    </x:row>
    <x:row r="8435" ht="34" customHeight="1">
      <x:c r="A8435" s="4" t="str">
        <x:v>RS-04179-I2</x:v>
      </x:c>
      <x:c r="B8435" s="4" t="str">
        <x:v>RS-04179</x:v>
      </x:c>
      <x:c r="C8435" s="9" t="n">
        <x:v>2</x:v>
      </x:c>
      <x:c r="D8435" s="8" t="n">
        <x:v>45572</x:v>
      </x:c>
      <x:c r="E8435" s="9" t="n">
        <x:v>4312000</x:v>
      </x:c>
      <x:c r="F8435" s="9" t="n">
        <x:v>0</x:v>
      </x:c>
    </x:row>
    <x:row r="8436" ht="34" customHeight="1">
      <x:c r="A8436" s="4" t="str">
        <x:v>RS-04179-I3</x:v>
      </x:c>
      <x:c r="B8436" s="4" t="str">
        <x:v>RS-04179</x:v>
      </x:c>
      <x:c r="C8436" s="9" t="n">
        <x:v>3</x:v>
      </x:c>
      <x:c r="D8436" s="8" t="n">
        <x:v>45602</x:v>
      </x:c>
      <x:c r="E8436" s="9" t="n">
        <x:v>4312000</x:v>
      </x:c>
      <x:c r="F8436" s="9" t="n">
        <x:v>0</x:v>
      </x:c>
    </x:row>
    <x:row r="8437" ht="34" customHeight="1">
      <x:c r="A8437" s="4" t="str">
        <x:v>RS-04179-I4</x:v>
      </x:c>
      <x:c r="B8437" s="4" t="str">
        <x:v>RS-04179</x:v>
      </x:c>
      <x:c r="C8437" s="9" t="n">
        <x:v>4</x:v>
      </x:c>
      <x:c r="D8437" s="8" t="n">
        <x:v>45632</x:v>
      </x:c>
      <x:c r="E8437" s="9" t="n">
        <x:v>4312000</x:v>
      </x:c>
      <x:c r="F8437" s="9" t="n">
        <x:v>0</x:v>
      </x:c>
    </x:row>
    <x:row r="8438" ht="34" customHeight="1">
      <x:c r="A8438" s="4" t="str">
        <x:v>RS-04180-I1</x:v>
      </x:c>
      <x:c r="B8438" s="4" t="str">
        <x:v>RS-04180</x:v>
      </x:c>
      <x:c r="C8438" s="9" t="n">
        <x:v>1</x:v>
      </x:c>
      <x:c r="D8438" s="8" t="n">
        <x:v>45543</x:v>
      </x:c>
      <x:c r="E8438" s="9" t="n">
        <x:v>1053500</x:v>
      </x:c>
      <x:c r="F8438" s="9" t="n">
        <x:v>1053500</x:v>
      </x:c>
    </x:row>
    <x:row r="8439" ht="34" customHeight="1">
      <x:c r="A8439" s="4" t="str">
        <x:v>RS-04180-I2</x:v>
      </x:c>
      <x:c r="B8439" s="4" t="str">
        <x:v>RS-04180</x:v>
      </x:c>
      <x:c r="C8439" s="9" t="n">
        <x:v>2</x:v>
      </x:c>
      <x:c r="D8439" s="8" t="n">
        <x:v>45573</x:v>
      </x:c>
      <x:c r="E8439" s="9" t="n">
        <x:v>1053500</x:v>
      </x:c>
      <x:c r="F8439" s="9" t="n">
        <x:v>1053500</x:v>
      </x:c>
    </x:row>
    <x:row r="8440" ht="34" customHeight="1">
      <x:c r="A8440" s="4" t="str">
        <x:v>RS-04180-I3</x:v>
      </x:c>
      <x:c r="B8440" s="4" t="str">
        <x:v>RS-04180</x:v>
      </x:c>
      <x:c r="C8440" s="9" t="n">
        <x:v>3</x:v>
      </x:c>
      <x:c r="D8440" s="8" t="n">
        <x:v>45603</x:v>
      </x:c>
      <x:c r="E8440" s="9" t="n">
        <x:v>1053500</x:v>
      </x:c>
      <x:c r="F8440" s="9" t="n">
        <x:v>0</x:v>
      </x:c>
    </x:row>
    <x:row r="8441" ht="34" customHeight="1">
      <x:c r="A8441" s="4" t="str">
        <x:v>RS-04180-I4</x:v>
      </x:c>
      <x:c r="B8441" s="4" t="str">
        <x:v>RS-04180</x:v>
      </x:c>
      <x:c r="C8441" s="9" t="n">
        <x:v>4</x:v>
      </x:c>
      <x:c r="D8441" s="8" t="n">
        <x:v>45633</x:v>
      </x:c>
      <x:c r="E8441" s="9" t="n">
        <x:v>1053500</x:v>
      </x:c>
      <x:c r="F8441" s="9" t="n">
        <x:v>0</x:v>
      </x:c>
    </x:row>
    <x:row r="8442" ht="34" customHeight="1">
      <x:c r="A8442" s="4" t="str">
        <x:v>RS-04184-I1</x:v>
      </x:c>
      <x:c r="B8442" s="4" t="str">
        <x:v>RS-04184</x:v>
      </x:c>
      <x:c r="C8442" s="9" t="n">
        <x:v>1</x:v>
      </x:c>
      <x:c r="D8442" s="8" t="n">
        <x:v>45547</x:v>
      </x:c>
      <x:c r="E8442" s="9" t="n">
        <x:v>3662750</x:v>
      </x:c>
      <x:c r="F8442" s="9" t="n">
        <x:v>3662750</x:v>
      </x:c>
    </x:row>
    <x:row r="8443" ht="34" customHeight="1">
      <x:c r="A8443" s="4" t="str">
        <x:v>RS-04184-I2</x:v>
      </x:c>
      <x:c r="B8443" s="4" t="str">
        <x:v>RS-04184</x:v>
      </x:c>
      <x:c r="C8443" s="9" t="n">
        <x:v>2</x:v>
      </x:c>
      <x:c r="D8443" s="8" t="n">
        <x:v>45577</x:v>
      </x:c>
      <x:c r="E8443" s="9" t="n">
        <x:v>3662750</x:v>
      </x:c>
      <x:c r="F8443" s="9" t="n">
        <x:v>3662750</x:v>
      </x:c>
    </x:row>
    <x:row r="8444" ht="34" customHeight="1">
      <x:c r="A8444" s="4" t="str">
        <x:v>RS-04184-I3</x:v>
      </x:c>
      <x:c r="B8444" s="4" t="str">
        <x:v>RS-04184</x:v>
      </x:c>
      <x:c r="C8444" s="9" t="n">
        <x:v>3</x:v>
      </x:c>
      <x:c r="D8444" s="8" t="n">
        <x:v>45607</x:v>
      </x:c>
      <x:c r="E8444" s="9" t="n">
        <x:v>3662750</x:v>
      </x:c>
      <x:c r="F8444" s="9" t="n">
        <x:v>0</x:v>
      </x:c>
    </x:row>
    <x:row r="8445" ht="34" customHeight="1">
      <x:c r="A8445" s="4" t="str">
        <x:v>RS-04184-I4</x:v>
      </x:c>
      <x:c r="B8445" s="4" t="str">
        <x:v>RS-04184</x:v>
      </x:c>
      <x:c r="C8445" s="9" t="n">
        <x:v>4</x:v>
      </x:c>
      <x:c r="D8445" s="8" t="n">
        <x:v>45637</x:v>
      </x:c>
      <x:c r="E8445" s="9" t="n">
        <x:v>3662750</x:v>
      </x:c>
      <x:c r="F8445" s="9" t="n">
        <x:v>0</x:v>
      </x:c>
    </x:row>
    <x:row r="8446" ht="34" customHeight="1">
      <x:c r="A8446" s="4" t="str">
        <x:v>RS-04185-I1</x:v>
      </x:c>
      <x:c r="B8446" s="4" t="str">
        <x:v>RS-04185</x:v>
      </x:c>
      <x:c r="C8446" s="9" t="n">
        <x:v>1</x:v>
      </x:c>
      <x:c r="D8446" s="8" t="n">
        <x:v>45548</x:v>
      </x:c>
      <x:c r="E8446" s="9" t="n">
        <x:v>3500000</x:v>
      </x:c>
      <x:c r="F8446" s="9" t="n">
        <x:v>3500000</x:v>
      </x:c>
    </x:row>
    <x:row r="8447" ht="34" customHeight="1">
      <x:c r="A8447" s="4" t="str">
        <x:v>RS-04185-I2</x:v>
      </x:c>
      <x:c r="B8447" s="4" t="str">
        <x:v>RS-04185</x:v>
      </x:c>
      <x:c r="C8447" s="9" t="n">
        <x:v>2</x:v>
      </x:c>
      <x:c r="D8447" s="8" t="n">
        <x:v>45578</x:v>
      </x:c>
      <x:c r="E8447" s="9" t="n">
        <x:v>3500000</x:v>
      </x:c>
      <x:c r="F8447" s="9" t="n">
        <x:v>3500000</x:v>
      </x:c>
    </x:row>
    <x:row r="8448" ht="34" customHeight="1">
      <x:c r="A8448" s="4" t="str">
        <x:v>RS-04185-I3</x:v>
      </x:c>
      <x:c r="B8448" s="4" t="str">
        <x:v>RS-04185</x:v>
      </x:c>
      <x:c r="C8448" s="9" t="n">
        <x:v>3</x:v>
      </x:c>
      <x:c r="D8448" s="8" t="n">
        <x:v>45608</x:v>
      </x:c>
      <x:c r="E8448" s="9" t="n">
        <x:v>3500000</x:v>
      </x:c>
      <x:c r="F8448" s="9" t="n">
        <x:v>0</x:v>
      </x:c>
    </x:row>
    <x:row r="8449" ht="34" customHeight="1">
      <x:c r="A8449" s="4" t="str">
        <x:v>RS-04185-I4</x:v>
      </x:c>
      <x:c r="B8449" s="4" t="str">
        <x:v>RS-04185</x:v>
      </x:c>
      <x:c r="C8449" s="9" t="n">
        <x:v>4</x:v>
      </x:c>
      <x:c r="D8449" s="8" t="n">
        <x:v>45638</x:v>
      </x:c>
      <x:c r="E8449" s="9" t="n">
        <x:v>3500000</x:v>
      </x:c>
      <x:c r="F8449" s="9" t="n">
        <x:v>0</x:v>
      </x:c>
    </x:row>
    <x:row r="8450" ht="34" customHeight="1">
      <x:c r="A8450" s="4" t="str">
        <x:v>RS-04188-I1</x:v>
      </x:c>
      <x:c r="B8450" s="4" t="str">
        <x:v>RS-04188</x:v>
      </x:c>
      <x:c r="C8450" s="9" t="n">
        <x:v>1</x:v>
      </x:c>
      <x:c r="D8450" s="8" t="n">
        <x:v>45551</x:v>
      </x:c>
      <x:c r="E8450" s="9" t="n">
        <x:v>2200000</x:v>
      </x:c>
      <x:c r="F8450" s="9" t="n">
        <x:v>2200000</x:v>
      </x:c>
    </x:row>
    <x:row r="8451" ht="34" customHeight="1">
      <x:c r="A8451" s="4" t="str">
        <x:v>RS-04188-I2</x:v>
      </x:c>
      <x:c r="B8451" s="4" t="str">
        <x:v>RS-04188</x:v>
      </x:c>
      <x:c r="C8451" s="9" t="n">
        <x:v>2</x:v>
      </x:c>
      <x:c r="D8451" s="8" t="n">
        <x:v>45581</x:v>
      </x:c>
      <x:c r="E8451" s="9" t="n">
        <x:v>2200000</x:v>
      </x:c>
      <x:c r="F8451" s="9" t="n">
        <x:v>0</x:v>
      </x:c>
    </x:row>
    <x:row r="8452" ht="34" customHeight="1">
      <x:c r="A8452" s="4" t="str">
        <x:v>RS-04188-I3</x:v>
      </x:c>
      <x:c r="B8452" s="4" t="str">
        <x:v>RS-04188</x:v>
      </x:c>
      <x:c r="C8452" s="9" t="n">
        <x:v>3</x:v>
      </x:c>
      <x:c r="D8452" s="8" t="n">
        <x:v>45611</x:v>
      </x:c>
      <x:c r="E8452" s="9" t="n">
        <x:v>2200000</x:v>
      </x:c>
      <x:c r="F8452" s="9" t="n">
        <x:v>0</x:v>
      </x:c>
    </x:row>
    <x:row r="8453" ht="34" customHeight="1">
      <x:c r="A8453" s="4" t="str">
        <x:v>RS-04188-I4</x:v>
      </x:c>
      <x:c r="B8453" s="4" t="str">
        <x:v>RS-04188</x:v>
      </x:c>
      <x:c r="C8453" s="9" t="n">
        <x:v>4</x:v>
      </x:c>
      <x:c r="D8453" s="8" t="n">
        <x:v>45641</x:v>
      </x:c>
      <x:c r="E8453" s="9" t="n">
        <x:v>2200000</x:v>
      </x:c>
      <x:c r="F8453" s="9" t="n">
        <x:v>0</x:v>
      </x:c>
    </x:row>
    <x:row r="8454" ht="34" customHeight="1">
      <x:c r="A8454" s="4" t="str">
        <x:v>RS-04189-I1</x:v>
      </x:c>
      <x:c r="B8454" s="4" t="str">
        <x:v>RS-04189</x:v>
      </x:c>
      <x:c r="C8454" s="9" t="n">
        <x:v>1</x:v>
      </x:c>
      <x:c r="D8454" s="8" t="n">
        <x:v>45552</x:v>
      </x:c>
      <x:c r="E8454" s="9" t="n">
        <x:v>1880000</x:v>
      </x:c>
      <x:c r="F8454" s="9" t="n">
        <x:v>1880000</x:v>
      </x:c>
    </x:row>
    <x:row r="8455" ht="34" customHeight="1">
      <x:c r="A8455" s="4" t="str">
        <x:v>RS-04189-I2</x:v>
      </x:c>
      <x:c r="B8455" s="4" t="str">
        <x:v>RS-04189</x:v>
      </x:c>
      <x:c r="C8455" s="9" t="n">
        <x:v>2</x:v>
      </x:c>
      <x:c r="D8455" s="8" t="n">
        <x:v>45582</x:v>
      </x:c>
      <x:c r="E8455" s="9" t="n">
        <x:v>1880000</x:v>
      </x:c>
      <x:c r="F8455" s="9" t="n">
        <x:v>1880000</x:v>
      </x:c>
    </x:row>
    <x:row r="8456" ht="34" customHeight="1">
      <x:c r="A8456" s="4" t="str">
        <x:v>RS-04189-I3</x:v>
      </x:c>
      <x:c r="B8456" s="4" t="str">
        <x:v>RS-04189</x:v>
      </x:c>
      <x:c r="C8456" s="9" t="n">
        <x:v>3</x:v>
      </x:c>
      <x:c r="D8456" s="8" t="n">
        <x:v>45612</x:v>
      </x:c>
      <x:c r="E8456" s="9" t="n">
        <x:v>1880000</x:v>
      </x:c>
      <x:c r="F8456" s="9" t="n">
        <x:v>1880000</x:v>
      </x:c>
    </x:row>
    <x:row r="8457" ht="34" customHeight="1">
      <x:c r="A8457" s="4" t="str">
        <x:v>RS-04189-I4</x:v>
      </x:c>
      <x:c r="B8457" s="4" t="str">
        <x:v>RS-04189</x:v>
      </x:c>
      <x:c r="C8457" s="9" t="n">
        <x:v>4</x:v>
      </x:c>
      <x:c r="D8457" s="8" t="n">
        <x:v>45642</x:v>
      </x:c>
      <x:c r="E8457" s="9" t="n">
        <x:v>1880000</x:v>
      </x:c>
      <x:c r="F8457" s="9" t="n">
        <x:v>1880000</x:v>
      </x:c>
    </x:row>
    <x:row r="8458" ht="34" customHeight="1">
      <x:c r="A8458" s="4" t="str">
        <x:v>RS-04190-I1</x:v>
      </x:c>
      <x:c r="B8458" s="4" t="str">
        <x:v>RS-04190</x:v>
      </x:c>
      <x:c r="C8458" s="9" t="n">
        <x:v>1</x:v>
      </x:c>
      <x:c r="D8458" s="8" t="n">
        <x:v>45553</x:v>
      </x:c>
      <x:c r="E8458" s="9" t="n">
        <x:v>1185750</x:v>
      </x:c>
      <x:c r="F8458" s="9" t="n">
        <x:v>1185750</x:v>
      </x:c>
    </x:row>
    <x:row r="8459" ht="34" customHeight="1">
      <x:c r="A8459" s="4" t="str">
        <x:v>RS-04190-I2</x:v>
      </x:c>
      <x:c r="B8459" s="4" t="str">
        <x:v>RS-04190</x:v>
      </x:c>
      <x:c r="C8459" s="9" t="n">
        <x:v>2</x:v>
      </x:c>
      <x:c r="D8459" s="8" t="n">
        <x:v>45583</x:v>
      </x:c>
      <x:c r="E8459" s="9" t="n">
        <x:v>1185750</x:v>
      </x:c>
      <x:c r="F8459" s="9" t="n">
        <x:v>1185750</x:v>
      </x:c>
    </x:row>
    <x:row r="8460" ht="34" customHeight="1">
      <x:c r="A8460" s="4" t="str">
        <x:v>RS-04190-I3</x:v>
      </x:c>
      <x:c r="B8460" s="4" t="str">
        <x:v>RS-04190</x:v>
      </x:c>
      <x:c r="C8460" s="9" t="n">
        <x:v>3</x:v>
      </x:c>
      <x:c r="D8460" s="8" t="n">
        <x:v>45613</x:v>
      </x:c>
      <x:c r="E8460" s="9" t="n">
        <x:v>1185750</x:v>
      </x:c>
      <x:c r="F8460" s="9" t="n">
        <x:v>0</x:v>
      </x:c>
    </x:row>
    <x:row r="8461" ht="34" customHeight="1">
      <x:c r="A8461" s="4" t="str">
        <x:v>RS-04190-I4</x:v>
      </x:c>
      <x:c r="B8461" s="4" t="str">
        <x:v>RS-04190</x:v>
      </x:c>
      <x:c r="C8461" s="9" t="n">
        <x:v>4</x:v>
      </x:c>
      <x:c r="D8461" s="8" t="n">
        <x:v>45643</x:v>
      </x:c>
      <x:c r="E8461" s="9" t="n">
        <x:v>1185750</x:v>
      </x:c>
      <x:c r="F8461" s="9" t="n">
        <x:v>0</x:v>
      </x:c>
    </x:row>
    <x:row r="8462" ht="34" customHeight="1">
      <x:c r="A8462" s="4" t="str">
        <x:v>RS-04195-I1</x:v>
      </x:c>
      <x:c r="B8462" s="4" t="str">
        <x:v>RS-04195</x:v>
      </x:c>
      <x:c r="C8462" s="9" t="n">
        <x:v>1</x:v>
      </x:c>
      <x:c r="D8462" s="8" t="n">
        <x:v>45558</x:v>
      </x:c>
      <x:c r="E8462" s="9" t="n">
        <x:v>5704000</x:v>
      </x:c>
      <x:c r="F8462" s="9" t="n">
        <x:v>5704000</x:v>
      </x:c>
    </x:row>
    <x:row r="8463" ht="34" customHeight="1">
      <x:c r="A8463" s="4" t="str">
        <x:v>RS-04195-I2</x:v>
      </x:c>
      <x:c r="B8463" s="4" t="str">
        <x:v>RS-04195</x:v>
      </x:c>
      <x:c r="C8463" s="9" t="n">
        <x:v>2</x:v>
      </x:c>
      <x:c r="D8463" s="8" t="n">
        <x:v>45588</x:v>
      </x:c>
      <x:c r="E8463" s="9" t="n">
        <x:v>5704000</x:v>
      </x:c>
      <x:c r="F8463" s="9" t="n">
        <x:v>5704000</x:v>
      </x:c>
    </x:row>
    <x:row r="8464" ht="34" customHeight="1">
      <x:c r="A8464" s="4" t="str">
        <x:v>RS-04195-I3</x:v>
      </x:c>
      <x:c r="B8464" s="4" t="str">
        <x:v>RS-04195</x:v>
      </x:c>
      <x:c r="C8464" s="9" t="n">
        <x:v>3</x:v>
      </x:c>
      <x:c r="D8464" s="8" t="n">
        <x:v>45618</x:v>
      </x:c>
      <x:c r="E8464" s="9" t="n">
        <x:v>5704000</x:v>
      </x:c>
      <x:c r="F8464" s="9" t="n">
        <x:v>5704000</x:v>
      </x:c>
    </x:row>
    <x:row r="8465" ht="34" customHeight="1">
      <x:c r="A8465" s="4" t="str">
        <x:v>RS-04195-I4</x:v>
      </x:c>
      <x:c r="B8465" s="4" t="str">
        <x:v>RS-04195</x:v>
      </x:c>
      <x:c r="C8465" s="9" t="n">
        <x:v>4</x:v>
      </x:c>
      <x:c r="D8465" s="8" t="n">
        <x:v>45648</x:v>
      </x:c>
      <x:c r="E8465" s="9" t="n">
        <x:v>5704000</x:v>
      </x:c>
      <x:c r="F8465" s="9" t="n">
        <x:v>5704000</x:v>
      </x:c>
    </x:row>
    <x:row r="8466" ht="34" customHeight="1">
      <x:c r="A8466" s="4" t="str">
        <x:v>RS-04196-I1</x:v>
      </x:c>
      <x:c r="B8466" s="4" t="str">
        <x:v>RS-04196</x:v>
      </x:c>
      <x:c r="C8466" s="9" t="n">
        <x:v>1</x:v>
      </x:c>
      <x:c r="D8466" s="8" t="n">
        <x:v>45559</x:v>
      </x:c>
      <x:c r="E8466" s="9" t="n">
        <x:v>1702000</x:v>
      </x:c>
      <x:c r="F8466" s="9" t="n">
        <x:v>1702000</x:v>
      </x:c>
    </x:row>
    <x:row r="8467" ht="34" customHeight="1">
      <x:c r="A8467" s="4" t="str">
        <x:v>RS-04196-I2</x:v>
      </x:c>
      <x:c r="B8467" s="4" t="str">
        <x:v>RS-04196</x:v>
      </x:c>
      <x:c r="C8467" s="9" t="n">
        <x:v>2</x:v>
      </x:c>
      <x:c r="D8467" s="8" t="n">
        <x:v>45589</x:v>
      </x:c>
      <x:c r="E8467" s="9" t="n">
        <x:v>1702000</x:v>
      </x:c>
      <x:c r="F8467" s="9" t="n">
        <x:v>1702000</x:v>
      </x:c>
    </x:row>
    <x:row r="8468" ht="34" customHeight="1">
      <x:c r="A8468" s="4" t="str">
        <x:v>RS-04196-I3</x:v>
      </x:c>
      <x:c r="B8468" s="4" t="str">
        <x:v>RS-04196</x:v>
      </x:c>
      <x:c r="C8468" s="9" t="n">
        <x:v>3</x:v>
      </x:c>
      <x:c r="D8468" s="8" t="n">
        <x:v>45619</x:v>
      </x:c>
      <x:c r="E8468" s="9" t="n">
        <x:v>1702000</x:v>
      </x:c>
      <x:c r="F8468" s="9" t="n">
        <x:v>0</x:v>
      </x:c>
    </x:row>
    <x:row r="8469" ht="34" customHeight="1">
      <x:c r="A8469" s="4" t="str">
        <x:v>RS-04196-I4</x:v>
      </x:c>
      <x:c r="B8469" s="4" t="str">
        <x:v>RS-04196</x:v>
      </x:c>
      <x:c r="C8469" s="9" t="n">
        <x:v>4</x:v>
      </x:c>
      <x:c r="D8469" s="8" t="n">
        <x:v>45649</x:v>
      </x:c>
      <x:c r="E8469" s="9" t="n">
        <x:v>1702000</x:v>
      </x:c>
      <x:c r="F8469" s="9" t="n">
        <x:v>0</x:v>
      </x:c>
    </x:row>
    <x:row r="8470" ht="34" customHeight="1">
      <x:c r="A8470" s="4" t="str">
        <x:v>RS-04199-I1</x:v>
      </x:c>
      <x:c r="B8470" s="4" t="str">
        <x:v>RS-04199</x:v>
      </x:c>
      <x:c r="C8470" s="9" t="n">
        <x:v>1</x:v>
      </x:c>
      <x:c r="D8470" s="8" t="n">
        <x:v>45562</x:v>
      </x:c>
      <x:c r="E8470" s="9" t="n">
        <x:v>4994000</x:v>
      </x:c>
      <x:c r="F8470" s="9" t="n">
        <x:v>4994000</x:v>
      </x:c>
    </x:row>
    <x:row r="8471" ht="34" customHeight="1">
      <x:c r="A8471" s="4" t="str">
        <x:v>RS-04199-I2</x:v>
      </x:c>
      <x:c r="B8471" s="4" t="str">
        <x:v>RS-04199</x:v>
      </x:c>
      <x:c r="C8471" s="9" t="n">
        <x:v>2</x:v>
      </x:c>
      <x:c r="D8471" s="8" t="n">
        <x:v>45592</x:v>
      </x:c>
      <x:c r="E8471" s="9" t="n">
        <x:v>4994000</x:v>
      </x:c>
      <x:c r="F8471" s="9" t="n">
        <x:v>0</x:v>
      </x:c>
    </x:row>
    <x:row r="8472" ht="34" customHeight="1">
      <x:c r="A8472" s="4" t="str">
        <x:v>RS-04199-I3</x:v>
      </x:c>
      <x:c r="B8472" s="4" t="str">
        <x:v>RS-04199</x:v>
      </x:c>
      <x:c r="C8472" s="9" t="n">
        <x:v>3</x:v>
      </x:c>
      <x:c r="D8472" s="8" t="n">
        <x:v>45622</x:v>
      </x:c>
      <x:c r="E8472" s="9" t="n">
        <x:v>4994000</x:v>
      </x:c>
      <x:c r="F8472" s="9" t="n">
        <x:v>0</x:v>
      </x:c>
    </x:row>
    <x:row r="8473" ht="34" customHeight="1">
      <x:c r="A8473" s="4" t="str">
        <x:v>RS-04199-I4</x:v>
      </x:c>
      <x:c r="B8473" s="4" t="str">
        <x:v>RS-04199</x:v>
      </x:c>
      <x:c r="C8473" s="9" t="n">
        <x:v>4</x:v>
      </x:c>
      <x:c r="D8473" s="8" t="n">
        <x:v>45652</x:v>
      </x:c>
      <x:c r="E8473" s="9" t="n">
        <x:v>4994000</x:v>
      </x:c>
      <x:c r="F8473" s="9" t="n">
        <x:v>0</x:v>
      </x:c>
    </x:row>
    <x:row r="8474" ht="34" customHeight="1">
      <x:c r="A8474" s="4" t="str">
        <x:v>RS-04207-I1</x:v>
      </x:c>
      <x:c r="B8474" s="4" t="str">
        <x:v>RS-04207</x:v>
      </x:c>
      <x:c r="C8474" s="9" t="n">
        <x:v>1</x:v>
      </x:c>
      <x:c r="D8474" s="8" t="n">
        <x:v>45542</x:v>
      </x:c>
      <x:c r="E8474" s="9" t="n">
        <x:v>2964500</x:v>
      </x:c>
      <x:c r="F8474" s="9" t="n">
        <x:v>2964500</x:v>
      </x:c>
    </x:row>
    <x:row r="8475" ht="34" customHeight="1">
      <x:c r="A8475" s="4" t="str">
        <x:v>RS-04207-I2</x:v>
      </x:c>
      <x:c r="B8475" s="4" t="str">
        <x:v>RS-04207</x:v>
      </x:c>
      <x:c r="C8475" s="9" t="n">
        <x:v>2</x:v>
      </x:c>
      <x:c r="D8475" s="8" t="n">
        <x:v>45572</x:v>
      </x:c>
      <x:c r="E8475" s="9" t="n">
        <x:v>2964500</x:v>
      </x:c>
      <x:c r="F8475" s="9" t="n">
        <x:v>0</x:v>
      </x:c>
    </x:row>
    <x:row r="8476" ht="34" customHeight="1">
      <x:c r="A8476" s="4" t="str">
        <x:v>RS-04207-I3</x:v>
      </x:c>
      <x:c r="B8476" s="4" t="str">
        <x:v>RS-04207</x:v>
      </x:c>
      <x:c r="C8476" s="9" t="n">
        <x:v>3</x:v>
      </x:c>
      <x:c r="D8476" s="8" t="n">
        <x:v>45602</x:v>
      </x:c>
      <x:c r="E8476" s="9" t="n">
        <x:v>2964500</x:v>
      </x:c>
      <x:c r="F8476" s="9" t="n">
        <x:v>0</x:v>
      </x:c>
    </x:row>
    <x:row r="8477" ht="34" customHeight="1">
      <x:c r="A8477" s="4" t="str">
        <x:v>RS-04207-I4</x:v>
      </x:c>
      <x:c r="B8477" s="4" t="str">
        <x:v>RS-04207</x:v>
      </x:c>
      <x:c r="C8477" s="9" t="n">
        <x:v>4</x:v>
      </x:c>
      <x:c r="D8477" s="8" t="n">
        <x:v>45632</x:v>
      </x:c>
      <x:c r="E8477" s="9" t="n">
        <x:v>2964500</x:v>
      </x:c>
      <x:c r="F8477" s="9" t="n">
        <x:v>0</x:v>
      </x:c>
    </x:row>
    <x:row r="8478" ht="34" customHeight="1">
      <x:c r="A8478" s="4" t="str">
        <x:v>RS-04208-I1</x:v>
      </x:c>
      <x:c r="B8478" s="4" t="str">
        <x:v>RS-04208</x:v>
      </x:c>
      <x:c r="C8478" s="9" t="n">
        <x:v>1</x:v>
      </x:c>
      <x:c r="D8478" s="8" t="n">
        <x:v>45543</x:v>
      </x:c>
      <x:c r="E8478" s="9" t="n">
        <x:v>5771250</x:v>
      </x:c>
      <x:c r="F8478" s="9" t="n">
        <x:v>5771250</x:v>
      </x:c>
    </x:row>
    <x:row r="8479" ht="34" customHeight="1">
      <x:c r="A8479" s="4" t="str">
        <x:v>RS-04208-I2</x:v>
      </x:c>
      <x:c r="B8479" s="4" t="str">
        <x:v>RS-04208</x:v>
      </x:c>
      <x:c r="C8479" s="9" t="n">
        <x:v>2</x:v>
      </x:c>
      <x:c r="D8479" s="8" t="n">
        <x:v>45573</x:v>
      </x:c>
      <x:c r="E8479" s="9" t="n">
        <x:v>5771250</x:v>
      </x:c>
      <x:c r="F8479" s="9" t="n">
        <x:v>5771250</x:v>
      </x:c>
    </x:row>
    <x:row r="8480" ht="34" customHeight="1">
      <x:c r="A8480" s="4" t="str">
        <x:v>RS-04208-I3</x:v>
      </x:c>
      <x:c r="B8480" s="4" t="str">
        <x:v>RS-04208</x:v>
      </x:c>
      <x:c r="C8480" s="9" t="n">
        <x:v>3</x:v>
      </x:c>
      <x:c r="D8480" s="8" t="n">
        <x:v>45603</x:v>
      </x:c>
      <x:c r="E8480" s="9" t="n">
        <x:v>5771250</x:v>
      </x:c>
      <x:c r="F8480" s="9" t="n">
        <x:v>5771250</x:v>
      </x:c>
    </x:row>
    <x:row r="8481" ht="34" customHeight="1">
      <x:c r="A8481" s="4" t="str">
        <x:v>RS-04208-I4</x:v>
      </x:c>
      <x:c r="B8481" s="4" t="str">
        <x:v>RS-04208</x:v>
      </x:c>
      <x:c r="C8481" s="9" t="n">
        <x:v>4</x:v>
      </x:c>
      <x:c r="D8481" s="8" t="n">
        <x:v>45633</x:v>
      </x:c>
      <x:c r="E8481" s="9" t="n">
        <x:v>5771250</x:v>
      </x:c>
      <x:c r="F8481" s="9" t="n">
        <x:v>5771250</x:v>
      </x:c>
    </x:row>
    <x:row r="8482" ht="34" customHeight="1">
      <x:c r="A8482" s="4" t="str">
        <x:v>RS-04209-I1</x:v>
      </x:c>
      <x:c r="B8482" s="4" t="str">
        <x:v>RS-04209</x:v>
      </x:c>
      <x:c r="C8482" s="9" t="n">
        <x:v>1</x:v>
      </x:c>
      <x:c r="D8482" s="8" t="n">
        <x:v>45544</x:v>
      </x:c>
      <x:c r="E8482" s="9" t="n">
        <x:v>3960000</x:v>
      </x:c>
      <x:c r="F8482" s="9" t="n">
        <x:v>3960000</x:v>
      </x:c>
    </x:row>
    <x:row r="8483" ht="34" customHeight="1">
      <x:c r="A8483" s="4" t="str">
        <x:v>RS-04209-I2</x:v>
      </x:c>
      <x:c r="B8483" s="4" t="str">
        <x:v>RS-04209</x:v>
      </x:c>
      <x:c r="C8483" s="9" t="n">
        <x:v>2</x:v>
      </x:c>
      <x:c r="D8483" s="8" t="n">
        <x:v>45574</x:v>
      </x:c>
      <x:c r="E8483" s="9" t="n">
        <x:v>3960000</x:v>
      </x:c>
      <x:c r="F8483" s="9" t="n">
        <x:v>0</x:v>
      </x:c>
    </x:row>
    <x:row r="8484" ht="34" customHeight="1">
      <x:c r="A8484" s="4" t="str">
        <x:v>RS-04209-I3</x:v>
      </x:c>
      <x:c r="B8484" s="4" t="str">
        <x:v>RS-04209</x:v>
      </x:c>
      <x:c r="C8484" s="9" t="n">
        <x:v>3</x:v>
      </x:c>
      <x:c r="D8484" s="8" t="n">
        <x:v>45604</x:v>
      </x:c>
      <x:c r="E8484" s="9" t="n">
        <x:v>3960000</x:v>
      </x:c>
      <x:c r="F8484" s="9" t="n">
        <x:v>0</x:v>
      </x:c>
    </x:row>
    <x:row r="8485" ht="34" customHeight="1">
      <x:c r="A8485" s="4" t="str">
        <x:v>RS-04209-I4</x:v>
      </x:c>
      <x:c r="B8485" s="4" t="str">
        <x:v>RS-04209</x:v>
      </x:c>
      <x:c r="C8485" s="9" t="n">
        <x:v>4</x:v>
      </x:c>
      <x:c r="D8485" s="8" t="n">
        <x:v>45634</x:v>
      </x:c>
      <x:c r="E8485" s="9" t="n">
        <x:v>3960000</x:v>
      </x:c>
      <x:c r="F8485" s="9" t="n">
        <x:v>0</x:v>
      </x:c>
    </x:row>
    <x:row r="8486" ht="34" customHeight="1">
      <x:c r="A8486" s="4" t="str">
        <x:v>RS-04212-I1</x:v>
      </x:c>
      <x:c r="B8486" s="4" t="str">
        <x:v>RS-04212</x:v>
      </x:c>
      <x:c r="C8486" s="9" t="n">
        <x:v>1</x:v>
      </x:c>
      <x:c r="D8486" s="8" t="n">
        <x:v>45547</x:v>
      </x:c>
      <x:c r="E8486" s="9" t="n">
        <x:v>3063750</x:v>
      </x:c>
      <x:c r="F8486" s="9" t="n">
        <x:v>3063750</x:v>
      </x:c>
    </x:row>
    <x:row r="8487" ht="34" customHeight="1">
      <x:c r="A8487" s="4" t="str">
        <x:v>RS-04212-I2</x:v>
      </x:c>
      <x:c r="B8487" s="4" t="str">
        <x:v>RS-04212</x:v>
      </x:c>
      <x:c r="C8487" s="9" t="n">
        <x:v>2</x:v>
      </x:c>
      <x:c r="D8487" s="8" t="n">
        <x:v>45577</x:v>
      </x:c>
      <x:c r="E8487" s="9" t="n">
        <x:v>3063750</x:v>
      </x:c>
      <x:c r="F8487" s="9" t="n">
        <x:v>3063750</x:v>
      </x:c>
    </x:row>
    <x:row r="8488" ht="34" customHeight="1">
      <x:c r="A8488" s="4" t="str">
        <x:v>RS-04212-I3</x:v>
      </x:c>
      <x:c r="B8488" s="4" t="str">
        <x:v>RS-04212</x:v>
      </x:c>
      <x:c r="C8488" s="9" t="n">
        <x:v>3</x:v>
      </x:c>
      <x:c r="D8488" s="8" t="n">
        <x:v>45607</x:v>
      </x:c>
      <x:c r="E8488" s="9" t="n">
        <x:v>3063750</x:v>
      </x:c>
      <x:c r="F8488" s="9" t="n">
        <x:v>0</x:v>
      </x:c>
    </x:row>
    <x:row r="8489" ht="34" customHeight="1">
      <x:c r="A8489" s="4" t="str">
        <x:v>RS-04212-I4</x:v>
      </x:c>
      <x:c r="B8489" s="4" t="str">
        <x:v>RS-04212</x:v>
      </x:c>
      <x:c r="C8489" s="9" t="n">
        <x:v>4</x:v>
      </x:c>
      <x:c r="D8489" s="8" t="n">
        <x:v>45637</x:v>
      </x:c>
      <x:c r="E8489" s="9" t="n">
        <x:v>3063750</x:v>
      </x:c>
      <x:c r="F8489" s="9" t="n">
        <x:v>0</x:v>
      </x:c>
    </x:row>
    <x:row r="8490" ht="34" customHeight="1">
      <x:c r="A8490" s="4" t="str">
        <x:v>RS-04217-I1</x:v>
      </x:c>
      <x:c r="B8490" s="4" t="str">
        <x:v>RS-04217</x:v>
      </x:c>
      <x:c r="C8490" s="9" t="n">
        <x:v>1</x:v>
      </x:c>
      <x:c r="D8490" s="8" t="n">
        <x:v>45552</x:v>
      </x:c>
      <x:c r="E8490" s="9" t="n">
        <x:v>5152000</x:v>
      </x:c>
      <x:c r="F8490" s="9" t="n">
        <x:v>5152000</x:v>
      </x:c>
    </x:row>
    <x:row r="8491" ht="34" customHeight="1">
      <x:c r="A8491" s="4" t="str">
        <x:v>RS-04217-I2</x:v>
      </x:c>
      <x:c r="B8491" s="4" t="str">
        <x:v>RS-04217</x:v>
      </x:c>
      <x:c r="C8491" s="9" t="n">
        <x:v>2</x:v>
      </x:c>
      <x:c r="D8491" s="8" t="n">
        <x:v>45582</x:v>
      </x:c>
      <x:c r="E8491" s="9" t="n">
        <x:v>5152000</x:v>
      </x:c>
      <x:c r="F8491" s="9" t="n">
        <x:v>0</x:v>
      </x:c>
    </x:row>
    <x:row r="8492" ht="34" customHeight="1">
      <x:c r="A8492" s="4" t="str">
        <x:v>RS-04217-I3</x:v>
      </x:c>
      <x:c r="B8492" s="4" t="str">
        <x:v>RS-04217</x:v>
      </x:c>
      <x:c r="C8492" s="9" t="n">
        <x:v>3</x:v>
      </x:c>
      <x:c r="D8492" s="8" t="n">
        <x:v>45612</x:v>
      </x:c>
      <x:c r="E8492" s="9" t="n">
        <x:v>5152000</x:v>
      </x:c>
      <x:c r="F8492" s="9" t="n">
        <x:v>0</x:v>
      </x:c>
    </x:row>
    <x:row r="8493" ht="34" customHeight="1">
      <x:c r="A8493" s="4" t="str">
        <x:v>RS-04217-I4</x:v>
      </x:c>
      <x:c r="B8493" s="4" t="str">
        <x:v>RS-04217</x:v>
      </x:c>
      <x:c r="C8493" s="9" t="n">
        <x:v>4</x:v>
      </x:c>
      <x:c r="D8493" s="8" t="n">
        <x:v>45642</x:v>
      </x:c>
      <x:c r="E8493" s="9" t="n">
        <x:v>5152000</x:v>
      </x:c>
      <x:c r="F8493" s="9" t="n">
        <x:v>0</x:v>
      </x:c>
    </x:row>
    <x:row r="8494" ht="34" customHeight="1">
      <x:c r="A8494" s="4" t="str">
        <x:v>RS-04218-I1</x:v>
      </x:c>
      <x:c r="B8494" s="4" t="str">
        <x:v>RS-04218</x:v>
      </x:c>
      <x:c r="C8494" s="9" t="n">
        <x:v>1</x:v>
      </x:c>
      <x:c r="D8494" s="8" t="n">
        <x:v>45553</x:v>
      </x:c>
      <x:c r="E8494" s="9" t="n">
        <x:v>5340000</x:v>
      </x:c>
      <x:c r="F8494" s="9" t="n">
        <x:v>5340000</x:v>
      </x:c>
    </x:row>
    <x:row r="8495" ht="34" customHeight="1">
      <x:c r="A8495" s="4" t="str">
        <x:v>RS-04218-I2</x:v>
      </x:c>
      <x:c r="B8495" s="4" t="str">
        <x:v>RS-04218</x:v>
      </x:c>
      <x:c r="C8495" s="9" t="n">
        <x:v>2</x:v>
      </x:c>
      <x:c r="D8495" s="8" t="n">
        <x:v>45583</x:v>
      </x:c>
      <x:c r="E8495" s="9" t="n">
        <x:v>5340000</x:v>
      </x:c>
      <x:c r="F8495" s="9" t="n">
        <x:v>5340000</x:v>
      </x:c>
    </x:row>
    <x:row r="8496" ht="34" customHeight="1">
      <x:c r="A8496" s="4" t="str">
        <x:v>RS-04218-I3</x:v>
      </x:c>
      <x:c r="B8496" s="4" t="str">
        <x:v>RS-04218</x:v>
      </x:c>
      <x:c r="C8496" s="9" t="n">
        <x:v>3</x:v>
      </x:c>
      <x:c r="D8496" s="8" t="n">
        <x:v>45613</x:v>
      </x:c>
      <x:c r="E8496" s="9" t="n">
        <x:v>5340000</x:v>
      </x:c>
      <x:c r="F8496" s="9" t="n">
        <x:v>5340000</x:v>
      </x:c>
    </x:row>
    <x:row r="8497" ht="34" customHeight="1">
      <x:c r="A8497" s="4" t="str">
        <x:v>RS-04218-I4</x:v>
      </x:c>
      <x:c r="B8497" s="4" t="str">
        <x:v>RS-04218</x:v>
      </x:c>
      <x:c r="C8497" s="9" t="n">
        <x:v>4</x:v>
      </x:c>
      <x:c r="D8497" s="8" t="n">
        <x:v>45643</x:v>
      </x:c>
      <x:c r="E8497" s="9" t="n">
        <x:v>5340000</x:v>
      </x:c>
      <x:c r="F8497" s="9" t="n">
        <x:v>5340000</x:v>
      </x:c>
    </x:row>
    <x:row r="8498" ht="34" customHeight="1">
      <x:c r="A8498" s="4" t="str">
        <x:v>RS-04219-I1</x:v>
      </x:c>
      <x:c r="B8498" s="4" t="str">
        <x:v>RS-04219</x:v>
      </x:c>
      <x:c r="C8498" s="9" t="n">
        <x:v>1</x:v>
      </x:c>
      <x:c r="D8498" s="8" t="n">
        <x:v>45554</x:v>
      </x:c>
      <x:c r="E8498" s="9" t="n">
        <x:v>1541000</x:v>
      </x:c>
      <x:c r="F8498" s="9" t="n">
        <x:v>1541000</x:v>
      </x:c>
    </x:row>
    <x:row r="8499" ht="34" customHeight="1">
      <x:c r="A8499" s="4" t="str">
        <x:v>RS-04219-I2</x:v>
      </x:c>
      <x:c r="B8499" s="4" t="str">
        <x:v>RS-04219</x:v>
      </x:c>
      <x:c r="C8499" s="9" t="n">
        <x:v>2</x:v>
      </x:c>
      <x:c r="D8499" s="8" t="n">
        <x:v>45584</x:v>
      </x:c>
      <x:c r="E8499" s="9" t="n">
        <x:v>1541000</x:v>
      </x:c>
      <x:c r="F8499" s="9" t="n">
        <x:v>0</x:v>
      </x:c>
    </x:row>
    <x:row r="8500" ht="34" customHeight="1">
      <x:c r="A8500" s="4" t="str">
        <x:v>RS-04219-I3</x:v>
      </x:c>
      <x:c r="B8500" s="4" t="str">
        <x:v>RS-04219</x:v>
      </x:c>
      <x:c r="C8500" s="9" t="n">
        <x:v>3</x:v>
      </x:c>
      <x:c r="D8500" s="8" t="n">
        <x:v>45614</x:v>
      </x:c>
      <x:c r="E8500" s="9" t="n">
        <x:v>1541000</x:v>
      </x:c>
      <x:c r="F8500" s="9" t="n">
        <x:v>0</x:v>
      </x:c>
    </x:row>
    <x:row r="8501" ht="34" customHeight="1">
      <x:c r="A8501" s="4" t="str">
        <x:v>RS-04219-I4</x:v>
      </x:c>
      <x:c r="B8501" s="4" t="str">
        <x:v>RS-04219</x:v>
      </x:c>
      <x:c r="C8501" s="9" t="n">
        <x:v>4</x:v>
      </x:c>
      <x:c r="D8501" s="8" t="n">
        <x:v>45644</x:v>
      </x:c>
      <x:c r="E8501" s="9" t="n">
        <x:v>1541000</x:v>
      </x:c>
      <x:c r="F8501" s="9" t="n">
        <x:v>0</x:v>
      </x:c>
    </x:row>
    <x:row r="8502" ht="34" customHeight="1">
      <x:c r="A8502" s="4" t="str">
        <x:v>RS-04220-I1</x:v>
      </x:c>
      <x:c r="B8502" s="4" t="str">
        <x:v>RS-04220</x:v>
      </x:c>
      <x:c r="C8502" s="9" t="n">
        <x:v>1</x:v>
      </x:c>
      <x:c r="D8502" s="8" t="n">
        <x:v>45555</x:v>
      </x:c>
      <x:c r="E8502" s="9" t="n">
        <x:v>4472250</x:v>
      </x:c>
      <x:c r="F8502" s="9" t="n">
        <x:v>4472250</x:v>
      </x:c>
    </x:row>
    <x:row r="8503" ht="34" customHeight="1">
      <x:c r="A8503" s="4" t="str">
        <x:v>RS-04220-I2</x:v>
      </x:c>
      <x:c r="B8503" s="4" t="str">
        <x:v>RS-04220</x:v>
      </x:c>
      <x:c r="C8503" s="9" t="n">
        <x:v>2</x:v>
      </x:c>
      <x:c r="D8503" s="8" t="n">
        <x:v>45585</x:v>
      </x:c>
      <x:c r="E8503" s="9" t="n">
        <x:v>4472250</x:v>
      </x:c>
      <x:c r="F8503" s="9" t="n">
        <x:v>0</x:v>
      </x:c>
    </x:row>
    <x:row r="8504" ht="34" customHeight="1">
      <x:c r="A8504" s="4" t="str">
        <x:v>RS-04220-I3</x:v>
      </x:c>
      <x:c r="B8504" s="4" t="str">
        <x:v>RS-04220</x:v>
      </x:c>
      <x:c r="C8504" s="9" t="n">
        <x:v>3</x:v>
      </x:c>
      <x:c r="D8504" s="8" t="n">
        <x:v>45615</x:v>
      </x:c>
      <x:c r="E8504" s="9" t="n">
        <x:v>4472250</x:v>
      </x:c>
      <x:c r="F8504" s="9" t="n">
        <x:v>0</x:v>
      </x:c>
    </x:row>
    <x:row r="8505" ht="34" customHeight="1">
      <x:c r="A8505" s="4" t="str">
        <x:v>RS-04220-I4</x:v>
      </x:c>
      <x:c r="B8505" s="4" t="str">
        <x:v>RS-04220</x:v>
      </x:c>
      <x:c r="C8505" s="9" t="n">
        <x:v>4</x:v>
      </x:c>
      <x:c r="D8505" s="8" t="n">
        <x:v>45645</x:v>
      </x:c>
      <x:c r="E8505" s="9" t="n">
        <x:v>4472250</x:v>
      </x:c>
      <x:c r="F8505" s="9" t="n">
        <x:v>0</x:v>
      </x:c>
    </x:row>
    <x:row r="8506" ht="34" customHeight="1">
      <x:c r="A8506" s="4" t="str">
        <x:v>RS-04221-I1</x:v>
      </x:c>
      <x:c r="B8506" s="4" t="str">
        <x:v>RS-04221</x:v>
      </x:c>
      <x:c r="C8506" s="9" t="n">
        <x:v>1</x:v>
      </x:c>
      <x:c r="D8506" s="8" t="n">
        <x:v>45556</x:v>
      </x:c>
      <x:c r="E8506" s="9" t="n">
        <x:v>2745000</x:v>
      </x:c>
      <x:c r="F8506" s="9" t="n">
        <x:v>1098000</x:v>
      </x:c>
    </x:row>
    <x:row r="8507" ht="34" customHeight="1">
      <x:c r="A8507" s="4" t="str">
        <x:v>RS-04221-I2</x:v>
      </x:c>
      <x:c r="B8507" s="4" t="str">
        <x:v>RS-04221</x:v>
      </x:c>
      <x:c r="C8507" s="9" t="n">
        <x:v>2</x:v>
      </x:c>
      <x:c r="D8507" s="8" t="n">
        <x:v>45586</x:v>
      </x:c>
      <x:c r="E8507" s="9" t="n">
        <x:v>2745000</x:v>
      </x:c>
      <x:c r="F8507" s="9" t="n">
        <x:v>0</x:v>
      </x:c>
    </x:row>
    <x:row r="8508" ht="34" customHeight="1">
      <x:c r="A8508" s="4" t="str">
        <x:v>RS-04221-I3</x:v>
      </x:c>
      <x:c r="B8508" s="4" t="str">
        <x:v>RS-04221</x:v>
      </x:c>
      <x:c r="C8508" s="9" t="n">
        <x:v>3</x:v>
      </x:c>
      <x:c r="D8508" s="8" t="n">
        <x:v>45616</x:v>
      </x:c>
      <x:c r="E8508" s="9" t="n">
        <x:v>2745000</x:v>
      </x:c>
      <x:c r="F8508" s="9" t="n">
        <x:v>0</x:v>
      </x:c>
    </x:row>
    <x:row r="8509" ht="34" customHeight="1">
      <x:c r="A8509" s="4" t="str">
        <x:v>RS-04221-I4</x:v>
      </x:c>
      <x:c r="B8509" s="4" t="str">
        <x:v>RS-04221</x:v>
      </x:c>
      <x:c r="C8509" s="9" t="n">
        <x:v>4</x:v>
      </x:c>
      <x:c r="D8509" s="8" t="n">
        <x:v>45646</x:v>
      </x:c>
      <x:c r="E8509" s="9" t="n">
        <x:v>2745000</x:v>
      </x:c>
      <x:c r="F8509" s="9" t="n">
        <x:v>0</x:v>
      </x:c>
    </x:row>
    <x:row r="8510" ht="34" customHeight="1">
      <x:c r="A8510" s="4" t="str">
        <x:v>RS-04222-I1</x:v>
      </x:c>
      <x:c r="B8510" s="4" t="str">
        <x:v>RS-04222</x:v>
      </x:c>
      <x:c r="C8510" s="9" t="n">
        <x:v>1</x:v>
      </x:c>
      <x:c r="D8510" s="8" t="n">
        <x:v>45557</x:v>
      </x:c>
      <x:c r="E8510" s="9" t="n">
        <x:v>3249500</x:v>
      </x:c>
      <x:c r="F8510" s="9" t="n">
        <x:v>1299800</x:v>
      </x:c>
    </x:row>
    <x:row r="8511" ht="34" customHeight="1">
      <x:c r="A8511" s="4" t="str">
        <x:v>RS-04222-I2</x:v>
      </x:c>
      <x:c r="B8511" s="4" t="str">
        <x:v>RS-04222</x:v>
      </x:c>
      <x:c r="C8511" s="9" t="n">
        <x:v>2</x:v>
      </x:c>
      <x:c r="D8511" s="8" t="n">
        <x:v>45587</x:v>
      </x:c>
      <x:c r="E8511" s="9" t="n">
        <x:v>3249500</x:v>
      </x:c>
      <x:c r="F8511" s="9" t="n">
        <x:v>0</x:v>
      </x:c>
    </x:row>
    <x:row r="8512" ht="34" customHeight="1">
      <x:c r="A8512" s="4" t="str">
        <x:v>RS-04222-I3</x:v>
      </x:c>
      <x:c r="B8512" s="4" t="str">
        <x:v>RS-04222</x:v>
      </x:c>
      <x:c r="C8512" s="9" t="n">
        <x:v>3</x:v>
      </x:c>
      <x:c r="D8512" s="8" t="n">
        <x:v>45617</x:v>
      </x:c>
      <x:c r="E8512" s="9" t="n">
        <x:v>3249500</x:v>
      </x:c>
      <x:c r="F8512" s="9" t="n">
        <x:v>0</x:v>
      </x:c>
    </x:row>
    <x:row r="8513" ht="34" customHeight="1">
      <x:c r="A8513" s="4" t="str">
        <x:v>RS-04222-I4</x:v>
      </x:c>
      <x:c r="B8513" s="4" t="str">
        <x:v>RS-04222</x:v>
      </x:c>
      <x:c r="C8513" s="9" t="n">
        <x:v>4</x:v>
      </x:c>
      <x:c r="D8513" s="8" t="n">
        <x:v>45647</x:v>
      </x:c>
      <x:c r="E8513" s="9" t="n">
        <x:v>3249500</x:v>
      </x:c>
      <x:c r="F8513" s="9" t="n">
        <x:v>0</x:v>
      </x:c>
    </x:row>
    <x:row r="8514" ht="34" customHeight="1">
      <x:c r="A8514" s="4" t="str">
        <x:v>RS-04224-I1</x:v>
      </x:c>
      <x:c r="B8514" s="4" t="str">
        <x:v>RS-04224</x:v>
      </x:c>
      <x:c r="C8514" s="9" t="n">
        <x:v>1</x:v>
      </x:c>
      <x:c r="D8514" s="8" t="n">
        <x:v>45559</x:v>
      </x:c>
      <x:c r="E8514" s="9" t="n">
        <x:v>2627250</x:v>
      </x:c>
      <x:c r="F8514" s="9" t="n">
        <x:v>2627250</x:v>
      </x:c>
    </x:row>
    <x:row r="8515" ht="34" customHeight="1">
      <x:c r="A8515" s="4" t="str">
        <x:v>RS-04224-I2</x:v>
      </x:c>
      <x:c r="B8515" s="4" t="str">
        <x:v>RS-04224</x:v>
      </x:c>
      <x:c r="C8515" s="9" t="n">
        <x:v>2</x:v>
      </x:c>
      <x:c r="D8515" s="8" t="n">
        <x:v>45589</x:v>
      </x:c>
      <x:c r="E8515" s="9" t="n">
        <x:v>2627250</x:v>
      </x:c>
      <x:c r="F8515" s="9" t="n">
        <x:v>2627250</x:v>
      </x:c>
    </x:row>
    <x:row r="8516" ht="34" customHeight="1">
      <x:c r="A8516" s="4" t="str">
        <x:v>RS-04224-I3</x:v>
      </x:c>
      <x:c r="B8516" s="4" t="str">
        <x:v>RS-04224</x:v>
      </x:c>
      <x:c r="C8516" s="9" t="n">
        <x:v>3</x:v>
      </x:c>
      <x:c r="D8516" s="8" t="n">
        <x:v>45619</x:v>
      </x:c>
      <x:c r="E8516" s="9" t="n">
        <x:v>2627250</x:v>
      </x:c>
      <x:c r="F8516" s="9" t="n">
        <x:v>0</x:v>
      </x:c>
    </x:row>
    <x:row r="8517" ht="34" customHeight="1">
      <x:c r="A8517" s="4" t="str">
        <x:v>RS-04224-I4</x:v>
      </x:c>
      <x:c r="B8517" s="4" t="str">
        <x:v>RS-04224</x:v>
      </x:c>
      <x:c r="C8517" s="9" t="n">
        <x:v>4</x:v>
      </x:c>
      <x:c r="D8517" s="8" t="n">
        <x:v>45649</x:v>
      </x:c>
      <x:c r="E8517" s="9" t="n">
        <x:v>2627250</x:v>
      </x:c>
      <x:c r="F8517" s="9" t="n">
        <x:v>0</x:v>
      </x:c>
    </x:row>
    <x:row r="8518" ht="34" customHeight="1">
      <x:c r="A8518" s="4" t="str">
        <x:v>RS-04226-I1</x:v>
      </x:c>
      <x:c r="B8518" s="4" t="str">
        <x:v>RS-04226</x:v>
      </x:c>
      <x:c r="C8518" s="9" t="n">
        <x:v>1</x:v>
      </x:c>
      <x:c r="D8518" s="8" t="n">
        <x:v>45561</x:v>
      </x:c>
      <x:c r="E8518" s="9" t="n">
        <x:v>3069000</x:v>
      </x:c>
      <x:c r="F8518" s="9" t="n">
        <x:v>3069000</x:v>
      </x:c>
    </x:row>
    <x:row r="8519" ht="34" customHeight="1">
      <x:c r="A8519" s="4" t="str">
        <x:v>RS-04226-I2</x:v>
      </x:c>
      <x:c r="B8519" s="4" t="str">
        <x:v>RS-04226</x:v>
      </x:c>
      <x:c r="C8519" s="9" t="n">
        <x:v>2</x:v>
      </x:c>
      <x:c r="D8519" s="8" t="n">
        <x:v>45591</x:v>
      </x:c>
      <x:c r="E8519" s="9" t="n">
        <x:v>3069000</x:v>
      </x:c>
      <x:c r="F8519" s="9" t="n">
        <x:v>3069000</x:v>
      </x:c>
    </x:row>
    <x:row r="8520" ht="34" customHeight="1">
      <x:c r="A8520" s="4" t="str">
        <x:v>RS-04226-I3</x:v>
      </x:c>
      <x:c r="B8520" s="4" t="str">
        <x:v>RS-04226</x:v>
      </x:c>
      <x:c r="C8520" s="9" t="n">
        <x:v>3</x:v>
      </x:c>
      <x:c r="D8520" s="8" t="n">
        <x:v>45621</x:v>
      </x:c>
      <x:c r="E8520" s="9" t="n">
        <x:v>3069000</x:v>
      </x:c>
      <x:c r="F8520" s="9" t="n">
        <x:v>0</x:v>
      </x:c>
    </x:row>
    <x:row r="8521" ht="34" customHeight="1">
      <x:c r="A8521" s="4" t="str">
        <x:v>RS-04226-I4</x:v>
      </x:c>
      <x:c r="B8521" s="4" t="str">
        <x:v>RS-04226</x:v>
      </x:c>
      <x:c r="C8521" s="9" t="n">
        <x:v>4</x:v>
      </x:c>
      <x:c r="D8521" s="8" t="n">
        <x:v>45651</x:v>
      </x:c>
      <x:c r="E8521" s="9" t="n">
        <x:v>3069000</x:v>
      </x:c>
      <x:c r="F8521" s="9" t="n">
        <x:v>0</x:v>
      </x:c>
    </x:row>
    <x:row r="8522" ht="34" customHeight="1">
      <x:c r="A8522" s="4" t="str">
        <x:v>RS-04229-I1</x:v>
      </x:c>
      <x:c r="B8522" s="4" t="str">
        <x:v>RS-04229</x:v>
      </x:c>
      <x:c r="C8522" s="9" t="n">
        <x:v>1</x:v>
      </x:c>
      <x:c r="D8522" s="8" t="n">
        <x:v>45536</x:v>
      </x:c>
      <x:c r="E8522" s="9" t="n">
        <x:v>1029000</x:v>
      </x:c>
      <x:c r="F8522" s="9" t="n">
        <x:v>1029000</x:v>
      </x:c>
    </x:row>
    <x:row r="8523" ht="34" customHeight="1">
      <x:c r="A8523" s="4" t="str">
        <x:v>RS-04229-I2</x:v>
      </x:c>
      <x:c r="B8523" s="4" t="str">
        <x:v>RS-04229</x:v>
      </x:c>
      <x:c r="C8523" s="9" t="n">
        <x:v>2</x:v>
      </x:c>
      <x:c r="D8523" s="8" t="n">
        <x:v>45566</x:v>
      </x:c>
      <x:c r="E8523" s="9" t="n">
        <x:v>1029000</x:v>
      </x:c>
      <x:c r="F8523" s="9" t="n">
        <x:v>1029000</x:v>
      </x:c>
    </x:row>
    <x:row r="8524" ht="34" customHeight="1">
      <x:c r="A8524" s="4" t="str">
        <x:v>RS-04229-I3</x:v>
      </x:c>
      <x:c r="B8524" s="4" t="str">
        <x:v>RS-04229</x:v>
      </x:c>
      <x:c r="C8524" s="9" t="n">
        <x:v>3</x:v>
      </x:c>
      <x:c r="D8524" s="8" t="n">
        <x:v>45596</x:v>
      </x:c>
      <x:c r="E8524" s="9" t="n">
        <x:v>1029000</x:v>
      </x:c>
      <x:c r="F8524" s="9" t="n">
        <x:v>1029000</x:v>
      </x:c>
    </x:row>
    <x:row r="8525" ht="34" customHeight="1">
      <x:c r="A8525" s="4" t="str">
        <x:v>RS-04229-I4</x:v>
      </x:c>
      <x:c r="B8525" s="4" t="str">
        <x:v>RS-04229</x:v>
      </x:c>
      <x:c r="C8525" s="9" t="n">
        <x:v>4</x:v>
      </x:c>
      <x:c r="D8525" s="8" t="n">
        <x:v>45626</x:v>
      </x:c>
      <x:c r="E8525" s="9" t="n">
        <x:v>1029000</x:v>
      </x:c>
      <x:c r="F8525" s="9" t="n">
        <x:v>1029000</x:v>
      </x:c>
    </x:row>
    <x:row r="8526" ht="34" customHeight="1">
      <x:c r="A8526" s="4" t="str">
        <x:v>RS-04232-I1</x:v>
      </x:c>
      <x:c r="B8526" s="4" t="str">
        <x:v>RS-04232</x:v>
      </x:c>
      <x:c r="C8526" s="9" t="n">
        <x:v>1</x:v>
      </x:c>
      <x:c r="D8526" s="8" t="n">
        <x:v>45539</x:v>
      </x:c>
      <x:c r="E8526" s="9" t="n">
        <x:v>3671250</x:v>
      </x:c>
      <x:c r="F8526" s="9" t="n">
        <x:v>3671250</x:v>
      </x:c>
    </x:row>
    <x:row r="8527" ht="34" customHeight="1">
      <x:c r="A8527" s="4" t="str">
        <x:v>RS-04232-I2</x:v>
      </x:c>
      <x:c r="B8527" s="4" t="str">
        <x:v>RS-04232</x:v>
      </x:c>
      <x:c r="C8527" s="9" t="n">
        <x:v>2</x:v>
      </x:c>
      <x:c r="D8527" s="8" t="n">
        <x:v>45569</x:v>
      </x:c>
      <x:c r="E8527" s="9" t="n">
        <x:v>3671250</x:v>
      </x:c>
      <x:c r="F8527" s="9" t="n">
        <x:v>3671250</x:v>
      </x:c>
    </x:row>
    <x:row r="8528" ht="34" customHeight="1">
      <x:c r="A8528" s="4" t="str">
        <x:v>RS-04232-I3</x:v>
      </x:c>
      <x:c r="B8528" s="4" t="str">
        <x:v>RS-04232</x:v>
      </x:c>
      <x:c r="C8528" s="9" t="n">
        <x:v>3</x:v>
      </x:c>
      <x:c r="D8528" s="8" t="n">
        <x:v>45599</x:v>
      </x:c>
      <x:c r="E8528" s="9" t="n">
        <x:v>3671250</x:v>
      </x:c>
      <x:c r="F8528" s="9" t="n">
        <x:v>3671250</x:v>
      </x:c>
    </x:row>
    <x:row r="8529" ht="34" customHeight="1">
      <x:c r="A8529" s="4" t="str">
        <x:v>RS-04232-I4</x:v>
      </x:c>
      <x:c r="B8529" s="4" t="str">
        <x:v>RS-04232</x:v>
      </x:c>
      <x:c r="C8529" s="9" t="n">
        <x:v>4</x:v>
      </x:c>
      <x:c r="D8529" s="8" t="n">
        <x:v>45629</x:v>
      </x:c>
      <x:c r="E8529" s="9" t="n">
        <x:v>3671250</x:v>
      </x:c>
      <x:c r="F8529" s="9" t="n">
        <x:v>3671250</x:v>
      </x:c>
    </x:row>
    <x:row r="8530" ht="34" customHeight="1">
      <x:c r="A8530" s="4" t="str">
        <x:v>RS-04234-I1</x:v>
      </x:c>
      <x:c r="B8530" s="4" t="str">
        <x:v>RS-04234</x:v>
      </x:c>
      <x:c r="C8530" s="9" t="n">
        <x:v>1</x:v>
      </x:c>
      <x:c r="D8530" s="8" t="n">
        <x:v>45541</x:v>
      </x:c>
      <x:c r="E8530" s="9" t="n">
        <x:v>3266500</x:v>
      </x:c>
      <x:c r="F8530" s="9" t="n">
        <x:v>1306600</x:v>
      </x:c>
    </x:row>
    <x:row r="8531" ht="34" customHeight="1">
      <x:c r="A8531" s="4" t="str">
        <x:v>RS-04234-I2</x:v>
      </x:c>
      <x:c r="B8531" s="4" t="str">
        <x:v>RS-04234</x:v>
      </x:c>
      <x:c r="C8531" s="9" t="n">
        <x:v>2</x:v>
      </x:c>
      <x:c r="D8531" s="8" t="n">
        <x:v>45571</x:v>
      </x:c>
      <x:c r="E8531" s="9" t="n">
        <x:v>3266500</x:v>
      </x:c>
      <x:c r="F8531" s="9" t="n">
        <x:v>0</x:v>
      </x:c>
    </x:row>
    <x:row r="8532" ht="34" customHeight="1">
      <x:c r="A8532" s="4" t="str">
        <x:v>RS-04234-I3</x:v>
      </x:c>
      <x:c r="B8532" s="4" t="str">
        <x:v>RS-04234</x:v>
      </x:c>
      <x:c r="C8532" s="9" t="n">
        <x:v>3</x:v>
      </x:c>
      <x:c r="D8532" s="8" t="n">
        <x:v>45601</x:v>
      </x:c>
      <x:c r="E8532" s="9" t="n">
        <x:v>3266500</x:v>
      </x:c>
      <x:c r="F8532" s="9" t="n">
        <x:v>0</x:v>
      </x:c>
    </x:row>
    <x:row r="8533" ht="34" customHeight="1">
      <x:c r="A8533" s="4" t="str">
        <x:v>RS-04234-I4</x:v>
      </x:c>
      <x:c r="B8533" s="4" t="str">
        <x:v>RS-04234</x:v>
      </x:c>
      <x:c r="C8533" s="9" t="n">
        <x:v>4</x:v>
      </x:c>
      <x:c r="D8533" s="8" t="n">
        <x:v>45631</x:v>
      </x:c>
      <x:c r="E8533" s="9" t="n">
        <x:v>3266500</x:v>
      </x:c>
      <x:c r="F8533" s="9" t="n">
        <x:v>0</x:v>
      </x:c>
    </x:row>
    <x:row r="8534" ht="34" customHeight="1">
      <x:c r="A8534" s="4" t="str">
        <x:v>RS-04235-I1</x:v>
      </x:c>
      <x:c r="B8534" s="4" t="str">
        <x:v>RS-04235</x:v>
      </x:c>
      <x:c r="C8534" s="9" t="n">
        <x:v>1</x:v>
      </x:c>
      <x:c r="D8534" s="8" t="n">
        <x:v>45542</x:v>
      </x:c>
      <x:c r="E8534" s="9" t="n">
        <x:v>2229500</x:v>
      </x:c>
      <x:c r="F8534" s="9" t="n">
        <x:v>2229500</x:v>
      </x:c>
    </x:row>
    <x:row r="8535" ht="34" customHeight="1">
      <x:c r="A8535" s="4" t="str">
        <x:v>RS-04235-I2</x:v>
      </x:c>
      <x:c r="B8535" s="4" t="str">
        <x:v>RS-04235</x:v>
      </x:c>
      <x:c r="C8535" s="9" t="n">
        <x:v>2</x:v>
      </x:c>
      <x:c r="D8535" s="8" t="n">
        <x:v>45572</x:v>
      </x:c>
      <x:c r="E8535" s="9" t="n">
        <x:v>2229500</x:v>
      </x:c>
      <x:c r="F8535" s="9" t="n">
        <x:v>2229500</x:v>
      </x:c>
    </x:row>
    <x:row r="8536" ht="34" customHeight="1">
      <x:c r="A8536" s="4" t="str">
        <x:v>RS-04235-I3</x:v>
      </x:c>
      <x:c r="B8536" s="4" t="str">
        <x:v>RS-04235</x:v>
      </x:c>
      <x:c r="C8536" s="9" t="n">
        <x:v>3</x:v>
      </x:c>
      <x:c r="D8536" s="8" t="n">
        <x:v>45602</x:v>
      </x:c>
      <x:c r="E8536" s="9" t="n">
        <x:v>2229500</x:v>
      </x:c>
      <x:c r="F8536" s="9" t="n">
        <x:v>2229500</x:v>
      </x:c>
    </x:row>
    <x:row r="8537" ht="34" customHeight="1">
      <x:c r="A8537" s="4" t="str">
        <x:v>RS-04235-I4</x:v>
      </x:c>
      <x:c r="B8537" s="4" t="str">
        <x:v>RS-04235</x:v>
      </x:c>
      <x:c r="C8537" s="9" t="n">
        <x:v>4</x:v>
      </x:c>
      <x:c r="D8537" s="8" t="n">
        <x:v>45632</x:v>
      </x:c>
      <x:c r="E8537" s="9" t="n">
        <x:v>2229500</x:v>
      </x:c>
      <x:c r="F8537" s="9" t="n">
        <x:v>2229500</x:v>
      </x:c>
    </x:row>
    <x:row r="8538" ht="34" customHeight="1">
      <x:c r="A8538" s="4" t="str">
        <x:v>RS-04236-I1</x:v>
      </x:c>
      <x:c r="B8538" s="4" t="str">
        <x:v>RS-04236</x:v>
      </x:c>
      <x:c r="C8538" s="9" t="n">
        <x:v>1</x:v>
      </x:c>
      <x:c r="D8538" s="8" t="n">
        <x:v>45543</x:v>
      </x:c>
      <x:c r="E8538" s="9" t="n">
        <x:v>2700000</x:v>
      </x:c>
      <x:c r="F8538" s="9" t="n">
        <x:v>2700000</x:v>
      </x:c>
    </x:row>
    <x:row r="8539" ht="34" customHeight="1">
      <x:c r="A8539" s="4" t="str">
        <x:v>RS-04236-I2</x:v>
      </x:c>
      <x:c r="B8539" s="4" t="str">
        <x:v>RS-04236</x:v>
      </x:c>
      <x:c r="C8539" s="9" t="n">
        <x:v>2</x:v>
      </x:c>
      <x:c r="D8539" s="8" t="n">
        <x:v>45573</x:v>
      </x:c>
      <x:c r="E8539" s="9" t="n">
        <x:v>2700000</x:v>
      </x:c>
      <x:c r="F8539" s="9" t="n">
        <x:v>0</x:v>
      </x:c>
    </x:row>
    <x:row r="8540" ht="34" customHeight="1">
      <x:c r="A8540" s="4" t="str">
        <x:v>RS-04236-I3</x:v>
      </x:c>
      <x:c r="B8540" s="4" t="str">
        <x:v>RS-04236</x:v>
      </x:c>
      <x:c r="C8540" s="9" t="n">
        <x:v>3</x:v>
      </x:c>
      <x:c r="D8540" s="8" t="n">
        <x:v>45603</x:v>
      </x:c>
      <x:c r="E8540" s="9" t="n">
        <x:v>2700000</x:v>
      </x:c>
      <x:c r="F8540" s="9" t="n">
        <x:v>0</x:v>
      </x:c>
    </x:row>
    <x:row r="8541" ht="34" customHeight="1">
      <x:c r="A8541" s="4" t="str">
        <x:v>RS-04236-I4</x:v>
      </x:c>
      <x:c r="B8541" s="4" t="str">
        <x:v>RS-04236</x:v>
      </x:c>
      <x:c r="C8541" s="9" t="n">
        <x:v>4</x:v>
      </x:c>
      <x:c r="D8541" s="8" t="n">
        <x:v>45633</x:v>
      </x:c>
      <x:c r="E8541" s="9" t="n">
        <x:v>2700000</x:v>
      </x:c>
      <x:c r="F8541" s="9" t="n">
        <x:v>0</x:v>
      </x:c>
    </x:row>
    <x:row r="8542" ht="34" customHeight="1">
      <x:c r="A8542" s="4" t="str">
        <x:v>RS-04237-I1</x:v>
      </x:c>
      <x:c r="B8542" s="4" t="str">
        <x:v>RS-04237</x:v>
      </x:c>
      <x:c r="C8542" s="9" t="n">
        <x:v>1</x:v>
      </x:c>
      <x:c r="D8542" s="8" t="n">
        <x:v>45544</x:v>
      </x:c>
      <x:c r="E8542" s="9" t="n">
        <x:v>5262250</x:v>
      </x:c>
      <x:c r="F8542" s="9" t="n">
        <x:v>2104900</x:v>
      </x:c>
    </x:row>
    <x:row r="8543" ht="34" customHeight="1">
      <x:c r="A8543" s="4" t="str">
        <x:v>RS-04237-I2</x:v>
      </x:c>
      <x:c r="B8543" s="4" t="str">
        <x:v>RS-04237</x:v>
      </x:c>
      <x:c r="C8543" s="9" t="n">
        <x:v>2</x:v>
      </x:c>
      <x:c r="D8543" s="8" t="n">
        <x:v>45574</x:v>
      </x:c>
      <x:c r="E8543" s="9" t="n">
        <x:v>5262250</x:v>
      </x:c>
      <x:c r="F8543" s="9" t="n">
        <x:v>0</x:v>
      </x:c>
    </x:row>
    <x:row r="8544" ht="34" customHeight="1">
      <x:c r="A8544" s="4" t="str">
        <x:v>RS-04237-I3</x:v>
      </x:c>
      <x:c r="B8544" s="4" t="str">
        <x:v>RS-04237</x:v>
      </x:c>
      <x:c r="C8544" s="9" t="n">
        <x:v>3</x:v>
      </x:c>
      <x:c r="D8544" s="8" t="n">
        <x:v>45604</x:v>
      </x:c>
      <x:c r="E8544" s="9" t="n">
        <x:v>5262250</x:v>
      </x:c>
      <x:c r="F8544" s="9" t="n">
        <x:v>0</x:v>
      </x:c>
    </x:row>
    <x:row r="8545" ht="34" customHeight="1">
      <x:c r="A8545" s="4" t="str">
        <x:v>RS-04237-I4</x:v>
      </x:c>
      <x:c r="B8545" s="4" t="str">
        <x:v>RS-04237</x:v>
      </x:c>
      <x:c r="C8545" s="9" t="n">
        <x:v>4</x:v>
      </x:c>
      <x:c r="D8545" s="8" t="n">
        <x:v>45634</x:v>
      </x:c>
      <x:c r="E8545" s="9" t="n">
        <x:v>5262250</x:v>
      </x:c>
      <x:c r="F8545" s="9" t="n">
        <x:v>0</x:v>
      </x:c>
    </x:row>
    <x:row r="8546" ht="34" customHeight="1">
      <x:c r="A8546" s="4" t="str">
        <x:v>RS-04238-I1</x:v>
      </x:c>
      <x:c r="B8546" s="4" t="str">
        <x:v>RS-04238</x:v>
      </x:c>
      <x:c r="C8546" s="9" t="n">
        <x:v>1</x:v>
      </x:c>
      <x:c r="D8546" s="8" t="n">
        <x:v>45545</x:v>
      </x:c>
      <x:c r="E8546" s="9" t="n">
        <x:v>3209500</x:v>
      </x:c>
      <x:c r="F8546" s="9" t="n">
        <x:v>1283800</x:v>
      </x:c>
    </x:row>
    <x:row r="8547" ht="34" customHeight="1">
      <x:c r="A8547" s="4" t="str">
        <x:v>RS-04238-I2</x:v>
      </x:c>
      <x:c r="B8547" s="4" t="str">
        <x:v>RS-04238</x:v>
      </x:c>
      <x:c r="C8547" s="9" t="n">
        <x:v>2</x:v>
      </x:c>
      <x:c r="D8547" s="8" t="n">
        <x:v>45575</x:v>
      </x:c>
      <x:c r="E8547" s="9" t="n">
        <x:v>3209500</x:v>
      </x:c>
      <x:c r="F8547" s="9" t="n">
        <x:v>0</x:v>
      </x:c>
    </x:row>
    <x:row r="8548" ht="34" customHeight="1">
      <x:c r="A8548" s="4" t="str">
        <x:v>RS-04238-I3</x:v>
      </x:c>
      <x:c r="B8548" s="4" t="str">
        <x:v>RS-04238</x:v>
      </x:c>
      <x:c r="C8548" s="9" t="n">
        <x:v>3</x:v>
      </x:c>
      <x:c r="D8548" s="8" t="n">
        <x:v>45605</x:v>
      </x:c>
      <x:c r="E8548" s="9" t="n">
        <x:v>3209500</x:v>
      </x:c>
      <x:c r="F8548" s="9" t="n">
        <x:v>0</x:v>
      </x:c>
    </x:row>
    <x:row r="8549" ht="34" customHeight="1">
      <x:c r="A8549" s="4" t="str">
        <x:v>RS-04238-I4</x:v>
      </x:c>
      <x:c r="B8549" s="4" t="str">
        <x:v>RS-04238</x:v>
      </x:c>
      <x:c r="C8549" s="9" t="n">
        <x:v>4</x:v>
      </x:c>
      <x:c r="D8549" s="8" t="n">
        <x:v>45635</x:v>
      </x:c>
      <x:c r="E8549" s="9" t="n">
        <x:v>3209500</x:v>
      </x:c>
      <x:c r="F8549" s="9" t="n">
        <x:v>0</x:v>
      </x:c>
    </x:row>
    <x:row r="8550" ht="34" customHeight="1">
      <x:c r="A8550" s="4" t="str">
        <x:v>RS-04239-I1</x:v>
      </x:c>
      <x:c r="B8550" s="4" t="str">
        <x:v>RS-04239</x:v>
      </x:c>
      <x:c r="C8550" s="9" t="n">
        <x:v>1</x:v>
      </x:c>
      <x:c r="D8550" s="8" t="n">
        <x:v>45546</x:v>
      </x:c>
      <x:c r="E8550" s="9" t="n">
        <x:v>5952000</x:v>
      </x:c>
      <x:c r="F8550" s="9" t="n">
        <x:v>5952000</x:v>
      </x:c>
    </x:row>
    <x:row r="8551" ht="34" customHeight="1">
      <x:c r="A8551" s="4" t="str">
        <x:v>RS-04239-I2</x:v>
      </x:c>
      <x:c r="B8551" s="4" t="str">
        <x:v>RS-04239</x:v>
      </x:c>
      <x:c r="C8551" s="9" t="n">
        <x:v>2</x:v>
      </x:c>
      <x:c r="D8551" s="8" t="n">
        <x:v>45576</x:v>
      </x:c>
      <x:c r="E8551" s="9" t="n">
        <x:v>5952000</x:v>
      </x:c>
      <x:c r="F8551" s="9" t="n">
        <x:v>5952000</x:v>
      </x:c>
    </x:row>
    <x:row r="8552" ht="34" customHeight="1">
      <x:c r="A8552" s="4" t="str">
        <x:v>RS-04239-I3</x:v>
      </x:c>
      <x:c r="B8552" s="4" t="str">
        <x:v>RS-04239</x:v>
      </x:c>
      <x:c r="C8552" s="9" t="n">
        <x:v>3</x:v>
      </x:c>
      <x:c r="D8552" s="8" t="n">
        <x:v>45606</x:v>
      </x:c>
      <x:c r="E8552" s="9" t="n">
        <x:v>5952000</x:v>
      </x:c>
      <x:c r="F8552" s="9" t="n">
        <x:v>5952000</x:v>
      </x:c>
    </x:row>
    <x:row r="8553" ht="34" customHeight="1">
      <x:c r="A8553" s="4" t="str">
        <x:v>RS-04239-I4</x:v>
      </x:c>
      <x:c r="B8553" s="4" t="str">
        <x:v>RS-04239</x:v>
      </x:c>
      <x:c r="C8553" s="9" t="n">
        <x:v>4</x:v>
      </x:c>
      <x:c r="D8553" s="8" t="n">
        <x:v>45636</x:v>
      </x:c>
      <x:c r="E8553" s="9" t="n">
        <x:v>5952000</x:v>
      </x:c>
      <x:c r="F8553" s="9" t="n">
        <x:v>5952000</x:v>
      </x:c>
    </x:row>
    <x:row r="8554" ht="34" customHeight="1">
      <x:c r="A8554" s="4" t="str">
        <x:v>RS-04240-I1</x:v>
      </x:c>
      <x:c r="B8554" s="4" t="str">
        <x:v>RS-04240</x:v>
      </x:c>
      <x:c r="C8554" s="9" t="n">
        <x:v>1</x:v>
      </x:c>
      <x:c r="D8554" s="8" t="n">
        <x:v>45547</x:v>
      </x:c>
      <x:c r="E8554" s="9" t="n">
        <x:v>5365500</x:v>
      </x:c>
      <x:c r="F8554" s="9" t="n">
        <x:v>5365500</x:v>
      </x:c>
    </x:row>
    <x:row r="8555" ht="34" customHeight="1">
      <x:c r="A8555" s="4" t="str">
        <x:v>RS-04240-I2</x:v>
      </x:c>
      <x:c r="B8555" s="4" t="str">
        <x:v>RS-04240</x:v>
      </x:c>
      <x:c r="C8555" s="9" t="n">
        <x:v>2</x:v>
      </x:c>
      <x:c r="D8555" s="8" t="n">
        <x:v>45577</x:v>
      </x:c>
      <x:c r="E8555" s="9" t="n">
        <x:v>5365500</x:v>
      </x:c>
      <x:c r="F8555" s="9" t="n">
        <x:v>5365500</x:v>
      </x:c>
    </x:row>
    <x:row r="8556" ht="34" customHeight="1">
      <x:c r="A8556" s="4" t="str">
        <x:v>RS-04240-I3</x:v>
      </x:c>
      <x:c r="B8556" s="4" t="str">
        <x:v>RS-04240</x:v>
      </x:c>
      <x:c r="C8556" s="9" t="n">
        <x:v>3</x:v>
      </x:c>
      <x:c r="D8556" s="8" t="n">
        <x:v>45607</x:v>
      </x:c>
      <x:c r="E8556" s="9" t="n">
        <x:v>5365500</x:v>
      </x:c>
      <x:c r="F8556" s="9" t="n">
        <x:v>5365500</x:v>
      </x:c>
    </x:row>
    <x:row r="8557" ht="34" customHeight="1">
      <x:c r="A8557" s="4" t="str">
        <x:v>RS-04240-I4</x:v>
      </x:c>
      <x:c r="B8557" s="4" t="str">
        <x:v>RS-04240</x:v>
      </x:c>
      <x:c r="C8557" s="9" t="n">
        <x:v>4</x:v>
      </x:c>
      <x:c r="D8557" s="8" t="n">
        <x:v>45637</x:v>
      </x:c>
      <x:c r="E8557" s="9" t="n">
        <x:v>5365500</x:v>
      </x:c>
      <x:c r="F8557" s="9" t="n">
        <x:v>5365500</x:v>
      </x:c>
    </x:row>
    <x:row r="8558" ht="34" customHeight="1">
      <x:c r="A8558" s="4" t="str">
        <x:v>RS-04241-I1</x:v>
      </x:c>
      <x:c r="B8558" s="4" t="str">
        <x:v>RS-04241</x:v>
      </x:c>
      <x:c r="C8558" s="9" t="n">
        <x:v>1</x:v>
      </x:c>
      <x:c r="D8558" s="8" t="n">
        <x:v>45548</x:v>
      </x:c>
      <x:c r="E8558" s="9" t="n">
        <x:v>4092000</x:v>
      </x:c>
      <x:c r="F8558" s="9" t="n">
        <x:v>1636800</x:v>
      </x:c>
    </x:row>
    <x:row r="8559" ht="34" customHeight="1">
      <x:c r="A8559" s="4" t="str">
        <x:v>RS-04241-I2</x:v>
      </x:c>
      <x:c r="B8559" s="4" t="str">
        <x:v>RS-04241</x:v>
      </x:c>
      <x:c r="C8559" s="9" t="n">
        <x:v>2</x:v>
      </x:c>
      <x:c r="D8559" s="8" t="n">
        <x:v>45578</x:v>
      </x:c>
      <x:c r="E8559" s="9" t="n">
        <x:v>4092000</x:v>
      </x:c>
      <x:c r="F8559" s="9" t="n">
        <x:v>0</x:v>
      </x:c>
    </x:row>
    <x:row r="8560" ht="34" customHeight="1">
      <x:c r="A8560" s="4" t="str">
        <x:v>RS-04241-I3</x:v>
      </x:c>
      <x:c r="B8560" s="4" t="str">
        <x:v>RS-04241</x:v>
      </x:c>
      <x:c r="C8560" s="9" t="n">
        <x:v>3</x:v>
      </x:c>
      <x:c r="D8560" s="8" t="n">
        <x:v>45608</x:v>
      </x:c>
      <x:c r="E8560" s="9" t="n">
        <x:v>4092000</x:v>
      </x:c>
      <x:c r="F8560" s="9" t="n">
        <x:v>0</x:v>
      </x:c>
    </x:row>
    <x:row r="8561" ht="34" customHeight="1">
      <x:c r="A8561" s="4" t="str">
        <x:v>RS-04241-I4</x:v>
      </x:c>
      <x:c r="B8561" s="4" t="str">
        <x:v>RS-04241</x:v>
      </x:c>
      <x:c r="C8561" s="9" t="n">
        <x:v>4</x:v>
      </x:c>
      <x:c r="D8561" s="8" t="n">
        <x:v>45638</x:v>
      </x:c>
      <x:c r="E8561" s="9" t="n">
        <x:v>4092000</x:v>
      </x:c>
      <x:c r="F8561" s="9" t="n">
        <x:v>0</x:v>
      </x:c>
    </x:row>
    <x:row r="8562" ht="34" customHeight="1">
      <x:c r="A8562" s="4" t="str">
        <x:v>RS-04242-I1</x:v>
      </x:c>
      <x:c r="B8562" s="4" t="str">
        <x:v>RS-04242</x:v>
      </x:c>
      <x:c r="C8562" s="9" t="n">
        <x:v>1</x:v>
      </x:c>
      <x:c r="D8562" s="8" t="n">
        <x:v>45549</x:v>
      </x:c>
      <x:c r="E8562" s="9" t="n">
        <x:v>3094000</x:v>
      </x:c>
      <x:c r="F8562" s="9" t="n">
        <x:v>3094000</x:v>
      </x:c>
    </x:row>
    <x:row r="8563" ht="34" customHeight="1">
      <x:c r="A8563" s="4" t="str">
        <x:v>RS-04242-I2</x:v>
      </x:c>
      <x:c r="B8563" s="4" t="str">
        <x:v>RS-04242</x:v>
      </x:c>
      <x:c r="C8563" s="9" t="n">
        <x:v>2</x:v>
      </x:c>
      <x:c r="D8563" s="8" t="n">
        <x:v>45579</x:v>
      </x:c>
      <x:c r="E8563" s="9" t="n">
        <x:v>3094000</x:v>
      </x:c>
      <x:c r="F8563" s="9" t="n">
        <x:v>3094000</x:v>
      </x:c>
    </x:row>
    <x:row r="8564" ht="34" customHeight="1">
      <x:c r="A8564" s="4" t="str">
        <x:v>RS-04242-I3</x:v>
      </x:c>
      <x:c r="B8564" s="4" t="str">
        <x:v>RS-04242</x:v>
      </x:c>
      <x:c r="C8564" s="9" t="n">
        <x:v>3</x:v>
      </x:c>
      <x:c r="D8564" s="8" t="n">
        <x:v>45609</x:v>
      </x:c>
      <x:c r="E8564" s="9" t="n">
        <x:v>3094000</x:v>
      </x:c>
      <x:c r="F8564" s="9" t="n">
        <x:v>3094000</x:v>
      </x:c>
    </x:row>
    <x:row r="8565" ht="34" customHeight="1">
      <x:c r="A8565" s="4" t="str">
        <x:v>RS-04242-I4</x:v>
      </x:c>
      <x:c r="B8565" s="4" t="str">
        <x:v>RS-04242</x:v>
      </x:c>
      <x:c r="C8565" s="9" t="n">
        <x:v>4</x:v>
      </x:c>
      <x:c r="D8565" s="8" t="n">
        <x:v>45639</x:v>
      </x:c>
      <x:c r="E8565" s="9" t="n">
        <x:v>3094000</x:v>
      </x:c>
      <x:c r="F8565" s="9" t="n">
        <x:v>3094000</x:v>
      </x:c>
    </x:row>
    <x:row r="8566" ht="34" customHeight="1">
      <x:c r="A8566" s="4" t="str">
        <x:v>RS-04243-I1</x:v>
      </x:c>
      <x:c r="B8566" s="4" t="str">
        <x:v>RS-04243</x:v>
      </x:c>
      <x:c r="C8566" s="9" t="n">
        <x:v>1</x:v>
      </x:c>
      <x:c r="D8566" s="8" t="n">
        <x:v>45550</x:v>
      </x:c>
      <x:c r="E8566" s="9" t="n">
        <x:v>1150000</x:v>
      </x:c>
      <x:c r="F8566" s="9" t="n">
        <x:v>1150000</x:v>
      </x:c>
    </x:row>
    <x:row r="8567" ht="34" customHeight="1">
      <x:c r="A8567" s="4" t="str">
        <x:v>RS-04243-I2</x:v>
      </x:c>
      <x:c r="B8567" s="4" t="str">
        <x:v>RS-04243</x:v>
      </x:c>
      <x:c r="C8567" s="9" t="n">
        <x:v>2</x:v>
      </x:c>
      <x:c r="D8567" s="8" t="n">
        <x:v>45580</x:v>
      </x:c>
      <x:c r="E8567" s="9" t="n">
        <x:v>1150000</x:v>
      </x:c>
      <x:c r="F8567" s="9" t="n">
        <x:v>0</x:v>
      </x:c>
    </x:row>
    <x:row r="8568" ht="34" customHeight="1">
      <x:c r="A8568" s="4" t="str">
        <x:v>RS-04243-I3</x:v>
      </x:c>
      <x:c r="B8568" s="4" t="str">
        <x:v>RS-04243</x:v>
      </x:c>
      <x:c r="C8568" s="9" t="n">
        <x:v>3</x:v>
      </x:c>
      <x:c r="D8568" s="8" t="n">
        <x:v>45610</x:v>
      </x:c>
      <x:c r="E8568" s="9" t="n">
        <x:v>1150000</x:v>
      </x:c>
      <x:c r="F8568" s="9" t="n">
        <x:v>0</x:v>
      </x:c>
    </x:row>
    <x:row r="8569" ht="34" customHeight="1">
      <x:c r="A8569" s="4" t="str">
        <x:v>RS-04243-I4</x:v>
      </x:c>
      <x:c r="B8569" s="4" t="str">
        <x:v>RS-04243</x:v>
      </x:c>
      <x:c r="C8569" s="9" t="n">
        <x:v>4</x:v>
      </x:c>
      <x:c r="D8569" s="8" t="n">
        <x:v>45640</x:v>
      </x:c>
      <x:c r="E8569" s="9" t="n">
        <x:v>1150000</x:v>
      </x:c>
      <x:c r="F8569" s="9" t="n">
        <x:v>0</x:v>
      </x:c>
    </x:row>
    <x:row r="8570" ht="34" customHeight="1">
      <x:c r="A8570" s="4" t="str">
        <x:v>RS-04245-I1</x:v>
      </x:c>
      <x:c r="B8570" s="4" t="str">
        <x:v>RS-04245</x:v>
      </x:c>
      <x:c r="C8570" s="9" t="n">
        <x:v>1</x:v>
      </x:c>
      <x:c r="D8570" s="8" t="n">
        <x:v>45552</x:v>
      </x:c>
      <x:c r="E8570" s="9" t="n">
        <x:v>4680000</x:v>
      </x:c>
      <x:c r="F8570" s="9" t="n">
        <x:v>4680000</x:v>
      </x:c>
    </x:row>
    <x:row r="8571" ht="34" customHeight="1">
      <x:c r="A8571" s="4" t="str">
        <x:v>RS-04245-I2</x:v>
      </x:c>
      <x:c r="B8571" s="4" t="str">
        <x:v>RS-04245</x:v>
      </x:c>
      <x:c r="C8571" s="9" t="n">
        <x:v>2</x:v>
      </x:c>
      <x:c r="D8571" s="8" t="n">
        <x:v>45582</x:v>
      </x:c>
      <x:c r="E8571" s="9" t="n">
        <x:v>4680000</x:v>
      </x:c>
      <x:c r="F8571" s="9" t="n">
        <x:v>4680000</x:v>
      </x:c>
    </x:row>
    <x:row r="8572" ht="34" customHeight="1">
      <x:c r="A8572" s="4" t="str">
        <x:v>RS-04245-I3</x:v>
      </x:c>
      <x:c r="B8572" s="4" t="str">
        <x:v>RS-04245</x:v>
      </x:c>
      <x:c r="C8572" s="9" t="n">
        <x:v>3</x:v>
      </x:c>
      <x:c r="D8572" s="8" t="n">
        <x:v>45612</x:v>
      </x:c>
      <x:c r="E8572" s="9" t="n">
        <x:v>4680000</x:v>
      </x:c>
      <x:c r="F8572" s="9" t="n">
        <x:v>0</x:v>
      </x:c>
    </x:row>
    <x:row r="8573" ht="34" customHeight="1">
      <x:c r="A8573" s="4" t="str">
        <x:v>RS-04245-I4</x:v>
      </x:c>
      <x:c r="B8573" s="4" t="str">
        <x:v>RS-04245</x:v>
      </x:c>
      <x:c r="C8573" s="9" t="n">
        <x:v>4</x:v>
      </x:c>
      <x:c r="D8573" s="8" t="n">
        <x:v>45642</x:v>
      </x:c>
      <x:c r="E8573" s="9" t="n">
        <x:v>4680000</x:v>
      </x:c>
      <x:c r="F8573" s="9" t="n">
        <x:v>0</x:v>
      </x:c>
    </x:row>
    <x:row r="8574" ht="34" customHeight="1">
      <x:c r="A8574" s="4" t="str">
        <x:v>RS-04246-I1</x:v>
      </x:c>
      <x:c r="B8574" s="4" t="str">
        <x:v>RS-04246</x:v>
      </x:c>
      <x:c r="C8574" s="9" t="n">
        <x:v>1</x:v>
      </x:c>
      <x:c r="D8574" s="8" t="n">
        <x:v>45553</x:v>
      </x:c>
      <x:c r="E8574" s="9" t="n">
        <x:v>4581500</x:v>
      </x:c>
      <x:c r="F8574" s="9" t="n">
        <x:v>4581500</x:v>
      </x:c>
    </x:row>
    <x:row r="8575" ht="34" customHeight="1">
      <x:c r="A8575" s="4" t="str">
        <x:v>RS-04246-I2</x:v>
      </x:c>
      <x:c r="B8575" s="4" t="str">
        <x:v>RS-04246</x:v>
      </x:c>
      <x:c r="C8575" s="9" t="n">
        <x:v>2</x:v>
      </x:c>
      <x:c r="D8575" s="8" t="n">
        <x:v>45583</x:v>
      </x:c>
      <x:c r="E8575" s="9" t="n">
        <x:v>4581500</x:v>
      </x:c>
      <x:c r="F8575" s="9" t="n">
        <x:v>4581500</x:v>
      </x:c>
    </x:row>
    <x:row r="8576" ht="34" customHeight="1">
      <x:c r="A8576" s="4" t="str">
        <x:v>RS-04246-I3</x:v>
      </x:c>
      <x:c r="B8576" s="4" t="str">
        <x:v>RS-04246</x:v>
      </x:c>
      <x:c r="C8576" s="9" t="n">
        <x:v>3</x:v>
      </x:c>
      <x:c r="D8576" s="8" t="n">
        <x:v>45613</x:v>
      </x:c>
      <x:c r="E8576" s="9" t="n">
        <x:v>4581500</x:v>
      </x:c>
      <x:c r="F8576" s="9" t="n">
        <x:v>0</x:v>
      </x:c>
    </x:row>
    <x:row r="8577" ht="34" customHeight="1">
      <x:c r="A8577" s="4" t="str">
        <x:v>RS-04246-I4</x:v>
      </x:c>
      <x:c r="B8577" s="4" t="str">
        <x:v>RS-04246</x:v>
      </x:c>
      <x:c r="C8577" s="9" t="n">
        <x:v>4</x:v>
      </x:c>
      <x:c r="D8577" s="8" t="n">
        <x:v>45643</x:v>
      </x:c>
      <x:c r="E8577" s="9" t="n">
        <x:v>4581500</x:v>
      </x:c>
      <x:c r="F8577" s="9" t="n">
        <x:v>0</x:v>
      </x:c>
    </x:row>
    <x:row r="8578" ht="34" customHeight="1">
      <x:c r="A8578" s="4" t="str">
        <x:v>RS-04247-I1</x:v>
      </x:c>
      <x:c r="B8578" s="4" t="str">
        <x:v>RS-04247</x:v>
      </x:c>
      <x:c r="C8578" s="9" t="n">
        <x:v>1</x:v>
      </x:c>
      <x:c r="D8578" s="8" t="n">
        <x:v>45554</x:v>
      </x:c>
      <x:c r="E8578" s="9" t="n">
        <x:v>2068000</x:v>
      </x:c>
      <x:c r="F8578" s="9" t="n">
        <x:v>2068000</x:v>
      </x:c>
    </x:row>
    <x:row r="8579" ht="34" customHeight="1">
      <x:c r="A8579" s="4" t="str">
        <x:v>RS-04247-I2</x:v>
      </x:c>
      <x:c r="B8579" s="4" t="str">
        <x:v>RS-04247</x:v>
      </x:c>
      <x:c r="C8579" s="9" t="n">
        <x:v>2</x:v>
      </x:c>
      <x:c r="D8579" s="8" t="n">
        <x:v>45584</x:v>
      </x:c>
      <x:c r="E8579" s="9" t="n">
        <x:v>2068000</x:v>
      </x:c>
      <x:c r="F8579" s="9" t="n">
        <x:v>2068000</x:v>
      </x:c>
    </x:row>
    <x:row r="8580" ht="34" customHeight="1">
      <x:c r="A8580" s="4" t="str">
        <x:v>RS-04247-I3</x:v>
      </x:c>
      <x:c r="B8580" s="4" t="str">
        <x:v>RS-04247</x:v>
      </x:c>
      <x:c r="C8580" s="9" t="n">
        <x:v>3</x:v>
      </x:c>
      <x:c r="D8580" s="8" t="n">
        <x:v>45614</x:v>
      </x:c>
      <x:c r="E8580" s="9" t="n">
        <x:v>2068000</x:v>
      </x:c>
      <x:c r="F8580" s="9" t="n">
        <x:v>0</x:v>
      </x:c>
    </x:row>
    <x:row r="8581" ht="34" customHeight="1">
      <x:c r="A8581" s="4" t="str">
        <x:v>RS-04247-I4</x:v>
      </x:c>
      <x:c r="B8581" s="4" t="str">
        <x:v>RS-04247</x:v>
      </x:c>
      <x:c r="C8581" s="9" t="n">
        <x:v>4</x:v>
      </x:c>
      <x:c r="D8581" s="8" t="n">
        <x:v>45644</x:v>
      </x:c>
      <x:c r="E8581" s="9" t="n">
        <x:v>2068000</x:v>
      </x:c>
      <x:c r="F8581" s="9" t="n">
        <x:v>0</x:v>
      </x:c>
    </x:row>
    <x:row r="8582" ht="34" customHeight="1">
      <x:c r="A8582" s="4" t="str">
        <x:v>RS-04250-I1</x:v>
      </x:c>
      <x:c r="B8582" s="4" t="str">
        <x:v>RS-04250</x:v>
      </x:c>
      <x:c r="C8582" s="9" t="n">
        <x:v>1</x:v>
      </x:c>
      <x:c r="D8582" s="8" t="n">
        <x:v>45557</x:v>
      </x:c>
      <x:c r="E8582" s="9" t="n">
        <x:v>5355000</x:v>
      </x:c>
      <x:c r="F8582" s="9" t="n">
        <x:v>5355000</x:v>
      </x:c>
    </x:row>
    <x:row r="8583" ht="34" customHeight="1">
      <x:c r="A8583" s="4" t="str">
        <x:v>RS-04250-I2</x:v>
      </x:c>
      <x:c r="B8583" s="4" t="str">
        <x:v>RS-04250</x:v>
      </x:c>
      <x:c r="C8583" s="9" t="n">
        <x:v>2</x:v>
      </x:c>
      <x:c r="D8583" s="8" t="n">
        <x:v>45587</x:v>
      </x:c>
      <x:c r="E8583" s="9" t="n">
        <x:v>5355000</x:v>
      </x:c>
      <x:c r="F8583" s="9" t="n">
        <x:v>5355000</x:v>
      </x:c>
    </x:row>
    <x:row r="8584" ht="34" customHeight="1">
      <x:c r="A8584" s="4" t="str">
        <x:v>RS-04250-I3</x:v>
      </x:c>
      <x:c r="B8584" s="4" t="str">
        <x:v>RS-04250</x:v>
      </x:c>
      <x:c r="C8584" s="9" t="n">
        <x:v>3</x:v>
      </x:c>
      <x:c r="D8584" s="8" t="n">
        <x:v>45617</x:v>
      </x:c>
      <x:c r="E8584" s="9" t="n">
        <x:v>5355000</x:v>
      </x:c>
      <x:c r="F8584" s="9" t="n">
        <x:v>0</x:v>
      </x:c>
    </x:row>
    <x:row r="8585" ht="34" customHeight="1">
      <x:c r="A8585" s="4" t="str">
        <x:v>RS-04250-I4</x:v>
      </x:c>
      <x:c r="B8585" s="4" t="str">
        <x:v>RS-04250</x:v>
      </x:c>
      <x:c r="C8585" s="9" t="n">
        <x:v>4</x:v>
      </x:c>
      <x:c r="D8585" s="8" t="n">
        <x:v>45647</x:v>
      </x:c>
      <x:c r="E8585" s="9" t="n">
        <x:v>5355000</x:v>
      </x:c>
      <x:c r="F8585" s="9" t="n">
        <x:v>0</x:v>
      </x:c>
    </x:row>
    <x:row r="8586" ht="34" customHeight="1">
      <x:c r="A8586" s="4" t="str">
        <x:v>RS-04251-I1</x:v>
      </x:c>
      <x:c r="B8586" s="4" t="str">
        <x:v>RS-04251</x:v>
      </x:c>
      <x:c r="C8586" s="9" t="n">
        <x:v>1</x:v>
      </x:c>
      <x:c r="D8586" s="8" t="n">
        <x:v>45558</x:v>
      </x:c>
      <x:c r="E8586" s="9" t="n">
        <x:v>6039000</x:v>
      </x:c>
      <x:c r="F8586" s="9" t="n">
        <x:v>2415600</x:v>
      </x:c>
    </x:row>
    <x:row r="8587" ht="34" customHeight="1">
      <x:c r="A8587" s="4" t="str">
        <x:v>RS-04251-I2</x:v>
      </x:c>
      <x:c r="B8587" s="4" t="str">
        <x:v>RS-04251</x:v>
      </x:c>
      <x:c r="C8587" s="9" t="n">
        <x:v>2</x:v>
      </x:c>
      <x:c r="D8587" s="8" t="n">
        <x:v>45588</x:v>
      </x:c>
      <x:c r="E8587" s="9" t="n">
        <x:v>6039000</x:v>
      </x:c>
      <x:c r="F8587" s="9" t="n">
        <x:v>0</x:v>
      </x:c>
    </x:row>
    <x:row r="8588" ht="34" customHeight="1">
      <x:c r="A8588" s="4" t="str">
        <x:v>RS-04251-I3</x:v>
      </x:c>
      <x:c r="B8588" s="4" t="str">
        <x:v>RS-04251</x:v>
      </x:c>
      <x:c r="C8588" s="9" t="n">
        <x:v>3</x:v>
      </x:c>
      <x:c r="D8588" s="8" t="n">
        <x:v>45618</x:v>
      </x:c>
      <x:c r="E8588" s="9" t="n">
        <x:v>6039000</x:v>
      </x:c>
      <x:c r="F8588" s="9" t="n">
        <x:v>0</x:v>
      </x:c>
    </x:row>
    <x:row r="8589" ht="34" customHeight="1">
      <x:c r="A8589" s="4" t="str">
        <x:v>RS-04251-I4</x:v>
      </x:c>
      <x:c r="B8589" s="4" t="str">
        <x:v>RS-04251</x:v>
      </x:c>
      <x:c r="C8589" s="9" t="n">
        <x:v>4</x:v>
      </x:c>
      <x:c r="D8589" s="8" t="n">
        <x:v>45648</x:v>
      </x:c>
      <x:c r="E8589" s="9" t="n">
        <x:v>6039000</x:v>
      </x:c>
      <x:c r="F8589" s="9" t="n">
        <x:v>0</x:v>
      </x:c>
    </x:row>
    <x:row r="8590" ht="34" customHeight="1">
      <x:c r="A8590" s="4" t="str">
        <x:v>RS-04252-I1</x:v>
      </x:c>
      <x:c r="B8590" s="4" t="str">
        <x:v>RS-04252</x:v>
      </x:c>
      <x:c r="C8590" s="9" t="n">
        <x:v>1</x:v>
      </x:c>
      <x:c r="D8590" s="8" t="n">
        <x:v>45559</x:v>
      </x:c>
      <x:c r="E8590" s="9" t="n">
        <x:v>4045500</x:v>
      </x:c>
      <x:c r="F8590" s="9" t="n">
        <x:v>4045500</x:v>
      </x:c>
    </x:row>
    <x:row r="8591" ht="34" customHeight="1">
      <x:c r="A8591" s="4" t="str">
        <x:v>RS-04252-I2</x:v>
      </x:c>
      <x:c r="B8591" s="4" t="str">
        <x:v>RS-04252</x:v>
      </x:c>
      <x:c r="C8591" s="9" t="n">
        <x:v>2</x:v>
      </x:c>
      <x:c r="D8591" s="8" t="n">
        <x:v>45589</x:v>
      </x:c>
      <x:c r="E8591" s="9" t="n">
        <x:v>4045500</x:v>
      </x:c>
      <x:c r="F8591" s="9" t="n">
        <x:v>0</x:v>
      </x:c>
    </x:row>
    <x:row r="8592" ht="34" customHeight="1">
      <x:c r="A8592" s="4" t="str">
        <x:v>RS-04252-I3</x:v>
      </x:c>
      <x:c r="B8592" s="4" t="str">
        <x:v>RS-04252</x:v>
      </x:c>
      <x:c r="C8592" s="9" t="n">
        <x:v>3</x:v>
      </x:c>
      <x:c r="D8592" s="8" t="n">
        <x:v>45619</x:v>
      </x:c>
      <x:c r="E8592" s="9" t="n">
        <x:v>4045500</x:v>
      </x:c>
      <x:c r="F8592" s="9" t="n">
        <x:v>0</x:v>
      </x:c>
    </x:row>
    <x:row r="8593" ht="34" customHeight="1">
      <x:c r="A8593" s="4" t="str">
        <x:v>RS-04252-I4</x:v>
      </x:c>
      <x:c r="B8593" s="4" t="str">
        <x:v>RS-04252</x:v>
      </x:c>
      <x:c r="C8593" s="9" t="n">
        <x:v>4</x:v>
      </x:c>
      <x:c r="D8593" s="8" t="n">
        <x:v>45649</x:v>
      </x:c>
      <x:c r="E8593" s="9" t="n">
        <x:v>4045500</x:v>
      </x:c>
      <x:c r="F8593" s="9" t="n">
        <x:v>0</x:v>
      </x:c>
    </x:row>
    <x:row r="8594" ht="34" customHeight="1">
      <x:c r="A8594" s="4" t="str">
        <x:v>RS-04254-I1</x:v>
      </x:c>
      <x:c r="B8594" s="4" t="str">
        <x:v>RS-04254</x:v>
      </x:c>
      <x:c r="C8594" s="9" t="n">
        <x:v>1</x:v>
      </x:c>
      <x:c r="D8594" s="8" t="n">
        <x:v>45561</x:v>
      </x:c>
      <x:c r="E8594" s="9" t="n">
        <x:v>5490000</x:v>
      </x:c>
      <x:c r="F8594" s="9" t="n">
        <x:v>5490000</x:v>
      </x:c>
    </x:row>
    <x:row r="8595" ht="34" customHeight="1">
      <x:c r="A8595" s="4" t="str">
        <x:v>RS-04254-I2</x:v>
      </x:c>
      <x:c r="B8595" s="4" t="str">
        <x:v>RS-04254</x:v>
      </x:c>
      <x:c r="C8595" s="9" t="n">
        <x:v>2</x:v>
      </x:c>
      <x:c r="D8595" s="8" t="n">
        <x:v>45591</x:v>
      </x:c>
      <x:c r="E8595" s="9" t="n">
        <x:v>5490000</x:v>
      </x:c>
      <x:c r="F8595" s="9" t="n">
        <x:v>5490000</x:v>
      </x:c>
    </x:row>
    <x:row r="8596" ht="34" customHeight="1">
      <x:c r="A8596" s="4" t="str">
        <x:v>RS-04254-I3</x:v>
      </x:c>
      <x:c r="B8596" s="4" t="str">
        <x:v>RS-04254</x:v>
      </x:c>
      <x:c r="C8596" s="9" t="n">
        <x:v>3</x:v>
      </x:c>
      <x:c r="D8596" s="8" t="n">
        <x:v>45621</x:v>
      </x:c>
      <x:c r="E8596" s="9" t="n">
        <x:v>5490000</x:v>
      </x:c>
      <x:c r="F8596" s="9" t="n">
        <x:v>0</x:v>
      </x:c>
    </x:row>
    <x:row r="8597" ht="34" customHeight="1">
      <x:c r="A8597" s="4" t="str">
        <x:v>RS-04254-I4</x:v>
      </x:c>
      <x:c r="B8597" s="4" t="str">
        <x:v>RS-04254</x:v>
      </x:c>
      <x:c r="C8597" s="9" t="n">
        <x:v>4</x:v>
      </x:c>
      <x:c r="D8597" s="8" t="n">
        <x:v>45651</x:v>
      </x:c>
      <x:c r="E8597" s="9" t="n">
        <x:v>5490000</x:v>
      </x:c>
      <x:c r="F8597" s="9" t="n">
        <x:v>0</x:v>
      </x:c>
    </x:row>
    <x:row r="8598" ht="34" customHeight="1">
      <x:c r="A8598" s="4" t="str">
        <x:v>RS-04255-I1</x:v>
      </x:c>
      <x:c r="B8598" s="4" t="str">
        <x:v>RS-04255</x:v>
      </x:c>
      <x:c r="C8598" s="9" t="n">
        <x:v>1</x:v>
      </x:c>
      <x:c r="D8598" s="8" t="n">
        <x:v>45562</x:v>
      </x:c>
      <x:c r="E8598" s="9" t="n">
        <x:v>5432000</x:v>
      </x:c>
      <x:c r="F8598" s="9" t="n">
        <x:v>2172800</x:v>
      </x:c>
    </x:row>
    <x:row r="8599" ht="34" customHeight="1">
      <x:c r="A8599" s="4" t="str">
        <x:v>RS-04255-I2</x:v>
      </x:c>
      <x:c r="B8599" s="4" t="str">
        <x:v>RS-04255</x:v>
      </x:c>
      <x:c r="C8599" s="9" t="n">
        <x:v>2</x:v>
      </x:c>
      <x:c r="D8599" s="8" t="n">
        <x:v>45592</x:v>
      </x:c>
      <x:c r="E8599" s="9" t="n">
        <x:v>5432000</x:v>
      </x:c>
      <x:c r="F8599" s="9" t="n">
        <x:v>0</x:v>
      </x:c>
    </x:row>
    <x:row r="8600" ht="34" customHeight="1">
      <x:c r="A8600" s="4" t="str">
        <x:v>RS-04255-I3</x:v>
      </x:c>
      <x:c r="B8600" s="4" t="str">
        <x:v>RS-04255</x:v>
      </x:c>
      <x:c r="C8600" s="9" t="n">
        <x:v>3</x:v>
      </x:c>
      <x:c r="D8600" s="8" t="n">
        <x:v>45622</x:v>
      </x:c>
      <x:c r="E8600" s="9" t="n">
        <x:v>5432000</x:v>
      </x:c>
      <x:c r="F8600" s="9" t="n">
        <x:v>0</x:v>
      </x:c>
    </x:row>
    <x:row r="8601" ht="34" customHeight="1">
      <x:c r="A8601" s="4" t="str">
        <x:v>RS-04255-I4</x:v>
      </x:c>
      <x:c r="B8601" s="4" t="str">
        <x:v>RS-04255</x:v>
      </x:c>
      <x:c r="C8601" s="9" t="n">
        <x:v>4</x:v>
      </x:c>
      <x:c r="D8601" s="8" t="n">
        <x:v>45652</x:v>
      </x:c>
      <x:c r="E8601" s="9" t="n">
        <x:v>5432000</x:v>
      </x:c>
      <x:c r="F8601" s="9" t="n">
        <x:v>0</x:v>
      </x:c>
    </x:row>
    <x:row r="8602" ht="34" customHeight="1">
      <x:c r="A8602" s="4" t="str">
        <x:v>RS-04257-I1</x:v>
      </x:c>
      <x:c r="B8602" s="4" t="str">
        <x:v>RS-04257</x:v>
      </x:c>
      <x:c r="C8602" s="9" t="n">
        <x:v>1</x:v>
      </x:c>
      <x:c r="D8602" s="8" t="n">
        <x:v>45536</x:v>
      </x:c>
      <x:c r="E8602" s="9" t="n">
        <x:v>2452500</x:v>
      </x:c>
      <x:c r="F8602" s="9" t="n">
        <x:v>2452500</x:v>
      </x:c>
    </x:row>
    <x:row r="8603" ht="34" customHeight="1">
      <x:c r="A8603" s="4" t="str">
        <x:v>RS-04257-I2</x:v>
      </x:c>
      <x:c r="B8603" s="4" t="str">
        <x:v>RS-04257</x:v>
      </x:c>
      <x:c r="C8603" s="9" t="n">
        <x:v>2</x:v>
      </x:c>
      <x:c r="D8603" s="8" t="n">
        <x:v>45566</x:v>
      </x:c>
      <x:c r="E8603" s="9" t="n">
        <x:v>2452500</x:v>
      </x:c>
      <x:c r="F8603" s="9" t="n">
        <x:v>0</x:v>
      </x:c>
    </x:row>
    <x:row r="8604" ht="34" customHeight="1">
      <x:c r="A8604" s="4" t="str">
        <x:v>RS-04257-I3</x:v>
      </x:c>
      <x:c r="B8604" s="4" t="str">
        <x:v>RS-04257</x:v>
      </x:c>
      <x:c r="C8604" s="9" t="n">
        <x:v>3</x:v>
      </x:c>
      <x:c r="D8604" s="8" t="n">
        <x:v>45596</x:v>
      </x:c>
      <x:c r="E8604" s="9" t="n">
        <x:v>2452500</x:v>
      </x:c>
      <x:c r="F8604" s="9" t="n">
        <x:v>0</x:v>
      </x:c>
    </x:row>
    <x:row r="8605" ht="34" customHeight="1">
      <x:c r="A8605" s="4" t="str">
        <x:v>RS-04257-I4</x:v>
      </x:c>
      <x:c r="B8605" s="4" t="str">
        <x:v>RS-04257</x:v>
      </x:c>
      <x:c r="C8605" s="9" t="n">
        <x:v>4</x:v>
      </x:c>
      <x:c r="D8605" s="8" t="n">
        <x:v>45626</x:v>
      </x:c>
      <x:c r="E8605" s="9" t="n">
        <x:v>2452500</x:v>
      </x:c>
      <x:c r="F8605" s="9" t="n">
        <x:v>0</x:v>
      </x:c>
    </x:row>
    <x:row r="8606" ht="34" customHeight="1">
      <x:c r="A8606" s="4" t="str">
        <x:v>RS-04258-I1</x:v>
      </x:c>
      <x:c r="B8606" s="4" t="str">
        <x:v>RS-04258</x:v>
      </x:c>
      <x:c r="C8606" s="9" t="n">
        <x:v>1</x:v>
      </x:c>
      <x:c r="D8606" s="8" t="n">
        <x:v>45537</x:v>
      </x:c>
      <x:c r="E8606" s="9" t="n">
        <x:v>3634000</x:v>
      </x:c>
      <x:c r="F8606" s="9" t="n">
        <x:v>1453600</x:v>
      </x:c>
    </x:row>
    <x:row r="8607" ht="34" customHeight="1">
      <x:c r="A8607" s="4" t="str">
        <x:v>RS-04258-I2</x:v>
      </x:c>
      <x:c r="B8607" s="4" t="str">
        <x:v>RS-04258</x:v>
      </x:c>
      <x:c r="C8607" s="9" t="n">
        <x:v>2</x:v>
      </x:c>
      <x:c r="D8607" s="8" t="n">
        <x:v>45567</x:v>
      </x:c>
      <x:c r="E8607" s="9" t="n">
        <x:v>3634000</x:v>
      </x:c>
      <x:c r="F8607" s="9" t="n">
        <x:v>0</x:v>
      </x:c>
    </x:row>
    <x:row r="8608" ht="34" customHeight="1">
      <x:c r="A8608" s="4" t="str">
        <x:v>RS-04258-I3</x:v>
      </x:c>
      <x:c r="B8608" s="4" t="str">
        <x:v>RS-04258</x:v>
      </x:c>
      <x:c r="C8608" s="9" t="n">
        <x:v>3</x:v>
      </x:c>
      <x:c r="D8608" s="8" t="n">
        <x:v>45597</x:v>
      </x:c>
      <x:c r="E8608" s="9" t="n">
        <x:v>3634000</x:v>
      </x:c>
      <x:c r="F8608" s="9" t="n">
        <x:v>0</x:v>
      </x:c>
    </x:row>
    <x:row r="8609" ht="34" customHeight="1">
      <x:c r="A8609" s="4" t="str">
        <x:v>RS-04258-I4</x:v>
      </x:c>
      <x:c r="B8609" s="4" t="str">
        <x:v>RS-04258</x:v>
      </x:c>
      <x:c r="C8609" s="9" t="n">
        <x:v>4</x:v>
      </x:c>
      <x:c r="D8609" s="8" t="n">
        <x:v>45627</x:v>
      </x:c>
      <x:c r="E8609" s="9" t="n">
        <x:v>3634000</x:v>
      </x:c>
      <x:c r="F8609" s="9" t="n">
        <x:v>0</x:v>
      </x:c>
    </x:row>
    <x:row r="8610" ht="34" customHeight="1">
      <x:c r="A8610" s="4" t="str">
        <x:v>RS-04259-I1</x:v>
      </x:c>
      <x:c r="B8610" s="4" t="str">
        <x:v>RS-04259</x:v>
      </x:c>
      <x:c r="C8610" s="9" t="n">
        <x:v>1</x:v>
      </x:c>
      <x:c r="D8610" s="8" t="n">
        <x:v>45538</x:v>
      </x:c>
      <x:c r="E8610" s="9" t="n">
        <x:v>3419250</x:v>
      </x:c>
      <x:c r="F8610" s="9" t="n">
        <x:v>3419250</x:v>
      </x:c>
    </x:row>
    <x:row r="8611" ht="34" customHeight="1">
      <x:c r="A8611" s="4" t="str">
        <x:v>RS-04259-I2</x:v>
      </x:c>
      <x:c r="B8611" s="4" t="str">
        <x:v>RS-04259</x:v>
      </x:c>
      <x:c r="C8611" s="9" t="n">
        <x:v>2</x:v>
      </x:c>
      <x:c r="D8611" s="8" t="n">
        <x:v>45568</x:v>
      </x:c>
      <x:c r="E8611" s="9" t="n">
        <x:v>3419250</x:v>
      </x:c>
      <x:c r="F8611" s="9" t="n">
        <x:v>3419250</x:v>
      </x:c>
    </x:row>
    <x:row r="8612" ht="34" customHeight="1">
      <x:c r="A8612" s="4" t="str">
        <x:v>RS-04259-I3</x:v>
      </x:c>
      <x:c r="B8612" s="4" t="str">
        <x:v>RS-04259</x:v>
      </x:c>
      <x:c r="C8612" s="9" t="n">
        <x:v>3</x:v>
      </x:c>
      <x:c r="D8612" s="8" t="n">
        <x:v>45598</x:v>
      </x:c>
      <x:c r="E8612" s="9" t="n">
        <x:v>3419250</x:v>
      </x:c>
      <x:c r="F8612" s="9" t="n">
        <x:v>3419250</x:v>
      </x:c>
    </x:row>
    <x:row r="8613" ht="34" customHeight="1">
      <x:c r="A8613" s="4" t="str">
        <x:v>RS-04259-I4</x:v>
      </x:c>
      <x:c r="B8613" s="4" t="str">
        <x:v>RS-04259</x:v>
      </x:c>
      <x:c r="C8613" s="9" t="n">
        <x:v>4</x:v>
      </x:c>
      <x:c r="D8613" s="8" t="n">
        <x:v>45628</x:v>
      </x:c>
      <x:c r="E8613" s="9" t="n">
        <x:v>3419250</x:v>
      </x:c>
      <x:c r="F8613" s="9" t="n">
        <x:v>3419250</x:v>
      </x:c>
    </x:row>
    <x:row r="8614" ht="34" customHeight="1">
      <x:c r="A8614" s="4" t="str">
        <x:v>RS-04261-I1</x:v>
      </x:c>
      <x:c r="B8614" s="4" t="str">
        <x:v>RS-04261</x:v>
      </x:c>
      <x:c r="C8614" s="9" t="n">
        <x:v>1</x:v>
      </x:c>
      <x:c r="D8614" s="8" t="n">
        <x:v>45540</x:v>
      </x:c>
      <x:c r="E8614" s="9" t="n">
        <x:v>6014250</x:v>
      </x:c>
      <x:c r="F8614" s="9" t="n">
        <x:v>6014250</x:v>
      </x:c>
    </x:row>
    <x:row r="8615" ht="34" customHeight="1">
      <x:c r="A8615" s="4" t="str">
        <x:v>RS-04261-I2</x:v>
      </x:c>
      <x:c r="B8615" s="4" t="str">
        <x:v>RS-04261</x:v>
      </x:c>
      <x:c r="C8615" s="9" t="n">
        <x:v>2</x:v>
      </x:c>
      <x:c r="D8615" s="8" t="n">
        <x:v>45570</x:v>
      </x:c>
      <x:c r="E8615" s="9" t="n">
        <x:v>6014250</x:v>
      </x:c>
      <x:c r="F8615" s="9" t="n">
        <x:v>6014250</x:v>
      </x:c>
    </x:row>
    <x:row r="8616" ht="34" customHeight="1">
      <x:c r="A8616" s="4" t="str">
        <x:v>RS-04261-I3</x:v>
      </x:c>
      <x:c r="B8616" s="4" t="str">
        <x:v>RS-04261</x:v>
      </x:c>
      <x:c r="C8616" s="9" t="n">
        <x:v>3</x:v>
      </x:c>
      <x:c r="D8616" s="8" t="n">
        <x:v>45600</x:v>
      </x:c>
      <x:c r="E8616" s="9" t="n">
        <x:v>6014250</x:v>
      </x:c>
      <x:c r="F8616" s="9" t="n">
        <x:v>0</x:v>
      </x:c>
    </x:row>
    <x:row r="8617" ht="34" customHeight="1">
      <x:c r="A8617" s="4" t="str">
        <x:v>RS-04261-I4</x:v>
      </x:c>
      <x:c r="B8617" s="4" t="str">
        <x:v>RS-04261</x:v>
      </x:c>
      <x:c r="C8617" s="9" t="n">
        <x:v>4</x:v>
      </x:c>
      <x:c r="D8617" s="8" t="n">
        <x:v>45630</x:v>
      </x:c>
      <x:c r="E8617" s="9" t="n">
        <x:v>6014250</x:v>
      </x:c>
      <x:c r="F8617" s="9" t="n">
        <x:v>0</x:v>
      </x:c>
    </x:row>
    <x:row r="8618" ht="34" customHeight="1">
      <x:c r="A8618" s="4" t="str">
        <x:v>RS-04262-I1</x:v>
      </x:c>
      <x:c r="B8618" s="4" t="str">
        <x:v>RS-04262</x:v>
      </x:c>
      <x:c r="C8618" s="9" t="n">
        <x:v>1</x:v>
      </x:c>
      <x:c r="D8618" s="8" t="n">
        <x:v>45541</x:v>
      </x:c>
      <x:c r="E8618" s="9" t="n">
        <x:v>902500</x:v>
      </x:c>
      <x:c r="F8618" s="9" t="n">
        <x:v>361000</x:v>
      </x:c>
    </x:row>
    <x:row r="8619" ht="34" customHeight="1">
      <x:c r="A8619" s="4" t="str">
        <x:v>RS-04262-I2</x:v>
      </x:c>
      <x:c r="B8619" s="4" t="str">
        <x:v>RS-04262</x:v>
      </x:c>
      <x:c r="C8619" s="9" t="n">
        <x:v>2</x:v>
      </x:c>
      <x:c r="D8619" s="8" t="n">
        <x:v>45571</x:v>
      </x:c>
      <x:c r="E8619" s="9" t="n">
        <x:v>902500</x:v>
      </x:c>
      <x:c r="F8619" s="9" t="n">
        <x:v>0</x:v>
      </x:c>
    </x:row>
    <x:row r="8620" ht="34" customHeight="1">
      <x:c r="A8620" s="4" t="str">
        <x:v>RS-04262-I3</x:v>
      </x:c>
      <x:c r="B8620" s="4" t="str">
        <x:v>RS-04262</x:v>
      </x:c>
      <x:c r="C8620" s="9" t="n">
        <x:v>3</x:v>
      </x:c>
      <x:c r="D8620" s="8" t="n">
        <x:v>45601</x:v>
      </x:c>
      <x:c r="E8620" s="9" t="n">
        <x:v>902500</x:v>
      </x:c>
      <x:c r="F8620" s="9" t="n">
        <x:v>0</x:v>
      </x:c>
    </x:row>
    <x:row r="8621" ht="34" customHeight="1">
      <x:c r="A8621" s="4" t="str">
        <x:v>RS-04262-I4</x:v>
      </x:c>
      <x:c r="B8621" s="4" t="str">
        <x:v>RS-04262</x:v>
      </x:c>
      <x:c r="C8621" s="9" t="n">
        <x:v>4</x:v>
      </x:c>
      <x:c r="D8621" s="8" t="n">
        <x:v>45631</x:v>
      </x:c>
      <x:c r="E8621" s="9" t="n">
        <x:v>902500</x:v>
      </x:c>
      <x:c r="F8621" s="9" t="n">
        <x:v>0</x:v>
      </x:c>
    </x:row>
    <x:row r="8622" ht="34" customHeight="1">
      <x:c r="A8622" s="4" t="str">
        <x:v>RS-04263-I1</x:v>
      </x:c>
      <x:c r="B8622" s="4" t="str">
        <x:v>RS-04263</x:v>
      </x:c>
      <x:c r="C8622" s="9" t="n">
        <x:v>1</x:v>
      </x:c>
      <x:c r="D8622" s="8" t="n">
        <x:v>45542</x:v>
      </x:c>
      <x:c r="E8622" s="9" t="n">
        <x:v>3757500</x:v>
      </x:c>
      <x:c r="F8622" s="9" t="n">
        <x:v>3757500</x:v>
      </x:c>
    </x:row>
    <x:row r="8623" ht="34" customHeight="1">
      <x:c r="A8623" s="4" t="str">
        <x:v>RS-04263-I2</x:v>
      </x:c>
      <x:c r="B8623" s="4" t="str">
        <x:v>RS-04263</x:v>
      </x:c>
      <x:c r="C8623" s="9" t="n">
        <x:v>2</x:v>
      </x:c>
      <x:c r="D8623" s="8" t="n">
        <x:v>45572</x:v>
      </x:c>
      <x:c r="E8623" s="9" t="n">
        <x:v>3757500</x:v>
      </x:c>
      <x:c r="F8623" s="9" t="n">
        <x:v>3757500</x:v>
      </x:c>
    </x:row>
    <x:row r="8624" ht="34" customHeight="1">
      <x:c r="A8624" s="4" t="str">
        <x:v>RS-04263-I3</x:v>
      </x:c>
      <x:c r="B8624" s="4" t="str">
        <x:v>RS-04263</x:v>
      </x:c>
      <x:c r="C8624" s="9" t="n">
        <x:v>3</x:v>
      </x:c>
      <x:c r="D8624" s="8" t="n">
        <x:v>45602</x:v>
      </x:c>
      <x:c r="E8624" s="9" t="n">
        <x:v>3757500</x:v>
      </x:c>
      <x:c r="F8624" s="9" t="n">
        <x:v>0</x:v>
      </x:c>
    </x:row>
    <x:row r="8625" ht="34" customHeight="1">
      <x:c r="A8625" s="4" t="str">
        <x:v>RS-04263-I4</x:v>
      </x:c>
      <x:c r="B8625" s="4" t="str">
        <x:v>RS-04263</x:v>
      </x:c>
      <x:c r="C8625" s="9" t="n">
        <x:v>4</x:v>
      </x:c>
      <x:c r="D8625" s="8" t="n">
        <x:v>45632</x:v>
      </x:c>
      <x:c r="E8625" s="9" t="n">
        <x:v>3757500</x:v>
      </x:c>
      <x:c r="F8625" s="9" t="n">
        <x:v>0</x:v>
      </x:c>
    </x:row>
    <x:row r="8626" ht="34" customHeight="1">
      <x:c r="A8626" s="4" t="str">
        <x:v>RS-04264-I1</x:v>
      </x:c>
      <x:c r="B8626" s="4" t="str">
        <x:v>RS-04264</x:v>
      </x:c>
      <x:c r="C8626" s="9" t="n">
        <x:v>1</x:v>
      </x:c>
      <x:c r="D8626" s="8" t="n">
        <x:v>45543</x:v>
      </x:c>
      <x:c r="E8626" s="9" t="n">
        <x:v>4427750</x:v>
      </x:c>
      <x:c r="F8626" s="9" t="n">
        <x:v>1771100</x:v>
      </x:c>
    </x:row>
    <x:row r="8627" ht="34" customHeight="1">
      <x:c r="A8627" s="4" t="str">
        <x:v>RS-04264-I2</x:v>
      </x:c>
      <x:c r="B8627" s="4" t="str">
        <x:v>RS-04264</x:v>
      </x:c>
      <x:c r="C8627" s="9" t="n">
        <x:v>2</x:v>
      </x:c>
      <x:c r="D8627" s="8" t="n">
        <x:v>45573</x:v>
      </x:c>
      <x:c r="E8627" s="9" t="n">
        <x:v>4427750</x:v>
      </x:c>
      <x:c r="F8627" s="9" t="n">
        <x:v>0</x:v>
      </x:c>
    </x:row>
    <x:row r="8628" ht="34" customHeight="1">
      <x:c r="A8628" s="4" t="str">
        <x:v>RS-04264-I3</x:v>
      </x:c>
      <x:c r="B8628" s="4" t="str">
        <x:v>RS-04264</x:v>
      </x:c>
      <x:c r="C8628" s="9" t="n">
        <x:v>3</x:v>
      </x:c>
      <x:c r="D8628" s="8" t="n">
        <x:v>45603</x:v>
      </x:c>
      <x:c r="E8628" s="9" t="n">
        <x:v>4427750</x:v>
      </x:c>
      <x:c r="F8628" s="9" t="n">
        <x:v>0</x:v>
      </x:c>
    </x:row>
    <x:row r="8629" ht="34" customHeight="1">
      <x:c r="A8629" s="4" t="str">
        <x:v>RS-04264-I4</x:v>
      </x:c>
      <x:c r="B8629" s="4" t="str">
        <x:v>RS-04264</x:v>
      </x:c>
      <x:c r="C8629" s="9" t="n">
        <x:v>4</x:v>
      </x:c>
      <x:c r="D8629" s="8" t="n">
        <x:v>45633</x:v>
      </x:c>
      <x:c r="E8629" s="9" t="n">
        <x:v>4427750</x:v>
      </x:c>
      <x:c r="F8629" s="9" t="n">
        <x:v>0</x:v>
      </x:c>
    </x:row>
    <x:row r="8630" ht="34" customHeight="1">
      <x:c r="A8630" s="4" t="str">
        <x:v>RS-04266-I1</x:v>
      </x:c>
      <x:c r="B8630" s="4" t="str">
        <x:v>RS-04266</x:v>
      </x:c>
      <x:c r="C8630" s="9" t="n">
        <x:v>1</x:v>
      </x:c>
      <x:c r="D8630" s="8" t="n">
        <x:v>45545</x:v>
      </x:c>
      <x:c r="E8630" s="9" t="n">
        <x:v>2570500</x:v>
      </x:c>
      <x:c r="F8630" s="9" t="n">
        <x:v>2570500</x:v>
      </x:c>
    </x:row>
    <x:row r="8631" ht="34" customHeight="1">
      <x:c r="A8631" s="4" t="str">
        <x:v>RS-04266-I2</x:v>
      </x:c>
      <x:c r="B8631" s="4" t="str">
        <x:v>RS-04266</x:v>
      </x:c>
      <x:c r="C8631" s="9" t="n">
        <x:v>2</x:v>
      </x:c>
      <x:c r="D8631" s="8" t="n">
        <x:v>45575</x:v>
      </x:c>
      <x:c r="E8631" s="9" t="n">
        <x:v>2570500</x:v>
      </x:c>
      <x:c r="F8631" s="9" t="n">
        <x:v>2570500</x:v>
      </x:c>
    </x:row>
    <x:row r="8632" ht="34" customHeight="1">
      <x:c r="A8632" s="4" t="str">
        <x:v>RS-04266-I3</x:v>
      </x:c>
      <x:c r="B8632" s="4" t="str">
        <x:v>RS-04266</x:v>
      </x:c>
      <x:c r="C8632" s="9" t="n">
        <x:v>3</x:v>
      </x:c>
      <x:c r="D8632" s="8" t="n">
        <x:v>45605</x:v>
      </x:c>
      <x:c r="E8632" s="9" t="n">
        <x:v>2570500</x:v>
      </x:c>
      <x:c r="F8632" s="9" t="n">
        <x:v>0</x:v>
      </x:c>
    </x:row>
    <x:row r="8633" ht="34" customHeight="1">
      <x:c r="A8633" s="4" t="str">
        <x:v>RS-04266-I4</x:v>
      </x:c>
      <x:c r="B8633" s="4" t="str">
        <x:v>RS-04266</x:v>
      </x:c>
      <x:c r="C8633" s="9" t="n">
        <x:v>4</x:v>
      </x:c>
      <x:c r="D8633" s="8" t="n">
        <x:v>45635</x:v>
      </x:c>
      <x:c r="E8633" s="9" t="n">
        <x:v>2570500</x:v>
      </x:c>
      <x:c r="F8633" s="9" t="n">
        <x:v>0</x:v>
      </x:c>
    </x:row>
    <x:row r="8634" ht="34" customHeight="1">
      <x:c r="A8634" s="4" t="str">
        <x:v>RS-04268-I1</x:v>
      </x:c>
      <x:c r="B8634" s="4" t="str">
        <x:v>RS-04268</x:v>
      </x:c>
      <x:c r="C8634" s="9" t="n">
        <x:v>1</x:v>
      </x:c>
      <x:c r="D8634" s="8" t="n">
        <x:v>45547</x:v>
      </x:c>
      <x:c r="E8634" s="9" t="n">
        <x:v>5377500</x:v>
      </x:c>
      <x:c r="F8634" s="9" t="n">
        <x:v>2151000</x:v>
      </x:c>
    </x:row>
    <x:row r="8635" ht="34" customHeight="1">
      <x:c r="A8635" s="4" t="str">
        <x:v>RS-04268-I2</x:v>
      </x:c>
      <x:c r="B8635" s="4" t="str">
        <x:v>RS-04268</x:v>
      </x:c>
      <x:c r="C8635" s="9" t="n">
        <x:v>2</x:v>
      </x:c>
      <x:c r="D8635" s="8" t="n">
        <x:v>45577</x:v>
      </x:c>
      <x:c r="E8635" s="9" t="n">
        <x:v>5377500</x:v>
      </x:c>
      <x:c r="F8635" s="9" t="n">
        <x:v>0</x:v>
      </x:c>
    </x:row>
    <x:row r="8636" ht="34" customHeight="1">
      <x:c r="A8636" s="4" t="str">
        <x:v>RS-04268-I3</x:v>
      </x:c>
      <x:c r="B8636" s="4" t="str">
        <x:v>RS-04268</x:v>
      </x:c>
      <x:c r="C8636" s="9" t="n">
        <x:v>3</x:v>
      </x:c>
      <x:c r="D8636" s="8" t="n">
        <x:v>45607</x:v>
      </x:c>
      <x:c r="E8636" s="9" t="n">
        <x:v>5377500</x:v>
      </x:c>
      <x:c r="F8636" s="9" t="n">
        <x:v>0</x:v>
      </x:c>
    </x:row>
    <x:row r="8637" ht="34" customHeight="1">
      <x:c r="A8637" s="4" t="str">
        <x:v>RS-04268-I4</x:v>
      </x:c>
      <x:c r="B8637" s="4" t="str">
        <x:v>RS-04268</x:v>
      </x:c>
      <x:c r="C8637" s="9" t="n">
        <x:v>4</x:v>
      </x:c>
      <x:c r="D8637" s="8" t="n">
        <x:v>45637</x:v>
      </x:c>
      <x:c r="E8637" s="9" t="n">
        <x:v>5377500</x:v>
      </x:c>
      <x:c r="F8637" s="9" t="n">
        <x:v>0</x:v>
      </x:c>
    </x:row>
    <x:row r="8638" ht="34" customHeight="1">
      <x:c r="A8638" s="4" t="str">
        <x:v>RS-04270-I1</x:v>
      </x:c>
      <x:c r="B8638" s="4" t="str">
        <x:v>RS-04270</x:v>
      </x:c>
      <x:c r="C8638" s="9" t="n">
        <x:v>1</x:v>
      </x:c>
      <x:c r="D8638" s="8" t="n">
        <x:v>45549</x:v>
      </x:c>
      <x:c r="E8638" s="9" t="n">
        <x:v>2134000</x:v>
      </x:c>
      <x:c r="F8638" s="9" t="n">
        <x:v>853600</x:v>
      </x:c>
    </x:row>
    <x:row r="8639" ht="34" customHeight="1">
      <x:c r="A8639" s="4" t="str">
        <x:v>RS-04270-I2</x:v>
      </x:c>
      <x:c r="B8639" s="4" t="str">
        <x:v>RS-04270</x:v>
      </x:c>
      <x:c r="C8639" s="9" t="n">
        <x:v>2</x:v>
      </x:c>
      <x:c r="D8639" s="8" t="n">
        <x:v>45579</x:v>
      </x:c>
      <x:c r="E8639" s="9" t="n">
        <x:v>2134000</x:v>
      </x:c>
      <x:c r="F8639" s="9" t="n">
        <x:v>0</x:v>
      </x:c>
    </x:row>
    <x:row r="8640" ht="34" customHeight="1">
      <x:c r="A8640" s="4" t="str">
        <x:v>RS-04270-I3</x:v>
      </x:c>
      <x:c r="B8640" s="4" t="str">
        <x:v>RS-04270</x:v>
      </x:c>
      <x:c r="C8640" s="9" t="n">
        <x:v>3</x:v>
      </x:c>
      <x:c r="D8640" s="8" t="n">
        <x:v>45609</x:v>
      </x:c>
      <x:c r="E8640" s="9" t="n">
        <x:v>2134000</x:v>
      </x:c>
      <x:c r="F8640" s="9" t="n">
        <x:v>0</x:v>
      </x:c>
    </x:row>
    <x:row r="8641" ht="34" customHeight="1">
      <x:c r="A8641" s="4" t="str">
        <x:v>RS-04270-I4</x:v>
      </x:c>
      <x:c r="B8641" s="4" t="str">
        <x:v>RS-04270</x:v>
      </x:c>
      <x:c r="C8641" s="9" t="n">
        <x:v>4</x:v>
      </x:c>
      <x:c r="D8641" s="8" t="n">
        <x:v>45639</x:v>
      </x:c>
      <x:c r="E8641" s="9" t="n">
        <x:v>2134000</x:v>
      </x:c>
      <x:c r="F8641" s="9" t="n">
        <x:v>0</x:v>
      </x:c>
    </x:row>
    <x:row r="8642" ht="34" customHeight="1">
      <x:c r="A8642" s="4" t="str">
        <x:v>RS-04271-I1</x:v>
      </x:c>
      <x:c r="B8642" s="4" t="str">
        <x:v>RS-04271</x:v>
      </x:c>
      <x:c r="C8642" s="9" t="n">
        <x:v>1</x:v>
      </x:c>
      <x:c r="D8642" s="8" t="n">
        <x:v>45550</x:v>
      </x:c>
      <x:c r="E8642" s="9" t="n">
        <x:v>1160250</x:v>
      </x:c>
      <x:c r="F8642" s="9" t="n">
        <x:v>1160250</x:v>
      </x:c>
    </x:row>
    <x:row r="8643" ht="34" customHeight="1">
      <x:c r="A8643" s="4" t="str">
        <x:v>RS-04271-I2</x:v>
      </x:c>
      <x:c r="B8643" s="4" t="str">
        <x:v>RS-04271</x:v>
      </x:c>
      <x:c r="C8643" s="9" t="n">
        <x:v>2</x:v>
      </x:c>
      <x:c r="D8643" s="8" t="n">
        <x:v>45580</x:v>
      </x:c>
      <x:c r="E8643" s="9" t="n">
        <x:v>1160250</x:v>
      </x:c>
      <x:c r="F8643" s="9" t="n">
        <x:v>1160250</x:v>
      </x:c>
    </x:row>
    <x:row r="8644" ht="34" customHeight="1">
      <x:c r="A8644" s="4" t="str">
        <x:v>RS-04271-I3</x:v>
      </x:c>
      <x:c r="B8644" s="4" t="str">
        <x:v>RS-04271</x:v>
      </x:c>
      <x:c r="C8644" s="9" t="n">
        <x:v>3</x:v>
      </x:c>
      <x:c r="D8644" s="8" t="n">
        <x:v>45610</x:v>
      </x:c>
      <x:c r="E8644" s="9" t="n">
        <x:v>1160250</x:v>
      </x:c>
      <x:c r="F8644" s="9" t="n">
        <x:v>1160250</x:v>
      </x:c>
    </x:row>
    <x:row r="8645" ht="34" customHeight="1">
      <x:c r="A8645" s="4" t="str">
        <x:v>RS-04271-I4</x:v>
      </x:c>
      <x:c r="B8645" s="4" t="str">
        <x:v>RS-04271</x:v>
      </x:c>
      <x:c r="C8645" s="9" t="n">
        <x:v>4</x:v>
      </x:c>
      <x:c r="D8645" s="8" t="n">
        <x:v>45640</x:v>
      </x:c>
      <x:c r="E8645" s="9" t="n">
        <x:v>1160250</x:v>
      </x:c>
      <x:c r="F8645" s="9" t="n">
        <x:v>1160250</x:v>
      </x:c>
    </x:row>
    <x:row r="8646" ht="34" customHeight="1">
      <x:c r="A8646" s="4" t="str">
        <x:v>RS-04272-I1</x:v>
      </x:c>
      <x:c r="B8646" s="4" t="str">
        <x:v>RS-04272</x:v>
      </x:c>
      <x:c r="C8646" s="9" t="n">
        <x:v>1</x:v>
      </x:c>
      <x:c r="D8646" s="8" t="n">
        <x:v>45551</x:v>
      </x:c>
      <x:c r="E8646" s="9" t="n">
        <x:v>4042000</x:v>
      </x:c>
      <x:c r="F8646" s="9" t="n">
        <x:v>4042000</x:v>
      </x:c>
    </x:row>
    <x:row r="8647" ht="34" customHeight="1">
      <x:c r="A8647" s="4" t="str">
        <x:v>RS-04272-I2</x:v>
      </x:c>
      <x:c r="B8647" s="4" t="str">
        <x:v>RS-04272</x:v>
      </x:c>
      <x:c r="C8647" s="9" t="n">
        <x:v>2</x:v>
      </x:c>
      <x:c r="D8647" s="8" t="n">
        <x:v>45581</x:v>
      </x:c>
      <x:c r="E8647" s="9" t="n">
        <x:v>4042000</x:v>
      </x:c>
      <x:c r="F8647" s="9" t="n">
        <x:v>4042000</x:v>
      </x:c>
    </x:row>
    <x:row r="8648" ht="34" customHeight="1">
      <x:c r="A8648" s="4" t="str">
        <x:v>RS-04272-I3</x:v>
      </x:c>
      <x:c r="B8648" s="4" t="str">
        <x:v>RS-04272</x:v>
      </x:c>
      <x:c r="C8648" s="9" t="n">
        <x:v>3</x:v>
      </x:c>
      <x:c r="D8648" s="8" t="n">
        <x:v>45611</x:v>
      </x:c>
      <x:c r="E8648" s="9" t="n">
        <x:v>4042000</x:v>
      </x:c>
      <x:c r="F8648" s="9" t="n">
        <x:v>4042000</x:v>
      </x:c>
    </x:row>
    <x:row r="8649" ht="34" customHeight="1">
      <x:c r="A8649" s="4" t="str">
        <x:v>RS-04272-I4</x:v>
      </x:c>
      <x:c r="B8649" s="4" t="str">
        <x:v>RS-04272</x:v>
      </x:c>
      <x:c r="C8649" s="9" t="n">
        <x:v>4</x:v>
      </x:c>
      <x:c r="D8649" s="8" t="n">
        <x:v>45641</x:v>
      </x:c>
      <x:c r="E8649" s="9" t="n">
        <x:v>4042000</x:v>
      </x:c>
      <x:c r="F8649" s="9" t="n">
        <x:v>4042000</x:v>
      </x:c>
    </x:row>
    <x:row r="8650" ht="34" customHeight="1">
      <x:c r="A8650" s="4" t="str">
        <x:v>RS-04277-I1</x:v>
      </x:c>
      <x:c r="B8650" s="4" t="str">
        <x:v>RS-04277</x:v>
      </x:c>
      <x:c r="C8650" s="9" t="n">
        <x:v>1</x:v>
      </x:c>
      <x:c r="D8650" s="8" t="n">
        <x:v>45556</x:v>
      </x:c>
      <x:c r="E8650" s="9" t="n">
        <x:v>3278250</x:v>
      </x:c>
      <x:c r="F8650" s="9" t="n">
        <x:v>3278250</x:v>
      </x:c>
    </x:row>
    <x:row r="8651" ht="34" customHeight="1">
      <x:c r="A8651" s="4" t="str">
        <x:v>RS-04277-I2</x:v>
      </x:c>
      <x:c r="B8651" s="4" t="str">
        <x:v>RS-04277</x:v>
      </x:c>
      <x:c r="C8651" s="9" t="n">
        <x:v>2</x:v>
      </x:c>
      <x:c r="D8651" s="8" t="n">
        <x:v>45586</x:v>
      </x:c>
      <x:c r="E8651" s="9" t="n">
        <x:v>3278250</x:v>
      </x:c>
      <x:c r="F8651" s="9" t="n">
        <x:v>0</x:v>
      </x:c>
    </x:row>
    <x:row r="8652" ht="34" customHeight="1">
      <x:c r="A8652" s="4" t="str">
        <x:v>RS-04277-I3</x:v>
      </x:c>
      <x:c r="B8652" s="4" t="str">
        <x:v>RS-04277</x:v>
      </x:c>
      <x:c r="C8652" s="9" t="n">
        <x:v>3</x:v>
      </x:c>
      <x:c r="D8652" s="8" t="n">
        <x:v>45616</x:v>
      </x:c>
      <x:c r="E8652" s="9" t="n">
        <x:v>3278250</x:v>
      </x:c>
      <x:c r="F8652" s="9" t="n">
        <x:v>0</x:v>
      </x:c>
    </x:row>
    <x:row r="8653" ht="34" customHeight="1">
      <x:c r="A8653" s="4" t="str">
        <x:v>RS-04277-I4</x:v>
      </x:c>
      <x:c r="B8653" s="4" t="str">
        <x:v>RS-04277</x:v>
      </x:c>
      <x:c r="C8653" s="9" t="n">
        <x:v>4</x:v>
      </x:c>
      <x:c r="D8653" s="8" t="n">
        <x:v>45646</x:v>
      </x:c>
      <x:c r="E8653" s="9" t="n">
        <x:v>3278250</x:v>
      </x:c>
      <x:c r="F8653" s="9" t="n">
        <x:v>0</x:v>
      </x:c>
    </x:row>
    <x:row r="8654" ht="34" customHeight="1">
      <x:c r="A8654" s="4" t="str">
        <x:v>RS-04281-I1</x:v>
      </x:c>
      <x:c r="B8654" s="4" t="str">
        <x:v>RS-04281</x:v>
      </x:c>
      <x:c r="C8654" s="9" t="n">
        <x:v>1</x:v>
      </x:c>
      <x:c r="D8654" s="8" t="n">
        <x:v>45560</x:v>
      </x:c>
      <x:c r="E8654" s="9" t="n">
        <x:v>4998750</x:v>
      </x:c>
      <x:c r="F8654" s="9" t="n">
        <x:v>1999500</x:v>
      </x:c>
    </x:row>
    <x:row r="8655" ht="34" customHeight="1">
      <x:c r="A8655" s="4" t="str">
        <x:v>RS-04281-I2</x:v>
      </x:c>
      <x:c r="B8655" s="4" t="str">
        <x:v>RS-04281</x:v>
      </x:c>
      <x:c r="C8655" s="9" t="n">
        <x:v>2</x:v>
      </x:c>
      <x:c r="D8655" s="8" t="n">
        <x:v>45590</x:v>
      </x:c>
      <x:c r="E8655" s="9" t="n">
        <x:v>4998750</x:v>
      </x:c>
      <x:c r="F8655" s="9" t="n">
        <x:v>0</x:v>
      </x:c>
    </x:row>
    <x:row r="8656" ht="34" customHeight="1">
      <x:c r="A8656" s="4" t="str">
        <x:v>RS-04281-I3</x:v>
      </x:c>
      <x:c r="B8656" s="4" t="str">
        <x:v>RS-04281</x:v>
      </x:c>
      <x:c r="C8656" s="9" t="n">
        <x:v>3</x:v>
      </x:c>
      <x:c r="D8656" s="8" t="n">
        <x:v>45620</x:v>
      </x:c>
      <x:c r="E8656" s="9" t="n">
        <x:v>4998750</x:v>
      </x:c>
      <x:c r="F8656" s="9" t="n">
        <x:v>0</x:v>
      </x:c>
    </x:row>
    <x:row r="8657" ht="34" customHeight="1">
      <x:c r="A8657" s="4" t="str">
        <x:v>RS-04281-I4</x:v>
      </x:c>
      <x:c r="B8657" s="4" t="str">
        <x:v>RS-04281</x:v>
      </x:c>
      <x:c r="C8657" s="9" t="n">
        <x:v>4</x:v>
      </x:c>
      <x:c r="D8657" s="8" t="n">
        <x:v>45650</x:v>
      </x:c>
      <x:c r="E8657" s="9" t="n">
        <x:v>4998750</x:v>
      </x:c>
      <x:c r="F8657" s="9" t="n">
        <x:v>0</x:v>
      </x:c>
    </x:row>
    <x:row r="8658" ht="34" customHeight="1">
      <x:c r="A8658" s="4" t="str">
        <x:v>RS-04283-I1</x:v>
      </x:c>
      <x:c r="B8658" s="4" t="str">
        <x:v>RS-04283</x:v>
      </x:c>
      <x:c r="C8658" s="9" t="n">
        <x:v>1</x:v>
      </x:c>
      <x:c r="D8658" s="8" t="n">
        <x:v>45562</x:v>
      </x:c>
      <x:c r="E8658" s="9" t="n">
        <x:v>3372500</x:v>
      </x:c>
      <x:c r="F8658" s="9" t="n">
        <x:v>3372500</x:v>
      </x:c>
    </x:row>
    <x:row r="8659" ht="34" customHeight="1">
      <x:c r="A8659" s="4" t="str">
        <x:v>RS-04283-I2</x:v>
      </x:c>
      <x:c r="B8659" s="4" t="str">
        <x:v>RS-04283</x:v>
      </x:c>
      <x:c r="C8659" s="9" t="n">
        <x:v>2</x:v>
      </x:c>
      <x:c r="D8659" s="8" t="n">
        <x:v>45592</x:v>
      </x:c>
      <x:c r="E8659" s="9" t="n">
        <x:v>3372500</x:v>
      </x:c>
      <x:c r="F8659" s="9" t="n">
        <x:v>0</x:v>
      </x:c>
    </x:row>
    <x:row r="8660" ht="34" customHeight="1">
      <x:c r="A8660" s="4" t="str">
        <x:v>RS-04283-I3</x:v>
      </x:c>
      <x:c r="B8660" s="4" t="str">
        <x:v>RS-04283</x:v>
      </x:c>
      <x:c r="C8660" s="9" t="n">
        <x:v>3</x:v>
      </x:c>
      <x:c r="D8660" s="8" t="n">
        <x:v>45622</x:v>
      </x:c>
      <x:c r="E8660" s="9" t="n">
        <x:v>3372500</x:v>
      </x:c>
      <x:c r="F8660" s="9" t="n">
        <x:v>0</x:v>
      </x:c>
    </x:row>
    <x:row r="8661" ht="34" customHeight="1">
      <x:c r="A8661" s="4" t="str">
        <x:v>RS-04283-I4</x:v>
      </x:c>
      <x:c r="B8661" s="4" t="str">
        <x:v>RS-04283</x:v>
      </x:c>
      <x:c r="C8661" s="9" t="n">
        <x:v>4</x:v>
      </x:c>
      <x:c r="D8661" s="8" t="n">
        <x:v>45652</x:v>
      </x:c>
      <x:c r="E8661" s="9" t="n">
        <x:v>3372500</x:v>
      </x:c>
      <x:c r="F8661" s="9" t="n">
        <x:v>0</x:v>
      </x:c>
    </x:row>
    <x:row r="8662" ht="34" customHeight="1">
      <x:c r="A8662" s="4" t="str">
        <x:v>RS-04286-I1</x:v>
      </x:c>
      <x:c r="B8662" s="4" t="str">
        <x:v>RS-04286</x:v>
      </x:c>
      <x:c r="C8662" s="9" t="n">
        <x:v>1</x:v>
      </x:c>
      <x:c r="D8662" s="8" t="n">
        <x:v>45537</x:v>
      </x:c>
      <x:c r="E8662" s="9" t="n">
        <x:v>2470000</x:v>
      </x:c>
      <x:c r="F8662" s="9" t="n">
        <x:v>2470000</x:v>
      </x:c>
    </x:row>
    <x:row r="8663" ht="34" customHeight="1">
      <x:c r="A8663" s="4" t="str">
        <x:v>RS-04286-I2</x:v>
      </x:c>
      <x:c r="B8663" s="4" t="str">
        <x:v>RS-04286</x:v>
      </x:c>
      <x:c r="C8663" s="9" t="n">
        <x:v>2</x:v>
      </x:c>
      <x:c r="D8663" s="8" t="n">
        <x:v>45567</x:v>
      </x:c>
      <x:c r="E8663" s="9" t="n">
        <x:v>2470000</x:v>
      </x:c>
      <x:c r="F8663" s="9" t="n">
        <x:v>2470000</x:v>
      </x:c>
    </x:row>
    <x:row r="8664" ht="34" customHeight="1">
      <x:c r="A8664" s="4" t="str">
        <x:v>RS-04286-I3</x:v>
      </x:c>
      <x:c r="B8664" s="4" t="str">
        <x:v>RS-04286</x:v>
      </x:c>
      <x:c r="C8664" s="9" t="n">
        <x:v>3</x:v>
      </x:c>
      <x:c r="D8664" s="8" t="n">
        <x:v>45597</x:v>
      </x:c>
      <x:c r="E8664" s="9" t="n">
        <x:v>2470000</x:v>
      </x:c>
      <x:c r="F8664" s="9" t="n">
        <x:v>2470000</x:v>
      </x:c>
    </x:row>
    <x:row r="8665" ht="34" customHeight="1">
      <x:c r="A8665" s="4" t="str">
        <x:v>RS-04286-I4</x:v>
      </x:c>
      <x:c r="B8665" s="4" t="str">
        <x:v>RS-04286</x:v>
      </x:c>
      <x:c r="C8665" s="9" t="n">
        <x:v>4</x:v>
      </x:c>
      <x:c r="D8665" s="8" t="n">
        <x:v>45627</x:v>
      </x:c>
      <x:c r="E8665" s="9" t="n">
        <x:v>2470000</x:v>
      </x:c>
      <x:c r="F8665" s="9" t="n">
        <x:v>2470000</x:v>
      </x:c>
    </x:row>
    <x:row r="8666" ht="34" customHeight="1">
      <x:c r="A8666" s="4" t="str">
        <x:v>RS-04287-I1</x:v>
      </x:c>
      <x:c r="B8666" s="4" t="str">
        <x:v>RS-04287</x:v>
      </x:c>
      <x:c r="C8666" s="9" t="n">
        <x:v>1</x:v>
      </x:c>
      <x:c r="D8666" s="8" t="n">
        <x:v>45538</x:v>
      </x:c>
      <x:c r="E8666" s="9" t="n">
        <x:v>1518000</x:v>
      </x:c>
      <x:c r="F8666" s="9" t="n">
        <x:v>607200</x:v>
      </x:c>
    </x:row>
    <x:row r="8667" ht="34" customHeight="1">
      <x:c r="A8667" s="4" t="str">
        <x:v>RS-04287-I2</x:v>
      </x:c>
      <x:c r="B8667" s="4" t="str">
        <x:v>RS-04287</x:v>
      </x:c>
      <x:c r="C8667" s="9" t="n">
        <x:v>2</x:v>
      </x:c>
      <x:c r="D8667" s="8" t="n">
        <x:v>45568</x:v>
      </x:c>
      <x:c r="E8667" s="9" t="n">
        <x:v>1518000</x:v>
      </x:c>
      <x:c r="F8667" s="9" t="n">
        <x:v>0</x:v>
      </x:c>
    </x:row>
    <x:row r="8668" ht="34" customHeight="1">
      <x:c r="A8668" s="4" t="str">
        <x:v>RS-04287-I3</x:v>
      </x:c>
      <x:c r="B8668" s="4" t="str">
        <x:v>RS-04287</x:v>
      </x:c>
      <x:c r="C8668" s="9" t="n">
        <x:v>3</x:v>
      </x:c>
      <x:c r="D8668" s="8" t="n">
        <x:v>45598</x:v>
      </x:c>
      <x:c r="E8668" s="9" t="n">
        <x:v>1518000</x:v>
      </x:c>
      <x:c r="F8668" s="9" t="n">
        <x:v>0</x:v>
      </x:c>
    </x:row>
    <x:row r="8669" ht="34" customHeight="1">
      <x:c r="A8669" s="4" t="str">
        <x:v>RS-04287-I4</x:v>
      </x:c>
      <x:c r="B8669" s="4" t="str">
        <x:v>RS-04287</x:v>
      </x:c>
      <x:c r="C8669" s="9" t="n">
        <x:v>4</x:v>
      </x:c>
      <x:c r="D8669" s="8" t="n">
        <x:v>45628</x:v>
      </x:c>
      <x:c r="E8669" s="9" t="n">
        <x:v>1518000</x:v>
      </x:c>
      <x:c r="F8669" s="9" t="n">
        <x:v>0</x:v>
      </x:c>
    </x:row>
    <x:row r="8670" ht="34" customHeight="1">
      <x:c r="A8670" s="4" t="str">
        <x:v>RS-04288-I1</x:v>
      </x:c>
      <x:c r="B8670" s="4" t="str">
        <x:v>RS-04288</x:v>
      </x:c>
      <x:c r="C8670" s="9" t="n">
        <x:v>1</x:v>
      </x:c>
      <x:c r="D8670" s="8" t="n">
        <x:v>45539</x:v>
      </x:c>
      <x:c r="E8670" s="9" t="n">
        <x:v>4567500</x:v>
      </x:c>
      <x:c r="F8670" s="9" t="n">
        <x:v>4567500</x:v>
      </x:c>
    </x:row>
    <x:row r="8671" ht="34" customHeight="1">
      <x:c r="A8671" s="4" t="str">
        <x:v>RS-04288-I2</x:v>
      </x:c>
      <x:c r="B8671" s="4" t="str">
        <x:v>RS-04288</x:v>
      </x:c>
      <x:c r="C8671" s="9" t="n">
        <x:v>2</x:v>
      </x:c>
      <x:c r="D8671" s="8" t="n">
        <x:v>45569</x:v>
      </x:c>
      <x:c r="E8671" s="9" t="n">
        <x:v>4567500</x:v>
      </x:c>
      <x:c r="F8671" s="9" t="n">
        <x:v>4567500</x:v>
      </x:c>
    </x:row>
    <x:row r="8672" ht="34" customHeight="1">
      <x:c r="A8672" s="4" t="str">
        <x:v>RS-04288-I3</x:v>
      </x:c>
      <x:c r="B8672" s="4" t="str">
        <x:v>RS-04288</x:v>
      </x:c>
      <x:c r="C8672" s="9" t="n">
        <x:v>3</x:v>
      </x:c>
      <x:c r="D8672" s="8" t="n">
        <x:v>45599</x:v>
      </x:c>
      <x:c r="E8672" s="9" t="n">
        <x:v>4567500</x:v>
      </x:c>
      <x:c r="F8672" s="9" t="n">
        <x:v>0</x:v>
      </x:c>
    </x:row>
    <x:row r="8673" ht="34" customHeight="1">
      <x:c r="A8673" s="4" t="str">
        <x:v>RS-04288-I4</x:v>
      </x:c>
      <x:c r="B8673" s="4" t="str">
        <x:v>RS-04288</x:v>
      </x:c>
      <x:c r="C8673" s="9" t="n">
        <x:v>4</x:v>
      </x:c>
      <x:c r="D8673" s="8" t="n">
        <x:v>45629</x:v>
      </x:c>
      <x:c r="E8673" s="9" t="n">
        <x:v>4567500</x:v>
      </x:c>
      <x:c r="F8673" s="9" t="n">
        <x:v>0</x:v>
      </x:c>
    </x:row>
    <x:row r="8674" ht="34" customHeight="1">
      <x:c r="A8674" s="4" t="str">
        <x:v>RS-04289-I1</x:v>
      </x:c>
      <x:c r="B8674" s="4" t="str">
        <x:v>RS-04289</x:v>
      </x:c>
      <x:c r="C8674" s="9" t="n">
        <x:v>1</x:v>
      </x:c>
      <x:c r="D8674" s="8" t="n">
        <x:v>45540</x:v>
      </x:c>
      <x:c r="E8674" s="9" t="n">
        <x:v>5295500</x:v>
      </x:c>
      <x:c r="F8674" s="9" t="n">
        <x:v>2118200</x:v>
      </x:c>
    </x:row>
    <x:row r="8675" ht="34" customHeight="1">
      <x:c r="A8675" s="4" t="str">
        <x:v>RS-04289-I2</x:v>
      </x:c>
      <x:c r="B8675" s="4" t="str">
        <x:v>RS-04289</x:v>
      </x:c>
      <x:c r="C8675" s="9" t="n">
        <x:v>2</x:v>
      </x:c>
      <x:c r="D8675" s="8" t="n">
        <x:v>45570</x:v>
      </x:c>
      <x:c r="E8675" s="9" t="n">
        <x:v>5295500</x:v>
      </x:c>
      <x:c r="F8675" s="9" t="n">
        <x:v>0</x:v>
      </x:c>
    </x:row>
    <x:row r="8676" ht="34" customHeight="1">
      <x:c r="A8676" s="4" t="str">
        <x:v>RS-04289-I3</x:v>
      </x:c>
      <x:c r="B8676" s="4" t="str">
        <x:v>RS-04289</x:v>
      </x:c>
      <x:c r="C8676" s="9" t="n">
        <x:v>3</x:v>
      </x:c>
      <x:c r="D8676" s="8" t="n">
        <x:v>45600</x:v>
      </x:c>
      <x:c r="E8676" s="9" t="n">
        <x:v>5295500</x:v>
      </x:c>
      <x:c r="F8676" s="9" t="n">
        <x:v>0</x:v>
      </x:c>
    </x:row>
    <x:row r="8677" ht="34" customHeight="1">
      <x:c r="A8677" s="4" t="str">
        <x:v>RS-04289-I4</x:v>
      </x:c>
      <x:c r="B8677" s="4" t="str">
        <x:v>RS-04289</x:v>
      </x:c>
      <x:c r="C8677" s="9" t="n">
        <x:v>4</x:v>
      </x:c>
      <x:c r="D8677" s="8" t="n">
        <x:v>45630</x:v>
      </x:c>
      <x:c r="E8677" s="9" t="n">
        <x:v>5295500</x:v>
      </x:c>
      <x:c r="F8677" s="9" t="n">
        <x:v>0</x:v>
      </x:c>
    </x:row>
    <x:row r="8678" ht="34" customHeight="1">
      <x:c r="A8678" s="4" t="str">
        <x:v>RS-04293-I1</x:v>
      </x:c>
      <x:c r="B8678" s="4" t="str">
        <x:v>RS-04293</x:v>
      </x:c>
      <x:c r="C8678" s="9" t="n">
        <x:v>1</x:v>
      </x:c>
      <x:c r="D8678" s="8" t="n">
        <x:v>45544</x:v>
      </x:c>
      <x:c r="E8678" s="9" t="n">
        <x:v>2859750</x:v>
      </x:c>
      <x:c r="F8678" s="9" t="n">
        <x:v>1143900</x:v>
      </x:c>
    </x:row>
    <x:row r="8679" ht="34" customHeight="1">
      <x:c r="A8679" s="4" t="str">
        <x:v>RS-04293-I2</x:v>
      </x:c>
      <x:c r="B8679" s="4" t="str">
        <x:v>RS-04293</x:v>
      </x:c>
      <x:c r="C8679" s="9" t="n">
        <x:v>2</x:v>
      </x:c>
      <x:c r="D8679" s="8" t="n">
        <x:v>45574</x:v>
      </x:c>
      <x:c r="E8679" s="9" t="n">
        <x:v>2859750</x:v>
      </x:c>
      <x:c r="F8679" s="9" t="n">
        <x:v>0</x:v>
      </x:c>
    </x:row>
    <x:row r="8680" ht="34" customHeight="1">
      <x:c r="A8680" s="4" t="str">
        <x:v>RS-04293-I3</x:v>
      </x:c>
      <x:c r="B8680" s="4" t="str">
        <x:v>RS-04293</x:v>
      </x:c>
      <x:c r="C8680" s="9" t="n">
        <x:v>3</x:v>
      </x:c>
      <x:c r="D8680" s="8" t="n">
        <x:v>45604</x:v>
      </x:c>
      <x:c r="E8680" s="9" t="n">
        <x:v>2859750</x:v>
      </x:c>
      <x:c r="F8680" s="9" t="n">
        <x:v>0</x:v>
      </x:c>
    </x:row>
    <x:row r="8681" ht="34" customHeight="1">
      <x:c r="A8681" s="4" t="str">
        <x:v>RS-04293-I4</x:v>
      </x:c>
      <x:c r="B8681" s="4" t="str">
        <x:v>RS-04293</x:v>
      </x:c>
      <x:c r="C8681" s="9" t="n">
        <x:v>4</x:v>
      </x:c>
      <x:c r="D8681" s="8" t="n">
        <x:v>45634</x:v>
      </x:c>
      <x:c r="E8681" s="9" t="n">
        <x:v>2859750</x:v>
      </x:c>
      <x:c r="F8681" s="9" t="n">
        <x:v>0</x:v>
      </x:c>
    </x:row>
    <x:row r="8682" ht="34" customHeight="1">
      <x:c r="A8682" s="4" t="str">
        <x:v>RS-04294-I1</x:v>
      </x:c>
      <x:c r="B8682" s="4" t="str">
        <x:v>RS-04294</x:v>
      </x:c>
      <x:c r="C8682" s="9" t="n">
        <x:v>1</x:v>
      </x:c>
      <x:c r="D8682" s="8" t="n">
        <x:v>45545</x:v>
      </x:c>
      <x:c r="E8682" s="9" t="n">
        <x:v>1081000</x:v>
      </x:c>
      <x:c r="F8682" s="9" t="n">
        <x:v>1081000</x:v>
      </x:c>
    </x:row>
    <x:row r="8683" ht="34" customHeight="1">
      <x:c r="A8683" s="4" t="str">
        <x:v>RS-04294-I2</x:v>
      </x:c>
      <x:c r="B8683" s="4" t="str">
        <x:v>RS-04294</x:v>
      </x:c>
      <x:c r="C8683" s="9" t="n">
        <x:v>2</x:v>
      </x:c>
      <x:c r="D8683" s="8" t="n">
        <x:v>45575</x:v>
      </x:c>
      <x:c r="E8683" s="9" t="n">
        <x:v>1081000</x:v>
      </x:c>
      <x:c r="F8683" s="9" t="n">
        <x:v>1081000</x:v>
      </x:c>
    </x:row>
    <x:row r="8684" ht="34" customHeight="1">
      <x:c r="A8684" s="4" t="str">
        <x:v>RS-04294-I3</x:v>
      </x:c>
      <x:c r="B8684" s="4" t="str">
        <x:v>RS-04294</x:v>
      </x:c>
      <x:c r="C8684" s="9" t="n">
        <x:v>3</x:v>
      </x:c>
      <x:c r="D8684" s="8" t="n">
        <x:v>45605</x:v>
      </x:c>
      <x:c r="E8684" s="9" t="n">
        <x:v>1081000</x:v>
      </x:c>
      <x:c r="F8684" s="9" t="n">
        <x:v>0</x:v>
      </x:c>
    </x:row>
    <x:row r="8685" ht="34" customHeight="1">
      <x:c r="A8685" s="4" t="str">
        <x:v>RS-04294-I4</x:v>
      </x:c>
      <x:c r="B8685" s="4" t="str">
        <x:v>RS-04294</x:v>
      </x:c>
      <x:c r="C8685" s="9" t="n">
        <x:v>4</x:v>
      </x:c>
      <x:c r="D8685" s="8" t="n">
        <x:v>45635</x:v>
      </x:c>
      <x:c r="E8685" s="9" t="n">
        <x:v>1081000</x:v>
      </x:c>
      <x:c r="F8685" s="9" t="n">
        <x:v>0</x:v>
      </x:c>
    </x:row>
    <x:row r="8686" ht="34" customHeight="1">
      <x:c r="A8686" s="4" t="str">
        <x:v>RS-04298-I1</x:v>
      </x:c>
      <x:c r="B8686" s="4" t="str">
        <x:v>RS-04298</x:v>
      </x:c>
      <x:c r="C8686" s="9" t="n">
        <x:v>1</x:v>
      </x:c>
      <x:c r="D8686" s="8" t="n">
        <x:v>45549</x:v>
      </x:c>
      <x:c r="E8686" s="9" t="n">
        <x:v>3864000</x:v>
      </x:c>
      <x:c r="F8686" s="9" t="n">
        <x:v>3864000</x:v>
      </x:c>
    </x:row>
    <x:row r="8687" ht="34" customHeight="1">
      <x:c r="A8687" s="4" t="str">
        <x:v>RS-04298-I2</x:v>
      </x:c>
      <x:c r="B8687" s="4" t="str">
        <x:v>RS-04298</x:v>
      </x:c>
      <x:c r="C8687" s="9" t="n">
        <x:v>2</x:v>
      </x:c>
      <x:c r="D8687" s="8" t="n">
        <x:v>45579</x:v>
      </x:c>
      <x:c r="E8687" s="9" t="n">
        <x:v>3864000</x:v>
      </x:c>
      <x:c r="F8687" s="9" t="n">
        <x:v>3864000</x:v>
      </x:c>
    </x:row>
    <x:row r="8688" ht="34" customHeight="1">
      <x:c r="A8688" s="4" t="str">
        <x:v>RS-04298-I3</x:v>
      </x:c>
      <x:c r="B8688" s="4" t="str">
        <x:v>RS-04298</x:v>
      </x:c>
      <x:c r="C8688" s="9" t="n">
        <x:v>3</x:v>
      </x:c>
      <x:c r="D8688" s="8" t="n">
        <x:v>45609</x:v>
      </x:c>
      <x:c r="E8688" s="9" t="n">
        <x:v>3864000</x:v>
      </x:c>
      <x:c r="F8688" s="9" t="n">
        <x:v>0</x:v>
      </x:c>
    </x:row>
    <x:row r="8689" ht="34" customHeight="1">
      <x:c r="A8689" s="4" t="str">
        <x:v>RS-04298-I4</x:v>
      </x:c>
      <x:c r="B8689" s="4" t="str">
        <x:v>RS-04298</x:v>
      </x:c>
      <x:c r="C8689" s="9" t="n">
        <x:v>4</x:v>
      </x:c>
      <x:c r="D8689" s="8" t="n">
        <x:v>45639</x:v>
      </x:c>
      <x:c r="E8689" s="9" t="n">
        <x:v>3864000</x:v>
      </x:c>
      <x:c r="F8689" s="9" t="n">
        <x:v>0</x:v>
      </x:c>
    </x:row>
    <x:row r="8690" ht="34" customHeight="1">
      <x:c r="A8690" s="4" t="str">
        <x:v>RS-04299-I1</x:v>
      </x:c>
      <x:c r="B8690" s="4" t="str">
        <x:v>RS-04299</x:v>
      </x:c>
      <x:c r="C8690" s="9" t="n">
        <x:v>1</x:v>
      </x:c>
      <x:c r="D8690" s="8" t="n">
        <x:v>45550</x:v>
      </x:c>
      <x:c r="E8690" s="9" t="n">
        <x:v>5334500</x:v>
      </x:c>
      <x:c r="F8690" s="9" t="n">
        <x:v>5334500</x:v>
      </x:c>
    </x:row>
    <x:row r="8691" ht="34" customHeight="1">
      <x:c r="A8691" s="4" t="str">
        <x:v>RS-04299-I2</x:v>
      </x:c>
      <x:c r="B8691" s="4" t="str">
        <x:v>RS-04299</x:v>
      </x:c>
      <x:c r="C8691" s="9" t="n">
        <x:v>2</x:v>
      </x:c>
      <x:c r="D8691" s="8" t="n">
        <x:v>45580</x:v>
      </x:c>
      <x:c r="E8691" s="9" t="n">
        <x:v>5334500</x:v>
      </x:c>
      <x:c r="F8691" s="9" t="n">
        <x:v>5334500</x:v>
      </x:c>
    </x:row>
    <x:row r="8692" ht="34" customHeight="1">
      <x:c r="A8692" s="4" t="str">
        <x:v>RS-04299-I3</x:v>
      </x:c>
      <x:c r="B8692" s="4" t="str">
        <x:v>RS-04299</x:v>
      </x:c>
      <x:c r="C8692" s="9" t="n">
        <x:v>3</x:v>
      </x:c>
      <x:c r="D8692" s="8" t="n">
        <x:v>45610</x:v>
      </x:c>
      <x:c r="E8692" s="9" t="n">
        <x:v>5334500</x:v>
      </x:c>
      <x:c r="F8692" s="9" t="n">
        <x:v>5334500</x:v>
      </x:c>
    </x:row>
    <x:row r="8693" ht="34" customHeight="1">
      <x:c r="A8693" s="4" t="str">
        <x:v>RS-04299-I4</x:v>
      </x:c>
      <x:c r="B8693" s="4" t="str">
        <x:v>RS-04299</x:v>
      </x:c>
      <x:c r="C8693" s="9" t="n">
        <x:v>4</x:v>
      </x:c>
      <x:c r="D8693" s="8" t="n">
        <x:v>45640</x:v>
      </x:c>
      <x:c r="E8693" s="9" t="n">
        <x:v>5334500</x:v>
      </x:c>
      <x:c r="F8693" s="9" t="n">
        <x:v>5334500</x:v>
      </x:c>
    </x:row>
    <x:row r="8694" ht="34" customHeight="1">
      <x:c r="A8694" s="4" t="str">
        <x:v>RS-04301-I1</x:v>
      </x:c>
      <x:c r="B8694" s="4" t="str">
        <x:v>RS-04301</x:v>
      </x:c>
      <x:c r="C8694" s="9" t="n">
        <x:v>1</x:v>
      </x:c>
      <x:c r="D8694" s="8" t="n">
        <x:v>45552</x:v>
      </x:c>
      <x:c r="E8694" s="9" t="n">
        <x:v>1448750</x:v>
      </x:c>
      <x:c r="F8694" s="9" t="n">
        <x:v>579500</x:v>
      </x:c>
    </x:row>
    <x:row r="8695" ht="34" customHeight="1">
      <x:c r="A8695" s="4" t="str">
        <x:v>RS-04301-I2</x:v>
      </x:c>
      <x:c r="B8695" s="4" t="str">
        <x:v>RS-04301</x:v>
      </x:c>
      <x:c r="C8695" s="9" t="n">
        <x:v>2</x:v>
      </x:c>
      <x:c r="D8695" s="8" t="n">
        <x:v>45582</x:v>
      </x:c>
      <x:c r="E8695" s="9" t="n">
        <x:v>1448750</x:v>
      </x:c>
      <x:c r="F8695" s="9" t="n">
        <x:v>0</x:v>
      </x:c>
    </x:row>
    <x:row r="8696" ht="34" customHeight="1">
      <x:c r="A8696" s="4" t="str">
        <x:v>RS-04301-I3</x:v>
      </x:c>
      <x:c r="B8696" s="4" t="str">
        <x:v>RS-04301</x:v>
      </x:c>
      <x:c r="C8696" s="9" t="n">
        <x:v>3</x:v>
      </x:c>
      <x:c r="D8696" s="8" t="n">
        <x:v>45612</x:v>
      </x:c>
      <x:c r="E8696" s="9" t="n">
        <x:v>1448750</x:v>
      </x:c>
      <x:c r="F8696" s="9" t="n">
        <x:v>0</x:v>
      </x:c>
    </x:row>
    <x:row r="8697" ht="34" customHeight="1">
      <x:c r="A8697" s="4" t="str">
        <x:v>RS-04301-I4</x:v>
      </x:c>
      <x:c r="B8697" s="4" t="str">
        <x:v>RS-04301</x:v>
      </x:c>
      <x:c r="C8697" s="9" t="n">
        <x:v>4</x:v>
      </x:c>
      <x:c r="D8697" s="8" t="n">
        <x:v>45642</x:v>
      </x:c>
      <x:c r="E8697" s="9" t="n">
        <x:v>1448750</x:v>
      </x:c>
      <x:c r="F8697" s="9" t="n">
        <x:v>0</x:v>
      </x:c>
    </x:row>
    <x:row r="8698" ht="34" customHeight="1">
      <x:c r="A8698" s="4" t="str">
        <x:v>RS-04304-I1</x:v>
      </x:c>
      <x:c r="B8698" s="4" t="str">
        <x:v>RS-04304</x:v>
      </x:c>
      <x:c r="C8698" s="9" t="n">
        <x:v>1</x:v>
      </x:c>
      <x:c r="D8698" s="8" t="n">
        <x:v>45555</x:v>
      </x:c>
      <x:c r="E8698" s="9" t="n">
        <x:v>980000</x:v>
      </x:c>
      <x:c r="F8698" s="9" t="n">
        <x:v>980000</x:v>
      </x:c>
    </x:row>
    <x:row r="8699" ht="34" customHeight="1">
      <x:c r="A8699" s="4" t="str">
        <x:v>RS-04304-I2</x:v>
      </x:c>
      <x:c r="B8699" s="4" t="str">
        <x:v>RS-04304</x:v>
      </x:c>
      <x:c r="C8699" s="9" t="n">
        <x:v>2</x:v>
      </x:c>
      <x:c r="D8699" s="8" t="n">
        <x:v>45585</x:v>
      </x:c>
      <x:c r="E8699" s="9" t="n">
        <x:v>980000</x:v>
      </x:c>
      <x:c r="F8699" s="9" t="n">
        <x:v>0</x:v>
      </x:c>
    </x:row>
    <x:row r="8700" ht="34" customHeight="1">
      <x:c r="A8700" s="4" t="str">
        <x:v>RS-04304-I3</x:v>
      </x:c>
      <x:c r="B8700" s="4" t="str">
        <x:v>RS-04304</x:v>
      </x:c>
      <x:c r="C8700" s="9" t="n">
        <x:v>3</x:v>
      </x:c>
      <x:c r="D8700" s="8" t="n">
        <x:v>45615</x:v>
      </x:c>
      <x:c r="E8700" s="9" t="n">
        <x:v>980000</x:v>
      </x:c>
      <x:c r="F8700" s="9" t="n">
        <x:v>0</x:v>
      </x:c>
    </x:row>
    <x:row r="8701" ht="34" customHeight="1">
      <x:c r="A8701" s="4" t="str">
        <x:v>RS-04304-I4</x:v>
      </x:c>
      <x:c r="B8701" s="4" t="str">
        <x:v>RS-04304</x:v>
      </x:c>
      <x:c r="C8701" s="9" t="n">
        <x:v>4</x:v>
      </x:c>
      <x:c r="D8701" s="8" t="n">
        <x:v>45645</x:v>
      </x:c>
      <x:c r="E8701" s="9" t="n">
        <x:v>980000</x:v>
      </x:c>
      <x:c r="F8701" s="9" t="n">
        <x:v>0</x:v>
      </x:c>
    </x:row>
    <x:row r="8702" ht="34" customHeight="1">
      <x:c r="A8702" s="4" t="str">
        <x:v>RS-04305-I1</x:v>
      </x:c>
      <x:c r="B8702" s="4" t="str">
        <x:v>RS-04305</x:v>
      </x:c>
      <x:c r="C8702" s="9" t="n">
        <x:v>1</x:v>
      </x:c>
      <x:c r="D8702" s="8" t="n">
        <x:v>45556</x:v>
      </x:c>
      <x:c r="E8702" s="9" t="n">
        <x:v>5965500</x:v>
      </x:c>
      <x:c r="F8702" s="9" t="n">
        <x:v>5965500</x:v>
      </x:c>
    </x:row>
    <x:row r="8703" ht="34" customHeight="1">
      <x:c r="A8703" s="4" t="str">
        <x:v>RS-04305-I2</x:v>
      </x:c>
      <x:c r="B8703" s="4" t="str">
        <x:v>RS-04305</x:v>
      </x:c>
      <x:c r="C8703" s="9" t="n">
        <x:v>2</x:v>
      </x:c>
      <x:c r="D8703" s="8" t="n">
        <x:v>45586</x:v>
      </x:c>
      <x:c r="E8703" s="9" t="n">
        <x:v>5965500</x:v>
      </x:c>
      <x:c r="F8703" s="9" t="n">
        <x:v>0</x:v>
      </x:c>
    </x:row>
    <x:row r="8704" ht="34" customHeight="1">
      <x:c r="A8704" s="4" t="str">
        <x:v>RS-04305-I3</x:v>
      </x:c>
      <x:c r="B8704" s="4" t="str">
        <x:v>RS-04305</x:v>
      </x:c>
      <x:c r="C8704" s="9" t="n">
        <x:v>3</x:v>
      </x:c>
      <x:c r="D8704" s="8" t="n">
        <x:v>45616</x:v>
      </x:c>
      <x:c r="E8704" s="9" t="n">
        <x:v>5965500</x:v>
      </x:c>
      <x:c r="F8704" s="9" t="n">
        <x:v>0</x:v>
      </x:c>
    </x:row>
    <x:row r="8705" ht="34" customHeight="1">
      <x:c r="A8705" s="4" t="str">
        <x:v>RS-04305-I4</x:v>
      </x:c>
      <x:c r="B8705" s="4" t="str">
        <x:v>RS-04305</x:v>
      </x:c>
      <x:c r="C8705" s="9" t="n">
        <x:v>4</x:v>
      </x:c>
      <x:c r="D8705" s="8" t="n">
        <x:v>45646</x:v>
      </x:c>
      <x:c r="E8705" s="9" t="n">
        <x:v>5965500</x:v>
      </x:c>
      <x:c r="F8705" s="9" t="n">
        <x:v>0</x:v>
      </x:c>
    </x:row>
    <x:row r="8706" ht="34" customHeight="1">
      <x:c r="A8706" s="4" t="str">
        <x:v>RS-04307-I1</x:v>
      </x:c>
      <x:c r="B8706" s="4" t="str">
        <x:v>RS-04307</x:v>
      </x:c>
      <x:c r="C8706" s="9" t="n">
        <x:v>1</x:v>
      </x:c>
      <x:c r="D8706" s="8" t="n">
        <x:v>45558</x:v>
      </x:c>
      <x:c r="E8706" s="9" t="n">
        <x:v>2064000</x:v>
      </x:c>
      <x:c r="F8706" s="9" t="n">
        <x:v>2064000</x:v>
      </x:c>
    </x:row>
    <x:row r="8707" ht="34" customHeight="1">
      <x:c r="A8707" s="4" t="str">
        <x:v>RS-04307-I2</x:v>
      </x:c>
      <x:c r="B8707" s="4" t="str">
        <x:v>RS-04307</x:v>
      </x:c>
      <x:c r="C8707" s="9" t="n">
        <x:v>2</x:v>
      </x:c>
      <x:c r="D8707" s="8" t="n">
        <x:v>45588</x:v>
      </x:c>
      <x:c r="E8707" s="9" t="n">
        <x:v>2064000</x:v>
      </x:c>
      <x:c r="F8707" s="9" t="n">
        <x:v>0</x:v>
      </x:c>
    </x:row>
    <x:row r="8708" ht="34" customHeight="1">
      <x:c r="A8708" s="4" t="str">
        <x:v>RS-04307-I3</x:v>
      </x:c>
      <x:c r="B8708" s="4" t="str">
        <x:v>RS-04307</x:v>
      </x:c>
      <x:c r="C8708" s="9" t="n">
        <x:v>3</x:v>
      </x:c>
      <x:c r="D8708" s="8" t="n">
        <x:v>45618</x:v>
      </x:c>
      <x:c r="E8708" s="9" t="n">
        <x:v>2064000</x:v>
      </x:c>
      <x:c r="F8708" s="9" t="n">
        <x:v>0</x:v>
      </x:c>
    </x:row>
    <x:row r="8709" ht="34" customHeight="1">
      <x:c r="A8709" s="4" t="str">
        <x:v>RS-04307-I4</x:v>
      </x:c>
      <x:c r="B8709" s="4" t="str">
        <x:v>RS-04307</x:v>
      </x:c>
      <x:c r="C8709" s="9" t="n">
        <x:v>4</x:v>
      </x:c>
      <x:c r="D8709" s="8" t="n">
        <x:v>45648</x:v>
      </x:c>
      <x:c r="E8709" s="9" t="n">
        <x:v>2064000</x:v>
      </x:c>
      <x:c r="F8709" s="9" t="n">
        <x:v>0</x:v>
      </x:c>
    </x:row>
    <x:row r="8710" ht="34" customHeight="1">
      <x:c r="A8710" s="4" t="str">
        <x:v>RS-04311-I1</x:v>
      </x:c>
      <x:c r="B8710" s="4" t="str">
        <x:v>RS-04311</x:v>
      </x:c>
      <x:c r="C8710" s="9" t="n">
        <x:v>1</x:v>
      </x:c>
      <x:c r="D8710" s="8" t="n">
        <x:v>45562</x:v>
      </x:c>
      <x:c r="E8710" s="9" t="n">
        <x:v>1035000</x:v>
      </x:c>
      <x:c r="F8710" s="9" t="n">
        <x:v>1035000</x:v>
      </x:c>
    </x:row>
    <x:row r="8711" ht="34" customHeight="1">
      <x:c r="A8711" s="4" t="str">
        <x:v>RS-04311-I2</x:v>
      </x:c>
      <x:c r="B8711" s="4" t="str">
        <x:v>RS-04311</x:v>
      </x:c>
      <x:c r="C8711" s="9" t="n">
        <x:v>2</x:v>
      </x:c>
      <x:c r="D8711" s="8" t="n">
        <x:v>45592</x:v>
      </x:c>
      <x:c r="E8711" s="9" t="n">
        <x:v>1035000</x:v>
      </x:c>
      <x:c r="F8711" s="9" t="n">
        <x:v>1035000</x:v>
      </x:c>
    </x:row>
    <x:row r="8712" ht="34" customHeight="1">
      <x:c r="A8712" s="4" t="str">
        <x:v>RS-04311-I3</x:v>
      </x:c>
      <x:c r="B8712" s="4" t="str">
        <x:v>RS-04311</x:v>
      </x:c>
      <x:c r="C8712" s="9" t="n">
        <x:v>3</x:v>
      </x:c>
      <x:c r="D8712" s="8" t="n">
        <x:v>45622</x:v>
      </x:c>
      <x:c r="E8712" s="9" t="n">
        <x:v>1035000</x:v>
      </x:c>
      <x:c r="F8712" s="9" t="n">
        <x:v>0</x:v>
      </x:c>
    </x:row>
    <x:row r="8713" ht="34" customHeight="1">
      <x:c r="A8713" s="4" t="str">
        <x:v>RS-04311-I4</x:v>
      </x:c>
      <x:c r="B8713" s="4" t="str">
        <x:v>RS-04311</x:v>
      </x:c>
      <x:c r="C8713" s="9" t="n">
        <x:v>4</x:v>
      </x:c>
      <x:c r="D8713" s="8" t="n">
        <x:v>45652</x:v>
      </x:c>
      <x:c r="E8713" s="9" t="n">
        <x:v>1035000</x:v>
      </x:c>
      <x:c r="F8713" s="9" t="n">
        <x:v>0</x:v>
      </x:c>
    </x:row>
    <x:row r="8714" ht="34" customHeight="1">
      <x:c r="A8714" s="4" t="str">
        <x:v>RS-04315-I1</x:v>
      </x:c>
      <x:c r="B8714" s="4" t="str">
        <x:v>RS-04315</x:v>
      </x:c>
      <x:c r="C8714" s="9" t="n">
        <x:v>1</x:v>
      </x:c>
      <x:c r="D8714" s="8" t="n">
        <x:v>45538</x:v>
      </x:c>
      <x:c r="E8714" s="9" t="n">
        <x:v>5925000</x:v>
      </x:c>
      <x:c r="F8714" s="9" t="n">
        <x:v>5925000</x:v>
      </x:c>
    </x:row>
    <x:row r="8715" ht="34" customHeight="1">
      <x:c r="A8715" s="4" t="str">
        <x:v>RS-04315-I2</x:v>
      </x:c>
      <x:c r="B8715" s="4" t="str">
        <x:v>RS-04315</x:v>
      </x:c>
      <x:c r="C8715" s="9" t="n">
        <x:v>2</x:v>
      </x:c>
      <x:c r="D8715" s="8" t="n">
        <x:v>45568</x:v>
      </x:c>
      <x:c r="E8715" s="9" t="n">
        <x:v>5925000</x:v>
      </x:c>
      <x:c r="F8715" s="9" t="n">
        <x:v>0</x:v>
      </x:c>
    </x:row>
    <x:row r="8716" ht="34" customHeight="1">
      <x:c r="A8716" s="4" t="str">
        <x:v>RS-04315-I3</x:v>
      </x:c>
      <x:c r="B8716" s="4" t="str">
        <x:v>RS-04315</x:v>
      </x:c>
      <x:c r="C8716" s="9" t="n">
        <x:v>3</x:v>
      </x:c>
      <x:c r="D8716" s="8" t="n">
        <x:v>45598</x:v>
      </x:c>
      <x:c r="E8716" s="9" t="n">
        <x:v>5925000</x:v>
      </x:c>
      <x:c r="F8716" s="9" t="n">
        <x:v>0</x:v>
      </x:c>
    </x:row>
    <x:row r="8717" ht="34" customHeight="1">
      <x:c r="A8717" s="4" t="str">
        <x:v>RS-04315-I4</x:v>
      </x:c>
      <x:c r="B8717" s="4" t="str">
        <x:v>RS-04315</x:v>
      </x:c>
      <x:c r="C8717" s="9" t="n">
        <x:v>4</x:v>
      </x:c>
      <x:c r="D8717" s="8" t="n">
        <x:v>45628</x:v>
      </x:c>
      <x:c r="E8717" s="9" t="n">
        <x:v>5925000</x:v>
      </x:c>
      <x:c r="F8717" s="9" t="n">
        <x:v>0</x:v>
      </x:c>
    </x:row>
    <x:row r="8718" ht="34" customHeight="1">
      <x:c r="A8718" s="4" t="str">
        <x:v>RS-04317-I1</x:v>
      </x:c>
      <x:c r="B8718" s="4" t="str">
        <x:v>RS-04317</x:v>
      </x:c>
      <x:c r="C8718" s="9" t="n">
        <x:v>1</x:v>
      </x:c>
      <x:c r="D8718" s="8" t="n">
        <x:v>45540</x:v>
      </x:c>
      <x:c r="E8718" s="9" t="n">
        <x:v>1215000</x:v>
      </x:c>
      <x:c r="F8718" s="9" t="n">
        <x:v>1215000</x:v>
      </x:c>
    </x:row>
    <x:row r="8719" ht="34" customHeight="1">
      <x:c r="A8719" s="4" t="str">
        <x:v>RS-04317-I2</x:v>
      </x:c>
      <x:c r="B8719" s="4" t="str">
        <x:v>RS-04317</x:v>
      </x:c>
      <x:c r="C8719" s="9" t="n">
        <x:v>2</x:v>
      </x:c>
      <x:c r="D8719" s="8" t="n">
        <x:v>45570</x:v>
      </x:c>
      <x:c r="E8719" s="9" t="n">
        <x:v>1215000</x:v>
      </x:c>
      <x:c r="F8719" s="9" t="n">
        <x:v>1215000</x:v>
      </x:c>
    </x:row>
    <x:row r="8720" ht="34" customHeight="1">
      <x:c r="A8720" s="4" t="str">
        <x:v>RS-04317-I3</x:v>
      </x:c>
      <x:c r="B8720" s="4" t="str">
        <x:v>RS-04317</x:v>
      </x:c>
      <x:c r="C8720" s="9" t="n">
        <x:v>3</x:v>
      </x:c>
      <x:c r="D8720" s="8" t="n">
        <x:v>45600</x:v>
      </x:c>
      <x:c r="E8720" s="9" t="n">
        <x:v>1215000</x:v>
      </x:c>
      <x:c r="F8720" s="9" t="n">
        <x:v>0</x:v>
      </x:c>
    </x:row>
    <x:row r="8721" ht="34" customHeight="1">
      <x:c r="A8721" s="4" t="str">
        <x:v>RS-04317-I4</x:v>
      </x:c>
      <x:c r="B8721" s="4" t="str">
        <x:v>RS-04317</x:v>
      </x:c>
      <x:c r="C8721" s="9" t="n">
        <x:v>4</x:v>
      </x:c>
      <x:c r="D8721" s="8" t="n">
        <x:v>45630</x:v>
      </x:c>
      <x:c r="E8721" s="9" t="n">
        <x:v>1215000</x:v>
      </x:c>
      <x:c r="F8721" s="9" t="n">
        <x:v>0</x:v>
      </x:c>
    </x:row>
    <x:row r="8722" ht="34" customHeight="1">
      <x:c r="A8722" s="4" t="str">
        <x:v>RS-04320-I1</x:v>
      </x:c>
      <x:c r="B8722" s="4" t="str">
        <x:v>RS-04320</x:v>
      </x:c>
      <x:c r="C8722" s="9" t="n">
        <x:v>1</x:v>
      </x:c>
      <x:c r="D8722" s="8" t="n">
        <x:v>45543</x:v>
      </x:c>
      <x:c r="E8722" s="9" t="n">
        <x:v>1361250</x:v>
      </x:c>
      <x:c r="F8722" s="9" t="n">
        <x:v>1361250</x:v>
      </x:c>
    </x:row>
    <x:row r="8723" ht="34" customHeight="1">
      <x:c r="A8723" s="4" t="str">
        <x:v>RS-04320-I2</x:v>
      </x:c>
      <x:c r="B8723" s="4" t="str">
        <x:v>RS-04320</x:v>
      </x:c>
      <x:c r="C8723" s="9" t="n">
        <x:v>2</x:v>
      </x:c>
      <x:c r="D8723" s="8" t="n">
        <x:v>45573</x:v>
      </x:c>
      <x:c r="E8723" s="9" t="n">
        <x:v>1361250</x:v>
      </x:c>
      <x:c r="F8723" s="9" t="n">
        <x:v>1361250</x:v>
      </x:c>
    </x:row>
    <x:row r="8724" ht="34" customHeight="1">
      <x:c r="A8724" s="4" t="str">
        <x:v>RS-04320-I3</x:v>
      </x:c>
      <x:c r="B8724" s="4" t="str">
        <x:v>RS-04320</x:v>
      </x:c>
      <x:c r="C8724" s="9" t="n">
        <x:v>3</x:v>
      </x:c>
      <x:c r="D8724" s="8" t="n">
        <x:v>45603</x:v>
      </x:c>
      <x:c r="E8724" s="9" t="n">
        <x:v>1361250</x:v>
      </x:c>
      <x:c r="F8724" s="9" t="n">
        <x:v>0</x:v>
      </x:c>
    </x:row>
    <x:row r="8725" ht="34" customHeight="1">
      <x:c r="A8725" s="4" t="str">
        <x:v>RS-04320-I4</x:v>
      </x:c>
      <x:c r="B8725" s="4" t="str">
        <x:v>RS-04320</x:v>
      </x:c>
      <x:c r="C8725" s="9" t="n">
        <x:v>4</x:v>
      </x:c>
      <x:c r="D8725" s="8" t="n">
        <x:v>45633</x:v>
      </x:c>
      <x:c r="E8725" s="9" t="n">
        <x:v>1361250</x:v>
      </x:c>
      <x:c r="F8725" s="9" t="n">
        <x:v>0</x:v>
      </x:c>
    </x:row>
    <x:row r="8726" ht="34" customHeight="1">
      <x:c r="A8726" s="4" t="str">
        <x:v>RS-04321-I1</x:v>
      </x:c>
      <x:c r="B8726" s="4" t="str">
        <x:v>RS-04321</x:v>
      </x:c>
      <x:c r="C8726" s="9" t="n">
        <x:v>1</x:v>
      </x:c>
      <x:c r="D8726" s="8" t="n">
        <x:v>45544</x:v>
      </x:c>
      <x:c r="E8726" s="9" t="n">
        <x:v>2358500</x:v>
      </x:c>
      <x:c r="F8726" s="9" t="n">
        <x:v>2358500</x:v>
      </x:c>
    </x:row>
    <x:row r="8727" ht="34" customHeight="1">
      <x:c r="A8727" s="4" t="str">
        <x:v>RS-04321-I2</x:v>
      </x:c>
      <x:c r="B8727" s="4" t="str">
        <x:v>RS-04321</x:v>
      </x:c>
      <x:c r="C8727" s="9" t="n">
        <x:v>2</x:v>
      </x:c>
      <x:c r="D8727" s="8" t="n">
        <x:v>45574</x:v>
      </x:c>
      <x:c r="E8727" s="9" t="n">
        <x:v>2358500</x:v>
      </x:c>
      <x:c r="F8727" s="9" t="n">
        <x:v>2358500</x:v>
      </x:c>
    </x:row>
    <x:row r="8728" ht="34" customHeight="1">
      <x:c r="A8728" s="4" t="str">
        <x:v>RS-04321-I3</x:v>
      </x:c>
      <x:c r="B8728" s="4" t="str">
        <x:v>RS-04321</x:v>
      </x:c>
      <x:c r="C8728" s="9" t="n">
        <x:v>3</x:v>
      </x:c>
      <x:c r="D8728" s="8" t="n">
        <x:v>45604</x:v>
      </x:c>
      <x:c r="E8728" s="9" t="n">
        <x:v>2358500</x:v>
      </x:c>
      <x:c r="F8728" s="9" t="n">
        <x:v>0</x:v>
      </x:c>
    </x:row>
    <x:row r="8729" ht="34" customHeight="1">
      <x:c r="A8729" s="4" t="str">
        <x:v>RS-04321-I4</x:v>
      </x:c>
      <x:c r="B8729" s="4" t="str">
        <x:v>RS-04321</x:v>
      </x:c>
      <x:c r="C8729" s="9" t="n">
        <x:v>4</x:v>
      </x:c>
      <x:c r="D8729" s="8" t="n">
        <x:v>45634</x:v>
      </x:c>
      <x:c r="E8729" s="9" t="n">
        <x:v>2358500</x:v>
      </x:c>
      <x:c r="F8729" s="9" t="n">
        <x:v>0</x:v>
      </x:c>
    </x:row>
    <x:row r="8730" ht="34" customHeight="1">
      <x:c r="A8730" s="4" t="str">
        <x:v>RS-04322-I1</x:v>
      </x:c>
      <x:c r="B8730" s="4" t="str">
        <x:v>RS-04322</x:v>
      </x:c>
      <x:c r="C8730" s="9" t="n">
        <x:v>1</x:v>
      </x:c>
      <x:c r="D8730" s="8" t="n">
        <x:v>45545</x:v>
      </x:c>
      <x:c r="E8730" s="9" t="n">
        <x:v>1743750</x:v>
      </x:c>
      <x:c r="F8730" s="9" t="n">
        <x:v>1743750</x:v>
      </x:c>
    </x:row>
    <x:row r="8731" ht="34" customHeight="1">
      <x:c r="A8731" s="4" t="str">
        <x:v>RS-04322-I2</x:v>
      </x:c>
      <x:c r="B8731" s="4" t="str">
        <x:v>RS-04322</x:v>
      </x:c>
      <x:c r="C8731" s="9" t="n">
        <x:v>2</x:v>
      </x:c>
      <x:c r="D8731" s="8" t="n">
        <x:v>45575</x:v>
      </x:c>
      <x:c r="E8731" s="9" t="n">
        <x:v>1743750</x:v>
      </x:c>
      <x:c r="F8731" s="9" t="n">
        <x:v>1743750</x:v>
      </x:c>
    </x:row>
    <x:row r="8732" ht="34" customHeight="1">
      <x:c r="A8732" s="4" t="str">
        <x:v>RS-04322-I3</x:v>
      </x:c>
      <x:c r="B8732" s="4" t="str">
        <x:v>RS-04322</x:v>
      </x:c>
      <x:c r="C8732" s="9" t="n">
        <x:v>3</x:v>
      </x:c>
      <x:c r="D8732" s="8" t="n">
        <x:v>45605</x:v>
      </x:c>
      <x:c r="E8732" s="9" t="n">
        <x:v>1743750</x:v>
      </x:c>
      <x:c r="F8732" s="9" t="n">
        <x:v>0</x:v>
      </x:c>
    </x:row>
    <x:row r="8733" ht="34" customHeight="1">
      <x:c r="A8733" s="4" t="str">
        <x:v>RS-04322-I4</x:v>
      </x:c>
      <x:c r="B8733" s="4" t="str">
        <x:v>RS-04322</x:v>
      </x:c>
      <x:c r="C8733" s="9" t="n">
        <x:v>4</x:v>
      </x:c>
      <x:c r="D8733" s="8" t="n">
        <x:v>45635</x:v>
      </x:c>
      <x:c r="E8733" s="9" t="n">
        <x:v>1743750</x:v>
      </x:c>
      <x:c r="F8733" s="9" t="n">
        <x:v>0</x:v>
      </x:c>
    </x:row>
    <x:row r="8734" ht="34" customHeight="1">
      <x:c r="A8734" s="4" t="str">
        <x:v>RS-04323-I1</x:v>
      </x:c>
      <x:c r="B8734" s="4" t="str">
        <x:v>RS-04323</x:v>
      </x:c>
      <x:c r="C8734" s="9" t="n">
        <x:v>1</x:v>
      </x:c>
      <x:c r="D8734" s="8" t="n">
        <x:v>45546</x:v>
      </x:c>
      <x:c r="E8734" s="9" t="n">
        <x:v>4800000</x:v>
      </x:c>
      <x:c r="F8734" s="9" t="n">
        <x:v>4800000</x:v>
      </x:c>
    </x:row>
    <x:row r="8735" ht="34" customHeight="1">
      <x:c r="A8735" s="4" t="str">
        <x:v>RS-04323-I2</x:v>
      </x:c>
      <x:c r="B8735" s="4" t="str">
        <x:v>RS-04323</x:v>
      </x:c>
      <x:c r="C8735" s="9" t="n">
        <x:v>2</x:v>
      </x:c>
      <x:c r="D8735" s="8" t="n">
        <x:v>45576</x:v>
      </x:c>
      <x:c r="E8735" s="9" t="n">
        <x:v>4800000</x:v>
      </x:c>
      <x:c r="F8735" s="9" t="n">
        <x:v>0</x:v>
      </x:c>
    </x:row>
    <x:row r="8736" ht="34" customHeight="1">
      <x:c r="A8736" s="4" t="str">
        <x:v>RS-04323-I3</x:v>
      </x:c>
      <x:c r="B8736" s="4" t="str">
        <x:v>RS-04323</x:v>
      </x:c>
      <x:c r="C8736" s="9" t="n">
        <x:v>3</x:v>
      </x:c>
      <x:c r="D8736" s="8" t="n">
        <x:v>45606</x:v>
      </x:c>
      <x:c r="E8736" s="9" t="n">
        <x:v>4800000</x:v>
      </x:c>
      <x:c r="F8736" s="9" t="n">
        <x:v>0</x:v>
      </x:c>
    </x:row>
    <x:row r="8737" ht="34" customHeight="1">
      <x:c r="A8737" s="4" t="str">
        <x:v>RS-04323-I4</x:v>
      </x:c>
      <x:c r="B8737" s="4" t="str">
        <x:v>RS-04323</x:v>
      </x:c>
      <x:c r="C8737" s="9" t="n">
        <x:v>4</x:v>
      </x:c>
      <x:c r="D8737" s="8" t="n">
        <x:v>45636</x:v>
      </x:c>
      <x:c r="E8737" s="9" t="n">
        <x:v>4800000</x:v>
      </x:c>
      <x:c r="F8737" s="9" t="n">
        <x:v>0</x:v>
      </x:c>
    </x:row>
    <x:row r="8738" ht="34" customHeight="1">
      <x:c r="A8738" s="4" t="str">
        <x:v>RS-04324-I1</x:v>
      </x:c>
      <x:c r="B8738" s="4" t="str">
        <x:v>RS-04324</x:v>
      </x:c>
      <x:c r="C8738" s="9" t="n">
        <x:v>1</x:v>
      </x:c>
      <x:c r="D8738" s="8" t="n">
        <x:v>45547</x:v>
      </x:c>
      <x:c r="E8738" s="9" t="n">
        <x:v>2588750</x:v>
      </x:c>
      <x:c r="F8738" s="9" t="n">
        <x:v>2588750</x:v>
      </x:c>
    </x:row>
    <x:row r="8739" ht="34" customHeight="1">
      <x:c r="A8739" s="4" t="str">
        <x:v>RS-04324-I2</x:v>
      </x:c>
      <x:c r="B8739" s="4" t="str">
        <x:v>RS-04324</x:v>
      </x:c>
      <x:c r="C8739" s="9" t="n">
        <x:v>2</x:v>
      </x:c>
      <x:c r="D8739" s="8" t="n">
        <x:v>45577</x:v>
      </x:c>
      <x:c r="E8739" s="9" t="n">
        <x:v>2588750</x:v>
      </x:c>
      <x:c r="F8739" s="9" t="n">
        <x:v>0</x:v>
      </x:c>
    </x:row>
    <x:row r="8740" ht="34" customHeight="1">
      <x:c r="A8740" s="4" t="str">
        <x:v>RS-04324-I3</x:v>
      </x:c>
      <x:c r="B8740" s="4" t="str">
        <x:v>RS-04324</x:v>
      </x:c>
      <x:c r="C8740" s="9" t="n">
        <x:v>3</x:v>
      </x:c>
      <x:c r="D8740" s="8" t="n">
        <x:v>45607</x:v>
      </x:c>
      <x:c r="E8740" s="9" t="n">
        <x:v>2588750</x:v>
      </x:c>
      <x:c r="F8740" s="9" t="n">
        <x:v>0</x:v>
      </x:c>
    </x:row>
    <x:row r="8741" ht="34" customHeight="1">
      <x:c r="A8741" s="4" t="str">
        <x:v>RS-04324-I4</x:v>
      </x:c>
      <x:c r="B8741" s="4" t="str">
        <x:v>RS-04324</x:v>
      </x:c>
      <x:c r="C8741" s="9" t="n">
        <x:v>4</x:v>
      </x:c>
      <x:c r="D8741" s="8" t="n">
        <x:v>45637</x:v>
      </x:c>
      <x:c r="E8741" s="9" t="n">
        <x:v>2588750</x:v>
      </x:c>
      <x:c r="F8741" s="9" t="n">
        <x:v>0</x:v>
      </x:c>
    </x:row>
    <x:row r="8742" ht="34" customHeight="1">
      <x:c r="A8742" s="4" t="str">
        <x:v>RS-04328-I1</x:v>
      </x:c>
      <x:c r="B8742" s="4" t="str">
        <x:v>RS-04328</x:v>
      </x:c>
      <x:c r="C8742" s="9" t="n">
        <x:v>1</x:v>
      </x:c>
      <x:c r="D8742" s="8" t="n">
        <x:v>45551</x:v>
      </x:c>
      <x:c r="E8742" s="9" t="n">
        <x:v>2640000</x:v>
      </x:c>
      <x:c r="F8742" s="9" t="n">
        <x:v>2640000</x:v>
      </x:c>
    </x:row>
    <x:row r="8743" ht="34" customHeight="1">
      <x:c r="A8743" s="4" t="str">
        <x:v>RS-04328-I2</x:v>
      </x:c>
      <x:c r="B8743" s="4" t="str">
        <x:v>RS-04328</x:v>
      </x:c>
      <x:c r="C8743" s="9" t="n">
        <x:v>2</x:v>
      </x:c>
      <x:c r="D8743" s="8" t="n">
        <x:v>45581</x:v>
      </x:c>
      <x:c r="E8743" s="9" t="n">
        <x:v>2640000</x:v>
      </x:c>
      <x:c r="F8743" s="9" t="n">
        <x:v>2640000</x:v>
      </x:c>
    </x:row>
    <x:row r="8744" ht="34" customHeight="1">
      <x:c r="A8744" s="4" t="str">
        <x:v>RS-04328-I3</x:v>
      </x:c>
      <x:c r="B8744" s="4" t="str">
        <x:v>RS-04328</x:v>
      </x:c>
      <x:c r="C8744" s="9" t="n">
        <x:v>3</x:v>
      </x:c>
      <x:c r="D8744" s="8" t="n">
        <x:v>45611</x:v>
      </x:c>
      <x:c r="E8744" s="9" t="n">
        <x:v>2640000</x:v>
      </x:c>
      <x:c r="F8744" s="9" t="n">
        <x:v>0</x:v>
      </x:c>
    </x:row>
    <x:row r="8745" ht="34" customHeight="1">
      <x:c r="A8745" s="4" t="str">
        <x:v>RS-04328-I4</x:v>
      </x:c>
      <x:c r="B8745" s="4" t="str">
        <x:v>RS-04328</x:v>
      </x:c>
      <x:c r="C8745" s="9" t="n">
        <x:v>4</x:v>
      </x:c>
      <x:c r="D8745" s="8" t="n">
        <x:v>45641</x:v>
      </x:c>
      <x:c r="E8745" s="9" t="n">
        <x:v>2640000</x:v>
      </x:c>
      <x:c r="F8745" s="9" t="n">
        <x:v>0</x:v>
      </x:c>
    </x:row>
    <x:row r="8746" ht="34" customHeight="1">
      <x:c r="A8746" s="4" t="str">
        <x:v>RS-04329-I1</x:v>
      </x:c>
      <x:c r="B8746" s="4" t="str">
        <x:v>RS-04329</x:v>
      </x:c>
      <x:c r="C8746" s="9" t="n">
        <x:v>1</x:v>
      </x:c>
      <x:c r="D8746" s="8" t="n">
        <x:v>45552</x:v>
      </x:c>
      <x:c r="E8746" s="9" t="n">
        <x:v>2153250</x:v>
      </x:c>
      <x:c r="F8746" s="9" t="n">
        <x:v>2153250</x:v>
      </x:c>
    </x:row>
    <x:row r="8747" ht="34" customHeight="1">
      <x:c r="A8747" s="4" t="str">
        <x:v>RS-04329-I2</x:v>
      </x:c>
      <x:c r="B8747" s="4" t="str">
        <x:v>RS-04329</x:v>
      </x:c>
      <x:c r="C8747" s="9" t="n">
        <x:v>2</x:v>
      </x:c>
      <x:c r="D8747" s="8" t="n">
        <x:v>45582</x:v>
      </x:c>
      <x:c r="E8747" s="9" t="n">
        <x:v>2153250</x:v>
      </x:c>
      <x:c r="F8747" s="9" t="n">
        <x:v>2153250</x:v>
      </x:c>
    </x:row>
    <x:row r="8748" ht="34" customHeight="1">
      <x:c r="A8748" s="4" t="str">
        <x:v>RS-04329-I3</x:v>
      </x:c>
      <x:c r="B8748" s="4" t="str">
        <x:v>RS-04329</x:v>
      </x:c>
      <x:c r="C8748" s="9" t="n">
        <x:v>3</x:v>
      </x:c>
      <x:c r="D8748" s="8" t="n">
        <x:v>45612</x:v>
      </x:c>
      <x:c r="E8748" s="9" t="n">
        <x:v>2153250</x:v>
      </x:c>
      <x:c r="F8748" s="9" t="n">
        <x:v>0</x:v>
      </x:c>
    </x:row>
    <x:row r="8749" ht="34" customHeight="1">
      <x:c r="A8749" s="4" t="str">
        <x:v>RS-04329-I4</x:v>
      </x:c>
      <x:c r="B8749" s="4" t="str">
        <x:v>RS-04329</x:v>
      </x:c>
      <x:c r="C8749" s="9" t="n">
        <x:v>4</x:v>
      </x:c>
      <x:c r="D8749" s="8" t="n">
        <x:v>45642</x:v>
      </x:c>
      <x:c r="E8749" s="9" t="n">
        <x:v>2153250</x:v>
      </x:c>
      <x:c r="F8749" s="9" t="n">
        <x:v>0</x:v>
      </x:c>
    </x:row>
    <x:row r="8750" ht="34" customHeight="1">
      <x:c r="A8750" s="4" t="str">
        <x:v>RS-04330-I1</x:v>
      </x:c>
      <x:c r="B8750" s="4" t="str">
        <x:v>RS-04330</x:v>
      </x:c>
      <x:c r="C8750" s="9" t="n">
        <x:v>1</x:v>
      </x:c>
      <x:c r="D8750" s="8" t="n">
        <x:v>45553</x:v>
      </x:c>
      <x:c r="E8750" s="9" t="n">
        <x:v>2184000</x:v>
      </x:c>
      <x:c r="F8750" s="9" t="n">
        <x:v>2184000</x:v>
      </x:c>
    </x:row>
    <x:row r="8751" ht="34" customHeight="1">
      <x:c r="A8751" s="4" t="str">
        <x:v>RS-04330-I2</x:v>
      </x:c>
      <x:c r="B8751" s="4" t="str">
        <x:v>RS-04330</x:v>
      </x:c>
      <x:c r="C8751" s="9" t="n">
        <x:v>2</x:v>
      </x:c>
      <x:c r="D8751" s="8" t="n">
        <x:v>45583</x:v>
      </x:c>
      <x:c r="E8751" s="9" t="n">
        <x:v>2184000</x:v>
      </x:c>
      <x:c r="F8751" s="9" t="n">
        <x:v>2184000</x:v>
      </x:c>
    </x:row>
    <x:row r="8752" ht="34" customHeight="1">
      <x:c r="A8752" s="4" t="str">
        <x:v>RS-04330-I3</x:v>
      </x:c>
      <x:c r="B8752" s="4" t="str">
        <x:v>RS-04330</x:v>
      </x:c>
      <x:c r="C8752" s="9" t="n">
        <x:v>3</x:v>
      </x:c>
      <x:c r="D8752" s="8" t="n">
        <x:v>45613</x:v>
      </x:c>
      <x:c r="E8752" s="9" t="n">
        <x:v>2184000</x:v>
      </x:c>
      <x:c r="F8752" s="9" t="n">
        <x:v>0</x:v>
      </x:c>
    </x:row>
    <x:row r="8753" ht="34" customHeight="1">
      <x:c r="A8753" s="4" t="str">
        <x:v>RS-04330-I4</x:v>
      </x:c>
      <x:c r="B8753" s="4" t="str">
        <x:v>RS-04330</x:v>
      </x:c>
      <x:c r="C8753" s="9" t="n">
        <x:v>4</x:v>
      </x:c>
      <x:c r="D8753" s="8" t="n">
        <x:v>45643</x:v>
      </x:c>
      <x:c r="E8753" s="9" t="n">
        <x:v>2184000</x:v>
      </x:c>
      <x:c r="F8753" s="9" t="n">
        <x:v>0</x:v>
      </x:c>
    </x:row>
    <x:row r="8754" ht="34" customHeight="1">
      <x:c r="A8754" s="4" t="str">
        <x:v>RS-04333-I1</x:v>
      </x:c>
      <x:c r="B8754" s="4" t="str">
        <x:v>RS-04333</x:v>
      </x:c>
      <x:c r="C8754" s="9" t="n">
        <x:v>1</x:v>
      </x:c>
      <x:c r="D8754" s="8" t="n">
        <x:v>45556</x:v>
      </x:c>
      <x:c r="E8754" s="9" t="n">
        <x:v>4322500</x:v>
      </x:c>
      <x:c r="F8754" s="9" t="n">
        <x:v>4322500</x:v>
      </x:c>
    </x:row>
    <x:row r="8755" ht="34" customHeight="1">
      <x:c r="A8755" s="4" t="str">
        <x:v>RS-04333-I2</x:v>
      </x:c>
      <x:c r="B8755" s="4" t="str">
        <x:v>RS-04333</x:v>
      </x:c>
      <x:c r="C8755" s="9" t="n">
        <x:v>2</x:v>
      </x:c>
      <x:c r="D8755" s="8" t="n">
        <x:v>45586</x:v>
      </x:c>
      <x:c r="E8755" s="9" t="n">
        <x:v>4322500</x:v>
      </x:c>
      <x:c r="F8755" s="9" t="n">
        <x:v>4322500</x:v>
      </x:c>
    </x:row>
    <x:row r="8756" ht="34" customHeight="1">
      <x:c r="A8756" s="4" t="str">
        <x:v>RS-04333-I3</x:v>
      </x:c>
      <x:c r="B8756" s="4" t="str">
        <x:v>RS-04333</x:v>
      </x:c>
      <x:c r="C8756" s="9" t="n">
        <x:v>3</x:v>
      </x:c>
      <x:c r="D8756" s="8" t="n">
        <x:v>45616</x:v>
      </x:c>
      <x:c r="E8756" s="9" t="n">
        <x:v>4322500</x:v>
      </x:c>
      <x:c r="F8756" s="9" t="n">
        <x:v>0</x:v>
      </x:c>
    </x:row>
    <x:row r="8757" ht="34" customHeight="1">
      <x:c r="A8757" s="4" t="str">
        <x:v>RS-04333-I4</x:v>
      </x:c>
      <x:c r="B8757" s="4" t="str">
        <x:v>RS-04333</x:v>
      </x:c>
      <x:c r="C8757" s="9" t="n">
        <x:v>4</x:v>
      </x:c>
      <x:c r="D8757" s="8" t="n">
        <x:v>45646</x:v>
      </x:c>
      <x:c r="E8757" s="9" t="n">
        <x:v>4322500</x:v>
      </x:c>
      <x:c r="F8757" s="9" t="n">
        <x:v>0</x:v>
      </x:c>
    </x:row>
    <x:row r="8758" ht="34" customHeight="1">
      <x:c r="A8758" s="4" t="str">
        <x:v>RS-04334-I1</x:v>
      </x:c>
      <x:c r="B8758" s="4" t="str">
        <x:v>RS-04334</x:v>
      </x:c>
      <x:c r="C8758" s="9" t="n">
        <x:v>1</x:v>
      </x:c>
      <x:c r="D8758" s="8" t="n">
        <x:v>45557</x:v>
      </x:c>
      <x:c r="E8758" s="9" t="n">
        <x:v>4008000</x:v>
      </x:c>
      <x:c r="F8758" s="9" t="n">
        <x:v>1603200</x:v>
      </x:c>
    </x:row>
    <x:row r="8759" ht="34" customHeight="1">
      <x:c r="A8759" s="4" t="str">
        <x:v>RS-04334-I2</x:v>
      </x:c>
      <x:c r="B8759" s="4" t="str">
        <x:v>RS-04334</x:v>
      </x:c>
      <x:c r="C8759" s="9" t="n">
        <x:v>2</x:v>
      </x:c>
      <x:c r="D8759" s="8" t="n">
        <x:v>45587</x:v>
      </x:c>
      <x:c r="E8759" s="9" t="n">
        <x:v>4008000</x:v>
      </x:c>
      <x:c r="F8759" s="9" t="n">
        <x:v>0</x:v>
      </x:c>
    </x:row>
    <x:row r="8760" ht="34" customHeight="1">
      <x:c r="A8760" s="4" t="str">
        <x:v>RS-04334-I3</x:v>
      </x:c>
      <x:c r="B8760" s="4" t="str">
        <x:v>RS-04334</x:v>
      </x:c>
      <x:c r="C8760" s="9" t="n">
        <x:v>3</x:v>
      </x:c>
      <x:c r="D8760" s="8" t="n">
        <x:v>45617</x:v>
      </x:c>
      <x:c r="E8760" s="9" t="n">
        <x:v>4008000</x:v>
      </x:c>
      <x:c r="F8760" s="9" t="n">
        <x:v>0</x:v>
      </x:c>
    </x:row>
    <x:row r="8761" ht="34" customHeight="1">
      <x:c r="A8761" s="4" t="str">
        <x:v>RS-04334-I4</x:v>
      </x:c>
      <x:c r="B8761" s="4" t="str">
        <x:v>RS-04334</x:v>
      </x:c>
      <x:c r="C8761" s="9" t="n">
        <x:v>4</x:v>
      </x:c>
      <x:c r="D8761" s="8" t="n">
        <x:v>45647</x:v>
      </x:c>
      <x:c r="E8761" s="9" t="n">
        <x:v>4008000</x:v>
      </x:c>
      <x:c r="F8761" s="9" t="n">
        <x:v>0</x:v>
      </x:c>
    </x:row>
    <x:row r="8762" ht="34" customHeight="1">
      <x:c r="A8762" s="4" t="str">
        <x:v>RS-04337-I1</x:v>
      </x:c>
      <x:c r="B8762" s="4" t="str">
        <x:v>RS-04337</x:v>
      </x:c>
      <x:c r="C8762" s="9" t="n">
        <x:v>1</x:v>
      </x:c>
      <x:c r="D8762" s="8" t="n">
        <x:v>45560</x:v>
      </x:c>
      <x:c r="E8762" s="9" t="n">
        <x:v>2852000</x:v>
      </x:c>
      <x:c r="F8762" s="9" t="n">
        <x:v>2852000</x:v>
      </x:c>
    </x:row>
    <x:row r="8763" ht="34" customHeight="1">
      <x:c r="A8763" s="4" t="str">
        <x:v>RS-04337-I2</x:v>
      </x:c>
      <x:c r="B8763" s="4" t="str">
        <x:v>RS-04337</x:v>
      </x:c>
      <x:c r="C8763" s="9" t="n">
        <x:v>2</x:v>
      </x:c>
      <x:c r="D8763" s="8" t="n">
        <x:v>45590</x:v>
      </x:c>
      <x:c r="E8763" s="9" t="n">
        <x:v>2852000</x:v>
      </x:c>
      <x:c r="F8763" s="9" t="n">
        <x:v>2852000</x:v>
      </x:c>
    </x:row>
    <x:row r="8764" ht="34" customHeight="1">
      <x:c r="A8764" s="4" t="str">
        <x:v>RS-04337-I3</x:v>
      </x:c>
      <x:c r="B8764" s="4" t="str">
        <x:v>RS-04337</x:v>
      </x:c>
      <x:c r="C8764" s="9" t="n">
        <x:v>3</x:v>
      </x:c>
      <x:c r="D8764" s="8" t="n">
        <x:v>45620</x:v>
      </x:c>
      <x:c r="E8764" s="9" t="n">
        <x:v>2852000</x:v>
      </x:c>
      <x:c r="F8764" s="9" t="n">
        <x:v>2852000</x:v>
      </x:c>
    </x:row>
    <x:row r="8765" ht="34" customHeight="1">
      <x:c r="A8765" s="4" t="str">
        <x:v>RS-04337-I4</x:v>
      </x:c>
      <x:c r="B8765" s="4" t="str">
        <x:v>RS-04337</x:v>
      </x:c>
      <x:c r="C8765" s="9" t="n">
        <x:v>4</x:v>
      </x:c>
      <x:c r="D8765" s="8" t="n">
        <x:v>45650</x:v>
      </x:c>
      <x:c r="E8765" s="9" t="n">
        <x:v>2852000</x:v>
      </x:c>
      <x:c r="F8765" s="9" t="n">
        <x:v>2852000</x:v>
      </x:c>
    </x:row>
    <x:row r="8766" ht="34" customHeight="1">
      <x:c r="A8766" s="4" t="str">
        <x:v>RS-04338-I1</x:v>
      </x:c>
      <x:c r="B8766" s="4" t="str">
        <x:v>RS-04338</x:v>
      </x:c>
      <x:c r="C8766" s="9" t="n">
        <x:v>1</x:v>
      </x:c>
      <x:c r="D8766" s="8" t="n">
        <x:v>45561</x:v>
      </x:c>
      <x:c r="E8766" s="9" t="n">
        <x:v>813750</x:v>
      </x:c>
      <x:c r="F8766" s="9" t="n">
        <x:v>813750</x:v>
      </x:c>
    </x:row>
    <x:row r="8767" ht="34" customHeight="1">
      <x:c r="A8767" s="4" t="str">
        <x:v>RS-04338-I2</x:v>
      </x:c>
      <x:c r="B8767" s="4" t="str">
        <x:v>RS-04338</x:v>
      </x:c>
      <x:c r="C8767" s="9" t="n">
        <x:v>2</x:v>
      </x:c>
      <x:c r="D8767" s="8" t="n">
        <x:v>45591</x:v>
      </x:c>
      <x:c r="E8767" s="9" t="n">
        <x:v>813750</x:v>
      </x:c>
      <x:c r="F8767" s="9" t="n">
        <x:v>813750</x:v>
      </x:c>
    </x:row>
    <x:row r="8768" ht="34" customHeight="1">
      <x:c r="A8768" s="4" t="str">
        <x:v>RS-04338-I3</x:v>
      </x:c>
      <x:c r="B8768" s="4" t="str">
        <x:v>RS-04338</x:v>
      </x:c>
      <x:c r="C8768" s="9" t="n">
        <x:v>3</x:v>
      </x:c>
      <x:c r="D8768" s="8" t="n">
        <x:v>45621</x:v>
      </x:c>
      <x:c r="E8768" s="9" t="n">
        <x:v>813750</x:v>
      </x:c>
      <x:c r="F8768" s="9" t="n">
        <x:v>813750</x:v>
      </x:c>
    </x:row>
    <x:row r="8769" ht="34" customHeight="1">
      <x:c r="A8769" s="4" t="str">
        <x:v>RS-04338-I4</x:v>
      </x:c>
      <x:c r="B8769" s="4" t="str">
        <x:v>RS-04338</x:v>
      </x:c>
      <x:c r="C8769" s="9" t="n">
        <x:v>4</x:v>
      </x:c>
      <x:c r="D8769" s="8" t="n">
        <x:v>45651</x:v>
      </x:c>
      <x:c r="E8769" s="9" t="n">
        <x:v>813750</x:v>
      </x:c>
      <x:c r="F8769" s="9" t="n">
        <x:v>813750</x:v>
      </x:c>
    </x:row>
    <x:row r="8770" ht="34" customHeight="1">
      <x:c r="A8770" s="4" t="str">
        <x:v>RS-04339-I1</x:v>
      </x:c>
      <x:c r="B8770" s="4" t="str">
        <x:v>RS-04339</x:v>
      </x:c>
      <x:c r="C8770" s="9" t="n">
        <x:v>1</x:v>
      </x:c>
      <x:c r="D8770" s="8" t="n">
        <x:v>45562</x:v>
      </x:c>
      <x:c r="E8770" s="9" t="n">
        <x:v>4094000</x:v>
      </x:c>
      <x:c r="F8770" s="9" t="n">
        <x:v>1637600</x:v>
      </x:c>
    </x:row>
    <x:row r="8771" ht="34" customHeight="1">
      <x:c r="A8771" s="4" t="str">
        <x:v>RS-04339-I2</x:v>
      </x:c>
      <x:c r="B8771" s="4" t="str">
        <x:v>RS-04339</x:v>
      </x:c>
      <x:c r="C8771" s="9" t="n">
        <x:v>2</x:v>
      </x:c>
      <x:c r="D8771" s="8" t="n">
        <x:v>45592</x:v>
      </x:c>
      <x:c r="E8771" s="9" t="n">
        <x:v>4094000</x:v>
      </x:c>
      <x:c r="F8771" s="9" t="n">
        <x:v>0</x:v>
      </x:c>
    </x:row>
    <x:row r="8772" ht="34" customHeight="1">
      <x:c r="A8772" s="4" t="str">
        <x:v>RS-04339-I3</x:v>
      </x:c>
      <x:c r="B8772" s="4" t="str">
        <x:v>RS-04339</x:v>
      </x:c>
      <x:c r="C8772" s="9" t="n">
        <x:v>3</x:v>
      </x:c>
      <x:c r="D8772" s="8" t="n">
        <x:v>45622</x:v>
      </x:c>
      <x:c r="E8772" s="9" t="n">
        <x:v>4094000</x:v>
      </x:c>
      <x:c r="F8772" s="9" t="n">
        <x:v>0</x:v>
      </x:c>
    </x:row>
    <x:row r="8773" ht="34" customHeight="1">
      <x:c r="A8773" s="4" t="str">
        <x:v>RS-04339-I4</x:v>
      </x:c>
      <x:c r="B8773" s="4" t="str">
        <x:v>RS-04339</x:v>
      </x:c>
      <x:c r="C8773" s="9" t="n">
        <x:v>4</x:v>
      </x:c>
      <x:c r="D8773" s="8" t="n">
        <x:v>45652</x:v>
      </x:c>
      <x:c r="E8773" s="9" t="n">
        <x:v>4094000</x:v>
      </x:c>
      <x:c r="F8773" s="9" t="n">
        <x:v>0</x:v>
      </x:c>
    </x:row>
    <x:row r="8774" ht="34" customHeight="1">
      <x:c r="A8774" s="4" t="str">
        <x:v>RS-04340-I1</x:v>
      </x:c>
      <x:c r="B8774" s="4" t="str">
        <x:v>RS-04340</x:v>
      </x:c>
      <x:c r="C8774" s="9" t="n">
        <x:v>1</x:v>
      </x:c>
      <x:c r="D8774" s="8" t="n">
        <x:v>45563</x:v>
      </x:c>
      <x:c r="E8774" s="9" t="n">
        <x:v>1490750</x:v>
      </x:c>
      <x:c r="F8774" s="9" t="n">
        <x:v>596300</x:v>
      </x:c>
    </x:row>
    <x:row r="8775" ht="34" customHeight="1">
      <x:c r="A8775" s="4" t="str">
        <x:v>RS-04340-I2</x:v>
      </x:c>
      <x:c r="B8775" s="4" t="str">
        <x:v>RS-04340</x:v>
      </x:c>
      <x:c r="C8775" s="9" t="n">
        <x:v>2</x:v>
      </x:c>
      <x:c r="D8775" s="8" t="n">
        <x:v>45593</x:v>
      </x:c>
      <x:c r="E8775" s="9" t="n">
        <x:v>1490750</x:v>
      </x:c>
      <x:c r="F8775" s="9" t="n">
        <x:v>0</x:v>
      </x:c>
    </x:row>
    <x:row r="8776" ht="34" customHeight="1">
      <x:c r="A8776" s="4" t="str">
        <x:v>RS-04340-I3</x:v>
      </x:c>
      <x:c r="B8776" s="4" t="str">
        <x:v>RS-04340</x:v>
      </x:c>
      <x:c r="C8776" s="9" t="n">
        <x:v>3</x:v>
      </x:c>
      <x:c r="D8776" s="8" t="n">
        <x:v>45623</x:v>
      </x:c>
      <x:c r="E8776" s="9" t="n">
        <x:v>1490750</x:v>
      </x:c>
      <x:c r="F8776" s="9" t="n">
        <x:v>0</x:v>
      </x:c>
    </x:row>
    <x:row r="8777" ht="34" customHeight="1">
      <x:c r="A8777" s="4" t="str">
        <x:v>RS-04340-I4</x:v>
      </x:c>
      <x:c r="B8777" s="4" t="str">
        <x:v>RS-04340</x:v>
      </x:c>
      <x:c r="C8777" s="9" t="n">
        <x:v>4</x:v>
      </x:c>
      <x:c r="D8777" s="8" t="n">
        <x:v>45653</x:v>
      </x:c>
      <x:c r="E8777" s="9" t="n">
        <x:v>1490750</x:v>
      </x:c>
      <x:c r="F8777" s="9" t="n">
        <x:v>0</x:v>
      </x:c>
    </x:row>
    <x:row r="8778" ht="34" customHeight="1">
      <x:c r="A8778" s="4" t="str">
        <x:v>RS-04341-I1</x:v>
      </x:c>
      <x:c r="B8778" s="4" t="str">
        <x:v>RS-04341</x:v>
      </x:c>
      <x:c r="C8778" s="9" t="n">
        <x:v>1</x:v>
      </x:c>
      <x:c r="D8778" s="8" t="n">
        <x:v>45536</x:v>
      </x:c>
      <x:c r="E8778" s="9" t="n">
        <x:v>1282500</x:v>
      </x:c>
      <x:c r="F8778" s="9" t="n">
        <x:v>1282500</x:v>
      </x:c>
    </x:row>
    <x:row r="8779" ht="34" customHeight="1">
      <x:c r="A8779" s="4" t="str">
        <x:v>RS-04341-I2</x:v>
      </x:c>
      <x:c r="B8779" s="4" t="str">
        <x:v>RS-04341</x:v>
      </x:c>
      <x:c r="C8779" s="9" t="n">
        <x:v>2</x:v>
      </x:c>
      <x:c r="D8779" s="8" t="n">
        <x:v>45566</x:v>
      </x:c>
      <x:c r="E8779" s="9" t="n">
        <x:v>1282500</x:v>
      </x:c>
      <x:c r="F8779" s="9" t="n">
        <x:v>0</x:v>
      </x:c>
    </x:row>
    <x:row r="8780" ht="34" customHeight="1">
      <x:c r="A8780" s="4" t="str">
        <x:v>RS-04341-I3</x:v>
      </x:c>
      <x:c r="B8780" s="4" t="str">
        <x:v>RS-04341</x:v>
      </x:c>
      <x:c r="C8780" s="9" t="n">
        <x:v>3</x:v>
      </x:c>
      <x:c r="D8780" s="8" t="n">
        <x:v>45596</x:v>
      </x:c>
      <x:c r="E8780" s="9" t="n">
        <x:v>1282500</x:v>
      </x:c>
      <x:c r="F8780" s="9" t="n">
        <x:v>0</x:v>
      </x:c>
    </x:row>
    <x:row r="8781" ht="34" customHeight="1">
      <x:c r="A8781" s="4" t="str">
        <x:v>RS-04341-I4</x:v>
      </x:c>
      <x:c r="B8781" s="4" t="str">
        <x:v>RS-04341</x:v>
      </x:c>
      <x:c r="C8781" s="9" t="n">
        <x:v>4</x:v>
      </x:c>
      <x:c r="D8781" s="8" t="n">
        <x:v>45626</x:v>
      </x:c>
      <x:c r="E8781" s="9" t="n">
        <x:v>1282500</x:v>
      </x:c>
      <x:c r="F8781" s="9" t="n">
        <x:v>0</x:v>
      </x:c>
    </x:row>
    <x:row r="8782" ht="34" customHeight="1">
      <x:c r="A8782" s="4" t="str">
        <x:v>RS-04343-I1</x:v>
      </x:c>
      <x:c r="B8782" s="4" t="str">
        <x:v>RS-04343</x:v>
      </x:c>
      <x:c r="C8782" s="9" t="n">
        <x:v>1</x:v>
      </x:c>
      <x:c r="D8782" s="8" t="n">
        <x:v>45538</x:v>
      </x:c>
      <x:c r="E8782" s="9" t="n">
        <x:v>5414500</x:v>
      </x:c>
      <x:c r="F8782" s="9" t="n">
        <x:v>5414500</x:v>
      </x:c>
    </x:row>
    <x:row r="8783" ht="34" customHeight="1">
      <x:c r="A8783" s="4" t="str">
        <x:v>RS-04343-I2</x:v>
      </x:c>
      <x:c r="B8783" s="4" t="str">
        <x:v>RS-04343</x:v>
      </x:c>
      <x:c r="C8783" s="9" t="n">
        <x:v>2</x:v>
      </x:c>
      <x:c r="D8783" s="8" t="n">
        <x:v>45568</x:v>
      </x:c>
      <x:c r="E8783" s="9" t="n">
        <x:v>5414500</x:v>
      </x:c>
      <x:c r="F8783" s="9" t="n">
        <x:v>5414500</x:v>
      </x:c>
    </x:row>
    <x:row r="8784" ht="34" customHeight="1">
      <x:c r="A8784" s="4" t="str">
        <x:v>RS-04343-I3</x:v>
      </x:c>
      <x:c r="B8784" s="4" t="str">
        <x:v>RS-04343</x:v>
      </x:c>
      <x:c r="C8784" s="9" t="n">
        <x:v>3</x:v>
      </x:c>
      <x:c r="D8784" s="8" t="n">
        <x:v>45598</x:v>
      </x:c>
      <x:c r="E8784" s="9" t="n">
        <x:v>5414500</x:v>
      </x:c>
      <x:c r="F8784" s="9" t="n">
        <x:v>5414500</x:v>
      </x:c>
    </x:row>
    <x:row r="8785" ht="34" customHeight="1">
      <x:c r="A8785" s="4" t="str">
        <x:v>RS-04343-I4</x:v>
      </x:c>
      <x:c r="B8785" s="4" t="str">
        <x:v>RS-04343</x:v>
      </x:c>
      <x:c r="C8785" s="9" t="n">
        <x:v>4</x:v>
      </x:c>
      <x:c r="D8785" s="8" t="n">
        <x:v>45628</x:v>
      </x:c>
      <x:c r="E8785" s="9" t="n">
        <x:v>5414500</x:v>
      </x:c>
      <x:c r="F8785" s="9" t="n">
        <x:v>5414500</x:v>
      </x:c>
    </x:row>
    <x:row r="8786" ht="34" customHeight="1">
      <x:c r="A8786" s="4" t="str">
        <x:v>RS-04347-I1</x:v>
      </x:c>
      <x:c r="B8786" s="4" t="str">
        <x:v>RS-04347</x:v>
      </x:c>
      <x:c r="C8786" s="9" t="n">
        <x:v>1</x:v>
      </x:c>
      <x:c r="D8786" s="8" t="n">
        <x:v>45542</x:v>
      </x:c>
      <x:c r="E8786" s="9" t="n">
        <x:v>2673750</x:v>
      </x:c>
      <x:c r="F8786" s="9" t="n">
        <x:v>1069500</x:v>
      </x:c>
    </x:row>
    <x:row r="8787" ht="34" customHeight="1">
      <x:c r="A8787" s="4" t="str">
        <x:v>RS-04347-I2</x:v>
      </x:c>
      <x:c r="B8787" s="4" t="str">
        <x:v>RS-04347</x:v>
      </x:c>
      <x:c r="C8787" s="9" t="n">
        <x:v>2</x:v>
      </x:c>
      <x:c r="D8787" s="8" t="n">
        <x:v>45572</x:v>
      </x:c>
      <x:c r="E8787" s="9" t="n">
        <x:v>2673750</x:v>
      </x:c>
      <x:c r="F8787" s="9" t="n">
        <x:v>0</x:v>
      </x:c>
    </x:row>
    <x:row r="8788" ht="34" customHeight="1">
      <x:c r="A8788" s="4" t="str">
        <x:v>RS-04347-I3</x:v>
      </x:c>
      <x:c r="B8788" s="4" t="str">
        <x:v>RS-04347</x:v>
      </x:c>
      <x:c r="C8788" s="9" t="n">
        <x:v>3</x:v>
      </x:c>
      <x:c r="D8788" s="8" t="n">
        <x:v>45602</x:v>
      </x:c>
      <x:c r="E8788" s="9" t="n">
        <x:v>2673750</x:v>
      </x:c>
      <x:c r="F8788" s="9" t="n">
        <x:v>0</x:v>
      </x:c>
    </x:row>
    <x:row r="8789" ht="34" customHeight="1">
      <x:c r="A8789" s="4" t="str">
        <x:v>RS-04347-I4</x:v>
      </x:c>
      <x:c r="B8789" s="4" t="str">
        <x:v>RS-04347</x:v>
      </x:c>
      <x:c r="C8789" s="9" t="n">
        <x:v>4</x:v>
      </x:c>
      <x:c r="D8789" s="8" t="n">
        <x:v>45632</x:v>
      </x:c>
      <x:c r="E8789" s="9" t="n">
        <x:v>2673750</x:v>
      </x:c>
      <x:c r="F8789" s="9" t="n">
        <x:v>0</x:v>
      </x:c>
    </x:row>
    <x:row r="8790" ht="34" customHeight="1">
      <x:c r="A8790" s="4" t="str">
        <x:v>RS-04348-I1</x:v>
      </x:c>
      <x:c r="B8790" s="4" t="str">
        <x:v>RS-04348</x:v>
      </x:c>
      <x:c r="C8790" s="9" t="n">
        <x:v>1</x:v>
      </x:c>
      <x:c r="D8790" s="8" t="n">
        <x:v>45543</x:v>
      </x:c>
      <x:c r="E8790" s="9" t="n">
        <x:v>910000</x:v>
      </x:c>
      <x:c r="F8790" s="9" t="n">
        <x:v>910000</x:v>
      </x:c>
    </x:row>
    <x:row r="8791" ht="34" customHeight="1">
      <x:c r="A8791" s="4" t="str">
        <x:v>RS-04348-I2</x:v>
      </x:c>
      <x:c r="B8791" s="4" t="str">
        <x:v>RS-04348</x:v>
      </x:c>
      <x:c r="C8791" s="9" t="n">
        <x:v>2</x:v>
      </x:c>
      <x:c r="D8791" s="8" t="n">
        <x:v>45573</x:v>
      </x:c>
      <x:c r="E8791" s="9" t="n">
        <x:v>910000</x:v>
      </x:c>
      <x:c r="F8791" s="9" t="n">
        <x:v>0</x:v>
      </x:c>
    </x:row>
    <x:row r="8792" ht="34" customHeight="1">
      <x:c r="A8792" s="4" t="str">
        <x:v>RS-04348-I3</x:v>
      </x:c>
      <x:c r="B8792" s="4" t="str">
        <x:v>RS-04348</x:v>
      </x:c>
      <x:c r="C8792" s="9" t="n">
        <x:v>3</x:v>
      </x:c>
      <x:c r="D8792" s="8" t="n">
        <x:v>45603</x:v>
      </x:c>
      <x:c r="E8792" s="9" t="n">
        <x:v>910000</x:v>
      </x:c>
      <x:c r="F8792" s="9" t="n">
        <x:v>0</x:v>
      </x:c>
    </x:row>
    <x:row r="8793" ht="34" customHeight="1">
      <x:c r="A8793" s="4" t="str">
        <x:v>RS-04348-I4</x:v>
      </x:c>
      <x:c r="B8793" s="4" t="str">
        <x:v>RS-04348</x:v>
      </x:c>
      <x:c r="C8793" s="9" t="n">
        <x:v>4</x:v>
      </x:c>
      <x:c r="D8793" s="8" t="n">
        <x:v>45633</x:v>
      </x:c>
      <x:c r="E8793" s="9" t="n">
        <x:v>910000</x:v>
      </x:c>
      <x:c r="F8793" s="9" t="n">
        <x:v>0</x:v>
      </x:c>
    </x:row>
    <x:row r="8794" ht="34" customHeight="1">
      <x:c r="A8794" s="4" t="str">
        <x:v>RS-04349-I1</x:v>
      </x:c>
      <x:c r="B8794" s="4" t="str">
        <x:v>RS-04349</x:v>
      </x:c>
      <x:c r="C8794" s="9" t="n">
        <x:v>1</x:v>
      </x:c>
      <x:c r="D8794" s="8" t="n">
        <x:v>45544</x:v>
      </x:c>
      <x:c r="E8794" s="9" t="n">
        <x:v>4004000</x:v>
      </x:c>
      <x:c r="F8794" s="9" t="n">
        <x:v>4004000</x:v>
      </x:c>
    </x:row>
    <x:row r="8795" ht="34" customHeight="1">
      <x:c r="A8795" s="4" t="str">
        <x:v>RS-04349-I2</x:v>
      </x:c>
      <x:c r="B8795" s="4" t="str">
        <x:v>RS-04349</x:v>
      </x:c>
      <x:c r="C8795" s="9" t="n">
        <x:v>2</x:v>
      </x:c>
      <x:c r="D8795" s="8" t="n">
        <x:v>45574</x:v>
      </x:c>
      <x:c r="E8795" s="9" t="n">
        <x:v>4004000</x:v>
      </x:c>
      <x:c r="F8795" s="9" t="n">
        <x:v>4004000</x:v>
      </x:c>
    </x:row>
    <x:row r="8796" ht="34" customHeight="1">
      <x:c r="A8796" s="4" t="str">
        <x:v>RS-04349-I3</x:v>
      </x:c>
      <x:c r="B8796" s="4" t="str">
        <x:v>RS-04349</x:v>
      </x:c>
      <x:c r="C8796" s="9" t="n">
        <x:v>3</x:v>
      </x:c>
      <x:c r="D8796" s="8" t="n">
        <x:v>45604</x:v>
      </x:c>
      <x:c r="E8796" s="9" t="n">
        <x:v>4004000</x:v>
      </x:c>
      <x:c r="F8796" s="9" t="n">
        <x:v>0</x:v>
      </x:c>
    </x:row>
    <x:row r="8797" ht="34" customHeight="1">
      <x:c r="A8797" s="4" t="str">
        <x:v>RS-04349-I4</x:v>
      </x:c>
      <x:c r="B8797" s="4" t="str">
        <x:v>RS-04349</x:v>
      </x:c>
      <x:c r="C8797" s="9" t="n">
        <x:v>4</x:v>
      </x:c>
      <x:c r="D8797" s="8" t="n">
        <x:v>45634</x:v>
      </x:c>
      <x:c r="E8797" s="9" t="n">
        <x:v>4004000</x:v>
      </x:c>
      <x:c r="F8797" s="9" t="n">
        <x:v>0</x:v>
      </x:c>
    </x:row>
    <x:row r="8798" ht="34" customHeight="1">
      <x:c r="A8798" s="4" t="str">
        <x:v>RS-04354-I1</x:v>
      </x:c>
      <x:c r="B8798" s="4" t="str">
        <x:v>RS-04354</x:v>
      </x:c>
      <x:c r="C8798" s="9" t="n">
        <x:v>1</x:v>
      </x:c>
      <x:c r="D8798" s="8" t="n">
        <x:v>45549</x:v>
      </x:c>
      <x:c r="E8798" s="9" t="n">
        <x:v>5704000</x:v>
      </x:c>
      <x:c r="F8798" s="9" t="n">
        <x:v>2281600</x:v>
      </x:c>
    </x:row>
    <x:row r="8799" ht="34" customHeight="1">
      <x:c r="A8799" s="4" t="str">
        <x:v>RS-04354-I2</x:v>
      </x:c>
      <x:c r="B8799" s="4" t="str">
        <x:v>RS-04354</x:v>
      </x:c>
      <x:c r="C8799" s="9" t="n">
        <x:v>2</x:v>
      </x:c>
      <x:c r="D8799" s="8" t="n">
        <x:v>45579</x:v>
      </x:c>
      <x:c r="E8799" s="9" t="n">
        <x:v>5704000</x:v>
      </x:c>
      <x:c r="F8799" s="9" t="n">
        <x:v>0</x:v>
      </x:c>
    </x:row>
    <x:row r="8800" ht="34" customHeight="1">
      <x:c r="A8800" s="4" t="str">
        <x:v>RS-04354-I3</x:v>
      </x:c>
      <x:c r="B8800" s="4" t="str">
        <x:v>RS-04354</x:v>
      </x:c>
      <x:c r="C8800" s="9" t="n">
        <x:v>3</x:v>
      </x:c>
      <x:c r="D8800" s="8" t="n">
        <x:v>45609</x:v>
      </x:c>
      <x:c r="E8800" s="9" t="n">
        <x:v>5704000</x:v>
      </x:c>
      <x:c r="F8800" s="9" t="n">
        <x:v>0</x:v>
      </x:c>
    </x:row>
    <x:row r="8801" ht="34" customHeight="1">
      <x:c r="A8801" s="4" t="str">
        <x:v>RS-04354-I4</x:v>
      </x:c>
      <x:c r="B8801" s="4" t="str">
        <x:v>RS-04354</x:v>
      </x:c>
      <x:c r="C8801" s="9" t="n">
        <x:v>4</x:v>
      </x:c>
      <x:c r="D8801" s="8" t="n">
        <x:v>45639</x:v>
      </x:c>
      <x:c r="E8801" s="9" t="n">
        <x:v>5704000</x:v>
      </x:c>
      <x:c r="F8801" s="9" t="n">
        <x:v>0</x:v>
      </x:c>
    </x:row>
    <x:row r="8802" ht="34" customHeight="1">
      <x:c r="A8802" s="4" t="str">
        <x:v>RS-04357-I1</x:v>
      </x:c>
      <x:c r="B8802" s="4" t="str">
        <x:v>RS-04357</x:v>
      </x:c>
      <x:c r="C8802" s="9" t="n">
        <x:v>1</x:v>
      </x:c>
      <x:c r="D8802" s="8" t="n">
        <x:v>45552</x:v>
      </x:c>
      <x:c r="E8802" s="9" t="n">
        <x:v>1236750</x:v>
      </x:c>
      <x:c r="F8802" s="9" t="n">
        <x:v>1236750</x:v>
      </x:c>
    </x:row>
    <x:row r="8803" ht="34" customHeight="1">
      <x:c r="A8803" s="4" t="str">
        <x:v>RS-04357-I2</x:v>
      </x:c>
      <x:c r="B8803" s="4" t="str">
        <x:v>RS-04357</x:v>
      </x:c>
      <x:c r="C8803" s="9" t="n">
        <x:v>2</x:v>
      </x:c>
      <x:c r="D8803" s="8" t="n">
        <x:v>45582</x:v>
      </x:c>
      <x:c r="E8803" s="9" t="n">
        <x:v>1236750</x:v>
      </x:c>
      <x:c r="F8803" s="9" t="n">
        <x:v>1236750</x:v>
      </x:c>
    </x:row>
    <x:row r="8804" ht="34" customHeight="1">
      <x:c r="A8804" s="4" t="str">
        <x:v>RS-04357-I3</x:v>
      </x:c>
      <x:c r="B8804" s="4" t="str">
        <x:v>RS-04357</x:v>
      </x:c>
      <x:c r="C8804" s="9" t="n">
        <x:v>3</x:v>
      </x:c>
      <x:c r="D8804" s="8" t="n">
        <x:v>45612</x:v>
      </x:c>
      <x:c r="E8804" s="9" t="n">
        <x:v>1236750</x:v>
      </x:c>
      <x:c r="F8804" s="9" t="n">
        <x:v>1236750</x:v>
      </x:c>
    </x:row>
    <x:row r="8805" ht="34" customHeight="1">
      <x:c r="A8805" s="4" t="str">
        <x:v>RS-04357-I4</x:v>
      </x:c>
      <x:c r="B8805" s="4" t="str">
        <x:v>RS-04357</x:v>
      </x:c>
      <x:c r="C8805" s="9" t="n">
        <x:v>4</x:v>
      </x:c>
      <x:c r="D8805" s="8" t="n">
        <x:v>45642</x:v>
      </x:c>
      <x:c r="E8805" s="9" t="n">
        <x:v>1236750</x:v>
      </x:c>
      <x:c r="F8805" s="9" t="n">
        <x:v>1236750</x:v>
      </x:c>
    </x:row>
    <x:row r="8806" ht="34" customHeight="1">
      <x:c r="A8806" s="4" t="str">
        <x:v>RS-04359-I1</x:v>
      </x:c>
      <x:c r="B8806" s="4" t="str">
        <x:v>RS-04359</x:v>
      </x:c>
      <x:c r="C8806" s="9" t="n">
        <x:v>1</x:v>
      </x:c>
      <x:c r="D8806" s="8" t="n">
        <x:v>45554</x:v>
      </x:c>
      <x:c r="E8806" s="9" t="n">
        <x:v>2161250</x:v>
      </x:c>
      <x:c r="F8806" s="9" t="n">
        <x:v>2161250</x:v>
      </x:c>
    </x:row>
    <x:row r="8807" ht="34" customHeight="1">
      <x:c r="A8807" s="4" t="str">
        <x:v>RS-04359-I2</x:v>
      </x:c>
      <x:c r="B8807" s="4" t="str">
        <x:v>RS-04359</x:v>
      </x:c>
      <x:c r="C8807" s="9" t="n">
        <x:v>2</x:v>
      </x:c>
      <x:c r="D8807" s="8" t="n">
        <x:v>45584</x:v>
      </x:c>
      <x:c r="E8807" s="9" t="n">
        <x:v>2161250</x:v>
      </x:c>
      <x:c r="F8807" s="9" t="n">
        <x:v>2161250</x:v>
      </x:c>
    </x:row>
    <x:row r="8808" ht="34" customHeight="1">
      <x:c r="A8808" s="4" t="str">
        <x:v>RS-04359-I3</x:v>
      </x:c>
      <x:c r="B8808" s="4" t="str">
        <x:v>RS-04359</x:v>
      </x:c>
      <x:c r="C8808" s="9" t="n">
        <x:v>3</x:v>
      </x:c>
      <x:c r="D8808" s="8" t="n">
        <x:v>45614</x:v>
      </x:c>
      <x:c r="E8808" s="9" t="n">
        <x:v>2161250</x:v>
      </x:c>
      <x:c r="F8808" s="9" t="n">
        <x:v>0</x:v>
      </x:c>
    </x:row>
    <x:row r="8809" ht="34" customHeight="1">
      <x:c r="A8809" s="4" t="str">
        <x:v>RS-04359-I4</x:v>
      </x:c>
      <x:c r="B8809" s="4" t="str">
        <x:v>RS-04359</x:v>
      </x:c>
      <x:c r="C8809" s="9" t="n">
        <x:v>4</x:v>
      </x:c>
      <x:c r="D8809" s="8" t="n">
        <x:v>45644</x:v>
      </x:c>
      <x:c r="E8809" s="9" t="n">
        <x:v>2161250</x:v>
      </x:c>
      <x:c r="F8809" s="9" t="n">
        <x:v>0</x:v>
      </x:c>
    </x:row>
    <x:row r="8810" ht="34" customHeight="1">
      <x:c r="A8810" s="4" t="str">
        <x:v>RS-04360-I1</x:v>
      </x:c>
      <x:c r="B8810" s="4" t="str">
        <x:v>RS-04360</x:v>
      </x:c>
      <x:c r="C8810" s="9" t="n">
        <x:v>1</x:v>
      </x:c>
      <x:c r="D8810" s="8" t="n">
        <x:v>45555</x:v>
      </x:c>
      <x:c r="E8810" s="9" t="n">
        <x:v>4753000</x:v>
      </x:c>
      <x:c r="F8810" s="9" t="n">
        <x:v>1901200</x:v>
      </x:c>
    </x:row>
    <x:row r="8811" ht="34" customHeight="1">
      <x:c r="A8811" s="4" t="str">
        <x:v>RS-04360-I2</x:v>
      </x:c>
      <x:c r="B8811" s="4" t="str">
        <x:v>RS-04360</x:v>
      </x:c>
      <x:c r="C8811" s="9" t="n">
        <x:v>2</x:v>
      </x:c>
      <x:c r="D8811" s="8" t="n">
        <x:v>45585</x:v>
      </x:c>
      <x:c r="E8811" s="9" t="n">
        <x:v>4753000</x:v>
      </x:c>
      <x:c r="F8811" s="9" t="n">
        <x:v>0</x:v>
      </x:c>
    </x:row>
    <x:row r="8812" ht="34" customHeight="1">
      <x:c r="A8812" s="4" t="str">
        <x:v>RS-04360-I3</x:v>
      </x:c>
      <x:c r="B8812" s="4" t="str">
        <x:v>RS-04360</x:v>
      </x:c>
      <x:c r="C8812" s="9" t="n">
        <x:v>3</x:v>
      </x:c>
      <x:c r="D8812" s="8" t="n">
        <x:v>45615</x:v>
      </x:c>
      <x:c r="E8812" s="9" t="n">
        <x:v>4753000</x:v>
      </x:c>
      <x:c r="F8812" s="9" t="n">
        <x:v>0</x:v>
      </x:c>
    </x:row>
    <x:row r="8813" ht="34" customHeight="1">
      <x:c r="A8813" s="4" t="str">
        <x:v>RS-04360-I4</x:v>
      </x:c>
      <x:c r="B8813" s="4" t="str">
        <x:v>RS-04360</x:v>
      </x:c>
      <x:c r="C8813" s="9" t="n">
        <x:v>4</x:v>
      </x:c>
      <x:c r="D8813" s="8" t="n">
        <x:v>45645</x:v>
      </x:c>
      <x:c r="E8813" s="9" t="n">
        <x:v>4753000</x:v>
      </x:c>
      <x:c r="F8813" s="9" t="n">
        <x:v>0</x:v>
      </x:c>
    </x:row>
    <x:row r="8814" ht="34" customHeight="1">
      <x:c r="A8814" s="4" t="str">
        <x:v>RS-04361-I1</x:v>
      </x:c>
      <x:c r="B8814" s="4" t="str">
        <x:v>RS-04361</x:v>
      </x:c>
      <x:c r="C8814" s="9" t="n">
        <x:v>1</x:v>
      </x:c>
      <x:c r="D8814" s="8" t="n">
        <x:v>45556</x:v>
      </x:c>
      <x:c r="E8814" s="9" t="n">
        <x:v>5537000</x:v>
      </x:c>
      <x:c r="F8814" s="9" t="n">
        <x:v>5537000</x:v>
      </x:c>
    </x:row>
    <x:row r="8815" ht="34" customHeight="1">
      <x:c r="A8815" s="4" t="str">
        <x:v>RS-04361-I2</x:v>
      </x:c>
      <x:c r="B8815" s="4" t="str">
        <x:v>RS-04361</x:v>
      </x:c>
      <x:c r="C8815" s="9" t="n">
        <x:v>2</x:v>
      </x:c>
      <x:c r="D8815" s="8" t="n">
        <x:v>45586</x:v>
      </x:c>
      <x:c r="E8815" s="9" t="n">
        <x:v>5537000</x:v>
      </x:c>
      <x:c r="F8815" s="9" t="n">
        <x:v>0</x:v>
      </x:c>
    </x:row>
    <x:row r="8816" ht="34" customHeight="1">
      <x:c r="A8816" s="4" t="str">
        <x:v>RS-04361-I3</x:v>
      </x:c>
      <x:c r="B8816" s="4" t="str">
        <x:v>RS-04361</x:v>
      </x:c>
      <x:c r="C8816" s="9" t="n">
        <x:v>3</x:v>
      </x:c>
      <x:c r="D8816" s="8" t="n">
        <x:v>45616</x:v>
      </x:c>
      <x:c r="E8816" s="9" t="n">
        <x:v>5537000</x:v>
      </x:c>
      <x:c r="F8816" s="9" t="n">
        <x:v>0</x:v>
      </x:c>
    </x:row>
    <x:row r="8817" ht="34" customHeight="1">
      <x:c r="A8817" s="4" t="str">
        <x:v>RS-04361-I4</x:v>
      </x:c>
      <x:c r="B8817" s="4" t="str">
        <x:v>RS-04361</x:v>
      </x:c>
      <x:c r="C8817" s="9" t="n">
        <x:v>4</x:v>
      </x:c>
      <x:c r="D8817" s="8" t="n">
        <x:v>45646</x:v>
      </x:c>
      <x:c r="E8817" s="9" t="n">
        <x:v>5537000</x:v>
      </x:c>
      <x:c r="F8817" s="9" t="n">
        <x:v>0</x:v>
      </x:c>
    </x:row>
    <x:row r="8818" ht="34" customHeight="1">
      <x:c r="A8818" s="4" t="str">
        <x:v>RS-04362-I1</x:v>
      </x:c>
      <x:c r="B8818" s="4" t="str">
        <x:v>RS-04362</x:v>
      </x:c>
      <x:c r="C8818" s="9" t="n">
        <x:v>1</x:v>
      </x:c>
      <x:c r="D8818" s="8" t="n">
        <x:v>45557</x:v>
      </x:c>
      <x:c r="E8818" s="9" t="n">
        <x:v>4296000</x:v>
      </x:c>
      <x:c r="F8818" s="9" t="n">
        <x:v>1718400</x:v>
      </x:c>
    </x:row>
    <x:row r="8819" ht="34" customHeight="1">
      <x:c r="A8819" s="4" t="str">
        <x:v>RS-04362-I2</x:v>
      </x:c>
      <x:c r="B8819" s="4" t="str">
        <x:v>RS-04362</x:v>
      </x:c>
      <x:c r="C8819" s="9" t="n">
        <x:v>2</x:v>
      </x:c>
      <x:c r="D8819" s="8" t="n">
        <x:v>45587</x:v>
      </x:c>
      <x:c r="E8819" s="9" t="n">
        <x:v>4296000</x:v>
      </x:c>
      <x:c r="F8819" s="9" t="n">
        <x:v>0</x:v>
      </x:c>
    </x:row>
    <x:row r="8820" ht="34" customHeight="1">
      <x:c r="A8820" s="4" t="str">
        <x:v>RS-04362-I3</x:v>
      </x:c>
      <x:c r="B8820" s="4" t="str">
        <x:v>RS-04362</x:v>
      </x:c>
      <x:c r="C8820" s="9" t="n">
        <x:v>3</x:v>
      </x:c>
      <x:c r="D8820" s="8" t="n">
        <x:v>45617</x:v>
      </x:c>
      <x:c r="E8820" s="9" t="n">
        <x:v>4296000</x:v>
      </x:c>
      <x:c r="F8820" s="9" t="n">
        <x:v>0</x:v>
      </x:c>
    </x:row>
    <x:row r="8821" ht="34" customHeight="1">
      <x:c r="A8821" s="4" t="str">
        <x:v>RS-04362-I4</x:v>
      </x:c>
      <x:c r="B8821" s="4" t="str">
        <x:v>RS-04362</x:v>
      </x:c>
      <x:c r="C8821" s="9" t="n">
        <x:v>4</x:v>
      </x:c>
      <x:c r="D8821" s="8" t="n">
        <x:v>45647</x:v>
      </x:c>
      <x:c r="E8821" s="9" t="n">
        <x:v>4296000</x:v>
      </x:c>
      <x:c r="F8821" s="9" t="n">
        <x:v>0</x:v>
      </x:c>
    </x:row>
    <x:row r="8822" ht="34" customHeight="1">
      <x:c r="A8822" s="4" t="str">
        <x:v>RS-04363-I1</x:v>
      </x:c>
      <x:c r="B8822" s="4" t="str">
        <x:v>RS-04363</x:v>
      </x:c>
      <x:c r="C8822" s="9" t="n">
        <x:v>1</x:v>
      </x:c>
      <x:c r="D8822" s="8" t="n">
        <x:v>45558</x:v>
      </x:c>
      <x:c r="E8822" s="9" t="n">
        <x:v>1867500</x:v>
      </x:c>
      <x:c r="F8822" s="9" t="n">
        <x:v>1867500</x:v>
      </x:c>
    </x:row>
    <x:row r="8823" ht="34" customHeight="1">
      <x:c r="A8823" s="4" t="str">
        <x:v>RS-04363-I2</x:v>
      </x:c>
      <x:c r="B8823" s="4" t="str">
        <x:v>RS-04363</x:v>
      </x:c>
      <x:c r="C8823" s="9" t="n">
        <x:v>2</x:v>
      </x:c>
      <x:c r="D8823" s="8" t="n">
        <x:v>45588</x:v>
      </x:c>
      <x:c r="E8823" s="9" t="n">
        <x:v>1867500</x:v>
      </x:c>
      <x:c r="F8823" s="9" t="n">
        <x:v>0</x:v>
      </x:c>
    </x:row>
    <x:row r="8824" ht="34" customHeight="1">
      <x:c r="A8824" s="4" t="str">
        <x:v>RS-04363-I3</x:v>
      </x:c>
      <x:c r="B8824" s="4" t="str">
        <x:v>RS-04363</x:v>
      </x:c>
      <x:c r="C8824" s="9" t="n">
        <x:v>3</x:v>
      </x:c>
      <x:c r="D8824" s="8" t="n">
        <x:v>45618</x:v>
      </x:c>
      <x:c r="E8824" s="9" t="n">
        <x:v>1867500</x:v>
      </x:c>
      <x:c r="F8824" s="9" t="n">
        <x:v>0</x:v>
      </x:c>
    </x:row>
    <x:row r="8825" ht="34" customHeight="1">
      <x:c r="A8825" s="4" t="str">
        <x:v>RS-04363-I4</x:v>
      </x:c>
      <x:c r="B8825" s="4" t="str">
        <x:v>RS-04363</x:v>
      </x:c>
      <x:c r="C8825" s="9" t="n">
        <x:v>4</x:v>
      </x:c>
      <x:c r="D8825" s="8" t="n">
        <x:v>45648</x:v>
      </x:c>
      <x:c r="E8825" s="9" t="n">
        <x:v>1867500</x:v>
      </x:c>
      <x:c r="F8825" s="9" t="n">
        <x:v>0</x:v>
      </x:c>
    </x:row>
    <x:row r="8826" ht="34" customHeight="1">
      <x:c r="A8826" s="4" t="str">
        <x:v>RS-04366-I1</x:v>
      </x:c>
      <x:c r="B8826" s="4" t="str">
        <x:v>RS-04366</x:v>
      </x:c>
      <x:c r="C8826" s="9" t="n">
        <x:v>1</x:v>
      </x:c>
      <x:c r="D8826" s="8" t="n">
        <x:v>45561</x:v>
      </x:c>
      <x:c r="E8826" s="9" t="n">
        <x:v>5244000</x:v>
      </x:c>
      <x:c r="F8826" s="9" t="n">
        <x:v>5244000</x:v>
      </x:c>
    </x:row>
    <x:row r="8827" ht="34" customHeight="1">
      <x:c r="A8827" s="4" t="str">
        <x:v>RS-04366-I2</x:v>
      </x:c>
      <x:c r="B8827" s="4" t="str">
        <x:v>RS-04366</x:v>
      </x:c>
      <x:c r="C8827" s="9" t="n">
        <x:v>2</x:v>
      </x:c>
      <x:c r="D8827" s="8" t="n">
        <x:v>45591</x:v>
      </x:c>
      <x:c r="E8827" s="9" t="n">
        <x:v>5244000</x:v>
      </x:c>
      <x:c r="F8827" s="9" t="n">
        <x:v>5244000</x:v>
      </x:c>
    </x:row>
    <x:row r="8828" ht="34" customHeight="1">
      <x:c r="A8828" s="4" t="str">
        <x:v>RS-04366-I3</x:v>
      </x:c>
      <x:c r="B8828" s="4" t="str">
        <x:v>RS-04366</x:v>
      </x:c>
      <x:c r="C8828" s="9" t="n">
        <x:v>3</x:v>
      </x:c>
      <x:c r="D8828" s="8" t="n">
        <x:v>45621</x:v>
      </x:c>
      <x:c r="E8828" s="9" t="n">
        <x:v>5244000</x:v>
      </x:c>
      <x:c r="F8828" s="9" t="n">
        <x:v>0</x:v>
      </x:c>
    </x:row>
    <x:row r="8829" ht="34" customHeight="1">
      <x:c r="A8829" s="4" t="str">
        <x:v>RS-04366-I4</x:v>
      </x:c>
      <x:c r="B8829" s="4" t="str">
        <x:v>RS-04366</x:v>
      </x:c>
      <x:c r="C8829" s="9" t="n">
        <x:v>4</x:v>
      </x:c>
      <x:c r="D8829" s="8" t="n">
        <x:v>45651</x:v>
      </x:c>
      <x:c r="E8829" s="9" t="n">
        <x:v>5244000</x:v>
      </x:c>
      <x:c r="F8829" s="9" t="n">
        <x:v>0</x:v>
      </x:c>
    </x:row>
    <x:row r="8830" ht="34" customHeight="1">
      <x:c r="A8830" s="4" t="str">
        <x:v>RS-04372-I1</x:v>
      </x:c>
      <x:c r="B8830" s="4" t="str">
        <x:v>RS-04372</x:v>
      </x:c>
      <x:c r="C8830" s="9" t="n">
        <x:v>1</x:v>
      </x:c>
      <x:c r="D8830" s="8" t="n">
        <x:v>45539</x:v>
      </x:c>
      <x:c r="E8830" s="9" t="n">
        <x:v>1127000</x:v>
      </x:c>
      <x:c r="F8830" s="9" t="n">
        <x:v>450800</x:v>
      </x:c>
    </x:row>
    <x:row r="8831" ht="34" customHeight="1">
      <x:c r="A8831" s="4" t="str">
        <x:v>RS-04372-I2</x:v>
      </x:c>
      <x:c r="B8831" s="4" t="str">
        <x:v>RS-04372</x:v>
      </x:c>
      <x:c r="C8831" s="9" t="n">
        <x:v>2</x:v>
      </x:c>
      <x:c r="D8831" s="8" t="n">
        <x:v>45569</x:v>
      </x:c>
      <x:c r="E8831" s="9" t="n">
        <x:v>1127000</x:v>
      </x:c>
      <x:c r="F8831" s="9" t="n">
        <x:v>0</x:v>
      </x:c>
    </x:row>
    <x:row r="8832" ht="34" customHeight="1">
      <x:c r="A8832" s="4" t="str">
        <x:v>RS-04372-I3</x:v>
      </x:c>
      <x:c r="B8832" s="4" t="str">
        <x:v>RS-04372</x:v>
      </x:c>
      <x:c r="C8832" s="9" t="n">
        <x:v>3</x:v>
      </x:c>
      <x:c r="D8832" s="8" t="n">
        <x:v>45599</x:v>
      </x:c>
      <x:c r="E8832" s="9" t="n">
        <x:v>1127000</x:v>
      </x:c>
      <x:c r="F8832" s="9" t="n">
        <x:v>0</x:v>
      </x:c>
    </x:row>
    <x:row r="8833" ht="34" customHeight="1">
      <x:c r="A8833" s="4" t="str">
        <x:v>RS-04372-I4</x:v>
      </x:c>
      <x:c r="B8833" s="4" t="str">
        <x:v>RS-04372</x:v>
      </x:c>
      <x:c r="C8833" s="9" t="n">
        <x:v>4</x:v>
      </x:c>
      <x:c r="D8833" s="8" t="n">
        <x:v>45629</x:v>
      </x:c>
      <x:c r="E8833" s="9" t="n">
        <x:v>1127000</x:v>
      </x:c>
      <x:c r="F8833" s="9" t="n">
        <x:v>0</x:v>
      </x:c>
    </x:row>
    <x:row r="8834" ht="34" customHeight="1">
      <x:c r="A8834" s="4" t="str">
        <x:v>RS-04373-I1</x:v>
      </x:c>
      <x:c r="B8834" s="4" t="str">
        <x:v>RS-04373</x:v>
      </x:c>
      <x:c r="C8834" s="9" t="n">
        <x:v>1</x:v>
      </x:c>
      <x:c r="D8834" s="8" t="n">
        <x:v>45540</x:v>
      </x:c>
      <x:c r="E8834" s="9" t="n">
        <x:v>2714500</x:v>
      </x:c>
      <x:c r="F8834" s="9" t="n">
        <x:v>1085800</x:v>
      </x:c>
    </x:row>
    <x:row r="8835" ht="34" customHeight="1">
      <x:c r="A8835" s="4" t="str">
        <x:v>RS-04373-I2</x:v>
      </x:c>
      <x:c r="B8835" s="4" t="str">
        <x:v>RS-04373</x:v>
      </x:c>
      <x:c r="C8835" s="9" t="n">
        <x:v>2</x:v>
      </x:c>
      <x:c r="D8835" s="8" t="n">
        <x:v>45570</x:v>
      </x:c>
      <x:c r="E8835" s="9" t="n">
        <x:v>2714500</x:v>
      </x:c>
      <x:c r="F8835" s="9" t="n">
        <x:v>0</x:v>
      </x:c>
    </x:row>
    <x:row r="8836" ht="34" customHeight="1">
      <x:c r="A8836" s="4" t="str">
        <x:v>RS-04373-I3</x:v>
      </x:c>
      <x:c r="B8836" s="4" t="str">
        <x:v>RS-04373</x:v>
      </x:c>
      <x:c r="C8836" s="9" t="n">
        <x:v>3</x:v>
      </x:c>
      <x:c r="D8836" s="8" t="n">
        <x:v>45600</x:v>
      </x:c>
      <x:c r="E8836" s="9" t="n">
        <x:v>2714500</x:v>
      </x:c>
      <x:c r="F8836" s="9" t="n">
        <x:v>0</x:v>
      </x:c>
    </x:row>
    <x:row r="8837" ht="34" customHeight="1">
      <x:c r="A8837" s="4" t="str">
        <x:v>RS-04373-I4</x:v>
      </x:c>
      <x:c r="B8837" s="4" t="str">
        <x:v>RS-04373</x:v>
      </x:c>
      <x:c r="C8837" s="9" t="n">
        <x:v>4</x:v>
      </x:c>
      <x:c r="D8837" s="8" t="n">
        <x:v>45630</x:v>
      </x:c>
      <x:c r="E8837" s="9" t="n">
        <x:v>2714500</x:v>
      </x:c>
      <x:c r="F8837" s="9" t="n">
        <x:v>0</x:v>
      </x:c>
    </x:row>
    <x:row r="8838" ht="34" customHeight="1">
      <x:c r="A8838" s="4" t="str">
        <x:v>RS-04375-I1</x:v>
      </x:c>
      <x:c r="B8838" s="4" t="str">
        <x:v>RS-04375</x:v>
      </x:c>
      <x:c r="C8838" s="9" t="n">
        <x:v>1</x:v>
      </x:c>
      <x:c r="D8838" s="8" t="n">
        <x:v>45542</x:v>
      </x:c>
      <x:c r="E8838" s="9" t="n">
        <x:v>2107000</x:v>
      </x:c>
      <x:c r="F8838" s="9" t="n">
        <x:v>842800</x:v>
      </x:c>
    </x:row>
    <x:row r="8839" ht="34" customHeight="1">
      <x:c r="A8839" s="4" t="str">
        <x:v>RS-04375-I2</x:v>
      </x:c>
      <x:c r="B8839" s="4" t="str">
        <x:v>RS-04375</x:v>
      </x:c>
      <x:c r="C8839" s="9" t="n">
        <x:v>2</x:v>
      </x:c>
      <x:c r="D8839" s="8" t="n">
        <x:v>45572</x:v>
      </x:c>
      <x:c r="E8839" s="9" t="n">
        <x:v>2107000</x:v>
      </x:c>
      <x:c r="F8839" s="9" t="n">
        <x:v>0</x:v>
      </x:c>
    </x:row>
    <x:row r="8840" ht="34" customHeight="1">
      <x:c r="A8840" s="4" t="str">
        <x:v>RS-04375-I3</x:v>
      </x:c>
      <x:c r="B8840" s="4" t="str">
        <x:v>RS-04375</x:v>
      </x:c>
      <x:c r="C8840" s="9" t="n">
        <x:v>3</x:v>
      </x:c>
      <x:c r="D8840" s="8" t="n">
        <x:v>45602</x:v>
      </x:c>
      <x:c r="E8840" s="9" t="n">
        <x:v>2107000</x:v>
      </x:c>
      <x:c r="F8840" s="9" t="n">
        <x:v>0</x:v>
      </x:c>
    </x:row>
    <x:row r="8841" ht="34" customHeight="1">
      <x:c r="A8841" s="4" t="str">
        <x:v>RS-04375-I4</x:v>
      </x:c>
      <x:c r="B8841" s="4" t="str">
        <x:v>RS-04375</x:v>
      </x:c>
      <x:c r="C8841" s="9" t="n">
        <x:v>4</x:v>
      </x:c>
      <x:c r="D8841" s="8" t="n">
        <x:v>45632</x:v>
      </x:c>
      <x:c r="E8841" s="9" t="n">
        <x:v>2107000</x:v>
      </x:c>
      <x:c r="F8841" s="9" t="n">
        <x:v>0</x:v>
      </x:c>
    </x:row>
    <x:row r="8842" ht="34" customHeight="1">
      <x:c r="A8842" s="4" t="str">
        <x:v>RS-04378-I1</x:v>
      </x:c>
      <x:c r="B8842" s="4" t="str">
        <x:v>RS-04378</x:v>
      </x:c>
      <x:c r="C8842" s="9" t="n">
        <x:v>1</x:v>
      </x:c>
      <x:c r="D8842" s="8" t="n">
        <x:v>45545</x:v>
      </x:c>
      <x:c r="E8842" s="9" t="n">
        <x:v>4300500</x:v>
      </x:c>
      <x:c r="F8842" s="9" t="n">
        <x:v>1720200</x:v>
      </x:c>
    </x:row>
    <x:row r="8843" ht="34" customHeight="1">
      <x:c r="A8843" s="4" t="str">
        <x:v>RS-04378-I2</x:v>
      </x:c>
      <x:c r="B8843" s="4" t="str">
        <x:v>RS-04378</x:v>
      </x:c>
      <x:c r="C8843" s="9" t="n">
        <x:v>2</x:v>
      </x:c>
      <x:c r="D8843" s="8" t="n">
        <x:v>45575</x:v>
      </x:c>
      <x:c r="E8843" s="9" t="n">
        <x:v>4300500</x:v>
      </x:c>
      <x:c r="F8843" s="9" t="n">
        <x:v>0</x:v>
      </x:c>
    </x:row>
    <x:row r="8844" ht="34" customHeight="1">
      <x:c r="A8844" s="4" t="str">
        <x:v>RS-04378-I3</x:v>
      </x:c>
      <x:c r="B8844" s="4" t="str">
        <x:v>RS-04378</x:v>
      </x:c>
      <x:c r="C8844" s="9" t="n">
        <x:v>3</x:v>
      </x:c>
      <x:c r="D8844" s="8" t="n">
        <x:v>45605</x:v>
      </x:c>
      <x:c r="E8844" s="9" t="n">
        <x:v>4300500</x:v>
      </x:c>
      <x:c r="F8844" s="9" t="n">
        <x:v>0</x:v>
      </x:c>
    </x:row>
    <x:row r="8845" ht="34" customHeight="1">
      <x:c r="A8845" s="4" t="str">
        <x:v>RS-04378-I4</x:v>
      </x:c>
      <x:c r="B8845" s="4" t="str">
        <x:v>RS-04378</x:v>
      </x:c>
      <x:c r="C8845" s="9" t="n">
        <x:v>4</x:v>
      </x:c>
      <x:c r="D8845" s="8" t="n">
        <x:v>45635</x:v>
      </x:c>
      <x:c r="E8845" s="9" t="n">
        <x:v>4300500</x:v>
      </x:c>
      <x:c r="F8845" s="9" t="n">
        <x:v>0</x:v>
      </x:c>
    </x:row>
    <x:row r="8846" ht="34" customHeight="1">
      <x:c r="A8846" s="4" t="str">
        <x:v>RS-04379-I1</x:v>
      </x:c>
      <x:c r="B8846" s="4" t="str">
        <x:v>RS-04379</x:v>
      </x:c>
      <x:c r="C8846" s="9" t="n">
        <x:v>1</x:v>
      </x:c>
      <x:c r="D8846" s="8" t="n">
        <x:v>45546</x:v>
      </x:c>
      <x:c r="E8846" s="9" t="n">
        <x:v>3128000</x:v>
      </x:c>
      <x:c r="F8846" s="9" t="n">
        <x:v>3128000</x:v>
      </x:c>
    </x:row>
    <x:row r="8847" ht="34" customHeight="1">
      <x:c r="A8847" s="4" t="str">
        <x:v>RS-04379-I2</x:v>
      </x:c>
      <x:c r="B8847" s="4" t="str">
        <x:v>RS-04379</x:v>
      </x:c>
      <x:c r="C8847" s="9" t="n">
        <x:v>2</x:v>
      </x:c>
      <x:c r="D8847" s="8" t="n">
        <x:v>45576</x:v>
      </x:c>
      <x:c r="E8847" s="9" t="n">
        <x:v>3128000</x:v>
      </x:c>
      <x:c r="F8847" s="9" t="n">
        <x:v>3128000</x:v>
      </x:c>
    </x:row>
    <x:row r="8848" ht="34" customHeight="1">
      <x:c r="A8848" s="4" t="str">
        <x:v>RS-04379-I3</x:v>
      </x:c>
      <x:c r="B8848" s="4" t="str">
        <x:v>RS-04379</x:v>
      </x:c>
      <x:c r="C8848" s="9" t="n">
        <x:v>3</x:v>
      </x:c>
      <x:c r="D8848" s="8" t="n">
        <x:v>45606</x:v>
      </x:c>
      <x:c r="E8848" s="9" t="n">
        <x:v>3128000</x:v>
      </x:c>
      <x:c r="F8848" s="9" t="n">
        <x:v>3128000</x:v>
      </x:c>
    </x:row>
    <x:row r="8849" ht="34" customHeight="1">
      <x:c r="A8849" s="4" t="str">
        <x:v>RS-04379-I4</x:v>
      </x:c>
      <x:c r="B8849" s="4" t="str">
        <x:v>RS-04379</x:v>
      </x:c>
      <x:c r="C8849" s="9" t="n">
        <x:v>4</x:v>
      </x:c>
      <x:c r="D8849" s="8" t="n">
        <x:v>45636</x:v>
      </x:c>
      <x:c r="E8849" s="9" t="n">
        <x:v>3128000</x:v>
      </x:c>
      <x:c r="F8849" s="9" t="n">
        <x:v>3128000</x:v>
      </x:c>
    </x:row>
    <x:row r="8850" ht="34" customHeight="1">
      <x:c r="A8850" s="4" t="str">
        <x:v>RS-04380-I1</x:v>
      </x:c>
      <x:c r="B8850" s="4" t="str">
        <x:v>RS-04380</x:v>
      </x:c>
      <x:c r="C8850" s="9" t="n">
        <x:v>1</x:v>
      </x:c>
      <x:c r="D8850" s="8" t="n">
        <x:v>45547</x:v>
      </x:c>
      <x:c r="E8850" s="9" t="n">
        <x:v>2022750</x:v>
      </x:c>
      <x:c r="F8850" s="9" t="n">
        <x:v>2022750</x:v>
      </x:c>
    </x:row>
    <x:row r="8851" ht="34" customHeight="1">
      <x:c r="A8851" s="4" t="str">
        <x:v>RS-04380-I2</x:v>
      </x:c>
      <x:c r="B8851" s="4" t="str">
        <x:v>RS-04380</x:v>
      </x:c>
      <x:c r="C8851" s="9" t="n">
        <x:v>2</x:v>
      </x:c>
      <x:c r="D8851" s="8" t="n">
        <x:v>45577</x:v>
      </x:c>
      <x:c r="E8851" s="9" t="n">
        <x:v>2022750</x:v>
      </x:c>
      <x:c r="F8851" s="9" t="n">
        <x:v>2022750</x:v>
      </x:c>
    </x:row>
    <x:row r="8852" ht="34" customHeight="1">
      <x:c r="A8852" s="4" t="str">
        <x:v>RS-04380-I3</x:v>
      </x:c>
      <x:c r="B8852" s="4" t="str">
        <x:v>RS-04380</x:v>
      </x:c>
      <x:c r="C8852" s="9" t="n">
        <x:v>3</x:v>
      </x:c>
      <x:c r="D8852" s="8" t="n">
        <x:v>45607</x:v>
      </x:c>
      <x:c r="E8852" s="9" t="n">
        <x:v>2022750</x:v>
      </x:c>
      <x:c r="F8852" s="9" t="n">
        <x:v>2022750</x:v>
      </x:c>
    </x:row>
    <x:row r="8853" ht="34" customHeight="1">
      <x:c r="A8853" s="4" t="str">
        <x:v>RS-04380-I4</x:v>
      </x:c>
      <x:c r="B8853" s="4" t="str">
        <x:v>RS-04380</x:v>
      </x:c>
      <x:c r="C8853" s="9" t="n">
        <x:v>4</x:v>
      </x:c>
      <x:c r="D8853" s="8" t="n">
        <x:v>45637</x:v>
      </x:c>
      <x:c r="E8853" s="9" t="n">
        <x:v>2022750</x:v>
      </x:c>
      <x:c r="F8853" s="9" t="n">
        <x:v>2022750</x:v>
      </x:c>
    </x:row>
    <x:row r="8854" ht="34" customHeight="1">
      <x:c r="A8854" s="4" t="str">
        <x:v>RS-04384-I1</x:v>
      </x:c>
      <x:c r="B8854" s="4" t="str">
        <x:v>RS-04384</x:v>
      </x:c>
      <x:c r="C8854" s="9" t="n">
        <x:v>1</x:v>
      </x:c>
      <x:c r="D8854" s="8" t="n">
        <x:v>45551</x:v>
      </x:c>
      <x:c r="E8854" s="9" t="n">
        <x:v>3159500</x:v>
      </x:c>
      <x:c r="F8854" s="9" t="n">
        <x:v>3159500</x:v>
      </x:c>
    </x:row>
    <x:row r="8855" ht="34" customHeight="1">
      <x:c r="A8855" s="4" t="str">
        <x:v>RS-04384-I2</x:v>
      </x:c>
      <x:c r="B8855" s="4" t="str">
        <x:v>RS-04384</x:v>
      </x:c>
      <x:c r="C8855" s="9" t="n">
        <x:v>2</x:v>
      </x:c>
      <x:c r="D8855" s="8" t="n">
        <x:v>45581</x:v>
      </x:c>
      <x:c r="E8855" s="9" t="n">
        <x:v>3159500</x:v>
      </x:c>
      <x:c r="F8855" s="9" t="n">
        <x:v>3159500</x:v>
      </x:c>
    </x:row>
    <x:row r="8856" ht="34" customHeight="1">
      <x:c r="A8856" s="4" t="str">
        <x:v>RS-04384-I3</x:v>
      </x:c>
      <x:c r="B8856" s="4" t="str">
        <x:v>RS-04384</x:v>
      </x:c>
      <x:c r="C8856" s="9" t="n">
        <x:v>3</x:v>
      </x:c>
      <x:c r="D8856" s="8" t="n">
        <x:v>45611</x:v>
      </x:c>
      <x:c r="E8856" s="9" t="n">
        <x:v>3159500</x:v>
      </x:c>
      <x:c r="F8856" s="9" t="n">
        <x:v>3159500</x:v>
      </x:c>
    </x:row>
    <x:row r="8857" ht="34" customHeight="1">
      <x:c r="A8857" s="4" t="str">
        <x:v>RS-04384-I4</x:v>
      </x:c>
      <x:c r="B8857" s="4" t="str">
        <x:v>RS-04384</x:v>
      </x:c>
      <x:c r="C8857" s="9" t="n">
        <x:v>4</x:v>
      </x:c>
      <x:c r="D8857" s="8" t="n">
        <x:v>45641</x:v>
      </x:c>
      <x:c r="E8857" s="9" t="n">
        <x:v>3159500</x:v>
      </x:c>
      <x:c r="F8857" s="9" t="n">
        <x:v>3159500</x:v>
      </x:c>
    </x:row>
    <x:row r="8858" ht="34" customHeight="1">
      <x:c r="A8858" s="4" t="str">
        <x:v>RS-04385-I1</x:v>
      </x:c>
      <x:c r="B8858" s="4" t="str">
        <x:v>RS-04385</x:v>
      </x:c>
      <x:c r="C8858" s="9" t="n">
        <x:v>1</x:v>
      </x:c>
      <x:c r="D8858" s="8" t="n">
        <x:v>45552</x:v>
      </x:c>
      <x:c r="E8858" s="9" t="n">
        <x:v>727500</x:v>
      </x:c>
      <x:c r="F8858" s="9" t="n">
        <x:v>727500</x:v>
      </x:c>
    </x:row>
    <x:row r="8859" ht="34" customHeight="1">
      <x:c r="A8859" s="4" t="str">
        <x:v>RS-04385-I2</x:v>
      </x:c>
      <x:c r="B8859" s="4" t="str">
        <x:v>RS-04385</x:v>
      </x:c>
      <x:c r="C8859" s="9" t="n">
        <x:v>2</x:v>
      </x:c>
      <x:c r="D8859" s="8" t="n">
        <x:v>45582</x:v>
      </x:c>
      <x:c r="E8859" s="9" t="n">
        <x:v>727500</x:v>
      </x:c>
      <x:c r="F8859" s="9" t="n">
        <x:v>727500</x:v>
      </x:c>
    </x:row>
    <x:row r="8860" ht="34" customHeight="1">
      <x:c r="A8860" s="4" t="str">
        <x:v>RS-04385-I3</x:v>
      </x:c>
      <x:c r="B8860" s="4" t="str">
        <x:v>RS-04385</x:v>
      </x:c>
      <x:c r="C8860" s="9" t="n">
        <x:v>3</x:v>
      </x:c>
      <x:c r="D8860" s="8" t="n">
        <x:v>45612</x:v>
      </x:c>
      <x:c r="E8860" s="9" t="n">
        <x:v>727500</x:v>
      </x:c>
      <x:c r="F8860" s="9" t="n">
        <x:v>727500</x:v>
      </x:c>
    </x:row>
    <x:row r="8861" ht="34" customHeight="1">
      <x:c r="A8861" s="4" t="str">
        <x:v>RS-04385-I4</x:v>
      </x:c>
      <x:c r="B8861" s="4" t="str">
        <x:v>RS-04385</x:v>
      </x:c>
      <x:c r="C8861" s="9" t="n">
        <x:v>4</x:v>
      </x:c>
      <x:c r="D8861" s="8" t="n">
        <x:v>45642</x:v>
      </x:c>
      <x:c r="E8861" s="9" t="n">
        <x:v>727500</x:v>
      </x:c>
      <x:c r="F8861" s="9" t="n">
        <x:v>727500</x:v>
      </x:c>
    </x:row>
    <x:row r="8862" ht="34" customHeight="1">
      <x:c r="A8862" s="4" t="str">
        <x:v>RS-04386-I1</x:v>
      </x:c>
      <x:c r="B8862" s="4" t="str">
        <x:v>RS-04386</x:v>
      </x:c>
      <x:c r="C8862" s="9" t="n">
        <x:v>1</x:v>
      </x:c>
      <x:c r="D8862" s="8" t="n">
        <x:v>45553</x:v>
      </x:c>
      <x:c r="E8862" s="9" t="n">
        <x:v>5136000</x:v>
      </x:c>
      <x:c r="F8862" s="9" t="n">
        <x:v>2054400</x:v>
      </x:c>
    </x:row>
    <x:row r="8863" ht="34" customHeight="1">
      <x:c r="A8863" s="4" t="str">
        <x:v>RS-04386-I2</x:v>
      </x:c>
      <x:c r="B8863" s="4" t="str">
        <x:v>RS-04386</x:v>
      </x:c>
      <x:c r="C8863" s="9" t="n">
        <x:v>2</x:v>
      </x:c>
      <x:c r="D8863" s="8" t="n">
        <x:v>45583</x:v>
      </x:c>
      <x:c r="E8863" s="9" t="n">
        <x:v>5136000</x:v>
      </x:c>
      <x:c r="F8863" s="9" t="n">
        <x:v>0</x:v>
      </x:c>
    </x:row>
    <x:row r="8864" ht="34" customHeight="1">
      <x:c r="A8864" s="4" t="str">
        <x:v>RS-04386-I3</x:v>
      </x:c>
      <x:c r="B8864" s="4" t="str">
        <x:v>RS-04386</x:v>
      </x:c>
      <x:c r="C8864" s="9" t="n">
        <x:v>3</x:v>
      </x:c>
      <x:c r="D8864" s="8" t="n">
        <x:v>45613</x:v>
      </x:c>
      <x:c r="E8864" s="9" t="n">
        <x:v>5136000</x:v>
      </x:c>
      <x:c r="F8864" s="9" t="n">
        <x:v>0</x:v>
      </x:c>
    </x:row>
    <x:row r="8865" ht="34" customHeight="1">
      <x:c r="A8865" s="4" t="str">
        <x:v>RS-04386-I4</x:v>
      </x:c>
      <x:c r="B8865" s="4" t="str">
        <x:v>RS-04386</x:v>
      </x:c>
      <x:c r="C8865" s="9" t="n">
        <x:v>4</x:v>
      </x:c>
      <x:c r="D8865" s="8" t="n">
        <x:v>45643</x:v>
      </x:c>
      <x:c r="E8865" s="9" t="n">
        <x:v>5136000</x:v>
      </x:c>
      <x:c r="F8865" s="9" t="n">
        <x:v>0</x:v>
      </x:c>
    </x:row>
    <x:row r="8866" ht="34" customHeight="1">
      <x:c r="A8866" s="4" t="str">
        <x:v>RS-04387-I1</x:v>
      </x:c>
      <x:c r="B8866" s="4" t="str">
        <x:v>RS-04387</x:v>
      </x:c>
      <x:c r="C8866" s="9" t="n">
        <x:v>1</x:v>
      </x:c>
      <x:c r="D8866" s="8" t="n">
        <x:v>45554</x:v>
      </x:c>
      <x:c r="E8866" s="9" t="n">
        <x:v>2499000</x:v>
      </x:c>
      <x:c r="F8866" s="9" t="n">
        <x:v>2499000</x:v>
      </x:c>
    </x:row>
    <x:row r="8867" ht="34" customHeight="1">
      <x:c r="A8867" s="4" t="str">
        <x:v>RS-04387-I2</x:v>
      </x:c>
      <x:c r="B8867" s="4" t="str">
        <x:v>RS-04387</x:v>
      </x:c>
      <x:c r="C8867" s="9" t="n">
        <x:v>2</x:v>
      </x:c>
      <x:c r="D8867" s="8" t="n">
        <x:v>45584</x:v>
      </x:c>
      <x:c r="E8867" s="9" t="n">
        <x:v>2499000</x:v>
      </x:c>
      <x:c r="F8867" s="9" t="n">
        <x:v>2499000</x:v>
      </x:c>
    </x:row>
    <x:row r="8868" ht="34" customHeight="1">
      <x:c r="A8868" s="4" t="str">
        <x:v>RS-04387-I3</x:v>
      </x:c>
      <x:c r="B8868" s="4" t="str">
        <x:v>RS-04387</x:v>
      </x:c>
      <x:c r="C8868" s="9" t="n">
        <x:v>3</x:v>
      </x:c>
      <x:c r="D8868" s="8" t="n">
        <x:v>45614</x:v>
      </x:c>
      <x:c r="E8868" s="9" t="n">
        <x:v>2499000</x:v>
      </x:c>
      <x:c r="F8868" s="9" t="n">
        <x:v>2499000</x:v>
      </x:c>
    </x:row>
    <x:row r="8869" ht="34" customHeight="1">
      <x:c r="A8869" s="4" t="str">
        <x:v>RS-04387-I4</x:v>
      </x:c>
      <x:c r="B8869" s="4" t="str">
        <x:v>RS-04387</x:v>
      </x:c>
      <x:c r="C8869" s="9" t="n">
        <x:v>4</x:v>
      </x:c>
      <x:c r="D8869" s="8" t="n">
        <x:v>45644</x:v>
      </x:c>
      <x:c r="E8869" s="9" t="n">
        <x:v>2499000</x:v>
      </x:c>
      <x:c r="F8869" s="9" t="n">
        <x:v>2499000</x:v>
      </x:c>
    </x:row>
    <x:row r="8870" ht="34" customHeight="1">
      <x:c r="A8870" s="4" t="str">
        <x:v>RS-04388-I1</x:v>
      </x:c>
      <x:c r="B8870" s="4" t="str">
        <x:v>RS-04388</x:v>
      </x:c>
      <x:c r="C8870" s="9" t="n">
        <x:v>1</x:v>
      </x:c>
      <x:c r="D8870" s="8" t="n">
        <x:v>45555</x:v>
      </x:c>
      <x:c r="E8870" s="9" t="n">
        <x:v>4800000</x:v>
      </x:c>
      <x:c r="F8870" s="9" t="n">
        <x:v>4800000</x:v>
      </x:c>
    </x:row>
    <x:row r="8871" ht="34" customHeight="1">
      <x:c r="A8871" s="4" t="str">
        <x:v>RS-04388-I2</x:v>
      </x:c>
      <x:c r="B8871" s="4" t="str">
        <x:v>RS-04388</x:v>
      </x:c>
      <x:c r="C8871" s="9" t="n">
        <x:v>2</x:v>
      </x:c>
      <x:c r="D8871" s="8" t="n">
        <x:v>45585</x:v>
      </x:c>
      <x:c r="E8871" s="9" t="n">
        <x:v>4800000</x:v>
      </x:c>
      <x:c r="F8871" s="9" t="n">
        <x:v>4800000</x:v>
      </x:c>
    </x:row>
    <x:row r="8872" ht="34" customHeight="1">
      <x:c r="A8872" s="4" t="str">
        <x:v>RS-04388-I3</x:v>
      </x:c>
      <x:c r="B8872" s="4" t="str">
        <x:v>RS-04388</x:v>
      </x:c>
      <x:c r="C8872" s="9" t="n">
        <x:v>3</x:v>
      </x:c>
      <x:c r="D8872" s="8" t="n">
        <x:v>45615</x:v>
      </x:c>
      <x:c r="E8872" s="9" t="n">
        <x:v>4800000</x:v>
      </x:c>
      <x:c r="F8872" s="9" t="n">
        <x:v>4800000</x:v>
      </x:c>
    </x:row>
    <x:row r="8873" ht="34" customHeight="1">
      <x:c r="A8873" s="4" t="str">
        <x:v>RS-04388-I4</x:v>
      </x:c>
      <x:c r="B8873" s="4" t="str">
        <x:v>RS-04388</x:v>
      </x:c>
      <x:c r="C8873" s="9" t="n">
        <x:v>4</x:v>
      </x:c>
      <x:c r="D8873" s="8" t="n">
        <x:v>45645</x:v>
      </x:c>
      <x:c r="E8873" s="9" t="n">
        <x:v>4800000</x:v>
      </x:c>
      <x:c r="F8873" s="9" t="n">
        <x:v>4800000</x:v>
      </x:c>
    </x:row>
    <x:row r="8874" ht="34" customHeight="1">
      <x:c r="A8874" s="4" t="str">
        <x:v>RS-04390-I1</x:v>
      </x:c>
      <x:c r="B8874" s="4" t="str">
        <x:v>RS-04390</x:v>
      </x:c>
      <x:c r="C8874" s="9" t="n">
        <x:v>1</x:v>
      </x:c>
      <x:c r="D8874" s="8" t="n">
        <x:v>45557</x:v>
      </x:c>
      <x:c r="E8874" s="9" t="n">
        <x:v>3070500</x:v>
      </x:c>
      <x:c r="F8874" s="9" t="n">
        <x:v>3070500</x:v>
      </x:c>
    </x:row>
    <x:row r="8875" ht="34" customHeight="1">
      <x:c r="A8875" s="4" t="str">
        <x:v>RS-04390-I2</x:v>
      </x:c>
      <x:c r="B8875" s="4" t="str">
        <x:v>RS-04390</x:v>
      </x:c>
      <x:c r="C8875" s="9" t="n">
        <x:v>2</x:v>
      </x:c>
      <x:c r="D8875" s="8" t="n">
        <x:v>45587</x:v>
      </x:c>
      <x:c r="E8875" s="9" t="n">
        <x:v>3070500</x:v>
      </x:c>
      <x:c r="F8875" s="9" t="n">
        <x:v>3070500</x:v>
      </x:c>
    </x:row>
    <x:row r="8876" ht="34" customHeight="1">
      <x:c r="A8876" s="4" t="str">
        <x:v>RS-04390-I3</x:v>
      </x:c>
      <x:c r="B8876" s="4" t="str">
        <x:v>RS-04390</x:v>
      </x:c>
      <x:c r="C8876" s="9" t="n">
        <x:v>3</x:v>
      </x:c>
      <x:c r="D8876" s="8" t="n">
        <x:v>45617</x:v>
      </x:c>
      <x:c r="E8876" s="9" t="n">
        <x:v>3070500</x:v>
      </x:c>
      <x:c r="F8876" s="9" t="n">
        <x:v>0</x:v>
      </x:c>
    </x:row>
    <x:row r="8877" ht="34" customHeight="1">
      <x:c r="A8877" s="4" t="str">
        <x:v>RS-04390-I4</x:v>
      </x:c>
      <x:c r="B8877" s="4" t="str">
        <x:v>RS-04390</x:v>
      </x:c>
      <x:c r="C8877" s="9" t="n">
        <x:v>4</x:v>
      </x:c>
      <x:c r="D8877" s="8" t="n">
        <x:v>45647</x:v>
      </x:c>
      <x:c r="E8877" s="9" t="n">
        <x:v>3070500</x:v>
      </x:c>
      <x:c r="F8877" s="9" t="n">
        <x:v>0</x:v>
      </x:c>
    </x:row>
    <x:row r="8878" ht="34" customHeight="1">
      <x:c r="A8878" s="4" t="str">
        <x:v>RS-04391-I1</x:v>
      </x:c>
      <x:c r="B8878" s="4" t="str">
        <x:v>RS-04391</x:v>
      </x:c>
      <x:c r="C8878" s="9" t="n">
        <x:v>1</x:v>
      </x:c>
      <x:c r="D8878" s="8" t="n">
        <x:v>45558</x:v>
      </x:c>
      <x:c r="E8878" s="9" t="n">
        <x:v>5628750</x:v>
      </x:c>
      <x:c r="F8878" s="9" t="n">
        <x:v>5628750</x:v>
      </x:c>
    </x:row>
    <x:row r="8879" ht="34" customHeight="1">
      <x:c r="A8879" s="4" t="str">
        <x:v>RS-04391-I2</x:v>
      </x:c>
      <x:c r="B8879" s="4" t="str">
        <x:v>RS-04391</x:v>
      </x:c>
      <x:c r="C8879" s="9" t="n">
        <x:v>2</x:v>
      </x:c>
      <x:c r="D8879" s="8" t="n">
        <x:v>45588</x:v>
      </x:c>
      <x:c r="E8879" s="9" t="n">
        <x:v>5628750</x:v>
      </x:c>
      <x:c r="F8879" s="9" t="n">
        <x:v>5628750</x:v>
      </x:c>
    </x:row>
    <x:row r="8880" ht="34" customHeight="1">
      <x:c r="A8880" s="4" t="str">
        <x:v>RS-04391-I3</x:v>
      </x:c>
      <x:c r="B8880" s="4" t="str">
        <x:v>RS-04391</x:v>
      </x:c>
      <x:c r="C8880" s="9" t="n">
        <x:v>3</x:v>
      </x:c>
      <x:c r="D8880" s="8" t="n">
        <x:v>45618</x:v>
      </x:c>
      <x:c r="E8880" s="9" t="n">
        <x:v>5628750</x:v>
      </x:c>
      <x:c r="F8880" s="9" t="n">
        <x:v>5628750</x:v>
      </x:c>
    </x:row>
    <x:row r="8881" ht="34" customHeight="1">
      <x:c r="A8881" s="4" t="str">
        <x:v>RS-04391-I4</x:v>
      </x:c>
      <x:c r="B8881" s="4" t="str">
        <x:v>RS-04391</x:v>
      </x:c>
      <x:c r="C8881" s="9" t="n">
        <x:v>4</x:v>
      </x:c>
      <x:c r="D8881" s="8" t="n">
        <x:v>45648</x:v>
      </x:c>
      <x:c r="E8881" s="9" t="n">
        <x:v>5628750</x:v>
      </x:c>
      <x:c r="F8881" s="9" t="n">
        <x:v>5628750</x:v>
      </x:c>
    </x:row>
    <x:row r="8882" ht="34" customHeight="1">
      <x:c r="A8882" s="4" t="str">
        <x:v>RS-04392-I1</x:v>
      </x:c>
      <x:c r="B8882" s="4" t="str">
        <x:v>RS-04392</x:v>
      </x:c>
      <x:c r="C8882" s="9" t="n">
        <x:v>1</x:v>
      </x:c>
      <x:c r="D8882" s="8" t="n">
        <x:v>45559</x:v>
      </x:c>
      <x:c r="E8882" s="9" t="n">
        <x:v>3420000</x:v>
      </x:c>
      <x:c r="F8882" s="9" t="n">
        <x:v>3420000</x:v>
      </x:c>
    </x:row>
    <x:row r="8883" ht="34" customHeight="1">
      <x:c r="A8883" s="4" t="str">
        <x:v>RS-04392-I2</x:v>
      </x:c>
      <x:c r="B8883" s="4" t="str">
        <x:v>RS-04392</x:v>
      </x:c>
      <x:c r="C8883" s="9" t="n">
        <x:v>2</x:v>
      </x:c>
      <x:c r="D8883" s="8" t="n">
        <x:v>45589</x:v>
      </x:c>
      <x:c r="E8883" s="9" t="n">
        <x:v>3420000</x:v>
      </x:c>
      <x:c r="F8883" s="9" t="n">
        <x:v>0</x:v>
      </x:c>
    </x:row>
    <x:row r="8884" ht="34" customHeight="1">
      <x:c r="A8884" s="4" t="str">
        <x:v>RS-04392-I3</x:v>
      </x:c>
      <x:c r="B8884" s="4" t="str">
        <x:v>RS-04392</x:v>
      </x:c>
      <x:c r="C8884" s="9" t="n">
        <x:v>3</x:v>
      </x:c>
      <x:c r="D8884" s="8" t="n">
        <x:v>45619</x:v>
      </x:c>
      <x:c r="E8884" s="9" t="n">
        <x:v>3420000</x:v>
      </x:c>
      <x:c r="F8884" s="9" t="n">
        <x:v>0</x:v>
      </x:c>
    </x:row>
    <x:row r="8885" ht="34" customHeight="1">
      <x:c r="A8885" s="4" t="str">
        <x:v>RS-04392-I4</x:v>
      </x:c>
      <x:c r="B8885" s="4" t="str">
        <x:v>RS-04392</x:v>
      </x:c>
      <x:c r="C8885" s="9" t="n">
        <x:v>4</x:v>
      </x:c>
      <x:c r="D8885" s="8" t="n">
        <x:v>45649</x:v>
      </x:c>
      <x:c r="E8885" s="9" t="n">
        <x:v>3420000</x:v>
      </x:c>
      <x:c r="F8885" s="9" t="n">
        <x:v>0</x:v>
      </x:c>
    </x:row>
    <x:row r="8886" ht="34" customHeight="1">
      <x:c r="A8886" s="4" t="str">
        <x:v>RS-04399-I1</x:v>
      </x:c>
      <x:c r="B8886" s="4" t="str">
        <x:v>RS-04399</x:v>
      </x:c>
      <x:c r="C8886" s="9" t="n">
        <x:v>1</x:v>
      </x:c>
      <x:c r="D8886" s="8" t="n">
        <x:v>45538</x:v>
      </x:c>
      <x:c r="E8886" s="9" t="n">
        <x:v>3935250</x:v>
      </x:c>
      <x:c r="F8886" s="9" t="n">
        <x:v>1574100</x:v>
      </x:c>
    </x:row>
    <x:row r="8887" ht="34" customHeight="1">
      <x:c r="A8887" s="4" t="str">
        <x:v>RS-04399-I2</x:v>
      </x:c>
      <x:c r="B8887" s="4" t="str">
        <x:v>RS-04399</x:v>
      </x:c>
      <x:c r="C8887" s="9" t="n">
        <x:v>2</x:v>
      </x:c>
      <x:c r="D8887" s="8" t="n">
        <x:v>45568</x:v>
      </x:c>
      <x:c r="E8887" s="9" t="n">
        <x:v>3935250</x:v>
      </x:c>
      <x:c r="F8887" s="9" t="n">
        <x:v>0</x:v>
      </x:c>
    </x:row>
    <x:row r="8888" ht="34" customHeight="1">
      <x:c r="A8888" s="4" t="str">
        <x:v>RS-04399-I3</x:v>
      </x:c>
      <x:c r="B8888" s="4" t="str">
        <x:v>RS-04399</x:v>
      </x:c>
      <x:c r="C8888" s="9" t="n">
        <x:v>3</x:v>
      </x:c>
      <x:c r="D8888" s="8" t="n">
        <x:v>45598</x:v>
      </x:c>
      <x:c r="E8888" s="9" t="n">
        <x:v>3935250</x:v>
      </x:c>
      <x:c r="F8888" s="9" t="n">
        <x:v>0</x:v>
      </x:c>
    </x:row>
    <x:row r="8889" ht="34" customHeight="1">
      <x:c r="A8889" s="4" t="str">
        <x:v>RS-04399-I4</x:v>
      </x:c>
      <x:c r="B8889" s="4" t="str">
        <x:v>RS-04399</x:v>
      </x:c>
      <x:c r="C8889" s="9" t="n">
        <x:v>4</x:v>
      </x:c>
      <x:c r="D8889" s="8" t="n">
        <x:v>45628</x:v>
      </x:c>
      <x:c r="E8889" s="9" t="n">
        <x:v>3935250</x:v>
      </x:c>
      <x:c r="F8889" s="9" t="n">
        <x:v>0</x:v>
      </x:c>
    </x:row>
    <x:row r="8890" ht="34" customHeight="1">
      <x:c r="A8890" s="4" t="str">
        <x:v>RS-04405-I1</x:v>
      </x:c>
      <x:c r="B8890" s="4" t="str">
        <x:v>RS-04405</x:v>
      </x:c>
      <x:c r="C8890" s="9" t="n">
        <x:v>1</x:v>
      </x:c>
      <x:c r="D8890" s="8" t="n">
        <x:v>45544</x:v>
      </x:c>
      <x:c r="E8890" s="9" t="n">
        <x:v>5733000</x:v>
      </x:c>
      <x:c r="F8890" s="9" t="n">
        <x:v>5733000</x:v>
      </x:c>
    </x:row>
    <x:row r="8891" ht="34" customHeight="1">
      <x:c r="A8891" s="4" t="str">
        <x:v>RS-04405-I2</x:v>
      </x:c>
      <x:c r="B8891" s="4" t="str">
        <x:v>RS-04405</x:v>
      </x:c>
      <x:c r="C8891" s="9" t="n">
        <x:v>2</x:v>
      </x:c>
      <x:c r="D8891" s="8" t="n">
        <x:v>45574</x:v>
      </x:c>
      <x:c r="E8891" s="9" t="n">
        <x:v>5733000</x:v>
      </x:c>
      <x:c r="F8891" s="9" t="n">
        <x:v>5733000</x:v>
      </x:c>
    </x:row>
    <x:row r="8892" ht="34" customHeight="1">
      <x:c r="A8892" s="4" t="str">
        <x:v>RS-04405-I3</x:v>
      </x:c>
      <x:c r="B8892" s="4" t="str">
        <x:v>RS-04405</x:v>
      </x:c>
      <x:c r="C8892" s="9" t="n">
        <x:v>3</x:v>
      </x:c>
      <x:c r="D8892" s="8" t="n">
        <x:v>45604</x:v>
      </x:c>
      <x:c r="E8892" s="9" t="n">
        <x:v>5733000</x:v>
      </x:c>
      <x:c r="F8892" s="9" t="n">
        <x:v>5733000</x:v>
      </x:c>
    </x:row>
    <x:row r="8893" ht="34" customHeight="1">
      <x:c r="A8893" s="4" t="str">
        <x:v>RS-04405-I4</x:v>
      </x:c>
      <x:c r="B8893" s="4" t="str">
        <x:v>RS-04405</x:v>
      </x:c>
      <x:c r="C8893" s="9" t="n">
        <x:v>4</x:v>
      </x:c>
      <x:c r="D8893" s="8" t="n">
        <x:v>45634</x:v>
      </x:c>
      <x:c r="E8893" s="9" t="n">
        <x:v>5733000</x:v>
      </x:c>
      <x:c r="F8893" s="9" t="n">
        <x:v>5733000</x:v>
      </x:c>
    </x:row>
    <x:row r="8894" ht="34" customHeight="1">
      <x:c r="A8894" s="4" t="str">
        <x:v>RS-04407-I1</x:v>
      </x:c>
      <x:c r="B8894" s="4" t="str">
        <x:v>RS-04407</x:v>
      </x:c>
      <x:c r="C8894" s="9" t="n">
        <x:v>1</x:v>
      </x:c>
      <x:c r="D8894" s="8" t="n">
        <x:v>45546</x:v>
      </x:c>
      <x:c r="E8894" s="9" t="n">
        <x:v>5828000</x:v>
      </x:c>
      <x:c r="F8894" s="9" t="n">
        <x:v>5828000</x:v>
      </x:c>
    </x:row>
    <x:row r="8895" ht="34" customHeight="1">
      <x:c r="A8895" s="4" t="str">
        <x:v>RS-04407-I2</x:v>
      </x:c>
      <x:c r="B8895" s="4" t="str">
        <x:v>RS-04407</x:v>
      </x:c>
      <x:c r="C8895" s="9" t="n">
        <x:v>2</x:v>
      </x:c>
      <x:c r="D8895" s="8" t="n">
        <x:v>45576</x:v>
      </x:c>
      <x:c r="E8895" s="9" t="n">
        <x:v>5828000</x:v>
      </x:c>
      <x:c r="F8895" s="9" t="n">
        <x:v>5828000</x:v>
      </x:c>
    </x:row>
    <x:row r="8896" ht="34" customHeight="1">
      <x:c r="A8896" s="4" t="str">
        <x:v>RS-04407-I3</x:v>
      </x:c>
      <x:c r="B8896" s="4" t="str">
        <x:v>RS-04407</x:v>
      </x:c>
      <x:c r="C8896" s="9" t="n">
        <x:v>3</x:v>
      </x:c>
      <x:c r="D8896" s="8" t="n">
        <x:v>45606</x:v>
      </x:c>
      <x:c r="E8896" s="9" t="n">
        <x:v>5828000</x:v>
      </x:c>
      <x:c r="F8896" s="9" t="n">
        <x:v>5828000</x:v>
      </x:c>
    </x:row>
    <x:row r="8897" ht="34" customHeight="1">
      <x:c r="A8897" s="4" t="str">
        <x:v>RS-04407-I4</x:v>
      </x:c>
      <x:c r="B8897" s="4" t="str">
        <x:v>RS-04407</x:v>
      </x:c>
      <x:c r="C8897" s="9" t="n">
        <x:v>4</x:v>
      </x:c>
      <x:c r="D8897" s="8" t="n">
        <x:v>45636</x:v>
      </x:c>
      <x:c r="E8897" s="9" t="n">
        <x:v>5828000</x:v>
      </x:c>
      <x:c r="F8897" s="9" t="n">
        <x:v>5828000</x:v>
      </x:c>
    </x:row>
    <x:row r="8898" ht="34" customHeight="1">
      <x:c r="A8898" s="4" t="str">
        <x:v>RS-04408-I1</x:v>
      </x:c>
      <x:c r="B8898" s="4" t="str">
        <x:v>RS-04408</x:v>
      </x:c>
      <x:c r="C8898" s="9" t="n">
        <x:v>1</x:v>
      </x:c>
      <x:c r="D8898" s="8" t="n">
        <x:v>45547</x:v>
      </x:c>
      <x:c r="E8898" s="9" t="n">
        <x:v>2790000</x:v>
      </x:c>
      <x:c r="F8898" s="9" t="n">
        <x:v>2790000</x:v>
      </x:c>
    </x:row>
    <x:row r="8899" ht="34" customHeight="1">
      <x:c r="A8899" s="4" t="str">
        <x:v>RS-04408-I2</x:v>
      </x:c>
      <x:c r="B8899" s="4" t="str">
        <x:v>RS-04408</x:v>
      </x:c>
      <x:c r="C8899" s="9" t="n">
        <x:v>2</x:v>
      </x:c>
      <x:c r="D8899" s="8" t="n">
        <x:v>45577</x:v>
      </x:c>
      <x:c r="E8899" s="9" t="n">
        <x:v>2790000</x:v>
      </x:c>
      <x:c r="F8899" s="9" t="n">
        <x:v>0</x:v>
      </x:c>
    </x:row>
    <x:row r="8900" ht="34" customHeight="1">
      <x:c r="A8900" s="4" t="str">
        <x:v>RS-04408-I3</x:v>
      </x:c>
      <x:c r="B8900" s="4" t="str">
        <x:v>RS-04408</x:v>
      </x:c>
      <x:c r="C8900" s="9" t="n">
        <x:v>3</x:v>
      </x:c>
      <x:c r="D8900" s="8" t="n">
        <x:v>45607</x:v>
      </x:c>
      <x:c r="E8900" s="9" t="n">
        <x:v>2790000</x:v>
      </x:c>
      <x:c r="F8900" s="9" t="n">
        <x:v>0</x:v>
      </x:c>
    </x:row>
    <x:row r="8901" ht="34" customHeight="1">
      <x:c r="A8901" s="4" t="str">
        <x:v>RS-04408-I4</x:v>
      </x:c>
      <x:c r="B8901" s="4" t="str">
        <x:v>RS-04408</x:v>
      </x:c>
      <x:c r="C8901" s="9" t="n">
        <x:v>4</x:v>
      </x:c>
      <x:c r="D8901" s="8" t="n">
        <x:v>45637</x:v>
      </x:c>
      <x:c r="E8901" s="9" t="n">
        <x:v>2790000</x:v>
      </x:c>
      <x:c r="F8901" s="9" t="n">
        <x:v>0</x:v>
      </x:c>
    </x:row>
    <x:row r="8902" ht="34" customHeight="1">
      <x:c r="A8902" s="4" t="str">
        <x:v>RS-04414-I1</x:v>
      </x:c>
      <x:c r="B8902" s="4" t="str">
        <x:v>RS-04414</x:v>
      </x:c>
      <x:c r="C8902" s="9" t="n">
        <x:v>1</x:v>
      </x:c>
      <x:c r="D8902" s="8" t="n">
        <x:v>45553</x:v>
      </x:c>
      <x:c r="E8902" s="9" t="n">
        <x:v>1200000</x:v>
      </x:c>
      <x:c r="F8902" s="9" t="n">
        <x:v>1200000</x:v>
      </x:c>
    </x:row>
    <x:row r="8903" ht="34" customHeight="1">
      <x:c r="A8903" s="4" t="str">
        <x:v>RS-04414-I2</x:v>
      </x:c>
      <x:c r="B8903" s="4" t="str">
        <x:v>RS-04414</x:v>
      </x:c>
      <x:c r="C8903" s="9" t="n">
        <x:v>2</x:v>
      </x:c>
      <x:c r="D8903" s="8" t="n">
        <x:v>45583</x:v>
      </x:c>
      <x:c r="E8903" s="9" t="n">
        <x:v>1200000</x:v>
      </x:c>
      <x:c r="F8903" s="9" t="n">
        <x:v>0</x:v>
      </x:c>
    </x:row>
    <x:row r="8904" ht="34" customHeight="1">
      <x:c r="A8904" s="4" t="str">
        <x:v>RS-04414-I3</x:v>
      </x:c>
      <x:c r="B8904" s="4" t="str">
        <x:v>RS-04414</x:v>
      </x:c>
      <x:c r="C8904" s="9" t="n">
        <x:v>3</x:v>
      </x:c>
      <x:c r="D8904" s="8" t="n">
        <x:v>45613</x:v>
      </x:c>
      <x:c r="E8904" s="9" t="n">
        <x:v>1200000</x:v>
      </x:c>
      <x:c r="F8904" s="9" t="n">
        <x:v>0</x:v>
      </x:c>
    </x:row>
    <x:row r="8905" ht="34" customHeight="1">
      <x:c r="A8905" s="4" t="str">
        <x:v>RS-04414-I4</x:v>
      </x:c>
      <x:c r="B8905" s="4" t="str">
        <x:v>RS-04414</x:v>
      </x:c>
      <x:c r="C8905" s="9" t="n">
        <x:v>4</x:v>
      </x:c>
      <x:c r="D8905" s="8" t="n">
        <x:v>45643</x:v>
      </x:c>
      <x:c r="E8905" s="9" t="n">
        <x:v>1200000</x:v>
      </x:c>
      <x:c r="F8905" s="9" t="n">
        <x:v>0</x:v>
      </x:c>
    </x:row>
    <x:row r="8906" ht="34" customHeight="1">
      <x:c r="A8906" s="4" t="str">
        <x:v>RS-04418-I1</x:v>
      </x:c>
      <x:c r="B8906" s="4" t="str">
        <x:v>RS-04418</x:v>
      </x:c>
      <x:c r="C8906" s="9" t="n">
        <x:v>1</x:v>
      </x:c>
      <x:c r="D8906" s="8" t="n">
        <x:v>45557</x:v>
      </x:c>
      <x:c r="E8906" s="9" t="n">
        <x:v>1552500</x:v>
      </x:c>
      <x:c r="F8906" s="9" t="n">
        <x:v>1552500</x:v>
      </x:c>
    </x:row>
    <x:row r="8907" ht="34" customHeight="1">
      <x:c r="A8907" s="4" t="str">
        <x:v>RS-04418-I2</x:v>
      </x:c>
      <x:c r="B8907" s="4" t="str">
        <x:v>RS-04418</x:v>
      </x:c>
      <x:c r="C8907" s="9" t="n">
        <x:v>2</x:v>
      </x:c>
      <x:c r="D8907" s="8" t="n">
        <x:v>45587</x:v>
      </x:c>
      <x:c r="E8907" s="9" t="n">
        <x:v>1552500</x:v>
      </x:c>
      <x:c r="F8907" s="9" t="n">
        <x:v>1552500</x:v>
      </x:c>
    </x:row>
    <x:row r="8908" ht="34" customHeight="1">
      <x:c r="A8908" s="4" t="str">
        <x:v>RS-04418-I3</x:v>
      </x:c>
      <x:c r="B8908" s="4" t="str">
        <x:v>RS-04418</x:v>
      </x:c>
      <x:c r="C8908" s="9" t="n">
        <x:v>3</x:v>
      </x:c>
      <x:c r="D8908" s="8" t="n">
        <x:v>45617</x:v>
      </x:c>
      <x:c r="E8908" s="9" t="n">
        <x:v>1552500</x:v>
      </x:c>
      <x:c r="F8908" s="9" t="n">
        <x:v>1552500</x:v>
      </x:c>
    </x:row>
    <x:row r="8909" ht="34" customHeight="1">
      <x:c r="A8909" s="4" t="str">
        <x:v>RS-04418-I4</x:v>
      </x:c>
      <x:c r="B8909" s="4" t="str">
        <x:v>RS-04418</x:v>
      </x:c>
      <x:c r="C8909" s="9" t="n">
        <x:v>4</x:v>
      </x:c>
      <x:c r="D8909" s="8" t="n">
        <x:v>45647</x:v>
      </x:c>
      <x:c r="E8909" s="9" t="n">
        <x:v>1552500</x:v>
      </x:c>
      <x:c r="F8909" s="9" t="n">
        <x:v>1552500</x:v>
      </x:c>
    </x:row>
    <x:row r="8910" ht="34" customHeight="1">
      <x:c r="A8910" s="4" t="str">
        <x:v>RS-04420-I1</x:v>
      </x:c>
      <x:c r="B8910" s="4" t="str">
        <x:v>RS-04420</x:v>
      </x:c>
      <x:c r="C8910" s="9" t="n">
        <x:v>1</x:v>
      </x:c>
      <x:c r="D8910" s="8" t="n">
        <x:v>45559</x:v>
      </x:c>
      <x:c r="E8910" s="9" t="n">
        <x:v>5428500</x:v>
      </x:c>
      <x:c r="F8910" s="9" t="n">
        <x:v>5428500</x:v>
      </x:c>
    </x:row>
    <x:row r="8911" ht="34" customHeight="1">
      <x:c r="A8911" s="4" t="str">
        <x:v>RS-04420-I2</x:v>
      </x:c>
      <x:c r="B8911" s="4" t="str">
        <x:v>RS-04420</x:v>
      </x:c>
      <x:c r="C8911" s="9" t="n">
        <x:v>2</x:v>
      </x:c>
      <x:c r="D8911" s="8" t="n">
        <x:v>45589</x:v>
      </x:c>
      <x:c r="E8911" s="9" t="n">
        <x:v>5428500</x:v>
      </x:c>
      <x:c r="F8911" s="9" t="n">
        <x:v>0</x:v>
      </x:c>
    </x:row>
    <x:row r="8912" ht="34" customHeight="1">
      <x:c r="A8912" s="4" t="str">
        <x:v>RS-04420-I3</x:v>
      </x:c>
      <x:c r="B8912" s="4" t="str">
        <x:v>RS-04420</x:v>
      </x:c>
      <x:c r="C8912" s="9" t="n">
        <x:v>3</x:v>
      </x:c>
      <x:c r="D8912" s="8" t="n">
        <x:v>45619</x:v>
      </x:c>
      <x:c r="E8912" s="9" t="n">
        <x:v>5428500</x:v>
      </x:c>
      <x:c r="F8912" s="9" t="n">
        <x:v>0</x:v>
      </x:c>
    </x:row>
    <x:row r="8913" ht="34" customHeight="1">
      <x:c r="A8913" s="4" t="str">
        <x:v>RS-04420-I4</x:v>
      </x:c>
      <x:c r="B8913" s="4" t="str">
        <x:v>RS-04420</x:v>
      </x:c>
      <x:c r="C8913" s="9" t="n">
        <x:v>4</x:v>
      </x:c>
      <x:c r="D8913" s="8" t="n">
        <x:v>45649</x:v>
      </x:c>
      <x:c r="E8913" s="9" t="n">
        <x:v>5428500</x:v>
      </x:c>
      <x:c r="F8913" s="9" t="n">
        <x:v>0</x:v>
      </x:c>
    </x:row>
    <x:row r="8914" ht="34" customHeight="1">
      <x:c r="A8914" s="4" t="str">
        <x:v>RS-04424-I1</x:v>
      </x:c>
      <x:c r="B8914" s="4" t="str">
        <x:v>RS-04424</x:v>
      </x:c>
      <x:c r="C8914" s="9" t="n">
        <x:v>1</x:v>
      </x:c>
      <x:c r="D8914" s="8" t="n">
        <x:v>45563</x:v>
      </x:c>
      <x:c r="E8914" s="9" t="n">
        <x:v>4185000</x:v>
      </x:c>
      <x:c r="F8914" s="9" t="n">
        <x:v>4185000</x:v>
      </x:c>
    </x:row>
    <x:row r="8915" ht="34" customHeight="1">
      <x:c r="A8915" s="4" t="str">
        <x:v>RS-04424-I2</x:v>
      </x:c>
      <x:c r="B8915" s="4" t="str">
        <x:v>RS-04424</x:v>
      </x:c>
      <x:c r="C8915" s="9" t="n">
        <x:v>2</x:v>
      </x:c>
      <x:c r="D8915" s="8" t="n">
        <x:v>45593</x:v>
      </x:c>
      <x:c r="E8915" s="9" t="n">
        <x:v>4185000</x:v>
      </x:c>
      <x:c r="F8915" s="9" t="n">
        <x:v>4185000</x:v>
      </x:c>
    </x:row>
    <x:row r="8916" ht="34" customHeight="1">
      <x:c r="A8916" s="4" t="str">
        <x:v>RS-04424-I3</x:v>
      </x:c>
      <x:c r="B8916" s="4" t="str">
        <x:v>RS-04424</x:v>
      </x:c>
      <x:c r="C8916" s="9" t="n">
        <x:v>3</x:v>
      </x:c>
      <x:c r="D8916" s="8" t="n">
        <x:v>45623</x:v>
      </x:c>
      <x:c r="E8916" s="9" t="n">
        <x:v>4185000</x:v>
      </x:c>
      <x:c r="F8916" s="9" t="n">
        <x:v>0</x:v>
      </x:c>
    </x:row>
    <x:row r="8917" ht="34" customHeight="1">
      <x:c r="A8917" s="4" t="str">
        <x:v>RS-04424-I4</x:v>
      </x:c>
      <x:c r="B8917" s="4" t="str">
        <x:v>RS-04424</x:v>
      </x:c>
      <x:c r="C8917" s="9" t="n">
        <x:v>4</x:v>
      </x:c>
      <x:c r="D8917" s="8" t="n">
        <x:v>45653</x:v>
      </x:c>
      <x:c r="E8917" s="9" t="n">
        <x:v>4185000</x:v>
      </x:c>
      <x:c r="F8917" s="9" t="n">
        <x:v>0</x:v>
      </x:c>
    </x:row>
    <x:row r="8918" ht="34" customHeight="1">
      <x:c r="A8918" s="4" t="str">
        <x:v>RS-04426-I1</x:v>
      </x:c>
      <x:c r="B8918" s="4" t="str">
        <x:v>RS-04426</x:v>
      </x:c>
      <x:c r="C8918" s="9" t="n">
        <x:v>1</x:v>
      </x:c>
      <x:c r="D8918" s="8" t="n">
        <x:v>45537</x:v>
      </x:c>
      <x:c r="E8918" s="9" t="n">
        <x:v>3335000</x:v>
      </x:c>
      <x:c r="F8918" s="9" t="n">
        <x:v>1334000</x:v>
      </x:c>
    </x:row>
    <x:row r="8919" ht="34" customHeight="1">
      <x:c r="A8919" s="4" t="str">
        <x:v>RS-04426-I2</x:v>
      </x:c>
      <x:c r="B8919" s="4" t="str">
        <x:v>RS-04426</x:v>
      </x:c>
      <x:c r="C8919" s="9" t="n">
        <x:v>2</x:v>
      </x:c>
      <x:c r="D8919" s="8" t="n">
        <x:v>45567</x:v>
      </x:c>
      <x:c r="E8919" s="9" t="n">
        <x:v>3335000</x:v>
      </x:c>
      <x:c r="F8919" s="9" t="n">
        <x:v>0</x:v>
      </x:c>
    </x:row>
    <x:row r="8920" ht="34" customHeight="1">
      <x:c r="A8920" s="4" t="str">
        <x:v>RS-04426-I3</x:v>
      </x:c>
      <x:c r="B8920" s="4" t="str">
        <x:v>RS-04426</x:v>
      </x:c>
      <x:c r="C8920" s="9" t="n">
        <x:v>3</x:v>
      </x:c>
      <x:c r="D8920" s="8" t="n">
        <x:v>45597</x:v>
      </x:c>
      <x:c r="E8920" s="9" t="n">
        <x:v>3335000</x:v>
      </x:c>
      <x:c r="F8920" s="9" t="n">
        <x:v>0</x:v>
      </x:c>
    </x:row>
    <x:row r="8921" ht="34" customHeight="1">
      <x:c r="A8921" s="4" t="str">
        <x:v>RS-04426-I4</x:v>
      </x:c>
      <x:c r="B8921" s="4" t="str">
        <x:v>RS-04426</x:v>
      </x:c>
      <x:c r="C8921" s="9" t="n">
        <x:v>4</x:v>
      </x:c>
      <x:c r="D8921" s="8" t="n">
        <x:v>45627</x:v>
      </x:c>
      <x:c r="E8921" s="9" t="n">
        <x:v>3335000</x:v>
      </x:c>
      <x:c r="F8921" s="9" t="n">
        <x:v>0</x:v>
      </x:c>
    </x:row>
    <x:row r="8922" ht="34" customHeight="1">
      <x:c r="A8922" s="4" t="str">
        <x:v>RS-04429-I1</x:v>
      </x:c>
      <x:c r="B8922" s="4" t="str">
        <x:v>RS-04429</x:v>
      </x:c>
      <x:c r="C8922" s="9" t="n">
        <x:v>1</x:v>
      </x:c>
      <x:c r="D8922" s="8" t="n">
        <x:v>45540</x:v>
      </x:c>
      <x:c r="E8922" s="9" t="n">
        <x:v>2880000</x:v>
      </x:c>
      <x:c r="F8922" s="9" t="n">
        <x:v>2880000</x:v>
      </x:c>
    </x:row>
    <x:row r="8923" ht="34" customHeight="1">
      <x:c r="A8923" s="4" t="str">
        <x:v>RS-04429-I2</x:v>
      </x:c>
      <x:c r="B8923" s="4" t="str">
        <x:v>RS-04429</x:v>
      </x:c>
      <x:c r="C8923" s="9" t="n">
        <x:v>2</x:v>
      </x:c>
      <x:c r="D8923" s="8" t="n">
        <x:v>45570</x:v>
      </x:c>
      <x:c r="E8923" s="9" t="n">
        <x:v>2880000</x:v>
      </x:c>
      <x:c r="F8923" s="9" t="n">
        <x:v>2880000</x:v>
      </x:c>
    </x:row>
    <x:row r="8924" ht="34" customHeight="1">
      <x:c r="A8924" s="4" t="str">
        <x:v>RS-04429-I3</x:v>
      </x:c>
      <x:c r="B8924" s="4" t="str">
        <x:v>RS-04429</x:v>
      </x:c>
      <x:c r="C8924" s="9" t="n">
        <x:v>3</x:v>
      </x:c>
      <x:c r="D8924" s="8" t="n">
        <x:v>45600</x:v>
      </x:c>
      <x:c r="E8924" s="9" t="n">
        <x:v>2880000</x:v>
      </x:c>
      <x:c r="F8924" s="9" t="n">
        <x:v>2880000</x:v>
      </x:c>
    </x:row>
    <x:row r="8925" ht="34" customHeight="1">
      <x:c r="A8925" s="4" t="str">
        <x:v>RS-04429-I4</x:v>
      </x:c>
      <x:c r="B8925" s="4" t="str">
        <x:v>RS-04429</x:v>
      </x:c>
      <x:c r="C8925" s="9" t="n">
        <x:v>4</x:v>
      </x:c>
      <x:c r="D8925" s="8" t="n">
        <x:v>45630</x:v>
      </x:c>
      <x:c r="E8925" s="9" t="n">
        <x:v>2880000</x:v>
      </x:c>
      <x:c r="F8925" s="9" t="n">
        <x:v>2880000</x:v>
      </x:c>
    </x:row>
    <x:row r="8926" ht="34" customHeight="1">
      <x:c r="A8926" s="4" t="str">
        <x:v>RS-04430-I1</x:v>
      </x:c>
      <x:c r="B8926" s="4" t="str">
        <x:v>RS-04430</x:v>
      </x:c>
      <x:c r="C8926" s="9" t="n">
        <x:v>1</x:v>
      </x:c>
      <x:c r="D8926" s="8" t="n">
        <x:v>45541</x:v>
      </x:c>
      <x:c r="E8926" s="9" t="n">
        <x:v>5892750</x:v>
      </x:c>
      <x:c r="F8926" s="9" t="n">
        <x:v>5892750</x:v>
      </x:c>
    </x:row>
    <x:row r="8927" ht="34" customHeight="1">
      <x:c r="A8927" s="4" t="str">
        <x:v>RS-04430-I2</x:v>
      </x:c>
      <x:c r="B8927" s="4" t="str">
        <x:v>RS-04430</x:v>
      </x:c>
      <x:c r="C8927" s="9" t="n">
        <x:v>2</x:v>
      </x:c>
      <x:c r="D8927" s="8" t="n">
        <x:v>45571</x:v>
      </x:c>
      <x:c r="E8927" s="9" t="n">
        <x:v>5892750</x:v>
      </x:c>
      <x:c r="F8927" s="9" t="n">
        <x:v>0</x:v>
      </x:c>
    </x:row>
    <x:row r="8928" ht="34" customHeight="1">
      <x:c r="A8928" s="4" t="str">
        <x:v>RS-04430-I3</x:v>
      </x:c>
      <x:c r="B8928" s="4" t="str">
        <x:v>RS-04430</x:v>
      </x:c>
      <x:c r="C8928" s="9" t="n">
        <x:v>3</x:v>
      </x:c>
      <x:c r="D8928" s="8" t="n">
        <x:v>45601</x:v>
      </x:c>
      <x:c r="E8928" s="9" t="n">
        <x:v>5892750</x:v>
      </x:c>
      <x:c r="F8928" s="9" t="n">
        <x:v>0</x:v>
      </x:c>
    </x:row>
    <x:row r="8929" ht="34" customHeight="1">
      <x:c r="A8929" s="4" t="str">
        <x:v>RS-04430-I4</x:v>
      </x:c>
      <x:c r="B8929" s="4" t="str">
        <x:v>RS-04430</x:v>
      </x:c>
      <x:c r="C8929" s="9" t="n">
        <x:v>4</x:v>
      </x:c>
      <x:c r="D8929" s="8" t="n">
        <x:v>45631</x:v>
      </x:c>
      <x:c r="E8929" s="9" t="n">
        <x:v>5892750</x:v>
      </x:c>
      <x:c r="F8929" s="9" t="n">
        <x:v>0</x:v>
      </x:c>
    </x:row>
    <x:row r="8930" ht="34" customHeight="1">
      <x:c r="A8930" s="4" t="str">
        <x:v>RS-04431-I1</x:v>
      </x:c>
      <x:c r="B8930" s="4" t="str">
        <x:v>RS-04431</x:v>
      </x:c>
      <x:c r="C8930" s="9" t="n">
        <x:v>1</x:v>
      </x:c>
      <x:c r="D8930" s="8" t="n">
        <x:v>45542</x:v>
      </x:c>
      <x:c r="E8930" s="9" t="n">
        <x:v>4927500</x:v>
      </x:c>
      <x:c r="F8930" s="9" t="n">
        <x:v>4927500</x:v>
      </x:c>
    </x:row>
    <x:row r="8931" ht="34" customHeight="1">
      <x:c r="A8931" s="4" t="str">
        <x:v>RS-04431-I2</x:v>
      </x:c>
      <x:c r="B8931" s="4" t="str">
        <x:v>RS-04431</x:v>
      </x:c>
      <x:c r="C8931" s="9" t="n">
        <x:v>2</x:v>
      </x:c>
      <x:c r="D8931" s="8" t="n">
        <x:v>45572</x:v>
      </x:c>
      <x:c r="E8931" s="9" t="n">
        <x:v>4927500</x:v>
      </x:c>
      <x:c r="F8931" s="9" t="n">
        <x:v>0</x:v>
      </x:c>
    </x:row>
    <x:row r="8932" ht="34" customHeight="1">
      <x:c r="A8932" s="4" t="str">
        <x:v>RS-04431-I3</x:v>
      </x:c>
      <x:c r="B8932" s="4" t="str">
        <x:v>RS-04431</x:v>
      </x:c>
      <x:c r="C8932" s="9" t="n">
        <x:v>3</x:v>
      </x:c>
      <x:c r="D8932" s="8" t="n">
        <x:v>45602</x:v>
      </x:c>
      <x:c r="E8932" s="9" t="n">
        <x:v>4927500</x:v>
      </x:c>
      <x:c r="F8932" s="9" t="n">
        <x:v>0</x:v>
      </x:c>
    </x:row>
    <x:row r="8933" ht="34" customHeight="1">
      <x:c r="A8933" s="4" t="str">
        <x:v>RS-04431-I4</x:v>
      </x:c>
      <x:c r="B8933" s="4" t="str">
        <x:v>RS-04431</x:v>
      </x:c>
      <x:c r="C8933" s="9" t="n">
        <x:v>4</x:v>
      </x:c>
      <x:c r="D8933" s="8" t="n">
        <x:v>45632</x:v>
      </x:c>
      <x:c r="E8933" s="9" t="n">
        <x:v>4927500</x:v>
      </x:c>
      <x:c r="F8933" s="9" t="n">
        <x:v>0</x:v>
      </x:c>
    </x:row>
    <x:row r="8934" ht="34" customHeight="1">
      <x:c r="A8934" s="4" t="str">
        <x:v>RS-04432-I1</x:v>
      </x:c>
      <x:c r="B8934" s="4" t="str">
        <x:v>RS-04432</x:v>
      </x:c>
      <x:c r="C8934" s="9" t="n">
        <x:v>1</x:v>
      </x:c>
      <x:c r="D8934" s="8" t="n">
        <x:v>45543</x:v>
      </x:c>
      <x:c r="E8934" s="9" t="n">
        <x:v>1656000</x:v>
      </x:c>
      <x:c r="F8934" s="9" t="n">
        <x:v>1656000</x:v>
      </x:c>
    </x:row>
    <x:row r="8935" ht="34" customHeight="1">
      <x:c r="A8935" s="4" t="str">
        <x:v>RS-04432-I2</x:v>
      </x:c>
      <x:c r="B8935" s="4" t="str">
        <x:v>RS-04432</x:v>
      </x:c>
      <x:c r="C8935" s="9" t="n">
        <x:v>2</x:v>
      </x:c>
      <x:c r="D8935" s="8" t="n">
        <x:v>45573</x:v>
      </x:c>
      <x:c r="E8935" s="9" t="n">
        <x:v>1656000</x:v>
      </x:c>
      <x:c r="F8935" s="9" t="n">
        <x:v>1656000</x:v>
      </x:c>
    </x:row>
    <x:row r="8936" ht="34" customHeight="1">
      <x:c r="A8936" s="4" t="str">
        <x:v>RS-04432-I3</x:v>
      </x:c>
      <x:c r="B8936" s="4" t="str">
        <x:v>RS-04432</x:v>
      </x:c>
      <x:c r="C8936" s="9" t="n">
        <x:v>3</x:v>
      </x:c>
      <x:c r="D8936" s="8" t="n">
        <x:v>45603</x:v>
      </x:c>
      <x:c r="E8936" s="9" t="n">
        <x:v>1656000</x:v>
      </x:c>
      <x:c r="F8936" s="9" t="n">
        <x:v>0</x:v>
      </x:c>
    </x:row>
    <x:row r="8937" ht="34" customHeight="1">
      <x:c r="A8937" s="4" t="str">
        <x:v>RS-04432-I4</x:v>
      </x:c>
      <x:c r="B8937" s="4" t="str">
        <x:v>RS-04432</x:v>
      </x:c>
      <x:c r="C8937" s="9" t="n">
        <x:v>4</x:v>
      </x:c>
      <x:c r="D8937" s="8" t="n">
        <x:v>45633</x:v>
      </x:c>
      <x:c r="E8937" s="9" t="n">
        <x:v>1656000</x:v>
      </x:c>
      <x:c r="F8937" s="9" t="n">
        <x:v>0</x:v>
      </x:c>
    </x:row>
    <x:row r="8938" ht="34" customHeight="1">
      <x:c r="A8938" s="4" t="str">
        <x:v>RS-04434-I1</x:v>
      </x:c>
      <x:c r="B8938" s="4" t="str">
        <x:v>RS-04434</x:v>
      </x:c>
      <x:c r="C8938" s="9" t="n">
        <x:v>1</x:v>
      </x:c>
      <x:c r="D8938" s="8" t="n">
        <x:v>45545</x:v>
      </x:c>
      <x:c r="E8938" s="9" t="n">
        <x:v>1501500</x:v>
      </x:c>
      <x:c r="F8938" s="9" t="n">
        <x:v>1501500</x:v>
      </x:c>
    </x:row>
    <x:row r="8939" ht="34" customHeight="1">
      <x:c r="A8939" s="4" t="str">
        <x:v>RS-04434-I2</x:v>
      </x:c>
      <x:c r="B8939" s="4" t="str">
        <x:v>RS-04434</x:v>
      </x:c>
      <x:c r="C8939" s="9" t="n">
        <x:v>2</x:v>
      </x:c>
      <x:c r="D8939" s="8" t="n">
        <x:v>45575</x:v>
      </x:c>
      <x:c r="E8939" s="9" t="n">
        <x:v>1501500</x:v>
      </x:c>
      <x:c r="F8939" s="9" t="n">
        <x:v>0</x:v>
      </x:c>
    </x:row>
    <x:row r="8940" ht="34" customHeight="1">
      <x:c r="A8940" s="4" t="str">
        <x:v>RS-04434-I3</x:v>
      </x:c>
      <x:c r="B8940" s="4" t="str">
        <x:v>RS-04434</x:v>
      </x:c>
      <x:c r="C8940" s="9" t="n">
        <x:v>3</x:v>
      </x:c>
      <x:c r="D8940" s="8" t="n">
        <x:v>45605</x:v>
      </x:c>
      <x:c r="E8940" s="9" t="n">
        <x:v>1501500</x:v>
      </x:c>
      <x:c r="F8940" s="9" t="n">
        <x:v>0</x:v>
      </x:c>
    </x:row>
    <x:row r="8941" ht="34" customHeight="1">
      <x:c r="A8941" s="4" t="str">
        <x:v>RS-04434-I4</x:v>
      </x:c>
      <x:c r="B8941" s="4" t="str">
        <x:v>RS-04434</x:v>
      </x:c>
      <x:c r="C8941" s="9" t="n">
        <x:v>4</x:v>
      </x:c>
      <x:c r="D8941" s="8" t="n">
        <x:v>45635</x:v>
      </x:c>
      <x:c r="E8941" s="9" t="n">
        <x:v>1501500</x:v>
      </x:c>
      <x:c r="F8941" s="9" t="n">
        <x:v>0</x:v>
      </x:c>
    </x:row>
    <x:row r="8942" ht="34" customHeight="1">
      <x:c r="A8942" s="4" t="str">
        <x:v>RS-04435-I1</x:v>
      </x:c>
      <x:c r="B8942" s="4" t="str">
        <x:v>RS-04435</x:v>
      </x:c>
      <x:c r="C8942" s="9" t="n">
        <x:v>1</x:v>
      </x:c>
      <x:c r="D8942" s="8" t="n">
        <x:v>45546</x:v>
      </x:c>
      <x:c r="E8942" s="9" t="n">
        <x:v>4037500</x:v>
      </x:c>
      <x:c r="F8942" s="9" t="n">
        <x:v>1615000</x:v>
      </x:c>
    </x:row>
    <x:row r="8943" ht="34" customHeight="1">
      <x:c r="A8943" s="4" t="str">
        <x:v>RS-04435-I2</x:v>
      </x:c>
      <x:c r="B8943" s="4" t="str">
        <x:v>RS-04435</x:v>
      </x:c>
      <x:c r="C8943" s="9" t="n">
        <x:v>2</x:v>
      </x:c>
      <x:c r="D8943" s="8" t="n">
        <x:v>45576</x:v>
      </x:c>
      <x:c r="E8943" s="9" t="n">
        <x:v>4037500</x:v>
      </x:c>
      <x:c r="F8943" s="9" t="n">
        <x:v>0</x:v>
      </x:c>
    </x:row>
    <x:row r="8944" ht="34" customHeight="1">
      <x:c r="A8944" s="4" t="str">
        <x:v>RS-04435-I3</x:v>
      </x:c>
      <x:c r="B8944" s="4" t="str">
        <x:v>RS-04435</x:v>
      </x:c>
      <x:c r="C8944" s="9" t="n">
        <x:v>3</x:v>
      </x:c>
      <x:c r="D8944" s="8" t="n">
        <x:v>45606</x:v>
      </x:c>
      <x:c r="E8944" s="9" t="n">
        <x:v>4037500</x:v>
      </x:c>
      <x:c r="F8944" s="9" t="n">
        <x:v>0</x:v>
      </x:c>
    </x:row>
    <x:row r="8945" ht="34" customHeight="1">
      <x:c r="A8945" s="4" t="str">
        <x:v>RS-04435-I4</x:v>
      </x:c>
      <x:c r="B8945" s="4" t="str">
        <x:v>RS-04435</x:v>
      </x:c>
      <x:c r="C8945" s="9" t="n">
        <x:v>4</x:v>
      </x:c>
      <x:c r="D8945" s="8" t="n">
        <x:v>45636</x:v>
      </x:c>
      <x:c r="E8945" s="9" t="n">
        <x:v>4037500</x:v>
      </x:c>
      <x:c r="F8945" s="9" t="n">
        <x:v>0</x:v>
      </x:c>
    </x:row>
    <x:row r="8946" ht="34" customHeight="1">
      <x:c r="A8946" s="4" t="str">
        <x:v>RS-04437-I1</x:v>
      </x:c>
      <x:c r="B8946" s="4" t="str">
        <x:v>RS-04437</x:v>
      </x:c>
      <x:c r="C8946" s="9" t="n">
        <x:v>1</x:v>
      </x:c>
      <x:c r="D8946" s="8" t="n">
        <x:v>45548</x:v>
      </x:c>
      <x:c r="E8946" s="9" t="n">
        <x:v>1057500</x:v>
      </x:c>
      <x:c r="F8946" s="9" t="n">
        <x:v>1057500</x:v>
      </x:c>
    </x:row>
    <x:row r="8947" ht="34" customHeight="1">
      <x:c r="A8947" s="4" t="str">
        <x:v>RS-04437-I2</x:v>
      </x:c>
      <x:c r="B8947" s="4" t="str">
        <x:v>RS-04437</x:v>
      </x:c>
      <x:c r="C8947" s="9" t="n">
        <x:v>2</x:v>
      </x:c>
      <x:c r="D8947" s="8" t="n">
        <x:v>45578</x:v>
      </x:c>
      <x:c r="E8947" s="9" t="n">
        <x:v>1057500</x:v>
      </x:c>
      <x:c r="F8947" s="9" t="n">
        <x:v>1057500</x:v>
      </x:c>
    </x:row>
    <x:row r="8948" ht="34" customHeight="1">
      <x:c r="A8948" s="4" t="str">
        <x:v>RS-04437-I3</x:v>
      </x:c>
      <x:c r="B8948" s="4" t="str">
        <x:v>RS-04437</x:v>
      </x:c>
      <x:c r="C8948" s="9" t="n">
        <x:v>3</x:v>
      </x:c>
      <x:c r="D8948" s="8" t="n">
        <x:v>45608</x:v>
      </x:c>
      <x:c r="E8948" s="9" t="n">
        <x:v>1057500</x:v>
      </x:c>
      <x:c r="F8948" s="9" t="n">
        <x:v>1057500</x:v>
      </x:c>
    </x:row>
    <x:row r="8949" ht="34" customHeight="1">
      <x:c r="A8949" s="4" t="str">
        <x:v>RS-04437-I4</x:v>
      </x:c>
      <x:c r="B8949" s="4" t="str">
        <x:v>RS-04437</x:v>
      </x:c>
      <x:c r="C8949" s="9" t="n">
        <x:v>4</x:v>
      </x:c>
      <x:c r="D8949" s="8" t="n">
        <x:v>45638</x:v>
      </x:c>
      <x:c r="E8949" s="9" t="n">
        <x:v>1057500</x:v>
      </x:c>
      <x:c r="F8949" s="9" t="n">
        <x:v>1057500</x:v>
      </x:c>
    </x:row>
    <x:row r="8950" ht="34" customHeight="1">
      <x:c r="A8950" s="4" t="str">
        <x:v>RS-04439-I1</x:v>
      </x:c>
      <x:c r="B8950" s="4" t="str">
        <x:v>RS-04439</x:v>
      </x:c>
      <x:c r="C8950" s="9" t="n">
        <x:v>1</x:v>
      </x:c>
      <x:c r="D8950" s="8" t="n">
        <x:v>45550</x:v>
      </x:c>
      <x:c r="E8950" s="9" t="n">
        <x:v>5784000</x:v>
      </x:c>
      <x:c r="F8950" s="9" t="n">
        <x:v>5784000</x:v>
      </x:c>
    </x:row>
    <x:row r="8951" ht="34" customHeight="1">
      <x:c r="A8951" s="4" t="str">
        <x:v>RS-04439-I2</x:v>
      </x:c>
      <x:c r="B8951" s="4" t="str">
        <x:v>RS-04439</x:v>
      </x:c>
      <x:c r="C8951" s="9" t="n">
        <x:v>2</x:v>
      </x:c>
      <x:c r="D8951" s="8" t="n">
        <x:v>45580</x:v>
      </x:c>
      <x:c r="E8951" s="9" t="n">
        <x:v>5784000</x:v>
      </x:c>
      <x:c r="F8951" s="9" t="n">
        <x:v>5784000</x:v>
      </x:c>
    </x:row>
    <x:row r="8952" ht="34" customHeight="1">
      <x:c r="A8952" s="4" t="str">
        <x:v>RS-04439-I3</x:v>
      </x:c>
      <x:c r="B8952" s="4" t="str">
        <x:v>RS-04439</x:v>
      </x:c>
      <x:c r="C8952" s="9" t="n">
        <x:v>3</x:v>
      </x:c>
      <x:c r="D8952" s="8" t="n">
        <x:v>45610</x:v>
      </x:c>
      <x:c r="E8952" s="9" t="n">
        <x:v>5784000</x:v>
      </x:c>
      <x:c r="F8952" s="9" t="n">
        <x:v>5784000</x:v>
      </x:c>
    </x:row>
    <x:row r="8953" ht="34" customHeight="1">
      <x:c r="A8953" s="4" t="str">
        <x:v>RS-04439-I4</x:v>
      </x:c>
      <x:c r="B8953" s="4" t="str">
        <x:v>RS-04439</x:v>
      </x:c>
      <x:c r="C8953" s="9" t="n">
        <x:v>4</x:v>
      </x:c>
      <x:c r="D8953" s="8" t="n">
        <x:v>45640</x:v>
      </x:c>
      <x:c r="E8953" s="9" t="n">
        <x:v>5784000</x:v>
      </x:c>
      <x:c r="F8953" s="9" t="n">
        <x:v>5784000</x:v>
      </x:c>
    </x:row>
    <x:row r="8954" ht="34" customHeight="1">
      <x:c r="A8954" s="4" t="str">
        <x:v>RS-04440-I1</x:v>
      </x:c>
      <x:c r="B8954" s="4" t="str">
        <x:v>RS-04440</x:v>
      </x:c>
      <x:c r="C8954" s="9" t="n">
        <x:v>1</x:v>
      </x:c>
      <x:c r="D8954" s="8" t="n">
        <x:v>45551</x:v>
      </x:c>
      <x:c r="E8954" s="9" t="n">
        <x:v>3358000</x:v>
      </x:c>
      <x:c r="F8954" s="9" t="n">
        <x:v>3358000</x:v>
      </x:c>
    </x:row>
    <x:row r="8955" ht="34" customHeight="1">
      <x:c r="A8955" s="4" t="str">
        <x:v>RS-04440-I2</x:v>
      </x:c>
      <x:c r="B8955" s="4" t="str">
        <x:v>RS-04440</x:v>
      </x:c>
      <x:c r="C8955" s="9" t="n">
        <x:v>2</x:v>
      </x:c>
      <x:c r="D8955" s="8" t="n">
        <x:v>45581</x:v>
      </x:c>
      <x:c r="E8955" s="9" t="n">
        <x:v>3358000</x:v>
      </x:c>
      <x:c r="F8955" s="9" t="n">
        <x:v>3358000</x:v>
      </x:c>
    </x:row>
    <x:row r="8956" ht="34" customHeight="1">
      <x:c r="A8956" s="4" t="str">
        <x:v>RS-04440-I3</x:v>
      </x:c>
      <x:c r="B8956" s="4" t="str">
        <x:v>RS-04440</x:v>
      </x:c>
      <x:c r="C8956" s="9" t="n">
        <x:v>3</x:v>
      </x:c>
      <x:c r="D8956" s="8" t="n">
        <x:v>45611</x:v>
      </x:c>
      <x:c r="E8956" s="9" t="n">
        <x:v>3358000</x:v>
      </x:c>
      <x:c r="F8956" s="9" t="n">
        <x:v>3358000</x:v>
      </x:c>
    </x:row>
    <x:row r="8957" ht="34" customHeight="1">
      <x:c r="A8957" s="4" t="str">
        <x:v>RS-04440-I4</x:v>
      </x:c>
      <x:c r="B8957" s="4" t="str">
        <x:v>RS-04440</x:v>
      </x:c>
      <x:c r="C8957" s="9" t="n">
        <x:v>4</x:v>
      </x:c>
      <x:c r="D8957" s="8" t="n">
        <x:v>45641</x:v>
      </x:c>
      <x:c r="E8957" s="9" t="n">
        <x:v>3358000</x:v>
      </x:c>
      <x:c r="F8957" s="9" t="n">
        <x:v>3358000</x:v>
      </x:c>
    </x:row>
    <x:row r="8958" ht="34" customHeight="1">
      <x:c r="A8958" s="4" t="str">
        <x:v>RS-04441-I1</x:v>
      </x:c>
      <x:c r="B8958" s="4" t="str">
        <x:v>RS-04441</x:v>
      </x:c>
      <x:c r="C8958" s="9" t="n">
        <x:v>1</x:v>
      </x:c>
      <x:c r="D8958" s="8" t="n">
        <x:v>45552</x:v>
      </x:c>
      <x:c r="E8958" s="9" t="n">
        <x:v>1615000</x:v>
      </x:c>
      <x:c r="F8958" s="9" t="n">
        <x:v>1615000</x:v>
      </x:c>
    </x:row>
    <x:row r="8959" ht="34" customHeight="1">
      <x:c r="A8959" s="4" t="str">
        <x:v>RS-04441-I2</x:v>
      </x:c>
      <x:c r="B8959" s="4" t="str">
        <x:v>RS-04441</x:v>
      </x:c>
      <x:c r="C8959" s="9" t="n">
        <x:v>2</x:v>
      </x:c>
      <x:c r="D8959" s="8" t="n">
        <x:v>45582</x:v>
      </x:c>
      <x:c r="E8959" s="9" t="n">
        <x:v>1615000</x:v>
      </x:c>
      <x:c r="F8959" s="9" t="n">
        <x:v>0</x:v>
      </x:c>
    </x:row>
    <x:row r="8960" ht="34" customHeight="1">
      <x:c r="A8960" s="4" t="str">
        <x:v>RS-04441-I3</x:v>
      </x:c>
      <x:c r="B8960" s="4" t="str">
        <x:v>RS-04441</x:v>
      </x:c>
      <x:c r="C8960" s="9" t="n">
        <x:v>3</x:v>
      </x:c>
      <x:c r="D8960" s="8" t="n">
        <x:v>45612</x:v>
      </x:c>
      <x:c r="E8960" s="9" t="n">
        <x:v>1615000</x:v>
      </x:c>
      <x:c r="F8960" s="9" t="n">
        <x:v>0</x:v>
      </x:c>
    </x:row>
    <x:row r="8961" ht="34" customHeight="1">
      <x:c r="A8961" s="4" t="str">
        <x:v>RS-04441-I4</x:v>
      </x:c>
      <x:c r="B8961" s="4" t="str">
        <x:v>RS-04441</x:v>
      </x:c>
      <x:c r="C8961" s="9" t="n">
        <x:v>4</x:v>
      </x:c>
      <x:c r="D8961" s="8" t="n">
        <x:v>45642</x:v>
      </x:c>
      <x:c r="E8961" s="9" t="n">
        <x:v>1615000</x:v>
      </x:c>
      <x:c r="F8961" s="9" t="n">
        <x:v>0</x:v>
      </x:c>
    </x:row>
    <x:row r="8962" ht="34" customHeight="1">
      <x:c r="A8962" s="4" t="str">
        <x:v>RS-04443-I1</x:v>
      </x:c>
      <x:c r="B8962" s="4" t="str">
        <x:v>RS-04443</x:v>
      </x:c>
      <x:c r="C8962" s="9" t="n">
        <x:v>1</x:v>
      </x:c>
      <x:c r="D8962" s="8" t="n">
        <x:v>45554</x:v>
      </x:c>
      <x:c r="E8962" s="9" t="n">
        <x:v>873000</x:v>
      </x:c>
      <x:c r="F8962" s="9" t="n">
        <x:v>349200</x:v>
      </x:c>
    </x:row>
    <x:row r="8963" ht="34" customHeight="1">
      <x:c r="A8963" s="4" t="str">
        <x:v>RS-04443-I2</x:v>
      </x:c>
      <x:c r="B8963" s="4" t="str">
        <x:v>RS-04443</x:v>
      </x:c>
      <x:c r="C8963" s="9" t="n">
        <x:v>2</x:v>
      </x:c>
      <x:c r="D8963" s="8" t="n">
        <x:v>45584</x:v>
      </x:c>
      <x:c r="E8963" s="9" t="n">
        <x:v>873000</x:v>
      </x:c>
      <x:c r="F8963" s="9" t="n">
        <x:v>0</x:v>
      </x:c>
    </x:row>
    <x:row r="8964" ht="34" customHeight="1">
      <x:c r="A8964" s="4" t="str">
        <x:v>RS-04443-I3</x:v>
      </x:c>
      <x:c r="B8964" s="4" t="str">
        <x:v>RS-04443</x:v>
      </x:c>
      <x:c r="C8964" s="9" t="n">
        <x:v>3</x:v>
      </x:c>
      <x:c r="D8964" s="8" t="n">
        <x:v>45614</x:v>
      </x:c>
      <x:c r="E8964" s="9" t="n">
        <x:v>873000</x:v>
      </x:c>
      <x:c r="F8964" s="9" t="n">
        <x:v>0</x:v>
      </x:c>
    </x:row>
    <x:row r="8965" ht="34" customHeight="1">
      <x:c r="A8965" s="4" t="str">
        <x:v>RS-04443-I4</x:v>
      </x:c>
      <x:c r="B8965" s="4" t="str">
        <x:v>RS-04443</x:v>
      </x:c>
      <x:c r="C8965" s="9" t="n">
        <x:v>4</x:v>
      </x:c>
      <x:c r="D8965" s="8" t="n">
        <x:v>45644</x:v>
      </x:c>
      <x:c r="E8965" s="9" t="n">
        <x:v>873000</x:v>
      </x:c>
      <x:c r="F8965" s="9" t="n">
        <x:v>0</x:v>
      </x:c>
    </x:row>
    <x:row r="8966" ht="34" customHeight="1">
      <x:c r="A8966" s="4" t="str">
        <x:v>RS-04444-I1</x:v>
      </x:c>
      <x:c r="B8966" s="4" t="str">
        <x:v>RS-04444</x:v>
      </x:c>
      <x:c r="C8966" s="9" t="n">
        <x:v>1</x:v>
      </x:c>
      <x:c r="D8966" s="8" t="n">
        <x:v>45555</x:v>
      </x:c>
      <x:c r="E8966" s="9" t="n">
        <x:v>920000</x:v>
      </x:c>
      <x:c r="F8966" s="9" t="n">
        <x:v>920000</x:v>
      </x:c>
    </x:row>
    <x:row r="8967" ht="34" customHeight="1">
      <x:c r="A8967" s="4" t="str">
        <x:v>RS-04444-I2</x:v>
      </x:c>
      <x:c r="B8967" s="4" t="str">
        <x:v>RS-04444</x:v>
      </x:c>
      <x:c r="C8967" s="9" t="n">
        <x:v>2</x:v>
      </x:c>
      <x:c r="D8967" s="8" t="n">
        <x:v>45585</x:v>
      </x:c>
      <x:c r="E8967" s="9" t="n">
        <x:v>920000</x:v>
      </x:c>
      <x:c r="F8967" s="9" t="n">
        <x:v>920000</x:v>
      </x:c>
    </x:row>
    <x:row r="8968" ht="34" customHeight="1">
      <x:c r="A8968" s="4" t="str">
        <x:v>RS-04444-I3</x:v>
      </x:c>
      <x:c r="B8968" s="4" t="str">
        <x:v>RS-04444</x:v>
      </x:c>
      <x:c r="C8968" s="9" t="n">
        <x:v>3</x:v>
      </x:c>
      <x:c r="D8968" s="8" t="n">
        <x:v>45615</x:v>
      </x:c>
      <x:c r="E8968" s="9" t="n">
        <x:v>920000</x:v>
      </x:c>
      <x:c r="F8968" s="9" t="n">
        <x:v>920000</x:v>
      </x:c>
    </x:row>
    <x:row r="8969" ht="34" customHeight="1">
      <x:c r="A8969" s="4" t="str">
        <x:v>RS-04444-I4</x:v>
      </x:c>
      <x:c r="B8969" s="4" t="str">
        <x:v>RS-04444</x:v>
      </x:c>
      <x:c r="C8969" s="9" t="n">
        <x:v>4</x:v>
      </x:c>
      <x:c r="D8969" s="8" t="n">
        <x:v>45645</x:v>
      </x:c>
      <x:c r="E8969" s="9" t="n">
        <x:v>920000</x:v>
      </x:c>
      <x:c r="F8969" s="9" t="n">
        <x:v>920000</x:v>
      </x:c>
    </x:row>
    <x:row r="8970" ht="34" customHeight="1">
      <x:c r="A8970" s="4" t="str">
        <x:v>RS-04446-I1</x:v>
      </x:c>
      <x:c r="B8970" s="4" t="str">
        <x:v>RS-04446</x:v>
      </x:c>
      <x:c r="C8970" s="9" t="n">
        <x:v>1</x:v>
      </x:c>
      <x:c r="D8970" s="8" t="n">
        <x:v>45557</x:v>
      </x:c>
      <x:c r="E8970" s="9" t="n">
        <x:v>3708250</x:v>
      </x:c>
      <x:c r="F8970" s="9" t="n">
        <x:v>1483300</x:v>
      </x:c>
    </x:row>
    <x:row r="8971" ht="34" customHeight="1">
      <x:c r="A8971" s="4" t="str">
        <x:v>RS-04446-I2</x:v>
      </x:c>
      <x:c r="B8971" s="4" t="str">
        <x:v>RS-04446</x:v>
      </x:c>
      <x:c r="C8971" s="9" t="n">
        <x:v>2</x:v>
      </x:c>
      <x:c r="D8971" s="8" t="n">
        <x:v>45587</x:v>
      </x:c>
      <x:c r="E8971" s="9" t="n">
        <x:v>3708250</x:v>
      </x:c>
      <x:c r="F8971" s="9" t="n">
        <x:v>0</x:v>
      </x:c>
    </x:row>
    <x:row r="8972" ht="34" customHeight="1">
      <x:c r="A8972" s="4" t="str">
        <x:v>RS-04446-I3</x:v>
      </x:c>
      <x:c r="B8972" s="4" t="str">
        <x:v>RS-04446</x:v>
      </x:c>
      <x:c r="C8972" s="9" t="n">
        <x:v>3</x:v>
      </x:c>
      <x:c r="D8972" s="8" t="n">
        <x:v>45617</x:v>
      </x:c>
      <x:c r="E8972" s="9" t="n">
        <x:v>3708250</x:v>
      </x:c>
      <x:c r="F8972" s="9" t="n">
        <x:v>0</x:v>
      </x:c>
    </x:row>
    <x:row r="8973" ht="34" customHeight="1">
      <x:c r="A8973" s="4" t="str">
        <x:v>RS-04446-I4</x:v>
      </x:c>
      <x:c r="B8973" s="4" t="str">
        <x:v>RS-04446</x:v>
      </x:c>
      <x:c r="C8973" s="9" t="n">
        <x:v>4</x:v>
      </x:c>
      <x:c r="D8973" s="8" t="n">
        <x:v>45647</x:v>
      </x:c>
      <x:c r="E8973" s="9" t="n">
        <x:v>3708250</x:v>
      </x:c>
      <x:c r="F8973" s="9" t="n">
        <x:v>0</x:v>
      </x:c>
    </x:row>
    <x:row r="8974" ht="34" customHeight="1">
      <x:c r="A8974" s="4" t="str">
        <x:v>RS-04447-I1</x:v>
      </x:c>
      <x:c r="B8974" s="4" t="str">
        <x:v>RS-04447</x:v>
      </x:c>
      <x:c r="C8974" s="9" t="n">
        <x:v>1</x:v>
      </x:c>
      <x:c r="D8974" s="8" t="n">
        <x:v>45558</x:v>
      </x:c>
      <x:c r="E8974" s="9" t="n">
        <x:v>932750</x:v>
      </x:c>
      <x:c r="F8974" s="9" t="n">
        <x:v>932750</x:v>
      </x:c>
    </x:row>
    <x:row r="8975" ht="34" customHeight="1">
      <x:c r="A8975" s="4" t="str">
        <x:v>RS-04447-I2</x:v>
      </x:c>
      <x:c r="B8975" s="4" t="str">
        <x:v>RS-04447</x:v>
      </x:c>
      <x:c r="C8975" s="9" t="n">
        <x:v>2</x:v>
      </x:c>
      <x:c r="D8975" s="8" t="n">
        <x:v>45588</x:v>
      </x:c>
      <x:c r="E8975" s="9" t="n">
        <x:v>932750</x:v>
      </x:c>
      <x:c r="F8975" s="9" t="n">
        <x:v>0</x:v>
      </x:c>
    </x:row>
    <x:row r="8976" ht="34" customHeight="1">
      <x:c r="A8976" s="4" t="str">
        <x:v>RS-04447-I3</x:v>
      </x:c>
      <x:c r="B8976" s="4" t="str">
        <x:v>RS-04447</x:v>
      </x:c>
      <x:c r="C8976" s="9" t="n">
        <x:v>3</x:v>
      </x:c>
      <x:c r="D8976" s="8" t="n">
        <x:v>45618</x:v>
      </x:c>
      <x:c r="E8976" s="9" t="n">
        <x:v>932750</x:v>
      </x:c>
      <x:c r="F8976" s="9" t="n">
        <x:v>0</x:v>
      </x:c>
    </x:row>
    <x:row r="8977" ht="34" customHeight="1">
      <x:c r="A8977" s="4" t="str">
        <x:v>RS-04447-I4</x:v>
      </x:c>
      <x:c r="B8977" s="4" t="str">
        <x:v>RS-04447</x:v>
      </x:c>
      <x:c r="C8977" s="9" t="n">
        <x:v>4</x:v>
      </x:c>
      <x:c r="D8977" s="8" t="n">
        <x:v>45648</x:v>
      </x:c>
      <x:c r="E8977" s="9" t="n">
        <x:v>932750</x:v>
      </x:c>
      <x:c r="F8977" s="9" t="n">
        <x:v>0</x:v>
      </x:c>
    </x:row>
    <x:row r="8978" ht="34" customHeight="1">
      <x:c r="A8978" s="4" t="str">
        <x:v>RS-04448-I1</x:v>
      </x:c>
      <x:c r="B8978" s="4" t="str">
        <x:v>RS-04448</x:v>
      </x:c>
      <x:c r="C8978" s="9" t="n">
        <x:v>1</x:v>
      </x:c>
      <x:c r="D8978" s="8" t="n">
        <x:v>45559</x:v>
      </x:c>
      <x:c r="E8978" s="9" t="n">
        <x:v>2400750</x:v>
      </x:c>
      <x:c r="F8978" s="9" t="n">
        <x:v>2400750</x:v>
      </x:c>
    </x:row>
    <x:row r="8979" ht="34" customHeight="1">
      <x:c r="A8979" s="4" t="str">
        <x:v>RS-04448-I2</x:v>
      </x:c>
      <x:c r="B8979" s="4" t="str">
        <x:v>RS-04448</x:v>
      </x:c>
      <x:c r="C8979" s="9" t="n">
        <x:v>2</x:v>
      </x:c>
      <x:c r="D8979" s="8" t="n">
        <x:v>45589</x:v>
      </x:c>
      <x:c r="E8979" s="9" t="n">
        <x:v>2400750</x:v>
      </x:c>
      <x:c r="F8979" s="9" t="n">
        <x:v>2400750</x:v>
      </x:c>
    </x:row>
    <x:row r="8980" ht="34" customHeight="1">
      <x:c r="A8980" s="4" t="str">
        <x:v>RS-04448-I3</x:v>
      </x:c>
      <x:c r="B8980" s="4" t="str">
        <x:v>RS-04448</x:v>
      </x:c>
      <x:c r="C8980" s="9" t="n">
        <x:v>3</x:v>
      </x:c>
      <x:c r="D8980" s="8" t="n">
        <x:v>45619</x:v>
      </x:c>
      <x:c r="E8980" s="9" t="n">
        <x:v>2400750</x:v>
      </x:c>
      <x:c r="F8980" s="9" t="n">
        <x:v>2400750</x:v>
      </x:c>
    </x:row>
    <x:row r="8981" ht="34" customHeight="1">
      <x:c r="A8981" s="4" t="str">
        <x:v>RS-04448-I4</x:v>
      </x:c>
      <x:c r="B8981" s="4" t="str">
        <x:v>RS-04448</x:v>
      </x:c>
      <x:c r="C8981" s="9" t="n">
        <x:v>4</x:v>
      </x:c>
      <x:c r="D8981" s="8" t="n">
        <x:v>45649</x:v>
      </x:c>
      <x:c r="E8981" s="9" t="n">
        <x:v>2400750</x:v>
      </x:c>
      <x:c r="F8981" s="9" t="n">
        <x:v>2400750</x:v>
      </x:c>
    </x:row>
    <x:row r="8982" ht="34" customHeight="1">
      <x:c r="A8982" s="4" t="str">
        <x:v>RS-04449-I1</x:v>
      </x:c>
      <x:c r="B8982" s="4" t="str">
        <x:v>RS-04449</x:v>
      </x:c>
      <x:c r="C8982" s="9" t="n">
        <x:v>1</x:v>
      </x:c>
      <x:c r="D8982" s="8" t="n">
        <x:v>45560</x:v>
      </x:c>
      <x:c r="E8982" s="9" t="n">
        <x:v>1608000</x:v>
      </x:c>
      <x:c r="F8982" s="9" t="n">
        <x:v>643200</x:v>
      </x:c>
    </x:row>
    <x:row r="8983" ht="34" customHeight="1">
      <x:c r="A8983" s="4" t="str">
        <x:v>RS-04449-I2</x:v>
      </x:c>
      <x:c r="B8983" s="4" t="str">
        <x:v>RS-04449</x:v>
      </x:c>
      <x:c r="C8983" s="9" t="n">
        <x:v>2</x:v>
      </x:c>
      <x:c r="D8983" s="8" t="n">
        <x:v>45590</x:v>
      </x:c>
      <x:c r="E8983" s="9" t="n">
        <x:v>1608000</x:v>
      </x:c>
      <x:c r="F8983" s="9" t="n">
        <x:v>0</x:v>
      </x:c>
    </x:row>
    <x:row r="8984" ht="34" customHeight="1">
      <x:c r="A8984" s="4" t="str">
        <x:v>RS-04449-I3</x:v>
      </x:c>
      <x:c r="B8984" s="4" t="str">
        <x:v>RS-04449</x:v>
      </x:c>
      <x:c r="C8984" s="9" t="n">
        <x:v>3</x:v>
      </x:c>
      <x:c r="D8984" s="8" t="n">
        <x:v>45620</x:v>
      </x:c>
      <x:c r="E8984" s="9" t="n">
        <x:v>1608000</x:v>
      </x:c>
      <x:c r="F8984" s="9" t="n">
        <x:v>0</x:v>
      </x:c>
    </x:row>
    <x:row r="8985" ht="34" customHeight="1">
      <x:c r="A8985" s="4" t="str">
        <x:v>RS-04449-I4</x:v>
      </x:c>
      <x:c r="B8985" s="4" t="str">
        <x:v>RS-04449</x:v>
      </x:c>
      <x:c r="C8985" s="9" t="n">
        <x:v>4</x:v>
      </x:c>
      <x:c r="D8985" s="8" t="n">
        <x:v>45650</x:v>
      </x:c>
      <x:c r="E8985" s="9" t="n">
        <x:v>1608000</x:v>
      </x:c>
      <x:c r="F8985" s="9" t="n">
        <x:v>0</x:v>
      </x:c>
    </x:row>
    <x:row r="8986" ht="34" customHeight="1">
      <x:c r="A8986" s="4" t="str">
        <x:v>RS-04450-I1</x:v>
      </x:c>
      <x:c r="B8986" s="4" t="str">
        <x:v>RS-04450</x:v>
      </x:c>
      <x:c r="C8986" s="9" t="n">
        <x:v>1</x:v>
      </x:c>
      <x:c r="D8986" s="8" t="n">
        <x:v>45561</x:v>
      </x:c>
      <x:c r="E8986" s="9" t="n">
        <x:v>2350000</x:v>
      </x:c>
      <x:c r="F8986" s="9" t="n">
        <x:v>2350000</x:v>
      </x:c>
    </x:row>
    <x:row r="8987" ht="34" customHeight="1">
      <x:c r="A8987" s="4" t="str">
        <x:v>RS-04450-I2</x:v>
      </x:c>
      <x:c r="B8987" s="4" t="str">
        <x:v>RS-04450</x:v>
      </x:c>
      <x:c r="C8987" s="9" t="n">
        <x:v>2</x:v>
      </x:c>
      <x:c r="D8987" s="8" t="n">
        <x:v>45591</x:v>
      </x:c>
      <x:c r="E8987" s="9" t="n">
        <x:v>2350000</x:v>
      </x:c>
      <x:c r="F8987" s="9" t="n">
        <x:v>2350000</x:v>
      </x:c>
    </x:row>
    <x:row r="8988" ht="34" customHeight="1">
      <x:c r="A8988" s="4" t="str">
        <x:v>RS-04450-I3</x:v>
      </x:c>
      <x:c r="B8988" s="4" t="str">
        <x:v>RS-04450</x:v>
      </x:c>
      <x:c r="C8988" s="9" t="n">
        <x:v>3</x:v>
      </x:c>
      <x:c r="D8988" s="8" t="n">
        <x:v>45621</x:v>
      </x:c>
      <x:c r="E8988" s="9" t="n">
        <x:v>2350000</x:v>
      </x:c>
      <x:c r="F8988" s="9" t="n">
        <x:v>0</x:v>
      </x:c>
    </x:row>
    <x:row r="8989" ht="34" customHeight="1">
      <x:c r="A8989" s="4" t="str">
        <x:v>RS-04450-I4</x:v>
      </x:c>
      <x:c r="B8989" s="4" t="str">
        <x:v>RS-04450</x:v>
      </x:c>
      <x:c r="C8989" s="9" t="n">
        <x:v>4</x:v>
      </x:c>
      <x:c r="D8989" s="8" t="n">
        <x:v>45651</x:v>
      </x:c>
      <x:c r="E8989" s="9" t="n">
        <x:v>2350000</x:v>
      </x:c>
      <x:c r="F8989" s="9" t="n">
        <x:v>0</x:v>
      </x:c>
    </x:row>
    <x:row r="8990" ht="34" customHeight="1">
      <x:c r="A8990" s="4" t="str">
        <x:v>RS-04451-I1</x:v>
      </x:c>
      <x:c r="B8990" s="4" t="str">
        <x:v>RS-04451</x:v>
      </x:c>
      <x:c r="C8990" s="9" t="n">
        <x:v>1</x:v>
      </x:c>
      <x:c r="D8990" s="8" t="n">
        <x:v>45562</x:v>
      </x:c>
      <x:c r="E8990" s="9" t="n">
        <x:v>2891000</x:v>
      </x:c>
      <x:c r="F8990" s="9" t="n">
        <x:v>1156400</x:v>
      </x:c>
    </x:row>
    <x:row r="8991" ht="34" customHeight="1">
      <x:c r="A8991" s="4" t="str">
        <x:v>RS-04451-I2</x:v>
      </x:c>
      <x:c r="B8991" s="4" t="str">
        <x:v>RS-04451</x:v>
      </x:c>
      <x:c r="C8991" s="9" t="n">
        <x:v>2</x:v>
      </x:c>
      <x:c r="D8991" s="8" t="n">
        <x:v>45592</x:v>
      </x:c>
      <x:c r="E8991" s="9" t="n">
        <x:v>2891000</x:v>
      </x:c>
      <x:c r="F8991" s="9" t="n">
        <x:v>0</x:v>
      </x:c>
    </x:row>
    <x:row r="8992" ht="34" customHeight="1">
      <x:c r="A8992" s="4" t="str">
        <x:v>RS-04451-I3</x:v>
      </x:c>
      <x:c r="B8992" s="4" t="str">
        <x:v>RS-04451</x:v>
      </x:c>
      <x:c r="C8992" s="9" t="n">
        <x:v>3</x:v>
      </x:c>
      <x:c r="D8992" s="8" t="n">
        <x:v>45622</x:v>
      </x:c>
      <x:c r="E8992" s="9" t="n">
        <x:v>2891000</x:v>
      </x:c>
      <x:c r="F8992" s="9" t="n">
        <x:v>0</x:v>
      </x:c>
    </x:row>
    <x:row r="8993" ht="34" customHeight="1">
      <x:c r="A8993" s="4" t="str">
        <x:v>RS-04451-I4</x:v>
      </x:c>
      <x:c r="B8993" s="4" t="str">
        <x:v>RS-04451</x:v>
      </x:c>
      <x:c r="C8993" s="9" t="n">
        <x:v>4</x:v>
      </x:c>
      <x:c r="D8993" s="8" t="n">
        <x:v>45652</x:v>
      </x:c>
      <x:c r="E8993" s="9" t="n">
        <x:v>2891000</x:v>
      </x:c>
      <x:c r="F8993" s="9" t="n">
        <x:v>0</x:v>
      </x:c>
    </x:row>
    <x:row r="8994" ht="34" customHeight="1">
      <x:c r="A8994" s="4" t="str">
        <x:v>RS-04453-I1</x:v>
      </x:c>
      <x:c r="B8994" s="4" t="str">
        <x:v>RS-04453</x:v>
      </x:c>
      <x:c r="C8994" s="9" t="n">
        <x:v>1</x:v>
      </x:c>
      <x:c r="D8994" s="8" t="n">
        <x:v>45536</x:v>
      </x:c>
      <x:c r="E8994" s="9" t="n">
        <x:v>2684000</x:v>
      </x:c>
      <x:c r="F8994" s="9" t="n">
        <x:v>2684000</x:v>
      </x:c>
    </x:row>
    <x:row r="8995" ht="34" customHeight="1">
      <x:c r="A8995" s="4" t="str">
        <x:v>RS-04453-I2</x:v>
      </x:c>
      <x:c r="B8995" s="4" t="str">
        <x:v>RS-04453</x:v>
      </x:c>
      <x:c r="C8995" s="9" t="n">
        <x:v>2</x:v>
      </x:c>
      <x:c r="D8995" s="8" t="n">
        <x:v>45566</x:v>
      </x:c>
      <x:c r="E8995" s="9" t="n">
        <x:v>2684000</x:v>
      </x:c>
      <x:c r="F8995" s="9" t="n">
        <x:v>0</x:v>
      </x:c>
    </x:row>
    <x:row r="8996" ht="34" customHeight="1">
      <x:c r="A8996" s="4" t="str">
        <x:v>RS-04453-I3</x:v>
      </x:c>
      <x:c r="B8996" s="4" t="str">
        <x:v>RS-04453</x:v>
      </x:c>
      <x:c r="C8996" s="9" t="n">
        <x:v>3</x:v>
      </x:c>
      <x:c r="D8996" s="8" t="n">
        <x:v>45596</x:v>
      </x:c>
      <x:c r="E8996" s="9" t="n">
        <x:v>2684000</x:v>
      </x:c>
      <x:c r="F8996" s="9" t="n">
        <x:v>0</x:v>
      </x:c>
    </x:row>
    <x:row r="8997" ht="34" customHeight="1">
      <x:c r="A8997" s="4" t="str">
        <x:v>RS-04453-I4</x:v>
      </x:c>
      <x:c r="B8997" s="4" t="str">
        <x:v>RS-04453</x:v>
      </x:c>
      <x:c r="C8997" s="9" t="n">
        <x:v>4</x:v>
      </x:c>
      <x:c r="D8997" s="8" t="n">
        <x:v>45626</x:v>
      </x:c>
      <x:c r="E8997" s="9" t="n">
        <x:v>2684000</x:v>
      </x:c>
      <x:c r="F8997" s="9" t="n">
        <x:v>0</x:v>
      </x:c>
    </x:row>
    <x:row r="8998" ht="34" customHeight="1">
      <x:c r="A8998" s="4" t="str">
        <x:v>RS-04455-I1</x:v>
      </x:c>
      <x:c r="B8998" s="4" t="str">
        <x:v>RS-04455</x:v>
      </x:c>
      <x:c r="C8998" s="9" t="n">
        <x:v>1</x:v>
      </x:c>
      <x:c r="D8998" s="8" t="n">
        <x:v>45538</x:v>
      </x:c>
      <x:c r="E8998" s="9" t="n">
        <x:v>5184750</x:v>
      </x:c>
      <x:c r="F8998" s="9" t="n">
        <x:v>5184750</x:v>
      </x:c>
    </x:row>
    <x:row r="8999" ht="34" customHeight="1">
      <x:c r="A8999" s="4" t="str">
        <x:v>RS-04455-I2</x:v>
      </x:c>
      <x:c r="B8999" s="4" t="str">
        <x:v>RS-04455</x:v>
      </x:c>
      <x:c r="C8999" s="9" t="n">
        <x:v>2</x:v>
      </x:c>
      <x:c r="D8999" s="8" t="n">
        <x:v>45568</x:v>
      </x:c>
      <x:c r="E8999" s="9" t="n">
        <x:v>5184750</x:v>
      </x:c>
      <x:c r="F8999" s="9" t="n">
        <x:v>5184750</x:v>
      </x:c>
    </x:row>
    <x:row r="9000" ht="34" customHeight="1">
      <x:c r="A9000" s="4" t="str">
        <x:v>RS-04455-I3</x:v>
      </x:c>
      <x:c r="B9000" s="4" t="str">
        <x:v>RS-04455</x:v>
      </x:c>
      <x:c r="C9000" s="9" t="n">
        <x:v>3</x:v>
      </x:c>
      <x:c r="D9000" s="8" t="n">
        <x:v>45598</x:v>
      </x:c>
      <x:c r="E9000" s="9" t="n">
        <x:v>5184750</x:v>
      </x:c>
      <x:c r="F9000" s="9" t="n">
        <x:v>0</x:v>
      </x:c>
    </x:row>
    <x:row r="9001" ht="34" customHeight="1">
      <x:c r="A9001" s="4" t="str">
        <x:v>RS-04455-I4</x:v>
      </x:c>
      <x:c r="B9001" s="4" t="str">
        <x:v>RS-04455</x:v>
      </x:c>
      <x:c r="C9001" s="9" t="n">
        <x:v>4</x:v>
      </x:c>
      <x:c r="D9001" s="8" t="n">
        <x:v>45628</x:v>
      </x:c>
      <x:c r="E9001" s="9" t="n">
        <x:v>5184750</x:v>
      </x:c>
      <x:c r="F9001" s="9" t="n">
        <x:v>0</x:v>
      </x:c>
    </x:row>
    <x:row r="9002" ht="34" customHeight="1">
      <x:c r="A9002" s="4" t="str">
        <x:v>RS-04457-I1</x:v>
      </x:c>
      <x:c r="B9002" s="4" t="str">
        <x:v>RS-04457</x:v>
      </x:c>
      <x:c r="C9002" s="9" t="n">
        <x:v>1</x:v>
      </x:c>
      <x:c r="D9002" s="8" t="n">
        <x:v>45540</x:v>
      </x:c>
      <x:c r="E9002" s="9" t="n">
        <x:v>5562500</x:v>
      </x:c>
      <x:c r="F9002" s="9" t="n">
        <x:v>5562500</x:v>
      </x:c>
    </x:row>
    <x:row r="9003" ht="34" customHeight="1">
      <x:c r="A9003" s="4" t="str">
        <x:v>RS-04457-I2</x:v>
      </x:c>
      <x:c r="B9003" s="4" t="str">
        <x:v>RS-04457</x:v>
      </x:c>
      <x:c r="C9003" s="9" t="n">
        <x:v>2</x:v>
      </x:c>
      <x:c r="D9003" s="8" t="n">
        <x:v>45570</x:v>
      </x:c>
      <x:c r="E9003" s="9" t="n">
        <x:v>5562500</x:v>
      </x:c>
      <x:c r="F9003" s="9" t="n">
        <x:v>5562500</x:v>
      </x:c>
    </x:row>
    <x:row r="9004" ht="34" customHeight="1">
      <x:c r="A9004" s="4" t="str">
        <x:v>RS-04457-I3</x:v>
      </x:c>
      <x:c r="B9004" s="4" t="str">
        <x:v>RS-04457</x:v>
      </x:c>
      <x:c r="C9004" s="9" t="n">
        <x:v>3</x:v>
      </x:c>
      <x:c r="D9004" s="8" t="n">
        <x:v>45600</x:v>
      </x:c>
      <x:c r="E9004" s="9" t="n">
        <x:v>5562500</x:v>
      </x:c>
      <x:c r="F9004" s="9" t="n">
        <x:v>5562500</x:v>
      </x:c>
    </x:row>
    <x:row r="9005" ht="34" customHeight="1">
      <x:c r="A9005" s="4" t="str">
        <x:v>RS-04457-I4</x:v>
      </x:c>
      <x:c r="B9005" s="4" t="str">
        <x:v>RS-04457</x:v>
      </x:c>
      <x:c r="C9005" s="9" t="n">
        <x:v>4</x:v>
      </x:c>
      <x:c r="D9005" s="8" t="n">
        <x:v>45630</x:v>
      </x:c>
      <x:c r="E9005" s="9" t="n">
        <x:v>5562500</x:v>
      </x:c>
      <x:c r="F9005" s="9" t="n">
        <x:v>5562500</x:v>
      </x:c>
    </x:row>
    <x:row r="9006" ht="34" customHeight="1">
      <x:c r="A9006" s="4" t="str">
        <x:v>RS-04459-I1</x:v>
      </x:c>
      <x:c r="B9006" s="4" t="str">
        <x:v>RS-04459</x:v>
      </x:c>
      <x:c r="C9006" s="9" t="n">
        <x:v>1</x:v>
      </x:c>
      <x:c r="D9006" s="8" t="n">
        <x:v>45542</x:v>
      </x:c>
      <x:c r="E9006" s="9" t="n">
        <x:v>5011250</x:v>
      </x:c>
      <x:c r="F9006" s="9" t="n">
        <x:v>5011250</x:v>
      </x:c>
    </x:row>
    <x:row r="9007" ht="34" customHeight="1">
      <x:c r="A9007" s="4" t="str">
        <x:v>RS-04459-I2</x:v>
      </x:c>
      <x:c r="B9007" s="4" t="str">
        <x:v>RS-04459</x:v>
      </x:c>
      <x:c r="C9007" s="9" t="n">
        <x:v>2</x:v>
      </x:c>
      <x:c r="D9007" s="8" t="n">
        <x:v>45572</x:v>
      </x:c>
      <x:c r="E9007" s="9" t="n">
        <x:v>5011250</x:v>
      </x:c>
      <x:c r="F9007" s="9" t="n">
        <x:v>0</x:v>
      </x:c>
    </x:row>
    <x:row r="9008" ht="34" customHeight="1">
      <x:c r="A9008" s="4" t="str">
        <x:v>RS-04459-I3</x:v>
      </x:c>
      <x:c r="B9008" s="4" t="str">
        <x:v>RS-04459</x:v>
      </x:c>
      <x:c r="C9008" s="9" t="n">
        <x:v>3</x:v>
      </x:c>
      <x:c r="D9008" s="8" t="n">
        <x:v>45602</x:v>
      </x:c>
      <x:c r="E9008" s="9" t="n">
        <x:v>5011250</x:v>
      </x:c>
      <x:c r="F9008" s="9" t="n">
        <x:v>0</x:v>
      </x:c>
    </x:row>
    <x:row r="9009" ht="34" customHeight="1">
      <x:c r="A9009" s="4" t="str">
        <x:v>RS-04459-I4</x:v>
      </x:c>
      <x:c r="B9009" s="4" t="str">
        <x:v>RS-04459</x:v>
      </x:c>
      <x:c r="C9009" s="9" t="n">
        <x:v>4</x:v>
      </x:c>
      <x:c r="D9009" s="8" t="n">
        <x:v>45632</x:v>
      </x:c>
      <x:c r="E9009" s="9" t="n">
        <x:v>5011250</x:v>
      </x:c>
      <x:c r="F9009" s="9" t="n">
        <x:v>0</x:v>
      </x:c>
    </x:row>
    <x:row r="9010" ht="34" customHeight="1">
      <x:c r="A9010" s="4" t="str">
        <x:v>RS-04463-I1</x:v>
      </x:c>
      <x:c r="B9010" s="4" t="str">
        <x:v>RS-04463</x:v>
      </x:c>
      <x:c r="C9010" s="9" t="n">
        <x:v>1</x:v>
      </x:c>
      <x:c r="D9010" s="8" t="n">
        <x:v>45546</x:v>
      </x:c>
      <x:c r="E9010" s="9" t="n">
        <x:v>3293000</x:v>
      </x:c>
      <x:c r="F9010" s="9" t="n">
        <x:v>1317200</x:v>
      </x:c>
    </x:row>
    <x:row r="9011" ht="34" customHeight="1">
      <x:c r="A9011" s="4" t="str">
        <x:v>RS-04463-I2</x:v>
      </x:c>
      <x:c r="B9011" s="4" t="str">
        <x:v>RS-04463</x:v>
      </x:c>
      <x:c r="C9011" s="9" t="n">
        <x:v>2</x:v>
      </x:c>
      <x:c r="D9011" s="8" t="n">
        <x:v>45576</x:v>
      </x:c>
      <x:c r="E9011" s="9" t="n">
        <x:v>3293000</x:v>
      </x:c>
      <x:c r="F9011" s="9" t="n">
        <x:v>0</x:v>
      </x:c>
    </x:row>
    <x:row r="9012" ht="34" customHeight="1">
      <x:c r="A9012" s="4" t="str">
        <x:v>RS-04463-I3</x:v>
      </x:c>
      <x:c r="B9012" s="4" t="str">
        <x:v>RS-04463</x:v>
      </x:c>
      <x:c r="C9012" s="9" t="n">
        <x:v>3</x:v>
      </x:c>
      <x:c r="D9012" s="8" t="n">
        <x:v>45606</x:v>
      </x:c>
      <x:c r="E9012" s="9" t="n">
        <x:v>3293000</x:v>
      </x:c>
      <x:c r="F9012" s="9" t="n">
        <x:v>0</x:v>
      </x:c>
    </x:row>
    <x:row r="9013" ht="34" customHeight="1">
      <x:c r="A9013" s="4" t="str">
        <x:v>RS-04463-I4</x:v>
      </x:c>
      <x:c r="B9013" s="4" t="str">
        <x:v>RS-04463</x:v>
      </x:c>
      <x:c r="C9013" s="9" t="n">
        <x:v>4</x:v>
      </x:c>
      <x:c r="D9013" s="8" t="n">
        <x:v>45636</x:v>
      </x:c>
      <x:c r="E9013" s="9" t="n">
        <x:v>3293000</x:v>
      </x:c>
      <x:c r="F9013" s="9" t="n">
        <x:v>0</x:v>
      </x:c>
    </x:row>
    <x:row r="9014" ht="34" customHeight="1">
      <x:c r="A9014" s="4" t="str">
        <x:v>RS-04464-I1</x:v>
      </x:c>
      <x:c r="B9014" s="4" t="str">
        <x:v>RS-04464</x:v>
      </x:c>
      <x:c r="C9014" s="9" t="n">
        <x:v>1</x:v>
      </x:c>
      <x:c r="D9014" s="8" t="n">
        <x:v>45547</x:v>
      </x:c>
      <x:c r="E9014" s="9" t="n">
        <x:v>5733000</x:v>
      </x:c>
      <x:c r="F9014" s="9" t="n">
        <x:v>5733000</x:v>
      </x:c>
    </x:row>
    <x:row r="9015" ht="34" customHeight="1">
      <x:c r="A9015" s="4" t="str">
        <x:v>RS-04464-I2</x:v>
      </x:c>
      <x:c r="B9015" s="4" t="str">
        <x:v>RS-04464</x:v>
      </x:c>
      <x:c r="C9015" s="9" t="n">
        <x:v>2</x:v>
      </x:c>
      <x:c r="D9015" s="8" t="n">
        <x:v>45577</x:v>
      </x:c>
      <x:c r="E9015" s="9" t="n">
        <x:v>5733000</x:v>
      </x:c>
      <x:c r="F9015" s="9" t="n">
        <x:v>5733000</x:v>
      </x:c>
    </x:row>
    <x:row r="9016" ht="34" customHeight="1">
      <x:c r="A9016" s="4" t="str">
        <x:v>RS-04464-I3</x:v>
      </x:c>
      <x:c r="B9016" s="4" t="str">
        <x:v>RS-04464</x:v>
      </x:c>
      <x:c r="C9016" s="9" t="n">
        <x:v>3</x:v>
      </x:c>
      <x:c r="D9016" s="8" t="n">
        <x:v>45607</x:v>
      </x:c>
      <x:c r="E9016" s="9" t="n">
        <x:v>5733000</x:v>
      </x:c>
      <x:c r="F9016" s="9" t="n">
        <x:v>5733000</x:v>
      </x:c>
    </x:row>
    <x:row r="9017" ht="34" customHeight="1">
      <x:c r="A9017" s="4" t="str">
        <x:v>RS-04464-I4</x:v>
      </x:c>
      <x:c r="B9017" s="4" t="str">
        <x:v>RS-04464</x:v>
      </x:c>
      <x:c r="C9017" s="9" t="n">
        <x:v>4</x:v>
      </x:c>
      <x:c r="D9017" s="8" t="n">
        <x:v>45637</x:v>
      </x:c>
      <x:c r="E9017" s="9" t="n">
        <x:v>5733000</x:v>
      </x:c>
      <x:c r="F9017" s="9" t="n">
        <x:v>5733000</x:v>
      </x:c>
    </x:row>
    <x:row r="9018" ht="34" customHeight="1">
      <x:c r="A9018" s="4" t="str">
        <x:v>RS-04465-I1</x:v>
      </x:c>
      <x:c r="B9018" s="4" t="str">
        <x:v>RS-04465</x:v>
      </x:c>
      <x:c r="C9018" s="9" t="n">
        <x:v>1</x:v>
      </x:c>
      <x:c r="D9018" s="8" t="n">
        <x:v>45548</x:v>
      </x:c>
      <x:c r="E9018" s="9" t="n">
        <x:v>1069500</x:v>
      </x:c>
      <x:c r="F9018" s="9" t="n">
        <x:v>1069500</x:v>
      </x:c>
    </x:row>
    <x:row r="9019" ht="34" customHeight="1">
      <x:c r="A9019" s="4" t="str">
        <x:v>RS-04465-I2</x:v>
      </x:c>
      <x:c r="B9019" s="4" t="str">
        <x:v>RS-04465</x:v>
      </x:c>
      <x:c r="C9019" s="9" t="n">
        <x:v>2</x:v>
      </x:c>
      <x:c r="D9019" s="8" t="n">
        <x:v>45578</x:v>
      </x:c>
      <x:c r="E9019" s="9" t="n">
        <x:v>1069500</x:v>
      </x:c>
      <x:c r="F9019" s="9" t="n">
        <x:v>0</x:v>
      </x:c>
    </x:row>
    <x:row r="9020" ht="34" customHeight="1">
      <x:c r="A9020" s="4" t="str">
        <x:v>RS-04465-I3</x:v>
      </x:c>
      <x:c r="B9020" s="4" t="str">
        <x:v>RS-04465</x:v>
      </x:c>
      <x:c r="C9020" s="9" t="n">
        <x:v>3</x:v>
      </x:c>
      <x:c r="D9020" s="8" t="n">
        <x:v>45608</x:v>
      </x:c>
      <x:c r="E9020" s="9" t="n">
        <x:v>1069500</x:v>
      </x:c>
      <x:c r="F9020" s="9" t="n">
        <x:v>0</x:v>
      </x:c>
    </x:row>
    <x:row r="9021" ht="34" customHeight="1">
      <x:c r="A9021" s="4" t="str">
        <x:v>RS-04465-I4</x:v>
      </x:c>
      <x:c r="B9021" s="4" t="str">
        <x:v>RS-04465</x:v>
      </x:c>
      <x:c r="C9021" s="9" t="n">
        <x:v>4</x:v>
      </x:c>
      <x:c r="D9021" s="8" t="n">
        <x:v>45638</x:v>
      </x:c>
      <x:c r="E9021" s="9" t="n">
        <x:v>1069500</x:v>
      </x:c>
      <x:c r="F9021" s="9" t="n">
        <x:v>0</x:v>
      </x:c>
    </x:row>
    <x:row r="9022" ht="34" customHeight="1">
      <x:c r="A9022" s="4" t="str">
        <x:v>RS-04466-I1</x:v>
      </x:c>
      <x:c r="B9022" s="4" t="str">
        <x:v>RS-04466</x:v>
      </x:c>
      <x:c r="C9022" s="9" t="n">
        <x:v>1</x:v>
      </x:c>
      <x:c r="D9022" s="8" t="n">
        <x:v>45549</x:v>
      </x:c>
      <x:c r="E9022" s="9" t="n">
        <x:v>3026000</x:v>
      </x:c>
      <x:c r="F9022" s="9" t="n">
        <x:v>3026000</x:v>
      </x:c>
    </x:row>
    <x:row r="9023" ht="34" customHeight="1">
      <x:c r="A9023" s="4" t="str">
        <x:v>RS-04466-I2</x:v>
      </x:c>
      <x:c r="B9023" s="4" t="str">
        <x:v>RS-04466</x:v>
      </x:c>
      <x:c r="C9023" s="9" t="n">
        <x:v>2</x:v>
      </x:c>
      <x:c r="D9023" s="8" t="n">
        <x:v>45579</x:v>
      </x:c>
      <x:c r="E9023" s="9" t="n">
        <x:v>3026000</x:v>
      </x:c>
      <x:c r="F9023" s="9" t="n">
        <x:v>3026000</x:v>
      </x:c>
    </x:row>
    <x:row r="9024" ht="34" customHeight="1">
      <x:c r="A9024" s="4" t="str">
        <x:v>RS-04466-I3</x:v>
      </x:c>
      <x:c r="B9024" s="4" t="str">
        <x:v>RS-04466</x:v>
      </x:c>
      <x:c r="C9024" s="9" t="n">
        <x:v>3</x:v>
      </x:c>
      <x:c r="D9024" s="8" t="n">
        <x:v>45609</x:v>
      </x:c>
      <x:c r="E9024" s="9" t="n">
        <x:v>3026000</x:v>
      </x:c>
      <x:c r="F9024" s="9" t="n">
        <x:v>0</x:v>
      </x:c>
    </x:row>
    <x:row r="9025" ht="34" customHeight="1">
      <x:c r="A9025" s="4" t="str">
        <x:v>RS-04466-I4</x:v>
      </x:c>
      <x:c r="B9025" s="4" t="str">
        <x:v>RS-04466</x:v>
      </x:c>
      <x:c r="C9025" s="9" t="n">
        <x:v>4</x:v>
      </x:c>
      <x:c r="D9025" s="8" t="n">
        <x:v>45639</x:v>
      </x:c>
      <x:c r="E9025" s="9" t="n">
        <x:v>3026000</x:v>
      </x:c>
      <x:c r="F9025" s="9" t="n">
        <x:v>0</x:v>
      </x:c>
    </x:row>
    <x:row r="9026" ht="34" customHeight="1">
      <x:c r="A9026" s="4" t="str">
        <x:v>RS-04467-I1</x:v>
      </x:c>
      <x:c r="B9026" s="4" t="str">
        <x:v>RS-04467</x:v>
      </x:c>
      <x:c r="C9026" s="9" t="n">
        <x:v>1</x:v>
      </x:c>
      <x:c r="D9026" s="8" t="n">
        <x:v>45550</x:v>
      </x:c>
      <x:c r="E9026" s="9" t="n">
        <x:v>3225000</x:v>
      </x:c>
      <x:c r="F9026" s="9" t="n">
        <x:v>1290000</x:v>
      </x:c>
    </x:row>
    <x:row r="9027" ht="34" customHeight="1">
      <x:c r="A9027" s="4" t="str">
        <x:v>RS-04467-I2</x:v>
      </x:c>
      <x:c r="B9027" s="4" t="str">
        <x:v>RS-04467</x:v>
      </x:c>
      <x:c r="C9027" s="9" t="n">
        <x:v>2</x:v>
      </x:c>
      <x:c r="D9027" s="8" t="n">
        <x:v>45580</x:v>
      </x:c>
      <x:c r="E9027" s="9" t="n">
        <x:v>3225000</x:v>
      </x:c>
      <x:c r="F9027" s="9" t="n">
        <x:v>0</x:v>
      </x:c>
    </x:row>
    <x:row r="9028" ht="34" customHeight="1">
      <x:c r="A9028" s="4" t="str">
        <x:v>RS-04467-I3</x:v>
      </x:c>
      <x:c r="B9028" s="4" t="str">
        <x:v>RS-04467</x:v>
      </x:c>
      <x:c r="C9028" s="9" t="n">
        <x:v>3</x:v>
      </x:c>
      <x:c r="D9028" s="8" t="n">
        <x:v>45610</x:v>
      </x:c>
      <x:c r="E9028" s="9" t="n">
        <x:v>3225000</x:v>
      </x:c>
      <x:c r="F9028" s="9" t="n">
        <x:v>0</x:v>
      </x:c>
    </x:row>
    <x:row r="9029" ht="34" customHeight="1">
      <x:c r="A9029" s="4" t="str">
        <x:v>RS-04467-I4</x:v>
      </x:c>
      <x:c r="B9029" s="4" t="str">
        <x:v>RS-04467</x:v>
      </x:c>
      <x:c r="C9029" s="9" t="n">
        <x:v>4</x:v>
      </x:c>
      <x:c r="D9029" s="8" t="n">
        <x:v>45640</x:v>
      </x:c>
      <x:c r="E9029" s="9" t="n">
        <x:v>3225000</x:v>
      </x:c>
      <x:c r="F9029" s="9" t="n">
        <x:v>0</x:v>
      </x:c>
    </x:row>
    <x:row r="9030" ht="34" customHeight="1">
      <x:c r="A9030" s="4" t="str">
        <x:v>RS-04468-I1</x:v>
      </x:c>
      <x:c r="B9030" s="4" t="str">
        <x:v>RS-04468</x:v>
      </x:c>
      <x:c r="C9030" s="9" t="n">
        <x:v>1</x:v>
      </x:c>
      <x:c r="D9030" s="8" t="n">
        <x:v>45551</x:v>
      </x:c>
      <x:c r="E9030" s="9" t="n">
        <x:v>2557500</x:v>
      </x:c>
      <x:c r="F9030" s="9" t="n">
        <x:v>1023000</x:v>
      </x:c>
    </x:row>
    <x:row r="9031" ht="34" customHeight="1">
      <x:c r="A9031" s="4" t="str">
        <x:v>RS-04468-I2</x:v>
      </x:c>
      <x:c r="B9031" s="4" t="str">
        <x:v>RS-04468</x:v>
      </x:c>
      <x:c r="C9031" s="9" t="n">
        <x:v>2</x:v>
      </x:c>
      <x:c r="D9031" s="8" t="n">
        <x:v>45581</x:v>
      </x:c>
      <x:c r="E9031" s="9" t="n">
        <x:v>2557500</x:v>
      </x:c>
      <x:c r="F9031" s="9" t="n">
        <x:v>0</x:v>
      </x:c>
    </x:row>
    <x:row r="9032" ht="34" customHeight="1">
      <x:c r="A9032" s="4" t="str">
        <x:v>RS-04468-I3</x:v>
      </x:c>
      <x:c r="B9032" s="4" t="str">
        <x:v>RS-04468</x:v>
      </x:c>
      <x:c r="C9032" s="9" t="n">
        <x:v>3</x:v>
      </x:c>
      <x:c r="D9032" s="8" t="n">
        <x:v>45611</x:v>
      </x:c>
      <x:c r="E9032" s="9" t="n">
        <x:v>2557500</x:v>
      </x:c>
      <x:c r="F9032" s="9" t="n">
        <x:v>0</x:v>
      </x:c>
    </x:row>
    <x:row r="9033" ht="34" customHeight="1">
      <x:c r="A9033" s="4" t="str">
        <x:v>RS-04468-I4</x:v>
      </x:c>
      <x:c r="B9033" s="4" t="str">
        <x:v>RS-04468</x:v>
      </x:c>
      <x:c r="C9033" s="9" t="n">
        <x:v>4</x:v>
      </x:c>
      <x:c r="D9033" s="8" t="n">
        <x:v>45641</x:v>
      </x:c>
      <x:c r="E9033" s="9" t="n">
        <x:v>2557500</x:v>
      </x:c>
      <x:c r="F9033" s="9" t="n">
        <x:v>0</x:v>
      </x:c>
    </x:row>
    <x:row r="9034" ht="34" customHeight="1">
      <x:c r="A9034" s="4" t="str">
        <x:v>RS-04469-I1</x:v>
      </x:c>
      <x:c r="B9034" s="4" t="str">
        <x:v>RS-04469</x:v>
      </x:c>
      <x:c r="C9034" s="9" t="n">
        <x:v>1</x:v>
      </x:c>
      <x:c r="D9034" s="8" t="n">
        <x:v>45552</x:v>
      </x:c>
      <x:c r="E9034" s="9" t="n">
        <x:v>5593500</x:v>
      </x:c>
      <x:c r="F9034" s="9" t="n">
        <x:v>5593500</x:v>
      </x:c>
    </x:row>
    <x:row r="9035" ht="34" customHeight="1">
      <x:c r="A9035" s="4" t="str">
        <x:v>RS-04469-I2</x:v>
      </x:c>
      <x:c r="B9035" s="4" t="str">
        <x:v>RS-04469</x:v>
      </x:c>
      <x:c r="C9035" s="9" t="n">
        <x:v>2</x:v>
      </x:c>
      <x:c r="D9035" s="8" t="n">
        <x:v>45582</x:v>
      </x:c>
      <x:c r="E9035" s="9" t="n">
        <x:v>5593500</x:v>
      </x:c>
      <x:c r="F9035" s="9" t="n">
        <x:v>5593500</x:v>
      </x:c>
    </x:row>
    <x:row r="9036" ht="34" customHeight="1">
      <x:c r="A9036" s="4" t="str">
        <x:v>RS-04469-I3</x:v>
      </x:c>
      <x:c r="B9036" s="4" t="str">
        <x:v>RS-04469</x:v>
      </x:c>
      <x:c r="C9036" s="9" t="n">
        <x:v>3</x:v>
      </x:c>
      <x:c r="D9036" s="8" t="n">
        <x:v>45612</x:v>
      </x:c>
      <x:c r="E9036" s="9" t="n">
        <x:v>5593500</x:v>
      </x:c>
      <x:c r="F9036" s="9" t="n">
        <x:v>0</x:v>
      </x:c>
    </x:row>
    <x:row r="9037" ht="34" customHeight="1">
      <x:c r="A9037" s="4" t="str">
        <x:v>RS-04469-I4</x:v>
      </x:c>
      <x:c r="B9037" s="4" t="str">
        <x:v>RS-04469</x:v>
      </x:c>
      <x:c r="C9037" s="9" t="n">
        <x:v>4</x:v>
      </x:c>
      <x:c r="D9037" s="8" t="n">
        <x:v>45642</x:v>
      </x:c>
      <x:c r="E9037" s="9" t="n">
        <x:v>5593500</x:v>
      </x:c>
      <x:c r="F9037" s="9" t="n">
        <x:v>0</x:v>
      </x:c>
    </x:row>
    <x:row r="9038" ht="34" customHeight="1">
      <x:c r="A9038" s="4" t="str">
        <x:v>RS-04472-I1</x:v>
      </x:c>
      <x:c r="B9038" s="4" t="str">
        <x:v>RS-04472</x:v>
      </x:c>
      <x:c r="C9038" s="9" t="n">
        <x:v>1</x:v>
      </x:c>
      <x:c r="D9038" s="8" t="n">
        <x:v>45555</x:v>
      </x:c>
      <x:c r="E9038" s="9" t="n">
        <x:v>3537750</x:v>
      </x:c>
      <x:c r="F9038" s="9" t="n">
        <x:v>1415100</x:v>
      </x:c>
    </x:row>
    <x:row r="9039" ht="34" customHeight="1">
      <x:c r="A9039" s="4" t="str">
        <x:v>RS-04472-I2</x:v>
      </x:c>
      <x:c r="B9039" s="4" t="str">
        <x:v>RS-04472</x:v>
      </x:c>
      <x:c r="C9039" s="9" t="n">
        <x:v>2</x:v>
      </x:c>
      <x:c r="D9039" s="8" t="n">
        <x:v>45585</x:v>
      </x:c>
      <x:c r="E9039" s="9" t="n">
        <x:v>3537750</x:v>
      </x:c>
      <x:c r="F9039" s="9" t="n">
        <x:v>0</x:v>
      </x:c>
    </x:row>
    <x:row r="9040" ht="34" customHeight="1">
      <x:c r="A9040" s="4" t="str">
        <x:v>RS-04472-I3</x:v>
      </x:c>
      <x:c r="B9040" s="4" t="str">
        <x:v>RS-04472</x:v>
      </x:c>
      <x:c r="C9040" s="9" t="n">
        <x:v>3</x:v>
      </x:c>
      <x:c r="D9040" s="8" t="n">
        <x:v>45615</x:v>
      </x:c>
      <x:c r="E9040" s="9" t="n">
        <x:v>3537750</x:v>
      </x:c>
      <x:c r="F9040" s="9" t="n">
        <x:v>0</x:v>
      </x:c>
    </x:row>
    <x:row r="9041" ht="34" customHeight="1">
      <x:c r="A9041" s="4" t="str">
        <x:v>RS-04472-I4</x:v>
      </x:c>
      <x:c r="B9041" s="4" t="str">
        <x:v>RS-04472</x:v>
      </x:c>
      <x:c r="C9041" s="9" t="n">
        <x:v>4</x:v>
      </x:c>
      <x:c r="D9041" s="8" t="n">
        <x:v>45645</x:v>
      </x:c>
      <x:c r="E9041" s="9" t="n">
        <x:v>3537750</x:v>
      </x:c>
      <x:c r="F9041" s="9" t="n">
        <x:v>0</x:v>
      </x:c>
    </x:row>
    <x:row r="9042" ht="34" customHeight="1">
      <x:c r="A9042" s="4" t="str">
        <x:v>RS-04473-I1</x:v>
      </x:c>
      <x:c r="B9042" s="4" t="str">
        <x:v>RS-04473</x:v>
      </x:c>
      <x:c r="C9042" s="9" t="n">
        <x:v>1</x:v>
      </x:c>
      <x:c r="D9042" s="8" t="n">
        <x:v>45556</x:v>
      </x:c>
      <x:c r="E9042" s="9" t="n">
        <x:v>5068500</x:v>
      </x:c>
      <x:c r="F9042" s="9" t="n">
        <x:v>5068500</x:v>
      </x:c>
    </x:row>
    <x:row r="9043" ht="34" customHeight="1">
      <x:c r="A9043" s="4" t="str">
        <x:v>RS-04473-I2</x:v>
      </x:c>
      <x:c r="B9043" s="4" t="str">
        <x:v>RS-04473</x:v>
      </x:c>
      <x:c r="C9043" s="9" t="n">
        <x:v>2</x:v>
      </x:c>
      <x:c r="D9043" s="8" t="n">
        <x:v>45586</x:v>
      </x:c>
      <x:c r="E9043" s="9" t="n">
        <x:v>5068500</x:v>
      </x:c>
      <x:c r="F9043" s="9" t="n">
        <x:v>5068500</x:v>
      </x:c>
    </x:row>
    <x:row r="9044" ht="34" customHeight="1">
      <x:c r="A9044" s="4" t="str">
        <x:v>RS-04473-I3</x:v>
      </x:c>
      <x:c r="B9044" s="4" t="str">
        <x:v>RS-04473</x:v>
      </x:c>
      <x:c r="C9044" s="9" t="n">
        <x:v>3</x:v>
      </x:c>
      <x:c r="D9044" s="8" t="n">
        <x:v>45616</x:v>
      </x:c>
      <x:c r="E9044" s="9" t="n">
        <x:v>5068500</x:v>
      </x:c>
      <x:c r="F9044" s="9" t="n">
        <x:v>5068500</x:v>
      </x:c>
    </x:row>
    <x:row r="9045" ht="34" customHeight="1">
      <x:c r="A9045" s="4" t="str">
        <x:v>RS-04473-I4</x:v>
      </x:c>
      <x:c r="B9045" s="4" t="str">
        <x:v>RS-04473</x:v>
      </x:c>
      <x:c r="C9045" s="9" t="n">
        <x:v>4</x:v>
      </x:c>
      <x:c r="D9045" s="8" t="n">
        <x:v>45646</x:v>
      </x:c>
      <x:c r="E9045" s="9" t="n">
        <x:v>5068500</x:v>
      </x:c>
      <x:c r="F9045" s="9" t="n">
        <x:v>5068500</x:v>
      </x:c>
    </x:row>
    <x:row r="9046" ht="34" customHeight="1">
      <x:c r="A9046" s="4" t="str">
        <x:v>RS-04474-I1</x:v>
      </x:c>
      <x:c r="B9046" s="4" t="str">
        <x:v>RS-04474</x:v>
      </x:c>
      <x:c r="C9046" s="9" t="n">
        <x:v>1</x:v>
      </x:c>
      <x:c r="D9046" s="8" t="n">
        <x:v>45557</x:v>
      </x:c>
      <x:c r="E9046" s="9" t="n">
        <x:v>2921250</x:v>
      </x:c>
      <x:c r="F9046" s="9" t="n">
        <x:v>2921250</x:v>
      </x:c>
    </x:row>
    <x:row r="9047" ht="34" customHeight="1">
      <x:c r="A9047" s="4" t="str">
        <x:v>RS-04474-I2</x:v>
      </x:c>
      <x:c r="B9047" s="4" t="str">
        <x:v>RS-04474</x:v>
      </x:c>
      <x:c r="C9047" s="9" t="n">
        <x:v>2</x:v>
      </x:c>
      <x:c r="D9047" s="8" t="n">
        <x:v>45587</x:v>
      </x:c>
      <x:c r="E9047" s="9" t="n">
        <x:v>2921250</x:v>
      </x:c>
      <x:c r="F9047" s="9" t="n">
        <x:v>0</x:v>
      </x:c>
    </x:row>
    <x:row r="9048" ht="34" customHeight="1">
      <x:c r="A9048" s="4" t="str">
        <x:v>RS-04474-I3</x:v>
      </x:c>
      <x:c r="B9048" s="4" t="str">
        <x:v>RS-04474</x:v>
      </x:c>
      <x:c r="C9048" s="9" t="n">
        <x:v>3</x:v>
      </x:c>
      <x:c r="D9048" s="8" t="n">
        <x:v>45617</x:v>
      </x:c>
      <x:c r="E9048" s="9" t="n">
        <x:v>2921250</x:v>
      </x:c>
      <x:c r="F9048" s="9" t="n">
        <x:v>0</x:v>
      </x:c>
    </x:row>
    <x:row r="9049" ht="34" customHeight="1">
      <x:c r="A9049" s="4" t="str">
        <x:v>RS-04474-I4</x:v>
      </x:c>
      <x:c r="B9049" s="4" t="str">
        <x:v>RS-04474</x:v>
      </x:c>
      <x:c r="C9049" s="9" t="n">
        <x:v>4</x:v>
      </x:c>
      <x:c r="D9049" s="8" t="n">
        <x:v>45647</x:v>
      </x:c>
      <x:c r="E9049" s="9" t="n">
        <x:v>2921250</x:v>
      </x:c>
      <x:c r="F9049" s="9" t="n">
        <x:v>0</x:v>
      </x:c>
    </x:row>
    <x:row r="9050" ht="34" customHeight="1">
      <x:c r="A9050" s="4" t="str">
        <x:v>RS-04476-I1</x:v>
      </x:c>
      <x:c r="B9050" s="4" t="str">
        <x:v>RS-04476</x:v>
      </x:c>
      <x:c r="C9050" s="9" t="n">
        <x:v>1</x:v>
      </x:c>
      <x:c r="D9050" s="8" t="n">
        <x:v>45559</x:v>
      </x:c>
      <x:c r="E9050" s="9" t="n">
        <x:v>5091750</x:v>
      </x:c>
      <x:c r="F9050" s="9" t="n">
        <x:v>5091750</x:v>
      </x:c>
    </x:row>
    <x:row r="9051" ht="34" customHeight="1">
      <x:c r="A9051" s="4" t="str">
        <x:v>RS-04476-I2</x:v>
      </x:c>
      <x:c r="B9051" s="4" t="str">
        <x:v>RS-04476</x:v>
      </x:c>
      <x:c r="C9051" s="9" t="n">
        <x:v>2</x:v>
      </x:c>
      <x:c r="D9051" s="8" t="n">
        <x:v>45589</x:v>
      </x:c>
      <x:c r="E9051" s="9" t="n">
        <x:v>5091750</x:v>
      </x:c>
      <x:c r="F9051" s="9" t="n">
        <x:v>5091750</x:v>
      </x:c>
    </x:row>
    <x:row r="9052" ht="34" customHeight="1">
      <x:c r="A9052" s="4" t="str">
        <x:v>RS-04476-I3</x:v>
      </x:c>
      <x:c r="B9052" s="4" t="str">
        <x:v>RS-04476</x:v>
      </x:c>
      <x:c r="C9052" s="9" t="n">
        <x:v>3</x:v>
      </x:c>
      <x:c r="D9052" s="8" t="n">
        <x:v>45619</x:v>
      </x:c>
      <x:c r="E9052" s="9" t="n">
        <x:v>5091750</x:v>
      </x:c>
      <x:c r="F9052" s="9" t="n">
        <x:v>0</x:v>
      </x:c>
    </x:row>
    <x:row r="9053" ht="34" customHeight="1">
      <x:c r="A9053" s="4" t="str">
        <x:v>RS-04476-I4</x:v>
      </x:c>
      <x:c r="B9053" s="4" t="str">
        <x:v>RS-04476</x:v>
      </x:c>
      <x:c r="C9053" s="9" t="n">
        <x:v>4</x:v>
      </x:c>
      <x:c r="D9053" s="8" t="n">
        <x:v>45649</x:v>
      </x:c>
      <x:c r="E9053" s="9" t="n">
        <x:v>5091750</x:v>
      </x:c>
      <x:c r="F9053" s="9" t="n">
        <x:v>0</x:v>
      </x:c>
    </x:row>
    <x:row r="9054" ht="34" customHeight="1">
      <x:c r="A9054" s="4" t="str">
        <x:v>RS-04477-I1</x:v>
      </x:c>
      <x:c r="B9054" s="4" t="str">
        <x:v>RS-04477</x:v>
      </x:c>
      <x:c r="C9054" s="9" t="n">
        <x:v>1</x:v>
      </x:c>
      <x:c r="D9054" s="8" t="n">
        <x:v>45560</x:v>
      </x:c>
      <x:c r="E9054" s="9" t="n">
        <x:v>4085000</x:v>
      </x:c>
      <x:c r="F9054" s="9" t="n">
        <x:v>4085000</x:v>
      </x:c>
    </x:row>
    <x:row r="9055" ht="34" customHeight="1">
      <x:c r="A9055" s="4" t="str">
        <x:v>RS-04477-I2</x:v>
      </x:c>
      <x:c r="B9055" s="4" t="str">
        <x:v>RS-04477</x:v>
      </x:c>
      <x:c r="C9055" s="9" t="n">
        <x:v>2</x:v>
      </x:c>
      <x:c r="D9055" s="8" t="n">
        <x:v>45590</x:v>
      </x:c>
      <x:c r="E9055" s="9" t="n">
        <x:v>4085000</x:v>
      </x:c>
      <x:c r="F9055" s="9" t="n">
        <x:v>0</x:v>
      </x:c>
    </x:row>
    <x:row r="9056" ht="34" customHeight="1">
      <x:c r="A9056" s="4" t="str">
        <x:v>RS-04477-I3</x:v>
      </x:c>
      <x:c r="B9056" s="4" t="str">
        <x:v>RS-04477</x:v>
      </x:c>
      <x:c r="C9056" s="9" t="n">
        <x:v>3</x:v>
      </x:c>
      <x:c r="D9056" s="8" t="n">
        <x:v>45620</x:v>
      </x:c>
      <x:c r="E9056" s="9" t="n">
        <x:v>4085000</x:v>
      </x:c>
      <x:c r="F9056" s="9" t="n">
        <x:v>0</x:v>
      </x:c>
    </x:row>
    <x:row r="9057" ht="34" customHeight="1">
      <x:c r="A9057" s="4" t="str">
        <x:v>RS-04477-I4</x:v>
      </x:c>
      <x:c r="B9057" s="4" t="str">
        <x:v>RS-04477</x:v>
      </x:c>
      <x:c r="C9057" s="9" t="n">
        <x:v>4</x:v>
      </x:c>
      <x:c r="D9057" s="8" t="n">
        <x:v>45650</x:v>
      </x:c>
      <x:c r="E9057" s="9" t="n">
        <x:v>4085000</x:v>
      </x:c>
      <x:c r="F9057" s="9" t="n">
        <x:v>0</x:v>
      </x:c>
    </x:row>
    <x:row r="9058" ht="34" customHeight="1">
      <x:c r="A9058" s="4" t="str">
        <x:v>RS-04480-I1</x:v>
      </x:c>
      <x:c r="B9058" s="4" t="str">
        <x:v>RS-04480</x:v>
      </x:c>
      <x:c r="C9058" s="9" t="n">
        <x:v>1</x:v>
      </x:c>
      <x:c r="D9058" s="8" t="n">
        <x:v>45563</x:v>
      </x:c>
      <x:c r="E9058" s="9" t="n">
        <x:v>888000</x:v>
      </x:c>
      <x:c r="F9058" s="9" t="n">
        <x:v>355200</x:v>
      </x:c>
    </x:row>
    <x:row r="9059" ht="34" customHeight="1">
      <x:c r="A9059" s="4" t="str">
        <x:v>RS-04480-I2</x:v>
      </x:c>
      <x:c r="B9059" s="4" t="str">
        <x:v>RS-04480</x:v>
      </x:c>
      <x:c r="C9059" s="9" t="n">
        <x:v>2</x:v>
      </x:c>
      <x:c r="D9059" s="8" t="n">
        <x:v>45593</x:v>
      </x:c>
      <x:c r="E9059" s="9" t="n">
        <x:v>888000</x:v>
      </x:c>
      <x:c r="F9059" s="9" t="n">
        <x:v>0</x:v>
      </x:c>
    </x:row>
    <x:row r="9060" ht="34" customHeight="1">
      <x:c r="A9060" s="4" t="str">
        <x:v>RS-04480-I3</x:v>
      </x:c>
      <x:c r="B9060" s="4" t="str">
        <x:v>RS-04480</x:v>
      </x:c>
      <x:c r="C9060" s="9" t="n">
        <x:v>3</x:v>
      </x:c>
      <x:c r="D9060" s="8" t="n">
        <x:v>45623</x:v>
      </x:c>
      <x:c r="E9060" s="9" t="n">
        <x:v>888000</x:v>
      </x:c>
      <x:c r="F9060" s="9" t="n">
        <x:v>0</x:v>
      </x:c>
    </x:row>
    <x:row r="9061" ht="34" customHeight="1">
      <x:c r="A9061" s="4" t="str">
        <x:v>RS-04480-I4</x:v>
      </x:c>
      <x:c r="B9061" s="4" t="str">
        <x:v>RS-04480</x:v>
      </x:c>
      <x:c r="C9061" s="9" t="n">
        <x:v>4</x:v>
      </x:c>
      <x:c r="D9061" s="8" t="n">
        <x:v>45653</x:v>
      </x:c>
      <x:c r="E9061" s="9" t="n">
        <x:v>888000</x:v>
      </x:c>
      <x:c r="F9061" s="9" t="n">
        <x:v>0</x:v>
      </x:c>
    </x:row>
    <x:row r="9062" ht="34" customHeight="1">
      <x:c r="A9062" s="4" t="str">
        <x:v>RS-04481-I1</x:v>
      </x:c>
      <x:c r="B9062" s="4" t="str">
        <x:v>RS-04481</x:v>
      </x:c>
      <x:c r="C9062" s="9" t="n">
        <x:v>1</x:v>
      </x:c>
      <x:c r="D9062" s="8" t="n">
        <x:v>45536</x:v>
      </x:c>
      <x:c r="E9062" s="9" t="n">
        <x:v>2750000</x:v>
      </x:c>
      <x:c r="F9062" s="9" t="n">
        <x:v>2750000</x:v>
      </x:c>
    </x:row>
    <x:row r="9063" ht="34" customHeight="1">
      <x:c r="A9063" s="4" t="str">
        <x:v>RS-04481-I2</x:v>
      </x:c>
      <x:c r="B9063" s="4" t="str">
        <x:v>RS-04481</x:v>
      </x:c>
      <x:c r="C9063" s="9" t="n">
        <x:v>2</x:v>
      </x:c>
      <x:c r="D9063" s="8" t="n">
        <x:v>45566</x:v>
      </x:c>
      <x:c r="E9063" s="9" t="n">
        <x:v>2750000</x:v>
      </x:c>
      <x:c r="F9063" s="9" t="n">
        <x:v>0</x:v>
      </x:c>
    </x:row>
    <x:row r="9064" ht="34" customHeight="1">
      <x:c r="A9064" s="4" t="str">
        <x:v>RS-04481-I3</x:v>
      </x:c>
      <x:c r="B9064" s="4" t="str">
        <x:v>RS-04481</x:v>
      </x:c>
      <x:c r="C9064" s="9" t="n">
        <x:v>3</x:v>
      </x:c>
      <x:c r="D9064" s="8" t="n">
        <x:v>45596</x:v>
      </x:c>
      <x:c r="E9064" s="9" t="n">
        <x:v>2750000</x:v>
      </x:c>
      <x:c r="F9064" s="9" t="n">
        <x:v>0</x:v>
      </x:c>
    </x:row>
    <x:row r="9065" ht="34" customHeight="1">
      <x:c r="A9065" s="4" t="str">
        <x:v>RS-04481-I4</x:v>
      </x:c>
      <x:c r="B9065" s="4" t="str">
        <x:v>RS-04481</x:v>
      </x:c>
      <x:c r="C9065" s="9" t="n">
        <x:v>4</x:v>
      </x:c>
      <x:c r="D9065" s="8" t="n">
        <x:v>45626</x:v>
      </x:c>
      <x:c r="E9065" s="9" t="n">
        <x:v>2750000</x:v>
      </x:c>
      <x:c r="F9065" s="9" t="n">
        <x:v>0</x:v>
      </x:c>
    </x:row>
    <x:row r="9066" ht="34" customHeight="1">
      <x:c r="A9066" s="4" t="str">
        <x:v>RS-04482-I1</x:v>
      </x:c>
      <x:c r="B9066" s="4" t="str">
        <x:v>RS-04482</x:v>
      </x:c>
      <x:c r="C9066" s="9" t="n">
        <x:v>1</x:v>
      </x:c>
      <x:c r="D9066" s="8" t="n">
        <x:v>45537</x:v>
      </x:c>
      <x:c r="E9066" s="9" t="n">
        <x:v>5687500</x:v>
      </x:c>
      <x:c r="F9066" s="9" t="n">
        <x:v>5687500</x:v>
      </x:c>
    </x:row>
    <x:row r="9067" ht="34" customHeight="1">
      <x:c r="A9067" s="4" t="str">
        <x:v>RS-04482-I2</x:v>
      </x:c>
      <x:c r="B9067" s="4" t="str">
        <x:v>RS-04482</x:v>
      </x:c>
      <x:c r="C9067" s="9" t="n">
        <x:v>2</x:v>
      </x:c>
      <x:c r="D9067" s="8" t="n">
        <x:v>45567</x:v>
      </x:c>
      <x:c r="E9067" s="9" t="n">
        <x:v>5687500</x:v>
      </x:c>
      <x:c r="F9067" s="9" t="n">
        <x:v>0</x:v>
      </x:c>
    </x:row>
    <x:row r="9068" ht="34" customHeight="1">
      <x:c r="A9068" s="4" t="str">
        <x:v>RS-04482-I3</x:v>
      </x:c>
      <x:c r="B9068" s="4" t="str">
        <x:v>RS-04482</x:v>
      </x:c>
      <x:c r="C9068" s="9" t="n">
        <x:v>3</x:v>
      </x:c>
      <x:c r="D9068" s="8" t="n">
        <x:v>45597</x:v>
      </x:c>
      <x:c r="E9068" s="9" t="n">
        <x:v>5687500</x:v>
      </x:c>
      <x:c r="F9068" s="9" t="n">
        <x:v>0</x:v>
      </x:c>
    </x:row>
    <x:row r="9069" ht="34" customHeight="1">
      <x:c r="A9069" s="4" t="str">
        <x:v>RS-04482-I4</x:v>
      </x:c>
      <x:c r="B9069" s="4" t="str">
        <x:v>RS-04482</x:v>
      </x:c>
      <x:c r="C9069" s="9" t="n">
        <x:v>4</x:v>
      </x:c>
      <x:c r="D9069" s="8" t="n">
        <x:v>45627</x:v>
      </x:c>
      <x:c r="E9069" s="9" t="n">
        <x:v>5687500</x:v>
      </x:c>
      <x:c r="F9069" s="9" t="n">
        <x:v>0</x:v>
      </x:c>
    </x:row>
    <x:row r="9070" ht="34" customHeight="1">
      <x:c r="A9070" s="4" t="str">
        <x:v>RS-04484-I1</x:v>
      </x:c>
      <x:c r="B9070" s="4" t="str">
        <x:v>RS-04484</x:v>
      </x:c>
      <x:c r="C9070" s="9" t="n">
        <x:v>1</x:v>
      </x:c>
      <x:c r="D9070" s="8" t="n">
        <x:v>45539</x:v>
      </x:c>
      <x:c r="E9070" s="9" t="n">
        <x:v>2024750</x:v>
      </x:c>
      <x:c r="F9070" s="9" t="n">
        <x:v>2024750</x:v>
      </x:c>
    </x:row>
    <x:row r="9071" ht="34" customHeight="1">
      <x:c r="A9071" s="4" t="str">
        <x:v>RS-04484-I2</x:v>
      </x:c>
      <x:c r="B9071" s="4" t="str">
        <x:v>RS-04484</x:v>
      </x:c>
      <x:c r="C9071" s="9" t="n">
        <x:v>2</x:v>
      </x:c>
      <x:c r="D9071" s="8" t="n">
        <x:v>45569</x:v>
      </x:c>
      <x:c r="E9071" s="9" t="n">
        <x:v>2024750</x:v>
      </x:c>
      <x:c r="F9071" s="9" t="n">
        <x:v>0</x:v>
      </x:c>
    </x:row>
    <x:row r="9072" ht="34" customHeight="1">
      <x:c r="A9072" s="4" t="str">
        <x:v>RS-04484-I3</x:v>
      </x:c>
      <x:c r="B9072" s="4" t="str">
        <x:v>RS-04484</x:v>
      </x:c>
      <x:c r="C9072" s="9" t="n">
        <x:v>3</x:v>
      </x:c>
      <x:c r="D9072" s="8" t="n">
        <x:v>45599</x:v>
      </x:c>
      <x:c r="E9072" s="9" t="n">
        <x:v>2024750</x:v>
      </x:c>
      <x:c r="F9072" s="9" t="n">
        <x:v>0</x:v>
      </x:c>
    </x:row>
    <x:row r="9073" ht="34" customHeight="1">
      <x:c r="A9073" s="4" t="str">
        <x:v>RS-04484-I4</x:v>
      </x:c>
      <x:c r="B9073" s="4" t="str">
        <x:v>RS-04484</x:v>
      </x:c>
      <x:c r="C9073" s="9" t="n">
        <x:v>4</x:v>
      </x:c>
      <x:c r="D9073" s="8" t="n">
        <x:v>45629</x:v>
      </x:c>
      <x:c r="E9073" s="9" t="n">
        <x:v>2024750</x:v>
      </x:c>
      <x:c r="F9073" s="9" t="n">
        <x:v>0</x:v>
      </x:c>
    </x:row>
    <x:row r="9074" ht="34" customHeight="1">
      <x:c r="A9074" s="4" t="str">
        <x:v>RS-04488-I1</x:v>
      </x:c>
      <x:c r="B9074" s="4" t="str">
        <x:v>RS-04488</x:v>
      </x:c>
      <x:c r="C9074" s="9" t="n">
        <x:v>1</x:v>
      </x:c>
      <x:c r="D9074" s="8" t="n">
        <x:v>45543</x:v>
      </x:c>
      <x:c r="E9074" s="9" t="n">
        <x:v>1527500</x:v>
      </x:c>
      <x:c r="F9074" s="9" t="n">
        <x:v>1527500</x:v>
      </x:c>
    </x:row>
    <x:row r="9075" ht="34" customHeight="1">
      <x:c r="A9075" s="4" t="str">
        <x:v>RS-04488-I2</x:v>
      </x:c>
      <x:c r="B9075" s="4" t="str">
        <x:v>RS-04488</x:v>
      </x:c>
      <x:c r="C9075" s="9" t="n">
        <x:v>2</x:v>
      </x:c>
      <x:c r="D9075" s="8" t="n">
        <x:v>45573</x:v>
      </x:c>
      <x:c r="E9075" s="9" t="n">
        <x:v>1527500</x:v>
      </x:c>
      <x:c r="F9075" s="9" t="n">
        <x:v>0</x:v>
      </x:c>
    </x:row>
    <x:row r="9076" ht="34" customHeight="1">
      <x:c r="A9076" s="4" t="str">
        <x:v>RS-04488-I3</x:v>
      </x:c>
      <x:c r="B9076" s="4" t="str">
        <x:v>RS-04488</x:v>
      </x:c>
      <x:c r="C9076" s="9" t="n">
        <x:v>3</x:v>
      </x:c>
      <x:c r="D9076" s="8" t="n">
        <x:v>45603</x:v>
      </x:c>
      <x:c r="E9076" s="9" t="n">
        <x:v>1527500</x:v>
      </x:c>
      <x:c r="F9076" s="9" t="n">
        <x:v>0</x:v>
      </x:c>
    </x:row>
    <x:row r="9077" ht="34" customHeight="1">
      <x:c r="A9077" s="4" t="str">
        <x:v>RS-04488-I4</x:v>
      </x:c>
      <x:c r="B9077" s="4" t="str">
        <x:v>RS-04488</x:v>
      </x:c>
      <x:c r="C9077" s="9" t="n">
        <x:v>4</x:v>
      </x:c>
      <x:c r="D9077" s="8" t="n">
        <x:v>45633</x:v>
      </x:c>
      <x:c r="E9077" s="9" t="n">
        <x:v>1527500</x:v>
      </x:c>
      <x:c r="F9077" s="9" t="n">
        <x:v>0</x:v>
      </x:c>
    </x:row>
    <x:row r="9078" ht="34" customHeight="1">
      <x:c r="A9078" s="4" t="str">
        <x:v>RS-04489-I1</x:v>
      </x:c>
      <x:c r="B9078" s="4" t="str">
        <x:v>RS-04489</x:v>
      </x:c>
      <x:c r="C9078" s="9" t="n">
        <x:v>1</x:v>
      </x:c>
      <x:c r="D9078" s="8" t="n">
        <x:v>45544</x:v>
      </x:c>
      <x:c r="E9078" s="9" t="n">
        <x:v>1503500</x:v>
      </x:c>
      <x:c r="F9078" s="9" t="n">
        <x:v>1503500</x:v>
      </x:c>
    </x:row>
    <x:row r="9079" ht="34" customHeight="1">
      <x:c r="A9079" s="4" t="str">
        <x:v>RS-04489-I2</x:v>
      </x:c>
      <x:c r="B9079" s="4" t="str">
        <x:v>RS-04489</x:v>
      </x:c>
      <x:c r="C9079" s="9" t="n">
        <x:v>2</x:v>
      </x:c>
      <x:c r="D9079" s="8" t="n">
        <x:v>45574</x:v>
      </x:c>
      <x:c r="E9079" s="9" t="n">
        <x:v>1503500</x:v>
      </x:c>
      <x:c r="F9079" s="9" t="n">
        <x:v>1503500</x:v>
      </x:c>
    </x:row>
    <x:row r="9080" ht="34" customHeight="1">
      <x:c r="A9080" s="4" t="str">
        <x:v>RS-04489-I3</x:v>
      </x:c>
      <x:c r="B9080" s="4" t="str">
        <x:v>RS-04489</x:v>
      </x:c>
      <x:c r="C9080" s="9" t="n">
        <x:v>3</x:v>
      </x:c>
      <x:c r="D9080" s="8" t="n">
        <x:v>45604</x:v>
      </x:c>
      <x:c r="E9080" s="9" t="n">
        <x:v>1503500</x:v>
      </x:c>
      <x:c r="F9080" s="9" t="n">
        <x:v>1503500</x:v>
      </x:c>
    </x:row>
    <x:row r="9081" ht="34" customHeight="1">
      <x:c r="A9081" s="4" t="str">
        <x:v>RS-04489-I4</x:v>
      </x:c>
      <x:c r="B9081" s="4" t="str">
        <x:v>RS-04489</x:v>
      </x:c>
      <x:c r="C9081" s="9" t="n">
        <x:v>4</x:v>
      </x:c>
      <x:c r="D9081" s="8" t="n">
        <x:v>45634</x:v>
      </x:c>
      <x:c r="E9081" s="9" t="n">
        <x:v>1503500</x:v>
      </x:c>
      <x:c r="F9081" s="9" t="n">
        <x:v>1503500</x:v>
      </x:c>
    </x:row>
    <x:row r="9082" ht="34" customHeight="1">
      <x:c r="A9082" s="4" t="str">
        <x:v>RS-04493-I1</x:v>
      </x:c>
      <x:c r="B9082" s="4" t="str">
        <x:v>RS-04493</x:v>
      </x:c>
      <x:c r="C9082" s="9" t="n">
        <x:v>1</x:v>
      </x:c>
      <x:c r="D9082" s="8" t="n">
        <x:v>45548</x:v>
      </x:c>
      <x:c r="E9082" s="9" t="n">
        <x:v>3548500</x:v>
      </x:c>
      <x:c r="F9082" s="9" t="n">
        <x:v>3548500</x:v>
      </x:c>
    </x:row>
    <x:row r="9083" ht="34" customHeight="1">
      <x:c r="A9083" s="4" t="str">
        <x:v>RS-04493-I2</x:v>
      </x:c>
      <x:c r="B9083" s="4" t="str">
        <x:v>RS-04493</x:v>
      </x:c>
      <x:c r="C9083" s="9" t="n">
        <x:v>2</x:v>
      </x:c>
      <x:c r="D9083" s="8" t="n">
        <x:v>45578</x:v>
      </x:c>
      <x:c r="E9083" s="9" t="n">
        <x:v>3548500</x:v>
      </x:c>
      <x:c r="F9083" s="9" t="n">
        <x:v>3548500</x:v>
      </x:c>
    </x:row>
    <x:row r="9084" ht="34" customHeight="1">
      <x:c r="A9084" s="4" t="str">
        <x:v>RS-04493-I3</x:v>
      </x:c>
      <x:c r="B9084" s="4" t="str">
        <x:v>RS-04493</x:v>
      </x:c>
      <x:c r="C9084" s="9" t="n">
        <x:v>3</x:v>
      </x:c>
      <x:c r="D9084" s="8" t="n">
        <x:v>45608</x:v>
      </x:c>
      <x:c r="E9084" s="9" t="n">
        <x:v>3548500</x:v>
      </x:c>
      <x:c r="F9084" s="9" t="n">
        <x:v>3548500</x:v>
      </x:c>
    </x:row>
    <x:row r="9085" ht="34" customHeight="1">
      <x:c r="A9085" s="4" t="str">
        <x:v>RS-04493-I4</x:v>
      </x:c>
      <x:c r="B9085" s="4" t="str">
        <x:v>RS-04493</x:v>
      </x:c>
      <x:c r="C9085" s="9" t="n">
        <x:v>4</x:v>
      </x:c>
      <x:c r="D9085" s="8" t="n">
        <x:v>45638</x:v>
      </x:c>
      <x:c r="E9085" s="9" t="n">
        <x:v>3548500</x:v>
      </x:c>
      <x:c r="F9085" s="9" t="n">
        <x:v>3548500</x:v>
      </x:c>
    </x:row>
    <x:row r="9086" ht="34" customHeight="1">
      <x:c r="A9086" s="4" t="str">
        <x:v>RS-04496-I1</x:v>
      </x:c>
      <x:c r="B9086" s="4" t="str">
        <x:v>RS-04496</x:v>
      </x:c>
      <x:c r="C9086" s="9" t="n">
        <x:v>1</x:v>
      </x:c>
      <x:c r="D9086" s="8" t="n">
        <x:v>45551</x:v>
      </x:c>
      <x:c r="E9086" s="9" t="n">
        <x:v>2646000</x:v>
      </x:c>
      <x:c r="F9086" s="9" t="n">
        <x:v>2646000</x:v>
      </x:c>
    </x:row>
    <x:row r="9087" ht="34" customHeight="1">
      <x:c r="A9087" s="4" t="str">
        <x:v>RS-04496-I2</x:v>
      </x:c>
      <x:c r="B9087" s="4" t="str">
        <x:v>RS-04496</x:v>
      </x:c>
      <x:c r="C9087" s="9" t="n">
        <x:v>2</x:v>
      </x:c>
      <x:c r="D9087" s="8" t="n">
        <x:v>45581</x:v>
      </x:c>
      <x:c r="E9087" s="9" t="n">
        <x:v>2646000</x:v>
      </x:c>
      <x:c r="F9087" s="9" t="n">
        <x:v>2646000</x:v>
      </x:c>
    </x:row>
    <x:row r="9088" ht="34" customHeight="1">
      <x:c r="A9088" s="4" t="str">
        <x:v>RS-04496-I3</x:v>
      </x:c>
      <x:c r="B9088" s="4" t="str">
        <x:v>RS-04496</x:v>
      </x:c>
      <x:c r="C9088" s="9" t="n">
        <x:v>3</x:v>
      </x:c>
      <x:c r="D9088" s="8" t="n">
        <x:v>45611</x:v>
      </x:c>
      <x:c r="E9088" s="9" t="n">
        <x:v>2646000</x:v>
      </x:c>
      <x:c r="F9088" s="9" t="n">
        <x:v>2646000</x:v>
      </x:c>
    </x:row>
    <x:row r="9089" ht="34" customHeight="1">
      <x:c r="A9089" s="4" t="str">
        <x:v>RS-04496-I4</x:v>
      </x:c>
      <x:c r="B9089" s="4" t="str">
        <x:v>RS-04496</x:v>
      </x:c>
      <x:c r="C9089" s="9" t="n">
        <x:v>4</x:v>
      </x:c>
      <x:c r="D9089" s="8" t="n">
        <x:v>45641</x:v>
      </x:c>
      <x:c r="E9089" s="9" t="n">
        <x:v>2646000</x:v>
      </x:c>
      <x:c r="F9089" s="9" t="n">
        <x:v>2646000</x:v>
      </x:c>
    </x:row>
    <x:row r="9090" ht="34" customHeight="1">
      <x:c r="A9090" s="4" t="str">
        <x:v>RS-04497-I1</x:v>
      </x:c>
      <x:c r="B9090" s="4" t="str">
        <x:v>RS-04497</x:v>
      </x:c>
      <x:c r="C9090" s="9" t="n">
        <x:v>1</x:v>
      </x:c>
      <x:c r="D9090" s="8" t="n">
        <x:v>45552</x:v>
      </x:c>
      <x:c r="E9090" s="9" t="n">
        <x:v>3346500</x:v>
      </x:c>
      <x:c r="F9090" s="9" t="n">
        <x:v>1338600</x:v>
      </x:c>
    </x:row>
    <x:row r="9091" ht="34" customHeight="1">
      <x:c r="A9091" s="4" t="str">
        <x:v>RS-04497-I2</x:v>
      </x:c>
      <x:c r="B9091" s="4" t="str">
        <x:v>RS-04497</x:v>
      </x:c>
      <x:c r="C9091" s="9" t="n">
        <x:v>2</x:v>
      </x:c>
      <x:c r="D9091" s="8" t="n">
        <x:v>45582</x:v>
      </x:c>
      <x:c r="E9091" s="9" t="n">
        <x:v>3346500</x:v>
      </x:c>
      <x:c r="F9091" s="9" t="n">
        <x:v>0</x:v>
      </x:c>
    </x:row>
    <x:row r="9092" ht="34" customHeight="1">
      <x:c r="A9092" s="4" t="str">
        <x:v>RS-04497-I3</x:v>
      </x:c>
      <x:c r="B9092" s="4" t="str">
        <x:v>RS-04497</x:v>
      </x:c>
      <x:c r="C9092" s="9" t="n">
        <x:v>3</x:v>
      </x:c>
      <x:c r="D9092" s="8" t="n">
        <x:v>45612</x:v>
      </x:c>
      <x:c r="E9092" s="9" t="n">
        <x:v>3346500</x:v>
      </x:c>
      <x:c r="F9092" s="9" t="n">
        <x:v>0</x:v>
      </x:c>
    </x:row>
    <x:row r="9093" ht="34" customHeight="1">
      <x:c r="A9093" s="4" t="str">
        <x:v>RS-04497-I4</x:v>
      </x:c>
      <x:c r="B9093" s="4" t="str">
        <x:v>RS-04497</x:v>
      </x:c>
      <x:c r="C9093" s="9" t="n">
        <x:v>4</x:v>
      </x:c>
      <x:c r="D9093" s="8" t="n">
        <x:v>45642</x:v>
      </x:c>
      <x:c r="E9093" s="9" t="n">
        <x:v>3346500</x:v>
      </x:c>
      <x:c r="F9093" s="9" t="n">
        <x:v>0</x:v>
      </x:c>
    </x:row>
    <x:row r="9094" ht="34" customHeight="1">
      <x:c r="A9094" s="4" t="str">
        <x:v>RS-04498-I1</x:v>
      </x:c>
      <x:c r="B9094" s="4" t="str">
        <x:v>RS-04498</x:v>
      </x:c>
      <x:c r="C9094" s="9" t="n">
        <x:v>1</x:v>
      </x:c>
      <x:c r="D9094" s="8" t="n">
        <x:v>45553</x:v>
      </x:c>
      <x:c r="E9094" s="9" t="n">
        <x:v>1944000</x:v>
      </x:c>
      <x:c r="F9094" s="9" t="n">
        <x:v>1944000</x:v>
      </x:c>
    </x:row>
    <x:row r="9095" ht="34" customHeight="1">
      <x:c r="A9095" s="4" t="str">
        <x:v>RS-04498-I2</x:v>
      </x:c>
      <x:c r="B9095" s="4" t="str">
        <x:v>RS-04498</x:v>
      </x:c>
      <x:c r="C9095" s="9" t="n">
        <x:v>2</x:v>
      </x:c>
      <x:c r="D9095" s="8" t="n">
        <x:v>45583</x:v>
      </x:c>
      <x:c r="E9095" s="9" t="n">
        <x:v>1944000</x:v>
      </x:c>
      <x:c r="F9095" s="9" t="n">
        <x:v>1944000</x:v>
      </x:c>
    </x:row>
    <x:row r="9096" ht="34" customHeight="1">
      <x:c r="A9096" s="4" t="str">
        <x:v>RS-04498-I3</x:v>
      </x:c>
      <x:c r="B9096" s="4" t="str">
        <x:v>RS-04498</x:v>
      </x:c>
      <x:c r="C9096" s="9" t="n">
        <x:v>3</x:v>
      </x:c>
      <x:c r="D9096" s="8" t="n">
        <x:v>45613</x:v>
      </x:c>
      <x:c r="E9096" s="9" t="n">
        <x:v>1944000</x:v>
      </x:c>
      <x:c r="F9096" s="9" t="n">
        <x:v>0</x:v>
      </x:c>
    </x:row>
    <x:row r="9097" ht="34" customHeight="1">
      <x:c r="A9097" s="4" t="str">
        <x:v>RS-04498-I4</x:v>
      </x:c>
      <x:c r="B9097" s="4" t="str">
        <x:v>RS-04498</x:v>
      </x:c>
      <x:c r="C9097" s="9" t="n">
        <x:v>4</x:v>
      </x:c>
      <x:c r="D9097" s="8" t="n">
        <x:v>45643</x:v>
      </x:c>
      <x:c r="E9097" s="9" t="n">
        <x:v>1944000</x:v>
      </x:c>
      <x:c r="F9097" s="9" t="n">
        <x:v>0</x:v>
      </x:c>
    </x:row>
    <x:row r="9098" ht="34" customHeight="1">
      <x:c r="A9098" s="4" t="str">
        <x:v>RS-04500-I1</x:v>
      </x:c>
      <x:c r="B9098" s="4" t="str">
        <x:v>RS-04500</x:v>
      </x:c>
      <x:c r="C9098" s="9" t="n">
        <x:v>1</x:v>
      </x:c>
      <x:c r="D9098" s="8" t="n">
        <x:v>45555</x:v>
      </x:c>
      <x:c r="E9098" s="9" t="n">
        <x:v>3542000</x:v>
      </x:c>
      <x:c r="F9098" s="9" t="n">
        <x:v>1416800</x:v>
      </x:c>
    </x:row>
    <x:row r="9099" ht="34" customHeight="1">
      <x:c r="A9099" s="4" t="str">
        <x:v>RS-04500-I2</x:v>
      </x:c>
      <x:c r="B9099" s="4" t="str">
        <x:v>RS-04500</x:v>
      </x:c>
      <x:c r="C9099" s="9" t="n">
        <x:v>2</x:v>
      </x:c>
      <x:c r="D9099" s="8" t="n">
        <x:v>45585</x:v>
      </x:c>
      <x:c r="E9099" s="9" t="n">
        <x:v>3542000</x:v>
      </x:c>
      <x:c r="F9099" s="9" t="n">
        <x:v>0</x:v>
      </x:c>
    </x:row>
    <x:row r="9100" ht="34" customHeight="1">
      <x:c r="A9100" s="4" t="str">
        <x:v>RS-04500-I3</x:v>
      </x:c>
      <x:c r="B9100" s="4" t="str">
        <x:v>RS-04500</x:v>
      </x:c>
      <x:c r="C9100" s="9" t="n">
        <x:v>3</x:v>
      </x:c>
      <x:c r="D9100" s="8" t="n">
        <x:v>45615</x:v>
      </x:c>
      <x:c r="E9100" s="9" t="n">
        <x:v>3542000</x:v>
      </x:c>
      <x:c r="F9100" s="9" t="n">
        <x:v>0</x:v>
      </x:c>
    </x:row>
    <x:row r="9101" ht="34" customHeight="1">
      <x:c r="A9101" s="4" t="str">
        <x:v>RS-04500-I4</x:v>
      </x:c>
      <x:c r="B9101" s="4" t="str">
        <x:v>RS-04500</x:v>
      </x:c>
      <x:c r="C9101" s="9" t="n">
        <x:v>4</x:v>
      </x:c>
      <x:c r="D9101" s="8" t="n">
        <x:v>45645</x:v>
      </x:c>
      <x:c r="E9101" s="9" t="n">
        <x:v>3542000</x:v>
      </x:c>
      <x:c r="F9101" s="9" t="n">
        <x:v>0</x:v>
      </x:c>
    </x:row>
    <x:row r="9102" ht="34" customHeight="1">
      <x:c r="A9102" s="4" t="str">
        <x:v>RS-04506-I1</x:v>
      </x:c>
      <x:c r="B9102" s="4" t="str">
        <x:v>RS-04506</x:v>
      </x:c>
      <x:c r="C9102" s="9" t="n">
        <x:v>1</x:v>
      </x:c>
      <x:c r="D9102" s="8" t="n">
        <x:v>45591</x:v>
      </x:c>
      <x:c r="E9102" s="9" t="n">
        <x:v>5723750</x:v>
      </x:c>
      <x:c r="F9102" s="9" t="n">
        <x:v>5723750</x:v>
      </x:c>
    </x:row>
    <x:row r="9103" ht="34" customHeight="1">
      <x:c r="A9103" s="4" t="str">
        <x:v>RS-04506-I2</x:v>
      </x:c>
      <x:c r="B9103" s="4" t="str">
        <x:v>RS-04506</x:v>
      </x:c>
      <x:c r="C9103" s="9" t="n">
        <x:v>2</x:v>
      </x:c>
      <x:c r="D9103" s="8" t="n">
        <x:v>45621</x:v>
      </x:c>
      <x:c r="E9103" s="9" t="n">
        <x:v>5723750</x:v>
      </x:c>
      <x:c r="F9103" s="9" t="n">
        <x:v>5723750</x:v>
      </x:c>
    </x:row>
    <x:row r="9104" ht="34" customHeight="1">
      <x:c r="A9104" s="4" t="str">
        <x:v>RS-04506-I3</x:v>
      </x:c>
      <x:c r="B9104" s="4" t="str">
        <x:v>RS-04506</x:v>
      </x:c>
      <x:c r="C9104" s="9" t="n">
        <x:v>3</x:v>
      </x:c>
      <x:c r="D9104" s="8" t="n">
        <x:v>45651</x:v>
      </x:c>
      <x:c r="E9104" s="9" t="n">
        <x:v>5723750</x:v>
      </x:c>
      <x:c r="F9104" s="9" t="n">
        <x:v>5723750</x:v>
      </x:c>
    </x:row>
    <x:row r="9105" ht="34" customHeight="1">
      <x:c r="A9105" s="4" t="str">
        <x:v>RS-04506-I4</x:v>
      </x:c>
      <x:c r="B9105" s="4" t="str">
        <x:v>RS-04506</x:v>
      </x:c>
      <x:c r="C9105" s="9" t="n">
        <x:v>4</x:v>
      </x:c>
      <x:c r="D9105" s="8" t="n">
        <x:v>45681</x:v>
      </x:c>
      <x:c r="E9105" s="9" t="n">
        <x:v>5723750</x:v>
      </x:c>
      <x:c r="F9105" s="9" t="n">
        <x:v>5723750</x:v>
      </x:c>
    </x:row>
    <x:row r="9106" ht="34" customHeight="1">
      <x:c r="A9106" s="4" t="str">
        <x:v>RS-04507-I1</x:v>
      </x:c>
      <x:c r="B9106" s="4" t="str">
        <x:v>RS-04507</x:v>
      </x:c>
      <x:c r="C9106" s="9" t="n">
        <x:v>1</x:v>
      </x:c>
      <x:c r="D9106" s="8" t="n">
        <x:v>45592</x:v>
      </x:c>
      <x:c r="E9106" s="9" t="n">
        <x:v>3960000</x:v>
      </x:c>
      <x:c r="F9106" s="9" t="n">
        <x:v>3960000</x:v>
      </x:c>
    </x:row>
    <x:row r="9107" ht="34" customHeight="1">
      <x:c r="A9107" s="4" t="str">
        <x:v>RS-04507-I2</x:v>
      </x:c>
      <x:c r="B9107" s="4" t="str">
        <x:v>RS-04507</x:v>
      </x:c>
      <x:c r="C9107" s="9" t="n">
        <x:v>2</x:v>
      </x:c>
      <x:c r="D9107" s="8" t="n">
        <x:v>45622</x:v>
      </x:c>
      <x:c r="E9107" s="9" t="n">
        <x:v>3960000</x:v>
      </x:c>
      <x:c r="F9107" s="9" t="n">
        <x:v>0</x:v>
      </x:c>
    </x:row>
    <x:row r="9108" ht="34" customHeight="1">
      <x:c r="A9108" s="4" t="str">
        <x:v>RS-04507-I3</x:v>
      </x:c>
      <x:c r="B9108" s="4" t="str">
        <x:v>RS-04507</x:v>
      </x:c>
      <x:c r="C9108" s="9" t="n">
        <x:v>3</x:v>
      </x:c>
      <x:c r="D9108" s="8" t="n">
        <x:v>45652</x:v>
      </x:c>
      <x:c r="E9108" s="9" t="n">
        <x:v>3960000</x:v>
      </x:c>
      <x:c r="F9108" s="9" t="n">
        <x:v>0</x:v>
      </x:c>
    </x:row>
    <x:row r="9109" ht="34" customHeight="1">
      <x:c r="A9109" s="4" t="str">
        <x:v>RS-04507-I4</x:v>
      </x:c>
      <x:c r="B9109" s="4" t="str">
        <x:v>RS-04507</x:v>
      </x:c>
      <x:c r="C9109" s="9" t="n">
        <x:v>4</x:v>
      </x:c>
      <x:c r="D9109" s="8" t="n">
        <x:v>45682</x:v>
      </x:c>
      <x:c r="E9109" s="9" t="n">
        <x:v>3960000</x:v>
      </x:c>
      <x:c r="F9109" s="9" t="n">
        <x:v>0</x:v>
      </x:c>
    </x:row>
    <x:row r="9110" ht="34" customHeight="1">
      <x:c r="A9110" s="4" t="str">
        <x:v>RS-04508-I1</x:v>
      </x:c>
      <x:c r="B9110" s="4" t="str">
        <x:v>RS-04508</x:v>
      </x:c>
      <x:c r="C9110" s="9" t="n">
        <x:v>1</x:v>
      </x:c>
      <x:c r="D9110" s="8" t="n">
        <x:v>45593</x:v>
      </x:c>
      <x:c r="E9110" s="9" t="n">
        <x:v>906500</x:v>
      </x:c>
      <x:c r="F9110" s="9" t="n">
        <x:v>362600</x:v>
      </x:c>
    </x:row>
    <x:row r="9111" ht="34" customHeight="1">
      <x:c r="A9111" s="4" t="str">
        <x:v>RS-04508-I2</x:v>
      </x:c>
      <x:c r="B9111" s="4" t="str">
        <x:v>RS-04508</x:v>
      </x:c>
      <x:c r="C9111" s="9" t="n">
        <x:v>2</x:v>
      </x:c>
      <x:c r="D9111" s="8" t="n">
        <x:v>45623</x:v>
      </x:c>
      <x:c r="E9111" s="9" t="n">
        <x:v>906500</x:v>
      </x:c>
      <x:c r="F9111" s="9" t="n">
        <x:v>0</x:v>
      </x:c>
    </x:row>
    <x:row r="9112" ht="34" customHeight="1">
      <x:c r="A9112" s="4" t="str">
        <x:v>RS-04508-I3</x:v>
      </x:c>
      <x:c r="B9112" s="4" t="str">
        <x:v>RS-04508</x:v>
      </x:c>
      <x:c r="C9112" s="9" t="n">
        <x:v>3</x:v>
      </x:c>
      <x:c r="D9112" s="8" t="n">
        <x:v>45653</x:v>
      </x:c>
      <x:c r="E9112" s="9" t="n">
        <x:v>906500</x:v>
      </x:c>
      <x:c r="F9112" s="9" t="n">
        <x:v>0</x:v>
      </x:c>
    </x:row>
    <x:row r="9113" ht="34" customHeight="1">
      <x:c r="A9113" s="4" t="str">
        <x:v>RS-04508-I4</x:v>
      </x:c>
      <x:c r="B9113" s="4" t="str">
        <x:v>RS-04508</x:v>
      </x:c>
      <x:c r="C9113" s="9" t="n">
        <x:v>4</x:v>
      </x:c>
      <x:c r="D9113" s="8" t="n">
        <x:v>45683</x:v>
      </x:c>
      <x:c r="E9113" s="9" t="n">
        <x:v>906500</x:v>
      </x:c>
      <x:c r="F9113" s="9" t="n">
        <x:v>0</x:v>
      </x:c>
    </x:row>
    <x:row r="9114" ht="34" customHeight="1">
      <x:c r="A9114" s="4" t="str">
        <x:v>RS-04510-I1</x:v>
      </x:c>
      <x:c r="B9114" s="4" t="str">
        <x:v>RS-04510</x:v>
      </x:c>
      <x:c r="C9114" s="9" t="n">
        <x:v>1</x:v>
      </x:c>
      <x:c r="D9114" s="8" t="n">
        <x:v>45567</x:v>
      </x:c>
      <x:c r="E9114" s="9" t="n">
        <x:v>3773000</x:v>
      </x:c>
      <x:c r="F9114" s="9" t="n">
        <x:v>3773000</x:v>
      </x:c>
    </x:row>
    <x:row r="9115" ht="34" customHeight="1">
      <x:c r="A9115" s="4" t="str">
        <x:v>RS-04510-I2</x:v>
      </x:c>
      <x:c r="B9115" s="4" t="str">
        <x:v>RS-04510</x:v>
      </x:c>
      <x:c r="C9115" s="9" t="n">
        <x:v>2</x:v>
      </x:c>
      <x:c r="D9115" s="8" t="n">
        <x:v>45597</x:v>
      </x:c>
      <x:c r="E9115" s="9" t="n">
        <x:v>3773000</x:v>
      </x:c>
      <x:c r="F9115" s="9" t="n">
        <x:v>3773000</x:v>
      </x:c>
    </x:row>
    <x:row r="9116" ht="34" customHeight="1">
      <x:c r="A9116" s="4" t="str">
        <x:v>RS-04510-I3</x:v>
      </x:c>
      <x:c r="B9116" s="4" t="str">
        <x:v>RS-04510</x:v>
      </x:c>
      <x:c r="C9116" s="9" t="n">
        <x:v>3</x:v>
      </x:c>
      <x:c r="D9116" s="8" t="n">
        <x:v>45627</x:v>
      </x:c>
      <x:c r="E9116" s="9" t="n">
        <x:v>3773000</x:v>
      </x:c>
      <x:c r="F9116" s="9" t="n">
        <x:v>0</x:v>
      </x:c>
    </x:row>
    <x:row r="9117" ht="34" customHeight="1">
      <x:c r="A9117" s="4" t="str">
        <x:v>RS-04510-I4</x:v>
      </x:c>
      <x:c r="B9117" s="4" t="str">
        <x:v>RS-04510</x:v>
      </x:c>
      <x:c r="C9117" s="9" t="n">
        <x:v>4</x:v>
      </x:c>
      <x:c r="D9117" s="8" t="n">
        <x:v>45657</x:v>
      </x:c>
      <x:c r="E9117" s="9" t="n">
        <x:v>3773000</x:v>
      </x:c>
      <x:c r="F9117" s="9" t="n">
        <x:v>0</x:v>
      </x:c>
    </x:row>
    <x:row r="9118" ht="34" customHeight="1">
      <x:c r="A9118" s="4" t="str">
        <x:v>RS-04511-I1</x:v>
      </x:c>
      <x:c r="B9118" s="4" t="str">
        <x:v>RS-04511</x:v>
      </x:c>
      <x:c r="C9118" s="9" t="n">
        <x:v>1</x:v>
      </x:c>
      <x:c r="D9118" s="8" t="n">
        <x:v>45568</x:v>
      </x:c>
      <x:c r="E9118" s="9" t="n">
        <x:v>4696500</x:v>
      </x:c>
      <x:c r="F9118" s="9" t="n">
        <x:v>4696500</x:v>
      </x:c>
    </x:row>
    <x:row r="9119" ht="34" customHeight="1">
      <x:c r="A9119" s="4" t="str">
        <x:v>RS-04511-I2</x:v>
      </x:c>
      <x:c r="B9119" s="4" t="str">
        <x:v>RS-04511</x:v>
      </x:c>
      <x:c r="C9119" s="9" t="n">
        <x:v>2</x:v>
      </x:c>
      <x:c r="D9119" s="8" t="n">
        <x:v>45598</x:v>
      </x:c>
      <x:c r="E9119" s="9" t="n">
        <x:v>4696500</x:v>
      </x:c>
      <x:c r="F9119" s="9" t="n">
        <x:v>0</x:v>
      </x:c>
    </x:row>
    <x:row r="9120" ht="34" customHeight="1">
      <x:c r="A9120" s="4" t="str">
        <x:v>RS-04511-I3</x:v>
      </x:c>
      <x:c r="B9120" s="4" t="str">
        <x:v>RS-04511</x:v>
      </x:c>
      <x:c r="C9120" s="9" t="n">
        <x:v>3</x:v>
      </x:c>
      <x:c r="D9120" s="8" t="n">
        <x:v>45628</x:v>
      </x:c>
      <x:c r="E9120" s="9" t="n">
        <x:v>4696500</x:v>
      </x:c>
      <x:c r="F9120" s="9" t="n">
        <x:v>0</x:v>
      </x:c>
    </x:row>
    <x:row r="9121" ht="34" customHeight="1">
      <x:c r="A9121" s="4" t="str">
        <x:v>RS-04511-I4</x:v>
      </x:c>
      <x:c r="B9121" s="4" t="str">
        <x:v>RS-04511</x:v>
      </x:c>
      <x:c r="C9121" s="9" t="n">
        <x:v>4</x:v>
      </x:c>
      <x:c r="D9121" s="8" t="n">
        <x:v>45658</x:v>
      </x:c>
      <x:c r="E9121" s="9" t="n">
        <x:v>4696500</x:v>
      </x:c>
      <x:c r="F9121" s="9" t="n">
        <x:v>0</x:v>
      </x:c>
    </x:row>
    <x:row r="9122" ht="34" customHeight="1">
      <x:c r="A9122" s="4" t="str">
        <x:v>RS-04512-I1</x:v>
      </x:c>
      <x:c r="B9122" s="4" t="str">
        <x:v>RS-04512</x:v>
      </x:c>
      <x:c r="C9122" s="9" t="n">
        <x:v>1</x:v>
      </x:c>
      <x:c r="D9122" s="8" t="n">
        <x:v>45569</x:v>
      </x:c>
      <x:c r="E9122" s="9" t="n">
        <x:v>5937500</x:v>
      </x:c>
      <x:c r="F9122" s="9" t="n">
        <x:v>5937500</x:v>
      </x:c>
    </x:row>
    <x:row r="9123" ht="34" customHeight="1">
      <x:c r="A9123" s="4" t="str">
        <x:v>RS-04512-I2</x:v>
      </x:c>
      <x:c r="B9123" s="4" t="str">
        <x:v>RS-04512</x:v>
      </x:c>
      <x:c r="C9123" s="9" t="n">
        <x:v>2</x:v>
      </x:c>
      <x:c r="D9123" s="8" t="n">
        <x:v>45599</x:v>
      </x:c>
      <x:c r="E9123" s="9" t="n">
        <x:v>5937500</x:v>
      </x:c>
      <x:c r="F9123" s="9" t="n">
        <x:v>0</x:v>
      </x:c>
    </x:row>
    <x:row r="9124" ht="34" customHeight="1">
      <x:c r="A9124" s="4" t="str">
        <x:v>RS-04512-I3</x:v>
      </x:c>
      <x:c r="B9124" s="4" t="str">
        <x:v>RS-04512</x:v>
      </x:c>
      <x:c r="C9124" s="9" t="n">
        <x:v>3</x:v>
      </x:c>
      <x:c r="D9124" s="8" t="n">
        <x:v>45629</x:v>
      </x:c>
      <x:c r="E9124" s="9" t="n">
        <x:v>5937500</x:v>
      </x:c>
      <x:c r="F9124" s="9" t="n">
        <x:v>0</x:v>
      </x:c>
    </x:row>
    <x:row r="9125" ht="34" customHeight="1">
      <x:c r="A9125" s="4" t="str">
        <x:v>RS-04512-I4</x:v>
      </x:c>
      <x:c r="B9125" s="4" t="str">
        <x:v>RS-04512</x:v>
      </x:c>
      <x:c r="C9125" s="9" t="n">
        <x:v>4</x:v>
      </x:c>
      <x:c r="D9125" s="8" t="n">
        <x:v>45659</x:v>
      </x:c>
      <x:c r="E9125" s="9" t="n">
        <x:v>5937500</x:v>
      </x:c>
      <x:c r="F9125" s="9" t="n">
        <x:v>0</x:v>
      </x:c>
    </x:row>
    <x:row r="9126" ht="34" customHeight="1">
      <x:c r="A9126" s="4" t="str">
        <x:v>RS-04514-I1</x:v>
      </x:c>
      <x:c r="B9126" s="4" t="str">
        <x:v>RS-04514</x:v>
      </x:c>
      <x:c r="C9126" s="9" t="n">
        <x:v>1</x:v>
      </x:c>
      <x:c r="D9126" s="8" t="n">
        <x:v>45571</x:v>
      </x:c>
      <x:c r="E9126" s="9" t="n">
        <x:v>3552500</x:v>
      </x:c>
      <x:c r="F9126" s="9" t="n">
        <x:v>3552500</x:v>
      </x:c>
    </x:row>
    <x:row r="9127" ht="34" customHeight="1">
      <x:c r="A9127" s="4" t="str">
        <x:v>RS-04514-I2</x:v>
      </x:c>
      <x:c r="B9127" s="4" t="str">
        <x:v>RS-04514</x:v>
      </x:c>
      <x:c r="C9127" s="9" t="n">
        <x:v>2</x:v>
      </x:c>
      <x:c r="D9127" s="8" t="n">
        <x:v>45601</x:v>
      </x:c>
      <x:c r="E9127" s="9" t="n">
        <x:v>3552500</x:v>
      </x:c>
      <x:c r="F9127" s="9" t="n">
        <x:v>0</x:v>
      </x:c>
    </x:row>
    <x:row r="9128" ht="34" customHeight="1">
      <x:c r="A9128" s="4" t="str">
        <x:v>RS-04514-I3</x:v>
      </x:c>
      <x:c r="B9128" s="4" t="str">
        <x:v>RS-04514</x:v>
      </x:c>
      <x:c r="C9128" s="9" t="n">
        <x:v>3</x:v>
      </x:c>
      <x:c r="D9128" s="8" t="n">
        <x:v>45631</x:v>
      </x:c>
      <x:c r="E9128" s="9" t="n">
        <x:v>3552500</x:v>
      </x:c>
      <x:c r="F9128" s="9" t="n">
        <x:v>0</x:v>
      </x:c>
    </x:row>
    <x:row r="9129" ht="34" customHeight="1">
      <x:c r="A9129" s="4" t="str">
        <x:v>RS-04514-I4</x:v>
      </x:c>
      <x:c r="B9129" s="4" t="str">
        <x:v>RS-04514</x:v>
      </x:c>
      <x:c r="C9129" s="9" t="n">
        <x:v>4</x:v>
      </x:c>
      <x:c r="D9129" s="8" t="n">
        <x:v>45661</x:v>
      </x:c>
      <x:c r="E9129" s="9" t="n">
        <x:v>3552500</x:v>
      </x:c>
      <x:c r="F9129" s="9" t="n">
        <x:v>0</x:v>
      </x:c>
    </x:row>
    <x:row r="9130" ht="34" customHeight="1">
      <x:c r="A9130" s="4" t="str">
        <x:v>RS-04515-I1</x:v>
      </x:c>
      <x:c r="B9130" s="4" t="str">
        <x:v>RS-04515</x:v>
      </x:c>
      <x:c r="C9130" s="9" t="n">
        <x:v>1</x:v>
      </x:c>
      <x:c r="D9130" s="8" t="n">
        <x:v>45572</x:v>
      </x:c>
      <x:c r="E9130" s="9" t="n">
        <x:v>4727250</x:v>
      </x:c>
      <x:c r="F9130" s="9" t="n">
        <x:v>4727250</x:v>
      </x:c>
    </x:row>
    <x:row r="9131" ht="34" customHeight="1">
      <x:c r="A9131" s="4" t="str">
        <x:v>RS-04515-I2</x:v>
      </x:c>
      <x:c r="B9131" s="4" t="str">
        <x:v>RS-04515</x:v>
      </x:c>
      <x:c r="C9131" s="9" t="n">
        <x:v>2</x:v>
      </x:c>
      <x:c r="D9131" s="8" t="n">
        <x:v>45602</x:v>
      </x:c>
      <x:c r="E9131" s="9" t="n">
        <x:v>4727250</x:v>
      </x:c>
      <x:c r="F9131" s="9" t="n">
        <x:v>4727250</x:v>
      </x:c>
    </x:row>
    <x:row r="9132" ht="34" customHeight="1">
      <x:c r="A9132" s="4" t="str">
        <x:v>RS-04515-I3</x:v>
      </x:c>
      <x:c r="B9132" s="4" t="str">
        <x:v>RS-04515</x:v>
      </x:c>
      <x:c r="C9132" s="9" t="n">
        <x:v>3</x:v>
      </x:c>
      <x:c r="D9132" s="8" t="n">
        <x:v>45632</x:v>
      </x:c>
      <x:c r="E9132" s="9" t="n">
        <x:v>4727250</x:v>
      </x:c>
      <x:c r="F9132" s="9" t="n">
        <x:v>4727250</x:v>
      </x:c>
    </x:row>
    <x:row r="9133" ht="34" customHeight="1">
      <x:c r="A9133" s="4" t="str">
        <x:v>RS-04515-I4</x:v>
      </x:c>
      <x:c r="B9133" s="4" t="str">
        <x:v>RS-04515</x:v>
      </x:c>
      <x:c r="C9133" s="9" t="n">
        <x:v>4</x:v>
      </x:c>
      <x:c r="D9133" s="8" t="n">
        <x:v>45662</x:v>
      </x:c>
      <x:c r="E9133" s="9" t="n">
        <x:v>4727250</x:v>
      </x:c>
      <x:c r="F9133" s="9" t="n">
        <x:v>4727250</x:v>
      </x:c>
    </x:row>
    <x:row r="9134" ht="34" customHeight="1">
      <x:c r="A9134" s="4" t="str">
        <x:v>RS-04516-I1</x:v>
      </x:c>
      <x:c r="B9134" s="4" t="str">
        <x:v>RS-04516</x:v>
      </x:c>
      <x:c r="C9134" s="9" t="n">
        <x:v>1</x:v>
      </x:c>
      <x:c r="D9134" s="8" t="n">
        <x:v>45573</x:v>
      </x:c>
      <x:c r="E9134" s="9" t="n">
        <x:v>5184000</x:v>
      </x:c>
      <x:c r="F9134" s="9" t="n">
        <x:v>5184000</x:v>
      </x:c>
    </x:row>
    <x:row r="9135" ht="34" customHeight="1">
      <x:c r="A9135" s="4" t="str">
        <x:v>RS-04516-I2</x:v>
      </x:c>
      <x:c r="B9135" s="4" t="str">
        <x:v>RS-04516</x:v>
      </x:c>
      <x:c r="C9135" s="9" t="n">
        <x:v>2</x:v>
      </x:c>
      <x:c r="D9135" s="8" t="n">
        <x:v>45603</x:v>
      </x:c>
      <x:c r="E9135" s="9" t="n">
        <x:v>5184000</x:v>
      </x:c>
      <x:c r="F9135" s="9" t="n">
        <x:v>5184000</x:v>
      </x:c>
    </x:row>
    <x:row r="9136" ht="34" customHeight="1">
      <x:c r="A9136" s="4" t="str">
        <x:v>RS-04516-I3</x:v>
      </x:c>
      <x:c r="B9136" s="4" t="str">
        <x:v>RS-04516</x:v>
      </x:c>
      <x:c r="C9136" s="9" t="n">
        <x:v>3</x:v>
      </x:c>
      <x:c r="D9136" s="8" t="n">
        <x:v>45633</x:v>
      </x:c>
      <x:c r="E9136" s="9" t="n">
        <x:v>5184000</x:v>
      </x:c>
      <x:c r="F9136" s="9" t="n">
        <x:v>0</x:v>
      </x:c>
    </x:row>
    <x:row r="9137" ht="34" customHeight="1">
      <x:c r="A9137" s="4" t="str">
        <x:v>RS-04516-I4</x:v>
      </x:c>
      <x:c r="B9137" s="4" t="str">
        <x:v>RS-04516</x:v>
      </x:c>
      <x:c r="C9137" s="9" t="n">
        <x:v>4</x:v>
      </x:c>
      <x:c r="D9137" s="8" t="n">
        <x:v>45663</x:v>
      </x:c>
      <x:c r="E9137" s="9" t="n">
        <x:v>5184000</x:v>
      </x:c>
      <x:c r="F9137" s="9" t="n">
        <x:v>0</x:v>
      </x:c>
    </x:row>
    <x:row r="9138" ht="34" customHeight="1">
      <x:c r="A9138" s="4" t="str">
        <x:v>RS-04517-I1</x:v>
      </x:c>
      <x:c r="B9138" s="4" t="str">
        <x:v>RS-04517</x:v>
      </x:c>
      <x:c r="C9138" s="9" t="n">
        <x:v>1</x:v>
      </x:c>
      <x:c r="D9138" s="8" t="n">
        <x:v>45574</x:v>
      </x:c>
      <x:c r="E9138" s="9" t="n">
        <x:v>867750</x:v>
      </x:c>
      <x:c r="F9138" s="9" t="n">
        <x:v>867750</x:v>
      </x:c>
    </x:row>
    <x:row r="9139" ht="34" customHeight="1">
      <x:c r="A9139" s="4" t="str">
        <x:v>RS-04517-I2</x:v>
      </x:c>
      <x:c r="B9139" s="4" t="str">
        <x:v>RS-04517</x:v>
      </x:c>
      <x:c r="C9139" s="9" t="n">
        <x:v>2</x:v>
      </x:c>
      <x:c r="D9139" s="8" t="n">
        <x:v>45604</x:v>
      </x:c>
      <x:c r="E9139" s="9" t="n">
        <x:v>867750</x:v>
      </x:c>
      <x:c r="F9139" s="9" t="n">
        <x:v>0</x:v>
      </x:c>
    </x:row>
    <x:row r="9140" ht="34" customHeight="1">
      <x:c r="A9140" s="4" t="str">
        <x:v>RS-04517-I3</x:v>
      </x:c>
      <x:c r="B9140" s="4" t="str">
        <x:v>RS-04517</x:v>
      </x:c>
      <x:c r="C9140" s="9" t="n">
        <x:v>3</x:v>
      </x:c>
      <x:c r="D9140" s="8" t="n">
        <x:v>45634</x:v>
      </x:c>
      <x:c r="E9140" s="9" t="n">
        <x:v>867750</x:v>
      </x:c>
      <x:c r="F9140" s="9" t="n">
        <x:v>0</x:v>
      </x:c>
    </x:row>
    <x:row r="9141" ht="34" customHeight="1">
      <x:c r="A9141" s="4" t="str">
        <x:v>RS-04517-I4</x:v>
      </x:c>
      <x:c r="B9141" s="4" t="str">
        <x:v>RS-04517</x:v>
      </x:c>
      <x:c r="C9141" s="9" t="n">
        <x:v>4</x:v>
      </x:c>
      <x:c r="D9141" s="8" t="n">
        <x:v>45664</x:v>
      </x:c>
      <x:c r="E9141" s="9" t="n">
        <x:v>867750</x:v>
      </x:c>
      <x:c r="F9141" s="9" t="n">
        <x:v>0</x:v>
      </x:c>
    </x:row>
    <x:row r="9142" ht="34" customHeight="1">
      <x:c r="A9142" s="4" t="str">
        <x:v>RS-04524-I1</x:v>
      </x:c>
      <x:c r="B9142" s="4" t="str">
        <x:v>RS-04524</x:v>
      </x:c>
      <x:c r="C9142" s="9" t="n">
        <x:v>1</x:v>
      </x:c>
      <x:c r="D9142" s="8" t="n">
        <x:v>45581</x:v>
      </x:c>
      <x:c r="E9142" s="9" t="n">
        <x:v>4578750</x:v>
      </x:c>
      <x:c r="F9142" s="9" t="n">
        <x:v>4578750</x:v>
      </x:c>
    </x:row>
    <x:row r="9143" ht="34" customHeight="1">
      <x:c r="A9143" s="4" t="str">
        <x:v>RS-04524-I2</x:v>
      </x:c>
      <x:c r="B9143" s="4" t="str">
        <x:v>RS-04524</x:v>
      </x:c>
      <x:c r="C9143" s="9" t="n">
        <x:v>2</x:v>
      </x:c>
      <x:c r="D9143" s="8" t="n">
        <x:v>45611</x:v>
      </x:c>
      <x:c r="E9143" s="9" t="n">
        <x:v>4578750</x:v>
      </x:c>
      <x:c r="F9143" s="9" t="n">
        <x:v>0</x:v>
      </x:c>
    </x:row>
    <x:row r="9144" ht="34" customHeight="1">
      <x:c r="A9144" s="4" t="str">
        <x:v>RS-04524-I3</x:v>
      </x:c>
      <x:c r="B9144" s="4" t="str">
        <x:v>RS-04524</x:v>
      </x:c>
      <x:c r="C9144" s="9" t="n">
        <x:v>3</x:v>
      </x:c>
      <x:c r="D9144" s="8" t="n">
        <x:v>45641</x:v>
      </x:c>
      <x:c r="E9144" s="9" t="n">
        <x:v>4578750</x:v>
      </x:c>
      <x:c r="F9144" s="9" t="n">
        <x:v>0</x:v>
      </x:c>
    </x:row>
    <x:row r="9145" ht="34" customHeight="1">
      <x:c r="A9145" s="4" t="str">
        <x:v>RS-04524-I4</x:v>
      </x:c>
      <x:c r="B9145" s="4" t="str">
        <x:v>RS-04524</x:v>
      </x:c>
      <x:c r="C9145" s="9" t="n">
        <x:v>4</x:v>
      </x:c>
      <x:c r="D9145" s="8" t="n">
        <x:v>45671</x:v>
      </x:c>
      <x:c r="E9145" s="9" t="n">
        <x:v>4578750</x:v>
      </x:c>
      <x:c r="F9145" s="9" t="n">
        <x:v>0</x:v>
      </x:c>
    </x:row>
    <x:row r="9146" ht="34" customHeight="1">
      <x:c r="A9146" s="4" t="str">
        <x:v>RS-04526-I1</x:v>
      </x:c>
      <x:c r="B9146" s="4" t="str">
        <x:v>RS-04526</x:v>
      </x:c>
      <x:c r="C9146" s="9" t="n">
        <x:v>1</x:v>
      </x:c>
      <x:c r="D9146" s="8" t="n">
        <x:v>45583</x:v>
      </x:c>
      <x:c r="E9146" s="9" t="n">
        <x:v>5060000</x:v>
      </x:c>
      <x:c r="F9146" s="9" t="n">
        <x:v>5060000</x:v>
      </x:c>
    </x:row>
    <x:row r="9147" ht="34" customHeight="1">
      <x:c r="A9147" s="4" t="str">
        <x:v>RS-04526-I2</x:v>
      </x:c>
      <x:c r="B9147" s="4" t="str">
        <x:v>RS-04526</x:v>
      </x:c>
      <x:c r="C9147" s="9" t="n">
        <x:v>2</x:v>
      </x:c>
      <x:c r="D9147" s="8" t="n">
        <x:v>45613</x:v>
      </x:c>
      <x:c r="E9147" s="9" t="n">
        <x:v>5060000</x:v>
      </x:c>
      <x:c r="F9147" s="9" t="n">
        <x:v>0</x:v>
      </x:c>
    </x:row>
    <x:row r="9148" ht="34" customHeight="1">
      <x:c r="A9148" s="4" t="str">
        <x:v>RS-04526-I3</x:v>
      </x:c>
      <x:c r="B9148" s="4" t="str">
        <x:v>RS-04526</x:v>
      </x:c>
      <x:c r="C9148" s="9" t="n">
        <x:v>3</x:v>
      </x:c>
      <x:c r="D9148" s="8" t="n">
        <x:v>45643</x:v>
      </x:c>
      <x:c r="E9148" s="9" t="n">
        <x:v>5060000</x:v>
      </x:c>
      <x:c r="F9148" s="9" t="n">
        <x:v>0</x:v>
      </x:c>
    </x:row>
    <x:row r="9149" ht="34" customHeight="1">
      <x:c r="A9149" s="4" t="str">
        <x:v>RS-04526-I4</x:v>
      </x:c>
      <x:c r="B9149" s="4" t="str">
        <x:v>RS-04526</x:v>
      </x:c>
      <x:c r="C9149" s="9" t="n">
        <x:v>4</x:v>
      </x:c>
      <x:c r="D9149" s="8" t="n">
        <x:v>45673</x:v>
      </x:c>
      <x:c r="E9149" s="9" t="n">
        <x:v>5060000</x:v>
      </x:c>
      <x:c r="F9149" s="9" t="n">
        <x:v>0</x:v>
      </x:c>
    </x:row>
    <x:row r="9150" ht="34" customHeight="1">
      <x:c r="A9150" s="4" t="str">
        <x:v>RS-04527-I1</x:v>
      </x:c>
      <x:c r="B9150" s="4" t="str">
        <x:v>RS-04527</x:v>
      </x:c>
      <x:c r="C9150" s="9" t="n">
        <x:v>1</x:v>
      </x:c>
      <x:c r="D9150" s="8" t="n">
        <x:v>45584</x:v>
      </x:c>
      <x:c r="E9150" s="9" t="n">
        <x:v>3929250</x:v>
      </x:c>
      <x:c r="F9150" s="9" t="n">
        <x:v>3929250</x:v>
      </x:c>
    </x:row>
    <x:row r="9151" ht="34" customHeight="1">
      <x:c r="A9151" s="4" t="str">
        <x:v>RS-04527-I2</x:v>
      </x:c>
      <x:c r="B9151" s="4" t="str">
        <x:v>RS-04527</x:v>
      </x:c>
      <x:c r="C9151" s="9" t="n">
        <x:v>2</x:v>
      </x:c>
      <x:c r="D9151" s="8" t="n">
        <x:v>45614</x:v>
      </x:c>
      <x:c r="E9151" s="9" t="n">
        <x:v>3929250</x:v>
      </x:c>
      <x:c r="F9151" s="9" t="n">
        <x:v>0</x:v>
      </x:c>
    </x:row>
    <x:row r="9152" ht="34" customHeight="1">
      <x:c r="A9152" s="4" t="str">
        <x:v>RS-04527-I3</x:v>
      </x:c>
      <x:c r="B9152" s="4" t="str">
        <x:v>RS-04527</x:v>
      </x:c>
      <x:c r="C9152" s="9" t="n">
        <x:v>3</x:v>
      </x:c>
      <x:c r="D9152" s="8" t="n">
        <x:v>45644</x:v>
      </x:c>
      <x:c r="E9152" s="9" t="n">
        <x:v>3929250</x:v>
      </x:c>
      <x:c r="F9152" s="9" t="n">
        <x:v>0</x:v>
      </x:c>
    </x:row>
    <x:row r="9153" ht="34" customHeight="1">
      <x:c r="A9153" s="4" t="str">
        <x:v>RS-04527-I4</x:v>
      </x:c>
      <x:c r="B9153" s="4" t="str">
        <x:v>RS-04527</x:v>
      </x:c>
      <x:c r="C9153" s="9" t="n">
        <x:v>4</x:v>
      </x:c>
      <x:c r="D9153" s="8" t="n">
        <x:v>45674</x:v>
      </x:c>
      <x:c r="E9153" s="9" t="n">
        <x:v>3929250</x:v>
      </x:c>
      <x:c r="F9153" s="9" t="n">
        <x:v>0</x:v>
      </x:c>
    </x:row>
    <x:row r="9154" ht="34" customHeight="1">
      <x:c r="A9154" s="4" t="str">
        <x:v>RS-04528-I1</x:v>
      </x:c>
      <x:c r="B9154" s="4" t="str">
        <x:v>RS-04528</x:v>
      </x:c>
      <x:c r="C9154" s="9" t="n">
        <x:v>1</x:v>
      </x:c>
      <x:c r="D9154" s="8" t="n">
        <x:v>45585</x:v>
      </x:c>
      <x:c r="E9154" s="9" t="n">
        <x:v>4784000</x:v>
      </x:c>
      <x:c r="F9154" s="9" t="n">
        <x:v>4784000</x:v>
      </x:c>
    </x:row>
    <x:row r="9155" ht="34" customHeight="1">
      <x:c r="A9155" s="4" t="str">
        <x:v>RS-04528-I2</x:v>
      </x:c>
      <x:c r="B9155" s="4" t="str">
        <x:v>RS-04528</x:v>
      </x:c>
      <x:c r="C9155" s="9" t="n">
        <x:v>2</x:v>
      </x:c>
      <x:c r="D9155" s="8" t="n">
        <x:v>45615</x:v>
      </x:c>
      <x:c r="E9155" s="9" t="n">
        <x:v>4784000</x:v>
      </x:c>
      <x:c r="F9155" s="9" t="n">
        <x:v>0</x:v>
      </x:c>
    </x:row>
    <x:row r="9156" ht="34" customHeight="1">
      <x:c r="A9156" s="4" t="str">
        <x:v>RS-04528-I3</x:v>
      </x:c>
      <x:c r="B9156" s="4" t="str">
        <x:v>RS-04528</x:v>
      </x:c>
      <x:c r="C9156" s="9" t="n">
        <x:v>3</x:v>
      </x:c>
      <x:c r="D9156" s="8" t="n">
        <x:v>45645</x:v>
      </x:c>
      <x:c r="E9156" s="9" t="n">
        <x:v>4784000</x:v>
      </x:c>
      <x:c r="F9156" s="9" t="n">
        <x:v>0</x:v>
      </x:c>
    </x:row>
    <x:row r="9157" ht="34" customHeight="1">
      <x:c r="A9157" s="4" t="str">
        <x:v>RS-04528-I4</x:v>
      </x:c>
      <x:c r="B9157" s="4" t="str">
        <x:v>RS-04528</x:v>
      </x:c>
      <x:c r="C9157" s="9" t="n">
        <x:v>4</x:v>
      </x:c>
      <x:c r="D9157" s="8" t="n">
        <x:v>45675</x:v>
      </x:c>
      <x:c r="E9157" s="9" t="n">
        <x:v>4784000</x:v>
      </x:c>
      <x:c r="F9157" s="9" t="n">
        <x:v>0</x:v>
      </x:c>
    </x:row>
    <x:row r="9158" ht="34" customHeight="1">
      <x:c r="A9158" s="4" t="str">
        <x:v>RS-04530-I1</x:v>
      </x:c>
      <x:c r="B9158" s="4" t="str">
        <x:v>RS-04530</x:v>
      </x:c>
      <x:c r="C9158" s="9" t="n">
        <x:v>1</x:v>
      </x:c>
      <x:c r="D9158" s="8" t="n">
        <x:v>45587</x:v>
      </x:c>
      <x:c r="E9158" s="9" t="n">
        <x:v>5851500</x:v>
      </x:c>
      <x:c r="F9158" s="9" t="n">
        <x:v>5851500</x:v>
      </x:c>
    </x:row>
    <x:row r="9159" ht="34" customHeight="1">
      <x:c r="A9159" s="4" t="str">
        <x:v>RS-04530-I2</x:v>
      </x:c>
      <x:c r="B9159" s="4" t="str">
        <x:v>RS-04530</x:v>
      </x:c>
      <x:c r="C9159" s="9" t="n">
        <x:v>2</x:v>
      </x:c>
      <x:c r="D9159" s="8" t="n">
        <x:v>45617</x:v>
      </x:c>
      <x:c r="E9159" s="9" t="n">
        <x:v>5851500</x:v>
      </x:c>
      <x:c r="F9159" s="9" t="n">
        <x:v>5851500</x:v>
      </x:c>
    </x:row>
    <x:row r="9160" ht="34" customHeight="1">
      <x:c r="A9160" s="4" t="str">
        <x:v>RS-04530-I3</x:v>
      </x:c>
      <x:c r="B9160" s="4" t="str">
        <x:v>RS-04530</x:v>
      </x:c>
      <x:c r="C9160" s="9" t="n">
        <x:v>3</x:v>
      </x:c>
      <x:c r="D9160" s="8" t="n">
        <x:v>45647</x:v>
      </x:c>
      <x:c r="E9160" s="9" t="n">
        <x:v>5851500</x:v>
      </x:c>
      <x:c r="F9160" s="9" t="n">
        <x:v>5851500</x:v>
      </x:c>
    </x:row>
    <x:row r="9161" ht="34" customHeight="1">
      <x:c r="A9161" s="4" t="str">
        <x:v>RS-04530-I4</x:v>
      </x:c>
      <x:c r="B9161" s="4" t="str">
        <x:v>RS-04530</x:v>
      </x:c>
      <x:c r="C9161" s="9" t="n">
        <x:v>4</x:v>
      </x:c>
      <x:c r="D9161" s="8" t="n">
        <x:v>45677</x:v>
      </x:c>
      <x:c r="E9161" s="9" t="n">
        <x:v>5851500</x:v>
      </x:c>
      <x:c r="F9161" s="9" t="n">
        <x:v>5851500</x:v>
      </x:c>
    </x:row>
    <x:row r="9162" ht="34" customHeight="1">
      <x:c r="A9162" s="4" t="str">
        <x:v>RS-04533-I1</x:v>
      </x:c>
      <x:c r="B9162" s="4" t="str">
        <x:v>RS-04533</x:v>
      </x:c>
      <x:c r="C9162" s="9" t="n">
        <x:v>1</x:v>
      </x:c>
      <x:c r="D9162" s="8" t="n">
        <x:v>45590</x:v>
      </x:c>
      <x:c r="E9162" s="9" t="n">
        <x:v>5228750</x:v>
      </x:c>
      <x:c r="F9162" s="9" t="n">
        <x:v>5228750</x:v>
      </x:c>
    </x:row>
    <x:row r="9163" ht="34" customHeight="1">
      <x:c r="A9163" s="4" t="str">
        <x:v>RS-04533-I2</x:v>
      </x:c>
      <x:c r="B9163" s="4" t="str">
        <x:v>RS-04533</x:v>
      </x:c>
      <x:c r="C9163" s="9" t="n">
        <x:v>2</x:v>
      </x:c>
      <x:c r="D9163" s="8" t="n">
        <x:v>45620</x:v>
      </x:c>
      <x:c r="E9163" s="9" t="n">
        <x:v>5228750</x:v>
      </x:c>
      <x:c r="F9163" s="9" t="n">
        <x:v>0</x:v>
      </x:c>
    </x:row>
    <x:row r="9164" ht="34" customHeight="1">
      <x:c r="A9164" s="4" t="str">
        <x:v>RS-04533-I3</x:v>
      </x:c>
      <x:c r="B9164" s="4" t="str">
        <x:v>RS-04533</x:v>
      </x:c>
      <x:c r="C9164" s="9" t="n">
        <x:v>3</x:v>
      </x:c>
      <x:c r="D9164" s="8" t="n">
        <x:v>45650</x:v>
      </x:c>
      <x:c r="E9164" s="9" t="n">
        <x:v>5228750</x:v>
      </x:c>
      <x:c r="F9164" s="9" t="n">
        <x:v>0</x:v>
      </x:c>
    </x:row>
    <x:row r="9165" ht="34" customHeight="1">
      <x:c r="A9165" s="4" t="str">
        <x:v>RS-04533-I4</x:v>
      </x:c>
      <x:c r="B9165" s="4" t="str">
        <x:v>RS-04533</x:v>
      </x:c>
      <x:c r="C9165" s="9" t="n">
        <x:v>4</x:v>
      </x:c>
      <x:c r="D9165" s="8" t="n">
        <x:v>45680</x:v>
      </x:c>
      <x:c r="E9165" s="9" t="n">
        <x:v>5228750</x:v>
      </x:c>
      <x:c r="F9165" s="9" t="n">
        <x:v>0</x:v>
      </x:c>
    </x:row>
    <x:row r="9166" ht="34" customHeight="1">
      <x:c r="A9166" s="4" t="str">
        <x:v>RS-04536-I1</x:v>
      </x:c>
      <x:c r="B9166" s="4" t="str">
        <x:v>RS-04536</x:v>
      </x:c>
      <x:c r="C9166" s="9" t="n">
        <x:v>1</x:v>
      </x:c>
      <x:c r="D9166" s="8" t="n">
        <x:v>45593</x:v>
      </x:c>
      <x:c r="E9166" s="9" t="n">
        <x:v>5676250</x:v>
      </x:c>
      <x:c r="F9166" s="9" t="n">
        <x:v>2270500</x:v>
      </x:c>
    </x:row>
    <x:row r="9167" ht="34" customHeight="1">
      <x:c r="A9167" s="4" t="str">
        <x:v>RS-04536-I2</x:v>
      </x:c>
      <x:c r="B9167" s="4" t="str">
        <x:v>RS-04536</x:v>
      </x:c>
      <x:c r="C9167" s="9" t="n">
        <x:v>2</x:v>
      </x:c>
      <x:c r="D9167" s="8" t="n">
        <x:v>45623</x:v>
      </x:c>
      <x:c r="E9167" s="9" t="n">
        <x:v>5676250</x:v>
      </x:c>
      <x:c r="F9167" s="9" t="n">
        <x:v>0</x:v>
      </x:c>
    </x:row>
    <x:row r="9168" ht="34" customHeight="1">
      <x:c r="A9168" s="4" t="str">
        <x:v>RS-04536-I3</x:v>
      </x:c>
      <x:c r="B9168" s="4" t="str">
        <x:v>RS-04536</x:v>
      </x:c>
      <x:c r="C9168" s="9" t="n">
        <x:v>3</x:v>
      </x:c>
      <x:c r="D9168" s="8" t="n">
        <x:v>45653</x:v>
      </x:c>
      <x:c r="E9168" s="9" t="n">
        <x:v>5676250</x:v>
      </x:c>
      <x:c r="F9168" s="9" t="n">
        <x:v>0</x:v>
      </x:c>
    </x:row>
    <x:row r="9169" ht="34" customHeight="1">
      <x:c r="A9169" s="4" t="str">
        <x:v>RS-04536-I4</x:v>
      </x:c>
      <x:c r="B9169" s="4" t="str">
        <x:v>RS-04536</x:v>
      </x:c>
      <x:c r="C9169" s="9" t="n">
        <x:v>4</x:v>
      </x:c>
      <x:c r="D9169" s="8" t="n">
        <x:v>45683</x:v>
      </x:c>
      <x:c r="E9169" s="9" t="n">
        <x:v>5676250</x:v>
      </x:c>
      <x:c r="F9169" s="9" t="n">
        <x:v>0</x:v>
      </x:c>
    </x:row>
    <x:row r="9170" ht="34" customHeight="1">
      <x:c r="A9170" s="4" t="str">
        <x:v>RS-04537-I1</x:v>
      </x:c>
      <x:c r="B9170" s="4" t="str">
        <x:v>RS-04537</x:v>
      </x:c>
      <x:c r="C9170" s="9" t="n">
        <x:v>1</x:v>
      </x:c>
      <x:c r="D9170" s="8" t="n">
        <x:v>45566</x:v>
      </x:c>
      <x:c r="E9170" s="9" t="n">
        <x:v>3542000</x:v>
      </x:c>
      <x:c r="F9170" s="9" t="n">
        <x:v>3542000</x:v>
      </x:c>
    </x:row>
    <x:row r="9171" ht="34" customHeight="1">
      <x:c r="A9171" s="4" t="str">
        <x:v>RS-04537-I2</x:v>
      </x:c>
      <x:c r="B9171" s="4" t="str">
        <x:v>RS-04537</x:v>
      </x:c>
      <x:c r="C9171" s="9" t="n">
        <x:v>2</x:v>
      </x:c>
      <x:c r="D9171" s="8" t="n">
        <x:v>45596</x:v>
      </x:c>
      <x:c r="E9171" s="9" t="n">
        <x:v>3542000</x:v>
      </x:c>
      <x:c r="F9171" s="9" t="n">
        <x:v>3542000</x:v>
      </x:c>
    </x:row>
    <x:row r="9172" ht="34" customHeight="1">
      <x:c r="A9172" s="4" t="str">
        <x:v>RS-04537-I3</x:v>
      </x:c>
      <x:c r="B9172" s="4" t="str">
        <x:v>RS-04537</x:v>
      </x:c>
      <x:c r="C9172" s="9" t="n">
        <x:v>3</x:v>
      </x:c>
      <x:c r="D9172" s="8" t="n">
        <x:v>45626</x:v>
      </x:c>
      <x:c r="E9172" s="9" t="n">
        <x:v>3542000</x:v>
      </x:c>
      <x:c r="F9172" s="9" t="n">
        <x:v>0</x:v>
      </x:c>
    </x:row>
    <x:row r="9173" ht="34" customHeight="1">
      <x:c r="A9173" s="4" t="str">
        <x:v>RS-04537-I4</x:v>
      </x:c>
      <x:c r="B9173" s="4" t="str">
        <x:v>RS-04537</x:v>
      </x:c>
      <x:c r="C9173" s="9" t="n">
        <x:v>4</x:v>
      </x:c>
      <x:c r="D9173" s="8" t="n">
        <x:v>45656</x:v>
      </x:c>
      <x:c r="E9173" s="9" t="n">
        <x:v>3542000</x:v>
      </x:c>
      <x:c r="F9173" s="9" t="n">
        <x:v>0</x:v>
      </x:c>
    </x:row>
    <x:row r="9174" ht="34" customHeight="1">
      <x:c r="A9174" s="4" t="str">
        <x:v>RS-04538-I1</x:v>
      </x:c>
      <x:c r="B9174" s="4" t="str">
        <x:v>RS-04538</x:v>
      </x:c>
      <x:c r="C9174" s="9" t="n">
        <x:v>1</x:v>
      </x:c>
      <x:c r="D9174" s="8" t="n">
        <x:v>45567</x:v>
      </x:c>
      <x:c r="E9174" s="9" t="n">
        <x:v>1112500</x:v>
      </x:c>
      <x:c r="F9174" s="9" t="n">
        <x:v>1112500</x:v>
      </x:c>
    </x:row>
    <x:row r="9175" ht="34" customHeight="1">
      <x:c r="A9175" s="4" t="str">
        <x:v>RS-04538-I2</x:v>
      </x:c>
      <x:c r="B9175" s="4" t="str">
        <x:v>RS-04538</x:v>
      </x:c>
      <x:c r="C9175" s="9" t="n">
        <x:v>2</x:v>
      </x:c>
      <x:c r="D9175" s="8" t="n">
        <x:v>45597</x:v>
      </x:c>
      <x:c r="E9175" s="9" t="n">
        <x:v>1112500</x:v>
      </x:c>
      <x:c r="F9175" s="9" t="n">
        <x:v>1112500</x:v>
      </x:c>
    </x:row>
    <x:row r="9176" ht="34" customHeight="1">
      <x:c r="A9176" s="4" t="str">
        <x:v>RS-04538-I3</x:v>
      </x:c>
      <x:c r="B9176" s="4" t="str">
        <x:v>RS-04538</x:v>
      </x:c>
      <x:c r="C9176" s="9" t="n">
        <x:v>3</x:v>
      </x:c>
      <x:c r="D9176" s="8" t="n">
        <x:v>45627</x:v>
      </x:c>
      <x:c r="E9176" s="9" t="n">
        <x:v>1112500</x:v>
      </x:c>
      <x:c r="F9176" s="9" t="n">
        <x:v>1112500</x:v>
      </x:c>
    </x:row>
    <x:row r="9177" ht="34" customHeight="1">
      <x:c r="A9177" s="4" t="str">
        <x:v>RS-04538-I4</x:v>
      </x:c>
      <x:c r="B9177" s="4" t="str">
        <x:v>RS-04538</x:v>
      </x:c>
      <x:c r="C9177" s="9" t="n">
        <x:v>4</x:v>
      </x:c>
      <x:c r="D9177" s="8" t="n">
        <x:v>45657</x:v>
      </x:c>
      <x:c r="E9177" s="9" t="n">
        <x:v>1112500</x:v>
      </x:c>
      <x:c r="F9177" s="9" t="n">
        <x:v>1112500</x:v>
      </x:c>
    </x:row>
    <x:row r="9178" ht="34" customHeight="1">
      <x:c r="A9178" s="4" t="str">
        <x:v>RS-04540-I1</x:v>
      </x:c>
      <x:c r="B9178" s="4" t="str">
        <x:v>RS-04540</x:v>
      </x:c>
      <x:c r="C9178" s="9" t="n">
        <x:v>1</x:v>
      </x:c>
      <x:c r="D9178" s="8" t="n">
        <x:v>45569</x:v>
      </x:c>
      <x:c r="E9178" s="9" t="n">
        <x:v>3501500</x:v>
      </x:c>
      <x:c r="F9178" s="9" t="n">
        <x:v>3501500</x:v>
      </x:c>
    </x:row>
    <x:row r="9179" ht="34" customHeight="1">
      <x:c r="A9179" s="4" t="str">
        <x:v>RS-04540-I2</x:v>
      </x:c>
      <x:c r="B9179" s="4" t="str">
        <x:v>RS-04540</x:v>
      </x:c>
      <x:c r="C9179" s="9" t="n">
        <x:v>2</x:v>
      </x:c>
      <x:c r="D9179" s="8" t="n">
        <x:v>45599</x:v>
      </x:c>
      <x:c r="E9179" s="9" t="n">
        <x:v>3501500</x:v>
      </x:c>
      <x:c r="F9179" s="9" t="n">
        <x:v>3501500</x:v>
      </x:c>
    </x:row>
    <x:row r="9180" ht="34" customHeight="1">
      <x:c r="A9180" s="4" t="str">
        <x:v>RS-04540-I3</x:v>
      </x:c>
      <x:c r="B9180" s="4" t="str">
        <x:v>RS-04540</x:v>
      </x:c>
      <x:c r="C9180" s="9" t="n">
        <x:v>3</x:v>
      </x:c>
      <x:c r="D9180" s="8" t="n">
        <x:v>45629</x:v>
      </x:c>
      <x:c r="E9180" s="9" t="n">
        <x:v>3501500</x:v>
      </x:c>
      <x:c r="F9180" s="9" t="n">
        <x:v>3501500</x:v>
      </x:c>
    </x:row>
    <x:row r="9181" ht="34" customHeight="1">
      <x:c r="A9181" s="4" t="str">
        <x:v>RS-04540-I4</x:v>
      </x:c>
      <x:c r="B9181" s="4" t="str">
        <x:v>RS-04540</x:v>
      </x:c>
      <x:c r="C9181" s="9" t="n">
        <x:v>4</x:v>
      </x:c>
      <x:c r="D9181" s="8" t="n">
        <x:v>45659</x:v>
      </x:c>
      <x:c r="E9181" s="9" t="n">
        <x:v>3501500</x:v>
      </x:c>
      <x:c r="F9181" s="9" t="n">
        <x:v>3501500</x:v>
      </x:c>
    </x:row>
    <x:row r="9182" ht="34" customHeight="1">
      <x:c r="A9182" s="4" t="str">
        <x:v>RS-04541-I1</x:v>
      </x:c>
      <x:c r="B9182" s="4" t="str">
        <x:v>RS-04541</x:v>
      </x:c>
      <x:c r="C9182" s="9" t="n">
        <x:v>1</x:v>
      </x:c>
      <x:c r="D9182" s="8" t="n">
        <x:v>45570</x:v>
      </x:c>
      <x:c r="E9182" s="9" t="n">
        <x:v>5795000</x:v>
      </x:c>
      <x:c r="F9182" s="9" t="n">
        <x:v>5795000</x:v>
      </x:c>
    </x:row>
    <x:row r="9183" ht="34" customHeight="1">
      <x:c r="A9183" s="4" t="str">
        <x:v>RS-04541-I2</x:v>
      </x:c>
      <x:c r="B9183" s="4" t="str">
        <x:v>RS-04541</x:v>
      </x:c>
      <x:c r="C9183" s="9" t="n">
        <x:v>2</x:v>
      </x:c>
      <x:c r="D9183" s="8" t="n">
        <x:v>45600</x:v>
      </x:c>
      <x:c r="E9183" s="9" t="n">
        <x:v>5795000</x:v>
      </x:c>
      <x:c r="F9183" s="9" t="n">
        <x:v>0</x:v>
      </x:c>
    </x:row>
    <x:row r="9184" ht="34" customHeight="1">
      <x:c r="A9184" s="4" t="str">
        <x:v>RS-04541-I3</x:v>
      </x:c>
      <x:c r="B9184" s="4" t="str">
        <x:v>RS-04541</x:v>
      </x:c>
      <x:c r="C9184" s="9" t="n">
        <x:v>3</x:v>
      </x:c>
      <x:c r="D9184" s="8" t="n">
        <x:v>45630</x:v>
      </x:c>
      <x:c r="E9184" s="9" t="n">
        <x:v>5795000</x:v>
      </x:c>
      <x:c r="F9184" s="9" t="n">
        <x:v>0</x:v>
      </x:c>
    </x:row>
    <x:row r="9185" ht="34" customHeight="1">
      <x:c r="A9185" s="4" t="str">
        <x:v>RS-04541-I4</x:v>
      </x:c>
      <x:c r="B9185" s="4" t="str">
        <x:v>RS-04541</x:v>
      </x:c>
      <x:c r="C9185" s="9" t="n">
        <x:v>4</x:v>
      </x:c>
      <x:c r="D9185" s="8" t="n">
        <x:v>45660</x:v>
      </x:c>
      <x:c r="E9185" s="9" t="n">
        <x:v>5795000</x:v>
      </x:c>
      <x:c r="F9185" s="9" t="n">
        <x:v>0</x:v>
      </x:c>
    </x:row>
    <x:row r="9186" ht="34" customHeight="1">
      <x:c r="A9186" s="4" t="str">
        <x:v>RS-04542-I1</x:v>
      </x:c>
      <x:c r="B9186" s="4" t="str">
        <x:v>RS-04542</x:v>
      </x:c>
      <x:c r="C9186" s="9" t="n">
        <x:v>1</x:v>
      </x:c>
      <x:c r="D9186" s="8" t="n">
        <x:v>45571</x:v>
      </x:c>
      <x:c r="E9186" s="9" t="n">
        <x:v>5231250</x:v>
      </x:c>
      <x:c r="F9186" s="9" t="n">
        <x:v>5231250</x:v>
      </x:c>
    </x:row>
    <x:row r="9187" ht="34" customHeight="1">
      <x:c r="A9187" s="4" t="str">
        <x:v>RS-04542-I2</x:v>
      </x:c>
      <x:c r="B9187" s="4" t="str">
        <x:v>RS-04542</x:v>
      </x:c>
      <x:c r="C9187" s="9" t="n">
        <x:v>2</x:v>
      </x:c>
      <x:c r="D9187" s="8" t="n">
        <x:v>45601</x:v>
      </x:c>
      <x:c r="E9187" s="9" t="n">
        <x:v>5231250</x:v>
      </x:c>
      <x:c r="F9187" s="9" t="n">
        <x:v>0</x:v>
      </x:c>
    </x:row>
    <x:row r="9188" ht="34" customHeight="1">
      <x:c r="A9188" s="4" t="str">
        <x:v>RS-04542-I3</x:v>
      </x:c>
      <x:c r="B9188" s="4" t="str">
        <x:v>RS-04542</x:v>
      </x:c>
      <x:c r="C9188" s="9" t="n">
        <x:v>3</x:v>
      </x:c>
      <x:c r="D9188" s="8" t="n">
        <x:v>45631</x:v>
      </x:c>
      <x:c r="E9188" s="9" t="n">
        <x:v>5231250</x:v>
      </x:c>
      <x:c r="F9188" s="9" t="n">
        <x:v>0</x:v>
      </x:c>
    </x:row>
    <x:row r="9189" ht="34" customHeight="1">
      <x:c r="A9189" s="4" t="str">
        <x:v>RS-04542-I4</x:v>
      </x:c>
      <x:c r="B9189" s="4" t="str">
        <x:v>RS-04542</x:v>
      </x:c>
      <x:c r="C9189" s="9" t="n">
        <x:v>4</x:v>
      </x:c>
      <x:c r="D9189" s="8" t="n">
        <x:v>45661</x:v>
      </x:c>
      <x:c r="E9189" s="9" t="n">
        <x:v>5231250</x:v>
      </x:c>
      <x:c r="F9189" s="9" t="n">
        <x:v>0</x:v>
      </x:c>
    </x:row>
    <x:row r="9190" ht="34" customHeight="1">
      <x:c r="A9190" s="4" t="str">
        <x:v>RS-04543-I1</x:v>
      </x:c>
      <x:c r="B9190" s="4" t="str">
        <x:v>RS-04543</x:v>
      </x:c>
      <x:c r="C9190" s="9" t="n">
        <x:v>1</x:v>
      </x:c>
      <x:c r="D9190" s="8" t="n">
        <x:v>45572</x:v>
      </x:c>
      <x:c r="E9190" s="9" t="n">
        <x:v>4115250</x:v>
      </x:c>
      <x:c r="F9190" s="9" t="n">
        <x:v>4115250</x:v>
      </x:c>
    </x:row>
    <x:row r="9191" ht="34" customHeight="1">
      <x:c r="A9191" s="4" t="str">
        <x:v>RS-04543-I2</x:v>
      </x:c>
      <x:c r="B9191" s="4" t="str">
        <x:v>RS-04543</x:v>
      </x:c>
      <x:c r="C9191" s="9" t="n">
        <x:v>2</x:v>
      </x:c>
      <x:c r="D9191" s="8" t="n">
        <x:v>45602</x:v>
      </x:c>
      <x:c r="E9191" s="9" t="n">
        <x:v>4115250</x:v>
      </x:c>
      <x:c r="F9191" s="9" t="n">
        <x:v>0</x:v>
      </x:c>
    </x:row>
    <x:row r="9192" ht="34" customHeight="1">
      <x:c r="A9192" s="4" t="str">
        <x:v>RS-04543-I3</x:v>
      </x:c>
      <x:c r="B9192" s="4" t="str">
        <x:v>RS-04543</x:v>
      </x:c>
      <x:c r="C9192" s="9" t="n">
        <x:v>3</x:v>
      </x:c>
      <x:c r="D9192" s="8" t="n">
        <x:v>45632</x:v>
      </x:c>
      <x:c r="E9192" s="9" t="n">
        <x:v>4115250</x:v>
      </x:c>
      <x:c r="F9192" s="9" t="n">
        <x:v>0</x:v>
      </x:c>
    </x:row>
    <x:row r="9193" ht="34" customHeight="1">
      <x:c r="A9193" s="4" t="str">
        <x:v>RS-04543-I4</x:v>
      </x:c>
      <x:c r="B9193" s="4" t="str">
        <x:v>RS-04543</x:v>
      </x:c>
      <x:c r="C9193" s="9" t="n">
        <x:v>4</x:v>
      </x:c>
      <x:c r="D9193" s="8" t="n">
        <x:v>45662</x:v>
      </x:c>
      <x:c r="E9193" s="9" t="n">
        <x:v>4115250</x:v>
      </x:c>
      <x:c r="F9193" s="9" t="n">
        <x:v>0</x:v>
      </x:c>
    </x:row>
    <x:row r="9194" ht="34" customHeight="1">
      <x:c r="A9194" s="4" t="str">
        <x:v>RS-04545-I1</x:v>
      </x:c>
      <x:c r="B9194" s="4" t="str">
        <x:v>RS-04545</x:v>
      </x:c>
      <x:c r="C9194" s="9" t="n">
        <x:v>1</x:v>
      </x:c>
      <x:c r="D9194" s="8" t="n">
        <x:v>45574</x:v>
      </x:c>
      <x:c r="E9194" s="9" t="n">
        <x:v>4783750</x:v>
      </x:c>
      <x:c r="F9194" s="9" t="n">
        <x:v>1913500</x:v>
      </x:c>
    </x:row>
    <x:row r="9195" ht="34" customHeight="1">
      <x:c r="A9195" s="4" t="str">
        <x:v>RS-04545-I2</x:v>
      </x:c>
      <x:c r="B9195" s="4" t="str">
        <x:v>RS-04545</x:v>
      </x:c>
      <x:c r="C9195" s="9" t="n">
        <x:v>2</x:v>
      </x:c>
      <x:c r="D9195" s="8" t="n">
        <x:v>45604</x:v>
      </x:c>
      <x:c r="E9195" s="9" t="n">
        <x:v>4783750</x:v>
      </x:c>
      <x:c r="F9195" s="9" t="n">
        <x:v>0</x:v>
      </x:c>
    </x:row>
    <x:row r="9196" ht="34" customHeight="1">
      <x:c r="A9196" s="4" t="str">
        <x:v>RS-04545-I3</x:v>
      </x:c>
      <x:c r="B9196" s="4" t="str">
        <x:v>RS-04545</x:v>
      </x:c>
      <x:c r="C9196" s="9" t="n">
        <x:v>3</x:v>
      </x:c>
      <x:c r="D9196" s="8" t="n">
        <x:v>45634</x:v>
      </x:c>
      <x:c r="E9196" s="9" t="n">
        <x:v>4783750</x:v>
      </x:c>
      <x:c r="F9196" s="9" t="n">
        <x:v>0</x:v>
      </x:c>
    </x:row>
    <x:row r="9197" ht="34" customHeight="1">
      <x:c r="A9197" s="4" t="str">
        <x:v>RS-04545-I4</x:v>
      </x:c>
      <x:c r="B9197" s="4" t="str">
        <x:v>RS-04545</x:v>
      </x:c>
      <x:c r="C9197" s="9" t="n">
        <x:v>4</x:v>
      </x:c>
      <x:c r="D9197" s="8" t="n">
        <x:v>45664</x:v>
      </x:c>
      <x:c r="E9197" s="9" t="n">
        <x:v>4783750</x:v>
      </x:c>
      <x:c r="F9197" s="9" t="n">
        <x:v>0</x:v>
      </x:c>
    </x:row>
    <x:row r="9198" ht="34" customHeight="1">
      <x:c r="A9198" s="4" t="str">
        <x:v>RS-04546-I1</x:v>
      </x:c>
      <x:c r="B9198" s="4" t="str">
        <x:v>RS-04546</x:v>
      </x:c>
      <x:c r="C9198" s="9" t="n">
        <x:v>1</x:v>
      </x:c>
      <x:c r="D9198" s="8" t="n">
        <x:v>45575</x:v>
      </x:c>
      <x:c r="E9198" s="9" t="n">
        <x:v>4275000</x:v>
      </x:c>
      <x:c r="F9198" s="9" t="n">
        <x:v>1710000</x:v>
      </x:c>
    </x:row>
    <x:row r="9199" ht="34" customHeight="1">
      <x:c r="A9199" s="4" t="str">
        <x:v>RS-04546-I2</x:v>
      </x:c>
      <x:c r="B9199" s="4" t="str">
        <x:v>RS-04546</x:v>
      </x:c>
      <x:c r="C9199" s="9" t="n">
        <x:v>2</x:v>
      </x:c>
      <x:c r="D9199" s="8" t="n">
        <x:v>45605</x:v>
      </x:c>
      <x:c r="E9199" s="9" t="n">
        <x:v>4275000</x:v>
      </x:c>
      <x:c r="F9199" s="9" t="n">
        <x:v>0</x:v>
      </x:c>
    </x:row>
    <x:row r="9200" ht="34" customHeight="1">
      <x:c r="A9200" s="4" t="str">
        <x:v>RS-04546-I3</x:v>
      </x:c>
      <x:c r="B9200" s="4" t="str">
        <x:v>RS-04546</x:v>
      </x:c>
      <x:c r="C9200" s="9" t="n">
        <x:v>3</x:v>
      </x:c>
      <x:c r="D9200" s="8" t="n">
        <x:v>45635</x:v>
      </x:c>
      <x:c r="E9200" s="9" t="n">
        <x:v>4275000</x:v>
      </x:c>
      <x:c r="F9200" s="9" t="n">
        <x:v>0</x:v>
      </x:c>
    </x:row>
    <x:row r="9201" ht="34" customHeight="1">
      <x:c r="A9201" s="4" t="str">
        <x:v>RS-04546-I4</x:v>
      </x:c>
      <x:c r="B9201" s="4" t="str">
        <x:v>RS-04546</x:v>
      </x:c>
      <x:c r="C9201" s="9" t="n">
        <x:v>4</x:v>
      </x:c>
      <x:c r="D9201" s="8" t="n">
        <x:v>45665</x:v>
      </x:c>
      <x:c r="E9201" s="9" t="n">
        <x:v>4275000</x:v>
      </x:c>
      <x:c r="F9201" s="9" t="n">
        <x:v>0</x:v>
      </x:c>
    </x:row>
    <x:row r="9202" ht="34" customHeight="1">
      <x:c r="A9202" s="4" t="str">
        <x:v>RS-04547-I1</x:v>
      </x:c>
      <x:c r="B9202" s="4" t="str">
        <x:v>RS-04547</x:v>
      </x:c>
      <x:c r="C9202" s="9" t="n">
        <x:v>1</x:v>
      </x:c>
      <x:c r="D9202" s="8" t="n">
        <x:v>45576</x:v>
      </x:c>
      <x:c r="E9202" s="9" t="n">
        <x:v>2461000</x:v>
      </x:c>
      <x:c r="F9202" s="9" t="n">
        <x:v>2461000</x:v>
      </x:c>
    </x:row>
    <x:row r="9203" ht="34" customHeight="1">
      <x:c r="A9203" s="4" t="str">
        <x:v>RS-04547-I2</x:v>
      </x:c>
      <x:c r="B9203" s="4" t="str">
        <x:v>RS-04547</x:v>
      </x:c>
      <x:c r="C9203" s="9" t="n">
        <x:v>2</x:v>
      </x:c>
      <x:c r="D9203" s="8" t="n">
        <x:v>45606</x:v>
      </x:c>
      <x:c r="E9203" s="9" t="n">
        <x:v>2461000</x:v>
      </x:c>
      <x:c r="F9203" s="9" t="n">
        <x:v>0</x:v>
      </x:c>
    </x:row>
    <x:row r="9204" ht="34" customHeight="1">
      <x:c r="A9204" s="4" t="str">
        <x:v>RS-04547-I3</x:v>
      </x:c>
      <x:c r="B9204" s="4" t="str">
        <x:v>RS-04547</x:v>
      </x:c>
      <x:c r="C9204" s="9" t="n">
        <x:v>3</x:v>
      </x:c>
      <x:c r="D9204" s="8" t="n">
        <x:v>45636</x:v>
      </x:c>
      <x:c r="E9204" s="9" t="n">
        <x:v>2461000</x:v>
      </x:c>
      <x:c r="F9204" s="9" t="n">
        <x:v>0</x:v>
      </x:c>
    </x:row>
    <x:row r="9205" ht="34" customHeight="1">
      <x:c r="A9205" s="4" t="str">
        <x:v>RS-04547-I4</x:v>
      </x:c>
      <x:c r="B9205" s="4" t="str">
        <x:v>RS-04547</x:v>
      </x:c>
      <x:c r="C9205" s="9" t="n">
        <x:v>4</x:v>
      </x:c>
      <x:c r="D9205" s="8" t="n">
        <x:v>45666</x:v>
      </x:c>
      <x:c r="E9205" s="9" t="n">
        <x:v>2461000</x:v>
      </x:c>
      <x:c r="F9205" s="9" t="n">
        <x:v>0</x:v>
      </x:c>
    </x:row>
    <x:row r="9206" ht="34" customHeight="1">
      <x:c r="A9206" s="4" t="str">
        <x:v>RS-04548-I1</x:v>
      </x:c>
      <x:c r="B9206" s="4" t="str">
        <x:v>RS-04548</x:v>
      </x:c>
      <x:c r="C9206" s="9" t="n">
        <x:v>1</x:v>
      </x:c>
      <x:c r="D9206" s="8" t="n">
        <x:v>45577</x:v>
      </x:c>
      <x:c r="E9206" s="9" t="n">
        <x:v>1050000</x:v>
      </x:c>
      <x:c r="F9206" s="9" t="n">
        <x:v>1050000</x:v>
      </x:c>
    </x:row>
    <x:row r="9207" ht="34" customHeight="1">
      <x:c r="A9207" s="4" t="str">
        <x:v>RS-04548-I2</x:v>
      </x:c>
      <x:c r="B9207" s="4" t="str">
        <x:v>RS-04548</x:v>
      </x:c>
      <x:c r="C9207" s="9" t="n">
        <x:v>2</x:v>
      </x:c>
      <x:c r="D9207" s="8" t="n">
        <x:v>45607</x:v>
      </x:c>
      <x:c r="E9207" s="9" t="n">
        <x:v>1050000</x:v>
      </x:c>
      <x:c r="F9207" s="9" t="n">
        <x:v>1050000</x:v>
      </x:c>
    </x:row>
    <x:row r="9208" ht="34" customHeight="1">
      <x:c r="A9208" s="4" t="str">
        <x:v>RS-04548-I3</x:v>
      </x:c>
      <x:c r="B9208" s="4" t="str">
        <x:v>RS-04548</x:v>
      </x:c>
      <x:c r="C9208" s="9" t="n">
        <x:v>3</x:v>
      </x:c>
      <x:c r="D9208" s="8" t="n">
        <x:v>45637</x:v>
      </x:c>
      <x:c r="E9208" s="9" t="n">
        <x:v>1050000</x:v>
      </x:c>
      <x:c r="F9208" s="9" t="n">
        <x:v>1050000</x:v>
      </x:c>
    </x:row>
    <x:row r="9209" ht="34" customHeight="1">
      <x:c r="A9209" s="4" t="str">
        <x:v>RS-04548-I4</x:v>
      </x:c>
      <x:c r="B9209" s="4" t="str">
        <x:v>RS-04548</x:v>
      </x:c>
      <x:c r="C9209" s="9" t="n">
        <x:v>4</x:v>
      </x:c>
      <x:c r="D9209" s="8" t="n">
        <x:v>45667</x:v>
      </x:c>
      <x:c r="E9209" s="9" t="n">
        <x:v>1050000</x:v>
      </x:c>
      <x:c r="F9209" s="9" t="n">
        <x:v>1050000</x:v>
      </x:c>
    </x:row>
    <x:row r="9210" ht="34" customHeight="1">
      <x:c r="A9210" s="4" t="str">
        <x:v>RS-04549-I1</x:v>
      </x:c>
      <x:c r="B9210" s="4" t="str">
        <x:v>RS-04549</x:v>
      </x:c>
      <x:c r="C9210" s="9" t="n">
        <x:v>1</x:v>
      </x:c>
      <x:c r="D9210" s="8" t="n">
        <x:v>45578</x:v>
      </x:c>
      <x:c r="E9210" s="9" t="n">
        <x:v>4535500</x:v>
      </x:c>
      <x:c r="F9210" s="9" t="n">
        <x:v>4535500</x:v>
      </x:c>
    </x:row>
    <x:row r="9211" ht="34" customHeight="1">
      <x:c r="A9211" s="4" t="str">
        <x:v>RS-04549-I2</x:v>
      </x:c>
      <x:c r="B9211" s="4" t="str">
        <x:v>RS-04549</x:v>
      </x:c>
      <x:c r="C9211" s="9" t="n">
        <x:v>2</x:v>
      </x:c>
      <x:c r="D9211" s="8" t="n">
        <x:v>45608</x:v>
      </x:c>
      <x:c r="E9211" s="9" t="n">
        <x:v>4535500</x:v>
      </x:c>
      <x:c r="F9211" s="9" t="n">
        <x:v>4535500</x:v>
      </x:c>
    </x:row>
    <x:row r="9212" ht="34" customHeight="1">
      <x:c r="A9212" s="4" t="str">
        <x:v>RS-04549-I3</x:v>
      </x:c>
      <x:c r="B9212" s="4" t="str">
        <x:v>RS-04549</x:v>
      </x:c>
      <x:c r="C9212" s="9" t="n">
        <x:v>3</x:v>
      </x:c>
      <x:c r="D9212" s="8" t="n">
        <x:v>45638</x:v>
      </x:c>
      <x:c r="E9212" s="9" t="n">
        <x:v>4535500</x:v>
      </x:c>
      <x:c r="F9212" s="9" t="n">
        <x:v>4535500</x:v>
      </x:c>
    </x:row>
    <x:row r="9213" ht="34" customHeight="1">
      <x:c r="A9213" s="4" t="str">
        <x:v>RS-04549-I4</x:v>
      </x:c>
      <x:c r="B9213" s="4" t="str">
        <x:v>RS-04549</x:v>
      </x:c>
      <x:c r="C9213" s="9" t="n">
        <x:v>4</x:v>
      </x:c>
      <x:c r="D9213" s="8" t="n">
        <x:v>45668</x:v>
      </x:c>
      <x:c r="E9213" s="9" t="n">
        <x:v>4535500</x:v>
      </x:c>
      <x:c r="F9213" s="9" t="n">
        <x:v>4535500</x:v>
      </x:c>
    </x:row>
    <x:row r="9214" ht="34" customHeight="1">
      <x:c r="A9214" s="4" t="str">
        <x:v>RS-04550-I1</x:v>
      </x:c>
      <x:c r="B9214" s="4" t="str">
        <x:v>RS-04550</x:v>
      </x:c>
      <x:c r="C9214" s="9" t="n">
        <x:v>1</x:v>
      </x:c>
      <x:c r="D9214" s="8" t="n">
        <x:v>45579</x:v>
      </x:c>
      <x:c r="E9214" s="9" t="n">
        <x:v>5546000</x:v>
      </x:c>
      <x:c r="F9214" s="9" t="n">
        <x:v>5546000</x:v>
      </x:c>
    </x:row>
    <x:row r="9215" ht="34" customHeight="1">
      <x:c r="A9215" s="4" t="str">
        <x:v>RS-04550-I2</x:v>
      </x:c>
      <x:c r="B9215" s="4" t="str">
        <x:v>RS-04550</x:v>
      </x:c>
      <x:c r="C9215" s="9" t="n">
        <x:v>2</x:v>
      </x:c>
      <x:c r="D9215" s="8" t="n">
        <x:v>45609</x:v>
      </x:c>
      <x:c r="E9215" s="9" t="n">
        <x:v>5546000</x:v>
      </x:c>
      <x:c r="F9215" s="9" t="n">
        <x:v>5546000</x:v>
      </x:c>
    </x:row>
    <x:row r="9216" ht="34" customHeight="1">
      <x:c r="A9216" s="4" t="str">
        <x:v>RS-04550-I3</x:v>
      </x:c>
      <x:c r="B9216" s="4" t="str">
        <x:v>RS-04550</x:v>
      </x:c>
      <x:c r="C9216" s="9" t="n">
        <x:v>3</x:v>
      </x:c>
      <x:c r="D9216" s="8" t="n">
        <x:v>45639</x:v>
      </x:c>
      <x:c r="E9216" s="9" t="n">
        <x:v>5546000</x:v>
      </x:c>
      <x:c r="F9216" s="9" t="n">
        <x:v>0</x:v>
      </x:c>
    </x:row>
    <x:row r="9217" ht="34" customHeight="1">
      <x:c r="A9217" s="4" t="str">
        <x:v>RS-04550-I4</x:v>
      </x:c>
      <x:c r="B9217" s="4" t="str">
        <x:v>RS-04550</x:v>
      </x:c>
      <x:c r="C9217" s="9" t="n">
        <x:v>4</x:v>
      </x:c>
      <x:c r="D9217" s="8" t="n">
        <x:v>45669</x:v>
      </x:c>
      <x:c r="E9217" s="9" t="n">
        <x:v>5546000</x:v>
      </x:c>
      <x:c r="F9217" s="9" t="n">
        <x:v>0</x:v>
      </x:c>
    </x:row>
    <x:row r="9218" ht="34" customHeight="1">
      <x:c r="A9218" s="4" t="str">
        <x:v>RS-04551-I1</x:v>
      </x:c>
      <x:c r="B9218" s="4" t="str">
        <x:v>RS-04551</x:v>
      </x:c>
      <x:c r="C9218" s="9" t="n">
        <x:v>1</x:v>
      </x:c>
      <x:c r="D9218" s="8" t="n">
        <x:v>45580</x:v>
      </x:c>
      <x:c r="E9218" s="9" t="n">
        <x:v>1173000</x:v>
      </x:c>
      <x:c r="F9218" s="9" t="n">
        <x:v>469200</x:v>
      </x:c>
    </x:row>
    <x:row r="9219" ht="34" customHeight="1">
      <x:c r="A9219" s="4" t="str">
        <x:v>RS-04551-I2</x:v>
      </x:c>
      <x:c r="B9219" s="4" t="str">
        <x:v>RS-04551</x:v>
      </x:c>
      <x:c r="C9219" s="9" t="n">
        <x:v>2</x:v>
      </x:c>
      <x:c r="D9219" s="8" t="n">
        <x:v>45610</x:v>
      </x:c>
      <x:c r="E9219" s="9" t="n">
        <x:v>1173000</x:v>
      </x:c>
      <x:c r="F9219" s="9" t="n">
        <x:v>0</x:v>
      </x:c>
    </x:row>
    <x:row r="9220" ht="34" customHeight="1">
      <x:c r="A9220" s="4" t="str">
        <x:v>RS-04551-I3</x:v>
      </x:c>
      <x:c r="B9220" s="4" t="str">
        <x:v>RS-04551</x:v>
      </x:c>
      <x:c r="C9220" s="9" t="n">
        <x:v>3</x:v>
      </x:c>
      <x:c r="D9220" s="8" t="n">
        <x:v>45640</x:v>
      </x:c>
      <x:c r="E9220" s="9" t="n">
        <x:v>1173000</x:v>
      </x:c>
      <x:c r="F9220" s="9" t="n">
        <x:v>0</x:v>
      </x:c>
    </x:row>
    <x:row r="9221" ht="34" customHeight="1">
      <x:c r="A9221" s="4" t="str">
        <x:v>RS-04551-I4</x:v>
      </x:c>
      <x:c r="B9221" s="4" t="str">
        <x:v>RS-04551</x:v>
      </x:c>
      <x:c r="C9221" s="9" t="n">
        <x:v>4</x:v>
      </x:c>
      <x:c r="D9221" s="8" t="n">
        <x:v>45670</x:v>
      </x:c>
      <x:c r="E9221" s="9" t="n">
        <x:v>1173000</x:v>
      </x:c>
      <x:c r="F9221" s="9" t="n">
        <x:v>0</x:v>
      </x:c>
    </x:row>
    <x:row r="9222" ht="34" customHeight="1">
      <x:c r="A9222" s="4" t="str">
        <x:v>RS-04554-I1</x:v>
      </x:c>
      <x:c r="B9222" s="4" t="str">
        <x:v>RS-04554</x:v>
      </x:c>
      <x:c r="C9222" s="9" t="n">
        <x:v>1</x:v>
      </x:c>
      <x:c r="D9222" s="8" t="n">
        <x:v>45583</x:v>
      </x:c>
      <x:c r="E9222" s="9" t="n">
        <x:v>4851000</x:v>
      </x:c>
      <x:c r="F9222" s="9" t="n">
        <x:v>1940400</x:v>
      </x:c>
    </x:row>
    <x:row r="9223" ht="34" customHeight="1">
      <x:c r="A9223" s="4" t="str">
        <x:v>RS-04554-I2</x:v>
      </x:c>
      <x:c r="B9223" s="4" t="str">
        <x:v>RS-04554</x:v>
      </x:c>
      <x:c r="C9223" s="9" t="n">
        <x:v>2</x:v>
      </x:c>
      <x:c r="D9223" s="8" t="n">
        <x:v>45613</x:v>
      </x:c>
      <x:c r="E9223" s="9" t="n">
        <x:v>4851000</x:v>
      </x:c>
      <x:c r="F9223" s="9" t="n">
        <x:v>0</x:v>
      </x:c>
    </x:row>
    <x:row r="9224" ht="34" customHeight="1">
      <x:c r="A9224" s="4" t="str">
        <x:v>RS-04554-I3</x:v>
      </x:c>
      <x:c r="B9224" s="4" t="str">
        <x:v>RS-04554</x:v>
      </x:c>
      <x:c r="C9224" s="9" t="n">
        <x:v>3</x:v>
      </x:c>
      <x:c r="D9224" s="8" t="n">
        <x:v>45643</x:v>
      </x:c>
      <x:c r="E9224" s="9" t="n">
        <x:v>4851000</x:v>
      </x:c>
      <x:c r="F9224" s="9" t="n">
        <x:v>0</x:v>
      </x:c>
    </x:row>
    <x:row r="9225" ht="34" customHeight="1">
      <x:c r="A9225" s="4" t="str">
        <x:v>RS-04554-I4</x:v>
      </x:c>
      <x:c r="B9225" s="4" t="str">
        <x:v>RS-04554</x:v>
      </x:c>
      <x:c r="C9225" s="9" t="n">
        <x:v>4</x:v>
      </x:c>
      <x:c r="D9225" s="8" t="n">
        <x:v>45673</x:v>
      </x:c>
      <x:c r="E9225" s="9" t="n">
        <x:v>4851000</x:v>
      </x:c>
      <x:c r="F9225" s="9" t="n">
        <x:v>0</x:v>
      </x:c>
    </x:row>
    <x:row r="9226" ht="34" customHeight="1">
      <x:c r="A9226" s="4" t="str">
        <x:v>RS-04555-I1</x:v>
      </x:c>
      <x:c r="B9226" s="4" t="str">
        <x:v>RS-04555</x:v>
      </x:c>
      <x:c r="C9226" s="9" t="n">
        <x:v>1</x:v>
      </x:c>
      <x:c r="D9226" s="8" t="n">
        <x:v>45584</x:v>
      </x:c>
      <x:c r="E9226" s="9" t="n">
        <x:v>2208750</x:v>
      </x:c>
      <x:c r="F9226" s="9" t="n">
        <x:v>883500</x:v>
      </x:c>
    </x:row>
    <x:row r="9227" ht="34" customHeight="1">
      <x:c r="A9227" s="4" t="str">
        <x:v>RS-04555-I2</x:v>
      </x:c>
      <x:c r="B9227" s="4" t="str">
        <x:v>RS-04555</x:v>
      </x:c>
      <x:c r="C9227" s="9" t="n">
        <x:v>2</x:v>
      </x:c>
      <x:c r="D9227" s="8" t="n">
        <x:v>45614</x:v>
      </x:c>
      <x:c r="E9227" s="9" t="n">
        <x:v>2208750</x:v>
      </x:c>
      <x:c r="F9227" s="9" t="n">
        <x:v>0</x:v>
      </x:c>
    </x:row>
    <x:row r="9228" ht="34" customHeight="1">
      <x:c r="A9228" s="4" t="str">
        <x:v>RS-04555-I3</x:v>
      </x:c>
      <x:c r="B9228" s="4" t="str">
        <x:v>RS-04555</x:v>
      </x:c>
      <x:c r="C9228" s="9" t="n">
        <x:v>3</x:v>
      </x:c>
      <x:c r="D9228" s="8" t="n">
        <x:v>45644</x:v>
      </x:c>
      <x:c r="E9228" s="9" t="n">
        <x:v>2208750</x:v>
      </x:c>
      <x:c r="F9228" s="9" t="n">
        <x:v>0</x:v>
      </x:c>
    </x:row>
    <x:row r="9229" ht="34" customHeight="1">
      <x:c r="A9229" s="4" t="str">
        <x:v>RS-04555-I4</x:v>
      </x:c>
      <x:c r="B9229" s="4" t="str">
        <x:v>RS-04555</x:v>
      </x:c>
      <x:c r="C9229" s="9" t="n">
        <x:v>4</x:v>
      </x:c>
      <x:c r="D9229" s="8" t="n">
        <x:v>45674</x:v>
      </x:c>
      <x:c r="E9229" s="9" t="n">
        <x:v>2208750</x:v>
      </x:c>
      <x:c r="F9229" s="9" t="n">
        <x:v>0</x:v>
      </x:c>
    </x:row>
    <x:row r="9230" ht="34" customHeight="1">
      <x:c r="A9230" s="4" t="str">
        <x:v>RS-04558-I1</x:v>
      </x:c>
      <x:c r="B9230" s="4" t="str">
        <x:v>RS-04558</x:v>
      </x:c>
      <x:c r="C9230" s="9" t="n">
        <x:v>1</x:v>
      </x:c>
      <x:c r="D9230" s="8" t="n">
        <x:v>45587</x:v>
      </x:c>
      <x:c r="E9230" s="9" t="n">
        <x:v>2934750</x:v>
      </x:c>
      <x:c r="F9230" s="9" t="n">
        <x:v>2934750</x:v>
      </x:c>
    </x:row>
    <x:row r="9231" ht="34" customHeight="1">
      <x:c r="A9231" s="4" t="str">
        <x:v>RS-04558-I2</x:v>
      </x:c>
      <x:c r="B9231" s="4" t="str">
        <x:v>RS-04558</x:v>
      </x:c>
      <x:c r="C9231" s="9" t="n">
        <x:v>2</x:v>
      </x:c>
      <x:c r="D9231" s="8" t="n">
        <x:v>45617</x:v>
      </x:c>
      <x:c r="E9231" s="9" t="n">
        <x:v>2934750</x:v>
      </x:c>
      <x:c r="F9231" s="9" t="n">
        <x:v>2934750</x:v>
      </x:c>
    </x:row>
    <x:row r="9232" ht="34" customHeight="1">
      <x:c r="A9232" s="4" t="str">
        <x:v>RS-04558-I3</x:v>
      </x:c>
      <x:c r="B9232" s="4" t="str">
        <x:v>RS-04558</x:v>
      </x:c>
      <x:c r="C9232" s="9" t="n">
        <x:v>3</x:v>
      </x:c>
      <x:c r="D9232" s="8" t="n">
        <x:v>45647</x:v>
      </x:c>
      <x:c r="E9232" s="9" t="n">
        <x:v>2934750</x:v>
      </x:c>
      <x:c r="F9232" s="9" t="n">
        <x:v>2934750</x:v>
      </x:c>
    </x:row>
    <x:row r="9233" ht="34" customHeight="1">
      <x:c r="A9233" s="4" t="str">
        <x:v>RS-04558-I4</x:v>
      </x:c>
      <x:c r="B9233" s="4" t="str">
        <x:v>RS-04558</x:v>
      </x:c>
      <x:c r="C9233" s="9" t="n">
        <x:v>4</x:v>
      </x:c>
      <x:c r="D9233" s="8" t="n">
        <x:v>45677</x:v>
      </x:c>
      <x:c r="E9233" s="9" t="n">
        <x:v>2934750</x:v>
      </x:c>
      <x:c r="F9233" s="9" t="n">
        <x:v>2934750</x:v>
      </x:c>
    </x:row>
    <x:row r="9234" ht="34" customHeight="1">
      <x:c r="A9234" s="4" t="str">
        <x:v>RS-04559-I1</x:v>
      </x:c>
      <x:c r="B9234" s="4" t="str">
        <x:v>RS-04559</x:v>
      </x:c>
      <x:c r="C9234" s="9" t="n">
        <x:v>1</x:v>
      </x:c>
      <x:c r="D9234" s="8" t="n">
        <x:v>45588</x:v>
      </x:c>
      <x:c r="E9234" s="9" t="n">
        <x:v>2548000</x:v>
      </x:c>
      <x:c r="F9234" s="9" t="n">
        <x:v>2548000</x:v>
      </x:c>
    </x:row>
    <x:row r="9235" ht="34" customHeight="1">
      <x:c r="A9235" s="4" t="str">
        <x:v>RS-04559-I2</x:v>
      </x:c>
      <x:c r="B9235" s="4" t="str">
        <x:v>RS-04559</x:v>
      </x:c>
      <x:c r="C9235" s="9" t="n">
        <x:v>2</x:v>
      </x:c>
      <x:c r="D9235" s="8" t="n">
        <x:v>45618</x:v>
      </x:c>
      <x:c r="E9235" s="9" t="n">
        <x:v>2548000</x:v>
      </x:c>
      <x:c r="F9235" s="9" t="n">
        <x:v>2548000</x:v>
      </x:c>
    </x:row>
    <x:row r="9236" ht="34" customHeight="1">
      <x:c r="A9236" s="4" t="str">
        <x:v>RS-04559-I3</x:v>
      </x:c>
      <x:c r="B9236" s="4" t="str">
        <x:v>RS-04559</x:v>
      </x:c>
      <x:c r="C9236" s="9" t="n">
        <x:v>3</x:v>
      </x:c>
      <x:c r="D9236" s="8" t="n">
        <x:v>45648</x:v>
      </x:c>
      <x:c r="E9236" s="9" t="n">
        <x:v>2548000</x:v>
      </x:c>
      <x:c r="F9236" s="9" t="n">
        <x:v>0</x:v>
      </x:c>
    </x:row>
    <x:row r="9237" ht="34" customHeight="1">
      <x:c r="A9237" s="4" t="str">
        <x:v>RS-04559-I4</x:v>
      </x:c>
      <x:c r="B9237" s="4" t="str">
        <x:v>RS-04559</x:v>
      </x:c>
      <x:c r="C9237" s="9" t="n">
        <x:v>4</x:v>
      </x:c>
      <x:c r="D9237" s="8" t="n">
        <x:v>45678</x:v>
      </x:c>
      <x:c r="E9237" s="9" t="n">
        <x:v>2548000</x:v>
      </x:c>
      <x:c r="F9237" s="9" t="n">
        <x:v>0</x:v>
      </x:c>
    </x:row>
    <x:row r="9238" ht="34" customHeight="1">
      <x:c r="A9238" s="4" t="str">
        <x:v>RS-04561-I1</x:v>
      </x:c>
      <x:c r="B9238" s="4" t="str">
        <x:v>RS-04561</x:v>
      </x:c>
      <x:c r="C9238" s="9" t="n">
        <x:v>1</x:v>
      </x:c>
      <x:c r="D9238" s="8" t="n">
        <x:v>45590</x:v>
      </x:c>
      <x:c r="E9238" s="9" t="n">
        <x:v>4898500</x:v>
      </x:c>
      <x:c r="F9238" s="9" t="n">
        <x:v>4898500</x:v>
      </x:c>
    </x:row>
    <x:row r="9239" ht="34" customHeight="1">
      <x:c r="A9239" s="4" t="str">
        <x:v>RS-04561-I2</x:v>
      </x:c>
      <x:c r="B9239" s="4" t="str">
        <x:v>RS-04561</x:v>
      </x:c>
      <x:c r="C9239" s="9" t="n">
        <x:v>2</x:v>
      </x:c>
      <x:c r="D9239" s="8" t="n">
        <x:v>45620</x:v>
      </x:c>
      <x:c r="E9239" s="9" t="n">
        <x:v>4898500</x:v>
      </x:c>
      <x:c r="F9239" s="9" t="n">
        <x:v>4898500</x:v>
      </x:c>
    </x:row>
    <x:row r="9240" ht="34" customHeight="1">
      <x:c r="A9240" s="4" t="str">
        <x:v>RS-04561-I3</x:v>
      </x:c>
      <x:c r="B9240" s="4" t="str">
        <x:v>RS-04561</x:v>
      </x:c>
      <x:c r="C9240" s="9" t="n">
        <x:v>3</x:v>
      </x:c>
      <x:c r="D9240" s="8" t="n">
        <x:v>45650</x:v>
      </x:c>
      <x:c r="E9240" s="9" t="n">
        <x:v>4898500</x:v>
      </x:c>
      <x:c r="F9240" s="9" t="n">
        <x:v>4898500</x:v>
      </x:c>
    </x:row>
    <x:row r="9241" ht="34" customHeight="1">
      <x:c r="A9241" s="4" t="str">
        <x:v>RS-04561-I4</x:v>
      </x:c>
      <x:c r="B9241" s="4" t="str">
        <x:v>RS-04561</x:v>
      </x:c>
      <x:c r="C9241" s="9" t="n">
        <x:v>4</x:v>
      </x:c>
      <x:c r="D9241" s="8" t="n">
        <x:v>45680</x:v>
      </x:c>
      <x:c r="E9241" s="9" t="n">
        <x:v>4898500</x:v>
      </x:c>
      <x:c r="F9241" s="9" t="n">
        <x:v>4898500</x:v>
      </x:c>
    </x:row>
    <x:row r="9242" ht="34" customHeight="1">
      <x:c r="A9242" s="4" t="str">
        <x:v>RS-04562-I1</x:v>
      </x:c>
      <x:c r="B9242" s="4" t="str">
        <x:v>RS-04562</x:v>
      </x:c>
      <x:c r="C9242" s="9" t="n">
        <x:v>1</x:v>
      </x:c>
      <x:c r="D9242" s="8" t="n">
        <x:v>45591</x:v>
      </x:c>
      <x:c r="E9242" s="9" t="n">
        <x:v>3276000</x:v>
      </x:c>
      <x:c r="F9242" s="9" t="n">
        <x:v>3276000</x:v>
      </x:c>
    </x:row>
    <x:row r="9243" ht="34" customHeight="1">
      <x:c r="A9243" s="4" t="str">
        <x:v>RS-04562-I2</x:v>
      </x:c>
      <x:c r="B9243" s="4" t="str">
        <x:v>RS-04562</x:v>
      </x:c>
      <x:c r="C9243" s="9" t="n">
        <x:v>2</x:v>
      </x:c>
      <x:c r="D9243" s="8" t="n">
        <x:v>45621</x:v>
      </x:c>
      <x:c r="E9243" s="9" t="n">
        <x:v>3276000</x:v>
      </x:c>
      <x:c r="F9243" s="9" t="n">
        <x:v>0</x:v>
      </x:c>
    </x:row>
    <x:row r="9244" ht="34" customHeight="1">
      <x:c r="A9244" s="4" t="str">
        <x:v>RS-04562-I3</x:v>
      </x:c>
      <x:c r="B9244" s="4" t="str">
        <x:v>RS-04562</x:v>
      </x:c>
      <x:c r="C9244" s="9" t="n">
        <x:v>3</x:v>
      </x:c>
      <x:c r="D9244" s="8" t="n">
        <x:v>45651</x:v>
      </x:c>
      <x:c r="E9244" s="9" t="n">
        <x:v>3276000</x:v>
      </x:c>
      <x:c r="F9244" s="9" t="n">
        <x:v>0</x:v>
      </x:c>
    </x:row>
    <x:row r="9245" ht="34" customHeight="1">
      <x:c r="A9245" s="4" t="str">
        <x:v>RS-04562-I4</x:v>
      </x:c>
      <x:c r="B9245" s="4" t="str">
        <x:v>RS-04562</x:v>
      </x:c>
      <x:c r="C9245" s="9" t="n">
        <x:v>4</x:v>
      </x:c>
      <x:c r="D9245" s="8" t="n">
        <x:v>45681</x:v>
      </x:c>
      <x:c r="E9245" s="9" t="n">
        <x:v>3276000</x:v>
      </x:c>
      <x:c r="F9245" s="9" t="n">
        <x:v>0</x:v>
      </x:c>
    </x:row>
    <x:row r="9246" ht="34" customHeight="1">
      <x:c r="A9246" s="4" t="str">
        <x:v>RS-04566-I1</x:v>
      </x:c>
      <x:c r="B9246" s="4" t="str">
        <x:v>RS-04566</x:v>
      </x:c>
      <x:c r="C9246" s="9" t="n">
        <x:v>1</x:v>
      </x:c>
      <x:c r="D9246" s="8" t="n">
        <x:v>45567</x:v>
      </x:c>
      <x:c r="E9246" s="9" t="n">
        <x:v>3580500</x:v>
      </x:c>
      <x:c r="F9246" s="9" t="n">
        <x:v>3580500</x:v>
      </x:c>
    </x:row>
    <x:row r="9247" ht="34" customHeight="1">
      <x:c r="A9247" s="4" t="str">
        <x:v>RS-04566-I2</x:v>
      </x:c>
      <x:c r="B9247" s="4" t="str">
        <x:v>RS-04566</x:v>
      </x:c>
      <x:c r="C9247" s="9" t="n">
        <x:v>2</x:v>
      </x:c>
      <x:c r="D9247" s="8" t="n">
        <x:v>45597</x:v>
      </x:c>
      <x:c r="E9247" s="9" t="n">
        <x:v>3580500</x:v>
      </x:c>
      <x:c r="F9247" s="9" t="n">
        <x:v>3580500</x:v>
      </x:c>
    </x:row>
    <x:row r="9248" ht="34" customHeight="1">
      <x:c r="A9248" s="4" t="str">
        <x:v>RS-04566-I3</x:v>
      </x:c>
      <x:c r="B9248" s="4" t="str">
        <x:v>RS-04566</x:v>
      </x:c>
      <x:c r="C9248" s="9" t="n">
        <x:v>3</x:v>
      </x:c>
      <x:c r="D9248" s="8" t="n">
        <x:v>45627</x:v>
      </x:c>
      <x:c r="E9248" s="9" t="n">
        <x:v>3580500</x:v>
      </x:c>
      <x:c r="F9248" s="9" t="n">
        <x:v>0</x:v>
      </x:c>
    </x:row>
    <x:row r="9249" ht="34" customHeight="1">
      <x:c r="A9249" s="4" t="str">
        <x:v>RS-04566-I4</x:v>
      </x:c>
      <x:c r="B9249" s="4" t="str">
        <x:v>RS-04566</x:v>
      </x:c>
      <x:c r="C9249" s="9" t="n">
        <x:v>4</x:v>
      </x:c>
      <x:c r="D9249" s="8" t="n">
        <x:v>45657</x:v>
      </x:c>
      <x:c r="E9249" s="9" t="n">
        <x:v>3580500</x:v>
      </x:c>
      <x:c r="F9249" s="9" t="n">
        <x:v>0</x:v>
      </x:c>
    </x:row>
    <x:row r="9250" ht="34" customHeight="1">
      <x:c r="A9250" s="4" t="str">
        <x:v>RS-04569-I1</x:v>
      </x:c>
      <x:c r="B9250" s="4" t="str">
        <x:v>RS-04569</x:v>
      </x:c>
      <x:c r="C9250" s="9" t="n">
        <x:v>1</x:v>
      </x:c>
      <x:c r="D9250" s="8" t="n">
        <x:v>45570</x:v>
      </x:c>
      <x:c r="E9250" s="9" t="n">
        <x:v>5964750</x:v>
      </x:c>
      <x:c r="F9250" s="9" t="n">
        <x:v>5964750</x:v>
      </x:c>
    </x:row>
    <x:row r="9251" ht="34" customHeight="1">
      <x:c r="A9251" s="4" t="str">
        <x:v>RS-04569-I2</x:v>
      </x:c>
      <x:c r="B9251" s="4" t="str">
        <x:v>RS-04569</x:v>
      </x:c>
      <x:c r="C9251" s="9" t="n">
        <x:v>2</x:v>
      </x:c>
      <x:c r="D9251" s="8" t="n">
        <x:v>45600</x:v>
      </x:c>
      <x:c r="E9251" s="9" t="n">
        <x:v>5964750</x:v>
      </x:c>
      <x:c r="F9251" s="9" t="n">
        <x:v>0</x:v>
      </x:c>
    </x:row>
    <x:row r="9252" ht="34" customHeight="1">
      <x:c r="A9252" s="4" t="str">
        <x:v>RS-04569-I3</x:v>
      </x:c>
      <x:c r="B9252" s="4" t="str">
        <x:v>RS-04569</x:v>
      </x:c>
      <x:c r="C9252" s="9" t="n">
        <x:v>3</x:v>
      </x:c>
      <x:c r="D9252" s="8" t="n">
        <x:v>45630</x:v>
      </x:c>
      <x:c r="E9252" s="9" t="n">
        <x:v>5964750</x:v>
      </x:c>
      <x:c r="F9252" s="9" t="n">
        <x:v>0</x:v>
      </x:c>
    </x:row>
    <x:row r="9253" ht="34" customHeight="1">
      <x:c r="A9253" s="4" t="str">
        <x:v>RS-04569-I4</x:v>
      </x:c>
      <x:c r="B9253" s="4" t="str">
        <x:v>RS-04569</x:v>
      </x:c>
      <x:c r="C9253" s="9" t="n">
        <x:v>4</x:v>
      </x:c>
      <x:c r="D9253" s="8" t="n">
        <x:v>45660</x:v>
      </x:c>
      <x:c r="E9253" s="9" t="n">
        <x:v>5964750</x:v>
      </x:c>
      <x:c r="F9253" s="9" t="n">
        <x:v>0</x:v>
      </x:c>
    </x:row>
    <x:row r="9254" ht="34" customHeight="1">
      <x:c r="A9254" s="4" t="str">
        <x:v>RS-04571-I1</x:v>
      </x:c>
      <x:c r="B9254" s="4" t="str">
        <x:v>RS-04571</x:v>
      </x:c>
      <x:c r="C9254" s="9" t="n">
        <x:v>1</x:v>
      </x:c>
      <x:c r="D9254" s="8" t="n">
        <x:v>45572</x:v>
      </x:c>
      <x:c r="E9254" s="9" t="n">
        <x:v>5240500</x:v>
      </x:c>
      <x:c r="F9254" s="9" t="n">
        <x:v>5240500</x:v>
      </x:c>
    </x:row>
    <x:row r="9255" ht="34" customHeight="1">
      <x:c r="A9255" s="4" t="str">
        <x:v>RS-04571-I2</x:v>
      </x:c>
      <x:c r="B9255" s="4" t="str">
        <x:v>RS-04571</x:v>
      </x:c>
      <x:c r="C9255" s="9" t="n">
        <x:v>2</x:v>
      </x:c>
      <x:c r="D9255" s="8" t="n">
        <x:v>45602</x:v>
      </x:c>
      <x:c r="E9255" s="9" t="n">
        <x:v>5240500</x:v>
      </x:c>
      <x:c r="F9255" s="9" t="n">
        <x:v>5240500</x:v>
      </x:c>
    </x:row>
    <x:row r="9256" ht="34" customHeight="1">
      <x:c r="A9256" s="4" t="str">
        <x:v>RS-04571-I3</x:v>
      </x:c>
      <x:c r="B9256" s="4" t="str">
        <x:v>RS-04571</x:v>
      </x:c>
      <x:c r="C9256" s="9" t="n">
        <x:v>3</x:v>
      </x:c>
      <x:c r="D9256" s="8" t="n">
        <x:v>45632</x:v>
      </x:c>
      <x:c r="E9256" s="9" t="n">
        <x:v>5240500</x:v>
      </x:c>
      <x:c r="F9256" s="9" t="n">
        <x:v>0</x:v>
      </x:c>
    </x:row>
    <x:row r="9257" ht="34" customHeight="1">
      <x:c r="A9257" s="4" t="str">
        <x:v>RS-04571-I4</x:v>
      </x:c>
      <x:c r="B9257" s="4" t="str">
        <x:v>RS-04571</x:v>
      </x:c>
      <x:c r="C9257" s="9" t="n">
        <x:v>4</x:v>
      </x:c>
      <x:c r="D9257" s="8" t="n">
        <x:v>45662</x:v>
      </x:c>
      <x:c r="E9257" s="9" t="n">
        <x:v>5240500</x:v>
      </x:c>
      <x:c r="F9257" s="9" t="n">
        <x:v>0</x:v>
      </x:c>
    </x:row>
    <x:row r="9258" ht="34" customHeight="1">
      <x:c r="A9258" s="4" t="str">
        <x:v>RS-04573-I1</x:v>
      </x:c>
      <x:c r="B9258" s="4" t="str">
        <x:v>RS-04573</x:v>
      </x:c>
      <x:c r="C9258" s="9" t="n">
        <x:v>1</x:v>
      </x:c>
      <x:c r="D9258" s="8" t="n">
        <x:v>45574</x:v>
      </x:c>
      <x:c r="E9258" s="9" t="n">
        <x:v>1462500</x:v>
      </x:c>
      <x:c r="F9258" s="9" t="n">
        <x:v>1462500</x:v>
      </x:c>
    </x:row>
    <x:row r="9259" ht="34" customHeight="1">
      <x:c r="A9259" s="4" t="str">
        <x:v>RS-04573-I2</x:v>
      </x:c>
      <x:c r="B9259" s="4" t="str">
        <x:v>RS-04573</x:v>
      </x:c>
      <x:c r="C9259" s="9" t="n">
        <x:v>2</x:v>
      </x:c>
      <x:c r="D9259" s="8" t="n">
        <x:v>45604</x:v>
      </x:c>
      <x:c r="E9259" s="9" t="n">
        <x:v>1462500</x:v>
      </x:c>
      <x:c r="F9259" s="9" t="n">
        <x:v>1462500</x:v>
      </x:c>
    </x:row>
    <x:row r="9260" ht="34" customHeight="1">
      <x:c r="A9260" s="4" t="str">
        <x:v>RS-04573-I3</x:v>
      </x:c>
      <x:c r="B9260" s="4" t="str">
        <x:v>RS-04573</x:v>
      </x:c>
      <x:c r="C9260" s="9" t="n">
        <x:v>3</x:v>
      </x:c>
      <x:c r="D9260" s="8" t="n">
        <x:v>45634</x:v>
      </x:c>
      <x:c r="E9260" s="9" t="n">
        <x:v>1462500</x:v>
      </x:c>
      <x:c r="F9260" s="9" t="n">
        <x:v>1462500</x:v>
      </x:c>
    </x:row>
    <x:row r="9261" ht="34" customHeight="1">
      <x:c r="A9261" s="4" t="str">
        <x:v>RS-04573-I4</x:v>
      </x:c>
      <x:c r="B9261" s="4" t="str">
        <x:v>RS-04573</x:v>
      </x:c>
      <x:c r="C9261" s="9" t="n">
        <x:v>4</x:v>
      </x:c>
      <x:c r="D9261" s="8" t="n">
        <x:v>45664</x:v>
      </x:c>
      <x:c r="E9261" s="9" t="n">
        <x:v>1462500</x:v>
      </x:c>
      <x:c r="F9261" s="9" t="n">
        <x:v>1462500</x:v>
      </x:c>
    </x:row>
    <x:row r="9262" ht="34" customHeight="1">
      <x:c r="A9262" s="4" t="str">
        <x:v>RS-04575-I1</x:v>
      </x:c>
      <x:c r="B9262" s="4" t="str">
        <x:v>RS-04575</x:v>
      </x:c>
      <x:c r="C9262" s="9" t="n">
        <x:v>1</x:v>
      </x:c>
      <x:c r="D9262" s="8" t="n">
        <x:v>45576</x:v>
      </x:c>
      <x:c r="E9262" s="9" t="n">
        <x:v>787500</x:v>
      </x:c>
      <x:c r="F9262" s="9" t="n">
        <x:v>787500</x:v>
      </x:c>
    </x:row>
    <x:row r="9263" ht="34" customHeight="1">
      <x:c r="A9263" s="4" t="str">
        <x:v>RS-04575-I2</x:v>
      </x:c>
      <x:c r="B9263" s="4" t="str">
        <x:v>RS-04575</x:v>
      </x:c>
      <x:c r="C9263" s="9" t="n">
        <x:v>2</x:v>
      </x:c>
      <x:c r="D9263" s="8" t="n">
        <x:v>45606</x:v>
      </x:c>
      <x:c r="E9263" s="9" t="n">
        <x:v>787500</x:v>
      </x:c>
      <x:c r="F9263" s="9" t="n">
        <x:v>787500</x:v>
      </x:c>
    </x:row>
    <x:row r="9264" ht="34" customHeight="1">
      <x:c r="A9264" s="4" t="str">
        <x:v>RS-04575-I3</x:v>
      </x:c>
      <x:c r="B9264" s="4" t="str">
        <x:v>RS-04575</x:v>
      </x:c>
      <x:c r="C9264" s="9" t="n">
        <x:v>3</x:v>
      </x:c>
      <x:c r="D9264" s="8" t="n">
        <x:v>45636</x:v>
      </x:c>
      <x:c r="E9264" s="9" t="n">
        <x:v>787500</x:v>
      </x:c>
      <x:c r="F9264" s="9" t="n">
        <x:v>787500</x:v>
      </x:c>
    </x:row>
    <x:row r="9265" ht="34" customHeight="1">
      <x:c r="A9265" s="4" t="str">
        <x:v>RS-04575-I4</x:v>
      </x:c>
      <x:c r="B9265" s="4" t="str">
        <x:v>RS-04575</x:v>
      </x:c>
      <x:c r="C9265" s="9" t="n">
        <x:v>4</x:v>
      </x:c>
      <x:c r="D9265" s="8" t="n">
        <x:v>45666</x:v>
      </x:c>
      <x:c r="E9265" s="9" t="n">
        <x:v>787500</x:v>
      </x:c>
      <x:c r="F9265" s="9" t="n">
        <x:v>787500</x:v>
      </x:c>
    </x:row>
    <x:row r="9266" ht="34" customHeight="1">
      <x:c r="A9266" s="4" t="str">
        <x:v>RS-04577-I1</x:v>
      </x:c>
      <x:c r="B9266" s="4" t="str">
        <x:v>RS-04577</x:v>
      </x:c>
      <x:c r="C9266" s="9" t="n">
        <x:v>1</x:v>
      </x:c>
      <x:c r="D9266" s="8" t="n">
        <x:v>45578</x:v>
      </x:c>
      <x:c r="E9266" s="9" t="n">
        <x:v>2836500</x:v>
      </x:c>
      <x:c r="F9266" s="9" t="n">
        <x:v>2836500</x:v>
      </x:c>
    </x:row>
    <x:row r="9267" ht="34" customHeight="1">
      <x:c r="A9267" s="4" t="str">
        <x:v>RS-04577-I2</x:v>
      </x:c>
      <x:c r="B9267" s="4" t="str">
        <x:v>RS-04577</x:v>
      </x:c>
      <x:c r="C9267" s="9" t="n">
        <x:v>2</x:v>
      </x:c>
      <x:c r="D9267" s="8" t="n">
        <x:v>45608</x:v>
      </x:c>
      <x:c r="E9267" s="9" t="n">
        <x:v>2836500</x:v>
      </x:c>
      <x:c r="F9267" s="9" t="n">
        <x:v>2836500</x:v>
      </x:c>
    </x:row>
    <x:row r="9268" ht="34" customHeight="1">
      <x:c r="A9268" s="4" t="str">
        <x:v>RS-04577-I3</x:v>
      </x:c>
      <x:c r="B9268" s="4" t="str">
        <x:v>RS-04577</x:v>
      </x:c>
      <x:c r="C9268" s="9" t="n">
        <x:v>3</x:v>
      </x:c>
      <x:c r="D9268" s="8" t="n">
        <x:v>45638</x:v>
      </x:c>
      <x:c r="E9268" s="9" t="n">
        <x:v>2836500</x:v>
      </x:c>
      <x:c r="F9268" s="9" t="n">
        <x:v>0</x:v>
      </x:c>
    </x:row>
    <x:row r="9269" ht="34" customHeight="1">
      <x:c r="A9269" s="4" t="str">
        <x:v>RS-04577-I4</x:v>
      </x:c>
      <x:c r="B9269" s="4" t="str">
        <x:v>RS-04577</x:v>
      </x:c>
      <x:c r="C9269" s="9" t="n">
        <x:v>4</x:v>
      </x:c>
      <x:c r="D9269" s="8" t="n">
        <x:v>45668</x:v>
      </x:c>
      <x:c r="E9269" s="9" t="n">
        <x:v>2836500</x:v>
      </x:c>
      <x:c r="F9269" s="9" t="n">
        <x:v>0</x:v>
      </x:c>
    </x:row>
    <x:row r="9270" ht="34" customHeight="1">
      <x:c r="A9270" s="4" t="str">
        <x:v>RS-04579-I1</x:v>
      </x:c>
      <x:c r="B9270" s="4" t="str">
        <x:v>RS-04579</x:v>
      </x:c>
      <x:c r="C9270" s="9" t="n">
        <x:v>1</x:v>
      </x:c>
      <x:c r="D9270" s="8" t="n">
        <x:v>45580</x:v>
      </x:c>
      <x:c r="E9270" s="9" t="n">
        <x:v>1704000</x:v>
      </x:c>
      <x:c r="F9270" s="9" t="n">
        <x:v>1704000</x:v>
      </x:c>
    </x:row>
    <x:row r="9271" ht="34" customHeight="1">
      <x:c r="A9271" s="4" t="str">
        <x:v>RS-04579-I2</x:v>
      </x:c>
      <x:c r="B9271" s="4" t="str">
        <x:v>RS-04579</x:v>
      </x:c>
      <x:c r="C9271" s="9" t="n">
        <x:v>2</x:v>
      </x:c>
      <x:c r="D9271" s="8" t="n">
        <x:v>45610</x:v>
      </x:c>
      <x:c r="E9271" s="9" t="n">
        <x:v>1704000</x:v>
      </x:c>
      <x:c r="F9271" s="9" t="n">
        <x:v>1704000</x:v>
      </x:c>
    </x:row>
    <x:row r="9272" ht="34" customHeight="1">
      <x:c r="A9272" s="4" t="str">
        <x:v>RS-04579-I3</x:v>
      </x:c>
      <x:c r="B9272" s="4" t="str">
        <x:v>RS-04579</x:v>
      </x:c>
      <x:c r="C9272" s="9" t="n">
        <x:v>3</x:v>
      </x:c>
      <x:c r="D9272" s="8" t="n">
        <x:v>45640</x:v>
      </x:c>
      <x:c r="E9272" s="9" t="n">
        <x:v>1704000</x:v>
      </x:c>
      <x:c r="F9272" s="9" t="n">
        <x:v>0</x:v>
      </x:c>
    </x:row>
    <x:row r="9273" ht="34" customHeight="1">
      <x:c r="A9273" s="4" t="str">
        <x:v>RS-04579-I4</x:v>
      </x:c>
      <x:c r="B9273" s="4" t="str">
        <x:v>RS-04579</x:v>
      </x:c>
      <x:c r="C9273" s="9" t="n">
        <x:v>4</x:v>
      </x:c>
      <x:c r="D9273" s="8" t="n">
        <x:v>45670</x:v>
      </x:c>
      <x:c r="E9273" s="9" t="n">
        <x:v>1704000</x:v>
      </x:c>
      <x:c r="F9273" s="9" t="n">
        <x:v>0</x:v>
      </x:c>
    </x:row>
    <x:row r="9274" ht="34" customHeight="1">
      <x:c r="A9274" s="4" t="str">
        <x:v>RS-04583-I1</x:v>
      </x:c>
      <x:c r="B9274" s="4" t="str">
        <x:v>RS-04583</x:v>
      </x:c>
      <x:c r="C9274" s="9" t="n">
        <x:v>1</x:v>
      </x:c>
      <x:c r="D9274" s="8" t="n">
        <x:v>45584</x:v>
      </x:c>
      <x:c r="E9274" s="9" t="n">
        <x:v>882000</x:v>
      </x:c>
      <x:c r="F9274" s="9" t="n">
        <x:v>882000</x:v>
      </x:c>
    </x:row>
    <x:row r="9275" ht="34" customHeight="1">
      <x:c r="A9275" s="4" t="str">
        <x:v>RS-04583-I2</x:v>
      </x:c>
      <x:c r="B9275" s="4" t="str">
        <x:v>RS-04583</x:v>
      </x:c>
      <x:c r="C9275" s="9" t="n">
        <x:v>2</x:v>
      </x:c>
      <x:c r="D9275" s="8" t="n">
        <x:v>45614</x:v>
      </x:c>
      <x:c r="E9275" s="9" t="n">
        <x:v>882000</x:v>
      </x:c>
      <x:c r="F9275" s="9" t="n">
        <x:v>0</x:v>
      </x:c>
    </x:row>
    <x:row r="9276" ht="34" customHeight="1">
      <x:c r="A9276" s="4" t="str">
        <x:v>RS-04583-I3</x:v>
      </x:c>
      <x:c r="B9276" s="4" t="str">
        <x:v>RS-04583</x:v>
      </x:c>
      <x:c r="C9276" s="9" t="n">
        <x:v>3</x:v>
      </x:c>
      <x:c r="D9276" s="8" t="n">
        <x:v>45644</x:v>
      </x:c>
      <x:c r="E9276" s="9" t="n">
        <x:v>882000</x:v>
      </x:c>
      <x:c r="F9276" s="9" t="n">
        <x:v>0</x:v>
      </x:c>
    </x:row>
    <x:row r="9277" ht="34" customHeight="1">
      <x:c r="A9277" s="4" t="str">
        <x:v>RS-04583-I4</x:v>
      </x:c>
      <x:c r="B9277" s="4" t="str">
        <x:v>RS-04583</x:v>
      </x:c>
      <x:c r="C9277" s="9" t="n">
        <x:v>4</x:v>
      </x:c>
      <x:c r="D9277" s="8" t="n">
        <x:v>45674</x:v>
      </x:c>
      <x:c r="E9277" s="9" t="n">
        <x:v>882000</x:v>
      </x:c>
      <x:c r="F9277" s="9" t="n">
        <x:v>0</x:v>
      </x:c>
    </x:row>
    <x:row r="9278" ht="34" customHeight="1">
      <x:c r="A9278" s="4" t="str">
        <x:v>RS-04586-I1</x:v>
      </x:c>
      <x:c r="B9278" s="4" t="str">
        <x:v>RS-04586</x:v>
      </x:c>
      <x:c r="C9278" s="9" t="n">
        <x:v>1</x:v>
      </x:c>
      <x:c r="D9278" s="8" t="n">
        <x:v>45587</x:v>
      </x:c>
      <x:c r="E9278" s="9" t="n">
        <x:v>3405500</x:v>
      </x:c>
      <x:c r="F9278" s="9" t="n">
        <x:v>1362200</x:v>
      </x:c>
    </x:row>
    <x:row r="9279" ht="34" customHeight="1">
      <x:c r="A9279" s="4" t="str">
        <x:v>RS-04586-I2</x:v>
      </x:c>
      <x:c r="B9279" s="4" t="str">
        <x:v>RS-04586</x:v>
      </x:c>
      <x:c r="C9279" s="9" t="n">
        <x:v>2</x:v>
      </x:c>
      <x:c r="D9279" s="8" t="n">
        <x:v>45617</x:v>
      </x:c>
      <x:c r="E9279" s="9" t="n">
        <x:v>3405500</x:v>
      </x:c>
      <x:c r="F9279" s="9" t="n">
        <x:v>0</x:v>
      </x:c>
    </x:row>
    <x:row r="9280" ht="34" customHeight="1">
      <x:c r="A9280" s="4" t="str">
        <x:v>RS-04586-I3</x:v>
      </x:c>
      <x:c r="B9280" s="4" t="str">
        <x:v>RS-04586</x:v>
      </x:c>
      <x:c r="C9280" s="9" t="n">
        <x:v>3</x:v>
      </x:c>
      <x:c r="D9280" s="8" t="n">
        <x:v>45647</x:v>
      </x:c>
      <x:c r="E9280" s="9" t="n">
        <x:v>3405500</x:v>
      </x:c>
      <x:c r="F9280" s="9" t="n">
        <x:v>0</x:v>
      </x:c>
    </x:row>
    <x:row r="9281" ht="34" customHeight="1">
      <x:c r="A9281" s="4" t="str">
        <x:v>RS-04586-I4</x:v>
      </x:c>
      <x:c r="B9281" s="4" t="str">
        <x:v>RS-04586</x:v>
      </x:c>
      <x:c r="C9281" s="9" t="n">
        <x:v>4</x:v>
      </x:c>
      <x:c r="D9281" s="8" t="n">
        <x:v>45677</x:v>
      </x:c>
      <x:c r="E9281" s="9" t="n">
        <x:v>3405500</x:v>
      </x:c>
      <x:c r="F9281" s="9" t="n">
        <x:v>0</x:v>
      </x:c>
    </x:row>
    <x:row r="9282" ht="34" customHeight="1">
      <x:c r="A9282" s="4" t="str">
        <x:v>RS-04587-I1</x:v>
      </x:c>
      <x:c r="B9282" s="4" t="str">
        <x:v>RS-04587</x:v>
      </x:c>
      <x:c r="C9282" s="9" t="n">
        <x:v>1</x:v>
      </x:c>
      <x:c r="D9282" s="8" t="n">
        <x:v>45588</x:v>
      </x:c>
      <x:c r="E9282" s="9" t="n">
        <x:v>3031500</x:v>
      </x:c>
      <x:c r="F9282" s="9" t="n">
        <x:v>3031500</x:v>
      </x:c>
    </x:row>
    <x:row r="9283" ht="34" customHeight="1">
      <x:c r="A9283" s="4" t="str">
        <x:v>RS-04587-I2</x:v>
      </x:c>
      <x:c r="B9283" s="4" t="str">
        <x:v>RS-04587</x:v>
      </x:c>
      <x:c r="C9283" s="9" t="n">
        <x:v>2</x:v>
      </x:c>
      <x:c r="D9283" s="8" t="n">
        <x:v>45618</x:v>
      </x:c>
      <x:c r="E9283" s="9" t="n">
        <x:v>3031500</x:v>
      </x:c>
      <x:c r="F9283" s="9" t="n">
        <x:v>3031500</x:v>
      </x:c>
    </x:row>
    <x:row r="9284" ht="34" customHeight="1">
      <x:c r="A9284" s="4" t="str">
        <x:v>RS-04587-I3</x:v>
      </x:c>
      <x:c r="B9284" s="4" t="str">
        <x:v>RS-04587</x:v>
      </x:c>
      <x:c r="C9284" s="9" t="n">
        <x:v>3</x:v>
      </x:c>
      <x:c r="D9284" s="8" t="n">
        <x:v>45648</x:v>
      </x:c>
      <x:c r="E9284" s="9" t="n">
        <x:v>3031500</x:v>
      </x:c>
      <x:c r="F9284" s="9" t="n">
        <x:v>0</x:v>
      </x:c>
    </x:row>
    <x:row r="9285" ht="34" customHeight="1">
      <x:c r="A9285" s="4" t="str">
        <x:v>RS-04587-I4</x:v>
      </x:c>
      <x:c r="B9285" s="4" t="str">
        <x:v>RS-04587</x:v>
      </x:c>
      <x:c r="C9285" s="9" t="n">
        <x:v>4</x:v>
      </x:c>
      <x:c r="D9285" s="8" t="n">
        <x:v>45678</x:v>
      </x:c>
      <x:c r="E9285" s="9" t="n">
        <x:v>3031500</x:v>
      </x:c>
      <x:c r="F9285" s="9" t="n">
        <x:v>0</x:v>
      </x:c>
    </x:row>
    <x:row r="9286" ht="34" customHeight="1">
      <x:c r="A9286" s="4" t="str">
        <x:v>RS-04588-I1</x:v>
      </x:c>
      <x:c r="B9286" s="4" t="str">
        <x:v>RS-04588</x:v>
      </x:c>
      <x:c r="C9286" s="9" t="n">
        <x:v>1</x:v>
      </x:c>
      <x:c r="D9286" s="8" t="n">
        <x:v>45589</x:v>
      </x:c>
      <x:c r="E9286" s="9" t="n">
        <x:v>3248500</x:v>
      </x:c>
      <x:c r="F9286" s="9" t="n">
        <x:v>3248500</x:v>
      </x:c>
    </x:row>
    <x:row r="9287" ht="34" customHeight="1">
      <x:c r="A9287" s="4" t="str">
        <x:v>RS-04588-I2</x:v>
      </x:c>
      <x:c r="B9287" s="4" t="str">
        <x:v>RS-04588</x:v>
      </x:c>
      <x:c r="C9287" s="9" t="n">
        <x:v>2</x:v>
      </x:c>
      <x:c r="D9287" s="8" t="n">
        <x:v>45619</x:v>
      </x:c>
      <x:c r="E9287" s="9" t="n">
        <x:v>3248500</x:v>
      </x:c>
      <x:c r="F9287" s="9" t="n">
        <x:v>3248500</x:v>
      </x:c>
    </x:row>
    <x:row r="9288" ht="34" customHeight="1">
      <x:c r="A9288" s="4" t="str">
        <x:v>RS-04588-I3</x:v>
      </x:c>
      <x:c r="B9288" s="4" t="str">
        <x:v>RS-04588</x:v>
      </x:c>
      <x:c r="C9288" s="9" t="n">
        <x:v>3</x:v>
      </x:c>
      <x:c r="D9288" s="8" t="n">
        <x:v>45649</x:v>
      </x:c>
      <x:c r="E9288" s="9" t="n">
        <x:v>3248500</x:v>
      </x:c>
      <x:c r="F9288" s="9" t="n">
        <x:v>0</x:v>
      </x:c>
    </x:row>
    <x:row r="9289" ht="34" customHeight="1">
      <x:c r="A9289" s="4" t="str">
        <x:v>RS-04588-I4</x:v>
      </x:c>
      <x:c r="B9289" s="4" t="str">
        <x:v>RS-04588</x:v>
      </x:c>
      <x:c r="C9289" s="9" t="n">
        <x:v>4</x:v>
      </x:c>
      <x:c r="D9289" s="8" t="n">
        <x:v>45679</x:v>
      </x:c>
      <x:c r="E9289" s="9" t="n">
        <x:v>3248500</x:v>
      </x:c>
      <x:c r="F9289" s="9" t="n">
        <x:v>0</x:v>
      </x:c>
    </x:row>
    <x:row r="9290" ht="34" customHeight="1">
      <x:c r="A9290" s="4" t="str">
        <x:v>RS-04591-I1</x:v>
      </x:c>
      <x:c r="B9290" s="4" t="str">
        <x:v>RS-04591</x:v>
      </x:c>
      <x:c r="C9290" s="9" t="n">
        <x:v>1</x:v>
      </x:c>
      <x:c r="D9290" s="8" t="n">
        <x:v>45592</x:v>
      </x:c>
      <x:c r="E9290" s="9" t="n">
        <x:v>1179250</x:v>
      </x:c>
      <x:c r="F9290" s="9" t="n">
        <x:v>1179250</x:v>
      </x:c>
    </x:row>
    <x:row r="9291" ht="34" customHeight="1">
      <x:c r="A9291" s="4" t="str">
        <x:v>RS-04591-I2</x:v>
      </x:c>
      <x:c r="B9291" s="4" t="str">
        <x:v>RS-04591</x:v>
      </x:c>
      <x:c r="C9291" s="9" t="n">
        <x:v>2</x:v>
      </x:c>
      <x:c r="D9291" s="8" t="n">
        <x:v>45622</x:v>
      </x:c>
      <x:c r="E9291" s="9" t="n">
        <x:v>1179250</x:v>
      </x:c>
      <x:c r="F9291" s="9" t="n">
        <x:v>0</x:v>
      </x:c>
    </x:row>
    <x:row r="9292" ht="34" customHeight="1">
      <x:c r="A9292" s="4" t="str">
        <x:v>RS-04591-I3</x:v>
      </x:c>
      <x:c r="B9292" s="4" t="str">
        <x:v>RS-04591</x:v>
      </x:c>
      <x:c r="C9292" s="9" t="n">
        <x:v>3</x:v>
      </x:c>
      <x:c r="D9292" s="8" t="n">
        <x:v>45652</x:v>
      </x:c>
      <x:c r="E9292" s="9" t="n">
        <x:v>1179250</x:v>
      </x:c>
      <x:c r="F9292" s="9" t="n">
        <x:v>0</x:v>
      </x:c>
    </x:row>
    <x:row r="9293" ht="34" customHeight="1">
      <x:c r="A9293" s="4" t="str">
        <x:v>RS-04591-I4</x:v>
      </x:c>
      <x:c r="B9293" s="4" t="str">
        <x:v>RS-04591</x:v>
      </x:c>
      <x:c r="C9293" s="9" t="n">
        <x:v>4</x:v>
      </x:c>
      <x:c r="D9293" s="8" t="n">
        <x:v>45682</x:v>
      </x:c>
      <x:c r="E9293" s="9" t="n">
        <x:v>1179250</x:v>
      </x:c>
      <x:c r="F9293" s="9" t="n">
        <x:v>0</x:v>
      </x:c>
    </x:row>
    <x:row r="9294" ht="34" customHeight="1">
      <x:c r="A9294" s="4" t="str">
        <x:v>RS-04592-I1</x:v>
      </x:c>
      <x:c r="B9294" s="4" t="str">
        <x:v>RS-04592</x:v>
      </x:c>
      <x:c r="C9294" s="9" t="n">
        <x:v>1</x:v>
      </x:c>
      <x:c r="D9294" s="8" t="n">
        <x:v>45593</x:v>
      </x:c>
      <x:c r="E9294" s="9" t="n">
        <x:v>3176750</x:v>
      </x:c>
      <x:c r="F9294" s="9" t="n">
        <x:v>3176750</x:v>
      </x:c>
    </x:row>
    <x:row r="9295" ht="34" customHeight="1">
      <x:c r="A9295" s="4" t="str">
        <x:v>RS-04592-I2</x:v>
      </x:c>
      <x:c r="B9295" s="4" t="str">
        <x:v>RS-04592</x:v>
      </x:c>
      <x:c r="C9295" s="9" t="n">
        <x:v>2</x:v>
      </x:c>
      <x:c r="D9295" s="8" t="n">
        <x:v>45623</x:v>
      </x:c>
      <x:c r="E9295" s="9" t="n">
        <x:v>3176750</x:v>
      </x:c>
      <x:c r="F9295" s="9" t="n">
        <x:v>3176750</x:v>
      </x:c>
    </x:row>
    <x:row r="9296" ht="34" customHeight="1">
      <x:c r="A9296" s="4" t="str">
        <x:v>RS-04592-I3</x:v>
      </x:c>
      <x:c r="B9296" s="4" t="str">
        <x:v>RS-04592</x:v>
      </x:c>
      <x:c r="C9296" s="9" t="n">
        <x:v>3</x:v>
      </x:c>
      <x:c r="D9296" s="8" t="n">
        <x:v>45653</x:v>
      </x:c>
      <x:c r="E9296" s="9" t="n">
        <x:v>3176750</x:v>
      </x:c>
      <x:c r="F9296" s="9" t="n">
        <x:v>3176750</x:v>
      </x:c>
    </x:row>
    <x:row r="9297" ht="34" customHeight="1">
      <x:c r="A9297" s="4" t="str">
        <x:v>RS-04592-I4</x:v>
      </x:c>
      <x:c r="B9297" s="4" t="str">
        <x:v>RS-04592</x:v>
      </x:c>
      <x:c r="C9297" s="9" t="n">
        <x:v>4</x:v>
      </x:c>
      <x:c r="D9297" s="8" t="n">
        <x:v>45683</x:v>
      </x:c>
      <x:c r="E9297" s="9" t="n">
        <x:v>3176750</x:v>
      </x:c>
      <x:c r="F9297" s="9" t="n">
        <x:v>3176750</x:v>
      </x:c>
    </x:row>
    <x:row r="9298" ht="34" customHeight="1">
      <x:c r="A9298" s="4" t="str">
        <x:v>RS-04595-I1</x:v>
      </x:c>
      <x:c r="B9298" s="4" t="str">
        <x:v>RS-04595</x:v>
      </x:c>
      <x:c r="C9298" s="9" t="n">
        <x:v>1</x:v>
      </x:c>
      <x:c r="D9298" s="8" t="n">
        <x:v>45568</x:v>
      </x:c>
      <x:c r="E9298" s="9" t="n">
        <x:v>5076000</x:v>
      </x:c>
      <x:c r="F9298" s="9" t="n">
        <x:v>5076000</x:v>
      </x:c>
    </x:row>
    <x:row r="9299" ht="34" customHeight="1">
      <x:c r="A9299" s="4" t="str">
        <x:v>RS-04595-I2</x:v>
      </x:c>
      <x:c r="B9299" s="4" t="str">
        <x:v>RS-04595</x:v>
      </x:c>
      <x:c r="C9299" s="9" t="n">
        <x:v>2</x:v>
      </x:c>
      <x:c r="D9299" s="8" t="n">
        <x:v>45598</x:v>
      </x:c>
      <x:c r="E9299" s="9" t="n">
        <x:v>5076000</x:v>
      </x:c>
      <x:c r="F9299" s="9" t="n">
        <x:v>5076000</x:v>
      </x:c>
    </x:row>
    <x:row r="9300" ht="34" customHeight="1">
      <x:c r="A9300" s="4" t="str">
        <x:v>RS-04595-I3</x:v>
      </x:c>
      <x:c r="B9300" s="4" t="str">
        <x:v>RS-04595</x:v>
      </x:c>
      <x:c r="C9300" s="9" t="n">
        <x:v>3</x:v>
      </x:c>
      <x:c r="D9300" s="8" t="n">
        <x:v>45628</x:v>
      </x:c>
      <x:c r="E9300" s="9" t="n">
        <x:v>5076000</x:v>
      </x:c>
      <x:c r="F9300" s="9" t="n">
        <x:v>0</x:v>
      </x:c>
    </x:row>
    <x:row r="9301" ht="34" customHeight="1">
      <x:c r="A9301" s="4" t="str">
        <x:v>RS-04595-I4</x:v>
      </x:c>
      <x:c r="B9301" s="4" t="str">
        <x:v>RS-04595</x:v>
      </x:c>
      <x:c r="C9301" s="9" t="n">
        <x:v>4</x:v>
      </x:c>
      <x:c r="D9301" s="8" t="n">
        <x:v>45658</x:v>
      </x:c>
      <x:c r="E9301" s="9" t="n">
        <x:v>5076000</x:v>
      </x:c>
      <x:c r="F9301" s="9" t="n">
        <x:v>0</x:v>
      </x:c>
    </x:row>
    <x:row r="9302" ht="34" customHeight="1">
      <x:c r="A9302" s="4" t="str">
        <x:v>RS-04596-I1</x:v>
      </x:c>
      <x:c r="B9302" s="4" t="str">
        <x:v>RS-04596</x:v>
      </x:c>
      <x:c r="C9302" s="9" t="n">
        <x:v>1</x:v>
      </x:c>
      <x:c r="D9302" s="8" t="n">
        <x:v>45569</x:v>
      </x:c>
      <x:c r="E9302" s="9" t="n">
        <x:v>4208750</x:v>
      </x:c>
      <x:c r="F9302" s="9" t="n">
        <x:v>1683500</x:v>
      </x:c>
    </x:row>
    <x:row r="9303" ht="34" customHeight="1">
      <x:c r="A9303" s="4" t="str">
        <x:v>RS-04596-I2</x:v>
      </x:c>
      <x:c r="B9303" s="4" t="str">
        <x:v>RS-04596</x:v>
      </x:c>
      <x:c r="C9303" s="9" t="n">
        <x:v>2</x:v>
      </x:c>
      <x:c r="D9303" s="8" t="n">
        <x:v>45599</x:v>
      </x:c>
      <x:c r="E9303" s="9" t="n">
        <x:v>4208750</x:v>
      </x:c>
      <x:c r="F9303" s="9" t="n">
        <x:v>0</x:v>
      </x:c>
    </x:row>
    <x:row r="9304" ht="34" customHeight="1">
      <x:c r="A9304" s="4" t="str">
        <x:v>RS-04596-I3</x:v>
      </x:c>
      <x:c r="B9304" s="4" t="str">
        <x:v>RS-04596</x:v>
      </x:c>
      <x:c r="C9304" s="9" t="n">
        <x:v>3</x:v>
      </x:c>
      <x:c r="D9304" s="8" t="n">
        <x:v>45629</x:v>
      </x:c>
      <x:c r="E9304" s="9" t="n">
        <x:v>4208750</x:v>
      </x:c>
      <x:c r="F9304" s="9" t="n">
        <x:v>0</x:v>
      </x:c>
    </x:row>
    <x:row r="9305" ht="34" customHeight="1">
      <x:c r="A9305" s="4" t="str">
        <x:v>RS-04596-I4</x:v>
      </x:c>
      <x:c r="B9305" s="4" t="str">
        <x:v>RS-04596</x:v>
      </x:c>
      <x:c r="C9305" s="9" t="n">
        <x:v>4</x:v>
      </x:c>
      <x:c r="D9305" s="8" t="n">
        <x:v>45659</x:v>
      </x:c>
      <x:c r="E9305" s="9" t="n">
        <x:v>4208750</x:v>
      </x:c>
      <x:c r="F9305" s="9" t="n">
        <x:v>0</x:v>
      </x:c>
    </x:row>
    <x:row r="9306" ht="34" customHeight="1">
      <x:c r="A9306" s="4" t="str">
        <x:v>RS-04597-I1</x:v>
      </x:c>
      <x:c r="B9306" s="4" t="str">
        <x:v>RS-04597</x:v>
      </x:c>
      <x:c r="C9306" s="9" t="n">
        <x:v>1</x:v>
      </x:c>
      <x:c r="D9306" s="8" t="n">
        <x:v>45570</x:v>
      </x:c>
      <x:c r="E9306" s="9" t="n">
        <x:v>2079000</x:v>
      </x:c>
      <x:c r="F9306" s="9" t="n">
        <x:v>2079000</x:v>
      </x:c>
    </x:row>
    <x:row r="9307" ht="34" customHeight="1">
      <x:c r="A9307" s="4" t="str">
        <x:v>RS-04597-I2</x:v>
      </x:c>
      <x:c r="B9307" s="4" t="str">
        <x:v>RS-04597</x:v>
      </x:c>
      <x:c r="C9307" s="9" t="n">
        <x:v>2</x:v>
      </x:c>
      <x:c r="D9307" s="8" t="n">
        <x:v>45600</x:v>
      </x:c>
      <x:c r="E9307" s="9" t="n">
        <x:v>2079000</x:v>
      </x:c>
      <x:c r="F9307" s="9" t="n">
        <x:v>2079000</x:v>
      </x:c>
    </x:row>
    <x:row r="9308" ht="34" customHeight="1">
      <x:c r="A9308" s="4" t="str">
        <x:v>RS-04597-I3</x:v>
      </x:c>
      <x:c r="B9308" s="4" t="str">
        <x:v>RS-04597</x:v>
      </x:c>
      <x:c r="C9308" s="9" t="n">
        <x:v>3</x:v>
      </x:c>
      <x:c r="D9308" s="8" t="n">
        <x:v>45630</x:v>
      </x:c>
      <x:c r="E9308" s="9" t="n">
        <x:v>2079000</x:v>
      </x:c>
      <x:c r="F9308" s="9" t="n">
        <x:v>2079000</x:v>
      </x:c>
    </x:row>
    <x:row r="9309" ht="34" customHeight="1">
      <x:c r="A9309" s="4" t="str">
        <x:v>RS-04597-I4</x:v>
      </x:c>
      <x:c r="B9309" s="4" t="str">
        <x:v>RS-04597</x:v>
      </x:c>
      <x:c r="C9309" s="9" t="n">
        <x:v>4</x:v>
      </x:c>
      <x:c r="D9309" s="8" t="n">
        <x:v>45660</x:v>
      </x:c>
      <x:c r="E9309" s="9" t="n">
        <x:v>2079000</x:v>
      </x:c>
      <x:c r="F9309" s="9" t="n">
        <x:v>2079000</x:v>
      </x:c>
    </x:row>
    <x:row r="9310" ht="34" customHeight="1">
      <x:c r="A9310" s="4" t="str">
        <x:v>RS-04599-I1</x:v>
      </x:c>
      <x:c r="B9310" s="4" t="str">
        <x:v>RS-04599</x:v>
      </x:c>
      <x:c r="C9310" s="9" t="n">
        <x:v>1</x:v>
      </x:c>
      <x:c r="D9310" s="8" t="n">
        <x:v>45572</x:v>
      </x:c>
      <x:c r="E9310" s="9" t="n">
        <x:v>4481750</x:v>
      </x:c>
      <x:c r="F9310" s="9" t="n">
        <x:v>1792700</x:v>
      </x:c>
    </x:row>
    <x:row r="9311" ht="34" customHeight="1">
      <x:c r="A9311" s="4" t="str">
        <x:v>RS-04599-I2</x:v>
      </x:c>
      <x:c r="B9311" s="4" t="str">
        <x:v>RS-04599</x:v>
      </x:c>
      <x:c r="C9311" s="9" t="n">
        <x:v>2</x:v>
      </x:c>
      <x:c r="D9311" s="8" t="n">
        <x:v>45602</x:v>
      </x:c>
      <x:c r="E9311" s="9" t="n">
        <x:v>4481750</x:v>
      </x:c>
      <x:c r="F9311" s="9" t="n">
        <x:v>0</x:v>
      </x:c>
    </x:row>
    <x:row r="9312" ht="34" customHeight="1">
      <x:c r="A9312" s="4" t="str">
        <x:v>RS-04599-I3</x:v>
      </x:c>
      <x:c r="B9312" s="4" t="str">
        <x:v>RS-04599</x:v>
      </x:c>
      <x:c r="C9312" s="9" t="n">
        <x:v>3</x:v>
      </x:c>
      <x:c r="D9312" s="8" t="n">
        <x:v>45632</x:v>
      </x:c>
      <x:c r="E9312" s="9" t="n">
        <x:v>4481750</x:v>
      </x:c>
      <x:c r="F9312" s="9" t="n">
        <x:v>0</x:v>
      </x:c>
    </x:row>
    <x:row r="9313" ht="34" customHeight="1">
      <x:c r="A9313" s="4" t="str">
        <x:v>RS-04599-I4</x:v>
      </x:c>
      <x:c r="B9313" s="4" t="str">
        <x:v>RS-04599</x:v>
      </x:c>
      <x:c r="C9313" s="9" t="n">
        <x:v>4</x:v>
      </x:c>
      <x:c r="D9313" s="8" t="n">
        <x:v>45662</x:v>
      </x:c>
      <x:c r="E9313" s="9" t="n">
        <x:v>4481750</x:v>
      </x:c>
      <x:c r="F9313" s="9" t="n">
        <x:v>0</x:v>
      </x:c>
    </x:row>
    <x:row r="9314" ht="34" customHeight="1">
      <x:c r="A9314" s="4" t="str">
        <x:v>RS-04603-I1</x:v>
      </x:c>
      <x:c r="B9314" s="4" t="str">
        <x:v>RS-04603</x:v>
      </x:c>
      <x:c r="C9314" s="9" t="n">
        <x:v>1</x:v>
      </x:c>
      <x:c r="D9314" s="8" t="n">
        <x:v>45576</x:v>
      </x:c>
      <x:c r="E9314" s="9" t="n">
        <x:v>6063750</x:v>
      </x:c>
      <x:c r="F9314" s="9" t="n">
        <x:v>2425500</x:v>
      </x:c>
    </x:row>
    <x:row r="9315" ht="34" customHeight="1">
      <x:c r="A9315" s="4" t="str">
        <x:v>RS-04603-I2</x:v>
      </x:c>
      <x:c r="B9315" s="4" t="str">
        <x:v>RS-04603</x:v>
      </x:c>
      <x:c r="C9315" s="9" t="n">
        <x:v>2</x:v>
      </x:c>
      <x:c r="D9315" s="8" t="n">
        <x:v>45606</x:v>
      </x:c>
      <x:c r="E9315" s="9" t="n">
        <x:v>6063750</x:v>
      </x:c>
      <x:c r="F9315" s="9" t="n">
        <x:v>0</x:v>
      </x:c>
    </x:row>
    <x:row r="9316" ht="34" customHeight="1">
      <x:c r="A9316" s="4" t="str">
        <x:v>RS-04603-I3</x:v>
      </x:c>
      <x:c r="B9316" s="4" t="str">
        <x:v>RS-04603</x:v>
      </x:c>
      <x:c r="C9316" s="9" t="n">
        <x:v>3</x:v>
      </x:c>
      <x:c r="D9316" s="8" t="n">
        <x:v>45636</x:v>
      </x:c>
      <x:c r="E9316" s="9" t="n">
        <x:v>6063750</x:v>
      </x:c>
      <x:c r="F9316" s="9" t="n">
        <x:v>0</x:v>
      </x:c>
    </x:row>
    <x:row r="9317" ht="34" customHeight="1">
      <x:c r="A9317" s="4" t="str">
        <x:v>RS-04603-I4</x:v>
      </x:c>
      <x:c r="B9317" s="4" t="str">
        <x:v>RS-04603</x:v>
      </x:c>
      <x:c r="C9317" s="9" t="n">
        <x:v>4</x:v>
      </x:c>
      <x:c r="D9317" s="8" t="n">
        <x:v>45666</x:v>
      </x:c>
      <x:c r="E9317" s="9" t="n">
        <x:v>6063750</x:v>
      </x:c>
      <x:c r="F9317" s="9" t="n">
        <x:v>0</x:v>
      </x:c>
    </x:row>
    <x:row r="9318" ht="34" customHeight="1">
      <x:c r="A9318" s="4" t="str">
        <x:v>RS-04608-I1</x:v>
      </x:c>
      <x:c r="B9318" s="4" t="str">
        <x:v>RS-04608</x:v>
      </x:c>
      <x:c r="C9318" s="9" t="n">
        <x:v>1</x:v>
      </x:c>
      <x:c r="D9318" s="8" t="n">
        <x:v>45581</x:v>
      </x:c>
      <x:c r="E9318" s="9" t="n">
        <x:v>2136000</x:v>
      </x:c>
      <x:c r="F9318" s="9" t="n">
        <x:v>2136000</x:v>
      </x:c>
    </x:row>
    <x:row r="9319" ht="34" customHeight="1">
      <x:c r="A9319" s="4" t="str">
        <x:v>RS-04608-I2</x:v>
      </x:c>
      <x:c r="B9319" s="4" t="str">
        <x:v>RS-04608</x:v>
      </x:c>
      <x:c r="C9319" s="9" t="n">
        <x:v>2</x:v>
      </x:c>
      <x:c r="D9319" s="8" t="n">
        <x:v>45611</x:v>
      </x:c>
      <x:c r="E9319" s="9" t="n">
        <x:v>2136000</x:v>
      </x:c>
      <x:c r="F9319" s="9" t="n">
        <x:v>0</x:v>
      </x:c>
    </x:row>
    <x:row r="9320" ht="34" customHeight="1">
      <x:c r="A9320" s="4" t="str">
        <x:v>RS-04608-I3</x:v>
      </x:c>
      <x:c r="B9320" s="4" t="str">
        <x:v>RS-04608</x:v>
      </x:c>
      <x:c r="C9320" s="9" t="n">
        <x:v>3</x:v>
      </x:c>
      <x:c r="D9320" s="8" t="n">
        <x:v>45641</x:v>
      </x:c>
      <x:c r="E9320" s="9" t="n">
        <x:v>2136000</x:v>
      </x:c>
      <x:c r="F9320" s="9" t="n">
        <x:v>0</x:v>
      </x:c>
    </x:row>
    <x:row r="9321" ht="34" customHeight="1">
      <x:c r="A9321" s="4" t="str">
        <x:v>RS-04608-I4</x:v>
      </x:c>
      <x:c r="B9321" s="4" t="str">
        <x:v>RS-04608</x:v>
      </x:c>
      <x:c r="C9321" s="9" t="n">
        <x:v>4</x:v>
      </x:c>
      <x:c r="D9321" s="8" t="n">
        <x:v>45671</x:v>
      </x:c>
      <x:c r="E9321" s="9" t="n">
        <x:v>2136000</x:v>
      </x:c>
      <x:c r="F9321" s="9" t="n">
        <x:v>0</x:v>
      </x:c>
    </x:row>
    <x:row r="9322" ht="34" customHeight="1">
      <x:c r="A9322" s="4" t="str">
        <x:v>RS-04611-I1</x:v>
      </x:c>
      <x:c r="B9322" s="4" t="str">
        <x:v>RS-04611</x:v>
      </x:c>
      <x:c r="C9322" s="9" t="n">
        <x:v>1</x:v>
      </x:c>
      <x:c r="D9322" s="8" t="n">
        <x:v>45584</x:v>
      </x:c>
      <x:c r="E9322" s="9" t="n">
        <x:v>5546000</x:v>
      </x:c>
      <x:c r="F9322" s="9" t="n">
        <x:v>5546000</x:v>
      </x:c>
    </x:row>
    <x:row r="9323" ht="34" customHeight="1">
      <x:c r="A9323" s="4" t="str">
        <x:v>RS-04611-I2</x:v>
      </x:c>
      <x:c r="B9323" s="4" t="str">
        <x:v>RS-04611</x:v>
      </x:c>
      <x:c r="C9323" s="9" t="n">
        <x:v>2</x:v>
      </x:c>
      <x:c r="D9323" s="8" t="n">
        <x:v>45614</x:v>
      </x:c>
      <x:c r="E9323" s="9" t="n">
        <x:v>5546000</x:v>
      </x:c>
      <x:c r="F9323" s="9" t="n">
        <x:v>5546000</x:v>
      </x:c>
    </x:row>
    <x:row r="9324" ht="34" customHeight="1">
      <x:c r="A9324" s="4" t="str">
        <x:v>RS-04611-I3</x:v>
      </x:c>
      <x:c r="B9324" s="4" t="str">
        <x:v>RS-04611</x:v>
      </x:c>
      <x:c r="C9324" s="9" t="n">
        <x:v>3</x:v>
      </x:c>
      <x:c r="D9324" s="8" t="n">
        <x:v>45644</x:v>
      </x:c>
      <x:c r="E9324" s="9" t="n">
        <x:v>5546000</x:v>
      </x:c>
      <x:c r="F9324" s="9" t="n">
        <x:v>5546000</x:v>
      </x:c>
    </x:row>
    <x:row r="9325" ht="34" customHeight="1">
      <x:c r="A9325" s="4" t="str">
        <x:v>RS-04611-I4</x:v>
      </x:c>
      <x:c r="B9325" s="4" t="str">
        <x:v>RS-04611</x:v>
      </x:c>
      <x:c r="C9325" s="9" t="n">
        <x:v>4</x:v>
      </x:c>
      <x:c r="D9325" s="8" t="n">
        <x:v>45674</x:v>
      </x:c>
      <x:c r="E9325" s="9" t="n">
        <x:v>5546000</x:v>
      </x:c>
      <x:c r="F9325" s="9" t="n">
        <x:v>5546000</x:v>
      </x:c>
    </x:row>
    <x:row r="9326" ht="34" customHeight="1">
      <x:c r="A9326" s="4" t="str">
        <x:v>RS-04618-I1</x:v>
      </x:c>
      <x:c r="B9326" s="4" t="str">
        <x:v>RS-04618</x:v>
      </x:c>
      <x:c r="C9326" s="9" t="n">
        <x:v>1</x:v>
      </x:c>
      <x:c r="D9326" s="8" t="n">
        <x:v>45591</x:v>
      </x:c>
      <x:c r="E9326" s="9" t="n">
        <x:v>2655500</x:v>
      </x:c>
      <x:c r="F9326" s="9" t="n">
        <x:v>2655500</x:v>
      </x:c>
    </x:row>
    <x:row r="9327" ht="34" customHeight="1">
      <x:c r="A9327" s="4" t="str">
        <x:v>RS-04618-I2</x:v>
      </x:c>
      <x:c r="B9327" s="4" t="str">
        <x:v>RS-04618</x:v>
      </x:c>
      <x:c r="C9327" s="9" t="n">
        <x:v>2</x:v>
      </x:c>
      <x:c r="D9327" s="8" t="n">
        <x:v>45621</x:v>
      </x:c>
      <x:c r="E9327" s="9" t="n">
        <x:v>2655500</x:v>
      </x:c>
      <x:c r="F9327" s="9" t="n">
        <x:v>2655500</x:v>
      </x:c>
    </x:row>
    <x:row r="9328" ht="34" customHeight="1">
      <x:c r="A9328" s="4" t="str">
        <x:v>RS-04618-I3</x:v>
      </x:c>
      <x:c r="B9328" s="4" t="str">
        <x:v>RS-04618</x:v>
      </x:c>
      <x:c r="C9328" s="9" t="n">
        <x:v>3</x:v>
      </x:c>
      <x:c r="D9328" s="8" t="n">
        <x:v>45651</x:v>
      </x:c>
      <x:c r="E9328" s="9" t="n">
        <x:v>2655500</x:v>
      </x:c>
      <x:c r="F9328" s="9" t="n">
        <x:v>0</x:v>
      </x:c>
    </x:row>
    <x:row r="9329" ht="34" customHeight="1">
      <x:c r="A9329" s="4" t="str">
        <x:v>RS-04618-I4</x:v>
      </x:c>
      <x:c r="B9329" s="4" t="str">
        <x:v>RS-04618</x:v>
      </x:c>
      <x:c r="C9329" s="9" t="n">
        <x:v>4</x:v>
      </x:c>
      <x:c r="D9329" s="8" t="n">
        <x:v>45681</x:v>
      </x:c>
      <x:c r="E9329" s="9" t="n">
        <x:v>2655500</x:v>
      </x:c>
      <x:c r="F9329" s="9" t="n">
        <x:v>0</x:v>
      </x:c>
    </x:row>
    <x:row r="9330" ht="34" customHeight="1">
      <x:c r="A9330" s="4" t="str">
        <x:v>RS-04621-I1</x:v>
      </x:c>
      <x:c r="B9330" s="4" t="str">
        <x:v>RS-04621</x:v>
      </x:c>
      <x:c r="C9330" s="9" t="n">
        <x:v>1</x:v>
      </x:c>
      <x:c r="D9330" s="8" t="n">
        <x:v>45566</x:v>
      </x:c>
      <x:c r="E9330" s="9" t="n">
        <x:v>5343750</x:v>
      </x:c>
      <x:c r="F9330" s="9" t="n">
        <x:v>2137500</x:v>
      </x:c>
    </x:row>
    <x:row r="9331" ht="34" customHeight="1">
      <x:c r="A9331" s="4" t="str">
        <x:v>RS-04621-I2</x:v>
      </x:c>
      <x:c r="B9331" s="4" t="str">
        <x:v>RS-04621</x:v>
      </x:c>
      <x:c r="C9331" s="9" t="n">
        <x:v>2</x:v>
      </x:c>
      <x:c r="D9331" s="8" t="n">
        <x:v>45596</x:v>
      </x:c>
      <x:c r="E9331" s="9" t="n">
        <x:v>5343750</x:v>
      </x:c>
      <x:c r="F9331" s="9" t="n">
        <x:v>0</x:v>
      </x:c>
    </x:row>
    <x:row r="9332" ht="34" customHeight="1">
      <x:c r="A9332" s="4" t="str">
        <x:v>RS-04621-I3</x:v>
      </x:c>
      <x:c r="B9332" s="4" t="str">
        <x:v>RS-04621</x:v>
      </x:c>
      <x:c r="C9332" s="9" t="n">
        <x:v>3</x:v>
      </x:c>
      <x:c r="D9332" s="8" t="n">
        <x:v>45626</x:v>
      </x:c>
      <x:c r="E9332" s="9" t="n">
        <x:v>5343750</x:v>
      </x:c>
      <x:c r="F9332" s="9" t="n">
        <x:v>0</x:v>
      </x:c>
    </x:row>
    <x:row r="9333" ht="34" customHeight="1">
      <x:c r="A9333" s="4" t="str">
        <x:v>RS-04621-I4</x:v>
      </x:c>
      <x:c r="B9333" s="4" t="str">
        <x:v>RS-04621</x:v>
      </x:c>
      <x:c r="C9333" s="9" t="n">
        <x:v>4</x:v>
      </x:c>
      <x:c r="D9333" s="8" t="n">
        <x:v>45656</x:v>
      </x:c>
      <x:c r="E9333" s="9" t="n">
        <x:v>5343750</x:v>
      </x:c>
      <x:c r="F9333" s="9" t="n">
        <x:v>0</x:v>
      </x:c>
    </x:row>
    <x:row r="9334" ht="34" customHeight="1">
      <x:c r="A9334" s="4" t="str">
        <x:v>RS-04622-I1</x:v>
      </x:c>
      <x:c r="B9334" s="4" t="str">
        <x:v>RS-04622</x:v>
      </x:c>
      <x:c r="C9334" s="9" t="n">
        <x:v>1</x:v>
      </x:c>
      <x:c r="D9334" s="8" t="n">
        <x:v>45567</x:v>
      </x:c>
      <x:c r="E9334" s="9" t="n">
        <x:v>5475500</x:v>
      </x:c>
      <x:c r="F9334" s="9" t="n">
        <x:v>5475500</x:v>
      </x:c>
    </x:row>
    <x:row r="9335" ht="34" customHeight="1">
      <x:c r="A9335" s="4" t="str">
        <x:v>RS-04622-I2</x:v>
      </x:c>
      <x:c r="B9335" s="4" t="str">
        <x:v>RS-04622</x:v>
      </x:c>
      <x:c r="C9335" s="9" t="n">
        <x:v>2</x:v>
      </x:c>
      <x:c r="D9335" s="8" t="n">
        <x:v>45597</x:v>
      </x:c>
      <x:c r="E9335" s="9" t="n">
        <x:v>5475500</x:v>
      </x:c>
      <x:c r="F9335" s="9" t="n">
        <x:v>0</x:v>
      </x:c>
    </x:row>
    <x:row r="9336" ht="34" customHeight="1">
      <x:c r="A9336" s="4" t="str">
        <x:v>RS-04622-I3</x:v>
      </x:c>
      <x:c r="B9336" s="4" t="str">
        <x:v>RS-04622</x:v>
      </x:c>
      <x:c r="C9336" s="9" t="n">
        <x:v>3</x:v>
      </x:c>
      <x:c r="D9336" s="8" t="n">
        <x:v>45627</x:v>
      </x:c>
      <x:c r="E9336" s="9" t="n">
        <x:v>5475500</x:v>
      </x:c>
      <x:c r="F9336" s="9" t="n">
        <x:v>0</x:v>
      </x:c>
    </x:row>
    <x:row r="9337" ht="34" customHeight="1">
      <x:c r="A9337" s="4" t="str">
        <x:v>RS-04622-I4</x:v>
      </x:c>
      <x:c r="B9337" s="4" t="str">
        <x:v>RS-04622</x:v>
      </x:c>
      <x:c r="C9337" s="9" t="n">
        <x:v>4</x:v>
      </x:c>
      <x:c r="D9337" s="8" t="n">
        <x:v>45657</x:v>
      </x:c>
      <x:c r="E9337" s="9" t="n">
        <x:v>5475500</x:v>
      </x:c>
      <x:c r="F9337" s="9" t="n">
        <x:v>0</x:v>
      </x:c>
    </x:row>
    <x:row r="9338" ht="34" customHeight="1">
      <x:c r="A9338" s="4" t="str">
        <x:v>RS-04626-I1</x:v>
      </x:c>
      <x:c r="B9338" s="4" t="str">
        <x:v>RS-04626</x:v>
      </x:c>
      <x:c r="C9338" s="9" t="n">
        <x:v>1</x:v>
      </x:c>
      <x:c r="D9338" s="8" t="n">
        <x:v>45571</x:v>
      </x:c>
      <x:c r="E9338" s="9" t="n">
        <x:v>3887000</x:v>
      </x:c>
      <x:c r="F9338" s="9" t="n">
        <x:v>3887000</x:v>
      </x:c>
    </x:row>
    <x:row r="9339" ht="34" customHeight="1">
      <x:c r="A9339" s="4" t="str">
        <x:v>RS-04626-I2</x:v>
      </x:c>
      <x:c r="B9339" s="4" t="str">
        <x:v>RS-04626</x:v>
      </x:c>
      <x:c r="C9339" s="9" t="n">
        <x:v>2</x:v>
      </x:c>
      <x:c r="D9339" s="8" t="n">
        <x:v>45601</x:v>
      </x:c>
      <x:c r="E9339" s="9" t="n">
        <x:v>3887000</x:v>
      </x:c>
      <x:c r="F9339" s="9" t="n">
        <x:v>3887000</x:v>
      </x:c>
    </x:row>
    <x:row r="9340" ht="34" customHeight="1">
      <x:c r="A9340" s="4" t="str">
        <x:v>RS-04626-I3</x:v>
      </x:c>
      <x:c r="B9340" s="4" t="str">
        <x:v>RS-04626</x:v>
      </x:c>
      <x:c r="C9340" s="9" t="n">
        <x:v>3</x:v>
      </x:c>
      <x:c r="D9340" s="8" t="n">
        <x:v>45631</x:v>
      </x:c>
      <x:c r="E9340" s="9" t="n">
        <x:v>3887000</x:v>
      </x:c>
      <x:c r="F9340" s="9" t="n">
        <x:v>0</x:v>
      </x:c>
    </x:row>
    <x:row r="9341" ht="34" customHeight="1">
      <x:c r="A9341" s="4" t="str">
        <x:v>RS-04626-I4</x:v>
      </x:c>
      <x:c r="B9341" s="4" t="str">
        <x:v>RS-04626</x:v>
      </x:c>
      <x:c r="C9341" s="9" t="n">
        <x:v>4</x:v>
      </x:c>
      <x:c r="D9341" s="8" t="n">
        <x:v>45661</x:v>
      </x:c>
      <x:c r="E9341" s="9" t="n">
        <x:v>3887000</x:v>
      </x:c>
      <x:c r="F9341" s="9" t="n">
        <x:v>0</x:v>
      </x:c>
    </x:row>
    <x:row r="9342" ht="34" customHeight="1">
      <x:c r="A9342" s="4" t="str">
        <x:v>RS-04627-I1</x:v>
      </x:c>
      <x:c r="B9342" s="4" t="str">
        <x:v>RS-04627</x:v>
      </x:c>
      <x:c r="C9342" s="9" t="n">
        <x:v>1</x:v>
      </x:c>
      <x:c r="D9342" s="8" t="n">
        <x:v>45572</x:v>
      </x:c>
      <x:c r="E9342" s="9" t="n">
        <x:v>1187500</x:v>
      </x:c>
      <x:c r="F9342" s="9" t="n">
        <x:v>1187500</x:v>
      </x:c>
    </x:row>
    <x:row r="9343" ht="34" customHeight="1">
      <x:c r="A9343" s="4" t="str">
        <x:v>RS-04627-I2</x:v>
      </x:c>
      <x:c r="B9343" s="4" t="str">
        <x:v>RS-04627</x:v>
      </x:c>
      <x:c r="C9343" s="9" t="n">
        <x:v>2</x:v>
      </x:c>
      <x:c r="D9343" s="8" t="n">
        <x:v>45602</x:v>
      </x:c>
      <x:c r="E9343" s="9" t="n">
        <x:v>1187500</x:v>
      </x:c>
      <x:c r="F9343" s="9" t="n">
        <x:v>1187500</x:v>
      </x:c>
    </x:row>
    <x:row r="9344" ht="34" customHeight="1">
      <x:c r="A9344" s="4" t="str">
        <x:v>RS-04627-I3</x:v>
      </x:c>
      <x:c r="B9344" s="4" t="str">
        <x:v>RS-04627</x:v>
      </x:c>
      <x:c r="C9344" s="9" t="n">
        <x:v>3</x:v>
      </x:c>
      <x:c r="D9344" s="8" t="n">
        <x:v>45632</x:v>
      </x:c>
      <x:c r="E9344" s="9" t="n">
        <x:v>1187500</x:v>
      </x:c>
      <x:c r="F9344" s="9" t="n">
        <x:v>1187500</x:v>
      </x:c>
    </x:row>
    <x:row r="9345" ht="34" customHeight="1">
      <x:c r="A9345" s="4" t="str">
        <x:v>RS-04627-I4</x:v>
      </x:c>
      <x:c r="B9345" s="4" t="str">
        <x:v>RS-04627</x:v>
      </x:c>
      <x:c r="C9345" s="9" t="n">
        <x:v>4</x:v>
      </x:c>
      <x:c r="D9345" s="8" t="n">
        <x:v>45662</x:v>
      </x:c>
      <x:c r="E9345" s="9" t="n">
        <x:v>1187500</x:v>
      </x:c>
      <x:c r="F9345" s="9" t="n">
        <x:v>1187500</x:v>
      </x:c>
    </x:row>
    <x:row r="9346" ht="34" customHeight="1">
      <x:c r="A9346" s="4" t="str">
        <x:v>RS-04628-I1</x:v>
      </x:c>
      <x:c r="B9346" s="4" t="str">
        <x:v>RS-04628</x:v>
      </x:c>
      <x:c r="C9346" s="9" t="n">
        <x:v>1</x:v>
      </x:c>
      <x:c r="D9346" s="8" t="n">
        <x:v>45573</x:v>
      </x:c>
      <x:c r="E9346" s="9" t="n">
        <x:v>5175000</x:v>
      </x:c>
      <x:c r="F9346" s="9" t="n">
        <x:v>2070000</x:v>
      </x:c>
    </x:row>
    <x:row r="9347" ht="34" customHeight="1">
      <x:c r="A9347" s="4" t="str">
        <x:v>RS-04628-I2</x:v>
      </x:c>
      <x:c r="B9347" s="4" t="str">
        <x:v>RS-04628</x:v>
      </x:c>
      <x:c r="C9347" s="9" t="n">
        <x:v>2</x:v>
      </x:c>
      <x:c r="D9347" s="8" t="n">
        <x:v>45603</x:v>
      </x:c>
      <x:c r="E9347" s="9" t="n">
        <x:v>5175000</x:v>
      </x:c>
      <x:c r="F9347" s="9" t="n">
        <x:v>0</x:v>
      </x:c>
    </x:row>
    <x:row r="9348" ht="34" customHeight="1">
      <x:c r="A9348" s="4" t="str">
        <x:v>RS-04628-I3</x:v>
      </x:c>
      <x:c r="B9348" s="4" t="str">
        <x:v>RS-04628</x:v>
      </x:c>
      <x:c r="C9348" s="9" t="n">
        <x:v>3</x:v>
      </x:c>
      <x:c r="D9348" s="8" t="n">
        <x:v>45633</x:v>
      </x:c>
      <x:c r="E9348" s="9" t="n">
        <x:v>5175000</x:v>
      </x:c>
      <x:c r="F9348" s="9" t="n">
        <x:v>0</x:v>
      </x:c>
    </x:row>
    <x:row r="9349" ht="34" customHeight="1">
      <x:c r="A9349" s="4" t="str">
        <x:v>RS-04628-I4</x:v>
      </x:c>
      <x:c r="B9349" s="4" t="str">
        <x:v>RS-04628</x:v>
      </x:c>
      <x:c r="C9349" s="9" t="n">
        <x:v>4</x:v>
      </x:c>
      <x:c r="D9349" s="8" t="n">
        <x:v>45663</x:v>
      </x:c>
      <x:c r="E9349" s="9" t="n">
        <x:v>5175000</x:v>
      </x:c>
      <x:c r="F9349" s="9" t="n">
        <x:v>0</x:v>
      </x:c>
    </x:row>
    <x:row r="9350" ht="34" customHeight="1">
      <x:c r="A9350" s="4" t="str">
        <x:v>RS-04629-I1</x:v>
      </x:c>
      <x:c r="B9350" s="4" t="str">
        <x:v>RS-04629</x:v>
      </x:c>
      <x:c r="C9350" s="9" t="n">
        <x:v>1</x:v>
      </x:c>
      <x:c r="D9350" s="8" t="n">
        <x:v>45574</x:v>
      </x:c>
      <x:c r="E9350" s="9" t="n">
        <x:v>4868750</x:v>
      </x:c>
      <x:c r="F9350" s="9" t="n">
        <x:v>4868750</x:v>
      </x:c>
    </x:row>
    <x:row r="9351" ht="34" customHeight="1">
      <x:c r="A9351" s="4" t="str">
        <x:v>RS-04629-I2</x:v>
      </x:c>
      <x:c r="B9351" s="4" t="str">
        <x:v>RS-04629</x:v>
      </x:c>
      <x:c r="C9351" s="9" t="n">
        <x:v>2</x:v>
      </x:c>
      <x:c r="D9351" s="8" t="n">
        <x:v>45604</x:v>
      </x:c>
      <x:c r="E9351" s="9" t="n">
        <x:v>4868750</x:v>
      </x:c>
      <x:c r="F9351" s="9" t="n">
        <x:v>4868750</x:v>
      </x:c>
    </x:row>
    <x:row r="9352" ht="34" customHeight="1">
      <x:c r="A9352" s="4" t="str">
        <x:v>RS-04629-I3</x:v>
      </x:c>
      <x:c r="B9352" s="4" t="str">
        <x:v>RS-04629</x:v>
      </x:c>
      <x:c r="C9352" s="9" t="n">
        <x:v>3</x:v>
      </x:c>
      <x:c r="D9352" s="8" t="n">
        <x:v>45634</x:v>
      </x:c>
      <x:c r="E9352" s="9" t="n">
        <x:v>4868750</x:v>
      </x:c>
      <x:c r="F9352" s="9" t="n">
        <x:v>4868750</x:v>
      </x:c>
    </x:row>
    <x:row r="9353" ht="34" customHeight="1">
      <x:c r="A9353" s="4" t="str">
        <x:v>RS-04629-I4</x:v>
      </x:c>
      <x:c r="B9353" s="4" t="str">
        <x:v>RS-04629</x:v>
      </x:c>
      <x:c r="C9353" s="9" t="n">
        <x:v>4</x:v>
      </x:c>
      <x:c r="D9353" s="8" t="n">
        <x:v>45664</x:v>
      </x:c>
      <x:c r="E9353" s="9" t="n">
        <x:v>4868750</x:v>
      </x:c>
      <x:c r="F9353" s="9" t="n">
        <x:v>4868750</x:v>
      </x:c>
    </x:row>
    <x:row r="9354" ht="34" customHeight="1">
      <x:c r="A9354" s="4" t="str">
        <x:v>RS-04633-I1</x:v>
      </x:c>
      <x:c r="B9354" s="4" t="str">
        <x:v>RS-04633</x:v>
      </x:c>
      <x:c r="C9354" s="9" t="n">
        <x:v>1</x:v>
      </x:c>
      <x:c r="D9354" s="8" t="n">
        <x:v>45578</x:v>
      </x:c>
      <x:c r="E9354" s="9" t="n">
        <x:v>1715500</x:v>
      </x:c>
      <x:c r="F9354" s="9" t="n">
        <x:v>1715500</x:v>
      </x:c>
    </x:row>
    <x:row r="9355" ht="34" customHeight="1">
      <x:c r="A9355" s="4" t="str">
        <x:v>RS-04633-I2</x:v>
      </x:c>
      <x:c r="B9355" s="4" t="str">
        <x:v>RS-04633</x:v>
      </x:c>
      <x:c r="C9355" s="9" t="n">
        <x:v>2</x:v>
      </x:c>
      <x:c r="D9355" s="8" t="n">
        <x:v>45608</x:v>
      </x:c>
      <x:c r="E9355" s="9" t="n">
        <x:v>1715500</x:v>
      </x:c>
      <x:c r="F9355" s="9" t="n">
        <x:v>1715500</x:v>
      </x:c>
    </x:row>
    <x:row r="9356" ht="34" customHeight="1">
      <x:c r="A9356" s="4" t="str">
        <x:v>RS-04633-I3</x:v>
      </x:c>
      <x:c r="B9356" s="4" t="str">
        <x:v>RS-04633</x:v>
      </x:c>
      <x:c r="C9356" s="9" t="n">
        <x:v>3</x:v>
      </x:c>
      <x:c r="D9356" s="8" t="n">
        <x:v>45638</x:v>
      </x:c>
      <x:c r="E9356" s="9" t="n">
        <x:v>1715500</x:v>
      </x:c>
      <x:c r="F9356" s="9" t="n">
        <x:v>1715500</x:v>
      </x:c>
    </x:row>
    <x:row r="9357" ht="34" customHeight="1">
      <x:c r="A9357" s="4" t="str">
        <x:v>RS-04633-I4</x:v>
      </x:c>
      <x:c r="B9357" s="4" t="str">
        <x:v>RS-04633</x:v>
      </x:c>
      <x:c r="C9357" s="9" t="n">
        <x:v>4</x:v>
      </x:c>
      <x:c r="D9357" s="8" t="n">
        <x:v>45668</x:v>
      </x:c>
      <x:c r="E9357" s="9" t="n">
        <x:v>1715500</x:v>
      </x:c>
      <x:c r="F9357" s="9" t="n">
        <x:v>1715500</x:v>
      </x:c>
    </x:row>
    <x:row r="9358" ht="34" customHeight="1">
      <x:c r="A9358" s="4" t="str">
        <x:v>RS-04637-I1</x:v>
      </x:c>
      <x:c r="B9358" s="4" t="str">
        <x:v>RS-04637</x:v>
      </x:c>
      <x:c r="C9358" s="9" t="n">
        <x:v>1</x:v>
      </x:c>
      <x:c r="D9358" s="8" t="n">
        <x:v>45582</x:v>
      </x:c>
      <x:c r="E9358" s="9" t="n">
        <x:v>1228500</x:v>
      </x:c>
      <x:c r="F9358" s="9" t="n">
        <x:v>1228500</x:v>
      </x:c>
    </x:row>
    <x:row r="9359" ht="34" customHeight="1">
      <x:c r="A9359" s="4" t="str">
        <x:v>RS-04637-I2</x:v>
      </x:c>
      <x:c r="B9359" s="4" t="str">
        <x:v>RS-04637</x:v>
      </x:c>
      <x:c r="C9359" s="9" t="n">
        <x:v>2</x:v>
      </x:c>
      <x:c r="D9359" s="8" t="n">
        <x:v>45612</x:v>
      </x:c>
      <x:c r="E9359" s="9" t="n">
        <x:v>1228500</x:v>
      </x:c>
      <x:c r="F9359" s="9" t="n">
        <x:v>1228500</x:v>
      </x:c>
    </x:row>
    <x:row r="9360" ht="34" customHeight="1">
      <x:c r="A9360" s="4" t="str">
        <x:v>RS-04637-I3</x:v>
      </x:c>
      <x:c r="B9360" s="4" t="str">
        <x:v>RS-04637</x:v>
      </x:c>
      <x:c r="C9360" s="9" t="n">
        <x:v>3</x:v>
      </x:c>
      <x:c r="D9360" s="8" t="n">
        <x:v>45642</x:v>
      </x:c>
      <x:c r="E9360" s="9" t="n">
        <x:v>1228500</x:v>
      </x:c>
      <x:c r="F9360" s="9" t="n">
        <x:v>0</x:v>
      </x:c>
    </x:row>
    <x:row r="9361" ht="34" customHeight="1">
      <x:c r="A9361" s="4" t="str">
        <x:v>RS-04637-I4</x:v>
      </x:c>
      <x:c r="B9361" s="4" t="str">
        <x:v>RS-04637</x:v>
      </x:c>
      <x:c r="C9361" s="9" t="n">
        <x:v>4</x:v>
      </x:c>
      <x:c r="D9361" s="8" t="n">
        <x:v>45672</x:v>
      </x:c>
      <x:c r="E9361" s="9" t="n">
        <x:v>1228500</x:v>
      </x:c>
      <x:c r="F9361" s="9" t="n">
        <x:v>0</x:v>
      </x:c>
    </x:row>
    <x:row r="9362" ht="34" customHeight="1">
      <x:c r="A9362" s="4" t="str">
        <x:v>RS-04638-I1</x:v>
      </x:c>
      <x:c r="B9362" s="4" t="str">
        <x:v>RS-04638</x:v>
      </x:c>
      <x:c r="C9362" s="9" t="n">
        <x:v>1</x:v>
      </x:c>
      <x:c r="D9362" s="8" t="n">
        <x:v>45583</x:v>
      </x:c>
      <x:c r="E9362" s="9" t="n">
        <x:v>2517500</x:v>
      </x:c>
      <x:c r="F9362" s="9" t="n">
        <x:v>2517500</x:v>
      </x:c>
    </x:row>
    <x:row r="9363" ht="34" customHeight="1">
      <x:c r="A9363" s="4" t="str">
        <x:v>RS-04638-I2</x:v>
      </x:c>
      <x:c r="B9363" s="4" t="str">
        <x:v>RS-04638</x:v>
      </x:c>
      <x:c r="C9363" s="9" t="n">
        <x:v>2</x:v>
      </x:c>
      <x:c r="D9363" s="8" t="n">
        <x:v>45613</x:v>
      </x:c>
      <x:c r="E9363" s="9" t="n">
        <x:v>2517500</x:v>
      </x:c>
      <x:c r="F9363" s="9" t="n">
        <x:v>2517500</x:v>
      </x:c>
    </x:row>
    <x:row r="9364" ht="34" customHeight="1">
      <x:c r="A9364" s="4" t="str">
        <x:v>RS-04638-I3</x:v>
      </x:c>
      <x:c r="B9364" s="4" t="str">
        <x:v>RS-04638</x:v>
      </x:c>
      <x:c r="C9364" s="9" t="n">
        <x:v>3</x:v>
      </x:c>
      <x:c r="D9364" s="8" t="n">
        <x:v>45643</x:v>
      </x:c>
      <x:c r="E9364" s="9" t="n">
        <x:v>2517500</x:v>
      </x:c>
      <x:c r="F9364" s="9" t="n">
        <x:v>2517500</x:v>
      </x:c>
    </x:row>
    <x:row r="9365" ht="34" customHeight="1">
      <x:c r="A9365" s="4" t="str">
        <x:v>RS-04638-I4</x:v>
      </x:c>
      <x:c r="B9365" s="4" t="str">
        <x:v>RS-04638</x:v>
      </x:c>
      <x:c r="C9365" s="9" t="n">
        <x:v>4</x:v>
      </x:c>
      <x:c r="D9365" s="8" t="n">
        <x:v>45673</x:v>
      </x:c>
      <x:c r="E9365" s="9" t="n">
        <x:v>2517500</x:v>
      </x:c>
      <x:c r="F9365" s="9" t="n">
        <x:v>2517500</x:v>
      </x:c>
    </x:row>
    <x:row r="9366" ht="34" customHeight="1">
      <x:c r="A9366" s="4" t="str">
        <x:v>RS-04639-I1</x:v>
      </x:c>
      <x:c r="B9366" s="4" t="str">
        <x:v>RS-04639</x:v>
      </x:c>
      <x:c r="C9366" s="9" t="n">
        <x:v>1</x:v>
      </x:c>
      <x:c r="D9366" s="8" t="n">
        <x:v>45584</x:v>
      </x:c>
      <x:c r="E9366" s="9" t="n">
        <x:v>2425500</x:v>
      </x:c>
      <x:c r="F9366" s="9" t="n">
        <x:v>2425500</x:v>
      </x:c>
    </x:row>
    <x:row r="9367" ht="34" customHeight="1">
      <x:c r="A9367" s="4" t="str">
        <x:v>RS-04639-I2</x:v>
      </x:c>
      <x:c r="B9367" s="4" t="str">
        <x:v>RS-04639</x:v>
      </x:c>
      <x:c r="C9367" s="9" t="n">
        <x:v>2</x:v>
      </x:c>
      <x:c r="D9367" s="8" t="n">
        <x:v>45614</x:v>
      </x:c>
      <x:c r="E9367" s="9" t="n">
        <x:v>2425500</x:v>
      </x:c>
      <x:c r="F9367" s="9" t="n">
        <x:v>2425500</x:v>
      </x:c>
    </x:row>
    <x:row r="9368" ht="34" customHeight="1">
      <x:c r="A9368" s="4" t="str">
        <x:v>RS-04639-I3</x:v>
      </x:c>
      <x:c r="B9368" s="4" t="str">
        <x:v>RS-04639</x:v>
      </x:c>
      <x:c r="C9368" s="9" t="n">
        <x:v>3</x:v>
      </x:c>
      <x:c r="D9368" s="8" t="n">
        <x:v>45644</x:v>
      </x:c>
      <x:c r="E9368" s="9" t="n">
        <x:v>2425500</x:v>
      </x:c>
      <x:c r="F9368" s="9" t="n">
        <x:v>2425500</x:v>
      </x:c>
    </x:row>
    <x:row r="9369" ht="34" customHeight="1">
      <x:c r="A9369" s="4" t="str">
        <x:v>RS-04639-I4</x:v>
      </x:c>
      <x:c r="B9369" s="4" t="str">
        <x:v>RS-04639</x:v>
      </x:c>
      <x:c r="C9369" s="9" t="n">
        <x:v>4</x:v>
      </x:c>
      <x:c r="D9369" s="8" t="n">
        <x:v>45674</x:v>
      </x:c>
      <x:c r="E9369" s="9" t="n">
        <x:v>2425500</x:v>
      </x:c>
      <x:c r="F9369" s="9" t="n">
        <x:v>2425500</x:v>
      </x:c>
    </x:row>
    <x:row r="9370" ht="34" customHeight="1">
      <x:c r="A9370" s="4" t="str">
        <x:v>RS-04644-I1</x:v>
      </x:c>
      <x:c r="B9370" s="4" t="str">
        <x:v>RS-04644</x:v>
      </x:c>
      <x:c r="C9370" s="9" t="n">
        <x:v>1</x:v>
      </x:c>
      <x:c r="D9370" s="8" t="n">
        <x:v>45589</x:v>
      </x:c>
      <x:c r="E9370" s="9" t="n">
        <x:v>2561500</x:v>
      </x:c>
      <x:c r="F9370" s="9" t="n">
        <x:v>1024600</x:v>
      </x:c>
    </x:row>
    <x:row r="9371" ht="34" customHeight="1">
      <x:c r="A9371" s="4" t="str">
        <x:v>RS-04644-I2</x:v>
      </x:c>
      <x:c r="B9371" s="4" t="str">
        <x:v>RS-04644</x:v>
      </x:c>
      <x:c r="C9371" s="9" t="n">
        <x:v>2</x:v>
      </x:c>
      <x:c r="D9371" s="8" t="n">
        <x:v>45619</x:v>
      </x:c>
      <x:c r="E9371" s="9" t="n">
        <x:v>2561500</x:v>
      </x:c>
      <x:c r="F9371" s="9" t="n">
        <x:v>0</x:v>
      </x:c>
    </x:row>
    <x:row r="9372" ht="34" customHeight="1">
      <x:c r="A9372" s="4" t="str">
        <x:v>RS-04644-I3</x:v>
      </x:c>
      <x:c r="B9372" s="4" t="str">
        <x:v>RS-04644</x:v>
      </x:c>
      <x:c r="C9372" s="9" t="n">
        <x:v>3</x:v>
      </x:c>
      <x:c r="D9372" s="8" t="n">
        <x:v>45649</x:v>
      </x:c>
      <x:c r="E9372" s="9" t="n">
        <x:v>2561500</x:v>
      </x:c>
      <x:c r="F9372" s="9" t="n">
        <x:v>0</x:v>
      </x:c>
    </x:row>
    <x:row r="9373" ht="34" customHeight="1">
      <x:c r="A9373" s="4" t="str">
        <x:v>RS-04644-I4</x:v>
      </x:c>
      <x:c r="B9373" s="4" t="str">
        <x:v>RS-04644</x:v>
      </x:c>
      <x:c r="C9373" s="9" t="n">
        <x:v>4</x:v>
      </x:c>
      <x:c r="D9373" s="8" t="n">
        <x:v>45679</x:v>
      </x:c>
      <x:c r="E9373" s="9" t="n">
        <x:v>2561500</x:v>
      </x:c>
      <x:c r="F9373" s="9" t="n">
        <x:v>0</x:v>
      </x:c>
    </x:row>
    <x:row r="9374" ht="34" customHeight="1">
      <x:c r="A9374" s="4" t="str">
        <x:v>RS-04646-I1</x:v>
      </x:c>
      <x:c r="B9374" s="4" t="str">
        <x:v>RS-04646</x:v>
      </x:c>
      <x:c r="C9374" s="9" t="n">
        <x:v>1</x:v>
      </x:c>
      <x:c r="D9374" s="8" t="n">
        <x:v>45591</x:v>
      </x:c>
      <x:c r="E9374" s="9" t="n">
        <x:v>5727000</x:v>
      </x:c>
      <x:c r="F9374" s="9" t="n">
        <x:v>5727000</x:v>
      </x:c>
    </x:row>
    <x:row r="9375" ht="34" customHeight="1">
      <x:c r="A9375" s="4" t="str">
        <x:v>RS-04646-I2</x:v>
      </x:c>
      <x:c r="B9375" s="4" t="str">
        <x:v>RS-04646</x:v>
      </x:c>
      <x:c r="C9375" s="9" t="n">
        <x:v>2</x:v>
      </x:c>
      <x:c r="D9375" s="8" t="n">
        <x:v>45621</x:v>
      </x:c>
      <x:c r="E9375" s="9" t="n">
        <x:v>5727000</x:v>
      </x:c>
      <x:c r="F9375" s="9" t="n">
        <x:v>5727000</x:v>
      </x:c>
    </x:row>
    <x:row r="9376" ht="34" customHeight="1">
      <x:c r="A9376" s="4" t="str">
        <x:v>RS-04646-I3</x:v>
      </x:c>
      <x:c r="B9376" s="4" t="str">
        <x:v>RS-04646</x:v>
      </x:c>
      <x:c r="C9376" s="9" t="n">
        <x:v>3</x:v>
      </x:c>
      <x:c r="D9376" s="8" t="n">
        <x:v>45651</x:v>
      </x:c>
      <x:c r="E9376" s="9" t="n">
        <x:v>5727000</x:v>
      </x:c>
      <x:c r="F9376" s="9" t="n">
        <x:v>0</x:v>
      </x:c>
    </x:row>
    <x:row r="9377" ht="34" customHeight="1">
      <x:c r="A9377" s="4" t="str">
        <x:v>RS-04646-I4</x:v>
      </x:c>
      <x:c r="B9377" s="4" t="str">
        <x:v>RS-04646</x:v>
      </x:c>
      <x:c r="C9377" s="9" t="n">
        <x:v>4</x:v>
      </x:c>
      <x:c r="D9377" s="8" t="n">
        <x:v>45681</x:v>
      </x:c>
      <x:c r="E9377" s="9" t="n">
        <x:v>5727000</x:v>
      </x:c>
      <x:c r="F9377" s="9" t="n">
        <x:v>0</x:v>
      </x:c>
    </x:row>
    <x:row r="9378" ht="34" customHeight="1">
      <x:c r="A9378" s="4" t="str">
        <x:v>RS-04649-I1</x:v>
      </x:c>
      <x:c r="B9378" s="4" t="str">
        <x:v>RS-04649</x:v>
      </x:c>
      <x:c r="C9378" s="9" t="n">
        <x:v>1</x:v>
      </x:c>
      <x:c r="D9378" s="8" t="n">
        <x:v>45566</x:v>
      </x:c>
      <x:c r="E9378" s="9" t="n">
        <x:v>4410000</x:v>
      </x:c>
      <x:c r="F9378" s="9" t="n">
        <x:v>1764000</x:v>
      </x:c>
    </x:row>
    <x:row r="9379" ht="34" customHeight="1">
      <x:c r="A9379" s="4" t="str">
        <x:v>RS-04649-I2</x:v>
      </x:c>
      <x:c r="B9379" s="4" t="str">
        <x:v>RS-04649</x:v>
      </x:c>
      <x:c r="C9379" s="9" t="n">
        <x:v>2</x:v>
      </x:c>
      <x:c r="D9379" s="8" t="n">
        <x:v>45596</x:v>
      </x:c>
      <x:c r="E9379" s="9" t="n">
        <x:v>4410000</x:v>
      </x:c>
      <x:c r="F9379" s="9" t="n">
        <x:v>0</x:v>
      </x:c>
    </x:row>
    <x:row r="9380" ht="34" customHeight="1">
      <x:c r="A9380" s="4" t="str">
        <x:v>RS-04649-I3</x:v>
      </x:c>
      <x:c r="B9380" s="4" t="str">
        <x:v>RS-04649</x:v>
      </x:c>
      <x:c r="C9380" s="9" t="n">
        <x:v>3</x:v>
      </x:c>
      <x:c r="D9380" s="8" t="n">
        <x:v>45626</x:v>
      </x:c>
      <x:c r="E9380" s="9" t="n">
        <x:v>4410000</x:v>
      </x:c>
      <x:c r="F9380" s="9" t="n">
        <x:v>0</x:v>
      </x:c>
    </x:row>
    <x:row r="9381" ht="34" customHeight="1">
      <x:c r="A9381" s="4" t="str">
        <x:v>RS-04649-I4</x:v>
      </x:c>
      <x:c r="B9381" s="4" t="str">
        <x:v>RS-04649</x:v>
      </x:c>
      <x:c r="C9381" s="9" t="n">
        <x:v>4</x:v>
      </x:c>
      <x:c r="D9381" s="8" t="n">
        <x:v>45656</x:v>
      </x:c>
      <x:c r="E9381" s="9" t="n">
        <x:v>4410000</x:v>
      </x:c>
      <x:c r="F9381" s="9" t="n">
        <x:v>0</x:v>
      </x:c>
    </x:row>
    <x:row r="9382" ht="34" customHeight="1">
      <x:c r="A9382" s="4" t="str">
        <x:v>RS-04652-I1</x:v>
      </x:c>
      <x:c r="B9382" s="4" t="str">
        <x:v>RS-04652</x:v>
      </x:c>
      <x:c r="C9382" s="9" t="n">
        <x:v>1</x:v>
      </x:c>
      <x:c r="D9382" s="8" t="n">
        <x:v>45569</x:v>
      </x:c>
      <x:c r="E9382" s="9" t="n">
        <x:v>3104000</x:v>
      </x:c>
      <x:c r="F9382" s="9" t="n">
        <x:v>3104000</x:v>
      </x:c>
    </x:row>
    <x:row r="9383" ht="34" customHeight="1">
      <x:c r="A9383" s="4" t="str">
        <x:v>RS-04652-I2</x:v>
      </x:c>
      <x:c r="B9383" s="4" t="str">
        <x:v>RS-04652</x:v>
      </x:c>
      <x:c r="C9383" s="9" t="n">
        <x:v>2</x:v>
      </x:c>
      <x:c r="D9383" s="8" t="n">
        <x:v>45599</x:v>
      </x:c>
      <x:c r="E9383" s="9" t="n">
        <x:v>3104000</x:v>
      </x:c>
      <x:c r="F9383" s="9" t="n">
        <x:v>3104000</x:v>
      </x:c>
    </x:row>
    <x:row r="9384" ht="34" customHeight="1">
      <x:c r="A9384" s="4" t="str">
        <x:v>RS-04652-I3</x:v>
      </x:c>
      <x:c r="B9384" s="4" t="str">
        <x:v>RS-04652</x:v>
      </x:c>
      <x:c r="C9384" s="9" t="n">
        <x:v>3</x:v>
      </x:c>
      <x:c r="D9384" s="8" t="n">
        <x:v>45629</x:v>
      </x:c>
      <x:c r="E9384" s="9" t="n">
        <x:v>3104000</x:v>
      </x:c>
      <x:c r="F9384" s="9" t="n">
        <x:v>3104000</x:v>
      </x:c>
    </x:row>
    <x:row r="9385" ht="34" customHeight="1">
      <x:c r="A9385" s="4" t="str">
        <x:v>RS-04652-I4</x:v>
      </x:c>
      <x:c r="B9385" s="4" t="str">
        <x:v>RS-04652</x:v>
      </x:c>
      <x:c r="C9385" s="9" t="n">
        <x:v>4</x:v>
      </x:c>
      <x:c r="D9385" s="8" t="n">
        <x:v>45659</x:v>
      </x:c>
      <x:c r="E9385" s="9" t="n">
        <x:v>3104000</x:v>
      </x:c>
      <x:c r="F9385" s="9" t="n">
        <x:v>3104000</x:v>
      </x:c>
    </x:row>
    <x:row r="9386" ht="34" customHeight="1">
      <x:c r="A9386" s="4" t="str">
        <x:v>RS-04653-I1</x:v>
      </x:c>
      <x:c r="B9386" s="4" t="str">
        <x:v>RS-04653</x:v>
      </x:c>
      <x:c r="C9386" s="9" t="n">
        <x:v>1</x:v>
      </x:c>
      <x:c r="D9386" s="8" t="n">
        <x:v>45570</x:v>
      </x:c>
      <x:c r="E9386" s="9" t="n">
        <x:v>1911000</x:v>
      </x:c>
      <x:c r="F9386" s="9" t="n">
        <x:v>764400</x:v>
      </x:c>
    </x:row>
    <x:row r="9387" ht="34" customHeight="1">
      <x:c r="A9387" s="4" t="str">
        <x:v>RS-04653-I2</x:v>
      </x:c>
      <x:c r="B9387" s="4" t="str">
        <x:v>RS-04653</x:v>
      </x:c>
      <x:c r="C9387" s="9" t="n">
        <x:v>2</x:v>
      </x:c>
      <x:c r="D9387" s="8" t="n">
        <x:v>45600</x:v>
      </x:c>
      <x:c r="E9387" s="9" t="n">
        <x:v>1911000</x:v>
      </x:c>
      <x:c r="F9387" s="9" t="n">
        <x:v>0</x:v>
      </x:c>
    </x:row>
    <x:row r="9388" ht="34" customHeight="1">
      <x:c r="A9388" s="4" t="str">
        <x:v>RS-04653-I3</x:v>
      </x:c>
      <x:c r="B9388" s="4" t="str">
        <x:v>RS-04653</x:v>
      </x:c>
      <x:c r="C9388" s="9" t="n">
        <x:v>3</x:v>
      </x:c>
      <x:c r="D9388" s="8" t="n">
        <x:v>45630</x:v>
      </x:c>
      <x:c r="E9388" s="9" t="n">
        <x:v>1911000</x:v>
      </x:c>
      <x:c r="F9388" s="9" t="n">
        <x:v>0</x:v>
      </x:c>
    </x:row>
    <x:row r="9389" ht="34" customHeight="1">
      <x:c r="A9389" s="4" t="str">
        <x:v>RS-04653-I4</x:v>
      </x:c>
      <x:c r="B9389" s="4" t="str">
        <x:v>RS-04653</x:v>
      </x:c>
      <x:c r="C9389" s="9" t="n">
        <x:v>4</x:v>
      </x:c>
      <x:c r="D9389" s="8" t="n">
        <x:v>45660</x:v>
      </x:c>
      <x:c r="E9389" s="9" t="n">
        <x:v>1911000</x:v>
      </x:c>
      <x:c r="F9389" s="9" t="n">
        <x:v>0</x:v>
      </x:c>
    </x:row>
    <x:row r="9390" ht="34" customHeight="1">
      <x:c r="A9390" s="4" t="str">
        <x:v>RS-04654-I1</x:v>
      </x:c>
      <x:c r="B9390" s="4" t="str">
        <x:v>RS-04654</x:v>
      </x:c>
      <x:c r="C9390" s="9" t="n">
        <x:v>1</x:v>
      </x:c>
      <x:c r="D9390" s="8" t="n">
        <x:v>45571</x:v>
      </x:c>
      <x:c r="E9390" s="9" t="n">
        <x:v>2520000</x:v>
      </x:c>
      <x:c r="F9390" s="9" t="n">
        <x:v>1008000</x:v>
      </x:c>
    </x:row>
    <x:row r="9391" ht="34" customHeight="1">
      <x:c r="A9391" s="4" t="str">
        <x:v>RS-04654-I2</x:v>
      </x:c>
      <x:c r="B9391" s="4" t="str">
        <x:v>RS-04654</x:v>
      </x:c>
      <x:c r="C9391" s="9" t="n">
        <x:v>2</x:v>
      </x:c>
      <x:c r="D9391" s="8" t="n">
        <x:v>45601</x:v>
      </x:c>
      <x:c r="E9391" s="9" t="n">
        <x:v>2520000</x:v>
      </x:c>
      <x:c r="F9391" s="9" t="n">
        <x:v>0</x:v>
      </x:c>
    </x:row>
    <x:row r="9392" ht="34" customHeight="1">
      <x:c r="A9392" s="4" t="str">
        <x:v>RS-04654-I3</x:v>
      </x:c>
      <x:c r="B9392" s="4" t="str">
        <x:v>RS-04654</x:v>
      </x:c>
      <x:c r="C9392" s="9" t="n">
        <x:v>3</x:v>
      </x:c>
      <x:c r="D9392" s="8" t="n">
        <x:v>45631</x:v>
      </x:c>
      <x:c r="E9392" s="9" t="n">
        <x:v>2520000</x:v>
      </x:c>
      <x:c r="F9392" s="9" t="n">
        <x:v>0</x:v>
      </x:c>
    </x:row>
    <x:row r="9393" ht="34" customHeight="1">
      <x:c r="A9393" s="4" t="str">
        <x:v>RS-04654-I4</x:v>
      </x:c>
      <x:c r="B9393" s="4" t="str">
        <x:v>RS-04654</x:v>
      </x:c>
      <x:c r="C9393" s="9" t="n">
        <x:v>4</x:v>
      </x:c>
      <x:c r="D9393" s="8" t="n">
        <x:v>45661</x:v>
      </x:c>
      <x:c r="E9393" s="9" t="n">
        <x:v>2520000</x:v>
      </x:c>
      <x:c r="F9393" s="9" t="n">
        <x:v>0</x:v>
      </x:c>
    </x:row>
    <x:row r="9394" ht="34" customHeight="1">
      <x:c r="A9394" s="4" t="str">
        <x:v>RS-04656-I1</x:v>
      </x:c>
      <x:c r="B9394" s="4" t="str">
        <x:v>RS-04656</x:v>
      </x:c>
      <x:c r="C9394" s="9" t="n">
        <x:v>1</x:v>
      </x:c>
      <x:c r="D9394" s="8" t="n">
        <x:v>45573</x:v>
      </x:c>
      <x:c r="E9394" s="9" t="n">
        <x:v>4584000</x:v>
      </x:c>
      <x:c r="F9394" s="9" t="n">
        <x:v>4584000</x:v>
      </x:c>
    </x:row>
    <x:row r="9395" ht="34" customHeight="1">
      <x:c r="A9395" s="4" t="str">
        <x:v>RS-04656-I2</x:v>
      </x:c>
      <x:c r="B9395" s="4" t="str">
        <x:v>RS-04656</x:v>
      </x:c>
      <x:c r="C9395" s="9" t="n">
        <x:v>2</x:v>
      </x:c>
      <x:c r="D9395" s="8" t="n">
        <x:v>45603</x:v>
      </x:c>
      <x:c r="E9395" s="9" t="n">
        <x:v>4584000</x:v>
      </x:c>
      <x:c r="F9395" s="9" t="n">
        <x:v>4584000</x:v>
      </x:c>
    </x:row>
    <x:row r="9396" ht="34" customHeight="1">
      <x:c r="A9396" s="4" t="str">
        <x:v>RS-04656-I3</x:v>
      </x:c>
      <x:c r="B9396" s="4" t="str">
        <x:v>RS-04656</x:v>
      </x:c>
      <x:c r="C9396" s="9" t="n">
        <x:v>3</x:v>
      </x:c>
      <x:c r="D9396" s="8" t="n">
        <x:v>45633</x:v>
      </x:c>
      <x:c r="E9396" s="9" t="n">
        <x:v>4584000</x:v>
      </x:c>
      <x:c r="F9396" s="9" t="n">
        <x:v>0</x:v>
      </x:c>
    </x:row>
    <x:row r="9397" ht="34" customHeight="1">
      <x:c r="A9397" s="4" t="str">
        <x:v>RS-04656-I4</x:v>
      </x:c>
      <x:c r="B9397" s="4" t="str">
        <x:v>RS-04656</x:v>
      </x:c>
      <x:c r="C9397" s="9" t="n">
        <x:v>4</x:v>
      </x:c>
      <x:c r="D9397" s="8" t="n">
        <x:v>45663</x:v>
      </x:c>
      <x:c r="E9397" s="9" t="n">
        <x:v>4584000</x:v>
      </x:c>
      <x:c r="F9397" s="9" t="n">
        <x:v>0</x:v>
      </x:c>
    </x:row>
    <x:row r="9398" ht="34" customHeight="1">
      <x:c r="A9398" s="4" t="str">
        <x:v>RS-04658-I1</x:v>
      </x:c>
      <x:c r="B9398" s="4" t="str">
        <x:v>RS-04658</x:v>
      </x:c>
      <x:c r="C9398" s="9" t="n">
        <x:v>1</x:v>
      </x:c>
      <x:c r="D9398" s="8" t="n">
        <x:v>45575</x:v>
      </x:c>
      <x:c r="E9398" s="9" t="n">
        <x:v>1104500</x:v>
      </x:c>
      <x:c r="F9398" s="9" t="n">
        <x:v>1104500</x:v>
      </x:c>
    </x:row>
    <x:row r="9399" ht="34" customHeight="1">
      <x:c r="A9399" s="4" t="str">
        <x:v>RS-04658-I2</x:v>
      </x:c>
      <x:c r="B9399" s="4" t="str">
        <x:v>RS-04658</x:v>
      </x:c>
      <x:c r="C9399" s="9" t="n">
        <x:v>2</x:v>
      </x:c>
      <x:c r="D9399" s="8" t="n">
        <x:v>45605</x:v>
      </x:c>
      <x:c r="E9399" s="9" t="n">
        <x:v>1104500</x:v>
      </x:c>
      <x:c r="F9399" s="9" t="n">
        <x:v>1104500</x:v>
      </x:c>
    </x:row>
    <x:row r="9400" ht="34" customHeight="1">
      <x:c r="A9400" s="4" t="str">
        <x:v>RS-04658-I3</x:v>
      </x:c>
      <x:c r="B9400" s="4" t="str">
        <x:v>RS-04658</x:v>
      </x:c>
      <x:c r="C9400" s="9" t="n">
        <x:v>3</x:v>
      </x:c>
      <x:c r="D9400" s="8" t="n">
        <x:v>45635</x:v>
      </x:c>
      <x:c r="E9400" s="9" t="n">
        <x:v>1104500</x:v>
      </x:c>
      <x:c r="F9400" s="9" t="n">
        <x:v>1104500</x:v>
      </x:c>
    </x:row>
    <x:row r="9401" ht="34" customHeight="1">
      <x:c r="A9401" s="4" t="str">
        <x:v>RS-04658-I4</x:v>
      </x:c>
      <x:c r="B9401" s="4" t="str">
        <x:v>RS-04658</x:v>
      </x:c>
      <x:c r="C9401" s="9" t="n">
        <x:v>4</x:v>
      </x:c>
      <x:c r="D9401" s="8" t="n">
        <x:v>45665</x:v>
      </x:c>
      <x:c r="E9401" s="9" t="n">
        <x:v>1104500</x:v>
      </x:c>
      <x:c r="F9401" s="9" t="n">
        <x:v>1104500</x:v>
      </x:c>
    </x:row>
    <x:row r="9402" ht="34" customHeight="1">
      <x:c r="A9402" s="4" t="str">
        <x:v>RS-04659-I1</x:v>
      </x:c>
      <x:c r="B9402" s="4" t="str">
        <x:v>RS-04659</x:v>
      </x:c>
      <x:c r="C9402" s="9" t="n">
        <x:v>1</x:v>
      </x:c>
      <x:c r="D9402" s="8" t="n">
        <x:v>45576</x:v>
      </x:c>
      <x:c r="E9402" s="9" t="n">
        <x:v>3916000</x:v>
      </x:c>
      <x:c r="F9402" s="9" t="n">
        <x:v>3916000</x:v>
      </x:c>
    </x:row>
    <x:row r="9403" ht="34" customHeight="1">
      <x:c r="A9403" s="4" t="str">
        <x:v>RS-04659-I2</x:v>
      </x:c>
      <x:c r="B9403" s="4" t="str">
        <x:v>RS-04659</x:v>
      </x:c>
      <x:c r="C9403" s="9" t="n">
        <x:v>2</x:v>
      </x:c>
      <x:c r="D9403" s="8" t="n">
        <x:v>45606</x:v>
      </x:c>
      <x:c r="E9403" s="9" t="n">
        <x:v>3916000</x:v>
      </x:c>
      <x:c r="F9403" s="9" t="n">
        <x:v>3916000</x:v>
      </x:c>
    </x:row>
    <x:row r="9404" ht="34" customHeight="1">
      <x:c r="A9404" s="4" t="str">
        <x:v>RS-04659-I3</x:v>
      </x:c>
      <x:c r="B9404" s="4" t="str">
        <x:v>RS-04659</x:v>
      </x:c>
      <x:c r="C9404" s="9" t="n">
        <x:v>3</x:v>
      </x:c>
      <x:c r="D9404" s="8" t="n">
        <x:v>45636</x:v>
      </x:c>
      <x:c r="E9404" s="9" t="n">
        <x:v>3916000</x:v>
      </x:c>
      <x:c r="F9404" s="9" t="n">
        <x:v>3916000</x:v>
      </x:c>
    </x:row>
    <x:row r="9405" ht="34" customHeight="1">
      <x:c r="A9405" s="4" t="str">
        <x:v>RS-04659-I4</x:v>
      </x:c>
      <x:c r="B9405" s="4" t="str">
        <x:v>RS-04659</x:v>
      </x:c>
      <x:c r="C9405" s="9" t="n">
        <x:v>4</x:v>
      </x:c>
      <x:c r="D9405" s="8" t="n">
        <x:v>45666</x:v>
      </x:c>
      <x:c r="E9405" s="9" t="n">
        <x:v>3916000</x:v>
      </x:c>
      <x:c r="F9405" s="9" t="n">
        <x:v>3916000</x:v>
      </x:c>
    </x:row>
    <x:row r="9406" ht="34" customHeight="1">
      <x:c r="A9406" s="4" t="str">
        <x:v>RS-04662-I1</x:v>
      </x:c>
      <x:c r="B9406" s="4" t="str">
        <x:v>RS-04662</x:v>
      </x:c>
      <x:c r="C9406" s="9" t="n">
        <x:v>1</x:v>
      </x:c>
      <x:c r="D9406" s="8" t="n">
        <x:v>45579</x:v>
      </x:c>
      <x:c r="E9406" s="9" t="n">
        <x:v>3895000</x:v>
      </x:c>
      <x:c r="F9406" s="9" t="n">
        <x:v>3895000</x:v>
      </x:c>
    </x:row>
    <x:row r="9407" ht="34" customHeight="1">
      <x:c r="A9407" s="4" t="str">
        <x:v>RS-04662-I2</x:v>
      </x:c>
      <x:c r="B9407" s="4" t="str">
        <x:v>RS-04662</x:v>
      </x:c>
      <x:c r="C9407" s="9" t="n">
        <x:v>2</x:v>
      </x:c>
      <x:c r="D9407" s="8" t="n">
        <x:v>45609</x:v>
      </x:c>
      <x:c r="E9407" s="9" t="n">
        <x:v>3895000</x:v>
      </x:c>
      <x:c r="F9407" s="9" t="n">
        <x:v>0</x:v>
      </x:c>
    </x:row>
    <x:row r="9408" ht="34" customHeight="1">
      <x:c r="A9408" s="4" t="str">
        <x:v>RS-04662-I3</x:v>
      </x:c>
      <x:c r="B9408" s="4" t="str">
        <x:v>RS-04662</x:v>
      </x:c>
      <x:c r="C9408" s="9" t="n">
        <x:v>3</x:v>
      </x:c>
      <x:c r="D9408" s="8" t="n">
        <x:v>45639</x:v>
      </x:c>
      <x:c r="E9408" s="9" t="n">
        <x:v>3895000</x:v>
      </x:c>
      <x:c r="F9408" s="9" t="n">
        <x:v>0</x:v>
      </x:c>
    </x:row>
    <x:row r="9409" ht="34" customHeight="1">
      <x:c r="A9409" s="4" t="str">
        <x:v>RS-04662-I4</x:v>
      </x:c>
      <x:c r="B9409" s="4" t="str">
        <x:v>RS-04662</x:v>
      </x:c>
      <x:c r="C9409" s="9" t="n">
        <x:v>4</x:v>
      </x:c>
      <x:c r="D9409" s="8" t="n">
        <x:v>45669</x:v>
      </x:c>
      <x:c r="E9409" s="9" t="n">
        <x:v>3895000</x:v>
      </x:c>
      <x:c r="F9409" s="9" t="n">
        <x:v>0</x:v>
      </x:c>
    </x:row>
    <x:row r="9410" ht="34" customHeight="1">
      <x:c r="A9410" s="4" t="str">
        <x:v>RS-04665-I1</x:v>
      </x:c>
      <x:c r="B9410" s="4" t="str">
        <x:v>RS-04665</x:v>
      </x:c>
      <x:c r="C9410" s="9" t="n">
        <x:v>1</x:v>
      </x:c>
      <x:c r="D9410" s="8" t="n">
        <x:v>45582</x:v>
      </x:c>
      <x:c r="E9410" s="9" t="n">
        <x:v>4300000</x:v>
      </x:c>
      <x:c r="F9410" s="9" t="n">
        <x:v>4300000</x:v>
      </x:c>
    </x:row>
    <x:row r="9411" ht="34" customHeight="1">
      <x:c r="A9411" s="4" t="str">
        <x:v>RS-04665-I2</x:v>
      </x:c>
      <x:c r="B9411" s="4" t="str">
        <x:v>RS-04665</x:v>
      </x:c>
      <x:c r="C9411" s="9" t="n">
        <x:v>2</x:v>
      </x:c>
      <x:c r="D9411" s="8" t="n">
        <x:v>45612</x:v>
      </x:c>
      <x:c r="E9411" s="9" t="n">
        <x:v>4300000</x:v>
      </x:c>
      <x:c r="F9411" s="9" t="n">
        <x:v>0</x:v>
      </x:c>
    </x:row>
    <x:row r="9412" ht="34" customHeight="1">
      <x:c r="A9412" s="4" t="str">
        <x:v>RS-04665-I3</x:v>
      </x:c>
      <x:c r="B9412" s="4" t="str">
        <x:v>RS-04665</x:v>
      </x:c>
      <x:c r="C9412" s="9" t="n">
        <x:v>3</x:v>
      </x:c>
      <x:c r="D9412" s="8" t="n">
        <x:v>45642</x:v>
      </x:c>
      <x:c r="E9412" s="9" t="n">
        <x:v>4300000</x:v>
      </x:c>
      <x:c r="F9412" s="9" t="n">
        <x:v>0</x:v>
      </x:c>
    </x:row>
    <x:row r="9413" ht="34" customHeight="1">
      <x:c r="A9413" s="4" t="str">
        <x:v>RS-04665-I4</x:v>
      </x:c>
      <x:c r="B9413" s="4" t="str">
        <x:v>RS-04665</x:v>
      </x:c>
      <x:c r="C9413" s="9" t="n">
        <x:v>4</x:v>
      </x:c>
      <x:c r="D9413" s="8" t="n">
        <x:v>45672</x:v>
      </x:c>
      <x:c r="E9413" s="9" t="n">
        <x:v>4300000</x:v>
      </x:c>
      <x:c r="F9413" s="9" t="n">
        <x:v>0</x:v>
      </x:c>
    </x:row>
    <x:row r="9414" ht="34" customHeight="1">
      <x:c r="A9414" s="4" t="str">
        <x:v>RS-04666-I1</x:v>
      </x:c>
      <x:c r="B9414" s="4" t="str">
        <x:v>RS-04666</x:v>
      </x:c>
      <x:c r="C9414" s="9" t="n">
        <x:v>1</x:v>
      </x:c>
      <x:c r="D9414" s="8" t="n">
        <x:v>45583</x:v>
      </x:c>
      <x:c r="E9414" s="9" t="n">
        <x:v>5367500</x:v>
      </x:c>
      <x:c r="F9414" s="9" t="n">
        <x:v>5367500</x:v>
      </x:c>
    </x:row>
    <x:row r="9415" ht="34" customHeight="1">
      <x:c r="A9415" s="4" t="str">
        <x:v>RS-04666-I2</x:v>
      </x:c>
      <x:c r="B9415" s="4" t="str">
        <x:v>RS-04666</x:v>
      </x:c>
      <x:c r="C9415" s="9" t="n">
        <x:v>2</x:v>
      </x:c>
      <x:c r="D9415" s="8" t="n">
        <x:v>45613</x:v>
      </x:c>
      <x:c r="E9415" s="9" t="n">
        <x:v>5367500</x:v>
      </x:c>
      <x:c r="F9415" s="9" t="n">
        <x:v>5367500</x:v>
      </x:c>
    </x:row>
    <x:row r="9416" ht="34" customHeight="1">
      <x:c r="A9416" s="4" t="str">
        <x:v>RS-04666-I3</x:v>
      </x:c>
      <x:c r="B9416" s="4" t="str">
        <x:v>RS-04666</x:v>
      </x:c>
      <x:c r="C9416" s="9" t="n">
        <x:v>3</x:v>
      </x:c>
      <x:c r="D9416" s="8" t="n">
        <x:v>45643</x:v>
      </x:c>
      <x:c r="E9416" s="9" t="n">
        <x:v>5367500</x:v>
      </x:c>
      <x:c r="F9416" s="9" t="n">
        <x:v>0</x:v>
      </x:c>
    </x:row>
    <x:row r="9417" ht="34" customHeight="1">
      <x:c r="A9417" s="4" t="str">
        <x:v>RS-04666-I4</x:v>
      </x:c>
      <x:c r="B9417" s="4" t="str">
        <x:v>RS-04666</x:v>
      </x:c>
      <x:c r="C9417" s="9" t="n">
        <x:v>4</x:v>
      </x:c>
      <x:c r="D9417" s="8" t="n">
        <x:v>45673</x:v>
      </x:c>
      <x:c r="E9417" s="9" t="n">
        <x:v>5367500</x:v>
      </x:c>
      <x:c r="F9417" s="9" t="n">
        <x:v>0</x:v>
      </x:c>
    </x:row>
    <x:row r="9418" ht="34" customHeight="1">
      <x:c r="A9418" s="4" t="str">
        <x:v>RS-04671-I1</x:v>
      </x:c>
      <x:c r="B9418" s="4" t="str">
        <x:v>RS-04671</x:v>
      </x:c>
      <x:c r="C9418" s="9" t="n">
        <x:v>1</x:v>
      </x:c>
      <x:c r="D9418" s="8" t="n">
        <x:v>45588</x:v>
      </x:c>
      <x:c r="E9418" s="9" t="n">
        <x:v>873000</x:v>
      </x:c>
      <x:c r="F9418" s="9" t="n">
        <x:v>873000</x:v>
      </x:c>
    </x:row>
    <x:row r="9419" ht="34" customHeight="1">
      <x:c r="A9419" s="4" t="str">
        <x:v>RS-04671-I2</x:v>
      </x:c>
      <x:c r="B9419" s="4" t="str">
        <x:v>RS-04671</x:v>
      </x:c>
      <x:c r="C9419" s="9" t="n">
        <x:v>2</x:v>
      </x:c>
      <x:c r="D9419" s="8" t="n">
        <x:v>45618</x:v>
      </x:c>
      <x:c r="E9419" s="9" t="n">
        <x:v>873000</x:v>
      </x:c>
      <x:c r="F9419" s="9" t="n">
        <x:v>873000</x:v>
      </x:c>
    </x:row>
    <x:row r="9420" ht="34" customHeight="1">
      <x:c r="A9420" s="4" t="str">
        <x:v>RS-04671-I3</x:v>
      </x:c>
      <x:c r="B9420" s="4" t="str">
        <x:v>RS-04671</x:v>
      </x:c>
      <x:c r="C9420" s="9" t="n">
        <x:v>3</x:v>
      </x:c>
      <x:c r="D9420" s="8" t="n">
        <x:v>45648</x:v>
      </x:c>
      <x:c r="E9420" s="9" t="n">
        <x:v>873000</x:v>
      </x:c>
      <x:c r="F9420" s="9" t="n">
        <x:v>873000</x:v>
      </x:c>
    </x:row>
    <x:row r="9421" ht="34" customHeight="1">
      <x:c r="A9421" s="4" t="str">
        <x:v>RS-04671-I4</x:v>
      </x:c>
      <x:c r="B9421" s="4" t="str">
        <x:v>RS-04671</x:v>
      </x:c>
      <x:c r="C9421" s="9" t="n">
        <x:v>4</x:v>
      </x:c>
      <x:c r="D9421" s="8" t="n">
        <x:v>45678</x:v>
      </x:c>
      <x:c r="E9421" s="9" t="n">
        <x:v>873000</x:v>
      </x:c>
      <x:c r="F9421" s="9" t="n">
        <x:v>873000</x:v>
      </x:c>
    </x:row>
    <x:row r="9422" ht="34" customHeight="1">
      <x:c r="A9422" s="4" t="str">
        <x:v>RS-04672-I1</x:v>
      </x:c>
      <x:c r="B9422" s="4" t="str">
        <x:v>RS-04672</x:v>
      </x:c>
      <x:c r="C9422" s="9" t="n">
        <x:v>1</x:v>
      </x:c>
      <x:c r="D9422" s="8" t="n">
        <x:v>45589</x:v>
      </x:c>
      <x:c r="E9422" s="9" t="n">
        <x:v>5100000</x:v>
      </x:c>
      <x:c r="F9422" s="9" t="n">
        <x:v>5100000</x:v>
      </x:c>
    </x:row>
    <x:row r="9423" ht="34" customHeight="1">
      <x:c r="A9423" s="4" t="str">
        <x:v>RS-04672-I2</x:v>
      </x:c>
      <x:c r="B9423" s="4" t="str">
        <x:v>RS-04672</x:v>
      </x:c>
      <x:c r="C9423" s="9" t="n">
        <x:v>2</x:v>
      </x:c>
      <x:c r="D9423" s="8" t="n">
        <x:v>45619</x:v>
      </x:c>
      <x:c r="E9423" s="9" t="n">
        <x:v>5100000</x:v>
      </x:c>
      <x:c r="F9423" s="9" t="n">
        <x:v>5100000</x:v>
      </x:c>
    </x:row>
    <x:row r="9424" ht="34" customHeight="1">
      <x:c r="A9424" s="4" t="str">
        <x:v>RS-04672-I3</x:v>
      </x:c>
      <x:c r="B9424" s="4" t="str">
        <x:v>RS-04672</x:v>
      </x:c>
      <x:c r="C9424" s="9" t="n">
        <x:v>3</x:v>
      </x:c>
      <x:c r="D9424" s="8" t="n">
        <x:v>45649</x:v>
      </x:c>
      <x:c r="E9424" s="9" t="n">
        <x:v>5100000</x:v>
      </x:c>
      <x:c r="F9424" s="9" t="n">
        <x:v>5100000</x:v>
      </x:c>
    </x:row>
    <x:row r="9425" ht="34" customHeight="1">
      <x:c r="A9425" s="4" t="str">
        <x:v>RS-04672-I4</x:v>
      </x:c>
      <x:c r="B9425" s="4" t="str">
        <x:v>RS-04672</x:v>
      </x:c>
      <x:c r="C9425" s="9" t="n">
        <x:v>4</x:v>
      </x:c>
      <x:c r="D9425" s="8" t="n">
        <x:v>45679</x:v>
      </x:c>
      <x:c r="E9425" s="9" t="n">
        <x:v>5100000</x:v>
      </x:c>
      <x:c r="F9425" s="9" t="n">
        <x:v>5100000</x:v>
      </x:c>
    </x:row>
    <x:row r="9426" ht="34" customHeight="1">
      <x:c r="A9426" s="4" t="str">
        <x:v>RS-04673-I1</x:v>
      </x:c>
      <x:c r="B9426" s="4" t="str">
        <x:v>RS-04673</x:v>
      </x:c>
      <x:c r="C9426" s="9" t="n">
        <x:v>1</x:v>
      </x:c>
      <x:c r="D9426" s="8" t="n">
        <x:v>45590</x:v>
      </x:c>
      <x:c r="E9426" s="9" t="n">
        <x:v>3144000</x:v>
      </x:c>
      <x:c r="F9426" s="9" t="n">
        <x:v>3144000</x:v>
      </x:c>
    </x:row>
    <x:row r="9427" ht="34" customHeight="1">
      <x:c r="A9427" s="4" t="str">
        <x:v>RS-04673-I2</x:v>
      </x:c>
      <x:c r="B9427" s="4" t="str">
        <x:v>RS-04673</x:v>
      </x:c>
      <x:c r="C9427" s="9" t="n">
        <x:v>2</x:v>
      </x:c>
      <x:c r="D9427" s="8" t="n">
        <x:v>45620</x:v>
      </x:c>
      <x:c r="E9427" s="9" t="n">
        <x:v>3144000</x:v>
      </x:c>
      <x:c r="F9427" s="9" t="n">
        <x:v>3144000</x:v>
      </x:c>
    </x:row>
    <x:row r="9428" ht="34" customHeight="1">
      <x:c r="A9428" s="4" t="str">
        <x:v>RS-04673-I3</x:v>
      </x:c>
      <x:c r="B9428" s="4" t="str">
        <x:v>RS-04673</x:v>
      </x:c>
      <x:c r="C9428" s="9" t="n">
        <x:v>3</x:v>
      </x:c>
      <x:c r="D9428" s="8" t="n">
        <x:v>45650</x:v>
      </x:c>
      <x:c r="E9428" s="9" t="n">
        <x:v>3144000</x:v>
      </x:c>
      <x:c r="F9428" s="9" t="n">
        <x:v>3144000</x:v>
      </x:c>
    </x:row>
    <x:row r="9429" ht="34" customHeight="1">
      <x:c r="A9429" s="4" t="str">
        <x:v>RS-04673-I4</x:v>
      </x:c>
      <x:c r="B9429" s="4" t="str">
        <x:v>RS-04673</x:v>
      </x:c>
      <x:c r="C9429" s="9" t="n">
        <x:v>4</x:v>
      </x:c>
      <x:c r="D9429" s="8" t="n">
        <x:v>45680</x:v>
      </x:c>
      <x:c r="E9429" s="9" t="n">
        <x:v>3144000</x:v>
      </x:c>
      <x:c r="F9429" s="9" t="n">
        <x:v>3144000</x:v>
      </x:c>
    </x:row>
    <x:row r="9430" ht="34" customHeight="1">
      <x:c r="A9430" s="4" t="str">
        <x:v>RS-04674-I1</x:v>
      </x:c>
      <x:c r="B9430" s="4" t="str">
        <x:v>RS-04674</x:v>
      </x:c>
      <x:c r="C9430" s="9" t="n">
        <x:v>1</x:v>
      </x:c>
      <x:c r="D9430" s="8" t="n">
        <x:v>45591</x:v>
      </x:c>
      <x:c r="E9430" s="9" t="n">
        <x:v>2627250</x:v>
      </x:c>
      <x:c r="F9430" s="9" t="n">
        <x:v>2627250</x:v>
      </x:c>
    </x:row>
    <x:row r="9431" ht="34" customHeight="1">
      <x:c r="A9431" s="4" t="str">
        <x:v>RS-04674-I2</x:v>
      </x:c>
      <x:c r="B9431" s="4" t="str">
        <x:v>RS-04674</x:v>
      </x:c>
      <x:c r="C9431" s="9" t="n">
        <x:v>2</x:v>
      </x:c>
      <x:c r="D9431" s="8" t="n">
        <x:v>45621</x:v>
      </x:c>
      <x:c r="E9431" s="9" t="n">
        <x:v>2627250</x:v>
      </x:c>
      <x:c r="F9431" s="9" t="n">
        <x:v>0</x:v>
      </x:c>
    </x:row>
    <x:row r="9432" ht="34" customHeight="1">
      <x:c r="A9432" s="4" t="str">
        <x:v>RS-04674-I3</x:v>
      </x:c>
      <x:c r="B9432" s="4" t="str">
        <x:v>RS-04674</x:v>
      </x:c>
      <x:c r="C9432" s="9" t="n">
        <x:v>3</x:v>
      </x:c>
      <x:c r="D9432" s="8" t="n">
        <x:v>45651</x:v>
      </x:c>
      <x:c r="E9432" s="9" t="n">
        <x:v>2627250</x:v>
      </x:c>
      <x:c r="F9432" s="9" t="n">
        <x:v>0</x:v>
      </x:c>
    </x:row>
    <x:row r="9433" ht="34" customHeight="1">
      <x:c r="A9433" s="4" t="str">
        <x:v>RS-04674-I4</x:v>
      </x:c>
      <x:c r="B9433" s="4" t="str">
        <x:v>RS-04674</x:v>
      </x:c>
      <x:c r="C9433" s="9" t="n">
        <x:v>4</x:v>
      </x:c>
      <x:c r="D9433" s="8" t="n">
        <x:v>45681</x:v>
      </x:c>
      <x:c r="E9433" s="9" t="n">
        <x:v>2627250</x:v>
      </x:c>
      <x:c r="F9433" s="9" t="n">
        <x:v>0</x:v>
      </x:c>
    </x:row>
    <x:row r="9434" ht="34" customHeight="1">
      <x:c r="A9434" s="4" t="str">
        <x:v>RS-04675-I1</x:v>
      </x:c>
      <x:c r="B9434" s="4" t="str">
        <x:v>RS-04675</x:v>
      </x:c>
      <x:c r="C9434" s="9" t="n">
        <x:v>1</x:v>
      </x:c>
      <x:c r="D9434" s="8" t="n">
        <x:v>45592</x:v>
      </x:c>
      <x:c r="E9434" s="9" t="n">
        <x:v>5505500</x:v>
      </x:c>
      <x:c r="F9434" s="9" t="n">
        <x:v>5505500</x:v>
      </x:c>
    </x:row>
    <x:row r="9435" ht="34" customHeight="1">
      <x:c r="A9435" s="4" t="str">
        <x:v>RS-04675-I2</x:v>
      </x:c>
      <x:c r="B9435" s="4" t="str">
        <x:v>RS-04675</x:v>
      </x:c>
      <x:c r="C9435" s="9" t="n">
        <x:v>2</x:v>
      </x:c>
      <x:c r="D9435" s="8" t="n">
        <x:v>45622</x:v>
      </x:c>
      <x:c r="E9435" s="9" t="n">
        <x:v>5505500</x:v>
      </x:c>
      <x:c r="F9435" s="9" t="n">
        <x:v>5505500</x:v>
      </x:c>
    </x:row>
    <x:row r="9436" ht="34" customHeight="1">
      <x:c r="A9436" s="4" t="str">
        <x:v>RS-04675-I3</x:v>
      </x:c>
      <x:c r="B9436" s="4" t="str">
        <x:v>RS-04675</x:v>
      </x:c>
      <x:c r="C9436" s="9" t="n">
        <x:v>3</x:v>
      </x:c>
      <x:c r="D9436" s="8" t="n">
        <x:v>45652</x:v>
      </x:c>
      <x:c r="E9436" s="9" t="n">
        <x:v>5505500</x:v>
      </x:c>
      <x:c r="F9436" s="9" t="n">
        <x:v>5505500</x:v>
      </x:c>
    </x:row>
    <x:row r="9437" ht="34" customHeight="1">
      <x:c r="A9437" s="4" t="str">
        <x:v>RS-04675-I4</x:v>
      </x:c>
      <x:c r="B9437" s="4" t="str">
        <x:v>RS-04675</x:v>
      </x:c>
      <x:c r="C9437" s="9" t="n">
        <x:v>4</x:v>
      </x:c>
      <x:c r="D9437" s="8" t="n">
        <x:v>45682</x:v>
      </x:c>
      <x:c r="E9437" s="9" t="n">
        <x:v>5505500</x:v>
      </x:c>
      <x:c r="F9437" s="9" t="n">
        <x:v>5505500</x:v>
      </x:c>
    </x:row>
    <x:row r="9438" ht="34" customHeight="1">
      <x:c r="A9438" s="4" t="str">
        <x:v>RS-04679-I1</x:v>
      </x:c>
      <x:c r="B9438" s="4" t="str">
        <x:v>RS-04679</x:v>
      </x:c>
      <x:c r="C9438" s="9" t="n">
        <x:v>1</x:v>
      </x:c>
      <x:c r="D9438" s="8" t="n">
        <x:v>45568</x:v>
      </x:c>
      <x:c r="E9438" s="9" t="n">
        <x:v>3624000</x:v>
      </x:c>
      <x:c r="F9438" s="9" t="n">
        <x:v>3624000</x:v>
      </x:c>
    </x:row>
    <x:row r="9439" ht="34" customHeight="1">
      <x:c r="A9439" s="4" t="str">
        <x:v>RS-04679-I2</x:v>
      </x:c>
      <x:c r="B9439" s="4" t="str">
        <x:v>RS-04679</x:v>
      </x:c>
      <x:c r="C9439" s="9" t="n">
        <x:v>2</x:v>
      </x:c>
      <x:c r="D9439" s="8" t="n">
        <x:v>45598</x:v>
      </x:c>
      <x:c r="E9439" s="9" t="n">
        <x:v>3624000</x:v>
      </x:c>
      <x:c r="F9439" s="9" t="n">
        <x:v>3624000</x:v>
      </x:c>
    </x:row>
    <x:row r="9440" ht="34" customHeight="1">
      <x:c r="A9440" s="4" t="str">
        <x:v>RS-04679-I3</x:v>
      </x:c>
      <x:c r="B9440" s="4" t="str">
        <x:v>RS-04679</x:v>
      </x:c>
      <x:c r="C9440" s="9" t="n">
        <x:v>3</x:v>
      </x:c>
      <x:c r="D9440" s="8" t="n">
        <x:v>45628</x:v>
      </x:c>
      <x:c r="E9440" s="9" t="n">
        <x:v>3624000</x:v>
      </x:c>
      <x:c r="F9440" s="9" t="n">
        <x:v>0</x:v>
      </x:c>
    </x:row>
    <x:row r="9441" ht="34" customHeight="1">
      <x:c r="A9441" s="4" t="str">
        <x:v>RS-04679-I4</x:v>
      </x:c>
      <x:c r="B9441" s="4" t="str">
        <x:v>RS-04679</x:v>
      </x:c>
      <x:c r="C9441" s="9" t="n">
        <x:v>4</x:v>
      </x:c>
      <x:c r="D9441" s="8" t="n">
        <x:v>45658</x:v>
      </x:c>
      <x:c r="E9441" s="9" t="n">
        <x:v>3624000</x:v>
      </x:c>
      <x:c r="F9441" s="9" t="n">
        <x:v>0</x:v>
      </x:c>
    </x:row>
    <x:row r="9442" ht="34" customHeight="1">
      <x:c r="A9442" s="4" t="str">
        <x:v>RS-04680-I1</x:v>
      </x:c>
      <x:c r="B9442" s="4" t="str">
        <x:v>RS-04680</x:v>
      </x:c>
      <x:c r="C9442" s="9" t="n">
        <x:v>1</x:v>
      </x:c>
      <x:c r="D9442" s="8" t="n">
        <x:v>45569</x:v>
      </x:c>
      <x:c r="E9442" s="9" t="n">
        <x:v>2420500</x:v>
      </x:c>
      <x:c r="F9442" s="9" t="n">
        <x:v>2420500</x:v>
      </x:c>
    </x:row>
    <x:row r="9443" ht="34" customHeight="1">
      <x:c r="A9443" s="4" t="str">
        <x:v>RS-04680-I2</x:v>
      </x:c>
      <x:c r="B9443" s="4" t="str">
        <x:v>RS-04680</x:v>
      </x:c>
      <x:c r="C9443" s="9" t="n">
        <x:v>2</x:v>
      </x:c>
      <x:c r="D9443" s="8" t="n">
        <x:v>45599</x:v>
      </x:c>
      <x:c r="E9443" s="9" t="n">
        <x:v>2420500</x:v>
      </x:c>
      <x:c r="F9443" s="9" t="n">
        <x:v>2420500</x:v>
      </x:c>
    </x:row>
    <x:row r="9444" ht="34" customHeight="1">
      <x:c r="A9444" s="4" t="str">
        <x:v>RS-04680-I3</x:v>
      </x:c>
      <x:c r="B9444" s="4" t="str">
        <x:v>RS-04680</x:v>
      </x:c>
      <x:c r="C9444" s="9" t="n">
        <x:v>3</x:v>
      </x:c>
      <x:c r="D9444" s="8" t="n">
        <x:v>45629</x:v>
      </x:c>
      <x:c r="E9444" s="9" t="n">
        <x:v>2420500</x:v>
      </x:c>
      <x:c r="F9444" s="9" t="n">
        <x:v>0</x:v>
      </x:c>
    </x:row>
    <x:row r="9445" ht="34" customHeight="1">
      <x:c r="A9445" s="4" t="str">
        <x:v>RS-04680-I4</x:v>
      </x:c>
      <x:c r="B9445" s="4" t="str">
        <x:v>RS-04680</x:v>
      </x:c>
      <x:c r="C9445" s="9" t="n">
        <x:v>4</x:v>
      </x:c>
      <x:c r="D9445" s="8" t="n">
        <x:v>45659</x:v>
      </x:c>
      <x:c r="E9445" s="9" t="n">
        <x:v>2420500</x:v>
      </x:c>
      <x:c r="F9445" s="9" t="n">
        <x:v>0</x:v>
      </x:c>
    </x:row>
    <x:row r="9446" ht="34" customHeight="1">
      <x:c r="A9446" s="4" t="str">
        <x:v>RS-04681-I1</x:v>
      </x:c>
      <x:c r="B9446" s="4" t="str">
        <x:v>RS-04681</x:v>
      </x:c>
      <x:c r="C9446" s="9" t="n">
        <x:v>1</x:v>
      </x:c>
      <x:c r="D9446" s="8" t="n">
        <x:v>45570</x:v>
      </x:c>
      <x:c r="E9446" s="9" t="n">
        <x:v>1358000</x:v>
      </x:c>
      <x:c r="F9446" s="9" t="n">
        <x:v>1358000</x:v>
      </x:c>
    </x:row>
    <x:row r="9447" ht="34" customHeight="1">
      <x:c r="A9447" s="4" t="str">
        <x:v>RS-04681-I2</x:v>
      </x:c>
      <x:c r="B9447" s="4" t="str">
        <x:v>RS-04681</x:v>
      </x:c>
      <x:c r="C9447" s="9" t="n">
        <x:v>2</x:v>
      </x:c>
      <x:c r="D9447" s="8" t="n">
        <x:v>45600</x:v>
      </x:c>
      <x:c r="E9447" s="9" t="n">
        <x:v>1358000</x:v>
      </x:c>
      <x:c r="F9447" s="9" t="n">
        <x:v>1358000</x:v>
      </x:c>
    </x:row>
    <x:row r="9448" ht="34" customHeight="1">
      <x:c r="A9448" s="4" t="str">
        <x:v>RS-04681-I3</x:v>
      </x:c>
      <x:c r="B9448" s="4" t="str">
        <x:v>RS-04681</x:v>
      </x:c>
      <x:c r="C9448" s="9" t="n">
        <x:v>3</x:v>
      </x:c>
      <x:c r="D9448" s="8" t="n">
        <x:v>45630</x:v>
      </x:c>
      <x:c r="E9448" s="9" t="n">
        <x:v>1358000</x:v>
      </x:c>
      <x:c r="F9448" s="9" t="n">
        <x:v>1358000</x:v>
      </x:c>
    </x:row>
    <x:row r="9449" ht="34" customHeight="1">
      <x:c r="A9449" s="4" t="str">
        <x:v>RS-04681-I4</x:v>
      </x:c>
      <x:c r="B9449" s="4" t="str">
        <x:v>RS-04681</x:v>
      </x:c>
      <x:c r="C9449" s="9" t="n">
        <x:v>4</x:v>
      </x:c>
      <x:c r="D9449" s="8" t="n">
        <x:v>45660</x:v>
      </x:c>
      <x:c r="E9449" s="9" t="n">
        <x:v>1358000</x:v>
      </x:c>
      <x:c r="F9449" s="9" t="n">
        <x:v>1358000</x:v>
      </x:c>
    </x:row>
    <x:row r="9450" ht="34" customHeight="1">
      <x:c r="A9450" s="4" t="str">
        <x:v>RS-04682-I1</x:v>
      </x:c>
      <x:c r="B9450" s="4" t="str">
        <x:v>RS-04682</x:v>
      </x:c>
      <x:c r="C9450" s="9" t="n">
        <x:v>1</x:v>
      </x:c>
      <x:c r="D9450" s="8" t="n">
        <x:v>45571</x:v>
      </x:c>
      <x:c r="E9450" s="9" t="n">
        <x:v>3938250</x:v>
      </x:c>
      <x:c r="F9450" s="9" t="n">
        <x:v>3938250</x:v>
      </x:c>
    </x:row>
    <x:row r="9451" ht="34" customHeight="1">
      <x:c r="A9451" s="4" t="str">
        <x:v>RS-04682-I2</x:v>
      </x:c>
      <x:c r="B9451" s="4" t="str">
        <x:v>RS-04682</x:v>
      </x:c>
      <x:c r="C9451" s="9" t="n">
        <x:v>2</x:v>
      </x:c>
      <x:c r="D9451" s="8" t="n">
        <x:v>45601</x:v>
      </x:c>
      <x:c r="E9451" s="9" t="n">
        <x:v>3938250</x:v>
      </x:c>
      <x:c r="F9451" s="9" t="n">
        <x:v>3938250</x:v>
      </x:c>
    </x:row>
    <x:row r="9452" ht="34" customHeight="1">
      <x:c r="A9452" s="4" t="str">
        <x:v>RS-04682-I3</x:v>
      </x:c>
      <x:c r="B9452" s="4" t="str">
        <x:v>RS-04682</x:v>
      </x:c>
      <x:c r="C9452" s="9" t="n">
        <x:v>3</x:v>
      </x:c>
      <x:c r="D9452" s="8" t="n">
        <x:v>45631</x:v>
      </x:c>
      <x:c r="E9452" s="9" t="n">
        <x:v>3938250</x:v>
      </x:c>
      <x:c r="F9452" s="9" t="n">
        <x:v>3938250</x:v>
      </x:c>
    </x:row>
    <x:row r="9453" ht="34" customHeight="1">
      <x:c r="A9453" s="4" t="str">
        <x:v>RS-04682-I4</x:v>
      </x:c>
      <x:c r="B9453" s="4" t="str">
        <x:v>RS-04682</x:v>
      </x:c>
      <x:c r="C9453" s="9" t="n">
        <x:v>4</x:v>
      </x:c>
      <x:c r="D9453" s="8" t="n">
        <x:v>45661</x:v>
      </x:c>
      <x:c r="E9453" s="9" t="n">
        <x:v>3938250</x:v>
      </x:c>
      <x:c r="F9453" s="9" t="n">
        <x:v>3938250</x:v>
      </x:c>
    </x:row>
    <x:row r="9454" ht="34" customHeight="1">
      <x:c r="A9454" s="4" t="str">
        <x:v>RS-04684-I1</x:v>
      </x:c>
      <x:c r="B9454" s="4" t="str">
        <x:v>RS-04684</x:v>
      </x:c>
      <x:c r="C9454" s="9" t="n">
        <x:v>1</x:v>
      </x:c>
      <x:c r="D9454" s="8" t="n">
        <x:v>45573</x:v>
      </x:c>
      <x:c r="E9454" s="9" t="n">
        <x:v>2325000</x:v>
      </x:c>
      <x:c r="F9454" s="9" t="n">
        <x:v>930000</x:v>
      </x:c>
    </x:row>
    <x:row r="9455" ht="34" customHeight="1">
      <x:c r="A9455" s="4" t="str">
        <x:v>RS-04684-I2</x:v>
      </x:c>
      <x:c r="B9455" s="4" t="str">
        <x:v>RS-04684</x:v>
      </x:c>
      <x:c r="C9455" s="9" t="n">
        <x:v>2</x:v>
      </x:c>
      <x:c r="D9455" s="8" t="n">
        <x:v>45603</x:v>
      </x:c>
      <x:c r="E9455" s="9" t="n">
        <x:v>2325000</x:v>
      </x:c>
      <x:c r="F9455" s="9" t="n">
        <x:v>0</x:v>
      </x:c>
    </x:row>
    <x:row r="9456" ht="34" customHeight="1">
      <x:c r="A9456" s="4" t="str">
        <x:v>RS-04684-I3</x:v>
      </x:c>
      <x:c r="B9456" s="4" t="str">
        <x:v>RS-04684</x:v>
      </x:c>
      <x:c r="C9456" s="9" t="n">
        <x:v>3</x:v>
      </x:c>
      <x:c r="D9456" s="8" t="n">
        <x:v>45633</x:v>
      </x:c>
      <x:c r="E9456" s="9" t="n">
        <x:v>2325000</x:v>
      </x:c>
      <x:c r="F9456" s="9" t="n">
        <x:v>0</x:v>
      </x:c>
    </x:row>
    <x:row r="9457" ht="34" customHeight="1">
      <x:c r="A9457" s="4" t="str">
        <x:v>RS-04684-I4</x:v>
      </x:c>
      <x:c r="B9457" s="4" t="str">
        <x:v>RS-04684</x:v>
      </x:c>
      <x:c r="C9457" s="9" t="n">
        <x:v>4</x:v>
      </x:c>
      <x:c r="D9457" s="8" t="n">
        <x:v>45663</x:v>
      </x:c>
      <x:c r="E9457" s="9" t="n">
        <x:v>2325000</x:v>
      </x:c>
      <x:c r="F9457" s="9" t="n">
        <x:v>0</x:v>
      </x:c>
    </x:row>
    <x:row r="9458" ht="34" customHeight="1">
      <x:c r="A9458" s="4" t="str">
        <x:v>RS-04685-I1</x:v>
      </x:c>
      <x:c r="B9458" s="4" t="str">
        <x:v>RS-04685</x:v>
      </x:c>
      <x:c r="C9458" s="9" t="n">
        <x:v>1</x:v>
      </x:c>
      <x:c r="D9458" s="8" t="n">
        <x:v>45574</x:v>
      </x:c>
      <x:c r="E9458" s="9" t="n">
        <x:v>4982000</x:v>
      </x:c>
      <x:c r="F9458" s="9" t="n">
        <x:v>4982000</x:v>
      </x:c>
    </x:row>
    <x:row r="9459" ht="34" customHeight="1">
      <x:c r="A9459" s="4" t="str">
        <x:v>RS-04685-I2</x:v>
      </x:c>
      <x:c r="B9459" s="4" t="str">
        <x:v>RS-04685</x:v>
      </x:c>
      <x:c r="C9459" s="9" t="n">
        <x:v>2</x:v>
      </x:c>
      <x:c r="D9459" s="8" t="n">
        <x:v>45604</x:v>
      </x:c>
      <x:c r="E9459" s="9" t="n">
        <x:v>4982000</x:v>
      </x:c>
      <x:c r="F9459" s="9" t="n">
        <x:v>0</x:v>
      </x:c>
    </x:row>
    <x:row r="9460" ht="34" customHeight="1">
      <x:c r="A9460" s="4" t="str">
        <x:v>RS-04685-I3</x:v>
      </x:c>
      <x:c r="B9460" s="4" t="str">
        <x:v>RS-04685</x:v>
      </x:c>
      <x:c r="C9460" s="9" t="n">
        <x:v>3</x:v>
      </x:c>
      <x:c r="D9460" s="8" t="n">
        <x:v>45634</x:v>
      </x:c>
      <x:c r="E9460" s="9" t="n">
        <x:v>4982000</x:v>
      </x:c>
      <x:c r="F9460" s="9" t="n">
        <x:v>0</x:v>
      </x:c>
    </x:row>
    <x:row r="9461" ht="34" customHeight="1">
      <x:c r="A9461" s="4" t="str">
        <x:v>RS-04685-I4</x:v>
      </x:c>
      <x:c r="B9461" s="4" t="str">
        <x:v>RS-04685</x:v>
      </x:c>
      <x:c r="C9461" s="9" t="n">
        <x:v>4</x:v>
      </x:c>
      <x:c r="D9461" s="8" t="n">
        <x:v>45664</x:v>
      </x:c>
      <x:c r="E9461" s="9" t="n">
        <x:v>4982000</x:v>
      </x:c>
      <x:c r="F9461" s="9" t="n">
        <x:v>0</x:v>
      </x:c>
    </x:row>
    <x:row r="9462" ht="34" customHeight="1">
      <x:c r="A9462" s="4" t="str">
        <x:v>RS-04686-I1</x:v>
      </x:c>
      <x:c r="B9462" s="4" t="str">
        <x:v>RS-04686</x:v>
      </x:c>
      <x:c r="C9462" s="9" t="n">
        <x:v>1</x:v>
      </x:c>
      <x:c r="D9462" s="8" t="n">
        <x:v>45575</x:v>
      </x:c>
      <x:c r="E9462" s="9" t="n">
        <x:v>3367000</x:v>
      </x:c>
      <x:c r="F9462" s="9" t="n">
        <x:v>3367000</x:v>
      </x:c>
    </x:row>
    <x:row r="9463" ht="34" customHeight="1">
      <x:c r="A9463" s="4" t="str">
        <x:v>RS-04686-I2</x:v>
      </x:c>
      <x:c r="B9463" s="4" t="str">
        <x:v>RS-04686</x:v>
      </x:c>
      <x:c r="C9463" s="9" t="n">
        <x:v>2</x:v>
      </x:c>
      <x:c r="D9463" s="8" t="n">
        <x:v>45605</x:v>
      </x:c>
      <x:c r="E9463" s="9" t="n">
        <x:v>3367000</x:v>
      </x:c>
      <x:c r="F9463" s="9" t="n">
        <x:v>0</x:v>
      </x:c>
    </x:row>
    <x:row r="9464" ht="34" customHeight="1">
      <x:c r="A9464" s="4" t="str">
        <x:v>RS-04686-I3</x:v>
      </x:c>
      <x:c r="B9464" s="4" t="str">
        <x:v>RS-04686</x:v>
      </x:c>
      <x:c r="C9464" s="9" t="n">
        <x:v>3</x:v>
      </x:c>
      <x:c r="D9464" s="8" t="n">
        <x:v>45635</x:v>
      </x:c>
      <x:c r="E9464" s="9" t="n">
        <x:v>3367000</x:v>
      </x:c>
      <x:c r="F9464" s="9" t="n">
        <x:v>0</x:v>
      </x:c>
    </x:row>
    <x:row r="9465" ht="34" customHeight="1">
      <x:c r="A9465" s="4" t="str">
        <x:v>RS-04686-I4</x:v>
      </x:c>
      <x:c r="B9465" s="4" t="str">
        <x:v>RS-04686</x:v>
      </x:c>
      <x:c r="C9465" s="9" t="n">
        <x:v>4</x:v>
      </x:c>
      <x:c r="D9465" s="8" t="n">
        <x:v>45665</x:v>
      </x:c>
      <x:c r="E9465" s="9" t="n">
        <x:v>3367000</x:v>
      </x:c>
      <x:c r="F9465" s="9" t="n">
        <x:v>0</x:v>
      </x:c>
    </x:row>
    <x:row r="9466" ht="34" customHeight="1">
      <x:c r="A9466" s="4" t="str">
        <x:v>RS-04687-I1</x:v>
      </x:c>
      <x:c r="B9466" s="4" t="str">
        <x:v>RS-04687</x:v>
      </x:c>
      <x:c r="C9466" s="9" t="n">
        <x:v>1</x:v>
      </x:c>
      <x:c r="D9466" s="8" t="n">
        <x:v>45576</x:v>
      </x:c>
      <x:c r="E9466" s="9" t="n">
        <x:v>3537750</x:v>
      </x:c>
      <x:c r="F9466" s="9" t="n">
        <x:v>3537750</x:v>
      </x:c>
    </x:row>
    <x:row r="9467" ht="34" customHeight="1">
      <x:c r="A9467" s="4" t="str">
        <x:v>RS-04687-I2</x:v>
      </x:c>
      <x:c r="B9467" s="4" t="str">
        <x:v>RS-04687</x:v>
      </x:c>
      <x:c r="C9467" s="9" t="n">
        <x:v>2</x:v>
      </x:c>
      <x:c r="D9467" s="8" t="n">
        <x:v>45606</x:v>
      </x:c>
      <x:c r="E9467" s="9" t="n">
        <x:v>3537750</x:v>
      </x:c>
      <x:c r="F9467" s="9" t="n">
        <x:v>3537750</x:v>
      </x:c>
    </x:row>
    <x:row r="9468" ht="34" customHeight="1">
      <x:c r="A9468" s="4" t="str">
        <x:v>RS-04687-I3</x:v>
      </x:c>
      <x:c r="B9468" s="4" t="str">
        <x:v>RS-04687</x:v>
      </x:c>
      <x:c r="C9468" s="9" t="n">
        <x:v>3</x:v>
      </x:c>
      <x:c r="D9468" s="8" t="n">
        <x:v>45636</x:v>
      </x:c>
      <x:c r="E9468" s="9" t="n">
        <x:v>3537750</x:v>
      </x:c>
      <x:c r="F9468" s="9" t="n">
        <x:v>0</x:v>
      </x:c>
    </x:row>
    <x:row r="9469" ht="34" customHeight="1">
      <x:c r="A9469" s="4" t="str">
        <x:v>RS-04687-I4</x:v>
      </x:c>
      <x:c r="B9469" s="4" t="str">
        <x:v>RS-04687</x:v>
      </x:c>
      <x:c r="C9469" s="9" t="n">
        <x:v>4</x:v>
      </x:c>
      <x:c r="D9469" s="8" t="n">
        <x:v>45666</x:v>
      </x:c>
      <x:c r="E9469" s="9" t="n">
        <x:v>3537750</x:v>
      </x:c>
      <x:c r="F9469" s="9" t="n">
        <x:v>0</x:v>
      </x:c>
    </x:row>
    <x:row r="9470" ht="34" customHeight="1">
      <x:c r="A9470" s="4" t="str">
        <x:v>RS-04689-I1</x:v>
      </x:c>
      <x:c r="B9470" s="4" t="str">
        <x:v>RS-04689</x:v>
      </x:c>
      <x:c r="C9470" s="9" t="n">
        <x:v>1</x:v>
      </x:c>
      <x:c r="D9470" s="8" t="n">
        <x:v>45578</x:v>
      </x:c>
      <x:c r="E9470" s="9" t="n">
        <x:v>2375000</x:v>
      </x:c>
      <x:c r="F9470" s="9" t="n">
        <x:v>2375000</x:v>
      </x:c>
    </x:row>
    <x:row r="9471" ht="34" customHeight="1">
      <x:c r="A9471" s="4" t="str">
        <x:v>RS-04689-I2</x:v>
      </x:c>
      <x:c r="B9471" s="4" t="str">
        <x:v>RS-04689</x:v>
      </x:c>
      <x:c r="C9471" s="9" t="n">
        <x:v>2</x:v>
      </x:c>
      <x:c r="D9471" s="8" t="n">
        <x:v>45608</x:v>
      </x:c>
      <x:c r="E9471" s="9" t="n">
        <x:v>2375000</x:v>
      </x:c>
      <x:c r="F9471" s="9" t="n">
        <x:v>2375000</x:v>
      </x:c>
    </x:row>
    <x:row r="9472" ht="34" customHeight="1">
      <x:c r="A9472" s="4" t="str">
        <x:v>RS-04689-I3</x:v>
      </x:c>
      <x:c r="B9472" s="4" t="str">
        <x:v>RS-04689</x:v>
      </x:c>
      <x:c r="C9472" s="9" t="n">
        <x:v>3</x:v>
      </x:c>
      <x:c r="D9472" s="8" t="n">
        <x:v>45638</x:v>
      </x:c>
      <x:c r="E9472" s="9" t="n">
        <x:v>2375000</x:v>
      </x:c>
      <x:c r="F9472" s="9" t="n">
        <x:v>2375000</x:v>
      </x:c>
    </x:row>
    <x:row r="9473" ht="34" customHeight="1">
      <x:c r="A9473" s="4" t="str">
        <x:v>RS-04689-I4</x:v>
      </x:c>
      <x:c r="B9473" s="4" t="str">
        <x:v>RS-04689</x:v>
      </x:c>
      <x:c r="C9473" s="9" t="n">
        <x:v>4</x:v>
      </x:c>
      <x:c r="D9473" s="8" t="n">
        <x:v>45668</x:v>
      </x:c>
      <x:c r="E9473" s="9" t="n">
        <x:v>2375000</x:v>
      </x:c>
      <x:c r="F9473" s="9" t="n">
        <x:v>2375000</x:v>
      </x:c>
    </x:row>
    <x:row r="9474" ht="34" customHeight="1">
      <x:c r="A9474" s="4" t="str">
        <x:v>RS-04693-I1</x:v>
      </x:c>
      <x:c r="B9474" s="4" t="str">
        <x:v>RS-04693</x:v>
      </x:c>
      <x:c r="C9474" s="9" t="n">
        <x:v>1</x:v>
      </x:c>
      <x:c r="D9474" s="8" t="n">
        <x:v>45582</x:v>
      </x:c>
      <x:c r="E9474" s="9" t="n">
        <x:v>5116750</x:v>
      </x:c>
      <x:c r="F9474" s="9" t="n">
        <x:v>5116750</x:v>
      </x:c>
    </x:row>
    <x:row r="9475" ht="34" customHeight="1">
      <x:c r="A9475" s="4" t="str">
        <x:v>RS-04693-I2</x:v>
      </x:c>
      <x:c r="B9475" s="4" t="str">
        <x:v>RS-04693</x:v>
      </x:c>
      <x:c r="C9475" s="9" t="n">
        <x:v>2</x:v>
      </x:c>
      <x:c r="D9475" s="8" t="n">
        <x:v>45612</x:v>
      </x:c>
      <x:c r="E9475" s="9" t="n">
        <x:v>5116750</x:v>
      </x:c>
      <x:c r="F9475" s="9" t="n">
        <x:v>0</x:v>
      </x:c>
    </x:row>
    <x:row r="9476" ht="34" customHeight="1">
      <x:c r="A9476" s="4" t="str">
        <x:v>RS-04693-I3</x:v>
      </x:c>
      <x:c r="B9476" s="4" t="str">
        <x:v>RS-04693</x:v>
      </x:c>
      <x:c r="C9476" s="9" t="n">
        <x:v>3</x:v>
      </x:c>
      <x:c r="D9476" s="8" t="n">
        <x:v>45642</x:v>
      </x:c>
      <x:c r="E9476" s="9" t="n">
        <x:v>5116750</x:v>
      </x:c>
      <x:c r="F9476" s="9" t="n">
        <x:v>0</x:v>
      </x:c>
    </x:row>
    <x:row r="9477" ht="34" customHeight="1">
      <x:c r="A9477" s="4" t="str">
        <x:v>RS-04693-I4</x:v>
      </x:c>
      <x:c r="B9477" s="4" t="str">
        <x:v>RS-04693</x:v>
      </x:c>
      <x:c r="C9477" s="9" t="n">
        <x:v>4</x:v>
      </x:c>
      <x:c r="D9477" s="8" t="n">
        <x:v>45672</x:v>
      </x:c>
      <x:c r="E9477" s="9" t="n">
        <x:v>5116750</x:v>
      </x:c>
      <x:c r="F9477" s="9" t="n">
        <x:v>0</x:v>
      </x:c>
    </x:row>
    <x:row r="9478" ht="34" customHeight="1">
      <x:c r="A9478" s="4" t="str">
        <x:v>RS-04694-I1</x:v>
      </x:c>
      <x:c r="B9478" s="4" t="str">
        <x:v>RS-04694</x:v>
      </x:c>
      <x:c r="C9478" s="9" t="n">
        <x:v>1</x:v>
      </x:c>
      <x:c r="D9478" s="8" t="n">
        <x:v>45583</x:v>
      </x:c>
      <x:c r="E9478" s="9" t="n">
        <x:v>3633750</x:v>
      </x:c>
      <x:c r="F9478" s="9" t="n">
        <x:v>3633750</x:v>
      </x:c>
    </x:row>
    <x:row r="9479" ht="34" customHeight="1">
      <x:c r="A9479" s="4" t="str">
        <x:v>RS-04694-I2</x:v>
      </x:c>
      <x:c r="B9479" s="4" t="str">
        <x:v>RS-04694</x:v>
      </x:c>
      <x:c r="C9479" s="9" t="n">
        <x:v>2</x:v>
      </x:c>
      <x:c r="D9479" s="8" t="n">
        <x:v>45613</x:v>
      </x:c>
      <x:c r="E9479" s="9" t="n">
        <x:v>3633750</x:v>
      </x:c>
      <x:c r="F9479" s="9" t="n">
        <x:v>0</x:v>
      </x:c>
    </x:row>
    <x:row r="9480" ht="34" customHeight="1">
      <x:c r="A9480" s="4" t="str">
        <x:v>RS-04694-I3</x:v>
      </x:c>
      <x:c r="B9480" s="4" t="str">
        <x:v>RS-04694</x:v>
      </x:c>
      <x:c r="C9480" s="9" t="n">
        <x:v>3</x:v>
      </x:c>
      <x:c r="D9480" s="8" t="n">
        <x:v>45643</x:v>
      </x:c>
      <x:c r="E9480" s="9" t="n">
        <x:v>3633750</x:v>
      </x:c>
      <x:c r="F9480" s="9" t="n">
        <x:v>0</x:v>
      </x:c>
    </x:row>
    <x:row r="9481" ht="34" customHeight="1">
      <x:c r="A9481" s="4" t="str">
        <x:v>RS-04694-I4</x:v>
      </x:c>
      <x:c r="B9481" s="4" t="str">
        <x:v>RS-04694</x:v>
      </x:c>
      <x:c r="C9481" s="9" t="n">
        <x:v>4</x:v>
      </x:c>
      <x:c r="D9481" s="8" t="n">
        <x:v>45673</x:v>
      </x:c>
      <x:c r="E9481" s="9" t="n">
        <x:v>3633750</x:v>
      </x:c>
      <x:c r="F9481" s="9" t="n">
        <x:v>0</x:v>
      </x:c>
    </x:row>
    <x:row r="9482" ht="34" customHeight="1">
      <x:c r="A9482" s="4" t="str">
        <x:v>RS-04695-I1</x:v>
      </x:c>
      <x:c r="B9482" s="4" t="str">
        <x:v>RS-04695</x:v>
      </x:c>
      <x:c r="C9482" s="9" t="n">
        <x:v>1</x:v>
      </x:c>
      <x:c r="D9482" s="8" t="n">
        <x:v>45584</x:v>
      </x:c>
      <x:c r="E9482" s="9" t="n">
        <x:v>5989500</x:v>
      </x:c>
      <x:c r="F9482" s="9" t="n">
        <x:v>5989500</x:v>
      </x:c>
    </x:row>
    <x:row r="9483" ht="34" customHeight="1">
      <x:c r="A9483" s="4" t="str">
        <x:v>RS-04695-I2</x:v>
      </x:c>
      <x:c r="B9483" s="4" t="str">
        <x:v>RS-04695</x:v>
      </x:c>
      <x:c r="C9483" s="9" t="n">
        <x:v>2</x:v>
      </x:c>
      <x:c r="D9483" s="8" t="n">
        <x:v>45614</x:v>
      </x:c>
      <x:c r="E9483" s="9" t="n">
        <x:v>5989500</x:v>
      </x:c>
      <x:c r="F9483" s="9" t="n">
        <x:v>0</x:v>
      </x:c>
    </x:row>
    <x:row r="9484" ht="34" customHeight="1">
      <x:c r="A9484" s="4" t="str">
        <x:v>RS-04695-I3</x:v>
      </x:c>
      <x:c r="B9484" s="4" t="str">
        <x:v>RS-04695</x:v>
      </x:c>
      <x:c r="C9484" s="9" t="n">
        <x:v>3</x:v>
      </x:c>
      <x:c r="D9484" s="8" t="n">
        <x:v>45644</x:v>
      </x:c>
      <x:c r="E9484" s="9" t="n">
        <x:v>5989500</x:v>
      </x:c>
      <x:c r="F9484" s="9" t="n">
        <x:v>0</x:v>
      </x:c>
    </x:row>
    <x:row r="9485" ht="34" customHeight="1">
      <x:c r="A9485" s="4" t="str">
        <x:v>RS-04695-I4</x:v>
      </x:c>
      <x:c r="B9485" s="4" t="str">
        <x:v>RS-04695</x:v>
      </x:c>
      <x:c r="C9485" s="9" t="n">
        <x:v>4</x:v>
      </x:c>
      <x:c r="D9485" s="8" t="n">
        <x:v>45674</x:v>
      </x:c>
      <x:c r="E9485" s="9" t="n">
        <x:v>5989500</x:v>
      </x:c>
      <x:c r="F9485" s="9" t="n">
        <x:v>0</x:v>
      </x:c>
    </x:row>
    <x:row r="9486" ht="34" customHeight="1">
      <x:c r="A9486" s="4" t="str">
        <x:v>RS-04696-I1</x:v>
      </x:c>
      <x:c r="B9486" s="4" t="str">
        <x:v>RS-04696</x:v>
      </x:c>
      <x:c r="C9486" s="9" t="n">
        <x:v>1</x:v>
      </x:c>
      <x:c r="D9486" s="8" t="n">
        <x:v>45585</x:v>
      </x:c>
      <x:c r="E9486" s="9" t="n">
        <x:v>727500</x:v>
      </x:c>
      <x:c r="F9486" s="9" t="n">
        <x:v>727500</x:v>
      </x:c>
    </x:row>
    <x:row r="9487" ht="34" customHeight="1">
      <x:c r="A9487" s="4" t="str">
        <x:v>RS-04696-I2</x:v>
      </x:c>
      <x:c r="B9487" s="4" t="str">
        <x:v>RS-04696</x:v>
      </x:c>
      <x:c r="C9487" s="9" t="n">
        <x:v>2</x:v>
      </x:c>
      <x:c r="D9487" s="8" t="n">
        <x:v>45615</x:v>
      </x:c>
      <x:c r="E9487" s="9" t="n">
        <x:v>727500</x:v>
      </x:c>
      <x:c r="F9487" s="9" t="n">
        <x:v>727500</x:v>
      </x:c>
    </x:row>
    <x:row r="9488" ht="34" customHeight="1">
      <x:c r="A9488" s="4" t="str">
        <x:v>RS-04696-I3</x:v>
      </x:c>
      <x:c r="B9488" s="4" t="str">
        <x:v>RS-04696</x:v>
      </x:c>
      <x:c r="C9488" s="9" t="n">
        <x:v>3</x:v>
      </x:c>
      <x:c r="D9488" s="8" t="n">
        <x:v>45645</x:v>
      </x:c>
      <x:c r="E9488" s="9" t="n">
        <x:v>727500</x:v>
      </x:c>
      <x:c r="F9488" s="9" t="n">
        <x:v>0</x:v>
      </x:c>
    </x:row>
    <x:row r="9489" ht="34" customHeight="1">
      <x:c r="A9489" s="4" t="str">
        <x:v>RS-04696-I4</x:v>
      </x:c>
      <x:c r="B9489" s="4" t="str">
        <x:v>RS-04696</x:v>
      </x:c>
      <x:c r="C9489" s="9" t="n">
        <x:v>4</x:v>
      </x:c>
      <x:c r="D9489" s="8" t="n">
        <x:v>45675</x:v>
      </x:c>
      <x:c r="E9489" s="9" t="n">
        <x:v>727500</x:v>
      </x:c>
      <x:c r="F9489" s="9" t="n">
        <x:v>0</x:v>
      </x:c>
    </x:row>
    <x:row r="9490" ht="34" customHeight="1">
      <x:c r="A9490" s="4" t="str">
        <x:v>RS-04697-I1</x:v>
      </x:c>
      <x:c r="B9490" s="4" t="str">
        <x:v>RS-04697</x:v>
      </x:c>
      <x:c r="C9490" s="9" t="n">
        <x:v>1</x:v>
      </x:c>
      <x:c r="D9490" s="8" t="n">
        <x:v>45586</x:v>
      </x:c>
      <x:c r="E9490" s="9" t="n">
        <x:v>2639000</x:v>
      </x:c>
      <x:c r="F9490" s="9" t="n">
        <x:v>2639000</x:v>
      </x:c>
    </x:row>
    <x:row r="9491" ht="34" customHeight="1">
      <x:c r="A9491" s="4" t="str">
        <x:v>RS-04697-I2</x:v>
      </x:c>
      <x:c r="B9491" s="4" t="str">
        <x:v>RS-04697</x:v>
      </x:c>
      <x:c r="C9491" s="9" t="n">
        <x:v>2</x:v>
      </x:c>
      <x:c r="D9491" s="8" t="n">
        <x:v>45616</x:v>
      </x:c>
      <x:c r="E9491" s="9" t="n">
        <x:v>2639000</x:v>
      </x:c>
      <x:c r="F9491" s="9" t="n">
        <x:v>2639000</x:v>
      </x:c>
    </x:row>
    <x:row r="9492" ht="34" customHeight="1">
      <x:c r="A9492" s="4" t="str">
        <x:v>RS-04697-I3</x:v>
      </x:c>
      <x:c r="B9492" s="4" t="str">
        <x:v>RS-04697</x:v>
      </x:c>
      <x:c r="C9492" s="9" t="n">
        <x:v>3</x:v>
      </x:c>
      <x:c r="D9492" s="8" t="n">
        <x:v>45646</x:v>
      </x:c>
      <x:c r="E9492" s="9" t="n">
        <x:v>2639000</x:v>
      </x:c>
      <x:c r="F9492" s="9" t="n">
        <x:v>0</x:v>
      </x:c>
    </x:row>
    <x:row r="9493" ht="34" customHeight="1">
      <x:c r="A9493" s="4" t="str">
        <x:v>RS-04697-I4</x:v>
      </x:c>
      <x:c r="B9493" s="4" t="str">
        <x:v>RS-04697</x:v>
      </x:c>
      <x:c r="C9493" s="9" t="n">
        <x:v>4</x:v>
      </x:c>
      <x:c r="D9493" s="8" t="n">
        <x:v>45676</x:v>
      </x:c>
      <x:c r="E9493" s="9" t="n">
        <x:v>2639000</x:v>
      </x:c>
      <x:c r="F9493" s="9" t="n">
        <x:v>0</x:v>
      </x:c>
    </x:row>
    <x:row r="9494" ht="34" customHeight="1">
      <x:c r="A9494" s="4" t="str">
        <x:v>RS-04699-I1</x:v>
      </x:c>
      <x:c r="B9494" s="4" t="str">
        <x:v>RS-04699</x:v>
      </x:c>
      <x:c r="C9494" s="9" t="n">
        <x:v>1</x:v>
      </x:c>
      <x:c r="D9494" s="8" t="n">
        <x:v>45588</x:v>
      </x:c>
      <x:c r="E9494" s="9" t="n">
        <x:v>5049000</x:v>
      </x:c>
      <x:c r="F9494" s="9" t="n">
        <x:v>2019600</x:v>
      </x:c>
    </x:row>
    <x:row r="9495" ht="34" customHeight="1">
      <x:c r="A9495" s="4" t="str">
        <x:v>RS-04699-I2</x:v>
      </x:c>
      <x:c r="B9495" s="4" t="str">
        <x:v>RS-04699</x:v>
      </x:c>
      <x:c r="C9495" s="9" t="n">
        <x:v>2</x:v>
      </x:c>
      <x:c r="D9495" s="8" t="n">
        <x:v>45618</x:v>
      </x:c>
      <x:c r="E9495" s="9" t="n">
        <x:v>5049000</x:v>
      </x:c>
      <x:c r="F9495" s="9" t="n">
        <x:v>0</x:v>
      </x:c>
    </x:row>
    <x:row r="9496" ht="34" customHeight="1">
      <x:c r="A9496" s="4" t="str">
        <x:v>RS-04699-I3</x:v>
      </x:c>
      <x:c r="B9496" s="4" t="str">
        <x:v>RS-04699</x:v>
      </x:c>
      <x:c r="C9496" s="9" t="n">
        <x:v>3</x:v>
      </x:c>
      <x:c r="D9496" s="8" t="n">
        <x:v>45648</x:v>
      </x:c>
      <x:c r="E9496" s="9" t="n">
        <x:v>5049000</x:v>
      </x:c>
      <x:c r="F9496" s="9" t="n">
        <x:v>0</x:v>
      </x:c>
    </x:row>
    <x:row r="9497" ht="34" customHeight="1">
      <x:c r="A9497" s="4" t="str">
        <x:v>RS-04699-I4</x:v>
      </x:c>
      <x:c r="B9497" s="4" t="str">
        <x:v>RS-04699</x:v>
      </x:c>
      <x:c r="C9497" s="9" t="n">
        <x:v>4</x:v>
      </x:c>
      <x:c r="D9497" s="8" t="n">
        <x:v>45678</x:v>
      </x:c>
      <x:c r="E9497" s="9" t="n">
        <x:v>5049000</x:v>
      </x:c>
      <x:c r="F9497" s="9" t="n">
        <x:v>0</x:v>
      </x:c>
    </x:row>
    <x:row r="9498" ht="34" customHeight="1">
      <x:c r="A9498" s="4" t="str">
        <x:v>RS-04702-I1</x:v>
      </x:c>
      <x:c r="B9498" s="4" t="str">
        <x:v>RS-04702</x:v>
      </x:c>
      <x:c r="C9498" s="9" t="n">
        <x:v>1</x:v>
      </x:c>
      <x:c r="D9498" s="8" t="n">
        <x:v>45591</x:v>
      </x:c>
      <x:c r="E9498" s="9" t="n">
        <x:v>2627250</x:v>
      </x:c>
      <x:c r="F9498" s="9" t="n">
        <x:v>2627250</x:v>
      </x:c>
    </x:row>
    <x:row r="9499" ht="34" customHeight="1">
      <x:c r="A9499" s="4" t="str">
        <x:v>RS-04702-I2</x:v>
      </x:c>
      <x:c r="B9499" s="4" t="str">
        <x:v>RS-04702</x:v>
      </x:c>
      <x:c r="C9499" s="9" t="n">
        <x:v>2</x:v>
      </x:c>
      <x:c r="D9499" s="8" t="n">
        <x:v>45621</x:v>
      </x:c>
      <x:c r="E9499" s="9" t="n">
        <x:v>2627250</x:v>
      </x:c>
      <x:c r="F9499" s="9" t="n">
        <x:v>2627250</x:v>
      </x:c>
    </x:row>
    <x:row r="9500" ht="34" customHeight="1">
      <x:c r="A9500" s="4" t="str">
        <x:v>RS-04702-I3</x:v>
      </x:c>
      <x:c r="B9500" s="4" t="str">
        <x:v>RS-04702</x:v>
      </x:c>
      <x:c r="C9500" s="9" t="n">
        <x:v>3</x:v>
      </x:c>
      <x:c r="D9500" s="8" t="n">
        <x:v>45651</x:v>
      </x:c>
      <x:c r="E9500" s="9" t="n">
        <x:v>2627250</x:v>
      </x:c>
      <x:c r="F9500" s="9" t="n">
        <x:v>0</x:v>
      </x:c>
    </x:row>
    <x:row r="9501" ht="34" customHeight="1">
      <x:c r="A9501" s="4" t="str">
        <x:v>RS-04702-I4</x:v>
      </x:c>
      <x:c r="B9501" s="4" t="str">
        <x:v>RS-04702</x:v>
      </x:c>
      <x:c r="C9501" s="9" t="n">
        <x:v>4</x:v>
      </x:c>
      <x:c r="D9501" s="8" t="n">
        <x:v>45681</x:v>
      </x:c>
      <x:c r="E9501" s="9" t="n">
        <x:v>2627250</x:v>
      </x:c>
      <x:c r="F9501" s="9" t="n">
        <x:v>0</x:v>
      </x:c>
    </x:row>
    <x:row r="9502" ht="34" customHeight="1">
      <x:c r="A9502" s="4" t="str">
        <x:v>RS-04703-I1</x:v>
      </x:c>
      <x:c r="B9502" s="4" t="str">
        <x:v>RS-04703</x:v>
      </x:c>
      <x:c r="C9502" s="9" t="n">
        <x:v>1</x:v>
      </x:c>
      <x:c r="D9502" s="8" t="n">
        <x:v>45592</x:v>
      </x:c>
      <x:c r="E9502" s="9" t="n">
        <x:v>4895000</x:v>
      </x:c>
      <x:c r="F9502" s="9" t="n">
        <x:v>4895000</x:v>
      </x:c>
    </x:row>
    <x:row r="9503" ht="34" customHeight="1">
      <x:c r="A9503" s="4" t="str">
        <x:v>RS-04703-I2</x:v>
      </x:c>
      <x:c r="B9503" s="4" t="str">
        <x:v>RS-04703</x:v>
      </x:c>
      <x:c r="C9503" s="9" t="n">
        <x:v>2</x:v>
      </x:c>
      <x:c r="D9503" s="8" t="n">
        <x:v>45622</x:v>
      </x:c>
      <x:c r="E9503" s="9" t="n">
        <x:v>4895000</x:v>
      </x:c>
      <x:c r="F9503" s="9" t="n">
        <x:v>4895000</x:v>
      </x:c>
    </x:row>
    <x:row r="9504" ht="34" customHeight="1">
      <x:c r="A9504" s="4" t="str">
        <x:v>RS-04703-I3</x:v>
      </x:c>
      <x:c r="B9504" s="4" t="str">
        <x:v>RS-04703</x:v>
      </x:c>
      <x:c r="C9504" s="9" t="n">
        <x:v>3</x:v>
      </x:c>
      <x:c r="D9504" s="8" t="n">
        <x:v>45652</x:v>
      </x:c>
      <x:c r="E9504" s="9" t="n">
        <x:v>4895000</x:v>
      </x:c>
      <x:c r="F9504" s="9" t="n">
        <x:v>0</x:v>
      </x:c>
    </x:row>
    <x:row r="9505" ht="34" customHeight="1">
      <x:c r="A9505" s="4" t="str">
        <x:v>RS-04703-I4</x:v>
      </x:c>
      <x:c r="B9505" s="4" t="str">
        <x:v>RS-04703</x:v>
      </x:c>
      <x:c r="C9505" s="9" t="n">
        <x:v>4</x:v>
      </x:c>
      <x:c r="D9505" s="8" t="n">
        <x:v>45682</x:v>
      </x:c>
      <x:c r="E9505" s="9" t="n">
        <x:v>4895000</x:v>
      </x:c>
      <x:c r="F9505" s="9" t="n">
        <x:v>0</x:v>
      </x:c>
    </x:row>
    <x:row r="9506" ht="34" customHeight="1">
      <x:c r="A9506" s="4" t="str">
        <x:v>RS-04706-I1</x:v>
      </x:c>
      <x:c r="B9506" s="4" t="str">
        <x:v>RS-04706</x:v>
      </x:c>
      <x:c r="C9506" s="9" t="n">
        <x:v>1</x:v>
      </x:c>
      <x:c r="D9506" s="8" t="n">
        <x:v>45567</x:v>
      </x:c>
      <x:c r="E9506" s="9" t="n">
        <x:v>2880000</x:v>
      </x:c>
      <x:c r="F9506" s="9" t="n">
        <x:v>1152000</x:v>
      </x:c>
    </x:row>
    <x:row r="9507" ht="34" customHeight="1">
      <x:c r="A9507" s="4" t="str">
        <x:v>RS-04706-I2</x:v>
      </x:c>
      <x:c r="B9507" s="4" t="str">
        <x:v>RS-04706</x:v>
      </x:c>
      <x:c r="C9507" s="9" t="n">
        <x:v>2</x:v>
      </x:c>
      <x:c r="D9507" s="8" t="n">
        <x:v>45597</x:v>
      </x:c>
      <x:c r="E9507" s="9" t="n">
        <x:v>2880000</x:v>
      </x:c>
      <x:c r="F9507" s="9" t="n">
        <x:v>0</x:v>
      </x:c>
    </x:row>
    <x:row r="9508" ht="34" customHeight="1">
      <x:c r="A9508" s="4" t="str">
        <x:v>RS-04706-I3</x:v>
      </x:c>
      <x:c r="B9508" s="4" t="str">
        <x:v>RS-04706</x:v>
      </x:c>
      <x:c r="C9508" s="9" t="n">
        <x:v>3</x:v>
      </x:c>
      <x:c r="D9508" s="8" t="n">
        <x:v>45627</x:v>
      </x:c>
      <x:c r="E9508" s="9" t="n">
        <x:v>2880000</x:v>
      </x:c>
      <x:c r="F9508" s="9" t="n">
        <x:v>0</x:v>
      </x:c>
    </x:row>
    <x:row r="9509" ht="34" customHeight="1">
      <x:c r="A9509" s="4" t="str">
        <x:v>RS-04706-I4</x:v>
      </x:c>
      <x:c r="B9509" s="4" t="str">
        <x:v>RS-04706</x:v>
      </x:c>
      <x:c r="C9509" s="9" t="n">
        <x:v>4</x:v>
      </x:c>
      <x:c r="D9509" s="8" t="n">
        <x:v>45657</x:v>
      </x:c>
      <x:c r="E9509" s="9" t="n">
        <x:v>2880000</x:v>
      </x:c>
      <x:c r="F9509" s="9" t="n">
        <x:v>0</x:v>
      </x:c>
    </x:row>
    <x:row r="9510" ht="34" customHeight="1">
      <x:c r="A9510" s="4" t="str">
        <x:v>RS-04708-I1</x:v>
      </x:c>
      <x:c r="B9510" s="4" t="str">
        <x:v>RS-04708</x:v>
      </x:c>
      <x:c r="C9510" s="9" t="n">
        <x:v>1</x:v>
      </x:c>
      <x:c r="D9510" s="8" t="n">
        <x:v>45569</x:v>
      </x:c>
      <x:c r="E9510" s="9" t="n">
        <x:v>4368000</x:v>
      </x:c>
      <x:c r="F9510" s="9" t="n">
        <x:v>4368000</x:v>
      </x:c>
    </x:row>
    <x:row r="9511" ht="34" customHeight="1">
      <x:c r="A9511" s="4" t="str">
        <x:v>RS-04708-I2</x:v>
      </x:c>
      <x:c r="B9511" s="4" t="str">
        <x:v>RS-04708</x:v>
      </x:c>
      <x:c r="C9511" s="9" t="n">
        <x:v>2</x:v>
      </x:c>
      <x:c r="D9511" s="8" t="n">
        <x:v>45599</x:v>
      </x:c>
      <x:c r="E9511" s="9" t="n">
        <x:v>4368000</x:v>
      </x:c>
      <x:c r="F9511" s="9" t="n">
        <x:v>4368000</x:v>
      </x:c>
    </x:row>
    <x:row r="9512" ht="34" customHeight="1">
      <x:c r="A9512" s="4" t="str">
        <x:v>RS-04708-I3</x:v>
      </x:c>
      <x:c r="B9512" s="4" t="str">
        <x:v>RS-04708</x:v>
      </x:c>
      <x:c r="C9512" s="9" t="n">
        <x:v>3</x:v>
      </x:c>
      <x:c r="D9512" s="8" t="n">
        <x:v>45629</x:v>
      </x:c>
      <x:c r="E9512" s="9" t="n">
        <x:v>4368000</x:v>
      </x:c>
      <x:c r="F9512" s="9" t="n">
        <x:v>4368000</x:v>
      </x:c>
    </x:row>
    <x:row r="9513" ht="34" customHeight="1">
      <x:c r="A9513" s="4" t="str">
        <x:v>RS-04708-I4</x:v>
      </x:c>
      <x:c r="B9513" s="4" t="str">
        <x:v>RS-04708</x:v>
      </x:c>
      <x:c r="C9513" s="9" t="n">
        <x:v>4</x:v>
      </x:c>
      <x:c r="D9513" s="8" t="n">
        <x:v>45659</x:v>
      </x:c>
      <x:c r="E9513" s="9" t="n">
        <x:v>4368000</x:v>
      </x:c>
      <x:c r="F9513" s="9" t="n">
        <x:v>4368000</x:v>
      </x:c>
    </x:row>
    <x:row r="9514" ht="34" customHeight="1">
      <x:c r="A9514" s="4" t="str">
        <x:v>RS-04711-I1</x:v>
      </x:c>
      <x:c r="B9514" s="4" t="str">
        <x:v>RS-04711</x:v>
      </x:c>
      <x:c r="C9514" s="9" t="n">
        <x:v>1</x:v>
      </x:c>
      <x:c r="D9514" s="8" t="n">
        <x:v>45572</x:v>
      </x:c>
      <x:c r="E9514" s="9" t="n">
        <x:v>4704000</x:v>
      </x:c>
      <x:c r="F9514" s="9" t="n">
        <x:v>4704000</x:v>
      </x:c>
    </x:row>
    <x:row r="9515" ht="34" customHeight="1">
      <x:c r="A9515" s="4" t="str">
        <x:v>RS-04711-I2</x:v>
      </x:c>
      <x:c r="B9515" s="4" t="str">
        <x:v>RS-04711</x:v>
      </x:c>
      <x:c r="C9515" s="9" t="n">
        <x:v>2</x:v>
      </x:c>
      <x:c r="D9515" s="8" t="n">
        <x:v>45602</x:v>
      </x:c>
      <x:c r="E9515" s="9" t="n">
        <x:v>4704000</x:v>
      </x:c>
      <x:c r="F9515" s="9" t="n">
        <x:v>0</x:v>
      </x:c>
    </x:row>
    <x:row r="9516" ht="34" customHeight="1">
      <x:c r="A9516" s="4" t="str">
        <x:v>RS-04711-I3</x:v>
      </x:c>
      <x:c r="B9516" s="4" t="str">
        <x:v>RS-04711</x:v>
      </x:c>
      <x:c r="C9516" s="9" t="n">
        <x:v>3</x:v>
      </x:c>
      <x:c r="D9516" s="8" t="n">
        <x:v>45632</x:v>
      </x:c>
      <x:c r="E9516" s="9" t="n">
        <x:v>4704000</x:v>
      </x:c>
      <x:c r="F9516" s="9" t="n">
        <x:v>0</x:v>
      </x:c>
    </x:row>
    <x:row r="9517" ht="34" customHeight="1">
      <x:c r="A9517" s="4" t="str">
        <x:v>RS-04711-I4</x:v>
      </x:c>
      <x:c r="B9517" s="4" t="str">
        <x:v>RS-04711</x:v>
      </x:c>
      <x:c r="C9517" s="9" t="n">
        <x:v>4</x:v>
      </x:c>
      <x:c r="D9517" s="8" t="n">
        <x:v>45662</x:v>
      </x:c>
      <x:c r="E9517" s="9" t="n">
        <x:v>4704000</x:v>
      </x:c>
      <x:c r="F9517" s="9" t="n">
        <x:v>0</x:v>
      </x:c>
    </x:row>
    <x:row r="9518" ht="34" customHeight="1">
      <x:c r="A9518" s="4" t="str">
        <x:v>RS-04712-I1</x:v>
      </x:c>
      <x:c r="B9518" s="4" t="str">
        <x:v>RS-04712</x:v>
      </x:c>
      <x:c r="C9518" s="9" t="n">
        <x:v>1</x:v>
      </x:c>
      <x:c r="D9518" s="8" t="n">
        <x:v>45573</x:v>
      </x:c>
      <x:c r="E9518" s="9" t="n">
        <x:v>3617250</x:v>
      </x:c>
      <x:c r="F9518" s="9" t="n">
        <x:v>3617250</x:v>
      </x:c>
    </x:row>
    <x:row r="9519" ht="34" customHeight="1">
      <x:c r="A9519" s="4" t="str">
        <x:v>RS-04712-I2</x:v>
      </x:c>
      <x:c r="B9519" s="4" t="str">
        <x:v>RS-04712</x:v>
      </x:c>
      <x:c r="C9519" s="9" t="n">
        <x:v>2</x:v>
      </x:c>
      <x:c r="D9519" s="8" t="n">
        <x:v>45603</x:v>
      </x:c>
      <x:c r="E9519" s="9" t="n">
        <x:v>3617250</x:v>
      </x:c>
      <x:c r="F9519" s="9" t="n">
        <x:v>3617250</x:v>
      </x:c>
    </x:row>
    <x:row r="9520" ht="34" customHeight="1">
      <x:c r="A9520" s="4" t="str">
        <x:v>RS-04712-I3</x:v>
      </x:c>
      <x:c r="B9520" s="4" t="str">
        <x:v>RS-04712</x:v>
      </x:c>
      <x:c r="C9520" s="9" t="n">
        <x:v>3</x:v>
      </x:c>
      <x:c r="D9520" s="8" t="n">
        <x:v>45633</x:v>
      </x:c>
      <x:c r="E9520" s="9" t="n">
        <x:v>3617250</x:v>
      </x:c>
      <x:c r="F9520" s="9" t="n">
        <x:v>0</x:v>
      </x:c>
    </x:row>
    <x:row r="9521" ht="34" customHeight="1">
      <x:c r="A9521" s="4" t="str">
        <x:v>RS-04712-I4</x:v>
      </x:c>
      <x:c r="B9521" s="4" t="str">
        <x:v>RS-04712</x:v>
      </x:c>
      <x:c r="C9521" s="9" t="n">
        <x:v>4</x:v>
      </x:c>
      <x:c r="D9521" s="8" t="n">
        <x:v>45663</x:v>
      </x:c>
      <x:c r="E9521" s="9" t="n">
        <x:v>3617250</x:v>
      </x:c>
      <x:c r="F9521" s="9" t="n">
        <x:v>0</x:v>
      </x:c>
    </x:row>
    <x:row r="9522" ht="34" customHeight="1">
      <x:c r="A9522" s="4" t="str">
        <x:v>RS-04713-I1</x:v>
      </x:c>
      <x:c r="B9522" s="4" t="str">
        <x:v>RS-04713</x:v>
      </x:c>
      <x:c r="C9522" s="9" t="n">
        <x:v>1</x:v>
      </x:c>
      <x:c r="D9522" s="8" t="n">
        <x:v>45574</x:v>
      </x:c>
      <x:c r="E9522" s="9" t="n">
        <x:v>906750</x:v>
      </x:c>
      <x:c r="F9522" s="9" t="n">
        <x:v>906750</x:v>
      </x:c>
    </x:row>
    <x:row r="9523" ht="34" customHeight="1">
      <x:c r="A9523" s="4" t="str">
        <x:v>RS-04713-I2</x:v>
      </x:c>
      <x:c r="B9523" s="4" t="str">
        <x:v>RS-04713</x:v>
      </x:c>
      <x:c r="C9523" s="9" t="n">
        <x:v>2</x:v>
      </x:c>
      <x:c r="D9523" s="8" t="n">
        <x:v>45604</x:v>
      </x:c>
      <x:c r="E9523" s="9" t="n">
        <x:v>906750</x:v>
      </x:c>
      <x:c r="F9523" s="9" t="n">
        <x:v>906750</x:v>
      </x:c>
    </x:row>
    <x:row r="9524" ht="34" customHeight="1">
      <x:c r="A9524" s="4" t="str">
        <x:v>RS-04713-I3</x:v>
      </x:c>
      <x:c r="B9524" s="4" t="str">
        <x:v>RS-04713</x:v>
      </x:c>
      <x:c r="C9524" s="9" t="n">
        <x:v>3</x:v>
      </x:c>
      <x:c r="D9524" s="8" t="n">
        <x:v>45634</x:v>
      </x:c>
      <x:c r="E9524" s="9" t="n">
        <x:v>906750</x:v>
      </x:c>
      <x:c r="F9524" s="9" t="n">
        <x:v>0</x:v>
      </x:c>
    </x:row>
    <x:row r="9525" ht="34" customHeight="1">
      <x:c r="A9525" s="4" t="str">
        <x:v>RS-04713-I4</x:v>
      </x:c>
      <x:c r="B9525" s="4" t="str">
        <x:v>RS-04713</x:v>
      </x:c>
      <x:c r="C9525" s="9" t="n">
        <x:v>4</x:v>
      </x:c>
      <x:c r="D9525" s="8" t="n">
        <x:v>45664</x:v>
      </x:c>
      <x:c r="E9525" s="9" t="n">
        <x:v>906750</x:v>
      </x:c>
      <x:c r="F9525" s="9" t="n">
        <x:v>0</x:v>
      </x:c>
    </x:row>
    <x:row r="9526" ht="34" customHeight="1">
      <x:c r="A9526" s="4" t="str">
        <x:v>RS-04717-I1</x:v>
      </x:c>
      <x:c r="B9526" s="4" t="str">
        <x:v>RS-04717</x:v>
      </x:c>
      <x:c r="C9526" s="9" t="n">
        <x:v>1</x:v>
      </x:c>
      <x:c r="D9526" s="8" t="n">
        <x:v>45578</x:v>
      </x:c>
      <x:c r="E9526" s="9" t="n">
        <x:v>4836000</x:v>
      </x:c>
      <x:c r="F9526" s="9" t="n">
        <x:v>1934400</x:v>
      </x:c>
    </x:row>
    <x:row r="9527" ht="34" customHeight="1">
      <x:c r="A9527" s="4" t="str">
        <x:v>RS-04717-I2</x:v>
      </x:c>
      <x:c r="B9527" s="4" t="str">
        <x:v>RS-04717</x:v>
      </x:c>
      <x:c r="C9527" s="9" t="n">
        <x:v>2</x:v>
      </x:c>
      <x:c r="D9527" s="8" t="n">
        <x:v>45608</x:v>
      </x:c>
      <x:c r="E9527" s="9" t="n">
        <x:v>4836000</x:v>
      </x:c>
      <x:c r="F9527" s="9" t="n">
        <x:v>0</x:v>
      </x:c>
    </x:row>
    <x:row r="9528" ht="34" customHeight="1">
      <x:c r="A9528" s="4" t="str">
        <x:v>RS-04717-I3</x:v>
      </x:c>
      <x:c r="B9528" s="4" t="str">
        <x:v>RS-04717</x:v>
      </x:c>
      <x:c r="C9528" s="9" t="n">
        <x:v>3</x:v>
      </x:c>
      <x:c r="D9528" s="8" t="n">
        <x:v>45638</x:v>
      </x:c>
      <x:c r="E9528" s="9" t="n">
        <x:v>4836000</x:v>
      </x:c>
      <x:c r="F9528" s="9" t="n">
        <x:v>0</x:v>
      </x:c>
    </x:row>
    <x:row r="9529" ht="34" customHeight="1">
      <x:c r="A9529" s="4" t="str">
        <x:v>RS-04717-I4</x:v>
      </x:c>
      <x:c r="B9529" s="4" t="str">
        <x:v>RS-04717</x:v>
      </x:c>
      <x:c r="C9529" s="9" t="n">
        <x:v>4</x:v>
      </x:c>
      <x:c r="D9529" s="8" t="n">
        <x:v>45668</x:v>
      </x:c>
      <x:c r="E9529" s="9" t="n">
        <x:v>4836000</x:v>
      </x:c>
      <x:c r="F9529" s="9" t="n">
        <x:v>0</x:v>
      </x:c>
    </x:row>
    <x:row r="9530" ht="34" customHeight="1">
      <x:c r="A9530" s="4" t="str">
        <x:v>RS-04721-I1</x:v>
      </x:c>
      <x:c r="B9530" s="4" t="str">
        <x:v>RS-04721</x:v>
      </x:c>
      <x:c r="C9530" s="9" t="n">
        <x:v>1</x:v>
      </x:c>
      <x:c r="D9530" s="8" t="n">
        <x:v>45582</x:v>
      </x:c>
      <x:c r="E9530" s="9" t="n">
        <x:v>1056000</x:v>
      </x:c>
      <x:c r="F9530" s="9" t="n">
        <x:v>1056000</x:v>
      </x:c>
    </x:row>
    <x:row r="9531" ht="34" customHeight="1">
      <x:c r="A9531" s="4" t="str">
        <x:v>RS-04721-I2</x:v>
      </x:c>
      <x:c r="B9531" s="4" t="str">
        <x:v>RS-04721</x:v>
      </x:c>
      <x:c r="C9531" s="9" t="n">
        <x:v>2</x:v>
      </x:c>
      <x:c r="D9531" s="8" t="n">
        <x:v>45612</x:v>
      </x:c>
      <x:c r="E9531" s="9" t="n">
        <x:v>1056000</x:v>
      </x:c>
      <x:c r="F9531" s="9" t="n">
        <x:v>1056000</x:v>
      </x:c>
    </x:row>
    <x:row r="9532" ht="34" customHeight="1">
      <x:c r="A9532" s="4" t="str">
        <x:v>RS-04721-I3</x:v>
      </x:c>
      <x:c r="B9532" s="4" t="str">
        <x:v>RS-04721</x:v>
      </x:c>
      <x:c r="C9532" s="9" t="n">
        <x:v>3</x:v>
      </x:c>
      <x:c r="D9532" s="8" t="n">
        <x:v>45642</x:v>
      </x:c>
      <x:c r="E9532" s="9" t="n">
        <x:v>1056000</x:v>
      </x:c>
      <x:c r="F9532" s="9" t="n">
        <x:v>1056000</x:v>
      </x:c>
    </x:row>
    <x:row r="9533" ht="34" customHeight="1">
      <x:c r="A9533" s="4" t="str">
        <x:v>RS-04721-I4</x:v>
      </x:c>
      <x:c r="B9533" s="4" t="str">
        <x:v>RS-04721</x:v>
      </x:c>
      <x:c r="C9533" s="9" t="n">
        <x:v>4</x:v>
      </x:c>
      <x:c r="D9533" s="8" t="n">
        <x:v>45672</x:v>
      </x:c>
      <x:c r="E9533" s="9" t="n">
        <x:v>1056000</x:v>
      </x:c>
      <x:c r="F9533" s="9" t="n">
        <x:v>1056000</x:v>
      </x:c>
    </x:row>
    <x:row r="9534" ht="34" customHeight="1">
      <x:c r="A9534" s="4" t="str">
        <x:v>RS-04724-I1</x:v>
      </x:c>
      <x:c r="B9534" s="4" t="str">
        <x:v>RS-04724</x:v>
      </x:c>
      <x:c r="C9534" s="9" t="n">
        <x:v>1</x:v>
      </x:c>
      <x:c r="D9534" s="8" t="n">
        <x:v>45585</x:v>
      </x:c>
      <x:c r="E9534" s="9" t="n">
        <x:v>6002500</x:v>
      </x:c>
      <x:c r="F9534" s="9" t="n">
        <x:v>6002500</x:v>
      </x:c>
    </x:row>
    <x:row r="9535" ht="34" customHeight="1">
      <x:c r="A9535" s="4" t="str">
        <x:v>RS-04724-I2</x:v>
      </x:c>
      <x:c r="B9535" s="4" t="str">
        <x:v>RS-04724</x:v>
      </x:c>
      <x:c r="C9535" s="9" t="n">
        <x:v>2</x:v>
      </x:c>
      <x:c r="D9535" s="8" t="n">
        <x:v>45615</x:v>
      </x:c>
      <x:c r="E9535" s="9" t="n">
        <x:v>6002500</x:v>
      </x:c>
      <x:c r="F9535" s="9" t="n">
        <x:v>6002500</x:v>
      </x:c>
    </x:row>
    <x:row r="9536" ht="34" customHeight="1">
      <x:c r="A9536" s="4" t="str">
        <x:v>RS-04724-I3</x:v>
      </x:c>
      <x:c r="B9536" s="4" t="str">
        <x:v>RS-04724</x:v>
      </x:c>
      <x:c r="C9536" s="9" t="n">
        <x:v>3</x:v>
      </x:c>
      <x:c r="D9536" s="8" t="n">
        <x:v>45645</x:v>
      </x:c>
      <x:c r="E9536" s="9" t="n">
        <x:v>6002500</x:v>
      </x:c>
      <x:c r="F9536" s="9" t="n">
        <x:v>0</x:v>
      </x:c>
    </x:row>
    <x:row r="9537" ht="34" customHeight="1">
      <x:c r="A9537" s="4" t="str">
        <x:v>RS-04724-I4</x:v>
      </x:c>
      <x:c r="B9537" s="4" t="str">
        <x:v>RS-04724</x:v>
      </x:c>
      <x:c r="C9537" s="9" t="n">
        <x:v>4</x:v>
      </x:c>
      <x:c r="D9537" s="8" t="n">
        <x:v>45675</x:v>
      </x:c>
      <x:c r="E9537" s="9" t="n">
        <x:v>6002500</x:v>
      </x:c>
      <x:c r="F9537" s="9" t="n">
        <x:v>0</x:v>
      </x:c>
    </x:row>
    <x:row r="9538" ht="34" customHeight="1">
      <x:c r="A9538" s="4" t="str">
        <x:v>RS-04726-I1</x:v>
      </x:c>
      <x:c r="B9538" s="4" t="str">
        <x:v>RS-04726</x:v>
      </x:c>
      <x:c r="C9538" s="9" t="n">
        <x:v>1</x:v>
      </x:c>
      <x:c r="D9538" s="8" t="n">
        <x:v>45587</x:v>
      </x:c>
      <x:c r="E9538" s="9" t="n">
        <x:v>1710000</x:v>
      </x:c>
      <x:c r="F9538" s="9" t="n">
        <x:v>1710000</x:v>
      </x:c>
    </x:row>
    <x:row r="9539" ht="34" customHeight="1">
      <x:c r="A9539" s="4" t="str">
        <x:v>RS-04726-I2</x:v>
      </x:c>
      <x:c r="B9539" s="4" t="str">
        <x:v>RS-04726</x:v>
      </x:c>
      <x:c r="C9539" s="9" t="n">
        <x:v>2</x:v>
      </x:c>
      <x:c r="D9539" s="8" t="n">
        <x:v>45617</x:v>
      </x:c>
      <x:c r="E9539" s="9" t="n">
        <x:v>1710000</x:v>
      </x:c>
      <x:c r="F9539" s="9" t="n">
        <x:v>1710000</x:v>
      </x:c>
    </x:row>
    <x:row r="9540" ht="34" customHeight="1">
      <x:c r="A9540" s="4" t="str">
        <x:v>RS-04726-I3</x:v>
      </x:c>
      <x:c r="B9540" s="4" t="str">
        <x:v>RS-04726</x:v>
      </x:c>
      <x:c r="C9540" s="9" t="n">
        <x:v>3</x:v>
      </x:c>
      <x:c r="D9540" s="8" t="n">
        <x:v>45647</x:v>
      </x:c>
      <x:c r="E9540" s="9" t="n">
        <x:v>1710000</x:v>
      </x:c>
      <x:c r="F9540" s="9" t="n">
        <x:v>1710000</x:v>
      </x:c>
    </x:row>
    <x:row r="9541" ht="34" customHeight="1">
      <x:c r="A9541" s="4" t="str">
        <x:v>RS-04726-I4</x:v>
      </x:c>
      <x:c r="B9541" s="4" t="str">
        <x:v>RS-04726</x:v>
      </x:c>
      <x:c r="C9541" s="9" t="n">
        <x:v>4</x:v>
      </x:c>
      <x:c r="D9541" s="8" t="n">
        <x:v>45677</x:v>
      </x:c>
      <x:c r="E9541" s="9" t="n">
        <x:v>1710000</x:v>
      </x:c>
      <x:c r="F9541" s="9" t="n">
        <x:v>1710000</x:v>
      </x:c>
    </x:row>
    <x:row r="9542" ht="34" customHeight="1">
      <x:c r="A9542" s="4" t="str">
        <x:v>RS-04727-I1</x:v>
      </x:c>
      <x:c r="B9542" s="4" t="str">
        <x:v>RS-04727</x:v>
      </x:c>
      <x:c r="C9542" s="9" t="n">
        <x:v>1</x:v>
      </x:c>
      <x:c r="D9542" s="8" t="n">
        <x:v>45588</x:v>
      </x:c>
      <x:c r="E9542" s="9" t="n">
        <x:v>2232000</x:v>
      </x:c>
      <x:c r="F9542" s="9" t="n">
        <x:v>892800</x:v>
      </x:c>
    </x:row>
    <x:row r="9543" ht="34" customHeight="1">
      <x:c r="A9543" s="4" t="str">
        <x:v>RS-04727-I2</x:v>
      </x:c>
      <x:c r="B9543" s="4" t="str">
        <x:v>RS-04727</x:v>
      </x:c>
      <x:c r="C9543" s="9" t="n">
        <x:v>2</x:v>
      </x:c>
      <x:c r="D9543" s="8" t="n">
        <x:v>45618</x:v>
      </x:c>
      <x:c r="E9543" s="9" t="n">
        <x:v>2232000</x:v>
      </x:c>
      <x:c r="F9543" s="9" t="n">
        <x:v>0</x:v>
      </x:c>
    </x:row>
    <x:row r="9544" ht="34" customHeight="1">
      <x:c r="A9544" s="4" t="str">
        <x:v>RS-04727-I3</x:v>
      </x:c>
      <x:c r="B9544" s="4" t="str">
        <x:v>RS-04727</x:v>
      </x:c>
      <x:c r="C9544" s="9" t="n">
        <x:v>3</x:v>
      </x:c>
      <x:c r="D9544" s="8" t="n">
        <x:v>45648</x:v>
      </x:c>
      <x:c r="E9544" s="9" t="n">
        <x:v>2232000</x:v>
      </x:c>
      <x:c r="F9544" s="9" t="n">
        <x:v>0</x:v>
      </x:c>
    </x:row>
    <x:row r="9545" ht="34" customHeight="1">
      <x:c r="A9545" s="4" t="str">
        <x:v>RS-04727-I4</x:v>
      </x:c>
      <x:c r="B9545" s="4" t="str">
        <x:v>RS-04727</x:v>
      </x:c>
      <x:c r="C9545" s="9" t="n">
        <x:v>4</x:v>
      </x:c>
      <x:c r="D9545" s="8" t="n">
        <x:v>45678</x:v>
      </x:c>
      <x:c r="E9545" s="9" t="n">
        <x:v>2232000</x:v>
      </x:c>
      <x:c r="F9545" s="9" t="n">
        <x:v>0</x:v>
      </x:c>
    </x:row>
    <x:row r="9546" ht="34" customHeight="1">
      <x:c r="A9546" s="4" t="str">
        <x:v>RS-04730-I1</x:v>
      </x:c>
      <x:c r="B9546" s="4" t="str">
        <x:v>RS-04730</x:v>
      </x:c>
      <x:c r="C9546" s="9" t="n">
        <x:v>1</x:v>
      </x:c>
      <x:c r="D9546" s="8" t="n">
        <x:v>45591</x:v>
      </x:c>
      <x:c r="E9546" s="9" t="n">
        <x:v>3118500</x:v>
      </x:c>
      <x:c r="F9546" s="9" t="n">
        <x:v>3118500</x:v>
      </x:c>
    </x:row>
    <x:row r="9547" ht="34" customHeight="1">
      <x:c r="A9547" s="4" t="str">
        <x:v>RS-04730-I2</x:v>
      </x:c>
      <x:c r="B9547" s="4" t="str">
        <x:v>RS-04730</x:v>
      </x:c>
      <x:c r="C9547" s="9" t="n">
        <x:v>2</x:v>
      </x:c>
      <x:c r="D9547" s="8" t="n">
        <x:v>45621</x:v>
      </x:c>
      <x:c r="E9547" s="9" t="n">
        <x:v>3118500</x:v>
      </x:c>
      <x:c r="F9547" s="9" t="n">
        <x:v>3118500</x:v>
      </x:c>
    </x:row>
    <x:row r="9548" ht="34" customHeight="1">
      <x:c r="A9548" s="4" t="str">
        <x:v>RS-04730-I3</x:v>
      </x:c>
      <x:c r="B9548" s="4" t="str">
        <x:v>RS-04730</x:v>
      </x:c>
      <x:c r="C9548" s="9" t="n">
        <x:v>3</x:v>
      </x:c>
      <x:c r="D9548" s="8" t="n">
        <x:v>45651</x:v>
      </x:c>
      <x:c r="E9548" s="9" t="n">
        <x:v>3118500</x:v>
      </x:c>
      <x:c r="F9548" s="9" t="n">
        <x:v>0</x:v>
      </x:c>
    </x:row>
    <x:row r="9549" ht="34" customHeight="1">
      <x:c r="A9549" s="4" t="str">
        <x:v>RS-04730-I4</x:v>
      </x:c>
      <x:c r="B9549" s="4" t="str">
        <x:v>RS-04730</x:v>
      </x:c>
      <x:c r="C9549" s="9" t="n">
        <x:v>4</x:v>
      </x:c>
      <x:c r="D9549" s="8" t="n">
        <x:v>45681</x:v>
      </x:c>
      <x:c r="E9549" s="9" t="n">
        <x:v>3118500</x:v>
      </x:c>
      <x:c r="F9549" s="9" t="n">
        <x:v>0</x:v>
      </x:c>
    </x:row>
    <x:row r="9550" ht="34" customHeight="1">
      <x:c r="A9550" s="4" t="str">
        <x:v>RS-04732-I1</x:v>
      </x:c>
      <x:c r="B9550" s="4" t="str">
        <x:v>RS-04732</x:v>
      </x:c>
      <x:c r="C9550" s="9" t="n">
        <x:v>1</x:v>
      </x:c>
      <x:c r="D9550" s="8" t="n">
        <x:v>45593</x:v>
      </x:c>
      <x:c r="E9550" s="9" t="n">
        <x:v>2722500</x:v>
      </x:c>
      <x:c r="F9550" s="9" t="n">
        <x:v>2722500</x:v>
      </x:c>
    </x:row>
    <x:row r="9551" ht="34" customHeight="1">
      <x:c r="A9551" s="4" t="str">
        <x:v>RS-04732-I2</x:v>
      </x:c>
      <x:c r="B9551" s="4" t="str">
        <x:v>RS-04732</x:v>
      </x:c>
      <x:c r="C9551" s="9" t="n">
        <x:v>2</x:v>
      </x:c>
      <x:c r="D9551" s="8" t="n">
        <x:v>45623</x:v>
      </x:c>
      <x:c r="E9551" s="9" t="n">
        <x:v>2722500</x:v>
      </x:c>
      <x:c r="F9551" s="9" t="n">
        <x:v>0</x:v>
      </x:c>
    </x:row>
    <x:row r="9552" ht="34" customHeight="1">
      <x:c r="A9552" s="4" t="str">
        <x:v>RS-04732-I3</x:v>
      </x:c>
      <x:c r="B9552" s="4" t="str">
        <x:v>RS-04732</x:v>
      </x:c>
      <x:c r="C9552" s="9" t="n">
        <x:v>3</x:v>
      </x:c>
      <x:c r="D9552" s="8" t="n">
        <x:v>45653</x:v>
      </x:c>
      <x:c r="E9552" s="9" t="n">
        <x:v>2722500</x:v>
      </x:c>
      <x:c r="F9552" s="9" t="n">
        <x:v>0</x:v>
      </x:c>
    </x:row>
    <x:row r="9553" ht="34" customHeight="1">
      <x:c r="A9553" s="4" t="str">
        <x:v>RS-04732-I4</x:v>
      </x:c>
      <x:c r="B9553" s="4" t="str">
        <x:v>RS-04732</x:v>
      </x:c>
      <x:c r="C9553" s="9" t="n">
        <x:v>4</x:v>
      </x:c>
      <x:c r="D9553" s="8" t="n">
        <x:v>45683</x:v>
      </x:c>
      <x:c r="E9553" s="9" t="n">
        <x:v>2722500</x:v>
      </x:c>
      <x:c r="F9553" s="9" t="n">
        <x:v>0</x:v>
      </x:c>
    </x:row>
    <x:row r="9554" ht="34" customHeight="1">
      <x:c r="A9554" s="4" t="str">
        <x:v>RS-04734-I1</x:v>
      </x:c>
      <x:c r="B9554" s="4" t="str">
        <x:v>RS-04734</x:v>
      </x:c>
      <x:c r="C9554" s="9" t="n">
        <x:v>1</x:v>
      </x:c>
      <x:c r="D9554" s="8" t="n">
        <x:v>45567</x:v>
      </x:c>
      <x:c r="E9554" s="9" t="n">
        <x:v>1674000</x:v>
      </x:c>
      <x:c r="F9554" s="9" t="n">
        <x:v>1674000</x:v>
      </x:c>
    </x:row>
    <x:row r="9555" ht="34" customHeight="1">
      <x:c r="A9555" s="4" t="str">
        <x:v>RS-04734-I2</x:v>
      </x:c>
      <x:c r="B9555" s="4" t="str">
        <x:v>RS-04734</x:v>
      </x:c>
      <x:c r="C9555" s="9" t="n">
        <x:v>2</x:v>
      </x:c>
      <x:c r="D9555" s="8" t="n">
        <x:v>45597</x:v>
      </x:c>
      <x:c r="E9555" s="9" t="n">
        <x:v>1674000</x:v>
      </x:c>
      <x:c r="F9555" s="9" t="n">
        <x:v>1674000</x:v>
      </x:c>
    </x:row>
    <x:row r="9556" ht="34" customHeight="1">
      <x:c r="A9556" s="4" t="str">
        <x:v>RS-04734-I3</x:v>
      </x:c>
      <x:c r="B9556" s="4" t="str">
        <x:v>RS-04734</x:v>
      </x:c>
      <x:c r="C9556" s="9" t="n">
        <x:v>3</x:v>
      </x:c>
      <x:c r="D9556" s="8" t="n">
        <x:v>45627</x:v>
      </x:c>
      <x:c r="E9556" s="9" t="n">
        <x:v>1674000</x:v>
      </x:c>
      <x:c r="F9556" s="9" t="n">
        <x:v>0</x:v>
      </x:c>
    </x:row>
    <x:row r="9557" ht="34" customHeight="1">
      <x:c r="A9557" s="4" t="str">
        <x:v>RS-04734-I4</x:v>
      </x:c>
      <x:c r="B9557" s="4" t="str">
        <x:v>RS-04734</x:v>
      </x:c>
      <x:c r="C9557" s="9" t="n">
        <x:v>4</x:v>
      </x:c>
      <x:c r="D9557" s="8" t="n">
        <x:v>45657</x:v>
      </x:c>
      <x:c r="E9557" s="9" t="n">
        <x:v>1674000</x:v>
      </x:c>
      <x:c r="F9557" s="9" t="n">
        <x:v>0</x:v>
      </x:c>
    </x:row>
    <x:row r="9558" ht="34" customHeight="1">
      <x:c r="A9558" s="4" t="str">
        <x:v>RS-04735-I1</x:v>
      </x:c>
      <x:c r="B9558" s="4" t="str">
        <x:v>RS-04735</x:v>
      </x:c>
      <x:c r="C9558" s="9" t="n">
        <x:v>1</x:v>
      </x:c>
      <x:c r="D9558" s="8" t="n">
        <x:v>45568</x:v>
      </x:c>
      <x:c r="E9558" s="9" t="n">
        <x:v>5700000</x:v>
      </x:c>
      <x:c r="F9558" s="9" t="n">
        <x:v>5700000</x:v>
      </x:c>
    </x:row>
    <x:row r="9559" ht="34" customHeight="1">
      <x:c r="A9559" s="4" t="str">
        <x:v>RS-04735-I2</x:v>
      </x:c>
      <x:c r="B9559" s="4" t="str">
        <x:v>RS-04735</x:v>
      </x:c>
      <x:c r="C9559" s="9" t="n">
        <x:v>2</x:v>
      </x:c>
      <x:c r="D9559" s="8" t="n">
        <x:v>45598</x:v>
      </x:c>
      <x:c r="E9559" s="9" t="n">
        <x:v>5700000</x:v>
      </x:c>
      <x:c r="F9559" s="9" t="n">
        <x:v>5700000</x:v>
      </x:c>
    </x:row>
    <x:row r="9560" ht="34" customHeight="1">
      <x:c r="A9560" s="4" t="str">
        <x:v>RS-04735-I3</x:v>
      </x:c>
      <x:c r="B9560" s="4" t="str">
        <x:v>RS-04735</x:v>
      </x:c>
      <x:c r="C9560" s="9" t="n">
        <x:v>3</x:v>
      </x:c>
      <x:c r="D9560" s="8" t="n">
        <x:v>45628</x:v>
      </x:c>
      <x:c r="E9560" s="9" t="n">
        <x:v>5700000</x:v>
      </x:c>
      <x:c r="F9560" s="9" t="n">
        <x:v>5700000</x:v>
      </x:c>
    </x:row>
    <x:row r="9561" ht="34" customHeight="1">
      <x:c r="A9561" s="4" t="str">
        <x:v>RS-04735-I4</x:v>
      </x:c>
      <x:c r="B9561" s="4" t="str">
        <x:v>RS-04735</x:v>
      </x:c>
      <x:c r="C9561" s="9" t="n">
        <x:v>4</x:v>
      </x:c>
      <x:c r="D9561" s="8" t="n">
        <x:v>45658</x:v>
      </x:c>
      <x:c r="E9561" s="9" t="n">
        <x:v>5700000</x:v>
      </x:c>
      <x:c r="F9561" s="9" t="n">
        <x:v>5700000</x:v>
      </x:c>
    </x:row>
    <x:row r="9562" ht="34" customHeight="1">
      <x:c r="A9562" s="4" t="str">
        <x:v>RS-04736-I1</x:v>
      </x:c>
      <x:c r="B9562" s="4" t="str">
        <x:v>RS-04736</x:v>
      </x:c>
      <x:c r="C9562" s="9" t="n">
        <x:v>1</x:v>
      </x:c>
      <x:c r="D9562" s="8" t="n">
        <x:v>45569</x:v>
      </x:c>
      <x:c r="E9562" s="9" t="n">
        <x:v>3847500</x:v>
      </x:c>
      <x:c r="F9562" s="9" t="n">
        <x:v>3847500</x:v>
      </x:c>
    </x:row>
    <x:row r="9563" ht="34" customHeight="1">
      <x:c r="A9563" s="4" t="str">
        <x:v>RS-04736-I2</x:v>
      </x:c>
      <x:c r="B9563" s="4" t="str">
        <x:v>RS-04736</x:v>
      </x:c>
      <x:c r="C9563" s="9" t="n">
        <x:v>2</x:v>
      </x:c>
      <x:c r="D9563" s="8" t="n">
        <x:v>45599</x:v>
      </x:c>
      <x:c r="E9563" s="9" t="n">
        <x:v>3847500</x:v>
      </x:c>
      <x:c r="F9563" s="9" t="n">
        <x:v>3847500</x:v>
      </x:c>
    </x:row>
    <x:row r="9564" ht="34" customHeight="1">
      <x:c r="A9564" s="4" t="str">
        <x:v>RS-04736-I3</x:v>
      </x:c>
      <x:c r="B9564" s="4" t="str">
        <x:v>RS-04736</x:v>
      </x:c>
      <x:c r="C9564" s="9" t="n">
        <x:v>3</x:v>
      </x:c>
      <x:c r="D9564" s="8" t="n">
        <x:v>45629</x:v>
      </x:c>
      <x:c r="E9564" s="9" t="n">
        <x:v>3847500</x:v>
      </x:c>
      <x:c r="F9564" s="9" t="n">
        <x:v>0</x:v>
      </x:c>
    </x:row>
    <x:row r="9565" ht="34" customHeight="1">
      <x:c r="A9565" s="4" t="str">
        <x:v>RS-04736-I4</x:v>
      </x:c>
      <x:c r="B9565" s="4" t="str">
        <x:v>RS-04736</x:v>
      </x:c>
      <x:c r="C9565" s="9" t="n">
        <x:v>4</x:v>
      </x:c>
      <x:c r="D9565" s="8" t="n">
        <x:v>45659</x:v>
      </x:c>
      <x:c r="E9565" s="9" t="n">
        <x:v>3847500</x:v>
      </x:c>
      <x:c r="F9565" s="9" t="n">
        <x:v>0</x:v>
      </x:c>
    </x:row>
    <x:row r="9566" ht="34" customHeight="1">
      <x:c r="A9566" s="4" t="str">
        <x:v>RS-04739-I1</x:v>
      </x:c>
      <x:c r="B9566" s="4" t="str">
        <x:v>RS-04739</x:v>
      </x:c>
      <x:c r="C9566" s="9" t="n">
        <x:v>1</x:v>
      </x:c>
      <x:c r="D9566" s="8" t="n">
        <x:v>45572</x:v>
      </x:c>
      <x:c r="E9566" s="9" t="n">
        <x:v>3384000</x:v>
      </x:c>
      <x:c r="F9566" s="9" t="n">
        <x:v>3384000</x:v>
      </x:c>
    </x:row>
    <x:row r="9567" ht="34" customHeight="1">
      <x:c r="A9567" s="4" t="str">
        <x:v>RS-04739-I2</x:v>
      </x:c>
      <x:c r="B9567" s="4" t="str">
        <x:v>RS-04739</x:v>
      </x:c>
      <x:c r="C9567" s="9" t="n">
        <x:v>2</x:v>
      </x:c>
      <x:c r="D9567" s="8" t="n">
        <x:v>45602</x:v>
      </x:c>
      <x:c r="E9567" s="9" t="n">
        <x:v>3384000</x:v>
      </x:c>
      <x:c r="F9567" s="9" t="n">
        <x:v>3384000</x:v>
      </x:c>
    </x:row>
    <x:row r="9568" ht="34" customHeight="1">
      <x:c r="A9568" s="4" t="str">
        <x:v>RS-04739-I3</x:v>
      </x:c>
      <x:c r="B9568" s="4" t="str">
        <x:v>RS-04739</x:v>
      </x:c>
      <x:c r="C9568" s="9" t="n">
        <x:v>3</x:v>
      </x:c>
      <x:c r="D9568" s="8" t="n">
        <x:v>45632</x:v>
      </x:c>
      <x:c r="E9568" s="9" t="n">
        <x:v>3384000</x:v>
      </x:c>
      <x:c r="F9568" s="9" t="n">
        <x:v>3384000</x:v>
      </x:c>
    </x:row>
    <x:row r="9569" ht="34" customHeight="1">
      <x:c r="A9569" s="4" t="str">
        <x:v>RS-04739-I4</x:v>
      </x:c>
      <x:c r="B9569" s="4" t="str">
        <x:v>RS-04739</x:v>
      </x:c>
      <x:c r="C9569" s="9" t="n">
        <x:v>4</x:v>
      </x:c>
      <x:c r="D9569" s="8" t="n">
        <x:v>45662</x:v>
      </x:c>
      <x:c r="E9569" s="9" t="n">
        <x:v>3384000</x:v>
      </x:c>
      <x:c r="F9569" s="9" t="n">
        <x:v>3384000</x:v>
      </x:c>
    </x:row>
    <x:row r="9570" ht="34" customHeight="1">
      <x:c r="A9570" s="4" t="str">
        <x:v>RS-04741-I1</x:v>
      </x:c>
      <x:c r="B9570" s="4" t="str">
        <x:v>RS-04741</x:v>
      </x:c>
      <x:c r="C9570" s="9" t="n">
        <x:v>1</x:v>
      </x:c>
      <x:c r="D9570" s="8" t="n">
        <x:v>45574</x:v>
      </x:c>
      <x:c r="E9570" s="9" t="n">
        <x:v>4059000</x:v>
      </x:c>
      <x:c r="F9570" s="9" t="n">
        <x:v>1623600</x:v>
      </x:c>
    </x:row>
    <x:row r="9571" ht="34" customHeight="1">
      <x:c r="A9571" s="4" t="str">
        <x:v>RS-04741-I2</x:v>
      </x:c>
      <x:c r="B9571" s="4" t="str">
        <x:v>RS-04741</x:v>
      </x:c>
      <x:c r="C9571" s="9" t="n">
        <x:v>2</x:v>
      </x:c>
      <x:c r="D9571" s="8" t="n">
        <x:v>45604</x:v>
      </x:c>
      <x:c r="E9571" s="9" t="n">
        <x:v>4059000</x:v>
      </x:c>
      <x:c r="F9571" s="9" t="n">
        <x:v>0</x:v>
      </x:c>
    </x:row>
    <x:row r="9572" ht="34" customHeight="1">
      <x:c r="A9572" s="4" t="str">
        <x:v>RS-04741-I3</x:v>
      </x:c>
      <x:c r="B9572" s="4" t="str">
        <x:v>RS-04741</x:v>
      </x:c>
      <x:c r="C9572" s="9" t="n">
        <x:v>3</x:v>
      </x:c>
      <x:c r="D9572" s="8" t="n">
        <x:v>45634</x:v>
      </x:c>
      <x:c r="E9572" s="9" t="n">
        <x:v>4059000</x:v>
      </x:c>
      <x:c r="F9572" s="9" t="n">
        <x:v>0</x:v>
      </x:c>
    </x:row>
    <x:row r="9573" ht="34" customHeight="1">
      <x:c r="A9573" s="4" t="str">
        <x:v>RS-04741-I4</x:v>
      </x:c>
      <x:c r="B9573" s="4" t="str">
        <x:v>RS-04741</x:v>
      </x:c>
      <x:c r="C9573" s="9" t="n">
        <x:v>4</x:v>
      </x:c>
      <x:c r="D9573" s="8" t="n">
        <x:v>45664</x:v>
      </x:c>
      <x:c r="E9573" s="9" t="n">
        <x:v>4059000</x:v>
      </x:c>
      <x:c r="F9573" s="9" t="n">
        <x:v>0</x:v>
      </x:c>
    </x:row>
    <x:row r="9574" ht="34" customHeight="1">
      <x:c r="A9574" s="4" t="str">
        <x:v>RS-04742-I1</x:v>
      </x:c>
      <x:c r="B9574" s="4" t="str">
        <x:v>RS-04742</x:v>
      </x:c>
      <x:c r="C9574" s="9" t="n">
        <x:v>1</x:v>
      </x:c>
      <x:c r="D9574" s="8" t="n">
        <x:v>45575</x:v>
      </x:c>
      <x:c r="E9574" s="9" t="n">
        <x:v>2350000</x:v>
      </x:c>
      <x:c r="F9574" s="9" t="n">
        <x:v>2350000</x:v>
      </x:c>
    </x:row>
    <x:row r="9575" ht="34" customHeight="1">
      <x:c r="A9575" s="4" t="str">
        <x:v>RS-04742-I2</x:v>
      </x:c>
      <x:c r="B9575" s="4" t="str">
        <x:v>RS-04742</x:v>
      </x:c>
      <x:c r="C9575" s="9" t="n">
        <x:v>2</x:v>
      </x:c>
      <x:c r="D9575" s="8" t="n">
        <x:v>45605</x:v>
      </x:c>
      <x:c r="E9575" s="9" t="n">
        <x:v>2350000</x:v>
      </x:c>
      <x:c r="F9575" s="9" t="n">
        <x:v>2350000</x:v>
      </x:c>
    </x:row>
    <x:row r="9576" ht="34" customHeight="1">
      <x:c r="A9576" s="4" t="str">
        <x:v>RS-04742-I3</x:v>
      </x:c>
      <x:c r="B9576" s="4" t="str">
        <x:v>RS-04742</x:v>
      </x:c>
      <x:c r="C9576" s="9" t="n">
        <x:v>3</x:v>
      </x:c>
      <x:c r="D9576" s="8" t="n">
        <x:v>45635</x:v>
      </x:c>
      <x:c r="E9576" s="9" t="n">
        <x:v>2350000</x:v>
      </x:c>
      <x:c r="F9576" s="9" t="n">
        <x:v>2350000</x:v>
      </x:c>
    </x:row>
    <x:row r="9577" ht="34" customHeight="1">
      <x:c r="A9577" s="4" t="str">
        <x:v>RS-04742-I4</x:v>
      </x:c>
      <x:c r="B9577" s="4" t="str">
        <x:v>RS-04742</x:v>
      </x:c>
      <x:c r="C9577" s="9" t="n">
        <x:v>4</x:v>
      </x:c>
      <x:c r="D9577" s="8" t="n">
        <x:v>45665</x:v>
      </x:c>
      <x:c r="E9577" s="9" t="n">
        <x:v>2350000</x:v>
      </x:c>
      <x:c r="F9577" s="9" t="n">
        <x:v>2350000</x:v>
      </x:c>
    </x:row>
    <x:row r="9578" ht="34" customHeight="1">
      <x:c r="A9578" s="4" t="str">
        <x:v>RS-04743-I1</x:v>
      </x:c>
      <x:c r="B9578" s="4" t="str">
        <x:v>RS-04743</x:v>
      </x:c>
      <x:c r="C9578" s="9" t="n">
        <x:v>1</x:v>
      </x:c>
      <x:c r="D9578" s="8" t="n">
        <x:v>45576</x:v>
      </x:c>
      <x:c r="E9578" s="9" t="n">
        <x:v>1188000</x:v>
      </x:c>
      <x:c r="F9578" s="9" t="n">
        <x:v>1188000</x:v>
      </x:c>
    </x:row>
    <x:row r="9579" ht="34" customHeight="1">
      <x:c r="A9579" s="4" t="str">
        <x:v>RS-04743-I2</x:v>
      </x:c>
      <x:c r="B9579" s="4" t="str">
        <x:v>RS-04743</x:v>
      </x:c>
      <x:c r="C9579" s="9" t="n">
        <x:v>2</x:v>
      </x:c>
      <x:c r="D9579" s="8" t="n">
        <x:v>45606</x:v>
      </x:c>
      <x:c r="E9579" s="9" t="n">
        <x:v>1188000</x:v>
      </x:c>
      <x:c r="F9579" s="9" t="n">
        <x:v>1188000</x:v>
      </x:c>
    </x:row>
    <x:row r="9580" ht="34" customHeight="1">
      <x:c r="A9580" s="4" t="str">
        <x:v>RS-04743-I3</x:v>
      </x:c>
      <x:c r="B9580" s="4" t="str">
        <x:v>RS-04743</x:v>
      </x:c>
      <x:c r="C9580" s="9" t="n">
        <x:v>3</x:v>
      </x:c>
      <x:c r="D9580" s="8" t="n">
        <x:v>45636</x:v>
      </x:c>
      <x:c r="E9580" s="9" t="n">
        <x:v>1188000</x:v>
      </x:c>
      <x:c r="F9580" s="9" t="n">
        <x:v>0</x:v>
      </x:c>
    </x:row>
    <x:row r="9581" ht="34" customHeight="1">
      <x:c r="A9581" s="4" t="str">
        <x:v>RS-04743-I4</x:v>
      </x:c>
      <x:c r="B9581" s="4" t="str">
        <x:v>RS-04743</x:v>
      </x:c>
      <x:c r="C9581" s="9" t="n">
        <x:v>4</x:v>
      </x:c>
      <x:c r="D9581" s="8" t="n">
        <x:v>45666</x:v>
      </x:c>
      <x:c r="E9581" s="9" t="n">
        <x:v>1188000</x:v>
      </x:c>
      <x:c r="F9581" s="9" t="n">
        <x:v>0</x:v>
      </x:c>
    </x:row>
    <x:row r="9582" ht="34" customHeight="1">
      <x:c r="A9582" s="4" t="str">
        <x:v>RS-04747-I1</x:v>
      </x:c>
      <x:c r="B9582" s="4" t="str">
        <x:v>RS-04747</x:v>
      </x:c>
      <x:c r="C9582" s="9" t="n">
        <x:v>1</x:v>
      </x:c>
      <x:c r="D9582" s="8" t="n">
        <x:v>45580</x:v>
      </x:c>
      <x:c r="E9582" s="9" t="n">
        <x:v>2400000</x:v>
      </x:c>
      <x:c r="F9582" s="9" t="n">
        <x:v>2400000</x:v>
      </x:c>
    </x:row>
    <x:row r="9583" ht="34" customHeight="1">
      <x:c r="A9583" s="4" t="str">
        <x:v>RS-04747-I2</x:v>
      </x:c>
      <x:c r="B9583" s="4" t="str">
        <x:v>RS-04747</x:v>
      </x:c>
      <x:c r="C9583" s="9" t="n">
        <x:v>2</x:v>
      </x:c>
      <x:c r="D9583" s="8" t="n">
        <x:v>45610</x:v>
      </x:c>
      <x:c r="E9583" s="9" t="n">
        <x:v>2400000</x:v>
      </x:c>
      <x:c r="F9583" s="9" t="n">
        <x:v>2400000</x:v>
      </x:c>
    </x:row>
    <x:row r="9584" ht="34" customHeight="1">
      <x:c r="A9584" s="4" t="str">
        <x:v>RS-04747-I3</x:v>
      </x:c>
      <x:c r="B9584" s="4" t="str">
        <x:v>RS-04747</x:v>
      </x:c>
      <x:c r="C9584" s="9" t="n">
        <x:v>3</x:v>
      </x:c>
      <x:c r="D9584" s="8" t="n">
        <x:v>45640</x:v>
      </x:c>
      <x:c r="E9584" s="9" t="n">
        <x:v>2400000</x:v>
      </x:c>
      <x:c r="F9584" s="9" t="n">
        <x:v>0</x:v>
      </x:c>
    </x:row>
    <x:row r="9585" ht="34" customHeight="1">
      <x:c r="A9585" s="4" t="str">
        <x:v>RS-04747-I4</x:v>
      </x:c>
      <x:c r="B9585" s="4" t="str">
        <x:v>RS-04747</x:v>
      </x:c>
      <x:c r="C9585" s="9" t="n">
        <x:v>4</x:v>
      </x:c>
      <x:c r="D9585" s="8" t="n">
        <x:v>45670</x:v>
      </x:c>
      <x:c r="E9585" s="9" t="n">
        <x:v>2400000</x:v>
      </x:c>
      <x:c r="F9585" s="9" t="n">
        <x:v>0</x:v>
      </x:c>
    </x:row>
    <x:row r="9586" ht="34" customHeight="1">
      <x:c r="A9586" s="4" t="str">
        <x:v>RS-04748-I1</x:v>
      </x:c>
      <x:c r="B9586" s="4" t="str">
        <x:v>RS-04748</x:v>
      </x:c>
      <x:c r="C9586" s="9" t="n">
        <x:v>1</x:v>
      </x:c>
      <x:c r="D9586" s="8" t="n">
        <x:v>45581</x:v>
      </x:c>
      <x:c r="E9586" s="9" t="n">
        <x:v>5428000</x:v>
      </x:c>
      <x:c r="F9586" s="9" t="n">
        <x:v>5428000</x:v>
      </x:c>
    </x:row>
    <x:row r="9587" ht="34" customHeight="1">
      <x:c r="A9587" s="4" t="str">
        <x:v>RS-04748-I2</x:v>
      </x:c>
      <x:c r="B9587" s="4" t="str">
        <x:v>RS-04748</x:v>
      </x:c>
      <x:c r="C9587" s="9" t="n">
        <x:v>2</x:v>
      </x:c>
      <x:c r="D9587" s="8" t="n">
        <x:v>45611</x:v>
      </x:c>
      <x:c r="E9587" s="9" t="n">
        <x:v>5428000</x:v>
      </x:c>
      <x:c r="F9587" s="9" t="n">
        <x:v>5428000</x:v>
      </x:c>
    </x:row>
    <x:row r="9588" ht="34" customHeight="1">
      <x:c r="A9588" s="4" t="str">
        <x:v>RS-04748-I3</x:v>
      </x:c>
      <x:c r="B9588" s="4" t="str">
        <x:v>RS-04748</x:v>
      </x:c>
      <x:c r="C9588" s="9" t="n">
        <x:v>3</x:v>
      </x:c>
      <x:c r="D9588" s="8" t="n">
        <x:v>45641</x:v>
      </x:c>
      <x:c r="E9588" s="9" t="n">
        <x:v>5428000</x:v>
      </x:c>
      <x:c r="F9588" s="9" t="n">
        <x:v>0</x:v>
      </x:c>
    </x:row>
    <x:row r="9589" ht="34" customHeight="1">
      <x:c r="A9589" s="4" t="str">
        <x:v>RS-04748-I4</x:v>
      </x:c>
      <x:c r="B9589" s="4" t="str">
        <x:v>RS-04748</x:v>
      </x:c>
      <x:c r="C9589" s="9" t="n">
        <x:v>4</x:v>
      </x:c>
      <x:c r="D9589" s="8" t="n">
        <x:v>45671</x:v>
      </x:c>
      <x:c r="E9589" s="9" t="n">
        <x:v>5428000</x:v>
      </x:c>
      <x:c r="F9589" s="9" t="n">
        <x:v>0</x:v>
      </x:c>
    </x:row>
    <x:row r="9590" ht="34" customHeight="1">
      <x:c r="A9590" s="4" t="str">
        <x:v>RS-04749-I1</x:v>
      </x:c>
      <x:c r="B9590" s="4" t="str">
        <x:v>RS-04749</x:v>
      </x:c>
      <x:c r="C9590" s="9" t="n">
        <x:v>1</x:v>
      </x:c>
      <x:c r="D9590" s="8" t="n">
        <x:v>45582</x:v>
      </x:c>
      <x:c r="E9590" s="9" t="n">
        <x:v>5510250</x:v>
      </x:c>
      <x:c r="F9590" s="9" t="n">
        <x:v>5510250</x:v>
      </x:c>
    </x:row>
    <x:row r="9591" ht="34" customHeight="1">
      <x:c r="A9591" s="4" t="str">
        <x:v>RS-04749-I2</x:v>
      </x:c>
      <x:c r="B9591" s="4" t="str">
        <x:v>RS-04749</x:v>
      </x:c>
      <x:c r="C9591" s="9" t="n">
        <x:v>2</x:v>
      </x:c>
      <x:c r="D9591" s="8" t="n">
        <x:v>45612</x:v>
      </x:c>
      <x:c r="E9591" s="9" t="n">
        <x:v>5510250</x:v>
      </x:c>
      <x:c r="F9591" s="9" t="n">
        <x:v>0</x:v>
      </x:c>
    </x:row>
    <x:row r="9592" ht="34" customHeight="1">
      <x:c r="A9592" s="4" t="str">
        <x:v>RS-04749-I3</x:v>
      </x:c>
      <x:c r="B9592" s="4" t="str">
        <x:v>RS-04749</x:v>
      </x:c>
      <x:c r="C9592" s="9" t="n">
        <x:v>3</x:v>
      </x:c>
      <x:c r="D9592" s="8" t="n">
        <x:v>45642</x:v>
      </x:c>
      <x:c r="E9592" s="9" t="n">
        <x:v>5510250</x:v>
      </x:c>
      <x:c r="F9592" s="9" t="n">
        <x:v>0</x:v>
      </x:c>
    </x:row>
    <x:row r="9593" ht="34" customHeight="1">
      <x:c r="A9593" s="4" t="str">
        <x:v>RS-04749-I4</x:v>
      </x:c>
      <x:c r="B9593" s="4" t="str">
        <x:v>RS-04749</x:v>
      </x:c>
      <x:c r="C9593" s="9" t="n">
        <x:v>4</x:v>
      </x:c>
      <x:c r="D9593" s="8" t="n">
        <x:v>45672</x:v>
      </x:c>
      <x:c r="E9593" s="9" t="n">
        <x:v>5510250</x:v>
      </x:c>
      <x:c r="F9593" s="9" t="n">
        <x:v>0</x:v>
      </x:c>
    </x:row>
    <x:row r="9594" ht="34" customHeight="1">
      <x:c r="A9594" s="4" t="str">
        <x:v>RS-04750-I1</x:v>
      </x:c>
      <x:c r="B9594" s="4" t="str">
        <x:v>RS-04750</x:v>
      </x:c>
      <x:c r="C9594" s="9" t="n">
        <x:v>1</x:v>
      </x:c>
      <x:c r="D9594" s="8" t="n">
        <x:v>45583</x:v>
      </x:c>
      <x:c r="E9594" s="9" t="n">
        <x:v>3844750</x:v>
      </x:c>
      <x:c r="F9594" s="9" t="n">
        <x:v>1537900</x:v>
      </x:c>
    </x:row>
    <x:row r="9595" ht="34" customHeight="1">
      <x:c r="A9595" s="4" t="str">
        <x:v>RS-04750-I2</x:v>
      </x:c>
      <x:c r="B9595" s="4" t="str">
        <x:v>RS-04750</x:v>
      </x:c>
      <x:c r="C9595" s="9" t="n">
        <x:v>2</x:v>
      </x:c>
      <x:c r="D9595" s="8" t="n">
        <x:v>45613</x:v>
      </x:c>
      <x:c r="E9595" s="9" t="n">
        <x:v>3844750</x:v>
      </x:c>
      <x:c r="F9595" s="9" t="n">
        <x:v>0</x:v>
      </x:c>
    </x:row>
    <x:row r="9596" ht="34" customHeight="1">
      <x:c r="A9596" s="4" t="str">
        <x:v>RS-04750-I3</x:v>
      </x:c>
      <x:c r="B9596" s="4" t="str">
        <x:v>RS-04750</x:v>
      </x:c>
      <x:c r="C9596" s="9" t="n">
        <x:v>3</x:v>
      </x:c>
      <x:c r="D9596" s="8" t="n">
        <x:v>45643</x:v>
      </x:c>
      <x:c r="E9596" s="9" t="n">
        <x:v>3844750</x:v>
      </x:c>
      <x:c r="F9596" s="9" t="n">
        <x:v>0</x:v>
      </x:c>
    </x:row>
    <x:row r="9597" ht="34" customHeight="1">
      <x:c r="A9597" s="4" t="str">
        <x:v>RS-04750-I4</x:v>
      </x:c>
      <x:c r="B9597" s="4" t="str">
        <x:v>RS-04750</x:v>
      </x:c>
      <x:c r="C9597" s="9" t="n">
        <x:v>4</x:v>
      </x:c>
      <x:c r="D9597" s="8" t="n">
        <x:v>45673</x:v>
      </x:c>
      <x:c r="E9597" s="9" t="n">
        <x:v>3844750</x:v>
      </x:c>
      <x:c r="F9597" s="9" t="n">
        <x:v>0</x:v>
      </x:c>
    </x:row>
    <x:row r="9598" ht="34" customHeight="1">
      <x:c r="A9598" s="4" t="str">
        <x:v>RS-04751-I1</x:v>
      </x:c>
      <x:c r="B9598" s="4" t="str">
        <x:v>RS-04751</x:v>
      </x:c>
      <x:c r="C9598" s="9" t="n">
        <x:v>1</x:v>
      </x:c>
      <x:c r="D9598" s="8" t="n">
        <x:v>45584</x:v>
      </x:c>
      <x:c r="E9598" s="9" t="n">
        <x:v>3100000</x:v>
      </x:c>
      <x:c r="F9598" s="9" t="n">
        <x:v>1240000</x:v>
      </x:c>
    </x:row>
    <x:row r="9599" ht="34" customHeight="1">
      <x:c r="A9599" s="4" t="str">
        <x:v>RS-04751-I2</x:v>
      </x:c>
      <x:c r="B9599" s="4" t="str">
        <x:v>RS-04751</x:v>
      </x:c>
      <x:c r="C9599" s="9" t="n">
        <x:v>2</x:v>
      </x:c>
      <x:c r="D9599" s="8" t="n">
        <x:v>45614</x:v>
      </x:c>
      <x:c r="E9599" s="9" t="n">
        <x:v>3100000</x:v>
      </x:c>
      <x:c r="F9599" s="9" t="n">
        <x:v>0</x:v>
      </x:c>
    </x:row>
    <x:row r="9600" ht="34" customHeight="1">
      <x:c r="A9600" s="4" t="str">
        <x:v>RS-04751-I3</x:v>
      </x:c>
      <x:c r="B9600" s="4" t="str">
        <x:v>RS-04751</x:v>
      </x:c>
      <x:c r="C9600" s="9" t="n">
        <x:v>3</x:v>
      </x:c>
      <x:c r="D9600" s="8" t="n">
        <x:v>45644</x:v>
      </x:c>
      <x:c r="E9600" s="9" t="n">
        <x:v>3100000</x:v>
      </x:c>
      <x:c r="F9600" s="9" t="n">
        <x:v>0</x:v>
      </x:c>
    </x:row>
    <x:row r="9601" ht="34" customHeight="1">
      <x:c r="A9601" s="4" t="str">
        <x:v>RS-04751-I4</x:v>
      </x:c>
      <x:c r="B9601" s="4" t="str">
        <x:v>RS-04751</x:v>
      </x:c>
      <x:c r="C9601" s="9" t="n">
        <x:v>4</x:v>
      </x:c>
      <x:c r="D9601" s="8" t="n">
        <x:v>45674</x:v>
      </x:c>
      <x:c r="E9601" s="9" t="n">
        <x:v>3100000</x:v>
      </x:c>
      <x:c r="F9601" s="9" t="n">
        <x:v>0</x:v>
      </x:c>
    </x:row>
    <x:row r="9602" ht="34" customHeight="1">
      <x:c r="A9602" s="4" t="str">
        <x:v>RS-04755-I1</x:v>
      </x:c>
      <x:c r="B9602" s="4" t="str">
        <x:v>RS-04755</x:v>
      </x:c>
      <x:c r="C9602" s="9" t="n">
        <x:v>1</x:v>
      </x:c>
      <x:c r="D9602" s="8" t="n">
        <x:v>45588</x:v>
      </x:c>
      <x:c r="E9602" s="9" t="n">
        <x:v>880000</x:v>
      </x:c>
      <x:c r="F9602" s="9" t="n">
        <x:v>880000</x:v>
      </x:c>
    </x:row>
    <x:row r="9603" ht="34" customHeight="1">
      <x:c r="A9603" s="4" t="str">
        <x:v>RS-04755-I2</x:v>
      </x:c>
      <x:c r="B9603" s="4" t="str">
        <x:v>RS-04755</x:v>
      </x:c>
      <x:c r="C9603" s="9" t="n">
        <x:v>2</x:v>
      </x:c>
      <x:c r="D9603" s="8" t="n">
        <x:v>45618</x:v>
      </x:c>
      <x:c r="E9603" s="9" t="n">
        <x:v>880000</x:v>
      </x:c>
      <x:c r="F9603" s="9" t="n">
        <x:v>880000</x:v>
      </x:c>
    </x:row>
    <x:row r="9604" ht="34" customHeight="1">
      <x:c r="A9604" s="4" t="str">
        <x:v>RS-04755-I3</x:v>
      </x:c>
      <x:c r="B9604" s="4" t="str">
        <x:v>RS-04755</x:v>
      </x:c>
      <x:c r="C9604" s="9" t="n">
        <x:v>3</x:v>
      </x:c>
      <x:c r="D9604" s="8" t="n">
        <x:v>45648</x:v>
      </x:c>
      <x:c r="E9604" s="9" t="n">
        <x:v>880000</x:v>
      </x:c>
      <x:c r="F9604" s="9" t="n">
        <x:v>0</x:v>
      </x:c>
    </x:row>
    <x:row r="9605" ht="34" customHeight="1">
      <x:c r="A9605" s="4" t="str">
        <x:v>RS-04755-I4</x:v>
      </x:c>
      <x:c r="B9605" s="4" t="str">
        <x:v>RS-04755</x:v>
      </x:c>
      <x:c r="C9605" s="9" t="n">
        <x:v>4</x:v>
      </x:c>
      <x:c r="D9605" s="8" t="n">
        <x:v>45678</x:v>
      </x:c>
      <x:c r="E9605" s="9" t="n">
        <x:v>880000</x:v>
      </x:c>
      <x:c r="F9605" s="9" t="n">
        <x:v>0</x:v>
      </x:c>
    </x:row>
    <x:row r="9606" ht="34" customHeight="1">
      <x:c r="A9606" s="4" t="str">
        <x:v>RS-04759-I1</x:v>
      </x:c>
      <x:c r="B9606" s="4" t="str">
        <x:v>RS-04759</x:v>
      </x:c>
      <x:c r="C9606" s="9" t="n">
        <x:v>1</x:v>
      </x:c>
      <x:c r="D9606" s="8" t="n">
        <x:v>45592</x:v>
      </x:c>
      <x:c r="E9606" s="9" t="n">
        <x:v>864500</x:v>
      </x:c>
      <x:c r="F9606" s="9" t="n">
        <x:v>864500</x:v>
      </x:c>
    </x:row>
    <x:row r="9607" ht="34" customHeight="1">
      <x:c r="A9607" s="4" t="str">
        <x:v>RS-04759-I2</x:v>
      </x:c>
      <x:c r="B9607" s="4" t="str">
        <x:v>RS-04759</x:v>
      </x:c>
      <x:c r="C9607" s="9" t="n">
        <x:v>2</x:v>
      </x:c>
      <x:c r="D9607" s="8" t="n">
        <x:v>45622</x:v>
      </x:c>
      <x:c r="E9607" s="9" t="n">
        <x:v>864500</x:v>
      </x:c>
      <x:c r="F9607" s="9" t="n">
        <x:v>864500</x:v>
      </x:c>
    </x:row>
    <x:row r="9608" ht="34" customHeight="1">
      <x:c r="A9608" s="4" t="str">
        <x:v>RS-04759-I3</x:v>
      </x:c>
      <x:c r="B9608" s="4" t="str">
        <x:v>RS-04759</x:v>
      </x:c>
      <x:c r="C9608" s="9" t="n">
        <x:v>3</x:v>
      </x:c>
      <x:c r="D9608" s="8" t="n">
        <x:v>45652</x:v>
      </x:c>
      <x:c r="E9608" s="9" t="n">
        <x:v>864500</x:v>
      </x:c>
      <x:c r="F9608" s="9" t="n">
        <x:v>0</x:v>
      </x:c>
    </x:row>
    <x:row r="9609" ht="34" customHeight="1">
      <x:c r="A9609" s="4" t="str">
        <x:v>RS-04759-I4</x:v>
      </x:c>
      <x:c r="B9609" s="4" t="str">
        <x:v>RS-04759</x:v>
      </x:c>
      <x:c r="C9609" s="9" t="n">
        <x:v>4</x:v>
      </x:c>
      <x:c r="D9609" s="8" t="n">
        <x:v>45682</x:v>
      </x:c>
      <x:c r="E9609" s="9" t="n">
        <x:v>864500</x:v>
      </x:c>
      <x:c r="F9609" s="9" t="n">
        <x:v>0</x:v>
      </x:c>
    </x:row>
    <x:row r="9610" ht="34" customHeight="1">
      <x:c r="A9610" s="4" t="str">
        <x:v>RS-04760-I1</x:v>
      </x:c>
      <x:c r="B9610" s="4" t="str">
        <x:v>RS-04760</x:v>
      </x:c>
      <x:c r="C9610" s="9" t="n">
        <x:v>1</x:v>
      </x:c>
      <x:c r="D9610" s="8" t="n">
        <x:v>45593</x:v>
      </x:c>
      <x:c r="E9610" s="9" t="n">
        <x:v>2001000</x:v>
      </x:c>
      <x:c r="F9610" s="9" t="n">
        <x:v>2001000</x:v>
      </x:c>
    </x:row>
    <x:row r="9611" ht="34" customHeight="1">
      <x:c r="A9611" s="4" t="str">
        <x:v>RS-04760-I2</x:v>
      </x:c>
      <x:c r="B9611" s="4" t="str">
        <x:v>RS-04760</x:v>
      </x:c>
      <x:c r="C9611" s="9" t="n">
        <x:v>2</x:v>
      </x:c>
      <x:c r="D9611" s="8" t="n">
        <x:v>45623</x:v>
      </x:c>
      <x:c r="E9611" s="9" t="n">
        <x:v>2001000</x:v>
      </x:c>
      <x:c r="F9611" s="9" t="n">
        <x:v>0</x:v>
      </x:c>
    </x:row>
    <x:row r="9612" ht="34" customHeight="1">
      <x:c r="A9612" s="4" t="str">
        <x:v>RS-04760-I3</x:v>
      </x:c>
      <x:c r="B9612" s="4" t="str">
        <x:v>RS-04760</x:v>
      </x:c>
      <x:c r="C9612" s="9" t="n">
        <x:v>3</x:v>
      </x:c>
      <x:c r="D9612" s="8" t="n">
        <x:v>45653</x:v>
      </x:c>
      <x:c r="E9612" s="9" t="n">
        <x:v>2001000</x:v>
      </x:c>
      <x:c r="F9612" s="9" t="n">
        <x:v>0</x:v>
      </x:c>
    </x:row>
    <x:row r="9613" ht="34" customHeight="1">
      <x:c r="A9613" s="4" t="str">
        <x:v>RS-04760-I4</x:v>
      </x:c>
      <x:c r="B9613" s="4" t="str">
        <x:v>RS-04760</x:v>
      </x:c>
      <x:c r="C9613" s="9" t="n">
        <x:v>4</x:v>
      </x:c>
      <x:c r="D9613" s="8" t="n">
        <x:v>45683</x:v>
      </x:c>
      <x:c r="E9613" s="9" t="n">
        <x:v>2001000</x:v>
      </x:c>
      <x:c r="F9613" s="9" t="n">
        <x:v>0</x:v>
      </x:c>
    </x:row>
    <x:row r="9614" ht="34" customHeight="1">
      <x:c r="A9614" s="4" t="str">
        <x:v>RS-04763-I1</x:v>
      </x:c>
      <x:c r="B9614" s="4" t="str">
        <x:v>RS-04763</x:v>
      </x:c>
      <x:c r="C9614" s="9" t="n">
        <x:v>1</x:v>
      </x:c>
      <x:c r="D9614" s="8" t="n">
        <x:v>45568</x:v>
      </x:c>
      <x:c r="E9614" s="9" t="n">
        <x:v>6039000</x:v>
      </x:c>
      <x:c r="F9614" s="9" t="n">
        <x:v>2415600</x:v>
      </x:c>
    </x:row>
    <x:row r="9615" ht="34" customHeight="1">
      <x:c r="A9615" s="4" t="str">
        <x:v>RS-04763-I2</x:v>
      </x:c>
      <x:c r="B9615" s="4" t="str">
        <x:v>RS-04763</x:v>
      </x:c>
      <x:c r="C9615" s="9" t="n">
        <x:v>2</x:v>
      </x:c>
      <x:c r="D9615" s="8" t="n">
        <x:v>45598</x:v>
      </x:c>
      <x:c r="E9615" s="9" t="n">
        <x:v>6039000</x:v>
      </x:c>
      <x:c r="F9615" s="9" t="n">
        <x:v>0</x:v>
      </x:c>
    </x:row>
    <x:row r="9616" ht="34" customHeight="1">
      <x:c r="A9616" s="4" t="str">
        <x:v>RS-04763-I3</x:v>
      </x:c>
      <x:c r="B9616" s="4" t="str">
        <x:v>RS-04763</x:v>
      </x:c>
      <x:c r="C9616" s="9" t="n">
        <x:v>3</x:v>
      </x:c>
      <x:c r="D9616" s="8" t="n">
        <x:v>45628</x:v>
      </x:c>
      <x:c r="E9616" s="9" t="n">
        <x:v>6039000</x:v>
      </x:c>
      <x:c r="F9616" s="9" t="n">
        <x:v>0</x:v>
      </x:c>
    </x:row>
    <x:row r="9617" ht="34" customHeight="1">
      <x:c r="A9617" s="4" t="str">
        <x:v>RS-04763-I4</x:v>
      </x:c>
      <x:c r="B9617" s="4" t="str">
        <x:v>RS-04763</x:v>
      </x:c>
      <x:c r="C9617" s="9" t="n">
        <x:v>4</x:v>
      </x:c>
      <x:c r="D9617" s="8" t="n">
        <x:v>45658</x:v>
      </x:c>
      <x:c r="E9617" s="9" t="n">
        <x:v>6039000</x:v>
      </x:c>
      <x:c r="F9617" s="9" t="n">
        <x:v>0</x:v>
      </x:c>
    </x:row>
    <x:row r="9618" ht="34" customHeight="1">
      <x:c r="A9618" s="4" t="str">
        <x:v>RS-04766-I1</x:v>
      </x:c>
      <x:c r="B9618" s="4" t="str">
        <x:v>RS-04766</x:v>
      </x:c>
      <x:c r="C9618" s="9" t="n">
        <x:v>1</x:v>
      </x:c>
      <x:c r="D9618" s="8" t="n">
        <x:v>45571</x:v>
      </x:c>
      <x:c r="E9618" s="9" t="n">
        <x:v>2616000</x:v>
      </x:c>
      <x:c r="F9618" s="9" t="n">
        <x:v>2616000</x:v>
      </x:c>
    </x:row>
    <x:row r="9619" ht="34" customHeight="1">
      <x:c r="A9619" s="4" t="str">
        <x:v>RS-04766-I2</x:v>
      </x:c>
      <x:c r="B9619" s="4" t="str">
        <x:v>RS-04766</x:v>
      </x:c>
      <x:c r="C9619" s="9" t="n">
        <x:v>2</x:v>
      </x:c>
      <x:c r="D9619" s="8" t="n">
        <x:v>45601</x:v>
      </x:c>
      <x:c r="E9619" s="9" t="n">
        <x:v>2616000</x:v>
      </x:c>
      <x:c r="F9619" s="9" t="n">
        <x:v>2616000</x:v>
      </x:c>
    </x:row>
    <x:row r="9620" ht="34" customHeight="1">
      <x:c r="A9620" s="4" t="str">
        <x:v>RS-04766-I3</x:v>
      </x:c>
      <x:c r="B9620" s="4" t="str">
        <x:v>RS-04766</x:v>
      </x:c>
      <x:c r="C9620" s="9" t="n">
        <x:v>3</x:v>
      </x:c>
      <x:c r="D9620" s="8" t="n">
        <x:v>45631</x:v>
      </x:c>
      <x:c r="E9620" s="9" t="n">
        <x:v>2616000</x:v>
      </x:c>
      <x:c r="F9620" s="9" t="n">
        <x:v>2616000</x:v>
      </x:c>
    </x:row>
    <x:row r="9621" ht="34" customHeight="1">
      <x:c r="A9621" s="4" t="str">
        <x:v>RS-04766-I4</x:v>
      </x:c>
      <x:c r="B9621" s="4" t="str">
        <x:v>RS-04766</x:v>
      </x:c>
      <x:c r="C9621" s="9" t="n">
        <x:v>4</x:v>
      </x:c>
      <x:c r="D9621" s="8" t="n">
        <x:v>45661</x:v>
      </x:c>
      <x:c r="E9621" s="9" t="n">
        <x:v>2616000</x:v>
      </x:c>
      <x:c r="F9621" s="9" t="n">
        <x:v>2616000</x:v>
      </x:c>
    </x:row>
    <x:row r="9622" ht="34" customHeight="1">
      <x:c r="A9622" s="4" t="str">
        <x:v>RS-04767-I1</x:v>
      </x:c>
      <x:c r="B9622" s="4" t="str">
        <x:v>RS-04767</x:v>
      </x:c>
      <x:c r="C9622" s="9" t="n">
        <x:v>1</x:v>
      </x:c>
      <x:c r="D9622" s="8" t="n">
        <x:v>45572</x:v>
      </x:c>
      <x:c r="E9622" s="9" t="n">
        <x:v>1386000</x:v>
      </x:c>
      <x:c r="F9622" s="9" t="n">
        <x:v>554400</x:v>
      </x:c>
    </x:row>
    <x:row r="9623" ht="34" customHeight="1">
      <x:c r="A9623" s="4" t="str">
        <x:v>RS-04767-I2</x:v>
      </x:c>
      <x:c r="B9623" s="4" t="str">
        <x:v>RS-04767</x:v>
      </x:c>
      <x:c r="C9623" s="9" t="n">
        <x:v>2</x:v>
      </x:c>
      <x:c r="D9623" s="8" t="n">
        <x:v>45602</x:v>
      </x:c>
      <x:c r="E9623" s="9" t="n">
        <x:v>1386000</x:v>
      </x:c>
      <x:c r="F9623" s="9" t="n">
        <x:v>0</x:v>
      </x:c>
    </x:row>
    <x:row r="9624" ht="34" customHeight="1">
      <x:c r="A9624" s="4" t="str">
        <x:v>RS-04767-I3</x:v>
      </x:c>
      <x:c r="B9624" s="4" t="str">
        <x:v>RS-04767</x:v>
      </x:c>
      <x:c r="C9624" s="9" t="n">
        <x:v>3</x:v>
      </x:c>
      <x:c r="D9624" s="8" t="n">
        <x:v>45632</x:v>
      </x:c>
      <x:c r="E9624" s="9" t="n">
        <x:v>1386000</x:v>
      </x:c>
      <x:c r="F9624" s="9" t="n">
        <x:v>0</x:v>
      </x:c>
    </x:row>
    <x:row r="9625" ht="34" customHeight="1">
      <x:c r="A9625" s="4" t="str">
        <x:v>RS-04767-I4</x:v>
      </x:c>
      <x:c r="B9625" s="4" t="str">
        <x:v>RS-04767</x:v>
      </x:c>
      <x:c r="C9625" s="9" t="n">
        <x:v>4</x:v>
      </x:c>
      <x:c r="D9625" s="8" t="n">
        <x:v>45662</x:v>
      </x:c>
      <x:c r="E9625" s="9" t="n">
        <x:v>1386000</x:v>
      </x:c>
      <x:c r="F9625" s="9" t="n">
        <x:v>0</x:v>
      </x:c>
    </x:row>
    <x:row r="9626" ht="34" customHeight="1">
      <x:c r="A9626" s="4" t="str">
        <x:v>RS-04768-I1</x:v>
      </x:c>
      <x:c r="B9626" s="4" t="str">
        <x:v>RS-04768</x:v>
      </x:c>
      <x:c r="C9626" s="9" t="n">
        <x:v>1</x:v>
      </x:c>
      <x:c r="D9626" s="8" t="n">
        <x:v>45573</x:v>
      </x:c>
      <x:c r="E9626" s="9" t="n">
        <x:v>3671250</x:v>
      </x:c>
      <x:c r="F9626" s="9" t="n">
        <x:v>1468500</x:v>
      </x:c>
    </x:row>
    <x:row r="9627" ht="34" customHeight="1">
      <x:c r="A9627" s="4" t="str">
        <x:v>RS-04768-I2</x:v>
      </x:c>
      <x:c r="B9627" s="4" t="str">
        <x:v>RS-04768</x:v>
      </x:c>
      <x:c r="C9627" s="9" t="n">
        <x:v>2</x:v>
      </x:c>
      <x:c r="D9627" s="8" t="n">
        <x:v>45603</x:v>
      </x:c>
      <x:c r="E9627" s="9" t="n">
        <x:v>3671250</x:v>
      </x:c>
      <x:c r="F9627" s="9" t="n">
        <x:v>0</x:v>
      </x:c>
    </x:row>
    <x:row r="9628" ht="34" customHeight="1">
      <x:c r="A9628" s="4" t="str">
        <x:v>RS-04768-I3</x:v>
      </x:c>
      <x:c r="B9628" s="4" t="str">
        <x:v>RS-04768</x:v>
      </x:c>
      <x:c r="C9628" s="9" t="n">
        <x:v>3</x:v>
      </x:c>
      <x:c r="D9628" s="8" t="n">
        <x:v>45633</x:v>
      </x:c>
      <x:c r="E9628" s="9" t="n">
        <x:v>3671250</x:v>
      </x:c>
      <x:c r="F9628" s="9" t="n">
        <x:v>0</x:v>
      </x:c>
    </x:row>
    <x:row r="9629" ht="34" customHeight="1">
      <x:c r="A9629" s="4" t="str">
        <x:v>RS-04768-I4</x:v>
      </x:c>
      <x:c r="B9629" s="4" t="str">
        <x:v>RS-04768</x:v>
      </x:c>
      <x:c r="C9629" s="9" t="n">
        <x:v>4</x:v>
      </x:c>
      <x:c r="D9629" s="8" t="n">
        <x:v>45663</x:v>
      </x:c>
      <x:c r="E9629" s="9" t="n">
        <x:v>3671250</x:v>
      </x:c>
      <x:c r="F9629" s="9" t="n">
        <x:v>0</x:v>
      </x:c>
    </x:row>
    <x:row r="9630" ht="34" customHeight="1">
      <x:c r="A9630" s="4" t="str">
        <x:v>RS-04769-I1</x:v>
      </x:c>
      <x:c r="B9630" s="4" t="str">
        <x:v>RS-04769</x:v>
      </x:c>
      <x:c r="C9630" s="9" t="n">
        <x:v>1</x:v>
      </x:c>
      <x:c r="D9630" s="8" t="n">
        <x:v>45574</x:v>
      </x:c>
      <x:c r="E9630" s="9" t="n">
        <x:v>4906000</x:v>
      </x:c>
      <x:c r="F9630" s="9" t="n">
        <x:v>4906000</x:v>
      </x:c>
    </x:row>
    <x:row r="9631" ht="34" customHeight="1">
      <x:c r="A9631" s="4" t="str">
        <x:v>RS-04769-I2</x:v>
      </x:c>
      <x:c r="B9631" s="4" t="str">
        <x:v>RS-04769</x:v>
      </x:c>
      <x:c r="C9631" s="9" t="n">
        <x:v>2</x:v>
      </x:c>
      <x:c r="D9631" s="8" t="n">
        <x:v>45604</x:v>
      </x:c>
      <x:c r="E9631" s="9" t="n">
        <x:v>4906000</x:v>
      </x:c>
      <x:c r="F9631" s="9" t="n">
        <x:v>4906000</x:v>
      </x:c>
    </x:row>
    <x:row r="9632" ht="34" customHeight="1">
      <x:c r="A9632" s="4" t="str">
        <x:v>RS-04769-I3</x:v>
      </x:c>
      <x:c r="B9632" s="4" t="str">
        <x:v>RS-04769</x:v>
      </x:c>
      <x:c r="C9632" s="9" t="n">
        <x:v>3</x:v>
      </x:c>
      <x:c r="D9632" s="8" t="n">
        <x:v>45634</x:v>
      </x:c>
      <x:c r="E9632" s="9" t="n">
        <x:v>4906000</x:v>
      </x:c>
      <x:c r="F9632" s="9" t="n">
        <x:v>4906000</x:v>
      </x:c>
    </x:row>
    <x:row r="9633" ht="34" customHeight="1">
      <x:c r="A9633" s="4" t="str">
        <x:v>RS-04769-I4</x:v>
      </x:c>
      <x:c r="B9633" s="4" t="str">
        <x:v>RS-04769</x:v>
      </x:c>
      <x:c r="C9633" s="9" t="n">
        <x:v>4</x:v>
      </x:c>
      <x:c r="D9633" s="8" t="n">
        <x:v>45664</x:v>
      </x:c>
      <x:c r="E9633" s="9" t="n">
        <x:v>4906000</x:v>
      </x:c>
      <x:c r="F9633" s="9" t="n">
        <x:v>4906000</x:v>
      </x:c>
    </x:row>
    <x:row r="9634" ht="34" customHeight="1">
      <x:c r="A9634" s="4" t="str">
        <x:v>RS-04771-I1</x:v>
      </x:c>
      <x:c r="B9634" s="4" t="str">
        <x:v>RS-04771</x:v>
      </x:c>
      <x:c r="C9634" s="9" t="n">
        <x:v>1</x:v>
      </x:c>
      <x:c r="D9634" s="8" t="n">
        <x:v>45576</x:v>
      </x:c>
      <x:c r="E9634" s="9" t="n">
        <x:v>3209500</x:v>
      </x:c>
      <x:c r="F9634" s="9" t="n">
        <x:v>3209500</x:v>
      </x:c>
    </x:row>
    <x:row r="9635" ht="34" customHeight="1">
      <x:c r="A9635" s="4" t="str">
        <x:v>RS-04771-I2</x:v>
      </x:c>
      <x:c r="B9635" s="4" t="str">
        <x:v>RS-04771</x:v>
      </x:c>
      <x:c r="C9635" s="9" t="n">
        <x:v>2</x:v>
      </x:c>
      <x:c r="D9635" s="8" t="n">
        <x:v>45606</x:v>
      </x:c>
      <x:c r="E9635" s="9" t="n">
        <x:v>3209500</x:v>
      </x:c>
      <x:c r="F9635" s="9" t="n">
        <x:v>3209500</x:v>
      </x:c>
    </x:row>
    <x:row r="9636" ht="34" customHeight="1">
      <x:c r="A9636" s="4" t="str">
        <x:v>RS-04771-I3</x:v>
      </x:c>
      <x:c r="B9636" s="4" t="str">
        <x:v>RS-04771</x:v>
      </x:c>
      <x:c r="C9636" s="9" t="n">
        <x:v>3</x:v>
      </x:c>
      <x:c r="D9636" s="8" t="n">
        <x:v>45636</x:v>
      </x:c>
      <x:c r="E9636" s="9" t="n">
        <x:v>3209500</x:v>
      </x:c>
      <x:c r="F9636" s="9" t="n">
        <x:v>0</x:v>
      </x:c>
    </x:row>
    <x:row r="9637" ht="34" customHeight="1">
      <x:c r="A9637" s="4" t="str">
        <x:v>RS-04771-I4</x:v>
      </x:c>
      <x:c r="B9637" s="4" t="str">
        <x:v>RS-04771</x:v>
      </x:c>
      <x:c r="C9637" s="9" t="n">
        <x:v>4</x:v>
      </x:c>
      <x:c r="D9637" s="8" t="n">
        <x:v>45666</x:v>
      </x:c>
      <x:c r="E9637" s="9" t="n">
        <x:v>3209500</x:v>
      </x:c>
      <x:c r="F9637" s="9" t="n">
        <x:v>0</x:v>
      </x:c>
    </x:row>
    <x:row r="9638" ht="34" customHeight="1">
      <x:c r="A9638" s="4" t="str">
        <x:v>RS-04774-I1</x:v>
      </x:c>
      <x:c r="B9638" s="4" t="str">
        <x:v>RS-04774</x:v>
      </x:c>
      <x:c r="C9638" s="9" t="n">
        <x:v>1</x:v>
      </x:c>
      <x:c r="D9638" s="8" t="n">
        <x:v>45579</x:v>
      </x:c>
      <x:c r="E9638" s="9" t="n">
        <x:v>1650750</x:v>
      </x:c>
      <x:c r="F9638" s="9" t="n">
        <x:v>1650750</x:v>
      </x:c>
    </x:row>
    <x:row r="9639" ht="34" customHeight="1">
      <x:c r="A9639" s="4" t="str">
        <x:v>RS-04774-I2</x:v>
      </x:c>
      <x:c r="B9639" s="4" t="str">
        <x:v>RS-04774</x:v>
      </x:c>
      <x:c r="C9639" s="9" t="n">
        <x:v>2</x:v>
      </x:c>
      <x:c r="D9639" s="8" t="n">
        <x:v>45609</x:v>
      </x:c>
      <x:c r="E9639" s="9" t="n">
        <x:v>1650750</x:v>
      </x:c>
      <x:c r="F9639" s="9" t="n">
        <x:v>1650750</x:v>
      </x:c>
    </x:row>
    <x:row r="9640" ht="34" customHeight="1">
      <x:c r="A9640" s="4" t="str">
        <x:v>RS-04774-I3</x:v>
      </x:c>
      <x:c r="B9640" s="4" t="str">
        <x:v>RS-04774</x:v>
      </x:c>
      <x:c r="C9640" s="9" t="n">
        <x:v>3</x:v>
      </x:c>
      <x:c r="D9640" s="8" t="n">
        <x:v>45639</x:v>
      </x:c>
      <x:c r="E9640" s="9" t="n">
        <x:v>1650750</x:v>
      </x:c>
      <x:c r="F9640" s="9" t="n">
        <x:v>0</x:v>
      </x:c>
    </x:row>
    <x:row r="9641" ht="34" customHeight="1">
      <x:c r="A9641" s="4" t="str">
        <x:v>RS-04774-I4</x:v>
      </x:c>
      <x:c r="B9641" s="4" t="str">
        <x:v>RS-04774</x:v>
      </x:c>
      <x:c r="C9641" s="9" t="n">
        <x:v>4</x:v>
      </x:c>
      <x:c r="D9641" s="8" t="n">
        <x:v>45669</x:v>
      </x:c>
      <x:c r="E9641" s="9" t="n">
        <x:v>1650750</x:v>
      </x:c>
      <x:c r="F9641" s="9" t="n">
        <x:v>0</x:v>
      </x:c>
    </x:row>
    <x:row r="9642" ht="34" customHeight="1">
      <x:c r="A9642" s="4" t="str">
        <x:v>RS-04776-I1</x:v>
      </x:c>
      <x:c r="B9642" s="4" t="str">
        <x:v>RS-04776</x:v>
      </x:c>
      <x:c r="C9642" s="9" t="n">
        <x:v>1</x:v>
      </x:c>
      <x:c r="D9642" s="8" t="n">
        <x:v>45581</x:v>
      </x:c>
      <x:c r="E9642" s="9" t="n">
        <x:v>5272500</x:v>
      </x:c>
      <x:c r="F9642" s="9" t="n">
        <x:v>5272500</x:v>
      </x:c>
    </x:row>
    <x:row r="9643" ht="34" customHeight="1">
      <x:c r="A9643" s="4" t="str">
        <x:v>RS-04776-I2</x:v>
      </x:c>
      <x:c r="B9643" s="4" t="str">
        <x:v>RS-04776</x:v>
      </x:c>
      <x:c r="C9643" s="9" t="n">
        <x:v>2</x:v>
      </x:c>
      <x:c r="D9643" s="8" t="n">
        <x:v>45611</x:v>
      </x:c>
      <x:c r="E9643" s="9" t="n">
        <x:v>5272500</x:v>
      </x:c>
      <x:c r="F9643" s="9" t="n">
        <x:v>5272500</x:v>
      </x:c>
    </x:row>
    <x:row r="9644" ht="34" customHeight="1">
      <x:c r="A9644" s="4" t="str">
        <x:v>RS-04776-I3</x:v>
      </x:c>
      <x:c r="B9644" s="4" t="str">
        <x:v>RS-04776</x:v>
      </x:c>
      <x:c r="C9644" s="9" t="n">
        <x:v>3</x:v>
      </x:c>
      <x:c r="D9644" s="8" t="n">
        <x:v>45641</x:v>
      </x:c>
      <x:c r="E9644" s="9" t="n">
        <x:v>5272500</x:v>
      </x:c>
      <x:c r="F9644" s="9" t="n">
        <x:v>0</x:v>
      </x:c>
    </x:row>
    <x:row r="9645" ht="34" customHeight="1">
      <x:c r="A9645" s="4" t="str">
        <x:v>RS-04776-I4</x:v>
      </x:c>
      <x:c r="B9645" s="4" t="str">
        <x:v>RS-04776</x:v>
      </x:c>
      <x:c r="C9645" s="9" t="n">
        <x:v>4</x:v>
      </x:c>
      <x:c r="D9645" s="8" t="n">
        <x:v>45671</x:v>
      </x:c>
      <x:c r="E9645" s="9" t="n">
        <x:v>5272500</x:v>
      </x:c>
      <x:c r="F9645" s="9" t="n">
        <x:v>0</x:v>
      </x:c>
    </x:row>
    <x:row r="9646" ht="34" customHeight="1">
      <x:c r="A9646" s="4" t="str">
        <x:v>RS-04777-I1</x:v>
      </x:c>
      <x:c r="B9646" s="4" t="str">
        <x:v>RS-04777</x:v>
      </x:c>
      <x:c r="C9646" s="9" t="n">
        <x:v>1</x:v>
      </x:c>
      <x:c r="D9646" s="8" t="n">
        <x:v>45582</x:v>
      </x:c>
      <x:c r="E9646" s="9" t="n">
        <x:v>2474500</x:v>
      </x:c>
      <x:c r="F9646" s="9" t="n">
        <x:v>2474500</x:v>
      </x:c>
    </x:row>
    <x:row r="9647" ht="34" customHeight="1">
      <x:c r="A9647" s="4" t="str">
        <x:v>RS-04777-I2</x:v>
      </x:c>
      <x:c r="B9647" s="4" t="str">
        <x:v>RS-04777</x:v>
      </x:c>
      <x:c r="C9647" s="9" t="n">
        <x:v>2</x:v>
      </x:c>
      <x:c r="D9647" s="8" t="n">
        <x:v>45612</x:v>
      </x:c>
      <x:c r="E9647" s="9" t="n">
        <x:v>2474500</x:v>
      </x:c>
      <x:c r="F9647" s="9" t="n">
        <x:v>2474500</x:v>
      </x:c>
    </x:row>
    <x:row r="9648" ht="34" customHeight="1">
      <x:c r="A9648" s="4" t="str">
        <x:v>RS-04777-I3</x:v>
      </x:c>
      <x:c r="B9648" s="4" t="str">
        <x:v>RS-04777</x:v>
      </x:c>
      <x:c r="C9648" s="9" t="n">
        <x:v>3</x:v>
      </x:c>
      <x:c r="D9648" s="8" t="n">
        <x:v>45642</x:v>
      </x:c>
      <x:c r="E9648" s="9" t="n">
        <x:v>2474500</x:v>
      </x:c>
      <x:c r="F9648" s="9" t="n">
        <x:v>0</x:v>
      </x:c>
    </x:row>
    <x:row r="9649" ht="34" customHeight="1">
      <x:c r="A9649" s="4" t="str">
        <x:v>RS-04777-I4</x:v>
      </x:c>
      <x:c r="B9649" s="4" t="str">
        <x:v>RS-04777</x:v>
      </x:c>
      <x:c r="C9649" s="9" t="n">
        <x:v>4</x:v>
      </x:c>
      <x:c r="D9649" s="8" t="n">
        <x:v>45672</x:v>
      </x:c>
      <x:c r="E9649" s="9" t="n">
        <x:v>2474500</x:v>
      </x:c>
      <x:c r="F9649" s="9" t="n">
        <x:v>0</x:v>
      </x:c>
    </x:row>
    <x:row r="9650" ht="34" customHeight="1">
      <x:c r="A9650" s="4" t="str">
        <x:v>RS-04778-I1</x:v>
      </x:c>
      <x:c r="B9650" s="4" t="str">
        <x:v>RS-04778</x:v>
      </x:c>
      <x:c r="C9650" s="9" t="n">
        <x:v>1</x:v>
      </x:c>
      <x:c r="D9650" s="8" t="n">
        <x:v>45583</x:v>
      </x:c>
      <x:c r="E9650" s="9" t="n">
        <x:v>1825000</x:v>
      </x:c>
      <x:c r="F9650" s="9" t="n">
        <x:v>1825000</x:v>
      </x:c>
    </x:row>
    <x:row r="9651" ht="34" customHeight="1">
      <x:c r="A9651" s="4" t="str">
        <x:v>RS-04778-I2</x:v>
      </x:c>
      <x:c r="B9651" s="4" t="str">
        <x:v>RS-04778</x:v>
      </x:c>
      <x:c r="C9651" s="9" t="n">
        <x:v>2</x:v>
      </x:c>
      <x:c r="D9651" s="8" t="n">
        <x:v>45613</x:v>
      </x:c>
      <x:c r="E9651" s="9" t="n">
        <x:v>1825000</x:v>
      </x:c>
      <x:c r="F9651" s="9" t="n">
        <x:v>1825000</x:v>
      </x:c>
    </x:row>
    <x:row r="9652" ht="34" customHeight="1">
      <x:c r="A9652" s="4" t="str">
        <x:v>RS-04778-I3</x:v>
      </x:c>
      <x:c r="B9652" s="4" t="str">
        <x:v>RS-04778</x:v>
      </x:c>
      <x:c r="C9652" s="9" t="n">
        <x:v>3</x:v>
      </x:c>
      <x:c r="D9652" s="8" t="n">
        <x:v>45643</x:v>
      </x:c>
      <x:c r="E9652" s="9" t="n">
        <x:v>1825000</x:v>
      </x:c>
      <x:c r="F9652" s="9" t="n">
        <x:v>1825000</x:v>
      </x:c>
    </x:row>
    <x:row r="9653" ht="34" customHeight="1">
      <x:c r="A9653" s="4" t="str">
        <x:v>RS-04778-I4</x:v>
      </x:c>
      <x:c r="B9653" s="4" t="str">
        <x:v>RS-04778</x:v>
      </x:c>
      <x:c r="C9653" s="9" t="n">
        <x:v>4</x:v>
      </x:c>
      <x:c r="D9653" s="8" t="n">
        <x:v>45673</x:v>
      </x:c>
      <x:c r="E9653" s="9" t="n">
        <x:v>1825000</x:v>
      </x:c>
      <x:c r="F9653" s="9" t="n">
        <x:v>1825000</x:v>
      </x:c>
    </x:row>
    <x:row r="9654" ht="34" customHeight="1">
      <x:c r="A9654" s="4" t="str">
        <x:v>RS-04779-I1</x:v>
      </x:c>
      <x:c r="B9654" s="4" t="str">
        <x:v>RS-04779</x:v>
      </x:c>
      <x:c r="C9654" s="9" t="n">
        <x:v>1</x:v>
      </x:c>
      <x:c r="D9654" s="8" t="n">
        <x:v>45584</x:v>
      </x:c>
      <x:c r="E9654" s="9" t="n">
        <x:v>4663750</x:v>
      </x:c>
      <x:c r="F9654" s="9" t="n">
        <x:v>1865500</x:v>
      </x:c>
    </x:row>
    <x:row r="9655" ht="34" customHeight="1">
      <x:c r="A9655" s="4" t="str">
        <x:v>RS-04779-I2</x:v>
      </x:c>
      <x:c r="B9655" s="4" t="str">
        <x:v>RS-04779</x:v>
      </x:c>
      <x:c r="C9655" s="9" t="n">
        <x:v>2</x:v>
      </x:c>
      <x:c r="D9655" s="8" t="n">
        <x:v>45614</x:v>
      </x:c>
      <x:c r="E9655" s="9" t="n">
        <x:v>4663750</x:v>
      </x:c>
      <x:c r="F9655" s="9" t="n">
        <x:v>0</x:v>
      </x:c>
    </x:row>
    <x:row r="9656" ht="34" customHeight="1">
      <x:c r="A9656" s="4" t="str">
        <x:v>RS-04779-I3</x:v>
      </x:c>
      <x:c r="B9656" s="4" t="str">
        <x:v>RS-04779</x:v>
      </x:c>
      <x:c r="C9656" s="9" t="n">
        <x:v>3</x:v>
      </x:c>
      <x:c r="D9656" s="8" t="n">
        <x:v>45644</x:v>
      </x:c>
      <x:c r="E9656" s="9" t="n">
        <x:v>4663750</x:v>
      </x:c>
      <x:c r="F9656" s="9" t="n">
        <x:v>0</x:v>
      </x:c>
    </x:row>
    <x:row r="9657" ht="34" customHeight="1">
      <x:c r="A9657" s="4" t="str">
        <x:v>RS-04779-I4</x:v>
      </x:c>
      <x:c r="B9657" s="4" t="str">
        <x:v>RS-04779</x:v>
      </x:c>
      <x:c r="C9657" s="9" t="n">
        <x:v>4</x:v>
      </x:c>
      <x:c r="D9657" s="8" t="n">
        <x:v>45674</x:v>
      </x:c>
      <x:c r="E9657" s="9" t="n">
        <x:v>4663750</x:v>
      </x:c>
      <x:c r="F9657" s="9" t="n">
        <x:v>0</x:v>
      </x:c>
    </x:row>
    <x:row r="9658" ht="34" customHeight="1">
      <x:c r="A9658" s="4" t="str">
        <x:v>RS-04783-I1</x:v>
      </x:c>
      <x:c r="B9658" s="4" t="str">
        <x:v>RS-04783</x:v>
      </x:c>
      <x:c r="C9658" s="9" t="n">
        <x:v>1</x:v>
      </x:c>
      <x:c r="D9658" s="8" t="n">
        <x:v>45588</x:v>
      </x:c>
      <x:c r="E9658" s="9" t="n">
        <x:v>2778750</x:v>
      </x:c>
      <x:c r="F9658" s="9" t="n">
        <x:v>2778750</x:v>
      </x:c>
    </x:row>
    <x:row r="9659" ht="34" customHeight="1">
      <x:c r="A9659" s="4" t="str">
        <x:v>RS-04783-I2</x:v>
      </x:c>
      <x:c r="B9659" s="4" t="str">
        <x:v>RS-04783</x:v>
      </x:c>
      <x:c r="C9659" s="9" t="n">
        <x:v>2</x:v>
      </x:c>
      <x:c r="D9659" s="8" t="n">
        <x:v>45618</x:v>
      </x:c>
      <x:c r="E9659" s="9" t="n">
        <x:v>2778750</x:v>
      </x:c>
      <x:c r="F9659" s="9" t="n">
        <x:v>0</x:v>
      </x:c>
    </x:row>
    <x:row r="9660" ht="34" customHeight="1">
      <x:c r="A9660" s="4" t="str">
        <x:v>RS-04783-I3</x:v>
      </x:c>
      <x:c r="B9660" s="4" t="str">
        <x:v>RS-04783</x:v>
      </x:c>
      <x:c r="C9660" s="9" t="n">
        <x:v>3</x:v>
      </x:c>
      <x:c r="D9660" s="8" t="n">
        <x:v>45648</x:v>
      </x:c>
      <x:c r="E9660" s="9" t="n">
        <x:v>2778750</x:v>
      </x:c>
      <x:c r="F9660" s="9" t="n">
        <x:v>0</x:v>
      </x:c>
    </x:row>
    <x:row r="9661" ht="34" customHeight="1">
      <x:c r="A9661" s="4" t="str">
        <x:v>RS-04783-I4</x:v>
      </x:c>
      <x:c r="B9661" s="4" t="str">
        <x:v>RS-04783</x:v>
      </x:c>
      <x:c r="C9661" s="9" t="n">
        <x:v>4</x:v>
      </x:c>
      <x:c r="D9661" s="8" t="n">
        <x:v>45678</x:v>
      </x:c>
      <x:c r="E9661" s="9" t="n">
        <x:v>2778750</x:v>
      </x:c>
      <x:c r="F9661" s="9" t="n">
        <x:v>0</x:v>
      </x:c>
    </x:row>
    <x:row r="9662" ht="34" customHeight="1">
      <x:c r="A9662" s="4" t="str">
        <x:v>RS-04786-I1</x:v>
      </x:c>
      <x:c r="B9662" s="4" t="str">
        <x:v>RS-04786</x:v>
      </x:c>
      <x:c r="C9662" s="9" t="n">
        <x:v>1</x:v>
      </x:c>
      <x:c r="D9662" s="8" t="n">
        <x:v>45591</x:v>
      </x:c>
      <x:c r="E9662" s="9" t="n">
        <x:v>1012500</x:v>
      </x:c>
      <x:c r="F9662" s="9" t="n">
        <x:v>1012500</x:v>
      </x:c>
    </x:row>
    <x:row r="9663" ht="34" customHeight="1">
      <x:c r="A9663" s="4" t="str">
        <x:v>RS-04786-I2</x:v>
      </x:c>
      <x:c r="B9663" s="4" t="str">
        <x:v>RS-04786</x:v>
      </x:c>
      <x:c r="C9663" s="9" t="n">
        <x:v>2</x:v>
      </x:c>
      <x:c r="D9663" s="8" t="n">
        <x:v>45621</x:v>
      </x:c>
      <x:c r="E9663" s="9" t="n">
        <x:v>1012500</x:v>
      </x:c>
      <x:c r="F9663" s="9" t="n">
        <x:v>0</x:v>
      </x:c>
    </x:row>
    <x:row r="9664" ht="34" customHeight="1">
      <x:c r="A9664" s="4" t="str">
        <x:v>RS-04786-I3</x:v>
      </x:c>
      <x:c r="B9664" s="4" t="str">
        <x:v>RS-04786</x:v>
      </x:c>
      <x:c r="C9664" s="9" t="n">
        <x:v>3</x:v>
      </x:c>
      <x:c r="D9664" s="8" t="n">
        <x:v>45651</x:v>
      </x:c>
      <x:c r="E9664" s="9" t="n">
        <x:v>1012500</x:v>
      </x:c>
      <x:c r="F9664" s="9" t="n">
        <x:v>0</x:v>
      </x:c>
    </x:row>
    <x:row r="9665" ht="34" customHeight="1">
      <x:c r="A9665" s="4" t="str">
        <x:v>RS-04786-I4</x:v>
      </x:c>
      <x:c r="B9665" s="4" t="str">
        <x:v>RS-04786</x:v>
      </x:c>
      <x:c r="C9665" s="9" t="n">
        <x:v>4</x:v>
      </x:c>
      <x:c r="D9665" s="8" t="n">
        <x:v>45681</x:v>
      </x:c>
      <x:c r="E9665" s="9" t="n">
        <x:v>1012500</x:v>
      </x:c>
      <x:c r="F9665" s="9" t="n">
        <x:v>0</x:v>
      </x:c>
    </x:row>
    <x:row r="9666" ht="34" customHeight="1">
      <x:c r="A9666" s="4" t="str">
        <x:v>RS-04788-I1</x:v>
      </x:c>
      <x:c r="B9666" s="4" t="str">
        <x:v>RS-04788</x:v>
      </x:c>
      <x:c r="C9666" s="9" t="n">
        <x:v>1</x:v>
      </x:c>
      <x:c r="D9666" s="8" t="n">
        <x:v>45593</x:v>
      </x:c>
      <x:c r="E9666" s="9" t="n">
        <x:v>5358000</x:v>
      </x:c>
      <x:c r="F9666" s="9" t="n">
        <x:v>5358000</x:v>
      </x:c>
    </x:row>
    <x:row r="9667" ht="34" customHeight="1">
      <x:c r="A9667" s="4" t="str">
        <x:v>RS-04788-I2</x:v>
      </x:c>
      <x:c r="B9667" s="4" t="str">
        <x:v>RS-04788</x:v>
      </x:c>
      <x:c r="C9667" s="9" t="n">
        <x:v>2</x:v>
      </x:c>
      <x:c r="D9667" s="8" t="n">
        <x:v>45623</x:v>
      </x:c>
      <x:c r="E9667" s="9" t="n">
        <x:v>5358000</x:v>
      </x:c>
      <x:c r="F9667" s="9" t="n">
        <x:v>5358000</x:v>
      </x:c>
    </x:row>
    <x:row r="9668" ht="34" customHeight="1">
      <x:c r="A9668" s="4" t="str">
        <x:v>RS-04788-I3</x:v>
      </x:c>
      <x:c r="B9668" s="4" t="str">
        <x:v>RS-04788</x:v>
      </x:c>
      <x:c r="C9668" s="9" t="n">
        <x:v>3</x:v>
      </x:c>
      <x:c r="D9668" s="8" t="n">
        <x:v>45653</x:v>
      </x:c>
      <x:c r="E9668" s="9" t="n">
        <x:v>5358000</x:v>
      </x:c>
      <x:c r="F9668" s="9" t="n">
        <x:v>5358000</x:v>
      </x:c>
    </x:row>
    <x:row r="9669" ht="34" customHeight="1">
      <x:c r="A9669" s="4" t="str">
        <x:v>RS-04788-I4</x:v>
      </x:c>
      <x:c r="B9669" s="4" t="str">
        <x:v>RS-04788</x:v>
      </x:c>
      <x:c r="C9669" s="9" t="n">
        <x:v>4</x:v>
      </x:c>
      <x:c r="D9669" s="8" t="n">
        <x:v>45683</x:v>
      </x:c>
      <x:c r="E9669" s="9" t="n">
        <x:v>5358000</x:v>
      </x:c>
      <x:c r="F9669" s="9" t="n">
        <x:v>5358000</x:v>
      </x:c>
    </x:row>
    <x:row r="9670" ht="34" customHeight="1">
      <x:c r="A9670" s="4" t="str">
        <x:v>RS-04793-I1</x:v>
      </x:c>
      <x:c r="B9670" s="4" t="str">
        <x:v>RS-04793</x:v>
      </x:c>
      <x:c r="C9670" s="9" t="n">
        <x:v>1</x:v>
      </x:c>
      <x:c r="D9670" s="8" t="n">
        <x:v>45570</x:v>
      </x:c>
      <x:c r="E9670" s="9" t="n">
        <x:v>1513000</x:v>
      </x:c>
      <x:c r="F9670" s="9" t="n">
        <x:v>1513000</x:v>
      </x:c>
    </x:row>
    <x:row r="9671" ht="34" customHeight="1">
      <x:c r="A9671" s="4" t="str">
        <x:v>RS-04793-I2</x:v>
      </x:c>
      <x:c r="B9671" s="4" t="str">
        <x:v>RS-04793</x:v>
      </x:c>
      <x:c r="C9671" s="9" t="n">
        <x:v>2</x:v>
      </x:c>
      <x:c r="D9671" s="8" t="n">
        <x:v>45600</x:v>
      </x:c>
      <x:c r="E9671" s="9" t="n">
        <x:v>1513000</x:v>
      </x:c>
      <x:c r="F9671" s="9" t="n">
        <x:v>1513000</x:v>
      </x:c>
    </x:row>
    <x:row r="9672" ht="34" customHeight="1">
      <x:c r="A9672" s="4" t="str">
        <x:v>RS-04793-I3</x:v>
      </x:c>
      <x:c r="B9672" s="4" t="str">
        <x:v>RS-04793</x:v>
      </x:c>
      <x:c r="C9672" s="9" t="n">
        <x:v>3</x:v>
      </x:c>
      <x:c r="D9672" s="8" t="n">
        <x:v>45630</x:v>
      </x:c>
      <x:c r="E9672" s="9" t="n">
        <x:v>1513000</x:v>
      </x:c>
      <x:c r="F9672" s="9" t="n">
        <x:v>1513000</x:v>
      </x:c>
    </x:row>
    <x:row r="9673" ht="34" customHeight="1">
      <x:c r="A9673" s="4" t="str">
        <x:v>RS-04793-I4</x:v>
      </x:c>
      <x:c r="B9673" s="4" t="str">
        <x:v>RS-04793</x:v>
      </x:c>
      <x:c r="C9673" s="9" t="n">
        <x:v>4</x:v>
      </x:c>
      <x:c r="D9673" s="8" t="n">
        <x:v>45660</x:v>
      </x:c>
      <x:c r="E9673" s="9" t="n">
        <x:v>1513000</x:v>
      </x:c>
      <x:c r="F9673" s="9" t="n">
        <x:v>1513000</x:v>
      </x:c>
    </x:row>
    <x:row r="9674" ht="34" customHeight="1">
      <x:c r="A9674" s="4" t="str">
        <x:v>RS-04794-I1</x:v>
      </x:c>
      <x:c r="B9674" s="4" t="str">
        <x:v>RS-04794</x:v>
      </x:c>
      <x:c r="C9674" s="9" t="n">
        <x:v>1</x:v>
      </x:c>
      <x:c r="D9674" s="8" t="n">
        <x:v>45571</x:v>
      </x:c>
      <x:c r="E9674" s="9" t="n">
        <x:v>990000</x:v>
      </x:c>
      <x:c r="F9674" s="9" t="n">
        <x:v>396000</x:v>
      </x:c>
    </x:row>
    <x:row r="9675" ht="34" customHeight="1">
      <x:c r="A9675" s="4" t="str">
        <x:v>RS-04794-I2</x:v>
      </x:c>
      <x:c r="B9675" s="4" t="str">
        <x:v>RS-04794</x:v>
      </x:c>
      <x:c r="C9675" s="9" t="n">
        <x:v>2</x:v>
      </x:c>
      <x:c r="D9675" s="8" t="n">
        <x:v>45601</x:v>
      </x:c>
      <x:c r="E9675" s="9" t="n">
        <x:v>990000</x:v>
      </x:c>
      <x:c r="F9675" s="9" t="n">
        <x:v>0</x:v>
      </x:c>
    </x:row>
    <x:row r="9676" ht="34" customHeight="1">
      <x:c r="A9676" s="4" t="str">
        <x:v>RS-04794-I3</x:v>
      </x:c>
      <x:c r="B9676" s="4" t="str">
        <x:v>RS-04794</x:v>
      </x:c>
      <x:c r="C9676" s="9" t="n">
        <x:v>3</x:v>
      </x:c>
      <x:c r="D9676" s="8" t="n">
        <x:v>45631</x:v>
      </x:c>
      <x:c r="E9676" s="9" t="n">
        <x:v>990000</x:v>
      </x:c>
      <x:c r="F9676" s="9" t="n">
        <x:v>0</x:v>
      </x:c>
    </x:row>
    <x:row r="9677" ht="34" customHeight="1">
      <x:c r="A9677" s="4" t="str">
        <x:v>RS-04794-I4</x:v>
      </x:c>
      <x:c r="B9677" s="4" t="str">
        <x:v>RS-04794</x:v>
      </x:c>
      <x:c r="C9677" s="9" t="n">
        <x:v>4</x:v>
      </x:c>
      <x:c r="D9677" s="8" t="n">
        <x:v>45661</x:v>
      </x:c>
      <x:c r="E9677" s="9" t="n">
        <x:v>990000</x:v>
      </x:c>
      <x:c r="F9677" s="9" t="n">
        <x:v>0</x:v>
      </x:c>
    </x:row>
    <x:row r="9678" ht="34" customHeight="1">
      <x:c r="A9678" s="4" t="str">
        <x:v>RS-04795-I1</x:v>
      </x:c>
      <x:c r="B9678" s="4" t="str">
        <x:v>RS-04795</x:v>
      </x:c>
      <x:c r="C9678" s="9" t="n">
        <x:v>1</x:v>
      </x:c>
      <x:c r="D9678" s="8" t="n">
        <x:v>45572</x:v>
      </x:c>
      <x:c r="E9678" s="9" t="n">
        <x:v>3450000</x:v>
      </x:c>
      <x:c r="F9678" s="9" t="n">
        <x:v>3450000</x:v>
      </x:c>
    </x:row>
    <x:row r="9679" ht="34" customHeight="1">
      <x:c r="A9679" s="4" t="str">
        <x:v>RS-04795-I2</x:v>
      </x:c>
      <x:c r="B9679" s="4" t="str">
        <x:v>RS-04795</x:v>
      </x:c>
      <x:c r="C9679" s="9" t="n">
        <x:v>2</x:v>
      </x:c>
      <x:c r="D9679" s="8" t="n">
        <x:v>45602</x:v>
      </x:c>
      <x:c r="E9679" s="9" t="n">
        <x:v>3450000</x:v>
      </x:c>
      <x:c r="F9679" s="9" t="n">
        <x:v>0</x:v>
      </x:c>
    </x:row>
    <x:row r="9680" ht="34" customHeight="1">
      <x:c r="A9680" s="4" t="str">
        <x:v>RS-04795-I3</x:v>
      </x:c>
      <x:c r="B9680" s="4" t="str">
        <x:v>RS-04795</x:v>
      </x:c>
      <x:c r="C9680" s="9" t="n">
        <x:v>3</x:v>
      </x:c>
      <x:c r="D9680" s="8" t="n">
        <x:v>45632</x:v>
      </x:c>
      <x:c r="E9680" s="9" t="n">
        <x:v>3450000</x:v>
      </x:c>
      <x:c r="F9680" s="9" t="n">
        <x:v>0</x:v>
      </x:c>
    </x:row>
    <x:row r="9681" ht="34" customHeight="1">
      <x:c r="A9681" s="4" t="str">
        <x:v>RS-04795-I4</x:v>
      </x:c>
      <x:c r="B9681" s="4" t="str">
        <x:v>RS-04795</x:v>
      </x:c>
      <x:c r="C9681" s="9" t="n">
        <x:v>4</x:v>
      </x:c>
      <x:c r="D9681" s="8" t="n">
        <x:v>45662</x:v>
      </x:c>
      <x:c r="E9681" s="9" t="n">
        <x:v>3450000</x:v>
      </x:c>
      <x:c r="F9681" s="9" t="n">
        <x:v>0</x:v>
      </x:c>
    </x:row>
    <x:row r="9682" ht="34" customHeight="1">
      <x:c r="A9682" s="4" t="str">
        <x:v>RS-04796-I1</x:v>
      </x:c>
      <x:c r="B9682" s="4" t="str">
        <x:v>RS-04796</x:v>
      </x:c>
      <x:c r="C9682" s="9" t="n">
        <x:v>1</x:v>
      </x:c>
      <x:c r="D9682" s="8" t="n">
        <x:v>45573</x:v>
      </x:c>
      <x:c r="E9682" s="9" t="n">
        <x:v>2314000</x:v>
      </x:c>
      <x:c r="F9682" s="9" t="n">
        <x:v>2314000</x:v>
      </x:c>
    </x:row>
    <x:row r="9683" ht="34" customHeight="1">
      <x:c r="A9683" s="4" t="str">
        <x:v>RS-04796-I2</x:v>
      </x:c>
      <x:c r="B9683" s="4" t="str">
        <x:v>RS-04796</x:v>
      </x:c>
      <x:c r="C9683" s="9" t="n">
        <x:v>2</x:v>
      </x:c>
      <x:c r="D9683" s="8" t="n">
        <x:v>45603</x:v>
      </x:c>
      <x:c r="E9683" s="9" t="n">
        <x:v>2314000</x:v>
      </x:c>
      <x:c r="F9683" s="9" t="n">
        <x:v>0</x:v>
      </x:c>
    </x:row>
    <x:row r="9684" ht="34" customHeight="1">
      <x:c r="A9684" s="4" t="str">
        <x:v>RS-04796-I3</x:v>
      </x:c>
      <x:c r="B9684" s="4" t="str">
        <x:v>RS-04796</x:v>
      </x:c>
      <x:c r="C9684" s="9" t="n">
        <x:v>3</x:v>
      </x:c>
      <x:c r="D9684" s="8" t="n">
        <x:v>45633</x:v>
      </x:c>
      <x:c r="E9684" s="9" t="n">
        <x:v>2314000</x:v>
      </x:c>
      <x:c r="F9684" s="9" t="n">
        <x:v>0</x:v>
      </x:c>
    </x:row>
    <x:row r="9685" ht="34" customHeight="1">
      <x:c r="A9685" s="4" t="str">
        <x:v>RS-04796-I4</x:v>
      </x:c>
      <x:c r="B9685" s="4" t="str">
        <x:v>RS-04796</x:v>
      </x:c>
      <x:c r="C9685" s="9" t="n">
        <x:v>4</x:v>
      </x:c>
      <x:c r="D9685" s="8" t="n">
        <x:v>45663</x:v>
      </x:c>
      <x:c r="E9685" s="9" t="n">
        <x:v>2314000</x:v>
      </x:c>
      <x:c r="F9685" s="9" t="n">
        <x:v>0</x:v>
      </x:c>
    </x:row>
    <x:row r="9686" ht="34" customHeight="1">
      <x:c r="A9686" s="4" t="str">
        <x:v>RS-04798-I1</x:v>
      </x:c>
      <x:c r="B9686" s="4" t="str">
        <x:v>RS-04798</x:v>
      </x:c>
      <x:c r="C9686" s="9" t="n">
        <x:v>1</x:v>
      </x:c>
      <x:c r="D9686" s="8" t="n">
        <x:v>45575</x:v>
      </x:c>
      <x:c r="E9686" s="9" t="n">
        <x:v>4577000</x:v>
      </x:c>
      <x:c r="F9686" s="9" t="n">
        <x:v>4577000</x:v>
      </x:c>
    </x:row>
    <x:row r="9687" ht="34" customHeight="1">
      <x:c r="A9687" s="4" t="str">
        <x:v>RS-04798-I2</x:v>
      </x:c>
      <x:c r="B9687" s="4" t="str">
        <x:v>RS-04798</x:v>
      </x:c>
      <x:c r="C9687" s="9" t="n">
        <x:v>2</x:v>
      </x:c>
      <x:c r="D9687" s="8" t="n">
        <x:v>45605</x:v>
      </x:c>
      <x:c r="E9687" s="9" t="n">
        <x:v>4577000</x:v>
      </x:c>
      <x:c r="F9687" s="9" t="n">
        <x:v>4577000</x:v>
      </x:c>
    </x:row>
    <x:row r="9688" ht="34" customHeight="1">
      <x:c r="A9688" s="4" t="str">
        <x:v>RS-04798-I3</x:v>
      </x:c>
      <x:c r="B9688" s="4" t="str">
        <x:v>RS-04798</x:v>
      </x:c>
      <x:c r="C9688" s="9" t="n">
        <x:v>3</x:v>
      </x:c>
      <x:c r="D9688" s="8" t="n">
        <x:v>45635</x:v>
      </x:c>
      <x:c r="E9688" s="9" t="n">
        <x:v>4577000</x:v>
      </x:c>
      <x:c r="F9688" s="9" t="n">
        <x:v>0</x:v>
      </x:c>
    </x:row>
    <x:row r="9689" ht="34" customHeight="1">
      <x:c r="A9689" s="4" t="str">
        <x:v>RS-04798-I4</x:v>
      </x:c>
      <x:c r="B9689" s="4" t="str">
        <x:v>RS-04798</x:v>
      </x:c>
      <x:c r="C9689" s="9" t="n">
        <x:v>4</x:v>
      </x:c>
      <x:c r="D9689" s="8" t="n">
        <x:v>45665</x:v>
      </x:c>
      <x:c r="E9689" s="9" t="n">
        <x:v>4577000</x:v>
      </x:c>
      <x:c r="F9689" s="9" t="n">
        <x:v>0</x:v>
      </x:c>
    </x:row>
    <x:row r="9690" ht="34" customHeight="1">
      <x:c r="A9690" s="4" t="str">
        <x:v>RS-04799-I1</x:v>
      </x:c>
      <x:c r="B9690" s="4" t="str">
        <x:v>RS-04799</x:v>
      </x:c>
      <x:c r="C9690" s="9" t="n">
        <x:v>1</x:v>
      </x:c>
      <x:c r="D9690" s="8" t="n">
        <x:v>45576</x:v>
      </x:c>
      <x:c r="E9690" s="9" t="n">
        <x:v>5218500</x:v>
      </x:c>
      <x:c r="F9690" s="9" t="n">
        <x:v>5218500</x:v>
      </x:c>
    </x:row>
    <x:row r="9691" ht="34" customHeight="1">
      <x:c r="A9691" s="4" t="str">
        <x:v>RS-04799-I2</x:v>
      </x:c>
      <x:c r="B9691" s="4" t="str">
        <x:v>RS-04799</x:v>
      </x:c>
      <x:c r="C9691" s="9" t="n">
        <x:v>2</x:v>
      </x:c>
      <x:c r="D9691" s="8" t="n">
        <x:v>45606</x:v>
      </x:c>
      <x:c r="E9691" s="9" t="n">
        <x:v>5218500</x:v>
      </x:c>
      <x:c r="F9691" s="9" t="n">
        <x:v>0</x:v>
      </x:c>
    </x:row>
    <x:row r="9692" ht="34" customHeight="1">
      <x:c r="A9692" s="4" t="str">
        <x:v>RS-04799-I3</x:v>
      </x:c>
      <x:c r="B9692" s="4" t="str">
        <x:v>RS-04799</x:v>
      </x:c>
      <x:c r="C9692" s="9" t="n">
        <x:v>3</x:v>
      </x:c>
      <x:c r="D9692" s="8" t="n">
        <x:v>45636</x:v>
      </x:c>
      <x:c r="E9692" s="9" t="n">
        <x:v>5218500</x:v>
      </x:c>
      <x:c r="F9692" s="9" t="n">
        <x:v>0</x:v>
      </x:c>
    </x:row>
    <x:row r="9693" ht="34" customHeight="1">
      <x:c r="A9693" s="4" t="str">
        <x:v>RS-04799-I4</x:v>
      </x:c>
      <x:c r="B9693" s="4" t="str">
        <x:v>RS-04799</x:v>
      </x:c>
      <x:c r="C9693" s="9" t="n">
        <x:v>4</x:v>
      </x:c>
      <x:c r="D9693" s="8" t="n">
        <x:v>45666</x:v>
      </x:c>
      <x:c r="E9693" s="9" t="n">
        <x:v>5218500</x:v>
      </x:c>
      <x:c r="F9693" s="9" t="n">
        <x:v>0</x:v>
      </x:c>
    </x:row>
    <x:row r="9694" ht="34" customHeight="1">
      <x:c r="A9694" s="4" t="str">
        <x:v>RS-04806-I1</x:v>
      </x:c>
      <x:c r="B9694" s="4" t="str">
        <x:v>RS-04806</x:v>
      </x:c>
      <x:c r="C9694" s="9" t="n">
        <x:v>1</x:v>
      </x:c>
      <x:c r="D9694" s="8" t="n">
        <x:v>45583</x:v>
      </x:c>
      <x:c r="E9694" s="9" t="n">
        <x:v>4950000</x:v>
      </x:c>
      <x:c r="F9694" s="9" t="n">
        <x:v>1980000</x:v>
      </x:c>
    </x:row>
    <x:row r="9695" ht="34" customHeight="1">
      <x:c r="A9695" s="4" t="str">
        <x:v>RS-04806-I2</x:v>
      </x:c>
      <x:c r="B9695" s="4" t="str">
        <x:v>RS-04806</x:v>
      </x:c>
      <x:c r="C9695" s="9" t="n">
        <x:v>2</x:v>
      </x:c>
      <x:c r="D9695" s="8" t="n">
        <x:v>45613</x:v>
      </x:c>
      <x:c r="E9695" s="9" t="n">
        <x:v>4950000</x:v>
      </x:c>
      <x:c r="F9695" s="9" t="n">
        <x:v>0</x:v>
      </x:c>
    </x:row>
    <x:row r="9696" ht="34" customHeight="1">
      <x:c r="A9696" s="4" t="str">
        <x:v>RS-04806-I3</x:v>
      </x:c>
      <x:c r="B9696" s="4" t="str">
        <x:v>RS-04806</x:v>
      </x:c>
      <x:c r="C9696" s="9" t="n">
        <x:v>3</x:v>
      </x:c>
      <x:c r="D9696" s="8" t="n">
        <x:v>45643</x:v>
      </x:c>
      <x:c r="E9696" s="9" t="n">
        <x:v>4950000</x:v>
      </x:c>
      <x:c r="F9696" s="9" t="n">
        <x:v>0</x:v>
      </x:c>
    </x:row>
    <x:row r="9697" ht="34" customHeight="1">
      <x:c r="A9697" s="4" t="str">
        <x:v>RS-04806-I4</x:v>
      </x:c>
      <x:c r="B9697" s="4" t="str">
        <x:v>RS-04806</x:v>
      </x:c>
      <x:c r="C9697" s="9" t="n">
        <x:v>4</x:v>
      </x:c>
      <x:c r="D9697" s="8" t="n">
        <x:v>45673</x:v>
      </x:c>
      <x:c r="E9697" s="9" t="n">
        <x:v>4950000</x:v>
      </x:c>
      <x:c r="F9697" s="9" t="n">
        <x:v>0</x:v>
      </x:c>
    </x:row>
    <x:row r="9698" ht="34" customHeight="1">
      <x:c r="A9698" s="4" t="str">
        <x:v>RS-04807-I1</x:v>
      </x:c>
      <x:c r="B9698" s="4" t="str">
        <x:v>RS-04807</x:v>
      </x:c>
      <x:c r="C9698" s="9" t="n">
        <x:v>1</x:v>
      </x:c>
      <x:c r="D9698" s="8" t="n">
        <x:v>45584</x:v>
      </x:c>
      <x:c r="E9698" s="9" t="n">
        <x:v>1980000</x:v>
      </x:c>
      <x:c r="F9698" s="9" t="n">
        <x:v>1980000</x:v>
      </x:c>
    </x:row>
    <x:row r="9699" ht="34" customHeight="1">
      <x:c r="A9699" s="4" t="str">
        <x:v>RS-04807-I2</x:v>
      </x:c>
      <x:c r="B9699" s="4" t="str">
        <x:v>RS-04807</x:v>
      </x:c>
      <x:c r="C9699" s="9" t="n">
        <x:v>2</x:v>
      </x:c>
      <x:c r="D9699" s="8" t="n">
        <x:v>45614</x:v>
      </x:c>
      <x:c r="E9699" s="9" t="n">
        <x:v>1980000</x:v>
      </x:c>
      <x:c r="F9699" s="9" t="n">
        <x:v>1980000</x:v>
      </x:c>
    </x:row>
    <x:row r="9700" ht="34" customHeight="1">
      <x:c r="A9700" s="4" t="str">
        <x:v>RS-04807-I3</x:v>
      </x:c>
      <x:c r="B9700" s="4" t="str">
        <x:v>RS-04807</x:v>
      </x:c>
      <x:c r="C9700" s="9" t="n">
        <x:v>3</x:v>
      </x:c>
      <x:c r="D9700" s="8" t="n">
        <x:v>45644</x:v>
      </x:c>
      <x:c r="E9700" s="9" t="n">
        <x:v>1980000</x:v>
      </x:c>
      <x:c r="F9700" s="9" t="n">
        <x:v>0</x:v>
      </x:c>
    </x:row>
    <x:row r="9701" ht="34" customHeight="1">
      <x:c r="A9701" s="4" t="str">
        <x:v>RS-04807-I4</x:v>
      </x:c>
      <x:c r="B9701" s="4" t="str">
        <x:v>RS-04807</x:v>
      </x:c>
      <x:c r="C9701" s="9" t="n">
        <x:v>4</x:v>
      </x:c>
      <x:c r="D9701" s="8" t="n">
        <x:v>45674</x:v>
      </x:c>
      <x:c r="E9701" s="9" t="n">
        <x:v>1980000</x:v>
      </x:c>
      <x:c r="F9701" s="9" t="n">
        <x:v>0</x:v>
      </x:c>
    </x:row>
    <x:row r="9702" ht="34" customHeight="1">
      <x:c r="A9702" s="4" t="str">
        <x:v>RS-04811-I1</x:v>
      </x:c>
      <x:c r="B9702" s="4" t="str">
        <x:v>RS-04811</x:v>
      </x:c>
      <x:c r="C9702" s="9" t="n">
        <x:v>1</x:v>
      </x:c>
      <x:c r="D9702" s="8" t="n">
        <x:v>45588</x:v>
      </x:c>
      <x:c r="E9702" s="9" t="n">
        <x:v>5220000</x:v>
      </x:c>
      <x:c r="F9702" s="9" t="n">
        <x:v>5220000</x:v>
      </x:c>
    </x:row>
    <x:row r="9703" ht="34" customHeight="1">
      <x:c r="A9703" s="4" t="str">
        <x:v>RS-04811-I2</x:v>
      </x:c>
      <x:c r="B9703" s="4" t="str">
        <x:v>RS-04811</x:v>
      </x:c>
      <x:c r="C9703" s="9" t="n">
        <x:v>2</x:v>
      </x:c>
      <x:c r="D9703" s="8" t="n">
        <x:v>45618</x:v>
      </x:c>
      <x:c r="E9703" s="9" t="n">
        <x:v>5220000</x:v>
      </x:c>
      <x:c r="F9703" s="9" t="n">
        <x:v>0</x:v>
      </x:c>
    </x:row>
    <x:row r="9704" ht="34" customHeight="1">
      <x:c r="A9704" s="4" t="str">
        <x:v>RS-04811-I3</x:v>
      </x:c>
      <x:c r="B9704" s="4" t="str">
        <x:v>RS-04811</x:v>
      </x:c>
      <x:c r="C9704" s="9" t="n">
        <x:v>3</x:v>
      </x:c>
      <x:c r="D9704" s="8" t="n">
        <x:v>45648</x:v>
      </x:c>
      <x:c r="E9704" s="9" t="n">
        <x:v>5220000</x:v>
      </x:c>
      <x:c r="F9704" s="9" t="n">
        <x:v>0</x:v>
      </x:c>
    </x:row>
    <x:row r="9705" ht="34" customHeight="1">
      <x:c r="A9705" s="4" t="str">
        <x:v>RS-04811-I4</x:v>
      </x:c>
      <x:c r="B9705" s="4" t="str">
        <x:v>RS-04811</x:v>
      </x:c>
      <x:c r="C9705" s="9" t="n">
        <x:v>4</x:v>
      </x:c>
      <x:c r="D9705" s="8" t="n">
        <x:v>45678</x:v>
      </x:c>
      <x:c r="E9705" s="9" t="n">
        <x:v>5220000</x:v>
      </x:c>
      <x:c r="F9705" s="9" t="n">
        <x:v>0</x:v>
      </x:c>
    </x:row>
    <x:row r="9706" ht="34" customHeight="1">
      <x:c r="A9706" s="4" t="str">
        <x:v>RS-04812-I1</x:v>
      </x:c>
      <x:c r="B9706" s="4" t="str">
        <x:v>RS-04812</x:v>
      </x:c>
      <x:c r="C9706" s="9" t="n">
        <x:v>1</x:v>
      </x:c>
      <x:c r="D9706" s="8" t="n">
        <x:v>45589</x:v>
      </x:c>
      <x:c r="E9706" s="9" t="n">
        <x:v>3273750</x:v>
      </x:c>
      <x:c r="F9706" s="9" t="n">
        <x:v>3273750</x:v>
      </x:c>
    </x:row>
    <x:row r="9707" ht="34" customHeight="1">
      <x:c r="A9707" s="4" t="str">
        <x:v>RS-04812-I2</x:v>
      </x:c>
      <x:c r="B9707" s="4" t="str">
        <x:v>RS-04812</x:v>
      </x:c>
      <x:c r="C9707" s="9" t="n">
        <x:v>2</x:v>
      </x:c>
      <x:c r="D9707" s="8" t="n">
        <x:v>45619</x:v>
      </x:c>
      <x:c r="E9707" s="9" t="n">
        <x:v>3273750</x:v>
      </x:c>
      <x:c r="F9707" s="9" t="n">
        <x:v>3273750</x:v>
      </x:c>
    </x:row>
    <x:row r="9708" ht="34" customHeight="1">
      <x:c r="A9708" s="4" t="str">
        <x:v>RS-04812-I3</x:v>
      </x:c>
      <x:c r="B9708" s="4" t="str">
        <x:v>RS-04812</x:v>
      </x:c>
      <x:c r="C9708" s="9" t="n">
        <x:v>3</x:v>
      </x:c>
      <x:c r="D9708" s="8" t="n">
        <x:v>45649</x:v>
      </x:c>
      <x:c r="E9708" s="9" t="n">
        <x:v>3273750</x:v>
      </x:c>
      <x:c r="F9708" s="9" t="n">
        <x:v>0</x:v>
      </x:c>
    </x:row>
    <x:row r="9709" ht="34" customHeight="1">
      <x:c r="A9709" s="4" t="str">
        <x:v>RS-04812-I4</x:v>
      </x:c>
      <x:c r="B9709" s="4" t="str">
        <x:v>RS-04812</x:v>
      </x:c>
      <x:c r="C9709" s="9" t="n">
        <x:v>4</x:v>
      </x:c>
      <x:c r="D9709" s="8" t="n">
        <x:v>45679</x:v>
      </x:c>
      <x:c r="E9709" s="9" t="n">
        <x:v>3273750</x:v>
      </x:c>
      <x:c r="F9709" s="9" t="n">
        <x:v>0</x:v>
      </x:c>
    </x:row>
    <x:row r="9710" ht="34" customHeight="1">
      <x:c r="A9710" s="4" t="str">
        <x:v>RS-04814-I1</x:v>
      </x:c>
      <x:c r="B9710" s="4" t="str">
        <x:v>RS-04814</x:v>
      </x:c>
      <x:c r="C9710" s="9" t="n">
        <x:v>1</x:v>
      </x:c>
      <x:c r="D9710" s="8" t="n">
        <x:v>45591</x:v>
      </x:c>
      <x:c r="E9710" s="9" t="n">
        <x:v>3285000</x:v>
      </x:c>
      <x:c r="F9710" s="9" t="n">
        <x:v>3285000</x:v>
      </x:c>
    </x:row>
    <x:row r="9711" ht="34" customHeight="1">
      <x:c r="A9711" s="4" t="str">
        <x:v>RS-04814-I2</x:v>
      </x:c>
      <x:c r="B9711" s="4" t="str">
        <x:v>RS-04814</x:v>
      </x:c>
      <x:c r="C9711" s="9" t="n">
        <x:v>2</x:v>
      </x:c>
      <x:c r="D9711" s="8" t="n">
        <x:v>45621</x:v>
      </x:c>
      <x:c r="E9711" s="9" t="n">
        <x:v>3285000</x:v>
      </x:c>
      <x:c r="F9711" s="9" t="n">
        <x:v>3285000</x:v>
      </x:c>
    </x:row>
    <x:row r="9712" ht="34" customHeight="1">
      <x:c r="A9712" s="4" t="str">
        <x:v>RS-04814-I3</x:v>
      </x:c>
      <x:c r="B9712" s="4" t="str">
        <x:v>RS-04814</x:v>
      </x:c>
      <x:c r="C9712" s="9" t="n">
        <x:v>3</x:v>
      </x:c>
      <x:c r="D9712" s="8" t="n">
        <x:v>45651</x:v>
      </x:c>
      <x:c r="E9712" s="9" t="n">
        <x:v>3285000</x:v>
      </x:c>
      <x:c r="F9712" s="9" t="n">
        <x:v>3285000</x:v>
      </x:c>
    </x:row>
    <x:row r="9713" ht="34" customHeight="1">
      <x:c r="A9713" s="4" t="str">
        <x:v>RS-04814-I4</x:v>
      </x:c>
      <x:c r="B9713" s="4" t="str">
        <x:v>RS-04814</x:v>
      </x:c>
      <x:c r="C9713" s="9" t="n">
        <x:v>4</x:v>
      </x:c>
      <x:c r="D9713" s="8" t="n">
        <x:v>45681</x:v>
      </x:c>
      <x:c r="E9713" s="9" t="n">
        <x:v>3285000</x:v>
      </x:c>
      <x:c r="F9713" s="9" t="n">
        <x:v>3285000</x:v>
      </x:c>
    </x:row>
    <x:row r="9714" ht="34" customHeight="1">
      <x:c r="A9714" s="4" t="str">
        <x:v>RS-04815-I1</x:v>
      </x:c>
      <x:c r="B9714" s="4" t="str">
        <x:v>RS-04815</x:v>
      </x:c>
      <x:c r="C9714" s="9" t="n">
        <x:v>1</x:v>
      </x:c>
      <x:c r="D9714" s="8" t="n">
        <x:v>45592</x:v>
      </x:c>
      <x:c r="E9714" s="9" t="n">
        <x:v>1311000</x:v>
      </x:c>
      <x:c r="F9714" s="9" t="n">
        <x:v>524400</x:v>
      </x:c>
    </x:row>
    <x:row r="9715" ht="34" customHeight="1">
      <x:c r="A9715" s="4" t="str">
        <x:v>RS-04815-I2</x:v>
      </x:c>
      <x:c r="B9715" s="4" t="str">
        <x:v>RS-04815</x:v>
      </x:c>
      <x:c r="C9715" s="9" t="n">
        <x:v>2</x:v>
      </x:c>
      <x:c r="D9715" s="8" t="n">
        <x:v>45622</x:v>
      </x:c>
      <x:c r="E9715" s="9" t="n">
        <x:v>1311000</x:v>
      </x:c>
      <x:c r="F9715" s="9" t="n">
        <x:v>0</x:v>
      </x:c>
    </x:row>
    <x:row r="9716" ht="34" customHeight="1">
      <x:c r="A9716" s="4" t="str">
        <x:v>RS-04815-I3</x:v>
      </x:c>
      <x:c r="B9716" s="4" t="str">
        <x:v>RS-04815</x:v>
      </x:c>
      <x:c r="C9716" s="9" t="n">
        <x:v>3</x:v>
      </x:c>
      <x:c r="D9716" s="8" t="n">
        <x:v>45652</x:v>
      </x:c>
      <x:c r="E9716" s="9" t="n">
        <x:v>1311000</x:v>
      </x:c>
      <x:c r="F9716" s="9" t="n">
        <x:v>0</x:v>
      </x:c>
    </x:row>
    <x:row r="9717" ht="34" customHeight="1">
      <x:c r="A9717" s="4" t="str">
        <x:v>RS-04815-I4</x:v>
      </x:c>
      <x:c r="B9717" s="4" t="str">
        <x:v>RS-04815</x:v>
      </x:c>
      <x:c r="C9717" s="9" t="n">
        <x:v>4</x:v>
      </x:c>
      <x:c r="D9717" s="8" t="n">
        <x:v>45682</x:v>
      </x:c>
      <x:c r="E9717" s="9" t="n">
        <x:v>1311000</x:v>
      </x:c>
      <x:c r="F9717" s="9" t="n">
        <x:v>0</x:v>
      </x:c>
    </x:row>
    <x:row r="9718" ht="34" customHeight="1">
      <x:c r="A9718" s="4" t="str">
        <x:v>RS-04819-I1</x:v>
      </x:c>
      <x:c r="B9718" s="4" t="str">
        <x:v>RS-04819</x:v>
      </x:c>
      <x:c r="C9718" s="9" t="n">
        <x:v>1</x:v>
      </x:c>
      <x:c r="D9718" s="8" t="n">
        <x:v>45568</x:v>
      </x:c>
      <x:c r="E9718" s="9" t="n">
        <x:v>2327500</x:v>
      </x:c>
      <x:c r="F9718" s="9" t="n">
        <x:v>2327500</x:v>
      </x:c>
    </x:row>
    <x:row r="9719" ht="34" customHeight="1">
      <x:c r="A9719" s="4" t="str">
        <x:v>RS-04819-I2</x:v>
      </x:c>
      <x:c r="B9719" s="4" t="str">
        <x:v>RS-04819</x:v>
      </x:c>
      <x:c r="C9719" s="9" t="n">
        <x:v>2</x:v>
      </x:c>
      <x:c r="D9719" s="8" t="n">
        <x:v>45598</x:v>
      </x:c>
      <x:c r="E9719" s="9" t="n">
        <x:v>2327500</x:v>
      </x:c>
      <x:c r="F9719" s="9" t="n">
        <x:v>0</x:v>
      </x:c>
    </x:row>
    <x:row r="9720" ht="34" customHeight="1">
      <x:c r="A9720" s="4" t="str">
        <x:v>RS-04819-I3</x:v>
      </x:c>
      <x:c r="B9720" s="4" t="str">
        <x:v>RS-04819</x:v>
      </x:c>
      <x:c r="C9720" s="9" t="n">
        <x:v>3</x:v>
      </x:c>
      <x:c r="D9720" s="8" t="n">
        <x:v>45628</x:v>
      </x:c>
      <x:c r="E9720" s="9" t="n">
        <x:v>2327500</x:v>
      </x:c>
      <x:c r="F9720" s="9" t="n">
        <x:v>0</x:v>
      </x:c>
    </x:row>
    <x:row r="9721" ht="34" customHeight="1">
      <x:c r="A9721" s="4" t="str">
        <x:v>RS-04819-I4</x:v>
      </x:c>
      <x:c r="B9721" s="4" t="str">
        <x:v>RS-04819</x:v>
      </x:c>
      <x:c r="C9721" s="9" t="n">
        <x:v>4</x:v>
      </x:c>
      <x:c r="D9721" s="8" t="n">
        <x:v>45658</x:v>
      </x:c>
      <x:c r="E9721" s="9" t="n">
        <x:v>2327500</x:v>
      </x:c>
      <x:c r="F9721" s="9" t="n">
        <x:v>0</x:v>
      </x:c>
    </x:row>
    <x:row r="9722" ht="34" customHeight="1">
      <x:c r="A9722" s="4" t="str">
        <x:v>RS-04821-I1</x:v>
      </x:c>
      <x:c r="B9722" s="4" t="str">
        <x:v>RS-04821</x:v>
      </x:c>
      <x:c r="C9722" s="9" t="n">
        <x:v>1</x:v>
      </x:c>
      <x:c r="D9722" s="8" t="n">
        <x:v>45570</x:v>
      </x:c>
      <x:c r="E9722" s="9" t="n">
        <x:v>2352000</x:v>
      </x:c>
      <x:c r="F9722" s="9" t="n">
        <x:v>2352000</x:v>
      </x:c>
    </x:row>
    <x:row r="9723" ht="34" customHeight="1">
      <x:c r="A9723" s="4" t="str">
        <x:v>RS-04821-I2</x:v>
      </x:c>
      <x:c r="B9723" s="4" t="str">
        <x:v>RS-04821</x:v>
      </x:c>
      <x:c r="C9723" s="9" t="n">
        <x:v>2</x:v>
      </x:c>
      <x:c r="D9723" s="8" t="n">
        <x:v>45600</x:v>
      </x:c>
      <x:c r="E9723" s="9" t="n">
        <x:v>2352000</x:v>
      </x:c>
      <x:c r="F9723" s="9" t="n">
        <x:v>0</x:v>
      </x:c>
    </x:row>
    <x:row r="9724" ht="34" customHeight="1">
      <x:c r="A9724" s="4" t="str">
        <x:v>RS-04821-I3</x:v>
      </x:c>
      <x:c r="B9724" s="4" t="str">
        <x:v>RS-04821</x:v>
      </x:c>
      <x:c r="C9724" s="9" t="n">
        <x:v>3</x:v>
      </x:c>
      <x:c r="D9724" s="8" t="n">
        <x:v>45630</x:v>
      </x:c>
      <x:c r="E9724" s="9" t="n">
        <x:v>2352000</x:v>
      </x:c>
      <x:c r="F9724" s="9" t="n">
        <x:v>0</x:v>
      </x:c>
    </x:row>
    <x:row r="9725" ht="34" customHeight="1">
      <x:c r="A9725" s="4" t="str">
        <x:v>RS-04821-I4</x:v>
      </x:c>
      <x:c r="B9725" s="4" t="str">
        <x:v>RS-04821</x:v>
      </x:c>
      <x:c r="C9725" s="9" t="n">
        <x:v>4</x:v>
      </x:c>
      <x:c r="D9725" s="8" t="n">
        <x:v>45660</x:v>
      </x:c>
      <x:c r="E9725" s="9" t="n">
        <x:v>2352000</x:v>
      </x:c>
      <x:c r="F9725" s="9" t="n">
        <x:v>0</x:v>
      </x:c>
    </x:row>
    <x:row r="9726" ht="34" customHeight="1">
      <x:c r="A9726" s="4" t="str">
        <x:v>RS-04823-I1</x:v>
      </x:c>
      <x:c r="B9726" s="4" t="str">
        <x:v>RS-04823</x:v>
      </x:c>
      <x:c r="C9726" s="9" t="n">
        <x:v>1</x:v>
      </x:c>
      <x:c r="D9726" s="8" t="n">
        <x:v>45572</x:v>
      </x:c>
      <x:c r="E9726" s="9" t="n">
        <x:v>3007000</x:v>
      </x:c>
      <x:c r="F9726" s="9" t="n">
        <x:v>1202800</x:v>
      </x:c>
    </x:row>
    <x:row r="9727" ht="34" customHeight="1">
      <x:c r="A9727" s="4" t="str">
        <x:v>RS-04823-I2</x:v>
      </x:c>
      <x:c r="B9727" s="4" t="str">
        <x:v>RS-04823</x:v>
      </x:c>
      <x:c r="C9727" s="9" t="n">
        <x:v>2</x:v>
      </x:c>
      <x:c r="D9727" s="8" t="n">
        <x:v>45602</x:v>
      </x:c>
      <x:c r="E9727" s="9" t="n">
        <x:v>3007000</x:v>
      </x:c>
      <x:c r="F9727" s="9" t="n">
        <x:v>0</x:v>
      </x:c>
    </x:row>
    <x:row r="9728" ht="34" customHeight="1">
      <x:c r="A9728" s="4" t="str">
        <x:v>RS-04823-I3</x:v>
      </x:c>
      <x:c r="B9728" s="4" t="str">
        <x:v>RS-04823</x:v>
      </x:c>
      <x:c r="C9728" s="9" t="n">
        <x:v>3</x:v>
      </x:c>
      <x:c r="D9728" s="8" t="n">
        <x:v>45632</x:v>
      </x:c>
      <x:c r="E9728" s="9" t="n">
        <x:v>3007000</x:v>
      </x:c>
      <x:c r="F9728" s="9" t="n">
        <x:v>0</x:v>
      </x:c>
    </x:row>
    <x:row r="9729" ht="34" customHeight="1">
      <x:c r="A9729" s="4" t="str">
        <x:v>RS-04823-I4</x:v>
      </x:c>
      <x:c r="B9729" s="4" t="str">
        <x:v>RS-04823</x:v>
      </x:c>
      <x:c r="C9729" s="9" t="n">
        <x:v>4</x:v>
      </x:c>
      <x:c r="D9729" s="8" t="n">
        <x:v>45662</x:v>
      </x:c>
      <x:c r="E9729" s="9" t="n">
        <x:v>3007000</x:v>
      </x:c>
      <x:c r="F9729" s="9" t="n">
        <x:v>0</x:v>
      </x:c>
    </x:row>
    <x:row r="9730" ht="34" customHeight="1">
      <x:c r="A9730" s="4" t="str">
        <x:v>RS-04827-I1</x:v>
      </x:c>
      <x:c r="B9730" s="4" t="str">
        <x:v>RS-04827</x:v>
      </x:c>
      <x:c r="C9730" s="9" t="n">
        <x:v>1</x:v>
      </x:c>
      <x:c r="D9730" s="8" t="n">
        <x:v>45576</x:v>
      </x:c>
      <x:c r="E9730" s="9" t="n">
        <x:v>1690500</x:v>
      </x:c>
      <x:c r="F9730" s="9" t="n">
        <x:v>1690500</x:v>
      </x:c>
    </x:row>
    <x:row r="9731" ht="34" customHeight="1">
      <x:c r="A9731" s="4" t="str">
        <x:v>RS-04827-I2</x:v>
      </x:c>
      <x:c r="B9731" s="4" t="str">
        <x:v>RS-04827</x:v>
      </x:c>
      <x:c r="C9731" s="9" t="n">
        <x:v>2</x:v>
      </x:c>
      <x:c r="D9731" s="8" t="n">
        <x:v>45606</x:v>
      </x:c>
      <x:c r="E9731" s="9" t="n">
        <x:v>1690500</x:v>
      </x:c>
      <x:c r="F9731" s="9" t="n">
        <x:v>1690500</x:v>
      </x:c>
    </x:row>
    <x:row r="9732" ht="34" customHeight="1">
      <x:c r="A9732" s="4" t="str">
        <x:v>RS-04827-I3</x:v>
      </x:c>
      <x:c r="B9732" s="4" t="str">
        <x:v>RS-04827</x:v>
      </x:c>
      <x:c r="C9732" s="9" t="n">
        <x:v>3</x:v>
      </x:c>
      <x:c r="D9732" s="8" t="n">
        <x:v>45636</x:v>
      </x:c>
      <x:c r="E9732" s="9" t="n">
        <x:v>1690500</x:v>
      </x:c>
      <x:c r="F9732" s="9" t="n">
        <x:v>1690500</x:v>
      </x:c>
    </x:row>
    <x:row r="9733" ht="34" customHeight="1">
      <x:c r="A9733" s="4" t="str">
        <x:v>RS-04827-I4</x:v>
      </x:c>
      <x:c r="B9733" s="4" t="str">
        <x:v>RS-04827</x:v>
      </x:c>
      <x:c r="C9733" s="9" t="n">
        <x:v>4</x:v>
      </x:c>
      <x:c r="D9733" s="8" t="n">
        <x:v>45666</x:v>
      </x:c>
      <x:c r="E9733" s="9" t="n">
        <x:v>1690500</x:v>
      </x:c>
      <x:c r="F9733" s="9" t="n">
        <x:v>1690500</x:v>
      </x:c>
    </x:row>
    <x:row r="9734" ht="34" customHeight="1">
      <x:c r="A9734" s="4" t="str">
        <x:v>RS-04828-I1</x:v>
      </x:c>
      <x:c r="B9734" s="4" t="str">
        <x:v>RS-04828</x:v>
      </x:c>
      <x:c r="C9734" s="9" t="n">
        <x:v>1</x:v>
      </x:c>
      <x:c r="D9734" s="8" t="n">
        <x:v>45577</x:v>
      </x:c>
      <x:c r="E9734" s="9" t="n">
        <x:v>4545000</x:v>
      </x:c>
      <x:c r="F9734" s="9" t="n">
        <x:v>1818000</x:v>
      </x:c>
    </x:row>
    <x:row r="9735" ht="34" customHeight="1">
      <x:c r="A9735" s="4" t="str">
        <x:v>RS-04828-I2</x:v>
      </x:c>
      <x:c r="B9735" s="4" t="str">
        <x:v>RS-04828</x:v>
      </x:c>
      <x:c r="C9735" s="9" t="n">
        <x:v>2</x:v>
      </x:c>
      <x:c r="D9735" s="8" t="n">
        <x:v>45607</x:v>
      </x:c>
      <x:c r="E9735" s="9" t="n">
        <x:v>4545000</x:v>
      </x:c>
      <x:c r="F9735" s="9" t="n">
        <x:v>0</x:v>
      </x:c>
    </x:row>
    <x:row r="9736" ht="34" customHeight="1">
      <x:c r="A9736" s="4" t="str">
        <x:v>RS-04828-I3</x:v>
      </x:c>
      <x:c r="B9736" s="4" t="str">
        <x:v>RS-04828</x:v>
      </x:c>
      <x:c r="C9736" s="9" t="n">
        <x:v>3</x:v>
      </x:c>
      <x:c r="D9736" s="8" t="n">
        <x:v>45637</x:v>
      </x:c>
      <x:c r="E9736" s="9" t="n">
        <x:v>4545000</x:v>
      </x:c>
      <x:c r="F9736" s="9" t="n">
        <x:v>0</x:v>
      </x:c>
    </x:row>
    <x:row r="9737" ht="34" customHeight="1">
      <x:c r="A9737" s="4" t="str">
        <x:v>RS-04828-I4</x:v>
      </x:c>
      <x:c r="B9737" s="4" t="str">
        <x:v>RS-04828</x:v>
      </x:c>
      <x:c r="C9737" s="9" t="n">
        <x:v>4</x:v>
      </x:c>
      <x:c r="D9737" s="8" t="n">
        <x:v>45667</x:v>
      </x:c>
      <x:c r="E9737" s="9" t="n">
        <x:v>4545000</x:v>
      </x:c>
      <x:c r="F9737" s="9" t="n">
        <x:v>0</x:v>
      </x:c>
    </x:row>
    <x:row r="9738" ht="34" customHeight="1">
      <x:c r="A9738" s="4" t="str">
        <x:v>RS-04829-I1</x:v>
      </x:c>
      <x:c r="B9738" s="4" t="str">
        <x:v>RS-04829</x:v>
      </x:c>
      <x:c r="C9738" s="9" t="n">
        <x:v>1</x:v>
      </x:c>
      <x:c r="D9738" s="8" t="n">
        <x:v>45578</x:v>
      </x:c>
      <x:c r="E9738" s="9" t="n">
        <x:v>4702500</x:v>
      </x:c>
      <x:c r="F9738" s="9" t="n">
        <x:v>4702500</x:v>
      </x:c>
    </x:row>
    <x:row r="9739" ht="34" customHeight="1">
      <x:c r="A9739" s="4" t="str">
        <x:v>RS-04829-I2</x:v>
      </x:c>
      <x:c r="B9739" s="4" t="str">
        <x:v>RS-04829</x:v>
      </x:c>
      <x:c r="C9739" s="9" t="n">
        <x:v>2</x:v>
      </x:c>
      <x:c r="D9739" s="8" t="n">
        <x:v>45608</x:v>
      </x:c>
      <x:c r="E9739" s="9" t="n">
        <x:v>4702500</x:v>
      </x:c>
      <x:c r="F9739" s="9" t="n">
        <x:v>0</x:v>
      </x:c>
    </x:row>
    <x:row r="9740" ht="34" customHeight="1">
      <x:c r="A9740" s="4" t="str">
        <x:v>RS-04829-I3</x:v>
      </x:c>
      <x:c r="B9740" s="4" t="str">
        <x:v>RS-04829</x:v>
      </x:c>
      <x:c r="C9740" s="9" t="n">
        <x:v>3</x:v>
      </x:c>
      <x:c r="D9740" s="8" t="n">
        <x:v>45638</x:v>
      </x:c>
      <x:c r="E9740" s="9" t="n">
        <x:v>4702500</x:v>
      </x:c>
      <x:c r="F9740" s="9" t="n">
        <x:v>0</x:v>
      </x:c>
    </x:row>
    <x:row r="9741" ht="34" customHeight="1">
      <x:c r="A9741" s="4" t="str">
        <x:v>RS-04829-I4</x:v>
      </x:c>
      <x:c r="B9741" s="4" t="str">
        <x:v>RS-04829</x:v>
      </x:c>
      <x:c r="C9741" s="9" t="n">
        <x:v>4</x:v>
      </x:c>
      <x:c r="D9741" s="8" t="n">
        <x:v>45668</x:v>
      </x:c>
      <x:c r="E9741" s="9" t="n">
        <x:v>4702500</x:v>
      </x:c>
      <x:c r="F9741" s="9" t="n">
        <x:v>0</x:v>
      </x:c>
    </x:row>
    <x:row r="9742" ht="34" customHeight="1">
      <x:c r="A9742" s="4" t="str">
        <x:v>RS-04832-I1</x:v>
      </x:c>
      <x:c r="B9742" s="4" t="str">
        <x:v>RS-04832</x:v>
      </x:c>
      <x:c r="C9742" s="9" t="n">
        <x:v>1</x:v>
      </x:c>
      <x:c r="D9742" s="8" t="n">
        <x:v>45581</x:v>
      </x:c>
      <x:c r="E9742" s="9" t="n">
        <x:v>6000000</x:v>
      </x:c>
      <x:c r="F9742" s="9" t="n">
        <x:v>2400000</x:v>
      </x:c>
    </x:row>
    <x:row r="9743" ht="34" customHeight="1">
      <x:c r="A9743" s="4" t="str">
        <x:v>RS-04832-I2</x:v>
      </x:c>
      <x:c r="B9743" s="4" t="str">
        <x:v>RS-04832</x:v>
      </x:c>
      <x:c r="C9743" s="9" t="n">
        <x:v>2</x:v>
      </x:c>
      <x:c r="D9743" s="8" t="n">
        <x:v>45611</x:v>
      </x:c>
      <x:c r="E9743" s="9" t="n">
        <x:v>6000000</x:v>
      </x:c>
      <x:c r="F9743" s="9" t="n">
        <x:v>0</x:v>
      </x:c>
    </x:row>
    <x:row r="9744" ht="34" customHeight="1">
      <x:c r="A9744" s="4" t="str">
        <x:v>RS-04832-I3</x:v>
      </x:c>
      <x:c r="B9744" s="4" t="str">
        <x:v>RS-04832</x:v>
      </x:c>
      <x:c r="C9744" s="9" t="n">
        <x:v>3</x:v>
      </x:c>
      <x:c r="D9744" s="8" t="n">
        <x:v>45641</x:v>
      </x:c>
      <x:c r="E9744" s="9" t="n">
        <x:v>6000000</x:v>
      </x:c>
      <x:c r="F9744" s="9" t="n">
        <x:v>0</x:v>
      </x:c>
    </x:row>
    <x:row r="9745" ht="34" customHeight="1">
      <x:c r="A9745" s="4" t="str">
        <x:v>RS-04832-I4</x:v>
      </x:c>
      <x:c r="B9745" s="4" t="str">
        <x:v>RS-04832</x:v>
      </x:c>
      <x:c r="C9745" s="9" t="n">
        <x:v>4</x:v>
      </x:c>
      <x:c r="D9745" s="8" t="n">
        <x:v>45671</x:v>
      </x:c>
      <x:c r="E9745" s="9" t="n">
        <x:v>6000000</x:v>
      </x:c>
      <x:c r="F9745" s="9" t="n">
        <x:v>0</x:v>
      </x:c>
    </x:row>
    <x:row r="9746" ht="34" customHeight="1">
      <x:c r="A9746" s="4" t="str">
        <x:v>RS-04833-I1</x:v>
      </x:c>
      <x:c r="B9746" s="4" t="str">
        <x:v>RS-04833</x:v>
      </x:c>
      <x:c r="C9746" s="9" t="n">
        <x:v>1</x:v>
      </x:c>
      <x:c r="D9746" s="8" t="n">
        <x:v>45582</x:v>
      </x:c>
      <x:c r="E9746" s="9" t="n">
        <x:v>742500</x:v>
      </x:c>
      <x:c r="F9746" s="9" t="n">
        <x:v>742500</x:v>
      </x:c>
    </x:row>
    <x:row r="9747" ht="34" customHeight="1">
      <x:c r="A9747" s="4" t="str">
        <x:v>RS-04833-I2</x:v>
      </x:c>
      <x:c r="B9747" s="4" t="str">
        <x:v>RS-04833</x:v>
      </x:c>
      <x:c r="C9747" s="9" t="n">
        <x:v>2</x:v>
      </x:c>
      <x:c r="D9747" s="8" t="n">
        <x:v>45612</x:v>
      </x:c>
      <x:c r="E9747" s="9" t="n">
        <x:v>742500</x:v>
      </x:c>
      <x:c r="F9747" s="9" t="n">
        <x:v>742500</x:v>
      </x:c>
    </x:row>
    <x:row r="9748" ht="34" customHeight="1">
      <x:c r="A9748" s="4" t="str">
        <x:v>RS-04833-I3</x:v>
      </x:c>
      <x:c r="B9748" s="4" t="str">
        <x:v>RS-04833</x:v>
      </x:c>
      <x:c r="C9748" s="9" t="n">
        <x:v>3</x:v>
      </x:c>
      <x:c r="D9748" s="8" t="n">
        <x:v>45642</x:v>
      </x:c>
      <x:c r="E9748" s="9" t="n">
        <x:v>742500</x:v>
      </x:c>
      <x:c r="F9748" s="9" t="n">
        <x:v>0</x:v>
      </x:c>
    </x:row>
    <x:row r="9749" ht="34" customHeight="1">
      <x:c r="A9749" s="4" t="str">
        <x:v>RS-04833-I4</x:v>
      </x:c>
      <x:c r="B9749" s="4" t="str">
        <x:v>RS-04833</x:v>
      </x:c>
      <x:c r="C9749" s="9" t="n">
        <x:v>4</x:v>
      </x:c>
      <x:c r="D9749" s="8" t="n">
        <x:v>45672</x:v>
      </x:c>
      <x:c r="E9749" s="9" t="n">
        <x:v>742500</x:v>
      </x:c>
      <x:c r="F9749" s="9" t="n">
        <x:v>0</x:v>
      </x:c>
    </x:row>
    <x:row r="9750" ht="34" customHeight="1">
      <x:c r="A9750" s="4" t="str">
        <x:v>RS-04834-I1</x:v>
      </x:c>
      <x:c r="B9750" s="4" t="str">
        <x:v>RS-04834</x:v>
      </x:c>
      <x:c r="C9750" s="9" t="n">
        <x:v>1</x:v>
      </x:c>
      <x:c r="D9750" s="8" t="n">
        <x:v>45583</x:v>
      </x:c>
      <x:c r="E9750" s="9" t="n">
        <x:v>3984000</x:v>
      </x:c>
      <x:c r="F9750" s="9" t="n">
        <x:v>3984000</x:v>
      </x:c>
    </x:row>
    <x:row r="9751" ht="34" customHeight="1">
      <x:c r="A9751" s="4" t="str">
        <x:v>RS-04834-I2</x:v>
      </x:c>
      <x:c r="B9751" s="4" t="str">
        <x:v>RS-04834</x:v>
      </x:c>
      <x:c r="C9751" s="9" t="n">
        <x:v>2</x:v>
      </x:c>
      <x:c r="D9751" s="8" t="n">
        <x:v>45613</x:v>
      </x:c>
      <x:c r="E9751" s="9" t="n">
        <x:v>3984000</x:v>
      </x:c>
      <x:c r="F9751" s="9" t="n">
        <x:v>3984000</x:v>
      </x:c>
    </x:row>
    <x:row r="9752" ht="34" customHeight="1">
      <x:c r="A9752" s="4" t="str">
        <x:v>RS-04834-I3</x:v>
      </x:c>
      <x:c r="B9752" s="4" t="str">
        <x:v>RS-04834</x:v>
      </x:c>
      <x:c r="C9752" s="9" t="n">
        <x:v>3</x:v>
      </x:c>
      <x:c r="D9752" s="8" t="n">
        <x:v>45643</x:v>
      </x:c>
      <x:c r="E9752" s="9" t="n">
        <x:v>3984000</x:v>
      </x:c>
      <x:c r="F9752" s="9" t="n">
        <x:v>3984000</x:v>
      </x:c>
    </x:row>
    <x:row r="9753" ht="34" customHeight="1">
      <x:c r="A9753" s="4" t="str">
        <x:v>RS-04834-I4</x:v>
      </x:c>
      <x:c r="B9753" s="4" t="str">
        <x:v>RS-04834</x:v>
      </x:c>
      <x:c r="C9753" s="9" t="n">
        <x:v>4</x:v>
      </x:c>
      <x:c r="D9753" s="8" t="n">
        <x:v>45673</x:v>
      </x:c>
      <x:c r="E9753" s="9" t="n">
        <x:v>3984000</x:v>
      </x:c>
      <x:c r="F9753" s="9" t="n">
        <x:v>3984000</x:v>
      </x:c>
    </x:row>
    <x:row r="9754" ht="34" customHeight="1">
      <x:c r="A9754" s="4" t="str">
        <x:v>RS-04835-I1</x:v>
      </x:c>
      <x:c r="B9754" s="4" t="str">
        <x:v>RS-04835</x:v>
      </x:c>
      <x:c r="C9754" s="9" t="n">
        <x:v>1</x:v>
      </x:c>
      <x:c r="D9754" s="8" t="n">
        <x:v>45584</x:v>
      </x:c>
      <x:c r="E9754" s="9" t="n">
        <x:v>5316500</x:v>
      </x:c>
      <x:c r="F9754" s="9" t="n">
        <x:v>5316500</x:v>
      </x:c>
    </x:row>
    <x:row r="9755" ht="34" customHeight="1">
      <x:c r="A9755" s="4" t="str">
        <x:v>RS-04835-I2</x:v>
      </x:c>
      <x:c r="B9755" s="4" t="str">
        <x:v>RS-04835</x:v>
      </x:c>
      <x:c r="C9755" s="9" t="n">
        <x:v>2</x:v>
      </x:c>
      <x:c r="D9755" s="8" t="n">
        <x:v>45614</x:v>
      </x:c>
      <x:c r="E9755" s="9" t="n">
        <x:v>5316500</x:v>
      </x:c>
      <x:c r="F9755" s="9" t="n">
        <x:v>0</x:v>
      </x:c>
    </x:row>
    <x:row r="9756" ht="34" customHeight="1">
      <x:c r="A9756" s="4" t="str">
        <x:v>RS-04835-I3</x:v>
      </x:c>
      <x:c r="B9756" s="4" t="str">
        <x:v>RS-04835</x:v>
      </x:c>
      <x:c r="C9756" s="9" t="n">
        <x:v>3</x:v>
      </x:c>
      <x:c r="D9756" s="8" t="n">
        <x:v>45644</x:v>
      </x:c>
      <x:c r="E9756" s="9" t="n">
        <x:v>5316500</x:v>
      </x:c>
      <x:c r="F9756" s="9" t="n">
        <x:v>0</x:v>
      </x:c>
    </x:row>
    <x:row r="9757" ht="34" customHeight="1">
      <x:c r="A9757" s="4" t="str">
        <x:v>RS-04835-I4</x:v>
      </x:c>
      <x:c r="B9757" s="4" t="str">
        <x:v>RS-04835</x:v>
      </x:c>
      <x:c r="C9757" s="9" t="n">
        <x:v>4</x:v>
      </x:c>
      <x:c r="D9757" s="8" t="n">
        <x:v>45674</x:v>
      </x:c>
      <x:c r="E9757" s="9" t="n">
        <x:v>5316500</x:v>
      </x:c>
      <x:c r="F9757" s="9" t="n">
        <x:v>0</x:v>
      </x:c>
    </x:row>
    <x:row r="9758" ht="34" customHeight="1">
      <x:c r="A9758" s="4" t="str">
        <x:v>RS-04837-I1</x:v>
      </x:c>
      <x:c r="B9758" s="4" t="str">
        <x:v>RS-04837</x:v>
      </x:c>
      <x:c r="C9758" s="9" t="n">
        <x:v>1</x:v>
      </x:c>
      <x:c r="D9758" s="8" t="n">
        <x:v>45586</x:v>
      </x:c>
      <x:c r="E9758" s="9" t="n">
        <x:v>5022000</x:v>
      </x:c>
      <x:c r="F9758" s="9" t="n">
        <x:v>5022000</x:v>
      </x:c>
    </x:row>
    <x:row r="9759" ht="34" customHeight="1">
      <x:c r="A9759" s="4" t="str">
        <x:v>RS-04837-I2</x:v>
      </x:c>
      <x:c r="B9759" s="4" t="str">
        <x:v>RS-04837</x:v>
      </x:c>
      <x:c r="C9759" s="9" t="n">
        <x:v>2</x:v>
      </x:c>
      <x:c r="D9759" s="8" t="n">
        <x:v>45616</x:v>
      </x:c>
      <x:c r="E9759" s="9" t="n">
        <x:v>5022000</x:v>
      </x:c>
      <x:c r="F9759" s="9" t="n">
        <x:v>5022000</x:v>
      </x:c>
    </x:row>
    <x:row r="9760" ht="34" customHeight="1">
      <x:c r="A9760" s="4" t="str">
        <x:v>RS-04837-I3</x:v>
      </x:c>
      <x:c r="B9760" s="4" t="str">
        <x:v>RS-04837</x:v>
      </x:c>
      <x:c r="C9760" s="9" t="n">
        <x:v>3</x:v>
      </x:c>
      <x:c r="D9760" s="8" t="n">
        <x:v>45646</x:v>
      </x:c>
      <x:c r="E9760" s="9" t="n">
        <x:v>5022000</x:v>
      </x:c>
      <x:c r="F9760" s="9" t="n">
        <x:v>0</x:v>
      </x:c>
    </x:row>
    <x:row r="9761" ht="34" customHeight="1">
      <x:c r="A9761" s="4" t="str">
        <x:v>RS-04837-I4</x:v>
      </x:c>
      <x:c r="B9761" s="4" t="str">
        <x:v>RS-04837</x:v>
      </x:c>
      <x:c r="C9761" s="9" t="n">
        <x:v>4</x:v>
      </x:c>
      <x:c r="D9761" s="8" t="n">
        <x:v>45676</x:v>
      </x:c>
      <x:c r="E9761" s="9" t="n">
        <x:v>5022000</x:v>
      </x:c>
      <x:c r="F9761" s="9" t="n">
        <x:v>0</x:v>
      </x:c>
    </x:row>
    <x:row r="9762" ht="34" customHeight="1">
      <x:c r="A9762" s="4" t="str">
        <x:v>RS-04838-I1</x:v>
      </x:c>
      <x:c r="B9762" s="4" t="str">
        <x:v>RS-04838</x:v>
      </x:c>
      <x:c r="C9762" s="9" t="n">
        <x:v>1</x:v>
      </x:c>
      <x:c r="D9762" s="8" t="n">
        <x:v>45587</x:v>
      </x:c>
      <x:c r="E9762" s="9" t="n">
        <x:v>3712500</x:v>
      </x:c>
      <x:c r="F9762" s="9" t="n">
        <x:v>3712500</x:v>
      </x:c>
    </x:row>
    <x:row r="9763" ht="34" customHeight="1">
      <x:c r="A9763" s="4" t="str">
        <x:v>RS-04838-I2</x:v>
      </x:c>
      <x:c r="B9763" s="4" t="str">
        <x:v>RS-04838</x:v>
      </x:c>
      <x:c r="C9763" s="9" t="n">
        <x:v>2</x:v>
      </x:c>
      <x:c r="D9763" s="8" t="n">
        <x:v>45617</x:v>
      </x:c>
      <x:c r="E9763" s="9" t="n">
        <x:v>3712500</x:v>
      </x:c>
      <x:c r="F9763" s="9" t="n">
        <x:v>3712500</x:v>
      </x:c>
    </x:row>
    <x:row r="9764" ht="34" customHeight="1">
      <x:c r="A9764" s="4" t="str">
        <x:v>RS-04838-I3</x:v>
      </x:c>
      <x:c r="B9764" s="4" t="str">
        <x:v>RS-04838</x:v>
      </x:c>
      <x:c r="C9764" s="9" t="n">
        <x:v>3</x:v>
      </x:c>
      <x:c r="D9764" s="8" t="n">
        <x:v>45647</x:v>
      </x:c>
      <x:c r="E9764" s="9" t="n">
        <x:v>3712500</x:v>
      </x:c>
      <x:c r="F9764" s="9" t="n">
        <x:v>0</x:v>
      </x:c>
    </x:row>
    <x:row r="9765" ht="34" customHeight="1">
      <x:c r="A9765" s="4" t="str">
        <x:v>RS-04838-I4</x:v>
      </x:c>
      <x:c r="B9765" s="4" t="str">
        <x:v>RS-04838</x:v>
      </x:c>
      <x:c r="C9765" s="9" t="n">
        <x:v>4</x:v>
      </x:c>
      <x:c r="D9765" s="8" t="n">
        <x:v>45677</x:v>
      </x:c>
      <x:c r="E9765" s="9" t="n">
        <x:v>3712500</x:v>
      </x:c>
      <x:c r="F9765" s="9" t="n">
        <x:v>0</x:v>
      </x:c>
    </x:row>
    <x:row r="9766" ht="34" customHeight="1">
      <x:c r="A9766" s="4" t="str">
        <x:v>RS-04839-I1</x:v>
      </x:c>
      <x:c r="B9766" s="4" t="str">
        <x:v>RS-04839</x:v>
      </x:c>
      <x:c r="C9766" s="9" t="n">
        <x:v>1</x:v>
      </x:c>
      <x:c r="D9766" s="8" t="n">
        <x:v>45588</x:v>
      </x:c>
      <x:c r="E9766" s="9" t="n">
        <x:v>3301500</x:v>
      </x:c>
      <x:c r="F9766" s="9" t="n">
        <x:v>3301500</x:v>
      </x:c>
    </x:row>
    <x:row r="9767" ht="34" customHeight="1">
      <x:c r="A9767" s="4" t="str">
        <x:v>RS-04839-I2</x:v>
      </x:c>
      <x:c r="B9767" s="4" t="str">
        <x:v>RS-04839</x:v>
      </x:c>
      <x:c r="C9767" s="9" t="n">
        <x:v>2</x:v>
      </x:c>
      <x:c r="D9767" s="8" t="n">
        <x:v>45618</x:v>
      </x:c>
      <x:c r="E9767" s="9" t="n">
        <x:v>3301500</x:v>
      </x:c>
      <x:c r="F9767" s="9" t="n">
        <x:v>3301500</x:v>
      </x:c>
    </x:row>
    <x:row r="9768" ht="34" customHeight="1">
      <x:c r="A9768" s="4" t="str">
        <x:v>RS-04839-I3</x:v>
      </x:c>
      <x:c r="B9768" s="4" t="str">
        <x:v>RS-04839</x:v>
      </x:c>
      <x:c r="C9768" s="9" t="n">
        <x:v>3</x:v>
      </x:c>
      <x:c r="D9768" s="8" t="n">
        <x:v>45648</x:v>
      </x:c>
      <x:c r="E9768" s="9" t="n">
        <x:v>3301500</x:v>
      </x:c>
      <x:c r="F9768" s="9" t="n">
        <x:v>0</x:v>
      </x:c>
    </x:row>
    <x:row r="9769" ht="34" customHeight="1">
      <x:c r="A9769" s="4" t="str">
        <x:v>RS-04839-I4</x:v>
      </x:c>
      <x:c r="B9769" s="4" t="str">
        <x:v>RS-04839</x:v>
      </x:c>
      <x:c r="C9769" s="9" t="n">
        <x:v>4</x:v>
      </x:c>
      <x:c r="D9769" s="8" t="n">
        <x:v>45678</x:v>
      </x:c>
      <x:c r="E9769" s="9" t="n">
        <x:v>3301500</x:v>
      </x:c>
      <x:c r="F9769" s="9" t="n">
        <x:v>0</x:v>
      </x:c>
    </x:row>
    <x:row r="9770" ht="34" customHeight="1">
      <x:c r="A9770" s="4" t="str">
        <x:v>RS-04842-I1</x:v>
      </x:c>
      <x:c r="B9770" s="4" t="str">
        <x:v>RS-04842</x:v>
      </x:c>
      <x:c r="C9770" s="9" t="n">
        <x:v>1</x:v>
      </x:c>
      <x:c r="D9770" s="8" t="n">
        <x:v>45591</x:v>
      </x:c>
      <x:c r="E9770" s="9" t="n">
        <x:v>5855500</x:v>
      </x:c>
      <x:c r="F9770" s="9" t="n">
        <x:v>5855500</x:v>
      </x:c>
    </x:row>
    <x:row r="9771" ht="34" customHeight="1">
      <x:c r="A9771" s="4" t="str">
        <x:v>RS-04842-I2</x:v>
      </x:c>
      <x:c r="B9771" s="4" t="str">
        <x:v>RS-04842</x:v>
      </x:c>
      <x:c r="C9771" s="9" t="n">
        <x:v>2</x:v>
      </x:c>
      <x:c r="D9771" s="8" t="n">
        <x:v>45621</x:v>
      </x:c>
      <x:c r="E9771" s="9" t="n">
        <x:v>5855500</x:v>
      </x:c>
      <x:c r="F9771" s="9" t="n">
        <x:v>5855500</x:v>
      </x:c>
    </x:row>
    <x:row r="9772" ht="34" customHeight="1">
      <x:c r="A9772" s="4" t="str">
        <x:v>RS-04842-I3</x:v>
      </x:c>
      <x:c r="B9772" s="4" t="str">
        <x:v>RS-04842</x:v>
      </x:c>
      <x:c r="C9772" s="9" t="n">
        <x:v>3</x:v>
      </x:c>
      <x:c r="D9772" s="8" t="n">
        <x:v>45651</x:v>
      </x:c>
      <x:c r="E9772" s="9" t="n">
        <x:v>5855500</x:v>
      </x:c>
      <x:c r="F9772" s="9" t="n">
        <x:v>0</x:v>
      </x:c>
    </x:row>
    <x:row r="9773" ht="34" customHeight="1">
      <x:c r="A9773" s="4" t="str">
        <x:v>RS-04842-I4</x:v>
      </x:c>
      <x:c r="B9773" s="4" t="str">
        <x:v>RS-04842</x:v>
      </x:c>
      <x:c r="C9773" s="9" t="n">
        <x:v>4</x:v>
      </x:c>
      <x:c r="D9773" s="8" t="n">
        <x:v>45681</x:v>
      </x:c>
      <x:c r="E9773" s="9" t="n">
        <x:v>5855500</x:v>
      </x:c>
      <x:c r="F9773" s="9" t="n">
        <x:v>0</x:v>
      </x:c>
    </x:row>
    <x:row r="9774" ht="34" customHeight="1">
      <x:c r="A9774" s="4" t="str">
        <x:v>RS-04846-I1</x:v>
      </x:c>
      <x:c r="B9774" s="4" t="str">
        <x:v>RS-04846</x:v>
      </x:c>
      <x:c r="C9774" s="9" t="n">
        <x:v>1</x:v>
      </x:c>
      <x:c r="D9774" s="8" t="n">
        <x:v>45567</x:v>
      </x:c>
      <x:c r="E9774" s="9" t="n">
        <x:v>3650500</x:v>
      </x:c>
      <x:c r="F9774" s="9" t="n">
        <x:v>3650500</x:v>
      </x:c>
    </x:row>
    <x:row r="9775" ht="34" customHeight="1">
      <x:c r="A9775" s="4" t="str">
        <x:v>RS-04846-I2</x:v>
      </x:c>
      <x:c r="B9775" s="4" t="str">
        <x:v>RS-04846</x:v>
      </x:c>
      <x:c r="C9775" s="9" t="n">
        <x:v>2</x:v>
      </x:c>
      <x:c r="D9775" s="8" t="n">
        <x:v>45597</x:v>
      </x:c>
      <x:c r="E9775" s="9" t="n">
        <x:v>3650500</x:v>
      </x:c>
      <x:c r="F9775" s="9" t="n">
        <x:v>3650500</x:v>
      </x:c>
    </x:row>
    <x:row r="9776" ht="34" customHeight="1">
      <x:c r="A9776" s="4" t="str">
        <x:v>RS-04846-I3</x:v>
      </x:c>
      <x:c r="B9776" s="4" t="str">
        <x:v>RS-04846</x:v>
      </x:c>
      <x:c r="C9776" s="9" t="n">
        <x:v>3</x:v>
      </x:c>
      <x:c r="D9776" s="8" t="n">
        <x:v>45627</x:v>
      </x:c>
      <x:c r="E9776" s="9" t="n">
        <x:v>3650500</x:v>
      </x:c>
      <x:c r="F9776" s="9" t="n">
        <x:v>0</x:v>
      </x:c>
    </x:row>
    <x:row r="9777" ht="34" customHeight="1">
      <x:c r="A9777" s="4" t="str">
        <x:v>RS-04846-I4</x:v>
      </x:c>
      <x:c r="B9777" s="4" t="str">
        <x:v>RS-04846</x:v>
      </x:c>
      <x:c r="C9777" s="9" t="n">
        <x:v>4</x:v>
      </x:c>
      <x:c r="D9777" s="8" t="n">
        <x:v>45657</x:v>
      </x:c>
      <x:c r="E9777" s="9" t="n">
        <x:v>3650500</x:v>
      </x:c>
      <x:c r="F9777" s="9" t="n">
        <x:v>0</x:v>
      </x:c>
    </x:row>
    <x:row r="9778" ht="34" customHeight="1">
      <x:c r="A9778" s="4" t="str">
        <x:v>RS-04849-I1</x:v>
      </x:c>
      <x:c r="B9778" s="4" t="str">
        <x:v>RS-04849</x:v>
      </x:c>
      <x:c r="C9778" s="9" t="n">
        <x:v>1</x:v>
      </x:c>
      <x:c r="D9778" s="8" t="n">
        <x:v>45570</x:v>
      </x:c>
      <x:c r="E9778" s="9" t="n">
        <x:v>4230000</x:v>
      </x:c>
      <x:c r="F9778" s="9" t="n">
        <x:v>1692000</x:v>
      </x:c>
    </x:row>
    <x:row r="9779" ht="34" customHeight="1">
      <x:c r="A9779" s="4" t="str">
        <x:v>RS-04849-I2</x:v>
      </x:c>
      <x:c r="B9779" s="4" t="str">
        <x:v>RS-04849</x:v>
      </x:c>
      <x:c r="C9779" s="9" t="n">
        <x:v>2</x:v>
      </x:c>
      <x:c r="D9779" s="8" t="n">
        <x:v>45600</x:v>
      </x:c>
      <x:c r="E9779" s="9" t="n">
        <x:v>4230000</x:v>
      </x:c>
      <x:c r="F9779" s="9" t="n">
        <x:v>0</x:v>
      </x:c>
    </x:row>
    <x:row r="9780" ht="34" customHeight="1">
      <x:c r="A9780" s="4" t="str">
        <x:v>RS-04849-I3</x:v>
      </x:c>
      <x:c r="B9780" s="4" t="str">
        <x:v>RS-04849</x:v>
      </x:c>
      <x:c r="C9780" s="9" t="n">
        <x:v>3</x:v>
      </x:c>
      <x:c r="D9780" s="8" t="n">
        <x:v>45630</x:v>
      </x:c>
      <x:c r="E9780" s="9" t="n">
        <x:v>4230000</x:v>
      </x:c>
      <x:c r="F9780" s="9" t="n">
        <x:v>0</x:v>
      </x:c>
    </x:row>
    <x:row r="9781" ht="34" customHeight="1">
      <x:c r="A9781" s="4" t="str">
        <x:v>RS-04849-I4</x:v>
      </x:c>
      <x:c r="B9781" s="4" t="str">
        <x:v>RS-04849</x:v>
      </x:c>
      <x:c r="C9781" s="9" t="n">
        <x:v>4</x:v>
      </x:c>
      <x:c r="D9781" s="8" t="n">
        <x:v>45660</x:v>
      </x:c>
      <x:c r="E9781" s="9" t="n">
        <x:v>4230000</x:v>
      </x:c>
      <x:c r="F9781" s="9" t="n">
        <x:v>0</x:v>
      </x:c>
    </x:row>
    <x:row r="9782" ht="34" customHeight="1">
      <x:c r="A9782" s="4" t="str">
        <x:v>RS-04853-I1</x:v>
      </x:c>
      <x:c r="B9782" s="4" t="str">
        <x:v>RS-04853</x:v>
      </x:c>
      <x:c r="C9782" s="9" t="n">
        <x:v>1</x:v>
      </x:c>
      <x:c r="D9782" s="8" t="n">
        <x:v>45574</x:v>
      </x:c>
      <x:c r="E9782" s="9" t="n">
        <x:v>1860000</x:v>
      </x:c>
      <x:c r="F9782" s="9" t="n">
        <x:v>1860000</x:v>
      </x:c>
    </x:row>
    <x:row r="9783" ht="34" customHeight="1">
      <x:c r="A9783" s="4" t="str">
        <x:v>RS-04853-I2</x:v>
      </x:c>
      <x:c r="B9783" s="4" t="str">
        <x:v>RS-04853</x:v>
      </x:c>
      <x:c r="C9783" s="9" t="n">
        <x:v>2</x:v>
      </x:c>
      <x:c r="D9783" s="8" t="n">
        <x:v>45604</x:v>
      </x:c>
      <x:c r="E9783" s="9" t="n">
        <x:v>1860000</x:v>
      </x:c>
      <x:c r="F9783" s="9" t="n">
        <x:v>1860000</x:v>
      </x:c>
    </x:row>
    <x:row r="9784" ht="34" customHeight="1">
      <x:c r="A9784" s="4" t="str">
        <x:v>RS-04853-I3</x:v>
      </x:c>
      <x:c r="B9784" s="4" t="str">
        <x:v>RS-04853</x:v>
      </x:c>
      <x:c r="C9784" s="9" t="n">
        <x:v>3</x:v>
      </x:c>
      <x:c r="D9784" s="8" t="n">
        <x:v>45634</x:v>
      </x:c>
      <x:c r="E9784" s="9" t="n">
        <x:v>1860000</x:v>
      </x:c>
      <x:c r="F9784" s="9" t="n">
        <x:v>1860000</x:v>
      </x:c>
    </x:row>
    <x:row r="9785" ht="34" customHeight="1">
      <x:c r="A9785" s="4" t="str">
        <x:v>RS-04853-I4</x:v>
      </x:c>
      <x:c r="B9785" s="4" t="str">
        <x:v>RS-04853</x:v>
      </x:c>
      <x:c r="C9785" s="9" t="n">
        <x:v>4</x:v>
      </x:c>
      <x:c r="D9785" s="8" t="n">
        <x:v>45664</x:v>
      </x:c>
      <x:c r="E9785" s="9" t="n">
        <x:v>1860000</x:v>
      </x:c>
      <x:c r="F9785" s="9" t="n">
        <x:v>1860000</x:v>
      </x:c>
    </x:row>
    <x:row r="9786" ht="34" customHeight="1">
      <x:c r="A9786" s="4" t="str">
        <x:v>RS-04855-I1</x:v>
      </x:c>
      <x:c r="B9786" s="4" t="str">
        <x:v>RS-04855</x:v>
      </x:c>
      <x:c r="C9786" s="9" t="n">
        <x:v>1</x:v>
      </x:c>
      <x:c r="D9786" s="8" t="n">
        <x:v>45576</x:v>
      </x:c>
      <x:c r="E9786" s="9" t="n">
        <x:v>1306250</x:v>
      </x:c>
      <x:c r="F9786" s="9" t="n">
        <x:v>522500</x:v>
      </x:c>
    </x:row>
    <x:row r="9787" ht="34" customHeight="1">
      <x:c r="A9787" s="4" t="str">
        <x:v>RS-04855-I2</x:v>
      </x:c>
      <x:c r="B9787" s="4" t="str">
        <x:v>RS-04855</x:v>
      </x:c>
      <x:c r="C9787" s="9" t="n">
        <x:v>2</x:v>
      </x:c>
      <x:c r="D9787" s="8" t="n">
        <x:v>45606</x:v>
      </x:c>
      <x:c r="E9787" s="9" t="n">
        <x:v>1306250</x:v>
      </x:c>
      <x:c r="F9787" s="9" t="n">
        <x:v>0</x:v>
      </x:c>
    </x:row>
    <x:row r="9788" ht="34" customHeight="1">
      <x:c r="A9788" s="4" t="str">
        <x:v>RS-04855-I3</x:v>
      </x:c>
      <x:c r="B9788" s="4" t="str">
        <x:v>RS-04855</x:v>
      </x:c>
      <x:c r="C9788" s="9" t="n">
        <x:v>3</x:v>
      </x:c>
      <x:c r="D9788" s="8" t="n">
        <x:v>45636</x:v>
      </x:c>
      <x:c r="E9788" s="9" t="n">
        <x:v>1306250</x:v>
      </x:c>
      <x:c r="F9788" s="9" t="n">
        <x:v>0</x:v>
      </x:c>
    </x:row>
    <x:row r="9789" ht="34" customHeight="1">
      <x:c r="A9789" s="4" t="str">
        <x:v>RS-04855-I4</x:v>
      </x:c>
      <x:c r="B9789" s="4" t="str">
        <x:v>RS-04855</x:v>
      </x:c>
      <x:c r="C9789" s="9" t="n">
        <x:v>4</x:v>
      </x:c>
      <x:c r="D9789" s="8" t="n">
        <x:v>45666</x:v>
      </x:c>
      <x:c r="E9789" s="9" t="n">
        <x:v>1306250</x:v>
      </x:c>
      <x:c r="F9789" s="9" t="n">
        <x:v>0</x:v>
      </x:c>
    </x:row>
    <x:row r="9790" ht="34" customHeight="1">
      <x:c r="A9790" s="4" t="str">
        <x:v>RS-04856-I1</x:v>
      </x:c>
      <x:c r="B9790" s="4" t="str">
        <x:v>RS-04856</x:v>
      </x:c>
      <x:c r="C9790" s="9" t="n">
        <x:v>1</x:v>
      </x:c>
      <x:c r="D9790" s="8" t="n">
        <x:v>45577</x:v>
      </x:c>
      <x:c r="E9790" s="9" t="n">
        <x:v>4136000</x:v>
      </x:c>
      <x:c r="F9790" s="9" t="n">
        <x:v>4136000</x:v>
      </x:c>
    </x:row>
    <x:row r="9791" ht="34" customHeight="1">
      <x:c r="A9791" s="4" t="str">
        <x:v>RS-04856-I2</x:v>
      </x:c>
      <x:c r="B9791" s="4" t="str">
        <x:v>RS-04856</x:v>
      </x:c>
      <x:c r="C9791" s="9" t="n">
        <x:v>2</x:v>
      </x:c>
      <x:c r="D9791" s="8" t="n">
        <x:v>45607</x:v>
      </x:c>
      <x:c r="E9791" s="9" t="n">
        <x:v>4136000</x:v>
      </x:c>
      <x:c r="F9791" s="9" t="n">
        <x:v>4136000</x:v>
      </x:c>
    </x:row>
    <x:row r="9792" ht="34" customHeight="1">
      <x:c r="A9792" s="4" t="str">
        <x:v>RS-04856-I3</x:v>
      </x:c>
      <x:c r="B9792" s="4" t="str">
        <x:v>RS-04856</x:v>
      </x:c>
      <x:c r="C9792" s="9" t="n">
        <x:v>3</x:v>
      </x:c>
      <x:c r="D9792" s="8" t="n">
        <x:v>45637</x:v>
      </x:c>
      <x:c r="E9792" s="9" t="n">
        <x:v>4136000</x:v>
      </x:c>
      <x:c r="F9792" s="9" t="n">
        <x:v>0</x:v>
      </x:c>
    </x:row>
    <x:row r="9793" ht="34" customHeight="1">
      <x:c r="A9793" s="4" t="str">
        <x:v>RS-04856-I4</x:v>
      </x:c>
      <x:c r="B9793" s="4" t="str">
        <x:v>RS-04856</x:v>
      </x:c>
      <x:c r="C9793" s="9" t="n">
        <x:v>4</x:v>
      </x:c>
      <x:c r="D9793" s="8" t="n">
        <x:v>45667</x:v>
      </x:c>
      <x:c r="E9793" s="9" t="n">
        <x:v>4136000</x:v>
      </x:c>
      <x:c r="F9793" s="9" t="n">
        <x:v>0</x:v>
      </x:c>
    </x:row>
    <x:row r="9794" ht="34" customHeight="1">
      <x:c r="A9794" s="4" t="str">
        <x:v>RS-04858-I1</x:v>
      </x:c>
      <x:c r="B9794" s="4" t="str">
        <x:v>RS-04858</x:v>
      </x:c>
      <x:c r="C9794" s="9" t="n">
        <x:v>1</x:v>
      </x:c>
      <x:c r="D9794" s="8" t="n">
        <x:v>45579</x:v>
      </x:c>
      <x:c r="E9794" s="9" t="n">
        <x:v>2821000</x:v>
      </x:c>
      <x:c r="F9794" s="9" t="n">
        <x:v>1128400</x:v>
      </x:c>
    </x:row>
    <x:row r="9795" ht="34" customHeight="1">
      <x:c r="A9795" s="4" t="str">
        <x:v>RS-04858-I2</x:v>
      </x:c>
      <x:c r="B9795" s="4" t="str">
        <x:v>RS-04858</x:v>
      </x:c>
      <x:c r="C9795" s="9" t="n">
        <x:v>2</x:v>
      </x:c>
      <x:c r="D9795" s="8" t="n">
        <x:v>45609</x:v>
      </x:c>
      <x:c r="E9795" s="9" t="n">
        <x:v>2821000</x:v>
      </x:c>
      <x:c r="F9795" s="9" t="n">
        <x:v>0</x:v>
      </x:c>
    </x:row>
    <x:row r="9796" ht="34" customHeight="1">
      <x:c r="A9796" s="4" t="str">
        <x:v>RS-04858-I3</x:v>
      </x:c>
      <x:c r="B9796" s="4" t="str">
        <x:v>RS-04858</x:v>
      </x:c>
      <x:c r="C9796" s="9" t="n">
        <x:v>3</x:v>
      </x:c>
      <x:c r="D9796" s="8" t="n">
        <x:v>45639</x:v>
      </x:c>
      <x:c r="E9796" s="9" t="n">
        <x:v>2821000</x:v>
      </x:c>
      <x:c r="F9796" s="9" t="n">
        <x:v>0</x:v>
      </x:c>
    </x:row>
    <x:row r="9797" ht="34" customHeight="1">
      <x:c r="A9797" s="4" t="str">
        <x:v>RS-04858-I4</x:v>
      </x:c>
      <x:c r="B9797" s="4" t="str">
        <x:v>RS-04858</x:v>
      </x:c>
      <x:c r="C9797" s="9" t="n">
        <x:v>4</x:v>
      </x:c>
      <x:c r="D9797" s="8" t="n">
        <x:v>45669</x:v>
      </x:c>
      <x:c r="E9797" s="9" t="n">
        <x:v>2821000</x:v>
      </x:c>
      <x:c r="F9797" s="9" t="n">
        <x:v>0</x:v>
      </x:c>
    </x:row>
    <x:row r="9798" ht="34" customHeight="1">
      <x:c r="A9798" s="4" t="str">
        <x:v>RS-04859-I1</x:v>
      </x:c>
      <x:c r="B9798" s="4" t="str">
        <x:v>RS-04859</x:v>
      </x:c>
      <x:c r="C9798" s="9" t="n">
        <x:v>1</x:v>
      </x:c>
      <x:c r="D9798" s="8" t="n">
        <x:v>45580</x:v>
      </x:c>
      <x:c r="E9798" s="9" t="n">
        <x:v>3450000</x:v>
      </x:c>
      <x:c r="F9798" s="9" t="n">
        <x:v>1380000</x:v>
      </x:c>
    </x:row>
    <x:row r="9799" ht="34" customHeight="1">
      <x:c r="A9799" s="4" t="str">
        <x:v>RS-04859-I2</x:v>
      </x:c>
      <x:c r="B9799" s="4" t="str">
        <x:v>RS-04859</x:v>
      </x:c>
      <x:c r="C9799" s="9" t="n">
        <x:v>2</x:v>
      </x:c>
      <x:c r="D9799" s="8" t="n">
        <x:v>45610</x:v>
      </x:c>
      <x:c r="E9799" s="9" t="n">
        <x:v>3450000</x:v>
      </x:c>
      <x:c r="F9799" s="9" t="n">
        <x:v>0</x:v>
      </x:c>
    </x:row>
    <x:row r="9800" ht="34" customHeight="1">
      <x:c r="A9800" s="4" t="str">
        <x:v>RS-04859-I3</x:v>
      </x:c>
      <x:c r="B9800" s="4" t="str">
        <x:v>RS-04859</x:v>
      </x:c>
      <x:c r="C9800" s="9" t="n">
        <x:v>3</x:v>
      </x:c>
      <x:c r="D9800" s="8" t="n">
        <x:v>45640</x:v>
      </x:c>
      <x:c r="E9800" s="9" t="n">
        <x:v>3450000</x:v>
      </x:c>
      <x:c r="F9800" s="9" t="n">
        <x:v>0</x:v>
      </x:c>
    </x:row>
    <x:row r="9801" ht="34" customHeight="1">
      <x:c r="A9801" s="4" t="str">
        <x:v>RS-04859-I4</x:v>
      </x:c>
      <x:c r="B9801" s="4" t="str">
        <x:v>RS-04859</x:v>
      </x:c>
      <x:c r="C9801" s="9" t="n">
        <x:v>4</x:v>
      </x:c>
      <x:c r="D9801" s="8" t="n">
        <x:v>45670</x:v>
      </x:c>
      <x:c r="E9801" s="9" t="n">
        <x:v>3450000</x:v>
      </x:c>
      <x:c r="F9801" s="9" t="n">
        <x:v>0</x:v>
      </x:c>
    </x:row>
    <x:row r="9802" ht="34" customHeight="1">
      <x:c r="A9802" s="4" t="str">
        <x:v>RS-04861-I1</x:v>
      </x:c>
      <x:c r="B9802" s="4" t="str">
        <x:v>RS-04861</x:v>
      </x:c>
      <x:c r="C9802" s="9" t="n">
        <x:v>1</x:v>
      </x:c>
      <x:c r="D9802" s="8" t="n">
        <x:v>45582</x:v>
      </x:c>
      <x:c r="E9802" s="9" t="n">
        <x:v>2557500</x:v>
      </x:c>
      <x:c r="F9802" s="9" t="n">
        <x:v>1023000</x:v>
      </x:c>
    </x:row>
    <x:row r="9803" ht="34" customHeight="1">
      <x:c r="A9803" s="4" t="str">
        <x:v>RS-04861-I2</x:v>
      </x:c>
      <x:c r="B9803" s="4" t="str">
        <x:v>RS-04861</x:v>
      </x:c>
      <x:c r="C9803" s="9" t="n">
        <x:v>2</x:v>
      </x:c>
      <x:c r="D9803" s="8" t="n">
        <x:v>45612</x:v>
      </x:c>
      <x:c r="E9803" s="9" t="n">
        <x:v>2557500</x:v>
      </x:c>
      <x:c r="F9803" s="9" t="n">
        <x:v>0</x:v>
      </x:c>
    </x:row>
    <x:row r="9804" ht="34" customHeight="1">
      <x:c r="A9804" s="4" t="str">
        <x:v>RS-04861-I3</x:v>
      </x:c>
      <x:c r="B9804" s="4" t="str">
        <x:v>RS-04861</x:v>
      </x:c>
      <x:c r="C9804" s="9" t="n">
        <x:v>3</x:v>
      </x:c>
      <x:c r="D9804" s="8" t="n">
        <x:v>45642</x:v>
      </x:c>
      <x:c r="E9804" s="9" t="n">
        <x:v>2557500</x:v>
      </x:c>
      <x:c r="F9804" s="9" t="n">
        <x:v>0</x:v>
      </x:c>
    </x:row>
    <x:row r="9805" ht="34" customHeight="1">
      <x:c r="A9805" s="4" t="str">
        <x:v>RS-04861-I4</x:v>
      </x:c>
      <x:c r="B9805" s="4" t="str">
        <x:v>RS-04861</x:v>
      </x:c>
      <x:c r="C9805" s="9" t="n">
        <x:v>4</x:v>
      </x:c>
      <x:c r="D9805" s="8" t="n">
        <x:v>45672</x:v>
      </x:c>
      <x:c r="E9805" s="9" t="n">
        <x:v>2557500</x:v>
      </x:c>
      <x:c r="F9805" s="9" t="n">
        <x:v>0</x:v>
      </x:c>
    </x:row>
    <x:row r="9806" ht="34" customHeight="1">
      <x:c r="A9806" s="4" t="str">
        <x:v>RS-04862-I1</x:v>
      </x:c>
      <x:c r="B9806" s="4" t="str">
        <x:v>RS-04862</x:v>
      </x:c>
      <x:c r="C9806" s="9" t="n">
        <x:v>1</x:v>
      </x:c>
      <x:c r="D9806" s="8" t="n">
        <x:v>45583</x:v>
      </x:c>
      <x:c r="E9806" s="9" t="n">
        <x:v>790500</x:v>
      </x:c>
      <x:c r="F9806" s="9" t="n">
        <x:v>790500</x:v>
      </x:c>
    </x:row>
    <x:row r="9807" ht="34" customHeight="1">
      <x:c r="A9807" s="4" t="str">
        <x:v>RS-04862-I2</x:v>
      </x:c>
      <x:c r="B9807" s="4" t="str">
        <x:v>RS-04862</x:v>
      </x:c>
      <x:c r="C9807" s="9" t="n">
        <x:v>2</x:v>
      </x:c>
      <x:c r="D9807" s="8" t="n">
        <x:v>45613</x:v>
      </x:c>
      <x:c r="E9807" s="9" t="n">
        <x:v>790500</x:v>
      </x:c>
      <x:c r="F9807" s="9" t="n">
        <x:v>790500</x:v>
      </x:c>
    </x:row>
    <x:row r="9808" ht="34" customHeight="1">
      <x:c r="A9808" s="4" t="str">
        <x:v>RS-04862-I3</x:v>
      </x:c>
      <x:c r="B9808" s="4" t="str">
        <x:v>RS-04862</x:v>
      </x:c>
      <x:c r="C9808" s="9" t="n">
        <x:v>3</x:v>
      </x:c>
      <x:c r="D9808" s="8" t="n">
        <x:v>45643</x:v>
      </x:c>
      <x:c r="E9808" s="9" t="n">
        <x:v>790500</x:v>
      </x:c>
      <x:c r="F9808" s="9" t="n">
        <x:v>0</x:v>
      </x:c>
    </x:row>
    <x:row r="9809" ht="34" customHeight="1">
      <x:c r="A9809" s="4" t="str">
        <x:v>RS-04862-I4</x:v>
      </x:c>
      <x:c r="B9809" s="4" t="str">
        <x:v>RS-04862</x:v>
      </x:c>
      <x:c r="C9809" s="9" t="n">
        <x:v>4</x:v>
      </x:c>
      <x:c r="D9809" s="8" t="n">
        <x:v>45673</x:v>
      </x:c>
      <x:c r="E9809" s="9" t="n">
        <x:v>790500</x:v>
      </x:c>
      <x:c r="F9809" s="9" t="n">
        <x:v>0</x:v>
      </x:c>
    </x:row>
    <x:row r="9810" ht="34" customHeight="1">
      <x:c r="A9810" s="4" t="str">
        <x:v>RS-04865-I1</x:v>
      </x:c>
      <x:c r="B9810" s="4" t="str">
        <x:v>RS-04865</x:v>
      </x:c>
      <x:c r="C9810" s="9" t="n">
        <x:v>1</x:v>
      </x:c>
      <x:c r="D9810" s="8" t="n">
        <x:v>45586</x:v>
      </x:c>
      <x:c r="E9810" s="9" t="n">
        <x:v>5346000</x:v>
      </x:c>
      <x:c r="F9810" s="9" t="n">
        <x:v>5346000</x:v>
      </x:c>
    </x:row>
    <x:row r="9811" ht="34" customHeight="1">
      <x:c r="A9811" s="4" t="str">
        <x:v>RS-04865-I2</x:v>
      </x:c>
      <x:c r="B9811" s="4" t="str">
        <x:v>RS-04865</x:v>
      </x:c>
      <x:c r="C9811" s="9" t="n">
        <x:v>2</x:v>
      </x:c>
      <x:c r="D9811" s="8" t="n">
        <x:v>45616</x:v>
      </x:c>
      <x:c r="E9811" s="9" t="n">
        <x:v>5346000</x:v>
      </x:c>
      <x:c r="F9811" s="9" t="n">
        <x:v>0</x:v>
      </x:c>
    </x:row>
    <x:row r="9812" ht="34" customHeight="1">
      <x:c r="A9812" s="4" t="str">
        <x:v>RS-04865-I3</x:v>
      </x:c>
      <x:c r="B9812" s="4" t="str">
        <x:v>RS-04865</x:v>
      </x:c>
      <x:c r="C9812" s="9" t="n">
        <x:v>3</x:v>
      </x:c>
      <x:c r="D9812" s="8" t="n">
        <x:v>45646</x:v>
      </x:c>
      <x:c r="E9812" s="9" t="n">
        <x:v>5346000</x:v>
      </x:c>
      <x:c r="F9812" s="9" t="n">
        <x:v>0</x:v>
      </x:c>
    </x:row>
    <x:row r="9813" ht="34" customHeight="1">
      <x:c r="A9813" s="4" t="str">
        <x:v>RS-04865-I4</x:v>
      </x:c>
      <x:c r="B9813" s="4" t="str">
        <x:v>RS-04865</x:v>
      </x:c>
      <x:c r="C9813" s="9" t="n">
        <x:v>4</x:v>
      </x:c>
      <x:c r="D9813" s="8" t="n">
        <x:v>45676</x:v>
      </x:c>
      <x:c r="E9813" s="9" t="n">
        <x:v>5346000</x:v>
      </x:c>
      <x:c r="F9813" s="9" t="n">
        <x:v>0</x:v>
      </x:c>
    </x:row>
    <x:row r="9814" ht="34" customHeight="1">
      <x:c r="A9814" s="4" t="str">
        <x:v>RS-04867-I1</x:v>
      </x:c>
      <x:c r="B9814" s="4" t="str">
        <x:v>RS-04867</x:v>
      </x:c>
      <x:c r="C9814" s="9" t="n">
        <x:v>1</x:v>
      </x:c>
      <x:c r="D9814" s="8" t="n">
        <x:v>45588</x:v>
      </x:c>
      <x:c r="E9814" s="9" t="n">
        <x:v>994250</x:v>
      </x:c>
      <x:c r="F9814" s="9" t="n">
        <x:v>994250</x:v>
      </x:c>
    </x:row>
    <x:row r="9815" ht="34" customHeight="1">
      <x:c r="A9815" s="4" t="str">
        <x:v>RS-04867-I2</x:v>
      </x:c>
      <x:c r="B9815" s="4" t="str">
        <x:v>RS-04867</x:v>
      </x:c>
      <x:c r="C9815" s="9" t="n">
        <x:v>2</x:v>
      </x:c>
      <x:c r="D9815" s="8" t="n">
        <x:v>45618</x:v>
      </x:c>
      <x:c r="E9815" s="9" t="n">
        <x:v>994250</x:v>
      </x:c>
      <x:c r="F9815" s="9" t="n">
        <x:v>994250</x:v>
      </x:c>
    </x:row>
    <x:row r="9816" ht="34" customHeight="1">
      <x:c r="A9816" s="4" t="str">
        <x:v>RS-04867-I3</x:v>
      </x:c>
      <x:c r="B9816" s="4" t="str">
        <x:v>RS-04867</x:v>
      </x:c>
      <x:c r="C9816" s="9" t="n">
        <x:v>3</x:v>
      </x:c>
      <x:c r="D9816" s="8" t="n">
        <x:v>45648</x:v>
      </x:c>
      <x:c r="E9816" s="9" t="n">
        <x:v>994250</x:v>
      </x:c>
      <x:c r="F9816" s="9" t="n">
        <x:v>994250</x:v>
      </x:c>
    </x:row>
    <x:row r="9817" ht="34" customHeight="1">
      <x:c r="A9817" s="4" t="str">
        <x:v>RS-04867-I4</x:v>
      </x:c>
      <x:c r="B9817" s="4" t="str">
        <x:v>RS-04867</x:v>
      </x:c>
      <x:c r="C9817" s="9" t="n">
        <x:v>4</x:v>
      </x:c>
      <x:c r="D9817" s="8" t="n">
        <x:v>45678</x:v>
      </x:c>
      <x:c r="E9817" s="9" t="n">
        <x:v>994250</x:v>
      </x:c>
      <x:c r="F9817" s="9" t="n">
        <x:v>994250</x:v>
      </x:c>
    </x:row>
    <x:row r="9818" ht="34" customHeight="1">
      <x:c r="A9818" s="4" t="str">
        <x:v>RS-04868-I1</x:v>
      </x:c>
      <x:c r="B9818" s="4" t="str">
        <x:v>RS-04868</x:v>
      </x:c>
      <x:c r="C9818" s="9" t="n">
        <x:v>1</x:v>
      </x:c>
      <x:c r="D9818" s="8" t="n">
        <x:v>45589</x:v>
      </x:c>
      <x:c r="E9818" s="9" t="n">
        <x:v>4122500</x:v>
      </x:c>
      <x:c r="F9818" s="9" t="n">
        <x:v>4122500</x:v>
      </x:c>
    </x:row>
    <x:row r="9819" ht="34" customHeight="1">
      <x:c r="A9819" s="4" t="str">
        <x:v>RS-04868-I2</x:v>
      </x:c>
      <x:c r="B9819" s="4" t="str">
        <x:v>RS-04868</x:v>
      </x:c>
      <x:c r="C9819" s="9" t="n">
        <x:v>2</x:v>
      </x:c>
      <x:c r="D9819" s="8" t="n">
        <x:v>45619</x:v>
      </x:c>
      <x:c r="E9819" s="9" t="n">
        <x:v>4122500</x:v>
      </x:c>
      <x:c r="F9819" s="9" t="n">
        <x:v>0</x:v>
      </x:c>
    </x:row>
    <x:row r="9820" ht="34" customHeight="1">
      <x:c r="A9820" s="4" t="str">
        <x:v>RS-04868-I3</x:v>
      </x:c>
      <x:c r="B9820" s="4" t="str">
        <x:v>RS-04868</x:v>
      </x:c>
      <x:c r="C9820" s="9" t="n">
        <x:v>3</x:v>
      </x:c>
      <x:c r="D9820" s="8" t="n">
        <x:v>45649</x:v>
      </x:c>
      <x:c r="E9820" s="9" t="n">
        <x:v>4122500</x:v>
      </x:c>
      <x:c r="F9820" s="9" t="n">
        <x:v>0</x:v>
      </x:c>
    </x:row>
    <x:row r="9821" ht="34" customHeight="1">
      <x:c r="A9821" s="4" t="str">
        <x:v>RS-04868-I4</x:v>
      </x:c>
      <x:c r="B9821" s="4" t="str">
        <x:v>RS-04868</x:v>
      </x:c>
      <x:c r="C9821" s="9" t="n">
        <x:v>4</x:v>
      </x:c>
      <x:c r="D9821" s="8" t="n">
        <x:v>45679</x:v>
      </x:c>
      <x:c r="E9821" s="9" t="n">
        <x:v>4122500</x:v>
      </x:c>
      <x:c r="F9821" s="9" t="n">
        <x:v>0</x:v>
      </x:c>
    </x:row>
    <x:row r="9822" ht="34" customHeight="1">
      <x:c r="A9822" s="4" t="str">
        <x:v>RS-04869-I1</x:v>
      </x:c>
      <x:c r="B9822" s="4" t="str">
        <x:v>RS-04869</x:v>
      </x:c>
      <x:c r="C9822" s="9" t="n">
        <x:v>1</x:v>
      </x:c>
      <x:c r="D9822" s="8" t="n">
        <x:v>45590</x:v>
      </x:c>
      <x:c r="E9822" s="9" t="n">
        <x:v>1865500</x:v>
      </x:c>
      <x:c r="F9822" s="9" t="n">
        <x:v>746200</x:v>
      </x:c>
    </x:row>
    <x:row r="9823" ht="34" customHeight="1">
      <x:c r="A9823" s="4" t="str">
        <x:v>RS-04869-I2</x:v>
      </x:c>
      <x:c r="B9823" s="4" t="str">
        <x:v>RS-04869</x:v>
      </x:c>
      <x:c r="C9823" s="9" t="n">
        <x:v>2</x:v>
      </x:c>
      <x:c r="D9823" s="8" t="n">
        <x:v>45620</x:v>
      </x:c>
      <x:c r="E9823" s="9" t="n">
        <x:v>1865500</x:v>
      </x:c>
      <x:c r="F9823" s="9" t="n">
        <x:v>0</x:v>
      </x:c>
    </x:row>
    <x:row r="9824" ht="34" customHeight="1">
      <x:c r="A9824" s="4" t="str">
        <x:v>RS-04869-I3</x:v>
      </x:c>
      <x:c r="B9824" s="4" t="str">
        <x:v>RS-04869</x:v>
      </x:c>
      <x:c r="C9824" s="9" t="n">
        <x:v>3</x:v>
      </x:c>
      <x:c r="D9824" s="8" t="n">
        <x:v>45650</x:v>
      </x:c>
      <x:c r="E9824" s="9" t="n">
        <x:v>1865500</x:v>
      </x:c>
      <x:c r="F9824" s="9" t="n">
        <x:v>0</x:v>
      </x:c>
    </x:row>
    <x:row r="9825" ht="34" customHeight="1">
      <x:c r="A9825" s="4" t="str">
        <x:v>RS-04869-I4</x:v>
      </x:c>
      <x:c r="B9825" s="4" t="str">
        <x:v>RS-04869</x:v>
      </x:c>
      <x:c r="C9825" s="9" t="n">
        <x:v>4</x:v>
      </x:c>
      <x:c r="D9825" s="8" t="n">
        <x:v>45680</x:v>
      </x:c>
      <x:c r="E9825" s="9" t="n">
        <x:v>1865500</x:v>
      </x:c>
      <x:c r="F9825" s="9" t="n">
        <x:v>0</x:v>
      </x:c>
    </x:row>
    <x:row r="9826" ht="34" customHeight="1">
      <x:c r="A9826" s="4" t="str">
        <x:v>RS-04870-I1</x:v>
      </x:c>
      <x:c r="B9826" s="4" t="str">
        <x:v>RS-04870</x:v>
      </x:c>
      <x:c r="C9826" s="9" t="n">
        <x:v>1</x:v>
      </x:c>
      <x:c r="D9826" s="8" t="n">
        <x:v>45591</x:v>
      </x:c>
      <x:c r="E9826" s="9" t="n">
        <x:v>5757500</x:v>
      </x:c>
      <x:c r="F9826" s="9" t="n">
        <x:v>5757500</x:v>
      </x:c>
    </x:row>
    <x:row r="9827" ht="34" customHeight="1">
      <x:c r="A9827" s="4" t="str">
        <x:v>RS-04870-I2</x:v>
      </x:c>
      <x:c r="B9827" s="4" t="str">
        <x:v>RS-04870</x:v>
      </x:c>
      <x:c r="C9827" s="9" t="n">
        <x:v>2</x:v>
      </x:c>
      <x:c r="D9827" s="8" t="n">
        <x:v>45621</x:v>
      </x:c>
      <x:c r="E9827" s="9" t="n">
        <x:v>5757500</x:v>
      </x:c>
      <x:c r="F9827" s="9" t="n">
        <x:v>5757500</x:v>
      </x:c>
    </x:row>
    <x:row r="9828" ht="34" customHeight="1">
      <x:c r="A9828" s="4" t="str">
        <x:v>RS-04870-I3</x:v>
      </x:c>
      <x:c r="B9828" s="4" t="str">
        <x:v>RS-04870</x:v>
      </x:c>
      <x:c r="C9828" s="9" t="n">
        <x:v>3</x:v>
      </x:c>
      <x:c r="D9828" s="8" t="n">
        <x:v>45651</x:v>
      </x:c>
      <x:c r="E9828" s="9" t="n">
        <x:v>5757500</x:v>
      </x:c>
      <x:c r="F9828" s="9" t="n">
        <x:v>0</x:v>
      </x:c>
    </x:row>
    <x:row r="9829" ht="34" customHeight="1">
      <x:c r="A9829" s="4" t="str">
        <x:v>RS-04870-I4</x:v>
      </x:c>
      <x:c r="B9829" s="4" t="str">
        <x:v>RS-04870</x:v>
      </x:c>
      <x:c r="C9829" s="9" t="n">
        <x:v>4</x:v>
      </x:c>
      <x:c r="D9829" s="8" t="n">
        <x:v>45681</x:v>
      </x:c>
      <x:c r="E9829" s="9" t="n">
        <x:v>5757500</x:v>
      </x:c>
      <x:c r="F9829" s="9" t="n">
        <x:v>0</x:v>
      </x:c>
    </x:row>
    <x:row r="9830" ht="34" customHeight="1">
      <x:c r="A9830" s="4" t="str">
        <x:v>RS-04876-I1</x:v>
      </x:c>
      <x:c r="B9830" s="4" t="str">
        <x:v>RS-04876</x:v>
      </x:c>
      <x:c r="C9830" s="9" t="n">
        <x:v>1</x:v>
      </x:c>
      <x:c r="D9830" s="8" t="n">
        <x:v>45569</x:v>
      </x:c>
      <x:c r="E9830" s="9" t="n">
        <x:v>1128000</x:v>
      </x:c>
      <x:c r="F9830" s="9" t="n">
        <x:v>1128000</x:v>
      </x:c>
    </x:row>
    <x:row r="9831" ht="34" customHeight="1">
      <x:c r="A9831" s="4" t="str">
        <x:v>RS-04876-I2</x:v>
      </x:c>
      <x:c r="B9831" s="4" t="str">
        <x:v>RS-04876</x:v>
      </x:c>
      <x:c r="C9831" s="9" t="n">
        <x:v>2</x:v>
      </x:c>
      <x:c r="D9831" s="8" t="n">
        <x:v>45599</x:v>
      </x:c>
      <x:c r="E9831" s="9" t="n">
        <x:v>1128000</x:v>
      </x:c>
      <x:c r="F9831" s="9" t="n">
        <x:v>1128000</x:v>
      </x:c>
    </x:row>
    <x:row r="9832" ht="34" customHeight="1">
      <x:c r="A9832" s="4" t="str">
        <x:v>RS-04876-I3</x:v>
      </x:c>
      <x:c r="B9832" s="4" t="str">
        <x:v>RS-04876</x:v>
      </x:c>
      <x:c r="C9832" s="9" t="n">
        <x:v>3</x:v>
      </x:c>
      <x:c r="D9832" s="8" t="n">
        <x:v>45629</x:v>
      </x:c>
      <x:c r="E9832" s="9" t="n">
        <x:v>1128000</x:v>
      </x:c>
      <x:c r="F9832" s="9" t="n">
        <x:v>0</x:v>
      </x:c>
    </x:row>
    <x:row r="9833" ht="34" customHeight="1">
      <x:c r="A9833" s="4" t="str">
        <x:v>RS-04876-I4</x:v>
      </x:c>
      <x:c r="B9833" s="4" t="str">
        <x:v>RS-04876</x:v>
      </x:c>
      <x:c r="C9833" s="9" t="n">
        <x:v>4</x:v>
      </x:c>
      <x:c r="D9833" s="8" t="n">
        <x:v>45659</x:v>
      </x:c>
      <x:c r="E9833" s="9" t="n">
        <x:v>1128000</x:v>
      </x:c>
      <x:c r="F9833" s="9" t="n">
        <x:v>0</x:v>
      </x:c>
    </x:row>
    <x:row r="9834" ht="34" customHeight="1">
      <x:c r="A9834" s="4" t="str">
        <x:v>RS-04877-I1</x:v>
      </x:c>
      <x:c r="B9834" s="4" t="str">
        <x:v>RS-04877</x:v>
      </x:c>
      <x:c r="C9834" s="9" t="n">
        <x:v>1</x:v>
      </x:c>
      <x:c r="D9834" s="8" t="n">
        <x:v>45570</x:v>
      </x:c>
      <x:c r="E9834" s="9" t="n">
        <x:v>922500</x:v>
      </x:c>
      <x:c r="F9834" s="9" t="n">
        <x:v>922500</x:v>
      </x:c>
    </x:row>
    <x:row r="9835" ht="34" customHeight="1">
      <x:c r="A9835" s="4" t="str">
        <x:v>RS-04877-I2</x:v>
      </x:c>
      <x:c r="B9835" s="4" t="str">
        <x:v>RS-04877</x:v>
      </x:c>
      <x:c r="C9835" s="9" t="n">
        <x:v>2</x:v>
      </x:c>
      <x:c r="D9835" s="8" t="n">
        <x:v>45600</x:v>
      </x:c>
      <x:c r="E9835" s="9" t="n">
        <x:v>922500</x:v>
      </x:c>
      <x:c r="F9835" s="9" t="n">
        <x:v>922500</x:v>
      </x:c>
    </x:row>
    <x:row r="9836" ht="34" customHeight="1">
      <x:c r="A9836" s="4" t="str">
        <x:v>RS-04877-I3</x:v>
      </x:c>
      <x:c r="B9836" s="4" t="str">
        <x:v>RS-04877</x:v>
      </x:c>
      <x:c r="C9836" s="9" t="n">
        <x:v>3</x:v>
      </x:c>
      <x:c r="D9836" s="8" t="n">
        <x:v>45630</x:v>
      </x:c>
      <x:c r="E9836" s="9" t="n">
        <x:v>922500</x:v>
      </x:c>
      <x:c r="F9836" s="9" t="n">
        <x:v>0</x:v>
      </x:c>
    </x:row>
    <x:row r="9837" ht="34" customHeight="1">
      <x:c r="A9837" s="4" t="str">
        <x:v>RS-04877-I4</x:v>
      </x:c>
      <x:c r="B9837" s="4" t="str">
        <x:v>RS-04877</x:v>
      </x:c>
      <x:c r="C9837" s="9" t="n">
        <x:v>4</x:v>
      </x:c>
      <x:c r="D9837" s="8" t="n">
        <x:v>45660</x:v>
      </x:c>
      <x:c r="E9837" s="9" t="n">
        <x:v>922500</x:v>
      </x:c>
      <x:c r="F9837" s="9" t="n">
        <x:v>0</x:v>
      </x:c>
    </x:row>
    <x:row r="9838" ht="34" customHeight="1">
      <x:c r="A9838" s="4" t="str">
        <x:v>RS-04880-I1</x:v>
      </x:c>
      <x:c r="B9838" s="4" t="str">
        <x:v>RS-04880</x:v>
      </x:c>
      <x:c r="C9838" s="9" t="n">
        <x:v>1</x:v>
      </x:c>
      <x:c r="D9838" s="8" t="n">
        <x:v>45573</x:v>
      </x:c>
      <x:c r="E9838" s="9" t="n">
        <x:v>3478000</x:v>
      </x:c>
      <x:c r="F9838" s="9" t="n">
        <x:v>1391200</x:v>
      </x:c>
    </x:row>
    <x:row r="9839" ht="34" customHeight="1">
      <x:c r="A9839" s="4" t="str">
        <x:v>RS-04880-I2</x:v>
      </x:c>
      <x:c r="B9839" s="4" t="str">
        <x:v>RS-04880</x:v>
      </x:c>
      <x:c r="C9839" s="9" t="n">
        <x:v>2</x:v>
      </x:c>
      <x:c r="D9839" s="8" t="n">
        <x:v>45603</x:v>
      </x:c>
      <x:c r="E9839" s="9" t="n">
        <x:v>3478000</x:v>
      </x:c>
      <x:c r="F9839" s="9" t="n">
        <x:v>0</x:v>
      </x:c>
    </x:row>
    <x:row r="9840" ht="34" customHeight="1">
      <x:c r="A9840" s="4" t="str">
        <x:v>RS-04880-I3</x:v>
      </x:c>
      <x:c r="B9840" s="4" t="str">
        <x:v>RS-04880</x:v>
      </x:c>
      <x:c r="C9840" s="9" t="n">
        <x:v>3</x:v>
      </x:c>
      <x:c r="D9840" s="8" t="n">
        <x:v>45633</x:v>
      </x:c>
      <x:c r="E9840" s="9" t="n">
        <x:v>3478000</x:v>
      </x:c>
      <x:c r="F9840" s="9" t="n">
        <x:v>0</x:v>
      </x:c>
    </x:row>
    <x:row r="9841" ht="34" customHeight="1">
      <x:c r="A9841" s="4" t="str">
        <x:v>RS-04880-I4</x:v>
      </x:c>
      <x:c r="B9841" s="4" t="str">
        <x:v>RS-04880</x:v>
      </x:c>
      <x:c r="C9841" s="9" t="n">
        <x:v>4</x:v>
      </x:c>
      <x:c r="D9841" s="8" t="n">
        <x:v>45663</x:v>
      </x:c>
      <x:c r="E9841" s="9" t="n">
        <x:v>3478000</x:v>
      </x:c>
      <x:c r="F9841" s="9" t="n">
        <x:v>0</x:v>
      </x:c>
    </x:row>
    <x:row r="9842" ht="34" customHeight="1">
      <x:c r="A9842" s="4" t="str">
        <x:v>RS-04881-I1</x:v>
      </x:c>
      <x:c r="B9842" s="4" t="str">
        <x:v>RS-04881</x:v>
      </x:c>
      <x:c r="C9842" s="9" t="n">
        <x:v>1</x:v>
      </x:c>
      <x:c r="D9842" s="8" t="n">
        <x:v>45574</x:v>
      </x:c>
      <x:c r="E9842" s="9" t="n">
        <x:v>4462000</x:v>
      </x:c>
      <x:c r="F9842" s="9" t="n">
        <x:v>4462000</x:v>
      </x:c>
    </x:row>
    <x:row r="9843" ht="34" customHeight="1">
      <x:c r="A9843" s="4" t="str">
        <x:v>RS-04881-I2</x:v>
      </x:c>
      <x:c r="B9843" s="4" t="str">
        <x:v>RS-04881</x:v>
      </x:c>
      <x:c r="C9843" s="9" t="n">
        <x:v>2</x:v>
      </x:c>
      <x:c r="D9843" s="8" t="n">
        <x:v>45604</x:v>
      </x:c>
      <x:c r="E9843" s="9" t="n">
        <x:v>4462000</x:v>
      </x:c>
      <x:c r="F9843" s="9" t="n">
        <x:v>0</x:v>
      </x:c>
    </x:row>
    <x:row r="9844" ht="34" customHeight="1">
      <x:c r="A9844" s="4" t="str">
        <x:v>RS-04881-I3</x:v>
      </x:c>
      <x:c r="B9844" s="4" t="str">
        <x:v>RS-04881</x:v>
      </x:c>
      <x:c r="C9844" s="9" t="n">
        <x:v>3</x:v>
      </x:c>
      <x:c r="D9844" s="8" t="n">
        <x:v>45634</x:v>
      </x:c>
      <x:c r="E9844" s="9" t="n">
        <x:v>4462000</x:v>
      </x:c>
      <x:c r="F9844" s="9" t="n">
        <x:v>0</x:v>
      </x:c>
    </x:row>
    <x:row r="9845" ht="34" customHeight="1">
      <x:c r="A9845" s="4" t="str">
        <x:v>RS-04881-I4</x:v>
      </x:c>
      <x:c r="B9845" s="4" t="str">
        <x:v>RS-04881</x:v>
      </x:c>
      <x:c r="C9845" s="9" t="n">
        <x:v>4</x:v>
      </x:c>
      <x:c r="D9845" s="8" t="n">
        <x:v>45664</x:v>
      </x:c>
      <x:c r="E9845" s="9" t="n">
        <x:v>4462000</x:v>
      </x:c>
      <x:c r="F9845" s="9" t="n">
        <x:v>0</x:v>
      </x:c>
    </x:row>
    <x:row r="9846" ht="34" customHeight="1">
      <x:c r="A9846" s="4" t="str">
        <x:v>RS-04883-I1</x:v>
      </x:c>
      <x:c r="B9846" s="4" t="str">
        <x:v>RS-04883</x:v>
      </x:c>
      <x:c r="C9846" s="9" t="n">
        <x:v>1</x:v>
      </x:c>
      <x:c r="D9846" s="8" t="n">
        <x:v>45576</x:v>
      </x:c>
      <x:c r="E9846" s="9" t="n">
        <x:v>2252250</x:v>
      </x:c>
      <x:c r="F9846" s="9" t="n">
        <x:v>2252250</x:v>
      </x:c>
    </x:row>
    <x:row r="9847" ht="34" customHeight="1">
      <x:c r="A9847" s="4" t="str">
        <x:v>RS-04883-I2</x:v>
      </x:c>
      <x:c r="B9847" s="4" t="str">
        <x:v>RS-04883</x:v>
      </x:c>
      <x:c r="C9847" s="9" t="n">
        <x:v>2</x:v>
      </x:c>
      <x:c r="D9847" s="8" t="n">
        <x:v>45606</x:v>
      </x:c>
      <x:c r="E9847" s="9" t="n">
        <x:v>2252250</x:v>
      </x:c>
      <x:c r="F9847" s="9" t="n">
        <x:v>2252250</x:v>
      </x:c>
    </x:row>
    <x:row r="9848" ht="34" customHeight="1">
      <x:c r="A9848" s="4" t="str">
        <x:v>RS-04883-I3</x:v>
      </x:c>
      <x:c r="B9848" s="4" t="str">
        <x:v>RS-04883</x:v>
      </x:c>
      <x:c r="C9848" s="9" t="n">
        <x:v>3</x:v>
      </x:c>
      <x:c r="D9848" s="8" t="n">
        <x:v>45636</x:v>
      </x:c>
      <x:c r="E9848" s="9" t="n">
        <x:v>2252250</x:v>
      </x:c>
      <x:c r="F9848" s="9" t="n">
        <x:v>0</x:v>
      </x:c>
    </x:row>
    <x:row r="9849" ht="34" customHeight="1">
      <x:c r="A9849" s="4" t="str">
        <x:v>RS-04883-I4</x:v>
      </x:c>
      <x:c r="B9849" s="4" t="str">
        <x:v>RS-04883</x:v>
      </x:c>
      <x:c r="C9849" s="9" t="n">
        <x:v>4</x:v>
      </x:c>
      <x:c r="D9849" s="8" t="n">
        <x:v>45666</x:v>
      </x:c>
      <x:c r="E9849" s="9" t="n">
        <x:v>2252250</x:v>
      </x:c>
      <x:c r="F9849" s="9" t="n">
        <x:v>0</x:v>
      </x:c>
    </x:row>
    <x:row r="9850" ht="34" customHeight="1">
      <x:c r="A9850" s="4" t="str">
        <x:v>RS-04893-I1</x:v>
      </x:c>
      <x:c r="B9850" s="4" t="str">
        <x:v>RS-04893</x:v>
      </x:c>
      <x:c r="C9850" s="9" t="n">
        <x:v>1</x:v>
      </x:c>
      <x:c r="D9850" s="8" t="n">
        <x:v>45586</x:v>
      </x:c>
      <x:c r="E9850" s="9" t="n">
        <x:v>4249750</x:v>
      </x:c>
      <x:c r="F9850" s="9" t="n">
        <x:v>4249750</x:v>
      </x:c>
    </x:row>
    <x:row r="9851" ht="34" customHeight="1">
      <x:c r="A9851" s="4" t="str">
        <x:v>RS-04893-I2</x:v>
      </x:c>
      <x:c r="B9851" s="4" t="str">
        <x:v>RS-04893</x:v>
      </x:c>
      <x:c r="C9851" s="9" t="n">
        <x:v>2</x:v>
      </x:c>
      <x:c r="D9851" s="8" t="n">
        <x:v>45616</x:v>
      </x:c>
      <x:c r="E9851" s="9" t="n">
        <x:v>4249750</x:v>
      </x:c>
      <x:c r="F9851" s="9" t="n">
        <x:v>4249750</x:v>
      </x:c>
    </x:row>
    <x:row r="9852" ht="34" customHeight="1">
      <x:c r="A9852" s="4" t="str">
        <x:v>RS-04893-I3</x:v>
      </x:c>
      <x:c r="B9852" s="4" t="str">
        <x:v>RS-04893</x:v>
      </x:c>
      <x:c r="C9852" s="9" t="n">
        <x:v>3</x:v>
      </x:c>
      <x:c r="D9852" s="8" t="n">
        <x:v>45646</x:v>
      </x:c>
      <x:c r="E9852" s="9" t="n">
        <x:v>4249750</x:v>
      </x:c>
      <x:c r="F9852" s="9" t="n">
        <x:v>0</x:v>
      </x:c>
    </x:row>
    <x:row r="9853" ht="34" customHeight="1">
      <x:c r="A9853" s="4" t="str">
        <x:v>RS-04893-I4</x:v>
      </x:c>
      <x:c r="B9853" s="4" t="str">
        <x:v>RS-04893</x:v>
      </x:c>
      <x:c r="C9853" s="9" t="n">
        <x:v>4</x:v>
      </x:c>
      <x:c r="D9853" s="8" t="n">
        <x:v>45676</x:v>
      </x:c>
      <x:c r="E9853" s="9" t="n">
        <x:v>4249750</x:v>
      </x:c>
      <x:c r="F9853" s="9" t="n">
        <x:v>0</x:v>
      </x:c>
    </x:row>
    <x:row r="9854" ht="34" customHeight="1">
      <x:c r="A9854" s="4" t="str">
        <x:v>RS-04894-I1</x:v>
      </x:c>
      <x:c r="B9854" s="4" t="str">
        <x:v>RS-04894</x:v>
      </x:c>
      <x:c r="C9854" s="9" t="n">
        <x:v>1</x:v>
      </x:c>
      <x:c r="D9854" s="8" t="n">
        <x:v>45587</x:v>
      </x:c>
      <x:c r="E9854" s="9" t="n">
        <x:v>1029000</x:v>
      </x:c>
      <x:c r="F9854" s="9" t="n">
        <x:v>1029000</x:v>
      </x:c>
    </x:row>
    <x:row r="9855" ht="34" customHeight="1">
      <x:c r="A9855" s="4" t="str">
        <x:v>RS-04894-I2</x:v>
      </x:c>
      <x:c r="B9855" s="4" t="str">
        <x:v>RS-04894</x:v>
      </x:c>
      <x:c r="C9855" s="9" t="n">
        <x:v>2</x:v>
      </x:c>
      <x:c r="D9855" s="8" t="n">
        <x:v>45617</x:v>
      </x:c>
      <x:c r="E9855" s="9" t="n">
        <x:v>1029000</x:v>
      </x:c>
      <x:c r="F9855" s="9" t="n">
        <x:v>1029000</x:v>
      </x:c>
    </x:row>
    <x:row r="9856" ht="34" customHeight="1">
      <x:c r="A9856" s="4" t="str">
        <x:v>RS-04894-I3</x:v>
      </x:c>
      <x:c r="B9856" s="4" t="str">
        <x:v>RS-04894</x:v>
      </x:c>
      <x:c r="C9856" s="9" t="n">
        <x:v>3</x:v>
      </x:c>
      <x:c r="D9856" s="8" t="n">
        <x:v>45647</x:v>
      </x:c>
      <x:c r="E9856" s="9" t="n">
        <x:v>1029000</x:v>
      </x:c>
      <x:c r="F9856" s="9" t="n">
        <x:v>0</x:v>
      </x:c>
    </x:row>
    <x:row r="9857" ht="34" customHeight="1">
      <x:c r="A9857" s="4" t="str">
        <x:v>RS-04894-I4</x:v>
      </x:c>
      <x:c r="B9857" s="4" t="str">
        <x:v>RS-04894</x:v>
      </x:c>
      <x:c r="C9857" s="9" t="n">
        <x:v>4</x:v>
      </x:c>
      <x:c r="D9857" s="8" t="n">
        <x:v>45677</x:v>
      </x:c>
      <x:c r="E9857" s="9" t="n">
        <x:v>1029000</x:v>
      </x:c>
      <x:c r="F9857" s="9" t="n">
        <x:v>0</x:v>
      </x:c>
    </x:row>
    <x:row r="9858" ht="34" customHeight="1">
      <x:c r="A9858" s="4" t="str">
        <x:v>RS-04896-I1</x:v>
      </x:c>
      <x:c r="B9858" s="4" t="str">
        <x:v>RS-04896</x:v>
      </x:c>
      <x:c r="C9858" s="9" t="n">
        <x:v>1</x:v>
      </x:c>
      <x:c r="D9858" s="8" t="n">
        <x:v>45589</x:v>
      </x:c>
      <x:c r="E9858" s="9" t="n">
        <x:v>2082500</x:v>
      </x:c>
      <x:c r="F9858" s="9" t="n">
        <x:v>2082500</x:v>
      </x:c>
    </x:row>
    <x:row r="9859" ht="34" customHeight="1">
      <x:c r="A9859" s="4" t="str">
        <x:v>RS-04896-I2</x:v>
      </x:c>
      <x:c r="B9859" s="4" t="str">
        <x:v>RS-04896</x:v>
      </x:c>
      <x:c r="C9859" s="9" t="n">
        <x:v>2</x:v>
      </x:c>
      <x:c r="D9859" s="8" t="n">
        <x:v>45619</x:v>
      </x:c>
      <x:c r="E9859" s="9" t="n">
        <x:v>2082500</x:v>
      </x:c>
      <x:c r="F9859" s="9" t="n">
        <x:v>2082500</x:v>
      </x:c>
    </x:row>
    <x:row r="9860" ht="34" customHeight="1">
      <x:c r="A9860" s="4" t="str">
        <x:v>RS-04896-I3</x:v>
      </x:c>
      <x:c r="B9860" s="4" t="str">
        <x:v>RS-04896</x:v>
      </x:c>
      <x:c r="C9860" s="9" t="n">
        <x:v>3</x:v>
      </x:c>
      <x:c r="D9860" s="8" t="n">
        <x:v>45649</x:v>
      </x:c>
      <x:c r="E9860" s="9" t="n">
        <x:v>2082500</x:v>
      </x:c>
      <x:c r="F9860" s="9" t="n">
        <x:v>2082500</x:v>
      </x:c>
    </x:row>
    <x:row r="9861" ht="34" customHeight="1">
      <x:c r="A9861" s="4" t="str">
        <x:v>RS-04896-I4</x:v>
      </x:c>
      <x:c r="B9861" s="4" t="str">
        <x:v>RS-04896</x:v>
      </x:c>
      <x:c r="C9861" s="9" t="n">
        <x:v>4</x:v>
      </x:c>
      <x:c r="D9861" s="8" t="n">
        <x:v>45679</x:v>
      </x:c>
      <x:c r="E9861" s="9" t="n">
        <x:v>2082500</x:v>
      </x:c>
      <x:c r="F9861" s="9" t="n">
        <x:v>2082500</x:v>
      </x:c>
    </x:row>
    <x:row r="9862" ht="34" customHeight="1">
      <x:c r="A9862" s="4" t="str">
        <x:v>RS-04898-I1</x:v>
      </x:c>
      <x:c r="B9862" s="4" t="str">
        <x:v>RS-04898</x:v>
      </x:c>
      <x:c r="C9862" s="9" t="n">
        <x:v>1</x:v>
      </x:c>
      <x:c r="D9862" s="8" t="n">
        <x:v>45591</x:v>
      </x:c>
      <x:c r="E9862" s="9" t="n">
        <x:v>5160000</x:v>
      </x:c>
      <x:c r="F9862" s="9" t="n">
        <x:v>5160000</x:v>
      </x:c>
    </x:row>
    <x:row r="9863" ht="34" customHeight="1">
      <x:c r="A9863" s="4" t="str">
        <x:v>RS-04898-I2</x:v>
      </x:c>
      <x:c r="B9863" s="4" t="str">
        <x:v>RS-04898</x:v>
      </x:c>
      <x:c r="C9863" s="9" t="n">
        <x:v>2</x:v>
      </x:c>
      <x:c r="D9863" s="8" t="n">
        <x:v>45621</x:v>
      </x:c>
      <x:c r="E9863" s="9" t="n">
        <x:v>5160000</x:v>
      </x:c>
      <x:c r="F9863" s="9" t="n">
        <x:v>5160000</x:v>
      </x:c>
    </x:row>
    <x:row r="9864" ht="34" customHeight="1">
      <x:c r="A9864" s="4" t="str">
        <x:v>RS-04898-I3</x:v>
      </x:c>
      <x:c r="B9864" s="4" t="str">
        <x:v>RS-04898</x:v>
      </x:c>
      <x:c r="C9864" s="9" t="n">
        <x:v>3</x:v>
      </x:c>
      <x:c r="D9864" s="8" t="n">
        <x:v>45651</x:v>
      </x:c>
      <x:c r="E9864" s="9" t="n">
        <x:v>5160000</x:v>
      </x:c>
      <x:c r="F9864" s="9" t="n">
        <x:v>5160000</x:v>
      </x:c>
    </x:row>
    <x:row r="9865" ht="34" customHeight="1">
      <x:c r="A9865" s="4" t="str">
        <x:v>RS-04898-I4</x:v>
      </x:c>
      <x:c r="B9865" s="4" t="str">
        <x:v>RS-04898</x:v>
      </x:c>
      <x:c r="C9865" s="9" t="n">
        <x:v>4</x:v>
      </x:c>
      <x:c r="D9865" s="8" t="n">
        <x:v>45681</x:v>
      </x:c>
      <x:c r="E9865" s="9" t="n">
        <x:v>5160000</x:v>
      </x:c>
      <x:c r="F9865" s="9" t="n">
        <x:v>5160000</x:v>
      </x:c>
    </x:row>
    <x:row r="9866" ht="34" customHeight="1">
      <x:c r="A9866" s="4" t="str">
        <x:v>RS-04899-I1</x:v>
      </x:c>
      <x:c r="B9866" s="4" t="str">
        <x:v>RS-04899</x:v>
      </x:c>
      <x:c r="C9866" s="9" t="n">
        <x:v>1</x:v>
      </x:c>
      <x:c r="D9866" s="8" t="n">
        <x:v>45592</x:v>
      </x:c>
      <x:c r="E9866" s="9" t="n">
        <x:v>2597000</x:v>
      </x:c>
      <x:c r="F9866" s="9" t="n">
        <x:v>1038800</x:v>
      </x:c>
    </x:row>
    <x:row r="9867" ht="34" customHeight="1">
      <x:c r="A9867" s="4" t="str">
        <x:v>RS-04899-I2</x:v>
      </x:c>
      <x:c r="B9867" s="4" t="str">
        <x:v>RS-04899</x:v>
      </x:c>
      <x:c r="C9867" s="9" t="n">
        <x:v>2</x:v>
      </x:c>
      <x:c r="D9867" s="8" t="n">
        <x:v>45622</x:v>
      </x:c>
      <x:c r="E9867" s="9" t="n">
        <x:v>2597000</x:v>
      </x:c>
      <x:c r="F9867" s="9" t="n">
        <x:v>0</x:v>
      </x:c>
    </x:row>
    <x:row r="9868" ht="34" customHeight="1">
      <x:c r="A9868" s="4" t="str">
        <x:v>RS-04899-I3</x:v>
      </x:c>
      <x:c r="B9868" s="4" t="str">
        <x:v>RS-04899</x:v>
      </x:c>
      <x:c r="C9868" s="9" t="n">
        <x:v>3</x:v>
      </x:c>
      <x:c r="D9868" s="8" t="n">
        <x:v>45652</x:v>
      </x:c>
      <x:c r="E9868" s="9" t="n">
        <x:v>2597000</x:v>
      </x:c>
      <x:c r="F9868" s="9" t="n">
        <x:v>0</x:v>
      </x:c>
    </x:row>
    <x:row r="9869" ht="34" customHeight="1">
      <x:c r="A9869" s="4" t="str">
        <x:v>RS-04899-I4</x:v>
      </x:c>
      <x:c r="B9869" s="4" t="str">
        <x:v>RS-04899</x:v>
      </x:c>
      <x:c r="C9869" s="9" t="n">
        <x:v>4</x:v>
      </x:c>
      <x:c r="D9869" s="8" t="n">
        <x:v>45682</x:v>
      </x:c>
      <x:c r="E9869" s="9" t="n">
        <x:v>2597000</x:v>
      </x:c>
      <x:c r="F9869" s="9" t="n">
        <x:v>0</x:v>
      </x:c>
    </x:row>
    <x:row r="9870" ht="34" customHeight="1">
      <x:c r="A9870" s="4" t="str">
        <x:v>RS-04900-I1</x:v>
      </x:c>
      <x:c r="B9870" s="4" t="str">
        <x:v>RS-04900</x:v>
      </x:c>
      <x:c r="C9870" s="9" t="n">
        <x:v>1</x:v>
      </x:c>
      <x:c r="D9870" s="8" t="n">
        <x:v>45593</x:v>
      </x:c>
      <x:c r="E9870" s="9" t="n">
        <x:v>5494500</x:v>
      </x:c>
      <x:c r="F9870" s="9" t="n">
        <x:v>5494500</x:v>
      </x:c>
    </x:row>
    <x:row r="9871" ht="34" customHeight="1">
      <x:c r="A9871" s="4" t="str">
        <x:v>RS-04900-I2</x:v>
      </x:c>
      <x:c r="B9871" s="4" t="str">
        <x:v>RS-04900</x:v>
      </x:c>
      <x:c r="C9871" s="9" t="n">
        <x:v>2</x:v>
      </x:c>
      <x:c r="D9871" s="8" t="n">
        <x:v>45623</x:v>
      </x:c>
      <x:c r="E9871" s="9" t="n">
        <x:v>5494500</x:v>
      </x:c>
      <x:c r="F9871" s="9" t="n">
        <x:v>0</x:v>
      </x:c>
    </x:row>
    <x:row r="9872" ht="34" customHeight="1">
      <x:c r="A9872" s="4" t="str">
        <x:v>RS-04900-I3</x:v>
      </x:c>
      <x:c r="B9872" s="4" t="str">
        <x:v>RS-04900</x:v>
      </x:c>
      <x:c r="C9872" s="9" t="n">
        <x:v>3</x:v>
      </x:c>
      <x:c r="D9872" s="8" t="n">
        <x:v>45653</x:v>
      </x:c>
      <x:c r="E9872" s="9" t="n">
        <x:v>5494500</x:v>
      </x:c>
      <x:c r="F9872" s="9" t="n">
        <x:v>0</x:v>
      </x:c>
    </x:row>
    <x:row r="9873" ht="34" customHeight="1">
      <x:c r="A9873" s="4" t="str">
        <x:v>RS-04900-I4</x:v>
      </x:c>
      <x:c r="B9873" s="4" t="str">
        <x:v>RS-04900</x:v>
      </x:c>
      <x:c r="C9873" s="9" t="n">
        <x:v>4</x:v>
      </x:c>
      <x:c r="D9873" s="8" t="n">
        <x:v>45683</x:v>
      </x:c>
      <x:c r="E9873" s="9" t="n">
        <x:v>5494500</x:v>
      </x:c>
      <x:c r="F9873" s="9" t="n">
        <x:v>0</x:v>
      </x:c>
    </x:row>
    <x:row r="9874" ht="34" customHeight="1">
      <x:c r="A9874" s="4" t="str">
        <x:v>RS-04902-I1</x:v>
      </x:c>
      <x:c r="B9874" s="4" t="str">
        <x:v>RS-04902</x:v>
      </x:c>
      <x:c r="C9874" s="9" t="n">
        <x:v>1</x:v>
      </x:c>
      <x:c r="D9874" s="8" t="n">
        <x:v>45567</x:v>
      </x:c>
      <x:c r="E9874" s="9" t="n">
        <x:v>3836250</x:v>
      </x:c>
      <x:c r="F9874" s="9" t="n">
        <x:v>3836250</x:v>
      </x:c>
    </x:row>
    <x:row r="9875" ht="34" customHeight="1">
      <x:c r="A9875" s="4" t="str">
        <x:v>RS-04902-I2</x:v>
      </x:c>
      <x:c r="B9875" s="4" t="str">
        <x:v>RS-04902</x:v>
      </x:c>
      <x:c r="C9875" s="9" t="n">
        <x:v>2</x:v>
      </x:c>
      <x:c r="D9875" s="8" t="n">
        <x:v>45597</x:v>
      </x:c>
      <x:c r="E9875" s="9" t="n">
        <x:v>3836250</x:v>
      </x:c>
      <x:c r="F9875" s="9" t="n">
        <x:v>3836250</x:v>
      </x:c>
    </x:row>
    <x:row r="9876" ht="34" customHeight="1">
      <x:c r="A9876" s="4" t="str">
        <x:v>RS-04902-I3</x:v>
      </x:c>
      <x:c r="B9876" s="4" t="str">
        <x:v>RS-04902</x:v>
      </x:c>
      <x:c r="C9876" s="9" t="n">
        <x:v>3</x:v>
      </x:c>
      <x:c r="D9876" s="8" t="n">
        <x:v>45627</x:v>
      </x:c>
      <x:c r="E9876" s="9" t="n">
        <x:v>3836250</x:v>
      </x:c>
      <x:c r="F9876" s="9" t="n">
        <x:v>3836250</x:v>
      </x:c>
    </x:row>
    <x:row r="9877" ht="34" customHeight="1">
      <x:c r="A9877" s="4" t="str">
        <x:v>RS-04902-I4</x:v>
      </x:c>
      <x:c r="B9877" s="4" t="str">
        <x:v>RS-04902</x:v>
      </x:c>
      <x:c r="C9877" s="9" t="n">
        <x:v>4</x:v>
      </x:c>
      <x:c r="D9877" s="8" t="n">
        <x:v>45657</x:v>
      </x:c>
      <x:c r="E9877" s="9" t="n">
        <x:v>3836250</x:v>
      </x:c>
      <x:c r="F9877" s="9" t="n">
        <x:v>3836250</x:v>
      </x:c>
    </x:row>
    <x:row r="9878" ht="34" customHeight="1">
      <x:c r="A9878" s="4" t="str">
        <x:v>RS-04903-I1</x:v>
      </x:c>
      <x:c r="B9878" s="4" t="str">
        <x:v>RS-04903</x:v>
      </x:c>
      <x:c r="C9878" s="9" t="n">
        <x:v>1</x:v>
      </x:c>
      <x:c r="D9878" s="8" t="n">
        <x:v>45568</x:v>
      </x:c>
      <x:c r="E9878" s="9" t="n">
        <x:v>3105000</x:v>
      </x:c>
      <x:c r="F9878" s="9" t="n">
        <x:v>3105000</x:v>
      </x:c>
    </x:row>
    <x:row r="9879" ht="34" customHeight="1">
      <x:c r="A9879" s="4" t="str">
        <x:v>RS-04903-I2</x:v>
      </x:c>
      <x:c r="B9879" s="4" t="str">
        <x:v>RS-04903</x:v>
      </x:c>
      <x:c r="C9879" s="9" t="n">
        <x:v>2</x:v>
      </x:c>
      <x:c r="D9879" s="8" t="n">
        <x:v>45598</x:v>
      </x:c>
      <x:c r="E9879" s="9" t="n">
        <x:v>3105000</x:v>
      </x:c>
      <x:c r="F9879" s="9" t="n">
        <x:v>0</x:v>
      </x:c>
    </x:row>
    <x:row r="9880" ht="34" customHeight="1">
      <x:c r="A9880" s="4" t="str">
        <x:v>RS-04903-I3</x:v>
      </x:c>
      <x:c r="B9880" s="4" t="str">
        <x:v>RS-04903</x:v>
      </x:c>
      <x:c r="C9880" s="9" t="n">
        <x:v>3</x:v>
      </x:c>
      <x:c r="D9880" s="8" t="n">
        <x:v>45628</x:v>
      </x:c>
      <x:c r="E9880" s="9" t="n">
        <x:v>3105000</x:v>
      </x:c>
      <x:c r="F9880" s="9" t="n">
        <x:v>0</x:v>
      </x:c>
    </x:row>
    <x:row r="9881" ht="34" customHeight="1">
      <x:c r="A9881" s="4" t="str">
        <x:v>RS-04903-I4</x:v>
      </x:c>
      <x:c r="B9881" s="4" t="str">
        <x:v>RS-04903</x:v>
      </x:c>
      <x:c r="C9881" s="9" t="n">
        <x:v>4</x:v>
      </x:c>
      <x:c r="D9881" s="8" t="n">
        <x:v>45658</x:v>
      </x:c>
      <x:c r="E9881" s="9" t="n">
        <x:v>3105000</x:v>
      </x:c>
      <x:c r="F9881" s="9" t="n">
        <x:v>0</x:v>
      </x:c>
    </x:row>
    <x:row r="9882" ht="34" customHeight="1">
      <x:c r="A9882" s="4" t="str">
        <x:v>RS-04904-I1</x:v>
      </x:c>
      <x:c r="B9882" s="4" t="str">
        <x:v>RS-04904</x:v>
      </x:c>
      <x:c r="C9882" s="9" t="n">
        <x:v>1</x:v>
      </x:c>
      <x:c r="D9882" s="8" t="n">
        <x:v>45569</x:v>
      </x:c>
      <x:c r="E9882" s="9" t="n">
        <x:v>2411500</x:v>
      </x:c>
      <x:c r="F9882" s="9" t="n">
        <x:v>2411500</x:v>
      </x:c>
    </x:row>
    <x:row r="9883" ht="34" customHeight="1">
      <x:c r="A9883" s="4" t="str">
        <x:v>RS-04904-I2</x:v>
      </x:c>
      <x:c r="B9883" s="4" t="str">
        <x:v>RS-04904</x:v>
      </x:c>
      <x:c r="C9883" s="9" t="n">
        <x:v>2</x:v>
      </x:c>
      <x:c r="D9883" s="8" t="n">
        <x:v>45599</x:v>
      </x:c>
      <x:c r="E9883" s="9" t="n">
        <x:v>2411500</x:v>
      </x:c>
      <x:c r="F9883" s="9" t="n">
        <x:v>0</x:v>
      </x:c>
    </x:row>
    <x:row r="9884" ht="34" customHeight="1">
      <x:c r="A9884" s="4" t="str">
        <x:v>RS-04904-I3</x:v>
      </x:c>
      <x:c r="B9884" s="4" t="str">
        <x:v>RS-04904</x:v>
      </x:c>
      <x:c r="C9884" s="9" t="n">
        <x:v>3</x:v>
      </x:c>
      <x:c r="D9884" s="8" t="n">
        <x:v>45629</x:v>
      </x:c>
      <x:c r="E9884" s="9" t="n">
        <x:v>2411500</x:v>
      </x:c>
      <x:c r="F9884" s="9" t="n">
        <x:v>0</x:v>
      </x:c>
    </x:row>
    <x:row r="9885" ht="34" customHeight="1">
      <x:c r="A9885" s="4" t="str">
        <x:v>RS-04904-I4</x:v>
      </x:c>
      <x:c r="B9885" s="4" t="str">
        <x:v>RS-04904</x:v>
      </x:c>
      <x:c r="C9885" s="9" t="n">
        <x:v>4</x:v>
      </x:c>
      <x:c r="D9885" s="8" t="n">
        <x:v>45659</x:v>
      </x:c>
      <x:c r="E9885" s="9" t="n">
        <x:v>2411500</x:v>
      </x:c>
      <x:c r="F9885" s="9" t="n">
        <x:v>0</x:v>
      </x:c>
    </x:row>
    <x:row r="9886" ht="34" customHeight="1">
      <x:c r="A9886" s="4" t="str">
        <x:v>RS-04906-I1</x:v>
      </x:c>
      <x:c r="B9886" s="4" t="str">
        <x:v>RS-04906</x:v>
      </x:c>
      <x:c r="C9886" s="9" t="n">
        <x:v>1</x:v>
      </x:c>
      <x:c r="D9886" s="8" t="n">
        <x:v>45571</x:v>
      </x:c>
      <x:c r="E9886" s="9" t="n">
        <x:v>1940000</x:v>
      </x:c>
      <x:c r="F9886" s="9" t="n">
        <x:v>776000</x:v>
      </x:c>
    </x:row>
    <x:row r="9887" ht="34" customHeight="1">
      <x:c r="A9887" s="4" t="str">
        <x:v>RS-04906-I2</x:v>
      </x:c>
      <x:c r="B9887" s="4" t="str">
        <x:v>RS-04906</x:v>
      </x:c>
      <x:c r="C9887" s="9" t="n">
        <x:v>2</x:v>
      </x:c>
      <x:c r="D9887" s="8" t="n">
        <x:v>45601</x:v>
      </x:c>
      <x:c r="E9887" s="9" t="n">
        <x:v>1940000</x:v>
      </x:c>
      <x:c r="F9887" s="9" t="n">
        <x:v>0</x:v>
      </x:c>
    </x:row>
    <x:row r="9888" ht="34" customHeight="1">
      <x:c r="A9888" s="4" t="str">
        <x:v>RS-04906-I3</x:v>
      </x:c>
      <x:c r="B9888" s="4" t="str">
        <x:v>RS-04906</x:v>
      </x:c>
      <x:c r="C9888" s="9" t="n">
        <x:v>3</x:v>
      </x:c>
      <x:c r="D9888" s="8" t="n">
        <x:v>45631</x:v>
      </x:c>
      <x:c r="E9888" s="9" t="n">
        <x:v>1940000</x:v>
      </x:c>
      <x:c r="F9888" s="9" t="n">
        <x:v>0</x:v>
      </x:c>
    </x:row>
    <x:row r="9889" ht="34" customHeight="1">
      <x:c r="A9889" s="4" t="str">
        <x:v>RS-04906-I4</x:v>
      </x:c>
      <x:c r="B9889" s="4" t="str">
        <x:v>RS-04906</x:v>
      </x:c>
      <x:c r="C9889" s="9" t="n">
        <x:v>4</x:v>
      </x:c>
      <x:c r="D9889" s="8" t="n">
        <x:v>45661</x:v>
      </x:c>
      <x:c r="E9889" s="9" t="n">
        <x:v>1940000</x:v>
      </x:c>
      <x:c r="F9889" s="9" t="n">
        <x:v>0</x:v>
      </x:c>
    </x:row>
    <x:row r="9890" ht="34" customHeight="1">
      <x:c r="A9890" s="4" t="str">
        <x:v>RS-04907-I1</x:v>
      </x:c>
      <x:c r="B9890" s="4" t="str">
        <x:v>RS-04907</x:v>
      </x:c>
      <x:c r="C9890" s="9" t="n">
        <x:v>1</x:v>
      </x:c>
      <x:c r="D9890" s="8" t="n">
        <x:v>45572</x:v>
      </x:c>
      <x:c r="E9890" s="9" t="n">
        <x:v>4132500</x:v>
      </x:c>
      <x:c r="F9890" s="9" t="n">
        <x:v>4132500</x:v>
      </x:c>
    </x:row>
    <x:row r="9891" ht="34" customHeight="1">
      <x:c r="A9891" s="4" t="str">
        <x:v>RS-04907-I2</x:v>
      </x:c>
      <x:c r="B9891" s="4" t="str">
        <x:v>RS-04907</x:v>
      </x:c>
      <x:c r="C9891" s="9" t="n">
        <x:v>2</x:v>
      </x:c>
      <x:c r="D9891" s="8" t="n">
        <x:v>45602</x:v>
      </x:c>
      <x:c r="E9891" s="9" t="n">
        <x:v>4132500</x:v>
      </x:c>
      <x:c r="F9891" s="9" t="n">
        <x:v>0</x:v>
      </x:c>
    </x:row>
    <x:row r="9892" ht="34" customHeight="1">
      <x:c r="A9892" s="4" t="str">
        <x:v>RS-04907-I3</x:v>
      </x:c>
      <x:c r="B9892" s="4" t="str">
        <x:v>RS-04907</x:v>
      </x:c>
      <x:c r="C9892" s="9" t="n">
        <x:v>3</x:v>
      </x:c>
      <x:c r="D9892" s="8" t="n">
        <x:v>45632</x:v>
      </x:c>
      <x:c r="E9892" s="9" t="n">
        <x:v>4132500</x:v>
      </x:c>
      <x:c r="F9892" s="9" t="n">
        <x:v>0</x:v>
      </x:c>
    </x:row>
    <x:row r="9893" ht="34" customHeight="1">
      <x:c r="A9893" s="4" t="str">
        <x:v>RS-04907-I4</x:v>
      </x:c>
      <x:c r="B9893" s="4" t="str">
        <x:v>RS-04907</x:v>
      </x:c>
      <x:c r="C9893" s="9" t="n">
        <x:v>4</x:v>
      </x:c>
      <x:c r="D9893" s="8" t="n">
        <x:v>45662</x:v>
      </x:c>
      <x:c r="E9893" s="9" t="n">
        <x:v>4132500</x:v>
      </x:c>
      <x:c r="F9893" s="9" t="n">
        <x:v>0</x:v>
      </x:c>
    </x:row>
    <x:row r="9894" ht="34" customHeight="1">
      <x:c r="A9894" s="4" t="str">
        <x:v>RS-04908-I1</x:v>
      </x:c>
      <x:c r="B9894" s="4" t="str">
        <x:v>RS-04908</x:v>
      </x:c>
      <x:c r="C9894" s="9" t="n">
        <x:v>1</x:v>
      </x:c>
      <x:c r="D9894" s="8" t="n">
        <x:v>45573</x:v>
      </x:c>
      <x:c r="E9894" s="9" t="n">
        <x:v>3626750</x:v>
      </x:c>
      <x:c r="F9894" s="9" t="n">
        <x:v>3626750</x:v>
      </x:c>
    </x:row>
    <x:row r="9895" ht="34" customHeight="1">
      <x:c r="A9895" s="4" t="str">
        <x:v>RS-04908-I2</x:v>
      </x:c>
      <x:c r="B9895" s="4" t="str">
        <x:v>RS-04908</x:v>
      </x:c>
      <x:c r="C9895" s="9" t="n">
        <x:v>2</x:v>
      </x:c>
      <x:c r="D9895" s="8" t="n">
        <x:v>45603</x:v>
      </x:c>
      <x:c r="E9895" s="9" t="n">
        <x:v>3626750</x:v>
      </x:c>
      <x:c r="F9895" s="9" t="n">
        <x:v>3626750</x:v>
      </x:c>
    </x:row>
    <x:row r="9896" ht="34" customHeight="1">
      <x:c r="A9896" s="4" t="str">
        <x:v>RS-04908-I3</x:v>
      </x:c>
      <x:c r="B9896" s="4" t="str">
        <x:v>RS-04908</x:v>
      </x:c>
      <x:c r="C9896" s="9" t="n">
        <x:v>3</x:v>
      </x:c>
      <x:c r="D9896" s="8" t="n">
        <x:v>45633</x:v>
      </x:c>
      <x:c r="E9896" s="9" t="n">
        <x:v>3626750</x:v>
      </x:c>
      <x:c r="F9896" s="9" t="n">
        <x:v>0</x:v>
      </x:c>
    </x:row>
    <x:row r="9897" ht="34" customHeight="1">
      <x:c r="A9897" s="4" t="str">
        <x:v>RS-04908-I4</x:v>
      </x:c>
      <x:c r="B9897" s="4" t="str">
        <x:v>RS-04908</x:v>
      </x:c>
      <x:c r="C9897" s="9" t="n">
        <x:v>4</x:v>
      </x:c>
      <x:c r="D9897" s="8" t="n">
        <x:v>45663</x:v>
      </x:c>
      <x:c r="E9897" s="9" t="n">
        <x:v>3626750</x:v>
      </x:c>
      <x:c r="F9897" s="9" t="n">
        <x:v>0</x:v>
      </x:c>
    </x:row>
    <x:row r="9898" ht="34" customHeight="1">
      <x:c r="A9898" s="4" t="str">
        <x:v>RS-04909-I1</x:v>
      </x:c>
      <x:c r="B9898" s="4" t="str">
        <x:v>RS-04909</x:v>
      </x:c>
      <x:c r="C9898" s="9" t="n">
        <x:v>1</x:v>
      </x:c>
      <x:c r="D9898" s="8" t="n">
        <x:v>45574</x:v>
      </x:c>
      <x:c r="E9898" s="9" t="n">
        <x:v>3092750</x:v>
      </x:c>
      <x:c r="F9898" s="9" t="n">
        <x:v>3092750</x:v>
      </x:c>
    </x:row>
    <x:row r="9899" ht="34" customHeight="1">
      <x:c r="A9899" s="4" t="str">
        <x:v>RS-04909-I2</x:v>
      </x:c>
      <x:c r="B9899" s="4" t="str">
        <x:v>RS-04909</x:v>
      </x:c>
      <x:c r="C9899" s="9" t="n">
        <x:v>2</x:v>
      </x:c>
      <x:c r="D9899" s="8" t="n">
        <x:v>45604</x:v>
      </x:c>
      <x:c r="E9899" s="9" t="n">
        <x:v>3092750</x:v>
      </x:c>
      <x:c r="F9899" s="9" t="n">
        <x:v>3092750</x:v>
      </x:c>
    </x:row>
    <x:row r="9900" ht="34" customHeight="1">
      <x:c r="A9900" s="4" t="str">
        <x:v>RS-04909-I3</x:v>
      </x:c>
      <x:c r="B9900" s="4" t="str">
        <x:v>RS-04909</x:v>
      </x:c>
      <x:c r="C9900" s="9" t="n">
        <x:v>3</x:v>
      </x:c>
      <x:c r="D9900" s="8" t="n">
        <x:v>45634</x:v>
      </x:c>
      <x:c r="E9900" s="9" t="n">
        <x:v>3092750</x:v>
      </x:c>
      <x:c r="F9900" s="9" t="n">
        <x:v>3092750</x:v>
      </x:c>
    </x:row>
    <x:row r="9901" ht="34" customHeight="1">
      <x:c r="A9901" s="4" t="str">
        <x:v>RS-04909-I4</x:v>
      </x:c>
      <x:c r="B9901" s="4" t="str">
        <x:v>RS-04909</x:v>
      </x:c>
      <x:c r="C9901" s="9" t="n">
        <x:v>4</x:v>
      </x:c>
      <x:c r="D9901" s="8" t="n">
        <x:v>45664</x:v>
      </x:c>
      <x:c r="E9901" s="9" t="n">
        <x:v>3092750</x:v>
      </x:c>
      <x:c r="F9901" s="9" t="n">
        <x:v>3092750</x:v>
      </x:c>
    </x:row>
    <x:row r="9902" ht="34" customHeight="1">
      <x:c r="A9902" s="4" t="str">
        <x:v>RS-04910-I1</x:v>
      </x:c>
      <x:c r="B9902" s="4" t="str">
        <x:v>RS-04910</x:v>
      </x:c>
      <x:c r="C9902" s="9" t="n">
        <x:v>1</x:v>
      </x:c>
      <x:c r="D9902" s="8" t="n">
        <x:v>45575</x:v>
      </x:c>
      <x:c r="E9902" s="9" t="n">
        <x:v>3617250</x:v>
      </x:c>
      <x:c r="F9902" s="9" t="n">
        <x:v>3617250</x:v>
      </x:c>
    </x:row>
    <x:row r="9903" ht="34" customHeight="1">
      <x:c r="A9903" s="4" t="str">
        <x:v>RS-04910-I2</x:v>
      </x:c>
      <x:c r="B9903" s="4" t="str">
        <x:v>RS-04910</x:v>
      </x:c>
      <x:c r="C9903" s="9" t="n">
        <x:v>2</x:v>
      </x:c>
      <x:c r="D9903" s="8" t="n">
        <x:v>45605</x:v>
      </x:c>
      <x:c r="E9903" s="9" t="n">
        <x:v>3617250</x:v>
      </x:c>
      <x:c r="F9903" s="9" t="n">
        <x:v>0</x:v>
      </x:c>
    </x:row>
    <x:row r="9904" ht="34" customHeight="1">
      <x:c r="A9904" s="4" t="str">
        <x:v>RS-04910-I3</x:v>
      </x:c>
      <x:c r="B9904" s="4" t="str">
        <x:v>RS-04910</x:v>
      </x:c>
      <x:c r="C9904" s="9" t="n">
        <x:v>3</x:v>
      </x:c>
      <x:c r="D9904" s="8" t="n">
        <x:v>45635</x:v>
      </x:c>
      <x:c r="E9904" s="9" t="n">
        <x:v>3617250</x:v>
      </x:c>
      <x:c r="F9904" s="9" t="n">
        <x:v>0</x:v>
      </x:c>
    </x:row>
    <x:row r="9905" ht="34" customHeight="1">
      <x:c r="A9905" s="4" t="str">
        <x:v>RS-04910-I4</x:v>
      </x:c>
      <x:c r="B9905" s="4" t="str">
        <x:v>RS-04910</x:v>
      </x:c>
      <x:c r="C9905" s="9" t="n">
        <x:v>4</x:v>
      </x:c>
      <x:c r="D9905" s="8" t="n">
        <x:v>45665</x:v>
      </x:c>
      <x:c r="E9905" s="9" t="n">
        <x:v>3617250</x:v>
      </x:c>
      <x:c r="F9905" s="9" t="n">
        <x:v>0</x:v>
      </x:c>
    </x:row>
    <x:row r="9906" ht="34" customHeight="1">
      <x:c r="A9906" s="4" t="str">
        <x:v>RS-04912-I1</x:v>
      </x:c>
      <x:c r="B9906" s="4" t="str">
        <x:v>RS-04912</x:v>
      </x:c>
      <x:c r="C9906" s="9" t="n">
        <x:v>1</x:v>
      </x:c>
      <x:c r="D9906" s="8" t="n">
        <x:v>45577</x:v>
      </x:c>
      <x:c r="E9906" s="9" t="n">
        <x:v>2109750</x:v>
      </x:c>
      <x:c r="F9906" s="9" t="n">
        <x:v>2109750</x:v>
      </x:c>
    </x:row>
    <x:row r="9907" ht="34" customHeight="1">
      <x:c r="A9907" s="4" t="str">
        <x:v>RS-04912-I2</x:v>
      </x:c>
      <x:c r="B9907" s="4" t="str">
        <x:v>RS-04912</x:v>
      </x:c>
      <x:c r="C9907" s="9" t="n">
        <x:v>2</x:v>
      </x:c>
      <x:c r="D9907" s="8" t="n">
        <x:v>45607</x:v>
      </x:c>
      <x:c r="E9907" s="9" t="n">
        <x:v>2109750</x:v>
      </x:c>
      <x:c r="F9907" s="9" t="n">
        <x:v>2109750</x:v>
      </x:c>
    </x:row>
    <x:row r="9908" ht="34" customHeight="1">
      <x:c r="A9908" s="4" t="str">
        <x:v>RS-04912-I3</x:v>
      </x:c>
      <x:c r="B9908" s="4" t="str">
        <x:v>RS-04912</x:v>
      </x:c>
      <x:c r="C9908" s="9" t="n">
        <x:v>3</x:v>
      </x:c>
      <x:c r="D9908" s="8" t="n">
        <x:v>45637</x:v>
      </x:c>
      <x:c r="E9908" s="9" t="n">
        <x:v>2109750</x:v>
      </x:c>
      <x:c r="F9908" s="9" t="n">
        <x:v>0</x:v>
      </x:c>
    </x:row>
    <x:row r="9909" ht="34" customHeight="1">
      <x:c r="A9909" s="4" t="str">
        <x:v>RS-04912-I4</x:v>
      </x:c>
      <x:c r="B9909" s="4" t="str">
        <x:v>RS-04912</x:v>
      </x:c>
      <x:c r="C9909" s="9" t="n">
        <x:v>4</x:v>
      </x:c>
      <x:c r="D9909" s="8" t="n">
        <x:v>45667</x:v>
      </x:c>
      <x:c r="E9909" s="9" t="n">
        <x:v>2109750</x:v>
      </x:c>
      <x:c r="F9909" s="9" t="n">
        <x:v>0</x:v>
      </x:c>
    </x:row>
    <x:row r="9910" ht="34" customHeight="1">
      <x:c r="A9910" s="4" t="str">
        <x:v>RS-04913-I1</x:v>
      </x:c>
      <x:c r="B9910" s="4" t="str">
        <x:v>RS-04913</x:v>
      </x:c>
      <x:c r="C9910" s="9" t="n">
        <x:v>1</x:v>
      </x:c>
      <x:c r="D9910" s="8" t="n">
        <x:v>45578</x:v>
      </x:c>
      <x:c r="E9910" s="9" t="n">
        <x:v>5300750</x:v>
      </x:c>
      <x:c r="F9910" s="9" t="n">
        <x:v>2120300</x:v>
      </x:c>
    </x:row>
    <x:row r="9911" ht="34" customHeight="1">
      <x:c r="A9911" s="4" t="str">
        <x:v>RS-04913-I2</x:v>
      </x:c>
      <x:c r="B9911" s="4" t="str">
        <x:v>RS-04913</x:v>
      </x:c>
      <x:c r="C9911" s="9" t="n">
        <x:v>2</x:v>
      </x:c>
      <x:c r="D9911" s="8" t="n">
        <x:v>45608</x:v>
      </x:c>
      <x:c r="E9911" s="9" t="n">
        <x:v>5300750</x:v>
      </x:c>
      <x:c r="F9911" s="9" t="n">
        <x:v>0</x:v>
      </x:c>
    </x:row>
    <x:row r="9912" ht="34" customHeight="1">
      <x:c r="A9912" s="4" t="str">
        <x:v>RS-04913-I3</x:v>
      </x:c>
      <x:c r="B9912" s="4" t="str">
        <x:v>RS-04913</x:v>
      </x:c>
      <x:c r="C9912" s="9" t="n">
        <x:v>3</x:v>
      </x:c>
      <x:c r="D9912" s="8" t="n">
        <x:v>45638</x:v>
      </x:c>
      <x:c r="E9912" s="9" t="n">
        <x:v>5300750</x:v>
      </x:c>
      <x:c r="F9912" s="9" t="n">
        <x:v>0</x:v>
      </x:c>
    </x:row>
    <x:row r="9913" ht="34" customHeight="1">
      <x:c r="A9913" s="4" t="str">
        <x:v>RS-04913-I4</x:v>
      </x:c>
      <x:c r="B9913" s="4" t="str">
        <x:v>RS-04913</x:v>
      </x:c>
      <x:c r="C9913" s="9" t="n">
        <x:v>4</x:v>
      </x:c>
      <x:c r="D9913" s="8" t="n">
        <x:v>45668</x:v>
      </x:c>
      <x:c r="E9913" s="9" t="n">
        <x:v>5300750</x:v>
      </x:c>
      <x:c r="F9913" s="9" t="n">
        <x:v>0</x:v>
      </x:c>
    </x:row>
    <x:row r="9914" ht="34" customHeight="1">
      <x:c r="A9914" s="4" t="str">
        <x:v>RS-04915-I1</x:v>
      </x:c>
      <x:c r="B9914" s="4" t="str">
        <x:v>RS-04915</x:v>
      </x:c>
      <x:c r="C9914" s="9" t="n">
        <x:v>1</x:v>
      </x:c>
      <x:c r="D9914" s="8" t="n">
        <x:v>45580</x:v>
      </x:c>
      <x:c r="E9914" s="9" t="n">
        <x:v>2093000</x:v>
      </x:c>
      <x:c r="F9914" s="9" t="n">
        <x:v>2093000</x:v>
      </x:c>
    </x:row>
    <x:row r="9915" ht="34" customHeight="1">
      <x:c r="A9915" s="4" t="str">
        <x:v>RS-04915-I2</x:v>
      </x:c>
      <x:c r="B9915" s="4" t="str">
        <x:v>RS-04915</x:v>
      </x:c>
      <x:c r="C9915" s="9" t="n">
        <x:v>2</x:v>
      </x:c>
      <x:c r="D9915" s="8" t="n">
        <x:v>45610</x:v>
      </x:c>
      <x:c r="E9915" s="9" t="n">
        <x:v>2093000</x:v>
      </x:c>
      <x:c r="F9915" s="9" t="n">
        <x:v>2093000</x:v>
      </x:c>
    </x:row>
    <x:row r="9916" ht="34" customHeight="1">
      <x:c r="A9916" s="4" t="str">
        <x:v>RS-04915-I3</x:v>
      </x:c>
      <x:c r="B9916" s="4" t="str">
        <x:v>RS-04915</x:v>
      </x:c>
      <x:c r="C9916" s="9" t="n">
        <x:v>3</x:v>
      </x:c>
      <x:c r="D9916" s="8" t="n">
        <x:v>45640</x:v>
      </x:c>
      <x:c r="E9916" s="9" t="n">
        <x:v>2093000</x:v>
      </x:c>
      <x:c r="F9916" s="9" t="n">
        <x:v>2093000</x:v>
      </x:c>
    </x:row>
    <x:row r="9917" ht="34" customHeight="1">
      <x:c r="A9917" s="4" t="str">
        <x:v>RS-04915-I4</x:v>
      </x:c>
      <x:c r="B9917" s="4" t="str">
        <x:v>RS-04915</x:v>
      </x:c>
      <x:c r="C9917" s="9" t="n">
        <x:v>4</x:v>
      </x:c>
      <x:c r="D9917" s="8" t="n">
        <x:v>45670</x:v>
      </x:c>
      <x:c r="E9917" s="9" t="n">
        <x:v>2093000</x:v>
      </x:c>
      <x:c r="F9917" s="9" t="n">
        <x:v>2093000</x:v>
      </x:c>
    </x:row>
    <x:row r="9918" ht="34" customHeight="1">
      <x:c r="A9918" s="4" t="str">
        <x:v>RS-04916-I1</x:v>
      </x:c>
      <x:c r="B9918" s="4" t="str">
        <x:v>RS-04916</x:v>
      </x:c>
      <x:c r="C9918" s="9" t="n">
        <x:v>1</x:v>
      </x:c>
      <x:c r="D9918" s="8" t="n">
        <x:v>45581</x:v>
      </x:c>
      <x:c r="E9918" s="9" t="n">
        <x:v>3960500</x:v>
      </x:c>
      <x:c r="F9918" s="9" t="n">
        <x:v>3960500</x:v>
      </x:c>
    </x:row>
    <x:row r="9919" ht="34" customHeight="1">
      <x:c r="A9919" s="4" t="str">
        <x:v>RS-04916-I2</x:v>
      </x:c>
      <x:c r="B9919" s="4" t="str">
        <x:v>RS-04916</x:v>
      </x:c>
      <x:c r="C9919" s="9" t="n">
        <x:v>2</x:v>
      </x:c>
      <x:c r="D9919" s="8" t="n">
        <x:v>45611</x:v>
      </x:c>
      <x:c r="E9919" s="9" t="n">
        <x:v>3960500</x:v>
      </x:c>
      <x:c r="F9919" s="9" t="n">
        <x:v>3960500</x:v>
      </x:c>
    </x:row>
    <x:row r="9920" ht="34" customHeight="1">
      <x:c r="A9920" s="4" t="str">
        <x:v>RS-04916-I3</x:v>
      </x:c>
      <x:c r="B9920" s="4" t="str">
        <x:v>RS-04916</x:v>
      </x:c>
      <x:c r="C9920" s="9" t="n">
        <x:v>3</x:v>
      </x:c>
      <x:c r="D9920" s="8" t="n">
        <x:v>45641</x:v>
      </x:c>
      <x:c r="E9920" s="9" t="n">
        <x:v>3960500</x:v>
      </x:c>
      <x:c r="F9920" s="9" t="n">
        <x:v>0</x:v>
      </x:c>
    </x:row>
    <x:row r="9921" ht="34" customHeight="1">
      <x:c r="A9921" s="4" t="str">
        <x:v>RS-04916-I4</x:v>
      </x:c>
      <x:c r="B9921" s="4" t="str">
        <x:v>RS-04916</x:v>
      </x:c>
      <x:c r="C9921" s="9" t="n">
        <x:v>4</x:v>
      </x:c>
      <x:c r="D9921" s="8" t="n">
        <x:v>45671</x:v>
      </x:c>
      <x:c r="E9921" s="9" t="n">
        <x:v>3960500</x:v>
      </x:c>
      <x:c r="F9921" s="9" t="n">
        <x:v>0</x:v>
      </x:c>
    </x:row>
    <x:row r="9922" ht="34" customHeight="1">
      <x:c r="A9922" s="4" t="str">
        <x:v>RS-04917-I1</x:v>
      </x:c>
      <x:c r="B9922" s="4" t="str">
        <x:v>RS-04917</x:v>
      </x:c>
      <x:c r="C9922" s="9" t="n">
        <x:v>1</x:v>
      </x:c>
      <x:c r="D9922" s="8" t="n">
        <x:v>45582</x:v>
      </x:c>
      <x:c r="E9922" s="9" t="n">
        <x:v>4872000</x:v>
      </x:c>
      <x:c r="F9922" s="9" t="n">
        <x:v>4872000</x:v>
      </x:c>
    </x:row>
    <x:row r="9923" ht="34" customHeight="1">
      <x:c r="A9923" s="4" t="str">
        <x:v>RS-04917-I2</x:v>
      </x:c>
      <x:c r="B9923" s="4" t="str">
        <x:v>RS-04917</x:v>
      </x:c>
      <x:c r="C9923" s="9" t="n">
        <x:v>2</x:v>
      </x:c>
      <x:c r="D9923" s="8" t="n">
        <x:v>45612</x:v>
      </x:c>
      <x:c r="E9923" s="9" t="n">
        <x:v>4872000</x:v>
      </x:c>
      <x:c r="F9923" s="9" t="n">
        <x:v>0</x:v>
      </x:c>
    </x:row>
    <x:row r="9924" ht="34" customHeight="1">
      <x:c r="A9924" s="4" t="str">
        <x:v>RS-04917-I3</x:v>
      </x:c>
      <x:c r="B9924" s="4" t="str">
        <x:v>RS-04917</x:v>
      </x:c>
      <x:c r="C9924" s="9" t="n">
        <x:v>3</x:v>
      </x:c>
      <x:c r="D9924" s="8" t="n">
        <x:v>45642</x:v>
      </x:c>
      <x:c r="E9924" s="9" t="n">
        <x:v>4872000</x:v>
      </x:c>
      <x:c r="F9924" s="9" t="n">
        <x:v>0</x:v>
      </x:c>
    </x:row>
    <x:row r="9925" ht="34" customHeight="1">
      <x:c r="A9925" s="4" t="str">
        <x:v>RS-04917-I4</x:v>
      </x:c>
      <x:c r="B9925" s="4" t="str">
        <x:v>RS-04917</x:v>
      </x:c>
      <x:c r="C9925" s="9" t="n">
        <x:v>4</x:v>
      </x:c>
      <x:c r="D9925" s="8" t="n">
        <x:v>45672</x:v>
      </x:c>
      <x:c r="E9925" s="9" t="n">
        <x:v>4872000</x:v>
      </x:c>
      <x:c r="F9925" s="9" t="n">
        <x:v>0</x:v>
      </x:c>
    </x:row>
    <x:row r="9926" ht="34" customHeight="1">
      <x:c r="A9926" s="4" t="str">
        <x:v>RS-04918-I1</x:v>
      </x:c>
      <x:c r="B9926" s="4" t="str">
        <x:v>RS-04918</x:v>
      </x:c>
      <x:c r="C9926" s="9" t="n">
        <x:v>1</x:v>
      </x:c>
      <x:c r="D9926" s="8" t="n">
        <x:v>45583</x:v>
      </x:c>
      <x:c r="E9926" s="9" t="n">
        <x:v>4140000</x:v>
      </x:c>
      <x:c r="F9926" s="9" t="n">
        <x:v>1656000</x:v>
      </x:c>
    </x:row>
    <x:row r="9927" ht="34" customHeight="1">
      <x:c r="A9927" s="4" t="str">
        <x:v>RS-04918-I2</x:v>
      </x:c>
      <x:c r="B9927" s="4" t="str">
        <x:v>RS-04918</x:v>
      </x:c>
      <x:c r="C9927" s="9" t="n">
        <x:v>2</x:v>
      </x:c>
      <x:c r="D9927" s="8" t="n">
        <x:v>45613</x:v>
      </x:c>
      <x:c r="E9927" s="9" t="n">
        <x:v>4140000</x:v>
      </x:c>
      <x:c r="F9927" s="9" t="n">
        <x:v>0</x:v>
      </x:c>
    </x:row>
    <x:row r="9928" ht="34" customHeight="1">
      <x:c r="A9928" s="4" t="str">
        <x:v>RS-04918-I3</x:v>
      </x:c>
      <x:c r="B9928" s="4" t="str">
        <x:v>RS-04918</x:v>
      </x:c>
      <x:c r="C9928" s="9" t="n">
        <x:v>3</x:v>
      </x:c>
      <x:c r="D9928" s="8" t="n">
        <x:v>45643</x:v>
      </x:c>
      <x:c r="E9928" s="9" t="n">
        <x:v>4140000</x:v>
      </x:c>
      <x:c r="F9928" s="9" t="n">
        <x:v>0</x:v>
      </x:c>
    </x:row>
    <x:row r="9929" ht="34" customHeight="1">
      <x:c r="A9929" s="4" t="str">
        <x:v>RS-04918-I4</x:v>
      </x:c>
      <x:c r="B9929" s="4" t="str">
        <x:v>RS-04918</x:v>
      </x:c>
      <x:c r="C9929" s="9" t="n">
        <x:v>4</x:v>
      </x:c>
      <x:c r="D9929" s="8" t="n">
        <x:v>45673</x:v>
      </x:c>
      <x:c r="E9929" s="9" t="n">
        <x:v>4140000</x:v>
      </x:c>
      <x:c r="F9929" s="9" t="n">
        <x:v>0</x:v>
      </x:c>
    </x:row>
    <x:row r="9930" ht="34" customHeight="1">
      <x:c r="A9930" s="4" t="str">
        <x:v>RS-04920-I1</x:v>
      </x:c>
      <x:c r="B9930" s="4" t="str">
        <x:v>RS-04920</x:v>
      </x:c>
      <x:c r="C9930" s="9" t="n">
        <x:v>1</x:v>
      </x:c>
      <x:c r="D9930" s="8" t="n">
        <x:v>45585</x:v>
      </x:c>
      <x:c r="E9930" s="9" t="n">
        <x:v>4794000</x:v>
      </x:c>
      <x:c r="F9930" s="9" t="n">
        <x:v>1917600</x:v>
      </x:c>
    </x:row>
    <x:row r="9931" ht="34" customHeight="1">
      <x:c r="A9931" s="4" t="str">
        <x:v>RS-04920-I2</x:v>
      </x:c>
      <x:c r="B9931" s="4" t="str">
        <x:v>RS-04920</x:v>
      </x:c>
      <x:c r="C9931" s="9" t="n">
        <x:v>2</x:v>
      </x:c>
      <x:c r="D9931" s="8" t="n">
        <x:v>45615</x:v>
      </x:c>
      <x:c r="E9931" s="9" t="n">
        <x:v>4794000</x:v>
      </x:c>
      <x:c r="F9931" s="9" t="n">
        <x:v>0</x:v>
      </x:c>
    </x:row>
    <x:row r="9932" ht="34" customHeight="1">
      <x:c r="A9932" s="4" t="str">
        <x:v>RS-04920-I3</x:v>
      </x:c>
      <x:c r="B9932" s="4" t="str">
        <x:v>RS-04920</x:v>
      </x:c>
      <x:c r="C9932" s="9" t="n">
        <x:v>3</x:v>
      </x:c>
      <x:c r="D9932" s="8" t="n">
        <x:v>45645</x:v>
      </x:c>
      <x:c r="E9932" s="9" t="n">
        <x:v>4794000</x:v>
      </x:c>
      <x:c r="F9932" s="9" t="n">
        <x:v>0</x:v>
      </x:c>
    </x:row>
    <x:row r="9933" ht="34" customHeight="1">
      <x:c r="A9933" s="4" t="str">
        <x:v>RS-04920-I4</x:v>
      </x:c>
      <x:c r="B9933" s="4" t="str">
        <x:v>RS-04920</x:v>
      </x:c>
      <x:c r="C9933" s="9" t="n">
        <x:v>4</x:v>
      </x:c>
      <x:c r="D9933" s="8" t="n">
        <x:v>45675</x:v>
      </x:c>
      <x:c r="E9933" s="9" t="n">
        <x:v>4794000</x:v>
      </x:c>
      <x:c r="F9933" s="9" t="n">
        <x:v>0</x:v>
      </x:c>
    </x:row>
    <x:row r="9934" ht="34" customHeight="1">
      <x:c r="A9934" s="4" t="str">
        <x:v>RS-04923-I1</x:v>
      </x:c>
      <x:c r="B9934" s="4" t="str">
        <x:v>RS-04923</x:v>
      </x:c>
      <x:c r="C9934" s="9" t="n">
        <x:v>1</x:v>
      </x:c>
      <x:c r="D9934" s="8" t="n">
        <x:v>45588</x:v>
      </x:c>
      <x:c r="E9934" s="9" t="n">
        <x:v>5533500</x:v>
      </x:c>
      <x:c r="F9934" s="9" t="n">
        <x:v>5533500</x:v>
      </x:c>
    </x:row>
    <x:row r="9935" ht="34" customHeight="1">
      <x:c r="A9935" s="4" t="str">
        <x:v>RS-04923-I2</x:v>
      </x:c>
      <x:c r="B9935" s="4" t="str">
        <x:v>RS-04923</x:v>
      </x:c>
      <x:c r="C9935" s="9" t="n">
        <x:v>2</x:v>
      </x:c>
      <x:c r="D9935" s="8" t="n">
        <x:v>45618</x:v>
      </x:c>
      <x:c r="E9935" s="9" t="n">
        <x:v>5533500</x:v>
      </x:c>
      <x:c r="F9935" s="9" t="n">
        <x:v>5533500</x:v>
      </x:c>
    </x:row>
    <x:row r="9936" ht="34" customHeight="1">
      <x:c r="A9936" s="4" t="str">
        <x:v>RS-04923-I3</x:v>
      </x:c>
      <x:c r="B9936" s="4" t="str">
        <x:v>RS-04923</x:v>
      </x:c>
      <x:c r="C9936" s="9" t="n">
        <x:v>3</x:v>
      </x:c>
      <x:c r="D9936" s="8" t="n">
        <x:v>45648</x:v>
      </x:c>
      <x:c r="E9936" s="9" t="n">
        <x:v>5533500</x:v>
      </x:c>
      <x:c r="F9936" s="9" t="n">
        <x:v>5533500</x:v>
      </x:c>
    </x:row>
    <x:row r="9937" ht="34" customHeight="1">
      <x:c r="A9937" s="4" t="str">
        <x:v>RS-04923-I4</x:v>
      </x:c>
      <x:c r="B9937" s="4" t="str">
        <x:v>RS-04923</x:v>
      </x:c>
      <x:c r="C9937" s="9" t="n">
        <x:v>4</x:v>
      </x:c>
      <x:c r="D9937" s="8" t="n">
        <x:v>45678</x:v>
      </x:c>
      <x:c r="E9937" s="9" t="n">
        <x:v>5533500</x:v>
      </x:c>
      <x:c r="F9937" s="9" t="n">
        <x:v>5533500</x:v>
      </x:c>
    </x:row>
    <x:row r="9938" ht="34" customHeight="1">
      <x:c r="A9938" s="4" t="str">
        <x:v>RS-04924-I1</x:v>
      </x:c>
      <x:c r="B9938" s="4" t="str">
        <x:v>RS-04924</x:v>
      </x:c>
      <x:c r="C9938" s="9" t="n">
        <x:v>1</x:v>
      </x:c>
      <x:c r="D9938" s="8" t="n">
        <x:v>45589</x:v>
      </x:c>
      <x:c r="E9938" s="9" t="n">
        <x:v>3503500</x:v>
      </x:c>
      <x:c r="F9938" s="9" t="n">
        <x:v>3503500</x:v>
      </x:c>
    </x:row>
    <x:row r="9939" ht="34" customHeight="1">
      <x:c r="A9939" s="4" t="str">
        <x:v>RS-04924-I2</x:v>
      </x:c>
      <x:c r="B9939" s="4" t="str">
        <x:v>RS-04924</x:v>
      </x:c>
      <x:c r="C9939" s="9" t="n">
        <x:v>2</x:v>
      </x:c>
      <x:c r="D9939" s="8" t="n">
        <x:v>45619</x:v>
      </x:c>
      <x:c r="E9939" s="9" t="n">
        <x:v>3503500</x:v>
      </x:c>
      <x:c r="F9939" s="9" t="n">
        <x:v>3503500</x:v>
      </x:c>
    </x:row>
    <x:row r="9940" ht="34" customHeight="1">
      <x:c r="A9940" s="4" t="str">
        <x:v>RS-04924-I3</x:v>
      </x:c>
      <x:c r="B9940" s="4" t="str">
        <x:v>RS-04924</x:v>
      </x:c>
      <x:c r="C9940" s="9" t="n">
        <x:v>3</x:v>
      </x:c>
      <x:c r="D9940" s="8" t="n">
        <x:v>45649</x:v>
      </x:c>
      <x:c r="E9940" s="9" t="n">
        <x:v>3503500</x:v>
      </x:c>
      <x:c r="F9940" s="9" t="n">
        <x:v>3503500</x:v>
      </x:c>
    </x:row>
    <x:row r="9941" ht="34" customHeight="1">
      <x:c r="A9941" s="4" t="str">
        <x:v>RS-04924-I4</x:v>
      </x:c>
      <x:c r="B9941" s="4" t="str">
        <x:v>RS-04924</x:v>
      </x:c>
      <x:c r="C9941" s="9" t="n">
        <x:v>4</x:v>
      </x:c>
      <x:c r="D9941" s="8" t="n">
        <x:v>45679</x:v>
      </x:c>
      <x:c r="E9941" s="9" t="n">
        <x:v>3503500</x:v>
      </x:c>
      <x:c r="F9941" s="9" t="n">
        <x:v>3503500</x:v>
      </x:c>
    </x:row>
    <x:row r="9942" ht="34" customHeight="1">
      <x:c r="A9942" s="4" t="str">
        <x:v>RS-04926-I1</x:v>
      </x:c>
      <x:c r="B9942" s="4" t="str">
        <x:v>RS-04926</x:v>
      </x:c>
      <x:c r="C9942" s="9" t="n">
        <x:v>1</x:v>
      </x:c>
      <x:c r="D9942" s="8" t="n">
        <x:v>45591</x:v>
      </x:c>
      <x:c r="E9942" s="9" t="n">
        <x:v>3431000</x:v>
      </x:c>
      <x:c r="F9942" s="9" t="n">
        <x:v>1372400</x:v>
      </x:c>
    </x:row>
    <x:row r="9943" ht="34" customHeight="1">
      <x:c r="A9943" s="4" t="str">
        <x:v>RS-04926-I2</x:v>
      </x:c>
      <x:c r="B9943" s="4" t="str">
        <x:v>RS-04926</x:v>
      </x:c>
      <x:c r="C9943" s="9" t="n">
        <x:v>2</x:v>
      </x:c>
      <x:c r="D9943" s="8" t="n">
        <x:v>45621</x:v>
      </x:c>
      <x:c r="E9943" s="9" t="n">
        <x:v>3431000</x:v>
      </x:c>
      <x:c r="F9943" s="9" t="n">
        <x:v>0</x:v>
      </x:c>
    </x:row>
    <x:row r="9944" ht="34" customHeight="1">
      <x:c r="A9944" s="4" t="str">
        <x:v>RS-04926-I3</x:v>
      </x:c>
      <x:c r="B9944" s="4" t="str">
        <x:v>RS-04926</x:v>
      </x:c>
      <x:c r="C9944" s="9" t="n">
        <x:v>3</x:v>
      </x:c>
      <x:c r="D9944" s="8" t="n">
        <x:v>45651</x:v>
      </x:c>
      <x:c r="E9944" s="9" t="n">
        <x:v>3431000</x:v>
      </x:c>
      <x:c r="F9944" s="9" t="n">
        <x:v>0</x:v>
      </x:c>
    </x:row>
    <x:row r="9945" ht="34" customHeight="1">
      <x:c r="A9945" s="4" t="str">
        <x:v>RS-04926-I4</x:v>
      </x:c>
      <x:c r="B9945" s="4" t="str">
        <x:v>RS-04926</x:v>
      </x:c>
      <x:c r="C9945" s="9" t="n">
        <x:v>4</x:v>
      </x:c>
      <x:c r="D9945" s="8" t="n">
        <x:v>45681</x:v>
      </x:c>
      <x:c r="E9945" s="9" t="n">
        <x:v>3431000</x:v>
      </x:c>
      <x:c r="F9945" s="9" t="n">
        <x:v>0</x:v>
      </x:c>
    </x:row>
    <x:row r="9946" ht="34" customHeight="1">
      <x:c r="A9946" s="4" t="str">
        <x:v>RS-04930-I1</x:v>
      </x:c>
      <x:c r="B9946" s="4" t="str">
        <x:v>RS-04930</x:v>
      </x:c>
      <x:c r="C9946" s="9" t="n">
        <x:v>1</x:v>
      </x:c>
      <x:c r="D9946" s="8" t="n">
        <x:v>45567</x:v>
      </x:c>
      <x:c r="E9946" s="9" t="n">
        <x:v>4316500</x:v>
      </x:c>
      <x:c r="F9946" s="9" t="n">
        <x:v>1726600</x:v>
      </x:c>
    </x:row>
    <x:row r="9947" ht="34" customHeight="1">
      <x:c r="A9947" s="4" t="str">
        <x:v>RS-04930-I2</x:v>
      </x:c>
      <x:c r="B9947" s="4" t="str">
        <x:v>RS-04930</x:v>
      </x:c>
      <x:c r="C9947" s="9" t="n">
        <x:v>2</x:v>
      </x:c>
      <x:c r="D9947" s="8" t="n">
        <x:v>45597</x:v>
      </x:c>
      <x:c r="E9947" s="9" t="n">
        <x:v>4316500</x:v>
      </x:c>
      <x:c r="F9947" s="9" t="n">
        <x:v>0</x:v>
      </x:c>
    </x:row>
    <x:row r="9948" ht="34" customHeight="1">
      <x:c r="A9948" s="4" t="str">
        <x:v>RS-04930-I3</x:v>
      </x:c>
      <x:c r="B9948" s="4" t="str">
        <x:v>RS-04930</x:v>
      </x:c>
      <x:c r="C9948" s="9" t="n">
        <x:v>3</x:v>
      </x:c>
      <x:c r="D9948" s="8" t="n">
        <x:v>45627</x:v>
      </x:c>
      <x:c r="E9948" s="9" t="n">
        <x:v>4316500</x:v>
      </x:c>
      <x:c r="F9948" s="9" t="n">
        <x:v>0</x:v>
      </x:c>
    </x:row>
    <x:row r="9949" ht="34" customHeight="1">
      <x:c r="A9949" s="4" t="str">
        <x:v>RS-04930-I4</x:v>
      </x:c>
      <x:c r="B9949" s="4" t="str">
        <x:v>RS-04930</x:v>
      </x:c>
      <x:c r="C9949" s="9" t="n">
        <x:v>4</x:v>
      </x:c>
      <x:c r="D9949" s="8" t="n">
        <x:v>45657</x:v>
      </x:c>
      <x:c r="E9949" s="9" t="n">
        <x:v>4316500</x:v>
      </x:c>
      <x:c r="F9949" s="9" t="n">
        <x:v>0</x:v>
      </x:c>
    </x:row>
    <x:row r="9950" ht="34" customHeight="1">
      <x:c r="A9950" s="4" t="str">
        <x:v>RS-04933-I1</x:v>
      </x:c>
      <x:c r="B9950" s="4" t="str">
        <x:v>RS-04933</x:v>
      </x:c>
      <x:c r="C9950" s="9" t="n">
        <x:v>1</x:v>
      </x:c>
      <x:c r="D9950" s="8" t="n">
        <x:v>45570</x:v>
      </x:c>
      <x:c r="E9950" s="9" t="n">
        <x:v>1446250</x:v>
      </x:c>
      <x:c r="F9950" s="9" t="n">
        <x:v>1446250</x:v>
      </x:c>
    </x:row>
    <x:row r="9951" ht="34" customHeight="1">
      <x:c r="A9951" s="4" t="str">
        <x:v>RS-04933-I2</x:v>
      </x:c>
      <x:c r="B9951" s="4" t="str">
        <x:v>RS-04933</x:v>
      </x:c>
      <x:c r="C9951" s="9" t="n">
        <x:v>2</x:v>
      </x:c>
      <x:c r="D9951" s="8" t="n">
        <x:v>45600</x:v>
      </x:c>
      <x:c r="E9951" s="9" t="n">
        <x:v>1446250</x:v>
      </x:c>
      <x:c r="F9951" s="9" t="n">
        <x:v>1446250</x:v>
      </x:c>
    </x:row>
    <x:row r="9952" ht="34" customHeight="1">
      <x:c r="A9952" s="4" t="str">
        <x:v>RS-04933-I3</x:v>
      </x:c>
      <x:c r="B9952" s="4" t="str">
        <x:v>RS-04933</x:v>
      </x:c>
      <x:c r="C9952" s="9" t="n">
        <x:v>3</x:v>
      </x:c>
      <x:c r="D9952" s="8" t="n">
        <x:v>45630</x:v>
      </x:c>
      <x:c r="E9952" s="9" t="n">
        <x:v>1446250</x:v>
      </x:c>
      <x:c r="F9952" s="9" t="n">
        <x:v>1446250</x:v>
      </x:c>
    </x:row>
    <x:row r="9953" ht="34" customHeight="1">
      <x:c r="A9953" s="4" t="str">
        <x:v>RS-04933-I4</x:v>
      </x:c>
      <x:c r="B9953" s="4" t="str">
        <x:v>RS-04933</x:v>
      </x:c>
      <x:c r="C9953" s="9" t="n">
        <x:v>4</x:v>
      </x:c>
      <x:c r="D9953" s="8" t="n">
        <x:v>45660</x:v>
      </x:c>
      <x:c r="E9953" s="9" t="n">
        <x:v>1446250</x:v>
      </x:c>
      <x:c r="F9953" s="9" t="n">
        <x:v>1446250</x:v>
      </x:c>
    </x:row>
    <x:row r="9954" ht="34" customHeight="1">
      <x:c r="A9954" s="4" t="str">
        <x:v>RS-04934-I1</x:v>
      </x:c>
      <x:c r="B9954" s="4" t="str">
        <x:v>RS-04934</x:v>
      </x:c>
      <x:c r="C9954" s="9" t="n">
        <x:v>1</x:v>
      </x:c>
      <x:c r="D9954" s="8" t="n">
        <x:v>45571</x:v>
      </x:c>
      <x:c r="E9954" s="9" t="n">
        <x:v>932750</x:v>
      </x:c>
      <x:c r="F9954" s="9" t="n">
        <x:v>373100</x:v>
      </x:c>
    </x:row>
    <x:row r="9955" ht="34" customHeight="1">
      <x:c r="A9955" s="4" t="str">
        <x:v>RS-04934-I2</x:v>
      </x:c>
      <x:c r="B9955" s="4" t="str">
        <x:v>RS-04934</x:v>
      </x:c>
      <x:c r="C9955" s="9" t="n">
        <x:v>2</x:v>
      </x:c>
      <x:c r="D9955" s="8" t="n">
        <x:v>45601</x:v>
      </x:c>
      <x:c r="E9955" s="9" t="n">
        <x:v>932750</x:v>
      </x:c>
      <x:c r="F9955" s="9" t="n">
        <x:v>0</x:v>
      </x:c>
    </x:row>
    <x:row r="9956" ht="34" customHeight="1">
      <x:c r="A9956" s="4" t="str">
        <x:v>RS-04934-I3</x:v>
      </x:c>
      <x:c r="B9956" s="4" t="str">
        <x:v>RS-04934</x:v>
      </x:c>
      <x:c r="C9956" s="9" t="n">
        <x:v>3</x:v>
      </x:c>
      <x:c r="D9956" s="8" t="n">
        <x:v>45631</x:v>
      </x:c>
      <x:c r="E9956" s="9" t="n">
        <x:v>932750</x:v>
      </x:c>
      <x:c r="F9956" s="9" t="n">
        <x:v>0</x:v>
      </x:c>
    </x:row>
    <x:row r="9957" ht="34" customHeight="1">
      <x:c r="A9957" s="4" t="str">
        <x:v>RS-04934-I4</x:v>
      </x:c>
      <x:c r="B9957" s="4" t="str">
        <x:v>RS-04934</x:v>
      </x:c>
      <x:c r="C9957" s="9" t="n">
        <x:v>4</x:v>
      </x:c>
      <x:c r="D9957" s="8" t="n">
        <x:v>45661</x:v>
      </x:c>
      <x:c r="E9957" s="9" t="n">
        <x:v>932750</x:v>
      </x:c>
      <x:c r="F9957" s="9" t="n">
        <x:v>0</x:v>
      </x:c>
    </x:row>
    <x:row r="9958" ht="34" customHeight="1">
      <x:c r="A9958" s="4" t="str">
        <x:v>RS-04938-I1</x:v>
      </x:c>
      <x:c r="B9958" s="4" t="str">
        <x:v>RS-04938</x:v>
      </x:c>
      <x:c r="C9958" s="9" t="n">
        <x:v>1</x:v>
      </x:c>
      <x:c r="D9958" s="8" t="n">
        <x:v>45575</x:v>
      </x:c>
      <x:c r="E9958" s="9" t="n">
        <x:v>2588750</x:v>
      </x:c>
      <x:c r="F9958" s="9" t="n">
        <x:v>1035500</x:v>
      </x:c>
    </x:row>
    <x:row r="9959" ht="34" customHeight="1">
      <x:c r="A9959" s="4" t="str">
        <x:v>RS-04938-I2</x:v>
      </x:c>
      <x:c r="B9959" s="4" t="str">
        <x:v>RS-04938</x:v>
      </x:c>
      <x:c r="C9959" s="9" t="n">
        <x:v>2</x:v>
      </x:c>
      <x:c r="D9959" s="8" t="n">
        <x:v>45605</x:v>
      </x:c>
      <x:c r="E9959" s="9" t="n">
        <x:v>2588750</x:v>
      </x:c>
      <x:c r="F9959" s="9" t="n">
        <x:v>0</x:v>
      </x:c>
    </x:row>
    <x:row r="9960" ht="34" customHeight="1">
      <x:c r="A9960" s="4" t="str">
        <x:v>RS-04938-I3</x:v>
      </x:c>
      <x:c r="B9960" s="4" t="str">
        <x:v>RS-04938</x:v>
      </x:c>
      <x:c r="C9960" s="9" t="n">
        <x:v>3</x:v>
      </x:c>
      <x:c r="D9960" s="8" t="n">
        <x:v>45635</x:v>
      </x:c>
      <x:c r="E9960" s="9" t="n">
        <x:v>2588750</x:v>
      </x:c>
      <x:c r="F9960" s="9" t="n">
        <x:v>0</x:v>
      </x:c>
    </x:row>
    <x:row r="9961" ht="34" customHeight="1">
      <x:c r="A9961" s="4" t="str">
        <x:v>RS-04938-I4</x:v>
      </x:c>
      <x:c r="B9961" s="4" t="str">
        <x:v>RS-04938</x:v>
      </x:c>
      <x:c r="C9961" s="9" t="n">
        <x:v>4</x:v>
      </x:c>
      <x:c r="D9961" s="8" t="n">
        <x:v>45665</x:v>
      </x:c>
      <x:c r="E9961" s="9" t="n">
        <x:v>2588750</x:v>
      </x:c>
      <x:c r="F9961" s="9" t="n">
        <x:v>0</x:v>
      </x:c>
    </x:row>
    <x:row r="9962" ht="34" customHeight="1">
      <x:c r="A9962" s="4" t="str">
        <x:v>RS-04940-I1</x:v>
      </x:c>
      <x:c r="B9962" s="4" t="str">
        <x:v>RS-04940</x:v>
      </x:c>
      <x:c r="C9962" s="9" t="n">
        <x:v>1</x:v>
      </x:c>
      <x:c r="D9962" s="8" t="n">
        <x:v>45577</x:v>
      </x:c>
      <x:c r="E9962" s="9" t="n">
        <x:v>5006250</x:v>
      </x:c>
      <x:c r="F9962" s="9" t="n">
        <x:v>5006250</x:v>
      </x:c>
    </x:row>
    <x:row r="9963" ht="34" customHeight="1">
      <x:c r="A9963" s="4" t="str">
        <x:v>RS-04940-I2</x:v>
      </x:c>
      <x:c r="B9963" s="4" t="str">
        <x:v>RS-04940</x:v>
      </x:c>
      <x:c r="C9963" s="9" t="n">
        <x:v>2</x:v>
      </x:c>
      <x:c r="D9963" s="8" t="n">
        <x:v>45607</x:v>
      </x:c>
      <x:c r="E9963" s="9" t="n">
        <x:v>5006250</x:v>
      </x:c>
      <x:c r="F9963" s="9" t="n">
        <x:v>5006250</x:v>
      </x:c>
    </x:row>
    <x:row r="9964" ht="34" customHeight="1">
      <x:c r="A9964" s="4" t="str">
        <x:v>RS-04940-I3</x:v>
      </x:c>
      <x:c r="B9964" s="4" t="str">
        <x:v>RS-04940</x:v>
      </x:c>
      <x:c r="C9964" s="9" t="n">
        <x:v>3</x:v>
      </x:c>
      <x:c r="D9964" s="8" t="n">
        <x:v>45637</x:v>
      </x:c>
      <x:c r="E9964" s="9" t="n">
        <x:v>5006250</x:v>
      </x:c>
      <x:c r="F9964" s="9" t="n">
        <x:v>5006250</x:v>
      </x:c>
    </x:row>
    <x:row r="9965" ht="34" customHeight="1">
      <x:c r="A9965" s="4" t="str">
        <x:v>RS-04940-I4</x:v>
      </x:c>
      <x:c r="B9965" s="4" t="str">
        <x:v>RS-04940</x:v>
      </x:c>
      <x:c r="C9965" s="9" t="n">
        <x:v>4</x:v>
      </x:c>
      <x:c r="D9965" s="8" t="n">
        <x:v>45667</x:v>
      </x:c>
      <x:c r="E9965" s="9" t="n">
        <x:v>5006250</x:v>
      </x:c>
      <x:c r="F9965" s="9" t="n">
        <x:v>5006250</x:v>
      </x:c>
    </x:row>
    <x:row r="9966" ht="34" customHeight="1">
      <x:c r="A9966" s="4" t="str">
        <x:v>RS-04941-I1</x:v>
      </x:c>
      <x:c r="B9966" s="4" t="str">
        <x:v>RS-04941</x:v>
      </x:c>
      <x:c r="C9966" s="9" t="n">
        <x:v>1</x:v>
      </x:c>
      <x:c r="D9966" s="8" t="n">
        <x:v>45578</x:v>
      </x:c>
      <x:c r="E9966" s="9" t="n">
        <x:v>1716000</x:v>
      </x:c>
      <x:c r="F9966" s="9" t="n">
        <x:v>1716000</x:v>
      </x:c>
    </x:row>
    <x:row r="9967" ht="34" customHeight="1">
      <x:c r="A9967" s="4" t="str">
        <x:v>RS-04941-I2</x:v>
      </x:c>
      <x:c r="B9967" s="4" t="str">
        <x:v>RS-04941</x:v>
      </x:c>
      <x:c r="C9967" s="9" t="n">
        <x:v>2</x:v>
      </x:c>
      <x:c r="D9967" s="8" t="n">
        <x:v>45608</x:v>
      </x:c>
      <x:c r="E9967" s="9" t="n">
        <x:v>1716000</x:v>
      </x:c>
      <x:c r="F9967" s="9" t="n">
        <x:v>1716000</x:v>
      </x:c>
    </x:row>
    <x:row r="9968" ht="34" customHeight="1">
      <x:c r="A9968" s="4" t="str">
        <x:v>RS-04941-I3</x:v>
      </x:c>
      <x:c r="B9968" s="4" t="str">
        <x:v>RS-04941</x:v>
      </x:c>
      <x:c r="C9968" s="9" t="n">
        <x:v>3</x:v>
      </x:c>
      <x:c r="D9968" s="8" t="n">
        <x:v>45638</x:v>
      </x:c>
      <x:c r="E9968" s="9" t="n">
        <x:v>1716000</x:v>
      </x:c>
      <x:c r="F9968" s="9" t="n">
        <x:v>0</x:v>
      </x:c>
    </x:row>
    <x:row r="9969" ht="34" customHeight="1">
      <x:c r="A9969" s="4" t="str">
        <x:v>RS-04941-I4</x:v>
      </x:c>
      <x:c r="B9969" s="4" t="str">
        <x:v>RS-04941</x:v>
      </x:c>
      <x:c r="C9969" s="9" t="n">
        <x:v>4</x:v>
      </x:c>
      <x:c r="D9969" s="8" t="n">
        <x:v>45668</x:v>
      </x:c>
      <x:c r="E9969" s="9" t="n">
        <x:v>1716000</x:v>
      </x:c>
      <x:c r="F9969" s="9" t="n">
        <x:v>0</x:v>
      </x:c>
    </x:row>
    <x:row r="9970" ht="34" customHeight="1">
      <x:c r="A9970" s="4" t="str">
        <x:v>RS-04942-I1</x:v>
      </x:c>
      <x:c r="B9970" s="4" t="str">
        <x:v>RS-04942</x:v>
      </x:c>
      <x:c r="C9970" s="9" t="n">
        <x:v>1</x:v>
      </x:c>
      <x:c r="D9970" s="8" t="n">
        <x:v>45579</x:v>
      </x:c>
      <x:c r="E9970" s="9" t="n">
        <x:v>5414500</x:v>
      </x:c>
      <x:c r="F9970" s="9" t="n">
        <x:v>2165800</x:v>
      </x:c>
    </x:row>
    <x:row r="9971" ht="34" customHeight="1">
      <x:c r="A9971" s="4" t="str">
        <x:v>RS-04942-I2</x:v>
      </x:c>
      <x:c r="B9971" s="4" t="str">
        <x:v>RS-04942</x:v>
      </x:c>
      <x:c r="C9971" s="9" t="n">
        <x:v>2</x:v>
      </x:c>
      <x:c r="D9971" s="8" t="n">
        <x:v>45609</x:v>
      </x:c>
      <x:c r="E9971" s="9" t="n">
        <x:v>5414500</x:v>
      </x:c>
      <x:c r="F9971" s="9" t="n">
        <x:v>0</x:v>
      </x:c>
    </x:row>
    <x:row r="9972" ht="34" customHeight="1">
      <x:c r="A9972" s="4" t="str">
        <x:v>RS-04942-I3</x:v>
      </x:c>
      <x:c r="B9972" s="4" t="str">
        <x:v>RS-04942</x:v>
      </x:c>
      <x:c r="C9972" s="9" t="n">
        <x:v>3</x:v>
      </x:c>
      <x:c r="D9972" s="8" t="n">
        <x:v>45639</x:v>
      </x:c>
      <x:c r="E9972" s="9" t="n">
        <x:v>5414500</x:v>
      </x:c>
      <x:c r="F9972" s="9" t="n">
        <x:v>0</x:v>
      </x:c>
    </x:row>
    <x:row r="9973" ht="34" customHeight="1">
      <x:c r="A9973" s="4" t="str">
        <x:v>RS-04942-I4</x:v>
      </x:c>
      <x:c r="B9973" s="4" t="str">
        <x:v>RS-04942</x:v>
      </x:c>
      <x:c r="C9973" s="9" t="n">
        <x:v>4</x:v>
      </x:c>
      <x:c r="D9973" s="8" t="n">
        <x:v>45669</x:v>
      </x:c>
      <x:c r="E9973" s="9" t="n">
        <x:v>5414500</x:v>
      </x:c>
      <x:c r="F9973" s="9" t="n">
        <x:v>0</x:v>
      </x:c>
    </x:row>
    <x:row r="9974" ht="34" customHeight="1">
      <x:c r="A9974" s="4" t="str">
        <x:v>RS-04946-I1</x:v>
      </x:c>
      <x:c r="B9974" s="4" t="str">
        <x:v>RS-04946</x:v>
      </x:c>
      <x:c r="C9974" s="9" t="n">
        <x:v>1</x:v>
      </x:c>
      <x:c r="D9974" s="8" t="n">
        <x:v>45583</x:v>
      </x:c>
      <x:c r="E9974" s="9" t="n">
        <x:v>5520000</x:v>
      </x:c>
      <x:c r="F9974" s="9" t="n">
        <x:v>5520000</x:v>
      </x:c>
    </x:row>
    <x:row r="9975" ht="34" customHeight="1">
      <x:c r="A9975" s="4" t="str">
        <x:v>RS-04946-I2</x:v>
      </x:c>
      <x:c r="B9975" s="4" t="str">
        <x:v>RS-04946</x:v>
      </x:c>
      <x:c r="C9975" s="9" t="n">
        <x:v>2</x:v>
      </x:c>
      <x:c r="D9975" s="8" t="n">
        <x:v>45613</x:v>
      </x:c>
      <x:c r="E9975" s="9" t="n">
        <x:v>5520000</x:v>
      </x:c>
      <x:c r="F9975" s="9" t="n">
        <x:v>0</x:v>
      </x:c>
    </x:row>
    <x:row r="9976" ht="34" customHeight="1">
      <x:c r="A9976" s="4" t="str">
        <x:v>RS-04946-I3</x:v>
      </x:c>
      <x:c r="B9976" s="4" t="str">
        <x:v>RS-04946</x:v>
      </x:c>
      <x:c r="C9976" s="9" t="n">
        <x:v>3</x:v>
      </x:c>
      <x:c r="D9976" s="8" t="n">
        <x:v>45643</x:v>
      </x:c>
      <x:c r="E9976" s="9" t="n">
        <x:v>5520000</x:v>
      </x:c>
      <x:c r="F9976" s="9" t="n">
        <x:v>0</x:v>
      </x:c>
    </x:row>
    <x:row r="9977" ht="34" customHeight="1">
      <x:c r="A9977" s="4" t="str">
        <x:v>RS-04946-I4</x:v>
      </x:c>
      <x:c r="B9977" s="4" t="str">
        <x:v>RS-04946</x:v>
      </x:c>
      <x:c r="C9977" s="9" t="n">
        <x:v>4</x:v>
      </x:c>
      <x:c r="D9977" s="8" t="n">
        <x:v>45673</x:v>
      </x:c>
      <x:c r="E9977" s="9" t="n">
        <x:v>5520000</x:v>
      </x:c>
      <x:c r="F9977" s="9" t="n">
        <x:v>0</x:v>
      </x:c>
    </x:row>
    <x:row r="9978" ht="34" customHeight="1">
      <x:c r="A9978" s="4" t="str">
        <x:v>RS-04948-I1</x:v>
      </x:c>
      <x:c r="B9978" s="4" t="str">
        <x:v>RS-04948</x:v>
      </x:c>
      <x:c r="C9978" s="9" t="n">
        <x:v>1</x:v>
      </x:c>
      <x:c r="D9978" s="8" t="n">
        <x:v>45585</x:v>
      </x:c>
      <x:c r="E9978" s="9" t="n">
        <x:v>776000</x:v>
      </x:c>
      <x:c r="F9978" s="9" t="n">
        <x:v>310400</x:v>
      </x:c>
    </x:row>
    <x:row r="9979" ht="34" customHeight="1">
      <x:c r="A9979" s="4" t="str">
        <x:v>RS-04948-I2</x:v>
      </x:c>
      <x:c r="B9979" s="4" t="str">
        <x:v>RS-04948</x:v>
      </x:c>
      <x:c r="C9979" s="9" t="n">
        <x:v>2</x:v>
      </x:c>
      <x:c r="D9979" s="8" t="n">
        <x:v>45615</x:v>
      </x:c>
      <x:c r="E9979" s="9" t="n">
        <x:v>776000</x:v>
      </x:c>
      <x:c r="F9979" s="9" t="n">
        <x:v>0</x:v>
      </x:c>
    </x:row>
    <x:row r="9980" ht="34" customHeight="1">
      <x:c r="A9980" s="4" t="str">
        <x:v>RS-04948-I3</x:v>
      </x:c>
      <x:c r="B9980" s="4" t="str">
        <x:v>RS-04948</x:v>
      </x:c>
      <x:c r="C9980" s="9" t="n">
        <x:v>3</x:v>
      </x:c>
      <x:c r="D9980" s="8" t="n">
        <x:v>45645</x:v>
      </x:c>
      <x:c r="E9980" s="9" t="n">
        <x:v>776000</x:v>
      </x:c>
      <x:c r="F9980" s="9" t="n">
        <x:v>0</x:v>
      </x:c>
    </x:row>
    <x:row r="9981" ht="34" customHeight="1">
      <x:c r="A9981" s="4" t="str">
        <x:v>RS-04948-I4</x:v>
      </x:c>
      <x:c r="B9981" s="4" t="str">
        <x:v>RS-04948</x:v>
      </x:c>
      <x:c r="C9981" s="9" t="n">
        <x:v>4</x:v>
      </x:c>
      <x:c r="D9981" s="8" t="n">
        <x:v>45675</x:v>
      </x:c>
      <x:c r="E9981" s="9" t="n">
        <x:v>776000</x:v>
      </x:c>
      <x:c r="F9981" s="9" t="n">
        <x:v>0</x:v>
      </x:c>
    </x:row>
    <x:row r="9982" ht="34" customHeight="1">
      <x:c r="A9982" s="4" t="str">
        <x:v>RS-04949-I1</x:v>
      </x:c>
      <x:c r="B9982" s="4" t="str">
        <x:v>RS-04949</x:v>
      </x:c>
      <x:c r="C9982" s="9" t="n">
        <x:v>1</x:v>
      </x:c>
      <x:c r="D9982" s="8" t="n">
        <x:v>45586</x:v>
      </x:c>
      <x:c r="E9982" s="9" t="n">
        <x:v>1680000</x:v>
      </x:c>
      <x:c r="F9982" s="9" t="n">
        <x:v>1680000</x:v>
      </x:c>
    </x:row>
    <x:row r="9983" ht="34" customHeight="1">
      <x:c r="A9983" s="4" t="str">
        <x:v>RS-04949-I2</x:v>
      </x:c>
      <x:c r="B9983" s="4" t="str">
        <x:v>RS-04949</x:v>
      </x:c>
      <x:c r="C9983" s="9" t="n">
        <x:v>2</x:v>
      </x:c>
      <x:c r="D9983" s="8" t="n">
        <x:v>45616</x:v>
      </x:c>
      <x:c r="E9983" s="9" t="n">
        <x:v>1680000</x:v>
      </x:c>
      <x:c r="F9983" s="9" t="n">
        <x:v>1680000</x:v>
      </x:c>
    </x:row>
    <x:row r="9984" ht="34" customHeight="1">
      <x:c r="A9984" s="4" t="str">
        <x:v>RS-04949-I3</x:v>
      </x:c>
      <x:c r="B9984" s="4" t="str">
        <x:v>RS-04949</x:v>
      </x:c>
      <x:c r="C9984" s="9" t="n">
        <x:v>3</x:v>
      </x:c>
      <x:c r="D9984" s="8" t="n">
        <x:v>45646</x:v>
      </x:c>
      <x:c r="E9984" s="9" t="n">
        <x:v>1680000</x:v>
      </x:c>
      <x:c r="F9984" s="9" t="n">
        <x:v>0</x:v>
      </x:c>
    </x:row>
    <x:row r="9985" ht="34" customHeight="1">
      <x:c r="A9985" s="4" t="str">
        <x:v>RS-04949-I4</x:v>
      </x:c>
      <x:c r="B9985" s="4" t="str">
        <x:v>RS-04949</x:v>
      </x:c>
      <x:c r="C9985" s="9" t="n">
        <x:v>4</x:v>
      </x:c>
      <x:c r="D9985" s="8" t="n">
        <x:v>45676</x:v>
      </x:c>
      <x:c r="E9985" s="9" t="n">
        <x:v>1680000</x:v>
      </x:c>
      <x:c r="F9985" s="9" t="n">
        <x:v>0</x:v>
      </x:c>
    </x:row>
    <x:row r="9986" ht="34" customHeight="1">
      <x:c r="A9986" s="4" t="str">
        <x:v>RS-04950-I1</x:v>
      </x:c>
      <x:c r="B9986" s="4" t="str">
        <x:v>RS-04950</x:v>
      </x:c>
      <x:c r="C9986" s="9" t="n">
        <x:v>1</x:v>
      </x:c>
      <x:c r="D9986" s="8" t="n">
        <x:v>45587</x:v>
      </x:c>
      <x:c r="E9986" s="9" t="n">
        <x:v>3885750</x:v>
      </x:c>
      <x:c r="F9986" s="9" t="n">
        <x:v>3885750</x:v>
      </x:c>
    </x:row>
    <x:row r="9987" ht="34" customHeight="1">
      <x:c r="A9987" s="4" t="str">
        <x:v>RS-04950-I2</x:v>
      </x:c>
      <x:c r="B9987" s="4" t="str">
        <x:v>RS-04950</x:v>
      </x:c>
      <x:c r="C9987" s="9" t="n">
        <x:v>2</x:v>
      </x:c>
      <x:c r="D9987" s="8" t="n">
        <x:v>45617</x:v>
      </x:c>
      <x:c r="E9987" s="9" t="n">
        <x:v>3885750</x:v>
      </x:c>
      <x:c r="F9987" s="9" t="n">
        <x:v>0</x:v>
      </x:c>
    </x:row>
    <x:row r="9988" ht="34" customHeight="1">
      <x:c r="A9988" s="4" t="str">
        <x:v>RS-04950-I3</x:v>
      </x:c>
      <x:c r="B9988" s="4" t="str">
        <x:v>RS-04950</x:v>
      </x:c>
      <x:c r="C9988" s="9" t="n">
        <x:v>3</x:v>
      </x:c>
      <x:c r="D9988" s="8" t="n">
        <x:v>45647</x:v>
      </x:c>
      <x:c r="E9988" s="9" t="n">
        <x:v>3885750</x:v>
      </x:c>
      <x:c r="F9988" s="9" t="n">
        <x:v>0</x:v>
      </x:c>
    </x:row>
    <x:row r="9989" ht="34" customHeight="1">
      <x:c r="A9989" s="4" t="str">
        <x:v>RS-04950-I4</x:v>
      </x:c>
      <x:c r="B9989" s="4" t="str">
        <x:v>RS-04950</x:v>
      </x:c>
      <x:c r="C9989" s="9" t="n">
        <x:v>4</x:v>
      </x:c>
      <x:c r="D9989" s="8" t="n">
        <x:v>45677</x:v>
      </x:c>
      <x:c r="E9989" s="9" t="n">
        <x:v>3885750</x:v>
      </x:c>
      <x:c r="F9989" s="9" t="n">
        <x:v>0</x:v>
      </x:c>
    </x:row>
    <x:row r="9990" ht="34" customHeight="1">
      <x:c r="A9990" s="4" t="str">
        <x:v>RS-04952-I1</x:v>
      </x:c>
      <x:c r="B9990" s="4" t="str">
        <x:v>RS-04952</x:v>
      </x:c>
      <x:c r="C9990" s="9" t="n">
        <x:v>1</x:v>
      </x:c>
      <x:c r="D9990" s="8" t="n">
        <x:v>45589</x:v>
      </x:c>
      <x:c r="E9990" s="9" t="n">
        <x:v>1692000</x:v>
      </x:c>
      <x:c r="F9990" s="9" t="n">
        <x:v>1692000</x:v>
      </x:c>
    </x:row>
    <x:row r="9991" ht="34" customHeight="1">
      <x:c r="A9991" s="4" t="str">
        <x:v>RS-04952-I2</x:v>
      </x:c>
      <x:c r="B9991" s="4" t="str">
        <x:v>RS-04952</x:v>
      </x:c>
      <x:c r="C9991" s="9" t="n">
        <x:v>2</x:v>
      </x:c>
      <x:c r="D9991" s="8" t="n">
        <x:v>45619</x:v>
      </x:c>
      <x:c r="E9991" s="9" t="n">
        <x:v>1692000</x:v>
      </x:c>
      <x:c r="F9991" s="9" t="n">
        <x:v>1692000</x:v>
      </x:c>
    </x:row>
    <x:row r="9992" ht="34" customHeight="1">
      <x:c r="A9992" s="4" t="str">
        <x:v>RS-04952-I3</x:v>
      </x:c>
      <x:c r="B9992" s="4" t="str">
        <x:v>RS-04952</x:v>
      </x:c>
      <x:c r="C9992" s="9" t="n">
        <x:v>3</x:v>
      </x:c>
      <x:c r="D9992" s="8" t="n">
        <x:v>45649</x:v>
      </x:c>
      <x:c r="E9992" s="9" t="n">
        <x:v>1692000</x:v>
      </x:c>
      <x:c r="F9992" s="9" t="n">
        <x:v>1692000</x:v>
      </x:c>
    </x:row>
    <x:row r="9993" ht="34" customHeight="1">
      <x:c r="A9993" s="4" t="str">
        <x:v>RS-04952-I4</x:v>
      </x:c>
      <x:c r="B9993" s="4" t="str">
        <x:v>RS-04952</x:v>
      </x:c>
      <x:c r="C9993" s="9" t="n">
        <x:v>4</x:v>
      </x:c>
      <x:c r="D9993" s="8" t="n">
        <x:v>45679</x:v>
      </x:c>
      <x:c r="E9993" s="9" t="n">
        <x:v>1692000</x:v>
      </x:c>
      <x:c r="F9993" s="9" t="n">
        <x:v>1692000</x:v>
      </x:c>
    </x:row>
    <x:row r="9994" ht="34" customHeight="1">
      <x:c r="A9994" s="4" t="str">
        <x:v>RS-04954-I1</x:v>
      </x:c>
      <x:c r="B9994" s="4" t="str">
        <x:v>RS-04954</x:v>
      </x:c>
      <x:c r="C9994" s="9" t="n">
        <x:v>1</x:v>
      </x:c>
      <x:c r="D9994" s="8" t="n">
        <x:v>45591</x:v>
      </x:c>
      <x:c r="E9994" s="9" t="n">
        <x:v>5381500</x:v>
      </x:c>
      <x:c r="F9994" s="9" t="n">
        <x:v>5381500</x:v>
      </x:c>
    </x:row>
    <x:row r="9995" ht="34" customHeight="1">
      <x:c r="A9995" s="4" t="str">
        <x:v>RS-04954-I2</x:v>
      </x:c>
      <x:c r="B9995" s="4" t="str">
        <x:v>RS-04954</x:v>
      </x:c>
      <x:c r="C9995" s="9" t="n">
        <x:v>2</x:v>
      </x:c>
      <x:c r="D9995" s="8" t="n">
        <x:v>45621</x:v>
      </x:c>
      <x:c r="E9995" s="9" t="n">
        <x:v>5381500</x:v>
      </x:c>
      <x:c r="F9995" s="9" t="n">
        <x:v>0</x:v>
      </x:c>
    </x:row>
    <x:row r="9996" ht="34" customHeight="1">
      <x:c r="A9996" s="4" t="str">
        <x:v>RS-04954-I3</x:v>
      </x:c>
      <x:c r="B9996" s="4" t="str">
        <x:v>RS-04954</x:v>
      </x:c>
      <x:c r="C9996" s="9" t="n">
        <x:v>3</x:v>
      </x:c>
      <x:c r="D9996" s="8" t="n">
        <x:v>45651</x:v>
      </x:c>
      <x:c r="E9996" s="9" t="n">
        <x:v>5381500</x:v>
      </x:c>
      <x:c r="F9996" s="9" t="n">
        <x:v>0</x:v>
      </x:c>
    </x:row>
    <x:row r="9997" ht="34" customHeight="1">
      <x:c r="A9997" s="4" t="str">
        <x:v>RS-04954-I4</x:v>
      </x:c>
      <x:c r="B9997" s="4" t="str">
        <x:v>RS-04954</x:v>
      </x:c>
      <x:c r="C9997" s="9" t="n">
        <x:v>4</x:v>
      </x:c>
      <x:c r="D9997" s="8" t="n">
        <x:v>45681</x:v>
      </x:c>
      <x:c r="E9997" s="9" t="n">
        <x:v>5381500</x:v>
      </x:c>
      <x:c r="F9997" s="9" t="n">
        <x:v>0</x:v>
      </x:c>
    </x:row>
    <x:row r="9998" ht="34" customHeight="1">
      <x:c r="A9998" s="4" t="str">
        <x:v>RS-04955-I1</x:v>
      </x:c>
      <x:c r="B9998" s="4" t="str">
        <x:v>RS-04955</x:v>
      </x:c>
      <x:c r="C9998" s="9" t="n">
        <x:v>1</x:v>
      </x:c>
      <x:c r="D9998" s="8" t="n">
        <x:v>45592</x:v>
      </x:c>
      <x:c r="E9998" s="9" t="n">
        <x:v>3892500</x:v>
      </x:c>
      <x:c r="F9998" s="9" t="n">
        <x:v>3892500</x:v>
      </x:c>
    </x:row>
    <x:row r="9999" ht="34" customHeight="1">
      <x:c r="A9999" s="4" t="str">
        <x:v>RS-04955-I2</x:v>
      </x:c>
      <x:c r="B9999" s="4" t="str">
        <x:v>RS-04955</x:v>
      </x:c>
      <x:c r="C9999" s="9" t="n">
        <x:v>2</x:v>
      </x:c>
      <x:c r="D9999" s="8" t="n">
        <x:v>45622</x:v>
      </x:c>
      <x:c r="E9999" s="9" t="n">
        <x:v>3892500</x:v>
      </x:c>
      <x:c r="F9999" s="9" t="n">
        <x:v>3892500</x:v>
      </x:c>
    </x:row>
    <x:row r="10000" ht="34" customHeight="1">
      <x:c r="A10000" s="4" t="str">
        <x:v>RS-04955-I3</x:v>
      </x:c>
      <x:c r="B10000" s="4" t="str">
        <x:v>RS-04955</x:v>
      </x:c>
      <x:c r="C10000" s="9" t="n">
        <x:v>3</x:v>
      </x:c>
      <x:c r="D10000" s="8" t="n">
        <x:v>45652</x:v>
      </x:c>
      <x:c r="E10000" s="9" t="n">
        <x:v>3892500</x:v>
      </x:c>
      <x:c r="F10000" s="9" t="n">
        <x:v>3892500</x:v>
      </x:c>
    </x:row>
    <x:row r="10001" ht="34" customHeight="1">
      <x:c r="A10001" s="4" t="str">
        <x:v>RS-04955-I4</x:v>
      </x:c>
      <x:c r="B10001" s="4" t="str">
        <x:v>RS-04955</x:v>
      </x:c>
      <x:c r="C10001" s="9" t="n">
        <x:v>4</x:v>
      </x:c>
      <x:c r="D10001" s="8" t="n">
        <x:v>45682</x:v>
      </x:c>
      <x:c r="E10001" s="9" t="n">
        <x:v>3892500</x:v>
      </x:c>
      <x:c r="F10001" s="9" t="n">
        <x:v>3892500</x:v>
      </x:c>
    </x:row>
    <x:row r="10002" ht="34" customHeight="1">
      <x:c r="A10002" s="4" t="str">
        <x:v>RS-04959-I1</x:v>
      </x:c>
      <x:c r="B10002" s="4" t="str">
        <x:v>RS-04959</x:v>
      </x:c>
      <x:c r="C10002" s="9" t="n">
        <x:v>1</x:v>
      </x:c>
      <x:c r="D10002" s="8" t="n">
        <x:v>45568</x:v>
      </x:c>
      <x:c r="E10002" s="9" t="n">
        <x:v>4425000</x:v>
      </x:c>
      <x:c r="F10002" s="9" t="n">
        <x:v>4425000</x:v>
      </x:c>
    </x:row>
    <x:row r="10003" ht="34" customHeight="1">
      <x:c r="A10003" s="4" t="str">
        <x:v>RS-04959-I2</x:v>
      </x:c>
      <x:c r="B10003" s="4" t="str">
        <x:v>RS-04959</x:v>
      </x:c>
      <x:c r="C10003" s="9" t="n">
        <x:v>2</x:v>
      </x:c>
      <x:c r="D10003" s="8" t="n">
        <x:v>45598</x:v>
      </x:c>
      <x:c r="E10003" s="9" t="n">
        <x:v>4425000</x:v>
      </x:c>
      <x:c r="F10003" s="9" t="n">
        <x:v>0</x:v>
      </x:c>
    </x:row>
    <x:row r="10004" ht="34" customHeight="1">
      <x:c r="A10004" s="4" t="str">
        <x:v>RS-04959-I3</x:v>
      </x:c>
      <x:c r="B10004" s="4" t="str">
        <x:v>RS-04959</x:v>
      </x:c>
      <x:c r="C10004" s="9" t="n">
        <x:v>3</x:v>
      </x:c>
      <x:c r="D10004" s="8" t="n">
        <x:v>45628</x:v>
      </x:c>
      <x:c r="E10004" s="9" t="n">
        <x:v>4425000</x:v>
      </x:c>
      <x:c r="F10004" s="9" t="n">
        <x:v>0</x:v>
      </x:c>
    </x:row>
    <x:row r="10005" ht="34" customHeight="1">
      <x:c r="A10005" s="4" t="str">
        <x:v>RS-04959-I4</x:v>
      </x:c>
      <x:c r="B10005" s="4" t="str">
        <x:v>RS-04959</x:v>
      </x:c>
      <x:c r="C10005" s="9" t="n">
        <x:v>4</x:v>
      </x:c>
      <x:c r="D10005" s="8" t="n">
        <x:v>45658</x:v>
      </x:c>
      <x:c r="E10005" s="9" t="n">
        <x:v>4425000</x:v>
      </x:c>
      <x:c r="F10005" s="9" t="n">
        <x:v>0</x:v>
      </x:c>
    </x:row>
    <x:row r="10006" ht="34" customHeight="1">
      <x:c r="A10006" s="4" t="str">
        <x:v>RS-04960-I1</x:v>
      </x:c>
      <x:c r="B10006" s="4" t="str">
        <x:v>RS-04960</x:v>
      </x:c>
      <x:c r="C10006" s="9" t="n">
        <x:v>1</x:v>
      </x:c>
      <x:c r="D10006" s="8" t="n">
        <x:v>45569</x:v>
      </x:c>
      <x:c r="E10006" s="9" t="n">
        <x:v>2994750</x:v>
      </x:c>
      <x:c r="F10006" s="9" t="n">
        <x:v>2994750</x:v>
      </x:c>
    </x:row>
    <x:row r="10007" ht="34" customHeight="1">
      <x:c r="A10007" s="4" t="str">
        <x:v>RS-04960-I2</x:v>
      </x:c>
      <x:c r="B10007" s="4" t="str">
        <x:v>RS-04960</x:v>
      </x:c>
      <x:c r="C10007" s="9" t="n">
        <x:v>2</x:v>
      </x:c>
      <x:c r="D10007" s="8" t="n">
        <x:v>45599</x:v>
      </x:c>
      <x:c r="E10007" s="9" t="n">
        <x:v>2994750</x:v>
      </x:c>
      <x:c r="F10007" s="9" t="n">
        <x:v>2994750</x:v>
      </x:c>
    </x:row>
    <x:row r="10008" ht="34" customHeight="1">
      <x:c r="A10008" s="4" t="str">
        <x:v>RS-04960-I3</x:v>
      </x:c>
      <x:c r="B10008" s="4" t="str">
        <x:v>RS-04960</x:v>
      </x:c>
      <x:c r="C10008" s="9" t="n">
        <x:v>3</x:v>
      </x:c>
      <x:c r="D10008" s="8" t="n">
        <x:v>45629</x:v>
      </x:c>
      <x:c r="E10008" s="9" t="n">
        <x:v>2994750</x:v>
      </x:c>
      <x:c r="F10008" s="9" t="n">
        <x:v>2994750</x:v>
      </x:c>
    </x:row>
    <x:row r="10009" ht="34" customHeight="1">
      <x:c r="A10009" s="4" t="str">
        <x:v>RS-04960-I4</x:v>
      </x:c>
      <x:c r="B10009" s="4" t="str">
        <x:v>RS-04960</x:v>
      </x:c>
      <x:c r="C10009" s="9" t="n">
        <x:v>4</x:v>
      </x:c>
      <x:c r="D10009" s="8" t="n">
        <x:v>45659</x:v>
      </x:c>
      <x:c r="E10009" s="9" t="n">
        <x:v>2994750</x:v>
      </x:c>
      <x:c r="F10009" s="9" t="n">
        <x:v>2994750</x:v>
      </x:c>
    </x:row>
    <x:row r="10010" ht="34" customHeight="1">
      <x:c r="A10010" s="4" t="str">
        <x:v>RS-04961-I1</x:v>
      </x:c>
      <x:c r="B10010" s="4" t="str">
        <x:v>RS-04961</x:v>
      </x:c>
      <x:c r="C10010" s="9" t="n">
        <x:v>1</x:v>
      </x:c>
      <x:c r="D10010" s="8" t="n">
        <x:v>45570</x:v>
      </x:c>
      <x:c r="E10010" s="9" t="n">
        <x:v>5616000</x:v>
      </x:c>
      <x:c r="F10010" s="9" t="n">
        <x:v>5616000</x:v>
      </x:c>
    </x:row>
    <x:row r="10011" ht="34" customHeight="1">
      <x:c r="A10011" s="4" t="str">
        <x:v>RS-04961-I2</x:v>
      </x:c>
      <x:c r="B10011" s="4" t="str">
        <x:v>RS-04961</x:v>
      </x:c>
      <x:c r="C10011" s="9" t="n">
        <x:v>2</x:v>
      </x:c>
      <x:c r="D10011" s="8" t="n">
        <x:v>45600</x:v>
      </x:c>
      <x:c r="E10011" s="9" t="n">
        <x:v>5616000</x:v>
      </x:c>
      <x:c r="F10011" s="9" t="n">
        <x:v>5616000</x:v>
      </x:c>
    </x:row>
    <x:row r="10012" ht="34" customHeight="1">
      <x:c r="A10012" s="4" t="str">
        <x:v>RS-04961-I3</x:v>
      </x:c>
      <x:c r="B10012" s="4" t="str">
        <x:v>RS-04961</x:v>
      </x:c>
      <x:c r="C10012" s="9" t="n">
        <x:v>3</x:v>
      </x:c>
      <x:c r="D10012" s="8" t="n">
        <x:v>45630</x:v>
      </x:c>
      <x:c r="E10012" s="9" t="n">
        <x:v>5616000</x:v>
      </x:c>
      <x:c r="F10012" s="9" t="n">
        <x:v>0</x:v>
      </x:c>
    </x:row>
    <x:row r="10013" ht="34" customHeight="1">
      <x:c r="A10013" s="4" t="str">
        <x:v>RS-04961-I4</x:v>
      </x:c>
      <x:c r="B10013" s="4" t="str">
        <x:v>RS-04961</x:v>
      </x:c>
      <x:c r="C10013" s="9" t="n">
        <x:v>4</x:v>
      </x:c>
      <x:c r="D10013" s="8" t="n">
        <x:v>45660</x:v>
      </x:c>
      <x:c r="E10013" s="9" t="n">
        <x:v>5616000</x:v>
      </x:c>
      <x:c r="F10013" s="9" t="n">
        <x:v>0</x:v>
      </x:c>
    </x:row>
    <x:row r="10014" ht="34" customHeight="1">
      <x:c r="A10014" s="4" t="str">
        <x:v>RS-04963-I1</x:v>
      </x:c>
      <x:c r="B10014" s="4" t="str">
        <x:v>RS-04963</x:v>
      </x:c>
      <x:c r="C10014" s="9" t="n">
        <x:v>1</x:v>
      </x:c>
      <x:c r="D10014" s="8" t="n">
        <x:v>45572</x:v>
      </x:c>
      <x:c r="E10014" s="9" t="n">
        <x:v>5800000</x:v>
      </x:c>
      <x:c r="F10014" s="9" t="n">
        <x:v>5800000</x:v>
      </x:c>
    </x:row>
    <x:row r="10015" ht="34" customHeight="1">
      <x:c r="A10015" s="4" t="str">
        <x:v>RS-04963-I2</x:v>
      </x:c>
      <x:c r="B10015" s="4" t="str">
        <x:v>RS-04963</x:v>
      </x:c>
      <x:c r="C10015" s="9" t="n">
        <x:v>2</x:v>
      </x:c>
      <x:c r="D10015" s="8" t="n">
        <x:v>45602</x:v>
      </x:c>
      <x:c r="E10015" s="9" t="n">
        <x:v>5800000</x:v>
      </x:c>
      <x:c r="F10015" s="9" t="n">
        <x:v>5800000</x:v>
      </x:c>
    </x:row>
    <x:row r="10016" ht="34" customHeight="1">
      <x:c r="A10016" s="4" t="str">
        <x:v>RS-04963-I3</x:v>
      </x:c>
      <x:c r="B10016" s="4" t="str">
        <x:v>RS-04963</x:v>
      </x:c>
      <x:c r="C10016" s="9" t="n">
        <x:v>3</x:v>
      </x:c>
      <x:c r="D10016" s="8" t="n">
        <x:v>45632</x:v>
      </x:c>
      <x:c r="E10016" s="9" t="n">
        <x:v>5800000</x:v>
      </x:c>
      <x:c r="F10016" s="9" t="n">
        <x:v>0</x:v>
      </x:c>
    </x:row>
    <x:row r="10017" ht="34" customHeight="1">
      <x:c r="A10017" s="4" t="str">
        <x:v>RS-04963-I4</x:v>
      </x:c>
      <x:c r="B10017" s="4" t="str">
        <x:v>RS-04963</x:v>
      </x:c>
      <x:c r="C10017" s="9" t="n">
        <x:v>4</x:v>
      </x:c>
      <x:c r="D10017" s="8" t="n">
        <x:v>45662</x:v>
      </x:c>
      <x:c r="E10017" s="9" t="n">
        <x:v>5800000</x:v>
      </x:c>
      <x:c r="F10017" s="9" t="n">
        <x:v>0</x:v>
      </x:c>
    </x:row>
    <x:row r="10018" ht="34" customHeight="1">
      <x:c r="A10018" s="4" t="str">
        <x:v>RS-04964-I1</x:v>
      </x:c>
      <x:c r="B10018" s="4" t="str">
        <x:v>RS-04964</x:v>
      </x:c>
      <x:c r="C10018" s="9" t="n">
        <x:v>1</x:v>
      </x:c>
      <x:c r="D10018" s="8" t="n">
        <x:v>45573</x:v>
      </x:c>
      <x:c r="E10018" s="9" t="n">
        <x:v>1732500</x:v>
      </x:c>
      <x:c r="F10018" s="9" t="n">
        <x:v>1732500</x:v>
      </x:c>
    </x:row>
    <x:row r="10019" ht="34" customHeight="1">
      <x:c r="A10019" s="4" t="str">
        <x:v>RS-04964-I2</x:v>
      </x:c>
      <x:c r="B10019" s="4" t="str">
        <x:v>RS-04964</x:v>
      </x:c>
      <x:c r="C10019" s="9" t="n">
        <x:v>2</x:v>
      </x:c>
      <x:c r="D10019" s="8" t="n">
        <x:v>45603</x:v>
      </x:c>
      <x:c r="E10019" s="9" t="n">
        <x:v>1732500</x:v>
      </x:c>
      <x:c r="F10019" s="9" t="n">
        <x:v>0</x:v>
      </x:c>
    </x:row>
    <x:row r="10020" ht="34" customHeight="1">
      <x:c r="A10020" s="4" t="str">
        <x:v>RS-04964-I3</x:v>
      </x:c>
      <x:c r="B10020" s="4" t="str">
        <x:v>RS-04964</x:v>
      </x:c>
      <x:c r="C10020" s="9" t="n">
        <x:v>3</x:v>
      </x:c>
      <x:c r="D10020" s="8" t="n">
        <x:v>45633</x:v>
      </x:c>
      <x:c r="E10020" s="9" t="n">
        <x:v>1732500</x:v>
      </x:c>
      <x:c r="F10020" s="9" t="n">
        <x:v>0</x:v>
      </x:c>
    </x:row>
    <x:row r="10021" ht="34" customHeight="1">
      <x:c r="A10021" s="4" t="str">
        <x:v>RS-04964-I4</x:v>
      </x:c>
      <x:c r="B10021" s="4" t="str">
        <x:v>RS-04964</x:v>
      </x:c>
      <x:c r="C10021" s="9" t="n">
        <x:v>4</x:v>
      </x:c>
      <x:c r="D10021" s="8" t="n">
        <x:v>45663</x:v>
      </x:c>
      <x:c r="E10021" s="9" t="n">
        <x:v>1732500</x:v>
      </x:c>
      <x:c r="F10021" s="9" t="n">
        <x:v>0</x:v>
      </x:c>
    </x:row>
    <x:row r="10022" ht="34" customHeight="1">
      <x:c r="A10022" s="4" t="str">
        <x:v>RS-04965-I1</x:v>
      </x:c>
      <x:c r="B10022" s="4" t="str">
        <x:v>RS-04965</x:v>
      </x:c>
      <x:c r="C10022" s="9" t="n">
        <x:v>1</x:v>
      </x:c>
      <x:c r="D10022" s="8" t="n">
        <x:v>45574</x:v>
      </x:c>
      <x:c r="E10022" s="9" t="n">
        <x:v>1668750</x:v>
      </x:c>
      <x:c r="F10022" s="9" t="n">
        <x:v>667500</x:v>
      </x:c>
    </x:row>
    <x:row r="10023" ht="34" customHeight="1">
      <x:c r="A10023" s="4" t="str">
        <x:v>RS-04965-I2</x:v>
      </x:c>
      <x:c r="B10023" s="4" t="str">
        <x:v>RS-04965</x:v>
      </x:c>
      <x:c r="C10023" s="9" t="n">
        <x:v>2</x:v>
      </x:c>
      <x:c r="D10023" s="8" t="n">
        <x:v>45604</x:v>
      </x:c>
      <x:c r="E10023" s="9" t="n">
        <x:v>1668750</x:v>
      </x:c>
      <x:c r="F10023" s="9" t="n">
        <x:v>0</x:v>
      </x:c>
    </x:row>
    <x:row r="10024" ht="34" customHeight="1">
      <x:c r="A10024" s="4" t="str">
        <x:v>RS-04965-I3</x:v>
      </x:c>
      <x:c r="B10024" s="4" t="str">
        <x:v>RS-04965</x:v>
      </x:c>
      <x:c r="C10024" s="9" t="n">
        <x:v>3</x:v>
      </x:c>
      <x:c r="D10024" s="8" t="n">
        <x:v>45634</x:v>
      </x:c>
      <x:c r="E10024" s="9" t="n">
        <x:v>1668750</x:v>
      </x:c>
      <x:c r="F10024" s="9" t="n">
        <x:v>0</x:v>
      </x:c>
    </x:row>
    <x:row r="10025" ht="34" customHeight="1">
      <x:c r="A10025" s="4" t="str">
        <x:v>RS-04965-I4</x:v>
      </x:c>
      <x:c r="B10025" s="4" t="str">
        <x:v>RS-04965</x:v>
      </x:c>
      <x:c r="C10025" s="9" t="n">
        <x:v>4</x:v>
      </x:c>
      <x:c r="D10025" s="8" t="n">
        <x:v>45664</x:v>
      </x:c>
      <x:c r="E10025" s="9" t="n">
        <x:v>1668750</x:v>
      </x:c>
      <x:c r="F10025" s="9" t="n">
        <x:v>0</x:v>
      </x:c>
    </x:row>
    <x:row r="10026" ht="34" customHeight="1">
      <x:c r="A10026" s="4" t="str">
        <x:v>RS-04968-I1</x:v>
      </x:c>
      <x:c r="B10026" s="4" t="str">
        <x:v>RS-04968</x:v>
      </x:c>
      <x:c r="C10026" s="9" t="n">
        <x:v>1</x:v>
      </x:c>
      <x:c r="D10026" s="8" t="n">
        <x:v>45577</x:v>
      </x:c>
      <x:c r="E10026" s="9" t="n">
        <x:v>1683500</x:v>
      </x:c>
      <x:c r="F10026" s="9" t="n">
        <x:v>1683500</x:v>
      </x:c>
    </x:row>
    <x:row r="10027" ht="34" customHeight="1">
      <x:c r="A10027" s="4" t="str">
        <x:v>RS-04968-I2</x:v>
      </x:c>
      <x:c r="B10027" s="4" t="str">
        <x:v>RS-04968</x:v>
      </x:c>
      <x:c r="C10027" s="9" t="n">
        <x:v>2</x:v>
      </x:c>
      <x:c r="D10027" s="8" t="n">
        <x:v>45607</x:v>
      </x:c>
      <x:c r="E10027" s="9" t="n">
        <x:v>1683500</x:v>
      </x:c>
      <x:c r="F10027" s="9" t="n">
        <x:v>1683500</x:v>
      </x:c>
    </x:row>
    <x:row r="10028" ht="34" customHeight="1">
      <x:c r="A10028" s="4" t="str">
        <x:v>RS-04968-I3</x:v>
      </x:c>
      <x:c r="B10028" s="4" t="str">
        <x:v>RS-04968</x:v>
      </x:c>
      <x:c r="C10028" s="9" t="n">
        <x:v>3</x:v>
      </x:c>
      <x:c r="D10028" s="8" t="n">
        <x:v>45637</x:v>
      </x:c>
      <x:c r="E10028" s="9" t="n">
        <x:v>1683500</x:v>
      </x:c>
      <x:c r="F10028" s="9" t="n">
        <x:v>0</x:v>
      </x:c>
    </x:row>
    <x:row r="10029" ht="34" customHeight="1">
      <x:c r="A10029" s="4" t="str">
        <x:v>RS-04968-I4</x:v>
      </x:c>
      <x:c r="B10029" s="4" t="str">
        <x:v>RS-04968</x:v>
      </x:c>
      <x:c r="C10029" s="9" t="n">
        <x:v>4</x:v>
      </x:c>
      <x:c r="D10029" s="8" t="n">
        <x:v>45667</x:v>
      </x:c>
      <x:c r="E10029" s="9" t="n">
        <x:v>1683500</x:v>
      </x:c>
      <x:c r="F10029" s="9" t="n">
        <x:v>0</x:v>
      </x:c>
    </x:row>
    <x:row r="10030" ht="34" customHeight="1">
      <x:c r="A10030" s="4" t="str">
        <x:v>RS-04973-I1</x:v>
      </x:c>
      <x:c r="B10030" s="4" t="str">
        <x:v>RS-04973</x:v>
      </x:c>
      <x:c r="C10030" s="9" t="n">
        <x:v>1</x:v>
      </x:c>
      <x:c r="D10030" s="8" t="n">
        <x:v>45582</x:v>
      </x:c>
      <x:c r="E10030" s="9" t="n">
        <x:v>1837500</x:v>
      </x:c>
      <x:c r="F10030" s="9" t="n">
        <x:v>1837500</x:v>
      </x:c>
    </x:row>
    <x:row r="10031" ht="34" customHeight="1">
      <x:c r="A10031" s="4" t="str">
        <x:v>RS-04973-I2</x:v>
      </x:c>
      <x:c r="B10031" s="4" t="str">
        <x:v>RS-04973</x:v>
      </x:c>
      <x:c r="C10031" s="9" t="n">
        <x:v>2</x:v>
      </x:c>
      <x:c r="D10031" s="8" t="n">
        <x:v>45612</x:v>
      </x:c>
      <x:c r="E10031" s="9" t="n">
        <x:v>1837500</x:v>
      </x:c>
      <x:c r="F10031" s="9" t="n">
        <x:v>1837500</x:v>
      </x:c>
    </x:row>
    <x:row r="10032" ht="34" customHeight="1">
      <x:c r="A10032" s="4" t="str">
        <x:v>RS-04973-I3</x:v>
      </x:c>
      <x:c r="B10032" s="4" t="str">
        <x:v>RS-04973</x:v>
      </x:c>
      <x:c r="C10032" s="9" t="n">
        <x:v>3</x:v>
      </x:c>
      <x:c r="D10032" s="8" t="n">
        <x:v>45642</x:v>
      </x:c>
      <x:c r="E10032" s="9" t="n">
        <x:v>1837500</x:v>
      </x:c>
      <x:c r="F10032" s="9" t="n">
        <x:v>1837500</x:v>
      </x:c>
    </x:row>
    <x:row r="10033" ht="34" customHeight="1">
      <x:c r="A10033" s="4" t="str">
        <x:v>RS-04973-I4</x:v>
      </x:c>
      <x:c r="B10033" s="4" t="str">
        <x:v>RS-04973</x:v>
      </x:c>
      <x:c r="C10033" s="9" t="n">
        <x:v>4</x:v>
      </x:c>
      <x:c r="D10033" s="8" t="n">
        <x:v>45672</x:v>
      </x:c>
      <x:c r="E10033" s="9" t="n">
        <x:v>1837500</x:v>
      </x:c>
      <x:c r="F10033" s="9" t="n">
        <x:v>1837500</x:v>
      </x:c>
    </x:row>
    <x:row r="10034" ht="34" customHeight="1">
      <x:c r="A10034" s="4" t="str">
        <x:v>RS-04974-I1</x:v>
      </x:c>
      <x:c r="B10034" s="4" t="str">
        <x:v>RS-04974</x:v>
      </x:c>
      <x:c r="C10034" s="9" t="n">
        <x:v>1</x:v>
      </x:c>
      <x:c r="D10034" s="8" t="n">
        <x:v>45583</x:v>
      </x:c>
      <x:c r="E10034" s="9" t="n">
        <x:v>1692000</x:v>
      </x:c>
      <x:c r="F10034" s="9" t="n">
        <x:v>1692000</x:v>
      </x:c>
    </x:row>
    <x:row r="10035" ht="34" customHeight="1">
      <x:c r="A10035" s="4" t="str">
        <x:v>RS-04974-I2</x:v>
      </x:c>
      <x:c r="B10035" s="4" t="str">
        <x:v>RS-04974</x:v>
      </x:c>
      <x:c r="C10035" s="9" t="n">
        <x:v>2</x:v>
      </x:c>
      <x:c r="D10035" s="8" t="n">
        <x:v>45613</x:v>
      </x:c>
      <x:c r="E10035" s="9" t="n">
        <x:v>1692000</x:v>
      </x:c>
      <x:c r="F10035" s="9" t="n">
        <x:v>1692000</x:v>
      </x:c>
    </x:row>
    <x:row r="10036" ht="34" customHeight="1">
      <x:c r="A10036" s="4" t="str">
        <x:v>RS-04974-I3</x:v>
      </x:c>
      <x:c r="B10036" s="4" t="str">
        <x:v>RS-04974</x:v>
      </x:c>
      <x:c r="C10036" s="9" t="n">
        <x:v>3</x:v>
      </x:c>
      <x:c r="D10036" s="8" t="n">
        <x:v>45643</x:v>
      </x:c>
      <x:c r="E10036" s="9" t="n">
        <x:v>1692000</x:v>
      </x:c>
      <x:c r="F10036" s="9" t="n">
        <x:v>1692000</x:v>
      </x:c>
    </x:row>
    <x:row r="10037" ht="34" customHeight="1">
      <x:c r="A10037" s="4" t="str">
        <x:v>RS-04974-I4</x:v>
      </x:c>
      <x:c r="B10037" s="4" t="str">
        <x:v>RS-04974</x:v>
      </x:c>
      <x:c r="C10037" s="9" t="n">
        <x:v>4</x:v>
      </x:c>
      <x:c r="D10037" s="8" t="n">
        <x:v>45673</x:v>
      </x:c>
      <x:c r="E10037" s="9" t="n">
        <x:v>1692000</x:v>
      </x:c>
      <x:c r="F10037" s="9" t="n">
        <x:v>1692000</x:v>
      </x:c>
    </x:row>
    <x:row r="10038" ht="34" customHeight="1">
      <x:c r="A10038" s="4" t="str">
        <x:v>RS-04977-I1</x:v>
      </x:c>
      <x:c r="B10038" s="4" t="str">
        <x:v>RS-04977</x:v>
      </x:c>
      <x:c r="C10038" s="9" t="n">
        <x:v>1</x:v>
      </x:c>
      <x:c r="D10038" s="8" t="n">
        <x:v>45586</x:v>
      </x:c>
      <x:c r="E10038" s="9" t="n">
        <x:v>2002000</x:v>
      </x:c>
      <x:c r="F10038" s="9" t="n">
        <x:v>800800</x:v>
      </x:c>
    </x:row>
    <x:row r="10039" ht="34" customHeight="1">
      <x:c r="A10039" s="4" t="str">
        <x:v>RS-04977-I2</x:v>
      </x:c>
      <x:c r="B10039" s="4" t="str">
        <x:v>RS-04977</x:v>
      </x:c>
      <x:c r="C10039" s="9" t="n">
        <x:v>2</x:v>
      </x:c>
      <x:c r="D10039" s="8" t="n">
        <x:v>45616</x:v>
      </x:c>
      <x:c r="E10039" s="9" t="n">
        <x:v>2002000</x:v>
      </x:c>
      <x:c r="F10039" s="9" t="n">
        <x:v>0</x:v>
      </x:c>
    </x:row>
    <x:row r="10040" ht="34" customHeight="1">
      <x:c r="A10040" s="4" t="str">
        <x:v>RS-04977-I3</x:v>
      </x:c>
      <x:c r="B10040" s="4" t="str">
        <x:v>RS-04977</x:v>
      </x:c>
      <x:c r="C10040" s="9" t="n">
        <x:v>3</x:v>
      </x:c>
      <x:c r="D10040" s="8" t="n">
        <x:v>45646</x:v>
      </x:c>
      <x:c r="E10040" s="9" t="n">
        <x:v>2002000</x:v>
      </x:c>
      <x:c r="F10040" s="9" t="n">
        <x:v>0</x:v>
      </x:c>
    </x:row>
    <x:row r="10041" ht="34" customHeight="1">
      <x:c r="A10041" s="4" t="str">
        <x:v>RS-04977-I4</x:v>
      </x:c>
      <x:c r="B10041" s="4" t="str">
        <x:v>RS-04977</x:v>
      </x:c>
      <x:c r="C10041" s="9" t="n">
        <x:v>4</x:v>
      </x:c>
      <x:c r="D10041" s="8" t="n">
        <x:v>45676</x:v>
      </x:c>
      <x:c r="E10041" s="9" t="n">
        <x:v>2002000</x:v>
      </x:c>
      <x:c r="F10041" s="9" t="n">
        <x:v>0</x:v>
      </x:c>
    </x:row>
    <x:row r="10042" ht="34" customHeight="1">
      <x:c r="A10042" s="4" t="str">
        <x:v>RS-04978-I1</x:v>
      </x:c>
      <x:c r="B10042" s="4" t="str">
        <x:v>RS-04978</x:v>
      </x:c>
      <x:c r="C10042" s="9" t="n">
        <x:v>1</x:v>
      </x:c>
      <x:c r="D10042" s="8" t="n">
        <x:v>45587</x:v>
      </x:c>
      <x:c r="E10042" s="9" t="n">
        <x:v>915750</x:v>
      </x:c>
      <x:c r="F10042" s="9" t="n">
        <x:v>915750</x:v>
      </x:c>
    </x:row>
    <x:row r="10043" ht="34" customHeight="1">
      <x:c r="A10043" s="4" t="str">
        <x:v>RS-04978-I2</x:v>
      </x:c>
      <x:c r="B10043" s="4" t="str">
        <x:v>RS-04978</x:v>
      </x:c>
      <x:c r="C10043" s="9" t="n">
        <x:v>2</x:v>
      </x:c>
      <x:c r="D10043" s="8" t="n">
        <x:v>45617</x:v>
      </x:c>
      <x:c r="E10043" s="9" t="n">
        <x:v>915750</x:v>
      </x:c>
      <x:c r="F10043" s="9" t="n">
        <x:v>915750</x:v>
      </x:c>
    </x:row>
    <x:row r="10044" ht="34" customHeight="1">
      <x:c r="A10044" s="4" t="str">
        <x:v>RS-04978-I3</x:v>
      </x:c>
      <x:c r="B10044" s="4" t="str">
        <x:v>RS-04978</x:v>
      </x:c>
      <x:c r="C10044" s="9" t="n">
        <x:v>3</x:v>
      </x:c>
      <x:c r="D10044" s="8" t="n">
        <x:v>45647</x:v>
      </x:c>
      <x:c r="E10044" s="9" t="n">
        <x:v>915750</x:v>
      </x:c>
      <x:c r="F10044" s="9" t="n">
        <x:v>915750</x:v>
      </x:c>
    </x:row>
    <x:row r="10045" ht="34" customHeight="1">
      <x:c r="A10045" s="4" t="str">
        <x:v>RS-04978-I4</x:v>
      </x:c>
      <x:c r="B10045" s="4" t="str">
        <x:v>RS-04978</x:v>
      </x:c>
      <x:c r="C10045" s="9" t="n">
        <x:v>4</x:v>
      </x:c>
      <x:c r="D10045" s="8" t="n">
        <x:v>45677</x:v>
      </x:c>
      <x:c r="E10045" s="9" t="n">
        <x:v>915750</x:v>
      </x:c>
      <x:c r="F10045" s="9" t="n">
        <x:v>915750</x:v>
      </x:c>
    </x:row>
    <x:row r="10046" ht="34" customHeight="1">
      <x:c r="A10046" s="4" t="str">
        <x:v>RS-04979-I1</x:v>
      </x:c>
      <x:c r="B10046" s="4" t="str">
        <x:v>RS-04979</x:v>
      </x:c>
      <x:c r="C10046" s="9" t="n">
        <x:v>1</x:v>
      </x:c>
      <x:c r="D10046" s="8" t="n">
        <x:v>45588</x:v>
      </x:c>
      <x:c r="E10046" s="9" t="n">
        <x:v>2252250</x:v>
      </x:c>
      <x:c r="F10046" s="9" t="n">
        <x:v>2252250</x:v>
      </x:c>
    </x:row>
    <x:row r="10047" ht="34" customHeight="1">
      <x:c r="A10047" s="4" t="str">
        <x:v>RS-04979-I2</x:v>
      </x:c>
      <x:c r="B10047" s="4" t="str">
        <x:v>RS-04979</x:v>
      </x:c>
      <x:c r="C10047" s="9" t="n">
        <x:v>2</x:v>
      </x:c>
      <x:c r="D10047" s="8" t="n">
        <x:v>45618</x:v>
      </x:c>
      <x:c r="E10047" s="9" t="n">
        <x:v>2252250</x:v>
      </x:c>
      <x:c r="F10047" s="9" t="n">
        <x:v>0</x:v>
      </x:c>
    </x:row>
    <x:row r="10048" ht="34" customHeight="1">
      <x:c r="A10048" s="4" t="str">
        <x:v>RS-04979-I3</x:v>
      </x:c>
      <x:c r="B10048" s="4" t="str">
        <x:v>RS-04979</x:v>
      </x:c>
      <x:c r="C10048" s="9" t="n">
        <x:v>3</x:v>
      </x:c>
      <x:c r="D10048" s="8" t="n">
        <x:v>45648</x:v>
      </x:c>
      <x:c r="E10048" s="9" t="n">
        <x:v>2252250</x:v>
      </x:c>
      <x:c r="F10048" s="9" t="n">
        <x:v>0</x:v>
      </x:c>
    </x:row>
    <x:row r="10049" ht="34" customHeight="1">
      <x:c r="A10049" s="4" t="str">
        <x:v>RS-04979-I4</x:v>
      </x:c>
      <x:c r="B10049" s="4" t="str">
        <x:v>RS-04979</x:v>
      </x:c>
      <x:c r="C10049" s="9" t="n">
        <x:v>4</x:v>
      </x:c>
      <x:c r="D10049" s="8" t="n">
        <x:v>45678</x:v>
      </x:c>
      <x:c r="E10049" s="9" t="n">
        <x:v>2252250</x:v>
      </x:c>
      <x:c r="F10049" s="9" t="n">
        <x:v>0</x:v>
      </x:c>
    </x:row>
    <x:row r="10050" ht="34" customHeight="1">
      <x:c r="A10050" s="4" t="str">
        <x:v>RS-04980-I1</x:v>
      </x:c>
      <x:c r="B10050" s="4" t="str">
        <x:v>RS-04980</x:v>
      </x:c>
      <x:c r="C10050" s="9" t="n">
        <x:v>1</x:v>
      </x:c>
      <x:c r="D10050" s="8" t="n">
        <x:v>45589</x:v>
      </x:c>
      <x:c r="E10050" s="9" t="n">
        <x:v>4864500</x:v>
      </x:c>
      <x:c r="F10050" s="9" t="n">
        <x:v>1945800</x:v>
      </x:c>
    </x:row>
    <x:row r="10051" ht="34" customHeight="1">
      <x:c r="A10051" s="4" t="str">
        <x:v>RS-04980-I2</x:v>
      </x:c>
      <x:c r="B10051" s="4" t="str">
        <x:v>RS-04980</x:v>
      </x:c>
      <x:c r="C10051" s="9" t="n">
        <x:v>2</x:v>
      </x:c>
      <x:c r="D10051" s="8" t="n">
        <x:v>45619</x:v>
      </x:c>
      <x:c r="E10051" s="9" t="n">
        <x:v>4864500</x:v>
      </x:c>
      <x:c r="F10051" s="9" t="n">
        <x:v>0</x:v>
      </x:c>
    </x:row>
    <x:row r="10052" ht="34" customHeight="1">
      <x:c r="A10052" s="4" t="str">
        <x:v>RS-04980-I3</x:v>
      </x:c>
      <x:c r="B10052" s="4" t="str">
        <x:v>RS-04980</x:v>
      </x:c>
      <x:c r="C10052" s="9" t="n">
        <x:v>3</x:v>
      </x:c>
      <x:c r="D10052" s="8" t="n">
        <x:v>45649</x:v>
      </x:c>
      <x:c r="E10052" s="9" t="n">
        <x:v>4864500</x:v>
      </x:c>
      <x:c r="F10052" s="9" t="n">
        <x:v>0</x:v>
      </x:c>
    </x:row>
    <x:row r="10053" ht="34" customHeight="1">
      <x:c r="A10053" s="4" t="str">
        <x:v>RS-04980-I4</x:v>
      </x:c>
      <x:c r="B10053" s="4" t="str">
        <x:v>RS-04980</x:v>
      </x:c>
      <x:c r="C10053" s="9" t="n">
        <x:v>4</x:v>
      </x:c>
      <x:c r="D10053" s="8" t="n">
        <x:v>45679</x:v>
      </x:c>
      <x:c r="E10053" s="9" t="n">
        <x:v>4864500</x:v>
      </x:c>
      <x:c r="F10053" s="9" t="n">
        <x:v>0</x:v>
      </x:c>
    </x:row>
    <x:row r="10054" ht="34" customHeight="1">
      <x:c r="A10054" s="4" t="str">
        <x:v>RS-04982-I1</x:v>
      </x:c>
      <x:c r="B10054" s="4" t="str">
        <x:v>RS-04982</x:v>
      </x:c>
      <x:c r="C10054" s="9" t="n">
        <x:v>1</x:v>
      </x:c>
      <x:c r="D10054" s="8" t="n">
        <x:v>45591</x:v>
      </x:c>
      <x:c r="E10054" s="9" t="n">
        <x:v>3330000</x:v>
      </x:c>
      <x:c r="F10054" s="9" t="n">
        <x:v>3330000</x:v>
      </x:c>
    </x:row>
    <x:row r="10055" ht="34" customHeight="1">
      <x:c r="A10055" s="4" t="str">
        <x:v>RS-04982-I2</x:v>
      </x:c>
      <x:c r="B10055" s="4" t="str">
        <x:v>RS-04982</x:v>
      </x:c>
      <x:c r="C10055" s="9" t="n">
        <x:v>2</x:v>
      </x:c>
      <x:c r="D10055" s="8" t="n">
        <x:v>45621</x:v>
      </x:c>
      <x:c r="E10055" s="9" t="n">
        <x:v>3330000</x:v>
      </x:c>
      <x:c r="F10055" s="9" t="n">
        <x:v>0</x:v>
      </x:c>
    </x:row>
    <x:row r="10056" ht="34" customHeight="1">
      <x:c r="A10056" s="4" t="str">
        <x:v>RS-04982-I3</x:v>
      </x:c>
      <x:c r="B10056" s="4" t="str">
        <x:v>RS-04982</x:v>
      </x:c>
      <x:c r="C10056" s="9" t="n">
        <x:v>3</x:v>
      </x:c>
      <x:c r="D10056" s="8" t="n">
        <x:v>45651</x:v>
      </x:c>
      <x:c r="E10056" s="9" t="n">
        <x:v>3330000</x:v>
      </x:c>
      <x:c r="F10056" s="9" t="n">
        <x:v>0</x:v>
      </x:c>
    </x:row>
    <x:row r="10057" ht="34" customHeight="1">
      <x:c r="A10057" s="4" t="str">
        <x:v>RS-04982-I4</x:v>
      </x:c>
      <x:c r="B10057" s="4" t="str">
        <x:v>RS-04982</x:v>
      </x:c>
      <x:c r="C10057" s="9" t="n">
        <x:v>4</x:v>
      </x:c>
      <x:c r="D10057" s="8" t="n">
        <x:v>45681</x:v>
      </x:c>
      <x:c r="E10057" s="9" t="n">
        <x:v>3330000</x:v>
      </x:c>
      <x:c r="F10057" s="9" t="n">
        <x:v>0</x:v>
      </x:c>
    </x:row>
    <x:row r="10058" ht="34" customHeight="1">
      <x:c r="A10058" s="4" t="str">
        <x:v>RS-04983-I1</x:v>
      </x:c>
      <x:c r="B10058" s="4" t="str">
        <x:v>RS-04983</x:v>
      </x:c>
      <x:c r="C10058" s="9" t="n">
        <x:v>1</x:v>
      </x:c>
      <x:c r="D10058" s="8" t="n">
        <x:v>45592</x:v>
      </x:c>
      <x:c r="E10058" s="9" t="n">
        <x:v>3982000</x:v>
      </x:c>
      <x:c r="F10058" s="9" t="n">
        <x:v>3982000</x:v>
      </x:c>
    </x:row>
    <x:row r="10059" ht="34" customHeight="1">
      <x:c r="A10059" s="4" t="str">
        <x:v>RS-04983-I2</x:v>
      </x:c>
      <x:c r="B10059" s="4" t="str">
        <x:v>RS-04983</x:v>
      </x:c>
      <x:c r="C10059" s="9" t="n">
        <x:v>2</x:v>
      </x:c>
      <x:c r="D10059" s="8" t="n">
        <x:v>45622</x:v>
      </x:c>
      <x:c r="E10059" s="9" t="n">
        <x:v>3982000</x:v>
      </x:c>
      <x:c r="F10059" s="9" t="n">
        <x:v>0</x:v>
      </x:c>
    </x:row>
    <x:row r="10060" ht="34" customHeight="1">
      <x:c r="A10060" s="4" t="str">
        <x:v>RS-04983-I3</x:v>
      </x:c>
      <x:c r="B10060" s="4" t="str">
        <x:v>RS-04983</x:v>
      </x:c>
      <x:c r="C10060" s="9" t="n">
        <x:v>3</x:v>
      </x:c>
      <x:c r="D10060" s="8" t="n">
        <x:v>45652</x:v>
      </x:c>
      <x:c r="E10060" s="9" t="n">
        <x:v>3982000</x:v>
      </x:c>
      <x:c r="F10060" s="9" t="n">
        <x:v>0</x:v>
      </x:c>
    </x:row>
    <x:row r="10061" ht="34" customHeight="1">
      <x:c r="A10061" s="4" t="str">
        <x:v>RS-04983-I4</x:v>
      </x:c>
      <x:c r="B10061" s="4" t="str">
        <x:v>RS-04983</x:v>
      </x:c>
      <x:c r="C10061" s="9" t="n">
        <x:v>4</x:v>
      </x:c>
      <x:c r="D10061" s="8" t="n">
        <x:v>45682</x:v>
      </x:c>
      <x:c r="E10061" s="9" t="n">
        <x:v>3982000</x:v>
      </x:c>
      <x:c r="F10061" s="9" t="n">
        <x:v>0</x:v>
      </x:c>
    </x:row>
    <x:row r="10062" ht="34" customHeight="1">
      <x:c r="A10062" s="4" t="str">
        <x:v>RS-04984-I1</x:v>
      </x:c>
      <x:c r="B10062" s="4" t="str">
        <x:v>RS-04984</x:v>
      </x:c>
      <x:c r="C10062" s="9" t="n">
        <x:v>1</x:v>
      </x:c>
      <x:c r="D10062" s="8" t="n">
        <x:v>45593</x:v>
      </x:c>
      <x:c r="E10062" s="9" t="n">
        <x:v>2398000</x:v>
      </x:c>
      <x:c r="F10062" s="9" t="n">
        <x:v>959200</x:v>
      </x:c>
    </x:row>
    <x:row r="10063" ht="34" customHeight="1">
      <x:c r="A10063" s="4" t="str">
        <x:v>RS-04984-I2</x:v>
      </x:c>
      <x:c r="B10063" s="4" t="str">
        <x:v>RS-04984</x:v>
      </x:c>
      <x:c r="C10063" s="9" t="n">
        <x:v>2</x:v>
      </x:c>
      <x:c r="D10063" s="8" t="n">
        <x:v>45623</x:v>
      </x:c>
      <x:c r="E10063" s="9" t="n">
        <x:v>2398000</x:v>
      </x:c>
      <x:c r="F10063" s="9" t="n">
        <x:v>0</x:v>
      </x:c>
    </x:row>
    <x:row r="10064" ht="34" customHeight="1">
      <x:c r="A10064" s="4" t="str">
        <x:v>RS-04984-I3</x:v>
      </x:c>
      <x:c r="B10064" s="4" t="str">
        <x:v>RS-04984</x:v>
      </x:c>
      <x:c r="C10064" s="9" t="n">
        <x:v>3</x:v>
      </x:c>
      <x:c r="D10064" s="8" t="n">
        <x:v>45653</x:v>
      </x:c>
      <x:c r="E10064" s="9" t="n">
        <x:v>2398000</x:v>
      </x:c>
      <x:c r="F10064" s="9" t="n">
        <x:v>0</x:v>
      </x:c>
    </x:row>
    <x:row r="10065" ht="34" customHeight="1">
      <x:c r="A10065" s="4" t="str">
        <x:v>RS-04984-I4</x:v>
      </x:c>
      <x:c r="B10065" s="4" t="str">
        <x:v>RS-04984</x:v>
      </x:c>
      <x:c r="C10065" s="9" t="n">
        <x:v>4</x:v>
      </x:c>
      <x:c r="D10065" s="8" t="n">
        <x:v>45683</x:v>
      </x:c>
      <x:c r="E10065" s="9" t="n">
        <x:v>2398000</x:v>
      </x:c>
      <x:c r="F10065" s="9" t="n">
        <x:v>0</x:v>
      </x:c>
    </x:row>
    <x:row r="10066" ht="34" customHeight="1">
      <x:c r="A10066" s="4" t="str">
        <x:v>RS-04986-I1</x:v>
      </x:c>
      <x:c r="B10066" s="4" t="str">
        <x:v>RS-04986</x:v>
      </x:c>
      <x:c r="C10066" s="9" t="n">
        <x:v>1</x:v>
      </x:c>
      <x:c r="D10066" s="8" t="n">
        <x:v>45567</x:v>
      </x:c>
      <x:c r="E10066" s="9" t="n">
        <x:v>1836750</x:v>
      </x:c>
      <x:c r="F10066" s="9" t="n">
        <x:v>734700</x:v>
      </x:c>
    </x:row>
    <x:row r="10067" ht="34" customHeight="1">
      <x:c r="A10067" s="4" t="str">
        <x:v>RS-04986-I2</x:v>
      </x:c>
      <x:c r="B10067" s="4" t="str">
        <x:v>RS-04986</x:v>
      </x:c>
      <x:c r="C10067" s="9" t="n">
        <x:v>2</x:v>
      </x:c>
      <x:c r="D10067" s="8" t="n">
        <x:v>45597</x:v>
      </x:c>
      <x:c r="E10067" s="9" t="n">
        <x:v>1836750</x:v>
      </x:c>
      <x:c r="F10067" s="9" t="n">
        <x:v>0</x:v>
      </x:c>
    </x:row>
    <x:row r="10068" ht="34" customHeight="1">
      <x:c r="A10068" s="4" t="str">
        <x:v>RS-04986-I3</x:v>
      </x:c>
      <x:c r="B10068" s="4" t="str">
        <x:v>RS-04986</x:v>
      </x:c>
      <x:c r="C10068" s="9" t="n">
        <x:v>3</x:v>
      </x:c>
      <x:c r="D10068" s="8" t="n">
        <x:v>45627</x:v>
      </x:c>
      <x:c r="E10068" s="9" t="n">
        <x:v>1836750</x:v>
      </x:c>
      <x:c r="F10068" s="9" t="n">
        <x:v>0</x:v>
      </x:c>
    </x:row>
    <x:row r="10069" ht="34" customHeight="1">
      <x:c r="A10069" s="4" t="str">
        <x:v>RS-04986-I4</x:v>
      </x:c>
      <x:c r="B10069" s="4" t="str">
        <x:v>RS-04986</x:v>
      </x:c>
      <x:c r="C10069" s="9" t="n">
        <x:v>4</x:v>
      </x:c>
      <x:c r="D10069" s="8" t="n">
        <x:v>45657</x:v>
      </x:c>
      <x:c r="E10069" s="9" t="n">
        <x:v>1836750</x:v>
      </x:c>
      <x:c r="F10069" s="9" t="n">
        <x:v>0</x:v>
      </x:c>
    </x:row>
    <x:row r="10070" ht="34" customHeight="1">
      <x:c r="A10070" s="4" t="str">
        <x:v>RS-04989-I1</x:v>
      </x:c>
      <x:c r="B10070" s="4" t="str">
        <x:v>RS-04989</x:v>
      </x:c>
      <x:c r="C10070" s="9" t="n">
        <x:v>1</x:v>
      </x:c>
      <x:c r="D10070" s="8" t="n">
        <x:v>45570</x:v>
      </x:c>
      <x:c r="E10070" s="9" t="n">
        <x:v>4680250</x:v>
      </x:c>
      <x:c r="F10070" s="9" t="n">
        <x:v>4680250</x:v>
      </x:c>
    </x:row>
    <x:row r="10071" ht="34" customHeight="1">
      <x:c r="A10071" s="4" t="str">
        <x:v>RS-04989-I2</x:v>
      </x:c>
      <x:c r="B10071" s="4" t="str">
        <x:v>RS-04989</x:v>
      </x:c>
      <x:c r="C10071" s="9" t="n">
        <x:v>2</x:v>
      </x:c>
      <x:c r="D10071" s="8" t="n">
        <x:v>45600</x:v>
      </x:c>
      <x:c r="E10071" s="9" t="n">
        <x:v>4680250</x:v>
      </x:c>
      <x:c r="F10071" s="9" t="n">
        <x:v>4680250</x:v>
      </x:c>
    </x:row>
    <x:row r="10072" ht="34" customHeight="1">
      <x:c r="A10072" s="4" t="str">
        <x:v>RS-04989-I3</x:v>
      </x:c>
      <x:c r="B10072" s="4" t="str">
        <x:v>RS-04989</x:v>
      </x:c>
      <x:c r="C10072" s="9" t="n">
        <x:v>3</x:v>
      </x:c>
      <x:c r="D10072" s="8" t="n">
        <x:v>45630</x:v>
      </x:c>
      <x:c r="E10072" s="9" t="n">
        <x:v>4680250</x:v>
      </x:c>
      <x:c r="F10072" s="9" t="n">
        <x:v>4680250</x:v>
      </x:c>
    </x:row>
    <x:row r="10073" ht="34" customHeight="1">
      <x:c r="A10073" s="4" t="str">
        <x:v>RS-04989-I4</x:v>
      </x:c>
      <x:c r="B10073" s="4" t="str">
        <x:v>RS-04989</x:v>
      </x:c>
      <x:c r="C10073" s="9" t="n">
        <x:v>4</x:v>
      </x:c>
      <x:c r="D10073" s="8" t="n">
        <x:v>45660</x:v>
      </x:c>
      <x:c r="E10073" s="9" t="n">
        <x:v>4680250</x:v>
      </x:c>
      <x:c r="F10073" s="9" t="n">
        <x:v>4680250</x:v>
      </x:c>
    </x:row>
    <x:row r="10074" ht="34" customHeight="1">
      <x:c r="A10074" s="4" t="str">
        <x:v>RS-04990-I1</x:v>
      </x:c>
      <x:c r="B10074" s="4" t="str">
        <x:v>RS-04990</x:v>
      </x:c>
      <x:c r="C10074" s="9" t="n">
        <x:v>1</x:v>
      </x:c>
      <x:c r="D10074" s="8" t="n">
        <x:v>45571</x:v>
      </x:c>
      <x:c r="E10074" s="9" t="n">
        <x:v>3258500</x:v>
      </x:c>
      <x:c r="F10074" s="9" t="n">
        <x:v>3258500</x:v>
      </x:c>
    </x:row>
    <x:row r="10075" ht="34" customHeight="1">
      <x:c r="A10075" s="4" t="str">
        <x:v>RS-04990-I2</x:v>
      </x:c>
      <x:c r="B10075" s="4" t="str">
        <x:v>RS-04990</x:v>
      </x:c>
      <x:c r="C10075" s="9" t="n">
        <x:v>2</x:v>
      </x:c>
      <x:c r="D10075" s="8" t="n">
        <x:v>45601</x:v>
      </x:c>
      <x:c r="E10075" s="9" t="n">
        <x:v>3258500</x:v>
      </x:c>
      <x:c r="F10075" s="9" t="n">
        <x:v>3258500</x:v>
      </x:c>
    </x:row>
    <x:row r="10076" ht="34" customHeight="1">
      <x:c r="A10076" s="4" t="str">
        <x:v>RS-04990-I3</x:v>
      </x:c>
      <x:c r="B10076" s="4" t="str">
        <x:v>RS-04990</x:v>
      </x:c>
      <x:c r="C10076" s="9" t="n">
        <x:v>3</x:v>
      </x:c>
      <x:c r="D10076" s="8" t="n">
        <x:v>45631</x:v>
      </x:c>
      <x:c r="E10076" s="9" t="n">
        <x:v>3258500</x:v>
      </x:c>
      <x:c r="F10076" s="9" t="n">
        <x:v>3258500</x:v>
      </x:c>
    </x:row>
    <x:row r="10077" ht="34" customHeight="1">
      <x:c r="A10077" s="4" t="str">
        <x:v>RS-04990-I4</x:v>
      </x:c>
      <x:c r="B10077" s="4" t="str">
        <x:v>RS-04990</x:v>
      </x:c>
      <x:c r="C10077" s="9" t="n">
        <x:v>4</x:v>
      </x:c>
      <x:c r="D10077" s="8" t="n">
        <x:v>45661</x:v>
      </x:c>
      <x:c r="E10077" s="9" t="n">
        <x:v>3258500</x:v>
      </x:c>
      <x:c r="F10077" s="9" t="n">
        <x:v>3258500</x:v>
      </x:c>
    </x:row>
    <x:row r="10078" ht="34" customHeight="1">
      <x:c r="A10078" s="4" t="str">
        <x:v>RS-04991-I1</x:v>
      </x:c>
      <x:c r="B10078" s="4" t="str">
        <x:v>RS-04991</x:v>
      </x:c>
      <x:c r="C10078" s="9" t="n">
        <x:v>1</x:v>
      </x:c>
      <x:c r="D10078" s="8" t="n">
        <x:v>45572</x:v>
      </x:c>
      <x:c r="E10078" s="9" t="n">
        <x:v>2303750</x:v>
      </x:c>
      <x:c r="F10078" s="9" t="n">
        <x:v>2303750</x:v>
      </x:c>
    </x:row>
    <x:row r="10079" ht="34" customHeight="1">
      <x:c r="A10079" s="4" t="str">
        <x:v>RS-04991-I2</x:v>
      </x:c>
      <x:c r="B10079" s="4" t="str">
        <x:v>RS-04991</x:v>
      </x:c>
      <x:c r="C10079" s="9" t="n">
        <x:v>2</x:v>
      </x:c>
      <x:c r="D10079" s="8" t="n">
        <x:v>45602</x:v>
      </x:c>
      <x:c r="E10079" s="9" t="n">
        <x:v>2303750</x:v>
      </x:c>
      <x:c r="F10079" s="9" t="n">
        <x:v>0</x:v>
      </x:c>
    </x:row>
    <x:row r="10080" ht="34" customHeight="1">
      <x:c r="A10080" s="4" t="str">
        <x:v>RS-04991-I3</x:v>
      </x:c>
      <x:c r="B10080" s="4" t="str">
        <x:v>RS-04991</x:v>
      </x:c>
      <x:c r="C10080" s="9" t="n">
        <x:v>3</x:v>
      </x:c>
      <x:c r="D10080" s="8" t="n">
        <x:v>45632</x:v>
      </x:c>
      <x:c r="E10080" s="9" t="n">
        <x:v>2303750</x:v>
      </x:c>
      <x:c r="F10080" s="9" t="n">
        <x:v>0</x:v>
      </x:c>
    </x:row>
    <x:row r="10081" ht="34" customHeight="1">
      <x:c r="A10081" s="4" t="str">
        <x:v>RS-04991-I4</x:v>
      </x:c>
      <x:c r="B10081" s="4" t="str">
        <x:v>RS-04991</x:v>
      </x:c>
      <x:c r="C10081" s="9" t="n">
        <x:v>4</x:v>
      </x:c>
      <x:c r="D10081" s="8" t="n">
        <x:v>45662</x:v>
      </x:c>
      <x:c r="E10081" s="9" t="n">
        <x:v>2303750</x:v>
      </x:c>
      <x:c r="F10081" s="9" t="n">
        <x:v>0</x:v>
      </x:c>
    </x:row>
    <x:row r="10082" ht="34" customHeight="1">
      <x:c r="A10082" s="4" t="str">
        <x:v>RS-04993-I1</x:v>
      </x:c>
      <x:c r="B10082" s="4" t="str">
        <x:v>RS-04993</x:v>
      </x:c>
      <x:c r="C10082" s="9" t="n">
        <x:v>1</x:v>
      </x:c>
      <x:c r="D10082" s="8" t="n">
        <x:v>45574</x:v>
      </x:c>
      <x:c r="E10082" s="9" t="n">
        <x:v>5577500</x:v>
      </x:c>
      <x:c r="F10082" s="9" t="n">
        <x:v>2231000</x:v>
      </x:c>
    </x:row>
    <x:row r="10083" ht="34" customHeight="1">
      <x:c r="A10083" s="4" t="str">
        <x:v>RS-04993-I2</x:v>
      </x:c>
      <x:c r="B10083" s="4" t="str">
        <x:v>RS-04993</x:v>
      </x:c>
      <x:c r="C10083" s="9" t="n">
        <x:v>2</x:v>
      </x:c>
      <x:c r="D10083" s="8" t="n">
        <x:v>45604</x:v>
      </x:c>
      <x:c r="E10083" s="9" t="n">
        <x:v>5577500</x:v>
      </x:c>
      <x:c r="F10083" s="9" t="n">
        <x:v>0</x:v>
      </x:c>
    </x:row>
    <x:row r="10084" ht="34" customHeight="1">
      <x:c r="A10084" s="4" t="str">
        <x:v>RS-04993-I3</x:v>
      </x:c>
      <x:c r="B10084" s="4" t="str">
        <x:v>RS-04993</x:v>
      </x:c>
      <x:c r="C10084" s="9" t="n">
        <x:v>3</x:v>
      </x:c>
      <x:c r="D10084" s="8" t="n">
        <x:v>45634</x:v>
      </x:c>
      <x:c r="E10084" s="9" t="n">
        <x:v>5577500</x:v>
      </x:c>
      <x:c r="F10084" s="9" t="n">
        <x:v>0</x:v>
      </x:c>
    </x:row>
    <x:row r="10085" ht="34" customHeight="1">
      <x:c r="A10085" s="4" t="str">
        <x:v>RS-04993-I4</x:v>
      </x:c>
      <x:c r="B10085" s="4" t="str">
        <x:v>RS-04993</x:v>
      </x:c>
      <x:c r="C10085" s="9" t="n">
        <x:v>4</x:v>
      </x:c>
      <x:c r="D10085" s="8" t="n">
        <x:v>45664</x:v>
      </x:c>
      <x:c r="E10085" s="9" t="n">
        <x:v>5577500</x:v>
      </x:c>
      <x:c r="F10085" s="9" t="n">
        <x:v>0</x:v>
      </x:c>
    </x:row>
    <x:row r="10086" ht="34" customHeight="1">
      <x:c r="A10086" s="4" t="str">
        <x:v>RS-04997-I1</x:v>
      </x:c>
      <x:c r="B10086" s="4" t="str">
        <x:v>RS-04997</x:v>
      </x:c>
      <x:c r="C10086" s="9" t="n">
        <x:v>1</x:v>
      </x:c>
      <x:c r="D10086" s="8" t="n">
        <x:v>45578</x:v>
      </x:c>
      <x:c r="E10086" s="9" t="n">
        <x:v>2082500</x:v>
      </x:c>
      <x:c r="F10086" s="9" t="n">
        <x:v>2082500</x:v>
      </x:c>
    </x:row>
    <x:row r="10087" ht="34" customHeight="1">
      <x:c r="A10087" s="4" t="str">
        <x:v>RS-04997-I2</x:v>
      </x:c>
      <x:c r="B10087" s="4" t="str">
        <x:v>RS-04997</x:v>
      </x:c>
      <x:c r="C10087" s="9" t="n">
        <x:v>2</x:v>
      </x:c>
      <x:c r="D10087" s="8" t="n">
        <x:v>45608</x:v>
      </x:c>
      <x:c r="E10087" s="9" t="n">
        <x:v>2082500</x:v>
      </x:c>
      <x:c r="F10087" s="9" t="n">
        <x:v>0</x:v>
      </x:c>
    </x:row>
    <x:row r="10088" ht="34" customHeight="1">
      <x:c r="A10088" s="4" t="str">
        <x:v>RS-04997-I3</x:v>
      </x:c>
      <x:c r="B10088" s="4" t="str">
        <x:v>RS-04997</x:v>
      </x:c>
      <x:c r="C10088" s="9" t="n">
        <x:v>3</x:v>
      </x:c>
      <x:c r="D10088" s="8" t="n">
        <x:v>45638</x:v>
      </x:c>
      <x:c r="E10088" s="9" t="n">
        <x:v>2082500</x:v>
      </x:c>
      <x:c r="F10088" s="9" t="n">
        <x:v>0</x:v>
      </x:c>
    </x:row>
    <x:row r="10089" ht="34" customHeight="1">
      <x:c r="A10089" s="4" t="str">
        <x:v>RS-04997-I4</x:v>
      </x:c>
      <x:c r="B10089" s="4" t="str">
        <x:v>RS-04997</x:v>
      </x:c>
      <x:c r="C10089" s="9" t="n">
        <x:v>4</x:v>
      </x:c>
      <x:c r="D10089" s="8" t="n">
        <x:v>45668</x:v>
      </x:c>
      <x:c r="E10089" s="9" t="n">
        <x:v>2082500</x:v>
      </x:c>
      <x:c r="F10089" s="9" t="n">
        <x:v>0</x:v>
      </x:c>
    </x:row>
    <x:row r="10090" ht="34" customHeight="1">
      <x:c r="A10090" s="4" t="str">
        <x:v>RS-04999-I1</x:v>
      </x:c>
      <x:c r="B10090" s="4" t="str">
        <x:v>RS-04999</x:v>
      </x:c>
      <x:c r="C10090" s="9" t="n">
        <x:v>1</x:v>
      </x:c>
      <x:c r="D10090" s="8" t="n">
        <x:v>45580</x:v>
      </x:c>
      <x:c r="E10090" s="9" t="n">
        <x:v>857500</x:v>
      </x:c>
      <x:c r="F10090" s="9" t="n">
        <x:v>857500</x:v>
      </x:c>
    </x:row>
    <x:row r="10091" ht="34" customHeight="1">
      <x:c r="A10091" s="4" t="str">
        <x:v>RS-04999-I2</x:v>
      </x:c>
      <x:c r="B10091" s="4" t="str">
        <x:v>RS-04999</x:v>
      </x:c>
      <x:c r="C10091" s="9" t="n">
        <x:v>2</x:v>
      </x:c>
      <x:c r="D10091" s="8" t="n">
        <x:v>45610</x:v>
      </x:c>
      <x:c r="E10091" s="9" t="n">
        <x:v>857500</x:v>
      </x:c>
      <x:c r="F10091" s="9" t="n">
        <x:v>0</x:v>
      </x:c>
    </x:row>
    <x:row r="10092" ht="34" customHeight="1">
      <x:c r="A10092" s="4" t="str">
        <x:v>RS-04999-I3</x:v>
      </x:c>
      <x:c r="B10092" s="4" t="str">
        <x:v>RS-04999</x:v>
      </x:c>
      <x:c r="C10092" s="9" t="n">
        <x:v>3</x:v>
      </x:c>
      <x:c r="D10092" s="8" t="n">
        <x:v>45640</x:v>
      </x:c>
      <x:c r="E10092" s="9" t="n">
        <x:v>857500</x:v>
      </x:c>
      <x:c r="F10092" s="9" t="n">
        <x:v>0</x:v>
      </x:c>
    </x:row>
    <x:row r="10093" ht="34" customHeight="1">
      <x:c r="A10093" s="4" t="str">
        <x:v>RS-04999-I4</x:v>
      </x:c>
      <x:c r="B10093" s="4" t="str">
        <x:v>RS-04999</x:v>
      </x:c>
      <x:c r="C10093" s="9" t="n">
        <x:v>4</x:v>
      </x:c>
      <x:c r="D10093" s="8" t="n">
        <x:v>45670</x:v>
      </x:c>
      <x:c r="E10093" s="9" t="n">
        <x:v>857500</x:v>
      </x:c>
      <x:c r="F10093" s="9" t="n">
        <x:v>0</x:v>
      </x:c>
    </x:row>
    <x:row r="10094" ht="34" customHeight="1">
      <x:c r="A10094" s="4" t="str">
        <x:v>RS-05000-I1</x:v>
      </x:c>
      <x:c r="B10094" s="4" t="str">
        <x:v>RS-05000</x:v>
      </x:c>
      <x:c r="C10094" s="9" t="n">
        <x:v>1</x:v>
      </x:c>
      <x:c r="D10094" s="8" t="n">
        <x:v>45581</x:v>
      </x:c>
      <x:c r="E10094" s="9" t="n">
        <x:v>3352500</x:v>
      </x:c>
      <x:c r="F10094" s="9" t="n">
        <x:v>3352500</x:v>
      </x:c>
    </x:row>
    <x:row r="10095" ht="34" customHeight="1">
      <x:c r="A10095" s="4" t="str">
        <x:v>RS-05000-I2</x:v>
      </x:c>
      <x:c r="B10095" s="4" t="str">
        <x:v>RS-05000</x:v>
      </x:c>
      <x:c r="C10095" s="9" t="n">
        <x:v>2</x:v>
      </x:c>
      <x:c r="D10095" s="8" t="n">
        <x:v>45611</x:v>
      </x:c>
      <x:c r="E10095" s="9" t="n">
        <x:v>3352500</x:v>
      </x:c>
      <x:c r="F10095" s="9" t="n">
        <x:v>0</x:v>
      </x:c>
    </x:row>
    <x:row r="10096" ht="34" customHeight="1">
      <x:c r="A10096" s="4" t="str">
        <x:v>RS-05000-I3</x:v>
      </x:c>
      <x:c r="B10096" s="4" t="str">
        <x:v>RS-05000</x:v>
      </x:c>
      <x:c r="C10096" s="9" t="n">
        <x:v>3</x:v>
      </x:c>
      <x:c r="D10096" s="8" t="n">
        <x:v>45641</x:v>
      </x:c>
      <x:c r="E10096" s="9" t="n">
        <x:v>3352500</x:v>
      </x:c>
      <x:c r="F10096" s="9" t="n">
        <x:v>0</x:v>
      </x:c>
    </x:row>
    <x:row r="10097" ht="34" customHeight="1">
      <x:c r="A10097" s="4" t="str">
        <x:v>RS-05000-I4</x:v>
      </x:c>
      <x:c r="B10097" s="4" t="str">
        <x:v>RS-05000</x:v>
      </x:c>
      <x:c r="C10097" s="9" t="n">
        <x:v>4</x:v>
      </x:c>
      <x:c r="D10097" s="8" t="n">
        <x:v>45671</x:v>
      </x:c>
      <x:c r="E10097" s="9" t="n">
        <x:v>3352500</x:v>
      </x:c>
      <x:c r="F10097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3c592268d442c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2" customHeight="1">
      <x:c r="A1" s="7" t="str">
        <x:v>event_id</x:v>
      </x:c>
      <x:c r="B1" s="7" t="str">
        <x:v>record_id</x:v>
      </x:c>
      <x:c r="C1" s="7" t="str">
        <x:v>event_date</x:v>
      </x:c>
      <x:c r="D1" s="7" t="str">
        <x:v>actor_role</x:v>
      </x:c>
      <x:c r="E1" s="7" t="str">
        <x:v>channel</x:v>
      </x:c>
      <x:c r="F1" s="7" t="str">
        <x:v>event_type</x:v>
      </x:c>
      <x:c r="G1" s="7" t="str">
        <x:v>approval_state</x:v>
      </x:c>
    </x:row>
    <x:row r="2" ht="34" customHeight="1">
      <x:c r="A2" s="4" t="str">
        <x:v>RS-00001-E1</x:v>
      </x:c>
      <x:c r="B2" s="4" t="str">
        <x:v>RS-00001</x:v>
      </x:c>
      <x:c r="C2" s="8" t="n">
        <x:v>45292</x:v>
      </x:c>
      <x:c r="D2" s="4" t="str">
        <x:v>Sales operations manager</x:v>
      </x:c>
      <x:c r="E2" s="4" t="str">
        <x:v>Paper transcribed</x:v>
      </x:c>
      <x:c r="F2" s="4" t="str">
        <x:v>Record captured</x:v>
      </x:c>
      <x:c r="G2" s="4" t="str">
        <x:v>Enquiry</x:v>
      </x:c>
    </x:row>
    <x:row r="3" ht="34" customHeight="1">
      <x:c r="A3" s="4" t="str">
        <x:v>RS-00002-E1</x:v>
      </x:c>
      <x:c r="B3" s="4" t="str">
        <x:v>RS-00002</x:v>
      </x:c>
      <x:c r="C3" s="8" t="n">
        <x:v>45293</x:v>
      </x:c>
      <x:c r="D3" s="4" t="str">
        <x:v>Sales operations manager</x:v>
      </x:c>
      <x:c r="E3" s="4" t="str">
        <x:v>Paper transcribed</x:v>
      </x:c>
      <x:c r="F3" s="4" t="str">
        <x:v>Record captured</x:v>
      </x:c>
      <x:c r="G3" s="4" t="str">
        <x:v>Agreement signed</x:v>
      </x:c>
    </x:row>
    <x:row r="4" ht="34" customHeight="1">
      <x:c r="A4" s="4" t="str">
        <x:v>RS-00003-E1</x:v>
      </x:c>
      <x:c r="B4" s="4" t="str">
        <x:v>RS-00003</x:v>
      </x:c>
      <x:c r="C4" s="8" t="n">
        <x:v>45294</x:v>
      </x:c>
      <x:c r="D4" s="4" t="str">
        <x:v>Sales operations manager</x:v>
      </x:c>
      <x:c r="E4" s="4" t="str">
        <x:v>ERP form</x:v>
      </x:c>
      <x:c r="F4" s="4" t="str">
        <x:v>Record captured</x:v>
      </x:c>
      <x:c r="G4" s="4" t="str">
        <x:v>Handed over</x:v>
      </x:c>
    </x:row>
    <x:row r="5" ht="34" customHeight="1">
      <x:c r="A5" s="4" t="str">
        <x:v>RS-00004-E1</x:v>
      </x:c>
      <x:c r="B5" s="4" t="str">
        <x:v>RS-00004</x:v>
      </x:c>
      <x:c r="C5" s="8" t="n">
        <x:v>45295</x:v>
      </x:c>
      <x:c r="D5" s="4" t="str">
        <x:v>Sales operations manager</x:v>
      </x:c>
      <x:c r="E5" s="4" t="str">
        <x:v>Paper transcribed</x:v>
      </x:c>
      <x:c r="F5" s="4" t="str">
        <x:v>Record captured</x:v>
      </x:c>
      <x:c r="G5" s="4" t="str">
        <x:v>Agreement signed</x:v>
      </x:c>
    </x:row>
    <x:row r="6" ht="34" customHeight="1">
      <x:c r="A6" s="4" t="str">
        <x:v>RS-00005-E1</x:v>
      </x:c>
      <x:c r="B6" s="4" t="str">
        <x:v>RS-00005</x:v>
      </x:c>
      <x:c r="C6" s="8" t="n">
        <x:v>45296</x:v>
      </x:c>
      <x:c r="D6" s="4" t="str">
        <x:v>Sales operations manager</x:v>
      </x:c>
      <x:c r="E6" s="4" t="str">
        <x:v>Spreadsheet import</x:v>
      </x:c>
      <x:c r="F6" s="4" t="str">
        <x:v>Record captured</x:v>
      </x:c>
      <x:c r="G6" s="4" t="str">
        <x:v>Enquiry</x:v>
      </x:c>
    </x:row>
    <x:row r="7" ht="34" customHeight="1">
      <x:c r="A7" s="4" t="str">
        <x:v>RS-00006-E1</x:v>
      </x:c>
      <x:c r="B7" s="4" t="str">
        <x:v>RS-00006</x:v>
      </x:c>
      <x:c r="C7" s="8" t="n">
        <x:v>45297</x:v>
      </x:c>
      <x:c r="D7" s="4" t="str">
        <x:v>Sales operations manager</x:v>
      </x:c>
      <x:c r="E7" s="4" t="str">
        <x:v>ERP form</x:v>
      </x:c>
      <x:c r="F7" s="4" t="str">
        <x:v>Record captured</x:v>
      </x:c>
      <x:c r="G7" s="4" t="str">
        <x:v>Enquiry</x:v>
      </x:c>
    </x:row>
    <x:row r="8" ht="34" customHeight="1">
      <x:c r="A8" s="4" t="str">
        <x:v>RS-00007-E1</x:v>
      </x:c>
      <x:c r="B8" s="4" t="str">
        <x:v>RS-00007</x:v>
      </x:c>
      <x:c r="C8" s="8" t="n">
        <x:v>45298</x:v>
      </x:c>
      <x:c r="D8" s="4" t="str">
        <x:v>Sales operations manager</x:v>
      </x:c>
      <x:c r="E8" s="4" t="str">
        <x:v>WhatsApp transcribed</x:v>
      </x:c>
      <x:c r="F8" s="4" t="str">
        <x:v>Record captured</x:v>
      </x:c>
      <x:c r="G8" s="4" t="str">
        <x:v>Agreement signed</x:v>
      </x:c>
    </x:row>
    <x:row r="9" ht="34" customHeight="1">
      <x:c r="A9" s="4" t="str">
        <x:v>RS-00008-E1</x:v>
      </x:c>
      <x:c r="B9" s="4" t="str">
        <x:v>RS-00008</x:v>
      </x:c>
      <x:c r="C9" s="8" t="n">
        <x:v>45299</x:v>
      </x:c>
      <x:c r="D9" s="4" t="str">
        <x:v>Sales operations manager</x:v>
      </x:c>
      <x:c r="E9" s="4" t="str">
        <x:v>Spreadsheet import</x:v>
      </x:c>
      <x:c r="F9" s="4" t="str">
        <x:v>Record captured</x:v>
      </x:c>
      <x:c r="G9" s="4" t="str">
        <x:v>Cancelled</x:v>
      </x:c>
    </x:row>
    <x:row r="10" ht="34" customHeight="1">
      <x:c r="A10" s="4" t="str">
        <x:v>RS-00009-E1</x:v>
      </x:c>
      <x:c r="B10" s="4" t="str">
        <x:v>RS-00009</x:v>
      </x:c>
      <x:c r="C10" s="8" t="n">
        <x:v>45300</x:v>
      </x:c>
      <x:c r="D10" s="4" t="str">
        <x:v>Sales operations manager</x:v>
      </x:c>
      <x:c r="E10" s="4" t="str">
        <x:v>WhatsApp transcribed</x:v>
      </x:c>
      <x:c r="F10" s="4" t="str">
        <x:v>Record captured</x:v>
      </x:c>
      <x:c r="G10" s="4" t="str">
        <x:v>Booked</x:v>
      </x:c>
    </x:row>
    <x:row r="11" ht="34" customHeight="1">
      <x:c r="A11" s="4" t="str">
        <x:v>RS-00010-E1</x:v>
      </x:c>
      <x:c r="B11" s="4" t="str">
        <x:v>RS-00010</x:v>
      </x:c>
      <x:c r="C11" s="8" t="n">
        <x:v>45301</x:v>
      </x:c>
      <x:c r="D11" s="4" t="str">
        <x:v>Sales operations manager</x:v>
      </x:c>
      <x:c r="E11" s="4" t="str">
        <x:v>Spreadsheet import</x:v>
      </x:c>
      <x:c r="F11" s="4" t="str">
        <x:v>Record captured</x:v>
      </x:c>
      <x:c r="G11" s="4" t="str">
        <x:v>Cancelled</x:v>
      </x:c>
    </x:row>
    <x:row r="12" ht="34" customHeight="1">
      <x:c r="A12" s="4" t="str">
        <x:v>RS-00011-E1</x:v>
      </x:c>
      <x:c r="B12" s="4" t="str">
        <x:v>RS-00011</x:v>
      </x:c>
      <x:c r="C12" s="8" t="n">
        <x:v>45302</x:v>
      </x:c>
      <x:c r="D12" s="4" t="str">
        <x:v>Sales operations manager</x:v>
      </x:c>
      <x:c r="E12" s="4" t="str">
        <x:v>ERP form</x:v>
      </x:c>
      <x:c r="F12" s="4" t="str">
        <x:v>Record captured</x:v>
      </x:c>
      <x:c r="G12" s="4" t="str">
        <x:v>Booked</x:v>
      </x:c>
    </x:row>
    <x:row r="13" ht="34" customHeight="1">
      <x:c r="A13" s="4" t="str">
        <x:v>RS-00012-E1</x:v>
      </x:c>
      <x:c r="B13" s="4" t="str">
        <x:v>RS-00012</x:v>
      </x:c>
      <x:c r="C13" s="8" t="n">
        <x:v>45303</x:v>
      </x:c>
      <x:c r="D13" s="4" t="str">
        <x:v>Sales operations manager</x:v>
      </x:c>
      <x:c r="E13" s="4" t="str">
        <x:v>Paper transcribed</x:v>
      </x:c>
      <x:c r="F13" s="4" t="str">
        <x:v>Record captured</x:v>
      </x:c>
      <x:c r="G13" s="4" t="str">
        <x:v>Enquiry</x:v>
      </x:c>
    </x:row>
    <x:row r="14" ht="34" customHeight="1">
      <x:c r="A14" s="4" t="str">
        <x:v>RS-00013-E1</x:v>
      </x:c>
      <x:c r="B14" s="4" t="str">
        <x:v>RS-00013</x:v>
      </x:c>
      <x:c r="C14" s="8" t="n">
        <x:v>45304</x:v>
      </x:c>
      <x:c r="D14" s="4" t="str">
        <x:v>Sales operations manager</x:v>
      </x:c>
      <x:c r="E14" s="4" t="str">
        <x:v>WhatsApp transcribed</x:v>
      </x:c>
      <x:c r="F14" s="4" t="str">
        <x:v>Record captured</x:v>
      </x:c>
      <x:c r="G14" s="4" t="str">
        <x:v>Handed over</x:v>
      </x:c>
    </x:row>
    <x:row r="15" ht="34" customHeight="1">
      <x:c r="A15" s="4" t="str">
        <x:v>RS-00014-E1</x:v>
      </x:c>
      <x:c r="B15" s="4" t="str">
        <x:v>RS-00014</x:v>
      </x:c>
      <x:c r="C15" s="8" t="n">
        <x:v>45305</x:v>
      </x:c>
      <x:c r="D15" s="4" t="str">
        <x:v>Sales operations manager</x:v>
      </x:c>
      <x:c r="E15" s="4" t="str">
        <x:v>ERP form</x:v>
      </x:c>
      <x:c r="F15" s="4" t="str">
        <x:v>Record captured</x:v>
      </x:c>
      <x:c r="G15" s="4" t="str">
        <x:v>Reserved</x:v>
      </x:c>
    </x:row>
    <x:row r="16" ht="34" customHeight="1">
      <x:c r="A16" s="4" t="str">
        <x:v>RS-00015-E1</x:v>
      </x:c>
      <x:c r="B16" s="4" t="str">
        <x:v>RS-00015</x:v>
      </x:c>
      <x:c r="C16" s="8" t="n">
        <x:v>45306</x:v>
      </x:c>
      <x:c r="D16" s="4" t="str">
        <x:v>Sales operations manager</x:v>
      </x:c>
      <x:c r="E16" s="4" t="str">
        <x:v>Paper transcribed</x:v>
      </x:c>
      <x:c r="F16" s="4" t="str">
        <x:v>Record captured</x:v>
      </x:c>
      <x:c r="G16" s="4" t="str">
        <x:v>Booked</x:v>
      </x:c>
    </x:row>
    <x:row r="17" ht="34" customHeight="1">
      <x:c r="A17" s="4" t="str">
        <x:v>RS-00016-E1</x:v>
      </x:c>
      <x:c r="B17" s="4" t="str">
        <x:v>RS-00016</x:v>
      </x:c>
      <x:c r="C17" s="8" t="n">
        <x:v>45307</x:v>
      </x:c>
      <x:c r="D17" s="4" t="str">
        <x:v>Sales operations manager</x:v>
      </x:c>
      <x:c r="E17" s="4" t="str">
        <x:v>Paper transcribed</x:v>
      </x:c>
      <x:c r="F17" s="4" t="str">
        <x:v>Record captured</x:v>
      </x:c>
      <x:c r="G17" s="4" t="str">
        <x:v>Reserved</x:v>
      </x:c>
    </x:row>
    <x:row r="18" ht="34" customHeight="1">
      <x:c r="A18" s="4" t="str">
        <x:v>RS-00017-E1</x:v>
      </x:c>
      <x:c r="B18" s="4" t="str">
        <x:v>RS-00017</x:v>
      </x:c>
      <x:c r="C18" s="8" t="n">
        <x:v>45308</x:v>
      </x:c>
      <x:c r="D18" s="4" t="str">
        <x:v>Sales operations manager</x:v>
      </x:c>
      <x:c r="E18" s="4" t="str">
        <x:v>ERP form</x:v>
      </x:c>
      <x:c r="F18" s="4" t="str">
        <x:v>Record captured</x:v>
      </x:c>
      <x:c r="G18" s="4" t="str">
        <x:v>Agreement signed</x:v>
      </x:c>
    </x:row>
    <x:row r="19" ht="34" customHeight="1">
      <x:c r="A19" s="4" t="str">
        <x:v>RS-00018-E1</x:v>
      </x:c>
      <x:c r="B19" s="4" t="str">
        <x:v>RS-00018</x:v>
      </x:c>
      <x:c r="C19" s="8" t="n">
        <x:v>45309</x:v>
      </x:c>
      <x:c r="D19" s="4" t="str">
        <x:v>Sales operations manager</x:v>
      </x:c>
      <x:c r="E19" s="4" t="str">
        <x:v>Spreadsheet import</x:v>
      </x:c>
      <x:c r="F19" s="4" t="str">
        <x:v>Record captured</x:v>
      </x:c>
      <x:c r="G19" s="4" t="str">
        <x:v>Cancelled</x:v>
      </x:c>
    </x:row>
    <x:row r="20" ht="34" customHeight="1">
      <x:c r="A20" s="4" t="str">
        <x:v>RS-00019-E1</x:v>
      </x:c>
      <x:c r="B20" s="4" t="str">
        <x:v>RS-00019</x:v>
      </x:c>
      <x:c r="C20" s="8" t="n">
        <x:v>45310</x:v>
      </x:c>
      <x:c r="D20" s="4" t="str">
        <x:v>Sales operations manager</x:v>
      </x:c>
      <x:c r="E20" s="4" t="str">
        <x:v>Paper transcribed</x:v>
      </x:c>
      <x:c r="F20" s="4" t="str">
        <x:v>Record captured</x:v>
      </x:c>
      <x:c r="G20" s="4" t="str">
        <x:v>Enquiry</x:v>
      </x:c>
    </x:row>
    <x:row r="21" ht="34" customHeight="1">
      <x:c r="A21" s="4" t="str">
        <x:v>RS-00020-E1</x:v>
      </x:c>
      <x:c r="B21" s="4" t="str">
        <x:v>RS-00020</x:v>
      </x:c>
      <x:c r="C21" s="8" t="n">
        <x:v>45311</x:v>
      </x:c>
      <x:c r="D21" s="4" t="str">
        <x:v>Sales operations manager</x:v>
      </x:c>
      <x:c r="E21" s="4" t="str">
        <x:v>Paper transcribed</x:v>
      </x:c>
      <x:c r="F21" s="4" t="str">
        <x:v>Record captured</x:v>
      </x:c>
      <x:c r="G21" s="4" t="str">
        <x:v>Reserved</x:v>
      </x:c>
    </x:row>
    <x:row r="22" ht="34" customHeight="1">
      <x:c r="A22" s="4" t="str">
        <x:v>RS-00021-E1</x:v>
      </x:c>
      <x:c r="B22" s="4" t="str">
        <x:v>RS-00021</x:v>
      </x:c>
      <x:c r="C22" s="8" t="n">
        <x:v>45312</x:v>
      </x:c>
      <x:c r="D22" s="4" t="str">
        <x:v>Sales operations manager</x:v>
      </x:c>
      <x:c r="E22" s="4" t="str">
        <x:v>Paper transcribed</x:v>
      </x:c>
      <x:c r="F22" s="4" t="str">
        <x:v>Record captured</x:v>
      </x:c>
      <x:c r="G22" s="4" t="str">
        <x:v>Cancelled</x:v>
      </x:c>
    </x:row>
    <x:row r="23" ht="34" customHeight="1">
      <x:c r="A23" s="4" t="str">
        <x:v>RS-00022-E1</x:v>
      </x:c>
      <x:c r="B23" s="4" t="str">
        <x:v>RS-00022</x:v>
      </x:c>
      <x:c r="C23" s="8" t="n">
        <x:v>45313</x:v>
      </x:c>
      <x:c r="D23" s="4" t="str">
        <x:v>Sales operations manager</x:v>
      </x:c>
      <x:c r="E23" s="4" t="str">
        <x:v>ERP form</x:v>
      </x:c>
      <x:c r="F23" s="4" t="str">
        <x:v>Record captured</x:v>
      </x:c>
      <x:c r="G23" s="4" t="str">
        <x:v>Handed over</x:v>
      </x:c>
    </x:row>
    <x:row r="24" ht="34" customHeight="1">
      <x:c r="A24" s="4" t="str">
        <x:v>RS-00023-E1</x:v>
      </x:c>
      <x:c r="B24" s="4" t="str">
        <x:v>RS-00023</x:v>
      </x:c>
      <x:c r="C24" s="8" t="n">
        <x:v>45314</x:v>
      </x:c>
      <x:c r="D24" s="4" t="str">
        <x:v>Sales operations manager</x:v>
      </x:c>
      <x:c r="E24" s="4" t="str">
        <x:v>WhatsApp transcribed</x:v>
      </x:c>
      <x:c r="F24" s="4" t="str">
        <x:v>Record captured</x:v>
      </x:c>
      <x:c r="G24" s="4" t="str">
        <x:v>Reserved</x:v>
      </x:c>
    </x:row>
    <x:row r="25" ht="34" customHeight="1">
      <x:c r="A25" s="4" t="str">
        <x:v>RS-00024-E1</x:v>
      </x:c>
      <x:c r="B25" s="4" t="str">
        <x:v>RS-00024</x:v>
      </x:c>
      <x:c r="C25" s="8" t="n">
        <x:v>45315</x:v>
      </x:c>
      <x:c r="D25" s="4" t="str">
        <x:v>Sales operations manager</x:v>
      </x:c>
      <x:c r="E25" s="4" t="str">
        <x:v>WhatsApp transcribed</x:v>
      </x:c>
      <x:c r="F25" s="4" t="str">
        <x:v>Record captured</x:v>
      </x:c>
      <x:c r="G25" s="4" t="str">
        <x:v>Agreement signed</x:v>
      </x:c>
    </x:row>
    <x:row r="26" ht="34" customHeight="1">
      <x:c r="A26" s="4" t="str">
        <x:v>RS-00025-E1</x:v>
      </x:c>
      <x:c r="B26" s="4" t="str">
        <x:v>RS-00025</x:v>
      </x:c>
      <x:c r="C26" s="8" t="n">
        <x:v>45316</x:v>
      </x:c>
      <x:c r="D26" s="4" t="str">
        <x:v>Sales operations manager</x:v>
      </x:c>
      <x:c r="E26" s="4" t="str">
        <x:v>WhatsApp transcribed</x:v>
      </x:c>
      <x:c r="F26" s="4" t="str">
        <x:v>Record captured</x:v>
      </x:c>
      <x:c r="G26" s="4" t="str">
        <x:v>Enquiry</x:v>
      </x:c>
    </x:row>
    <x:row r="27" ht="34" customHeight="1">
      <x:c r="A27" s="4" t="str">
        <x:v>RS-00026-E1</x:v>
      </x:c>
      <x:c r="B27" s="4" t="str">
        <x:v>RS-00026</x:v>
      </x:c>
      <x:c r="C27" s="8" t="n">
        <x:v>45317</x:v>
      </x:c>
      <x:c r="D27" s="4" t="str">
        <x:v>Sales operations manager</x:v>
      </x:c>
      <x:c r="E27" s="4" t="str">
        <x:v>ERP form</x:v>
      </x:c>
      <x:c r="F27" s="4" t="str">
        <x:v>Record captured</x:v>
      </x:c>
      <x:c r="G27" s="4" t="str">
        <x:v>Agreement signed</x:v>
      </x:c>
    </x:row>
    <x:row r="28" ht="34" customHeight="1">
      <x:c r="A28" s="4" t="str">
        <x:v>RS-00027-E1</x:v>
      </x:c>
      <x:c r="B28" s="4" t="str">
        <x:v>RS-00027</x:v>
      </x:c>
      <x:c r="C28" s="8" t="n">
        <x:v>45318</x:v>
      </x:c>
      <x:c r="D28" s="4" t="str">
        <x:v>Sales operations manager</x:v>
      </x:c>
      <x:c r="E28" s="4" t="str">
        <x:v>WhatsApp transcribed</x:v>
      </x:c>
      <x:c r="F28" s="4" t="str">
        <x:v>Record captured</x:v>
      </x:c>
      <x:c r="G28" s="4" t="str">
        <x:v>Agreement signed</x:v>
      </x:c>
    </x:row>
    <x:row r="29" ht="34" customHeight="1">
      <x:c r="A29" s="4" t="str">
        <x:v>RS-00028-E1</x:v>
      </x:c>
      <x:c r="B29" s="4" t="str">
        <x:v>RS-00028</x:v>
      </x:c>
      <x:c r="C29" s="8" t="n">
        <x:v>45319</x:v>
      </x:c>
      <x:c r="D29" s="4" t="str">
        <x:v>Sales operations manager</x:v>
      </x:c>
      <x:c r="E29" s="4" t="str">
        <x:v>Spreadsheet import</x:v>
      </x:c>
      <x:c r="F29" s="4" t="str">
        <x:v>Record captured</x:v>
      </x:c>
      <x:c r="G29" s="4" t="str">
        <x:v>Reserved</x:v>
      </x:c>
    </x:row>
    <x:row r="30" ht="34" customHeight="1">
      <x:c r="A30" s="4" t="str">
        <x:v>RS-00029-E1</x:v>
      </x:c>
      <x:c r="B30" s="4" t="str">
        <x:v>RS-00029</x:v>
      </x:c>
      <x:c r="C30" s="8" t="n">
        <x:v>45292</x:v>
      </x:c>
      <x:c r="D30" s="4" t="str">
        <x:v>Sales operations manager</x:v>
      </x:c>
      <x:c r="E30" s="4" t="str">
        <x:v>ERP form</x:v>
      </x:c>
      <x:c r="F30" s="4" t="str">
        <x:v>Record captured</x:v>
      </x:c>
      <x:c r="G30" s="4" t="str">
        <x:v>Enquiry</x:v>
      </x:c>
    </x:row>
    <x:row r="31" ht="34" customHeight="1">
      <x:c r="A31" s="4" t="str">
        <x:v>RS-00030-E1</x:v>
      </x:c>
      <x:c r="B31" s="4" t="str">
        <x:v>RS-00030</x:v>
      </x:c>
      <x:c r="C31" s="8" t="n">
        <x:v>45293</x:v>
      </x:c>
      <x:c r="D31" s="4" t="str">
        <x:v>Sales operations manager</x:v>
      </x:c>
      <x:c r="E31" s="4" t="str">
        <x:v>WhatsApp transcribed</x:v>
      </x:c>
      <x:c r="F31" s="4" t="str">
        <x:v>Record captured</x:v>
      </x:c>
      <x:c r="G31" s="4" t="str">
        <x:v>Enquiry</x:v>
      </x:c>
    </x:row>
    <x:row r="32" ht="34" customHeight="1">
      <x:c r="A32" s="4" t="str">
        <x:v>RS-00031-E1</x:v>
      </x:c>
      <x:c r="B32" s="4" t="str">
        <x:v>RS-00031</x:v>
      </x:c>
      <x:c r="C32" s="8" t="n">
        <x:v>45294</x:v>
      </x:c>
      <x:c r="D32" s="4" t="str">
        <x:v>Sales operations manager</x:v>
      </x:c>
      <x:c r="E32" s="4" t="str">
        <x:v>Paper transcribed</x:v>
      </x:c>
      <x:c r="F32" s="4" t="str">
        <x:v>Record captured</x:v>
      </x:c>
      <x:c r="G32" s="4" t="str">
        <x:v>Enquiry</x:v>
      </x:c>
    </x:row>
    <x:row r="33" ht="34" customHeight="1">
      <x:c r="A33" s="4" t="str">
        <x:v>RS-00032-E1</x:v>
      </x:c>
      <x:c r="B33" s="4" t="str">
        <x:v>RS-00032</x:v>
      </x:c>
      <x:c r="C33" s="8" t="n">
        <x:v>45295</x:v>
      </x:c>
      <x:c r="D33" s="4" t="str">
        <x:v>Sales operations manager</x:v>
      </x:c>
      <x:c r="E33" s="4" t="str">
        <x:v>WhatsApp transcribed</x:v>
      </x:c>
      <x:c r="F33" s="4" t="str">
        <x:v>Record captured</x:v>
      </x:c>
      <x:c r="G33" s="4" t="str">
        <x:v>Cancelled</x:v>
      </x:c>
    </x:row>
    <x:row r="34" ht="34" customHeight="1">
      <x:c r="A34" s="4" t="str">
        <x:v>RS-00033-E1</x:v>
      </x:c>
      <x:c r="B34" s="4" t="str">
        <x:v>RS-00033</x:v>
      </x:c>
      <x:c r="C34" s="8" t="n">
        <x:v>45296</x:v>
      </x:c>
      <x:c r="D34" s="4" t="str">
        <x:v>Sales operations manager</x:v>
      </x:c>
      <x:c r="E34" s="4" t="str">
        <x:v>Paper transcribed</x:v>
      </x:c>
      <x:c r="F34" s="4" t="str">
        <x:v>Record captured</x:v>
      </x:c>
      <x:c r="G34" s="4" t="str">
        <x:v>Handed over</x:v>
      </x:c>
    </x:row>
    <x:row r="35" ht="34" customHeight="1">
      <x:c r="A35" s="4" t="str">
        <x:v>RS-00034-E1</x:v>
      </x:c>
      <x:c r="B35" s="4" t="str">
        <x:v>RS-00034</x:v>
      </x:c>
      <x:c r="C35" s="8" t="n">
        <x:v>45297</x:v>
      </x:c>
      <x:c r="D35" s="4" t="str">
        <x:v>Sales operations manager</x:v>
      </x:c>
      <x:c r="E35" s="4" t="str">
        <x:v>Spreadsheet import</x:v>
      </x:c>
      <x:c r="F35" s="4" t="str">
        <x:v>Record captured</x:v>
      </x:c>
      <x:c r="G35" s="4" t="str">
        <x:v>Cancelled</x:v>
      </x:c>
    </x:row>
    <x:row r="36" ht="34" customHeight="1">
      <x:c r="A36" s="4" t="str">
        <x:v>RS-00035-E1</x:v>
      </x:c>
      <x:c r="B36" s="4" t="str">
        <x:v>RS-00035</x:v>
      </x:c>
      <x:c r="C36" s="8" t="n">
        <x:v>45298</x:v>
      </x:c>
      <x:c r="D36" s="4" t="str">
        <x:v>Sales operations manager</x:v>
      </x:c>
      <x:c r="E36" s="4" t="str">
        <x:v>WhatsApp transcribed</x:v>
      </x:c>
      <x:c r="F36" s="4" t="str">
        <x:v>Record captured</x:v>
      </x:c>
      <x:c r="G36" s="4" t="str">
        <x:v>Enquiry</x:v>
      </x:c>
    </x:row>
    <x:row r="37" ht="34" customHeight="1">
      <x:c r="A37" s="4" t="str">
        <x:v>RS-00036-E1</x:v>
      </x:c>
      <x:c r="B37" s="4" t="str">
        <x:v>RS-00036</x:v>
      </x:c>
      <x:c r="C37" s="8" t="n">
        <x:v>45299</x:v>
      </x:c>
      <x:c r="D37" s="4" t="str">
        <x:v>Sales operations manager</x:v>
      </x:c>
      <x:c r="E37" s="4" t="str">
        <x:v>Spreadsheet import</x:v>
      </x:c>
      <x:c r="F37" s="4" t="str">
        <x:v>Record captured</x:v>
      </x:c>
      <x:c r="G37" s="4" t="str">
        <x:v>Cancelled</x:v>
      </x:c>
    </x:row>
    <x:row r="38" ht="34" customHeight="1">
      <x:c r="A38" s="4" t="str">
        <x:v>RS-00037-E1</x:v>
      </x:c>
      <x:c r="B38" s="4" t="str">
        <x:v>RS-00037</x:v>
      </x:c>
      <x:c r="C38" s="8" t="n">
        <x:v>45300</x:v>
      </x:c>
      <x:c r="D38" s="4" t="str">
        <x:v>Sales operations manager</x:v>
      </x:c>
      <x:c r="E38" s="4" t="str">
        <x:v>ERP form</x:v>
      </x:c>
      <x:c r="F38" s="4" t="str">
        <x:v>Record captured</x:v>
      </x:c>
      <x:c r="G38" s="4" t="str">
        <x:v>Enquiry</x:v>
      </x:c>
    </x:row>
    <x:row r="39" ht="34" customHeight="1">
      <x:c r="A39" s="4" t="str">
        <x:v>RS-00038-E1</x:v>
      </x:c>
      <x:c r="B39" s="4" t="str">
        <x:v>RS-00038</x:v>
      </x:c>
      <x:c r="C39" s="8" t="n">
        <x:v>45301</x:v>
      </x:c>
      <x:c r="D39" s="4" t="str">
        <x:v>Sales operations manager</x:v>
      </x:c>
      <x:c r="E39" s="4" t="str">
        <x:v>Spreadsheet import</x:v>
      </x:c>
      <x:c r="F39" s="4" t="str">
        <x:v>Record captured</x:v>
      </x:c>
      <x:c r="G39" s="4" t="str">
        <x:v>Enquiry</x:v>
      </x:c>
    </x:row>
    <x:row r="40" ht="34" customHeight="1">
      <x:c r="A40" s="4" t="str">
        <x:v>RS-00039-E1</x:v>
      </x:c>
      <x:c r="B40" s="4" t="str">
        <x:v>RS-00039</x:v>
      </x:c>
      <x:c r="C40" s="8" t="n">
        <x:v>45302</x:v>
      </x:c>
      <x:c r="D40" s="4" t="str">
        <x:v>Sales operations manager</x:v>
      </x:c>
      <x:c r="E40" s="4" t="str">
        <x:v>ERP form</x:v>
      </x:c>
      <x:c r="F40" s="4" t="str">
        <x:v>Record captured</x:v>
      </x:c>
      <x:c r="G40" s="4" t="str">
        <x:v>Reserved</x:v>
      </x:c>
    </x:row>
    <x:row r="41" ht="34" customHeight="1">
      <x:c r="A41" s="4" t="str">
        <x:v>RS-00040-E1</x:v>
      </x:c>
      <x:c r="B41" s="4" t="str">
        <x:v>RS-00040</x:v>
      </x:c>
      <x:c r="C41" s="8" t="n">
        <x:v>45303</x:v>
      </x:c>
      <x:c r="D41" s="4" t="str">
        <x:v>Sales operations manager</x:v>
      </x:c>
      <x:c r="E41" s="4" t="str">
        <x:v>ERP form</x:v>
      </x:c>
      <x:c r="F41" s="4" t="str">
        <x:v>Record captured</x:v>
      </x:c>
      <x:c r="G41" s="4" t="str">
        <x:v>Enquiry</x:v>
      </x:c>
    </x:row>
    <x:row r="42" ht="34" customHeight="1">
      <x:c r="A42" s="4" t="str">
        <x:v>RS-00041-E1</x:v>
      </x:c>
      <x:c r="B42" s="4" t="str">
        <x:v>RS-00041</x:v>
      </x:c>
      <x:c r="C42" s="8" t="n">
        <x:v>45304</x:v>
      </x:c>
      <x:c r="D42" s="4" t="str">
        <x:v>Sales operations manager</x:v>
      </x:c>
      <x:c r="E42" s="4" t="str">
        <x:v>WhatsApp transcribed</x:v>
      </x:c>
      <x:c r="F42" s="4" t="str">
        <x:v>Record captured</x:v>
      </x:c>
      <x:c r="G42" s="4" t="str">
        <x:v>Agreement signed</x:v>
      </x:c>
    </x:row>
    <x:row r="43" ht="34" customHeight="1">
      <x:c r="A43" s="4" t="str">
        <x:v>RS-00042-E1</x:v>
      </x:c>
      <x:c r="B43" s="4" t="str">
        <x:v>RS-00042</x:v>
      </x:c>
      <x:c r="C43" s="8" t="n">
        <x:v>45305</x:v>
      </x:c>
      <x:c r="D43" s="4" t="str">
        <x:v>Sales operations manager</x:v>
      </x:c>
      <x:c r="E43" s="4" t="str">
        <x:v>Paper transcribed</x:v>
      </x:c>
      <x:c r="F43" s="4" t="str">
        <x:v>Record captured</x:v>
      </x:c>
      <x:c r="G43" s="4" t="str">
        <x:v>Handed over</x:v>
      </x:c>
    </x:row>
    <x:row r="44" ht="34" customHeight="1">
      <x:c r="A44" s="4" t="str">
        <x:v>RS-00043-E1</x:v>
      </x:c>
      <x:c r="B44" s="4" t="str">
        <x:v>RS-00043</x:v>
      </x:c>
      <x:c r="C44" s="8" t="n">
        <x:v>45306</x:v>
      </x:c>
      <x:c r="D44" s="4" t="str">
        <x:v>Sales operations manager</x:v>
      </x:c>
      <x:c r="E44" s="4" t="str">
        <x:v>Paper transcribed</x:v>
      </x:c>
      <x:c r="F44" s="4" t="str">
        <x:v>Record captured</x:v>
      </x:c>
      <x:c r="G44" s="4" t="str">
        <x:v>Handed over</x:v>
      </x:c>
    </x:row>
    <x:row r="45" ht="34" customHeight="1">
      <x:c r="A45" s="4" t="str">
        <x:v>RS-00044-E1</x:v>
      </x:c>
      <x:c r="B45" s="4" t="str">
        <x:v>RS-00044</x:v>
      </x:c>
      <x:c r="C45" s="8" t="n">
        <x:v>45307</x:v>
      </x:c>
      <x:c r="D45" s="4" t="str">
        <x:v>Sales operations manager</x:v>
      </x:c>
      <x:c r="E45" s="4" t="str">
        <x:v>Spreadsheet import</x:v>
      </x:c>
      <x:c r="F45" s="4" t="str">
        <x:v>Record captured</x:v>
      </x:c>
      <x:c r="G45" s="4" t="str">
        <x:v>Cancelled</x:v>
      </x:c>
    </x:row>
    <x:row r="46" ht="34" customHeight="1">
      <x:c r="A46" s="4" t="str">
        <x:v>RS-00045-E1</x:v>
      </x:c>
      <x:c r="B46" s="4" t="str">
        <x:v>RS-00045</x:v>
      </x:c>
      <x:c r="C46" s="8" t="n">
        <x:v>45308</x:v>
      </x:c>
      <x:c r="D46" s="4" t="str">
        <x:v>Sales operations manager</x:v>
      </x:c>
      <x:c r="E46" s="4" t="str">
        <x:v>WhatsApp transcribed</x:v>
      </x:c>
      <x:c r="F46" s="4" t="str">
        <x:v>Record captured</x:v>
      </x:c>
      <x:c r="G46" s="4" t="str">
        <x:v>Enquiry</x:v>
      </x:c>
    </x:row>
    <x:row r="47" ht="34" customHeight="1">
      <x:c r="A47" s="4" t="str">
        <x:v>RS-00046-E1</x:v>
      </x:c>
      <x:c r="B47" s="4" t="str">
        <x:v>RS-00046</x:v>
      </x:c>
      <x:c r="C47" s="8" t="n">
        <x:v>45309</x:v>
      </x:c>
      <x:c r="D47" s="4" t="str">
        <x:v>Sales operations manager</x:v>
      </x:c>
      <x:c r="E47" s="4" t="str">
        <x:v>ERP form</x:v>
      </x:c>
      <x:c r="F47" s="4" t="str">
        <x:v>Record captured</x:v>
      </x:c>
      <x:c r="G47" s="4" t="str">
        <x:v>Cancelled</x:v>
      </x:c>
    </x:row>
    <x:row r="48" ht="34" customHeight="1">
      <x:c r="A48" s="4" t="str">
        <x:v>RS-00047-E1</x:v>
      </x:c>
      <x:c r="B48" s="4" t="str">
        <x:v>RS-00047</x:v>
      </x:c>
      <x:c r="C48" s="8" t="n">
        <x:v>45310</x:v>
      </x:c>
      <x:c r="D48" s="4" t="str">
        <x:v>Sales operations manager</x:v>
      </x:c>
      <x:c r="E48" s="4" t="str">
        <x:v>Spreadsheet import</x:v>
      </x:c>
      <x:c r="F48" s="4" t="str">
        <x:v>Record captured</x:v>
      </x:c>
      <x:c r="G48" s="4" t="str">
        <x:v>Agreement signed</x:v>
      </x:c>
    </x:row>
    <x:row r="49" ht="34" customHeight="1">
      <x:c r="A49" s="4" t="str">
        <x:v>RS-00048-E1</x:v>
      </x:c>
      <x:c r="B49" s="4" t="str">
        <x:v>RS-00048</x:v>
      </x:c>
      <x:c r="C49" s="8" t="n">
        <x:v>45311</x:v>
      </x:c>
      <x:c r="D49" s="4" t="str">
        <x:v>Sales operations manager</x:v>
      </x:c>
      <x:c r="E49" s="4" t="str">
        <x:v>Spreadsheet import</x:v>
      </x:c>
      <x:c r="F49" s="4" t="str">
        <x:v>Record captured</x:v>
      </x:c>
      <x:c r="G49" s="4" t="str">
        <x:v>Cancelled</x:v>
      </x:c>
    </x:row>
    <x:row r="50" ht="34" customHeight="1">
      <x:c r="A50" s="4" t="str">
        <x:v>RS-00049-E1</x:v>
      </x:c>
      <x:c r="B50" s="4" t="str">
        <x:v>RS-00049</x:v>
      </x:c>
      <x:c r="C50" s="8" t="n">
        <x:v>45312</x:v>
      </x:c>
      <x:c r="D50" s="4" t="str">
        <x:v>Sales operations manager</x:v>
      </x:c>
      <x:c r="E50" s="4" t="str">
        <x:v>Spreadsheet import</x:v>
      </x:c>
      <x:c r="F50" s="4" t="str">
        <x:v>Record captured</x:v>
      </x:c>
      <x:c r="G50" s="4" t="str">
        <x:v>Enquiry</x:v>
      </x:c>
    </x:row>
    <x:row r="51" ht="34" customHeight="1">
      <x:c r="A51" s="4" t="str">
        <x:v>RS-00050-E1</x:v>
      </x:c>
      <x:c r="B51" s="4" t="str">
        <x:v>RS-00050</x:v>
      </x:c>
      <x:c r="C51" s="8" t="n">
        <x:v>45313</x:v>
      </x:c>
      <x:c r="D51" s="4" t="str">
        <x:v>Sales operations manager</x:v>
      </x:c>
      <x:c r="E51" s="4" t="str">
        <x:v>WhatsApp transcribed</x:v>
      </x:c>
      <x:c r="F51" s="4" t="str">
        <x:v>Record captured</x:v>
      </x:c>
      <x:c r="G51" s="4" t="str">
        <x:v>Enquiry</x:v>
      </x:c>
    </x:row>
    <x:row r="52" ht="34" customHeight="1">
      <x:c r="A52" s="4" t="str">
        <x:v>RS-00051-E1</x:v>
      </x:c>
      <x:c r="B52" s="4" t="str">
        <x:v>RS-00051</x:v>
      </x:c>
      <x:c r="C52" s="8" t="n">
        <x:v>45314</x:v>
      </x:c>
      <x:c r="D52" s="4" t="str">
        <x:v>Sales operations manager</x:v>
      </x:c>
      <x:c r="E52" s="4" t="str">
        <x:v>WhatsApp transcribed</x:v>
      </x:c>
      <x:c r="F52" s="4" t="str">
        <x:v>Record captured</x:v>
      </x:c>
      <x:c r="G52" s="4" t="str">
        <x:v>Handed over</x:v>
      </x:c>
    </x:row>
    <x:row r="53" ht="34" customHeight="1">
      <x:c r="A53" s="4" t="str">
        <x:v>RS-00052-E1</x:v>
      </x:c>
      <x:c r="B53" s="4" t="str">
        <x:v>RS-00052</x:v>
      </x:c>
      <x:c r="C53" s="8" t="n">
        <x:v>45315</x:v>
      </x:c>
      <x:c r="D53" s="4" t="str">
        <x:v>Sales operations manager</x:v>
      </x:c>
      <x:c r="E53" s="4" t="str">
        <x:v>Paper transcribed</x:v>
      </x:c>
      <x:c r="F53" s="4" t="str">
        <x:v>Record captured</x:v>
      </x:c>
      <x:c r="G53" s="4" t="str">
        <x:v>Agreement signed</x:v>
      </x:c>
    </x:row>
    <x:row r="54" ht="34" customHeight="1">
      <x:c r="A54" s="4" t="str">
        <x:v>RS-00053-E1</x:v>
      </x:c>
      <x:c r="B54" s="4" t="str">
        <x:v>RS-00053</x:v>
      </x:c>
      <x:c r="C54" s="8" t="n">
        <x:v>45316</x:v>
      </x:c>
      <x:c r="D54" s="4" t="str">
        <x:v>Sales operations manager</x:v>
      </x:c>
      <x:c r="E54" s="4" t="str">
        <x:v>ERP form</x:v>
      </x:c>
      <x:c r="F54" s="4" t="str">
        <x:v>Record captured</x:v>
      </x:c>
      <x:c r="G54" s="4" t="str">
        <x:v>Booked</x:v>
      </x:c>
    </x:row>
    <x:row r="55" ht="34" customHeight="1">
      <x:c r="A55" s="4" t="str">
        <x:v>RS-00054-E1</x:v>
      </x:c>
      <x:c r="B55" s="4" t="str">
        <x:v>RS-00054</x:v>
      </x:c>
      <x:c r="C55" s="8" t="n">
        <x:v>45317</x:v>
      </x:c>
      <x:c r="D55" s="4" t="str">
        <x:v>Sales operations manager</x:v>
      </x:c>
      <x:c r="E55" s="4" t="str">
        <x:v>Paper transcribed</x:v>
      </x:c>
      <x:c r="F55" s="4" t="str">
        <x:v>Record captured</x:v>
      </x:c>
      <x:c r="G55" s="4" t="str">
        <x:v>Booked</x:v>
      </x:c>
    </x:row>
    <x:row r="56" ht="34" customHeight="1">
      <x:c r="A56" s="4" t="str">
        <x:v>RS-00055-E1</x:v>
      </x:c>
      <x:c r="B56" s="4" t="str">
        <x:v>RS-00055</x:v>
      </x:c>
      <x:c r="C56" s="8" t="n">
        <x:v>45318</x:v>
      </x:c>
      <x:c r="D56" s="4" t="str">
        <x:v>Sales operations manager</x:v>
      </x:c>
      <x:c r="E56" s="4" t="str">
        <x:v>WhatsApp transcribed</x:v>
      </x:c>
      <x:c r="F56" s="4" t="str">
        <x:v>Record captured</x:v>
      </x:c>
      <x:c r="G56" s="4" t="str">
        <x:v>Agreement signed</x:v>
      </x:c>
    </x:row>
    <x:row r="57" ht="34" customHeight="1">
      <x:c r="A57" s="4" t="str">
        <x:v>RS-00056-E1</x:v>
      </x:c>
      <x:c r="B57" s="4" t="str">
        <x:v>RS-00056</x:v>
      </x:c>
      <x:c r="C57" s="8" t="n">
        <x:v>45319</x:v>
      </x:c>
      <x:c r="D57" s="4" t="str">
        <x:v>Sales operations manager</x:v>
      </x:c>
      <x:c r="E57" s="4" t="str">
        <x:v>WhatsApp transcribed</x:v>
      </x:c>
      <x:c r="F57" s="4" t="str">
        <x:v>Record captured</x:v>
      </x:c>
      <x:c r="G57" s="4" t="str">
        <x:v>Agreement signed</x:v>
      </x:c>
    </x:row>
    <x:row r="58" ht="34" customHeight="1">
      <x:c r="A58" s="4" t="str">
        <x:v>RS-00057-E1</x:v>
      </x:c>
      <x:c r="B58" s="4" t="str">
        <x:v>RS-00057</x:v>
      </x:c>
      <x:c r="C58" s="8" t="n">
        <x:v>45292</x:v>
      </x:c>
      <x:c r="D58" s="4" t="str">
        <x:v>Sales operations manager</x:v>
      </x:c>
      <x:c r="E58" s="4" t="str">
        <x:v>WhatsApp transcribed</x:v>
      </x:c>
      <x:c r="F58" s="4" t="str">
        <x:v>Record captured</x:v>
      </x:c>
      <x:c r="G58" s="4" t="str">
        <x:v>Handed over</x:v>
      </x:c>
    </x:row>
    <x:row r="59" ht="34" customHeight="1">
      <x:c r="A59" s="4" t="str">
        <x:v>RS-00058-E1</x:v>
      </x:c>
      <x:c r="B59" s="4" t="str">
        <x:v>RS-00058</x:v>
      </x:c>
      <x:c r="C59" s="8" t="n">
        <x:v>45293</x:v>
      </x:c>
      <x:c r="D59" s="4" t="str">
        <x:v>Sales operations manager</x:v>
      </x:c>
      <x:c r="E59" s="4" t="str">
        <x:v>WhatsApp transcribed</x:v>
      </x:c>
      <x:c r="F59" s="4" t="str">
        <x:v>Record captured</x:v>
      </x:c>
      <x:c r="G59" s="4" t="str">
        <x:v>Booked</x:v>
      </x:c>
    </x:row>
    <x:row r="60" ht="34" customHeight="1">
      <x:c r="A60" s="4" t="str">
        <x:v>RS-00059-E1</x:v>
      </x:c>
      <x:c r="B60" s="4" t="str">
        <x:v>RS-00059</x:v>
      </x:c>
      <x:c r="C60" s="8" t="n">
        <x:v>45294</x:v>
      </x:c>
      <x:c r="D60" s="4" t="str">
        <x:v>Sales operations manager</x:v>
      </x:c>
      <x:c r="E60" s="4" t="str">
        <x:v>Paper transcribed</x:v>
      </x:c>
      <x:c r="F60" s="4" t="str">
        <x:v>Record captured</x:v>
      </x:c>
      <x:c r="G60" s="4" t="str">
        <x:v>Cancelled</x:v>
      </x:c>
    </x:row>
    <x:row r="61" ht="34" customHeight="1">
      <x:c r="A61" s="4" t="str">
        <x:v>RS-00060-E1</x:v>
      </x:c>
      <x:c r="B61" s="4" t="str">
        <x:v>RS-00060</x:v>
      </x:c>
      <x:c r="C61" s="8" t="n">
        <x:v>45295</x:v>
      </x:c>
      <x:c r="D61" s="4" t="str">
        <x:v>Sales operations manager</x:v>
      </x:c>
      <x:c r="E61" s="4" t="str">
        <x:v>Spreadsheet import</x:v>
      </x:c>
      <x:c r="F61" s="4" t="str">
        <x:v>Record captured</x:v>
      </x:c>
      <x:c r="G61" s="4" t="str">
        <x:v>Cancelled</x:v>
      </x:c>
    </x:row>
    <x:row r="62" ht="34" customHeight="1">
      <x:c r="A62" s="4" t="str">
        <x:v>RS-00061-E1</x:v>
      </x:c>
      <x:c r="B62" s="4" t="str">
        <x:v>RS-00061</x:v>
      </x:c>
      <x:c r="C62" s="8" t="n">
        <x:v>45296</x:v>
      </x:c>
      <x:c r="D62" s="4" t="str">
        <x:v>Sales operations manager</x:v>
      </x:c>
      <x:c r="E62" s="4" t="str">
        <x:v>Spreadsheet import</x:v>
      </x:c>
      <x:c r="F62" s="4" t="str">
        <x:v>Record captured</x:v>
      </x:c>
      <x:c r="G62" s="4" t="str">
        <x:v>Enquiry</x:v>
      </x:c>
    </x:row>
    <x:row r="63" ht="34" customHeight="1">
      <x:c r="A63" s="4" t="str">
        <x:v>RS-00062-E1</x:v>
      </x:c>
      <x:c r="B63" s="4" t="str">
        <x:v>RS-00062</x:v>
      </x:c>
      <x:c r="C63" s="8" t="n">
        <x:v>45297</x:v>
      </x:c>
      <x:c r="D63" s="4" t="str">
        <x:v>Sales operations manager</x:v>
      </x:c>
      <x:c r="E63" s="4" t="str">
        <x:v>Spreadsheet import</x:v>
      </x:c>
      <x:c r="F63" s="4" t="str">
        <x:v>Record captured</x:v>
      </x:c>
      <x:c r="G63" s="4" t="str">
        <x:v>Reserved</x:v>
      </x:c>
    </x:row>
    <x:row r="64" ht="34" customHeight="1">
      <x:c r="A64" s="4" t="str">
        <x:v>RS-00063-E1</x:v>
      </x:c>
      <x:c r="B64" s="4" t="str">
        <x:v>RS-00063</x:v>
      </x:c>
      <x:c r="C64" s="8" t="n">
        <x:v>45298</x:v>
      </x:c>
      <x:c r="D64" s="4" t="str">
        <x:v>Sales operations manager</x:v>
      </x:c>
      <x:c r="E64" s="4" t="str">
        <x:v>Paper transcribed</x:v>
      </x:c>
      <x:c r="F64" s="4" t="str">
        <x:v>Record captured</x:v>
      </x:c>
      <x:c r="G64" s="4" t="str">
        <x:v>Enquiry</x:v>
      </x:c>
    </x:row>
    <x:row r="65" ht="34" customHeight="1">
      <x:c r="A65" s="4" t="str">
        <x:v>RS-00064-E1</x:v>
      </x:c>
      <x:c r="B65" s="4" t="str">
        <x:v>RS-00064</x:v>
      </x:c>
      <x:c r="C65" s="8" t="n">
        <x:v>45299</x:v>
      </x:c>
      <x:c r="D65" s="4" t="str">
        <x:v>Sales operations manager</x:v>
      </x:c>
      <x:c r="E65" s="4" t="str">
        <x:v>ERP form</x:v>
      </x:c>
      <x:c r="F65" s="4" t="str">
        <x:v>Record captured</x:v>
      </x:c>
      <x:c r="G65" s="4" t="str">
        <x:v>Enquiry</x:v>
      </x:c>
    </x:row>
    <x:row r="66" ht="34" customHeight="1">
      <x:c r="A66" s="4" t="str">
        <x:v>RS-00065-E1</x:v>
      </x:c>
      <x:c r="B66" s="4" t="str">
        <x:v>RS-00065</x:v>
      </x:c>
      <x:c r="C66" s="8" t="n">
        <x:v>45300</x:v>
      </x:c>
      <x:c r="D66" s="4" t="str">
        <x:v>Sales operations manager</x:v>
      </x:c>
      <x:c r="E66" s="4" t="str">
        <x:v>ERP form</x:v>
      </x:c>
      <x:c r="F66" s="4" t="str">
        <x:v>Record captured</x:v>
      </x:c>
      <x:c r="G66" s="4" t="str">
        <x:v>Handed over</x:v>
      </x:c>
    </x:row>
    <x:row r="67" ht="34" customHeight="1">
      <x:c r="A67" s="4" t="str">
        <x:v>RS-00066-E1</x:v>
      </x:c>
      <x:c r="B67" s="4" t="str">
        <x:v>RS-00066</x:v>
      </x:c>
      <x:c r="C67" s="8" t="n">
        <x:v>45301</x:v>
      </x:c>
      <x:c r="D67" s="4" t="str">
        <x:v>Sales operations manager</x:v>
      </x:c>
      <x:c r="E67" s="4" t="str">
        <x:v>WhatsApp transcribed</x:v>
      </x:c>
      <x:c r="F67" s="4" t="str">
        <x:v>Record captured</x:v>
      </x:c>
      <x:c r="G67" s="4" t="str">
        <x:v>Booked</x:v>
      </x:c>
    </x:row>
    <x:row r="68" ht="34" customHeight="1">
      <x:c r="A68" s="4" t="str">
        <x:v>RS-00067-E1</x:v>
      </x:c>
      <x:c r="B68" s="4" t="str">
        <x:v>RS-00067</x:v>
      </x:c>
      <x:c r="C68" s="8" t="n">
        <x:v>45302</x:v>
      </x:c>
      <x:c r="D68" s="4" t="str">
        <x:v>Sales operations manager</x:v>
      </x:c>
      <x:c r="E68" s="4" t="str">
        <x:v>WhatsApp transcribed</x:v>
      </x:c>
      <x:c r="F68" s="4" t="str">
        <x:v>Record captured</x:v>
      </x:c>
      <x:c r="G68" s="4" t="str">
        <x:v>Enquiry</x:v>
      </x:c>
    </x:row>
    <x:row r="69" ht="34" customHeight="1">
      <x:c r="A69" s="4" t="str">
        <x:v>RS-00068-E1</x:v>
      </x:c>
      <x:c r="B69" s="4" t="str">
        <x:v>RS-00068</x:v>
      </x:c>
      <x:c r="C69" s="8" t="n">
        <x:v>45303</x:v>
      </x:c>
      <x:c r="D69" s="4" t="str">
        <x:v>Sales operations manager</x:v>
      </x:c>
      <x:c r="E69" s="4" t="str">
        <x:v>WhatsApp transcribed</x:v>
      </x:c>
      <x:c r="F69" s="4" t="str">
        <x:v>Record captured</x:v>
      </x:c>
      <x:c r="G69" s="4" t="str">
        <x:v>Cancelled</x:v>
      </x:c>
    </x:row>
    <x:row r="70" ht="34" customHeight="1">
      <x:c r="A70" s="4" t="str">
        <x:v>RS-00069-E1</x:v>
      </x:c>
      <x:c r="B70" s="4" t="str">
        <x:v>RS-00069</x:v>
      </x:c>
      <x:c r="C70" s="8" t="n">
        <x:v>45304</x:v>
      </x:c>
      <x:c r="D70" s="4" t="str">
        <x:v>Sales operations manager</x:v>
      </x:c>
      <x:c r="E70" s="4" t="str">
        <x:v>ERP form</x:v>
      </x:c>
      <x:c r="F70" s="4" t="str">
        <x:v>Record captured</x:v>
      </x:c>
      <x:c r="G70" s="4" t="str">
        <x:v>Handed over</x:v>
      </x:c>
    </x:row>
    <x:row r="71" ht="34" customHeight="1">
      <x:c r="A71" s="4" t="str">
        <x:v>RS-00070-E1</x:v>
      </x:c>
      <x:c r="B71" s="4" t="str">
        <x:v>RS-00070</x:v>
      </x:c>
      <x:c r="C71" s="8" t="n">
        <x:v>45305</x:v>
      </x:c>
      <x:c r="D71" s="4" t="str">
        <x:v>Sales operations manager</x:v>
      </x:c>
      <x:c r="E71" s="4" t="str">
        <x:v>Spreadsheet import</x:v>
      </x:c>
      <x:c r="F71" s="4" t="str">
        <x:v>Record captured</x:v>
      </x:c>
      <x:c r="G71" s="4" t="str">
        <x:v>Enquiry</x:v>
      </x:c>
    </x:row>
    <x:row r="72" ht="34" customHeight="1">
      <x:c r="A72" s="4" t="str">
        <x:v>RS-00071-E1</x:v>
      </x:c>
      <x:c r="B72" s="4" t="str">
        <x:v>RS-00071</x:v>
      </x:c>
      <x:c r="C72" s="8" t="n">
        <x:v>45306</x:v>
      </x:c>
      <x:c r="D72" s="4" t="str">
        <x:v>Sales operations manager</x:v>
      </x:c>
      <x:c r="E72" s="4" t="str">
        <x:v>Spreadsheet import</x:v>
      </x:c>
      <x:c r="F72" s="4" t="str">
        <x:v>Record captured</x:v>
      </x:c>
      <x:c r="G72" s="4" t="str">
        <x:v>Enquiry</x:v>
      </x:c>
    </x:row>
    <x:row r="73" ht="34" customHeight="1">
      <x:c r="A73" s="4" t="str">
        <x:v>RS-00072-E1</x:v>
      </x:c>
      <x:c r="B73" s="4" t="str">
        <x:v>RS-00072</x:v>
      </x:c>
      <x:c r="C73" s="8" t="n">
        <x:v>45307</x:v>
      </x:c>
      <x:c r="D73" s="4" t="str">
        <x:v>Sales operations manager</x:v>
      </x:c>
      <x:c r="E73" s="4" t="str">
        <x:v>WhatsApp transcribed</x:v>
      </x:c>
      <x:c r="F73" s="4" t="str">
        <x:v>Record captured</x:v>
      </x:c>
      <x:c r="G73" s="4" t="str">
        <x:v>Cancelled</x:v>
      </x:c>
    </x:row>
    <x:row r="74" ht="34" customHeight="1">
      <x:c r="A74" s="4" t="str">
        <x:v>RS-00073-E1</x:v>
      </x:c>
      <x:c r="B74" s="4" t="str">
        <x:v>RS-00073</x:v>
      </x:c>
      <x:c r="C74" s="8" t="n">
        <x:v>45308</x:v>
      </x:c>
      <x:c r="D74" s="4" t="str">
        <x:v>Sales operations manager</x:v>
      </x:c>
      <x:c r="E74" s="4" t="str">
        <x:v>ERP form</x:v>
      </x:c>
      <x:c r="F74" s="4" t="str">
        <x:v>Record captured</x:v>
      </x:c>
      <x:c r="G74" s="4" t="str">
        <x:v>Handed over</x:v>
      </x:c>
    </x:row>
    <x:row r="75" ht="34" customHeight="1">
      <x:c r="A75" s="4" t="str">
        <x:v>RS-00074-E1</x:v>
      </x:c>
      <x:c r="B75" s="4" t="str">
        <x:v>RS-00074</x:v>
      </x:c>
      <x:c r="C75" s="8" t="n">
        <x:v>45309</x:v>
      </x:c>
      <x:c r="D75" s="4" t="str">
        <x:v>Sales operations manager</x:v>
      </x:c>
      <x:c r="E75" s="4" t="str">
        <x:v>Spreadsheet import</x:v>
      </x:c>
      <x:c r="F75" s="4" t="str">
        <x:v>Record captured</x:v>
      </x:c>
      <x:c r="G75" s="4" t="str">
        <x:v>Enquiry</x:v>
      </x:c>
    </x:row>
    <x:row r="76" ht="34" customHeight="1">
      <x:c r="A76" s="4" t="str">
        <x:v>RS-00075-E1</x:v>
      </x:c>
      <x:c r="B76" s="4" t="str">
        <x:v>RS-00075</x:v>
      </x:c>
      <x:c r="C76" s="8" t="n">
        <x:v>45310</x:v>
      </x:c>
      <x:c r="D76" s="4" t="str">
        <x:v>Sales operations manager</x:v>
      </x:c>
      <x:c r="E76" s="4" t="str">
        <x:v>ERP form</x:v>
      </x:c>
      <x:c r="F76" s="4" t="str">
        <x:v>Record captured</x:v>
      </x:c>
      <x:c r="G76" s="4" t="str">
        <x:v>Enquiry</x:v>
      </x:c>
    </x:row>
    <x:row r="77" ht="34" customHeight="1">
      <x:c r="A77" s="4" t="str">
        <x:v>RS-00076-E1</x:v>
      </x:c>
      <x:c r="B77" s="4" t="str">
        <x:v>RS-00076</x:v>
      </x:c>
      <x:c r="C77" s="8" t="n">
        <x:v>45311</x:v>
      </x:c>
      <x:c r="D77" s="4" t="str">
        <x:v>Sales operations manager</x:v>
      </x:c>
      <x:c r="E77" s="4" t="str">
        <x:v>Paper transcribed</x:v>
      </x:c>
      <x:c r="F77" s="4" t="str">
        <x:v>Record captured</x:v>
      </x:c>
      <x:c r="G77" s="4" t="str">
        <x:v>Booked</x:v>
      </x:c>
    </x:row>
    <x:row r="78" ht="34" customHeight="1">
      <x:c r="A78" s="4" t="str">
        <x:v>RS-00077-E1</x:v>
      </x:c>
      <x:c r="B78" s="4" t="str">
        <x:v>RS-00077</x:v>
      </x:c>
      <x:c r="C78" s="8" t="n">
        <x:v>45312</x:v>
      </x:c>
      <x:c r="D78" s="4" t="str">
        <x:v>Sales operations manager</x:v>
      </x:c>
      <x:c r="E78" s="4" t="str">
        <x:v>ERP form</x:v>
      </x:c>
      <x:c r="F78" s="4" t="str">
        <x:v>Record captured</x:v>
      </x:c>
      <x:c r="G78" s="4" t="str">
        <x:v>Reserved</x:v>
      </x:c>
    </x:row>
    <x:row r="79" ht="34" customHeight="1">
      <x:c r="A79" s="4" t="str">
        <x:v>RS-00078-E1</x:v>
      </x:c>
      <x:c r="B79" s="4" t="str">
        <x:v>RS-00078</x:v>
      </x:c>
      <x:c r="C79" s="8" t="n">
        <x:v>45313</x:v>
      </x:c>
      <x:c r="D79" s="4" t="str">
        <x:v>Sales operations manager</x:v>
      </x:c>
      <x:c r="E79" s="4" t="str">
        <x:v>Paper transcribed</x:v>
      </x:c>
      <x:c r="F79" s="4" t="str">
        <x:v>Record captured</x:v>
      </x:c>
      <x:c r="G79" s="4" t="str">
        <x:v>Agreement signed</x:v>
      </x:c>
    </x:row>
    <x:row r="80" ht="34" customHeight="1">
      <x:c r="A80" s="4" t="str">
        <x:v>RS-00079-E1</x:v>
      </x:c>
      <x:c r="B80" s="4" t="str">
        <x:v>RS-00079</x:v>
      </x:c>
      <x:c r="C80" s="8" t="n">
        <x:v>45314</x:v>
      </x:c>
      <x:c r="D80" s="4" t="str">
        <x:v>Sales operations manager</x:v>
      </x:c>
      <x:c r="E80" s="4" t="str">
        <x:v>Spreadsheet import</x:v>
      </x:c>
      <x:c r="F80" s="4" t="str">
        <x:v>Record captured</x:v>
      </x:c>
      <x:c r="G80" s="4" t="str">
        <x:v>Cancelled</x:v>
      </x:c>
    </x:row>
    <x:row r="81" ht="34" customHeight="1">
      <x:c r="A81" s="4" t="str">
        <x:v>RS-00080-E1</x:v>
      </x:c>
      <x:c r="B81" s="4" t="str">
        <x:v>RS-00080</x:v>
      </x:c>
      <x:c r="C81" s="8" t="n">
        <x:v>45315</x:v>
      </x:c>
      <x:c r="D81" s="4" t="str">
        <x:v>Sales operations manager</x:v>
      </x:c>
      <x:c r="E81" s="4" t="str">
        <x:v>ERP form</x:v>
      </x:c>
      <x:c r="F81" s="4" t="str">
        <x:v>Record captured</x:v>
      </x:c>
      <x:c r="G81" s="4" t="str">
        <x:v>Cancelled</x:v>
      </x:c>
    </x:row>
    <x:row r="82" ht="34" customHeight="1">
      <x:c r="A82" s="4" t="str">
        <x:v>RS-00081-E1</x:v>
      </x:c>
      <x:c r="B82" s="4" t="str">
        <x:v>RS-00081</x:v>
      </x:c>
      <x:c r="C82" s="8" t="n">
        <x:v>45316</x:v>
      </x:c>
      <x:c r="D82" s="4" t="str">
        <x:v>Sales operations manager</x:v>
      </x:c>
      <x:c r="E82" s="4" t="str">
        <x:v>Spreadsheet import</x:v>
      </x:c>
      <x:c r="F82" s="4" t="str">
        <x:v>Record captured</x:v>
      </x:c>
      <x:c r="G82" s="4" t="str">
        <x:v>Reserved</x:v>
      </x:c>
    </x:row>
    <x:row r="83" ht="34" customHeight="1">
      <x:c r="A83" s="4" t="str">
        <x:v>RS-00082-E1</x:v>
      </x:c>
      <x:c r="B83" s="4" t="str">
        <x:v>RS-00082</x:v>
      </x:c>
      <x:c r="C83" s="8" t="n">
        <x:v>45317</x:v>
      </x:c>
      <x:c r="D83" s="4" t="str">
        <x:v>Sales operations manager</x:v>
      </x:c>
      <x:c r="E83" s="4" t="str">
        <x:v>Paper transcribed</x:v>
      </x:c>
      <x:c r="F83" s="4" t="str">
        <x:v>Record captured</x:v>
      </x:c>
      <x:c r="G83" s="4" t="str">
        <x:v>Handed over</x:v>
      </x:c>
    </x:row>
    <x:row r="84" ht="34" customHeight="1">
      <x:c r="A84" s="4" t="str">
        <x:v>RS-00083-E1</x:v>
      </x:c>
      <x:c r="B84" s="4" t="str">
        <x:v>RS-00083</x:v>
      </x:c>
      <x:c r="C84" s="8" t="n">
        <x:v>45318</x:v>
      </x:c>
      <x:c r="D84" s="4" t="str">
        <x:v>Sales operations manager</x:v>
      </x:c>
      <x:c r="E84" s="4" t="str">
        <x:v>WhatsApp transcribed</x:v>
      </x:c>
      <x:c r="F84" s="4" t="str">
        <x:v>Record captured</x:v>
      </x:c>
      <x:c r="G84" s="4" t="str">
        <x:v>Reserved</x:v>
      </x:c>
    </x:row>
    <x:row r="85" ht="34" customHeight="1">
      <x:c r="A85" s="4" t="str">
        <x:v>RS-00084-E1</x:v>
      </x:c>
      <x:c r="B85" s="4" t="str">
        <x:v>RS-00084</x:v>
      </x:c>
      <x:c r="C85" s="8" t="n">
        <x:v>45319</x:v>
      </x:c>
      <x:c r="D85" s="4" t="str">
        <x:v>Sales operations manager</x:v>
      </x:c>
      <x:c r="E85" s="4" t="str">
        <x:v>ERP form</x:v>
      </x:c>
      <x:c r="F85" s="4" t="str">
        <x:v>Record captured</x:v>
      </x:c>
      <x:c r="G85" s="4" t="str">
        <x:v>Reserved</x:v>
      </x:c>
    </x:row>
    <x:row r="86" ht="34" customHeight="1">
      <x:c r="A86" s="4" t="str">
        <x:v>RS-00085-E1</x:v>
      </x:c>
      <x:c r="B86" s="4" t="str">
        <x:v>RS-00085</x:v>
      </x:c>
      <x:c r="C86" s="8" t="n">
        <x:v>45292</x:v>
      </x:c>
      <x:c r="D86" s="4" t="str">
        <x:v>Sales operations manager</x:v>
      </x:c>
      <x:c r="E86" s="4" t="str">
        <x:v>ERP form</x:v>
      </x:c>
      <x:c r="F86" s="4" t="str">
        <x:v>Record captured</x:v>
      </x:c>
      <x:c r="G86" s="4" t="str">
        <x:v>Agreement signed</x:v>
      </x:c>
    </x:row>
    <x:row r="87" ht="34" customHeight="1">
      <x:c r="A87" s="4" t="str">
        <x:v>RS-00086-E1</x:v>
      </x:c>
      <x:c r="B87" s="4" t="str">
        <x:v>RS-00086</x:v>
      </x:c>
      <x:c r="C87" s="8" t="n">
        <x:v>45293</x:v>
      </x:c>
      <x:c r="D87" s="4" t="str">
        <x:v>Sales operations manager</x:v>
      </x:c>
      <x:c r="E87" s="4" t="str">
        <x:v>WhatsApp transcribed</x:v>
      </x:c>
      <x:c r="F87" s="4" t="str">
        <x:v>Record captured</x:v>
      </x:c>
      <x:c r="G87" s="4" t="str">
        <x:v>Booked</x:v>
      </x:c>
    </x:row>
    <x:row r="88" ht="34" customHeight="1">
      <x:c r="A88" s="4" t="str">
        <x:v>RS-00087-E1</x:v>
      </x:c>
      <x:c r="B88" s="4" t="str">
        <x:v>RS-00087</x:v>
      </x:c>
      <x:c r="C88" s="8" t="n">
        <x:v>45294</x:v>
      </x:c>
      <x:c r="D88" s="4" t="str">
        <x:v>Sales operations manager</x:v>
      </x:c>
      <x:c r="E88" s="4" t="str">
        <x:v>WhatsApp transcribed</x:v>
      </x:c>
      <x:c r="F88" s="4" t="str">
        <x:v>Record captured</x:v>
      </x:c>
      <x:c r="G88" s="4" t="str">
        <x:v>Reserved</x:v>
      </x:c>
    </x:row>
    <x:row r="89" ht="34" customHeight="1">
      <x:c r="A89" s="4" t="str">
        <x:v>RS-00088-E1</x:v>
      </x:c>
      <x:c r="B89" s="4" t="str">
        <x:v>RS-00088</x:v>
      </x:c>
      <x:c r="C89" s="8" t="n">
        <x:v>45295</x:v>
      </x:c>
      <x:c r="D89" s="4" t="str">
        <x:v>Sales operations manager</x:v>
      </x:c>
      <x:c r="E89" s="4" t="str">
        <x:v>WhatsApp transcribed</x:v>
      </x:c>
      <x:c r="F89" s="4" t="str">
        <x:v>Record captured</x:v>
      </x:c>
      <x:c r="G89" s="4" t="str">
        <x:v>Agreement signed</x:v>
      </x:c>
    </x:row>
    <x:row r="90" ht="34" customHeight="1">
      <x:c r="A90" s="4" t="str">
        <x:v>RS-00089-E1</x:v>
      </x:c>
      <x:c r="B90" s="4" t="str">
        <x:v>RS-00089</x:v>
      </x:c>
      <x:c r="C90" s="8" t="n">
        <x:v>45296</x:v>
      </x:c>
      <x:c r="D90" s="4" t="str">
        <x:v>Sales operations manager</x:v>
      </x:c>
      <x:c r="E90" s="4" t="str">
        <x:v>WhatsApp transcribed</x:v>
      </x:c>
      <x:c r="F90" s="4" t="str">
        <x:v>Record captured</x:v>
      </x:c>
      <x:c r="G90" s="4" t="str">
        <x:v>Enquiry</x:v>
      </x:c>
    </x:row>
    <x:row r="91" ht="34" customHeight="1">
      <x:c r="A91" s="4" t="str">
        <x:v>RS-00090-E1</x:v>
      </x:c>
      <x:c r="B91" s="4" t="str">
        <x:v>RS-00090</x:v>
      </x:c>
      <x:c r="C91" s="8" t="n">
        <x:v>45297</x:v>
      </x:c>
      <x:c r="D91" s="4" t="str">
        <x:v>Sales operations manager</x:v>
      </x:c>
      <x:c r="E91" s="4" t="str">
        <x:v>WhatsApp transcribed</x:v>
      </x:c>
      <x:c r="F91" s="4" t="str">
        <x:v>Record captured</x:v>
      </x:c>
      <x:c r="G91" s="4" t="str">
        <x:v>Handed over</x:v>
      </x:c>
    </x:row>
    <x:row r="92" ht="34" customHeight="1">
      <x:c r="A92" s="4" t="str">
        <x:v>RS-00091-E1</x:v>
      </x:c>
      <x:c r="B92" s="4" t="str">
        <x:v>RS-00091</x:v>
      </x:c>
      <x:c r="C92" s="8" t="n">
        <x:v>45298</x:v>
      </x:c>
      <x:c r="D92" s="4" t="str">
        <x:v>Sales operations manager</x:v>
      </x:c>
      <x:c r="E92" s="4" t="str">
        <x:v>ERP form</x:v>
      </x:c>
      <x:c r="F92" s="4" t="str">
        <x:v>Record captured</x:v>
      </x:c>
      <x:c r="G92" s="4" t="str">
        <x:v>Agreement signed</x:v>
      </x:c>
    </x:row>
    <x:row r="93" ht="34" customHeight="1">
      <x:c r="A93" s="4" t="str">
        <x:v>RS-00092-E1</x:v>
      </x:c>
      <x:c r="B93" s="4" t="str">
        <x:v>RS-00092</x:v>
      </x:c>
      <x:c r="C93" s="8" t="n">
        <x:v>45299</x:v>
      </x:c>
      <x:c r="D93" s="4" t="str">
        <x:v>Sales operations manager</x:v>
      </x:c>
      <x:c r="E93" s="4" t="str">
        <x:v>Spreadsheet import</x:v>
      </x:c>
      <x:c r="F93" s="4" t="str">
        <x:v>Record captured</x:v>
      </x:c>
      <x:c r="G93" s="4" t="str">
        <x:v>Enquiry</x:v>
      </x:c>
    </x:row>
    <x:row r="94" ht="34" customHeight="1">
      <x:c r="A94" s="4" t="str">
        <x:v>RS-00093-E1</x:v>
      </x:c>
      <x:c r="B94" s="4" t="str">
        <x:v>RS-00093</x:v>
      </x:c>
      <x:c r="C94" s="8" t="n">
        <x:v>45300</x:v>
      </x:c>
      <x:c r="D94" s="4" t="str">
        <x:v>Sales operations manager</x:v>
      </x:c>
      <x:c r="E94" s="4" t="str">
        <x:v>Paper transcribed</x:v>
      </x:c>
      <x:c r="F94" s="4" t="str">
        <x:v>Record captured</x:v>
      </x:c>
      <x:c r="G94" s="4" t="str">
        <x:v>Agreement signed</x:v>
      </x:c>
    </x:row>
    <x:row r="95" ht="34" customHeight="1">
      <x:c r="A95" s="4" t="str">
        <x:v>RS-00094-E1</x:v>
      </x:c>
      <x:c r="B95" s="4" t="str">
        <x:v>RS-00094</x:v>
      </x:c>
      <x:c r="C95" s="8" t="n">
        <x:v>45301</x:v>
      </x:c>
      <x:c r="D95" s="4" t="str">
        <x:v>Sales operations manager</x:v>
      </x:c>
      <x:c r="E95" s="4" t="str">
        <x:v>Paper transcribed</x:v>
      </x:c>
      <x:c r="F95" s="4" t="str">
        <x:v>Record captured</x:v>
      </x:c>
      <x:c r="G95" s="4" t="str">
        <x:v>Reserved</x:v>
      </x:c>
    </x:row>
    <x:row r="96" ht="34" customHeight="1">
      <x:c r="A96" s="4" t="str">
        <x:v>RS-00095-E1</x:v>
      </x:c>
      <x:c r="B96" s="4" t="str">
        <x:v>RS-00095</x:v>
      </x:c>
      <x:c r="C96" s="8" t="n">
        <x:v>45302</x:v>
      </x:c>
      <x:c r="D96" s="4" t="str">
        <x:v>Sales operations manager</x:v>
      </x:c>
      <x:c r="E96" s="4" t="str">
        <x:v>Spreadsheet import</x:v>
      </x:c>
      <x:c r="F96" s="4" t="str">
        <x:v>Record captured</x:v>
      </x:c>
      <x:c r="G96" s="4" t="str">
        <x:v>Reserved</x:v>
      </x:c>
    </x:row>
    <x:row r="97" ht="34" customHeight="1">
      <x:c r="A97" s="4" t="str">
        <x:v>RS-00096-E1</x:v>
      </x:c>
      <x:c r="B97" s="4" t="str">
        <x:v>RS-00096</x:v>
      </x:c>
      <x:c r="C97" s="8" t="n">
        <x:v>45303</x:v>
      </x:c>
      <x:c r="D97" s="4" t="str">
        <x:v>Sales operations manager</x:v>
      </x:c>
      <x:c r="E97" s="4" t="str">
        <x:v>ERP form</x:v>
      </x:c>
      <x:c r="F97" s="4" t="str">
        <x:v>Record captured</x:v>
      </x:c>
      <x:c r="G97" s="4" t="str">
        <x:v>Agreement signed</x:v>
      </x:c>
    </x:row>
    <x:row r="98" ht="34" customHeight="1">
      <x:c r="A98" s="4" t="str">
        <x:v>RS-00097-E1</x:v>
      </x:c>
      <x:c r="B98" s="4" t="str">
        <x:v>RS-00097</x:v>
      </x:c>
      <x:c r="C98" s="8" t="n">
        <x:v>45304</x:v>
      </x:c>
      <x:c r="D98" s="4" t="str">
        <x:v>Sales operations manager</x:v>
      </x:c>
      <x:c r="E98" s="4" t="str">
        <x:v>Paper transcribed</x:v>
      </x:c>
      <x:c r="F98" s="4" t="str">
        <x:v>Record captured</x:v>
      </x:c>
      <x:c r="G98" s="4" t="str">
        <x:v>Cancelled</x:v>
      </x:c>
    </x:row>
    <x:row r="99" ht="34" customHeight="1">
      <x:c r="A99" s="4" t="str">
        <x:v>RS-00098-E1</x:v>
      </x:c>
      <x:c r="B99" s="4" t="str">
        <x:v>RS-00098</x:v>
      </x:c>
      <x:c r="C99" s="8" t="n">
        <x:v>45305</x:v>
      </x:c>
      <x:c r="D99" s="4" t="str">
        <x:v>Sales operations manager</x:v>
      </x:c>
      <x:c r="E99" s="4" t="str">
        <x:v>ERP form</x:v>
      </x:c>
      <x:c r="F99" s="4" t="str">
        <x:v>Record captured</x:v>
      </x:c>
      <x:c r="G99" s="4" t="str">
        <x:v>Reserved</x:v>
      </x:c>
    </x:row>
    <x:row r="100" ht="34" customHeight="1">
      <x:c r="A100" s="4" t="str">
        <x:v>RS-00099-E1</x:v>
      </x:c>
      <x:c r="B100" s="4" t="str">
        <x:v>RS-00099</x:v>
      </x:c>
      <x:c r="C100" s="8" t="n">
        <x:v>45306</x:v>
      </x:c>
      <x:c r="D100" s="4" t="str">
        <x:v>Sales operations manager</x:v>
      </x:c>
      <x:c r="E100" s="4" t="str">
        <x:v>Paper transcribed</x:v>
      </x:c>
      <x:c r="F100" s="4" t="str">
        <x:v>Record captured</x:v>
      </x:c>
      <x:c r="G100" s="4" t="str">
        <x:v>Booked</x:v>
      </x:c>
    </x:row>
    <x:row r="101" ht="34" customHeight="1">
      <x:c r="A101" s="4" t="str">
        <x:v>RS-00100-E1</x:v>
      </x:c>
      <x:c r="B101" s="4" t="str">
        <x:v>RS-00100</x:v>
      </x:c>
      <x:c r="C101" s="8" t="n">
        <x:v>45307</x:v>
      </x:c>
      <x:c r="D101" s="4" t="str">
        <x:v>Sales operations manager</x:v>
      </x:c>
      <x:c r="E101" s="4" t="str">
        <x:v>Paper transcribed</x:v>
      </x:c>
      <x:c r="F101" s="4" t="str">
        <x:v>Record captured</x:v>
      </x:c>
      <x:c r="G101" s="4" t="str">
        <x:v>Enquiry</x:v>
      </x:c>
    </x:row>
    <x:row r="102" ht="34" customHeight="1">
      <x:c r="A102" s="4" t="str">
        <x:v>RS-00101-E1</x:v>
      </x:c>
      <x:c r="B102" s="4" t="str">
        <x:v>RS-00101</x:v>
      </x:c>
      <x:c r="C102" s="8" t="n">
        <x:v>45308</x:v>
      </x:c>
      <x:c r="D102" s="4" t="str">
        <x:v>Sales operations manager</x:v>
      </x:c>
      <x:c r="E102" s="4" t="str">
        <x:v>Paper transcribed</x:v>
      </x:c>
      <x:c r="F102" s="4" t="str">
        <x:v>Record captured</x:v>
      </x:c>
      <x:c r="G102" s="4" t="str">
        <x:v>Handed over</x:v>
      </x:c>
    </x:row>
    <x:row r="103" ht="34" customHeight="1">
      <x:c r="A103" s="4" t="str">
        <x:v>RS-00102-E1</x:v>
      </x:c>
      <x:c r="B103" s="4" t="str">
        <x:v>RS-00102</x:v>
      </x:c>
      <x:c r="C103" s="8" t="n">
        <x:v>45309</x:v>
      </x:c>
      <x:c r="D103" s="4" t="str">
        <x:v>Sales operations manager</x:v>
      </x:c>
      <x:c r="E103" s="4" t="str">
        <x:v>WhatsApp transcribed</x:v>
      </x:c>
      <x:c r="F103" s="4" t="str">
        <x:v>Record captured</x:v>
      </x:c>
      <x:c r="G103" s="4" t="str">
        <x:v>Booked</x:v>
      </x:c>
    </x:row>
    <x:row r="104" ht="34" customHeight="1">
      <x:c r="A104" s="4" t="str">
        <x:v>RS-00103-E1</x:v>
      </x:c>
      <x:c r="B104" s="4" t="str">
        <x:v>RS-00103</x:v>
      </x:c>
      <x:c r="C104" s="8" t="n">
        <x:v>45310</x:v>
      </x:c>
      <x:c r="D104" s="4" t="str">
        <x:v>Sales operations manager</x:v>
      </x:c>
      <x:c r="E104" s="4" t="str">
        <x:v>ERP form</x:v>
      </x:c>
      <x:c r="F104" s="4" t="str">
        <x:v>Record captured</x:v>
      </x:c>
      <x:c r="G104" s="4" t="str">
        <x:v>Enquiry</x:v>
      </x:c>
    </x:row>
    <x:row r="105" ht="34" customHeight="1">
      <x:c r="A105" s="4" t="str">
        <x:v>RS-00104-E1</x:v>
      </x:c>
      <x:c r="B105" s="4" t="str">
        <x:v>RS-00104</x:v>
      </x:c>
      <x:c r="C105" s="8" t="n">
        <x:v>45311</x:v>
      </x:c>
      <x:c r="D105" s="4" t="str">
        <x:v>Sales operations manager</x:v>
      </x:c>
      <x:c r="E105" s="4" t="str">
        <x:v>Spreadsheet import</x:v>
      </x:c>
      <x:c r="F105" s="4" t="str">
        <x:v>Record captured</x:v>
      </x:c>
      <x:c r="G105" s="4" t="str">
        <x:v>Agreement signed</x:v>
      </x:c>
    </x:row>
    <x:row r="106" ht="34" customHeight="1">
      <x:c r="A106" s="4" t="str">
        <x:v>RS-00105-E1</x:v>
      </x:c>
      <x:c r="B106" s="4" t="str">
        <x:v>RS-00105</x:v>
      </x:c>
      <x:c r="C106" s="8" t="n">
        <x:v>45312</x:v>
      </x:c>
      <x:c r="D106" s="4" t="str">
        <x:v>Sales operations manager</x:v>
      </x:c>
      <x:c r="E106" s="4" t="str">
        <x:v>WhatsApp transcribed</x:v>
      </x:c>
      <x:c r="F106" s="4" t="str">
        <x:v>Record captured</x:v>
      </x:c>
      <x:c r="G106" s="4" t="str">
        <x:v>Booked</x:v>
      </x:c>
    </x:row>
    <x:row r="107" ht="34" customHeight="1">
      <x:c r="A107" s="4" t="str">
        <x:v>RS-00106-E1</x:v>
      </x:c>
      <x:c r="B107" s="4" t="str">
        <x:v>RS-00106</x:v>
      </x:c>
      <x:c r="C107" s="8" t="n">
        <x:v>45313</x:v>
      </x:c>
      <x:c r="D107" s="4" t="str">
        <x:v>Sales operations manager</x:v>
      </x:c>
      <x:c r="E107" s="4" t="str">
        <x:v>ERP form</x:v>
      </x:c>
      <x:c r="F107" s="4" t="str">
        <x:v>Record captured</x:v>
      </x:c>
      <x:c r="G107" s="4" t="str">
        <x:v>Cancelled</x:v>
      </x:c>
    </x:row>
    <x:row r="108" ht="34" customHeight="1">
      <x:c r="A108" s="4" t="str">
        <x:v>RS-00107-E1</x:v>
      </x:c>
      <x:c r="B108" s="4" t="str">
        <x:v>RS-00107</x:v>
      </x:c>
      <x:c r="C108" s="8" t="n">
        <x:v>45314</x:v>
      </x:c>
      <x:c r="D108" s="4" t="str">
        <x:v>Sales operations manager</x:v>
      </x:c>
      <x:c r="E108" s="4" t="str">
        <x:v>ERP form</x:v>
      </x:c>
      <x:c r="F108" s="4" t="str">
        <x:v>Record captured</x:v>
      </x:c>
      <x:c r="G108" s="4" t="str">
        <x:v>Handed over</x:v>
      </x:c>
    </x:row>
    <x:row r="109" ht="34" customHeight="1">
      <x:c r="A109" s="4" t="str">
        <x:v>RS-00108-E1</x:v>
      </x:c>
      <x:c r="B109" s="4" t="str">
        <x:v>RS-00108</x:v>
      </x:c>
      <x:c r="C109" s="8" t="n">
        <x:v>45315</x:v>
      </x:c>
      <x:c r="D109" s="4" t="str">
        <x:v>Sales operations manager</x:v>
      </x:c>
      <x:c r="E109" s="4" t="str">
        <x:v>WhatsApp transcribed</x:v>
      </x:c>
      <x:c r="F109" s="4" t="str">
        <x:v>Record captured</x:v>
      </x:c>
      <x:c r="G109" s="4" t="str">
        <x:v>Enquiry</x:v>
      </x:c>
    </x:row>
    <x:row r="110" ht="34" customHeight="1">
      <x:c r="A110" s="4" t="str">
        <x:v>RS-00109-E1</x:v>
      </x:c>
      <x:c r="B110" s="4" t="str">
        <x:v>RS-00109</x:v>
      </x:c>
      <x:c r="C110" s="8" t="n">
        <x:v>45316</x:v>
      </x:c>
      <x:c r="D110" s="4" t="str">
        <x:v>Sales operations manager</x:v>
      </x:c>
      <x:c r="E110" s="4" t="str">
        <x:v>Paper transcribed</x:v>
      </x:c>
      <x:c r="F110" s="4" t="str">
        <x:v>Record captured</x:v>
      </x:c>
      <x:c r="G110" s="4" t="str">
        <x:v>Cancelled</x:v>
      </x:c>
    </x:row>
    <x:row r="111" ht="34" customHeight="1">
      <x:c r="A111" s="4" t="str">
        <x:v>RS-00110-E1</x:v>
      </x:c>
      <x:c r="B111" s="4" t="str">
        <x:v>RS-00110</x:v>
      </x:c>
      <x:c r="C111" s="8" t="n">
        <x:v>45317</x:v>
      </x:c>
      <x:c r="D111" s="4" t="str">
        <x:v>Sales operations manager</x:v>
      </x:c>
      <x:c r="E111" s="4" t="str">
        <x:v>WhatsApp transcribed</x:v>
      </x:c>
      <x:c r="F111" s="4" t="str">
        <x:v>Record captured</x:v>
      </x:c>
      <x:c r="G111" s="4" t="str">
        <x:v>Reserved</x:v>
      </x:c>
    </x:row>
    <x:row r="112" ht="34" customHeight="1">
      <x:c r="A112" s="4" t="str">
        <x:v>RS-00111-E1</x:v>
      </x:c>
      <x:c r="B112" s="4" t="str">
        <x:v>RS-00111</x:v>
      </x:c>
      <x:c r="C112" s="8" t="n">
        <x:v>45318</x:v>
      </x:c>
      <x:c r="D112" s="4" t="str">
        <x:v>Sales operations manager</x:v>
      </x:c>
      <x:c r="E112" s="4" t="str">
        <x:v>Spreadsheet import</x:v>
      </x:c>
      <x:c r="F112" s="4" t="str">
        <x:v>Record captured</x:v>
      </x:c>
      <x:c r="G112" s="4" t="str">
        <x:v>Handed over</x:v>
      </x:c>
    </x:row>
    <x:row r="113" ht="34" customHeight="1">
      <x:c r="A113" s="4" t="str">
        <x:v>RS-00112-E1</x:v>
      </x:c>
      <x:c r="B113" s="4" t="str">
        <x:v>RS-00112</x:v>
      </x:c>
      <x:c r="C113" s="8" t="n">
        <x:v>45319</x:v>
      </x:c>
      <x:c r="D113" s="4" t="str">
        <x:v>Sales operations manager</x:v>
      </x:c>
      <x:c r="E113" s="4" t="str">
        <x:v>Spreadsheet import</x:v>
      </x:c>
      <x:c r="F113" s="4" t="str">
        <x:v>Record captured</x:v>
      </x:c>
      <x:c r="G113" s="4" t="str">
        <x:v>Enquiry</x:v>
      </x:c>
    </x:row>
    <x:row r="114" ht="34" customHeight="1">
      <x:c r="A114" s="4" t="str">
        <x:v>RS-00113-E1</x:v>
      </x:c>
      <x:c r="B114" s="4" t="str">
        <x:v>RS-00113</x:v>
      </x:c>
      <x:c r="C114" s="8" t="n">
        <x:v>45292</x:v>
      </x:c>
      <x:c r="D114" s="4" t="str">
        <x:v>Sales operations manager</x:v>
      </x:c>
      <x:c r="E114" s="4" t="str">
        <x:v>Paper transcribed</x:v>
      </x:c>
      <x:c r="F114" s="4" t="str">
        <x:v>Record captured</x:v>
      </x:c>
      <x:c r="G114" s="4" t="str">
        <x:v>Handed over</x:v>
      </x:c>
    </x:row>
    <x:row r="115" ht="34" customHeight="1">
      <x:c r="A115" s="4" t="str">
        <x:v>RS-00114-E1</x:v>
      </x:c>
      <x:c r="B115" s="4" t="str">
        <x:v>RS-00114</x:v>
      </x:c>
      <x:c r="C115" s="8" t="n">
        <x:v>45293</x:v>
      </x:c>
      <x:c r="D115" s="4" t="str">
        <x:v>Sales operations manager</x:v>
      </x:c>
      <x:c r="E115" s="4" t="str">
        <x:v>ERP form</x:v>
      </x:c>
      <x:c r="F115" s="4" t="str">
        <x:v>Record captured</x:v>
      </x:c>
      <x:c r="G115" s="4" t="str">
        <x:v>Reserved</x:v>
      </x:c>
    </x:row>
    <x:row r="116" ht="34" customHeight="1">
      <x:c r="A116" s="4" t="str">
        <x:v>RS-00115-E1</x:v>
      </x:c>
      <x:c r="B116" s="4" t="str">
        <x:v>RS-00115</x:v>
      </x:c>
      <x:c r="C116" s="8" t="n">
        <x:v>45294</x:v>
      </x:c>
      <x:c r="D116" s="4" t="str">
        <x:v>Sales operations manager</x:v>
      </x:c>
      <x:c r="E116" s="4" t="str">
        <x:v>WhatsApp transcribed</x:v>
      </x:c>
      <x:c r="F116" s="4" t="str">
        <x:v>Record captured</x:v>
      </x:c>
      <x:c r="G116" s="4" t="str">
        <x:v>Enquiry</x:v>
      </x:c>
    </x:row>
    <x:row r="117" ht="34" customHeight="1">
      <x:c r="A117" s="4" t="str">
        <x:v>RS-00116-E1</x:v>
      </x:c>
      <x:c r="B117" s="4" t="str">
        <x:v>RS-00116</x:v>
      </x:c>
      <x:c r="C117" s="8" t="n">
        <x:v>45295</x:v>
      </x:c>
      <x:c r="D117" s="4" t="str">
        <x:v>Sales operations manager</x:v>
      </x:c>
      <x:c r="E117" s="4" t="str">
        <x:v>Paper transcribed</x:v>
      </x:c>
      <x:c r="F117" s="4" t="str">
        <x:v>Record captured</x:v>
      </x:c>
      <x:c r="G117" s="4" t="str">
        <x:v>Enquiry</x:v>
      </x:c>
    </x:row>
    <x:row r="118" ht="34" customHeight="1">
      <x:c r="A118" s="4" t="str">
        <x:v>RS-00117-E1</x:v>
      </x:c>
      <x:c r="B118" s="4" t="str">
        <x:v>RS-00117</x:v>
      </x:c>
      <x:c r="C118" s="8" t="n">
        <x:v>45296</x:v>
      </x:c>
      <x:c r="D118" s="4" t="str">
        <x:v>Sales operations manager</x:v>
      </x:c>
      <x:c r="E118" s="4" t="str">
        <x:v>ERP form</x:v>
      </x:c>
      <x:c r="F118" s="4" t="str">
        <x:v>Record captured</x:v>
      </x:c>
      <x:c r="G118" s="4" t="str">
        <x:v>Booked</x:v>
      </x:c>
    </x:row>
    <x:row r="119" ht="34" customHeight="1">
      <x:c r="A119" s="4" t="str">
        <x:v>RS-00118-E1</x:v>
      </x:c>
      <x:c r="B119" s="4" t="str">
        <x:v>RS-00118</x:v>
      </x:c>
      <x:c r="C119" s="8" t="n">
        <x:v>45297</x:v>
      </x:c>
      <x:c r="D119" s="4" t="str">
        <x:v>Sales operations manager</x:v>
      </x:c>
      <x:c r="E119" s="4" t="str">
        <x:v>Spreadsheet import</x:v>
      </x:c>
      <x:c r="F119" s="4" t="str">
        <x:v>Record captured</x:v>
      </x:c>
      <x:c r="G119" s="4" t="str">
        <x:v>Reserved</x:v>
      </x:c>
    </x:row>
    <x:row r="120" ht="34" customHeight="1">
      <x:c r="A120" s="4" t="str">
        <x:v>RS-00119-E1</x:v>
      </x:c>
      <x:c r="B120" s="4" t="str">
        <x:v>RS-00119</x:v>
      </x:c>
      <x:c r="C120" s="8" t="n">
        <x:v>45298</x:v>
      </x:c>
      <x:c r="D120" s="4" t="str">
        <x:v>Sales operations manager</x:v>
      </x:c>
      <x:c r="E120" s="4" t="str">
        <x:v>WhatsApp transcribed</x:v>
      </x:c>
      <x:c r="F120" s="4" t="str">
        <x:v>Record captured</x:v>
      </x:c>
      <x:c r="G120" s="4" t="str">
        <x:v>Booked</x:v>
      </x:c>
    </x:row>
    <x:row r="121" ht="34" customHeight="1">
      <x:c r="A121" s="4" t="str">
        <x:v>RS-00120-E1</x:v>
      </x:c>
      <x:c r="B121" s="4" t="str">
        <x:v>RS-00120</x:v>
      </x:c>
      <x:c r="C121" s="8" t="n">
        <x:v>45299</x:v>
      </x:c>
      <x:c r="D121" s="4" t="str">
        <x:v>Sales operations manager</x:v>
      </x:c>
      <x:c r="E121" s="4" t="str">
        <x:v>WhatsApp transcribed</x:v>
      </x:c>
      <x:c r="F121" s="4" t="str">
        <x:v>Record captured</x:v>
      </x:c>
      <x:c r="G121" s="4" t="str">
        <x:v>Handed over</x:v>
      </x:c>
    </x:row>
    <x:row r="122" ht="34" customHeight="1">
      <x:c r="A122" s="4" t="str">
        <x:v>RS-00121-E1</x:v>
      </x:c>
      <x:c r="B122" s="4" t="str">
        <x:v>RS-00121</x:v>
      </x:c>
      <x:c r="C122" s="8" t="n">
        <x:v>45300</x:v>
      </x:c>
      <x:c r="D122" s="4" t="str">
        <x:v>Sales operations manager</x:v>
      </x:c>
      <x:c r="E122" s="4" t="str">
        <x:v>Paper transcribed</x:v>
      </x:c>
      <x:c r="F122" s="4" t="str">
        <x:v>Record captured</x:v>
      </x:c>
      <x:c r="G122" s="4" t="str">
        <x:v>Reserved</x:v>
      </x:c>
    </x:row>
    <x:row r="123" ht="34" customHeight="1">
      <x:c r="A123" s="4" t="str">
        <x:v>RS-00122-E1</x:v>
      </x:c>
      <x:c r="B123" s="4" t="str">
        <x:v>RS-00122</x:v>
      </x:c>
      <x:c r="C123" s="8" t="n">
        <x:v>45301</x:v>
      </x:c>
      <x:c r="D123" s="4" t="str">
        <x:v>Sales operations manager</x:v>
      </x:c>
      <x:c r="E123" s="4" t="str">
        <x:v>Spreadsheet import</x:v>
      </x:c>
      <x:c r="F123" s="4" t="str">
        <x:v>Record captured</x:v>
      </x:c>
      <x:c r="G123" s="4" t="str">
        <x:v>Booked</x:v>
      </x:c>
    </x:row>
    <x:row r="124" ht="34" customHeight="1">
      <x:c r="A124" s="4" t="str">
        <x:v>RS-00123-E1</x:v>
      </x:c>
      <x:c r="B124" s="4" t="str">
        <x:v>RS-00123</x:v>
      </x:c>
      <x:c r="C124" s="8" t="n">
        <x:v>45302</x:v>
      </x:c>
      <x:c r="D124" s="4" t="str">
        <x:v>Sales operations manager</x:v>
      </x:c>
      <x:c r="E124" s="4" t="str">
        <x:v>Spreadsheet import</x:v>
      </x:c>
      <x:c r="F124" s="4" t="str">
        <x:v>Record captured</x:v>
      </x:c>
      <x:c r="G124" s="4" t="str">
        <x:v>Agreement signed</x:v>
      </x:c>
    </x:row>
    <x:row r="125" ht="34" customHeight="1">
      <x:c r="A125" s="4" t="str">
        <x:v>RS-00124-E1</x:v>
      </x:c>
      <x:c r="B125" s="4" t="str">
        <x:v>RS-00124</x:v>
      </x:c>
      <x:c r="C125" s="8" t="n">
        <x:v>45303</x:v>
      </x:c>
      <x:c r="D125" s="4" t="str">
        <x:v>Sales operations manager</x:v>
      </x:c>
      <x:c r="E125" s="4" t="str">
        <x:v>ERP form</x:v>
      </x:c>
      <x:c r="F125" s="4" t="str">
        <x:v>Record captured</x:v>
      </x:c>
      <x:c r="G125" s="4" t="str">
        <x:v>Cancelled</x:v>
      </x:c>
    </x:row>
    <x:row r="126" ht="34" customHeight="1">
      <x:c r="A126" s="4" t="str">
        <x:v>RS-00125-E1</x:v>
      </x:c>
      <x:c r="B126" s="4" t="str">
        <x:v>RS-00125</x:v>
      </x:c>
      <x:c r="C126" s="8" t="n">
        <x:v>45304</x:v>
      </x:c>
      <x:c r="D126" s="4" t="str">
        <x:v>Sales operations manager</x:v>
      </x:c>
      <x:c r="E126" s="4" t="str">
        <x:v>WhatsApp transcribed</x:v>
      </x:c>
      <x:c r="F126" s="4" t="str">
        <x:v>Record captured</x:v>
      </x:c>
      <x:c r="G126" s="4" t="str">
        <x:v>Enquiry</x:v>
      </x:c>
    </x:row>
    <x:row r="127" ht="34" customHeight="1">
      <x:c r="A127" s="4" t="str">
        <x:v>RS-00126-E1</x:v>
      </x:c>
      <x:c r="B127" s="4" t="str">
        <x:v>RS-00126</x:v>
      </x:c>
      <x:c r="C127" s="8" t="n">
        <x:v>45305</x:v>
      </x:c>
      <x:c r="D127" s="4" t="str">
        <x:v>Sales operations manager</x:v>
      </x:c>
      <x:c r="E127" s="4" t="str">
        <x:v>Spreadsheet import</x:v>
      </x:c>
      <x:c r="F127" s="4" t="str">
        <x:v>Record captured</x:v>
      </x:c>
      <x:c r="G127" s="4" t="str">
        <x:v>Enquiry</x:v>
      </x:c>
    </x:row>
    <x:row r="128" ht="34" customHeight="1">
      <x:c r="A128" s="4" t="str">
        <x:v>RS-00127-E1</x:v>
      </x:c>
      <x:c r="B128" s="4" t="str">
        <x:v>RS-00127</x:v>
      </x:c>
      <x:c r="C128" s="8" t="n">
        <x:v>45306</x:v>
      </x:c>
      <x:c r="D128" s="4" t="str">
        <x:v>Sales operations manager</x:v>
      </x:c>
      <x:c r="E128" s="4" t="str">
        <x:v>WhatsApp transcribed</x:v>
      </x:c>
      <x:c r="F128" s="4" t="str">
        <x:v>Record captured</x:v>
      </x:c>
      <x:c r="G128" s="4" t="str">
        <x:v>Enquiry</x:v>
      </x:c>
    </x:row>
    <x:row r="129" ht="34" customHeight="1">
      <x:c r="A129" s="4" t="str">
        <x:v>RS-00128-E1</x:v>
      </x:c>
      <x:c r="B129" s="4" t="str">
        <x:v>RS-00128</x:v>
      </x:c>
      <x:c r="C129" s="8" t="n">
        <x:v>45307</x:v>
      </x:c>
      <x:c r="D129" s="4" t="str">
        <x:v>Sales operations manager</x:v>
      </x:c>
      <x:c r="E129" s="4" t="str">
        <x:v>ERP form</x:v>
      </x:c>
      <x:c r="F129" s="4" t="str">
        <x:v>Record captured</x:v>
      </x:c>
      <x:c r="G129" s="4" t="str">
        <x:v>Handed over</x:v>
      </x:c>
    </x:row>
    <x:row r="130" ht="34" customHeight="1">
      <x:c r="A130" s="4" t="str">
        <x:v>RS-00129-E1</x:v>
      </x:c>
      <x:c r="B130" s="4" t="str">
        <x:v>RS-00129</x:v>
      </x:c>
      <x:c r="C130" s="8" t="n">
        <x:v>45308</x:v>
      </x:c>
      <x:c r="D130" s="4" t="str">
        <x:v>Sales operations manager</x:v>
      </x:c>
      <x:c r="E130" s="4" t="str">
        <x:v>WhatsApp transcribed</x:v>
      </x:c>
      <x:c r="F130" s="4" t="str">
        <x:v>Record captured</x:v>
      </x:c>
      <x:c r="G130" s="4" t="str">
        <x:v>Cancelled</x:v>
      </x:c>
    </x:row>
    <x:row r="131" ht="34" customHeight="1">
      <x:c r="A131" s="4" t="str">
        <x:v>RS-00130-E1</x:v>
      </x:c>
      <x:c r="B131" s="4" t="str">
        <x:v>RS-00130</x:v>
      </x:c>
      <x:c r="C131" s="8" t="n">
        <x:v>45309</x:v>
      </x:c>
      <x:c r="D131" s="4" t="str">
        <x:v>Sales operations manager</x:v>
      </x:c>
      <x:c r="E131" s="4" t="str">
        <x:v>WhatsApp transcribed</x:v>
      </x:c>
      <x:c r="F131" s="4" t="str">
        <x:v>Record captured</x:v>
      </x:c>
      <x:c r="G131" s="4" t="str">
        <x:v>Handed over</x:v>
      </x:c>
    </x:row>
    <x:row r="132" ht="34" customHeight="1">
      <x:c r="A132" s="4" t="str">
        <x:v>RS-00131-E1</x:v>
      </x:c>
      <x:c r="B132" s="4" t="str">
        <x:v>RS-00131</x:v>
      </x:c>
      <x:c r="C132" s="8" t="n">
        <x:v>45310</x:v>
      </x:c>
      <x:c r="D132" s="4" t="str">
        <x:v>Sales operations manager</x:v>
      </x:c>
      <x:c r="E132" s="4" t="str">
        <x:v>WhatsApp transcribed</x:v>
      </x:c>
      <x:c r="F132" s="4" t="str">
        <x:v>Record captured</x:v>
      </x:c>
      <x:c r="G132" s="4" t="str">
        <x:v>Agreement signed</x:v>
      </x:c>
    </x:row>
    <x:row r="133" ht="34" customHeight="1">
      <x:c r="A133" s="4" t="str">
        <x:v>RS-00132-E1</x:v>
      </x:c>
      <x:c r="B133" s="4" t="str">
        <x:v>RS-00132</x:v>
      </x:c>
      <x:c r="C133" s="8" t="n">
        <x:v>45311</x:v>
      </x:c>
      <x:c r="D133" s="4" t="str">
        <x:v>Sales operations manager</x:v>
      </x:c>
      <x:c r="E133" s="4" t="str">
        <x:v>Paper transcribed</x:v>
      </x:c>
      <x:c r="F133" s="4" t="str">
        <x:v>Record captured</x:v>
      </x:c>
      <x:c r="G133" s="4" t="str">
        <x:v>Enquiry</x:v>
      </x:c>
    </x:row>
    <x:row r="134" ht="34" customHeight="1">
      <x:c r="A134" s="4" t="str">
        <x:v>RS-00133-E1</x:v>
      </x:c>
      <x:c r="B134" s="4" t="str">
        <x:v>RS-00133</x:v>
      </x:c>
      <x:c r="C134" s="8" t="n">
        <x:v>45312</x:v>
      </x:c>
      <x:c r="D134" s="4" t="str">
        <x:v>Sales operations manager</x:v>
      </x:c>
      <x:c r="E134" s="4" t="str">
        <x:v>Paper transcribed</x:v>
      </x:c>
      <x:c r="F134" s="4" t="str">
        <x:v>Record captured</x:v>
      </x:c>
      <x:c r="G134" s="4" t="str">
        <x:v>Enquiry</x:v>
      </x:c>
    </x:row>
    <x:row r="135" ht="34" customHeight="1">
      <x:c r="A135" s="4" t="str">
        <x:v>RS-00134-E1</x:v>
      </x:c>
      <x:c r="B135" s="4" t="str">
        <x:v>RS-00134</x:v>
      </x:c>
      <x:c r="C135" s="8" t="n">
        <x:v>45313</x:v>
      </x:c>
      <x:c r="D135" s="4" t="str">
        <x:v>Sales operations manager</x:v>
      </x:c>
      <x:c r="E135" s="4" t="str">
        <x:v>Paper transcribed</x:v>
      </x:c>
      <x:c r="F135" s="4" t="str">
        <x:v>Record captured</x:v>
      </x:c>
      <x:c r="G135" s="4" t="str">
        <x:v>Reserved</x:v>
      </x:c>
    </x:row>
    <x:row r="136" ht="34" customHeight="1">
      <x:c r="A136" s="4" t="str">
        <x:v>RS-00135-E1</x:v>
      </x:c>
      <x:c r="B136" s="4" t="str">
        <x:v>RS-00135</x:v>
      </x:c>
      <x:c r="C136" s="8" t="n">
        <x:v>45314</x:v>
      </x:c>
      <x:c r="D136" s="4" t="str">
        <x:v>Sales operations manager</x:v>
      </x:c>
      <x:c r="E136" s="4" t="str">
        <x:v>WhatsApp transcribed</x:v>
      </x:c>
      <x:c r="F136" s="4" t="str">
        <x:v>Record captured</x:v>
      </x:c>
      <x:c r="G136" s="4" t="str">
        <x:v>Agreement signed</x:v>
      </x:c>
    </x:row>
    <x:row r="137" ht="34" customHeight="1">
      <x:c r="A137" s="4" t="str">
        <x:v>RS-00136-E1</x:v>
      </x:c>
      <x:c r="B137" s="4" t="str">
        <x:v>RS-00136</x:v>
      </x:c>
      <x:c r="C137" s="8" t="n">
        <x:v>45315</x:v>
      </x:c>
      <x:c r="D137" s="4" t="str">
        <x:v>Sales operations manager</x:v>
      </x:c>
      <x:c r="E137" s="4" t="str">
        <x:v>Paper transcribed</x:v>
      </x:c>
      <x:c r="F137" s="4" t="str">
        <x:v>Record captured</x:v>
      </x:c>
      <x:c r="G137" s="4" t="str">
        <x:v>Booked</x:v>
      </x:c>
    </x:row>
    <x:row r="138" ht="34" customHeight="1">
      <x:c r="A138" s="4" t="str">
        <x:v>RS-00137-E1</x:v>
      </x:c>
      <x:c r="B138" s="4" t="str">
        <x:v>RS-00137</x:v>
      </x:c>
      <x:c r="C138" s="8" t="n">
        <x:v>45316</x:v>
      </x:c>
      <x:c r="D138" s="4" t="str">
        <x:v>Sales operations manager</x:v>
      </x:c>
      <x:c r="E138" s="4" t="str">
        <x:v>Spreadsheet import</x:v>
      </x:c>
      <x:c r="F138" s="4" t="str">
        <x:v>Record captured</x:v>
      </x:c>
      <x:c r="G138" s="4" t="str">
        <x:v>Agreement signed</x:v>
      </x:c>
    </x:row>
    <x:row r="139" ht="34" customHeight="1">
      <x:c r="A139" s="4" t="str">
        <x:v>RS-00138-E1</x:v>
      </x:c>
      <x:c r="B139" s="4" t="str">
        <x:v>RS-00138</x:v>
      </x:c>
      <x:c r="C139" s="8" t="n">
        <x:v>45317</x:v>
      </x:c>
      <x:c r="D139" s="4" t="str">
        <x:v>Sales operations manager</x:v>
      </x:c>
      <x:c r="E139" s="4" t="str">
        <x:v>Spreadsheet import</x:v>
      </x:c>
      <x:c r="F139" s="4" t="str">
        <x:v>Record captured</x:v>
      </x:c>
      <x:c r="G139" s="4" t="str">
        <x:v>Handed over</x:v>
      </x:c>
    </x:row>
    <x:row r="140" ht="34" customHeight="1">
      <x:c r="A140" s="4" t="str">
        <x:v>RS-00139-E1</x:v>
      </x:c>
      <x:c r="B140" s="4" t="str">
        <x:v>RS-00139</x:v>
      </x:c>
      <x:c r="C140" s="8" t="n">
        <x:v>45318</x:v>
      </x:c>
      <x:c r="D140" s="4" t="str">
        <x:v>Sales operations manager</x:v>
      </x:c>
      <x:c r="E140" s="4" t="str">
        <x:v>Spreadsheet import</x:v>
      </x:c>
      <x:c r="F140" s="4" t="str">
        <x:v>Record captured</x:v>
      </x:c>
      <x:c r="G140" s="4" t="str">
        <x:v>Booked</x:v>
      </x:c>
    </x:row>
    <x:row r="141" ht="34" customHeight="1">
      <x:c r="A141" s="4" t="str">
        <x:v>RS-00140-E1</x:v>
      </x:c>
      <x:c r="B141" s="4" t="str">
        <x:v>RS-00140</x:v>
      </x:c>
      <x:c r="C141" s="8" t="n">
        <x:v>45319</x:v>
      </x:c>
      <x:c r="D141" s="4" t="str">
        <x:v>Sales operations manager</x:v>
      </x:c>
      <x:c r="E141" s="4" t="str">
        <x:v>ERP form</x:v>
      </x:c>
      <x:c r="F141" s="4" t="str">
        <x:v>Record captured</x:v>
      </x:c>
      <x:c r="G141" s="4" t="str">
        <x:v>Booked</x:v>
      </x:c>
    </x:row>
    <x:row r="142" ht="34" customHeight="1">
      <x:c r="A142" s="4" t="str">
        <x:v>RS-00141-E1</x:v>
      </x:c>
      <x:c r="B142" s="4" t="str">
        <x:v>RS-00141</x:v>
      </x:c>
      <x:c r="C142" s="8" t="n">
        <x:v>45292</x:v>
      </x:c>
      <x:c r="D142" s="4" t="str">
        <x:v>Sales operations manager</x:v>
      </x:c>
      <x:c r="E142" s="4" t="str">
        <x:v>ERP form</x:v>
      </x:c>
      <x:c r="F142" s="4" t="str">
        <x:v>Record captured</x:v>
      </x:c>
      <x:c r="G142" s="4" t="str">
        <x:v>Handed over</x:v>
      </x:c>
    </x:row>
    <x:row r="143" ht="34" customHeight="1">
      <x:c r="A143" s="4" t="str">
        <x:v>RS-00142-E1</x:v>
      </x:c>
      <x:c r="B143" s="4" t="str">
        <x:v>RS-00142</x:v>
      </x:c>
      <x:c r="C143" s="8" t="n">
        <x:v>45293</x:v>
      </x:c>
      <x:c r="D143" s="4" t="str">
        <x:v>Sales operations manager</x:v>
      </x:c>
      <x:c r="E143" s="4" t="str">
        <x:v>WhatsApp transcribed</x:v>
      </x:c>
      <x:c r="F143" s="4" t="str">
        <x:v>Record captured</x:v>
      </x:c>
      <x:c r="G143" s="4" t="str">
        <x:v>Reserved</x:v>
      </x:c>
    </x:row>
    <x:row r="144" ht="34" customHeight="1">
      <x:c r="A144" s="4" t="str">
        <x:v>RS-00143-E1</x:v>
      </x:c>
      <x:c r="B144" s="4" t="str">
        <x:v>RS-00143</x:v>
      </x:c>
      <x:c r="C144" s="8" t="n">
        <x:v>45294</x:v>
      </x:c>
      <x:c r="D144" s="4" t="str">
        <x:v>Sales operations manager</x:v>
      </x:c>
      <x:c r="E144" s="4" t="str">
        <x:v>Spreadsheet import</x:v>
      </x:c>
      <x:c r="F144" s="4" t="str">
        <x:v>Record captured</x:v>
      </x:c>
      <x:c r="G144" s="4" t="str">
        <x:v>Enquiry</x:v>
      </x:c>
    </x:row>
    <x:row r="145" ht="34" customHeight="1">
      <x:c r="A145" s="4" t="str">
        <x:v>RS-00144-E1</x:v>
      </x:c>
      <x:c r="B145" s="4" t="str">
        <x:v>RS-00144</x:v>
      </x:c>
      <x:c r="C145" s="8" t="n">
        <x:v>45295</x:v>
      </x:c>
      <x:c r="D145" s="4" t="str">
        <x:v>Sales operations manager</x:v>
      </x:c>
      <x:c r="E145" s="4" t="str">
        <x:v>WhatsApp transcribed</x:v>
      </x:c>
      <x:c r="F145" s="4" t="str">
        <x:v>Record captured</x:v>
      </x:c>
      <x:c r="G145" s="4" t="str">
        <x:v>Enquiry</x:v>
      </x:c>
    </x:row>
    <x:row r="146" ht="34" customHeight="1">
      <x:c r="A146" s="4" t="str">
        <x:v>RS-00145-E1</x:v>
      </x:c>
      <x:c r="B146" s="4" t="str">
        <x:v>RS-00145</x:v>
      </x:c>
      <x:c r="C146" s="8" t="n">
        <x:v>45296</x:v>
      </x:c>
      <x:c r="D146" s="4" t="str">
        <x:v>Sales operations manager</x:v>
      </x:c>
      <x:c r="E146" s="4" t="str">
        <x:v>Spreadsheet import</x:v>
      </x:c>
      <x:c r="F146" s="4" t="str">
        <x:v>Record captured</x:v>
      </x:c>
      <x:c r="G146" s="4" t="str">
        <x:v>Cancelled</x:v>
      </x:c>
    </x:row>
    <x:row r="147" ht="34" customHeight="1">
      <x:c r="A147" s="4" t="str">
        <x:v>RS-00146-E1</x:v>
      </x:c>
      <x:c r="B147" s="4" t="str">
        <x:v>RS-00146</x:v>
      </x:c>
      <x:c r="C147" s="8" t="n">
        <x:v>45297</x:v>
      </x:c>
      <x:c r="D147" s="4" t="str">
        <x:v>Sales operations manager</x:v>
      </x:c>
      <x:c r="E147" s="4" t="str">
        <x:v>ERP form</x:v>
      </x:c>
      <x:c r="F147" s="4" t="str">
        <x:v>Record captured</x:v>
      </x:c>
      <x:c r="G147" s="4" t="str">
        <x:v>Cancelled</x:v>
      </x:c>
    </x:row>
    <x:row r="148" ht="34" customHeight="1">
      <x:c r="A148" s="4" t="str">
        <x:v>RS-00147-E1</x:v>
      </x:c>
      <x:c r="B148" s="4" t="str">
        <x:v>RS-00147</x:v>
      </x:c>
      <x:c r="C148" s="8" t="n">
        <x:v>45298</x:v>
      </x:c>
      <x:c r="D148" s="4" t="str">
        <x:v>Sales operations manager</x:v>
      </x:c>
      <x:c r="E148" s="4" t="str">
        <x:v>ERP form</x:v>
      </x:c>
      <x:c r="F148" s="4" t="str">
        <x:v>Record captured</x:v>
      </x:c>
      <x:c r="G148" s="4" t="str">
        <x:v>Cancelled</x:v>
      </x:c>
    </x:row>
    <x:row r="149" ht="34" customHeight="1">
      <x:c r="A149" s="4" t="str">
        <x:v>RS-00148-E1</x:v>
      </x:c>
      <x:c r="B149" s="4" t="str">
        <x:v>RS-00148</x:v>
      </x:c>
      <x:c r="C149" s="8" t="n">
        <x:v>45299</x:v>
      </x:c>
      <x:c r="D149" s="4" t="str">
        <x:v>Sales operations manager</x:v>
      </x:c>
      <x:c r="E149" s="4" t="str">
        <x:v>Spreadsheet import</x:v>
      </x:c>
      <x:c r="F149" s="4" t="str">
        <x:v>Record captured</x:v>
      </x:c>
      <x:c r="G149" s="4" t="str">
        <x:v>Cancelled</x:v>
      </x:c>
    </x:row>
    <x:row r="150" ht="34" customHeight="1">
      <x:c r="A150" s="4" t="str">
        <x:v>RS-00149-E1</x:v>
      </x:c>
      <x:c r="B150" s="4" t="str">
        <x:v>RS-00149</x:v>
      </x:c>
      <x:c r="C150" s="8" t="n">
        <x:v>45300</x:v>
      </x:c>
      <x:c r="D150" s="4" t="str">
        <x:v>Sales operations manager</x:v>
      </x:c>
      <x:c r="E150" s="4" t="str">
        <x:v>Spreadsheet import</x:v>
      </x:c>
      <x:c r="F150" s="4" t="str">
        <x:v>Record captured</x:v>
      </x:c>
      <x:c r="G150" s="4" t="str">
        <x:v>Booked</x:v>
      </x:c>
    </x:row>
    <x:row r="151" ht="34" customHeight="1">
      <x:c r="A151" s="4" t="str">
        <x:v>RS-00150-E1</x:v>
      </x:c>
      <x:c r="B151" s="4" t="str">
        <x:v>RS-00150</x:v>
      </x:c>
      <x:c r="C151" s="8" t="n">
        <x:v>45301</x:v>
      </x:c>
      <x:c r="D151" s="4" t="str">
        <x:v>Sales operations manager</x:v>
      </x:c>
      <x:c r="E151" s="4" t="str">
        <x:v>ERP form</x:v>
      </x:c>
      <x:c r="F151" s="4" t="str">
        <x:v>Record captured</x:v>
      </x:c>
      <x:c r="G151" s="4" t="str">
        <x:v>Handed over</x:v>
      </x:c>
    </x:row>
    <x:row r="152" ht="34" customHeight="1">
      <x:c r="A152" s="4" t="str">
        <x:v>RS-00151-E1</x:v>
      </x:c>
      <x:c r="B152" s="4" t="str">
        <x:v>RS-00151</x:v>
      </x:c>
      <x:c r="C152" s="8" t="n">
        <x:v>45302</x:v>
      </x:c>
      <x:c r="D152" s="4" t="str">
        <x:v>Sales operations manager</x:v>
      </x:c>
      <x:c r="E152" s="4" t="str">
        <x:v>ERP form</x:v>
      </x:c>
      <x:c r="F152" s="4" t="str">
        <x:v>Record captured</x:v>
      </x:c>
      <x:c r="G152" s="4" t="str">
        <x:v>Booked</x:v>
      </x:c>
    </x:row>
    <x:row r="153" ht="34" customHeight="1">
      <x:c r="A153" s="4" t="str">
        <x:v>RS-00152-E1</x:v>
      </x:c>
      <x:c r="B153" s="4" t="str">
        <x:v>RS-00152</x:v>
      </x:c>
      <x:c r="C153" s="8" t="n">
        <x:v>45303</x:v>
      </x:c>
      <x:c r="D153" s="4" t="str">
        <x:v>Sales operations manager</x:v>
      </x:c>
      <x:c r="E153" s="4" t="str">
        <x:v>ERP form</x:v>
      </x:c>
      <x:c r="F153" s="4" t="str">
        <x:v>Record captured</x:v>
      </x:c>
      <x:c r="G153" s="4" t="str">
        <x:v>Enquiry</x:v>
      </x:c>
    </x:row>
    <x:row r="154" ht="34" customHeight="1">
      <x:c r="A154" s="4" t="str">
        <x:v>RS-00153-E1</x:v>
      </x:c>
      <x:c r="B154" s="4" t="str">
        <x:v>RS-00153</x:v>
      </x:c>
      <x:c r="C154" s="8" t="n">
        <x:v>45304</x:v>
      </x:c>
      <x:c r="D154" s="4" t="str">
        <x:v>Sales operations manager</x:v>
      </x:c>
      <x:c r="E154" s="4" t="str">
        <x:v>Spreadsheet import</x:v>
      </x:c>
      <x:c r="F154" s="4" t="str">
        <x:v>Record captured</x:v>
      </x:c>
      <x:c r="G154" s="4" t="str">
        <x:v>Reserved</x:v>
      </x:c>
    </x:row>
    <x:row r="155" ht="34" customHeight="1">
      <x:c r="A155" s="4" t="str">
        <x:v>RS-00154-E1</x:v>
      </x:c>
      <x:c r="B155" s="4" t="str">
        <x:v>RS-00154</x:v>
      </x:c>
      <x:c r="C155" s="8" t="n">
        <x:v>45305</x:v>
      </x:c>
      <x:c r="D155" s="4" t="str">
        <x:v>Sales operations manager</x:v>
      </x:c>
      <x:c r="E155" s="4" t="str">
        <x:v>Spreadsheet import</x:v>
      </x:c>
      <x:c r="F155" s="4" t="str">
        <x:v>Record captured</x:v>
      </x:c>
      <x:c r="G155" s="4" t="str">
        <x:v>Enquiry</x:v>
      </x:c>
    </x:row>
    <x:row r="156" ht="34" customHeight="1">
      <x:c r="A156" s="4" t="str">
        <x:v>RS-00155-E1</x:v>
      </x:c>
      <x:c r="B156" s="4" t="str">
        <x:v>RS-00155</x:v>
      </x:c>
      <x:c r="C156" s="8" t="n">
        <x:v>45306</x:v>
      </x:c>
      <x:c r="D156" s="4" t="str">
        <x:v>Sales operations manager</x:v>
      </x:c>
      <x:c r="E156" s="4" t="str">
        <x:v>WhatsApp transcribed</x:v>
      </x:c>
      <x:c r="F156" s="4" t="str">
        <x:v>Record captured</x:v>
      </x:c>
      <x:c r="G156" s="4" t="str">
        <x:v>Booked</x:v>
      </x:c>
    </x:row>
    <x:row r="157" ht="34" customHeight="1">
      <x:c r="A157" s="4" t="str">
        <x:v>RS-00156-E1</x:v>
      </x:c>
      <x:c r="B157" s="4" t="str">
        <x:v>RS-00156</x:v>
      </x:c>
      <x:c r="C157" s="8" t="n">
        <x:v>45307</x:v>
      </x:c>
      <x:c r="D157" s="4" t="str">
        <x:v>Sales operations manager</x:v>
      </x:c>
      <x:c r="E157" s="4" t="str">
        <x:v>WhatsApp transcribed</x:v>
      </x:c>
      <x:c r="F157" s="4" t="str">
        <x:v>Record captured</x:v>
      </x:c>
      <x:c r="G157" s="4" t="str">
        <x:v>Cancelled</x:v>
      </x:c>
    </x:row>
    <x:row r="158" ht="34" customHeight="1">
      <x:c r="A158" s="4" t="str">
        <x:v>RS-00157-E1</x:v>
      </x:c>
      <x:c r="B158" s="4" t="str">
        <x:v>RS-00157</x:v>
      </x:c>
      <x:c r="C158" s="8" t="n">
        <x:v>45308</x:v>
      </x:c>
      <x:c r="D158" s="4" t="str">
        <x:v>Sales operations manager</x:v>
      </x:c>
      <x:c r="E158" s="4" t="str">
        <x:v>WhatsApp transcribed</x:v>
      </x:c>
      <x:c r="F158" s="4" t="str">
        <x:v>Record captured</x:v>
      </x:c>
      <x:c r="G158" s="4" t="str">
        <x:v>Handed over</x:v>
      </x:c>
    </x:row>
    <x:row r="159" ht="34" customHeight="1">
      <x:c r="A159" s="4" t="str">
        <x:v>RS-00158-E1</x:v>
      </x:c>
      <x:c r="B159" s="4" t="str">
        <x:v>RS-00158</x:v>
      </x:c>
      <x:c r="C159" s="8" t="n">
        <x:v>45309</x:v>
      </x:c>
      <x:c r="D159" s="4" t="str">
        <x:v>Sales operations manager</x:v>
      </x:c>
      <x:c r="E159" s="4" t="str">
        <x:v>WhatsApp transcribed</x:v>
      </x:c>
      <x:c r="F159" s="4" t="str">
        <x:v>Record captured</x:v>
      </x:c>
      <x:c r="G159" s="4" t="str">
        <x:v>Cancelled</x:v>
      </x:c>
    </x:row>
    <x:row r="160" ht="34" customHeight="1">
      <x:c r="A160" s="4" t="str">
        <x:v>RS-00159-E1</x:v>
      </x:c>
      <x:c r="B160" s="4" t="str">
        <x:v>RS-00159</x:v>
      </x:c>
      <x:c r="C160" s="8" t="n">
        <x:v>45310</x:v>
      </x:c>
      <x:c r="D160" s="4" t="str">
        <x:v>Sales operations manager</x:v>
      </x:c>
      <x:c r="E160" s="4" t="str">
        <x:v>Spreadsheet import</x:v>
      </x:c>
      <x:c r="F160" s="4" t="str">
        <x:v>Record captured</x:v>
      </x:c>
      <x:c r="G160" s="4" t="str">
        <x:v>Enquiry</x:v>
      </x:c>
    </x:row>
    <x:row r="161" ht="34" customHeight="1">
      <x:c r="A161" s="4" t="str">
        <x:v>RS-00160-E1</x:v>
      </x:c>
      <x:c r="B161" s="4" t="str">
        <x:v>RS-00160</x:v>
      </x:c>
      <x:c r="C161" s="8" t="n">
        <x:v>45311</x:v>
      </x:c>
      <x:c r="D161" s="4" t="str">
        <x:v>Sales operations manager</x:v>
      </x:c>
      <x:c r="E161" s="4" t="str">
        <x:v>Paper transcribed</x:v>
      </x:c>
      <x:c r="F161" s="4" t="str">
        <x:v>Record captured</x:v>
      </x:c>
      <x:c r="G161" s="4" t="str">
        <x:v>Reserved</x:v>
      </x:c>
    </x:row>
    <x:row r="162" ht="34" customHeight="1">
      <x:c r="A162" s="4" t="str">
        <x:v>RS-00161-E1</x:v>
      </x:c>
      <x:c r="B162" s="4" t="str">
        <x:v>RS-00161</x:v>
      </x:c>
      <x:c r="C162" s="8" t="n">
        <x:v>45312</x:v>
      </x:c>
      <x:c r="D162" s="4" t="str">
        <x:v>Sales operations manager</x:v>
      </x:c>
      <x:c r="E162" s="4" t="str">
        <x:v>ERP form</x:v>
      </x:c>
      <x:c r="F162" s="4" t="str">
        <x:v>Record captured</x:v>
      </x:c>
      <x:c r="G162" s="4" t="str">
        <x:v>Reserved</x:v>
      </x:c>
    </x:row>
    <x:row r="163" ht="34" customHeight="1">
      <x:c r="A163" s="4" t="str">
        <x:v>RS-00162-E1</x:v>
      </x:c>
      <x:c r="B163" s="4" t="str">
        <x:v>RS-00162</x:v>
      </x:c>
      <x:c r="C163" s="8" t="n">
        <x:v>45313</x:v>
      </x:c>
      <x:c r="D163" s="4" t="str">
        <x:v>Sales operations manager</x:v>
      </x:c>
      <x:c r="E163" s="4" t="str">
        <x:v>Spreadsheet import</x:v>
      </x:c>
      <x:c r="F163" s="4" t="str">
        <x:v>Record captured</x:v>
      </x:c>
      <x:c r="G163" s="4" t="str">
        <x:v>Booked</x:v>
      </x:c>
    </x:row>
    <x:row r="164" ht="34" customHeight="1">
      <x:c r="A164" s="4" t="str">
        <x:v>RS-00163-E1</x:v>
      </x:c>
      <x:c r="B164" s="4" t="str">
        <x:v>RS-00163</x:v>
      </x:c>
      <x:c r="C164" s="8" t="n">
        <x:v>45314</x:v>
      </x:c>
      <x:c r="D164" s="4" t="str">
        <x:v>Sales operations manager</x:v>
      </x:c>
      <x:c r="E164" s="4" t="str">
        <x:v>Spreadsheet import</x:v>
      </x:c>
      <x:c r="F164" s="4" t="str">
        <x:v>Record captured</x:v>
      </x:c>
      <x:c r="G164" s="4" t="str">
        <x:v>Agreement signed</x:v>
      </x:c>
    </x:row>
    <x:row r="165" ht="34" customHeight="1">
      <x:c r="A165" s="4" t="str">
        <x:v>RS-00164-E1</x:v>
      </x:c>
      <x:c r="B165" s="4" t="str">
        <x:v>RS-00164</x:v>
      </x:c>
      <x:c r="C165" s="8" t="n">
        <x:v>45315</x:v>
      </x:c>
      <x:c r="D165" s="4" t="str">
        <x:v>Sales operations manager</x:v>
      </x:c>
      <x:c r="E165" s="4" t="str">
        <x:v>WhatsApp transcribed</x:v>
      </x:c>
      <x:c r="F165" s="4" t="str">
        <x:v>Record captured</x:v>
      </x:c>
      <x:c r="G165" s="4" t="str">
        <x:v>Handed over</x:v>
      </x:c>
    </x:row>
    <x:row r="166" ht="34" customHeight="1">
      <x:c r="A166" s="4" t="str">
        <x:v>RS-00165-E1</x:v>
      </x:c>
      <x:c r="B166" s="4" t="str">
        <x:v>RS-00165</x:v>
      </x:c>
      <x:c r="C166" s="8" t="n">
        <x:v>45316</x:v>
      </x:c>
      <x:c r="D166" s="4" t="str">
        <x:v>Sales operations manager</x:v>
      </x:c>
      <x:c r="E166" s="4" t="str">
        <x:v>WhatsApp transcribed</x:v>
      </x:c>
      <x:c r="F166" s="4" t="str">
        <x:v>Record captured</x:v>
      </x:c>
      <x:c r="G166" s="4" t="str">
        <x:v>Enquiry</x:v>
      </x:c>
    </x:row>
    <x:row r="167" ht="34" customHeight="1">
      <x:c r="A167" s="4" t="str">
        <x:v>RS-00166-E1</x:v>
      </x:c>
      <x:c r="B167" s="4" t="str">
        <x:v>RS-00166</x:v>
      </x:c>
      <x:c r="C167" s="8" t="n">
        <x:v>45317</x:v>
      </x:c>
      <x:c r="D167" s="4" t="str">
        <x:v>Sales operations manager</x:v>
      </x:c>
      <x:c r="E167" s="4" t="str">
        <x:v>ERP form</x:v>
      </x:c>
      <x:c r="F167" s="4" t="str">
        <x:v>Record captured</x:v>
      </x:c>
      <x:c r="G167" s="4" t="str">
        <x:v>Reserved</x:v>
      </x:c>
    </x:row>
    <x:row r="168" ht="34" customHeight="1">
      <x:c r="A168" s="4" t="str">
        <x:v>RS-00167-E1</x:v>
      </x:c>
      <x:c r="B168" s="4" t="str">
        <x:v>RS-00167</x:v>
      </x:c>
      <x:c r="C168" s="8" t="n">
        <x:v>45318</x:v>
      </x:c>
      <x:c r="D168" s="4" t="str">
        <x:v>Sales operations manager</x:v>
      </x:c>
      <x:c r="E168" s="4" t="str">
        <x:v>ERP form</x:v>
      </x:c>
      <x:c r="F168" s="4" t="str">
        <x:v>Record captured</x:v>
      </x:c>
      <x:c r="G168" s="4" t="str">
        <x:v>Handed over</x:v>
      </x:c>
    </x:row>
    <x:row r="169" ht="34" customHeight="1">
      <x:c r="A169" s="4" t="str">
        <x:v>RS-00168-E1</x:v>
      </x:c>
      <x:c r="B169" s="4" t="str">
        <x:v>RS-00168</x:v>
      </x:c>
      <x:c r="C169" s="8" t="n">
        <x:v>45319</x:v>
      </x:c>
      <x:c r="D169" s="4" t="str">
        <x:v>Sales operations manager</x:v>
      </x:c>
      <x:c r="E169" s="4" t="str">
        <x:v>WhatsApp transcribed</x:v>
      </x:c>
      <x:c r="F169" s="4" t="str">
        <x:v>Record captured</x:v>
      </x:c>
      <x:c r="G169" s="4" t="str">
        <x:v>Agreement signed</x:v>
      </x:c>
    </x:row>
    <x:row r="170" ht="34" customHeight="1">
      <x:c r="A170" s="4" t="str">
        <x:v>RS-00169-E1</x:v>
      </x:c>
      <x:c r="B170" s="4" t="str">
        <x:v>RS-00169</x:v>
      </x:c>
      <x:c r="C170" s="8" t="n">
        <x:v>45292</x:v>
      </x:c>
      <x:c r="D170" s="4" t="str">
        <x:v>Sales operations manager</x:v>
      </x:c>
      <x:c r="E170" s="4" t="str">
        <x:v>Spreadsheet import</x:v>
      </x:c>
      <x:c r="F170" s="4" t="str">
        <x:v>Record captured</x:v>
      </x:c>
      <x:c r="G170" s="4" t="str">
        <x:v>Enquiry</x:v>
      </x:c>
    </x:row>
    <x:row r="171" ht="34" customHeight="1">
      <x:c r="A171" s="4" t="str">
        <x:v>RS-00170-E1</x:v>
      </x:c>
      <x:c r="B171" s="4" t="str">
        <x:v>RS-00170</x:v>
      </x:c>
      <x:c r="C171" s="8" t="n">
        <x:v>45293</x:v>
      </x:c>
      <x:c r="D171" s="4" t="str">
        <x:v>Sales operations manager</x:v>
      </x:c>
      <x:c r="E171" s="4" t="str">
        <x:v>Paper transcribed</x:v>
      </x:c>
      <x:c r="F171" s="4" t="str">
        <x:v>Record captured</x:v>
      </x:c>
      <x:c r="G171" s="4" t="str">
        <x:v>Handed over</x:v>
      </x:c>
    </x:row>
    <x:row r="172" ht="34" customHeight="1">
      <x:c r="A172" s="4" t="str">
        <x:v>RS-00171-E1</x:v>
      </x:c>
      <x:c r="B172" s="4" t="str">
        <x:v>RS-00171</x:v>
      </x:c>
      <x:c r="C172" s="8" t="n">
        <x:v>45294</x:v>
      </x:c>
      <x:c r="D172" s="4" t="str">
        <x:v>Sales operations manager</x:v>
      </x:c>
      <x:c r="E172" s="4" t="str">
        <x:v>ERP form</x:v>
      </x:c>
      <x:c r="F172" s="4" t="str">
        <x:v>Record captured</x:v>
      </x:c>
      <x:c r="G172" s="4" t="str">
        <x:v>Enquiry</x:v>
      </x:c>
    </x:row>
    <x:row r="173" ht="34" customHeight="1">
      <x:c r="A173" s="4" t="str">
        <x:v>RS-00172-E1</x:v>
      </x:c>
      <x:c r="B173" s="4" t="str">
        <x:v>RS-00172</x:v>
      </x:c>
      <x:c r="C173" s="8" t="n">
        <x:v>45295</x:v>
      </x:c>
      <x:c r="D173" s="4" t="str">
        <x:v>Sales operations manager</x:v>
      </x:c>
      <x:c r="E173" s="4" t="str">
        <x:v>WhatsApp transcribed</x:v>
      </x:c>
      <x:c r="F173" s="4" t="str">
        <x:v>Record captured</x:v>
      </x:c>
      <x:c r="G173" s="4" t="str">
        <x:v>Agreement signed</x:v>
      </x:c>
    </x:row>
    <x:row r="174" ht="34" customHeight="1">
      <x:c r="A174" s="4" t="str">
        <x:v>RS-00173-E1</x:v>
      </x:c>
      <x:c r="B174" s="4" t="str">
        <x:v>RS-00173</x:v>
      </x:c>
      <x:c r="C174" s="8" t="n">
        <x:v>45296</x:v>
      </x:c>
      <x:c r="D174" s="4" t="str">
        <x:v>Sales operations manager</x:v>
      </x:c>
      <x:c r="E174" s="4" t="str">
        <x:v>Paper transcribed</x:v>
      </x:c>
      <x:c r="F174" s="4" t="str">
        <x:v>Record captured</x:v>
      </x:c>
      <x:c r="G174" s="4" t="str">
        <x:v>Handed over</x:v>
      </x:c>
    </x:row>
    <x:row r="175" ht="34" customHeight="1">
      <x:c r="A175" s="4" t="str">
        <x:v>RS-00174-E1</x:v>
      </x:c>
      <x:c r="B175" s="4" t="str">
        <x:v>RS-00174</x:v>
      </x:c>
      <x:c r="C175" s="8" t="n">
        <x:v>45297</x:v>
      </x:c>
      <x:c r="D175" s="4" t="str">
        <x:v>Sales operations manager</x:v>
      </x:c>
      <x:c r="E175" s="4" t="str">
        <x:v>Spreadsheet import</x:v>
      </x:c>
      <x:c r="F175" s="4" t="str">
        <x:v>Record captured</x:v>
      </x:c>
      <x:c r="G175" s="4" t="str">
        <x:v>Handed over</x:v>
      </x:c>
    </x:row>
    <x:row r="176" ht="34" customHeight="1">
      <x:c r="A176" s="4" t="str">
        <x:v>RS-00175-E1</x:v>
      </x:c>
      <x:c r="B176" s="4" t="str">
        <x:v>RS-00175</x:v>
      </x:c>
      <x:c r="C176" s="8" t="n">
        <x:v>45298</x:v>
      </x:c>
      <x:c r="D176" s="4" t="str">
        <x:v>Sales operations manager</x:v>
      </x:c>
      <x:c r="E176" s="4" t="str">
        <x:v>ERP form</x:v>
      </x:c>
      <x:c r="F176" s="4" t="str">
        <x:v>Record captured</x:v>
      </x:c>
      <x:c r="G176" s="4" t="str">
        <x:v>Enquiry</x:v>
      </x:c>
    </x:row>
    <x:row r="177" ht="34" customHeight="1">
      <x:c r="A177" s="4" t="str">
        <x:v>RS-00176-E1</x:v>
      </x:c>
      <x:c r="B177" s="4" t="str">
        <x:v>RS-00176</x:v>
      </x:c>
      <x:c r="C177" s="8" t="n">
        <x:v>45299</x:v>
      </x:c>
      <x:c r="D177" s="4" t="str">
        <x:v>Sales operations manager</x:v>
      </x:c>
      <x:c r="E177" s="4" t="str">
        <x:v>ERP form</x:v>
      </x:c>
      <x:c r="F177" s="4" t="str">
        <x:v>Record captured</x:v>
      </x:c>
      <x:c r="G177" s="4" t="str">
        <x:v>Handed over</x:v>
      </x:c>
    </x:row>
    <x:row r="178" ht="34" customHeight="1">
      <x:c r="A178" s="4" t="str">
        <x:v>RS-00177-E1</x:v>
      </x:c>
      <x:c r="B178" s="4" t="str">
        <x:v>RS-00177</x:v>
      </x:c>
      <x:c r="C178" s="8" t="n">
        <x:v>45300</x:v>
      </x:c>
      <x:c r="D178" s="4" t="str">
        <x:v>Sales operations manager</x:v>
      </x:c>
      <x:c r="E178" s="4" t="str">
        <x:v>WhatsApp transcribed</x:v>
      </x:c>
      <x:c r="F178" s="4" t="str">
        <x:v>Record captured</x:v>
      </x:c>
      <x:c r="G178" s="4" t="str">
        <x:v>Agreement signed</x:v>
      </x:c>
    </x:row>
    <x:row r="179" ht="34" customHeight="1">
      <x:c r="A179" s="4" t="str">
        <x:v>RS-00178-E1</x:v>
      </x:c>
      <x:c r="B179" s="4" t="str">
        <x:v>RS-00178</x:v>
      </x:c>
      <x:c r="C179" s="8" t="n">
        <x:v>45301</x:v>
      </x:c>
      <x:c r="D179" s="4" t="str">
        <x:v>Sales operations manager</x:v>
      </x:c>
      <x:c r="E179" s="4" t="str">
        <x:v>ERP form</x:v>
      </x:c>
      <x:c r="F179" s="4" t="str">
        <x:v>Record captured</x:v>
      </x:c>
      <x:c r="G179" s="4" t="str">
        <x:v>Cancelled</x:v>
      </x:c>
    </x:row>
    <x:row r="180" ht="34" customHeight="1">
      <x:c r="A180" s="4" t="str">
        <x:v>RS-00179-E1</x:v>
      </x:c>
      <x:c r="B180" s="4" t="str">
        <x:v>RS-00179</x:v>
      </x:c>
      <x:c r="C180" s="8" t="n">
        <x:v>45302</x:v>
      </x:c>
      <x:c r="D180" s="4" t="str">
        <x:v>Sales operations manager</x:v>
      </x:c>
      <x:c r="E180" s="4" t="str">
        <x:v>Spreadsheet import</x:v>
      </x:c>
      <x:c r="F180" s="4" t="str">
        <x:v>Record captured</x:v>
      </x:c>
      <x:c r="G180" s="4" t="str">
        <x:v>Handed over</x:v>
      </x:c>
    </x:row>
    <x:row r="181" ht="34" customHeight="1">
      <x:c r="A181" s="4" t="str">
        <x:v>RS-00180-E1</x:v>
      </x:c>
      <x:c r="B181" s="4" t="str">
        <x:v>RS-00180</x:v>
      </x:c>
      <x:c r="C181" s="8" t="n">
        <x:v>45303</x:v>
      </x:c>
      <x:c r="D181" s="4" t="str">
        <x:v>Sales operations manager</x:v>
      </x:c>
      <x:c r="E181" s="4" t="str">
        <x:v>ERP form</x:v>
      </x:c>
      <x:c r="F181" s="4" t="str">
        <x:v>Record captured</x:v>
      </x:c>
      <x:c r="G181" s="4" t="str">
        <x:v>Enquiry</x:v>
      </x:c>
    </x:row>
    <x:row r="182" ht="34" customHeight="1">
      <x:c r="A182" s="4" t="str">
        <x:v>RS-00181-E1</x:v>
      </x:c>
      <x:c r="B182" s="4" t="str">
        <x:v>RS-00181</x:v>
      </x:c>
      <x:c r="C182" s="8" t="n">
        <x:v>45304</x:v>
      </x:c>
      <x:c r="D182" s="4" t="str">
        <x:v>Sales operations manager</x:v>
      </x:c>
      <x:c r="E182" s="4" t="str">
        <x:v>WhatsApp transcribed</x:v>
      </x:c>
      <x:c r="F182" s="4" t="str">
        <x:v>Record captured</x:v>
      </x:c>
      <x:c r="G182" s="4" t="str">
        <x:v>Handed over</x:v>
      </x:c>
    </x:row>
    <x:row r="183" ht="34" customHeight="1">
      <x:c r="A183" s="4" t="str">
        <x:v>RS-00182-E1</x:v>
      </x:c>
      <x:c r="B183" s="4" t="str">
        <x:v>RS-00182</x:v>
      </x:c>
      <x:c r="C183" s="8" t="n">
        <x:v>45305</x:v>
      </x:c>
      <x:c r="D183" s="4" t="str">
        <x:v>Sales operations manager</x:v>
      </x:c>
      <x:c r="E183" s="4" t="str">
        <x:v>ERP form</x:v>
      </x:c>
      <x:c r="F183" s="4" t="str">
        <x:v>Record captured</x:v>
      </x:c>
      <x:c r="G183" s="4" t="str">
        <x:v>Enquiry</x:v>
      </x:c>
    </x:row>
    <x:row r="184" ht="34" customHeight="1">
      <x:c r="A184" s="4" t="str">
        <x:v>RS-00183-E1</x:v>
      </x:c>
      <x:c r="B184" s="4" t="str">
        <x:v>RS-00183</x:v>
      </x:c>
      <x:c r="C184" s="8" t="n">
        <x:v>45306</x:v>
      </x:c>
      <x:c r="D184" s="4" t="str">
        <x:v>Sales operations manager</x:v>
      </x:c>
      <x:c r="E184" s="4" t="str">
        <x:v>Paper transcribed</x:v>
      </x:c>
      <x:c r="F184" s="4" t="str">
        <x:v>Record captured</x:v>
      </x:c>
      <x:c r="G184" s="4" t="str">
        <x:v>Reserved</x:v>
      </x:c>
    </x:row>
    <x:row r="185" ht="34" customHeight="1">
      <x:c r="A185" s="4" t="str">
        <x:v>RS-00184-E1</x:v>
      </x:c>
      <x:c r="B185" s="4" t="str">
        <x:v>RS-00184</x:v>
      </x:c>
      <x:c r="C185" s="8" t="n">
        <x:v>45307</x:v>
      </x:c>
      <x:c r="D185" s="4" t="str">
        <x:v>Sales operations manager</x:v>
      </x:c>
      <x:c r="E185" s="4" t="str">
        <x:v>Paper transcribed</x:v>
      </x:c>
      <x:c r="F185" s="4" t="str">
        <x:v>Record captured</x:v>
      </x:c>
      <x:c r="G185" s="4" t="str">
        <x:v>Booked</x:v>
      </x:c>
    </x:row>
    <x:row r="186" ht="34" customHeight="1">
      <x:c r="A186" s="4" t="str">
        <x:v>RS-00185-E1</x:v>
      </x:c>
      <x:c r="B186" s="4" t="str">
        <x:v>RS-00185</x:v>
      </x:c>
      <x:c r="C186" s="8" t="n">
        <x:v>45308</x:v>
      </x:c>
      <x:c r="D186" s="4" t="str">
        <x:v>Sales operations manager</x:v>
      </x:c>
      <x:c r="E186" s="4" t="str">
        <x:v>ERP form</x:v>
      </x:c>
      <x:c r="F186" s="4" t="str">
        <x:v>Record captured</x:v>
      </x:c>
      <x:c r="G186" s="4" t="str">
        <x:v>Handed over</x:v>
      </x:c>
    </x:row>
    <x:row r="187" ht="34" customHeight="1">
      <x:c r="A187" s="4" t="str">
        <x:v>RS-00186-E1</x:v>
      </x:c>
      <x:c r="B187" s="4" t="str">
        <x:v>RS-00186</x:v>
      </x:c>
      <x:c r="C187" s="8" t="n">
        <x:v>45309</x:v>
      </x:c>
      <x:c r="D187" s="4" t="str">
        <x:v>Sales operations manager</x:v>
      </x:c>
      <x:c r="E187" s="4" t="str">
        <x:v>Paper transcribed</x:v>
      </x:c>
      <x:c r="F187" s="4" t="str">
        <x:v>Record captured</x:v>
      </x:c>
      <x:c r="G187" s="4" t="str">
        <x:v>Enquiry</x:v>
      </x:c>
    </x:row>
    <x:row r="188" ht="34" customHeight="1">
      <x:c r="A188" s="4" t="str">
        <x:v>RS-00187-E1</x:v>
      </x:c>
      <x:c r="B188" s="4" t="str">
        <x:v>RS-00187</x:v>
      </x:c>
      <x:c r="C188" s="8" t="n">
        <x:v>45310</x:v>
      </x:c>
      <x:c r="D188" s="4" t="str">
        <x:v>Sales operations manager</x:v>
      </x:c>
      <x:c r="E188" s="4" t="str">
        <x:v>Spreadsheet import</x:v>
      </x:c>
      <x:c r="F188" s="4" t="str">
        <x:v>Record captured</x:v>
      </x:c>
      <x:c r="G188" s="4" t="str">
        <x:v>Reserved</x:v>
      </x:c>
    </x:row>
    <x:row r="189" ht="34" customHeight="1">
      <x:c r="A189" s="4" t="str">
        <x:v>RS-00188-E1</x:v>
      </x:c>
      <x:c r="B189" s="4" t="str">
        <x:v>RS-00188</x:v>
      </x:c>
      <x:c r="C189" s="8" t="n">
        <x:v>45311</x:v>
      </x:c>
      <x:c r="D189" s="4" t="str">
        <x:v>Sales operations manager</x:v>
      </x:c>
      <x:c r="E189" s="4" t="str">
        <x:v>Spreadsheet import</x:v>
      </x:c>
      <x:c r="F189" s="4" t="str">
        <x:v>Record captured</x:v>
      </x:c>
      <x:c r="G189" s="4" t="str">
        <x:v>Agreement signed</x:v>
      </x:c>
    </x:row>
    <x:row r="190" ht="34" customHeight="1">
      <x:c r="A190" s="4" t="str">
        <x:v>RS-00189-E1</x:v>
      </x:c>
      <x:c r="B190" s="4" t="str">
        <x:v>RS-00189</x:v>
      </x:c>
      <x:c r="C190" s="8" t="n">
        <x:v>45312</x:v>
      </x:c>
      <x:c r="D190" s="4" t="str">
        <x:v>Sales operations manager</x:v>
      </x:c>
      <x:c r="E190" s="4" t="str">
        <x:v>ERP form</x:v>
      </x:c>
      <x:c r="F190" s="4" t="str">
        <x:v>Record captured</x:v>
      </x:c>
      <x:c r="G190" s="4" t="str">
        <x:v>Agreement signed</x:v>
      </x:c>
    </x:row>
    <x:row r="191" ht="34" customHeight="1">
      <x:c r="A191" s="4" t="str">
        <x:v>RS-00190-E1</x:v>
      </x:c>
      <x:c r="B191" s="4" t="str">
        <x:v>RS-00190</x:v>
      </x:c>
      <x:c r="C191" s="8" t="n">
        <x:v>45313</x:v>
      </x:c>
      <x:c r="D191" s="4" t="str">
        <x:v>Sales operations manager</x:v>
      </x:c>
      <x:c r="E191" s="4" t="str">
        <x:v>Paper transcribed</x:v>
      </x:c>
      <x:c r="F191" s="4" t="str">
        <x:v>Record captured</x:v>
      </x:c>
      <x:c r="G191" s="4" t="str">
        <x:v>Booked</x:v>
      </x:c>
    </x:row>
    <x:row r="192" ht="34" customHeight="1">
      <x:c r="A192" s="4" t="str">
        <x:v>RS-00191-E1</x:v>
      </x:c>
      <x:c r="B192" s="4" t="str">
        <x:v>RS-00191</x:v>
      </x:c>
      <x:c r="C192" s="8" t="n">
        <x:v>45314</x:v>
      </x:c>
      <x:c r="D192" s="4" t="str">
        <x:v>Sales operations manager</x:v>
      </x:c>
      <x:c r="E192" s="4" t="str">
        <x:v>Paper transcribed</x:v>
      </x:c>
      <x:c r="F192" s="4" t="str">
        <x:v>Record captured</x:v>
      </x:c>
      <x:c r="G192" s="4" t="str">
        <x:v>Enquiry</x:v>
      </x:c>
    </x:row>
    <x:row r="193" ht="34" customHeight="1">
      <x:c r="A193" s="4" t="str">
        <x:v>RS-00192-E1</x:v>
      </x:c>
      <x:c r="B193" s="4" t="str">
        <x:v>RS-00192</x:v>
      </x:c>
      <x:c r="C193" s="8" t="n">
        <x:v>45315</x:v>
      </x:c>
      <x:c r="D193" s="4" t="str">
        <x:v>Sales operations manager</x:v>
      </x:c>
      <x:c r="E193" s="4" t="str">
        <x:v>ERP form</x:v>
      </x:c>
      <x:c r="F193" s="4" t="str">
        <x:v>Record captured</x:v>
      </x:c>
      <x:c r="G193" s="4" t="str">
        <x:v>Enquiry</x:v>
      </x:c>
    </x:row>
    <x:row r="194" ht="34" customHeight="1">
      <x:c r="A194" s="4" t="str">
        <x:v>RS-00193-E1</x:v>
      </x:c>
      <x:c r="B194" s="4" t="str">
        <x:v>RS-00193</x:v>
      </x:c>
      <x:c r="C194" s="8" t="n">
        <x:v>45316</x:v>
      </x:c>
      <x:c r="D194" s="4" t="str">
        <x:v>Sales operations manager</x:v>
      </x:c>
      <x:c r="E194" s="4" t="str">
        <x:v>ERP form</x:v>
      </x:c>
      <x:c r="F194" s="4" t="str">
        <x:v>Record captured</x:v>
      </x:c>
      <x:c r="G194" s="4" t="str">
        <x:v>Agreement signed</x:v>
      </x:c>
    </x:row>
    <x:row r="195" ht="34" customHeight="1">
      <x:c r="A195" s="4" t="str">
        <x:v>RS-00194-E1</x:v>
      </x:c>
      <x:c r="B195" s="4" t="str">
        <x:v>RS-00194</x:v>
      </x:c>
      <x:c r="C195" s="8" t="n">
        <x:v>45317</x:v>
      </x:c>
      <x:c r="D195" s="4" t="str">
        <x:v>Sales operations manager</x:v>
      </x:c>
      <x:c r="E195" s="4" t="str">
        <x:v>ERP form</x:v>
      </x:c>
      <x:c r="F195" s="4" t="str">
        <x:v>Record captured</x:v>
      </x:c>
      <x:c r="G195" s="4" t="str">
        <x:v>Reserved</x:v>
      </x:c>
    </x:row>
    <x:row r="196" ht="34" customHeight="1">
      <x:c r="A196" s="4" t="str">
        <x:v>RS-00195-E1</x:v>
      </x:c>
      <x:c r="B196" s="4" t="str">
        <x:v>RS-00195</x:v>
      </x:c>
      <x:c r="C196" s="8" t="n">
        <x:v>45318</x:v>
      </x:c>
      <x:c r="D196" s="4" t="str">
        <x:v>Sales operations manager</x:v>
      </x:c>
      <x:c r="E196" s="4" t="str">
        <x:v>Spreadsheet import</x:v>
      </x:c>
      <x:c r="F196" s="4" t="str">
        <x:v>Record captured</x:v>
      </x:c>
      <x:c r="G196" s="4" t="str">
        <x:v>Booked</x:v>
      </x:c>
    </x:row>
    <x:row r="197" ht="34" customHeight="1">
      <x:c r="A197" s="4" t="str">
        <x:v>RS-00196-E1</x:v>
      </x:c>
      <x:c r="B197" s="4" t="str">
        <x:v>RS-00196</x:v>
      </x:c>
      <x:c r="C197" s="8" t="n">
        <x:v>45319</x:v>
      </x:c>
      <x:c r="D197" s="4" t="str">
        <x:v>Sales operations manager</x:v>
      </x:c>
      <x:c r="E197" s="4" t="str">
        <x:v>WhatsApp transcribed</x:v>
      </x:c>
      <x:c r="F197" s="4" t="str">
        <x:v>Record captured</x:v>
      </x:c>
      <x:c r="G197" s="4" t="str">
        <x:v>Cancelled</x:v>
      </x:c>
    </x:row>
    <x:row r="198" ht="34" customHeight="1">
      <x:c r="A198" s="4" t="str">
        <x:v>RS-00197-E1</x:v>
      </x:c>
      <x:c r="B198" s="4" t="str">
        <x:v>RS-00197</x:v>
      </x:c>
      <x:c r="C198" s="8" t="n">
        <x:v>45292</x:v>
      </x:c>
      <x:c r="D198" s="4" t="str">
        <x:v>Sales operations manager</x:v>
      </x:c>
      <x:c r="E198" s="4" t="str">
        <x:v>ERP form</x:v>
      </x:c>
      <x:c r="F198" s="4" t="str">
        <x:v>Record captured</x:v>
      </x:c>
      <x:c r="G198" s="4" t="str">
        <x:v>Handed over</x:v>
      </x:c>
    </x:row>
    <x:row r="199" ht="34" customHeight="1">
      <x:c r="A199" s="4" t="str">
        <x:v>RS-00198-E1</x:v>
      </x:c>
      <x:c r="B199" s="4" t="str">
        <x:v>RS-00198</x:v>
      </x:c>
      <x:c r="C199" s="8" t="n">
        <x:v>45293</x:v>
      </x:c>
      <x:c r="D199" s="4" t="str">
        <x:v>Sales operations manager</x:v>
      </x:c>
      <x:c r="E199" s="4" t="str">
        <x:v>Spreadsheet import</x:v>
      </x:c>
      <x:c r="F199" s="4" t="str">
        <x:v>Record captured</x:v>
      </x:c>
      <x:c r="G199" s="4" t="str">
        <x:v>Handed over</x:v>
      </x:c>
    </x:row>
    <x:row r="200" ht="34" customHeight="1">
      <x:c r="A200" s="4" t="str">
        <x:v>RS-00199-E1</x:v>
      </x:c>
      <x:c r="B200" s="4" t="str">
        <x:v>RS-00199</x:v>
      </x:c>
      <x:c r="C200" s="8" t="n">
        <x:v>45294</x:v>
      </x:c>
      <x:c r="D200" s="4" t="str">
        <x:v>Sales operations manager</x:v>
      </x:c>
      <x:c r="E200" s="4" t="str">
        <x:v>ERP form</x:v>
      </x:c>
      <x:c r="F200" s="4" t="str">
        <x:v>Record captured</x:v>
      </x:c>
      <x:c r="G200" s="4" t="str">
        <x:v>Enquiry</x:v>
      </x:c>
    </x:row>
    <x:row r="201" ht="34" customHeight="1">
      <x:c r="A201" s="4" t="str">
        <x:v>RS-00200-E1</x:v>
      </x:c>
      <x:c r="B201" s="4" t="str">
        <x:v>RS-00200</x:v>
      </x:c>
      <x:c r="C201" s="8" t="n">
        <x:v>45295</x:v>
      </x:c>
      <x:c r="D201" s="4" t="str">
        <x:v>Sales operations manager</x:v>
      </x:c>
      <x:c r="E201" s="4" t="str">
        <x:v>WhatsApp transcribed</x:v>
      </x:c>
      <x:c r="F201" s="4" t="str">
        <x:v>Record captured</x:v>
      </x:c>
      <x:c r="G201" s="4" t="str">
        <x:v>Booked</x:v>
      </x:c>
    </x:row>
    <x:row r="202" ht="34" customHeight="1">
      <x:c r="A202" s="4" t="str">
        <x:v>RS-00201-E1</x:v>
      </x:c>
      <x:c r="B202" s="4" t="str">
        <x:v>RS-00201</x:v>
      </x:c>
      <x:c r="C202" s="8" t="n">
        <x:v>45296</x:v>
      </x:c>
      <x:c r="D202" s="4" t="str">
        <x:v>Sales operations manager</x:v>
      </x:c>
      <x:c r="E202" s="4" t="str">
        <x:v>ERP form</x:v>
      </x:c>
      <x:c r="F202" s="4" t="str">
        <x:v>Record captured</x:v>
      </x:c>
      <x:c r="G202" s="4" t="str">
        <x:v>Handed over</x:v>
      </x:c>
    </x:row>
    <x:row r="203" ht="34" customHeight="1">
      <x:c r="A203" s="4" t="str">
        <x:v>RS-00202-E1</x:v>
      </x:c>
      <x:c r="B203" s="4" t="str">
        <x:v>RS-00202</x:v>
      </x:c>
      <x:c r="C203" s="8" t="n">
        <x:v>45297</x:v>
      </x:c>
      <x:c r="D203" s="4" t="str">
        <x:v>Sales operations manager</x:v>
      </x:c>
      <x:c r="E203" s="4" t="str">
        <x:v>ERP form</x:v>
      </x:c>
      <x:c r="F203" s="4" t="str">
        <x:v>Record captured</x:v>
      </x:c>
      <x:c r="G203" s="4" t="str">
        <x:v>Booked</x:v>
      </x:c>
    </x:row>
    <x:row r="204" ht="34" customHeight="1">
      <x:c r="A204" s="4" t="str">
        <x:v>RS-00203-E1</x:v>
      </x:c>
      <x:c r="B204" s="4" t="str">
        <x:v>RS-00203</x:v>
      </x:c>
      <x:c r="C204" s="8" t="n">
        <x:v>45298</x:v>
      </x:c>
      <x:c r="D204" s="4" t="str">
        <x:v>Sales operations manager</x:v>
      </x:c>
      <x:c r="E204" s="4" t="str">
        <x:v>ERP form</x:v>
      </x:c>
      <x:c r="F204" s="4" t="str">
        <x:v>Record captured</x:v>
      </x:c>
      <x:c r="G204" s="4" t="str">
        <x:v>Handed over</x:v>
      </x:c>
    </x:row>
    <x:row r="205" ht="34" customHeight="1">
      <x:c r="A205" s="4" t="str">
        <x:v>RS-00204-E1</x:v>
      </x:c>
      <x:c r="B205" s="4" t="str">
        <x:v>RS-00204</x:v>
      </x:c>
      <x:c r="C205" s="8" t="n">
        <x:v>45299</x:v>
      </x:c>
      <x:c r="D205" s="4" t="str">
        <x:v>Sales operations manager</x:v>
      </x:c>
      <x:c r="E205" s="4" t="str">
        <x:v>Paper transcribed</x:v>
      </x:c>
      <x:c r="F205" s="4" t="str">
        <x:v>Record captured</x:v>
      </x:c>
      <x:c r="G205" s="4" t="str">
        <x:v>Handed over</x:v>
      </x:c>
    </x:row>
    <x:row r="206" ht="34" customHeight="1">
      <x:c r="A206" s="4" t="str">
        <x:v>RS-00205-E1</x:v>
      </x:c>
      <x:c r="B206" s="4" t="str">
        <x:v>RS-00205</x:v>
      </x:c>
      <x:c r="C206" s="8" t="n">
        <x:v>45300</x:v>
      </x:c>
      <x:c r="D206" s="4" t="str">
        <x:v>Sales operations manager</x:v>
      </x:c>
      <x:c r="E206" s="4" t="str">
        <x:v>ERP form</x:v>
      </x:c>
      <x:c r="F206" s="4" t="str">
        <x:v>Record captured</x:v>
      </x:c>
      <x:c r="G206" s="4" t="str">
        <x:v>Cancelled</x:v>
      </x:c>
    </x:row>
    <x:row r="207" ht="34" customHeight="1">
      <x:c r="A207" s="4" t="str">
        <x:v>RS-00206-E1</x:v>
      </x:c>
      <x:c r="B207" s="4" t="str">
        <x:v>RS-00206</x:v>
      </x:c>
      <x:c r="C207" s="8" t="n">
        <x:v>45301</x:v>
      </x:c>
      <x:c r="D207" s="4" t="str">
        <x:v>Sales operations manager</x:v>
      </x:c>
      <x:c r="E207" s="4" t="str">
        <x:v>Paper transcribed</x:v>
      </x:c>
      <x:c r="F207" s="4" t="str">
        <x:v>Record captured</x:v>
      </x:c>
      <x:c r="G207" s="4" t="str">
        <x:v>Cancelled</x:v>
      </x:c>
    </x:row>
    <x:row r="208" ht="34" customHeight="1">
      <x:c r="A208" s="4" t="str">
        <x:v>RS-00207-E1</x:v>
      </x:c>
      <x:c r="B208" s="4" t="str">
        <x:v>RS-00207</x:v>
      </x:c>
      <x:c r="C208" s="8" t="n">
        <x:v>45302</x:v>
      </x:c>
      <x:c r="D208" s="4" t="str">
        <x:v>Sales operations manager</x:v>
      </x:c>
      <x:c r="E208" s="4" t="str">
        <x:v>WhatsApp transcribed</x:v>
      </x:c>
      <x:c r="F208" s="4" t="str">
        <x:v>Record captured</x:v>
      </x:c>
      <x:c r="G208" s="4" t="str">
        <x:v>Reserved</x:v>
      </x:c>
    </x:row>
    <x:row r="209" ht="34" customHeight="1">
      <x:c r="A209" s="4" t="str">
        <x:v>RS-00208-E1</x:v>
      </x:c>
      <x:c r="B209" s="4" t="str">
        <x:v>RS-00208</x:v>
      </x:c>
      <x:c r="C209" s="8" t="n">
        <x:v>45303</x:v>
      </x:c>
      <x:c r="D209" s="4" t="str">
        <x:v>Sales operations manager</x:v>
      </x:c>
      <x:c r="E209" s="4" t="str">
        <x:v>Spreadsheet import</x:v>
      </x:c>
      <x:c r="F209" s="4" t="str">
        <x:v>Record captured</x:v>
      </x:c>
      <x:c r="G209" s="4" t="str">
        <x:v>Enquiry</x:v>
      </x:c>
    </x:row>
    <x:row r="210" ht="34" customHeight="1">
      <x:c r="A210" s="4" t="str">
        <x:v>RS-00209-E1</x:v>
      </x:c>
      <x:c r="B210" s="4" t="str">
        <x:v>RS-00209</x:v>
      </x:c>
      <x:c r="C210" s="8" t="n">
        <x:v>45304</x:v>
      </x:c>
      <x:c r="D210" s="4" t="str">
        <x:v>Sales operations manager</x:v>
      </x:c>
      <x:c r="E210" s="4" t="str">
        <x:v>Spreadsheet import</x:v>
      </x:c>
      <x:c r="F210" s="4" t="str">
        <x:v>Record captured</x:v>
      </x:c>
      <x:c r="G210" s="4" t="str">
        <x:v>Booked</x:v>
      </x:c>
    </x:row>
    <x:row r="211" ht="34" customHeight="1">
      <x:c r="A211" s="4" t="str">
        <x:v>RS-00210-E1</x:v>
      </x:c>
      <x:c r="B211" s="4" t="str">
        <x:v>RS-00210</x:v>
      </x:c>
      <x:c r="C211" s="8" t="n">
        <x:v>45305</x:v>
      </x:c>
      <x:c r="D211" s="4" t="str">
        <x:v>Sales operations manager</x:v>
      </x:c>
      <x:c r="E211" s="4" t="str">
        <x:v>ERP form</x:v>
      </x:c>
      <x:c r="F211" s="4" t="str">
        <x:v>Record captured</x:v>
      </x:c>
      <x:c r="G211" s="4" t="str">
        <x:v>Enquiry</x:v>
      </x:c>
    </x:row>
    <x:row r="212" ht="34" customHeight="1">
      <x:c r="A212" s="4" t="str">
        <x:v>RS-00211-E1</x:v>
      </x:c>
      <x:c r="B212" s="4" t="str">
        <x:v>RS-00211</x:v>
      </x:c>
      <x:c r="C212" s="8" t="n">
        <x:v>45306</x:v>
      </x:c>
      <x:c r="D212" s="4" t="str">
        <x:v>Sales operations manager</x:v>
      </x:c>
      <x:c r="E212" s="4" t="str">
        <x:v>Paper transcribed</x:v>
      </x:c>
      <x:c r="F212" s="4" t="str">
        <x:v>Record captured</x:v>
      </x:c>
      <x:c r="G212" s="4" t="str">
        <x:v>Agreement signed</x:v>
      </x:c>
    </x:row>
    <x:row r="213" ht="34" customHeight="1">
      <x:c r="A213" s="4" t="str">
        <x:v>RS-00212-E1</x:v>
      </x:c>
      <x:c r="B213" s="4" t="str">
        <x:v>RS-00212</x:v>
      </x:c>
      <x:c r="C213" s="8" t="n">
        <x:v>45307</x:v>
      </x:c>
      <x:c r="D213" s="4" t="str">
        <x:v>Sales operations manager</x:v>
      </x:c>
      <x:c r="E213" s="4" t="str">
        <x:v>Spreadsheet import</x:v>
      </x:c>
      <x:c r="F213" s="4" t="str">
        <x:v>Record captured</x:v>
      </x:c>
      <x:c r="G213" s="4" t="str">
        <x:v>Booked</x:v>
      </x:c>
    </x:row>
    <x:row r="214" ht="34" customHeight="1">
      <x:c r="A214" s="4" t="str">
        <x:v>RS-00213-E1</x:v>
      </x:c>
      <x:c r="B214" s="4" t="str">
        <x:v>RS-00213</x:v>
      </x:c>
      <x:c r="C214" s="8" t="n">
        <x:v>45308</x:v>
      </x:c>
      <x:c r="D214" s="4" t="str">
        <x:v>Sales operations manager</x:v>
      </x:c>
      <x:c r="E214" s="4" t="str">
        <x:v>WhatsApp transcribed</x:v>
      </x:c>
      <x:c r="F214" s="4" t="str">
        <x:v>Record captured</x:v>
      </x:c>
      <x:c r="G214" s="4" t="str">
        <x:v>Booked</x:v>
      </x:c>
    </x:row>
    <x:row r="215" ht="34" customHeight="1">
      <x:c r="A215" s="4" t="str">
        <x:v>RS-00214-E1</x:v>
      </x:c>
      <x:c r="B215" s="4" t="str">
        <x:v>RS-00214</x:v>
      </x:c>
      <x:c r="C215" s="8" t="n">
        <x:v>45309</x:v>
      </x:c>
      <x:c r="D215" s="4" t="str">
        <x:v>Sales operations manager</x:v>
      </x:c>
      <x:c r="E215" s="4" t="str">
        <x:v>WhatsApp transcribed</x:v>
      </x:c>
      <x:c r="F215" s="4" t="str">
        <x:v>Record captured</x:v>
      </x:c>
      <x:c r="G215" s="4" t="str">
        <x:v>Booked</x:v>
      </x:c>
    </x:row>
    <x:row r="216" ht="34" customHeight="1">
      <x:c r="A216" s="4" t="str">
        <x:v>RS-00215-E1</x:v>
      </x:c>
      <x:c r="B216" s="4" t="str">
        <x:v>RS-00215</x:v>
      </x:c>
      <x:c r="C216" s="8" t="n">
        <x:v>45310</x:v>
      </x:c>
      <x:c r="D216" s="4" t="str">
        <x:v>Sales operations manager</x:v>
      </x:c>
      <x:c r="E216" s="4" t="str">
        <x:v>WhatsApp transcribed</x:v>
      </x:c>
      <x:c r="F216" s="4" t="str">
        <x:v>Record captured</x:v>
      </x:c>
      <x:c r="G216" s="4" t="str">
        <x:v>Enquiry</x:v>
      </x:c>
    </x:row>
    <x:row r="217" ht="34" customHeight="1">
      <x:c r="A217" s="4" t="str">
        <x:v>RS-00216-E1</x:v>
      </x:c>
      <x:c r="B217" s="4" t="str">
        <x:v>RS-00216</x:v>
      </x:c>
      <x:c r="C217" s="8" t="n">
        <x:v>45311</x:v>
      </x:c>
      <x:c r="D217" s="4" t="str">
        <x:v>Sales operations manager</x:v>
      </x:c>
      <x:c r="E217" s="4" t="str">
        <x:v>ERP form</x:v>
      </x:c>
      <x:c r="F217" s="4" t="str">
        <x:v>Record captured</x:v>
      </x:c>
      <x:c r="G217" s="4" t="str">
        <x:v>Booked</x:v>
      </x:c>
    </x:row>
    <x:row r="218" ht="34" customHeight="1">
      <x:c r="A218" s="4" t="str">
        <x:v>RS-00217-E1</x:v>
      </x:c>
      <x:c r="B218" s="4" t="str">
        <x:v>RS-00217</x:v>
      </x:c>
      <x:c r="C218" s="8" t="n">
        <x:v>45312</x:v>
      </x:c>
      <x:c r="D218" s="4" t="str">
        <x:v>Sales operations manager</x:v>
      </x:c>
      <x:c r="E218" s="4" t="str">
        <x:v>Paper transcribed</x:v>
      </x:c>
      <x:c r="F218" s="4" t="str">
        <x:v>Record captured</x:v>
      </x:c>
      <x:c r="G218" s="4" t="str">
        <x:v>Handed over</x:v>
      </x:c>
    </x:row>
    <x:row r="219" ht="34" customHeight="1">
      <x:c r="A219" s="4" t="str">
        <x:v>RS-00218-E1</x:v>
      </x:c>
      <x:c r="B219" s="4" t="str">
        <x:v>RS-00218</x:v>
      </x:c>
      <x:c r="C219" s="8" t="n">
        <x:v>45313</x:v>
      </x:c>
      <x:c r="D219" s="4" t="str">
        <x:v>Sales operations manager</x:v>
      </x:c>
      <x:c r="E219" s="4" t="str">
        <x:v>ERP form</x:v>
      </x:c>
      <x:c r="F219" s="4" t="str">
        <x:v>Record captured</x:v>
      </x:c>
      <x:c r="G219" s="4" t="str">
        <x:v>Agreement signed</x:v>
      </x:c>
    </x:row>
    <x:row r="220" ht="34" customHeight="1">
      <x:c r="A220" s="4" t="str">
        <x:v>RS-00219-E1</x:v>
      </x:c>
      <x:c r="B220" s="4" t="str">
        <x:v>RS-00219</x:v>
      </x:c>
      <x:c r="C220" s="8" t="n">
        <x:v>45314</x:v>
      </x:c>
      <x:c r="D220" s="4" t="str">
        <x:v>Sales operations manager</x:v>
      </x:c>
      <x:c r="E220" s="4" t="str">
        <x:v>Spreadsheet import</x:v>
      </x:c>
      <x:c r="F220" s="4" t="str">
        <x:v>Record captured</x:v>
      </x:c>
      <x:c r="G220" s="4" t="str">
        <x:v>Cancelled</x:v>
      </x:c>
    </x:row>
    <x:row r="221" ht="34" customHeight="1">
      <x:c r="A221" s="4" t="str">
        <x:v>RS-00220-E1</x:v>
      </x:c>
      <x:c r="B221" s="4" t="str">
        <x:v>RS-00220</x:v>
      </x:c>
      <x:c r="C221" s="8" t="n">
        <x:v>45315</x:v>
      </x:c>
      <x:c r="D221" s="4" t="str">
        <x:v>Sales operations manager</x:v>
      </x:c>
      <x:c r="E221" s="4" t="str">
        <x:v>Spreadsheet import</x:v>
      </x:c>
      <x:c r="F221" s="4" t="str">
        <x:v>Record captured</x:v>
      </x:c>
      <x:c r="G221" s="4" t="str">
        <x:v>Cancelled</x:v>
      </x:c>
    </x:row>
    <x:row r="222" ht="34" customHeight="1">
      <x:c r="A222" s="4" t="str">
        <x:v>RS-00221-E1</x:v>
      </x:c>
      <x:c r="B222" s="4" t="str">
        <x:v>RS-00221</x:v>
      </x:c>
      <x:c r="C222" s="8" t="n">
        <x:v>45316</x:v>
      </x:c>
      <x:c r="D222" s="4" t="str">
        <x:v>Sales operations manager</x:v>
      </x:c>
      <x:c r="E222" s="4" t="str">
        <x:v>Paper transcribed</x:v>
      </x:c>
      <x:c r="F222" s="4" t="str">
        <x:v>Record captured</x:v>
      </x:c>
      <x:c r="G222" s="4" t="str">
        <x:v>Enquiry</x:v>
      </x:c>
    </x:row>
    <x:row r="223" ht="34" customHeight="1">
      <x:c r="A223" s="4" t="str">
        <x:v>RS-00222-E1</x:v>
      </x:c>
      <x:c r="B223" s="4" t="str">
        <x:v>RS-00222</x:v>
      </x:c>
      <x:c r="C223" s="8" t="n">
        <x:v>45317</x:v>
      </x:c>
      <x:c r="D223" s="4" t="str">
        <x:v>Sales operations manager</x:v>
      </x:c>
      <x:c r="E223" s="4" t="str">
        <x:v>Paper transcribed</x:v>
      </x:c>
      <x:c r="F223" s="4" t="str">
        <x:v>Record captured</x:v>
      </x:c>
      <x:c r="G223" s="4" t="str">
        <x:v>Reserved</x:v>
      </x:c>
    </x:row>
    <x:row r="224" ht="34" customHeight="1">
      <x:c r="A224" s="4" t="str">
        <x:v>RS-00223-E1</x:v>
      </x:c>
      <x:c r="B224" s="4" t="str">
        <x:v>RS-00223</x:v>
      </x:c>
      <x:c r="C224" s="8" t="n">
        <x:v>45318</x:v>
      </x:c>
      <x:c r="D224" s="4" t="str">
        <x:v>Sales operations manager</x:v>
      </x:c>
      <x:c r="E224" s="4" t="str">
        <x:v>WhatsApp transcribed</x:v>
      </x:c>
      <x:c r="F224" s="4" t="str">
        <x:v>Record captured</x:v>
      </x:c>
      <x:c r="G224" s="4" t="str">
        <x:v>Cancelled</x:v>
      </x:c>
    </x:row>
    <x:row r="225" ht="34" customHeight="1">
      <x:c r="A225" s="4" t="str">
        <x:v>RS-00224-E1</x:v>
      </x:c>
      <x:c r="B225" s="4" t="str">
        <x:v>RS-00224</x:v>
      </x:c>
      <x:c r="C225" s="8" t="n">
        <x:v>45319</x:v>
      </x:c>
      <x:c r="D225" s="4" t="str">
        <x:v>Sales operations manager</x:v>
      </x:c>
      <x:c r="E225" s="4" t="str">
        <x:v>WhatsApp transcribed</x:v>
      </x:c>
      <x:c r="F225" s="4" t="str">
        <x:v>Record captured</x:v>
      </x:c>
      <x:c r="G225" s="4" t="str">
        <x:v>Cancelled</x:v>
      </x:c>
    </x:row>
    <x:row r="226" ht="34" customHeight="1">
      <x:c r="A226" s="4" t="str">
        <x:v>RS-00225-E1</x:v>
      </x:c>
      <x:c r="B226" s="4" t="str">
        <x:v>RS-00225</x:v>
      </x:c>
      <x:c r="C226" s="8" t="n">
        <x:v>45292</x:v>
      </x:c>
      <x:c r="D226" s="4" t="str">
        <x:v>Sales operations manager</x:v>
      </x:c>
      <x:c r="E226" s="4" t="str">
        <x:v>ERP form</x:v>
      </x:c>
      <x:c r="F226" s="4" t="str">
        <x:v>Record captured</x:v>
      </x:c>
      <x:c r="G226" s="4" t="str">
        <x:v>Enquiry</x:v>
      </x:c>
    </x:row>
    <x:row r="227" ht="34" customHeight="1">
      <x:c r="A227" s="4" t="str">
        <x:v>RS-00226-E1</x:v>
      </x:c>
      <x:c r="B227" s="4" t="str">
        <x:v>RS-00226</x:v>
      </x:c>
      <x:c r="C227" s="8" t="n">
        <x:v>45293</x:v>
      </x:c>
      <x:c r="D227" s="4" t="str">
        <x:v>Sales operations manager</x:v>
      </x:c>
      <x:c r="E227" s="4" t="str">
        <x:v>ERP form</x:v>
      </x:c>
      <x:c r="F227" s="4" t="str">
        <x:v>Record captured</x:v>
      </x:c>
      <x:c r="G227" s="4" t="str">
        <x:v>Handed over</x:v>
      </x:c>
    </x:row>
    <x:row r="228" ht="34" customHeight="1">
      <x:c r="A228" s="4" t="str">
        <x:v>RS-00227-E1</x:v>
      </x:c>
      <x:c r="B228" s="4" t="str">
        <x:v>RS-00227</x:v>
      </x:c>
      <x:c r="C228" s="8" t="n">
        <x:v>45294</x:v>
      </x:c>
      <x:c r="D228" s="4" t="str">
        <x:v>Sales operations manager</x:v>
      </x:c>
      <x:c r="E228" s="4" t="str">
        <x:v>ERP form</x:v>
      </x:c>
      <x:c r="F228" s="4" t="str">
        <x:v>Record captured</x:v>
      </x:c>
      <x:c r="G228" s="4" t="str">
        <x:v>Handed over</x:v>
      </x:c>
    </x:row>
    <x:row r="229" ht="34" customHeight="1">
      <x:c r="A229" s="4" t="str">
        <x:v>RS-00228-E1</x:v>
      </x:c>
      <x:c r="B229" s="4" t="str">
        <x:v>RS-00228</x:v>
      </x:c>
      <x:c r="C229" s="8" t="n">
        <x:v>45295</x:v>
      </x:c>
      <x:c r="D229" s="4" t="str">
        <x:v>Sales operations manager</x:v>
      </x:c>
      <x:c r="E229" s="4" t="str">
        <x:v>WhatsApp transcribed</x:v>
      </x:c>
      <x:c r="F229" s="4" t="str">
        <x:v>Record captured</x:v>
      </x:c>
      <x:c r="G229" s="4" t="str">
        <x:v>Cancelled</x:v>
      </x:c>
    </x:row>
    <x:row r="230" ht="34" customHeight="1">
      <x:c r="A230" s="4" t="str">
        <x:v>RS-00229-E1</x:v>
      </x:c>
      <x:c r="B230" s="4" t="str">
        <x:v>RS-00229</x:v>
      </x:c>
      <x:c r="C230" s="8" t="n">
        <x:v>45296</x:v>
      </x:c>
      <x:c r="D230" s="4" t="str">
        <x:v>Sales operations manager</x:v>
      </x:c>
      <x:c r="E230" s="4" t="str">
        <x:v>WhatsApp transcribed</x:v>
      </x:c>
      <x:c r="F230" s="4" t="str">
        <x:v>Record captured</x:v>
      </x:c>
      <x:c r="G230" s="4" t="str">
        <x:v>Booked</x:v>
      </x:c>
    </x:row>
    <x:row r="231" ht="34" customHeight="1">
      <x:c r="A231" s="4" t="str">
        <x:v>RS-00230-E1</x:v>
      </x:c>
      <x:c r="B231" s="4" t="str">
        <x:v>RS-00230</x:v>
      </x:c>
      <x:c r="C231" s="8" t="n">
        <x:v>45297</x:v>
      </x:c>
      <x:c r="D231" s="4" t="str">
        <x:v>Sales operations manager</x:v>
      </x:c>
      <x:c r="E231" s="4" t="str">
        <x:v>Paper transcribed</x:v>
      </x:c>
      <x:c r="F231" s="4" t="str">
        <x:v>Record captured</x:v>
      </x:c>
      <x:c r="G231" s="4" t="str">
        <x:v>Agreement signed</x:v>
      </x:c>
    </x:row>
    <x:row r="232" ht="34" customHeight="1">
      <x:c r="A232" s="4" t="str">
        <x:v>RS-00231-E1</x:v>
      </x:c>
      <x:c r="B232" s="4" t="str">
        <x:v>RS-00231</x:v>
      </x:c>
      <x:c r="C232" s="8" t="n">
        <x:v>45298</x:v>
      </x:c>
      <x:c r="D232" s="4" t="str">
        <x:v>Sales operations manager</x:v>
      </x:c>
      <x:c r="E232" s="4" t="str">
        <x:v>Paper transcribed</x:v>
      </x:c>
      <x:c r="F232" s="4" t="str">
        <x:v>Record captured</x:v>
      </x:c>
      <x:c r="G232" s="4" t="str">
        <x:v>Reserved</x:v>
      </x:c>
    </x:row>
    <x:row r="233" ht="34" customHeight="1">
      <x:c r="A233" s="4" t="str">
        <x:v>RS-00232-E1</x:v>
      </x:c>
      <x:c r="B233" s="4" t="str">
        <x:v>RS-00232</x:v>
      </x:c>
      <x:c r="C233" s="8" t="n">
        <x:v>45299</x:v>
      </x:c>
      <x:c r="D233" s="4" t="str">
        <x:v>Sales operations manager</x:v>
      </x:c>
      <x:c r="E233" s="4" t="str">
        <x:v>ERP form</x:v>
      </x:c>
      <x:c r="F233" s="4" t="str">
        <x:v>Record captured</x:v>
      </x:c>
      <x:c r="G233" s="4" t="str">
        <x:v>Booked</x:v>
      </x:c>
    </x:row>
    <x:row r="234" ht="34" customHeight="1">
      <x:c r="A234" s="4" t="str">
        <x:v>RS-00233-E1</x:v>
      </x:c>
      <x:c r="B234" s="4" t="str">
        <x:v>RS-00233</x:v>
      </x:c>
      <x:c r="C234" s="8" t="n">
        <x:v>45300</x:v>
      </x:c>
      <x:c r="D234" s="4" t="str">
        <x:v>Sales operations manager</x:v>
      </x:c>
      <x:c r="E234" s="4" t="str">
        <x:v>Paper transcribed</x:v>
      </x:c>
      <x:c r="F234" s="4" t="str">
        <x:v>Record captured</x:v>
      </x:c>
      <x:c r="G234" s="4" t="str">
        <x:v>Enquiry</x:v>
      </x:c>
    </x:row>
    <x:row r="235" ht="34" customHeight="1">
      <x:c r="A235" s="4" t="str">
        <x:v>RS-00234-E1</x:v>
      </x:c>
      <x:c r="B235" s="4" t="str">
        <x:v>RS-00234</x:v>
      </x:c>
      <x:c r="C235" s="8" t="n">
        <x:v>45301</x:v>
      </x:c>
      <x:c r="D235" s="4" t="str">
        <x:v>Sales operations manager</x:v>
      </x:c>
      <x:c r="E235" s="4" t="str">
        <x:v>WhatsApp transcribed</x:v>
      </x:c>
      <x:c r="F235" s="4" t="str">
        <x:v>Record captured</x:v>
      </x:c>
      <x:c r="G235" s="4" t="str">
        <x:v>Reserved</x:v>
      </x:c>
    </x:row>
    <x:row r="236" ht="34" customHeight="1">
      <x:c r="A236" s="4" t="str">
        <x:v>RS-00235-E1</x:v>
      </x:c>
      <x:c r="B236" s="4" t="str">
        <x:v>RS-00235</x:v>
      </x:c>
      <x:c r="C236" s="8" t="n">
        <x:v>45302</x:v>
      </x:c>
      <x:c r="D236" s="4" t="str">
        <x:v>Sales operations manager</x:v>
      </x:c>
      <x:c r="E236" s="4" t="str">
        <x:v>WhatsApp transcribed</x:v>
      </x:c>
      <x:c r="F236" s="4" t="str">
        <x:v>Record captured</x:v>
      </x:c>
      <x:c r="G236" s="4" t="str">
        <x:v>Handed over</x:v>
      </x:c>
    </x:row>
    <x:row r="237" ht="34" customHeight="1">
      <x:c r="A237" s="4" t="str">
        <x:v>RS-00236-E1</x:v>
      </x:c>
      <x:c r="B237" s="4" t="str">
        <x:v>RS-00236</x:v>
      </x:c>
      <x:c r="C237" s="8" t="n">
        <x:v>45303</x:v>
      </x:c>
      <x:c r="D237" s="4" t="str">
        <x:v>Sales operations manager</x:v>
      </x:c>
      <x:c r="E237" s="4" t="str">
        <x:v>Paper transcribed</x:v>
      </x:c>
      <x:c r="F237" s="4" t="str">
        <x:v>Record captured</x:v>
      </x:c>
      <x:c r="G237" s="4" t="str">
        <x:v>Handed over</x:v>
      </x:c>
    </x:row>
    <x:row r="238" ht="34" customHeight="1">
      <x:c r="A238" s="4" t="str">
        <x:v>RS-00237-E1</x:v>
      </x:c>
      <x:c r="B238" s="4" t="str">
        <x:v>RS-00237</x:v>
      </x:c>
      <x:c r="C238" s="8" t="n">
        <x:v>45304</x:v>
      </x:c>
      <x:c r="D238" s="4" t="str">
        <x:v>Sales operations manager</x:v>
      </x:c>
      <x:c r="E238" s="4" t="str">
        <x:v>Paper transcribed</x:v>
      </x:c>
      <x:c r="F238" s="4" t="str">
        <x:v>Record captured</x:v>
      </x:c>
      <x:c r="G238" s="4" t="str">
        <x:v>Handed over</x:v>
      </x:c>
    </x:row>
    <x:row r="239" ht="34" customHeight="1">
      <x:c r="A239" s="4" t="str">
        <x:v>RS-00238-E1</x:v>
      </x:c>
      <x:c r="B239" s="4" t="str">
        <x:v>RS-00238</x:v>
      </x:c>
      <x:c r="C239" s="8" t="n">
        <x:v>45305</x:v>
      </x:c>
      <x:c r="D239" s="4" t="str">
        <x:v>Sales operations manager</x:v>
      </x:c>
      <x:c r="E239" s="4" t="str">
        <x:v>ERP form</x:v>
      </x:c>
      <x:c r="F239" s="4" t="str">
        <x:v>Record captured</x:v>
      </x:c>
      <x:c r="G239" s="4" t="str">
        <x:v>Cancelled</x:v>
      </x:c>
    </x:row>
    <x:row r="240" ht="34" customHeight="1">
      <x:c r="A240" s="4" t="str">
        <x:v>RS-00239-E1</x:v>
      </x:c>
      <x:c r="B240" s="4" t="str">
        <x:v>RS-00239</x:v>
      </x:c>
      <x:c r="C240" s="8" t="n">
        <x:v>45306</x:v>
      </x:c>
      <x:c r="D240" s="4" t="str">
        <x:v>Sales operations manager</x:v>
      </x:c>
      <x:c r="E240" s="4" t="str">
        <x:v>Spreadsheet import</x:v>
      </x:c>
      <x:c r="F240" s="4" t="str">
        <x:v>Record captured</x:v>
      </x:c>
      <x:c r="G240" s="4" t="str">
        <x:v>Handed over</x:v>
      </x:c>
    </x:row>
    <x:row r="241" ht="34" customHeight="1">
      <x:c r="A241" s="4" t="str">
        <x:v>RS-00240-E1</x:v>
      </x:c>
      <x:c r="B241" s="4" t="str">
        <x:v>RS-00240</x:v>
      </x:c>
      <x:c r="C241" s="8" t="n">
        <x:v>45307</x:v>
      </x:c>
      <x:c r="D241" s="4" t="str">
        <x:v>Sales operations manager</x:v>
      </x:c>
      <x:c r="E241" s="4" t="str">
        <x:v>Paper transcribed</x:v>
      </x:c>
      <x:c r="F241" s="4" t="str">
        <x:v>Record captured</x:v>
      </x:c>
      <x:c r="G241" s="4" t="str">
        <x:v>Handed over</x:v>
      </x:c>
    </x:row>
    <x:row r="242" ht="34" customHeight="1">
      <x:c r="A242" s="4" t="str">
        <x:v>RS-00241-E1</x:v>
      </x:c>
      <x:c r="B242" s="4" t="str">
        <x:v>RS-00241</x:v>
      </x:c>
      <x:c r="C242" s="8" t="n">
        <x:v>45308</x:v>
      </x:c>
      <x:c r="D242" s="4" t="str">
        <x:v>Sales operations manager</x:v>
      </x:c>
      <x:c r="E242" s="4" t="str">
        <x:v>WhatsApp transcribed</x:v>
      </x:c>
      <x:c r="F242" s="4" t="str">
        <x:v>Record captured</x:v>
      </x:c>
      <x:c r="G242" s="4" t="str">
        <x:v>Agreement signed</x:v>
      </x:c>
    </x:row>
    <x:row r="243" ht="34" customHeight="1">
      <x:c r="A243" s="4" t="str">
        <x:v>RS-00242-E1</x:v>
      </x:c>
      <x:c r="B243" s="4" t="str">
        <x:v>RS-00242</x:v>
      </x:c>
      <x:c r="C243" s="8" t="n">
        <x:v>45309</x:v>
      </x:c>
      <x:c r="D243" s="4" t="str">
        <x:v>Sales operations manager</x:v>
      </x:c>
      <x:c r="E243" s="4" t="str">
        <x:v>Paper transcribed</x:v>
      </x:c>
      <x:c r="F243" s="4" t="str">
        <x:v>Record captured</x:v>
      </x:c>
      <x:c r="G243" s="4" t="str">
        <x:v>Enquiry</x:v>
      </x:c>
    </x:row>
    <x:row r="244" ht="34" customHeight="1">
      <x:c r="A244" s="4" t="str">
        <x:v>RS-00243-E1</x:v>
      </x:c>
      <x:c r="B244" s="4" t="str">
        <x:v>RS-00243</x:v>
      </x:c>
      <x:c r="C244" s="8" t="n">
        <x:v>45310</x:v>
      </x:c>
      <x:c r="D244" s="4" t="str">
        <x:v>Sales operations manager</x:v>
      </x:c>
      <x:c r="E244" s="4" t="str">
        <x:v>Spreadsheet import</x:v>
      </x:c>
      <x:c r="F244" s="4" t="str">
        <x:v>Record captured</x:v>
      </x:c>
      <x:c r="G244" s="4" t="str">
        <x:v>Booked</x:v>
      </x:c>
    </x:row>
    <x:row r="245" ht="34" customHeight="1">
      <x:c r="A245" s="4" t="str">
        <x:v>RS-00244-E1</x:v>
      </x:c>
      <x:c r="B245" s="4" t="str">
        <x:v>RS-00244</x:v>
      </x:c>
      <x:c r="C245" s="8" t="n">
        <x:v>45311</x:v>
      </x:c>
      <x:c r="D245" s="4" t="str">
        <x:v>Sales operations manager</x:v>
      </x:c>
      <x:c r="E245" s="4" t="str">
        <x:v>WhatsApp transcribed</x:v>
      </x:c>
      <x:c r="F245" s="4" t="str">
        <x:v>Record captured</x:v>
      </x:c>
      <x:c r="G245" s="4" t="str">
        <x:v>Enquiry</x:v>
      </x:c>
    </x:row>
    <x:row r="246" ht="34" customHeight="1">
      <x:c r="A246" s="4" t="str">
        <x:v>RS-00245-E1</x:v>
      </x:c>
      <x:c r="B246" s="4" t="str">
        <x:v>RS-00245</x:v>
      </x:c>
      <x:c r="C246" s="8" t="n">
        <x:v>45312</x:v>
      </x:c>
      <x:c r="D246" s="4" t="str">
        <x:v>Sales operations manager</x:v>
      </x:c>
      <x:c r="E246" s="4" t="str">
        <x:v>ERP form</x:v>
      </x:c>
      <x:c r="F246" s="4" t="str">
        <x:v>Record captured</x:v>
      </x:c>
      <x:c r="G246" s="4" t="str">
        <x:v>Reserved</x:v>
      </x:c>
    </x:row>
    <x:row r="247" ht="34" customHeight="1">
      <x:c r="A247" s="4" t="str">
        <x:v>RS-00246-E1</x:v>
      </x:c>
      <x:c r="B247" s="4" t="str">
        <x:v>RS-00246</x:v>
      </x:c>
      <x:c r="C247" s="8" t="n">
        <x:v>45313</x:v>
      </x:c>
      <x:c r="D247" s="4" t="str">
        <x:v>Sales operations manager</x:v>
      </x:c>
      <x:c r="E247" s="4" t="str">
        <x:v>WhatsApp transcribed</x:v>
      </x:c>
      <x:c r="F247" s="4" t="str">
        <x:v>Record captured</x:v>
      </x:c>
      <x:c r="G247" s="4" t="str">
        <x:v>Reserved</x:v>
      </x:c>
    </x:row>
    <x:row r="248" ht="34" customHeight="1">
      <x:c r="A248" s="4" t="str">
        <x:v>RS-00247-E1</x:v>
      </x:c>
      <x:c r="B248" s="4" t="str">
        <x:v>RS-00247</x:v>
      </x:c>
      <x:c r="C248" s="8" t="n">
        <x:v>45314</x:v>
      </x:c>
      <x:c r="D248" s="4" t="str">
        <x:v>Sales operations manager</x:v>
      </x:c>
      <x:c r="E248" s="4" t="str">
        <x:v>Paper transcribed</x:v>
      </x:c>
      <x:c r="F248" s="4" t="str">
        <x:v>Record captured</x:v>
      </x:c>
      <x:c r="G248" s="4" t="str">
        <x:v>Reserved</x:v>
      </x:c>
    </x:row>
    <x:row r="249" ht="34" customHeight="1">
      <x:c r="A249" s="4" t="str">
        <x:v>RS-00248-E1</x:v>
      </x:c>
      <x:c r="B249" s="4" t="str">
        <x:v>RS-00248</x:v>
      </x:c>
      <x:c r="C249" s="8" t="n">
        <x:v>45315</x:v>
      </x:c>
      <x:c r="D249" s="4" t="str">
        <x:v>Sales operations manager</x:v>
      </x:c>
      <x:c r="E249" s="4" t="str">
        <x:v>Spreadsheet import</x:v>
      </x:c>
      <x:c r="F249" s="4" t="str">
        <x:v>Record captured</x:v>
      </x:c>
      <x:c r="G249" s="4" t="str">
        <x:v>Reserved</x:v>
      </x:c>
    </x:row>
    <x:row r="250" ht="34" customHeight="1">
      <x:c r="A250" s="4" t="str">
        <x:v>RS-00249-E1</x:v>
      </x:c>
      <x:c r="B250" s="4" t="str">
        <x:v>RS-00249</x:v>
      </x:c>
      <x:c r="C250" s="8" t="n">
        <x:v>45316</x:v>
      </x:c>
      <x:c r="D250" s="4" t="str">
        <x:v>Sales operations manager</x:v>
      </x:c>
      <x:c r="E250" s="4" t="str">
        <x:v>Paper transcribed</x:v>
      </x:c>
      <x:c r="F250" s="4" t="str">
        <x:v>Record captured</x:v>
      </x:c>
      <x:c r="G250" s="4" t="str">
        <x:v>Booked</x:v>
      </x:c>
    </x:row>
    <x:row r="251" ht="34" customHeight="1">
      <x:c r="A251" s="4" t="str">
        <x:v>RS-00250-E1</x:v>
      </x:c>
      <x:c r="B251" s="4" t="str">
        <x:v>RS-00250</x:v>
      </x:c>
      <x:c r="C251" s="8" t="n">
        <x:v>45317</x:v>
      </x:c>
      <x:c r="D251" s="4" t="str">
        <x:v>Sales operations manager</x:v>
      </x:c>
      <x:c r="E251" s="4" t="str">
        <x:v>Spreadsheet import</x:v>
      </x:c>
      <x:c r="F251" s="4" t="str">
        <x:v>Record captured</x:v>
      </x:c>
      <x:c r="G251" s="4" t="str">
        <x:v>Booked</x:v>
      </x:c>
    </x:row>
    <x:row r="252" ht="34" customHeight="1">
      <x:c r="A252" s="4" t="str">
        <x:v>RS-00251-E1</x:v>
      </x:c>
      <x:c r="B252" s="4" t="str">
        <x:v>RS-00251</x:v>
      </x:c>
      <x:c r="C252" s="8" t="n">
        <x:v>45318</x:v>
      </x:c>
      <x:c r="D252" s="4" t="str">
        <x:v>Sales operations manager</x:v>
      </x:c>
      <x:c r="E252" s="4" t="str">
        <x:v>WhatsApp transcribed</x:v>
      </x:c>
      <x:c r="F252" s="4" t="str">
        <x:v>Record captured</x:v>
      </x:c>
      <x:c r="G252" s="4" t="str">
        <x:v>Reserved</x:v>
      </x:c>
    </x:row>
    <x:row r="253" ht="34" customHeight="1">
      <x:c r="A253" s="4" t="str">
        <x:v>RS-00252-E1</x:v>
      </x:c>
      <x:c r="B253" s="4" t="str">
        <x:v>RS-00252</x:v>
      </x:c>
      <x:c r="C253" s="8" t="n">
        <x:v>45319</x:v>
      </x:c>
      <x:c r="D253" s="4" t="str">
        <x:v>Sales operations manager</x:v>
      </x:c>
      <x:c r="E253" s="4" t="str">
        <x:v>Spreadsheet import</x:v>
      </x:c>
      <x:c r="F253" s="4" t="str">
        <x:v>Record captured</x:v>
      </x:c>
      <x:c r="G253" s="4" t="str">
        <x:v>Cancelled</x:v>
      </x:c>
    </x:row>
    <x:row r="254" ht="34" customHeight="1">
      <x:c r="A254" s="4" t="str">
        <x:v>RS-00253-E1</x:v>
      </x:c>
      <x:c r="B254" s="4" t="str">
        <x:v>RS-00253</x:v>
      </x:c>
      <x:c r="C254" s="8" t="n">
        <x:v>45292</x:v>
      </x:c>
      <x:c r="D254" s="4" t="str">
        <x:v>Sales operations manager</x:v>
      </x:c>
      <x:c r="E254" s="4" t="str">
        <x:v>WhatsApp transcribed</x:v>
      </x:c>
      <x:c r="F254" s="4" t="str">
        <x:v>Record captured</x:v>
      </x:c>
      <x:c r="G254" s="4" t="str">
        <x:v>Booked</x:v>
      </x:c>
    </x:row>
    <x:row r="255" ht="34" customHeight="1">
      <x:c r="A255" s="4" t="str">
        <x:v>RS-00254-E1</x:v>
      </x:c>
      <x:c r="B255" s="4" t="str">
        <x:v>RS-00254</x:v>
      </x:c>
      <x:c r="C255" s="8" t="n">
        <x:v>45293</x:v>
      </x:c>
      <x:c r="D255" s="4" t="str">
        <x:v>Sales operations manager</x:v>
      </x:c>
      <x:c r="E255" s="4" t="str">
        <x:v>ERP form</x:v>
      </x:c>
      <x:c r="F255" s="4" t="str">
        <x:v>Record captured</x:v>
      </x:c>
      <x:c r="G255" s="4" t="str">
        <x:v>Agreement signed</x:v>
      </x:c>
    </x:row>
    <x:row r="256" ht="34" customHeight="1">
      <x:c r="A256" s="4" t="str">
        <x:v>RS-00255-E1</x:v>
      </x:c>
      <x:c r="B256" s="4" t="str">
        <x:v>RS-00255</x:v>
      </x:c>
      <x:c r="C256" s="8" t="n">
        <x:v>45294</x:v>
      </x:c>
      <x:c r="D256" s="4" t="str">
        <x:v>Sales operations manager</x:v>
      </x:c>
      <x:c r="E256" s="4" t="str">
        <x:v>WhatsApp transcribed</x:v>
      </x:c>
      <x:c r="F256" s="4" t="str">
        <x:v>Record captured</x:v>
      </x:c>
      <x:c r="G256" s="4" t="str">
        <x:v>Enquiry</x:v>
      </x:c>
    </x:row>
    <x:row r="257" ht="34" customHeight="1">
      <x:c r="A257" s="4" t="str">
        <x:v>RS-00256-E1</x:v>
      </x:c>
      <x:c r="B257" s="4" t="str">
        <x:v>RS-00256</x:v>
      </x:c>
      <x:c r="C257" s="8" t="n">
        <x:v>45295</x:v>
      </x:c>
      <x:c r="D257" s="4" t="str">
        <x:v>Sales operations manager</x:v>
      </x:c>
      <x:c r="E257" s="4" t="str">
        <x:v>ERP form</x:v>
      </x:c>
      <x:c r="F257" s="4" t="str">
        <x:v>Record captured</x:v>
      </x:c>
      <x:c r="G257" s="4" t="str">
        <x:v>Cancelled</x:v>
      </x:c>
    </x:row>
    <x:row r="258" ht="34" customHeight="1">
      <x:c r="A258" s="4" t="str">
        <x:v>RS-00257-E1</x:v>
      </x:c>
      <x:c r="B258" s="4" t="str">
        <x:v>RS-00257</x:v>
      </x:c>
      <x:c r="C258" s="8" t="n">
        <x:v>45296</x:v>
      </x:c>
      <x:c r="D258" s="4" t="str">
        <x:v>Sales operations manager</x:v>
      </x:c>
      <x:c r="E258" s="4" t="str">
        <x:v>WhatsApp transcribed</x:v>
      </x:c>
      <x:c r="F258" s="4" t="str">
        <x:v>Record captured</x:v>
      </x:c>
      <x:c r="G258" s="4" t="str">
        <x:v>Reserved</x:v>
      </x:c>
    </x:row>
    <x:row r="259" ht="34" customHeight="1">
      <x:c r="A259" s="4" t="str">
        <x:v>RS-00258-E1</x:v>
      </x:c>
      <x:c r="B259" s="4" t="str">
        <x:v>RS-00258</x:v>
      </x:c>
      <x:c r="C259" s="8" t="n">
        <x:v>45297</x:v>
      </x:c>
      <x:c r="D259" s="4" t="str">
        <x:v>Sales operations manager</x:v>
      </x:c>
      <x:c r="E259" s="4" t="str">
        <x:v>ERP form</x:v>
      </x:c>
      <x:c r="F259" s="4" t="str">
        <x:v>Record captured</x:v>
      </x:c>
      <x:c r="G259" s="4" t="str">
        <x:v>Cancelled</x:v>
      </x:c>
    </x:row>
    <x:row r="260" ht="34" customHeight="1">
      <x:c r="A260" s="4" t="str">
        <x:v>RS-00259-E1</x:v>
      </x:c>
      <x:c r="B260" s="4" t="str">
        <x:v>RS-00259</x:v>
      </x:c>
      <x:c r="C260" s="8" t="n">
        <x:v>45298</x:v>
      </x:c>
      <x:c r="D260" s="4" t="str">
        <x:v>Sales operations manager</x:v>
      </x:c>
      <x:c r="E260" s="4" t="str">
        <x:v>Spreadsheet import</x:v>
      </x:c>
      <x:c r="F260" s="4" t="str">
        <x:v>Record captured</x:v>
      </x:c>
      <x:c r="G260" s="4" t="str">
        <x:v>Handed over</x:v>
      </x:c>
    </x:row>
    <x:row r="261" ht="34" customHeight="1">
      <x:c r="A261" s="4" t="str">
        <x:v>RS-00260-E1</x:v>
      </x:c>
      <x:c r="B261" s="4" t="str">
        <x:v>RS-00260</x:v>
      </x:c>
      <x:c r="C261" s="8" t="n">
        <x:v>45299</x:v>
      </x:c>
      <x:c r="D261" s="4" t="str">
        <x:v>Sales operations manager</x:v>
      </x:c>
      <x:c r="E261" s="4" t="str">
        <x:v>Spreadsheet import</x:v>
      </x:c>
      <x:c r="F261" s="4" t="str">
        <x:v>Record captured</x:v>
      </x:c>
      <x:c r="G261" s="4" t="str">
        <x:v>Enquiry</x:v>
      </x:c>
    </x:row>
    <x:row r="262" ht="34" customHeight="1">
      <x:c r="A262" s="4" t="str">
        <x:v>RS-00261-E1</x:v>
      </x:c>
      <x:c r="B262" s="4" t="str">
        <x:v>RS-00261</x:v>
      </x:c>
      <x:c r="C262" s="8" t="n">
        <x:v>45300</x:v>
      </x:c>
      <x:c r="D262" s="4" t="str">
        <x:v>Sales operations manager</x:v>
      </x:c>
      <x:c r="E262" s="4" t="str">
        <x:v>Spreadsheet import</x:v>
      </x:c>
      <x:c r="F262" s="4" t="str">
        <x:v>Record captured</x:v>
      </x:c>
      <x:c r="G262" s="4" t="str">
        <x:v>Agreement signed</x:v>
      </x:c>
    </x:row>
    <x:row r="263" ht="34" customHeight="1">
      <x:c r="A263" s="4" t="str">
        <x:v>RS-00262-E1</x:v>
      </x:c>
      <x:c r="B263" s="4" t="str">
        <x:v>RS-00262</x:v>
      </x:c>
      <x:c r="C263" s="8" t="n">
        <x:v>45301</x:v>
      </x:c>
      <x:c r="D263" s="4" t="str">
        <x:v>Sales operations manager</x:v>
      </x:c>
      <x:c r="E263" s="4" t="str">
        <x:v>Spreadsheet import</x:v>
      </x:c>
      <x:c r="F263" s="4" t="str">
        <x:v>Record captured</x:v>
      </x:c>
      <x:c r="G263" s="4" t="str">
        <x:v>Agreement signed</x:v>
      </x:c>
    </x:row>
    <x:row r="264" ht="34" customHeight="1">
      <x:c r="A264" s="4" t="str">
        <x:v>RS-00263-E1</x:v>
      </x:c>
      <x:c r="B264" s="4" t="str">
        <x:v>RS-00263</x:v>
      </x:c>
      <x:c r="C264" s="8" t="n">
        <x:v>45302</x:v>
      </x:c>
      <x:c r="D264" s="4" t="str">
        <x:v>Sales operations manager</x:v>
      </x:c>
      <x:c r="E264" s="4" t="str">
        <x:v>Spreadsheet import</x:v>
      </x:c>
      <x:c r="F264" s="4" t="str">
        <x:v>Record captured</x:v>
      </x:c>
      <x:c r="G264" s="4" t="str">
        <x:v>Reserved</x:v>
      </x:c>
    </x:row>
    <x:row r="265" ht="34" customHeight="1">
      <x:c r="A265" s="4" t="str">
        <x:v>RS-00264-E1</x:v>
      </x:c>
      <x:c r="B265" s="4" t="str">
        <x:v>RS-00264</x:v>
      </x:c>
      <x:c r="C265" s="8" t="n">
        <x:v>45303</x:v>
      </x:c>
      <x:c r="D265" s="4" t="str">
        <x:v>Sales operations manager</x:v>
      </x:c>
      <x:c r="E265" s="4" t="str">
        <x:v>WhatsApp transcribed</x:v>
      </x:c>
      <x:c r="F265" s="4" t="str">
        <x:v>Record captured</x:v>
      </x:c>
      <x:c r="G265" s="4" t="str">
        <x:v>Agreement signed</x:v>
      </x:c>
    </x:row>
    <x:row r="266" ht="34" customHeight="1">
      <x:c r="A266" s="4" t="str">
        <x:v>RS-00265-E1</x:v>
      </x:c>
      <x:c r="B266" s="4" t="str">
        <x:v>RS-00265</x:v>
      </x:c>
      <x:c r="C266" s="8" t="n">
        <x:v>45304</x:v>
      </x:c>
      <x:c r="D266" s="4" t="str">
        <x:v>Sales operations manager</x:v>
      </x:c>
      <x:c r="E266" s="4" t="str">
        <x:v>Paper transcribed</x:v>
      </x:c>
      <x:c r="F266" s="4" t="str">
        <x:v>Record captured</x:v>
      </x:c>
      <x:c r="G266" s="4" t="str">
        <x:v>Reserved</x:v>
      </x:c>
    </x:row>
    <x:row r="267" ht="34" customHeight="1">
      <x:c r="A267" s="4" t="str">
        <x:v>RS-00266-E1</x:v>
      </x:c>
      <x:c r="B267" s="4" t="str">
        <x:v>RS-00266</x:v>
      </x:c>
      <x:c r="C267" s="8" t="n">
        <x:v>45305</x:v>
      </x:c>
      <x:c r="D267" s="4" t="str">
        <x:v>Sales operations manager</x:v>
      </x:c>
      <x:c r="E267" s="4" t="str">
        <x:v>Spreadsheet import</x:v>
      </x:c>
      <x:c r="F267" s="4" t="str">
        <x:v>Record captured</x:v>
      </x:c>
      <x:c r="G267" s="4" t="str">
        <x:v>Handed over</x:v>
      </x:c>
    </x:row>
    <x:row r="268" ht="34" customHeight="1">
      <x:c r="A268" s="4" t="str">
        <x:v>RS-00267-E1</x:v>
      </x:c>
      <x:c r="B268" s="4" t="str">
        <x:v>RS-00267</x:v>
      </x:c>
      <x:c r="C268" s="8" t="n">
        <x:v>45306</x:v>
      </x:c>
      <x:c r="D268" s="4" t="str">
        <x:v>Sales operations manager</x:v>
      </x:c>
      <x:c r="E268" s="4" t="str">
        <x:v>ERP form</x:v>
      </x:c>
      <x:c r="F268" s="4" t="str">
        <x:v>Record captured</x:v>
      </x:c>
      <x:c r="G268" s="4" t="str">
        <x:v>Booked</x:v>
      </x:c>
    </x:row>
    <x:row r="269" ht="34" customHeight="1">
      <x:c r="A269" s="4" t="str">
        <x:v>RS-00268-E1</x:v>
      </x:c>
      <x:c r="B269" s="4" t="str">
        <x:v>RS-00268</x:v>
      </x:c>
      <x:c r="C269" s="8" t="n">
        <x:v>45307</x:v>
      </x:c>
      <x:c r="D269" s="4" t="str">
        <x:v>Sales operations manager</x:v>
      </x:c>
      <x:c r="E269" s="4" t="str">
        <x:v>Paper transcribed</x:v>
      </x:c>
      <x:c r="F269" s="4" t="str">
        <x:v>Record captured</x:v>
      </x:c>
      <x:c r="G269" s="4" t="str">
        <x:v>Booked</x:v>
      </x:c>
    </x:row>
    <x:row r="270" ht="34" customHeight="1">
      <x:c r="A270" s="4" t="str">
        <x:v>RS-00269-E1</x:v>
      </x:c>
      <x:c r="B270" s="4" t="str">
        <x:v>RS-00269</x:v>
      </x:c>
      <x:c r="C270" s="8" t="n">
        <x:v>45308</x:v>
      </x:c>
      <x:c r="D270" s="4" t="str">
        <x:v>Sales operations manager</x:v>
      </x:c>
      <x:c r="E270" s="4" t="str">
        <x:v>Spreadsheet import</x:v>
      </x:c>
      <x:c r="F270" s="4" t="str">
        <x:v>Record captured</x:v>
      </x:c>
      <x:c r="G270" s="4" t="str">
        <x:v>Cancelled</x:v>
      </x:c>
    </x:row>
    <x:row r="271" ht="34" customHeight="1">
      <x:c r="A271" s="4" t="str">
        <x:v>RS-00270-E1</x:v>
      </x:c>
      <x:c r="B271" s="4" t="str">
        <x:v>RS-00270</x:v>
      </x:c>
      <x:c r="C271" s="8" t="n">
        <x:v>45309</x:v>
      </x:c>
      <x:c r="D271" s="4" t="str">
        <x:v>Sales operations manager</x:v>
      </x:c>
      <x:c r="E271" s="4" t="str">
        <x:v>Paper transcribed</x:v>
      </x:c>
      <x:c r="F271" s="4" t="str">
        <x:v>Record captured</x:v>
      </x:c>
      <x:c r="G271" s="4" t="str">
        <x:v>Enquiry</x:v>
      </x:c>
    </x:row>
    <x:row r="272" ht="34" customHeight="1">
      <x:c r="A272" s="4" t="str">
        <x:v>RS-00271-E1</x:v>
      </x:c>
      <x:c r="B272" s="4" t="str">
        <x:v>RS-00271</x:v>
      </x:c>
      <x:c r="C272" s="8" t="n">
        <x:v>45310</x:v>
      </x:c>
      <x:c r="D272" s="4" t="str">
        <x:v>Sales operations manager</x:v>
      </x:c>
      <x:c r="E272" s="4" t="str">
        <x:v>ERP form</x:v>
      </x:c>
      <x:c r="F272" s="4" t="str">
        <x:v>Record captured</x:v>
      </x:c>
      <x:c r="G272" s="4" t="str">
        <x:v>Reserved</x:v>
      </x:c>
    </x:row>
    <x:row r="273" ht="34" customHeight="1">
      <x:c r="A273" s="4" t="str">
        <x:v>RS-00272-E1</x:v>
      </x:c>
      <x:c r="B273" s="4" t="str">
        <x:v>RS-00272</x:v>
      </x:c>
      <x:c r="C273" s="8" t="n">
        <x:v>45311</x:v>
      </x:c>
      <x:c r="D273" s="4" t="str">
        <x:v>Sales operations manager</x:v>
      </x:c>
      <x:c r="E273" s="4" t="str">
        <x:v>Paper transcribed</x:v>
      </x:c>
      <x:c r="F273" s="4" t="str">
        <x:v>Record captured</x:v>
      </x:c>
      <x:c r="G273" s="4" t="str">
        <x:v>Reserved</x:v>
      </x:c>
    </x:row>
    <x:row r="274" ht="34" customHeight="1">
      <x:c r="A274" s="4" t="str">
        <x:v>RS-00273-E1</x:v>
      </x:c>
      <x:c r="B274" s="4" t="str">
        <x:v>RS-00273</x:v>
      </x:c>
      <x:c r="C274" s="8" t="n">
        <x:v>45312</x:v>
      </x:c>
      <x:c r="D274" s="4" t="str">
        <x:v>Sales operations manager</x:v>
      </x:c>
      <x:c r="E274" s="4" t="str">
        <x:v>Paper transcribed</x:v>
      </x:c>
      <x:c r="F274" s="4" t="str">
        <x:v>Record captured</x:v>
      </x:c>
      <x:c r="G274" s="4" t="str">
        <x:v>Handed over</x:v>
      </x:c>
    </x:row>
    <x:row r="275" ht="34" customHeight="1">
      <x:c r="A275" s="4" t="str">
        <x:v>RS-00274-E1</x:v>
      </x:c>
      <x:c r="B275" s="4" t="str">
        <x:v>RS-00274</x:v>
      </x:c>
      <x:c r="C275" s="8" t="n">
        <x:v>45313</x:v>
      </x:c>
      <x:c r="D275" s="4" t="str">
        <x:v>Sales operations manager</x:v>
      </x:c>
      <x:c r="E275" s="4" t="str">
        <x:v>WhatsApp transcribed</x:v>
      </x:c>
      <x:c r="F275" s="4" t="str">
        <x:v>Record captured</x:v>
      </x:c>
      <x:c r="G275" s="4" t="str">
        <x:v>Handed over</x:v>
      </x:c>
    </x:row>
    <x:row r="276" ht="34" customHeight="1">
      <x:c r="A276" s="4" t="str">
        <x:v>RS-00275-E1</x:v>
      </x:c>
      <x:c r="B276" s="4" t="str">
        <x:v>RS-00275</x:v>
      </x:c>
      <x:c r="C276" s="8" t="n">
        <x:v>45314</x:v>
      </x:c>
      <x:c r="D276" s="4" t="str">
        <x:v>Sales operations manager</x:v>
      </x:c>
      <x:c r="E276" s="4" t="str">
        <x:v>ERP form</x:v>
      </x:c>
      <x:c r="F276" s="4" t="str">
        <x:v>Record captured</x:v>
      </x:c>
      <x:c r="G276" s="4" t="str">
        <x:v>Booked</x:v>
      </x:c>
    </x:row>
    <x:row r="277" ht="34" customHeight="1">
      <x:c r="A277" s="4" t="str">
        <x:v>RS-00276-E1</x:v>
      </x:c>
      <x:c r="B277" s="4" t="str">
        <x:v>RS-00276</x:v>
      </x:c>
      <x:c r="C277" s="8" t="n">
        <x:v>45315</x:v>
      </x:c>
      <x:c r="D277" s="4" t="str">
        <x:v>Sales operations manager</x:v>
      </x:c>
      <x:c r="E277" s="4" t="str">
        <x:v>Spreadsheet import</x:v>
      </x:c>
      <x:c r="F277" s="4" t="str">
        <x:v>Record captured</x:v>
      </x:c>
      <x:c r="G277" s="4" t="str">
        <x:v>Reserved</x:v>
      </x:c>
    </x:row>
    <x:row r="278" ht="34" customHeight="1">
      <x:c r="A278" s="4" t="str">
        <x:v>RS-00277-E1</x:v>
      </x:c>
      <x:c r="B278" s="4" t="str">
        <x:v>RS-00277</x:v>
      </x:c>
      <x:c r="C278" s="8" t="n">
        <x:v>45316</x:v>
      </x:c>
      <x:c r="D278" s="4" t="str">
        <x:v>Sales operations manager</x:v>
      </x:c>
      <x:c r="E278" s="4" t="str">
        <x:v>WhatsApp transcribed</x:v>
      </x:c>
      <x:c r="F278" s="4" t="str">
        <x:v>Record captured</x:v>
      </x:c>
      <x:c r="G278" s="4" t="str">
        <x:v>Agreement signed</x:v>
      </x:c>
    </x:row>
    <x:row r="279" ht="34" customHeight="1">
      <x:c r="A279" s="4" t="str">
        <x:v>RS-00278-E1</x:v>
      </x:c>
      <x:c r="B279" s="4" t="str">
        <x:v>RS-00278</x:v>
      </x:c>
      <x:c r="C279" s="8" t="n">
        <x:v>45317</x:v>
      </x:c>
      <x:c r="D279" s="4" t="str">
        <x:v>Sales operations manager</x:v>
      </x:c>
      <x:c r="E279" s="4" t="str">
        <x:v>Paper transcribed</x:v>
      </x:c>
      <x:c r="F279" s="4" t="str">
        <x:v>Record captured</x:v>
      </x:c>
      <x:c r="G279" s="4" t="str">
        <x:v>Booked</x:v>
      </x:c>
    </x:row>
    <x:row r="280" ht="34" customHeight="1">
      <x:c r="A280" s="4" t="str">
        <x:v>RS-00279-E1</x:v>
      </x:c>
      <x:c r="B280" s="4" t="str">
        <x:v>RS-00279</x:v>
      </x:c>
      <x:c r="C280" s="8" t="n">
        <x:v>45318</x:v>
      </x:c>
      <x:c r="D280" s="4" t="str">
        <x:v>Sales operations manager</x:v>
      </x:c>
      <x:c r="E280" s="4" t="str">
        <x:v>ERP form</x:v>
      </x:c>
      <x:c r="F280" s="4" t="str">
        <x:v>Record captured</x:v>
      </x:c>
      <x:c r="G280" s="4" t="str">
        <x:v>Booked</x:v>
      </x:c>
    </x:row>
    <x:row r="281" ht="34" customHeight="1">
      <x:c r="A281" s="4" t="str">
        <x:v>RS-00280-E1</x:v>
      </x:c>
      <x:c r="B281" s="4" t="str">
        <x:v>RS-00280</x:v>
      </x:c>
      <x:c r="C281" s="8" t="n">
        <x:v>45319</x:v>
      </x:c>
      <x:c r="D281" s="4" t="str">
        <x:v>Sales operations manager</x:v>
      </x:c>
      <x:c r="E281" s="4" t="str">
        <x:v>Spreadsheet import</x:v>
      </x:c>
      <x:c r="F281" s="4" t="str">
        <x:v>Record captured</x:v>
      </x:c>
      <x:c r="G281" s="4" t="str">
        <x:v>Reserved</x:v>
      </x:c>
    </x:row>
    <x:row r="282" ht="34" customHeight="1">
      <x:c r="A282" s="4" t="str">
        <x:v>RS-00281-E1</x:v>
      </x:c>
      <x:c r="B282" s="4" t="str">
        <x:v>RS-00281</x:v>
      </x:c>
      <x:c r="C282" s="8" t="n">
        <x:v>45292</x:v>
      </x:c>
      <x:c r="D282" s="4" t="str">
        <x:v>Sales operations manager</x:v>
      </x:c>
      <x:c r="E282" s="4" t="str">
        <x:v>Spreadsheet import</x:v>
      </x:c>
      <x:c r="F282" s="4" t="str">
        <x:v>Record captured</x:v>
      </x:c>
      <x:c r="G282" s="4" t="str">
        <x:v>Reserved</x:v>
      </x:c>
    </x:row>
    <x:row r="283" ht="34" customHeight="1">
      <x:c r="A283" s="4" t="str">
        <x:v>RS-00282-E1</x:v>
      </x:c>
      <x:c r="B283" s="4" t="str">
        <x:v>RS-00282</x:v>
      </x:c>
      <x:c r="C283" s="8" t="n">
        <x:v>45293</x:v>
      </x:c>
      <x:c r="D283" s="4" t="str">
        <x:v>Sales operations manager</x:v>
      </x:c>
      <x:c r="E283" s="4" t="str">
        <x:v>ERP form</x:v>
      </x:c>
      <x:c r="F283" s="4" t="str">
        <x:v>Record captured</x:v>
      </x:c>
      <x:c r="G283" s="4" t="str">
        <x:v>Cancelled</x:v>
      </x:c>
    </x:row>
    <x:row r="284" ht="34" customHeight="1">
      <x:c r="A284" s="4" t="str">
        <x:v>RS-00283-E1</x:v>
      </x:c>
      <x:c r="B284" s="4" t="str">
        <x:v>RS-00283</x:v>
      </x:c>
      <x:c r="C284" s="8" t="n">
        <x:v>45294</x:v>
      </x:c>
      <x:c r="D284" s="4" t="str">
        <x:v>Sales operations manager</x:v>
      </x:c>
      <x:c r="E284" s="4" t="str">
        <x:v>WhatsApp transcribed</x:v>
      </x:c>
      <x:c r="F284" s="4" t="str">
        <x:v>Record captured</x:v>
      </x:c>
      <x:c r="G284" s="4" t="str">
        <x:v>Agreement signed</x:v>
      </x:c>
    </x:row>
    <x:row r="285" ht="34" customHeight="1">
      <x:c r="A285" s="4" t="str">
        <x:v>RS-00284-E1</x:v>
      </x:c>
      <x:c r="B285" s="4" t="str">
        <x:v>RS-00284</x:v>
      </x:c>
      <x:c r="C285" s="8" t="n">
        <x:v>45295</x:v>
      </x:c>
      <x:c r="D285" s="4" t="str">
        <x:v>Sales operations manager</x:v>
      </x:c>
      <x:c r="E285" s="4" t="str">
        <x:v>Spreadsheet import</x:v>
      </x:c>
      <x:c r="F285" s="4" t="str">
        <x:v>Record captured</x:v>
      </x:c>
      <x:c r="G285" s="4" t="str">
        <x:v>Agreement signed</x:v>
      </x:c>
    </x:row>
    <x:row r="286" ht="34" customHeight="1">
      <x:c r="A286" s="4" t="str">
        <x:v>RS-00285-E1</x:v>
      </x:c>
      <x:c r="B286" s="4" t="str">
        <x:v>RS-00285</x:v>
      </x:c>
      <x:c r="C286" s="8" t="n">
        <x:v>45296</x:v>
      </x:c>
      <x:c r="D286" s="4" t="str">
        <x:v>Sales operations manager</x:v>
      </x:c>
      <x:c r="E286" s="4" t="str">
        <x:v>WhatsApp transcribed</x:v>
      </x:c>
      <x:c r="F286" s="4" t="str">
        <x:v>Record captured</x:v>
      </x:c>
      <x:c r="G286" s="4" t="str">
        <x:v>Booked</x:v>
      </x:c>
    </x:row>
    <x:row r="287" ht="34" customHeight="1">
      <x:c r="A287" s="4" t="str">
        <x:v>RS-00286-E1</x:v>
      </x:c>
      <x:c r="B287" s="4" t="str">
        <x:v>RS-00286</x:v>
      </x:c>
      <x:c r="C287" s="8" t="n">
        <x:v>45297</x:v>
      </x:c>
      <x:c r="D287" s="4" t="str">
        <x:v>Sales operations manager</x:v>
      </x:c>
      <x:c r="E287" s="4" t="str">
        <x:v>ERP form</x:v>
      </x:c>
      <x:c r="F287" s="4" t="str">
        <x:v>Record captured</x:v>
      </x:c>
      <x:c r="G287" s="4" t="str">
        <x:v>Cancelled</x:v>
      </x:c>
    </x:row>
    <x:row r="288" ht="34" customHeight="1">
      <x:c r="A288" s="4" t="str">
        <x:v>RS-00287-E1</x:v>
      </x:c>
      <x:c r="B288" s="4" t="str">
        <x:v>RS-00287</x:v>
      </x:c>
      <x:c r="C288" s="8" t="n">
        <x:v>45298</x:v>
      </x:c>
      <x:c r="D288" s="4" t="str">
        <x:v>Sales operations manager</x:v>
      </x:c>
      <x:c r="E288" s="4" t="str">
        <x:v>WhatsApp transcribed</x:v>
      </x:c>
      <x:c r="F288" s="4" t="str">
        <x:v>Record captured</x:v>
      </x:c>
      <x:c r="G288" s="4" t="str">
        <x:v>Enquiry</x:v>
      </x:c>
    </x:row>
    <x:row r="289" ht="34" customHeight="1">
      <x:c r="A289" s="4" t="str">
        <x:v>RS-00288-E1</x:v>
      </x:c>
      <x:c r="B289" s="4" t="str">
        <x:v>RS-00288</x:v>
      </x:c>
      <x:c r="C289" s="8" t="n">
        <x:v>45299</x:v>
      </x:c>
      <x:c r="D289" s="4" t="str">
        <x:v>Sales operations manager</x:v>
      </x:c>
      <x:c r="E289" s="4" t="str">
        <x:v>Paper transcribed</x:v>
      </x:c>
      <x:c r="F289" s="4" t="str">
        <x:v>Record captured</x:v>
      </x:c>
      <x:c r="G289" s="4" t="str">
        <x:v>Agreement signed</x:v>
      </x:c>
    </x:row>
    <x:row r="290" ht="34" customHeight="1">
      <x:c r="A290" s="4" t="str">
        <x:v>RS-00289-E1</x:v>
      </x:c>
      <x:c r="B290" s="4" t="str">
        <x:v>RS-00289</x:v>
      </x:c>
      <x:c r="C290" s="8" t="n">
        <x:v>45300</x:v>
      </x:c>
      <x:c r="D290" s="4" t="str">
        <x:v>Sales operations manager</x:v>
      </x:c>
      <x:c r="E290" s="4" t="str">
        <x:v>Spreadsheet import</x:v>
      </x:c>
      <x:c r="F290" s="4" t="str">
        <x:v>Record captured</x:v>
      </x:c>
      <x:c r="G290" s="4" t="str">
        <x:v>Handed over</x:v>
      </x:c>
    </x:row>
    <x:row r="291" ht="34" customHeight="1">
      <x:c r="A291" s="4" t="str">
        <x:v>RS-00290-E1</x:v>
      </x:c>
      <x:c r="B291" s="4" t="str">
        <x:v>RS-00290</x:v>
      </x:c>
      <x:c r="C291" s="8" t="n">
        <x:v>45301</x:v>
      </x:c>
      <x:c r="D291" s="4" t="str">
        <x:v>Sales operations manager</x:v>
      </x:c>
      <x:c r="E291" s="4" t="str">
        <x:v>ERP form</x:v>
      </x:c>
      <x:c r="F291" s="4" t="str">
        <x:v>Record captured</x:v>
      </x:c>
      <x:c r="G291" s="4" t="str">
        <x:v>Agreement signed</x:v>
      </x:c>
    </x:row>
    <x:row r="292" ht="34" customHeight="1">
      <x:c r="A292" s="4" t="str">
        <x:v>RS-00291-E1</x:v>
      </x:c>
      <x:c r="B292" s="4" t="str">
        <x:v>RS-00291</x:v>
      </x:c>
      <x:c r="C292" s="8" t="n">
        <x:v>45302</x:v>
      </x:c>
      <x:c r="D292" s="4" t="str">
        <x:v>Sales operations manager</x:v>
      </x:c>
      <x:c r="E292" s="4" t="str">
        <x:v>Paper transcribed</x:v>
      </x:c>
      <x:c r="F292" s="4" t="str">
        <x:v>Record captured</x:v>
      </x:c>
      <x:c r="G292" s="4" t="str">
        <x:v>Agreement signed</x:v>
      </x:c>
    </x:row>
    <x:row r="293" ht="34" customHeight="1">
      <x:c r="A293" s="4" t="str">
        <x:v>RS-00292-E1</x:v>
      </x:c>
      <x:c r="B293" s="4" t="str">
        <x:v>RS-00292</x:v>
      </x:c>
      <x:c r="C293" s="8" t="n">
        <x:v>45303</x:v>
      </x:c>
      <x:c r="D293" s="4" t="str">
        <x:v>Sales operations manager</x:v>
      </x:c>
      <x:c r="E293" s="4" t="str">
        <x:v>ERP form</x:v>
      </x:c>
      <x:c r="F293" s="4" t="str">
        <x:v>Record captured</x:v>
      </x:c>
      <x:c r="G293" s="4" t="str">
        <x:v>Reserved</x:v>
      </x:c>
    </x:row>
    <x:row r="294" ht="34" customHeight="1">
      <x:c r="A294" s="4" t="str">
        <x:v>RS-00293-E1</x:v>
      </x:c>
      <x:c r="B294" s="4" t="str">
        <x:v>RS-00293</x:v>
      </x:c>
      <x:c r="C294" s="8" t="n">
        <x:v>45304</x:v>
      </x:c>
      <x:c r="D294" s="4" t="str">
        <x:v>Sales operations manager</x:v>
      </x:c>
      <x:c r="E294" s="4" t="str">
        <x:v>Spreadsheet import</x:v>
      </x:c>
      <x:c r="F294" s="4" t="str">
        <x:v>Record captured</x:v>
      </x:c>
      <x:c r="G294" s="4" t="str">
        <x:v>Booked</x:v>
      </x:c>
    </x:row>
    <x:row r="295" ht="34" customHeight="1">
      <x:c r="A295" s="4" t="str">
        <x:v>RS-00294-E1</x:v>
      </x:c>
      <x:c r="B295" s="4" t="str">
        <x:v>RS-00294</x:v>
      </x:c>
      <x:c r="C295" s="8" t="n">
        <x:v>45305</x:v>
      </x:c>
      <x:c r="D295" s="4" t="str">
        <x:v>Sales operations manager</x:v>
      </x:c>
      <x:c r="E295" s="4" t="str">
        <x:v>ERP form</x:v>
      </x:c>
      <x:c r="F295" s="4" t="str">
        <x:v>Record captured</x:v>
      </x:c>
      <x:c r="G295" s="4" t="str">
        <x:v>Enquiry</x:v>
      </x:c>
    </x:row>
    <x:row r="296" ht="34" customHeight="1">
      <x:c r="A296" s="4" t="str">
        <x:v>RS-00295-E1</x:v>
      </x:c>
      <x:c r="B296" s="4" t="str">
        <x:v>RS-00295</x:v>
      </x:c>
      <x:c r="C296" s="8" t="n">
        <x:v>45306</x:v>
      </x:c>
      <x:c r="D296" s="4" t="str">
        <x:v>Sales operations manager</x:v>
      </x:c>
      <x:c r="E296" s="4" t="str">
        <x:v>Spreadsheet import</x:v>
      </x:c>
      <x:c r="F296" s="4" t="str">
        <x:v>Record captured</x:v>
      </x:c>
      <x:c r="G296" s="4" t="str">
        <x:v>Enquiry</x:v>
      </x:c>
    </x:row>
    <x:row r="297" ht="34" customHeight="1">
      <x:c r="A297" s="4" t="str">
        <x:v>RS-00296-E1</x:v>
      </x:c>
      <x:c r="B297" s="4" t="str">
        <x:v>RS-00296</x:v>
      </x:c>
      <x:c r="C297" s="8" t="n">
        <x:v>45307</x:v>
      </x:c>
      <x:c r="D297" s="4" t="str">
        <x:v>Sales operations manager</x:v>
      </x:c>
      <x:c r="E297" s="4" t="str">
        <x:v>Spreadsheet import</x:v>
      </x:c>
      <x:c r="F297" s="4" t="str">
        <x:v>Record captured</x:v>
      </x:c>
      <x:c r="G297" s="4" t="str">
        <x:v>Handed over</x:v>
      </x:c>
    </x:row>
    <x:row r="298" ht="34" customHeight="1">
      <x:c r="A298" s="4" t="str">
        <x:v>RS-00297-E1</x:v>
      </x:c>
      <x:c r="B298" s="4" t="str">
        <x:v>RS-00297</x:v>
      </x:c>
      <x:c r="C298" s="8" t="n">
        <x:v>45308</x:v>
      </x:c>
      <x:c r="D298" s="4" t="str">
        <x:v>Sales operations manager</x:v>
      </x:c>
      <x:c r="E298" s="4" t="str">
        <x:v>WhatsApp transcribed</x:v>
      </x:c>
      <x:c r="F298" s="4" t="str">
        <x:v>Record captured</x:v>
      </x:c>
      <x:c r="G298" s="4" t="str">
        <x:v>Cancelled</x:v>
      </x:c>
    </x:row>
    <x:row r="299" ht="34" customHeight="1">
      <x:c r="A299" s="4" t="str">
        <x:v>RS-00298-E1</x:v>
      </x:c>
      <x:c r="B299" s="4" t="str">
        <x:v>RS-00298</x:v>
      </x:c>
      <x:c r="C299" s="8" t="n">
        <x:v>45309</x:v>
      </x:c>
      <x:c r="D299" s="4" t="str">
        <x:v>Sales operations manager</x:v>
      </x:c>
      <x:c r="E299" s="4" t="str">
        <x:v>WhatsApp transcribed</x:v>
      </x:c>
      <x:c r="F299" s="4" t="str">
        <x:v>Record captured</x:v>
      </x:c>
      <x:c r="G299" s="4" t="str">
        <x:v>Handed over</x:v>
      </x:c>
    </x:row>
    <x:row r="300" ht="34" customHeight="1">
      <x:c r="A300" s="4" t="str">
        <x:v>RS-00299-E1</x:v>
      </x:c>
      <x:c r="B300" s="4" t="str">
        <x:v>RS-00299</x:v>
      </x:c>
      <x:c r="C300" s="8" t="n">
        <x:v>45310</x:v>
      </x:c>
      <x:c r="D300" s="4" t="str">
        <x:v>Sales operations manager</x:v>
      </x:c>
      <x:c r="E300" s="4" t="str">
        <x:v>Paper transcribed</x:v>
      </x:c>
      <x:c r="F300" s="4" t="str">
        <x:v>Record captured</x:v>
      </x:c>
      <x:c r="G300" s="4" t="str">
        <x:v>Enquiry</x:v>
      </x:c>
    </x:row>
    <x:row r="301" ht="34" customHeight="1">
      <x:c r="A301" s="4" t="str">
        <x:v>RS-00300-E1</x:v>
      </x:c>
      <x:c r="B301" s="4" t="str">
        <x:v>RS-00300</x:v>
      </x:c>
      <x:c r="C301" s="8" t="n">
        <x:v>45311</x:v>
      </x:c>
      <x:c r="D301" s="4" t="str">
        <x:v>Sales operations manager</x:v>
      </x:c>
      <x:c r="E301" s="4" t="str">
        <x:v>ERP form</x:v>
      </x:c>
      <x:c r="F301" s="4" t="str">
        <x:v>Record captured</x:v>
      </x:c>
      <x:c r="G301" s="4" t="str">
        <x:v>Booked</x:v>
      </x:c>
    </x:row>
    <x:row r="302" ht="34" customHeight="1">
      <x:c r="A302" s="4" t="str">
        <x:v>RS-00301-E1</x:v>
      </x:c>
      <x:c r="B302" s="4" t="str">
        <x:v>RS-00301</x:v>
      </x:c>
      <x:c r="C302" s="8" t="n">
        <x:v>45312</x:v>
      </x:c>
      <x:c r="D302" s="4" t="str">
        <x:v>Sales operations manager</x:v>
      </x:c>
      <x:c r="E302" s="4" t="str">
        <x:v>Paper transcribed</x:v>
      </x:c>
      <x:c r="F302" s="4" t="str">
        <x:v>Record captured</x:v>
      </x:c>
      <x:c r="G302" s="4" t="str">
        <x:v>Booked</x:v>
      </x:c>
    </x:row>
    <x:row r="303" ht="34" customHeight="1">
      <x:c r="A303" s="4" t="str">
        <x:v>RS-00302-E1</x:v>
      </x:c>
      <x:c r="B303" s="4" t="str">
        <x:v>RS-00302</x:v>
      </x:c>
      <x:c r="C303" s="8" t="n">
        <x:v>45313</x:v>
      </x:c>
      <x:c r="D303" s="4" t="str">
        <x:v>Sales operations manager</x:v>
      </x:c>
      <x:c r="E303" s="4" t="str">
        <x:v>Spreadsheet import</x:v>
      </x:c>
      <x:c r="F303" s="4" t="str">
        <x:v>Record captured</x:v>
      </x:c>
      <x:c r="G303" s="4" t="str">
        <x:v>Cancelled</x:v>
      </x:c>
    </x:row>
    <x:row r="304" ht="34" customHeight="1">
      <x:c r="A304" s="4" t="str">
        <x:v>RS-00303-E1</x:v>
      </x:c>
      <x:c r="B304" s="4" t="str">
        <x:v>RS-00303</x:v>
      </x:c>
      <x:c r="C304" s="8" t="n">
        <x:v>45314</x:v>
      </x:c>
      <x:c r="D304" s="4" t="str">
        <x:v>Sales operations manager</x:v>
      </x:c>
      <x:c r="E304" s="4" t="str">
        <x:v>WhatsApp transcribed</x:v>
      </x:c>
      <x:c r="F304" s="4" t="str">
        <x:v>Record captured</x:v>
      </x:c>
      <x:c r="G304" s="4" t="str">
        <x:v>Handed over</x:v>
      </x:c>
    </x:row>
    <x:row r="305" ht="34" customHeight="1">
      <x:c r="A305" s="4" t="str">
        <x:v>RS-00304-E1</x:v>
      </x:c>
      <x:c r="B305" s="4" t="str">
        <x:v>RS-00304</x:v>
      </x:c>
      <x:c r="C305" s="8" t="n">
        <x:v>45315</x:v>
      </x:c>
      <x:c r="D305" s="4" t="str">
        <x:v>Sales operations manager</x:v>
      </x:c>
      <x:c r="E305" s="4" t="str">
        <x:v>Paper transcribed</x:v>
      </x:c>
      <x:c r="F305" s="4" t="str">
        <x:v>Record captured</x:v>
      </x:c>
      <x:c r="G305" s="4" t="str">
        <x:v>Enquiry</x:v>
      </x:c>
    </x:row>
    <x:row r="306" ht="34" customHeight="1">
      <x:c r="A306" s="4" t="str">
        <x:v>RS-00305-E1</x:v>
      </x:c>
      <x:c r="B306" s="4" t="str">
        <x:v>RS-00305</x:v>
      </x:c>
      <x:c r="C306" s="8" t="n">
        <x:v>45316</x:v>
      </x:c>
      <x:c r="D306" s="4" t="str">
        <x:v>Sales operations manager</x:v>
      </x:c>
      <x:c r="E306" s="4" t="str">
        <x:v>ERP form</x:v>
      </x:c>
      <x:c r="F306" s="4" t="str">
        <x:v>Record captured</x:v>
      </x:c>
      <x:c r="G306" s="4" t="str">
        <x:v>Reserved</x:v>
      </x:c>
    </x:row>
    <x:row r="307" ht="34" customHeight="1">
      <x:c r="A307" s="4" t="str">
        <x:v>RS-00306-E1</x:v>
      </x:c>
      <x:c r="B307" s="4" t="str">
        <x:v>RS-00306</x:v>
      </x:c>
      <x:c r="C307" s="8" t="n">
        <x:v>45317</x:v>
      </x:c>
      <x:c r="D307" s="4" t="str">
        <x:v>Sales operations manager</x:v>
      </x:c>
      <x:c r="E307" s="4" t="str">
        <x:v>Paper transcribed</x:v>
      </x:c>
      <x:c r="F307" s="4" t="str">
        <x:v>Record captured</x:v>
      </x:c>
      <x:c r="G307" s="4" t="str">
        <x:v>Booked</x:v>
      </x:c>
    </x:row>
    <x:row r="308" ht="34" customHeight="1">
      <x:c r="A308" s="4" t="str">
        <x:v>RS-00307-E1</x:v>
      </x:c>
      <x:c r="B308" s="4" t="str">
        <x:v>RS-00307</x:v>
      </x:c>
      <x:c r="C308" s="8" t="n">
        <x:v>45318</x:v>
      </x:c>
      <x:c r="D308" s="4" t="str">
        <x:v>Sales operations manager</x:v>
      </x:c>
      <x:c r="E308" s="4" t="str">
        <x:v>Spreadsheet import</x:v>
      </x:c>
      <x:c r="F308" s="4" t="str">
        <x:v>Record captured</x:v>
      </x:c>
      <x:c r="G308" s="4" t="str">
        <x:v>Reserved</x:v>
      </x:c>
    </x:row>
    <x:row r="309" ht="34" customHeight="1">
      <x:c r="A309" s="4" t="str">
        <x:v>RS-00308-E1</x:v>
      </x:c>
      <x:c r="B309" s="4" t="str">
        <x:v>RS-00308</x:v>
      </x:c>
      <x:c r="C309" s="8" t="n">
        <x:v>45319</x:v>
      </x:c>
      <x:c r="D309" s="4" t="str">
        <x:v>Sales operations manager</x:v>
      </x:c>
      <x:c r="E309" s="4" t="str">
        <x:v>Paper transcribed</x:v>
      </x:c>
      <x:c r="F309" s="4" t="str">
        <x:v>Record captured</x:v>
      </x:c>
      <x:c r="G309" s="4" t="str">
        <x:v>Booked</x:v>
      </x:c>
    </x:row>
    <x:row r="310" ht="34" customHeight="1">
      <x:c r="A310" s="4" t="str">
        <x:v>RS-00309-E1</x:v>
      </x:c>
      <x:c r="B310" s="4" t="str">
        <x:v>RS-00309</x:v>
      </x:c>
      <x:c r="C310" s="8" t="n">
        <x:v>45292</x:v>
      </x:c>
      <x:c r="D310" s="4" t="str">
        <x:v>Sales operations manager</x:v>
      </x:c>
      <x:c r="E310" s="4" t="str">
        <x:v>Paper transcribed</x:v>
      </x:c>
      <x:c r="F310" s="4" t="str">
        <x:v>Record captured</x:v>
      </x:c>
      <x:c r="G310" s="4" t="str">
        <x:v>Enquiry</x:v>
      </x:c>
    </x:row>
    <x:row r="311" ht="34" customHeight="1">
      <x:c r="A311" s="4" t="str">
        <x:v>RS-00310-E1</x:v>
      </x:c>
      <x:c r="B311" s="4" t="str">
        <x:v>RS-00310</x:v>
      </x:c>
      <x:c r="C311" s="8" t="n">
        <x:v>45293</x:v>
      </x:c>
      <x:c r="D311" s="4" t="str">
        <x:v>Sales operations manager</x:v>
      </x:c>
      <x:c r="E311" s="4" t="str">
        <x:v>Paper transcribed</x:v>
      </x:c>
      <x:c r="F311" s="4" t="str">
        <x:v>Record captured</x:v>
      </x:c>
      <x:c r="G311" s="4" t="str">
        <x:v>Handed over</x:v>
      </x:c>
    </x:row>
    <x:row r="312" ht="34" customHeight="1">
      <x:c r="A312" s="4" t="str">
        <x:v>RS-00311-E1</x:v>
      </x:c>
      <x:c r="B312" s="4" t="str">
        <x:v>RS-00311</x:v>
      </x:c>
      <x:c r="C312" s="8" t="n">
        <x:v>45294</x:v>
      </x:c>
      <x:c r="D312" s="4" t="str">
        <x:v>Sales operations manager</x:v>
      </x:c>
      <x:c r="E312" s="4" t="str">
        <x:v>WhatsApp transcribed</x:v>
      </x:c>
      <x:c r="F312" s="4" t="str">
        <x:v>Record captured</x:v>
      </x:c>
      <x:c r="G312" s="4" t="str">
        <x:v>Agreement signed</x:v>
      </x:c>
    </x:row>
    <x:row r="313" ht="34" customHeight="1">
      <x:c r="A313" s="4" t="str">
        <x:v>RS-00312-E1</x:v>
      </x:c>
      <x:c r="B313" s="4" t="str">
        <x:v>RS-00312</x:v>
      </x:c>
      <x:c r="C313" s="8" t="n">
        <x:v>45295</x:v>
      </x:c>
      <x:c r="D313" s="4" t="str">
        <x:v>Sales operations manager</x:v>
      </x:c>
      <x:c r="E313" s="4" t="str">
        <x:v>WhatsApp transcribed</x:v>
      </x:c>
      <x:c r="F313" s="4" t="str">
        <x:v>Record captured</x:v>
      </x:c>
      <x:c r="G313" s="4" t="str">
        <x:v>Reserved</x:v>
      </x:c>
    </x:row>
    <x:row r="314" ht="34" customHeight="1">
      <x:c r="A314" s="4" t="str">
        <x:v>RS-00313-E1</x:v>
      </x:c>
      <x:c r="B314" s="4" t="str">
        <x:v>RS-00313</x:v>
      </x:c>
      <x:c r="C314" s="8" t="n">
        <x:v>45296</x:v>
      </x:c>
      <x:c r="D314" s="4" t="str">
        <x:v>Sales operations manager</x:v>
      </x:c>
      <x:c r="E314" s="4" t="str">
        <x:v>WhatsApp transcribed</x:v>
      </x:c>
      <x:c r="F314" s="4" t="str">
        <x:v>Record captured</x:v>
      </x:c>
      <x:c r="G314" s="4" t="str">
        <x:v>Booked</x:v>
      </x:c>
    </x:row>
    <x:row r="315" ht="34" customHeight="1">
      <x:c r="A315" s="4" t="str">
        <x:v>RS-00314-E1</x:v>
      </x:c>
      <x:c r="B315" s="4" t="str">
        <x:v>RS-00314</x:v>
      </x:c>
      <x:c r="C315" s="8" t="n">
        <x:v>45297</x:v>
      </x:c>
      <x:c r="D315" s="4" t="str">
        <x:v>Sales operations manager</x:v>
      </x:c>
      <x:c r="E315" s="4" t="str">
        <x:v>WhatsApp transcribed</x:v>
      </x:c>
      <x:c r="F315" s="4" t="str">
        <x:v>Record captured</x:v>
      </x:c>
      <x:c r="G315" s="4" t="str">
        <x:v>Reserved</x:v>
      </x:c>
    </x:row>
    <x:row r="316" ht="34" customHeight="1">
      <x:c r="A316" s="4" t="str">
        <x:v>RS-00315-E1</x:v>
      </x:c>
      <x:c r="B316" s="4" t="str">
        <x:v>RS-00315</x:v>
      </x:c>
      <x:c r="C316" s="8" t="n">
        <x:v>45298</x:v>
      </x:c>
      <x:c r="D316" s="4" t="str">
        <x:v>Sales operations manager</x:v>
      </x:c>
      <x:c r="E316" s="4" t="str">
        <x:v>WhatsApp transcribed</x:v>
      </x:c>
      <x:c r="F316" s="4" t="str">
        <x:v>Record captured</x:v>
      </x:c>
      <x:c r="G316" s="4" t="str">
        <x:v>Reserved</x:v>
      </x:c>
    </x:row>
    <x:row r="317" ht="34" customHeight="1">
      <x:c r="A317" s="4" t="str">
        <x:v>RS-00316-E1</x:v>
      </x:c>
      <x:c r="B317" s="4" t="str">
        <x:v>RS-00316</x:v>
      </x:c>
      <x:c r="C317" s="8" t="n">
        <x:v>45299</x:v>
      </x:c>
      <x:c r="D317" s="4" t="str">
        <x:v>Sales operations manager</x:v>
      </x:c>
      <x:c r="E317" s="4" t="str">
        <x:v>Paper transcribed</x:v>
      </x:c>
      <x:c r="F317" s="4" t="str">
        <x:v>Record captured</x:v>
      </x:c>
      <x:c r="G317" s="4" t="str">
        <x:v>Cancelled</x:v>
      </x:c>
    </x:row>
    <x:row r="318" ht="34" customHeight="1">
      <x:c r="A318" s="4" t="str">
        <x:v>RS-00317-E1</x:v>
      </x:c>
      <x:c r="B318" s="4" t="str">
        <x:v>RS-00317</x:v>
      </x:c>
      <x:c r="C318" s="8" t="n">
        <x:v>45300</x:v>
      </x:c>
      <x:c r="D318" s="4" t="str">
        <x:v>Sales operations manager</x:v>
      </x:c>
      <x:c r="E318" s="4" t="str">
        <x:v>Paper transcribed</x:v>
      </x:c>
      <x:c r="F318" s="4" t="str">
        <x:v>Record captured</x:v>
      </x:c>
      <x:c r="G318" s="4" t="str">
        <x:v>Reserved</x:v>
      </x:c>
    </x:row>
    <x:row r="319" ht="34" customHeight="1">
      <x:c r="A319" s="4" t="str">
        <x:v>RS-00318-E1</x:v>
      </x:c>
      <x:c r="B319" s="4" t="str">
        <x:v>RS-00318</x:v>
      </x:c>
      <x:c r="C319" s="8" t="n">
        <x:v>45301</x:v>
      </x:c>
      <x:c r="D319" s="4" t="str">
        <x:v>Sales operations manager</x:v>
      </x:c>
      <x:c r="E319" s="4" t="str">
        <x:v>WhatsApp transcribed</x:v>
      </x:c>
      <x:c r="F319" s="4" t="str">
        <x:v>Record captured</x:v>
      </x:c>
      <x:c r="G319" s="4" t="str">
        <x:v>Agreement signed</x:v>
      </x:c>
    </x:row>
    <x:row r="320" ht="34" customHeight="1">
      <x:c r="A320" s="4" t="str">
        <x:v>RS-00319-E1</x:v>
      </x:c>
      <x:c r="B320" s="4" t="str">
        <x:v>RS-00319</x:v>
      </x:c>
      <x:c r="C320" s="8" t="n">
        <x:v>45302</x:v>
      </x:c>
      <x:c r="D320" s="4" t="str">
        <x:v>Sales operations manager</x:v>
      </x:c>
      <x:c r="E320" s="4" t="str">
        <x:v>Spreadsheet import</x:v>
      </x:c>
      <x:c r="F320" s="4" t="str">
        <x:v>Record captured</x:v>
      </x:c>
      <x:c r="G320" s="4" t="str">
        <x:v>Booked</x:v>
      </x:c>
    </x:row>
    <x:row r="321" ht="34" customHeight="1">
      <x:c r="A321" s="4" t="str">
        <x:v>RS-00320-E1</x:v>
      </x:c>
      <x:c r="B321" s="4" t="str">
        <x:v>RS-00320</x:v>
      </x:c>
      <x:c r="C321" s="8" t="n">
        <x:v>45303</x:v>
      </x:c>
      <x:c r="D321" s="4" t="str">
        <x:v>Sales operations manager</x:v>
      </x:c>
      <x:c r="E321" s="4" t="str">
        <x:v>ERP form</x:v>
      </x:c>
      <x:c r="F321" s="4" t="str">
        <x:v>Record captured</x:v>
      </x:c>
      <x:c r="G321" s="4" t="str">
        <x:v>Enquiry</x:v>
      </x:c>
    </x:row>
    <x:row r="322" ht="34" customHeight="1">
      <x:c r="A322" s="4" t="str">
        <x:v>RS-00321-E1</x:v>
      </x:c>
      <x:c r="B322" s="4" t="str">
        <x:v>RS-00321</x:v>
      </x:c>
      <x:c r="C322" s="8" t="n">
        <x:v>45304</x:v>
      </x:c>
      <x:c r="D322" s="4" t="str">
        <x:v>Sales operations manager</x:v>
      </x:c>
      <x:c r="E322" s="4" t="str">
        <x:v>Spreadsheet import</x:v>
      </x:c>
      <x:c r="F322" s="4" t="str">
        <x:v>Record captured</x:v>
      </x:c>
      <x:c r="G322" s="4" t="str">
        <x:v>Cancelled</x:v>
      </x:c>
    </x:row>
    <x:row r="323" ht="34" customHeight="1">
      <x:c r="A323" s="4" t="str">
        <x:v>RS-00322-E1</x:v>
      </x:c>
      <x:c r="B323" s="4" t="str">
        <x:v>RS-00322</x:v>
      </x:c>
      <x:c r="C323" s="8" t="n">
        <x:v>45305</x:v>
      </x:c>
      <x:c r="D323" s="4" t="str">
        <x:v>Sales operations manager</x:v>
      </x:c>
      <x:c r="E323" s="4" t="str">
        <x:v>WhatsApp transcribed</x:v>
      </x:c>
      <x:c r="F323" s="4" t="str">
        <x:v>Record captured</x:v>
      </x:c>
      <x:c r="G323" s="4" t="str">
        <x:v>Booked</x:v>
      </x:c>
    </x:row>
    <x:row r="324" ht="34" customHeight="1">
      <x:c r="A324" s="4" t="str">
        <x:v>RS-00323-E1</x:v>
      </x:c>
      <x:c r="B324" s="4" t="str">
        <x:v>RS-00323</x:v>
      </x:c>
      <x:c r="C324" s="8" t="n">
        <x:v>45306</x:v>
      </x:c>
      <x:c r="D324" s="4" t="str">
        <x:v>Sales operations manager</x:v>
      </x:c>
      <x:c r="E324" s="4" t="str">
        <x:v>Spreadsheet import</x:v>
      </x:c>
      <x:c r="F324" s="4" t="str">
        <x:v>Record captured</x:v>
      </x:c>
      <x:c r="G324" s="4" t="str">
        <x:v>Agreement signed</x:v>
      </x:c>
    </x:row>
    <x:row r="325" ht="34" customHeight="1">
      <x:c r="A325" s="4" t="str">
        <x:v>RS-00324-E1</x:v>
      </x:c>
      <x:c r="B325" s="4" t="str">
        <x:v>RS-00324</x:v>
      </x:c>
      <x:c r="C325" s="8" t="n">
        <x:v>45307</x:v>
      </x:c>
      <x:c r="D325" s="4" t="str">
        <x:v>Sales operations manager</x:v>
      </x:c>
      <x:c r="E325" s="4" t="str">
        <x:v>Spreadsheet import</x:v>
      </x:c>
      <x:c r="F325" s="4" t="str">
        <x:v>Record captured</x:v>
      </x:c>
      <x:c r="G325" s="4" t="str">
        <x:v>Cancelled</x:v>
      </x:c>
    </x:row>
    <x:row r="326" ht="34" customHeight="1">
      <x:c r="A326" s="4" t="str">
        <x:v>RS-00325-E1</x:v>
      </x:c>
      <x:c r="B326" s="4" t="str">
        <x:v>RS-00325</x:v>
      </x:c>
      <x:c r="C326" s="8" t="n">
        <x:v>45308</x:v>
      </x:c>
      <x:c r="D326" s="4" t="str">
        <x:v>Sales operations manager</x:v>
      </x:c>
      <x:c r="E326" s="4" t="str">
        <x:v>WhatsApp transcribed</x:v>
      </x:c>
      <x:c r="F326" s="4" t="str">
        <x:v>Record captured</x:v>
      </x:c>
      <x:c r="G326" s="4" t="str">
        <x:v>Enquiry</x:v>
      </x:c>
    </x:row>
    <x:row r="327" ht="34" customHeight="1">
      <x:c r="A327" s="4" t="str">
        <x:v>RS-00326-E1</x:v>
      </x:c>
      <x:c r="B327" s="4" t="str">
        <x:v>RS-00326</x:v>
      </x:c>
      <x:c r="C327" s="8" t="n">
        <x:v>45309</x:v>
      </x:c>
      <x:c r="D327" s="4" t="str">
        <x:v>Sales operations manager</x:v>
      </x:c>
      <x:c r="E327" s="4" t="str">
        <x:v>Paper transcribed</x:v>
      </x:c>
      <x:c r="F327" s="4" t="str">
        <x:v>Record captured</x:v>
      </x:c>
      <x:c r="G327" s="4" t="str">
        <x:v>Agreement signed</x:v>
      </x:c>
    </x:row>
    <x:row r="328" ht="34" customHeight="1">
      <x:c r="A328" s="4" t="str">
        <x:v>RS-00327-E1</x:v>
      </x:c>
      <x:c r="B328" s="4" t="str">
        <x:v>RS-00327</x:v>
      </x:c>
      <x:c r="C328" s="8" t="n">
        <x:v>45310</x:v>
      </x:c>
      <x:c r="D328" s="4" t="str">
        <x:v>Sales operations manager</x:v>
      </x:c>
      <x:c r="E328" s="4" t="str">
        <x:v>WhatsApp transcribed</x:v>
      </x:c>
      <x:c r="F328" s="4" t="str">
        <x:v>Record captured</x:v>
      </x:c>
      <x:c r="G328" s="4" t="str">
        <x:v>Booked</x:v>
      </x:c>
    </x:row>
    <x:row r="329" ht="34" customHeight="1">
      <x:c r="A329" s="4" t="str">
        <x:v>RS-00328-E1</x:v>
      </x:c>
      <x:c r="B329" s="4" t="str">
        <x:v>RS-00328</x:v>
      </x:c>
      <x:c r="C329" s="8" t="n">
        <x:v>45311</x:v>
      </x:c>
      <x:c r="D329" s="4" t="str">
        <x:v>Sales operations manager</x:v>
      </x:c>
      <x:c r="E329" s="4" t="str">
        <x:v>WhatsApp transcribed</x:v>
      </x:c>
      <x:c r="F329" s="4" t="str">
        <x:v>Record captured</x:v>
      </x:c>
      <x:c r="G329" s="4" t="str">
        <x:v>Enquiry</x:v>
      </x:c>
    </x:row>
    <x:row r="330" ht="34" customHeight="1">
      <x:c r="A330" s="4" t="str">
        <x:v>RS-00329-E1</x:v>
      </x:c>
      <x:c r="B330" s="4" t="str">
        <x:v>RS-00329</x:v>
      </x:c>
      <x:c r="C330" s="8" t="n">
        <x:v>45312</x:v>
      </x:c>
      <x:c r="D330" s="4" t="str">
        <x:v>Sales operations manager</x:v>
      </x:c>
      <x:c r="E330" s="4" t="str">
        <x:v>Spreadsheet import</x:v>
      </x:c>
      <x:c r="F330" s="4" t="str">
        <x:v>Record captured</x:v>
      </x:c>
      <x:c r="G330" s="4" t="str">
        <x:v>Agreement signed</x:v>
      </x:c>
    </x:row>
    <x:row r="331" ht="34" customHeight="1">
      <x:c r="A331" s="4" t="str">
        <x:v>RS-00330-E1</x:v>
      </x:c>
      <x:c r="B331" s="4" t="str">
        <x:v>RS-00330</x:v>
      </x:c>
      <x:c r="C331" s="8" t="n">
        <x:v>45313</x:v>
      </x:c>
      <x:c r="D331" s="4" t="str">
        <x:v>Sales operations manager</x:v>
      </x:c>
      <x:c r="E331" s="4" t="str">
        <x:v>ERP form</x:v>
      </x:c>
      <x:c r="F331" s="4" t="str">
        <x:v>Record captured</x:v>
      </x:c>
      <x:c r="G331" s="4" t="str">
        <x:v>Handed over</x:v>
      </x:c>
    </x:row>
    <x:row r="332" ht="34" customHeight="1">
      <x:c r="A332" s="4" t="str">
        <x:v>RS-00331-E1</x:v>
      </x:c>
      <x:c r="B332" s="4" t="str">
        <x:v>RS-00331</x:v>
      </x:c>
      <x:c r="C332" s="8" t="n">
        <x:v>45314</x:v>
      </x:c>
      <x:c r="D332" s="4" t="str">
        <x:v>Sales operations manager</x:v>
      </x:c>
      <x:c r="E332" s="4" t="str">
        <x:v>WhatsApp transcribed</x:v>
      </x:c>
      <x:c r="F332" s="4" t="str">
        <x:v>Record captured</x:v>
      </x:c>
      <x:c r="G332" s="4" t="str">
        <x:v>Agreement signed</x:v>
      </x:c>
    </x:row>
    <x:row r="333" ht="34" customHeight="1">
      <x:c r="A333" s="4" t="str">
        <x:v>RS-00332-E1</x:v>
      </x:c>
      <x:c r="B333" s="4" t="str">
        <x:v>RS-00332</x:v>
      </x:c>
      <x:c r="C333" s="8" t="n">
        <x:v>45315</x:v>
      </x:c>
      <x:c r="D333" s="4" t="str">
        <x:v>Sales operations manager</x:v>
      </x:c>
      <x:c r="E333" s="4" t="str">
        <x:v>Paper transcribed</x:v>
      </x:c>
      <x:c r="F333" s="4" t="str">
        <x:v>Record captured</x:v>
      </x:c>
      <x:c r="G333" s="4" t="str">
        <x:v>Booked</x:v>
      </x:c>
    </x:row>
    <x:row r="334" ht="34" customHeight="1">
      <x:c r="A334" s="4" t="str">
        <x:v>RS-00333-E1</x:v>
      </x:c>
      <x:c r="B334" s="4" t="str">
        <x:v>RS-00333</x:v>
      </x:c>
      <x:c r="C334" s="8" t="n">
        <x:v>45316</x:v>
      </x:c>
      <x:c r="D334" s="4" t="str">
        <x:v>Sales operations manager</x:v>
      </x:c>
      <x:c r="E334" s="4" t="str">
        <x:v>WhatsApp transcribed</x:v>
      </x:c>
      <x:c r="F334" s="4" t="str">
        <x:v>Record captured</x:v>
      </x:c>
      <x:c r="G334" s="4" t="str">
        <x:v>Enquiry</x:v>
      </x:c>
    </x:row>
    <x:row r="335" ht="34" customHeight="1">
      <x:c r="A335" s="4" t="str">
        <x:v>RS-00334-E1</x:v>
      </x:c>
      <x:c r="B335" s="4" t="str">
        <x:v>RS-00334</x:v>
      </x:c>
      <x:c r="C335" s="8" t="n">
        <x:v>45317</x:v>
      </x:c>
      <x:c r="D335" s="4" t="str">
        <x:v>Sales operations manager</x:v>
      </x:c>
      <x:c r="E335" s="4" t="str">
        <x:v>WhatsApp transcribed</x:v>
      </x:c>
      <x:c r="F335" s="4" t="str">
        <x:v>Record captured</x:v>
      </x:c>
      <x:c r="G335" s="4" t="str">
        <x:v>Cancelled</x:v>
      </x:c>
    </x:row>
    <x:row r="336" ht="34" customHeight="1">
      <x:c r="A336" s="4" t="str">
        <x:v>RS-00335-E1</x:v>
      </x:c>
      <x:c r="B336" s="4" t="str">
        <x:v>RS-00335</x:v>
      </x:c>
      <x:c r="C336" s="8" t="n">
        <x:v>45318</x:v>
      </x:c>
      <x:c r="D336" s="4" t="str">
        <x:v>Sales operations manager</x:v>
      </x:c>
      <x:c r="E336" s="4" t="str">
        <x:v>Spreadsheet import</x:v>
      </x:c>
      <x:c r="F336" s="4" t="str">
        <x:v>Record captured</x:v>
      </x:c>
      <x:c r="G336" s="4" t="str">
        <x:v>Handed over</x:v>
      </x:c>
    </x:row>
    <x:row r="337" ht="34" customHeight="1">
      <x:c r="A337" s="4" t="str">
        <x:v>RS-00336-E1</x:v>
      </x:c>
      <x:c r="B337" s="4" t="str">
        <x:v>RS-00336</x:v>
      </x:c>
      <x:c r="C337" s="8" t="n">
        <x:v>45319</x:v>
      </x:c>
      <x:c r="D337" s="4" t="str">
        <x:v>Sales operations manager</x:v>
      </x:c>
      <x:c r="E337" s="4" t="str">
        <x:v>ERP form</x:v>
      </x:c>
      <x:c r="F337" s="4" t="str">
        <x:v>Record captured</x:v>
      </x:c>
      <x:c r="G337" s="4" t="str">
        <x:v>Booked</x:v>
      </x:c>
    </x:row>
    <x:row r="338" ht="34" customHeight="1">
      <x:c r="A338" s="4" t="str">
        <x:v>RS-00337-E1</x:v>
      </x:c>
      <x:c r="B338" s="4" t="str">
        <x:v>RS-00337</x:v>
      </x:c>
      <x:c r="C338" s="8" t="n">
        <x:v>45292</x:v>
      </x:c>
      <x:c r="D338" s="4" t="str">
        <x:v>Sales operations manager</x:v>
      </x:c>
      <x:c r="E338" s="4" t="str">
        <x:v>WhatsApp transcribed</x:v>
      </x:c>
      <x:c r="F338" s="4" t="str">
        <x:v>Record captured</x:v>
      </x:c>
      <x:c r="G338" s="4" t="str">
        <x:v>Reserved</x:v>
      </x:c>
    </x:row>
    <x:row r="339" ht="34" customHeight="1">
      <x:c r="A339" s="4" t="str">
        <x:v>RS-00338-E1</x:v>
      </x:c>
      <x:c r="B339" s="4" t="str">
        <x:v>RS-00338</x:v>
      </x:c>
      <x:c r="C339" s="8" t="n">
        <x:v>45293</x:v>
      </x:c>
      <x:c r="D339" s="4" t="str">
        <x:v>Sales operations manager</x:v>
      </x:c>
      <x:c r="E339" s="4" t="str">
        <x:v>WhatsApp transcribed</x:v>
      </x:c>
      <x:c r="F339" s="4" t="str">
        <x:v>Record captured</x:v>
      </x:c>
      <x:c r="G339" s="4" t="str">
        <x:v>Enquiry</x:v>
      </x:c>
    </x:row>
    <x:row r="340" ht="34" customHeight="1">
      <x:c r="A340" s="4" t="str">
        <x:v>RS-00339-E1</x:v>
      </x:c>
      <x:c r="B340" s="4" t="str">
        <x:v>RS-00339</x:v>
      </x:c>
      <x:c r="C340" s="8" t="n">
        <x:v>45294</x:v>
      </x:c>
      <x:c r="D340" s="4" t="str">
        <x:v>Sales operations manager</x:v>
      </x:c>
      <x:c r="E340" s="4" t="str">
        <x:v>WhatsApp transcribed</x:v>
      </x:c>
      <x:c r="F340" s="4" t="str">
        <x:v>Record captured</x:v>
      </x:c>
      <x:c r="G340" s="4" t="str">
        <x:v>Handed over</x:v>
      </x:c>
    </x:row>
    <x:row r="341" ht="34" customHeight="1">
      <x:c r="A341" s="4" t="str">
        <x:v>RS-00340-E1</x:v>
      </x:c>
      <x:c r="B341" s="4" t="str">
        <x:v>RS-00340</x:v>
      </x:c>
      <x:c r="C341" s="8" t="n">
        <x:v>45295</x:v>
      </x:c>
      <x:c r="D341" s="4" t="str">
        <x:v>Sales operations manager</x:v>
      </x:c>
      <x:c r="E341" s="4" t="str">
        <x:v>Paper transcribed</x:v>
      </x:c>
      <x:c r="F341" s="4" t="str">
        <x:v>Record captured</x:v>
      </x:c>
      <x:c r="G341" s="4" t="str">
        <x:v>Booked</x:v>
      </x:c>
    </x:row>
    <x:row r="342" ht="34" customHeight="1">
      <x:c r="A342" s="4" t="str">
        <x:v>RS-00341-E1</x:v>
      </x:c>
      <x:c r="B342" s="4" t="str">
        <x:v>RS-00341</x:v>
      </x:c>
      <x:c r="C342" s="8" t="n">
        <x:v>45296</x:v>
      </x:c>
      <x:c r="D342" s="4" t="str">
        <x:v>Sales operations manager</x:v>
      </x:c>
      <x:c r="E342" s="4" t="str">
        <x:v>WhatsApp transcribed</x:v>
      </x:c>
      <x:c r="F342" s="4" t="str">
        <x:v>Record captured</x:v>
      </x:c>
      <x:c r="G342" s="4" t="str">
        <x:v>Cancelled</x:v>
      </x:c>
    </x:row>
    <x:row r="343" ht="34" customHeight="1">
      <x:c r="A343" s="4" t="str">
        <x:v>RS-00342-E1</x:v>
      </x:c>
      <x:c r="B343" s="4" t="str">
        <x:v>RS-00342</x:v>
      </x:c>
      <x:c r="C343" s="8" t="n">
        <x:v>45297</x:v>
      </x:c>
      <x:c r="D343" s="4" t="str">
        <x:v>Sales operations manager</x:v>
      </x:c>
      <x:c r="E343" s="4" t="str">
        <x:v>Paper transcribed</x:v>
      </x:c>
      <x:c r="F343" s="4" t="str">
        <x:v>Record captured</x:v>
      </x:c>
      <x:c r="G343" s="4" t="str">
        <x:v>Agreement signed</x:v>
      </x:c>
    </x:row>
    <x:row r="344" ht="34" customHeight="1">
      <x:c r="A344" s="4" t="str">
        <x:v>RS-00343-E1</x:v>
      </x:c>
      <x:c r="B344" s="4" t="str">
        <x:v>RS-00343</x:v>
      </x:c>
      <x:c r="C344" s="8" t="n">
        <x:v>45298</x:v>
      </x:c>
      <x:c r="D344" s="4" t="str">
        <x:v>Sales operations manager</x:v>
      </x:c>
      <x:c r="E344" s="4" t="str">
        <x:v>ERP form</x:v>
      </x:c>
      <x:c r="F344" s="4" t="str">
        <x:v>Record captured</x:v>
      </x:c>
      <x:c r="G344" s="4" t="str">
        <x:v>Agreement signed</x:v>
      </x:c>
    </x:row>
    <x:row r="345" ht="34" customHeight="1">
      <x:c r="A345" s="4" t="str">
        <x:v>RS-00344-E1</x:v>
      </x:c>
      <x:c r="B345" s="4" t="str">
        <x:v>RS-00344</x:v>
      </x:c>
      <x:c r="C345" s="8" t="n">
        <x:v>45299</x:v>
      </x:c>
      <x:c r="D345" s="4" t="str">
        <x:v>Sales operations manager</x:v>
      </x:c>
      <x:c r="E345" s="4" t="str">
        <x:v>Spreadsheet import</x:v>
      </x:c>
      <x:c r="F345" s="4" t="str">
        <x:v>Record captured</x:v>
      </x:c>
      <x:c r="G345" s="4" t="str">
        <x:v>Reserved</x:v>
      </x:c>
    </x:row>
    <x:row r="346" ht="34" customHeight="1">
      <x:c r="A346" s="4" t="str">
        <x:v>RS-00345-E1</x:v>
      </x:c>
      <x:c r="B346" s="4" t="str">
        <x:v>RS-00345</x:v>
      </x:c>
      <x:c r="C346" s="8" t="n">
        <x:v>45300</x:v>
      </x:c>
      <x:c r="D346" s="4" t="str">
        <x:v>Sales operations manager</x:v>
      </x:c>
      <x:c r="E346" s="4" t="str">
        <x:v>Spreadsheet import</x:v>
      </x:c>
      <x:c r="F346" s="4" t="str">
        <x:v>Record captured</x:v>
      </x:c>
      <x:c r="G346" s="4" t="str">
        <x:v>Booked</x:v>
      </x:c>
    </x:row>
    <x:row r="347" ht="34" customHeight="1">
      <x:c r="A347" s="4" t="str">
        <x:v>RS-00346-E1</x:v>
      </x:c>
      <x:c r="B347" s="4" t="str">
        <x:v>RS-00346</x:v>
      </x:c>
      <x:c r="C347" s="8" t="n">
        <x:v>45301</x:v>
      </x:c>
      <x:c r="D347" s="4" t="str">
        <x:v>Sales operations manager</x:v>
      </x:c>
      <x:c r="E347" s="4" t="str">
        <x:v>Paper transcribed</x:v>
      </x:c>
      <x:c r="F347" s="4" t="str">
        <x:v>Record captured</x:v>
      </x:c>
      <x:c r="G347" s="4" t="str">
        <x:v>Reserved</x:v>
      </x:c>
    </x:row>
    <x:row r="348" ht="34" customHeight="1">
      <x:c r="A348" s="4" t="str">
        <x:v>RS-00347-E1</x:v>
      </x:c>
      <x:c r="B348" s="4" t="str">
        <x:v>RS-00347</x:v>
      </x:c>
      <x:c r="C348" s="8" t="n">
        <x:v>45302</x:v>
      </x:c>
      <x:c r="D348" s="4" t="str">
        <x:v>Sales operations manager</x:v>
      </x:c>
      <x:c r="E348" s="4" t="str">
        <x:v>Spreadsheet import</x:v>
      </x:c>
      <x:c r="F348" s="4" t="str">
        <x:v>Record captured</x:v>
      </x:c>
      <x:c r="G348" s="4" t="str">
        <x:v>Agreement signed</x:v>
      </x:c>
    </x:row>
    <x:row r="349" ht="34" customHeight="1">
      <x:c r="A349" s="4" t="str">
        <x:v>RS-00348-E1</x:v>
      </x:c>
      <x:c r="B349" s="4" t="str">
        <x:v>RS-00348</x:v>
      </x:c>
      <x:c r="C349" s="8" t="n">
        <x:v>45303</x:v>
      </x:c>
      <x:c r="D349" s="4" t="str">
        <x:v>Sales operations manager</x:v>
      </x:c>
      <x:c r="E349" s="4" t="str">
        <x:v>Paper transcribed</x:v>
      </x:c>
      <x:c r="F349" s="4" t="str">
        <x:v>Record captured</x:v>
      </x:c>
      <x:c r="G349" s="4" t="str">
        <x:v>Handed over</x:v>
      </x:c>
    </x:row>
    <x:row r="350" ht="34" customHeight="1">
      <x:c r="A350" s="4" t="str">
        <x:v>RS-00349-E1</x:v>
      </x:c>
      <x:c r="B350" s="4" t="str">
        <x:v>RS-00349</x:v>
      </x:c>
      <x:c r="C350" s="8" t="n">
        <x:v>45304</x:v>
      </x:c>
      <x:c r="D350" s="4" t="str">
        <x:v>Sales operations manager</x:v>
      </x:c>
      <x:c r="E350" s="4" t="str">
        <x:v>Spreadsheet import</x:v>
      </x:c>
      <x:c r="F350" s="4" t="str">
        <x:v>Record captured</x:v>
      </x:c>
      <x:c r="G350" s="4" t="str">
        <x:v>Booked</x:v>
      </x:c>
    </x:row>
    <x:row r="351" ht="34" customHeight="1">
      <x:c r="A351" s="4" t="str">
        <x:v>RS-00350-E1</x:v>
      </x:c>
      <x:c r="B351" s="4" t="str">
        <x:v>RS-00350</x:v>
      </x:c>
      <x:c r="C351" s="8" t="n">
        <x:v>45305</x:v>
      </x:c>
      <x:c r="D351" s="4" t="str">
        <x:v>Sales operations manager</x:v>
      </x:c>
      <x:c r="E351" s="4" t="str">
        <x:v>ERP form</x:v>
      </x:c>
      <x:c r="F351" s="4" t="str">
        <x:v>Record captured</x:v>
      </x:c>
      <x:c r="G351" s="4" t="str">
        <x:v>Handed over</x:v>
      </x:c>
    </x:row>
    <x:row r="352" ht="34" customHeight="1">
      <x:c r="A352" s="4" t="str">
        <x:v>RS-00351-E1</x:v>
      </x:c>
      <x:c r="B352" s="4" t="str">
        <x:v>RS-00351</x:v>
      </x:c>
      <x:c r="C352" s="8" t="n">
        <x:v>45306</x:v>
      </x:c>
      <x:c r="D352" s="4" t="str">
        <x:v>Sales operations manager</x:v>
      </x:c>
      <x:c r="E352" s="4" t="str">
        <x:v>WhatsApp transcribed</x:v>
      </x:c>
      <x:c r="F352" s="4" t="str">
        <x:v>Record captured</x:v>
      </x:c>
      <x:c r="G352" s="4" t="str">
        <x:v>Booked</x:v>
      </x:c>
    </x:row>
    <x:row r="353" ht="34" customHeight="1">
      <x:c r="A353" s="4" t="str">
        <x:v>RS-00352-E1</x:v>
      </x:c>
      <x:c r="B353" s="4" t="str">
        <x:v>RS-00352</x:v>
      </x:c>
      <x:c r="C353" s="8" t="n">
        <x:v>45307</x:v>
      </x:c>
      <x:c r="D353" s="4" t="str">
        <x:v>Sales operations manager</x:v>
      </x:c>
      <x:c r="E353" s="4" t="str">
        <x:v>ERP form</x:v>
      </x:c>
      <x:c r="F353" s="4" t="str">
        <x:v>Record captured</x:v>
      </x:c>
      <x:c r="G353" s="4" t="str">
        <x:v>Agreement signed</x:v>
      </x:c>
    </x:row>
    <x:row r="354" ht="34" customHeight="1">
      <x:c r="A354" s="4" t="str">
        <x:v>RS-00353-E1</x:v>
      </x:c>
      <x:c r="B354" s="4" t="str">
        <x:v>RS-00353</x:v>
      </x:c>
      <x:c r="C354" s="8" t="n">
        <x:v>45308</x:v>
      </x:c>
      <x:c r="D354" s="4" t="str">
        <x:v>Sales operations manager</x:v>
      </x:c>
      <x:c r="E354" s="4" t="str">
        <x:v>Spreadsheet import</x:v>
      </x:c>
      <x:c r="F354" s="4" t="str">
        <x:v>Record captured</x:v>
      </x:c>
      <x:c r="G354" s="4" t="str">
        <x:v>Enquiry</x:v>
      </x:c>
    </x:row>
    <x:row r="355" ht="34" customHeight="1">
      <x:c r="A355" s="4" t="str">
        <x:v>RS-00354-E1</x:v>
      </x:c>
      <x:c r="B355" s="4" t="str">
        <x:v>RS-00354</x:v>
      </x:c>
      <x:c r="C355" s="8" t="n">
        <x:v>45309</x:v>
      </x:c>
      <x:c r="D355" s="4" t="str">
        <x:v>Sales operations manager</x:v>
      </x:c>
      <x:c r="E355" s="4" t="str">
        <x:v>WhatsApp transcribed</x:v>
      </x:c>
      <x:c r="F355" s="4" t="str">
        <x:v>Record captured</x:v>
      </x:c>
      <x:c r="G355" s="4" t="str">
        <x:v>Cancelled</x:v>
      </x:c>
    </x:row>
    <x:row r="356" ht="34" customHeight="1">
      <x:c r="A356" s="4" t="str">
        <x:v>RS-00355-E1</x:v>
      </x:c>
      <x:c r="B356" s="4" t="str">
        <x:v>RS-00355</x:v>
      </x:c>
      <x:c r="C356" s="8" t="n">
        <x:v>45310</x:v>
      </x:c>
      <x:c r="D356" s="4" t="str">
        <x:v>Sales operations manager</x:v>
      </x:c>
      <x:c r="E356" s="4" t="str">
        <x:v>Spreadsheet import</x:v>
      </x:c>
      <x:c r="F356" s="4" t="str">
        <x:v>Record captured</x:v>
      </x:c>
      <x:c r="G356" s="4" t="str">
        <x:v>Agreement signed</x:v>
      </x:c>
    </x:row>
    <x:row r="357" ht="34" customHeight="1">
      <x:c r="A357" s="4" t="str">
        <x:v>RS-00356-E1</x:v>
      </x:c>
      <x:c r="B357" s="4" t="str">
        <x:v>RS-00356</x:v>
      </x:c>
      <x:c r="C357" s="8" t="n">
        <x:v>45311</x:v>
      </x:c>
      <x:c r="D357" s="4" t="str">
        <x:v>Sales operations manager</x:v>
      </x:c>
      <x:c r="E357" s="4" t="str">
        <x:v>ERP form</x:v>
      </x:c>
      <x:c r="F357" s="4" t="str">
        <x:v>Record captured</x:v>
      </x:c>
      <x:c r="G357" s="4" t="str">
        <x:v>Cancelled</x:v>
      </x:c>
    </x:row>
    <x:row r="358" ht="34" customHeight="1">
      <x:c r="A358" s="4" t="str">
        <x:v>RS-00357-E1</x:v>
      </x:c>
      <x:c r="B358" s="4" t="str">
        <x:v>RS-00357</x:v>
      </x:c>
      <x:c r="C358" s="8" t="n">
        <x:v>45312</x:v>
      </x:c>
      <x:c r="D358" s="4" t="str">
        <x:v>Sales operations manager</x:v>
      </x:c>
      <x:c r="E358" s="4" t="str">
        <x:v>ERP form</x:v>
      </x:c>
      <x:c r="F358" s="4" t="str">
        <x:v>Record captured</x:v>
      </x:c>
      <x:c r="G358" s="4" t="str">
        <x:v>Cancelled</x:v>
      </x:c>
    </x:row>
    <x:row r="359" ht="34" customHeight="1">
      <x:c r="A359" s="4" t="str">
        <x:v>RS-00358-E1</x:v>
      </x:c>
      <x:c r="B359" s="4" t="str">
        <x:v>RS-00358</x:v>
      </x:c>
      <x:c r="C359" s="8" t="n">
        <x:v>45313</x:v>
      </x:c>
      <x:c r="D359" s="4" t="str">
        <x:v>Sales operations manager</x:v>
      </x:c>
      <x:c r="E359" s="4" t="str">
        <x:v>WhatsApp transcribed</x:v>
      </x:c>
      <x:c r="F359" s="4" t="str">
        <x:v>Record captured</x:v>
      </x:c>
      <x:c r="G359" s="4" t="str">
        <x:v>Booked</x:v>
      </x:c>
    </x:row>
    <x:row r="360" ht="34" customHeight="1">
      <x:c r="A360" s="4" t="str">
        <x:v>RS-00359-E1</x:v>
      </x:c>
      <x:c r="B360" s="4" t="str">
        <x:v>RS-00359</x:v>
      </x:c>
      <x:c r="C360" s="8" t="n">
        <x:v>45314</x:v>
      </x:c>
      <x:c r="D360" s="4" t="str">
        <x:v>Sales operations manager</x:v>
      </x:c>
      <x:c r="E360" s="4" t="str">
        <x:v>ERP form</x:v>
      </x:c>
      <x:c r="F360" s="4" t="str">
        <x:v>Record captured</x:v>
      </x:c>
      <x:c r="G360" s="4" t="str">
        <x:v>Reserved</x:v>
      </x:c>
    </x:row>
    <x:row r="361" ht="34" customHeight="1">
      <x:c r="A361" s="4" t="str">
        <x:v>RS-00360-E1</x:v>
      </x:c>
      <x:c r="B361" s="4" t="str">
        <x:v>RS-00360</x:v>
      </x:c>
      <x:c r="C361" s="8" t="n">
        <x:v>45315</x:v>
      </x:c>
      <x:c r="D361" s="4" t="str">
        <x:v>Sales operations manager</x:v>
      </x:c>
      <x:c r="E361" s="4" t="str">
        <x:v>ERP form</x:v>
      </x:c>
      <x:c r="F361" s="4" t="str">
        <x:v>Record captured</x:v>
      </x:c>
      <x:c r="G361" s="4" t="str">
        <x:v>Booked</x:v>
      </x:c>
    </x:row>
    <x:row r="362" ht="34" customHeight="1">
      <x:c r="A362" s="4" t="str">
        <x:v>RS-00361-E1</x:v>
      </x:c>
      <x:c r="B362" s="4" t="str">
        <x:v>RS-00361</x:v>
      </x:c>
      <x:c r="C362" s="8" t="n">
        <x:v>45316</x:v>
      </x:c>
      <x:c r="D362" s="4" t="str">
        <x:v>Sales operations manager</x:v>
      </x:c>
      <x:c r="E362" s="4" t="str">
        <x:v>Spreadsheet import</x:v>
      </x:c>
      <x:c r="F362" s="4" t="str">
        <x:v>Record captured</x:v>
      </x:c>
      <x:c r="G362" s="4" t="str">
        <x:v>Reserved</x:v>
      </x:c>
    </x:row>
    <x:row r="363" ht="34" customHeight="1">
      <x:c r="A363" s="4" t="str">
        <x:v>RS-00362-E1</x:v>
      </x:c>
      <x:c r="B363" s="4" t="str">
        <x:v>RS-00362</x:v>
      </x:c>
      <x:c r="C363" s="8" t="n">
        <x:v>45317</x:v>
      </x:c>
      <x:c r="D363" s="4" t="str">
        <x:v>Sales operations manager</x:v>
      </x:c>
      <x:c r="E363" s="4" t="str">
        <x:v>WhatsApp transcribed</x:v>
      </x:c>
      <x:c r="F363" s="4" t="str">
        <x:v>Record captured</x:v>
      </x:c>
      <x:c r="G363" s="4" t="str">
        <x:v>Agreement signed</x:v>
      </x:c>
    </x:row>
    <x:row r="364" ht="34" customHeight="1">
      <x:c r="A364" s="4" t="str">
        <x:v>RS-00363-E1</x:v>
      </x:c>
      <x:c r="B364" s="4" t="str">
        <x:v>RS-00363</x:v>
      </x:c>
      <x:c r="C364" s="8" t="n">
        <x:v>45318</x:v>
      </x:c>
      <x:c r="D364" s="4" t="str">
        <x:v>Sales operations manager</x:v>
      </x:c>
      <x:c r="E364" s="4" t="str">
        <x:v>Spreadsheet import</x:v>
      </x:c>
      <x:c r="F364" s="4" t="str">
        <x:v>Record captured</x:v>
      </x:c>
      <x:c r="G364" s="4" t="str">
        <x:v>Enquiry</x:v>
      </x:c>
    </x:row>
    <x:row r="365" ht="34" customHeight="1">
      <x:c r="A365" s="4" t="str">
        <x:v>RS-00364-E1</x:v>
      </x:c>
      <x:c r="B365" s="4" t="str">
        <x:v>RS-00364</x:v>
      </x:c>
      <x:c r="C365" s="8" t="n">
        <x:v>45319</x:v>
      </x:c>
      <x:c r="D365" s="4" t="str">
        <x:v>Sales operations manager</x:v>
      </x:c>
      <x:c r="E365" s="4" t="str">
        <x:v>Paper transcribed</x:v>
      </x:c>
      <x:c r="F365" s="4" t="str">
        <x:v>Record captured</x:v>
      </x:c>
      <x:c r="G365" s="4" t="str">
        <x:v>Enquiry</x:v>
      </x:c>
    </x:row>
    <x:row r="366" ht="34" customHeight="1">
      <x:c r="A366" s="4" t="str">
        <x:v>RS-00365-E1</x:v>
      </x:c>
      <x:c r="B366" s="4" t="str">
        <x:v>RS-00365</x:v>
      </x:c>
      <x:c r="C366" s="8" t="n">
        <x:v>45292</x:v>
      </x:c>
      <x:c r="D366" s="4" t="str">
        <x:v>Sales operations manager</x:v>
      </x:c>
      <x:c r="E366" s="4" t="str">
        <x:v>WhatsApp transcribed</x:v>
      </x:c>
      <x:c r="F366" s="4" t="str">
        <x:v>Record captured</x:v>
      </x:c>
      <x:c r="G366" s="4" t="str">
        <x:v>Enquiry</x:v>
      </x:c>
    </x:row>
    <x:row r="367" ht="34" customHeight="1">
      <x:c r="A367" s="4" t="str">
        <x:v>RS-00366-E1</x:v>
      </x:c>
      <x:c r="B367" s="4" t="str">
        <x:v>RS-00366</x:v>
      </x:c>
      <x:c r="C367" s="8" t="n">
        <x:v>45293</x:v>
      </x:c>
      <x:c r="D367" s="4" t="str">
        <x:v>Sales operations manager</x:v>
      </x:c>
      <x:c r="E367" s="4" t="str">
        <x:v>Paper transcribed</x:v>
      </x:c>
      <x:c r="F367" s="4" t="str">
        <x:v>Record captured</x:v>
      </x:c>
      <x:c r="G367" s="4" t="str">
        <x:v>Cancelled</x:v>
      </x:c>
    </x:row>
    <x:row r="368" ht="34" customHeight="1">
      <x:c r="A368" s="4" t="str">
        <x:v>RS-00367-E1</x:v>
      </x:c>
      <x:c r="B368" s="4" t="str">
        <x:v>RS-00367</x:v>
      </x:c>
      <x:c r="C368" s="8" t="n">
        <x:v>45294</x:v>
      </x:c>
      <x:c r="D368" s="4" t="str">
        <x:v>Sales operations manager</x:v>
      </x:c>
      <x:c r="E368" s="4" t="str">
        <x:v>Paper transcribed</x:v>
      </x:c>
      <x:c r="F368" s="4" t="str">
        <x:v>Record captured</x:v>
      </x:c>
      <x:c r="G368" s="4" t="str">
        <x:v>Booked</x:v>
      </x:c>
    </x:row>
    <x:row r="369" ht="34" customHeight="1">
      <x:c r="A369" s="4" t="str">
        <x:v>RS-00368-E1</x:v>
      </x:c>
      <x:c r="B369" s="4" t="str">
        <x:v>RS-00368</x:v>
      </x:c>
      <x:c r="C369" s="8" t="n">
        <x:v>45295</x:v>
      </x:c>
      <x:c r="D369" s="4" t="str">
        <x:v>Sales operations manager</x:v>
      </x:c>
      <x:c r="E369" s="4" t="str">
        <x:v>Spreadsheet import</x:v>
      </x:c>
      <x:c r="F369" s="4" t="str">
        <x:v>Record captured</x:v>
      </x:c>
      <x:c r="G369" s="4" t="str">
        <x:v>Booked</x:v>
      </x:c>
    </x:row>
    <x:row r="370" ht="34" customHeight="1">
      <x:c r="A370" s="4" t="str">
        <x:v>RS-00369-E1</x:v>
      </x:c>
      <x:c r="B370" s="4" t="str">
        <x:v>RS-00369</x:v>
      </x:c>
      <x:c r="C370" s="8" t="n">
        <x:v>45296</x:v>
      </x:c>
      <x:c r="D370" s="4" t="str">
        <x:v>Sales operations manager</x:v>
      </x:c>
      <x:c r="E370" s="4" t="str">
        <x:v>Paper transcribed</x:v>
      </x:c>
      <x:c r="F370" s="4" t="str">
        <x:v>Record captured</x:v>
      </x:c>
      <x:c r="G370" s="4" t="str">
        <x:v>Enquiry</x:v>
      </x:c>
    </x:row>
    <x:row r="371" ht="34" customHeight="1">
      <x:c r="A371" s="4" t="str">
        <x:v>RS-00370-E1</x:v>
      </x:c>
      <x:c r="B371" s="4" t="str">
        <x:v>RS-00370</x:v>
      </x:c>
      <x:c r="C371" s="8" t="n">
        <x:v>45297</x:v>
      </x:c>
      <x:c r="D371" s="4" t="str">
        <x:v>Sales operations manager</x:v>
      </x:c>
      <x:c r="E371" s="4" t="str">
        <x:v>Paper transcribed</x:v>
      </x:c>
      <x:c r="F371" s="4" t="str">
        <x:v>Record captured</x:v>
      </x:c>
      <x:c r="G371" s="4" t="str">
        <x:v>Reserved</x:v>
      </x:c>
    </x:row>
    <x:row r="372" ht="34" customHeight="1">
      <x:c r="A372" s="4" t="str">
        <x:v>RS-00371-E1</x:v>
      </x:c>
      <x:c r="B372" s="4" t="str">
        <x:v>RS-00371</x:v>
      </x:c>
      <x:c r="C372" s="8" t="n">
        <x:v>45298</x:v>
      </x:c>
      <x:c r="D372" s="4" t="str">
        <x:v>Sales operations manager</x:v>
      </x:c>
      <x:c r="E372" s="4" t="str">
        <x:v>Paper transcribed</x:v>
      </x:c>
      <x:c r="F372" s="4" t="str">
        <x:v>Record captured</x:v>
      </x:c>
      <x:c r="G372" s="4" t="str">
        <x:v>Cancelled</x:v>
      </x:c>
    </x:row>
    <x:row r="373" ht="34" customHeight="1">
      <x:c r="A373" s="4" t="str">
        <x:v>RS-00372-E1</x:v>
      </x:c>
      <x:c r="B373" s="4" t="str">
        <x:v>RS-00372</x:v>
      </x:c>
      <x:c r="C373" s="8" t="n">
        <x:v>45299</x:v>
      </x:c>
      <x:c r="D373" s="4" t="str">
        <x:v>Sales operations manager</x:v>
      </x:c>
      <x:c r="E373" s="4" t="str">
        <x:v>WhatsApp transcribed</x:v>
      </x:c>
      <x:c r="F373" s="4" t="str">
        <x:v>Record captured</x:v>
      </x:c>
      <x:c r="G373" s="4" t="str">
        <x:v>Enquiry</x:v>
      </x:c>
    </x:row>
    <x:row r="374" ht="34" customHeight="1">
      <x:c r="A374" s="4" t="str">
        <x:v>RS-00373-E1</x:v>
      </x:c>
      <x:c r="B374" s="4" t="str">
        <x:v>RS-00373</x:v>
      </x:c>
      <x:c r="C374" s="8" t="n">
        <x:v>45300</x:v>
      </x:c>
      <x:c r="D374" s="4" t="str">
        <x:v>Sales operations manager</x:v>
      </x:c>
      <x:c r="E374" s="4" t="str">
        <x:v>Paper transcribed</x:v>
      </x:c>
      <x:c r="F374" s="4" t="str">
        <x:v>Record captured</x:v>
      </x:c>
      <x:c r="G374" s="4" t="str">
        <x:v>Enquiry</x:v>
      </x:c>
    </x:row>
    <x:row r="375" ht="34" customHeight="1">
      <x:c r="A375" s="4" t="str">
        <x:v>RS-00374-E1</x:v>
      </x:c>
      <x:c r="B375" s="4" t="str">
        <x:v>RS-00374</x:v>
      </x:c>
      <x:c r="C375" s="8" t="n">
        <x:v>45301</x:v>
      </x:c>
      <x:c r="D375" s="4" t="str">
        <x:v>Sales operations manager</x:v>
      </x:c>
      <x:c r="E375" s="4" t="str">
        <x:v>Spreadsheet import</x:v>
      </x:c>
      <x:c r="F375" s="4" t="str">
        <x:v>Record captured</x:v>
      </x:c>
      <x:c r="G375" s="4" t="str">
        <x:v>Reserved</x:v>
      </x:c>
    </x:row>
    <x:row r="376" ht="34" customHeight="1">
      <x:c r="A376" s="4" t="str">
        <x:v>RS-00375-E1</x:v>
      </x:c>
      <x:c r="B376" s="4" t="str">
        <x:v>RS-00375</x:v>
      </x:c>
      <x:c r="C376" s="8" t="n">
        <x:v>45302</x:v>
      </x:c>
      <x:c r="D376" s="4" t="str">
        <x:v>Sales operations manager</x:v>
      </x:c>
      <x:c r="E376" s="4" t="str">
        <x:v>WhatsApp transcribed</x:v>
      </x:c>
      <x:c r="F376" s="4" t="str">
        <x:v>Record captured</x:v>
      </x:c>
      <x:c r="G376" s="4" t="str">
        <x:v>Enquiry</x:v>
      </x:c>
    </x:row>
    <x:row r="377" ht="34" customHeight="1">
      <x:c r="A377" s="4" t="str">
        <x:v>RS-00376-E1</x:v>
      </x:c>
      <x:c r="B377" s="4" t="str">
        <x:v>RS-00376</x:v>
      </x:c>
      <x:c r="C377" s="8" t="n">
        <x:v>45303</x:v>
      </x:c>
      <x:c r="D377" s="4" t="str">
        <x:v>Sales operations manager</x:v>
      </x:c>
      <x:c r="E377" s="4" t="str">
        <x:v>Spreadsheet import</x:v>
      </x:c>
      <x:c r="F377" s="4" t="str">
        <x:v>Record captured</x:v>
      </x:c>
      <x:c r="G377" s="4" t="str">
        <x:v>Enquiry</x:v>
      </x:c>
    </x:row>
    <x:row r="378" ht="34" customHeight="1">
      <x:c r="A378" s="4" t="str">
        <x:v>RS-00377-E1</x:v>
      </x:c>
      <x:c r="B378" s="4" t="str">
        <x:v>RS-00377</x:v>
      </x:c>
      <x:c r="C378" s="8" t="n">
        <x:v>45304</x:v>
      </x:c>
      <x:c r="D378" s="4" t="str">
        <x:v>Sales operations manager</x:v>
      </x:c>
      <x:c r="E378" s="4" t="str">
        <x:v>Spreadsheet import</x:v>
      </x:c>
      <x:c r="F378" s="4" t="str">
        <x:v>Record captured</x:v>
      </x:c>
      <x:c r="G378" s="4" t="str">
        <x:v>Reserved</x:v>
      </x:c>
    </x:row>
    <x:row r="379" ht="34" customHeight="1">
      <x:c r="A379" s="4" t="str">
        <x:v>RS-00378-E1</x:v>
      </x:c>
      <x:c r="B379" s="4" t="str">
        <x:v>RS-00378</x:v>
      </x:c>
      <x:c r="C379" s="8" t="n">
        <x:v>45305</x:v>
      </x:c>
      <x:c r="D379" s="4" t="str">
        <x:v>Sales operations manager</x:v>
      </x:c>
      <x:c r="E379" s="4" t="str">
        <x:v>Spreadsheet import</x:v>
      </x:c>
      <x:c r="F379" s="4" t="str">
        <x:v>Record captured</x:v>
      </x:c>
      <x:c r="G379" s="4" t="str">
        <x:v>Cancelled</x:v>
      </x:c>
    </x:row>
    <x:row r="380" ht="34" customHeight="1">
      <x:c r="A380" s="4" t="str">
        <x:v>RS-00379-E1</x:v>
      </x:c>
      <x:c r="B380" s="4" t="str">
        <x:v>RS-00379</x:v>
      </x:c>
      <x:c r="C380" s="8" t="n">
        <x:v>45306</x:v>
      </x:c>
      <x:c r="D380" s="4" t="str">
        <x:v>Sales operations manager</x:v>
      </x:c>
      <x:c r="E380" s="4" t="str">
        <x:v>ERP form</x:v>
      </x:c>
      <x:c r="F380" s="4" t="str">
        <x:v>Record captured</x:v>
      </x:c>
      <x:c r="G380" s="4" t="str">
        <x:v>Reserved</x:v>
      </x:c>
    </x:row>
    <x:row r="381" ht="34" customHeight="1">
      <x:c r="A381" s="4" t="str">
        <x:v>RS-00380-E1</x:v>
      </x:c>
      <x:c r="B381" s="4" t="str">
        <x:v>RS-00380</x:v>
      </x:c>
      <x:c r="C381" s="8" t="n">
        <x:v>45307</x:v>
      </x:c>
      <x:c r="D381" s="4" t="str">
        <x:v>Sales operations manager</x:v>
      </x:c>
      <x:c r="E381" s="4" t="str">
        <x:v>WhatsApp transcribed</x:v>
      </x:c>
      <x:c r="F381" s="4" t="str">
        <x:v>Record captured</x:v>
      </x:c>
      <x:c r="G381" s="4" t="str">
        <x:v>Agreement signed</x:v>
      </x:c>
    </x:row>
    <x:row r="382" ht="34" customHeight="1">
      <x:c r="A382" s="4" t="str">
        <x:v>RS-00381-E1</x:v>
      </x:c>
      <x:c r="B382" s="4" t="str">
        <x:v>RS-00381</x:v>
      </x:c>
      <x:c r="C382" s="8" t="n">
        <x:v>45308</x:v>
      </x:c>
      <x:c r="D382" s="4" t="str">
        <x:v>Sales operations manager</x:v>
      </x:c>
      <x:c r="E382" s="4" t="str">
        <x:v>WhatsApp transcribed</x:v>
      </x:c>
      <x:c r="F382" s="4" t="str">
        <x:v>Record captured</x:v>
      </x:c>
      <x:c r="G382" s="4" t="str">
        <x:v>Cancelled</x:v>
      </x:c>
    </x:row>
    <x:row r="383" ht="34" customHeight="1">
      <x:c r="A383" s="4" t="str">
        <x:v>RS-00382-E1</x:v>
      </x:c>
      <x:c r="B383" s="4" t="str">
        <x:v>RS-00382</x:v>
      </x:c>
      <x:c r="C383" s="8" t="n">
        <x:v>45309</x:v>
      </x:c>
      <x:c r="D383" s="4" t="str">
        <x:v>Sales operations manager</x:v>
      </x:c>
      <x:c r="E383" s="4" t="str">
        <x:v>WhatsApp transcribed</x:v>
      </x:c>
      <x:c r="F383" s="4" t="str">
        <x:v>Record captured</x:v>
      </x:c>
      <x:c r="G383" s="4" t="str">
        <x:v>Reserved</x:v>
      </x:c>
    </x:row>
    <x:row r="384" ht="34" customHeight="1">
      <x:c r="A384" s="4" t="str">
        <x:v>RS-00383-E1</x:v>
      </x:c>
      <x:c r="B384" s="4" t="str">
        <x:v>RS-00383</x:v>
      </x:c>
      <x:c r="C384" s="8" t="n">
        <x:v>45310</x:v>
      </x:c>
      <x:c r="D384" s="4" t="str">
        <x:v>Sales operations manager</x:v>
      </x:c>
      <x:c r="E384" s="4" t="str">
        <x:v>ERP form</x:v>
      </x:c>
      <x:c r="F384" s="4" t="str">
        <x:v>Record captured</x:v>
      </x:c>
      <x:c r="G384" s="4" t="str">
        <x:v>Agreement signed</x:v>
      </x:c>
    </x:row>
    <x:row r="385" ht="34" customHeight="1">
      <x:c r="A385" s="4" t="str">
        <x:v>RS-00384-E1</x:v>
      </x:c>
      <x:c r="B385" s="4" t="str">
        <x:v>RS-00384</x:v>
      </x:c>
      <x:c r="C385" s="8" t="n">
        <x:v>45311</x:v>
      </x:c>
      <x:c r="D385" s="4" t="str">
        <x:v>Sales operations manager</x:v>
      </x:c>
      <x:c r="E385" s="4" t="str">
        <x:v>ERP form</x:v>
      </x:c>
      <x:c r="F385" s="4" t="str">
        <x:v>Record captured</x:v>
      </x:c>
      <x:c r="G385" s="4" t="str">
        <x:v>Enquiry</x:v>
      </x:c>
    </x:row>
    <x:row r="386" ht="34" customHeight="1">
      <x:c r="A386" s="4" t="str">
        <x:v>RS-00385-E1</x:v>
      </x:c>
      <x:c r="B386" s="4" t="str">
        <x:v>RS-00385</x:v>
      </x:c>
      <x:c r="C386" s="8" t="n">
        <x:v>45312</x:v>
      </x:c>
      <x:c r="D386" s="4" t="str">
        <x:v>Sales operations manager</x:v>
      </x:c>
      <x:c r="E386" s="4" t="str">
        <x:v>WhatsApp transcribed</x:v>
      </x:c>
      <x:c r="F386" s="4" t="str">
        <x:v>Record captured</x:v>
      </x:c>
      <x:c r="G386" s="4" t="str">
        <x:v>Reserved</x:v>
      </x:c>
    </x:row>
    <x:row r="387" ht="34" customHeight="1">
      <x:c r="A387" s="4" t="str">
        <x:v>RS-00386-E1</x:v>
      </x:c>
      <x:c r="B387" s="4" t="str">
        <x:v>RS-00386</x:v>
      </x:c>
      <x:c r="C387" s="8" t="n">
        <x:v>45313</x:v>
      </x:c>
      <x:c r="D387" s="4" t="str">
        <x:v>Sales operations manager</x:v>
      </x:c>
      <x:c r="E387" s="4" t="str">
        <x:v>WhatsApp transcribed</x:v>
      </x:c>
      <x:c r="F387" s="4" t="str">
        <x:v>Record captured</x:v>
      </x:c>
      <x:c r="G387" s="4" t="str">
        <x:v>Reserved</x:v>
      </x:c>
    </x:row>
    <x:row r="388" ht="34" customHeight="1">
      <x:c r="A388" s="4" t="str">
        <x:v>RS-00387-E1</x:v>
      </x:c>
      <x:c r="B388" s="4" t="str">
        <x:v>RS-00387</x:v>
      </x:c>
      <x:c r="C388" s="8" t="n">
        <x:v>45314</x:v>
      </x:c>
      <x:c r="D388" s="4" t="str">
        <x:v>Sales operations manager</x:v>
      </x:c>
      <x:c r="E388" s="4" t="str">
        <x:v>ERP form</x:v>
      </x:c>
      <x:c r="F388" s="4" t="str">
        <x:v>Record captured</x:v>
      </x:c>
      <x:c r="G388" s="4" t="str">
        <x:v>Agreement signed</x:v>
      </x:c>
    </x:row>
    <x:row r="389" ht="34" customHeight="1">
      <x:c r="A389" s="4" t="str">
        <x:v>RS-00388-E1</x:v>
      </x:c>
      <x:c r="B389" s="4" t="str">
        <x:v>RS-00388</x:v>
      </x:c>
      <x:c r="C389" s="8" t="n">
        <x:v>45315</x:v>
      </x:c>
      <x:c r="D389" s="4" t="str">
        <x:v>Sales operations manager</x:v>
      </x:c>
      <x:c r="E389" s="4" t="str">
        <x:v>WhatsApp transcribed</x:v>
      </x:c>
      <x:c r="F389" s="4" t="str">
        <x:v>Record captured</x:v>
      </x:c>
      <x:c r="G389" s="4" t="str">
        <x:v>Booked</x:v>
      </x:c>
    </x:row>
    <x:row r="390" ht="34" customHeight="1">
      <x:c r="A390" s="4" t="str">
        <x:v>RS-00389-E1</x:v>
      </x:c>
      <x:c r="B390" s="4" t="str">
        <x:v>RS-00389</x:v>
      </x:c>
      <x:c r="C390" s="8" t="n">
        <x:v>45316</x:v>
      </x:c>
      <x:c r="D390" s="4" t="str">
        <x:v>Sales operations manager</x:v>
      </x:c>
      <x:c r="E390" s="4" t="str">
        <x:v>WhatsApp transcribed</x:v>
      </x:c>
      <x:c r="F390" s="4" t="str">
        <x:v>Record captured</x:v>
      </x:c>
      <x:c r="G390" s="4" t="str">
        <x:v>Booked</x:v>
      </x:c>
    </x:row>
    <x:row r="391" ht="34" customHeight="1">
      <x:c r="A391" s="4" t="str">
        <x:v>RS-00390-E1</x:v>
      </x:c>
      <x:c r="B391" s="4" t="str">
        <x:v>RS-00390</x:v>
      </x:c>
      <x:c r="C391" s="8" t="n">
        <x:v>45317</x:v>
      </x:c>
      <x:c r="D391" s="4" t="str">
        <x:v>Sales operations manager</x:v>
      </x:c>
      <x:c r="E391" s="4" t="str">
        <x:v>Paper transcribed</x:v>
      </x:c>
      <x:c r="F391" s="4" t="str">
        <x:v>Record captured</x:v>
      </x:c>
      <x:c r="G391" s="4" t="str">
        <x:v>Booked</x:v>
      </x:c>
    </x:row>
    <x:row r="392" ht="34" customHeight="1">
      <x:c r="A392" s="4" t="str">
        <x:v>RS-00391-E1</x:v>
      </x:c>
      <x:c r="B392" s="4" t="str">
        <x:v>RS-00391</x:v>
      </x:c>
      <x:c r="C392" s="8" t="n">
        <x:v>45318</x:v>
      </x:c>
      <x:c r="D392" s="4" t="str">
        <x:v>Sales operations manager</x:v>
      </x:c>
      <x:c r="E392" s="4" t="str">
        <x:v>Spreadsheet import</x:v>
      </x:c>
      <x:c r="F392" s="4" t="str">
        <x:v>Record captured</x:v>
      </x:c>
      <x:c r="G392" s="4" t="str">
        <x:v>Handed over</x:v>
      </x:c>
    </x:row>
    <x:row r="393" ht="34" customHeight="1">
      <x:c r="A393" s="4" t="str">
        <x:v>RS-00392-E1</x:v>
      </x:c>
      <x:c r="B393" s="4" t="str">
        <x:v>RS-00392</x:v>
      </x:c>
      <x:c r="C393" s="8" t="n">
        <x:v>45319</x:v>
      </x:c>
      <x:c r="D393" s="4" t="str">
        <x:v>Sales operations manager</x:v>
      </x:c>
      <x:c r="E393" s="4" t="str">
        <x:v>Spreadsheet import</x:v>
      </x:c>
      <x:c r="F393" s="4" t="str">
        <x:v>Record captured</x:v>
      </x:c>
      <x:c r="G393" s="4" t="str">
        <x:v>Reserved</x:v>
      </x:c>
    </x:row>
    <x:row r="394" ht="34" customHeight="1">
      <x:c r="A394" s="4" t="str">
        <x:v>RS-00393-E1</x:v>
      </x:c>
      <x:c r="B394" s="4" t="str">
        <x:v>RS-00393</x:v>
      </x:c>
      <x:c r="C394" s="8" t="n">
        <x:v>45292</x:v>
      </x:c>
      <x:c r="D394" s="4" t="str">
        <x:v>Sales operations manager</x:v>
      </x:c>
      <x:c r="E394" s="4" t="str">
        <x:v>ERP form</x:v>
      </x:c>
      <x:c r="F394" s="4" t="str">
        <x:v>Record captured</x:v>
      </x:c>
      <x:c r="G394" s="4" t="str">
        <x:v>Booked</x:v>
      </x:c>
    </x:row>
    <x:row r="395" ht="34" customHeight="1">
      <x:c r="A395" s="4" t="str">
        <x:v>RS-00394-E1</x:v>
      </x:c>
      <x:c r="B395" s="4" t="str">
        <x:v>RS-00394</x:v>
      </x:c>
      <x:c r="C395" s="8" t="n">
        <x:v>45293</x:v>
      </x:c>
      <x:c r="D395" s="4" t="str">
        <x:v>Sales operations manager</x:v>
      </x:c>
      <x:c r="E395" s="4" t="str">
        <x:v>Spreadsheet import</x:v>
      </x:c>
      <x:c r="F395" s="4" t="str">
        <x:v>Record captured</x:v>
      </x:c>
      <x:c r="G395" s="4" t="str">
        <x:v>Reserved</x:v>
      </x:c>
    </x:row>
    <x:row r="396" ht="34" customHeight="1">
      <x:c r="A396" s="4" t="str">
        <x:v>RS-00395-E1</x:v>
      </x:c>
      <x:c r="B396" s="4" t="str">
        <x:v>RS-00395</x:v>
      </x:c>
      <x:c r="C396" s="8" t="n">
        <x:v>45294</x:v>
      </x:c>
      <x:c r="D396" s="4" t="str">
        <x:v>Sales operations manager</x:v>
      </x:c>
      <x:c r="E396" s="4" t="str">
        <x:v>Spreadsheet import</x:v>
      </x:c>
      <x:c r="F396" s="4" t="str">
        <x:v>Record captured</x:v>
      </x:c>
      <x:c r="G396" s="4" t="str">
        <x:v>Booked</x:v>
      </x:c>
    </x:row>
    <x:row r="397" ht="34" customHeight="1">
      <x:c r="A397" s="4" t="str">
        <x:v>RS-00396-E1</x:v>
      </x:c>
      <x:c r="B397" s="4" t="str">
        <x:v>RS-00396</x:v>
      </x:c>
      <x:c r="C397" s="8" t="n">
        <x:v>45295</x:v>
      </x:c>
      <x:c r="D397" s="4" t="str">
        <x:v>Sales operations manager</x:v>
      </x:c>
      <x:c r="E397" s="4" t="str">
        <x:v>WhatsApp transcribed</x:v>
      </x:c>
      <x:c r="F397" s="4" t="str">
        <x:v>Record captured</x:v>
      </x:c>
      <x:c r="G397" s="4" t="str">
        <x:v>Reserved</x:v>
      </x:c>
    </x:row>
    <x:row r="398" ht="34" customHeight="1">
      <x:c r="A398" s="4" t="str">
        <x:v>RS-00397-E1</x:v>
      </x:c>
      <x:c r="B398" s="4" t="str">
        <x:v>RS-00397</x:v>
      </x:c>
      <x:c r="C398" s="8" t="n">
        <x:v>45296</x:v>
      </x:c>
      <x:c r="D398" s="4" t="str">
        <x:v>Sales operations manager</x:v>
      </x:c>
      <x:c r="E398" s="4" t="str">
        <x:v>WhatsApp transcribed</x:v>
      </x:c>
      <x:c r="F398" s="4" t="str">
        <x:v>Record captured</x:v>
      </x:c>
      <x:c r="G398" s="4" t="str">
        <x:v>Enquiry</x:v>
      </x:c>
    </x:row>
    <x:row r="399" ht="34" customHeight="1">
      <x:c r="A399" s="4" t="str">
        <x:v>RS-00398-E1</x:v>
      </x:c>
      <x:c r="B399" s="4" t="str">
        <x:v>RS-00398</x:v>
      </x:c>
      <x:c r="C399" s="8" t="n">
        <x:v>45297</x:v>
      </x:c>
      <x:c r="D399" s="4" t="str">
        <x:v>Sales operations manager</x:v>
      </x:c>
      <x:c r="E399" s="4" t="str">
        <x:v>ERP form</x:v>
      </x:c>
      <x:c r="F399" s="4" t="str">
        <x:v>Record captured</x:v>
      </x:c>
      <x:c r="G399" s="4" t="str">
        <x:v>Handed over</x:v>
      </x:c>
    </x:row>
    <x:row r="400" ht="34" customHeight="1">
      <x:c r="A400" s="4" t="str">
        <x:v>RS-00399-E1</x:v>
      </x:c>
      <x:c r="B400" s="4" t="str">
        <x:v>RS-00399</x:v>
      </x:c>
      <x:c r="C400" s="8" t="n">
        <x:v>45298</x:v>
      </x:c>
      <x:c r="D400" s="4" t="str">
        <x:v>Sales operations manager</x:v>
      </x:c>
      <x:c r="E400" s="4" t="str">
        <x:v>Paper transcribed</x:v>
      </x:c>
      <x:c r="F400" s="4" t="str">
        <x:v>Record captured</x:v>
      </x:c>
      <x:c r="G400" s="4" t="str">
        <x:v>Reserved</x:v>
      </x:c>
    </x:row>
    <x:row r="401" ht="34" customHeight="1">
      <x:c r="A401" s="4" t="str">
        <x:v>RS-00400-E1</x:v>
      </x:c>
      <x:c r="B401" s="4" t="str">
        <x:v>RS-00400</x:v>
      </x:c>
      <x:c r="C401" s="8" t="n">
        <x:v>45299</x:v>
      </x:c>
      <x:c r="D401" s="4" t="str">
        <x:v>Sales operations manager</x:v>
      </x:c>
      <x:c r="E401" s="4" t="str">
        <x:v>Spreadsheet import</x:v>
      </x:c>
      <x:c r="F401" s="4" t="str">
        <x:v>Record captured</x:v>
      </x:c>
      <x:c r="G401" s="4" t="str">
        <x:v>Reserved</x:v>
      </x:c>
    </x:row>
    <x:row r="402" ht="34" customHeight="1">
      <x:c r="A402" s="4" t="str">
        <x:v>RS-00401-E1</x:v>
      </x:c>
      <x:c r="B402" s="4" t="str">
        <x:v>RS-00401</x:v>
      </x:c>
      <x:c r="C402" s="8" t="n">
        <x:v>45300</x:v>
      </x:c>
      <x:c r="D402" s="4" t="str">
        <x:v>Sales operations manager</x:v>
      </x:c>
      <x:c r="E402" s="4" t="str">
        <x:v>ERP form</x:v>
      </x:c>
      <x:c r="F402" s="4" t="str">
        <x:v>Record captured</x:v>
      </x:c>
      <x:c r="G402" s="4" t="str">
        <x:v>Agreement signed</x:v>
      </x:c>
    </x:row>
    <x:row r="403" ht="34" customHeight="1">
      <x:c r="A403" s="4" t="str">
        <x:v>RS-00402-E1</x:v>
      </x:c>
      <x:c r="B403" s="4" t="str">
        <x:v>RS-00402</x:v>
      </x:c>
      <x:c r="C403" s="8" t="n">
        <x:v>45301</x:v>
      </x:c>
      <x:c r="D403" s="4" t="str">
        <x:v>Sales operations manager</x:v>
      </x:c>
      <x:c r="E403" s="4" t="str">
        <x:v>Spreadsheet import</x:v>
      </x:c>
      <x:c r="F403" s="4" t="str">
        <x:v>Record captured</x:v>
      </x:c>
      <x:c r="G403" s="4" t="str">
        <x:v>Cancelled</x:v>
      </x:c>
    </x:row>
    <x:row r="404" ht="34" customHeight="1">
      <x:c r="A404" s="4" t="str">
        <x:v>RS-00403-E1</x:v>
      </x:c>
      <x:c r="B404" s="4" t="str">
        <x:v>RS-00403</x:v>
      </x:c>
      <x:c r="C404" s="8" t="n">
        <x:v>45302</x:v>
      </x:c>
      <x:c r="D404" s="4" t="str">
        <x:v>Sales operations manager</x:v>
      </x:c>
      <x:c r="E404" s="4" t="str">
        <x:v>WhatsApp transcribed</x:v>
      </x:c>
      <x:c r="F404" s="4" t="str">
        <x:v>Record captured</x:v>
      </x:c>
      <x:c r="G404" s="4" t="str">
        <x:v>Enquiry</x:v>
      </x:c>
    </x:row>
    <x:row r="405" ht="34" customHeight="1">
      <x:c r="A405" s="4" t="str">
        <x:v>RS-00404-E1</x:v>
      </x:c>
      <x:c r="B405" s="4" t="str">
        <x:v>RS-00404</x:v>
      </x:c>
      <x:c r="C405" s="8" t="n">
        <x:v>45303</x:v>
      </x:c>
      <x:c r="D405" s="4" t="str">
        <x:v>Sales operations manager</x:v>
      </x:c>
      <x:c r="E405" s="4" t="str">
        <x:v>WhatsApp transcribed</x:v>
      </x:c>
      <x:c r="F405" s="4" t="str">
        <x:v>Record captured</x:v>
      </x:c>
      <x:c r="G405" s="4" t="str">
        <x:v>Handed over</x:v>
      </x:c>
    </x:row>
    <x:row r="406" ht="34" customHeight="1">
      <x:c r="A406" s="4" t="str">
        <x:v>RS-00405-E1</x:v>
      </x:c>
      <x:c r="B406" s="4" t="str">
        <x:v>RS-00405</x:v>
      </x:c>
      <x:c r="C406" s="8" t="n">
        <x:v>45304</x:v>
      </x:c>
      <x:c r="D406" s="4" t="str">
        <x:v>Sales operations manager</x:v>
      </x:c>
      <x:c r="E406" s="4" t="str">
        <x:v>Paper transcribed</x:v>
      </x:c>
      <x:c r="F406" s="4" t="str">
        <x:v>Record captured</x:v>
      </x:c>
      <x:c r="G406" s="4" t="str">
        <x:v>Booked</x:v>
      </x:c>
    </x:row>
    <x:row r="407" ht="34" customHeight="1">
      <x:c r="A407" s="4" t="str">
        <x:v>RS-00406-E1</x:v>
      </x:c>
      <x:c r="B407" s="4" t="str">
        <x:v>RS-00406</x:v>
      </x:c>
      <x:c r="C407" s="8" t="n">
        <x:v>45305</x:v>
      </x:c>
      <x:c r="D407" s="4" t="str">
        <x:v>Sales operations manager</x:v>
      </x:c>
      <x:c r="E407" s="4" t="str">
        <x:v>Spreadsheet import</x:v>
      </x:c>
      <x:c r="F407" s="4" t="str">
        <x:v>Record captured</x:v>
      </x:c>
      <x:c r="G407" s="4" t="str">
        <x:v>Agreement signed</x:v>
      </x:c>
    </x:row>
    <x:row r="408" ht="34" customHeight="1">
      <x:c r="A408" s="4" t="str">
        <x:v>RS-00407-E1</x:v>
      </x:c>
      <x:c r="B408" s="4" t="str">
        <x:v>RS-00407</x:v>
      </x:c>
      <x:c r="C408" s="8" t="n">
        <x:v>45306</x:v>
      </x:c>
      <x:c r="D408" s="4" t="str">
        <x:v>Sales operations manager</x:v>
      </x:c>
      <x:c r="E408" s="4" t="str">
        <x:v>Spreadsheet import</x:v>
      </x:c>
      <x:c r="F408" s="4" t="str">
        <x:v>Record captured</x:v>
      </x:c>
      <x:c r="G408" s="4" t="str">
        <x:v>Reserved</x:v>
      </x:c>
    </x:row>
    <x:row r="409" ht="34" customHeight="1">
      <x:c r="A409" s="4" t="str">
        <x:v>RS-00408-E1</x:v>
      </x:c>
      <x:c r="B409" s="4" t="str">
        <x:v>RS-00408</x:v>
      </x:c>
      <x:c r="C409" s="8" t="n">
        <x:v>45307</x:v>
      </x:c>
      <x:c r="D409" s="4" t="str">
        <x:v>Sales operations manager</x:v>
      </x:c>
      <x:c r="E409" s="4" t="str">
        <x:v>Paper transcribed</x:v>
      </x:c>
      <x:c r="F409" s="4" t="str">
        <x:v>Record captured</x:v>
      </x:c>
      <x:c r="G409" s="4" t="str">
        <x:v>Booked</x:v>
      </x:c>
    </x:row>
    <x:row r="410" ht="34" customHeight="1">
      <x:c r="A410" s="4" t="str">
        <x:v>RS-00409-E1</x:v>
      </x:c>
      <x:c r="B410" s="4" t="str">
        <x:v>RS-00409</x:v>
      </x:c>
      <x:c r="C410" s="8" t="n">
        <x:v>45308</x:v>
      </x:c>
      <x:c r="D410" s="4" t="str">
        <x:v>Sales operations manager</x:v>
      </x:c>
      <x:c r="E410" s="4" t="str">
        <x:v>Spreadsheet import</x:v>
      </x:c>
      <x:c r="F410" s="4" t="str">
        <x:v>Record captured</x:v>
      </x:c>
      <x:c r="G410" s="4" t="str">
        <x:v>Cancelled</x:v>
      </x:c>
    </x:row>
    <x:row r="411" ht="34" customHeight="1">
      <x:c r="A411" s="4" t="str">
        <x:v>RS-00410-E1</x:v>
      </x:c>
      <x:c r="B411" s="4" t="str">
        <x:v>RS-00410</x:v>
      </x:c>
      <x:c r="C411" s="8" t="n">
        <x:v>45309</x:v>
      </x:c>
      <x:c r="D411" s="4" t="str">
        <x:v>Sales operations manager</x:v>
      </x:c>
      <x:c r="E411" s="4" t="str">
        <x:v>WhatsApp transcribed</x:v>
      </x:c>
      <x:c r="F411" s="4" t="str">
        <x:v>Record captured</x:v>
      </x:c>
      <x:c r="G411" s="4" t="str">
        <x:v>Agreement signed</x:v>
      </x:c>
    </x:row>
    <x:row r="412" ht="34" customHeight="1">
      <x:c r="A412" s="4" t="str">
        <x:v>RS-00411-E1</x:v>
      </x:c>
      <x:c r="B412" s="4" t="str">
        <x:v>RS-00411</x:v>
      </x:c>
      <x:c r="C412" s="8" t="n">
        <x:v>45310</x:v>
      </x:c>
      <x:c r="D412" s="4" t="str">
        <x:v>Sales operations manager</x:v>
      </x:c>
      <x:c r="E412" s="4" t="str">
        <x:v>Spreadsheet import</x:v>
      </x:c>
      <x:c r="F412" s="4" t="str">
        <x:v>Record captured</x:v>
      </x:c>
      <x:c r="G412" s="4" t="str">
        <x:v>Enquiry</x:v>
      </x:c>
    </x:row>
    <x:row r="413" ht="34" customHeight="1">
      <x:c r="A413" s="4" t="str">
        <x:v>RS-00412-E1</x:v>
      </x:c>
      <x:c r="B413" s="4" t="str">
        <x:v>RS-00412</x:v>
      </x:c>
      <x:c r="C413" s="8" t="n">
        <x:v>45311</x:v>
      </x:c>
      <x:c r="D413" s="4" t="str">
        <x:v>Sales operations manager</x:v>
      </x:c>
      <x:c r="E413" s="4" t="str">
        <x:v>WhatsApp transcribed</x:v>
      </x:c>
      <x:c r="F413" s="4" t="str">
        <x:v>Record captured</x:v>
      </x:c>
      <x:c r="G413" s="4" t="str">
        <x:v>Handed over</x:v>
      </x:c>
    </x:row>
    <x:row r="414" ht="34" customHeight="1">
      <x:c r="A414" s="4" t="str">
        <x:v>RS-00413-E1</x:v>
      </x:c>
      <x:c r="B414" s="4" t="str">
        <x:v>RS-00413</x:v>
      </x:c>
      <x:c r="C414" s="8" t="n">
        <x:v>45312</x:v>
      </x:c>
      <x:c r="D414" s="4" t="str">
        <x:v>Sales operations manager</x:v>
      </x:c>
      <x:c r="E414" s="4" t="str">
        <x:v>ERP form</x:v>
      </x:c>
      <x:c r="F414" s="4" t="str">
        <x:v>Record captured</x:v>
      </x:c>
      <x:c r="G414" s="4" t="str">
        <x:v>Handed over</x:v>
      </x:c>
    </x:row>
    <x:row r="415" ht="34" customHeight="1">
      <x:c r="A415" s="4" t="str">
        <x:v>RS-00414-E1</x:v>
      </x:c>
      <x:c r="B415" s="4" t="str">
        <x:v>RS-00414</x:v>
      </x:c>
      <x:c r="C415" s="8" t="n">
        <x:v>45313</x:v>
      </x:c>
      <x:c r="D415" s="4" t="str">
        <x:v>Sales operations manager</x:v>
      </x:c>
      <x:c r="E415" s="4" t="str">
        <x:v>Spreadsheet import</x:v>
      </x:c>
      <x:c r="F415" s="4" t="str">
        <x:v>Record captured</x:v>
      </x:c>
      <x:c r="G415" s="4" t="str">
        <x:v>Booked</x:v>
      </x:c>
    </x:row>
    <x:row r="416" ht="34" customHeight="1">
      <x:c r="A416" s="4" t="str">
        <x:v>RS-00415-E1</x:v>
      </x:c>
      <x:c r="B416" s="4" t="str">
        <x:v>RS-00415</x:v>
      </x:c>
      <x:c r="C416" s="8" t="n">
        <x:v>45314</x:v>
      </x:c>
      <x:c r="D416" s="4" t="str">
        <x:v>Sales operations manager</x:v>
      </x:c>
      <x:c r="E416" s="4" t="str">
        <x:v>WhatsApp transcribed</x:v>
      </x:c>
      <x:c r="F416" s="4" t="str">
        <x:v>Record captured</x:v>
      </x:c>
      <x:c r="G416" s="4" t="str">
        <x:v>Handed over</x:v>
      </x:c>
    </x:row>
    <x:row r="417" ht="34" customHeight="1">
      <x:c r="A417" s="4" t="str">
        <x:v>RS-00416-E1</x:v>
      </x:c>
      <x:c r="B417" s="4" t="str">
        <x:v>RS-00416</x:v>
      </x:c>
      <x:c r="C417" s="8" t="n">
        <x:v>45315</x:v>
      </x:c>
      <x:c r="D417" s="4" t="str">
        <x:v>Sales operations manager</x:v>
      </x:c>
      <x:c r="E417" s="4" t="str">
        <x:v>WhatsApp transcribed</x:v>
      </x:c>
      <x:c r="F417" s="4" t="str">
        <x:v>Record captured</x:v>
      </x:c>
      <x:c r="G417" s="4" t="str">
        <x:v>Enquiry</x:v>
      </x:c>
    </x:row>
    <x:row r="418" ht="34" customHeight="1">
      <x:c r="A418" s="4" t="str">
        <x:v>RS-00417-E1</x:v>
      </x:c>
      <x:c r="B418" s="4" t="str">
        <x:v>RS-00417</x:v>
      </x:c>
      <x:c r="C418" s="8" t="n">
        <x:v>45316</x:v>
      </x:c>
      <x:c r="D418" s="4" t="str">
        <x:v>Sales operations manager</x:v>
      </x:c>
      <x:c r="E418" s="4" t="str">
        <x:v>Spreadsheet import</x:v>
      </x:c>
      <x:c r="F418" s="4" t="str">
        <x:v>Record captured</x:v>
      </x:c>
      <x:c r="G418" s="4" t="str">
        <x:v>Enquiry</x:v>
      </x:c>
    </x:row>
    <x:row r="419" ht="34" customHeight="1">
      <x:c r="A419" s="4" t="str">
        <x:v>RS-00418-E1</x:v>
      </x:c>
      <x:c r="B419" s="4" t="str">
        <x:v>RS-00418</x:v>
      </x:c>
      <x:c r="C419" s="8" t="n">
        <x:v>45317</x:v>
      </x:c>
      <x:c r="D419" s="4" t="str">
        <x:v>Sales operations manager</x:v>
      </x:c>
      <x:c r="E419" s="4" t="str">
        <x:v>ERP form</x:v>
      </x:c>
      <x:c r="F419" s="4" t="str">
        <x:v>Record captured</x:v>
      </x:c>
      <x:c r="G419" s="4" t="str">
        <x:v>Cancelled</x:v>
      </x:c>
    </x:row>
    <x:row r="420" ht="34" customHeight="1">
      <x:c r="A420" s="4" t="str">
        <x:v>RS-00419-E1</x:v>
      </x:c>
      <x:c r="B420" s="4" t="str">
        <x:v>RS-00419</x:v>
      </x:c>
      <x:c r="C420" s="8" t="n">
        <x:v>45318</x:v>
      </x:c>
      <x:c r="D420" s="4" t="str">
        <x:v>Sales operations manager</x:v>
      </x:c>
      <x:c r="E420" s="4" t="str">
        <x:v>ERP form</x:v>
      </x:c>
      <x:c r="F420" s="4" t="str">
        <x:v>Record captured</x:v>
      </x:c>
      <x:c r="G420" s="4" t="str">
        <x:v>Cancelled</x:v>
      </x:c>
    </x:row>
    <x:row r="421" ht="34" customHeight="1">
      <x:c r="A421" s="4" t="str">
        <x:v>RS-00420-E1</x:v>
      </x:c>
      <x:c r="B421" s="4" t="str">
        <x:v>RS-00420</x:v>
      </x:c>
      <x:c r="C421" s="8" t="n">
        <x:v>45319</x:v>
      </x:c>
      <x:c r="D421" s="4" t="str">
        <x:v>Sales operations manager</x:v>
      </x:c>
      <x:c r="E421" s="4" t="str">
        <x:v>Paper transcribed</x:v>
      </x:c>
      <x:c r="F421" s="4" t="str">
        <x:v>Record captured</x:v>
      </x:c>
      <x:c r="G421" s="4" t="str">
        <x:v>Enquiry</x:v>
      </x:c>
    </x:row>
    <x:row r="422" ht="34" customHeight="1">
      <x:c r="A422" s="4" t="str">
        <x:v>RS-00421-E1</x:v>
      </x:c>
      <x:c r="B422" s="4" t="str">
        <x:v>RS-00421</x:v>
      </x:c>
      <x:c r="C422" s="8" t="n">
        <x:v>45292</x:v>
      </x:c>
      <x:c r="D422" s="4" t="str">
        <x:v>Sales operations manager</x:v>
      </x:c>
      <x:c r="E422" s="4" t="str">
        <x:v>WhatsApp transcribed</x:v>
      </x:c>
      <x:c r="F422" s="4" t="str">
        <x:v>Record captured</x:v>
      </x:c>
      <x:c r="G422" s="4" t="str">
        <x:v>Reserved</x:v>
      </x:c>
    </x:row>
    <x:row r="423" ht="34" customHeight="1">
      <x:c r="A423" s="4" t="str">
        <x:v>RS-00422-E1</x:v>
      </x:c>
      <x:c r="B423" s="4" t="str">
        <x:v>RS-00422</x:v>
      </x:c>
      <x:c r="C423" s="8" t="n">
        <x:v>45293</x:v>
      </x:c>
      <x:c r="D423" s="4" t="str">
        <x:v>Sales operations manager</x:v>
      </x:c>
      <x:c r="E423" s="4" t="str">
        <x:v>Spreadsheet import</x:v>
      </x:c>
      <x:c r="F423" s="4" t="str">
        <x:v>Record captured</x:v>
      </x:c>
      <x:c r="G423" s="4" t="str">
        <x:v>Handed over</x:v>
      </x:c>
    </x:row>
    <x:row r="424" ht="34" customHeight="1">
      <x:c r="A424" s="4" t="str">
        <x:v>RS-00423-E1</x:v>
      </x:c>
      <x:c r="B424" s="4" t="str">
        <x:v>RS-00423</x:v>
      </x:c>
      <x:c r="C424" s="8" t="n">
        <x:v>45294</x:v>
      </x:c>
      <x:c r="D424" s="4" t="str">
        <x:v>Sales operations manager</x:v>
      </x:c>
      <x:c r="E424" s="4" t="str">
        <x:v>WhatsApp transcribed</x:v>
      </x:c>
      <x:c r="F424" s="4" t="str">
        <x:v>Record captured</x:v>
      </x:c>
      <x:c r="G424" s="4" t="str">
        <x:v>Reserved</x:v>
      </x:c>
    </x:row>
    <x:row r="425" ht="34" customHeight="1">
      <x:c r="A425" s="4" t="str">
        <x:v>RS-00424-E1</x:v>
      </x:c>
      <x:c r="B425" s="4" t="str">
        <x:v>RS-00424</x:v>
      </x:c>
      <x:c r="C425" s="8" t="n">
        <x:v>45295</x:v>
      </x:c>
      <x:c r="D425" s="4" t="str">
        <x:v>Sales operations manager</x:v>
      </x:c>
      <x:c r="E425" s="4" t="str">
        <x:v>WhatsApp transcribed</x:v>
      </x:c>
      <x:c r="F425" s="4" t="str">
        <x:v>Record captured</x:v>
      </x:c>
      <x:c r="G425" s="4" t="str">
        <x:v>Cancelled</x:v>
      </x:c>
    </x:row>
    <x:row r="426" ht="34" customHeight="1">
      <x:c r="A426" s="4" t="str">
        <x:v>RS-00425-E1</x:v>
      </x:c>
      <x:c r="B426" s="4" t="str">
        <x:v>RS-00425</x:v>
      </x:c>
      <x:c r="C426" s="8" t="n">
        <x:v>45296</x:v>
      </x:c>
      <x:c r="D426" s="4" t="str">
        <x:v>Sales operations manager</x:v>
      </x:c>
      <x:c r="E426" s="4" t="str">
        <x:v>Spreadsheet import</x:v>
      </x:c>
      <x:c r="F426" s="4" t="str">
        <x:v>Record captured</x:v>
      </x:c>
      <x:c r="G426" s="4" t="str">
        <x:v>Booked</x:v>
      </x:c>
    </x:row>
    <x:row r="427" ht="34" customHeight="1">
      <x:c r="A427" s="4" t="str">
        <x:v>RS-00426-E1</x:v>
      </x:c>
      <x:c r="B427" s="4" t="str">
        <x:v>RS-00426</x:v>
      </x:c>
      <x:c r="C427" s="8" t="n">
        <x:v>45297</x:v>
      </x:c>
      <x:c r="D427" s="4" t="str">
        <x:v>Sales operations manager</x:v>
      </x:c>
      <x:c r="E427" s="4" t="str">
        <x:v>Spreadsheet import</x:v>
      </x:c>
      <x:c r="F427" s="4" t="str">
        <x:v>Record captured</x:v>
      </x:c>
      <x:c r="G427" s="4" t="str">
        <x:v>Agreement signed</x:v>
      </x:c>
    </x:row>
    <x:row r="428" ht="34" customHeight="1">
      <x:c r="A428" s="4" t="str">
        <x:v>RS-00427-E1</x:v>
      </x:c>
      <x:c r="B428" s="4" t="str">
        <x:v>RS-00427</x:v>
      </x:c>
      <x:c r="C428" s="8" t="n">
        <x:v>45298</x:v>
      </x:c>
      <x:c r="D428" s="4" t="str">
        <x:v>Sales operations manager</x:v>
      </x:c>
      <x:c r="E428" s="4" t="str">
        <x:v>WhatsApp transcribed</x:v>
      </x:c>
      <x:c r="F428" s="4" t="str">
        <x:v>Record captured</x:v>
      </x:c>
      <x:c r="G428" s="4" t="str">
        <x:v>Reserved</x:v>
      </x:c>
    </x:row>
    <x:row r="429" ht="34" customHeight="1">
      <x:c r="A429" s="4" t="str">
        <x:v>RS-00428-E1</x:v>
      </x:c>
      <x:c r="B429" s="4" t="str">
        <x:v>RS-00428</x:v>
      </x:c>
      <x:c r="C429" s="8" t="n">
        <x:v>45299</x:v>
      </x:c>
      <x:c r="D429" s="4" t="str">
        <x:v>Sales operations manager</x:v>
      </x:c>
      <x:c r="E429" s="4" t="str">
        <x:v>WhatsApp transcribed</x:v>
      </x:c>
      <x:c r="F429" s="4" t="str">
        <x:v>Record captured</x:v>
      </x:c>
      <x:c r="G429" s="4" t="str">
        <x:v>Handed over</x:v>
      </x:c>
    </x:row>
    <x:row r="430" ht="34" customHeight="1">
      <x:c r="A430" s="4" t="str">
        <x:v>RS-00429-E1</x:v>
      </x:c>
      <x:c r="B430" s="4" t="str">
        <x:v>RS-00429</x:v>
      </x:c>
      <x:c r="C430" s="8" t="n">
        <x:v>45300</x:v>
      </x:c>
      <x:c r="D430" s="4" t="str">
        <x:v>Sales operations manager</x:v>
      </x:c>
      <x:c r="E430" s="4" t="str">
        <x:v>WhatsApp transcribed</x:v>
      </x:c>
      <x:c r="F430" s="4" t="str">
        <x:v>Record captured</x:v>
      </x:c>
      <x:c r="G430" s="4" t="str">
        <x:v>Enquiry</x:v>
      </x:c>
    </x:row>
    <x:row r="431" ht="34" customHeight="1">
      <x:c r="A431" s="4" t="str">
        <x:v>RS-00430-E1</x:v>
      </x:c>
      <x:c r="B431" s="4" t="str">
        <x:v>RS-00430</x:v>
      </x:c>
      <x:c r="C431" s="8" t="n">
        <x:v>45301</x:v>
      </x:c>
      <x:c r="D431" s="4" t="str">
        <x:v>Sales operations manager</x:v>
      </x:c>
      <x:c r="E431" s="4" t="str">
        <x:v>ERP form</x:v>
      </x:c>
      <x:c r="F431" s="4" t="str">
        <x:v>Record captured</x:v>
      </x:c>
      <x:c r="G431" s="4" t="str">
        <x:v>Enquiry</x:v>
      </x:c>
    </x:row>
    <x:row r="432" ht="34" customHeight="1">
      <x:c r="A432" s="4" t="str">
        <x:v>RS-00431-E1</x:v>
      </x:c>
      <x:c r="B432" s="4" t="str">
        <x:v>RS-00431</x:v>
      </x:c>
      <x:c r="C432" s="8" t="n">
        <x:v>45302</x:v>
      </x:c>
      <x:c r="D432" s="4" t="str">
        <x:v>Sales operations manager</x:v>
      </x:c>
      <x:c r="E432" s="4" t="str">
        <x:v>Paper transcribed</x:v>
      </x:c>
      <x:c r="F432" s="4" t="str">
        <x:v>Record captured</x:v>
      </x:c>
      <x:c r="G432" s="4" t="str">
        <x:v>Reserved</x:v>
      </x:c>
    </x:row>
    <x:row r="433" ht="34" customHeight="1">
      <x:c r="A433" s="4" t="str">
        <x:v>RS-00432-E1</x:v>
      </x:c>
      <x:c r="B433" s="4" t="str">
        <x:v>RS-00432</x:v>
      </x:c>
      <x:c r="C433" s="8" t="n">
        <x:v>45303</x:v>
      </x:c>
      <x:c r="D433" s="4" t="str">
        <x:v>Sales operations manager</x:v>
      </x:c>
      <x:c r="E433" s="4" t="str">
        <x:v>ERP form</x:v>
      </x:c>
      <x:c r="F433" s="4" t="str">
        <x:v>Record captured</x:v>
      </x:c>
      <x:c r="G433" s="4" t="str">
        <x:v>Handed over</x:v>
      </x:c>
    </x:row>
    <x:row r="434" ht="34" customHeight="1">
      <x:c r="A434" s="4" t="str">
        <x:v>RS-00433-E1</x:v>
      </x:c>
      <x:c r="B434" s="4" t="str">
        <x:v>RS-00433</x:v>
      </x:c>
      <x:c r="C434" s="8" t="n">
        <x:v>45304</x:v>
      </x:c>
      <x:c r="D434" s="4" t="str">
        <x:v>Sales operations manager</x:v>
      </x:c>
      <x:c r="E434" s="4" t="str">
        <x:v>WhatsApp transcribed</x:v>
      </x:c>
      <x:c r="F434" s="4" t="str">
        <x:v>Record captured</x:v>
      </x:c>
      <x:c r="G434" s="4" t="str">
        <x:v>Reserved</x:v>
      </x:c>
    </x:row>
    <x:row r="435" ht="34" customHeight="1">
      <x:c r="A435" s="4" t="str">
        <x:v>RS-00434-E1</x:v>
      </x:c>
      <x:c r="B435" s="4" t="str">
        <x:v>RS-00434</x:v>
      </x:c>
      <x:c r="C435" s="8" t="n">
        <x:v>45305</x:v>
      </x:c>
      <x:c r="D435" s="4" t="str">
        <x:v>Sales operations manager</x:v>
      </x:c>
      <x:c r="E435" s="4" t="str">
        <x:v>WhatsApp transcribed</x:v>
      </x:c>
      <x:c r="F435" s="4" t="str">
        <x:v>Record captured</x:v>
      </x:c>
      <x:c r="G435" s="4" t="str">
        <x:v>Cancelled</x:v>
      </x:c>
    </x:row>
    <x:row r="436" ht="34" customHeight="1">
      <x:c r="A436" s="4" t="str">
        <x:v>RS-00435-E1</x:v>
      </x:c>
      <x:c r="B436" s="4" t="str">
        <x:v>RS-00435</x:v>
      </x:c>
      <x:c r="C436" s="8" t="n">
        <x:v>45306</x:v>
      </x:c>
      <x:c r="D436" s="4" t="str">
        <x:v>Sales operations manager</x:v>
      </x:c>
      <x:c r="E436" s="4" t="str">
        <x:v>ERP form</x:v>
      </x:c>
      <x:c r="F436" s="4" t="str">
        <x:v>Record captured</x:v>
      </x:c>
      <x:c r="G436" s="4" t="str">
        <x:v>Handed over</x:v>
      </x:c>
    </x:row>
    <x:row r="437" ht="34" customHeight="1">
      <x:c r="A437" s="4" t="str">
        <x:v>RS-00436-E1</x:v>
      </x:c>
      <x:c r="B437" s="4" t="str">
        <x:v>RS-00436</x:v>
      </x:c>
      <x:c r="C437" s="8" t="n">
        <x:v>45307</x:v>
      </x:c>
      <x:c r="D437" s="4" t="str">
        <x:v>Sales operations manager</x:v>
      </x:c>
      <x:c r="E437" s="4" t="str">
        <x:v>Paper transcribed</x:v>
      </x:c>
      <x:c r="F437" s="4" t="str">
        <x:v>Record captured</x:v>
      </x:c>
      <x:c r="G437" s="4" t="str">
        <x:v>Handed over</x:v>
      </x:c>
    </x:row>
    <x:row r="438" ht="34" customHeight="1">
      <x:c r="A438" s="4" t="str">
        <x:v>RS-00437-E1</x:v>
      </x:c>
      <x:c r="B438" s="4" t="str">
        <x:v>RS-00437</x:v>
      </x:c>
      <x:c r="C438" s="8" t="n">
        <x:v>45308</x:v>
      </x:c>
      <x:c r="D438" s="4" t="str">
        <x:v>Sales operations manager</x:v>
      </x:c>
      <x:c r="E438" s="4" t="str">
        <x:v>ERP form</x:v>
      </x:c>
      <x:c r="F438" s="4" t="str">
        <x:v>Record captured</x:v>
      </x:c>
      <x:c r="G438" s="4" t="str">
        <x:v>Cancelled</x:v>
      </x:c>
    </x:row>
    <x:row r="439" ht="34" customHeight="1">
      <x:c r="A439" s="4" t="str">
        <x:v>RS-00438-E1</x:v>
      </x:c>
      <x:c r="B439" s="4" t="str">
        <x:v>RS-00438</x:v>
      </x:c>
      <x:c r="C439" s="8" t="n">
        <x:v>45309</x:v>
      </x:c>
      <x:c r="D439" s="4" t="str">
        <x:v>Sales operations manager</x:v>
      </x:c>
      <x:c r="E439" s="4" t="str">
        <x:v>ERP form</x:v>
      </x:c>
      <x:c r="F439" s="4" t="str">
        <x:v>Record captured</x:v>
      </x:c>
      <x:c r="G439" s="4" t="str">
        <x:v>Booked</x:v>
      </x:c>
    </x:row>
    <x:row r="440" ht="34" customHeight="1">
      <x:c r="A440" s="4" t="str">
        <x:v>RS-00439-E1</x:v>
      </x:c>
      <x:c r="B440" s="4" t="str">
        <x:v>RS-00439</x:v>
      </x:c>
      <x:c r="C440" s="8" t="n">
        <x:v>45310</x:v>
      </x:c>
      <x:c r="D440" s="4" t="str">
        <x:v>Sales operations manager</x:v>
      </x:c>
      <x:c r="E440" s="4" t="str">
        <x:v>Spreadsheet import</x:v>
      </x:c>
      <x:c r="F440" s="4" t="str">
        <x:v>Record captured</x:v>
      </x:c>
      <x:c r="G440" s="4" t="str">
        <x:v>Reserved</x:v>
      </x:c>
    </x:row>
    <x:row r="441" ht="34" customHeight="1">
      <x:c r="A441" s="4" t="str">
        <x:v>RS-00440-E1</x:v>
      </x:c>
      <x:c r="B441" s="4" t="str">
        <x:v>RS-00440</x:v>
      </x:c>
      <x:c r="C441" s="8" t="n">
        <x:v>45311</x:v>
      </x:c>
      <x:c r="D441" s="4" t="str">
        <x:v>Sales operations manager</x:v>
      </x:c>
      <x:c r="E441" s="4" t="str">
        <x:v>WhatsApp transcribed</x:v>
      </x:c>
      <x:c r="F441" s="4" t="str">
        <x:v>Record captured</x:v>
      </x:c>
      <x:c r="G441" s="4" t="str">
        <x:v>Booked</x:v>
      </x:c>
    </x:row>
    <x:row r="442" ht="34" customHeight="1">
      <x:c r="A442" s="4" t="str">
        <x:v>RS-00441-E1</x:v>
      </x:c>
      <x:c r="B442" s="4" t="str">
        <x:v>RS-00441</x:v>
      </x:c>
      <x:c r="C442" s="8" t="n">
        <x:v>45312</x:v>
      </x:c>
      <x:c r="D442" s="4" t="str">
        <x:v>Sales operations manager</x:v>
      </x:c>
      <x:c r="E442" s="4" t="str">
        <x:v>Paper transcribed</x:v>
      </x:c>
      <x:c r="F442" s="4" t="str">
        <x:v>Record captured</x:v>
      </x:c>
      <x:c r="G442" s="4" t="str">
        <x:v>Handed over</x:v>
      </x:c>
    </x:row>
    <x:row r="443" ht="34" customHeight="1">
      <x:c r="A443" s="4" t="str">
        <x:v>RS-00442-E1</x:v>
      </x:c>
      <x:c r="B443" s="4" t="str">
        <x:v>RS-00442</x:v>
      </x:c>
      <x:c r="C443" s="8" t="n">
        <x:v>45313</x:v>
      </x:c>
      <x:c r="D443" s="4" t="str">
        <x:v>Sales operations manager</x:v>
      </x:c>
      <x:c r="E443" s="4" t="str">
        <x:v>ERP form</x:v>
      </x:c>
      <x:c r="F443" s="4" t="str">
        <x:v>Record captured</x:v>
      </x:c>
      <x:c r="G443" s="4" t="str">
        <x:v>Cancelled</x:v>
      </x:c>
    </x:row>
    <x:row r="444" ht="34" customHeight="1">
      <x:c r="A444" s="4" t="str">
        <x:v>RS-00443-E1</x:v>
      </x:c>
      <x:c r="B444" s="4" t="str">
        <x:v>RS-00443</x:v>
      </x:c>
      <x:c r="C444" s="8" t="n">
        <x:v>45314</x:v>
      </x:c>
      <x:c r="D444" s="4" t="str">
        <x:v>Sales operations manager</x:v>
      </x:c>
      <x:c r="E444" s="4" t="str">
        <x:v>Spreadsheet import</x:v>
      </x:c>
      <x:c r="F444" s="4" t="str">
        <x:v>Record captured</x:v>
      </x:c>
      <x:c r="G444" s="4" t="str">
        <x:v>Booked</x:v>
      </x:c>
    </x:row>
    <x:row r="445" ht="34" customHeight="1">
      <x:c r="A445" s="4" t="str">
        <x:v>RS-00444-E1</x:v>
      </x:c>
      <x:c r="B445" s="4" t="str">
        <x:v>RS-00444</x:v>
      </x:c>
      <x:c r="C445" s="8" t="n">
        <x:v>45315</x:v>
      </x:c>
      <x:c r="D445" s="4" t="str">
        <x:v>Sales operations manager</x:v>
      </x:c>
      <x:c r="E445" s="4" t="str">
        <x:v>WhatsApp transcribed</x:v>
      </x:c>
      <x:c r="F445" s="4" t="str">
        <x:v>Record captured</x:v>
      </x:c>
      <x:c r="G445" s="4" t="str">
        <x:v>Enquiry</x:v>
      </x:c>
    </x:row>
    <x:row r="446" ht="34" customHeight="1">
      <x:c r="A446" s="4" t="str">
        <x:v>RS-00445-E1</x:v>
      </x:c>
      <x:c r="B446" s="4" t="str">
        <x:v>RS-00445</x:v>
      </x:c>
      <x:c r="C446" s="8" t="n">
        <x:v>45316</x:v>
      </x:c>
      <x:c r="D446" s="4" t="str">
        <x:v>Sales operations manager</x:v>
      </x:c>
      <x:c r="E446" s="4" t="str">
        <x:v>Paper transcribed</x:v>
      </x:c>
      <x:c r="F446" s="4" t="str">
        <x:v>Record captured</x:v>
      </x:c>
      <x:c r="G446" s="4" t="str">
        <x:v>Booked</x:v>
      </x:c>
    </x:row>
    <x:row r="447" ht="34" customHeight="1">
      <x:c r="A447" s="4" t="str">
        <x:v>RS-00446-E1</x:v>
      </x:c>
      <x:c r="B447" s="4" t="str">
        <x:v>RS-00446</x:v>
      </x:c>
      <x:c r="C447" s="8" t="n">
        <x:v>45317</x:v>
      </x:c>
      <x:c r="D447" s="4" t="str">
        <x:v>Sales operations manager</x:v>
      </x:c>
      <x:c r="E447" s="4" t="str">
        <x:v>WhatsApp transcribed</x:v>
      </x:c>
      <x:c r="F447" s="4" t="str">
        <x:v>Record captured</x:v>
      </x:c>
      <x:c r="G447" s="4" t="str">
        <x:v>Agreement signed</x:v>
      </x:c>
    </x:row>
    <x:row r="448" ht="34" customHeight="1">
      <x:c r="A448" s="4" t="str">
        <x:v>RS-00447-E1</x:v>
      </x:c>
      <x:c r="B448" s="4" t="str">
        <x:v>RS-00447</x:v>
      </x:c>
      <x:c r="C448" s="8" t="n">
        <x:v>45318</x:v>
      </x:c>
      <x:c r="D448" s="4" t="str">
        <x:v>Sales operations manager</x:v>
      </x:c>
      <x:c r="E448" s="4" t="str">
        <x:v>ERP form</x:v>
      </x:c>
      <x:c r="F448" s="4" t="str">
        <x:v>Record captured</x:v>
      </x:c>
      <x:c r="G448" s="4" t="str">
        <x:v>Agreement signed</x:v>
      </x:c>
    </x:row>
    <x:row r="449" ht="34" customHeight="1">
      <x:c r="A449" s="4" t="str">
        <x:v>RS-00448-E1</x:v>
      </x:c>
      <x:c r="B449" s="4" t="str">
        <x:v>RS-00448</x:v>
      </x:c>
      <x:c r="C449" s="8" t="n">
        <x:v>45319</x:v>
      </x:c>
      <x:c r="D449" s="4" t="str">
        <x:v>Sales operations manager</x:v>
      </x:c>
      <x:c r="E449" s="4" t="str">
        <x:v>WhatsApp transcribed</x:v>
      </x:c>
      <x:c r="F449" s="4" t="str">
        <x:v>Record captured</x:v>
      </x:c>
      <x:c r="G449" s="4" t="str">
        <x:v>Agreement signed</x:v>
      </x:c>
    </x:row>
    <x:row r="450" ht="34" customHeight="1">
      <x:c r="A450" s="4" t="str">
        <x:v>RS-00449-E1</x:v>
      </x:c>
      <x:c r="B450" s="4" t="str">
        <x:v>RS-00449</x:v>
      </x:c>
      <x:c r="C450" s="8" t="n">
        <x:v>45292</x:v>
      </x:c>
      <x:c r="D450" s="4" t="str">
        <x:v>Sales operations manager</x:v>
      </x:c>
      <x:c r="E450" s="4" t="str">
        <x:v>WhatsApp transcribed</x:v>
      </x:c>
      <x:c r="F450" s="4" t="str">
        <x:v>Record captured</x:v>
      </x:c>
      <x:c r="G450" s="4" t="str">
        <x:v>Cancelled</x:v>
      </x:c>
    </x:row>
    <x:row r="451" ht="34" customHeight="1">
      <x:c r="A451" s="4" t="str">
        <x:v>RS-00450-E1</x:v>
      </x:c>
      <x:c r="B451" s="4" t="str">
        <x:v>RS-00450</x:v>
      </x:c>
      <x:c r="C451" s="8" t="n">
        <x:v>45293</x:v>
      </x:c>
      <x:c r="D451" s="4" t="str">
        <x:v>Sales operations manager</x:v>
      </x:c>
      <x:c r="E451" s="4" t="str">
        <x:v>ERP form</x:v>
      </x:c>
      <x:c r="F451" s="4" t="str">
        <x:v>Record captured</x:v>
      </x:c>
      <x:c r="G451" s="4" t="str">
        <x:v>Booked</x:v>
      </x:c>
    </x:row>
    <x:row r="452" ht="34" customHeight="1">
      <x:c r="A452" s="4" t="str">
        <x:v>RS-00451-E1</x:v>
      </x:c>
      <x:c r="B452" s="4" t="str">
        <x:v>RS-00451</x:v>
      </x:c>
      <x:c r="C452" s="8" t="n">
        <x:v>45294</x:v>
      </x:c>
      <x:c r="D452" s="4" t="str">
        <x:v>Sales operations manager</x:v>
      </x:c>
      <x:c r="E452" s="4" t="str">
        <x:v>WhatsApp transcribed</x:v>
      </x:c>
      <x:c r="F452" s="4" t="str">
        <x:v>Record captured</x:v>
      </x:c>
      <x:c r="G452" s="4" t="str">
        <x:v>Agreement signed</x:v>
      </x:c>
    </x:row>
    <x:row r="453" ht="34" customHeight="1">
      <x:c r="A453" s="4" t="str">
        <x:v>RS-00452-E1</x:v>
      </x:c>
      <x:c r="B453" s="4" t="str">
        <x:v>RS-00452</x:v>
      </x:c>
      <x:c r="C453" s="8" t="n">
        <x:v>45295</x:v>
      </x:c>
      <x:c r="D453" s="4" t="str">
        <x:v>Sales operations manager</x:v>
      </x:c>
      <x:c r="E453" s="4" t="str">
        <x:v>Paper transcribed</x:v>
      </x:c>
      <x:c r="F453" s="4" t="str">
        <x:v>Record captured</x:v>
      </x:c>
      <x:c r="G453" s="4" t="str">
        <x:v>Cancelled</x:v>
      </x:c>
    </x:row>
    <x:row r="454" ht="34" customHeight="1">
      <x:c r="A454" s="4" t="str">
        <x:v>RS-00453-E1</x:v>
      </x:c>
      <x:c r="B454" s="4" t="str">
        <x:v>RS-00453</x:v>
      </x:c>
      <x:c r="C454" s="8" t="n">
        <x:v>45296</x:v>
      </x:c>
      <x:c r="D454" s="4" t="str">
        <x:v>Sales operations manager</x:v>
      </x:c>
      <x:c r="E454" s="4" t="str">
        <x:v>ERP form</x:v>
      </x:c>
      <x:c r="F454" s="4" t="str">
        <x:v>Record captured</x:v>
      </x:c>
      <x:c r="G454" s="4" t="str">
        <x:v>Handed over</x:v>
      </x:c>
    </x:row>
    <x:row r="455" ht="34" customHeight="1">
      <x:c r="A455" s="4" t="str">
        <x:v>RS-00454-E1</x:v>
      </x:c>
      <x:c r="B455" s="4" t="str">
        <x:v>RS-00454</x:v>
      </x:c>
      <x:c r="C455" s="8" t="n">
        <x:v>45297</x:v>
      </x:c>
      <x:c r="D455" s="4" t="str">
        <x:v>Sales operations manager</x:v>
      </x:c>
      <x:c r="E455" s="4" t="str">
        <x:v>Spreadsheet import</x:v>
      </x:c>
      <x:c r="F455" s="4" t="str">
        <x:v>Record captured</x:v>
      </x:c>
      <x:c r="G455" s="4" t="str">
        <x:v>Agreement signed</x:v>
      </x:c>
    </x:row>
    <x:row r="456" ht="34" customHeight="1">
      <x:c r="A456" s="4" t="str">
        <x:v>RS-00455-E1</x:v>
      </x:c>
      <x:c r="B456" s="4" t="str">
        <x:v>RS-00455</x:v>
      </x:c>
      <x:c r="C456" s="8" t="n">
        <x:v>45298</x:v>
      </x:c>
      <x:c r="D456" s="4" t="str">
        <x:v>Sales operations manager</x:v>
      </x:c>
      <x:c r="E456" s="4" t="str">
        <x:v>Paper transcribed</x:v>
      </x:c>
      <x:c r="F456" s="4" t="str">
        <x:v>Record captured</x:v>
      </x:c>
      <x:c r="G456" s="4" t="str">
        <x:v>Reserved</x:v>
      </x:c>
    </x:row>
    <x:row r="457" ht="34" customHeight="1">
      <x:c r="A457" s="4" t="str">
        <x:v>RS-00456-E1</x:v>
      </x:c>
      <x:c r="B457" s="4" t="str">
        <x:v>RS-00456</x:v>
      </x:c>
      <x:c r="C457" s="8" t="n">
        <x:v>45299</x:v>
      </x:c>
      <x:c r="D457" s="4" t="str">
        <x:v>Sales operations manager</x:v>
      </x:c>
      <x:c r="E457" s="4" t="str">
        <x:v>Paper transcribed</x:v>
      </x:c>
      <x:c r="F457" s="4" t="str">
        <x:v>Record captured</x:v>
      </x:c>
      <x:c r="G457" s="4" t="str">
        <x:v>Handed over</x:v>
      </x:c>
    </x:row>
    <x:row r="458" ht="34" customHeight="1">
      <x:c r="A458" s="4" t="str">
        <x:v>RS-00457-E1</x:v>
      </x:c>
      <x:c r="B458" s="4" t="str">
        <x:v>RS-00457</x:v>
      </x:c>
      <x:c r="C458" s="8" t="n">
        <x:v>45300</x:v>
      </x:c>
      <x:c r="D458" s="4" t="str">
        <x:v>Sales operations manager</x:v>
      </x:c>
      <x:c r="E458" s="4" t="str">
        <x:v>ERP form</x:v>
      </x:c>
      <x:c r="F458" s="4" t="str">
        <x:v>Record captured</x:v>
      </x:c>
      <x:c r="G458" s="4" t="str">
        <x:v>Cancelled</x:v>
      </x:c>
    </x:row>
    <x:row r="459" ht="34" customHeight="1">
      <x:c r="A459" s="4" t="str">
        <x:v>RS-00458-E1</x:v>
      </x:c>
      <x:c r="B459" s="4" t="str">
        <x:v>RS-00458</x:v>
      </x:c>
      <x:c r="C459" s="8" t="n">
        <x:v>45301</x:v>
      </x:c>
      <x:c r="D459" s="4" t="str">
        <x:v>Sales operations manager</x:v>
      </x:c>
      <x:c r="E459" s="4" t="str">
        <x:v>WhatsApp transcribed</x:v>
      </x:c>
      <x:c r="F459" s="4" t="str">
        <x:v>Record captured</x:v>
      </x:c>
      <x:c r="G459" s="4" t="str">
        <x:v>Cancelled</x:v>
      </x:c>
    </x:row>
    <x:row r="460" ht="34" customHeight="1">
      <x:c r="A460" s="4" t="str">
        <x:v>RS-00459-E1</x:v>
      </x:c>
      <x:c r="B460" s="4" t="str">
        <x:v>RS-00459</x:v>
      </x:c>
      <x:c r="C460" s="8" t="n">
        <x:v>45302</x:v>
      </x:c>
      <x:c r="D460" s="4" t="str">
        <x:v>Sales operations manager</x:v>
      </x:c>
      <x:c r="E460" s="4" t="str">
        <x:v>WhatsApp transcribed</x:v>
      </x:c>
      <x:c r="F460" s="4" t="str">
        <x:v>Record captured</x:v>
      </x:c>
      <x:c r="G460" s="4" t="str">
        <x:v>Reserved</x:v>
      </x:c>
    </x:row>
    <x:row r="461" ht="34" customHeight="1">
      <x:c r="A461" s="4" t="str">
        <x:v>RS-00460-E1</x:v>
      </x:c>
      <x:c r="B461" s="4" t="str">
        <x:v>RS-00460</x:v>
      </x:c>
      <x:c r="C461" s="8" t="n">
        <x:v>45303</x:v>
      </x:c>
      <x:c r="D461" s="4" t="str">
        <x:v>Sales operations manager</x:v>
      </x:c>
      <x:c r="E461" s="4" t="str">
        <x:v>WhatsApp transcribed</x:v>
      </x:c>
      <x:c r="F461" s="4" t="str">
        <x:v>Record captured</x:v>
      </x:c>
      <x:c r="G461" s="4" t="str">
        <x:v>Booked</x:v>
      </x:c>
    </x:row>
    <x:row r="462" ht="34" customHeight="1">
      <x:c r="A462" s="4" t="str">
        <x:v>RS-00461-E1</x:v>
      </x:c>
      <x:c r="B462" s="4" t="str">
        <x:v>RS-00461</x:v>
      </x:c>
      <x:c r="C462" s="8" t="n">
        <x:v>45304</x:v>
      </x:c>
      <x:c r="D462" s="4" t="str">
        <x:v>Sales operations manager</x:v>
      </x:c>
      <x:c r="E462" s="4" t="str">
        <x:v>Paper transcribed</x:v>
      </x:c>
      <x:c r="F462" s="4" t="str">
        <x:v>Record captured</x:v>
      </x:c>
      <x:c r="G462" s="4" t="str">
        <x:v>Booked</x:v>
      </x:c>
    </x:row>
    <x:row r="463" ht="34" customHeight="1">
      <x:c r="A463" s="4" t="str">
        <x:v>RS-00462-E1</x:v>
      </x:c>
      <x:c r="B463" s="4" t="str">
        <x:v>RS-00462</x:v>
      </x:c>
      <x:c r="C463" s="8" t="n">
        <x:v>45305</x:v>
      </x:c>
      <x:c r="D463" s="4" t="str">
        <x:v>Sales operations manager</x:v>
      </x:c>
      <x:c r="E463" s="4" t="str">
        <x:v>Spreadsheet import</x:v>
      </x:c>
      <x:c r="F463" s="4" t="str">
        <x:v>Record captured</x:v>
      </x:c>
      <x:c r="G463" s="4" t="str">
        <x:v>Enquiry</x:v>
      </x:c>
    </x:row>
    <x:row r="464" ht="34" customHeight="1">
      <x:c r="A464" s="4" t="str">
        <x:v>RS-00463-E1</x:v>
      </x:c>
      <x:c r="B464" s="4" t="str">
        <x:v>RS-00463</x:v>
      </x:c>
      <x:c r="C464" s="8" t="n">
        <x:v>45306</x:v>
      </x:c>
      <x:c r="D464" s="4" t="str">
        <x:v>Sales operations manager</x:v>
      </x:c>
      <x:c r="E464" s="4" t="str">
        <x:v>Paper transcribed</x:v>
      </x:c>
      <x:c r="F464" s="4" t="str">
        <x:v>Record captured</x:v>
      </x:c>
      <x:c r="G464" s="4" t="str">
        <x:v>Agreement signed</x:v>
      </x:c>
    </x:row>
    <x:row r="465" ht="34" customHeight="1">
      <x:c r="A465" s="4" t="str">
        <x:v>RS-00464-E1</x:v>
      </x:c>
      <x:c r="B465" s="4" t="str">
        <x:v>RS-00464</x:v>
      </x:c>
      <x:c r="C465" s="8" t="n">
        <x:v>45307</x:v>
      </x:c>
      <x:c r="D465" s="4" t="str">
        <x:v>Sales operations manager</x:v>
      </x:c>
      <x:c r="E465" s="4" t="str">
        <x:v>WhatsApp transcribed</x:v>
      </x:c>
      <x:c r="F465" s="4" t="str">
        <x:v>Record captured</x:v>
      </x:c>
      <x:c r="G465" s="4" t="str">
        <x:v>Cancelled</x:v>
      </x:c>
    </x:row>
    <x:row r="466" ht="34" customHeight="1">
      <x:c r="A466" s="4" t="str">
        <x:v>RS-00465-E1</x:v>
      </x:c>
      <x:c r="B466" s="4" t="str">
        <x:v>RS-00465</x:v>
      </x:c>
      <x:c r="C466" s="8" t="n">
        <x:v>45308</x:v>
      </x:c>
      <x:c r="D466" s="4" t="str">
        <x:v>Sales operations manager</x:v>
      </x:c>
      <x:c r="E466" s="4" t="str">
        <x:v>ERP form</x:v>
      </x:c>
      <x:c r="F466" s="4" t="str">
        <x:v>Record captured</x:v>
      </x:c>
      <x:c r="G466" s="4" t="str">
        <x:v>Handed over</x:v>
      </x:c>
    </x:row>
    <x:row r="467" ht="34" customHeight="1">
      <x:c r="A467" s="4" t="str">
        <x:v>RS-00466-E1</x:v>
      </x:c>
      <x:c r="B467" s="4" t="str">
        <x:v>RS-00466</x:v>
      </x:c>
      <x:c r="C467" s="8" t="n">
        <x:v>45309</x:v>
      </x:c>
      <x:c r="D467" s="4" t="str">
        <x:v>Sales operations manager</x:v>
      </x:c>
      <x:c r="E467" s="4" t="str">
        <x:v>ERP form</x:v>
      </x:c>
      <x:c r="F467" s="4" t="str">
        <x:v>Record captured</x:v>
      </x:c>
      <x:c r="G467" s="4" t="str">
        <x:v>Reserved</x:v>
      </x:c>
    </x:row>
    <x:row r="468" ht="34" customHeight="1">
      <x:c r="A468" s="4" t="str">
        <x:v>RS-00467-E1</x:v>
      </x:c>
      <x:c r="B468" s="4" t="str">
        <x:v>RS-00467</x:v>
      </x:c>
      <x:c r="C468" s="8" t="n">
        <x:v>45310</x:v>
      </x:c>
      <x:c r="D468" s="4" t="str">
        <x:v>Sales operations manager</x:v>
      </x:c>
      <x:c r="E468" s="4" t="str">
        <x:v>ERP form</x:v>
      </x:c>
      <x:c r="F468" s="4" t="str">
        <x:v>Record captured</x:v>
      </x:c>
      <x:c r="G468" s="4" t="str">
        <x:v>Booked</x:v>
      </x:c>
    </x:row>
    <x:row r="469" ht="34" customHeight="1">
      <x:c r="A469" s="4" t="str">
        <x:v>RS-00468-E1</x:v>
      </x:c>
      <x:c r="B469" s="4" t="str">
        <x:v>RS-00468</x:v>
      </x:c>
      <x:c r="C469" s="8" t="n">
        <x:v>45311</x:v>
      </x:c>
      <x:c r="D469" s="4" t="str">
        <x:v>Sales operations manager</x:v>
      </x:c>
      <x:c r="E469" s="4" t="str">
        <x:v>WhatsApp transcribed</x:v>
      </x:c>
      <x:c r="F469" s="4" t="str">
        <x:v>Record captured</x:v>
      </x:c>
      <x:c r="G469" s="4" t="str">
        <x:v>Booked</x:v>
      </x:c>
    </x:row>
    <x:row r="470" ht="34" customHeight="1">
      <x:c r="A470" s="4" t="str">
        <x:v>RS-00469-E1</x:v>
      </x:c>
      <x:c r="B470" s="4" t="str">
        <x:v>RS-00469</x:v>
      </x:c>
      <x:c r="C470" s="8" t="n">
        <x:v>45312</x:v>
      </x:c>
      <x:c r="D470" s="4" t="str">
        <x:v>Sales operations manager</x:v>
      </x:c>
      <x:c r="E470" s="4" t="str">
        <x:v>WhatsApp transcribed</x:v>
      </x:c>
      <x:c r="F470" s="4" t="str">
        <x:v>Record captured</x:v>
      </x:c>
      <x:c r="G470" s="4" t="str">
        <x:v>Handed over</x:v>
      </x:c>
    </x:row>
    <x:row r="471" ht="34" customHeight="1">
      <x:c r="A471" s="4" t="str">
        <x:v>RS-00470-E1</x:v>
      </x:c>
      <x:c r="B471" s="4" t="str">
        <x:v>RS-00470</x:v>
      </x:c>
      <x:c r="C471" s="8" t="n">
        <x:v>45313</x:v>
      </x:c>
      <x:c r="D471" s="4" t="str">
        <x:v>Sales operations manager</x:v>
      </x:c>
      <x:c r="E471" s="4" t="str">
        <x:v>WhatsApp transcribed</x:v>
      </x:c>
      <x:c r="F471" s="4" t="str">
        <x:v>Record captured</x:v>
      </x:c>
      <x:c r="G471" s="4" t="str">
        <x:v>Handed over</x:v>
      </x:c>
    </x:row>
    <x:row r="472" ht="34" customHeight="1">
      <x:c r="A472" s="4" t="str">
        <x:v>RS-00471-E1</x:v>
      </x:c>
      <x:c r="B472" s="4" t="str">
        <x:v>RS-00471</x:v>
      </x:c>
      <x:c r="C472" s="8" t="n">
        <x:v>45314</x:v>
      </x:c>
      <x:c r="D472" s="4" t="str">
        <x:v>Sales operations manager</x:v>
      </x:c>
      <x:c r="E472" s="4" t="str">
        <x:v>WhatsApp transcribed</x:v>
      </x:c>
      <x:c r="F472" s="4" t="str">
        <x:v>Record captured</x:v>
      </x:c>
      <x:c r="G472" s="4" t="str">
        <x:v>Agreement signed</x:v>
      </x:c>
    </x:row>
    <x:row r="473" ht="34" customHeight="1">
      <x:c r="A473" s="4" t="str">
        <x:v>RS-00472-E1</x:v>
      </x:c>
      <x:c r="B473" s="4" t="str">
        <x:v>RS-00472</x:v>
      </x:c>
      <x:c r="C473" s="8" t="n">
        <x:v>45315</x:v>
      </x:c>
      <x:c r="D473" s="4" t="str">
        <x:v>Sales operations manager</x:v>
      </x:c>
      <x:c r="E473" s="4" t="str">
        <x:v>Spreadsheet import</x:v>
      </x:c>
      <x:c r="F473" s="4" t="str">
        <x:v>Record captured</x:v>
      </x:c>
      <x:c r="G473" s="4" t="str">
        <x:v>Agreement signed</x:v>
      </x:c>
    </x:row>
    <x:row r="474" ht="34" customHeight="1">
      <x:c r="A474" s="4" t="str">
        <x:v>RS-00473-E1</x:v>
      </x:c>
      <x:c r="B474" s="4" t="str">
        <x:v>RS-00473</x:v>
      </x:c>
      <x:c r="C474" s="8" t="n">
        <x:v>45316</x:v>
      </x:c>
      <x:c r="D474" s="4" t="str">
        <x:v>Sales operations manager</x:v>
      </x:c>
      <x:c r="E474" s="4" t="str">
        <x:v>WhatsApp transcribed</x:v>
      </x:c>
      <x:c r="F474" s="4" t="str">
        <x:v>Record captured</x:v>
      </x:c>
      <x:c r="G474" s="4" t="str">
        <x:v>Reserved</x:v>
      </x:c>
    </x:row>
    <x:row r="475" ht="34" customHeight="1">
      <x:c r="A475" s="4" t="str">
        <x:v>RS-00474-E1</x:v>
      </x:c>
      <x:c r="B475" s="4" t="str">
        <x:v>RS-00474</x:v>
      </x:c>
      <x:c r="C475" s="8" t="n">
        <x:v>45317</x:v>
      </x:c>
      <x:c r="D475" s="4" t="str">
        <x:v>Sales operations manager</x:v>
      </x:c>
      <x:c r="E475" s="4" t="str">
        <x:v>Paper transcribed</x:v>
      </x:c>
      <x:c r="F475" s="4" t="str">
        <x:v>Record captured</x:v>
      </x:c>
      <x:c r="G475" s="4" t="str">
        <x:v>Agreement signed</x:v>
      </x:c>
    </x:row>
    <x:row r="476" ht="34" customHeight="1">
      <x:c r="A476" s="4" t="str">
        <x:v>RS-00475-E1</x:v>
      </x:c>
      <x:c r="B476" s="4" t="str">
        <x:v>RS-00475</x:v>
      </x:c>
      <x:c r="C476" s="8" t="n">
        <x:v>45318</x:v>
      </x:c>
      <x:c r="D476" s="4" t="str">
        <x:v>Sales operations manager</x:v>
      </x:c>
      <x:c r="E476" s="4" t="str">
        <x:v>ERP form</x:v>
      </x:c>
      <x:c r="F476" s="4" t="str">
        <x:v>Record captured</x:v>
      </x:c>
      <x:c r="G476" s="4" t="str">
        <x:v>Reserved</x:v>
      </x:c>
    </x:row>
    <x:row r="477" ht="34" customHeight="1">
      <x:c r="A477" s="4" t="str">
        <x:v>RS-00476-E1</x:v>
      </x:c>
      <x:c r="B477" s="4" t="str">
        <x:v>RS-00476</x:v>
      </x:c>
      <x:c r="C477" s="8" t="n">
        <x:v>45319</x:v>
      </x:c>
      <x:c r="D477" s="4" t="str">
        <x:v>Sales operations manager</x:v>
      </x:c>
      <x:c r="E477" s="4" t="str">
        <x:v>Spreadsheet import</x:v>
      </x:c>
      <x:c r="F477" s="4" t="str">
        <x:v>Record captured</x:v>
      </x:c>
      <x:c r="G477" s="4" t="str">
        <x:v>Handed over</x:v>
      </x:c>
    </x:row>
    <x:row r="478" ht="34" customHeight="1">
      <x:c r="A478" s="4" t="str">
        <x:v>RS-00477-E1</x:v>
      </x:c>
      <x:c r="B478" s="4" t="str">
        <x:v>RS-00477</x:v>
      </x:c>
      <x:c r="C478" s="8" t="n">
        <x:v>45292</x:v>
      </x:c>
      <x:c r="D478" s="4" t="str">
        <x:v>Sales operations manager</x:v>
      </x:c>
      <x:c r="E478" s="4" t="str">
        <x:v>Paper transcribed</x:v>
      </x:c>
      <x:c r="F478" s="4" t="str">
        <x:v>Record captured</x:v>
      </x:c>
      <x:c r="G478" s="4" t="str">
        <x:v>Enquiry</x:v>
      </x:c>
    </x:row>
    <x:row r="479" ht="34" customHeight="1">
      <x:c r="A479" s="4" t="str">
        <x:v>RS-00478-E1</x:v>
      </x:c>
      <x:c r="B479" s="4" t="str">
        <x:v>RS-00478</x:v>
      </x:c>
      <x:c r="C479" s="8" t="n">
        <x:v>45293</x:v>
      </x:c>
      <x:c r="D479" s="4" t="str">
        <x:v>Sales operations manager</x:v>
      </x:c>
      <x:c r="E479" s="4" t="str">
        <x:v>Spreadsheet import</x:v>
      </x:c>
      <x:c r="F479" s="4" t="str">
        <x:v>Record captured</x:v>
      </x:c>
      <x:c r="G479" s="4" t="str">
        <x:v>Cancelled</x:v>
      </x:c>
    </x:row>
    <x:row r="480" ht="34" customHeight="1">
      <x:c r="A480" s="4" t="str">
        <x:v>RS-00479-E1</x:v>
      </x:c>
      <x:c r="B480" s="4" t="str">
        <x:v>RS-00479</x:v>
      </x:c>
      <x:c r="C480" s="8" t="n">
        <x:v>45294</x:v>
      </x:c>
      <x:c r="D480" s="4" t="str">
        <x:v>Sales operations manager</x:v>
      </x:c>
      <x:c r="E480" s="4" t="str">
        <x:v>ERP form</x:v>
      </x:c>
      <x:c r="F480" s="4" t="str">
        <x:v>Record captured</x:v>
      </x:c>
      <x:c r="G480" s="4" t="str">
        <x:v>Reserved</x:v>
      </x:c>
    </x:row>
    <x:row r="481" ht="34" customHeight="1">
      <x:c r="A481" s="4" t="str">
        <x:v>RS-00480-E1</x:v>
      </x:c>
      <x:c r="B481" s="4" t="str">
        <x:v>RS-00480</x:v>
      </x:c>
      <x:c r="C481" s="8" t="n">
        <x:v>45295</x:v>
      </x:c>
      <x:c r="D481" s="4" t="str">
        <x:v>Sales operations manager</x:v>
      </x:c>
      <x:c r="E481" s="4" t="str">
        <x:v>Spreadsheet import</x:v>
      </x:c>
      <x:c r="F481" s="4" t="str">
        <x:v>Record captured</x:v>
      </x:c>
      <x:c r="G481" s="4" t="str">
        <x:v>Reserved</x:v>
      </x:c>
    </x:row>
    <x:row r="482" ht="34" customHeight="1">
      <x:c r="A482" s="4" t="str">
        <x:v>RS-00481-E1</x:v>
      </x:c>
      <x:c r="B482" s="4" t="str">
        <x:v>RS-00481</x:v>
      </x:c>
      <x:c r="C482" s="8" t="n">
        <x:v>45296</x:v>
      </x:c>
      <x:c r="D482" s="4" t="str">
        <x:v>Sales operations manager</x:v>
      </x:c>
      <x:c r="E482" s="4" t="str">
        <x:v>Spreadsheet import</x:v>
      </x:c>
      <x:c r="F482" s="4" t="str">
        <x:v>Record captured</x:v>
      </x:c>
      <x:c r="G482" s="4" t="str">
        <x:v>Enquiry</x:v>
      </x:c>
    </x:row>
    <x:row r="483" ht="34" customHeight="1">
      <x:c r="A483" s="4" t="str">
        <x:v>RS-00482-E1</x:v>
      </x:c>
      <x:c r="B483" s="4" t="str">
        <x:v>RS-00482</x:v>
      </x:c>
      <x:c r="C483" s="8" t="n">
        <x:v>45297</x:v>
      </x:c>
      <x:c r="D483" s="4" t="str">
        <x:v>Sales operations manager</x:v>
      </x:c>
      <x:c r="E483" s="4" t="str">
        <x:v>Spreadsheet import</x:v>
      </x:c>
      <x:c r="F483" s="4" t="str">
        <x:v>Record captured</x:v>
      </x:c>
      <x:c r="G483" s="4" t="str">
        <x:v>Cancelled</x:v>
      </x:c>
    </x:row>
    <x:row r="484" ht="34" customHeight="1">
      <x:c r="A484" s="4" t="str">
        <x:v>RS-00483-E1</x:v>
      </x:c>
      <x:c r="B484" s="4" t="str">
        <x:v>RS-00483</x:v>
      </x:c>
      <x:c r="C484" s="8" t="n">
        <x:v>45298</x:v>
      </x:c>
      <x:c r="D484" s="4" t="str">
        <x:v>Sales operations manager</x:v>
      </x:c>
      <x:c r="E484" s="4" t="str">
        <x:v>WhatsApp transcribed</x:v>
      </x:c>
      <x:c r="F484" s="4" t="str">
        <x:v>Record captured</x:v>
      </x:c>
      <x:c r="G484" s="4" t="str">
        <x:v>Cancelled</x:v>
      </x:c>
    </x:row>
    <x:row r="485" ht="34" customHeight="1">
      <x:c r="A485" s="4" t="str">
        <x:v>RS-00484-E1</x:v>
      </x:c>
      <x:c r="B485" s="4" t="str">
        <x:v>RS-00484</x:v>
      </x:c>
      <x:c r="C485" s="8" t="n">
        <x:v>45299</x:v>
      </x:c>
      <x:c r="D485" s="4" t="str">
        <x:v>Sales operations manager</x:v>
      </x:c>
      <x:c r="E485" s="4" t="str">
        <x:v>WhatsApp transcribed</x:v>
      </x:c>
      <x:c r="F485" s="4" t="str">
        <x:v>Record captured</x:v>
      </x:c>
      <x:c r="G485" s="4" t="str">
        <x:v>Booked</x:v>
      </x:c>
    </x:row>
    <x:row r="486" ht="34" customHeight="1">
      <x:c r="A486" s="4" t="str">
        <x:v>RS-00485-E1</x:v>
      </x:c>
      <x:c r="B486" s="4" t="str">
        <x:v>RS-00485</x:v>
      </x:c>
      <x:c r="C486" s="8" t="n">
        <x:v>45300</x:v>
      </x:c>
      <x:c r="D486" s="4" t="str">
        <x:v>Sales operations manager</x:v>
      </x:c>
      <x:c r="E486" s="4" t="str">
        <x:v>ERP form</x:v>
      </x:c>
      <x:c r="F486" s="4" t="str">
        <x:v>Record captured</x:v>
      </x:c>
      <x:c r="G486" s="4" t="str">
        <x:v>Booked</x:v>
      </x:c>
    </x:row>
    <x:row r="487" ht="34" customHeight="1">
      <x:c r="A487" s="4" t="str">
        <x:v>RS-00486-E1</x:v>
      </x:c>
      <x:c r="B487" s="4" t="str">
        <x:v>RS-00486</x:v>
      </x:c>
      <x:c r="C487" s="8" t="n">
        <x:v>45301</x:v>
      </x:c>
      <x:c r="D487" s="4" t="str">
        <x:v>Sales operations manager</x:v>
      </x:c>
      <x:c r="E487" s="4" t="str">
        <x:v>Spreadsheet import</x:v>
      </x:c>
      <x:c r="F487" s="4" t="str">
        <x:v>Record captured</x:v>
      </x:c>
      <x:c r="G487" s="4" t="str">
        <x:v>Reserved</x:v>
      </x:c>
    </x:row>
    <x:row r="488" ht="34" customHeight="1">
      <x:c r="A488" s="4" t="str">
        <x:v>RS-00487-E1</x:v>
      </x:c>
      <x:c r="B488" s="4" t="str">
        <x:v>RS-00487</x:v>
      </x:c>
      <x:c r="C488" s="8" t="n">
        <x:v>45302</x:v>
      </x:c>
      <x:c r="D488" s="4" t="str">
        <x:v>Sales operations manager</x:v>
      </x:c>
      <x:c r="E488" s="4" t="str">
        <x:v>Paper transcribed</x:v>
      </x:c>
      <x:c r="F488" s="4" t="str">
        <x:v>Record captured</x:v>
      </x:c>
      <x:c r="G488" s="4" t="str">
        <x:v>Cancelled</x:v>
      </x:c>
    </x:row>
    <x:row r="489" ht="34" customHeight="1">
      <x:c r="A489" s="4" t="str">
        <x:v>RS-00488-E1</x:v>
      </x:c>
      <x:c r="B489" s="4" t="str">
        <x:v>RS-00488</x:v>
      </x:c>
      <x:c r="C489" s="8" t="n">
        <x:v>45303</x:v>
      </x:c>
      <x:c r="D489" s="4" t="str">
        <x:v>Sales operations manager</x:v>
      </x:c>
      <x:c r="E489" s="4" t="str">
        <x:v>Spreadsheet import</x:v>
      </x:c>
      <x:c r="F489" s="4" t="str">
        <x:v>Record captured</x:v>
      </x:c>
      <x:c r="G489" s="4" t="str">
        <x:v>Reserved</x:v>
      </x:c>
    </x:row>
    <x:row r="490" ht="34" customHeight="1">
      <x:c r="A490" s="4" t="str">
        <x:v>RS-00489-E1</x:v>
      </x:c>
      <x:c r="B490" s="4" t="str">
        <x:v>RS-00489</x:v>
      </x:c>
      <x:c r="C490" s="8" t="n">
        <x:v>45304</x:v>
      </x:c>
      <x:c r="D490" s="4" t="str">
        <x:v>Sales operations manager</x:v>
      </x:c>
      <x:c r="E490" s="4" t="str">
        <x:v>ERP form</x:v>
      </x:c>
      <x:c r="F490" s="4" t="str">
        <x:v>Record captured</x:v>
      </x:c>
      <x:c r="G490" s="4" t="str">
        <x:v>Handed over</x:v>
      </x:c>
    </x:row>
    <x:row r="491" ht="34" customHeight="1">
      <x:c r="A491" s="4" t="str">
        <x:v>RS-00490-E1</x:v>
      </x:c>
      <x:c r="B491" s="4" t="str">
        <x:v>RS-00490</x:v>
      </x:c>
      <x:c r="C491" s="8" t="n">
        <x:v>45305</x:v>
      </x:c>
      <x:c r="D491" s="4" t="str">
        <x:v>Sales operations manager</x:v>
      </x:c>
      <x:c r="E491" s="4" t="str">
        <x:v>Spreadsheet import</x:v>
      </x:c>
      <x:c r="F491" s="4" t="str">
        <x:v>Record captured</x:v>
      </x:c>
      <x:c r="G491" s="4" t="str">
        <x:v>Enquiry</x:v>
      </x:c>
    </x:row>
    <x:row r="492" ht="34" customHeight="1">
      <x:c r="A492" s="4" t="str">
        <x:v>RS-00491-E1</x:v>
      </x:c>
      <x:c r="B492" s="4" t="str">
        <x:v>RS-00491</x:v>
      </x:c>
      <x:c r="C492" s="8" t="n">
        <x:v>45306</x:v>
      </x:c>
      <x:c r="D492" s="4" t="str">
        <x:v>Sales operations manager</x:v>
      </x:c>
      <x:c r="E492" s="4" t="str">
        <x:v>Spreadsheet import</x:v>
      </x:c>
      <x:c r="F492" s="4" t="str">
        <x:v>Record captured</x:v>
      </x:c>
      <x:c r="G492" s="4" t="str">
        <x:v>Booked</x:v>
      </x:c>
    </x:row>
    <x:row r="493" ht="34" customHeight="1">
      <x:c r="A493" s="4" t="str">
        <x:v>RS-00492-E1</x:v>
      </x:c>
      <x:c r="B493" s="4" t="str">
        <x:v>RS-00492</x:v>
      </x:c>
      <x:c r="C493" s="8" t="n">
        <x:v>45307</x:v>
      </x:c>
      <x:c r="D493" s="4" t="str">
        <x:v>Sales operations manager</x:v>
      </x:c>
      <x:c r="E493" s="4" t="str">
        <x:v>WhatsApp transcribed</x:v>
      </x:c>
      <x:c r="F493" s="4" t="str">
        <x:v>Record captured</x:v>
      </x:c>
      <x:c r="G493" s="4" t="str">
        <x:v>Reserved</x:v>
      </x:c>
    </x:row>
    <x:row r="494" ht="34" customHeight="1">
      <x:c r="A494" s="4" t="str">
        <x:v>RS-00493-E1</x:v>
      </x:c>
      <x:c r="B494" s="4" t="str">
        <x:v>RS-00493</x:v>
      </x:c>
      <x:c r="C494" s="8" t="n">
        <x:v>45308</x:v>
      </x:c>
      <x:c r="D494" s="4" t="str">
        <x:v>Sales operations manager</x:v>
      </x:c>
      <x:c r="E494" s="4" t="str">
        <x:v>WhatsApp transcribed</x:v>
      </x:c>
      <x:c r="F494" s="4" t="str">
        <x:v>Record captured</x:v>
      </x:c>
      <x:c r="G494" s="4" t="str">
        <x:v>Agreement signed</x:v>
      </x:c>
    </x:row>
    <x:row r="495" ht="34" customHeight="1">
      <x:c r="A495" s="4" t="str">
        <x:v>RS-00494-E1</x:v>
      </x:c>
      <x:c r="B495" s="4" t="str">
        <x:v>RS-00494</x:v>
      </x:c>
      <x:c r="C495" s="8" t="n">
        <x:v>45309</x:v>
      </x:c>
      <x:c r="D495" s="4" t="str">
        <x:v>Sales operations manager</x:v>
      </x:c>
      <x:c r="E495" s="4" t="str">
        <x:v>Paper transcribed</x:v>
      </x:c>
      <x:c r="F495" s="4" t="str">
        <x:v>Record captured</x:v>
      </x:c>
      <x:c r="G495" s="4" t="str">
        <x:v>Booked</x:v>
      </x:c>
    </x:row>
    <x:row r="496" ht="34" customHeight="1">
      <x:c r="A496" s="4" t="str">
        <x:v>RS-00495-E1</x:v>
      </x:c>
      <x:c r="B496" s="4" t="str">
        <x:v>RS-00495</x:v>
      </x:c>
      <x:c r="C496" s="8" t="n">
        <x:v>45310</x:v>
      </x:c>
      <x:c r="D496" s="4" t="str">
        <x:v>Sales operations manager</x:v>
      </x:c>
      <x:c r="E496" s="4" t="str">
        <x:v>WhatsApp transcribed</x:v>
      </x:c>
      <x:c r="F496" s="4" t="str">
        <x:v>Record captured</x:v>
      </x:c>
      <x:c r="G496" s="4" t="str">
        <x:v>Enquiry</x:v>
      </x:c>
    </x:row>
    <x:row r="497" ht="34" customHeight="1">
      <x:c r="A497" s="4" t="str">
        <x:v>RS-00496-E1</x:v>
      </x:c>
      <x:c r="B497" s="4" t="str">
        <x:v>RS-00496</x:v>
      </x:c>
      <x:c r="C497" s="8" t="n">
        <x:v>45311</x:v>
      </x:c>
      <x:c r="D497" s="4" t="str">
        <x:v>Sales operations manager</x:v>
      </x:c>
      <x:c r="E497" s="4" t="str">
        <x:v>Paper transcribed</x:v>
      </x:c>
      <x:c r="F497" s="4" t="str">
        <x:v>Record captured</x:v>
      </x:c>
      <x:c r="G497" s="4" t="str">
        <x:v>Reserved</x:v>
      </x:c>
    </x:row>
    <x:row r="498" ht="34" customHeight="1">
      <x:c r="A498" s="4" t="str">
        <x:v>RS-00497-E1</x:v>
      </x:c>
      <x:c r="B498" s="4" t="str">
        <x:v>RS-00497</x:v>
      </x:c>
      <x:c r="C498" s="8" t="n">
        <x:v>45312</x:v>
      </x:c>
      <x:c r="D498" s="4" t="str">
        <x:v>Sales operations manager</x:v>
      </x:c>
      <x:c r="E498" s="4" t="str">
        <x:v>WhatsApp transcribed</x:v>
      </x:c>
      <x:c r="F498" s="4" t="str">
        <x:v>Record captured</x:v>
      </x:c>
      <x:c r="G498" s="4" t="str">
        <x:v>Handed over</x:v>
      </x:c>
    </x:row>
    <x:row r="499" ht="34" customHeight="1">
      <x:c r="A499" s="4" t="str">
        <x:v>RS-00498-E1</x:v>
      </x:c>
      <x:c r="B499" s="4" t="str">
        <x:v>RS-00498</x:v>
      </x:c>
      <x:c r="C499" s="8" t="n">
        <x:v>45313</x:v>
      </x:c>
      <x:c r="D499" s="4" t="str">
        <x:v>Sales operations manager</x:v>
      </x:c>
      <x:c r="E499" s="4" t="str">
        <x:v>ERP form</x:v>
      </x:c>
      <x:c r="F499" s="4" t="str">
        <x:v>Record captured</x:v>
      </x:c>
      <x:c r="G499" s="4" t="str">
        <x:v>Agreement signed</x:v>
      </x:c>
    </x:row>
    <x:row r="500" ht="34" customHeight="1">
      <x:c r="A500" s="4" t="str">
        <x:v>RS-00499-E1</x:v>
      </x:c>
      <x:c r="B500" s="4" t="str">
        <x:v>RS-00499</x:v>
      </x:c>
      <x:c r="C500" s="8" t="n">
        <x:v>45314</x:v>
      </x:c>
      <x:c r="D500" s="4" t="str">
        <x:v>Sales operations manager</x:v>
      </x:c>
      <x:c r="E500" s="4" t="str">
        <x:v>WhatsApp transcribed</x:v>
      </x:c>
      <x:c r="F500" s="4" t="str">
        <x:v>Record captured</x:v>
      </x:c>
      <x:c r="G500" s="4" t="str">
        <x:v>Reserved</x:v>
      </x:c>
    </x:row>
    <x:row r="501" ht="34" customHeight="1">
      <x:c r="A501" s="4" t="str">
        <x:v>RS-00500-E1</x:v>
      </x:c>
      <x:c r="B501" s="4" t="str">
        <x:v>RS-00500</x:v>
      </x:c>
      <x:c r="C501" s="8" t="n">
        <x:v>45315</x:v>
      </x:c>
      <x:c r="D501" s="4" t="str">
        <x:v>Sales operations manager</x:v>
      </x:c>
      <x:c r="E501" s="4" t="str">
        <x:v>ERP form</x:v>
      </x:c>
      <x:c r="F501" s="4" t="str">
        <x:v>Record captured</x:v>
      </x:c>
      <x:c r="G501" s="4" t="str">
        <x:v>Booked</x:v>
      </x:c>
    </x:row>
    <x:row r="502" ht="34" customHeight="1">
      <x:c r="A502" s="4" t="str">
        <x:v>RS-00501-E1</x:v>
      </x:c>
      <x:c r="B502" s="4" t="str">
        <x:v>RS-00501</x:v>
      </x:c>
      <x:c r="C502" s="8" t="n">
        <x:v>45347</x:v>
      </x:c>
      <x:c r="D502" s="4" t="str">
        <x:v>Sales operations manager</x:v>
      </x:c>
      <x:c r="E502" s="4" t="str">
        <x:v>Spreadsheet import</x:v>
      </x:c>
      <x:c r="F502" s="4" t="str">
        <x:v>Record captured</x:v>
      </x:c>
      <x:c r="G502" s="4" t="str">
        <x:v>Reserved</x:v>
      </x:c>
    </x:row>
    <x:row r="503" ht="34" customHeight="1">
      <x:c r="A503" s="4" t="str">
        <x:v>RS-00502-E1</x:v>
      </x:c>
      <x:c r="B503" s="4" t="str">
        <x:v>RS-00502</x:v>
      </x:c>
      <x:c r="C503" s="8" t="n">
        <x:v>45348</x:v>
      </x:c>
      <x:c r="D503" s="4" t="str">
        <x:v>Sales operations manager</x:v>
      </x:c>
      <x:c r="E503" s="4" t="str">
        <x:v>Paper transcribed</x:v>
      </x:c>
      <x:c r="F503" s="4" t="str">
        <x:v>Record captured</x:v>
      </x:c>
      <x:c r="G503" s="4" t="str">
        <x:v>Reserved</x:v>
      </x:c>
    </x:row>
    <x:row r="504" ht="34" customHeight="1">
      <x:c r="A504" s="4" t="str">
        <x:v>RS-00503-E1</x:v>
      </x:c>
      <x:c r="B504" s="4" t="str">
        <x:v>RS-00503</x:v>
      </x:c>
      <x:c r="C504" s="8" t="n">
        <x:v>45349</x:v>
      </x:c>
      <x:c r="D504" s="4" t="str">
        <x:v>Sales operations manager</x:v>
      </x:c>
      <x:c r="E504" s="4" t="str">
        <x:v>Paper transcribed</x:v>
      </x:c>
      <x:c r="F504" s="4" t="str">
        <x:v>Record captured</x:v>
      </x:c>
      <x:c r="G504" s="4" t="str">
        <x:v>Reserved</x:v>
      </x:c>
    </x:row>
    <x:row r="505" ht="34" customHeight="1">
      <x:c r="A505" s="4" t="str">
        <x:v>RS-00504-E1</x:v>
      </x:c>
      <x:c r="B505" s="4" t="str">
        <x:v>RS-00504</x:v>
      </x:c>
      <x:c r="C505" s="8" t="n">
        <x:v>45350</x:v>
      </x:c>
      <x:c r="D505" s="4" t="str">
        <x:v>Sales operations manager</x:v>
      </x:c>
      <x:c r="E505" s="4" t="str">
        <x:v>Spreadsheet import</x:v>
      </x:c>
      <x:c r="F505" s="4" t="str">
        <x:v>Record captured</x:v>
      </x:c>
      <x:c r="G505" s="4" t="str">
        <x:v>Handed over</x:v>
      </x:c>
    </x:row>
    <x:row r="506" ht="34" customHeight="1">
      <x:c r="A506" s="4" t="str">
        <x:v>RS-00505-E1</x:v>
      </x:c>
      <x:c r="B506" s="4" t="str">
        <x:v>RS-00505</x:v>
      </x:c>
      <x:c r="C506" s="8" t="n">
        <x:v>45323</x:v>
      </x:c>
      <x:c r="D506" s="4" t="str">
        <x:v>Sales operations manager</x:v>
      </x:c>
      <x:c r="E506" s="4" t="str">
        <x:v>WhatsApp transcribed</x:v>
      </x:c>
      <x:c r="F506" s="4" t="str">
        <x:v>Record captured</x:v>
      </x:c>
      <x:c r="G506" s="4" t="str">
        <x:v>Handed over</x:v>
      </x:c>
    </x:row>
    <x:row r="507" ht="34" customHeight="1">
      <x:c r="A507" s="4" t="str">
        <x:v>RS-00506-E1</x:v>
      </x:c>
      <x:c r="B507" s="4" t="str">
        <x:v>RS-00506</x:v>
      </x:c>
      <x:c r="C507" s="8" t="n">
        <x:v>45324</x:v>
      </x:c>
      <x:c r="D507" s="4" t="str">
        <x:v>Sales operations manager</x:v>
      </x:c>
      <x:c r="E507" s="4" t="str">
        <x:v>Spreadsheet import</x:v>
      </x:c>
      <x:c r="F507" s="4" t="str">
        <x:v>Record captured</x:v>
      </x:c>
      <x:c r="G507" s="4" t="str">
        <x:v>Reserved</x:v>
      </x:c>
    </x:row>
    <x:row r="508" ht="34" customHeight="1">
      <x:c r="A508" s="4" t="str">
        <x:v>RS-00507-E1</x:v>
      </x:c>
      <x:c r="B508" s="4" t="str">
        <x:v>RS-00507</x:v>
      </x:c>
      <x:c r="C508" s="8" t="n">
        <x:v>45325</x:v>
      </x:c>
      <x:c r="D508" s="4" t="str">
        <x:v>Sales operations manager</x:v>
      </x:c>
      <x:c r="E508" s="4" t="str">
        <x:v>WhatsApp transcribed</x:v>
      </x:c>
      <x:c r="F508" s="4" t="str">
        <x:v>Record captured</x:v>
      </x:c>
      <x:c r="G508" s="4" t="str">
        <x:v>Reserved</x:v>
      </x:c>
    </x:row>
    <x:row r="509" ht="34" customHeight="1">
      <x:c r="A509" s="4" t="str">
        <x:v>RS-00508-E1</x:v>
      </x:c>
      <x:c r="B509" s="4" t="str">
        <x:v>RS-00508</x:v>
      </x:c>
      <x:c r="C509" s="8" t="n">
        <x:v>45326</x:v>
      </x:c>
      <x:c r="D509" s="4" t="str">
        <x:v>Sales operations manager</x:v>
      </x:c>
      <x:c r="E509" s="4" t="str">
        <x:v>ERP form</x:v>
      </x:c>
      <x:c r="F509" s="4" t="str">
        <x:v>Record captured</x:v>
      </x:c>
      <x:c r="G509" s="4" t="str">
        <x:v>Cancelled</x:v>
      </x:c>
    </x:row>
    <x:row r="510" ht="34" customHeight="1">
      <x:c r="A510" s="4" t="str">
        <x:v>RS-00509-E1</x:v>
      </x:c>
      <x:c r="B510" s="4" t="str">
        <x:v>RS-00509</x:v>
      </x:c>
      <x:c r="C510" s="8" t="n">
        <x:v>45327</x:v>
      </x:c>
      <x:c r="D510" s="4" t="str">
        <x:v>Sales operations manager</x:v>
      </x:c>
      <x:c r="E510" s="4" t="str">
        <x:v>Paper transcribed</x:v>
      </x:c>
      <x:c r="F510" s="4" t="str">
        <x:v>Record captured</x:v>
      </x:c>
      <x:c r="G510" s="4" t="str">
        <x:v>Booked</x:v>
      </x:c>
    </x:row>
    <x:row r="511" ht="34" customHeight="1">
      <x:c r="A511" s="4" t="str">
        <x:v>RS-00510-E1</x:v>
      </x:c>
      <x:c r="B511" s="4" t="str">
        <x:v>RS-00510</x:v>
      </x:c>
      <x:c r="C511" s="8" t="n">
        <x:v>45328</x:v>
      </x:c>
      <x:c r="D511" s="4" t="str">
        <x:v>Sales operations manager</x:v>
      </x:c>
      <x:c r="E511" s="4" t="str">
        <x:v>Spreadsheet import</x:v>
      </x:c>
      <x:c r="F511" s="4" t="str">
        <x:v>Record captured</x:v>
      </x:c>
      <x:c r="G511" s="4" t="str">
        <x:v>Enquiry</x:v>
      </x:c>
    </x:row>
    <x:row r="512" ht="34" customHeight="1">
      <x:c r="A512" s="4" t="str">
        <x:v>RS-00511-E1</x:v>
      </x:c>
      <x:c r="B512" s="4" t="str">
        <x:v>RS-00511</x:v>
      </x:c>
      <x:c r="C512" s="8" t="n">
        <x:v>45329</x:v>
      </x:c>
      <x:c r="D512" s="4" t="str">
        <x:v>Sales operations manager</x:v>
      </x:c>
      <x:c r="E512" s="4" t="str">
        <x:v>Paper transcribed</x:v>
      </x:c>
      <x:c r="F512" s="4" t="str">
        <x:v>Record captured</x:v>
      </x:c>
      <x:c r="G512" s="4" t="str">
        <x:v>Cancelled</x:v>
      </x:c>
    </x:row>
    <x:row r="513" ht="34" customHeight="1">
      <x:c r="A513" s="4" t="str">
        <x:v>RS-00512-E1</x:v>
      </x:c>
      <x:c r="B513" s="4" t="str">
        <x:v>RS-00512</x:v>
      </x:c>
      <x:c r="C513" s="8" t="n">
        <x:v>45330</x:v>
      </x:c>
      <x:c r="D513" s="4" t="str">
        <x:v>Sales operations manager</x:v>
      </x:c>
      <x:c r="E513" s="4" t="str">
        <x:v>Paper transcribed</x:v>
      </x:c>
      <x:c r="F513" s="4" t="str">
        <x:v>Record captured</x:v>
      </x:c>
      <x:c r="G513" s="4" t="str">
        <x:v>Agreement signed</x:v>
      </x:c>
    </x:row>
    <x:row r="514" ht="34" customHeight="1">
      <x:c r="A514" s="4" t="str">
        <x:v>RS-00513-E1</x:v>
      </x:c>
      <x:c r="B514" s="4" t="str">
        <x:v>RS-00513</x:v>
      </x:c>
      <x:c r="C514" s="8" t="n">
        <x:v>45331</x:v>
      </x:c>
      <x:c r="D514" s="4" t="str">
        <x:v>Sales operations manager</x:v>
      </x:c>
      <x:c r="E514" s="4" t="str">
        <x:v>Paper transcribed</x:v>
      </x:c>
      <x:c r="F514" s="4" t="str">
        <x:v>Record captured</x:v>
      </x:c>
      <x:c r="G514" s="4" t="str">
        <x:v>Cancelled</x:v>
      </x:c>
    </x:row>
    <x:row r="515" ht="34" customHeight="1">
      <x:c r="A515" s="4" t="str">
        <x:v>RS-00514-E1</x:v>
      </x:c>
      <x:c r="B515" s="4" t="str">
        <x:v>RS-00514</x:v>
      </x:c>
      <x:c r="C515" s="8" t="n">
        <x:v>45332</x:v>
      </x:c>
      <x:c r="D515" s="4" t="str">
        <x:v>Sales operations manager</x:v>
      </x:c>
      <x:c r="E515" s="4" t="str">
        <x:v>Spreadsheet import</x:v>
      </x:c>
      <x:c r="F515" s="4" t="str">
        <x:v>Record captured</x:v>
      </x:c>
      <x:c r="G515" s="4" t="str">
        <x:v>Booked</x:v>
      </x:c>
    </x:row>
    <x:row r="516" ht="34" customHeight="1">
      <x:c r="A516" s="4" t="str">
        <x:v>RS-00515-E1</x:v>
      </x:c>
      <x:c r="B516" s="4" t="str">
        <x:v>RS-00515</x:v>
      </x:c>
      <x:c r="C516" s="8" t="n">
        <x:v>45333</x:v>
      </x:c>
      <x:c r="D516" s="4" t="str">
        <x:v>Sales operations manager</x:v>
      </x:c>
      <x:c r="E516" s="4" t="str">
        <x:v>Paper transcribed</x:v>
      </x:c>
      <x:c r="F516" s="4" t="str">
        <x:v>Record captured</x:v>
      </x:c>
      <x:c r="G516" s="4" t="str">
        <x:v>Enquiry</x:v>
      </x:c>
    </x:row>
    <x:row r="517" ht="34" customHeight="1">
      <x:c r="A517" s="4" t="str">
        <x:v>RS-00516-E1</x:v>
      </x:c>
      <x:c r="B517" s="4" t="str">
        <x:v>RS-00516</x:v>
      </x:c>
      <x:c r="C517" s="8" t="n">
        <x:v>45334</x:v>
      </x:c>
      <x:c r="D517" s="4" t="str">
        <x:v>Sales operations manager</x:v>
      </x:c>
      <x:c r="E517" s="4" t="str">
        <x:v>ERP form</x:v>
      </x:c>
      <x:c r="F517" s="4" t="str">
        <x:v>Record captured</x:v>
      </x:c>
      <x:c r="G517" s="4" t="str">
        <x:v>Reserved</x:v>
      </x:c>
    </x:row>
    <x:row r="518" ht="34" customHeight="1">
      <x:c r="A518" s="4" t="str">
        <x:v>RS-00517-E1</x:v>
      </x:c>
      <x:c r="B518" s="4" t="str">
        <x:v>RS-00517</x:v>
      </x:c>
      <x:c r="C518" s="8" t="n">
        <x:v>45335</x:v>
      </x:c>
      <x:c r="D518" s="4" t="str">
        <x:v>Sales operations manager</x:v>
      </x:c>
      <x:c r="E518" s="4" t="str">
        <x:v>WhatsApp transcribed</x:v>
      </x:c>
      <x:c r="F518" s="4" t="str">
        <x:v>Record captured</x:v>
      </x:c>
      <x:c r="G518" s="4" t="str">
        <x:v>Booked</x:v>
      </x:c>
    </x:row>
    <x:row r="519" ht="34" customHeight="1">
      <x:c r="A519" s="4" t="str">
        <x:v>RS-00518-E1</x:v>
      </x:c>
      <x:c r="B519" s="4" t="str">
        <x:v>RS-00518</x:v>
      </x:c>
      <x:c r="C519" s="8" t="n">
        <x:v>45336</x:v>
      </x:c>
      <x:c r="D519" s="4" t="str">
        <x:v>Sales operations manager</x:v>
      </x:c>
      <x:c r="E519" s="4" t="str">
        <x:v>Paper transcribed</x:v>
      </x:c>
      <x:c r="F519" s="4" t="str">
        <x:v>Record captured</x:v>
      </x:c>
      <x:c r="G519" s="4" t="str">
        <x:v>Booked</x:v>
      </x:c>
    </x:row>
    <x:row r="520" ht="34" customHeight="1">
      <x:c r="A520" s="4" t="str">
        <x:v>RS-00519-E1</x:v>
      </x:c>
      <x:c r="B520" s="4" t="str">
        <x:v>RS-00519</x:v>
      </x:c>
      <x:c r="C520" s="8" t="n">
        <x:v>45337</x:v>
      </x:c>
      <x:c r="D520" s="4" t="str">
        <x:v>Sales operations manager</x:v>
      </x:c>
      <x:c r="E520" s="4" t="str">
        <x:v>WhatsApp transcribed</x:v>
      </x:c>
      <x:c r="F520" s="4" t="str">
        <x:v>Record captured</x:v>
      </x:c>
      <x:c r="G520" s="4" t="str">
        <x:v>Handed over</x:v>
      </x:c>
    </x:row>
    <x:row r="521" ht="34" customHeight="1">
      <x:c r="A521" s="4" t="str">
        <x:v>RS-00520-E1</x:v>
      </x:c>
      <x:c r="B521" s="4" t="str">
        <x:v>RS-00520</x:v>
      </x:c>
      <x:c r="C521" s="8" t="n">
        <x:v>45338</x:v>
      </x:c>
      <x:c r="D521" s="4" t="str">
        <x:v>Sales operations manager</x:v>
      </x:c>
      <x:c r="E521" s="4" t="str">
        <x:v>Spreadsheet import</x:v>
      </x:c>
      <x:c r="F521" s="4" t="str">
        <x:v>Record captured</x:v>
      </x:c>
      <x:c r="G521" s="4" t="str">
        <x:v>Handed over</x:v>
      </x:c>
    </x:row>
    <x:row r="522" ht="34" customHeight="1">
      <x:c r="A522" s="4" t="str">
        <x:v>RS-00521-E1</x:v>
      </x:c>
      <x:c r="B522" s="4" t="str">
        <x:v>RS-00521</x:v>
      </x:c>
      <x:c r="C522" s="8" t="n">
        <x:v>45339</x:v>
      </x:c>
      <x:c r="D522" s="4" t="str">
        <x:v>Sales operations manager</x:v>
      </x:c>
      <x:c r="E522" s="4" t="str">
        <x:v>Spreadsheet import</x:v>
      </x:c>
      <x:c r="F522" s="4" t="str">
        <x:v>Record captured</x:v>
      </x:c>
      <x:c r="G522" s="4" t="str">
        <x:v>Handed over</x:v>
      </x:c>
    </x:row>
    <x:row r="523" ht="34" customHeight="1">
      <x:c r="A523" s="4" t="str">
        <x:v>RS-00522-E1</x:v>
      </x:c>
      <x:c r="B523" s="4" t="str">
        <x:v>RS-00522</x:v>
      </x:c>
      <x:c r="C523" s="8" t="n">
        <x:v>45340</x:v>
      </x:c>
      <x:c r="D523" s="4" t="str">
        <x:v>Sales operations manager</x:v>
      </x:c>
      <x:c r="E523" s="4" t="str">
        <x:v>Paper transcribed</x:v>
      </x:c>
      <x:c r="F523" s="4" t="str">
        <x:v>Record captured</x:v>
      </x:c>
      <x:c r="G523" s="4" t="str">
        <x:v>Reserved</x:v>
      </x:c>
    </x:row>
    <x:row r="524" ht="34" customHeight="1">
      <x:c r="A524" s="4" t="str">
        <x:v>RS-00523-E1</x:v>
      </x:c>
      <x:c r="B524" s="4" t="str">
        <x:v>RS-00523</x:v>
      </x:c>
      <x:c r="C524" s="8" t="n">
        <x:v>45341</x:v>
      </x:c>
      <x:c r="D524" s="4" t="str">
        <x:v>Sales operations manager</x:v>
      </x:c>
      <x:c r="E524" s="4" t="str">
        <x:v>Paper transcribed</x:v>
      </x:c>
      <x:c r="F524" s="4" t="str">
        <x:v>Record captured</x:v>
      </x:c>
      <x:c r="G524" s="4" t="str">
        <x:v>Agreement signed</x:v>
      </x:c>
    </x:row>
    <x:row r="525" ht="34" customHeight="1">
      <x:c r="A525" s="4" t="str">
        <x:v>RS-00524-E1</x:v>
      </x:c>
      <x:c r="B525" s="4" t="str">
        <x:v>RS-00524</x:v>
      </x:c>
      <x:c r="C525" s="8" t="n">
        <x:v>45342</x:v>
      </x:c>
      <x:c r="D525" s="4" t="str">
        <x:v>Sales operations manager</x:v>
      </x:c>
      <x:c r="E525" s="4" t="str">
        <x:v>ERP form</x:v>
      </x:c>
      <x:c r="F525" s="4" t="str">
        <x:v>Record captured</x:v>
      </x:c>
      <x:c r="G525" s="4" t="str">
        <x:v>Cancelled</x:v>
      </x:c>
    </x:row>
    <x:row r="526" ht="34" customHeight="1">
      <x:c r="A526" s="4" t="str">
        <x:v>RS-00525-E1</x:v>
      </x:c>
      <x:c r="B526" s="4" t="str">
        <x:v>RS-00525</x:v>
      </x:c>
      <x:c r="C526" s="8" t="n">
        <x:v>45343</x:v>
      </x:c>
      <x:c r="D526" s="4" t="str">
        <x:v>Sales operations manager</x:v>
      </x:c>
      <x:c r="E526" s="4" t="str">
        <x:v>Paper transcribed</x:v>
      </x:c>
      <x:c r="F526" s="4" t="str">
        <x:v>Record captured</x:v>
      </x:c>
      <x:c r="G526" s="4" t="str">
        <x:v>Enquiry</x:v>
      </x:c>
    </x:row>
    <x:row r="527" ht="34" customHeight="1">
      <x:c r="A527" s="4" t="str">
        <x:v>RS-00526-E1</x:v>
      </x:c>
      <x:c r="B527" s="4" t="str">
        <x:v>RS-00526</x:v>
      </x:c>
      <x:c r="C527" s="8" t="n">
        <x:v>45344</x:v>
      </x:c>
      <x:c r="D527" s="4" t="str">
        <x:v>Sales operations manager</x:v>
      </x:c>
      <x:c r="E527" s="4" t="str">
        <x:v>WhatsApp transcribed</x:v>
      </x:c>
      <x:c r="F527" s="4" t="str">
        <x:v>Record captured</x:v>
      </x:c>
      <x:c r="G527" s="4" t="str">
        <x:v>Cancelled</x:v>
      </x:c>
    </x:row>
    <x:row r="528" ht="34" customHeight="1">
      <x:c r="A528" s="4" t="str">
        <x:v>RS-00527-E1</x:v>
      </x:c>
      <x:c r="B528" s="4" t="str">
        <x:v>RS-00527</x:v>
      </x:c>
      <x:c r="C528" s="8" t="n">
        <x:v>45345</x:v>
      </x:c>
      <x:c r="D528" s="4" t="str">
        <x:v>Sales operations manager</x:v>
      </x:c>
      <x:c r="E528" s="4" t="str">
        <x:v>Spreadsheet import</x:v>
      </x:c>
      <x:c r="F528" s="4" t="str">
        <x:v>Record captured</x:v>
      </x:c>
      <x:c r="G528" s="4" t="str">
        <x:v>Booked</x:v>
      </x:c>
    </x:row>
    <x:row r="529" ht="34" customHeight="1">
      <x:c r="A529" s="4" t="str">
        <x:v>RS-00528-E1</x:v>
      </x:c>
      <x:c r="B529" s="4" t="str">
        <x:v>RS-00528</x:v>
      </x:c>
      <x:c r="C529" s="8" t="n">
        <x:v>45346</x:v>
      </x:c>
      <x:c r="D529" s="4" t="str">
        <x:v>Sales operations manager</x:v>
      </x:c>
      <x:c r="E529" s="4" t="str">
        <x:v>WhatsApp transcribed</x:v>
      </x:c>
      <x:c r="F529" s="4" t="str">
        <x:v>Record captured</x:v>
      </x:c>
      <x:c r="G529" s="4" t="str">
        <x:v>Reserved</x:v>
      </x:c>
    </x:row>
    <x:row r="530" ht="34" customHeight="1">
      <x:c r="A530" s="4" t="str">
        <x:v>RS-00529-E1</x:v>
      </x:c>
      <x:c r="B530" s="4" t="str">
        <x:v>RS-00529</x:v>
      </x:c>
      <x:c r="C530" s="8" t="n">
        <x:v>45347</x:v>
      </x:c>
      <x:c r="D530" s="4" t="str">
        <x:v>Sales operations manager</x:v>
      </x:c>
      <x:c r="E530" s="4" t="str">
        <x:v>ERP form</x:v>
      </x:c>
      <x:c r="F530" s="4" t="str">
        <x:v>Record captured</x:v>
      </x:c>
      <x:c r="G530" s="4" t="str">
        <x:v>Enquiry</x:v>
      </x:c>
    </x:row>
    <x:row r="531" ht="34" customHeight="1">
      <x:c r="A531" s="4" t="str">
        <x:v>RS-00530-E1</x:v>
      </x:c>
      <x:c r="B531" s="4" t="str">
        <x:v>RS-00530</x:v>
      </x:c>
      <x:c r="C531" s="8" t="n">
        <x:v>45348</x:v>
      </x:c>
      <x:c r="D531" s="4" t="str">
        <x:v>Sales operations manager</x:v>
      </x:c>
      <x:c r="E531" s="4" t="str">
        <x:v>Spreadsheet import</x:v>
      </x:c>
      <x:c r="F531" s="4" t="str">
        <x:v>Record captured</x:v>
      </x:c>
      <x:c r="G531" s="4" t="str">
        <x:v>Handed over</x:v>
      </x:c>
    </x:row>
    <x:row r="532" ht="34" customHeight="1">
      <x:c r="A532" s="4" t="str">
        <x:v>RS-00531-E1</x:v>
      </x:c>
      <x:c r="B532" s="4" t="str">
        <x:v>RS-00531</x:v>
      </x:c>
      <x:c r="C532" s="8" t="n">
        <x:v>45349</x:v>
      </x:c>
      <x:c r="D532" s="4" t="str">
        <x:v>Sales operations manager</x:v>
      </x:c>
      <x:c r="E532" s="4" t="str">
        <x:v>ERP form</x:v>
      </x:c>
      <x:c r="F532" s="4" t="str">
        <x:v>Record captured</x:v>
      </x:c>
      <x:c r="G532" s="4" t="str">
        <x:v>Handed over</x:v>
      </x:c>
    </x:row>
    <x:row r="533" ht="34" customHeight="1">
      <x:c r="A533" s="4" t="str">
        <x:v>RS-00532-E1</x:v>
      </x:c>
      <x:c r="B533" s="4" t="str">
        <x:v>RS-00532</x:v>
      </x:c>
      <x:c r="C533" s="8" t="n">
        <x:v>45350</x:v>
      </x:c>
      <x:c r="D533" s="4" t="str">
        <x:v>Sales operations manager</x:v>
      </x:c>
      <x:c r="E533" s="4" t="str">
        <x:v>Spreadsheet import</x:v>
      </x:c>
      <x:c r="F533" s="4" t="str">
        <x:v>Record captured</x:v>
      </x:c>
      <x:c r="G533" s="4" t="str">
        <x:v>Reserved</x:v>
      </x:c>
    </x:row>
    <x:row r="534" ht="34" customHeight="1">
      <x:c r="A534" s="4" t="str">
        <x:v>RS-00533-E1</x:v>
      </x:c>
      <x:c r="B534" s="4" t="str">
        <x:v>RS-00533</x:v>
      </x:c>
      <x:c r="C534" s="8" t="n">
        <x:v>45323</x:v>
      </x:c>
      <x:c r="D534" s="4" t="str">
        <x:v>Sales operations manager</x:v>
      </x:c>
      <x:c r="E534" s="4" t="str">
        <x:v>Spreadsheet import</x:v>
      </x:c>
      <x:c r="F534" s="4" t="str">
        <x:v>Record captured</x:v>
      </x:c>
      <x:c r="G534" s="4" t="str">
        <x:v>Agreement signed</x:v>
      </x:c>
    </x:row>
    <x:row r="535" ht="34" customHeight="1">
      <x:c r="A535" s="4" t="str">
        <x:v>RS-00534-E1</x:v>
      </x:c>
      <x:c r="B535" s="4" t="str">
        <x:v>RS-00534</x:v>
      </x:c>
      <x:c r="C535" s="8" t="n">
        <x:v>45324</x:v>
      </x:c>
      <x:c r="D535" s="4" t="str">
        <x:v>Sales operations manager</x:v>
      </x:c>
      <x:c r="E535" s="4" t="str">
        <x:v>Spreadsheet import</x:v>
      </x:c>
      <x:c r="F535" s="4" t="str">
        <x:v>Record captured</x:v>
      </x:c>
      <x:c r="G535" s="4" t="str">
        <x:v>Cancelled</x:v>
      </x:c>
    </x:row>
    <x:row r="536" ht="34" customHeight="1">
      <x:c r="A536" s="4" t="str">
        <x:v>RS-00535-E1</x:v>
      </x:c>
      <x:c r="B536" s="4" t="str">
        <x:v>RS-00535</x:v>
      </x:c>
      <x:c r="C536" s="8" t="n">
        <x:v>45325</x:v>
      </x:c>
      <x:c r="D536" s="4" t="str">
        <x:v>Sales operations manager</x:v>
      </x:c>
      <x:c r="E536" s="4" t="str">
        <x:v>ERP form</x:v>
      </x:c>
      <x:c r="F536" s="4" t="str">
        <x:v>Record captured</x:v>
      </x:c>
      <x:c r="G536" s="4" t="str">
        <x:v>Agreement signed</x:v>
      </x:c>
    </x:row>
    <x:row r="537" ht="34" customHeight="1">
      <x:c r="A537" s="4" t="str">
        <x:v>RS-00536-E1</x:v>
      </x:c>
      <x:c r="B537" s="4" t="str">
        <x:v>RS-00536</x:v>
      </x:c>
      <x:c r="C537" s="8" t="n">
        <x:v>45326</x:v>
      </x:c>
      <x:c r="D537" s="4" t="str">
        <x:v>Sales operations manager</x:v>
      </x:c>
      <x:c r="E537" s="4" t="str">
        <x:v>Spreadsheet import</x:v>
      </x:c>
      <x:c r="F537" s="4" t="str">
        <x:v>Record captured</x:v>
      </x:c>
      <x:c r="G537" s="4" t="str">
        <x:v>Reserved</x:v>
      </x:c>
    </x:row>
    <x:row r="538" ht="34" customHeight="1">
      <x:c r="A538" s="4" t="str">
        <x:v>RS-00537-E1</x:v>
      </x:c>
      <x:c r="B538" s="4" t="str">
        <x:v>RS-00537</x:v>
      </x:c>
      <x:c r="C538" s="8" t="n">
        <x:v>45327</x:v>
      </x:c>
      <x:c r="D538" s="4" t="str">
        <x:v>Sales operations manager</x:v>
      </x:c>
      <x:c r="E538" s="4" t="str">
        <x:v>WhatsApp transcribed</x:v>
      </x:c>
      <x:c r="F538" s="4" t="str">
        <x:v>Record captured</x:v>
      </x:c>
      <x:c r="G538" s="4" t="str">
        <x:v>Handed over</x:v>
      </x:c>
    </x:row>
    <x:row r="539" ht="34" customHeight="1">
      <x:c r="A539" s="4" t="str">
        <x:v>RS-00538-E1</x:v>
      </x:c>
      <x:c r="B539" s="4" t="str">
        <x:v>RS-00538</x:v>
      </x:c>
      <x:c r="C539" s="8" t="n">
        <x:v>45328</x:v>
      </x:c>
      <x:c r="D539" s="4" t="str">
        <x:v>Sales operations manager</x:v>
      </x:c>
      <x:c r="E539" s="4" t="str">
        <x:v>Spreadsheet import</x:v>
      </x:c>
      <x:c r="F539" s="4" t="str">
        <x:v>Record captured</x:v>
      </x:c>
      <x:c r="G539" s="4" t="str">
        <x:v>Agreement signed</x:v>
      </x:c>
    </x:row>
    <x:row r="540" ht="34" customHeight="1">
      <x:c r="A540" s="4" t="str">
        <x:v>RS-00539-E1</x:v>
      </x:c>
      <x:c r="B540" s="4" t="str">
        <x:v>RS-00539</x:v>
      </x:c>
      <x:c r="C540" s="8" t="n">
        <x:v>45329</x:v>
      </x:c>
      <x:c r="D540" s="4" t="str">
        <x:v>Sales operations manager</x:v>
      </x:c>
      <x:c r="E540" s="4" t="str">
        <x:v>Spreadsheet import</x:v>
      </x:c>
      <x:c r="F540" s="4" t="str">
        <x:v>Record captured</x:v>
      </x:c>
      <x:c r="G540" s="4" t="str">
        <x:v>Agreement signed</x:v>
      </x:c>
    </x:row>
    <x:row r="541" ht="34" customHeight="1">
      <x:c r="A541" s="4" t="str">
        <x:v>RS-00540-E1</x:v>
      </x:c>
      <x:c r="B541" s="4" t="str">
        <x:v>RS-00540</x:v>
      </x:c>
      <x:c r="C541" s="8" t="n">
        <x:v>45330</x:v>
      </x:c>
      <x:c r="D541" s="4" t="str">
        <x:v>Sales operations manager</x:v>
      </x:c>
      <x:c r="E541" s="4" t="str">
        <x:v>Spreadsheet import</x:v>
      </x:c>
      <x:c r="F541" s="4" t="str">
        <x:v>Record captured</x:v>
      </x:c>
      <x:c r="G541" s="4" t="str">
        <x:v>Booked</x:v>
      </x:c>
    </x:row>
    <x:row r="542" ht="34" customHeight="1">
      <x:c r="A542" s="4" t="str">
        <x:v>RS-00541-E1</x:v>
      </x:c>
      <x:c r="B542" s="4" t="str">
        <x:v>RS-00541</x:v>
      </x:c>
      <x:c r="C542" s="8" t="n">
        <x:v>45331</x:v>
      </x:c>
      <x:c r="D542" s="4" t="str">
        <x:v>Sales operations manager</x:v>
      </x:c>
      <x:c r="E542" s="4" t="str">
        <x:v>Spreadsheet import</x:v>
      </x:c>
      <x:c r="F542" s="4" t="str">
        <x:v>Record captured</x:v>
      </x:c>
      <x:c r="G542" s="4" t="str">
        <x:v>Cancelled</x:v>
      </x:c>
    </x:row>
    <x:row r="543" ht="34" customHeight="1">
      <x:c r="A543" s="4" t="str">
        <x:v>RS-00542-E1</x:v>
      </x:c>
      <x:c r="B543" s="4" t="str">
        <x:v>RS-00542</x:v>
      </x:c>
      <x:c r="C543" s="8" t="n">
        <x:v>45332</x:v>
      </x:c>
      <x:c r="D543" s="4" t="str">
        <x:v>Sales operations manager</x:v>
      </x:c>
      <x:c r="E543" s="4" t="str">
        <x:v>Paper transcribed</x:v>
      </x:c>
      <x:c r="F543" s="4" t="str">
        <x:v>Record captured</x:v>
      </x:c>
      <x:c r="G543" s="4" t="str">
        <x:v>Enquiry</x:v>
      </x:c>
    </x:row>
    <x:row r="544" ht="34" customHeight="1">
      <x:c r="A544" s="4" t="str">
        <x:v>RS-00543-E1</x:v>
      </x:c>
      <x:c r="B544" s="4" t="str">
        <x:v>RS-00543</x:v>
      </x:c>
      <x:c r="C544" s="8" t="n">
        <x:v>45333</x:v>
      </x:c>
      <x:c r="D544" s="4" t="str">
        <x:v>Sales operations manager</x:v>
      </x:c>
      <x:c r="E544" s="4" t="str">
        <x:v>Spreadsheet import</x:v>
      </x:c>
      <x:c r="F544" s="4" t="str">
        <x:v>Record captured</x:v>
      </x:c>
      <x:c r="G544" s="4" t="str">
        <x:v>Cancelled</x:v>
      </x:c>
    </x:row>
    <x:row r="545" ht="34" customHeight="1">
      <x:c r="A545" s="4" t="str">
        <x:v>RS-00544-E1</x:v>
      </x:c>
      <x:c r="B545" s="4" t="str">
        <x:v>RS-00544</x:v>
      </x:c>
      <x:c r="C545" s="8" t="n">
        <x:v>45334</x:v>
      </x:c>
      <x:c r="D545" s="4" t="str">
        <x:v>Sales operations manager</x:v>
      </x:c>
      <x:c r="E545" s="4" t="str">
        <x:v>ERP form</x:v>
      </x:c>
      <x:c r="F545" s="4" t="str">
        <x:v>Record captured</x:v>
      </x:c>
      <x:c r="G545" s="4" t="str">
        <x:v>Enquiry</x:v>
      </x:c>
    </x:row>
    <x:row r="546" ht="34" customHeight="1">
      <x:c r="A546" s="4" t="str">
        <x:v>RS-00545-E1</x:v>
      </x:c>
      <x:c r="B546" s="4" t="str">
        <x:v>RS-00545</x:v>
      </x:c>
      <x:c r="C546" s="8" t="n">
        <x:v>45335</x:v>
      </x:c>
      <x:c r="D546" s="4" t="str">
        <x:v>Sales operations manager</x:v>
      </x:c>
      <x:c r="E546" s="4" t="str">
        <x:v>WhatsApp transcribed</x:v>
      </x:c>
      <x:c r="F546" s="4" t="str">
        <x:v>Record captured</x:v>
      </x:c>
      <x:c r="G546" s="4" t="str">
        <x:v>Handed over</x:v>
      </x:c>
    </x:row>
    <x:row r="547" ht="34" customHeight="1">
      <x:c r="A547" s="4" t="str">
        <x:v>RS-00546-E1</x:v>
      </x:c>
      <x:c r="B547" s="4" t="str">
        <x:v>RS-00546</x:v>
      </x:c>
      <x:c r="C547" s="8" t="n">
        <x:v>45336</x:v>
      </x:c>
      <x:c r="D547" s="4" t="str">
        <x:v>Sales operations manager</x:v>
      </x:c>
      <x:c r="E547" s="4" t="str">
        <x:v>Paper transcribed</x:v>
      </x:c>
      <x:c r="F547" s="4" t="str">
        <x:v>Record captured</x:v>
      </x:c>
      <x:c r="G547" s="4" t="str">
        <x:v>Enquiry</x:v>
      </x:c>
    </x:row>
    <x:row r="548" ht="34" customHeight="1">
      <x:c r="A548" s="4" t="str">
        <x:v>RS-00547-E1</x:v>
      </x:c>
      <x:c r="B548" s="4" t="str">
        <x:v>RS-00547</x:v>
      </x:c>
      <x:c r="C548" s="8" t="n">
        <x:v>45337</x:v>
      </x:c>
      <x:c r="D548" s="4" t="str">
        <x:v>Sales operations manager</x:v>
      </x:c>
      <x:c r="E548" s="4" t="str">
        <x:v>WhatsApp transcribed</x:v>
      </x:c>
      <x:c r="F548" s="4" t="str">
        <x:v>Record captured</x:v>
      </x:c>
      <x:c r="G548" s="4" t="str">
        <x:v>Booked</x:v>
      </x:c>
    </x:row>
    <x:row r="549" ht="34" customHeight="1">
      <x:c r="A549" s="4" t="str">
        <x:v>RS-00548-E1</x:v>
      </x:c>
      <x:c r="B549" s="4" t="str">
        <x:v>RS-00548</x:v>
      </x:c>
      <x:c r="C549" s="8" t="n">
        <x:v>45338</x:v>
      </x:c>
      <x:c r="D549" s="4" t="str">
        <x:v>Sales operations manager</x:v>
      </x:c>
      <x:c r="E549" s="4" t="str">
        <x:v>WhatsApp transcribed</x:v>
      </x:c>
      <x:c r="F549" s="4" t="str">
        <x:v>Record captured</x:v>
      </x:c>
      <x:c r="G549" s="4" t="str">
        <x:v>Handed over</x:v>
      </x:c>
    </x:row>
    <x:row r="550" ht="34" customHeight="1">
      <x:c r="A550" s="4" t="str">
        <x:v>RS-00549-E1</x:v>
      </x:c>
      <x:c r="B550" s="4" t="str">
        <x:v>RS-00549</x:v>
      </x:c>
      <x:c r="C550" s="8" t="n">
        <x:v>45339</x:v>
      </x:c>
      <x:c r="D550" s="4" t="str">
        <x:v>Sales operations manager</x:v>
      </x:c>
      <x:c r="E550" s="4" t="str">
        <x:v>ERP form</x:v>
      </x:c>
      <x:c r="F550" s="4" t="str">
        <x:v>Record captured</x:v>
      </x:c>
      <x:c r="G550" s="4" t="str">
        <x:v>Cancelled</x:v>
      </x:c>
    </x:row>
    <x:row r="551" ht="34" customHeight="1">
      <x:c r="A551" s="4" t="str">
        <x:v>RS-00550-E1</x:v>
      </x:c>
      <x:c r="B551" s="4" t="str">
        <x:v>RS-00550</x:v>
      </x:c>
      <x:c r="C551" s="8" t="n">
        <x:v>45340</x:v>
      </x:c>
      <x:c r="D551" s="4" t="str">
        <x:v>Sales operations manager</x:v>
      </x:c>
      <x:c r="E551" s="4" t="str">
        <x:v>Paper transcribed</x:v>
      </x:c>
      <x:c r="F551" s="4" t="str">
        <x:v>Record captured</x:v>
      </x:c>
      <x:c r="G551" s="4" t="str">
        <x:v>Reserved</x:v>
      </x:c>
    </x:row>
    <x:row r="552" ht="34" customHeight="1">
      <x:c r="A552" s="4" t="str">
        <x:v>RS-00551-E1</x:v>
      </x:c>
      <x:c r="B552" s="4" t="str">
        <x:v>RS-00551</x:v>
      </x:c>
      <x:c r="C552" s="8" t="n">
        <x:v>45341</x:v>
      </x:c>
      <x:c r="D552" s="4" t="str">
        <x:v>Sales operations manager</x:v>
      </x:c>
      <x:c r="E552" s="4" t="str">
        <x:v>Spreadsheet import</x:v>
      </x:c>
      <x:c r="F552" s="4" t="str">
        <x:v>Record captured</x:v>
      </x:c>
      <x:c r="G552" s="4" t="str">
        <x:v>Enquiry</x:v>
      </x:c>
    </x:row>
    <x:row r="553" ht="34" customHeight="1">
      <x:c r="A553" s="4" t="str">
        <x:v>RS-00552-E1</x:v>
      </x:c>
      <x:c r="B553" s="4" t="str">
        <x:v>RS-00552</x:v>
      </x:c>
      <x:c r="C553" s="8" t="n">
        <x:v>45342</x:v>
      </x:c>
      <x:c r="D553" s="4" t="str">
        <x:v>Sales operations manager</x:v>
      </x:c>
      <x:c r="E553" s="4" t="str">
        <x:v>Spreadsheet import</x:v>
      </x:c>
      <x:c r="F553" s="4" t="str">
        <x:v>Record captured</x:v>
      </x:c>
      <x:c r="G553" s="4" t="str">
        <x:v>Handed over</x:v>
      </x:c>
    </x:row>
    <x:row r="554" ht="34" customHeight="1">
      <x:c r="A554" s="4" t="str">
        <x:v>RS-00553-E1</x:v>
      </x:c>
      <x:c r="B554" s="4" t="str">
        <x:v>RS-00553</x:v>
      </x:c>
      <x:c r="C554" s="8" t="n">
        <x:v>45343</x:v>
      </x:c>
      <x:c r="D554" s="4" t="str">
        <x:v>Sales operations manager</x:v>
      </x:c>
      <x:c r="E554" s="4" t="str">
        <x:v>WhatsApp transcribed</x:v>
      </x:c>
      <x:c r="F554" s="4" t="str">
        <x:v>Record captured</x:v>
      </x:c>
      <x:c r="G554" s="4" t="str">
        <x:v>Enquiry</x:v>
      </x:c>
    </x:row>
    <x:row r="555" ht="34" customHeight="1">
      <x:c r="A555" s="4" t="str">
        <x:v>RS-00554-E1</x:v>
      </x:c>
      <x:c r="B555" s="4" t="str">
        <x:v>RS-00554</x:v>
      </x:c>
      <x:c r="C555" s="8" t="n">
        <x:v>45344</x:v>
      </x:c>
      <x:c r="D555" s="4" t="str">
        <x:v>Sales operations manager</x:v>
      </x:c>
      <x:c r="E555" s="4" t="str">
        <x:v>Paper transcribed</x:v>
      </x:c>
      <x:c r="F555" s="4" t="str">
        <x:v>Record captured</x:v>
      </x:c>
      <x:c r="G555" s="4" t="str">
        <x:v>Enquiry</x:v>
      </x:c>
    </x:row>
    <x:row r="556" ht="34" customHeight="1">
      <x:c r="A556" s="4" t="str">
        <x:v>RS-00555-E1</x:v>
      </x:c>
      <x:c r="B556" s="4" t="str">
        <x:v>RS-00555</x:v>
      </x:c>
      <x:c r="C556" s="8" t="n">
        <x:v>45345</x:v>
      </x:c>
      <x:c r="D556" s="4" t="str">
        <x:v>Sales operations manager</x:v>
      </x:c>
      <x:c r="E556" s="4" t="str">
        <x:v>Paper transcribed</x:v>
      </x:c>
      <x:c r="F556" s="4" t="str">
        <x:v>Record captured</x:v>
      </x:c>
      <x:c r="G556" s="4" t="str">
        <x:v>Enquiry</x:v>
      </x:c>
    </x:row>
    <x:row r="557" ht="34" customHeight="1">
      <x:c r="A557" s="4" t="str">
        <x:v>RS-00556-E1</x:v>
      </x:c>
      <x:c r="B557" s="4" t="str">
        <x:v>RS-00556</x:v>
      </x:c>
      <x:c r="C557" s="8" t="n">
        <x:v>45346</x:v>
      </x:c>
      <x:c r="D557" s="4" t="str">
        <x:v>Sales operations manager</x:v>
      </x:c>
      <x:c r="E557" s="4" t="str">
        <x:v>WhatsApp transcribed</x:v>
      </x:c>
      <x:c r="F557" s="4" t="str">
        <x:v>Record captured</x:v>
      </x:c>
      <x:c r="G557" s="4" t="str">
        <x:v>Enquiry</x:v>
      </x:c>
    </x:row>
    <x:row r="558" ht="34" customHeight="1">
      <x:c r="A558" s="4" t="str">
        <x:v>RS-00557-E1</x:v>
      </x:c>
      <x:c r="B558" s="4" t="str">
        <x:v>RS-00557</x:v>
      </x:c>
      <x:c r="C558" s="8" t="n">
        <x:v>45347</x:v>
      </x:c>
      <x:c r="D558" s="4" t="str">
        <x:v>Sales operations manager</x:v>
      </x:c>
      <x:c r="E558" s="4" t="str">
        <x:v>Spreadsheet import</x:v>
      </x:c>
      <x:c r="F558" s="4" t="str">
        <x:v>Record captured</x:v>
      </x:c>
      <x:c r="G558" s="4" t="str">
        <x:v>Reserved</x:v>
      </x:c>
    </x:row>
    <x:row r="559" ht="34" customHeight="1">
      <x:c r="A559" s="4" t="str">
        <x:v>RS-00558-E1</x:v>
      </x:c>
      <x:c r="B559" s="4" t="str">
        <x:v>RS-00558</x:v>
      </x:c>
      <x:c r="C559" s="8" t="n">
        <x:v>45348</x:v>
      </x:c>
      <x:c r="D559" s="4" t="str">
        <x:v>Sales operations manager</x:v>
      </x:c>
      <x:c r="E559" s="4" t="str">
        <x:v>WhatsApp transcribed</x:v>
      </x:c>
      <x:c r="F559" s="4" t="str">
        <x:v>Record captured</x:v>
      </x:c>
      <x:c r="G559" s="4" t="str">
        <x:v>Booked</x:v>
      </x:c>
    </x:row>
    <x:row r="560" ht="34" customHeight="1">
      <x:c r="A560" s="4" t="str">
        <x:v>RS-00559-E1</x:v>
      </x:c>
      <x:c r="B560" s="4" t="str">
        <x:v>RS-00559</x:v>
      </x:c>
      <x:c r="C560" s="8" t="n">
        <x:v>45349</x:v>
      </x:c>
      <x:c r="D560" s="4" t="str">
        <x:v>Sales operations manager</x:v>
      </x:c>
      <x:c r="E560" s="4" t="str">
        <x:v>Spreadsheet import</x:v>
      </x:c>
      <x:c r="F560" s="4" t="str">
        <x:v>Record captured</x:v>
      </x:c>
      <x:c r="G560" s="4" t="str">
        <x:v>Cancelled</x:v>
      </x:c>
    </x:row>
    <x:row r="561" ht="34" customHeight="1">
      <x:c r="A561" s="4" t="str">
        <x:v>RS-00560-E1</x:v>
      </x:c>
      <x:c r="B561" s="4" t="str">
        <x:v>RS-00560</x:v>
      </x:c>
      <x:c r="C561" s="8" t="n">
        <x:v>45350</x:v>
      </x:c>
      <x:c r="D561" s="4" t="str">
        <x:v>Sales operations manager</x:v>
      </x:c>
      <x:c r="E561" s="4" t="str">
        <x:v>Spreadsheet import</x:v>
      </x:c>
      <x:c r="F561" s="4" t="str">
        <x:v>Record captured</x:v>
      </x:c>
      <x:c r="G561" s="4" t="str">
        <x:v>Reserved</x:v>
      </x:c>
    </x:row>
    <x:row r="562" ht="34" customHeight="1">
      <x:c r="A562" s="4" t="str">
        <x:v>RS-00561-E1</x:v>
      </x:c>
      <x:c r="B562" s="4" t="str">
        <x:v>RS-00561</x:v>
      </x:c>
      <x:c r="C562" s="8" t="n">
        <x:v>45323</x:v>
      </x:c>
      <x:c r="D562" s="4" t="str">
        <x:v>Sales operations manager</x:v>
      </x:c>
      <x:c r="E562" s="4" t="str">
        <x:v>WhatsApp transcribed</x:v>
      </x:c>
      <x:c r="F562" s="4" t="str">
        <x:v>Record captured</x:v>
      </x:c>
      <x:c r="G562" s="4" t="str">
        <x:v>Enquiry</x:v>
      </x:c>
    </x:row>
    <x:row r="563" ht="34" customHeight="1">
      <x:c r="A563" s="4" t="str">
        <x:v>RS-00562-E1</x:v>
      </x:c>
      <x:c r="B563" s="4" t="str">
        <x:v>RS-00562</x:v>
      </x:c>
      <x:c r="C563" s="8" t="n">
        <x:v>45324</x:v>
      </x:c>
      <x:c r="D563" s="4" t="str">
        <x:v>Sales operations manager</x:v>
      </x:c>
      <x:c r="E563" s="4" t="str">
        <x:v>ERP form</x:v>
      </x:c>
      <x:c r="F563" s="4" t="str">
        <x:v>Record captured</x:v>
      </x:c>
      <x:c r="G563" s="4" t="str">
        <x:v>Agreement signed</x:v>
      </x:c>
    </x:row>
    <x:row r="564" ht="34" customHeight="1">
      <x:c r="A564" s="4" t="str">
        <x:v>RS-00563-E1</x:v>
      </x:c>
      <x:c r="B564" s="4" t="str">
        <x:v>RS-00563</x:v>
      </x:c>
      <x:c r="C564" s="8" t="n">
        <x:v>45325</x:v>
      </x:c>
      <x:c r="D564" s="4" t="str">
        <x:v>Sales operations manager</x:v>
      </x:c>
      <x:c r="E564" s="4" t="str">
        <x:v>WhatsApp transcribed</x:v>
      </x:c>
      <x:c r="F564" s="4" t="str">
        <x:v>Record captured</x:v>
      </x:c>
      <x:c r="G564" s="4" t="str">
        <x:v>Enquiry</x:v>
      </x:c>
    </x:row>
    <x:row r="565" ht="34" customHeight="1">
      <x:c r="A565" s="4" t="str">
        <x:v>RS-00564-E1</x:v>
      </x:c>
      <x:c r="B565" s="4" t="str">
        <x:v>RS-00564</x:v>
      </x:c>
      <x:c r="C565" s="8" t="n">
        <x:v>45326</x:v>
      </x:c>
      <x:c r="D565" s="4" t="str">
        <x:v>Sales operations manager</x:v>
      </x:c>
      <x:c r="E565" s="4" t="str">
        <x:v>ERP form</x:v>
      </x:c>
      <x:c r="F565" s="4" t="str">
        <x:v>Record captured</x:v>
      </x:c>
      <x:c r="G565" s="4" t="str">
        <x:v>Reserved</x:v>
      </x:c>
    </x:row>
    <x:row r="566" ht="34" customHeight="1">
      <x:c r="A566" s="4" t="str">
        <x:v>RS-00565-E1</x:v>
      </x:c>
      <x:c r="B566" s="4" t="str">
        <x:v>RS-00565</x:v>
      </x:c>
      <x:c r="C566" s="8" t="n">
        <x:v>45327</x:v>
      </x:c>
      <x:c r="D566" s="4" t="str">
        <x:v>Sales operations manager</x:v>
      </x:c>
      <x:c r="E566" s="4" t="str">
        <x:v>ERP form</x:v>
      </x:c>
      <x:c r="F566" s="4" t="str">
        <x:v>Record captured</x:v>
      </x:c>
      <x:c r="G566" s="4" t="str">
        <x:v>Handed over</x:v>
      </x:c>
    </x:row>
    <x:row r="567" ht="34" customHeight="1">
      <x:c r="A567" s="4" t="str">
        <x:v>RS-00566-E1</x:v>
      </x:c>
      <x:c r="B567" s="4" t="str">
        <x:v>RS-00566</x:v>
      </x:c>
      <x:c r="C567" s="8" t="n">
        <x:v>45328</x:v>
      </x:c>
      <x:c r="D567" s="4" t="str">
        <x:v>Sales operations manager</x:v>
      </x:c>
      <x:c r="E567" s="4" t="str">
        <x:v>WhatsApp transcribed</x:v>
      </x:c>
      <x:c r="F567" s="4" t="str">
        <x:v>Record captured</x:v>
      </x:c>
      <x:c r="G567" s="4" t="str">
        <x:v>Reserved</x:v>
      </x:c>
    </x:row>
    <x:row r="568" ht="34" customHeight="1">
      <x:c r="A568" s="4" t="str">
        <x:v>RS-00567-E1</x:v>
      </x:c>
      <x:c r="B568" s="4" t="str">
        <x:v>RS-00567</x:v>
      </x:c>
      <x:c r="C568" s="8" t="n">
        <x:v>45329</x:v>
      </x:c>
      <x:c r="D568" s="4" t="str">
        <x:v>Sales operations manager</x:v>
      </x:c>
      <x:c r="E568" s="4" t="str">
        <x:v>ERP form</x:v>
      </x:c>
      <x:c r="F568" s="4" t="str">
        <x:v>Record captured</x:v>
      </x:c>
      <x:c r="G568" s="4" t="str">
        <x:v>Enquiry</x:v>
      </x:c>
    </x:row>
    <x:row r="569" ht="34" customHeight="1">
      <x:c r="A569" s="4" t="str">
        <x:v>RS-00568-E1</x:v>
      </x:c>
      <x:c r="B569" s="4" t="str">
        <x:v>RS-00568</x:v>
      </x:c>
      <x:c r="C569" s="8" t="n">
        <x:v>45330</x:v>
      </x:c>
      <x:c r="D569" s="4" t="str">
        <x:v>Sales operations manager</x:v>
      </x:c>
      <x:c r="E569" s="4" t="str">
        <x:v>WhatsApp transcribed</x:v>
      </x:c>
      <x:c r="F569" s="4" t="str">
        <x:v>Record captured</x:v>
      </x:c>
      <x:c r="G569" s="4" t="str">
        <x:v>Booked</x:v>
      </x:c>
    </x:row>
    <x:row r="570" ht="34" customHeight="1">
      <x:c r="A570" s="4" t="str">
        <x:v>RS-00569-E1</x:v>
      </x:c>
      <x:c r="B570" s="4" t="str">
        <x:v>RS-00569</x:v>
      </x:c>
      <x:c r="C570" s="8" t="n">
        <x:v>45331</x:v>
      </x:c>
      <x:c r="D570" s="4" t="str">
        <x:v>Sales operations manager</x:v>
      </x:c>
      <x:c r="E570" s="4" t="str">
        <x:v>Paper transcribed</x:v>
      </x:c>
      <x:c r="F570" s="4" t="str">
        <x:v>Record captured</x:v>
      </x:c>
      <x:c r="G570" s="4" t="str">
        <x:v>Cancelled</x:v>
      </x:c>
    </x:row>
    <x:row r="571" ht="34" customHeight="1">
      <x:c r="A571" s="4" t="str">
        <x:v>RS-00570-E1</x:v>
      </x:c>
      <x:c r="B571" s="4" t="str">
        <x:v>RS-00570</x:v>
      </x:c>
      <x:c r="C571" s="8" t="n">
        <x:v>45332</x:v>
      </x:c>
      <x:c r="D571" s="4" t="str">
        <x:v>Sales operations manager</x:v>
      </x:c>
      <x:c r="E571" s="4" t="str">
        <x:v>ERP form</x:v>
      </x:c>
      <x:c r="F571" s="4" t="str">
        <x:v>Record captured</x:v>
      </x:c>
      <x:c r="G571" s="4" t="str">
        <x:v>Booked</x:v>
      </x:c>
    </x:row>
    <x:row r="572" ht="34" customHeight="1">
      <x:c r="A572" s="4" t="str">
        <x:v>RS-00571-E1</x:v>
      </x:c>
      <x:c r="B572" s="4" t="str">
        <x:v>RS-00571</x:v>
      </x:c>
      <x:c r="C572" s="8" t="n">
        <x:v>45333</x:v>
      </x:c>
      <x:c r="D572" s="4" t="str">
        <x:v>Sales operations manager</x:v>
      </x:c>
      <x:c r="E572" s="4" t="str">
        <x:v>WhatsApp transcribed</x:v>
      </x:c>
      <x:c r="F572" s="4" t="str">
        <x:v>Record captured</x:v>
      </x:c>
      <x:c r="G572" s="4" t="str">
        <x:v>Reserved</x:v>
      </x:c>
    </x:row>
    <x:row r="573" ht="34" customHeight="1">
      <x:c r="A573" s="4" t="str">
        <x:v>RS-00572-E1</x:v>
      </x:c>
      <x:c r="B573" s="4" t="str">
        <x:v>RS-00572</x:v>
      </x:c>
      <x:c r="C573" s="8" t="n">
        <x:v>45334</x:v>
      </x:c>
      <x:c r="D573" s="4" t="str">
        <x:v>Sales operations manager</x:v>
      </x:c>
      <x:c r="E573" s="4" t="str">
        <x:v>Spreadsheet import</x:v>
      </x:c>
      <x:c r="F573" s="4" t="str">
        <x:v>Record captured</x:v>
      </x:c>
      <x:c r="G573" s="4" t="str">
        <x:v>Handed over</x:v>
      </x:c>
    </x:row>
    <x:row r="574" ht="34" customHeight="1">
      <x:c r="A574" s="4" t="str">
        <x:v>RS-00573-E1</x:v>
      </x:c>
      <x:c r="B574" s="4" t="str">
        <x:v>RS-00573</x:v>
      </x:c>
      <x:c r="C574" s="8" t="n">
        <x:v>45335</x:v>
      </x:c>
      <x:c r="D574" s="4" t="str">
        <x:v>Sales operations manager</x:v>
      </x:c>
      <x:c r="E574" s="4" t="str">
        <x:v>ERP form</x:v>
      </x:c>
      <x:c r="F574" s="4" t="str">
        <x:v>Record captured</x:v>
      </x:c>
      <x:c r="G574" s="4" t="str">
        <x:v>Booked</x:v>
      </x:c>
    </x:row>
    <x:row r="575" ht="34" customHeight="1">
      <x:c r="A575" s="4" t="str">
        <x:v>RS-00574-E1</x:v>
      </x:c>
      <x:c r="B575" s="4" t="str">
        <x:v>RS-00574</x:v>
      </x:c>
      <x:c r="C575" s="8" t="n">
        <x:v>45336</x:v>
      </x:c>
      <x:c r="D575" s="4" t="str">
        <x:v>Sales operations manager</x:v>
      </x:c>
      <x:c r="E575" s="4" t="str">
        <x:v>WhatsApp transcribed</x:v>
      </x:c>
      <x:c r="F575" s="4" t="str">
        <x:v>Record captured</x:v>
      </x:c>
      <x:c r="G575" s="4" t="str">
        <x:v>Enquiry</x:v>
      </x:c>
    </x:row>
    <x:row r="576" ht="34" customHeight="1">
      <x:c r="A576" s="4" t="str">
        <x:v>RS-00575-E1</x:v>
      </x:c>
      <x:c r="B576" s="4" t="str">
        <x:v>RS-00575</x:v>
      </x:c>
      <x:c r="C576" s="8" t="n">
        <x:v>45337</x:v>
      </x:c>
      <x:c r="D576" s="4" t="str">
        <x:v>Sales operations manager</x:v>
      </x:c>
      <x:c r="E576" s="4" t="str">
        <x:v>WhatsApp transcribed</x:v>
      </x:c>
      <x:c r="F576" s="4" t="str">
        <x:v>Record captured</x:v>
      </x:c>
      <x:c r="G576" s="4" t="str">
        <x:v>Agreement signed</x:v>
      </x:c>
    </x:row>
    <x:row r="577" ht="34" customHeight="1">
      <x:c r="A577" s="4" t="str">
        <x:v>RS-00576-E1</x:v>
      </x:c>
      <x:c r="B577" s="4" t="str">
        <x:v>RS-00576</x:v>
      </x:c>
      <x:c r="C577" s="8" t="n">
        <x:v>45338</x:v>
      </x:c>
      <x:c r="D577" s="4" t="str">
        <x:v>Sales operations manager</x:v>
      </x:c>
      <x:c r="E577" s="4" t="str">
        <x:v>ERP form</x:v>
      </x:c>
      <x:c r="F577" s="4" t="str">
        <x:v>Record captured</x:v>
      </x:c>
      <x:c r="G577" s="4" t="str">
        <x:v>Handed over</x:v>
      </x:c>
    </x:row>
    <x:row r="578" ht="34" customHeight="1">
      <x:c r="A578" s="4" t="str">
        <x:v>RS-00577-E1</x:v>
      </x:c>
      <x:c r="B578" s="4" t="str">
        <x:v>RS-00577</x:v>
      </x:c>
      <x:c r="C578" s="8" t="n">
        <x:v>45339</x:v>
      </x:c>
      <x:c r="D578" s="4" t="str">
        <x:v>Sales operations manager</x:v>
      </x:c>
      <x:c r="E578" s="4" t="str">
        <x:v>Paper transcribed</x:v>
      </x:c>
      <x:c r="F578" s="4" t="str">
        <x:v>Record captured</x:v>
      </x:c>
      <x:c r="G578" s="4" t="str">
        <x:v>Cancelled</x:v>
      </x:c>
    </x:row>
    <x:row r="579" ht="34" customHeight="1">
      <x:c r="A579" s="4" t="str">
        <x:v>RS-00578-E1</x:v>
      </x:c>
      <x:c r="B579" s="4" t="str">
        <x:v>RS-00578</x:v>
      </x:c>
      <x:c r="C579" s="8" t="n">
        <x:v>45340</x:v>
      </x:c>
      <x:c r="D579" s="4" t="str">
        <x:v>Sales operations manager</x:v>
      </x:c>
      <x:c r="E579" s="4" t="str">
        <x:v>WhatsApp transcribed</x:v>
      </x:c>
      <x:c r="F579" s="4" t="str">
        <x:v>Record captured</x:v>
      </x:c>
      <x:c r="G579" s="4" t="str">
        <x:v>Cancelled</x:v>
      </x:c>
    </x:row>
    <x:row r="580" ht="34" customHeight="1">
      <x:c r="A580" s="4" t="str">
        <x:v>RS-00579-E1</x:v>
      </x:c>
      <x:c r="B580" s="4" t="str">
        <x:v>RS-00579</x:v>
      </x:c>
      <x:c r="C580" s="8" t="n">
        <x:v>45341</x:v>
      </x:c>
      <x:c r="D580" s="4" t="str">
        <x:v>Sales operations manager</x:v>
      </x:c>
      <x:c r="E580" s="4" t="str">
        <x:v>Spreadsheet import</x:v>
      </x:c>
      <x:c r="F580" s="4" t="str">
        <x:v>Record captured</x:v>
      </x:c>
      <x:c r="G580" s="4" t="str">
        <x:v>Agreement signed</x:v>
      </x:c>
    </x:row>
    <x:row r="581" ht="34" customHeight="1">
      <x:c r="A581" s="4" t="str">
        <x:v>RS-00580-E1</x:v>
      </x:c>
      <x:c r="B581" s="4" t="str">
        <x:v>RS-00580</x:v>
      </x:c>
      <x:c r="C581" s="8" t="n">
        <x:v>45342</x:v>
      </x:c>
      <x:c r="D581" s="4" t="str">
        <x:v>Sales operations manager</x:v>
      </x:c>
      <x:c r="E581" s="4" t="str">
        <x:v>WhatsApp transcribed</x:v>
      </x:c>
      <x:c r="F581" s="4" t="str">
        <x:v>Record captured</x:v>
      </x:c>
      <x:c r="G581" s="4" t="str">
        <x:v>Agreement signed</x:v>
      </x:c>
    </x:row>
    <x:row r="582" ht="34" customHeight="1">
      <x:c r="A582" s="4" t="str">
        <x:v>RS-00581-E1</x:v>
      </x:c>
      <x:c r="B582" s="4" t="str">
        <x:v>RS-00581</x:v>
      </x:c>
      <x:c r="C582" s="8" t="n">
        <x:v>45343</x:v>
      </x:c>
      <x:c r="D582" s="4" t="str">
        <x:v>Sales operations manager</x:v>
      </x:c>
      <x:c r="E582" s="4" t="str">
        <x:v>Paper transcribed</x:v>
      </x:c>
      <x:c r="F582" s="4" t="str">
        <x:v>Record captured</x:v>
      </x:c>
      <x:c r="G582" s="4" t="str">
        <x:v>Cancelled</x:v>
      </x:c>
    </x:row>
    <x:row r="583" ht="34" customHeight="1">
      <x:c r="A583" s="4" t="str">
        <x:v>RS-00582-E1</x:v>
      </x:c>
      <x:c r="B583" s="4" t="str">
        <x:v>RS-00582</x:v>
      </x:c>
      <x:c r="C583" s="8" t="n">
        <x:v>45344</x:v>
      </x:c>
      <x:c r="D583" s="4" t="str">
        <x:v>Sales operations manager</x:v>
      </x:c>
      <x:c r="E583" s="4" t="str">
        <x:v>WhatsApp transcribed</x:v>
      </x:c>
      <x:c r="F583" s="4" t="str">
        <x:v>Record captured</x:v>
      </x:c>
      <x:c r="G583" s="4" t="str">
        <x:v>Agreement signed</x:v>
      </x:c>
    </x:row>
    <x:row r="584" ht="34" customHeight="1">
      <x:c r="A584" s="4" t="str">
        <x:v>RS-00583-E1</x:v>
      </x:c>
      <x:c r="B584" s="4" t="str">
        <x:v>RS-00583</x:v>
      </x:c>
      <x:c r="C584" s="8" t="n">
        <x:v>45345</x:v>
      </x:c>
      <x:c r="D584" s="4" t="str">
        <x:v>Sales operations manager</x:v>
      </x:c>
      <x:c r="E584" s="4" t="str">
        <x:v>WhatsApp transcribed</x:v>
      </x:c>
      <x:c r="F584" s="4" t="str">
        <x:v>Record captured</x:v>
      </x:c>
      <x:c r="G584" s="4" t="str">
        <x:v>Handed over</x:v>
      </x:c>
    </x:row>
    <x:row r="585" ht="34" customHeight="1">
      <x:c r="A585" s="4" t="str">
        <x:v>RS-00584-E1</x:v>
      </x:c>
      <x:c r="B585" s="4" t="str">
        <x:v>RS-00584</x:v>
      </x:c>
      <x:c r="C585" s="8" t="n">
        <x:v>45346</x:v>
      </x:c>
      <x:c r="D585" s="4" t="str">
        <x:v>Sales operations manager</x:v>
      </x:c>
      <x:c r="E585" s="4" t="str">
        <x:v>Spreadsheet import</x:v>
      </x:c>
      <x:c r="F585" s="4" t="str">
        <x:v>Record captured</x:v>
      </x:c>
      <x:c r="G585" s="4" t="str">
        <x:v>Cancelled</x:v>
      </x:c>
    </x:row>
    <x:row r="586" ht="34" customHeight="1">
      <x:c r="A586" s="4" t="str">
        <x:v>RS-00585-E1</x:v>
      </x:c>
      <x:c r="B586" s="4" t="str">
        <x:v>RS-00585</x:v>
      </x:c>
      <x:c r="C586" s="8" t="n">
        <x:v>45347</x:v>
      </x:c>
      <x:c r="D586" s="4" t="str">
        <x:v>Sales operations manager</x:v>
      </x:c>
      <x:c r="E586" s="4" t="str">
        <x:v>WhatsApp transcribed</x:v>
      </x:c>
      <x:c r="F586" s="4" t="str">
        <x:v>Record captured</x:v>
      </x:c>
      <x:c r="G586" s="4" t="str">
        <x:v>Enquiry</x:v>
      </x:c>
    </x:row>
    <x:row r="587" ht="34" customHeight="1">
      <x:c r="A587" s="4" t="str">
        <x:v>RS-00586-E1</x:v>
      </x:c>
      <x:c r="B587" s="4" t="str">
        <x:v>RS-00586</x:v>
      </x:c>
      <x:c r="C587" s="8" t="n">
        <x:v>45348</x:v>
      </x:c>
      <x:c r="D587" s="4" t="str">
        <x:v>Sales operations manager</x:v>
      </x:c>
      <x:c r="E587" s="4" t="str">
        <x:v>Spreadsheet import</x:v>
      </x:c>
      <x:c r="F587" s="4" t="str">
        <x:v>Record captured</x:v>
      </x:c>
      <x:c r="G587" s="4" t="str">
        <x:v>Cancelled</x:v>
      </x:c>
    </x:row>
    <x:row r="588" ht="34" customHeight="1">
      <x:c r="A588" s="4" t="str">
        <x:v>RS-00587-E1</x:v>
      </x:c>
      <x:c r="B588" s="4" t="str">
        <x:v>RS-00587</x:v>
      </x:c>
      <x:c r="C588" s="8" t="n">
        <x:v>45349</x:v>
      </x:c>
      <x:c r="D588" s="4" t="str">
        <x:v>Sales operations manager</x:v>
      </x:c>
      <x:c r="E588" s="4" t="str">
        <x:v>ERP form</x:v>
      </x:c>
      <x:c r="F588" s="4" t="str">
        <x:v>Record captured</x:v>
      </x:c>
      <x:c r="G588" s="4" t="str">
        <x:v>Booked</x:v>
      </x:c>
    </x:row>
    <x:row r="589" ht="34" customHeight="1">
      <x:c r="A589" s="4" t="str">
        <x:v>RS-00588-E1</x:v>
      </x:c>
      <x:c r="B589" s="4" t="str">
        <x:v>RS-00588</x:v>
      </x:c>
      <x:c r="C589" s="8" t="n">
        <x:v>45350</x:v>
      </x:c>
      <x:c r="D589" s="4" t="str">
        <x:v>Sales operations manager</x:v>
      </x:c>
      <x:c r="E589" s="4" t="str">
        <x:v>ERP form</x:v>
      </x:c>
      <x:c r="F589" s="4" t="str">
        <x:v>Record captured</x:v>
      </x:c>
      <x:c r="G589" s="4" t="str">
        <x:v>Cancelled</x:v>
      </x:c>
    </x:row>
    <x:row r="590" ht="34" customHeight="1">
      <x:c r="A590" s="4" t="str">
        <x:v>RS-00589-E1</x:v>
      </x:c>
      <x:c r="B590" s="4" t="str">
        <x:v>RS-00589</x:v>
      </x:c>
      <x:c r="C590" s="8" t="n">
        <x:v>45323</x:v>
      </x:c>
      <x:c r="D590" s="4" t="str">
        <x:v>Sales operations manager</x:v>
      </x:c>
      <x:c r="E590" s="4" t="str">
        <x:v>WhatsApp transcribed</x:v>
      </x:c>
      <x:c r="F590" s="4" t="str">
        <x:v>Record captured</x:v>
      </x:c>
      <x:c r="G590" s="4" t="str">
        <x:v>Agreement signed</x:v>
      </x:c>
    </x:row>
    <x:row r="591" ht="34" customHeight="1">
      <x:c r="A591" s="4" t="str">
        <x:v>RS-00590-E1</x:v>
      </x:c>
      <x:c r="B591" s="4" t="str">
        <x:v>RS-00590</x:v>
      </x:c>
      <x:c r="C591" s="8" t="n">
        <x:v>45324</x:v>
      </x:c>
      <x:c r="D591" s="4" t="str">
        <x:v>Sales operations manager</x:v>
      </x:c>
      <x:c r="E591" s="4" t="str">
        <x:v>Spreadsheet import</x:v>
      </x:c>
      <x:c r="F591" s="4" t="str">
        <x:v>Record captured</x:v>
      </x:c>
      <x:c r="G591" s="4" t="str">
        <x:v>Reserved</x:v>
      </x:c>
    </x:row>
    <x:row r="592" ht="34" customHeight="1">
      <x:c r="A592" s="4" t="str">
        <x:v>RS-00591-E1</x:v>
      </x:c>
      <x:c r="B592" s="4" t="str">
        <x:v>RS-00591</x:v>
      </x:c>
      <x:c r="C592" s="8" t="n">
        <x:v>45325</x:v>
      </x:c>
      <x:c r="D592" s="4" t="str">
        <x:v>Sales operations manager</x:v>
      </x:c>
      <x:c r="E592" s="4" t="str">
        <x:v>Paper transcribed</x:v>
      </x:c>
      <x:c r="F592" s="4" t="str">
        <x:v>Record captured</x:v>
      </x:c>
      <x:c r="G592" s="4" t="str">
        <x:v>Booked</x:v>
      </x:c>
    </x:row>
    <x:row r="593" ht="34" customHeight="1">
      <x:c r="A593" s="4" t="str">
        <x:v>RS-00592-E1</x:v>
      </x:c>
      <x:c r="B593" s="4" t="str">
        <x:v>RS-00592</x:v>
      </x:c>
      <x:c r="C593" s="8" t="n">
        <x:v>45326</x:v>
      </x:c>
      <x:c r="D593" s="4" t="str">
        <x:v>Sales operations manager</x:v>
      </x:c>
      <x:c r="E593" s="4" t="str">
        <x:v>Spreadsheet import</x:v>
      </x:c>
      <x:c r="F593" s="4" t="str">
        <x:v>Record captured</x:v>
      </x:c>
      <x:c r="G593" s="4" t="str">
        <x:v>Enquiry</x:v>
      </x:c>
    </x:row>
    <x:row r="594" ht="34" customHeight="1">
      <x:c r="A594" s="4" t="str">
        <x:v>RS-00593-E1</x:v>
      </x:c>
      <x:c r="B594" s="4" t="str">
        <x:v>RS-00593</x:v>
      </x:c>
      <x:c r="C594" s="8" t="n">
        <x:v>45327</x:v>
      </x:c>
      <x:c r="D594" s="4" t="str">
        <x:v>Sales operations manager</x:v>
      </x:c>
      <x:c r="E594" s="4" t="str">
        <x:v>Paper transcribed</x:v>
      </x:c>
      <x:c r="F594" s="4" t="str">
        <x:v>Record captured</x:v>
      </x:c>
      <x:c r="G594" s="4" t="str">
        <x:v>Reserved</x:v>
      </x:c>
    </x:row>
    <x:row r="595" ht="34" customHeight="1">
      <x:c r="A595" s="4" t="str">
        <x:v>RS-00594-E1</x:v>
      </x:c>
      <x:c r="B595" s="4" t="str">
        <x:v>RS-00594</x:v>
      </x:c>
      <x:c r="C595" s="8" t="n">
        <x:v>45328</x:v>
      </x:c>
      <x:c r="D595" s="4" t="str">
        <x:v>Sales operations manager</x:v>
      </x:c>
      <x:c r="E595" s="4" t="str">
        <x:v>WhatsApp transcribed</x:v>
      </x:c>
      <x:c r="F595" s="4" t="str">
        <x:v>Record captured</x:v>
      </x:c>
      <x:c r="G595" s="4" t="str">
        <x:v>Enquiry</x:v>
      </x:c>
    </x:row>
    <x:row r="596" ht="34" customHeight="1">
      <x:c r="A596" s="4" t="str">
        <x:v>RS-00595-E1</x:v>
      </x:c>
      <x:c r="B596" s="4" t="str">
        <x:v>RS-00595</x:v>
      </x:c>
      <x:c r="C596" s="8" t="n">
        <x:v>45329</x:v>
      </x:c>
      <x:c r="D596" s="4" t="str">
        <x:v>Sales operations manager</x:v>
      </x:c>
      <x:c r="E596" s="4" t="str">
        <x:v>Paper transcribed</x:v>
      </x:c>
      <x:c r="F596" s="4" t="str">
        <x:v>Record captured</x:v>
      </x:c>
      <x:c r="G596" s="4" t="str">
        <x:v>Booked</x:v>
      </x:c>
    </x:row>
    <x:row r="597" ht="34" customHeight="1">
      <x:c r="A597" s="4" t="str">
        <x:v>RS-00596-E1</x:v>
      </x:c>
      <x:c r="B597" s="4" t="str">
        <x:v>RS-00596</x:v>
      </x:c>
      <x:c r="C597" s="8" t="n">
        <x:v>45330</x:v>
      </x:c>
      <x:c r="D597" s="4" t="str">
        <x:v>Sales operations manager</x:v>
      </x:c>
      <x:c r="E597" s="4" t="str">
        <x:v>WhatsApp transcribed</x:v>
      </x:c>
      <x:c r="F597" s="4" t="str">
        <x:v>Record captured</x:v>
      </x:c>
      <x:c r="G597" s="4" t="str">
        <x:v>Agreement signed</x:v>
      </x:c>
    </x:row>
    <x:row r="598" ht="34" customHeight="1">
      <x:c r="A598" s="4" t="str">
        <x:v>RS-00597-E1</x:v>
      </x:c>
      <x:c r="B598" s="4" t="str">
        <x:v>RS-00597</x:v>
      </x:c>
      <x:c r="C598" s="8" t="n">
        <x:v>45331</x:v>
      </x:c>
      <x:c r="D598" s="4" t="str">
        <x:v>Sales operations manager</x:v>
      </x:c>
      <x:c r="E598" s="4" t="str">
        <x:v>Paper transcribed</x:v>
      </x:c>
      <x:c r="F598" s="4" t="str">
        <x:v>Record captured</x:v>
      </x:c>
      <x:c r="G598" s="4" t="str">
        <x:v>Enquiry</x:v>
      </x:c>
    </x:row>
    <x:row r="599" ht="34" customHeight="1">
      <x:c r="A599" s="4" t="str">
        <x:v>RS-00598-E1</x:v>
      </x:c>
      <x:c r="B599" s="4" t="str">
        <x:v>RS-00598</x:v>
      </x:c>
      <x:c r="C599" s="8" t="n">
        <x:v>45332</x:v>
      </x:c>
      <x:c r="D599" s="4" t="str">
        <x:v>Sales operations manager</x:v>
      </x:c>
      <x:c r="E599" s="4" t="str">
        <x:v>Paper transcribed</x:v>
      </x:c>
      <x:c r="F599" s="4" t="str">
        <x:v>Record captured</x:v>
      </x:c>
      <x:c r="G599" s="4" t="str">
        <x:v>Handed over</x:v>
      </x:c>
    </x:row>
    <x:row r="600" ht="34" customHeight="1">
      <x:c r="A600" s="4" t="str">
        <x:v>RS-00599-E1</x:v>
      </x:c>
      <x:c r="B600" s="4" t="str">
        <x:v>RS-00599</x:v>
      </x:c>
      <x:c r="C600" s="8" t="n">
        <x:v>45333</x:v>
      </x:c>
      <x:c r="D600" s="4" t="str">
        <x:v>Sales operations manager</x:v>
      </x:c>
      <x:c r="E600" s="4" t="str">
        <x:v>Paper transcribed</x:v>
      </x:c>
      <x:c r="F600" s="4" t="str">
        <x:v>Record captured</x:v>
      </x:c>
      <x:c r="G600" s="4" t="str">
        <x:v>Agreement signed</x:v>
      </x:c>
    </x:row>
    <x:row r="601" ht="34" customHeight="1">
      <x:c r="A601" s="4" t="str">
        <x:v>RS-00600-E1</x:v>
      </x:c>
      <x:c r="B601" s="4" t="str">
        <x:v>RS-00600</x:v>
      </x:c>
      <x:c r="C601" s="8" t="n">
        <x:v>45334</x:v>
      </x:c>
      <x:c r="D601" s="4" t="str">
        <x:v>Sales operations manager</x:v>
      </x:c>
      <x:c r="E601" s="4" t="str">
        <x:v>Paper transcribed</x:v>
      </x:c>
      <x:c r="F601" s="4" t="str">
        <x:v>Record captured</x:v>
      </x:c>
      <x:c r="G601" s="4" t="str">
        <x:v>Handed over</x:v>
      </x:c>
    </x:row>
    <x:row r="602" ht="34" customHeight="1">
      <x:c r="A602" s="4" t="str">
        <x:v>RS-00601-E1</x:v>
      </x:c>
      <x:c r="B602" s="4" t="str">
        <x:v>RS-00601</x:v>
      </x:c>
      <x:c r="C602" s="8" t="n">
        <x:v>45335</x:v>
      </x:c>
      <x:c r="D602" s="4" t="str">
        <x:v>Sales operations manager</x:v>
      </x:c>
      <x:c r="E602" s="4" t="str">
        <x:v>ERP form</x:v>
      </x:c>
      <x:c r="F602" s="4" t="str">
        <x:v>Record captured</x:v>
      </x:c>
      <x:c r="G602" s="4" t="str">
        <x:v>Reserved</x:v>
      </x:c>
    </x:row>
    <x:row r="603" ht="34" customHeight="1">
      <x:c r="A603" s="4" t="str">
        <x:v>RS-00602-E1</x:v>
      </x:c>
      <x:c r="B603" s="4" t="str">
        <x:v>RS-00602</x:v>
      </x:c>
      <x:c r="C603" s="8" t="n">
        <x:v>45336</x:v>
      </x:c>
      <x:c r="D603" s="4" t="str">
        <x:v>Sales operations manager</x:v>
      </x:c>
      <x:c r="E603" s="4" t="str">
        <x:v>Spreadsheet import</x:v>
      </x:c>
      <x:c r="F603" s="4" t="str">
        <x:v>Record captured</x:v>
      </x:c>
      <x:c r="G603" s="4" t="str">
        <x:v>Booked</x:v>
      </x:c>
    </x:row>
    <x:row r="604" ht="34" customHeight="1">
      <x:c r="A604" s="4" t="str">
        <x:v>RS-00603-E1</x:v>
      </x:c>
      <x:c r="B604" s="4" t="str">
        <x:v>RS-00603</x:v>
      </x:c>
      <x:c r="C604" s="8" t="n">
        <x:v>45337</x:v>
      </x:c>
      <x:c r="D604" s="4" t="str">
        <x:v>Sales operations manager</x:v>
      </x:c>
      <x:c r="E604" s="4" t="str">
        <x:v>WhatsApp transcribed</x:v>
      </x:c>
      <x:c r="F604" s="4" t="str">
        <x:v>Record captured</x:v>
      </x:c>
      <x:c r="G604" s="4" t="str">
        <x:v>Reserved</x:v>
      </x:c>
    </x:row>
    <x:row r="605" ht="34" customHeight="1">
      <x:c r="A605" s="4" t="str">
        <x:v>RS-00604-E1</x:v>
      </x:c>
      <x:c r="B605" s="4" t="str">
        <x:v>RS-00604</x:v>
      </x:c>
      <x:c r="C605" s="8" t="n">
        <x:v>45338</x:v>
      </x:c>
      <x:c r="D605" s="4" t="str">
        <x:v>Sales operations manager</x:v>
      </x:c>
      <x:c r="E605" s="4" t="str">
        <x:v>WhatsApp transcribed</x:v>
      </x:c>
      <x:c r="F605" s="4" t="str">
        <x:v>Record captured</x:v>
      </x:c>
      <x:c r="G605" s="4" t="str">
        <x:v>Reserved</x:v>
      </x:c>
    </x:row>
    <x:row r="606" ht="34" customHeight="1">
      <x:c r="A606" s="4" t="str">
        <x:v>RS-00605-E1</x:v>
      </x:c>
      <x:c r="B606" s="4" t="str">
        <x:v>RS-00605</x:v>
      </x:c>
      <x:c r="C606" s="8" t="n">
        <x:v>45339</x:v>
      </x:c>
      <x:c r="D606" s="4" t="str">
        <x:v>Sales operations manager</x:v>
      </x:c>
      <x:c r="E606" s="4" t="str">
        <x:v>Paper transcribed</x:v>
      </x:c>
      <x:c r="F606" s="4" t="str">
        <x:v>Record captured</x:v>
      </x:c>
      <x:c r="G606" s="4" t="str">
        <x:v>Handed over</x:v>
      </x:c>
    </x:row>
    <x:row r="607" ht="34" customHeight="1">
      <x:c r="A607" s="4" t="str">
        <x:v>RS-00606-E1</x:v>
      </x:c>
      <x:c r="B607" s="4" t="str">
        <x:v>RS-00606</x:v>
      </x:c>
      <x:c r="C607" s="8" t="n">
        <x:v>45340</x:v>
      </x:c>
      <x:c r="D607" s="4" t="str">
        <x:v>Sales operations manager</x:v>
      </x:c>
      <x:c r="E607" s="4" t="str">
        <x:v>WhatsApp transcribed</x:v>
      </x:c>
      <x:c r="F607" s="4" t="str">
        <x:v>Record captured</x:v>
      </x:c>
      <x:c r="G607" s="4" t="str">
        <x:v>Booked</x:v>
      </x:c>
    </x:row>
    <x:row r="608" ht="34" customHeight="1">
      <x:c r="A608" s="4" t="str">
        <x:v>RS-00607-E1</x:v>
      </x:c>
      <x:c r="B608" s="4" t="str">
        <x:v>RS-00607</x:v>
      </x:c>
      <x:c r="C608" s="8" t="n">
        <x:v>45341</x:v>
      </x:c>
      <x:c r="D608" s="4" t="str">
        <x:v>Sales operations manager</x:v>
      </x:c>
      <x:c r="E608" s="4" t="str">
        <x:v>Spreadsheet import</x:v>
      </x:c>
      <x:c r="F608" s="4" t="str">
        <x:v>Record captured</x:v>
      </x:c>
      <x:c r="G608" s="4" t="str">
        <x:v>Cancelled</x:v>
      </x:c>
    </x:row>
    <x:row r="609" ht="34" customHeight="1">
      <x:c r="A609" s="4" t="str">
        <x:v>RS-00608-E1</x:v>
      </x:c>
      <x:c r="B609" s="4" t="str">
        <x:v>RS-00608</x:v>
      </x:c>
      <x:c r="C609" s="8" t="n">
        <x:v>45342</x:v>
      </x:c>
      <x:c r="D609" s="4" t="str">
        <x:v>Sales operations manager</x:v>
      </x:c>
      <x:c r="E609" s="4" t="str">
        <x:v>ERP form</x:v>
      </x:c>
      <x:c r="F609" s="4" t="str">
        <x:v>Record captured</x:v>
      </x:c>
      <x:c r="G609" s="4" t="str">
        <x:v>Reserved</x:v>
      </x:c>
    </x:row>
    <x:row r="610" ht="34" customHeight="1">
      <x:c r="A610" s="4" t="str">
        <x:v>RS-00609-E1</x:v>
      </x:c>
      <x:c r="B610" s="4" t="str">
        <x:v>RS-00609</x:v>
      </x:c>
      <x:c r="C610" s="8" t="n">
        <x:v>45343</x:v>
      </x:c>
      <x:c r="D610" s="4" t="str">
        <x:v>Sales operations manager</x:v>
      </x:c>
      <x:c r="E610" s="4" t="str">
        <x:v>Paper transcribed</x:v>
      </x:c>
      <x:c r="F610" s="4" t="str">
        <x:v>Record captured</x:v>
      </x:c>
      <x:c r="G610" s="4" t="str">
        <x:v>Agreement signed</x:v>
      </x:c>
    </x:row>
    <x:row r="611" ht="34" customHeight="1">
      <x:c r="A611" s="4" t="str">
        <x:v>RS-00610-E1</x:v>
      </x:c>
      <x:c r="B611" s="4" t="str">
        <x:v>RS-00610</x:v>
      </x:c>
      <x:c r="C611" s="8" t="n">
        <x:v>45344</x:v>
      </x:c>
      <x:c r="D611" s="4" t="str">
        <x:v>Sales operations manager</x:v>
      </x:c>
      <x:c r="E611" s="4" t="str">
        <x:v>Paper transcribed</x:v>
      </x:c>
      <x:c r="F611" s="4" t="str">
        <x:v>Record captured</x:v>
      </x:c>
      <x:c r="G611" s="4" t="str">
        <x:v>Booked</x:v>
      </x:c>
    </x:row>
    <x:row r="612" ht="34" customHeight="1">
      <x:c r="A612" s="4" t="str">
        <x:v>RS-00611-E1</x:v>
      </x:c>
      <x:c r="B612" s="4" t="str">
        <x:v>RS-00611</x:v>
      </x:c>
      <x:c r="C612" s="8" t="n">
        <x:v>45345</x:v>
      </x:c>
      <x:c r="D612" s="4" t="str">
        <x:v>Sales operations manager</x:v>
      </x:c>
      <x:c r="E612" s="4" t="str">
        <x:v>ERP form</x:v>
      </x:c>
      <x:c r="F612" s="4" t="str">
        <x:v>Record captured</x:v>
      </x:c>
      <x:c r="G612" s="4" t="str">
        <x:v>Agreement signed</x:v>
      </x:c>
    </x:row>
    <x:row r="613" ht="34" customHeight="1">
      <x:c r="A613" s="4" t="str">
        <x:v>RS-00612-E1</x:v>
      </x:c>
      <x:c r="B613" s="4" t="str">
        <x:v>RS-00612</x:v>
      </x:c>
      <x:c r="C613" s="8" t="n">
        <x:v>45346</x:v>
      </x:c>
      <x:c r="D613" s="4" t="str">
        <x:v>Sales operations manager</x:v>
      </x:c>
      <x:c r="E613" s="4" t="str">
        <x:v>ERP form</x:v>
      </x:c>
      <x:c r="F613" s="4" t="str">
        <x:v>Record captured</x:v>
      </x:c>
      <x:c r="G613" s="4" t="str">
        <x:v>Handed over</x:v>
      </x:c>
    </x:row>
    <x:row r="614" ht="34" customHeight="1">
      <x:c r="A614" s="4" t="str">
        <x:v>RS-00613-E1</x:v>
      </x:c>
      <x:c r="B614" s="4" t="str">
        <x:v>RS-00613</x:v>
      </x:c>
      <x:c r="C614" s="8" t="n">
        <x:v>45347</x:v>
      </x:c>
      <x:c r="D614" s="4" t="str">
        <x:v>Sales operations manager</x:v>
      </x:c>
      <x:c r="E614" s="4" t="str">
        <x:v>Paper transcribed</x:v>
      </x:c>
      <x:c r="F614" s="4" t="str">
        <x:v>Record captured</x:v>
      </x:c>
      <x:c r="G614" s="4" t="str">
        <x:v>Booked</x:v>
      </x:c>
    </x:row>
    <x:row r="615" ht="34" customHeight="1">
      <x:c r="A615" s="4" t="str">
        <x:v>RS-00614-E1</x:v>
      </x:c>
      <x:c r="B615" s="4" t="str">
        <x:v>RS-00614</x:v>
      </x:c>
      <x:c r="C615" s="8" t="n">
        <x:v>45348</x:v>
      </x:c>
      <x:c r="D615" s="4" t="str">
        <x:v>Sales operations manager</x:v>
      </x:c>
      <x:c r="E615" s="4" t="str">
        <x:v>Paper transcribed</x:v>
      </x:c>
      <x:c r="F615" s="4" t="str">
        <x:v>Record captured</x:v>
      </x:c>
      <x:c r="G615" s="4" t="str">
        <x:v>Cancelled</x:v>
      </x:c>
    </x:row>
    <x:row r="616" ht="34" customHeight="1">
      <x:c r="A616" s="4" t="str">
        <x:v>RS-00615-E1</x:v>
      </x:c>
      <x:c r="B616" s="4" t="str">
        <x:v>RS-00615</x:v>
      </x:c>
      <x:c r="C616" s="8" t="n">
        <x:v>45349</x:v>
      </x:c>
      <x:c r="D616" s="4" t="str">
        <x:v>Sales operations manager</x:v>
      </x:c>
      <x:c r="E616" s="4" t="str">
        <x:v>WhatsApp transcribed</x:v>
      </x:c>
      <x:c r="F616" s="4" t="str">
        <x:v>Record captured</x:v>
      </x:c>
      <x:c r="G616" s="4" t="str">
        <x:v>Agreement signed</x:v>
      </x:c>
    </x:row>
    <x:row r="617" ht="34" customHeight="1">
      <x:c r="A617" s="4" t="str">
        <x:v>RS-00616-E1</x:v>
      </x:c>
      <x:c r="B617" s="4" t="str">
        <x:v>RS-00616</x:v>
      </x:c>
      <x:c r="C617" s="8" t="n">
        <x:v>45350</x:v>
      </x:c>
      <x:c r="D617" s="4" t="str">
        <x:v>Sales operations manager</x:v>
      </x:c>
      <x:c r="E617" s="4" t="str">
        <x:v>Paper transcribed</x:v>
      </x:c>
      <x:c r="F617" s="4" t="str">
        <x:v>Record captured</x:v>
      </x:c>
      <x:c r="G617" s="4" t="str">
        <x:v>Handed over</x:v>
      </x:c>
    </x:row>
    <x:row r="618" ht="34" customHeight="1">
      <x:c r="A618" s="4" t="str">
        <x:v>RS-00617-E1</x:v>
      </x:c>
      <x:c r="B618" s="4" t="str">
        <x:v>RS-00617</x:v>
      </x:c>
      <x:c r="C618" s="8" t="n">
        <x:v>45323</x:v>
      </x:c>
      <x:c r="D618" s="4" t="str">
        <x:v>Sales operations manager</x:v>
      </x:c>
      <x:c r="E618" s="4" t="str">
        <x:v>Spreadsheet import</x:v>
      </x:c>
      <x:c r="F618" s="4" t="str">
        <x:v>Record captured</x:v>
      </x:c>
      <x:c r="G618" s="4" t="str">
        <x:v>Booked</x:v>
      </x:c>
    </x:row>
    <x:row r="619" ht="34" customHeight="1">
      <x:c r="A619" s="4" t="str">
        <x:v>RS-00618-E1</x:v>
      </x:c>
      <x:c r="B619" s="4" t="str">
        <x:v>RS-00618</x:v>
      </x:c>
      <x:c r="C619" s="8" t="n">
        <x:v>45324</x:v>
      </x:c>
      <x:c r="D619" s="4" t="str">
        <x:v>Sales operations manager</x:v>
      </x:c>
      <x:c r="E619" s="4" t="str">
        <x:v>Spreadsheet import</x:v>
      </x:c>
      <x:c r="F619" s="4" t="str">
        <x:v>Record captured</x:v>
      </x:c>
      <x:c r="G619" s="4" t="str">
        <x:v>Reserved</x:v>
      </x:c>
    </x:row>
    <x:row r="620" ht="34" customHeight="1">
      <x:c r="A620" s="4" t="str">
        <x:v>RS-00619-E1</x:v>
      </x:c>
      <x:c r="B620" s="4" t="str">
        <x:v>RS-00619</x:v>
      </x:c>
      <x:c r="C620" s="8" t="n">
        <x:v>45325</x:v>
      </x:c>
      <x:c r="D620" s="4" t="str">
        <x:v>Sales operations manager</x:v>
      </x:c>
      <x:c r="E620" s="4" t="str">
        <x:v>ERP form</x:v>
      </x:c>
      <x:c r="F620" s="4" t="str">
        <x:v>Record captured</x:v>
      </x:c>
      <x:c r="G620" s="4" t="str">
        <x:v>Agreement signed</x:v>
      </x:c>
    </x:row>
    <x:row r="621" ht="34" customHeight="1">
      <x:c r="A621" s="4" t="str">
        <x:v>RS-00620-E1</x:v>
      </x:c>
      <x:c r="B621" s="4" t="str">
        <x:v>RS-00620</x:v>
      </x:c>
      <x:c r="C621" s="8" t="n">
        <x:v>45326</x:v>
      </x:c>
      <x:c r="D621" s="4" t="str">
        <x:v>Sales operations manager</x:v>
      </x:c>
      <x:c r="E621" s="4" t="str">
        <x:v>ERP form</x:v>
      </x:c>
      <x:c r="F621" s="4" t="str">
        <x:v>Record captured</x:v>
      </x:c>
      <x:c r="G621" s="4" t="str">
        <x:v>Agreement signed</x:v>
      </x:c>
    </x:row>
    <x:row r="622" ht="34" customHeight="1">
      <x:c r="A622" s="4" t="str">
        <x:v>RS-00621-E1</x:v>
      </x:c>
      <x:c r="B622" s="4" t="str">
        <x:v>RS-00621</x:v>
      </x:c>
      <x:c r="C622" s="8" t="n">
        <x:v>45327</x:v>
      </x:c>
      <x:c r="D622" s="4" t="str">
        <x:v>Sales operations manager</x:v>
      </x:c>
      <x:c r="E622" s="4" t="str">
        <x:v>Spreadsheet import</x:v>
      </x:c>
      <x:c r="F622" s="4" t="str">
        <x:v>Record captured</x:v>
      </x:c>
      <x:c r="G622" s="4" t="str">
        <x:v>Booked</x:v>
      </x:c>
    </x:row>
    <x:row r="623" ht="34" customHeight="1">
      <x:c r="A623" s="4" t="str">
        <x:v>RS-00622-E1</x:v>
      </x:c>
      <x:c r="B623" s="4" t="str">
        <x:v>RS-00622</x:v>
      </x:c>
      <x:c r="C623" s="8" t="n">
        <x:v>45328</x:v>
      </x:c>
      <x:c r="D623" s="4" t="str">
        <x:v>Sales operations manager</x:v>
      </x:c>
      <x:c r="E623" s="4" t="str">
        <x:v>WhatsApp transcribed</x:v>
      </x:c>
      <x:c r="F623" s="4" t="str">
        <x:v>Record captured</x:v>
      </x:c>
      <x:c r="G623" s="4" t="str">
        <x:v>Enquiry</x:v>
      </x:c>
    </x:row>
    <x:row r="624" ht="34" customHeight="1">
      <x:c r="A624" s="4" t="str">
        <x:v>RS-00623-E1</x:v>
      </x:c>
      <x:c r="B624" s="4" t="str">
        <x:v>RS-00623</x:v>
      </x:c>
      <x:c r="C624" s="8" t="n">
        <x:v>45329</x:v>
      </x:c>
      <x:c r="D624" s="4" t="str">
        <x:v>Sales operations manager</x:v>
      </x:c>
      <x:c r="E624" s="4" t="str">
        <x:v>Spreadsheet import</x:v>
      </x:c>
      <x:c r="F624" s="4" t="str">
        <x:v>Record captured</x:v>
      </x:c>
      <x:c r="G624" s="4" t="str">
        <x:v>Enquiry</x:v>
      </x:c>
    </x:row>
    <x:row r="625" ht="34" customHeight="1">
      <x:c r="A625" s="4" t="str">
        <x:v>RS-00624-E1</x:v>
      </x:c>
      <x:c r="B625" s="4" t="str">
        <x:v>RS-00624</x:v>
      </x:c>
      <x:c r="C625" s="8" t="n">
        <x:v>45330</x:v>
      </x:c>
      <x:c r="D625" s="4" t="str">
        <x:v>Sales operations manager</x:v>
      </x:c>
      <x:c r="E625" s="4" t="str">
        <x:v>Spreadsheet import</x:v>
      </x:c>
      <x:c r="F625" s="4" t="str">
        <x:v>Record captured</x:v>
      </x:c>
      <x:c r="G625" s="4" t="str">
        <x:v>Agreement signed</x:v>
      </x:c>
    </x:row>
    <x:row r="626" ht="34" customHeight="1">
      <x:c r="A626" s="4" t="str">
        <x:v>RS-00625-E1</x:v>
      </x:c>
      <x:c r="B626" s="4" t="str">
        <x:v>RS-00625</x:v>
      </x:c>
      <x:c r="C626" s="8" t="n">
        <x:v>45331</x:v>
      </x:c>
      <x:c r="D626" s="4" t="str">
        <x:v>Sales operations manager</x:v>
      </x:c>
      <x:c r="E626" s="4" t="str">
        <x:v>ERP form</x:v>
      </x:c>
      <x:c r="F626" s="4" t="str">
        <x:v>Record captured</x:v>
      </x:c>
      <x:c r="G626" s="4" t="str">
        <x:v>Cancelled</x:v>
      </x:c>
    </x:row>
    <x:row r="627" ht="34" customHeight="1">
      <x:c r="A627" s="4" t="str">
        <x:v>RS-00626-E1</x:v>
      </x:c>
      <x:c r="B627" s="4" t="str">
        <x:v>RS-00626</x:v>
      </x:c>
      <x:c r="C627" s="8" t="n">
        <x:v>45332</x:v>
      </x:c>
      <x:c r="D627" s="4" t="str">
        <x:v>Sales operations manager</x:v>
      </x:c>
      <x:c r="E627" s="4" t="str">
        <x:v>Spreadsheet import</x:v>
      </x:c>
      <x:c r="F627" s="4" t="str">
        <x:v>Record captured</x:v>
      </x:c>
      <x:c r="G627" s="4" t="str">
        <x:v>Enquiry</x:v>
      </x:c>
    </x:row>
    <x:row r="628" ht="34" customHeight="1">
      <x:c r="A628" s="4" t="str">
        <x:v>RS-00627-E1</x:v>
      </x:c>
      <x:c r="B628" s="4" t="str">
        <x:v>RS-00627</x:v>
      </x:c>
      <x:c r="C628" s="8" t="n">
        <x:v>45333</x:v>
      </x:c>
      <x:c r="D628" s="4" t="str">
        <x:v>Sales operations manager</x:v>
      </x:c>
      <x:c r="E628" s="4" t="str">
        <x:v>Paper transcribed</x:v>
      </x:c>
      <x:c r="F628" s="4" t="str">
        <x:v>Record captured</x:v>
      </x:c>
      <x:c r="G628" s="4" t="str">
        <x:v>Enquiry</x:v>
      </x:c>
    </x:row>
    <x:row r="629" ht="34" customHeight="1">
      <x:c r="A629" s="4" t="str">
        <x:v>RS-00628-E1</x:v>
      </x:c>
      <x:c r="B629" s="4" t="str">
        <x:v>RS-00628</x:v>
      </x:c>
      <x:c r="C629" s="8" t="n">
        <x:v>45334</x:v>
      </x:c>
      <x:c r="D629" s="4" t="str">
        <x:v>Sales operations manager</x:v>
      </x:c>
      <x:c r="E629" s="4" t="str">
        <x:v>ERP form</x:v>
      </x:c>
      <x:c r="F629" s="4" t="str">
        <x:v>Record captured</x:v>
      </x:c>
      <x:c r="G629" s="4" t="str">
        <x:v>Reserved</x:v>
      </x:c>
    </x:row>
    <x:row r="630" ht="34" customHeight="1">
      <x:c r="A630" s="4" t="str">
        <x:v>RS-00629-E1</x:v>
      </x:c>
      <x:c r="B630" s="4" t="str">
        <x:v>RS-00629</x:v>
      </x:c>
      <x:c r="C630" s="8" t="n">
        <x:v>45335</x:v>
      </x:c>
      <x:c r="D630" s="4" t="str">
        <x:v>Sales operations manager</x:v>
      </x:c>
      <x:c r="E630" s="4" t="str">
        <x:v>Paper transcribed</x:v>
      </x:c>
      <x:c r="F630" s="4" t="str">
        <x:v>Record captured</x:v>
      </x:c>
      <x:c r="G630" s="4" t="str">
        <x:v>Agreement signed</x:v>
      </x:c>
    </x:row>
    <x:row r="631" ht="34" customHeight="1">
      <x:c r="A631" s="4" t="str">
        <x:v>RS-00630-E1</x:v>
      </x:c>
      <x:c r="B631" s="4" t="str">
        <x:v>RS-00630</x:v>
      </x:c>
      <x:c r="C631" s="8" t="n">
        <x:v>45336</x:v>
      </x:c>
      <x:c r="D631" s="4" t="str">
        <x:v>Sales operations manager</x:v>
      </x:c>
      <x:c r="E631" s="4" t="str">
        <x:v>ERP form</x:v>
      </x:c>
      <x:c r="F631" s="4" t="str">
        <x:v>Record captured</x:v>
      </x:c>
      <x:c r="G631" s="4" t="str">
        <x:v>Reserved</x:v>
      </x:c>
    </x:row>
    <x:row r="632" ht="34" customHeight="1">
      <x:c r="A632" s="4" t="str">
        <x:v>RS-00631-E1</x:v>
      </x:c>
      <x:c r="B632" s="4" t="str">
        <x:v>RS-00631</x:v>
      </x:c>
      <x:c r="C632" s="8" t="n">
        <x:v>45337</x:v>
      </x:c>
      <x:c r="D632" s="4" t="str">
        <x:v>Sales operations manager</x:v>
      </x:c>
      <x:c r="E632" s="4" t="str">
        <x:v>Paper transcribed</x:v>
      </x:c>
      <x:c r="F632" s="4" t="str">
        <x:v>Record captured</x:v>
      </x:c>
      <x:c r="G632" s="4" t="str">
        <x:v>Handed over</x:v>
      </x:c>
    </x:row>
    <x:row r="633" ht="34" customHeight="1">
      <x:c r="A633" s="4" t="str">
        <x:v>RS-00632-E1</x:v>
      </x:c>
      <x:c r="B633" s="4" t="str">
        <x:v>RS-00632</x:v>
      </x:c>
      <x:c r="C633" s="8" t="n">
        <x:v>45338</x:v>
      </x:c>
      <x:c r="D633" s="4" t="str">
        <x:v>Sales operations manager</x:v>
      </x:c>
      <x:c r="E633" s="4" t="str">
        <x:v>Paper transcribed</x:v>
      </x:c>
      <x:c r="F633" s="4" t="str">
        <x:v>Record captured</x:v>
      </x:c>
      <x:c r="G633" s="4" t="str">
        <x:v>Reserved</x:v>
      </x:c>
    </x:row>
    <x:row r="634" ht="34" customHeight="1">
      <x:c r="A634" s="4" t="str">
        <x:v>RS-00633-E1</x:v>
      </x:c>
      <x:c r="B634" s="4" t="str">
        <x:v>RS-00633</x:v>
      </x:c>
      <x:c r="C634" s="8" t="n">
        <x:v>45339</x:v>
      </x:c>
      <x:c r="D634" s="4" t="str">
        <x:v>Sales operations manager</x:v>
      </x:c>
      <x:c r="E634" s="4" t="str">
        <x:v>WhatsApp transcribed</x:v>
      </x:c>
      <x:c r="F634" s="4" t="str">
        <x:v>Record captured</x:v>
      </x:c>
      <x:c r="G634" s="4" t="str">
        <x:v>Handed over</x:v>
      </x:c>
    </x:row>
    <x:row r="635" ht="34" customHeight="1">
      <x:c r="A635" s="4" t="str">
        <x:v>RS-00634-E1</x:v>
      </x:c>
      <x:c r="B635" s="4" t="str">
        <x:v>RS-00634</x:v>
      </x:c>
      <x:c r="C635" s="8" t="n">
        <x:v>45340</x:v>
      </x:c>
      <x:c r="D635" s="4" t="str">
        <x:v>Sales operations manager</x:v>
      </x:c>
      <x:c r="E635" s="4" t="str">
        <x:v>ERP form</x:v>
      </x:c>
      <x:c r="F635" s="4" t="str">
        <x:v>Record captured</x:v>
      </x:c>
      <x:c r="G635" s="4" t="str">
        <x:v>Cancelled</x:v>
      </x:c>
    </x:row>
    <x:row r="636" ht="34" customHeight="1">
      <x:c r="A636" s="4" t="str">
        <x:v>RS-00635-E1</x:v>
      </x:c>
      <x:c r="B636" s="4" t="str">
        <x:v>RS-00635</x:v>
      </x:c>
      <x:c r="C636" s="8" t="n">
        <x:v>45341</x:v>
      </x:c>
      <x:c r="D636" s="4" t="str">
        <x:v>Sales operations manager</x:v>
      </x:c>
      <x:c r="E636" s="4" t="str">
        <x:v>Paper transcribed</x:v>
      </x:c>
      <x:c r="F636" s="4" t="str">
        <x:v>Record captured</x:v>
      </x:c>
      <x:c r="G636" s="4" t="str">
        <x:v>Cancelled</x:v>
      </x:c>
    </x:row>
    <x:row r="637" ht="34" customHeight="1">
      <x:c r="A637" s="4" t="str">
        <x:v>RS-00636-E1</x:v>
      </x:c>
      <x:c r="B637" s="4" t="str">
        <x:v>RS-00636</x:v>
      </x:c>
      <x:c r="C637" s="8" t="n">
        <x:v>45342</x:v>
      </x:c>
      <x:c r="D637" s="4" t="str">
        <x:v>Sales operations manager</x:v>
      </x:c>
      <x:c r="E637" s="4" t="str">
        <x:v>Paper transcribed</x:v>
      </x:c>
      <x:c r="F637" s="4" t="str">
        <x:v>Record captured</x:v>
      </x:c>
      <x:c r="G637" s="4" t="str">
        <x:v>Handed over</x:v>
      </x:c>
    </x:row>
    <x:row r="638" ht="34" customHeight="1">
      <x:c r="A638" s="4" t="str">
        <x:v>RS-00637-E1</x:v>
      </x:c>
      <x:c r="B638" s="4" t="str">
        <x:v>RS-00637</x:v>
      </x:c>
      <x:c r="C638" s="8" t="n">
        <x:v>45343</x:v>
      </x:c>
      <x:c r="D638" s="4" t="str">
        <x:v>Sales operations manager</x:v>
      </x:c>
      <x:c r="E638" s="4" t="str">
        <x:v>Paper transcribed</x:v>
      </x:c>
      <x:c r="F638" s="4" t="str">
        <x:v>Record captured</x:v>
      </x:c>
      <x:c r="G638" s="4" t="str">
        <x:v>Booked</x:v>
      </x:c>
    </x:row>
    <x:row r="639" ht="34" customHeight="1">
      <x:c r="A639" s="4" t="str">
        <x:v>RS-00638-E1</x:v>
      </x:c>
      <x:c r="B639" s="4" t="str">
        <x:v>RS-00638</x:v>
      </x:c>
      <x:c r="C639" s="8" t="n">
        <x:v>45344</x:v>
      </x:c>
      <x:c r="D639" s="4" t="str">
        <x:v>Sales operations manager</x:v>
      </x:c>
      <x:c r="E639" s="4" t="str">
        <x:v>Spreadsheet import</x:v>
      </x:c>
      <x:c r="F639" s="4" t="str">
        <x:v>Record captured</x:v>
      </x:c>
      <x:c r="G639" s="4" t="str">
        <x:v>Booked</x:v>
      </x:c>
    </x:row>
    <x:row r="640" ht="34" customHeight="1">
      <x:c r="A640" s="4" t="str">
        <x:v>RS-00639-E1</x:v>
      </x:c>
      <x:c r="B640" s="4" t="str">
        <x:v>RS-00639</x:v>
      </x:c>
      <x:c r="C640" s="8" t="n">
        <x:v>45345</x:v>
      </x:c>
      <x:c r="D640" s="4" t="str">
        <x:v>Sales operations manager</x:v>
      </x:c>
      <x:c r="E640" s="4" t="str">
        <x:v>Paper transcribed</x:v>
      </x:c>
      <x:c r="F640" s="4" t="str">
        <x:v>Record captured</x:v>
      </x:c>
      <x:c r="G640" s="4" t="str">
        <x:v>Handed over</x:v>
      </x:c>
    </x:row>
    <x:row r="641" ht="34" customHeight="1">
      <x:c r="A641" s="4" t="str">
        <x:v>RS-00640-E1</x:v>
      </x:c>
      <x:c r="B641" s="4" t="str">
        <x:v>RS-00640</x:v>
      </x:c>
      <x:c r="C641" s="8" t="n">
        <x:v>45346</x:v>
      </x:c>
      <x:c r="D641" s="4" t="str">
        <x:v>Sales operations manager</x:v>
      </x:c>
      <x:c r="E641" s="4" t="str">
        <x:v>ERP form</x:v>
      </x:c>
      <x:c r="F641" s="4" t="str">
        <x:v>Record captured</x:v>
      </x:c>
      <x:c r="G641" s="4" t="str">
        <x:v>Reserved</x:v>
      </x:c>
    </x:row>
    <x:row r="642" ht="34" customHeight="1">
      <x:c r="A642" s="4" t="str">
        <x:v>RS-00641-E1</x:v>
      </x:c>
      <x:c r="B642" s="4" t="str">
        <x:v>RS-00641</x:v>
      </x:c>
      <x:c r="C642" s="8" t="n">
        <x:v>45347</x:v>
      </x:c>
      <x:c r="D642" s="4" t="str">
        <x:v>Sales operations manager</x:v>
      </x:c>
      <x:c r="E642" s="4" t="str">
        <x:v>Spreadsheet import</x:v>
      </x:c>
      <x:c r="F642" s="4" t="str">
        <x:v>Record captured</x:v>
      </x:c>
      <x:c r="G642" s="4" t="str">
        <x:v>Booked</x:v>
      </x:c>
    </x:row>
    <x:row r="643" ht="34" customHeight="1">
      <x:c r="A643" s="4" t="str">
        <x:v>RS-00642-E1</x:v>
      </x:c>
      <x:c r="B643" s="4" t="str">
        <x:v>RS-00642</x:v>
      </x:c>
      <x:c r="C643" s="8" t="n">
        <x:v>45348</x:v>
      </x:c>
      <x:c r="D643" s="4" t="str">
        <x:v>Sales operations manager</x:v>
      </x:c>
      <x:c r="E643" s="4" t="str">
        <x:v>ERP form</x:v>
      </x:c>
      <x:c r="F643" s="4" t="str">
        <x:v>Record captured</x:v>
      </x:c>
      <x:c r="G643" s="4" t="str">
        <x:v>Booked</x:v>
      </x:c>
    </x:row>
    <x:row r="644" ht="34" customHeight="1">
      <x:c r="A644" s="4" t="str">
        <x:v>RS-00643-E1</x:v>
      </x:c>
      <x:c r="B644" s="4" t="str">
        <x:v>RS-00643</x:v>
      </x:c>
      <x:c r="C644" s="8" t="n">
        <x:v>45349</x:v>
      </x:c>
      <x:c r="D644" s="4" t="str">
        <x:v>Sales operations manager</x:v>
      </x:c>
      <x:c r="E644" s="4" t="str">
        <x:v>WhatsApp transcribed</x:v>
      </x:c>
      <x:c r="F644" s="4" t="str">
        <x:v>Record captured</x:v>
      </x:c>
      <x:c r="G644" s="4" t="str">
        <x:v>Enquiry</x:v>
      </x:c>
    </x:row>
    <x:row r="645" ht="34" customHeight="1">
      <x:c r="A645" s="4" t="str">
        <x:v>RS-00644-E1</x:v>
      </x:c>
      <x:c r="B645" s="4" t="str">
        <x:v>RS-00644</x:v>
      </x:c>
      <x:c r="C645" s="8" t="n">
        <x:v>45350</x:v>
      </x:c>
      <x:c r="D645" s="4" t="str">
        <x:v>Sales operations manager</x:v>
      </x:c>
      <x:c r="E645" s="4" t="str">
        <x:v>WhatsApp transcribed</x:v>
      </x:c>
      <x:c r="F645" s="4" t="str">
        <x:v>Record captured</x:v>
      </x:c>
      <x:c r="G645" s="4" t="str">
        <x:v>Agreement signed</x:v>
      </x:c>
    </x:row>
    <x:row r="646" ht="34" customHeight="1">
      <x:c r="A646" s="4" t="str">
        <x:v>RS-00645-E1</x:v>
      </x:c>
      <x:c r="B646" s="4" t="str">
        <x:v>RS-00645</x:v>
      </x:c>
      <x:c r="C646" s="8" t="n">
        <x:v>45323</x:v>
      </x:c>
      <x:c r="D646" s="4" t="str">
        <x:v>Sales operations manager</x:v>
      </x:c>
      <x:c r="E646" s="4" t="str">
        <x:v>Spreadsheet import</x:v>
      </x:c>
      <x:c r="F646" s="4" t="str">
        <x:v>Record captured</x:v>
      </x:c>
      <x:c r="G646" s="4" t="str">
        <x:v>Reserved</x:v>
      </x:c>
    </x:row>
    <x:row r="647" ht="34" customHeight="1">
      <x:c r="A647" s="4" t="str">
        <x:v>RS-00646-E1</x:v>
      </x:c>
      <x:c r="B647" s="4" t="str">
        <x:v>RS-00646</x:v>
      </x:c>
      <x:c r="C647" s="8" t="n">
        <x:v>45324</x:v>
      </x:c>
      <x:c r="D647" s="4" t="str">
        <x:v>Sales operations manager</x:v>
      </x:c>
      <x:c r="E647" s="4" t="str">
        <x:v>ERP form</x:v>
      </x:c>
      <x:c r="F647" s="4" t="str">
        <x:v>Record captured</x:v>
      </x:c>
      <x:c r="G647" s="4" t="str">
        <x:v>Reserved</x:v>
      </x:c>
    </x:row>
    <x:row r="648" ht="34" customHeight="1">
      <x:c r="A648" s="4" t="str">
        <x:v>RS-00647-E1</x:v>
      </x:c>
      <x:c r="B648" s="4" t="str">
        <x:v>RS-00647</x:v>
      </x:c>
      <x:c r="C648" s="8" t="n">
        <x:v>45325</x:v>
      </x:c>
      <x:c r="D648" s="4" t="str">
        <x:v>Sales operations manager</x:v>
      </x:c>
      <x:c r="E648" s="4" t="str">
        <x:v>Spreadsheet import</x:v>
      </x:c>
      <x:c r="F648" s="4" t="str">
        <x:v>Record captured</x:v>
      </x:c>
      <x:c r="G648" s="4" t="str">
        <x:v>Cancelled</x:v>
      </x:c>
    </x:row>
    <x:row r="649" ht="34" customHeight="1">
      <x:c r="A649" s="4" t="str">
        <x:v>RS-00648-E1</x:v>
      </x:c>
      <x:c r="B649" s="4" t="str">
        <x:v>RS-00648</x:v>
      </x:c>
      <x:c r="C649" s="8" t="n">
        <x:v>45326</x:v>
      </x:c>
      <x:c r="D649" s="4" t="str">
        <x:v>Sales operations manager</x:v>
      </x:c>
      <x:c r="E649" s="4" t="str">
        <x:v>WhatsApp transcribed</x:v>
      </x:c>
      <x:c r="F649" s="4" t="str">
        <x:v>Record captured</x:v>
      </x:c>
      <x:c r="G649" s="4" t="str">
        <x:v>Enquiry</x:v>
      </x:c>
    </x:row>
    <x:row r="650" ht="34" customHeight="1">
      <x:c r="A650" s="4" t="str">
        <x:v>RS-00649-E1</x:v>
      </x:c>
      <x:c r="B650" s="4" t="str">
        <x:v>RS-00649</x:v>
      </x:c>
      <x:c r="C650" s="8" t="n">
        <x:v>45327</x:v>
      </x:c>
      <x:c r="D650" s="4" t="str">
        <x:v>Sales operations manager</x:v>
      </x:c>
      <x:c r="E650" s="4" t="str">
        <x:v>ERP form</x:v>
      </x:c>
      <x:c r="F650" s="4" t="str">
        <x:v>Record captured</x:v>
      </x:c>
      <x:c r="G650" s="4" t="str">
        <x:v>Cancelled</x:v>
      </x:c>
    </x:row>
    <x:row r="651" ht="34" customHeight="1">
      <x:c r="A651" s="4" t="str">
        <x:v>RS-00650-E1</x:v>
      </x:c>
      <x:c r="B651" s="4" t="str">
        <x:v>RS-00650</x:v>
      </x:c>
      <x:c r="C651" s="8" t="n">
        <x:v>45328</x:v>
      </x:c>
      <x:c r="D651" s="4" t="str">
        <x:v>Sales operations manager</x:v>
      </x:c>
      <x:c r="E651" s="4" t="str">
        <x:v>Paper transcribed</x:v>
      </x:c>
      <x:c r="F651" s="4" t="str">
        <x:v>Record captured</x:v>
      </x:c>
      <x:c r="G651" s="4" t="str">
        <x:v>Booked</x:v>
      </x:c>
    </x:row>
    <x:row r="652" ht="34" customHeight="1">
      <x:c r="A652" s="4" t="str">
        <x:v>RS-00651-E1</x:v>
      </x:c>
      <x:c r="B652" s="4" t="str">
        <x:v>RS-00651</x:v>
      </x:c>
      <x:c r="C652" s="8" t="n">
        <x:v>45329</x:v>
      </x:c>
      <x:c r="D652" s="4" t="str">
        <x:v>Sales operations manager</x:v>
      </x:c>
      <x:c r="E652" s="4" t="str">
        <x:v>Paper transcribed</x:v>
      </x:c>
      <x:c r="F652" s="4" t="str">
        <x:v>Record captured</x:v>
      </x:c>
      <x:c r="G652" s="4" t="str">
        <x:v>Handed over</x:v>
      </x:c>
    </x:row>
    <x:row r="653" ht="34" customHeight="1">
      <x:c r="A653" s="4" t="str">
        <x:v>RS-00652-E1</x:v>
      </x:c>
      <x:c r="B653" s="4" t="str">
        <x:v>RS-00652</x:v>
      </x:c>
      <x:c r="C653" s="8" t="n">
        <x:v>45330</x:v>
      </x:c>
      <x:c r="D653" s="4" t="str">
        <x:v>Sales operations manager</x:v>
      </x:c>
      <x:c r="E653" s="4" t="str">
        <x:v>WhatsApp transcribed</x:v>
      </x:c>
      <x:c r="F653" s="4" t="str">
        <x:v>Record captured</x:v>
      </x:c>
      <x:c r="G653" s="4" t="str">
        <x:v>Cancelled</x:v>
      </x:c>
    </x:row>
    <x:row r="654" ht="34" customHeight="1">
      <x:c r="A654" s="4" t="str">
        <x:v>RS-00653-E1</x:v>
      </x:c>
      <x:c r="B654" s="4" t="str">
        <x:v>RS-00653</x:v>
      </x:c>
      <x:c r="C654" s="8" t="n">
        <x:v>45331</x:v>
      </x:c>
      <x:c r="D654" s="4" t="str">
        <x:v>Sales operations manager</x:v>
      </x:c>
      <x:c r="E654" s="4" t="str">
        <x:v>Spreadsheet import</x:v>
      </x:c>
      <x:c r="F654" s="4" t="str">
        <x:v>Record captured</x:v>
      </x:c>
      <x:c r="G654" s="4" t="str">
        <x:v>Handed over</x:v>
      </x:c>
    </x:row>
    <x:row r="655" ht="34" customHeight="1">
      <x:c r="A655" s="4" t="str">
        <x:v>RS-00654-E1</x:v>
      </x:c>
      <x:c r="B655" s="4" t="str">
        <x:v>RS-00654</x:v>
      </x:c>
      <x:c r="C655" s="8" t="n">
        <x:v>45332</x:v>
      </x:c>
      <x:c r="D655" s="4" t="str">
        <x:v>Sales operations manager</x:v>
      </x:c>
      <x:c r="E655" s="4" t="str">
        <x:v>Paper transcribed</x:v>
      </x:c>
      <x:c r="F655" s="4" t="str">
        <x:v>Record captured</x:v>
      </x:c>
      <x:c r="G655" s="4" t="str">
        <x:v>Agreement signed</x:v>
      </x:c>
    </x:row>
    <x:row r="656" ht="34" customHeight="1">
      <x:c r="A656" s="4" t="str">
        <x:v>RS-00655-E1</x:v>
      </x:c>
      <x:c r="B656" s="4" t="str">
        <x:v>RS-00655</x:v>
      </x:c>
      <x:c r="C656" s="8" t="n">
        <x:v>45333</x:v>
      </x:c>
      <x:c r="D656" s="4" t="str">
        <x:v>Sales operations manager</x:v>
      </x:c>
      <x:c r="E656" s="4" t="str">
        <x:v>WhatsApp transcribed</x:v>
      </x:c>
      <x:c r="F656" s="4" t="str">
        <x:v>Record captured</x:v>
      </x:c>
      <x:c r="G656" s="4" t="str">
        <x:v>Reserved</x:v>
      </x:c>
    </x:row>
    <x:row r="657" ht="34" customHeight="1">
      <x:c r="A657" s="4" t="str">
        <x:v>RS-00656-E1</x:v>
      </x:c>
      <x:c r="B657" s="4" t="str">
        <x:v>RS-00656</x:v>
      </x:c>
      <x:c r="C657" s="8" t="n">
        <x:v>45334</x:v>
      </x:c>
      <x:c r="D657" s="4" t="str">
        <x:v>Sales operations manager</x:v>
      </x:c>
      <x:c r="E657" s="4" t="str">
        <x:v>ERP form</x:v>
      </x:c>
      <x:c r="F657" s="4" t="str">
        <x:v>Record captured</x:v>
      </x:c>
      <x:c r="G657" s="4" t="str">
        <x:v>Booked</x:v>
      </x:c>
    </x:row>
    <x:row r="658" ht="34" customHeight="1">
      <x:c r="A658" s="4" t="str">
        <x:v>RS-00657-E1</x:v>
      </x:c>
      <x:c r="B658" s="4" t="str">
        <x:v>RS-00657</x:v>
      </x:c>
      <x:c r="C658" s="8" t="n">
        <x:v>45335</x:v>
      </x:c>
      <x:c r="D658" s="4" t="str">
        <x:v>Sales operations manager</x:v>
      </x:c>
      <x:c r="E658" s="4" t="str">
        <x:v>Paper transcribed</x:v>
      </x:c>
      <x:c r="F658" s="4" t="str">
        <x:v>Record captured</x:v>
      </x:c>
      <x:c r="G658" s="4" t="str">
        <x:v>Booked</x:v>
      </x:c>
    </x:row>
    <x:row r="659" ht="34" customHeight="1">
      <x:c r="A659" s="4" t="str">
        <x:v>RS-00658-E1</x:v>
      </x:c>
      <x:c r="B659" s="4" t="str">
        <x:v>RS-00658</x:v>
      </x:c>
      <x:c r="C659" s="8" t="n">
        <x:v>45336</x:v>
      </x:c>
      <x:c r="D659" s="4" t="str">
        <x:v>Sales operations manager</x:v>
      </x:c>
      <x:c r="E659" s="4" t="str">
        <x:v>Paper transcribed</x:v>
      </x:c>
      <x:c r="F659" s="4" t="str">
        <x:v>Record captured</x:v>
      </x:c>
      <x:c r="G659" s="4" t="str">
        <x:v>Agreement signed</x:v>
      </x:c>
    </x:row>
    <x:row r="660" ht="34" customHeight="1">
      <x:c r="A660" s="4" t="str">
        <x:v>RS-00659-E1</x:v>
      </x:c>
      <x:c r="B660" s="4" t="str">
        <x:v>RS-00659</x:v>
      </x:c>
      <x:c r="C660" s="8" t="n">
        <x:v>45337</x:v>
      </x:c>
      <x:c r="D660" s="4" t="str">
        <x:v>Sales operations manager</x:v>
      </x:c>
      <x:c r="E660" s="4" t="str">
        <x:v>ERP form</x:v>
      </x:c>
      <x:c r="F660" s="4" t="str">
        <x:v>Record captured</x:v>
      </x:c>
      <x:c r="G660" s="4" t="str">
        <x:v>Reserved</x:v>
      </x:c>
    </x:row>
    <x:row r="661" ht="34" customHeight="1">
      <x:c r="A661" s="4" t="str">
        <x:v>RS-00660-E1</x:v>
      </x:c>
      <x:c r="B661" s="4" t="str">
        <x:v>RS-00660</x:v>
      </x:c>
      <x:c r="C661" s="8" t="n">
        <x:v>45338</x:v>
      </x:c>
      <x:c r="D661" s="4" t="str">
        <x:v>Sales operations manager</x:v>
      </x:c>
      <x:c r="E661" s="4" t="str">
        <x:v>WhatsApp transcribed</x:v>
      </x:c>
      <x:c r="F661" s="4" t="str">
        <x:v>Record captured</x:v>
      </x:c>
      <x:c r="G661" s="4" t="str">
        <x:v>Agreement signed</x:v>
      </x:c>
    </x:row>
    <x:row r="662" ht="34" customHeight="1">
      <x:c r="A662" s="4" t="str">
        <x:v>RS-00661-E1</x:v>
      </x:c>
      <x:c r="B662" s="4" t="str">
        <x:v>RS-00661</x:v>
      </x:c>
      <x:c r="C662" s="8" t="n">
        <x:v>45339</x:v>
      </x:c>
      <x:c r="D662" s="4" t="str">
        <x:v>Sales operations manager</x:v>
      </x:c>
      <x:c r="E662" s="4" t="str">
        <x:v>Spreadsheet import</x:v>
      </x:c>
      <x:c r="F662" s="4" t="str">
        <x:v>Record captured</x:v>
      </x:c>
      <x:c r="G662" s="4" t="str">
        <x:v>Booked</x:v>
      </x:c>
    </x:row>
    <x:row r="663" ht="34" customHeight="1">
      <x:c r="A663" s="4" t="str">
        <x:v>RS-00662-E1</x:v>
      </x:c>
      <x:c r="B663" s="4" t="str">
        <x:v>RS-00662</x:v>
      </x:c>
      <x:c r="C663" s="8" t="n">
        <x:v>45340</x:v>
      </x:c>
      <x:c r="D663" s="4" t="str">
        <x:v>Sales operations manager</x:v>
      </x:c>
      <x:c r="E663" s="4" t="str">
        <x:v>Paper transcribed</x:v>
      </x:c>
      <x:c r="F663" s="4" t="str">
        <x:v>Record captured</x:v>
      </x:c>
      <x:c r="G663" s="4" t="str">
        <x:v>Booked</x:v>
      </x:c>
    </x:row>
    <x:row r="664" ht="34" customHeight="1">
      <x:c r="A664" s="4" t="str">
        <x:v>RS-00663-E1</x:v>
      </x:c>
      <x:c r="B664" s="4" t="str">
        <x:v>RS-00663</x:v>
      </x:c>
      <x:c r="C664" s="8" t="n">
        <x:v>45341</x:v>
      </x:c>
      <x:c r="D664" s="4" t="str">
        <x:v>Sales operations manager</x:v>
      </x:c>
      <x:c r="E664" s="4" t="str">
        <x:v>WhatsApp transcribed</x:v>
      </x:c>
      <x:c r="F664" s="4" t="str">
        <x:v>Record captured</x:v>
      </x:c>
      <x:c r="G664" s="4" t="str">
        <x:v>Handed over</x:v>
      </x:c>
    </x:row>
    <x:row r="665" ht="34" customHeight="1">
      <x:c r="A665" s="4" t="str">
        <x:v>RS-00664-E1</x:v>
      </x:c>
      <x:c r="B665" s="4" t="str">
        <x:v>RS-00664</x:v>
      </x:c>
      <x:c r="C665" s="8" t="n">
        <x:v>45342</x:v>
      </x:c>
      <x:c r="D665" s="4" t="str">
        <x:v>Sales operations manager</x:v>
      </x:c>
      <x:c r="E665" s="4" t="str">
        <x:v>ERP form</x:v>
      </x:c>
      <x:c r="F665" s="4" t="str">
        <x:v>Record captured</x:v>
      </x:c>
      <x:c r="G665" s="4" t="str">
        <x:v>Handed over</x:v>
      </x:c>
    </x:row>
    <x:row r="666" ht="34" customHeight="1">
      <x:c r="A666" s="4" t="str">
        <x:v>RS-00665-E1</x:v>
      </x:c>
      <x:c r="B666" s="4" t="str">
        <x:v>RS-00665</x:v>
      </x:c>
      <x:c r="C666" s="8" t="n">
        <x:v>45343</x:v>
      </x:c>
      <x:c r="D666" s="4" t="str">
        <x:v>Sales operations manager</x:v>
      </x:c>
      <x:c r="E666" s="4" t="str">
        <x:v>ERP form</x:v>
      </x:c>
      <x:c r="F666" s="4" t="str">
        <x:v>Record captured</x:v>
      </x:c>
      <x:c r="G666" s="4" t="str">
        <x:v>Reserved</x:v>
      </x:c>
    </x:row>
    <x:row r="667" ht="34" customHeight="1">
      <x:c r="A667" s="4" t="str">
        <x:v>RS-00666-E1</x:v>
      </x:c>
      <x:c r="B667" s="4" t="str">
        <x:v>RS-00666</x:v>
      </x:c>
      <x:c r="C667" s="8" t="n">
        <x:v>45344</x:v>
      </x:c>
      <x:c r="D667" s="4" t="str">
        <x:v>Sales operations manager</x:v>
      </x:c>
      <x:c r="E667" s="4" t="str">
        <x:v>ERP form</x:v>
      </x:c>
      <x:c r="F667" s="4" t="str">
        <x:v>Record captured</x:v>
      </x:c>
      <x:c r="G667" s="4" t="str">
        <x:v>Cancelled</x:v>
      </x:c>
    </x:row>
    <x:row r="668" ht="34" customHeight="1">
      <x:c r="A668" s="4" t="str">
        <x:v>RS-00667-E1</x:v>
      </x:c>
      <x:c r="B668" s="4" t="str">
        <x:v>RS-00667</x:v>
      </x:c>
      <x:c r="C668" s="8" t="n">
        <x:v>45345</x:v>
      </x:c>
      <x:c r="D668" s="4" t="str">
        <x:v>Sales operations manager</x:v>
      </x:c>
      <x:c r="E668" s="4" t="str">
        <x:v>WhatsApp transcribed</x:v>
      </x:c>
      <x:c r="F668" s="4" t="str">
        <x:v>Record captured</x:v>
      </x:c>
      <x:c r="G668" s="4" t="str">
        <x:v>Cancelled</x:v>
      </x:c>
    </x:row>
    <x:row r="669" ht="34" customHeight="1">
      <x:c r="A669" s="4" t="str">
        <x:v>RS-00668-E1</x:v>
      </x:c>
      <x:c r="B669" s="4" t="str">
        <x:v>RS-00668</x:v>
      </x:c>
      <x:c r="C669" s="8" t="n">
        <x:v>45346</x:v>
      </x:c>
      <x:c r="D669" s="4" t="str">
        <x:v>Sales operations manager</x:v>
      </x:c>
      <x:c r="E669" s="4" t="str">
        <x:v>Paper transcribed</x:v>
      </x:c>
      <x:c r="F669" s="4" t="str">
        <x:v>Record captured</x:v>
      </x:c>
      <x:c r="G669" s="4" t="str">
        <x:v>Cancelled</x:v>
      </x:c>
    </x:row>
    <x:row r="670" ht="34" customHeight="1">
      <x:c r="A670" s="4" t="str">
        <x:v>RS-00669-E1</x:v>
      </x:c>
      <x:c r="B670" s="4" t="str">
        <x:v>RS-00669</x:v>
      </x:c>
      <x:c r="C670" s="8" t="n">
        <x:v>45347</x:v>
      </x:c>
      <x:c r="D670" s="4" t="str">
        <x:v>Sales operations manager</x:v>
      </x:c>
      <x:c r="E670" s="4" t="str">
        <x:v>WhatsApp transcribed</x:v>
      </x:c>
      <x:c r="F670" s="4" t="str">
        <x:v>Record captured</x:v>
      </x:c>
      <x:c r="G670" s="4" t="str">
        <x:v>Agreement signed</x:v>
      </x:c>
    </x:row>
    <x:row r="671" ht="34" customHeight="1">
      <x:c r="A671" s="4" t="str">
        <x:v>RS-00670-E1</x:v>
      </x:c>
      <x:c r="B671" s="4" t="str">
        <x:v>RS-00670</x:v>
      </x:c>
      <x:c r="C671" s="8" t="n">
        <x:v>45348</x:v>
      </x:c>
      <x:c r="D671" s="4" t="str">
        <x:v>Sales operations manager</x:v>
      </x:c>
      <x:c r="E671" s="4" t="str">
        <x:v>Spreadsheet import</x:v>
      </x:c>
      <x:c r="F671" s="4" t="str">
        <x:v>Record captured</x:v>
      </x:c>
      <x:c r="G671" s="4" t="str">
        <x:v>Reserved</x:v>
      </x:c>
    </x:row>
    <x:row r="672" ht="34" customHeight="1">
      <x:c r="A672" s="4" t="str">
        <x:v>RS-00671-E1</x:v>
      </x:c>
      <x:c r="B672" s="4" t="str">
        <x:v>RS-00671</x:v>
      </x:c>
      <x:c r="C672" s="8" t="n">
        <x:v>45349</x:v>
      </x:c>
      <x:c r="D672" s="4" t="str">
        <x:v>Sales operations manager</x:v>
      </x:c>
      <x:c r="E672" s="4" t="str">
        <x:v>Paper transcribed</x:v>
      </x:c>
      <x:c r="F672" s="4" t="str">
        <x:v>Record captured</x:v>
      </x:c>
      <x:c r="G672" s="4" t="str">
        <x:v>Reserved</x:v>
      </x:c>
    </x:row>
    <x:row r="673" ht="34" customHeight="1">
      <x:c r="A673" s="4" t="str">
        <x:v>RS-00672-E1</x:v>
      </x:c>
      <x:c r="B673" s="4" t="str">
        <x:v>RS-00672</x:v>
      </x:c>
      <x:c r="C673" s="8" t="n">
        <x:v>45350</x:v>
      </x:c>
      <x:c r="D673" s="4" t="str">
        <x:v>Sales operations manager</x:v>
      </x:c>
      <x:c r="E673" s="4" t="str">
        <x:v>WhatsApp transcribed</x:v>
      </x:c>
      <x:c r="F673" s="4" t="str">
        <x:v>Record captured</x:v>
      </x:c>
      <x:c r="G673" s="4" t="str">
        <x:v>Agreement signed</x:v>
      </x:c>
    </x:row>
    <x:row r="674" ht="34" customHeight="1">
      <x:c r="A674" s="4" t="str">
        <x:v>RS-00673-E1</x:v>
      </x:c>
      <x:c r="B674" s="4" t="str">
        <x:v>RS-00673</x:v>
      </x:c>
      <x:c r="C674" s="8" t="n">
        <x:v>45323</x:v>
      </x:c>
      <x:c r="D674" s="4" t="str">
        <x:v>Sales operations manager</x:v>
      </x:c>
      <x:c r="E674" s="4" t="str">
        <x:v>WhatsApp transcribed</x:v>
      </x:c>
      <x:c r="F674" s="4" t="str">
        <x:v>Record captured</x:v>
      </x:c>
      <x:c r="G674" s="4" t="str">
        <x:v>Reserved</x:v>
      </x:c>
    </x:row>
    <x:row r="675" ht="34" customHeight="1">
      <x:c r="A675" s="4" t="str">
        <x:v>RS-00674-E1</x:v>
      </x:c>
      <x:c r="B675" s="4" t="str">
        <x:v>RS-00674</x:v>
      </x:c>
      <x:c r="C675" s="8" t="n">
        <x:v>45324</x:v>
      </x:c>
      <x:c r="D675" s="4" t="str">
        <x:v>Sales operations manager</x:v>
      </x:c>
      <x:c r="E675" s="4" t="str">
        <x:v>WhatsApp transcribed</x:v>
      </x:c>
      <x:c r="F675" s="4" t="str">
        <x:v>Record captured</x:v>
      </x:c>
      <x:c r="G675" s="4" t="str">
        <x:v>Booked</x:v>
      </x:c>
    </x:row>
    <x:row r="676" ht="34" customHeight="1">
      <x:c r="A676" s="4" t="str">
        <x:v>RS-00675-E1</x:v>
      </x:c>
      <x:c r="B676" s="4" t="str">
        <x:v>RS-00675</x:v>
      </x:c>
      <x:c r="C676" s="8" t="n">
        <x:v>45325</x:v>
      </x:c>
      <x:c r="D676" s="4" t="str">
        <x:v>Sales operations manager</x:v>
      </x:c>
      <x:c r="E676" s="4" t="str">
        <x:v>ERP form</x:v>
      </x:c>
      <x:c r="F676" s="4" t="str">
        <x:v>Record captured</x:v>
      </x:c>
      <x:c r="G676" s="4" t="str">
        <x:v>Cancelled</x:v>
      </x:c>
    </x:row>
    <x:row r="677" ht="34" customHeight="1">
      <x:c r="A677" s="4" t="str">
        <x:v>RS-00676-E1</x:v>
      </x:c>
      <x:c r="B677" s="4" t="str">
        <x:v>RS-00676</x:v>
      </x:c>
      <x:c r="C677" s="8" t="n">
        <x:v>45326</x:v>
      </x:c>
      <x:c r="D677" s="4" t="str">
        <x:v>Sales operations manager</x:v>
      </x:c>
      <x:c r="E677" s="4" t="str">
        <x:v>Spreadsheet import</x:v>
      </x:c>
      <x:c r="F677" s="4" t="str">
        <x:v>Record captured</x:v>
      </x:c>
      <x:c r="G677" s="4" t="str">
        <x:v>Cancelled</x:v>
      </x:c>
    </x:row>
    <x:row r="678" ht="34" customHeight="1">
      <x:c r="A678" s="4" t="str">
        <x:v>RS-00677-E1</x:v>
      </x:c>
      <x:c r="B678" s="4" t="str">
        <x:v>RS-00677</x:v>
      </x:c>
      <x:c r="C678" s="8" t="n">
        <x:v>45327</x:v>
      </x:c>
      <x:c r="D678" s="4" t="str">
        <x:v>Sales operations manager</x:v>
      </x:c>
      <x:c r="E678" s="4" t="str">
        <x:v>ERP form</x:v>
      </x:c>
      <x:c r="F678" s="4" t="str">
        <x:v>Record captured</x:v>
      </x:c>
      <x:c r="G678" s="4" t="str">
        <x:v>Cancelled</x:v>
      </x:c>
    </x:row>
    <x:row r="679" ht="34" customHeight="1">
      <x:c r="A679" s="4" t="str">
        <x:v>RS-00678-E1</x:v>
      </x:c>
      <x:c r="B679" s="4" t="str">
        <x:v>RS-00678</x:v>
      </x:c>
      <x:c r="C679" s="8" t="n">
        <x:v>45328</x:v>
      </x:c>
      <x:c r="D679" s="4" t="str">
        <x:v>Sales operations manager</x:v>
      </x:c>
      <x:c r="E679" s="4" t="str">
        <x:v>ERP form</x:v>
      </x:c>
      <x:c r="F679" s="4" t="str">
        <x:v>Record captured</x:v>
      </x:c>
      <x:c r="G679" s="4" t="str">
        <x:v>Handed over</x:v>
      </x:c>
    </x:row>
    <x:row r="680" ht="34" customHeight="1">
      <x:c r="A680" s="4" t="str">
        <x:v>RS-00679-E1</x:v>
      </x:c>
      <x:c r="B680" s="4" t="str">
        <x:v>RS-00679</x:v>
      </x:c>
      <x:c r="C680" s="8" t="n">
        <x:v>45329</x:v>
      </x:c>
      <x:c r="D680" s="4" t="str">
        <x:v>Sales operations manager</x:v>
      </x:c>
      <x:c r="E680" s="4" t="str">
        <x:v>WhatsApp transcribed</x:v>
      </x:c>
      <x:c r="F680" s="4" t="str">
        <x:v>Record captured</x:v>
      </x:c>
      <x:c r="G680" s="4" t="str">
        <x:v>Cancelled</x:v>
      </x:c>
    </x:row>
    <x:row r="681" ht="34" customHeight="1">
      <x:c r="A681" s="4" t="str">
        <x:v>RS-00680-E1</x:v>
      </x:c>
      <x:c r="B681" s="4" t="str">
        <x:v>RS-00680</x:v>
      </x:c>
      <x:c r="C681" s="8" t="n">
        <x:v>45330</x:v>
      </x:c>
      <x:c r="D681" s="4" t="str">
        <x:v>Sales operations manager</x:v>
      </x:c>
      <x:c r="E681" s="4" t="str">
        <x:v>Spreadsheet import</x:v>
      </x:c>
      <x:c r="F681" s="4" t="str">
        <x:v>Record captured</x:v>
      </x:c>
      <x:c r="G681" s="4" t="str">
        <x:v>Booked</x:v>
      </x:c>
    </x:row>
    <x:row r="682" ht="34" customHeight="1">
      <x:c r="A682" s="4" t="str">
        <x:v>RS-00681-E1</x:v>
      </x:c>
      <x:c r="B682" s="4" t="str">
        <x:v>RS-00681</x:v>
      </x:c>
      <x:c r="C682" s="8" t="n">
        <x:v>45331</x:v>
      </x:c>
      <x:c r="D682" s="4" t="str">
        <x:v>Sales operations manager</x:v>
      </x:c>
      <x:c r="E682" s="4" t="str">
        <x:v>WhatsApp transcribed</x:v>
      </x:c>
      <x:c r="F682" s="4" t="str">
        <x:v>Record captured</x:v>
      </x:c>
      <x:c r="G682" s="4" t="str">
        <x:v>Cancelled</x:v>
      </x:c>
    </x:row>
    <x:row r="683" ht="34" customHeight="1">
      <x:c r="A683" s="4" t="str">
        <x:v>RS-00682-E1</x:v>
      </x:c>
      <x:c r="B683" s="4" t="str">
        <x:v>RS-00682</x:v>
      </x:c>
      <x:c r="C683" s="8" t="n">
        <x:v>45332</x:v>
      </x:c>
      <x:c r="D683" s="4" t="str">
        <x:v>Sales operations manager</x:v>
      </x:c>
      <x:c r="E683" s="4" t="str">
        <x:v>ERP form</x:v>
      </x:c>
      <x:c r="F683" s="4" t="str">
        <x:v>Record captured</x:v>
      </x:c>
      <x:c r="G683" s="4" t="str">
        <x:v>Reserved</x:v>
      </x:c>
    </x:row>
    <x:row r="684" ht="34" customHeight="1">
      <x:c r="A684" s="4" t="str">
        <x:v>RS-00683-E1</x:v>
      </x:c>
      <x:c r="B684" s="4" t="str">
        <x:v>RS-00683</x:v>
      </x:c>
      <x:c r="C684" s="8" t="n">
        <x:v>45333</x:v>
      </x:c>
      <x:c r="D684" s="4" t="str">
        <x:v>Sales operations manager</x:v>
      </x:c>
      <x:c r="E684" s="4" t="str">
        <x:v>WhatsApp transcribed</x:v>
      </x:c>
      <x:c r="F684" s="4" t="str">
        <x:v>Record captured</x:v>
      </x:c>
      <x:c r="G684" s="4" t="str">
        <x:v>Booked</x:v>
      </x:c>
    </x:row>
    <x:row r="685" ht="34" customHeight="1">
      <x:c r="A685" s="4" t="str">
        <x:v>RS-00684-E1</x:v>
      </x:c>
      <x:c r="B685" s="4" t="str">
        <x:v>RS-00684</x:v>
      </x:c>
      <x:c r="C685" s="8" t="n">
        <x:v>45334</x:v>
      </x:c>
      <x:c r="D685" s="4" t="str">
        <x:v>Sales operations manager</x:v>
      </x:c>
      <x:c r="E685" s="4" t="str">
        <x:v>Paper transcribed</x:v>
      </x:c>
      <x:c r="F685" s="4" t="str">
        <x:v>Record captured</x:v>
      </x:c>
      <x:c r="G685" s="4" t="str">
        <x:v>Agreement signed</x:v>
      </x:c>
    </x:row>
    <x:row r="686" ht="34" customHeight="1">
      <x:c r="A686" s="4" t="str">
        <x:v>RS-00685-E1</x:v>
      </x:c>
      <x:c r="B686" s="4" t="str">
        <x:v>RS-00685</x:v>
      </x:c>
      <x:c r="C686" s="8" t="n">
        <x:v>45335</x:v>
      </x:c>
      <x:c r="D686" s="4" t="str">
        <x:v>Sales operations manager</x:v>
      </x:c>
      <x:c r="E686" s="4" t="str">
        <x:v>Spreadsheet import</x:v>
      </x:c>
      <x:c r="F686" s="4" t="str">
        <x:v>Record captured</x:v>
      </x:c>
      <x:c r="G686" s="4" t="str">
        <x:v>Reserved</x:v>
      </x:c>
    </x:row>
    <x:row r="687" ht="34" customHeight="1">
      <x:c r="A687" s="4" t="str">
        <x:v>RS-00686-E1</x:v>
      </x:c>
      <x:c r="B687" s="4" t="str">
        <x:v>RS-00686</x:v>
      </x:c>
      <x:c r="C687" s="8" t="n">
        <x:v>45336</x:v>
      </x:c>
      <x:c r="D687" s="4" t="str">
        <x:v>Sales operations manager</x:v>
      </x:c>
      <x:c r="E687" s="4" t="str">
        <x:v>ERP form</x:v>
      </x:c>
      <x:c r="F687" s="4" t="str">
        <x:v>Record captured</x:v>
      </x:c>
      <x:c r="G687" s="4" t="str">
        <x:v>Handed over</x:v>
      </x:c>
    </x:row>
    <x:row r="688" ht="34" customHeight="1">
      <x:c r="A688" s="4" t="str">
        <x:v>RS-00687-E1</x:v>
      </x:c>
      <x:c r="B688" s="4" t="str">
        <x:v>RS-00687</x:v>
      </x:c>
      <x:c r="C688" s="8" t="n">
        <x:v>45337</x:v>
      </x:c>
      <x:c r="D688" s="4" t="str">
        <x:v>Sales operations manager</x:v>
      </x:c>
      <x:c r="E688" s="4" t="str">
        <x:v>Paper transcribed</x:v>
      </x:c>
      <x:c r="F688" s="4" t="str">
        <x:v>Record captured</x:v>
      </x:c>
      <x:c r="G688" s="4" t="str">
        <x:v>Handed over</x:v>
      </x:c>
    </x:row>
    <x:row r="689" ht="34" customHeight="1">
      <x:c r="A689" s="4" t="str">
        <x:v>RS-00688-E1</x:v>
      </x:c>
      <x:c r="B689" s="4" t="str">
        <x:v>RS-00688</x:v>
      </x:c>
      <x:c r="C689" s="8" t="n">
        <x:v>45338</x:v>
      </x:c>
      <x:c r="D689" s="4" t="str">
        <x:v>Sales operations manager</x:v>
      </x:c>
      <x:c r="E689" s="4" t="str">
        <x:v>Spreadsheet import</x:v>
      </x:c>
      <x:c r="F689" s="4" t="str">
        <x:v>Record captured</x:v>
      </x:c>
      <x:c r="G689" s="4" t="str">
        <x:v>Booked</x:v>
      </x:c>
    </x:row>
    <x:row r="690" ht="34" customHeight="1">
      <x:c r="A690" s="4" t="str">
        <x:v>RS-00689-E1</x:v>
      </x:c>
      <x:c r="B690" s="4" t="str">
        <x:v>RS-00689</x:v>
      </x:c>
      <x:c r="C690" s="8" t="n">
        <x:v>45339</x:v>
      </x:c>
      <x:c r="D690" s="4" t="str">
        <x:v>Sales operations manager</x:v>
      </x:c>
      <x:c r="E690" s="4" t="str">
        <x:v>Paper transcribed</x:v>
      </x:c>
      <x:c r="F690" s="4" t="str">
        <x:v>Record captured</x:v>
      </x:c>
      <x:c r="G690" s="4" t="str">
        <x:v>Enquiry</x:v>
      </x:c>
    </x:row>
    <x:row r="691" ht="34" customHeight="1">
      <x:c r="A691" s="4" t="str">
        <x:v>RS-00690-E1</x:v>
      </x:c>
      <x:c r="B691" s="4" t="str">
        <x:v>RS-00690</x:v>
      </x:c>
      <x:c r="C691" s="8" t="n">
        <x:v>45340</x:v>
      </x:c>
      <x:c r="D691" s="4" t="str">
        <x:v>Sales operations manager</x:v>
      </x:c>
      <x:c r="E691" s="4" t="str">
        <x:v>ERP form</x:v>
      </x:c>
      <x:c r="F691" s="4" t="str">
        <x:v>Record captured</x:v>
      </x:c>
      <x:c r="G691" s="4" t="str">
        <x:v>Enquiry</x:v>
      </x:c>
    </x:row>
    <x:row r="692" ht="34" customHeight="1">
      <x:c r="A692" s="4" t="str">
        <x:v>RS-00691-E1</x:v>
      </x:c>
      <x:c r="B692" s="4" t="str">
        <x:v>RS-00691</x:v>
      </x:c>
      <x:c r="C692" s="8" t="n">
        <x:v>45341</x:v>
      </x:c>
      <x:c r="D692" s="4" t="str">
        <x:v>Sales operations manager</x:v>
      </x:c>
      <x:c r="E692" s="4" t="str">
        <x:v>WhatsApp transcribed</x:v>
      </x:c>
      <x:c r="F692" s="4" t="str">
        <x:v>Record captured</x:v>
      </x:c>
      <x:c r="G692" s="4" t="str">
        <x:v>Booked</x:v>
      </x:c>
    </x:row>
    <x:row r="693" ht="34" customHeight="1">
      <x:c r="A693" s="4" t="str">
        <x:v>RS-00692-E1</x:v>
      </x:c>
      <x:c r="B693" s="4" t="str">
        <x:v>RS-00692</x:v>
      </x:c>
      <x:c r="C693" s="8" t="n">
        <x:v>45342</x:v>
      </x:c>
      <x:c r="D693" s="4" t="str">
        <x:v>Sales operations manager</x:v>
      </x:c>
      <x:c r="E693" s="4" t="str">
        <x:v>Spreadsheet import</x:v>
      </x:c>
      <x:c r="F693" s="4" t="str">
        <x:v>Record captured</x:v>
      </x:c>
      <x:c r="G693" s="4" t="str">
        <x:v>Enquiry</x:v>
      </x:c>
    </x:row>
    <x:row r="694" ht="34" customHeight="1">
      <x:c r="A694" s="4" t="str">
        <x:v>RS-00693-E1</x:v>
      </x:c>
      <x:c r="B694" s="4" t="str">
        <x:v>RS-00693</x:v>
      </x:c>
      <x:c r="C694" s="8" t="n">
        <x:v>45343</x:v>
      </x:c>
      <x:c r="D694" s="4" t="str">
        <x:v>Sales operations manager</x:v>
      </x:c>
      <x:c r="E694" s="4" t="str">
        <x:v>Paper transcribed</x:v>
      </x:c>
      <x:c r="F694" s="4" t="str">
        <x:v>Record captured</x:v>
      </x:c>
      <x:c r="G694" s="4" t="str">
        <x:v>Reserved</x:v>
      </x:c>
    </x:row>
    <x:row r="695" ht="34" customHeight="1">
      <x:c r="A695" s="4" t="str">
        <x:v>RS-00694-E1</x:v>
      </x:c>
      <x:c r="B695" s="4" t="str">
        <x:v>RS-00694</x:v>
      </x:c>
      <x:c r="C695" s="8" t="n">
        <x:v>45344</x:v>
      </x:c>
      <x:c r="D695" s="4" t="str">
        <x:v>Sales operations manager</x:v>
      </x:c>
      <x:c r="E695" s="4" t="str">
        <x:v>Paper transcribed</x:v>
      </x:c>
      <x:c r="F695" s="4" t="str">
        <x:v>Record captured</x:v>
      </x:c>
      <x:c r="G695" s="4" t="str">
        <x:v>Cancelled</x:v>
      </x:c>
    </x:row>
    <x:row r="696" ht="34" customHeight="1">
      <x:c r="A696" s="4" t="str">
        <x:v>RS-00695-E1</x:v>
      </x:c>
      <x:c r="B696" s="4" t="str">
        <x:v>RS-00695</x:v>
      </x:c>
      <x:c r="C696" s="8" t="n">
        <x:v>45345</x:v>
      </x:c>
      <x:c r="D696" s="4" t="str">
        <x:v>Sales operations manager</x:v>
      </x:c>
      <x:c r="E696" s="4" t="str">
        <x:v>WhatsApp transcribed</x:v>
      </x:c>
      <x:c r="F696" s="4" t="str">
        <x:v>Record captured</x:v>
      </x:c>
      <x:c r="G696" s="4" t="str">
        <x:v>Reserved</x:v>
      </x:c>
    </x:row>
    <x:row r="697" ht="34" customHeight="1">
      <x:c r="A697" s="4" t="str">
        <x:v>RS-00696-E1</x:v>
      </x:c>
      <x:c r="B697" s="4" t="str">
        <x:v>RS-00696</x:v>
      </x:c>
      <x:c r="C697" s="8" t="n">
        <x:v>45346</x:v>
      </x:c>
      <x:c r="D697" s="4" t="str">
        <x:v>Sales operations manager</x:v>
      </x:c>
      <x:c r="E697" s="4" t="str">
        <x:v>WhatsApp transcribed</x:v>
      </x:c>
      <x:c r="F697" s="4" t="str">
        <x:v>Record captured</x:v>
      </x:c>
      <x:c r="G697" s="4" t="str">
        <x:v>Cancelled</x:v>
      </x:c>
    </x:row>
    <x:row r="698" ht="34" customHeight="1">
      <x:c r="A698" s="4" t="str">
        <x:v>RS-00697-E1</x:v>
      </x:c>
      <x:c r="B698" s="4" t="str">
        <x:v>RS-00697</x:v>
      </x:c>
      <x:c r="C698" s="8" t="n">
        <x:v>45347</x:v>
      </x:c>
      <x:c r="D698" s="4" t="str">
        <x:v>Sales operations manager</x:v>
      </x:c>
      <x:c r="E698" s="4" t="str">
        <x:v>Paper transcribed</x:v>
      </x:c>
      <x:c r="F698" s="4" t="str">
        <x:v>Record captured</x:v>
      </x:c>
      <x:c r="G698" s="4" t="str">
        <x:v>Booked</x:v>
      </x:c>
    </x:row>
    <x:row r="699" ht="34" customHeight="1">
      <x:c r="A699" s="4" t="str">
        <x:v>RS-00698-E1</x:v>
      </x:c>
      <x:c r="B699" s="4" t="str">
        <x:v>RS-00698</x:v>
      </x:c>
      <x:c r="C699" s="8" t="n">
        <x:v>45348</x:v>
      </x:c>
      <x:c r="D699" s="4" t="str">
        <x:v>Sales operations manager</x:v>
      </x:c>
      <x:c r="E699" s="4" t="str">
        <x:v>WhatsApp transcribed</x:v>
      </x:c>
      <x:c r="F699" s="4" t="str">
        <x:v>Record captured</x:v>
      </x:c>
      <x:c r="G699" s="4" t="str">
        <x:v>Booked</x:v>
      </x:c>
    </x:row>
    <x:row r="700" ht="34" customHeight="1">
      <x:c r="A700" s="4" t="str">
        <x:v>RS-00699-E1</x:v>
      </x:c>
      <x:c r="B700" s="4" t="str">
        <x:v>RS-00699</x:v>
      </x:c>
      <x:c r="C700" s="8" t="n">
        <x:v>45349</x:v>
      </x:c>
      <x:c r="D700" s="4" t="str">
        <x:v>Sales operations manager</x:v>
      </x:c>
      <x:c r="E700" s="4" t="str">
        <x:v>WhatsApp transcribed</x:v>
      </x:c>
      <x:c r="F700" s="4" t="str">
        <x:v>Record captured</x:v>
      </x:c>
      <x:c r="G700" s="4" t="str">
        <x:v>Reserved</x:v>
      </x:c>
    </x:row>
    <x:row r="701" ht="34" customHeight="1">
      <x:c r="A701" s="4" t="str">
        <x:v>RS-00700-E1</x:v>
      </x:c>
      <x:c r="B701" s="4" t="str">
        <x:v>RS-00700</x:v>
      </x:c>
      <x:c r="C701" s="8" t="n">
        <x:v>45350</x:v>
      </x:c>
      <x:c r="D701" s="4" t="str">
        <x:v>Sales operations manager</x:v>
      </x:c>
      <x:c r="E701" s="4" t="str">
        <x:v>ERP form</x:v>
      </x:c>
      <x:c r="F701" s="4" t="str">
        <x:v>Record captured</x:v>
      </x:c>
      <x:c r="G701" s="4" t="str">
        <x:v>Booked</x:v>
      </x:c>
    </x:row>
    <x:row r="702" ht="34" customHeight="1">
      <x:c r="A702" s="4" t="str">
        <x:v>RS-00701-E1</x:v>
      </x:c>
      <x:c r="B702" s="4" t="str">
        <x:v>RS-00701</x:v>
      </x:c>
      <x:c r="C702" s="8" t="n">
        <x:v>45323</x:v>
      </x:c>
      <x:c r="D702" s="4" t="str">
        <x:v>Sales operations manager</x:v>
      </x:c>
      <x:c r="E702" s="4" t="str">
        <x:v>WhatsApp transcribed</x:v>
      </x:c>
      <x:c r="F702" s="4" t="str">
        <x:v>Record captured</x:v>
      </x:c>
      <x:c r="G702" s="4" t="str">
        <x:v>Handed over</x:v>
      </x:c>
    </x:row>
    <x:row r="703" ht="34" customHeight="1">
      <x:c r="A703" s="4" t="str">
        <x:v>RS-00702-E1</x:v>
      </x:c>
      <x:c r="B703" s="4" t="str">
        <x:v>RS-00702</x:v>
      </x:c>
      <x:c r="C703" s="8" t="n">
        <x:v>45324</x:v>
      </x:c>
      <x:c r="D703" s="4" t="str">
        <x:v>Sales operations manager</x:v>
      </x:c>
      <x:c r="E703" s="4" t="str">
        <x:v>Spreadsheet import</x:v>
      </x:c>
      <x:c r="F703" s="4" t="str">
        <x:v>Record captured</x:v>
      </x:c>
      <x:c r="G703" s="4" t="str">
        <x:v>Booked</x:v>
      </x:c>
    </x:row>
    <x:row r="704" ht="34" customHeight="1">
      <x:c r="A704" s="4" t="str">
        <x:v>RS-00703-E1</x:v>
      </x:c>
      <x:c r="B704" s="4" t="str">
        <x:v>RS-00703</x:v>
      </x:c>
      <x:c r="C704" s="8" t="n">
        <x:v>45325</x:v>
      </x:c>
      <x:c r="D704" s="4" t="str">
        <x:v>Sales operations manager</x:v>
      </x:c>
      <x:c r="E704" s="4" t="str">
        <x:v>WhatsApp transcribed</x:v>
      </x:c>
      <x:c r="F704" s="4" t="str">
        <x:v>Record captured</x:v>
      </x:c>
      <x:c r="G704" s="4" t="str">
        <x:v>Cancelled</x:v>
      </x:c>
    </x:row>
    <x:row r="705" ht="34" customHeight="1">
      <x:c r="A705" s="4" t="str">
        <x:v>RS-00704-E1</x:v>
      </x:c>
      <x:c r="B705" s="4" t="str">
        <x:v>RS-00704</x:v>
      </x:c>
      <x:c r="C705" s="8" t="n">
        <x:v>45326</x:v>
      </x:c>
      <x:c r="D705" s="4" t="str">
        <x:v>Sales operations manager</x:v>
      </x:c>
      <x:c r="E705" s="4" t="str">
        <x:v>WhatsApp transcribed</x:v>
      </x:c>
      <x:c r="F705" s="4" t="str">
        <x:v>Record captured</x:v>
      </x:c>
      <x:c r="G705" s="4" t="str">
        <x:v>Reserved</x:v>
      </x:c>
    </x:row>
    <x:row r="706" ht="34" customHeight="1">
      <x:c r="A706" s="4" t="str">
        <x:v>RS-00705-E1</x:v>
      </x:c>
      <x:c r="B706" s="4" t="str">
        <x:v>RS-00705</x:v>
      </x:c>
      <x:c r="C706" s="8" t="n">
        <x:v>45327</x:v>
      </x:c>
      <x:c r="D706" s="4" t="str">
        <x:v>Sales operations manager</x:v>
      </x:c>
      <x:c r="E706" s="4" t="str">
        <x:v>Spreadsheet import</x:v>
      </x:c>
      <x:c r="F706" s="4" t="str">
        <x:v>Record captured</x:v>
      </x:c>
      <x:c r="G706" s="4" t="str">
        <x:v>Enquiry</x:v>
      </x:c>
    </x:row>
    <x:row r="707" ht="34" customHeight="1">
      <x:c r="A707" s="4" t="str">
        <x:v>RS-00706-E1</x:v>
      </x:c>
      <x:c r="B707" s="4" t="str">
        <x:v>RS-00706</x:v>
      </x:c>
      <x:c r="C707" s="8" t="n">
        <x:v>45328</x:v>
      </x:c>
      <x:c r="D707" s="4" t="str">
        <x:v>Sales operations manager</x:v>
      </x:c>
      <x:c r="E707" s="4" t="str">
        <x:v>ERP form</x:v>
      </x:c>
      <x:c r="F707" s="4" t="str">
        <x:v>Record captured</x:v>
      </x:c>
      <x:c r="G707" s="4" t="str">
        <x:v>Handed over</x:v>
      </x:c>
    </x:row>
    <x:row r="708" ht="34" customHeight="1">
      <x:c r="A708" s="4" t="str">
        <x:v>RS-00707-E1</x:v>
      </x:c>
      <x:c r="B708" s="4" t="str">
        <x:v>RS-00707</x:v>
      </x:c>
      <x:c r="C708" s="8" t="n">
        <x:v>45329</x:v>
      </x:c>
      <x:c r="D708" s="4" t="str">
        <x:v>Sales operations manager</x:v>
      </x:c>
      <x:c r="E708" s="4" t="str">
        <x:v>ERP form</x:v>
      </x:c>
      <x:c r="F708" s="4" t="str">
        <x:v>Record captured</x:v>
      </x:c>
      <x:c r="G708" s="4" t="str">
        <x:v>Reserved</x:v>
      </x:c>
    </x:row>
    <x:row r="709" ht="34" customHeight="1">
      <x:c r="A709" s="4" t="str">
        <x:v>RS-00708-E1</x:v>
      </x:c>
      <x:c r="B709" s="4" t="str">
        <x:v>RS-00708</x:v>
      </x:c>
      <x:c r="C709" s="8" t="n">
        <x:v>45330</x:v>
      </x:c>
      <x:c r="D709" s="4" t="str">
        <x:v>Sales operations manager</x:v>
      </x:c>
      <x:c r="E709" s="4" t="str">
        <x:v>Spreadsheet import</x:v>
      </x:c>
      <x:c r="F709" s="4" t="str">
        <x:v>Record captured</x:v>
      </x:c>
      <x:c r="G709" s="4" t="str">
        <x:v>Reserved</x:v>
      </x:c>
    </x:row>
    <x:row r="710" ht="34" customHeight="1">
      <x:c r="A710" s="4" t="str">
        <x:v>RS-00709-E1</x:v>
      </x:c>
      <x:c r="B710" s="4" t="str">
        <x:v>RS-00709</x:v>
      </x:c>
      <x:c r="C710" s="8" t="n">
        <x:v>45331</x:v>
      </x:c>
      <x:c r="D710" s="4" t="str">
        <x:v>Sales operations manager</x:v>
      </x:c>
      <x:c r="E710" s="4" t="str">
        <x:v>Paper transcribed</x:v>
      </x:c>
      <x:c r="F710" s="4" t="str">
        <x:v>Record captured</x:v>
      </x:c>
      <x:c r="G710" s="4" t="str">
        <x:v>Agreement signed</x:v>
      </x:c>
    </x:row>
    <x:row r="711" ht="34" customHeight="1">
      <x:c r="A711" s="4" t="str">
        <x:v>RS-00710-E1</x:v>
      </x:c>
      <x:c r="B711" s="4" t="str">
        <x:v>RS-00710</x:v>
      </x:c>
      <x:c r="C711" s="8" t="n">
        <x:v>45332</x:v>
      </x:c>
      <x:c r="D711" s="4" t="str">
        <x:v>Sales operations manager</x:v>
      </x:c>
      <x:c r="E711" s="4" t="str">
        <x:v>WhatsApp transcribed</x:v>
      </x:c>
      <x:c r="F711" s="4" t="str">
        <x:v>Record captured</x:v>
      </x:c>
      <x:c r="G711" s="4" t="str">
        <x:v>Cancelled</x:v>
      </x:c>
    </x:row>
    <x:row r="712" ht="34" customHeight="1">
      <x:c r="A712" s="4" t="str">
        <x:v>RS-00711-E1</x:v>
      </x:c>
      <x:c r="B712" s="4" t="str">
        <x:v>RS-00711</x:v>
      </x:c>
      <x:c r="C712" s="8" t="n">
        <x:v>45333</x:v>
      </x:c>
      <x:c r="D712" s="4" t="str">
        <x:v>Sales operations manager</x:v>
      </x:c>
      <x:c r="E712" s="4" t="str">
        <x:v>Spreadsheet import</x:v>
      </x:c>
      <x:c r="F712" s="4" t="str">
        <x:v>Record captured</x:v>
      </x:c>
      <x:c r="G712" s="4" t="str">
        <x:v>Handed over</x:v>
      </x:c>
    </x:row>
    <x:row r="713" ht="34" customHeight="1">
      <x:c r="A713" s="4" t="str">
        <x:v>RS-00712-E1</x:v>
      </x:c>
      <x:c r="B713" s="4" t="str">
        <x:v>RS-00712</x:v>
      </x:c>
      <x:c r="C713" s="8" t="n">
        <x:v>45334</x:v>
      </x:c>
      <x:c r="D713" s="4" t="str">
        <x:v>Sales operations manager</x:v>
      </x:c>
      <x:c r="E713" s="4" t="str">
        <x:v>Paper transcribed</x:v>
      </x:c>
      <x:c r="F713" s="4" t="str">
        <x:v>Record captured</x:v>
      </x:c>
      <x:c r="G713" s="4" t="str">
        <x:v>Booked</x:v>
      </x:c>
    </x:row>
    <x:row r="714" ht="34" customHeight="1">
      <x:c r="A714" s="4" t="str">
        <x:v>RS-00713-E1</x:v>
      </x:c>
      <x:c r="B714" s="4" t="str">
        <x:v>RS-00713</x:v>
      </x:c>
      <x:c r="C714" s="8" t="n">
        <x:v>45335</x:v>
      </x:c>
      <x:c r="D714" s="4" t="str">
        <x:v>Sales operations manager</x:v>
      </x:c>
      <x:c r="E714" s="4" t="str">
        <x:v>WhatsApp transcribed</x:v>
      </x:c>
      <x:c r="F714" s="4" t="str">
        <x:v>Record captured</x:v>
      </x:c>
      <x:c r="G714" s="4" t="str">
        <x:v>Reserved</x:v>
      </x:c>
    </x:row>
    <x:row r="715" ht="34" customHeight="1">
      <x:c r="A715" s="4" t="str">
        <x:v>RS-00714-E1</x:v>
      </x:c>
      <x:c r="B715" s="4" t="str">
        <x:v>RS-00714</x:v>
      </x:c>
      <x:c r="C715" s="8" t="n">
        <x:v>45336</x:v>
      </x:c>
      <x:c r="D715" s="4" t="str">
        <x:v>Sales operations manager</x:v>
      </x:c>
      <x:c r="E715" s="4" t="str">
        <x:v>Spreadsheet import</x:v>
      </x:c>
      <x:c r="F715" s="4" t="str">
        <x:v>Record captured</x:v>
      </x:c>
      <x:c r="G715" s="4" t="str">
        <x:v>Handed over</x:v>
      </x:c>
    </x:row>
    <x:row r="716" ht="34" customHeight="1">
      <x:c r="A716" s="4" t="str">
        <x:v>RS-00715-E1</x:v>
      </x:c>
      <x:c r="B716" s="4" t="str">
        <x:v>RS-00715</x:v>
      </x:c>
      <x:c r="C716" s="8" t="n">
        <x:v>45337</x:v>
      </x:c>
      <x:c r="D716" s="4" t="str">
        <x:v>Sales operations manager</x:v>
      </x:c>
      <x:c r="E716" s="4" t="str">
        <x:v>Paper transcribed</x:v>
      </x:c>
      <x:c r="F716" s="4" t="str">
        <x:v>Record captured</x:v>
      </x:c>
      <x:c r="G716" s="4" t="str">
        <x:v>Agreement signed</x:v>
      </x:c>
    </x:row>
    <x:row r="717" ht="34" customHeight="1">
      <x:c r="A717" s="4" t="str">
        <x:v>RS-00716-E1</x:v>
      </x:c>
      <x:c r="B717" s="4" t="str">
        <x:v>RS-00716</x:v>
      </x:c>
      <x:c r="C717" s="8" t="n">
        <x:v>45338</x:v>
      </x:c>
      <x:c r="D717" s="4" t="str">
        <x:v>Sales operations manager</x:v>
      </x:c>
      <x:c r="E717" s="4" t="str">
        <x:v>Spreadsheet import</x:v>
      </x:c>
      <x:c r="F717" s="4" t="str">
        <x:v>Record captured</x:v>
      </x:c>
      <x:c r="G717" s="4" t="str">
        <x:v>Booked</x:v>
      </x:c>
    </x:row>
    <x:row r="718" ht="34" customHeight="1">
      <x:c r="A718" s="4" t="str">
        <x:v>RS-00717-E1</x:v>
      </x:c>
      <x:c r="B718" s="4" t="str">
        <x:v>RS-00717</x:v>
      </x:c>
      <x:c r="C718" s="8" t="n">
        <x:v>45339</x:v>
      </x:c>
      <x:c r="D718" s="4" t="str">
        <x:v>Sales operations manager</x:v>
      </x:c>
      <x:c r="E718" s="4" t="str">
        <x:v>WhatsApp transcribed</x:v>
      </x:c>
      <x:c r="F718" s="4" t="str">
        <x:v>Record captured</x:v>
      </x:c>
      <x:c r="G718" s="4" t="str">
        <x:v>Booked</x:v>
      </x:c>
    </x:row>
    <x:row r="719" ht="34" customHeight="1">
      <x:c r="A719" s="4" t="str">
        <x:v>RS-00718-E1</x:v>
      </x:c>
      <x:c r="B719" s="4" t="str">
        <x:v>RS-00718</x:v>
      </x:c>
      <x:c r="C719" s="8" t="n">
        <x:v>45340</x:v>
      </x:c>
      <x:c r="D719" s="4" t="str">
        <x:v>Sales operations manager</x:v>
      </x:c>
      <x:c r="E719" s="4" t="str">
        <x:v>Spreadsheet import</x:v>
      </x:c>
      <x:c r="F719" s="4" t="str">
        <x:v>Record captured</x:v>
      </x:c>
      <x:c r="G719" s="4" t="str">
        <x:v>Enquiry</x:v>
      </x:c>
    </x:row>
    <x:row r="720" ht="34" customHeight="1">
      <x:c r="A720" s="4" t="str">
        <x:v>RS-00719-E1</x:v>
      </x:c>
      <x:c r="B720" s="4" t="str">
        <x:v>RS-00719</x:v>
      </x:c>
      <x:c r="C720" s="8" t="n">
        <x:v>45341</x:v>
      </x:c>
      <x:c r="D720" s="4" t="str">
        <x:v>Sales operations manager</x:v>
      </x:c>
      <x:c r="E720" s="4" t="str">
        <x:v>Paper transcribed</x:v>
      </x:c>
      <x:c r="F720" s="4" t="str">
        <x:v>Record captured</x:v>
      </x:c>
      <x:c r="G720" s="4" t="str">
        <x:v>Enquiry</x:v>
      </x:c>
    </x:row>
    <x:row r="721" ht="34" customHeight="1">
      <x:c r="A721" s="4" t="str">
        <x:v>RS-00720-E1</x:v>
      </x:c>
      <x:c r="B721" s="4" t="str">
        <x:v>RS-00720</x:v>
      </x:c>
      <x:c r="C721" s="8" t="n">
        <x:v>45342</x:v>
      </x:c>
      <x:c r="D721" s="4" t="str">
        <x:v>Sales operations manager</x:v>
      </x:c>
      <x:c r="E721" s="4" t="str">
        <x:v>Paper transcribed</x:v>
      </x:c>
      <x:c r="F721" s="4" t="str">
        <x:v>Record captured</x:v>
      </x:c>
      <x:c r="G721" s="4" t="str">
        <x:v>Agreement signed</x:v>
      </x:c>
    </x:row>
    <x:row r="722" ht="34" customHeight="1">
      <x:c r="A722" s="4" t="str">
        <x:v>RS-00721-E1</x:v>
      </x:c>
      <x:c r="B722" s="4" t="str">
        <x:v>RS-00721</x:v>
      </x:c>
      <x:c r="C722" s="8" t="n">
        <x:v>45343</x:v>
      </x:c>
      <x:c r="D722" s="4" t="str">
        <x:v>Sales operations manager</x:v>
      </x:c>
      <x:c r="E722" s="4" t="str">
        <x:v>Spreadsheet import</x:v>
      </x:c>
      <x:c r="F722" s="4" t="str">
        <x:v>Record captured</x:v>
      </x:c>
      <x:c r="G722" s="4" t="str">
        <x:v>Enquiry</x:v>
      </x:c>
    </x:row>
    <x:row r="723" ht="34" customHeight="1">
      <x:c r="A723" s="4" t="str">
        <x:v>RS-00722-E1</x:v>
      </x:c>
      <x:c r="B723" s="4" t="str">
        <x:v>RS-00722</x:v>
      </x:c>
      <x:c r="C723" s="8" t="n">
        <x:v>45344</x:v>
      </x:c>
      <x:c r="D723" s="4" t="str">
        <x:v>Sales operations manager</x:v>
      </x:c>
      <x:c r="E723" s="4" t="str">
        <x:v>Paper transcribed</x:v>
      </x:c>
      <x:c r="F723" s="4" t="str">
        <x:v>Record captured</x:v>
      </x:c>
      <x:c r="G723" s="4" t="str">
        <x:v>Enquiry</x:v>
      </x:c>
    </x:row>
    <x:row r="724" ht="34" customHeight="1">
      <x:c r="A724" s="4" t="str">
        <x:v>RS-00723-E1</x:v>
      </x:c>
      <x:c r="B724" s="4" t="str">
        <x:v>RS-00723</x:v>
      </x:c>
      <x:c r="C724" s="8" t="n">
        <x:v>45345</x:v>
      </x:c>
      <x:c r="D724" s="4" t="str">
        <x:v>Sales operations manager</x:v>
      </x:c>
      <x:c r="E724" s="4" t="str">
        <x:v>ERP form</x:v>
      </x:c>
      <x:c r="F724" s="4" t="str">
        <x:v>Record captured</x:v>
      </x:c>
      <x:c r="G724" s="4" t="str">
        <x:v>Agreement signed</x:v>
      </x:c>
    </x:row>
    <x:row r="725" ht="34" customHeight="1">
      <x:c r="A725" s="4" t="str">
        <x:v>RS-00724-E1</x:v>
      </x:c>
      <x:c r="B725" s="4" t="str">
        <x:v>RS-00724</x:v>
      </x:c>
      <x:c r="C725" s="8" t="n">
        <x:v>45346</x:v>
      </x:c>
      <x:c r="D725" s="4" t="str">
        <x:v>Sales operations manager</x:v>
      </x:c>
      <x:c r="E725" s="4" t="str">
        <x:v>Paper transcribed</x:v>
      </x:c>
      <x:c r="F725" s="4" t="str">
        <x:v>Record captured</x:v>
      </x:c>
      <x:c r="G725" s="4" t="str">
        <x:v>Booked</x:v>
      </x:c>
    </x:row>
    <x:row r="726" ht="34" customHeight="1">
      <x:c r="A726" s="4" t="str">
        <x:v>RS-00725-E1</x:v>
      </x:c>
      <x:c r="B726" s="4" t="str">
        <x:v>RS-00725</x:v>
      </x:c>
      <x:c r="C726" s="8" t="n">
        <x:v>45347</x:v>
      </x:c>
      <x:c r="D726" s="4" t="str">
        <x:v>Sales operations manager</x:v>
      </x:c>
      <x:c r="E726" s="4" t="str">
        <x:v>Paper transcribed</x:v>
      </x:c>
      <x:c r="F726" s="4" t="str">
        <x:v>Record captured</x:v>
      </x:c>
      <x:c r="G726" s="4" t="str">
        <x:v>Booked</x:v>
      </x:c>
    </x:row>
    <x:row r="727" ht="34" customHeight="1">
      <x:c r="A727" s="4" t="str">
        <x:v>RS-00726-E1</x:v>
      </x:c>
      <x:c r="B727" s="4" t="str">
        <x:v>RS-00726</x:v>
      </x:c>
      <x:c r="C727" s="8" t="n">
        <x:v>45348</x:v>
      </x:c>
      <x:c r="D727" s="4" t="str">
        <x:v>Sales operations manager</x:v>
      </x:c>
      <x:c r="E727" s="4" t="str">
        <x:v>Paper transcribed</x:v>
      </x:c>
      <x:c r="F727" s="4" t="str">
        <x:v>Record captured</x:v>
      </x:c>
      <x:c r="G727" s="4" t="str">
        <x:v>Booked</x:v>
      </x:c>
    </x:row>
    <x:row r="728" ht="34" customHeight="1">
      <x:c r="A728" s="4" t="str">
        <x:v>RS-00727-E1</x:v>
      </x:c>
      <x:c r="B728" s="4" t="str">
        <x:v>RS-00727</x:v>
      </x:c>
      <x:c r="C728" s="8" t="n">
        <x:v>45349</x:v>
      </x:c>
      <x:c r="D728" s="4" t="str">
        <x:v>Sales operations manager</x:v>
      </x:c>
      <x:c r="E728" s="4" t="str">
        <x:v>Spreadsheet import</x:v>
      </x:c>
      <x:c r="F728" s="4" t="str">
        <x:v>Record captured</x:v>
      </x:c>
      <x:c r="G728" s="4" t="str">
        <x:v>Reserved</x:v>
      </x:c>
    </x:row>
    <x:row r="729" ht="34" customHeight="1">
      <x:c r="A729" s="4" t="str">
        <x:v>RS-00728-E1</x:v>
      </x:c>
      <x:c r="B729" s="4" t="str">
        <x:v>RS-00728</x:v>
      </x:c>
      <x:c r="C729" s="8" t="n">
        <x:v>45350</x:v>
      </x:c>
      <x:c r="D729" s="4" t="str">
        <x:v>Sales operations manager</x:v>
      </x:c>
      <x:c r="E729" s="4" t="str">
        <x:v>Spreadsheet import</x:v>
      </x:c>
      <x:c r="F729" s="4" t="str">
        <x:v>Record captured</x:v>
      </x:c>
      <x:c r="G729" s="4" t="str">
        <x:v>Handed over</x:v>
      </x:c>
    </x:row>
    <x:row r="730" ht="34" customHeight="1">
      <x:c r="A730" s="4" t="str">
        <x:v>RS-00729-E1</x:v>
      </x:c>
      <x:c r="B730" s="4" t="str">
        <x:v>RS-00729</x:v>
      </x:c>
      <x:c r="C730" s="8" t="n">
        <x:v>45323</x:v>
      </x:c>
      <x:c r="D730" s="4" t="str">
        <x:v>Sales operations manager</x:v>
      </x:c>
      <x:c r="E730" s="4" t="str">
        <x:v>ERP form</x:v>
      </x:c>
      <x:c r="F730" s="4" t="str">
        <x:v>Record captured</x:v>
      </x:c>
      <x:c r="G730" s="4" t="str">
        <x:v>Enquiry</x:v>
      </x:c>
    </x:row>
    <x:row r="731" ht="34" customHeight="1">
      <x:c r="A731" s="4" t="str">
        <x:v>RS-00730-E1</x:v>
      </x:c>
      <x:c r="B731" s="4" t="str">
        <x:v>RS-00730</x:v>
      </x:c>
      <x:c r="C731" s="8" t="n">
        <x:v>45324</x:v>
      </x:c>
      <x:c r="D731" s="4" t="str">
        <x:v>Sales operations manager</x:v>
      </x:c>
      <x:c r="E731" s="4" t="str">
        <x:v>Paper transcribed</x:v>
      </x:c>
      <x:c r="F731" s="4" t="str">
        <x:v>Record captured</x:v>
      </x:c>
      <x:c r="G731" s="4" t="str">
        <x:v>Reserved</x:v>
      </x:c>
    </x:row>
    <x:row r="732" ht="34" customHeight="1">
      <x:c r="A732" s="4" t="str">
        <x:v>RS-00731-E1</x:v>
      </x:c>
      <x:c r="B732" s="4" t="str">
        <x:v>RS-00731</x:v>
      </x:c>
      <x:c r="C732" s="8" t="n">
        <x:v>45325</x:v>
      </x:c>
      <x:c r="D732" s="4" t="str">
        <x:v>Sales operations manager</x:v>
      </x:c>
      <x:c r="E732" s="4" t="str">
        <x:v>Paper transcribed</x:v>
      </x:c>
      <x:c r="F732" s="4" t="str">
        <x:v>Record captured</x:v>
      </x:c>
      <x:c r="G732" s="4" t="str">
        <x:v>Booked</x:v>
      </x:c>
    </x:row>
    <x:row r="733" ht="34" customHeight="1">
      <x:c r="A733" s="4" t="str">
        <x:v>RS-00732-E1</x:v>
      </x:c>
      <x:c r="B733" s="4" t="str">
        <x:v>RS-00732</x:v>
      </x:c>
      <x:c r="C733" s="8" t="n">
        <x:v>45326</x:v>
      </x:c>
      <x:c r="D733" s="4" t="str">
        <x:v>Sales operations manager</x:v>
      </x:c>
      <x:c r="E733" s="4" t="str">
        <x:v>ERP form</x:v>
      </x:c>
      <x:c r="F733" s="4" t="str">
        <x:v>Record captured</x:v>
      </x:c>
      <x:c r="G733" s="4" t="str">
        <x:v>Agreement signed</x:v>
      </x:c>
    </x:row>
    <x:row r="734" ht="34" customHeight="1">
      <x:c r="A734" s="4" t="str">
        <x:v>RS-00733-E1</x:v>
      </x:c>
      <x:c r="B734" s="4" t="str">
        <x:v>RS-00733</x:v>
      </x:c>
      <x:c r="C734" s="8" t="n">
        <x:v>45327</x:v>
      </x:c>
      <x:c r="D734" s="4" t="str">
        <x:v>Sales operations manager</x:v>
      </x:c>
      <x:c r="E734" s="4" t="str">
        <x:v>WhatsApp transcribed</x:v>
      </x:c>
      <x:c r="F734" s="4" t="str">
        <x:v>Record captured</x:v>
      </x:c>
      <x:c r="G734" s="4" t="str">
        <x:v>Agreement signed</x:v>
      </x:c>
    </x:row>
    <x:row r="735" ht="34" customHeight="1">
      <x:c r="A735" s="4" t="str">
        <x:v>RS-00734-E1</x:v>
      </x:c>
      <x:c r="B735" s="4" t="str">
        <x:v>RS-00734</x:v>
      </x:c>
      <x:c r="C735" s="8" t="n">
        <x:v>45328</x:v>
      </x:c>
      <x:c r="D735" s="4" t="str">
        <x:v>Sales operations manager</x:v>
      </x:c>
      <x:c r="E735" s="4" t="str">
        <x:v>Spreadsheet import</x:v>
      </x:c>
      <x:c r="F735" s="4" t="str">
        <x:v>Record captured</x:v>
      </x:c>
      <x:c r="G735" s="4" t="str">
        <x:v>Agreement signed</x:v>
      </x:c>
    </x:row>
    <x:row r="736" ht="34" customHeight="1">
      <x:c r="A736" s="4" t="str">
        <x:v>RS-00735-E1</x:v>
      </x:c>
      <x:c r="B736" s="4" t="str">
        <x:v>RS-00735</x:v>
      </x:c>
      <x:c r="C736" s="8" t="n">
        <x:v>45329</x:v>
      </x:c>
      <x:c r="D736" s="4" t="str">
        <x:v>Sales operations manager</x:v>
      </x:c>
      <x:c r="E736" s="4" t="str">
        <x:v>Spreadsheet import</x:v>
      </x:c>
      <x:c r="F736" s="4" t="str">
        <x:v>Record captured</x:v>
      </x:c>
      <x:c r="G736" s="4" t="str">
        <x:v>Reserved</x:v>
      </x:c>
    </x:row>
    <x:row r="737" ht="34" customHeight="1">
      <x:c r="A737" s="4" t="str">
        <x:v>RS-00736-E1</x:v>
      </x:c>
      <x:c r="B737" s="4" t="str">
        <x:v>RS-00736</x:v>
      </x:c>
      <x:c r="C737" s="8" t="n">
        <x:v>45330</x:v>
      </x:c>
      <x:c r="D737" s="4" t="str">
        <x:v>Sales operations manager</x:v>
      </x:c>
      <x:c r="E737" s="4" t="str">
        <x:v>WhatsApp transcribed</x:v>
      </x:c>
      <x:c r="F737" s="4" t="str">
        <x:v>Record captured</x:v>
      </x:c>
      <x:c r="G737" s="4" t="str">
        <x:v>Cancelled</x:v>
      </x:c>
    </x:row>
    <x:row r="738" ht="34" customHeight="1">
      <x:c r="A738" s="4" t="str">
        <x:v>RS-00737-E1</x:v>
      </x:c>
      <x:c r="B738" s="4" t="str">
        <x:v>RS-00737</x:v>
      </x:c>
      <x:c r="C738" s="8" t="n">
        <x:v>45331</x:v>
      </x:c>
      <x:c r="D738" s="4" t="str">
        <x:v>Sales operations manager</x:v>
      </x:c>
      <x:c r="E738" s="4" t="str">
        <x:v>Spreadsheet import</x:v>
      </x:c>
      <x:c r="F738" s="4" t="str">
        <x:v>Record captured</x:v>
      </x:c>
      <x:c r="G738" s="4" t="str">
        <x:v>Agreement signed</x:v>
      </x:c>
    </x:row>
    <x:row r="739" ht="34" customHeight="1">
      <x:c r="A739" s="4" t="str">
        <x:v>RS-00738-E1</x:v>
      </x:c>
      <x:c r="B739" s="4" t="str">
        <x:v>RS-00738</x:v>
      </x:c>
      <x:c r="C739" s="8" t="n">
        <x:v>45332</x:v>
      </x:c>
      <x:c r="D739" s="4" t="str">
        <x:v>Sales operations manager</x:v>
      </x:c>
      <x:c r="E739" s="4" t="str">
        <x:v>ERP form</x:v>
      </x:c>
      <x:c r="F739" s="4" t="str">
        <x:v>Record captured</x:v>
      </x:c>
      <x:c r="G739" s="4" t="str">
        <x:v>Enquiry</x:v>
      </x:c>
    </x:row>
    <x:row r="740" ht="34" customHeight="1">
      <x:c r="A740" s="4" t="str">
        <x:v>RS-00739-E1</x:v>
      </x:c>
      <x:c r="B740" s="4" t="str">
        <x:v>RS-00739</x:v>
      </x:c>
      <x:c r="C740" s="8" t="n">
        <x:v>45333</x:v>
      </x:c>
      <x:c r="D740" s="4" t="str">
        <x:v>Sales operations manager</x:v>
      </x:c>
      <x:c r="E740" s="4" t="str">
        <x:v>Spreadsheet import</x:v>
      </x:c>
      <x:c r="F740" s="4" t="str">
        <x:v>Record captured</x:v>
      </x:c>
      <x:c r="G740" s="4" t="str">
        <x:v>Reserved</x:v>
      </x:c>
    </x:row>
    <x:row r="741" ht="34" customHeight="1">
      <x:c r="A741" s="4" t="str">
        <x:v>RS-00740-E1</x:v>
      </x:c>
      <x:c r="B741" s="4" t="str">
        <x:v>RS-00740</x:v>
      </x:c>
      <x:c r="C741" s="8" t="n">
        <x:v>45334</x:v>
      </x:c>
      <x:c r="D741" s="4" t="str">
        <x:v>Sales operations manager</x:v>
      </x:c>
      <x:c r="E741" s="4" t="str">
        <x:v>Spreadsheet import</x:v>
      </x:c>
      <x:c r="F741" s="4" t="str">
        <x:v>Record captured</x:v>
      </x:c>
      <x:c r="G741" s="4" t="str">
        <x:v>Cancelled</x:v>
      </x:c>
    </x:row>
    <x:row r="742" ht="34" customHeight="1">
      <x:c r="A742" s="4" t="str">
        <x:v>RS-00741-E1</x:v>
      </x:c>
      <x:c r="B742" s="4" t="str">
        <x:v>RS-00741</x:v>
      </x:c>
      <x:c r="C742" s="8" t="n">
        <x:v>45335</x:v>
      </x:c>
      <x:c r="D742" s="4" t="str">
        <x:v>Sales operations manager</x:v>
      </x:c>
      <x:c r="E742" s="4" t="str">
        <x:v>WhatsApp transcribed</x:v>
      </x:c>
      <x:c r="F742" s="4" t="str">
        <x:v>Record captured</x:v>
      </x:c>
      <x:c r="G742" s="4" t="str">
        <x:v>Enquiry</x:v>
      </x:c>
    </x:row>
    <x:row r="743" ht="34" customHeight="1">
      <x:c r="A743" s="4" t="str">
        <x:v>RS-00742-E1</x:v>
      </x:c>
      <x:c r="B743" s="4" t="str">
        <x:v>RS-00742</x:v>
      </x:c>
      <x:c r="C743" s="8" t="n">
        <x:v>45336</x:v>
      </x:c>
      <x:c r="D743" s="4" t="str">
        <x:v>Sales operations manager</x:v>
      </x:c>
      <x:c r="E743" s="4" t="str">
        <x:v>WhatsApp transcribed</x:v>
      </x:c>
      <x:c r="F743" s="4" t="str">
        <x:v>Record captured</x:v>
      </x:c>
      <x:c r="G743" s="4" t="str">
        <x:v>Handed over</x:v>
      </x:c>
    </x:row>
    <x:row r="744" ht="34" customHeight="1">
      <x:c r="A744" s="4" t="str">
        <x:v>RS-00743-E1</x:v>
      </x:c>
      <x:c r="B744" s="4" t="str">
        <x:v>RS-00743</x:v>
      </x:c>
      <x:c r="C744" s="8" t="n">
        <x:v>45337</x:v>
      </x:c>
      <x:c r="D744" s="4" t="str">
        <x:v>Sales operations manager</x:v>
      </x:c>
      <x:c r="E744" s="4" t="str">
        <x:v>Spreadsheet import</x:v>
      </x:c>
      <x:c r="F744" s="4" t="str">
        <x:v>Record captured</x:v>
      </x:c>
      <x:c r="G744" s="4" t="str">
        <x:v>Handed over</x:v>
      </x:c>
    </x:row>
    <x:row r="745" ht="34" customHeight="1">
      <x:c r="A745" s="4" t="str">
        <x:v>RS-00744-E1</x:v>
      </x:c>
      <x:c r="B745" s="4" t="str">
        <x:v>RS-00744</x:v>
      </x:c>
      <x:c r="C745" s="8" t="n">
        <x:v>45338</x:v>
      </x:c>
      <x:c r="D745" s="4" t="str">
        <x:v>Sales operations manager</x:v>
      </x:c>
      <x:c r="E745" s="4" t="str">
        <x:v>Spreadsheet import</x:v>
      </x:c>
      <x:c r="F745" s="4" t="str">
        <x:v>Record captured</x:v>
      </x:c>
      <x:c r="G745" s="4" t="str">
        <x:v>Reserved</x:v>
      </x:c>
    </x:row>
    <x:row r="746" ht="34" customHeight="1">
      <x:c r="A746" s="4" t="str">
        <x:v>RS-00745-E1</x:v>
      </x:c>
      <x:c r="B746" s="4" t="str">
        <x:v>RS-00745</x:v>
      </x:c>
      <x:c r="C746" s="8" t="n">
        <x:v>45339</x:v>
      </x:c>
      <x:c r="D746" s="4" t="str">
        <x:v>Sales operations manager</x:v>
      </x:c>
      <x:c r="E746" s="4" t="str">
        <x:v>WhatsApp transcribed</x:v>
      </x:c>
      <x:c r="F746" s="4" t="str">
        <x:v>Record captured</x:v>
      </x:c>
      <x:c r="G746" s="4" t="str">
        <x:v>Booked</x:v>
      </x:c>
    </x:row>
    <x:row r="747" ht="34" customHeight="1">
      <x:c r="A747" s="4" t="str">
        <x:v>RS-00746-E1</x:v>
      </x:c>
      <x:c r="B747" s="4" t="str">
        <x:v>RS-00746</x:v>
      </x:c>
      <x:c r="C747" s="8" t="n">
        <x:v>45340</x:v>
      </x:c>
      <x:c r="D747" s="4" t="str">
        <x:v>Sales operations manager</x:v>
      </x:c>
      <x:c r="E747" s="4" t="str">
        <x:v>WhatsApp transcribed</x:v>
      </x:c>
      <x:c r="F747" s="4" t="str">
        <x:v>Record captured</x:v>
      </x:c>
      <x:c r="G747" s="4" t="str">
        <x:v>Reserved</x:v>
      </x:c>
    </x:row>
    <x:row r="748" ht="34" customHeight="1">
      <x:c r="A748" s="4" t="str">
        <x:v>RS-00747-E1</x:v>
      </x:c>
      <x:c r="B748" s="4" t="str">
        <x:v>RS-00747</x:v>
      </x:c>
      <x:c r="C748" s="8" t="n">
        <x:v>45341</x:v>
      </x:c>
      <x:c r="D748" s="4" t="str">
        <x:v>Sales operations manager</x:v>
      </x:c>
      <x:c r="E748" s="4" t="str">
        <x:v>Spreadsheet import</x:v>
      </x:c>
      <x:c r="F748" s="4" t="str">
        <x:v>Record captured</x:v>
      </x:c>
      <x:c r="G748" s="4" t="str">
        <x:v>Reserved</x:v>
      </x:c>
    </x:row>
    <x:row r="749" ht="34" customHeight="1">
      <x:c r="A749" s="4" t="str">
        <x:v>RS-00748-E1</x:v>
      </x:c>
      <x:c r="B749" s="4" t="str">
        <x:v>RS-00748</x:v>
      </x:c>
      <x:c r="C749" s="8" t="n">
        <x:v>45342</x:v>
      </x:c>
      <x:c r="D749" s="4" t="str">
        <x:v>Sales operations manager</x:v>
      </x:c>
      <x:c r="E749" s="4" t="str">
        <x:v>Spreadsheet import</x:v>
      </x:c>
      <x:c r="F749" s="4" t="str">
        <x:v>Record captured</x:v>
      </x:c>
      <x:c r="G749" s="4" t="str">
        <x:v>Reserved</x:v>
      </x:c>
    </x:row>
    <x:row r="750" ht="34" customHeight="1">
      <x:c r="A750" s="4" t="str">
        <x:v>RS-00749-E1</x:v>
      </x:c>
      <x:c r="B750" s="4" t="str">
        <x:v>RS-00749</x:v>
      </x:c>
      <x:c r="C750" s="8" t="n">
        <x:v>45343</x:v>
      </x:c>
      <x:c r="D750" s="4" t="str">
        <x:v>Sales operations manager</x:v>
      </x:c>
      <x:c r="E750" s="4" t="str">
        <x:v>ERP form</x:v>
      </x:c>
      <x:c r="F750" s="4" t="str">
        <x:v>Record captured</x:v>
      </x:c>
      <x:c r="G750" s="4" t="str">
        <x:v>Booked</x:v>
      </x:c>
    </x:row>
    <x:row r="751" ht="34" customHeight="1">
      <x:c r="A751" s="4" t="str">
        <x:v>RS-00750-E1</x:v>
      </x:c>
      <x:c r="B751" s="4" t="str">
        <x:v>RS-00750</x:v>
      </x:c>
      <x:c r="C751" s="8" t="n">
        <x:v>45344</x:v>
      </x:c>
      <x:c r="D751" s="4" t="str">
        <x:v>Sales operations manager</x:v>
      </x:c>
      <x:c r="E751" s="4" t="str">
        <x:v>Spreadsheet import</x:v>
      </x:c>
      <x:c r="F751" s="4" t="str">
        <x:v>Record captured</x:v>
      </x:c>
      <x:c r="G751" s="4" t="str">
        <x:v>Handed over</x:v>
      </x:c>
    </x:row>
    <x:row r="752" ht="34" customHeight="1">
      <x:c r="A752" s="4" t="str">
        <x:v>RS-00751-E1</x:v>
      </x:c>
      <x:c r="B752" s="4" t="str">
        <x:v>RS-00751</x:v>
      </x:c>
      <x:c r="C752" s="8" t="n">
        <x:v>45345</x:v>
      </x:c>
      <x:c r="D752" s="4" t="str">
        <x:v>Sales operations manager</x:v>
      </x:c>
      <x:c r="E752" s="4" t="str">
        <x:v>ERP form</x:v>
      </x:c>
      <x:c r="F752" s="4" t="str">
        <x:v>Record captured</x:v>
      </x:c>
      <x:c r="G752" s="4" t="str">
        <x:v>Reserved</x:v>
      </x:c>
    </x:row>
    <x:row r="753" ht="34" customHeight="1">
      <x:c r="A753" s="4" t="str">
        <x:v>RS-00752-E1</x:v>
      </x:c>
      <x:c r="B753" s="4" t="str">
        <x:v>RS-00752</x:v>
      </x:c>
      <x:c r="C753" s="8" t="n">
        <x:v>45346</x:v>
      </x:c>
      <x:c r="D753" s="4" t="str">
        <x:v>Sales operations manager</x:v>
      </x:c>
      <x:c r="E753" s="4" t="str">
        <x:v>Paper transcribed</x:v>
      </x:c>
      <x:c r="F753" s="4" t="str">
        <x:v>Record captured</x:v>
      </x:c>
      <x:c r="G753" s="4" t="str">
        <x:v>Agreement signed</x:v>
      </x:c>
    </x:row>
    <x:row r="754" ht="34" customHeight="1">
      <x:c r="A754" s="4" t="str">
        <x:v>RS-00753-E1</x:v>
      </x:c>
      <x:c r="B754" s="4" t="str">
        <x:v>RS-00753</x:v>
      </x:c>
      <x:c r="C754" s="8" t="n">
        <x:v>45347</x:v>
      </x:c>
      <x:c r="D754" s="4" t="str">
        <x:v>Sales operations manager</x:v>
      </x:c>
      <x:c r="E754" s="4" t="str">
        <x:v>Spreadsheet import</x:v>
      </x:c>
      <x:c r="F754" s="4" t="str">
        <x:v>Record captured</x:v>
      </x:c>
      <x:c r="G754" s="4" t="str">
        <x:v>Agreement signed</x:v>
      </x:c>
    </x:row>
    <x:row r="755" ht="34" customHeight="1">
      <x:c r="A755" s="4" t="str">
        <x:v>RS-00754-E1</x:v>
      </x:c>
      <x:c r="B755" s="4" t="str">
        <x:v>RS-00754</x:v>
      </x:c>
      <x:c r="C755" s="8" t="n">
        <x:v>45348</x:v>
      </x:c>
      <x:c r="D755" s="4" t="str">
        <x:v>Sales operations manager</x:v>
      </x:c>
      <x:c r="E755" s="4" t="str">
        <x:v>Spreadsheet import</x:v>
      </x:c>
      <x:c r="F755" s="4" t="str">
        <x:v>Record captured</x:v>
      </x:c>
      <x:c r="G755" s="4" t="str">
        <x:v>Agreement signed</x:v>
      </x:c>
    </x:row>
    <x:row r="756" ht="34" customHeight="1">
      <x:c r="A756" s="4" t="str">
        <x:v>RS-00755-E1</x:v>
      </x:c>
      <x:c r="B756" s="4" t="str">
        <x:v>RS-00755</x:v>
      </x:c>
      <x:c r="C756" s="8" t="n">
        <x:v>45349</x:v>
      </x:c>
      <x:c r="D756" s="4" t="str">
        <x:v>Sales operations manager</x:v>
      </x:c>
      <x:c r="E756" s="4" t="str">
        <x:v>Spreadsheet import</x:v>
      </x:c>
      <x:c r="F756" s="4" t="str">
        <x:v>Record captured</x:v>
      </x:c>
      <x:c r="G756" s="4" t="str">
        <x:v>Agreement signed</x:v>
      </x:c>
    </x:row>
    <x:row r="757" ht="34" customHeight="1">
      <x:c r="A757" s="4" t="str">
        <x:v>RS-00756-E1</x:v>
      </x:c>
      <x:c r="B757" s="4" t="str">
        <x:v>RS-00756</x:v>
      </x:c>
      <x:c r="C757" s="8" t="n">
        <x:v>45350</x:v>
      </x:c>
      <x:c r="D757" s="4" t="str">
        <x:v>Sales operations manager</x:v>
      </x:c>
      <x:c r="E757" s="4" t="str">
        <x:v>WhatsApp transcribed</x:v>
      </x:c>
      <x:c r="F757" s="4" t="str">
        <x:v>Record captured</x:v>
      </x:c>
      <x:c r="G757" s="4" t="str">
        <x:v>Handed over</x:v>
      </x:c>
    </x:row>
    <x:row r="758" ht="34" customHeight="1">
      <x:c r="A758" s="4" t="str">
        <x:v>RS-00757-E1</x:v>
      </x:c>
      <x:c r="B758" s="4" t="str">
        <x:v>RS-00757</x:v>
      </x:c>
      <x:c r="C758" s="8" t="n">
        <x:v>45323</x:v>
      </x:c>
      <x:c r="D758" s="4" t="str">
        <x:v>Sales operations manager</x:v>
      </x:c>
      <x:c r="E758" s="4" t="str">
        <x:v>Paper transcribed</x:v>
      </x:c>
      <x:c r="F758" s="4" t="str">
        <x:v>Record captured</x:v>
      </x:c>
      <x:c r="G758" s="4" t="str">
        <x:v>Cancelled</x:v>
      </x:c>
    </x:row>
    <x:row r="759" ht="34" customHeight="1">
      <x:c r="A759" s="4" t="str">
        <x:v>RS-00758-E1</x:v>
      </x:c>
      <x:c r="B759" s="4" t="str">
        <x:v>RS-00758</x:v>
      </x:c>
      <x:c r="C759" s="8" t="n">
        <x:v>45324</x:v>
      </x:c>
      <x:c r="D759" s="4" t="str">
        <x:v>Sales operations manager</x:v>
      </x:c>
      <x:c r="E759" s="4" t="str">
        <x:v>WhatsApp transcribed</x:v>
      </x:c>
      <x:c r="F759" s="4" t="str">
        <x:v>Record captured</x:v>
      </x:c>
      <x:c r="G759" s="4" t="str">
        <x:v>Booked</x:v>
      </x:c>
    </x:row>
    <x:row r="760" ht="34" customHeight="1">
      <x:c r="A760" s="4" t="str">
        <x:v>RS-00759-E1</x:v>
      </x:c>
      <x:c r="B760" s="4" t="str">
        <x:v>RS-00759</x:v>
      </x:c>
      <x:c r="C760" s="8" t="n">
        <x:v>45325</x:v>
      </x:c>
      <x:c r="D760" s="4" t="str">
        <x:v>Sales operations manager</x:v>
      </x:c>
      <x:c r="E760" s="4" t="str">
        <x:v>Paper transcribed</x:v>
      </x:c>
      <x:c r="F760" s="4" t="str">
        <x:v>Record captured</x:v>
      </x:c>
      <x:c r="G760" s="4" t="str">
        <x:v>Handed over</x:v>
      </x:c>
    </x:row>
    <x:row r="761" ht="34" customHeight="1">
      <x:c r="A761" s="4" t="str">
        <x:v>RS-00760-E1</x:v>
      </x:c>
      <x:c r="B761" s="4" t="str">
        <x:v>RS-00760</x:v>
      </x:c>
      <x:c r="C761" s="8" t="n">
        <x:v>45326</x:v>
      </x:c>
      <x:c r="D761" s="4" t="str">
        <x:v>Sales operations manager</x:v>
      </x:c>
      <x:c r="E761" s="4" t="str">
        <x:v>Spreadsheet import</x:v>
      </x:c>
      <x:c r="F761" s="4" t="str">
        <x:v>Record captured</x:v>
      </x:c>
      <x:c r="G761" s="4" t="str">
        <x:v>Reserved</x:v>
      </x:c>
    </x:row>
    <x:row r="762" ht="34" customHeight="1">
      <x:c r="A762" s="4" t="str">
        <x:v>RS-00761-E1</x:v>
      </x:c>
      <x:c r="B762" s="4" t="str">
        <x:v>RS-00761</x:v>
      </x:c>
      <x:c r="C762" s="8" t="n">
        <x:v>45327</x:v>
      </x:c>
      <x:c r="D762" s="4" t="str">
        <x:v>Sales operations manager</x:v>
      </x:c>
      <x:c r="E762" s="4" t="str">
        <x:v>Spreadsheet import</x:v>
      </x:c>
      <x:c r="F762" s="4" t="str">
        <x:v>Record captured</x:v>
      </x:c>
      <x:c r="G762" s="4" t="str">
        <x:v>Reserved</x:v>
      </x:c>
    </x:row>
    <x:row r="763" ht="34" customHeight="1">
      <x:c r="A763" s="4" t="str">
        <x:v>RS-00762-E1</x:v>
      </x:c>
      <x:c r="B763" s="4" t="str">
        <x:v>RS-00762</x:v>
      </x:c>
      <x:c r="C763" s="8" t="n">
        <x:v>45328</x:v>
      </x:c>
      <x:c r="D763" s="4" t="str">
        <x:v>Sales operations manager</x:v>
      </x:c>
      <x:c r="E763" s="4" t="str">
        <x:v>WhatsApp transcribed</x:v>
      </x:c>
      <x:c r="F763" s="4" t="str">
        <x:v>Record captured</x:v>
      </x:c>
      <x:c r="G763" s="4" t="str">
        <x:v>Handed over</x:v>
      </x:c>
    </x:row>
    <x:row r="764" ht="34" customHeight="1">
      <x:c r="A764" s="4" t="str">
        <x:v>RS-00763-E1</x:v>
      </x:c>
      <x:c r="B764" s="4" t="str">
        <x:v>RS-00763</x:v>
      </x:c>
      <x:c r="C764" s="8" t="n">
        <x:v>45329</x:v>
      </x:c>
      <x:c r="D764" s="4" t="str">
        <x:v>Sales operations manager</x:v>
      </x:c>
      <x:c r="E764" s="4" t="str">
        <x:v>ERP form</x:v>
      </x:c>
      <x:c r="F764" s="4" t="str">
        <x:v>Record captured</x:v>
      </x:c>
      <x:c r="G764" s="4" t="str">
        <x:v>Booked</x:v>
      </x:c>
    </x:row>
    <x:row r="765" ht="34" customHeight="1">
      <x:c r="A765" s="4" t="str">
        <x:v>RS-00764-E1</x:v>
      </x:c>
      <x:c r="B765" s="4" t="str">
        <x:v>RS-00764</x:v>
      </x:c>
      <x:c r="C765" s="8" t="n">
        <x:v>45330</x:v>
      </x:c>
      <x:c r="D765" s="4" t="str">
        <x:v>Sales operations manager</x:v>
      </x:c>
      <x:c r="E765" s="4" t="str">
        <x:v>WhatsApp transcribed</x:v>
      </x:c>
      <x:c r="F765" s="4" t="str">
        <x:v>Record captured</x:v>
      </x:c>
      <x:c r="G765" s="4" t="str">
        <x:v>Agreement signed</x:v>
      </x:c>
    </x:row>
    <x:row r="766" ht="34" customHeight="1">
      <x:c r="A766" s="4" t="str">
        <x:v>RS-00765-E1</x:v>
      </x:c>
      <x:c r="B766" s="4" t="str">
        <x:v>RS-00765</x:v>
      </x:c>
      <x:c r="C766" s="8" t="n">
        <x:v>45331</x:v>
      </x:c>
      <x:c r="D766" s="4" t="str">
        <x:v>Sales operations manager</x:v>
      </x:c>
      <x:c r="E766" s="4" t="str">
        <x:v>WhatsApp transcribed</x:v>
      </x:c>
      <x:c r="F766" s="4" t="str">
        <x:v>Record captured</x:v>
      </x:c>
      <x:c r="G766" s="4" t="str">
        <x:v>Handed over</x:v>
      </x:c>
    </x:row>
    <x:row r="767" ht="34" customHeight="1">
      <x:c r="A767" s="4" t="str">
        <x:v>RS-00766-E1</x:v>
      </x:c>
      <x:c r="B767" s="4" t="str">
        <x:v>RS-00766</x:v>
      </x:c>
      <x:c r="C767" s="8" t="n">
        <x:v>45332</x:v>
      </x:c>
      <x:c r="D767" s="4" t="str">
        <x:v>Sales operations manager</x:v>
      </x:c>
      <x:c r="E767" s="4" t="str">
        <x:v>ERP form</x:v>
      </x:c>
      <x:c r="F767" s="4" t="str">
        <x:v>Record captured</x:v>
      </x:c>
      <x:c r="G767" s="4" t="str">
        <x:v>Enquiry</x:v>
      </x:c>
    </x:row>
    <x:row r="768" ht="34" customHeight="1">
      <x:c r="A768" s="4" t="str">
        <x:v>RS-00767-E1</x:v>
      </x:c>
      <x:c r="B768" s="4" t="str">
        <x:v>RS-00767</x:v>
      </x:c>
      <x:c r="C768" s="8" t="n">
        <x:v>45333</x:v>
      </x:c>
      <x:c r="D768" s="4" t="str">
        <x:v>Sales operations manager</x:v>
      </x:c>
      <x:c r="E768" s="4" t="str">
        <x:v>Spreadsheet import</x:v>
      </x:c>
      <x:c r="F768" s="4" t="str">
        <x:v>Record captured</x:v>
      </x:c>
      <x:c r="G768" s="4" t="str">
        <x:v>Cancelled</x:v>
      </x:c>
    </x:row>
    <x:row r="769" ht="34" customHeight="1">
      <x:c r="A769" s="4" t="str">
        <x:v>RS-00768-E1</x:v>
      </x:c>
      <x:c r="B769" s="4" t="str">
        <x:v>RS-00768</x:v>
      </x:c>
      <x:c r="C769" s="8" t="n">
        <x:v>45334</x:v>
      </x:c>
      <x:c r="D769" s="4" t="str">
        <x:v>Sales operations manager</x:v>
      </x:c>
      <x:c r="E769" s="4" t="str">
        <x:v>ERP form</x:v>
      </x:c>
      <x:c r="F769" s="4" t="str">
        <x:v>Record captured</x:v>
      </x:c>
      <x:c r="G769" s="4" t="str">
        <x:v>Enquiry</x:v>
      </x:c>
    </x:row>
    <x:row r="770" ht="34" customHeight="1">
      <x:c r="A770" s="4" t="str">
        <x:v>RS-00769-E1</x:v>
      </x:c>
      <x:c r="B770" s="4" t="str">
        <x:v>RS-00769</x:v>
      </x:c>
      <x:c r="C770" s="8" t="n">
        <x:v>45335</x:v>
      </x:c>
      <x:c r="D770" s="4" t="str">
        <x:v>Sales operations manager</x:v>
      </x:c>
      <x:c r="E770" s="4" t="str">
        <x:v>Paper transcribed</x:v>
      </x:c>
      <x:c r="F770" s="4" t="str">
        <x:v>Record captured</x:v>
      </x:c>
      <x:c r="G770" s="4" t="str">
        <x:v>Handed over</x:v>
      </x:c>
    </x:row>
    <x:row r="771" ht="34" customHeight="1">
      <x:c r="A771" s="4" t="str">
        <x:v>RS-00770-E1</x:v>
      </x:c>
      <x:c r="B771" s="4" t="str">
        <x:v>RS-00770</x:v>
      </x:c>
      <x:c r="C771" s="8" t="n">
        <x:v>45336</x:v>
      </x:c>
      <x:c r="D771" s="4" t="str">
        <x:v>Sales operations manager</x:v>
      </x:c>
      <x:c r="E771" s="4" t="str">
        <x:v>Spreadsheet import</x:v>
      </x:c>
      <x:c r="F771" s="4" t="str">
        <x:v>Record captured</x:v>
      </x:c>
      <x:c r="G771" s="4" t="str">
        <x:v>Reserved</x:v>
      </x:c>
    </x:row>
    <x:row r="772" ht="34" customHeight="1">
      <x:c r="A772" s="4" t="str">
        <x:v>RS-00771-E1</x:v>
      </x:c>
      <x:c r="B772" s="4" t="str">
        <x:v>RS-00771</x:v>
      </x:c>
      <x:c r="C772" s="8" t="n">
        <x:v>45337</x:v>
      </x:c>
      <x:c r="D772" s="4" t="str">
        <x:v>Sales operations manager</x:v>
      </x:c>
      <x:c r="E772" s="4" t="str">
        <x:v>ERP form</x:v>
      </x:c>
      <x:c r="F772" s="4" t="str">
        <x:v>Record captured</x:v>
      </x:c>
      <x:c r="G772" s="4" t="str">
        <x:v>Booked</x:v>
      </x:c>
    </x:row>
    <x:row r="773" ht="34" customHeight="1">
      <x:c r="A773" s="4" t="str">
        <x:v>RS-00772-E1</x:v>
      </x:c>
      <x:c r="B773" s="4" t="str">
        <x:v>RS-00772</x:v>
      </x:c>
      <x:c r="C773" s="8" t="n">
        <x:v>45338</x:v>
      </x:c>
      <x:c r="D773" s="4" t="str">
        <x:v>Sales operations manager</x:v>
      </x:c>
      <x:c r="E773" s="4" t="str">
        <x:v>Paper transcribed</x:v>
      </x:c>
      <x:c r="F773" s="4" t="str">
        <x:v>Record captured</x:v>
      </x:c>
      <x:c r="G773" s="4" t="str">
        <x:v>Reserved</x:v>
      </x:c>
    </x:row>
    <x:row r="774" ht="34" customHeight="1">
      <x:c r="A774" s="4" t="str">
        <x:v>RS-00773-E1</x:v>
      </x:c>
      <x:c r="B774" s="4" t="str">
        <x:v>RS-00773</x:v>
      </x:c>
      <x:c r="C774" s="8" t="n">
        <x:v>45339</x:v>
      </x:c>
      <x:c r="D774" s="4" t="str">
        <x:v>Sales operations manager</x:v>
      </x:c>
      <x:c r="E774" s="4" t="str">
        <x:v>WhatsApp transcribed</x:v>
      </x:c>
      <x:c r="F774" s="4" t="str">
        <x:v>Record captured</x:v>
      </x:c>
      <x:c r="G774" s="4" t="str">
        <x:v>Reserved</x:v>
      </x:c>
    </x:row>
    <x:row r="775" ht="34" customHeight="1">
      <x:c r="A775" s="4" t="str">
        <x:v>RS-00774-E1</x:v>
      </x:c>
      <x:c r="B775" s="4" t="str">
        <x:v>RS-00774</x:v>
      </x:c>
      <x:c r="C775" s="8" t="n">
        <x:v>45340</x:v>
      </x:c>
      <x:c r="D775" s="4" t="str">
        <x:v>Sales operations manager</x:v>
      </x:c>
      <x:c r="E775" s="4" t="str">
        <x:v>Spreadsheet import</x:v>
      </x:c>
      <x:c r="F775" s="4" t="str">
        <x:v>Record captured</x:v>
      </x:c>
      <x:c r="G775" s="4" t="str">
        <x:v>Enquiry</x:v>
      </x:c>
    </x:row>
    <x:row r="776" ht="34" customHeight="1">
      <x:c r="A776" s="4" t="str">
        <x:v>RS-00775-E1</x:v>
      </x:c>
      <x:c r="B776" s="4" t="str">
        <x:v>RS-00775</x:v>
      </x:c>
      <x:c r="C776" s="8" t="n">
        <x:v>45341</x:v>
      </x:c>
      <x:c r="D776" s="4" t="str">
        <x:v>Sales operations manager</x:v>
      </x:c>
      <x:c r="E776" s="4" t="str">
        <x:v>WhatsApp transcribed</x:v>
      </x:c>
      <x:c r="F776" s="4" t="str">
        <x:v>Record captured</x:v>
      </x:c>
      <x:c r="G776" s="4" t="str">
        <x:v>Reserved</x:v>
      </x:c>
    </x:row>
    <x:row r="777" ht="34" customHeight="1">
      <x:c r="A777" s="4" t="str">
        <x:v>RS-00776-E1</x:v>
      </x:c>
      <x:c r="B777" s="4" t="str">
        <x:v>RS-00776</x:v>
      </x:c>
      <x:c r="C777" s="8" t="n">
        <x:v>45342</x:v>
      </x:c>
      <x:c r="D777" s="4" t="str">
        <x:v>Sales operations manager</x:v>
      </x:c>
      <x:c r="E777" s="4" t="str">
        <x:v>Paper transcribed</x:v>
      </x:c>
      <x:c r="F777" s="4" t="str">
        <x:v>Record captured</x:v>
      </x:c>
      <x:c r="G777" s="4" t="str">
        <x:v>Agreement signed</x:v>
      </x:c>
    </x:row>
    <x:row r="778" ht="34" customHeight="1">
      <x:c r="A778" s="4" t="str">
        <x:v>RS-00777-E1</x:v>
      </x:c>
      <x:c r="B778" s="4" t="str">
        <x:v>RS-00777</x:v>
      </x:c>
      <x:c r="C778" s="8" t="n">
        <x:v>45343</x:v>
      </x:c>
      <x:c r="D778" s="4" t="str">
        <x:v>Sales operations manager</x:v>
      </x:c>
      <x:c r="E778" s="4" t="str">
        <x:v>Paper transcribed</x:v>
      </x:c>
      <x:c r="F778" s="4" t="str">
        <x:v>Record captured</x:v>
      </x:c>
      <x:c r="G778" s="4" t="str">
        <x:v>Handed over</x:v>
      </x:c>
    </x:row>
    <x:row r="779" ht="34" customHeight="1">
      <x:c r="A779" s="4" t="str">
        <x:v>RS-00778-E1</x:v>
      </x:c>
      <x:c r="B779" s="4" t="str">
        <x:v>RS-00778</x:v>
      </x:c>
      <x:c r="C779" s="8" t="n">
        <x:v>45344</x:v>
      </x:c>
      <x:c r="D779" s="4" t="str">
        <x:v>Sales operations manager</x:v>
      </x:c>
      <x:c r="E779" s="4" t="str">
        <x:v>ERP form</x:v>
      </x:c>
      <x:c r="F779" s="4" t="str">
        <x:v>Record captured</x:v>
      </x:c>
      <x:c r="G779" s="4" t="str">
        <x:v>Enquiry</x:v>
      </x:c>
    </x:row>
    <x:row r="780" ht="34" customHeight="1">
      <x:c r="A780" s="4" t="str">
        <x:v>RS-00779-E1</x:v>
      </x:c>
      <x:c r="B780" s="4" t="str">
        <x:v>RS-00779</x:v>
      </x:c>
      <x:c r="C780" s="8" t="n">
        <x:v>45345</x:v>
      </x:c>
      <x:c r="D780" s="4" t="str">
        <x:v>Sales operations manager</x:v>
      </x:c>
      <x:c r="E780" s="4" t="str">
        <x:v>WhatsApp transcribed</x:v>
      </x:c>
      <x:c r="F780" s="4" t="str">
        <x:v>Record captured</x:v>
      </x:c>
      <x:c r="G780" s="4" t="str">
        <x:v>Enquiry</x:v>
      </x:c>
    </x:row>
    <x:row r="781" ht="34" customHeight="1">
      <x:c r="A781" s="4" t="str">
        <x:v>RS-00780-E1</x:v>
      </x:c>
      <x:c r="B781" s="4" t="str">
        <x:v>RS-00780</x:v>
      </x:c>
      <x:c r="C781" s="8" t="n">
        <x:v>45346</x:v>
      </x:c>
      <x:c r="D781" s="4" t="str">
        <x:v>Sales operations manager</x:v>
      </x:c>
      <x:c r="E781" s="4" t="str">
        <x:v>ERP form</x:v>
      </x:c>
      <x:c r="F781" s="4" t="str">
        <x:v>Record captured</x:v>
      </x:c>
      <x:c r="G781" s="4" t="str">
        <x:v>Agreement signed</x:v>
      </x:c>
    </x:row>
    <x:row r="782" ht="34" customHeight="1">
      <x:c r="A782" s="4" t="str">
        <x:v>RS-00781-E1</x:v>
      </x:c>
      <x:c r="B782" s="4" t="str">
        <x:v>RS-00781</x:v>
      </x:c>
      <x:c r="C782" s="8" t="n">
        <x:v>45347</x:v>
      </x:c>
      <x:c r="D782" s="4" t="str">
        <x:v>Sales operations manager</x:v>
      </x:c>
      <x:c r="E782" s="4" t="str">
        <x:v>ERP form</x:v>
      </x:c>
      <x:c r="F782" s="4" t="str">
        <x:v>Record captured</x:v>
      </x:c>
      <x:c r="G782" s="4" t="str">
        <x:v>Handed over</x:v>
      </x:c>
    </x:row>
    <x:row r="783" ht="34" customHeight="1">
      <x:c r="A783" s="4" t="str">
        <x:v>RS-00782-E1</x:v>
      </x:c>
      <x:c r="B783" s="4" t="str">
        <x:v>RS-00782</x:v>
      </x:c>
      <x:c r="C783" s="8" t="n">
        <x:v>45348</x:v>
      </x:c>
      <x:c r="D783" s="4" t="str">
        <x:v>Sales operations manager</x:v>
      </x:c>
      <x:c r="E783" s="4" t="str">
        <x:v>WhatsApp transcribed</x:v>
      </x:c>
      <x:c r="F783" s="4" t="str">
        <x:v>Record captured</x:v>
      </x:c>
      <x:c r="G783" s="4" t="str">
        <x:v>Cancelled</x:v>
      </x:c>
    </x:row>
    <x:row r="784" ht="34" customHeight="1">
      <x:c r="A784" s="4" t="str">
        <x:v>RS-00783-E1</x:v>
      </x:c>
      <x:c r="B784" s="4" t="str">
        <x:v>RS-00783</x:v>
      </x:c>
      <x:c r="C784" s="8" t="n">
        <x:v>45349</x:v>
      </x:c>
      <x:c r="D784" s="4" t="str">
        <x:v>Sales operations manager</x:v>
      </x:c>
      <x:c r="E784" s="4" t="str">
        <x:v>ERP form</x:v>
      </x:c>
      <x:c r="F784" s="4" t="str">
        <x:v>Record captured</x:v>
      </x:c>
      <x:c r="G784" s="4" t="str">
        <x:v>Enquiry</x:v>
      </x:c>
    </x:row>
    <x:row r="785" ht="34" customHeight="1">
      <x:c r="A785" s="4" t="str">
        <x:v>RS-00784-E1</x:v>
      </x:c>
      <x:c r="B785" s="4" t="str">
        <x:v>RS-00784</x:v>
      </x:c>
      <x:c r="C785" s="8" t="n">
        <x:v>45350</x:v>
      </x:c>
      <x:c r="D785" s="4" t="str">
        <x:v>Sales operations manager</x:v>
      </x:c>
      <x:c r="E785" s="4" t="str">
        <x:v>ERP form</x:v>
      </x:c>
      <x:c r="F785" s="4" t="str">
        <x:v>Record captured</x:v>
      </x:c>
      <x:c r="G785" s="4" t="str">
        <x:v>Reserved</x:v>
      </x:c>
    </x:row>
    <x:row r="786" ht="34" customHeight="1">
      <x:c r="A786" s="4" t="str">
        <x:v>RS-00785-E1</x:v>
      </x:c>
      <x:c r="B786" s="4" t="str">
        <x:v>RS-00785</x:v>
      </x:c>
      <x:c r="C786" s="8" t="n">
        <x:v>45323</x:v>
      </x:c>
      <x:c r="D786" s="4" t="str">
        <x:v>Sales operations manager</x:v>
      </x:c>
      <x:c r="E786" s="4" t="str">
        <x:v>WhatsApp transcribed</x:v>
      </x:c>
      <x:c r="F786" s="4" t="str">
        <x:v>Record captured</x:v>
      </x:c>
      <x:c r="G786" s="4" t="str">
        <x:v>Agreement signed</x:v>
      </x:c>
    </x:row>
    <x:row r="787" ht="34" customHeight="1">
      <x:c r="A787" s="4" t="str">
        <x:v>RS-00786-E1</x:v>
      </x:c>
      <x:c r="B787" s="4" t="str">
        <x:v>RS-00786</x:v>
      </x:c>
      <x:c r="C787" s="8" t="n">
        <x:v>45324</x:v>
      </x:c>
      <x:c r="D787" s="4" t="str">
        <x:v>Sales operations manager</x:v>
      </x:c>
      <x:c r="E787" s="4" t="str">
        <x:v>ERP form</x:v>
      </x:c>
      <x:c r="F787" s="4" t="str">
        <x:v>Record captured</x:v>
      </x:c>
      <x:c r="G787" s="4" t="str">
        <x:v>Reserved</x:v>
      </x:c>
    </x:row>
    <x:row r="788" ht="34" customHeight="1">
      <x:c r="A788" s="4" t="str">
        <x:v>RS-00787-E1</x:v>
      </x:c>
      <x:c r="B788" s="4" t="str">
        <x:v>RS-00787</x:v>
      </x:c>
      <x:c r="C788" s="8" t="n">
        <x:v>45325</x:v>
      </x:c>
      <x:c r="D788" s="4" t="str">
        <x:v>Sales operations manager</x:v>
      </x:c>
      <x:c r="E788" s="4" t="str">
        <x:v>Spreadsheet import</x:v>
      </x:c>
      <x:c r="F788" s="4" t="str">
        <x:v>Record captured</x:v>
      </x:c>
      <x:c r="G788" s="4" t="str">
        <x:v>Handed over</x:v>
      </x:c>
    </x:row>
    <x:row r="789" ht="34" customHeight="1">
      <x:c r="A789" s="4" t="str">
        <x:v>RS-00788-E1</x:v>
      </x:c>
      <x:c r="B789" s="4" t="str">
        <x:v>RS-00788</x:v>
      </x:c>
      <x:c r="C789" s="8" t="n">
        <x:v>45326</x:v>
      </x:c>
      <x:c r="D789" s="4" t="str">
        <x:v>Sales operations manager</x:v>
      </x:c>
      <x:c r="E789" s="4" t="str">
        <x:v>Spreadsheet import</x:v>
      </x:c>
      <x:c r="F789" s="4" t="str">
        <x:v>Record captured</x:v>
      </x:c>
      <x:c r="G789" s="4" t="str">
        <x:v>Cancelled</x:v>
      </x:c>
    </x:row>
    <x:row r="790" ht="34" customHeight="1">
      <x:c r="A790" s="4" t="str">
        <x:v>RS-00789-E1</x:v>
      </x:c>
      <x:c r="B790" s="4" t="str">
        <x:v>RS-00789</x:v>
      </x:c>
      <x:c r="C790" s="8" t="n">
        <x:v>45327</x:v>
      </x:c>
      <x:c r="D790" s="4" t="str">
        <x:v>Sales operations manager</x:v>
      </x:c>
      <x:c r="E790" s="4" t="str">
        <x:v>Spreadsheet import</x:v>
      </x:c>
      <x:c r="F790" s="4" t="str">
        <x:v>Record captured</x:v>
      </x:c>
      <x:c r="G790" s="4" t="str">
        <x:v>Booked</x:v>
      </x:c>
    </x:row>
    <x:row r="791" ht="34" customHeight="1">
      <x:c r="A791" s="4" t="str">
        <x:v>RS-00790-E1</x:v>
      </x:c>
      <x:c r="B791" s="4" t="str">
        <x:v>RS-00790</x:v>
      </x:c>
      <x:c r="C791" s="8" t="n">
        <x:v>45328</x:v>
      </x:c>
      <x:c r="D791" s="4" t="str">
        <x:v>Sales operations manager</x:v>
      </x:c>
      <x:c r="E791" s="4" t="str">
        <x:v>ERP form</x:v>
      </x:c>
      <x:c r="F791" s="4" t="str">
        <x:v>Record captured</x:v>
      </x:c>
      <x:c r="G791" s="4" t="str">
        <x:v>Agreement signed</x:v>
      </x:c>
    </x:row>
    <x:row r="792" ht="34" customHeight="1">
      <x:c r="A792" s="4" t="str">
        <x:v>RS-00791-E1</x:v>
      </x:c>
      <x:c r="B792" s="4" t="str">
        <x:v>RS-00791</x:v>
      </x:c>
      <x:c r="C792" s="8" t="n">
        <x:v>45329</x:v>
      </x:c>
      <x:c r="D792" s="4" t="str">
        <x:v>Sales operations manager</x:v>
      </x:c>
      <x:c r="E792" s="4" t="str">
        <x:v>Spreadsheet import</x:v>
      </x:c>
      <x:c r="F792" s="4" t="str">
        <x:v>Record captured</x:v>
      </x:c>
      <x:c r="G792" s="4" t="str">
        <x:v>Cancelled</x:v>
      </x:c>
    </x:row>
    <x:row r="793" ht="34" customHeight="1">
      <x:c r="A793" s="4" t="str">
        <x:v>RS-00792-E1</x:v>
      </x:c>
      <x:c r="B793" s="4" t="str">
        <x:v>RS-00792</x:v>
      </x:c>
      <x:c r="C793" s="8" t="n">
        <x:v>45330</x:v>
      </x:c>
      <x:c r="D793" s="4" t="str">
        <x:v>Sales operations manager</x:v>
      </x:c>
      <x:c r="E793" s="4" t="str">
        <x:v>Spreadsheet import</x:v>
      </x:c>
      <x:c r="F793" s="4" t="str">
        <x:v>Record captured</x:v>
      </x:c>
      <x:c r="G793" s="4" t="str">
        <x:v>Cancelled</x:v>
      </x:c>
    </x:row>
    <x:row r="794" ht="34" customHeight="1">
      <x:c r="A794" s="4" t="str">
        <x:v>RS-00793-E1</x:v>
      </x:c>
      <x:c r="B794" s="4" t="str">
        <x:v>RS-00793</x:v>
      </x:c>
      <x:c r="C794" s="8" t="n">
        <x:v>45331</x:v>
      </x:c>
      <x:c r="D794" s="4" t="str">
        <x:v>Sales operations manager</x:v>
      </x:c>
      <x:c r="E794" s="4" t="str">
        <x:v>Spreadsheet import</x:v>
      </x:c>
      <x:c r="F794" s="4" t="str">
        <x:v>Record captured</x:v>
      </x:c>
      <x:c r="G794" s="4" t="str">
        <x:v>Handed over</x:v>
      </x:c>
    </x:row>
    <x:row r="795" ht="34" customHeight="1">
      <x:c r="A795" s="4" t="str">
        <x:v>RS-00794-E1</x:v>
      </x:c>
      <x:c r="B795" s="4" t="str">
        <x:v>RS-00794</x:v>
      </x:c>
      <x:c r="C795" s="8" t="n">
        <x:v>45332</x:v>
      </x:c>
      <x:c r="D795" s="4" t="str">
        <x:v>Sales operations manager</x:v>
      </x:c>
      <x:c r="E795" s="4" t="str">
        <x:v>WhatsApp transcribed</x:v>
      </x:c>
      <x:c r="F795" s="4" t="str">
        <x:v>Record captured</x:v>
      </x:c>
      <x:c r="G795" s="4" t="str">
        <x:v>Reserved</x:v>
      </x:c>
    </x:row>
    <x:row r="796" ht="34" customHeight="1">
      <x:c r="A796" s="4" t="str">
        <x:v>RS-00795-E1</x:v>
      </x:c>
      <x:c r="B796" s="4" t="str">
        <x:v>RS-00795</x:v>
      </x:c>
      <x:c r="C796" s="8" t="n">
        <x:v>45333</x:v>
      </x:c>
      <x:c r="D796" s="4" t="str">
        <x:v>Sales operations manager</x:v>
      </x:c>
      <x:c r="E796" s="4" t="str">
        <x:v>ERP form</x:v>
      </x:c>
      <x:c r="F796" s="4" t="str">
        <x:v>Record captured</x:v>
      </x:c>
      <x:c r="G796" s="4" t="str">
        <x:v>Cancelled</x:v>
      </x:c>
    </x:row>
    <x:row r="797" ht="34" customHeight="1">
      <x:c r="A797" s="4" t="str">
        <x:v>RS-00796-E1</x:v>
      </x:c>
      <x:c r="B797" s="4" t="str">
        <x:v>RS-00796</x:v>
      </x:c>
      <x:c r="C797" s="8" t="n">
        <x:v>45334</x:v>
      </x:c>
      <x:c r="D797" s="4" t="str">
        <x:v>Sales operations manager</x:v>
      </x:c>
      <x:c r="E797" s="4" t="str">
        <x:v>ERP form</x:v>
      </x:c>
      <x:c r="F797" s="4" t="str">
        <x:v>Record captured</x:v>
      </x:c>
      <x:c r="G797" s="4" t="str">
        <x:v>Reserved</x:v>
      </x:c>
    </x:row>
    <x:row r="798" ht="34" customHeight="1">
      <x:c r="A798" s="4" t="str">
        <x:v>RS-00797-E1</x:v>
      </x:c>
      <x:c r="B798" s="4" t="str">
        <x:v>RS-00797</x:v>
      </x:c>
      <x:c r="C798" s="8" t="n">
        <x:v>45335</x:v>
      </x:c>
      <x:c r="D798" s="4" t="str">
        <x:v>Sales operations manager</x:v>
      </x:c>
      <x:c r="E798" s="4" t="str">
        <x:v>WhatsApp transcribed</x:v>
      </x:c>
      <x:c r="F798" s="4" t="str">
        <x:v>Record captured</x:v>
      </x:c>
      <x:c r="G798" s="4" t="str">
        <x:v>Handed over</x:v>
      </x:c>
    </x:row>
    <x:row r="799" ht="34" customHeight="1">
      <x:c r="A799" s="4" t="str">
        <x:v>RS-00798-E1</x:v>
      </x:c>
      <x:c r="B799" s="4" t="str">
        <x:v>RS-00798</x:v>
      </x:c>
      <x:c r="C799" s="8" t="n">
        <x:v>45336</x:v>
      </x:c>
      <x:c r="D799" s="4" t="str">
        <x:v>Sales operations manager</x:v>
      </x:c>
      <x:c r="E799" s="4" t="str">
        <x:v>Paper transcribed</x:v>
      </x:c>
      <x:c r="F799" s="4" t="str">
        <x:v>Record captured</x:v>
      </x:c>
      <x:c r="G799" s="4" t="str">
        <x:v>Agreement signed</x:v>
      </x:c>
    </x:row>
    <x:row r="800" ht="34" customHeight="1">
      <x:c r="A800" s="4" t="str">
        <x:v>RS-00799-E1</x:v>
      </x:c>
      <x:c r="B800" s="4" t="str">
        <x:v>RS-00799</x:v>
      </x:c>
      <x:c r="C800" s="8" t="n">
        <x:v>45337</x:v>
      </x:c>
      <x:c r="D800" s="4" t="str">
        <x:v>Sales operations manager</x:v>
      </x:c>
      <x:c r="E800" s="4" t="str">
        <x:v>WhatsApp transcribed</x:v>
      </x:c>
      <x:c r="F800" s="4" t="str">
        <x:v>Record captured</x:v>
      </x:c>
      <x:c r="G800" s="4" t="str">
        <x:v>Enquiry</x:v>
      </x:c>
    </x:row>
    <x:row r="801" ht="34" customHeight="1">
      <x:c r="A801" s="4" t="str">
        <x:v>RS-00800-E1</x:v>
      </x:c>
      <x:c r="B801" s="4" t="str">
        <x:v>RS-00800</x:v>
      </x:c>
      <x:c r="C801" s="8" t="n">
        <x:v>45338</x:v>
      </x:c>
      <x:c r="D801" s="4" t="str">
        <x:v>Sales operations manager</x:v>
      </x:c>
      <x:c r="E801" s="4" t="str">
        <x:v>Spreadsheet import</x:v>
      </x:c>
      <x:c r="F801" s="4" t="str">
        <x:v>Record captured</x:v>
      </x:c>
      <x:c r="G801" s="4" t="str">
        <x:v>Handed over</x:v>
      </x:c>
    </x:row>
    <x:row r="802" ht="34" customHeight="1">
      <x:c r="A802" s="4" t="str">
        <x:v>RS-00801-E1</x:v>
      </x:c>
      <x:c r="B802" s="4" t="str">
        <x:v>RS-00801</x:v>
      </x:c>
      <x:c r="C802" s="8" t="n">
        <x:v>45339</x:v>
      </x:c>
      <x:c r="D802" s="4" t="str">
        <x:v>Sales operations manager</x:v>
      </x:c>
      <x:c r="E802" s="4" t="str">
        <x:v>Spreadsheet import</x:v>
      </x:c>
      <x:c r="F802" s="4" t="str">
        <x:v>Record captured</x:v>
      </x:c>
      <x:c r="G802" s="4" t="str">
        <x:v>Agreement signed</x:v>
      </x:c>
    </x:row>
    <x:row r="803" ht="34" customHeight="1">
      <x:c r="A803" s="4" t="str">
        <x:v>RS-00802-E1</x:v>
      </x:c>
      <x:c r="B803" s="4" t="str">
        <x:v>RS-00802</x:v>
      </x:c>
      <x:c r="C803" s="8" t="n">
        <x:v>45340</x:v>
      </x:c>
      <x:c r="D803" s="4" t="str">
        <x:v>Sales operations manager</x:v>
      </x:c>
      <x:c r="E803" s="4" t="str">
        <x:v>WhatsApp transcribed</x:v>
      </x:c>
      <x:c r="F803" s="4" t="str">
        <x:v>Record captured</x:v>
      </x:c>
      <x:c r="G803" s="4" t="str">
        <x:v>Enquiry</x:v>
      </x:c>
    </x:row>
    <x:row r="804" ht="34" customHeight="1">
      <x:c r="A804" s="4" t="str">
        <x:v>RS-00803-E1</x:v>
      </x:c>
      <x:c r="B804" s="4" t="str">
        <x:v>RS-00803</x:v>
      </x:c>
      <x:c r="C804" s="8" t="n">
        <x:v>45341</x:v>
      </x:c>
      <x:c r="D804" s="4" t="str">
        <x:v>Sales operations manager</x:v>
      </x:c>
      <x:c r="E804" s="4" t="str">
        <x:v>Spreadsheet import</x:v>
      </x:c>
      <x:c r="F804" s="4" t="str">
        <x:v>Record captured</x:v>
      </x:c>
      <x:c r="G804" s="4" t="str">
        <x:v>Cancelled</x:v>
      </x:c>
    </x:row>
    <x:row r="805" ht="34" customHeight="1">
      <x:c r="A805" s="4" t="str">
        <x:v>RS-00804-E1</x:v>
      </x:c>
      <x:c r="B805" s="4" t="str">
        <x:v>RS-00804</x:v>
      </x:c>
      <x:c r="C805" s="8" t="n">
        <x:v>45342</x:v>
      </x:c>
      <x:c r="D805" s="4" t="str">
        <x:v>Sales operations manager</x:v>
      </x:c>
      <x:c r="E805" s="4" t="str">
        <x:v>WhatsApp transcribed</x:v>
      </x:c>
      <x:c r="F805" s="4" t="str">
        <x:v>Record captured</x:v>
      </x:c>
      <x:c r="G805" s="4" t="str">
        <x:v>Agreement signed</x:v>
      </x:c>
    </x:row>
    <x:row r="806" ht="34" customHeight="1">
      <x:c r="A806" s="4" t="str">
        <x:v>RS-00805-E1</x:v>
      </x:c>
      <x:c r="B806" s="4" t="str">
        <x:v>RS-00805</x:v>
      </x:c>
      <x:c r="C806" s="8" t="n">
        <x:v>45343</x:v>
      </x:c>
      <x:c r="D806" s="4" t="str">
        <x:v>Sales operations manager</x:v>
      </x:c>
      <x:c r="E806" s="4" t="str">
        <x:v>Paper transcribed</x:v>
      </x:c>
      <x:c r="F806" s="4" t="str">
        <x:v>Record captured</x:v>
      </x:c>
      <x:c r="G806" s="4" t="str">
        <x:v>Enquiry</x:v>
      </x:c>
    </x:row>
    <x:row r="807" ht="34" customHeight="1">
      <x:c r="A807" s="4" t="str">
        <x:v>RS-00806-E1</x:v>
      </x:c>
      <x:c r="B807" s="4" t="str">
        <x:v>RS-00806</x:v>
      </x:c>
      <x:c r="C807" s="8" t="n">
        <x:v>45344</x:v>
      </x:c>
      <x:c r="D807" s="4" t="str">
        <x:v>Sales operations manager</x:v>
      </x:c>
      <x:c r="E807" s="4" t="str">
        <x:v>WhatsApp transcribed</x:v>
      </x:c>
      <x:c r="F807" s="4" t="str">
        <x:v>Record captured</x:v>
      </x:c>
      <x:c r="G807" s="4" t="str">
        <x:v>Agreement signed</x:v>
      </x:c>
    </x:row>
    <x:row r="808" ht="34" customHeight="1">
      <x:c r="A808" s="4" t="str">
        <x:v>RS-00807-E1</x:v>
      </x:c>
      <x:c r="B808" s="4" t="str">
        <x:v>RS-00807</x:v>
      </x:c>
      <x:c r="C808" s="8" t="n">
        <x:v>45345</x:v>
      </x:c>
      <x:c r="D808" s="4" t="str">
        <x:v>Sales operations manager</x:v>
      </x:c>
      <x:c r="E808" s="4" t="str">
        <x:v>Paper transcribed</x:v>
      </x:c>
      <x:c r="F808" s="4" t="str">
        <x:v>Record captured</x:v>
      </x:c>
      <x:c r="G808" s="4" t="str">
        <x:v>Reserved</x:v>
      </x:c>
    </x:row>
    <x:row r="809" ht="34" customHeight="1">
      <x:c r="A809" s="4" t="str">
        <x:v>RS-00808-E1</x:v>
      </x:c>
      <x:c r="B809" s="4" t="str">
        <x:v>RS-00808</x:v>
      </x:c>
      <x:c r="C809" s="8" t="n">
        <x:v>45346</x:v>
      </x:c>
      <x:c r="D809" s="4" t="str">
        <x:v>Sales operations manager</x:v>
      </x:c>
      <x:c r="E809" s="4" t="str">
        <x:v>ERP form</x:v>
      </x:c>
      <x:c r="F809" s="4" t="str">
        <x:v>Record captured</x:v>
      </x:c>
      <x:c r="G809" s="4" t="str">
        <x:v>Agreement signed</x:v>
      </x:c>
    </x:row>
    <x:row r="810" ht="34" customHeight="1">
      <x:c r="A810" s="4" t="str">
        <x:v>RS-00809-E1</x:v>
      </x:c>
      <x:c r="B810" s="4" t="str">
        <x:v>RS-00809</x:v>
      </x:c>
      <x:c r="C810" s="8" t="n">
        <x:v>45347</x:v>
      </x:c>
      <x:c r="D810" s="4" t="str">
        <x:v>Sales operations manager</x:v>
      </x:c>
      <x:c r="E810" s="4" t="str">
        <x:v>Spreadsheet import</x:v>
      </x:c>
      <x:c r="F810" s="4" t="str">
        <x:v>Record captured</x:v>
      </x:c>
      <x:c r="G810" s="4" t="str">
        <x:v>Cancelled</x:v>
      </x:c>
    </x:row>
    <x:row r="811" ht="34" customHeight="1">
      <x:c r="A811" s="4" t="str">
        <x:v>RS-00810-E1</x:v>
      </x:c>
      <x:c r="B811" s="4" t="str">
        <x:v>RS-00810</x:v>
      </x:c>
      <x:c r="C811" s="8" t="n">
        <x:v>45348</x:v>
      </x:c>
      <x:c r="D811" s="4" t="str">
        <x:v>Sales operations manager</x:v>
      </x:c>
      <x:c r="E811" s="4" t="str">
        <x:v>Spreadsheet import</x:v>
      </x:c>
      <x:c r="F811" s="4" t="str">
        <x:v>Record captured</x:v>
      </x:c>
      <x:c r="G811" s="4" t="str">
        <x:v>Agreement signed</x:v>
      </x:c>
    </x:row>
    <x:row r="812" ht="34" customHeight="1">
      <x:c r="A812" s="4" t="str">
        <x:v>RS-00811-E1</x:v>
      </x:c>
      <x:c r="B812" s="4" t="str">
        <x:v>RS-00811</x:v>
      </x:c>
      <x:c r="C812" s="8" t="n">
        <x:v>45349</x:v>
      </x:c>
      <x:c r="D812" s="4" t="str">
        <x:v>Sales operations manager</x:v>
      </x:c>
      <x:c r="E812" s="4" t="str">
        <x:v>ERP form</x:v>
      </x:c>
      <x:c r="F812" s="4" t="str">
        <x:v>Record captured</x:v>
      </x:c>
      <x:c r="G812" s="4" t="str">
        <x:v>Handed over</x:v>
      </x:c>
    </x:row>
    <x:row r="813" ht="34" customHeight="1">
      <x:c r="A813" s="4" t="str">
        <x:v>RS-00812-E1</x:v>
      </x:c>
      <x:c r="B813" s="4" t="str">
        <x:v>RS-00812</x:v>
      </x:c>
      <x:c r="C813" s="8" t="n">
        <x:v>45350</x:v>
      </x:c>
      <x:c r="D813" s="4" t="str">
        <x:v>Sales operations manager</x:v>
      </x:c>
      <x:c r="E813" s="4" t="str">
        <x:v>WhatsApp transcribed</x:v>
      </x:c>
      <x:c r="F813" s="4" t="str">
        <x:v>Record captured</x:v>
      </x:c>
      <x:c r="G813" s="4" t="str">
        <x:v>Agreement signed</x:v>
      </x:c>
    </x:row>
    <x:row r="814" ht="34" customHeight="1">
      <x:c r="A814" s="4" t="str">
        <x:v>RS-00813-E1</x:v>
      </x:c>
      <x:c r="B814" s="4" t="str">
        <x:v>RS-00813</x:v>
      </x:c>
      <x:c r="C814" s="8" t="n">
        <x:v>45323</x:v>
      </x:c>
      <x:c r="D814" s="4" t="str">
        <x:v>Sales operations manager</x:v>
      </x:c>
      <x:c r="E814" s="4" t="str">
        <x:v>WhatsApp transcribed</x:v>
      </x:c>
      <x:c r="F814" s="4" t="str">
        <x:v>Record captured</x:v>
      </x:c>
      <x:c r="G814" s="4" t="str">
        <x:v>Agreement signed</x:v>
      </x:c>
    </x:row>
    <x:row r="815" ht="34" customHeight="1">
      <x:c r="A815" s="4" t="str">
        <x:v>RS-00814-E1</x:v>
      </x:c>
      <x:c r="B815" s="4" t="str">
        <x:v>RS-00814</x:v>
      </x:c>
      <x:c r="C815" s="8" t="n">
        <x:v>45324</x:v>
      </x:c>
      <x:c r="D815" s="4" t="str">
        <x:v>Sales operations manager</x:v>
      </x:c>
      <x:c r="E815" s="4" t="str">
        <x:v>Paper transcribed</x:v>
      </x:c>
      <x:c r="F815" s="4" t="str">
        <x:v>Record captured</x:v>
      </x:c>
      <x:c r="G815" s="4" t="str">
        <x:v>Agreement signed</x:v>
      </x:c>
    </x:row>
    <x:row r="816" ht="34" customHeight="1">
      <x:c r="A816" s="4" t="str">
        <x:v>RS-00815-E1</x:v>
      </x:c>
      <x:c r="B816" s="4" t="str">
        <x:v>RS-00815</x:v>
      </x:c>
      <x:c r="C816" s="8" t="n">
        <x:v>45325</x:v>
      </x:c>
      <x:c r="D816" s="4" t="str">
        <x:v>Sales operations manager</x:v>
      </x:c>
      <x:c r="E816" s="4" t="str">
        <x:v>WhatsApp transcribed</x:v>
      </x:c>
      <x:c r="F816" s="4" t="str">
        <x:v>Record captured</x:v>
      </x:c>
      <x:c r="G816" s="4" t="str">
        <x:v>Cancelled</x:v>
      </x:c>
    </x:row>
    <x:row r="817" ht="34" customHeight="1">
      <x:c r="A817" s="4" t="str">
        <x:v>RS-00816-E1</x:v>
      </x:c>
      <x:c r="B817" s="4" t="str">
        <x:v>RS-00816</x:v>
      </x:c>
      <x:c r="C817" s="8" t="n">
        <x:v>45326</x:v>
      </x:c>
      <x:c r="D817" s="4" t="str">
        <x:v>Sales operations manager</x:v>
      </x:c>
      <x:c r="E817" s="4" t="str">
        <x:v>ERP form</x:v>
      </x:c>
      <x:c r="F817" s="4" t="str">
        <x:v>Record captured</x:v>
      </x:c>
      <x:c r="G817" s="4" t="str">
        <x:v>Reserved</x:v>
      </x:c>
    </x:row>
    <x:row r="818" ht="34" customHeight="1">
      <x:c r="A818" s="4" t="str">
        <x:v>RS-00817-E1</x:v>
      </x:c>
      <x:c r="B818" s="4" t="str">
        <x:v>RS-00817</x:v>
      </x:c>
      <x:c r="C818" s="8" t="n">
        <x:v>45327</x:v>
      </x:c>
      <x:c r="D818" s="4" t="str">
        <x:v>Sales operations manager</x:v>
      </x:c>
      <x:c r="E818" s="4" t="str">
        <x:v>ERP form</x:v>
      </x:c>
      <x:c r="F818" s="4" t="str">
        <x:v>Record captured</x:v>
      </x:c>
      <x:c r="G818" s="4" t="str">
        <x:v>Enquiry</x:v>
      </x:c>
    </x:row>
    <x:row r="819" ht="34" customHeight="1">
      <x:c r="A819" s="4" t="str">
        <x:v>RS-00818-E1</x:v>
      </x:c>
      <x:c r="B819" s="4" t="str">
        <x:v>RS-00818</x:v>
      </x:c>
      <x:c r="C819" s="8" t="n">
        <x:v>45328</x:v>
      </x:c>
      <x:c r="D819" s="4" t="str">
        <x:v>Sales operations manager</x:v>
      </x:c>
      <x:c r="E819" s="4" t="str">
        <x:v>ERP form</x:v>
      </x:c>
      <x:c r="F819" s="4" t="str">
        <x:v>Record captured</x:v>
      </x:c>
      <x:c r="G819" s="4" t="str">
        <x:v>Booked</x:v>
      </x:c>
    </x:row>
    <x:row r="820" ht="34" customHeight="1">
      <x:c r="A820" s="4" t="str">
        <x:v>RS-00819-E1</x:v>
      </x:c>
      <x:c r="B820" s="4" t="str">
        <x:v>RS-00819</x:v>
      </x:c>
      <x:c r="C820" s="8" t="n">
        <x:v>45329</x:v>
      </x:c>
      <x:c r="D820" s="4" t="str">
        <x:v>Sales operations manager</x:v>
      </x:c>
      <x:c r="E820" s="4" t="str">
        <x:v>Spreadsheet import</x:v>
      </x:c>
      <x:c r="F820" s="4" t="str">
        <x:v>Record captured</x:v>
      </x:c>
      <x:c r="G820" s="4" t="str">
        <x:v>Booked</x:v>
      </x:c>
    </x:row>
    <x:row r="821" ht="34" customHeight="1">
      <x:c r="A821" s="4" t="str">
        <x:v>RS-00820-E1</x:v>
      </x:c>
      <x:c r="B821" s="4" t="str">
        <x:v>RS-00820</x:v>
      </x:c>
      <x:c r="C821" s="8" t="n">
        <x:v>45330</x:v>
      </x:c>
      <x:c r="D821" s="4" t="str">
        <x:v>Sales operations manager</x:v>
      </x:c>
      <x:c r="E821" s="4" t="str">
        <x:v>Paper transcribed</x:v>
      </x:c>
      <x:c r="F821" s="4" t="str">
        <x:v>Record captured</x:v>
      </x:c>
      <x:c r="G821" s="4" t="str">
        <x:v>Cancelled</x:v>
      </x:c>
    </x:row>
    <x:row r="822" ht="34" customHeight="1">
      <x:c r="A822" s="4" t="str">
        <x:v>RS-00821-E1</x:v>
      </x:c>
      <x:c r="B822" s="4" t="str">
        <x:v>RS-00821</x:v>
      </x:c>
      <x:c r="C822" s="8" t="n">
        <x:v>45331</x:v>
      </x:c>
      <x:c r="D822" s="4" t="str">
        <x:v>Sales operations manager</x:v>
      </x:c>
      <x:c r="E822" s="4" t="str">
        <x:v>Spreadsheet import</x:v>
      </x:c>
      <x:c r="F822" s="4" t="str">
        <x:v>Record captured</x:v>
      </x:c>
      <x:c r="G822" s="4" t="str">
        <x:v>Reserved</x:v>
      </x:c>
    </x:row>
    <x:row r="823" ht="34" customHeight="1">
      <x:c r="A823" s="4" t="str">
        <x:v>RS-00822-E1</x:v>
      </x:c>
      <x:c r="B823" s="4" t="str">
        <x:v>RS-00822</x:v>
      </x:c>
      <x:c r="C823" s="8" t="n">
        <x:v>45332</x:v>
      </x:c>
      <x:c r="D823" s="4" t="str">
        <x:v>Sales operations manager</x:v>
      </x:c>
      <x:c r="E823" s="4" t="str">
        <x:v>Paper transcribed</x:v>
      </x:c>
      <x:c r="F823" s="4" t="str">
        <x:v>Record captured</x:v>
      </x:c>
      <x:c r="G823" s="4" t="str">
        <x:v>Reserved</x:v>
      </x:c>
    </x:row>
    <x:row r="824" ht="34" customHeight="1">
      <x:c r="A824" s="4" t="str">
        <x:v>RS-00823-E1</x:v>
      </x:c>
      <x:c r="B824" s="4" t="str">
        <x:v>RS-00823</x:v>
      </x:c>
      <x:c r="C824" s="8" t="n">
        <x:v>45333</x:v>
      </x:c>
      <x:c r="D824" s="4" t="str">
        <x:v>Sales operations manager</x:v>
      </x:c>
      <x:c r="E824" s="4" t="str">
        <x:v>Spreadsheet import</x:v>
      </x:c>
      <x:c r="F824" s="4" t="str">
        <x:v>Record captured</x:v>
      </x:c>
      <x:c r="G824" s="4" t="str">
        <x:v>Handed over</x:v>
      </x:c>
    </x:row>
    <x:row r="825" ht="34" customHeight="1">
      <x:c r="A825" s="4" t="str">
        <x:v>RS-00824-E1</x:v>
      </x:c>
      <x:c r="B825" s="4" t="str">
        <x:v>RS-00824</x:v>
      </x:c>
      <x:c r="C825" s="8" t="n">
        <x:v>45334</x:v>
      </x:c>
      <x:c r="D825" s="4" t="str">
        <x:v>Sales operations manager</x:v>
      </x:c>
      <x:c r="E825" s="4" t="str">
        <x:v>Spreadsheet import</x:v>
      </x:c>
      <x:c r="F825" s="4" t="str">
        <x:v>Record captured</x:v>
      </x:c>
      <x:c r="G825" s="4" t="str">
        <x:v>Handed over</x:v>
      </x:c>
    </x:row>
    <x:row r="826" ht="34" customHeight="1">
      <x:c r="A826" s="4" t="str">
        <x:v>RS-00825-E1</x:v>
      </x:c>
      <x:c r="B826" s="4" t="str">
        <x:v>RS-00825</x:v>
      </x:c>
      <x:c r="C826" s="8" t="n">
        <x:v>45335</x:v>
      </x:c>
      <x:c r="D826" s="4" t="str">
        <x:v>Sales operations manager</x:v>
      </x:c>
      <x:c r="E826" s="4" t="str">
        <x:v>ERP form</x:v>
      </x:c>
      <x:c r="F826" s="4" t="str">
        <x:v>Record captured</x:v>
      </x:c>
      <x:c r="G826" s="4" t="str">
        <x:v>Handed over</x:v>
      </x:c>
    </x:row>
    <x:row r="827" ht="34" customHeight="1">
      <x:c r="A827" s="4" t="str">
        <x:v>RS-00826-E1</x:v>
      </x:c>
      <x:c r="B827" s="4" t="str">
        <x:v>RS-00826</x:v>
      </x:c>
      <x:c r="C827" s="8" t="n">
        <x:v>45336</x:v>
      </x:c>
      <x:c r="D827" s="4" t="str">
        <x:v>Sales operations manager</x:v>
      </x:c>
      <x:c r="E827" s="4" t="str">
        <x:v>WhatsApp transcribed</x:v>
      </x:c>
      <x:c r="F827" s="4" t="str">
        <x:v>Record captured</x:v>
      </x:c>
      <x:c r="G827" s="4" t="str">
        <x:v>Cancelled</x:v>
      </x:c>
    </x:row>
    <x:row r="828" ht="34" customHeight="1">
      <x:c r="A828" s="4" t="str">
        <x:v>RS-00827-E1</x:v>
      </x:c>
      <x:c r="B828" s="4" t="str">
        <x:v>RS-00827</x:v>
      </x:c>
      <x:c r="C828" s="8" t="n">
        <x:v>45337</x:v>
      </x:c>
      <x:c r="D828" s="4" t="str">
        <x:v>Sales operations manager</x:v>
      </x:c>
      <x:c r="E828" s="4" t="str">
        <x:v>WhatsApp transcribed</x:v>
      </x:c>
      <x:c r="F828" s="4" t="str">
        <x:v>Record captured</x:v>
      </x:c>
      <x:c r="G828" s="4" t="str">
        <x:v>Reserved</x:v>
      </x:c>
    </x:row>
    <x:row r="829" ht="34" customHeight="1">
      <x:c r="A829" s="4" t="str">
        <x:v>RS-00828-E1</x:v>
      </x:c>
      <x:c r="B829" s="4" t="str">
        <x:v>RS-00828</x:v>
      </x:c>
      <x:c r="C829" s="8" t="n">
        <x:v>45338</x:v>
      </x:c>
      <x:c r="D829" s="4" t="str">
        <x:v>Sales operations manager</x:v>
      </x:c>
      <x:c r="E829" s="4" t="str">
        <x:v>WhatsApp transcribed</x:v>
      </x:c>
      <x:c r="F829" s="4" t="str">
        <x:v>Record captured</x:v>
      </x:c>
      <x:c r="G829" s="4" t="str">
        <x:v>Reserved</x:v>
      </x:c>
    </x:row>
    <x:row r="830" ht="34" customHeight="1">
      <x:c r="A830" s="4" t="str">
        <x:v>RS-00829-E1</x:v>
      </x:c>
      <x:c r="B830" s="4" t="str">
        <x:v>RS-00829</x:v>
      </x:c>
      <x:c r="C830" s="8" t="n">
        <x:v>45339</x:v>
      </x:c>
      <x:c r="D830" s="4" t="str">
        <x:v>Sales operations manager</x:v>
      </x:c>
      <x:c r="E830" s="4" t="str">
        <x:v>Spreadsheet import</x:v>
      </x:c>
      <x:c r="F830" s="4" t="str">
        <x:v>Record captured</x:v>
      </x:c>
      <x:c r="G830" s="4" t="str">
        <x:v>Enquiry</x:v>
      </x:c>
    </x:row>
    <x:row r="831" ht="34" customHeight="1">
      <x:c r="A831" s="4" t="str">
        <x:v>RS-00830-E1</x:v>
      </x:c>
      <x:c r="B831" s="4" t="str">
        <x:v>RS-00830</x:v>
      </x:c>
      <x:c r="C831" s="8" t="n">
        <x:v>45340</x:v>
      </x:c>
      <x:c r="D831" s="4" t="str">
        <x:v>Sales operations manager</x:v>
      </x:c>
      <x:c r="E831" s="4" t="str">
        <x:v>WhatsApp transcribed</x:v>
      </x:c>
      <x:c r="F831" s="4" t="str">
        <x:v>Record captured</x:v>
      </x:c>
      <x:c r="G831" s="4" t="str">
        <x:v>Agreement signed</x:v>
      </x:c>
    </x:row>
    <x:row r="832" ht="34" customHeight="1">
      <x:c r="A832" s="4" t="str">
        <x:v>RS-00831-E1</x:v>
      </x:c>
      <x:c r="B832" s="4" t="str">
        <x:v>RS-00831</x:v>
      </x:c>
      <x:c r="C832" s="8" t="n">
        <x:v>45341</x:v>
      </x:c>
      <x:c r="D832" s="4" t="str">
        <x:v>Sales operations manager</x:v>
      </x:c>
      <x:c r="E832" s="4" t="str">
        <x:v>Paper transcribed</x:v>
      </x:c>
      <x:c r="F832" s="4" t="str">
        <x:v>Record captured</x:v>
      </x:c>
      <x:c r="G832" s="4" t="str">
        <x:v>Agreement signed</x:v>
      </x:c>
    </x:row>
    <x:row r="833" ht="34" customHeight="1">
      <x:c r="A833" s="4" t="str">
        <x:v>RS-00832-E1</x:v>
      </x:c>
      <x:c r="B833" s="4" t="str">
        <x:v>RS-00832</x:v>
      </x:c>
      <x:c r="C833" s="8" t="n">
        <x:v>45342</x:v>
      </x:c>
      <x:c r="D833" s="4" t="str">
        <x:v>Sales operations manager</x:v>
      </x:c>
      <x:c r="E833" s="4" t="str">
        <x:v>ERP form</x:v>
      </x:c>
      <x:c r="F833" s="4" t="str">
        <x:v>Record captured</x:v>
      </x:c>
      <x:c r="G833" s="4" t="str">
        <x:v>Cancelled</x:v>
      </x:c>
    </x:row>
    <x:row r="834" ht="34" customHeight="1">
      <x:c r="A834" s="4" t="str">
        <x:v>RS-00833-E1</x:v>
      </x:c>
      <x:c r="B834" s="4" t="str">
        <x:v>RS-00833</x:v>
      </x:c>
      <x:c r="C834" s="8" t="n">
        <x:v>45343</x:v>
      </x:c>
      <x:c r="D834" s="4" t="str">
        <x:v>Sales operations manager</x:v>
      </x:c>
      <x:c r="E834" s="4" t="str">
        <x:v>Paper transcribed</x:v>
      </x:c>
      <x:c r="F834" s="4" t="str">
        <x:v>Record captured</x:v>
      </x:c>
      <x:c r="G834" s="4" t="str">
        <x:v>Enquiry</x:v>
      </x:c>
    </x:row>
    <x:row r="835" ht="34" customHeight="1">
      <x:c r="A835" s="4" t="str">
        <x:v>RS-00834-E1</x:v>
      </x:c>
      <x:c r="B835" s="4" t="str">
        <x:v>RS-00834</x:v>
      </x:c>
      <x:c r="C835" s="8" t="n">
        <x:v>45344</x:v>
      </x:c>
      <x:c r="D835" s="4" t="str">
        <x:v>Sales operations manager</x:v>
      </x:c>
      <x:c r="E835" s="4" t="str">
        <x:v>Spreadsheet import</x:v>
      </x:c>
      <x:c r="F835" s="4" t="str">
        <x:v>Record captured</x:v>
      </x:c>
      <x:c r="G835" s="4" t="str">
        <x:v>Agreement signed</x:v>
      </x:c>
    </x:row>
    <x:row r="836" ht="34" customHeight="1">
      <x:c r="A836" s="4" t="str">
        <x:v>RS-00835-E1</x:v>
      </x:c>
      <x:c r="B836" s="4" t="str">
        <x:v>RS-00835</x:v>
      </x:c>
      <x:c r="C836" s="8" t="n">
        <x:v>45345</x:v>
      </x:c>
      <x:c r="D836" s="4" t="str">
        <x:v>Sales operations manager</x:v>
      </x:c>
      <x:c r="E836" s="4" t="str">
        <x:v>Paper transcribed</x:v>
      </x:c>
      <x:c r="F836" s="4" t="str">
        <x:v>Record captured</x:v>
      </x:c>
      <x:c r="G836" s="4" t="str">
        <x:v>Agreement signed</x:v>
      </x:c>
    </x:row>
    <x:row r="837" ht="34" customHeight="1">
      <x:c r="A837" s="4" t="str">
        <x:v>RS-00836-E1</x:v>
      </x:c>
      <x:c r="B837" s="4" t="str">
        <x:v>RS-00836</x:v>
      </x:c>
      <x:c r="C837" s="8" t="n">
        <x:v>45346</x:v>
      </x:c>
      <x:c r="D837" s="4" t="str">
        <x:v>Sales operations manager</x:v>
      </x:c>
      <x:c r="E837" s="4" t="str">
        <x:v>Paper transcribed</x:v>
      </x:c>
      <x:c r="F837" s="4" t="str">
        <x:v>Record captured</x:v>
      </x:c>
      <x:c r="G837" s="4" t="str">
        <x:v>Agreement signed</x:v>
      </x:c>
    </x:row>
    <x:row r="838" ht="34" customHeight="1">
      <x:c r="A838" s="4" t="str">
        <x:v>RS-00837-E1</x:v>
      </x:c>
      <x:c r="B838" s="4" t="str">
        <x:v>RS-00837</x:v>
      </x:c>
      <x:c r="C838" s="8" t="n">
        <x:v>45347</x:v>
      </x:c>
      <x:c r="D838" s="4" t="str">
        <x:v>Sales operations manager</x:v>
      </x:c>
      <x:c r="E838" s="4" t="str">
        <x:v>WhatsApp transcribed</x:v>
      </x:c>
      <x:c r="F838" s="4" t="str">
        <x:v>Record captured</x:v>
      </x:c>
      <x:c r="G838" s="4" t="str">
        <x:v>Handed over</x:v>
      </x:c>
    </x:row>
    <x:row r="839" ht="34" customHeight="1">
      <x:c r="A839" s="4" t="str">
        <x:v>RS-00838-E1</x:v>
      </x:c>
      <x:c r="B839" s="4" t="str">
        <x:v>RS-00838</x:v>
      </x:c>
      <x:c r="C839" s="8" t="n">
        <x:v>45348</x:v>
      </x:c>
      <x:c r="D839" s="4" t="str">
        <x:v>Sales operations manager</x:v>
      </x:c>
      <x:c r="E839" s="4" t="str">
        <x:v>Paper transcribed</x:v>
      </x:c>
      <x:c r="F839" s="4" t="str">
        <x:v>Record captured</x:v>
      </x:c>
      <x:c r="G839" s="4" t="str">
        <x:v>Reserved</x:v>
      </x:c>
    </x:row>
    <x:row r="840" ht="34" customHeight="1">
      <x:c r="A840" s="4" t="str">
        <x:v>RS-00839-E1</x:v>
      </x:c>
      <x:c r="B840" s="4" t="str">
        <x:v>RS-00839</x:v>
      </x:c>
      <x:c r="C840" s="8" t="n">
        <x:v>45349</x:v>
      </x:c>
      <x:c r="D840" s="4" t="str">
        <x:v>Sales operations manager</x:v>
      </x:c>
      <x:c r="E840" s="4" t="str">
        <x:v>Spreadsheet import</x:v>
      </x:c>
      <x:c r="F840" s="4" t="str">
        <x:v>Record captured</x:v>
      </x:c>
      <x:c r="G840" s="4" t="str">
        <x:v>Booked</x:v>
      </x:c>
    </x:row>
    <x:row r="841" ht="34" customHeight="1">
      <x:c r="A841" s="4" t="str">
        <x:v>RS-00840-E1</x:v>
      </x:c>
      <x:c r="B841" s="4" t="str">
        <x:v>RS-00840</x:v>
      </x:c>
      <x:c r="C841" s="8" t="n">
        <x:v>45350</x:v>
      </x:c>
      <x:c r="D841" s="4" t="str">
        <x:v>Sales operations manager</x:v>
      </x:c>
      <x:c r="E841" s="4" t="str">
        <x:v>Paper transcribed</x:v>
      </x:c>
      <x:c r="F841" s="4" t="str">
        <x:v>Record captured</x:v>
      </x:c>
      <x:c r="G841" s="4" t="str">
        <x:v>Agreement signed</x:v>
      </x:c>
    </x:row>
    <x:row r="842" ht="34" customHeight="1">
      <x:c r="A842" s="4" t="str">
        <x:v>RS-00841-E1</x:v>
      </x:c>
      <x:c r="B842" s="4" t="str">
        <x:v>RS-00841</x:v>
      </x:c>
      <x:c r="C842" s="8" t="n">
        <x:v>45323</x:v>
      </x:c>
      <x:c r="D842" s="4" t="str">
        <x:v>Sales operations manager</x:v>
      </x:c>
      <x:c r="E842" s="4" t="str">
        <x:v>WhatsApp transcribed</x:v>
      </x:c>
      <x:c r="F842" s="4" t="str">
        <x:v>Record captured</x:v>
      </x:c>
      <x:c r="G842" s="4" t="str">
        <x:v>Booked</x:v>
      </x:c>
    </x:row>
    <x:row r="843" ht="34" customHeight="1">
      <x:c r="A843" s="4" t="str">
        <x:v>RS-00842-E1</x:v>
      </x:c>
      <x:c r="B843" s="4" t="str">
        <x:v>RS-00842</x:v>
      </x:c>
      <x:c r="C843" s="8" t="n">
        <x:v>45324</x:v>
      </x:c>
      <x:c r="D843" s="4" t="str">
        <x:v>Sales operations manager</x:v>
      </x:c>
      <x:c r="E843" s="4" t="str">
        <x:v>Paper transcribed</x:v>
      </x:c>
      <x:c r="F843" s="4" t="str">
        <x:v>Record captured</x:v>
      </x:c>
      <x:c r="G843" s="4" t="str">
        <x:v>Reserved</x:v>
      </x:c>
    </x:row>
    <x:row r="844" ht="34" customHeight="1">
      <x:c r="A844" s="4" t="str">
        <x:v>RS-00843-E1</x:v>
      </x:c>
      <x:c r="B844" s="4" t="str">
        <x:v>RS-00843</x:v>
      </x:c>
      <x:c r="C844" s="8" t="n">
        <x:v>45325</x:v>
      </x:c>
      <x:c r="D844" s="4" t="str">
        <x:v>Sales operations manager</x:v>
      </x:c>
      <x:c r="E844" s="4" t="str">
        <x:v>ERP form</x:v>
      </x:c>
      <x:c r="F844" s="4" t="str">
        <x:v>Record captured</x:v>
      </x:c>
      <x:c r="G844" s="4" t="str">
        <x:v>Cancelled</x:v>
      </x:c>
    </x:row>
    <x:row r="845" ht="34" customHeight="1">
      <x:c r="A845" s="4" t="str">
        <x:v>RS-00844-E1</x:v>
      </x:c>
      <x:c r="B845" s="4" t="str">
        <x:v>RS-00844</x:v>
      </x:c>
      <x:c r="C845" s="8" t="n">
        <x:v>45326</x:v>
      </x:c>
      <x:c r="D845" s="4" t="str">
        <x:v>Sales operations manager</x:v>
      </x:c>
      <x:c r="E845" s="4" t="str">
        <x:v>Spreadsheet import</x:v>
      </x:c>
      <x:c r="F845" s="4" t="str">
        <x:v>Record captured</x:v>
      </x:c>
      <x:c r="G845" s="4" t="str">
        <x:v>Cancelled</x:v>
      </x:c>
    </x:row>
    <x:row r="846" ht="34" customHeight="1">
      <x:c r="A846" s="4" t="str">
        <x:v>RS-00845-E1</x:v>
      </x:c>
      <x:c r="B846" s="4" t="str">
        <x:v>RS-00845</x:v>
      </x:c>
      <x:c r="C846" s="8" t="n">
        <x:v>45327</x:v>
      </x:c>
      <x:c r="D846" s="4" t="str">
        <x:v>Sales operations manager</x:v>
      </x:c>
      <x:c r="E846" s="4" t="str">
        <x:v>Paper transcribed</x:v>
      </x:c>
      <x:c r="F846" s="4" t="str">
        <x:v>Record captured</x:v>
      </x:c>
      <x:c r="G846" s="4" t="str">
        <x:v>Booked</x:v>
      </x:c>
    </x:row>
    <x:row r="847" ht="34" customHeight="1">
      <x:c r="A847" s="4" t="str">
        <x:v>RS-00846-E1</x:v>
      </x:c>
      <x:c r="B847" s="4" t="str">
        <x:v>RS-00846</x:v>
      </x:c>
      <x:c r="C847" s="8" t="n">
        <x:v>45328</x:v>
      </x:c>
      <x:c r="D847" s="4" t="str">
        <x:v>Sales operations manager</x:v>
      </x:c>
      <x:c r="E847" s="4" t="str">
        <x:v>ERP form</x:v>
      </x:c>
      <x:c r="F847" s="4" t="str">
        <x:v>Record captured</x:v>
      </x:c>
      <x:c r="G847" s="4" t="str">
        <x:v>Booked</x:v>
      </x:c>
    </x:row>
    <x:row r="848" ht="34" customHeight="1">
      <x:c r="A848" s="4" t="str">
        <x:v>RS-00847-E1</x:v>
      </x:c>
      <x:c r="B848" s="4" t="str">
        <x:v>RS-00847</x:v>
      </x:c>
      <x:c r="C848" s="8" t="n">
        <x:v>45329</x:v>
      </x:c>
      <x:c r="D848" s="4" t="str">
        <x:v>Sales operations manager</x:v>
      </x:c>
      <x:c r="E848" s="4" t="str">
        <x:v>Paper transcribed</x:v>
      </x:c>
      <x:c r="F848" s="4" t="str">
        <x:v>Record captured</x:v>
      </x:c>
      <x:c r="G848" s="4" t="str">
        <x:v>Booked</x:v>
      </x:c>
    </x:row>
    <x:row r="849" ht="34" customHeight="1">
      <x:c r="A849" s="4" t="str">
        <x:v>RS-00848-E1</x:v>
      </x:c>
      <x:c r="B849" s="4" t="str">
        <x:v>RS-00848</x:v>
      </x:c>
      <x:c r="C849" s="8" t="n">
        <x:v>45330</x:v>
      </x:c>
      <x:c r="D849" s="4" t="str">
        <x:v>Sales operations manager</x:v>
      </x:c>
      <x:c r="E849" s="4" t="str">
        <x:v>ERP form</x:v>
      </x:c>
      <x:c r="F849" s="4" t="str">
        <x:v>Record captured</x:v>
      </x:c>
      <x:c r="G849" s="4" t="str">
        <x:v>Handed over</x:v>
      </x:c>
    </x:row>
    <x:row r="850" ht="34" customHeight="1">
      <x:c r="A850" s="4" t="str">
        <x:v>RS-00849-E1</x:v>
      </x:c>
      <x:c r="B850" s="4" t="str">
        <x:v>RS-00849</x:v>
      </x:c>
      <x:c r="C850" s="8" t="n">
        <x:v>45331</x:v>
      </x:c>
      <x:c r="D850" s="4" t="str">
        <x:v>Sales operations manager</x:v>
      </x:c>
      <x:c r="E850" s="4" t="str">
        <x:v>ERP form</x:v>
      </x:c>
      <x:c r="F850" s="4" t="str">
        <x:v>Record captured</x:v>
      </x:c>
      <x:c r="G850" s="4" t="str">
        <x:v>Agreement signed</x:v>
      </x:c>
    </x:row>
    <x:row r="851" ht="34" customHeight="1">
      <x:c r="A851" s="4" t="str">
        <x:v>RS-00850-E1</x:v>
      </x:c>
      <x:c r="B851" s="4" t="str">
        <x:v>RS-00850</x:v>
      </x:c>
      <x:c r="C851" s="8" t="n">
        <x:v>45332</x:v>
      </x:c>
      <x:c r="D851" s="4" t="str">
        <x:v>Sales operations manager</x:v>
      </x:c>
      <x:c r="E851" s="4" t="str">
        <x:v>Paper transcribed</x:v>
      </x:c>
      <x:c r="F851" s="4" t="str">
        <x:v>Record captured</x:v>
      </x:c>
      <x:c r="G851" s="4" t="str">
        <x:v>Cancelled</x:v>
      </x:c>
    </x:row>
    <x:row r="852" ht="34" customHeight="1">
      <x:c r="A852" s="4" t="str">
        <x:v>RS-00851-E1</x:v>
      </x:c>
      <x:c r="B852" s="4" t="str">
        <x:v>RS-00851</x:v>
      </x:c>
      <x:c r="C852" s="8" t="n">
        <x:v>45333</x:v>
      </x:c>
      <x:c r="D852" s="4" t="str">
        <x:v>Sales operations manager</x:v>
      </x:c>
      <x:c r="E852" s="4" t="str">
        <x:v>ERP form</x:v>
      </x:c>
      <x:c r="F852" s="4" t="str">
        <x:v>Record captured</x:v>
      </x:c>
      <x:c r="G852" s="4" t="str">
        <x:v>Agreement signed</x:v>
      </x:c>
    </x:row>
    <x:row r="853" ht="34" customHeight="1">
      <x:c r="A853" s="4" t="str">
        <x:v>RS-00852-E1</x:v>
      </x:c>
      <x:c r="B853" s="4" t="str">
        <x:v>RS-00852</x:v>
      </x:c>
      <x:c r="C853" s="8" t="n">
        <x:v>45334</x:v>
      </x:c>
      <x:c r="D853" s="4" t="str">
        <x:v>Sales operations manager</x:v>
      </x:c>
      <x:c r="E853" s="4" t="str">
        <x:v>ERP form</x:v>
      </x:c>
      <x:c r="F853" s="4" t="str">
        <x:v>Record captured</x:v>
      </x:c>
      <x:c r="G853" s="4" t="str">
        <x:v>Booked</x:v>
      </x:c>
    </x:row>
    <x:row r="854" ht="34" customHeight="1">
      <x:c r="A854" s="4" t="str">
        <x:v>RS-00853-E1</x:v>
      </x:c>
      <x:c r="B854" s="4" t="str">
        <x:v>RS-00853</x:v>
      </x:c>
      <x:c r="C854" s="8" t="n">
        <x:v>45335</x:v>
      </x:c>
      <x:c r="D854" s="4" t="str">
        <x:v>Sales operations manager</x:v>
      </x:c>
      <x:c r="E854" s="4" t="str">
        <x:v>Spreadsheet import</x:v>
      </x:c>
      <x:c r="F854" s="4" t="str">
        <x:v>Record captured</x:v>
      </x:c>
      <x:c r="G854" s="4" t="str">
        <x:v>Reserved</x:v>
      </x:c>
    </x:row>
    <x:row r="855" ht="34" customHeight="1">
      <x:c r="A855" s="4" t="str">
        <x:v>RS-00854-E1</x:v>
      </x:c>
      <x:c r="B855" s="4" t="str">
        <x:v>RS-00854</x:v>
      </x:c>
      <x:c r="C855" s="8" t="n">
        <x:v>45336</x:v>
      </x:c>
      <x:c r="D855" s="4" t="str">
        <x:v>Sales operations manager</x:v>
      </x:c>
      <x:c r="E855" s="4" t="str">
        <x:v>Paper transcribed</x:v>
      </x:c>
      <x:c r="F855" s="4" t="str">
        <x:v>Record captured</x:v>
      </x:c>
      <x:c r="G855" s="4" t="str">
        <x:v>Booked</x:v>
      </x:c>
    </x:row>
    <x:row r="856" ht="34" customHeight="1">
      <x:c r="A856" s="4" t="str">
        <x:v>RS-00855-E1</x:v>
      </x:c>
      <x:c r="B856" s="4" t="str">
        <x:v>RS-00855</x:v>
      </x:c>
      <x:c r="C856" s="8" t="n">
        <x:v>45337</x:v>
      </x:c>
      <x:c r="D856" s="4" t="str">
        <x:v>Sales operations manager</x:v>
      </x:c>
      <x:c r="E856" s="4" t="str">
        <x:v>ERP form</x:v>
      </x:c>
      <x:c r="F856" s="4" t="str">
        <x:v>Record captured</x:v>
      </x:c>
      <x:c r="G856" s="4" t="str">
        <x:v>Agreement signed</x:v>
      </x:c>
    </x:row>
    <x:row r="857" ht="34" customHeight="1">
      <x:c r="A857" s="4" t="str">
        <x:v>RS-00856-E1</x:v>
      </x:c>
      <x:c r="B857" s="4" t="str">
        <x:v>RS-00856</x:v>
      </x:c>
      <x:c r="C857" s="8" t="n">
        <x:v>45338</x:v>
      </x:c>
      <x:c r="D857" s="4" t="str">
        <x:v>Sales operations manager</x:v>
      </x:c>
      <x:c r="E857" s="4" t="str">
        <x:v>Spreadsheet import</x:v>
      </x:c>
      <x:c r="F857" s="4" t="str">
        <x:v>Record captured</x:v>
      </x:c>
      <x:c r="G857" s="4" t="str">
        <x:v>Handed over</x:v>
      </x:c>
    </x:row>
    <x:row r="858" ht="34" customHeight="1">
      <x:c r="A858" s="4" t="str">
        <x:v>RS-00857-E1</x:v>
      </x:c>
      <x:c r="B858" s="4" t="str">
        <x:v>RS-00857</x:v>
      </x:c>
      <x:c r="C858" s="8" t="n">
        <x:v>45339</x:v>
      </x:c>
      <x:c r="D858" s="4" t="str">
        <x:v>Sales operations manager</x:v>
      </x:c>
      <x:c r="E858" s="4" t="str">
        <x:v>WhatsApp transcribed</x:v>
      </x:c>
      <x:c r="F858" s="4" t="str">
        <x:v>Record captured</x:v>
      </x:c>
      <x:c r="G858" s="4" t="str">
        <x:v>Agreement signed</x:v>
      </x:c>
    </x:row>
    <x:row r="859" ht="34" customHeight="1">
      <x:c r="A859" s="4" t="str">
        <x:v>RS-00858-E1</x:v>
      </x:c>
      <x:c r="B859" s="4" t="str">
        <x:v>RS-00858</x:v>
      </x:c>
      <x:c r="C859" s="8" t="n">
        <x:v>45340</x:v>
      </x:c>
      <x:c r="D859" s="4" t="str">
        <x:v>Sales operations manager</x:v>
      </x:c>
      <x:c r="E859" s="4" t="str">
        <x:v>WhatsApp transcribed</x:v>
      </x:c>
      <x:c r="F859" s="4" t="str">
        <x:v>Record captured</x:v>
      </x:c>
      <x:c r="G859" s="4" t="str">
        <x:v>Booked</x:v>
      </x:c>
    </x:row>
    <x:row r="860" ht="34" customHeight="1">
      <x:c r="A860" s="4" t="str">
        <x:v>RS-00859-E1</x:v>
      </x:c>
      <x:c r="B860" s="4" t="str">
        <x:v>RS-00859</x:v>
      </x:c>
      <x:c r="C860" s="8" t="n">
        <x:v>45341</x:v>
      </x:c>
      <x:c r="D860" s="4" t="str">
        <x:v>Sales operations manager</x:v>
      </x:c>
      <x:c r="E860" s="4" t="str">
        <x:v>ERP form</x:v>
      </x:c>
      <x:c r="F860" s="4" t="str">
        <x:v>Record captured</x:v>
      </x:c>
      <x:c r="G860" s="4" t="str">
        <x:v>Agreement signed</x:v>
      </x:c>
    </x:row>
    <x:row r="861" ht="34" customHeight="1">
      <x:c r="A861" s="4" t="str">
        <x:v>RS-00860-E1</x:v>
      </x:c>
      <x:c r="B861" s="4" t="str">
        <x:v>RS-00860</x:v>
      </x:c>
      <x:c r="C861" s="8" t="n">
        <x:v>45342</x:v>
      </x:c>
      <x:c r="D861" s="4" t="str">
        <x:v>Sales operations manager</x:v>
      </x:c>
      <x:c r="E861" s="4" t="str">
        <x:v>WhatsApp transcribed</x:v>
      </x:c>
      <x:c r="F861" s="4" t="str">
        <x:v>Record captured</x:v>
      </x:c>
      <x:c r="G861" s="4" t="str">
        <x:v>Handed over</x:v>
      </x:c>
    </x:row>
    <x:row r="862" ht="34" customHeight="1">
      <x:c r="A862" s="4" t="str">
        <x:v>RS-00861-E1</x:v>
      </x:c>
      <x:c r="B862" s="4" t="str">
        <x:v>RS-00861</x:v>
      </x:c>
      <x:c r="C862" s="8" t="n">
        <x:v>45343</x:v>
      </x:c>
      <x:c r="D862" s="4" t="str">
        <x:v>Sales operations manager</x:v>
      </x:c>
      <x:c r="E862" s="4" t="str">
        <x:v>Spreadsheet import</x:v>
      </x:c>
      <x:c r="F862" s="4" t="str">
        <x:v>Record captured</x:v>
      </x:c>
      <x:c r="G862" s="4" t="str">
        <x:v>Reserved</x:v>
      </x:c>
    </x:row>
    <x:row r="863" ht="34" customHeight="1">
      <x:c r="A863" s="4" t="str">
        <x:v>RS-00862-E1</x:v>
      </x:c>
      <x:c r="B863" s="4" t="str">
        <x:v>RS-00862</x:v>
      </x:c>
      <x:c r="C863" s="8" t="n">
        <x:v>45344</x:v>
      </x:c>
      <x:c r="D863" s="4" t="str">
        <x:v>Sales operations manager</x:v>
      </x:c>
      <x:c r="E863" s="4" t="str">
        <x:v>ERP form</x:v>
      </x:c>
      <x:c r="F863" s="4" t="str">
        <x:v>Record captured</x:v>
      </x:c>
      <x:c r="G863" s="4" t="str">
        <x:v>Enquiry</x:v>
      </x:c>
    </x:row>
    <x:row r="864" ht="34" customHeight="1">
      <x:c r="A864" s="4" t="str">
        <x:v>RS-00863-E1</x:v>
      </x:c>
      <x:c r="B864" s="4" t="str">
        <x:v>RS-00863</x:v>
      </x:c>
      <x:c r="C864" s="8" t="n">
        <x:v>45345</x:v>
      </x:c>
      <x:c r="D864" s="4" t="str">
        <x:v>Sales operations manager</x:v>
      </x:c>
      <x:c r="E864" s="4" t="str">
        <x:v>WhatsApp transcribed</x:v>
      </x:c>
      <x:c r="F864" s="4" t="str">
        <x:v>Record captured</x:v>
      </x:c>
      <x:c r="G864" s="4" t="str">
        <x:v>Booked</x:v>
      </x:c>
    </x:row>
    <x:row r="865" ht="34" customHeight="1">
      <x:c r="A865" s="4" t="str">
        <x:v>RS-00864-E1</x:v>
      </x:c>
      <x:c r="B865" s="4" t="str">
        <x:v>RS-00864</x:v>
      </x:c>
      <x:c r="C865" s="8" t="n">
        <x:v>45346</x:v>
      </x:c>
      <x:c r="D865" s="4" t="str">
        <x:v>Sales operations manager</x:v>
      </x:c>
      <x:c r="E865" s="4" t="str">
        <x:v>WhatsApp transcribed</x:v>
      </x:c>
      <x:c r="F865" s="4" t="str">
        <x:v>Record captured</x:v>
      </x:c>
      <x:c r="G865" s="4" t="str">
        <x:v>Booked</x:v>
      </x:c>
    </x:row>
    <x:row r="866" ht="34" customHeight="1">
      <x:c r="A866" s="4" t="str">
        <x:v>RS-00865-E1</x:v>
      </x:c>
      <x:c r="B866" s="4" t="str">
        <x:v>RS-00865</x:v>
      </x:c>
      <x:c r="C866" s="8" t="n">
        <x:v>45347</x:v>
      </x:c>
      <x:c r="D866" s="4" t="str">
        <x:v>Sales operations manager</x:v>
      </x:c>
      <x:c r="E866" s="4" t="str">
        <x:v>ERP form</x:v>
      </x:c>
      <x:c r="F866" s="4" t="str">
        <x:v>Record captured</x:v>
      </x:c>
      <x:c r="G866" s="4" t="str">
        <x:v>Cancelled</x:v>
      </x:c>
    </x:row>
    <x:row r="867" ht="34" customHeight="1">
      <x:c r="A867" s="4" t="str">
        <x:v>RS-00866-E1</x:v>
      </x:c>
      <x:c r="B867" s="4" t="str">
        <x:v>RS-00866</x:v>
      </x:c>
      <x:c r="C867" s="8" t="n">
        <x:v>45348</x:v>
      </x:c>
      <x:c r="D867" s="4" t="str">
        <x:v>Sales operations manager</x:v>
      </x:c>
      <x:c r="E867" s="4" t="str">
        <x:v>WhatsApp transcribed</x:v>
      </x:c>
      <x:c r="F867" s="4" t="str">
        <x:v>Record captured</x:v>
      </x:c>
      <x:c r="G867" s="4" t="str">
        <x:v>Reserved</x:v>
      </x:c>
    </x:row>
    <x:row r="868" ht="34" customHeight="1">
      <x:c r="A868" s="4" t="str">
        <x:v>RS-00867-E1</x:v>
      </x:c>
      <x:c r="B868" s="4" t="str">
        <x:v>RS-00867</x:v>
      </x:c>
      <x:c r="C868" s="8" t="n">
        <x:v>45349</x:v>
      </x:c>
      <x:c r="D868" s="4" t="str">
        <x:v>Sales operations manager</x:v>
      </x:c>
      <x:c r="E868" s="4" t="str">
        <x:v>Spreadsheet import</x:v>
      </x:c>
      <x:c r="F868" s="4" t="str">
        <x:v>Record captured</x:v>
      </x:c>
      <x:c r="G868" s="4" t="str">
        <x:v>Enquiry</x:v>
      </x:c>
    </x:row>
    <x:row r="869" ht="34" customHeight="1">
      <x:c r="A869" s="4" t="str">
        <x:v>RS-00868-E1</x:v>
      </x:c>
      <x:c r="B869" s="4" t="str">
        <x:v>RS-00868</x:v>
      </x:c>
      <x:c r="C869" s="8" t="n">
        <x:v>45350</x:v>
      </x:c>
      <x:c r="D869" s="4" t="str">
        <x:v>Sales operations manager</x:v>
      </x:c>
      <x:c r="E869" s="4" t="str">
        <x:v>ERP form</x:v>
      </x:c>
      <x:c r="F869" s="4" t="str">
        <x:v>Record captured</x:v>
      </x:c>
      <x:c r="G869" s="4" t="str">
        <x:v>Booked</x:v>
      </x:c>
    </x:row>
    <x:row r="870" ht="34" customHeight="1">
      <x:c r="A870" s="4" t="str">
        <x:v>RS-00869-E1</x:v>
      </x:c>
      <x:c r="B870" s="4" t="str">
        <x:v>RS-00869</x:v>
      </x:c>
      <x:c r="C870" s="8" t="n">
        <x:v>45323</x:v>
      </x:c>
      <x:c r="D870" s="4" t="str">
        <x:v>Sales operations manager</x:v>
      </x:c>
      <x:c r="E870" s="4" t="str">
        <x:v>WhatsApp transcribed</x:v>
      </x:c>
      <x:c r="F870" s="4" t="str">
        <x:v>Record captured</x:v>
      </x:c>
      <x:c r="G870" s="4" t="str">
        <x:v>Enquiry</x:v>
      </x:c>
    </x:row>
    <x:row r="871" ht="34" customHeight="1">
      <x:c r="A871" s="4" t="str">
        <x:v>RS-00870-E1</x:v>
      </x:c>
      <x:c r="B871" s="4" t="str">
        <x:v>RS-00870</x:v>
      </x:c>
      <x:c r="C871" s="8" t="n">
        <x:v>45324</x:v>
      </x:c>
      <x:c r="D871" s="4" t="str">
        <x:v>Sales operations manager</x:v>
      </x:c>
      <x:c r="E871" s="4" t="str">
        <x:v>Paper transcribed</x:v>
      </x:c>
      <x:c r="F871" s="4" t="str">
        <x:v>Record captured</x:v>
      </x:c>
      <x:c r="G871" s="4" t="str">
        <x:v>Booked</x:v>
      </x:c>
    </x:row>
    <x:row r="872" ht="34" customHeight="1">
      <x:c r="A872" s="4" t="str">
        <x:v>RS-00871-E1</x:v>
      </x:c>
      <x:c r="B872" s="4" t="str">
        <x:v>RS-00871</x:v>
      </x:c>
      <x:c r="C872" s="8" t="n">
        <x:v>45325</x:v>
      </x:c>
      <x:c r="D872" s="4" t="str">
        <x:v>Sales operations manager</x:v>
      </x:c>
      <x:c r="E872" s="4" t="str">
        <x:v>ERP form</x:v>
      </x:c>
      <x:c r="F872" s="4" t="str">
        <x:v>Record captured</x:v>
      </x:c>
      <x:c r="G872" s="4" t="str">
        <x:v>Reserved</x:v>
      </x:c>
    </x:row>
    <x:row r="873" ht="34" customHeight="1">
      <x:c r="A873" s="4" t="str">
        <x:v>RS-00872-E1</x:v>
      </x:c>
      <x:c r="B873" s="4" t="str">
        <x:v>RS-00872</x:v>
      </x:c>
      <x:c r="C873" s="8" t="n">
        <x:v>45326</x:v>
      </x:c>
      <x:c r="D873" s="4" t="str">
        <x:v>Sales operations manager</x:v>
      </x:c>
      <x:c r="E873" s="4" t="str">
        <x:v>WhatsApp transcribed</x:v>
      </x:c>
      <x:c r="F873" s="4" t="str">
        <x:v>Record captured</x:v>
      </x:c>
      <x:c r="G873" s="4" t="str">
        <x:v>Booked</x:v>
      </x:c>
    </x:row>
    <x:row r="874" ht="34" customHeight="1">
      <x:c r="A874" s="4" t="str">
        <x:v>RS-00873-E1</x:v>
      </x:c>
      <x:c r="B874" s="4" t="str">
        <x:v>RS-00873</x:v>
      </x:c>
      <x:c r="C874" s="8" t="n">
        <x:v>45327</x:v>
      </x:c>
      <x:c r="D874" s="4" t="str">
        <x:v>Sales operations manager</x:v>
      </x:c>
      <x:c r="E874" s="4" t="str">
        <x:v>ERP form</x:v>
      </x:c>
      <x:c r="F874" s="4" t="str">
        <x:v>Record captured</x:v>
      </x:c>
      <x:c r="G874" s="4" t="str">
        <x:v>Enquiry</x:v>
      </x:c>
    </x:row>
    <x:row r="875" ht="34" customHeight="1">
      <x:c r="A875" s="4" t="str">
        <x:v>RS-00874-E1</x:v>
      </x:c>
      <x:c r="B875" s="4" t="str">
        <x:v>RS-00874</x:v>
      </x:c>
      <x:c r="C875" s="8" t="n">
        <x:v>45328</x:v>
      </x:c>
      <x:c r="D875" s="4" t="str">
        <x:v>Sales operations manager</x:v>
      </x:c>
      <x:c r="E875" s="4" t="str">
        <x:v>Paper transcribed</x:v>
      </x:c>
      <x:c r="F875" s="4" t="str">
        <x:v>Record captured</x:v>
      </x:c>
      <x:c r="G875" s="4" t="str">
        <x:v>Reserved</x:v>
      </x:c>
    </x:row>
    <x:row r="876" ht="34" customHeight="1">
      <x:c r="A876" s="4" t="str">
        <x:v>RS-00875-E1</x:v>
      </x:c>
      <x:c r="B876" s="4" t="str">
        <x:v>RS-00875</x:v>
      </x:c>
      <x:c r="C876" s="8" t="n">
        <x:v>45329</x:v>
      </x:c>
      <x:c r="D876" s="4" t="str">
        <x:v>Sales operations manager</x:v>
      </x:c>
      <x:c r="E876" s="4" t="str">
        <x:v>Paper transcribed</x:v>
      </x:c>
      <x:c r="F876" s="4" t="str">
        <x:v>Record captured</x:v>
      </x:c>
      <x:c r="G876" s="4" t="str">
        <x:v>Booked</x:v>
      </x:c>
    </x:row>
    <x:row r="877" ht="34" customHeight="1">
      <x:c r="A877" s="4" t="str">
        <x:v>RS-00876-E1</x:v>
      </x:c>
      <x:c r="B877" s="4" t="str">
        <x:v>RS-00876</x:v>
      </x:c>
      <x:c r="C877" s="8" t="n">
        <x:v>45330</x:v>
      </x:c>
      <x:c r="D877" s="4" t="str">
        <x:v>Sales operations manager</x:v>
      </x:c>
      <x:c r="E877" s="4" t="str">
        <x:v>ERP form</x:v>
      </x:c>
      <x:c r="F877" s="4" t="str">
        <x:v>Record captured</x:v>
      </x:c>
      <x:c r="G877" s="4" t="str">
        <x:v>Reserved</x:v>
      </x:c>
    </x:row>
    <x:row r="878" ht="34" customHeight="1">
      <x:c r="A878" s="4" t="str">
        <x:v>RS-00877-E1</x:v>
      </x:c>
      <x:c r="B878" s="4" t="str">
        <x:v>RS-00877</x:v>
      </x:c>
      <x:c r="C878" s="8" t="n">
        <x:v>45331</x:v>
      </x:c>
      <x:c r="D878" s="4" t="str">
        <x:v>Sales operations manager</x:v>
      </x:c>
      <x:c r="E878" s="4" t="str">
        <x:v>WhatsApp transcribed</x:v>
      </x:c>
      <x:c r="F878" s="4" t="str">
        <x:v>Record captured</x:v>
      </x:c>
      <x:c r="G878" s="4" t="str">
        <x:v>Handed over</x:v>
      </x:c>
    </x:row>
    <x:row r="879" ht="34" customHeight="1">
      <x:c r="A879" s="4" t="str">
        <x:v>RS-00878-E1</x:v>
      </x:c>
      <x:c r="B879" s="4" t="str">
        <x:v>RS-00878</x:v>
      </x:c>
      <x:c r="C879" s="8" t="n">
        <x:v>45332</x:v>
      </x:c>
      <x:c r="D879" s="4" t="str">
        <x:v>Sales operations manager</x:v>
      </x:c>
      <x:c r="E879" s="4" t="str">
        <x:v>WhatsApp transcribed</x:v>
      </x:c>
      <x:c r="F879" s="4" t="str">
        <x:v>Record captured</x:v>
      </x:c>
      <x:c r="G879" s="4" t="str">
        <x:v>Booked</x:v>
      </x:c>
    </x:row>
    <x:row r="880" ht="34" customHeight="1">
      <x:c r="A880" s="4" t="str">
        <x:v>RS-00879-E1</x:v>
      </x:c>
      <x:c r="B880" s="4" t="str">
        <x:v>RS-00879</x:v>
      </x:c>
      <x:c r="C880" s="8" t="n">
        <x:v>45333</x:v>
      </x:c>
      <x:c r="D880" s="4" t="str">
        <x:v>Sales operations manager</x:v>
      </x:c>
      <x:c r="E880" s="4" t="str">
        <x:v>Paper transcribed</x:v>
      </x:c>
      <x:c r="F880" s="4" t="str">
        <x:v>Record captured</x:v>
      </x:c>
      <x:c r="G880" s="4" t="str">
        <x:v>Agreement signed</x:v>
      </x:c>
    </x:row>
    <x:row r="881" ht="34" customHeight="1">
      <x:c r="A881" s="4" t="str">
        <x:v>RS-00880-E1</x:v>
      </x:c>
      <x:c r="B881" s="4" t="str">
        <x:v>RS-00880</x:v>
      </x:c>
      <x:c r="C881" s="8" t="n">
        <x:v>45334</x:v>
      </x:c>
      <x:c r="D881" s="4" t="str">
        <x:v>Sales operations manager</x:v>
      </x:c>
      <x:c r="E881" s="4" t="str">
        <x:v>Paper transcribed</x:v>
      </x:c>
      <x:c r="F881" s="4" t="str">
        <x:v>Record captured</x:v>
      </x:c>
      <x:c r="G881" s="4" t="str">
        <x:v>Enquiry</x:v>
      </x:c>
    </x:row>
    <x:row r="882" ht="34" customHeight="1">
      <x:c r="A882" s="4" t="str">
        <x:v>RS-00881-E1</x:v>
      </x:c>
      <x:c r="B882" s="4" t="str">
        <x:v>RS-00881</x:v>
      </x:c>
      <x:c r="C882" s="8" t="n">
        <x:v>45335</x:v>
      </x:c>
      <x:c r="D882" s="4" t="str">
        <x:v>Sales operations manager</x:v>
      </x:c>
      <x:c r="E882" s="4" t="str">
        <x:v>Spreadsheet import</x:v>
      </x:c>
      <x:c r="F882" s="4" t="str">
        <x:v>Record captured</x:v>
      </x:c>
      <x:c r="G882" s="4" t="str">
        <x:v>Agreement signed</x:v>
      </x:c>
    </x:row>
    <x:row r="883" ht="34" customHeight="1">
      <x:c r="A883" s="4" t="str">
        <x:v>RS-00882-E1</x:v>
      </x:c>
      <x:c r="B883" s="4" t="str">
        <x:v>RS-00882</x:v>
      </x:c>
      <x:c r="C883" s="8" t="n">
        <x:v>45336</x:v>
      </x:c>
      <x:c r="D883" s="4" t="str">
        <x:v>Sales operations manager</x:v>
      </x:c>
      <x:c r="E883" s="4" t="str">
        <x:v>Paper transcribed</x:v>
      </x:c>
      <x:c r="F883" s="4" t="str">
        <x:v>Record captured</x:v>
      </x:c>
      <x:c r="G883" s="4" t="str">
        <x:v>Reserved</x:v>
      </x:c>
    </x:row>
    <x:row r="884" ht="34" customHeight="1">
      <x:c r="A884" s="4" t="str">
        <x:v>RS-00883-E1</x:v>
      </x:c>
      <x:c r="B884" s="4" t="str">
        <x:v>RS-00883</x:v>
      </x:c>
      <x:c r="C884" s="8" t="n">
        <x:v>45337</x:v>
      </x:c>
      <x:c r="D884" s="4" t="str">
        <x:v>Sales operations manager</x:v>
      </x:c>
      <x:c r="E884" s="4" t="str">
        <x:v>Paper transcribed</x:v>
      </x:c>
      <x:c r="F884" s="4" t="str">
        <x:v>Record captured</x:v>
      </x:c>
      <x:c r="G884" s="4" t="str">
        <x:v>Reserved</x:v>
      </x:c>
    </x:row>
    <x:row r="885" ht="34" customHeight="1">
      <x:c r="A885" s="4" t="str">
        <x:v>RS-00884-E1</x:v>
      </x:c>
      <x:c r="B885" s="4" t="str">
        <x:v>RS-00884</x:v>
      </x:c>
      <x:c r="C885" s="8" t="n">
        <x:v>45338</x:v>
      </x:c>
      <x:c r="D885" s="4" t="str">
        <x:v>Sales operations manager</x:v>
      </x:c>
      <x:c r="E885" s="4" t="str">
        <x:v>Spreadsheet import</x:v>
      </x:c>
      <x:c r="F885" s="4" t="str">
        <x:v>Record captured</x:v>
      </x:c>
      <x:c r="G885" s="4" t="str">
        <x:v>Reserved</x:v>
      </x:c>
    </x:row>
    <x:row r="886" ht="34" customHeight="1">
      <x:c r="A886" s="4" t="str">
        <x:v>RS-00885-E1</x:v>
      </x:c>
      <x:c r="B886" s="4" t="str">
        <x:v>RS-00885</x:v>
      </x:c>
      <x:c r="C886" s="8" t="n">
        <x:v>45339</x:v>
      </x:c>
      <x:c r="D886" s="4" t="str">
        <x:v>Sales operations manager</x:v>
      </x:c>
      <x:c r="E886" s="4" t="str">
        <x:v>Paper transcribed</x:v>
      </x:c>
      <x:c r="F886" s="4" t="str">
        <x:v>Record captured</x:v>
      </x:c>
      <x:c r="G886" s="4" t="str">
        <x:v>Handed over</x:v>
      </x:c>
    </x:row>
    <x:row r="887" ht="34" customHeight="1">
      <x:c r="A887" s="4" t="str">
        <x:v>RS-00886-E1</x:v>
      </x:c>
      <x:c r="B887" s="4" t="str">
        <x:v>RS-00886</x:v>
      </x:c>
      <x:c r="C887" s="8" t="n">
        <x:v>45340</x:v>
      </x:c>
      <x:c r="D887" s="4" t="str">
        <x:v>Sales operations manager</x:v>
      </x:c>
      <x:c r="E887" s="4" t="str">
        <x:v>WhatsApp transcribed</x:v>
      </x:c>
      <x:c r="F887" s="4" t="str">
        <x:v>Record captured</x:v>
      </x:c>
      <x:c r="G887" s="4" t="str">
        <x:v>Cancelled</x:v>
      </x:c>
    </x:row>
    <x:row r="888" ht="34" customHeight="1">
      <x:c r="A888" s="4" t="str">
        <x:v>RS-00887-E1</x:v>
      </x:c>
      <x:c r="B888" s="4" t="str">
        <x:v>RS-00887</x:v>
      </x:c>
      <x:c r="C888" s="8" t="n">
        <x:v>45341</x:v>
      </x:c>
      <x:c r="D888" s="4" t="str">
        <x:v>Sales operations manager</x:v>
      </x:c>
      <x:c r="E888" s="4" t="str">
        <x:v>Paper transcribed</x:v>
      </x:c>
      <x:c r="F888" s="4" t="str">
        <x:v>Record captured</x:v>
      </x:c>
      <x:c r="G888" s="4" t="str">
        <x:v>Agreement signed</x:v>
      </x:c>
    </x:row>
    <x:row r="889" ht="34" customHeight="1">
      <x:c r="A889" s="4" t="str">
        <x:v>RS-00888-E1</x:v>
      </x:c>
      <x:c r="B889" s="4" t="str">
        <x:v>RS-00888</x:v>
      </x:c>
      <x:c r="C889" s="8" t="n">
        <x:v>45342</x:v>
      </x:c>
      <x:c r="D889" s="4" t="str">
        <x:v>Sales operations manager</x:v>
      </x:c>
      <x:c r="E889" s="4" t="str">
        <x:v>ERP form</x:v>
      </x:c>
      <x:c r="F889" s="4" t="str">
        <x:v>Record captured</x:v>
      </x:c>
      <x:c r="G889" s="4" t="str">
        <x:v>Enquiry</x:v>
      </x:c>
    </x:row>
    <x:row r="890" ht="34" customHeight="1">
      <x:c r="A890" s="4" t="str">
        <x:v>RS-00889-E1</x:v>
      </x:c>
      <x:c r="B890" s="4" t="str">
        <x:v>RS-00889</x:v>
      </x:c>
      <x:c r="C890" s="8" t="n">
        <x:v>45343</x:v>
      </x:c>
      <x:c r="D890" s="4" t="str">
        <x:v>Sales operations manager</x:v>
      </x:c>
      <x:c r="E890" s="4" t="str">
        <x:v>Paper transcribed</x:v>
      </x:c>
      <x:c r="F890" s="4" t="str">
        <x:v>Record captured</x:v>
      </x:c>
      <x:c r="G890" s="4" t="str">
        <x:v>Agreement signed</x:v>
      </x:c>
    </x:row>
    <x:row r="891" ht="34" customHeight="1">
      <x:c r="A891" s="4" t="str">
        <x:v>RS-00890-E1</x:v>
      </x:c>
      <x:c r="B891" s="4" t="str">
        <x:v>RS-00890</x:v>
      </x:c>
      <x:c r="C891" s="8" t="n">
        <x:v>45344</x:v>
      </x:c>
      <x:c r="D891" s="4" t="str">
        <x:v>Sales operations manager</x:v>
      </x:c>
      <x:c r="E891" s="4" t="str">
        <x:v>ERP form</x:v>
      </x:c>
      <x:c r="F891" s="4" t="str">
        <x:v>Record captured</x:v>
      </x:c>
      <x:c r="G891" s="4" t="str">
        <x:v>Enquiry</x:v>
      </x:c>
    </x:row>
    <x:row r="892" ht="34" customHeight="1">
      <x:c r="A892" s="4" t="str">
        <x:v>RS-00891-E1</x:v>
      </x:c>
      <x:c r="B892" s="4" t="str">
        <x:v>RS-00891</x:v>
      </x:c>
      <x:c r="C892" s="8" t="n">
        <x:v>45345</x:v>
      </x:c>
      <x:c r="D892" s="4" t="str">
        <x:v>Sales operations manager</x:v>
      </x:c>
      <x:c r="E892" s="4" t="str">
        <x:v>WhatsApp transcribed</x:v>
      </x:c>
      <x:c r="F892" s="4" t="str">
        <x:v>Record captured</x:v>
      </x:c>
      <x:c r="G892" s="4" t="str">
        <x:v>Agreement signed</x:v>
      </x:c>
    </x:row>
    <x:row r="893" ht="34" customHeight="1">
      <x:c r="A893" s="4" t="str">
        <x:v>RS-00892-E1</x:v>
      </x:c>
      <x:c r="B893" s="4" t="str">
        <x:v>RS-00892</x:v>
      </x:c>
      <x:c r="C893" s="8" t="n">
        <x:v>45346</x:v>
      </x:c>
      <x:c r="D893" s="4" t="str">
        <x:v>Sales operations manager</x:v>
      </x:c>
      <x:c r="E893" s="4" t="str">
        <x:v>WhatsApp transcribed</x:v>
      </x:c>
      <x:c r="F893" s="4" t="str">
        <x:v>Record captured</x:v>
      </x:c>
      <x:c r="G893" s="4" t="str">
        <x:v>Reserved</x:v>
      </x:c>
    </x:row>
    <x:row r="894" ht="34" customHeight="1">
      <x:c r="A894" s="4" t="str">
        <x:v>RS-00893-E1</x:v>
      </x:c>
      <x:c r="B894" s="4" t="str">
        <x:v>RS-00893</x:v>
      </x:c>
      <x:c r="C894" s="8" t="n">
        <x:v>45347</x:v>
      </x:c>
      <x:c r="D894" s="4" t="str">
        <x:v>Sales operations manager</x:v>
      </x:c>
      <x:c r="E894" s="4" t="str">
        <x:v>Paper transcribed</x:v>
      </x:c>
      <x:c r="F894" s="4" t="str">
        <x:v>Record captured</x:v>
      </x:c>
      <x:c r="G894" s="4" t="str">
        <x:v>Booked</x:v>
      </x:c>
    </x:row>
    <x:row r="895" ht="34" customHeight="1">
      <x:c r="A895" s="4" t="str">
        <x:v>RS-00894-E1</x:v>
      </x:c>
      <x:c r="B895" s="4" t="str">
        <x:v>RS-00894</x:v>
      </x:c>
      <x:c r="C895" s="8" t="n">
        <x:v>45348</x:v>
      </x:c>
      <x:c r="D895" s="4" t="str">
        <x:v>Sales operations manager</x:v>
      </x:c>
      <x:c r="E895" s="4" t="str">
        <x:v>Spreadsheet import</x:v>
      </x:c>
      <x:c r="F895" s="4" t="str">
        <x:v>Record captured</x:v>
      </x:c>
      <x:c r="G895" s="4" t="str">
        <x:v>Enquiry</x:v>
      </x:c>
    </x:row>
    <x:row r="896" ht="34" customHeight="1">
      <x:c r="A896" s="4" t="str">
        <x:v>RS-00895-E1</x:v>
      </x:c>
      <x:c r="B896" s="4" t="str">
        <x:v>RS-00895</x:v>
      </x:c>
      <x:c r="C896" s="8" t="n">
        <x:v>45349</x:v>
      </x:c>
      <x:c r="D896" s="4" t="str">
        <x:v>Sales operations manager</x:v>
      </x:c>
      <x:c r="E896" s="4" t="str">
        <x:v>ERP form</x:v>
      </x:c>
      <x:c r="F896" s="4" t="str">
        <x:v>Record captured</x:v>
      </x:c>
      <x:c r="G896" s="4" t="str">
        <x:v>Enquiry</x:v>
      </x:c>
    </x:row>
    <x:row r="897" ht="34" customHeight="1">
      <x:c r="A897" s="4" t="str">
        <x:v>RS-00896-E1</x:v>
      </x:c>
      <x:c r="B897" s="4" t="str">
        <x:v>RS-00896</x:v>
      </x:c>
      <x:c r="C897" s="8" t="n">
        <x:v>45350</x:v>
      </x:c>
      <x:c r="D897" s="4" t="str">
        <x:v>Sales operations manager</x:v>
      </x:c>
      <x:c r="E897" s="4" t="str">
        <x:v>Paper transcribed</x:v>
      </x:c>
      <x:c r="F897" s="4" t="str">
        <x:v>Record captured</x:v>
      </x:c>
      <x:c r="G897" s="4" t="str">
        <x:v>Booked</x:v>
      </x:c>
    </x:row>
    <x:row r="898" ht="34" customHeight="1">
      <x:c r="A898" s="4" t="str">
        <x:v>RS-00897-E1</x:v>
      </x:c>
      <x:c r="B898" s="4" t="str">
        <x:v>RS-00897</x:v>
      </x:c>
      <x:c r="C898" s="8" t="n">
        <x:v>45323</x:v>
      </x:c>
      <x:c r="D898" s="4" t="str">
        <x:v>Sales operations manager</x:v>
      </x:c>
      <x:c r="E898" s="4" t="str">
        <x:v>Paper transcribed</x:v>
      </x:c>
      <x:c r="F898" s="4" t="str">
        <x:v>Record captured</x:v>
      </x:c>
      <x:c r="G898" s="4" t="str">
        <x:v>Enquiry</x:v>
      </x:c>
    </x:row>
    <x:row r="899" ht="34" customHeight="1">
      <x:c r="A899" s="4" t="str">
        <x:v>RS-00898-E1</x:v>
      </x:c>
      <x:c r="B899" s="4" t="str">
        <x:v>RS-00898</x:v>
      </x:c>
      <x:c r="C899" s="8" t="n">
        <x:v>45324</x:v>
      </x:c>
      <x:c r="D899" s="4" t="str">
        <x:v>Sales operations manager</x:v>
      </x:c>
      <x:c r="E899" s="4" t="str">
        <x:v>WhatsApp transcribed</x:v>
      </x:c>
      <x:c r="F899" s="4" t="str">
        <x:v>Record captured</x:v>
      </x:c>
      <x:c r="G899" s="4" t="str">
        <x:v>Reserved</x:v>
      </x:c>
    </x:row>
    <x:row r="900" ht="34" customHeight="1">
      <x:c r="A900" s="4" t="str">
        <x:v>RS-00899-E1</x:v>
      </x:c>
      <x:c r="B900" s="4" t="str">
        <x:v>RS-00899</x:v>
      </x:c>
      <x:c r="C900" s="8" t="n">
        <x:v>45325</x:v>
      </x:c>
      <x:c r="D900" s="4" t="str">
        <x:v>Sales operations manager</x:v>
      </x:c>
      <x:c r="E900" s="4" t="str">
        <x:v>ERP form</x:v>
      </x:c>
      <x:c r="F900" s="4" t="str">
        <x:v>Record captured</x:v>
      </x:c>
      <x:c r="G900" s="4" t="str">
        <x:v>Agreement signed</x:v>
      </x:c>
    </x:row>
    <x:row r="901" ht="34" customHeight="1">
      <x:c r="A901" s="4" t="str">
        <x:v>RS-00900-E1</x:v>
      </x:c>
      <x:c r="B901" s="4" t="str">
        <x:v>RS-00900</x:v>
      </x:c>
      <x:c r="C901" s="8" t="n">
        <x:v>45326</x:v>
      </x:c>
      <x:c r="D901" s="4" t="str">
        <x:v>Sales operations manager</x:v>
      </x:c>
      <x:c r="E901" s="4" t="str">
        <x:v>ERP form</x:v>
      </x:c>
      <x:c r="F901" s="4" t="str">
        <x:v>Record captured</x:v>
      </x:c>
      <x:c r="G901" s="4" t="str">
        <x:v>Reserved</x:v>
      </x:c>
    </x:row>
    <x:row r="902" ht="34" customHeight="1">
      <x:c r="A902" s="4" t="str">
        <x:v>RS-00901-E1</x:v>
      </x:c>
      <x:c r="B902" s="4" t="str">
        <x:v>RS-00901</x:v>
      </x:c>
      <x:c r="C902" s="8" t="n">
        <x:v>45327</x:v>
      </x:c>
      <x:c r="D902" s="4" t="str">
        <x:v>Sales operations manager</x:v>
      </x:c>
      <x:c r="E902" s="4" t="str">
        <x:v>WhatsApp transcribed</x:v>
      </x:c>
      <x:c r="F902" s="4" t="str">
        <x:v>Record captured</x:v>
      </x:c>
      <x:c r="G902" s="4" t="str">
        <x:v>Handed over</x:v>
      </x:c>
    </x:row>
    <x:row r="903" ht="34" customHeight="1">
      <x:c r="A903" s="4" t="str">
        <x:v>RS-00902-E1</x:v>
      </x:c>
      <x:c r="B903" s="4" t="str">
        <x:v>RS-00902</x:v>
      </x:c>
      <x:c r="C903" s="8" t="n">
        <x:v>45328</x:v>
      </x:c>
      <x:c r="D903" s="4" t="str">
        <x:v>Sales operations manager</x:v>
      </x:c>
      <x:c r="E903" s="4" t="str">
        <x:v>WhatsApp transcribed</x:v>
      </x:c>
      <x:c r="F903" s="4" t="str">
        <x:v>Record captured</x:v>
      </x:c>
      <x:c r="G903" s="4" t="str">
        <x:v>Booked</x:v>
      </x:c>
    </x:row>
    <x:row r="904" ht="34" customHeight="1">
      <x:c r="A904" s="4" t="str">
        <x:v>RS-00903-E1</x:v>
      </x:c>
      <x:c r="B904" s="4" t="str">
        <x:v>RS-00903</x:v>
      </x:c>
      <x:c r="C904" s="8" t="n">
        <x:v>45329</x:v>
      </x:c>
      <x:c r="D904" s="4" t="str">
        <x:v>Sales operations manager</x:v>
      </x:c>
      <x:c r="E904" s="4" t="str">
        <x:v>ERP form</x:v>
      </x:c>
      <x:c r="F904" s="4" t="str">
        <x:v>Record captured</x:v>
      </x:c>
      <x:c r="G904" s="4" t="str">
        <x:v>Reserved</x:v>
      </x:c>
    </x:row>
    <x:row r="905" ht="34" customHeight="1">
      <x:c r="A905" s="4" t="str">
        <x:v>RS-00904-E1</x:v>
      </x:c>
      <x:c r="B905" s="4" t="str">
        <x:v>RS-00904</x:v>
      </x:c>
      <x:c r="C905" s="8" t="n">
        <x:v>45330</x:v>
      </x:c>
      <x:c r="D905" s="4" t="str">
        <x:v>Sales operations manager</x:v>
      </x:c>
      <x:c r="E905" s="4" t="str">
        <x:v>Spreadsheet import</x:v>
      </x:c>
      <x:c r="F905" s="4" t="str">
        <x:v>Record captured</x:v>
      </x:c>
      <x:c r="G905" s="4" t="str">
        <x:v>Booked</x:v>
      </x:c>
    </x:row>
    <x:row r="906" ht="34" customHeight="1">
      <x:c r="A906" s="4" t="str">
        <x:v>RS-00905-E1</x:v>
      </x:c>
      <x:c r="B906" s="4" t="str">
        <x:v>RS-00905</x:v>
      </x:c>
      <x:c r="C906" s="8" t="n">
        <x:v>45331</x:v>
      </x:c>
      <x:c r="D906" s="4" t="str">
        <x:v>Sales operations manager</x:v>
      </x:c>
      <x:c r="E906" s="4" t="str">
        <x:v>Spreadsheet import</x:v>
      </x:c>
      <x:c r="F906" s="4" t="str">
        <x:v>Record captured</x:v>
      </x:c>
      <x:c r="G906" s="4" t="str">
        <x:v>Cancelled</x:v>
      </x:c>
    </x:row>
    <x:row r="907" ht="34" customHeight="1">
      <x:c r="A907" s="4" t="str">
        <x:v>RS-00906-E1</x:v>
      </x:c>
      <x:c r="B907" s="4" t="str">
        <x:v>RS-00906</x:v>
      </x:c>
      <x:c r="C907" s="8" t="n">
        <x:v>45332</x:v>
      </x:c>
      <x:c r="D907" s="4" t="str">
        <x:v>Sales operations manager</x:v>
      </x:c>
      <x:c r="E907" s="4" t="str">
        <x:v>WhatsApp transcribed</x:v>
      </x:c>
      <x:c r="F907" s="4" t="str">
        <x:v>Record captured</x:v>
      </x:c>
      <x:c r="G907" s="4" t="str">
        <x:v>Cancelled</x:v>
      </x:c>
    </x:row>
    <x:row r="908" ht="34" customHeight="1">
      <x:c r="A908" s="4" t="str">
        <x:v>RS-00907-E1</x:v>
      </x:c>
      <x:c r="B908" s="4" t="str">
        <x:v>RS-00907</x:v>
      </x:c>
      <x:c r="C908" s="8" t="n">
        <x:v>45333</x:v>
      </x:c>
      <x:c r="D908" s="4" t="str">
        <x:v>Sales operations manager</x:v>
      </x:c>
      <x:c r="E908" s="4" t="str">
        <x:v>Paper transcribed</x:v>
      </x:c>
      <x:c r="F908" s="4" t="str">
        <x:v>Record captured</x:v>
      </x:c>
      <x:c r="G908" s="4" t="str">
        <x:v>Reserved</x:v>
      </x:c>
    </x:row>
    <x:row r="909" ht="34" customHeight="1">
      <x:c r="A909" s="4" t="str">
        <x:v>RS-00908-E1</x:v>
      </x:c>
      <x:c r="B909" s="4" t="str">
        <x:v>RS-00908</x:v>
      </x:c>
      <x:c r="C909" s="8" t="n">
        <x:v>45334</x:v>
      </x:c>
      <x:c r="D909" s="4" t="str">
        <x:v>Sales operations manager</x:v>
      </x:c>
      <x:c r="E909" s="4" t="str">
        <x:v>ERP form</x:v>
      </x:c>
      <x:c r="F909" s="4" t="str">
        <x:v>Record captured</x:v>
      </x:c>
      <x:c r="G909" s="4" t="str">
        <x:v>Cancelled</x:v>
      </x:c>
    </x:row>
    <x:row r="910" ht="34" customHeight="1">
      <x:c r="A910" s="4" t="str">
        <x:v>RS-00909-E1</x:v>
      </x:c>
      <x:c r="B910" s="4" t="str">
        <x:v>RS-00909</x:v>
      </x:c>
      <x:c r="C910" s="8" t="n">
        <x:v>45335</x:v>
      </x:c>
      <x:c r="D910" s="4" t="str">
        <x:v>Sales operations manager</x:v>
      </x:c>
      <x:c r="E910" s="4" t="str">
        <x:v>WhatsApp transcribed</x:v>
      </x:c>
      <x:c r="F910" s="4" t="str">
        <x:v>Record captured</x:v>
      </x:c>
      <x:c r="G910" s="4" t="str">
        <x:v>Booked</x:v>
      </x:c>
    </x:row>
    <x:row r="911" ht="34" customHeight="1">
      <x:c r="A911" s="4" t="str">
        <x:v>RS-00910-E1</x:v>
      </x:c>
      <x:c r="B911" s="4" t="str">
        <x:v>RS-00910</x:v>
      </x:c>
      <x:c r="C911" s="8" t="n">
        <x:v>45336</x:v>
      </x:c>
      <x:c r="D911" s="4" t="str">
        <x:v>Sales operations manager</x:v>
      </x:c>
      <x:c r="E911" s="4" t="str">
        <x:v>ERP form</x:v>
      </x:c>
      <x:c r="F911" s="4" t="str">
        <x:v>Record captured</x:v>
      </x:c>
      <x:c r="G911" s="4" t="str">
        <x:v>Handed over</x:v>
      </x:c>
    </x:row>
    <x:row r="912" ht="34" customHeight="1">
      <x:c r="A912" s="4" t="str">
        <x:v>RS-00911-E1</x:v>
      </x:c>
      <x:c r="B912" s="4" t="str">
        <x:v>RS-00911</x:v>
      </x:c>
      <x:c r="C912" s="8" t="n">
        <x:v>45337</x:v>
      </x:c>
      <x:c r="D912" s="4" t="str">
        <x:v>Sales operations manager</x:v>
      </x:c>
      <x:c r="E912" s="4" t="str">
        <x:v>Spreadsheet import</x:v>
      </x:c>
      <x:c r="F912" s="4" t="str">
        <x:v>Record captured</x:v>
      </x:c>
      <x:c r="G912" s="4" t="str">
        <x:v>Handed over</x:v>
      </x:c>
    </x:row>
    <x:row r="913" ht="34" customHeight="1">
      <x:c r="A913" s="4" t="str">
        <x:v>RS-00912-E1</x:v>
      </x:c>
      <x:c r="B913" s="4" t="str">
        <x:v>RS-00912</x:v>
      </x:c>
      <x:c r="C913" s="8" t="n">
        <x:v>45338</x:v>
      </x:c>
      <x:c r="D913" s="4" t="str">
        <x:v>Sales operations manager</x:v>
      </x:c>
      <x:c r="E913" s="4" t="str">
        <x:v>ERP form</x:v>
      </x:c>
      <x:c r="F913" s="4" t="str">
        <x:v>Record captured</x:v>
      </x:c>
      <x:c r="G913" s="4" t="str">
        <x:v>Handed over</x:v>
      </x:c>
    </x:row>
    <x:row r="914" ht="34" customHeight="1">
      <x:c r="A914" s="4" t="str">
        <x:v>RS-00913-E1</x:v>
      </x:c>
      <x:c r="B914" s="4" t="str">
        <x:v>RS-00913</x:v>
      </x:c>
      <x:c r="C914" s="8" t="n">
        <x:v>45339</x:v>
      </x:c>
      <x:c r="D914" s="4" t="str">
        <x:v>Sales operations manager</x:v>
      </x:c>
      <x:c r="E914" s="4" t="str">
        <x:v>Paper transcribed</x:v>
      </x:c>
      <x:c r="F914" s="4" t="str">
        <x:v>Record captured</x:v>
      </x:c>
      <x:c r="G914" s="4" t="str">
        <x:v>Reserved</x:v>
      </x:c>
    </x:row>
    <x:row r="915" ht="34" customHeight="1">
      <x:c r="A915" s="4" t="str">
        <x:v>RS-00914-E1</x:v>
      </x:c>
      <x:c r="B915" s="4" t="str">
        <x:v>RS-00914</x:v>
      </x:c>
      <x:c r="C915" s="8" t="n">
        <x:v>45340</x:v>
      </x:c>
      <x:c r="D915" s="4" t="str">
        <x:v>Sales operations manager</x:v>
      </x:c>
      <x:c r="E915" s="4" t="str">
        <x:v>Spreadsheet import</x:v>
      </x:c>
      <x:c r="F915" s="4" t="str">
        <x:v>Record captured</x:v>
      </x:c>
      <x:c r="G915" s="4" t="str">
        <x:v>Reserved</x:v>
      </x:c>
    </x:row>
    <x:row r="916" ht="34" customHeight="1">
      <x:c r="A916" s="4" t="str">
        <x:v>RS-00915-E1</x:v>
      </x:c>
      <x:c r="B916" s="4" t="str">
        <x:v>RS-00915</x:v>
      </x:c>
      <x:c r="C916" s="8" t="n">
        <x:v>45341</x:v>
      </x:c>
      <x:c r="D916" s="4" t="str">
        <x:v>Sales operations manager</x:v>
      </x:c>
      <x:c r="E916" s="4" t="str">
        <x:v>WhatsApp transcribed</x:v>
      </x:c>
      <x:c r="F916" s="4" t="str">
        <x:v>Record captured</x:v>
      </x:c>
      <x:c r="G916" s="4" t="str">
        <x:v>Agreement signed</x:v>
      </x:c>
    </x:row>
    <x:row r="917" ht="34" customHeight="1">
      <x:c r="A917" s="4" t="str">
        <x:v>RS-00916-E1</x:v>
      </x:c>
      <x:c r="B917" s="4" t="str">
        <x:v>RS-00916</x:v>
      </x:c>
      <x:c r="C917" s="8" t="n">
        <x:v>45342</x:v>
      </x:c>
      <x:c r="D917" s="4" t="str">
        <x:v>Sales operations manager</x:v>
      </x:c>
      <x:c r="E917" s="4" t="str">
        <x:v>Paper transcribed</x:v>
      </x:c>
      <x:c r="F917" s="4" t="str">
        <x:v>Record captured</x:v>
      </x:c>
      <x:c r="G917" s="4" t="str">
        <x:v>Handed over</x:v>
      </x:c>
    </x:row>
    <x:row r="918" ht="34" customHeight="1">
      <x:c r="A918" s="4" t="str">
        <x:v>RS-00917-E1</x:v>
      </x:c>
      <x:c r="B918" s="4" t="str">
        <x:v>RS-00917</x:v>
      </x:c>
      <x:c r="C918" s="8" t="n">
        <x:v>45343</x:v>
      </x:c>
      <x:c r="D918" s="4" t="str">
        <x:v>Sales operations manager</x:v>
      </x:c>
      <x:c r="E918" s="4" t="str">
        <x:v>Paper transcribed</x:v>
      </x:c>
      <x:c r="F918" s="4" t="str">
        <x:v>Record captured</x:v>
      </x:c>
      <x:c r="G918" s="4" t="str">
        <x:v>Agreement signed</x:v>
      </x:c>
    </x:row>
    <x:row r="919" ht="34" customHeight="1">
      <x:c r="A919" s="4" t="str">
        <x:v>RS-00918-E1</x:v>
      </x:c>
      <x:c r="B919" s="4" t="str">
        <x:v>RS-00918</x:v>
      </x:c>
      <x:c r="C919" s="8" t="n">
        <x:v>45344</x:v>
      </x:c>
      <x:c r="D919" s="4" t="str">
        <x:v>Sales operations manager</x:v>
      </x:c>
      <x:c r="E919" s="4" t="str">
        <x:v>WhatsApp transcribed</x:v>
      </x:c>
      <x:c r="F919" s="4" t="str">
        <x:v>Record captured</x:v>
      </x:c>
      <x:c r="G919" s="4" t="str">
        <x:v>Handed over</x:v>
      </x:c>
    </x:row>
    <x:row r="920" ht="34" customHeight="1">
      <x:c r="A920" s="4" t="str">
        <x:v>RS-00919-E1</x:v>
      </x:c>
      <x:c r="B920" s="4" t="str">
        <x:v>RS-00919</x:v>
      </x:c>
      <x:c r="C920" s="8" t="n">
        <x:v>45345</x:v>
      </x:c>
      <x:c r="D920" s="4" t="str">
        <x:v>Sales operations manager</x:v>
      </x:c>
      <x:c r="E920" s="4" t="str">
        <x:v>Paper transcribed</x:v>
      </x:c>
      <x:c r="F920" s="4" t="str">
        <x:v>Record captured</x:v>
      </x:c>
      <x:c r="G920" s="4" t="str">
        <x:v>Reserved</x:v>
      </x:c>
    </x:row>
    <x:row r="921" ht="34" customHeight="1">
      <x:c r="A921" s="4" t="str">
        <x:v>RS-00920-E1</x:v>
      </x:c>
      <x:c r="B921" s="4" t="str">
        <x:v>RS-00920</x:v>
      </x:c>
      <x:c r="C921" s="8" t="n">
        <x:v>45346</x:v>
      </x:c>
      <x:c r="D921" s="4" t="str">
        <x:v>Sales operations manager</x:v>
      </x:c>
      <x:c r="E921" s="4" t="str">
        <x:v>Paper transcribed</x:v>
      </x:c>
      <x:c r="F921" s="4" t="str">
        <x:v>Record captured</x:v>
      </x:c>
      <x:c r="G921" s="4" t="str">
        <x:v>Reserved</x:v>
      </x:c>
    </x:row>
    <x:row r="922" ht="34" customHeight="1">
      <x:c r="A922" s="4" t="str">
        <x:v>RS-00921-E1</x:v>
      </x:c>
      <x:c r="B922" s="4" t="str">
        <x:v>RS-00921</x:v>
      </x:c>
      <x:c r="C922" s="8" t="n">
        <x:v>45347</x:v>
      </x:c>
      <x:c r="D922" s="4" t="str">
        <x:v>Sales operations manager</x:v>
      </x:c>
      <x:c r="E922" s="4" t="str">
        <x:v>WhatsApp transcribed</x:v>
      </x:c>
      <x:c r="F922" s="4" t="str">
        <x:v>Record captured</x:v>
      </x:c>
      <x:c r="G922" s="4" t="str">
        <x:v>Agreement signed</x:v>
      </x:c>
    </x:row>
    <x:row r="923" ht="34" customHeight="1">
      <x:c r="A923" s="4" t="str">
        <x:v>RS-00922-E1</x:v>
      </x:c>
      <x:c r="B923" s="4" t="str">
        <x:v>RS-00922</x:v>
      </x:c>
      <x:c r="C923" s="8" t="n">
        <x:v>45348</x:v>
      </x:c>
      <x:c r="D923" s="4" t="str">
        <x:v>Sales operations manager</x:v>
      </x:c>
      <x:c r="E923" s="4" t="str">
        <x:v>Spreadsheet import</x:v>
      </x:c>
      <x:c r="F923" s="4" t="str">
        <x:v>Record captured</x:v>
      </x:c>
      <x:c r="G923" s="4" t="str">
        <x:v>Enquiry</x:v>
      </x:c>
    </x:row>
    <x:row r="924" ht="34" customHeight="1">
      <x:c r="A924" s="4" t="str">
        <x:v>RS-00923-E1</x:v>
      </x:c>
      <x:c r="B924" s="4" t="str">
        <x:v>RS-00923</x:v>
      </x:c>
      <x:c r="C924" s="8" t="n">
        <x:v>45349</x:v>
      </x:c>
      <x:c r="D924" s="4" t="str">
        <x:v>Sales operations manager</x:v>
      </x:c>
      <x:c r="E924" s="4" t="str">
        <x:v>Spreadsheet import</x:v>
      </x:c>
      <x:c r="F924" s="4" t="str">
        <x:v>Record captured</x:v>
      </x:c>
      <x:c r="G924" s="4" t="str">
        <x:v>Booked</x:v>
      </x:c>
    </x:row>
    <x:row r="925" ht="34" customHeight="1">
      <x:c r="A925" s="4" t="str">
        <x:v>RS-00924-E1</x:v>
      </x:c>
      <x:c r="B925" s="4" t="str">
        <x:v>RS-00924</x:v>
      </x:c>
      <x:c r="C925" s="8" t="n">
        <x:v>45350</x:v>
      </x:c>
      <x:c r="D925" s="4" t="str">
        <x:v>Sales operations manager</x:v>
      </x:c>
      <x:c r="E925" s="4" t="str">
        <x:v>ERP form</x:v>
      </x:c>
      <x:c r="F925" s="4" t="str">
        <x:v>Record captured</x:v>
      </x:c>
      <x:c r="G925" s="4" t="str">
        <x:v>Booked</x:v>
      </x:c>
    </x:row>
    <x:row r="926" ht="34" customHeight="1">
      <x:c r="A926" s="4" t="str">
        <x:v>RS-00925-E1</x:v>
      </x:c>
      <x:c r="B926" s="4" t="str">
        <x:v>RS-00925</x:v>
      </x:c>
      <x:c r="C926" s="8" t="n">
        <x:v>45323</x:v>
      </x:c>
      <x:c r="D926" s="4" t="str">
        <x:v>Sales operations manager</x:v>
      </x:c>
      <x:c r="E926" s="4" t="str">
        <x:v>WhatsApp transcribed</x:v>
      </x:c>
      <x:c r="F926" s="4" t="str">
        <x:v>Record captured</x:v>
      </x:c>
      <x:c r="G926" s="4" t="str">
        <x:v>Cancelled</x:v>
      </x:c>
    </x:row>
    <x:row r="927" ht="34" customHeight="1">
      <x:c r="A927" s="4" t="str">
        <x:v>RS-00926-E1</x:v>
      </x:c>
      <x:c r="B927" s="4" t="str">
        <x:v>RS-00926</x:v>
      </x:c>
      <x:c r="C927" s="8" t="n">
        <x:v>45324</x:v>
      </x:c>
      <x:c r="D927" s="4" t="str">
        <x:v>Sales operations manager</x:v>
      </x:c>
      <x:c r="E927" s="4" t="str">
        <x:v>WhatsApp transcribed</x:v>
      </x:c>
      <x:c r="F927" s="4" t="str">
        <x:v>Record captured</x:v>
      </x:c>
      <x:c r="G927" s="4" t="str">
        <x:v>Handed over</x:v>
      </x:c>
    </x:row>
    <x:row r="928" ht="34" customHeight="1">
      <x:c r="A928" s="4" t="str">
        <x:v>RS-00927-E1</x:v>
      </x:c>
      <x:c r="B928" s="4" t="str">
        <x:v>RS-00927</x:v>
      </x:c>
      <x:c r="C928" s="8" t="n">
        <x:v>45325</x:v>
      </x:c>
      <x:c r="D928" s="4" t="str">
        <x:v>Sales operations manager</x:v>
      </x:c>
      <x:c r="E928" s="4" t="str">
        <x:v>Paper transcribed</x:v>
      </x:c>
      <x:c r="F928" s="4" t="str">
        <x:v>Record captured</x:v>
      </x:c>
      <x:c r="G928" s="4" t="str">
        <x:v>Reserved</x:v>
      </x:c>
    </x:row>
    <x:row r="929" ht="34" customHeight="1">
      <x:c r="A929" s="4" t="str">
        <x:v>RS-00928-E1</x:v>
      </x:c>
      <x:c r="B929" s="4" t="str">
        <x:v>RS-00928</x:v>
      </x:c>
      <x:c r="C929" s="8" t="n">
        <x:v>45326</x:v>
      </x:c>
      <x:c r="D929" s="4" t="str">
        <x:v>Sales operations manager</x:v>
      </x:c>
      <x:c r="E929" s="4" t="str">
        <x:v>Spreadsheet import</x:v>
      </x:c>
      <x:c r="F929" s="4" t="str">
        <x:v>Record captured</x:v>
      </x:c>
      <x:c r="G929" s="4" t="str">
        <x:v>Enquiry</x:v>
      </x:c>
    </x:row>
    <x:row r="930" ht="34" customHeight="1">
      <x:c r="A930" s="4" t="str">
        <x:v>RS-00929-E1</x:v>
      </x:c>
      <x:c r="B930" s="4" t="str">
        <x:v>RS-00929</x:v>
      </x:c>
      <x:c r="C930" s="8" t="n">
        <x:v>45327</x:v>
      </x:c>
      <x:c r="D930" s="4" t="str">
        <x:v>Sales operations manager</x:v>
      </x:c>
      <x:c r="E930" s="4" t="str">
        <x:v>Paper transcribed</x:v>
      </x:c>
      <x:c r="F930" s="4" t="str">
        <x:v>Record captured</x:v>
      </x:c>
      <x:c r="G930" s="4" t="str">
        <x:v>Cancelled</x:v>
      </x:c>
    </x:row>
    <x:row r="931" ht="34" customHeight="1">
      <x:c r="A931" s="4" t="str">
        <x:v>RS-00930-E1</x:v>
      </x:c>
      <x:c r="B931" s="4" t="str">
        <x:v>RS-00930</x:v>
      </x:c>
      <x:c r="C931" s="8" t="n">
        <x:v>45328</x:v>
      </x:c>
      <x:c r="D931" s="4" t="str">
        <x:v>Sales operations manager</x:v>
      </x:c>
      <x:c r="E931" s="4" t="str">
        <x:v>ERP form</x:v>
      </x:c>
      <x:c r="F931" s="4" t="str">
        <x:v>Record captured</x:v>
      </x:c>
      <x:c r="G931" s="4" t="str">
        <x:v>Agreement signed</x:v>
      </x:c>
    </x:row>
    <x:row r="932" ht="34" customHeight="1">
      <x:c r="A932" s="4" t="str">
        <x:v>RS-00931-E1</x:v>
      </x:c>
      <x:c r="B932" s="4" t="str">
        <x:v>RS-00931</x:v>
      </x:c>
      <x:c r="C932" s="8" t="n">
        <x:v>45329</x:v>
      </x:c>
      <x:c r="D932" s="4" t="str">
        <x:v>Sales operations manager</x:v>
      </x:c>
      <x:c r="E932" s="4" t="str">
        <x:v>WhatsApp transcribed</x:v>
      </x:c>
      <x:c r="F932" s="4" t="str">
        <x:v>Record captured</x:v>
      </x:c>
      <x:c r="G932" s="4" t="str">
        <x:v>Reserved</x:v>
      </x:c>
    </x:row>
    <x:row r="933" ht="34" customHeight="1">
      <x:c r="A933" s="4" t="str">
        <x:v>RS-00932-E1</x:v>
      </x:c>
      <x:c r="B933" s="4" t="str">
        <x:v>RS-00932</x:v>
      </x:c>
      <x:c r="C933" s="8" t="n">
        <x:v>45330</x:v>
      </x:c>
      <x:c r="D933" s="4" t="str">
        <x:v>Sales operations manager</x:v>
      </x:c>
      <x:c r="E933" s="4" t="str">
        <x:v>Spreadsheet import</x:v>
      </x:c>
      <x:c r="F933" s="4" t="str">
        <x:v>Record captured</x:v>
      </x:c>
      <x:c r="G933" s="4" t="str">
        <x:v>Handed over</x:v>
      </x:c>
    </x:row>
    <x:row r="934" ht="34" customHeight="1">
      <x:c r="A934" s="4" t="str">
        <x:v>RS-00933-E1</x:v>
      </x:c>
      <x:c r="B934" s="4" t="str">
        <x:v>RS-00933</x:v>
      </x:c>
      <x:c r="C934" s="8" t="n">
        <x:v>45331</x:v>
      </x:c>
      <x:c r="D934" s="4" t="str">
        <x:v>Sales operations manager</x:v>
      </x:c>
      <x:c r="E934" s="4" t="str">
        <x:v>WhatsApp transcribed</x:v>
      </x:c>
      <x:c r="F934" s="4" t="str">
        <x:v>Record captured</x:v>
      </x:c>
      <x:c r="G934" s="4" t="str">
        <x:v>Booked</x:v>
      </x:c>
    </x:row>
    <x:row r="935" ht="34" customHeight="1">
      <x:c r="A935" s="4" t="str">
        <x:v>RS-00934-E1</x:v>
      </x:c>
      <x:c r="B935" s="4" t="str">
        <x:v>RS-00934</x:v>
      </x:c>
      <x:c r="C935" s="8" t="n">
        <x:v>45332</x:v>
      </x:c>
      <x:c r="D935" s="4" t="str">
        <x:v>Sales operations manager</x:v>
      </x:c>
      <x:c r="E935" s="4" t="str">
        <x:v>ERP form</x:v>
      </x:c>
      <x:c r="F935" s="4" t="str">
        <x:v>Record captured</x:v>
      </x:c>
      <x:c r="G935" s="4" t="str">
        <x:v>Agreement signed</x:v>
      </x:c>
    </x:row>
    <x:row r="936" ht="34" customHeight="1">
      <x:c r="A936" s="4" t="str">
        <x:v>RS-00935-E1</x:v>
      </x:c>
      <x:c r="B936" s="4" t="str">
        <x:v>RS-00935</x:v>
      </x:c>
      <x:c r="C936" s="8" t="n">
        <x:v>45333</x:v>
      </x:c>
      <x:c r="D936" s="4" t="str">
        <x:v>Sales operations manager</x:v>
      </x:c>
      <x:c r="E936" s="4" t="str">
        <x:v>Paper transcribed</x:v>
      </x:c>
      <x:c r="F936" s="4" t="str">
        <x:v>Record captured</x:v>
      </x:c>
      <x:c r="G936" s="4" t="str">
        <x:v>Reserved</x:v>
      </x:c>
    </x:row>
    <x:row r="937" ht="34" customHeight="1">
      <x:c r="A937" s="4" t="str">
        <x:v>RS-00936-E1</x:v>
      </x:c>
      <x:c r="B937" s="4" t="str">
        <x:v>RS-00936</x:v>
      </x:c>
      <x:c r="C937" s="8" t="n">
        <x:v>45334</x:v>
      </x:c>
      <x:c r="D937" s="4" t="str">
        <x:v>Sales operations manager</x:v>
      </x:c>
      <x:c r="E937" s="4" t="str">
        <x:v>ERP form</x:v>
      </x:c>
      <x:c r="F937" s="4" t="str">
        <x:v>Record captured</x:v>
      </x:c>
      <x:c r="G937" s="4" t="str">
        <x:v>Cancelled</x:v>
      </x:c>
    </x:row>
    <x:row r="938" ht="34" customHeight="1">
      <x:c r="A938" s="4" t="str">
        <x:v>RS-00937-E1</x:v>
      </x:c>
      <x:c r="B938" s="4" t="str">
        <x:v>RS-00937</x:v>
      </x:c>
      <x:c r="C938" s="8" t="n">
        <x:v>45335</x:v>
      </x:c>
      <x:c r="D938" s="4" t="str">
        <x:v>Sales operations manager</x:v>
      </x:c>
      <x:c r="E938" s="4" t="str">
        <x:v>WhatsApp transcribed</x:v>
      </x:c>
      <x:c r="F938" s="4" t="str">
        <x:v>Record captured</x:v>
      </x:c>
      <x:c r="G938" s="4" t="str">
        <x:v>Reserved</x:v>
      </x:c>
    </x:row>
    <x:row r="939" ht="34" customHeight="1">
      <x:c r="A939" s="4" t="str">
        <x:v>RS-00938-E1</x:v>
      </x:c>
      <x:c r="B939" s="4" t="str">
        <x:v>RS-00938</x:v>
      </x:c>
      <x:c r="C939" s="8" t="n">
        <x:v>45336</x:v>
      </x:c>
      <x:c r="D939" s="4" t="str">
        <x:v>Sales operations manager</x:v>
      </x:c>
      <x:c r="E939" s="4" t="str">
        <x:v>WhatsApp transcribed</x:v>
      </x:c>
      <x:c r="F939" s="4" t="str">
        <x:v>Record captured</x:v>
      </x:c>
      <x:c r="G939" s="4" t="str">
        <x:v>Booked</x:v>
      </x:c>
    </x:row>
    <x:row r="940" ht="34" customHeight="1">
      <x:c r="A940" s="4" t="str">
        <x:v>RS-00939-E1</x:v>
      </x:c>
      <x:c r="B940" s="4" t="str">
        <x:v>RS-00939</x:v>
      </x:c>
      <x:c r="C940" s="8" t="n">
        <x:v>45337</x:v>
      </x:c>
      <x:c r="D940" s="4" t="str">
        <x:v>Sales operations manager</x:v>
      </x:c>
      <x:c r="E940" s="4" t="str">
        <x:v>WhatsApp transcribed</x:v>
      </x:c>
      <x:c r="F940" s="4" t="str">
        <x:v>Record captured</x:v>
      </x:c>
      <x:c r="G940" s="4" t="str">
        <x:v>Cancelled</x:v>
      </x:c>
    </x:row>
    <x:row r="941" ht="34" customHeight="1">
      <x:c r="A941" s="4" t="str">
        <x:v>RS-00940-E1</x:v>
      </x:c>
      <x:c r="B941" s="4" t="str">
        <x:v>RS-00940</x:v>
      </x:c>
      <x:c r="C941" s="8" t="n">
        <x:v>45338</x:v>
      </x:c>
      <x:c r="D941" s="4" t="str">
        <x:v>Sales operations manager</x:v>
      </x:c>
      <x:c r="E941" s="4" t="str">
        <x:v>Spreadsheet import</x:v>
      </x:c>
      <x:c r="F941" s="4" t="str">
        <x:v>Record captured</x:v>
      </x:c>
      <x:c r="G941" s="4" t="str">
        <x:v>Booked</x:v>
      </x:c>
    </x:row>
    <x:row r="942" ht="34" customHeight="1">
      <x:c r="A942" s="4" t="str">
        <x:v>RS-00941-E1</x:v>
      </x:c>
      <x:c r="B942" s="4" t="str">
        <x:v>RS-00941</x:v>
      </x:c>
      <x:c r="C942" s="8" t="n">
        <x:v>45339</x:v>
      </x:c>
      <x:c r="D942" s="4" t="str">
        <x:v>Sales operations manager</x:v>
      </x:c>
      <x:c r="E942" s="4" t="str">
        <x:v>WhatsApp transcribed</x:v>
      </x:c>
      <x:c r="F942" s="4" t="str">
        <x:v>Record captured</x:v>
      </x:c>
      <x:c r="G942" s="4" t="str">
        <x:v>Agreement signed</x:v>
      </x:c>
    </x:row>
    <x:row r="943" ht="34" customHeight="1">
      <x:c r="A943" s="4" t="str">
        <x:v>RS-00942-E1</x:v>
      </x:c>
      <x:c r="B943" s="4" t="str">
        <x:v>RS-00942</x:v>
      </x:c>
      <x:c r="C943" s="8" t="n">
        <x:v>45340</x:v>
      </x:c>
      <x:c r="D943" s="4" t="str">
        <x:v>Sales operations manager</x:v>
      </x:c>
      <x:c r="E943" s="4" t="str">
        <x:v>WhatsApp transcribed</x:v>
      </x:c>
      <x:c r="F943" s="4" t="str">
        <x:v>Record captured</x:v>
      </x:c>
      <x:c r="G943" s="4" t="str">
        <x:v>Handed over</x:v>
      </x:c>
    </x:row>
    <x:row r="944" ht="34" customHeight="1">
      <x:c r="A944" s="4" t="str">
        <x:v>RS-00943-E1</x:v>
      </x:c>
      <x:c r="B944" s="4" t="str">
        <x:v>RS-00943</x:v>
      </x:c>
      <x:c r="C944" s="8" t="n">
        <x:v>45341</x:v>
      </x:c>
      <x:c r="D944" s="4" t="str">
        <x:v>Sales operations manager</x:v>
      </x:c>
      <x:c r="E944" s="4" t="str">
        <x:v>ERP form</x:v>
      </x:c>
      <x:c r="F944" s="4" t="str">
        <x:v>Record captured</x:v>
      </x:c>
      <x:c r="G944" s="4" t="str">
        <x:v>Cancelled</x:v>
      </x:c>
    </x:row>
    <x:row r="945" ht="34" customHeight="1">
      <x:c r="A945" s="4" t="str">
        <x:v>RS-00944-E1</x:v>
      </x:c>
      <x:c r="B945" s="4" t="str">
        <x:v>RS-00944</x:v>
      </x:c>
      <x:c r="C945" s="8" t="n">
        <x:v>45342</x:v>
      </x:c>
      <x:c r="D945" s="4" t="str">
        <x:v>Sales operations manager</x:v>
      </x:c>
      <x:c r="E945" s="4" t="str">
        <x:v>WhatsApp transcribed</x:v>
      </x:c>
      <x:c r="F945" s="4" t="str">
        <x:v>Record captured</x:v>
      </x:c>
      <x:c r="G945" s="4" t="str">
        <x:v>Enquiry</x:v>
      </x:c>
    </x:row>
    <x:row r="946" ht="34" customHeight="1">
      <x:c r="A946" s="4" t="str">
        <x:v>RS-00945-E1</x:v>
      </x:c>
      <x:c r="B946" s="4" t="str">
        <x:v>RS-00945</x:v>
      </x:c>
      <x:c r="C946" s="8" t="n">
        <x:v>45343</x:v>
      </x:c>
      <x:c r="D946" s="4" t="str">
        <x:v>Sales operations manager</x:v>
      </x:c>
      <x:c r="E946" s="4" t="str">
        <x:v>ERP form</x:v>
      </x:c>
      <x:c r="F946" s="4" t="str">
        <x:v>Record captured</x:v>
      </x:c>
      <x:c r="G946" s="4" t="str">
        <x:v>Handed over</x:v>
      </x:c>
    </x:row>
    <x:row r="947" ht="34" customHeight="1">
      <x:c r="A947" s="4" t="str">
        <x:v>RS-00946-E1</x:v>
      </x:c>
      <x:c r="B947" s="4" t="str">
        <x:v>RS-00946</x:v>
      </x:c>
      <x:c r="C947" s="8" t="n">
        <x:v>45344</x:v>
      </x:c>
      <x:c r="D947" s="4" t="str">
        <x:v>Sales operations manager</x:v>
      </x:c>
      <x:c r="E947" s="4" t="str">
        <x:v>Paper transcribed</x:v>
      </x:c>
      <x:c r="F947" s="4" t="str">
        <x:v>Record captured</x:v>
      </x:c>
      <x:c r="G947" s="4" t="str">
        <x:v>Booked</x:v>
      </x:c>
    </x:row>
    <x:row r="948" ht="34" customHeight="1">
      <x:c r="A948" s="4" t="str">
        <x:v>RS-00947-E1</x:v>
      </x:c>
      <x:c r="B948" s="4" t="str">
        <x:v>RS-00947</x:v>
      </x:c>
      <x:c r="C948" s="8" t="n">
        <x:v>45345</x:v>
      </x:c>
      <x:c r="D948" s="4" t="str">
        <x:v>Sales operations manager</x:v>
      </x:c>
      <x:c r="E948" s="4" t="str">
        <x:v>WhatsApp transcribed</x:v>
      </x:c>
      <x:c r="F948" s="4" t="str">
        <x:v>Record captured</x:v>
      </x:c>
      <x:c r="G948" s="4" t="str">
        <x:v>Enquiry</x:v>
      </x:c>
    </x:row>
    <x:row r="949" ht="34" customHeight="1">
      <x:c r="A949" s="4" t="str">
        <x:v>RS-00948-E1</x:v>
      </x:c>
      <x:c r="B949" s="4" t="str">
        <x:v>RS-00948</x:v>
      </x:c>
      <x:c r="C949" s="8" t="n">
        <x:v>45346</x:v>
      </x:c>
      <x:c r="D949" s="4" t="str">
        <x:v>Sales operations manager</x:v>
      </x:c>
      <x:c r="E949" s="4" t="str">
        <x:v>ERP form</x:v>
      </x:c>
      <x:c r="F949" s="4" t="str">
        <x:v>Record captured</x:v>
      </x:c>
      <x:c r="G949" s="4" t="str">
        <x:v>Cancelled</x:v>
      </x:c>
    </x:row>
    <x:row r="950" ht="34" customHeight="1">
      <x:c r="A950" s="4" t="str">
        <x:v>RS-00949-E1</x:v>
      </x:c>
      <x:c r="B950" s="4" t="str">
        <x:v>RS-00949</x:v>
      </x:c>
      <x:c r="C950" s="8" t="n">
        <x:v>45347</x:v>
      </x:c>
      <x:c r="D950" s="4" t="str">
        <x:v>Sales operations manager</x:v>
      </x:c>
      <x:c r="E950" s="4" t="str">
        <x:v>ERP form</x:v>
      </x:c>
      <x:c r="F950" s="4" t="str">
        <x:v>Record captured</x:v>
      </x:c>
      <x:c r="G950" s="4" t="str">
        <x:v>Enquiry</x:v>
      </x:c>
    </x:row>
    <x:row r="951" ht="34" customHeight="1">
      <x:c r="A951" s="4" t="str">
        <x:v>RS-00950-E1</x:v>
      </x:c>
      <x:c r="B951" s="4" t="str">
        <x:v>RS-00950</x:v>
      </x:c>
      <x:c r="C951" s="8" t="n">
        <x:v>45348</x:v>
      </x:c>
      <x:c r="D951" s="4" t="str">
        <x:v>Sales operations manager</x:v>
      </x:c>
      <x:c r="E951" s="4" t="str">
        <x:v>Spreadsheet import</x:v>
      </x:c>
      <x:c r="F951" s="4" t="str">
        <x:v>Record captured</x:v>
      </x:c>
      <x:c r="G951" s="4" t="str">
        <x:v>Agreement signed</x:v>
      </x:c>
    </x:row>
    <x:row r="952" ht="34" customHeight="1">
      <x:c r="A952" s="4" t="str">
        <x:v>RS-00951-E1</x:v>
      </x:c>
      <x:c r="B952" s="4" t="str">
        <x:v>RS-00951</x:v>
      </x:c>
      <x:c r="C952" s="8" t="n">
        <x:v>45349</x:v>
      </x:c>
      <x:c r="D952" s="4" t="str">
        <x:v>Sales operations manager</x:v>
      </x:c>
      <x:c r="E952" s="4" t="str">
        <x:v>Spreadsheet import</x:v>
      </x:c>
      <x:c r="F952" s="4" t="str">
        <x:v>Record captured</x:v>
      </x:c>
      <x:c r="G952" s="4" t="str">
        <x:v>Booked</x:v>
      </x:c>
    </x:row>
    <x:row r="953" ht="34" customHeight="1">
      <x:c r="A953" s="4" t="str">
        <x:v>RS-00952-E1</x:v>
      </x:c>
      <x:c r="B953" s="4" t="str">
        <x:v>RS-00952</x:v>
      </x:c>
      <x:c r="C953" s="8" t="n">
        <x:v>45350</x:v>
      </x:c>
      <x:c r="D953" s="4" t="str">
        <x:v>Sales operations manager</x:v>
      </x:c>
      <x:c r="E953" s="4" t="str">
        <x:v>WhatsApp transcribed</x:v>
      </x:c>
      <x:c r="F953" s="4" t="str">
        <x:v>Record captured</x:v>
      </x:c>
      <x:c r="G953" s="4" t="str">
        <x:v>Cancelled</x:v>
      </x:c>
    </x:row>
    <x:row r="954" ht="34" customHeight="1">
      <x:c r="A954" s="4" t="str">
        <x:v>RS-00953-E1</x:v>
      </x:c>
      <x:c r="B954" s="4" t="str">
        <x:v>RS-00953</x:v>
      </x:c>
      <x:c r="C954" s="8" t="n">
        <x:v>45323</x:v>
      </x:c>
      <x:c r="D954" s="4" t="str">
        <x:v>Sales operations manager</x:v>
      </x:c>
      <x:c r="E954" s="4" t="str">
        <x:v>ERP form</x:v>
      </x:c>
      <x:c r="F954" s="4" t="str">
        <x:v>Record captured</x:v>
      </x:c>
      <x:c r="G954" s="4" t="str">
        <x:v>Enquiry</x:v>
      </x:c>
    </x:row>
    <x:row r="955" ht="34" customHeight="1">
      <x:c r="A955" s="4" t="str">
        <x:v>RS-00954-E1</x:v>
      </x:c>
      <x:c r="B955" s="4" t="str">
        <x:v>RS-00954</x:v>
      </x:c>
      <x:c r="C955" s="8" t="n">
        <x:v>45324</x:v>
      </x:c>
      <x:c r="D955" s="4" t="str">
        <x:v>Sales operations manager</x:v>
      </x:c>
      <x:c r="E955" s="4" t="str">
        <x:v>Spreadsheet import</x:v>
      </x:c>
      <x:c r="F955" s="4" t="str">
        <x:v>Record captured</x:v>
      </x:c>
      <x:c r="G955" s="4" t="str">
        <x:v>Enquiry</x:v>
      </x:c>
    </x:row>
    <x:row r="956" ht="34" customHeight="1">
      <x:c r="A956" s="4" t="str">
        <x:v>RS-00955-E1</x:v>
      </x:c>
      <x:c r="B956" s="4" t="str">
        <x:v>RS-00955</x:v>
      </x:c>
      <x:c r="C956" s="8" t="n">
        <x:v>45325</x:v>
      </x:c>
      <x:c r="D956" s="4" t="str">
        <x:v>Sales operations manager</x:v>
      </x:c>
      <x:c r="E956" s="4" t="str">
        <x:v>Spreadsheet import</x:v>
      </x:c>
      <x:c r="F956" s="4" t="str">
        <x:v>Record captured</x:v>
      </x:c>
      <x:c r="G956" s="4" t="str">
        <x:v>Handed over</x:v>
      </x:c>
    </x:row>
    <x:row r="957" ht="34" customHeight="1">
      <x:c r="A957" s="4" t="str">
        <x:v>RS-00956-E1</x:v>
      </x:c>
      <x:c r="B957" s="4" t="str">
        <x:v>RS-00956</x:v>
      </x:c>
      <x:c r="C957" s="8" t="n">
        <x:v>45326</x:v>
      </x:c>
      <x:c r="D957" s="4" t="str">
        <x:v>Sales operations manager</x:v>
      </x:c>
      <x:c r="E957" s="4" t="str">
        <x:v>Spreadsheet import</x:v>
      </x:c>
      <x:c r="F957" s="4" t="str">
        <x:v>Record captured</x:v>
      </x:c>
      <x:c r="G957" s="4" t="str">
        <x:v>Agreement signed</x:v>
      </x:c>
    </x:row>
    <x:row r="958" ht="34" customHeight="1">
      <x:c r="A958" s="4" t="str">
        <x:v>RS-00957-E1</x:v>
      </x:c>
      <x:c r="B958" s="4" t="str">
        <x:v>RS-00957</x:v>
      </x:c>
      <x:c r="C958" s="8" t="n">
        <x:v>45327</x:v>
      </x:c>
      <x:c r="D958" s="4" t="str">
        <x:v>Sales operations manager</x:v>
      </x:c>
      <x:c r="E958" s="4" t="str">
        <x:v>Paper transcribed</x:v>
      </x:c>
      <x:c r="F958" s="4" t="str">
        <x:v>Record captured</x:v>
      </x:c>
      <x:c r="G958" s="4" t="str">
        <x:v>Cancelled</x:v>
      </x:c>
    </x:row>
    <x:row r="959" ht="34" customHeight="1">
      <x:c r="A959" s="4" t="str">
        <x:v>RS-00958-E1</x:v>
      </x:c>
      <x:c r="B959" s="4" t="str">
        <x:v>RS-00958</x:v>
      </x:c>
      <x:c r="C959" s="8" t="n">
        <x:v>45328</x:v>
      </x:c>
      <x:c r="D959" s="4" t="str">
        <x:v>Sales operations manager</x:v>
      </x:c>
      <x:c r="E959" s="4" t="str">
        <x:v>ERP form</x:v>
      </x:c>
      <x:c r="F959" s="4" t="str">
        <x:v>Record captured</x:v>
      </x:c>
      <x:c r="G959" s="4" t="str">
        <x:v>Enquiry</x:v>
      </x:c>
    </x:row>
    <x:row r="960" ht="34" customHeight="1">
      <x:c r="A960" s="4" t="str">
        <x:v>RS-00959-E1</x:v>
      </x:c>
      <x:c r="B960" s="4" t="str">
        <x:v>RS-00959</x:v>
      </x:c>
      <x:c r="C960" s="8" t="n">
        <x:v>45329</x:v>
      </x:c>
      <x:c r="D960" s="4" t="str">
        <x:v>Sales operations manager</x:v>
      </x:c>
      <x:c r="E960" s="4" t="str">
        <x:v>ERP form</x:v>
      </x:c>
      <x:c r="F960" s="4" t="str">
        <x:v>Record captured</x:v>
      </x:c>
      <x:c r="G960" s="4" t="str">
        <x:v>Booked</x:v>
      </x:c>
    </x:row>
    <x:row r="961" ht="34" customHeight="1">
      <x:c r="A961" s="4" t="str">
        <x:v>RS-00960-E1</x:v>
      </x:c>
      <x:c r="B961" s="4" t="str">
        <x:v>RS-00960</x:v>
      </x:c>
      <x:c r="C961" s="8" t="n">
        <x:v>45330</x:v>
      </x:c>
      <x:c r="D961" s="4" t="str">
        <x:v>Sales operations manager</x:v>
      </x:c>
      <x:c r="E961" s="4" t="str">
        <x:v>Spreadsheet import</x:v>
      </x:c>
      <x:c r="F961" s="4" t="str">
        <x:v>Record captured</x:v>
      </x:c>
      <x:c r="G961" s="4" t="str">
        <x:v>Enquiry</x:v>
      </x:c>
    </x:row>
    <x:row r="962" ht="34" customHeight="1">
      <x:c r="A962" s="4" t="str">
        <x:v>RS-00961-E1</x:v>
      </x:c>
      <x:c r="B962" s="4" t="str">
        <x:v>RS-00961</x:v>
      </x:c>
      <x:c r="C962" s="8" t="n">
        <x:v>45331</x:v>
      </x:c>
      <x:c r="D962" s="4" t="str">
        <x:v>Sales operations manager</x:v>
      </x:c>
      <x:c r="E962" s="4" t="str">
        <x:v>Spreadsheet import</x:v>
      </x:c>
      <x:c r="F962" s="4" t="str">
        <x:v>Record captured</x:v>
      </x:c>
      <x:c r="G962" s="4" t="str">
        <x:v>Enquiry</x:v>
      </x:c>
    </x:row>
    <x:row r="963" ht="34" customHeight="1">
      <x:c r="A963" s="4" t="str">
        <x:v>RS-00962-E1</x:v>
      </x:c>
      <x:c r="B963" s="4" t="str">
        <x:v>RS-00962</x:v>
      </x:c>
      <x:c r="C963" s="8" t="n">
        <x:v>45332</x:v>
      </x:c>
      <x:c r="D963" s="4" t="str">
        <x:v>Sales operations manager</x:v>
      </x:c>
      <x:c r="E963" s="4" t="str">
        <x:v>Spreadsheet import</x:v>
      </x:c>
      <x:c r="F963" s="4" t="str">
        <x:v>Record captured</x:v>
      </x:c>
      <x:c r="G963" s="4" t="str">
        <x:v>Handed over</x:v>
      </x:c>
    </x:row>
    <x:row r="964" ht="34" customHeight="1">
      <x:c r="A964" s="4" t="str">
        <x:v>RS-00963-E1</x:v>
      </x:c>
      <x:c r="B964" s="4" t="str">
        <x:v>RS-00963</x:v>
      </x:c>
      <x:c r="C964" s="8" t="n">
        <x:v>45333</x:v>
      </x:c>
      <x:c r="D964" s="4" t="str">
        <x:v>Sales operations manager</x:v>
      </x:c>
      <x:c r="E964" s="4" t="str">
        <x:v>WhatsApp transcribed</x:v>
      </x:c>
      <x:c r="F964" s="4" t="str">
        <x:v>Record captured</x:v>
      </x:c>
      <x:c r="G964" s="4" t="str">
        <x:v>Handed over</x:v>
      </x:c>
    </x:row>
    <x:row r="965" ht="34" customHeight="1">
      <x:c r="A965" s="4" t="str">
        <x:v>RS-00964-E1</x:v>
      </x:c>
      <x:c r="B965" s="4" t="str">
        <x:v>RS-00964</x:v>
      </x:c>
      <x:c r="C965" s="8" t="n">
        <x:v>45334</x:v>
      </x:c>
      <x:c r="D965" s="4" t="str">
        <x:v>Sales operations manager</x:v>
      </x:c>
      <x:c r="E965" s="4" t="str">
        <x:v>Spreadsheet import</x:v>
      </x:c>
      <x:c r="F965" s="4" t="str">
        <x:v>Record captured</x:v>
      </x:c>
      <x:c r="G965" s="4" t="str">
        <x:v>Agreement signed</x:v>
      </x:c>
    </x:row>
    <x:row r="966" ht="34" customHeight="1">
      <x:c r="A966" s="4" t="str">
        <x:v>RS-00965-E1</x:v>
      </x:c>
      <x:c r="B966" s="4" t="str">
        <x:v>RS-00965</x:v>
      </x:c>
      <x:c r="C966" s="8" t="n">
        <x:v>45335</x:v>
      </x:c>
      <x:c r="D966" s="4" t="str">
        <x:v>Sales operations manager</x:v>
      </x:c>
      <x:c r="E966" s="4" t="str">
        <x:v>Paper transcribed</x:v>
      </x:c>
      <x:c r="F966" s="4" t="str">
        <x:v>Record captured</x:v>
      </x:c>
      <x:c r="G966" s="4" t="str">
        <x:v>Agreement signed</x:v>
      </x:c>
    </x:row>
    <x:row r="967" ht="34" customHeight="1">
      <x:c r="A967" s="4" t="str">
        <x:v>RS-00966-E1</x:v>
      </x:c>
      <x:c r="B967" s="4" t="str">
        <x:v>RS-00966</x:v>
      </x:c>
      <x:c r="C967" s="8" t="n">
        <x:v>45336</x:v>
      </x:c>
      <x:c r="D967" s="4" t="str">
        <x:v>Sales operations manager</x:v>
      </x:c>
      <x:c r="E967" s="4" t="str">
        <x:v>ERP form</x:v>
      </x:c>
      <x:c r="F967" s="4" t="str">
        <x:v>Record captured</x:v>
      </x:c>
      <x:c r="G967" s="4" t="str">
        <x:v>Handed over</x:v>
      </x:c>
    </x:row>
    <x:row r="968" ht="34" customHeight="1">
      <x:c r="A968" s="4" t="str">
        <x:v>RS-00967-E1</x:v>
      </x:c>
      <x:c r="B968" s="4" t="str">
        <x:v>RS-00967</x:v>
      </x:c>
      <x:c r="C968" s="8" t="n">
        <x:v>45337</x:v>
      </x:c>
      <x:c r="D968" s="4" t="str">
        <x:v>Sales operations manager</x:v>
      </x:c>
      <x:c r="E968" s="4" t="str">
        <x:v>Spreadsheet import</x:v>
      </x:c>
      <x:c r="F968" s="4" t="str">
        <x:v>Record captured</x:v>
      </x:c>
      <x:c r="G968" s="4" t="str">
        <x:v>Reserved</x:v>
      </x:c>
    </x:row>
    <x:row r="969" ht="34" customHeight="1">
      <x:c r="A969" s="4" t="str">
        <x:v>RS-00968-E1</x:v>
      </x:c>
      <x:c r="B969" s="4" t="str">
        <x:v>RS-00968</x:v>
      </x:c>
      <x:c r="C969" s="8" t="n">
        <x:v>45338</x:v>
      </x:c>
      <x:c r="D969" s="4" t="str">
        <x:v>Sales operations manager</x:v>
      </x:c>
      <x:c r="E969" s="4" t="str">
        <x:v>ERP form</x:v>
      </x:c>
      <x:c r="F969" s="4" t="str">
        <x:v>Record captured</x:v>
      </x:c>
      <x:c r="G969" s="4" t="str">
        <x:v>Agreement signed</x:v>
      </x:c>
    </x:row>
    <x:row r="970" ht="34" customHeight="1">
      <x:c r="A970" s="4" t="str">
        <x:v>RS-00969-E1</x:v>
      </x:c>
      <x:c r="B970" s="4" t="str">
        <x:v>RS-00969</x:v>
      </x:c>
      <x:c r="C970" s="8" t="n">
        <x:v>45339</x:v>
      </x:c>
      <x:c r="D970" s="4" t="str">
        <x:v>Sales operations manager</x:v>
      </x:c>
      <x:c r="E970" s="4" t="str">
        <x:v>Spreadsheet import</x:v>
      </x:c>
      <x:c r="F970" s="4" t="str">
        <x:v>Record captured</x:v>
      </x:c>
      <x:c r="G970" s="4" t="str">
        <x:v>Handed over</x:v>
      </x:c>
    </x:row>
    <x:row r="971" ht="34" customHeight="1">
      <x:c r="A971" s="4" t="str">
        <x:v>RS-00970-E1</x:v>
      </x:c>
      <x:c r="B971" s="4" t="str">
        <x:v>RS-00970</x:v>
      </x:c>
      <x:c r="C971" s="8" t="n">
        <x:v>45340</x:v>
      </x:c>
      <x:c r="D971" s="4" t="str">
        <x:v>Sales operations manager</x:v>
      </x:c>
      <x:c r="E971" s="4" t="str">
        <x:v>Spreadsheet import</x:v>
      </x:c>
      <x:c r="F971" s="4" t="str">
        <x:v>Record captured</x:v>
      </x:c>
      <x:c r="G971" s="4" t="str">
        <x:v>Reserved</x:v>
      </x:c>
    </x:row>
    <x:row r="972" ht="34" customHeight="1">
      <x:c r="A972" s="4" t="str">
        <x:v>RS-00971-E1</x:v>
      </x:c>
      <x:c r="B972" s="4" t="str">
        <x:v>RS-00971</x:v>
      </x:c>
      <x:c r="C972" s="8" t="n">
        <x:v>45341</x:v>
      </x:c>
      <x:c r="D972" s="4" t="str">
        <x:v>Sales operations manager</x:v>
      </x:c>
      <x:c r="E972" s="4" t="str">
        <x:v>ERP form</x:v>
      </x:c>
      <x:c r="F972" s="4" t="str">
        <x:v>Record captured</x:v>
      </x:c>
      <x:c r="G972" s="4" t="str">
        <x:v>Reserved</x:v>
      </x:c>
    </x:row>
    <x:row r="973" ht="34" customHeight="1">
      <x:c r="A973" s="4" t="str">
        <x:v>RS-00972-E1</x:v>
      </x:c>
      <x:c r="B973" s="4" t="str">
        <x:v>RS-00972</x:v>
      </x:c>
      <x:c r="C973" s="8" t="n">
        <x:v>45342</x:v>
      </x:c>
      <x:c r="D973" s="4" t="str">
        <x:v>Sales operations manager</x:v>
      </x:c>
      <x:c r="E973" s="4" t="str">
        <x:v>Paper transcribed</x:v>
      </x:c>
      <x:c r="F973" s="4" t="str">
        <x:v>Record captured</x:v>
      </x:c>
      <x:c r="G973" s="4" t="str">
        <x:v>Reserved</x:v>
      </x:c>
    </x:row>
    <x:row r="974" ht="34" customHeight="1">
      <x:c r="A974" s="4" t="str">
        <x:v>RS-00973-E1</x:v>
      </x:c>
      <x:c r="B974" s="4" t="str">
        <x:v>RS-00973</x:v>
      </x:c>
      <x:c r="C974" s="8" t="n">
        <x:v>45343</x:v>
      </x:c>
      <x:c r="D974" s="4" t="str">
        <x:v>Sales operations manager</x:v>
      </x:c>
      <x:c r="E974" s="4" t="str">
        <x:v>Paper transcribed</x:v>
      </x:c>
      <x:c r="F974" s="4" t="str">
        <x:v>Record captured</x:v>
      </x:c>
      <x:c r="G974" s="4" t="str">
        <x:v>Cancelled</x:v>
      </x:c>
    </x:row>
    <x:row r="975" ht="34" customHeight="1">
      <x:c r="A975" s="4" t="str">
        <x:v>RS-00974-E1</x:v>
      </x:c>
      <x:c r="B975" s="4" t="str">
        <x:v>RS-00974</x:v>
      </x:c>
      <x:c r="C975" s="8" t="n">
        <x:v>45344</x:v>
      </x:c>
      <x:c r="D975" s="4" t="str">
        <x:v>Sales operations manager</x:v>
      </x:c>
      <x:c r="E975" s="4" t="str">
        <x:v>Paper transcribed</x:v>
      </x:c>
      <x:c r="F975" s="4" t="str">
        <x:v>Record captured</x:v>
      </x:c>
      <x:c r="G975" s="4" t="str">
        <x:v>Booked</x:v>
      </x:c>
    </x:row>
    <x:row r="976" ht="34" customHeight="1">
      <x:c r="A976" s="4" t="str">
        <x:v>RS-00975-E1</x:v>
      </x:c>
      <x:c r="B976" s="4" t="str">
        <x:v>RS-00975</x:v>
      </x:c>
      <x:c r="C976" s="8" t="n">
        <x:v>45345</x:v>
      </x:c>
      <x:c r="D976" s="4" t="str">
        <x:v>Sales operations manager</x:v>
      </x:c>
      <x:c r="E976" s="4" t="str">
        <x:v>ERP form</x:v>
      </x:c>
      <x:c r="F976" s="4" t="str">
        <x:v>Record captured</x:v>
      </x:c>
      <x:c r="G976" s="4" t="str">
        <x:v>Handed over</x:v>
      </x:c>
    </x:row>
    <x:row r="977" ht="34" customHeight="1">
      <x:c r="A977" s="4" t="str">
        <x:v>RS-00976-E1</x:v>
      </x:c>
      <x:c r="B977" s="4" t="str">
        <x:v>RS-00976</x:v>
      </x:c>
      <x:c r="C977" s="8" t="n">
        <x:v>45346</x:v>
      </x:c>
      <x:c r="D977" s="4" t="str">
        <x:v>Sales operations manager</x:v>
      </x:c>
      <x:c r="E977" s="4" t="str">
        <x:v>Spreadsheet import</x:v>
      </x:c>
      <x:c r="F977" s="4" t="str">
        <x:v>Record captured</x:v>
      </x:c>
      <x:c r="G977" s="4" t="str">
        <x:v>Handed over</x:v>
      </x:c>
    </x:row>
    <x:row r="978" ht="34" customHeight="1">
      <x:c r="A978" s="4" t="str">
        <x:v>RS-00977-E1</x:v>
      </x:c>
      <x:c r="B978" s="4" t="str">
        <x:v>RS-00977</x:v>
      </x:c>
      <x:c r="C978" s="8" t="n">
        <x:v>45347</x:v>
      </x:c>
      <x:c r="D978" s="4" t="str">
        <x:v>Sales operations manager</x:v>
      </x:c>
      <x:c r="E978" s="4" t="str">
        <x:v>Paper transcribed</x:v>
      </x:c>
      <x:c r="F978" s="4" t="str">
        <x:v>Record captured</x:v>
      </x:c>
      <x:c r="G978" s="4" t="str">
        <x:v>Booked</x:v>
      </x:c>
    </x:row>
    <x:row r="979" ht="34" customHeight="1">
      <x:c r="A979" s="4" t="str">
        <x:v>RS-00978-E1</x:v>
      </x:c>
      <x:c r="B979" s="4" t="str">
        <x:v>RS-00978</x:v>
      </x:c>
      <x:c r="C979" s="8" t="n">
        <x:v>45348</x:v>
      </x:c>
      <x:c r="D979" s="4" t="str">
        <x:v>Sales operations manager</x:v>
      </x:c>
      <x:c r="E979" s="4" t="str">
        <x:v>ERP form</x:v>
      </x:c>
      <x:c r="F979" s="4" t="str">
        <x:v>Record captured</x:v>
      </x:c>
      <x:c r="G979" s="4" t="str">
        <x:v>Reserved</x:v>
      </x:c>
    </x:row>
    <x:row r="980" ht="34" customHeight="1">
      <x:c r="A980" s="4" t="str">
        <x:v>RS-00979-E1</x:v>
      </x:c>
      <x:c r="B980" s="4" t="str">
        <x:v>RS-00979</x:v>
      </x:c>
      <x:c r="C980" s="8" t="n">
        <x:v>45349</x:v>
      </x:c>
      <x:c r="D980" s="4" t="str">
        <x:v>Sales operations manager</x:v>
      </x:c>
      <x:c r="E980" s="4" t="str">
        <x:v>WhatsApp transcribed</x:v>
      </x:c>
      <x:c r="F980" s="4" t="str">
        <x:v>Record captured</x:v>
      </x:c>
      <x:c r="G980" s="4" t="str">
        <x:v>Reserved</x:v>
      </x:c>
    </x:row>
    <x:row r="981" ht="34" customHeight="1">
      <x:c r="A981" s="4" t="str">
        <x:v>RS-00980-E1</x:v>
      </x:c>
      <x:c r="B981" s="4" t="str">
        <x:v>RS-00980</x:v>
      </x:c>
      <x:c r="C981" s="8" t="n">
        <x:v>45350</x:v>
      </x:c>
      <x:c r="D981" s="4" t="str">
        <x:v>Sales operations manager</x:v>
      </x:c>
      <x:c r="E981" s="4" t="str">
        <x:v>Spreadsheet import</x:v>
      </x:c>
      <x:c r="F981" s="4" t="str">
        <x:v>Record captured</x:v>
      </x:c>
      <x:c r="G981" s="4" t="str">
        <x:v>Enquiry</x:v>
      </x:c>
    </x:row>
    <x:row r="982" ht="34" customHeight="1">
      <x:c r="A982" s="4" t="str">
        <x:v>RS-00981-E1</x:v>
      </x:c>
      <x:c r="B982" s="4" t="str">
        <x:v>RS-00981</x:v>
      </x:c>
      <x:c r="C982" s="8" t="n">
        <x:v>45323</x:v>
      </x:c>
      <x:c r="D982" s="4" t="str">
        <x:v>Sales operations manager</x:v>
      </x:c>
      <x:c r="E982" s="4" t="str">
        <x:v>ERP form</x:v>
      </x:c>
      <x:c r="F982" s="4" t="str">
        <x:v>Record captured</x:v>
      </x:c>
      <x:c r="G982" s="4" t="str">
        <x:v>Reserved</x:v>
      </x:c>
    </x:row>
    <x:row r="983" ht="34" customHeight="1">
      <x:c r="A983" s="4" t="str">
        <x:v>RS-00982-E1</x:v>
      </x:c>
      <x:c r="B983" s="4" t="str">
        <x:v>RS-00982</x:v>
      </x:c>
      <x:c r="C983" s="8" t="n">
        <x:v>45324</x:v>
      </x:c>
      <x:c r="D983" s="4" t="str">
        <x:v>Sales operations manager</x:v>
      </x:c>
      <x:c r="E983" s="4" t="str">
        <x:v>ERP form</x:v>
      </x:c>
      <x:c r="F983" s="4" t="str">
        <x:v>Record captured</x:v>
      </x:c>
      <x:c r="G983" s="4" t="str">
        <x:v>Enquiry</x:v>
      </x:c>
    </x:row>
    <x:row r="984" ht="34" customHeight="1">
      <x:c r="A984" s="4" t="str">
        <x:v>RS-00983-E1</x:v>
      </x:c>
      <x:c r="B984" s="4" t="str">
        <x:v>RS-00983</x:v>
      </x:c>
      <x:c r="C984" s="8" t="n">
        <x:v>45325</x:v>
      </x:c>
      <x:c r="D984" s="4" t="str">
        <x:v>Sales operations manager</x:v>
      </x:c>
      <x:c r="E984" s="4" t="str">
        <x:v>WhatsApp transcribed</x:v>
      </x:c>
      <x:c r="F984" s="4" t="str">
        <x:v>Record captured</x:v>
      </x:c>
      <x:c r="G984" s="4" t="str">
        <x:v>Agreement signed</x:v>
      </x:c>
    </x:row>
    <x:row r="985" ht="34" customHeight="1">
      <x:c r="A985" s="4" t="str">
        <x:v>RS-00984-E1</x:v>
      </x:c>
      <x:c r="B985" s="4" t="str">
        <x:v>RS-00984</x:v>
      </x:c>
      <x:c r="C985" s="8" t="n">
        <x:v>45326</x:v>
      </x:c>
      <x:c r="D985" s="4" t="str">
        <x:v>Sales operations manager</x:v>
      </x:c>
      <x:c r="E985" s="4" t="str">
        <x:v>Paper transcribed</x:v>
      </x:c>
      <x:c r="F985" s="4" t="str">
        <x:v>Record captured</x:v>
      </x:c>
      <x:c r="G985" s="4" t="str">
        <x:v>Booked</x:v>
      </x:c>
    </x:row>
    <x:row r="986" ht="34" customHeight="1">
      <x:c r="A986" s="4" t="str">
        <x:v>RS-00985-E1</x:v>
      </x:c>
      <x:c r="B986" s="4" t="str">
        <x:v>RS-00985</x:v>
      </x:c>
      <x:c r="C986" s="8" t="n">
        <x:v>45327</x:v>
      </x:c>
      <x:c r="D986" s="4" t="str">
        <x:v>Sales operations manager</x:v>
      </x:c>
      <x:c r="E986" s="4" t="str">
        <x:v>WhatsApp transcribed</x:v>
      </x:c>
      <x:c r="F986" s="4" t="str">
        <x:v>Record captured</x:v>
      </x:c>
      <x:c r="G986" s="4" t="str">
        <x:v>Cancelled</x:v>
      </x:c>
    </x:row>
    <x:row r="987" ht="34" customHeight="1">
      <x:c r="A987" s="4" t="str">
        <x:v>RS-00986-E1</x:v>
      </x:c>
      <x:c r="B987" s="4" t="str">
        <x:v>RS-00986</x:v>
      </x:c>
      <x:c r="C987" s="8" t="n">
        <x:v>45328</x:v>
      </x:c>
      <x:c r="D987" s="4" t="str">
        <x:v>Sales operations manager</x:v>
      </x:c>
      <x:c r="E987" s="4" t="str">
        <x:v>Paper transcribed</x:v>
      </x:c>
      <x:c r="F987" s="4" t="str">
        <x:v>Record captured</x:v>
      </x:c>
      <x:c r="G987" s="4" t="str">
        <x:v>Enquiry</x:v>
      </x:c>
    </x:row>
    <x:row r="988" ht="34" customHeight="1">
      <x:c r="A988" s="4" t="str">
        <x:v>RS-00987-E1</x:v>
      </x:c>
      <x:c r="B988" s="4" t="str">
        <x:v>RS-00987</x:v>
      </x:c>
      <x:c r="C988" s="8" t="n">
        <x:v>45329</x:v>
      </x:c>
      <x:c r="D988" s="4" t="str">
        <x:v>Sales operations manager</x:v>
      </x:c>
      <x:c r="E988" s="4" t="str">
        <x:v>WhatsApp transcribed</x:v>
      </x:c>
      <x:c r="F988" s="4" t="str">
        <x:v>Record captured</x:v>
      </x:c>
      <x:c r="G988" s="4" t="str">
        <x:v>Reserved</x:v>
      </x:c>
    </x:row>
    <x:row r="989" ht="34" customHeight="1">
      <x:c r="A989" s="4" t="str">
        <x:v>RS-00988-E1</x:v>
      </x:c>
      <x:c r="B989" s="4" t="str">
        <x:v>RS-00988</x:v>
      </x:c>
      <x:c r="C989" s="8" t="n">
        <x:v>45330</x:v>
      </x:c>
      <x:c r="D989" s="4" t="str">
        <x:v>Sales operations manager</x:v>
      </x:c>
      <x:c r="E989" s="4" t="str">
        <x:v>Paper transcribed</x:v>
      </x:c>
      <x:c r="F989" s="4" t="str">
        <x:v>Record captured</x:v>
      </x:c>
      <x:c r="G989" s="4" t="str">
        <x:v>Handed over</x:v>
      </x:c>
    </x:row>
    <x:row r="990" ht="34" customHeight="1">
      <x:c r="A990" s="4" t="str">
        <x:v>RS-00989-E1</x:v>
      </x:c>
      <x:c r="B990" s="4" t="str">
        <x:v>RS-00989</x:v>
      </x:c>
      <x:c r="C990" s="8" t="n">
        <x:v>45331</x:v>
      </x:c>
      <x:c r="D990" s="4" t="str">
        <x:v>Sales operations manager</x:v>
      </x:c>
      <x:c r="E990" s="4" t="str">
        <x:v>Spreadsheet import</x:v>
      </x:c>
      <x:c r="F990" s="4" t="str">
        <x:v>Record captured</x:v>
      </x:c>
      <x:c r="G990" s="4" t="str">
        <x:v>Handed over</x:v>
      </x:c>
    </x:row>
    <x:row r="991" ht="34" customHeight="1">
      <x:c r="A991" s="4" t="str">
        <x:v>RS-00990-E1</x:v>
      </x:c>
      <x:c r="B991" s="4" t="str">
        <x:v>RS-00990</x:v>
      </x:c>
      <x:c r="C991" s="8" t="n">
        <x:v>45332</x:v>
      </x:c>
      <x:c r="D991" s="4" t="str">
        <x:v>Sales operations manager</x:v>
      </x:c>
      <x:c r="E991" s="4" t="str">
        <x:v>Paper transcribed</x:v>
      </x:c>
      <x:c r="F991" s="4" t="str">
        <x:v>Record captured</x:v>
      </x:c>
      <x:c r="G991" s="4" t="str">
        <x:v>Booked</x:v>
      </x:c>
    </x:row>
    <x:row r="992" ht="34" customHeight="1">
      <x:c r="A992" s="4" t="str">
        <x:v>RS-00991-E1</x:v>
      </x:c>
      <x:c r="B992" s="4" t="str">
        <x:v>RS-00991</x:v>
      </x:c>
      <x:c r="C992" s="8" t="n">
        <x:v>45333</x:v>
      </x:c>
      <x:c r="D992" s="4" t="str">
        <x:v>Sales operations manager</x:v>
      </x:c>
      <x:c r="E992" s="4" t="str">
        <x:v>ERP form</x:v>
      </x:c>
      <x:c r="F992" s="4" t="str">
        <x:v>Record captured</x:v>
      </x:c>
      <x:c r="G992" s="4" t="str">
        <x:v>Handed over</x:v>
      </x:c>
    </x:row>
    <x:row r="993" ht="34" customHeight="1">
      <x:c r="A993" s="4" t="str">
        <x:v>RS-00992-E1</x:v>
      </x:c>
      <x:c r="B993" s="4" t="str">
        <x:v>RS-00992</x:v>
      </x:c>
      <x:c r="C993" s="8" t="n">
        <x:v>45334</x:v>
      </x:c>
      <x:c r="D993" s="4" t="str">
        <x:v>Sales operations manager</x:v>
      </x:c>
      <x:c r="E993" s="4" t="str">
        <x:v>WhatsApp transcribed</x:v>
      </x:c>
      <x:c r="F993" s="4" t="str">
        <x:v>Record captured</x:v>
      </x:c>
      <x:c r="G993" s="4" t="str">
        <x:v>Agreement signed</x:v>
      </x:c>
    </x:row>
    <x:row r="994" ht="34" customHeight="1">
      <x:c r="A994" s="4" t="str">
        <x:v>RS-00993-E1</x:v>
      </x:c>
      <x:c r="B994" s="4" t="str">
        <x:v>RS-00993</x:v>
      </x:c>
      <x:c r="C994" s="8" t="n">
        <x:v>45335</x:v>
      </x:c>
      <x:c r="D994" s="4" t="str">
        <x:v>Sales operations manager</x:v>
      </x:c>
      <x:c r="E994" s="4" t="str">
        <x:v>Spreadsheet import</x:v>
      </x:c>
      <x:c r="F994" s="4" t="str">
        <x:v>Record captured</x:v>
      </x:c>
      <x:c r="G994" s="4" t="str">
        <x:v>Enquiry</x:v>
      </x:c>
    </x:row>
    <x:row r="995" ht="34" customHeight="1">
      <x:c r="A995" s="4" t="str">
        <x:v>RS-00994-E1</x:v>
      </x:c>
      <x:c r="B995" s="4" t="str">
        <x:v>RS-00994</x:v>
      </x:c>
      <x:c r="C995" s="8" t="n">
        <x:v>45336</x:v>
      </x:c>
      <x:c r="D995" s="4" t="str">
        <x:v>Sales operations manager</x:v>
      </x:c>
      <x:c r="E995" s="4" t="str">
        <x:v>Paper transcribed</x:v>
      </x:c>
      <x:c r="F995" s="4" t="str">
        <x:v>Record captured</x:v>
      </x:c>
      <x:c r="G995" s="4" t="str">
        <x:v>Reserved</x:v>
      </x:c>
    </x:row>
    <x:row r="996" ht="34" customHeight="1">
      <x:c r="A996" s="4" t="str">
        <x:v>RS-00995-E1</x:v>
      </x:c>
      <x:c r="B996" s="4" t="str">
        <x:v>RS-00995</x:v>
      </x:c>
      <x:c r="C996" s="8" t="n">
        <x:v>45337</x:v>
      </x:c>
      <x:c r="D996" s="4" t="str">
        <x:v>Sales operations manager</x:v>
      </x:c>
      <x:c r="E996" s="4" t="str">
        <x:v>ERP form</x:v>
      </x:c>
      <x:c r="F996" s="4" t="str">
        <x:v>Record captured</x:v>
      </x:c>
      <x:c r="G996" s="4" t="str">
        <x:v>Cancelled</x:v>
      </x:c>
    </x:row>
    <x:row r="997" ht="34" customHeight="1">
      <x:c r="A997" s="4" t="str">
        <x:v>RS-00996-E1</x:v>
      </x:c>
      <x:c r="B997" s="4" t="str">
        <x:v>RS-00996</x:v>
      </x:c>
      <x:c r="C997" s="8" t="n">
        <x:v>45338</x:v>
      </x:c>
      <x:c r="D997" s="4" t="str">
        <x:v>Sales operations manager</x:v>
      </x:c>
      <x:c r="E997" s="4" t="str">
        <x:v>Paper transcribed</x:v>
      </x:c>
      <x:c r="F997" s="4" t="str">
        <x:v>Record captured</x:v>
      </x:c>
      <x:c r="G997" s="4" t="str">
        <x:v>Cancelled</x:v>
      </x:c>
    </x:row>
    <x:row r="998" ht="34" customHeight="1">
      <x:c r="A998" s="4" t="str">
        <x:v>RS-00997-E1</x:v>
      </x:c>
      <x:c r="B998" s="4" t="str">
        <x:v>RS-00997</x:v>
      </x:c>
      <x:c r="C998" s="8" t="n">
        <x:v>45339</x:v>
      </x:c>
      <x:c r="D998" s="4" t="str">
        <x:v>Sales operations manager</x:v>
      </x:c>
      <x:c r="E998" s="4" t="str">
        <x:v>ERP form</x:v>
      </x:c>
      <x:c r="F998" s="4" t="str">
        <x:v>Record captured</x:v>
      </x:c>
      <x:c r="G998" s="4" t="str">
        <x:v>Handed over</x:v>
      </x:c>
    </x:row>
    <x:row r="999" ht="34" customHeight="1">
      <x:c r="A999" s="4" t="str">
        <x:v>RS-00998-E1</x:v>
      </x:c>
      <x:c r="B999" s="4" t="str">
        <x:v>RS-00998</x:v>
      </x:c>
      <x:c r="C999" s="8" t="n">
        <x:v>45340</x:v>
      </x:c>
      <x:c r="D999" s="4" t="str">
        <x:v>Sales operations manager</x:v>
      </x:c>
      <x:c r="E999" s="4" t="str">
        <x:v>Paper transcribed</x:v>
      </x:c>
      <x:c r="F999" s="4" t="str">
        <x:v>Record captured</x:v>
      </x:c>
      <x:c r="G999" s="4" t="str">
        <x:v>Reserved</x:v>
      </x:c>
    </x:row>
    <x:row r="1000" ht="34" customHeight="1">
      <x:c r="A1000" s="4" t="str">
        <x:v>RS-00999-E1</x:v>
      </x:c>
      <x:c r="B1000" s="4" t="str">
        <x:v>RS-00999</x:v>
      </x:c>
      <x:c r="C1000" s="8" t="n">
        <x:v>45341</x:v>
      </x:c>
      <x:c r="D1000" s="4" t="str">
        <x:v>Sales operations manager</x:v>
      </x:c>
      <x:c r="E1000" s="4" t="str">
        <x:v>ERP form</x:v>
      </x:c>
      <x:c r="F1000" s="4" t="str">
        <x:v>Record captured</x:v>
      </x:c>
      <x:c r="G1000" s="4" t="str">
        <x:v>Cancelled</x:v>
      </x:c>
    </x:row>
    <x:row r="1001" ht="34" customHeight="1">
      <x:c r="A1001" s="4" t="str">
        <x:v>RS-01000-E1</x:v>
      </x:c>
      <x:c r="B1001" s="4" t="str">
        <x:v>RS-01000</x:v>
      </x:c>
      <x:c r="C1001" s="8" t="n">
        <x:v>45342</x:v>
      </x:c>
      <x:c r="D1001" s="4" t="str">
        <x:v>Sales operations manager</x:v>
      </x:c>
      <x:c r="E1001" s="4" t="str">
        <x:v>Paper transcribed</x:v>
      </x:c>
      <x:c r="F1001" s="4" t="str">
        <x:v>Record captured</x:v>
      </x:c>
      <x:c r="G1001" s="4" t="str">
        <x:v>Booked</x:v>
      </x:c>
    </x:row>
    <x:row r="1002" ht="34" customHeight="1">
      <x:c r="A1002" s="4" t="str">
        <x:v>RS-01001-E1</x:v>
      </x:c>
      <x:c r="B1002" s="4" t="str">
        <x:v>RS-01001</x:v>
      </x:c>
      <x:c r="C1002" s="8" t="n">
        <x:v>45372</x:v>
      </x:c>
      <x:c r="D1002" s="4" t="str">
        <x:v>Sales operations manager</x:v>
      </x:c>
      <x:c r="E1002" s="4" t="str">
        <x:v>ERP form</x:v>
      </x:c>
      <x:c r="F1002" s="4" t="str">
        <x:v>Record captured</x:v>
      </x:c>
      <x:c r="G1002" s="4" t="str">
        <x:v>Reserved</x:v>
      </x:c>
    </x:row>
    <x:row r="1003" ht="34" customHeight="1">
      <x:c r="A1003" s="4" t="str">
        <x:v>RS-01002-E1</x:v>
      </x:c>
      <x:c r="B1003" s="4" t="str">
        <x:v>RS-01002</x:v>
      </x:c>
      <x:c r="C1003" s="8" t="n">
        <x:v>45373</x:v>
      </x:c>
      <x:c r="D1003" s="4" t="str">
        <x:v>Sales operations manager</x:v>
      </x:c>
      <x:c r="E1003" s="4" t="str">
        <x:v>ERP form</x:v>
      </x:c>
      <x:c r="F1003" s="4" t="str">
        <x:v>Record captured</x:v>
      </x:c>
      <x:c r="G1003" s="4" t="str">
        <x:v>Cancelled</x:v>
      </x:c>
    </x:row>
    <x:row r="1004" ht="34" customHeight="1">
      <x:c r="A1004" s="4" t="str">
        <x:v>RS-01003-E1</x:v>
      </x:c>
      <x:c r="B1004" s="4" t="str">
        <x:v>RS-01003</x:v>
      </x:c>
      <x:c r="C1004" s="8" t="n">
        <x:v>45374</x:v>
      </x:c>
      <x:c r="D1004" s="4" t="str">
        <x:v>Sales operations manager</x:v>
      </x:c>
      <x:c r="E1004" s="4" t="str">
        <x:v>Paper transcribed</x:v>
      </x:c>
      <x:c r="F1004" s="4" t="str">
        <x:v>Record captured</x:v>
      </x:c>
      <x:c r="G1004" s="4" t="str">
        <x:v>Handed over</x:v>
      </x:c>
    </x:row>
    <x:row r="1005" ht="34" customHeight="1">
      <x:c r="A1005" s="4" t="str">
        <x:v>RS-01004-E1</x:v>
      </x:c>
      <x:c r="B1005" s="4" t="str">
        <x:v>RS-01004</x:v>
      </x:c>
      <x:c r="C1005" s="8" t="n">
        <x:v>45375</x:v>
      </x:c>
      <x:c r="D1005" s="4" t="str">
        <x:v>Sales operations manager</x:v>
      </x:c>
      <x:c r="E1005" s="4" t="str">
        <x:v>Spreadsheet import</x:v>
      </x:c>
      <x:c r="F1005" s="4" t="str">
        <x:v>Record captured</x:v>
      </x:c>
      <x:c r="G1005" s="4" t="str">
        <x:v>Reserved</x:v>
      </x:c>
    </x:row>
    <x:row r="1006" ht="34" customHeight="1">
      <x:c r="A1006" s="4" t="str">
        <x:v>RS-01005-E1</x:v>
      </x:c>
      <x:c r="B1006" s="4" t="str">
        <x:v>RS-01005</x:v>
      </x:c>
      <x:c r="C1006" s="8" t="n">
        <x:v>45376</x:v>
      </x:c>
      <x:c r="D1006" s="4" t="str">
        <x:v>Sales operations manager</x:v>
      </x:c>
      <x:c r="E1006" s="4" t="str">
        <x:v>Spreadsheet import</x:v>
      </x:c>
      <x:c r="F1006" s="4" t="str">
        <x:v>Record captured</x:v>
      </x:c>
      <x:c r="G1006" s="4" t="str">
        <x:v>Cancelled</x:v>
      </x:c>
    </x:row>
    <x:row r="1007" ht="34" customHeight="1">
      <x:c r="A1007" s="4" t="str">
        <x:v>RS-01006-E1</x:v>
      </x:c>
      <x:c r="B1007" s="4" t="str">
        <x:v>RS-01006</x:v>
      </x:c>
      <x:c r="C1007" s="8" t="n">
        <x:v>45377</x:v>
      </x:c>
      <x:c r="D1007" s="4" t="str">
        <x:v>Sales operations manager</x:v>
      </x:c>
      <x:c r="E1007" s="4" t="str">
        <x:v>Paper transcribed</x:v>
      </x:c>
      <x:c r="F1007" s="4" t="str">
        <x:v>Record captured</x:v>
      </x:c>
      <x:c r="G1007" s="4" t="str">
        <x:v>Booked</x:v>
      </x:c>
    </x:row>
    <x:row r="1008" ht="34" customHeight="1">
      <x:c r="A1008" s="4" t="str">
        <x:v>RS-01007-E1</x:v>
      </x:c>
      <x:c r="B1008" s="4" t="str">
        <x:v>RS-01007</x:v>
      </x:c>
      <x:c r="C1008" s="8" t="n">
        <x:v>45378</x:v>
      </x:c>
      <x:c r="D1008" s="4" t="str">
        <x:v>Sales operations manager</x:v>
      </x:c>
      <x:c r="E1008" s="4" t="str">
        <x:v>Spreadsheet import</x:v>
      </x:c>
      <x:c r="F1008" s="4" t="str">
        <x:v>Record captured</x:v>
      </x:c>
      <x:c r="G1008" s="4" t="str">
        <x:v>Handed over</x:v>
      </x:c>
    </x:row>
    <x:row r="1009" ht="34" customHeight="1">
      <x:c r="A1009" s="4" t="str">
        <x:v>RS-01008-E1</x:v>
      </x:c>
      <x:c r="B1009" s="4" t="str">
        <x:v>RS-01008</x:v>
      </x:c>
      <x:c r="C1009" s="8" t="n">
        <x:v>45379</x:v>
      </x:c>
      <x:c r="D1009" s="4" t="str">
        <x:v>Sales operations manager</x:v>
      </x:c>
      <x:c r="E1009" s="4" t="str">
        <x:v>Paper transcribed</x:v>
      </x:c>
      <x:c r="F1009" s="4" t="str">
        <x:v>Record captured</x:v>
      </x:c>
      <x:c r="G1009" s="4" t="str">
        <x:v>Agreement signed</x:v>
      </x:c>
    </x:row>
    <x:row r="1010" ht="34" customHeight="1">
      <x:c r="A1010" s="4" t="str">
        <x:v>RS-01009-E1</x:v>
      </x:c>
      <x:c r="B1010" s="4" t="str">
        <x:v>RS-01009</x:v>
      </x:c>
      <x:c r="C1010" s="8" t="n">
        <x:v>45352</x:v>
      </x:c>
      <x:c r="D1010" s="4" t="str">
        <x:v>Sales operations manager</x:v>
      </x:c>
      <x:c r="E1010" s="4" t="str">
        <x:v>Spreadsheet import</x:v>
      </x:c>
      <x:c r="F1010" s="4" t="str">
        <x:v>Record captured</x:v>
      </x:c>
      <x:c r="G1010" s="4" t="str">
        <x:v>Enquiry</x:v>
      </x:c>
    </x:row>
    <x:row r="1011" ht="34" customHeight="1">
      <x:c r="A1011" s="4" t="str">
        <x:v>RS-01010-E1</x:v>
      </x:c>
      <x:c r="B1011" s="4" t="str">
        <x:v>RS-01010</x:v>
      </x:c>
      <x:c r="C1011" s="8" t="n">
        <x:v>45353</x:v>
      </x:c>
      <x:c r="D1011" s="4" t="str">
        <x:v>Sales operations manager</x:v>
      </x:c>
      <x:c r="E1011" s="4" t="str">
        <x:v>WhatsApp transcribed</x:v>
      </x:c>
      <x:c r="F1011" s="4" t="str">
        <x:v>Record captured</x:v>
      </x:c>
      <x:c r="G1011" s="4" t="str">
        <x:v>Handed over</x:v>
      </x:c>
    </x:row>
    <x:row r="1012" ht="34" customHeight="1">
      <x:c r="A1012" s="4" t="str">
        <x:v>RS-01011-E1</x:v>
      </x:c>
      <x:c r="B1012" s="4" t="str">
        <x:v>RS-01011</x:v>
      </x:c>
      <x:c r="C1012" s="8" t="n">
        <x:v>45354</x:v>
      </x:c>
      <x:c r="D1012" s="4" t="str">
        <x:v>Sales operations manager</x:v>
      </x:c>
      <x:c r="E1012" s="4" t="str">
        <x:v>ERP form</x:v>
      </x:c>
      <x:c r="F1012" s="4" t="str">
        <x:v>Record captured</x:v>
      </x:c>
      <x:c r="G1012" s="4" t="str">
        <x:v>Reserved</x:v>
      </x:c>
    </x:row>
    <x:row r="1013" ht="34" customHeight="1">
      <x:c r="A1013" s="4" t="str">
        <x:v>RS-01012-E1</x:v>
      </x:c>
      <x:c r="B1013" s="4" t="str">
        <x:v>RS-01012</x:v>
      </x:c>
      <x:c r="C1013" s="8" t="n">
        <x:v>45355</x:v>
      </x:c>
      <x:c r="D1013" s="4" t="str">
        <x:v>Sales operations manager</x:v>
      </x:c>
      <x:c r="E1013" s="4" t="str">
        <x:v>Spreadsheet import</x:v>
      </x:c>
      <x:c r="F1013" s="4" t="str">
        <x:v>Record captured</x:v>
      </x:c>
      <x:c r="G1013" s="4" t="str">
        <x:v>Agreement signed</x:v>
      </x:c>
    </x:row>
    <x:row r="1014" ht="34" customHeight="1">
      <x:c r="A1014" s="4" t="str">
        <x:v>RS-01013-E1</x:v>
      </x:c>
      <x:c r="B1014" s="4" t="str">
        <x:v>RS-01013</x:v>
      </x:c>
      <x:c r="C1014" s="8" t="n">
        <x:v>45356</x:v>
      </x:c>
      <x:c r="D1014" s="4" t="str">
        <x:v>Sales operations manager</x:v>
      </x:c>
      <x:c r="E1014" s="4" t="str">
        <x:v>Paper transcribed</x:v>
      </x:c>
      <x:c r="F1014" s="4" t="str">
        <x:v>Record captured</x:v>
      </x:c>
      <x:c r="G1014" s="4" t="str">
        <x:v>Agreement signed</x:v>
      </x:c>
    </x:row>
    <x:row r="1015" ht="34" customHeight="1">
      <x:c r="A1015" s="4" t="str">
        <x:v>RS-01014-E1</x:v>
      </x:c>
      <x:c r="B1015" s="4" t="str">
        <x:v>RS-01014</x:v>
      </x:c>
      <x:c r="C1015" s="8" t="n">
        <x:v>45357</x:v>
      </x:c>
      <x:c r="D1015" s="4" t="str">
        <x:v>Sales operations manager</x:v>
      </x:c>
      <x:c r="E1015" s="4" t="str">
        <x:v>Spreadsheet import</x:v>
      </x:c>
      <x:c r="F1015" s="4" t="str">
        <x:v>Record captured</x:v>
      </x:c>
      <x:c r="G1015" s="4" t="str">
        <x:v>Handed over</x:v>
      </x:c>
    </x:row>
    <x:row r="1016" ht="34" customHeight="1">
      <x:c r="A1016" s="4" t="str">
        <x:v>RS-01015-E1</x:v>
      </x:c>
      <x:c r="B1016" s="4" t="str">
        <x:v>RS-01015</x:v>
      </x:c>
      <x:c r="C1016" s="8" t="n">
        <x:v>45358</x:v>
      </x:c>
      <x:c r="D1016" s="4" t="str">
        <x:v>Sales operations manager</x:v>
      </x:c>
      <x:c r="E1016" s="4" t="str">
        <x:v>Spreadsheet import</x:v>
      </x:c>
      <x:c r="F1016" s="4" t="str">
        <x:v>Record captured</x:v>
      </x:c>
      <x:c r="G1016" s="4" t="str">
        <x:v>Agreement signed</x:v>
      </x:c>
    </x:row>
    <x:row r="1017" ht="34" customHeight="1">
      <x:c r="A1017" s="4" t="str">
        <x:v>RS-01016-E1</x:v>
      </x:c>
      <x:c r="B1017" s="4" t="str">
        <x:v>RS-01016</x:v>
      </x:c>
      <x:c r="C1017" s="8" t="n">
        <x:v>45359</x:v>
      </x:c>
      <x:c r="D1017" s="4" t="str">
        <x:v>Sales operations manager</x:v>
      </x:c>
      <x:c r="E1017" s="4" t="str">
        <x:v>Paper transcribed</x:v>
      </x:c>
      <x:c r="F1017" s="4" t="str">
        <x:v>Record captured</x:v>
      </x:c>
      <x:c r="G1017" s="4" t="str">
        <x:v>Cancelled</x:v>
      </x:c>
    </x:row>
    <x:row r="1018" ht="34" customHeight="1">
      <x:c r="A1018" s="4" t="str">
        <x:v>RS-01017-E1</x:v>
      </x:c>
      <x:c r="B1018" s="4" t="str">
        <x:v>RS-01017</x:v>
      </x:c>
      <x:c r="C1018" s="8" t="n">
        <x:v>45360</x:v>
      </x:c>
      <x:c r="D1018" s="4" t="str">
        <x:v>Sales operations manager</x:v>
      </x:c>
      <x:c r="E1018" s="4" t="str">
        <x:v>Paper transcribed</x:v>
      </x:c>
      <x:c r="F1018" s="4" t="str">
        <x:v>Record captured</x:v>
      </x:c>
      <x:c r="G1018" s="4" t="str">
        <x:v>Booked</x:v>
      </x:c>
    </x:row>
    <x:row r="1019" ht="34" customHeight="1">
      <x:c r="A1019" s="4" t="str">
        <x:v>RS-01018-E1</x:v>
      </x:c>
      <x:c r="B1019" s="4" t="str">
        <x:v>RS-01018</x:v>
      </x:c>
      <x:c r="C1019" s="8" t="n">
        <x:v>45361</x:v>
      </x:c>
      <x:c r="D1019" s="4" t="str">
        <x:v>Sales operations manager</x:v>
      </x:c>
      <x:c r="E1019" s="4" t="str">
        <x:v>ERP form</x:v>
      </x:c>
      <x:c r="F1019" s="4" t="str">
        <x:v>Record captured</x:v>
      </x:c>
      <x:c r="G1019" s="4" t="str">
        <x:v>Reserved</x:v>
      </x:c>
    </x:row>
    <x:row r="1020" ht="34" customHeight="1">
      <x:c r="A1020" s="4" t="str">
        <x:v>RS-01019-E1</x:v>
      </x:c>
      <x:c r="B1020" s="4" t="str">
        <x:v>RS-01019</x:v>
      </x:c>
      <x:c r="C1020" s="8" t="n">
        <x:v>45362</x:v>
      </x:c>
      <x:c r="D1020" s="4" t="str">
        <x:v>Sales operations manager</x:v>
      </x:c>
      <x:c r="E1020" s="4" t="str">
        <x:v>ERP form</x:v>
      </x:c>
      <x:c r="F1020" s="4" t="str">
        <x:v>Record captured</x:v>
      </x:c>
      <x:c r="G1020" s="4" t="str">
        <x:v>Enquiry</x:v>
      </x:c>
    </x:row>
    <x:row r="1021" ht="34" customHeight="1">
      <x:c r="A1021" s="4" t="str">
        <x:v>RS-01020-E1</x:v>
      </x:c>
      <x:c r="B1021" s="4" t="str">
        <x:v>RS-01020</x:v>
      </x:c>
      <x:c r="C1021" s="8" t="n">
        <x:v>45363</x:v>
      </x:c>
      <x:c r="D1021" s="4" t="str">
        <x:v>Sales operations manager</x:v>
      </x:c>
      <x:c r="E1021" s="4" t="str">
        <x:v>Spreadsheet import</x:v>
      </x:c>
      <x:c r="F1021" s="4" t="str">
        <x:v>Record captured</x:v>
      </x:c>
      <x:c r="G1021" s="4" t="str">
        <x:v>Reserved</x:v>
      </x:c>
    </x:row>
    <x:row r="1022" ht="34" customHeight="1">
      <x:c r="A1022" s="4" t="str">
        <x:v>RS-01021-E1</x:v>
      </x:c>
      <x:c r="B1022" s="4" t="str">
        <x:v>RS-01021</x:v>
      </x:c>
      <x:c r="C1022" s="8" t="n">
        <x:v>45364</x:v>
      </x:c>
      <x:c r="D1022" s="4" t="str">
        <x:v>Sales operations manager</x:v>
      </x:c>
      <x:c r="E1022" s="4" t="str">
        <x:v>Paper transcribed</x:v>
      </x:c>
      <x:c r="F1022" s="4" t="str">
        <x:v>Record captured</x:v>
      </x:c>
      <x:c r="G1022" s="4" t="str">
        <x:v>Cancelled</x:v>
      </x:c>
    </x:row>
    <x:row r="1023" ht="34" customHeight="1">
      <x:c r="A1023" s="4" t="str">
        <x:v>RS-01022-E1</x:v>
      </x:c>
      <x:c r="B1023" s="4" t="str">
        <x:v>RS-01022</x:v>
      </x:c>
      <x:c r="C1023" s="8" t="n">
        <x:v>45365</x:v>
      </x:c>
      <x:c r="D1023" s="4" t="str">
        <x:v>Sales operations manager</x:v>
      </x:c>
      <x:c r="E1023" s="4" t="str">
        <x:v>Spreadsheet import</x:v>
      </x:c>
      <x:c r="F1023" s="4" t="str">
        <x:v>Record captured</x:v>
      </x:c>
      <x:c r="G1023" s="4" t="str">
        <x:v>Enquiry</x:v>
      </x:c>
    </x:row>
    <x:row r="1024" ht="34" customHeight="1">
      <x:c r="A1024" s="4" t="str">
        <x:v>RS-01023-E1</x:v>
      </x:c>
      <x:c r="B1024" s="4" t="str">
        <x:v>RS-01023</x:v>
      </x:c>
      <x:c r="C1024" s="8" t="n">
        <x:v>45366</x:v>
      </x:c>
      <x:c r="D1024" s="4" t="str">
        <x:v>Sales operations manager</x:v>
      </x:c>
      <x:c r="E1024" s="4" t="str">
        <x:v>ERP form</x:v>
      </x:c>
      <x:c r="F1024" s="4" t="str">
        <x:v>Record captured</x:v>
      </x:c>
      <x:c r="G1024" s="4" t="str">
        <x:v>Cancelled</x:v>
      </x:c>
    </x:row>
    <x:row r="1025" ht="34" customHeight="1">
      <x:c r="A1025" s="4" t="str">
        <x:v>RS-01024-E1</x:v>
      </x:c>
      <x:c r="B1025" s="4" t="str">
        <x:v>RS-01024</x:v>
      </x:c>
      <x:c r="C1025" s="8" t="n">
        <x:v>45367</x:v>
      </x:c>
      <x:c r="D1025" s="4" t="str">
        <x:v>Sales operations manager</x:v>
      </x:c>
      <x:c r="E1025" s="4" t="str">
        <x:v>ERP form</x:v>
      </x:c>
      <x:c r="F1025" s="4" t="str">
        <x:v>Record captured</x:v>
      </x:c>
      <x:c r="G1025" s="4" t="str">
        <x:v>Cancelled</x:v>
      </x:c>
    </x:row>
    <x:row r="1026" ht="34" customHeight="1">
      <x:c r="A1026" s="4" t="str">
        <x:v>RS-01025-E1</x:v>
      </x:c>
      <x:c r="B1026" s="4" t="str">
        <x:v>RS-01025</x:v>
      </x:c>
      <x:c r="C1026" s="8" t="n">
        <x:v>45368</x:v>
      </x:c>
      <x:c r="D1026" s="4" t="str">
        <x:v>Sales operations manager</x:v>
      </x:c>
      <x:c r="E1026" s="4" t="str">
        <x:v>WhatsApp transcribed</x:v>
      </x:c>
      <x:c r="F1026" s="4" t="str">
        <x:v>Record captured</x:v>
      </x:c>
      <x:c r="G1026" s="4" t="str">
        <x:v>Handed over</x:v>
      </x:c>
    </x:row>
    <x:row r="1027" ht="34" customHeight="1">
      <x:c r="A1027" s="4" t="str">
        <x:v>RS-01026-E1</x:v>
      </x:c>
      <x:c r="B1027" s="4" t="str">
        <x:v>RS-01026</x:v>
      </x:c>
      <x:c r="C1027" s="8" t="n">
        <x:v>45369</x:v>
      </x:c>
      <x:c r="D1027" s="4" t="str">
        <x:v>Sales operations manager</x:v>
      </x:c>
      <x:c r="E1027" s="4" t="str">
        <x:v>ERP form</x:v>
      </x:c>
      <x:c r="F1027" s="4" t="str">
        <x:v>Record captured</x:v>
      </x:c>
      <x:c r="G1027" s="4" t="str">
        <x:v>Reserved</x:v>
      </x:c>
    </x:row>
    <x:row r="1028" ht="34" customHeight="1">
      <x:c r="A1028" s="4" t="str">
        <x:v>RS-01027-E1</x:v>
      </x:c>
      <x:c r="B1028" s="4" t="str">
        <x:v>RS-01027</x:v>
      </x:c>
      <x:c r="C1028" s="8" t="n">
        <x:v>45370</x:v>
      </x:c>
      <x:c r="D1028" s="4" t="str">
        <x:v>Sales operations manager</x:v>
      </x:c>
      <x:c r="E1028" s="4" t="str">
        <x:v>Paper transcribed</x:v>
      </x:c>
      <x:c r="F1028" s="4" t="str">
        <x:v>Record captured</x:v>
      </x:c>
      <x:c r="G1028" s="4" t="str">
        <x:v>Agreement signed</x:v>
      </x:c>
    </x:row>
    <x:row r="1029" ht="34" customHeight="1">
      <x:c r="A1029" s="4" t="str">
        <x:v>RS-01028-E1</x:v>
      </x:c>
      <x:c r="B1029" s="4" t="str">
        <x:v>RS-01028</x:v>
      </x:c>
      <x:c r="C1029" s="8" t="n">
        <x:v>45371</x:v>
      </x:c>
      <x:c r="D1029" s="4" t="str">
        <x:v>Sales operations manager</x:v>
      </x:c>
      <x:c r="E1029" s="4" t="str">
        <x:v>WhatsApp transcribed</x:v>
      </x:c>
      <x:c r="F1029" s="4" t="str">
        <x:v>Record captured</x:v>
      </x:c>
      <x:c r="G1029" s="4" t="str">
        <x:v>Cancelled</x:v>
      </x:c>
    </x:row>
    <x:row r="1030" ht="34" customHeight="1">
      <x:c r="A1030" s="4" t="str">
        <x:v>RS-01029-E1</x:v>
      </x:c>
      <x:c r="B1030" s="4" t="str">
        <x:v>RS-01029</x:v>
      </x:c>
      <x:c r="C1030" s="8" t="n">
        <x:v>45372</x:v>
      </x:c>
      <x:c r="D1030" s="4" t="str">
        <x:v>Sales operations manager</x:v>
      </x:c>
      <x:c r="E1030" s="4" t="str">
        <x:v>Paper transcribed</x:v>
      </x:c>
      <x:c r="F1030" s="4" t="str">
        <x:v>Record captured</x:v>
      </x:c>
      <x:c r="G1030" s="4" t="str">
        <x:v>Handed over</x:v>
      </x:c>
    </x:row>
    <x:row r="1031" ht="34" customHeight="1">
      <x:c r="A1031" s="4" t="str">
        <x:v>RS-01030-E1</x:v>
      </x:c>
      <x:c r="B1031" s="4" t="str">
        <x:v>RS-01030</x:v>
      </x:c>
      <x:c r="C1031" s="8" t="n">
        <x:v>45373</x:v>
      </x:c>
      <x:c r="D1031" s="4" t="str">
        <x:v>Sales operations manager</x:v>
      </x:c>
      <x:c r="E1031" s="4" t="str">
        <x:v>WhatsApp transcribed</x:v>
      </x:c>
      <x:c r="F1031" s="4" t="str">
        <x:v>Record captured</x:v>
      </x:c>
      <x:c r="G1031" s="4" t="str">
        <x:v>Booked</x:v>
      </x:c>
    </x:row>
    <x:row r="1032" ht="34" customHeight="1">
      <x:c r="A1032" s="4" t="str">
        <x:v>RS-01031-E1</x:v>
      </x:c>
      <x:c r="B1032" s="4" t="str">
        <x:v>RS-01031</x:v>
      </x:c>
      <x:c r="C1032" s="8" t="n">
        <x:v>45374</x:v>
      </x:c>
      <x:c r="D1032" s="4" t="str">
        <x:v>Sales operations manager</x:v>
      </x:c>
      <x:c r="E1032" s="4" t="str">
        <x:v>ERP form</x:v>
      </x:c>
      <x:c r="F1032" s="4" t="str">
        <x:v>Record captured</x:v>
      </x:c>
      <x:c r="G1032" s="4" t="str">
        <x:v>Reserved</x:v>
      </x:c>
    </x:row>
    <x:row r="1033" ht="34" customHeight="1">
      <x:c r="A1033" s="4" t="str">
        <x:v>RS-01032-E1</x:v>
      </x:c>
      <x:c r="B1033" s="4" t="str">
        <x:v>RS-01032</x:v>
      </x:c>
      <x:c r="C1033" s="8" t="n">
        <x:v>45375</x:v>
      </x:c>
      <x:c r="D1033" s="4" t="str">
        <x:v>Sales operations manager</x:v>
      </x:c>
      <x:c r="E1033" s="4" t="str">
        <x:v>WhatsApp transcribed</x:v>
      </x:c>
      <x:c r="F1033" s="4" t="str">
        <x:v>Record captured</x:v>
      </x:c>
      <x:c r="G1033" s="4" t="str">
        <x:v>Booked</x:v>
      </x:c>
    </x:row>
    <x:row r="1034" ht="34" customHeight="1">
      <x:c r="A1034" s="4" t="str">
        <x:v>RS-01033-E1</x:v>
      </x:c>
      <x:c r="B1034" s="4" t="str">
        <x:v>RS-01033</x:v>
      </x:c>
      <x:c r="C1034" s="8" t="n">
        <x:v>45376</x:v>
      </x:c>
      <x:c r="D1034" s="4" t="str">
        <x:v>Sales operations manager</x:v>
      </x:c>
      <x:c r="E1034" s="4" t="str">
        <x:v>Paper transcribed</x:v>
      </x:c>
      <x:c r="F1034" s="4" t="str">
        <x:v>Record captured</x:v>
      </x:c>
      <x:c r="G1034" s="4" t="str">
        <x:v>Enquiry</x:v>
      </x:c>
    </x:row>
    <x:row r="1035" ht="34" customHeight="1">
      <x:c r="A1035" s="4" t="str">
        <x:v>RS-01034-E1</x:v>
      </x:c>
      <x:c r="B1035" s="4" t="str">
        <x:v>RS-01034</x:v>
      </x:c>
      <x:c r="C1035" s="8" t="n">
        <x:v>45377</x:v>
      </x:c>
      <x:c r="D1035" s="4" t="str">
        <x:v>Sales operations manager</x:v>
      </x:c>
      <x:c r="E1035" s="4" t="str">
        <x:v>ERP form</x:v>
      </x:c>
      <x:c r="F1035" s="4" t="str">
        <x:v>Record captured</x:v>
      </x:c>
      <x:c r="G1035" s="4" t="str">
        <x:v>Agreement signed</x:v>
      </x:c>
    </x:row>
    <x:row r="1036" ht="34" customHeight="1">
      <x:c r="A1036" s="4" t="str">
        <x:v>RS-01035-E1</x:v>
      </x:c>
      <x:c r="B1036" s="4" t="str">
        <x:v>RS-01035</x:v>
      </x:c>
      <x:c r="C1036" s="8" t="n">
        <x:v>45378</x:v>
      </x:c>
      <x:c r="D1036" s="4" t="str">
        <x:v>Sales operations manager</x:v>
      </x:c>
      <x:c r="E1036" s="4" t="str">
        <x:v>Paper transcribed</x:v>
      </x:c>
      <x:c r="F1036" s="4" t="str">
        <x:v>Record captured</x:v>
      </x:c>
      <x:c r="G1036" s="4" t="str">
        <x:v>Cancelled</x:v>
      </x:c>
    </x:row>
    <x:row r="1037" ht="34" customHeight="1">
      <x:c r="A1037" s="4" t="str">
        <x:v>RS-01036-E1</x:v>
      </x:c>
      <x:c r="B1037" s="4" t="str">
        <x:v>RS-01036</x:v>
      </x:c>
      <x:c r="C1037" s="8" t="n">
        <x:v>45379</x:v>
      </x:c>
      <x:c r="D1037" s="4" t="str">
        <x:v>Sales operations manager</x:v>
      </x:c>
      <x:c r="E1037" s="4" t="str">
        <x:v>ERP form</x:v>
      </x:c>
      <x:c r="F1037" s="4" t="str">
        <x:v>Record captured</x:v>
      </x:c>
      <x:c r="G1037" s="4" t="str">
        <x:v>Agreement signed</x:v>
      </x:c>
    </x:row>
    <x:row r="1038" ht="34" customHeight="1">
      <x:c r="A1038" s="4" t="str">
        <x:v>RS-01037-E1</x:v>
      </x:c>
      <x:c r="B1038" s="4" t="str">
        <x:v>RS-01037</x:v>
      </x:c>
      <x:c r="C1038" s="8" t="n">
        <x:v>45352</x:v>
      </x:c>
      <x:c r="D1038" s="4" t="str">
        <x:v>Sales operations manager</x:v>
      </x:c>
      <x:c r="E1038" s="4" t="str">
        <x:v>Paper transcribed</x:v>
      </x:c>
      <x:c r="F1038" s="4" t="str">
        <x:v>Record captured</x:v>
      </x:c>
      <x:c r="G1038" s="4" t="str">
        <x:v>Agreement signed</x:v>
      </x:c>
    </x:row>
    <x:row r="1039" ht="34" customHeight="1">
      <x:c r="A1039" s="4" t="str">
        <x:v>RS-01038-E1</x:v>
      </x:c>
      <x:c r="B1039" s="4" t="str">
        <x:v>RS-01038</x:v>
      </x:c>
      <x:c r="C1039" s="8" t="n">
        <x:v>45353</x:v>
      </x:c>
      <x:c r="D1039" s="4" t="str">
        <x:v>Sales operations manager</x:v>
      </x:c>
      <x:c r="E1039" s="4" t="str">
        <x:v>Spreadsheet import</x:v>
      </x:c>
      <x:c r="F1039" s="4" t="str">
        <x:v>Record captured</x:v>
      </x:c>
      <x:c r="G1039" s="4" t="str">
        <x:v>Agreement signed</x:v>
      </x:c>
    </x:row>
    <x:row r="1040" ht="34" customHeight="1">
      <x:c r="A1040" s="4" t="str">
        <x:v>RS-01039-E1</x:v>
      </x:c>
      <x:c r="B1040" s="4" t="str">
        <x:v>RS-01039</x:v>
      </x:c>
      <x:c r="C1040" s="8" t="n">
        <x:v>45354</x:v>
      </x:c>
      <x:c r="D1040" s="4" t="str">
        <x:v>Sales operations manager</x:v>
      </x:c>
      <x:c r="E1040" s="4" t="str">
        <x:v>ERP form</x:v>
      </x:c>
      <x:c r="F1040" s="4" t="str">
        <x:v>Record captured</x:v>
      </x:c>
      <x:c r="G1040" s="4" t="str">
        <x:v>Handed over</x:v>
      </x:c>
    </x:row>
    <x:row r="1041" ht="34" customHeight="1">
      <x:c r="A1041" s="4" t="str">
        <x:v>RS-01040-E1</x:v>
      </x:c>
      <x:c r="B1041" s="4" t="str">
        <x:v>RS-01040</x:v>
      </x:c>
      <x:c r="C1041" s="8" t="n">
        <x:v>45355</x:v>
      </x:c>
      <x:c r="D1041" s="4" t="str">
        <x:v>Sales operations manager</x:v>
      </x:c>
      <x:c r="E1041" s="4" t="str">
        <x:v>ERP form</x:v>
      </x:c>
      <x:c r="F1041" s="4" t="str">
        <x:v>Record captured</x:v>
      </x:c>
      <x:c r="G1041" s="4" t="str">
        <x:v>Cancelled</x:v>
      </x:c>
    </x:row>
    <x:row r="1042" ht="34" customHeight="1">
      <x:c r="A1042" s="4" t="str">
        <x:v>RS-01041-E1</x:v>
      </x:c>
      <x:c r="B1042" s="4" t="str">
        <x:v>RS-01041</x:v>
      </x:c>
      <x:c r="C1042" s="8" t="n">
        <x:v>45356</x:v>
      </x:c>
      <x:c r="D1042" s="4" t="str">
        <x:v>Sales operations manager</x:v>
      </x:c>
      <x:c r="E1042" s="4" t="str">
        <x:v>Paper transcribed</x:v>
      </x:c>
      <x:c r="F1042" s="4" t="str">
        <x:v>Record captured</x:v>
      </x:c>
      <x:c r="G1042" s="4" t="str">
        <x:v>Booked</x:v>
      </x:c>
    </x:row>
    <x:row r="1043" ht="34" customHeight="1">
      <x:c r="A1043" s="4" t="str">
        <x:v>RS-01042-E1</x:v>
      </x:c>
      <x:c r="B1043" s="4" t="str">
        <x:v>RS-01042</x:v>
      </x:c>
      <x:c r="C1043" s="8" t="n">
        <x:v>45357</x:v>
      </x:c>
      <x:c r="D1043" s="4" t="str">
        <x:v>Sales operations manager</x:v>
      </x:c>
      <x:c r="E1043" s="4" t="str">
        <x:v>Paper transcribed</x:v>
      </x:c>
      <x:c r="F1043" s="4" t="str">
        <x:v>Record captured</x:v>
      </x:c>
      <x:c r="G1043" s="4" t="str">
        <x:v>Reserved</x:v>
      </x:c>
    </x:row>
    <x:row r="1044" ht="34" customHeight="1">
      <x:c r="A1044" s="4" t="str">
        <x:v>RS-01043-E1</x:v>
      </x:c>
      <x:c r="B1044" s="4" t="str">
        <x:v>RS-01043</x:v>
      </x:c>
      <x:c r="C1044" s="8" t="n">
        <x:v>45358</x:v>
      </x:c>
      <x:c r="D1044" s="4" t="str">
        <x:v>Sales operations manager</x:v>
      </x:c>
      <x:c r="E1044" s="4" t="str">
        <x:v>Paper transcribed</x:v>
      </x:c>
      <x:c r="F1044" s="4" t="str">
        <x:v>Record captured</x:v>
      </x:c>
      <x:c r="G1044" s="4" t="str">
        <x:v>Agreement signed</x:v>
      </x:c>
    </x:row>
    <x:row r="1045" ht="34" customHeight="1">
      <x:c r="A1045" s="4" t="str">
        <x:v>RS-01044-E1</x:v>
      </x:c>
      <x:c r="B1045" s="4" t="str">
        <x:v>RS-01044</x:v>
      </x:c>
      <x:c r="C1045" s="8" t="n">
        <x:v>45359</x:v>
      </x:c>
      <x:c r="D1045" s="4" t="str">
        <x:v>Sales operations manager</x:v>
      </x:c>
      <x:c r="E1045" s="4" t="str">
        <x:v>Paper transcribed</x:v>
      </x:c>
      <x:c r="F1045" s="4" t="str">
        <x:v>Record captured</x:v>
      </x:c>
      <x:c r="G1045" s="4" t="str">
        <x:v>Handed over</x:v>
      </x:c>
    </x:row>
    <x:row r="1046" ht="34" customHeight="1">
      <x:c r="A1046" s="4" t="str">
        <x:v>RS-01045-E1</x:v>
      </x:c>
      <x:c r="B1046" s="4" t="str">
        <x:v>RS-01045</x:v>
      </x:c>
      <x:c r="C1046" s="8" t="n">
        <x:v>45360</x:v>
      </x:c>
      <x:c r="D1046" s="4" t="str">
        <x:v>Sales operations manager</x:v>
      </x:c>
      <x:c r="E1046" s="4" t="str">
        <x:v>ERP form</x:v>
      </x:c>
      <x:c r="F1046" s="4" t="str">
        <x:v>Record captured</x:v>
      </x:c>
      <x:c r="G1046" s="4" t="str">
        <x:v>Reserved</x:v>
      </x:c>
    </x:row>
    <x:row r="1047" ht="34" customHeight="1">
      <x:c r="A1047" s="4" t="str">
        <x:v>RS-01046-E1</x:v>
      </x:c>
      <x:c r="B1047" s="4" t="str">
        <x:v>RS-01046</x:v>
      </x:c>
      <x:c r="C1047" s="8" t="n">
        <x:v>45361</x:v>
      </x:c>
      <x:c r="D1047" s="4" t="str">
        <x:v>Sales operations manager</x:v>
      </x:c>
      <x:c r="E1047" s="4" t="str">
        <x:v>Paper transcribed</x:v>
      </x:c>
      <x:c r="F1047" s="4" t="str">
        <x:v>Record captured</x:v>
      </x:c>
      <x:c r="G1047" s="4" t="str">
        <x:v>Agreement signed</x:v>
      </x:c>
    </x:row>
    <x:row r="1048" ht="34" customHeight="1">
      <x:c r="A1048" s="4" t="str">
        <x:v>RS-01047-E1</x:v>
      </x:c>
      <x:c r="B1048" s="4" t="str">
        <x:v>RS-01047</x:v>
      </x:c>
      <x:c r="C1048" s="8" t="n">
        <x:v>45362</x:v>
      </x:c>
      <x:c r="D1048" s="4" t="str">
        <x:v>Sales operations manager</x:v>
      </x:c>
      <x:c r="E1048" s="4" t="str">
        <x:v>Spreadsheet import</x:v>
      </x:c>
      <x:c r="F1048" s="4" t="str">
        <x:v>Record captured</x:v>
      </x:c>
      <x:c r="G1048" s="4" t="str">
        <x:v>Handed over</x:v>
      </x:c>
    </x:row>
    <x:row r="1049" ht="34" customHeight="1">
      <x:c r="A1049" s="4" t="str">
        <x:v>RS-01048-E1</x:v>
      </x:c>
      <x:c r="B1049" s="4" t="str">
        <x:v>RS-01048</x:v>
      </x:c>
      <x:c r="C1049" s="8" t="n">
        <x:v>45363</x:v>
      </x:c>
      <x:c r="D1049" s="4" t="str">
        <x:v>Sales operations manager</x:v>
      </x:c>
      <x:c r="E1049" s="4" t="str">
        <x:v>ERP form</x:v>
      </x:c>
      <x:c r="F1049" s="4" t="str">
        <x:v>Record captured</x:v>
      </x:c>
      <x:c r="G1049" s="4" t="str">
        <x:v>Handed over</x:v>
      </x:c>
    </x:row>
    <x:row r="1050" ht="34" customHeight="1">
      <x:c r="A1050" s="4" t="str">
        <x:v>RS-01049-E1</x:v>
      </x:c>
      <x:c r="B1050" s="4" t="str">
        <x:v>RS-01049</x:v>
      </x:c>
      <x:c r="C1050" s="8" t="n">
        <x:v>45364</x:v>
      </x:c>
      <x:c r="D1050" s="4" t="str">
        <x:v>Sales operations manager</x:v>
      </x:c>
      <x:c r="E1050" s="4" t="str">
        <x:v>Spreadsheet import</x:v>
      </x:c>
      <x:c r="F1050" s="4" t="str">
        <x:v>Record captured</x:v>
      </x:c>
      <x:c r="G1050" s="4" t="str">
        <x:v>Cancelled</x:v>
      </x:c>
    </x:row>
    <x:row r="1051" ht="34" customHeight="1">
      <x:c r="A1051" s="4" t="str">
        <x:v>RS-01050-E1</x:v>
      </x:c>
      <x:c r="B1051" s="4" t="str">
        <x:v>RS-01050</x:v>
      </x:c>
      <x:c r="C1051" s="8" t="n">
        <x:v>45365</x:v>
      </x:c>
      <x:c r="D1051" s="4" t="str">
        <x:v>Sales operations manager</x:v>
      </x:c>
      <x:c r="E1051" s="4" t="str">
        <x:v>Spreadsheet import</x:v>
      </x:c>
      <x:c r="F1051" s="4" t="str">
        <x:v>Record captured</x:v>
      </x:c>
      <x:c r="G1051" s="4" t="str">
        <x:v>Booked</x:v>
      </x:c>
    </x:row>
    <x:row r="1052" ht="34" customHeight="1">
      <x:c r="A1052" s="4" t="str">
        <x:v>RS-01051-E1</x:v>
      </x:c>
      <x:c r="B1052" s="4" t="str">
        <x:v>RS-01051</x:v>
      </x:c>
      <x:c r="C1052" s="8" t="n">
        <x:v>45366</x:v>
      </x:c>
      <x:c r="D1052" s="4" t="str">
        <x:v>Sales operations manager</x:v>
      </x:c>
      <x:c r="E1052" s="4" t="str">
        <x:v>WhatsApp transcribed</x:v>
      </x:c>
      <x:c r="F1052" s="4" t="str">
        <x:v>Record captured</x:v>
      </x:c>
      <x:c r="G1052" s="4" t="str">
        <x:v>Reserved</x:v>
      </x:c>
    </x:row>
    <x:row r="1053" ht="34" customHeight="1">
      <x:c r="A1053" s="4" t="str">
        <x:v>RS-01052-E1</x:v>
      </x:c>
      <x:c r="B1053" s="4" t="str">
        <x:v>RS-01052</x:v>
      </x:c>
      <x:c r="C1053" s="8" t="n">
        <x:v>45367</x:v>
      </x:c>
      <x:c r="D1053" s="4" t="str">
        <x:v>Sales operations manager</x:v>
      </x:c>
      <x:c r="E1053" s="4" t="str">
        <x:v>Paper transcribed</x:v>
      </x:c>
      <x:c r="F1053" s="4" t="str">
        <x:v>Record captured</x:v>
      </x:c>
      <x:c r="G1053" s="4" t="str">
        <x:v>Enquiry</x:v>
      </x:c>
    </x:row>
    <x:row r="1054" ht="34" customHeight="1">
      <x:c r="A1054" s="4" t="str">
        <x:v>RS-01053-E1</x:v>
      </x:c>
      <x:c r="B1054" s="4" t="str">
        <x:v>RS-01053</x:v>
      </x:c>
      <x:c r="C1054" s="8" t="n">
        <x:v>45368</x:v>
      </x:c>
      <x:c r="D1054" s="4" t="str">
        <x:v>Sales operations manager</x:v>
      </x:c>
      <x:c r="E1054" s="4" t="str">
        <x:v>WhatsApp transcribed</x:v>
      </x:c>
      <x:c r="F1054" s="4" t="str">
        <x:v>Record captured</x:v>
      </x:c>
      <x:c r="G1054" s="4" t="str">
        <x:v>Reserved</x:v>
      </x:c>
    </x:row>
    <x:row r="1055" ht="34" customHeight="1">
      <x:c r="A1055" s="4" t="str">
        <x:v>RS-01054-E1</x:v>
      </x:c>
      <x:c r="B1055" s="4" t="str">
        <x:v>RS-01054</x:v>
      </x:c>
      <x:c r="C1055" s="8" t="n">
        <x:v>45369</x:v>
      </x:c>
      <x:c r="D1055" s="4" t="str">
        <x:v>Sales operations manager</x:v>
      </x:c>
      <x:c r="E1055" s="4" t="str">
        <x:v>ERP form</x:v>
      </x:c>
      <x:c r="F1055" s="4" t="str">
        <x:v>Record captured</x:v>
      </x:c>
      <x:c r="G1055" s="4" t="str">
        <x:v>Agreement signed</x:v>
      </x:c>
    </x:row>
    <x:row r="1056" ht="34" customHeight="1">
      <x:c r="A1056" s="4" t="str">
        <x:v>RS-01055-E1</x:v>
      </x:c>
      <x:c r="B1056" s="4" t="str">
        <x:v>RS-01055</x:v>
      </x:c>
      <x:c r="C1056" s="8" t="n">
        <x:v>45370</x:v>
      </x:c>
      <x:c r="D1056" s="4" t="str">
        <x:v>Sales operations manager</x:v>
      </x:c>
      <x:c r="E1056" s="4" t="str">
        <x:v>ERP form</x:v>
      </x:c>
      <x:c r="F1056" s="4" t="str">
        <x:v>Record captured</x:v>
      </x:c>
      <x:c r="G1056" s="4" t="str">
        <x:v>Agreement signed</x:v>
      </x:c>
    </x:row>
    <x:row r="1057" ht="34" customHeight="1">
      <x:c r="A1057" s="4" t="str">
        <x:v>RS-01056-E1</x:v>
      </x:c>
      <x:c r="B1057" s="4" t="str">
        <x:v>RS-01056</x:v>
      </x:c>
      <x:c r="C1057" s="8" t="n">
        <x:v>45371</x:v>
      </x:c>
      <x:c r="D1057" s="4" t="str">
        <x:v>Sales operations manager</x:v>
      </x:c>
      <x:c r="E1057" s="4" t="str">
        <x:v>Spreadsheet import</x:v>
      </x:c>
      <x:c r="F1057" s="4" t="str">
        <x:v>Record captured</x:v>
      </x:c>
      <x:c r="G1057" s="4" t="str">
        <x:v>Reserved</x:v>
      </x:c>
    </x:row>
    <x:row r="1058" ht="34" customHeight="1">
      <x:c r="A1058" s="4" t="str">
        <x:v>RS-01057-E1</x:v>
      </x:c>
      <x:c r="B1058" s="4" t="str">
        <x:v>RS-01057</x:v>
      </x:c>
      <x:c r="C1058" s="8" t="n">
        <x:v>45372</x:v>
      </x:c>
      <x:c r="D1058" s="4" t="str">
        <x:v>Sales operations manager</x:v>
      </x:c>
      <x:c r="E1058" s="4" t="str">
        <x:v>WhatsApp transcribed</x:v>
      </x:c>
      <x:c r="F1058" s="4" t="str">
        <x:v>Record captured</x:v>
      </x:c>
      <x:c r="G1058" s="4" t="str">
        <x:v>Handed over</x:v>
      </x:c>
    </x:row>
    <x:row r="1059" ht="34" customHeight="1">
      <x:c r="A1059" s="4" t="str">
        <x:v>RS-01058-E1</x:v>
      </x:c>
      <x:c r="B1059" s="4" t="str">
        <x:v>RS-01058</x:v>
      </x:c>
      <x:c r="C1059" s="8" t="n">
        <x:v>45373</x:v>
      </x:c>
      <x:c r="D1059" s="4" t="str">
        <x:v>Sales operations manager</x:v>
      </x:c>
      <x:c r="E1059" s="4" t="str">
        <x:v>ERP form</x:v>
      </x:c>
      <x:c r="F1059" s="4" t="str">
        <x:v>Record captured</x:v>
      </x:c>
      <x:c r="G1059" s="4" t="str">
        <x:v>Booked</x:v>
      </x:c>
    </x:row>
    <x:row r="1060" ht="34" customHeight="1">
      <x:c r="A1060" s="4" t="str">
        <x:v>RS-01059-E1</x:v>
      </x:c>
      <x:c r="B1060" s="4" t="str">
        <x:v>RS-01059</x:v>
      </x:c>
      <x:c r="C1060" s="8" t="n">
        <x:v>45374</x:v>
      </x:c>
      <x:c r="D1060" s="4" t="str">
        <x:v>Sales operations manager</x:v>
      </x:c>
      <x:c r="E1060" s="4" t="str">
        <x:v>Paper transcribed</x:v>
      </x:c>
      <x:c r="F1060" s="4" t="str">
        <x:v>Record captured</x:v>
      </x:c>
      <x:c r="G1060" s="4" t="str">
        <x:v>Enquiry</x:v>
      </x:c>
    </x:row>
    <x:row r="1061" ht="34" customHeight="1">
      <x:c r="A1061" s="4" t="str">
        <x:v>RS-01060-E1</x:v>
      </x:c>
      <x:c r="B1061" s="4" t="str">
        <x:v>RS-01060</x:v>
      </x:c>
      <x:c r="C1061" s="8" t="n">
        <x:v>45375</x:v>
      </x:c>
      <x:c r="D1061" s="4" t="str">
        <x:v>Sales operations manager</x:v>
      </x:c>
      <x:c r="E1061" s="4" t="str">
        <x:v>ERP form</x:v>
      </x:c>
      <x:c r="F1061" s="4" t="str">
        <x:v>Record captured</x:v>
      </x:c>
      <x:c r="G1061" s="4" t="str">
        <x:v>Handed over</x:v>
      </x:c>
    </x:row>
    <x:row r="1062" ht="34" customHeight="1">
      <x:c r="A1062" s="4" t="str">
        <x:v>RS-01061-E1</x:v>
      </x:c>
      <x:c r="B1062" s="4" t="str">
        <x:v>RS-01061</x:v>
      </x:c>
      <x:c r="C1062" s="8" t="n">
        <x:v>45376</x:v>
      </x:c>
      <x:c r="D1062" s="4" t="str">
        <x:v>Sales operations manager</x:v>
      </x:c>
      <x:c r="E1062" s="4" t="str">
        <x:v>Spreadsheet import</x:v>
      </x:c>
      <x:c r="F1062" s="4" t="str">
        <x:v>Record captured</x:v>
      </x:c>
      <x:c r="G1062" s="4" t="str">
        <x:v>Booked</x:v>
      </x:c>
    </x:row>
    <x:row r="1063" ht="34" customHeight="1">
      <x:c r="A1063" s="4" t="str">
        <x:v>RS-01062-E1</x:v>
      </x:c>
      <x:c r="B1063" s="4" t="str">
        <x:v>RS-01062</x:v>
      </x:c>
      <x:c r="C1063" s="8" t="n">
        <x:v>45377</x:v>
      </x:c>
      <x:c r="D1063" s="4" t="str">
        <x:v>Sales operations manager</x:v>
      </x:c>
      <x:c r="E1063" s="4" t="str">
        <x:v>Spreadsheet import</x:v>
      </x:c>
      <x:c r="F1063" s="4" t="str">
        <x:v>Record captured</x:v>
      </x:c>
      <x:c r="G1063" s="4" t="str">
        <x:v>Handed over</x:v>
      </x:c>
    </x:row>
    <x:row r="1064" ht="34" customHeight="1">
      <x:c r="A1064" s="4" t="str">
        <x:v>RS-01063-E1</x:v>
      </x:c>
      <x:c r="B1064" s="4" t="str">
        <x:v>RS-01063</x:v>
      </x:c>
      <x:c r="C1064" s="8" t="n">
        <x:v>45378</x:v>
      </x:c>
      <x:c r="D1064" s="4" t="str">
        <x:v>Sales operations manager</x:v>
      </x:c>
      <x:c r="E1064" s="4" t="str">
        <x:v>Paper transcribed</x:v>
      </x:c>
      <x:c r="F1064" s="4" t="str">
        <x:v>Record captured</x:v>
      </x:c>
      <x:c r="G1064" s="4" t="str">
        <x:v>Cancelled</x:v>
      </x:c>
    </x:row>
    <x:row r="1065" ht="34" customHeight="1">
      <x:c r="A1065" s="4" t="str">
        <x:v>RS-01064-E1</x:v>
      </x:c>
      <x:c r="B1065" s="4" t="str">
        <x:v>RS-01064</x:v>
      </x:c>
      <x:c r="C1065" s="8" t="n">
        <x:v>45379</x:v>
      </x:c>
      <x:c r="D1065" s="4" t="str">
        <x:v>Sales operations manager</x:v>
      </x:c>
      <x:c r="E1065" s="4" t="str">
        <x:v>Paper transcribed</x:v>
      </x:c>
      <x:c r="F1065" s="4" t="str">
        <x:v>Record captured</x:v>
      </x:c>
      <x:c r="G1065" s="4" t="str">
        <x:v>Enquiry</x:v>
      </x:c>
    </x:row>
    <x:row r="1066" ht="34" customHeight="1">
      <x:c r="A1066" s="4" t="str">
        <x:v>RS-01065-E1</x:v>
      </x:c>
      <x:c r="B1066" s="4" t="str">
        <x:v>RS-01065</x:v>
      </x:c>
      <x:c r="C1066" s="8" t="n">
        <x:v>45352</x:v>
      </x:c>
      <x:c r="D1066" s="4" t="str">
        <x:v>Sales operations manager</x:v>
      </x:c>
      <x:c r="E1066" s="4" t="str">
        <x:v>Paper transcribed</x:v>
      </x:c>
      <x:c r="F1066" s="4" t="str">
        <x:v>Record captured</x:v>
      </x:c>
      <x:c r="G1066" s="4" t="str">
        <x:v>Agreement signed</x:v>
      </x:c>
    </x:row>
    <x:row r="1067" ht="34" customHeight="1">
      <x:c r="A1067" s="4" t="str">
        <x:v>RS-01066-E1</x:v>
      </x:c>
      <x:c r="B1067" s="4" t="str">
        <x:v>RS-01066</x:v>
      </x:c>
      <x:c r="C1067" s="8" t="n">
        <x:v>45353</x:v>
      </x:c>
      <x:c r="D1067" s="4" t="str">
        <x:v>Sales operations manager</x:v>
      </x:c>
      <x:c r="E1067" s="4" t="str">
        <x:v>ERP form</x:v>
      </x:c>
      <x:c r="F1067" s="4" t="str">
        <x:v>Record captured</x:v>
      </x:c>
      <x:c r="G1067" s="4" t="str">
        <x:v>Enquiry</x:v>
      </x:c>
    </x:row>
    <x:row r="1068" ht="34" customHeight="1">
      <x:c r="A1068" s="4" t="str">
        <x:v>RS-01067-E1</x:v>
      </x:c>
      <x:c r="B1068" s="4" t="str">
        <x:v>RS-01067</x:v>
      </x:c>
      <x:c r="C1068" s="8" t="n">
        <x:v>45354</x:v>
      </x:c>
      <x:c r="D1068" s="4" t="str">
        <x:v>Sales operations manager</x:v>
      </x:c>
      <x:c r="E1068" s="4" t="str">
        <x:v>Spreadsheet import</x:v>
      </x:c>
      <x:c r="F1068" s="4" t="str">
        <x:v>Record captured</x:v>
      </x:c>
      <x:c r="G1068" s="4" t="str">
        <x:v>Booked</x:v>
      </x:c>
    </x:row>
    <x:row r="1069" ht="34" customHeight="1">
      <x:c r="A1069" s="4" t="str">
        <x:v>RS-01068-E1</x:v>
      </x:c>
      <x:c r="B1069" s="4" t="str">
        <x:v>RS-01068</x:v>
      </x:c>
      <x:c r="C1069" s="8" t="n">
        <x:v>45355</x:v>
      </x:c>
      <x:c r="D1069" s="4" t="str">
        <x:v>Sales operations manager</x:v>
      </x:c>
      <x:c r="E1069" s="4" t="str">
        <x:v>Spreadsheet import</x:v>
      </x:c>
      <x:c r="F1069" s="4" t="str">
        <x:v>Record captured</x:v>
      </x:c>
      <x:c r="G1069" s="4" t="str">
        <x:v>Booked</x:v>
      </x:c>
    </x:row>
    <x:row r="1070" ht="34" customHeight="1">
      <x:c r="A1070" s="4" t="str">
        <x:v>RS-01069-E1</x:v>
      </x:c>
      <x:c r="B1070" s="4" t="str">
        <x:v>RS-01069</x:v>
      </x:c>
      <x:c r="C1070" s="8" t="n">
        <x:v>45356</x:v>
      </x:c>
      <x:c r="D1070" s="4" t="str">
        <x:v>Sales operations manager</x:v>
      </x:c>
      <x:c r="E1070" s="4" t="str">
        <x:v>Spreadsheet import</x:v>
      </x:c>
      <x:c r="F1070" s="4" t="str">
        <x:v>Record captured</x:v>
      </x:c>
      <x:c r="G1070" s="4" t="str">
        <x:v>Reserved</x:v>
      </x:c>
    </x:row>
    <x:row r="1071" ht="34" customHeight="1">
      <x:c r="A1071" s="4" t="str">
        <x:v>RS-01070-E1</x:v>
      </x:c>
      <x:c r="B1071" s="4" t="str">
        <x:v>RS-01070</x:v>
      </x:c>
      <x:c r="C1071" s="8" t="n">
        <x:v>45357</x:v>
      </x:c>
      <x:c r="D1071" s="4" t="str">
        <x:v>Sales operations manager</x:v>
      </x:c>
      <x:c r="E1071" s="4" t="str">
        <x:v>Paper transcribed</x:v>
      </x:c>
      <x:c r="F1071" s="4" t="str">
        <x:v>Record captured</x:v>
      </x:c>
      <x:c r="G1071" s="4" t="str">
        <x:v>Reserved</x:v>
      </x:c>
    </x:row>
    <x:row r="1072" ht="34" customHeight="1">
      <x:c r="A1072" s="4" t="str">
        <x:v>RS-01071-E1</x:v>
      </x:c>
      <x:c r="B1072" s="4" t="str">
        <x:v>RS-01071</x:v>
      </x:c>
      <x:c r="C1072" s="8" t="n">
        <x:v>45358</x:v>
      </x:c>
      <x:c r="D1072" s="4" t="str">
        <x:v>Sales operations manager</x:v>
      </x:c>
      <x:c r="E1072" s="4" t="str">
        <x:v>WhatsApp transcribed</x:v>
      </x:c>
      <x:c r="F1072" s="4" t="str">
        <x:v>Record captured</x:v>
      </x:c>
      <x:c r="G1072" s="4" t="str">
        <x:v>Cancelled</x:v>
      </x:c>
    </x:row>
    <x:row r="1073" ht="34" customHeight="1">
      <x:c r="A1073" s="4" t="str">
        <x:v>RS-01072-E1</x:v>
      </x:c>
      <x:c r="B1073" s="4" t="str">
        <x:v>RS-01072</x:v>
      </x:c>
      <x:c r="C1073" s="8" t="n">
        <x:v>45359</x:v>
      </x:c>
      <x:c r="D1073" s="4" t="str">
        <x:v>Sales operations manager</x:v>
      </x:c>
      <x:c r="E1073" s="4" t="str">
        <x:v>ERP form</x:v>
      </x:c>
      <x:c r="F1073" s="4" t="str">
        <x:v>Record captured</x:v>
      </x:c>
      <x:c r="G1073" s="4" t="str">
        <x:v>Enquiry</x:v>
      </x:c>
    </x:row>
    <x:row r="1074" ht="34" customHeight="1">
      <x:c r="A1074" s="4" t="str">
        <x:v>RS-01073-E1</x:v>
      </x:c>
      <x:c r="B1074" s="4" t="str">
        <x:v>RS-01073</x:v>
      </x:c>
      <x:c r="C1074" s="8" t="n">
        <x:v>45360</x:v>
      </x:c>
      <x:c r="D1074" s="4" t="str">
        <x:v>Sales operations manager</x:v>
      </x:c>
      <x:c r="E1074" s="4" t="str">
        <x:v>ERP form</x:v>
      </x:c>
      <x:c r="F1074" s="4" t="str">
        <x:v>Record captured</x:v>
      </x:c>
      <x:c r="G1074" s="4" t="str">
        <x:v>Reserved</x:v>
      </x:c>
    </x:row>
    <x:row r="1075" ht="34" customHeight="1">
      <x:c r="A1075" s="4" t="str">
        <x:v>RS-01074-E1</x:v>
      </x:c>
      <x:c r="B1075" s="4" t="str">
        <x:v>RS-01074</x:v>
      </x:c>
      <x:c r="C1075" s="8" t="n">
        <x:v>45361</x:v>
      </x:c>
      <x:c r="D1075" s="4" t="str">
        <x:v>Sales operations manager</x:v>
      </x:c>
      <x:c r="E1075" s="4" t="str">
        <x:v>Paper transcribed</x:v>
      </x:c>
      <x:c r="F1075" s="4" t="str">
        <x:v>Record captured</x:v>
      </x:c>
      <x:c r="G1075" s="4" t="str">
        <x:v>Reserved</x:v>
      </x:c>
    </x:row>
    <x:row r="1076" ht="34" customHeight="1">
      <x:c r="A1076" s="4" t="str">
        <x:v>RS-01075-E1</x:v>
      </x:c>
      <x:c r="B1076" s="4" t="str">
        <x:v>RS-01075</x:v>
      </x:c>
      <x:c r="C1076" s="8" t="n">
        <x:v>45362</x:v>
      </x:c>
      <x:c r="D1076" s="4" t="str">
        <x:v>Sales operations manager</x:v>
      </x:c>
      <x:c r="E1076" s="4" t="str">
        <x:v>Spreadsheet import</x:v>
      </x:c>
      <x:c r="F1076" s="4" t="str">
        <x:v>Record captured</x:v>
      </x:c>
      <x:c r="G1076" s="4" t="str">
        <x:v>Enquiry</x:v>
      </x:c>
    </x:row>
    <x:row r="1077" ht="34" customHeight="1">
      <x:c r="A1077" s="4" t="str">
        <x:v>RS-01076-E1</x:v>
      </x:c>
      <x:c r="B1077" s="4" t="str">
        <x:v>RS-01076</x:v>
      </x:c>
      <x:c r="C1077" s="8" t="n">
        <x:v>45363</x:v>
      </x:c>
      <x:c r="D1077" s="4" t="str">
        <x:v>Sales operations manager</x:v>
      </x:c>
      <x:c r="E1077" s="4" t="str">
        <x:v>Spreadsheet import</x:v>
      </x:c>
      <x:c r="F1077" s="4" t="str">
        <x:v>Record captured</x:v>
      </x:c>
      <x:c r="G1077" s="4" t="str">
        <x:v>Enquiry</x:v>
      </x:c>
    </x:row>
    <x:row r="1078" ht="34" customHeight="1">
      <x:c r="A1078" s="4" t="str">
        <x:v>RS-01077-E1</x:v>
      </x:c>
      <x:c r="B1078" s="4" t="str">
        <x:v>RS-01077</x:v>
      </x:c>
      <x:c r="C1078" s="8" t="n">
        <x:v>45364</x:v>
      </x:c>
      <x:c r="D1078" s="4" t="str">
        <x:v>Sales operations manager</x:v>
      </x:c>
      <x:c r="E1078" s="4" t="str">
        <x:v>ERP form</x:v>
      </x:c>
      <x:c r="F1078" s="4" t="str">
        <x:v>Record captured</x:v>
      </x:c>
      <x:c r="G1078" s="4" t="str">
        <x:v>Booked</x:v>
      </x:c>
    </x:row>
    <x:row r="1079" ht="34" customHeight="1">
      <x:c r="A1079" s="4" t="str">
        <x:v>RS-01078-E1</x:v>
      </x:c>
      <x:c r="B1079" s="4" t="str">
        <x:v>RS-01078</x:v>
      </x:c>
      <x:c r="C1079" s="8" t="n">
        <x:v>45365</x:v>
      </x:c>
      <x:c r="D1079" s="4" t="str">
        <x:v>Sales operations manager</x:v>
      </x:c>
      <x:c r="E1079" s="4" t="str">
        <x:v>WhatsApp transcribed</x:v>
      </x:c>
      <x:c r="F1079" s="4" t="str">
        <x:v>Record captured</x:v>
      </x:c>
      <x:c r="G1079" s="4" t="str">
        <x:v>Cancelled</x:v>
      </x:c>
    </x:row>
    <x:row r="1080" ht="34" customHeight="1">
      <x:c r="A1080" s="4" t="str">
        <x:v>RS-01079-E1</x:v>
      </x:c>
      <x:c r="B1080" s="4" t="str">
        <x:v>RS-01079</x:v>
      </x:c>
      <x:c r="C1080" s="8" t="n">
        <x:v>45366</x:v>
      </x:c>
      <x:c r="D1080" s="4" t="str">
        <x:v>Sales operations manager</x:v>
      </x:c>
      <x:c r="E1080" s="4" t="str">
        <x:v>Paper transcribed</x:v>
      </x:c>
      <x:c r="F1080" s="4" t="str">
        <x:v>Record captured</x:v>
      </x:c>
      <x:c r="G1080" s="4" t="str">
        <x:v>Handed over</x:v>
      </x:c>
    </x:row>
    <x:row r="1081" ht="34" customHeight="1">
      <x:c r="A1081" s="4" t="str">
        <x:v>RS-01080-E1</x:v>
      </x:c>
      <x:c r="B1081" s="4" t="str">
        <x:v>RS-01080</x:v>
      </x:c>
      <x:c r="C1081" s="8" t="n">
        <x:v>45367</x:v>
      </x:c>
      <x:c r="D1081" s="4" t="str">
        <x:v>Sales operations manager</x:v>
      </x:c>
      <x:c r="E1081" s="4" t="str">
        <x:v>WhatsApp transcribed</x:v>
      </x:c>
      <x:c r="F1081" s="4" t="str">
        <x:v>Record captured</x:v>
      </x:c>
      <x:c r="G1081" s="4" t="str">
        <x:v>Reserved</x:v>
      </x:c>
    </x:row>
    <x:row r="1082" ht="34" customHeight="1">
      <x:c r="A1082" s="4" t="str">
        <x:v>RS-01081-E1</x:v>
      </x:c>
      <x:c r="B1082" s="4" t="str">
        <x:v>RS-01081</x:v>
      </x:c>
      <x:c r="C1082" s="8" t="n">
        <x:v>45368</x:v>
      </x:c>
      <x:c r="D1082" s="4" t="str">
        <x:v>Sales operations manager</x:v>
      </x:c>
      <x:c r="E1082" s="4" t="str">
        <x:v>Spreadsheet import</x:v>
      </x:c>
      <x:c r="F1082" s="4" t="str">
        <x:v>Record captured</x:v>
      </x:c>
      <x:c r="G1082" s="4" t="str">
        <x:v>Agreement signed</x:v>
      </x:c>
    </x:row>
    <x:row r="1083" ht="34" customHeight="1">
      <x:c r="A1083" s="4" t="str">
        <x:v>RS-01082-E1</x:v>
      </x:c>
      <x:c r="B1083" s="4" t="str">
        <x:v>RS-01082</x:v>
      </x:c>
      <x:c r="C1083" s="8" t="n">
        <x:v>45369</x:v>
      </x:c>
      <x:c r="D1083" s="4" t="str">
        <x:v>Sales operations manager</x:v>
      </x:c>
      <x:c r="E1083" s="4" t="str">
        <x:v>Spreadsheet import</x:v>
      </x:c>
      <x:c r="F1083" s="4" t="str">
        <x:v>Record captured</x:v>
      </x:c>
      <x:c r="G1083" s="4" t="str">
        <x:v>Booked</x:v>
      </x:c>
    </x:row>
    <x:row r="1084" ht="34" customHeight="1">
      <x:c r="A1084" s="4" t="str">
        <x:v>RS-01083-E1</x:v>
      </x:c>
      <x:c r="B1084" s="4" t="str">
        <x:v>RS-01083</x:v>
      </x:c>
      <x:c r="C1084" s="8" t="n">
        <x:v>45370</x:v>
      </x:c>
      <x:c r="D1084" s="4" t="str">
        <x:v>Sales operations manager</x:v>
      </x:c>
      <x:c r="E1084" s="4" t="str">
        <x:v>ERP form</x:v>
      </x:c>
      <x:c r="F1084" s="4" t="str">
        <x:v>Record captured</x:v>
      </x:c>
      <x:c r="G1084" s="4" t="str">
        <x:v>Cancelled</x:v>
      </x:c>
    </x:row>
    <x:row r="1085" ht="34" customHeight="1">
      <x:c r="A1085" s="4" t="str">
        <x:v>RS-01084-E1</x:v>
      </x:c>
      <x:c r="B1085" s="4" t="str">
        <x:v>RS-01084</x:v>
      </x:c>
      <x:c r="C1085" s="8" t="n">
        <x:v>45371</x:v>
      </x:c>
      <x:c r="D1085" s="4" t="str">
        <x:v>Sales operations manager</x:v>
      </x:c>
      <x:c r="E1085" s="4" t="str">
        <x:v>Spreadsheet import</x:v>
      </x:c>
      <x:c r="F1085" s="4" t="str">
        <x:v>Record captured</x:v>
      </x:c>
      <x:c r="G1085" s="4" t="str">
        <x:v>Cancelled</x:v>
      </x:c>
    </x:row>
    <x:row r="1086" ht="34" customHeight="1">
      <x:c r="A1086" s="4" t="str">
        <x:v>RS-01085-E1</x:v>
      </x:c>
      <x:c r="B1086" s="4" t="str">
        <x:v>RS-01085</x:v>
      </x:c>
      <x:c r="C1086" s="8" t="n">
        <x:v>45372</x:v>
      </x:c>
      <x:c r="D1086" s="4" t="str">
        <x:v>Sales operations manager</x:v>
      </x:c>
      <x:c r="E1086" s="4" t="str">
        <x:v>ERP form</x:v>
      </x:c>
      <x:c r="F1086" s="4" t="str">
        <x:v>Record captured</x:v>
      </x:c>
      <x:c r="G1086" s="4" t="str">
        <x:v>Cancelled</x:v>
      </x:c>
    </x:row>
    <x:row r="1087" ht="34" customHeight="1">
      <x:c r="A1087" s="4" t="str">
        <x:v>RS-01086-E1</x:v>
      </x:c>
      <x:c r="B1087" s="4" t="str">
        <x:v>RS-01086</x:v>
      </x:c>
      <x:c r="C1087" s="8" t="n">
        <x:v>45373</x:v>
      </x:c>
      <x:c r="D1087" s="4" t="str">
        <x:v>Sales operations manager</x:v>
      </x:c>
      <x:c r="E1087" s="4" t="str">
        <x:v>Spreadsheet import</x:v>
      </x:c>
      <x:c r="F1087" s="4" t="str">
        <x:v>Record captured</x:v>
      </x:c>
      <x:c r="G1087" s="4" t="str">
        <x:v>Reserved</x:v>
      </x:c>
    </x:row>
    <x:row r="1088" ht="34" customHeight="1">
      <x:c r="A1088" s="4" t="str">
        <x:v>RS-01087-E1</x:v>
      </x:c>
      <x:c r="B1088" s="4" t="str">
        <x:v>RS-01087</x:v>
      </x:c>
      <x:c r="C1088" s="8" t="n">
        <x:v>45374</x:v>
      </x:c>
      <x:c r="D1088" s="4" t="str">
        <x:v>Sales operations manager</x:v>
      </x:c>
      <x:c r="E1088" s="4" t="str">
        <x:v>WhatsApp transcribed</x:v>
      </x:c>
      <x:c r="F1088" s="4" t="str">
        <x:v>Record captured</x:v>
      </x:c>
      <x:c r="G1088" s="4" t="str">
        <x:v>Agreement signed</x:v>
      </x:c>
    </x:row>
    <x:row r="1089" ht="34" customHeight="1">
      <x:c r="A1089" s="4" t="str">
        <x:v>RS-01088-E1</x:v>
      </x:c>
      <x:c r="B1089" s="4" t="str">
        <x:v>RS-01088</x:v>
      </x:c>
      <x:c r="C1089" s="8" t="n">
        <x:v>45375</x:v>
      </x:c>
      <x:c r="D1089" s="4" t="str">
        <x:v>Sales operations manager</x:v>
      </x:c>
      <x:c r="E1089" s="4" t="str">
        <x:v>ERP form</x:v>
      </x:c>
      <x:c r="F1089" s="4" t="str">
        <x:v>Record captured</x:v>
      </x:c>
      <x:c r="G1089" s="4" t="str">
        <x:v>Handed over</x:v>
      </x:c>
    </x:row>
    <x:row r="1090" ht="34" customHeight="1">
      <x:c r="A1090" s="4" t="str">
        <x:v>RS-01089-E1</x:v>
      </x:c>
      <x:c r="B1090" s="4" t="str">
        <x:v>RS-01089</x:v>
      </x:c>
      <x:c r="C1090" s="8" t="n">
        <x:v>45376</x:v>
      </x:c>
      <x:c r="D1090" s="4" t="str">
        <x:v>Sales operations manager</x:v>
      </x:c>
      <x:c r="E1090" s="4" t="str">
        <x:v>Paper transcribed</x:v>
      </x:c>
      <x:c r="F1090" s="4" t="str">
        <x:v>Record captured</x:v>
      </x:c>
      <x:c r="G1090" s="4" t="str">
        <x:v>Handed over</x:v>
      </x:c>
    </x:row>
    <x:row r="1091" ht="34" customHeight="1">
      <x:c r="A1091" s="4" t="str">
        <x:v>RS-01090-E1</x:v>
      </x:c>
      <x:c r="B1091" s="4" t="str">
        <x:v>RS-01090</x:v>
      </x:c>
      <x:c r="C1091" s="8" t="n">
        <x:v>45377</x:v>
      </x:c>
      <x:c r="D1091" s="4" t="str">
        <x:v>Sales operations manager</x:v>
      </x:c>
      <x:c r="E1091" s="4" t="str">
        <x:v>Spreadsheet import</x:v>
      </x:c>
      <x:c r="F1091" s="4" t="str">
        <x:v>Record captured</x:v>
      </x:c>
      <x:c r="G1091" s="4" t="str">
        <x:v>Handed over</x:v>
      </x:c>
    </x:row>
    <x:row r="1092" ht="34" customHeight="1">
      <x:c r="A1092" s="4" t="str">
        <x:v>RS-01091-E1</x:v>
      </x:c>
      <x:c r="B1092" s="4" t="str">
        <x:v>RS-01091</x:v>
      </x:c>
      <x:c r="C1092" s="8" t="n">
        <x:v>45378</x:v>
      </x:c>
      <x:c r="D1092" s="4" t="str">
        <x:v>Sales operations manager</x:v>
      </x:c>
      <x:c r="E1092" s="4" t="str">
        <x:v>Spreadsheet import</x:v>
      </x:c>
      <x:c r="F1092" s="4" t="str">
        <x:v>Record captured</x:v>
      </x:c>
      <x:c r="G1092" s="4" t="str">
        <x:v>Enquiry</x:v>
      </x:c>
    </x:row>
    <x:row r="1093" ht="34" customHeight="1">
      <x:c r="A1093" s="4" t="str">
        <x:v>RS-01092-E1</x:v>
      </x:c>
      <x:c r="B1093" s="4" t="str">
        <x:v>RS-01092</x:v>
      </x:c>
      <x:c r="C1093" s="8" t="n">
        <x:v>45379</x:v>
      </x:c>
      <x:c r="D1093" s="4" t="str">
        <x:v>Sales operations manager</x:v>
      </x:c>
      <x:c r="E1093" s="4" t="str">
        <x:v>Paper transcribed</x:v>
      </x:c>
      <x:c r="F1093" s="4" t="str">
        <x:v>Record captured</x:v>
      </x:c>
      <x:c r="G1093" s="4" t="str">
        <x:v>Reserved</x:v>
      </x:c>
    </x:row>
    <x:row r="1094" ht="34" customHeight="1">
      <x:c r="A1094" s="4" t="str">
        <x:v>RS-01093-E1</x:v>
      </x:c>
      <x:c r="B1094" s="4" t="str">
        <x:v>RS-01093</x:v>
      </x:c>
      <x:c r="C1094" s="8" t="n">
        <x:v>45352</x:v>
      </x:c>
      <x:c r="D1094" s="4" t="str">
        <x:v>Sales operations manager</x:v>
      </x:c>
      <x:c r="E1094" s="4" t="str">
        <x:v>WhatsApp transcribed</x:v>
      </x:c>
      <x:c r="F1094" s="4" t="str">
        <x:v>Record captured</x:v>
      </x:c>
      <x:c r="G1094" s="4" t="str">
        <x:v>Cancelled</x:v>
      </x:c>
    </x:row>
    <x:row r="1095" ht="34" customHeight="1">
      <x:c r="A1095" s="4" t="str">
        <x:v>RS-01094-E1</x:v>
      </x:c>
      <x:c r="B1095" s="4" t="str">
        <x:v>RS-01094</x:v>
      </x:c>
      <x:c r="C1095" s="8" t="n">
        <x:v>45353</x:v>
      </x:c>
      <x:c r="D1095" s="4" t="str">
        <x:v>Sales operations manager</x:v>
      </x:c>
      <x:c r="E1095" s="4" t="str">
        <x:v>WhatsApp transcribed</x:v>
      </x:c>
      <x:c r="F1095" s="4" t="str">
        <x:v>Record captured</x:v>
      </x:c>
      <x:c r="G1095" s="4" t="str">
        <x:v>Handed over</x:v>
      </x:c>
    </x:row>
    <x:row r="1096" ht="34" customHeight="1">
      <x:c r="A1096" s="4" t="str">
        <x:v>RS-01095-E1</x:v>
      </x:c>
      <x:c r="B1096" s="4" t="str">
        <x:v>RS-01095</x:v>
      </x:c>
      <x:c r="C1096" s="8" t="n">
        <x:v>45354</x:v>
      </x:c>
      <x:c r="D1096" s="4" t="str">
        <x:v>Sales operations manager</x:v>
      </x:c>
      <x:c r="E1096" s="4" t="str">
        <x:v>WhatsApp transcribed</x:v>
      </x:c>
      <x:c r="F1096" s="4" t="str">
        <x:v>Record captured</x:v>
      </x:c>
      <x:c r="G1096" s="4" t="str">
        <x:v>Enquiry</x:v>
      </x:c>
    </x:row>
    <x:row r="1097" ht="34" customHeight="1">
      <x:c r="A1097" s="4" t="str">
        <x:v>RS-01096-E1</x:v>
      </x:c>
      <x:c r="B1097" s="4" t="str">
        <x:v>RS-01096</x:v>
      </x:c>
      <x:c r="C1097" s="8" t="n">
        <x:v>45355</x:v>
      </x:c>
      <x:c r="D1097" s="4" t="str">
        <x:v>Sales operations manager</x:v>
      </x:c>
      <x:c r="E1097" s="4" t="str">
        <x:v>WhatsApp transcribed</x:v>
      </x:c>
      <x:c r="F1097" s="4" t="str">
        <x:v>Record captured</x:v>
      </x:c>
      <x:c r="G1097" s="4" t="str">
        <x:v>Booked</x:v>
      </x:c>
    </x:row>
    <x:row r="1098" ht="34" customHeight="1">
      <x:c r="A1098" s="4" t="str">
        <x:v>RS-01097-E1</x:v>
      </x:c>
      <x:c r="B1098" s="4" t="str">
        <x:v>RS-01097</x:v>
      </x:c>
      <x:c r="C1098" s="8" t="n">
        <x:v>45356</x:v>
      </x:c>
      <x:c r="D1098" s="4" t="str">
        <x:v>Sales operations manager</x:v>
      </x:c>
      <x:c r="E1098" s="4" t="str">
        <x:v>Spreadsheet import</x:v>
      </x:c>
      <x:c r="F1098" s="4" t="str">
        <x:v>Record captured</x:v>
      </x:c>
      <x:c r="G1098" s="4" t="str">
        <x:v>Enquiry</x:v>
      </x:c>
    </x:row>
    <x:row r="1099" ht="34" customHeight="1">
      <x:c r="A1099" s="4" t="str">
        <x:v>RS-01098-E1</x:v>
      </x:c>
      <x:c r="B1099" s="4" t="str">
        <x:v>RS-01098</x:v>
      </x:c>
      <x:c r="C1099" s="8" t="n">
        <x:v>45357</x:v>
      </x:c>
      <x:c r="D1099" s="4" t="str">
        <x:v>Sales operations manager</x:v>
      </x:c>
      <x:c r="E1099" s="4" t="str">
        <x:v>WhatsApp transcribed</x:v>
      </x:c>
      <x:c r="F1099" s="4" t="str">
        <x:v>Record captured</x:v>
      </x:c>
      <x:c r="G1099" s="4" t="str">
        <x:v>Handed over</x:v>
      </x:c>
    </x:row>
    <x:row r="1100" ht="34" customHeight="1">
      <x:c r="A1100" s="4" t="str">
        <x:v>RS-01099-E1</x:v>
      </x:c>
      <x:c r="B1100" s="4" t="str">
        <x:v>RS-01099</x:v>
      </x:c>
      <x:c r="C1100" s="8" t="n">
        <x:v>45358</x:v>
      </x:c>
      <x:c r="D1100" s="4" t="str">
        <x:v>Sales operations manager</x:v>
      </x:c>
      <x:c r="E1100" s="4" t="str">
        <x:v>Paper transcribed</x:v>
      </x:c>
      <x:c r="F1100" s="4" t="str">
        <x:v>Record captured</x:v>
      </x:c>
      <x:c r="G1100" s="4" t="str">
        <x:v>Handed over</x:v>
      </x:c>
    </x:row>
    <x:row r="1101" ht="34" customHeight="1">
      <x:c r="A1101" s="4" t="str">
        <x:v>RS-01100-E1</x:v>
      </x:c>
      <x:c r="B1101" s="4" t="str">
        <x:v>RS-01100</x:v>
      </x:c>
      <x:c r="C1101" s="8" t="n">
        <x:v>45359</x:v>
      </x:c>
      <x:c r="D1101" s="4" t="str">
        <x:v>Sales operations manager</x:v>
      </x:c>
      <x:c r="E1101" s="4" t="str">
        <x:v>WhatsApp transcribed</x:v>
      </x:c>
      <x:c r="F1101" s="4" t="str">
        <x:v>Record captured</x:v>
      </x:c>
      <x:c r="G1101" s="4" t="str">
        <x:v>Enquiry</x:v>
      </x:c>
    </x:row>
    <x:row r="1102" ht="34" customHeight="1">
      <x:c r="A1102" s="4" t="str">
        <x:v>RS-01101-E1</x:v>
      </x:c>
      <x:c r="B1102" s="4" t="str">
        <x:v>RS-01101</x:v>
      </x:c>
      <x:c r="C1102" s="8" t="n">
        <x:v>45360</x:v>
      </x:c>
      <x:c r="D1102" s="4" t="str">
        <x:v>Sales operations manager</x:v>
      </x:c>
      <x:c r="E1102" s="4" t="str">
        <x:v>Spreadsheet import</x:v>
      </x:c>
      <x:c r="F1102" s="4" t="str">
        <x:v>Record captured</x:v>
      </x:c>
      <x:c r="G1102" s="4" t="str">
        <x:v>Agreement signed</x:v>
      </x:c>
    </x:row>
    <x:row r="1103" ht="34" customHeight="1">
      <x:c r="A1103" s="4" t="str">
        <x:v>RS-01102-E1</x:v>
      </x:c>
      <x:c r="B1103" s="4" t="str">
        <x:v>RS-01102</x:v>
      </x:c>
      <x:c r="C1103" s="8" t="n">
        <x:v>45361</x:v>
      </x:c>
      <x:c r="D1103" s="4" t="str">
        <x:v>Sales operations manager</x:v>
      </x:c>
      <x:c r="E1103" s="4" t="str">
        <x:v>Paper transcribed</x:v>
      </x:c>
      <x:c r="F1103" s="4" t="str">
        <x:v>Record captured</x:v>
      </x:c>
      <x:c r="G1103" s="4" t="str">
        <x:v>Enquiry</x:v>
      </x:c>
    </x:row>
    <x:row r="1104" ht="34" customHeight="1">
      <x:c r="A1104" s="4" t="str">
        <x:v>RS-01103-E1</x:v>
      </x:c>
      <x:c r="B1104" s="4" t="str">
        <x:v>RS-01103</x:v>
      </x:c>
      <x:c r="C1104" s="8" t="n">
        <x:v>45362</x:v>
      </x:c>
      <x:c r="D1104" s="4" t="str">
        <x:v>Sales operations manager</x:v>
      </x:c>
      <x:c r="E1104" s="4" t="str">
        <x:v>ERP form</x:v>
      </x:c>
      <x:c r="F1104" s="4" t="str">
        <x:v>Record captured</x:v>
      </x:c>
      <x:c r="G1104" s="4" t="str">
        <x:v>Enquiry</x:v>
      </x:c>
    </x:row>
    <x:row r="1105" ht="34" customHeight="1">
      <x:c r="A1105" s="4" t="str">
        <x:v>RS-01104-E1</x:v>
      </x:c>
      <x:c r="B1105" s="4" t="str">
        <x:v>RS-01104</x:v>
      </x:c>
      <x:c r="C1105" s="8" t="n">
        <x:v>45363</x:v>
      </x:c>
      <x:c r="D1105" s="4" t="str">
        <x:v>Sales operations manager</x:v>
      </x:c>
      <x:c r="E1105" s="4" t="str">
        <x:v>Paper transcribed</x:v>
      </x:c>
      <x:c r="F1105" s="4" t="str">
        <x:v>Record captured</x:v>
      </x:c>
      <x:c r="G1105" s="4" t="str">
        <x:v>Cancelled</x:v>
      </x:c>
    </x:row>
    <x:row r="1106" ht="34" customHeight="1">
      <x:c r="A1106" s="4" t="str">
        <x:v>RS-01105-E1</x:v>
      </x:c>
      <x:c r="B1106" s="4" t="str">
        <x:v>RS-01105</x:v>
      </x:c>
      <x:c r="C1106" s="8" t="n">
        <x:v>45364</x:v>
      </x:c>
      <x:c r="D1106" s="4" t="str">
        <x:v>Sales operations manager</x:v>
      </x:c>
      <x:c r="E1106" s="4" t="str">
        <x:v>WhatsApp transcribed</x:v>
      </x:c>
      <x:c r="F1106" s="4" t="str">
        <x:v>Record captured</x:v>
      </x:c>
      <x:c r="G1106" s="4" t="str">
        <x:v>Booked</x:v>
      </x:c>
    </x:row>
    <x:row r="1107" ht="34" customHeight="1">
      <x:c r="A1107" s="4" t="str">
        <x:v>RS-01106-E1</x:v>
      </x:c>
      <x:c r="B1107" s="4" t="str">
        <x:v>RS-01106</x:v>
      </x:c>
      <x:c r="C1107" s="8" t="n">
        <x:v>45365</x:v>
      </x:c>
      <x:c r="D1107" s="4" t="str">
        <x:v>Sales operations manager</x:v>
      </x:c>
      <x:c r="E1107" s="4" t="str">
        <x:v>Spreadsheet import</x:v>
      </x:c>
      <x:c r="F1107" s="4" t="str">
        <x:v>Record captured</x:v>
      </x:c>
      <x:c r="G1107" s="4" t="str">
        <x:v>Handed over</x:v>
      </x:c>
    </x:row>
    <x:row r="1108" ht="34" customHeight="1">
      <x:c r="A1108" s="4" t="str">
        <x:v>RS-01107-E1</x:v>
      </x:c>
      <x:c r="B1108" s="4" t="str">
        <x:v>RS-01107</x:v>
      </x:c>
      <x:c r="C1108" s="8" t="n">
        <x:v>45366</x:v>
      </x:c>
      <x:c r="D1108" s="4" t="str">
        <x:v>Sales operations manager</x:v>
      </x:c>
      <x:c r="E1108" s="4" t="str">
        <x:v>ERP form</x:v>
      </x:c>
      <x:c r="F1108" s="4" t="str">
        <x:v>Record captured</x:v>
      </x:c>
      <x:c r="G1108" s="4" t="str">
        <x:v>Booked</x:v>
      </x:c>
    </x:row>
    <x:row r="1109" ht="34" customHeight="1">
      <x:c r="A1109" s="4" t="str">
        <x:v>RS-01108-E1</x:v>
      </x:c>
      <x:c r="B1109" s="4" t="str">
        <x:v>RS-01108</x:v>
      </x:c>
      <x:c r="C1109" s="8" t="n">
        <x:v>45367</x:v>
      </x:c>
      <x:c r="D1109" s="4" t="str">
        <x:v>Sales operations manager</x:v>
      </x:c>
      <x:c r="E1109" s="4" t="str">
        <x:v>Spreadsheet import</x:v>
      </x:c>
      <x:c r="F1109" s="4" t="str">
        <x:v>Record captured</x:v>
      </x:c>
      <x:c r="G1109" s="4" t="str">
        <x:v>Handed over</x:v>
      </x:c>
    </x:row>
    <x:row r="1110" ht="34" customHeight="1">
      <x:c r="A1110" s="4" t="str">
        <x:v>RS-01109-E1</x:v>
      </x:c>
      <x:c r="B1110" s="4" t="str">
        <x:v>RS-01109</x:v>
      </x:c>
      <x:c r="C1110" s="8" t="n">
        <x:v>45368</x:v>
      </x:c>
      <x:c r="D1110" s="4" t="str">
        <x:v>Sales operations manager</x:v>
      </x:c>
      <x:c r="E1110" s="4" t="str">
        <x:v>Paper transcribed</x:v>
      </x:c>
      <x:c r="F1110" s="4" t="str">
        <x:v>Record captured</x:v>
      </x:c>
      <x:c r="G1110" s="4" t="str">
        <x:v>Handed over</x:v>
      </x:c>
    </x:row>
    <x:row r="1111" ht="34" customHeight="1">
      <x:c r="A1111" s="4" t="str">
        <x:v>RS-01110-E1</x:v>
      </x:c>
      <x:c r="B1111" s="4" t="str">
        <x:v>RS-01110</x:v>
      </x:c>
      <x:c r="C1111" s="8" t="n">
        <x:v>45369</x:v>
      </x:c>
      <x:c r="D1111" s="4" t="str">
        <x:v>Sales operations manager</x:v>
      </x:c>
      <x:c r="E1111" s="4" t="str">
        <x:v>WhatsApp transcribed</x:v>
      </x:c>
      <x:c r="F1111" s="4" t="str">
        <x:v>Record captured</x:v>
      </x:c>
      <x:c r="G1111" s="4" t="str">
        <x:v>Reserved</x:v>
      </x:c>
    </x:row>
    <x:row r="1112" ht="34" customHeight="1">
      <x:c r="A1112" s="4" t="str">
        <x:v>RS-01111-E1</x:v>
      </x:c>
      <x:c r="B1112" s="4" t="str">
        <x:v>RS-01111</x:v>
      </x:c>
      <x:c r="C1112" s="8" t="n">
        <x:v>45370</x:v>
      </x:c>
      <x:c r="D1112" s="4" t="str">
        <x:v>Sales operations manager</x:v>
      </x:c>
      <x:c r="E1112" s="4" t="str">
        <x:v>Paper transcribed</x:v>
      </x:c>
      <x:c r="F1112" s="4" t="str">
        <x:v>Record captured</x:v>
      </x:c>
      <x:c r="G1112" s="4" t="str">
        <x:v>Enquiry</x:v>
      </x:c>
    </x:row>
    <x:row r="1113" ht="34" customHeight="1">
      <x:c r="A1113" s="4" t="str">
        <x:v>RS-01112-E1</x:v>
      </x:c>
      <x:c r="B1113" s="4" t="str">
        <x:v>RS-01112</x:v>
      </x:c>
      <x:c r="C1113" s="8" t="n">
        <x:v>45371</x:v>
      </x:c>
      <x:c r="D1113" s="4" t="str">
        <x:v>Sales operations manager</x:v>
      </x:c>
      <x:c r="E1113" s="4" t="str">
        <x:v>Paper transcribed</x:v>
      </x:c>
      <x:c r="F1113" s="4" t="str">
        <x:v>Record captured</x:v>
      </x:c>
      <x:c r="G1113" s="4" t="str">
        <x:v>Reserved</x:v>
      </x:c>
    </x:row>
    <x:row r="1114" ht="34" customHeight="1">
      <x:c r="A1114" s="4" t="str">
        <x:v>RS-01113-E1</x:v>
      </x:c>
      <x:c r="B1114" s="4" t="str">
        <x:v>RS-01113</x:v>
      </x:c>
      <x:c r="C1114" s="8" t="n">
        <x:v>45372</x:v>
      </x:c>
      <x:c r="D1114" s="4" t="str">
        <x:v>Sales operations manager</x:v>
      </x:c>
      <x:c r="E1114" s="4" t="str">
        <x:v>ERP form</x:v>
      </x:c>
      <x:c r="F1114" s="4" t="str">
        <x:v>Record captured</x:v>
      </x:c>
      <x:c r="G1114" s="4" t="str">
        <x:v>Booked</x:v>
      </x:c>
    </x:row>
    <x:row r="1115" ht="34" customHeight="1">
      <x:c r="A1115" s="4" t="str">
        <x:v>RS-01114-E1</x:v>
      </x:c>
      <x:c r="B1115" s="4" t="str">
        <x:v>RS-01114</x:v>
      </x:c>
      <x:c r="C1115" s="8" t="n">
        <x:v>45373</x:v>
      </x:c>
      <x:c r="D1115" s="4" t="str">
        <x:v>Sales operations manager</x:v>
      </x:c>
      <x:c r="E1115" s="4" t="str">
        <x:v>Paper transcribed</x:v>
      </x:c>
      <x:c r="F1115" s="4" t="str">
        <x:v>Record captured</x:v>
      </x:c>
      <x:c r="G1115" s="4" t="str">
        <x:v>Cancelled</x:v>
      </x:c>
    </x:row>
    <x:row r="1116" ht="34" customHeight="1">
      <x:c r="A1116" s="4" t="str">
        <x:v>RS-01115-E1</x:v>
      </x:c>
      <x:c r="B1116" s="4" t="str">
        <x:v>RS-01115</x:v>
      </x:c>
      <x:c r="C1116" s="8" t="n">
        <x:v>45374</x:v>
      </x:c>
      <x:c r="D1116" s="4" t="str">
        <x:v>Sales operations manager</x:v>
      </x:c>
      <x:c r="E1116" s="4" t="str">
        <x:v>ERP form</x:v>
      </x:c>
      <x:c r="F1116" s="4" t="str">
        <x:v>Record captured</x:v>
      </x:c>
      <x:c r="G1116" s="4" t="str">
        <x:v>Enquiry</x:v>
      </x:c>
    </x:row>
    <x:row r="1117" ht="34" customHeight="1">
      <x:c r="A1117" s="4" t="str">
        <x:v>RS-01116-E1</x:v>
      </x:c>
      <x:c r="B1117" s="4" t="str">
        <x:v>RS-01116</x:v>
      </x:c>
      <x:c r="C1117" s="8" t="n">
        <x:v>45375</x:v>
      </x:c>
      <x:c r="D1117" s="4" t="str">
        <x:v>Sales operations manager</x:v>
      </x:c>
      <x:c r="E1117" s="4" t="str">
        <x:v>Paper transcribed</x:v>
      </x:c>
      <x:c r="F1117" s="4" t="str">
        <x:v>Record captured</x:v>
      </x:c>
      <x:c r="G1117" s="4" t="str">
        <x:v>Booked</x:v>
      </x:c>
    </x:row>
    <x:row r="1118" ht="34" customHeight="1">
      <x:c r="A1118" s="4" t="str">
        <x:v>RS-01117-E1</x:v>
      </x:c>
      <x:c r="B1118" s="4" t="str">
        <x:v>RS-01117</x:v>
      </x:c>
      <x:c r="C1118" s="8" t="n">
        <x:v>45376</x:v>
      </x:c>
      <x:c r="D1118" s="4" t="str">
        <x:v>Sales operations manager</x:v>
      </x:c>
      <x:c r="E1118" s="4" t="str">
        <x:v>Paper transcribed</x:v>
      </x:c>
      <x:c r="F1118" s="4" t="str">
        <x:v>Record captured</x:v>
      </x:c>
      <x:c r="G1118" s="4" t="str">
        <x:v>Handed over</x:v>
      </x:c>
    </x:row>
    <x:row r="1119" ht="34" customHeight="1">
      <x:c r="A1119" s="4" t="str">
        <x:v>RS-01118-E1</x:v>
      </x:c>
      <x:c r="B1119" s="4" t="str">
        <x:v>RS-01118</x:v>
      </x:c>
      <x:c r="C1119" s="8" t="n">
        <x:v>45377</x:v>
      </x:c>
      <x:c r="D1119" s="4" t="str">
        <x:v>Sales operations manager</x:v>
      </x:c>
      <x:c r="E1119" s="4" t="str">
        <x:v>WhatsApp transcribed</x:v>
      </x:c>
      <x:c r="F1119" s="4" t="str">
        <x:v>Record captured</x:v>
      </x:c>
      <x:c r="G1119" s="4" t="str">
        <x:v>Cancelled</x:v>
      </x:c>
    </x:row>
    <x:row r="1120" ht="34" customHeight="1">
      <x:c r="A1120" s="4" t="str">
        <x:v>RS-01119-E1</x:v>
      </x:c>
      <x:c r="B1120" s="4" t="str">
        <x:v>RS-01119</x:v>
      </x:c>
      <x:c r="C1120" s="8" t="n">
        <x:v>45378</x:v>
      </x:c>
      <x:c r="D1120" s="4" t="str">
        <x:v>Sales operations manager</x:v>
      </x:c>
      <x:c r="E1120" s="4" t="str">
        <x:v>WhatsApp transcribed</x:v>
      </x:c>
      <x:c r="F1120" s="4" t="str">
        <x:v>Record captured</x:v>
      </x:c>
      <x:c r="G1120" s="4" t="str">
        <x:v>Agreement signed</x:v>
      </x:c>
    </x:row>
    <x:row r="1121" ht="34" customHeight="1">
      <x:c r="A1121" s="4" t="str">
        <x:v>RS-01120-E1</x:v>
      </x:c>
      <x:c r="B1121" s="4" t="str">
        <x:v>RS-01120</x:v>
      </x:c>
      <x:c r="C1121" s="8" t="n">
        <x:v>45379</x:v>
      </x:c>
      <x:c r="D1121" s="4" t="str">
        <x:v>Sales operations manager</x:v>
      </x:c>
      <x:c r="E1121" s="4" t="str">
        <x:v>ERP form</x:v>
      </x:c>
      <x:c r="F1121" s="4" t="str">
        <x:v>Record captured</x:v>
      </x:c>
      <x:c r="G1121" s="4" t="str">
        <x:v>Enquiry</x:v>
      </x:c>
    </x:row>
    <x:row r="1122" ht="34" customHeight="1">
      <x:c r="A1122" s="4" t="str">
        <x:v>RS-01121-E1</x:v>
      </x:c>
      <x:c r="B1122" s="4" t="str">
        <x:v>RS-01121</x:v>
      </x:c>
      <x:c r="C1122" s="8" t="n">
        <x:v>45352</x:v>
      </x:c>
      <x:c r="D1122" s="4" t="str">
        <x:v>Sales operations manager</x:v>
      </x:c>
      <x:c r="E1122" s="4" t="str">
        <x:v>ERP form</x:v>
      </x:c>
      <x:c r="F1122" s="4" t="str">
        <x:v>Record captured</x:v>
      </x:c>
      <x:c r="G1122" s="4" t="str">
        <x:v>Reserved</x:v>
      </x:c>
    </x:row>
    <x:row r="1123" ht="34" customHeight="1">
      <x:c r="A1123" s="4" t="str">
        <x:v>RS-01122-E1</x:v>
      </x:c>
      <x:c r="B1123" s="4" t="str">
        <x:v>RS-01122</x:v>
      </x:c>
      <x:c r="C1123" s="8" t="n">
        <x:v>45353</x:v>
      </x:c>
      <x:c r="D1123" s="4" t="str">
        <x:v>Sales operations manager</x:v>
      </x:c>
      <x:c r="E1123" s="4" t="str">
        <x:v>Spreadsheet import</x:v>
      </x:c>
      <x:c r="F1123" s="4" t="str">
        <x:v>Record captured</x:v>
      </x:c>
      <x:c r="G1123" s="4" t="str">
        <x:v>Agreement signed</x:v>
      </x:c>
    </x:row>
    <x:row r="1124" ht="34" customHeight="1">
      <x:c r="A1124" s="4" t="str">
        <x:v>RS-01123-E1</x:v>
      </x:c>
      <x:c r="B1124" s="4" t="str">
        <x:v>RS-01123</x:v>
      </x:c>
      <x:c r="C1124" s="8" t="n">
        <x:v>45354</x:v>
      </x:c>
      <x:c r="D1124" s="4" t="str">
        <x:v>Sales operations manager</x:v>
      </x:c>
      <x:c r="E1124" s="4" t="str">
        <x:v>ERP form</x:v>
      </x:c>
      <x:c r="F1124" s="4" t="str">
        <x:v>Record captured</x:v>
      </x:c>
      <x:c r="G1124" s="4" t="str">
        <x:v>Cancelled</x:v>
      </x:c>
    </x:row>
    <x:row r="1125" ht="34" customHeight="1">
      <x:c r="A1125" s="4" t="str">
        <x:v>RS-01124-E1</x:v>
      </x:c>
      <x:c r="B1125" s="4" t="str">
        <x:v>RS-01124</x:v>
      </x:c>
      <x:c r="C1125" s="8" t="n">
        <x:v>45355</x:v>
      </x:c>
      <x:c r="D1125" s="4" t="str">
        <x:v>Sales operations manager</x:v>
      </x:c>
      <x:c r="E1125" s="4" t="str">
        <x:v>WhatsApp transcribed</x:v>
      </x:c>
      <x:c r="F1125" s="4" t="str">
        <x:v>Record captured</x:v>
      </x:c>
      <x:c r="G1125" s="4" t="str">
        <x:v>Handed over</x:v>
      </x:c>
    </x:row>
    <x:row r="1126" ht="34" customHeight="1">
      <x:c r="A1126" s="4" t="str">
        <x:v>RS-01125-E1</x:v>
      </x:c>
      <x:c r="B1126" s="4" t="str">
        <x:v>RS-01125</x:v>
      </x:c>
      <x:c r="C1126" s="8" t="n">
        <x:v>45356</x:v>
      </x:c>
      <x:c r="D1126" s="4" t="str">
        <x:v>Sales operations manager</x:v>
      </x:c>
      <x:c r="E1126" s="4" t="str">
        <x:v>ERP form</x:v>
      </x:c>
      <x:c r="F1126" s="4" t="str">
        <x:v>Record captured</x:v>
      </x:c>
      <x:c r="G1126" s="4" t="str">
        <x:v>Agreement signed</x:v>
      </x:c>
    </x:row>
    <x:row r="1127" ht="34" customHeight="1">
      <x:c r="A1127" s="4" t="str">
        <x:v>RS-01126-E1</x:v>
      </x:c>
      <x:c r="B1127" s="4" t="str">
        <x:v>RS-01126</x:v>
      </x:c>
      <x:c r="C1127" s="8" t="n">
        <x:v>45357</x:v>
      </x:c>
      <x:c r="D1127" s="4" t="str">
        <x:v>Sales operations manager</x:v>
      </x:c>
      <x:c r="E1127" s="4" t="str">
        <x:v>WhatsApp transcribed</x:v>
      </x:c>
      <x:c r="F1127" s="4" t="str">
        <x:v>Record captured</x:v>
      </x:c>
      <x:c r="G1127" s="4" t="str">
        <x:v>Cancelled</x:v>
      </x:c>
    </x:row>
    <x:row r="1128" ht="34" customHeight="1">
      <x:c r="A1128" s="4" t="str">
        <x:v>RS-01127-E1</x:v>
      </x:c>
      <x:c r="B1128" s="4" t="str">
        <x:v>RS-01127</x:v>
      </x:c>
      <x:c r="C1128" s="8" t="n">
        <x:v>45358</x:v>
      </x:c>
      <x:c r="D1128" s="4" t="str">
        <x:v>Sales operations manager</x:v>
      </x:c>
      <x:c r="E1128" s="4" t="str">
        <x:v>Spreadsheet import</x:v>
      </x:c>
      <x:c r="F1128" s="4" t="str">
        <x:v>Record captured</x:v>
      </x:c>
      <x:c r="G1128" s="4" t="str">
        <x:v>Cancelled</x:v>
      </x:c>
    </x:row>
    <x:row r="1129" ht="34" customHeight="1">
      <x:c r="A1129" s="4" t="str">
        <x:v>RS-01128-E1</x:v>
      </x:c>
      <x:c r="B1129" s="4" t="str">
        <x:v>RS-01128</x:v>
      </x:c>
      <x:c r="C1129" s="8" t="n">
        <x:v>45359</x:v>
      </x:c>
      <x:c r="D1129" s="4" t="str">
        <x:v>Sales operations manager</x:v>
      </x:c>
      <x:c r="E1129" s="4" t="str">
        <x:v>ERP form</x:v>
      </x:c>
      <x:c r="F1129" s="4" t="str">
        <x:v>Record captured</x:v>
      </x:c>
      <x:c r="G1129" s="4" t="str">
        <x:v>Enquiry</x:v>
      </x:c>
    </x:row>
    <x:row r="1130" ht="34" customHeight="1">
      <x:c r="A1130" s="4" t="str">
        <x:v>RS-01129-E1</x:v>
      </x:c>
      <x:c r="B1130" s="4" t="str">
        <x:v>RS-01129</x:v>
      </x:c>
      <x:c r="C1130" s="8" t="n">
        <x:v>45360</x:v>
      </x:c>
      <x:c r="D1130" s="4" t="str">
        <x:v>Sales operations manager</x:v>
      </x:c>
      <x:c r="E1130" s="4" t="str">
        <x:v>Paper transcribed</x:v>
      </x:c>
      <x:c r="F1130" s="4" t="str">
        <x:v>Record captured</x:v>
      </x:c>
      <x:c r="G1130" s="4" t="str">
        <x:v>Enquiry</x:v>
      </x:c>
    </x:row>
    <x:row r="1131" ht="34" customHeight="1">
      <x:c r="A1131" s="4" t="str">
        <x:v>RS-01130-E1</x:v>
      </x:c>
      <x:c r="B1131" s="4" t="str">
        <x:v>RS-01130</x:v>
      </x:c>
      <x:c r="C1131" s="8" t="n">
        <x:v>45361</x:v>
      </x:c>
      <x:c r="D1131" s="4" t="str">
        <x:v>Sales operations manager</x:v>
      </x:c>
      <x:c r="E1131" s="4" t="str">
        <x:v>ERP form</x:v>
      </x:c>
      <x:c r="F1131" s="4" t="str">
        <x:v>Record captured</x:v>
      </x:c>
      <x:c r="G1131" s="4" t="str">
        <x:v>Booked</x:v>
      </x:c>
    </x:row>
    <x:row r="1132" ht="34" customHeight="1">
      <x:c r="A1132" s="4" t="str">
        <x:v>RS-01131-E1</x:v>
      </x:c>
      <x:c r="B1132" s="4" t="str">
        <x:v>RS-01131</x:v>
      </x:c>
      <x:c r="C1132" s="8" t="n">
        <x:v>45362</x:v>
      </x:c>
      <x:c r="D1132" s="4" t="str">
        <x:v>Sales operations manager</x:v>
      </x:c>
      <x:c r="E1132" s="4" t="str">
        <x:v>Spreadsheet import</x:v>
      </x:c>
      <x:c r="F1132" s="4" t="str">
        <x:v>Record captured</x:v>
      </x:c>
      <x:c r="G1132" s="4" t="str">
        <x:v>Booked</x:v>
      </x:c>
    </x:row>
    <x:row r="1133" ht="34" customHeight="1">
      <x:c r="A1133" s="4" t="str">
        <x:v>RS-01132-E1</x:v>
      </x:c>
      <x:c r="B1133" s="4" t="str">
        <x:v>RS-01132</x:v>
      </x:c>
      <x:c r="C1133" s="8" t="n">
        <x:v>45363</x:v>
      </x:c>
      <x:c r="D1133" s="4" t="str">
        <x:v>Sales operations manager</x:v>
      </x:c>
      <x:c r="E1133" s="4" t="str">
        <x:v>ERP form</x:v>
      </x:c>
      <x:c r="F1133" s="4" t="str">
        <x:v>Record captured</x:v>
      </x:c>
      <x:c r="G1133" s="4" t="str">
        <x:v>Reserved</x:v>
      </x:c>
    </x:row>
    <x:row r="1134" ht="34" customHeight="1">
      <x:c r="A1134" s="4" t="str">
        <x:v>RS-01133-E1</x:v>
      </x:c>
      <x:c r="B1134" s="4" t="str">
        <x:v>RS-01133</x:v>
      </x:c>
      <x:c r="C1134" s="8" t="n">
        <x:v>45364</x:v>
      </x:c>
      <x:c r="D1134" s="4" t="str">
        <x:v>Sales operations manager</x:v>
      </x:c>
      <x:c r="E1134" s="4" t="str">
        <x:v>Spreadsheet import</x:v>
      </x:c>
      <x:c r="F1134" s="4" t="str">
        <x:v>Record captured</x:v>
      </x:c>
      <x:c r="G1134" s="4" t="str">
        <x:v>Agreement signed</x:v>
      </x:c>
    </x:row>
    <x:row r="1135" ht="34" customHeight="1">
      <x:c r="A1135" s="4" t="str">
        <x:v>RS-01134-E1</x:v>
      </x:c>
      <x:c r="B1135" s="4" t="str">
        <x:v>RS-01134</x:v>
      </x:c>
      <x:c r="C1135" s="8" t="n">
        <x:v>45365</x:v>
      </x:c>
      <x:c r="D1135" s="4" t="str">
        <x:v>Sales operations manager</x:v>
      </x:c>
      <x:c r="E1135" s="4" t="str">
        <x:v>Spreadsheet import</x:v>
      </x:c>
      <x:c r="F1135" s="4" t="str">
        <x:v>Record captured</x:v>
      </x:c>
      <x:c r="G1135" s="4" t="str">
        <x:v>Cancelled</x:v>
      </x:c>
    </x:row>
    <x:row r="1136" ht="34" customHeight="1">
      <x:c r="A1136" s="4" t="str">
        <x:v>RS-01135-E1</x:v>
      </x:c>
      <x:c r="B1136" s="4" t="str">
        <x:v>RS-01135</x:v>
      </x:c>
      <x:c r="C1136" s="8" t="n">
        <x:v>45366</x:v>
      </x:c>
      <x:c r="D1136" s="4" t="str">
        <x:v>Sales operations manager</x:v>
      </x:c>
      <x:c r="E1136" s="4" t="str">
        <x:v>Spreadsheet import</x:v>
      </x:c>
      <x:c r="F1136" s="4" t="str">
        <x:v>Record captured</x:v>
      </x:c>
      <x:c r="G1136" s="4" t="str">
        <x:v>Handed over</x:v>
      </x:c>
    </x:row>
    <x:row r="1137" ht="34" customHeight="1">
      <x:c r="A1137" s="4" t="str">
        <x:v>RS-01136-E1</x:v>
      </x:c>
      <x:c r="B1137" s="4" t="str">
        <x:v>RS-01136</x:v>
      </x:c>
      <x:c r="C1137" s="8" t="n">
        <x:v>45367</x:v>
      </x:c>
      <x:c r="D1137" s="4" t="str">
        <x:v>Sales operations manager</x:v>
      </x:c>
      <x:c r="E1137" s="4" t="str">
        <x:v>Paper transcribed</x:v>
      </x:c>
      <x:c r="F1137" s="4" t="str">
        <x:v>Record captured</x:v>
      </x:c>
      <x:c r="G1137" s="4" t="str">
        <x:v>Enquiry</x:v>
      </x:c>
    </x:row>
    <x:row r="1138" ht="34" customHeight="1">
      <x:c r="A1138" s="4" t="str">
        <x:v>RS-01137-E1</x:v>
      </x:c>
      <x:c r="B1138" s="4" t="str">
        <x:v>RS-01137</x:v>
      </x:c>
      <x:c r="C1138" s="8" t="n">
        <x:v>45368</x:v>
      </x:c>
      <x:c r="D1138" s="4" t="str">
        <x:v>Sales operations manager</x:v>
      </x:c>
      <x:c r="E1138" s="4" t="str">
        <x:v>WhatsApp transcribed</x:v>
      </x:c>
      <x:c r="F1138" s="4" t="str">
        <x:v>Record captured</x:v>
      </x:c>
      <x:c r="G1138" s="4" t="str">
        <x:v>Cancelled</x:v>
      </x:c>
    </x:row>
    <x:row r="1139" ht="34" customHeight="1">
      <x:c r="A1139" s="4" t="str">
        <x:v>RS-01138-E1</x:v>
      </x:c>
      <x:c r="B1139" s="4" t="str">
        <x:v>RS-01138</x:v>
      </x:c>
      <x:c r="C1139" s="8" t="n">
        <x:v>45369</x:v>
      </x:c>
      <x:c r="D1139" s="4" t="str">
        <x:v>Sales operations manager</x:v>
      </x:c>
      <x:c r="E1139" s="4" t="str">
        <x:v>Paper transcribed</x:v>
      </x:c>
      <x:c r="F1139" s="4" t="str">
        <x:v>Record captured</x:v>
      </x:c>
      <x:c r="G1139" s="4" t="str">
        <x:v>Enquiry</x:v>
      </x:c>
    </x:row>
    <x:row r="1140" ht="34" customHeight="1">
      <x:c r="A1140" s="4" t="str">
        <x:v>RS-01139-E1</x:v>
      </x:c>
      <x:c r="B1140" s="4" t="str">
        <x:v>RS-01139</x:v>
      </x:c>
      <x:c r="C1140" s="8" t="n">
        <x:v>45370</x:v>
      </x:c>
      <x:c r="D1140" s="4" t="str">
        <x:v>Sales operations manager</x:v>
      </x:c>
      <x:c r="E1140" s="4" t="str">
        <x:v>Spreadsheet import</x:v>
      </x:c>
      <x:c r="F1140" s="4" t="str">
        <x:v>Record captured</x:v>
      </x:c>
      <x:c r="G1140" s="4" t="str">
        <x:v>Enquiry</x:v>
      </x:c>
    </x:row>
    <x:row r="1141" ht="34" customHeight="1">
      <x:c r="A1141" s="4" t="str">
        <x:v>RS-01140-E1</x:v>
      </x:c>
      <x:c r="B1141" s="4" t="str">
        <x:v>RS-01140</x:v>
      </x:c>
      <x:c r="C1141" s="8" t="n">
        <x:v>45371</x:v>
      </x:c>
      <x:c r="D1141" s="4" t="str">
        <x:v>Sales operations manager</x:v>
      </x:c>
      <x:c r="E1141" s="4" t="str">
        <x:v>WhatsApp transcribed</x:v>
      </x:c>
      <x:c r="F1141" s="4" t="str">
        <x:v>Record captured</x:v>
      </x:c>
      <x:c r="G1141" s="4" t="str">
        <x:v>Booked</x:v>
      </x:c>
    </x:row>
    <x:row r="1142" ht="34" customHeight="1">
      <x:c r="A1142" s="4" t="str">
        <x:v>RS-01141-E1</x:v>
      </x:c>
      <x:c r="B1142" s="4" t="str">
        <x:v>RS-01141</x:v>
      </x:c>
      <x:c r="C1142" s="8" t="n">
        <x:v>45372</x:v>
      </x:c>
      <x:c r="D1142" s="4" t="str">
        <x:v>Sales operations manager</x:v>
      </x:c>
      <x:c r="E1142" s="4" t="str">
        <x:v>WhatsApp transcribed</x:v>
      </x:c>
      <x:c r="F1142" s="4" t="str">
        <x:v>Record captured</x:v>
      </x:c>
      <x:c r="G1142" s="4" t="str">
        <x:v>Enquiry</x:v>
      </x:c>
    </x:row>
    <x:row r="1143" ht="34" customHeight="1">
      <x:c r="A1143" s="4" t="str">
        <x:v>RS-01142-E1</x:v>
      </x:c>
      <x:c r="B1143" s="4" t="str">
        <x:v>RS-01142</x:v>
      </x:c>
      <x:c r="C1143" s="8" t="n">
        <x:v>45373</x:v>
      </x:c>
      <x:c r="D1143" s="4" t="str">
        <x:v>Sales operations manager</x:v>
      </x:c>
      <x:c r="E1143" s="4" t="str">
        <x:v>WhatsApp transcribed</x:v>
      </x:c>
      <x:c r="F1143" s="4" t="str">
        <x:v>Record captured</x:v>
      </x:c>
      <x:c r="G1143" s="4" t="str">
        <x:v>Enquiry</x:v>
      </x:c>
    </x:row>
    <x:row r="1144" ht="34" customHeight="1">
      <x:c r="A1144" s="4" t="str">
        <x:v>RS-01143-E1</x:v>
      </x:c>
      <x:c r="B1144" s="4" t="str">
        <x:v>RS-01143</x:v>
      </x:c>
      <x:c r="C1144" s="8" t="n">
        <x:v>45374</x:v>
      </x:c>
      <x:c r="D1144" s="4" t="str">
        <x:v>Sales operations manager</x:v>
      </x:c>
      <x:c r="E1144" s="4" t="str">
        <x:v>ERP form</x:v>
      </x:c>
      <x:c r="F1144" s="4" t="str">
        <x:v>Record captured</x:v>
      </x:c>
      <x:c r="G1144" s="4" t="str">
        <x:v>Booked</x:v>
      </x:c>
    </x:row>
    <x:row r="1145" ht="34" customHeight="1">
      <x:c r="A1145" s="4" t="str">
        <x:v>RS-01144-E1</x:v>
      </x:c>
      <x:c r="B1145" s="4" t="str">
        <x:v>RS-01144</x:v>
      </x:c>
      <x:c r="C1145" s="8" t="n">
        <x:v>45375</x:v>
      </x:c>
      <x:c r="D1145" s="4" t="str">
        <x:v>Sales operations manager</x:v>
      </x:c>
      <x:c r="E1145" s="4" t="str">
        <x:v>Paper transcribed</x:v>
      </x:c>
      <x:c r="F1145" s="4" t="str">
        <x:v>Record captured</x:v>
      </x:c>
      <x:c r="G1145" s="4" t="str">
        <x:v>Booked</x:v>
      </x:c>
    </x:row>
    <x:row r="1146" ht="34" customHeight="1">
      <x:c r="A1146" s="4" t="str">
        <x:v>RS-01145-E1</x:v>
      </x:c>
      <x:c r="B1146" s="4" t="str">
        <x:v>RS-01145</x:v>
      </x:c>
      <x:c r="C1146" s="8" t="n">
        <x:v>45376</x:v>
      </x:c>
      <x:c r="D1146" s="4" t="str">
        <x:v>Sales operations manager</x:v>
      </x:c>
      <x:c r="E1146" s="4" t="str">
        <x:v>Paper transcribed</x:v>
      </x:c>
      <x:c r="F1146" s="4" t="str">
        <x:v>Record captured</x:v>
      </x:c>
      <x:c r="G1146" s="4" t="str">
        <x:v>Handed over</x:v>
      </x:c>
    </x:row>
    <x:row r="1147" ht="34" customHeight="1">
      <x:c r="A1147" s="4" t="str">
        <x:v>RS-01146-E1</x:v>
      </x:c>
      <x:c r="B1147" s="4" t="str">
        <x:v>RS-01146</x:v>
      </x:c>
      <x:c r="C1147" s="8" t="n">
        <x:v>45377</x:v>
      </x:c>
      <x:c r="D1147" s="4" t="str">
        <x:v>Sales operations manager</x:v>
      </x:c>
      <x:c r="E1147" s="4" t="str">
        <x:v>WhatsApp transcribed</x:v>
      </x:c>
      <x:c r="F1147" s="4" t="str">
        <x:v>Record captured</x:v>
      </x:c>
      <x:c r="G1147" s="4" t="str">
        <x:v>Enquiry</x:v>
      </x:c>
    </x:row>
    <x:row r="1148" ht="34" customHeight="1">
      <x:c r="A1148" s="4" t="str">
        <x:v>RS-01147-E1</x:v>
      </x:c>
      <x:c r="B1148" s="4" t="str">
        <x:v>RS-01147</x:v>
      </x:c>
      <x:c r="C1148" s="8" t="n">
        <x:v>45378</x:v>
      </x:c>
      <x:c r="D1148" s="4" t="str">
        <x:v>Sales operations manager</x:v>
      </x:c>
      <x:c r="E1148" s="4" t="str">
        <x:v>WhatsApp transcribed</x:v>
      </x:c>
      <x:c r="F1148" s="4" t="str">
        <x:v>Record captured</x:v>
      </x:c>
      <x:c r="G1148" s="4" t="str">
        <x:v>Reserved</x:v>
      </x:c>
    </x:row>
    <x:row r="1149" ht="34" customHeight="1">
      <x:c r="A1149" s="4" t="str">
        <x:v>RS-01148-E1</x:v>
      </x:c>
      <x:c r="B1149" s="4" t="str">
        <x:v>RS-01148</x:v>
      </x:c>
      <x:c r="C1149" s="8" t="n">
        <x:v>45379</x:v>
      </x:c>
      <x:c r="D1149" s="4" t="str">
        <x:v>Sales operations manager</x:v>
      </x:c>
      <x:c r="E1149" s="4" t="str">
        <x:v>WhatsApp transcribed</x:v>
      </x:c>
      <x:c r="F1149" s="4" t="str">
        <x:v>Record captured</x:v>
      </x:c>
      <x:c r="G1149" s="4" t="str">
        <x:v>Agreement signed</x:v>
      </x:c>
    </x:row>
    <x:row r="1150" ht="34" customHeight="1">
      <x:c r="A1150" s="4" t="str">
        <x:v>RS-01149-E1</x:v>
      </x:c>
      <x:c r="B1150" s="4" t="str">
        <x:v>RS-01149</x:v>
      </x:c>
      <x:c r="C1150" s="8" t="n">
        <x:v>45352</x:v>
      </x:c>
      <x:c r="D1150" s="4" t="str">
        <x:v>Sales operations manager</x:v>
      </x:c>
      <x:c r="E1150" s="4" t="str">
        <x:v>ERP form</x:v>
      </x:c>
      <x:c r="F1150" s="4" t="str">
        <x:v>Record captured</x:v>
      </x:c>
      <x:c r="G1150" s="4" t="str">
        <x:v>Booked</x:v>
      </x:c>
    </x:row>
    <x:row r="1151" ht="34" customHeight="1">
      <x:c r="A1151" s="4" t="str">
        <x:v>RS-01150-E1</x:v>
      </x:c>
      <x:c r="B1151" s="4" t="str">
        <x:v>RS-01150</x:v>
      </x:c>
      <x:c r="C1151" s="8" t="n">
        <x:v>45353</x:v>
      </x:c>
      <x:c r="D1151" s="4" t="str">
        <x:v>Sales operations manager</x:v>
      </x:c>
      <x:c r="E1151" s="4" t="str">
        <x:v>Paper transcribed</x:v>
      </x:c>
      <x:c r="F1151" s="4" t="str">
        <x:v>Record captured</x:v>
      </x:c>
      <x:c r="G1151" s="4" t="str">
        <x:v>Reserved</x:v>
      </x:c>
    </x:row>
    <x:row r="1152" ht="34" customHeight="1">
      <x:c r="A1152" s="4" t="str">
        <x:v>RS-01151-E1</x:v>
      </x:c>
      <x:c r="B1152" s="4" t="str">
        <x:v>RS-01151</x:v>
      </x:c>
      <x:c r="C1152" s="8" t="n">
        <x:v>45354</x:v>
      </x:c>
      <x:c r="D1152" s="4" t="str">
        <x:v>Sales operations manager</x:v>
      </x:c>
      <x:c r="E1152" s="4" t="str">
        <x:v>Paper transcribed</x:v>
      </x:c>
      <x:c r="F1152" s="4" t="str">
        <x:v>Record captured</x:v>
      </x:c>
      <x:c r="G1152" s="4" t="str">
        <x:v>Booked</x:v>
      </x:c>
    </x:row>
    <x:row r="1153" ht="34" customHeight="1">
      <x:c r="A1153" s="4" t="str">
        <x:v>RS-01152-E1</x:v>
      </x:c>
      <x:c r="B1153" s="4" t="str">
        <x:v>RS-01152</x:v>
      </x:c>
      <x:c r="C1153" s="8" t="n">
        <x:v>45355</x:v>
      </x:c>
      <x:c r="D1153" s="4" t="str">
        <x:v>Sales operations manager</x:v>
      </x:c>
      <x:c r="E1153" s="4" t="str">
        <x:v>Paper transcribed</x:v>
      </x:c>
      <x:c r="F1153" s="4" t="str">
        <x:v>Record captured</x:v>
      </x:c>
      <x:c r="G1153" s="4" t="str">
        <x:v>Agreement signed</x:v>
      </x:c>
    </x:row>
    <x:row r="1154" ht="34" customHeight="1">
      <x:c r="A1154" s="4" t="str">
        <x:v>RS-01153-E1</x:v>
      </x:c>
      <x:c r="B1154" s="4" t="str">
        <x:v>RS-01153</x:v>
      </x:c>
      <x:c r="C1154" s="8" t="n">
        <x:v>45356</x:v>
      </x:c>
      <x:c r="D1154" s="4" t="str">
        <x:v>Sales operations manager</x:v>
      </x:c>
      <x:c r="E1154" s="4" t="str">
        <x:v>ERP form</x:v>
      </x:c>
      <x:c r="F1154" s="4" t="str">
        <x:v>Record captured</x:v>
      </x:c>
      <x:c r="G1154" s="4" t="str">
        <x:v>Cancelled</x:v>
      </x:c>
    </x:row>
    <x:row r="1155" ht="34" customHeight="1">
      <x:c r="A1155" s="4" t="str">
        <x:v>RS-01154-E1</x:v>
      </x:c>
      <x:c r="B1155" s="4" t="str">
        <x:v>RS-01154</x:v>
      </x:c>
      <x:c r="C1155" s="8" t="n">
        <x:v>45357</x:v>
      </x:c>
      <x:c r="D1155" s="4" t="str">
        <x:v>Sales operations manager</x:v>
      </x:c>
      <x:c r="E1155" s="4" t="str">
        <x:v>ERP form</x:v>
      </x:c>
      <x:c r="F1155" s="4" t="str">
        <x:v>Record captured</x:v>
      </x:c>
      <x:c r="G1155" s="4" t="str">
        <x:v>Booked</x:v>
      </x:c>
    </x:row>
    <x:row r="1156" ht="34" customHeight="1">
      <x:c r="A1156" s="4" t="str">
        <x:v>RS-01155-E1</x:v>
      </x:c>
      <x:c r="B1156" s="4" t="str">
        <x:v>RS-01155</x:v>
      </x:c>
      <x:c r="C1156" s="8" t="n">
        <x:v>45358</x:v>
      </x:c>
      <x:c r="D1156" s="4" t="str">
        <x:v>Sales operations manager</x:v>
      </x:c>
      <x:c r="E1156" s="4" t="str">
        <x:v>Spreadsheet import</x:v>
      </x:c>
      <x:c r="F1156" s="4" t="str">
        <x:v>Record captured</x:v>
      </x:c>
      <x:c r="G1156" s="4" t="str">
        <x:v>Handed over</x:v>
      </x:c>
    </x:row>
    <x:row r="1157" ht="34" customHeight="1">
      <x:c r="A1157" s="4" t="str">
        <x:v>RS-01156-E1</x:v>
      </x:c>
      <x:c r="B1157" s="4" t="str">
        <x:v>RS-01156</x:v>
      </x:c>
      <x:c r="C1157" s="8" t="n">
        <x:v>45359</x:v>
      </x:c>
      <x:c r="D1157" s="4" t="str">
        <x:v>Sales operations manager</x:v>
      </x:c>
      <x:c r="E1157" s="4" t="str">
        <x:v>Paper transcribed</x:v>
      </x:c>
      <x:c r="F1157" s="4" t="str">
        <x:v>Record captured</x:v>
      </x:c>
      <x:c r="G1157" s="4" t="str">
        <x:v>Enquiry</x:v>
      </x:c>
    </x:row>
    <x:row r="1158" ht="34" customHeight="1">
      <x:c r="A1158" s="4" t="str">
        <x:v>RS-01157-E1</x:v>
      </x:c>
      <x:c r="B1158" s="4" t="str">
        <x:v>RS-01157</x:v>
      </x:c>
      <x:c r="C1158" s="8" t="n">
        <x:v>45360</x:v>
      </x:c>
      <x:c r="D1158" s="4" t="str">
        <x:v>Sales operations manager</x:v>
      </x:c>
      <x:c r="E1158" s="4" t="str">
        <x:v>ERP form</x:v>
      </x:c>
      <x:c r="F1158" s="4" t="str">
        <x:v>Record captured</x:v>
      </x:c>
      <x:c r="G1158" s="4" t="str">
        <x:v>Handed over</x:v>
      </x:c>
    </x:row>
    <x:row r="1159" ht="34" customHeight="1">
      <x:c r="A1159" s="4" t="str">
        <x:v>RS-01158-E1</x:v>
      </x:c>
      <x:c r="B1159" s="4" t="str">
        <x:v>RS-01158</x:v>
      </x:c>
      <x:c r="C1159" s="8" t="n">
        <x:v>45361</x:v>
      </x:c>
      <x:c r="D1159" s="4" t="str">
        <x:v>Sales operations manager</x:v>
      </x:c>
      <x:c r="E1159" s="4" t="str">
        <x:v>ERP form</x:v>
      </x:c>
      <x:c r="F1159" s="4" t="str">
        <x:v>Record captured</x:v>
      </x:c>
      <x:c r="G1159" s="4" t="str">
        <x:v>Handed over</x:v>
      </x:c>
    </x:row>
    <x:row r="1160" ht="34" customHeight="1">
      <x:c r="A1160" s="4" t="str">
        <x:v>RS-01159-E1</x:v>
      </x:c>
      <x:c r="B1160" s="4" t="str">
        <x:v>RS-01159</x:v>
      </x:c>
      <x:c r="C1160" s="8" t="n">
        <x:v>45362</x:v>
      </x:c>
      <x:c r="D1160" s="4" t="str">
        <x:v>Sales operations manager</x:v>
      </x:c>
      <x:c r="E1160" s="4" t="str">
        <x:v>Paper transcribed</x:v>
      </x:c>
      <x:c r="F1160" s="4" t="str">
        <x:v>Record captured</x:v>
      </x:c>
      <x:c r="G1160" s="4" t="str">
        <x:v>Cancelled</x:v>
      </x:c>
    </x:row>
    <x:row r="1161" ht="34" customHeight="1">
      <x:c r="A1161" s="4" t="str">
        <x:v>RS-01160-E1</x:v>
      </x:c>
      <x:c r="B1161" s="4" t="str">
        <x:v>RS-01160</x:v>
      </x:c>
      <x:c r="C1161" s="8" t="n">
        <x:v>45363</x:v>
      </x:c>
      <x:c r="D1161" s="4" t="str">
        <x:v>Sales operations manager</x:v>
      </x:c>
      <x:c r="E1161" s="4" t="str">
        <x:v>Paper transcribed</x:v>
      </x:c>
      <x:c r="F1161" s="4" t="str">
        <x:v>Record captured</x:v>
      </x:c>
      <x:c r="G1161" s="4" t="str">
        <x:v>Reserved</x:v>
      </x:c>
    </x:row>
    <x:row r="1162" ht="34" customHeight="1">
      <x:c r="A1162" s="4" t="str">
        <x:v>RS-01161-E1</x:v>
      </x:c>
      <x:c r="B1162" s="4" t="str">
        <x:v>RS-01161</x:v>
      </x:c>
      <x:c r="C1162" s="8" t="n">
        <x:v>45364</x:v>
      </x:c>
      <x:c r="D1162" s="4" t="str">
        <x:v>Sales operations manager</x:v>
      </x:c>
      <x:c r="E1162" s="4" t="str">
        <x:v>ERP form</x:v>
      </x:c>
      <x:c r="F1162" s="4" t="str">
        <x:v>Record captured</x:v>
      </x:c>
      <x:c r="G1162" s="4" t="str">
        <x:v>Enquiry</x:v>
      </x:c>
    </x:row>
    <x:row r="1163" ht="34" customHeight="1">
      <x:c r="A1163" s="4" t="str">
        <x:v>RS-01162-E1</x:v>
      </x:c>
      <x:c r="B1163" s="4" t="str">
        <x:v>RS-01162</x:v>
      </x:c>
      <x:c r="C1163" s="8" t="n">
        <x:v>45365</x:v>
      </x:c>
      <x:c r="D1163" s="4" t="str">
        <x:v>Sales operations manager</x:v>
      </x:c>
      <x:c r="E1163" s="4" t="str">
        <x:v>WhatsApp transcribed</x:v>
      </x:c>
      <x:c r="F1163" s="4" t="str">
        <x:v>Record captured</x:v>
      </x:c>
      <x:c r="G1163" s="4" t="str">
        <x:v>Booked</x:v>
      </x:c>
    </x:row>
    <x:row r="1164" ht="34" customHeight="1">
      <x:c r="A1164" s="4" t="str">
        <x:v>RS-01163-E1</x:v>
      </x:c>
      <x:c r="B1164" s="4" t="str">
        <x:v>RS-01163</x:v>
      </x:c>
      <x:c r="C1164" s="8" t="n">
        <x:v>45366</x:v>
      </x:c>
      <x:c r="D1164" s="4" t="str">
        <x:v>Sales operations manager</x:v>
      </x:c>
      <x:c r="E1164" s="4" t="str">
        <x:v>Paper transcribed</x:v>
      </x:c>
      <x:c r="F1164" s="4" t="str">
        <x:v>Record captured</x:v>
      </x:c>
      <x:c r="G1164" s="4" t="str">
        <x:v>Cancelled</x:v>
      </x:c>
    </x:row>
    <x:row r="1165" ht="34" customHeight="1">
      <x:c r="A1165" s="4" t="str">
        <x:v>RS-01164-E1</x:v>
      </x:c>
      <x:c r="B1165" s="4" t="str">
        <x:v>RS-01164</x:v>
      </x:c>
      <x:c r="C1165" s="8" t="n">
        <x:v>45367</x:v>
      </x:c>
      <x:c r="D1165" s="4" t="str">
        <x:v>Sales operations manager</x:v>
      </x:c>
      <x:c r="E1165" s="4" t="str">
        <x:v>Paper transcribed</x:v>
      </x:c>
      <x:c r="F1165" s="4" t="str">
        <x:v>Record captured</x:v>
      </x:c>
      <x:c r="G1165" s="4" t="str">
        <x:v>Enquiry</x:v>
      </x:c>
    </x:row>
    <x:row r="1166" ht="34" customHeight="1">
      <x:c r="A1166" s="4" t="str">
        <x:v>RS-01165-E1</x:v>
      </x:c>
      <x:c r="B1166" s="4" t="str">
        <x:v>RS-01165</x:v>
      </x:c>
      <x:c r="C1166" s="8" t="n">
        <x:v>45368</x:v>
      </x:c>
      <x:c r="D1166" s="4" t="str">
        <x:v>Sales operations manager</x:v>
      </x:c>
      <x:c r="E1166" s="4" t="str">
        <x:v>ERP form</x:v>
      </x:c>
      <x:c r="F1166" s="4" t="str">
        <x:v>Record captured</x:v>
      </x:c>
      <x:c r="G1166" s="4" t="str">
        <x:v>Enquiry</x:v>
      </x:c>
    </x:row>
    <x:row r="1167" ht="34" customHeight="1">
      <x:c r="A1167" s="4" t="str">
        <x:v>RS-01166-E1</x:v>
      </x:c>
      <x:c r="B1167" s="4" t="str">
        <x:v>RS-01166</x:v>
      </x:c>
      <x:c r="C1167" s="8" t="n">
        <x:v>45369</x:v>
      </x:c>
      <x:c r="D1167" s="4" t="str">
        <x:v>Sales operations manager</x:v>
      </x:c>
      <x:c r="E1167" s="4" t="str">
        <x:v>Spreadsheet import</x:v>
      </x:c>
      <x:c r="F1167" s="4" t="str">
        <x:v>Record captured</x:v>
      </x:c>
      <x:c r="G1167" s="4" t="str">
        <x:v>Agreement signed</x:v>
      </x:c>
    </x:row>
    <x:row r="1168" ht="34" customHeight="1">
      <x:c r="A1168" s="4" t="str">
        <x:v>RS-01167-E1</x:v>
      </x:c>
      <x:c r="B1168" s="4" t="str">
        <x:v>RS-01167</x:v>
      </x:c>
      <x:c r="C1168" s="8" t="n">
        <x:v>45370</x:v>
      </x:c>
      <x:c r="D1168" s="4" t="str">
        <x:v>Sales operations manager</x:v>
      </x:c>
      <x:c r="E1168" s="4" t="str">
        <x:v>Paper transcribed</x:v>
      </x:c>
      <x:c r="F1168" s="4" t="str">
        <x:v>Record captured</x:v>
      </x:c>
      <x:c r="G1168" s="4" t="str">
        <x:v>Handed over</x:v>
      </x:c>
    </x:row>
    <x:row r="1169" ht="34" customHeight="1">
      <x:c r="A1169" s="4" t="str">
        <x:v>RS-01168-E1</x:v>
      </x:c>
      <x:c r="B1169" s="4" t="str">
        <x:v>RS-01168</x:v>
      </x:c>
      <x:c r="C1169" s="8" t="n">
        <x:v>45371</x:v>
      </x:c>
      <x:c r="D1169" s="4" t="str">
        <x:v>Sales operations manager</x:v>
      </x:c>
      <x:c r="E1169" s="4" t="str">
        <x:v>Spreadsheet import</x:v>
      </x:c>
      <x:c r="F1169" s="4" t="str">
        <x:v>Record captured</x:v>
      </x:c>
      <x:c r="G1169" s="4" t="str">
        <x:v>Handed over</x:v>
      </x:c>
    </x:row>
    <x:row r="1170" ht="34" customHeight="1">
      <x:c r="A1170" s="4" t="str">
        <x:v>RS-01169-E1</x:v>
      </x:c>
      <x:c r="B1170" s="4" t="str">
        <x:v>RS-01169</x:v>
      </x:c>
      <x:c r="C1170" s="8" t="n">
        <x:v>45372</x:v>
      </x:c>
      <x:c r="D1170" s="4" t="str">
        <x:v>Sales operations manager</x:v>
      </x:c>
      <x:c r="E1170" s="4" t="str">
        <x:v>ERP form</x:v>
      </x:c>
      <x:c r="F1170" s="4" t="str">
        <x:v>Record captured</x:v>
      </x:c>
      <x:c r="G1170" s="4" t="str">
        <x:v>Enquiry</x:v>
      </x:c>
    </x:row>
    <x:row r="1171" ht="34" customHeight="1">
      <x:c r="A1171" s="4" t="str">
        <x:v>RS-01170-E1</x:v>
      </x:c>
      <x:c r="B1171" s="4" t="str">
        <x:v>RS-01170</x:v>
      </x:c>
      <x:c r="C1171" s="8" t="n">
        <x:v>45373</x:v>
      </x:c>
      <x:c r="D1171" s="4" t="str">
        <x:v>Sales operations manager</x:v>
      </x:c>
      <x:c r="E1171" s="4" t="str">
        <x:v>WhatsApp transcribed</x:v>
      </x:c>
      <x:c r="F1171" s="4" t="str">
        <x:v>Record captured</x:v>
      </x:c>
      <x:c r="G1171" s="4" t="str">
        <x:v>Booked</x:v>
      </x:c>
    </x:row>
    <x:row r="1172" ht="34" customHeight="1">
      <x:c r="A1172" s="4" t="str">
        <x:v>RS-01171-E1</x:v>
      </x:c>
      <x:c r="B1172" s="4" t="str">
        <x:v>RS-01171</x:v>
      </x:c>
      <x:c r="C1172" s="8" t="n">
        <x:v>45374</x:v>
      </x:c>
      <x:c r="D1172" s="4" t="str">
        <x:v>Sales operations manager</x:v>
      </x:c>
      <x:c r="E1172" s="4" t="str">
        <x:v>Spreadsheet import</x:v>
      </x:c>
      <x:c r="F1172" s="4" t="str">
        <x:v>Record captured</x:v>
      </x:c>
      <x:c r="G1172" s="4" t="str">
        <x:v>Enquiry</x:v>
      </x:c>
    </x:row>
    <x:row r="1173" ht="34" customHeight="1">
      <x:c r="A1173" s="4" t="str">
        <x:v>RS-01172-E1</x:v>
      </x:c>
      <x:c r="B1173" s="4" t="str">
        <x:v>RS-01172</x:v>
      </x:c>
      <x:c r="C1173" s="8" t="n">
        <x:v>45375</x:v>
      </x:c>
      <x:c r="D1173" s="4" t="str">
        <x:v>Sales operations manager</x:v>
      </x:c>
      <x:c r="E1173" s="4" t="str">
        <x:v>Spreadsheet import</x:v>
      </x:c>
      <x:c r="F1173" s="4" t="str">
        <x:v>Record captured</x:v>
      </x:c>
      <x:c r="G1173" s="4" t="str">
        <x:v>Handed over</x:v>
      </x:c>
    </x:row>
    <x:row r="1174" ht="34" customHeight="1">
      <x:c r="A1174" s="4" t="str">
        <x:v>RS-01173-E1</x:v>
      </x:c>
      <x:c r="B1174" s="4" t="str">
        <x:v>RS-01173</x:v>
      </x:c>
      <x:c r="C1174" s="8" t="n">
        <x:v>45376</x:v>
      </x:c>
      <x:c r="D1174" s="4" t="str">
        <x:v>Sales operations manager</x:v>
      </x:c>
      <x:c r="E1174" s="4" t="str">
        <x:v>Paper transcribed</x:v>
      </x:c>
      <x:c r="F1174" s="4" t="str">
        <x:v>Record captured</x:v>
      </x:c>
      <x:c r="G1174" s="4" t="str">
        <x:v>Handed over</x:v>
      </x:c>
    </x:row>
    <x:row r="1175" ht="34" customHeight="1">
      <x:c r="A1175" s="4" t="str">
        <x:v>RS-01174-E1</x:v>
      </x:c>
      <x:c r="B1175" s="4" t="str">
        <x:v>RS-01174</x:v>
      </x:c>
      <x:c r="C1175" s="8" t="n">
        <x:v>45377</x:v>
      </x:c>
      <x:c r="D1175" s="4" t="str">
        <x:v>Sales operations manager</x:v>
      </x:c>
      <x:c r="E1175" s="4" t="str">
        <x:v>WhatsApp transcribed</x:v>
      </x:c>
      <x:c r="F1175" s="4" t="str">
        <x:v>Record captured</x:v>
      </x:c>
      <x:c r="G1175" s="4" t="str">
        <x:v>Handed over</x:v>
      </x:c>
    </x:row>
    <x:row r="1176" ht="34" customHeight="1">
      <x:c r="A1176" s="4" t="str">
        <x:v>RS-01175-E1</x:v>
      </x:c>
      <x:c r="B1176" s="4" t="str">
        <x:v>RS-01175</x:v>
      </x:c>
      <x:c r="C1176" s="8" t="n">
        <x:v>45378</x:v>
      </x:c>
      <x:c r="D1176" s="4" t="str">
        <x:v>Sales operations manager</x:v>
      </x:c>
      <x:c r="E1176" s="4" t="str">
        <x:v>ERP form</x:v>
      </x:c>
      <x:c r="F1176" s="4" t="str">
        <x:v>Record captured</x:v>
      </x:c>
      <x:c r="G1176" s="4" t="str">
        <x:v>Booked</x:v>
      </x:c>
    </x:row>
    <x:row r="1177" ht="34" customHeight="1">
      <x:c r="A1177" s="4" t="str">
        <x:v>RS-01176-E1</x:v>
      </x:c>
      <x:c r="B1177" s="4" t="str">
        <x:v>RS-01176</x:v>
      </x:c>
      <x:c r="C1177" s="8" t="n">
        <x:v>45379</x:v>
      </x:c>
      <x:c r="D1177" s="4" t="str">
        <x:v>Sales operations manager</x:v>
      </x:c>
      <x:c r="E1177" s="4" t="str">
        <x:v>ERP form</x:v>
      </x:c>
      <x:c r="F1177" s="4" t="str">
        <x:v>Record captured</x:v>
      </x:c>
      <x:c r="G1177" s="4" t="str">
        <x:v>Booked</x:v>
      </x:c>
    </x:row>
    <x:row r="1178" ht="34" customHeight="1">
      <x:c r="A1178" s="4" t="str">
        <x:v>RS-01177-E1</x:v>
      </x:c>
      <x:c r="B1178" s="4" t="str">
        <x:v>RS-01177</x:v>
      </x:c>
      <x:c r="C1178" s="8" t="n">
        <x:v>45352</x:v>
      </x:c>
      <x:c r="D1178" s="4" t="str">
        <x:v>Sales operations manager</x:v>
      </x:c>
      <x:c r="E1178" s="4" t="str">
        <x:v>ERP form</x:v>
      </x:c>
      <x:c r="F1178" s="4" t="str">
        <x:v>Record captured</x:v>
      </x:c>
      <x:c r="G1178" s="4" t="str">
        <x:v>Handed over</x:v>
      </x:c>
    </x:row>
    <x:row r="1179" ht="34" customHeight="1">
      <x:c r="A1179" s="4" t="str">
        <x:v>RS-01178-E1</x:v>
      </x:c>
      <x:c r="B1179" s="4" t="str">
        <x:v>RS-01178</x:v>
      </x:c>
      <x:c r="C1179" s="8" t="n">
        <x:v>45353</x:v>
      </x:c>
      <x:c r="D1179" s="4" t="str">
        <x:v>Sales operations manager</x:v>
      </x:c>
      <x:c r="E1179" s="4" t="str">
        <x:v>Paper transcribed</x:v>
      </x:c>
      <x:c r="F1179" s="4" t="str">
        <x:v>Record captured</x:v>
      </x:c>
      <x:c r="G1179" s="4" t="str">
        <x:v>Booked</x:v>
      </x:c>
    </x:row>
    <x:row r="1180" ht="34" customHeight="1">
      <x:c r="A1180" s="4" t="str">
        <x:v>RS-01179-E1</x:v>
      </x:c>
      <x:c r="B1180" s="4" t="str">
        <x:v>RS-01179</x:v>
      </x:c>
      <x:c r="C1180" s="8" t="n">
        <x:v>45354</x:v>
      </x:c>
      <x:c r="D1180" s="4" t="str">
        <x:v>Sales operations manager</x:v>
      </x:c>
      <x:c r="E1180" s="4" t="str">
        <x:v>Spreadsheet import</x:v>
      </x:c>
      <x:c r="F1180" s="4" t="str">
        <x:v>Record captured</x:v>
      </x:c>
      <x:c r="G1180" s="4" t="str">
        <x:v>Cancelled</x:v>
      </x:c>
    </x:row>
    <x:row r="1181" ht="34" customHeight="1">
      <x:c r="A1181" s="4" t="str">
        <x:v>RS-01180-E1</x:v>
      </x:c>
      <x:c r="B1181" s="4" t="str">
        <x:v>RS-01180</x:v>
      </x:c>
      <x:c r="C1181" s="8" t="n">
        <x:v>45355</x:v>
      </x:c>
      <x:c r="D1181" s="4" t="str">
        <x:v>Sales operations manager</x:v>
      </x:c>
      <x:c r="E1181" s="4" t="str">
        <x:v>Paper transcribed</x:v>
      </x:c>
      <x:c r="F1181" s="4" t="str">
        <x:v>Record captured</x:v>
      </x:c>
      <x:c r="G1181" s="4" t="str">
        <x:v>Cancelled</x:v>
      </x:c>
    </x:row>
    <x:row r="1182" ht="34" customHeight="1">
      <x:c r="A1182" s="4" t="str">
        <x:v>RS-01181-E1</x:v>
      </x:c>
      <x:c r="B1182" s="4" t="str">
        <x:v>RS-01181</x:v>
      </x:c>
      <x:c r="C1182" s="8" t="n">
        <x:v>45356</x:v>
      </x:c>
      <x:c r="D1182" s="4" t="str">
        <x:v>Sales operations manager</x:v>
      </x:c>
      <x:c r="E1182" s="4" t="str">
        <x:v>ERP form</x:v>
      </x:c>
      <x:c r="F1182" s="4" t="str">
        <x:v>Record captured</x:v>
      </x:c>
      <x:c r="G1182" s="4" t="str">
        <x:v>Cancelled</x:v>
      </x:c>
    </x:row>
    <x:row r="1183" ht="34" customHeight="1">
      <x:c r="A1183" s="4" t="str">
        <x:v>RS-01182-E1</x:v>
      </x:c>
      <x:c r="B1183" s="4" t="str">
        <x:v>RS-01182</x:v>
      </x:c>
      <x:c r="C1183" s="8" t="n">
        <x:v>45357</x:v>
      </x:c>
      <x:c r="D1183" s="4" t="str">
        <x:v>Sales operations manager</x:v>
      </x:c>
      <x:c r="E1183" s="4" t="str">
        <x:v>WhatsApp transcribed</x:v>
      </x:c>
      <x:c r="F1183" s="4" t="str">
        <x:v>Record captured</x:v>
      </x:c>
      <x:c r="G1183" s="4" t="str">
        <x:v>Agreement signed</x:v>
      </x:c>
    </x:row>
    <x:row r="1184" ht="34" customHeight="1">
      <x:c r="A1184" s="4" t="str">
        <x:v>RS-01183-E1</x:v>
      </x:c>
      <x:c r="B1184" s="4" t="str">
        <x:v>RS-01183</x:v>
      </x:c>
      <x:c r="C1184" s="8" t="n">
        <x:v>45358</x:v>
      </x:c>
      <x:c r="D1184" s="4" t="str">
        <x:v>Sales operations manager</x:v>
      </x:c>
      <x:c r="E1184" s="4" t="str">
        <x:v>ERP form</x:v>
      </x:c>
      <x:c r="F1184" s="4" t="str">
        <x:v>Record captured</x:v>
      </x:c>
      <x:c r="G1184" s="4" t="str">
        <x:v>Reserved</x:v>
      </x:c>
    </x:row>
    <x:row r="1185" ht="34" customHeight="1">
      <x:c r="A1185" s="4" t="str">
        <x:v>RS-01184-E1</x:v>
      </x:c>
      <x:c r="B1185" s="4" t="str">
        <x:v>RS-01184</x:v>
      </x:c>
      <x:c r="C1185" s="8" t="n">
        <x:v>45359</x:v>
      </x:c>
      <x:c r="D1185" s="4" t="str">
        <x:v>Sales operations manager</x:v>
      </x:c>
      <x:c r="E1185" s="4" t="str">
        <x:v>ERP form</x:v>
      </x:c>
      <x:c r="F1185" s="4" t="str">
        <x:v>Record captured</x:v>
      </x:c>
      <x:c r="G1185" s="4" t="str">
        <x:v>Cancelled</x:v>
      </x:c>
    </x:row>
    <x:row r="1186" ht="34" customHeight="1">
      <x:c r="A1186" s="4" t="str">
        <x:v>RS-01185-E1</x:v>
      </x:c>
      <x:c r="B1186" s="4" t="str">
        <x:v>RS-01185</x:v>
      </x:c>
      <x:c r="C1186" s="8" t="n">
        <x:v>45360</x:v>
      </x:c>
      <x:c r="D1186" s="4" t="str">
        <x:v>Sales operations manager</x:v>
      </x:c>
      <x:c r="E1186" s="4" t="str">
        <x:v>ERP form</x:v>
      </x:c>
      <x:c r="F1186" s="4" t="str">
        <x:v>Record captured</x:v>
      </x:c>
      <x:c r="G1186" s="4" t="str">
        <x:v>Reserved</x:v>
      </x:c>
    </x:row>
    <x:row r="1187" ht="34" customHeight="1">
      <x:c r="A1187" s="4" t="str">
        <x:v>RS-01186-E1</x:v>
      </x:c>
      <x:c r="B1187" s="4" t="str">
        <x:v>RS-01186</x:v>
      </x:c>
      <x:c r="C1187" s="8" t="n">
        <x:v>45361</x:v>
      </x:c>
      <x:c r="D1187" s="4" t="str">
        <x:v>Sales operations manager</x:v>
      </x:c>
      <x:c r="E1187" s="4" t="str">
        <x:v>WhatsApp transcribed</x:v>
      </x:c>
      <x:c r="F1187" s="4" t="str">
        <x:v>Record captured</x:v>
      </x:c>
      <x:c r="G1187" s="4" t="str">
        <x:v>Cancelled</x:v>
      </x:c>
    </x:row>
    <x:row r="1188" ht="34" customHeight="1">
      <x:c r="A1188" s="4" t="str">
        <x:v>RS-01187-E1</x:v>
      </x:c>
      <x:c r="B1188" s="4" t="str">
        <x:v>RS-01187</x:v>
      </x:c>
      <x:c r="C1188" s="8" t="n">
        <x:v>45362</x:v>
      </x:c>
      <x:c r="D1188" s="4" t="str">
        <x:v>Sales operations manager</x:v>
      </x:c>
      <x:c r="E1188" s="4" t="str">
        <x:v>Paper transcribed</x:v>
      </x:c>
      <x:c r="F1188" s="4" t="str">
        <x:v>Record captured</x:v>
      </x:c>
      <x:c r="G1188" s="4" t="str">
        <x:v>Handed over</x:v>
      </x:c>
    </x:row>
    <x:row r="1189" ht="34" customHeight="1">
      <x:c r="A1189" s="4" t="str">
        <x:v>RS-01188-E1</x:v>
      </x:c>
      <x:c r="B1189" s="4" t="str">
        <x:v>RS-01188</x:v>
      </x:c>
      <x:c r="C1189" s="8" t="n">
        <x:v>45363</x:v>
      </x:c>
      <x:c r="D1189" s="4" t="str">
        <x:v>Sales operations manager</x:v>
      </x:c>
      <x:c r="E1189" s="4" t="str">
        <x:v>Paper transcribed</x:v>
      </x:c>
      <x:c r="F1189" s="4" t="str">
        <x:v>Record captured</x:v>
      </x:c>
      <x:c r="G1189" s="4" t="str">
        <x:v>Cancelled</x:v>
      </x:c>
    </x:row>
    <x:row r="1190" ht="34" customHeight="1">
      <x:c r="A1190" s="4" t="str">
        <x:v>RS-01189-E1</x:v>
      </x:c>
      <x:c r="B1190" s="4" t="str">
        <x:v>RS-01189</x:v>
      </x:c>
      <x:c r="C1190" s="8" t="n">
        <x:v>45364</x:v>
      </x:c>
      <x:c r="D1190" s="4" t="str">
        <x:v>Sales operations manager</x:v>
      </x:c>
      <x:c r="E1190" s="4" t="str">
        <x:v>Spreadsheet import</x:v>
      </x:c>
      <x:c r="F1190" s="4" t="str">
        <x:v>Record captured</x:v>
      </x:c>
      <x:c r="G1190" s="4" t="str">
        <x:v>Enquiry</x:v>
      </x:c>
    </x:row>
    <x:row r="1191" ht="34" customHeight="1">
      <x:c r="A1191" s="4" t="str">
        <x:v>RS-01190-E1</x:v>
      </x:c>
      <x:c r="B1191" s="4" t="str">
        <x:v>RS-01190</x:v>
      </x:c>
      <x:c r="C1191" s="8" t="n">
        <x:v>45365</x:v>
      </x:c>
      <x:c r="D1191" s="4" t="str">
        <x:v>Sales operations manager</x:v>
      </x:c>
      <x:c r="E1191" s="4" t="str">
        <x:v>Spreadsheet import</x:v>
      </x:c>
      <x:c r="F1191" s="4" t="str">
        <x:v>Record captured</x:v>
      </x:c>
      <x:c r="G1191" s="4" t="str">
        <x:v>Handed over</x:v>
      </x:c>
    </x:row>
    <x:row r="1192" ht="34" customHeight="1">
      <x:c r="A1192" s="4" t="str">
        <x:v>RS-01191-E1</x:v>
      </x:c>
      <x:c r="B1192" s="4" t="str">
        <x:v>RS-01191</x:v>
      </x:c>
      <x:c r="C1192" s="8" t="n">
        <x:v>45366</x:v>
      </x:c>
      <x:c r="D1192" s="4" t="str">
        <x:v>Sales operations manager</x:v>
      </x:c>
      <x:c r="E1192" s="4" t="str">
        <x:v>WhatsApp transcribed</x:v>
      </x:c>
      <x:c r="F1192" s="4" t="str">
        <x:v>Record captured</x:v>
      </x:c>
      <x:c r="G1192" s="4" t="str">
        <x:v>Cancelled</x:v>
      </x:c>
    </x:row>
    <x:row r="1193" ht="34" customHeight="1">
      <x:c r="A1193" s="4" t="str">
        <x:v>RS-01192-E1</x:v>
      </x:c>
      <x:c r="B1193" s="4" t="str">
        <x:v>RS-01192</x:v>
      </x:c>
      <x:c r="C1193" s="8" t="n">
        <x:v>45367</x:v>
      </x:c>
      <x:c r="D1193" s="4" t="str">
        <x:v>Sales operations manager</x:v>
      </x:c>
      <x:c r="E1193" s="4" t="str">
        <x:v>ERP form</x:v>
      </x:c>
      <x:c r="F1193" s="4" t="str">
        <x:v>Record captured</x:v>
      </x:c>
      <x:c r="G1193" s="4" t="str">
        <x:v>Agreement signed</x:v>
      </x:c>
    </x:row>
    <x:row r="1194" ht="34" customHeight="1">
      <x:c r="A1194" s="4" t="str">
        <x:v>RS-01193-E1</x:v>
      </x:c>
      <x:c r="B1194" s="4" t="str">
        <x:v>RS-01193</x:v>
      </x:c>
      <x:c r="C1194" s="8" t="n">
        <x:v>45368</x:v>
      </x:c>
      <x:c r="D1194" s="4" t="str">
        <x:v>Sales operations manager</x:v>
      </x:c>
      <x:c r="E1194" s="4" t="str">
        <x:v>Paper transcribed</x:v>
      </x:c>
      <x:c r="F1194" s="4" t="str">
        <x:v>Record captured</x:v>
      </x:c>
      <x:c r="G1194" s="4" t="str">
        <x:v>Agreement signed</x:v>
      </x:c>
    </x:row>
    <x:row r="1195" ht="34" customHeight="1">
      <x:c r="A1195" s="4" t="str">
        <x:v>RS-01194-E1</x:v>
      </x:c>
      <x:c r="B1195" s="4" t="str">
        <x:v>RS-01194</x:v>
      </x:c>
      <x:c r="C1195" s="8" t="n">
        <x:v>45369</x:v>
      </x:c>
      <x:c r="D1195" s="4" t="str">
        <x:v>Sales operations manager</x:v>
      </x:c>
      <x:c r="E1195" s="4" t="str">
        <x:v>WhatsApp transcribed</x:v>
      </x:c>
      <x:c r="F1195" s="4" t="str">
        <x:v>Record captured</x:v>
      </x:c>
      <x:c r="G1195" s="4" t="str">
        <x:v>Handed over</x:v>
      </x:c>
    </x:row>
    <x:row r="1196" ht="34" customHeight="1">
      <x:c r="A1196" s="4" t="str">
        <x:v>RS-01195-E1</x:v>
      </x:c>
      <x:c r="B1196" s="4" t="str">
        <x:v>RS-01195</x:v>
      </x:c>
      <x:c r="C1196" s="8" t="n">
        <x:v>45370</x:v>
      </x:c>
      <x:c r="D1196" s="4" t="str">
        <x:v>Sales operations manager</x:v>
      </x:c>
      <x:c r="E1196" s="4" t="str">
        <x:v>Paper transcribed</x:v>
      </x:c>
      <x:c r="F1196" s="4" t="str">
        <x:v>Record captured</x:v>
      </x:c>
      <x:c r="G1196" s="4" t="str">
        <x:v>Enquiry</x:v>
      </x:c>
    </x:row>
    <x:row r="1197" ht="34" customHeight="1">
      <x:c r="A1197" s="4" t="str">
        <x:v>RS-01196-E1</x:v>
      </x:c>
      <x:c r="B1197" s="4" t="str">
        <x:v>RS-01196</x:v>
      </x:c>
      <x:c r="C1197" s="8" t="n">
        <x:v>45371</x:v>
      </x:c>
      <x:c r="D1197" s="4" t="str">
        <x:v>Sales operations manager</x:v>
      </x:c>
      <x:c r="E1197" s="4" t="str">
        <x:v>Paper transcribed</x:v>
      </x:c>
      <x:c r="F1197" s="4" t="str">
        <x:v>Record captured</x:v>
      </x:c>
      <x:c r="G1197" s="4" t="str">
        <x:v>Enquiry</x:v>
      </x:c>
    </x:row>
    <x:row r="1198" ht="34" customHeight="1">
      <x:c r="A1198" s="4" t="str">
        <x:v>RS-01197-E1</x:v>
      </x:c>
      <x:c r="B1198" s="4" t="str">
        <x:v>RS-01197</x:v>
      </x:c>
      <x:c r="C1198" s="8" t="n">
        <x:v>45372</x:v>
      </x:c>
      <x:c r="D1198" s="4" t="str">
        <x:v>Sales operations manager</x:v>
      </x:c>
      <x:c r="E1198" s="4" t="str">
        <x:v>Paper transcribed</x:v>
      </x:c>
      <x:c r="F1198" s="4" t="str">
        <x:v>Record captured</x:v>
      </x:c>
      <x:c r="G1198" s="4" t="str">
        <x:v>Reserved</x:v>
      </x:c>
    </x:row>
    <x:row r="1199" ht="34" customHeight="1">
      <x:c r="A1199" s="4" t="str">
        <x:v>RS-01198-E1</x:v>
      </x:c>
      <x:c r="B1199" s="4" t="str">
        <x:v>RS-01198</x:v>
      </x:c>
      <x:c r="C1199" s="8" t="n">
        <x:v>45373</x:v>
      </x:c>
      <x:c r="D1199" s="4" t="str">
        <x:v>Sales operations manager</x:v>
      </x:c>
      <x:c r="E1199" s="4" t="str">
        <x:v>Spreadsheet import</x:v>
      </x:c>
      <x:c r="F1199" s="4" t="str">
        <x:v>Record captured</x:v>
      </x:c>
      <x:c r="G1199" s="4" t="str">
        <x:v>Reserved</x:v>
      </x:c>
    </x:row>
    <x:row r="1200" ht="34" customHeight="1">
      <x:c r="A1200" s="4" t="str">
        <x:v>RS-01199-E1</x:v>
      </x:c>
      <x:c r="B1200" s="4" t="str">
        <x:v>RS-01199</x:v>
      </x:c>
      <x:c r="C1200" s="8" t="n">
        <x:v>45374</x:v>
      </x:c>
      <x:c r="D1200" s="4" t="str">
        <x:v>Sales operations manager</x:v>
      </x:c>
      <x:c r="E1200" s="4" t="str">
        <x:v>WhatsApp transcribed</x:v>
      </x:c>
      <x:c r="F1200" s="4" t="str">
        <x:v>Record captured</x:v>
      </x:c>
      <x:c r="G1200" s="4" t="str">
        <x:v>Booked</x:v>
      </x:c>
    </x:row>
    <x:row r="1201" ht="34" customHeight="1">
      <x:c r="A1201" s="4" t="str">
        <x:v>RS-01200-E1</x:v>
      </x:c>
      <x:c r="B1201" s="4" t="str">
        <x:v>RS-01200</x:v>
      </x:c>
      <x:c r="C1201" s="8" t="n">
        <x:v>45375</x:v>
      </x:c>
      <x:c r="D1201" s="4" t="str">
        <x:v>Sales operations manager</x:v>
      </x:c>
      <x:c r="E1201" s="4" t="str">
        <x:v>WhatsApp transcribed</x:v>
      </x:c>
      <x:c r="F1201" s="4" t="str">
        <x:v>Record captured</x:v>
      </x:c>
      <x:c r="G1201" s="4" t="str">
        <x:v>Reserved</x:v>
      </x:c>
    </x:row>
    <x:row r="1202" ht="34" customHeight="1">
      <x:c r="A1202" s="4" t="str">
        <x:v>RS-01201-E1</x:v>
      </x:c>
      <x:c r="B1202" s="4" t="str">
        <x:v>RS-01201</x:v>
      </x:c>
      <x:c r="C1202" s="8" t="n">
        <x:v>45376</x:v>
      </x:c>
      <x:c r="D1202" s="4" t="str">
        <x:v>Sales operations manager</x:v>
      </x:c>
      <x:c r="E1202" s="4" t="str">
        <x:v>WhatsApp transcribed</x:v>
      </x:c>
      <x:c r="F1202" s="4" t="str">
        <x:v>Record captured</x:v>
      </x:c>
      <x:c r="G1202" s="4" t="str">
        <x:v>Cancelled</x:v>
      </x:c>
    </x:row>
    <x:row r="1203" ht="34" customHeight="1">
      <x:c r="A1203" s="4" t="str">
        <x:v>RS-01202-E1</x:v>
      </x:c>
      <x:c r="B1203" s="4" t="str">
        <x:v>RS-01202</x:v>
      </x:c>
      <x:c r="C1203" s="8" t="n">
        <x:v>45377</x:v>
      </x:c>
      <x:c r="D1203" s="4" t="str">
        <x:v>Sales operations manager</x:v>
      </x:c>
      <x:c r="E1203" s="4" t="str">
        <x:v>Paper transcribed</x:v>
      </x:c>
      <x:c r="F1203" s="4" t="str">
        <x:v>Record captured</x:v>
      </x:c>
      <x:c r="G1203" s="4" t="str">
        <x:v>Handed over</x:v>
      </x:c>
    </x:row>
    <x:row r="1204" ht="34" customHeight="1">
      <x:c r="A1204" s="4" t="str">
        <x:v>RS-01203-E1</x:v>
      </x:c>
      <x:c r="B1204" s="4" t="str">
        <x:v>RS-01203</x:v>
      </x:c>
      <x:c r="C1204" s="8" t="n">
        <x:v>45378</x:v>
      </x:c>
      <x:c r="D1204" s="4" t="str">
        <x:v>Sales operations manager</x:v>
      </x:c>
      <x:c r="E1204" s="4" t="str">
        <x:v>Spreadsheet import</x:v>
      </x:c>
      <x:c r="F1204" s="4" t="str">
        <x:v>Record captured</x:v>
      </x:c>
      <x:c r="G1204" s="4" t="str">
        <x:v>Cancelled</x:v>
      </x:c>
    </x:row>
    <x:row r="1205" ht="34" customHeight="1">
      <x:c r="A1205" s="4" t="str">
        <x:v>RS-01204-E1</x:v>
      </x:c>
      <x:c r="B1205" s="4" t="str">
        <x:v>RS-01204</x:v>
      </x:c>
      <x:c r="C1205" s="8" t="n">
        <x:v>45379</x:v>
      </x:c>
      <x:c r="D1205" s="4" t="str">
        <x:v>Sales operations manager</x:v>
      </x:c>
      <x:c r="E1205" s="4" t="str">
        <x:v>WhatsApp transcribed</x:v>
      </x:c>
      <x:c r="F1205" s="4" t="str">
        <x:v>Record captured</x:v>
      </x:c>
      <x:c r="G1205" s="4" t="str">
        <x:v>Enquiry</x:v>
      </x:c>
    </x:row>
    <x:row r="1206" ht="34" customHeight="1">
      <x:c r="A1206" s="4" t="str">
        <x:v>RS-01205-E1</x:v>
      </x:c>
      <x:c r="B1206" s="4" t="str">
        <x:v>RS-01205</x:v>
      </x:c>
      <x:c r="C1206" s="8" t="n">
        <x:v>45352</x:v>
      </x:c>
      <x:c r="D1206" s="4" t="str">
        <x:v>Sales operations manager</x:v>
      </x:c>
      <x:c r="E1206" s="4" t="str">
        <x:v>Spreadsheet import</x:v>
      </x:c>
      <x:c r="F1206" s="4" t="str">
        <x:v>Record captured</x:v>
      </x:c>
      <x:c r="G1206" s="4" t="str">
        <x:v>Reserved</x:v>
      </x:c>
    </x:row>
    <x:row r="1207" ht="34" customHeight="1">
      <x:c r="A1207" s="4" t="str">
        <x:v>RS-01206-E1</x:v>
      </x:c>
      <x:c r="B1207" s="4" t="str">
        <x:v>RS-01206</x:v>
      </x:c>
      <x:c r="C1207" s="8" t="n">
        <x:v>45353</x:v>
      </x:c>
      <x:c r="D1207" s="4" t="str">
        <x:v>Sales operations manager</x:v>
      </x:c>
      <x:c r="E1207" s="4" t="str">
        <x:v>Paper transcribed</x:v>
      </x:c>
      <x:c r="F1207" s="4" t="str">
        <x:v>Record captured</x:v>
      </x:c>
      <x:c r="G1207" s="4" t="str">
        <x:v>Reserved</x:v>
      </x:c>
    </x:row>
    <x:row r="1208" ht="34" customHeight="1">
      <x:c r="A1208" s="4" t="str">
        <x:v>RS-01207-E1</x:v>
      </x:c>
      <x:c r="B1208" s="4" t="str">
        <x:v>RS-01207</x:v>
      </x:c>
      <x:c r="C1208" s="8" t="n">
        <x:v>45354</x:v>
      </x:c>
      <x:c r="D1208" s="4" t="str">
        <x:v>Sales operations manager</x:v>
      </x:c>
      <x:c r="E1208" s="4" t="str">
        <x:v>Spreadsheet import</x:v>
      </x:c>
      <x:c r="F1208" s="4" t="str">
        <x:v>Record captured</x:v>
      </x:c>
      <x:c r="G1208" s="4" t="str">
        <x:v>Booked</x:v>
      </x:c>
    </x:row>
    <x:row r="1209" ht="34" customHeight="1">
      <x:c r="A1209" s="4" t="str">
        <x:v>RS-01208-E1</x:v>
      </x:c>
      <x:c r="B1209" s="4" t="str">
        <x:v>RS-01208</x:v>
      </x:c>
      <x:c r="C1209" s="8" t="n">
        <x:v>45355</x:v>
      </x:c>
      <x:c r="D1209" s="4" t="str">
        <x:v>Sales operations manager</x:v>
      </x:c>
      <x:c r="E1209" s="4" t="str">
        <x:v>Spreadsheet import</x:v>
      </x:c>
      <x:c r="F1209" s="4" t="str">
        <x:v>Record captured</x:v>
      </x:c>
      <x:c r="G1209" s="4" t="str">
        <x:v>Agreement signed</x:v>
      </x:c>
    </x:row>
    <x:row r="1210" ht="34" customHeight="1">
      <x:c r="A1210" s="4" t="str">
        <x:v>RS-01209-E1</x:v>
      </x:c>
      <x:c r="B1210" s="4" t="str">
        <x:v>RS-01209</x:v>
      </x:c>
      <x:c r="C1210" s="8" t="n">
        <x:v>45356</x:v>
      </x:c>
      <x:c r="D1210" s="4" t="str">
        <x:v>Sales operations manager</x:v>
      </x:c>
      <x:c r="E1210" s="4" t="str">
        <x:v>Spreadsheet import</x:v>
      </x:c>
      <x:c r="F1210" s="4" t="str">
        <x:v>Record captured</x:v>
      </x:c>
      <x:c r="G1210" s="4" t="str">
        <x:v>Enquiry</x:v>
      </x:c>
    </x:row>
    <x:row r="1211" ht="34" customHeight="1">
      <x:c r="A1211" s="4" t="str">
        <x:v>RS-01210-E1</x:v>
      </x:c>
      <x:c r="B1211" s="4" t="str">
        <x:v>RS-01210</x:v>
      </x:c>
      <x:c r="C1211" s="8" t="n">
        <x:v>45357</x:v>
      </x:c>
      <x:c r="D1211" s="4" t="str">
        <x:v>Sales operations manager</x:v>
      </x:c>
      <x:c r="E1211" s="4" t="str">
        <x:v>ERP form</x:v>
      </x:c>
      <x:c r="F1211" s="4" t="str">
        <x:v>Record captured</x:v>
      </x:c>
      <x:c r="G1211" s="4" t="str">
        <x:v>Agreement signed</x:v>
      </x:c>
    </x:row>
    <x:row r="1212" ht="34" customHeight="1">
      <x:c r="A1212" s="4" t="str">
        <x:v>RS-01211-E1</x:v>
      </x:c>
      <x:c r="B1212" s="4" t="str">
        <x:v>RS-01211</x:v>
      </x:c>
      <x:c r="C1212" s="8" t="n">
        <x:v>45358</x:v>
      </x:c>
      <x:c r="D1212" s="4" t="str">
        <x:v>Sales operations manager</x:v>
      </x:c>
      <x:c r="E1212" s="4" t="str">
        <x:v>WhatsApp transcribed</x:v>
      </x:c>
      <x:c r="F1212" s="4" t="str">
        <x:v>Record captured</x:v>
      </x:c>
      <x:c r="G1212" s="4" t="str">
        <x:v>Reserved</x:v>
      </x:c>
    </x:row>
    <x:row r="1213" ht="34" customHeight="1">
      <x:c r="A1213" s="4" t="str">
        <x:v>RS-01212-E1</x:v>
      </x:c>
      <x:c r="B1213" s="4" t="str">
        <x:v>RS-01212</x:v>
      </x:c>
      <x:c r="C1213" s="8" t="n">
        <x:v>45359</x:v>
      </x:c>
      <x:c r="D1213" s="4" t="str">
        <x:v>Sales operations manager</x:v>
      </x:c>
      <x:c r="E1213" s="4" t="str">
        <x:v>ERP form</x:v>
      </x:c>
      <x:c r="F1213" s="4" t="str">
        <x:v>Record captured</x:v>
      </x:c>
      <x:c r="G1213" s="4" t="str">
        <x:v>Booked</x:v>
      </x:c>
    </x:row>
    <x:row r="1214" ht="34" customHeight="1">
      <x:c r="A1214" s="4" t="str">
        <x:v>RS-01213-E1</x:v>
      </x:c>
      <x:c r="B1214" s="4" t="str">
        <x:v>RS-01213</x:v>
      </x:c>
      <x:c r="C1214" s="8" t="n">
        <x:v>45360</x:v>
      </x:c>
      <x:c r="D1214" s="4" t="str">
        <x:v>Sales operations manager</x:v>
      </x:c>
      <x:c r="E1214" s="4" t="str">
        <x:v>WhatsApp transcribed</x:v>
      </x:c>
      <x:c r="F1214" s="4" t="str">
        <x:v>Record captured</x:v>
      </x:c>
      <x:c r="G1214" s="4" t="str">
        <x:v>Booked</x:v>
      </x:c>
    </x:row>
    <x:row r="1215" ht="34" customHeight="1">
      <x:c r="A1215" s="4" t="str">
        <x:v>RS-01214-E1</x:v>
      </x:c>
      <x:c r="B1215" s="4" t="str">
        <x:v>RS-01214</x:v>
      </x:c>
      <x:c r="C1215" s="8" t="n">
        <x:v>45361</x:v>
      </x:c>
      <x:c r="D1215" s="4" t="str">
        <x:v>Sales operations manager</x:v>
      </x:c>
      <x:c r="E1215" s="4" t="str">
        <x:v>ERP form</x:v>
      </x:c>
      <x:c r="F1215" s="4" t="str">
        <x:v>Record captured</x:v>
      </x:c>
      <x:c r="G1215" s="4" t="str">
        <x:v>Booked</x:v>
      </x:c>
    </x:row>
    <x:row r="1216" ht="34" customHeight="1">
      <x:c r="A1216" s="4" t="str">
        <x:v>RS-01215-E1</x:v>
      </x:c>
      <x:c r="B1216" s="4" t="str">
        <x:v>RS-01215</x:v>
      </x:c>
      <x:c r="C1216" s="8" t="n">
        <x:v>45362</x:v>
      </x:c>
      <x:c r="D1216" s="4" t="str">
        <x:v>Sales operations manager</x:v>
      </x:c>
      <x:c r="E1216" s="4" t="str">
        <x:v>WhatsApp transcribed</x:v>
      </x:c>
      <x:c r="F1216" s="4" t="str">
        <x:v>Record captured</x:v>
      </x:c>
      <x:c r="G1216" s="4" t="str">
        <x:v>Reserved</x:v>
      </x:c>
    </x:row>
    <x:row r="1217" ht="34" customHeight="1">
      <x:c r="A1217" s="4" t="str">
        <x:v>RS-01216-E1</x:v>
      </x:c>
      <x:c r="B1217" s="4" t="str">
        <x:v>RS-01216</x:v>
      </x:c>
      <x:c r="C1217" s="8" t="n">
        <x:v>45363</x:v>
      </x:c>
      <x:c r="D1217" s="4" t="str">
        <x:v>Sales operations manager</x:v>
      </x:c>
      <x:c r="E1217" s="4" t="str">
        <x:v>Paper transcribed</x:v>
      </x:c>
      <x:c r="F1217" s="4" t="str">
        <x:v>Record captured</x:v>
      </x:c>
      <x:c r="G1217" s="4" t="str">
        <x:v>Agreement signed</x:v>
      </x:c>
    </x:row>
    <x:row r="1218" ht="34" customHeight="1">
      <x:c r="A1218" s="4" t="str">
        <x:v>RS-01217-E1</x:v>
      </x:c>
      <x:c r="B1218" s="4" t="str">
        <x:v>RS-01217</x:v>
      </x:c>
      <x:c r="C1218" s="8" t="n">
        <x:v>45364</x:v>
      </x:c>
      <x:c r="D1218" s="4" t="str">
        <x:v>Sales operations manager</x:v>
      </x:c>
      <x:c r="E1218" s="4" t="str">
        <x:v>Paper transcribed</x:v>
      </x:c>
      <x:c r="F1218" s="4" t="str">
        <x:v>Record captured</x:v>
      </x:c>
      <x:c r="G1218" s="4" t="str">
        <x:v>Reserved</x:v>
      </x:c>
    </x:row>
    <x:row r="1219" ht="34" customHeight="1">
      <x:c r="A1219" s="4" t="str">
        <x:v>RS-01218-E1</x:v>
      </x:c>
      <x:c r="B1219" s="4" t="str">
        <x:v>RS-01218</x:v>
      </x:c>
      <x:c r="C1219" s="8" t="n">
        <x:v>45365</x:v>
      </x:c>
      <x:c r="D1219" s="4" t="str">
        <x:v>Sales operations manager</x:v>
      </x:c>
      <x:c r="E1219" s="4" t="str">
        <x:v>WhatsApp transcribed</x:v>
      </x:c>
      <x:c r="F1219" s="4" t="str">
        <x:v>Record captured</x:v>
      </x:c>
      <x:c r="G1219" s="4" t="str">
        <x:v>Enquiry</x:v>
      </x:c>
    </x:row>
    <x:row r="1220" ht="34" customHeight="1">
      <x:c r="A1220" s="4" t="str">
        <x:v>RS-01219-E1</x:v>
      </x:c>
      <x:c r="B1220" s="4" t="str">
        <x:v>RS-01219</x:v>
      </x:c>
      <x:c r="C1220" s="8" t="n">
        <x:v>45366</x:v>
      </x:c>
      <x:c r="D1220" s="4" t="str">
        <x:v>Sales operations manager</x:v>
      </x:c>
      <x:c r="E1220" s="4" t="str">
        <x:v>ERP form</x:v>
      </x:c>
      <x:c r="F1220" s="4" t="str">
        <x:v>Record captured</x:v>
      </x:c>
      <x:c r="G1220" s="4" t="str">
        <x:v>Booked</x:v>
      </x:c>
    </x:row>
    <x:row r="1221" ht="34" customHeight="1">
      <x:c r="A1221" s="4" t="str">
        <x:v>RS-01220-E1</x:v>
      </x:c>
      <x:c r="B1221" s="4" t="str">
        <x:v>RS-01220</x:v>
      </x:c>
      <x:c r="C1221" s="8" t="n">
        <x:v>45367</x:v>
      </x:c>
      <x:c r="D1221" s="4" t="str">
        <x:v>Sales operations manager</x:v>
      </x:c>
      <x:c r="E1221" s="4" t="str">
        <x:v>Spreadsheet import</x:v>
      </x:c>
      <x:c r="F1221" s="4" t="str">
        <x:v>Record captured</x:v>
      </x:c>
      <x:c r="G1221" s="4" t="str">
        <x:v>Agreement signed</x:v>
      </x:c>
    </x:row>
    <x:row r="1222" ht="34" customHeight="1">
      <x:c r="A1222" s="4" t="str">
        <x:v>RS-01221-E1</x:v>
      </x:c>
      <x:c r="B1222" s="4" t="str">
        <x:v>RS-01221</x:v>
      </x:c>
      <x:c r="C1222" s="8" t="n">
        <x:v>45368</x:v>
      </x:c>
      <x:c r="D1222" s="4" t="str">
        <x:v>Sales operations manager</x:v>
      </x:c>
      <x:c r="E1222" s="4" t="str">
        <x:v>WhatsApp transcribed</x:v>
      </x:c>
      <x:c r="F1222" s="4" t="str">
        <x:v>Record captured</x:v>
      </x:c>
      <x:c r="G1222" s="4" t="str">
        <x:v>Enquiry</x:v>
      </x:c>
    </x:row>
    <x:row r="1223" ht="34" customHeight="1">
      <x:c r="A1223" s="4" t="str">
        <x:v>RS-01222-E1</x:v>
      </x:c>
      <x:c r="B1223" s="4" t="str">
        <x:v>RS-01222</x:v>
      </x:c>
      <x:c r="C1223" s="8" t="n">
        <x:v>45369</x:v>
      </x:c>
      <x:c r="D1223" s="4" t="str">
        <x:v>Sales operations manager</x:v>
      </x:c>
      <x:c r="E1223" s="4" t="str">
        <x:v>Paper transcribed</x:v>
      </x:c>
      <x:c r="F1223" s="4" t="str">
        <x:v>Record captured</x:v>
      </x:c>
      <x:c r="G1223" s="4" t="str">
        <x:v>Cancelled</x:v>
      </x:c>
    </x:row>
    <x:row r="1224" ht="34" customHeight="1">
      <x:c r="A1224" s="4" t="str">
        <x:v>RS-01223-E1</x:v>
      </x:c>
      <x:c r="B1224" s="4" t="str">
        <x:v>RS-01223</x:v>
      </x:c>
      <x:c r="C1224" s="8" t="n">
        <x:v>45370</x:v>
      </x:c>
      <x:c r="D1224" s="4" t="str">
        <x:v>Sales operations manager</x:v>
      </x:c>
      <x:c r="E1224" s="4" t="str">
        <x:v>ERP form</x:v>
      </x:c>
      <x:c r="F1224" s="4" t="str">
        <x:v>Record captured</x:v>
      </x:c>
      <x:c r="G1224" s="4" t="str">
        <x:v>Cancelled</x:v>
      </x:c>
    </x:row>
    <x:row r="1225" ht="34" customHeight="1">
      <x:c r="A1225" s="4" t="str">
        <x:v>RS-01224-E1</x:v>
      </x:c>
      <x:c r="B1225" s="4" t="str">
        <x:v>RS-01224</x:v>
      </x:c>
      <x:c r="C1225" s="8" t="n">
        <x:v>45371</x:v>
      </x:c>
      <x:c r="D1225" s="4" t="str">
        <x:v>Sales operations manager</x:v>
      </x:c>
      <x:c r="E1225" s="4" t="str">
        <x:v>WhatsApp transcribed</x:v>
      </x:c>
      <x:c r="F1225" s="4" t="str">
        <x:v>Record captured</x:v>
      </x:c>
      <x:c r="G1225" s="4" t="str">
        <x:v>Cancelled</x:v>
      </x:c>
    </x:row>
    <x:row r="1226" ht="34" customHeight="1">
      <x:c r="A1226" s="4" t="str">
        <x:v>RS-01225-E1</x:v>
      </x:c>
      <x:c r="B1226" s="4" t="str">
        <x:v>RS-01225</x:v>
      </x:c>
      <x:c r="C1226" s="8" t="n">
        <x:v>45372</x:v>
      </x:c>
      <x:c r="D1226" s="4" t="str">
        <x:v>Sales operations manager</x:v>
      </x:c>
      <x:c r="E1226" s="4" t="str">
        <x:v>Spreadsheet import</x:v>
      </x:c>
      <x:c r="F1226" s="4" t="str">
        <x:v>Record captured</x:v>
      </x:c>
      <x:c r="G1226" s="4" t="str">
        <x:v>Booked</x:v>
      </x:c>
    </x:row>
    <x:row r="1227" ht="34" customHeight="1">
      <x:c r="A1227" s="4" t="str">
        <x:v>RS-01226-E1</x:v>
      </x:c>
      <x:c r="B1227" s="4" t="str">
        <x:v>RS-01226</x:v>
      </x:c>
      <x:c r="C1227" s="8" t="n">
        <x:v>45373</x:v>
      </x:c>
      <x:c r="D1227" s="4" t="str">
        <x:v>Sales operations manager</x:v>
      </x:c>
      <x:c r="E1227" s="4" t="str">
        <x:v>Paper transcribed</x:v>
      </x:c>
      <x:c r="F1227" s="4" t="str">
        <x:v>Record captured</x:v>
      </x:c>
      <x:c r="G1227" s="4" t="str">
        <x:v>Reserved</x:v>
      </x:c>
    </x:row>
    <x:row r="1228" ht="34" customHeight="1">
      <x:c r="A1228" s="4" t="str">
        <x:v>RS-01227-E1</x:v>
      </x:c>
      <x:c r="B1228" s="4" t="str">
        <x:v>RS-01227</x:v>
      </x:c>
      <x:c r="C1228" s="8" t="n">
        <x:v>45374</x:v>
      </x:c>
      <x:c r="D1228" s="4" t="str">
        <x:v>Sales operations manager</x:v>
      </x:c>
      <x:c r="E1228" s="4" t="str">
        <x:v>WhatsApp transcribed</x:v>
      </x:c>
      <x:c r="F1228" s="4" t="str">
        <x:v>Record captured</x:v>
      </x:c>
      <x:c r="G1228" s="4" t="str">
        <x:v>Reserved</x:v>
      </x:c>
    </x:row>
    <x:row r="1229" ht="34" customHeight="1">
      <x:c r="A1229" s="4" t="str">
        <x:v>RS-01228-E1</x:v>
      </x:c>
      <x:c r="B1229" s="4" t="str">
        <x:v>RS-01228</x:v>
      </x:c>
      <x:c r="C1229" s="8" t="n">
        <x:v>45375</x:v>
      </x:c>
      <x:c r="D1229" s="4" t="str">
        <x:v>Sales operations manager</x:v>
      </x:c>
      <x:c r="E1229" s="4" t="str">
        <x:v>WhatsApp transcribed</x:v>
      </x:c>
      <x:c r="F1229" s="4" t="str">
        <x:v>Record captured</x:v>
      </x:c>
      <x:c r="G1229" s="4" t="str">
        <x:v>Handed over</x:v>
      </x:c>
    </x:row>
    <x:row r="1230" ht="34" customHeight="1">
      <x:c r="A1230" s="4" t="str">
        <x:v>RS-01229-E1</x:v>
      </x:c>
      <x:c r="B1230" s="4" t="str">
        <x:v>RS-01229</x:v>
      </x:c>
      <x:c r="C1230" s="8" t="n">
        <x:v>45376</x:v>
      </x:c>
      <x:c r="D1230" s="4" t="str">
        <x:v>Sales operations manager</x:v>
      </x:c>
      <x:c r="E1230" s="4" t="str">
        <x:v>ERP form</x:v>
      </x:c>
      <x:c r="F1230" s="4" t="str">
        <x:v>Record captured</x:v>
      </x:c>
      <x:c r="G1230" s="4" t="str">
        <x:v>Enquiry</x:v>
      </x:c>
    </x:row>
    <x:row r="1231" ht="34" customHeight="1">
      <x:c r="A1231" s="4" t="str">
        <x:v>RS-01230-E1</x:v>
      </x:c>
      <x:c r="B1231" s="4" t="str">
        <x:v>RS-01230</x:v>
      </x:c>
      <x:c r="C1231" s="8" t="n">
        <x:v>45377</x:v>
      </x:c>
      <x:c r="D1231" s="4" t="str">
        <x:v>Sales operations manager</x:v>
      </x:c>
      <x:c r="E1231" s="4" t="str">
        <x:v>Paper transcribed</x:v>
      </x:c>
      <x:c r="F1231" s="4" t="str">
        <x:v>Record captured</x:v>
      </x:c>
      <x:c r="G1231" s="4" t="str">
        <x:v>Cancelled</x:v>
      </x:c>
    </x:row>
    <x:row r="1232" ht="34" customHeight="1">
      <x:c r="A1232" s="4" t="str">
        <x:v>RS-01231-E1</x:v>
      </x:c>
      <x:c r="B1232" s="4" t="str">
        <x:v>RS-01231</x:v>
      </x:c>
      <x:c r="C1232" s="8" t="n">
        <x:v>45378</x:v>
      </x:c>
      <x:c r="D1232" s="4" t="str">
        <x:v>Sales operations manager</x:v>
      </x:c>
      <x:c r="E1232" s="4" t="str">
        <x:v>Spreadsheet import</x:v>
      </x:c>
      <x:c r="F1232" s="4" t="str">
        <x:v>Record captured</x:v>
      </x:c>
      <x:c r="G1232" s="4" t="str">
        <x:v>Enquiry</x:v>
      </x:c>
    </x:row>
    <x:row r="1233" ht="34" customHeight="1">
      <x:c r="A1233" s="4" t="str">
        <x:v>RS-01232-E1</x:v>
      </x:c>
      <x:c r="B1233" s="4" t="str">
        <x:v>RS-01232</x:v>
      </x:c>
      <x:c r="C1233" s="8" t="n">
        <x:v>45379</x:v>
      </x:c>
      <x:c r="D1233" s="4" t="str">
        <x:v>Sales operations manager</x:v>
      </x:c>
      <x:c r="E1233" s="4" t="str">
        <x:v>WhatsApp transcribed</x:v>
      </x:c>
      <x:c r="F1233" s="4" t="str">
        <x:v>Record captured</x:v>
      </x:c>
      <x:c r="G1233" s="4" t="str">
        <x:v>Cancelled</x:v>
      </x:c>
    </x:row>
    <x:row r="1234" ht="34" customHeight="1">
      <x:c r="A1234" s="4" t="str">
        <x:v>RS-01233-E1</x:v>
      </x:c>
      <x:c r="B1234" s="4" t="str">
        <x:v>RS-01233</x:v>
      </x:c>
      <x:c r="C1234" s="8" t="n">
        <x:v>45352</x:v>
      </x:c>
      <x:c r="D1234" s="4" t="str">
        <x:v>Sales operations manager</x:v>
      </x:c>
      <x:c r="E1234" s="4" t="str">
        <x:v>Spreadsheet import</x:v>
      </x:c>
      <x:c r="F1234" s="4" t="str">
        <x:v>Record captured</x:v>
      </x:c>
      <x:c r="G1234" s="4" t="str">
        <x:v>Booked</x:v>
      </x:c>
    </x:row>
    <x:row r="1235" ht="34" customHeight="1">
      <x:c r="A1235" s="4" t="str">
        <x:v>RS-01234-E1</x:v>
      </x:c>
      <x:c r="B1235" s="4" t="str">
        <x:v>RS-01234</x:v>
      </x:c>
      <x:c r="C1235" s="8" t="n">
        <x:v>45353</x:v>
      </x:c>
      <x:c r="D1235" s="4" t="str">
        <x:v>Sales operations manager</x:v>
      </x:c>
      <x:c r="E1235" s="4" t="str">
        <x:v>WhatsApp transcribed</x:v>
      </x:c>
      <x:c r="F1235" s="4" t="str">
        <x:v>Record captured</x:v>
      </x:c>
      <x:c r="G1235" s="4" t="str">
        <x:v>Booked</x:v>
      </x:c>
    </x:row>
    <x:row r="1236" ht="34" customHeight="1">
      <x:c r="A1236" s="4" t="str">
        <x:v>RS-01235-E1</x:v>
      </x:c>
      <x:c r="B1236" s="4" t="str">
        <x:v>RS-01235</x:v>
      </x:c>
      <x:c r="C1236" s="8" t="n">
        <x:v>45354</x:v>
      </x:c>
      <x:c r="D1236" s="4" t="str">
        <x:v>Sales operations manager</x:v>
      </x:c>
      <x:c r="E1236" s="4" t="str">
        <x:v>Paper transcribed</x:v>
      </x:c>
      <x:c r="F1236" s="4" t="str">
        <x:v>Record captured</x:v>
      </x:c>
      <x:c r="G1236" s="4" t="str">
        <x:v>Cancelled</x:v>
      </x:c>
    </x:row>
    <x:row r="1237" ht="34" customHeight="1">
      <x:c r="A1237" s="4" t="str">
        <x:v>RS-01236-E1</x:v>
      </x:c>
      <x:c r="B1237" s="4" t="str">
        <x:v>RS-01236</x:v>
      </x:c>
      <x:c r="C1237" s="8" t="n">
        <x:v>45355</x:v>
      </x:c>
      <x:c r="D1237" s="4" t="str">
        <x:v>Sales operations manager</x:v>
      </x:c>
      <x:c r="E1237" s="4" t="str">
        <x:v>Paper transcribed</x:v>
      </x:c>
      <x:c r="F1237" s="4" t="str">
        <x:v>Record captured</x:v>
      </x:c>
      <x:c r="G1237" s="4" t="str">
        <x:v>Booked</x:v>
      </x:c>
    </x:row>
    <x:row r="1238" ht="34" customHeight="1">
      <x:c r="A1238" s="4" t="str">
        <x:v>RS-01237-E1</x:v>
      </x:c>
      <x:c r="B1238" s="4" t="str">
        <x:v>RS-01237</x:v>
      </x:c>
      <x:c r="C1238" s="8" t="n">
        <x:v>45356</x:v>
      </x:c>
      <x:c r="D1238" s="4" t="str">
        <x:v>Sales operations manager</x:v>
      </x:c>
      <x:c r="E1238" s="4" t="str">
        <x:v>Spreadsheet import</x:v>
      </x:c>
      <x:c r="F1238" s="4" t="str">
        <x:v>Record captured</x:v>
      </x:c>
      <x:c r="G1238" s="4" t="str">
        <x:v>Reserved</x:v>
      </x:c>
    </x:row>
    <x:row r="1239" ht="34" customHeight="1">
      <x:c r="A1239" s="4" t="str">
        <x:v>RS-01238-E1</x:v>
      </x:c>
      <x:c r="B1239" s="4" t="str">
        <x:v>RS-01238</x:v>
      </x:c>
      <x:c r="C1239" s="8" t="n">
        <x:v>45357</x:v>
      </x:c>
      <x:c r="D1239" s="4" t="str">
        <x:v>Sales operations manager</x:v>
      </x:c>
      <x:c r="E1239" s="4" t="str">
        <x:v>Spreadsheet import</x:v>
      </x:c>
      <x:c r="F1239" s="4" t="str">
        <x:v>Record captured</x:v>
      </x:c>
      <x:c r="G1239" s="4" t="str">
        <x:v>Cancelled</x:v>
      </x:c>
    </x:row>
    <x:row r="1240" ht="34" customHeight="1">
      <x:c r="A1240" s="4" t="str">
        <x:v>RS-01239-E1</x:v>
      </x:c>
      <x:c r="B1240" s="4" t="str">
        <x:v>RS-01239</x:v>
      </x:c>
      <x:c r="C1240" s="8" t="n">
        <x:v>45358</x:v>
      </x:c>
      <x:c r="D1240" s="4" t="str">
        <x:v>Sales operations manager</x:v>
      </x:c>
      <x:c r="E1240" s="4" t="str">
        <x:v>WhatsApp transcribed</x:v>
      </x:c>
      <x:c r="F1240" s="4" t="str">
        <x:v>Record captured</x:v>
      </x:c>
      <x:c r="G1240" s="4" t="str">
        <x:v>Enquiry</x:v>
      </x:c>
    </x:row>
    <x:row r="1241" ht="34" customHeight="1">
      <x:c r="A1241" s="4" t="str">
        <x:v>RS-01240-E1</x:v>
      </x:c>
      <x:c r="B1241" s="4" t="str">
        <x:v>RS-01240</x:v>
      </x:c>
      <x:c r="C1241" s="8" t="n">
        <x:v>45359</x:v>
      </x:c>
      <x:c r="D1241" s="4" t="str">
        <x:v>Sales operations manager</x:v>
      </x:c>
      <x:c r="E1241" s="4" t="str">
        <x:v>Paper transcribed</x:v>
      </x:c>
      <x:c r="F1241" s="4" t="str">
        <x:v>Record captured</x:v>
      </x:c>
      <x:c r="G1241" s="4" t="str">
        <x:v>Agreement signed</x:v>
      </x:c>
    </x:row>
    <x:row r="1242" ht="34" customHeight="1">
      <x:c r="A1242" s="4" t="str">
        <x:v>RS-01241-E1</x:v>
      </x:c>
      <x:c r="B1242" s="4" t="str">
        <x:v>RS-01241</x:v>
      </x:c>
      <x:c r="C1242" s="8" t="n">
        <x:v>45360</x:v>
      </x:c>
      <x:c r="D1242" s="4" t="str">
        <x:v>Sales operations manager</x:v>
      </x:c>
      <x:c r="E1242" s="4" t="str">
        <x:v>ERP form</x:v>
      </x:c>
      <x:c r="F1242" s="4" t="str">
        <x:v>Record captured</x:v>
      </x:c>
      <x:c r="G1242" s="4" t="str">
        <x:v>Agreement signed</x:v>
      </x:c>
    </x:row>
    <x:row r="1243" ht="34" customHeight="1">
      <x:c r="A1243" s="4" t="str">
        <x:v>RS-01242-E1</x:v>
      </x:c>
      <x:c r="B1243" s="4" t="str">
        <x:v>RS-01242</x:v>
      </x:c>
      <x:c r="C1243" s="8" t="n">
        <x:v>45361</x:v>
      </x:c>
      <x:c r="D1243" s="4" t="str">
        <x:v>Sales operations manager</x:v>
      </x:c>
      <x:c r="E1243" s="4" t="str">
        <x:v>Paper transcribed</x:v>
      </x:c>
      <x:c r="F1243" s="4" t="str">
        <x:v>Record captured</x:v>
      </x:c>
      <x:c r="G1243" s="4" t="str">
        <x:v>Agreement signed</x:v>
      </x:c>
    </x:row>
    <x:row r="1244" ht="34" customHeight="1">
      <x:c r="A1244" s="4" t="str">
        <x:v>RS-01243-E1</x:v>
      </x:c>
      <x:c r="B1244" s="4" t="str">
        <x:v>RS-01243</x:v>
      </x:c>
      <x:c r="C1244" s="8" t="n">
        <x:v>45362</x:v>
      </x:c>
      <x:c r="D1244" s="4" t="str">
        <x:v>Sales operations manager</x:v>
      </x:c>
      <x:c r="E1244" s="4" t="str">
        <x:v>Paper transcribed</x:v>
      </x:c>
      <x:c r="F1244" s="4" t="str">
        <x:v>Record captured</x:v>
      </x:c>
      <x:c r="G1244" s="4" t="str">
        <x:v>Booked</x:v>
      </x:c>
    </x:row>
    <x:row r="1245" ht="34" customHeight="1">
      <x:c r="A1245" s="4" t="str">
        <x:v>RS-01244-E1</x:v>
      </x:c>
      <x:c r="B1245" s="4" t="str">
        <x:v>RS-01244</x:v>
      </x:c>
      <x:c r="C1245" s="8" t="n">
        <x:v>45363</x:v>
      </x:c>
      <x:c r="D1245" s="4" t="str">
        <x:v>Sales operations manager</x:v>
      </x:c>
      <x:c r="E1245" s="4" t="str">
        <x:v>Paper transcribed</x:v>
      </x:c>
      <x:c r="F1245" s="4" t="str">
        <x:v>Record captured</x:v>
      </x:c>
      <x:c r="G1245" s="4" t="str">
        <x:v>Enquiry</x:v>
      </x:c>
    </x:row>
    <x:row r="1246" ht="34" customHeight="1">
      <x:c r="A1246" s="4" t="str">
        <x:v>RS-01245-E1</x:v>
      </x:c>
      <x:c r="B1246" s="4" t="str">
        <x:v>RS-01245</x:v>
      </x:c>
      <x:c r="C1246" s="8" t="n">
        <x:v>45364</x:v>
      </x:c>
      <x:c r="D1246" s="4" t="str">
        <x:v>Sales operations manager</x:v>
      </x:c>
      <x:c r="E1246" s="4" t="str">
        <x:v>WhatsApp transcribed</x:v>
      </x:c>
      <x:c r="F1246" s="4" t="str">
        <x:v>Record captured</x:v>
      </x:c>
      <x:c r="G1246" s="4" t="str">
        <x:v>Enquiry</x:v>
      </x:c>
    </x:row>
    <x:row r="1247" ht="34" customHeight="1">
      <x:c r="A1247" s="4" t="str">
        <x:v>RS-01246-E1</x:v>
      </x:c>
      <x:c r="B1247" s="4" t="str">
        <x:v>RS-01246</x:v>
      </x:c>
      <x:c r="C1247" s="8" t="n">
        <x:v>45365</x:v>
      </x:c>
      <x:c r="D1247" s="4" t="str">
        <x:v>Sales operations manager</x:v>
      </x:c>
      <x:c r="E1247" s="4" t="str">
        <x:v>Spreadsheet import</x:v>
      </x:c>
      <x:c r="F1247" s="4" t="str">
        <x:v>Record captured</x:v>
      </x:c>
      <x:c r="G1247" s="4" t="str">
        <x:v>Cancelled</x:v>
      </x:c>
    </x:row>
    <x:row r="1248" ht="34" customHeight="1">
      <x:c r="A1248" s="4" t="str">
        <x:v>RS-01247-E1</x:v>
      </x:c>
      <x:c r="B1248" s="4" t="str">
        <x:v>RS-01247</x:v>
      </x:c>
      <x:c r="C1248" s="8" t="n">
        <x:v>45366</x:v>
      </x:c>
      <x:c r="D1248" s="4" t="str">
        <x:v>Sales operations manager</x:v>
      </x:c>
      <x:c r="E1248" s="4" t="str">
        <x:v>Spreadsheet import</x:v>
      </x:c>
      <x:c r="F1248" s="4" t="str">
        <x:v>Record captured</x:v>
      </x:c>
      <x:c r="G1248" s="4" t="str">
        <x:v>Booked</x:v>
      </x:c>
    </x:row>
    <x:row r="1249" ht="34" customHeight="1">
      <x:c r="A1249" s="4" t="str">
        <x:v>RS-01248-E1</x:v>
      </x:c>
      <x:c r="B1249" s="4" t="str">
        <x:v>RS-01248</x:v>
      </x:c>
      <x:c r="C1249" s="8" t="n">
        <x:v>45367</x:v>
      </x:c>
      <x:c r="D1249" s="4" t="str">
        <x:v>Sales operations manager</x:v>
      </x:c>
      <x:c r="E1249" s="4" t="str">
        <x:v>Spreadsheet import</x:v>
      </x:c>
      <x:c r="F1249" s="4" t="str">
        <x:v>Record captured</x:v>
      </x:c>
      <x:c r="G1249" s="4" t="str">
        <x:v>Enquiry</x:v>
      </x:c>
    </x:row>
    <x:row r="1250" ht="34" customHeight="1">
      <x:c r="A1250" s="4" t="str">
        <x:v>RS-01249-E1</x:v>
      </x:c>
      <x:c r="B1250" s="4" t="str">
        <x:v>RS-01249</x:v>
      </x:c>
      <x:c r="C1250" s="8" t="n">
        <x:v>45368</x:v>
      </x:c>
      <x:c r="D1250" s="4" t="str">
        <x:v>Sales operations manager</x:v>
      </x:c>
      <x:c r="E1250" s="4" t="str">
        <x:v>Spreadsheet import</x:v>
      </x:c>
      <x:c r="F1250" s="4" t="str">
        <x:v>Record captured</x:v>
      </x:c>
      <x:c r="G1250" s="4" t="str">
        <x:v>Booked</x:v>
      </x:c>
    </x:row>
    <x:row r="1251" ht="34" customHeight="1">
      <x:c r="A1251" s="4" t="str">
        <x:v>RS-01250-E1</x:v>
      </x:c>
      <x:c r="B1251" s="4" t="str">
        <x:v>RS-01250</x:v>
      </x:c>
      <x:c r="C1251" s="8" t="n">
        <x:v>45369</x:v>
      </x:c>
      <x:c r="D1251" s="4" t="str">
        <x:v>Sales operations manager</x:v>
      </x:c>
      <x:c r="E1251" s="4" t="str">
        <x:v>WhatsApp transcribed</x:v>
      </x:c>
      <x:c r="F1251" s="4" t="str">
        <x:v>Record captured</x:v>
      </x:c>
      <x:c r="G1251" s="4" t="str">
        <x:v>Handed over</x:v>
      </x:c>
    </x:row>
    <x:row r="1252" ht="34" customHeight="1">
      <x:c r="A1252" s="4" t="str">
        <x:v>RS-01251-E1</x:v>
      </x:c>
      <x:c r="B1252" s="4" t="str">
        <x:v>RS-01251</x:v>
      </x:c>
      <x:c r="C1252" s="8" t="n">
        <x:v>45370</x:v>
      </x:c>
      <x:c r="D1252" s="4" t="str">
        <x:v>Sales operations manager</x:v>
      </x:c>
      <x:c r="E1252" s="4" t="str">
        <x:v>Paper transcribed</x:v>
      </x:c>
      <x:c r="F1252" s="4" t="str">
        <x:v>Record captured</x:v>
      </x:c>
      <x:c r="G1252" s="4" t="str">
        <x:v>Reserved</x:v>
      </x:c>
    </x:row>
    <x:row r="1253" ht="34" customHeight="1">
      <x:c r="A1253" s="4" t="str">
        <x:v>RS-01252-E1</x:v>
      </x:c>
      <x:c r="B1253" s="4" t="str">
        <x:v>RS-01252</x:v>
      </x:c>
      <x:c r="C1253" s="8" t="n">
        <x:v>45371</x:v>
      </x:c>
      <x:c r="D1253" s="4" t="str">
        <x:v>Sales operations manager</x:v>
      </x:c>
      <x:c r="E1253" s="4" t="str">
        <x:v>Spreadsheet import</x:v>
      </x:c>
      <x:c r="F1253" s="4" t="str">
        <x:v>Record captured</x:v>
      </x:c>
      <x:c r="G1253" s="4" t="str">
        <x:v>Booked</x:v>
      </x:c>
    </x:row>
    <x:row r="1254" ht="34" customHeight="1">
      <x:c r="A1254" s="4" t="str">
        <x:v>RS-01253-E1</x:v>
      </x:c>
      <x:c r="B1254" s="4" t="str">
        <x:v>RS-01253</x:v>
      </x:c>
      <x:c r="C1254" s="8" t="n">
        <x:v>45372</x:v>
      </x:c>
      <x:c r="D1254" s="4" t="str">
        <x:v>Sales operations manager</x:v>
      </x:c>
      <x:c r="E1254" s="4" t="str">
        <x:v>ERP form</x:v>
      </x:c>
      <x:c r="F1254" s="4" t="str">
        <x:v>Record captured</x:v>
      </x:c>
      <x:c r="G1254" s="4" t="str">
        <x:v>Agreement signed</x:v>
      </x:c>
    </x:row>
    <x:row r="1255" ht="34" customHeight="1">
      <x:c r="A1255" s="4" t="str">
        <x:v>RS-01254-E1</x:v>
      </x:c>
      <x:c r="B1255" s="4" t="str">
        <x:v>RS-01254</x:v>
      </x:c>
      <x:c r="C1255" s="8" t="n">
        <x:v>45373</x:v>
      </x:c>
      <x:c r="D1255" s="4" t="str">
        <x:v>Sales operations manager</x:v>
      </x:c>
      <x:c r="E1255" s="4" t="str">
        <x:v>ERP form</x:v>
      </x:c>
      <x:c r="F1255" s="4" t="str">
        <x:v>Record captured</x:v>
      </x:c>
      <x:c r="G1255" s="4" t="str">
        <x:v>Booked</x:v>
      </x:c>
    </x:row>
    <x:row r="1256" ht="34" customHeight="1">
      <x:c r="A1256" s="4" t="str">
        <x:v>RS-01255-E1</x:v>
      </x:c>
      <x:c r="B1256" s="4" t="str">
        <x:v>RS-01255</x:v>
      </x:c>
      <x:c r="C1256" s="8" t="n">
        <x:v>45374</x:v>
      </x:c>
      <x:c r="D1256" s="4" t="str">
        <x:v>Sales operations manager</x:v>
      </x:c>
      <x:c r="E1256" s="4" t="str">
        <x:v>Spreadsheet import</x:v>
      </x:c>
      <x:c r="F1256" s="4" t="str">
        <x:v>Record captured</x:v>
      </x:c>
      <x:c r="G1256" s="4" t="str">
        <x:v>Reserved</x:v>
      </x:c>
    </x:row>
    <x:row r="1257" ht="34" customHeight="1">
      <x:c r="A1257" s="4" t="str">
        <x:v>RS-01256-E1</x:v>
      </x:c>
      <x:c r="B1257" s="4" t="str">
        <x:v>RS-01256</x:v>
      </x:c>
      <x:c r="C1257" s="8" t="n">
        <x:v>45375</x:v>
      </x:c>
      <x:c r="D1257" s="4" t="str">
        <x:v>Sales operations manager</x:v>
      </x:c>
      <x:c r="E1257" s="4" t="str">
        <x:v>Spreadsheet import</x:v>
      </x:c>
      <x:c r="F1257" s="4" t="str">
        <x:v>Record captured</x:v>
      </x:c>
      <x:c r="G1257" s="4" t="str">
        <x:v>Cancelled</x:v>
      </x:c>
    </x:row>
    <x:row r="1258" ht="34" customHeight="1">
      <x:c r="A1258" s="4" t="str">
        <x:v>RS-01257-E1</x:v>
      </x:c>
      <x:c r="B1258" s="4" t="str">
        <x:v>RS-01257</x:v>
      </x:c>
      <x:c r="C1258" s="8" t="n">
        <x:v>45376</x:v>
      </x:c>
      <x:c r="D1258" s="4" t="str">
        <x:v>Sales operations manager</x:v>
      </x:c>
      <x:c r="E1258" s="4" t="str">
        <x:v>Spreadsheet import</x:v>
      </x:c>
      <x:c r="F1258" s="4" t="str">
        <x:v>Record captured</x:v>
      </x:c>
      <x:c r="G1258" s="4" t="str">
        <x:v>Reserved</x:v>
      </x:c>
    </x:row>
    <x:row r="1259" ht="34" customHeight="1">
      <x:c r="A1259" s="4" t="str">
        <x:v>RS-01258-E1</x:v>
      </x:c>
      <x:c r="B1259" s="4" t="str">
        <x:v>RS-01258</x:v>
      </x:c>
      <x:c r="C1259" s="8" t="n">
        <x:v>45377</x:v>
      </x:c>
      <x:c r="D1259" s="4" t="str">
        <x:v>Sales operations manager</x:v>
      </x:c>
      <x:c r="E1259" s="4" t="str">
        <x:v>Spreadsheet import</x:v>
      </x:c>
      <x:c r="F1259" s="4" t="str">
        <x:v>Record captured</x:v>
      </x:c>
      <x:c r="G1259" s="4" t="str">
        <x:v>Agreement signed</x:v>
      </x:c>
    </x:row>
    <x:row r="1260" ht="34" customHeight="1">
      <x:c r="A1260" s="4" t="str">
        <x:v>RS-01259-E1</x:v>
      </x:c>
      <x:c r="B1260" s="4" t="str">
        <x:v>RS-01259</x:v>
      </x:c>
      <x:c r="C1260" s="8" t="n">
        <x:v>45378</x:v>
      </x:c>
      <x:c r="D1260" s="4" t="str">
        <x:v>Sales operations manager</x:v>
      </x:c>
      <x:c r="E1260" s="4" t="str">
        <x:v>Paper transcribed</x:v>
      </x:c>
      <x:c r="F1260" s="4" t="str">
        <x:v>Record captured</x:v>
      </x:c>
      <x:c r="G1260" s="4" t="str">
        <x:v>Handed over</x:v>
      </x:c>
    </x:row>
    <x:row r="1261" ht="34" customHeight="1">
      <x:c r="A1261" s="4" t="str">
        <x:v>RS-01260-E1</x:v>
      </x:c>
      <x:c r="B1261" s="4" t="str">
        <x:v>RS-01260</x:v>
      </x:c>
      <x:c r="C1261" s="8" t="n">
        <x:v>45379</x:v>
      </x:c>
      <x:c r="D1261" s="4" t="str">
        <x:v>Sales operations manager</x:v>
      </x:c>
      <x:c r="E1261" s="4" t="str">
        <x:v>WhatsApp transcribed</x:v>
      </x:c>
      <x:c r="F1261" s="4" t="str">
        <x:v>Record captured</x:v>
      </x:c>
      <x:c r="G1261" s="4" t="str">
        <x:v>Cancelled</x:v>
      </x:c>
    </x:row>
    <x:row r="1262" ht="34" customHeight="1">
      <x:c r="A1262" s="4" t="str">
        <x:v>RS-01261-E1</x:v>
      </x:c>
      <x:c r="B1262" s="4" t="str">
        <x:v>RS-01261</x:v>
      </x:c>
      <x:c r="C1262" s="8" t="n">
        <x:v>45352</x:v>
      </x:c>
      <x:c r="D1262" s="4" t="str">
        <x:v>Sales operations manager</x:v>
      </x:c>
      <x:c r="E1262" s="4" t="str">
        <x:v>WhatsApp transcribed</x:v>
      </x:c>
      <x:c r="F1262" s="4" t="str">
        <x:v>Record captured</x:v>
      </x:c>
      <x:c r="G1262" s="4" t="str">
        <x:v>Enquiry</x:v>
      </x:c>
    </x:row>
    <x:row r="1263" ht="34" customHeight="1">
      <x:c r="A1263" s="4" t="str">
        <x:v>RS-01262-E1</x:v>
      </x:c>
      <x:c r="B1263" s="4" t="str">
        <x:v>RS-01262</x:v>
      </x:c>
      <x:c r="C1263" s="8" t="n">
        <x:v>45353</x:v>
      </x:c>
      <x:c r="D1263" s="4" t="str">
        <x:v>Sales operations manager</x:v>
      </x:c>
      <x:c r="E1263" s="4" t="str">
        <x:v>WhatsApp transcribed</x:v>
      </x:c>
      <x:c r="F1263" s="4" t="str">
        <x:v>Record captured</x:v>
      </x:c>
      <x:c r="G1263" s="4" t="str">
        <x:v>Handed over</x:v>
      </x:c>
    </x:row>
    <x:row r="1264" ht="34" customHeight="1">
      <x:c r="A1264" s="4" t="str">
        <x:v>RS-01263-E1</x:v>
      </x:c>
      <x:c r="B1264" s="4" t="str">
        <x:v>RS-01263</x:v>
      </x:c>
      <x:c r="C1264" s="8" t="n">
        <x:v>45354</x:v>
      </x:c>
      <x:c r="D1264" s="4" t="str">
        <x:v>Sales operations manager</x:v>
      </x:c>
      <x:c r="E1264" s="4" t="str">
        <x:v>Paper transcribed</x:v>
      </x:c>
      <x:c r="F1264" s="4" t="str">
        <x:v>Record captured</x:v>
      </x:c>
      <x:c r="G1264" s="4" t="str">
        <x:v>Reserved</x:v>
      </x:c>
    </x:row>
    <x:row r="1265" ht="34" customHeight="1">
      <x:c r="A1265" s="4" t="str">
        <x:v>RS-01264-E1</x:v>
      </x:c>
      <x:c r="B1265" s="4" t="str">
        <x:v>RS-01264</x:v>
      </x:c>
      <x:c r="C1265" s="8" t="n">
        <x:v>45355</x:v>
      </x:c>
      <x:c r="D1265" s="4" t="str">
        <x:v>Sales operations manager</x:v>
      </x:c>
      <x:c r="E1265" s="4" t="str">
        <x:v>Spreadsheet import</x:v>
      </x:c>
      <x:c r="F1265" s="4" t="str">
        <x:v>Record captured</x:v>
      </x:c>
      <x:c r="G1265" s="4" t="str">
        <x:v>Enquiry</x:v>
      </x:c>
    </x:row>
    <x:row r="1266" ht="34" customHeight="1">
      <x:c r="A1266" s="4" t="str">
        <x:v>RS-01265-E1</x:v>
      </x:c>
      <x:c r="B1266" s="4" t="str">
        <x:v>RS-01265</x:v>
      </x:c>
      <x:c r="C1266" s="8" t="n">
        <x:v>45356</x:v>
      </x:c>
      <x:c r="D1266" s="4" t="str">
        <x:v>Sales operations manager</x:v>
      </x:c>
      <x:c r="E1266" s="4" t="str">
        <x:v>ERP form</x:v>
      </x:c>
      <x:c r="F1266" s="4" t="str">
        <x:v>Record captured</x:v>
      </x:c>
      <x:c r="G1266" s="4" t="str">
        <x:v>Handed over</x:v>
      </x:c>
    </x:row>
    <x:row r="1267" ht="34" customHeight="1">
      <x:c r="A1267" s="4" t="str">
        <x:v>RS-01266-E1</x:v>
      </x:c>
      <x:c r="B1267" s="4" t="str">
        <x:v>RS-01266</x:v>
      </x:c>
      <x:c r="C1267" s="8" t="n">
        <x:v>45357</x:v>
      </x:c>
      <x:c r="D1267" s="4" t="str">
        <x:v>Sales operations manager</x:v>
      </x:c>
      <x:c r="E1267" s="4" t="str">
        <x:v>WhatsApp transcribed</x:v>
      </x:c>
      <x:c r="F1267" s="4" t="str">
        <x:v>Record captured</x:v>
      </x:c>
      <x:c r="G1267" s="4" t="str">
        <x:v>Handed over</x:v>
      </x:c>
    </x:row>
    <x:row r="1268" ht="34" customHeight="1">
      <x:c r="A1268" s="4" t="str">
        <x:v>RS-01267-E1</x:v>
      </x:c>
      <x:c r="B1268" s="4" t="str">
        <x:v>RS-01267</x:v>
      </x:c>
      <x:c r="C1268" s="8" t="n">
        <x:v>45358</x:v>
      </x:c>
      <x:c r="D1268" s="4" t="str">
        <x:v>Sales operations manager</x:v>
      </x:c>
      <x:c r="E1268" s="4" t="str">
        <x:v>WhatsApp transcribed</x:v>
      </x:c>
      <x:c r="F1268" s="4" t="str">
        <x:v>Record captured</x:v>
      </x:c>
      <x:c r="G1268" s="4" t="str">
        <x:v>Booked</x:v>
      </x:c>
    </x:row>
    <x:row r="1269" ht="34" customHeight="1">
      <x:c r="A1269" s="4" t="str">
        <x:v>RS-01268-E1</x:v>
      </x:c>
      <x:c r="B1269" s="4" t="str">
        <x:v>RS-01268</x:v>
      </x:c>
      <x:c r="C1269" s="8" t="n">
        <x:v>45359</x:v>
      </x:c>
      <x:c r="D1269" s="4" t="str">
        <x:v>Sales operations manager</x:v>
      </x:c>
      <x:c r="E1269" s="4" t="str">
        <x:v>Spreadsheet import</x:v>
      </x:c>
      <x:c r="F1269" s="4" t="str">
        <x:v>Record captured</x:v>
      </x:c>
      <x:c r="G1269" s="4" t="str">
        <x:v>Enquiry</x:v>
      </x:c>
    </x:row>
    <x:row r="1270" ht="34" customHeight="1">
      <x:c r="A1270" s="4" t="str">
        <x:v>RS-01269-E1</x:v>
      </x:c>
      <x:c r="B1270" s="4" t="str">
        <x:v>RS-01269</x:v>
      </x:c>
      <x:c r="C1270" s="8" t="n">
        <x:v>45360</x:v>
      </x:c>
      <x:c r="D1270" s="4" t="str">
        <x:v>Sales operations manager</x:v>
      </x:c>
      <x:c r="E1270" s="4" t="str">
        <x:v>ERP form</x:v>
      </x:c>
      <x:c r="F1270" s="4" t="str">
        <x:v>Record captured</x:v>
      </x:c>
      <x:c r="G1270" s="4" t="str">
        <x:v>Agreement signed</x:v>
      </x:c>
    </x:row>
    <x:row r="1271" ht="34" customHeight="1">
      <x:c r="A1271" s="4" t="str">
        <x:v>RS-01270-E1</x:v>
      </x:c>
      <x:c r="B1271" s="4" t="str">
        <x:v>RS-01270</x:v>
      </x:c>
      <x:c r="C1271" s="8" t="n">
        <x:v>45361</x:v>
      </x:c>
      <x:c r="D1271" s="4" t="str">
        <x:v>Sales operations manager</x:v>
      </x:c>
      <x:c r="E1271" s="4" t="str">
        <x:v>Spreadsheet import</x:v>
      </x:c>
      <x:c r="F1271" s="4" t="str">
        <x:v>Record captured</x:v>
      </x:c>
      <x:c r="G1271" s="4" t="str">
        <x:v>Reserved</x:v>
      </x:c>
    </x:row>
    <x:row r="1272" ht="34" customHeight="1">
      <x:c r="A1272" s="4" t="str">
        <x:v>RS-01271-E1</x:v>
      </x:c>
      <x:c r="B1272" s="4" t="str">
        <x:v>RS-01271</x:v>
      </x:c>
      <x:c r="C1272" s="8" t="n">
        <x:v>45362</x:v>
      </x:c>
      <x:c r="D1272" s="4" t="str">
        <x:v>Sales operations manager</x:v>
      </x:c>
      <x:c r="E1272" s="4" t="str">
        <x:v>Spreadsheet import</x:v>
      </x:c>
      <x:c r="F1272" s="4" t="str">
        <x:v>Record captured</x:v>
      </x:c>
      <x:c r="G1272" s="4" t="str">
        <x:v>Reserved</x:v>
      </x:c>
    </x:row>
    <x:row r="1273" ht="34" customHeight="1">
      <x:c r="A1273" s="4" t="str">
        <x:v>RS-01272-E1</x:v>
      </x:c>
      <x:c r="B1273" s="4" t="str">
        <x:v>RS-01272</x:v>
      </x:c>
      <x:c r="C1273" s="8" t="n">
        <x:v>45363</x:v>
      </x:c>
      <x:c r="D1273" s="4" t="str">
        <x:v>Sales operations manager</x:v>
      </x:c>
      <x:c r="E1273" s="4" t="str">
        <x:v>ERP form</x:v>
      </x:c>
      <x:c r="F1273" s="4" t="str">
        <x:v>Record captured</x:v>
      </x:c>
      <x:c r="G1273" s="4" t="str">
        <x:v>Booked</x:v>
      </x:c>
    </x:row>
    <x:row r="1274" ht="34" customHeight="1">
      <x:c r="A1274" s="4" t="str">
        <x:v>RS-01273-E1</x:v>
      </x:c>
      <x:c r="B1274" s="4" t="str">
        <x:v>RS-01273</x:v>
      </x:c>
      <x:c r="C1274" s="8" t="n">
        <x:v>45364</x:v>
      </x:c>
      <x:c r="D1274" s="4" t="str">
        <x:v>Sales operations manager</x:v>
      </x:c>
      <x:c r="E1274" s="4" t="str">
        <x:v>ERP form</x:v>
      </x:c>
      <x:c r="F1274" s="4" t="str">
        <x:v>Record captured</x:v>
      </x:c>
      <x:c r="G1274" s="4" t="str">
        <x:v>Cancelled</x:v>
      </x:c>
    </x:row>
    <x:row r="1275" ht="34" customHeight="1">
      <x:c r="A1275" s="4" t="str">
        <x:v>RS-01274-E1</x:v>
      </x:c>
      <x:c r="B1275" s="4" t="str">
        <x:v>RS-01274</x:v>
      </x:c>
      <x:c r="C1275" s="8" t="n">
        <x:v>45365</x:v>
      </x:c>
      <x:c r="D1275" s="4" t="str">
        <x:v>Sales operations manager</x:v>
      </x:c>
      <x:c r="E1275" s="4" t="str">
        <x:v>Paper transcribed</x:v>
      </x:c>
      <x:c r="F1275" s="4" t="str">
        <x:v>Record captured</x:v>
      </x:c>
      <x:c r="G1275" s="4" t="str">
        <x:v>Reserved</x:v>
      </x:c>
    </x:row>
    <x:row r="1276" ht="34" customHeight="1">
      <x:c r="A1276" s="4" t="str">
        <x:v>RS-01275-E1</x:v>
      </x:c>
      <x:c r="B1276" s="4" t="str">
        <x:v>RS-01275</x:v>
      </x:c>
      <x:c r="C1276" s="8" t="n">
        <x:v>45366</x:v>
      </x:c>
      <x:c r="D1276" s="4" t="str">
        <x:v>Sales operations manager</x:v>
      </x:c>
      <x:c r="E1276" s="4" t="str">
        <x:v>Spreadsheet import</x:v>
      </x:c>
      <x:c r="F1276" s="4" t="str">
        <x:v>Record captured</x:v>
      </x:c>
      <x:c r="G1276" s="4" t="str">
        <x:v>Booked</x:v>
      </x:c>
    </x:row>
    <x:row r="1277" ht="34" customHeight="1">
      <x:c r="A1277" s="4" t="str">
        <x:v>RS-01276-E1</x:v>
      </x:c>
      <x:c r="B1277" s="4" t="str">
        <x:v>RS-01276</x:v>
      </x:c>
      <x:c r="C1277" s="8" t="n">
        <x:v>45367</x:v>
      </x:c>
      <x:c r="D1277" s="4" t="str">
        <x:v>Sales operations manager</x:v>
      </x:c>
      <x:c r="E1277" s="4" t="str">
        <x:v>ERP form</x:v>
      </x:c>
      <x:c r="F1277" s="4" t="str">
        <x:v>Record captured</x:v>
      </x:c>
      <x:c r="G1277" s="4" t="str">
        <x:v>Booked</x:v>
      </x:c>
    </x:row>
    <x:row r="1278" ht="34" customHeight="1">
      <x:c r="A1278" s="4" t="str">
        <x:v>RS-01277-E1</x:v>
      </x:c>
      <x:c r="B1278" s="4" t="str">
        <x:v>RS-01277</x:v>
      </x:c>
      <x:c r="C1278" s="8" t="n">
        <x:v>45368</x:v>
      </x:c>
      <x:c r="D1278" s="4" t="str">
        <x:v>Sales operations manager</x:v>
      </x:c>
      <x:c r="E1278" s="4" t="str">
        <x:v>WhatsApp transcribed</x:v>
      </x:c>
      <x:c r="F1278" s="4" t="str">
        <x:v>Record captured</x:v>
      </x:c>
      <x:c r="G1278" s="4" t="str">
        <x:v>Cancelled</x:v>
      </x:c>
    </x:row>
    <x:row r="1279" ht="34" customHeight="1">
      <x:c r="A1279" s="4" t="str">
        <x:v>RS-01278-E1</x:v>
      </x:c>
      <x:c r="B1279" s="4" t="str">
        <x:v>RS-01278</x:v>
      </x:c>
      <x:c r="C1279" s="8" t="n">
        <x:v>45369</x:v>
      </x:c>
      <x:c r="D1279" s="4" t="str">
        <x:v>Sales operations manager</x:v>
      </x:c>
      <x:c r="E1279" s="4" t="str">
        <x:v>WhatsApp transcribed</x:v>
      </x:c>
      <x:c r="F1279" s="4" t="str">
        <x:v>Record captured</x:v>
      </x:c>
      <x:c r="G1279" s="4" t="str">
        <x:v>Enquiry</x:v>
      </x:c>
    </x:row>
    <x:row r="1280" ht="34" customHeight="1">
      <x:c r="A1280" s="4" t="str">
        <x:v>RS-01279-E1</x:v>
      </x:c>
      <x:c r="B1280" s="4" t="str">
        <x:v>RS-01279</x:v>
      </x:c>
      <x:c r="C1280" s="8" t="n">
        <x:v>45370</x:v>
      </x:c>
      <x:c r="D1280" s="4" t="str">
        <x:v>Sales operations manager</x:v>
      </x:c>
      <x:c r="E1280" s="4" t="str">
        <x:v>Spreadsheet import</x:v>
      </x:c>
      <x:c r="F1280" s="4" t="str">
        <x:v>Record captured</x:v>
      </x:c>
      <x:c r="G1280" s="4" t="str">
        <x:v>Cancelled</x:v>
      </x:c>
    </x:row>
    <x:row r="1281" ht="34" customHeight="1">
      <x:c r="A1281" s="4" t="str">
        <x:v>RS-01280-E1</x:v>
      </x:c>
      <x:c r="B1281" s="4" t="str">
        <x:v>RS-01280</x:v>
      </x:c>
      <x:c r="C1281" s="8" t="n">
        <x:v>45371</x:v>
      </x:c>
      <x:c r="D1281" s="4" t="str">
        <x:v>Sales operations manager</x:v>
      </x:c>
      <x:c r="E1281" s="4" t="str">
        <x:v>WhatsApp transcribed</x:v>
      </x:c>
      <x:c r="F1281" s="4" t="str">
        <x:v>Record captured</x:v>
      </x:c>
      <x:c r="G1281" s="4" t="str">
        <x:v>Agreement signed</x:v>
      </x:c>
    </x:row>
    <x:row r="1282" ht="34" customHeight="1">
      <x:c r="A1282" s="4" t="str">
        <x:v>RS-01281-E1</x:v>
      </x:c>
      <x:c r="B1282" s="4" t="str">
        <x:v>RS-01281</x:v>
      </x:c>
      <x:c r="C1282" s="8" t="n">
        <x:v>45372</x:v>
      </x:c>
      <x:c r="D1282" s="4" t="str">
        <x:v>Sales operations manager</x:v>
      </x:c>
      <x:c r="E1282" s="4" t="str">
        <x:v>Spreadsheet import</x:v>
      </x:c>
      <x:c r="F1282" s="4" t="str">
        <x:v>Record captured</x:v>
      </x:c>
      <x:c r="G1282" s="4" t="str">
        <x:v>Cancelled</x:v>
      </x:c>
    </x:row>
    <x:row r="1283" ht="34" customHeight="1">
      <x:c r="A1283" s="4" t="str">
        <x:v>RS-01282-E1</x:v>
      </x:c>
      <x:c r="B1283" s="4" t="str">
        <x:v>RS-01282</x:v>
      </x:c>
      <x:c r="C1283" s="8" t="n">
        <x:v>45373</x:v>
      </x:c>
      <x:c r="D1283" s="4" t="str">
        <x:v>Sales operations manager</x:v>
      </x:c>
      <x:c r="E1283" s="4" t="str">
        <x:v>ERP form</x:v>
      </x:c>
      <x:c r="F1283" s="4" t="str">
        <x:v>Record captured</x:v>
      </x:c>
      <x:c r="G1283" s="4" t="str">
        <x:v>Cancelled</x:v>
      </x:c>
    </x:row>
    <x:row r="1284" ht="34" customHeight="1">
      <x:c r="A1284" s="4" t="str">
        <x:v>RS-01283-E1</x:v>
      </x:c>
      <x:c r="B1284" s="4" t="str">
        <x:v>RS-01283</x:v>
      </x:c>
      <x:c r="C1284" s="8" t="n">
        <x:v>45374</x:v>
      </x:c>
      <x:c r="D1284" s="4" t="str">
        <x:v>Sales operations manager</x:v>
      </x:c>
      <x:c r="E1284" s="4" t="str">
        <x:v>Paper transcribed</x:v>
      </x:c>
      <x:c r="F1284" s="4" t="str">
        <x:v>Record captured</x:v>
      </x:c>
      <x:c r="G1284" s="4" t="str">
        <x:v>Agreement signed</x:v>
      </x:c>
    </x:row>
    <x:row r="1285" ht="34" customHeight="1">
      <x:c r="A1285" s="4" t="str">
        <x:v>RS-01284-E1</x:v>
      </x:c>
      <x:c r="B1285" s="4" t="str">
        <x:v>RS-01284</x:v>
      </x:c>
      <x:c r="C1285" s="8" t="n">
        <x:v>45375</x:v>
      </x:c>
      <x:c r="D1285" s="4" t="str">
        <x:v>Sales operations manager</x:v>
      </x:c>
      <x:c r="E1285" s="4" t="str">
        <x:v>ERP form</x:v>
      </x:c>
      <x:c r="F1285" s="4" t="str">
        <x:v>Record captured</x:v>
      </x:c>
      <x:c r="G1285" s="4" t="str">
        <x:v>Enquiry</x:v>
      </x:c>
    </x:row>
    <x:row r="1286" ht="34" customHeight="1">
      <x:c r="A1286" s="4" t="str">
        <x:v>RS-01285-E1</x:v>
      </x:c>
      <x:c r="B1286" s="4" t="str">
        <x:v>RS-01285</x:v>
      </x:c>
      <x:c r="C1286" s="8" t="n">
        <x:v>45376</x:v>
      </x:c>
      <x:c r="D1286" s="4" t="str">
        <x:v>Sales operations manager</x:v>
      </x:c>
      <x:c r="E1286" s="4" t="str">
        <x:v>Spreadsheet import</x:v>
      </x:c>
      <x:c r="F1286" s="4" t="str">
        <x:v>Record captured</x:v>
      </x:c>
      <x:c r="G1286" s="4" t="str">
        <x:v>Agreement signed</x:v>
      </x:c>
    </x:row>
    <x:row r="1287" ht="34" customHeight="1">
      <x:c r="A1287" s="4" t="str">
        <x:v>RS-01286-E1</x:v>
      </x:c>
      <x:c r="B1287" s="4" t="str">
        <x:v>RS-01286</x:v>
      </x:c>
      <x:c r="C1287" s="8" t="n">
        <x:v>45377</x:v>
      </x:c>
      <x:c r="D1287" s="4" t="str">
        <x:v>Sales operations manager</x:v>
      </x:c>
      <x:c r="E1287" s="4" t="str">
        <x:v>ERP form</x:v>
      </x:c>
      <x:c r="F1287" s="4" t="str">
        <x:v>Record captured</x:v>
      </x:c>
      <x:c r="G1287" s="4" t="str">
        <x:v>Handed over</x:v>
      </x:c>
    </x:row>
    <x:row r="1288" ht="34" customHeight="1">
      <x:c r="A1288" s="4" t="str">
        <x:v>RS-01287-E1</x:v>
      </x:c>
      <x:c r="B1288" s="4" t="str">
        <x:v>RS-01287</x:v>
      </x:c>
      <x:c r="C1288" s="8" t="n">
        <x:v>45378</x:v>
      </x:c>
      <x:c r="D1288" s="4" t="str">
        <x:v>Sales operations manager</x:v>
      </x:c>
      <x:c r="E1288" s="4" t="str">
        <x:v>WhatsApp transcribed</x:v>
      </x:c>
      <x:c r="F1288" s="4" t="str">
        <x:v>Record captured</x:v>
      </x:c>
      <x:c r="G1288" s="4" t="str">
        <x:v>Handed over</x:v>
      </x:c>
    </x:row>
    <x:row r="1289" ht="34" customHeight="1">
      <x:c r="A1289" s="4" t="str">
        <x:v>RS-01288-E1</x:v>
      </x:c>
      <x:c r="B1289" s="4" t="str">
        <x:v>RS-01288</x:v>
      </x:c>
      <x:c r="C1289" s="8" t="n">
        <x:v>45379</x:v>
      </x:c>
      <x:c r="D1289" s="4" t="str">
        <x:v>Sales operations manager</x:v>
      </x:c>
      <x:c r="E1289" s="4" t="str">
        <x:v>Paper transcribed</x:v>
      </x:c>
      <x:c r="F1289" s="4" t="str">
        <x:v>Record captured</x:v>
      </x:c>
      <x:c r="G1289" s="4" t="str">
        <x:v>Handed over</x:v>
      </x:c>
    </x:row>
    <x:row r="1290" ht="34" customHeight="1">
      <x:c r="A1290" s="4" t="str">
        <x:v>RS-01289-E1</x:v>
      </x:c>
      <x:c r="B1290" s="4" t="str">
        <x:v>RS-01289</x:v>
      </x:c>
      <x:c r="C1290" s="8" t="n">
        <x:v>45352</x:v>
      </x:c>
      <x:c r="D1290" s="4" t="str">
        <x:v>Sales operations manager</x:v>
      </x:c>
      <x:c r="E1290" s="4" t="str">
        <x:v>WhatsApp transcribed</x:v>
      </x:c>
      <x:c r="F1290" s="4" t="str">
        <x:v>Record captured</x:v>
      </x:c>
      <x:c r="G1290" s="4" t="str">
        <x:v>Booked</x:v>
      </x:c>
    </x:row>
    <x:row r="1291" ht="34" customHeight="1">
      <x:c r="A1291" s="4" t="str">
        <x:v>RS-01290-E1</x:v>
      </x:c>
      <x:c r="B1291" s="4" t="str">
        <x:v>RS-01290</x:v>
      </x:c>
      <x:c r="C1291" s="8" t="n">
        <x:v>45353</x:v>
      </x:c>
      <x:c r="D1291" s="4" t="str">
        <x:v>Sales operations manager</x:v>
      </x:c>
      <x:c r="E1291" s="4" t="str">
        <x:v>ERP form</x:v>
      </x:c>
      <x:c r="F1291" s="4" t="str">
        <x:v>Record captured</x:v>
      </x:c>
      <x:c r="G1291" s="4" t="str">
        <x:v>Agreement signed</x:v>
      </x:c>
    </x:row>
    <x:row r="1292" ht="34" customHeight="1">
      <x:c r="A1292" s="4" t="str">
        <x:v>RS-01291-E1</x:v>
      </x:c>
      <x:c r="B1292" s="4" t="str">
        <x:v>RS-01291</x:v>
      </x:c>
      <x:c r="C1292" s="8" t="n">
        <x:v>45354</x:v>
      </x:c>
      <x:c r="D1292" s="4" t="str">
        <x:v>Sales operations manager</x:v>
      </x:c>
      <x:c r="E1292" s="4" t="str">
        <x:v>Spreadsheet import</x:v>
      </x:c>
      <x:c r="F1292" s="4" t="str">
        <x:v>Record captured</x:v>
      </x:c>
      <x:c r="G1292" s="4" t="str">
        <x:v>Reserved</x:v>
      </x:c>
    </x:row>
    <x:row r="1293" ht="34" customHeight="1">
      <x:c r="A1293" s="4" t="str">
        <x:v>RS-01292-E1</x:v>
      </x:c>
      <x:c r="B1293" s="4" t="str">
        <x:v>RS-01292</x:v>
      </x:c>
      <x:c r="C1293" s="8" t="n">
        <x:v>45355</x:v>
      </x:c>
      <x:c r="D1293" s="4" t="str">
        <x:v>Sales operations manager</x:v>
      </x:c>
      <x:c r="E1293" s="4" t="str">
        <x:v>Spreadsheet import</x:v>
      </x:c>
      <x:c r="F1293" s="4" t="str">
        <x:v>Record captured</x:v>
      </x:c>
      <x:c r="G1293" s="4" t="str">
        <x:v>Reserved</x:v>
      </x:c>
    </x:row>
    <x:row r="1294" ht="34" customHeight="1">
      <x:c r="A1294" s="4" t="str">
        <x:v>RS-01293-E1</x:v>
      </x:c>
      <x:c r="B1294" s="4" t="str">
        <x:v>RS-01293</x:v>
      </x:c>
      <x:c r="C1294" s="8" t="n">
        <x:v>45356</x:v>
      </x:c>
      <x:c r="D1294" s="4" t="str">
        <x:v>Sales operations manager</x:v>
      </x:c>
      <x:c r="E1294" s="4" t="str">
        <x:v>WhatsApp transcribed</x:v>
      </x:c>
      <x:c r="F1294" s="4" t="str">
        <x:v>Record captured</x:v>
      </x:c>
      <x:c r="G1294" s="4" t="str">
        <x:v>Handed over</x:v>
      </x:c>
    </x:row>
    <x:row r="1295" ht="34" customHeight="1">
      <x:c r="A1295" s="4" t="str">
        <x:v>RS-01294-E1</x:v>
      </x:c>
      <x:c r="B1295" s="4" t="str">
        <x:v>RS-01294</x:v>
      </x:c>
      <x:c r="C1295" s="8" t="n">
        <x:v>45357</x:v>
      </x:c>
      <x:c r="D1295" s="4" t="str">
        <x:v>Sales operations manager</x:v>
      </x:c>
      <x:c r="E1295" s="4" t="str">
        <x:v>Paper transcribed</x:v>
      </x:c>
      <x:c r="F1295" s="4" t="str">
        <x:v>Record captured</x:v>
      </x:c>
      <x:c r="G1295" s="4" t="str">
        <x:v>Agreement signed</x:v>
      </x:c>
    </x:row>
    <x:row r="1296" ht="34" customHeight="1">
      <x:c r="A1296" s="4" t="str">
        <x:v>RS-01295-E1</x:v>
      </x:c>
      <x:c r="B1296" s="4" t="str">
        <x:v>RS-01295</x:v>
      </x:c>
      <x:c r="C1296" s="8" t="n">
        <x:v>45358</x:v>
      </x:c>
      <x:c r="D1296" s="4" t="str">
        <x:v>Sales operations manager</x:v>
      </x:c>
      <x:c r="E1296" s="4" t="str">
        <x:v>ERP form</x:v>
      </x:c>
      <x:c r="F1296" s="4" t="str">
        <x:v>Record captured</x:v>
      </x:c>
      <x:c r="G1296" s="4" t="str">
        <x:v>Booked</x:v>
      </x:c>
    </x:row>
    <x:row r="1297" ht="34" customHeight="1">
      <x:c r="A1297" s="4" t="str">
        <x:v>RS-01296-E1</x:v>
      </x:c>
      <x:c r="B1297" s="4" t="str">
        <x:v>RS-01296</x:v>
      </x:c>
      <x:c r="C1297" s="8" t="n">
        <x:v>45359</x:v>
      </x:c>
      <x:c r="D1297" s="4" t="str">
        <x:v>Sales operations manager</x:v>
      </x:c>
      <x:c r="E1297" s="4" t="str">
        <x:v>ERP form</x:v>
      </x:c>
      <x:c r="F1297" s="4" t="str">
        <x:v>Record captured</x:v>
      </x:c>
      <x:c r="G1297" s="4" t="str">
        <x:v>Cancelled</x:v>
      </x:c>
    </x:row>
    <x:row r="1298" ht="34" customHeight="1">
      <x:c r="A1298" s="4" t="str">
        <x:v>RS-01297-E1</x:v>
      </x:c>
      <x:c r="B1298" s="4" t="str">
        <x:v>RS-01297</x:v>
      </x:c>
      <x:c r="C1298" s="8" t="n">
        <x:v>45360</x:v>
      </x:c>
      <x:c r="D1298" s="4" t="str">
        <x:v>Sales operations manager</x:v>
      </x:c>
      <x:c r="E1298" s="4" t="str">
        <x:v>Spreadsheet import</x:v>
      </x:c>
      <x:c r="F1298" s="4" t="str">
        <x:v>Record captured</x:v>
      </x:c>
      <x:c r="G1298" s="4" t="str">
        <x:v>Enquiry</x:v>
      </x:c>
    </x:row>
    <x:row r="1299" ht="34" customHeight="1">
      <x:c r="A1299" s="4" t="str">
        <x:v>RS-01298-E1</x:v>
      </x:c>
      <x:c r="B1299" s="4" t="str">
        <x:v>RS-01298</x:v>
      </x:c>
      <x:c r="C1299" s="8" t="n">
        <x:v>45361</x:v>
      </x:c>
      <x:c r="D1299" s="4" t="str">
        <x:v>Sales operations manager</x:v>
      </x:c>
      <x:c r="E1299" s="4" t="str">
        <x:v>WhatsApp transcribed</x:v>
      </x:c>
      <x:c r="F1299" s="4" t="str">
        <x:v>Record captured</x:v>
      </x:c>
      <x:c r="G1299" s="4" t="str">
        <x:v>Enquiry</x:v>
      </x:c>
    </x:row>
    <x:row r="1300" ht="34" customHeight="1">
      <x:c r="A1300" s="4" t="str">
        <x:v>RS-01299-E1</x:v>
      </x:c>
      <x:c r="B1300" s="4" t="str">
        <x:v>RS-01299</x:v>
      </x:c>
      <x:c r="C1300" s="8" t="n">
        <x:v>45362</x:v>
      </x:c>
      <x:c r="D1300" s="4" t="str">
        <x:v>Sales operations manager</x:v>
      </x:c>
      <x:c r="E1300" s="4" t="str">
        <x:v>ERP form</x:v>
      </x:c>
      <x:c r="F1300" s="4" t="str">
        <x:v>Record captured</x:v>
      </x:c>
      <x:c r="G1300" s="4" t="str">
        <x:v>Enquiry</x:v>
      </x:c>
    </x:row>
    <x:row r="1301" ht="34" customHeight="1">
      <x:c r="A1301" s="4" t="str">
        <x:v>RS-01300-E1</x:v>
      </x:c>
      <x:c r="B1301" s="4" t="str">
        <x:v>RS-01300</x:v>
      </x:c>
      <x:c r="C1301" s="8" t="n">
        <x:v>45363</x:v>
      </x:c>
      <x:c r="D1301" s="4" t="str">
        <x:v>Sales operations manager</x:v>
      </x:c>
      <x:c r="E1301" s="4" t="str">
        <x:v>ERP form</x:v>
      </x:c>
      <x:c r="F1301" s="4" t="str">
        <x:v>Record captured</x:v>
      </x:c>
      <x:c r="G1301" s="4" t="str">
        <x:v>Enquiry</x:v>
      </x:c>
    </x:row>
    <x:row r="1302" ht="34" customHeight="1">
      <x:c r="A1302" s="4" t="str">
        <x:v>RS-01301-E1</x:v>
      </x:c>
      <x:c r="B1302" s="4" t="str">
        <x:v>RS-01301</x:v>
      </x:c>
      <x:c r="C1302" s="8" t="n">
        <x:v>45364</x:v>
      </x:c>
      <x:c r="D1302" s="4" t="str">
        <x:v>Sales operations manager</x:v>
      </x:c>
      <x:c r="E1302" s="4" t="str">
        <x:v>Paper transcribed</x:v>
      </x:c>
      <x:c r="F1302" s="4" t="str">
        <x:v>Record captured</x:v>
      </x:c>
      <x:c r="G1302" s="4" t="str">
        <x:v>Handed over</x:v>
      </x:c>
    </x:row>
    <x:row r="1303" ht="34" customHeight="1">
      <x:c r="A1303" s="4" t="str">
        <x:v>RS-01302-E1</x:v>
      </x:c>
      <x:c r="B1303" s="4" t="str">
        <x:v>RS-01302</x:v>
      </x:c>
      <x:c r="C1303" s="8" t="n">
        <x:v>45365</x:v>
      </x:c>
      <x:c r="D1303" s="4" t="str">
        <x:v>Sales operations manager</x:v>
      </x:c>
      <x:c r="E1303" s="4" t="str">
        <x:v>Spreadsheet import</x:v>
      </x:c>
      <x:c r="F1303" s="4" t="str">
        <x:v>Record captured</x:v>
      </x:c>
      <x:c r="G1303" s="4" t="str">
        <x:v>Cancelled</x:v>
      </x:c>
    </x:row>
    <x:row r="1304" ht="34" customHeight="1">
      <x:c r="A1304" s="4" t="str">
        <x:v>RS-01303-E1</x:v>
      </x:c>
      <x:c r="B1304" s="4" t="str">
        <x:v>RS-01303</x:v>
      </x:c>
      <x:c r="C1304" s="8" t="n">
        <x:v>45366</x:v>
      </x:c>
      <x:c r="D1304" s="4" t="str">
        <x:v>Sales operations manager</x:v>
      </x:c>
      <x:c r="E1304" s="4" t="str">
        <x:v>Spreadsheet import</x:v>
      </x:c>
      <x:c r="F1304" s="4" t="str">
        <x:v>Record captured</x:v>
      </x:c>
      <x:c r="G1304" s="4" t="str">
        <x:v>Agreement signed</x:v>
      </x:c>
    </x:row>
    <x:row r="1305" ht="34" customHeight="1">
      <x:c r="A1305" s="4" t="str">
        <x:v>RS-01304-E1</x:v>
      </x:c>
      <x:c r="B1305" s="4" t="str">
        <x:v>RS-01304</x:v>
      </x:c>
      <x:c r="C1305" s="8" t="n">
        <x:v>45367</x:v>
      </x:c>
      <x:c r="D1305" s="4" t="str">
        <x:v>Sales operations manager</x:v>
      </x:c>
      <x:c r="E1305" s="4" t="str">
        <x:v>Spreadsheet import</x:v>
      </x:c>
      <x:c r="F1305" s="4" t="str">
        <x:v>Record captured</x:v>
      </x:c>
      <x:c r="G1305" s="4" t="str">
        <x:v>Reserved</x:v>
      </x:c>
    </x:row>
    <x:row r="1306" ht="34" customHeight="1">
      <x:c r="A1306" s="4" t="str">
        <x:v>RS-01305-E1</x:v>
      </x:c>
      <x:c r="B1306" s="4" t="str">
        <x:v>RS-01305</x:v>
      </x:c>
      <x:c r="C1306" s="8" t="n">
        <x:v>45368</x:v>
      </x:c>
      <x:c r="D1306" s="4" t="str">
        <x:v>Sales operations manager</x:v>
      </x:c>
      <x:c r="E1306" s="4" t="str">
        <x:v>Spreadsheet import</x:v>
      </x:c>
      <x:c r="F1306" s="4" t="str">
        <x:v>Record captured</x:v>
      </x:c>
      <x:c r="G1306" s="4" t="str">
        <x:v>Handed over</x:v>
      </x:c>
    </x:row>
    <x:row r="1307" ht="34" customHeight="1">
      <x:c r="A1307" s="4" t="str">
        <x:v>RS-01306-E1</x:v>
      </x:c>
      <x:c r="B1307" s="4" t="str">
        <x:v>RS-01306</x:v>
      </x:c>
      <x:c r="C1307" s="8" t="n">
        <x:v>45369</x:v>
      </x:c>
      <x:c r="D1307" s="4" t="str">
        <x:v>Sales operations manager</x:v>
      </x:c>
      <x:c r="E1307" s="4" t="str">
        <x:v>Paper transcribed</x:v>
      </x:c>
      <x:c r="F1307" s="4" t="str">
        <x:v>Record captured</x:v>
      </x:c>
      <x:c r="G1307" s="4" t="str">
        <x:v>Agreement signed</x:v>
      </x:c>
    </x:row>
    <x:row r="1308" ht="34" customHeight="1">
      <x:c r="A1308" s="4" t="str">
        <x:v>RS-01307-E1</x:v>
      </x:c>
      <x:c r="B1308" s="4" t="str">
        <x:v>RS-01307</x:v>
      </x:c>
      <x:c r="C1308" s="8" t="n">
        <x:v>45370</x:v>
      </x:c>
      <x:c r="D1308" s="4" t="str">
        <x:v>Sales operations manager</x:v>
      </x:c>
      <x:c r="E1308" s="4" t="str">
        <x:v>WhatsApp transcribed</x:v>
      </x:c>
      <x:c r="F1308" s="4" t="str">
        <x:v>Record captured</x:v>
      </x:c>
      <x:c r="G1308" s="4" t="str">
        <x:v>Reserved</x:v>
      </x:c>
    </x:row>
    <x:row r="1309" ht="34" customHeight="1">
      <x:c r="A1309" s="4" t="str">
        <x:v>RS-01308-E1</x:v>
      </x:c>
      <x:c r="B1309" s="4" t="str">
        <x:v>RS-01308</x:v>
      </x:c>
      <x:c r="C1309" s="8" t="n">
        <x:v>45371</x:v>
      </x:c>
      <x:c r="D1309" s="4" t="str">
        <x:v>Sales operations manager</x:v>
      </x:c>
      <x:c r="E1309" s="4" t="str">
        <x:v>Paper transcribed</x:v>
      </x:c>
      <x:c r="F1309" s="4" t="str">
        <x:v>Record captured</x:v>
      </x:c>
      <x:c r="G1309" s="4" t="str">
        <x:v>Cancelled</x:v>
      </x:c>
    </x:row>
    <x:row r="1310" ht="34" customHeight="1">
      <x:c r="A1310" s="4" t="str">
        <x:v>RS-01309-E1</x:v>
      </x:c>
      <x:c r="B1310" s="4" t="str">
        <x:v>RS-01309</x:v>
      </x:c>
      <x:c r="C1310" s="8" t="n">
        <x:v>45372</x:v>
      </x:c>
      <x:c r="D1310" s="4" t="str">
        <x:v>Sales operations manager</x:v>
      </x:c>
      <x:c r="E1310" s="4" t="str">
        <x:v>Paper transcribed</x:v>
      </x:c>
      <x:c r="F1310" s="4" t="str">
        <x:v>Record captured</x:v>
      </x:c>
      <x:c r="G1310" s="4" t="str">
        <x:v>Reserved</x:v>
      </x:c>
    </x:row>
    <x:row r="1311" ht="34" customHeight="1">
      <x:c r="A1311" s="4" t="str">
        <x:v>RS-01310-E1</x:v>
      </x:c>
      <x:c r="B1311" s="4" t="str">
        <x:v>RS-01310</x:v>
      </x:c>
      <x:c r="C1311" s="8" t="n">
        <x:v>45373</x:v>
      </x:c>
      <x:c r="D1311" s="4" t="str">
        <x:v>Sales operations manager</x:v>
      </x:c>
      <x:c r="E1311" s="4" t="str">
        <x:v>Paper transcribed</x:v>
      </x:c>
      <x:c r="F1311" s="4" t="str">
        <x:v>Record captured</x:v>
      </x:c>
      <x:c r="G1311" s="4" t="str">
        <x:v>Reserved</x:v>
      </x:c>
    </x:row>
    <x:row r="1312" ht="34" customHeight="1">
      <x:c r="A1312" s="4" t="str">
        <x:v>RS-01311-E1</x:v>
      </x:c>
      <x:c r="B1312" s="4" t="str">
        <x:v>RS-01311</x:v>
      </x:c>
      <x:c r="C1312" s="8" t="n">
        <x:v>45374</x:v>
      </x:c>
      <x:c r="D1312" s="4" t="str">
        <x:v>Sales operations manager</x:v>
      </x:c>
      <x:c r="E1312" s="4" t="str">
        <x:v>Spreadsheet import</x:v>
      </x:c>
      <x:c r="F1312" s="4" t="str">
        <x:v>Record captured</x:v>
      </x:c>
      <x:c r="G1312" s="4" t="str">
        <x:v>Handed over</x:v>
      </x:c>
    </x:row>
    <x:row r="1313" ht="34" customHeight="1">
      <x:c r="A1313" s="4" t="str">
        <x:v>RS-01312-E1</x:v>
      </x:c>
      <x:c r="B1313" s="4" t="str">
        <x:v>RS-01312</x:v>
      </x:c>
      <x:c r="C1313" s="8" t="n">
        <x:v>45375</x:v>
      </x:c>
      <x:c r="D1313" s="4" t="str">
        <x:v>Sales operations manager</x:v>
      </x:c>
      <x:c r="E1313" s="4" t="str">
        <x:v>WhatsApp transcribed</x:v>
      </x:c>
      <x:c r="F1313" s="4" t="str">
        <x:v>Record captured</x:v>
      </x:c>
      <x:c r="G1313" s="4" t="str">
        <x:v>Cancelled</x:v>
      </x:c>
    </x:row>
    <x:row r="1314" ht="34" customHeight="1">
      <x:c r="A1314" s="4" t="str">
        <x:v>RS-01313-E1</x:v>
      </x:c>
      <x:c r="B1314" s="4" t="str">
        <x:v>RS-01313</x:v>
      </x:c>
      <x:c r="C1314" s="8" t="n">
        <x:v>45376</x:v>
      </x:c>
      <x:c r="D1314" s="4" t="str">
        <x:v>Sales operations manager</x:v>
      </x:c>
      <x:c r="E1314" s="4" t="str">
        <x:v>Spreadsheet import</x:v>
      </x:c>
      <x:c r="F1314" s="4" t="str">
        <x:v>Record captured</x:v>
      </x:c>
      <x:c r="G1314" s="4" t="str">
        <x:v>Cancelled</x:v>
      </x:c>
    </x:row>
    <x:row r="1315" ht="34" customHeight="1">
      <x:c r="A1315" s="4" t="str">
        <x:v>RS-01314-E1</x:v>
      </x:c>
      <x:c r="B1315" s="4" t="str">
        <x:v>RS-01314</x:v>
      </x:c>
      <x:c r="C1315" s="8" t="n">
        <x:v>45377</x:v>
      </x:c>
      <x:c r="D1315" s="4" t="str">
        <x:v>Sales operations manager</x:v>
      </x:c>
      <x:c r="E1315" s="4" t="str">
        <x:v>Spreadsheet import</x:v>
      </x:c>
      <x:c r="F1315" s="4" t="str">
        <x:v>Record captured</x:v>
      </x:c>
      <x:c r="G1315" s="4" t="str">
        <x:v>Reserved</x:v>
      </x:c>
    </x:row>
    <x:row r="1316" ht="34" customHeight="1">
      <x:c r="A1316" s="4" t="str">
        <x:v>RS-01315-E1</x:v>
      </x:c>
      <x:c r="B1316" s="4" t="str">
        <x:v>RS-01315</x:v>
      </x:c>
      <x:c r="C1316" s="8" t="n">
        <x:v>45378</x:v>
      </x:c>
      <x:c r="D1316" s="4" t="str">
        <x:v>Sales operations manager</x:v>
      </x:c>
      <x:c r="E1316" s="4" t="str">
        <x:v>WhatsApp transcribed</x:v>
      </x:c>
      <x:c r="F1316" s="4" t="str">
        <x:v>Record captured</x:v>
      </x:c>
      <x:c r="G1316" s="4" t="str">
        <x:v>Agreement signed</x:v>
      </x:c>
    </x:row>
    <x:row r="1317" ht="34" customHeight="1">
      <x:c r="A1317" s="4" t="str">
        <x:v>RS-01316-E1</x:v>
      </x:c>
      <x:c r="B1317" s="4" t="str">
        <x:v>RS-01316</x:v>
      </x:c>
      <x:c r="C1317" s="8" t="n">
        <x:v>45379</x:v>
      </x:c>
      <x:c r="D1317" s="4" t="str">
        <x:v>Sales operations manager</x:v>
      </x:c>
      <x:c r="E1317" s="4" t="str">
        <x:v>WhatsApp transcribed</x:v>
      </x:c>
      <x:c r="F1317" s="4" t="str">
        <x:v>Record captured</x:v>
      </x:c>
      <x:c r="G1317" s="4" t="str">
        <x:v>Enquiry</x:v>
      </x:c>
    </x:row>
    <x:row r="1318" ht="34" customHeight="1">
      <x:c r="A1318" s="4" t="str">
        <x:v>RS-01317-E1</x:v>
      </x:c>
      <x:c r="B1318" s="4" t="str">
        <x:v>RS-01317</x:v>
      </x:c>
      <x:c r="C1318" s="8" t="n">
        <x:v>45352</x:v>
      </x:c>
      <x:c r="D1318" s="4" t="str">
        <x:v>Sales operations manager</x:v>
      </x:c>
      <x:c r="E1318" s="4" t="str">
        <x:v>Paper transcribed</x:v>
      </x:c>
      <x:c r="F1318" s="4" t="str">
        <x:v>Record captured</x:v>
      </x:c>
      <x:c r="G1318" s="4" t="str">
        <x:v>Handed over</x:v>
      </x:c>
    </x:row>
    <x:row r="1319" ht="34" customHeight="1">
      <x:c r="A1319" s="4" t="str">
        <x:v>RS-01318-E1</x:v>
      </x:c>
      <x:c r="B1319" s="4" t="str">
        <x:v>RS-01318</x:v>
      </x:c>
      <x:c r="C1319" s="8" t="n">
        <x:v>45353</x:v>
      </x:c>
      <x:c r="D1319" s="4" t="str">
        <x:v>Sales operations manager</x:v>
      </x:c>
      <x:c r="E1319" s="4" t="str">
        <x:v>Paper transcribed</x:v>
      </x:c>
      <x:c r="F1319" s="4" t="str">
        <x:v>Record captured</x:v>
      </x:c>
      <x:c r="G1319" s="4" t="str">
        <x:v>Handed over</x:v>
      </x:c>
    </x:row>
    <x:row r="1320" ht="34" customHeight="1">
      <x:c r="A1320" s="4" t="str">
        <x:v>RS-01319-E1</x:v>
      </x:c>
      <x:c r="B1320" s="4" t="str">
        <x:v>RS-01319</x:v>
      </x:c>
      <x:c r="C1320" s="8" t="n">
        <x:v>45354</x:v>
      </x:c>
      <x:c r="D1320" s="4" t="str">
        <x:v>Sales operations manager</x:v>
      </x:c>
      <x:c r="E1320" s="4" t="str">
        <x:v>WhatsApp transcribed</x:v>
      </x:c>
      <x:c r="F1320" s="4" t="str">
        <x:v>Record captured</x:v>
      </x:c>
      <x:c r="G1320" s="4" t="str">
        <x:v>Reserved</x:v>
      </x:c>
    </x:row>
    <x:row r="1321" ht="34" customHeight="1">
      <x:c r="A1321" s="4" t="str">
        <x:v>RS-01320-E1</x:v>
      </x:c>
      <x:c r="B1321" s="4" t="str">
        <x:v>RS-01320</x:v>
      </x:c>
      <x:c r="C1321" s="8" t="n">
        <x:v>45355</x:v>
      </x:c>
      <x:c r="D1321" s="4" t="str">
        <x:v>Sales operations manager</x:v>
      </x:c>
      <x:c r="E1321" s="4" t="str">
        <x:v>Spreadsheet import</x:v>
      </x:c>
      <x:c r="F1321" s="4" t="str">
        <x:v>Record captured</x:v>
      </x:c>
      <x:c r="G1321" s="4" t="str">
        <x:v>Cancelled</x:v>
      </x:c>
    </x:row>
    <x:row r="1322" ht="34" customHeight="1">
      <x:c r="A1322" s="4" t="str">
        <x:v>RS-01321-E1</x:v>
      </x:c>
      <x:c r="B1322" s="4" t="str">
        <x:v>RS-01321</x:v>
      </x:c>
      <x:c r="C1322" s="8" t="n">
        <x:v>45356</x:v>
      </x:c>
      <x:c r="D1322" s="4" t="str">
        <x:v>Sales operations manager</x:v>
      </x:c>
      <x:c r="E1322" s="4" t="str">
        <x:v>Spreadsheet import</x:v>
      </x:c>
      <x:c r="F1322" s="4" t="str">
        <x:v>Record captured</x:v>
      </x:c>
      <x:c r="G1322" s="4" t="str">
        <x:v>Handed over</x:v>
      </x:c>
    </x:row>
    <x:row r="1323" ht="34" customHeight="1">
      <x:c r="A1323" s="4" t="str">
        <x:v>RS-01322-E1</x:v>
      </x:c>
      <x:c r="B1323" s="4" t="str">
        <x:v>RS-01322</x:v>
      </x:c>
      <x:c r="C1323" s="8" t="n">
        <x:v>45357</x:v>
      </x:c>
      <x:c r="D1323" s="4" t="str">
        <x:v>Sales operations manager</x:v>
      </x:c>
      <x:c r="E1323" s="4" t="str">
        <x:v>WhatsApp transcribed</x:v>
      </x:c>
      <x:c r="F1323" s="4" t="str">
        <x:v>Record captured</x:v>
      </x:c>
      <x:c r="G1323" s="4" t="str">
        <x:v>Agreement signed</x:v>
      </x:c>
    </x:row>
    <x:row r="1324" ht="34" customHeight="1">
      <x:c r="A1324" s="4" t="str">
        <x:v>RS-01323-E1</x:v>
      </x:c>
      <x:c r="B1324" s="4" t="str">
        <x:v>RS-01323</x:v>
      </x:c>
      <x:c r="C1324" s="8" t="n">
        <x:v>45358</x:v>
      </x:c>
      <x:c r="D1324" s="4" t="str">
        <x:v>Sales operations manager</x:v>
      </x:c>
      <x:c r="E1324" s="4" t="str">
        <x:v>ERP form</x:v>
      </x:c>
      <x:c r="F1324" s="4" t="str">
        <x:v>Record captured</x:v>
      </x:c>
      <x:c r="G1324" s="4" t="str">
        <x:v>Handed over</x:v>
      </x:c>
    </x:row>
    <x:row r="1325" ht="34" customHeight="1">
      <x:c r="A1325" s="4" t="str">
        <x:v>RS-01324-E1</x:v>
      </x:c>
      <x:c r="B1325" s="4" t="str">
        <x:v>RS-01324</x:v>
      </x:c>
      <x:c r="C1325" s="8" t="n">
        <x:v>45359</x:v>
      </x:c>
      <x:c r="D1325" s="4" t="str">
        <x:v>Sales operations manager</x:v>
      </x:c>
      <x:c r="E1325" s="4" t="str">
        <x:v>Paper transcribed</x:v>
      </x:c>
      <x:c r="F1325" s="4" t="str">
        <x:v>Record captured</x:v>
      </x:c>
      <x:c r="G1325" s="4" t="str">
        <x:v>Booked</x:v>
      </x:c>
    </x:row>
    <x:row r="1326" ht="34" customHeight="1">
      <x:c r="A1326" s="4" t="str">
        <x:v>RS-01325-E1</x:v>
      </x:c>
      <x:c r="B1326" s="4" t="str">
        <x:v>RS-01325</x:v>
      </x:c>
      <x:c r="C1326" s="8" t="n">
        <x:v>45360</x:v>
      </x:c>
      <x:c r="D1326" s="4" t="str">
        <x:v>Sales operations manager</x:v>
      </x:c>
      <x:c r="E1326" s="4" t="str">
        <x:v>Paper transcribed</x:v>
      </x:c>
      <x:c r="F1326" s="4" t="str">
        <x:v>Record captured</x:v>
      </x:c>
      <x:c r="G1326" s="4" t="str">
        <x:v>Enquiry</x:v>
      </x:c>
    </x:row>
    <x:row r="1327" ht="34" customHeight="1">
      <x:c r="A1327" s="4" t="str">
        <x:v>RS-01326-E1</x:v>
      </x:c>
      <x:c r="B1327" s="4" t="str">
        <x:v>RS-01326</x:v>
      </x:c>
      <x:c r="C1327" s="8" t="n">
        <x:v>45361</x:v>
      </x:c>
      <x:c r="D1327" s="4" t="str">
        <x:v>Sales operations manager</x:v>
      </x:c>
      <x:c r="E1327" s="4" t="str">
        <x:v>Spreadsheet import</x:v>
      </x:c>
      <x:c r="F1327" s="4" t="str">
        <x:v>Record captured</x:v>
      </x:c>
      <x:c r="G1327" s="4" t="str">
        <x:v>Reserved</x:v>
      </x:c>
    </x:row>
    <x:row r="1328" ht="34" customHeight="1">
      <x:c r="A1328" s="4" t="str">
        <x:v>RS-01327-E1</x:v>
      </x:c>
      <x:c r="B1328" s="4" t="str">
        <x:v>RS-01327</x:v>
      </x:c>
      <x:c r="C1328" s="8" t="n">
        <x:v>45362</x:v>
      </x:c>
      <x:c r="D1328" s="4" t="str">
        <x:v>Sales operations manager</x:v>
      </x:c>
      <x:c r="E1328" s="4" t="str">
        <x:v>Spreadsheet import</x:v>
      </x:c>
      <x:c r="F1328" s="4" t="str">
        <x:v>Record captured</x:v>
      </x:c>
      <x:c r="G1328" s="4" t="str">
        <x:v>Cancelled</x:v>
      </x:c>
    </x:row>
    <x:row r="1329" ht="34" customHeight="1">
      <x:c r="A1329" s="4" t="str">
        <x:v>RS-01328-E1</x:v>
      </x:c>
      <x:c r="B1329" s="4" t="str">
        <x:v>RS-01328</x:v>
      </x:c>
      <x:c r="C1329" s="8" t="n">
        <x:v>45363</x:v>
      </x:c>
      <x:c r="D1329" s="4" t="str">
        <x:v>Sales operations manager</x:v>
      </x:c>
      <x:c r="E1329" s="4" t="str">
        <x:v>WhatsApp transcribed</x:v>
      </x:c>
      <x:c r="F1329" s="4" t="str">
        <x:v>Record captured</x:v>
      </x:c>
      <x:c r="G1329" s="4" t="str">
        <x:v>Cancelled</x:v>
      </x:c>
    </x:row>
    <x:row r="1330" ht="34" customHeight="1">
      <x:c r="A1330" s="4" t="str">
        <x:v>RS-01329-E1</x:v>
      </x:c>
      <x:c r="B1330" s="4" t="str">
        <x:v>RS-01329</x:v>
      </x:c>
      <x:c r="C1330" s="8" t="n">
        <x:v>45364</x:v>
      </x:c>
      <x:c r="D1330" s="4" t="str">
        <x:v>Sales operations manager</x:v>
      </x:c>
      <x:c r="E1330" s="4" t="str">
        <x:v>Paper transcribed</x:v>
      </x:c>
      <x:c r="F1330" s="4" t="str">
        <x:v>Record captured</x:v>
      </x:c>
      <x:c r="G1330" s="4" t="str">
        <x:v>Agreement signed</x:v>
      </x:c>
    </x:row>
    <x:row r="1331" ht="34" customHeight="1">
      <x:c r="A1331" s="4" t="str">
        <x:v>RS-01330-E1</x:v>
      </x:c>
      <x:c r="B1331" s="4" t="str">
        <x:v>RS-01330</x:v>
      </x:c>
      <x:c r="C1331" s="8" t="n">
        <x:v>45365</x:v>
      </x:c>
      <x:c r="D1331" s="4" t="str">
        <x:v>Sales operations manager</x:v>
      </x:c>
      <x:c r="E1331" s="4" t="str">
        <x:v>ERP form</x:v>
      </x:c>
      <x:c r="F1331" s="4" t="str">
        <x:v>Record captured</x:v>
      </x:c>
      <x:c r="G1331" s="4" t="str">
        <x:v>Booked</x:v>
      </x:c>
    </x:row>
    <x:row r="1332" ht="34" customHeight="1">
      <x:c r="A1332" s="4" t="str">
        <x:v>RS-01331-E1</x:v>
      </x:c>
      <x:c r="B1332" s="4" t="str">
        <x:v>RS-01331</x:v>
      </x:c>
      <x:c r="C1332" s="8" t="n">
        <x:v>45366</x:v>
      </x:c>
      <x:c r="D1332" s="4" t="str">
        <x:v>Sales operations manager</x:v>
      </x:c>
      <x:c r="E1332" s="4" t="str">
        <x:v>Spreadsheet import</x:v>
      </x:c>
      <x:c r="F1332" s="4" t="str">
        <x:v>Record captured</x:v>
      </x:c>
      <x:c r="G1332" s="4" t="str">
        <x:v>Cancelled</x:v>
      </x:c>
    </x:row>
    <x:row r="1333" ht="34" customHeight="1">
      <x:c r="A1333" s="4" t="str">
        <x:v>RS-01332-E1</x:v>
      </x:c>
      <x:c r="B1333" s="4" t="str">
        <x:v>RS-01332</x:v>
      </x:c>
      <x:c r="C1333" s="8" t="n">
        <x:v>45367</x:v>
      </x:c>
      <x:c r="D1333" s="4" t="str">
        <x:v>Sales operations manager</x:v>
      </x:c>
      <x:c r="E1333" s="4" t="str">
        <x:v>ERP form</x:v>
      </x:c>
      <x:c r="F1333" s="4" t="str">
        <x:v>Record captured</x:v>
      </x:c>
      <x:c r="G1333" s="4" t="str">
        <x:v>Cancelled</x:v>
      </x:c>
    </x:row>
    <x:row r="1334" ht="34" customHeight="1">
      <x:c r="A1334" s="4" t="str">
        <x:v>RS-01333-E1</x:v>
      </x:c>
      <x:c r="B1334" s="4" t="str">
        <x:v>RS-01333</x:v>
      </x:c>
      <x:c r="C1334" s="8" t="n">
        <x:v>45368</x:v>
      </x:c>
      <x:c r="D1334" s="4" t="str">
        <x:v>Sales operations manager</x:v>
      </x:c>
      <x:c r="E1334" s="4" t="str">
        <x:v>Paper transcribed</x:v>
      </x:c>
      <x:c r="F1334" s="4" t="str">
        <x:v>Record captured</x:v>
      </x:c>
      <x:c r="G1334" s="4" t="str">
        <x:v>Reserved</x:v>
      </x:c>
    </x:row>
    <x:row r="1335" ht="34" customHeight="1">
      <x:c r="A1335" s="4" t="str">
        <x:v>RS-01334-E1</x:v>
      </x:c>
      <x:c r="B1335" s="4" t="str">
        <x:v>RS-01334</x:v>
      </x:c>
      <x:c r="C1335" s="8" t="n">
        <x:v>45369</x:v>
      </x:c>
      <x:c r="D1335" s="4" t="str">
        <x:v>Sales operations manager</x:v>
      </x:c>
      <x:c r="E1335" s="4" t="str">
        <x:v>Paper transcribed</x:v>
      </x:c>
      <x:c r="F1335" s="4" t="str">
        <x:v>Record captured</x:v>
      </x:c>
      <x:c r="G1335" s="4" t="str">
        <x:v>Booked</x:v>
      </x:c>
    </x:row>
    <x:row r="1336" ht="34" customHeight="1">
      <x:c r="A1336" s="4" t="str">
        <x:v>RS-01335-E1</x:v>
      </x:c>
      <x:c r="B1336" s="4" t="str">
        <x:v>RS-01335</x:v>
      </x:c>
      <x:c r="C1336" s="8" t="n">
        <x:v>45370</x:v>
      </x:c>
      <x:c r="D1336" s="4" t="str">
        <x:v>Sales operations manager</x:v>
      </x:c>
      <x:c r="E1336" s="4" t="str">
        <x:v>Spreadsheet import</x:v>
      </x:c>
      <x:c r="F1336" s="4" t="str">
        <x:v>Record captured</x:v>
      </x:c>
      <x:c r="G1336" s="4" t="str">
        <x:v>Handed over</x:v>
      </x:c>
    </x:row>
    <x:row r="1337" ht="34" customHeight="1">
      <x:c r="A1337" s="4" t="str">
        <x:v>RS-01336-E1</x:v>
      </x:c>
      <x:c r="B1337" s="4" t="str">
        <x:v>RS-01336</x:v>
      </x:c>
      <x:c r="C1337" s="8" t="n">
        <x:v>45371</x:v>
      </x:c>
      <x:c r="D1337" s="4" t="str">
        <x:v>Sales operations manager</x:v>
      </x:c>
      <x:c r="E1337" s="4" t="str">
        <x:v>Paper transcribed</x:v>
      </x:c>
      <x:c r="F1337" s="4" t="str">
        <x:v>Record captured</x:v>
      </x:c>
      <x:c r="G1337" s="4" t="str">
        <x:v>Cancelled</x:v>
      </x:c>
    </x:row>
    <x:row r="1338" ht="34" customHeight="1">
      <x:c r="A1338" s="4" t="str">
        <x:v>RS-01337-E1</x:v>
      </x:c>
      <x:c r="B1338" s="4" t="str">
        <x:v>RS-01337</x:v>
      </x:c>
      <x:c r="C1338" s="8" t="n">
        <x:v>45372</x:v>
      </x:c>
      <x:c r="D1338" s="4" t="str">
        <x:v>Sales operations manager</x:v>
      </x:c>
      <x:c r="E1338" s="4" t="str">
        <x:v>ERP form</x:v>
      </x:c>
      <x:c r="F1338" s="4" t="str">
        <x:v>Record captured</x:v>
      </x:c>
      <x:c r="G1338" s="4" t="str">
        <x:v>Reserved</x:v>
      </x:c>
    </x:row>
    <x:row r="1339" ht="34" customHeight="1">
      <x:c r="A1339" s="4" t="str">
        <x:v>RS-01338-E1</x:v>
      </x:c>
      <x:c r="B1339" s="4" t="str">
        <x:v>RS-01338</x:v>
      </x:c>
      <x:c r="C1339" s="8" t="n">
        <x:v>45373</x:v>
      </x:c>
      <x:c r="D1339" s="4" t="str">
        <x:v>Sales operations manager</x:v>
      </x:c>
      <x:c r="E1339" s="4" t="str">
        <x:v>ERP form</x:v>
      </x:c>
      <x:c r="F1339" s="4" t="str">
        <x:v>Record captured</x:v>
      </x:c>
      <x:c r="G1339" s="4" t="str">
        <x:v>Handed over</x:v>
      </x:c>
    </x:row>
    <x:row r="1340" ht="34" customHeight="1">
      <x:c r="A1340" s="4" t="str">
        <x:v>RS-01339-E1</x:v>
      </x:c>
      <x:c r="B1340" s="4" t="str">
        <x:v>RS-01339</x:v>
      </x:c>
      <x:c r="C1340" s="8" t="n">
        <x:v>45374</x:v>
      </x:c>
      <x:c r="D1340" s="4" t="str">
        <x:v>Sales operations manager</x:v>
      </x:c>
      <x:c r="E1340" s="4" t="str">
        <x:v>Paper transcribed</x:v>
      </x:c>
      <x:c r="F1340" s="4" t="str">
        <x:v>Record captured</x:v>
      </x:c>
      <x:c r="G1340" s="4" t="str">
        <x:v>Agreement signed</x:v>
      </x:c>
    </x:row>
    <x:row r="1341" ht="34" customHeight="1">
      <x:c r="A1341" s="4" t="str">
        <x:v>RS-01340-E1</x:v>
      </x:c>
      <x:c r="B1341" s="4" t="str">
        <x:v>RS-01340</x:v>
      </x:c>
      <x:c r="C1341" s="8" t="n">
        <x:v>45375</x:v>
      </x:c>
      <x:c r="D1341" s="4" t="str">
        <x:v>Sales operations manager</x:v>
      </x:c>
      <x:c r="E1341" s="4" t="str">
        <x:v>Paper transcribed</x:v>
      </x:c>
      <x:c r="F1341" s="4" t="str">
        <x:v>Record captured</x:v>
      </x:c>
      <x:c r="G1341" s="4" t="str">
        <x:v>Booked</x:v>
      </x:c>
    </x:row>
    <x:row r="1342" ht="34" customHeight="1">
      <x:c r="A1342" s="4" t="str">
        <x:v>RS-01341-E1</x:v>
      </x:c>
      <x:c r="B1342" s="4" t="str">
        <x:v>RS-01341</x:v>
      </x:c>
      <x:c r="C1342" s="8" t="n">
        <x:v>45376</x:v>
      </x:c>
      <x:c r="D1342" s="4" t="str">
        <x:v>Sales operations manager</x:v>
      </x:c>
      <x:c r="E1342" s="4" t="str">
        <x:v>ERP form</x:v>
      </x:c>
      <x:c r="F1342" s="4" t="str">
        <x:v>Record captured</x:v>
      </x:c>
      <x:c r="G1342" s="4" t="str">
        <x:v>Agreement signed</x:v>
      </x:c>
    </x:row>
    <x:row r="1343" ht="34" customHeight="1">
      <x:c r="A1343" s="4" t="str">
        <x:v>RS-01342-E1</x:v>
      </x:c>
      <x:c r="B1343" s="4" t="str">
        <x:v>RS-01342</x:v>
      </x:c>
      <x:c r="C1343" s="8" t="n">
        <x:v>45377</x:v>
      </x:c>
      <x:c r="D1343" s="4" t="str">
        <x:v>Sales operations manager</x:v>
      </x:c>
      <x:c r="E1343" s="4" t="str">
        <x:v>WhatsApp transcribed</x:v>
      </x:c>
      <x:c r="F1343" s="4" t="str">
        <x:v>Record captured</x:v>
      </x:c>
      <x:c r="G1343" s="4" t="str">
        <x:v>Handed over</x:v>
      </x:c>
    </x:row>
    <x:row r="1344" ht="34" customHeight="1">
      <x:c r="A1344" s="4" t="str">
        <x:v>RS-01343-E1</x:v>
      </x:c>
      <x:c r="B1344" s="4" t="str">
        <x:v>RS-01343</x:v>
      </x:c>
      <x:c r="C1344" s="8" t="n">
        <x:v>45378</x:v>
      </x:c>
      <x:c r="D1344" s="4" t="str">
        <x:v>Sales operations manager</x:v>
      </x:c>
      <x:c r="E1344" s="4" t="str">
        <x:v>Spreadsheet import</x:v>
      </x:c>
      <x:c r="F1344" s="4" t="str">
        <x:v>Record captured</x:v>
      </x:c>
      <x:c r="G1344" s="4" t="str">
        <x:v>Handed over</x:v>
      </x:c>
    </x:row>
    <x:row r="1345" ht="34" customHeight="1">
      <x:c r="A1345" s="4" t="str">
        <x:v>RS-01344-E1</x:v>
      </x:c>
      <x:c r="B1345" s="4" t="str">
        <x:v>RS-01344</x:v>
      </x:c>
      <x:c r="C1345" s="8" t="n">
        <x:v>45379</x:v>
      </x:c>
      <x:c r="D1345" s="4" t="str">
        <x:v>Sales operations manager</x:v>
      </x:c>
      <x:c r="E1345" s="4" t="str">
        <x:v>WhatsApp transcribed</x:v>
      </x:c>
      <x:c r="F1345" s="4" t="str">
        <x:v>Record captured</x:v>
      </x:c>
      <x:c r="G1345" s="4" t="str">
        <x:v>Reserved</x:v>
      </x:c>
    </x:row>
    <x:row r="1346" ht="34" customHeight="1">
      <x:c r="A1346" s="4" t="str">
        <x:v>RS-01345-E1</x:v>
      </x:c>
      <x:c r="B1346" s="4" t="str">
        <x:v>RS-01345</x:v>
      </x:c>
      <x:c r="C1346" s="8" t="n">
        <x:v>45352</x:v>
      </x:c>
      <x:c r="D1346" s="4" t="str">
        <x:v>Sales operations manager</x:v>
      </x:c>
      <x:c r="E1346" s="4" t="str">
        <x:v>WhatsApp transcribed</x:v>
      </x:c>
      <x:c r="F1346" s="4" t="str">
        <x:v>Record captured</x:v>
      </x:c>
      <x:c r="G1346" s="4" t="str">
        <x:v>Reserved</x:v>
      </x:c>
    </x:row>
    <x:row r="1347" ht="34" customHeight="1">
      <x:c r="A1347" s="4" t="str">
        <x:v>RS-01346-E1</x:v>
      </x:c>
      <x:c r="B1347" s="4" t="str">
        <x:v>RS-01346</x:v>
      </x:c>
      <x:c r="C1347" s="8" t="n">
        <x:v>45353</x:v>
      </x:c>
      <x:c r="D1347" s="4" t="str">
        <x:v>Sales operations manager</x:v>
      </x:c>
      <x:c r="E1347" s="4" t="str">
        <x:v>WhatsApp transcribed</x:v>
      </x:c>
      <x:c r="F1347" s="4" t="str">
        <x:v>Record captured</x:v>
      </x:c>
      <x:c r="G1347" s="4" t="str">
        <x:v>Booked</x:v>
      </x:c>
    </x:row>
    <x:row r="1348" ht="34" customHeight="1">
      <x:c r="A1348" s="4" t="str">
        <x:v>RS-01347-E1</x:v>
      </x:c>
      <x:c r="B1348" s="4" t="str">
        <x:v>RS-01347</x:v>
      </x:c>
      <x:c r="C1348" s="8" t="n">
        <x:v>45354</x:v>
      </x:c>
      <x:c r="D1348" s="4" t="str">
        <x:v>Sales operations manager</x:v>
      </x:c>
      <x:c r="E1348" s="4" t="str">
        <x:v>Spreadsheet import</x:v>
      </x:c>
      <x:c r="F1348" s="4" t="str">
        <x:v>Record captured</x:v>
      </x:c>
      <x:c r="G1348" s="4" t="str">
        <x:v>Handed over</x:v>
      </x:c>
    </x:row>
    <x:row r="1349" ht="34" customHeight="1">
      <x:c r="A1349" s="4" t="str">
        <x:v>RS-01348-E1</x:v>
      </x:c>
      <x:c r="B1349" s="4" t="str">
        <x:v>RS-01348</x:v>
      </x:c>
      <x:c r="C1349" s="8" t="n">
        <x:v>45355</x:v>
      </x:c>
      <x:c r="D1349" s="4" t="str">
        <x:v>Sales operations manager</x:v>
      </x:c>
      <x:c r="E1349" s="4" t="str">
        <x:v>Paper transcribed</x:v>
      </x:c>
      <x:c r="F1349" s="4" t="str">
        <x:v>Record captured</x:v>
      </x:c>
      <x:c r="G1349" s="4" t="str">
        <x:v>Booked</x:v>
      </x:c>
    </x:row>
    <x:row r="1350" ht="34" customHeight="1">
      <x:c r="A1350" s="4" t="str">
        <x:v>RS-01349-E1</x:v>
      </x:c>
      <x:c r="B1350" s="4" t="str">
        <x:v>RS-01349</x:v>
      </x:c>
      <x:c r="C1350" s="8" t="n">
        <x:v>45356</x:v>
      </x:c>
      <x:c r="D1350" s="4" t="str">
        <x:v>Sales operations manager</x:v>
      </x:c>
      <x:c r="E1350" s="4" t="str">
        <x:v>ERP form</x:v>
      </x:c>
      <x:c r="F1350" s="4" t="str">
        <x:v>Record captured</x:v>
      </x:c>
      <x:c r="G1350" s="4" t="str">
        <x:v>Reserved</x:v>
      </x:c>
    </x:row>
    <x:row r="1351" ht="34" customHeight="1">
      <x:c r="A1351" s="4" t="str">
        <x:v>RS-01350-E1</x:v>
      </x:c>
      <x:c r="B1351" s="4" t="str">
        <x:v>RS-01350</x:v>
      </x:c>
      <x:c r="C1351" s="8" t="n">
        <x:v>45357</x:v>
      </x:c>
      <x:c r="D1351" s="4" t="str">
        <x:v>Sales operations manager</x:v>
      </x:c>
      <x:c r="E1351" s="4" t="str">
        <x:v>WhatsApp transcribed</x:v>
      </x:c>
      <x:c r="F1351" s="4" t="str">
        <x:v>Record captured</x:v>
      </x:c>
      <x:c r="G1351" s="4" t="str">
        <x:v>Booked</x:v>
      </x:c>
    </x:row>
    <x:row r="1352" ht="34" customHeight="1">
      <x:c r="A1352" s="4" t="str">
        <x:v>RS-01351-E1</x:v>
      </x:c>
      <x:c r="B1352" s="4" t="str">
        <x:v>RS-01351</x:v>
      </x:c>
      <x:c r="C1352" s="8" t="n">
        <x:v>45358</x:v>
      </x:c>
      <x:c r="D1352" s="4" t="str">
        <x:v>Sales operations manager</x:v>
      </x:c>
      <x:c r="E1352" s="4" t="str">
        <x:v>WhatsApp transcribed</x:v>
      </x:c>
      <x:c r="F1352" s="4" t="str">
        <x:v>Record captured</x:v>
      </x:c>
      <x:c r="G1352" s="4" t="str">
        <x:v>Enquiry</x:v>
      </x:c>
    </x:row>
    <x:row r="1353" ht="34" customHeight="1">
      <x:c r="A1353" s="4" t="str">
        <x:v>RS-01352-E1</x:v>
      </x:c>
      <x:c r="B1353" s="4" t="str">
        <x:v>RS-01352</x:v>
      </x:c>
      <x:c r="C1353" s="8" t="n">
        <x:v>45359</x:v>
      </x:c>
      <x:c r="D1353" s="4" t="str">
        <x:v>Sales operations manager</x:v>
      </x:c>
      <x:c r="E1353" s="4" t="str">
        <x:v>Paper transcribed</x:v>
      </x:c>
      <x:c r="F1353" s="4" t="str">
        <x:v>Record captured</x:v>
      </x:c>
      <x:c r="G1353" s="4" t="str">
        <x:v>Enquiry</x:v>
      </x:c>
    </x:row>
    <x:row r="1354" ht="34" customHeight="1">
      <x:c r="A1354" s="4" t="str">
        <x:v>RS-01353-E1</x:v>
      </x:c>
      <x:c r="B1354" s="4" t="str">
        <x:v>RS-01353</x:v>
      </x:c>
      <x:c r="C1354" s="8" t="n">
        <x:v>45360</x:v>
      </x:c>
      <x:c r="D1354" s="4" t="str">
        <x:v>Sales operations manager</x:v>
      </x:c>
      <x:c r="E1354" s="4" t="str">
        <x:v>Spreadsheet import</x:v>
      </x:c>
      <x:c r="F1354" s="4" t="str">
        <x:v>Record captured</x:v>
      </x:c>
      <x:c r="G1354" s="4" t="str">
        <x:v>Reserved</x:v>
      </x:c>
    </x:row>
    <x:row r="1355" ht="34" customHeight="1">
      <x:c r="A1355" s="4" t="str">
        <x:v>RS-01354-E1</x:v>
      </x:c>
      <x:c r="B1355" s="4" t="str">
        <x:v>RS-01354</x:v>
      </x:c>
      <x:c r="C1355" s="8" t="n">
        <x:v>45361</x:v>
      </x:c>
      <x:c r="D1355" s="4" t="str">
        <x:v>Sales operations manager</x:v>
      </x:c>
      <x:c r="E1355" s="4" t="str">
        <x:v>WhatsApp transcribed</x:v>
      </x:c>
      <x:c r="F1355" s="4" t="str">
        <x:v>Record captured</x:v>
      </x:c>
      <x:c r="G1355" s="4" t="str">
        <x:v>Booked</x:v>
      </x:c>
    </x:row>
    <x:row r="1356" ht="34" customHeight="1">
      <x:c r="A1356" s="4" t="str">
        <x:v>RS-01355-E1</x:v>
      </x:c>
      <x:c r="B1356" s="4" t="str">
        <x:v>RS-01355</x:v>
      </x:c>
      <x:c r="C1356" s="8" t="n">
        <x:v>45362</x:v>
      </x:c>
      <x:c r="D1356" s="4" t="str">
        <x:v>Sales operations manager</x:v>
      </x:c>
      <x:c r="E1356" s="4" t="str">
        <x:v>WhatsApp transcribed</x:v>
      </x:c>
      <x:c r="F1356" s="4" t="str">
        <x:v>Record captured</x:v>
      </x:c>
      <x:c r="G1356" s="4" t="str">
        <x:v>Handed over</x:v>
      </x:c>
    </x:row>
    <x:row r="1357" ht="34" customHeight="1">
      <x:c r="A1357" s="4" t="str">
        <x:v>RS-01356-E1</x:v>
      </x:c>
      <x:c r="B1357" s="4" t="str">
        <x:v>RS-01356</x:v>
      </x:c>
      <x:c r="C1357" s="8" t="n">
        <x:v>45363</x:v>
      </x:c>
      <x:c r="D1357" s="4" t="str">
        <x:v>Sales operations manager</x:v>
      </x:c>
      <x:c r="E1357" s="4" t="str">
        <x:v>WhatsApp transcribed</x:v>
      </x:c>
      <x:c r="F1357" s="4" t="str">
        <x:v>Record captured</x:v>
      </x:c>
      <x:c r="G1357" s="4" t="str">
        <x:v>Cancelled</x:v>
      </x:c>
    </x:row>
    <x:row r="1358" ht="34" customHeight="1">
      <x:c r="A1358" s="4" t="str">
        <x:v>RS-01357-E1</x:v>
      </x:c>
      <x:c r="B1358" s="4" t="str">
        <x:v>RS-01357</x:v>
      </x:c>
      <x:c r="C1358" s="8" t="n">
        <x:v>45364</x:v>
      </x:c>
      <x:c r="D1358" s="4" t="str">
        <x:v>Sales operations manager</x:v>
      </x:c>
      <x:c r="E1358" s="4" t="str">
        <x:v>Paper transcribed</x:v>
      </x:c>
      <x:c r="F1358" s="4" t="str">
        <x:v>Record captured</x:v>
      </x:c>
      <x:c r="G1358" s="4" t="str">
        <x:v>Handed over</x:v>
      </x:c>
    </x:row>
    <x:row r="1359" ht="34" customHeight="1">
      <x:c r="A1359" s="4" t="str">
        <x:v>RS-01358-E1</x:v>
      </x:c>
      <x:c r="B1359" s="4" t="str">
        <x:v>RS-01358</x:v>
      </x:c>
      <x:c r="C1359" s="8" t="n">
        <x:v>45365</x:v>
      </x:c>
      <x:c r="D1359" s="4" t="str">
        <x:v>Sales operations manager</x:v>
      </x:c>
      <x:c r="E1359" s="4" t="str">
        <x:v>Spreadsheet import</x:v>
      </x:c>
      <x:c r="F1359" s="4" t="str">
        <x:v>Record captured</x:v>
      </x:c>
      <x:c r="G1359" s="4" t="str">
        <x:v>Booked</x:v>
      </x:c>
    </x:row>
    <x:row r="1360" ht="34" customHeight="1">
      <x:c r="A1360" s="4" t="str">
        <x:v>RS-01359-E1</x:v>
      </x:c>
      <x:c r="B1360" s="4" t="str">
        <x:v>RS-01359</x:v>
      </x:c>
      <x:c r="C1360" s="8" t="n">
        <x:v>45366</x:v>
      </x:c>
      <x:c r="D1360" s="4" t="str">
        <x:v>Sales operations manager</x:v>
      </x:c>
      <x:c r="E1360" s="4" t="str">
        <x:v>ERP form</x:v>
      </x:c>
      <x:c r="F1360" s="4" t="str">
        <x:v>Record captured</x:v>
      </x:c>
      <x:c r="G1360" s="4" t="str">
        <x:v>Handed over</x:v>
      </x:c>
    </x:row>
    <x:row r="1361" ht="34" customHeight="1">
      <x:c r="A1361" s="4" t="str">
        <x:v>RS-01360-E1</x:v>
      </x:c>
      <x:c r="B1361" s="4" t="str">
        <x:v>RS-01360</x:v>
      </x:c>
      <x:c r="C1361" s="8" t="n">
        <x:v>45367</x:v>
      </x:c>
      <x:c r="D1361" s="4" t="str">
        <x:v>Sales operations manager</x:v>
      </x:c>
      <x:c r="E1361" s="4" t="str">
        <x:v>ERP form</x:v>
      </x:c>
      <x:c r="F1361" s="4" t="str">
        <x:v>Record captured</x:v>
      </x:c>
      <x:c r="G1361" s="4" t="str">
        <x:v>Handed over</x:v>
      </x:c>
    </x:row>
    <x:row r="1362" ht="34" customHeight="1">
      <x:c r="A1362" s="4" t="str">
        <x:v>RS-01361-E1</x:v>
      </x:c>
      <x:c r="B1362" s="4" t="str">
        <x:v>RS-01361</x:v>
      </x:c>
      <x:c r="C1362" s="8" t="n">
        <x:v>45368</x:v>
      </x:c>
      <x:c r="D1362" s="4" t="str">
        <x:v>Sales operations manager</x:v>
      </x:c>
      <x:c r="E1362" s="4" t="str">
        <x:v>ERP form</x:v>
      </x:c>
      <x:c r="F1362" s="4" t="str">
        <x:v>Record captured</x:v>
      </x:c>
      <x:c r="G1362" s="4" t="str">
        <x:v>Reserved</x:v>
      </x:c>
    </x:row>
    <x:row r="1363" ht="34" customHeight="1">
      <x:c r="A1363" s="4" t="str">
        <x:v>RS-01362-E1</x:v>
      </x:c>
      <x:c r="B1363" s="4" t="str">
        <x:v>RS-01362</x:v>
      </x:c>
      <x:c r="C1363" s="8" t="n">
        <x:v>45369</x:v>
      </x:c>
      <x:c r="D1363" s="4" t="str">
        <x:v>Sales operations manager</x:v>
      </x:c>
      <x:c r="E1363" s="4" t="str">
        <x:v>Spreadsheet import</x:v>
      </x:c>
      <x:c r="F1363" s="4" t="str">
        <x:v>Record captured</x:v>
      </x:c>
      <x:c r="G1363" s="4" t="str">
        <x:v>Reserved</x:v>
      </x:c>
    </x:row>
    <x:row r="1364" ht="34" customHeight="1">
      <x:c r="A1364" s="4" t="str">
        <x:v>RS-01363-E1</x:v>
      </x:c>
      <x:c r="B1364" s="4" t="str">
        <x:v>RS-01363</x:v>
      </x:c>
      <x:c r="C1364" s="8" t="n">
        <x:v>45370</x:v>
      </x:c>
      <x:c r="D1364" s="4" t="str">
        <x:v>Sales operations manager</x:v>
      </x:c>
      <x:c r="E1364" s="4" t="str">
        <x:v>Spreadsheet import</x:v>
      </x:c>
      <x:c r="F1364" s="4" t="str">
        <x:v>Record captured</x:v>
      </x:c>
      <x:c r="G1364" s="4" t="str">
        <x:v>Booked</x:v>
      </x:c>
    </x:row>
    <x:row r="1365" ht="34" customHeight="1">
      <x:c r="A1365" s="4" t="str">
        <x:v>RS-01364-E1</x:v>
      </x:c>
      <x:c r="B1365" s="4" t="str">
        <x:v>RS-01364</x:v>
      </x:c>
      <x:c r="C1365" s="8" t="n">
        <x:v>45371</x:v>
      </x:c>
      <x:c r="D1365" s="4" t="str">
        <x:v>Sales operations manager</x:v>
      </x:c>
      <x:c r="E1365" s="4" t="str">
        <x:v>Spreadsheet import</x:v>
      </x:c>
      <x:c r="F1365" s="4" t="str">
        <x:v>Record captured</x:v>
      </x:c>
      <x:c r="G1365" s="4" t="str">
        <x:v>Enquiry</x:v>
      </x:c>
    </x:row>
    <x:row r="1366" ht="34" customHeight="1">
      <x:c r="A1366" s="4" t="str">
        <x:v>RS-01365-E1</x:v>
      </x:c>
      <x:c r="B1366" s="4" t="str">
        <x:v>RS-01365</x:v>
      </x:c>
      <x:c r="C1366" s="8" t="n">
        <x:v>45372</x:v>
      </x:c>
      <x:c r="D1366" s="4" t="str">
        <x:v>Sales operations manager</x:v>
      </x:c>
      <x:c r="E1366" s="4" t="str">
        <x:v>WhatsApp transcribed</x:v>
      </x:c>
      <x:c r="F1366" s="4" t="str">
        <x:v>Record captured</x:v>
      </x:c>
      <x:c r="G1366" s="4" t="str">
        <x:v>Cancelled</x:v>
      </x:c>
    </x:row>
    <x:row r="1367" ht="34" customHeight="1">
      <x:c r="A1367" s="4" t="str">
        <x:v>RS-01366-E1</x:v>
      </x:c>
      <x:c r="B1367" s="4" t="str">
        <x:v>RS-01366</x:v>
      </x:c>
      <x:c r="C1367" s="8" t="n">
        <x:v>45373</x:v>
      </x:c>
      <x:c r="D1367" s="4" t="str">
        <x:v>Sales operations manager</x:v>
      </x:c>
      <x:c r="E1367" s="4" t="str">
        <x:v>WhatsApp transcribed</x:v>
      </x:c>
      <x:c r="F1367" s="4" t="str">
        <x:v>Record captured</x:v>
      </x:c>
      <x:c r="G1367" s="4" t="str">
        <x:v>Enquiry</x:v>
      </x:c>
    </x:row>
    <x:row r="1368" ht="34" customHeight="1">
      <x:c r="A1368" s="4" t="str">
        <x:v>RS-01367-E1</x:v>
      </x:c>
      <x:c r="B1368" s="4" t="str">
        <x:v>RS-01367</x:v>
      </x:c>
      <x:c r="C1368" s="8" t="n">
        <x:v>45374</x:v>
      </x:c>
      <x:c r="D1368" s="4" t="str">
        <x:v>Sales operations manager</x:v>
      </x:c>
      <x:c r="E1368" s="4" t="str">
        <x:v>Spreadsheet import</x:v>
      </x:c>
      <x:c r="F1368" s="4" t="str">
        <x:v>Record captured</x:v>
      </x:c>
      <x:c r="G1368" s="4" t="str">
        <x:v>Handed over</x:v>
      </x:c>
    </x:row>
    <x:row r="1369" ht="34" customHeight="1">
      <x:c r="A1369" s="4" t="str">
        <x:v>RS-01368-E1</x:v>
      </x:c>
      <x:c r="B1369" s="4" t="str">
        <x:v>RS-01368</x:v>
      </x:c>
      <x:c r="C1369" s="8" t="n">
        <x:v>45375</x:v>
      </x:c>
      <x:c r="D1369" s="4" t="str">
        <x:v>Sales operations manager</x:v>
      </x:c>
      <x:c r="E1369" s="4" t="str">
        <x:v>Spreadsheet import</x:v>
      </x:c>
      <x:c r="F1369" s="4" t="str">
        <x:v>Record captured</x:v>
      </x:c>
      <x:c r="G1369" s="4" t="str">
        <x:v>Cancelled</x:v>
      </x:c>
    </x:row>
    <x:row r="1370" ht="34" customHeight="1">
      <x:c r="A1370" s="4" t="str">
        <x:v>RS-01369-E1</x:v>
      </x:c>
      <x:c r="B1370" s="4" t="str">
        <x:v>RS-01369</x:v>
      </x:c>
      <x:c r="C1370" s="8" t="n">
        <x:v>45376</x:v>
      </x:c>
      <x:c r="D1370" s="4" t="str">
        <x:v>Sales operations manager</x:v>
      </x:c>
      <x:c r="E1370" s="4" t="str">
        <x:v>WhatsApp transcribed</x:v>
      </x:c>
      <x:c r="F1370" s="4" t="str">
        <x:v>Record captured</x:v>
      </x:c>
      <x:c r="G1370" s="4" t="str">
        <x:v>Booked</x:v>
      </x:c>
    </x:row>
    <x:row r="1371" ht="34" customHeight="1">
      <x:c r="A1371" s="4" t="str">
        <x:v>RS-01370-E1</x:v>
      </x:c>
      <x:c r="B1371" s="4" t="str">
        <x:v>RS-01370</x:v>
      </x:c>
      <x:c r="C1371" s="8" t="n">
        <x:v>45377</x:v>
      </x:c>
      <x:c r="D1371" s="4" t="str">
        <x:v>Sales operations manager</x:v>
      </x:c>
      <x:c r="E1371" s="4" t="str">
        <x:v>Paper transcribed</x:v>
      </x:c>
      <x:c r="F1371" s="4" t="str">
        <x:v>Record captured</x:v>
      </x:c>
      <x:c r="G1371" s="4" t="str">
        <x:v>Booked</x:v>
      </x:c>
    </x:row>
    <x:row r="1372" ht="34" customHeight="1">
      <x:c r="A1372" s="4" t="str">
        <x:v>RS-01371-E1</x:v>
      </x:c>
      <x:c r="B1372" s="4" t="str">
        <x:v>RS-01371</x:v>
      </x:c>
      <x:c r="C1372" s="8" t="n">
        <x:v>45378</x:v>
      </x:c>
      <x:c r="D1372" s="4" t="str">
        <x:v>Sales operations manager</x:v>
      </x:c>
      <x:c r="E1372" s="4" t="str">
        <x:v>Spreadsheet import</x:v>
      </x:c>
      <x:c r="F1372" s="4" t="str">
        <x:v>Record captured</x:v>
      </x:c>
      <x:c r="G1372" s="4" t="str">
        <x:v>Agreement signed</x:v>
      </x:c>
    </x:row>
    <x:row r="1373" ht="34" customHeight="1">
      <x:c r="A1373" s="4" t="str">
        <x:v>RS-01372-E1</x:v>
      </x:c>
      <x:c r="B1373" s="4" t="str">
        <x:v>RS-01372</x:v>
      </x:c>
      <x:c r="C1373" s="8" t="n">
        <x:v>45379</x:v>
      </x:c>
      <x:c r="D1373" s="4" t="str">
        <x:v>Sales operations manager</x:v>
      </x:c>
      <x:c r="E1373" s="4" t="str">
        <x:v>Spreadsheet import</x:v>
      </x:c>
      <x:c r="F1373" s="4" t="str">
        <x:v>Record captured</x:v>
      </x:c>
      <x:c r="G1373" s="4" t="str">
        <x:v>Cancelled</x:v>
      </x:c>
    </x:row>
    <x:row r="1374" ht="34" customHeight="1">
      <x:c r="A1374" s="4" t="str">
        <x:v>RS-01373-E1</x:v>
      </x:c>
      <x:c r="B1374" s="4" t="str">
        <x:v>RS-01373</x:v>
      </x:c>
      <x:c r="C1374" s="8" t="n">
        <x:v>45352</x:v>
      </x:c>
      <x:c r="D1374" s="4" t="str">
        <x:v>Sales operations manager</x:v>
      </x:c>
      <x:c r="E1374" s="4" t="str">
        <x:v>ERP form</x:v>
      </x:c>
      <x:c r="F1374" s="4" t="str">
        <x:v>Record captured</x:v>
      </x:c>
      <x:c r="G1374" s="4" t="str">
        <x:v>Agreement signed</x:v>
      </x:c>
    </x:row>
    <x:row r="1375" ht="34" customHeight="1">
      <x:c r="A1375" s="4" t="str">
        <x:v>RS-01374-E1</x:v>
      </x:c>
      <x:c r="B1375" s="4" t="str">
        <x:v>RS-01374</x:v>
      </x:c>
      <x:c r="C1375" s="8" t="n">
        <x:v>45353</x:v>
      </x:c>
      <x:c r="D1375" s="4" t="str">
        <x:v>Sales operations manager</x:v>
      </x:c>
      <x:c r="E1375" s="4" t="str">
        <x:v>ERP form</x:v>
      </x:c>
      <x:c r="F1375" s="4" t="str">
        <x:v>Record captured</x:v>
      </x:c>
      <x:c r="G1375" s="4" t="str">
        <x:v>Reserved</x:v>
      </x:c>
    </x:row>
    <x:row r="1376" ht="34" customHeight="1">
      <x:c r="A1376" s="4" t="str">
        <x:v>RS-01375-E1</x:v>
      </x:c>
      <x:c r="B1376" s="4" t="str">
        <x:v>RS-01375</x:v>
      </x:c>
      <x:c r="C1376" s="8" t="n">
        <x:v>45354</x:v>
      </x:c>
      <x:c r="D1376" s="4" t="str">
        <x:v>Sales operations manager</x:v>
      </x:c>
      <x:c r="E1376" s="4" t="str">
        <x:v>Paper transcribed</x:v>
      </x:c>
      <x:c r="F1376" s="4" t="str">
        <x:v>Record captured</x:v>
      </x:c>
      <x:c r="G1376" s="4" t="str">
        <x:v>Booked</x:v>
      </x:c>
    </x:row>
    <x:row r="1377" ht="34" customHeight="1">
      <x:c r="A1377" s="4" t="str">
        <x:v>RS-01376-E1</x:v>
      </x:c>
      <x:c r="B1377" s="4" t="str">
        <x:v>RS-01376</x:v>
      </x:c>
      <x:c r="C1377" s="8" t="n">
        <x:v>45355</x:v>
      </x:c>
      <x:c r="D1377" s="4" t="str">
        <x:v>Sales operations manager</x:v>
      </x:c>
      <x:c r="E1377" s="4" t="str">
        <x:v>WhatsApp transcribed</x:v>
      </x:c>
      <x:c r="F1377" s="4" t="str">
        <x:v>Record captured</x:v>
      </x:c>
      <x:c r="G1377" s="4" t="str">
        <x:v>Booked</x:v>
      </x:c>
    </x:row>
    <x:row r="1378" ht="34" customHeight="1">
      <x:c r="A1378" s="4" t="str">
        <x:v>RS-01377-E1</x:v>
      </x:c>
      <x:c r="B1378" s="4" t="str">
        <x:v>RS-01377</x:v>
      </x:c>
      <x:c r="C1378" s="8" t="n">
        <x:v>45356</x:v>
      </x:c>
      <x:c r="D1378" s="4" t="str">
        <x:v>Sales operations manager</x:v>
      </x:c>
      <x:c r="E1378" s="4" t="str">
        <x:v>Spreadsheet import</x:v>
      </x:c>
      <x:c r="F1378" s="4" t="str">
        <x:v>Record captured</x:v>
      </x:c>
      <x:c r="G1378" s="4" t="str">
        <x:v>Booked</x:v>
      </x:c>
    </x:row>
    <x:row r="1379" ht="34" customHeight="1">
      <x:c r="A1379" s="4" t="str">
        <x:v>RS-01378-E1</x:v>
      </x:c>
      <x:c r="B1379" s="4" t="str">
        <x:v>RS-01378</x:v>
      </x:c>
      <x:c r="C1379" s="8" t="n">
        <x:v>45357</x:v>
      </x:c>
      <x:c r="D1379" s="4" t="str">
        <x:v>Sales operations manager</x:v>
      </x:c>
      <x:c r="E1379" s="4" t="str">
        <x:v>Paper transcribed</x:v>
      </x:c>
      <x:c r="F1379" s="4" t="str">
        <x:v>Record captured</x:v>
      </x:c>
      <x:c r="G1379" s="4" t="str">
        <x:v>Enquiry</x:v>
      </x:c>
    </x:row>
    <x:row r="1380" ht="34" customHeight="1">
      <x:c r="A1380" s="4" t="str">
        <x:v>RS-01379-E1</x:v>
      </x:c>
      <x:c r="B1380" s="4" t="str">
        <x:v>RS-01379</x:v>
      </x:c>
      <x:c r="C1380" s="8" t="n">
        <x:v>45358</x:v>
      </x:c>
      <x:c r="D1380" s="4" t="str">
        <x:v>Sales operations manager</x:v>
      </x:c>
      <x:c r="E1380" s="4" t="str">
        <x:v>ERP form</x:v>
      </x:c>
      <x:c r="F1380" s="4" t="str">
        <x:v>Record captured</x:v>
      </x:c>
      <x:c r="G1380" s="4" t="str">
        <x:v>Cancelled</x:v>
      </x:c>
    </x:row>
    <x:row r="1381" ht="34" customHeight="1">
      <x:c r="A1381" s="4" t="str">
        <x:v>RS-01380-E1</x:v>
      </x:c>
      <x:c r="B1381" s="4" t="str">
        <x:v>RS-01380</x:v>
      </x:c>
      <x:c r="C1381" s="8" t="n">
        <x:v>45359</x:v>
      </x:c>
      <x:c r="D1381" s="4" t="str">
        <x:v>Sales operations manager</x:v>
      </x:c>
      <x:c r="E1381" s="4" t="str">
        <x:v>WhatsApp transcribed</x:v>
      </x:c>
      <x:c r="F1381" s="4" t="str">
        <x:v>Record captured</x:v>
      </x:c>
      <x:c r="G1381" s="4" t="str">
        <x:v>Agreement signed</x:v>
      </x:c>
    </x:row>
    <x:row r="1382" ht="34" customHeight="1">
      <x:c r="A1382" s="4" t="str">
        <x:v>RS-01381-E1</x:v>
      </x:c>
      <x:c r="B1382" s="4" t="str">
        <x:v>RS-01381</x:v>
      </x:c>
      <x:c r="C1382" s="8" t="n">
        <x:v>45360</x:v>
      </x:c>
      <x:c r="D1382" s="4" t="str">
        <x:v>Sales operations manager</x:v>
      </x:c>
      <x:c r="E1382" s="4" t="str">
        <x:v>Paper transcribed</x:v>
      </x:c>
      <x:c r="F1382" s="4" t="str">
        <x:v>Record captured</x:v>
      </x:c>
      <x:c r="G1382" s="4" t="str">
        <x:v>Reserved</x:v>
      </x:c>
    </x:row>
    <x:row r="1383" ht="34" customHeight="1">
      <x:c r="A1383" s="4" t="str">
        <x:v>RS-01382-E1</x:v>
      </x:c>
      <x:c r="B1383" s="4" t="str">
        <x:v>RS-01382</x:v>
      </x:c>
      <x:c r="C1383" s="8" t="n">
        <x:v>45361</x:v>
      </x:c>
      <x:c r="D1383" s="4" t="str">
        <x:v>Sales operations manager</x:v>
      </x:c>
      <x:c r="E1383" s="4" t="str">
        <x:v>Spreadsheet import</x:v>
      </x:c>
      <x:c r="F1383" s="4" t="str">
        <x:v>Record captured</x:v>
      </x:c>
      <x:c r="G1383" s="4" t="str">
        <x:v>Booked</x:v>
      </x:c>
    </x:row>
    <x:row r="1384" ht="34" customHeight="1">
      <x:c r="A1384" s="4" t="str">
        <x:v>RS-01383-E1</x:v>
      </x:c>
      <x:c r="B1384" s="4" t="str">
        <x:v>RS-01383</x:v>
      </x:c>
      <x:c r="C1384" s="8" t="n">
        <x:v>45362</x:v>
      </x:c>
      <x:c r="D1384" s="4" t="str">
        <x:v>Sales operations manager</x:v>
      </x:c>
      <x:c r="E1384" s="4" t="str">
        <x:v>Paper transcribed</x:v>
      </x:c>
      <x:c r="F1384" s="4" t="str">
        <x:v>Record captured</x:v>
      </x:c>
      <x:c r="G1384" s="4" t="str">
        <x:v>Enquiry</x:v>
      </x:c>
    </x:row>
    <x:row r="1385" ht="34" customHeight="1">
      <x:c r="A1385" s="4" t="str">
        <x:v>RS-01384-E1</x:v>
      </x:c>
      <x:c r="B1385" s="4" t="str">
        <x:v>RS-01384</x:v>
      </x:c>
      <x:c r="C1385" s="8" t="n">
        <x:v>45363</x:v>
      </x:c>
      <x:c r="D1385" s="4" t="str">
        <x:v>Sales operations manager</x:v>
      </x:c>
      <x:c r="E1385" s="4" t="str">
        <x:v>Paper transcribed</x:v>
      </x:c>
      <x:c r="F1385" s="4" t="str">
        <x:v>Record captured</x:v>
      </x:c>
      <x:c r="G1385" s="4" t="str">
        <x:v>Enquiry</x:v>
      </x:c>
    </x:row>
    <x:row r="1386" ht="34" customHeight="1">
      <x:c r="A1386" s="4" t="str">
        <x:v>RS-01385-E1</x:v>
      </x:c>
      <x:c r="B1386" s="4" t="str">
        <x:v>RS-01385</x:v>
      </x:c>
      <x:c r="C1386" s="8" t="n">
        <x:v>45364</x:v>
      </x:c>
      <x:c r="D1386" s="4" t="str">
        <x:v>Sales operations manager</x:v>
      </x:c>
      <x:c r="E1386" s="4" t="str">
        <x:v>Spreadsheet import</x:v>
      </x:c>
      <x:c r="F1386" s="4" t="str">
        <x:v>Record captured</x:v>
      </x:c>
      <x:c r="G1386" s="4" t="str">
        <x:v>Cancelled</x:v>
      </x:c>
    </x:row>
    <x:row r="1387" ht="34" customHeight="1">
      <x:c r="A1387" s="4" t="str">
        <x:v>RS-01386-E1</x:v>
      </x:c>
      <x:c r="B1387" s="4" t="str">
        <x:v>RS-01386</x:v>
      </x:c>
      <x:c r="C1387" s="8" t="n">
        <x:v>45365</x:v>
      </x:c>
      <x:c r="D1387" s="4" t="str">
        <x:v>Sales operations manager</x:v>
      </x:c>
      <x:c r="E1387" s="4" t="str">
        <x:v>Paper transcribed</x:v>
      </x:c>
      <x:c r="F1387" s="4" t="str">
        <x:v>Record captured</x:v>
      </x:c>
      <x:c r="G1387" s="4" t="str">
        <x:v>Booked</x:v>
      </x:c>
    </x:row>
    <x:row r="1388" ht="34" customHeight="1">
      <x:c r="A1388" s="4" t="str">
        <x:v>RS-01387-E1</x:v>
      </x:c>
      <x:c r="B1388" s="4" t="str">
        <x:v>RS-01387</x:v>
      </x:c>
      <x:c r="C1388" s="8" t="n">
        <x:v>45366</x:v>
      </x:c>
      <x:c r="D1388" s="4" t="str">
        <x:v>Sales operations manager</x:v>
      </x:c>
      <x:c r="E1388" s="4" t="str">
        <x:v>WhatsApp transcribed</x:v>
      </x:c>
      <x:c r="F1388" s="4" t="str">
        <x:v>Record captured</x:v>
      </x:c>
      <x:c r="G1388" s="4" t="str">
        <x:v>Enquiry</x:v>
      </x:c>
    </x:row>
    <x:row r="1389" ht="34" customHeight="1">
      <x:c r="A1389" s="4" t="str">
        <x:v>RS-01388-E1</x:v>
      </x:c>
      <x:c r="B1389" s="4" t="str">
        <x:v>RS-01388</x:v>
      </x:c>
      <x:c r="C1389" s="8" t="n">
        <x:v>45367</x:v>
      </x:c>
      <x:c r="D1389" s="4" t="str">
        <x:v>Sales operations manager</x:v>
      </x:c>
      <x:c r="E1389" s="4" t="str">
        <x:v>Spreadsheet import</x:v>
      </x:c>
      <x:c r="F1389" s="4" t="str">
        <x:v>Record captured</x:v>
      </x:c>
      <x:c r="G1389" s="4" t="str">
        <x:v>Enquiry</x:v>
      </x:c>
    </x:row>
    <x:row r="1390" ht="34" customHeight="1">
      <x:c r="A1390" s="4" t="str">
        <x:v>RS-01389-E1</x:v>
      </x:c>
      <x:c r="B1390" s="4" t="str">
        <x:v>RS-01389</x:v>
      </x:c>
      <x:c r="C1390" s="8" t="n">
        <x:v>45368</x:v>
      </x:c>
      <x:c r="D1390" s="4" t="str">
        <x:v>Sales operations manager</x:v>
      </x:c>
      <x:c r="E1390" s="4" t="str">
        <x:v>WhatsApp transcribed</x:v>
      </x:c>
      <x:c r="F1390" s="4" t="str">
        <x:v>Record captured</x:v>
      </x:c>
      <x:c r="G1390" s="4" t="str">
        <x:v>Enquiry</x:v>
      </x:c>
    </x:row>
    <x:row r="1391" ht="34" customHeight="1">
      <x:c r="A1391" s="4" t="str">
        <x:v>RS-01390-E1</x:v>
      </x:c>
      <x:c r="B1391" s="4" t="str">
        <x:v>RS-01390</x:v>
      </x:c>
      <x:c r="C1391" s="8" t="n">
        <x:v>45369</x:v>
      </x:c>
      <x:c r="D1391" s="4" t="str">
        <x:v>Sales operations manager</x:v>
      </x:c>
      <x:c r="E1391" s="4" t="str">
        <x:v>ERP form</x:v>
      </x:c>
      <x:c r="F1391" s="4" t="str">
        <x:v>Record captured</x:v>
      </x:c>
      <x:c r="G1391" s="4" t="str">
        <x:v>Reserved</x:v>
      </x:c>
    </x:row>
    <x:row r="1392" ht="34" customHeight="1">
      <x:c r="A1392" s="4" t="str">
        <x:v>RS-01391-E1</x:v>
      </x:c>
      <x:c r="B1392" s="4" t="str">
        <x:v>RS-01391</x:v>
      </x:c>
      <x:c r="C1392" s="8" t="n">
        <x:v>45370</x:v>
      </x:c>
      <x:c r="D1392" s="4" t="str">
        <x:v>Sales operations manager</x:v>
      </x:c>
      <x:c r="E1392" s="4" t="str">
        <x:v>WhatsApp transcribed</x:v>
      </x:c>
      <x:c r="F1392" s="4" t="str">
        <x:v>Record captured</x:v>
      </x:c>
      <x:c r="G1392" s="4" t="str">
        <x:v>Booked</x:v>
      </x:c>
    </x:row>
    <x:row r="1393" ht="34" customHeight="1">
      <x:c r="A1393" s="4" t="str">
        <x:v>RS-01392-E1</x:v>
      </x:c>
      <x:c r="B1393" s="4" t="str">
        <x:v>RS-01392</x:v>
      </x:c>
      <x:c r="C1393" s="8" t="n">
        <x:v>45371</x:v>
      </x:c>
      <x:c r="D1393" s="4" t="str">
        <x:v>Sales operations manager</x:v>
      </x:c>
      <x:c r="E1393" s="4" t="str">
        <x:v>Paper transcribed</x:v>
      </x:c>
      <x:c r="F1393" s="4" t="str">
        <x:v>Record captured</x:v>
      </x:c>
      <x:c r="G1393" s="4" t="str">
        <x:v>Reserved</x:v>
      </x:c>
    </x:row>
    <x:row r="1394" ht="34" customHeight="1">
      <x:c r="A1394" s="4" t="str">
        <x:v>RS-01393-E1</x:v>
      </x:c>
      <x:c r="B1394" s="4" t="str">
        <x:v>RS-01393</x:v>
      </x:c>
      <x:c r="C1394" s="8" t="n">
        <x:v>45372</x:v>
      </x:c>
      <x:c r="D1394" s="4" t="str">
        <x:v>Sales operations manager</x:v>
      </x:c>
      <x:c r="E1394" s="4" t="str">
        <x:v>Spreadsheet import</x:v>
      </x:c>
      <x:c r="F1394" s="4" t="str">
        <x:v>Record captured</x:v>
      </x:c>
      <x:c r="G1394" s="4" t="str">
        <x:v>Handed over</x:v>
      </x:c>
    </x:row>
    <x:row r="1395" ht="34" customHeight="1">
      <x:c r="A1395" s="4" t="str">
        <x:v>RS-01394-E1</x:v>
      </x:c>
      <x:c r="B1395" s="4" t="str">
        <x:v>RS-01394</x:v>
      </x:c>
      <x:c r="C1395" s="8" t="n">
        <x:v>45373</x:v>
      </x:c>
      <x:c r="D1395" s="4" t="str">
        <x:v>Sales operations manager</x:v>
      </x:c>
      <x:c r="E1395" s="4" t="str">
        <x:v>Paper transcribed</x:v>
      </x:c>
      <x:c r="F1395" s="4" t="str">
        <x:v>Record captured</x:v>
      </x:c>
      <x:c r="G1395" s="4" t="str">
        <x:v>Reserved</x:v>
      </x:c>
    </x:row>
    <x:row r="1396" ht="34" customHeight="1">
      <x:c r="A1396" s="4" t="str">
        <x:v>RS-01395-E1</x:v>
      </x:c>
      <x:c r="B1396" s="4" t="str">
        <x:v>RS-01395</x:v>
      </x:c>
      <x:c r="C1396" s="8" t="n">
        <x:v>45374</x:v>
      </x:c>
      <x:c r="D1396" s="4" t="str">
        <x:v>Sales operations manager</x:v>
      </x:c>
      <x:c r="E1396" s="4" t="str">
        <x:v>Paper transcribed</x:v>
      </x:c>
      <x:c r="F1396" s="4" t="str">
        <x:v>Record captured</x:v>
      </x:c>
      <x:c r="G1396" s="4" t="str">
        <x:v>Reserved</x:v>
      </x:c>
    </x:row>
    <x:row r="1397" ht="34" customHeight="1">
      <x:c r="A1397" s="4" t="str">
        <x:v>RS-01396-E1</x:v>
      </x:c>
      <x:c r="B1397" s="4" t="str">
        <x:v>RS-01396</x:v>
      </x:c>
      <x:c r="C1397" s="8" t="n">
        <x:v>45375</x:v>
      </x:c>
      <x:c r="D1397" s="4" t="str">
        <x:v>Sales operations manager</x:v>
      </x:c>
      <x:c r="E1397" s="4" t="str">
        <x:v>WhatsApp transcribed</x:v>
      </x:c>
      <x:c r="F1397" s="4" t="str">
        <x:v>Record captured</x:v>
      </x:c>
      <x:c r="G1397" s="4" t="str">
        <x:v>Handed over</x:v>
      </x:c>
    </x:row>
    <x:row r="1398" ht="34" customHeight="1">
      <x:c r="A1398" s="4" t="str">
        <x:v>RS-01397-E1</x:v>
      </x:c>
      <x:c r="B1398" s="4" t="str">
        <x:v>RS-01397</x:v>
      </x:c>
      <x:c r="C1398" s="8" t="n">
        <x:v>45376</x:v>
      </x:c>
      <x:c r="D1398" s="4" t="str">
        <x:v>Sales operations manager</x:v>
      </x:c>
      <x:c r="E1398" s="4" t="str">
        <x:v>ERP form</x:v>
      </x:c>
      <x:c r="F1398" s="4" t="str">
        <x:v>Record captured</x:v>
      </x:c>
      <x:c r="G1398" s="4" t="str">
        <x:v>Booked</x:v>
      </x:c>
    </x:row>
    <x:row r="1399" ht="34" customHeight="1">
      <x:c r="A1399" s="4" t="str">
        <x:v>RS-01398-E1</x:v>
      </x:c>
      <x:c r="B1399" s="4" t="str">
        <x:v>RS-01398</x:v>
      </x:c>
      <x:c r="C1399" s="8" t="n">
        <x:v>45377</x:v>
      </x:c>
      <x:c r="D1399" s="4" t="str">
        <x:v>Sales operations manager</x:v>
      </x:c>
      <x:c r="E1399" s="4" t="str">
        <x:v>Paper transcribed</x:v>
      </x:c>
      <x:c r="F1399" s="4" t="str">
        <x:v>Record captured</x:v>
      </x:c>
      <x:c r="G1399" s="4" t="str">
        <x:v>Cancelled</x:v>
      </x:c>
    </x:row>
    <x:row r="1400" ht="34" customHeight="1">
      <x:c r="A1400" s="4" t="str">
        <x:v>RS-01399-E1</x:v>
      </x:c>
      <x:c r="B1400" s="4" t="str">
        <x:v>RS-01399</x:v>
      </x:c>
      <x:c r="C1400" s="8" t="n">
        <x:v>45378</x:v>
      </x:c>
      <x:c r="D1400" s="4" t="str">
        <x:v>Sales operations manager</x:v>
      </x:c>
      <x:c r="E1400" s="4" t="str">
        <x:v>Paper transcribed</x:v>
      </x:c>
      <x:c r="F1400" s="4" t="str">
        <x:v>Record captured</x:v>
      </x:c>
      <x:c r="G1400" s="4" t="str">
        <x:v>Agreement signed</x:v>
      </x:c>
    </x:row>
    <x:row r="1401" ht="34" customHeight="1">
      <x:c r="A1401" s="4" t="str">
        <x:v>RS-01400-E1</x:v>
      </x:c>
      <x:c r="B1401" s="4" t="str">
        <x:v>RS-01400</x:v>
      </x:c>
      <x:c r="C1401" s="8" t="n">
        <x:v>45379</x:v>
      </x:c>
      <x:c r="D1401" s="4" t="str">
        <x:v>Sales operations manager</x:v>
      </x:c>
      <x:c r="E1401" s="4" t="str">
        <x:v>Paper transcribed</x:v>
      </x:c>
      <x:c r="F1401" s="4" t="str">
        <x:v>Record captured</x:v>
      </x:c>
      <x:c r="G1401" s="4" t="str">
        <x:v>Agreement signed</x:v>
      </x:c>
    </x:row>
    <x:row r="1402" ht="34" customHeight="1">
      <x:c r="A1402" s="4" t="str">
        <x:v>RS-01401-E1</x:v>
      </x:c>
      <x:c r="B1402" s="4" t="str">
        <x:v>RS-01401</x:v>
      </x:c>
      <x:c r="C1402" s="8" t="n">
        <x:v>45352</x:v>
      </x:c>
      <x:c r="D1402" s="4" t="str">
        <x:v>Sales operations manager</x:v>
      </x:c>
      <x:c r="E1402" s="4" t="str">
        <x:v>Spreadsheet import</x:v>
      </x:c>
      <x:c r="F1402" s="4" t="str">
        <x:v>Record captured</x:v>
      </x:c>
      <x:c r="G1402" s="4" t="str">
        <x:v>Booked</x:v>
      </x:c>
    </x:row>
    <x:row r="1403" ht="34" customHeight="1">
      <x:c r="A1403" s="4" t="str">
        <x:v>RS-01402-E1</x:v>
      </x:c>
      <x:c r="B1403" s="4" t="str">
        <x:v>RS-01402</x:v>
      </x:c>
      <x:c r="C1403" s="8" t="n">
        <x:v>45353</x:v>
      </x:c>
      <x:c r="D1403" s="4" t="str">
        <x:v>Sales operations manager</x:v>
      </x:c>
      <x:c r="E1403" s="4" t="str">
        <x:v>Paper transcribed</x:v>
      </x:c>
      <x:c r="F1403" s="4" t="str">
        <x:v>Record captured</x:v>
      </x:c>
      <x:c r="G1403" s="4" t="str">
        <x:v>Reserved</x:v>
      </x:c>
    </x:row>
    <x:row r="1404" ht="34" customHeight="1">
      <x:c r="A1404" s="4" t="str">
        <x:v>RS-01403-E1</x:v>
      </x:c>
      <x:c r="B1404" s="4" t="str">
        <x:v>RS-01403</x:v>
      </x:c>
      <x:c r="C1404" s="8" t="n">
        <x:v>45354</x:v>
      </x:c>
      <x:c r="D1404" s="4" t="str">
        <x:v>Sales operations manager</x:v>
      </x:c>
      <x:c r="E1404" s="4" t="str">
        <x:v>Spreadsheet import</x:v>
      </x:c>
      <x:c r="F1404" s="4" t="str">
        <x:v>Record captured</x:v>
      </x:c>
      <x:c r="G1404" s="4" t="str">
        <x:v>Cancelled</x:v>
      </x:c>
    </x:row>
    <x:row r="1405" ht="34" customHeight="1">
      <x:c r="A1405" s="4" t="str">
        <x:v>RS-01404-E1</x:v>
      </x:c>
      <x:c r="B1405" s="4" t="str">
        <x:v>RS-01404</x:v>
      </x:c>
      <x:c r="C1405" s="8" t="n">
        <x:v>45355</x:v>
      </x:c>
      <x:c r="D1405" s="4" t="str">
        <x:v>Sales operations manager</x:v>
      </x:c>
      <x:c r="E1405" s="4" t="str">
        <x:v>ERP form</x:v>
      </x:c>
      <x:c r="F1405" s="4" t="str">
        <x:v>Record captured</x:v>
      </x:c>
      <x:c r="G1405" s="4" t="str">
        <x:v>Booked</x:v>
      </x:c>
    </x:row>
    <x:row r="1406" ht="34" customHeight="1">
      <x:c r="A1406" s="4" t="str">
        <x:v>RS-01405-E1</x:v>
      </x:c>
      <x:c r="B1406" s="4" t="str">
        <x:v>RS-01405</x:v>
      </x:c>
      <x:c r="C1406" s="8" t="n">
        <x:v>45356</x:v>
      </x:c>
      <x:c r="D1406" s="4" t="str">
        <x:v>Sales operations manager</x:v>
      </x:c>
      <x:c r="E1406" s="4" t="str">
        <x:v>ERP form</x:v>
      </x:c>
      <x:c r="F1406" s="4" t="str">
        <x:v>Record captured</x:v>
      </x:c>
      <x:c r="G1406" s="4" t="str">
        <x:v>Enquiry</x:v>
      </x:c>
    </x:row>
    <x:row r="1407" ht="34" customHeight="1">
      <x:c r="A1407" s="4" t="str">
        <x:v>RS-01406-E1</x:v>
      </x:c>
      <x:c r="B1407" s="4" t="str">
        <x:v>RS-01406</x:v>
      </x:c>
      <x:c r="C1407" s="8" t="n">
        <x:v>45357</x:v>
      </x:c>
      <x:c r="D1407" s="4" t="str">
        <x:v>Sales operations manager</x:v>
      </x:c>
      <x:c r="E1407" s="4" t="str">
        <x:v>Spreadsheet import</x:v>
      </x:c>
      <x:c r="F1407" s="4" t="str">
        <x:v>Record captured</x:v>
      </x:c>
      <x:c r="G1407" s="4" t="str">
        <x:v>Reserved</x:v>
      </x:c>
    </x:row>
    <x:row r="1408" ht="34" customHeight="1">
      <x:c r="A1408" s="4" t="str">
        <x:v>RS-01407-E1</x:v>
      </x:c>
      <x:c r="B1408" s="4" t="str">
        <x:v>RS-01407</x:v>
      </x:c>
      <x:c r="C1408" s="8" t="n">
        <x:v>45358</x:v>
      </x:c>
      <x:c r="D1408" s="4" t="str">
        <x:v>Sales operations manager</x:v>
      </x:c>
      <x:c r="E1408" s="4" t="str">
        <x:v>ERP form</x:v>
      </x:c>
      <x:c r="F1408" s="4" t="str">
        <x:v>Record captured</x:v>
      </x:c>
      <x:c r="G1408" s="4" t="str">
        <x:v>Handed over</x:v>
      </x:c>
    </x:row>
    <x:row r="1409" ht="34" customHeight="1">
      <x:c r="A1409" s="4" t="str">
        <x:v>RS-01408-E1</x:v>
      </x:c>
      <x:c r="B1409" s="4" t="str">
        <x:v>RS-01408</x:v>
      </x:c>
      <x:c r="C1409" s="8" t="n">
        <x:v>45359</x:v>
      </x:c>
      <x:c r="D1409" s="4" t="str">
        <x:v>Sales operations manager</x:v>
      </x:c>
      <x:c r="E1409" s="4" t="str">
        <x:v>ERP form</x:v>
      </x:c>
      <x:c r="F1409" s="4" t="str">
        <x:v>Record captured</x:v>
      </x:c>
      <x:c r="G1409" s="4" t="str">
        <x:v>Reserved</x:v>
      </x:c>
    </x:row>
    <x:row r="1410" ht="34" customHeight="1">
      <x:c r="A1410" s="4" t="str">
        <x:v>RS-01409-E1</x:v>
      </x:c>
      <x:c r="B1410" s="4" t="str">
        <x:v>RS-01409</x:v>
      </x:c>
      <x:c r="C1410" s="8" t="n">
        <x:v>45360</x:v>
      </x:c>
      <x:c r="D1410" s="4" t="str">
        <x:v>Sales operations manager</x:v>
      </x:c>
      <x:c r="E1410" s="4" t="str">
        <x:v>Spreadsheet import</x:v>
      </x:c>
      <x:c r="F1410" s="4" t="str">
        <x:v>Record captured</x:v>
      </x:c>
      <x:c r="G1410" s="4" t="str">
        <x:v>Handed over</x:v>
      </x:c>
    </x:row>
    <x:row r="1411" ht="34" customHeight="1">
      <x:c r="A1411" s="4" t="str">
        <x:v>RS-01410-E1</x:v>
      </x:c>
      <x:c r="B1411" s="4" t="str">
        <x:v>RS-01410</x:v>
      </x:c>
      <x:c r="C1411" s="8" t="n">
        <x:v>45361</x:v>
      </x:c>
      <x:c r="D1411" s="4" t="str">
        <x:v>Sales operations manager</x:v>
      </x:c>
      <x:c r="E1411" s="4" t="str">
        <x:v>Spreadsheet import</x:v>
      </x:c>
      <x:c r="F1411" s="4" t="str">
        <x:v>Record captured</x:v>
      </x:c>
      <x:c r="G1411" s="4" t="str">
        <x:v>Handed over</x:v>
      </x:c>
    </x:row>
    <x:row r="1412" ht="34" customHeight="1">
      <x:c r="A1412" s="4" t="str">
        <x:v>RS-01411-E1</x:v>
      </x:c>
      <x:c r="B1412" s="4" t="str">
        <x:v>RS-01411</x:v>
      </x:c>
      <x:c r="C1412" s="8" t="n">
        <x:v>45362</x:v>
      </x:c>
      <x:c r="D1412" s="4" t="str">
        <x:v>Sales operations manager</x:v>
      </x:c>
      <x:c r="E1412" s="4" t="str">
        <x:v>WhatsApp transcribed</x:v>
      </x:c>
      <x:c r="F1412" s="4" t="str">
        <x:v>Record captured</x:v>
      </x:c>
      <x:c r="G1412" s="4" t="str">
        <x:v>Handed over</x:v>
      </x:c>
    </x:row>
    <x:row r="1413" ht="34" customHeight="1">
      <x:c r="A1413" s="4" t="str">
        <x:v>RS-01412-E1</x:v>
      </x:c>
      <x:c r="B1413" s="4" t="str">
        <x:v>RS-01412</x:v>
      </x:c>
      <x:c r="C1413" s="8" t="n">
        <x:v>45363</x:v>
      </x:c>
      <x:c r="D1413" s="4" t="str">
        <x:v>Sales operations manager</x:v>
      </x:c>
      <x:c r="E1413" s="4" t="str">
        <x:v>WhatsApp transcribed</x:v>
      </x:c>
      <x:c r="F1413" s="4" t="str">
        <x:v>Record captured</x:v>
      </x:c>
      <x:c r="G1413" s="4" t="str">
        <x:v>Booked</x:v>
      </x:c>
    </x:row>
    <x:row r="1414" ht="34" customHeight="1">
      <x:c r="A1414" s="4" t="str">
        <x:v>RS-01413-E1</x:v>
      </x:c>
      <x:c r="B1414" s="4" t="str">
        <x:v>RS-01413</x:v>
      </x:c>
      <x:c r="C1414" s="8" t="n">
        <x:v>45364</x:v>
      </x:c>
      <x:c r="D1414" s="4" t="str">
        <x:v>Sales operations manager</x:v>
      </x:c>
      <x:c r="E1414" s="4" t="str">
        <x:v>ERP form</x:v>
      </x:c>
      <x:c r="F1414" s="4" t="str">
        <x:v>Record captured</x:v>
      </x:c>
      <x:c r="G1414" s="4" t="str">
        <x:v>Enquiry</x:v>
      </x:c>
    </x:row>
    <x:row r="1415" ht="34" customHeight="1">
      <x:c r="A1415" s="4" t="str">
        <x:v>RS-01414-E1</x:v>
      </x:c>
      <x:c r="B1415" s="4" t="str">
        <x:v>RS-01414</x:v>
      </x:c>
      <x:c r="C1415" s="8" t="n">
        <x:v>45365</x:v>
      </x:c>
      <x:c r="D1415" s="4" t="str">
        <x:v>Sales operations manager</x:v>
      </x:c>
      <x:c r="E1415" s="4" t="str">
        <x:v>ERP form</x:v>
      </x:c>
      <x:c r="F1415" s="4" t="str">
        <x:v>Record captured</x:v>
      </x:c>
      <x:c r="G1415" s="4" t="str">
        <x:v>Booked</x:v>
      </x:c>
    </x:row>
    <x:row r="1416" ht="34" customHeight="1">
      <x:c r="A1416" s="4" t="str">
        <x:v>RS-01415-E1</x:v>
      </x:c>
      <x:c r="B1416" s="4" t="str">
        <x:v>RS-01415</x:v>
      </x:c>
      <x:c r="C1416" s="8" t="n">
        <x:v>45366</x:v>
      </x:c>
      <x:c r="D1416" s="4" t="str">
        <x:v>Sales operations manager</x:v>
      </x:c>
      <x:c r="E1416" s="4" t="str">
        <x:v>Spreadsheet import</x:v>
      </x:c>
      <x:c r="F1416" s="4" t="str">
        <x:v>Record captured</x:v>
      </x:c>
      <x:c r="G1416" s="4" t="str">
        <x:v>Cancelled</x:v>
      </x:c>
    </x:row>
    <x:row r="1417" ht="34" customHeight="1">
      <x:c r="A1417" s="4" t="str">
        <x:v>RS-01416-E1</x:v>
      </x:c>
      <x:c r="B1417" s="4" t="str">
        <x:v>RS-01416</x:v>
      </x:c>
      <x:c r="C1417" s="8" t="n">
        <x:v>45367</x:v>
      </x:c>
      <x:c r="D1417" s="4" t="str">
        <x:v>Sales operations manager</x:v>
      </x:c>
      <x:c r="E1417" s="4" t="str">
        <x:v>Paper transcribed</x:v>
      </x:c>
      <x:c r="F1417" s="4" t="str">
        <x:v>Record captured</x:v>
      </x:c>
      <x:c r="G1417" s="4" t="str">
        <x:v>Handed over</x:v>
      </x:c>
    </x:row>
    <x:row r="1418" ht="34" customHeight="1">
      <x:c r="A1418" s="4" t="str">
        <x:v>RS-01417-E1</x:v>
      </x:c>
      <x:c r="B1418" s="4" t="str">
        <x:v>RS-01417</x:v>
      </x:c>
      <x:c r="C1418" s="8" t="n">
        <x:v>45368</x:v>
      </x:c>
      <x:c r="D1418" s="4" t="str">
        <x:v>Sales operations manager</x:v>
      </x:c>
      <x:c r="E1418" s="4" t="str">
        <x:v>ERP form</x:v>
      </x:c>
      <x:c r="F1418" s="4" t="str">
        <x:v>Record captured</x:v>
      </x:c>
      <x:c r="G1418" s="4" t="str">
        <x:v>Booked</x:v>
      </x:c>
    </x:row>
    <x:row r="1419" ht="34" customHeight="1">
      <x:c r="A1419" s="4" t="str">
        <x:v>RS-01418-E1</x:v>
      </x:c>
      <x:c r="B1419" s="4" t="str">
        <x:v>RS-01418</x:v>
      </x:c>
      <x:c r="C1419" s="8" t="n">
        <x:v>45369</x:v>
      </x:c>
      <x:c r="D1419" s="4" t="str">
        <x:v>Sales operations manager</x:v>
      </x:c>
      <x:c r="E1419" s="4" t="str">
        <x:v>WhatsApp transcribed</x:v>
      </x:c>
      <x:c r="F1419" s="4" t="str">
        <x:v>Record captured</x:v>
      </x:c>
      <x:c r="G1419" s="4" t="str">
        <x:v>Reserved</x:v>
      </x:c>
    </x:row>
    <x:row r="1420" ht="34" customHeight="1">
      <x:c r="A1420" s="4" t="str">
        <x:v>RS-01419-E1</x:v>
      </x:c>
      <x:c r="B1420" s="4" t="str">
        <x:v>RS-01419</x:v>
      </x:c>
      <x:c r="C1420" s="8" t="n">
        <x:v>45370</x:v>
      </x:c>
      <x:c r="D1420" s="4" t="str">
        <x:v>Sales operations manager</x:v>
      </x:c>
      <x:c r="E1420" s="4" t="str">
        <x:v>Spreadsheet import</x:v>
      </x:c>
      <x:c r="F1420" s="4" t="str">
        <x:v>Record captured</x:v>
      </x:c>
      <x:c r="G1420" s="4" t="str">
        <x:v>Booked</x:v>
      </x:c>
    </x:row>
    <x:row r="1421" ht="34" customHeight="1">
      <x:c r="A1421" s="4" t="str">
        <x:v>RS-01420-E1</x:v>
      </x:c>
      <x:c r="B1421" s="4" t="str">
        <x:v>RS-01420</x:v>
      </x:c>
      <x:c r="C1421" s="8" t="n">
        <x:v>45371</x:v>
      </x:c>
      <x:c r="D1421" s="4" t="str">
        <x:v>Sales operations manager</x:v>
      </x:c>
      <x:c r="E1421" s="4" t="str">
        <x:v>WhatsApp transcribed</x:v>
      </x:c>
      <x:c r="F1421" s="4" t="str">
        <x:v>Record captured</x:v>
      </x:c>
      <x:c r="G1421" s="4" t="str">
        <x:v>Agreement signed</x:v>
      </x:c>
    </x:row>
    <x:row r="1422" ht="34" customHeight="1">
      <x:c r="A1422" s="4" t="str">
        <x:v>RS-01421-E1</x:v>
      </x:c>
      <x:c r="B1422" s="4" t="str">
        <x:v>RS-01421</x:v>
      </x:c>
      <x:c r="C1422" s="8" t="n">
        <x:v>45372</x:v>
      </x:c>
      <x:c r="D1422" s="4" t="str">
        <x:v>Sales operations manager</x:v>
      </x:c>
      <x:c r="E1422" s="4" t="str">
        <x:v>Paper transcribed</x:v>
      </x:c>
      <x:c r="F1422" s="4" t="str">
        <x:v>Record captured</x:v>
      </x:c>
      <x:c r="G1422" s="4" t="str">
        <x:v>Booked</x:v>
      </x:c>
    </x:row>
    <x:row r="1423" ht="34" customHeight="1">
      <x:c r="A1423" s="4" t="str">
        <x:v>RS-01422-E1</x:v>
      </x:c>
      <x:c r="B1423" s="4" t="str">
        <x:v>RS-01422</x:v>
      </x:c>
      <x:c r="C1423" s="8" t="n">
        <x:v>45373</x:v>
      </x:c>
      <x:c r="D1423" s="4" t="str">
        <x:v>Sales operations manager</x:v>
      </x:c>
      <x:c r="E1423" s="4" t="str">
        <x:v>Paper transcribed</x:v>
      </x:c>
      <x:c r="F1423" s="4" t="str">
        <x:v>Record captured</x:v>
      </x:c>
      <x:c r="G1423" s="4" t="str">
        <x:v>Agreement signed</x:v>
      </x:c>
    </x:row>
    <x:row r="1424" ht="34" customHeight="1">
      <x:c r="A1424" s="4" t="str">
        <x:v>RS-01423-E1</x:v>
      </x:c>
      <x:c r="B1424" s="4" t="str">
        <x:v>RS-01423</x:v>
      </x:c>
      <x:c r="C1424" s="8" t="n">
        <x:v>45374</x:v>
      </x:c>
      <x:c r="D1424" s="4" t="str">
        <x:v>Sales operations manager</x:v>
      </x:c>
      <x:c r="E1424" s="4" t="str">
        <x:v>WhatsApp transcribed</x:v>
      </x:c>
      <x:c r="F1424" s="4" t="str">
        <x:v>Record captured</x:v>
      </x:c>
      <x:c r="G1424" s="4" t="str">
        <x:v>Reserved</x:v>
      </x:c>
    </x:row>
    <x:row r="1425" ht="34" customHeight="1">
      <x:c r="A1425" s="4" t="str">
        <x:v>RS-01424-E1</x:v>
      </x:c>
      <x:c r="B1425" s="4" t="str">
        <x:v>RS-01424</x:v>
      </x:c>
      <x:c r="C1425" s="8" t="n">
        <x:v>45375</x:v>
      </x:c>
      <x:c r="D1425" s="4" t="str">
        <x:v>Sales operations manager</x:v>
      </x:c>
      <x:c r="E1425" s="4" t="str">
        <x:v>Spreadsheet import</x:v>
      </x:c>
      <x:c r="F1425" s="4" t="str">
        <x:v>Record captured</x:v>
      </x:c>
      <x:c r="G1425" s="4" t="str">
        <x:v>Agreement signed</x:v>
      </x:c>
    </x:row>
    <x:row r="1426" ht="34" customHeight="1">
      <x:c r="A1426" s="4" t="str">
        <x:v>RS-01425-E1</x:v>
      </x:c>
      <x:c r="B1426" s="4" t="str">
        <x:v>RS-01425</x:v>
      </x:c>
      <x:c r="C1426" s="8" t="n">
        <x:v>45376</x:v>
      </x:c>
      <x:c r="D1426" s="4" t="str">
        <x:v>Sales operations manager</x:v>
      </x:c>
      <x:c r="E1426" s="4" t="str">
        <x:v>ERP form</x:v>
      </x:c>
      <x:c r="F1426" s="4" t="str">
        <x:v>Record captured</x:v>
      </x:c>
      <x:c r="G1426" s="4" t="str">
        <x:v>Enquiry</x:v>
      </x:c>
    </x:row>
    <x:row r="1427" ht="34" customHeight="1">
      <x:c r="A1427" s="4" t="str">
        <x:v>RS-01426-E1</x:v>
      </x:c>
      <x:c r="B1427" s="4" t="str">
        <x:v>RS-01426</x:v>
      </x:c>
      <x:c r="C1427" s="8" t="n">
        <x:v>45377</x:v>
      </x:c>
      <x:c r="D1427" s="4" t="str">
        <x:v>Sales operations manager</x:v>
      </x:c>
      <x:c r="E1427" s="4" t="str">
        <x:v>Spreadsheet import</x:v>
      </x:c>
      <x:c r="F1427" s="4" t="str">
        <x:v>Record captured</x:v>
      </x:c>
      <x:c r="G1427" s="4" t="str">
        <x:v>Reserved</x:v>
      </x:c>
    </x:row>
    <x:row r="1428" ht="34" customHeight="1">
      <x:c r="A1428" s="4" t="str">
        <x:v>RS-01427-E1</x:v>
      </x:c>
      <x:c r="B1428" s="4" t="str">
        <x:v>RS-01427</x:v>
      </x:c>
      <x:c r="C1428" s="8" t="n">
        <x:v>45378</x:v>
      </x:c>
      <x:c r="D1428" s="4" t="str">
        <x:v>Sales operations manager</x:v>
      </x:c>
      <x:c r="E1428" s="4" t="str">
        <x:v>WhatsApp transcribed</x:v>
      </x:c>
      <x:c r="F1428" s="4" t="str">
        <x:v>Record captured</x:v>
      </x:c>
      <x:c r="G1428" s="4" t="str">
        <x:v>Agreement signed</x:v>
      </x:c>
    </x:row>
    <x:row r="1429" ht="34" customHeight="1">
      <x:c r="A1429" s="4" t="str">
        <x:v>RS-01428-E1</x:v>
      </x:c>
      <x:c r="B1429" s="4" t="str">
        <x:v>RS-01428</x:v>
      </x:c>
      <x:c r="C1429" s="8" t="n">
        <x:v>45379</x:v>
      </x:c>
      <x:c r="D1429" s="4" t="str">
        <x:v>Sales operations manager</x:v>
      </x:c>
      <x:c r="E1429" s="4" t="str">
        <x:v>Paper transcribed</x:v>
      </x:c>
      <x:c r="F1429" s="4" t="str">
        <x:v>Record captured</x:v>
      </x:c>
      <x:c r="G1429" s="4" t="str">
        <x:v>Enquiry</x:v>
      </x:c>
    </x:row>
    <x:row r="1430" ht="34" customHeight="1">
      <x:c r="A1430" s="4" t="str">
        <x:v>RS-01429-E1</x:v>
      </x:c>
      <x:c r="B1430" s="4" t="str">
        <x:v>RS-01429</x:v>
      </x:c>
      <x:c r="C1430" s="8" t="n">
        <x:v>45352</x:v>
      </x:c>
      <x:c r="D1430" s="4" t="str">
        <x:v>Sales operations manager</x:v>
      </x:c>
      <x:c r="E1430" s="4" t="str">
        <x:v>Spreadsheet import</x:v>
      </x:c>
      <x:c r="F1430" s="4" t="str">
        <x:v>Record captured</x:v>
      </x:c>
      <x:c r="G1430" s="4" t="str">
        <x:v>Handed over</x:v>
      </x:c>
    </x:row>
    <x:row r="1431" ht="34" customHeight="1">
      <x:c r="A1431" s="4" t="str">
        <x:v>RS-01430-E1</x:v>
      </x:c>
      <x:c r="B1431" s="4" t="str">
        <x:v>RS-01430</x:v>
      </x:c>
      <x:c r="C1431" s="8" t="n">
        <x:v>45353</x:v>
      </x:c>
      <x:c r="D1431" s="4" t="str">
        <x:v>Sales operations manager</x:v>
      </x:c>
      <x:c r="E1431" s="4" t="str">
        <x:v>Spreadsheet import</x:v>
      </x:c>
      <x:c r="F1431" s="4" t="str">
        <x:v>Record captured</x:v>
      </x:c>
      <x:c r="G1431" s="4" t="str">
        <x:v>Agreement signed</x:v>
      </x:c>
    </x:row>
    <x:row r="1432" ht="34" customHeight="1">
      <x:c r="A1432" s="4" t="str">
        <x:v>RS-01431-E1</x:v>
      </x:c>
      <x:c r="B1432" s="4" t="str">
        <x:v>RS-01431</x:v>
      </x:c>
      <x:c r="C1432" s="8" t="n">
        <x:v>45354</x:v>
      </x:c>
      <x:c r="D1432" s="4" t="str">
        <x:v>Sales operations manager</x:v>
      </x:c>
      <x:c r="E1432" s="4" t="str">
        <x:v>Spreadsheet import</x:v>
      </x:c>
      <x:c r="F1432" s="4" t="str">
        <x:v>Record captured</x:v>
      </x:c>
      <x:c r="G1432" s="4" t="str">
        <x:v>Reserved</x:v>
      </x:c>
    </x:row>
    <x:row r="1433" ht="34" customHeight="1">
      <x:c r="A1433" s="4" t="str">
        <x:v>RS-01432-E1</x:v>
      </x:c>
      <x:c r="B1433" s="4" t="str">
        <x:v>RS-01432</x:v>
      </x:c>
      <x:c r="C1433" s="8" t="n">
        <x:v>45355</x:v>
      </x:c>
      <x:c r="D1433" s="4" t="str">
        <x:v>Sales operations manager</x:v>
      </x:c>
      <x:c r="E1433" s="4" t="str">
        <x:v>Paper transcribed</x:v>
      </x:c>
      <x:c r="F1433" s="4" t="str">
        <x:v>Record captured</x:v>
      </x:c>
      <x:c r="G1433" s="4" t="str">
        <x:v>Agreement signed</x:v>
      </x:c>
    </x:row>
    <x:row r="1434" ht="34" customHeight="1">
      <x:c r="A1434" s="4" t="str">
        <x:v>RS-01433-E1</x:v>
      </x:c>
      <x:c r="B1434" s="4" t="str">
        <x:v>RS-01433</x:v>
      </x:c>
      <x:c r="C1434" s="8" t="n">
        <x:v>45356</x:v>
      </x:c>
      <x:c r="D1434" s="4" t="str">
        <x:v>Sales operations manager</x:v>
      </x:c>
      <x:c r="E1434" s="4" t="str">
        <x:v>WhatsApp transcribed</x:v>
      </x:c>
      <x:c r="F1434" s="4" t="str">
        <x:v>Record captured</x:v>
      </x:c>
      <x:c r="G1434" s="4" t="str">
        <x:v>Reserved</x:v>
      </x:c>
    </x:row>
    <x:row r="1435" ht="34" customHeight="1">
      <x:c r="A1435" s="4" t="str">
        <x:v>RS-01434-E1</x:v>
      </x:c>
      <x:c r="B1435" s="4" t="str">
        <x:v>RS-01434</x:v>
      </x:c>
      <x:c r="C1435" s="8" t="n">
        <x:v>45357</x:v>
      </x:c>
      <x:c r="D1435" s="4" t="str">
        <x:v>Sales operations manager</x:v>
      </x:c>
      <x:c r="E1435" s="4" t="str">
        <x:v>ERP form</x:v>
      </x:c>
      <x:c r="F1435" s="4" t="str">
        <x:v>Record captured</x:v>
      </x:c>
      <x:c r="G1435" s="4" t="str">
        <x:v>Enquiry</x:v>
      </x:c>
    </x:row>
    <x:row r="1436" ht="34" customHeight="1">
      <x:c r="A1436" s="4" t="str">
        <x:v>RS-01435-E1</x:v>
      </x:c>
      <x:c r="B1436" s="4" t="str">
        <x:v>RS-01435</x:v>
      </x:c>
      <x:c r="C1436" s="8" t="n">
        <x:v>45358</x:v>
      </x:c>
      <x:c r="D1436" s="4" t="str">
        <x:v>Sales operations manager</x:v>
      </x:c>
      <x:c r="E1436" s="4" t="str">
        <x:v>Spreadsheet import</x:v>
      </x:c>
      <x:c r="F1436" s="4" t="str">
        <x:v>Record captured</x:v>
      </x:c>
      <x:c r="G1436" s="4" t="str">
        <x:v>Cancelled</x:v>
      </x:c>
    </x:row>
    <x:row r="1437" ht="34" customHeight="1">
      <x:c r="A1437" s="4" t="str">
        <x:v>RS-01436-E1</x:v>
      </x:c>
      <x:c r="B1437" s="4" t="str">
        <x:v>RS-01436</x:v>
      </x:c>
      <x:c r="C1437" s="8" t="n">
        <x:v>45359</x:v>
      </x:c>
      <x:c r="D1437" s="4" t="str">
        <x:v>Sales operations manager</x:v>
      </x:c>
      <x:c r="E1437" s="4" t="str">
        <x:v>Paper transcribed</x:v>
      </x:c>
      <x:c r="F1437" s="4" t="str">
        <x:v>Record captured</x:v>
      </x:c>
      <x:c r="G1437" s="4" t="str">
        <x:v>Enquiry</x:v>
      </x:c>
    </x:row>
    <x:row r="1438" ht="34" customHeight="1">
      <x:c r="A1438" s="4" t="str">
        <x:v>RS-01437-E1</x:v>
      </x:c>
      <x:c r="B1438" s="4" t="str">
        <x:v>RS-01437</x:v>
      </x:c>
      <x:c r="C1438" s="8" t="n">
        <x:v>45360</x:v>
      </x:c>
      <x:c r="D1438" s="4" t="str">
        <x:v>Sales operations manager</x:v>
      </x:c>
      <x:c r="E1438" s="4" t="str">
        <x:v>ERP form</x:v>
      </x:c>
      <x:c r="F1438" s="4" t="str">
        <x:v>Record captured</x:v>
      </x:c>
      <x:c r="G1438" s="4" t="str">
        <x:v>Enquiry</x:v>
      </x:c>
    </x:row>
    <x:row r="1439" ht="34" customHeight="1">
      <x:c r="A1439" s="4" t="str">
        <x:v>RS-01438-E1</x:v>
      </x:c>
      <x:c r="B1439" s="4" t="str">
        <x:v>RS-01438</x:v>
      </x:c>
      <x:c r="C1439" s="8" t="n">
        <x:v>45361</x:v>
      </x:c>
      <x:c r="D1439" s="4" t="str">
        <x:v>Sales operations manager</x:v>
      </x:c>
      <x:c r="E1439" s="4" t="str">
        <x:v>Paper transcribed</x:v>
      </x:c>
      <x:c r="F1439" s="4" t="str">
        <x:v>Record captured</x:v>
      </x:c>
      <x:c r="G1439" s="4" t="str">
        <x:v>Reserved</x:v>
      </x:c>
    </x:row>
    <x:row r="1440" ht="34" customHeight="1">
      <x:c r="A1440" s="4" t="str">
        <x:v>RS-01439-E1</x:v>
      </x:c>
      <x:c r="B1440" s="4" t="str">
        <x:v>RS-01439</x:v>
      </x:c>
      <x:c r="C1440" s="8" t="n">
        <x:v>45362</x:v>
      </x:c>
      <x:c r="D1440" s="4" t="str">
        <x:v>Sales operations manager</x:v>
      </x:c>
      <x:c r="E1440" s="4" t="str">
        <x:v>Spreadsheet import</x:v>
      </x:c>
      <x:c r="F1440" s="4" t="str">
        <x:v>Record captured</x:v>
      </x:c>
      <x:c r="G1440" s="4" t="str">
        <x:v>Cancelled</x:v>
      </x:c>
    </x:row>
    <x:row r="1441" ht="34" customHeight="1">
      <x:c r="A1441" s="4" t="str">
        <x:v>RS-01440-E1</x:v>
      </x:c>
      <x:c r="B1441" s="4" t="str">
        <x:v>RS-01440</x:v>
      </x:c>
      <x:c r="C1441" s="8" t="n">
        <x:v>45363</x:v>
      </x:c>
      <x:c r="D1441" s="4" t="str">
        <x:v>Sales operations manager</x:v>
      </x:c>
      <x:c r="E1441" s="4" t="str">
        <x:v>WhatsApp transcribed</x:v>
      </x:c>
      <x:c r="F1441" s="4" t="str">
        <x:v>Record captured</x:v>
      </x:c>
      <x:c r="G1441" s="4" t="str">
        <x:v>Booked</x:v>
      </x:c>
    </x:row>
    <x:row r="1442" ht="34" customHeight="1">
      <x:c r="A1442" s="4" t="str">
        <x:v>RS-01441-E1</x:v>
      </x:c>
      <x:c r="B1442" s="4" t="str">
        <x:v>RS-01441</x:v>
      </x:c>
      <x:c r="C1442" s="8" t="n">
        <x:v>45364</x:v>
      </x:c>
      <x:c r="D1442" s="4" t="str">
        <x:v>Sales operations manager</x:v>
      </x:c>
      <x:c r="E1442" s="4" t="str">
        <x:v>ERP form</x:v>
      </x:c>
      <x:c r="F1442" s="4" t="str">
        <x:v>Record captured</x:v>
      </x:c>
      <x:c r="G1442" s="4" t="str">
        <x:v>Enquiry</x:v>
      </x:c>
    </x:row>
    <x:row r="1443" ht="34" customHeight="1">
      <x:c r="A1443" s="4" t="str">
        <x:v>RS-01442-E1</x:v>
      </x:c>
      <x:c r="B1443" s="4" t="str">
        <x:v>RS-01442</x:v>
      </x:c>
      <x:c r="C1443" s="8" t="n">
        <x:v>45365</x:v>
      </x:c>
      <x:c r="D1443" s="4" t="str">
        <x:v>Sales operations manager</x:v>
      </x:c>
      <x:c r="E1443" s="4" t="str">
        <x:v>ERP form</x:v>
      </x:c>
      <x:c r="F1443" s="4" t="str">
        <x:v>Record captured</x:v>
      </x:c>
      <x:c r="G1443" s="4" t="str">
        <x:v>Booked</x:v>
      </x:c>
    </x:row>
    <x:row r="1444" ht="34" customHeight="1">
      <x:c r="A1444" s="4" t="str">
        <x:v>RS-01443-E1</x:v>
      </x:c>
      <x:c r="B1444" s="4" t="str">
        <x:v>RS-01443</x:v>
      </x:c>
      <x:c r="C1444" s="8" t="n">
        <x:v>45366</x:v>
      </x:c>
      <x:c r="D1444" s="4" t="str">
        <x:v>Sales operations manager</x:v>
      </x:c>
      <x:c r="E1444" s="4" t="str">
        <x:v>ERP form</x:v>
      </x:c>
      <x:c r="F1444" s="4" t="str">
        <x:v>Record captured</x:v>
      </x:c>
      <x:c r="G1444" s="4" t="str">
        <x:v>Booked</x:v>
      </x:c>
    </x:row>
    <x:row r="1445" ht="34" customHeight="1">
      <x:c r="A1445" s="4" t="str">
        <x:v>RS-01444-E1</x:v>
      </x:c>
      <x:c r="B1445" s="4" t="str">
        <x:v>RS-01444</x:v>
      </x:c>
      <x:c r="C1445" s="8" t="n">
        <x:v>45367</x:v>
      </x:c>
      <x:c r="D1445" s="4" t="str">
        <x:v>Sales operations manager</x:v>
      </x:c>
      <x:c r="E1445" s="4" t="str">
        <x:v>Paper transcribed</x:v>
      </x:c>
      <x:c r="F1445" s="4" t="str">
        <x:v>Record captured</x:v>
      </x:c>
      <x:c r="G1445" s="4" t="str">
        <x:v>Agreement signed</x:v>
      </x:c>
    </x:row>
    <x:row r="1446" ht="34" customHeight="1">
      <x:c r="A1446" s="4" t="str">
        <x:v>RS-01445-E1</x:v>
      </x:c>
      <x:c r="B1446" s="4" t="str">
        <x:v>RS-01445</x:v>
      </x:c>
      <x:c r="C1446" s="8" t="n">
        <x:v>45368</x:v>
      </x:c>
      <x:c r="D1446" s="4" t="str">
        <x:v>Sales operations manager</x:v>
      </x:c>
      <x:c r="E1446" s="4" t="str">
        <x:v>Paper transcribed</x:v>
      </x:c>
      <x:c r="F1446" s="4" t="str">
        <x:v>Record captured</x:v>
      </x:c>
      <x:c r="G1446" s="4" t="str">
        <x:v>Reserved</x:v>
      </x:c>
    </x:row>
    <x:row r="1447" ht="34" customHeight="1">
      <x:c r="A1447" s="4" t="str">
        <x:v>RS-01446-E1</x:v>
      </x:c>
      <x:c r="B1447" s="4" t="str">
        <x:v>RS-01446</x:v>
      </x:c>
      <x:c r="C1447" s="8" t="n">
        <x:v>45369</x:v>
      </x:c>
      <x:c r="D1447" s="4" t="str">
        <x:v>Sales operations manager</x:v>
      </x:c>
      <x:c r="E1447" s="4" t="str">
        <x:v>WhatsApp transcribed</x:v>
      </x:c>
      <x:c r="F1447" s="4" t="str">
        <x:v>Record captured</x:v>
      </x:c>
      <x:c r="G1447" s="4" t="str">
        <x:v>Agreement signed</x:v>
      </x:c>
    </x:row>
    <x:row r="1448" ht="34" customHeight="1">
      <x:c r="A1448" s="4" t="str">
        <x:v>RS-01447-E1</x:v>
      </x:c>
      <x:c r="B1448" s="4" t="str">
        <x:v>RS-01447</x:v>
      </x:c>
      <x:c r="C1448" s="8" t="n">
        <x:v>45370</x:v>
      </x:c>
      <x:c r="D1448" s="4" t="str">
        <x:v>Sales operations manager</x:v>
      </x:c>
      <x:c r="E1448" s="4" t="str">
        <x:v>Spreadsheet import</x:v>
      </x:c>
      <x:c r="F1448" s="4" t="str">
        <x:v>Record captured</x:v>
      </x:c>
      <x:c r="G1448" s="4" t="str">
        <x:v>Enquiry</x:v>
      </x:c>
    </x:row>
    <x:row r="1449" ht="34" customHeight="1">
      <x:c r="A1449" s="4" t="str">
        <x:v>RS-01448-E1</x:v>
      </x:c>
      <x:c r="B1449" s="4" t="str">
        <x:v>RS-01448</x:v>
      </x:c>
      <x:c r="C1449" s="8" t="n">
        <x:v>45371</x:v>
      </x:c>
      <x:c r="D1449" s="4" t="str">
        <x:v>Sales operations manager</x:v>
      </x:c>
      <x:c r="E1449" s="4" t="str">
        <x:v>Paper transcribed</x:v>
      </x:c>
      <x:c r="F1449" s="4" t="str">
        <x:v>Record captured</x:v>
      </x:c>
      <x:c r="G1449" s="4" t="str">
        <x:v>Enquiry</x:v>
      </x:c>
    </x:row>
    <x:row r="1450" ht="34" customHeight="1">
      <x:c r="A1450" s="4" t="str">
        <x:v>RS-01449-E1</x:v>
      </x:c>
      <x:c r="B1450" s="4" t="str">
        <x:v>RS-01449</x:v>
      </x:c>
      <x:c r="C1450" s="8" t="n">
        <x:v>45372</x:v>
      </x:c>
      <x:c r="D1450" s="4" t="str">
        <x:v>Sales operations manager</x:v>
      </x:c>
      <x:c r="E1450" s="4" t="str">
        <x:v>Spreadsheet import</x:v>
      </x:c>
      <x:c r="F1450" s="4" t="str">
        <x:v>Record captured</x:v>
      </x:c>
      <x:c r="G1450" s="4" t="str">
        <x:v>Booked</x:v>
      </x:c>
    </x:row>
    <x:row r="1451" ht="34" customHeight="1">
      <x:c r="A1451" s="4" t="str">
        <x:v>RS-01450-E1</x:v>
      </x:c>
      <x:c r="B1451" s="4" t="str">
        <x:v>RS-01450</x:v>
      </x:c>
      <x:c r="C1451" s="8" t="n">
        <x:v>45373</x:v>
      </x:c>
      <x:c r="D1451" s="4" t="str">
        <x:v>Sales operations manager</x:v>
      </x:c>
      <x:c r="E1451" s="4" t="str">
        <x:v>WhatsApp transcribed</x:v>
      </x:c>
      <x:c r="F1451" s="4" t="str">
        <x:v>Record captured</x:v>
      </x:c>
      <x:c r="G1451" s="4" t="str">
        <x:v>Enquiry</x:v>
      </x:c>
    </x:row>
    <x:row r="1452" ht="34" customHeight="1">
      <x:c r="A1452" s="4" t="str">
        <x:v>RS-01451-E1</x:v>
      </x:c>
      <x:c r="B1452" s="4" t="str">
        <x:v>RS-01451</x:v>
      </x:c>
      <x:c r="C1452" s="8" t="n">
        <x:v>45374</x:v>
      </x:c>
      <x:c r="D1452" s="4" t="str">
        <x:v>Sales operations manager</x:v>
      </x:c>
      <x:c r="E1452" s="4" t="str">
        <x:v>Paper transcribed</x:v>
      </x:c>
      <x:c r="F1452" s="4" t="str">
        <x:v>Record captured</x:v>
      </x:c>
      <x:c r="G1452" s="4" t="str">
        <x:v>Enquiry</x:v>
      </x:c>
    </x:row>
    <x:row r="1453" ht="34" customHeight="1">
      <x:c r="A1453" s="4" t="str">
        <x:v>RS-01452-E1</x:v>
      </x:c>
      <x:c r="B1453" s="4" t="str">
        <x:v>RS-01452</x:v>
      </x:c>
      <x:c r="C1453" s="8" t="n">
        <x:v>45375</x:v>
      </x:c>
      <x:c r="D1453" s="4" t="str">
        <x:v>Sales operations manager</x:v>
      </x:c>
      <x:c r="E1453" s="4" t="str">
        <x:v>Paper transcribed</x:v>
      </x:c>
      <x:c r="F1453" s="4" t="str">
        <x:v>Record captured</x:v>
      </x:c>
      <x:c r="G1453" s="4" t="str">
        <x:v>Booked</x:v>
      </x:c>
    </x:row>
    <x:row r="1454" ht="34" customHeight="1">
      <x:c r="A1454" s="4" t="str">
        <x:v>RS-01453-E1</x:v>
      </x:c>
      <x:c r="B1454" s="4" t="str">
        <x:v>RS-01453</x:v>
      </x:c>
      <x:c r="C1454" s="8" t="n">
        <x:v>45376</x:v>
      </x:c>
      <x:c r="D1454" s="4" t="str">
        <x:v>Sales operations manager</x:v>
      </x:c>
      <x:c r="E1454" s="4" t="str">
        <x:v>WhatsApp transcribed</x:v>
      </x:c>
      <x:c r="F1454" s="4" t="str">
        <x:v>Record captured</x:v>
      </x:c>
      <x:c r="G1454" s="4" t="str">
        <x:v>Agreement signed</x:v>
      </x:c>
    </x:row>
    <x:row r="1455" ht="34" customHeight="1">
      <x:c r="A1455" s="4" t="str">
        <x:v>RS-01454-E1</x:v>
      </x:c>
      <x:c r="B1455" s="4" t="str">
        <x:v>RS-01454</x:v>
      </x:c>
      <x:c r="C1455" s="8" t="n">
        <x:v>45377</x:v>
      </x:c>
      <x:c r="D1455" s="4" t="str">
        <x:v>Sales operations manager</x:v>
      </x:c>
      <x:c r="E1455" s="4" t="str">
        <x:v>Spreadsheet import</x:v>
      </x:c>
      <x:c r="F1455" s="4" t="str">
        <x:v>Record captured</x:v>
      </x:c>
      <x:c r="G1455" s="4" t="str">
        <x:v>Booked</x:v>
      </x:c>
    </x:row>
    <x:row r="1456" ht="34" customHeight="1">
      <x:c r="A1456" s="4" t="str">
        <x:v>RS-01455-E1</x:v>
      </x:c>
      <x:c r="B1456" s="4" t="str">
        <x:v>RS-01455</x:v>
      </x:c>
      <x:c r="C1456" s="8" t="n">
        <x:v>45378</x:v>
      </x:c>
      <x:c r="D1456" s="4" t="str">
        <x:v>Sales operations manager</x:v>
      </x:c>
      <x:c r="E1456" s="4" t="str">
        <x:v>Spreadsheet import</x:v>
      </x:c>
      <x:c r="F1456" s="4" t="str">
        <x:v>Record captured</x:v>
      </x:c>
      <x:c r="G1456" s="4" t="str">
        <x:v>Handed over</x:v>
      </x:c>
    </x:row>
    <x:row r="1457" ht="34" customHeight="1">
      <x:c r="A1457" s="4" t="str">
        <x:v>RS-01456-E1</x:v>
      </x:c>
      <x:c r="B1457" s="4" t="str">
        <x:v>RS-01456</x:v>
      </x:c>
      <x:c r="C1457" s="8" t="n">
        <x:v>45379</x:v>
      </x:c>
      <x:c r="D1457" s="4" t="str">
        <x:v>Sales operations manager</x:v>
      </x:c>
      <x:c r="E1457" s="4" t="str">
        <x:v>WhatsApp transcribed</x:v>
      </x:c>
      <x:c r="F1457" s="4" t="str">
        <x:v>Record captured</x:v>
      </x:c>
      <x:c r="G1457" s="4" t="str">
        <x:v>Reserved</x:v>
      </x:c>
    </x:row>
    <x:row r="1458" ht="34" customHeight="1">
      <x:c r="A1458" s="4" t="str">
        <x:v>RS-01457-E1</x:v>
      </x:c>
      <x:c r="B1458" s="4" t="str">
        <x:v>RS-01457</x:v>
      </x:c>
      <x:c r="C1458" s="8" t="n">
        <x:v>45352</x:v>
      </x:c>
      <x:c r="D1458" s="4" t="str">
        <x:v>Sales operations manager</x:v>
      </x:c>
      <x:c r="E1458" s="4" t="str">
        <x:v>WhatsApp transcribed</x:v>
      </x:c>
      <x:c r="F1458" s="4" t="str">
        <x:v>Record captured</x:v>
      </x:c>
      <x:c r="G1458" s="4" t="str">
        <x:v>Agreement signed</x:v>
      </x:c>
    </x:row>
    <x:row r="1459" ht="34" customHeight="1">
      <x:c r="A1459" s="4" t="str">
        <x:v>RS-01458-E1</x:v>
      </x:c>
      <x:c r="B1459" s="4" t="str">
        <x:v>RS-01458</x:v>
      </x:c>
      <x:c r="C1459" s="8" t="n">
        <x:v>45353</x:v>
      </x:c>
      <x:c r="D1459" s="4" t="str">
        <x:v>Sales operations manager</x:v>
      </x:c>
      <x:c r="E1459" s="4" t="str">
        <x:v>Spreadsheet import</x:v>
      </x:c>
      <x:c r="F1459" s="4" t="str">
        <x:v>Record captured</x:v>
      </x:c>
      <x:c r="G1459" s="4" t="str">
        <x:v>Agreement signed</x:v>
      </x:c>
    </x:row>
    <x:row r="1460" ht="34" customHeight="1">
      <x:c r="A1460" s="4" t="str">
        <x:v>RS-01459-E1</x:v>
      </x:c>
      <x:c r="B1460" s="4" t="str">
        <x:v>RS-01459</x:v>
      </x:c>
      <x:c r="C1460" s="8" t="n">
        <x:v>45354</x:v>
      </x:c>
      <x:c r="D1460" s="4" t="str">
        <x:v>Sales operations manager</x:v>
      </x:c>
      <x:c r="E1460" s="4" t="str">
        <x:v>Paper transcribed</x:v>
      </x:c>
      <x:c r="F1460" s="4" t="str">
        <x:v>Record captured</x:v>
      </x:c>
      <x:c r="G1460" s="4" t="str">
        <x:v>Reserved</x:v>
      </x:c>
    </x:row>
    <x:row r="1461" ht="34" customHeight="1">
      <x:c r="A1461" s="4" t="str">
        <x:v>RS-01460-E1</x:v>
      </x:c>
      <x:c r="B1461" s="4" t="str">
        <x:v>RS-01460</x:v>
      </x:c>
      <x:c r="C1461" s="8" t="n">
        <x:v>45355</x:v>
      </x:c>
      <x:c r="D1461" s="4" t="str">
        <x:v>Sales operations manager</x:v>
      </x:c>
      <x:c r="E1461" s="4" t="str">
        <x:v>ERP form</x:v>
      </x:c>
      <x:c r="F1461" s="4" t="str">
        <x:v>Record captured</x:v>
      </x:c>
      <x:c r="G1461" s="4" t="str">
        <x:v>Reserved</x:v>
      </x:c>
    </x:row>
    <x:row r="1462" ht="34" customHeight="1">
      <x:c r="A1462" s="4" t="str">
        <x:v>RS-01461-E1</x:v>
      </x:c>
      <x:c r="B1462" s="4" t="str">
        <x:v>RS-01461</x:v>
      </x:c>
      <x:c r="C1462" s="8" t="n">
        <x:v>45356</x:v>
      </x:c>
      <x:c r="D1462" s="4" t="str">
        <x:v>Sales operations manager</x:v>
      </x:c>
      <x:c r="E1462" s="4" t="str">
        <x:v>Paper transcribed</x:v>
      </x:c>
      <x:c r="F1462" s="4" t="str">
        <x:v>Record captured</x:v>
      </x:c>
      <x:c r="G1462" s="4" t="str">
        <x:v>Cancelled</x:v>
      </x:c>
    </x:row>
    <x:row r="1463" ht="34" customHeight="1">
      <x:c r="A1463" s="4" t="str">
        <x:v>RS-01462-E1</x:v>
      </x:c>
      <x:c r="B1463" s="4" t="str">
        <x:v>RS-01462</x:v>
      </x:c>
      <x:c r="C1463" s="8" t="n">
        <x:v>45357</x:v>
      </x:c>
      <x:c r="D1463" s="4" t="str">
        <x:v>Sales operations manager</x:v>
      </x:c>
      <x:c r="E1463" s="4" t="str">
        <x:v>Paper transcribed</x:v>
      </x:c>
      <x:c r="F1463" s="4" t="str">
        <x:v>Record captured</x:v>
      </x:c>
      <x:c r="G1463" s="4" t="str">
        <x:v>Handed over</x:v>
      </x:c>
    </x:row>
    <x:row r="1464" ht="34" customHeight="1">
      <x:c r="A1464" s="4" t="str">
        <x:v>RS-01463-E1</x:v>
      </x:c>
      <x:c r="B1464" s="4" t="str">
        <x:v>RS-01463</x:v>
      </x:c>
      <x:c r="C1464" s="8" t="n">
        <x:v>45358</x:v>
      </x:c>
      <x:c r="D1464" s="4" t="str">
        <x:v>Sales operations manager</x:v>
      </x:c>
      <x:c r="E1464" s="4" t="str">
        <x:v>ERP form</x:v>
      </x:c>
      <x:c r="F1464" s="4" t="str">
        <x:v>Record captured</x:v>
      </x:c>
      <x:c r="G1464" s="4" t="str">
        <x:v>Reserved</x:v>
      </x:c>
    </x:row>
    <x:row r="1465" ht="34" customHeight="1">
      <x:c r="A1465" s="4" t="str">
        <x:v>RS-01464-E1</x:v>
      </x:c>
      <x:c r="B1465" s="4" t="str">
        <x:v>RS-01464</x:v>
      </x:c>
      <x:c r="C1465" s="8" t="n">
        <x:v>45359</x:v>
      </x:c>
      <x:c r="D1465" s="4" t="str">
        <x:v>Sales operations manager</x:v>
      </x:c>
      <x:c r="E1465" s="4" t="str">
        <x:v>ERP form</x:v>
      </x:c>
      <x:c r="F1465" s="4" t="str">
        <x:v>Record captured</x:v>
      </x:c>
      <x:c r="G1465" s="4" t="str">
        <x:v>Reserved</x:v>
      </x:c>
    </x:row>
    <x:row r="1466" ht="34" customHeight="1">
      <x:c r="A1466" s="4" t="str">
        <x:v>RS-01465-E1</x:v>
      </x:c>
      <x:c r="B1466" s="4" t="str">
        <x:v>RS-01465</x:v>
      </x:c>
      <x:c r="C1466" s="8" t="n">
        <x:v>45360</x:v>
      </x:c>
      <x:c r="D1466" s="4" t="str">
        <x:v>Sales operations manager</x:v>
      </x:c>
      <x:c r="E1466" s="4" t="str">
        <x:v>Paper transcribed</x:v>
      </x:c>
      <x:c r="F1466" s="4" t="str">
        <x:v>Record captured</x:v>
      </x:c>
      <x:c r="G1466" s="4" t="str">
        <x:v>Handed over</x:v>
      </x:c>
    </x:row>
    <x:row r="1467" ht="34" customHeight="1">
      <x:c r="A1467" s="4" t="str">
        <x:v>RS-01466-E1</x:v>
      </x:c>
      <x:c r="B1467" s="4" t="str">
        <x:v>RS-01466</x:v>
      </x:c>
      <x:c r="C1467" s="8" t="n">
        <x:v>45361</x:v>
      </x:c>
      <x:c r="D1467" s="4" t="str">
        <x:v>Sales operations manager</x:v>
      </x:c>
      <x:c r="E1467" s="4" t="str">
        <x:v>Spreadsheet import</x:v>
      </x:c>
      <x:c r="F1467" s="4" t="str">
        <x:v>Record captured</x:v>
      </x:c>
      <x:c r="G1467" s="4" t="str">
        <x:v>Enquiry</x:v>
      </x:c>
    </x:row>
    <x:row r="1468" ht="34" customHeight="1">
      <x:c r="A1468" s="4" t="str">
        <x:v>RS-01467-E1</x:v>
      </x:c>
      <x:c r="B1468" s="4" t="str">
        <x:v>RS-01467</x:v>
      </x:c>
      <x:c r="C1468" s="8" t="n">
        <x:v>45362</x:v>
      </x:c>
      <x:c r="D1468" s="4" t="str">
        <x:v>Sales operations manager</x:v>
      </x:c>
      <x:c r="E1468" s="4" t="str">
        <x:v>ERP form</x:v>
      </x:c>
      <x:c r="F1468" s="4" t="str">
        <x:v>Record captured</x:v>
      </x:c>
      <x:c r="G1468" s="4" t="str">
        <x:v>Agreement signed</x:v>
      </x:c>
    </x:row>
    <x:row r="1469" ht="34" customHeight="1">
      <x:c r="A1469" s="4" t="str">
        <x:v>RS-01468-E1</x:v>
      </x:c>
      <x:c r="B1469" s="4" t="str">
        <x:v>RS-01468</x:v>
      </x:c>
      <x:c r="C1469" s="8" t="n">
        <x:v>45363</x:v>
      </x:c>
      <x:c r="D1469" s="4" t="str">
        <x:v>Sales operations manager</x:v>
      </x:c>
      <x:c r="E1469" s="4" t="str">
        <x:v>Spreadsheet import</x:v>
      </x:c>
      <x:c r="F1469" s="4" t="str">
        <x:v>Record captured</x:v>
      </x:c>
      <x:c r="G1469" s="4" t="str">
        <x:v>Reserved</x:v>
      </x:c>
    </x:row>
    <x:row r="1470" ht="34" customHeight="1">
      <x:c r="A1470" s="4" t="str">
        <x:v>RS-01469-E1</x:v>
      </x:c>
      <x:c r="B1470" s="4" t="str">
        <x:v>RS-01469</x:v>
      </x:c>
      <x:c r="C1470" s="8" t="n">
        <x:v>45364</x:v>
      </x:c>
      <x:c r="D1470" s="4" t="str">
        <x:v>Sales operations manager</x:v>
      </x:c>
      <x:c r="E1470" s="4" t="str">
        <x:v>Spreadsheet import</x:v>
      </x:c>
      <x:c r="F1470" s="4" t="str">
        <x:v>Record captured</x:v>
      </x:c>
      <x:c r="G1470" s="4" t="str">
        <x:v>Reserved</x:v>
      </x:c>
    </x:row>
    <x:row r="1471" ht="34" customHeight="1">
      <x:c r="A1471" s="4" t="str">
        <x:v>RS-01470-E1</x:v>
      </x:c>
      <x:c r="B1471" s="4" t="str">
        <x:v>RS-01470</x:v>
      </x:c>
      <x:c r="C1471" s="8" t="n">
        <x:v>45365</x:v>
      </x:c>
      <x:c r="D1471" s="4" t="str">
        <x:v>Sales operations manager</x:v>
      </x:c>
      <x:c r="E1471" s="4" t="str">
        <x:v>ERP form</x:v>
      </x:c>
      <x:c r="F1471" s="4" t="str">
        <x:v>Record captured</x:v>
      </x:c>
      <x:c r="G1471" s="4" t="str">
        <x:v>Reserved</x:v>
      </x:c>
    </x:row>
    <x:row r="1472" ht="34" customHeight="1">
      <x:c r="A1472" s="4" t="str">
        <x:v>RS-01471-E1</x:v>
      </x:c>
      <x:c r="B1472" s="4" t="str">
        <x:v>RS-01471</x:v>
      </x:c>
      <x:c r="C1472" s="8" t="n">
        <x:v>45366</x:v>
      </x:c>
      <x:c r="D1472" s="4" t="str">
        <x:v>Sales operations manager</x:v>
      </x:c>
      <x:c r="E1472" s="4" t="str">
        <x:v>ERP form</x:v>
      </x:c>
      <x:c r="F1472" s="4" t="str">
        <x:v>Record captured</x:v>
      </x:c>
      <x:c r="G1472" s="4" t="str">
        <x:v>Enquiry</x:v>
      </x:c>
    </x:row>
    <x:row r="1473" ht="34" customHeight="1">
      <x:c r="A1473" s="4" t="str">
        <x:v>RS-01472-E1</x:v>
      </x:c>
      <x:c r="B1473" s="4" t="str">
        <x:v>RS-01472</x:v>
      </x:c>
      <x:c r="C1473" s="8" t="n">
        <x:v>45367</x:v>
      </x:c>
      <x:c r="D1473" s="4" t="str">
        <x:v>Sales operations manager</x:v>
      </x:c>
      <x:c r="E1473" s="4" t="str">
        <x:v>WhatsApp transcribed</x:v>
      </x:c>
      <x:c r="F1473" s="4" t="str">
        <x:v>Record captured</x:v>
      </x:c>
      <x:c r="G1473" s="4" t="str">
        <x:v>Handed over</x:v>
      </x:c>
    </x:row>
    <x:row r="1474" ht="34" customHeight="1">
      <x:c r="A1474" s="4" t="str">
        <x:v>RS-01473-E1</x:v>
      </x:c>
      <x:c r="B1474" s="4" t="str">
        <x:v>RS-01473</x:v>
      </x:c>
      <x:c r="C1474" s="8" t="n">
        <x:v>45368</x:v>
      </x:c>
      <x:c r="D1474" s="4" t="str">
        <x:v>Sales operations manager</x:v>
      </x:c>
      <x:c r="E1474" s="4" t="str">
        <x:v>Paper transcribed</x:v>
      </x:c>
      <x:c r="F1474" s="4" t="str">
        <x:v>Record captured</x:v>
      </x:c>
      <x:c r="G1474" s="4" t="str">
        <x:v>Booked</x:v>
      </x:c>
    </x:row>
    <x:row r="1475" ht="34" customHeight="1">
      <x:c r="A1475" s="4" t="str">
        <x:v>RS-01474-E1</x:v>
      </x:c>
      <x:c r="B1475" s="4" t="str">
        <x:v>RS-01474</x:v>
      </x:c>
      <x:c r="C1475" s="8" t="n">
        <x:v>45369</x:v>
      </x:c>
      <x:c r="D1475" s="4" t="str">
        <x:v>Sales operations manager</x:v>
      </x:c>
      <x:c r="E1475" s="4" t="str">
        <x:v>ERP form</x:v>
      </x:c>
      <x:c r="F1475" s="4" t="str">
        <x:v>Record captured</x:v>
      </x:c>
      <x:c r="G1475" s="4" t="str">
        <x:v>Cancelled</x:v>
      </x:c>
    </x:row>
    <x:row r="1476" ht="34" customHeight="1">
      <x:c r="A1476" s="4" t="str">
        <x:v>RS-01475-E1</x:v>
      </x:c>
      <x:c r="B1476" s="4" t="str">
        <x:v>RS-01475</x:v>
      </x:c>
      <x:c r="C1476" s="8" t="n">
        <x:v>45370</x:v>
      </x:c>
      <x:c r="D1476" s="4" t="str">
        <x:v>Sales operations manager</x:v>
      </x:c>
      <x:c r="E1476" s="4" t="str">
        <x:v>Paper transcribed</x:v>
      </x:c>
      <x:c r="F1476" s="4" t="str">
        <x:v>Record captured</x:v>
      </x:c>
      <x:c r="G1476" s="4" t="str">
        <x:v>Reserved</x:v>
      </x:c>
    </x:row>
    <x:row r="1477" ht="34" customHeight="1">
      <x:c r="A1477" s="4" t="str">
        <x:v>RS-01476-E1</x:v>
      </x:c>
      <x:c r="B1477" s="4" t="str">
        <x:v>RS-01476</x:v>
      </x:c>
      <x:c r="C1477" s="8" t="n">
        <x:v>45371</x:v>
      </x:c>
      <x:c r="D1477" s="4" t="str">
        <x:v>Sales operations manager</x:v>
      </x:c>
      <x:c r="E1477" s="4" t="str">
        <x:v>Spreadsheet import</x:v>
      </x:c>
      <x:c r="F1477" s="4" t="str">
        <x:v>Record captured</x:v>
      </x:c>
      <x:c r="G1477" s="4" t="str">
        <x:v>Handed over</x:v>
      </x:c>
    </x:row>
    <x:row r="1478" ht="34" customHeight="1">
      <x:c r="A1478" s="4" t="str">
        <x:v>RS-01477-E1</x:v>
      </x:c>
      <x:c r="B1478" s="4" t="str">
        <x:v>RS-01477</x:v>
      </x:c>
      <x:c r="C1478" s="8" t="n">
        <x:v>45372</x:v>
      </x:c>
      <x:c r="D1478" s="4" t="str">
        <x:v>Sales operations manager</x:v>
      </x:c>
      <x:c r="E1478" s="4" t="str">
        <x:v>WhatsApp transcribed</x:v>
      </x:c>
      <x:c r="F1478" s="4" t="str">
        <x:v>Record captured</x:v>
      </x:c>
      <x:c r="G1478" s="4" t="str">
        <x:v>Booked</x:v>
      </x:c>
    </x:row>
    <x:row r="1479" ht="34" customHeight="1">
      <x:c r="A1479" s="4" t="str">
        <x:v>RS-01478-E1</x:v>
      </x:c>
      <x:c r="B1479" s="4" t="str">
        <x:v>RS-01478</x:v>
      </x:c>
      <x:c r="C1479" s="8" t="n">
        <x:v>45373</x:v>
      </x:c>
      <x:c r="D1479" s="4" t="str">
        <x:v>Sales operations manager</x:v>
      </x:c>
      <x:c r="E1479" s="4" t="str">
        <x:v>Spreadsheet import</x:v>
      </x:c>
      <x:c r="F1479" s="4" t="str">
        <x:v>Record captured</x:v>
      </x:c>
      <x:c r="G1479" s="4" t="str">
        <x:v>Booked</x:v>
      </x:c>
    </x:row>
    <x:row r="1480" ht="34" customHeight="1">
      <x:c r="A1480" s="4" t="str">
        <x:v>RS-01479-E1</x:v>
      </x:c>
      <x:c r="B1480" s="4" t="str">
        <x:v>RS-01479</x:v>
      </x:c>
      <x:c r="C1480" s="8" t="n">
        <x:v>45374</x:v>
      </x:c>
      <x:c r="D1480" s="4" t="str">
        <x:v>Sales operations manager</x:v>
      </x:c>
      <x:c r="E1480" s="4" t="str">
        <x:v>WhatsApp transcribed</x:v>
      </x:c>
      <x:c r="F1480" s="4" t="str">
        <x:v>Record captured</x:v>
      </x:c>
      <x:c r="G1480" s="4" t="str">
        <x:v>Booked</x:v>
      </x:c>
    </x:row>
    <x:row r="1481" ht="34" customHeight="1">
      <x:c r="A1481" s="4" t="str">
        <x:v>RS-01480-E1</x:v>
      </x:c>
      <x:c r="B1481" s="4" t="str">
        <x:v>RS-01480</x:v>
      </x:c>
      <x:c r="C1481" s="8" t="n">
        <x:v>45375</x:v>
      </x:c>
      <x:c r="D1481" s="4" t="str">
        <x:v>Sales operations manager</x:v>
      </x:c>
      <x:c r="E1481" s="4" t="str">
        <x:v>ERP form</x:v>
      </x:c>
      <x:c r="F1481" s="4" t="str">
        <x:v>Record captured</x:v>
      </x:c>
      <x:c r="G1481" s="4" t="str">
        <x:v>Cancelled</x:v>
      </x:c>
    </x:row>
    <x:row r="1482" ht="34" customHeight="1">
      <x:c r="A1482" s="4" t="str">
        <x:v>RS-01481-E1</x:v>
      </x:c>
      <x:c r="B1482" s="4" t="str">
        <x:v>RS-01481</x:v>
      </x:c>
      <x:c r="C1482" s="8" t="n">
        <x:v>45376</x:v>
      </x:c>
      <x:c r="D1482" s="4" t="str">
        <x:v>Sales operations manager</x:v>
      </x:c>
      <x:c r="E1482" s="4" t="str">
        <x:v>Spreadsheet import</x:v>
      </x:c>
      <x:c r="F1482" s="4" t="str">
        <x:v>Record captured</x:v>
      </x:c>
      <x:c r="G1482" s="4" t="str">
        <x:v>Cancelled</x:v>
      </x:c>
    </x:row>
    <x:row r="1483" ht="34" customHeight="1">
      <x:c r="A1483" s="4" t="str">
        <x:v>RS-01482-E1</x:v>
      </x:c>
      <x:c r="B1483" s="4" t="str">
        <x:v>RS-01482</x:v>
      </x:c>
      <x:c r="C1483" s="8" t="n">
        <x:v>45377</x:v>
      </x:c>
      <x:c r="D1483" s="4" t="str">
        <x:v>Sales operations manager</x:v>
      </x:c>
      <x:c r="E1483" s="4" t="str">
        <x:v>WhatsApp transcribed</x:v>
      </x:c>
      <x:c r="F1483" s="4" t="str">
        <x:v>Record captured</x:v>
      </x:c>
      <x:c r="G1483" s="4" t="str">
        <x:v>Booked</x:v>
      </x:c>
    </x:row>
    <x:row r="1484" ht="34" customHeight="1">
      <x:c r="A1484" s="4" t="str">
        <x:v>RS-01483-E1</x:v>
      </x:c>
      <x:c r="B1484" s="4" t="str">
        <x:v>RS-01483</x:v>
      </x:c>
      <x:c r="C1484" s="8" t="n">
        <x:v>45378</x:v>
      </x:c>
      <x:c r="D1484" s="4" t="str">
        <x:v>Sales operations manager</x:v>
      </x:c>
      <x:c r="E1484" s="4" t="str">
        <x:v>ERP form</x:v>
      </x:c>
      <x:c r="F1484" s="4" t="str">
        <x:v>Record captured</x:v>
      </x:c>
      <x:c r="G1484" s="4" t="str">
        <x:v>Booked</x:v>
      </x:c>
    </x:row>
    <x:row r="1485" ht="34" customHeight="1">
      <x:c r="A1485" s="4" t="str">
        <x:v>RS-01484-E1</x:v>
      </x:c>
      <x:c r="B1485" s="4" t="str">
        <x:v>RS-01484</x:v>
      </x:c>
      <x:c r="C1485" s="8" t="n">
        <x:v>45379</x:v>
      </x:c>
      <x:c r="D1485" s="4" t="str">
        <x:v>Sales operations manager</x:v>
      </x:c>
      <x:c r="E1485" s="4" t="str">
        <x:v>Paper transcribed</x:v>
      </x:c>
      <x:c r="F1485" s="4" t="str">
        <x:v>Record captured</x:v>
      </x:c>
      <x:c r="G1485" s="4" t="str">
        <x:v>Enquiry</x:v>
      </x:c>
    </x:row>
    <x:row r="1486" ht="34" customHeight="1">
      <x:c r="A1486" s="4" t="str">
        <x:v>RS-01485-E1</x:v>
      </x:c>
      <x:c r="B1486" s="4" t="str">
        <x:v>RS-01485</x:v>
      </x:c>
      <x:c r="C1486" s="8" t="n">
        <x:v>45352</x:v>
      </x:c>
      <x:c r="D1486" s="4" t="str">
        <x:v>Sales operations manager</x:v>
      </x:c>
      <x:c r="E1486" s="4" t="str">
        <x:v>WhatsApp transcribed</x:v>
      </x:c>
      <x:c r="F1486" s="4" t="str">
        <x:v>Record captured</x:v>
      </x:c>
      <x:c r="G1486" s="4" t="str">
        <x:v>Agreement signed</x:v>
      </x:c>
    </x:row>
    <x:row r="1487" ht="34" customHeight="1">
      <x:c r="A1487" s="4" t="str">
        <x:v>RS-01486-E1</x:v>
      </x:c>
      <x:c r="B1487" s="4" t="str">
        <x:v>RS-01486</x:v>
      </x:c>
      <x:c r="C1487" s="8" t="n">
        <x:v>45353</x:v>
      </x:c>
      <x:c r="D1487" s="4" t="str">
        <x:v>Sales operations manager</x:v>
      </x:c>
      <x:c r="E1487" s="4" t="str">
        <x:v>ERP form</x:v>
      </x:c>
      <x:c r="F1487" s="4" t="str">
        <x:v>Record captured</x:v>
      </x:c>
      <x:c r="G1487" s="4" t="str">
        <x:v>Enquiry</x:v>
      </x:c>
    </x:row>
    <x:row r="1488" ht="34" customHeight="1">
      <x:c r="A1488" s="4" t="str">
        <x:v>RS-01487-E1</x:v>
      </x:c>
      <x:c r="B1488" s="4" t="str">
        <x:v>RS-01487</x:v>
      </x:c>
      <x:c r="C1488" s="8" t="n">
        <x:v>45354</x:v>
      </x:c>
      <x:c r="D1488" s="4" t="str">
        <x:v>Sales operations manager</x:v>
      </x:c>
      <x:c r="E1488" s="4" t="str">
        <x:v>Paper transcribed</x:v>
      </x:c>
      <x:c r="F1488" s="4" t="str">
        <x:v>Record captured</x:v>
      </x:c>
      <x:c r="G1488" s="4" t="str">
        <x:v>Booked</x:v>
      </x:c>
    </x:row>
    <x:row r="1489" ht="34" customHeight="1">
      <x:c r="A1489" s="4" t="str">
        <x:v>RS-01488-E1</x:v>
      </x:c>
      <x:c r="B1489" s="4" t="str">
        <x:v>RS-01488</x:v>
      </x:c>
      <x:c r="C1489" s="8" t="n">
        <x:v>45355</x:v>
      </x:c>
      <x:c r="D1489" s="4" t="str">
        <x:v>Sales operations manager</x:v>
      </x:c>
      <x:c r="E1489" s="4" t="str">
        <x:v>ERP form</x:v>
      </x:c>
      <x:c r="F1489" s="4" t="str">
        <x:v>Record captured</x:v>
      </x:c>
      <x:c r="G1489" s="4" t="str">
        <x:v>Handed over</x:v>
      </x:c>
    </x:row>
    <x:row r="1490" ht="34" customHeight="1">
      <x:c r="A1490" s="4" t="str">
        <x:v>RS-01489-E1</x:v>
      </x:c>
      <x:c r="B1490" s="4" t="str">
        <x:v>RS-01489</x:v>
      </x:c>
      <x:c r="C1490" s="8" t="n">
        <x:v>45356</x:v>
      </x:c>
      <x:c r="D1490" s="4" t="str">
        <x:v>Sales operations manager</x:v>
      </x:c>
      <x:c r="E1490" s="4" t="str">
        <x:v>WhatsApp transcribed</x:v>
      </x:c>
      <x:c r="F1490" s="4" t="str">
        <x:v>Record captured</x:v>
      </x:c>
      <x:c r="G1490" s="4" t="str">
        <x:v>Handed over</x:v>
      </x:c>
    </x:row>
    <x:row r="1491" ht="34" customHeight="1">
      <x:c r="A1491" s="4" t="str">
        <x:v>RS-01490-E1</x:v>
      </x:c>
      <x:c r="B1491" s="4" t="str">
        <x:v>RS-01490</x:v>
      </x:c>
      <x:c r="C1491" s="8" t="n">
        <x:v>45357</x:v>
      </x:c>
      <x:c r="D1491" s="4" t="str">
        <x:v>Sales operations manager</x:v>
      </x:c>
      <x:c r="E1491" s="4" t="str">
        <x:v>WhatsApp transcribed</x:v>
      </x:c>
      <x:c r="F1491" s="4" t="str">
        <x:v>Record captured</x:v>
      </x:c>
      <x:c r="G1491" s="4" t="str">
        <x:v>Enquiry</x:v>
      </x:c>
    </x:row>
    <x:row r="1492" ht="34" customHeight="1">
      <x:c r="A1492" s="4" t="str">
        <x:v>RS-01491-E1</x:v>
      </x:c>
      <x:c r="B1492" s="4" t="str">
        <x:v>RS-01491</x:v>
      </x:c>
      <x:c r="C1492" s="8" t="n">
        <x:v>45358</x:v>
      </x:c>
      <x:c r="D1492" s="4" t="str">
        <x:v>Sales operations manager</x:v>
      </x:c>
      <x:c r="E1492" s="4" t="str">
        <x:v>Paper transcribed</x:v>
      </x:c>
      <x:c r="F1492" s="4" t="str">
        <x:v>Record captured</x:v>
      </x:c>
      <x:c r="G1492" s="4" t="str">
        <x:v>Cancelled</x:v>
      </x:c>
    </x:row>
    <x:row r="1493" ht="34" customHeight="1">
      <x:c r="A1493" s="4" t="str">
        <x:v>RS-01492-E1</x:v>
      </x:c>
      <x:c r="B1493" s="4" t="str">
        <x:v>RS-01492</x:v>
      </x:c>
      <x:c r="C1493" s="8" t="n">
        <x:v>45359</x:v>
      </x:c>
      <x:c r="D1493" s="4" t="str">
        <x:v>Sales operations manager</x:v>
      </x:c>
      <x:c r="E1493" s="4" t="str">
        <x:v>WhatsApp transcribed</x:v>
      </x:c>
      <x:c r="F1493" s="4" t="str">
        <x:v>Record captured</x:v>
      </x:c>
      <x:c r="G1493" s="4" t="str">
        <x:v>Handed over</x:v>
      </x:c>
    </x:row>
    <x:row r="1494" ht="34" customHeight="1">
      <x:c r="A1494" s="4" t="str">
        <x:v>RS-01493-E1</x:v>
      </x:c>
      <x:c r="B1494" s="4" t="str">
        <x:v>RS-01493</x:v>
      </x:c>
      <x:c r="C1494" s="8" t="n">
        <x:v>45360</x:v>
      </x:c>
      <x:c r="D1494" s="4" t="str">
        <x:v>Sales operations manager</x:v>
      </x:c>
      <x:c r="E1494" s="4" t="str">
        <x:v>Spreadsheet import</x:v>
      </x:c>
      <x:c r="F1494" s="4" t="str">
        <x:v>Record captured</x:v>
      </x:c>
      <x:c r="G1494" s="4" t="str">
        <x:v>Reserved</x:v>
      </x:c>
    </x:row>
    <x:row r="1495" ht="34" customHeight="1">
      <x:c r="A1495" s="4" t="str">
        <x:v>RS-01494-E1</x:v>
      </x:c>
      <x:c r="B1495" s="4" t="str">
        <x:v>RS-01494</x:v>
      </x:c>
      <x:c r="C1495" s="8" t="n">
        <x:v>45361</x:v>
      </x:c>
      <x:c r="D1495" s="4" t="str">
        <x:v>Sales operations manager</x:v>
      </x:c>
      <x:c r="E1495" s="4" t="str">
        <x:v>Paper transcribed</x:v>
      </x:c>
      <x:c r="F1495" s="4" t="str">
        <x:v>Record captured</x:v>
      </x:c>
      <x:c r="G1495" s="4" t="str">
        <x:v>Booked</x:v>
      </x:c>
    </x:row>
    <x:row r="1496" ht="34" customHeight="1">
      <x:c r="A1496" s="4" t="str">
        <x:v>RS-01495-E1</x:v>
      </x:c>
      <x:c r="B1496" s="4" t="str">
        <x:v>RS-01495</x:v>
      </x:c>
      <x:c r="C1496" s="8" t="n">
        <x:v>45362</x:v>
      </x:c>
      <x:c r="D1496" s="4" t="str">
        <x:v>Sales operations manager</x:v>
      </x:c>
      <x:c r="E1496" s="4" t="str">
        <x:v>WhatsApp transcribed</x:v>
      </x:c>
      <x:c r="F1496" s="4" t="str">
        <x:v>Record captured</x:v>
      </x:c>
      <x:c r="G1496" s="4" t="str">
        <x:v>Reserved</x:v>
      </x:c>
    </x:row>
    <x:row r="1497" ht="34" customHeight="1">
      <x:c r="A1497" s="4" t="str">
        <x:v>RS-01496-E1</x:v>
      </x:c>
      <x:c r="B1497" s="4" t="str">
        <x:v>RS-01496</x:v>
      </x:c>
      <x:c r="C1497" s="8" t="n">
        <x:v>45363</x:v>
      </x:c>
      <x:c r="D1497" s="4" t="str">
        <x:v>Sales operations manager</x:v>
      </x:c>
      <x:c r="E1497" s="4" t="str">
        <x:v>Spreadsheet import</x:v>
      </x:c>
      <x:c r="F1497" s="4" t="str">
        <x:v>Record captured</x:v>
      </x:c>
      <x:c r="G1497" s="4" t="str">
        <x:v>Reserved</x:v>
      </x:c>
    </x:row>
    <x:row r="1498" ht="34" customHeight="1">
      <x:c r="A1498" s="4" t="str">
        <x:v>RS-01497-E1</x:v>
      </x:c>
      <x:c r="B1498" s="4" t="str">
        <x:v>RS-01497</x:v>
      </x:c>
      <x:c r="C1498" s="8" t="n">
        <x:v>45364</x:v>
      </x:c>
      <x:c r="D1498" s="4" t="str">
        <x:v>Sales operations manager</x:v>
      </x:c>
      <x:c r="E1498" s="4" t="str">
        <x:v>Spreadsheet import</x:v>
      </x:c>
      <x:c r="F1498" s="4" t="str">
        <x:v>Record captured</x:v>
      </x:c>
      <x:c r="G1498" s="4" t="str">
        <x:v>Agreement signed</x:v>
      </x:c>
    </x:row>
    <x:row r="1499" ht="34" customHeight="1">
      <x:c r="A1499" s="4" t="str">
        <x:v>RS-01498-E1</x:v>
      </x:c>
      <x:c r="B1499" s="4" t="str">
        <x:v>RS-01498</x:v>
      </x:c>
      <x:c r="C1499" s="8" t="n">
        <x:v>45365</x:v>
      </x:c>
      <x:c r="D1499" s="4" t="str">
        <x:v>Sales operations manager</x:v>
      </x:c>
      <x:c r="E1499" s="4" t="str">
        <x:v>Paper transcribed</x:v>
      </x:c>
      <x:c r="F1499" s="4" t="str">
        <x:v>Record captured</x:v>
      </x:c>
      <x:c r="G1499" s="4" t="str">
        <x:v>Booked</x:v>
      </x:c>
    </x:row>
    <x:row r="1500" ht="34" customHeight="1">
      <x:c r="A1500" s="4" t="str">
        <x:v>RS-01499-E1</x:v>
      </x:c>
      <x:c r="B1500" s="4" t="str">
        <x:v>RS-01499</x:v>
      </x:c>
      <x:c r="C1500" s="8" t="n">
        <x:v>45366</x:v>
      </x:c>
      <x:c r="D1500" s="4" t="str">
        <x:v>Sales operations manager</x:v>
      </x:c>
      <x:c r="E1500" s="4" t="str">
        <x:v>Spreadsheet import</x:v>
      </x:c>
      <x:c r="F1500" s="4" t="str">
        <x:v>Record captured</x:v>
      </x:c>
      <x:c r="G1500" s="4" t="str">
        <x:v>Handed over</x:v>
      </x:c>
    </x:row>
    <x:row r="1501" ht="34" customHeight="1">
      <x:c r="A1501" s="4" t="str">
        <x:v>RS-01500-E1</x:v>
      </x:c>
      <x:c r="B1501" s="4" t="str">
        <x:v>RS-01500</x:v>
      </x:c>
      <x:c r="C1501" s="8" t="n">
        <x:v>45367</x:v>
      </x:c>
      <x:c r="D1501" s="4" t="str">
        <x:v>Sales operations manager</x:v>
      </x:c>
      <x:c r="E1501" s="4" t="str">
        <x:v>WhatsApp transcribed</x:v>
      </x:c>
      <x:c r="F1501" s="4" t="str">
        <x:v>Record captured</x:v>
      </x:c>
      <x:c r="G1501" s="4" t="str">
        <x:v>Reserved</x:v>
      </x:c>
    </x:row>
    <x:row r="1502" ht="34" customHeight="1">
      <x:c r="A1502" s="4" t="str">
        <x:v>RS-01501-E1</x:v>
      </x:c>
      <x:c r="B1502" s="4" t="str">
        <x:v>RS-01501</x:v>
      </x:c>
      <x:c r="C1502" s="8" t="n">
        <x:v>45399</x:v>
      </x:c>
      <x:c r="D1502" s="4" t="str">
        <x:v>Sales operations manager</x:v>
      </x:c>
      <x:c r="E1502" s="4" t="str">
        <x:v>ERP form</x:v>
      </x:c>
      <x:c r="F1502" s="4" t="str">
        <x:v>Record captured</x:v>
      </x:c>
      <x:c r="G1502" s="4" t="str">
        <x:v>Handed over</x:v>
      </x:c>
    </x:row>
    <x:row r="1503" ht="34" customHeight="1">
      <x:c r="A1503" s="4" t="str">
        <x:v>RS-01502-E1</x:v>
      </x:c>
      <x:c r="B1503" s="4" t="str">
        <x:v>RS-01502</x:v>
      </x:c>
      <x:c r="C1503" s="8" t="n">
        <x:v>45400</x:v>
      </x:c>
      <x:c r="D1503" s="4" t="str">
        <x:v>Sales operations manager</x:v>
      </x:c>
      <x:c r="E1503" s="4" t="str">
        <x:v>Paper transcribed</x:v>
      </x:c>
      <x:c r="F1503" s="4" t="str">
        <x:v>Record captured</x:v>
      </x:c>
      <x:c r="G1503" s="4" t="str">
        <x:v>Enquiry</x:v>
      </x:c>
    </x:row>
    <x:row r="1504" ht="34" customHeight="1">
      <x:c r="A1504" s="4" t="str">
        <x:v>RS-01503-E1</x:v>
      </x:c>
      <x:c r="B1504" s="4" t="str">
        <x:v>RS-01503</x:v>
      </x:c>
      <x:c r="C1504" s="8" t="n">
        <x:v>45401</x:v>
      </x:c>
      <x:c r="D1504" s="4" t="str">
        <x:v>Sales operations manager</x:v>
      </x:c>
      <x:c r="E1504" s="4" t="str">
        <x:v>ERP form</x:v>
      </x:c>
      <x:c r="F1504" s="4" t="str">
        <x:v>Record captured</x:v>
      </x:c>
      <x:c r="G1504" s="4" t="str">
        <x:v>Agreement signed</x:v>
      </x:c>
    </x:row>
    <x:row r="1505" ht="34" customHeight="1">
      <x:c r="A1505" s="4" t="str">
        <x:v>RS-01504-E1</x:v>
      </x:c>
      <x:c r="B1505" s="4" t="str">
        <x:v>RS-01504</x:v>
      </x:c>
      <x:c r="C1505" s="8" t="n">
        <x:v>45402</x:v>
      </x:c>
      <x:c r="D1505" s="4" t="str">
        <x:v>Sales operations manager</x:v>
      </x:c>
      <x:c r="E1505" s="4" t="str">
        <x:v>Spreadsheet import</x:v>
      </x:c>
      <x:c r="F1505" s="4" t="str">
        <x:v>Record captured</x:v>
      </x:c>
      <x:c r="G1505" s="4" t="str">
        <x:v>Booked</x:v>
      </x:c>
    </x:row>
    <x:row r="1506" ht="34" customHeight="1">
      <x:c r="A1506" s="4" t="str">
        <x:v>RS-01505-E1</x:v>
      </x:c>
      <x:c r="B1506" s="4" t="str">
        <x:v>RS-01505</x:v>
      </x:c>
      <x:c r="C1506" s="8" t="n">
        <x:v>45403</x:v>
      </x:c>
      <x:c r="D1506" s="4" t="str">
        <x:v>Sales operations manager</x:v>
      </x:c>
      <x:c r="E1506" s="4" t="str">
        <x:v>Paper transcribed</x:v>
      </x:c>
      <x:c r="F1506" s="4" t="str">
        <x:v>Record captured</x:v>
      </x:c>
      <x:c r="G1506" s="4" t="str">
        <x:v>Agreement signed</x:v>
      </x:c>
    </x:row>
    <x:row r="1507" ht="34" customHeight="1">
      <x:c r="A1507" s="4" t="str">
        <x:v>RS-01506-E1</x:v>
      </x:c>
      <x:c r="B1507" s="4" t="str">
        <x:v>RS-01506</x:v>
      </x:c>
      <x:c r="C1507" s="8" t="n">
        <x:v>45404</x:v>
      </x:c>
      <x:c r="D1507" s="4" t="str">
        <x:v>Sales operations manager</x:v>
      </x:c>
      <x:c r="E1507" s="4" t="str">
        <x:v>WhatsApp transcribed</x:v>
      </x:c>
      <x:c r="F1507" s="4" t="str">
        <x:v>Record captured</x:v>
      </x:c>
      <x:c r="G1507" s="4" t="str">
        <x:v>Cancelled</x:v>
      </x:c>
    </x:row>
    <x:row r="1508" ht="34" customHeight="1">
      <x:c r="A1508" s="4" t="str">
        <x:v>RS-01507-E1</x:v>
      </x:c>
      <x:c r="B1508" s="4" t="str">
        <x:v>RS-01507</x:v>
      </x:c>
      <x:c r="C1508" s="8" t="n">
        <x:v>45405</x:v>
      </x:c>
      <x:c r="D1508" s="4" t="str">
        <x:v>Sales operations manager</x:v>
      </x:c>
      <x:c r="E1508" s="4" t="str">
        <x:v>Spreadsheet import</x:v>
      </x:c>
      <x:c r="F1508" s="4" t="str">
        <x:v>Record captured</x:v>
      </x:c>
      <x:c r="G1508" s="4" t="str">
        <x:v>Reserved</x:v>
      </x:c>
    </x:row>
    <x:row r="1509" ht="34" customHeight="1">
      <x:c r="A1509" s="4" t="str">
        <x:v>RS-01508-E1</x:v>
      </x:c>
      <x:c r="B1509" s="4" t="str">
        <x:v>RS-01508</x:v>
      </x:c>
      <x:c r="C1509" s="8" t="n">
        <x:v>45406</x:v>
      </x:c>
      <x:c r="D1509" s="4" t="str">
        <x:v>Sales operations manager</x:v>
      </x:c>
      <x:c r="E1509" s="4" t="str">
        <x:v>ERP form</x:v>
      </x:c>
      <x:c r="F1509" s="4" t="str">
        <x:v>Record captured</x:v>
      </x:c>
      <x:c r="G1509" s="4" t="str">
        <x:v>Cancelled</x:v>
      </x:c>
    </x:row>
    <x:row r="1510" ht="34" customHeight="1">
      <x:c r="A1510" s="4" t="str">
        <x:v>RS-01509-E1</x:v>
      </x:c>
      <x:c r="B1510" s="4" t="str">
        <x:v>RS-01509</x:v>
      </x:c>
      <x:c r="C1510" s="8" t="n">
        <x:v>45407</x:v>
      </x:c>
      <x:c r="D1510" s="4" t="str">
        <x:v>Sales operations manager</x:v>
      </x:c>
      <x:c r="E1510" s="4" t="str">
        <x:v>ERP form</x:v>
      </x:c>
      <x:c r="F1510" s="4" t="str">
        <x:v>Record captured</x:v>
      </x:c>
      <x:c r="G1510" s="4" t="str">
        <x:v>Reserved</x:v>
      </x:c>
    </x:row>
    <x:row r="1511" ht="34" customHeight="1">
      <x:c r="A1511" s="4" t="str">
        <x:v>RS-01510-E1</x:v>
      </x:c>
      <x:c r="B1511" s="4" t="str">
        <x:v>RS-01510</x:v>
      </x:c>
      <x:c r="C1511" s="8" t="n">
        <x:v>45408</x:v>
      </x:c>
      <x:c r="D1511" s="4" t="str">
        <x:v>Sales operations manager</x:v>
      </x:c>
      <x:c r="E1511" s="4" t="str">
        <x:v>Paper transcribed</x:v>
      </x:c>
      <x:c r="F1511" s="4" t="str">
        <x:v>Record captured</x:v>
      </x:c>
      <x:c r="G1511" s="4" t="str">
        <x:v>Enquiry</x:v>
      </x:c>
    </x:row>
    <x:row r="1512" ht="34" customHeight="1">
      <x:c r="A1512" s="4" t="str">
        <x:v>RS-01511-E1</x:v>
      </x:c>
      <x:c r="B1512" s="4" t="str">
        <x:v>RS-01511</x:v>
      </x:c>
      <x:c r="C1512" s="8" t="n">
        <x:v>45409</x:v>
      </x:c>
      <x:c r="D1512" s="4" t="str">
        <x:v>Sales operations manager</x:v>
      </x:c>
      <x:c r="E1512" s="4" t="str">
        <x:v>WhatsApp transcribed</x:v>
      </x:c>
      <x:c r="F1512" s="4" t="str">
        <x:v>Record captured</x:v>
      </x:c>
      <x:c r="G1512" s="4" t="str">
        <x:v>Reserved</x:v>
      </x:c>
    </x:row>
    <x:row r="1513" ht="34" customHeight="1">
      <x:c r="A1513" s="4" t="str">
        <x:v>RS-01512-E1</x:v>
      </x:c>
      <x:c r="B1513" s="4" t="str">
        <x:v>RS-01512</x:v>
      </x:c>
      <x:c r="C1513" s="8" t="n">
        <x:v>45410</x:v>
      </x:c>
      <x:c r="D1513" s="4" t="str">
        <x:v>Sales operations manager</x:v>
      </x:c>
      <x:c r="E1513" s="4" t="str">
        <x:v>ERP form</x:v>
      </x:c>
      <x:c r="F1513" s="4" t="str">
        <x:v>Record captured</x:v>
      </x:c>
      <x:c r="G1513" s="4" t="str">
        <x:v>Cancelled</x:v>
      </x:c>
    </x:row>
    <x:row r="1514" ht="34" customHeight="1">
      <x:c r="A1514" s="4" t="str">
        <x:v>RS-01513-E1</x:v>
      </x:c>
      <x:c r="B1514" s="4" t="str">
        <x:v>RS-01513</x:v>
      </x:c>
      <x:c r="C1514" s="8" t="n">
        <x:v>45383</x:v>
      </x:c>
      <x:c r="D1514" s="4" t="str">
        <x:v>Sales operations manager</x:v>
      </x:c>
      <x:c r="E1514" s="4" t="str">
        <x:v>Spreadsheet import</x:v>
      </x:c>
      <x:c r="F1514" s="4" t="str">
        <x:v>Record captured</x:v>
      </x:c>
      <x:c r="G1514" s="4" t="str">
        <x:v>Cancelled</x:v>
      </x:c>
    </x:row>
    <x:row r="1515" ht="34" customHeight="1">
      <x:c r="A1515" s="4" t="str">
        <x:v>RS-01514-E1</x:v>
      </x:c>
      <x:c r="B1515" s="4" t="str">
        <x:v>RS-01514</x:v>
      </x:c>
      <x:c r="C1515" s="8" t="n">
        <x:v>45384</x:v>
      </x:c>
      <x:c r="D1515" s="4" t="str">
        <x:v>Sales operations manager</x:v>
      </x:c>
      <x:c r="E1515" s="4" t="str">
        <x:v>WhatsApp transcribed</x:v>
      </x:c>
      <x:c r="F1515" s="4" t="str">
        <x:v>Record captured</x:v>
      </x:c>
      <x:c r="G1515" s="4" t="str">
        <x:v>Cancelled</x:v>
      </x:c>
    </x:row>
    <x:row r="1516" ht="34" customHeight="1">
      <x:c r="A1516" s="4" t="str">
        <x:v>RS-01515-E1</x:v>
      </x:c>
      <x:c r="B1516" s="4" t="str">
        <x:v>RS-01515</x:v>
      </x:c>
      <x:c r="C1516" s="8" t="n">
        <x:v>45385</x:v>
      </x:c>
      <x:c r="D1516" s="4" t="str">
        <x:v>Sales operations manager</x:v>
      </x:c>
      <x:c r="E1516" s="4" t="str">
        <x:v>ERP form</x:v>
      </x:c>
      <x:c r="F1516" s="4" t="str">
        <x:v>Record captured</x:v>
      </x:c>
      <x:c r="G1516" s="4" t="str">
        <x:v>Enquiry</x:v>
      </x:c>
    </x:row>
    <x:row r="1517" ht="34" customHeight="1">
      <x:c r="A1517" s="4" t="str">
        <x:v>RS-01516-E1</x:v>
      </x:c>
      <x:c r="B1517" s="4" t="str">
        <x:v>RS-01516</x:v>
      </x:c>
      <x:c r="C1517" s="8" t="n">
        <x:v>45386</x:v>
      </x:c>
      <x:c r="D1517" s="4" t="str">
        <x:v>Sales operations manager</x:v>
      </x:c>
      <x:c r="E1517" s="4" t="str">
        <x:v>ERP form</x:v>
      </x:c>
      <x:c r="F1517" s="4" t="str">
        <x:v>Record captured</x:v>
      </x:c>
      <x:c r="G1517" s="4" t="str">
        <x:v>Enquiry</x:v>
      </x:c>
    </x:row>
    <x:row r="1518" ht="34" customHeight="1">
      <x:c r="A1518" s="4" t="str">
        <x:v>RS-01517-E1</x:v>
      </x:c>
      <x:c r="B1518" s="4" t="str">
        <x:v>RS-01517</x:v>
      </x:c>
      <x:c r="C1518" s="8" t="n">
        <x:v>45387</x:v>
      </x:c>
      <x:c r="D1518" s="4" t="str">
        <x:v>Sales operations manager</x:v>
      </x:c>
      <x:c r="E1518" s="4" t="str">
        <x:v>Spreadsheet import</x:v>
      </x:c>
      <x:c r="F1518" s="4" t="str">
        <x:v>Record captured</x:v>
      </x:c>
      <x:c r="G1518" s="4" t="str">
        <x:v>Enquiry</x:v>
      </x:c>
    </x:row>
    <x:row r="1519" ht="34" customHeight="1">
      <x:c r="A1519" s="4" t="str">
        <x:v>RS-01518-E1</x:v>
      </x:c>
      <x:c r="B1519" s="4" t="str">
        <x:v>RS-01518</x:v>
      </x:c>
      <x:c r="C1519" s="8" t="n">
        <x:v>45388</x:v>
      </x:c>
      <x:c r="D1519" s="4" t="str">
        <x:v>Sales operations manager</x:v>
      </x:c>
      <x:c r="E1519" s="4" t="str">
        <x:v>WhatsApp transcribed</x:v>
      </x:c>
      <x:c r="F1519" s="4" t="str">
        <x:v>Record captured</x:v>
      </x:c>
      <x:c r="G1519" s="4" t="str">
        <x:v>Booked</x:v>
      </x:c>
    </x:row>
    <x:row r="1520" ht="34" customHeight="1">
      <x:c r="A1520" s="4" t="str">
        <x:v>RS-01519-E1</x:v>
      </x:c>
      <x:c r="B1520" s="4" t="str">
        <x:v>RS-01519</x:v>
      </x:c>
      <x:c r="C1520" s="8" t="n">
        <x:v>45389</x:v>
      </x:c>
      <x:c r="D1520" s="4" t="str">
        <x:v>Sales operations manager</x:v>
      </x:c>
      <x:c r="E1520" s="4" t="str">
        <x:v>WhatsApp transcribed</x:v>
      </x:c>
      <x:c r="F1520" s="4" t="str">
        <x:v>Record captured</x:v>
      </x:c>
      <x:c r="G1520" s="4" t="str">
        <x:v>Agreement signed</x:v>
      </x:c>
    </x:row>
    <x:row r="1521" ht="34" customHeight="1">
      <x:c r="A1521" s="4" t="str">
        <x:v>RS-01520-E1</x:v>
      </x:c>
      <x:c r="B1521" s="4" t="str">
        <x:v>RS-01520</x:v>
      </x:c>
      <x:c r="C1521" s="8" t="n">
        <x:v>45390</x:v>
      </x:c>
      <x:c r="D1521" s="4" t="str">
        <x:v>Sales operations manager</x:v>
      </x:c>
      <x:c r="E1521" s="4" t="str">
        <x:v>Spreadsheet import</x:v>
      </x:c>
      <x:c r="F1521" s="4" t="str">
        <x:v>Record captured</x:v>
      </x:c>
      <x:c r="G1521" s="4" t="str">
        <x:v>Agreement signed</x:v>
      </x:c>
    </x:row>
    <x:row r="1522" ht="34" customHeight="1">
      <x:c r="A1522" s="4" t="str">
        <x:v>RS-01521-E1</x:v>
      </x:c>
      <x:c r="B1522" s="4" t="str">
        <x:v>RS-01521</x:v>
      </x:c>
      <x:c r="C1522" s="8" t="n">
        <x:v>45391</x:v>
      </x:c>
      <x:c r="D1522" s="4" t="str">
        <x:v>Sales operations manager</x:v>
      </x:c>
      <x:c r="E1522" s="4" t="str">
        <x:v>ERP form</x:v>
      </x:c>
      <x:c r="F1522" s="4" t="str">
        <x:v>Record captured</x:v>
      </x:c>
      <x:c r="G1522" s="4" t="str">
        <x:v>Enquiry</x:v>
      </x:c>
    </x:row>
    <x:row r="1523" ht="34" customHeight="1">
      <x:c r="A1523" s="4" t="str">
        <x:v>RS-01522-E1</x:v>
      </x:c>
      <x:c r="B1523" s="4" t="str">
        <x:v>RS-01522</x:v>
      </x:c>
      <x:c r="C1523" s="8" t="n">
        <x:v>45392</x:v>
      </x:c>
      <x:c r="D1523" s="4" t="str">
        <x:v>Sales operations manager</x:v>
      </x:c>
      <x:c r="E1523" s="4" t="str">
        <x:v>ERP form</x:v>
      </x:c>
      <x:c r="F1523" s="4" t="str">
        <x:v>Record captured</x:v>
      </x:c>
      <x:c r="G1523" s="4" t="str">
        <x:v>Booked</x:v>
      </x:c>
    </x:row>
    <x:row r="1524" ht="34" customHeight="1">
      <x:c r="A1524" s="4" t="str">
        <x:v>RS-01523-E1</x:v>
      </x:c>
      <x:c r="B1524" s="4" t="str">
        <x:v>RS-01523</x:v>
      </x:c>
      <x:c r="C1524" s="8" t="n">
        <x:v>45393</x:v>
      </x:c>
      <x:c r="D1524" s="4" t="str">
        <x:v>Sales operations manager</x:v>
      </x:c>
      <x:c r="E1524" s="4" t="str">
        <x:v>Spreadsheet import</x:v>
      </x:c>
      <x:c r="F1524" s="4" t="str">
        <x:v>Record captured</x:v>
      </x:c>
      <x:c r="G1524" s="4" t="str">
        <x:v>Reserved</x:v>
      </x:c>
    </x:row>
    <x:row r="1525" ht="34" customHeight="1">
      <x:c r="A1525" s="4" t="str">
        <x:v>RS-01524-E1</x:v>
      </x:c>
      <x:c r="B1525" s="4" t="str">
        <x:v>RS-01524</x:v>
      </x:c>
      <x:c r="C1525" s="8" t="n">
        <x:v>45394</x:v>
      </x:c>
      <x:c r="D1525" s="4" t="str">
        <x:v>Sales operations manager</x:v>
      </x:c>
      <x:c r="E1525" s="4" t="str">
        <x:v>ERP form</x:v>
      </x:c>
      <x:c r="F1525" s="4" t="str">
        <x:v>Record captured</x:v>
      </x:c>
      <x:c r="G1525" s="4" t="str">
        <x:v>Cancelled</x:v>
      </x:c>
    </x:row>
    <x:row r="1526" ht="34" customHeight="1">
      <x:c r="A1526" s="4" t="str">
        <x:v>RS-01525-E1</x:v>
      </x:c>
      <x:c r="B1526" s="4" t="str">
        <x:v>RS-01525</x:v>
      </x:c>
      <x:c r="C1526" s="8" t="n">
        <x:v>45395</x:v>
      </x:c>
      <x:c r="D1526" s="4" t="str">
        <x:v>Sales operations manager</x:v>
      </x:c>
      <x:c r="E1526" s="4" t="str">
        <x:v>Spreadsheet import</x:v>
      </x:c>
      <x:c r="F1526" s="4" t="str">
        <x:v>Record captured</x:v>
      </x:c>
      <x:c r="G1526" s="4" t="str">
        <x:v>Enquiry</x:v>
      </x:c>
    </x:row>
    <x:row r="1527" ht="34" customHeight="1">
      <x:c r="A1527" s="4" t="str">
        <x:v>RS-01526-E1</x:v>
      </x:c>
      <x:c r="B1527" s="4" t="str">
        <x:v>RS-01526</x:v>
      </x:c>
      <x:c r="C1527" s="8" t="n">
        <x:v>45396</x:v>
      </x:c>
      <x:c r="D1527" s="4" t="str">
        <x:v>Sales operations manager</x:v>
      </x:c>
      <x:c r="E1527" s="4" t="str">
        <x:v>WhatsApp transcribed</x:v>
      </x:c>
      <x:c r="F1527" s="4" t="str">
        <x:v>Record captured</x:v>
      </x:c>
      <x:c r="G1527" s="4" t="str">
        <x:v>Agreement signed</x:v>
      </x:c>
    </x:row>
    <x:row r="1528" ht="34" customHeight="1">
      <x:c r="A1528" s="4" t="str">
        <x:v>RS-01527-E1</x:v>
      </x:c>
      <x:c r="B1528" s="4" t="str">
        <x:v>RS-01527</x:v>
      </x:c>
      <x:c r="C1528" s="8" t="n">
        <x:v>45397</x:v>
      </x:c>
      <x:c r="D1528" s="4" t="str">
        <x:v>Sales operations manager</x:v>
      </x:c>
      <x:c r="E1528" s="4" t="str">
        <x:v>Paper transcribed</x:v>
      </x:c>
      <x:c r="F1528" s="4" t="str">
        <x:v>Record captured</x:v>
      </x:c>
      <x:c r="G1528" s="4" t="str">
        <x:v>Handed over</x:v>
      </x:c>
    </x:row>
    <x:row r="1529" ht="34" customHeight="1">
      <x:c r="A1529" s="4" t="str">
        <x:v>RS-01528-E1</x:v>
      </x:c>
      <x:c r="B1529" s="4" t="str">
        <x:v>RS-01528</x:v>
      </x:c>
      <x:c r="C1529" s="8" t="n">
        <x:v>45398</x:v>
      </x:c>
      <x:c r="D1529" s="4" t="str">
        <x:v>Sales operations manager</x:v>
      </x:c>
      <x:c r="E1529" s="4" t="str">
        <x:v>Spreadsheet import</x:v>
      </x:c>
      <x:c r="F1529" s="4" t="str">
        <x:v>Record captured</x:v>
      </x:c>
      <x:c r="G1529" s="4" t="str">
        <x:v>Cancelled</x:v>
      </x:c>
    </x:row>
    <x:row r="1530" ht="34" customHeight="1">
      <x:c r="A1530" s="4" t="str">
        <x:v>RS-01529-E1</x:v>
      </x:c>
      <x:c r="B1530" s="4" t="str">
        <x:v>RS-01529</x:v>
      </x:c>
      <x:c r="C1530" s="8" t="n">
        <x:v>45399</x:v>
      </x:c>
      <x:c r="D1530" s="4" t="str">
        <x:v>Sales operations manager</x:v>
      </x:c>
      <x:c r="E1530" s="4" t="str">
        <x:v>WhatsApp transcribed</x:v>
      </x:c>
      <x:c r="F1530" s="4" t="str">
        <x:v>Record captured</x:v>
      </x:c>
      <x:c r="G1530" s="4" t="str">
        <x:v>Handed over</x:v>
      </x:c>
    </x:row>
    <x:row r="1531" ht="34" customHeight="1">
      <x:c r="A1531" s="4" t="str">
        <x:v>RS-01530-E1</x:v>
      </x:c>
      <x:c r="B1531" s="4" t="str">
        <x:v>RS-01530</x:v>
      </x:c>
      <x:c r="C1531" s="8" t="n">
        <x:v>45400</x:v>
      </x:c>
      <x:c r="D1531" s="4" t="str">
        <x:v>Sales operations manager</x:v>
      </x:c>
      <x:c r="E1531" s="4" t="str">
        <x:v>Spreadsheet import</x:v>
      </x:c>
      <x:c r="F1531" s="4" t="str">
        <x:v>Record captured</x:v>
      </x:c>
      <x:c r="G1531" s="4" t="str">
        <x:v>Handed over</x:v>
      </x:c>
    </x:row>
    <x:row r="1532" ht="34" customHeight="1">
      <x:c r="A1532" s="4" t="str">
        <x:v>RS-01531-E1</x:v>
      </x:c>
      <x:c r="B1532" s="4" t="str">
        <x:v>RS-01531</x:v>
      </x:c>
      <x:c r="C1532" s="8" t="n">
        <x:v>45401</x:v>
      </x:c>
      <x:c r="D1532" s="4" t="str">
        <x:v>Sales operations manager</x:v>
      </x:c>
      <x:c r="E1532" s="4" t="str">
        <x:v>ERP form</x:v>
      </x:c>
      <x:c r="F1532" s="4" t="str">
        <x:v>Record captured</x:v>
      </x:c>
      <x:c r="G1532" s="4" t="str">
        <x:v>Enquiry</x:v>
      </x:c>
    </x:row>
    <x:row r="1533" ht="34" customHeight="1">
      <x:c r="A1533" s="4" t="str">
        <x:v>RS-01532-E1</x:v>
      </x:c>
      <x:c r="B1533" s="4" t="str">
        <x:v>RS-01532</x:v>
      </x:c>
      <x:c r="C1533" s="8" t="n">
        <x:v>45402</x:v>
      </x:c>
      <x:c r="D1533" s="4" t="str">
        <x:v>Sales operations manager</x:v>
      </x:c>
      <x:c r="E1533" s="4" t="str">
        <x:v>Spreadsheet import</x:v>
      </x:c>
      <x:c r="F1533" s="4" t="str">
        <x:v>Record captured</x:v>
      </x:c>
      <x:c r="G1533" s="4" t="str">
        <x:v>Handed over</x:v>
      </x:c>
    </x:row>
    <x:row r="1534" ht="34" customHeight="1">
      <x:c r="A1534" s="4" t="str">
        <x:v>RS-01533-E1</x:v>
      </x:c>
      <x:c r="B1534" s="4" t="str">
        <x:v>RS-01533</x:v>
      </x:c>
      <x:c r="C1534" s="8" t="n">
        <x:v>45403</x:v>
      </x:c>
      <x:c r="D1534" s="4" t="str">
        <x:v>Sales operations manager</x:v>
      </x:c>
      <x:c r="E1534" s="4" t="str">
        <x:v>WhatsApp transcribed</x:v>
      </x:c>
      <x:c r="F1534" s="4" t="str">
        <x:v>Record captured</x:v>
      </x:c>
      <x:c r="G1534" s="4" t="str">
        <x:v>Reserved</x:v>
      </x:c>
    </x:row>
    <x:row r="1535" ht="34" customHeight="1">
      <x:c r="A1535" s="4" t="str">
        <x:v>RS-01534-E1</x:v>
      </x:c>
      <x:c r="B1535" s="4" t="str">
        <x:v>RS-01534</x:v>
      </x:c>
      <x:c r="C1535" s="8" t="n">
        <x:v>45404</x:v>
      </x:c>
      <x:c r="D1535" s="4" t="str">
        <x:v>Sales operations manager</x:v>
      </x:c>
      <x:c r="E1535" s="4" t="str">
        <x:v>Spreadsheet import</x:v>
      </x:c>
      <x:c r="F1535" s="4" t="str">
        <x:v>Record captured</x:v>
      </x:c>
      <x:c r="G1535" s="4" t="str">
        <x:v>Reserved</x:v>
      </x:c>
    </x:row>
    <x:row r="1536" ht="34" customHeight="1">
      <x:c r="A1536" s="4" t="str">
        <x:v>RS-01535-E1</x:v>
      </x:c>
      <x:c r="B1536" s="4" t="str">
        <x:v>RS-01535</x:v>
      </x:c>
      <x:c r="C1536" s="8" t="n">
        <x:v>45405</x:v>
      </x:c>
      <x:c r="D1536" s="4" t="str">
        <x:v>Sales operations manager</x:v>
      </x:c>
      <x:c r="E1536" s="4" t="str">
        <x:v>Paper transcribed</x:v>
      </x:c>
      <x:c r="F1536" s="4" t="str">
        <x:v>Record captured</x:v>
      </x:c>
      <x:c r="G1536" s="4" t="str">
        <x:v>Handed over</x:v>
      </x:c>
    </x:row>
    <x:row r="1537" ht="34" customHeight="1">
      <x:c r="A1537" s="4" t="str">
        <x:v>RS-01536-E1</x:v>
      </x:c>
      <x:c r="B1537" s="4" t="str">
        <x:v>RS-01536</x:v>
      </x:c>
      <x:c r="C1537" s="8" t="n">
        <x:v>45406</x:v>
      </x:c>
      <x:c r="D1537" s="4" t="str">
        <x:v>Sales operations manager</x:v>
      </x:c>
      <x:c r="E1537" s="4" t="str">
        <x:v>Paper transcribed</x:v>
      </x:c>
      <x:c r="F1537" s="4" t="str">
        <x:v>Record captured</x:v>
      </x:c>
      <x:c r="G1537" s="4" t="str">
        <x:v>Booked</x:v>
      </x:c>
    </x:row>
    <x:row r="1538" ht="34" customHeight="1">
      <x:c r="A1538" s="4" t="str">
        <x:v>RS-01537-E1</x:v>
      </x:c>
      <x:c r="B1538" s="4" t="str">
        <x:v>RS-01537</x:v>
      </x:c>
      <x:c r="C1538" s="8" t="n">
        <x:v>45407</x:v>
      </x:c>
      <x:c r="D1538" s="4" t="str">
        <x:v>Sales operations manager</x:v>
      </x:c>
      <x:c r="E1538" s="4" t="str">
        <x:v>ERP form</x:v>
      </x:c>
      <x:c r="F1538" s="4" t="str">
        <x:v>Record captured</x:v>
      </x:c>
      <x:c r="G1538" s="4" t="str">
        <x:v>Enquiry</x:v>
      </x:c>
    </x:row>
    <x:row r="1539" ht="34" customHeight="1">
      <x:c r="A1539" s="4" t="str">
        <x:v>RS-01538-E1</x:v>
      </x:c>
      <x:c r="B1539" s="4" t="str">
        <x:v>RS-01538</x:v>
      </x:c>
      <x:c r="C1539" s="8" t="n">
        <x:v>45408</x:v>
      </x:c>
      <x:c r="D1539" s="4" t="str">
        <x:v>Sales operations manager</x:v>
      </x:c>
      <x:c r="E1539" s="4" t="str">
        <x:v>Spreadsheet import</x:v>
      </x:c>
      <x:c r="F1539" s="4" t="str">
        <x:v>Record captured</x:v>
      </x:c>
      <x:c r="G1539" s="4" t="str">
        <x:v>Reserved</x:v>
      </x:c>
    </x:row>
    <x:row r="1540" ht="34" customHeight="1">
      <x:c r="A1540" s="4" t="str">
        <x:v>RS-01539-E1</x:v>
      </x:c>
      <x:c r="B1540" s="4" t="str">
        <x:v>RS-01539</x:v>
      </x:c>
      <x:c r="C1540" s="8" t="n">
        <x:v>45409</x:v>
      </x:c>
      <x:c r="D1540" s="4" t="str">
        <x:v>Sales operations manager</x:v>
      </x:c>
      <x:c r="E1540" s="4" t="str">
        <x:v>ERP form</x:v>
      </x:c>
      <x:c r="F1540" s="4" t="str">
        <x:v>Record captured</x:v>
      </x:c>
      <x:c r="G1540" s="4" t="str">
        <x:v>Enquiry</x:v>
      </x:c>
    </x:row>
    <x:row r="1541" ht="34" customHeight="1">
      <x:c r="A1541" s="4" t="str">
        <x:v>RS-01540-E1</x:v>
      </x:c>
      <x:c r="B1541" s="4" t="str">
        <x:v>RS-01540</x:v>
      </x:c>
      <x:c r="C1541" s="8" t="n">
        <x:v>45410</x:v>
      </x:c>
      <x:c r="D1541" s="4" t="str">
        <x:v>Sales operations manager</x:v>
      </x:c>
      <x:c r="E1541" s="4" t="str">
        <x:v>Spreadsheet import</x:v>
      </x:c>
      <x:c r="F1541" s="4" t="str">
        <x:v>Record captured</x:v>
      </x:c>
      <x:c r="G1541" s="4" t="str">
        <x:v>Booked</x:v>
      </x:c>
    </x:row>
    <x:row r="1542" ht="34" customHeight="1">
      <x:c r="A1542" s="4" t="str">
        <x:v>RS-01541-E1</x:v>
      </x:c>
      <x:c r="B1542" s="4" t="str">
        <x:v>RS-01541</x:v>
      </x:c>
      <x:c r="C1542" s="8" t="n">
        <x:v>45383</x:v>
      </x:c>
      <x:c r="D1542" s="4" t="str">
        <x:v>Sales operations manager</x:v>
      </x:c>
      <x:c r="E1542" s="4" t="str">
        <x:v>ERP form</x:v>
      </x:c>
      <x:c r="F1542" s="4" t="str">
        <x:v>Record captured</x:v>
      </x:c>
      <x:c r="G1542" s="4" t="str">
        <x:v>Booked</x:v>
      </x:c>
    </x:row>
    <x:row r="1543" ht="34" customHeight="1">
      <x:c r="A1543" s="4" t="str">
        <x:v>RS-01542-E1</x:v>
      </x:c>
      <x:c r="B1543" s="4" t="str">
        <x:v>RS-01542</x:v>
      </x:c>
      <x:c r="C1543" s="8" t="n">
        <x:v>45384</x:v>
      </x:c>
      <x:c r="D1543" s="4" t="str">
        <x:v>Sales operations manager</x:v>
      </x:c>
      <x:c r="E1543" s="4" t="str">
        <x:v>WhatsApp transcribed</x:v>
      </x:c>
      <x:c r="F1543" s="4" t="str">
        <x:v>Record captured</x:v>
      </x:c>
      <x:c r="G1543" s="4" t="str">
        <x:v>Handed over</x:v>
      </x:c>
    </x:row>
    <x:row r="1544" ht="34" customHeight="1">
      <x:c r="A1544" s="4" t="str">
        <x:v>RS-01543-E1</x:v>
      </x:c>
      <x:c r="B1544" s="4" t="str">
        <x:v>RS-01543</x:v>
      </x:c>
      <x:c r="C1544" s="8" t="n">
        <x:v>45385</x:v>
      </x:c>
      <x:c r="D1544" s="4" t="str">
        <x:v>Sales operations manager</x:v>
      </x:c>
      <x:c r="E1544" s="4" t="str">
        <x:v>ERP form</x:v>
      </x:c>
      <x:c r="F1544" s="4" t="str">
        <x:v>Record captured</x:v>
      </x:c>
      <x:c r="G1544" s="4" t="str">
        <x:v>Enquiry</x:v>
      </x:c>
    </x:row>
    <x:row r="1545" ht="34" customHeight="1">
      <x:c r="A1545" s="4" t="str">
        <x:v>RS-01544-E1</x:v>
      </x:c>
      <x:c r="B1545" s="4" t="str">
        <x:v>RS-01544</x:v>
      </x:c>
      <x:c r="C1545" s="8" t="n">
        <x:v>45386</x:v>
      </x:c>
      <x:c r="D1545" s="4" t="str">
        <x:v>Sales operations manager</x:v>
      </x:c>
      <x:c r="E1545" s="4" t="str">
        <x:v>Spreadsheet import</x:v>
      </x:c>
      <x:c r="F1545" s="4" t="str">
        <x:v>Record captured</x:v>
      </x:c>
      <x:c r="G1545" s="4" t="str">
        <x:v>Agreement signed</x:v>
      </x:c>
    </x:row>
    <x:row r="1546" ht="34" customHeight="1">
      <x:c r="A1546" s="4" t="str">
        <x:v>RS-01545-E1</x:v>
      </x:c>
      <x:c r="B1546" s="4" t="str">
        <x:v>RS-01545</x:v>
      </x:c>
      <x:c r="C1546" s="8" t="n">
        <x:v>45387</x:v>
      </x:c>
      <x:c r="D1546" s="4" t="str">
        <x:v>Sales operations manager</x:v>
      </x:c>
      <x:c r="E1546" s="4" t="str">
        <x:v>Paper transcribed</x:v>
      </x:c>
      <x:c r="F1546" s="4" t="str">
        <x:v>Record captured</x:v>
      </x:c>
      <x:c r="G1546" s="4" t="str">
        <x:v>Enquiry</x:v>
      </x:c>
    </x:row>
    <x:row r="1547" ht="34" customHeight="1">
      <x:c r="A1547" s="4" t="str">
        <x:v>RS-01546-E1</x:v>
      </x:c>
      <x:c r="B1547" s="4" t="str">
        <x:v>RS-01546</x:v>
      </x:c>
      <x:c r="C1547" s="8" t="n">
        <x:v>45388</x:v>
      </x:c>
      <x:c r="D1547" s="4" t="str">
        <x:v>Sales operations manager</x:v>
      </x:c>
      <x:c r="E1547" s="4" t="str">
        <x:v>Paper transcribed</x:v>
      </x:c>
      <x:c r="F1547" s="4" t="str">
        <x:v>Record captured</x:v>
      </x:c>
      <x:c r="G1547" s="4" t="str">
        <x:v>Cancelled</x:v>
      </x:c>
    </x:row>
    <x:row r="1548" ht="34" customHeight="1">
      <x:c r="A1548" s="4" t="str">
        <x:v>RS-01547-E1</x:v>
      </x:c>
      <x:c r="B1548" s="4" t="str">
        <x:v>RS-01547</x:v>
      </x:c>
      <x:c r="C1548" s="8" t="n">
        <x:v>45389</x:v>
      </x:c>
      <x:c r="D1548" s="4" t="str">
        <x:v>Sales operations manager</x:v>
      </x:c>
      <x:c r="E1548" s="4" t="str">
        <x:v>ERP form</x:v>
      </x:c>
      <x:c r="F1548" s="4" t="str">
        <x:v>Record captured</x:v>
      </x:c>
      <x:c r="G1548" s="4" t="str">
        <x:v>Reserved</x:v>
      </x:c>
    </x:row>
    <x:row r="1549" ht="34" customHeight="1">
      <x:c r="A1549" s="4" t="str">
        <x:v>RS-01548-E1</x:v>
      </x:c>
      <x:c r="B1549" s="4" t="str">
        <x:v>RS-01548</x:v>
      </x:c>
      <x:c r="C1549" s="8" t="n">
        <x:v>45390</x:v>
      </x:c>
      <x:c r="D1549" s="4" t="str">
        <x:v>Sales operations manager</x:v>
      </x:c>
      <x:c r="E1549" s="4" t="str">
        <x:v>ERP form</x:v>
      </x:c>
      <x:c r="F1549" s="4" t="str">
        <x:v>Record captured</x:v>
      </x:c>
      <x:c r="G1549" s="4" t="str">
        <x:v>Reserved</x:v>
      </x:c>
    </x:row>
    <x:row r="1550" ht="34" customHeight="1">
      <x:c r="A1550" s="4" t="str">
        <x:v>RS-01549-E1</x:v>
      </x:c>
      <x:c r="B1550" s="4" t="str">
        <x:v>RS-01549</x:v>
      </x:c>
      <x:c r="C1550" s="8" t="n">
        <x:v>45391</x:v>
      </x:c>
      <x:c r="D1550" s="4" t="str">
        <x:v>Sales operations manager</x:v>
      </x:c>
      <x:c r="E1550" s="4" t="str">
        <x:v>Spreadsheet import</x:v>
      </x:c>
      <x:c r="F1550" s="4" t="str">
        <x:v>Record captured</x:v>
      </x:c>
      <x:c r="G1550" s="4" t="str">
        <x:v>Handed over</x:v>
      </x:c>
    </x:row>
    <x:row r="1551" ht="34" customHeight="1">
      <x:c r="A1551" s="4" t="str">
        <x:v>RS-01550-E1</x:v>
      </x:c>
      <x:c r="B1551" s="4" t="str">
        <x:v>RS-01550</x:v>
      </x:c>
      <x:c r="C1551" s="8" t="n">
        <x:v>45392</x:v>
      </x:c>
      <x:c r="D1551" s="4" t="str">
        <x:v>Sales operations manager</x:v>
      </x:c>
      <x:c r="E1551" s="4" t="str">
        <x:v>WhatsApp transcribed</x:v>
      </x:c>
      <x:c r="F1551" s="4" t="str">
        <x:v>Record captured</x:v>
      </x:c>
      <x:c r="G1551" s="4" t="str">
        <x:v>Handed over</x:v>
      </x:c>
    </x:row>
    <x:row r="1552" ht="34" customHeight="1">
      <x:c r="A1552" s="4" t="str">
        <x:v>RS-01551-E1</x:v>
      </x:c>
      <x:c r="B1552" s="4" t="str">
        <x:v>RS-01551</x:v>
      </x:c>
      <x:c r="C1552" s="8" t="n">
        <x:v>45393</x:v>
      </x:c>
      <x:c r="D1552" s="4" t="str">
        <x:v>Sales operations manager</x:v>
      </x:c>
      <x:c r="E1552" s="4" t="str">
        <x:v>Paper transcribed</x:v>
      </x:c>
      <x:c r="F1552" s="4" t="str">
        <x:v>Record captured</x:v>
      </x:c>
      <x:c r="G1552" s="4" t="str">
        <x:v>Reserved</x:v>
      </x:c>
    </x:row>
    <x:row r="1553" ht="34" customHeight="1">
      <x:c r="A1553" s="4" t="str">
        <x:v>RS-01552-E1</x:v>
      </x:c>
      <x:c r="B1553" s="4" t="str">
        <x:v>RS-01552</x:v>
      </x:c>
      <x:c r="C1553" s="8" t="n">
        <x:v>45394</x:v>
      </x:c>
      <x:c r="D1553" s="4" t="str">
        <x:v>Sales operations manager</x:v>
      </x:c>
      <x:c r="E1553" s="4" t="str">
        <x:v>Spreadsheet import</x:v>
      </x:c>
      <x:c r="F1553" s="4" t="str">
        <x:v>Record captured</x:v>
      </x:c>
      <x:c r="G1553" s="4" t="str">
        <x:v>Booked</x:v>
      </x:c>
    </x:row>
    <x:row r="1554" ht="34" customHeight="1">
      <x:c r="A1554" s="4" t="str">
        <x:v>RS-01553-E1</x:v>
      </x:c>
      <x:c r="B1554" s="4" t="str">
        <x:v>RS-01553</x:v>
      </x:c>
      <x:c r="C1554" s="8" t="n">
        <x:v>45395</x:v>
      </x:c>
      <x:c r="D1554" s="4" t="str">
        <x:v>Sales operations manager</x:v>
      </x:c>
      <x:c r="E1554" s="4" t="str">
        <x:v>Spreadsheet import</x:v>
      </x:c>
      <x:c r="F1554" s="4" t="str">
        <x:v>Record captured</x:v>
      </x:c>
      <x:c r="G1554" s="4" t="str">
        <x:v>Enquiry</x:v>
      </x:c>
    </x:row>
    <x:row r="1555" ht="34" customHeight="1">
      <x:c r="A1555" s="4" t="str">
        <x:v>RS-01554-E1</x:v>
      </x:c>
      <x:c r="B1555" s="4" t="str">
        <x:v>RS-01554</x:v>
      </x:c>
      <x:c r="C1555" s="8" t="n">
        <x:v>45396</x:v>
      </x:c>
      <x:c r="D1555" s="4" t="str">
        <x:v>Sales operations manager</x:v>
      </x:c>
      <x:c r="E1555" s="4" t="str">
        <x:v>Spreadsheet import</x:v>
      </x:c>
      <x:c r="F1555" s="4" t="str">
        <x:v>Record captured</x:v>
      </x:c>
      <x:c r="G1555" s="4" t="str">
        <x:v>Enquiry</x:v>
      </x:c>
    </x:row>
    <x:row r="1556" ht="34" customHeight="1">
      <x:c r="A1556" s="4" t="str">
        <x:v>RS-01555-E1</x:v>
      </x:c>
      <x:c r="B1556" s="4" t="str">
        <x:v>RS-01555</x:v>
      </x:c>
      <x:c r="C1556" s="8" t="n">
        <x:v>45397</x:v>
      </x:c>
      <x:c r="D1556" s="4" t="str">
        <x:v>Sales operations manager</x:v>
      </x:c>
      <x:c r="E1556" s="4" t="str">
        <x:v>Paper transcribed</x:v>
      </x:c>
      <x:c r="F1556" s="4" t="str">
        <x:v>Record captured</x:v>
      </x:c>
      <x:c r="G1556" s="4" t="str">
        <x:v>Cancelled</x:v>
      </x:c>
    </x:row>
    <x:row r="1557" ht="34" customHeight="1">
      <x:c r="A1557" s="4" t="str">
        <x:v>RS-01556-E1</x:v>
      </x:c>
      <x:c r="B1557" s="4" t="str">
        <x:v>RS-01556</x:v>
      </x:c>
      <x:c r="C1557" s="8" t="n">
        <x:v>45398</x:v>
      </x:c>
      <x:c r="D1557" s="4" t="str">
        <x:v>Sales operations manager</x:v>
      </x:c>
      <x:c r="E1557" s="4" t="str">
        <x:v>Spreadsheet import</x:v>
      </x:c>
      <x:c r="F1557" s="4" t="str">
        <x:v>Record captured</x:v>
      </x:c>
      <x:c r="G1557" s="4" t="str">
        <x:v>Agreement signed</x:v>
      </x:c>
    </x:row>
    <x:row r="1558" ht="34" customHeight="1">
      <x:c r="A1558" s="4" t="str">
        <x:v>RS-01557-E1</x:v>
      </x:c>
      <x:c r="B1558" s="4" t="str">
        <x:v>RS-01557</x:v>
      </x:c>
      <x:c r="C1558" s="8" t="n">
        <x:v>45399</x:v>
      </x:c>
      <x:c r="D1558" s="4" t="str">
        <x:v>Sales operations manager</x:v>
      </x:c>
      <x:c r="E1558" s="4" t="str">
        <x:v>WhatsApp transcribed</x:v>
      </x:c>
      <x:c r="F1558" s="4" t="str">
        <x:v>Record captured</x:v>
      </x:c>
      <x:c r="G1558" s="4" t="str">
        <x:v>Booked</x:v>
      </x:c>
    </x:row>
    <x:row r="1559" ht="34" customHeight="1">
      <x:c r="A1559" s="4" t="str">
        <x:v>RS-01558-E1</x:v>
      </x:c>
      <x:c r="B1559" s="4" t="str">
        <x:v>RS-01558</x:v>
      </x:c>
      <x:c r="C1559" s="8" t="n">
        <x:v>45400</x:v>
      </x:c>
      <x:c r="D1559" s="4" t="str">
        <x:v>Sales operations manager</x:v>
      </x:c>
      <x:c r="E1559" s="4" t="str">
        <x:v>ERP form</x:v>
      </x:c>
      <x:c r="F1559" s="4" t="str">
        <x:v>Record captured</x:v>
      </x:c>
      <x:c r="G1559" s="4" t="str">
        <x:v>Agreement signed</x:v>
      </x:c>
    </x:row>
    <x:row r="1560" ht="34" customHeight="1">
      <x:c r="A1560" s="4" t="str">
        <x:v>RS-01559-E1</x:v>
      </x:c>
      <x:c r="B1560" s="4" t="str">
        <x:v>RS-01559</x:v>
      </x:c>
      <x:c r="C1560" s="8" t="n">
        <x:v>45401</x:v>
      </x:c>
      <x:c r="D1560" s="4" t="str">
        <x:v>Sales operations manager</x:v>
      </x:c>
      <x:c r="E1560" s="4" t="str">
        <x:v>WhatsApp transcribed</x:v>
      </x:c>
      <x:c r="F1560" s="4" t="str">
        <x:v>Record captured</x:v>
      </x:c>
      <x:c r="G1560" s="4" t="str">
        <x:v>Enquiry</x:v>
      </x:c>
    </x:row>
    <x:row r="1561" ht="34" customHeight="1">
      <x:c r="A1561" s="4" t="str">
        <x:v>RS-01560-E1</x:v>
      </x:c>
      <x:c r="B1561" s="4" t="str">
        <x:v>RS-01560</x:v>
      </x:c>
      <x:c r="C1561" s="8" t="n">
        <x:v>45402</x:v>
      </x:c>
      <x:c r="D1561" s="4" t="str">
        <x:v>Sales operations manager</x:v>
      </x:c>
      <x:c r="E1561" s="4" t="str">
        <x:v>Spreadsheet import</x:v>
      </x:c>
      <x:c r="F1561" s="4" t="str">
        <x:v>Record captured</x:v>
      </x:c>
      <x:c r="G1561" s="4" t="str">
        <x:v>Booked</x:v>
      </x:c>
    </x:row>
    <x:row r="1562" ht="34" customHeight="1">
      <x:c r="A1562" s="4" t="str">
        <x:v>RS-01561-E1</x:v>
      </x:c>
      <x:c r="B1562" s="4" t="str">
        <x:v>RS-01561</x:v>
      </x:c>
      <x:c r="C1562" s="8" t="n">
        <x:v>45403</x:v>
      </x:c>
      <x:c r="D1562" s="4" t="str">
        <x:v>Sales operations manager</x:v>
      </x:c>
      <x:c r="E1562" s="4" t="str">
        <x:v>Spreadsheet import</x:v>
      </x:c>
      <x:c r="F1562" s="4" t="str">
        <x:v>Record captured</x:v>
      </x:c>
      <x:c r="G1562" s="4" t="str">
        <x:v>Cancelled</x:v>
      </x:c>
    </x:row>
    <x:row r="1563" ht="34" customHeight="1">
      <x:c r="A1563" s="4" t="str">
        <x:v>RS-01562-E1</x:v>
      </x:c>
      <x:c r="B1563" s="4" t="str">
        <x:v>RS-01562</x:v>
      </x:c>
      <x:c r="C1563" s="8" t="n">
        <x:v>45404</x:v>
      </x:c>
      <x:c r="D1563" s="4" t="str">
        <x:v>Sales operations manager</x:v>
      </x:c>
      <x:c r="E1563" s="4" t="str">
        <x:v>Spreadsheet import</x:v>
      </x:c>
      <x:c r="F1563" s="4" t="str">
        <x:v>Record captured</x:v>
      </x:c>
      <x:c r="G1563" s="4" t="str">
        <x:v>Booked</x:v>
      </x:c>
    </x:row>
    <x:row r="1564" ht="34" customHeight="1">
      <x:c r="A1564" s="4" t="str">
        <x:v>RS-01563-E1</x:v>
      </x:c>
      <x:c r="B1564" s="4" t="str">
        <x:v>RS-01563</x:v>
      </x:c>
      <x:c r="C1564" s="8" t="n">
        <x:v>45405</x:v>
      </x:c>
      <x:c r="D1564" s="4" t="str">
        <x:v>Sales operations manager</x:v>
      </x:c>
      <x:c r="E1564" s="4" t="str">
        <x:v>WhatsApp transcribed</x:v>
      </x:c>
      <x:c r="F1564" s="4" t="str">
        <x:v>Record captured</x:v>
      </x:c>
      <x:c r="G1564" s="4" t="str">
        <x:v>Cancelled</x:v>
      </x:c>
    </x:row>
    <x:row r="1565" ht="34" customHeight="1">
      <x:c r="A1565" s="4" t="str">
        <x:v>RS-01564-E1</x:v>
      </x:c>
      <x:c r="B1565" s="4" t="str">
        <x:v>RS-01564</x:v>
      </x:c>
      <x:c r="C1565" s="8" t="n">
        <x:v>45406</x:v>
      </x:c>
      <x:c r="D1565" s="4" t="str">
        <x:v>Sales operations manager</x:v>
      </x:c>
      <x:c r="E1565" s="4" t="str">
        <x:v>WhatsApp transcribed</x:v>
      </x:c>
      <x:c r="F1565" s="4" t="str">
        <x:v>Record captured</x:v>
      </x:c>
      <x:c r="G1565" s="4" t="str">
        <x:v>Enquiry</x:v>
      </x:c>
    </x:row>
    <x:row r="1566" ht="34" customHeight="1">
      <x:c r="A1566" s="4" t="str">
        <x:v>RS-01565-E1</x:v>
      </x:c>
      <x:c r="B1566" s="4" t="str">
        <x:v>RS-01565</x:v>
      </x:c>
      <x:c r="C1566" s="8" t="n">
        <x:v>45407</x:v>
      </x:c>
      <x:c r="D1566" s="4" t="str">
        <x:v>Sales operations manager</x:v>
      </x:c>
      <x:c r="E1566" s="4" t="str">
        <x:v>ERP form</x:v>
      </x:c>
      <x:c r="F1566" s="4" t="str">
        <x:v>Record captured</x:v>
      </x:c>
      <x:c r="G1566" s="4" t="str">
        <x:v>Enquiry</x:v>
      </x:c>
    </x:row>
    <x:row r="1567" ht="34" customHeight="1">
      <x:c r="A1567" s="4" t="str">
        <x:v>RS-01566-E1</x:v>
      </x:c>
      <x:c r="B1567" s="4" t="str">
        <x:v>RS-01566</x:v>
      </x:c>
      <x:c r="C1567" s="8" t="n">
        <x:v>45408</x:v>
      </x:c>
      <x:c r="D1567" s="4" t="str">
        <x:v>Sales operations manager</x:v>
      </x:c>
      <x:c r="E1567" s="4" t="str">
        <x:v>ERP form</x:v>
      </x:c>
      <x:c r="F1567" s="4" t="str">
        <x:v>Record captured</x:v>
      </x:c>
      <x:c r="G1567" s="4" t="str">
        <x:v>Enquiry</x:v>
      </x:c>
    </x:row>
    <x:row r="1568" ht="34" customHeight="1">
      <x:c r="A1568" s="4" t="str">
        <x:v>RS-01567-E1</x:v>
      </x:c>
      <x:c r="B1568" s="4" t="str">
        <x:v>RS-01567</x:v>
      </x:c>
      <x:c r="C1568" s="8" t="n">
        <x:v>45409</x:v>
      </x:c>
      <x:c r="D1568" s="4" t="str">
        <x:v>Sales operations manager</x:v>
      </x:c>
      <x:c r="E1568" s="4" t="str">
        <x:v>ERP form</x:v>
      </x:c>
      <x:c r="F1568" s="4" t="str">
        <x:v>Record captured</x:v>
      </x:c>
      <x:c r="G1568" s="4" t="str">
        <x:v>Reserved</x:v>
      </x:c>
    </x:row>
    <x:row r="1569" ht="34" customHeight="1">
      <x:c r="A1569" s="4" t="str">
        <x:v>RS-01568-E1</x:v>
      </x:c>
      <x:c r="B1569" s="4" t="str">
        <x:v>RS-01568</x:v>
      </x:c>
      <x:c r="C1569" s="8" t="n">
        <x:v>45410</x:v>
      </x:c>
      <x:c r="D1569" s="4" t="str">
        <x:v>Sales operations manager</x:v>
      </x:c>
      <x:c r="E1569" s="4" t="str">
        <x:v>WhatsApp transcribed</x:v>
      </x:c>
      <x:c r="F1569" s="4" t="str">
        <x:v>Record captured</x:v>
      </x:c>
      <x:c r="G1569" s="4" t="str">
        <x:v>Reserved</x:v>
      </x:c>
    </x:row>
    <x:row r="1570" ht="34" customHeight="1">
      <x:c r="A1570" s="4" t="str">
        <x:v>RS-01569-E1</x:v>
      </x:c>
      <x:c r="B1570" s="4" t="str">
        <x:v>RS-01569</x:v>
      </x:c>
      <x:c r="C1570" s="8" t="n">
        <x:v>45383</x:v>
      </x:c>
      <x:c r="D1570" s="4" t="str">
        <x:v>Sales operations manager</x:v>
      </x:c>
      <x:c r="E1570" s="4" t="str">
        <x:v>Paper transcribed</x:v>
      </x:c>
      <x:c r="F1570" s="4" t="str">
        <x:v>Record captured</x:v>
      </x:c>
      <x:c r="G1570" s="4" t="str">
        <x:v>Handed over</x:v>
      </x:c>
    </x:row>
    <x:row r="1571" ht="34" customHeight="1">
      <x:c r="A1571" s="4" t="str">
        <x:v>RS-01570-E1</x:v>
      </x:c>
      <x:c r="B1571" s="4" t="str">
        <x:v>RS-01570</x:v>
      </x:c>
      <x:c r="C1571" s="8" t="n">
        <x:v>45384</x:v>
      </x:c>
      <x:c r="D1571" s="4" t="str">
        <x:v>Sales operations manager</x:v>
      </x:c>
      <x:c r="E1571" s="4" t="str">
        <x:v>Paper transcribed</x:v>
      </x:c>
      <x:c r="F1571" s="4" t="str">
        <x:v>Record captured</x:v>
      </x:c>
      <x:c r="G1571" s="4" t="str">
        <x:v>Reserved</x:v>
      </x:c>
    </x:row>
    <x:row r="1572" ht="34" customHeight="1">
      <x:c r="A1572" s="4" t="str">
        <x:v>RS-01571-E1</x:v>
      </x:c>
      <x:c r="B1572" s="4" t="str">
        <x:v>RS-01571</x:v>
      </x:c>
      <x:c r="C1572" s="8" t="n">
        <x:v>45385</x:v>
      </x:c>
      <x:c r="D1572" s="4" t="str">
        <x:v>Sales operations manager</x:v>
      </x:c>
      <x:c r="E1572" s="4" t="str">
        <x:v>WhatsApp transcribed</x:v>
      </x:c>
      <x:c r="F1572" s="4" t="str">
        <x:v>Record captured</x:v>
      </x:c>
      <x:c r="G1572" s="4" t="str">
        <x:v>Agreement signed</x:v>
      </x:c>
    </x:row>
    <x:row r="1573" ht="34" customHeight="1">
      <x:c r="A1573" s="4" t="str">
        <x:v>RS-01572-E1</x:v>
      </x:c>
      <x:c r="B1573" s="4" t="str">
        <x:v>RS-01572</x:v>
      </x:c>
      <x:c r="C1573" s="8" t="n">
        <x:v>45386</x:v>
      </x:c>
      <x:c r="D1573" s="4" t="str">
        <x:v>Sales operations manager</x:v>
      </x:c>
      <x:c r="E1573" s="4" t="str">
        <x:v>Paper transcribed</x:v>
      </x:c>
      <x:c r="F1573" s="4" t="str">
        <x:v>Record captured</x:v>
      </x:c>
      <x:c r="G1573" s="4" t="str">
        <x:v>Agreement signed</x:v>
      </x:c>
    </x:row>
    <x:row r="1574" ht="34" customHeight="1">
      <x:c r="A1574" s="4" t="str">
        <x:v>RS-01573-E1</x:v>
      </x:c>
      <x:c r="B1574" s="4" t="str">
        <x:v>RS-01573</x:v>
      </x:c>
      <x:c r="C1574" s="8" t="n">
        <x:v>45387</x:v>
      </x:c>
      <x:c r="D1574" s="4" t="str">
        <x:v>Sales operations manager</x:v>
      </x:c>
      <x:c r="E1574" s="4" t="str">
        <x:v>ERP form</x:v>
      </x:c>
      <x:c r="F1574" s="4" t="str">
        <x:v>Record captured</x:v>
      </x:c>
      <x:c r="G1574" s="4" t="str">
        <x:v>Enquiry</x:v>
      </x:c>
    </x:row>
    <x:row r="1575" ht="34" customHeight="1">
      <x:c r="A1575" s="4" t="str">
        <x:v>RS-01574-E1</x:v>
      </x:c>
      <x:c r="B1575" s="4" t="str">
        <x:v>RS-01574</x:v>
      </x:c>
      <x:c r="C1575" s="8" t="n">
        <x:v>45388</x:v>
      </x:c>
      <x:c r="D1575" s="4" t="str">
        <x:v>Sales operations manager</x:v>
      </x:c>
      <x:c r="E1575" s="4" t="str">
        <x:v>Spreadsheet import</x:v>
      </x:c>
      <x:c r="F1575" s="4" t="str">
        <x:v>Record captured</x:v>
      </x:c>
      <x:c r="G1575" s="4" t="str">
        <x:v>Agreement signed</x:v>
      </x:c>
    </x:row>
    <x:row r="1576" ht="34" customHeight="1">
      <x:c r="A1576" s="4" t="str">
        <x:v>RS-01575-E1</x:v>
      </x:c>
      <x:c r="B1576" s="4" t="str">
        <x:v>RS-01575</x:v>
      </x:c>
      <x:c r="C1576" s="8" t="n">
        <x:v>45389</x:v>
      </x:c>
      <x:c r="D1576" s="4" t="str">
        <x:v>Sales operations manager</x:v>
      </x:c>
      <x:c r="E1576" s="4" t="str">
        <x:v>Spreadsheet import</x:v>
      </x:c>
      <x:c r="F1576" s="4" t="str">
        <x:v>Record captured</x:v>
      </x:c>
      <x:c r="G1576" s="4" t="str">
        <x:v>Booked</x:v>
      </x:c>
    </x:row>
    <x:row r="1577" ht="34" customHeight="1">
      <x:c r="A1577" s="4" t="str">
        <x:v>RS-01576-E1</x:v>
      </x:c>
      <x:c r="B1577" s="4" t="str">
        <x:v>RS-01576</x:v>
      </x:c>
      <x:c r="C1577" s="8" t="n">
        <x:v>45390</x:v>
      </x:c>
      <x:c r="D1577" s="4" t="str">
        <x:v>Sales operations manager</x:v>
      </x:c>
      <x:c r="E1577" s="4" t="str">
        <x:v>Paper transcribed</x:v>
      </x:c>
      <x:c r="F1577" s="4" t="str">
        <x:v>Record captured</x:v>
      </x:c>
      <x:c r="G1577" s="4" t="str">
        <x:v>Agreement signed</x:v>
      </x:c>
    </x:row>
    <x:row r="1578" ht="34" customHeight="1">
      <x:c r="A1578" s="4" t="str">
        <x:v>RS-01577-E1</x:v>
      </x:c>
      <x:c r="B1578" s="4" t="str">
        <x:v>RS-01577</x:v>
      </x:c>
      <x:c r="C1578" s="8" t="n">
        <x:v>45391</x:v>
      </x:c>
      <x:c r="D1578" s="4" t="str">
        <x:v>Sales operations manager</x:v>
      </x:c>
      <x:c r="E1578" s="4" t="str">
        <x:v>WhatsApp transcribed</x:v>
      </x:c>
      <x:c r="F1578" s="4" t="str">
        <x:v>Record captured</x:v>
      </x:c>
      <x:c r="G1578" s="4" t="str">
        <x:v>Enquiry</x:v>
      </x:c>
    </x:row>
    <x:row r="1579" ht="34" customHeight="1">
      <x:c r="A1579" s="4" t="str">
        <x:v>RS-01578-E1</x:v>
      </x:c>
      <x:c r="B1579" s="4" t="str">
        <x:v>RS-01578</x:v>
      </x:c>
      <x:c r="C1579" s="8" t="n">
        <x:v>45392</x:v>
      </x:c>
      <x:c r="D1579" s="4" t="str">
        <x:v>Sales operations manager</x:v>
      </x:c>
      <x:c r="E1579" s="4" t="str">
        <x:v>WhatsApp transcribed</x:v>
      </x:c>
      <x:c r="F1579" s="4" t="str">
        <x:v>Record captured</x:v>
      </x:c>
      <x:c r="G1579" s="4" t="str">
        <x:v>Handed over</x:v>
      </x:c>
    </x:row>
    <x:row r="1580" ht="34" customHeight="1">
      <x:c r="A1580" s="4" t="str">
        <x:v>RS-01579-E1</x:v>
      </x:c>
      <x:c r="B1580" s="4" t="str">
        <x:v>RS-01579</x:v>
      </x:c>
      <x:c r="C1580" s="8" t="n">
        <x:v>45393</x:v>
      </x:c>
      <x:c r="D1580" s="4" t="str">
        <x:v>Sales operations manager</x:v>
      </x:c>
      <x:c r="E1580" s="4" t="str">
        <x:v>Spreadsheet import</x:v>
      </x:c>
      <x:c r="F1580" s="4" t="str">
        <x:v>Record captured</x:v>
      </x:c>
      <x:c r="G1580" s="4" t="str">
        <x:v>Enquiry</x:v>
      </x:c>
    </x:row>
    <x:row r="1581" ht="34" customHeight="1">
      <x:c r="A1581" s="4" t="str">
        <x:v>RS-01580-E1</x:v>
      </x:c>
      <x:c r="B1581" s="4" t="str">
        <x:v>RS-01580</x:v>
      </x:c>
      <x:c r="C1581" s="8" t="n">
        <x:v>45394</x:v>
      </x:c>
      <x:c r="D1581" s="4" t="str">
        <x:v>Sales operations manager</x:v>
      </x:c>
      <x:c r="E1581" s="4" t="str">
        <x:v>WhatsApp transcribed</x:v>
      </x:c>
      <x:c r="F1581" s="4" t="str">
        <x:v>Record captured</x:v>
      </x:c>
      <x:c r="G1581" s="4" t="str">
        <x:v>Enquiry</x:v>
      </x:c>
    </x:row>
    <x:row r="1582" ht="34" customHeight="1">
      <x:c r="A1582" s="4" t="str">
        <x:v>RS-01581-E1</x:v>
      </x:c>
      <x:c r="B1582" s="4" t="str">
        <x:v>RS-01581</x:v>
      </x:c>
      <x:c r="C1582" s="8" t="n">
        <x:v>45395</x:v>
      </x:c>
      <x:c r="D1582" s="4" t="str">
        <x:v>Sales operations manager</x:v>
      </x:c>
      <x:c r="E1582" s="4" t="str">
        <x:v>WhatsApp transcribed</x:v>
      </x:c>
      <x:c r="F1582" s="4" t="str">
        <x:v>Record captured</x:v>
      </x:c>
      <x:c r="G1582" s="4" t="str">
        <x:v>Cancelled</x:v>
      </x:c>
    </x:row>
    <x:row r="1583" ht="34" customHeight="1">
      <x:c r="A1583" s="4" t="str">
        <x:v>RS-01582-E1</x:v>
      </x:c>
      <x:c r="B1583" s="4" t="str">
        <x:v>RS-01582</x:v>
      </x:c>
      <x:c r="C1583" s="8" t="n">
        <x:v>45396</x:v>
      </x:c>
      <x:c r="D1583" s="4" t="str">
        <x:v>Sales operations manager</x:v>
      </x:c>
      <x:c r="E1583" s="4" t="str">
        <x:v>WhatsApp transcribed</x:v>
      </x:c>
      <x:c r="F1583" s="4" t="str">
        <x:v>Record captured</x:v>
      </x:c>
      <x:c r="G1583" s="4" t="str">
        <x:v>Booked</x:v>
      </x:c>
    </x:row>
    <x:row r="1584" ht="34" customHeight="1">
      <x:c r="A1584" s="4" t="str">
        <x:v>RS-01583-E1</x:v>
      </x:c>
      <x:c r="B1584" s="4" t="str">
        <x:v>RS-01583</x:v>
      </x:c>
      <x:c r="C1584" s="8" t="n">
        <x:v>45397</x:v>
      </x:c>
      <x:c r="D1584" s="4" t="str">
        <x:v>Sales operations manager</x:v>
      </x:c>
      <x:c r="E1584" s="4" t="str">
        <x:v>ERP form</x:v>
      </x:c>
      <x:c r="F1584" s="4" t="str">
        <x:v>Record captured</x:v>
      </x:c>
      <x:c r="G1584" s="4" t="str">
        <x:v>Agreement signed</x:v>
      </x:c>
    </x:row>
    <x:row r="1585" ht="34" customHeight="1">
      <x:c r="A1585" s="4" t="str">
        <x:v>RS-01584-E1</x:v>
      </x:c>
      <x:c r="B1585" s="4" t="str">
        <x:v>RS-01584</x:v>
      </x:c>
      <x:c r="C1585" s="8" t="n">
        <x:v>45398</x:v>
      </x:c>
      <x:c r="D1585" s="4" t="str">
        <x:v>Sales operations manager</x:v>
      </x:c>
      <x:c r="E1585" s="4" t="str">
        <x:v>Spreadsheet import</x:v>
      </x:c>
      <x:c r="F1585" s="4" t="str">
        <x:v>Record captured</x:v>
      </x:c>
      <x:c r="G1585" s="4" t="str">
        <x:v>Cancelled</x:v>
      </x:c>
    </x:row>
    <x:row r="1586" ht="34" customHeight="1">
      <x:c r="A1586" s="4" t="str">
        <x:v>RS-01585-E1</x:v>
      </x:c>
      <x:c r="B1586" s="4" t="str">
        <x:v>RS-01585</x:v>
      </x:c>
      <x:c r="C1586" s="8" t="n">
        <x:v>45399</x:v>
      </x:c>
      <x:c r="D1586" s="4" t="str">
        <x:v>Sales operations manager</x:v>
      </x:c>
      <x:c r="E1586" s="4" t="str">
        <x:v>WhatsApp transcribed</x:v>
      </x:c>
      <x:c r="F1586" s="4" t="str">
        <x:v>Record captured</x:v>
      </x:c>
      <x:c r="G1586" s="4" t="str">
        <x:v>Reserved</x:v>
      </x:c>
    </x:row>
    <x:row r="1587" ht="34" customHeight="1">
      <x:c r="A1587" s="4" t="str">
        <x:v>RS-01586-E1</x:v>
      </x:c>
      <x:c r="B1587" s="4" t="str">
        <x:v>RS-01586</x:v>
      </x:c>
      <x:c r="C1587" s="8" t="n">
        <x:v>45400</x:v>
      </x:c>
      <x:c r="D1587" s="4" t="str">
        <x:v>Sales operations manager</x:v>
      </x:c>
      <x:c r="E1587" s="4" t="str">
        <x:v>ERP form</x:v>
      </x:c>
      <x:c r="F1587" s="4" t="str">
        <x:v>Record captured</x:v>
      </x:c>
      <x:c r="G1587" s="4" t="str">
        <x:v>Handed over</x:v>
      </x:c>
    </x:row>
    <x:row r="1588" ht="34" customHeight="1">
      <x:c r="A1588" s="4" t="str">
        <x:v>RS-01587-E1</x:v>
      </x:c>
      <x:c r="B1588" s="4" t="str">
        <x:v>RS-01587</x:v>
      </x:c>
      <x:c r="C1588" s="8" t="n">
        <x:v>45401</x:v>
      </x:c>
      <x:c r="D1588" s="4" t="str">
        <x:v>Sales operations manager</x:v>
      </x:c>
      <x:c r="E1588" s="4" t="str">
        <x:v>ERP form</x:v>
      </x:c>
      <x:c r="F1588" s="4" t="str">
        <x:v>Record captured</x:v>
      </x:c>
      <x:c r="G1588" s="4" t="str">
        <x:v>Handed over</x:v>
      </x:c>
    </x:row>
    <x:row r="1589" ht="34" customHeight="1">
      <x:c r="A1589" s="4" t="str">
        <x:v>RS-01588-E1</x:v>
      </x:c>
      <x:c r="B1589" s="4" t="str">
        <x:v>RS-01588</x:v>
      </x:c>
      <x:c r="C1589" s="8" t="n">
        <x:v>45402</x:v>
      </x:c>
      <x:c r="D1589" s="4" t="str">
        <x:v>Sales operations manager</x:v>
      </x:c>
      <x:c r="E1589" s="4" t="str">
        <x:v>Spreadsheet import</x:v>
      </x:c>
      <x:c r="F1589" s="4" t="str">
        <x:v>Record captured</x:v>
      </x:c>
      <x:c r="G1589" s="4" t="str">
        <x:v>Booked</x:v>
      </x:c>
    </x:row>
    <x:row r="1590" ht="34" customHeight="1">
      <x:c r="A1590" s="4" t="str">
        <x:v>RS-01589-E1</x:v>
      </x:c>
      <x:c r="B1590" s="4" t="str">
        <x:v>RS-01589</x:v>
      </x:c>
      <x:c r="C1590" s="8" t="n">
        <x:v>45403</x:v>
      </x:c>
      <x:c r="D1590" s="4" t="str">
        <x:v>Sales operations manager</x:v>
      </x:c>
      <x:c r="E1590" s="4" t="str">
        <x:v>Spreadsheet import</x:v>
      </x:c>
      <x:c r="F1590" s="4" t="str">
        <x:v>Record captured</x:v>
      </x:c>
      <x:c r="G1590" s="4" t="str">
        <x:v>Booked</x:v>
      </x:c>
    </x:row>
    <x:row r="1591" ht="34" customHeight="1">
      <x:c r="A1591" s="4" t="str">
        <x:v>RS-01590-E1</x:v>
      </x:c>
      <x:c r="B1591" s="4" t="str">
        <x:v>RS-01590</x:v>
      </x:c>
      <x:c r="C1591" s="8" t="n">
        <x:v>45404</x:v>
      </x:c>
      <x:c r="D1591" s="4" t="str">
        <x:v>Sales operations manager</x:v>
      </x:c>
      <x:c r="E1591" s="4" t="str">
        <x:v>Paper transcribed</x:v>
      </x:c>
      <x:c r="F1591" s="4" t="str">
        <x:v>Record captured</x:v>
      </x:c>
      <x:c r="G1591" s="4" t="str">
        <x:v>Cancelled</x:v>
      </x:c>
    </x:row>
    <x:row r="1592" ht="34" customHeight="1">
      <x:c r="A1592" s="4" t="str">
        <x:v>RS-01591-E1</x:v>
      </x:c>
      <x:c r="B1592" s="4" t="str">
        <x:v>RS-01591</x:v>
      </x:c>
      <x:c r="C1592" s="8" t="n">
        <x:v>45405</x:v>
      </x:c>
      <x:c r="D1592" s="4" t="str">
        <x:v>Sales operations manager</x:v>
      </x:c>
      <x:c r="E1592" s="4" t="str">
        <x:v>Spreadsheet import</x:v>
      </x:c>
      <x:c r="F1592" s="4" t="str">
        <x:v>Record captured</x:v>
      </x:c>
      <x:c r="G1592" s="4" t="str">
        <x:v>Cancelled</x:v>
      </x:c>
    </x:row>
    <x:row r="1593" ht="34" customHeight="1">
      <x:c r="A1593" s="4" t="str">
        <x:v>RS-01592-E1</x:v>
      </x:c>
      <x:c r="B1593" s="4" t="str">
        <x:v>RS-01592</x:v>
      </x:c>
      <x:c r="C1593" s="8" t="n">
        <x:v>45406</x:v>
      </x:c>
      <x:c r="D1593" s="4" t="str">
        <x:v>Sales operations manager</x:v>
      </x:c>
      <x:c r="E1593" s="4" t="str">
        <x:v>ERP form</x:v>
      </x:c>
      <x:c r="F1593" s="4" t="str">
        <x:v>Record captured</x:v>
      </x:c>
      <x:c r="G1593" s="4" t="str">
        <x:v>Agreement signed</x:v>
      </x:c>
    </x:row>
    <x:row r="1594" ht="34" customHeight="1">
      <x:c r="A1594" s="4" t="str">
        <x:v>RS-01593-E1</x:v>
      </x:c>
      <x:c r="B1594" s="4" t="str">
        <x:v>RS-01593</x:v>
      </x:c>
      <x:c r="C1594" s="8" t="n">
        <x:v>45407</x:v>
      </x:c>
      <x:c r="D1594" s="4" t="str">
        <x:v>Sales operations manager</x:v>
      </x:c>
      <x:c r="E1594" s="4" t="str">
        <x:v>ERP form</x:v>
      </x:c>
      <x:c r="F1594" s="4" t="str">
        <x:v>Record captured</x:v>
      </x:c>
      <x:c r="G1594" s="4" t="str">
        <x:v>Reserved</x:v>
      </x:c>
    </x:row>
    <x:row r="1595" ht="34" customHeight="1">
      <x:c r="A1595" s="4" t="str">
        <x:v>RS-01594-E1</x:v>
      </x:c>
      <x:c r="B1595" s="4" t="str">
        <x:v>RS-01594</x:v>
      </x:c>
      <x:c r="C1595" s="8" t="n">
        <x:v>45408</x:v>
      </x:c>
      <x:c r="D1595" s="4" t="str">
        <x:v>Sales operations manager</x:v>
      </x:c>
      <x:c r="E1595" s="4" t="str">
        <x:v>ERP form</x:v>
      </x:c>
      <x:c r="F1595" s="4" t="str">
        <x:v>Record captured</x:v>
      </x:c>
      <x:c r="G1595" s="4" t="str">
        <x:v>Enquiry</x:v>
      </x:c>
    </x:row>
    <x:row r="1596" ht="34" customHeight="1">
      <x:c r="A1596" s="4" t="str">
        <x:v>RS-01595-E1</x:v>
      </x:c>
      <x:c r="B1596" s="4" t="str">
        <x:v>RS-01595</x:v>
      </x:c>
      <x:c r="C1596" s="8" t="n">
        <x:v>45409</x:v>
      </x:c>
      <x:c r="D1596" s="4" t="str">
        <x:v>Sales operations manager</x:v>
      </x:c>
      <x:c r="E1596" s="4" t="str">
        <x:v>Spreadsheet import</x:v>
      </x:c>
      <x:c r="F1596" s="4" t="str">
        <x:v>Record captured</x:v>
      </x:c>
      <x:c r="G1596" s="4" t="str">
        <x:v>Enquiry</x:v>
      </x:c>
    </x:row>
    <x:row r="1597" ht="34" customHeight="1">
      <x:c r="A1597" s="4" t="str">
        <x:v>RS-01596-E1</x:v>
      </x:c>
      <x:c r="B1597" s="4" t="str">
        <x:v>RS-01596</x:v>
      </x:c>
      <x:c r="C1597" s="8" t="n">
        <x:v>45410</x:v>
      </x:c>
      <x:c r="D1597" s="4" t="str">
        <x:v>Sales operations manager</x:v>
      </x:c>
      <x:c r="E1597" s="4" t="str">
        <x:v>Paper transcribed</x:v>
      </x:c>
      <x:c r="F1597" s="4" t="str">
        <x:v>Record captured</x:v>
      </x:c>
      <x:c r="G1597" s="4" t="str">
        <x:v>Handed over</x:v>
      </x:c>
    </x:row>
    <x:row r="1598" ht="34" customHeight="1">
      <x:c r="A1598" s="4" t="str">
        <x:v>RS-01597-E1</x:v>
      </x:c>
      <x:c r="B1598" s="4" t="str">
        <x:v>RS-01597</x:v>
      </x:c>
      <x:c r="C1598" s="8" t="n">
        <x:v>45383</x:v>
      </x:c>
      <x:c r="D1598" s="4" t="str">
        <x:v>Sales operations manager</x:v>
      </x:c>
      <x:c r="E1598" s="4" t="str">
        <x:v>ERP form</x:v>
      </x:c>
      <x:c r="F1598" s="4" t="str">
        <x:v>Record captured</x:v>
      </x:c>
      <x:c r="G1598" s="4" t="str">
        <x:v>Agreement signed</x:v>
      </x:c>
    </x:row>
    <x:row r="1599" ht="34" customHeight="1">
      <x:c r="A1599" s="4" t="str">
        <x:v>RS-01598-E1</x:v>
      </x:c>
      <x:c r="B1599" s="4" t="str">
        <x:v>RS-01598</x:v>
      </x:c>
      <x:c r="C1599" s="8" t="n">
        <x:v>45384</x:v>
      </x:c>
      <x:c r="D1599" s="4" t="str">
        <x:v>Sales operations manager</x:v>
      </x:c>
      <x:c r="E1599" s="4" t="str">
        <x:v>ERP form</x:v>
      </x:c>
      <x:c r="F1599" s="4" t="str">
        <x:v>Record captured</x:v>
      </x:c>
      <x:c r="G1599" s="4" t="str">
        <x:v>Agreement signed</x:v>
      </x:c>
    </x:row>
    <x:row r="1600" ht="34" customHeight="1">
      <x:c r="A1600" s="4" t="str">
        <x:v>RS-01599-E1</x:v>
      </x:c>
      <x:c r="B1600" s="4" t="str">
        <x:v>RS-01599</x:v>
      </x:c>
      <x:c r="C1600" s="8" t="n">
        <x:v>45385</x:v>
      </x:c>
      <x:c r="D1600" s="4" t="str">
        <x:v>Sales operations manager</x:v>
      </x:c>
      <x:c r="E1600" s="4" t="str">
        <x:v>Spreadsheet import</x:v>
      </x:c>
      <x:c r="F1600" s="4" t="str">
        <x:v>Record captured</x:v>
      </x:c>
      <x:c r="G1600" s="4" t="str">
        <x:v>Enquiry</x:v>
      </x:c>
    </x:row>
    <x:row r="1601" ht="34" customHeight="1">
      <x:c r="A1601" s="4" t="str">
        <x:v>RS-01600-E1</x:v>
      </x:c>
      <x:c r="B1601" s="4" t="str">
        <x:v>RS-01600</x:v>
      </x:c>
      <x:c r="C1601" s="8" t="n">
        <x:v>45386</x:v>
      </x:c>
      <x:c r="D1601" s="4" t="str">
        <x:v>Sales operations manager</x:v>
      </x:c>
      <x:c r="E1601" s="4" t="str">
        <x:v>WhatsApp transcribed</x:v>
      </x:c>
      <x:c r="F1601" s="4" t="str">
        <x:v>Record captured</x:v>
      </x:c>
      <x:c r="G1601" s="4" t="str">
        <x:v>Booked</x:v>
      </x:c>
    </x:row>
    <x:row r="1602" ht="34" customHeight="1">
      <x:c r="A1602" s="4" t="str">
        <x:v>RS-01601-E1</x:v>
      </x:c>
      <x:c r="B1602" s="4" t="str">
        <x:v>RS-01601</x:v>
      </x:c>
      <x:c r="C1602" s="8" t="n">
        <x:v>45387</x:v>
      </x:c>
      <x:c r="D1602" s="4" t="str">
        <x:v>Sales operations manager</x:v>
      </x:c>
      <x:c r="E1602" s="4" t="str">
        <x:v>WhatsApp transcribed</x:v>
      </x:c>
      <x:c r="F1602" s="4" t="str">
        <x:v>Record captured</x:v>
      </x:c>
      <x:c r="G1602" s="4" t="str">
        <x:v>Handed over</x:v>
      </x:c>
    </x:row>
    <x:row r="1603" ht="34" customHeight="1">
      <x:c r="A1603" s="4" t="str">
        <x:v>RS-01602-E1</x:v>
      </x:c>
      <x:c r="B1603" s="4" t="str">
        <x:v>RS-01602</x:v>
      </x:c>
      <x:c r="C1603" s="8" t="n">
        <x:v>45388</x:v>
      </x:c>
      <x:c r="D1603" s="4" t="str">
        <x:v>Sales operations manager</x:v>
      </x:c>
      <x:c r="E1603" s="4" t="str">
        <x:v>Paper transcribed</x:v>
      </x:c>
      <x:c r="F1603" s="4" t="str">
        <x:v>Record captured</x:v>
      </x:c>
      <x:c r="G1603" s="4" t="str">
        <x:v>Enquiry</x:v>
      </x:c>
    </x:row>
    <x:row r="1604" ht="34" customHeight="1">
      <x:c r="A1604" s="4" t="str">
        <x:v>RS-01603-E1</x:v>
      </x:c>
      <x:c r="B1604" s="4" t="str">
        <x:v>RS-01603</x:v>
      </x:c>
      <x:c r="C1604" s="8" t="n">
        <x:v>45389</x:v>
      </x:c>
      <x:c r="D1604" s="4" t="str">
        <x:v>Sales operations manager</x:v>
      </x:c>
      <x:c r="E1604" s="4" t="str">
        <x:v>ERP form</x:v>
      </x:c>
      <x:c r="F1604" s="4" t="str">
        <x:v>Record captured</x:v>
      </x:c>
      <x:c r="G1604" s="4" t="str">
        <x:v>Reserved</x:v>
      </x:c>
    </x:row>
    <x:row r="1605" ht="34" customHeight="1">
      <x:c r="A1605" s="4" t="str">
        <x:v>RS-01604-E1</x:v>
      </x:c>
      <x:c r="B1605" s="4" t="str">
        <x:v>RS-01604</x:v>
      </x:c>
      <x:c r="C1605" s="8" t="n">
        <x:v>45390</x:v>
      </x:c>
      <x:c r="D1605" s="4" t="str">
        <x:v>Sales operations manager</x:v>
      </x:c>
      <x:c r="E1605" s="4" t="str">
        <x:v>WhatsApp transcribed</x:v>
      </x:c>
      <x:c r="F1605" s="4" t="str">
        <x:v>Record captured</x:v>
      </x:c>
      <x:c r="G1605" s="4" t="str">
        <x:v>Handed over</x:v>
      </x:c>
    </x:row>
    <x:row r="1606" ht="34" customHeight="1">
      <x:c r="A1606" s="4" t="str">
        <x:v>RS-01605-E1</x:v>
      </x:c>
      <x:c r="B1606" s="4" t="str">
        <x:v>RS-01605</x:v>
      </x:c>
      <x:c r="C1606" s="8" t="n">
        <x:v>45391</x:v>
      </x:c>
      <x:c r="D1606" s="4" t="str">
        <x:v>Sales operations manager</x:v>
      </x:c>
      <x:c r="E1606" s="4" t="str">
        <x:v>Paper transcribed</x:v>
      </x:c>
      <x:c r="F1606" s="4" t="str">
        <x:v>Record captured</x:v>
      </x:c>
      <x:c r="G1606" s="4" t="str">
        <x:v>Enquiry</x:v>
      </x:c>
    </x:row>
    <x:row r="1607" ht="34" customHeight="1">
      <x:c r="A1607" s="4" t="str">
        <x:v>RS-01606-E1</x:v>
      </x:c>
      <x:c r="B1607" s="4" t="str">
        <x:v>RS-01606</x:v>
      </x:c>
      <x:c r="C1607" s="8" t="n">
        <x:v>45392</x:v>
      </x:c>
      <x:c r="D1607" s="4" t="str">
        <x:v>Sales operations manager</x:v>
      </x:c>
      <x:c r="E1607" s="4" t="str">
        <x:v>Spreadsheet import</x:v>
      </x:c>
      <x:c r="F1607" s="4" t="str">
        <x:v>Record captured</x:v>
      </x:c>
      <x:c r="G1607" s="4" t="str">
        <x:v>Handed over</x:v>
      </x:c>
    </x:row>
    <x:row r="1608" ht="34" customHeight="1">
      <x:c r="A1608" s="4" t="str">
        <x:v>RS-01607-E1</x:v>
      </x:c>
      <x:c r="B1608" s="4" t="str">
        <x:v>RS-01607</x:v>
      </x:c>
      <x:c r="C1608" s="8" t="n">
        <x:v>45393</x:v>
      </x:c>
      <x:c r="D1608" s="4" t="str">
        <x:v>Sales operations manager</x:v>
      </x:c>
      <x:c r="E1608" s="4" t="str">
        <x:v>WhatsApp transcribed</x:v>
      </x:c>
      <x:c r="F1608" s="4" t="str">
        <x:v>Record captured</x:v>
      </x:c>
      <x:c r="G1608" s="4" t="str">
        <x:v>Agreement signed</x:v>
      </x:c>
    </x:row>
    <x:row r="1609" ht="34" customHeight="1">
      <x:c r="A1609" s="4" t="str">
        <x:v>RS-01608-E1</x:v>
      </x:c>
      <x:c r="B1609" s="4" t="str">
        <x:v>RS-01608</x:v>
      </x:c>
      <x:c r="C1609" s="8" t="n">
        <x:v>45394</x:v>
      </x:c>
      <x:c r="D1609" s="4" t="str">
        <x:v>Sales operations manager</x:v>
      </x:c>
      <x:c r="E1609" s="4" t="str">
        <x:v>ERP form</x:v>
      </x:c>
      <x:c r="F1609" s="4" t="str">
        <x:v>Record captured</x:v>
      </x:c>
      <x:c r="G1609" s="4" t="str">
        <x:v>Enquiry</x:v>
      </x:c>
    </x:row>
    <x:row r="1610" ht="34" customHeight="1">
      <x:c r="A1610" s="4" t="str">
        <x:v>RS-01609-E1</x:v>
      </x:c>
      <x:c r="B1610" s="4" t="str">
        <x:v>RS-01609</x:v>
      </x:c>
      <x:c r="C1610" s="8" t="n">
        <x:v>45395</x:v>
      </x:c>
      <x:c r="D1610" s="4" t="str">
        <x:v>Sales operations manager</x:v>
      </x:c>
      <x:c r="E1610" s="4" t="str">
        <x:v>WhatsApp transcribed</x:v>
      </x:c>
      <x:c r="F1610" s="4" t="str">
        <x:v>Record captured</x:v>
      </x:c>
      <x:c r="G1610" s="4" t="str">
        <x:v>Agreement signed</x:v>
      </x:c>
    </x:row>
    <x:row r="1611" ht="34" customHeight="1">
      <x:c r="A1611" s="4" t="str">
        <x:v>RS-01610-E1</x:v>
      </x:c>
      <x:c r="B1611" s="4" t="str">
        <x:v>RS-01610</x:v>
      </x:c>
      <x:c r="C1611" s="8" t="n">
        <x:v>45396</x:v>
      </x:c>
      <x:c r="D1611" s="4" t="str">
        <x:v>Sales operations manager</x:v>
      </x:c>
      <x:c r="E1611" s="4" t="str">
        <x:v>Paper transcribed</x:v>
      </x:c>
      <x:c r="F1611" s="4" t="str">
        <x:v>Record captured</x:v>
      </x:c>
      <x:c r="G1611" s="4" t="str">
        <x:v>Agreement signed</x:v>
      </x:c>
    </x:row>
    <x:row r="1612" ht="34" customHeight="1">
      <x:c r="A1612" s="4" t="str">
        <x:v>RS-01611-E1</x:v>
      </x:c>
      <x:c r="B1612" s="4" t="str">
        <x:v>RS-01611</x:v>
      </x:c>
      <x:c r="C1612" s="8" t="n">
        <x:v>45397</x:v>
      </x:c>
      <x:c r="D1612" s="4" t="str">
        <x:v>Sales operations manager</x:v>
      </x:c>
      <x:c r="E1612" s="4" t="str">
        <x:v>ERP form</x:v>
      </x:c>
      <x:c r="F1612" s="4" t="str">
        <x:v>Record captured</x:v>
      </x:c>
      <x:c r="G1612" s="4" t="str">
        <x:v>Handed over</x:v>
      </x:c>
    </x:row>
    <x:row r="1613" ht="34" customHeight="1">
      <x:c r="A1613" s="4" t="str">
        <x:v>RS-01612-E1</x:v>
      </x:c>
      <x:c r="B1613" s="4" t="str">
        <x:v>RS-01612</x:v>
      </x:c>
      <x:c r="C1613" s="8" t="n">
        <x:v>45398</x:v>
      </x:c>
      <x:c r="D1613" s="4" t="str">
        <x:v>Sales operations manager</x:v>
      </x:c>
      <x:c r="E1613" s="4" t="str">
        <x:v>Spreadsheet import</x:v>
      </x:c>
      <x:c r="F1613" s="4" t="str">
        <x:v>Record captured</x:v>
      </x:c>
      <x:c r="G1613" s="4" t="str">
        <x:v>Booked</x:v>
      </x:c>
    </x:row>
    <x:row r="1614" ht="34" customHeight="1">
      <x:c r="A1614" s="4" t="str">
        <x:v>RS-01613-E1</x:v>
      </x:c>
      <x:c r="B1614" s="4" t="str">
        <x:v>RS-01613</x:v>
      </x:c>
      <x:c r="C1614" s="8" t="n">
        <x:v>45399</x:v>
      </x:c>
      <x:c r="D1614" s="4" t="str">
        <x:v>Sales operations manager</x:v>
      </x:c>
      <x:c r="E1614" s="4" t="str">
        <x:v>WhatsApp transcribed</x:v>
      </x:c>
      <x:c r="F1614" s="4" t="str">
        <x:v>Record captured</x:v>
      </x:c>
      <x:c r="G1614" s="4" t="str">
        <x:v>Enquiry</x:v>
      </x:c>
    </x:row>
    <x:row r="1615" ht="34" customHeight="1">
      <x:c r="A1615" s="4" t="str">
        <x:v>RS-01614-E1</x:v>
      </x:c>
      <x:c r="B1615" s="4" t="str">
        <x:v>RS-01614</x:v>
      </x:c>
      <x:c r="C1615" s="8" t="n">
        <x:v>45400</x:v>
      </x:c>
      <x:c r="D1615" s="4" t="str">
        <x:v>Sales operations manager</x:v>
      </x:c>
      <x:c r="E1615" s="4" t="str">
        <x:v>Paper transcribed</x:v>
      </x:c>
      <x:c r="F1615" s="4" t="str">
        <x:v>Record captured</x:v>
      </x:c>
      <x:c r="G1615" s="4" t="str">
        <x:v>Enquiry</x:v>
      </x:c>
    </x:row>
    <x:row r="1616" ht="34" customHeight="1">
      <x:c r="A1616" s="4" t="str">
        <x:v>RS-01615-E1</x:v>
      </x:c>
      <x:c r="B1616" s="4" t="str">
        <x:v>RS-01615</x:v>
      </x:c>
      <x:c r="C1616" s="8" t="n">
        <x:v>45401</x:v>
      </x:c>
      <x:c r="D1616" s="4" t="str">
        <x:v>Sales operations manager</x:v>
      </x:c>
      <x:c r="E1616" s="4" t="str">
        <x:v>Paper transcribed</x:v>
      </x:c>
      <x:c r="F1616" s="4" t="str">
        <x:v>Record captured</x:v>
      </x:c>
      <x:c r="G1616" s="4" t="str">
        <x:v>Booked</x:v>
      </x:c>
    </x:row>
    <x:row r="1617" ht="34" customHeight="1">
      <x:c r="A1617" s="4" t="str">
        <x:v>RS-01616-E1</x:v>
      </x:c>
      <x:c r="B1617" s="4" t="str">
        <x:v>RS-01616</x:v>
      </x:c>
      <x:c r="C1617" s="8" t="n">
        <x:v>45402</x:v>
      </x:c>
      <x:c r="D1617" s="4" t="str">
        <x:v>Sales operations manager</x:v>
      </x:c>
      <x:c r="E1617" s="4" t="str">
        <x:v>ERP form</x:v>
      </x:c>
      <x:c r="F1617" s="4" t="str">
        <x:v>Record captured</x:v>
      </x:c>
      <x:c r="G1617" s="4" t="str">
        <x:v>Booked</x:v>
      </x:c>
    </x:row>
    <x:row r="1618" ht="34" customHeight="1">
      <x:c r="A1618" s="4" t="str">
        <x:v>RS-01617-E1</x:v>
      </x:c>
      <x:c r="B1618" s="4" t="str">
        <x:v>RS-01617</x:v>
      </x:c>
      <x:c r="C1618" s="8" t="n">
        <x:v>45403</x:v>
      </x:c>
      <x:c r="D1618" s="4" t="str">
        <x:v>Sales operations manager</x:v>
      </x:c>
      <x:c r="E1618" s="4" t="str">
        <x:v>WhatsApp transcribed</x:v>
      </x:c>
      <x:c r="F1618" s="4" t="str">
        <x:v>Record captured</x:v>
      </x:c>
      <x:c r="G1618" s="4" t="str">
        <x:v>Enquiry</x:v>
      </x:c>
    </x:row>
    <x:row r="1619" ht="34" customHeight="1">
      <x:c r="A1619" s="4" t="str">
        <x:v>RS-01618-E1</x:v>
      </x:c>
      <x:c r="B1619" s="4" t="str">
        <x:v>RS-01618</x:v>
      </x:c>
      <x:c r="C1619" s="8" t="n">
        <x:v>45404</x:v>
      </x:c>
      <x:c r="D1619" s="4" t="str">
        <x:v>Sales operations manager</x:v>
      </x:c>
      <x:c r="E1619" s="4" t="str">
        <x:v>Paper transcribed</x:v>
      </x:c>
      <x:c r="F1619" s="4" t="str">
        <x:v>Record captured</x:v>
      </x:c>
      <x:c r="G1619" s="4" t="str">
        <x:v>Reserved</x:v>
      </x:c>
    </x:row>
    <x:row r="1620" ht="34" customHeight="1">
      <x:c r="A1620" s="4" t="str">
        <x:v>RS-01619-E1</x:v>
      </x:c>
      <x:c r="B1620" s="4" t="str">
        <x:v>RS-01619</x:v>
      </x:c>
      <x:c r="C1620" s="8" t="n">
        <x:v>45405</x:v>
      </x:c>
      <x:c r="D1620" s="4" t="str">
        <x:v>Sales operations manager</x:v>
      </x:c>
      <x:c r="E1620" s="4" t="str">
        <x:v>ERP form</x:v>
      </x:c>
      <x:c r="F1620" s="4" t="str">
        <x:v>Record captured</x:v>
      </x:c>
      <x:c r="G1620" s="4" t="str">
        <x:v>Reserved</x:v>
      </x:c>
    </x:row>
    <x:row r="1621" ht="34" customHeight="1">
      <x:c r="A1621" s="4" t="str">
        <x:v>RS-01620-E1</x:v>
      </x:c>
      <x:c r="B1621" s="4" t="str">
        <x:v>RS-01620</x:v>
      </x:c>
      <x:c r="C1621" s="8" t="n">
        <x:v>45406</x:v>
      </x:c>
      <x:c r="D1621" s="4" t="str">
        <x:v>Sales operations manager</x:v>
      </x:c>
      <x:c r="E1621" s="4" t="str">
        <x:v>WhatsApp transcribed</x:v>
      </x:c>
      <x:c r="F1621" s="4" t="str">
        <x:v>Record captured</x:v>
      </x:c>
      <x:c r="G1621" s="4" t="str">
        <x:v>Booked</x:v>
      </x:c>
    </x:row>
    <x:row r="1622" ht="34" customHeight="1">
      <x:c r="A1622" s="4" t="str">
        <x:v>RS-01621-E1</x:v>
      </x:c>
      <x:c r="B1622" s="4" t="str">
        <x:v>RS-01621</x:v>
      </x:c>
      <x:c r="C1622" s="8" t="n">
        <x:v>45407</x:v>
      </x:c>
      <x:c r="D1622" s="4" t="str">
        <x:v>Sales operations manager</x:v>
      </x:c>
      <x:c r="E1622" s="4" t="str">
        <x:v>Spreadsheet import</x:v>
      </x:c>
      <x:c r="F1622" s="4" t="str">
        <x:v>Record captured</x:v>
      </x:c>
      <x:c r="G1622" s="4" t="str">
        <x:v>Cancelled</x:v>
      </x:c>
    </x:row>
    <x:row r="1623" ht="34" customHeight="1">
      <x:c r="A1623" s="4" t="str">
        <x:v>RS-01622-E1</x:v>
      </x:c>
      <x:c r="B1623" s="4" t="str">
        <x:v>RS-01622</x:v>
      </x:c>
      <x:c r="C1623" s="8" t="n">
        <x:v>45408</x:v>
      </x:c>
      <x:c r="D1623" s="4" t="str">
        <x:v>Sales operations manager</x:v>
      </x:c>
      <x:c r="E1623" s="4" t="str">
        <x:v>Spreadsheet import</x:v>
      </x:c>
      <x:c r="F1623" s="4" t="str">
        <x:v>Record captured</x:v>
      </x:c>
      <x:c r="G1623" s="4" t="str">
        <x:v>Booked</x:v>
      </x:c>
    </x:row>
    <x:row r="1624" ht="34" customHeight="1">
      <x:c r="A1624" s="4" t="str">
        <x:v>RS-01623-E1</x:v>
      </x:c>
      <x:c r="B1624" s="4" t="str">
        <x:v>RS-01623</x:v>
      </x:c>
      <x:c r="C1624" s="8" t="n">
        <x:v>45409</x:v>
      </x:c>
      <x:c r="D1624" s="4" t="str">
        <x:v>Sales operations manager</x:v>
      </x:c>
      <x:c r="E1624" s="4" t="str">
        <x:v>ERP form</x:v>
      </x:c>
      <x:c r="F1624" s="4" t="str">
        <x:v>Record captured</x:v>
      </x:c>
      <x:c r="G1624" s="4" t="str">
        <x:v>Cancelled</x:v>
      </x:c>
    </x:row>
    <x:row r="1625" ht="34" customHeight="1">
      <x:c r="A1625" s="4" t="str">
        <x:v>RS-01624-E1</x:v>
      </x:c>
      <x:c r="B1625" s="4" t="str">
        <x:v>RS-01624</x:v>
      </x:c>
      <x:c r="C1625" s="8" t="n">
        <x:v>45410</x:v>
      </x:c>
      <x:c r="D1625" s="4" t="str">
        <x:v>Sales operations manager</x:v>
      </x:c>
      <x:c r="E1625" s="4" t="str">
        <x:v>Paper transcribed</x:v>
      </x:c>
      <x:c r="F1625" s="4" t="str">
        <x:v>Record captured</x:v>
      </x:c>
      <x:c r="G1625" s="4" t="str">
        <x:v>Agreement signed</x:v>
      </x:c>
    </x:row>
    <x:row r="1626" ht="34" customHeight="1">
      <x:c r="A1626" s="4" t="str">
        <x:v>RS-01625-E1</x:v>
      </x:c>
      <x:c r="B1626" s="4" t="str">
        <x:v>RS-01625</x:v>
      </x:c>
      <x:c r="C1626" s="8" t="n">
        <x:v>45383</x:v>
      </x:c>
      <x:c r="D1626" s="4" t="str">
        <x:v>Sales operations manager</x:v>
      </x:c>
      <x:c r="E1626" s="4" t="str">
        <x:v>ERP form</x:v>
      </x:c>
      <x:c r="F1626" s="4" t="str">
        <x:v>Record captured</x:v>
      </x:c>
      <x:c r="G1626" s="4" t="str">
        <x:v>Handed over</x:v>
      </x:c>
    </x:row>
    <x:row r="1627" ht="34" customHeight="1">
      <x:c r="A1627" s="4" t="str">
        <x:v>RS-01626-E1</x:v>
      </x:c>
      <x:c r="B1627" s="4" t="str">
        <x:v>RS-01626</x:v>
      </x:c>
      <x:c r="C1627" s="8" t="n">
        <x:v>45384</x:v>
      </x:c>
      <x:c r="D1627" s="4" t="str">
        <x:v>Sales operations manager</x:v>
      </x:c>
      <x:c r="E1627" s="4" t="str">
        <x:v>ERP form</x:v>
      </x:c>
      <x:c r="F1627" s="4" t="str">
        <x:v>Record captured</x:v>
      </x:c>
      <x:c r="G1627" s="4" t="str">
        <x:v>Cancelled</x:v>
      </x:c>
    </x:row>
    <x:row r="1628" ht="34" customHeight="1">
      <x:c r="A1628" s="4" t="str">
        <x:v>RS-01627-E1</x:v>
      </x:c>
      <x:c r="B1628" s="4" t="str">
        <x:v>RS-01627</x:v>
      </x:c>
      <x:c r="C1628" s="8" t="n">
        <x:v>45385</x:v>
      </x:c>
      <x:c r="D1628" s="4" t="str">
        <x:v>Sales operations manager</x:v>
      </x:c>
      <x:c r="E1628" s="4" t="str">
        <x:v>Paper transcribed</x:v>
      </x:c>
      <x:c r="F1628" s="4" t="str">
        <x:v>Record captured</x:v>
      </x:c>
      <x:c r="G1628" s="4" t="str">
        <x:v>Agreement signed</x:v>
      </x:c>
    </x:row>
    <x:row r="1629" ht="34" customHeight="1">
      <x:c r="A1629" s="4" t="str">
        <x:v>RS-01628-E1</x:v>
      </x:c>
      <x:c r="B1629" s="4" t="str">
        <x:v>RS-01628</x:v>
      </x:c>
      <x:c r="C1629" s="8" t="n">
        <x:v>45386</x:v>
      </x:c>
      <x:c r="D1629" s="4" t="str">
        <x:v>Sales operations manager</x:v>
      </x:c>
      <x:c r="E1629" s="4" t="str">
        <x:v>WhatsApp transcribed</x:v>
      </x:c>
      <x:c r="F1629" s="4" t="str">
        <x:v>Record captured</x:v>
      </x:c>
      <x:c r="G1629" s="4" t="str">
        <x:v>Booked</x:v>
      </x:c>
    </x:row>
    <x:row r="1630" ht="34" customHeight="1">
      <x:c r="A1630" s="4" t="str">
        <x:v>RS-01629-E1</x:v>
      </x:c>
      <x:c r="B1630" s="4" t="str">
        <x:v>RS-01629</x:v>
      </x:c>
      <x:c r="C1630" s="8" t="n">
        <x:v>45387</x:v>
      </x:c>
      <x:c r="D1630" s="4" t="str">
        <x:v>Sales operations manager</x:v>
      </x:c>
      <x:c r="E1630" s="4" t="str">
        <x:v>WhatsApp transcribed</x:v>
      </x:c>
      <x:c r="F1630" s="4" t="str">
        <x:v>Record captured</x:v>
      </x:c>
      <x:c r="G1630" s="4" t="str">
        <x:v>Handed over</x:v>
      </x:c>
    </x:row>
    <x:row r="1631" ht="34" customHeight="1">
      <x:c r="A1631" s="4" t="str">
        <x:v>RS-01630-E1</x:v>
      </x:c>
      <x:c r="B1631" s="4" t="str">
        <x:v>RS-01630</x:v>
      </x:c>
      <x:c r="C1631" s="8" t="n">
        <x:v>45388</x:v>
      </x:c>
      <x:c r="D1631" s="4" t="str">
        <x:v>Sales operations manager</x:v>
      </x:c>
      <x:c r="E1631" s="4" t="str">
        <x:v>ERP form</x:v>
      </x:c>
      <x:c r="F1631" s="4" t="str">
        <x:v>Record captured</x:v>
      </x:c>
      <x:c r="G1631" s="4" t="str">
        <x:v>Cancelled</x:v>
      </x:c>
    </x:row>
    <x:row r="1632" ht="34" customHeight="1">
      <x:c r="A1632" s="4" t="str">
        <x:v>RS-01631-E1</x:v>
      </x:c>
      <x:c r="B1632" s="4" t="str">
        <x:v>RS-01631</x:v>
      </x:c>
      <x:c r="C1632" s="8" t="n">
        <x:v>45389</x:v>
      </x:c>
      <x:c r="D1632" s="4" t="str">
        <x:v>Sales operations manager</x:v>
      </x:c>
      <x:c r="E1632" s="4" t="str">
        <x:v>Paper transcribed</x:v>
      </x:c>
      <x:c r="F1632" s="4" t="str">
        <x:v>Record captured</x:v>
      </x:c>
      <x:c r="G1632" s="4" t="str">
        <x:v>Booked</x:v>
      </x:c>
    </x:row>
    <x:row r="1633" ht="34" customHeight="1">
      <x:c r="A1633" s="4" t="str">
        <x:v>RS-01632-E1</x:v>
      </x:c>
      <x:c r="B1633" s="4" t="str">
        <x:v>RS-01632</x:v>
      </x:c>
      <x:c r="C1633" s="8" t="n">
        <x:v>45390</x:v>
      </x:c>
      <x:c r="D1633" s="4" t="str">
        <x:v>Sales operations manager</x:v>
      </x:c>
      <x:c r="E1633" s="4" t="str">
        <x:v>Paper transcribed</x:v>
      </x:c>
      <x:c r="F1633" s="4" t="str">
        <x:v>Record captured</x:v>
      </x:c>
      <x:c r="G1633" s="4" t="str">
        <x:v>Reserved</x:v>
      </x:c>
    </x:row>
    <x:row r="1634" ht="34" customHeight="1">
      <x:c r="A1634" s="4" t="str">
        <x:v>RS-01633-E1</x:v>
      </x:c>
      <x:c r="B1634" s="4" t="str">
        <x:v>RS-01633</x:v>
      </x:c>
      <x:c r="C1634" s="8" t="n">
        <x:v>45391</x:v>
      </x:c>
      <x:c r="D1634" s="4" t="str">
        <x:v>Sales operations manager</x:v>
      </x:c>
      <x:c r="E1634" s="4" t="str">
        <x:v>Spreadsheet import</x:v>
      </x:c>
      <x:c r="F1634" s="4" t="str">
        <x:v>Record captured</x:v>
      </x:c>
      <x:c r="G1634" s="4" t="str">
        <x:v>Cancelled</x:v>
      </x:c>
    </x:row>
    <x:row r="1635" ht="34" customHeight="1">
      <x:c r="A1635" s="4" t="str">
        <x:v>RS-01634-E1</x:v>
      </x:c>
      <x:c r="B1635" s="4" t="str">
        <x:v>RS-01634</x:v>
      </x:c>
      <x:c r="C1635" s="8" t="n">
        <x:v>45392</x:v>
      </x:c>
      <x:c r="D1635" s="4" t="str">
        <x:v>Sales operations manager</x:v>
      </x:c>
      <x:c r="E1635" s="4" t="str">
        <x:v>Paper transcribed</x:v>
      </x:c>
      <x:c r="F1635" s="4" t="str">
        <x:v>Record captured</x:v>
      </x:c>
      <x:c r="G1635" s="4" t="str">
        <x:v>Cancelled</x:v>
      </x:c>
    </x:row>
    <x:row r="1636" ht="34" customHeight="1">
      <x:c r="A1636" s="4" t="str">
        <x:v>RS-01635-E1</x:v>
      </x:c>
      <x:c r="B1636" s="4" t="str">
        <x:v>RS-01635</x:v>
      </x:c>
      <x:c r="C1636" s="8" t="n">
        <x:v>45393</x:v>
      </x:c>
      <x:c r="D1636" s="4" t="str">
        <x:v>Sales operations manager</x:v>
      </x:c>
      <x:c r="E1636" s="4" t="str">
        <x:v>ERP form</x:v>
      </x:c>
      <x:c r="F1636" s="4" t="str">
        <x:v>Record captured</x:v>
      </x:c>
      <x:c r="G1636" s="4" t="str">
        <x:v>Cancelled</x:v>
      </x:c>
    </x:row>
    <x:row r="1637" ht="34" customHeight="1">
      <x:c r="A1637" s="4" t="str">
        <x:v>RS-01636-E1</x:v>
      </x:c>
      <x:c r="B1637" s="4" t="str">
        <x:v>RS-01636</x:v>
      </x:c>
      <x:c r="C1637" s="8" t="n">
        <x:v>45394</x:v>
      </x:c>
      <x:c r="D1637" s="4" t="str">
        <x:v>Sales operations manager</x:v>
      </x:c>
      <x:c r="E1637" s="4" t="str">
        <x:v>ERP form</x:v>
      </x:c>
      <x:c r="F1637" s="4" t="str">
        <x:v>Record captured</x:v>
      </x:c>
      <x:c r="G1637" s="4" t="str">
        <x:v>Booked</x:v>
      </x:c>
    </x:row>
    <x:row r="1638" ht="34" customHeight="1">
      <x:c r="A1638" s="4" t="str">
        <x:v>RS-01637-E1</x:v>
      </x:c>
      <x:c r="B1638" s="4" t="str">
        <x:v>RS-01637</x:v>
      </x:c>
      <x:c r="C1638" s="8" t="n">
        <x:v>45395</x:v>
      </x:c>
      <x:c r="D1638" s="4" t="str">
        <x:v>Sales operations manager</x:v>
      </x:c>
      <x:c r="E1638" s="4" t="str">
        <x:v>Spreadsheet import</x:v>
      </x:c>
      <x:c r="F1638" s="4" t="str">
        <x:v>Record captured</x:v>
      </x:c>
      <x:c r="G1638" s="4" t="str">
        <x:v>Reserved</x:v>
      </x:c>
    </x:row>
    <x:row r="1639" ht="34" customHeight="1">
      <x:c r="A1639" s="4" t="str">
        <x:v>RS-01638-E1</x:v>
      </x:c>
      <x:c r="B1639" s="4" t="str">
        <x:v>RS-01638</x:v>
      </x:c>
      <x:c r="C1639" s="8" t="n">
        <x:v>45396</x:v>
      </x:c>
      <x:c r="D1639" s="4" t="str">
        <x:v>Sales operations manager</x:v>
      </x:c>
      <x:c r="E1639" s="4" t="str">
        <x:v>WhatsApp transcribed</x:v>
      </x:c>
      <x:c r="F1639" s="4" t="str">
        <x:v>Record captured</x:v>
      </x:c>
      <x:c r="G1639" s="4" t="str">
        <x:v>Booked</x:v>
      </x:c>
    </x:row>
    <x:row r="1640" ht="34" customHeight="1">
      <x:c r="A1640" s="4" t="str">
        <x:v>RS-01639-E1</x:v>
      </x:c>
      <x:c r="B1640" s="4" t="str">
        <x:v>RS-01639</x:v>
      </x:c>
      <x:c r="C1640" s="8" t="n">
        <x:v>45397</x:v>
      </x:c>
      <x:c r="D1640" s="4" t="str">
        <x:v>Sales operations manager</x:v>
      </x:c>
      <x:c r="E1640" s="4" t="str">
        <x:v>Spreadsheet import</x:v>
      </x:c>
      <x:c r="F1640" s="4" t="str">
        <x:v>Record captured</x:v>
      </x:c>
      <x:c r="G1640" s="4" t="str">
        <x:v>Booked</x:v>
      </x:c>
    </x:row>
    <x:row r="1641" ht="34" customHeight="1">
      <x:c r="A1641" s="4" t="str">
        <x:v>RS-01640-E1</x:v>
      </x:c>
      <x:c r="B1641" s="4" t="str">
        <x:v>RS-01640</x:v>
      </x:c>
      <x:c r="C1641" s="8" t="n">
        <x:v>45398</x:v>
      </x:c>
      <x:c r="D1641" s="4" t="str">
        <x:v>Sales operations manager</x:v>
      </x:c>
      <x:c r="E1641" s="4" t="str">
        <x:v>Paper transcribed</x:v>
      </x:c>
      <x:c r="F1641" s="4" t="str">
        <x:v>Record captured</x:v>
      </x:c>
      <x:c r="G1641" s="4" t="str">
        <x:v>Booked</x:v>
      </x:c>
    </x:row>
    <x:row r="1642" ht="34" customHeight="1">
      <x:c r="A1642" s="4" t="str">
        <x:v>RS-01641-E1</x:v>
      </x:c>
      <x:c r="B1642" s="4" t="str">
        <x:v>RS-01641</x:v>
      </x:c>
      <x:c r="C1642" s="8" t="n">
        <x:v>45399</x:v>
      </x:c>
      <x:c r="D1642" s="4" t="str">
        <x:v>Sales operations manager</x:v>
      </x:c>
      <x:c r="E1642" s="4" t="str">
        <x:v>Spreadsheet import</x:v>
      </x:c>
      <x:c r="F1642" s="4" t="str">
        <x:v>Record captured</x:v>
      </x:c>
      <x:c r="G1642" s="4" t="str">
        <x:v>Enquiry</x:v>
      </x:c>
    </x:row>
    <x:row r="1643" ht="34" customHeight="1">
      <x:c r="A1643" s="4" t="str">
        <x:v>RS-01642-E1</x:v>
      </x:c>
      <x:c r="B1643" s="4" t="str">
        <x:v>RS-01642</x:v>
      </x:c>
      <x:c r="C1643" s="8" t="n">
        <x:v>45400</x:v>
      </x:c>
      <x:c r="D1643" s="4" t="str">
        <x:v>Sales operations manager</x:v>
      </x:c>
      <x:c r="E1643" s="4" t="str">
        <x:v>Spreadsheet import</x:v>
      </x:c>
      <x:c r="F1643" s="4" t="str">
        <x:v>Record captured</x:v>
      </x:c>
      <x:c r="G1643" s="4" t="str">
        <x:v>Booked</x:v>
      </x:c>
    </x:row>
    <x:row r="1644" ht="34" customHeight="1">
      <x:c r="A1644" s="4" t="str">
        <x:v>RS-01643-E1</x:v>
      </x:c>
      <x:c r="B1644" s="4" t="str">
        <x:v>RS-01643</x:v>
      </x:c>
      <x:c r="C1644" s="8" t="n">
        <x:v>45401</x:v>
      </x:c>
      <x:c r="D1644" s="4" t="str">
        <x:v>Sales operations manager</x:v>
      </x:c>
      <x:c r="E1644" s="4" t="str">
        <x:v>Spreadsheet import</x:v>
      </x:c>
      <x:c r="F1644" s="4" t="str">
        <x:v>Record captured</x:v>
      </x:c>
      <x:c r="G1644" s="4" t="str">
        <x:v>Cancelled</x:v>
      </x:c>
    </x:row>
    <x:row r="1645" ht="34" customHeight="1">
      <x:c r="A1645" s="4" t="str">
        <x:v>RS-01644-E1</x:v>
      </x:c>
      <x:c r="B1645" s="4" t="str">
        <x:v>RS-01644</x:v>
      </x:c>
      <x:c r="C1645" s="8" t="n">
        <x:v>45402</x:v>
      </x:c>
      <x:c r="D1645" s="4" t="str">
        <x:v>Sales operations manager</x:v>
      </x:c>
      <x:c r="E1645" s="4" t="str">
        <x:v>ERP form</x:v>
      </x:c>
      <x:c r="F1645" s="4" t="str">
        <x:v>Record captured</x:v>
      </x:c>
      <x:c r="G1645" s="4" t="str">
        <x:v>Booked</x:v>
      </x:c>
    </x:row>
    <x:row r="1646" ht="34" customHeight="1">
      <x:c r="A1646" s="4" t="str">
        <x:v>RS-01645-E1</x:v>
      </x:c>
      <x:c r="B1646" s="4" t="str">
        <x:v>RS-01645</x:v>
      </x:c>
      <x:c r="C1646" s="8" t="n">
        <x:v>45403</x:v>
      </x:c>
      <x:c r="D1646" s="4" t="str">
        <x:v>Sales operations manager</x:v>
      </x:c>
      <x:c r="E1646" s="4" t="str">
        <x:v>Spreadsheet import</x:v>
      </x:c>
      <x:c r="F1646" s="4" t="str">
        <x:v>Record captured</x:v>
      </x:c>
      <x:c r="G1646" s="4" t="str">
        <x:v>Cancelled</x:v>
      </x:c>
    </x:row>
    <x:row r="1647" ht="34" customHeight="1">
      <x:c r="A1647" s="4" t="str">
        <x:v>RS-01646-E1</x:v>
      </x:c>
      <x:c r="B1647" s="4" t="str">
        <x:v>RS-01646</x:v>
      </x:c>
      <x:c r="C1647" s="8" t="n">
        <x:v>45404</x:v>
      </x:c>
      <x:c r="D1647" s="4" t="str">
        <x:v>Sales operations manager</x:v>
      </x:c>
      <x:c r="E1647" s="4" t="str">
        <x:v>WhatsApp transcribed</x:v>
      </x:c>
      <x:c r="F1647" s="4" t="str">
        <x:v>Record captured</x:v>
      </x:c>
      <x:c r="G1647" s="4" t="str">
        <x:v>Handed over</x:v>
      </x:c>
    </x:row>
    <x:row r="1648" ht="34" customHeight="1">
      <x:c r="A1648" s="4" t="str">
        <x:v>RS-01647-E1</x:v>
      </x:c>
      <x:c r="B1648" s="4" t="str">
        <x:v>RS-01647</x:v>
      </x:c>
      <x:c r="C1648" s="8" t="n">
        <x:v>45405</x:v>
      </x:c>
      <x:c r="D1648" s="4" t="str">
        <x:v>Sales operations manager</x:v>
      </x:c>
      <x:c r="E1648" s="4" t="str">
        <x:v>WhatsApp transcribed</x:v>
      </x:c>
      <x:c r="F1648" s="4" t="str">
        <x:v>Record captured</x:v>
      </x:c>
      <x:c r="G1648" s="4" t="str">
        <x:v>Cancelled</x:v>
      </x:c>
    </x:row>
    <x:row r="1649" ht="34" customHeight="1">
      <x:c r="A1649" s="4" t="str">
        <x:v>RS-01648-E1</x:v>
      </x:c>
      <x:c r="B1649" s="4" t="str">
        <x:v>RS-01648</x:v>
      </x:c>
      <x:c r="C1649" s="8" t="n">
        <x:v>45406</x:v>
      </x:c>
      <x:c r="D1649" s="4" t="str">
        <x:v>Sales operations manager</x:v>
      </x:c>
      <x:c r="E1649" s="4" t="str">
        <x:v>Spreadsheet import</x:v>
      </x:c>
      <x:c r="F1649" s="4" t="str">
        <x:v>Record captured</x:v>
      </x:c>
      <x:c r="G1649" s="4" t="str">
        <x:v>Cancelled</x:v>
      </x:c>
    </x:row>
    <x:row r="1650" ht="34" customHeight="1">
      <x:c r="A1650" s="4" t="str">
        <x:v>RS-01649-E1</x:v>
      </x:c>
      <x:c r="B1650" s="4" t="str">
        <x:v>RS-01649</x:v>
      </x:c>
      <x:c r="C1650" s="8" t="n">
        <x:v>45407</x:v>
      </x:c>
      <x:c r="D1650" s="4" t="str">
        <x:v>Sales operations manager</x:v>
      </x:c>
      <x:c r="E1650" s="4" t="str">
        <x:v>Spreadsheet import</x:v>
      </x:c>
      <x:c r="F1650" s="4" t="str">
        <x:v>Record captured</x:v>
      </x:c>
      <x:c r="G1650" s="4" t="str">
        <x:v>Enquiry</x:v>
      </x:c>
    </x:row>
    <x:row r="1651" ht="34" customHeight="1">
      <x:c r="A1651" s="4" t="str">
        <x:v>RS-01650-E1</x:v>
      </x:c>
      <x:c r="B1651" s="4" t="str">
        <x:v>RS-01650</x:v>
      </x:c>
      <x:c r="C1651" s="8" t="n">
        <x:v>45408</x:v>
      </x:c>
      <x:c r="D1651" s="4" t="str">
        <x:v>Sales operations manager</x:v>
      </x:c>
      <x:c r="E1651" s="4" t="str">
        <x:v>WhatsApp transcribed</x:v>
      </x:c>
      <x:c r="F1651" s="4" t="str">
        <x:v>Record captured</x:v>
      </x:c>
      <x:c r="G1651" s="4" t="str">
        <x:v>Cancelled</x:v>
      </x:c>
    </x:row>
    <x:row r="1652" ht="34" customHeight="1">
      <x:c r="A1652" s="4" t="str">
        <x:v>RS-01651-E1</x:v>
      </x:c>
      <x:c r="B1652" s="4" t="str">
        <x:v>RS-01651</x:v>
      </x:c>
      <x:c r="C1652" s="8" t="n">
        <x:v>45409</x:v>
      </x:c>
      <x:c r="D1652" s="4" t="str">
        <x:v>Sales operations manager</x:v>
      </x:c>
      <x:c r="E1652" s="4" t="str">
        <x:v>ERP form</x:v>
      </x:c>
      <x:c r="F1652" s="4" t="str">
        <x:v>Record captured</x:v>
      </x:c>
      <x:c r="G1652" s="4" t="str">
        <x:v>Booked</x:v>
      </x:c>
    </x:row>
    <x:row r="1653" ht="34" customHeight="1">
      <x:c r="A1653" s="4" t="str">
        <x:v>RS-01652-E1</x:v>
      </x:c>
      <x:c r="B1653" s="4" t="str">
        <x:v>RS-01652</x:v>
      </x:c>
      <x:c r="C1653" s="8" t="n">
        <x:v>45410</x:v>
      </x:c>
      <x:c r="D1653" s="4" t="str">
        <x:v>Sales operations manager</x:v>
      </x:c>
      <x:c r="E1653" s="4" t="str">
        <x:v>ERP form</x:v>
      </x:c>
      <x:c r="F1653" s="4" t="str">
        <x:v>Record captured</x:v>
      </x:c>
      <x:c r="G1653" s="4" t="str">
        <x:v>Agreement signed</x:v>
      </x:c>
    </x:row>
    <x:row r="1654" ht="34" customHeight="1">
      <x:c r="A1654" s="4" t="str">
        <x:v>RS-01653-E1</x:v>
      </x:c>
      <x:c r="B1654" s="4" t="str">
        <x:v>RS-01653</x:v>
      </x:c>
      <x:c r="C1654" s="8" t="n">
        <x:v>45383</x:v>
      </x:c>
      <x:c r="D1654" s="4" t="str">
        <x:v>Sales operations manager</x:v>
      </x:c>
      <x:c r="E1654" s="4" t="str">
        <x:v>Spreadsheet import</x:v>
      </x:c>
      <x:c r="F1654" s="4" t="str">
        <x:v>Record captured</x:v>
      </x:c>
      <x:c r="G1654" s="4" t="str">
        <x:v>Agreement signed</x:v>
      </x:c>
    </x:row>
    <x:row r="1655" ht="34" customHeight="1">
      <x:c r="A1655" s="4" t="str">
        <x:v>RS-01654-E1</x:v>
      </x:c>
      <x:c r="B1655" s="4" t="str">
        <x:v>RS-01654</x:v>
      </x:c>
      <x:c r="C1655" s="8" t="n">
        <x:v>45384</x:v>
      </x:c>
      <x:c r="D1655" s="4" t="str">
        <x:v>Sales operations manager</x:v>
      </x:c>
      <x:c r="E1655" s="4" t="str">
        <x:v>Spreadsheet import</x:v>
      </x:c>
      <x:c r="F1655" s="4" t="str">
        <x:v>Record captured</x:v>
      </x:c>
      <x:c r="G1655" s="4" t="str">
        <x:v>Booked</x:v>
      </x:c>
    </x:row>
    <x:row r="1656" ht="34" customHeight="1">
      <x:c r="A1656" s="4" t="str">
        <x:v>RS-01655-E1</x:v>
      </x:c>
      <x:c r="B1656" s="4" t="str">
        <x:v>RS-01655</x:v>
      </x:c>
      <x:c r="C1656" s="8" t="n">
        <x:v>45385</x:v>
      </x:c>
      <x:c r="D1656" s="4" t="str">
        <x:v>Sales operations manager</x:v>
      </x:c>
      <x:c r="E1656" s="4" t="str">
        <x:v>WhatsApp transcribed</x:v>
      </x:c>
      <x:c r="F1656" s="4" t="str">
        <x:v>Record captured</x:v>
      </x:c>
      <x:c r="G1656" s="4" t="str">
        <x:v>Enquiry</x:v>
      </x:c>
    </x:row>
    <x:row r="1657" ht="34" customHeight="1">
      <x:c r="A1657" s="4" t="str">
        <x:v>RS-01656-E1</x:v>
      </x:c>
      <x:c r="B1657" s="4" t="str">
        <x:v>RS-01656</x:v>
      </x:c>
      <x:c r="C1657" s="8" t="n">
        <x:v>45386</x:v>
      </x:c>
      <x:c r="D1657" s="4" t="str">
        <x:v>Sales operations manager</x:v>
      </x:c>
      <x:c r="E1657" s="4" t="str">
        <x:v>WhatsApp transcribed</x:v>
      </x:c>
      <x:c r="F1657" s="4" t="str">
        <x:v>Record captured</x:v>
      </x:c>
      <x:c r="G1657" s="4" t="str">
        <x:v>Agreement signed</x:v>
      </x:c>
    </x:row>
    <x:row r="1658" ht="34" customHeight="1">
      <x:c r="A1658" s="4" t="str">
        <x:v>RS-01657-E1</x:v>
      </x:c>
      <x:c r="B1658" s="4" t="str">
        <x:v>RS-01657</x:v>
      </x:c>
      <x:c r="C1658" s="8" t="n">
        <x:v>45387</x:v>
      </x:c>
      <x:c r="D1658" s="4" t="str">
        <x:v>Sales operations manager</x:v>
      </x:c>
      <x:c r="E1658" s="4" t="str">
        <x:v>Spreadsheet import</x:v>
      </x:c>
      <x:c r="F1658" s="4" t="str">
        <x:v>Record captured</x:v>
      </x:c>
      <x:c r="G1658" s="4" t="str">
        <x:v>Reserved</x:v>
      </x:c>
    </x:row>
    <x:row r="1659" ht="34" customHeight="1">
      <x:c r="A1659" s="4" t="str">
        <x:v>RS-01658-E1</x:v>
      </x:c>
      <x:c r="B1659" s="4" t="str">
        <x:v>RS-01658</x:v>
      </x:c>
      <x:c r="C1659" s="8" t="n">
        <x:v>45388</x:v>
      </x:c>
      <x:c r="D1659" s="4" t="str">
        <x:v>Sales operations manager</x:v>
      </x:c>
      <x:c r="E1659" s="4" t="str">
        <x:v>Spreadsheet import</x:v>
      </x:c>
      <x:c r="F1659" s="4" t="str">
        <x:v>Record captured</x:v>
      </x:c>
      <x:c r="G1659" s="4" t="str">
        <x:v>Enquiry</x:v>
      </x:c>
    </x:row>
    <x:row r="1660" ht="34" customHeight="1">
      <x:c r="A1660" s="4" t="str">
        <x:v>RS-01659-E1</x:v>
      </x:c>
      <x:c r="B1660" s="4" t="str">
        <x:v>RS-01659</x:v>
      </x:c>
      <x:c r="C1660" s="8" t="n">
        <x:v>45389</x:v>
      </x:c>
      <x:c r="D1660" s="4" t="str">
        <x:v>Sales operations manager</x:v>
      </x:c>
      <x:c r="E1660" s="4" t="str">
        <x:v>ERP form</x:v>
      </x:c>
      <x:c r="F1660" s="4" t="str">
        <x:v>Record captured</x:v>
      </x:c>
      <x:c r="G1660" s="4" t="str">
        <x:v>Booked</x:v>
      </x:c>
    </x:row>
    <x:row r="1661" ht="34" customHeight="1">
      <x:c r="A1661" s="4" t="str">
        <x:v>RS-01660-E1</x:v>
      </x:c>
      <x:c r="B1661" s="4" t="str">
        <x:v>RS-01660</x:v>
      </x:c>
      <x:c r="C1661" s="8" t="n">
        <x:v>45390</x:v>
      </x:c>
      <x:c r="D1661" s="4" t="str">
        <x:v>Sales operations manager</x:v>
      </x:c>
      <x:c r="E1661" s="4" t="str">
        <x:v>Paper transcribed</x:v>
      </x:c>
      <x:c r="F1661" s="4" t="str">
        <x:v>Record captured</x:v>
      </x:c>
      <x:c r="G1661" s="4" t="str">
        <x:v>Cancelled</x:v>
      </x:c>
    </x:row>
    <x:row r="1662" ht="34" customHeight="1">
      <x:c r="A1662" s="4" t="str">
        <x:v>RS-01661-E1</x:v>
      </x:c>
      <x:c r="B1662" s="4" t="str">
        <x:v>RS-01661</x:v>
      </x:c>
      <x:c r="C1662" s="8" t="n">
        <x:v>45391</x:v>
      </x:c>
      <x:c r="D1662" s="4" t="str">
        <x:v>Sales operations manager</x:v>
      </x:c>
      <x:c r="E1662" s="4" t="str">
        <x:v>Spreadsheet import</x:v>
      </x:c>
      <x:c r="F1662" s="4" t="str">
        <x:v>Record captured</x:v>
      </x:c>
      <x:c r="G1662" s="4" t="str">
        <x:v>Cancelled</x:v>
      </x:c>
    </x:row>
    <x:row r="1663" ht="34" customHeight="1">
      <x:c r="A1663" s="4" t="str">
        <x:v>RS-01662-E1</x:v>
      </x:c>
      <x:c r="B1663" s="4" t="str">
        <x:v>RS-01662</x:v>
      </x:c>
      <x:c r="C1663" s="8" t="n">
        <x:v>45392</x:v>
      </x:c>
      <x:c r="D1663" s="4" t="str">
        <x:v>Sales operations manager</x:v>
      </x:c>
      <x:c r="E1663" s="4" t="str">
        <x:v>WhatsApp transcribed</x:v>
      </x:c>
      <x:c r="F1663" s="4" t="str">
        <x:v>Record captured</x:v>
      </x:c>
      <x:c r="G1663" s="4" t="str">
        <x:v>Handed over</x:v>
      </x:c>
    </x:row>
    <x:row r="1664" ht="34" customHeight="1">
      <x:c r="A1664" s="4" t="str">
        <x:v>RS-01663-E1</x:v>
      </x:c>
      <x:c r="B1664" s="4" t="str">
        <x:v>RS-01663</x:v>
      </x:c>
      <x:c r="C1664" s="8" t="n">
        <x:v>45393</x:v>
      </x:c>
      <x:c r="D1664" s="4" t="str">
        <x:v>Sales operations manager</x:v>
      </x:c>
      <x:c r="E1664" s="4" t="str">
        <x:v>Paper transcribed</x:v>
      </x:c>
      <x:c r="F1664" s="4" t="str">
        <x:v>Record captured</x:v>
      </x:c>
      <x:c r="G1664" s="4" t="str">
        <x:v>Handed over</x:v>
      </x:c>
    </x:row>
    <x:row r="1665" ht="34" customHeight="1">
      <x:c r="A1665" s="4" t="str">
        <x:v>RS-01664-E1</x:v>
      </x:c>
      <x:c r="B1665" s="4" t="str">
        <x:v>RS-01664</x:v>
      </x:c>
      <x:c r="C1665" s="8" t="n">
        <x:v>45394</x:v>
      </x:c>
      <x:c r="D1665" s="4" t="str">
        <x:v>Sales operations manager</x:v>
      </x:c>
      <x:c r="E1665" s="4" t="str">
        <x:v>Spreadsheet import</x:v>
      </x:c>
      <x:c r="F1665" s="4" t="str">
        <x:v>Record captured</x:v>
      </x:c>
      <x:c r="G1665" s="4" t="str">
        <x:v>Cancelled</x:v>
      </x:c>
    </x:row>
    <x:row r="1666" ht="34" customHeight="1">
      <x:c r="A1666" s="4" t="str">
        <x:v>RS-01665-E1</x:v>
      </x:c>
      <x:c r="B1666" s="4" t="str">
        <x:v>RS-01665</x:v>
      </x:c>
      <x:c r="C1666" s="8" t="n">
        <x:v>45395</x:v>
      </x:c>
      <x:c r="D1666" s="4" t="str">
        <x:v>Sales operations manager</x:v>
      </x:c>
      <x:c r="E1666" s="4" t="str">
        <x:v>ERP form</x:v>
      </x:c>
      <x:c r="F1666" s="4" t="str">
        <x:v>Record captured</x:v>
      </x:c>
      <x:c r="G1666" s="4" t="str">
        <x:v>Handed over</x:v>
      </x:c>
    </x:row>
    <x:row r="1667" ht="34" customHeight="1">
      <x:c r="A1667" s="4" t="str">
        <x:v>RS-01666-E1</x:v>
      </x:c>
      <x:c r="B1667" s="4" t="str">
        <x:v>RS-01666</x:v>
      </x:c>
      <x:c r="C1667" s="8" t="n">
        <x:v>45396</x:v>
      </x:c>
      <x:c r="D1667" s="4" t="str">
        <x:v>Sales operations manager</x:v>
      </x:c>
      <x:c r="E1667" s="4" t="str">
        <x:v>Paper transcribed</x:v>
      </x:c>
      <x:c r="F1667" s="4" t="str">
        <x:v>Record captured</x:v>
      </x:c>
      <x:c r="G1667" s="4" t="str">
        <x:v>Booked</x:v>
      </x:c>
    </x:row>
    <x:row r="1668" ht="34" customHeight="1">
      <x:c r="A1668" s="4" t="str">
        <x:v>RS-01667-E1</x:v>
      </x:c>
      <x:c r="B1668" s="4" t="str">
        <x:v>RS-01667</x:v>
      </x:c>
      <x:c r="C1668" s="8" t="n">
        <x:v>45397</x:v>
      </x:c>
      <x:c r="D1668" s="4" t="str">
        <x:v>Sales operations manager</x:v>
      </x:c>
      <x:c r="E1668" s="4" t="str">
        <x:v>WhatsApp transcribed</x:v>
      </x:c>
      <x:c r="F1668" s="4" t="str">
        <x:v>Record captured</x:v>
      </x:c>
      <x:c r="G1668" s="4" t="str">
        <x:v>Reserved</x:v>
      </x:c>
    </x:row>
    <x:row r="1669" ht="34" customHeight="1">
      <x:c r="A1669" s="4" t="str">
        <x:v>RS-01668-E1</x:v>
      </x:c>
      <x:c r="B1669" s="4" t="str">
        <x:v>RS-01668</x:v>
      </x:c>
      <x:c r="C1669" s="8" t="n">
        <x:v>45398</x:v>
      </x:c>
      <x:c r="D1669" s="4" t="str">
        <x:v>Sales operations manager</x:v>
      </x:c>
      <x:c r="E1669" s="4" t="str">
        <x:v>Spreadsheet import</x:v>
      </x:c>
      <x:c r="F1669" s="4" t="str">
        <x:v>Record captured</x:v>
      </x:c>
      <x:c r="G1669" s="4" t="str">
        <x:v>Handed over</x:v>
      </x:c>
    </x:row>
    <x:row r="1670" ht="34" customHeight="1">
      <x:c r="A1670" s="4" t="str">
        <x:v>RS-01669-E1</x:v>
      </x:c>
      <x:c r="B1670" s="4" t="str">
        <x:v>RS-01669</x:v>
      </x:c>
      <x:c r="C1670" s="8" t="n">
        <x:v>45399</x:v>
      </x:c>
      <x:c r="D1670" s="4" t="str">
        <x:v>Sales operations manager</x:v>
      </x:c>
      <x:c r="E1670" s="4" t="str">
        <x:v>Spreadsheet import</x:v>
      </x:c>
      <x:c r="F1670" s="4" t="str">
        <x:v>Record captured</x:v>
      </x:c>
      <x:c r="G1670" s="4" t="str">
        <x:v>Enquiry</x:v>
      </x:c>
    </x:row>
    <x:row r="1671" ht="34" customHeight="1">
      <x:c r="A1671" s="4" t="str">
        <x:v>RS-01670-E1</x:v>
      </x:c>
      <x:c r="B1671" s="4" t="str">
        <x:v>RS-01670</x:v>
      </x:c>
      <x:c r="C1671" s="8" t="n">
        <x:v>45400</x:v>
      </x:c>
      <x:c r="D1671" s="4" t="str">
        <x:v>Sales operations manager</x:v>
      </x:c>
      <x:c r="E1671" s="4" t="str">
        <x:v>ERP form</x:v>
      </x:c>
      <x:c r="F1671" s="4" t="str">
        <x:v>Record captured</x:v>
      </x:c>
      <x:c r="G1671" s="4" t="str">
        <x:v>Booked</x:v>
      </x:c>
    </x:row>
    <x:row r="1672" ht="34" customHeight="1">
      <x:c r="A1672" s="4" t="str">
        <x:v>RS-01671-E1</x:v>
      </x:c>
      <x:c r="B1672" s="4" t="str">
        <x:v>RS-01671</x:v>
      </x:c>
      <x:c r="C1672" s="8" t="n">
        <x:v>45401</x:v>
      </x:c>
      <x:c r="D1672" s="4" t="str">
        <x:v>Sales operations manager</x:v>
      </x:c>
      <x:c r="E1672" s="4" t="str">
        <x:v>WhatsApp transcribed</x:v>
      </x:c>
      <x:c r="F1672" s="4" t="str">
        <x:v>Record captured</x:v>
      </x:c>
      <x:c r="G1672" s="4" t="str">
        <x:v>Reserved</x:v>
      </x:c>
    </x:row>
    <x:row r="1673" ht="34" customHeight="1">
      <x:c r="A1673" s="4" t="str">
        <x:v>RS-01672-E1</x:v>
      </x:c>
      <x:c r="B1673" s="4" t="str">
        <x:v>RS-01672</x:v>
      </x:c>
      <x:c r="C1673" s="8" t="n">
        <x:v>45402</x:v>
      </x:c>
      <x:c r="D1673" s="4" t="str">
        <x:v>Sales operations manager</x:v>
      </x:c>
      <x:c r="E1673" s="4" t="str">
        <x:v>Paper transcribed</x:v>
      </x:c>
      <x:c r="F1673" s="4" t="str">
        <x:v>Record captured</x:v>
      </x:c>
      <x:c r="G1673" s="4" t="str">
        <x:v>Cancelled</x:v>
      </x:c>
    </x:row>
    <x:row r="1674" ht="34" customHeight="1">
      <x:c r="A1674" s="4" t="str">
        <x:v>RS-01673-E1</x:v>
      </x:c>
      <x:c r="B1674" s="4" t="str">
        <x:v>RS-01673</x:v>
      </x:c>
      <x:c r="C1674" s="8" t="n">
        <x:v>45403</x:v>
      </x:c>
      <x:c r="D1674" s="4" t="str">
        <x:v>Sales operations manager</x:v>
      </x:c>
      <x:c r="E1674" s="4" t="str">
        <x:v>Spreadsheet import</x:v>
      </x:c>
      <x:c r="F1674" s="4" t="str">
        <x:v>Record captured</x:v>
      </x:c>
      <x:c r="G1674" s="4" t="str">
        <x:v>Cancelled</x:v>
      </x:c>
    </x:row>
    <x:row r="1675" ht="34" customHeight="1">
      <x:c r="A1675" s="4" t="str">
        <x:v>RS-01674-E1</x:v>
      </x:c>
      <x:c r="B1675" s="4" t="str">
        <x:v>RS-01674</x:v>
      </x:c>
      <x:c r="C1675" s="8" t="n">
        <x:v>45404</x:v>
      </x:c>
      <x:c r="D1675" s="4" t="str">
        <x:v>Sales operations manager</x:v>
      </x:c>
      <x:c r="E1675" s="4" t="str">
        <x:v>Paper transcribed</x:v>
      </x:c>
      <x:c r="F1675" s="4" t="str">
        <x:v>Record captured</x:v>
      </x:c>
      <x:c r="G1675" s="4" t="str">
        <x:v>Cancelled</x:v>
      </x:c>
    </x:row>
    <x:row r="1676" ht="34" customHeight="1">
      <x:c r="A1676" s="4" t="str">
        <x:v>RS-01675-E1</x:v>
      </x:c>
      <x:c r="B1676" s="4" t="str">
        <x:v>RS-01675</x:v>
      </x:c>
      <x:c r="C1676" s="8" t="n">
        <x:v>45405</x:v>
      </x:c>
      <x:c r="D1676" s="4" t="str">
        <x:v>Sales operations manager</x:v>
      </x:c>
      <x:c r="E1676" s="4" t="str">
        <x:v>Spreadsheet import</x:v>
      </x:c>
      <x:c r="F1676" s="4" t="str">
        <x:v>Record captured</x:v>
      </x:c>
      <x:c r="G1676" s="4" t="str">
        <x:v>Agreement signed</x:v>
      </x:c>
    </x:row>
    <x:row r="1677" ht="34" customHeight="1">
      <x:c r="A1677" s="4" t="str">
        <x:v>RS-01676-E1</x:v>
      </x:c>
      <x:c r="B1677" s="4" t="str">
        <x:v>RS-01676</x:v>
      </x:c>
      <x:c r="C1677" s="8" t="n">
        <x:v>45406</x:v>
      </x:c>
      <x:c r="D1677" s="4" t="str">
        <x:v>Sales operations manager</x:v>
      </x:c>
      <x:c r="E1677" s="4" t="str">
        <x:v>ERP form</x:v>
      </x:c>
      <x:c r="F1677" s="4" t="str">
        <x:v>Record captured</x:v>
      </x:c>
      <x:c r="G1677" s="4" t="str">
        <x:v>Handed over</x:v>
      </x:c>
    </x:row>
    <x:row r="1678" ht="34" customHeight="1">
      <x:c r="A1678" s="4" t="str">
        <x:v>RS-01677-E1</x:v>
      </x:c>
      <x:c r="B1678" s="4" t="str">
        <x:v>RS-01677</x:v>
      </x:c>
      <x:c r="C1678" s="8" t="n">
        <x:v>45407</x:v>
      </x:c>
      <x:c r="D1678" s="4" t="str">
        <x:v>Sales operations manager</x:v>
      </x:c>
      <x:c r="E1678" s="4" t="str">
        <x:v>Paper transcribed</x:v>
      </x:c>
      <x:c r="F1678" s="4" t="str">
        <x:v>Record captured</x:v>
      </x:c>
      <x:c r="G1678" s="4" t="str">
        <x:v>Agreement signed</x:v>
      </x:c>
    </x:row>
    <x:row r="1679" ht="34" customHeight="1">
      <x:c r="A1679" s="4" t="str">
        <x:v>RS-01678-E1</x:v>
      </x:c>
      <x:c r="B1679" s="4" t="str">
        <x:v>RS-01678</x:v>
      </x:c>
      <x:c r="C1679" s="8" t="n">
        <x:v>45408</x:v>
      </x:c>
      <x:c r="D1679" s="4" t="str">
        <x:v>Sales operations manager</x:v>
      </x:c>
      <x:c r="E1679" s="4" t="str">
        <x:v>Paper transcribed</x:v>
      </x:c>
      <x:c r="F1679" s="4" t="str">
        <x:v>Record captured</x:v>
      </x:c>
      <x:c r="G1679" s="4" t="str">
        <x:v>Enquiry</x:v>
      </x:c>
    </x:row>
    <x:row r="1680" ht="34" customHeight="1">
      <x:c r="A1680" s="4" t="str">
        <x:v>RS-01679-E1</x:v>
      </x:c>
      <x:c r="B1680" s="4" t="str">
        <x:v>RS-01679</x:v>
      </x:c>
      <x:c r="C1680" s="8" t="n">
        <x:v>45409</x:v>
      </x:c>
      <x:c r="D1680" s="4" t="str">
        <x:v>Sales operations manager</x:v>
      </x:c>
      <x:c r="E1680" s="4" t="str">
        <x:v>Spreadsheet import</x:v>
      </x:c>
      <x:c r="F1680" s="4" t="str">
        <x:v>Record captured</x:v>
      </x:c>
      <x:c r="G1680" s="4" t="str">
        <x:v>Reserved</x:v>
      </x:c>
    </x:row>
    <x:row r="1681" ht="34" customHeight="1">
      <x:c r="A1681" s="4" t="str">
        <x:v>RS-01680-E1</x:v>
      </x:c>
      <x:c r="B1681" s="4" t="str">
        <x:v>RS-01680</x:v>
      </x:c>
      <x:c r="C1681" s="8" t="n">
        <x:v>45410</x:v>
      </x:c>
      <x:c r="D1681" s="4" t="str">
        <x:v>Sales operations manager</x:v>
      </x:c>
      <x:c r="E1681" s="4" t="str">
        <x:v>Spreadsheet import</x:v>
      </x:c>
      <x:c r="F1681" s="4" t="str">
        <x:v>Record captured</x:v>
      </x:c>
      <x:c r="G1681" s="4" t="str">
        <x:v>Reserved</x:v>
      </x:c>
    </x:row>
    <x:row r="1682" ht="34" customHeight="1">
      <x:c r="A1682" s="4" t="str">
        <x:v>RS-01681-E1</x:v>
      </x:c>
      <x:c r="B1682" s="4" t="str">
        <x:v>RS-01681</x:v>
      </x:c>
      <x:c r="C1682" s="8" t="n">
        <x:v>45383</x:v>
      </x:c>
      <x:c r="D1682" s="4" t="str">
        <x:v>Sales operations manager</x:v>
      </x:c>
      <x:c r="E1682" s="4" t="str">
        <x:v>Paper transcribed</x:v>
      </x:c>
      <x:c r="F1682" s="4" t="str">
        <x:v>Record captured</x:v>
      </x:c>
      <x:c r="G1682" s="4" t="str">
        <x:v>Agreement signed</x:v>
      </x:c>
    </x:row>
    <x:row r="1683" ht="34" customHeight="1">
      <x:c r="A1683" s="4" t="str">
        <x:v>RS-01682-E1</x:v>
      </x:c>
      <x:c r="B1683" s="4" t="str">
        <x:v>RS-01682</x:v>
      </x:c>
      <x:c r="C1683" s="8" t="n">
        <x:v>45384</x:v>
      </x:c>
      <x:c r="D1683" s="4" t="str">
        <x:v>Sales operations manager</x:v>
      </x:c>
      <x:c r="E1683" s="4" t="str">
        <x:v>WhatsApp transcribed</x:v>
      </x:c>
      <x:c r="F1683" s="4" t="str">
        <x:v>Record captured</x:v>
      </x:c>
      <x:c r="G1683" s="4" t="str">
        <x:v>Enquiry</x:v>
      </x:c>
    </x:row>
    <x:row r="1684" ht="34" customHeight="1">
      <x:c r="A1684" s="4" t="str">
        <x:v>RS-01683-E1</x:v>
      </x:c>
      <x:c r="B1684" s="4" t="str">
        <x:v>RS-01683</x:v>
      </x:c>
      <x:c r="C1684" s="8" t="n">
        <x:v>45385</x:v>
      </x:c>
      <x:c r="D1684" s="4" t="str">
        <x:v>Sales operations manager</x:v>
      </x:c>
      <x:c r="E1684" s="4" t="str">
        <x:v>WhatsApp transcribed</x:v>
      </x:c>
      <x:c r="F1684" s="4" t="str">
        <x:v>Record captured</x:v>
      </x:c>
      <x:c r="G1684" s="4" t="str">
        <x:v>Handed over</x:v>
      </x:c>
    </x:row>
    <x:row r="1685" ht="34" customHeight="1">
      <x:c r="A1685" s="4" t="str">
        <x:v>RS-01684-E1</x:v>
      </x:c>
      <x:c r="B1685" s="4" t="str">
        <x:v>RS-01684</x:v>
      </x:c>
      <x:c r="C1685" s="8" t="n">
        <x:v>45386</x:v>
      </x:c>
      <x:c r="D1685" s="4" t="str">
        <x:v>Sales operations manager</x:v>
      </x:c>
      <x:c r="E1685" s="4" t="str">
        <x:v>ERP form</x:v>
      </x:c>
      <x:c r="F1685" s="4" t="str">
        <x:v>Record captured</x:v>
      </x:c>
      <x:c r="G1685" s="4" t="str">
        <x:v>Handed over</x:v>
      </x:c>
    </x:row>
    <x:row r="1686" ht="34" customHeight="1">
      <x:c r="A1686" s="4" t="str">
        <x:v>RS-01685-E1</x:v>
      </x:c>
      <x:c r="B1686" s="4" t="str">
        <x:v>RS-01685</x:v>
      </x:c>
      <x:c r="C1686" s="8" t="n">
        <x:v>45387</x:v>
      </x:c>
      <x:c r="D1686" s="4" t="str">
        <x:v>Sales operations manager</x:v>
      </x:c>
      <x:c r="E1686" s="4" t="str">
        <x:v>ERP form</x:v>
      </x:c>
      <x:c r="F1686" s="4" t="str">
        <x:v>Record captured</x:v>
      </x:c>
      <x:c r="G1686" s="4" t="str">
        <x:v>Handed over</x:v>
      </x:c>
    </x:row>
    <x:row r="1687" ht="34" customHeight="1">
      <x:c r="A1687" s="4" t="str">
        <x:v>RS-01686-E1</x:v>
      </x:c>
      <x:c r="B1687" s="4" t="str">
        <x:v>RS-01686</x:v>
      </x:c>
      <x:c r="C1687" s="8" t="n">
        <x:v>45388</x:v>
      </x:c>
      <x:c r="D1687" s="4" t="str">
        <x:v>Sales operations manager</x:v>
      </x:c>
      <x:c r="E1687" s="4" t="str">
        <x:v>ERP form</x:v>
      </x:c>
      <x:c r="F1687" s="4" t="str">
        <x:v>Record captured</x:v>
      </x:c>
      <x:c r="G1687" s="4" t="str">
        <x:v>Enquiry</x:v>
      </x:c>
    </x:row>
    <x:row r="1688" ht="34" customHeight="1">
      <x:c r="A1688" s="4" t="str">
        <x:v>RS-01687-E1</x:v>
      </x:c>
      <x:c r="B1688" s="4" t="str">
        <x:v>RS-01687</x:v>
      </x:c>
      <x:c r="C1688" s="8" t="n">
        <x:v>45389</x:v>
      </x:c>
      <x:c r="D1688" s="4" t="str">
        <x:v>Sales operations manager</x:v>
      </x:c>
      <x:c r="E1688" s="4" t="str">
        <x:v>WhatsApp transcribed</x:v>
      </x:c>
      <x:c r="F1688" s="4" t="str">
        <x:v>Record captured</x:v>
      </x:c>
      <x:c r="G1688" s="4" t="str">
        <x:v>Handed over</x:v>
      </x:c>
    </x:row>
    <x:row r="1689" ht="34" customHeight="1">
      <x:c r="A1689" s="4" t="str">
        <x:v>RS-01688-E1</x:v>
      </x:c>
      <x:c r="B1689" s="4" t="str">
        <x:v>RS-01688</x:v>
      </x:c>
      <x:c r="C1689" s="8" t="n">
        <x:v>45390</x:v>
      </x:c>
      <x:c r="D1689" s="4" t="str">
        <x:v>Sales operations manager</x:v>
      </x:c>
      <x:c r="E1689" s="4" t="str">
        <x:v>Spreadsheet import</x:v>
      </x:c>
      <x:c r="F1689" s="4" t="str">
        <x:v>Record captured</x:v>
      </x:c>
      <x:c r="G1689" s="4" t="str">
        <x:v>Cancelled</x:v>
      </x:c>
    </x:row>
    <x:row r="1690" ht="34" customHeight="1">
      <x:c r="A1690" s="4" t="str">
        <x:v>RS-01689-E1</x:v>
      </x:c>
      <x:c r="B1690" s="4" t="str">
        <x:v>RS-01689</x:v>
      </x:c>
      <x:c r="C1690" s="8" t="n">
        <x:v>45391</x:v>
      </x:c>
      <x:c r="D1690" s="4" t="str">
        <x:v>Sales operations manager</x:v>
      </x:c>
      <x:c r="E1690" s="4" t="str">
        <x:v>Spreadsheet import</x:v>
      </x:c>
      <x:c r="F1690" s="4" t="str">
        <x:v>Record captured</x:v>
      </x:c>
      <x:c r="G1690" s="4" t="str">
        <x:v>Agreement signed</x:v>
      </x:c>
    </x:row>
    <x:row r="1691" ht="34" customHeight="1">
      <x:c r="A1691" s="4" t="str">
        <x:v>RS-01690-E1</x:v>
      </x:c>
      <x:c r="B1691" s="4" t="str">
        <x:v>RS-01690</x:v>
      </x:c>
      <x:c r="C1691" s="8" t="n">
        <x:v>45392</x:v>
      </x:c>
      <x:c r="D1691" s="4" t="str">
        <x:v>Sales operations manager</x:v>
      </x:c>
      <x:c r="E1691" s="4" t="str">
        <x:v>Spreadsheet import</x:v>
      </x:c>
      <x:c r="F1691" s="4" t="str">
        <x:v>Record captured</x:v>
      </x:c>
      <x:c r="G1691" s="4" t="str">
        <x:v>Handed over</x:v>
      </x:c>
    </x:row>
    <x:row r="1692" ht="34" customHeight="1">
      <x:c r="A1692" s="4" t="str">
        <x:v>RS-01691-E1</x:v>
      </x:c>
      <x:c r="B1692" s="4" t="str">
        <x:v>RS-01691</x:v>
      </x:c>
      <x:c r="C1692" s="8" t="n">
        <x:v>45393</x:v>
      </x:c>
      <x:c r="D1692" s="4" t="str">
        <x:v>Sales operations manager</x:v>
      </x:c>
      <x:c r="E1692" s="4" t="str">
        <x:v>WhatsApp transcribed</x:v>
      </x:c>
      <x:c r="F1692" s="4" t="str">
        <x:v>Record captured</x:v>
      </x:c>
      <x:c r="G1692" s="4" t="str">
        <x:v>Reserved</x:v>
      </x:c>
    </x:row>
    <x:row r="1693" ht="34" customHeight="1">
      <x:c r="A1693" s="4" t="str">
        <x:v>RS-01692-E1</x:v>
      </x:c>
      <x:c r="B1693" s="4" t="str">
        <x:v>RS-01692</x:v>
      </x:c>
      <x:c r="C1693" s="8" t="n">
        <x:v>45394</x:v>
      </x:c>
      <x:c r="D1693" s="4" t="str">
        <x:v>Sales operations manager</x:v>
      </x:c>
      <x:c r="E1693" s="4" t="str">
        <x:v>WhatsApp transcribed</x:v>
      </x:c>
      <x:c r="F1693" s="4" t="str">
        <x:v>Record captured</x:v>
      </x:c>
      <x:c r="G1693" s="4" t="str">
        <x:v>Reserved</x:v>
      </x:c>
    </x:row>
    <x:row r="1694" ht="34" customHeight="1">
      <x:c r="A1694" s="4" t="str">
        <x:v>RS-01693-E1</x:v>
      </x:c>
      <x:c r="B1694" s="4" t="str">
        <x:v>RS-01693</x:v>
      </x:c>
      <x:c r="C1694" s="8" t="n">
        <x:v>45395</x:v>
      </x:c>
      <x:c r="D1694" s="4" t="str">
        <x:v>Sales operations manager</x:v>
      </x:c>
      <x:c r="E1694" s="4" t="str">
        <x:v>WhatsApp transcribed</x:v>
      </x:c>
      <x:c r="F1694" s="4" t="str">
        <x:v>Record captured</x:v>
      </x:c>
      <x:c r="G1694" s="4" t="str">
        <x:v>Enquiry</x:v>
      </x:c>
    </x:row>
    <x:row r="1695" ht="34" customHeight="1">
      <x:c r="A1695" s="4" t="str">
        <x:v>RS-01694-E1</x:v>
      </x:c>
      <x:c r="B1695" s="4" t="str">
        <x:v>RS-01694</x:v>
      </x:c>
      <x:c r="C1695" s="8" t="n">
        <x:v>45396</x:v>
      </x:c>
      <x:c r="D1695" s="4" t="str">
        <x:v>Sales operations manager</x:v>
      </x:c>
      <x:c r="E1695" s="4" t="str">
        <x:v>ERP form</x:v>
      </x:c>
      <x:c r="F1695" s="4" t="str">
        <x:v>Record captured</x:v>
      </x:c>
      <x:c r="G1695" s="4" t="str">
        <x:v>Reserved</x:v>
      </x:c>
    </x:row>
    <x:row r="1696" ht="34" customHeight="1">
      <x:c r="A1696" s="4" t="str">
        <x:v>RS-01695-E1</x:v>
      </x:c>
      <x:c r="B1696" s="4" t="str">
        <x:v>RS-01695</x:v>
      </x:c>
      <x:c r="C1696" s="8" t="n">
        <x:v>45397</x:v>
      </x:c>
      <x:c r="D1696" s="4" t="str">
        <x:v>Sales operations manager</x:v>
      </x:c>
      <x:c r="E1696" s="4" t="str">
        <x:v>Spreadsheet import</x:v>
      </x:c>
      <x:c r="F1696" s="4" t="str">
        <x:v>Record captured</x:v>
      </x:c>
      <x:c r="G1696" s="4" t="str">
        <x:v>Booked</x:v>
      </x:c>
    </x:row>
    <x:row r="1697" ht="34" customHeight="1">
      <x:c r="A1697" s="4" t="str">
        <x:v>RS-01696-E1</x:v>
      </x:c>
      <x:c r="B1697" s="4" t="str">
        <x:v>RS-01696</x:v>
      </x:c>
      <x:c r="C1697" s="8" t="n">
        <x:v>45398</x:v>
      </x:c>
      <x:c r="D1697" s="4" t="str">
        <x:v>Sales operations manager</x:v>
      </x:c>
      <x:c r="E1697" s="4" t="str">
        <x:v>Spreadsheet import</x:v>
      </x:c>
      <x:c r="F1697" s="4" t="str">
        <x:v>Record captured</x:v>
      </x:c>
      <x:c r="G1697" s="4" t="str">
        <x:v>Reserved</x:v>
      </x:c>
    </x:row>
    <x:row r="1698" ht="34" customHeight="1">
      <x:c r="A1698" s="4" t="str">
        <x:v>RS-01697-E1</x:v>
      </x:c>
      <x:c r="B1698" s="4" t="str">
        <x:v>RS-01697</x:v>
      </x:c>
      <x:c r="C1698" s="8" t="n">
        <x:v>45399</x:v>
      </x:c>
      <x:c r="D1698" s="4" t="str">
        <x:v>Sales operations manager</x:v>
      </x:c>
      <x:c r="E1698" s="4" t="str">
        <x:v>WhatsApp transcribed</x:v>
      </x:c>
      <x:c r="F1698" s="4" t="str">
        <x:v>Record captured</x:v>
      </x:c>
      <x:c r="G1698" s="4" t="str">
        <x:v>Booked</x:v>
      </x:c>
    </x:row>
    <x:row r="1699" ht="34" customHeight="1">
      <x:c r="A1699" s="4" t="str">
        <x:v>RS-01698-E1</x:v>
      </x:c>
      <x:c r="B1699" s="4" t="str">
        <x:v>RS-01698</x:v>
      </x:c>
      <x:c r="C1699" s="8" t="n">
        <x:v>45400</x:v>
      </x:c>
      <x:c r="D1699" s="4" t="str">
        <x:v>Sales operations manager</x:v>
      </x:c>
      <x:c r="E1699" s="4" t="str">
        <x:v>Spreadsheet import</x:v>
      </x:c>
      <x:c r="F1699" s="4" t="str">
        <x:v>Record captured</x:v>
      </x:c>
      <x:c r="G1699" s="4" t="str">
        <x:v>Enquiry</x:v>
      </x:c>
    </x:row>
    <x:row r="1700" ht="34" customHeight="1">
      <x:c r="A1700" s="4" t="str">
        <x:v>RS-01699-E1</x:v>
      </x:c>
      <x:c r="B1700" s="4" t="str">
        <x:v>RS-01699</x:v>
      </x:c>
      <x:c r="C1700" s="8" t="n">
        <x:v>45401</x:v>
      </x:c>
      <x:c r="D1700" s="4" t="str">
        <x:v>Sales operations manager</x:v>
      </x:c>
      <x:c r="E1700" s="4" t="str">
        <x:v>Paper transcribed</x:v>
      </x:c>
      <x:c r="F1700" s="4" t="str">
        <x:v>Record captured</x:v>
      </x:c>
      <x:c r="G1700" s="4" t="str">
        <x:v>Agreement signed</x:v>
      </x:c>
    </x:row>
    <x:row r="1701" ht="34" customHeight="1">
      <x:c r="A1701" s="4" t="str">
        <x:v>RS-01700-E1</x:v>
      </x:c>
      <x:c r="B1701" s="4" t="str">
        <x:v>RS-01700</x:v>
      </x:c>
      <x:c r="C1701" s="8" t="n">
        <x:v>45402</x:v>
      </x:c>
      <x:c r="D1701" s="4" t="str">
        <x:v>Sales operations manager</x:v>
      </x:c>
      <x:c r="E1701" s="4" t="str">
        <x:v>ERP form</x:v>
      </x:c>
      <x:c r="F1701" s="4" t="str">
        <x:v>Record captured</x:v>
      </x:c>
      <x:c r="G1701" s="4" t="str">
        <x:v>Handed over</x:v>
      </x:c>
    </x:row>
    <x:row r="1702" ht="34" customHeight="1">
      <x:c r="A1702" s="4" t="str">
        <x:v>RS-01701-E1</x:v>
      </x:c>
      <x:c r="B1702" s="4" t="str">
        <x:v>RS-01701</x:v>
      </x:c>
      <x:c r="C1702" s="8" t="n">
        <x:v>45403</x:v>
      </x:c>
      <x:c r="D1702" s="4" t="str">
        <x:v>Sales operations manager</x:v>
      </x:c>
      <x:c r="E1702" s="4" t="str">
        <x:v>Paper transcribed</x:v>
      </x:c>
      <x:c r="F1702" s="4" t="str">
        <x:v>Record captured</x:v>
      </x:c>
      <x:c r="G1702" s="4" t="str">
        <x:v>Agreement signed</x:v>
      </x:c>
    </x:row>
    <x:row r="1703" ht="34" customHeight="1">
      <x:c r="A1703" s="4" t="str">
        <x:v>RS-01702-E1</x:v>
      </x:c>
      <x:c r="B1703" s="4" t="str">
        <x:v>RS-01702</x:v>
      </x:c>
      <x:c r="C1703" s="8" t="n">
        <x:v>45404</x:v>
      </x:c>
      <x:c r="D1703" s="4" t="str">
        <x:v>Sales operations manager</x:v>
      </x:c>
      <x:c r="E1703" s="4" t="str">
        <x:v>Paper transcribed</x:v>
      </x:c>
      <x:c r="F1703" s="4" t="str">
        <x:v>Record captured</x:v>
      </x:c>
      <x:c r="G1703" s="4" t="str">
        <x:v>Cancelled</x:v>
      </x:c>
    </x:row>
    <x:row r="1704" ht="34" customHeight="1">
      <x:c r="A1704" s="4" t="str">
        <x:v>RS-01703-E1</x:v>
      </x:c>
      <x:c r="B1704" s="4" t="str">
        <x:v>RS-01703</x:v>
      </x:c>
      <x:c r="C1704" s="8" t="n">
        <x:v>45405</x:v>
      </x:c>
      <x:c r="D1704" s="4" t="str">
        <x:v>Sales operations manager</x:v>
      </x:c>
      <x:c r="E1704" s="4" t="str">
        <x:v>WhatsApp transcribed</x:v>
      </x:c>
      <x:c r="F1704" s="4" t="str">
        <x:v>Record captured</x:v>
      </x:c>
      <x:c r="G1704" s="4" t="str">
        <x:v>Booked</x:v>
      </x:c>
    </x:row>
    <x:row r="1705" ht="34" customHeight="1">
      <x:c r="A1705" s="4" t="str">
        <x:v>RS-01704-E1</x:v>
      </x:c>
      <x:c r="B1705" s="4" t="str">
        <x:v>RS-01704</x:v>
      </x:c>
      <x:c r="C1705" s="8" t="n">
        <x:v>45406</x:v>
      </x:c>
      <x:c r="D1705" s="4" t="str">
        <x:v>Sales operations manager</x:v>
      </x:c>
      <x:c r="E1705" s="4" t="str">
        <x:v>ERP form</x:v>
      </x:c>
      <x:c r="F1705" s="4" t="str">
        <x:v>Record captured</x:v>
      </x:c>
      <x:c r="G1705" s="4" t="str">
        <x:v>Booked</x:v>
      </x:c>
    </x:row>
    <x:row r="1706" ht="34" customHeight="1">
      <x:c r="A1706" s="4" t="str">
        <x:v>RS-01705-E1</x:v>
      </x:c>
      <x:c r="B1706" s="4" t="str">
        <x:v>RS-01705</x:v>
      </x:c>
      <x:c r="C1706" s="8" t="n">
        <x:v>45407</x:v>
      </x:c>
      <x:c r="D1706" s="4" t="str">
        <x:v>Sales operations manager</x:v>
      </x:c>
      <x:c r="E1706" s="4" t="str">
        <x:v>Spreadsheet import</x:v>
      </x:c>
      <x:c r="F1706" s="4" t="str">
        <x:v>Record captured</x:v>
      </x:c>
      <x:c r="G1706" s="4" t="str">
        <x:v>Agreement signed</x:v>
      </x:c>
    </x:row>
    <x:row r="1707" ht="34" customHeight="1">
      <x:c r="A1707" s="4" t="str">
        <x:v>RS-01706-E1</x:v>
      </x:c>
      <x:c r="B1707" s="4" t="str">
        <x:v>RS-01706</x:v>
      </x:c>
      <x:c r="C1707" s="8" t="n">
        <x:v>45408</x:v>
      </x:c>
      <x:c r="D1707" s="4" t="str">
        <x:v>Sales operations manager</x:v>
      </x:c>
      <x:c r="E1707" s="4" t="str">
        <x:v>ERP form</x:v>
      </x:c>
      <x:c r="F1707" s="4" t="str">
        <x:v>Record captured</x:v>
      </x:c>
      <x:c r="G1707" s="4" t="str">
        <x:v>Handed over</x:v>
      </x:c>
    </x:row>
    <x:row r="1708" ht="34" customHeight="1">
      <x:c r="A1708" s="4" t="str">
        <x:v>RS-01707-E1</x:v>
      </x:c>
      <x:c r="B1708" s="4" t="str">
        <x:v>RS-01707</x:v>
      </x:c>
      <x:c r="C1708" s="8" t="n">
        <x:v>45409</x:v>
      </x:c>
      <x:c r="D1708" s="4" t="str">
        <x:v>Sales operations manager</x:v>
      </x:c>
      <x:c r="E1708" s="4" t="str">
        <x:v>Spreadsheet import</x:v>
      </x:c>
      <x:c r="F1708" s="4" t="str">
        <x:v>Record captured</x:v>
      </x:c>
      <x:c r="G1708" s="4" t="str">
        <x:v>Handed over</x:v>
      </x:c>
    </x:row>
    <x:row r="1709" ht="34" customHeight="1">
      <x:c r="A1709" s="4" t="str">
        <x:v>RS-01708-E1</x:v>
      </x:c>
      <x:c r="B1709" s="4" t="str">
        <x:v>RS-01708</x:v>
      </x:c>
      <x:c r="C1709" s="8" t="n">
        <x:v>45410</x:v>
      </x:c>
      <x:c r="D1709" s="4" t="str">
        <x:v>Sales operations manager</x:v>
      </x:c>
      <x:c r="E1709" s="4" t="str">
        <x:v>WhatsApp transcribed</x:v>
      </x:c>
      <x:c r="F1709" s="4" t="str">
        <x:v>Record captured</x:v>
      </x:c>
      <x:c r="G1709" s="4" t="str">
        <x:v>Booked</x:v>
      </x:c>
    </x:row>
    <x:row r="1710" ht="34" customHeight="1">
      <x:c r="A1710" s="4" t="str">
        <x:v>RS-01709-E1</x:v>
      </x:c>
      <x:c r="B1710" s="4" t="str">
        <x:v>RS-01709</x:v>
      </x:c>
      <x:c r="C1710" s="8" t="n">
        <x:v>45383</x:v>
      </x:c>
      <x:c r="D1710" s="4" t="str">
        <x:v>Sales operations manager</x:v>
      </x:c>
      <x:c r="E1710" s="4" t="str">
        <x:v>ERP form</x:v>
      </x:c>
      <x:c r="F1710" s="4" t="str">
        <x:v>Record captured</x:v>
      </x:c>
      <x:c r="G1710" s="4" t="str">
        <x:v>Agreement signed</x:v>
      </x:c>
    </x:row>
    <x:row r="1711" ht="34" customHeight="1">
      <x:c r="A1711" s="4" t="str">
        <x:v>RS-01710-E1</x:v>
      </x:c>
      <x:c r="B1711" s="4" t="str">
        <x:v>RS-01710</x:v>
      </x:c>
      <x:c r="C1711" s="8" t="n">
        <x:v>45384</x:v>
      </x:c>
      <x:c r="D1711" s="4" t="str">
        <x:v>Sales operations manager</x:v>
      </x:c>
      <x:c r="E1711" s="4" t="str">
        <x:v>Paper transcribed</x:v>
      </x:c>
      <x:c r="F1711" s="4" t="str">
        <x:v>Record captured</x:v>
      </x:c>
      <x:c r="G1711" s="4" t="str">
        <x:v>Cancelled</x:v>
      </x:c>
    </x:row>
    <x:row r="1712" ht="34" customHeight="1">
      <x:c r="A1712" s="4" t="str">
        <x:v>RS-01711-E1</x:v>
      </x:c>
      <x:c r="B1712" s="4" t="str">
        <x:v>RS-01711</x:v>
      </x:c>
      <x:c r="C1712" s="8" t="n">
        <x:v>45385</x:v>
      </x:c>
      <x:c r="D1712" s="4" t="str">
        <x:v>Sales operations manager</x:v>
      </x:c>
      <x:c r="E1712" s="4" t="str">
        <x:v>Paper transcribed</x:v>
      </x:c>
      <x:c r="F1712" s="4" t="str">
        <x:v>Record captured</x:v>
      </x:c>
      <x:c r="G1712" s="4" t="str">
        <x:v>Enquiry</x:v>
      </x:c>
    </x:row>
    <x:row r="1713" ht="34" customHeight="1">
      <x:c r="A1713" s="4" t="str">
        <x:v>RS-01712-E1</x:v>
      </x:c>
      <x:c r="B1713" s="4" t="str">
        <x:v>RS-01712</x:v>
      </x:c>
      <x:c r="C1713" s="8" t="n">
        <x:v>45386</x:v>
      </x:c>
      <x:c r="D1713" s="4" t="str">
        <x:v>Sales operations manager</x:v>
      </x:c>
      <x:c r="E1713" s="4" t="str">
        <x:v>Spreadsheet import</x:v>
      </x:c>
      <x:c r="F1713" s="4" t="str">
        <x:v>Record captured</x:v>
      </x:c>
      <x:c r="G1713" s="4" t="str">
        <x:v>Enquiry</x:v>
      </x:c>
    </x:row>
    <x:row r="1714" ht="34" customHeight="1">
      <x:c r="A1714" s="4" t="str">
        <x:v>RS-01713-E1</x:v>
      </x:c>
      <x:c r="B1714" s="4" t="str">
        <x:v>RS-01713</x:v>
      </x:c>
      <x:c r="C1714" s="8" t="n">
        <x:v>45387</x:v>
      </x:c>
      <x:c r="D1714" s="4" t="str">
        <x:v>Sales operations manager</x:v>
      </x:c>
      <x:c r="E1714" s="4" t="str">
        <x:v>ERP form</x:v>
      </x:c>
      <x:c r="F1714" s="4" t="str">
        <x:v>Record captured</x:v>
      </x:c>
      <x:c r="G1714" s="4" t="str">
        <x:v>Agreement signed</x:v>
      </x:c>
    </x:row>
    <x:row r="1715" ht="34" customHeight="1">
      <x:c r="A1715" s="4" t="str">
        <x:v>RS-01714-E1</x:v>
      </x:c>
      <x:c r="B1715" s="4" t="str">
        <x:v>RS-01714</x:v>
      </x:c>
      <x:c r="C1715" s="8" t="n">
        <x:v>45388</x:v>
      </x:c>
      <x:c r="D1715" s="4" t="str">
        <x:v>Sales operations manager</x:v>
      </x:c>
      <x:c r="E1715" s="4" t="str">
        <x:v>ERP form</x:v>
      </x:c>
      <x:c r="F1715" s="4" t="str">
        <x:v>Record captured</x:v>
      </x:c>
      <x:c r="G1715" s="4" t="str">
        <x:v>Handed over</x:v>
      </x:c>
    </x:row>
    <x:row r="1716" ht="34" customHeight="1">
      <x:c r="A1716" s="4" t="str">
        <x:v>RS-01715-E1</x:v>
      </x:c>
      <x:c r="B1716" s="4" t="str">
        <x:v>RS-01715</x:v>
      </x:c>
      <x:c r="C1716" s="8" t="n">
        <x:v>45389</x:v>
      </x:c>
      <x:c r="D1716" s="4" t="str">
        <x:v>Sales operations manager</x:v>
      </x:c>
      <x:c r="E1716" s="4" t="str">
        <x:v>Paper transcribed</x:v>
      </x:c>
      <x:c r="F1716" s="4" t="str">
        <x:v>Record captured</x:v>
      </x:c>
      <x:c r="G1716" s="4" t="str">
        <x:v>Handed over</x:v>
      </x:c>
    </x:row>
    <x:row r="1717" ht="34" customHeight="1">
      <x:c r="A1717" s="4" t="str">
        <x:v>RS-01716-E1</x:v>
      </x:c>
      <x:c r="B1717" s="4" t="str">
        <x:v>RS-01716</x:v>
      </x:c>
      <x:c r="C1717" s="8" t="n">
        <x:v>45390</x:v>
      </x:c>
      <x:c r="D1717" s="4" t="str">
        <x:v>Sales operations manager</x:v>
      </x:c>
      <x:c r="E1717" s="4" t="str">
        <x:v>Paper transcribed</x:v>
      </x:c>
      <x:c r="F1717" s="4" t="str">
        <x:v>Record captured</x:v>
      </x:c>
      <x:c r="G1717" s="4" t="str">
        <x:v>Booked</x:v>
      </x:c>
    </x:row>
    <x:row r="1718" ht="34" customHeight="1">
      <x:c r="A1718" s="4" t="str">
        <x:v>RS-01717-E1</x:v>
      </x:c>
      <x:c r="B1718" s="4" t="str">
        <x:v>RS-01717</x:v>
      </x:c>
      <x:c r="C1718" s="8" t="n">
        <x:v>45391</x:v>
      </x:c>
      <x:c r="D1718" s="4" t="str">
        <x:v>Sales operations manager</x:v>
      </x:c>
      <x:c r="E1718" s="4" t="str">
        <x:v>WhatsApp transcribed</x:v>
      </x:c>
      <x:c r="F1718" s="4" t="str">
        <x:v>Record captured</x:v>
      </x:c>
      <x:c r="G1718" s="4" t="str">
        <x:v>Enquiry</x:v>
      </x:c>
    </x:row>
    <x:row r="1719" ht="34" customHeight="1">
      <x:c r="A1719" s="4" t="str">
        <x:v>RS-01718-E1</x:v>
      </x:c>
      <x:c r="B1719" s="4" t="str">
        <x:v>RS-01718</x:v>
      </x:c>
      <x:c r="C1719" s="8" t="n">
        <x:v>45392</x:v>
      </x:c>
      <x:c r="D1719" s="4" t="str">
        <x:v>Sales operations manager</x:v>
      </x:c>
      <x:c r="E1719" s="4" t="str">
        <x:v>Paper transcribed</x:v>
      </x:c>
      <x:c r="F1719" s="4" t="str">
        <x:v>Record captured</x:v>
      </x:c>
      <x:c r="G1719" s="4" t="str">
        <x:v>Reserved</x:v>
      </x:c>
    </x:row>
    <x:row r="1720" ht="34" customHeight="1">
      <x:c r="A1720" s="4" t="str">
        <x:v>RS-01719-E1</x:v>
      </x:c>
      <x:c r="B1720" s="4" t="str">
        <x:v>RS-01719</x:v>
      </x:c>
      <x:c r="C1720" s="8" t="n">
        <x:v>45393</x:v>
      </x:c>
      <x:c r="D1720" s="4" t="str">
        <x:v>Sales operations manager</x:v>
      </x:c>
      <x:c r="E1720" s="4" t="str">
        <x:v>Spreadsheet import</x:v>
      </x:c>
      <x:c r="F1720" s="4" t="str">
        <x:v>Record captured</x:v>
      </x:c>
      <x:c r="G1720" s="4" t="str">
        <x:v>Agreement signed</x:v>
      </x:c>
    </x:row>
    <x:row r="1721" ht="34" customHeight="1">
      <x:c r="A1721" s="4" t="str">
        <x:v>RS-01720-E1</x:v>
      </x:c>
      <x:c r="B1721" s="4" t="str">
        <x:v>RS-01720</x:v>
      </x:c>
      <x:c r="C1721" s="8" t="n">
        <x:v>45394</x:v>
      </x:c>
      <x:c r="D1721" s="4" t="str">
        <x:v>Sales operations manager</x:v>
      </x:c>
      <x:c r="E1721" s="4" t="str">
        <x:v>Paper transcribed</x:v>
      </x:c>
      <x:c r="F1721" s="4" t="str">
        <x:v>Record captured</x:v>
      </x:c>
      <x:c r="G1721" s="4" t="str">
        <x:v>Agreement signed</x:v>
      </x:c>
    </x:row>
    <x:row r="1722" ht="34" customHeight="1">
      <x:c r="A1722" s="4" t="str">
        <x:v>RS-01721-E1</x:v>
      </x:c>
      <x:c r="B1722" s="4" t="str">
        <x:v>RS-01721</x:v>
      </x:c>
      <x:c r="C1722" s="8" t="n">
        <x:v>45395</x:v>
      </x:c>
      <x:c r="D1722" s="4" t="str">
        <x:v>Sales operations manager</x:v>
      </x:c>
      <x:c r="E1722" s="4" t="str">
        <x:v>Paper transcribed</x:v>
      </x:c>
      <x:c r="F1722" s="4" t="str">
        <x:v>Record captured</x:v>
      </x:c>
      <x:c r="G1722" s="4" t="str">
        <x:v>Booked</x:v>
      </x:c>
    </x:row>
    <x:row r="1723" ht="34" customHeight="1">
      <x:c r="A1723" s="4" t="str">
        <x:v>RS-01722-E1</x:v>
      </x:c>
      <x:c r="B1723" s="4" t="str">
        <x:v>RS-01722</x:v>
      </x:c>
      <x:c r="C1723" s="8" t="n">
        <x:v>45396</x:v>
      </x:c>
      <x:c r="D1723" s="4" t="str">
        <x:v>Sales operations manager</x:v>
      </x:c>
      <x:c r="E1723" s="4" t="str">
        <x:v>WhatsApp transcribed</x:v>
      </x:c>
      <x:c r="F1723" s="4" t="str">
        <x:v>Record captured</x:v>
      </x:c>
      <x:c r="G1723" s="4" t="str">
        <x:v>Enquiry</x:v>
      </x:c>
    </x:row>
    <x:row r="1724" ht="34" customHeight="1">
      <x:c r="A1724" s="4" t="str">
        <x:v>RS-01723-E1</x:v>
      </x:c>
      <x:c r="B1724" s="4" t="str">
        <x:v>RS-01723</x:v>
      </x:c>
      <x:c r="C1724" s="8" t="n">
        <x:v>45397</x:v>
      </x:c>
      <x:c r="D1724" s="4" t="str">
        <x:v>Sales operations manager</x:v>
      </x:c>
      <x:c r="E1724" s="4" t="str">
        <x:v>WhatsApp transcribed</x:v>
      </x:c>
      <x:c r="F1724" s="4" t="str">
        <x:v>Record captured</x:v>
      </x:c>
      <x:c r="G1724" s="4" t="str">
        <x:v>Handed over</x:v>
      </x:c>
    </x:row>
    <x:row r="1725" ht="34" customHeight="1">
      <x:c r="A1725" s="4" t="str">
        <x:v>RS-01724-E1</x:v>
      </x:c>
      <x:c r="B1725" s="4" t="str">
        <x:v>RS-01724</x:v>
      </x:c>
      <x:c r="C1725" s="8" t="n">
        <x:v>45398</x:v>
      </x:c>
      <x:c r="D1725" s="4" t="str">
        <x:v>Sales operations manager</x:v>
      </x:c>
      <x:c r="E1725" s="4" t="str">
        <x:v>Spreadsheet import</x:v>
      </x:c>
      <x:c r="F1725" s="4" t="str">
        <x:v>Record captured</x:v>
      </x:c>
      <x:c r="G1725" s="4" t="str">
        <x:v>Handed over</x:v>
      </x:c>
    </x:row>
    <x:row r="1726" ht="34" customHeight="1">
      <x:c r="A1726" s="4" t="str">
        <x:v>RS-01725-E1</x:v>
      </x:c>
      <x:c r="B1726" s="4" t="str">
        <x:v>RS-01725</x:v>
      </x:c>
      <x:c r="C1726" s="8" t="n">
        <x:v>45399</x:v>
      </x:c>
      <x:c r="D1726" s="4" t="str">
        <x:v>Sales operations manager</x:v>
      </x:c>
      <x:c r="E1726" s="4" t="str">
        <x:v>ERP form</x:v>
      </x:c>
      <x:c r="F1726" s="4" t="str">
        <x:v>Record captured</x:v>
      </x:c>
      <x:c r="G1726" s="4" t="str">
        <x:v>Cancelled</x:v>
      </x:c>
    </x:row>
    <x:row r="1727" ht="34" customHeight="1">
      <x:c r="A1727" s="4" t="str">
        <x:v>RS-01726-E1</x:v>
      </x:c>
      <x:c r="B1727" s="4" t="str">
        <x:v>RS-01726</x:v>
      </x:c>
      <x:c r="C1727" s="8" t="n">
        <x:v>45400</x:v>
      </x:c>
      <x:c r="D1727" s="4" t="str">
        <x:v>Sales operations manager</x:v>
      </x:c>
      <x:c r="E1727" s="4" t="str">
        <x:v>ERP form</x:v>
      </x:c>
      <x:c r="F1727" s="4" t="str">
        <x:v>Record captured</x:v>
      </x:c>
      <x:c r="G1727" s="4" t="str">
        <x:v>Handed over</x:v>
      </x:c>
    </x:row>
    <x:row r="1728" ht="34" customHeight="1">
      <x:c r="A1728" s="4" t="str">
        <x:v>RS-01727-E1</x:v>
      </x:c>
      <x:c r="B1728" s="4" t="str">
        <x:v>RS-01727</x:v>
      </x:c>
      <x:c r="C1728" s="8" t="n">
        <x:v>45401</x:v>
      </x:c>
      <x:c r="D1728" s="4" t="str">
        <x:v>Sales operations manager</x:v>
      </x:c>
      <x:c r="E1728" s="4" t="str">
        <x:v>Paper transcribed</x:v>
      </x:c>
      <x:c r="F1728" s="4" t="str">
        <x:v>Record captured</x:v>
      </x:c>
      <x:c r="G1728" s="4" t="str">
        <x:v>Enquiry</x:v>
      </x:c>
    </x:row>
    <x:row r="1729" ht="34" customHeight="1">
      <x:c r="A1729" s="4" t="str">
        <x:v>RS-01728-E1</x:v>
      </x:c>
      <x:c r="B1729" s="4" t="str">
        <x:v>RS-01728</x:v>
      </x:c>
      <x:c r="C1729" s="8" t="n">
        <x:v>45402</x:v>
      </x:c>
      <x:c r="D1729" s="4" t="str">
        <x:v>Sales operations manager</x:v>
      </x:c>
      <x:c r="E1729" s="4" t="str">
        <x:v>WhatsApp transcribed</x:v>
      </x:c>
      <x:c r="F1729" s="4" t="str">
        <x:v>Record captured</x:v>
      </x:c>
      <x:c r="G1729" s="4" t="str">
        <x:v>Agreement signed</x:v>
      </x:c>
    </x:row>
    <x:row r="1730" ht="34" customHeight="1">
      <x:c r="A1730" s="4" t="str">
        <x:v>RS-01729-E1</x:v>
      </x:c>
      <x:c r="B1730" s="4" t="str">
        <x:v>RS-01729</x:v>
      </x:c>
      <x:c r="C1730" s="8" t="n">
        <x:v>45403</x:v>
      </x:c>
      <x:c r="D1730" s="4" t="str">
        <x:v>Sales operations manager</x:v>
      </x:c>
      <x:c r="E1730" s="4" t="str">
        <x:v>WhatsApp transcribed</x:v>
      </x:c>
      <x:c r="F1730" s="4" t="str">
        <x:v>Record captured</x:v>
      </x:c>
      <x:c r="G1730" s="4" t="str">
        <x:v>Cancelled</x:v>
      </x:c>
    </x:row>
    <x:row r="1731" ht="34" customHeight="1">
      <x:c r="A1731" s="4" t="str">
        <x:v>RS-01730-E1</x:v>
      </x:c>
      <x:c r="B1731" s="4" t="str">
        <x:v>RS-01730</x:v>
      </x:c>
      <x:c r="C1731" s="8" t="n">
        <x:v>45404</x:v>
      </x:c>
      <x:c r="D1731" s="4" t="str">
        <x:v>Sales operations manager</x:v>
      </x:c>
      <x:c r="E1731" s="4" t="str">
        <x:v>WhatsApp transcribed</x:v>
      </x:c>
      <x:c r="F1731" s="4" t="str">
        <x:v>Record captured</x:v>
      </x:c>
      <x:c r="G1731" s="4" t="str">
        <x:v>Enquiry</x:v>
      </x:c>
    </x:row>
    <x:row r="1732" ht="34" customHeight="1">
      <x:c r="A1732" s="4" t="str">
        <x:v>RS-01731-E1</x:v>
      </x:c>
      <x:c r="B1732" s="4" t="str">
        <x:v>RS-01731</x:v>
      </x:c>
      <x:c r="C1732" s="8" t="n">
        <x:v>45405</x:v>
      </x:c>
      <x:c r="D1732" s="4" t="str">
        <x:v>Sales operations manager</x:v>
      </x:c>
      <x:c r="E1732" s="4" t="str">
        <x:v>Spreadsheet import</x:v>
      </x:c>
      <x:c r="F1732" s="4" t="str">
        <x:v>Record captured</x:v>
      </x:c>
      <x:c r="G1732" s="4" t="str">
        <x:v>Handed over</x:v>
      </x:c>
    </x:row>
    <x:row r="1733" ht="34" customHeight="1">
      <x:c r="A1733" s="4" t="str">
        <x:v>RS-01732-E1</x:v>
      </x:c>
      <x:c r="B1733" s="4" t="str">
        <x:v>RS-01732</x:v>
      </x:c>
      <x:c r="C1733" s="8" t="n">
        <x:v>45406</x:v>
      </x:c>
      <x:c r="D1733" s="4" t="str">
        <x:v>Sales operations manager</x:v>
      </x:c>
      <x:c r="E1733" s="4" t="str">
        <x:v>ERP form</x:v>
      </x:c>
      <x:c r="F1733" s="4" t="str">
        <x:v>Record captured</x:v>
      </x:c>
      <x:c r="G1733" s="4" t="str">
        <x:v>Agreement signed</x:v>
      </x:c>
    </x:row>
    <x:row r="1734" ht="34" customHeight="1">
      <x:c r="A1734" s="4" t="str">
        <x:v>RS-01733-E1</x:v>
      </x:c>
      <x:c r="B1734" s="4" t="str">
        <x:v>RS-01733</x:v>
      </x:c>
      <x:c r="C1734" s="8" t="n">
        <x:v>45407</x:v>
      </x:c>
      <x:c r="D1734" s="4" t="str">
        <x:v>Sales operations manager</x:v>
      </x:c>
      <x:c r="E1734" s="4" t="str">
        <x:v>Paper transcribed</x:v>
      </x:c>
      <x:c r="F1734" s="4" t="str">
        <x:v>Record captured</x:v>
      </x:c>
      <x:c r="G1734" s="4" t="str">
        <x:v>Handed over</x:v>
      </x:c>
    </x:row>
    <x:row r="1735" ht="34" customHeight="1">
      <x:c r="A1735" s="4" t="str">
        <x:v>RS-01734-E1</x:v>
      </x:c>
      <x:c r="B1735" s="4" t="str">
        <x:v>RS-01734</x:v>
      </x:c>
      <x:c r="C1735" s="8" t="n">
        <x:v>45408</x:v>
      </x:c>
      <x:c r="D1735" s="4" t="str">
        <x:v>Sales operations manager</x:v>
      </x:c>
      <x:c r="E1735" s="4" t="str">
        <x:v>Paper transcribed</x:v>
      </x:c>
      <x:c r="F1735" s="4" t="str">
        <x:v>Record captured</x:v>
      </x:c>
      <x:c r="G1735" s="4" t="str">
        <x:v>Reserved</x:v>
      </x:c>
    </x:row>
    <x:row r="1736" ht="34" customHeight="1">
      <x:c r="A1736" s="4" t="str">
        <x:v>RS-01735-E1</x:v>
      </x:c>
      <x:c r="B1736" s="4" t="str">
        <x:v>RS-01735</x:v>
      </x:c>
      <x:c r="C1736" s="8" t="n">
        <x:v>45409</x:v>
      </x:c>
      <x:c r="D1736" s="4" t="str">
        <x:v>Sales operations manager</x:v>
      </x:c>
      <x:c r="E1736" s="4" t="str">
        <x:v>ERP form</x:v>
      </x:c>
      <x:c r="F1736" s="4" t="str">
        <x:v>Record captured</x:v>
      </x:c>
      <x:c r="G1736" s="4" t="str">
        <x:v>Cancelled</x:v>
      </x:c>
    </x:row>
    <x:row r="1737" ht="34" customHeight="1">
      <x:c r="A1737" s="4" t="str">
        <x:v>RS-01736-E1</x:v>
      </x:c>
      <x:c r="B1737" s="4" t="str">
        <x:v>RS-01736</x:v>
      </x:c>
      <x:c r="C1737" s="8" t="n">
        <x:v>45410</x:v>
      </x:c>
      <x:c r="D1737" s="4" t="str">
        <x:v>Sales operations manager</x:v>
      </x:c>
      <x:c r="E1737" s="4" t="str">
        <x:v>ERP form</x:v>
      </x:c>
      <x:c r="F1737" s="4" t="str">
        <x:v>Record captured</x:v>
      </x:c>
      <x:c r="G1737" s="4" t="str">
        <x:v>Booked</x:v>
      </x:c>
    </x:row>
    <x:row r="1738" ht="34" customHeight="1">
      <x:c r="A1738" s="4" t="str">
        <x:v>RS-01737-E1</x:v>
      </x:c>
      <x:c r="B1738" s="4" t="str">
        <x:v>RS-01737</x:v>
      </x:c>
      <x:c r="C1738" s="8" t="n">
        <x:v>45383</x:v>
      </x:c>
      <x:c r="D1738" s="4" t="str">
        <x:v>Sales operations manager</x:v>
      </x:c>
      <x:c r="E1738" s="4" t="str">
        <x:v>WhatsApp transcribed</x:v>
      </x:c>
      <x:c r="F1738" s="4" t="str">
        <x:v>Record captured</x:v>
      </x:c>
      <x:c r="G1738" s="4" t="str">
        <x:v>Cancelled</x:v>
      </x:c>
    </x:row>
    <x:row r="1739" ht="34" customHeight="1">
      <x:c r="A1739" s="4" t="str">
        <x:v>RS-01738-E1</x:v>
      </x:c>
      <x:c r="B1739" s="4" t="str">
        <x:v>RS-01738</x:v>
      </x:c>
      <x:c r="C1739" s="8" t="n">
        <x:v>45384</x:v>
      </x:c>
      <x:c r="D1739" s="4" t="str">
        <x:v>Sales operations manager</x:v>
      </x:c>
      <x:c r="E1739" s="4" t="str">
        <x:v>Spreadsheet import</x:v>
      </x:c>
      <x:c r="F1739" s="4" t="str">
        <x:v>Record captured</x:v>
      </x:c>
      <x:c r="G1739" s="4" t="str">
        <x:v>Agreement signed</x:v>
      </x:c>
    </x:row>
    <x:row r="1740" ht="34" customHeight="1">
      <x:c r="A1740" s="4" t="str">
        <x:v>RS-01739-E1</x:v>
      </x:c>
      <x:c r="B1740" s="4" t="str">
        <x:v>RS-01739</x:v>
      </x:c>
      <x:c r="C1740" s="8" t="n">
        <x:v>45385</x:v>
      </x:c>
      <x:c r="D1740" s="4" t="str">
        <x:v>Sales operations manager</x:v>
      </x:c>
      <x:c r="E1740" s="4" t="str">
        <x:v>Spreadsheet import</x:v>
      </x:c>
      <x:c r="F1740" s="4" t="str">
        <x:v>Record captured</x:v>
      </x:c>
      <x:c r="G1740" s="4" t="str">
        <x:v>Enquiry</x:v>
      </x:c>
    </x:row>
    <x:row r="1741" ht="34" customHeight="1">
      <x:c r="A1741" s="4" t="str">
        <x:v>RS-01740-E1</x:v>
      </x:c>
      <x:c r="B1741" s="4" t="str">
        <x:v>RS-01740</x:v>
      </x:c>
      <x:c r="C1741" s="8" t="n">
        <x:v>45386</x:v>
      </x:c>
      <x:c r="D1741" s="4" t="str">
        <x:v>Sales operations manager</x:v>
      </x:c>
      <x:c r="E1741" s="4" t="str">
        <x:v>Spreadsheet import</x:v>
      </x:c>
      <x:c r="F1741" s="4" t="str">
        <x:v>Record captured</x:v>
      </x:c>
      <x:c r="G1741" s="4" t="str">
        <x:v>Agreement signed</x:v>
      </x:c>
    </x:row>
    <x:row r="1742" ht="34" customHeight="1">
      <x:c r="A1742" s="4" t="str">
        <x:v>RS-01741-E1</x:v>
      </x:c>
      <x:c r="B1742" s="4" t="str">
        <x:v>RS-01741</x:v>
      </x:c>
      <x:c r="C1742" s="8" t="n">
        <x:v>45387</x:v>
      </x:c>
      <x:c r="D1742" s="4" t="str">
        <x:v>Sales operations manager</x:v>
      </x:c>
      <x:c r="E1742" s="4" t="str">
        <x:v>ERP form</x:v>
      </x:c>
      <x:c r="F1742" s="4" t="str">
        <x:v>Record captured</x:v>
      </x:c>
      <x:c r="G1742" s="4" t="str">
        <x:v>Reserved</x:v>
      </x:c>
    </x:row>
    <x:row r="1743" ht="34" customHeight="1">
      <x:c r="A1743" s="4" t="str">
        <x:v>RS-01742-E1</x:v>
      </x:c>
      <x:c r="B1743" s="4" t="str">
        <x:v>RS-01742</x:v>
      </x:c>
      <x:c r="C1743" s="8" t="n">
        <x:v>45388</x:v>
      </x:c>
      <x:c r="D1743" s="4" t="str">
        <x:v>Sales operations manager</x:v>
      </x:c>
      <x:c r="E1743" s="4" t="str">
        <x:v>Paper transcribed</x:v>
      </x:c>
      <x:c r="F1743" s="4" t="str">
        <x:v>Record captured</x:v>
      </x:c>
      <x:c r="G1743" s="4" t="str">
        <x:v>Reserved</x:v>
      </x:c>
    </x:row>
    <x:row r="1744" ht="34" customHeight="1">
      <x:c r="A1744" s="4" t="str">
        <x:v>RS-01743-E1</x:v>
      </x:c>
      <x:c r="B1744" s="4" t="str">
        <x:v>RS-01743</x:v>
      </x:c>
      <x:c r="C1744" s="8" t="n">
        <x:v>45389</x:v>
      </x:c>
      <x:c r="D1744" s="4" t="str">
        <x:v>Sales operations manager</x:v>
      </x:c>
      <x:c r="E1744" s="4" t="str">
        <x:v>Spreadsheet import</x:v>
      </x:c>
      <x:c r="F1744" s="4" t="str">
        <x:v>Record captured</x:v>
      </x:c>
      <x:c r="G1744" s="4" t="str">
        <x:v>Handed over</x:v>
      </x:c>
    </x:row>
    <x:row r="1745" ht="34" customHeight="1">
      <x:c r="A1745" s="4" t="str">
        <x:v>RS-01744-E1</x:v>
      </x:c>
      <x:c r="B1745" s="4" t="str">
        <x:v>RS-01744</x:v>
      </x:c>
      <x:c r="C1745" s="8" t="n">
        <x:v>45390</x:v>
      </x:c>
      <x:c r="D1745" s="4" t="str">
        <x:v>Sales operations manager</x:v>
      </x:c>
      <x:c r="E1745" s="4" t="str">
        <x:v>Spreadsheet import</x:v>
      </x:c>
      <x:c r="F1745" s="4" t="str">
        <x:v>Record captured</x:v>
      </x:c>
      <x:c r="G1745" s="4" t="str">
        <x:v>Agreement signed</x:v>
      </x:c>
    </x:row>
    <x:row r="1746" ht="34" customHeight="1">
      <x:c r="A1746" s="4" t="str">
        <x:v>RS-01745-E1</x:v>
      </x:c>
      <x:c r="B1746" s="4" t="str">
        <x:v>RS-01745</x:v>
      </x:c>
      <x:c r="C1746" s="8" t="n">
        <x:v>45391</x:v>
      </x:c>
      <x:c r="D1746" s="4" t="str">
        <x:v>Sales operations manager</x:v>
      </x:c>
      <x:c r="E1746" s="4" t="str">
        <x:v>WhatsApp transcribed</x:v>
      </x:c>
      <x:c r="F1746" s="4" t="str">
        <x:v>Record captured</x:v>
      </x:c>
      <x:c r="G1746" s="4" t="str">
        <x:v>Booked</x:v>
      </x:c>
    </x:row>
    <x:row r="1747" ht="34" customHeight="1">
      <x:c r="A1747" s="4" t="str">
        <x:v>RS-01746-E1</x:v>
      </x:c>
      <x:c r="B1747" s="4" t="str">
        <x:v>RS-01746</x:v>
      </x:c>
      <x:c r="C1747" s="8" t="n">
        <x:v>45392</x:v>
      </x:c>
      <x:c r="D1747" s="4" t="str">
        <x:v>Sales operations manager</x:v>
      </x:c>
      <x:c r="E1747" s="4" t="str">
        <x:v>Spreadsheet import</x:v>
      </x:c>
      <x:c r="F1747" s="4" t="str">
        <x:v>Record captured</x:v>
      </x:c>
      <x:c r="G1747" s="4" t="str">
        <x:v>Cancelled</x:v>
      </x:c>
    </x:row>
    <x:row r="1748" ht="34" customHeight="1">
      <x:c r="A1748" s="4" t="str">
        <x:v>RS-01747-E1</x:v>
      </x:c>
      <x:c r="B1748" s="4" t="str">
        <x:v>RS-01747</x:v>
      </x:c>
      <x:c r="C1748" s="8" t="n">
        <x:v>45393</x:v>
      </x:c>
      <x:c r="D1748" s="4" t="str">
        <x:v>Sales operations manager</x:v>
      </x:c>
      <x:c r="E1748" s="4" t="str">
        <x:v>Paper transcribed</x:v>
      </x:c>
      <x:c r="F1748" s="4" t="str">
        <x:v>Record captured</x:v>
      </x:c>
      <x:c r="G1748" s="4" t="str">
        <x:v>Handed over</x:v>
      </x:c>
    </x:row>
    <x:row r="1749" ht="34" customHeight="1">
      <x:c r="A1749" s="4" t="str">
        <x:v>RS-01748-E1</x:v>
      </x:c>
      <x:c r="B1749" s="4" t="str">
        <x:v>RS-01748</x:v>
      </x:c>
      <x:c r="C1749" s="8" t="n">
        <x:v>45394</x:v>
      </x:c>
      <x:c r="D1749" s="4" t="str">
        <x:v>Sales operations manager</x:v>
      </x:c>
      <x:c r="E1749" s="4" t="str">
        <x:v>WhatsApp transcribed</x:v>
      </x:c>
      <x:c r="F1749" s="4" t="str">
        <x:v>Record captured</x:v>
      </x:c>
      <x:c r="G1749" s="4" t="str">
        <x:v>Enquiry</x:v>
      </x:c>
    </x:row>
    <x:row r="1750" ht="34" customHeight="1">
      <x:c r="A1750" s="4" t="str">
        <x:v>RS-01749-E1</x:v>
      </x:c>
      <x:c r="B1750" s="4" t="str">
        <x:v>RS-01749</x:v>
      </x:c>
      <x:c r="C1750" s="8" t="n">
        <x:v>45395</x:v>
      </x:c>
      <x:c r="D1750" s="4" t="str">
        <x:v>Sales operations manager</x:v>
      </x:c>
      <x:c r="E1750" s="4" t="str">
        <x:v>WhatsApp transcribed</x:v>
      </x:c>
      <x:c r="F1750" s="4" t="str">
        <x:v>Record captured</x:v>
      </x:c>
      <x:c r="G1750" s="4" t="str">
        <x:v>Cancelled</x:v>
      </x:c>
    </x:row>
    <x:row r="1751" ht="34" customHeight="1">
      <x:c r="A1751" s="4" t="str">
        <x:v>RS-01750-E1</x:v>
      </x:c>
      <x:c r="B1751" s="4" t="str">
        <x:v>RS-01750</x:v>
      </x:c>
      <x:c r="C1751" s="8" t="n">
        <x:v>45396</x:v>
      </x:c>
      <x:c r="D1751" s="4" t="str">
        <x:v>Sales operations manager</x:v>
      </x:c>
      <x:c r="E1751" s="4" t="str">
        <x:v>Spreadsheet import</x:v>
      </x:c>
      <x:c r="F1751" s="4" t="str">
        <x:v>Record captured</x:v>
      </x:c>
      <x:c r="G1751" s="4" t="str">
        <x:v>Cancelled</x:v>
      </x:c>
    </x:row>
    <x:row r="1752" ht="34" customHeight="1">
      <x:c r="A1752" s="4" t="str">
        <x:v>RS-01751-E1</x:v>
      </x:c>
      <x:c r="B1752" s="4" t="str">
        <x:v>RS-01751</x:v>
      </x:c>
      <x:c r="C1752" s="8" t="n">
        <x:v>45397</x:v>
      </x:c>
      <x:c r="D1752" s="4" t="str">
        <x:v>Sales operations manager</x:v>
      </x:c>
      <x:c r="E1752" s="4" t="str">
        <x:v>Spreadsheet import</x:v>
      </x:c>
      <x:c r="F1752" s="4" t="str">
        <x:v>Record captured</x:v>
      </x:c>
      <x:c r="G1752" s="4" t="str">
        <x:v>Booked</x:v>
      </x:c>
    </x:row>
    <x:row r="1753" ht="34" customHeight="1">
      <x:c r="A1753" s="4" t="str">
        <x:v>RS-01752-E1</x:v>
      </x:c>
      <x:c r="B1753" s="4" t="str">
        <x:v>RS-01752</x:v>
      </x:c>
      <x:c r="C1753" s="8" t="n">
        <x:v>45398</x:v>
      </x:c>
      <x:c r="D1753" s="4" t="str">
        <x:v>Sales operations manager</x:v>
      </x:c>
      <x:c r="E1753" s="4" t="str">
        <x:v>WhatsApp transcribed</x:v>
      </x:c>
      <x:c r="F1753" s="4" t="str">
        <x:v>Record captured</x:v>
      </x:c>
      <x:c r="G1753" s="4" t="str">
        <x:v>Enquiry</x:v>
      </x:c>
    </x:row>
    <x:row r="1754" ht="34" customHeight="1">
      <x:c r="A1754" s="4" t="str">
        <x:v>RS-01753-E1</x:v>
      </x:c>
      <x:c r="B1754" s="4" t="str">
        <x:v>RS-01753</x:v>
      </x:c>
      <x:c r="C1754" s="8" t="n">
        <x:v>45399</x:v>
      </x:c>
      <x:c r="D1754" s="4" t="str">
        <x:v>Sales operations manager</x:v>
      </x:c>
      <x:c r="E1754" s="4" t="str">
        <x:v>ERP form</x:v>
      </x:c>
      <x:c r="F1754" s="4" t="str">
        <x:v>Record captured</x:v>
      </x:c>
      <x:c r="G1754" s="4" t="str">
        <x:v>Cancelled</x:v>
      </x:c>
    </x:row>
    <x:row r="1755" ht="34" customHeight="1">
      <x:c r="A1755" s="4" t="str">
        <x:v>RS-01754-E1</x:v>
      </x:c>
      <x:c r="B1755" s="4" t="str">
        <x:v>RS-01754</x:v>
      </x:c>
      <x:c r="C1755" s="8" t="n">
        <x:v>45400</x:v>
      </x:c>
      <x:c r="D1755" s="4" t="str">
        <x:v>Sales operations manager</x:v>
      </x:c>
      <x:c r="E1755" s="4" t="str">
        <x:v>WhatsApp transcribed</x:v>
      </x:c>
      <x:c r="F1755" s="4" t="str">
        <x:v>Record captured</x:v>
      </x:c>
      <x:c r="G1755" s="4" t="str">
        <x:v>Booked</x:v>
      </x:c>
    </x:row>
    <x:row r="1756" ht="34" customHeight="1">
      <x:c r="A1756" s="4" t="str">
        <x:v>RS-01755-E1</x:v>
      </x:c>
      <x:c r="B1756" s="4" t="str">
        <x:v>RS-01755</x:v>
      </x:c>
      <x:c r="C1756" s="8" t="n">
        <x:v>45401</x:v>
      </x:c>
      <x:c r="D1756" s="4" t="str">
        <x:v>Sales operations manager</x:v>
      </x:c>
      <x:c r="E1756" s="4" t="str">
        <x:v>ERP form</x:v>
      </x:c>
      <x:c r="F1756" s="4" t="str">
        <x:v>Record captured</x:v>
      </x:c>
      <x:c r="G1756" s="4" t="str">
        <x:v>Agreement signed</x:v>
      </x:c>
    </x:row>
    <x:row r="1757" ht="34" customHeight="1">
      <x:c r="A1757" s="4" t="str">
        <x:v>RS-01756-E1</x:v>
      </x:c>
      <x:c r="B1757" s="4" t="str">
        <x:v>RS-01756</x:v>
      </x:c>
      <x:c r="C1757" s="8" t="n">
        <x:v>45402</x:v>
      </x:c>
      <x:c r="D1757" s="4" t="str">
        <x:v>Sales operations manager</x:v>
      </x:c>
      <x:c r="E1757" s="4" t="str">
        <x:v>Paper transcribed</x:v>
      </x:c>
      <x:c r="F1757" s="4" t="str">
        <x:v>Record captured</x:v>
      </x:c>
      <x:c r="G1757" s="4" t="str">
        <x:v>Cancelled</x:v>
      </x:c>
    </x:row>
    <x:row r="1758" ht="34" customHeight="1">
      <x:c r="A1758" s="4" t="str">
        <x:v>RS-01757-E1</x:v>
      </x:c>
      <x:c r="B1758" s="4" t="str">
        <x:v>RS-01757</x:v>
      </x:c>
      <x:c r="C1758" s="8" t="n">
        <x:v>45403</x:v>
      </x:c>
      <x:c r="D1758" s="4" t="str">
        <x:v>Sales operations manager</x:v>
      </x:c>
      <x:c r="E1758" s="4" t="str">
        <x:v>Paper transcribed</x:v>
      </x:c>
      <x:c r="F1758" s="4" t="str">
        <x:v>Record captured</x:v>
      </x:c>
      <x:c r="G1758" s="4" t="str">
        <x:v>Agreement signed</x:v>
      </x:c>
    </x:row>
    <x:row r="1759" ht="34" customHeight="1">
      <x:c r="A1759" s="4" t="str">
        <x:v>RS-01758-E1</x:v>
      </x:c>
      <x:c r="B1759" s="4" t="str">
        <x:v>RS-01758</x:v>
      </x:c>
      <x:c r="C1759" s="8" t="n">
        <x:v>45404</x:v>
      </x:c>
      <x:c r="D1759" s="4" t="str">
        <x:v>Sales operations manager</x:v>
      </x:c>
      <x:c r="E1759" s="4" t="str">
        <x:v>WhatsApp transcribed</x:v>
      </x:c>
      <x:c r="F1759" s="4" t="str">
        <x:v>Record captured</x:v>
      </x:c>
      <x:c r="G1759" s="4" t="str">
        <x:v>Reserved</x:v>
      </x:c>
    </x:row>
    <x:row r="1760" ht="34" customHeight="1">
      <x:c r="A1760" s="4" t="str">
        <x:v>RS-01759-E1</x:v>
      </x:c>
      <x:c r="B1760" s="4" t="str">
        <x:v>RS-01759</x:v>
      </x:c>
      <x:c r="C1760" s="8" t="n">
        <x:v>45405</x:v>
      </x:c>
      <x:c r="D1760" s="4" t="str">
        <x:v>Sales operations manager</x:v>
      </x:c>
      <x:c r="E1760" s="4" t="str">
        <x:v>ERP form</x:v>
      </x:c>
      <x:c r="F1760" s="4" t="str">
        <x:v>Record captured</x:v>
      </x:c>
      <x:c r="G1760" s="4" t="str">
        <x:v>Reserved</x:v>
      </x:c>
    </x:row>
    <x:row r="1761" ht="34" customHeight="1">
      <x:c r="A1761" s="4" t="str">
        <x:v>RS-01760-E1</x:v>
      </x:c>
      <x:c r="B1761" s="4" t="str">
        <x:v>RS-01760</x:v>
      </x:c>
      <x:c r="C1761" s="8" t="n">
        <x:v>45406</x:v>
      </x:c>
      <x:c r="D1761" s="4" t="str">
        <x:v>Sales operations manager</x:v>
      </x:c>
      <x:c r="E1761" s="4" t="str">
        <x:v>ERP form</x:v>
      </x:c>
      <x:c r="F1761" s="4" t="str">
        <x:v>Record captured</x:v>
      </x:c>
      <x:c r="G1761" s="4" t="str">
        <x:v>Handed over</x:v>
      </x:c>
    </x:row>
    <x:row r="1762" ht="34" customHeight="1">
      <x:c r="A1762" s="4" t="str">
        <x:v>RS-01761-E1</x:v>
      </x:c>
      <x:c r="B1762" s="4" t="str">
        <x:v>RS-01761</x:v>
      </x:c>
      <x:c r="C1762" s="8" t="n">
        <x:v>45407</x:v>
      </x:c>
      <x:c r="D1762" s="4" t="str">
        <x:v>Sales operations manager</x:v>
      </x:c>
      <x:c r="E1762" s="4" t="str">
        <x:v>Spreadsheet import</x:v>
      </x:c>
      <x:c r="F1762" s="4" t="str">
        <x:v>Record captured</x:v>
      </x:c>
      <x:c r="G1762" s="4" t="str">
        <x:v>Cancelled</x:v>
      </x:c>
    </x:row>
    <x:row r="1763" ht="34" customHeight="1">
      <x:c r="A1763" s="4" t="str">
        <x:v>RS-01762-E1</x:v>
      </x:c>
      <x:c r="B1763" s="4" t="str">
        <x:v>RS-01762</x:v>
      </x:c>
      <x:c r="C1763" s="8" t="n">
        <x:v>45408</x:v>
      </x:c>
      <x:c r="D1763" s="4" t="str">
        <x:v>Sales operations manager</x:v>
      </x:c>
      <x:c r="E1763" s="4" t="str">
        <x:v>Spreadsheet import</x:v>
      </x:c>
      <x:c r="F1763" s="4" t="str">
        <x:v>Record captured</x:v>
      </x:c>
      <x:c r="G1763" s="4" t="str">
        <x:v>Enquiry</x:v>
      </x:c>
    </x:row>
    <x:row r="1764" ht="34" customHeight="1">
      <x:c r="A1764" s="4" t="str">
        <x:v>RS-01763-E1</x:v>
      </x:c>
      <x:c r="B1764" s="4" t="str">
        <x:v>RS-01763</x:v>
      </x:c>
      <x:c r="C1764" s="8" t="n">
        <x:v>45409</x:v>
      </x:c>
      <x:c r="D1764" s="4" t="str">
        <x:v>Sales operations manager</x:v>
      </x:c>
      <x:c r="E1764" s="4" t="str">
        <x:v>Spreadsheet import</x:v>
      </x:c>
      <x:c r="F1764" s="4" t="str">
        <x:v>Record captured</x:v>
      </x:c>
      <x:c r="G1764" s="4" t="str">
        <x:v>Enquiry</x:v>
      </x:c>
    </x:row>
    <x:row r="1765" ht="34" customHeight="1">
      <x:c r="A1765" s="4" t="str">
        <x:v>RS-01764-E1</x:v>
      </x:c>
      <x:c r="B1765" s="4" t="str">
        <x:v>RS-01764</x:v>
      </x:c>
      <x:c r="C1765" s="8" t="n">
        <x:v>45410</x:v>
      </x:c>
      <x:c r="D1765" s="4" t="str">
        <x:v>Sales operations manager</x:v>
      </x:c>
      <x:c r="E1765" s="4" t="str">
        <x:v>Spreadsheet import</x:v>
      </x:c>
      <x:c r="F1765" s="4" t="str">
        <x:v>Record captured</x:v>
      </x:c>
      <x:c r="G1765" s="4" t="str">
        <x:v>Booked</x:v>
      </x:c>
    </x:row>
    <x:row r="1766" ht="34" customHeight="1">
      <x:c r="A1766" s="4" t="str">
        <x:v>RS-01765-E1</x:v>
      </x:c>
      <x:c r="B1766" s="4" t="str">
        <x:v>RS-01765</x:v>
      </x:c>
      <x:c r="C1766" s="8" t="n">
        <x:v>45383</x:v>
      </x:c>
      <x:c r="D1766" s="4" t="str">
        <x:v>Sales operations manager</x:v>
      </x:c>
      <x:c r="E1766" s="4" t="str">
        <x:v>Paper transcribed</x:v>
      </x:c>
      <x:c r="F1766" s="4" t="str">
        <x:v>Record captured</x:v>
      </x:c>
      <x:c r="G1766" s="4" t="str">
        <x:v>Agreement signed</x:v>
      </x:c>
    </x:row>
    <x:row r="1767" ht="34" customHeight="1">
      <x:c r="A1767" s="4" t="str">
        <x:v>RS-01766-E1</x:v>
      </x:c>
      <x:c r="B1767" s="4" t="str">
        <x:v>RS-01766</x:v>
      </x:c>
      <x:c r="C1767" s="8" t="n">
        <x:v>45384</x:v>
      </x:c>
      <x:c r="D1767" s="4" t="str">
        <x:v>Sales operations manager</x:v>
      </x:c>
      <x:c r="E1767" s="4" t="str">
        <x:v>WhatsApp transcribed</x:v>
      </x:c>
      <x:c r="F1767" s="4" t="str">
        <x:v>Record captured</x:v>
      </x:c>
      <x:c r="G1767" s="4" t="str">
        <x:v>Enquiry</x:v>
      </x:c>
    </x:row>
    <x:row r="1768" ht="34" customHeight="1">
      <x:c r="A1768" s="4" t="str">
        <x:v>RS-01767-E1</x:v>
      </x:c>
      <x:c r="B1768" s="4" t="str">
        <x:v>RS-01767</x:v>
      </x:c>
      <x:c r="C1768" s="8" t="n">
        <x:v>45385</x:v>
      </x:c>
      <x:c r="D1768" s="4" t="str">
        <x:v>Sales operations manager</x:v>
      </x:c>
      <x:c r="E1768" s="4" t="str">
        <x:v>ERP form</x:v>
      </x:c>
      <x:c r="F1768" s="4" t="str">
        <x:v>Record captured</x:v>
      </x:c>
      <x:c r="G1768" s="4" t="str">
        <x:v>Handed over</x:v>
      </x:c>
    </x:row>
    <x:row r="1769" ht="34" customHeight="1">
      <x:c r="A1769" s="4" t="str">
        <x:v>RS-01768-E1</x:v>
      </x:c>
      <x:c r="B1769" s="4" t="str">
        <x:v>RS-01768</x:v>
      </x:c>
      <x:c r="C1769" s="8" t="n">
        <x:v>45386</x:v>
      </x:c>
      <x:c r="D1769" s="4" t="str">
        <x:v>Sales operations manager</x:v>
      </x:c>
      <x:c r="E1769" s="4" t="str">
        <x:v>ERP form</x:v>
      </x:c>
      <x:c r="F1769" s="4" t="str">
        <x:v>Record captured</x:v>
      </x:c>
      <x:c r="G1769" s="4" t="str">
        <x:v>Booked</x:v>
      </x:c>
    </x:row>
    <x:row r="1770" ht="34" customHeight="1">
      <x:c r="A1770" s="4" t="str">
        <x:v>RS-01769-E1</x:v>
      </x:c>
      <x:c r="B1770" s="4" t="str">
        <x:v>RS-01769</x:v>
      </x:c>
      <x:c r="C1770" s="8" t="n">
        <x:v>45387</x:v>
      </x:c>
      <x:c r="D1770" s="4" t="str">
        <x:v>Sales operations manager</x:v>
      </x:c>
      <x:c r="E1770" s="4" t="str">
        <x:v>ERP form</x:v>
      </x:c>
      <x:c r="F1770" s="4" t="str">
        <x:v>Record captured</x:v>
      </x:c>
      <x:c r="G1770" s="4" t="str">
        <x:v>Enquiry</x:v>
      </x:c>
    </x:row>
    <x:row r="1771" ht="34" customHeight="1">
      <x:c r="A1771" s="4" t="str">
        <x:v>RS-01770-E1</x:v>
      </x:c>
      <x:c r="B1771" s="4" t="str">
        <x:v>RS-01770</x:v>
      </x:c>
      <x:c r="C1771" s="8" t="n">
        <x:v>45388</x:v>
      </x:c>
      <x:c r="D1771" s="4" t="str">
        <x:v>Sales operations manager</x:v>
      </x:c>
      <x:c r="E1771" s="4" t="str">
        <x:v>WhatsApp transcribed</x:v>
      </x:c>
      <x:c r="F1771" s="4" t="str">
        <x:v>Record captured</x:v>
      </x:c>
      <x:c r="G1771" s="4" t="str">
        <x:v>Enquiry</x:v>
      </x:c>
    </x:row>
    <x:row r="1772" ht="34" customHeight="1">
      <x:c r="A1772" s="4" t="str">
        <x:v>RS-01771-E1</x:v>
      </x:c>
      <x:c r="B1772" s="4" t="str">
        <x:v>RS-01771</x:v>
      </x:c>
      <x:c r="C1772" s="8" t="n">
        <x:v>45389</x:v>
      </x:c>
      <x:c r="D1772" s="4" t="str">
        <x:v>Sales operations manager</x:v>
      </x:c>
      <x:c r="E1772" s="4" t="str">
        <x:v>ERP form</x:v>
      </x:c>
      <x:c r="F1772" s="4" t="str">
        <x:v>Record captured</x:v>
      </x:c>
      <x:c r="G1772" s="4" t="str">
        <x:v>Enquiry</x:v>
      </x:c>
    </x:row>
    <x:row r="1773" ht="34" customHeight="1">
      <x:c r="A1773" s="4" t="str">
        <x:v>RS-01772-E1</x:v>
      </x:c>
      <x:c r="B1773" s="4" t="str">
        <x:v>RS-01772</x:v>
      </x:c>
      <x:c r="C1773" s="8" t="n">
        <x:v>45390</x:v>
      </x:c>
      <x:c r="D1773" s="4" t="str">
        <x:v>Sales operations manager</x:v>
      </x:c>
      <x:c r="E1773" s="4" t="str">
        <x:v>WhatsApp transcribed</x:v>
      </x:c>
      <x:c r="F1773" s="4" t="str">
        <x:v>Record captured</x:v>
      </x:c>
      <x:c r="G1773" s="4" t="str">
        <x:v>Agreement signed</x:v>
      </x:c>
    </x:row>
    <x:row r="1774" ht="34" customHeight="1">
      <x:c r="A1774" s="4" t="str">
        <x:v>RS-01773-E1</x:v>
      </x:c>
      <x:c r="B1774" s="4" t="str">
        <x:v>RS-01773</x:v>
      </x:c>
      <x:c r="C1774" s="8" t="n">
        <x:v>45391</x:v>
      </x:c>
      <x:c r="D1774" s="4" t="str">
        <x:v>Sales operations manager</x:v>
      </x:c>
      <x:c r="E1774" s="4" t="str">
        <x:v>Spreadsheet import</x:v>
      </x:c>
      <x:c r="F1774" s="4" t="str">
        <x:v>Record captured</x:v>
      </x:c>
      <x:c r="G1774" s="4" t="str">
        <x:v>Handed over</x:v>
      </x:c>
    </x:row>
    <x:row r="1775" ht="34" customHeight="1">
      <x:c r="A1775" s="4" t="str">
        <x:v>RS-01774-E1</x:v>
      </x:c>
      <x:c r="B1775" s="4" t="str">
        <x:v>RS-01774</x:v>
      </x:c>
      <x:c r="C1775" s="8" t="n">
        <x:v>45392</x:v>
      </x:c>
      <x:c r="D1775" s="4" t="str">
        <x:v>Sales operations manager</x:v>
      </x:c>
      <x:c r="E1775" s="4" t="str">
        <x:v>Spreadsheet import</x:v>
      </x:c>
      <x:c r="F1775" s="4" t="str">
        <x:v>Record captured</x:v>
      </x:c>
      <x:c r="G1775" s="4" t="str">
        <x:v>Booked</x:v>
      </x:c>
    </x:row>
    <x:row r="1776" ht="34" customHeight="1">
      <x:c r="A1776" s="4" t="str">
        <x:v>RS-01775-E1</x:v>
      </x:c>
      <x:c r="B1776" s="4" t="str">
        <x:v>RS-01775</x:v>
      </x:c>
      <x:c r="C1776" s="8" t="n">
        <x:v>45393</x:v>
      </x:c>
      <x:c r="D1776" s="4" t="str">
        <x:v>Sales operations manager</x:v>
      </x:c>
      <x:c r="E1776" s="4" t="str">
        <x:v>ERP form</x:v>
      </x:c>
      <x:c r="F1776" s="4" t="str">
        <x:v>Record captured</x:v>
      </x:c>
      <x:c r="G1776" s="4" t="str">
        <x:v>Enquiry</x:v>
      </x:c>
    </x:row>
    <x:row r="1777" ht="34" customHeight="1">
      <x:c r="A1777" s="4" t="str">
        <x:v>RS-01776-E1</x:v>
      </x:c>
      <x:c r="B1777" s="4" t="str">
        <x:v>RS-01776</x:v>
      </x:c>
      <x:c r="C1777" s="8" t="n">
        <x:v>45394</x:v>
      </x:c>
      <x:c r="D1777" s="4" t="str">
        <x:v>Sales operations manager</x:v>
      </x:c>
      <x:c r="E1777" s="4" t="str">
        <x:v>Paper transcribed</x:v>
      </x:c>
      <x:c r="F1777" s="4" t="str">
        <x:v>Record captured</x:v>
      </x:c>
      <x:c r="G1777" s="4" t="str">
        <x:v>Agreement signed</x:v>
      </x:c>
    </x:row>
    <x:row r="1778" ht="34" customHeight="1">
      <x:c r="A1778" s="4" t="str">
        <x:v>RS-01777-E1</x:v>
      </x:c>
      <x:c r="B1778" s="4" t="str">
        <x:v>RS-01777</x:v>
      </x:c>
      <x:c r="C1778" s="8" t="n">
        <x:v>45395</x:v>
      </x:c>
      <x:c r="D1778" s="4" t="str">
        <x:v>Sales operations manager</x:v>
      </x:c>
      <x:c r="E1778" s="4" t="str">
        <x:v>Paper transcribed</x:v>
      </x:c>
      <x:c r="F1778" s="4" t="str">
        <x:v>Record captured</x:v>
      </x:c>
      <x:c r="G1778" s="4" t="str">
        <x:v>Booked</x:v>
      </x:c>
    </x:row>
    <x:row r="1779" ht="34" customHeight="1">
      <x:c r="A1779" s="4" t="str">
        <x:v>RS-01778-E1</x:v>
      </x:c>
      <x:c r="B1779" s="4" t="str">
        <x:v>RS-01778</x:v>
      </x:c>
      <x:c r="C1779" s="8" t="n">
        <x:v>45396</x:v>
      </x:c>
      <x:c r="D1779" s="4" t="str">
        <x:v>Sales operations manager</x:v>
      </x:c>
      <x:c r="E1779" s="4" t="str">
        <x:v>Spreadsheet import</x:v>
      </x:c>
      <x:c r="F1779" s="4" t="str">
        <x:v>Record captured</x:v>
      </x:c>
      <x:c r="G1779" s="4" t="str">
        <x:v>Cancelled</x:v>
      </x:c>
    </x:row>
    <x:row r="1780" ht="34" customHeight="1">
      <x:c r="A1780" s="4" t="str">
        <x:v>RS-01779-E1</x:v>
      </x:c>
      <x:c r="B1780" s="4" t="str">
        <x:v>RS-01779</x:v>
      </x:c>
      <x:c r="C1780" s="8" t="n">
        <x:v>45397</x:v>
      </x:c>
      <x:c r="D1780" s="4" t="str">
        <x:v>Sales operations manager</x:v>
      </x:c>
      <x:c r="E1780" s="4" t="str">
        <x:v>Paper transcribed</x:v>
      </x:c>
      <x:c r="F1780" s="4" t="str">
        <x:v>Record captured</x:v>
      </x:c>
      <x:c r="G1780" s="4" t="str">
        <x:v>Agreement signed</x:v>
      </x:c>
    </x:row>
    <x:row r="1781" ht="34" customHeight="1">
      <x:c r="A1781" s="4" t="str">
        <x:v>RS-01780-E1</x:v>
      </x:c>
      <x:c r="B1781" s="4" t="str">
        <x:v>RS-01780</x:v>
      </x:c>
      <x:c r="C1781" s="8" t="n">
        <x:v>45398</x:v>
      </x:c>
      <x:c r="D1781" s="4" t="str">
        <x:v>Sales operations manager</x:v>
      </x:c>
      <x:c r="E1781" s="4" t="str">
        <x:v>Paper transcribed</x:v>
      </x:c>
      <x:c r="F1781" s="4" t="str">
        <x:v>Record captured</x:v>
      </x:c>
      <x:c r="G1781" s="4" t="str">
        <x:v>Handed over</x:v>
      </x:c>
    </x:row>
    <x:row r="1782" ht="34" customHeight="1">
      <x:c r="A1782" s="4" t="str">
        <x:v>RS-01781-E1</x:v>
      </x:c>
      <x:c r="B1782" s="4" t="str">
        <x:v>RS-01781</x:v>
      </x:c>
      <x:c r="C1782" s="8" t="n">
        <x:v>45399</x:v>
      </x:c>
      <x:c r="D1782" s="4" t="str">
        <x:v>Sales operations manager</x:v>
      </x:c>
      <x:c r="E1782" s="4" t="str">
        <x:v>Paper transcribed</x:v>
      </x:c>
      <x:c r="F1782" s="4" t="str">
        <x:v>Record captured</x:v>
      </x:c>
      <x:c r="G1782" s="4" t="str">
        <x:v>Handed over</x:v>
      </x:c>
    </x:row>
    <x:row r="1783" ht="34" customHeight="1">
      <x:c r="A1783" s="4" t="str">
        <x:v>RS-01782-E1</x:v>
      </x:c>
      <x:c r="B1783" s="4" t="str">
        <x:v>RS-01782</x:v>
      </x:c>
      <x:c r="C1783" s="8" t="n">
        <x:v>45400</x:v>
      </x:c>
      <x:c r="D1783" s="4" t="str">
        <x:v>Sales operations manager</x:v>
      </x:c>
      <x:c r="E1783" s="4" t="str">
        <x:v>Paper transcribed</x:v>
      </x:c>
      <x:c r="F1783" s="4" t="str">
        <x:v>Record captured</x:v>
      </x:c>
      <x:c r="G1783" s="4" t="str">
        <x:v>Booked</x:v>
      </x:c>
    </x:row>
    <x:row r="1784" ht="34" customHeight="1">
      <x:c r="A1784" s="4" t="str">
        <x:v>RS-01783-E1</x:v>
      </x:c>
      <x:c r="B1784" s="4" t="str">
        <x:v>RS-01783</x:v>
      </x:c>
      <x:c r="C1784" s="8" t="n">
        <x:v>45401</x:v>
      </x:c>
      <x:c r="D1784" s="4" t="str">
        <x:v>Sales operations manager</x:v>
      </x:c>
      <x:c r="E1784" s="4" t="str">
        <x:v>Spreadsheet import</x:v>
      </x:c>
      <x:c r="F1784" s="4" t="str">
        <x:v>Record captured</x:v>
      </x:c>
      <x:c r="G1784" s="4" t="str">
        <x:v>Handed over</x:v>
      </x:c>
    </x:row>
    <x:row r="1785" ht="34" customHeight="1">
      <x:c r="A1785" s="4" t="str">
        <x:v>RS-01784-E1</x:v>
      </x:c>
      <x:c r="B1785" s="4" t="str">
        <x:v>RS-01784</x:v>
      </x:c>
      <x:c r="C1785" s="8" t="n">
        <x:v>45402</x:v>
      </x:c>
      <x:c r="D1785" s="4" t="str">
        <x:v>Sales operations manager</x:v>
      </x:c>
      <x:c r="E1785" s="4" t="str">
        <x:v>WhatsApp transcribed</x:v>
      </x:c>
      <x:c r="F1785" s="4" t="str">
        <x:v>Record captured</x:v>
      </x:c>
      <x:c r="G1785" s="4" t="str">
        <x:v>Reserved</x:v>
      </x:c>
    </x:row>
    <x:row r="1786" ht="34" customHeight="1">
      <x:c r="A1786" s="4" t="str">
        <x:v>RS-01785-E1</x:v>
      </x:c>
      <x:c r="B1786" s="4" t="str">
        <x:v>RS-01785</x:v>
      </x:c>
      <x:c r="C1786" s="8" t="n">
        <x:v>45403</x:v>
      </x:c>
      <x:c r="D1786" s="4" t="str">
        <x:v>Sales operations manager</x:v>
      </x:c>
      <x:c r="E1786" s="4" t="str">
        <x:v>WhatsApp transcribed</x:v>
      </x:c>
      <x:c r="F1786" s="4" t="str">
        <x:v>Record captured</x:v>
      </x:c>
      <x:c r="G1786" s="4" t="str">
        <x:v>Reserved</x:v>
      </x:c>
    </x:row>
    <x:row r="1787" ht="34" customHeight="1">
      <x:c r="A1787" s="4" t="str">
        <x:v>RS-01786-E1</x:v>
      </x:c>
      <x:c r="B1787" s="4" t="str">
        <x:v>RS-01786</x:v>
      </x:c>
      <x:c r="C1787" s="8" t="n">
        <x:v>45404</x:v>
      </x:c>
      <x:c r="D1787" s="4" t="str">
        <x:v>Sales operations manager</x:v>
      </x:c>
      <x:c r="E1787" s="4" t="str">
        <x:v>WhatsApp transcribed</x:v>
      </x:c>
      <x:c r="F1787" s="4" t="str">
        <x:v>Record captured</x:v>
      </x:c>
      <x:c r="G1787" s="4" t="str">
        <x:v>Reserved</x:v>
      </x:c>
    </x:row>
    <x:row r="1788" ht="34" customHeight="1">
      <x:c r="A1788" s="4" t="str">
        <x:v>RS-01787-E1</x:v>
      </x:c>
      <x:c r="B1788" s="4" t="str">
        <x:v>RS-01787</x:v>
      </x:c>
      <x:c r="C1788" s="8" t="n">
        <x:v>45405</x:v>
      </x:c>
      <x:c r="D1788" s="4" t="str">
        <x:v>Sales operations manager</x:v>
      </x:c>
      <x:c r="E1788" s="4" t="str">
        <x:v>WhatsApp transcribed</x:v>
      </x:c>
      <x:c r="F1788" s="4" t="str">
        <x:v>Record captured</x:v>
      </x:c>
      <x:c r="G1788" s="4" t="str">
        <x:v>Enquiry</x:v>
      </x:c>
    </x:row>
    <x:row r="1789" ht="34" customHeight="1">
      <x:c r="A1789" s="4" t="str">
        <x:v>RS-01788-E1</x:v>
      </x:c>
      <x:c r="B1789" s="4" t="str">
        <x:v>RS-01788</x:v>
      </x:c>
      <x:c r="C1789" s="8" t="n">
        <x:v>45406</x:v>
      </x:c>
      <x:c r="D1789" s="4" t="str">
        <x:v>Sales operations manager</x:v>
      </x:c>
      <x:c r="E1789" s="4" t="str">
        <x:v>Spreadsheet import</x:v>
      </x:c>
      <x:c r="F1789" s="4" t="str">
        <x:v>Record captured</x:v>
      </x:c>
      <x:c r="G1789" s="4" t="str">
        <x:v>Reserved</x:v>
      </x:c>
    </x:row>
    <x:row r="1790" ht="34" customHeight="1">
      <x:c r="A1790" s="4" t="str">
        <x:v>RS-01789-E1</x:v>
      </x:c>
      <x:c r="B1790" s="4" t="str">
        <x:v>RS-01789</x:v>
      </x:c>
      <x:c r="C1790" s="8" t="n">
        <x:v>45407</x:v>
      </x:c>
      <x:c r="D1790" s="4" t="str">
        <x:v>Sales operations manager</x:v>
      </x:c>
      <x:c r="E1790" s="4" t="str">
        <x:v>Spreadsheet import</x:v>
      </x:c>
      <x:c r="F1790" s="4" t="str">
        <x:v>Record captured</x:v>
      </x:c>
      <x:c r="G1790" s="4" t="str">
        <x:v>Enquiry</x:v>
      </x:c>
    </x:row>
    <x:row r="1791" ht="34" customHeight="1">
      <x:c r="A1791" s="4" t="str">
        <x:v>RS-01790-E1</x:v>
      </x:c>
      <x:c r="B1791" s="4" t="str">
        <x:v>RS-01790</x:v>
      </x:c>
      <x:c r="C1791" s="8" t="n">
        <x:v>45408</x:v>
      </x:c>
      <x:c r="D1791" s="4" t="str">
        <x:v>Sales operations manager</x:v>
      </x:c>
      <x:c r="E1791" s="4" t="str">
        <x:v>Spreadsheet import</x:v>
      </x:c>
      <x:c r="F1791" s="4" t="str">
        <x:v>Record captured</x:v>
      </x:c>
      <x:c r="G1791" s="4" t="str">
        <x:v>Handed over</x:v>
      </x:c>
    </x:row>
    <x:row r="1792" ht="34" customHeight="1">
      <x:c r="A1792" s="4" t="str">
        <x:v>RS-01791-E1</x:v>
      </x:c>
      <x:c r="B1792" s="4" t="str">
        <x:v>RS-01791</x:v>
      </x:c>
      <x:c r="C1792" s="8" t="n">
        <x:v>45409</x:v>
      </x:c>
      <x:c r="D1792" s="4" t="str">
        <x:v>Sales operations manager</x:v>
      </x:c>
      <x:c r="E1792" s="4" t="str">
        <x:v>Spreadsheet import</x:v>
      </x:c>
      <x:c r="F1792" s="4" t="str">
        <x:v>Record captured</x:v>
      </x:c>
      <x:c r="G1792" s="4" t="str">
        <x:v>Cancelled</x:v>
      </x:c>
    </x:row>
    <x:row r="1793" ht="34" customHeight="1">
      <x:c r="A1793" s="4" t="str">
        <x:v>RS-01792-E1</x:v>
      </x:c>
      <x:c r="B1793" s="4" t="str">
        <x:v>RS-01792</x:v>
      </x:c>
      <x:c r="C1793" s="8" t="n">
        <x:v>45410</x:v>
      </x:c>
      <x:c r="D1793" s="4" t="str">
        <x:v>Sales operations manager</x:v>
      </x:c>
      <x:c r="E1793" s="4" t="str">
        <x:v>ERP form</x:v>
      </x:c>
      <x:c r="F1793" s="4" t="str">
        <x:v>Record captured</x:v>
      </x:c>
      <x:c r="G1793" s="4" t="str">
        <x:v>Cancelled</x:v>
      </x:c>
    </x:row>
    <x:row r="1794" ht="34" customHeight="1">
      <x:c r="A1794" s="4" t="str">
        <x:v>RS-01793-E1</x:v>
      </x:c>
      <x:c r="B1794" s="4" t="str">
        <x:v>RS-01793</x:v>
      </x:c>
      <x:c r="C1794" s="8" t="n">
        <x:v>45383</x:v>
      </x:c>
      <x:c r="D1794" s="4" t="str">
        <x:v>Sales operations manager</x:v>
      </x:c>
      <x:c r="E1794" s="4" t="str">
        <x:v>WhatsApp transcribed</x:v>
      </x:c>
      <x:c r="F1794" s="4" t="str">
        <x:v>Record captured</x:v>
      </x:c>
      <x:c r="G1794" s="4" t="str">
        <x:v>Booked</x:v>
      </x:c>
    </x:row>
    <x:row r="1795" ht="34" customHeight="1">
      <x:c r="A1795" s="4" t="str">
        <x:v>RS-01794-E1</x:v>
      </x:c>
      <x:c r="B1795" s="4" t="str">
        <x:v>RS-01794</x:v>
      </x:c>
      <x:c r="C1795" s="8" t="n">
        <x:v>45384</x:v>
      </x:c>
      <x:c r="D1795" s="4" t="str">
        <x:v>Sales operations manager</x:v>
      </x:c>
      <x:c r="E1795" s="4" t="str">
        <x:v>Spreadsheet import</x:v>
      </x:c>
      <x:c r="F1795" s="4" t="str">
        <x:v>Record captured</x:v>
      </x:c>
      <x:c r="G1795" s="4" t="str">
        <x:v>Enquiry</x:v>
      </x:c>
    </x:row>
    <x:row r="1796" ht="34" customHeight="1">
      <x:c r="A1796" s="4" t="str">
        <x:v>RS-01795-E1</x:v>
      </x:c>
      <x:c r="B1796" s="4" t="str">
        <x:v>RS-01795</x:v>
      </x:c>
      <x:c r="C1796" s="8" t="n">
        <x:v>45385</x:v>
      </x:c>
      <x:c r="D1796" s="4" t="str">
        <x:v>Sales operations manager</x:v>
      </x:c>
      <x:c r="E1796" s="4" t="str">
        <x:v>Paper transcribed</x:v>
      </x:c>
      <x:c r="F1796" s="4" t="str">
        <x:v>Record captured</x:v>
      </x:c>
      <x:c r="G1796" s="4" t="str">
        <x:v>Handed over</x:v>
      </x:c>
    </x:row>
    <x:row r="1797" ht="34" customHeight="1">
      <x:c r="A1797" s="4" t="str">
        <x:v>RS-01796-E1</x:v>
      </x:c>
      <x:c r="B1797" s="4" t="str">
        <x:v>RS-01796</x:v>
      </x:c>
      <x:c r="C1797" s="8" t="n">
        <x:v>45386</x:v>
      </x:c>
      <x:c r="D1797" s="4" t="str">
        <x:v>Sales operations manager</x:v>
      </x:c>
      <x:c r="E1797" s="4" t="str">
        <x:v>Spreadsheet import</x:v>
      </x:c>
      <x:c r="F1797" s="4" t="str">
        <x:v>Record captured</x:v>
      </x:c>
      <x:c r="G1797" s="4" t="str">
        <x:v>Cancelled</x:v>
      </x:c>
    </x:row>
    <x:row r="1798" ht="34" customHeight="1">
      <x:c r="A1798" s="4" t="str">
        <x:v>RS-01797-E1</x:v>
      </x:c>
      <x:c r="B1798" s="4" t="str">
        <x:v>RS-01797</x:v>
      </x:c>
      <x:c r="C1798" s="8" t="n">
        <x:v>45387</x:v>
      </x:c>
      <x:c r="D1798" s="4" t="str">
        <x:v>Sales operations manager</x:v>
      </x:c>
      <x:c r="E1798" s="4" t="str">
        <x:v>Paper transcribed</x:v>
      </x:c>
      <x:c r="F1798" s="4" t="str">
        <x:v>Record captured</x:v>
      </x:c>
      <x:c r="G1798" s="4" t="str">
        <x:v>Agreement signed</x:v>
      </x:c>
    </x:row>
    <x:row r="1799" ht="34" customHeight="1">
      <x:c r="A1799" s="4" t="str">
        <x:v>RS-01798-E1</x:v>
      </x:c>
      <x:c r="B1799" s="4" t="str">
        <x:v>RS-01798</x:v>
      </x:c>
      <x:c r="C1799" s="8" t="n">
        <x:v>45388</x:v>
      </x:c>
      <x:c r="D1799" s="4" t="str">
        <x:v>Sales operations manager</x:v>
      </x:c>
      <x:c r="E1799" s="4" t="str">
        <x:v>WhatsApp transcribed</x:v>
      </x:c>
      <x:c r="F1799" s="4" t="str">
        <x:v>Record captured</x:v>
      </x:c>
      <x:c r="G1799" s="4" t="str">
        <x:v>Agreement signed</x:v>
      </x:c>
    </x:row>
    <x:row r="1800" ht="34" customHeight="1">
      <x:c r="A1800" s="4" t="str">
        <x:v>RS-01799-E1</x:v>
      </x:c>
      <x:c r="B1800" s="4" t="str">
        <x:v>RS-01799</x:v>
      </x:c>
      <x:c r="C1800" s="8" t="n">
        <x:v>45389</x:v>
      </x:c>
      <x:c r="D1800" s="4" t="str">
        <x:v>Sales operations manager</x:v>
      </x:c>
      <x:c r="E1800" s="4" t="str">
        <x:v>Spreadsheet import</x:v>
      </x:c>
      <x:c r="F1800" s="4" t="str">
        <x:v>Record captured</x:v>
      </x:c>
      <x:c r="G1800" s="4" t="str">
        <x:v>Cancelled</x:v>
      </x:c>
    </x:row>
    <x:row r="1801" ht="34" customHeight="1">
      <x:c r="A1801" s="4" t="str">
        <x:v>RS-01800-E1</x:v>
      </x:c>
      <x:c r="B1801" s="4" t="str">
        <x:v>RS-01800</x:v>
      </x:c>
      <x:c r="C1801" s="8" t="n">
        <x:v>45390</x:v>
      </x:c>
      <x:c r="D1801" s="4" t="str">
        <x:v>Sales operations manager</x:v>
      </x:c>
      <x:c r="E1801" s="4" t="str">
        <x:v>ERP form</x:v>
      </x:c>
      <x:c r="F1801" s="4" t="str">
        <x:v>Record captured</x:v>
      </x:c>
      <x:c r="G1801" s="4" t="str">
        <x:v>Enquiry</x:v>
      </x:c>
    </x:row>
    <x:row r="1802" ht="34" customHeight="1">
      <x:c r="A1802" s="4" t="str">
        <x:v>RS-01801-E1</x:v>
      </x:c>
      <x:c r="B1802" s="4" t="str">
        <x:v>RS-01801</x:v>
      </x:c>
      <x:c r="C1802" s="8" t="n">
        <x:v>45391</x:v>
      </x:c>
      <x:c r="D1802" s="4" t="str">
        <x:v>Sales operations manager</x:v>
      </x:c>
      <x:c r="E1802" s="4" t="str">
        <x:v>Spreadsheet import</x:v>
      </x:c>
      <x:c r="F1802" s="4" t="str">
        <x:v>Record captured</x:v>
      </x:c>
      <x:c r="G1802" s="4" t="str">
        <x:v>Booked</x:v>
      </x:c>
    </x:row>
    <x:row r="1803" ht="34" customHeight="1">
      <x:c r="A1803" s="4" t="str">
        <x:v>RS-01802-E1</x:v>
      </x:c>
      <x:c r="B1803" s="4" t="str">
        <x:v>RS-01802</x:v>
      </x:c>
      <x:c r="C1803" s="8" t="n">
        <x:v>45392</x:v>
      </x:c>
      <x:c r="D1803" s="4" t="str">
        <x:v>Sales operations manager</x:v>
      </x:c>
      <x:c r="E1803" s="4" t="str">
        <x:v>Spreadsheet import</x:v>
      </x:c>
      <x:c r="F1803" s="4" t="str">
        <x:v>Record captured</x:v>
      </x:c>
      <x:c r="G1803" s="4" t="str">
        <x:v>Enquiry</x:v>
      </x:c>
    </x:row>
    <x:row r="1804" ht="34" customHeight="1">
      <x:c r="A1804" s="4" t="str">
        <x:v>RS-01803-E1</x:v>
      </x:c>
      <x:c r="B1804" s="4" t="str">
        <x:v>RS-01803</x:v>
      </x:c>
      <x:c r="C1804" s="8" t="n">
        <x:v>45393</x:v>
      </x:c>
      <x:c r="D1804" s="4" t="str">
        <x:v>Sales operations manager</x:v>
      </x:c>
      <x:c r="E1804" s="4" t="str">
        <x:v>ERP form</x:v>
      </x:c>
      <x:c r="F1804" s="4" t="str">
        <x:v>Record captured</x:v>
      </x:c>
      <x:c r="G1804" s="4" t="str">
        <x:v>Enquiry</x:v>
      </x:c>
    </x:row>
    <x:row r="1805" ht="34" customHeight="1">
      <x:c r="A1805" s="4" t="str">
        <x:v>RS-01804-E1</x:v>
      </x:c>
      <x:c r="B1805" s="4" t="str">
        <x:v>RS-01804</x:v>
      </x:c>
      <x:c r="C1805" s="8" t="n">
        <x:v>45394</x:v>
      </x:c>
      <x:c r="D1805" s="4" t="str">
        <x:v>Sales operations manager</x:v>
      </x:c>
      <x:c r="E1805" s="4" t="str">
        <x:v>Paper transcribed</x:v>
      </x:c>
      <x:c r="F1805" s="4" t="str">
        <x:v>Record captured</x:v>
      </x:c>
      <x:c r="G1805" s="4" t="str">
        <x:v>Booked</x:v>
      </x:c>
    </x:row>
    <x:row r="1806" ht="34" customHeight="1">
      <x:c r="A1806" s="4" t="str">
        <x:v>RS-01805-E1</x:v>
      </x:c>
      <x:c r="B1806" s="4" t="str">
        <x:v>RS-01805</x:v>
      </x:c>
      <x:c r="C1806" s="8" t="n">
        <x:v>45395</x:v>
      </x:c>
      <x:c r="D1806" s="4" t="str">
        <x:v>Sales operations manager</x:v>
      </x:c>
      <x:c r="E1806" s="4" t="str">
        <x:v>Paper transcribed</x:v>
      </x:c>
      <x:c r="F1806" s="4" t="str">
        <x:v>Record captured</x:v>
      </x:c>
      <x:c r="G1806" s="4" t="str">
        <x:v>Reserved</x:v>
      </x:c>
    </x:row>
    <x:row r="1807" ht="34" customHeight="1">
      <x:c r="A1807" s="4" t="str">
        <x:v>RS-01806-E1</x:v>
      </x:c>
      <x:c r="B1807" s="4" t="str">
        <x:v>RS-01806</x:v>
      </x:c>
      <x:c r="C1807" s="8" t="n">
        <x:v>45396</x:v>
      </x:c>
      <x:c r="D1807" s="4" t="str">
        <x:v>Sales operations manager</x:v>
      </x:c>
      <x:c r="E1807" s="4" t="str">
        <x:v>WhatsApp transcribed</x:v>
      </x:c>
      <x:c r="F1807" s="4" t="str">
        <x:v>Record captured</x:v>
      </x:c>
      <x:c r="G1807" s="4" t="str">
        <x:v>Enquiry</x:v>
      </x:c>
    </x:row>
    <x:row r="1808" ht="34" customHeight="1">
      <x:c r="A1808" s="4" t="str">
        <x:v>RS-01807-E1</x:v>
      </x:c>
      <x:c r="B1808" s="4" t="str">
        <x:v>RS-01807</x:v>
      </x:c>
      <x:c r="C1808" s="8" t="n">
        <x:v>45397</x:v>
      </x:c>
      <x:c r="D1808" s="4" t="str">
        <x:v>Sales operations manager</x:v>
      </x:c>
      <x:c r="E1808" s="4" t="str">
        <x:v>Paper transcribed</x:v>
      </x:c>
      <x:c r="F1808" s="4" t="str">
        <x:v>Record captured</x:v>
      </x:c>
      <x:c r="G1808" s="4" t="str">
        <x:v>Agreement signed</x:v>
      </x:c>
    </x:row>
    <x:row r="1809" ht="34" customHeight="1">
      <x:c r="A1809" s="4" t="str">
        <x:v>RS-01808-E1</x:v>
      </x:c>
      <x:c r="B1809" s="4" t="str">
        <x:v>RS-01808</x:v>
      </x:c>
      <x:c r="C1809" s="8" t="n">
        <x:v>45398</x:v>
      </x:c>
      <x:c r="D1809" s="4" t="str">
        <x:v>Sales operations manager</x:v>
      </x:c>
      <x:c r="E1809" s="4" t="str">
        <x:v>Spreadsheet import</x:v>
      </x:c>
      <x:c r="F1809" s="4" t="str">
        <x:v>Record captured</x:v>
      </x:c>
      <x:c r="G1809" s="4" t="str">
        <x:v>Booked</x:v>
      </x:c>
    </x:row>
    <x:row r="1810" ht="34" customHeight="1">
      <x:c r="A1810" s="4" t="str">
        <x:v>RS-01809-E1</x:v>
      </x:c>
      <x:c r="B1810" s="4" t="str">
        <x:v>RS-01809</x:v>
      </x:c>
      <x:c r="C1810" s="8" t="n">
        <x:v>45399</x:v>
      </x:c>
      <x:c r="D1810" s="4" t="str">
        <x:v>Sales operations manager</x:v>
      </x:c>
      <x:c r="E1810" s="4" t="str">
        <x:v>WhatsApp transcribed</x:v>
      </x:c>
      <x:c r="F1810" s="4" t="str">
        <x:v>Record captured</x:v>
      </x:c>
      <x:c r="G1810" s="4" t="str">
        <x:v>Agreement signed</x:v>
      </x:c>
    </x:row>
    <x:row r="1811" ht="34" customHeight="1">
      <x:c r="A1811" s="4" t="str">
        <x:v>RS-01810-E1</x:v>
      </x:c>
      <x:c r="B1811" s="4" t="str">
        <x:v>RS-01810</x:v>
      </x:c>
      <x:c r="C1811" s="8" t="n">
        <x:v>45400</x:v>
      </x:c>
      <x:c r="D1811" s="4" t="str">
        <x:v>Sales operations manager</x:v>
      </x:c>
      <x:c r="E1811" s="4" t="str">
        <x:v>WhatsApp transcribed</x:v>
      </x:c>
      <x:c r="F1811" s="4" t="str">
        <x:v>Record captured</x:v>
      </x:c>
      <x:c r="G1811" s="4" t="str">
        <x:v>Reserved</x:v>
      </x:c>
    </x:row>
    <x:row r="1812" ht="34" customHeight="1">
      <x:c r="A1812" s="4" t="str">
        <x:v>RS-01811-E1</x:v>
      </x:c>
      <x:c r="B1812" s="4" t="str">
        <x:v>RS-01811</x:v>
      </x:c>
      <x:c r="C1812" s="8" t="n">
        <x:v>45401</x:v>
      </x:c>
      <x:c r="D1812" s="4" t="str">
        <x:v>Sales operations manager</x:v>
      </x:c>
      <x:c r="E1812" s="4" t="str">
        <x:v>WhatsApp transcribed</x:v>
      </x:c>
      <x:c r="F1812" s="4" t="str">
        <x:v>Record captured</x:v>
      </x:c>
      <x:c r="G1812" s="4" t="str">
        <x:v>Enquiry</x:v>
      </x:c>
    </x:row>
    <x:row r="1813" ht="34" customHeight="1">
      <x:c r="A1813" s="4" t="str">
        <x:v>RS-01812-E1</x:v>
      </x:c>
      <x:c r="B1813" s="4" t="str">
        <x:v>RS-01812</x:v>
      </x:c>
      <x:c r="C1813" s="8" t="n">
        <x:v>45402</x:v>
      </x:c>
      <x:c r="D1813" s="4" t="str">
        <x:v>Sales operations manager</x:v>
      </x:c>
      <x:c r="E1813" s="4" t="str">
        <x:v>ERP form</x:v>
      </x:c>
      <x:c r="F1813" s="4" t="str">
        <x:v>Record captured</x:v>
      </x:c>
      <x:c r="G1813" s="4" t="str">
        <x:v>Cancelled</x:v>
      </x:c>
    </x:row>
    <x:row r="1814" ht="34" customHeight="1">
      <x:c r="A1814" s="4" t="str">
        <x:v>RS-01813-E1</x:v>
      </x:c>
      <x:c r="B1814" s="4" t="str">
        <x:v>RS-01813</x:v>
      </x:c>
      <x:c r="C1814" s="8" t="n">
        <x:v>45403</x:v>
      </x:c>
      <x:c r="D1814" s="4" t="str">
        <x:v>Sales operations manager</x:v>
      </x:c>
      <x:c r="E1814" s="4" t="str">
        <x:v>Paper transcribed</x:v>
      </x:c>
      <x:c r="F1814" s="4" t="str">
        <x:v>Record captured</x:v>
      </x:c>
      <x:c r="G1814" s="4" t="str">
        <x:v>Booked</x:v>
      </x:c>
    </x:row>
    <x:row r="1815" ht="34" customHeight="1">
      <x:c r="A1815" s="4" t="str">
        <x:v>RS-01814-E1</x:v>
      </x:c>
      <x:c r="B1815" s="4" t="str">
        <x:v>RS-01814</x:v>
      </x:c>
      <x:c r="C1815" s="8" t="n">
        <x:v>45404</x:v>
      </x:c>
      <x:c r="D1815" s="4" t="str">
        <x:v>Sales operations manager</x:v>
      </x:c>
      <x:c r="E1815" s="4" t="str">
        <x:v>WhatsApp transcribed</x:v>
      </x:c>
      <x:c r="F1815" s="4" t="str">
        <x:v>Record captured</x:v>
      </x:c>
      <x:c r="G1815" s="4" t="str">
        <x:v>Cancelled</x:v>
      </x:c>
    </x:row>
    <x:row r="1816" ht="34" customHeight="1">
      <x:c r="A1816" s="4" t="str">
        <x:v>RS-01815-E1</x:v>
      </x:c>
      <x:c r="B1816" s="4" t="str">
        <x:v>RS-01815</x:v>
      </x:c>
      <x:c r="C1816" s="8" t="n">
        <x:v>45405</x:v>
      </x:c>
      <x:c r="D1816" s="4" t="str">
        <x:v>Sales operations manager</x:v>
      </x:c>
      <x:c r="E1816" s="4" t="str">
        <x:v>WhatsApp transcribed</x:v>
      </x:c>
      <x:c r="F1816" s="4" t="str">
        <x:v>Record captured</x:v>
      </x:c>
      <x:c r="G1816" s="4" t="str">
        <x:v>Reserved</x:v>
      </x:c>
    </x:row>
    <x:row r="1817" ht="34" customHeight="1">
      <x:c r="A1817" s="4" t="str">
        <x:v>RS-01816-E1</x:v>
      </x:c>
      <x:c r="B1817" s="4" t="str">
        <x:v>RS-01816</x:v>
      </x:c>
      <x:c r="C1817" s="8" t="n">
        <x:v>45406</x:v>
      </x:c>
      <x:c r="D1817" s="4" t="str">
        <x:v>Sales operations manager</x:v>
      </x:c>
      <x:c r="E1817" s="4" t="str">
        <x:v>WhatsApp transcribed</x:v>
      </x:c>
      <x:c r="F1817" s="4" t="str">
        <x:v>Record captured</x:v>
      </x:c>
      <x:c r="G1817" s="4" t="str">
        <x:v>Cancelled</x:v>
      </x:c>
    </x:row>
    <x:row r="1818" ht="34" customHeight="1">
      <x:c r="A1818" s="4" t="str">
        <x:v>RS-01817-E1</x:v>
      </x:c>
      <x:c r="B1818" s="4" t="str">
        <x:v>RS-01817</x:v>
      </x:c>
      <x:c r="C1818" s="8" t="n">
        <x:v>45407</x:v>
      </x:c>
      <x:c r="D1818" s="4" t="str">
        <x:v>Sales operations manager</x:v>
      </x:c>
      <x:c r="E1818" s="4" t="str">
        <x:v>ERP form</x:v>
      </x:c>
      <x:c r="F1818" s="4" t="str">
        <x:v>Record captured</x:v>
      </x:c>
      <x:c r="G1818" s="4" t="str">
        <x:v>Enquiry</x:v>
      </x:c>
    </x:row>
    <x:row r="1819" ht="34" customHeight="1">
      <x:c r="A1819" s="4" t="str">
        <x:v>RS-01818-E1</x:v>
      </x:c>
      <x:c r="B1819" s="4" t="str">
        <x:v>RS-01818</x:v>
      </x:c>
      <x:c r="C1819" s="8" t="n">
        <x:v>45408</x:v>
      </x:c>
      <x:c r="D1819" s="4" t="str">
        <x:v>Sales operations manager</x:v>
      </x:c>
      <x:c r="E1819" s="4" t="str">
        <x:v>ERP form</x:v>
      </x:c>
      <x:c r="F1819" s="4" t="str">
        <x:v>Record captured</x:v>
      </x:c>
      <x:c r="G1819" s="4" t="str">
        <x:v>Agreement signed</x:v>
      </x:c>
    </x:row>
    <x:row r="1820" ht="34" customHeight="1">
      <x:c r="A1820" s="4" t="str">
        <x:v>RS-01819-E1</x:v>
      </x:c>
      <x:c r="B1820" s="4" t="str">
        <x:v>RS-01819</x:v>
      </x:c>
      <x:c r="C1820" s="8" t="n">
        <x:v>45409</x:v>
      </x:c>
      <x:c r="D1820" s="4" t="str">
        <x:v>Sales operations manager</x:v>
      </x:c>
      <x:c r="E1820" s="4" t="str">
        <x:v>ERP form</x:v>
      </x:c>
      <x:c r="F1820" s="4" t="str">
        <x:v>Record captured</x:v>
      </x:c>
      <x:c r="G1820" s="4" t="str">
        <x:v>Agreement signed</x:v>
      </x:c>
    </x:row>
    <x:row r="1821" ht="34" customHeight="1">
      <x:c r="A1821" s="4" t="str">
        <x:v>RS-01820-E1</x:v>
      </x:c>
      <x:c r="B1821" s="4" t="str">
        <x:v>RS-01820</x:v>
      </x:c>
      <x:c r="C1821" s="8" t="n">
        <x:v>45410</x:v>
      </x:c>
      <x:c r="D1821" s="4" t="str">
        <x:v>Sales operations manager</x:v>
      </x:c>
      <x:c r="E1821" s="4" t="str">
        <x:v>ERP form</x:v>
      </x:c>
      <x:c r="F1821" s="4" t="str">
        <x:v>Record captured</x:v>
      </x:c>
      <x:c r="G1821" s="4" t="str">
        <x:v>Agreement signed</x:v>
      </x:c>
    </x:row>
    <x:row r="1822" ht="34" customHeight="1">
      <x:c r="A1822" s="4" t="str">
        <x:v>RS-01821-E1</x:v>
      </x:c>
      <x:c r="B1822" s="4" t="str">
        <x:v>RS-01821</x:v>
      </x:c>
      <x:c r="C1822" s="8" t="n">
        <x:v>45383</x:v>
      </x:c>
      <x:c r="D1822" s="4" t="str">
        <x:v>Sales operations manager</x:v>
      </x:c>
      <x:c r="E1822" s="4" t="str">
        <x:v>WhatsApp transcribed</x:v>
      </x:c>
      <x:c r="F1822" s="4" t="str">
        <x:v>Record captured</x:v>
      </x:c>
      <x:c r="G1822" s="4" t="str">
        <x:v>Handed over</x:v>
      </x:c>
    </x:row>
    <x:row r="1823" ht="34" customHeight="1">
      <x:c r="A1823" s="4" t="str">
        <x:v>RS-01822-E1</x:v>
      </x:c>
      <x:c r="B1823" s="4" t="str">
        <x:v>RS-01822</x:v>
      </x:c>
      <x:c r="C1823" s="8" t="n">
        <x:v>45384</x:v>
      </x:c>
      <x:c r="D1823" s="4" t="str">
        <x:v>Sales operations manager</x:v>
      </x:c>
      <x:c r="E1823" s="4" t="str">
        <x:v>Paper transcribed</x:v>
      </x:c>
      <x:c r="F1823" s="4" t="str">
        <x:v>Record captured</x:v>
      </x:c>
      <x:c r="G1823" s="4" t="str">
        <x:v>Enquiry</x:v>
      </x:c>
    </x:row>
    <x:row r="1824" ht="34" customHeight="1">
      <x:c r="A1824" s="4" t="str">
        <x:v>RS-01823-E1</x:v>
      </x:c>
      <x:c r="B1824" s="4" t="str">
        <x:v>RS-01823</x:v>
      </x:c>
      <x:c r="C1824" s="8" t="n">
        <x:v>45385</x:v>
      </x:c>
      <x:c r="D1824" s="4" t="str">
        <x:v>Sales operations manager</x:v>
      </x:c>
      <x:c r="E1824" s="4" t="str">
        <x:v>WhatsApp transcribed</x:v>
      </x:c>
      <x:c r="F1824" s="4" t="str">
        <x:v>Record captured</x:v>
      </x:c>
      <x:c r="G1824" s="4" t="str">
        <x:v>Cancelled</x:v>
      </x:c>
    </x:row>
    <x:row r="1825" ht="34" customHeight="1">
      <x:c r="A1825" s="4" t="str">
        <x:v>RS-01824-E1</x:v>
      </x:c>
      <x:c r="B1825" s="4" t="str">
        <x:v>RS-01824</x:v>
      </x:c>
      <x:c r="C1825" s="8" t="n">
        <x:v>45386</x:v>
      </x:c>
      <x:c r="D1825" s="4" t="str">
        <x:v>Sales operations manager</x:v>
      </x:c>
      <x:c r="E1825" s="4" t="str">
        <x:v>Paper transcribed</x:v>
      </x:c>
      <x:c r="F1825" s="4" t="str">
        <x:v>Record captured</x:v>
      </x:c>
      <x:c r="G1825" s="4" t="str">
        <x:v>Booked</x:v>
      </x:c>
    </x:row>
    <x:row r="1826" ht="34" customHeight="1">
      <x:c r="A1826" s="4" t="str">
        <x:v>RS-01825-E1</x:v>
      </x:c>
      <x:c r="B1826" s="4" t="str">
        <x:v>RS-01825</x:v>
      </x:c>
      <x:c r="C1826" s="8" t="n">
        <x:v>45387</x:v>
      </x:c>
      <x:c r="D1826" s="4" t="str">
        <x:v>Sales operations manager</x:v>
      </x:c>
      <x:c r="E1826" s="4" t="str">
        <x:v>Spreadsheet import</x:v>
      </x:c>
      <x:c r="F1826" s="4" t="str">
        <x:v>Record captured</x:v>
      </x:c>
      <x:c r="G1826" s="4" t="str">
        <x:v>Agreement signed</x:v>
      </x:c>
    </x:row>
    <x:row r="1827" ht="34" customHeight="1">
      <x:c r="A1827" s="4" t="str">
        <x:v>RS-01826-E1</x:v>
      </x:c>
      <x:c r="B1827" s="4" t="str">
        <x:v>RS-01826</x:v>
      </x:c>
      <x:c r="C1827" s="8" t="n">
        <x:v>45388</x:v>
      </x:c>
      <x:c r="D1827" s="4" t="str">
        <x:v>Sales operations manager</x:v>
      </x:c>
      <x:c r="E1827" s="4" t="str">
        <x:v>WhatsApp transcribed</x:v>
      </x:c>
      <x:c r="F1827" s="4" t="str">
        <x:v>Record captured</x:v>
      </x:c>
      <x:c r="G1827" s="4" t="str">
        <x:v>Handed over</x:v>
      </x:c>
    </x:row>
    <x:row r="1828" ht="34" customHeight="1">
      <x:c r="A1828" s="4" t="str">
        <x:v>RS-01827-E1</x:v>
      </x:c>
      <x:c r="B1828" s="4" t="str">
        <x:v>RS-01827</x:v>
      </x:c>
      <x:c r="C1828" s="8" t="n">
        <x:v>45389</x:v>
      </x:c>
      <x:c r="D1828" s="4" t="str">
        <x:v>Sales operations manager</x:v>
      </x:c>
      <x:c r="E1828" s="4" t="str">
        <x:v>WhatsApp transcribed</x:v>
      </x:c>
      <x:c r="F1828" s="4" t="str">
        <x:v>Record captured</x:v>
      </x:c>
      <x:c r="G1828" s="4" t="str">
        <x:v>Handed over</x:v>
      </x:c>
    </x:row>
    <x:row r="1829" ht="34" customHeight="1">
      <x:c r="A1829" s="4" t="str">
        <x:v>RS-01828-E1</x:v>
      </x:c>
      <x:c r="B1829" s="4" t="str">
        <x:v>RS-01828</x:v>
      </x:c>
      <x:c r="C1829" s="8" t="n">
        <x:v>45390</x:v>
      </x:c>
      <x:c r="D1829" s="4" t="str">
        <x:v>Sales operations manager</x:v>
      </x:c>
      <x:c r="E1829" s="4" t="str">
        <x:v>WhatsApp transcribed</x:v>
      </x:c>
      <x:c r="F1829" s="4" t="str">
        <x:v>Record captured</x:v>
      </x:c>
      <x:c r="G1829" s="4" t="str">
        <x:v>Reserved</x:v>
      </x:c>
    </x:row>
    <x:row r="1830" ht="34" customHeight="1">
      <x:c r="A1830" s="4" t="str">
        <x:v>RS-01829-E1</x:v>
      </x:c>
      <x:c r="B1830" s="4" t="str">
        <x:v>RS-01829</x:v>
      </x:c>
      <x:c r="C1830" s="8" t="n">
        <x:v>45391</x:v>
      </x:c>
      <x:c r="D1830" s="4" t="str">
        <x:v>Sales operations manager</x:v>
      </x:c>
      <x:c r="E1830" s="4" t="str">
        <x:v>Paper transcribed</x:v>
      </x:c>
      <x:c r="F1830" s="4" t="str">
        <x:v>Record captured</x:v>
      </x:c>
      <x:c r="G1830" s="4" t="str">
        <x:v>Enquiry</x:v>
      </x:c>
    </x:row>
    <x:row r="1831" ht="34" customHeight="1">
      <x:c r="A1831" s="4" t="str">
        <x:v>RS-01830-E1</x:v>
      </x:c>
      <x:c r="B1831" s="4" t="str">
        <x:v>RS-01830</x:v>
      </x:c>
      <x:c r="C1831" s="8" t="n">
        <x:v>45392</x:v>
      </x:c>
      <x:c r="D1831" s="4" t="str">
        <x:v>Sales operations manager</x:v>
      </x:c>
      <x:c r="E1831" s="4" t="str">
        <x:v>WhatsApp transcribed</x:v>
      </x:c>
      <x:c r="F1831" s="4" t="str">
        <x:v>Record captured</x:v>
      </x:c>
      <x:c r="G1831" s="4" t="str">
        <x:v>Cancelled</x:v>
      </x:c>
    </x:row>
    <x:row r="1832" ht="34" customHeight="1">
      <x:c r="A1832" s="4" t="str">
        <x:v>RS-01831-E1</x:v>
      </x:c>
      <x:c r="B1832" s="4" t="str">
        <x:v>RS-01831</x:v>
      </x:c>
      <x:c r="C1832" s="8" t="n">
        <x:v>45393</x:v>
      </x:c>
      <x:c r="D1832" s="4" t="str">
        <x:v>Sales operations manager</x:v>
      </x:c>
      <x:c r="E1832" s="4" t="str">
        <x:v>Paper transcribed</x:v>
      </x:c>
      <x:c r="F1832" s="4" t="str">
        <x:v>Record captured</x:v>
      </x:c>
      <x:c r="G1832" s="4" t="str">
        <x:v>Booked</x:v>
      </x:c>
    </x:row>
    <x:row r="1833" ht="34" customHeight="1">
      <x:c r="A1833" s="4" t="str">
        <x:v>RS-01832-E1</x:v>
      </x:c>
      <x:c r="B1833" s="4" t="str">
        <x:v>RS-01832</x:v>
      </x:c>
      <x:c r="C1833" s="8" t="n">
        <x:v>45394</x:v>
      </x:c>
      <x:c r="D1833" s="4" t="str">
        <x:v>Sales operations manager</x:v>
      </x:c>
      <x:c r="E1833" s="4" t="str">
        <x:v>Paper transcribed</x:v>
      </x:c>
      <x:c r="F1833" s="4" t="str">
        <x:v>Record captured</x:v>
      </x:c>
      <x:c r="G1833" s="4" t="str">
        <x:v>Agreement signed</x:v>
      </x:c>
    </x:row>
    <x:row r="1834" ht="34" customHeight="1">
      <x:c r="A1834" s="4" t="str">
        <x:v>RS-01833-E1</x:v>
      </x:c>
      <x:c r="B1834" s="4" t="str">
        <x:v>RS-01833</x:v>
      </x:c>
      <x:c r="C1834" s="8" t="n">
        <x:v>45395</x:v>
      </x:c>
      <x:c r="D1834" s="4" t="str">
        <x:v>Sales operations manager</x:v>
      </x:c>
      <x:c r="E1834" s="4" t="str">
        <x:v>Spreadsheet import</x:v>
      </x:c>
      <x:c r="F1834" s="4" t="str">
        <x:v>Record captured</x:v>
      </x:c>
      <x:c r="G1834" s="4" t="str">
        <x:v>Handed over</x:v>
      </x:c>
    </x:row>
    <x:row r="1835" ht="34" customHeight="1">
      <x:c r="A1835" s="4" t="str">
        <x:v>RS-01834-E1</x:v>
      </x:c>
      <x:c r="B1835" s="4" t="str">
        <x:v>RS-01834</x:v>
      </x:c>
      <x:c r="C1835" s="8" t="n">
        <x:v>45396</x:v>
      </x:c>
      <x:c r="D1835" s="4" t="str">
        <x:v>Sales operations manager</x:v>
      </x:c>
      <x:c r="E1835" s="4" t="str">
        <x:v>Paper transcribed</x:v>
      </x:c>
      <x:c r="F1835" s="4" t="str">
        <x:v>Record captured</x:v>
      </x:c>
      <x:c r="G1835" s="4" t="str">
        <x:v>Handed over</x:v>
      </x:c>
    </x:row>
    <x:row r="1836" ht="34" customHeight="1">
      <x:c r="A1836" s="4" t="str">
        <x:v>RS-01835-E1</x:v>
      </x:c>
      <x:c r="B1836" s="4" t="str">
        <x:v>RS-01835</x:v>
      </x:c>
      <x:c r="C1836" s="8" t="n">
        <x:v>45397</x:v>
      </x:c>
      <x:c r="D1836" s="4" t="str">
        <x:v>Sales operations manager</x:v>
      </x:c>
      <x:c r="E1836" s="4" t="str">
        <x:v>Paper transcribed</x:v>
      </x:c>
      <x:c r="F1836" s="4" t="str">
        <x:v>Record captured</x:v>
      </x:c>
      <x:c r="G1836" s="4" t="str">
        <x:v>Handed over</x:v>
      </x:c>
    </x:row>
    <x:row r="1837" ht="34" customHeight="1">
      <x:c r="A1837" s="4" t="str">
        <x:v>RS-01836-E1</x:v>
      </x:c>
      <x:c r="B1837" s="4" t="str">
        <x:v>RS-01836</x:v>
      </x:c>
      <x:c r="C1837" s="8" t="n">
        <x:v>45398</x:v>
      </x:c>
      <x:c r="D1837" s="4" t="str">
        <x:v>Sales operations manager</x:v>
      </x:c>
      <x:c r="E1837" s="4" t="str">
        <x:v>Paper transcribed</x:v>
      </x:c>
      <x:c r="F1837" s="4" t="str">
        <x:v>Record captured</x:v>
      </x:c>
      <x:c r="G1837" s="4" t="str">
        <x:v>Cancelled</x:v>
      </x:c>
    </x:row>
    <x:row r="1838" ht="34" customHeight="1">
      <x:c r="A1838" s="4" t="str">
        <x:v>RS-01837-E1</x:v>
      </x:c>
      <x:c r="B1838" s="4" t="str">
        <x:v>RS-01837</x:v>
      </x:c>
      <x:c r="C1838" s="8" t="n">
        <x:v>45399</x:v>
      </x:c>
      <x:c r="D1838" s="4" t="str">
        <x:v>Sales operations manager</x:v>
      </x:c>
      <x:c r="E1838" s="4" t="str">
        <x:v>Paper transcribed</x:v>
      </x:c>
      <x:c r="F1838" s="4" t="str">
        <x:v>Record captured</x:v>
      </x:c>
      <x:c r="G1838" s="4" t="str">
        <x:v>Booked</x:v>
      </x:c>
    </x:row>
    <x:row r="1839" ht="34" customHeight="1">
      <x:c r="A1839" s="4" t="str">
        <x:v>RS-01838-E1</x:v>
      </x:c>
      <x:c r="B1839" s="4" t="str">
        <x:v>RS-01838</x:v>
      </x:c>
      <x:c r="C1839" s="8" t="n">
        <x:v>45400</x:v>
      </x:c>
      <x:c r="D1839" s="4" t="str">
        <x:v>Sales operations manager</x:v>
      </x:c>
      <x:c r="E1839" s="4" t="str">
        <x:v>Spreadsheet import</x:v>
      </x:c>
      <x:c r="F1839" s="4" t="str">
        <x:v>Record captured</x:v>
      </x:c>
      <x:c r="G1839" s="4" t="str">
        <x:v>Booked</x:v>
      </x:c>
    </x:row>
    <x:row r="1840" ht="34" customHeight="1">
      <x:c r="A1840" s="4" t="str">
        <x:v>RS-01839-E1</x:v>
      </x:c>
      <x:c r="B1840" s="4" t="str">
        <x:v>RS-01839</x:v>
      </x:c>
      <x:c r="C1840" s="8" t="n">
        <x:v>45401</x:v>
      </x:c>
      <x:c r="D1840" s="4" t="str">
        <x:v>Sales operations manager</x:v>
      </x:c>
      <x:c r="E1840" s="4" t="str">
        <x:v>Spreadsheet import</x:v>
      </x:c>
      <x:c r="F1840" s="4" t="str">
        <x:v>Record captured</x:v>
      </x:c>
      <x:c r="G1840" s="4" t="str">
        <x:v>Handed over</x:v>
      </x:c>
    </x:row>
    <x:row r="1841" ht="34" customHeight="1">
      <x:c r="A1841" s="4" t="str">
        <x:v>RS-01840-E1</x:v>
      </x:c>
      <x:c r="B1841" s="4" t="str">
        <x:v>RS-01840</x:v>
      </x:c>
      <x:c r="C1841" s="8" t="n">
        <x:v>45402</x:v>
      </x:c>
      <x:c r="D1841" s="4" t="str">
        <x:v>Sales operations manager</x:v>
      </x:c>
      <x:c r="E1841" s="4" t="str">
        <x:v>Paper transcribed</x:v>
      </x:c>
      <x:c r="F1841" s="4" t="str">
        <x:v>Record captured</x:v>
      </x:c>
      <x:c r="G1841" s="4" t="str">
        <x:v>Agreement signed</x:v>
      </x:c>
    </x:row>
    <x:row r="1842" ht="34" customHeight="1">
      <x:c r="A1842" s="4" t="str">
        <x:v>RS-01841-E1</x:v>
      </x:c>
      <x:c r="B1842" s="4" t="str">
        <x:v>RS-01841</x:v>
      </x:c>
      <x:c r="C1842" s="8" t="n">
        <x:v>45403</x:v>
      </x:c>
      <x:c r="D1842" s="4" t="str">
        <x:v>Sales operations manager</x:v>
      </x:c>
      <x:c r="E1842" s="4" t="str">
        <x:v>Spreadsheet import</x:v>
      </x:c>
      <x:c r="F1842" s="4" t="str">
        <x:v>Record captured</x:v>
      </x:c>
      <x:c r="G1842" s="4" t="str">
        <x:v>Booked</x:v>
      </x:c>
    </x:row>
    <x:row r="1843" ht="34" customHeight="1">
      <x:c r="A1843" s="4" t="str">
        <x:v>RS-01842-E1</x:v>
      </x:c>
      <x:c r="B1843" s="4" t="str">
        <x:v>RS-01842</x:v>
      </x:c>
      <x:c r="C1843" s="8" t="n">
        <x:v>45404</x:v>
      </x:c>
      <x:c r="D1843" s="4" t="str">
        <x:v>Sales operations manager</x:v>
      </x:c>
      <x:c r="E1843" s="4" t="str">
        <x:v>Paper transcribed</x:v>
      </x:c>
      <x:c r="F1843" s="4" t="str">
        <x:v>Record captured</x:v>
      </x:c>
      <x:c r="G1843" s="4" t="str">
        <x:v>Booked</x:v>
      </x:c>
    </x:row>
    <x:row r="1844" ht="34" customHeight="1">
      <x:c r="A1844" s="4" t="str">
        <x:v>RS-01843-E1</x:v>
      </x:c>
      <x:c r="B1844" s="4" t="str">
        <x:v>RS-01843</x:v>
      </x:c>
      <x:c r="C1844" s="8" t="n">
        <x:v>45405</x:v>
      </x:c>
      <x:c r="D1844" s="4" t="str">
        <x:v>Sales operations manager</x:v>
      </x:c>
      <x:c r="E1844" s="4" t="str">
        <x:v>Spreadsheet import</x:v>
      </x:c>
      <x:c r="F1844" s="4" t="str">
        <x:v>Record captured</x:v>
      </x:c>
      <x:c r="G1844" s="4" t="str">
        <x:v>Booked</x:v>
      </x:c>
    </x:row>
    <x:row r="1845" ht="34" customHeight="1">
      <x:c r="A1845" s="4" t="str">
        <x:v>RS-01844-E1</x:v>
      </x:c>
      <x:c r="B1845" s="4" t="str">
        <x:v>RS-01844</x:v>
      </x:c>
      <x:c r="C1845" s="8" t="n">
        <x:v>45406</x:v>
      </x:c>
      <x:c r="D1845" s="4" t="str">
        <x:v>Sales operations manager</x:v>
      </x:c>
      <x:c r="E1845" s="4" t="str">
        <x:v>Paper transcribed</x:v>
      </x:c>
      <x:c r="F1845" s="4" t="str">
        <x:v>Record captured</x:v>
      </x:c>
      <x:c r="G1845" s="4" t="str">
        <x:v>Enquiry</x:v>
      </x:c>
    </x:row>
    <x:row r="1846" ht="34" customHeight="1">
      <x:c r="A1846" s="4" t="str">
        <x:v>RS-01845-E1</x:v>
      </x:c>
      <x:c r="B1846" s="4" t="str">
        <x:v>RS-01845</x:v>
      </x:c>
      <x:c r="C1846" s="8" t="n">
        <x:v>45407</x:v>
      </x:c>
      <x:c r="D1846" s="4" t="str">
        <x:v>Sales operations manager</x:v>
      </x:c>
      <x:c r="E1846" s="4" t="str">
        <x:v>ERP form</x:v>
      </x:c>
      <x:c r="F1846" s="4" t="str">
        <x:v>Record captured</x:v>
      </x:c>
      <x:c r="G1846" s="4" t="str">
        <x:v>Handed over</x:v>
      </x:c>
    </x:row>
    <x:row r="1847" ht="34" customHeight="1">
      <x:c r="A1847" s="4" t="str">
        <x:v>RS-01846-E1</x:v>
      </x:c>
      <x:c r="B1847" s="4" t="str">
        <x:v>RS-01846</x:v>
      </x:c>
      <x:c r="C1847" s="8" t="n">
        <x:v>45408</x:v>
      </x:c>
      <x:c r="D1847" s="4" t="str">
        <x:v>Sales operations manager</x:v>
      </x:c>
      <x:c r="E1847" s="4" t="str">
        <x:v>Spreadsheet import</x:v>
      </x:c>
      <x:c r="F1847" s="4" t="str">
        <x:v>Record captured</x:v>
      </x:c>
      <x:c r="G1847" s="4" t="str">
        <x:v>Agreement signed</x:v>
      </x:c>
    </x:row>
    <x:row r="1848" ht="34" customHeight="1">
      <x:c r="A1848" s="4" t="str">
        <x:v>RS-01847-E1</x:v>
      </x:c>
      <x:c r="B1848" s="4" t="str">
        <x:v>RS-01847</x:v>
      </x:c>
      <x:c r="C1848" s="8" t="n">
        <x:v>45409</x:v>
      </x:c>
      <x:c r="D1848" s="4" t="str">
        <x:v>Sales operations manager</x:v>
      </x:c>
      <x:c r="E1848" s="4" t="str">
        <x:v>WhatsApp transcribed</x:v>
      </x:c>
      <x:c r="F1848" s="4" t="str">
        <x:v>Record captured</x:v>
      </x:c>
      <x:c r="G1848" s="4" t="str">
        <x:v>Handed over</x:v>
      </x:c>
    </x:row>
    <x:row r="1849" ht="34" customHeight="1">
      <x:c r="A1849" s="4" t="str">
        <x:v>RS-01848-E1</x:v>
      </x:c>
      <x:c r="B1849" s="4" t="str">
        <x:v>RS-01848</x:v>
      </x:c>
      <x:c r="C1849" s="8" t="n">
        <x:v>45410</x:v>
      </x:c>
      <x:c r="D1849" s="4" t="str">
        <x:v>Sales operations manager</x:v>
      </x:c>
      <x:c r="E1849" s="4" t="str">
        <x:v>Spreadsheet import</x:v>
      </x:c>
      <x:c r="F1849" s="4" t="str">
        <x:v>Record captured</x:v>
      </x:c>
      <x:c r="G1849" s="4" t="str">
        <x:v>Enquiry</x:v>
      </x:c>
    </x:row>
    <x:row r="1850" ht="34" customHeight="1">
      <x:c r="A1850" s="4" t="str">
        <x:v>RS-01849-E1</x:v>
      </x:c>
      <x:c r="B1850" s="4" t="str">
        <x:v>RS-01849</x:v>
      </x:c>
      <x:c r="C1850" s="8" t="n">
        <x:v>45383</x:v>
      </x:c>
      <x:c r="D1850" s="4" t="str">
        <x:v>Sales operations manager</x:v>
      </x:c>
      <x:c r="E1850" s="4" t="str">
        <x:v>Spreadsheet import</x:v>
      </x:c>
      <x:c r="F1850" s="4" t="str">
        <x:v>Record captured</x:v>
      </x:c>
      <x:c r="G1850" s="4" t="str">
        <x:v>Cancelled</x:v>
      </x:c>
    </x:row>
    <x:row r="1851" ht="34" customHeight="1">
      <x:c r="A1851" s="4" t="str">
        <x:v>RS-01850-E1</x:v>
      </x:c>
      <x:c r="B1851" s="4" t="str">
        <x:v>RS-01850</x:v>
      </x:c>
      <x:c r="C1851" s="8" t="n">
        <x:v>45384</x:v>
      </x:c>
      <x:c r="D1851" s="4" t="str">
        <x:v>Sales operations manager</x:v>
      </x:c>
      <x:c r="E1851" s="4" t="str">
        <x:v>Spreadsheet import</x:v>
      </x:c>
      <x:c r="F1851" s="4" t="str">
        <x:v>Record captured</x:v>
      </x:c>
      <x:c r="G1851" s="4" t="str">
        <x:v>Booked</x:v>
      </x:c>
    </x:row>
    <x:row r="1852" ht="34" customHeight="1">
      <x:c r="A1852" s="4" t="str">
        <x:v>RS-01851-E1</x:v>
      </x:c>
      <x:c r="B1852" s="4" t="str">
        <x:v>RS-01851</x:v>
      </x:c>
      <x:c r="C1852" s="8" t="n">
        <x:v>45385</x:v>
      </x:c>
      <x:c r="D1852" s="4" t="str">
        <x:v>Sales operations manager</x:v>
      </x:c>
      <x:c r="E1852" s="4" t="str">
        <x:v>Paper transcribed</x:v>
      </x:c>
      <x:c r="F1852" s="4" t="str">
        <x:v>Record captured</x:v>
      </x:c>
      <x:c r="G1852" s="4" t="str">
        <x:v>Enquiry</x:v>
      </x:c>
    </x:row>
    <x:row r="1853" ht="34" customHeight="1">
      <x:c r="A1853" s="4" t="str">
        <x:v>RS-01852-E1</x:v>
      </x:c>
      <x:c r="B1853" s="4" t="str">
        <x:v>RS-01852</x:v>
      </x:c>
      <x:c r="C1853" s="8" t="n">
        <x:v>45386</x:v>
      </x:c>
      <x:c r="D1853" s="4" t="str">
        <x:v>Sales operations manager</x:v>
      </x:c>
      <x:c r="E1853" s="4" t="str">
        <x:v>Paper transcribed</x:v>
      </x:c>
      <x:c r="F1853" s="4" t="str">
        <x:v>Record captured</x:v>
      </x:c>
      <x:c r="G1853" s="4" t="str">
        <x:v>Cancelled</x:v>
      </x:c>
    </x:row>
    <x:row r="1854" ht="34" customHeight="1">
      <x:c r="A1854" s="4" t="str">
        <x:v>RS-01853-E1</x:v>
      </x:c>
      <x:c r="B1854" s="4" t="str">
        <x:v>RS-01853</x:v>
      </x:c>
      <x:c r="C1854" s="8" t="n">
        <x:v>45387</x:v>
      </x:c>
      <x:c r="D1854" s="4" t="str">
        <x:v>Sales operations manager</x:v>
      </x:c>
      <x:c r="E1854" s="4" t="str">
        <x:v>Spreadsheet import</x:v>
      </x:c>
      <x:c r="F1854" s="4" t="str">
        <x:v>Record captured</x:v>
      </x:c>
      <x:c r="G1854" s="4" t="str">
        <x:v>Cancelled</x:v>
      </x:c>
    </x:row>
    <x:row r="1855" ht="34" customHeight="1">
      <x:c r="A1855" s="4" t="str">
        <x:v>RS-01854-E1</x:v>
      </x:c>
      <x:c r="B1855" s="4" t="str">
        <x:v>RS-01854</x:v>
      </x:c>
      <x:c r="C1855" s="8" t="n">
        <x:v>45388</x:v>
      </x:c>
      <x:c r="D1855" s="4" t="str">
        <x:v>Sales operations manager</x:v>
      </x:c>
      <x:c r="E1855" s="4" t="str">
        <x:v>ERP form</x:v>
      </x:c>
      <x:c r="F1855" s="4" t="str">
        <x:v>Record captured</x:v>
      </x:c>
      <x:c r="G1855" s="4" t="str">
        <x:v>Handed over</x:v>
      </x:c>
    </x:row>
    <x:row r="1856" ht="34" customHeight="1">
      <x:c r="A1856" s="4" t="str">
        <x:v>RS-01855-E1</x:v>
      </x:c>
      <x:c r="B1856" s="4" t="str">
        <x:v>RS-01855</x:v>
      </x:c>
      <x:c r="C1856" s="8" t="n">
        <x:v>45389</x:v>
      </x:c>
      <x:c r="D1856" s="4" t="str">
        <x:v>Sales operations manager</x:v>
      </x:c>
      <x:c r="E1856" s="4" t="str">
        <x:v>Paper transcribed</x:v>
      </x:c>
      <x:c r="F1856" s="4" t="str">
        <x:v>Record captured</x:v>
      </x:c>
      <x:c r="G1856" s="4" t="str">
        <x:v>Reserved</x:v>
      </x:c>
    </x:row>
    <x:row r="1857" ht="34" customHeight="1">
      <x:c r="A1857" s="4" t="str">
        <x:v>RS-01856-E1</x:v>
      </x:c>
      <x:c r="B1857" s="4" t="str">
        <x:v>RS-01856</x:v>
      </x:c>
      <x:c r="C1857" s="8" t="n">
        <x:v>45390</x:v>
      </x:c>
      <x:c r="D1857" s="4" t="str">
        <x:v>Sales operations manager</x:v>
      </x:c>
      <x:c r="E1857" s="4" t="str">
        <x:v>ERP form</x:v>
      </x:c>
      <x:c r="F1857" s="4" t="str">
        <x:v>Record captured</x:v>
      </x:c>
      <x:c r="G1857" s="4" t="str">
        <x:v>Handed over</x:v>
      </x:c>
    </x:row>
    <x:row r="1858" ht="34" customHeight="1">
      <x:c r="A1858" s="4" t="str">
        <x:v>RS-01857-E1</x:v>
      </x:c>
      <x:c r="B1858" s="4" t="str">
        <x:v>RS-01857</x:v>
      </x:c>
      <x:c r="C1858" s="8" t="n">
        <x:v>45391</x:v>
      </x:c>
      <x:c r="D1858" s="4" t="str">
        <x:v>Sales operations manager</x:v>
      </x:c>
      <x:c r="E1858" s="4" t="str">
        <x:v>Spreadsheet import</x:v>
      </x:c>
      <x:c r="F1858" s="4" t="str">
        <x:v>Record captured</x:v>
      </x:c>
      <x:c r="G1858" s="4" t="str">
        <x:v>Booked</x:v>
      </x:c>
    </x:row>
    <x:row r="1859" ht="34" customHeight="1">
      <x:c r="A1859" s="4" t="str">
        <x:v>RS-01858-E1</x:v>
      </x:c>
      <x:c r="B1859" s="4" t="str">
        <x:v>RS-01858</x:v>
      </x:c>
      <x:c r="C1859" s="8" t="n">
        <x:v>45392</x:v>
      </x:c>
      <x:c r="D1859" s="4" t="str">
        <x:v>Sales operations manager</x:v>
      </x:c>
      <x:c r="E1859" s="4" t="str">
        <x:v>Spreadsheet import</x:v>
      </x:c>
      <x:c r="F1859" s="4" t="str">
        <x:v>Record captured</x:v>
      </x:c>
      <x:c r="G1859" s="4" t="str">
        <x:v>Handed over</x:v>
      </x:c>
    </x:row>
    <x:row r="1860" ht="34" customHeight="1">
      <x:c r="A1860" s="4" t="str">
        <x:v>RS-01859-E1</x:v>
      </x:c>
      <x:c r="B1860" s="4" t="str">
        <x:v>RS-01859</x:v>
      </x:c>
      <x:c r="C1860" s="8" t="n">
        <x:v>45393</x:v>
      </x:c>
      <x:c r="D1860" s="4" t="str">
        <x:v>Sales operations manager</x:v>
      </x:c>
      <x:c r="E1860" s="4" t="str">
        <x:v>WhatsApp transcribed</x:v>
      </x:c>
      <x:c r="F1860" s="4" t="str">
        <x:v>Record captured</x:v>
      </x:c>
      <x:c r="G1860" s="4" t="str">
        <x:v>Booked</x:v>
      </x:c>
    </x:row>
    <x:row r="1861" ht="34" customHeight="1">
      <x:c r="A1861" s="4" t="str">
        <x:v>RS-01860-E1</x:v>
      </x:c>
      <x:c r="B1861" s="4" t="str">
        <x:v>RS-01860</x:v>
      </x:c>
      <x:c r="C1861" s="8" t="n">
        <x:v>45394</x:v>
      </x:c>
      <x:c r="D1861" s="4" t="str">
        <x:v>Sales operations manager</x:v>
      </x:c>
      <x:c r="E1861" s="4" t="str">
        <x:v>Spreadsheet import</x:v>
      </x:c>
      <x:c r="F1861" s="4" t="str">
        <x:v>Record captured</x:v>
      </x:c>
      <x:c r="G1861" s="4" t="str">
        <x:v>Agreement signed</x:v>
      </x:c>
    </x:row>
    <x:row r="1862" ht="34" customHeight="1">
      <x:c r="A1862" s="4" t="str">
        <x:v>RS-01861-E1</x:v>
      </x:c>
      <x:c r="B1862" s="4" t="str">
        <x:v>RS-01861</x:v>
      </x:c>
      <x:c r="C1862" s="8" t="n">
        <x:v>45395</x:v>
      </x:c>
      <x:c r="D1862" s="4" t="str">
        <x:v>Sales operations manager</x:v>
      </x:c>
      <x:c r="E1862" s="4" t="str">
        <x:v>Paper transcribed</x:v>
      </x:c>
      <x:c r="F1862" s="4" t="str">
        <x:v>Record captured</x:v>
      </x:c>
      <x:c r="G1862" s="4" t="str">
        <x:v>Agreement signed</x:v>
      </x:c>
    </x:row>
    <x:row r="1863" ht="34" customHeight="1">
      <x:c r="A1863" s="4" t="str">
        <x:v>RS-01862-E1</x:v>
      </x:c>
      <x:c r="B1863" s="4" t="str">
        <x:v>RS-01862</x:v>
      </x:c>
      <x:c r="C1863" s="8" t="n">
        <x:v>45396</x:v>
      </x:c>
      <x:c r="D1863" s="4" t="str">
        <x:v>Sales operations manager</x:v>
      </x:c>
      <x:c r="E1863" s="4" t="str">
        <x:v>ERP form</x:v>
      </x:c>
      <x:c r="F1863" s="4" t="str">
        <x:v>Record captured</x:v>
      </x:c>
      <x:c r="G1863" s="4" t="str">
        <x:v>Agreement signed</x:v>
      </x:c>
    </x:row>
    <x:row r="1864" ht="34" customHeight="1">
      <x:c r="A1864" s="4" t="str">
        <x:v>RS-01863-E1</x:v>
      </x:c>
      <x:c r="B1864" s="4" t="str">
        <x:v>RS-01863</x:v>
      </x:c>
      <x:c r="C1864" s="8" t="n">
        <x:v>45397</x:v>
      </x:c>
      <x:c r="D1864" s="4" t="str">
        <x:v>Sales operations manager</x:v>
      </x:c>
      <x:c r="E1864" s="4" t="str">
        <x:v>ERP form</x:v>
      </x:c>
      <x:c r="F1864" s="4" t="str">
        <x:v>Record captured</x:v>
      </x:c>
      <x:c r="G1864" s="4" t="str">
        <x:v>Agreement signed</x:v>
      </x:c>
    </x:row>
    <x:row r="1865" ht="34" customHeight="1">
      <x:c r="A1865" s="4" t="str">
        <x:v>RS-01864-E1</x:v>
      </x:c>
      <x:c r="B1865" s="4" t="str">
        <x:v>RS-01864</x:v>
      </x:c>
      <x:c r="C1865" s="8" t="n">
        <x:v>45398</x:v>
      </x:c>
      <x:c r="D1865" s="4" t="str">
        <x:v>Sales operations manager</x:v>
      </x:c>
      <x:c r="E1865" s="4" t="str">
        <x:v>Spreadsheet import</x:v>
      </x:c>
      <x:c r="F1865" s="4" t="str">
        <x:v>Record captured</x:v>
      </x:c>
      <x:c r="G1865" s="4" t="str">
        <x:v>Reserved</x:v>
      </x:c>
    </x:row>
    <x:row r="1866" ht="34" customHeight="1">
      <x:c r="A1866" s="4" t="str">
        <x:v>RS-01865-E1</x:v>
      </x:c>
      <x:c r="B1866" s="4" t="str">
        <x:v>RS-01865</x:v>
      </x:c>
      <x:c r="C1866" s="8" t="n">
        <x:v>45399</x:v>
      </x:c>
      <x:c r="D1866" s="4" t="str">
        <x:v>Sales operations manager</x:v>
      </x:c>
      <x:c r="E1866" s="4" t="str">
        <x:v>Spreadsheet import</x:v>
      </x:c>
      <x:c r="F1866" s="4" t="str">
        <x:v>Record captured</x:v>
      </x:c>
      <x:c r="G1866" s="4" t="str">
        <x:v>Handed over</x:v>
      </x:c>
    </x:row>
    <x:row r="1867" ht="34" customHeight="1">
      <x:c r="A1867" s="4" t="str">
        <x:v>RS-01866-E1</x:v>
      </x:c>
      <x:c r="B1867" s="4" t="str">
        <x:v>RS-01866</x:v>
      </x:c>
      <x:c r="C1867" s="8" t="n">
        <x:v>45400</x:v>
      </x:c>
      <x:c r="D1867" s="4" t="str">
        <x:v>Sales operations manager</x:v>
      </x:c>
      <x:c r="E1867" s="4" t="str">
        <x:v>Paper transcribed</x:v>
      </x:c>
      <x:c r="F1867" s="4" t="str">
        <x:v>Record captured</x:v>
      </x:c>
      <x:c r="G1867" s="4" t="str">
        <x:v>Agreement signed</x:v>
      </x:c>
    </x:row>
    <x:row r="1868" ht="34" customHeight="1">
      <x:c r="A1868" s="4" t="str">
        <x:v>RS-01867-E1</x:v>
      </x:c>
      <x:c r="B1868" s="4" t="str">
        <x:v>RS-01867</x:v>
      </x:c>
      <x:c r="C1868" s="8" t="n">
        <x:v>45401</x:v>
      </x:c>
      <x:c r="D1868" s="4" t="str">
        <x:v>Sales operations manager</x:v>
      </x:c>
      <x:c r="E1868" s="4" t="str">
        <x:v>Spreadsheet import</x:v>
      </x:c>
      <x:c r="F1868" s="4" t="str">
        <x:v>Record captured</x:v>
      </x:c>
      <x:c r="G1868" s="4" t="str">
        <x:v>Enquiry</x:v>
      </x:c>
    </x:row>
    <x:row r="1869" ht="34" customHeight="1">
      <x:c r="A1869" s="4" t="str">
        <x:v>RS-01868-E1</x:v>
      </x:c>
      <x:c r="B1869" s="4" t="str">
        <x:v>RS-01868</x:v>
      </x:c>
      <x:c r="C1869" s="8" t="n">
        <x:v>45402</x:v>
      </x:c>
      <x:c r="D1869" s="4" t="str">
        <x:v>Sales operations manager</x:v>
      </x:c>
      <x:c r="E1869" s="4" t="str">
        <x:v>ERP form</x:v>
      </x:c>
      <x:c r="F1869" s="4" t="str">
        <x:v>Record captured</x:v>
      </x:c>
      <x:c r="G1869" s="4" t="str">
        <x:v>Agreement signed</x:v>
      </x:c>
    </x:row>
    <x:row r="1870" ht="34" customHeight="1">
      <x:c r="A1870" s="4" t="str">
        <x:v>RS-01869-E1</x:v>
      </x:c>
      <x:c r="B1870" s="4" t="str">
        <x:v>RS-01869</x:v>
      </x:c>
      <x:c r="C1870" s="8" t="n">
        <x:v>45403</x:v>
      </x:c>
      <x:c r="D1870" s="4" t="str">
        <x:v>Sales operations manager</x:v>
      </x:c>
      <x:c r="E1870" s="4" t="str">
        <x:v>ERP form</x:v>
      </x:c>
      <x:c r="F1870" s="4" t="str">
        <x:v>Record captured</x:v>
      </x:c>
      <x:c r="G1870" s="4" t="str">
        <x:v>Booked</x:v>
      </x:c>
    </x:row>
    <x:row r="1871" ht="34" customHeight="1">
      <x:c r="A1871" s="4" t="str">
        <x:v>RS-01870-E1</x:v>
      </x:c>
      <x:c r="B1871" s="4" t="str">
        <x:v>RS-01870</x:v>
      </x:c>
      <x:c r="C1871" s="8" t="n">
        <x:v>45404</x:v>
      </x:c>
      <x:c r="D1871" s="4" t="str">
        <x:v>Sales operations manager</x:v>
      </x:c>
      <x:c r="E1871" s="4" t="str">
        <x:v>ERP form</x:v>
      </x:c>
      <x:c r="F1871" s="4" t="str">
        <x:v>Record captured</x:v>
      </x:c>
      <x:c r="G1871" s="4" t="str">
        <x:v>Reserved</x:v>
      </x:c>
    </x:row>
    <x:row r="1872" ht="34" customHeight="1">
      <x:c r="A1872" s="4" t="str">
        <x:v>RS-01871-E1</x:v>
      </x:c>
      <x:c r="B1872" s="4" t="str">
        <x:v>RS-01871</x:v>
      </x:c>
      <x:c r="C1872" s="8" t="n">
        <x:v>45405</x:v>
      </x:c>
      <x:c r="D1872" s="4" t="str">
        <x:v>Sales operations manager</x:v>
      </x:c>
      <x:c r="E1872" s="4" t="str">
        <x:v>Paper transcribed</x:v>
      </x:c>
      <x:c r="F1872" s="4" t="str">
        <x:v>Record captured</x:v>
      </x:c>
      <x:c r="G1872" s="4" t="str">
        <x:v>Booked</x:v>
      </x:c>
    </x:row>
    <x:row r="1873" ht="34" customHeight="1">
      <x:c r="A1873" s="4" t="str">
        <x:v>RS-01872-E1</x:v>
      </x:c>
      <x:c r="B1873" s="4" t="str">
        <x:v>RS-01872</x:v>
      </x:c>
      <x:c r="C1873" s="8" t="n">
        <x:v>45406</x:v>
      </x:c>
      <x:c r="D1873" s="4" t="str">
        <x:v>Sales operations manager</x:v>
      </x:c>
      <x:c r="E1873" s="4" t="str">
        <x:v>Spreadsheet import</x:v>
      </x:c>
      <x:c r="F1873" s="4" t="str">
        <x:v>Record captured</x:v>
      </x:c>
      <x:c r="G1873" s="4" t="str">
        <x:v>Reserved</x:v>
      </x:c>
    </x:row>
    <x:row r="1874" ht="34" customHeight="1">
      <x:c r="A1874" s="4" t="str">
        <x:v>RS-01873-E1</x:v>
      </x:c>
      <x:c r="B1874" s="4" t="str">
        <x:v>RS-01873</x:v>
      </x:c>
      <x:c r="C1874" s="8" t="n">
        <x:v>45407</x:v>
      </x:c>
      <x:c r="D1874" s="4" t="str">
        <x:v>Sales operations manager</x:v>
      </x:c>
      <x:c r="E1874" s="4" t="str">
        <x:v>Spreadsheet import</x:v>
      </x:c>
      <x:c r="F1874" s="4" t="str">
        <x:v>Record captured</x:v>
      </x:c>
      <x:c r="G1874" s="4" t="str">
        <x:v>Enquiry</x:v>
      </x:c>
    </x:row>
    <x:row r="1875" ht="34" customHeight="1">
      <x:c r="A1875" s="4" t="str">
        <x:v>RS-01874-E1</x:v>
      </x:c>
      <x:c r="B1875" s="4" t="str">
        <x:v>RS-01874</x:v>
      </x:c>
      <x:c r="C1875" s="8" t="n">
        <x:v>45408</x:v>
      </x:c>
      <x:c r="D1875" s="4" t="str">
        <x:v>Sales operations manager</x:v>
      </x:c>
      <x:c r="E1875" s="4" t="str">
        <x:v>Paper transcribed</x:v>
      </x:c>
      <x:c r="F1875" s="4" t="str">
        <x:v>Record captured</x:v>
      </x:c>
      <x:c r="G1875" s="4" t="str">
        <x:v>Booked</x:v>
      </x:c>
    </x:row>
    <x:row r="1876" ht="34" customHeight="1">
      <x:c r="A1876" s="4" t="str">
        <x:v>RS-01875-E1</x:v>
      </x:c>
      <x:c r="B1876" s="4" t="str">
        <x:v>RS-01875</x:v>
      </x:c>
      <x:c r="C1876" s="8" t="n">
        <x:v>45409</x:v>
      </x:c>
      <x:c r="D1876" s="4" t="str">
        <x:v>Sales operations manager</x:v>
      </x:c>
      <x:c r="E1876" s="4" t="str">
        <x:v>WhatsApp transcribed</x:v>
      </x:c>
      <x:c r="F1876" s="4" t="str">
        <x:v>Record captured</x:v>
      </x:c>
      <x:c r="G1876" s="4" t="str">
        <x:v>Cancelled</x:v>
      </x:c>
    </x:row>
    <x:row r="1877" ht="34" customHeight="1">
      <x:c r="A1877" s="4" t="str">
        <x:v>RS-01876-E1</x:v>
      </x:c>
      <x:c r="B1877" s="4" t="str">
        <x:v>RS-01876</x:v>
      </x:c>
      <x:c r="C1877" s="8" t="n">
        <x:v>45410</x:v>
      </x:c>
      <x:c r="D1877" s="4" t="str">
        <x:v>Sales operations manager</x:v>
      </x:c>
      <x:c r="E1877" s="4" t="str">
        <x:v>Spreadsheet import</x:v>
      </x:c>
      <x:c r="F1877" s="4" t="str">
        <x:v>Record captured</x:v>
      </x:c>
      <x:c r="G1877" s="4" t="str">
        <x:v>Booked</x:v>
      </x:c>
    </x:row>
    <x:row r="1878" ht="34" customHeight="1">
      <x:c r="A1878" s="4" t="str">
        <x:v>RS-01877-E1</x:v>
      </x:c>
      <x:c r="B1878" s="4" t="str">
        <x:v>RS-01877</x:v>
      </x:c>
      <x:c r="C1878" s="8" t="n">
        <x:v>45383</x:v>
      </x:c>
      <x:c r="D1878" s="4" t="str">
        <x:v>Sales operations manager</x:v>
      </x:c>
      <x:c r="E1878" s="4" t="str">
        <x:v>ERP form</x:v>
      </x:c>
      <x:c r="F1878" s="4" t="str">
        <x:v>Record captured</x:v>
      </x:c>
      <x:c r="G1878" s="4" t="str">
        <x:v>Booked</x:v>
      </x:c>
    </x:row>
    <x:row r="1879" ht="34" customHeight="1">
      <x:c r="A1879" s="4" t="str">
        <x:v>RS-01878-E1</x:v>
      </x:c>
      <x:c r="B1879" s="4" t="str">
        <x:v>RS-01878</x:v>
      </x:c>
      <x:c r="C1879" s="8" t="n">
        <x:v>45384</x:v>
      </x:c>
      <x:c r="D1879" s="4" t="str">
        <x:v>Sales operations manager</x:v>
      </x:c>
      <x:c r="E1879" s="4" t="str">
        <x:v>Paper transcribed</x:v>
      </x:c>
      <x:c r="F1879" s="4" t="str">
        <x:v>Record captured</x:v>
      </x:c>
      <x:c r="G1879" s="4" t="str">
        <x:v>Cancelled</x:v>
      </x:c>
    </x:row>
    <x:row r="1880" ht="34" customHeight="1">
      <x:c r="A1880" s="4" t="str">
        <x:v>RS-01879-E1</x:v>
      </x:c>
      <x:c r="B1880" s="4" t="str">
        <x:v>RS-01879</x:v>
      </x:c>
      <x:c r="C1880" s="8" t="n">
        <x:v>45385</x:v>
      </x:c>
      <x:c r="D1880" s="4" t="str">
        <x:v>Sales operations manager</x:v>
      </x:c>
      <x:c r="E1880" s="4" t="str">
        <x:v>Spreadsheet import</x:v>
      </x:c>
      <x:c r="F1880" s="4" t="str">
        <x:v>Record captured</x:v>
      </x:c>
      <x:c r="G1880" s="4" t="str">
        <x:v>Agreement signed</x:v>
      </x:c>
    </x:row>
    <x:row r="1881" ht="34" customHeight="1">
      <x:c r="A1881" s="4" t="str">
        <x:v>RS-01880-E1</x:v>
      </x:c>
      <x:c r="B1881" s="4" t="str">
        <x:v>RS-01880</x:v>
      </x:c>
      <x:c r="C1881" s="8" t="n">
        <x:v>45386</x:v>
      </x:c>
      <x:c r="D1881" s="4" t="str">
        <x:v>Sales operations manager</x:v>
      </x:c>
      <x:c r="E1881" s="4" t="str">
        <x:v>ERP form</x:v>
      </x:c>
      <x:c r="F1881" s="4" t="str">
        <x:v>Record captured</x:v>
      </x:c>
      <x:c r="G1881" s="4" t="str">
        <x:v>Agreement signed</x:v>
      </x:c>
    </x:row>
    <x:row r="1882" ht="34" customHeight="1">
      <x:c r="A1882" s="4" t="str">
        <x:v>RS-01881-E1</x:v>
      </x:c>
      <x:c r="B1882" s="4" t="str">
        <x:v>RS-01881</x:v>
      </x:c>
      <x:c r="C1882" s="8" t="n">
        <x:v>45387</x:v>
      </x:c>
      <x:c r="D1882" s="4" t="str">
        <x:v>Sales operations manager</x:v>
      </x:c>
      <x:c r="E1882" s="4" t="str">
        <x:v>ERP form</x:v>
      </x:c>
      <x:c r="F1882" s="4" t="str">
        <x:v>Record captured</x:v>
      </x:c>
      <x:c r="G1882" s="4" t="str">
        <x:v>Handed over</x:v>
      </x:c>
    </x:row>
    <x:row r="1883" ht="34" customHeight="1">
      <x:c r="A1883" s="4" t="str">
        <x:v>RS-01882-E1</x:v>
      </x:c>
      <x:c r="B1883" s="4" t="str">
        <x:v>RS-01882</x:v>
      </x:c>
      <x:c r="C1883" s="8" t="n">
        <x:v>45388</x:v>
      </x:c>
      <x:c r="D1883" s="4" t="str">
        <x:v>Sales operations manager</x:v>
      </x:c>
      <x:c r="E1883" s="4" t="str">
        <x:v>ERP form</x:v>
      </x:c>
      <x:c r="F1883" s="4" t="str">
        <x:v>Record captured</x:v>
      </x:c>
      <x:c r="G1883" s="4" t="str">
        <x:v>Enquiry</x:v>
      </x:c>
    </x:row>
    <x:row r="1884" ht="34" customHeight="1">
      <x:c r="A1884" s="4" t="str">
        <x:v>RS-01883-E1</x:v>
      </x:c>
      <x:c r="B1884" s="4" t="str">
        <x:v>RS-01883</x:v>
      </x:c>
      <x:c r="C1884" s="8" t="n">
        <x:v>45389</x:v>
      </x:c>
      <x:c r="D1884" s="4" t="str">
        <x:v>Sales operations manager</x:v>
      </x:c>
      <x:c r="E1884" s="4" t="str">
        <x:v>Paper transcribed</x:v>
      </x:c>
      <x:c r="F1884" s="4" t="str">
        <x:v>Record captured</x:v>
      </x:c>
      <x:c r="G1884" s="4" t="str">
        <x:v>Reserved</x:v>
      </x:c>
    </x:row>
    <x:row r="1885" ht="34" customHeight="1">
      <x:c r="A1885" s="4" t="str">
        <x:v>RS-01884-E1</x:v>
      </x:c>
      <x:c r="B1885" s="4" t="str">
        <x:v>RS-01884</x:v>
      </x:c>
      <x:c r="C1885" s="8" t="n">
        <x:v>45390</x:v>
      </x:c>
      <x:c r="D1885" s="4" t="str">
        <x:v>Sales operations manager</x:v>
      </x:c>
      <x:c r="E1885" s="4" t="str">
        <x:v>ERP form</x:v>
      </x:c>
      <x:c r="F1885" s="4" t="str">
        <x:v>Record captured</x:v>
      </x:c>
      <x:c r="G1885" s="4" t="str">
        <x:v>Reserved</x:v>
      </x:c>
    </x:row>
    <x:row r="1886" ht="34" customHeight="1">
      <x:c r="A1886" s="4" t="str">
        <x:v>RS-01885-E1</x:v>
      </x:c>
      <x:c r="B1886" s="4" t="str">
        <x:v>RS-01885</x:v>
      </x:c>
      <x:c r="C1886" s="8" t="n">
        <x:v>45391</x:v>
      </x:c>
      <x:c r="D1886" s="4" t="str">
        <x:v>Sales operations manager</x:v>
      </x:c>
      <x:c r="E1886" s="4" t="str">
        <x:v>Spreadsheet import</x:v>
      </x:c>
      <x:c r="F1886" s="4" t="str">
        <x:v>Record captured</x:v>
      </x:c>
      <x:c r="G1886" s="4" t="str">
        <x:v>Reserved</x:v>
      </x:c>
    </x:row>
    <x:row r="1887" ht="34" customHeight="1">
      <x:c r="A1887" s="4" t="str">
        <x:v>RS-01886-E1</x:v>
      </x:c>
      <x:c r="B1887" s="4" t="str">
        <x:v>RS-01886</x:v>
      </x:c>
      <x:c r="C1887" s="8" t="n">
        <x:v>45392</x:v>
      </x:c>
      <x:c r="D1887" s="4" t="str">
        <x:v>Sales operations manager</x:v>
      </x:c>
      <x:c r="E1887" s="4" t="str">
        <x:v>ERP form</x:v>
      </x:c>
      <x:c r="F1887" s="4" t="str">
        <x:v>Record captured</x:v>
      </x:c>
      <x:c r="G1887" s="4" t="str">
        <x:v>Handed over</x:v>
      </x:c>
    </x:row>
    <x:row r="1888" ht="34" customHeight="1">
      <x:c r="A1888" s="4" t="str">
        <x:v>RS-01887-E1</x:v>
      </x:c>
      <x:c r="B1888" s="4" t="str">
        <x:v>RS-01887</x:v>
      </x:c>
      <x:c r="C1888" s="8" t="n">
        <x:v>45393</x:v>
      </x:c>
      <x:c r="D1888" s="4" t="str">
        <x:v>Sales operations manager</x:v>
      </x:c>
      <x:c r="E1888" s="4" t="str">
        <x:v>Paper transcribed</x:v>
      </x:c>
      <x:c r="F1888" s="4" t="str">
        <x:v>Record captured</x:v>
      </x:c>
      <x:c r="G1888" s="4" t="str">
        <x:v>Booked</x:v>
      </x:c>
    </x:row>
    <x:row r="1889" ht="34" customHeight="1">
      <x:c r="A1889" s="4" t="str">
        <x:v>RS-01888-E1</x:v>
      </x:c>
      <x:c r="B1889" s="4" t="str">
        <x:v>RS-01888</x:v>
      </x:c>
      <x:c r="C1889" s="8" t="n">
        <x:v>45394</x:v>
      </x:c>
      <x:c r="D1889" s="4" t="str">
        <x:v>Sales operations manager</x:v>
      </x:c>
      <x:c r="E1889" s="4" t="str">
        <x:v>Paper transcribed</x:v>
      </x:c>
      <x:c r="F1889" s="4" t="str">
        <x:v>Record captured</x:v>
      </x:c>
      <x:c r="G1889" s="4" t="str">
        <x:v>Cancelled</x:v>
      </x:c>
    </x:row>
    <x:row r="1890" ht="34" customHeight="1">
      <x:c r="A1890" s="4" t="str">
        <x:v>RS-01889-E1</x:v>
      </x:c>
      <x:c r="B1890" s="4" t="str">
        <x:v>RS-01889</x:v>
      </x:c>
      <x:c r="C1890" s="8" t="n">
        <x:v>45395</x:v>
      </x:c>
      <x:c r="D1890" s="4" t="str">
        <x:v>Sales operations manager</x:v>
      </x:c>
      <x:c r="E1890" s="4" t="str">
        <x:v>Spreadsheet import</x:v>
      </x:c>
      <x:c r="F1890" s="4" t="str">
        <x:v>Record captured</x:v>
      </x:c>
      <x:c r="G1890" s="4" t="str">
        <x:v>Booked</x:v>
      </x:c>
    </x:row>
    <x:row r="1891" ht="34" customHeight="1">
      <x:c r="A1891" s="4" t="str">
        <x:v>RS-01890-E1</x:v>
      </x:c>
      <x:c r="B1891" s="4" t="str">
        <x:v>RS-01890</x:v>
      </x:c>
      <x:c r="C1891" s="8" t="n">
        <x:v>45396</x:v>
      </x:c>
      <x:c r="D1891" s="4" t="str">
        <x:v>Sales operations manager</x:v>
      </x:c>
      <x:c r="E1891" s="4" t="str">
        <x:v>Paper transcribed</x:v>
      </x:c>
      <x:c r="F1891" s="4" t="str">
        <x:v>Record captured</x:v>
      </x:c>
      <x:c r="G1891" s="4" t="str">
        <x:v>Enquiry</x:v>
      </x:c>
    </x:row>
    <x:row r="1892" ht="34" customHeight="1">
      <x:c r="A1892" s="4" t="str">
        <x:v>RS-01891-E1</x:v>
      </x:c>
      <x:c r="B1892" s="4" t="str">
        <x:v>RS-01891</x:v>
      </x:c>
      <x:c r="C1892" s="8" t="n">
        <x:v>45397</x:v>
      </x:c>
      <x:c r="D1892" s="4" t="str">
        <x:v>Sales operations manager</x:v>
      </x:c>
      <x:c r="E1892" s="4" t="str">
        <x:v>ERP form</x:v>
      </x:c>
      <x:c r="F1892" s="4" t="str">
        <x:v>Record captured</x:v>
      </x:c>
      <x:c r="G1892" s="4" t="str">
        <x:v>Reserved</x:v>
      </x:c>
    </x:row>
    <x:row r="1893" ht="34" customHeight="1">
      <x:c r="A1893" s="4" t="str">
        <x:v>RS-01892-E1</x:v>
      </x:c>
      <x:c r="B1893" s="4" t="str">
        <x:v>RS-01892</x:v>
      </x:c>
      <x:c r="C1893" s="8" t="n">
        <x:v>45398</x:v>
      </x:c>
      <x:c r="D1893" s="4" t="str">
        <x:v>Sales operations manager</x:v>
      </x:c>
      <x:c r="E1893" s="4" t="str">
        <x:v>WhatsApp transcribed</x:v>
      </x:c>
      <x:c r="F1893" s="4" t="str">
        <x:v>Record captured</x:v>
      </x:c>
      <x:c r="G1893" s="4" t="str">
        <x:v>Reserved</x:v>
      </x:c>
    </x:row>
    <x:row r="1894" ht="34" customHeight="1">
      <x:c r="A1894" s="4" t="str">
        <x:v>RS-01893-E1</x:v>
      </x:c>
      <x:c r="B1894" s="4" t="str">
        <x:v>RS-01893</x:v>
      </x:c>
      <x:c r="C1894" s="8" t="n">
        <x:v>45399</x:v>
      </x:c>
      <x:c r="D1894" s="4" t="str">
        <x:v>Sales operations manager</x:v>
      </x:c>
      <x:c r="E1894" s="4" t="str">
        <x:v>Spreadsheet import</x:v>
      </x:c>
      <x:c r="F1894" s="4" t="str">
        <x:v>Record captured</x:v>
      </x:c>
      <x:c r="G1894" s="4" t="str">
        <x:v>Enquiry</x:v>
      </x:c>
    </x:row>
    <x:row r="1895" ht="34" customHeight="1">
      <x:c r="A1895" s="4" t="str">
        <x:v>RS-01894-E1</x:v>
      </x:c>
      <x:c r="B1895" s="4" t="str">
        <x:v>RS-01894</x:v>
      </x:c>
      <x:c r="C1895" s="8" t="n">
        <x:v>45400</x:v>
      </x:c>
      <x:c r="D1895" s="4" t="str">
        <x:v>Sales operations manager</x:v>
      </x:c>
      <x:c r="E1895" s="4" t="str">
        <x:v>Paper transcribed</x:v>
      </x:c>
      <x:c r="F1895" s="4" t="str">
        <x:v>Record captured</x:v>
      </x:c>
      <x:c r="G1895" s="4" t="str">
        <x:v>Handed over</x:v>
      </x:c>
    </x:row>
    <x:row r="1896" ht="34" customHeight="1">
      <x:c r="A1896" s="4" t="str">
        <x:v>RS-01895-E1</x:v>
      </x:c>
      <x:c r="B1896" s="4" t="str">
        <x:v>RS-01895</x:v>
      </x:c>
      <x:c r="C1896" s="8" t="n">
        <x:v>45401</x:v>
      </x:c>
      <x:c r="D1896" s="4" t="str">
        <x:v>Sales operations manager</x:v>
      </x:c>
      <x:c r="E1896" s="4" t="str">
        <x:v>WhatsApp transcribed</x:v>
      </x:c>
      <x:c r="F1896" s="4" t="str">
        <x:v>Record captured</x:v>
      </x:c>
      <x:c r="G1896" s="4" t="str">
        <x:v>Agreement signed</x:v>
      </x:c>
    </x:row>
    <x:row r="1897" ht="34" customHeight="1">
      <x:c r="A1897" s="4" t="str">
        <x:v>RS-01896-E1</x:v>
      </x:c>
      <x:c r="B1897" s="4" t="str">
        <x:v>RS-01896</x:v>
      </x:c>
      <x:c r="C1897" s="8" t="n">
        <x:v>45402</x:v>
      </x:c>
      <x:c r="D1897" s="4" t="str">
        <x:v>Sales operations manager</x:v>
      </x:c>
      <x:c r="E1897" s="4" t="str">
        <x:v>Paper transcribed</x:v>
      </x:c>
      <x:c r="F1897" s="4" t="str">
        <x:v>Record captured</x:v>
      </x:c>
      <x:c r="G1897" s="4" t="str">
        <x:v>Reserved</x:v>
      </x:c>
    </x:row>
    <x:row r="1898" ht="34" customHeight="1">
      <x:c r="A1898" s="4" t="str">
        <x:v>RS-01897-E1</x:v>
      </x:c>
      <x:c r="B1898" s="4" t="str">
        <x:v>RS-01897</x:v>
      </x:c>
      <x:c r="C1898" s="8" t="n">
        <x:v>45403</x:v>
      </x:c>
      <x:c r="D1898" s="4" t="str">
        <x:v>Sales operations manager</x:v>
      </x:c>
      <x:c r="E1898" s="4" t="str">
        <x:v>Spreadsheet import</x:v>
      </x:c>
      <x:c r="F1898" s="4" t="str">
        <x:v>Record captured</x:v>
      </x:c>
      <x:c r="G1898" s="4" t="str">
        <x:v>Enquiry</x:v>
      </x:c>
    </x:row>
    <x:row r="1899" ht="34" customHeight="1">
      <x:c r="A1899" s="4" t="str">
        <x:v>RS-01898-E1</x:v>
      </x:c>
      <x:c r="B1899" s="4" t="str">
        <x:v>RS-01898</x:v>
      </x:c>
      <x:c r="C1899" s="8" t="n">
        <x:v>45404</x:v>
      </x:c>
      <x:c r="D1899" s="4" t="str">
        <x:v>Sales operations manager</x:v>
      </x:c>
      <x:c r="E1899" s="4" t="str">
        <x:v>ERP form</x:v>
      </x:c>
      <x:c r="F1899" s="4" t="str">
        <x:v>Record captured</x:v>
      </x:c>
      <x:c r="G1899" s="4" t="str">
        <x:v>Agreement signed</x:v>
      </x:c>
    </x:row>
    <x:row r="1900" ht="34" customHeight="1">
      <x:c r="A1900" s="4" t="str">
        <x:v>RS-01899-E1</x:v>
      </x:c>
      <x:c r="B1900" s="4" t="str">
        <x:v>RS-01899</x:v>
      </x:c>
      <x:c r="C1900" s="8" t="n">
        <x:v>45405</x:v>
      </x:c>
      <x:c r="D1900" s="4" t="str">
        <x:v>Sales operations manager</x:v>
      </x:c>
      <x:c r="E1900" s="4" t="str">
        <x:v>Paper transcribed</x:v>
      </x:c>
      <x:c r="F1900" s="4" t="str">
        <x:v>Record captured</x:v>
      </x:c>
      <x:c r="G1900" s="4" t="str">
        <x:v>Enquiry</x:v>
      </x:c>
    </x:row>
    <x:row r="1901" ht="34" customHeight="1">
      <x:c r="A1901" s="4" t="str">
        <x:v>RS-01900-E1</x:v>
      </x:c>
      <x:c r="B1901" s="4" t="str">
        <x:v>RS-01900</x:v>
      </x:c>
      <x:c r="C1901" s="8" t="n">
        <x:v>45406</x:v>
      </x:c>
      <x:c r="D1901" s="4" t="str">
        <x:v>Sales operations manager</x:v>
      </x:c>
      <x:c r="E1901" s="4" t="str">
        <x:v>ERP form</x:v>
      </x:c>
      <x:c r="F1901" s="4" t="str">
        <x:v>Record captured</x:v>
      </x:c>
      <x:c r="G1901" s="4" t="str">
        <x:v>Enquiry</x:v>
      </x:c>
    </x:row>
    <x:row r="1902" ht="34" customHeight="1">
      <x:c r="A1902" s="4" t="str">
        <x:v>RS-01901-E1</x:v>
      </x:c>
      <x:c r="B1902" s="4" t="str">
        <x:v>RS-01901</x:v>
      </x:c>
      <x:c r="C1902" s="8" t="n">
        <x:v>45407</x:v>
      </x:c>
      <x:c r="D1902" s="4" t="str">
        <x:v>Sales operations manager</x:v>
      </x:c>
      <x:c r="E1902" s="4" t="str">
        <x:v>Spreadsheet import</x:v>
      </x:c>
      <x:c r="F1902" s="4" t="str">
        <x:v>Record captured</x:v>
      </x:c>
      <x:c r="G1902" s="4" t="str">
        <x:v>Reserved</x:v>
      </x:c>
    </x:row>
    <x:row r="1903" ht="34" customHeight="1">
      <x:c r="A1903" s="4" t="str">
        <x:v>RS-01902-E1</x:v>
      </x:c>
      <x:c r="B1903" s="4" t="str">
        <x:v>RS-01902</x:v>
      </x:c>
      <x:c r="C1903" s="8" t="n">
        <x:v>45408</x:v>
      </x:c>
      <x:c r="D1903" s="4" t="str">
        <x:v>Sales operations manager</x:v>
      </x:c>
      <x:c r="E1903" s="4" t="str">
        <x:v>ERP form</x:v>
      </x:c>
      <x:c r="F1903" s="4" t="str">
        <x:v>Record captured</x:v>
      </x:c>
      <x:c r="G1903" s="4" t="str">
        <x:v>Reserved</x:v>
      </x:c>
    </x:row>
    <x:row r="1904" ht="34" customHeight="1">
      <x:c r="A1904" s="4" t="str">
        <x:v>RS-01903-E1</x:v>
      </x:c>
      <x:c r="B1904" s="4" t="str">
        <x:v>RS-01903</x:v>
      </x:c>
      <x:c r="C1904" s="8" t="n">
        <x:v>45409</x:v>
      </x:c>
      <x:c r="D1904" s="4" t="str">
        <x:v>Sales operations manager</x:v>
      </x:c>
      <x:c r="E1904" s="4" t="str">
        <x:v>WhatsApp transcribed</x:v>
      </x:c>
      <x:c r="F1904" s="4" t="str">
        <x:v>Record captured</x:v>
      </x:c>
      <x:c r="G1904" s="4" t="str">
        <x:v>Handed over</x:v>
      </x:c>
    </x:row>
    <x:row r="1905" ht="34" customHeight="1">
      <x:c r="A1905" s="4" t="str">
        <x:v>RS-01904-E1</x:v>
      </x:c>
      <x:c r="B1905" s="4" t="str">
        <x:v>RS-01904</x:v>
      </x:c>
      <x:c r="C1905" s="8" t="n">
        <x:v>45410</x:v>
      </x:c>
      <x:c r="D1905" s="4" t="str">
        <x:v>Sales operations manager</x:v>
      </x:c>
      <x:c r="E1905" s="4" t="str">
        <x:v>Spreadsheet import</x:v>
      </x:c>
      <x:c r="F1905" s="4" t="str">
        <x:v>Record captured</x:v>
      </x:c>
      <x:c r="G1905" s="4" t="str">
        <x:v>Reserved</x:v>
      </x:c>
    </x:row>
    <x:row r="1906" ht="34" customHeight="1">
      <x:c r="A1906" s="4" t="str">
        <x:v>RS-01905-E1</x:v>
      </x:c>
      <x:c r="B1906" s="4" t="str">
        <x:v>RS-01905</x:v>
      </x:c>
      <x:c r="C1906" s="8" t="n">
        <x:v>45383</x:v>
      </x:c>
      <x:c r="D1906" s="4" t="str">
        <x:v>Sales operations manager</x:v>
      </x:c>
      <x:c r="E1906" s="4" t="str">
        <x:v>ERP form</x:v>
      </x:c>
      <x:c r="F1906" s="4" t="str">
        <x:v>Record captured</x:v>
      </x:c>
      <x:c r="G1906" s="4" t="str">
        <x:v>Reserved</x:v>
      </x:c>
    </x:row>
    <x:row r="1907" ht="34" customHeight="1">
      <x:c r="A1907" s="4" t="str">
        <x:v>RS-01906-E1</x:v>
      </x:c>
      <x:c r="B1907" s="4" t="str">
        <x:v>RS-01906</x:v>
      </x:c>
      <x:c r="C1907" s="8" t="n">
        <x:v>45384</x:v>
      </x:c>
      <x:c r="D1907" s="4" t="str">
        <x:v>Sales operations manager</x:v>
      </x:c>
      <x:c r="E1907" s="4" t="str">
        <x:v>Spreadsheet import</x:v>
      </x:c>
      <x:c r="F1907" s="4" t="str">
        <x:v>Record captured</x:v>
      </x:c>
      <x:c r="G1907" s="4" t="str">
        <x:v>Enquiry</x:v>
      </x:c>
    </x:row>
    <x:row r="1908" ht="34" customHeight="1">
      <x:c r="A1908" s="4" t="str">
        <x:v>RS-01907-E1</x:v>
      </x:c>
      <x:c r="B1908" s="4" t="str">
        <x:v>RS-01907</x:v>
      </x:c>
      <x:c r="C1908" s="8" t="n">
        <x:v>45385</x:v>
      </x:c>
      <x:c r="D1908" s="4" t="str">
        <x:v>Sales operations manager</x:v>
      </x:c>
      <x:c r="E1908" s="4" t="str">
        <x:v>Paper transcribed</x:v>
      </x:c>
      <x:c r="F1908" s="4" t="str">
        <x:v>Record captured</x:v>
      </x:c>
      <x:c r="G1908" s="4" t="str">
        <x:v>Enquiry</x:v>
      </x:c>
    </x:row>
    <x:row r="1909" ht="34" customHeight="1">
      <x:c r="A1909" s="4" t="str">
        <x:v>RS-01908-E1</x:v>
      </x:c>
      <x:c r="B1909" s="4" t="str">
        <x:v>RS-01908</x:v>
      </x:c>
      <x:c r="C1909" s="8" t="n">
        <x:v>45386</x:v>
      </x:c>
      <x:c r="D1909" s="4" t="str">
        <x:v>Sales operations manager</x:v>
      </x:c>
      <x:c r="E1909" s="4" t="str">
        <x:v>Spreadsheet import</x:v>
      </x:c>
      <x:c r="F1909" s="4" t="str">
        <x:v>Record captured</x:v>
      </x:c>
      <x:c r="G1909" s="4" t="str">
        <x:v>Enquiry</x:v>
      </x:c>
    </x:row>
    <x:row r="1910" ht="34" customHeight="1">
      <x:c r="A1910" s="4" t="str">
        <x:v>RS-01909-E1</x:v>
      </x:c>
      <x:c r="B1910" s="4" t="str">
        <x:v>RS-01909</x:v>
      </x:c>
      <x:c r="C1910" s="8" t="n">
        <x:v>45387</x:v>
      </x:c>
      <x:c r="D1910" s="4" t="str">
        <x:v>Sales operations manager</x:v>
      </x:c>
      <x:c r="E1910" s="4" t="str">
        <x:v>WhatsApp transcribed</x:v>
      </x:c>
      <x:c r="F1910" s="4" t="str">
        <x:v>Record captured</x:v>
      </x:c>
      <x:c r="G1910" s="4" t="str">
        <x:v>Agreement signed</x:v>
      </x:c>
    </x:row>
    <x:row r="1911" ht="34" customHeight="1">
      <x:c r="A1911" s="4" t="str">
        <x:v>RS-01910-E1</x:v>
      </x:c>
      <x:c r="B1911" s="4" t="str">
        <x:v>RS-01910</x:v>
      </x:c>
      <x:c r="C1911" s="8" t="n">
        <x:v>45388</x:v>
      </x:c>
      <x:c r="D1911" s="4" t="str">
        <x:v>Sales operations manager</x:v>
      </x:c>
      <x:c r="E1911" s="4" t="str">
        <x:v>Spreadsheet import</x:v>
      </x:c>
      <x:c r="F1911" s="4" t="str">
        <x:v>Record captured</x:v>
      </x:c>
      <x:c r="G1911" s="4" t="str">
        <x:v>Booked</x:v>
      </x:c>
    </x:row>
    <x:row r="1912" ht="34" customHeight="1">
      <x:c r="A1912" s="4" t="str">
        <x:v>RS-01911-E1</x:v>
      </x:c>
      <x:c r="B1912" s="4" t="str">
        <x:v>RS-01911</x:v>
      </x:c>
      <x:c r="C1912" s="8" t="n">
        <x:v>45389</x:v>
      </x:c>
      <x:c r="D1912" s="4" t="str">
        <x:v>Sales operations manager</x:v>
      </x:c>
      <x:c r="E1912" s="4" t="str">
        <x:v>ERP form</x:v>
      </x:c>
      <x:c r="F1912" s="4" t="str">
        <x:v>Record captured</x:v>
      </x:c>
      <x:c r="G1912" s="4" t="str">
        <x:v>Agreement signed</x:v>
      </x:c>
    </x:row>
    <x:row r="1913" ht="34" customHeight="1">
      <x:c r="A1913" s="4" t="str">
        <x:v>RS-01912-E1</x:v>
      </x:c>
      <x:c r="B1913" s="4" t="str">
        <x:v>RS-01912</x:v>
      </x:c>
      <x:c r="C1913" s="8" t="n">
        <x:v>45390</x:v>
      </x:c>
      <x:c r="D1913" s="4" t="str">
        <x:v>Sales operations manager</x:v>
      </x:c>
      <x:c r="E1913" s="4" t="str">
        <x:v>WhatsApp transcribed</x:v>
      </x:c>
      <x:c r="F1913" s="4" t="str">
        <x:v>Record captured</x:v>
      </x:c>
      <x:c r="G1913" s="4" t="str">
        <x:v>Booked</x:v>
      </x:c>
    </x:row>
    <x:row r="1914" ht="34" customHeight="1">
      <x:c r="A1914" s="4" t="str">
        <x:v>RS-01913-E1</x:v>
      </x:c>
      <x:c r="B1914" s="4" t="str">
        <x:v>RS-01913</x:v>
      </x:c>
      <x:c r="C1914" s="8" t="n">
        <x:v>45391</x:v>
      </x:c>
      <x:c r="D1914" s="4" t="str">
        <x:v>Sales operations manager</x:v>
      </x:c>
      <x:c r="E1914" s="4" t="str">
        <x:v>WhatsApp transcribed</x:v>
      </x:c>
      <x:c r="F1914" s="4" t="str">
        <x:v>Record captured</x:v>
      </x:c>
      <x:c r="G1914" s="4" t="str">
        <x:v>Agreement signed</x:v>
      </x:c>
    </x:row>
    <x:row r="1915" ht="34" customHeight="1">
      <x:c r="A1915" s="4" t="str">
        <x:v>RS-01914-E1</x:v>
      </x:c>
      <x:c r="B1915" s="4" t="str">
        <x:v>RS-01914</x:v>
      </x:c>
      <x:c r="C1915" s="8" t="n">
        <x:v>45392</x:v>
      </x:c>
      <x:c r="D1915" s="4" t="str">
        <x:v>Sales operations manager</x:v>
      </x:c>
      <x:c r="E1915" s="4" t="str">
        <x:v>Paper transcribed</x:v>
      </x:c>
      <x:c r="F1915" s="4" t="str">
        <x:v>Record captured</x:v>
      </x:c>
      <x:c r="G1915" s="4" t="str">
        <x:v>Handed over</x:v>
      </x:c>
    </x:row>
    <x:row r="1916" ht="34" customHeight="1">
      <x:c r="A1916" s="4" t="str">
        <x:v>RS-01915-E1</x:v>
      </x:c>
      <x:c r="B1916" s="4" t="str">
        <x:v>RS-01915</x:v>
      </x:c>
      <x:c r="C1916" s="8" t="n">
        <x:v>45393</x:v>
      </x:c>
      <x:c r="D1916" s="4" t="str">
        <x:v>Sales operations manager</x:v>
      </x:c>
      <x:c r="E1916" s="4" t="str">
        <x:v>Paper transcribed</x:v>
      </x:c>
      <x:c r="F1916" s="4" t="str">
        <x:v>Record captured</x:v>
      </x:c>
      <x:c r="G1916" s="4" t="str">
        <x:v>Enquiry</x:v>
      </x:c>
    </x:row>
    <x:row r="1917" ht="34" customHeight="1">
      <x:c r="A1917" s="4" t="str">
        <x:v>RS-01916-E1</x:v>
      </x:c>
      <x:c r="B1917" s="4" t="str">
        <x:v>RS-01916</x:v>
      </x:c>
      <x:c r="C1917" s="8" t="n">
        <x:v>45394</x:v>
      </x:c>
      <x:c r="D1917" s="4" t="str">
        <x:v>Sales operations manager</x:v>
      </x:c>
      <x:c r="E1917" s="4" t="str">
        <x:v>WhatsApp transcribed</x:v>
      </x:c>
      <x:c r="F1917" s="4" t="str">
        <x:v>Record captured</x:v>
      </x:c>
      <x:c r="G1917" s="4" t="str">
        <x:v>Cancelled</x:v>
      </x:c>
    </x:row>
    <x:row r="1918" ht="34" customHeight="1">
      <x:c r="A1918" s="4" t="str">
        <x:v>RS-01917-E1</x:v>
      </x:c>
      <x:c r="B1918" s="4" t="str">
        <x:v>RS-01917</x:v>
      </x:c>
      <x:c r="C1918" s="8" t="n">
        <x:v>45395</x:v>
      </x:c>
      <x:c r="D1918" s="4" t="str">
        <x:v>Sales operations manager</x:v>
      </x:c>
      <x:c r="E1918" s="4" t="str">
        <x:v>WhatsApp transcribed</x:v>
      </x:c>
      <x:c r="F1918" s="4" t="str">
        <x:v>Record captured</x:v>
      </x:c>
      <x:c r="G1918" s="4" t="str">
        <x:v>Handed over</x:v>
      </x:c>
    </x:row>
    <x:row r="1919" ht="34" customHeight="1">
      <x:c r="A1919" s="4" t="str">
        <x:v>RS-01918-E1</x:v>
      </x:c>
      <x:c r="B1919" s="4" t="str">
        <x:v>RS-01918</x:v>
      </x:c>
      <x:c r="C1919" s="8" t="n">
        <x:v>45396</x:v>
      </x:c>
      <x:c r="D1919" s="4" t="str">
        <x:v>Sales operations manager</x:v>
      </x:c>
      <x:c r="E1919" s="4" t="str">
        <x:v>Paper transcribed</x:v>
      </x:c>
      <x:c r="F1919" s="4" t="str">
        <x:v>Record captured</x:v>
      </x:c>
      <x:c r="G1919" s="4" t="str">
        <x:v>Cancelled</x:v>
      </x:c>
    </x:row>
    <x:row r="1920" ht="34" customHeight="1">
      <x:c r="A1920" s="4" t="str">
        <x:v>RS-01919-E1</x:v>
      </x:c>
      <x:c r="B1920" s="4" t="str">
        <x:v>RS-01919</x:v>
      </x:c>
      <x:c r="C1920" s="8" t="n">
        <x:v>45397</x:v>
      </x:c>
      <x:c r="D1920" s="4" t="str">
        <x:v>Sales operations manager</x:v>
      </x:c>
      <x:c r="E1920" s="4" t="str">
        <x:v>WhatsApp transcribed</x:v>
      </x:c>
      <x:c r="F1920" s="4" t="str">
        <x:v>Record captured</x:v>
      </x:c>
      <x:c r="G1920" s="4" t="str">
        <x:v>Cancelled</x:v>
      </x:c>
    </x:row>
    <x:row r="1921" ht="34" customHeight="1">
      <x:c r="A1921" s="4" t="str">
        <x:v>RS-01920-E1</x:v>
      </x:c>
      <x:c r="B1921" s="4" t="str">
        <x:v>RS-01920</x:v>
      </x:c>
      <x:c r="C1921" s="8" t="n">
        <x:v>45398</x:v>
      </x:c>
      <x:c r="D1921" s="4" t="str">
        <x:v>Sales operations manager</x:v>
      </x:c>
      <x:c r="E1921" s="4" t="str">
        <x:v>ERP form</x:v>
      </x:c>
      <x:c r="F1921" s="4" t="str">
        <x:v>Record captured</x:v>
      </x:c>
      <x:c r="G1921" s="4" t="str">
        <x:v>Handed over</x:v>
      </x:c>
    </x:row>
    <x:row r="1922" ht="34" customHeight="1">
      <x:c r="A1922" s="4" t="str">
        <x:v>RS-01921-E1</x:v>
      </x:c>
      <x:c r="B1922" s="4" t="str">
        <x:v>RS-01921</x:v>
      </x:c>
      <x:c r="C1922" s="8" t="n">
        <x:v>45399</x:v>
      </x:c>
      <x:c r="D1922" s="4" t="str">
        <x:v>Sales operations manager</x:v>
      </x:c>
      <x:c r="E1922" s="4" t="str">
        <x:v>ERP form</x:v>
      </x:c>
      <x:c r="F1922" s="4" t="str">
        <x:v>Record captured</x:v>
      </x:c>
      <x:c r="G1922" s="4" t="str">
        <x:v>Booked</x:v>
      </x:c>
    </x:row>
    <x:row r="1923" ht="34" customHeight="1">
      <x:c r="A1923" s="4" t="str">
        <x:v>RS-01922-E1</x:v>
      </x:c>
      <x:c r="B1923" s="4" t="str">
        <x:v>RS-01922</x:v>
      </x:c>
      <x:c r="C1923" s="8" t="n">
        <x:v>45400</x:v>
      </x:c>
      <x:c r="D1923" s="4" t="str">
        <x:v>Sales operations manager</x:v>
      </x:c>
      <x:c r="E1923" s="4" t="str">
        <x:v>WhatsApp transcribed</x:v>
      </x:c>
      <x:c r="F1923" s="4" t="str">
        <x:v>Record captured</x:v>
      </x:c>
      <x:c r="G1923" s="4" t="str">
        <x:v>Handed over</x:v>
      </x:c>
    </x:row>
    <x:row r="1924" ht="34" customHeight="1">
      <x:c r="A1924" s="4" t="str">
        <x:v>RS-01923-E1</x:v>
      </x:c>
      <x:c r="B1924" s="4" t="str">
        <x:v>RS-01923</x:v>
      </x:c>
      <x:c r="C1924" s="8" t="n">
        <x:v>45401</x:v>
      </x:c>
      <x:c r="D1924" s="4" t="str">
        <x:v>Sales operations manager</x:v>
      </x:c>
      <x:c r="E1924" s="4" t="str">
        <x:v>Paper transcribed</x:v>
      </x:c>
      <x:c r="F1924" s="4" t="str">
        <x:v>Record captured</x:v>
      </x:c>
      <x:c r="G1924" s="4" t="str">
        <x:v>Reserved</x:v>
      </x:c>
    </x:row>
    <x:row r="1925" ht="34" customHeight="1">
      <x:c r="A1925" s="4" t="str">
        <x:v>RS-01924-E1</x:v>
      </x:c>
      <x:c r="B1925" s="4" t="str">
        <x:v>RS-01924</x:v>
      </x:c>
      <x:c r="C1925" s="8" t="n">
        <x:v>45402</x:v>
      </x:c>
      <x:c r="D1925" s="4" t="str">
        <x:v>Sales operations manager</x:v>
      </x:c>
      <x:c r="E1925" s="4" t="str">
        <x:v>Spreadsheet import</x:v>
      </x:c>
      <x:c r="F1925" s="4" t="str">
        <x:v>Record captured</x:v>
      </x:c>
      <x:c r="G1925" s="4" t="str">
        <x:v>Enquiry</x:v>
      </x:c>
    </x:row>
    <x:row r="1926" ht="34" customHeight="1">
      <x:c r="A1926" s="4" t="str">
        <x:v>RS-01925-E1</x:v>
      </x:c>
      <x:c r="B1926" s="4" t="str">
        <x:v>RS-01925</x:v>
      </x:c>
      <x:c r="C1926" s="8" t="n">
        <x:v>45403</x:v>
      </x:c>
      <x:c r="D1926" s="4" t="str">
        <x:v>Sales operations manager</x:v>
      </x:c>
      <x:c r="E1926" s="4" t="str">
        <x:v>Paper transcribed</x:v>
      </x:c>
      <x:c r="F1926" s="4" t="str">
        <x:v>Record captured</x:v>
      </x:c>
      <x:c r="G1926" s="4" t="str">
        <x:v>Reserved</x:v>
      </x:c>
    </x:row>
    <x:row r="1927" ht="34" customHeight="1">
      <x:c r="A1927" s="4" t="str">
        <x:v>RS-01926-E1</x:v>
      </x:c>
      <x:c r="B1927" s="4" t="str">
        <x:v>RS-01926</x:v>
      </x:c>
      <x:c r="C1927" s="8" t="n">
        <x:v>45404</x:v>
      </x:c>
      <x:c r="D1927" s="4" t="str">
        <x:v>Sales operations manager</x:v>
      </x:c>
      <x:c r="E1927" s="4" t="str">
        <x:v>WhatsApp transcribed</x:v>
      </x:c>
      <x:c r="F1927" s="4" t="str">
        <x:v>Record captured</x:v>
      </x:c>
      <x:c r="G1927" s="4" t="str">
        <x:v>Agreement signed</x:v>
      </x:c>
    </x:row>
    <x:row r="1928" ht="34" customHeight="1">
      <x:c r="A1928" s="4" t="str">
        <x:v>RS-01927-E1</x:v>
      </x:c>
      <x:c r="B1928" s="4" t="str">
        <x:v>RS-01927</x:v>
      </x:c>
      <x:c r="C1928" s="8" t="n">
        <x:v>45405</x:v>
      </x:c>
      <x:c r="D1928" s="4" t="str">
        <x:v>Sales operations manager</x:v>
      </x:c>
      <x:c r="E1928" s="4" t="str">
        <x:v>Paper transcribed</x:v>
      </x:c>
      <x:c r="F1928" s="4" t="str">
        <x:v>Record captured</x:v>
      </x:c>
      <x:c r="G1928" s="4" t="str">
        <x:v>Agreement signed</x:v>
      </x:c>
    </x:row>
    <x:row r="1929" ht="34" customHeight="1">
      <x:c r="A1929" s="4" t="str">
        <x:v>RS-01928-E1</x:v>
      </x:c>
      <x:c r="B1929" s="4" t="str">
        <x:v>RS-01928</x:v>
      </x:c>
      <x:c r="C1929" s="8" t="n">
        <x:v>45406</x:v>
      </x:c>
      <x:c r="D1929" s="4" t="str">
        <x:v>Sales operations manager</x:v>
      </x:c>
      <x:c r="E1929" s="4" t="str">
        <x:v>Paper transcribed</x:v>
      </x:c>
      <x:c r="F1929" s="4" t="str">
        <x:v>Record captured</x:v>
      </x:c>
      <x:c r="G1929" s="4" t="str">
        <x:v>Enquiry</x:v>
      </x:c>
    </x:row>
    <x:row r="1930" ht="34" customHeight="1">
      <x:c r="A1930" s="4" t="str">
        <x:v>RS-01929-E1</x:v>
      </x:c>
      <x:c r="B1930" s="4" t="str">
        <x:v>RS-01929</x:v>
      </x:c>
      <x:c r="C1930" s="8" t="n">
        <x:v>45407</x:v>
      </x:c>
      <x:c r="D1930" s="4" t="str">
        <x:v>Sales operations manager</x:v>
      </x:c>
      <x:c r="E1930" s="4" t="str">
        <x:v>Spreadsheet import</x:v>
      </x:c>
      <x:c r="F1930" s="4" t="str">
        <x:v>Record captured</x:v>
      </x:c>
      <x:c r="G1930" s="4" t="str">
        <x:v>Handed over</x:v>
      </x:c>
    </x:row>
    <x:row r="1931" ht="34" customHeight="1">
      <x:c r="A1931" s="4" t="str">
        <x:v>RS-01930-E1</x:v>
      </x:c>
      <x:c r="B1931" s="4" t="str">
        <x:v>RS-01930</x:v>
      </x:c>
      <x:c r="C1931" s="8" t="n">
        <x:v>45408</x:v>
      </x:c>
      <x:c r="D1931" s="4" t="str">
        <x:v>Sales operations manager</x:v>
      </x:c>
      <x:c r="E1931" s="4" t="str">
        <x:v>Paper transcribed</x:v>
      </x:c>
      <x:c r="F1931" s="4" t="str">
        <x:v>Record captured</x:v>
      </x:c>
      <x:c r="G1931" s="4" t="str">
        <x:v>Handed over</x:v>
      </x:c>
    </x:row>
    <x:row r="1932" ht="34" customHeight="1">
      <x:c r="A1932" s="4" t="str">
        <x:v>RS-01931-E1</x:v>
      </x:c>
      <x:c r="B1932" s="4" t="str">
        <x:v>RS-01931</x:v>
      </x:c>
      <x:c r="C1932" s="8" t="n">
        <x:v>45409</x:v>
      </x:c>
      <x:c r="D1932" s="4" t="str">
        <x:v>Sales operations manager</x:v>
      </x:c>
      <x:c r="E1932" s="4" t="str">
        <x:v>Spreadsheet import</x:v>
      </x:c>
      <x:c r="F1932" s="4" t="str">
        <x:v>Record captured</x:v>
      </x:c>
      <x:c r="G1932" s="4" t="str">
        <x:v>Reserved</x:v>
      </x:c>
    </x:row>
    <x:row r="1933" ht="34" customHeight="1">
      <x:c r="A1933" s="4" t="str">
        <x:v>RS-01932-E1</x:v>
      </x:c>
      <x:c r="B1933" s="4" t="str">
        <x:v>RS-01932</x:v>
      </x:c>
      <x:c r="C1933" s="8" t="n">
        <x:v>45410</x:v>
      </x:c>
      <x:c r="D1933" s="4" t="str">
        <x:v>Sales operations manager</x:v>
      </x:c>
      <x:c r="E1933" s="4" t="str">
        <x:v>Paper transcribed</x:v>
      </x:c>
      <x:c r="F1933" s="4" t="str">
        <x:v>Record captured</x:v>
      </x:c>
      <x:c r="G1933" s="4" t="str">
        <x:v>Cancelled</x:v>
      </x:c>
    </x:row>
    <x:row r="1934" ht="34" customHeight="1">
      <x:c r="A1934" s="4" t="str">
        <x:v>RS-01933-E1</x:v>
      </x:c>
      <x:c r="B1934" s="4" t="str">
        <x:v>RS-01933</x:v>
      </x:c>
      <x:c r="C1934" s="8" t="n">
        <x:v>45383</x:v>
      </x:c>
      <x:c r="D1934" s="4" t="str">
        <x:v>Sales operations manager</x:v>
      </x:c>
      <x:c r="E1934" s="4" t="str">
        <x:v>Spreadsheet import</x:v>
      </x:c>
      <x:c r="F1934" s="4" t="str">
        <x:v>Record captured</x:v>
      </x:c>
      <x:c r="G1934" s="4" t="str">
        <x:v>Handed over</x:v>
      </x:c>
    </x:row>
    <x:row r="1935" ht="34" customHeight="1">
      <x:c r="A1935" s="4" t="str">
        <x:v>RS-01934-E1</x:v>
      </x:c>
      <x:c r="B1935" s="4" t="str">
        <x:v>RS-01934</x:v>
      </x:c>
      <x:c r="C1935" s="8" t="n">
        <x:v>45384</x:v>
      </x:c>
      <x:c r="D1935" s="4" t="str">
        <x:v>Sales operations manager</x:v>
      </x:c>
      <x:c r="E1935" s="4" t="str">
        <x:v>Spreadsheet import</x:v>
      </x:c>
      <x:c r="F1935" s="4" t="str">
        <x:v>Record captured</x:v>
      </x:c>
      <x:c r="G1935" s="4" t="str">
        <x:v>Cancelled</x:v>
      </x:c>
    </x:row>
    <x:row r="1936" ht="34" customHeight="1">
      <x:c r="A1936" s="4" t="str">
        <x:v>RS-01935-E1</x:v>
      </x:c>
      <x:c r="B1936" s="4" t="str">
        <x:v>RS-01935</x:v>
      </x:c>
      <x:c r="C1936" s="8" t="n">
        <x:v>45385</x:v>
      </x:c>
      <x:c r="D1936" s="4" t="str">
        <x:v>Sales operations manager</x:v>
      </x:c>
      <x:c r="E1936" s="4" t="str">
        <x:v>ERP form</x:v>
      </x:c>
      <x:c r="F1936" s="4" t="str">
        <x:v>Record captured</x:v>
      </x:c>
      <x:c r="G1936" s="4" t="str">
        <x:v>Reserved</x:v>
      </x:c>
    </x:row>
    <x:row r="1937" ht="34" customHeight="1">
      <x:c r="A1937" s="4" t="str">
        <x:v>RS-01936-E1</x:v>
      </x:c>
      <x:c r="B1937" s="4" t="str">
        <x:v>RS-01936</x:v>
      </x:c>
      <x:c r="C1937" s="8" t="n">
        <x:v>45386</x:v>
      </x:c>
      <x:c r="D1937" s="4" t="str">
        <x:v>Sales operations manager</x:v>
      </x:c>
      <x:c r="E1937" s="4" t="str">
        <x:v>Spreadsheet import</x:v>
      </x:c>
      <x:c r="F1937" s="4" t="str">
        <x:v>Record captured</x:v>
      </x:c>
      <x:c r="G1937" s="4" t="str">
        <x:v>Booked</x:v>
      </x:c>
    </x:row>
    <x:row r="1938" ht="34" customHeight="1">
      <x:c r="A1938" s="4" t="str">
        <x:v>RS-01937-E1</x:v>
      </x:c>
      <x:c r="B1938" s="4" t="str">
        <x:v>RS-01937</x:v>
      </x:c>
      <x:c r="C1938" s="8" t="n">
        <x:v>45387</x:v>
      </x:c>
      <x:c r="D1938" s="4" t="str">
        <x:v>Sales operations manager</x:v>
      </x:c>
      <x:c r="E1938" s="4" t="str">
        <x:v>ERP form</x:v>
      </x:c>
      <x:c r="F1938" s="4" t="str">
        <x:v>Record captured</x:v>
      </x:c>
      <x:c r="G1938" s="4" t="str">
        <x:v>Booked</x:v>
      </x:c>
    </x:row>
    <x:row r="1939" ht="34" customHeight="1">
      <x:c r="A1939" s="4" t="str">
        <x:v>RS-01938-E1</x:v>
      </x:c>
      <x:c r="B1939" s="4" t="str">
        <x:v>RS-01938</x:v>
      </x:c>
      <x:c r="C1939" s="8" t="n">
        <x:v>45388</x:v>
      </x:c>
      <x:c r="D1939" s="4" t="str">
        <x:v>Sales operations manager</x:v>
      </x:c>
      <x:c r="E1939" s="4" t="str">
        <x:v>ERP form</x:v>
      </x:c>
      <x:c r="F1939" s="4" t="str">
        <x:v>Record captured</x:v>
      </x:c>
      <x:c r="G1939" s="4" t="str">
        <x:v>Reserved</x:v>
      </x:c>
    </x:row>
    <x:row r="1940" ht="34" customHeight="1">
      <x:c r="A1940" s="4" t="str">
        <x:v>RS-01939-E1</x:v>
      </x:c>
      <x:c r="B1940" s="4" t="str">
        <x:v>RS-01939</x:v>
      </x:c>
      <x:c r="C1940" s="8" t="n">
        <x:v>45389</x:v>
      </x:c>
      <x:c r="D1940" s="4" t="str">
        <x:v>Sales operations manager</x:v>
      </x:c>
      <x:c r="E1940" s="4" t="str">
        <x:v>WhatsApp transcribed</x:v>
      </x:c>
      <x:c r="F1940" s="4" t="str">
        <x:v>Record captured</x:v>
      </x:c>
      <x:c r="G1940" s="4" t="str">
        <x:v>Booked</x:v>
      </x:c>
    </x:row>
    <x:row r="1941" ht="34" customHeight="1">
      <x:c r="A1941" s="4" t="str">
        <x:v>RS-01940-E1</x:v>
      </x:c>
      <x:c r="B1941" s="4" t="str">
        <x:v>RS-01940</x:v>
      </x:c>
      <x:c r="C1941" s="8" t="n">
        <x:v>45390</x:v>
      </x:c>
      <x:c r="D1941" s="4" t="str">
        <x:v>Sales operations manager</x:v>
      </x:c>
      <x:c r="E1941" s="4" t="str">
        <x:v>WhatsApp transcribed</x:v>
      </x:c>
      <x:c r="F1941" s="4" t="str">
        <x:v>Record captured</x:v>
      </x:c>
      <x:c r="G1941" s="4" t="str">
        <x:v>Agreement signed</x:v>
      </x:c>
    </x:row>
    <x:row r="1942" ht="34" customHeight="1">
      <x:c r="A1942" s="4" t="str">
        <x:v>RS-01941-E1</x:v>
      </x:c>
      <x:c r="B1942" s="4" t="str">
        <x:v>RS-01941</x:v>
      </x:c>
      <x:c r="C1942" s="8" t="n">
        <x:v>45391</x:v>
      </x:c>
      <x:c r="D1942" s="4" t="str">
        <x:v>Sales operations manager</x:v>
      </x:c>
      <x:c r="E1942" s="4" t="str">
        <x:v>Paper transcribed</x:v>
      </x:c>
      <x:c r="F1942" s="4" t="str">
        <x:v>Record captured</x:v>
      </x:c>
      <x:c r="G1942" s="4" t="str">
        <x:v>Agreement signed</x:v>
      </x:c>
    </x:row>
    <x:row r="1943" ht="34" customHeight="1">
      <x:c r="A1943" s="4" t="str">
        <x:v>RS-01942-E1</x:v>
      </x:c>
      <x:c r="B1943" s="4" t="str">
        <x:v>RS-01942</x:v>
      </x:c>
      <x:c r="C1943" s="8" t="n">
        <x:v>45392</x:v>
      </x:c>
      <x:c r="D1943" s="4" t="str">
        <x:v>Sales operations manager</x:v>
      </x:c>
      <x:c r="E1943" s="4" t="str">
        <x:v>Spreadsheet import</x:v>
      </x:c>
      <x:c r="F1943" s="4" t="str">
        <x:v>Record captured</x:v>
      </x:c>
      <x:c r="G1943" s="4" t="str">
        <x:v>Cancelled</x:v>
      </x:c>
    </x:row>
    <x:row r="1944" ht="34" customHeight="1">
      <x:c r="A1944" s="4" t="str">
        <x:v>RS-01943-E1</x:v>
      </x:c>
      <x:c r="B1944" s="4" t="str">
        <x:v>RS-01943</x:v>
      </x:c>
      <x:c r="C1944" s="8" t="n">
        <x:v>45393</x:v>
      </x:c>
      <x:c r="D1944" s="4" t="str">
        <x:v>Sales operations manager</x:v>
      </x:c>
      <x:c r="E1944" s="4" t="str">
        <x:v>Spreadsheet import</x:v>
      </x:c>
      <x:c r="F1944" s="4" t="str">
        <x:v>Record captured</x:v>
      </x:c>
      <x:c r="G1944" s="4" t="str">
        <x:v>Cancelled</x:v>
      </x:c>
    </x:row>
    <x:row r="1945" ht="34" customHeight="1">
      <x:c r="A1945" s="4" t="str">
        <x:v>RS-01944-E1</x:v>
      </x:c>
      <x:c r="B1945" s="4" t="str">
        <x:v>RS-01944</x:v>
      </x:c>
      <x:c r="C1945" s="8" t="n">
        <x:v>45394</x:v>
      </x:c>
      <x:c r="D1945" s="4" t="str">
        <x:v>Sales operations manager</x:v>
      </x:c>
      <x:c r="E1945" s="4" t="str">
        <x:v>ERP form</x:v>
      </x:c>
      <x:c r="F1945" s="4" t="str">
        <x:v>Record captured</x:v>
      </x:c>
      <x:c r="G1945" s="4" t="str">
        <x:v>Handed over</x:v>
      </x:c>
    </x:row>
    <x:row r="1946" ht="34" customHeight="1">
      <x:c r="A1946" s="4" t="str">
        <x:v>RS-01945-E1</x:v>
      </x:c>
      <x:c r="B1946" s="4" t="str">
        <x:v>RS-01945</x:v>
      </x:c>
      <x:c r="C1946" s="8" t="n">
        <x:v>45395</x:v>
      </x:c>
      <x:c r="D1946" s="4" t="str">
        <x:v>Sales operations manager</x:v>
      </x:c>
      <x:c r="E1946" s="4" t="str">
        <x:v>WhatsApp transcribed</x:v>
      </x:c>
      <x:c r="F1946" s="4" t="str">
        <x:v>Record captured</x:v>
      </x:c>
      <x:c r="G1946" s="4" t="str">
        <x:v>Handed over</x:v>
      </x:c>
    </x:row>
    <x:row r="1947" ht="34" customHeight="1">
      <x:c r="A1947" s="4" t="str">
        <x:v>RS-01946-E1</x:v>
      </x:c>
      <x:c r="B1947" s="4" t="str">
        <x:v>RS-01946</x:v>
      </x:c>
      <x:c r="C1947" s="8" t="n">
        <x:v>45396</x:v>
      </x:c>
      <x:c r="D1947" s="4" t="str">
        <x:v>Sales operations manager</x:v>
      </x:c>
      <x:c r="E1947" s="4" t="str">
        <x:v>ERP form</x:v>
      </x:c>
      <x:c r="F1947" s="4" t="str">
        <x:v>Record captured</x:v>
      </x:c>
      <x:c r="G1947" s="4" t="str">
        <x:v>Enquiry</x:v>
      </x:c>
    </x:row>
    <x:row r="1948" ht="34" customHeight="1">
      <x:c r="A1948" s="4" t="str">
        <x:v>RS-01947-E1</x:v>
      </x:c>
      <x:c r="B1948" s="4" t="str">
        <x:v>RS-01947</x:v>
      </x:c>
      <x:c r="C1948" s="8" t="n">
        <x:v>45397</x:v>
      </x:c>
      <x:c r="D1948" s="4" t="str">
        <x:v>Sales operations manager</x:v>
      </x:c>
      <x:c r="E1948" s="4" t="str">
        <x:v>WhatsApp transcribed</x:v>
      </x:c>
      <x:c r="F1948" s="4" t="str">
        <x:v>Record captured</x:v>
      </x:c>
      <x:c r="G1948" s="4" t="str">
        <x:v>Handed over</x:v>
      </x:c>
    </x:row>
    <x:row r="1949" ht="34" customHeight="1">
      <x:c r="A1949" s="4" t="str">
        <x:v>RS-01948-E1</x:v>
      </x:c>
      <x:c r="B1949" s="4" t="str">
        <x:v>RS-01948</x:v>
      </x:c>
      <x:c r="C1949" s="8" t="n">
        <x:v>45398</x:v>
      </x:c>
      <x:c r="D1949" s="4" t="str">
        <x:v>Sales operations manager</x:v>
      </x:c>
      <x:c r="E1949" s="4" t="str">
        <x:v>WhatsApp transcribed</x:v>
      </x:c>
      <x:c r="F1949" s="4" t="str">
        <x:v>Record captured</x:v>
      </x:c>
      <x:c r="G1949" s="4" t="str">
        <x:v>Cancelled</x:v>
      </x:c>
    </x:row>
    <x:row r="1950" ht="34" customHeight="1">
      <x:c r="A1950" s="4" t="str">
        <x:v>RS-01949-E1</x:v>
      </x:c>
      <x:c r="B1950" s="4" t="str">
        <x:v>RS-01949</x:v>
      </x:c>
      <x:c r="C1950" s="8" t="n">
        <x:v>45399</x:v>
      </x:c>
      <x:c r="D1950" s="4" t="str">
        <x:v>Sales operations manager</x:v>
      </x:c>
      <x:c r="E1950" s="4" t="str">
        <x:v>ERP form</x:v>
      </x:c>
      <x:c r="F1950" s="4" t="str">
        <x:v>Record captured</x:v>
      </x:c>
      <x:c r="G1950" s="4" t="str">
        <x:v>Enquiry</x:v>
      </x:c>
    </x:row>
    <x:row r="1951" ht="34" customHeight="1">
      <x:c r="A1951" s="4" t="str">
        <x:v>RS-01950-E1</x:v>
      </x:c>
      <x:c r="B1951" s="4" t="str">
        <x:v>RS-01950</x:v>
      </x:c>
      <x:c r="C1951" s="8" t="n">
        <x:v>45400</x:v>
      </x:c>
      <x:c r="D1951" s="4" t="str">
        <x:v>Sales operations manager</x:v>
      </x:c>
      <x:c r="E1951" s="4" t="str">
        <x:v>Spreadsheet import</x:v>
      </x:c>
      <x:c r="F1951" s="4" t="str">
        <x:v>Record captured</x:v>
      </x:c>
      <x:c r="G1951" s="4" t="str">
        <x:v>Handed over</x:v>
      </x:c>
    </x:row>
    <x:row r="1952" ht="34" customHeight="1">
      <x:c r="A1952" s="4" t="str">
        <x:v>RS-01951-E1</x:v>
      </x:c>
      <x:c r="B1952" s="4" t="str">
        <x:v>RS-01951</x:v>
      </x:c>
      <x:c r="C1952" s="8" t="n">
        <x:v>45401</x:v>
      </x:c>
      <x:c r="D1952" s="4" t="str">
        <x:v>Sales operations manager</x:v>
      </x:c>
      <x:c r="E1952" s="4" t="str">
        <x:v>Paper transcribed</x:v>
      </x:c>
      <x:c r="F1952" s="4" t="str">
        <x:v>Record captured</x:v>
      </x:c>
      <x:c r="G1952" s="4" t="str">
        <x:v>Cancelled</x:v>
      </x:c>
    </x:row>
    <x:row r="1953" ht="34" customHeight="1">
      <x:c r="A1953" s="4" t="str">
        <x:v>RS-01952-E1</x:v>
      </x:c>
      <x:c r="B1953" s="4" t="str">
        <x:v>RS-01952</x:v>
      </x:c>
      <x:c r="C1953" s="8" t="n">
        <x:v>45402</x:v>
      </x:c>
      <x:c r="D1953" s="4" t="str">
        <x:v>Sales operations manager</x:v>
      </x:c>
      <x:c r="E1953" s="4" t="str">
        <x:v>ERP form</x:v>
      </x:c>
      <x:c r="F1953" s="4" t="str">
        <x:v>Record captured</x:v>
      </x:c>
      <x:c r="G1953" s="4" t="str">
        <x:v>Booked</x:v>
      </x:c>
    </x:row>
    <x:row r="1954" ht="34" customHeight="1">
      <x:c r="A1954" s="4" t="str">
        <x:v>RS-01953-E1</x:v>
      </x:c>
      <x:c r="B1954" s="4" t="str">
        <x:v>RS-01953</x:v>
      </x:c>
      <x:c r="C1954" s="8" t="n">
        <x:v>45403</x:v>
      </x:c>
      <x:c r="D1954" s="4" t="str">
        <x:v>Sales operations manager</x:v>
      </x:c>
      <x:c r="E1954" s="4" t="str">
        <x:v>Paper transcribed</x:v>
      </x:c>
      <x:c r="F1954" s="4" t="str">
        <x:v>Record captured</x:v>
      </x:c>
      <x:c r="G1954" s="4" t="str">
        <x:v>Enquiry</x:v>
      </x:c>
    </x:row>
    <x:row r="1955" ht="34" customHeight="1">
      <x:c r="A1955" s="4" t="str">
        <x:v>RS-01954-E1</x:v>
      </x:c>
      <x:c r="B1955" s="4" t="str">
        <x:v>RS-01954</x:v>
      </x:c>
      <x:c r="C1955" s="8" t="n">
        <x:v>45404</x:v>
      </x:c>
      <x:c r="D1955" s="4" t="str">
        <x:v>Sales operations manager</x:v>
      </x:c>
      <x:c r="E1955" s="4" t="str">
        <x:v>ERP form</x:v>
      </x:c>
      <x:c r="F1955" s="4" t="str">
        <x:v>Record captured</x:v>
      </x:c>
      <x:c r="G1955" s="4" t="str">
        <x:v>Handed over</x:v>
      </x:c>
    </x:row>
    <x:row r="1956" ht="34" customHeight="1">
      <x:c r="A1956" s="4" t="str">
        <x:v>RS-01955-E1</x:v>
      </x:c>
      <x:c r="B1956" s="4" t="str">
        <x:v>RS-01955</x:v>
      </x:c>
      <x:c r="C1956" s="8" t="n">
        <x:v>45405</x:v>
      </x:c>
      <x:c r="D1956" s="4" t="str">
        <x:v>Sales operations manager</x:v>
      </x:c>
      <x:c r="E1956" s="4" t="str">
        <x:v>ERP form</x:v>
      </x:c>
      <x:c r="F1956" s="4" t="str">
        <x:v>Record captured</x:v>
      </x:c>
      <x:c r="G1956" s="4" t="str">
        <x:v>Cancelled</x:v>
      </x:c>
    </x:row>
    <x:row r="1957" ht="34" customHeight="1">
      <x:c r="A1957" s="4" t="str">
        <x:v>RS-01956-E1</x:v>
      </x:c>
      <x:c r="B1957" s="4" t="str">
        <x:v>RS-01956</x:v>
      </x:c>
      <x:c r="C1957" s="8" t="n">
        <x:v>45406</x:v>
      </x:c>
      <x:c r="D1957" s="4" t="str">
        <x:v>Sales operations manager</x:v>
      </x:c>
      <x:c r="E1957" s="4" t="str">
        <x:v>Spreadsheet import</x:v>
      </x:c>
      <x:c r="F1957" s="4" t="str">
        <x:v>Record captured</x:v>
      </x:c>
      <x:c r="G1957" s="4" t="str">
        <x:v>Cancelled</x:v>
      </x:c>
    </x:row>
    <x:row r="1958" ht="34" customHeight="1">
      <x:c r="A1958" s="4" t="str">
        <x:v>RS-01957-E1</x:v>
      </x:c>
      <x:c r="B1958" s="4" t="str">
        <x:v>RS-01957</x:v>
      </x:c>
      <x:c r="C1958" s="8" t="n">
        <x:v>45407</x:v>
      </x:c>
      <x:c r="D1958" s="4" t="str">
        <x:v>Sales operations manager</x:v>
      </x:c>
      <x:c r="E1958" s="4" t="str">
        <x:v>ERP form</x:v>
      </x:c>
      <x:c r="F1958" s="4" t="str">
        <x:v>Record captured</x:v>
      </x:c>
      <x:c r="G1958" s="4" t="str">
        <x:v>Booked</x:v>
      </x:c>
    </x:row>
    <x:row r="1959" ht="34" customHeight="1">
      <x:c r="A1959" s="4" t="str">
        <x:v>RS-01958-E1</x:v>
      </x:c>
      <x:c r="B1959" s="4" t="str">
        <x:v>RS-01958</x:v>
      </x:c>
      <x:c r="C1959" s="8" t="n">
        <x:v>45408</x:v>
      </x:c>
      <x:c r="D1959" s="4" t="str">
        <x:v>Sales operations manager</x:v>
      </x:c>
      <x:c r="E1959" s="4" t="str">
        <x:v>Paper transcribed</x:v>
      </x:c>
      <x:c r="F1959" s="4" t="str">
        <x:v>Record captured</x:v>
      </x:c>
      <x:c r="G1959" s="4" t="str">
        <x:v>Handed over</x:v>
      </x:c>
    </x:row>
    <x:row r="1960" ht="34" customHeight="1">
      <x:c r="A1960" s="4" t="str">
        <x:v>RS-01959-E1</x:v>
      </x:c>
      <x:c r="B1960" s="4" t="str">
        <x:v>RS-01959</x:v>
      </x:c>
      <x:c r="C1960" s="8" t="n">
        <x:v>45409</x:v>
      </x:c>
      <x:c r="D1960" s="4" t="str">
        <x:v>Sales operations manager</x:v>
      </x:c>
      <x:c r="E1960" s="4" t="str">
        <x:v>ERP form</x:v>
      </x:c>
      <x:c r="F1960" s="4" t="str">
        <x:v>Record captured</x:v>
      </x:c>
      <x:c r="G1960" s="4" t="str">
        <x:v>Booked</x:v>
      </x:c>
    </x:row>
    <x:row r="1961" ht="34" customHeight="1">
      <x:c r="A1961" s="4" t="str">
        <x:v>RS-01960-E1</x:v>
      </x:c>
      <x:c r="B1961" s="4" t="str">
        <x:v>RS-01960</x:v>
      </x:c>
      <x:c r="C1961" s="8" t="n">
        <x:v>45410</x:v>
      </x:c>
      <x:c r="D1961" s="4" t="str">
        <x:v>Sales operations manager</x:v>
      </x:c>
      <x:c r="E1961" s="4" t="str">
        <x:v>ERP form</x:v>
      </x:c>
      <x:c r="F1961" s="4" t="str">
        <x:v>Record captured</x:v>
      </x:c>
      <x:c r="G1961" s="4" t="str">
        <x:v>Booked</x:v>
      </x:c>
    </x:row>
    <x:row r="1962" ht="34" customHeight="1">
      <x:c r="A1962" s="4" t="str">
        <x:v>RS-01961-E1</x:v>
      </x:c>
      <x:c r="B1962" s="4" t="str">
        <x:v>RS-01961</x:v>
      </x:c>
      <x:c r="C1962" s="8" t="n">
        <x:v>45383</x:v>
      </x:c>
      <x:c r="D1962" s="4" t="str">
        <x:v>Sales operations manager</x:v>
      </x:c>
      <x:c r="E1962" s="4" t="str">
        <x:v>Paper transcribed</x:v>
      </x:c>
      <x:c r="F1962" s="4" t="str">
        <x:v>Record captured</x:v>
      </x:c>
      <x:c r="G1962" s="4" t="str">
        <x:v>Booked</x:v>
      </x:c>
    </x:row>
    <x:row r="1963" ht="34" customHeight="1">
      <x:c r="A1963" s="4" t="str">
        <x:v>RS-01962-E1</x:v>
      </x:c>
      <x:c r="B1963" s="4" t="str">
        <x:v>RS-01962</x:v>
      </x:c>
      <x:c r="C1963" s="8" t="n">
        <x:v>45384</x:v>
      </x:c>
      <x:c r="D1963" s="4" t="str">
        <x:v>Sales operations manager</x:v>
      </x:c>
      <x:c r="E1963" s="4" t="str">
        <x:v>ERP form</x:v>
      </x:c>
      <x:c r="F1963" s="4" t="str">
        <x:v>Record captured</x:v>
      </x:c>
      <x:c r="G1963" s="4" t="str">
        <x:v>Reserved</x:v>
      </x:c>
    </x:row>
    <x:row r="1964" ht="34" customHeight="1">
      <x:c r="A1964" s="4" t="str">
        <x:v>RS-01963-E1</x:v>
      </x:c>
      <x:c r="B1964" s="4" t="str">
        <x:v>RS-01963</x:v>
      </x:c>
      <x:c r="C1964" s="8" t="n">
        <x:v>45385</x:v>
      </x:c>
      <x:c r="D1964" s="4" t="str">
        <x:v>Sales operations manager</x:v>
      </x:c>
      <x:c r="E1964" s="4" t="str">
        <x:v>WhatsApp transcribed</x:v>
      </x:c>
      <x:c r="F1964" s="4" t="str">
        <x:v>Record captured</x:v>
      </x:c>
      <x:c r="G1964" s="4" t="str">
        <x:v>Booked</x:v>
      </x:c>
    </x:row>
    <x:row r="1965" ht="34" customHeight="1">
      <x:c r="A1965" s="4" t="str">
        <x:v>RS-01964-E1</x:v>
      </x:c>
      <x:c r="B1965" s="4" t="str">
        <x:v>RS-01964</x:v>
      </x:c>
      <x:c r="C1965" s="8" t="n">
        <x:v>45386</x:v>
      </x:c>
      <x:c r="D1965" s="4" t="str">
        <x:v>Sales operations manager</x:v>
      </x:c>
      <x:c r="E1965" s="4" t="str">
        <x:v>WhatsApp transcribed</x:v>
      </x:c>
      <x:c r="F1965" s="4" t="str">
        <x:v>Record captured</x:v>
      </x:c>
      <x:c r="G1965" s="4" t="str">
        <x:v>Enquiry</x:v>
      </x:c>
    </x:row>
    <x:row r="1966" ht="34" customHeight="1">
      <x:c r="A1966" s="4" t="str">
        <x:v>RS-01965-E1</x:v>
      </x:c>
      <x:c r="B1966" s="4" t="str">
        <x:v>RS-01965</x:v>
      </x:c>
      <x:c r="C1966" s="8" t="n">
        <x:v>45387</x:v>
      </x:c>
      <x:c r="D1966" s="4" t="str">
        <x:v>Sales operations manager</x:v>
      </x:c>
      <x:c r="E1966" s="4" t="str">
        <x:v>WhatsApp transcribed</x:v>
      </x:c>
      <x:c r="F1966" s="4" t="str">
        <x:v>Record captured</x:v>
      </x:c>
      <x:c r="G1966" s="4" t="str">
        <x:v>Handed over</x:v>
      </x:c>
    </x:row>
    <x:row r="1967" ht="34" customHeight="1">
      <x:c r="A1967" s="4" t="str">
        <x:v>RS-01966-E1</x:v>
      </x:c>
      <x:c r="B1967" s="4" t="str">
        <x:v>RS-01966</x:v>
      </x:c>
      <x:c r="C1967" s="8" t="n">
        <x:v>45388</x:v>
      </x:c>
      <x:c r="D1967" s="4" t="str">
        <x:v>Sales operations manager</x:v>
      </x:c>
      <x:c r="E1967" s="4" t="str">
        <x:v>ERP form</x:v>
      </x:c>
      <x:c r="F1967" s="4" t="str">
        <x:v>Record captured</x:v>
      </x:c>
      <x:c r="G1967" s="4" t="str">
        <x:v>Handed over</x:v>
      </x:c>
    </x:row>
    <x:row r="1968" ht="34" customHeight="1">
      <x:c r="A1968" s="4" t="str">
        <x:v>RS-01967-E1</x:v>
      </x:c>
      <x:c r="B1968" s="4" t="str">
        <x:v>RS-01967</x:v>
      </x:c>
      <x:c r="C1968" s="8" t="n">
        <x:v>45389</x:v>
      </x:c>
      <x:c r="D1968" s="4" t="str">
        <x:v>Sales operations manager</x:v>
      </x:c>
      <x:c r="E1968" s="4" t="str">
        <x:v>Paper transcribed</x:v>
      </x:c>
      <x:c r="F1968" s="4" t="str">
        <x:v>Record captured</x:v>
      </x:c>
      <x:c r="G1968" s="4" t="str">
        <x:v>Reserved</x:v>
      </x:c>
    </x:row>
    <x:row r="1969" ht="34" customHeight="1">
      <x:c r="A1969" s="4" t="str">
        <x:v>RS-01968-E1</x:v>
      </x:c>
      <x:c r="B1969" s="4" t="str">
        <x:v>RS-01968</x:v>
      </x:c>
      <x:c r="C1969" s="8" t="n">
        <x:v>45390</x:v>
      </x:c>
      <x:c r="D1969" s="4" t="str">
        <x:v>Sales operations manager</x:v>
      </x:c>
      <x:c r="E1969" s="4" t="str">
        <x:v>Paper transcribed</x:v>
      </x:c>
      <x:c r="F1969" s="4" t="str">
        <x:v>Record captured</x:v>
      </x:c>
      <x:c r="G1969" s="4" t="str">
        <x:v>Handed over</x:v>
      </x:c>
    </x:row>
    <x:row r="1970" ht="34" customHeight="1">
      <x:c r="A1970" s="4" t="str">
        <x:v>RS-01969-E1</x:v>
      </x:c>
      <x:c r="B1970" s="4" t="str">
        <x:v>RS-01969</x:v>
      </x:c>
      <x:c r="C1970" s="8" t="n">
        <x:v>45391</x:v>
      </x:c>
      <x:c r="D1970" s="4" t="str">
        <x:v>Sales operations manager</x:v>
      </x:c>
      <x:c r="E1970" s="4" t="str">
        <x:v>ERP form</x:v>
      </x:c>
      <x:c r="F1970" s="4" t="str">
        <x:v>Record captured</x:v>
      </x:c>
      <x:c r="G1970" s="4" t="str">
        <x:v>Handed over</x:v>
      </x:c>
    </x:row>
    <x:row r="1971" ht="34" customHeight="1">
      <x:c r="A1971" s="4" t="str">
        <x:v>RS-01970-E1</x:v>
      </x:c>
      <x:c r="B1971" s="4" t="str">
        <x:v>RS-01970</x:v>
      </x:c>
      <x:c r="C1971" s="8" t="n">
        <x:v>45392</x:v>
      </x:c>
      <x:c r="D1971" s="4" t="str">
        <x:v>Sales operations manager</x:v>
      </x:c>
      <x:c r="E1971" s="4" t="str">
        <x:v>ERP form</x:v>
      </x:c>
      <x:c r="F1971" s="4" t="str">
        <x:v>Record captured</x:v>
      </x:c>
      <x:c r="G1971" s="4" t="str">
        <x:v>Reserved</x:v>
      </x:c>
    </x:row>
    <x:row r="1972" ht="34" customHeight="1">
      <x:c r="A1972" s="4" t="str">
        <x:v>RS-01971-E1</x:v>
      </x:c>
      <x:c r="B1972" s="4" t="str">
        <x:v>RS-01971</x:v>
      </x:c>
      <x:c r="C1972" s="8" t="n">
        <x:v>45393</x:v>
      </x:c>
      <x:c r="D1972" s="4" t="str">
        <x:v>Sales operations manager</x:v>
      </x:c>
      <x:c r="E1972" s="4" t="str">
        <x:v>WhatsApp transcribed</x:v>
      </x:c>
      <x:c r="F1972" s="4" t="str">
        <x:v>Record captured</x:v>
      </x:c>
      <x:c r="G1972" s="4" t="str">
        <x:v>Cancelled</x:v>
      </x:c>
    </x:row>
    <x:row r="1973" ht="34" customHeight="1">
      <x:c r="A1973" s="4" t="str">
        <x:v>RS-01972-E1</x:v>
      </x:c>
      <x:c r="B1973" s="4" t="str">
        <x:v>RS-01972</x:v>
      </x:c>
      <x:c r="C1973" s="8" t="n">
        <x:v>45394</x:v>
      </x:c>
      <x:c r="D1973" s="4" t="str">
        <x:v>Sales operations manager</x:v>
      </x:c>
      <x:c r="E1973" s="4" t="str">
        <x:v>Paper transcribed</x:v>
      </x:c>
      <x:c r="F1973" s="4" t="str">
        <x:v>Record captured</x:v>
      </x:c>
      <x:c r="G1973" s="4" t="str">
        <x:v>Cancelled</x:v>
      </x:c>
    </x:row>
    <x:row r="1974" ht="34" customHeight="1">
      <x:c r="A1974" s="4" t="str">
        <x:v>RS-01973-E1</x:v>
      </x:c>
      <x:c r="B1974" s="4" t="str">
        <x:v>RS-01973</x:v>
      </x:c>
      <x:c r="C1974" s="8" t="n">
        <x:v>45395</x:v>
      </x:c>
      <x:c r="D1974" s="4" t="str">
        <x:v>Sales operations manager</x:v>
      </x:c>
      <x:c r="E1974" s="4" t="str">
        <x:v>Spreadsheet import</x:v>
      </x:c>
      <x:c r="F1974" s="4" t="str">
        <x:v>Record captured</x:v>
      </x:c>
      <x:c r="G1974" s="4" t="str">
        <x:v>Agreement signed</x:v>
      </x:c>
    </x:row>
    <x:row r="1975" ht="34" customHeight="1">
      <x:c r="A1975" s="4" t="str">
        <x:v>RS-01974-E1</x:v>
      </x:c>
      <x:c r="B1975" s="4" t="str">
        <x:v>RS-01974</x:v>
      </x:c>
      <x:c r="C1975" s="8" t="n">
        <x:v>45396</x:v>
      </x:c>
      <x:c r="D1975" s="4" t="str">
        <x:v>Sales operations manager</x:v>
      </x:c>
      <x:c r="E1975" s="4" t="str">
        <x:v>Spreadsheet import</x:v>
      </x:c>
      <x:c r="F1975" s="4" t="str">
        <x:v>Record captured</x:v>
      </x:c>
      <x:c r="G1975" s="4" t="str">
        <x:v>Cancelled</x:v>
      </x:c>
    </x:row>
    <x:row r="1976" ht="34" customHeight="1">
      <x:c r="A1976" s="4" t="str">
        <x:v>RS-01975-E1</x:v>
      </x:c>
      <x:c r="B1976" s="4" t="str">
        <x:v>RS-01975</x:v>
      </x:c>
      <x:c r="C1976" s="8" t="n">
        <x:v>45397</x:v>
      </x:c>
      <x:c r="D1976" s="4" t="str">
        <x:v>Sales operations manager</x:v>
      </x:c>
      <x:c r="E1976" s="4" t="str">
        <x:v>ERP form</x:v>
      </x:c>
      <x:c r="F1976" s="4" t="str">
        <x:v>Record captured</x:v>
      </x:c>
      <x:c r="G1976" s="4" t="str">
        <x:v>Enquiry</x:v>
      </x:c>
    </x:row>
    <x:row r="1977" ht="34" customHeight="1">
      <x:c r="A1977" s="4" t="str">
        <x:v>RS-01976-E1</x:v>
      </x:c>
      <x:c r="B1977" s="4" t="str">
        <x:v>RS-01976</x:v>
      </x:c>
      <x:c r="C1977" s="8" t="n">
        <x:v>45398</x:v>
      </x:c>
      <x:c r="D1977" s="4" t="str">
        <x:v>Sales operations manager</x:v>
      </x:c>
      <x:c r="E1977" s="4" t="str">
        <x:v>Paper transcribed</x:v>
      </x:c>
      <x:c r="F1977" s="4" t="str">
        <x:v>Record captured</x:v>
      </x:c>
      <x:c r="G1977" s="4" t="str">
        <x:v>Handed over</x:v>
      </x:c>
    </x:row>
    <x:row r="1978" ht="34" customHeight="1">
      <x:c r="A1978" s="4" t="str">
        <x:v>RS-01977-E1</x:v>
      </x:c>
      <x:c r="B1978" s="4" t="str">
        <x:v>RS-01977</x:v>
      </x:c>
      <x:c r="C1978" s="8" t="n">
        <x:v>45399</x:v>
      </x:c>
      <x:c r="D1978" s="4" t="str">
        <x:v>Sales operations manager</x:v>
      </x:c>
      <x:c r="E1978" s="4" t="str">
        <x:v>ERP form</x:v>
      </x:c>
      <x:c r="F1978" s="4" t="str">
        <x:v>Record captured</x:v>
      </x:c>
      <x:c r="G1978" s="4" t="str">
        <x:v>Handed over</x:v>
      </x:c>
    </x:row>
    <x:row r="1979" ht="34" customHeight="1">
      <x:c r="A1979" s="4" t="str">
        <x:v>RS-01978-E1</x:v>
      </x:c>
      <x:c r="B1979" s="4" t="str">
        <x:v>RS-01978</x:v>
      </x:c>
      <x:c r="C1979" s="8" t="n">
        <x:v>45400</x:v>
      </x:c>
      <x:c r="D1979" s="4" t="str">
        <x:v>Sales operations manager</x:v>
      </x:c>
      <x:c r="E1979" s="4" t="str">
        <x:v>ERP form</x:v>
      </x:c>
      <x:c r="F1979" s="4" t="str">
        <x:v>Record captured</x:v>
      </x:c>
      <x:c r="G1979" s="4" t="str">
        <x:v>Reserved</x:v>
      </x:c>
    </x:row>
    <x:row r="1980" ht="34" customHeight="1">
      <x:c r="A1980" s="4" t="str">
        <x:v>RS-01979-E1</x:v>
      </x:c>
      <x:c r="B1980" s="4" t="str">
        <x:v>RS-01979</x:v>
      </x:c>
      <x:c r="C1980" s="8" t="n">
        <x:v>45401</x:v>
      </x:c>
      <x:c r="D1980" s="4" t="str">
        <x:v>Sales operations manager</x:v>
      </x:c>
      <x:c r="E1980" s="4" t="str">
        <x:v>Paper transcribed</x:v>
      </x:c>
      <x:c r="F1980" s="4" t="str">
        <x:v>Record captured</x:v>
      </x:c>
      <x:c r="G1980" s="4" t="str">
        <x:v>Handed over</x:v>
      </x:c>
    </x:row>
    <x:row r="1981" ht="34" customHeight="1">
      <x:c r="A1981" s="4" t="str">
        <x:v>RS-01980-E1</x:v>
      </x:c>
      <x:c r="B1981" s="4" t="str">
        <x:v>RS-01980</x:v>
      </x:c>
      <x:c r="C1981" s="8" t="n">
        <x:v>45402</x:v>
      </x:c>
      <x:c r="D1981" s="4" t="str">
        <x:v>Sales operations manager</x:v>
      </x:c>
      <x:c r="E1981" s="4" t="str">
        <x:v>Spreadsheet import</x:v>
      </x:c>
      <x:c r="F1981" s="4" t="str">
        <x:v>Record captured</x:v>
      </x:c>
      <x:c r="G1981" s="4" t="str">
        <x:v>Enquiry</x:v>
      </x:c>
    </x:row>
    <x:row r="1982" ht="34" customHeight="1">
      <x:c r="A1982" s="4" t="str">
        <x:v>RS-01981-E1</x:v>
      </x:c>
      <x:c r="B1982" s="4" t="str">
        <x:v>RS-01981</x:v>
      </x:c>
      <x:c r="C1982" s="8" t="n">
        <x:v>45403</x:v>
      </x:c>
      <x:c r="D1982" s="4" t="str">
        <x:v>Sales operations manager</x:v>
      </x:c>
      <x:c r="E1982" s="4" t="str">
        <x:v>ERP form</x:v>
      </x:c>
      <x:c r="F1982" s="4" t="str">
        <x:v>Record captured</x:v>
      </x:c>
      <x:c r="G1982" s="4" t="str">
        <x:v>Handed over</x:v>
      </x:c>
    </x:row>
    <x:row r="1983" ht="34" customHeight="1">
      <x:c r="A1983" s="4" t="str">
        <x:v>RS-01982-E1</x:v>
      </x:c>
      <x:c r="B1983" s="4" t="str">
        <x:v>RS-01982</x:v>
      </x:c>
      <x:c r="C1983" s="8" t="n">
        <x:v>45404</x:v>
      </x:c>
      <x:c r="D1983" s="4" t="str">
        <x:v>Sales operations manager</x:v>
      </x:c>
      <x:c r="E1983" s="4" t="str">
        <x:v>Spreadsheet import</x:v>
      </x:c>
      <x:c r="F1983" s="4" t="str">
        <x:v>Record captured</x:v>
      </x:c>
      <x:c r="G1983" s="4" t="str">
        <x:v>Cancelled</x:v>
      </x:c>
    </x:row>
    <x:row r="1984" ht="34" customHeight="1">
      <x:c r="A1984" s="4" t="str">
        <x:v>RS-01983-E1</x:v>
      </x:c>
      <x:c r="B1984" s="4" t="str">
        <x:v>RS-01983</x:v>
      </x:c>
      <x:c r="C1984" s="8" t="n">
        <x:v>45405</x:v>
      </x:c>
      <x:c r="D1984" s="4" t="str">
        <x:v>Sales operations manager</x:v>
      </x:c>
      <x:c r="E1984" s="4" t="str">
        <x:v>WhatsApp transcribed</x:v>
      </x:c>
      <x:c r="F1984" s="4" t="str">
        <x:v>Record captured</x:v>
      </x:c>
      <x:c r="G1984" s="4" t="str">
        <x:v>Handed over</x:v>
      </x:c>
    </x:row>
    <x:row r="1985" ht="34" customHeight="1">
      <x:c r="A1985" s="4" t="str">
        <x:v>RS-01984-E1</x:v>
      </x:c>
      <x:c r="B1985" s="4" t="str">
        <x:v>RS-01984</x:v>
      </x:c>
      <x:c r="C1985" s="8" t="n">
        <x:v>45406</x:v>
      </x:c>
      <x:c r="D1985" s="4" t="str">
        <x:v>Sales operations manager</x:v>
      </x:c>
      <x:c r="E1985" s="4" t="str">
        <x:v>Paper transcribed</x:v>
      </x:c>
      <x:c r="F1985" s="4" t="str">
        <x:v>Record captured</x:v>
      </x:c>
      <x:c r="G1985" s="4" t="str">
        <x:v>Booked</x:v>
      </x:c>
    </x:row>
    <x:row r="1986" ht="34" customHeight="1">
      <x:c r="A1986" s="4" t="str">
        <x:v>RS-01985-E1</x:v>
      </x:c>
      <x:c r="B1986" s="4" t="str">
        <x:v>RS-01985</x:v>
      </x:c>
      <x:c r="C1986" s="8" t="n">
        <x:v>45407</x:v>
      </x:c>
      <x:c r="D1986" s="4" t="str">
        <x:v>Sales operations manager</x:v>
      </x:c>
      <x:c r="E1986" s="4" t="str">
        <x:v>Paper transcribed</x:v>
      </x:c>
      <x:c r="F1986" s="4" t="str">
        <x:v>Record captured</x:v>
      </x:c>
      <x:c r="G1986" s="4" t="str">
        <x:v>Enquiry</x:v>
      </x:c>
    </x:row>
    <x:row r="1987" ht="34" customHeight="1">
      <x:c r="A1987" s="4" t="str">
        <x:v>RS-01986-E1</x:v>
      </x:c>
      <x:c r="B1987" s="4" t="str">
        <x:v>RS-01986</x:v>
      </x:c>
      <x:c r="C1987" s="8" t="n">
        <x:v>45408</x:v>
      </x:c>
      <x:c r="D1987" s="4" t="str">
        <x:v>Sales operations manager</x:v>
      </x:c>
      <x:c r="E1987" s="4" t="str">
        <x:v>ERP form</x:v>
      </x:c>
      <x:c r="F1987" s="4" t="str">
        <x:v>Record captured</x:v>
      </x:c>
      <x:c r="G1987" s="4" t="str">
        <x:v>Reserved</x:v>
      </x:c>
    </x:row>
    <x:row r="1988" ht="34" customHeight="1">
      <x:c r="A1988" s="4" t="str">
        <x:v>RS-01987-E1</x:v>
      </x:c>
      <x:c r="B1988" s="4" t="str">
        <x:v>RS-01987</x:v>
      </x:c>
      <x:c r="C1988" s="8" t="n">
        <x:v>45409</x:v>
      </x:c>
      <x:c r="D1988" s="4" t="str">
        <x:v>Sales operations manager</x:v>
      </x:c>
      <x:c r="E1988" s="4" t="str">
        <x:v>ERP form</x:v>
      </x:c>
      <x:c r="F1988" s="4" t="str">
        <x:v>Record captured</x:v>
      </x:c>
      <x:c r="G1988" s="4" t="str">
        <x:v>Handed over</x:v>
      </x:c>
    </x:row>
    <x:row r="1989" ht="34" customHeight="1">
      <x:c r="A1989" s="4" t="str">
        <x:v>RS-01988-E1</x:v>
      </x:c>
      <x:c r="B1989" s="4" t="str">
        <x:v>RS-01988</x:v>
      </x:c>
      <x:c r="C1989" s="8" t="n">
        <x:v>45410</x:v>
      </x:c>
      <x:c r="D1989" s="4" t="str">
        <x:v>Sales operations manager</x:v>
      </x:c>
      <x:c r="E1989" s="4" t="str">
        <x:v>Spreadsheet import</x:v>
      </x:c>
      <x:c r="F1989" s="4" t="str">
        <x:v>Record captured</x:v>
      </x:c>
      <x:c r="G1989" s="4" t="str">
        <x:v>Cancelled</x:v>
      </x:c>
    </x:row>
    <x:row r="1990" ht="34" customHeight="1">
      <x:c r="A1990" s="4" t="str">
        <x:v>RS-01989-E1</x:v>
      </x:c>
      <x:c r="B1990" s="4" t="str">
        <x:v>RS-01989</x:v>
      </x:c>
      <x:c r="C1990" s="8" t="n">
        <x:v>45383</x:v>
      </x:c>
      <x:c r="D1990" s="4" t="str">
        <x:v>Sales operations manager</x:v>
      </x:c>
      <x:c r="E1990" s="4" t="str">
        <x:v>WhatsApp transcribed</x:v>
      </x:c>
      <x:c r="F1990" s="4" t="str">
        <x:v>Record captured</x:v>
      </x:c>
      <x:c r="G1990" s="4" t="str">
        <x:v>Booked</x:v>
      </x:c>
    </x:row>
    <x:row r="1991" ht="34" customHeight="1">
      <x:c r="A1991" s="4" t="str">
        <x:v>RS-01990-E1</x:v>
      </x:c>
      <x:c r="B1991" s="4" t="str">
        <x:v>RS-01990</x:v>
      </x:c>
      <x:c r="C1991" s="8" t="n">
        <x:v>45384</x:v>
      </x:c>
      <x:c r="D1991" s="4" t="str">
        <x:v>Sales operations manager</x:v>
      </x:c>
      <x:c r="E1991" s="4" t="str">
        <x:v>Paper transcribed</x:v>
      </x:c>
      <x:c r="F1991" s="4" t="str">
        <x:v>Record captured</x:v>
      </x:c>
      <x:c r="G1991" s="4" t="str">
        <x:v>Booked</x:v>
      </x:c>
    </x:row>
    <x:row r="1992" ht="34" customHeight="1">
      <x:c r="A1992" s="4" t="str">
        <x:v>RS-01991-E1</x:v>
      </x:c>
      <x:c r="B1992" s="4" t="str">
        <x:v>RS-01991</x:v>
      </x:c>
      <x:c r="C1992" s="8" t="n">
        <x:v>45385</x:v>
      </x:c>
      <x:c r="D1992" s="4" t="str">
        <x:v>Sales operations manager</x:v>
      </x:c>
      <x:c r="E1992" s="4" t="str">
        <x:v>Paper transcribed</x:v>
      </x:c>
      <x:c r="F1992" s="4" t="str">
        <x:v>Record captured</x:v>
      </x:c>
      <x:c r="G1992" s="4" t="str">
        <x:v>Reserved</x:v>
      </x:c>
    </x:row>
    <x:row r="1993" ht="34" customHeight="1">
      <x:c r="A1993" s="4" t="str">
        <x:v>RS-01992-E1</x:v>
      </x:c>
      <x:c r="B1993" s="4" t="str">
        <x:v>RS-01992</x:v>
      </x:c>
      <x:c r="C1993" s="8" t="n">
        <x:v>45386</x:v>
      </x:c>
      <x:c r="D1993" s="4" t="str">
        <x:v>Sales operations manager</x:v>
      </x:c>
      <x:c r="E1993" s="4" t="str">
        <x:v>Spreadsheet import</x:v>
      </x:c>
      <x:c r="F1993" s="4" t="str">
        <x:v>Record captured</x:v>
      </x:c>
      <x:c r="G1993" s="4" t="str">
        <x:v>Reserved</x:v>
      </x:c>
    </x:row>
    <x:row r="1994" ht="34" customHeight="1">
      <x:c r="A1994" s="4" t="str">
        <x:v>RS-01993-E1</x:v>
      </x:c>
      <x:c r="B1994" s="4" t="str">
        <x:v>RS-01993</x:v>
      </x:c>
      <x:c r="C1994" s="8" t="n">
        <x:v>45387</x:v>
      </x:c>
      <x:c r="D1994" s="4" t="str">
        <x:v>Sales operations manager</x:v>
      </x:c>
      <x:c r="E1994" s="4" t="str">
        <x:v>Paper transcribed</x:v>
      </x:c>
      <x:c r="F1994" s="4" t="str">
        <x:v>Record captured</x:v>
      </x:c>
      <x:c r="G1994" s="4" t="str">
        <x:v>Handed over</x:v>
      </x:c>
    </x:row>
    <x:row r="1995" ht="34" customHeight="1">
      <x:c r="A1995" s="4" t="str">
        <x:v>RS-01994-E1</x:v>
      </x:c>
      <x:c r="B1995" s="4" t="str">
        <x:v>RS-01994</x:v>
      </x:c>
      <x:c r="C1995" s="8" t="n">
        <x:v>45388</x:v>
      </x:c>
      <x:c r="D1995" s="4" t="str">
        <x:v>Sales operations manager</x:v>
      </x:c>
      <x:c r="E1995" s="4" t="str">
        <x:v>WhatsApp transcribed</x:v>
      </x:c>
      <x:c r="F1995" s="4" t="str">
        <x:v>Record captured</x:v>
      </x:c>
      <x:c r="G1995" s="4" t="str">
        <x:v>Enquiry</x:v>
      </x:c>
    </x:row>
    <x:row r="1996" ht="34" customHeight="1">
      <x:c r="A1996" s="4" t="str">
        <x:v>RS-01995-E1</x:v>
      </x:c>
      <x:c r="B1996" s="4" t="str">
        <x:v>RS-01995</x:v>
      </x:c>
      <x:c r="C1996" s="8" t="n">
        <x:v>45389</x:v>
      </x:c>
      <x:c r="D1996" s="4" t="str">
        <x:v>Sales operations manager</x:v>
      </x:c>
      <x:c r="E1996" s="4" t="str">
        <x:v>Spreadsheet import</x:v>
      </x:c>
      <x:c r="F1996" s="4" t="str">
        <x:v>Record captured</x:v>
      </x:c>
      <x:c r="G1996" s="4" t="str">
        <x:v>Handed over</x:v>
      </x:c>
    </x:row>
    <x:row r="1997" ht="34" customHeight="1">
      <x:c r="A1997" s="4" t="str">
        <x:v>RS-01996-E1</x:v>
      </x:c>
      <x:c r="B1997" s="4" t="str">
        <x:v>RS-01996</x:v>
      </x:c>
      <x:c r="C1997" s="8" t="n">
        <x:v>45390</x:v>
      </x:c>
      <x:c r="D1997" s="4" t="str">
        <x:v>Sales operations manager</x:v>
      </x:c>
      <x:c r="E1997" s="4" t="str">
        <x:v>Spreadsheet import</x:v>
      </x:c>
      <x:c r="F1997" s="4" t="str">
        <x:v>Record captured</x:v>
      </x:c>
      <x:c r="G1997" s="4" t="str">
        <x:v>Reserved</x:v>
      </x:c>
    </x:row>
    <x:row r="1998" ht="34" customHeight="1">
      <x:c r="A1998" s="4" t="str">
        <x:v>RS-01997-E1</x:v>
      </x:c>
      <x:c r="B1998" s="4" t="str">
        <x:v>RS-01997</x:v>
      </x:c>
      <x:c r="C1998" s="8" t="n">
        <x:v>45391</x:v>
      </x:c>
      <x:c r="D1998" s="4" t="str">
        <x:v>Sales operations manager</x:v>
      </x:c>
      <x:c r="E1998" s="4" t="str">
        <x:v>Spreadsheet import</x:v>
      </x:c>
      <x:c r="F1998" s="4" t="str">
        <x:v>Record captured</x:v>
      </x:c>
      <x:c r="G1998" s="4" t="str">
        <x:v>Enquiry</x:v>
      </x:c>
    </x:row>
    <x:row r="1999" ht="34" customHeight="1">
      <x:c r="A1999" s="4" t="str">
        <x:v>RS-01998-E1</x:v>
      </x:c>
      <x:c r="B1999" s="4" t="str">
        <x:v>RS-01998</x:v>
      </x:c>
      <x:c r="C1999" s="8" t="n">
        <x:v>45392</x:v>
      </x:c>
      <x:c r="D1999" s="4" t="str">
        <x:v>Sales operations manager</x:v>
      </x:c>
      <x:c r="E1999" s="4" t="str">
        <x:v>Paper transcribed</x:v>
      </x:c>
      <x:c r="F1999" s="4" t="str">
        <x:v>Record captured</x:v>
      </x:c>
      <x:c r="G1999" s="4" t="str">
        <x:v>Agreement signed</x:v>
      </x:c>
    </x:row>
    <x:row r="2000" ht="34" customHeight="1">
      <x:c r="A2000" s="4" t="str">
        <x:v>RS-01999-E1</x:v>
      </x:c>
      <x:c r="B2000" s="4" t="str">
        <x:v>RS-01999</x:v>
      </x:c>
      <x:c r="C2000" s="8" t="n">
        <x:v>45393</x:v>
      </x:c>
      <x:c r="D2000" s="4" t="str">
        <x:v>Sales operations manager</x:v>
      </x:c>
      <x:c r="E2000" s="4" t="str">
        <x:v>Spreadsheet import</x:v>
      </x:c>
      <x:c r="F2000" s="4" t="str">
        <x:v>Record captured</x:v>
      </x:c>
      <x:c r="G2000" s="4" t="str">
        <x:v>Handed over</x:v>
      </x:c>
    </x:row>
    <x:row r="2001" ht="34" customHeight="1">
      <x:c r="A2001" s="4" t="str">
        <x:v>RS-02000-E1</x:v>
      </x:c>
      <x:c r="B2001" s="4" t="str">
        <x:v>RS-02000</x:v>
      </x:c>
      <x:c r="C2001" s="8" t="n">
        <x:v>45394</x:v>
      </x:c>
      <x:c r="D2001" s="4" t="str">
        <x:v>Sales operations manager</x:v>
      </x:c>
      <x:c r="E2001" s="4" t="str">
        <x:v>Paper transcribed</x:v>
      </x:c>
      <x:c r="F2001" s="4" t="str">
        <x:v>Record captured</x:v>
      </x:c>
      <x:c r="G2001" s="4" t="str">
        <x:v>Enquiry</x:v>
      </x:c>
    </x:row>
    <x:row r="2002" ht="34" customHeight="1">
      <x:c r="A2002" s="4" t="str">
        <x:v>RS-02001-E1</x:v>
      </x:c>
      <x:c r="B2002" s="4" t="str">
        <x:v>RS-02001</x:v>
      </x:c>
      <x:c r="C2002" s="8" t="n">
        <x:v>45425</x:v>
      </x:c>
      <x:c r="D2002" s="4" t="str">
        <x:v>Sales operations manager</x:v>
      </x:c>
      <x:c r="E2002" s="4" t="str">
        <x:v>Spreadsheet import</x:v>
      </x:c>
      <x:c r="F2002" s="4" t="str">
        <x:v>Record captured</x:v>
      </x:c>
      <x:c r="G2002" s="4" t="str">
        <x:v>Reserved</x:v>
      </x:c>
    </x:row>
    <x:row r="2003" ht="34" customHeight="1">
      <x:c r="A2003" s="4" t="str">
        <x:v>RS-02002-E1</x:v>
      </x:c>
      <x:c r="B2003" s="4" t="str">
        <x:v>RS-02002</x:v>
      </x:c>
      <x:c r="C2003" s="8" t="n">
        <x:v>45426</x:v>
      </x:c>
      <x:c r="D2003" s="4" t="str">
        <x:v>Sales operations manager</x:v>
      </x:c>
      <x:c r="E2003" s="4" t="str">
        <x:v>Paper transcribed</x:v>
      </x:c>
      <x:c r="F2003" s="4" t="str">
        <x:v>Record captured</x:v>
      </x:c>
      <x:c r="G2003" s="4" t="str">
        <x:v>Agreement signed</x:v>
      </x:c>
    </x:row>
    <x:row r="2004" ht="34" customHeight="1">
      <x:c r="A2004" s="4" t="str">
        <x:v>RS-02003-E1</x:v>
      </x:c>
      <x:c r="B2004" s="4" t="str">
        <x:v>RS-02003</x:v>
      </x:c>
      <x:c r="C2004" s="8" t="n">
        <x:v>45427</x:v>
      </x:c>
      <x:c r="D2004" s="4" t="str">
        <x:v>Sales operations manager</x:v>
      </x:c>
      <x:c r="E2004" s="4" t="str">
        <x:v>Paper transcribed</x:v>
      </x:c>
      <x:c r="F2004" s="4" t="str">
        <x:v>Record captured</x:v>
      </x:c>
      <x:c r="G2004" s="4" t="str">
        <x:v>Reserved</x:v>
      </x:c>
    </x:row>
    <x:row r="2005" ht="34" customHeight="1">
      <x:c r="A2005" s="4" t="str">
        <x:v>RS-02004-E1</x:v>
      </x:c>
      <x:c r="B2005" s="4" t="str">
        <x:v>RS-02004</x:v>
      </x:c>
      <x:c r="C2005" s="8" t="n">
        <x:v>45428</x:v>
      </x:c>
      <x:c r="D2005" s="4" t="str">
        <x:v>Sales operations manager</x:v>
      </x:c>
      <x:c r="E2005" s="4" t="str">
        <x:v>ERP form</x:v>
      </x:c>
      <x:c r="F2005" s="4" t="str">
        <x:v>Record captured</x:v>
      </x:c>
      <x:c r="G2005" s="4" t="str">
        <x:v>Agreement signed</x:v>
      </x:c>
    </x:row>
    <x:row r="2006" ht="34" customHeight="1">
      <x:c r="A2006" s="4" t="str">
        <x:v>RS-02005-E1</x:v>
      </x:c>
      <x:c r="B2006" s="4" t="str">
        <x:v>RS-02005</x:v>
      </x:c>
      <x:c r="C2006" s="8" t="n">
        <x:v>45429</x:v>
      </x:c>
      <x:c r="D2006" s="4" t="str">
        <x:v>Sales operations manager</x:v>
      </x:c>
      <x:c r="E2006" s="4" t="str">
        <x:v>WhatsApp transcribed</x:v>
      </x:c>
      <x:c r="F2006" s="4" t="str">
        <x:v>Record captured</x:v>
      </x:c>
      <x:c r="G2006" s="4" t="str">
        <x:v>Reserved</x:v>
      </x:c>
    </x:row>
    <x:row r="2007" ht="34" customHeight="1">
      <x:c r="A2007" s="4" t="str">
        <x:v>RS-02006-E1</x:v>
      </x:c>
      <x:c r="B2007" s="4" t="str">
        <x:v>RS-02006</x:v>
      </x:c>
      <x:c r="C2007" s="8" t="n">
        <x:v>45430</x:v>
      </x:c>
      <x:c r="D2007" s="4" t="str">
        <x:v>Sales operations manager</x:v>
      </x:c>
      <x:c r="E2007" s="4" t="str">
        <x:v>Spreadsheet import</x:v>
      </x:c>
      <x:c r="F2007" s="4" t="str">
        <x:v>Record captured</x:v>
      </x:c>
      <x:c r="G2007" s="4" t="str">
        <x:v>Handed over</x:v>
      </x:c>
    </x:row>
    <x:row r="2008" ht="34" customHeight="1">
      <x:c r="A2008" s="4" t="str">
        <x:v>RS-02007-E1</x:v>
      </x:c>
      <x:c r="B2008" s="4" t="str">
        <x:v>RS-02007</x:v>
      </x:c>
      <x:c r="C2008" s="8" t="n">
        <x:v>45431</x:v>
      </x:c>
      <x:c r="D2008" s="4" t="str">
        <x:v>Sales operations manager</x:v>
      </x:c>
      <x:c r="E2008" s="4" t="str">
        <x:v>WhatsApp transcribed</x:v>
      </x:c>
      <x:c r="F2008" s="4" t="str">
        <x:v>Record captured</x:v>
      </x:c>
      <x:c r="G2008" s="4" t="str">
        <x:v>Booked</x:v>
      </x:c>
    </x:row>
    <x:row r="2009" ht="34" customHeight="1">
      <x:c r="A2009" s="4" t="str">
        <x:v>RS-02008-E1</x:v>
      </x:c>
      <x:c r="B2009" s="4" t="str">
        <x:v>RS-02008</x:v>
      </x:c>
      <x:c r="C2009" s="8" t="n">
        <x:v>45432</x:v>
      </x:c>
      <x:c r="D2009" s="4" t="str">
        <x:v>Sales operations manager</x:v>
      </x:c>
      <x:c r="E2009" s="4" t="str">
        <x:v>WhatsApp transcribed</x:v>
      </x:c>
      <x:c r="F2009" s="4" t="str">
        <x:v>Record captured</x:v>
      </x:c>
      <x:c r="G2009" s="4" t="str">
        <x:v>Handed over</x:v>
      </x:c>
    </x:row>
    <x:row r="2010" ht="34" customHeight="1">
      <x:c r="A2010" s="4" t="str">
        <x:v>RS-02009-E1</x:v>
      </x:c>
      <x:c r="B2010" s="4" t="str">
        <x:v>RS-02009</x:v>
      </x:c>
      <x:c r="C2010" s="8" t="n">
        <x:v>45433</x:v>
      </x:c>
      <x:c r="D2010" s="4" t="str">
        <x:v>Sales operations manager</x:v>
      </x:c>
      <x:c r="E2010" s="4" t="str">
        <x:v>Spreadsheet import</x:v>
      </x:c>
      <x:c r="F2010" s="4" t="str">
        <x:v>Record captured</x:v>
      </x:c>
      <x:c r="G2010" s="4" t="str">
        <x:v>Agreement signed</x:v>
      </x:c>
    </x:row>
    <x:row r="2011" ht="34" customHeight="1">
      <x:c r="A2011" s="4" t="str">
        <x:v>RS-02010-E1</x:v>
      </x:c>
      <x:c r="B2011" s="4" t="str">
        <x:v>RS-02010</x:v>
      </x:c>
      <x:c r="C2011" s="8" t="n">
        <x:v>45434</x:v>
      </x:c>
      <x:c r="D2011" s="4" t="str">
        <x:v>Sales operations manager</x:v>
      </x:c>
      <x:c r="E2011" s="4" t="str">
        <x:v>WhatsApp transcribed</x:v>
      </x:c>
      <x:c r="F2011" s="4" t="str">
        <x:v>Record captured</x:v>
      </x:c>
      <x:c r="G2011" s="4" t="str">
        <x:v>Booked</x:v>
      </x:c>
    </x:row>
    <x:row r="2012" ht="34" customHeight="1">
      <x:c r="A2012" s="4" t="str">
        <x:v>RS-02011-E1</x:v>
      </x:c>
      <x:c r="B2012" s="4" t="str">
        <x:v>RS-02011</x:v>
      </x:c>
      <x:c r="C2012" s="8" t="n">
        <x:v>45435</x:v>
      </x:c>
      <x:c r="D2012" s="4" t="str">
        <x:v>Sales operations manager</x:v>
      </x:c>
      <x:c r="E2012" s="4" t="str">
        <x:v>Paper transcribed</x:v>
      </x:c>
      <x:c r="F2012" s="4" t="str">
        <x:v>Record captured</x:v>
      </x:c>
      <x:c r="G2012" s="4" t="str">
        <x:v>Booked</x:v>
      </x:c>
    </x:row>
    <x:row r="2013" ht="34" customHeight="1">
      <x:c r="A2013" s="4" t="str">
        <x:v>RS-02012-E1</x:v>
      </x:c>
      <x:c r="B2013" s="4" t="str">
        <x:v>RS-02012</x:v>
      </x:c>
      <x:c r="C2013" s="8" t="n">
        <x:v>45436</x:v>
      </x:c>
      <x:c r="D2013" s="4" t="str">
        <x:v>Sales operations manager</x:v>
      </x:c>
      <x:c r="E2013" s="4" t="str">
        <x:v>WhatsApp transcribed</x:v>
      </x:c>
      <x:c r="F2013" s="4" t="str">
        <x:v>Record captured</x:v>
      </x:c>
      <x:c r="G2013" s="4" t="str">
        <x:v>Cancelled</x:v>
      </x:c>
    </x:row>
    <x:row r="2014" ht="34" customHeight="1">
      <x:c r="A2014" s="4" t="str">
        <x:v>RS-02013-E1</x:v>
      </x:c>
      <x:c r="B2014" s="4" t="str">
        <x:v>RS-02013</x:v>
      </x:c>
      <x:c r="C2014" s="8" t="n">
        <x:v>45437</x:v>
      </x:c>
      <x:c r="D2014" s="4" t="str">
        <x:v>Sales operations manager</x:v>
      </x:c>
      <x:c r="E2014" s="4" t="str">
        <x:v>Spreadsheet import</x:v>
      </x:c>
      <x:c r="F2014" s="4" t="str">
        <x:v>Record captured</x:v>
      </x:c>
      <x:c r="G2014" s="4" t="str">
        <x:v>Agreement signed</x:v>
      </x:c>
    </x:row>
    <x:row r="2015" ht="34" customHeight="1">
      <x:c r="A2015" s="4" t="str">
        <x:v>RS-02014-E1</x:v>
      </x:c>
      <x:c r="B2015" s="4" t="str">
        <x:v>RS-02014</x:v>
      </x:c>
      <x:c r="C2015" s="8" t="n">
        <x:v>45438</x:v>
      </x:c>
      <x:c r="D2015" s="4" t="str">
        <x:v>Sales operations manager</x:v>
      </x:c>
      <x:c r="E2015" s="4" t="str">
        <x:v>Paper transcribed</x:v>
      </x:c>
      <x:c r="F2015" s="4" t="str">
        <x:v>Record captured</x:v>
      </x:c>
      <x:c r="G2015" s="4" t="str">
        <x:v>Agreement signed</x:v>
      </x:c>
    </x:row>
    <x:row r="2016" ht="34" customHeight="1">
      <x:c r="A2016" s="4" t="str">
        <x:v>RS-02015-E1</x:v>
      </x:c>
      <x:c r="B2016" s="4" t="str">
        <x:v>RS-02015</x:v>
      </x:c>
      <x:c r="C2016" s="8" t="n">
        <x:v>45439</x:v>
      </x:c>
      <x:c r="D2016" s="4" t="str">
        <x:v>Sales operations manager</x:v>
      </x:c>
      <x:c r="E2016" s="4" t="str">
        <x:v>WhatsApp transcribed</x:v>
      </x:c>
      <x:c r="F2016" s="4" t="str">
        <x:v>Record captured</x:v>
      </x:c>
      <x:c r="G2016" s="4" t="str">
        <x:v>Enquiry</x:v>
      </x:c>
    </x:row>
    <x:row r="2017" ht="34" customHeight="1">
      <x:c r="A2017" s="4" t="str">
        <x:v>RS-02016-E1</x:v>
      </x:c>
      <x:c r="B2017" s="4" t="str">
        <x:v>RS-02016</x:v>
      </x:c>
      <x:c r="C2017" s="8" t="n">
        <x:v>45440</x:v>
      </x:c>
      <x:c r="D2017" s="4" t="str">
        <x:v>Sales operations manager</x:v>
      </x:c>
      <x:c r="E2017" s="4" t="str">
        <x:v>ERP form</x:v>
      </x:c>
      <x:c r="F2017" s="4" t="str">
        <x:v>Record captured</x:v>
      </x:c>
      <x:c r="G2017" s="4" t="str">
        <x:v>Enquiry</x:v>
      </x:c>
    </x:row>
    <x:row r="2018" ht="34" customHeight="1">
      <x:c r="A2018" s="4" t="str">
        <x:v>RS-02017-E1</x:v>
      </x:c>
      <x:c r="B2018" s="4" t="str">
        <x:v>RS-02017</x:v>
      </x:c>
      <x:c r="C2018" s="8" t="n">
        <x:v>45413</x:v>
      </x:c>
      <x:c r="D2018" s="4" t="str">
        <x:v>Sales operations manager</x:v>
      </x:c>
      <x:c r="E2018" s="4" t="str">
        <x:v>Paper transcribed</x:v>
      </x:c>
      <x:c r="F2018" s="4" t="str">
        <x:v>Record captured</x:v>
      </x:c>
      <x:c r="G2018" s="4" t="str">
        <x:v>Agreement signed</x:v>
      </x:c>
    </x:row>
    <x:row r="2019" ht="34" customHeight="1">
      <x:c r="A2019" s="4" t="str">
        <x:v>RS-02018-E1</x:v>
      </x:c>
      <x:c r="B2019" s="4" t="str">
        <x:v>RS-02018</x:v>
      </x:c>
      <x:c r="C2019" s="8" t="n">
        <x:v>45414</x:v>
      </x:c>
      <x:c r="D2019" s="4" t="str">
        <x:v>Sales operations manager</x:v>
      </x:c>
      <x:c r="E2019" s="4" t="str">
        <x:v>Spreadsheet import</x:v>
      </x:c>
      <x:c r="F2019" s="4" t="str">
        <x:v>Record captured</x:v>
      </x:c>
      <x:c r="G2019" s="4" t="str">
        <x:v>Enquiry</x:v>
      </x:c>
    </x:row>
    <x:row r="2020" ht="34" customHeight="1">
      <x:c r="A2020" s="4" t="str">
        <x:v>RS-02019-E1</x:v>
      </x:c>
      <x:c r="B2020" s="4" t="str">
        <x:v>RS-02019</x:v>
      </x:c>
      <x:c r="C2020" s="8" t="n">
        <x:v>45415</x:v>
      </x:c>
      <x:c r="D2020" s="4" t="str">
        <x:v>Sales operations manager</x:v>
      </x:c>
      <x:c r="E2020" s="4" t="str">
        <x:v>Paper transcribed</x:v>
      </x:c>
      <x:c r="F2020" s="4" t="str">
        <x:v>Record captured</x:v>
      </x:c>
      <x:c r="G2020" s="4" t="str">
        <x:v>Enquiry</x:v>
      </x:c>
    </x:row>
    <x:row r="2021" ht="34" customHeight="1">
      <x:c r="A2021" s="4" t="str">
        <x:v>RS-02020-E1</x:v>
      </x:c>
      <x:c r="B2021" s="4" t="str">
        <x:v>RS-02020</x:v>
      </x:c>
      <x:c r="C2021" s="8" t="n">
        <x:v>45416</x:v>
      </x:c>
      <x:c r="D2021" s="4" t="str">
        <x:v>Sales operations manager</x:v>
      </x:c>
      <x:c r="E2021" s="4" t="str">
        <x:v>WhatsApp transcribed</x:v>
      </x:c>
      <x:c r="F2021" s="4" t="str">
        <x:v>Record captured</x:v>
      </x:c>
      <x:c r="G2021" s="4" t="str">
        <x:v>Handed over</x:v>
      </x:c>
    </x:row>
    <x:row r="2022" ht="34" customHeight="1">
      <x:c r="A2022" s="4" t="str">
        <x:v>RS-02021-E1</x:v>
      </x:c>
      <x:c r="B2022" s="4" t="str">
        <x:v>RS-02021</x:v>
      </x:c>
      <x:c r="C2022" s="8" t="n">
        <x:v>45417</x:v>
      </x:c>
      <x:c r="D2022" s="4" t="str">
        <x:v>Sales operations manager</x:v>
      </x:c>
      <x:c r="E2022" s="4" t="str">
        <x:v>Spreadsheet import</x:v>
      </x:c>
      <x:c r="F2022" s="4" t="str">
        <x:v>Record captured</x:v>
      </x:c>
      <x:c r="G2022" s="4" t="str">
        <x:v>Agreement signed</x:v>
      </x:c>
    </x:row>
    <x:row r="2023" ht="34" customHeight="1">
      <x:c r="A2023" s="4" t="str">
        <x:v>RS-02022-E1</x:v>
      </x:c>
      <x:c r="B2023" s="4" t="str">
        <x:v>RS-02022</x:v>
      </x:c>
      <x:c r="C2023" s="8" t="n">
        <x:v>45418</x:v>
      </x:c>
      <x:c r="D2023" s="4" t="str">
        <x:v>Sales operations manager</x:v>
      </x:c>
      <x:c r="E2023" s="4" t="str">
        <x:v>WhatsApp transcribed</x:v>
      </x:c>
      <x:c r="F2023" s="4" t="str">
        <x:v>Record captured</x:v>
      </x:c>
      <x:c r="G2023" s="4" t="str">
        <x:v>Enquiry</x:v>
      </x:c>
    </x:row>
    <x:row r="2024" ht="34" customHeight="1">
      <x:c r="A2024" s="4" t="str">
        <x:v>RS-02023-E1</x:v>
      </x:c>
      <x:c r="B2024" s="4" t="str">
        <x:v>RS-02023</x:v>
      </x:c>
      <x:c r="C2024" s="8" t="n">
        <x:v>45419</x:v>
      </x:c>
      <x:c r="D2024" s="4" t="str">
        <x:v>Sales operations manager</x:v>
      </x:c>
      <x:c r="E2024" s="4" t="str">
        <x:v>WhatsApp transcribed</x:v>
      </x:c>
      <x:c r="F2024" s="4" t="str">
        <x:v>Record captured</x:v>
      </x:c>
      <x:c r="G2024" s="4" t="str">
        <x:v>Reserved</x:v>
      </x:c>
    </x:row>
    <x:row r="2025" ht="34" customHeight="1">
      <x:c r="A2025" s="4" t="str">
        <x:v>RS-02024-E1</x:v>
      </x:c>
      <x:c r="B2025" s="4" t="str">
        <x:v>RS-02024</x:v>
      </x:c>
      <x:c r="C2025" s="8" t="n">
        <x:v>45420</x:v>
      </x:c>
      <x:c r="D2025" s="4" t="str">
        <x:v>Sales operations manager</x:v>
      </x:c>
      <x:c r="E2025" s="4" t="str">
        <x:v>ERP form</x:v>
      </x:c>
      <x:c r="F2025" s="4" t="str">
        <x:v>Record captured</x:v>
      </x:c>
      <x:c r="G2025" s="4" t="str">
        <x:v>Handed over</x:v>
      </x:c>
    </x:row>
    <x:row r="2026" ht="34" customHeight="1">
      <x:c r="A2026" s="4" t="str">
        <x:v>RS-02025-E1</x:v>
      </x:c>
      <x:c r="B2026" s="4" t="str">
        <x:v>RS-02025</x:v>
      </x:c>
      <x:c r="C2026" s="8" t="n">
        <x:v>45421</x:v>
      </x:c>
      <x:c r="D2026" s="4" t="str">
        <x:v>Sales operations manager</x:v>
      </x:c>
      <x:c r="E2026" s="4" t="str">
        <x:v>ERP form</x:v>
      </x:c>
      <x:c r="F2026" s="4" t="str">
        <x:v>Record captured</x:v>
      </x:c>
      <x:c r="G2026" s="4" t="str">
        <x:v>Agreement signed</x:v>
      </x:c>
    </x:row>
    <x:row r="2027" ht="34" customHeight="1">
      <x:c r="A2027" s="4" t="str">
        <x:v>RS-02026-E1</x:v>
      </x:c>
      <x:c r="B2027" s="4" t="str">
        <x:v>RS-02026</x:v>
      </x:c>
      <x:c r="C2027" s="8" t="n">
        <x:v>45422</x:v>
      </x:c>
      <x:c r="D2027" s="4" t="str">
        <x:v>Sales operations manager</x:v>
      </x:c>
      <x:c r="E2027" s="4" t="str">
        <x:v>WhatsApp transcribed</x:v>
      </x:c>
      <x:c r="F2027" s="4" t="str">
        <x:v>Record captured</x:v>
      </x:c>
      <x:c r="G2027" s="4" t="str">
        <x:v>Enquiry</x:v>
      </x:c>
    </x:row>
    <x:row r="2028" ht="34" customHeight="1">
      <x:c r="A2028" s="4" t="str">
        <x:v>RS-02027-E1</x:v>
      </x:c>
      <x:c r="B2028" s="4" t="str">
        <x:v>RS-02027</x:v>
      </x:c>
      <x:c r="C2028" s="8" t="n">
        <x:v>45423</x:v>
      </x:c>
      <x:c r="D2028" s="4" t="str">
        <x:v>Sales operations manager</x:v>
      </x:c>
      <x:c r="E2028" s="4" t="str">
        <x:v>WhatsApp transcribed</x:v>
      </x:c>
      <x:c r="F2028" s="4" t="str">
        <x:v>Record captured</x:v>
      </x:c>
      <x:c r="G2028" s="4" t="str">
        <x:v>Agreement signed</x:v>
      </x:c>
    </x:row>
    <x:row r="2029" ht="34" customHeight="1">
      <x:c r="A2029" s="4" t="str">
        <x:v>RS-02028-E1</x:v>
      </x:c>
      <x:c r="B2029" s="4" t="str">
        <x:v>RS-02028</x:v>
      </x:c>
      <x:c r="C2029" s="8" t="n">
        <x:v>45424</x:v>
      </x:c>
      <x:c r="D2029" s="4" t="str">
        <x:v>Sales operations manager</x:v>
      </x:c>
      <x:c r="E2029" s="4" t="str">
        <x:v>ERP form</x:v>
      </x:c>
      <x:c r="F2029" s="4" t="str">
        <x:v>Record captured</x:v>
      </x:c>
      <x:c r="G2029" s="4" t="str">
        <x:v>Enquiry</x:v>
      </x:c>
    </x:row>
    <x:row r="2030" ht="34" customHeight="1">
      <x:c r="A2030" s="4" t="str">
        <x:v>RS-02029-E1</x:v>
      </x:c>
      <x:c r="B2030" s="4" t="str">
        <x:v>RS-02029</x:v>
      </x:c>
      <x:c r="C2030" s="8" t="n">
        <x:v>45425</x:v>
      </x:c>
      <x:c r="D2030" s="4" t="str">
        <x:v>Sales operations manager</x:v>
      </x:c>
      <x:c r="E2030" s="4" t="str">
        <x:v>Paper transcribed</x:v>
      </x:c>
      <x:c r="F2030" s="4" t="str">
        <x:v>Record captured</x:v>
      </x:c>
      <x:c r="G2030" s="4" t="str">
        <x:v>Enquiry</x:v>
      </x:c>
    </x:row>
    <x:row r="2031" ht="34" customHeight="1">
      <x:c r="A2031" s="4" t="str">
        <x:v>RS-02030-E1</x:v>
      </x:c>
      <x:c r="B2031" s="4" t="str">
        <x:v>RS-02030</x:v>
      </x:c>
      <x:c r="C2031" s="8" t="n">
        <x:v>45426</x:v>
      </x:c>
      <x:c r="D2031" s="4" t="str">
        <x:v>Sales operations manager</x:v>
      </x:c>
      <x:c r="E2031" s="4" t="str">
        <x:v>ERP form</x:v>
      </x:c>
      <x:c r="F2031" s="4" t="str">
        <x:v>Record captured</x:v>
      </x:c>
      <x:c r="G2031" s="4" t="str">
        <x:v>Booked</x:v>
      </x:c>
    </x:row>
    <x:row r="2032" ht="34" customHeight="1">
      <x:c r="A2032" s="4" t="str">
        <x:v>RS-02031-E1</x:v>
      </x:c>
      <x:c r="B2032" s="4" t="str">
        <x:v>RS-02031</x:v>
      </x:c>
      <x:c r="C2032" s="8" t="n">
        <x:v>45427</x:v>
      </x:c>
      <x:c r="D2032" s="4" t="str">
        <x:v>Sales operations manager</x:v>
      </x:c>
      <x:c r="E2032" s="4" t="str">
        <x:v>Spreadsheet import</x:v>
      </x:c>
      <x:c r="F2032" s="4" t="str">
        <x:v>Record captured</x:v>
      </x:c>
      <x:c r="G2032" s="4" t="str">
        <x:v>Booked</x:v>
      </x:c>
    </x:row>
    <x:row r="2033" ht="34" customHeight="1">
      <x:c r="A2033" s="4" t="str">
        <x:v>RS-02032-E1</x:v>
      </x:c>
      <x:c r="B2033" s="4" t="str">
        <x:v>RS-02032</x:v>
      </x:c>
      <x:c r="C2033" s="8" t="n">
        <x:v>45428</x:v>
      </x:c>
      <x:c r="D2033" s="4" t="str">
        <x:v>Sales operations manager</x:v>
      </x:c>
      <x:c r="E2033" s="4" t="str">
        <x:v>WhatsApp transcribed</x:v>
      </x:c>
      <x:c r="F2033" s="4" t="str">
        <x:v>Record captured</x:v>
      </x:c>
      <x:c r="G2033" s="4" t="str">
        <x:v>Booked</x:v>
      </x:c>
    </x:row>
    <x:row r="2034" ht="34" customHeight="1">
      <x:c r="A2034" s="4" t="str">
        <x:v>RS-02033-E1</x:v>
      </x:c>
      <x:c r="B2034" s="4" t="str">
        <x:v>RS-02033</x:v>
      </x:c>
      <x:c r="C2034" s="8" t="n">
        <x:v>45429</x:v>
      </x:c>
      <x:c r="D2034" s="4" t="str">
        <x:v>Sales operations manager</x:v>
      </x:c>
      <x:c r="E2034" s="4" t="str">
        <x:v>Paper transcribed</x:v>
      </x:c>
      <x:c r="F2034" s="4" t="str">
        <x:v>Record captured</x:v>
      </x:c>
      <x:c r="G2034" s="4" t="str">
        <x:v>Handed over</x:v>
      </x:c>
    </x:row>
    <x:row r="2035" ht="34" customHeight="1">
      <x:c r="A2035" s="4" t="str">
        <x:v>RS-02034-E1</x:v>
      </x:c>
      <x:c r="B2035" s="4" t="str">
        <x:v>RS-02034</x:v>
      </x:c>
      <x:c r="C2035" s="8" t="n">
        <x:v>45430</x:v>
      </x:c>
      <x:c r="D2035" s="4" t="str">
        <x:v>Sales operations manager</x:v>
      </x:c>
      <x:c r="E2035" s="4" t="str">
        <x:v>ERP form</x:v>
      </x:c>
      <x:c r="F2035" s="4" t="str">
        <x:v>Record captured</x:v>
      </x:c>
      <x:c r="G2035" s="4" t="str">
        <x:v>Agreement signed</x:v>
      </x:c>
    </x:row>
    <x:row r="2036" ht="34" customHeight="1">
      <x:c r="A2036" s="4" t="str">
        <x:v>RS-02035-E1</x:v>
      </x:c>
      <x:c r="B2036" s="4" t="str">
        <x:v>RS-02035</x:v>
      </x:c>
      <x:c r="C2036" s="8" t="n">
        <x:v>45431</x:v>
      </x:c>
      <x:c r="D2036" s="4" t="str">
        <x:v>Sales operations manager</x:v>
      </x:c>
      <x:c r="E2036" s="4" t="str">
        <x:v>ERP form</x:v>
      </x:c>
      <x:c r="F2036" s="4" t="str">
        <x:v>Record captured</x:v>
      </x:c>
      <x:c r="G2036" s="4" t="str">
        <x:v>Reserved</x:v>
      </x:c>
    </x:row>
    <x:row r="2037" ht="34" customHeight="1">
      <x:c r="A2037" s="4" t="str">
        <x:v>RS-02036-E1</x:v>
      </x:c>
      <x:c r="B2037" s="4" t="str">
        <x:v>RS-02036</x:v>
      </x:c>
      <x:c r="C2037" s="8" t="n">
        <x:v>45432</x:v>
      </x:c>
      <x:c r="D2037" s="4" t="str">
        <x:v>Sales operations manager</x:v>
      </x:c>
      <x:c r="E2037" s="4" t="str">
        <x:v>Spreadsheet import</x:v>
      </x:c>
      <x:c r="F2037" s="4" t="str">
        <x:v>Record captured</x:v>
      </x:c>
      <x:c r="G2037" s="4" t="str">
        <x:v>Enquiry</x:v>
      </x:c>
    </x:row>
    <x:row r="2038" ht="34" customHeight="1">
      <x:c r="A2038" s="4" t="str">
        <x:v>RS-02037-E1</x:v>
      </x:c>
      <x:c r="B2038" s="4" t="str">
        <x:v>RS-02037</x:v>
      </x:c>
      <x:c r="C2038" s="8" t="n">
        <x:v>45433</x:v>
      </x:c>
      <x:c r="D2038" s="4" t="str">
        <x:v>Sales operations manager</x:v>
      </x:c>
      <x:c r="E2038" s="4" t="str">
        <x:v>Spreadsheet import</x:v>
      </x:c>
      <x:c r="F2038" s="4" t="str">
        <x:v>Record captured</x:v>
      </x:c>
      <x:c r="G2038" s="4" t="str">
        <x:v>Reserved</x:v>
      </x:c>
    </x:row>
    <x:row r="2039" ht="34" customHeight="1">
      <x:c r="A2039" s="4" t="str">
        <x:v>RS-02038-E1</x:v>
      </x:c>
      <x:c r="B2039" s="4" t="str">
        <x:v>RS-02038</x:v>
      </x:c>
      <x:c r="C2039" s="8" t="n">
        <x:v>45434</x:v>
      </x:c>
      <x:c r="D2039" s="4" t="str">
        <x:v>Sales operations manager</x:v>
      </x:c>
      <x:c r="E2039" s="4" t="str">
        <x:v>ERP form</x:v>
      </x:c>
      <x:c r="F2039" s="4" t="str">
        <x:v>Record captured</x:v>
      </x:c>
      <x:c r="G2039" s="4" t="str">
        <x:v>Booked</x:v>
      </x:c>
    </x:row>
    <x:row r="2040" ht="34" customHeight="1">
      <x:c r="A2040" s="4" t="str">
        <x:v>RS-02039-E1</x:v>
      </x:c>
      <x:c r="B2040" s="4" t="str">
        <x:v>RS-02039</x:v>
      </x:c>
      <x:c r="C2040" s="8" t="n">
        <x:v>45435</x:v>
      </x:c>
      <x:c r="D2040" s="4" t="str">
        <x:v>Sales operations manager</x:v>
      </x:c>
      <x:c r="E2040" s="4" t="str">
        <x:v>ERP form</x:v>
      </x:c>
      <x:c r="F2040" s="4" t="str">
        <x:v>Record captured</x:v>
      </x:c>
      <x:c r="G2040" s="4" t="str">
        <x:v>Cancelled</x:v>
      </x:c>
    </x:row>
    <x:row r="2041" ht="34" customHeight="1">
      <x:c r="A2041" s="4" t="str">
        <x:v>RS-02040-E1</x:v>
      </x:c>
      <x:c r="B2041" s="4" t="str">
        <x:v>RS-02040</x:v>
      </x:c>
      <x:c r="C2041" s="8" t="n">
        <x:v>45436</x:v>
      </x:c>
      <x:c r="D2041" s="4" t="str">
        <x:v>Sales operations manager</x:v>
      </x:c>
      <x:c r="E2041" s="4" t="str">
        <x:v>Paper transcribed</x:v>
      </x:c>
      <x:c r="F2041" s="4" t="str">
        <x:v>Record captured</x:v>
      </x:c>
      <x:c r="G2041" s="4" t="str">
        <x:v>Booked</x:v>
      </x:c>
    </x:row>
    <x:row r="2042" ht="34" customHeight="1">
      <x:c r="A2042" s="4" t="str">
        <x:v>RS-02041-E1</x:v>
      </x:c>
      <x:c r="B2042" s="4" t="str">
        <x:v>RS-02041</x:v>
      </x:c>
      <x:c r="C2042" s="8" t="n">
        <x:v>45437</x:v>
      </x:c>
      <x:c r="D2042" s="4" t="str">
        <x:v>Sales operations manager</x:v>
      </x:c>
      <x:c r="E2042" s="4" t="str">
        <x:v>ERP form</x:v>
      </x:c>
      <x:c r="F2042" s="4" t="str">
        <x:v>Record captured</x:v>
      </x:c>
      <x:c r="G2042" s="4" t="str">
        <x:v>Booked</x:v>
      </x:c>
    </x:row>
    <x:row r="2043" ht="34" customHeight="1">
      <x:c r="A2043" s="4" t="str">
        <x:v>RS-02042-E1</x:v>
      </x:c>
      <x:c r="B2043" s="4" t="str">
        <x:v>RS-02042</x:v>
      </x:c>
      <x:c r="C2043" s="8" t="n">
        <x:v>45438</x:v>
      </x:c>
      <x:c r="D2043" s="4" t="str">
        <x:v>Sales operations manager</x:v>
      </x:c>
      <x:c r="E2043" s="4" t="str">
        <x:v>Paper transcribed</x:v>
      </x:c>
      <x:c r="F2043" s="4" t="str">
        <x:v>Record captured</x:v>
      </x:c>
      <x:c r="G2043" s="4" t="str">
        <x:v>Reserved</x:v>
      </x:c>
    </x:row>
    <x:row r="2044" ht="34" customHeight="1">
      <x:c r="A2044" s="4" t="str">
        <x:v>RS-02043-E1</x:v>
      </x:c>
      <x:c r="B2044" s="4" t="str">
        <x:v>RS-02043</x:v>
      </x:c>
      <x:c r="C2044" s="8" t="n">
        <x:v>45439</x:v>
      </x:c>
      <x:c r="D2044" s="4" t="str">
        <x:v>Sales operations manager</x:v>
      </x:c>
      <x:c r="E2044" s="4" t="str">
        <x:v>ERP form</x:v>
      </x:c>
      <x:c r="F2044" s="4" t="str">
        <x:v>Record captured</x:v>
      </x:c>
      <x:c r="G2044" s="4" t="str">
        <x:v>Booked</x:v>
      </x:c>
    </x:row>
    <x:row r="2045" ht="34" customHeight="1">
      <x:c r="A2045" s="4" t="str">
        <x:v>RS-02044-E1</x:v>
      </x:c>
      <x:c r="B2045" s="4" t="str">
        <x:v>RS-02044</x:v>
      </x:c>
      <x:c r="C2045" s="8" t="n">
        <x:v>45440</x:v>
      </x:c>
      <x:c r="D2045" s="4" t="str">
        <x:v>Sales operations manager</x:v>
      </x:c>
      <x:c r="E2045" s="4" t="str">
        <x:v>ERP form</x:v>
      </x:c>
      <x:c r="F2045" s="4" t="str">
        <x:v>Record captured</x:v>
      </x:c>
      <x:c r="G2045" s="4" t="str">
        <x:v>Enquiry</x:v>
      </x:c>
    </x:row>
    <x:row r="2046" ht="34" customHeight="1">
      <x:c r="A2046" s="4" t="str">
        <x:v>RS-02045-E1</x:v>
      </x:c>
      <x:c r="B2046" s="4" t="str">
        <x:v>RS-02045</x:v>
      </x:c>
      <x:c r="C2046" s="8" t="n">
        <x:v>45413</x:v>
      </x:c>
      <x:c r="D2046" s="4" t="str">
        <x:v>Sales operations manager</x:v>
      </x:c>
      <x:c r="E2046" s="4" t="str">
        <x:v>WhatsApp transcribed</x:v>
      </x:c>
      <x:c r="F2046" s="4" t="str">
        <x:v>Record captured</x:v>
      </x:c>
      <x:c r="G2046" s="4" t="str">
        <x:v>Reserved</x:v>
      </x:c>
    </x:row>
    <x:row r="2047" ht="34" customHeight="1">
      <x:c r="A2047" s="4" t="str">
        <x:v>RS-02046-E1</x:v>
      </x:c>
      <x:c r="B2047" s="4" t="str">
        <x:v>RS-02046</x:v>
      </x:c>
      <x:c r="C2047" s="8" t="n">
        <x:v>45414</x:v>
      </x:c>
      <x:c r="D2047" s="4" t="str">
        <x:v>Sales operations manager</x:v>
      </x:c>
      <x:c r="E2047" s="4" t="str">
        <x:v>Spreadsheet import</x:v>
      </x:c>
      <x:c r="F2047" s="4" t="str">
        <x:v>Record captured</x:v>
      </x:c>
      <x:c r="G2047" s="4" t="str">
        <x:v>Reserved</x:v>
      </x:c>
    </x:row>
    <x:row r="2048" ht="34" customHeight="1">
      <x:c r="A2048" s="4" t="str">
        <x:v>RS-02047-E1</x:v>
      </x:c>
      <x:c r="B2048" s="4" t="str">
        <x:v>RS-02047</x:v>
      </x:c>
      <x:c r="C2048" s="8" t="n">
        <x:v>45415</x:v>
      </x:c>
      <x:c r="D2048" s="4" t="str">
        <x:v>Sales operations manager</x:v>
      </x:c>
      <x:c r="E2048" s="4" t="str">
        <x:v>Paper transcribed</x:v>
      </x:c>
      <x:c r="F2048" s="4" t="str">
        <x:v>Record captured</x:v>
      </x:c>
      <x:c r="G2048" s="4" t="str">
        <x:v>Booked</x:v>
      </x:c>
    </x:row>
    <x:row r="2049" ht="34" customHeight="1">
      <x:c r="A2049" s="4" t="str">
        <x:v>RS-02048-E1</x:v>
      </x:c>
      <x:c r="B2049" s="4" t="str">
        <x:v>RS-02048</x:v>
      </x:c>
      <x:c r="C2049" s="8" t="n">
        <x:v>45416</x:v>
      </x:c>
      <x:c r="D2049" s="4" t="str">
        <x:v>Sales operations manager</x:v>
      </x:c>
      <x:c r="E2049" s="4" t="str">
        <x:v>Paper transcribed</x:v>
      </x:c>
      <x:c r="F2049" s="4" t="str">
        <x:v>Record captured</x:v>
      </x:c>
      <x:c r="G2049" s="4" t="str">
        <x:v>Enquiry</x:v>
      </x:c>
    </x:row>
    <x:row r="2050" ht="34" customHeight="1">
      <x:c r="A2050" s="4" t="str">
        <x:v>RS-02049-E1</x:v>
      </x:c>
      <x:c r="B2050" s="4" t="str">
        <x:v>RS-02049</x:v>
      </x:c>
      <x:c r="C2050" s="8" t="n">
        <x:v>45417</x:v>
      </x:c>
      <x:c r="D2050" s="4" t="str">
        <x:v>Sales operations manager</x:v>
      </x:c>
      <x:c r="E2050" s="4" t="str">
        <x:v>Paper transcribed</x:v>
      </x:c>
      <x:c r="F2050" s="4" t="str">
        <x:v>Record captured</x:v>
      </x:c>
      <x:c r="G2050" s="4" t="str">
        <x:v>Booked</x:v>
      </x:c>
    </x:row>
    <x:row r="2051" ht="34" customHeight="1">
      <x:c r="A2051" s="4" t="str">
        <x:v>RS-02050-E1</x:v>
      </x:c>
      <x:c r="B2051" s="4" t="str">
        <x:v>RS-02050</x:v>
      </x:c>
      <x:c r="C2051" s="8" t="n">
        <x:v>45418</x:v>
      </x:c>
      <x:c r="D2051" s="4" t="str">
        <x:v>Sales operations manager</x:v>
      </x:c>
      <x:c r="E2051" s="4" t="str">
        <x:v>WhatsApp transcribed</x:v>
      </x:c>
      <x:c r="F2051" s="4" t="str">
        <x:v>Record captured</x:v>
      </x:c>
      <x:c r="G2051" s="4" t="str">
        <x:v>Cancelled</x:v>
      </x:c>
    </x:row>
    <x:row r="2052" ht="34" customHeight="1">
      <x:c r="A2052" s="4" t="str">
        <x:v>RS-02051-E1</x:v>
      </x:c>
      <x:c r="B2052" s="4" t="str">
        <x:v>RS-02051</x:v>
      </x:c>
      <x:c r="C2052" s="8" t="n">
        <x:v>45419</x:v>
      </x:c>
      <x:c r="D2052" s="4" t="str">
        <x:v>Sales operations manager</x:v>
      </x:c>
      <x:c r="E2052" s="4" t="str">
        <x:v>ERP form</x:v>
      </x:c>
      <x:c r="F2052" s="4" t="str">
        <x:v>Record captured</x:v>
      </x:c>
      <x:c r="G2052" s="4" t="str">
        <x:v>Booked</x:v>
      </x:c>
    </x:row>
    <x:row r="2053" ht="34" customHeight="1">
      <x:c r="A2053" s="4" t="str">
        <x:v>RS-02052-E1</x:v>
      </x:c>
      <x:c r="B2053" s="4" t="str">
        <x:v>RS-02052</x:v>
      </x:c>
      <x:c r="C2053" s="8" t="n">
        <x:v>45420</x:v>
      </x:c>
      <x:c r="D2053" s="4" t="str">
        <x:v>Sales operations manager</x:v>
      </x:c>
      <x:c r="E2053" s="4" t="str">
        <x:v>ERP form</x:v>
      </x:c>
      <x:c r="F2053" s="4" t="str">
        <x:v>Record captured</x:v>
      </x:c>
      <x:c r="G2053" s="4" t="str">
        <x:v>Reserved</x:v>
      </x:c>
    </x:row>
    <x:row r="2054" ht="34" customHeight="1">
      <x:c r="A2054" s="4" t="str">
        <x:v>RS-02053-E1</x:v>
      </x:c>
      <x:c r="B2054" s="4" t="str">
        <x:v>RS-02053</x:v>
      </x:c>
      <x:c r="C2054" s="8" t="n">
        <x:v>45421</x:v>
      </x:c>
      <x:c r="D2054" s="4" t="str">
        <x:v>Sales operations manager</x:v>
      </x:c>
      <x:c r="E2054" s="4" t="str">
        <x:v>Paper transcribed</x:v>
      </x:c>
      <x:c r="F2054" s="4" t="str">
        <x:v>Record captured</x:v>
      </x:c>
      <x:c r="G2054" s="4" t="str">
        <x:v>Enquiry</x:v>
      </x:c>
    </x:row>
    <x:row r="2055" ht="34" customHeight="1">
      <x:c r="A2055" s="4" t="str">
        <x:v>RS-02054-E1</x:v>
      </x:c>
      <x:c r="B2055" s="4" t="str">
        <x:v>RS-02054</x:v>
      </x:c>
      <x:c r="C2055" s="8" t="n">
        <x:v>45422</x:v>
      </x:c>
      <x:c r="D2055" s="4" t="str">
        <x:v>Sales operations manager</x:v>
      </x:c>
      <x:c r="E2055" s="4" t="str">
        <x:v>Spreadsheet import</x:v>
      </x:c>
      <x:c r="F2055" s="4" t="str">
        <x:v>Record captured</x:v>
      </x:c>
      <x:c r="G2055" s="4" t="str">
        <x:v>Enquiry</x:v>
      </x:c>
    </x:row>
    <x:row r="2056" ht="34" customHeight="1">
      <x:c r="A2056" s="4" t="str">
        <x:v>RS-02055-E1</x:v>
      </x:c>
      <x:c r="B2056" s="4" t="str">
        <x:v>RS-02055</x:v>
      </x:c>
      <x:c r="C2056" s="8" t="n">
        <x:v>45423</x:v>
      </x:c>
      <x:c r="D2056" s="4" t="str">
        <x:v>Sales operations manager</x:v>
      </x:c>
      <x:c r="E2056" s="4" t="str">
        <x:v>ERP form</x:v>
      </x:c>
      <x:c r="F2056" s="4" t="str">
        <x:v>Record captured</x:v>
      </x:c>
      <x:c r="G2056" s="4" t="str">
        <x:v>Enquiry</x:v>
      </x:c>
    </x:row>
    <x:row r="2057" ht="34" customHeight="1">
      <x:c r="A2057" s="4" t="str">
        <x:v>RS-02056-E1</x:v>
      </x:c>
      <x:c r="B2057" s="4" t="str">
        <x:v>RS-02056</x:v>
      </x:c>
      <x:c r="C2057" s="8" t="n">
        <x:v>45424</x:v>
      </x:c>
      <x:c r="D2057" s="4" t="str">
        <x:v>Sales operations manager</x:v>
      </x:c>
      <x:c r="E2057" s="4" t="str">
        <x:v>Spreadsheet import</x:v>
      </x:c>
      <x:c r="F2057" s="4" t="str">
        <x:v>Record captured</x:v>
      </x:c>
      <x:c r="G2057" s="4" t="str">
        <x:v>Agreement signed</x:v>
      </x:c>
    </x:row>
    <x:row r="2058" ht="34" customHeight="1">
      <x:c r="A2058" s="4" t="str">
        <x:v>RS-02057-E1</x:v>
      </x:c>
      <x:c r="B2058" s="4" t="str">
        <x:v>RS-02057</x:v>
      </x:c>
      <x:c r="C2058" s="8" t="n">
        <x:v>45425</x:v>
      </x:c>
      <x:c r="D2058" s="4" t="str">
        <x:v>Sales operations manager</x:v>
      </x:c>
      <x:c r="E2058" s="4" t="str">
        <x:v>WhatsApp transcribed</x:v>
      </x:c>
      <x:c r="F2058" s="4" t="str">
        <x:v>Record captured</x:v>
      </x:c>
      <x:c r="G2058" s="4" t="str">
        <x:v>Handed over</x:v>
      </x:c>
    </x:row>
    <x:row r="2059" ht="34" customHeight="1">
      <x:c r="A2059" s="4" t="str">
        <x:v>RS-02058-E1</x:v>
      </x:c>
      <x:c r="B2059" s="4" t="str">
        <x:v>RS-02058</x:v>
      </x:c>
      <x:c r="C2059" s="8" t="n">
        <x:v>45426</x:v>
      </x:c>
      <x:c r="D2059" s="4" t="str">
        <x:v>Sales operations manager</x:v>
      </x:c>
      <x:c r="E2059" s="4" t="str">
        <x:v>Spreadsheet import</x:v>
      </x:c>
      <x:c r="F2059" s="4" t="str">
        <x:v>Record captured</x:v>
      </x:c>
      <x:c r="G2059" s="4" t="str">
        <x:v>Handed over</x:v>
      </x:c>
    </x:row>
    <x:row r="2060" ht="34" customHeight="1">
      <x:c r="A2060" s="4" t="str">
        <x:v>RS-02059-E1</x:v>
      </x:c>
      <x:c r="B2060" s="4" t="str">
        <x:v>RS-02059</x:v>
      </x:c>
      <x:c r="C2060" s="8" t="n">
        <x:v>45427</x:v>
      </x:c>
      <x:c r="D2060" s="4" t="str">
        <x:v>Sales operations manager</x:v>
      </x:c>
      <x:c r="E2060" s="4" t="str">
        <x:v>WhatsApp transcribed</x:v>
      </x:c>
      <x:c r="F2060" s="4" t="str">
        <x:v>Record captured</x:v>
      </x:c>
      <x:c r="G2060" s="4" t="str">
        <x:v>Cancelled</x:v>
      </x:c>
    </x:row>
    <x:row r="2061" ht="34" customHeight="1">
      <x:c r="A2061" s="4" t="str">
        <x:v>RS-02060-E1</x:v>
      </x:c>
      <x:c r="B2061" s="4" t="str">
        <x:v>RS-02060</x:v>
      </x:c>
      <x:c r="C2061" s="8" t="n">
        <x:v>45428</x:v>
      </x:c>
      <x:c r="D2061" s="4" t="str">
        <x:v>Sales operations manager</x:v>
      </x:c>
      <x:c r="E2061" s="4" t="str">
        <x:v>ERP form</x:v>
      </x:c>
      <x:c r="F2061" s="4" t="str">
        <x:v>Record captured</x:v>
      </x:c>
      <x:c r="G2061" s="4" t="str">
        <x:v>Enquiry</x:v>
      </x:c>
    </x:row>
    <x:row r="2062" ht="34" customHeight="1">
      <x:c r="A2062" s="4" t="str">
        <x:v>RS-02061-E1</x:v>
      </x:c>
      <x:c r="B2062" s="4" t="str">
        <x:v>RS-02061</x:v>
      </x:c>
      <x:c r="C2062" s="8" t="n">
        <x:v>45429</x:v>
      </x:c>
      <x:c r="D2062" s="4" t="str">
        <x:v>Sales operations manager</x:v>
      </x:c>
      <x:c r="E2062" s="4" t="str">
        <x:v>Spreadsheet import</x:v>
      </x:c>
      <x:c r="F2062" s="4" t="str">
        <x:v>Record captured</x:v>
      </x:c>
      <x:c r="G2062" s="4" t="str">
        <x:v>Booked</x:v>
      </x:c>
    </x:row>
    <x:row r="2063" ht="34" customHeight="1">
      <x:c r="A2063" s="4" t="str">
        <x:v>RS-02062-E1</x:v>
      </x:c>
      <x:c r="B2063" s="4" t="str">
        <x:v>RS-02062</x:v>
      </x:c>
      <x:c r="C2063" s="8" t="n">
        <x:v>45430</x:v>
      </x:c>
      <x:c r="D2063" s="4" t="str">
        <x:v>Sales operations manager</x:v>
      </x:c>
      <x:c r="E2063" s="4" t="str">
        <x:v>Paper transcribed</x:v>
      </x:c>
      <x:c r="F2063" s="4" t="str">
        <x:v>Record captured</x:v>
      </x:c>
      <x:c r="G2063" s="4" t="str">
        <x:v>Booked</x:v>
      </x:c>
    </x:row>
    <x:row r="2064" ht="34" customHeight="1">
      <x:c r="A2064" s="4" t="str">
        <x:v>RS-02063-E1</x:v>
      </x:c>
      <x:c r="B2064" s="4" t="str">
        <x:v>RS-02063</x:v>
      </x:c>
      <x:c r="C2064" s="8" t="n">
        <x:v>45431</x:v>
      </x:c>
      <x:c r="D2064" s="4" t="str">
        <x:v>Sales operations manager</x:v>
      </x:c>
      <x:c r="E2064" s="4" t="str">
        <x:v>Spreadsheet import</x:v>
      </x:c>
      <x:c r="F2064" s="4" t="str">
        <x:v>Record captured</x:v>
      </x:c>
      <x:c r="G2064" s="4" t="str">
        <x:v>Reserved</x:v>
      </x:c>
    </x:row>
    <x:row r="2065" ht="34" customHeight="1">
      <x:c r="A2065" s="4" t="str">
        <x:v>RS-02064-E1</x:v>
      </x:c>
      <x:c r="B2065" s="4" t="str">
        <x:v>RS-02064</x:v>
      </x:c>
      <x:c r="C2065" s="8" t="n">
        <x:v>45432</x:v>
      </x:c>
      <x:c r="D2065" s="4" t="str">
        <x:v>Sales operations manager</x:v>
      </x:c>
      <x:c r="E2065" s="4" t="str">
        <x:v>Paper transcribed</x:v>
      </x:c>
      <x:c r="F2065" s="4" t="str">
        <x:v>Record captured</x:v>
      </x:c>
      <x:c r="G2065" s="4" t="str">
        <x:v>Handed over</x:v>
      </x:c>
    </x:row>
    <x:row r="2066" ht="34" customHeight="1">
      <x:c r="A2066" s="4" t="str">
        <x:v>RS-02065-E1</x:v>
      </x:c>
      <x:c r="B2066" s="4" t="str">
        <x:v>RS-02065</x:v>
      </x:c>
      <x:c r="C2066" s="8" t="n">
        <x:v>45433</x:v>
      </x:c>
      <x:c r="D2066" s="4" t="str">
        <x:v>Sales operations manager</x:v>
      </x:c>
      <x:c r="E2066" s="4" t="str">
        <x:v>ERP form</x:v>
      </x:c>
      <x:c r="F2066" s="4" t="str">
        <x:v>Record captured</x:v>
      </x:c>
      <x:c r="G2066" s="4" t="str">
        <x:v>Agreement signed</x:v>
      </x:c>
    </x:row>
    <x:row r="2067" ht="34" customHeight="1">
      <x:c r="A2067" s="4" t="str">
        <x:v>RS-02066-E1</x:v>
      </x:c>
      <x:c r="B2067" s="4" t="str">
        <x:v>RS-02066</x:v>
      </x:c>
      <x:c r="C2067" s="8" t="n">
        <x:v>45434</x:v>
      </x:c>
      <x:c r="D2067" s="4" t="str">
        <x:v>Sales operations manager</x:v>
      </x:c>
      <x:c r="E2067" s="4" t="str">
        <x:v>Paper transcribed</x:v>
      </x:c>
      <x:c r="F2067" s="4" t="str">
        <x:v>Record captured</x:v>
      </x:c>
      <x:c r="G2067" s="4" t="str">
        <x:v>Reserved</x:v>
      </x:c>
    </x:row>
    <x:row r="2068" ht="34" customHeight="1">
      <x:c r="A2068" s="4" t="str">
        <x:v>RS-02067-E1</x:v>
      </x:c>
      <x:c r="B2068" s="4" t="str">
        <x:v>RS-02067</x:v>
      </x:c>
      <x:c r="C2068" s="8" t="n">
        <x:v>45435</x:v>
      </x:c>
      <x:c r="D2068" s="4" t="str">
        <x:v>Sales operations manager</x:v>
      </x:c>
      <x:c r="E2068" s="4" t="str">
        <x:v>Paper transcribed</x:v>
      </x:c>
      <x:c r="F2068" s="4" t="str">
        <x:v>Record captured</x:v>
      </x:c>
      <x:c r="G2068" s="4" t="str">
        <x:v>Enquiry</x:v>
      </x:c>
    </x:row>
    <x:row r="2069" ht="34" customHeight="1">
      <x:c r="A2069" s="4" t="str">
        <x:v>RS-02068-E1</x:v>
      </x:c>
      <x:c r="B2069" s="4" t="str">
        <x:v>RS-02068</x:v>
      </x:c>
      <x:c r="C2069" s="8" t="n">
        <x:v>45436</x:v>
      </x:c>
      <x:c r="D2069" s="4" t="str">
        <x:v>Sales operations manager</x:v>
      </x:c>
      <x:c r="E2069" s="4" t="str">
        <x:v>WhatsApp transcribed</x:v>
      </x:c>
      <x:c r="F2069" s="4" t="str">
        <x:v>Record captured</x:v>
      </x:c>
      <x:c r="G2069" s="4" t="str">
        <x:v>Cancelled</x:v>
      </x:c>
    </x:row>
    <x:row r="2070" ht="34" customHeight="1">
      <x:c r="A2070" s="4" t="str">
        <x:v>RS-02069-E1</x:v>
      </x:c>
      <x:c r="B2070" s="4" t="str">
        <x:v>RS-02069</x:v>
      </x:c>
      <x:c r="C2070" s="8" t="n">
        <x:v>45437</x:v>
      </x:c>
      <x:c r="D2070" s="4" t="str">
        <x:v>Sales operations manager</x:v>
      </x:c>
      <x:c r="E2070" s="4" t="str">
        <x:v>WhatsApp transcribed</x:v>
      </x:c>
      <x:c r="F2070" s="4" t="str">
        <x:v>Record captured</x:v>
      </x:c>
      <x:c r="G2070" s="4" t="str">
        <x:v>Agreement signed</x:v>
      </x:c>
    </x:row>
    <x:row r="2071" ht="34" customHeight="1">
      <x:c r="A2071" s="4" t="str">
        <x:v>RS-02070-E1</x:v>
      </x:c>
      <x:c r="B2071" s="4" t="str">
        <x:v>RS-02070</x:v>
      </x:c>
      <x:c r="C2071" s="8" t="n">
        <x:v>45438</x:v>
      </x:c>
      <x:c r="D2071" s="4" t="str">
        <x:v>Sales operations manager</x:v>
      </x:c>
      <x:c r="E2071" s="4" t="str">
        <x:v>WhatsApp transcribed</x:v>
      </x:c>
      <x:c r="F2071" s="4" t="str">
        <x:v>Record captured</x:v>
      </x:c>
      <x:c r="G2071" s="4" t="str">
        <x:v>Reserved</x:v>
      </x:c>
    </x:row>
    <x:row r="2072" ht="34" customHeight="1">
      <x:c r="A2072" s="4" t="str">
        <x:v>RS-02071-E1</x:v>
      </x:c>
      <x:c r="B2072" s="4" t="str">
        <x:v>RS-02071</x:v>
      </x:c>
      <x:c r="C2072" s="8" t="n">
        <x:v>45439</x:v>
      </x:c>
      <x:c r="D2072" s="4" t="str">
        <x:v>Sales operations manager</x:v>
      </x:c>
      <x:c r="E2072" s="4" t="str">
        <x:v>Paper transcribed</x:v>
      </x:c>
      <x:c r="F2072" s="4" t="str">
        <x:v>Record captured</x:v>
      </x:c>
      <x:c r="G2072" s="4" t="str">
        <x:v>Enquiry</x:v>
      </x:c>
    </x:row>
    <x:row r="2073" ht="34" customHeight="1">
      <x:c r="A2073" s="4" t="str">
        <x:v>RS-02072-E1</x:v>
      </x:c>
      <x:c r="B2073" s="4" t="str">
        <x:v>RS-02072</x:v>
      </x:c>
      <x:c r="C2073" s="8" t="n">
        <x:v>45440</x:v>
      </x:c>
      <x:c r="D2073" s="4" t="str">
        <x:v>Sales operations manager</x:v>
      </x:c>
      <x:c r="E2073" s="4" t="str">
        <x:v>Spreadsheet import</x:v>
      </x:c>
      <x:c r="F2073" s="4" t="str">
        <x:v>Record captured</x:v>
      </x:c>
      <x:c r="G2073" s="4" t="str">
        <x:v>Booked</x:v>
      </x:c>
    </x:row>
    <x:row r="2074" ht="34" customHeight="1">
      <x:c r="A2074" s="4" t="str">
        <x:v>RS-02073-E1</x:v>
      </x:c>
      <x:c r="B2074" s="4" t="str">
        <x:v>RS-02073</x:v>
      </x:c>
      <x:c r="C2074" s="8" t="n">
        <x:v>45413</x:v>
      </x:c>
      <x:c r="D2074" s="4" t="str">
        <x:v>Sales operations manager</x:v>
      </x:c>
      <x:c r="E2074" s="4" t="str">
        <x:v>WhatsApp transcribed</x:v>
      </x:c>
      <x:c r="F2074" s="4" t="str">
        <x:v>Record captured</x:v>
      </x:c>
      <x:c r="G2074" s="4" t="str">
        <x:v>Cancelled</x:v>
      </x:c>
    </x:row>
    <x:row r="2075" ht="34" customHeight="1">
      <x:c r="A2075" s="4" t="str">
        <x:v>RS-02074-E1</x:v>
      </x:c>
      <x:c r="B2075" s="4" t="str">
        <x:v>RS-02074</x:v>
      </x:c>
      <x:c r="C2075" s="8" t="n">
        <x:v>45414</x:v>
      </x:c>
      <x:c r="D2075" s="4" t="str">
        <x:v>Sales operations manager</x:v>
      </x:c>
      <x:c r="E2075" s="4" t="str">
        <x:v>ERP form</x:v>
      </x:c>
      <x:c r="F2075" s="4" t="str">
        <x:v>Record captured</x:v>
      </x:c>
      <x:c r="G2075" s="4" t="str">
        <x:v>Reserved</x:v>
      </x:c>
    </x:row>
    <x:row r="2076" ht="34" customHeight="1">
      <x:c r="A2076" s="4" t="str">
        <x:v>RS-02075-E1</x:v>
      </x:c>
      <x:c r="B2076" s="4" t="str">
        <x:v>RS-02075</x:v>
      </x:c>
      <x:c r="C2076" s="8" t="n">
        <x:v>45415</x:v>
      </x:c>
      <x:c r="D2076" s="4" t="str">
        <x:v>Sales operations manager</x:v>
      </x:c>
      <x:c r="E2076" s="4" t="str">
        <x:v>ERP form</x:v>
      </x:c>
      <x:c r="F2076" s="4" t="str">
        <x:v>Record captured</x:v>
      </x:c>
      <x:c r="G2076" s="4" t="str">
        <x:v>Enquiry</x:v>
      </x:c>
    </x:row>
    <x:row r="2077" ht="34" customHeight="1">
      <x:c r="A2077" s="4" t="str">
        <x:v>RS-02076-E1</x:v>
      </x:c>
      <x:c r="B2077" s="4" t="str">
        <x:v>RS-02076</x:v>
      </x:c>
      <x:c r="C2077" s="8" t="n">
        <x:v>45416</x:v>
      </x:c>
      <x:c r="D2077" s="4" t="str">
        <x:v>Sales operations manager</x:v>
      </x:c>
      <x:c r="E2077" s="4" t="str">
        <x:v>Spreadsheet import</x:v>
      </x:c>
      <x:c r="F2077" s="4" t="str">
        <x:v>Record captured</x:v>
      </x:c>
      <x:c r="G2077" s="4" t="str">
        <x:v>Reserved</x:v>
      </x:c>
    </x:row>
    <x:row r="2078" ht="34" customHeight="1">
      <x:c r="A2078" s="4" t="str">
        <x:v>RS-02077-E1</x:v>
      </x:c>
      <x:c r="B2078" s="4" t="str">
        <x:v>RS-02077</x:v>
      </x:c>
      <x:c r="C2078" s="8" t="n">
        <x:v>45417</x:v>
      </x:c>
      <x:c r="D2078" s="4" t="str">
        <x:v>Sales operations manager</x:v>
      </x:c>
      <x:c r="E2078" s="4" t="str">
        <x:v>Spreadsheet import</x:v>
      </x:c>
      <x:c r="F2078" s="4" t="str">
        <x:v>Record captured</x:v>
      </x:c>
      <x:c r="G2078" s="4" t="str">
        <x:v>Cancelled</x:v>
      </x:c>
    </x:row>
    <x:row r="2079" ht="34" customHeight="1">
      <x:c r="A2079" s="4" t="str">
        <x:v>RS-02078-E1</x:v>
      </x:c>
      <x:c r="B2079" s="4" t="str">
        <x:v>RS-02078</x:v>
      </x:c>
      <x:c r="C2079" s="8" t="n">
        <x:v>45418</x:v>
      </x:c>
      <x:c r="D2079" s="4" t="str">
        <x:v>Sales operations manager</x:v>
      </x:c>
      <x:c r="E2079" s="4" t="str">
        <x:v>ERP form</x:v>
      </x:c>
      <x:c r="F2079" s="4" t="str">
        <x:v>Record captured</x:v>
      </x:c>
      <x:c r="G2079" s="4" t="str">
        <x:v>Reserved</x:v>
      </x:c>
    </x:row>
    <x:row r="2080" ht="34" customHeight="1">
      <x:c r="A2080" s="4" t="str">
        <x:v>RS-02079-E1</x:v>
      </x:c>
      <x:c r="B2080" s="4" t="str">
        <x:v>RS-02079</x:v>
      </x:c>
      <x:c r="C2080" s="8" t="n">
        <x:v>45419</x:v>
      </x:c>
      <x:c r="D2080" s="4" t="str">
        <x:v>Sales operations manager</x:v>
      </x:c>
      <x:c r="E2080" s="4" t="str">
        <x:v>ERP form</x:v>
      </x:c>
      <x:c r="F2080" s="4" t="str">
        <x:v>Record captured</x:v>
      </x:c>
      <x:c r="G2080" s="4" t="str">
        <x:v>Booked</x:v>
      </x:c>
    </x:row>
    <x:row r="2081" ht="34" customHeight="1">
      <x:c r="A2081" s="4" t="str">
        <x:v>RS-02080-E1</x:v>
      </x:c>
      <x:c r="B2081" s="4" t="str">
        <x:v>RS-02080</x:v>
      </x:c>
      <x:c r="C2081" s="8" t="n">
        <x:v>45420</x:v>
      </x:c>
      <x:c r="D2081" s="4" t="str">
        <x:v>Sales operations manager</x:v>
      </x:c>
      <x:c r="E2081" s="4" t="str">
        <x:v>Spreadsheet import</x:v>
      </x:c>
      <x:c r="F2081" s="4" t="str">
        <x:v>Record captured</x:v>
      </x:c>
      <x:c r="G2081" s="4" t="str">
        <x:v>Reserved</x:v>
      </x:c>
    </x:row>
    <x:row r="2082" ht="34" customHeight="1">
      <x:c r="A2082" s="4" t="str">
        <x:v>RS-02081-E1</x:v>
      </x:c>
      <x:c r="B2082" s="4" t="str">
        <x:v>RS-02081</x:v>
      </x:c>
      <x:c r="C2082" s="8" t="n">
        <x:v>45421</x:v>
      </x:c>
      <x:c r="D2082" s="4" t="str">
        <x:v>Sales operations manager</x:v>
      </x:c>
      <x:c r="E2082" s="4" t="str">
        <x:v>ERP form</x:v>
      </x:c>
      <x:c r="F2082" s="4" t="str">
        <x:v>Record captured</x:v>
      </x:c>
      <x:c r="G2082" s="4" t="str">
        <x:v>Agreement signed</x:v>
      </x:c>
    </x:row>
    <x:row r="2083" ht="34" customHeight="1">
      <x:c r="A2083" s="4" t="str">
        <x:v>RS-02082-E1</x:v>
      </x:c>
      <x:c r="B2083" s="4" t="str">
        <x:v>RS-02082</x:v>
      </x:c>
      <x:c r="C2083" s="8" t="n">
        <x:v>45422</x:v>
      </x:c>
      <x:c r="D2083" s="4" t="str">
        <x:v>Sales operations manager</x:v>
      </x:c>
      <x:c r="E2083" s="4" t="str">
        <x:v>ERP form</x:v>
      </x:c>
      <x:c r="F2083" s="4" t="str">
        <x:v>Record captured</x:v>
      </x:c>
      <x:c r="G2083" s="4" t="str">
        <x:v>Booked</x:v>
      </x:c>
    </x:row>
    <x:row r="2084" ht="34" customHeight="1">
      <x:c r="A2084" s="4" t="str">
        <x:v>RS-02083-E1</x:v>
      </x:c>
      <x:c r="B2084" s="4" t="str">
        <x:v>RS-02083</x:v>
      </x:c>
      <x:c r="C2084" s="8" t="n">
        <x:v>45423</x:v>
      </x:c>
      <x:c r="D2084" s="4" t="str">
        <x:v>Sales operations manager</x:v>
      </x:c>
      <x:c r="E2084" s="4" t="str">
        <x:v>Spreadsheet import</x:v>
      </x:c>
      <x:c r="F2084" s="4" t="str">
        <x:v>Record captured</x:v>
      </x:c>
      <x:c r="G2084" s="4" t="str">
        <x:v>Handed over</x:v>
      </x:c>
    </x:row>
    <x:row r="2085" ht="34" customHeight="1">
      <x:c r="A2085" s="4" t="str">
        <x:v>RS-02084-E1</x:v>
      </x:c>
      <x:c r="B2085" s="4" t="str">
        <x:v>RS-02084</x:v>
      </x:c>
      <x:c r="C2085" s="8" t="n">
        <x:v>45424</x:v>
      </x:c>
      <x:c r="D2085" s="4" t="str">
        <x:v>Sales operations manager</x:v>
      </x:c>
      <x:c r="E2085" s="4" t="str">
        <x:v>WhatsApp transcribed</x:v>
      </x:c>
      <x:c r="F2085" s="4" t="str">
        <x:v>Record captured</x:v>
      </x:c>
      <x:c r="G2085" s="4" t="str">
        <x:v>Enquiry</x:v>
      </x:c>
    </x:row>
    <x:row r="2086" ht="34" customHeight="1">
      <x:c r="A2086" s="4" t="str">
        <x:v>RS-02085-E1</x:v>
      </x:c>
      <x:c r="B2086" s="4" t="str">
        <x:v>RS-02085</x:v>
      </x:c>
      <x:c r="C2086" s="8" t="n">
        <x:v>45425</x:v>
      </x:c>
      <x:c r="D2086" s="4" t="str">
        <x:v>Sales operations manager</x:v>
      </x:c>
      <x:c r="E2086" s="4" t="str">
        <x:v>Spreadsheet import</x:v>
      </x:c>
      <x:c r="F2086" s="4" t="str">
        <x:v>Record captured</x:v>
      </x:c>
      <x:c r="G2086" s="4" t="str">
        <x:v>Enquiry</x:v>
      </x:c>
    </x:row>
    <x:row r="2087" ht="34" customHeight="1">
      <x:c r="A2087" s="4" t="str">
        <x:v>RS-02086-E1</x:v>
      </x:c>
      <x:c r="B2087" s="4" t="str">
        <x:v>RS-02086</x:v>
      </x:c>
      <x:c r="C2087" s="8" t="n">
        <x:v>45426</x:v>
      </x:c>
      <x:c r="D2087" s="4" t="str">
        <x:v>Sales operations manager</x:v>
      </x:c>
      <x:c r="E2087" s="4" t="str">
        <x:v>WhatsApp transcribed</x:v>
      </x:c>
      <x:c r="F2087" s="4" t="str">
        <x:v>Record captured</x:v>
      </x:c>
      <x:c r="G2087" s="4" t="str">
        <x:v>Cancelled</x:v>
      </x:c>
    </x:row>
    <x:row r="2088" ht="34" customHeight="1">
      <x:c r="A2088" s="4" t="str">
        <x:v>RS-02087-E1</x:v>
      </x:c>
      <x:c r="B2088" s="4" t="str">
        <x:v>RS-02087</x:v>
      </x:c>
      <x:c r="C2088" s="8" t="n">
        <x:v>45427</x:v>
      </x:c>
      <x:c r="D2088" s="4" t="str">
        <x:v>Sales operations manager</x:v>
      </x:c>
      <x:c r="E2088" s="4" t="str">
        <x:v>WhatsApp transcribed</x:v>
      </x:c>
      <x:c r="F2088" s="4" t="str">
        <x:v>Record captured</x:v>
      </x:c>
      <x:c r="G2088" s="4" t="str">
        <x:v>Cancelled</x:v>
      </x:c>
    </x:row>
    <x:row r="2089" ht="34" customHeight="1">
      <x:c r="A2089" s="4" t="str">
        <x:v>RS-02088-E1</x:v>
      </x:c>
      <x:c r="B2089" s="4" t="str">
        <x:v>RS-02088</x:v>
      </x:c>
      <x:c r="C2089" s="8" t="n">
        <x:v>45428</x:v>
      </x:c>
      <x:c r="D2089" s="4" t="str">
        <x:v>Sales operations manager</x:v>
      </x:c>
      <x:c r="E2089" s="4" t="str">
        <x:v>ERP form</x:v>
      </x:c>
      <x:c r="F2089" s="4" t="str">
        <x:v>Record captured</x:v>
      </x:c>
      <x:c r="G2089" s="4" t="str">
        <x:v>Enquiry</x:v>
      </x:c>
    </x:row>
    <x:row r="2090" ht="34" customHeight="1">
      <x:c r="A2090" s="4" t="str">
        <x:v>RS-02089-E1</x:v>
      </x:c>
      <x:c r="B2090" s="4" t="str">
        <x:v>RS-02089</x:v>
      </x:c>
      <x:c r="C2090" s="8" t="n">
        <x:v>45429</x:v>
      </x:c>
      <x:c r="D2090" s="4" t="str">
        <x:v>Sales operations manager</x:v>
      </x:c>
      <x:c r="E2090" s="4" t="str">
        <x:v>Spreadsheet import</x:v>
      </x:c>
      <x:c r="F2090" s="4" t="str">
        <x:v>Record captured</x:v>
      </x:c>
      <x:c r="G2090" s="4" t="str">
        <x:v>Handed over</x:v>
      </x:c>
    </x:row>
    <x:row r="2091" ht="34" customHeight="1">
      <x:c r="A2091" s="4" t="str">
        <x:v>RS-02090-E1</x:v>
      </x:c>
      <x:c r="B2091" s="4" t="str">
        <x:v>RS-02090</x:v>
      </x:c>
      <x:c r="C2091" s="8" t="n">
        <x:v>45430</x:v>
      </x:c>
      <x:c r="D2091" s="4" t="str">
        <x:v>Sales operations manager</x:v>
      </x:c>
      <x:c r="E2091" s="4" t="str">
        <x:v>Paper transcribed</x:v>
      </x:c>
      <x:c r="F2091" s="4" t="str">
        <x:v>Record captured</x:v>
      </x:c>
      <x:c r="G2091" s="4" t="str">
        <x:v>Reserved</x:v>
      </x:c>
    </x:row>
    <x:row r="2092" ht="34" customHeight="1">
      <x:c r="A2092" s="4" t="str">
        <x:v>RS-02091-E1</x:v>
      </x:c>
      <x:c r="B2092" s="4" t="str">
        <x:v>RS-02091</x:v>
      </x:c>
      <x:c r="C2092" s="8" t="n">
        <x:v>45431</x:v>
      </x:c>
      <x:c r="D2092" s="4" t="str">
        <x:v>Sales operations manager</x:v>
      </x:c>
      <x:c r="E2092" s="4" t="str">
        <x:v>Spreadsheet import</x:v>
      </x:c>
      <x:c r="F2092" s="4" t="str">
        <x:v>Record captured</x:v>
      </x:c>
      <x:c r="G2092" s="4" t="str">
        <x:v>Cancelled</x:v>
      </x:c>
    </x:row>
    <x:row r="2093" ht="34" customHeight="1">
      <x:c r="A2093" s="4" t="str">
        <x:v>RS-02092-E1</x:v>
      </x:c>
      <x:c r="B2093" s="4" t="str">
        <x:v>RS-02092</x:v>
      </x:c>
      <x:c r="C2093" s="8" t="n">
        <x:v>45432</x:v>
      </x:c>
      <x:c r="D2093" s="4" t="str">
        <x:v>Sales operations manager</x:v>
      </x:c>
      <x:c r="E2093" s="4" t="str">
        <x:v>WhatsApp transcribed</x:v>
      </x:c>
      <x:c r="F2093" s="4" t="str">
        <x:v>Record captured</x:v>
      </x:c>
      <x:c r="G2093" s="4" t="str">
        <x:v>Reserved</x:v>
      </x:c>
    </x:row>
    <x:row r="2094" ht="34" customHeight="1">
      <x:c r="A2094" s="4" t="str">
        <x:v>RS-02093-E1</x:v>
      </x:c>
      <x:c r="B2094" s="4" t="str">
        <x:v>RS-02093</x:v>
      </x:c>
      <x:c r="C2094" s="8" t="n">
        <x:v>45433</x:v>
      </x:c>
      <x:c r="D2094" s="4" t="str">
        <x:v>Sales operations manager</x:v>
      </x:c>
      <x:c r="E2094" s="4" t="str">
        <x:v>Paper transcribed</x:v>
      </x:c>
      <x:c r="F2094" s="4" t="str">
        <x:v>Record captured</x:v>
      </x:c>
      <x:c r="G2094" s="4" t="str">
        <x:v>Booked</x:v>
      </x:c>
    </x:row>
    <x:row r="2095" ht="34" customHeight="1">
      <x:c r="A2095" s="4" t="str">
        <x:v>RS-02094-E1</x:v>
      </x:c>
      <x:c r="B2095" s="4" t="str">
        <x:v>RS-02094</x:v>
      </x:c>
      <x:c r="C2095" s="8" t="n">
        <x:v>45434</x:v>
      </x:c>
      <x:c r="D2095" s="4" t="str">
        <x:v>Sales operations manager</x:v>
      </x:c>
      <x:c r="E2095" s="4" t="str">
        <x:v>Spreadsheet import</x:v>
      </x:c>
      <x:c r="F2095" s="4" t="str">
        <x:v>Record captured</x:v>
      </x:c>
      <x:c r="G2095" s="4" t="str">
        <x:v>Enquiry</x:v>
      </x:c>
    </x:row>
    <x:row r="2096" ht="34" customHeight="1">
      <x:c r="A2096" s="4" t="str">
        <x:v>RS-02095-E1</x:v>
      </x:c>
      <x:c r="B2096" s="4" t="str">
        <x:v>RS-02095</x:v>
      </x:c>
      <x:c r="C2096" s="8" t="n">
        <x:v>45435</x:v>
      </x:c>
      <x:c r="D2096" s="4" t="str">
        <x:v>Sales operations manager</x:v>
      </x:c>
      <x:c r="E2096" s="4" t="str">
        <x:v>ERP form</x:v>
      </x:c>
      <x:c r="F2096" s="4" t="str">
        <x:v>Record captured</x:v>
      </x:c>
      <x:c r="G2096" s="4" t="str">
        <x:v>Handed over</x:v>
      </x:c>
    </x:row>
    <x:row r="2097" ht="34" customHeight="1">
      <x:c r="A2097" s="4" t="str">
        <x:v>RS-02096-E1</x:v>
      </x:c>
      <x:c r="B2097" s="4" t="str">
        <x:v>RS-02096</x:v>
      </x:c>
      <x:c r="C2097" s="8" t="n">
        <x:v>45436</x:v>
      </x:c>
      <x:c r="D2097" s="4" t="str">
        <x:v>Sales operations manager</x:v>
      </x:c>
      <x:c r="E2097" s="4" t="str">
        <x:v>Spreadsheet import</x:v>
      </x:c>
      <x:c r="F2097" s="4" t="str">
        <x:v>Record captured</x:v>
      </x:c>
      <x:c r="G2097" s="4" t="str">
        <x:v>Handed over</x:v>
      </x:c>
    </x:row>
    <x:row r="2098" ht="34" customHeight="1">
      <x:c r="A2098" s="4" t="str">
        <x:v>RS-02097-E1</x:v>
      </x:c>
      <x:c r="B2098" s="4" t="str">
        <x:v>RS-02097</x:v>
      </x:c>
      <x:c r="C2098" s="8" t="n">
        <x:v>45437</x:v>
      </x:c>
      <x:c r="D2098" s="4" t="str">
        <x:v>Sales operations manager</x:v>
      </x:c>
      <x:c r="E2098" s="4" t="str">
        <x:v>ERP form</x:v>
      </x:c>
      <x:c r="F2098" s="4" t="str">
        <x:v>Record captured</x:v>
      </x:c>
      <x:c r="G2098" s="4" t="str">
        <x:v>Agreement signed</x:v>
      </x:c>
    </x:row>
    <x:row r="2099" ht="34" customHeight="1">
      <x:c r="A2099" s="4" t="str">
        <x:v>RS-02098-E1</x:v>
      </x:c>
      <x:c r="B2099" s="4" t="str">
        <x:v>RS-02098</x:v>
      </x:c>
      <x:c r="C2099" s="8" t="n">
        <x:v>45438</x:v>
      </x:c>
      <x:c r="D2099" s="4" t="str">
        <x:v>Sales operations manager</x:v>
      </x:c>
      <x:c r="E2099" s="4" t="str">
        <x:v>Paper transcribed</x:v>
      </x:c>
      <x:c r="F2099" s="4" t="str">
        <x:v>Record captured</x:v>
      </x:c>
      <x:c r="G2099" s="4" t="str">
        <x:v>Reserved</x:v>
      </x:c>
    </x:row>
    <x:row r="2100" ht="34" customHeight="1">
      <x:c r="A2100" s="4" t="str">
        <x:v>RS-02099-E1</x:v>
      </x:c>
      <x:c r="B2100" s="4" t="str">
        <x:v>RS-02099</x:v>
      </x:c>
      <x:c r="C2100" s="8" t="n">
        <x:v>45439</x:v>
      </x:c>
      <x:c r="D2100" s="4" t="str">
        <x:v>Sales operations manager</x:v>
      </x:c>
      <x:c r="E2100" s="4" t="str">
        <x:v>Spreadsheet import</x:v>
      </x:c>
      <x:c r="F2100" s="4" t="str">
        <x:v>Record captured</x:v>
      </x:c>
      <x:c r="G2100" s="4" t="str">
        <x:v>Agreement signed</x:v>
      </x:c>
    </x:row>
    <x:row r="2101" ht="34" customHeight="1">
      <x:c r="A2101" s="4" t="str">
        <x:v>RS-02100-E1</x:v>
      </x:c>
      <x:c r="B2101" s="4" t="str">
        <x:v>RS-02100</x:v>
      </x:c>
      <x:c r="C2101" s="8" t="n">
        <x:v>45440</x:v>
      </x:c>
      <x:c r="D2101" s="4" t="str">
        <x:v>Sales operations manager</x:v>
      </x:c>
      <x:c r="E2101" s="4" t="str">
        <x:v>ERP form</x:v>
      </x:c>
      <x:c r="F2101" s="4" t="str">
        <x:v>Record captured</x:v>
      </x:c>
      <x:c r="G2101" s="4" t="str">
        <x:v>Agreement signed</x:v>
      </x:c>
    </x:row>
    <x:row r="2102" ht="34" customHeight="1">
      <x:c r="A2102" s="4" t="str">
        <x:v>RS-02101-E1</x:v>
      </x:c>
      <x:c r="B2102" s="4" t="str">
        <x:v>RS-02101</x:v>
      </x:c>
      <x:c r="C2102" s="8" t="n">
        <x:v>45413</x:v>
      </x:c>
      <x:c r="D2102" s="4" t="str">
        <x:v>Sales operations manager</x:v>
      </x:c>
      <x:c r="E2102" s="4" t="str">
        <x:v>WhatsApp transcribed</x:v>
      </x:c>
      <x:c r="F2102" s="4" t="str">
        <x:v>Record captured</x:v>
      </x:c>
      <x:c r="G2102" s="4" t="str">
        <x:v>Cancelled</x:v>
      </x:c>
    </x:row>
    <x:row r="2103" ht="34" customHeight="1">
      <x:c r="A2103" s="4" t="str">
        <x:v>RS-02102-E1</x:v>
      </x:c>
      <x:c r="B2103" s="4" t="str">
        <x:v>RS-02102</x:v>
      </x:c>
      <x:c r="C2103" s="8" t="n">
        <x:v>45414</x:v>
      </x:c>
      <x:c r="D2103" s="4" t="str">
        <x:v>Sales operations manager</x:v>
      </x:c>
      <x:c r="E2103" s="4" t="str">
        <x:v>WhatsApp transcribed</x:v>
      </x:c>
      <x:c r="F2103" s="4" t="str">
        <x:v>Record captured</x:v>
      </x:c>
      <x:c r="G2103" s="4" t="str">
        <x:v>Reserved</x:v>
      </x:c>
    </x:row>
    <x:row r="2104" ht="34" customHeight="1">
      <x:c r="A2104" s="4" t="str">
        <x:v>RS-02103-E1</x:v>
      </x:c>
      <x:c r="B2104" s="4" t="str">
        <x:v>RS-02103</x:v>
      </x:c>
      <x:c r="C2104" s="8" t="n">
        <x:v>45415</x:v>
      </x:c>
      <x:c r="D2104" s="4" t="str">
        <x:v>Sales operations manager</x:v>
      </x:c>
      <x:c r="E2104" s="4" t="str">
        <x:v>Spreadsheet import</x:v>
      </x:c>
      <x:c r="F2104" s="4" t="str">
        <x:v>Record captured</x:v>
      </x:c>
      <x:c r="G2104" s="4" t="str">
        <x:v>Booked</x:v>
      </x:c>
    </x:row>
    <x:row r="2105" ht="34" customHeight="1">
      <x:c r="A2105" s="4" t="str">
        <x:v>RS-02104-E1</x:v>
      </x:c>
      <x:c r="B2105" s="4" t="str">
        <x:v>RS-02104</x:v>
      </x:c>
      <x:c r="C2105" s="8" t="n">
        <x:v>45416</x:v>
      </x:c>
      <x:c r="D2105" s="4" t="str">
        <x:v>Sales operations manager</x:v>
      </x:c>
      <x:c r="E2105" s="4" t="str">
        <x:v>Paper transcribed</x:v>
      </x:c>
      <x:c r="F2105" s="4" t="str">
        <x:v>Record captured</x:v>
      </x:c>
      <x:c r="G2105" s="4" t="str">
        <x:v>Reserved</x:v>
      </x:c>
    </x:row>
    <x:row r="2106" ht="34" customHeight="1">
      <x:c r="A2106" s="4" t="str">
        <x:v>RS-02105-E1</x:v>
      </x:c>
      <x:c r="B2106" s="4" t="str">
        <x:v>RS-02105</x:v>
      </x:c>
      <x:c r="C2106" s="8" t="n">
        <x:v>45417</x:v>
      </x:c>
      <x:c r="D2106" s="4" t="str">
        <x:v>Sales operations manager</x:v>
      </x:c>
      <x:c r="E2106" s="4" t="str">
        <x:v>WhatsApp transcribed</x:v>
      </x:c>
      <x:c r="F2106" s="4" t="str">
        <x:v>Record captured</x:v>
      </x:c>
      <x:c r="G2106" s="4" t="str">
        <x:v>Booked</x:v>
      </x:c>
    </x:row>
    <x:row r="2107" ht="34" customHeight="1">
      <x:c r="A2107" s="4" t="str">
        <x:v>RS-02106-E1</x:v>
      </x:c>
      <x:c r="B2107" s="4" t="str">
        <x:v>RS-02106</x:v>
      </x:c>
      <x:c r="C2107" s="8" t="n">
        <x:v>45418</x:v>
      </x:c>
      <x:c r="D2107" s="4" t="str">
        <x:v>Sales operations manager</x:v>
      </x:c>
      <x:c r="E2107" s="4" t="str">
        <x:v>Paper transcribed</x:v>
      </x:c>
      <x:c r="F2107" s="4" t="str">
        <x:v>Record captured</x:v>
      </x:c>
      <x:c r="G2107" s="4" t="str">
        <x:v>Agreement signed</x:v>
      </x:c>
    </x:row>
    <x:row r="2108" ht="34" customHeight="1">
      <x:c r="A2108" s="4" t="str">
        <x:v>RS-02107-E1</x:v>
      </x:c>
      <x:c r="B2108" s="4" t="str">
        <x:v>RS-02107</x:v>
      </x:c>
      <x:c r="C2108" s="8" t="n">
        <x:v>45419</x:v>
      </x:c>
      <x:c r="D2108" s="4" t="str">
        <x:v>Sales operations manager</x:v>
      </x:c>
      <x:c r="E2108" s="4" t="str">
        <x:v>ERP form</x:v>
      </x:c>
      <x:c r="F2108" s="4" t="str">
        <x:v>Record captured</x:v>
      </x:c>
      <x:c r="G2108" s="4" t="str">
        <x:v>Cancelled</x:v>
      </x:c>
    </x:row>
    <x:row r="2109" ht="34" customHeight="1">
      <x:c r="A2109" s="4" t="str">
        <x:v>RS-02108-E1</x:v>
      </x:c>
      <x:c r="B2109" s="4" t="str">
        <x:v>RS-02108</x:v>
      </x:c>
      <x:c r="C2109" s="8" t="n">
        <x:v>45420</x:v>
      </x:c>
      <x:c r="D2109" s="4" t="str">
        <x:v>Sales operations manager</x:v>
      </x:c>
      <x:c r="E2109" s="4" t="str">
        <x:v>WhatsApp transcribed</x:v>
      </x:c>
      <x:c r="F2109" s="4" t="str">
        <x:v>Record captured</x:v>
      </x:c>
      <x:c r="G2109" s="4" t="str">
        <x:v>Cancelled</x:v>
      </x:c>
    </x:row>
    <x:row r="2110" ht="34" customHeight="1">
      <x:c r="A2110" s="4" t="str">
        <x:v>RS-02109-E1</x:v>
      </x:c>
      <x:c r="B2110" s="4" t="str">
        <x:v>RS-02109</x:v>
      </x:c>
      <x:c r="C2110" s="8" t="n">
        <x:v>45421</x:v>
      </x:c>
      <x:c r="D2110" s="4" t="str">
        <x:v>Sales operations manager</x:v>
      </x:c>
      <x:c r="E2110" s="4" t="str">
        <x:v>Spreadsheet import</x:v>
      </x:c>
      <x:c r="F2110" s="4" t="str">
        <x:v>Record captured</x:v>
      </x:c>
      <x:c r="G2110" s="4" t="str">
        <x:v>Booked</x:v>
      </x:c>
    </x:row>
    <x:row r="2111" ht="34" customHeight="1">
      <x:c r="A2111" s="4" t="str">
        <x:v>RS-02110-E1</x:v>
      </x:c>
      <x:c r="B2111" s="4" t="str">
        <x:v>RS-02110</x:v>
      </x:c>
      <x:c r="C2111" s="8" t="n">
        <x:v>45422</x:v>
      </x:c>
      <x:c r="D2111" s="4" t="str">
        <x:v>Sales operations manager</x:v>
      </x:c>
      <x:c r="E2111" s="4" t="str">
        <x:v>Paper transcribed</x:v>
      </x:c>
      <x:c r="F2111" s="4" t="str">
        <x:v>Record captured</x:v>
      </x:c>
      <x:c r="G2111" s="4" t="str">
        <x:v>Enquiry</x:v>
      </x:c>
    </x:row>
    <x:row r="2112" ht="34" customHeight="1">
      <x:c r="A2112" s="4" t="str">
        <x:v>RS-02111-E1</x:v>
      </x:c>
      <x:c r="B2112" s="4" t="str">
        <x:v>RS-02111</x:v>
      </x:c>
      <x:c r="C2112" s="8" t="n">
        <x:v>45423</x:v>
      </x:c>
      <x:c r="D2112" s="4" t="str">
        <x:v>Sales operations manager</x:v>
      </x:c>
      <x:c r="E2112" s="4" t="str">
        <x:v>WhatsApp transcribed</x:v>
      </x:c>
      <x:c r="F2112" s="4" t="str">
        <x:v>Record captured</x:v>
      </x:c>
      <x:c r="G2112" s="4" t="str">
        <x:v>Enquiry</x:v>
      </x:c>
    </x:row>
    <x:row r="2113" ht="34" customHeight="1">
      <x:c r="A2113" s="4" t="str">
        <x:v>RS-02112-E1</x:v>
      </x:c>
      <x:c r="B2113" s="4" t="str">
        <x:v>RS-02112</x:v>
      </x:c>
      <x:c r="C2113" s="8" t="n">
        <x:v>45424</x:v>
      </x:c>
      <x:c r="D2113" s="4" t="str">
        <x:v>Sales operations manager</x:v>
      </x:c>
      <x:c r="E2113" s="4" t="str">
        <x:v>ERP form</x:v>
      </x:c>
      <x:c r="F2113" s="4" t="str">
        <x:v>Record captured</x:v>
      </x:c>
      <x:c r="G2113" s="4" t="str">
        <x:v>Enquiry</x:v>
      </x:c>
    </x:row>
    <x:row r="2114" ht="34" customHeight="1">
      <x:c r="A2114" s="4" t="str">
        <x:v>RS-02113-E1</x:v>
      </x:c>
      <x:c r="B2114" s="4" t="str">
        <x:v>RS-02113</x:v>
      </x:c>
      <x:c r="C2114" s="8" t="n">
        <x:v>45425</x:v>
      </x:c>
      <x:c r="D2114" s="4" t="str">
        <x:v>Sales operations manager</x:v>
      </x:c>
      <x:c r="E2114" s="4" t="str">
        <x:v>WhatsApp transcribed</x:v>
      </x:c>
      <x:c r="F2114" s="4" t="str">
        <x:v>Record captured</x:v>
      </x:c>
      <x:c r="G2114" s="4" t="str">
        <x:v>Booked</x:v>
      </x:c>
    </x:row>
    <x:row r="2115" ht="34" customHeight="1">
      <x:c r="A2115" s="4" t="str">
        <x:v>RS-02114-E1</x:v>
      </x:c>
      <x:c r="B2115" s="4" t="str">
        <x:v>RS-02114</x:v>
      </x:c>
      <x:c r="C2115" s="8" t="n">
        <x:v>45426</x:v>
      </x:c>
      <x:c r="D2115" s="4" t="str">
        <x:v>Sales operations manager</x:v>
      </x:c>
      <x:c r="E2115" s="4" t="str">
        <x:v>Paper transcribed</x:v>
      </x:c>
      <x:c r="F2115" s="4" t="str">
        <x:v>Record captured</x:v>
      </x:c>
      <x:c r="G2115" s="4" t="str">
        <x:v>Handed over</x:v>
      </x:c>
    </x:row>
    <x:row r="2116" ht="34" customHeight="1">
      <x:c r="A2116" s="4" t="str">
        <x:v>RS-02115-E1</x:v>
      </x:c>
      <x:c r="B2116" s="4" t="str">
        <x:v>RS-02115</x:v>
      </x:c>
      <x:c r="C2116" s="8" t="n">
        <x:v>45427</x:v>
      </x:c>
      <x:c r="D2116" s="4" t="str">
        <x:v>Sales operations manager</x:v>
      </x:c>
      <x:c r="E2116" s="4" t="str">
        <x:v>Spreadsheet import</x:v>
      </x:c>
      <x:c r="F2116" s="4" t="str">
        <x:v>Record captured</x:v>
      </x:c>
      <x:c r="G2116" s="4" t="str">
        <x:v>Handed over</x:v>
      </x:c>
    </x:row>
    <x:row r="2117" ht="34" customHeight="1">
      <x:c r="A2117" s="4" t="str">
        <x:v>RS-02116-E1</x:v>
      </x:c>
      <x:c r="B2117" s="4" t="str">
        <x:v>RS-02116</x:v>
      </x:c>
      <x:c r="C2117" s="8" t="n">
        <x:v>45428</x:v>
      </x:c>
      <x:c r="D2117" s="4" t="str">
        <x:v>Sales operations manager</x:v>
      </x:c>
      <x:c r="E2117" s="4" t="str">
        <x:v>Spreadsheet import</x:v>
      </x:c>
      <x:c r="F2117" s="4" t="str">
        <x:v>Record captured</x:v>
      </x:c>
      <x:c r="G2117" s="4" t="str">
        <x:v>Booked</x:v>
      </x:c>
    </x:row>
    <x:row r="2118" ht="34" customHeight="1">
      <x:c r="A2118" s="4" t="str">
        <x:v>RS-02117-E1</x:v>
      </x:c>
      <x:c r="B2118" s="4" t="str">
        <x:v>RS-02117</x:v>
      </x:c>
      <x:c r="C2118" s="8" t="n">
        <x:v>45429</x:v>
      </x:c>
      <x:c r="D2118" s="4" t="str">
        <x:v>Sales operations manager</x:v>
      </x:c>
      <x:c r="E2118" s="4" t="str">
        <x:v>Paper transcribed</x:v>
      </x:c>
      <x:c r="F2118" s="4" t="str">
        <x:v>Record captured</x:v>
      </x:c>
      <x:c r="G2118" s="4" t="str">
        <x:v>Cancelled</x:v>
      </x:c>
    </x:row>
    <x:row r="2119" ht="34" customHeight="1">
      <x:c r="A2119" s="4" t="str">
        <x:v>RS-02118-E1</x:v>
      </x:c>
      <x:c r="B2119" s="4" t="str">
        <x:v>RS-02118</x:v>
      </x:c>
      <x:c r="C2119" s="8" t="n">
        <x:v>45430</x:v>
      </x:c>
      <x:c r="D2119" s="4" t="str">
        <x:v>Sales operations manager</x:v>
      </x:c>
      <x:c r="E2119" s="4" t="str">
        <x:v>ERP form</x:v>
      </x:c>
      <x:c r="F2119" s="4" t="str">
        <x:v>Record captured</x:v>
      </x:c>
      <x:c r="G2119" s="4" t="str">
        <x:v>Agreement signed</x:v>
      </x:c>
    </x:row>
    <x:row r="2120" ht="34" customHeight="1">
      <x:c r="A2120" s="4" t="str">
        <x:v>RS-02119-E1</x:v>
      </x:c>
      <x:c r="B2120" s="4" t="str">
        <x:v>RS-02119</x:v>
      </x:c>
      <x:c r="C2120" s="8" t="n">
        <x:v>45431</x:v>
      </x:c>
      <x:c r="D2120" s="4" t="str">
        <x:v>Sales operations manager</x:v>
      </x:c>
      <x:c r="E2120" s="4" t="str">
        <x:v>ERP form</x:v>
      </x:c>
      <x:c r="F2120" s="4" t="str">
        <x:v>Record captured</x:v>
      </x:c>
      <x:c r="G2120" s="4" t="str">
        <x:v>Reserved</x:v>
      </x:c>
    </x:row>
    <x:row r="2121" ht="34" customHeight="1">
      <x:c r="A2121" s="4" t="str">
        <x:v>RS-02120-E1</x:v>
      </x:c>
      <x:c r="B2121" s="4" t="str">
        <x:v>RS-02120</x:v>
      </x:c>
      <x:c r="C2121" s="8" t="n">
        <x:v>45432</x:v>
      </x:c>
      <x:c r="D2121" s="4" t="str">
        <x:v>Sales operations manager</x:v>
      </x:c>
      <x:c r="E2121" s="4" t="str">
        <x:v>ERP form</x:v>
      </x:c>
      <x:c r="F2121" s="4" t="str">
        <x:v>Record captured</x:v>
      </x:c>
      <x:c r="G2121" s="4" t="str">
        <x:v>Reserved</x:v>
      </x:c>
    </x:row>
    <x:row r="2122" ht="34" customHeight="1">
      <x:c r="A2122" s="4" t="str">
        <x:v>RS-02121-E1</x:v>
      </x:c>
      <x:c r="B2122" s="4" t="str">
        <x:v>RS-02121</x:v>
      </x:c>
      <x:c r="C2122" s="8" t="n">
        <x:v>45433</x:v>
      </x:c>
      <x:c r="D2122" s="4" t="str">
        <x:v>Sales operations manager</x:v>
      </x:c>
      <x:c r="E2122" s="4" t="str">
        <x:v>Paper transcribed</x:v>
      </x:c>
      <x:c r="F2122" s="4" t="str">
        <x:v>Record captured</x:v>
      </x:c>
      <x:c r="G2122" s="4" t="str">
        <x:v>Agreement signed</x:v>
      </x:c>
    </x:row>
    <x:row r="2123" ht="34" customHeight="1">
      <x:c r="A2123" s="4" t="str">
        <x:v>RS-02122-E1</x:v>
      </x:c>
      <x:c r="B2123" s="4" t="str">
        <x:v>RS-02122</x:v>
      </x:c>
      <x:c r="C2123" s="8" t="n">
        <x:v>45434</x:v>
      </x:c>
      <x:c r="D2123" s="4" t="str">
        <x:v>Sales operations manager</x:v>
      </x:c>
      <x:c r="E2123" s="4" t="str">
        <x:v>Paper transcribed</x:v>
      </x:c>
      <x:c r="F2123" s="4" t="str">
        <x:v>Record captured</x:v>
      </x:c>
      <x:c r="G2123" s="4" t="str">
        <x:v>Booked</x:v>
      </x:c>
    </x:row>
    <x:row r="2124" ht="34" customHeight="1">
      <x:c r="A2124" s="4" t="str">
        <x:v>RS-02123-E1</x:v>
      </x:c>
      <x:c r="B2124" s="4" t="str">
        <x:v>RS-02123</x:v>
      </x:c>
      <x:c r="C2124" s="8" t="n">
        <x:v>45435</x:v>
      </x:c>
      <x:c r="D2124" s="4" t="str">
        <x:v>Sales operations manager</x:v>
      </x:c>
      <x:c r="E2124" s="4" t="str">
        <x:v>Spreadsheet import</x:v>
      </x:c>
      <x:c r="F2124" s="4" t="str">
        <x:v>Record captured</x:v>
      </x:c>
      <x:c r="G2124" s="4" t="str">
        <x:v>Booked</x:v>
      </x:c>
    </x:row>
    <x:row r="2125" ht="34" customHeight="1">
      <x:c r="A2125" s="4" t="str">
        <x:v>RS-02124-E1</x:v>
      </x:c>
      <x:c r="B2125" s="4" t="str">
        <x:v>RS-02124</x:v>
      </x:c>
      <x:c r="C2125" s="8" t="n">
        <x:v>45436</x:v>
      </x:c>
      <x:c r="D2125" s="4" t="str">
        <x:v>Sales operations manager</x:v>
      </x:c>
      <x:c r="E2125" s="4" t="str">
        <x:v>ERP form</x:v>
      </x:c>
      <x:c r="F2125" s="4" t="str">
        <x:v>Record captured</x:v>
      </x:c>
      <x:c r="G2125" s="4" t="str">
        <x:v>Reserved</x:v>
      </x:c>
    </x:row>
    <x:row r="2126" ht="34" customHeight="1">
      <x:c r="A2126" s="4" t="str">
        <x:v>RS-02125-E1</x:v>
      </x:c>
      <x:c r="B2126" s="4" t="str">
        <x:v>RS-02125</x:v>
      </x:c>
      <x:c r="C2126" s="8" t="n">
        <x:v>45437</x:v>
      </x:c>
      <x:c r="D2126" s="4" t="str">
        <x:v>Sales operations manager</x:v>
      </x:c>
      <x:c r="E2126" s="4" t="str">
        <x:v>WhatsApp transcribed</x:v>
      </x:c>
      <x:c r="F2126" s="4" t="str">
        <x:v>Record captured</x:v>
      </x:c>
      <x:c r="G2126" s="4" t="str">
        <x:v>Reserved</x:v>
      </x:c>
    </x:row>
    <x:row r="2127" ht="34" customHeight="1">
      <x:c r="A2127" s="4" t="str">
        <x:v>RS-02126-E1</x:v>
      </x:c>
      <x:c r="B2127" s="4" t="str">
        <x:v>RS-02126</x:v>
      </x:c>
      <x:c r="C2127" s="8" t="n">
        <x:v>45438</x:v>
      </x:c>
      <x:c r="D2127" s="4" t="str">
        <x:v>Sales operations manager</x:v>
      </x:c>
      <x:c r="E2127" s="4" t="str">
        <x:v>ERP form</x:v>
      </x:c>
      <x:c r="F2127" s="4" t="str">
        <x:v>Record captured</x:v>
      </x:c>
      <x:c r="G2127" s="4" t="str">
        <x:v>Cancelled</x:v>
      </x:c>
    </x:row>
    <x:row r="2128" ht="34" customHeight="1">
      <x:c r="A2128" s="4" t="str">
        <x:v>RS-02127-E1</x:v>
      </x:c>
      <x:c r="B2128" s="4" t="str">
        <x:v>RS-02127</x:v>
      </x:c>
      <x:c r="C2128" s="8" t="n">
        <x:v>45439</x:v>
      </x:c>
      <x:c r="D2128" s="4" t="str">
        <x:v>Sales operations manager</x:v>
      </x:c>
      <x:c r="E2128" s="4" t="str">
        <x:v>ERP form</x:v>
      </x:c>
      <x:c r="F2128" s="4" t="str">
        <x:v>Record captured</x:v>
      </x:c>
      <x:c r="G2128" s="4" t="str">
        <x:v>Handed over</x:v>
      </x:c>
    </x:row>
    <x:row r="2129" ht="34" customHeight="1">
      <x:c r="A2129" s="4" t="str">
        <x:v>RS-02128-E1</x:v>
      </x:c>
      <x:c r="B2129" s="4" t="str">
        <x:v>RS-02128</x:v>
      </x:c>
      <x:c r="C2129" s="8" t="n">
        <x:v>45440</x:v>
      </x:c>
      <x:c r="D2129" s="4" t="str">
        <x:v>Sales operations manager</x:v>
      </x:c>
      <x:c r="E2129" s="4" t="str">
        <x:v>ERP form</x:v>
      </x:c>
      <x:c r="F2129" s="4" t="str">
        <x:v>Record captured</x:v>
      </x:c>
      <x:c r="G2129" s="4" t="str">
        <x:v>Enquiry</x:v>
      </x:c>
    </x:row>
    <x:row r="2130" ht="34" customHeight="1">
      <x:c r="A2130" s="4" t="str">
        <x:v>RS-02129-E1</x:v>
      </x:c>
      <x:c r="B2130" s="4" t="str">
        <x:v>RS-02129</x:v>
      </x:c>
      <x:c r="C2130" s="8" t="n">
        <x:v>45413</x:v>
      </x:c>
      <x:c r="D2130" s="4" t="str">
        <x:v>Sales operations manager</x:v>
      </x:c>
      <x:c r="E2130" s="4" t="str">
        <x:v>Paper transcribed</x:v>
      </x:c>
      <x:c r="F2130" s="4" t="str">
        <x:v>Record captured</x:v>
      </x:c>
      <x:c r="G2130" s="4" t="str">
        <x:v>Enquiry</x:v>
      </x:c>
    </x:row>
    <x:row r="2131" ht="34" customHeight="1">
      <x:c r="A2131" s="4" t="str">
        <x:v>RS-02130-E1</x:v>
      </x:c>
      <x:c r="B2131" s="4" t="str">
        <x:v>RS-02130</x:v>
      </x:c>
      <x:c r="C2131" s="8" t="n">
        <x:v>45414</x:v>
      </x:c>
      <x:c r="D2131" s="4" t="str">
        <x:v>Sales operations manager</x:v>
      </x:c>
      <x:c r="E2131" s="4" t="str">
        <x:v>Paper transcribed</x:v>
      </x:c>
      <x:c r="F2131" s="4" t="str">
        <x:v>Record captured</x:v>
      </x:c>
      <x:c r="G2131" s="4" t="str">
        <x:v>Handed over</x:v>
      </x:c>
    </x:row>
    <x:row r="2132" ht="34" customHeight="1">
      <x:c r="A2132" s="4" t="str">
        <x:v>RS-02131-E1</x:v>
      </x:c>
      <x:c r="B2132" s="4" t="str">
        <x:v>RS-02131</x:v>
      </x:c>
      <x:c r="C2132" s="8" t="n">
        <x:v>45415</x:v>
      </x:c>
      <x:c r="D2132" s="4" t="str">
        <x:v>Sales operations manager</x:v>
      </x:c>
      <x:c r="E2132" s="4" t="str">
        <x:v>WhatsApp transcribed</x:v>
      </x:c>
      <x:c r="F2132" s="4" t="str">
        <x:v>Record captured</x:v>
      </x:c>
      <x:c r="G2132" s="4" t="str">
        <x:v>Handed over</x:v>
      </x:c>
    </x:row>
    <x:row r="2133" ht="34" customHeight="1">
      <x:c r="A2133" s="4" t="str">
        <x:v>RS-02132-E1</x:v>
      </x:c>
      <x:c r="B2133" s="4" t="str">
        <x:v>RS-02132</x:v>
      </x:c>
      <x:c r="C2133" s="8" t="n">
        <x:v>45416</x:v>
      </x:c>
      <x:c r="D2133" s="4" t="str">
        <x:v>Sales operations manager</x:v>
      </x:c>
      <x:c r="E2133" s="4" t="str">
        <x:v>Paper transcribed</x:v>
      </x:c>
      <x:c r="F2133" s="4" t="str">
        <x:v>Record captured</x:v>
      </x:c>
      <x:c r="G2133" s="4" t="str">
        <x:v>Cancelled</x:v>
      </x:c>
    </x:row>
    <x:row r="2134" ht="34" customHeight="1">
      <x:c r="A2134" s="4" t="str">
        <x:v>RS-02133-E1</x:v>
      </x:c>
      <x:c r="B2134" s="4" t="str">
        <x:v>RS-02133</x:v>
      </x:c>
      <x:c r="C2134" s="8" t="n">
        <x:v>45417</x:v>
      </x:c>
      <x:c r="D2134" s="4" t="str">
        <x:v>Sales operations manager</x:v>
      </x:c>
      <x:c r="E2134" s="4" t="str">
        <x:v>Spreadsheet import</x:v>
      </x:c>
      <x:c r="F2134" s="4" t="str">
        <x:v>Record captured</x:v>
      </x:c>
      <x:c r="G2134" s="4" t="str">
        <x:v>Enquiry</x:v>
      </x:c>
    </x:row>
    <x:row r="2135" ht="34" customHeight="1">
      <x:c r="A2135" s="4" t="str">
        <x:v>RS-02134-E1</x:v>
      </x:c>
      <x:c r="B2135" s="4" t="str">
        <x:v>RS-02134</x:v>
      </x:c>
      <x:c r="C2135" s="8" t="n">
        <x:v>45418</x:v>
      </x:c>
      <x:c r="D2135" s="4" t="str">
        <x:v>Sales operations manager</x:v>
      </x:c>
      <x:c r="E2135" s="4" t="str">
        <x:v>Spreadsheet import</x:v>
      </x:c>
      <x:c r="F2135" s="4" t="str">
        <x:v>Record captured</x:v>
      </x:c>
      <x:c r="G2135" s="4" t="str">
        <x:v>Booked</x:v>
      </x:c>
    </x:row>
    <x:row r="2136" ht="34" customHeight="1">
      <x:c r="A2136" s="4" t="str">
        <x:v>RS-02135-E1</x:v>
      </x:c>
      <x:c r="B2136" s="4" t="str">
        <x:v>RS-02135</x:v>
      </x:c>
      <x:c r="C2136" s="8" t="n">
        <x:v>45419</x:v>
      </x:c>
      <x:c r="D2136" s="4" t="str">
        <x:v>Sales operations manager</x:v>
      </x:c>
      <x:c r="E2136" s="4" t="str">
        <x:v>ERP form</x:v>
      </x:c>
      <x:c r="F2136" s="4" t="str">
        <x:v>Record captured</x:v>
      </x:c>
      <x:c r="G2136" s="4" t="str">
        <x:v>Enquiry</x:v>
      </x:c>
    </x:row>
    <x:row r="2137" ht="34" customHeight="1">
      <x:c r="A2137" s="4" t="str">
        <x:v>RS-02136-E1</x:v>
      </x:c>
      <x:c r="B2137" s="4" t="str">
        <x:v>RS-02136</x:v>
      </x:c>
      <x:c r="C2137" s="8" t="n">
        <x:v>45420</x:v>
      </x:c>
      <x:c r="D2137" s="4" t="str">
        <x:v>Sales operations manager</x:v>
      </x:c>
      <x:c r="E2137" s="4" t="str">
        <x:v>WhatsApp transcribed</x:v>
      </x:c>
      <x:c r="F2137" s="4" t="str">
        <x:v>Record captured</x:v>
      </x:c>
      <x:c r="G2137" s="4" t="str">
        <x:v>Cancelled</x:v>
      </x:c>
    </x:row>
    <x:row r="2138" ht="34" customHeight="1">
      <x:c r="A2138" s="4" t="str">
        <x:v>RS-02137-E1</x:v>
      </x:c>
      <x:c r="B2138" s="4" t="str">
        <x:v>RS-02137</x:v>
      </x:c>
      <x:c r="C2138" s="8" t="n">
        <x:v>45421</x:v>
      </x:c>
      <x:c r="D2138" s="4" t="str">
        <x:v>Sales operations manager</x:v>
      </x:c>
      <x:c r="E2138" s="4" t="str">
        <x:v>Spreadsheet import</x:v>
      </x:c>
      <x:c r="F2138" s="4" t="str">
        <x:v>Record captured</x:v>
      </x:c>
      <x:c r="G2138" s="4" t="str">
        <x:v>Cancelled</x:v>
      </x:c>
    </x:row>
    <x:row r="2139" ht="34" customHeight="1">
      <x:c r="A2139" s="4" t="str">
        <x:v>RS-02138-E1</x:v>
      </x:c>
      <x:c r="B2139" s="4" t="str">
        <x:v>RS-02138</x:v>
      </x:c>
      <x:c r="C2139" s="8" t="n">
        <x:v>45422</x:v>
      </x:c>
      <x:c r="D2139" s="4" t="str">
        <x:v>Sales operations manager</x:v>
      </x:c>
      <x:c r="E2139" s="4" t="str">
        <x:v>Spreadsheet import</x:v>
      </x:c>
      <x:c r="F2139" s="4" t="str">
        <x:v>Record captured</x:v>
      </x:c>
      <x:c r="G2139" s="4" t="str">
        <x:v>Cancelled</x:v>
      </x:c>
    </x:row>
    <x:row r="2140" ht="34" customHeight="1">
      <x:c r="A2140" s="4" t="str">
        <x:v>RS-02139-E1</x:v>
      </x:c>
      <x:c r="B2140" s="4" t="str">
        <x:v>RS-02139</x:v>
      </x:c>
      <x:c r="C2140" s="8" t="n">
        <x:v>45423</x:v>
      </x:c>
      <x:c r="D2140" s="4" t="str">
        <x:v>Sales operations manager</x:v>
      </x:c>
      <x:c r="E2140" s="4" t="str">
        <x:v>Paper transcribed</x:v>
      </x:c>
      <x:c r="F2140" s="4" t="str">
        <x:v>Record captured</x:v>
      </x:c>
      <x:c r="G2140" s="4" t="str">
        <x:v>Enquiry</x:v>
      </x:c>
    </x:row>
    <x:row r="2141" ht="34" customHeight="1">
      <x:c r="A2141" s="4" t="str">
        <x:v>RS-02140-E1</x:v>
      </x:c>
      <x:c r="B2141" s="4" t="str">
        <x:v>RS-02140</x:v>
      </x:c>
      <x:c r="C2141" s="8" t="n">
        <x:v>45424</x:v>
      </x:c>
      <x:c r="D2141" s="4" t="str">
        <x:v>Sales operations manager</x:v>
      </x:c>
      <x:c r="E2141" s="4" t="str">
        <x:v>WhatsApp transcribed</x:v>
      </x:c>
      <x:c r="F2141" s="4" t="str">
        <x:v>Record captured</x:v>
      </x:c>
      <x:c r="G2141" s="4" t="str">
        <x:v>Agreement signed</x:v>
      </x:c>
    </x:row>
    <x:row r="2142" ht="34" customHeight="1">
      <x:c r="A2142" s="4" t="str">
        <x:v>RS-02141-E1</x:v>
      </x:c>
      <x:c r="B2142" s="4" t="str">
        <x:v>RS-02141</x:v>
      </x:c>
      <x:c r="C2142" s="8" t="n">
        <x:v>45425</x:v>
      </x:c>
      <x:c r="D2142" s="4" t="str">
        <x:v>Sales operations manager</x:v>
      </x:c>
      <x:c r="E2142" s="4" t="str">
        <x:v>Paper transcribed</x:v>
      </x:c>
      <x:c r="F2142" s="4" t="str">
        <x:v>Record captured</x:v>
      </x:c>
      <x:c r="G2142" s="4" t="str">
        <x:v>Booked</x:v>
      </x:c>
    </x:row>
    <x:row r="2143" ht="34" customHeight="1">
      <x:c r="A2143" s="4" t="str">
        <x:v>RS-02142-E1</x:v>
      </x:c>
      <x:c r="B2143" s="4" t="str">
        <x:v>RS-02142</x:v>
      </x:c>
      <x:c r="C2143" s="8" t="n">
        <x:v>45426</x:v>
      </x:c>
      <x:c r="D2143" s="4" t="str">
        <x:v>Sales operations manager</x:v>
      </x:c>
      <x:c r="E2143" s="4" t="str">
        <x:v>Spreadsheet import</x:v>
      </x:c>
      <x:c r="F2143" s="4" t="str">
        <x:v>Record captured</x:v>
      </x:c>
      <x:c r="G2143" s="4" t="str">
        <x:v>Booked</x:v>
      </x:c>
    </x:row>
    <x:row r="2144" ht="34" customHeight="1">
      <x:c r="A2144" s="4" t="str">
        <x:v>RS-02143-E1</x:v>
      </x:c>
      <x:c r="B2144" s="4" t="str">
        <x:v>RS-02143</x:v>
      </x:c>
      <x:c r="C2144" s="8" t="n">
        <x:v>45427</x:v>
      </x:c>
      <x:c r="D2144" s="4" t="str">
        <x:v>Sales operations manager</x:v>
      </x:c>
      <x:c r="E2144" s="4" t="str">
        <x:v>ERP form</x:v>
      </x:c>
      <x:c r="F2144" s="4" t="str">
        <x:v>Record captured</x:v>
      </x:c>
      <x:c r="G2144" s="4" t="str">
        <x:v>Agreement signed</x:v>
      </x:c>
    </x:row>
    <x:row r="2145" ht="34" customHeight="1">
      <x:c r="A2145" s="4" t="str">
        <x:v>RS-02144-E1</x:v>
      </x:c>
      <x:c r="B2145" s="4" t="str">
        <x:v>RS-02144</x:v>
      </x:c>
      <x:c r="C2145" s="8" t="n">
        <x:v>45428</x:v>
      </x:c>
      <x:c r="D2145" s="4" t="str">
        <x:v>Sales operations manager</x:v>
      </x:c>
      <x:c r="E2145" s="4" t="str">
        <x:v>ERP form</x:v>
      </x:c>
      <x:c r="F2145" s="4" t="str">
        <x:v>Record captured</x:v>
      </x:c>
      <x:c r="G2145" s="4" t="str">
        <x:v>Agreement signed</x:v>
      </x:c>
    </x:row>
    <x:row r="2146" ht="34" customHeight="1">
      <x:c r="A2146" s="4" t="str">
        <x:v>RS-02145-E1</x:v>
      </x:c>
      <x:c r="B2146" s="4" t="str">
        <x:v>RS-02145</x:v>
      </x:c>
      <x:c r="C2146" s="8" t="n">
        <x:v>45429</x:v>
      </x:c>
      <x:c r="D2146" s="4" t="str">
        <x:v>Sales operations manager</x:v>
      </x:c>
      <x:c r="E2146" s="4" t="str">
        <x:v>WhatsApp transcribed</x:v>
      </x:c>
      <x:c r="F2146" s="4" t="str">
        <x:v>Record captured</x:v>
      </x:c>
      <x:c r="G2146" s="4" t="str">
        <x:v>Enquiry</x:v>
      </x:c>
    </x:row>
    <x:row r="2147" ht="34" customHeight="1">
      <x:c r="A2147" s="4" t="str">
        <x:v>RS-02146-E1</x:v>
      </x:c>
      <x:c r="B2147" s="4" t="str">
        <x:v>RS-02146</x:v>
      </x:c>
      <x:c r="C2147" s="8" t="n">
        <x:v>45430</x:v>
      </x:c>
      <x:c r="D2147" s="4" t="str">
        <x:v>Sales operations manager</x:v>
      </x:c>
      <x:c r="E2147" s="4" t="str">
        <x:v>WhatsApp transcribed</x:v>
      </x:c>
      <x:c r="F2147" s="4" t="str">
        <x:v>Record captured</x:v>
      </x:c>
      <x:c r="G2147" s="4" t="str">
        <x:v>Handed over</x:v>
      </x:c>
    </x:row>
    <x:row r="2148" ht="34" customHeight="1">
      <x:c r="A2148" s="4" t="str">
        <x:v>RS-02147-E1</x:v>
      </x:c>
      <x:c r="B2148" s="4" t="str">
        <x:v>RS-02147</x:v>
      </x:c>
      <x:c r="C2148" s="8" t="n">
        <x:v>45431</x:v>
      </x:c>
      <x:c r="D2148" s="4" t="str">
        <x:v>Sales operations manager</x:v>
      </x:c>
      <x:c r="E2148" s="4" t="str">
        <x:v>Paper transcribed</x:v>
      </x:c>
      <x:c r="F2148" s="4" t="str">
        <x:v>Record captured</x:v>
      </x:c>
      <x:c r="G2148" s="4" t="str">
        <x:v>Agreement signed</x:v>
      </x:c>
    </x:row>
    <x:row r="2149" ht="34" customHeight="1">
      <x:c r="A2149" s="4" t="str">
        <x:v>RS-02148-E1</x:v>
      </x:c>
      <x:c r="B2149" s="4" t="str">
        <x:v>RS-02148</x:v>
      </x:c>
      <x:c r="C2149" s="8" t="n">
        <x:v>45432</x:v>
      </x:c>
      <x:c r="D2149" s="4" t="str">
        <x:v>Sales operations manager</x:v>
      </x:c>
      <x:c r="E2149" s="4" t="str">
        <x:v>ERP form</x:v>
      </x:c>
      <x:c r="F2149" s="4" t="str">
        <x:v>Record captured</x:v>
      </x:c>
      <x:c r="G2149" s="4" t="str">
        <x:v>Cancelled</x:v>
      </x:c>
    </x:row>
    <x:row r="2150" ht="34" customHeight="1">
      <x:c r="A2150" s="4" t="str">
        <x:v>RS-02149-E1</x:v>
      </x:c>
      <x:c r="B2150" s="4" t="str">
        <x:v>RS-02149</x:v>
      </x:c>
      <x:c r="C2150" s="8" t="n">
        <x:v>45433</x:v>
      </x:c>
      <x:c r="D2150" s="4" t="str">
        <x:v>Sales operations manager</x:v>
      </x:c>
      <x:c r="E2150" s="4" t="str">
        <x:v>Paper transcribed</x:v>
      </x:c>
      <x:c r="F2150" s="4" t="str">
        <x:v>Record captured</x:v>
      </x:c>
      <x:c r="G2150" s="4" t="str">
        <x:v>Cancelled</x:v>
      </x:c>
    </x:row>
    <x:row r="2151" ht="34" customHeight="1">
      <x:c r="A2151" s="4" t="str">
        <x:v>RS-02150-E1</x:v>
      </x:c>
      <x:c r="B2151" s="4" t="str">
        <x:v>RS-02150</x:v>
      </x:c>
      <x:c r="C2151" s="8" t="n">
        <x:v>45434</x:v>
      </x:c>
      <x:c r="D2151" s="4" t="str">
        <x:v>Sales operations manager</x:v>
      </x:c>
      <x:c r="E2151" s="4" t="str">
        <x:v>Spreadsheet import</x:v>
      </x:c>
      <x:c r="F2151" s="4" t="str">
        <x:v>Record captured</x:v>
      </x:c>
      <x:c r="G2151" s="4" t="str">
        <x:v>Agreement signed</x:v>
      </x:c>
    </x:row>
    <x:row r="2152" ht="34" customHeight="1">
      <x:c r="A2152" s="4" t="str">
        <x:v>RS-02151-E1</x:v>
      </x:c>
      <x:c r="B2152" s="4" t="str">
        <x:v>RS-02151</x:v>
      </x:c>
      <x:c r="C2152" s="8" t="n">
        <x:v>45435</x:v>
      </x:c>
      <x:c r="D2152" s="4" t="str">
        <x:v>Sales operations manager</x:v>
      </x:c>
      <x:c r="E2152" s="4" t="str">
        <x:v>ERP form</x:v>
      </x:c>
      <x:c r="F2152" s="4" t="str">
        <x:v>Record captured</x:v>
      </x:c>
      <x:c r="G2152" s="4" t="str">
        <x:v>Enquiry</x:v>
      </x:c>
    </x:row>
    <x:row r="2153" ht="34" customHeight="1">
      <x:c r="A2153" s="4" t="str">
        <x:v>RS-02152-E1</x:v>
      </x:c>
      <x:c r="B2153" s="4" t="str">
        <x:v>RS-02152</x:v>
      </x:c>
      <x:c r="C2153" s="8" t="n">
        <x:v>45436</x:v>
      </x:c>
      <x:c r="D2153" s="4" t="str">
        <x:v>Sales operations manager</x:v>
      </x:c>
      <x:c r="E2153" s="4" t="str">
        <x:v>Paper transcribed</x:v>
      </x:c>
      <x:c r="F2153" s="4" t="str">
        <x:v>Record captured</x:v>
      </x:c>
      <x:c r="G2153" s="4" t="str">
        <x:v>Booked</x:v>
      </x:c>
    </x:row>
    <x:row r="2154" ht="34" customHeight="1">
      <x:c r="A2154" s="4" t="str">
        <x:v>RS-02153-E1</x:v>
      </x:c>
      <x:c r="B2154" s="4" t="str">
        <x:v>RS-02153</x:v>
      </x:c>
      <x:c r="C2154" s="8" t="n">
        <x:v>45437</x:v>
      </x:c>
      <x:c r="D2154" s="4" t="str">
        <x:v>Sales operations manager</x:v>
      </x:c>
      <x:c r="E2154" s="4" t="str">
        <x:v>Spreadsheet import</x:v>
      </x:c>
      <x:c r="F2154" s="4" t="str">
        <x:v>Record captured</x:v>
      </x:c>
      <x:c r="G2154" s="4" t="str">
        <x:v>Handed over</x:v>
      </x:c>
    </x:row>
    <x:row r="2155" ht="34" customHeight="1">
      <x:c r="A2155" s="4" t="str">
        <x:v>RS-02154-E1</x:v>
      </x:c>
      <x:c r="B2155" s="4" t="str">
        <x:v>RS-02154</x:v>
      </x:c>
      <x:c r="C2155" s="8" t="n">
        <x:v>45438</x:v>
      </x:c>
      <x:c r="D2155" s="4" t="str">
        <x:v>Sales operations manager</x:v>
      </x:c>
      <x:c r="E2155" s="4" t="str">
        <x:v>Paper transcribed</x:v>
      </x:c>
      <x:c r="F2155" s="4" t="str">
        <x:v>Record captured</x:v>
      </x:c>
      <x:c r="G2155" s="4" t="str">
        <x:v>Handed over</x:v>
      </x:c>
    </x:row>
    <x:row r="2156" ht="34" customHeight="1">
      <x:c r="A2156" s="4" t="str">
        <x:v>RS-02155-E1</x:v>
      </x:c>
      <x:c r="B2156" s="4" t="str">
        <x:v>RS-02155</x:v>
      </x:c>
      <x:c r="C2156" s="8" t="n">
        <x:v>45439</x:v>
      </x:c>
      <x:c r="D2156" s="4" t="str">
        <x:v>Sales operations manager</x:v>
      </x:c>
      <x:c r="E2156" s="4" t="str">
        <x:v>ERP form</x:v>
      </x:c>
      <x:c r="F2156" s="4" t="str">
        <x:v>Record captured</x:v>
      </x:c>
      <x:c r="G2156" s="4" t="str">
        <x:v>Reserved</x:v>
      </x:c>
    </x:row>
    <x:row r="2157" ht="34" customHeight="1">
      <x:c r="A2157" s="4" t="str">
        <x:v>RS-02156-E1</x:v>
      </x:c>
      <x:c r="B2157" s="4" t="str">
        <x:v>RS-02156</x:v>
      </x:c>
      <x:c r="C2157" s="8" t="n">
        <x:v>45440</x:v>
      </x:c>
      <x:c r="D2157" s="4" t="str">
        <x:v>Sales operations manager</x:v>
      </x:c>
      <x:c r="E2157" s="4" t="str">
        <x:v>Spreadsheet import</x:v>
      </x:c>
      <x:c r="F2157" s="4" t="str">
        <x:v>Record captured</x:v>
      </x:c>
      <x:c r="G2157" s="4" t="str">
        <x:v>Agreement signed</x:v>
      </x:c>
    </x:row>
    <x:row r="2158" ht="34" customHeight="1">
      <x:c r="A2158" s="4" t="str">
        <x:v>RS-02157-E1</x:v>
      </x:c>
      <x:c r="B2158" s="4" t="str">
        <x:v>RS-02157</x:v>
      </x:c>
      <x:c r="C2158" s="8" t="n">
        <x:v>45413</x:v>
      </x:c>
      <x:c r="D2158" s="4" t="str">
        <x:v>Sales operations manager</x:v>
      </x:c>
      <x:c r="E2158" s="4" t="str">
        <x:v>Spreadsheet import</x:v>
      </x:c>
      <x:c r="F2158" s="4" t="str">
        <x:v>Record captured</x:v>
      </x:c>
      <x:c r="G2158" s="4" t="str">
        <x:v>Booked</x:v>
      </x:c>
    </x:row>
    <x:row r="2159" ht="34" customHeight="1">
      <x:c r="A2159" s="4" t="str">
        <x:v>RS-02158-E1</x:v>
      </x:c>
      <x:c r="B2159" s="4" t="str">
        <x:v>RS-02158</x:v>
      </x:c>
      <x:c r="C2159" s="8" t="n">
        <x:v>45414</x:v>
      </x:c>
      <x:c r="D2159" s="4" t="str">
        <x:v>Sales operations manager</x:v>
      </x:c>
      <x:c r="E2159" s="4" t="str">
        <x:v>ERP form</x:v>
      </x:c>
      <x:c r="F2159" s="4" t="str">
        <x:v>Record captured</x:v>
      </x:c>
      <x:c r="G2159" s="4" t="str">
        <x:v>Cancelled</x:v>
      </x:c>
    </x:row>
    <x:row r="2160" ht="34" customHeight="1">
      <x:c r="A2160" s="4" t="str">
        <x:v>RS-02159-E1</x:v>
      </x:c>
      <x:c r="B2160" s="4" t="str">
        <x:v>RS-02159</x:v>
      </x:c>
      <x:c r="C2160" s="8" t="n">
        <x:v>45415</x:v>
      </x:c>
      <x:c r="D2160" s="4" t="str">
        <x:v>Sales operations manager</x:v>
      </x:c>
      <x:c r="E2160" s="4" t="str">
        <x:v>WhatsApp transcribed</x:v>
      </x:c>
      <x:c r="F2160" s="4" t="str">
        <x:v>Record captured</x:v>
      </x:c>
      <x:c r="G2160" s="4" t="str">
        <x:v>Cancelled</x:v>
      </x:c>
    </x:row>
    <x:row r="2161" ht="34" customHeight="1">
      <x:c r="A2161" s="4" t="str">
        <x:v>RS-02160-E1</x:v>
      </x:c>
      <x:c r="B2161" s="4" t="str">
        <x:v>RS-02160</x:v>
      </x:c>
      <x:c r="C2161" s="8" t="n">
        <x:v>45416</x:v>
      </x:c>
      <x:c r="D2161" s="4" t="str">
        <x:v>Sales operations manager</x:v>
      </x:c>
      <x:c r="E2161" s="4" t="str">
        <x:v>Paper transcribed</x:v>
      </x:c>
      <x:c r="F2161" s="4" t="str">
        <x:v>Record captured</x:v>
      </x:c>
      <x:c r="G2161" s="4" t="str">
        <x:v>Reserved</x:v>
      </x:c>
    </x:row>
    <x:row r="2162" ht="34" customHeight="1">
      <x:c r="A2162" s="4" t="str">
        <x:v>RS-02161-E1</x:v>
      </x:c>
      <x:c r="B2162" s="4" t="str">
        <x:v>RS-02161</x:v>
      </x:c>
      <x:c r="C2162" s="8" t="n">
        <x:v>45417</x:v>
      </x:c>
      <x:c r="D2162" s="4" t="str">
        <x:v>Sales operations manager</x:v>
      </x:c>
      <x:c r="E2162" s="4" t="str">
        <x:v>WhatsApp transcribed</x:v>
      </x:c>
      <x:c r="F2162" s="4" t="str">
        <x:v>Record captured</x:v>
      </x:c>
      <x:c r="G2162" s="4" t="str">
        <x:v>Reserved</x:v>
      </x:c>
    </x:row>
    <x:row r="2163" ht="34" customHeight="1">
      <x:c r="A2163" s="4" t="str">
        <x:v>RS-02162-E1</x:v>
      </x:c>
      <x:c r="B2163" s="4" t="str">
        <x:v>RS-02162</x:v>
      </x:c>
      <x:c r="C2163" s="8" t="n">
        <x:v>45418</x:v>
      </x:c>
      <x:c r="D2163" s="4" t="str">
        <x:v>Sales operations manager</x:v>
      </x:c>
      <x:c r="E2163" s="4" t="str">
        <x:v>ERP form</x:v>
      </x:c>
      <x:c r="F2163" s="4" t="str">
        <x:v>Record captured</x:v>
      </x:c>
      <x:c r="G2163" s="4" t="str">
        <x:v>Booked</x:v>
      </x:c>
    </x:row>
    <x:row r="2164" ht="34" customHeight="1">
      <x:c r="A2164" s="4" t="str">
        <x:v>RS-02163-E1</x:v>
      </x:c>
      <x:c r="B2164" s="4" t="str">
        <x:v>RS-02163</x:v>
      </x:c>
      <x:c r="C2164" s="8" t="n">
        <x:v>45419</x:v>
      </x:c>
      <x:c r="D2164" s="4" t="str">
        <x:v>Sales operations manager</x:v>
      </x:c>
      <x:c r="E2164" s="4" t="str">
        <x:v>Spreadsheet import</x:v>
      </x:c>
      <x:c r="F2164" s="4" t="str">
        <x:v>Record captured</x:v>
      </x:c>
      <x:c r="G2164" s="4" t="str">
        <x:v>Handed over</x:v>
      </x:c>
    </x:row>
    <x:row r="2165" ht="34" customHeight="1">
      <x:c r="A2165" s="4" t="str">
        <x:v>RS-02164-E1</x:v>
      </x:c>
      <x:c r="B2165" s="4" t="str">
        <x:v>RS-02164</x:v>
      </x:c>
      <x:c r="C2165" s="8" t="n">
        <x:v>45420</x:v>
      </x:c>
      <x:c r="D2165" s="4" t="str">
        <x:v>Sales operations manager</x:v>
      </x:c>
      <x:c r="E2165" s="4" t="str">
        <x:v>Paper transcribed</x:v>
      </x:c>
      <x:c r="F2165" s="4" t="str">
        <x:v>Record captured</x:v>
      </x:c>
      <x:c r="G2165" s="4" t="str">
        <x:v>Enquiry</x:v>
      </x:c>
    </x:row>
    <x:row r="2166" ht="34" customHeight="1">
      <x:c r="A2166" s="4" t="str">
        <x:v>RS-02165-E1</x:v>
      </x:c>
      <x:c r="B2166" s="4" t="str">
        <x:v>RS-02165</x:v>
      </x:c>
      <x:c r="C2166" s="8" t="n">
        <x:v>45421</x:v>
      </x:c>
      <x:c r="D2166" s="4" t="str">
        <x:v>Sales operations manager</x:v>
      </x:c>
      <x:c r="E2166" s="4" t="str">
        <x:v>Paper transcribed</x:v>
      </x:c>
      <x:c r="F2166" s="4" t="str">
        <x:v>Record captured</x:v>
      </x:c>
      <x:c r="G2166" s="4" t="str">
        <x:v>Reserved</x:v>
      </x:c>
    </x:row>
    <x:row r="2167" ht="34" customHeight="1">
      <x:c r="A2167" s="4" t="str">
        <x:v>RS-02166-E1</x:v>
      </x:c>
      <x:c r="B2167" s="4" t="str">
        <x:v>RS-02166</x:v>
      </x:c>
      <x:c r="C2167" s="8" t="n">
        <x:v>45422</x:v>
      </x:c>
      <x:c r="D2167" s="4" t="str">
        <x:v>Sales operations manager</x:v>
      </x:c>
      <x:c r="E2167" s="4" t="str">
        <x:v>Spreadsheet import</x:v>
      </x:c>
      <x:c r="F2167" s="4" t="str">
        <x:v>Record captured</x:v>
      </x:c>
      <x:c r="G2167" s="4" t="str">
        <x:v>Agreement signed</x:v>
      </x:c>
    </x:row>
    <x:row r="2168" ht="34" customHeight="1">
      <x:c r="A2168" s="4" t="str">
        <x:v>RS-02167-E1</x:v>
      </x:c>
      <x:c r="B2168" s="4" t="str">
        <x:v>RS-02167</x:v>
      </x:c>
      <x:c r="C2168" s="8" t="n">
        <x:v>45423</x:v>
      </x:c>
      <x:c r="D2168" s="4" t="str">
        <x:v>Sales operations manager</x:v>
      </x:c>
      <x:c r="E2168" s="4" t="str">
        <x:v>Spreadsheet import</x:v>
      </x:c>
      <x:c r="F2168" s="4" t="str">
        <x:v>Record captured</x:v>
      </x:c>
      <x:c r="G2168" s="4" t="str">
        <x:v>Booked</x:v>
      </x:c>
    </x:row>
    <x:row r="2169" ht="34" customHeight="1">
      <x:c r="A2169" s="4" t="str">
        <x:v>RS-02168-E1</x:v>
      </x:c>
      <x:c r="B2169" s="4" t="str">
        <x:v>RS-02168</x:v>
      </x:c>
      <x:c r="C2169" s="8" t="n">
        <x:v>45424</x:v>
      </x:c>
      <x:c r="D2169" s="4" t="str">
        <x:v>Sales operations manager</x:v>
      </x:c>
      <x:c r="E2169" s="4" t="str">
        <x:v>WhatsApp transcribed</x:v>
      </x:c>
      <x:c r="F2169" s="4" t="str">
        <x:v>Record captured</x:v>
      </x:c>
      <x:c r="G2169" s="4" t="str">
        <x:v>Cancelled</x:v>
      </x:c>
    </x:row>
    <x:row r="2170" ht="34" customHeight="1">
      <x:c r="A2170" s="4" t="str">
        <x:v>RS-02169-E1</x:v>
      </x:c>
      <x:c r="B2170" s="4" t="str">
        <x:v>RS-02169</x:v>
      </x:c>
      <x:c r="C2170" s="8" t="n">
        <x:v>45425</x:v>
      </x:c>
      <x:c r="D2170" s="4" t="str">
        <x:v>Sales operations manager</x:v>
      </x:c>
      <x:c r="E2170" s="4" t="str">
        <x:v>Spreadsheet import</x:v>
      </x:c>
      <x:c r="F2170" s="4" t="str">
        <x:v>Record captured</x:v>
      </x:c>
      <x:c r="G2170" s="4" t="str">
        <x:v>Booked</x:v>
      </x:c>
    </x:row>
    <x:row r="2171" ht="34" customHeight="1">
      <x:c r="A2171" s="4" t="str">
        <x:v>RS-02170-E1</x:v>
      </x:c>
      <x:c r="B2171" s="4" t="str">
        <x:v>RS-02170</x:v>
      </x:c>
      <x:c r="C2171" s="8" t="n">
        <x:v>45426</x:v>
      </x:c>
      <x:c r="D2171" s="4" t="str">
        <x:v>Sales operations manager</x:v>
      </x:c>
      <x:c r="E2171" s="4" t="str">
        <x:v>Paper transcribed</x:v>
      </x:c>
      <x:c r="F2171" s="4" t="str">
        <x:v>Record captured</x:v>
      </x:c>
      <x:c r="G2171" s="4" t="str">
        <x:v>Agreement signed</x:v>
      </x:c>
    </x:row>
    <x:row r="2172" ht="34" customHeight="1">
      <x:c r="A2172" s="4" t="str">
        <x:v>RS-02171-E1</x:v>
      </x:c>
      <x:c r="B2172" s="4" t="str">
        <x:v>RS-02171</x:v>
      </x:c>
      <x:c r="C2172" s="8" t="n">
        <x:v>45427</x:v>
      </x:c>
      <x:c r="D2172" s="4" t="str">
        <x:v>Sales operations manager</x:v>
      </x:c>
      <x:c r="E2172" s="4" t="str">
        <x:v>Paper transcribed</x:v>
      </x:c>
      <x:c r="F2172" s="4" t="str">
        <x:v>Record captured</x:v>
      </x:c>
      <x:c r="G2172" s="4" t="str">
        <x:v>Agreement signed</x:v>
      </x:c>
    </x:row>
    <x:row r="2173" ht="34" customHeight="1">
      <x:c r="A2173" s="4" t="str">
        <x:v>RS-02172-E1</x:v>
      </x:c>
      <x:c r="B2173" s="4" t="str">
        <x:v>RS-02172</x:v>
      </x:c>
      <x:c r="C2173" s="8" t="n">
        <x:v>45428</x:v>
      </x:c>
      <x:c r="D2173" s="4" t="str">
        <x:v>Sales operations manager</x:v>
      </x:c>
      <x:c r="E2173" s="4" t="str">
        <x:v>WhatsApp transcribed</x:v>
      </x:c>
      <x:c r="F2173" s="4" t="str">
        <x:v>Record captured</x:v>
      </x:c>
      <x:c r="G2173" s="4" t="str">
        <x:v>Enquiry</x:v>
      </x:c>
    </x:row>
    <x:row r="2174" ht="34" customHeight="1">
      <x:c r="A2174" s="4" t="str">
        <x:v>RS-02173-E1</x:v>
      </x:c>
      <x:c r="B2174" s="4" t="str">
        <x:v>RS-02173</x:v>
      </x:c>
      <x:c r="C2174" s="8" t="n">
        <x:v>45429</x:v>
      </x:c>
      <x:c r="D2174" s="4" t="str">
        <x:v>Sales operations manager</x:v>
      </x:c>
      <x:c r="E2174" s="4" t="str">
        <x:v>WhatsApp transcribed</x:v>
      </x:c>
      <x:c r="F2174" s="4" t="str">
        <x:v>Record captured</x:v>
      </x:c>
      <x:c r="G2174" s="4" t="str">
        <x:v>Agreement signed</x:v>
      </x:c>
    </x:row>
    <x:row r="2175" ht="34" customHeight="1">
      <x:c r="A2175" s="4" t="str">
        <x:v>RS-02174-E1</x:v>
      </x:c>
      <x:c r="B2175" s="4" t="str">
        <x:v>RS-02174</x:v>
      </x:c>
      <x:c r="C2175" s="8" t="n">
        <x:v>45430</x:v>
      </x:c>
      <x:c r="D2175" s="4" t="str">
        <x:v>Sales operations manager</x:v>
      </x:c>
      <x:c r="E2175" s="4" t="str">
        <x:v>Paper transcribed</x:v>
      </x:c>
      <x:c r="F2175" s="4" t="str">
        <x:v>Record captured</x:v>
      </x:c>
      <x:c r="G2175" s="4" t="str">
        <x:v>Enquiry</x:v>
      </x:c>
    </x:row>
    <x:row r="2176" ht="34" customHeight="1">
      <x:c r="A2176" s="4" t="str">
        <x:v>RS-02175-E1</x:v>
      </x:c>
      <x:c r="B2176" s="4" t="str">
        <x:v>RS-02175</x:v>
      </x:c>
      <x:c r="C2176" s="8" t="n">
        <x:v>45431</x:v>
      </x:c>
      <x:c r="D2176" s="4" t="str">
        <x:v>Sales operations manager</x:v>
      </x:c>
      <x:c r="E2176" s="4" t="str">
        <x:v>ERP form</x:v>
      </x:c>
      <x:c r="F2176" s="4" t="str">
        <x:v>Record captured</x:v>
      </x:c>
      <x:c r="G2176" s="4" t="str">
        <x:v>Reserved</x:v>
      </x:c>
    </x:row>
    <x:row r="2177" ht="34" customHeight="1">
      <x:c r="A2177" s="4" t="str">
        <x:v>RS-02176-E1</x:v>
      </x:c>
      <x:c r="B2177" s="4" t="str">
        <x:v>RS-02176</x:v>
      </x:c>
      <x:c r="C2177" s="8" t="n">
        <x:v>45432</x:v>
      </x:c>
      <x:c r="D2177" s="4" t="str">
        <x:v>Sales operations manager</x:v>
      </x:c>
      <x:c r="E2177" s="4" t="str">
        <x:v>WhatsApp transcribed</x:v>
      </x:c>
      <x:c r="F2177" s="4" t="str">
        <x:v>Record captured</x:v>
      </x:c>
      <x:c r="G2177" s="4" t="str">
        <x:v>Handed over</x:v>
      </x:c>
    </x:row>
    <x:row r="2178" ht="34" customHeight="1">
      <x:c r="A2178" s="4" t="str">
        <x:v>RS-02177-E1</x:v>
      </x:c>
      <x:c r="B2178" s="4" t="str">
        <x:v>RS-02177</x:v>
      </x:c>
      <x:c r="C2178" s="8" t="n">
        <x:v>45433</x:v>
      </x:c>
      <x:c r="D2178" s="4" t="str">
        <x:v>Sales operations manager</x:v>
      </x:c>
      <x:c r="E2178" s="4" t="str">
        <x:v>Paper transcribed</x:v>
      </x:c>
      <x:c r="F2178" s="4" t="str">
        <x:v>Record captured</x:v>
      </x:c>
      <x:c r="G2178" s="4" t="str">
        <x:v>Agreement signed</x:v>
      </x:c>
    </x:row>
    <x:row r="2179" ht="34" customHeight="1">
      <x:c r="A2179" s="4" t="str">
        <x:v>RS-02178-E1</x:v>
      </x:c>
      <x:c r="B2179" s="4" t="str">
        <x:v>RS-02178</x:v>
      </x:c>
      <x:c r="C2179" s="8" t="n">
        <x:v>45434</x:v>
      </x:c>
      <x:c r="D2179" s="4" t="str">
        <x:v>Sales operations manager</x:v>
      </x:c>
      <x:c r="E2179" s="4" t="str">
        <x:v>WhatsApp transcribed</x:v>
      </x:c>
      <x:c r="F2179" s="4" t="str">
        <x:v>Record captured</x:v>
      </x:c>
      <x:c r="G2179" s="4" t="str">
        <x:v>Agreement signed</x:v>
      </x:c>
    </x:row>
    <x:row r="2180" ht="34" customHeight="1">
      <x:c r="A2180" s="4" t="str">
        <x:v>RS-02179-E1</x:v>
      </x:c>
      <x:c r="B2180" s="4" t="str">
        <x:v>RS-02179</x:v>
      </x:c>
      <x:c r="C2180" s="8" t="n">
        <x:v>45435</x:v>
      </x:c>
      <x:c r="D2180" s="4" t="str">
        <x:v>Sales operations manager</x:v>
      </x:c>
      <x:c r="E2180" s="4" t="str">
        <x:v>Spreadsheet import</x:v>
      </x:c>
      <x:c r="F2180" s="4" t="str">
        <x:v>Record captured</x:v>
      </x:c>
      <x:c r="G2180" s="4" t="str">
        <x:v>Reserved</x:v>
      </x:c>
    </x:row>
    <x:row r="2181" ht="34" customHeight="1">
      <x:c r="A2181" s="4" t="str">
        <x:v>RS-02180-E1</x:v>
      </x:c>
      <x:c r="B2181" s="4" t="str">
        <x:v>RS-02180</x:v>
      </x:c>
      <x:c r="C2181" s="8" t="n">
        <x:v>45436</x:v>
      </x:c>
      <x:c r="D2181" s="4" t="str">
        <x:v>Sales operations manager</x:v>
      </x:c>
      <x:c r="E2181" s="4" t="str">
        <x:v>Paper transcribed</x:v>
      </x:c>
      <x:c r="F2181" s="4" t="str">
        <x:v>Record captured</x:v>
      </x:c>
      <x:c r="G2181" s="4" t="str">
        <x:v>Agreement signed</x:v>
      </x:c>
    </x:row>
    <x:row r="2182" ht="34" customHeight="1">
      <x:c r="A2182" s="4" t="str">
        <x:v>RS-02181-E1</x:v>
      </x:c>
      <x:c r="B2182" s="4" t="str">
        <x:v>RS-02181</x:v>
      </x:c>
      <x:c r="C2182" s="8" t="n">
        <x:v>45437</x:v>
      </x:c>
      <x:c r="D2182" s="4" t="str">
        <x:v>Sales operations manager</x:v>
      </x:c>
      <x:c r="E2182" s="4" t="str">
        <x:v>Paper transcribed</x:v>
      </x:c>
      <x:c r="F2182" s="4" t="str">
        <x:v>Record captured</x:v>
      </x:c>
      <x:c r="G2182" s="4" t="str">
        <x:v>Enquiry</x:v>
      </x:c>
    </x:row>
    <x:row r="2183" ht="34" customHeight="1">
      <x:c r="A2183" s="4" t="str">
        <x:v>RS-02182-E1</x:v>
      </x:c>
      <x:c r="B2183" s="4" t="str">
        <x:v>RS-02182</x:v>
      </x:c>
      <x:c r="C2183" s="8" t="n">
        <x:v>45438</x:v>
      </x:c>
      <x:c r="D2183" s="4" t="str">
        <x:v>Sales operations manager</x:v>
      </x:c>
      <x:c r="E2183" s="4" t="str">
        <x:v>WhatsApp transcribed</x:v>
      </x:c>
      <x:c r="F2183" s="4" t="str">
        <x:v>Record captured</x:v>
      </x:c>
      <x:c r="G2183" s="4" t="str">
        <x:v>Reserved</x:v>
      </x:c>
    </x:row>
    <x:row r="2184" ht="34" customHeight="1">
      <x:c r="A2184" s="4" t="str">
        <x:v>RS-02183-E1</x:v>
      </x:c>
      <x:c r="B2184" s="4" t="str">
        <x:v>RS-02183</x:v>
      </x:c>
      <x:c r="C2184" s="8" t="n">
        <x:v>45439</x:v>
      </x:c>
      <x:c r="D2184" s="4" t="str">
        <x:v>Sales operations manager</x:v>
      </x:c>
      <x:c r="E2184" s="4" t="str">
        <x:v>Paper transcribed</x:v>
      </x:c>
      <x:c r="F2184" s="4" t="str">
        <x:v>Record captured</x:v>
      </x:c>
      <x:c r="G2184" s="4" t="str">
        <x:v>Enquiry</x:v>
      </x:c>
    </x:row>
    <x:row r="2185" ht="34" customHeight="1">
      <x:c r="A2185" s="4" t="str">
        <x:v>RS-02184-E1</x:v>
      </x:c>
      <x:c r="B2185" s="4" t="str">
        <x:v>RS-02184</x:v>
      </x:c>
      <x:c r="C2185" s="8" t="n">
        <x:v>45440</x:v>
      </x:c>
      <x:c r="D2185" s="4" t="str">
        <x:v>Sales operations manager</x:v>
      </x:c>
      <x:c r="E2185" s="4" t="str">
        <x:v>WhatsApp transcribed</x:v>
      </x:c>
      <x:c r="F2185" s="4" t="str">
        <x:v>Record captured</x:v>
      </x:c>
      <x:c r="G2185" s="4" t="str">
        <x:v>Booked</x:v>
      </x:c>
    </x:row>
    <x:row r="2186" ht="34" customHeight="1">
      <x:c r="A2186" s="4" t="str">
        <x:v>RS-02185-E1</x:v>
      </x:c>
      <x:c r="B2186" s="4" t="str">
        <x:v>RS-02185</x:v>
      </x:c>
      <x:c r="C2186" s="8" t="n">
        <x:v>45413</x:v>
      </x:c>
      <x:c r="D2186" s="4" t="str">
        <x:v>Sales operations manager</x:v>
      </x:c>
      <x:c r="E2186" s="4" t="str">
        <x:v>Paper transcribed</x:v>
      </x:c>
      <x:c r="F2186" s="4" t="str">
        <x:v>Record captured</x:v>
      </x:c>
      <x:c r="G2186" s="4" t="str">
        <x:v>Handed over</x:v>
      </x:c>
    </x:row>
    <x:row r="2187" ht="34" customHeight="1">
      <x:c r="A2187" s="4" t="str">
        <x:v>RS-02186-E1</x:v>
      </x:c>
      <x:c r="B2187" s="4" t="str">
        <x:v>RS-02186</x:v>
      </x:c>
      <x:c r="C2187" s="8" t="n">
        <x:v>45414</x:v>
      </x:c>
      <x:c r="D2187" s="4" t="str">
        <x:v>Sales operations manager</x:v>
      </x:c>
      <x:c r="E2187" s="4" t="str">
        <x:v>ERP form</x:v>
      </x:c>
      <x:c r="F2187" s="4" t="str">
        <x:v>Record captured</x:v>
      </x:c>
      <x:c r="G2187" s="4" t="str">
        <x:v>Reserved</x:v>
      </x:c>
    </x:row>
    <x:row r="2188" ht="34" customHeight="1">
      <x:c r="A2188" s="4" t="str">
        <x:v>RS-02187-E1</x:v>
      </x:c>
      <x:c r="B2188" s="4" t="str">
        <x:v>RS-02187</x:v>
      </x:c>
      <x:c r="C2188" s="8" t="n">
        <x:v>45415</x:v>
      </x:c>
      <x:c r="D2188" s="4" t="str">
        <x:v>Sales operations manager</x:v>
      </x:c>
      <x:c r="E2188" s="4" t="str">
        <x:v>ERP form</x:v>
      </x:c>
      <x:c r="F2188" s="4" t="str">
        <x:v>Record captured</x:v>
      </x:c>
      <x:c r="G2188" s="4" t="str">
        <x:v>Agreement signed</x:v>
      </x:c>
    </x:row>
    <x:row r="2189" ht="34" customHeight="1">
      <x:c r="A2189" s="4" t="str">
        <x:v>RS-02188-E1</x:v>
      </x:c>
      <x:c r="B2189" s="4" t="str">
        <x:v>RS-02188</x:v>
      </x:c>
      <x:c r="C2189" s="8" t="n">
        <x:v>45416</x:v>
      </x:c>
      <x:c r="D2189" s="4" t="str">
        <x:v>Sales operations manager</x:v>
      </x:c>
      <x:c r="E2189" s="4" t="str">
        <x:v>WhatsApp transcribed</x:v>
      </x:c>
      <x:c r="F2189" s="4" t="str">
        <x:v>Record captured</x:v>
      </x:c>
      <x:c r="G2189" s="4" t="str">
        <x:v>Booked</x:v>
      </x:c>
    </x:row>
    <x:row r="2190" ht="34" customHeight="1">
      <x:c r="A2190" s="4" t="str">
        <x:v>RS-02189-E1</x:v>
      </x:c>
      <x:c r="B2190" s="4" t="str">
        <x:v>RS-02189</x:v>
      </x:c>
      <x:c r="C2190" s="8" t="n">
        <x:v>45417</x:v>
      </x:c>
      <x:c r="D2190" s="4" t="str">
        <x:v>Sales operations manager</x:v>
      </x:c>
      <x:c r="E2190" s="4" t="str">
        <x:v>ERP form</x:v>
      </x:c>
      <x:c r="F2190" s="4" t="str">
        <x:v>Record captured</x:v>
      </x:c>
      <x:c r="G2190" s="4" t="str">
        <x:v>Enquiry</x:v>
      </x:c>
    </x:row>
    <x:row r="2191" ht="34" customHeight="1">
      <x:c r="A2191" s="4" t="str">
        <x:v>RS-02190-E1</x:v>
      </x:c>
      <x:c r="B2191" s="4" t="str">
        <x:v>RS-02190</x:v>
      </x:c>
      <x:c r="C2191" s="8" t="n">
        <x:v>45418</x:v>
      </x:c>
      <x:c r="D2191" s="4" t="str">
        <x:v>Sales operations manager</x:v>
      </x:c>
      <x:c r="E2191" s="4" t="str">
        <x:v>WhatsApp transcribed</x:v>
      </x:c>
      <x:c r="F2191" s="4" t="str">
        <x:v>Record captured</x:v>
      </x:c>
      <x:c r="G2191" s="4" t="str">
        <x:v>Booked</x:v>
      </x:c>
    </x:row>
    <x:row r="2192" ht="34" customHeight="1">
      <x:c r="A2192" s="4" t="str">
        <x:v>RS-02191-E1</x:v>
      </x:c>
      <x:c r="B2192" s="4" t="str">
        <x:v>RS-02191</x:v>
      </x:c>
      <x:c r="C2192" s="8" t="n">
        <x:v>45419</x:v>
      </x:c>
      <x:c r="D2192" s="4" t="str">
        <x:v>Sales operations manager</x:v>
      </x:c>
      <x:c r="E2192" s="4" t="str">
        <x:v>Spreadsheet import</x:v>
      </x:c>
      <x:c r="F2192" s="4" t="str">
        <x:v>Record captured</x:v>
      </x:c>
      <x:c r="G2192" s="4" t="str">
        <x:v>Agreement signed</x:v>
      </x:c>
    </x:row>
    <x:row r="2193" ht="34" customHeight="1">
      <x:c r="A2193" s="4" t="str">
        <x:v>RS-02192-E1</x:v>
      </x:c>
      <x:c r="B2193" s="4" t="str">
        <x:v>RS-02192</x:v>
      </x:c>
      <x:c r="C2193" s="8" t="n">
        <x:v>45420</x:v>
      </x:c>
      <x:c r="D2193" s="4" t="str">
        <x:v>Sales operations manager</x:v>
      </x:c>
      <x:c r="E2193" s="4" t="str">
        <x:v>Spreadsheet import</x:v>
      </x:c>
      <x:c r="F2193" s="4" t="str">
        <x:v>Record captured</x:v>
      </x:c>
      <x:c r="G2193" s="4" t="str">
        <x:v>Agreement signed</x:v>
      </x:c>
    </x:row>
    <x:row r="2194" ht="34" customHeight="1">
      <x:c r="A2194" s="4" t="str">
        <x:v>RS-02193-E1</x:v>
      </x:c>
      <x:c r="B2194" s="4" t="str">
        <x:v>RS-02193</x:v>
      </x:c>
      <x:c r="C2194" s="8" t="n">
        <x:v>45421</x:v>
      </x:c>
      <x:c r="D2194" s="4" t="str">
        <x:v>Sales operations manager</x:v>
      </x:c>
      <x:c r="E2194" s="4" t="str">
        <x:v>WhatsApp transcribed</x:v>
      </x:c>
      <x:c r="F2194" s="4" t="str">
        <x:v>Record captured</x:v>
      </x:c>
      <x:c r="G2194" s="4" t="str">
        <x:v>Cancelled</x:v>
      </x:c>
    </x:row>
    <x:row r="2195" ht="34" customHeight="1">
      <x:c r="A2195" s="4" t="str">
        <x:v>RS-02194-E1</x:v>
      </x:c>
      <x:c r="B2195" s="4" t="str">
        <x:v>RS-02194</x:v>
      </x:c>
      <x:c r="C2195" s="8" t="n">
        <x:v>45422</x:v>
      </x:c>
      <x:c r="D2195" s="4" t="str">
        <x:v>Sales operations manager</x:v>
      </x:c>
      <x:c r="E2195" s="4" t="str">
        <x:v>ERP form</x:v>
      </x:c>
      <x:c r="F2195" s="4" t="str">
        <x:v>Record captured</x:v>
      </x:c>
      <x:c r="G2195" s="4" t="str">
        <x:v>Enquiry</x:v>
      </x:c>
    </x:row>
    <x:row r="2196" ht="34" customHeight="1">
      <x:c r="A2196" s="4" t="str">
        <x:v>RS-02195-E1</x:v>
      </x:c>
      <x:c r="B2196" s="4" t="str">
        <x:v>RS-02195</x:v>
      </x:c>
      <x:c r="C2196" s="8" t="n">
        <x:v>45423</x:v>
      </x:c>
      <x:c r="D2196" s="4" t="str">
        <x:v>Sales operations manager</x:v>
      </x:c>
      <x:c r="E2196" s="4" t="str">
        <x:v>WhatsApp transcribed</x:v>
      </x:c>
      <x:c r="F2196" s="4" t="str">
        <x:v>Record captured</x:v>
      </x:c>
      <x:c r="G2196" s="4" t="str">
        <x:v>Reserved</x:v>
      </x:c>
    </x:row>
    <x:row r="2197" ht="34" customHeight="1">
      <x:c r="A2197" s="4" t="str">
        <x:v>RS-02196-E1</x:v>
      </x:c>
      <x:c r="B2197" s="4" t="str">
        <x:v>RS-02196</x:v>
      </x:c>
      <x:c r="C2197" s="8" t="n">
        <x:v>45424</x:v>
      </x:c>
      <x:c r="D2197" s="4" t="str">
        <x:v>Sales operations manager</x:v>
      </x:c>
      <x:c r="E2197" s="4" t="str">
        <x:v>Spreadsheet import</x:v>
      </x:c>
      <x:c r="F2197" s="4" t="str">
        <x:v>Record captured</x:v>
      </x:c>
      <x:c r="G2197" s="4" t="str">
        <x:v>Reserved</x:v>
      </x:c>
    </x:row>
    <x:row r="2198" ht="34" customHeight="1">
      <x:c r="A2198" s="4" t="str">
        <x:v>RS-02197-E1</x:v>
      </x:c>
      <x:c r="B2198" s="4" t="str">
        <x:v>RS-02197</x:v>
      </x:c>
      <x:c r="C2198" s="8" t="n">
        <x:v>45425</x:v>
      </x:c>
      <x:c r="D2198" s="4" t="str">
        <x:v>Sales operations manager</x:v>
      </x:c>
      <x:c r="E2198" s="4" t="str">
        <x:v>Paper transcribed</x:v>
      </x:c>
      <x:c r="F2198" s="4" t="str">
        <x:v>Record captured</x:v>
      </x:c>
      <x:c r="G2198" s="4" t="str">
        <x:v>Agreement signed</x:v>
      </x:c>
    </x:row>
    <x:row r="2199" ht="34" customHeight="1">
      <x:c r="A2199" s="4" t="str">
        <x:v>RS-02198-E1</x:v>
      </x:c>
      <x:c r="B2199" s="4" t="str">
        <x:v>RS-02198</x:v>
      </x:c>
      <x:c r="C2199" s="8" t="n">
        <x:v>45426</x:v>
      </x:c>
      <x:c r="D2199" s="4" t="str">
        <x:v>Sales operations manager</x:v>
      </x:c>
      <x:c r="E2199" s="4" t="str">
        <x:v>Paper transcribed</x:v>
      </x:c>
      <x:c r="F2199" s="4" t="str">
        <x:v>Record captured</x:v>
      </x:c>
      <x:c r="G2199" s="4" t="str">
        <x:v>Booked</x:v>
      </x:c>
    </x:row>
    <x:row r="2200" ht="34" customHeight="1">
      <x:c r="A2200" s="4" t="str">
        <x:v>RS-02199-E1</x:v>
      </x:c>
      <x:c r="B2200" s="4" t="str">
        <x:v>RS-02199</x:v>
      </x:c>
      <x:c r="C2200" s="8" t="n">
        <x:v>45427</x:v>
      </x:c>
      <x:c r="D2200" s="4" t="str">
        <x:v>Sales operations manager</x:v>
      </x:c>
      <x:c r="E2200" s="4" t="str">
        <x:v>WhatsApp transcribed</x:v>
      </x:c>
      <x:c r="F2200" s="4" t="str">
        <x:v>Record captured</x:v>
      </x:c>
      <x:c r="G2200" s="4" t="str">
        <x:v>Reserved</x:v>
      </x:c>
    </x:row>
    <x:row r="2201" ht="34" customHeight="1">
      <x:c r="A2201" s="4" t="str">
        <x:v>RS-02200-E1</x:v>
      </x:c>
      <x:c r="B2201" s="4" t="str">
        <x:v>RS-02200</x:v>
      </x:c>
      <x:c r="C2201" s="8" t="n">
        <x:v>45428</x:v>
      </x:c>
      <x:c r="D2201" s="4" t="str">
        <x:v>Sales operations manager</x:v>
      </x:c>
      <x:c r="E2201" s="4" t="str">
        <x:v>Spreadsheet import</x:v>
      </x:c>
      <x:c r="F2201" s="4" t="str">
        <x:v>Record captured</x:v>
      </x:c>
      <x:c r="G2201" s="4" t="str">
        <x:v>Booked</x:v>
      </x:c>
    </x:row>
    <x:row r="2202" ht="34" customHeight="1">
      <x:c r="A2202" s="4" t="str">
        <x:v>RS-02201-E1</x:v>
      </x:c>
      <x:c r="B2202" s="4" t="str">
        <x:v>RS-02201</x:v>
      </x:c>
      <x:c r="C2202" s="8" t="n">
        <x:v>45429</x:v>
      </x:c>
      <x:c r="D2202" s="4" t="str">
        <x:v>Sales operations manager</x:v>
      </x:c>
      <x:c r="E2202" s="4" t="str">
        <x:v>Paper transcribed</x:v>
      </x:c>
      <x:c r="F2202" s="4" t="str">
        <x:v>Record captured</x:v>
      </x:c>
      <x:c r="G2202" s="4" t="str">
        <x:v>Enquiry</x:v>
      </x:c>
    </x:row>
    <x:row r="2203" ht="34" customHeight="1">
      <x:c r="A2203" s="4" t="str">
        <x:v>RS-02202-E1</x:v>
      </x:c>
      <x:c r="B2203" s="4" t="str">
        <x:v>RS-02202</x:v>
      </x:c>
      <x:c r="C2203" s="8" t="n">
        <x:v>45430</x:v>
      </x:c>
      <x:c r="D2203" s="4" t="str">
        <x:v>Sales operations manager</x:v>
      </x:c>
      <x:c r="E2203" s="4" t="str">
        <x:v>ERP form</x:v>
      </x:c>
      <x:c r="F2203" s="4" t="str">
        <x:v>Record captured</x:v>
      </x:c>
      <x:c r="G2203" s="4" t="str">
        <x:v>Enquiry</x:v>
      </x:c>
    </x:row>
    <x:row r="2204" ht="34" customHeight="1">
      <x:c r="A2204" s="4" t="str">
        <x:v>RS-02203-E1</x:v>
      </x:c>
      <x:c r="B2204" s="4" t="str">
        <x:v>RS-02203</x:v>
      </x:c>
      <x:c r="C2204" s="8" t="n">
        <x:v>45431</x:v>
      </x:c>
      <x:c r="D2204" s="4" t="str">
        <x:v>Sales operations manager</x:v>
      </x:c>
      <x:c r="E2204" s="4" t="str">
        <x:v>Paper transcribed</x:v>
      </x:c>
      <x:c r="F2204" s="4" t="str">
        <x:v>Record captured</x:v>
      </x:c>
      <x:c r="G2204" s="4" t="str">
        <x:v>Handed over</x:v>
      </x:c>
    </x:row>
    <x:row r="2205" ht="34" customHeight="1">
      <x:c r="A2205" s="4" t="str">
        <x:v>RS-02204-E1</x:v>
      </x:c>
      <x:c r="B2205" s="4" t="str">
        <x:v>RS-02204</x:v>
      </x:c>
      <x:c r="C2205" s="8" t="n">
        <x:v>45432</x:v>
      </x:c>
      <x:c r="D2205" s="4" t="str">
        <x:v>Sales operations manager</x:v>
      </x:c>
      <x:c r="E2205" s="4" t="str">
        <x:v>ERP form</x:v>
      </x:c>
      <x:c r="F2205" s="4" t="str">
        <x:v>Record captured</x:v>
      </x:c>
      <x:c r="G2205" s="4" t="str">
        <x:v>Agreement signed</x:v>
      </x:c>
    </x:row>
    <x:row r="2206" ht="34" customHeight="1">
      <x:c r="A2206" s="4" t="str">
        <x:v>RS-02205-E1</x:v>
      </x:c>
      <x:c r="B2206" s="4" t="str">
        <x:v>RS-02205</x:v>
      </x:c>
      <x:c r="C2206" s="8" t="n">
        <x:v>45433</x:v>
      </x:c>
      <x:c r="D2206" s="4" t="str">
        <x:v>Sales operations manager</x:v>
      </x:c>
      <x:c r="E2206" s="4" t="str">
        <x:v>ERP form</x:v>
      </x:c>
      <x:c r="F2206" s="4" t="str">
        <x:v>Record captured</x:v>
      </x:c>
      <x:c r="G2206" s="4" t="str">
        <x:v>Agreement signed</x:v>
      </x:c>
    </x:row>
    <x:row r="2207" ht="34" customHeight="1">
      <x:c r="A2207" s="4" t="str">
        <x:v>RS-02206-E1</x:v>
      </x:c>
      <x:c r="B2207" s="4" t="str">
        <x:v>RS-02206</x:v>
      </x:c>
      <x:c r="C2207" s="8" t="n">
        <x:v>45434</x:v>
      </x:c>
      <x:c r="D2207" s="4" t="str">
        <x:v>Sales operations manager</x:v>
      </x:c>
      <x:c r="E2207" s="4" t="str">
        <x:v>Paper transcribed</x:v>
      </x:c>
      <x:c r="F2207" s="4" t="str">
        <x:v>Record captured</x:v>
      </x:c>
      <x:c r="G2207" s="4" t="str">
        <x:v>Booked</x:v>
      </x:c>
    </x:row>
    <x:row r="2208" ht="34" customHeight="1">
      <x:c r="A2208" s="4" t="str">
        <x:v>RS-02207-E1</x:v>
      </x:c>
      <x:c r="B2208" s="4" t="str">
        <x:v>RS-02207</x:v>
      </x:c>
      <x:c r="C2208" s="8" t="n">
        <x:v>45435</x:v>
      </x:c>
      <x:c r="D2208" s="4" t="str">
        <x:v>Sales operations manager</x:v>
      </x:c>
      <x:c r="E2208" s="4" t="str">
        <x:v>Paper transcribed</x:v>
      </x:c>
      <x:c r="F2208" s="4" t="str">
        <x:v>Record captured</x:v>
      </x:c>
      <x:c r="G2208" s="4" t="str">
        <x:v>Cancelled</x:v>
      </x:c>
    </x:row>
    <x:row r="2209" ht="34" customHeight="1">
      <x:c r="A2209" s="4" t="str">
        <x:v>RS-02208-E1</x:v>
      </x:c>
      <x:c r="B2209" s="4" t="str">
        <x:v>RS-02208</x:v>
      </x:c>
      <x:c r="C2209" s="8" t="n">
        <x:v>45436</x:v>
      </x:c>
      <x:c r="D2209" s="4" t="str">
        <x:v>Sales operations manager</x:v>
      </x:c>
      <x:c r="E2209" s="4" t="str">
        <x:v>ERP form</x:v>
      </x:c>
      <x:c r="F2209" s="4" t="str">
        <x:v>Record captured</x:v>
      </x:c>
      <x:c r="G2209" s="4" t="str">
        <x:v>Enquiry</x:v>
      </x:c>
    </x:row>
    <x:row r="2210" ht="34" customHeight="1">
      <x:c r="A2210" s="4" t="str">
        <x:v>RS-02209-E1</x:v>
      </x:c>
      <x:c r="B2210" s="4" t="str">
        <x:v>RS-02209</x:v>
      </x:c>
      <x:c r="C2210" s="8" t="n">
        <x:v>45437</x:v>
      </x:c>
      <x:c r="D2210" s="4" t="str">
        <x:v>Sales operations manager</x:v>
      </x:c>
      <x:c r="E2210" s="4" t="str">
        <x:v>Paper transcribed</x:v>
      </x:c>
      <x:c r="F2210" s="4" t="str">
        <x:v>Record captured</x:v>
      </x:c>
      <x:c r="G2210" s="4" t="str">
        <x:v>Agreement signed</x:v>
      </x:c>
    </x:row>
    <x:row r="2211" ht="34" customHeight="1">
      <x:c r="A2211" s="4" t="str">
        <x:v>RS-02210-E1</x:v>
      </x:c>
      <x:c r="B2211" s="4" t="str">
        <x:v>RS-02210</x:v>
      </x:c>
      <x:c r="C2211" s="8" t="n">
        <x:v>45438</x:v>
      </x:c>
      <x:c r="D2211" s="4" t="str">
        <x:v>Sales operations manager</x:v>
      </x:c>
      <x:c r="E2211" s="4" t="str">
        <x:v>WhatsApp transcribed</x:v>
      </x:c>
      <x:c r="F2211" s="4" t="str">
        <x:v>Record captured</x:v>
      </x:c>
      <x:c r="G2211" s="4" t="str">
        <x:v>Cancelled</x:v>
      </x:c>
    </x:row>
    <x:row r="2212" ht="34" customHeight="1">
      <x:c r="A2212" s="4" t="str">
        <x:v>RS-02211-E1</x:v>
      </x:c>
      <x:c r="B2212" s="4" t="str">
        <x:v>RS-02211</x:v>
      </x:c>
      <x:c r="C2212" s="8" t="n">
        <x:v>45439</x:v>
      </x:c>
      <x:c r="D2212" s="4" t="str">
        <x:v>Sales operations manager</x:v>
      </x:c>
      <x:c r="E2212" s="4" t="str">
        <x:v>Spreadsheet import</x:v>
      </x:c>
      <x:c r="F2212" s="4" t="str">
        <x:v>Record captured</x:v>
      </x:c>
      <x:c r="G2212" s="4" t="str">
        <x:v>Agreement signed</x:v>
      </x:c>
    </x:row>
    <x:row r="2213" ht="34" customHeight="1">
      <x:c r="A2213" s="4" t="str">
        <x:v>RS-02212-E1</x:v>
      </x:c>
      <x:c r="B2213" s="4" t="str">
        <x:v>RS-02212</x:v>
      </x:c>
      <x:c r="C2213" s="8" t="n">
        <x:v>45440</x:v>
      </x:c>
      <x:c r="D2213" s="4" t="str">
        <x:v>Sales operations manager</x:v>
      </x:c>
      <x:c r="E2213" s="4" t="str">
        <x:v>Paper transcribed</x:v>
      </x:c>
      <x:c r="F2213" s="4" t="str">
        <x:v>Record captured</x:v>
      </x:c>
      <x:c r="G2213" s="4" t="str">
        <x:v>Cancelled</x:v>
      </x:c>
    </x:row>
    <x:row r="2214" ht="34" customHeight="1">
      <x:c r="A2214" s="4" t="str">
        <x:v>RS-02213-E1</x:v>
      </x:c>
      <x:c r="B2214" s="4" t="str">
        <x:v>RS-02213</x:v>
      </x:c>
      <x:c r="C2214" s="8" t="n">
        <x:v>45413</x:v>
      </x:c>
      <x:c r="D2214" s="4" t="str">
        <x:v>Sales operations manager</x:v>
      </x:c>
      <x:c r="E2214" s="4" t="str">
        <x:v>WhatsApp transcribed</x:v>
      </x:c>
      <x:c r="F2214" s="4" t="str">
        <x:v>Record captured</x:v>
      </x:c>
      <x:c r="G2214" s="4" t="str">
        <x:v>Agreement signed</x:v>
      </x:c>
    </x:row>
    <x:row r="2215" ht="34" customHeight="1">
      <x:c r="A2215" s="4" t="str">
        <x:v>RS-02214-E1</x:v>
      </x:c>
      <x:c r="B2215" s="4" t="str">
        <x:v>RS-02214</x:v>
      </x:c>
      <x:c r="C2215" s="8" t="n">
        <x:v>45414</x:v>
      </x:c>
      <x:c r="D2215" s="4" t="str">
        <x:v>Sales operations manager</x:v>
      </x:c>
      <x:c r="E2215" s="4" t="str">
        <x:v>WhatsApp transcribed</x:v>
      </x:c>
      <x:c r="F2215" s="4" t="str">
        <x:v>Record captured</x:v>
      </x:c>
      <x:c r="G2215" s="4" t="str">
        <x:v>Cancelled</x:v>
      </x:c>
    </x:row>
    <x:row r="2216" ht="34" customHeight="1">
      <x:c r="A2216" s="4" t="str">
        <x:v>RS-02215-E1</x:v>
      </x:c>
      <x:c r="B2216" s="4" t="str">
        <x:v>RS-02215</x:v>
      </x:c>
      <x:c r="C2216" s="8" t="n">
        <x:v>45415</x:v>
      </x:c>
      <x:c r="D2216" s="4" t="str">
        <x:v>Sales operations manager</x:v>
      </x:c>
      <x:c r="E2216" s="4" t="str">
        <x:v>Spreadsheet import</x:v>
      </x:c>
      <x:c r="F2216" s="4" t="str">
        <x:v>Record captured</x:v>
      </x:c>
      <x:c r="G2216" s="4" t="str">
        <x:v>Enquiry</x:v>
      </x:c>
    </x:row>
    <x:row r="2217" ht="34" customHeight="1">
      <x:c r="A2217" s="4" t="str">
        <x:v>RS-02216-E1</x:v>
      </x:c>
      <x:c r="B2217" s="4" t="str">
        <x:v>RS-02216</x:v>
      </x:c>
      <x:c r="C2217" s="8" t="n">
        <x:v>45416</x:v>
      </x:c>
      <x:c r="D2217" s="4" t="str">
        <x:v>Sales operations manager</x:v>
      </x:c>
      <x:c r="E2217" s="4" t="str">
        <x:v>ERP form</x:v>
      </x:c>
      <x:c r="F2217" s="4" t="str">
        <x:v>Record captured</x:v>
      </x:c>
      <x:c r="G2217" s="4" t="str">
        <x:v>Reserved</x:v>
      </x:c>
    </x:row>
    <x:row r="2218" ht="34" customHeight="1">
      <x:c r="A2218" s="4" t="str">
        <x:v>RS-02217-E1</x:v>
      </x:c>
      <x:c r="B2218" s="4" t="str">
        <x:v>RS-02217</x:v>
      </x:c>
      <x:c r="C2218" s="8" t="n">
        <x:v>45417</x:v>
      </x:c>
      <x:c r="D2218" s="4" t="str">
        <x:v>Sales operations manager</x:v>
      </x:c>
      <x:c r="E2218" s="4" t="str">
        <x:v>Spreadsheet import</x:v>
      </x:c>
      <x:c r="F2218" s="4" t="str">
        <x:v>Record captured</x:v>
      </x:c>
      <x:c r="G2218" s="4" t="str">
        <x:v>Booked</x:v>
      </x:c>
    </x:row>
    <x:row r="2219" ht="34" customHeight="1">
      <x:c r="A2219" s="4" t="str">
        <x:v>RS-02218-E1</x:v>
      </x:c>
      <x:c r="B2219" s="4" t="str">
        <x:v>RS-02218</x:v>
      </x:c>
      <x:c r="C2219" s="8" t="n">
        <x:v>45418</x:v>
      </x:c>
      <x:c r="D2219" s="4" t="str">
        <x:v>Sales operations manager</x:v>
      </x:c>
      <x:c r="E2219" s="4" t="str">
        <x:v>Spreadsheet import</x:v>
      </x:c>
      <x:c r="F2219" s="4" t="str">
        <x:v>Record captured</x:v>
      </x:c>
      <x:c r="G2219" s="4" t="str">
        <x:v>Booked</x:v>
      </x:c>
    </x:row>
    <x:row r="2220" ht="34" customHeight="1">
      <x:c r="A2220" s="4" t="str">
        <x:v>RS-02219-E1</x:v>
      </x:c>
      <x:c r="B2220" s="4" t="str">
        <x:v>RS-02219</x:v>
      </x:c>
      <x:c r="C2220" s="8" t="n">
        <x:v>45419</x:v>
      </x:c>
      <x:c r="D2220" s="4" t="str">
        <x:v>Sales operations manager</x:v>
      </x:c>
      <x:c r="E2220" s="4" t="str">
        <x:v>WhatsApp transcribed</x:v>
      </x:c>
      <x:c r="F2220" s="4" t="str">
        <x:v>Record captured</x:v>
      </x:c>
      <x:c r="G2220" s="4" t="str">
        <x:v>Cancelled</x:v>
      </x:c>
    </x:row>
    <x:row r="2221" ht="34" customHeight="1">
      <x:c r="A2221" s="4" t="str">
        <x:v>RS-02220-E1</x:v>
      </x:c>
      <x:c r="B2221" s="4" t="str">
        <x:v>RS-02220</x:v>
      </x:c>
      <x:c r="C2221" s="8" t="n">
        <x:v>45420</x:v>
      </x:c>
      <x:c r="D2221" s="4" t="str">
        <x:v>Sales operations manager</x:v>
      </x:c>
      <x:c r="E2221" s="4" t="str">
        <x:v>ERP form</x:v>
      </x:c>
      <x:c r="F2221" s="4" t="str">
        <x:v>Record captured</x:v>
      </x:c>
      <x:c r="G2221" s="4" t="str">
        <x:v>Agreement signed</x:v>
      </x:c>
    </x:row>
    <x:row r="2222" ht="34" customHeight="1">
      <x:c r="A2222" s="4" t="str">
        <x:v>RS-02221-E1</x:v>
      </x:c>
      <x:c r="B2222" s="4" t="str">
        <x:v>RS-02221</x:v>
      </x:c>
      <x:c r="C2222" s="8" t="n">
        <x:v>45421</x:v>
      </x:c>
      <x:c r="D2222" s="4" t="str">
        <x:v>Sales operations manager</x:v>
      </x:c>
      <x:c r="E2222" s="4" t="str">
        <x:v>Paper transcribed</x:v>
      </x:c>
      <x:c r="F2222" s="4" t="str">
        <x:v>Record captured</x:v>
      </x:c>
      <x:c r="G2222" s="4" t="str">
        <x:v>Agreement signed</x:v>
      </x:c>
    </x:row>
    <x:row r="2223" ht="34" customHeight="1">
      <x:c r="A2223" s="4" t="str">
        <x:v>RS-02222-E1</x:v>
      </x:c>
      <x:c r="B2223" s="4" t="str">
        <x:v>RS-02222</x:v>
      </x:c>
      <x:c r="C2223" s="8" t="n">
        <x:v>45422</x:v>
      </x:c>
      <x:c r="D2223" s="4" t="str">
        <x:v>Sales operations manager</x:v>
      </x:c>
      <x:c r="E2223" s="4" t="str">
        <x:v>Paper transcribed</x:v>
      </x:c>
      <x:c r="F2223" s="4" t="str">
        <x:v>Record captured</x:v>
      </x:c>
      <x:c r="G2223" s="4" t="str">
        <x:v>Reserved</x:v>
      </x:c>
    </x:row>
    <x:row r="2224" ht="34" customHeight="1">
      <x:c r="A2224" s="4" t="str">
        <x:v>RS-02223-E1</x:v>
      </x:c>
      <x:c r="B2224" s="4" t="str">
        <x:v>RS-02223</x:v>
      </x:c>
      <x:c r="C2224" s="8" t="n">
        <x:v>45423</x:v>
      </x:c>
      <x:c r="D2224" s="4" t="str">
        <x:v>Sales operations manager</x:v>
      </x:c>
      <x:c r="E2224" s="4" t="str">
        <x:v>WhatsApp transcribed</x:v>
      </x:c>
      <x:c r="F2224" s="4" t="str">
        <x:v>Record captured</x:v>
      </x:c>
      <x:c r="G2224" s="4" t="str">
        <x:v>Booked</x:v>
      </x:c>
    </x:row>
    <x:row r="2225" ht="34" customHeight="1">
      <x:c r="A2225" s="4" t="str">
        <x:v>RS-02224-E1</x:v>
      </x:c>
      <x:c r="B2225" s="4" t="str">
        <x:v>RS-02224</x:v>
      </x:c>
      <x:c r="C2225" s="8" t="n">
        <x:v>45424</x:v>
      </x:c>
      <x:c r="D2225" s="4" t="str">
        <x:v>Sales operations manager</x:v>
      </x:c>
      <x:c r="E2225" s="4" t="str">
        <x:v>Paper transcribed</x:v>
      </x:c>
      <x:c r="F2225" s="4" t="str">
        <x:v>Record captured</x:v>
      </x:c>
      <x:c r="G2225" s="4" t="str">
        <x:v>Reserved</x:v>
      </x:c>
    </x:row>
    <x:row r="2226" ht="34" customHeight="1">
      <x:c r="A2226" s="4" t="str">
        <x:v>RS-02225-E1</x:v>
      </x:c>
      <x:c r="B2226" s="4" t="str">
        <x:v>RS-02225</x:v>
      </x:c>
      <x:c r="C2226" s="8" t="n">
        <x:v>45425</x:v>
      </x:c>
      <x:c r="D2226" s="4" t="str">
        <x:v>Sales operations manager</x:v>
      </x:c>
      <x:c r="E2226" s="4" t="str">
        <x:v>ERP form</x:v>
      </x:c>
      <x:c r="F2226" s="4" t="str">
        <x:v>Record captured</x:v>
      </x:c>
      <x:c r="G2226" s="4" t="str">
        <x:v>Enquiry</x:v>
      </x:c>
    </x:row>
    <x:row r="2227" ht="34" customHeight="1">
      <x:c r="A2227" s="4" t="str">
        <x:v>RS-02226-E1</x:v>
      </x:c>
      <x:c r="B2227" s="4" t="str">
        <x:v>RS-02226</x:v>
      </x:c>
      <x:c r="C2227" s="8" t="n">
        <x:v>45426</x:v>
      </x:c>
      <x:c r="D2227" s="4" t="str">
        <x:v>Sales operations manager</x:v>
      </x:c>
      <x:c r="E2227" s="4" t="str">
        <x:v>Paper transcribed</x:v>
      </x:c>
      <x:c r="F2227" s="4" t="str">
        <x:v>Record captured</x:v>
      </x:c>
      <x:c r="G2227" s="4" t="str">
        <x:v>Cancelled</x:v>
      </x:c>
    </x:row>
    <x:row r="2228" ht="34" customHeight="1">
      <x:c r="A2228" s="4" t="str">
        <x:v>RS-02227-E1</x:v>
      </x:c>
      <x:c r="B2228" s="4" t="str">
        <x:v>RS-02227</x:v>
      </x:c>
      <x:c r="C2228" s="8" t="n">
        <x:v>45427</x:v>
      </x:c>
      <x:c r="D2228" s="4" t="str">
        <x:v>Sales operations manager</x:v>
      </x:c>
      <x:c r="E2228" s="4" t="str">
        <x:v>Spreadsheet import</x:v>
      </x:c>
      <x:c r="F2228" s="4" t="str">
        <x:v>Record captured</x:v>
      </x:c>
      <x:c r="G2228" s="4" t="str">
        <x:v>Reserved</x:v>
      </x:c>
    </x:row>
    <x:row r="2229" ht="34" customHeight="1">
      <x:c r="A2229" s="4" t="str">
        <x:v>RS-02228-E1</x:v>
      </x:c>
      <x:c r="B2229" s="4" t="str">
        <x:v>RS-02228</x:v>
      </x:c>
      <x:c r="C2229" s="8" t="n">
        <x:v>45428</x:v>
      </x:c>
      <x:c r="D2229" s="4" t="str">
        <x:v>Sales operations manager</x:v>
      </x:c>
      <x:c r="E2229" s="4" t="str">
        <x:v>Paper transcribed</x:v>
      </x:c>
      <x:c r="F2229" s="4" t="str">
        <x:v>Record captured</x:v>
      </x:c>
      <x:c r="G2229" s="4" t="str">
        <x:v>Handed over</x:v>
      </x:c>
    </x:row>
    <x:row r="2230" ht="34" customHeight="1">
      <x:c r="A2230" s="4" t="str">
        <x:v>RS-02229-E1</x:v>
      </x:c>
      <x:c r="B2230" s="4" t="str">
        <x:v>RS-02229</x:v>
      </x:c>
      <x:c r="C2230" s="8" t="n">
        <x:v>45429</x:v>
      </x:c>
      <x:c r="D2230" s="4" t="str">
        <x:v>Sales operations manager</x:v>
      </x:c>
      <x:c r="E2230" s="4" t="str">
        <x:v>ERP form</x:v>
      </x:c>
      <x:c r="F2230" s="4" t="str">
        <x:v>Record captured</x:v>
      </x:c>
      <x:c r="G2230" s="4" t="str">
        <x:v>Cancelled</x:v>
      </x:c>
    </x:row>
    <x:row r="2231" ht="34" customHeight="1">
      <x:c r="A2231" s="4" t="str">
        <x:v>RS-02230-E1</x:v>
      </x:c>
      <x:c r="B2231" s="4" t="str">
        <x:v>RS-02230</x:v>
      </x:c>
      <x:c r="C2231" s="8" t="n">
        <x:v>45430</x:v>
      </x:c>
      <x:c r="D2231" s="4" t="str">
        <x:v>Sales operations manager</x:v>
      </x:c>
      <x:c r="E2231" s="4" t="str">
        <x:v>Spreadsheet import</x:v>
      </x:c>
      <x:c r="F2231" s="4" t="str">
        <x:v>Record captured</x:v>
      </x:c>
      <x:c r="G2231" s="4" t="str">
        <x:v>Handed over</x:v>
      </x:c>
    </x:row>
    <x:row r="2232" ht="34" customHeight="1">
      <x:c r="A2232" s="4" t="str">
        <x:v>RS-02231-E1</x:v>
      </x:c>
      <x:c r="B2232" s="4" t="str">
        <x:v>RS-02231</x:v>
      </x:c>
      <x:c r="C2232" s="8" t="n">
        <x:v>45431</x:v>
      </x:c>
      <x:c r="D2232" s="4" t="str">
        <x:v>Sales operations manager</x:v>
      </x:c>
      <x:c r="E2232" s="4" t="str">
        <x:v>WhatsApp transcribed</x:v>
      </x:c>
      <x:c r="F2232" s="4" t="str">
        <x:v>Record captured</x:v>
      </x:c>
      <x:c r="G2232" s="4" t="str">
        <x:v>Cancelled</x:v>
      </x:c>
    </x:row>
    <x:row r="2233" ht="34" customHeight="1">
      <x:c r="A2233" s="4" t="str">
        <x:v>RS-02232-E1</x:v>
      </x:c>
      <x:c r="B2233" s="4" t="str">
        <x:v>RS-02232</x:v>
      </x:c>
      <x:c r="C2233" s="8" t="n">
        <x:v>45432</x:v>
      </x:c>
      <x:c r="D2233" s="4" t="str">
        <x:v>Sales operations manager</x:v>
      </x:c>
      <x:c r="E2233" s="4" t="str">
        <x:v>ERP form</x:v>
      </x:c>
      <x:c r="F2233" s="4" t="str">
        <x:v>Record captured</x:v>
      </x:c>
      <x:c r="G2233" s="4" t="str">
        <x:v>Cancelled</x:v>
      </x:c>
    </x:row>
    <x:row r="2234" ht="34" customHeight="1">
      <x:c r="A2234" s="4" t="str">
        <x:v>RS-02233-E1</x:v>
      </x:c>
      <x:c r="B2234" s="4" t="str">
        <x:v>RS-02233</x:v>
      </x:c>
      <x:c r="C2234" s="8" t="n">
        <x:v>45433</x:v>
      </x:c>
      <x:c r="D2234" s="4" t="str">
        <x:v>Sales operations manager</x:v>
      </x:c>
      <x:c r="E2234" s="4" t="str">
        <x:v>WhatsApp transcribed</x:v>
      </x:c>
      <x:c r="F2234" s="4" t="str">
        <x:v>Record captured</x:v>
      </x:c>
      <x:c r="G2234" s="4" t="str">
        <x:v>Enquiry</x:v>
      </x:c>
    </x:row>
    <x:row r="2235" ht="34" customHeight="1">
      <x:c r="A2235" s="4" t="str">
        <x:v>RS-02234-E1</x:v>
      </x:c>
      <x:c r="B2235" s="4" t="str">
        <x:v>RS-02234</x:v>
      </x:c>
      <x:c r="C2235" s="8" t="n">
        <x:v>45434</x:v>
      </x:c>
      <x:c r="D2235" s="4" t="str">
        <x:v>Sales operations manager</x:v>
      </x:c>
      <x:c r="E2235" s="4" t="str">
        <x:v>ERP form</x:v>
      </x:c>
      <x:c r="F2235" s="4" t="str">
        <x:v>Record captured</x:v>
      </x:c>
      <x:c r="G2235" s="4" t="str">
        <x:v>Handed over</x:v>
      </x:c>
    </x:row>
    <x:row r="2236" ht="34" customHeight="1">
      <x:c r="A2236" s="4" t="str">
        <x:v>RS-02235-E1</x:v>
      </x:c>
      <x:c r="B2236" s="4" t="str">
        <x:v>RS-02235</x:v>
      </x:c>
      <x:c r="C2236" s="8" t="n">
        <x:v>45435</x:v>
      </x:c>
      <x:c r="D2236" s="4" t="str">
        <x:v>Sales operations manager</x:v>
      </x:c>
      <x:c r="E2236" s="4" t="str">
        <x:v>WhatsApp transcribed</x:v>
      </x:c>
      <x:c r="F2236" s="4" t="str">
        <x:v>Record captured</x:v>
      </x:c>
      <x:c r="G2236" s="4" t="str">
        <x:v>Enquiry</x:v>
      </x:c>
    </x:row>
    <x:row r="2237" ht="34" customHeight="1">
      <x:c r="A2237" s="4" t="str">
        <x:v>RS-02236-E1</x:v>
      </x:c>
      <x:c r="B2237" s="4" t="str">
        <x:v>RS-02236</x:v>
      </x:c>
      <x:c r="C2237" s="8" t="n">
        <x:v>45436</x:v>
      </x:c>
      <x:c r="D2237" s="4" t="str">
        <x:v>Sales operations manager</x:v>
      </x:c>
      <x:c r="E2237" s="4" t="str">
        <x:v>ERP form</x:v>
      </x:c>
      <x:c r="F2237" s="4" t="str">
        <x:v>Record captured</x:v>
      </x:c>
      <x:c r="G2237" s="4" t="str">
        <x:v>Booked</x:v>
      </x:c>
    </x:row>
    <x:row r="2238" ht="34" customHeight="1">
      <x:c r="A2238" s="4" t="str">
        <x:v>RS-02237-E1</x:v>
      </x:c>
      <x:c r="B2238" s="4" t="str">
        <x:v>RS-02237</x:v>
      </x:c>
      <x:c r="C2238" s="8" t="n">
        <x:v>45437</x:v>
      </x:c>
      <x:c r="D2238" s="4" t="str">
        <x:v>Sales operations manager</x:v>
      </x:c>
      <x:c r="E2238" s="4" t="str">
        <x:v>Spreadsheet import</x:v>
      </x:c>
      <x:c r="F2238" s="4" t="str">
        <x:v>Record captured</x:v>
      </x:c>
      <x:c r="G2238" s="4" t="str">
        <x:v>Booked</x:v>
      </x:c>
    </x:row>
    <x:row r="2239" ht="34" customHeight="1">
      <x:c r="A2239" s="4" t="str">
        <x:v>RS-02238-E1</x:v>
      </x:c>
      <x:c r="B2239" s="4" t="str">
        <x:v>RS-02238</x:v>
      </x:c>
      <x:c r="C2239" s="8" t="n">
        <x:v>45438</x:v>
      </x:c>
      <x:c r="D2239" s="4" t="str">
        <x:v>Sales operations manager</x:v>
      </x:c>
      <x:c r="E2239" s="4" t="str">
        <x:v>WhatsApp transcribed</x:v>
      </x:c>
      <x:c r="F2239" s="4" t="str">
        <x:v>Record captured</x:v>
      </x:c>
      <x:c r="G2239" s="4" t="str">
        <x:v>Reserved</x:v>
      </x:c>
    </x:row>
    <x:row r="2240" ht="34" customHeight="1">
      <x:c r="A2240" s="4" t="str">
        <x:v>RS-02239-E1</x:v>
      </x:c>
      <x:c r="B2240" s="4" t="str">
        <x:v>RS-02239</x:v>
      </x:c>
      <x:c r="C2240" s="8" t="n">
        <x:v>45439</x:v>
      </x:c>
      <x:c r="D2240" s="4" t="str">
        <x:v>Sales operations manager</x:v>
      </x:c>
      <x:c r="E2240" s="4" t="str">
        <x:v>WhatsApp transcribed</x:v>
      </x:c>
      <x:c r="F2240" s="4" t="str">
        <x:v>Record captured</x:v>
      </x:c>
      <x:c r="G2240" s="4" t="str">
        <x:v>Agreement signed</x:v>
      </x:c>
    </x:row>
    <x:row r="2241" ht="34" customHeight="1">
      <x:c r="A2241" s="4" t="str">
        <x:v>RS-02240-E1</x:v>
      </x:c>
      <x:c r="B2241" s="4" t="str">
        <x:v>RS-02240</x:v>
      </x:c>
      <x:c r="C2241" s="8" t="n">
        <x:v>45440</x:v>
      </x:c>
      <x:c r="D2241" s="4" t="str">
        <x:v>Sales operations manager</x:v>
      </x:c>
      <x:c r="E2241" s="4" t="str">
        <x:v>WhatsApp transcribed</x:v>
      </x:c>
      <x:c r="F2241" s="4" t="str">
        <x:v>Record captured</x:v>
      </x:c>
      <x:c r="G2241" s="4" t="str">
        <x:v>Reserved</x:v>
      </x:c>
    </x:row>
    <x:row r="2242" ht="34" customHeight="1">
      <x:c r="A2242" s="4" t="str">
        <x:v>RS-02241-E1</x:v>
      </x:c>
      <x:c r="B2242" s="4" t="str">
        <x:v>RS-02241</x:v>
      </x:c>
      <x:c r="C2242" s="8" t="n">
        <x:v>45413</x:v>
      </x:c>
      <x:c r="D2242" s="4" t="str">
        <x:v>Sales operations manager</x:v>
      </x:c>
      <x:c r="E2242" s="4" t="str">
        <x:v>ERP form</x:v>
      </x:c>
      <x:c r="F2242" s="4" t="str">
        <x:v>Record captured</x:v>
      </x:c>
      <x:c r="G2242" s="4" t="str">
        <x:v>Cancelled</x:v>
      </x:c>
    </x:row>
    <x:row r="2243" ht="34" customHeight="1">
      <x:c r="A2243" s="4" t="str">
        <x:v>RS-02242-E1</x:v>
      </x:c>
      <x:c r="B2243" s="4" t="str">
        <x:v>RS-02242</x:v>
      </x:c>
      <x:c r="C2243" s="8" t="n">
        <x:v>45414</x:v>
      </x:c>
      <x:c r="D2243" s="4" t="str">
        <x:v>Sales operations manager</x:v>
      </x:c>
      <x:c r="E2243" s="4" t="str">
        <x:v>Spreadsheet import</x:v>
      </x:c>
      <x:c r="F2243" s="4" t="str">
        <x:v>Record captured</x:v>
      </x:c>
      <x:c r="G2243" s="4" t="str">
        <x:v>Handed over</x:v>
      </x:c>
    </x:row>
    <x:row r="2244" ht="34" customHeight="1">
      <x:c r="A2244" s="4" t="str">
        <x:v>RS-02243-E1</x:v>
      </x:c>
      <x:c r="B2244" s="4" t="str">
        <x:v>RS-02243</x:v>
      </x:c>
      <x:c r="C2244" s="8" t="n">
        <x:v>45415</x:v>
      </x:c>
      <x:c r="D2244" s="4" t="str">
        <x:v>Sales operations manager</x:v>
      </x:c>
      <x:c r="E2244" s="4" t="str">
        <x:v>ERP form</x:v>
      </x:c>
      <x:c r="F2244" s="4" t="str">
        <x:v>Record captured</x:v>
      </x:c>
      <x:c r="G2244" s="4" t="str">
        <x:v>Handed over</x:v>
      </x:c>
    </x:row>
    <x:row r="2245" ht="34" customHeight="1">
      <x:c r="A2245" s="4" t="str">
        <x:v>RS-02244-E1</x:v>
      </x:c>
      <x:c r="B2245" s="4" t="str">
        <x:v>RS-02244</x:v>
      </x:c>
      <x:c r="C2245" s="8" t="n">
        <x:v>45416</x:v>
      </x:c>
      <x:c r="D2245" s="4" t="str">
        <x:v>Sales operations manager</x:v>
      </x:c>
      <x:c r="E2245" s="4" t="str">
        <x:v>Spreadsheet import</x:v>
      </x:c>
      <x:c r="F2245" s="4" t="str">
        <x:v>Record captured</x:v>
      </x:c>
      <x:c r="G2245" s="4" t="str">
        <x:v>Cancelled</x:v>
      </x:c>
    </x:row>
    <x:row r="2246" ht="34" customHeight="1">
      <x:c r="A2246" s="4" t="str">
        <x:v>RS-02245-E1</x:v>
      </x:c>
      <x:c r="B2246" s="4" t="str">
        <x:v>RS-02245</x:v>
      </x:c>
      <x:c r="C2246" s="8" t="n">
        <x:v>45417</x:v>
      </x:c>
      <x:c r="D2246" s="4" t="str">
        <x:v>Sales operations manager</x:v>
      </x:c>
      <x:c r="E2246" s="4" t="str">
        <x:v>WhatsApp transcribed</x:v>
      </x:c>
      <x:c r="F2246" s="4" t="str">
        <x:v>Record captured</x:v>
      </x:c>
      <x:c r="G2246" s="4" t="str">
        <x:v>Booked</x:v>
      </x:c>
    </x:row>
    <x:row r="2247" ht="34" customHeight="1">
      <x:c r="A2247" s="4" t="str">
        <x:v>RS-02246-E1</x:v>
      </x:c>
      <x:c r="B2247" s="4" t="str">
        <x:v>RS-02246</x:v>
      </x:c>
      <x:c r="C2247" s="8" t="n">
        <x:v>45418</x:v>
      </x:c>
      <x:c r="D2247" s="4" t="str">
        <x:v>Sales operations manager</x:v>
      </x:c>
      <x:c r="E2247" s="4" t="str">
        <x:v>WhatsApp transcribed</x:v>
      </x:c>
      <x:c r="F2247" s="4" t="str">
        <x:v>Record captured</x:v>
      </x:c>
      <x:c r="G2247" s="4" t="str">
        <x:v>Cancelled</x:v>
      </x:c>
    </x:row>
    <x:row r="2248" ht="34" customHeight="1">
      <x:c r="A2248" s="4" t="str">
        <x:v>RS-02247-E1</x:v>
      </x:c>
      <x:c r="B2248" s="4" t="str">
        <x:v>RS-02247</x:v>
      </x:c>
      <x:c r="C2248" s="8" t="n">
        <x:v>45419</x:v>
      </x:c>
      <x:c r="D2248" s="4" t="str">
        <x:v>Sales operations manager</x:v>
      </x:c>
      <x:c r="E2248" s="4" t="str">
        <x:v>Paper transcribed</x:v>
      </x:c>
      <x:c r="F2248" s="4" t="str">
        <x:v>Record captured</x:v>
      </x:c>
      <x:c r="G2248" s="4" t="str">
        <x:v>Enquiry</x:v>
      </x:c>
    </x:row>
    <x:row r="2249" ht="34" customHeight="1">
      <x:c r="A2249" s="4" t="str">
        <x:v>RS-02248-E1</x:v>
      </x:c>
      <x:c r="B2249" s="4" t="str">
        <x:v>RS-02248</x:v>
      </x:c>
      <x:c r="C2249" s="8" t="n">
        <x:v>45420</x:v>
      </x:c>
      <x:c r="D2249" s="4" t="str">
        <x:v>Sales operations manager</x:v>
      </x:c>
      <x:c r="E2249" s="4" t="str">
        <x:v>Spreadsheet import</x:v>
      </x:c>
      <x:c r="F2249" s="4" t="str">
        <x:v>Record captured</x:v>
      </x:c>
      <x:c r="G2249" s="4" t="str">
        <x:v>Enquiry</x:v>
      </x:c>
    </x:row>
    <x:row r="2250" ht="34" customHeight="1">
      <x:c r="A2250" s="4" t="str">
        <x:v>RS-02249-E1</x:v>
      </x:c>
      <x:c r="B2250" s="4" t="str">
        <x:v>RS-02249</x:v>
      </x:c>
      <x:c r="C2250" s="8" t="n">
        <x:v>45421</x:v>
      </x:c>
      <x:c r="D2250" s="4" t="str">
        <x:v>Sales operations manager</x:v>
      </x:c>
      <x:c r="E2250" s="4" t="str">
        <x:v>Paper transcribed</x:v>
      </x:c>
      <x:c r="F2250" s="4" t="str">
        <x:v>Record captured</x:v>
      </x:c>
      <x:c r="G2250" s="4" t="str">
        <x:v>Enquiry</x:v>
      </x:c>
    </x:row>
    <x:row r="2251" ht="34" customHeight="1">
      <x:c r="A2251" s="4" t="str">
        <x:v>RS-02250-E1</x:v>
      </x:c>
      <x:c r="B2251" s="4" t="str">
        <x:v>RS-02250</x:v>
      </x:c>
      <x:c r="C2251" s="8" t="n">
        <x:v>45422</x:v>
      </x:c>
      <x:c r="D2251" s="4" t="str">
        <x:v>Sales operations manager</x:v>
      </x:c>
      <x:c r="E2251" s="4" t="str">
        <x:v>ERP form</x:v>
      </x:c>
      <x:c r="F2251" s="4" t="str">
        <x:v>Record captured</x:v>
      </x:c>
      <x:c r="G2251" s="4" t="str">
        <x:v>Handed over</x:v>
      </x:c>
    </x:row>
    <x:row r="2252" ht="34" customHeight="1">
      <x:c r="A2252" s="4" t="str">
        <x:v>RS-02251-E1</x:v>
      </x:c>
      <x:c r="B2252" s="4" t="str">
        <x:v>RS-02251</x:v>
      </x:c>
      <x:c r="C2252" s="8" t="n">
        <x:v>45423</x:v>
      </x:c>
      <x:c r="D2252" s="4" t="str">
        <x:v>Sales operations manager</x:v>
      </x:c>
      <x:c r="E2252" s="4" t="str">
        <x:v>Paper transcribed</x:v>
      </x:c>
      <x:c r="F2252" s="4" t="str">
        <x:v>Record captured</x:v>
      </x:c>
      <x:c r="G2252" s="4" t="str">
        <x:v>Reserved</x:v>
      </x:c>
    </x:row>
    <x:row r="2253" ht="34" customHeight="1">
      <x:c r="A2253" s="4" t="str">
        <x:v>RS-02252-E1</x:v>
      </x:c>
      <x:c r="B2253" s="4" t="str">
        <x:v>RS-02252</x:v>
      </x:c>
      <x:c r="C2253" s="8" t="n">
        <x:v>45424</x:v>
      </x:c>
      <x:c r="D2253" s="4" t="str">
        <x:v>Sales operations manager</x:v>
      </x:c>
      <x:c r="E2253" s="4" t="str">
        <x:v>Spreadsheet import</x:v>
      </x:c>
      <x:c r="F2253" s="4" t="str">
        <x:v>Record captured</x:v>
      </x:c>
      <x:c r="G2253" s="4" t="str">
        <x:v>Reserved</x:v>
      </x:c>
    </x:row>
    <x:row r="2254" ht="34" customHeight="1">
      <x:c r="A2254" s="4" t="str">
        <x:v>RS-02253-E1</x:v>
      </x:c>
      <x:c r="B2254" s="4" t="str">
        <x:v>RS-02253</x:v>
      </x:c>
      <x:c r="C2254" s="8" t="n">
        <x:v>45425</x:v>
      </x:c>
      <x:c r="D2254" s="4" t="str">
        <x:v>Sales operations manager</x:v>
      </x:c>
      <x:c r="E2254" s="4" t="str">
        <x:v>WhatsApp transcribed</x:v>
      </x:c>
      <x:c r="F2254" s="4" t="str">
        <x:v>Record captured</x:v>
      </x:c>
      <x:c r="G2254" s="4" t="str">
        <x:v>Enquiry</x:v>
      </x:c>
    </x:row>
    <x:row r="2255" ht="34" customHeight="1">
      <x:c r="A2255" s="4" t="str">
        <x:v>RS-02254-E1</x:v>
      </x:c>
      <x:c r="B2255" s="4" t="str">
        <x:v>RS-02254</x:v>
      </x:c>
      <x:c r="C2255" s="8" t="n">
        <x:v>45426</x:v>
      </x:c>
      <x:c r="D2255" s="4" t="str">
        <x:v>Sales operations manager</x:v>
      </x:c>
      <x:c r="E2255" s="4" t="str">
        <x:v>ERP form</x:v>
      </x:c>
      <x:c r="F2255" s="4" t="str">
        <x:v>Record captured</x:v>
      </x:c>
      <x:c r="G2255" s="4" t="str">
        <x:v>Enquiry</x:v>
      </x:c>
    </x:row>
    <x:row r="2256" ht="34" customHeight="1">
      <x:c r="A2256" s="4" t="str">
        <x:v>RS-02255-E1</x:v>
      </x:c>
      <x:c r="B2256" s="4" t="str">
        <x:v>RS-02255</x:v>
      </x:c>
      <x:c r="C2256" s="8" t="n">
        <x:v>45427</x:v>
      </x:c>
      <x:c r="D2256" s="4" t="str">
        <x:v>Sales operations manager</x:v>
      </x:c>
      <x:c r="E2256" s="4" t="str">
        <x:v>Paper transcribed</x:v>
      </x:c>
      <x:c r="F2256" s="4" t="str">
        <x:v>Record captured</x:v>
      </x:c>
      <x:c r="G2256" s="4" t="str">
        <x:v>Agreement signed</x:v>
      </x:c>
    </x:row>
    <x:row r="2257" ht="34" customHeight="1">
      <x:c r="A2257" s="4" t="str">
        <x:v>RS-02256-E1</x:v>
      </x:c>
      <x:c r="B2257" s="4" t="str">
        <x:v>RS-02256</x:v>
      </x:c>
      <x:c r="C2257" s="8" t="n">
        <x:v>45428</x:v>
      </x:c>
      <x:c r="D2257" s="4" t="str">
        <x:v>Sales operations manager</x:v>
      </x:c>
      <x:c r="E2257" s="4" t="str">
        <x:v>Paper transcribed</x:v>
      </x:c>
      <x:c r="F2257" s="4" t="str">
        <x:v>Record captured</x:v>
      </x:c>
      <x:c r="G2257" s="4" t="str">
        <x:v>Agreement signed</x:v>
      </x:c>
    </x:row>
    <x:row r="2258" ht="34" customHeight="1">
      <x:c r="A2258" s="4" t="str">
        <x:v>RS-02257-E1</x:v>
      </x:c>
      <x:c r="B2258" s="4" t="str">
        <x:v>RS-02257</x:v>
      </x:c>
      <x:c r="C2258" s="8" t="n">
        <x:v>45429</x:v>
      </x:c>
      <x:c r="D2258" s="4" t="str">
        <x:v>Sales operations manager</x:v>
      </x:c>
      <x:c r="E2258" s="4" t="str">
        <x:v>Paper transcribed</x:v>
      </x:c>
      <x:c r="F2258" s="4" t="str">
        <x:v>Record captured</x:v>
      </x:c>
      <x:c r="G2258" s="4" t="str">
        <x:v>Booked</x:v>
      </x:c>
    </x:row>
    <x:row r="2259" ht="34" customHeight="1">
      <x:c r="A2259" s="4" t="str">
        <x:v>RS-02258-E1</x:v>
      </x:c>
      <x:c r="B2259" s="4" t="str">
        <x:v>RS-02258</x:v>
      </x:c>
      <x:c r="C2259" s="8" t="n">
        <x:v>45430</x:v>
      </x:c>
      <x:c r="D2259" s="4" t="str">
        <x:v>Sales operations manager</x:v>
      </x:c>
      <x:c r="E2259" s="4" t="str">
        <x:v>WhatsApp transcribed</x:v>
      </x:c>
      <x:c r="F2259" s="4" t="str">
        <x:v>Record captured</x:v>
      </x:c>
      <x:c r="G2259" s="4" t="str">
        <x:v>Booked</x:v>
      </x:c>
    </x:row>
    <x:row r="2260" ht="34" customHeight="1">
      <x:c r="A2260" s="4" t="str">
        <x:v>RS-02259-E1</x:v>
      </x:c>
      <x:c r="B2260" s="4" t="str">
        <x:v>RS-02259</x:v>
      </x:c>
      <x:c r="C2260" s="8" t="n">
        <x:v>45431</x:v>
      </x:c>
      <x:c r="D2260" s="4" t="str">
        <x:v>Sales operations manager</x:v>
      </x:c>
      <x:c r="E2260" s="4" t="str">
        <x:v>Paper transcribed</x:v>
      </x:c>
      <x:c r="F2260" s="4" t="str">
        <x:v>Record captured</x:v>
      </x:c>
      <x:c r="G2260" s="4" t="str">
        <x:v>Booked</x:v>
      </x:c>
    </x:row>
    <x:row r="2261" ht="34" customHeight="1">
      <x:c r="A2261" s="4" t="str">
        <x:v>RS-02260-E1</x:v>
      </x:c>
      <x:c r="B2261" s="4" t="str">
        <x:v>RS-02260</x:v>
      </x:c>
      <x:c r="C2261" s="8" t="n">
        <x:v>45432</x:v>
      </x:c>
      <x:c r="D2261" s="4" t="str">
        <x:v>Sales operations manager</x:v>
      </x:c>
      <x:c r="E2261" s="4" t="str">
        <x:v>Paper transcribed</x:v>
      </x:c>
      <x:c r="F2261" s="4" t="str">
        <x:v>Record captured</x:v>
      </x:c>
      <x:c r="G2261" s="4" t="str">
        <x:v>Reserved</x:v>
      </x:c>
    </x:row>
    <x:row r="2262" ht="34" customHeight="1">
      <x:c r="A2262" s="4" t="str">
        <x:v>RS-02261-E1</x:v>
      </x:c>
      <x:c r="B2262" s="4" t="str">
        <x:v>RS-02261</x:v>
      </x:c>
      <x:c r="C2262" s="8" t="n">
        <x:v>45433</x:v>
      </x:c>
      <x:c r="D2262" s="4" t="str">
        <x:v>Sales operations manager</x:v>
      </x:c>
      <x:c r="E2262" s="4" t="str">
        <x:v>ERP form</x:v>
      </x:c>
      <x:c r="F2262" s="4" t="str">
        <x:v>Record captured</x:v>
      </x:c>
      <x:c r="G2262" s="4" t="str">
        <x:v>Agreement signed</x:v>
      </x:c>
    </x:row>
    <x:row r="2263" ht="34" customHeight="1">
      <x:c r="A2263" s="4" t="str">
        <x:v>RS-02262-E1</x:v>
      </x:c>
      <x:c r="B2263" s="4" t="str">
        <x:v>RS-02262</x:v>
      </x:c>
      <x:c r="C2263" s="8" t="n">
        <x:v>45434</x:v>
      </x:c>
      <x:c r="D2263" s="4" t="str">
        <x:v>Sales operations manager</x:v>
      </x:c>
      <x:c r="E2263" s="4" t="str">
        <x:v>WhatsApp transcribed</x:v>
      </x:c>
      <x:c r="F2263" s="4" t="str">
        <x:v>Record captured</x:v>
      </x:c>
      <x:c r="G2263" s="4" t="str">
        <x:v>Handed over</x:v>
      </x:c>
    </x:row>
    <x:row r="2264" ht="34" customHeight="1">
      <x:c r="A2264" s="4" t="str">
        <x:v>RS-02263-E1</x:v>
      </x:c>
      <x:c r="B2264" s="4" t="str">
        <x:v>RS-02263</x:v>
      </x:c>
      <x:c r="C2264" s="8" t="n">
        <x:v>45435</x:v>
      </x:c>
      <x:c r="D2264" s="4" t="str">
        <x:v>Sales operations manager</x:v>
      </x:c>
      <x:c r="E2264" s="4" t="str">
        <x:v>ERP form</x:v>
      </x:c>
      <x:c r="F2264" s="4" t="str">
        <x:v>Record captured</x:v>
      </x:c>
      <x:c r="G2264" s="4" t="str">
        <x:v>Agreement signed</x:v>
      </x:c>
    </x:row>
    <x:row r="2265" ht="34" customHeight="1">
      <x:c r="A2265" s="4" t="str">
        <x:v>RS-02264-E1</x:v>
      </x:c>
      <x:c r="B2265" s="4" t="str">
        <x:v>RS-02264</x:v>
      </x:c>
      <x:c r="C2265" s="8" t="n">
        <x:v>45436</x:v>
      </x:c>
      <x:c r="D2265" s="4" t="str">
        <x:v>Sales operations manager</x:v>
      </x:c>
      <x:c r="E2265" s="4" t="str">
        <x:v>ERP form</x:v>
      </x:c>
      <x:c r="F2265" s="4" t="str">
        <x:v>Record captured</x:v>
      </x:c>
      <x:c r="G2265" s="4" t="str">
        <x:v>Handed over</x:v>
      </x:c>
    </x:row>
    <x:row r="2266" ht="34" customHeight="1">
      <x:c r="A2266" s="4" t="str">
        <x:v>RS-02265-E1</x:v>
      </x:c>
      <x:c r="B2266" s="4" t="str">
        <x:v>RS-02265</x:v>
      </x:c>
      <x:c r="C2266" s="8" t="n">
        <x:v>45437</x:v>
      </x:c>
      <x:c r="D2266" s="4" t="str">
        <x:v>Sales operations manager</x:v>
      </x:c>
      <x:c r="E2266" s="4" t="str">
        <x:v>ERP form</x:v>
      </x:c>
      <x:c r="F2266" s="4" t="str">
        <x:v>Record captured</x:v>
      </x:c>
      <x:c r="G2266" s="4" t="str">
        <x:v>Handed over</x:v>
      </x:c>
    </x:row>
    <x:row r="2267" ht="34" customHeight="1">
      <x:c r="A2267" s="4" t="str">
        <x:v>RS-02266-E1</x:v>
      </x:c>
      <x:c r="B2267" s="4" t="str">
        <x:v>RS-02266</x:v>
      </x:c>
      <x:c r="C2267" s="8" t="n">
        <x:v>45438</x:v>
      </x:c>
      <x:c r="D2267" s="4" t="str">
        <x:v>Sales operations manager</x:v>
      </x:c>
      <x:c r="E2267" s="4" t="str">
        <x:v>Paper transcribed</x:v>
      </x:c>
      <x:c r="F2267" s="4" t="str">
        <x:v>Record captured</x:v>
      </x:c>
      <x:c r="G2267" s="4" t="str">
        <x:v>Cancelled</x:v>
      </x:c>
    </x:row>
    <x:row r="2268" ht="34" customHeight="1">
      <x:c r="A2268" s="4" t="str">
        <x:v>RS-02267-E1</x:v>
      </x:c>
      <x:c r="B2268" s="4" t="str">
        <x:v>RS-02267</x:v>
      </x:c>
      <x:c r="C2268" s="8" t="n">
        <x:v>45439</x:v>
      </x:c>
      <x:c r="D2268" s="4" t="str">
        <x:v>Sales operations manager</x:v>
      </x:c>
      <x:c r="E2268" s="4" t="str">
        <x:v>Paper transcribed</x:v>
      </x:c>
      <x:c r="F2268" s="4" t="str">
        <x:v>Record captured</x:v>
      </x:c>
      <x:c r="G2268" s="4" t="str">
        <x:v>Booked</x:v>
      </x:c>
    </x:row>
    <x:row r="2269" ht="34" customHeight="1">
      <x:c r="A2269" s="4" t="str">
        <x:v>RS-02268-E1</x:v>
      </x:c>
      <x:c r="B2269" s="4" t="str">
        <x:v>RS-02268</x:v>
      </x:c>
      <x:c r="C2269" s="8" t="n">
        <x:v>45440</x:v>
      </x:c>
      <x:c r="D2269" s="4" t="str">
        <x:v>Sales operations manager</x:v>
      </x:c>
      <x:c r="E2269" s="4" t="str">
        <x:v>Spreadsheet import</x:v>
      </x:c>
      <x:c r="F2269" s="4" t="str">
        <x:v>Record captured</x:v>
      </x:c>
      <x:c r="G2269" s="4" t="str">
        <x:v>Cancelled</x:v>
      </x:c>
    </x:row>
    <x:row r="2270" ht="34" customHeight="1">
      <x:c r="A2270" s="4" t="str">
        <x:v>RS-02269-E1</x:v>
      </x:c>
      <x:c r="B2270" s="4" t="str">
        <x:v>RS-02269</x:v>
      </x:c>
      <x:c r="C2270" s="8" t="n">
        <x:v>45413</x:v>
      </x:c>
      <x:c r="D2270" s="4" t="str">
        <x:v>Sales operations manager</x:v>
      </x:c>
      <x:c r="E2270" s="4" t="str">
        <x:v>Spreadsheet import</x:v>
      </x:c>
      <x:c r="F2270" s="4" t="str">
        <x:v>Record captured</x:v>
      </x:c>
      <x:c r="G2270" s="4" t="str">
        <x:v>Cancelled</x:v>
      </x:c>
    </x:row>
    <x:row r="2271" ht="34" customHeight="1">
      <x:c r="A2271" s="4" t="str">
        <x:v>RS-02270-E1</x:v>
      </x:c>
      <x:c r="B2271" s="4" t="str">
        <x:v>RS-02270</x:v>
      </x:c>
      <x:c r="C2271" s="8" t="n">
        <x:v>45414</x:v>
      </x:c>
      <x:c r="D2271" s="4" t="str">
        <x:v>Sales operations manager</x:v>
      </x:c>
      <x:c r="E2271" s="4" t="str">
        <x:v>WhatsApp transcribed</x:v>
      </x:c>
      <x:c r="F2271" s="4" t="str">
        <x:v>Record captured</x:v>
      </x:c>
      <x:c r="G2271" s="4" t="str">
        <x:v>Booked</x:v>
      </x:c>
    </x:row>
    <x:row r="2272" ht="34" customHeight="1">
      <x:c r="A2272" s="4" t="str">
        <x:v>RS-02271-E1</x:v>
      </x:c>
      <x:c r="B2272" s="4" t="str">
        <x:v>RS-02271</x:v>
      </x:c>
      <x:c r="C2272" s="8" t="n">
        <x:v>45415</x:v>
      </x:c>
      <x:c r="D2272" s="4" t="str">
        <x:v>Sales operations manager</x:v>
      </x:c>
      <x:c r="E2272" s="4" t="str">
        <x:v>WhatsApp transcribed</x:v>
      </x:c>
      <x:c r="F2272" s="4" t="str">
        <x:v>Record captured</x:v>
      </x:c>
      <x:c r="G2272" s="4" t="str">
        <x:v>Agreement signed</x:v>
      </x:c>
    </x:row>
    <x:row r="2273" ht="34" customHeight="1">
      <x:c r="A2273" s="4" t="str">
        <x:v>RS-02272-E1</x:v>
      </x:c>
      <x:c r="B2273" s="4" t="str">
        <x:v>RS-02272</x:v>
      </x:c>
      <x:c r="C2273" s="8" t="n">
        <x:v>45416</x:v>
      </x:c>
      <x:c r="D2273" s="4" t="str">
        <x:v>Sales operations manager</x:v>
      </x:c>
      <x:c r="E2273" s="4" t="str">
        <x:v>WhatsApp transcribed</x:v>
      </x:c>
      <x:c r="F2273" s="4" t="str">
        <x:v>Record captured</x:v>
      </x:c>
      <x:c r="G2273" s="4" t="str">
        <x:v>Handed over</x:v>
      </x:c>
    </x:row>
    <x:row r="2274" ht="34" customHeight="1">
      <x:c r="A2274" s="4" t="str">
        <x:v>RS-02273-E1</x:v>
      </x:c>
      <x:c r="B2274" s="4" t="str">
        <x:v>RS-02273</x:v>
      </x:c>
      <x:c r="C2274" s="8" t="n">
        <x:v>45417</x:v>
      </x:c>
      <x:c r="D2274" s="4" t="str">
        <x:v>Sales operations manager</x:v>
      </x:c>
      <x:c r="E2274" s="4" t="str">
        <x:v>Paper transcribed</x:v>
      </x:c>
      <x:c r="F2274" s="4" t="str">
        <x:v>Record captured</x:v>
      </x:c>
      <x:c r="G2274" s="4" t="str">
        <x:v>Handed over</x:v>
      </x:c>
    </x:row>
    <x:row r="2275" ht="34" customHeight="1">
      <x:c r="A2275" s="4" t="str">
        <x:v>RS-02274-E1</x:v>
      </x:c>
      <x:c r="B2275" s="4" t="str">
        <x:v>RS-02274</x:v>
      </x:c>
      <x:c r="C2275" s="8" t="n">
        <x:v>45418</x:v>
      </x:c>
      <x:c r="D2275" s="4" t="str">
        <x:v>Sales operations manager</x:v>
      </x:c>
      <x:c r="E2275" s="4" t="str">
        <x:v>Spreadsheet import</x:v>
      </x:c>
      <x:c r="F2275" s="4" t="str">
        <x:v>Record captured</x:v>
      </x:c>
      <x:c r="G2275" s="4" t="str">
        <x:v>Cancelled</x:v>
      </x:c>
    </x:row>
    <x:row r="2276" ht="34" customHeight="1">
      <x:c r="A2276" s="4" t="str">
        <x:v>RS-02275-E1</x:v>
      </x:c>
      <x:c r="B2276" s="4" t="str">
        <x:v>RS-02275</x:v>
      </x:c>
      <x:c r="C2276" s="8" t="n">
        <x:v>45419</x:v>
      </x:c>
      <x:c r="D2276" s="4" t="str">
        <x:v>Sales operations manager</x:v>
      </x:c>
      <x:c r="E2276" s="4" t="str">
        <x:v>Paper transcribed</x:v>
      </x:c>
      <x:c r="F2276" s="4" t="str">
        <x:v>Record captured</x:v>
      </x:c>
      <x:c r="G2276" s="4" t="str">
        <x:v>Booked</x:v>
      </x:c>
    </x:row>
    <x:row r="2277" ht="34" customHeight="1">
      <x:c r="A2277" s="4" t="str">
        <x:v>RS-02276-E1</x:v>
      </x:c>
      <x:c r="B2277" s="4" t="str">
        <x:v>RS-02276</x:v>
      </x:c>
      <x:c r="C2277" s="8" t="n">
        <x:v>45420</x:v>
      </x:c>
      <x:c r="D2277" s="4" t="str">
        <x:v>Sales operations manager</x:v>
      </x:c>
      <x:c r="E2277" s="4" t="str">
        <x:v>ERP form</x:v>
      </x:c>
      <x:c r="F2277" s="4" t="str">
        <x:v>Record captured</x:v>
      </x:c>
      <x:c r="G2277" s="4" t="str">
        <x:v>Agreement signed</x:v>
      </x:c>
    </x:row>
    <x:row r="2278" ht="34" customHeight="1">
      <x:c r="A2278" s="4" t="str">
        <x:v>RS-02277-E1</x:v>
      </x:c>
      <x:c r="B2278" s="4" t="str">
        <x:v>RS-02277</x:v>
      </x:c>
      <x:c r="C2278" s="8" t="n">
        <x:v>45421</x:v>
      </x:c>
      <x:c r="D2278" s="4" t="str">
        <x:v>Sales operations manager</x:v>
      </x:c>
      <x:c r="E2278" s="4" t="str">
        <x:v>ERP form</x:v>
      </x:c>
      <x:c r="F2278" s="4" t="str">
        <x:v>Record captured</x:v>
      </x:c>
      <x:c r="G2278" s="4" t="str">
        <x:v>Reserved</x:v>
      </x:c>
    </x:row>
    <x:row r="2279" ht="34" customHeight="1">
      <x:c r="A2279" s="4" t="str">
        <x:v>RS-02278-E1</x:v>
      </x:c>
      <x:c r="B2279" s="4" t="str">
        <x:v>RS-02278</x:v>
      </x:c>
      <x:c r="C2279" s="8" t="n">
        <x:v>45422</x:v>
      </x:c>
      <x:c r="D2279" s="4" t="str">
        <x:v>Sales operations manager</x:v>
      </x:c>
      <x:c r="E2279" s="4" t="str">
        <x:v>WhatsApp transcribed</x:v>
      </x:c>
      <x:c r="F2279" s="4" t="str">
        <x:v>Record captured</x:v>
      </x:c>
      <x:c r="G2279" s="4" t="str">
        <x:v>Agreement signed</x:v>
      </x:c>
    </x:row>
    <x:row r="2280" ht="34" customHeight="1">
      <x:c r="A2280" s="4" t="str">
        <x:v>RS-02279-E1</x:v>
      </x:c>
      <x:c r="B2280" s="4" t="str">
        <x:v>RS-02279</x:v>
      </x:c>
      <x:c r="C2280" s="8" t="n">
        <x:v>45423</x:v>
      </x:c>
      <x:c r="D2280" s="4" t="str">
        <x:v>Sales operations manager</x:v>
      </x:c>
      <x:c r="E2280" s="4" t="str">
        <x:v>WhatsApp transcribed</x:v>
      </x:c>
      <x:c r="F2280" s="4" t="str">
        <x:v>Record captured</x:v>
      </x:c>
      <x:c r="G2280" s="4" t="str">
        <x:v>Agreement signed</x:v>
      </x:c>
    </x:row>
    <x:row r="2281" ht="34" customHeight="1">
      <x:c r="A2281" s="4" t="str">
        <x:v>RS-02280-E1</x:v>
      </x:c>
      <x:c r="B2281" s="4" t="str">
        <x:v>RS-02280</x:v>
      </x:c>
      <x:c r="C2281" s="8" t="n">
        <x:v>45424</x:v>
      </x:c>
      <x:c r="D2281" s="4" t="str">
        <x:v>Sales operations manager</x:v>
      </x:c>
      <x:c r="E2281" s="4" t="str">
        <x:v>ERP form</x:v>
      </x:c>
      <x:c r="F2281" s="4" t="str">
        <x:v>Record captured</x:v>
      </x:c>
      <x:c r="G2281" s="4" t="str">
        <x:v>Handed over</x:v>
      </x:c>
    </x:row>
    <x:row r="2282" ht="34" customHeight="1">
      <x:c r="A2282" s="4" t="str">
        <x:v>RS-02281-E1</x:v>
      </x:c>
      <x:c r="B2282" s="4" t="str">
        <x:v>RS-02281</x:v>
      </x:c>
      <x:c r="C2282" s="8" t="n">
        <x:v>45425</x:v>
      </x:c>
      <x:c r="D2282" s="4" t="str">
        <x:v>Sales operations manager</x:v>
      </x:c>
      <x:c r="E2282" s="4" t="str">
        <x:v>Spreadsheet import</x:v>
      </x:c>
      <x:c r="F2282" s="4" t="str">
        <x:v>Record captured</x:v>
      </x:c>
      <x:c r="G2282" s="4" t="str">
        <x:v>Handed over</x:v>
      </x:c>
    </x:row>
    <x:row r="2283" ht="34" customHeight="1">
      <x:c r="A2283" s="4" t="str">
        <x:v>RS-02282-E1</x:v>
      </x:c>
      <x:c r="B2283" s="4" t="str">
        <x:v>RS-02282</x:v>
      </x:c>
      <x:c r="C2283" s="8" t="n">
        <x:v>45426</x:v>
      </x:c>
      <x:c r="D2283" s="4" t="str">
        <x:v>Sales operations manager</x:v>
      </x:c>
      <x:c r="E2283" s="4" t="str">
        <x:v>WhatsApp transcribed</x:v>
      </x:c>
      <x:c r="F2283" s="4" t="str">
        <x:v>Record captured</x:v>
      </x:c>
      <x:c r="G2283" s="4" t="str">
        <x:v>Handed over</x:v>
      </x:c>
    </x:row>
    <x:row r="2284" ht="34" customHeight="1">
      <x:c r="A2284" s="4" t="str">
        <x:v>RS-02283-E1</x:v>
      </x:c>
      <x:c r="B2284" s="4" t="str">
        <x:v>RS-02283</x:v>
      </x:c>
      <x:c r="C2284" s="8" t="n">
        <x:v>45427</x:v>
      </x:c>
      <x:c r="D2284" s="4" t="str">
        <x:v>Sales operations manager</x:v>
      </x:c>
      <x:c r="E2284" s="4" t="str">
        <x:v>ERP form</x:v>
      </x:c>
      <x:c r="F2284" s="4" t="str">
        <x:v>Record captured</x:v>
      </x:c>
      <x:c r="G2284" s="4" t="str">
        <x:v>Handed over</x:v>
      </x:c>
    </x:row>
    <x:row r="2285" ht="34" customHeight="1">
      <x:c r="A2285" s="4" t="str">
        <x:v>RS-02284-E1</x:v>
      </x:c>
      <x:c r="B2285" s="4" t="str">
        <x:v>RS-02284</x:v>
      </x:c>
      <x:c r="C2285" s="8" t="n">
        <x:v>45428</x:v>
      </x:c>
      <x:c r="D2285" s="4" t="str">
        <x:v>Sales operations manager</x:v>
      </x:c>
      <x:c r="E2285" s="4" t="str">
        <x:v>Spreadsheet import</x:v>
      </x:c>
      <x:c r="F2285" s="4" t="str">
        <x:v>Record captured</x:v>
      </x:c>
      <x:c r="G2285" s="4" t="str">
        <x:v>Handed over</x:v>
      </x:c>
    </x:row>
    <x:row r="2286" ht="34" customHeight="1">
      <x:c r="A2286" s="4" t="str">
        <x:v>RS-02285-E1</x:v>
      </x:c>
      <x:c r="B2286" s="4" t="str">
        <x:v>RS-02285</x:v>
      </x:c>
      <x:c r="C2286" s="8" t="n">
        <x:v>45429</x:v>
      </x:c>
      <x:c r="D2286" s="4" t="str">
        <x:v>Sales operations manager</x:v>
      </x:c>
      <x:c r="E2286" s="4" t="str">
        <x:v>Paper transcribed</x:v>
      </x:c>
      <x:c r="F2286" s="4" t="str">
        <x:v>Record captured</x:v>
      </x:c>
      <x:c r="G2286" s="4" t="str">
        <x:v>Reserved</x:v>
      </x:c>
    </x:row>
    <x:row r="2287" ht="34" customHeight="1">
      <x:c r="A2287" s="4" t="str">
        <x:v>RS-02286-E1</x:v>
      </x:c>
      <x:c r="B2287" s="4" t="str">
        <x:v>RS-02286</x:v>
      </x:c>
      <x:c r="C2287" s="8" t="n">
        <x:v>45430</x:v>
      </x:c>
      <x:c r="D2287" s="4" t="str">
        <x:v>Sales operations manager</x:v>
      </x:c>
      <x:c r="E2287" s="4" t="str">
        <x:v>Spreadsheet import</x:v>
      </x:c>
      <x:c r="F2287" s="4" t="str">
        <x:v>Record captured</x:v>
      </x:c>
      <x:c r="G2287" s="4" t="str">
        <x:v>Reserved</x:v>
      </x:c>
    </x:row>
    <x:row r="2288" ht="34" customHeight="1">
      <x:c r="A2288" s="4" t="str">
        <x:v>RS-02287-E1</x:v>
      </x:c>
      <x:c r="B2288" s="4" t="str">
        <x:v>RS-02287</x:v>
      </x:c>
      <x:c r="C2288" s="8" t="n">
        <x:v>45431</x:v>
      </x:c>
      <x:c r="D2288" s="4" t="str">
        <x:v>Sales operations manager</x:v>
      </x:c>
      <x:c r="E2288" s="4" t="str">
        <x:v>ERP form</x:v>
      </x:c>
      <x:c r="F2288" s="4" t="str">
        <x:v>Record captured</x:v>
      </x:c>
      <x:c r="G2288" s="4" t="str">
        <x:v>Agreement signed</x:v>
      </x:c>
    </x:row>
    <x:row r="2289" ht="34" customHeight="1">
      <x:c r="A2289" s="4" t="str">
        <x:v>RS-02288-E1</x:v>
      </x:c>
      <x:c r="B2289" s="4" t="str">
        <x:v>RS-02288</x:v>
      </x:c>
      <x:c r="C2289" s="8" t="n">
        <x:v>45432</x:v>
      </x:c>
      <x:c r="D2289" s="4" t="str">
        <x:v>Sales operations manager</x:v>
      </x:c>
      <x:c r="E2289" s="4" t="str">
        <x:v>Paper transcribed</x:v>
      </x:c>
      <x:c r="F2289" s="4" t="str">
        <x:v>Record captured</x:v>
      </x:c>
      <x:c r="G2289" s="4" t="str">
        <x:v>Agreement signed</x:v>
      </x:c>
    </x:row>
    <x:row r="2290" ht="34" customHeight="1">
      <x:c r="A2290" s="4" t="str">
        <x:v>RS-02289-E1</x:v>
      </x:c>
      <x:c r="B2290" s="4" t="str">
        <x:v>RS-02289</x:v>
      </x:c>
      <x:c r="C2290" s="8" t="n">
        <x:v>45433</x:v>
      </x:c>
      <x:c r="D2290" s="4" t="str">
        <x:v>Sales operations manager</x:v>
      </x:c>
      <x:c r="E2290" s="4" t="str">
        <x:v>Paper transcribed</x:v>
      </x:c>
      <x:c r="F2290" s="4" t="str">
        <x:v>Record captured</x:v>
      </x:c>
      <x:c r="G2290" s="4" t="str">
        <x:v>Agreement signed</x:v>
      </x:c>
    </x:row>
    <x:row r="2291" ht="34" customHeight="1">
      <x:c r="A2291" s="4" t="str">
        <x:v>RS-02290-E1</x:v>
      </x:c>
      <x:c r="B2291" s="4" t="str">
        <x:v>RS-02290</x:v>
      </x:c>
      <x:c r="C2291" s="8" t="n">
        <x:v>45434</x:v>
      </x:c>
      <x:c r="D2291" s="4" t="str">
        <x:v>Sales operations manager</x:v>
      </x:c>
      <x:c r="E2291" s="4" t="str">
        <x:v>Spreadsheet import</x:v>
      </x:c>
      <x:c r="F2291" s="4" t="str">
        <x:v>Record captured</x:v>
      </x:c>
      <x:c r="G2291" s="4" t="str">
        <x:v>Enquiry</x:v>
      </x:c>
    </x:row>
    <x:row r="2292" ht="34" customHeight="1">
      <x:c r="A2292" s="4" t="str">
        <x:v>RS-02291-E1</x:v>
      </x:c>
      <x:c r="B2292" s="4" t="str">
        <x:v>RS-02291</x:v>
      </x:c>
      <x:c r="C2292" s="8" t="n">
        <x:v>45435</x:v>
      </x:c>
      <x:c r="D2292" s="4" t="str">
        <x:v>Sales operations manager</x:v>
      </x:c>
      <x:c r="E2292" s="4" t="str">
        <x:v>Spreadsheet import</x:v>
      </x:c>
      <x:c r="F2292" s="4" t="str">
        <x:v>Record captured</x:v>
      </x:c>
      <x:c r="G2292" s="4" t="str">
        <x:v>Handed over</x:v>
      </x:c>
    </x:row>
    <x:row r="2293" ht="34" customHeight="1">
      <x:c r="A2293" s="4" t="str">
        <x:v>RS-02292-E1</x:v>
      </x:c>
      <x:c r="B2293" s="4" t="str">
        <x:v>RS-02292</x:v>
      </x:c>
      <x:c r="C2293" s="8" t="n">
        <x:v>45436</x:v>
      </x:c>
      <x:c r="D2293" s="4" t="str">
        <x:v>Sales operations manager</x:v>
      </x:c>
      <x:c r="E2293" s="4" t="str">
        <x:v>Spreadsheet import</x:v>
      </x:c>
      <x:c r="F2293" s="4" t="str">
        <x:v>Record captured</x:v>
      </x:c>
      <x:c r="G2293" s="4" t="str">
        <x:v>Booked</x:v>
      </x:c>
    </x:row>
    <x:row r="2294" ht="34" customHeight="1">
      <x:c r="A2294" s="4" t="str">
        <x:v>RS-02293-E1</x:v>
      </x:c>
      <x:c r="B2294" s="4" t="str">
        <x:v>RS-02293</x:v>
      </x:c>
      <x:c r="C2294" s="8" t="n">
        <x:v>45437</x:v>
      </x:c>
      <x:c r="D2294" s="4" t="str">
        <x:v>Sales operations manager</x:v>
      </x:c>
      <x:c r="E2294" s="4" t="str">
        <x:v>WhatsApp transcribed</x:v>
      </x:c>
      <x:c r="F2294" s="4" t="str">
        <x:v>Record captured</x:v>
      </x:c>
      <x:c r="G2294" s="4" t="str">
        <x:v>Enquiry</x:v>
      </x:c>
    </x:row>
    <x:row r="2295" ht="34" customHeight="1">
      <x:c r="A2295" s="4" t="str">
        <x:v>RS-02294-E1</x:v>
      </x:c>
      <x:c r="B2295" s="4" t="str">
        <x:v>RS-02294</x:v>
      </x:c>
      <x:c r="C2295" s="8" t="n">
        <x:v>45438</x:v>
      </x:c>
      <x:c r="D2295" s="4" t="str">
        <x:v>Sales operations manager</x:v>
      </x:c>
      <x:c r="E2295" s="4" t="str">
        <x:v>Paper transcribed</x:v>
      </x:c>
      <x:c r="F2295" s="4" t="str">
        <x:v>Record captured</x:v>
      </x:c>
      <x:c r="G2295" s="4" t="str">
        <x:v>Enquiry</x:v>
      </x:c>
    </x:row>
    <x:row r="2296" ht="34" customHeight="1">
      <x:c r="A2296" s="4" t="str">
        <x:v>RS-02295-E1</x:v>
      </x:c>
      <x:c r="B2296" s="4" t="str">
        <x:v>RS-02295</x:v>
      </x:c>
      <x:c r="C2296" s="8" t="n">
        <x:v>45439</x:v>
      </x:c>
      <x:c r="D2296" s="4" t="str">
        <x:v>Sales operations manager</x:v>
      </x:c>
      <x:c r="E2296" s="4" t="str">
        <x:v>WhatsApp transcribed</x:v>
      </x:c>
      <x:c r="F2296" s="4" t="str">
        <x:v>Record captured</x:v>
      </x:c>
      <x:c r="G2296" s="4" t="str">
        <x:v>Booked</x:v>
      </x:c>
    </x:row>
    <x:row r="2297" ht="34" customHeight="1">
      <x:c r="A2297" s="4" t="str">
        <x:v>RS-02296-E1</x:v>
      </x:c>
      <x:c r="B2297" s="4" t="str">
        <x:v>RS-02296</x:v>
      </x:c>
      <x:c r="C2297" s="8" t="n">
        <x:v>45440</x:v>
      </x:c>
      <x:c r="D2297" s="4" t="str">
        <x:v>Sales operations manager</x:v>
      </x:c>
      <x:c r="E2297" s="4" t="str">
        <x:v>ERP form</x:v>
      </x:c>
      <x:c r="F2297" s="4" t="str">
        <x:v>Record captured</x:v>
      </x:c>
      <x:c r="G2297" s="4" t="str">
        <x:v>Reserved</x:v>
      </x:c>
    </x:row>
    <x:row r="2298" ht="34" customHeight="1">
      <x:c r="A2298" s="4" t="str">
        <x:v>RS-02297-E1</x:v>
      </x:c>
      <x:c r="B2298" s="4" t="str">
        <x:v>RS-02297</x:v>
      </x:c>
      <x:c r="C2298" s="8" t="n">
        <x:v>45413</x:v>
      </x:c>
      <x:c r="D2298" s="4" t="str">
        <x:v>Sales operations manager</x:v>
      </x:c>
      <x:c r="E2298" s="4" t="str">
        <x:v>WhatsApp transcribed</x:v>
      </x:c>
      <x:c r="F2298" s="4" t="str">
        <x:v>Record captured</x:v>
      </x:c>
      <x:c r="G2298" s="4" t="str">
        <x:v>Handed over</x:v>
      </x:c>
    </x:row>
    <x:row r="2299" ht="34" customHeight="1">
      <x:c r="A2299" s="4" t="str">
        <x:v>RS-02298-E1</x:v>
      </x:c>
      <x:c r="B2299" s="4" t="str">
        <x:v>RS-02298</x:v>
      </x:c>
      <x:c r="C2299" s="8" t="n">
        <x:v>45414</x:v>
      </x:c>
      <x:c r="D2299" s="4" t="str">
        <x:v>Sales operations manager</x:v>
      </x:c>
      <x:c r="E2299" s="4" t="str">
        <x:v>ERP form</x:v>
      </x:c>
      <x:c r="F2299" s="4" t="str">
        <x:v>Record captured</x:v>
      </x:c>
      <x:c r="G2299" s="4" t="str">
        <x:v>Cancelled</x:v>
      </x:c>
    </x:row>
    <x:row r="2300" ht="34" customHeight="1">
      <x:c r="A2300" s="4" t="str">
        <x:v>RS-02299-E1</x:v>
      </x:c>
      <x:c r="B2300" s="4" t="str">
        <x:v>RS-02299</x:v>
      </x:c>
      <x:c r="C2300" s="8" t="n">
        <x:v>45415</x:v>
      </x:c>
      <x:c r="D2300" s="4" t="str">
        <x:v>Sales operations manager</x:v>
      </x:c>
      <x:c r="E2300" s="4" t="str">
        <x:v>Paper transcribed</x:v>
      </x:c>
      <x:c r="F2300" s="4" t="str">
        <x:v>Record captured</x:v>
      </x:c>
      <x:c r="G2300" s="4" t="str">
        <x:v>Reserved</x:v>
      </x:c>
    </x:row>
    <x:row r="2301" ht="34" customHeight="1">
      <x:c r="A2301" s="4" t="str">
        <x:v>RS-02300-E1</x:v>
      </x:c>
      <x:c r="B2301" s="4" t="str">
        <x:v>RS-02300</x:v>
      </x:c>
      <x:c r="C2301" s="8" t="n">
        <x:v>45416</x:v>
      </x:c>
      <x:c r="D2301" s="4" t="str">
        <x:v>Sales operations manager</x:v>
      </x:c>
      <x:c r="E2301" s="4" t="str">
        <x:v>ERP form</x:v>
      </x:c>
      <x:c r="F2301" s="4" t="str">
        <x:v>Record captured</x:v>
      </x:c>
      <x:c r="G2301" s="4" t="str">
        <x:v>Reserved</x:v>
      </x:c>
    </x:row>
    <x:row r="2302" ht="34" customHeight="1">
      <x:c r="A2302" s="4" t="str">
        <x:v>RS-02301-E1</x:v>
      </x:c>
      <x:c r="B2302" s="4" t="str">
        <x:v>RS-02301</x:v>
      </x:c>
      <x:c r="C2302" s="8" t="n">
        <x:v>45417</x:v>
      </x:c>
      <x:c r="D2302" s="4" t="str">
        <x:v>Sales operations manager</x:v>
      </x:c>
      <x:c r="E2302" s="4" t="str">
        <x:v>ERP form</x:v>
      </x:c>
      <x:c r="F2302" s="4" t="str">
        <x:v>Record captured</x:v>
      </x:c>
      <x:c r="G2302" s="4" t="str">
        <x:v>Agreement signed</x:v>
      </x:c>
    </x:row>
    <x:row r="2303" ht="34" customHeight="1">
      <x:c r="A2303" s="4" t="str">
        <x:v>RS-02302-E1</x:v>
      </x:c>
      <x:c r="B2303" s="4" t="str">
        <x:v>RS-02302</x:v>
      </x:c>
      <x:c r="C2303" s="8" t="n">
        <x:v>45418</x:v>
      </x:c>
      <x:c r="D2303" s="4" t="str">
        <x:v>Sales operations manager</x:v>
      </x:c>
      <x:c r="E2303" s="4" t="str">
        <x:v>ERP form</x:v>
      </x:c>
      <x:c r="F2303" s="4" t="str">
        <x:v>Record captured</x:v>
      </x:c>
      <x:c r="G2303" s="4" t="str">
        <x:v>Enquiry</x:v>
      </x:c>
    </x:row>
    <x:row r="2304" ht="34" customHeight="1">
      <x:c r="A2304" s="4" t="str">
        <x:v>RS-02303-E1</x:v>
      </x:c>
      <x:c r="B2304" s="4" t="str">
        <x:v>RS-02303</x:v>
      </x:c>
      <x:c r="C2304" s="8" t="n">
        <x:v>45419</x:v>
      </x:c>
      <x:c r="D2304" s="4" t="str">
        <x:v>Sales operations manager</x:v>
      </x:c>
      <x:c r="E2304" s="4" t="str">
        <x:v>ERP form</x:v>
      </x:c>
      <x:c r="F2304" s="4" t="str">
        <x:v>Record captured</x:v>
      </x:c>
      <x:c r="G2304" s="4" t="str">
        <x:v>Handed over</x:v>
      </x:c>
    </x:row>
    <x:row r="2305" ht="34" customHeight="1">
      <x:c r="A2305" s="4" t="str">
        <x:v>RS-02304-E1</x:v>
      </x:c>
      <x:c r="B2305" s="4" t="str">
        <x:v>RS-02304</x:v>
      </x:c>
      <x:c r="C2305" s="8" t="n">
        <x:v>45420</x:v>
      </x:c>
      <x:c r="D2305" s="4" t="str">
        <x:v>Sales operations manager</x:v>
      </x:c>
      <x:c r="E2305" s="4" t="str">
        <x:v>ERP form</x:v>
      </x:c>
      <x:c r="F2305" s="4" t="str">
        <x:v>Record captured</x:v>
      </x:c>
      <x:c r="G2305" s="4" t="str">
        <x:v>Reserved</x:v>
      </x:c>
    </x:row>
    <x:row r="2306" ht="34" customHeight="1">
      <x:c r="A2306" s="4" t="str">
        <x:v>RS-02305-E1</x:v>
      </x:c>
      <x:c r="B2306" s="4" t="str">
        <x:v>RS-02305</x:v>
      </x:c>
      <x:c r="C2306" s="8" t="n">
        <x:v>45421</x:v>
      </x:c>
      <x:c r="D2306" s="4" t="str">
        <x:v>Sales operations manager</x:v>
      </x:c>
      <x:c r="E2306" s="4" t="str">
        <x:v>Spreadsheet import</x:v>
      </x:c>
      <x:c r="F2306" s="4" t="str">
        <x:v>Record captured</x:v>
      </x:c>
      <x:c r="G2306" s="4" t="str">
        <x:v>Reserved</x:v>
      </x:c>
    </x:row>
    <x:row r="2307" ht="34" customHeight="1">
      <x:c r="A2307" s="4" t="str">
        <x:v>RS-02306-E1</x:v>
      </x:c>
      <x:c r="B2307" s="4" t="str">
        <x:v>RS-02306</x:v>
      </x:c>
      <x:c r="C2307" s="8" t="n">
        <x:v>45422</x:v>
      </x:c>
      <x:c r="D2307" s="4" t="str">
        <x:v>Sales operations manager</x:v>
      </x:c>
      <x:c r="E2307" s="4" t="str">
        <x:v>WhatsApp transcribed</x:v>
      </x:c>
      <x:c r="F2307" s="4" t="str">
        <x:v>Record captured</x:v>
      </x:c>
      <x:c r="G2307" s="4" t="str">
        <x:v>Enquiry</x:v>
      </x:c>
    </x:row>
    <x:row r="2308" ht="34" customHeight="1">
      <x:c r="A2308" s="4" t="str">
        <x:v>RS-02307-E1</x:v>
      </x:c>
      <x:c r="B2308" s="4" t="str">
        <x:v>RS-02307</x:v>
      </x:c>
      <x:c r="C2308" s="8" t="n">
        <x:v>45423</x:v>
      </x:c>
      <x:c r="D2308" s="4" t="str">
        <x:v>Sales operations manager</x:v>
      </x:c>
      <x:c r="E2308" s="4" t="str">
        <x:v>ERP form</x:v>
      </x:c>
      <x:c r="F2308" s="4" t="str">
        <x:v>Record captured</x:v>
      </x:c>
      <x:c r="G2308" s="4" t="str">
        <x:v>Cancelled</x:v>
      </x:c>
    </x:row>
    <x:row r="2309" ht="34" customHeight="1">
      <x:c r="A2309" s="4" t="str">
        <x:v>RS-02308-E1</x:v>
      </x:c>
      <x:c r="B2309" s="4" t="str">
        <x:v>RS-02308</x:v>
      </x:c>
      <x:c r="C2309" s="8" t="n">
        <x:v>45424</x:v>
      </x:c>
      <x:c r="D2309" s="4" t="str">
        <x:v>Sales operations manager</x:v>
      </x:c>
      <x:c r="E2309" s="4" t="str">
        <x:v>Paper transcribed</x:v>
      </x:c>
      <x:c r="F2309" s="4" t="str">
        <x:v>Record captured</x:v>
      </x:c>
      <x:c r="G2309" s="4" t="str">
        <x:v>Agreement signed</x:v>
      </x:c>
    </x:row>
    <x:row r="2310" ht="34" customHeight="1">
      <x:c r="A2310" s="4" t="str">
        <x:v>RS-02309-E1</x:v>
      </x:c>
      <x:c r="B2310" s="4" t="str">
        <x:v>RS-02309</x:v>
      </x:c>
      <x:c r="C2310" s="8" t="n">
        <x:v>45425</x:v>
      </x:c>
      <x:c r="D2310" s="4" t="str">
        <x:v>Sales operations manager</x:v>
      </x:c>
      <x:c r="E2310" s="4" t="str">
        <x:v>WhatsApp transcribed</x:v>
      </x:c>
      <x:c r="F2310" s="4" t="str">
        <x:v>Record captured</x:v>
      </x:c>
      <x:c r="G2310" s="4" t="str">
        <x:v>Enquiry</x:v>
      </x:c>
    </x:row>
    <x:row r="2311" ht="34" customHeight="1">
      <x:c r="A2311" s="4" t="str">
        <x:v>RS-02310-E1</x:v>
      </x:c>
      <x:c r="B2311" s="4" t="str">
        <x:v>RS-02310</x:v>
      </x:c>
      <x:c r="C2311" s="8" t="n">
        <x:v>45426</x:v>
      </x:c>
      <x:c r="D2311" s="4" t="str">
        <x:v>Sales operations manager</x:v>
      </x:c>
      <x:c r="E2311" s="4" t="str">
        <x:v>ERP form</x:v>
      </x:c>
      <x:c r="F2311" s="4" t="str">
        <x:v>Record captured</x:v>
      </x:c>
      <x:c r="G2311" s="4" t="str">
        <x:v>Agreement signed</x:v>
      </x:c>
    </x:row>
    <x:row r="2312" ht="34" customHeight="1">
      <x:c r="A2312" s="4" t="str">
        <x:v>RS-02311-E1</x:v>
      </x:c>
      <x:c r="B2312" s="4" t="str">
        <x:v>RS-02311</x:v>
      </x:c>
      <x:c r="C2312" s="8" t="n">
        <x:v>45427</x:v>
      </x:c>
      <x:c r="D2312" s="4" t="str">
        <x:v>Sales operations manager</x:v>
      </x:c>
      <x:c r="E2312" s="4" t="str">
        <x:v>ERP form</x:v>
      </x:c>
      <x:c r="F2312" s="4" t="str">
        <x:v>Record captured</x:v>
      </x:c>
      <x:c r="G2312" s="4" t="str">
        <x:v>Reserved</x:v>
      </x:c>
    </x:row>
    <x:row r="2313" ht="34" customHeight="1">
      <x:c r="A2313" s="4" t="str">
        <x:v>RS-02312-E1</x:v>
      </x:c>
      <x:c r="B2313" s="4" t="str">
        <x:v>RS-02312</x:v>
      </x:c>
      <x:c r="C2313" s="8" t="n">
        <x:v>45428</x:v>
      </x:c>
      <x:c r="D2313" s="4" t="str">
        <x:v>Sales operations manager</x:v>
      </x:c>
      <x:c r="E2313" s="4" t="str">
        <x:v>ERP form</x:v>
      </x:c>
      <x:c r="F2313" s="4" t="str">
        <x:v>Record captured</x:v>
      </x:c>
      <x:c r="G2313" s="4" t="str">
        <x:v>Agreement signed</x:v>
      </x:c>
    </x:row>
    <x:row r="2314" ht="34" customHeight="1">
      <x:c r="A2314" s="4" t="str">
        <x:v>RS-02313-E1</x:v>
      </x:c>
      <x:c r="B2314" s="4" t="str">
        <x:v>RS-02313</x:v>
      </x:c>
      <x:c r="C2314" s="8" t="n">
        <x:v>45429</x:v>
      </x:c>
      <x:c r="D2314" s="4" t="str">
        <x:v>Sales operations manager</x:v>
      </x:c>
      <x:c r="E2314" s="4" t="str">
        <x:v>WhatsApp transcribed</x:v>
      </x:c>
      <x:c r="F2314" s="4" t="str">
        <x:v>Record captured</x:v>
      </x:c>
      <x:c r="G2314" s="4" t="str">
        <x:v>Enquiry</x:v>
      </x:c>
    </x:row>
    <x:row r="2315" ht="34" customHeight="1">
      <x:c r="A2315" s="4" t="str">
        <x:v>RS-02314-E1</x:v>
      </x:c>
      <x:c r="B2315" s="4" t="str">
        <x:v>RS-02314</x:v>
      </x:c>
      <x:c r="C2315" s="8" t="n">
        <x:v>45430</x:v>
      </x:c>
      <x:c r="D2315" s="4" t="str">
        <x:v>Sales operations manager</x:v>
      </x:c>
      <x:c r="E2315" s="4" t="str">
        <x:v>Spreadsheet import</x:v>
      </x:c>
      <x:c r="F2315" s="4" t="str">
        <x:v>Record captured</x:v>
      </x:c>
      <x:c r="G2315" s="4" t="str">
        <x:v>Reserved</x:v>
      </x:c>
    </x:row>
    <x:row r="2316" ht="34" customHeight="1">
      <x:c r="A2316" s="4" t="str">
        <x:v>RS-02315-E1</x:v>
      </x:c>
      <x:c r="B2316" s="4" t="str">
        <x:v>RS-02315</x:v>
      </x:c>
      <x:c r="C2316" s="8" t="n">
        <x:v>45431</x:v>
      </x:c>
      <x:c r="D2316" s="4" t="str">
        <x:v>Sales operations manager</x:v>
      </x:c>
      <x:c r="E2316" s="4" t="str">
        <x:v>ERP form</x:v>
      </x:c>
      <x:c r="F2316" s="4" t="str">
        <x:v>Record captured</x:v>
      </x:c>
      <x:c r="G2316" s="4" t="str">
        <x:v>Reserved</x:v>
      </x:c>
    </x:row>
    <x:row r="2317" ht="34" customHeight="1">
      <x:c r="A2317" s="4" t="str">
        <x:v>RS-02316-E1</x:v>
      </x:c>
      <x:c r="B2317" s="4" t="str">
        <x:v>RS-02316</x:v>
      </x:c>
      <x:c r="C2317" s="8" t="n">
        <x:v>45432</x:v>
      </x:c>
      <x:c r="D2317" s="4" t="str">
        <x:v>Sales operations manager</x:v>
      </x:c>
      <x:c r="E2317" s="4" t="str">
        <x:v>Spreadsheet import</x:v>
      </x:c>
      <x:c r="F2317" s="4" t="str">
        <x:v>Record captured</x:v>
      </x:c>
      <x:c r="G2317" s="4" t="str">
        <x:v>Enquiry</x:v>
      </x:c>
    </x:row>
    <x:row r="2318" ht="34" customHeight="1">
      <x:c r="A2318" s="4" t="str">
        <x:v>RS-02317-E1</x:v>
      </x:c>
      <x:c r="B2318" s="4" t="str">
        <x:v>RS-02317</x:v>
      </x:c>
      <x:c r="C2318" s="8" t="n">
        <x:v>45433</x:v>
      </x:c>
      <x:c r="D2318" s="4" t="str">
        <x:v>Sales operations manager</x:v>
      </x:c>
      <x:c r="E2318" s="4" t="str">
        <x:v>WhatsApp transcribed</x:v>
      </x:c>
      <x:c r="F2318" s="4" t="str">
        <x:v>Record captured</x:v>
      </x:c>
      <x:c r="G2318" s="4" t="str">
        <x:v>Agreement signed</x:v>
      </x:c>
    </x:row>
    <x:row r="2319" ht="34" customHeight="1">
      <x:c r="A2319" s="4" t="str">
        <x:v>RS-02318-E1</x:v>
      </x:c>
      <x:c r="B2319" s="4" t="str">
        <x:v>RS-02318</x:v>
      </x:c>
      <x:c r="C2319" s="8" t="n">
        <x:v>45434</x:v>
      </x:c>
      <x:c r="D2319" s="4" t="str">
        <x:v>Sales operations manager</x:v>
      </x:c>
      <x:c r="E2319" s="4" t="str">
        <x:v>Paper transcribed</x:v>
      </x:c>
      <x:c r="F2319" s="4" t="str">
        <x:v>Record captured</x:v>
      </x:c>
      <x:c r="G2319" s="4" t="str">
        <x:v>Booked</x:v>
      </x:c>
    </x:row>
    <x:row r="2320" ht="34" customHeight="1">
      <x:c r="A2320" s="4" t="str">
        <x:v>RS-02319-E1</x:v>
      </x:c>
      <x:c r="B2320" s="4" t="str">
        <x:v>RS-02319</x:v>
      </x:c>
      <x:c r="C2320" s="8" t="n">
        <x:v>45435</x:v>
      </x:c>
      <x:c r="D2320" s="4" t="str">
        <x:v>Sales operations manager</x:v>
      </x:c>
      <x:c r="E2320" s="4" t="str">
        <x:v>Paper transcribed</x:v>
      </x:c>
      <x:c r="F2320" s="4" t="str">
        <x:v>Record captured</x:v>
      </x:c>
      <x:c r="G2320" s="4" t="str">
        <x:v>Booked</x:v>
      </x:c>
    </x:row>
    <x:row r="2321" ht="34" customHeight="1">
      <x:c r="A2321" s="4" t="str">
        <x:v>RS-02320-E1</x:v>
      </x:c>
      <x:c r="B2321" s="4" t="str">
        <x:v>RS-02320</x:v>
      </x:c>
      <x:c r="C2321" s="8" t="n">
        <x:v>45436</x:v>
      </x:c>
      <x:c r="D2321" s="4" t="str">
        <x:v>Sales operations manager</x:v>
      </x:c>
      <x:c r="E2321" s="4" t="str">
        <x:v>WhatsApp transcribed</x:v>
      </x:c>
      <x:c r="F2321" s="4" t="str">
        <x:v>Record captured</x:v>
      </x:c>
      <x:c r="G2321" s="4" t="str">
        <x:v>Reserved</x:v>
      </x:c>
    </x:row>
    <x:row r="2322" ht="34" customHeight="1">
      <x:c r="A2322" s="4" t="str">
        <x:v>RS-02321-E1</x:v>
      </x:c>
      <x:c r="B2322" s="4" t="str">
        <x:v>RS-02321</x:v>
      </x:c>
      <x:c r="C2322" s="8" t="n">
        <x:v>45437</x:v>
      </x:c>
      <x:c r="D2322" s="4" t="str">
        <x:v>Sales operations manager</x:v>
      </x:c>
      <x:c r="E2322" s="4" t="str">
        <x:v>Spreadsheet import</x:v>
      </x:c>
      <x:c r="F2322" s="4" t="str">
        <x:v>Record captured</x:v>
      </x:c>
      <x:c r="G2322" s="4" t="str">
        <x:v>Booked</x:v>
      </x:c>
    </x:row>
    <x:row r="2323" ht="34" customHeight="1">
      <x:c r="A2323" s="4" t="str">
        <x:v>RS-02322-E1</x:v>
      </x:c>
      <x:c r="B2323" s="4" t="str">
        <x:v>RS-02322</x:v>
      </x:c>
      <x:c r="C2323" s="8" t="n">
        <x:v>45438</x:v>
      </x:c>
      <x:c r="D2323" s="4" t="str">
        <x:v>Sales operations manager</x:v>
      </x:c>
      <x:c r="E2323" s="4" t="str">
        <x:v>Spreadsheet import</x:v>
      </x:c>
      <x:c r="F2323" s="4" t="str">
        <x:v>Record captured</x:v>
      </x:c>
      <x:c r="G2323" s="4" t="str">
        <x:v>Handed over</x:v>
      </x:c>
    </x:row>
    <x:row r="2324" ht="34" customHeight="1">
      <x:c r="A2324" s="4" t="str">
        <x:v>RS-02323-E1</x:v>
      </x:c>
      <x:c r="B2324" s="4" t="str">
        <x:v>RS-02323</x:v>
      </x:c>
      <x:c r="C2324" s="8" t="n">
        <x:v>45439</x:v>
      </x:c>
      <x:c r="D2324" s="4" t="str">
        <x:v>Sales operations manager</x:v>
      </x:c>
      <x:c r="E2324" s="4" t="str">
        <x:v>Spreadsheet import</x:v>
      </x:c>
      <x:c r="F2324" s="4" t="str">
        <x:v>Record captured</x:v>
      </x:c>
      <x:c r="G2324" s="4" t="str">
        <x:v>Reserved</x:v>
      </x:c>
    </x:row>
    <x:row r="2325" ht="34" customHeight="1">
      <x:c r="A2325" s="4" t="str">
        <x:v>RS-02324-E1</x:v>
      </x:c>
      <x:c r="B2325" s="4" t="str">
        <x:v>RS-02324</x:v>
      </x:c>
      <x:c r="C2325" s="8" t="n">
        <x:v>45440</x:v>
      </x:c>
      <x:c r="D2325" s="4" t="str">
        <x:v>Sales operations manager</x:v>
      </x:c>
      <x:c r="E2325" s="4" t="str">
        <x:v>Spreadsheet import</x:v>
      </x:c>
      <x:c r="F2325" s="4" t="str">
        <x:v>Record captured</x:v>
      </x:c>
      <x:c r="G2325" s="4" t="str">
        <x:v>Agreement signed</x:v>
      </x:c>
    </x:row>
    <x:row r="2326" ht="34" customHeight="1">
      <x:c r="A2326" s="4" t="str">
        <x:v>RS-02325-E1</x:v>
      </x:c>
      <x:c r="B2326" s="4" t="str">
        <x:v>RS-02325</x:v>
      </x:c>
      <x:c r="C2326" s="8" t="n">
        <x:v>45413</x:v>
      </x:c>
      <x:c r="D2326" s="4" t="str">
        <x:v>Sales operations manager</x:v>
      </x:c>
      <x:c r="E2326" s="4" t="str">
        <x:v>Spreadsheet import</x:v>
      </x:c>
      <x:c r="F2326" s="4" t="str">
        <x:v>Record captured</x:v>
      </x:c>
      <x:c r="G2326" s="4" t="str">
        <x:v>Cancelled</x:v>
      </x:c>
    </x:row>
    <x:row r="2327" ht="34" customHeight="1">
      <x:c r="A2327" s="4" t="str">
        <x:v>RS-02326-E1</x:v>
      </x:c>
      <x:c r="B2327" s="4" t="str">
        <x:v>RS-02326</x:v>
      </x:c>
      <x:c r="C2327" s="8" t="n">
        <x:v>45414</x:v>
      </x:c>
      <x:c r="D2327" s="4" t="str">
        <x:v>Sales operations manager</x:v>
      </x:c>
      <x:c r="E2327" s="4" t="str">
        <x:v>ERP form</x:v>
      </x:c>
      <x:c r="F2327" s="4" t="str">
        <x:v>Record captured</x:v>
      </x:c>
      <x:c r="G2327" s="4" t="str">
        <x:v>Enquiry</x:v>
      </x:c>
    </x:row>
    <x:row r="2328" ht="34" customHeight="1">
      <x:c r="A2328" s="4" t="str">
        <x:v>RS-02327-E1</x:v>
      </x:c>
      <x:c r="B2328" s="4" t="str">
        <x:v>RS-02327</x:v>
      </x:c>
      <x:c r="C2328" s="8" t="n">
        <x:v>45415</x:v>
      </x:c>
      <x:c r="D2328" s="4" t="str">
        <x:v>Sales operations manager</x:v>
      </x:c>
      <x:c r="E2328" s="4" t="str">
        <x:v>ERP form</x:v>
      </x:c>
      <x:c r="F2328" s="4" t="str">
        <x:v>Record captured</x:v>
      </x:c>
      <x:c r="G2328" s="4" t="str">
        <x:v>Reserved</x:v>
      </x:c>
    </x:row>
    <x:row r="2329" ht="34" customHeight="1">
      <x:c r="A2329" s="4" t="str">
        <x:v>RS-02328-E1</x:v>
      </x:c>
      <x:c r="B2329" s="4" t="str">
        <x:v>RS-02328</x:v>
      </x:c>
      <x:c r="C2329" s="8" t="n">
        <x:v>45416</x:v>
      </x:c>
      <x:c r="D2329" s="4" t="str">
        <x:v>Sales operations manager</x:v>
      </x:c>
      <x:c r="E2329" s="4" t="str">
        <x:v>Paper transcribed</x:v>
      </x:c>
      <x:c r="F2329" s="4" t="str">
        <x:v>Record captured</x:v>
      </x:c>
      <x:c r="G2329" s="4" t="str">
        <x:v>Booked</x:v>
      </x:c>
    </x:row>
    <x:row r="2330" ht="34" customHeight="1">
      <x:c r="A2330" s="4" t="str">
        <x:v>RS-02329-E1</x:v>
      </x:c>
      <x:c r="B2330" s="4" t="str">
        <x:v>RS-02329</x:v>
      </x:c>
      <x:c r="C2330" s="8" t="n">
        <x:v>45417</x:v>
      </x:c>
      <x:c r="D2330" s="4" t="str">
        <x:v>Sales operations manager</x:v>
      </x:c>
      <x:c r="E2330" s="4" t="str">
        <x:v>WhatsApp transcribed</x:v>
      </x:c>
      <x:c r="F2330" s="4" t="str">
        <x:v>Record captured</x:v>
      </x:c>
      <x:c r="G2330" s="4" t="str">
        <x:v>Reserved</x:v>
      </x:c>
    </x:row>
    <x:row r="2331" ht="34" customHeight="1">
      <x:c r="A2331" s="4" t="str">
        <x:v>RS-02330-E1</x:v>
      </x:c>
      <x:c r="B2331" s="4" t="str">
        <x:v>RS-02330</x:v>
      </x:c>
      <x:c r="C2331" s="8" t="n">
        <x:v>45418</x:v>
      </x:c>
      <x:c r="D2331" s="4" t="str">
        <x:v>Sales operations manager</x:v>
      </x:c>
      <x:c r="E2331" s="4" t="str">
        <x:v>Spreadsheet import</x:v>
      </x:c>
      <x:c r="F2331" s="4" t="str">
        <x:v>Record captured</x:v>
      </x:c>
      <x:c r="G2331" s="4" t="str">
        <x:v>Reserved</x:v>
      </x:c>
    </x:row>
    <x:row r="2332" ht="34" customHeight="1">
      <x:c r="A2332" s="4" t="str">
        <x:v>RS-02331-E1</x:v>
      </x:c>
      <x:c r="B2332" s="4" t="str">
        <x:v>RS-02331</x:v>
      </x:c>
      <x:c r="C2332" s="8" t="n">
        <x:v>45419</x:v>
      </x:c>
      <x:c r="D2332" s="4" t="str">
        <x:v>Sales operations manager</x:v>
      </x:c>
      <x:c r="E2332" s="4" t="str">
        <x:v>Paper transcribed</x:v>
      </x:c>
      <x:c r="F2332" s="4" t="str">
        <x:v>Record captured</x:v>
      </x:c>
      <x:c r="G2332" s="4" t="str">
        <x:v>Enquiry</x:v>
      </x:c>
    </x:row>
    <x:row r="2333" ht="34" customHeight="1">
      <x:c r="A2333" s="4" t="str">
        <x:v>RS-02332-E1</x:v>
      </x:c>
      <x:c r="B2333" s="4" t="str">
        <x:v>RS-02332</x:v>
      </x:c>
      <x:c r="C2333" s="8" t="n">
        <x:v>45420</x:v>
      </x:c>
      <x:c r="D2333" s="4" t="str">
        <x:v>Sales operations manager</x:v>
      </x:c>
      <x:c r="E2333" s="4" t="str">
        <x:v>ERP form</x:v>
      </x:c>
      <x:c r="F2333" s="4" t="str">
        <x:v>Record captured</x:v>
      </x:c>
      <x:c r="G2333" s="4" t="str">
        <x:v>Booked</x:v>
      </x:c>
    </x:row>
    <x:row r="2334" ht="34" customHeight="1">
      <x:c r="A2334" s="4" t="str">
        <x:v>RS-02333-E1</x:v>
      </x:c>
      <x:c r="B2334" s="4" t="str">
        <x:v>RS-02333</x:v>
      </x:c>
      <x:c r="C2334" s="8" t="n">
        <x:v>45421</x:v>
      </x:c>
      <x:c r="D2334" s="4" t="str">
        <x:v>Sales operations manager</x:v>
      </x:c>
      <x:c r="E2334" s="4" t="str">
        <x:v>Spreadsheet import</x:v>
      </x:c>
      <x:c r="F2334" s="4" t="str">
        <x:v>Record captured</x:v>
      </x:c>
      <x:c r="G2334" s="4" t="str">
        <x:v>Agreement signed</x:v>
      </x:c>
    </x:row>
    <x:row r="2335" ht="34" customHeight="1">
      <x:c r="A2335" s="4" t="str">
        <x:v>RS-02334-E1</x:v>
      </x:c>
      <x:c r="B2335" s="4" t="str">
        <x:v>RS-02334</x:v>
      </x:c>
      <x:c r="C2335" s="8" t="n">
        <x:v>45422</x:v>
      </x:c>
      <x:c r="D2335" s="4" t="str">
        <x:v>Sales operations manager</x:v>
      </x:c>
      <x:c r="E2335" s="4" t="str">
        <x:v>ERP form</x:v>
      </x:c>
      <x:c r="F2335" s="4" t="str">
        <x:v>Record captured</x:v>
      </x:c>
      <x:c r="G2335" s="4" t="str">
        <x:v>Booked</x:v>
      </x:c>
    </x:row>
    <x:row r="2336" ht="34" customHeight="1">
      <x:c r="A2336" s="4" t="str">
        <x:v>RS-02335-E1</x:v>
      </x:c>
      <x:c r="B2336" s="4" t="str">
        <x:v>RS-02335</x:v>
      </x:c>
      <x:c r="C2336" s="8" t="n">
        <x:v>45423</x:v>
      </x:c>
      <x:c r="D2336" s="4" t="str">
        <x:v>Sales operations manager</x:v>
      </x:c>
      <x:c r="E2336" s="4" t="str">
        <x:v>ERP form</x:v>
      </x:c>
      <x:c r="F2336" s="4" t="str">
        <x:v>Record captured</x:v>
      </x:c>
      <x:c r="G2336" s="4" t="str">
        <x:v>Agreement signed</x:v>
      </x:c>
    </x:row>
    <x:row r="2337" ht="34" customHeight="1">
      <x:c r="A2337" s="4" t="str">
        <x:v>RS-02336-E1</x:v>
      </x:c>
      <x:c r="B2337" s="4" t="str">
        <x:v>RS-02336</x:v>
      </x:c>
      <x:c r="C2337" s="8" t="n">
        <x:v>45424</x:v>
      </x:c>
      <x:c r="D2337" s="4" t="str">
        <x:v>Sales operations manager</x:v>
      </x:c>
      <x:c r="E2337" s="4" t="str">
        <x:v>Spreadsheet import</x:v>
      </x:c>
      <x:c r="F2337" s="4" t="str">
        <x:v>Record captured</x:v>
      </x:c>
      <x:c r="G2337" s="4" t="str">
        <x:v>Reserved</x:v>
      </x:c>
    </x:row>
    <x:row r="2338" ht="34" customHeight="1">
      <x:c r="A2338" s="4" t="str">
        <x:v>RS-02337-E1</x:v>
      </x:c>
      <x:c r="B2338" s="4" t="str">
        <x:v>RS-02337</x:v>
      </x:c>
      <x:c r="C2338" s="8" t="n">
        <x:v>45425</x:v>
      </x:c>
      <x:c r="D2338" s="4" t="str">
        <x:v>Sales operations manager</x:v>
      </x:c>
      <x:c r="E2338" s="4" t="str">
        <x:v>Paper transcribed</x:v>
      </x:c>
      <x:c r="F2338" s="4" t="str">
        <x:v>Record captured</x:v>
      </x:c>
      <x:c r="G2338" s="4" t="str">
        <x:v>Agreement signed</x:v>
      </x:c>
    </x:row>
    <x:row r="2339" ht="34" customHeight="1">
      <x:c r="A2339" s="4" t="str">
        <x:v>RS-02338-E1</x:v>
      </x:c>
      <x:c r="B2339" s="4" t="str">
        <x:v>RS-02338</x:v>
      </x:c>
      <x:c r="C2339" s="8" t="n">
        <x:v>45426</x:v>
      </x:c>
      <x:c r="D2339" s="4" t="str">
        <x:v>Sales operations manager</x:v>
      </x:c>
      <x:c r="E2339" s="4" t="str">
        <x:v>ERP form</x:v>
      </x:c>
      <x:c r="F2339" s="4" t="str">
        <x:v>Record captured</x:v>
      </x:c>
      <x:c r="G2339" s="4" t="str">
        <x:v>Handed over</x:v>
      </x:c>
    </x:row>
    <x:row r="2340" ht="34" customHeight="1">
      <x:c r="A2340" s="4" t="str">
        <x:v>RS-02339-E1</x:v>
      </x:c>
      <x:c r="B2340" s="4" t="str">
        <x:v>RS-02339</x:v>
      </x:c>
      <x:c r="C2340" s="8" t="n">
        <x:v>45427</x:v>
      </x:c>
      <x:c r="D2340" s="4" t="str">
        <x:v>Sales operations manager</x:v>
      </x:c>
      <x:c r="E2340" s="4" t="str">
        <x:v>ERP form</x:v>
      </x:c>
      <x:c r="F2340" s="4" t="str">
        <x:v>Record captured</x:v>
      </x:c>
      <x:c r="G2340" s="4" t="str">
        <x:v>Enquiry</x:v>
      </x:c>
    </x:row>
    <x:row r="2341" ht="34" customHeight="1">
      <x:c r="A2341" s="4" t="str">
        <x:v>RS-02340-E1</x:v>
      </x:c>
      <x:c r="B2341" s="4" t="str">
        <x:v>RS-02340</x:v>
      </x:c>
      <x:c r="C2341" s="8" t="n">
        <x:v>45428</x:v>
      </x:c>
      <x:c r="D2341" s="4" t="str">
        <x:v>Sales operations manager</x:v>
      </x:c>
      <x:c r="E2341" s="4" t="str">
        <x:v>WhatsApp transcribed</x:v>
      </x:c>
      <x:c r="F2341" s="4" t="str">
        <x:v>Record captured</x:v>
      </x:c>
      <x:c r="G2341" s="4" t="str">
        <x:v>Cancelled</x:v>
      </x:c>
    </x:row>
    <x:row r="2342" ht="34" customHeight="1">
      <x:c r="A2342" s="4" t="str">
        <x:v>RS-02341-E1</x:v>
      </x:c>
      <x:c r="B2342" s="4" t="str">
        <x:v>RS-02341</x:v>
      </x:c>
      <x:c r="C2342" s="8" t="n">
        <x:v>45429</x:v>
      </x:c>
      <x:c r="D2342" s="4" t="str">
        <x:v>Sales operations manager</x:v>
      </x:c>
      <x:c r="E2342" s="4" t="str">
        <x:v>Spreadsheet import</x:v>
      </x:c>
      <x:c r="F2342" s="4" t="str">
        <x:v>Record captured</x:v>
      </x:c>
      <x:c r="G2342" s="4" t="str">
        <x:v>Booked</x:v>
      </x:c>
    </x:row>
    <x:row r="2343" ht="34" customHeight="1">
      <x:c r="A2343" s="4" t="str">
        <x:v>RS-02342-E1</x:v>
      </x:c>
      <x:c r="B2343" s="4" t="str">
        <x:v>RS-02342</x:v>
      </x:c>
      <x:c r="C2343" s="8" t="n">
        <x:v>45430</x:v>
      </x:c>
      <x:c r="D2343" s="4" t="str">
        <x:v>Sales operations manager</x:v>
      </x:c>
      <x:c r="E2343" s="4" t="str">
        <x:v>Spreadsheet import</x:v>
      </x:c>
      <x:c r="F2343" s="4" t="str">
        <x:v>Record captured</x:v>
      </x:c>
      <x:c r="G2343" s="4" t="str">
        <x:v>Reserved</x:v>
      </x:c>
    </x:row>
    <x:row r="2344" ht="34" customHeight="1">
      <x:c r="A2344" s="4" t="str">
        <x:v>RS-02343-E1</x:v>
      </x:c>
      <x:c r="B2344" s="4" t="str">
        <x:v>RS-02343</x:v>
      </x:c>
      <x:c r="C2344" s="8" t="n">
        <x:v>45431</x:v>
      </x:c>
      <x:c r="D2344" s="4" t="str">
        <x:v>Sales operations manager</x:v>
      </x:c>
      <x:c r="E2344" s="4" t="str">
        <x:v>Spreadsheet import</x:v>
      </x:c>
      <x:c r="F2344" s="4" t="str">
        <x:v>Record captured</x:v>
      </x:c>
      <x:c r="G2344" s="4" t="str">
        <x:v>Agreement signed</x:v>
      </x:c>
    </x:row>
    <x:row r="2345" ht="34" customHeight="1">
      <x:c r="A2345" s="4" t="str">
        <x:v>RS-02344-E1</x:v>
      </x:c>
      <x:c r="B2345" s="4" t="str">
        <x:v>RS-02344</x:v>
      </x:c>
      <x:c r="C2345" s="8" t="n">
        <x:v>45432</x:v>
      </x:c>
      <x:c r="D2345" s="4" t="str">
        <x:v>Sales operations manager</x:v>
      </x:c>
      <x:c r="E2345" s="4" t="str">
        <x:v>Spreadsheet import</x:v>
      </x:c>
      <x:c r="F2345" s="4" t="str">
        <x:v>Record captured</x:v>
      </x:c>
      <x:c r="G2345" s="4" t="str">
        <x:v>Booked</x:v>
      </x:c>
    </x:row>
    <x:row r="2346" ht="34" customHeight="1">
      <x:c r="A2346" s="4" t="str">
        <x:v>RS-02345-E1</x:v>
      </x:c>
      <x:c r="B2346" s="4" t="str">
        <x:v>RS-02345</x:v>
      </x:c>
      <x:c r="C2346" s="8" t="n">
        <x:v>45433</x:v>
      </x:c>
      <x:c r="D2346" s="4" t="str">
        <x:v>Sales operations manager</x:v>
      </x:c>
      <x:c r="E2346" s="4" t="str">
        <x:v>ERP form</x:v>
      </x:c>
      <x:c r="F2346" s="4" t="str">
        <x:v>Record captured</x:v>
      </x:c>
      <x:c r="G2346" s="4" t="str">
        <x:v>Agreement signed</x:v>
      </x:c>
    </x:row>
    <x:row r="2347" ht="34" customHeight="1">
      <x:c r="A2347" s="4" t="str">
        <x:v>RS-02346-E1</x:v>
      </x:c>
      <x:c r="B2347" s="4" t="str">
        <x:v>RS-02346</x:v>
      </x:c>
      <x:c r="C2347" s="8" t="n">
        <x:v>45434</x:v>
      </x:c>
      <x:c r="D2347" s="4" t="str">
        <x:v>Sales operations manager</x:v>
      </x:c>
      <x:c r="E2347" s="4" t="str">
        <x:v>Spreadsheet import</x:v>
      </x:c>
      <x:c r="F2347" s="4" t="str">
        <x:v>Record captured</x:v>
      </x:c>
      <x:c r="G2347" s="4" t="str">
        <x:v>Agreement signed</x:v>
      </x:c>
    </x:row>
    <x:row r="2348" ht="34" customHeight="1">
      <x:c r="A2348" s="4" t="str">
        <x:v>RS-02347-E1</x:v>
      </x:c>
      <x:c r="B2348" s="4" t="str">
        <x:v>RS-02347</x:v>
      </x:c>
      <x:c r="C2348" s="8" t="n">
        <x:v>45435</x:v>
      </x:c>
      <x:c r="D2348" s="4" t="str">
        <x:v>Sales operations manager</x:v>
      </x:c>
      <x:c r="E2348" s="4" t="str">
        <x:v>Spreadsheet import</x:v>
      </x:c>
      <x:c r="F2348" s="4" t="str">
        <x:v>Record captured</x:v>
      </x:c>
      <x:c r="G2348" s="4" t="str">
        <x:v>Reserved</x:v>
      </x:c>
    </x:row>
    <x:row r="2349" ht="34" customHeight="1">
      <x:c r="A2349" s="4" t="str">
        <x:v>RS-02348-E1</x:v>
      </x:c>
      <x:c r="B2349" s="4" t="str">
        <x:v>RS-02348</x:v>
      </x:c>
      <x:c r="C2349" s="8" t="n">
        <x:v>45436</x:v>
      </x:c>
      <x:c r="D2349" s="4" t="str">
        <x:v>Sales operations manager</x:v>
      </x:c>
      <x:c r="E2349" s="4" t="str">
        <x:v>Paper transcribed</x:v>
      </x:c>
      <x:c r="F2349" s="4" t="str">
        <x:v>Record captured</x:v>
      </x:c>
      <x:c r="G2349" s="4" t="str">
        <x:v>Cancelled</x:v>
      </x:c>
    </x:row>
    <x:row r="2350" ht="34" customHeight="1">
      <x:c r="A2350" s="4" t="str">
        <x:v>RS-02349-E1</x:v>
      </x:c>
      <x:c r="B2350" s="4" t="str">
        <x:v>RS-02349</x:v>
      </x:c>
      <x:c r="C2350" s="8" t="n">
        <x:v>45437</x:v>
      </x:c>
      <x:c r="D2350" s="4" t="str">
        <x:v>Sales operations manager</x:v>
      </x:c>
      <x:c r="E2350" s="4" t="str">
        <x:v>Spreadsheet import</x:v>
      </x:c>
      <x:c r="F2350" s="4" t="str">
        <x:v>Record captured</x:v>
      </x:c>
      <x:c r="G2350" s="4" t="str">
        <x:v>Enquiry</x:v>
      </x:c>
    </x:row>
    <x:row r="2351" ht="34" customHeight="1">
      <x:c r="A2351" s="4" t="str">
        <x:v>RS-02350-E1</x:v>
      </x:c>
      <x:c r="B2351" s="4" t="str">
        <x:v>RS-02350</x:v>
      </x:c>
      <x:c r="C2351" s="8" t="n">
        <x:v>45438</x:v>
      </x:c>
      <x:c r="D2351" s="4" t="str">
        <x:v>Sales operations manager</x:v>
      </x:c>
      <x:c r="E2351" s="4" t="str">
        <x:v>Spreadsheet import</x:v>
      </x:c>
      <x:c r="F2351" s="4" t="str">
        <x:v>Record captured</x:v>
      </x:c>
      <x:c r="G2351" s="4" t="str">
        <x:v>Handed over</x:v>
      </x:c>
    </x:row>
    <x:row r="2352" ht="34" customHeight="1">
      <x:c r="A2352" s="4" t="str">
        <x:v>RS-02351-E1</x:v>
      </x:c>
      <x:c r="B2352" s="4" t="str">
        <x:v>RS-02351</x:v>
      </x:c>
      <x:c r="C2352" s="8" t="n">
        <x:v>45439</x:v>
      </x:c>
      <x:c r="D2352" s="4" t="str">
        <x:v>Sales operations manager</x:v>
      </x:c>
      <x:c r="E2352" s="4" t="str">
        <x:v>Paper transcribed</x:v>
      </x:c>
      <x:c r="F2352" s="4" t="str">
        <x:v>Record captured</x:v>
      </x:c>
      <x:c r="G2352" s="4" t="str">
        <x:v>Booked</x:v>
      </x:c>
    </x:row>
    <x:row r="2353" ht="34" customHeight="1">
      <x:c r="A2353" s="4" t="str">
        <x:v>RS-02352-E1</x:v>
      </x:c>
      <x:c r="B2353" s="4" t="str">
        <x:v>RS-02352</x:v>
      </x:c>
      <x:c r="C2353" s="8" t="n">
        <x:v>45440</x:v>
      </x:c>
      <x:c r="D2353" s="4" t="str">
        <x:v>Sales operations manager</x:v>
      </x:c>
      <x:c r="E2353" s="4" t="str">
        <x:v>Paper transcribed</x:v>
      </x:c>
      <x:c r="F2353" s="4" t="str">
        <x:v>Record captured</x:v>
      </x:c>
      <x:c r="G2353" s="4" t="str">
        <x:v>Cancelled</x:v>
      </x:c>
    </x:row>
    <x:row r="2354" ht="34" customHeight="1">
      <x:c r="A2354" s="4" t="str">
        <x:v>RS-02353-E1</x:v>
      </x:c>
      <x:c r="B2354" s="4" t="str">
        <x:v>RS-02353</x:v>
      </x:c>
      <x:c r="C2354" s="8" t="n">
        <x:v>45413</x:v>
      </x:c>
      <x:c r="D2354" s="4" t="str">
        <x:v>Sales operations manager</x:v>
      </x:c>
      <x:c r="E2354" s="4" t="str">
        <x:v>WhatsApp transcribed</x:v>
      </x:c>
      <x:c r="F2354" s="4" t="str">
        <x:v>Record captured</x:v>
      </x:c>
      <x:c r="G2354" s="4" t="str">
        <x:v>Cancelled</x:v>
      </x:c>
    </x:row>
    <x:row r="2355" ht="34" customHeight="1">
      <x:c r="A2355" s="4" t="str">
        <x:v>RS-02354-E1</x:v>
      </x:c>
      <x:c r="B2355" s="4" t="str">
        <x:v>RS-02354</x:v>
      </x:c>
      <x:c r="C2355" s="8" t="n">
        <x:v>45414</x:v>
      </x:c>
      <x:c r="D2355" s="4" t="str">
        <x:v>Sales operations manager</x:v>
      </x:c>
      <x:c r="E2355" s="4" t="str">
        <x:v>Paper transcribed</x:v>
      </x:c>
      <x:c r="F2355" s="4" t="str">
        <x:v>Record captured</x:v>
      </x:c>
      <x:c r="G2355" s="4" t="str">
        <x:v>Agreement signed</x:v>
      </x:c>
    </x:row>
    <x:row r="2356" ht="34" customHeight="1">
      <x:c r="A2356" s="4" t="str">
        <x:v>RS-02355-E1</x:v>
      </x:c>
      <x:c r="B2356" s="4" t="str">
        <x:v>RS-02355</x:v>
      </x:c>
      <x:c r="C2356" s="8" t="n">
        <x:v>45415</x:v>
      </x:c>
      <x:c r="D2356" s="4" t="str">
        <x:v>Sales operations manager</x:v>
      </x:c>
      <x:c r="E2356" s="4" t="str">
        <x:v>Spreadsheet import</x:v>
      </x:c>
      <x:c r="F2356" s="4" t="str">
        <x:v>Record captured</x:v>
      </x:c>
      <x:c r="G2356" s="4" t="str">
        <x:v>Handed over</x:v>
      </x:c>
    </x:row>
    <x:row r="2357" ht="34" customHeight="1">
      <x:c r="A2357" s="4" t="str">
        <x:v>RS-02356-E1</x:v>
      </x:c>
      <x:c r="B2357" s="4" t="str">
        <x:v>RS-02356</x:v>
      </x:c>
      <x:c r="C2357" s="8" t="n">
        <x:v>45416</x:v>
      </x:c>
      <x:c r="D2357" s="4" t="str">
        <x:v>Sales operations manager</x:v>
      </x:c>
      <x:c r="E2357" s="4" t="str">
        <x:v>ERP form</x:v>
      </x:c>
      <x:c r="F2357" s="4" t="str">
        <x:v>Record captured</x:v>
      </x:c>
      <x:c r="G2357" s="4" t="str">
        <x:v>Enquiry</x:v>
      </x:c>
    </x:row>
    <x:row r="2358" ht="34" customHeight="1">
      <x:c r="A2358" s="4" t="str">
        <x:v>RS-02357-E1</x:v>
      </x:c>
      <x:c r="B2358" s="4" t="str">
        <x:v>RS-02357</x:v>
      </x:c>
      <x:c r="C2358" s="8" t="n">
        <x:v>45417</x:v>
      </x:c>
      <x:c r="D2358" s="4" t="str">
        <x:v>Sales operations manager</x:v>
      </x:c>
      <x:c r="E2358" s="4" t="str">
        <x:v>WhatsApp transcribed</x:v>
      </x:c>
      <x:c r="F2358" s="4" t="str">
        <x:v>Record captured</x:v>
      </x:c>
      <x:c r="G2358" s="4" t="str">
        <x:v>Agreement signed</x:v>
      </x:c>
    </x:row>
    <x:row r="2359" ht="34" customHeight="1">
      <x:c r="A2359" s="4" t="str">
        <x:v>RS-02358-E1</x:v>
      </x:c>
      <x:c r="B2359" s="4" t="str">
        <x:v>RS-02358</x:v>
      </x:c>
      <x:c r="C2359" s="8" t="n">
        <x:v>45418</x:v>
      </x:c>
      <x:c r="D2359" s="4" t="str">
        <x:v>Sales operations manager</x:v>
      </x:c>
      <x:c r="E2359" s="4" t="str">
        <x:v>WhatsApp transcribed</x:v>
      </x:c>
      <x:c r="F2359" s="4" t="str">
        <x:v>Record captured</x:v>
      </x:c>
      <x:c r="G2359" s="4" t="str">
        <x:v>Cancelled</x:v>
      </x:c>
    </x:row>
    <x:row r="2360" ht="34" customHeight="1">
      <x:c r="A2360" s="4" t="str">
        <x:v>RS-02359-E1</x:v>
      </x:c>
      <x:c r="B2360" s="4" t="str">
        <x:v>RS-02359</x:v>
      </x:c>
      <x:c r="C2360" s="8" t="n">
        <x:v>45419</x:v>
      </x:c>
      <x:c r="D2360" s="4" t="str">
        <x:v>Sales operations manager</x:v>
      </x:c>
      <x:c r="E2360" s="4" t="str">
        <x:v>Spreadsheet import</x:v>
      </x:c>
      <x:c r="F2360" s="4" t="str">
        <x:v>Record captured</x:v>
      </x:c>
      <x:c r="G2360" s="4" t="str">
        <x:v>Cancelled</x:v>
      </x:c>
    </x:row>
    <x:row r="2361" ht="34" customHeight="1">
      <x:c r="A2361" s="4" t="str">
        <x:v>RS-02360-E1</x:v>
      </x:c>
      <x:c r="B2361" s="4" t="str">
        <x:v>RS-02360</x:v>
      </x:c>
      <x:c r="C2361" s="8" t="n">
        <x:v>45420</x:v>
      </x:c>
      <x:c r="D2361" s="4" t="str">
        <x:v>Sales operations manager</x:v>
      </x:c>
      <x:c r="E2361" s="4" t="str">
        <x:v>ERP form</x:v>
      </x:c>
      <x:c r="F2361" s="4" t="str">
        <x:v>Record captured</x:v>
      </x:c>
      <x:c r="G2361" s="4" t="str">
        <x:v>Reserved</x:v>
      </x:c>
    </x:row>
    <x:row r="2362" ht="34" customHeight="1">
      <x:c r="A2362" s="4" t="str">
        <x:v>RS-02361-E1</x:v>
      </x:c>
      <x:c r="B2362" s="4" t="str">
        <x:v>RS-02361</x:v>
      </x:c>
      <x:c r="C2362" s="8" t="n">
        <x:v>45421</x:v>
      </x:c>
      <x:c r="D2362" s="4" t="str">
        <x:v>Sales operations manager</x:v>
      </x:c>
      <x:c r="E2362" s="4" t="str">
        <x:v>ERP form</x:v>
      </x:c>
      <x:c r="F2362" s="4" t="str">
        <x:v>Record captured</x:v>
      </x:c>
      <x:c r="G2362" s="4" t="str">
        <x:v>Reserved</x:v>
      </x:c>
    </x:row>
    <x:row r="2363" ht="34" customHeight="1">
      <x:c r="A2363" s="4" t="str">
        <x:v>RS-02362-E1</x:v>
      </x:c>
      <x:c r="B2363" s="4" t="str">
        <x:v>RS-02362</x:v>
      </x:c>
      <x:c r="C2363" s="8" t="n">
        <x:v>45422</x:v>
      </x:c>
      <x:c r="D2363" s="4" t="str">
        <x:v>Sales operations manager</x:v>
      </x:c>
      <x:c r="E2363" s="4" t="str">
        <x:v>WhatsApp transcribed</x:v>
      </x:c>
      <x:c r="F2363" s="4" t="str">
        <x:v>Record captured</x:v>
      </x:c>
      <x:c r="G2363" s="4" t="str">
        <x:v>Cancelled</x:v>
      </x:c>
    </x:row>
    <x:row r="2364" ht="34" customHeight="1">
      <x:c r="A2364" s="4" t="str">
        <x:v>RS-02363-E1</x:v>
      </x:c>
      <x:c r="B2364" s="4" t="str">
        <x:v>RS-02363</x:v>
      </x:c>
      <x:c r="C2364" s="8" t="n">
        <x:v>45423</x:v>
      </x:c>
      <x:c r="D2364" s="4" t="str">
        <x:v>Sales operations manager</x:v>
      </x:c>
      <x:c r="E2364" s="4" t="str">
        <x:v>Paper transcribed</x:v>
      </x:c>
      <x:c r="F2364" s="4" t="str">
        <x:v>Record captured</x:v>
      </x:c>
      <x:c r="G2364" s="4" t="str">
        <x:v>Agreement signed</x:v>
      </x:c>
    </x:row>
    <x:row r="2365" ht="34" customHeight="1">
      <x:c r="A2365" s="4" t="str">
        <x:v>RS-02364-E1</x:v>
      </x:c>
      <x:c r="B2365" s="4" t="str">
        <x:v>RS-02364</x:v>
      </x:c>
      <x:c r="C2365" s="8" t="n">
        <x:v>45424</x:v>
      </x:c>
      <x:c r="D2365" s="4" t="str">
        <x:v>Sales operations manager</x:v>
      </x:c>
      <x:c r="E2365" s="4" t="str">
        <x:v>ERP form</x:v>
      </x:c>
      <x:c r="F2365" s="4" t="str">
        <x:v>Record captured</x:v>
      </x:c>
      <x:c r="G2365" s="4" t="str">
        <x:v>Enquiry</x:v>
      </x:c>
    </x:row>
    <x:row r="2366" ht="34" customHeight="1">
      <x:c r="A2366" s="4" t="str">
        <x:v>RS-02365-E1</x:v>
      </x:c>
      <x:c r="B2366" s="4" t="str">
        <x:v>RS-02365</x:v>
      </x:c>
      <x:c r="C2366" s="8" t="n">
        <x:v>45425</x:v>
      </x:c>
      <x:c r="D2366" s="4" t="str">
        <x:v>Sales operations manager</x:v>
      </x:c>
      <x:c r="E2366" s="4" t="str">
        <x:v>Spreadsheet import</x:v>
      </x:c>
      <x:c r="F2366" s="4" t="str">
        <x:v>Record captured</x:v>
      </x:c>
      <x:c r="G2366" s="4" t="str">
        <x:v>Booked</x:v>
      </x:c>
    </x:row>
    <x:row r="2367" ht="34" customHeight="1">
      <x:c r="A2367" s="4" t="str">
        <x:v>RS-02366-E1</x:v>
      </x:c>
      <x:c r="B2367" s="4" t="str">
        <x:v>RS-02366</x:v>
      </x:c>
      <x:c r="C2367" s="8" t="n">
        <x:v>45426</x:v>
      </x:c>
      <x:c r="D2367" s="4" t="str">
        <x:v>Sales operations manager</x:v>
      </x:c>
      <x:c r="E2367" s="4" t="str">
        <x:v>ERP form</x:v>
      </x:c>
      <x:c r="F2367" s="4" t="str">
        <x:v>Record captured</x:v>
      </x:c>
      <x:c r="G2367" s="4" t="str">
        <x:v>Agreement signed</x:v>
      </x:c>
    </x:row>
    <x:row r="2368" ht="34" customHeight="1">
      <x:c r="A2368" s="4" t="str">
        <x:v>RS-02367-E1</x:v>
      </x:c>
      <x:c r="B2368" s="4" t="str">
        <x:v>RS-02367</x:v>
      </x:c>
      <x:c r="C2368" s="8" t="n">
        <x:v>45427</x:v>
      </x:c>
      <x:c r="D2368" s="4" t="str">
        <x:v>Sales operations manager</x:v>
      </x:c>
      <x:c r="E2368" s="4" t="str">
        <x:v>Spreadsheet import</x:v>
      </x:c>
      <x:c r="F2368" s="4" t="str">
        <x:v>Record captured</x:v>
      </x:c>
      <x:c r="G2368" s="4" t="str">
        <x:v>Booked</x:v>
      </x:c>
    </x:row>
    <x:row r="2369" ht="34" customHeight="1">
      <x:c r="A2369" s="4" t="str">
        <x:v>RS-02368-E1</x:v>
      </x:c>
      <x:c r="B2369" s="4" t="str">
        <x:v>RS-02368</x:v>
      </x:c>
      <x:c r="C2369" s="8" t="n">
        <x:v>45428</x:v>
      </x:c>
      <x:c r="D2369" s="4" t="str">
        <x:v>Sales operations manager</x:v>
      </x:c>
      <x:c r="E2369" s="4" t="str">
        <x:v>Spreadsheet import</x:v>
      </x:c>
      <x:c r="F2369" s="4" t="str">
        <x:v>Record captured</x:v>
      </x:c>
      <x:c r="G2369" s="4" t="str">
        <x:v>Reserved</x:v>
      </x:c>
    </x:row>
    <x:row r="2370" ht="34" customHeight="1">
      <x:c r="A2370" s="4" t="str">
        <x:v>RS-02369-E1</x:v>
      </x:c>
      <x:c r="B2370" s="4" t="str">
        <x:v>RS-02369</x:v>
      </x:c>
      <x:c r="C2370" s="8" t="n">
        <x:v>45429</x:v>
      </x:c>
      <x:c r="D2370" s="4" t="str">
        <x:v>Sales operations manager</x:v>
      </x:c>
      <x:c r="E2370" s="4" t="str">
        <x:v>ERP form</x:v>
      </x:c>
      <x:c r="F2370" s="4" t="str">
        <x:v>Record captured</x:v>
      </x:c>
      <x:c r="G2370" s="4" t="str">
        <x:v>Enquiry</x:v>
      </x:c>
    </x:row>
    <x:row r="2371" ht="34" customHeight="1">
      <x:c r="A2371" s="4" t="str">
        <x:v>RS-02370-E1</x:v>
      </x:c>
      <x:c r="B2371" s="4" t="str">
        <x:v>RS-02370</x:v>
      </x:c>
      <x:c r="C2371" s="8" t="n">
        <x:v>45430</x:v>
      </x:c>
      <x:c r="D2371" s="4" t="str">
        <x:v>Sales operations manager</x:v>
      </x:c>
      <x:c r="E2371" s="4" t="str">
        <x:v>Spreadsheet import</x:v>
      </x:c>
      <x:c r="F2371" s="4" t="str">
        <x:v>Record captured</x:v>
      </x:c>
      <x:c r="G2371" s="4" t="str">
        <x:v>Handed over</x:v>
      </x:c>
    </x:row>
    <x:row r="2372" ht="34" customHeight="1">
      <x:c r="A2372" s="4" t="str">
        <x:v>RS-02371-E1</x:v>
      </x:c>
      <x:c r="B2372" s="4" t="str">
        <x:v>RS-02371</x:v>
      </x:c>
      <x:c r="C2372" s="8" t="n">
        <x:v>45431</x:v>
      </x:c>
      <x:c r="D2372" s="4" t="str">
        <x:v>Sales operations manager</x:v>
      </x:c>
      <x:c r="E2372" s="4" t="str">
        <x:v>WhatsApp transcribed</x:v>
      </x:c>
      <x:c r="F2372" s="4" t="str">
        <x:v>Record captured</x:v>
      </x:c>
      <x:c r="G2372" s="4" t="str">
        <x:v>Handed over</x:v>
      </x:c>
    </x:row>
    <x:row r="2373" ht="34" customHeight="1">
      <x:c r="A2373" s="4" t="str">
        <x:v>RS-02372-E1</x:v>
      </x:c>
      <x:c r="B2373" s="4" t="str">
        <x:v>RS-02372</x:v>
      </x:c>
      <x:c r="C2373" s="8" t="n">
        <x:v>45432</x:v>
      </x:c>
      <x:c r="D2373" s="4" t="str">
        <x:v>Sales operations manager</x:v>
      </x:c>
      <x:c r="E2373" s="4" t="str">
        <x:v>WhatsApp transcribed</x:v>
      </x:c>
      <x:c r="F2373" s="4" t="str">
        <x:v>Record captured</x:v>
      </x:c>
      <x:c r="G2373" s="4" t="str">
        <x:v>Booked</x:v>
      </x:c>
    </x:row>
    <x:row r="2374" ht="34" customHeight="1">
      <x:c r="A2374" s="4" t="str">
        <x:v>RS-02373-E1</x:v>
      </x:c>
      <x:c r="B2374" s="4" t="str">
        <x:v>RS-02373</x:v>
      </x:c>
      <x:c r="C2374" s="8" t="n">
        <x:v>45433</x:v>
      </x:c>
      <x:c r="D2374" s="4" t="str">
        <x:v>Sales operations manager</x:v>
      </x:c>
      <x:c r="E2374" s="4" t="str">
        <x:v>Spreadsheet import</x:v>
      </x:c>
      <x:c r="F2374" s="4" t="str">
        <x:v>Record captured</x:v>
      </x:c>
      <x:c r="G2374" s="4" t="str">
        <x:v>Reserved</x:v>
      </x:c>
    </x:row>
    <x:row r="2375" ht="34" customHeight="1">
      <x:c r="A2375" s="4" t="str">
        <x:v>RS-02374-E1</x:v>
      </x:c>
      <x:c r="B2375" s="4" t="str">
        <x:v>RS-02374</x:v>
      </x:c>
      <x:c r="C2375" s="8" t="n">
        <x:v>45434</x:v>
      </x:c>
      <x:c r="D2375" s="4" t="str">
        <x:v>Sales operations manager</x:v>
      </x:c>
      <x:c r="E2375" s="4" t="str">
        <x:v>WhatsApp transcribed</x:v>
      </x:c>
      <x:c r="F2375" s="4" t="str">
        <x:v>Record captured</x:v>
      </x:c>
      <x:c r="G2375" s="4" t="str">
        <x:v>Booked</x:v>
      </x:c>
    </x:row>
    <x:row r="2376" ht="34" customHeight="1">
      <x:c r="A2376" s="4" t="str">
        <x:v>RS-02375-E1</x:v>
      </x:c>
      <x:c r="B2376" s="4" t="str">
        <x:v>RS-02375</x:v>
      </x:c>
      <x:c r="C2376" s="8" t="n">
        <x:v>45435</x:v>
      </x:c>
      <x:c r="D2376" s="4" t="str">
        <x:v>Sales operations manager</x:v>
      </x:c>
      <x:c r="E2376" s="4" t="str">
        <x:v>WhatsApp transcribed</x:v>
      </x:c>
      <x:c r="F2376" s="4" t="str">
        <x:v>Record captured</x:v>
      </x:c>
      <x:c r="G2376" s="4" t="str">
        <x:v>Cancelled</x:v>
      </x:c>
    </x:row>
    <x:row r="2377" ht="34" customHeight="1">
      <x:c r="A2377" s="4" t="str">
        <x:v>RS-02376-E1</x:v>
      </x:c>
      <x:c r="B2377" s="4" t="str">
        <x:v>RS-02376</x:v>
      </x:c>
      <x:c r="C2377" s="8" t="n">
        <x:v>45436</x:v>
      </x:c>
      <x:c r="D2377" s="4" t="str">
        <x:v>Sales operations manager</x:v>
      </x:c>
      <x:c r="E2377" s="4" t="str">
        <x:v>Spreadsheet import</x:v>
      </x:c>
      <x:c r="F2377" s="4" t="str">
        <x:v>Record captured</x:v>
      </x:c>
      <x:c r="G2377" s="4" t="str">
        <x:v>Handed over</x:v>
      </x:c>
    </x:row>
    <x:row r="2378" ht="34" customHeight="1">
      <x:c r="A2378" s="4" t="str">
        <x:v>RS-02377-E1</x:v>
      </x:c>
      <x:c r="B2378" s="4" t="str">
        <x:v>RS-02377</x:v>
      </x:c>
      <x:c r="C2378" s="8" t="n">
        <x:v>45437</x:v>
      </x:c>
      <x:c r="D2378" s="4" t="str">
        <x:v>Sales operations manager</x:v>
      </x:c>
      <x:c r="E2378" s="4" t="str">
        <x:v>WhatsApp transcribed</x:v>
      </x:c>
      <x:c r="F2378" s="4" t="str">
        <x:v>Record captured</x:v>
      </x:c>
      <x:c r="G2378" s="4" t="str">
        <x:v>Cancelled</x:v>
      </x:c>
    </x:row>
    <x:row r="2379" ht="34" customHeight="1">
      <x:c r="A2379" s="4" t="str">
        <x:v>RS-02378-E1</x:v>
      </x:c>
      <x:c r="B2379" s="4" t="str">
        <x:v>RS-02378</x:v>
      </x:c>
      <x:c r="C2379" s="8" t="n">
        <x:v>45438</x:v>
      </x:c>
      <x:c r="D2379" s="4" t="str">
        <x:v>Sales operations manager</x:v>
      </x:c>
      <x:c r="E2379" s="4" t="str">
        <x:v>Spreadsheet import</x:v>
      </x:c>
      <x:c r="F2379" s="4" t="str">
        <x:v>Record captured</x:v>
      </x:c>
      <x:c r="G2379" s="4" t="str">
        <x:v>Booked</x:v>
      </x:c>
    </x:row>
    <x:row r="2380" ht="34" customHeight="1">
      <x:c r="A2380" s="4" t="str">
        <x:v>RS-02379-E1</x:v>
      </x:c>
      <x:c r="B2380" s="4" t="str">
        <x:v>RS-02379</x:v>
      </x:c>
      <x:c r="C2380" s="8" t="n">
        <x:v>45439</x:v>
      </x:c>
      <x:c r="D2380" s="4" t="str">
        <x:v>Sales operations manager</x:v>
      </x:c>
      <x:c r="E2380" s="4" t="str">
        <x:v>ERP form</x:v>
      </x:c>
      <x:c r="F2380" s="4" t="str">
        <x:v>Record captured</x:v>
      </x:c>
      <x:c r="G2380" s="4" t="str">
        <x:v>Reserved</x:v>
      </x:c>
    </x:row>
    <x:row r="2381" ht="34" customHeight="1">
      <x:c r="A2381" s="4" t="str">
        <x:v>RS-02380-E1</x:v>
      </x:c>
      <x:c r="B2381" s="4" t="str">
        <x:v>RS-02380</x:v>
      </x:c>
      <x:c r="C2381" s="8" t="n">
        <x:v>45440</x:v>
      </x:c>
      <x:c r="D2381" s="4" t="str">
        <x:v>Sales operations manager</x:v>
      </x:c>
      <x:c r="E2381" s="4" t="str">
        <x:v>Paper transcribed</x:v>
      </x:c>
      <x:c r="F2381" s="4" t="str">
        <x:v>Record captured</x:v>
      </x:c>
      <x:c r="G2381" s="4" t="str">
        <x:v>Cancelled</x:v>
      </x:c>
    </x:row>
    <x:row r="2382" ht="34" customHeight="1">
      <x:c r="A2382" s="4" t="str">
        <x:v>RS-02381-E1</x:v>
      </x:c>
      <x:c r="B2382" s="4" t="str">
        <x:v>RS-02381</x:v>
      </x:c>
      <x:c r="C2382" s="8" t="n">
        <x:v>45413</x:v>
      </x:c>
      <x:c r="D2382" s="4" t="str">
        <x:v>Sales operations manager</x:v>
      </x:c>
      <x:c r="E2382" s="4" t="str">
        <x:v>Paper transcribed</x:v>
      </x:c>
      <x:c r="F2382" s="4" t="str">
        <x:v>Record captured</x:v>
      </x:c>
      <x:c r="G2382" s="4" t="str">
        <x:v>Handed over</x:v>
      </x:c>
    </x:row>
    <x:row r="2383" ht="34" customHeight="1">
      <x:c r="A2383" s="4" t="str">
        <x:v>RS-02382-E1</x:v>
      </x:c>
      <x:c r="B2383" s="4" t="str">
        <x:v>RS-02382</x:v>
      </x:c>
      <x:c r="C2383" s="8" t="n">
        <x:v>45414</x:v>
      </x:c>
      <x:c r="D2383" s="4" t="str">
        <x:v>Sales operations manager</x:v>
      </x:c>
      <x:c r="E2383" s="4" t="str">
        <x:v>Spreadsheet import</x:v>
      </x:c>
      <x:c r="F2383" s="4" t="str">
        <x:v>Record captured</x:v>
      </x:c>
      <x:c r="G2383" s="4" t="str">
        <x:v>Agreement signed</x:v>
      </x:c>
    </x:row>
    <x:row r="2384" ht="34" customHeight="1">
      <x:c r="A2384" s="4" t="str">
        <x:v>RS-02383-E1</x:v>
      </x:c>
      <x:c r="B2384" s="4" t="str">
        <x:v>RS-02383</x:v>
      </x:c>
      <x:c r="C2384" s="8" t="n">
        <x:v>45415</x:v>
      </x:c>
      <x:c r="D2384" s="4" t="str">
        <x:v>Sales operations manager</x:v>
      </x:c>
      <x:c r="E2384" s="4" t="str">
        <x:v>ERP form</x:v>
      </x:c>
      <x:c r="F2384" s="4" t="str">
        <x:v>Record captured</x:v>
      </x:c>
      <x:c r="G2384" s="4" t="str">
        <x:v>Enquiry</x:v>
      </x:c>
    </x:row>
    <x:row r="2385" ht="34" customHeight="1">
      <x:c r="A2385" s="4" t="str">
        <x:v>RS-02384-E1</x:v>
      </x:c>
      <x:c r="B2385" s="4" t="str">
        <x:v>RS-02384</x:v>
      </x:c>
      <x:c r="C2385" s="8" t="n">
        <x:v>45416</x:v>
      </x:c>
      <x:c r="D2385" s="4" t="str">
        <x:v>Sales operations manager</x:v>
      </x:c>
      <x:c r="E2385" s="4" t="str">
        <x:v>ERP form</x:v>
      </x:c>
      <x:c r="F2385" s="4" t="str">
        <x:v>Record captured</x:v>
      </x:c>
      <x:c r="G2385" s="4" t="str">
        <x:v>Handed over</x:v>
      </x:c>
    </x:row>
    <x:row r="2386" ht="34" customHeight="1">
      <x:c r="A2386" s="4" t="str">
        <x:v>RS-02385-E1</x:v>
      </x:c>
      <x:c r="B2386" s="4" t="str">
        <x:v>RS-02385</x:v>
      </x:c>
      <x:c r="C2386" s="8" t="n">
        <x:v>45417</x:v>
      </x:c>
      <x:c r="D2386" s="4" t="str">
        <x:v>Sales operations manager</x:v>
      </x:c>
      <x:c r="E2386" s="4" t="str">
        <x:v>Spreadsheet import</x:v>
      </x:c>
      <x:c r="F2386" s="4" t="str">
        <x:v>Record captured</x:v>
      </x:c>
      <x:c r="G2386" s="4" t="str">
        <x:v>Booked</x:v>
      </x:c>
    </x:row>
    <x:row r="2387" ht="34" customHeight="1">
      <x:c r="A2387" s="4" t="str">
        <x:v>RS-02386-E1</x:v>
      </x:c>
      <x:c r="B2387" s="4" t="str">
        <x:v>RS-02386</x:v>
      </x:c>
      <x:c r="C2387" s="8" t="n">
        <x:v>45418</x:v>
      </x:c>
      <x:c r="D2387" s="4" t="str">
        <x:v>Sales operations manager</x:v>
      </x:c>
      <x:c r="E2387" s="4" t="str">
        <x:v>Paper transcribed</x:v>
      </x:c>
      <x:c r="F2387" s="4" t="str">
        <x:v>Record captured</x:v>
      </x:c>
      <x:c r="G2387" s="4" t="str">
        <x:v>Handed over</x:v>
      </x:c>
    </x:row>
    <x:row r="2388" ht="34" customHeight="1">
      <x:c r="A2388" s="4" t="str">
        <x:v>RS-02387-E1</x:v>
      </x:c>
      <x:c r="B2388" s="4" t="str">
        <x:v>RS-02387</x:v>
      </x:c>
      <x:c r="C2388" s="8" t="n">
        <x:v>45419</x:v>
      </x:c>
      <x:c r="D2388" s="4" t="str">
        <x:v>Sales operations manager</x:v>
      </x:c>
      <x:c r="E2388" s="4" t="str">
        <x:v>ERP form</x:v>
      </x:c>
      <x:c r="F2388" s="4" t="str">
        <x:v>Record captured</x:v>
      </x:c>
      <x:c r="G2388" s="4" t="str">
        <x:v>Enquiry</x:v>
      </x:c>
    </x:row>
    <x:row r="2389" ht="34" customHeight="1">
      <x:c r="A2389" s="4" t="str">
        <x:v>RS-02388-E1</x:v>
      </x:c>
      <x:c r="B2389" s="4" t="str">
        <x:v>RS-02388</x:v>
      </x:c>
      <x:c r="C2389" s="8" t="n">
        <x:v>45420</x:v>
      </x:c>
      <x:c r="D2389" s="4" t="str">
        <x:v>Sales operations manager</x:v>
      </x:c>
      <x:c r="E2389" s="4" t="str">
        <x:v>Spreadsheet import</x:v>
      </x:c>
      <x:c r="F2389" s="4" t="str">
        <x:v>Record captured</x:v>
      </x:c>
      <x:c r="G2389" s="4" t="str">
        <x:v>Enquiry</x:v>
      </x:c>
    </x:row>
    <x:row r="2390" ht="34" customHeight="1">
      <x:c r="A2390" s="4" t="str">
        <x:v>RS-02389-E1</x:v>
      </x:c>
      <x:c r="B2390" s="4" t="str">
        <x:v>RS-02389</x:v>
      </x:c>
      <x:c r="C2390" s="8" t="n">
        <x:v>45421</x:v>
      </x:c>
      <x:c r="D2390" s="4" t="str">
        <x:v>Sales operations manager</x:v>
      </x:c>
      <x:c r="E2390" s="4" t="str">
        <x:v>Spreadsheet import</x:v>
      </x:c>
      <x:c r="F2390" s="4" t="str">
        <x:v>Record captured</x:v>
      </x:c>
      <x:c r="G2390" s="4" t="str">
        <x:v>Enquiry</x:v>
      </x:c>
    </x:row>
    <x:row r="2391" ht="34" customHeight="1">
      <x:c r="A2391" s="4" t="str">
        <x:v>RS-02390-E1</x:v>
      </x:c>
      <x:c r="B2391" s="4" t="str">
        <x:v>RS-02390</x:v>
      </x:c>
      <x:c r="C2391" s="8" t="n">
        <x:v>45422</x:v>
      </x:c>
      <x:c r="D2391" s="4" t="str">
        <x:v>Sales operations manager</x:v>
      </x:c>
      <x:c r="E2391" s="4" t="str">
        <x:v>WhatsApp transcribed</x:v>
      </x:c>
      <x:c r="F2391" s="4" t="str">
        <x:v>Record captured</x:v>
      </x:c>
      <x:c r="G2391" s="4" t="str">
        <x:v>Handed over</x:v>
      </x:c>
    </x:row>
    <x:row r="2392" ht="34" customHeight="1">
      <x:c r="A2392" s="4" t="str">
        <x:v>RS-02391-E1</x:v>
      </x:c>
      <x:c r="B2392" s="4" t="str">
        <x:v>RS-02391</x:v>
      </x:c>
      <x:c r="C2392" s="8" t="n">
        <x:v>45423</x:v>
      </x:c>
      <x:c r="D2392" s="4" t="str">
        <x:v>Sales operations manager</x:v>
      </x:c>
      <x:c r="E2392" s="4" t="str">
        <x:v>Paper transcribed</x:v>
      </x:c>
      <x:c r="F2392" s="4" t="str">
        <x:v>Record captured</x:v>
      </x:c>
      <x:c r="G2392" s="4" t="str">
        <x:v>Handed over</x:v>
      </x:c>
    </x:row>
    <x:row r="2393" ht="34" customHeight="1">
      <x:c r="A2393" s="4" t="str">
        <x:v>RS-02392-E1</x:v>
      </x:c>
      <x:c r="B2393" s="4" t="str">
        <x:v>RS-02392</x:v>
      </x:c>
      <x:c r="C2393" s="8" t="n">
        <x:v>45424</x:v>
      </x:c>
      <x:c r="D2393" s="4" t="str">
        <x:v>Sales operations manager</x:v>
      </x:c>
      <x:c r="E2393" s="4" t="str">
        <x:v>Paper transcribed</x:v>
      </x:c>
      <x:c r="F2393" s="4" t="str">
        <x:v>Record captured</x:v>
      </x:c>
      <x:c r="G2393" s="4" t="str">
        <x:v>Cancelled</x:v>
      </x:c>
    </x:row>
    <x:row r="2394" ht="34" customHeight="1">
      <x:c r="A2394" s="4" t="str">
        <x:v>RS-02393-E1</x:v>
      </x:c>
      <x:c r="B2394" s="4" t="str">
        <x:v>RS-02393</x:v>
      </x:c>
      <x:c r="C2394" s="8" t="n">
        <x:v>45425</x:v>
      </x:c>
      <x:c r="D2394" s="4" t="str">
        <x:v>Sales operations manager</x:v>
      </x:c>
      <x:c r="E2394" s="4" t="str">
        <x:v>Spreadsheet import</x:v>
      </x:c>
      <x:c r="F2394" s="4" t="str">
        <x:v>Record captured</x:v>
      </x:c>
      <x:c r="G2394" s="4" t="str">
        <x:v>Cancelled</x:v>
      </x:c>
    </x:row>
    <x:row r="2395" ht="34" customHeight="1">
      <x:c r="A2395" s="4" t="str">
        <x:v>RS-02394-E1</x:v>
      </x:c>
      <x:c r="B2395" s="4" t="str">
        <x:v>RS-02394</x:v>
      </x:c>
      <x:c r="C2395" s="8" t="n">
        <x:v>45426</x:v>
      </x:c>
      <x:c r="D2395" s="4" t="str">
        <x:v>Sales operations manager</x:v>
      </x:c>
      <x:c r="E2395" s="4" t="str">
        <x:v>Paper transcribed</x:v>
      </x:c>
      <x:c r="F2395" s="4" t="str">
        <x:v>Record captured</x:v>
      </x:c>
      <x:c r="G2395" s="4" t="str">
        <x:v>Booked</x:v>
      </x:c>
    </x:row>
    <x:row r="2396" ht="34" customHeight="1">
      <x:c r="A2396" s="4" t="str">
        <x:v>RS-02395-E1</x:v>
      </x:c>
      <x:c r="B2396" s="4" t="str">
        <x:v>RS-02395</x:v>
      </x:c>
      <x:c r="C2396" s="8" t="n">
        <x:v>45427</x:v>
      </x:c>
      <x:c r="D2396" s="4" t="str">
        <x:v>Sales operations manager</x:v>
      </x:c>
      <x:c r="E2396" s="4" t="str">
        <x:v>ERP form</x:v>
      </x:c>
      <x:c r="F2396" s="4" t="str">
        <x:v>Record captured</x:v>
      </x:c>
      <x:c r="G2396" s="4" t="str">
        <x:v>Reserved</x:v>
      </x:c>
    </x:row>
    <x:row r="2397" ht="34" customHeight="1">
      <x:c r="A2397" s="4" t="str">
        <x:v>RS-02396-E1</x:v>
      </x:c>
      <x:c r="B2397" s="4" t="str">
        <x:v>RS-02396</x:v>
      </x:c>
      <x:c r="C2397" s="8" t="n">
        <x:v>45428</x:v>
      </x:c>
      <x:c r="D2397" s="4" t="str">
        <x:v>Sales operations manager</x:v>
      </x:c>
      <x:c r="E2397" s="4" t="str">
        <x:v>WhatsApp transcribed</x:v>
      </x:c>
      <x:c r="F2397" s="4" t="str">
        <x:v>Record captured</x:v>
      </x:c>
      <x:c r="G2397" s="4" t="str">
        <x:v>Agreement signed</x:v>
      </x:c>
    </x:row>
    <x:row r="2398" ht="34" customHeight="1">
      <x:c r="A2398" s="4" t="str">
        <x:v>RS-02397-E1</x:v>
      </x:c>
      <x:c r="B2398" s="4" t="str">
        <x:v>RS-02397</x:v>
      </x:c>
      <x:c r="C2398" s="8" t="n">
        <x:v>45429</x:v>
      </x:c>
      <x:c r="D2398" s="4" t="str">
        <x:v>Sales operations manager</x:v>
      </x:c>
      <x:c r="E2398" s="4" t="str">
        <x:v>Spreadsheet import</x:v>
      </x:c>
      <x:c r="F2398" s="4" t="str">
        <x:v>Record captured</x:v>
      </x:c>
      <x:c r="G2398" s="4" t="str">
        <x:v>Booked</x:v>
      </x:c>
    </x:row>
    <x:row r="2399" ht="34" customHeight="1">
      <x:c r="A2399" s="4" t="str">
        <x:v>RS-02398-E1</x:v>
      </x:c>
      <x:c r="B2399" s="4" t="str">
        <x:v>RS-02398</x:v>
      </x:c>
      <x:c r="C2399" s="8" t="n">
        <x:v>45430</x:v>
      </x:c>
      <x:c r="D2399" s="4" t="str">
        <x:v>Sales operations manager</x:v>
      </x:c>
      <x:c r="E2399" s="4" t="str">
        <x:v>ERP form</x:v>
      </x:c>
      <x:c r="F2399" s="4" t="str">
        <x:v>Record captured</x:v>
      </x:c>
      <x:c r="G2399" s="4" t="str">
        <x:v>Reserved</x:v>
      </x:c>
    </x:row>
    <x:row r="2400" ht="34" customHeight="1">
      <x:c r="A2400" s="4" t="str">
        <x:v>RS-02399-E1</x:v>
      </x:c>
      <x:c r="B2400" s="4" t="str">
        <x:v>RS-02399</x:v>
      </x:c>
      <x:c r="C2400" s="8" t="n">
        <x:v>45431</x:v>
      </x:c>
      <x:c r="D2400" s="4" t="str">
        <x:v>Sales operations manager</x:v>
      </x:c>
      <x:c r="E2400" s="4" t="str">
        <x:v>Spreadsheet import</x:v>
      </x:c>
      <x:c r="F2400" s="4" t="str">
        <x:v>Record captured</x:v>
      </x:c>
      <x:c r="G2400" s="4" t="str">
        <x:v>Agreement signed</x:v>
      </x:c>
    </x:row>
    <x:row r="2401" ht="34" customHeight="1">
      <x:c r="A2401" s="4" t="str">
        <x:v>RS-02400-E1</x:v>
      </x:c>
      <x:c r="B2401" s="4" t="str">
        <x:v>RS-02400</x:v>
      </x:c>
      <x:c r="C2401" s="8" t="n">
        <x:v>45432</x:v>
      </x:c>
      <x:c r="D2401" s="4" t="str">
        <x:v>Sales operations manager</x:v>
      </x:c>
      <x:c r="E2401" s="4" t="str">
        <x:v>Spreadsheet import</x:v>
      </x:c>
      <x:c r="F2401" s="4" t="str">
        <x:v>Record captured</x:v>
      </x:c>
      <x:c r="G2401" s="4" t="str">
        <x:v>Booked</x:v>
      </x:c>
    </x:row>
    <x:row r="2402" ht="34" customHeight="1">
      <x:c r="A2402" s="4" t="str">
        <x:v>RS-02401-E1</x:v>
      </x:c>
      <x:c r="B2402" s="4" t="str">
        <x:v>RS-02401</x:v>
      </x:c>
      <x:c r="C2402" s="8" t="n">
        <x:v>45433</x:v>
      </x:c>
      <x:c r="D2402" s="4" t="str">
        <x:v>Sales operations manager</x:v>
      </x:c>
      <x:c r="E2402" s="4" t="str">
        <x:v>ERP form</x:v>
      </x:c>
      <x:c r="F2402" s="4" t="str">
        <x:v>Record captured</x:v>
      </x:c>
      <x:c r="G2402" s="4" t="str">
        <x:v>Booked</x:v>
      </x:c>
    </x:row>
    <x:row r="2403" ht="34" customHeight="1">
      <x:c r="A2403" s="4" t="str">
        <x:v>RS-02402-E1</x:v>
      </x:c>
      <x:c r="B2403" s="4" t="str">
        <x:v>RS-02402</x:v>
      </x:c>
      <x:c r="C2403" s="8" t="n">
        <x:v>45434</x:v>
      </x:c>
      <x:c r="D2403" s="4" t="str">
        <x:v>Sales operations manager</x:v>
      </x:c>
      <x:c r="E2403" s="4" t="str">
        <x:v>ERP form</x:v>
      </x:c>
      <x:c r="F2403" s="4" t="str">
        <x:v>Record captured</x:v>
      </x:c>
      <x:c r="G2403" s="4" t="str">
        <x:v>Cancelled</x:v>
      </x:c>
    </x:row>
    <x:row r="2404" ht="34" customHeight="1">
      <x:c r="A2404" s="4" t="str">
        <x:v>RS-02403-E1</x:v>
      </x:c>
      <x:c r="B2404" s="4" t="str">
        <x:v>RS-02403</x:v>
      </x:c>
      <x:c r="C2404" s="8" t="n">
        <x:v>45435</x:v>
      </x:c>
      <x:c r="D2404" s="4" t="str">
        <x:v>Sales operations manager</x:v>
      </x:c>
      <x:c r="E2404" s="4" t="str">
        <x:v>WhatsApp transcribed</x:v>
      </x:c>
      <x:c r="F2404" s="4" t="str">
        <x:v>Record captured</x:v>
      </x:c>
      <x:c r="G2404" s="4" t="str">
        <x:v>Handed over</x:v>
      </x:c>
    </x:row>
    <x:row r="2405" ht="34" customHeight="1">
      <x:c r="A2405" s="4" t="str">
        <x:v>RS-02404-E1</x:v>
      </x:c>
      <x:c r="B2405" s="4" t="str">
        <x:v>RS-02404</x:v>
      </x:c>
      <x:c r="C2405" s="8" t="n">
        <x:v>45436</x:v>
      </x:c>
      <x:c r="D2405" s="4" t="str">
        <x:v>Sales operations manager</x:v>
      </x:c>
      <x:c r="E2405" s="4" t="str">
        <x:v>WhatsApp transcribed</x:v>
      </x:c>
      <x:c r="F2405" s="4" t="str">
        <x:v>Record captured</x:v>
      </x:c>
      <x:c r="G2405" s="4" t="str">
        <x:v>Agreement signed</x:v>
      </x:c>
    </x:row>
    <x:row r="2406" ht="34" customHeight="1">
      <x:c r="A2406" s="4" t="str">
        <x:v>RS-02405-E1</x:v>
      </x:c>
      <x:c r="B2406" s="4" t="str">
        <x:v>RS-02405</x:v>
      </x:c>
      <x:c r="C2406" s="8" t="n">
        <x:v>45437</x:v>
      </x:c>
      <x:c r="D2406" s="4" t="str">
        <x:v>Sales operations manager</x:v>
      </x:c>
      <x:c r="E2406" s="4" t="str">
        <x:v>WhatsApp transcribed</x:v>
      </x:c>
      <x:c r="F2406" s="4" t="str">
        <x:v>Record captured</x:v>
      </x:c>
      <x:c r="G2406" s="4" t="str">
        <x:v>Agreement signed</x:v>
      </x:c>
    </x:row>
    <x:row r="2407" ht="34" customHeight="1">
      <x:c r="A2407" s="4" t="str">
        <x:v>RS-02406-E1</x:v>
      </x:c>
      <x:c r="B2407" s="4" t="str">
        <x:v>RS-02406</x:v>
      </x:c>
      <x:c r="C2407" s="8" t="n">
        <x:v>45438</x:v>
      </x:c>
      <x:c r="D2407" s="4" t="str">
        <x:v>Sales operations manager</x:v>
      </x:c>
      <x:c r="E2407" s="4" t="str">
        <x:v>WhatsApp transcribed</x:v>
      </x:c>
      <x:c r="F2407" s="4" t="str">
        <x:v>Record captured</x:v>
      </x:c>
      <x:c r="G2407" s="4" t="str">
        <x:v>Agreement signed</x:v>
      </x:c>
    </x:row>
    <x:row r="2408" ht="34" customHeight="1">
      <x:c r="A2408" s="4" t="str">
        <x:v>RS-02407-E1</x:v>
      </x:c>
      <x:c r="B2408" s="4" t="str">
        <x:v>RS-02407</x:v>
      </x:c>
      <x:c r="C2408" s="8" t="n">
        <x:v>45439</x:v>
      </x:c>
      <x:c r="D2408" s="4" t="str">
        <x:v>Sales operations manager</x:v>
      </x:c>
      <x:c r="E2408" s="4" t="str">
        <x:v>Paper transcribed</x:v>
      </x:c>
      <x:c r="F2408" s="4" t="str">
        <x:v>Record captured</x:v>
      </x:c>
      <x:c r="G2408" s="4" t="str">
        <x:v>Enquiry</x:v>
      </x:c>
    </x:row>
    <x:row r="2409" ht="34" customHeight="1">
      <x:c r="A2409" s="4" t="str">
        <x:v>RS-02408-E1</x:v>
      </x:c>
      <x:c r="B2409" s="4" t="str">
        <x:v>RS-02408</x:v>
      </x:c>
      <x:c r="C2409" s="8" t="n">
        <x:v>45440</x:v>
      </x:c>
      <x:c r="D2409" s="4" t="str">
        <x:v>Sales operations manager</x:v>
      </x:c>
      <x:c r="E2409" s="4" t="str">
        <x:v>ERP form</x:v>
      </x:c>
      <x:c r="F2409" s="4" t="str">
        <x:v>Record captured</x:v>
      </x:c>
      <x:c r="G2409" s="4" t="str">
        <x:v>Reserved</x:v>
      </x:c>
    </x:row>
    <x:row r="2410" ht="34" customHeight="1">
      <x:c r="A2410" s="4" t="str">
        <x:v>RS-02409-E1</x:v>
      </x:c>
      <x:c r="B2410" s="4" t="str">
        <x:v>RS-02409</x:v>
      </x:c>
      <x:c r="C2410" s="8" t="n">
        <x:v>45413</x:v>
      </x:c>
      <x:c r="D2410" s="4" t="str">
        <x:v>Sales operations manager</x:v>
      </x:c>
      <x:c r="E2410" s="4" t="str">
        <x:v>Paper transcribed</x:v>
      </x:c>
      <x:c r="F2410" s="4" t="str">
        <x:v>Record captured</x:v>
      </x:c>
      <x:c r="G2410" s="4" t="str">
        <x:v>Booked</x:v>
      </x:c>
    </x:row>
    <x:row r="2411" ht="34" customHeight="1">
      <x:c r="A2411" s="4" t="str">
        <x:v>RS-02410-E1</x:v>
      </x:c>
      <x:c r="B2411" s="4" t="str">
        <x:v>RS-02410</x:v>
      </x:c>
      <x:c r="C2411" s="8" t="n">
        <x:v>45414</x:v>
      </x:c>
      <x:c r="D2411" s="4" t="str">
        <x:v>Sales operations manager</x:v>
      </x:c>
      <x:c r="E2411" s="4" t="str">
        <x:v>Spreadsheet import</x:v>
      </x:c>
      <x:c r="F2411" s="4" t="str">
        <x:v>Record captured</x:v>
      </x:c>
      <x:c r="G2411" s="4" t="str">
        <x:v>Agreement signed</x:v>
      </x:c>
    </x:row>
    <x:row r="2412" ht="34" customHeight="1">
      <x:c r="A2412" s="4" t="str">
        <x:v>RS-02411-E1</x:v>
      </x:c>
      <x:c r="B2412" s="4" t="str">
        <x:v>RS-02411</x:v>
      </x:c>
      <x:c r="C2412" s="8" t="n">
        <x:v>45415</x:v>
      </x:c>
      <x:c r="D2412" s="4" t="str">
        <x:v>Sales operations manager</x:v>
      </x:c>
      <x:c r="E2412" s="4" t="str">
        <x:v>Spreadsheet import</x:v>
      </x:c>
      <x:c r="F2412" s="4" t="str">
        <x:v>Record captured</x:v>
      </x:c>
      <x:c r="G2412" s="4" t="str">
        <x:v>Cancelled</x:v>
      </x:c>
    </x:row>
    <x:row r="2413" ht="34" customHeight="1">
      <x:c r="A2413" s="4" t="str">
        <x:v>RS-02412-E1</x:v>
      </x:c>
      <x:c r="B2413" s="4" t="str">
        <x:v>RS-02412</x:v>
      </x:c>
      <x:c r="C2413" s="8" t="n">
        <x:v>45416</x:v>
      </x:c>
      <x:c r="D2413" s="4" t="str">
        <x:v>Sales operations manager</x:v>
      </x:c>
      <x:c r="E2413" s="4" t="str">
        <x:v>Spreadsheet import</x:v>
      </x:c>
      <x:c r="F2413" s="4" t="str">
        <x:v>Record captured</x:v>
      </x:c>
      <x:c r="G2413" s="4" t="str">
        <x:v>Booked</x:v>
      </x:c>
    </x:row>
    <x:row r="2414" ht="34" customHeight="1">
      <x:c r="A2414" s="4" t="str">
        <x:v>RS-02413-E1</x:v>
      </x:c>
      <x:c r="B2414" s="4" t="str">
        <x:v>RS-02413</x:v>
      </x:c>
      <x:c r="C2414" s="8" t="n">
        <x:v>45417</x:v>
      </x:c>
      <x:c r="D2414" s="4" t="str">
        <x:v>Sales operations manager</x:v>
      </x:c>
      <x:c r="E2414" s="4" t="str">
        <x:v>Spreadsheet import</x:v>
      </x:c>
      <x:c r="F2414" s="4" t="str">
        <x:v>Record captured</x:v>
      </x:c>
      <x:c r="G2414" s="4" t="str">
        <x:v>Agreement signed</x:v>
      </x:c>
    </x:row>
    <x:row r="2415" ht="34" customHeight="1">
      <x:c r="A2415" s="4" t="str">
        <x:v>RS-02414-E1</x:v>
      </x:c>
      <x:c r="B2415" s="4" t="str">
        <x:v>RS-02414</x:v>
      </x:c>
      <x:c r="C2415" s="8" t="n">
        <x:v>45418</x:v>
      </x:c>
      <x:c r="D2415" s="4" t="str">
        <x:v>Sales operations manager</x:v>
      </x:c>
      <x:c r="E2415" s="4" t="str">
        <x:v>Paper transcribed</x:v>
      </x:c>
      <x:c r="F2415" s="4" t="str">
        <x:v>Record captured</x:v>
      </x:c>
      <x:c r="G2415" s="4" t="str">
        <x:v>Agreement signed</x:v>
      </x:c>
    </x:row>
    <x:row r="2416" ht="34" customHeight="1">
      <x:c r="A2416" s="4" t="str">
        <x:v>RS-02415-E1</x:v>
      </x:c>
      <x:c r="B2416" s="4" t="str">
        <x:v>RS-02415</x:v>
      </x:c>
      <x:c r="C2416" s="8" t="n">
        <x:v>45419</x:v>
      </x:c>
      <x:c r="D2416" s="4" t="str">
        <x:v>Sales operations manager</x:v>
      </x:c>
      <x:c r="E2416" s="4" t="str">
        <x:v>ERP form</x:v>
      </x:c>
      <x:c r="F2416" s="4" t="str">
        <x:v>Record captured</x:v>
      </x:c>
      <x:c r="G2416" s="4" t="str">
        <x:v>Booked</x:v>
      </x:c>
    </x:row>
    <x:row r="2417" ht="34" customHeight="1">
      <x:c r="A2417" s="4" t="str">
        <x:v>RS-02416-E1</x:v>
      </x:c>
      <x:c r="B2417" s="4" t="str">
        <x:v>RS-02416</x:v>
      </x:c>
      <x:c r="C2417" s="8" t="n">
        <x:v>45420</x:v>
      </x:c>
      <x:c r="D2417" s="4" t="str">
        <x:v>Sales operations manager</x:v>
      </x:c>
      <x:c r="E2417" s="4" t="str">
        <x:v>Paper transcribed</x:v>
      </x:c>
      <x:c r="F2417" s="4" t="str">
        <x:v>Record captured</x:v>
      </x:c>
      <x:c r="G2417" s="4" t="str">
        <x:v>Handed over</x:v>
      </x:c>
    </x:row>
    <x:row r="2418" ht="34" customHeight="1">
      <x:c r="A2418" s="4" t="str">
        <x:v>RS-02417-E1</x:v>
      </x:c>
      <x:c r="B2418" s="4" t="str">
        <x:v>RS-02417</x:v>
      </x:c>
      <x:c r="C2418" s="8" t="n">
        <x:v>45421</x:v>
      </x:c>
      <x:c r="D2418" s="4" t="str">
        <x:v>Sales operations manager</x:v>
      </x:c>
      <x:c r="E2418" s="4" t="str">
        <x:v>WhatsApp transcribed</x:v>
      </x:c>
      <x:c r="F2418" s="4" t="str">
        <x:v>Record captured</x:v>
      </x:c>
      <x:c r="G2418" s="4" t="str">
        <x:v>Agreement signed</x:v>
      </x:c>
    </x:row>
    <x:row r="2419" ht="34" customHeight="1">
      <x:c r="A2419" s="4" t="str">
        <x:v>RS-02418-E1</x:v>
      </x:c>
      <x:c r="B2419" s="4" t="str">
        <x:v>RS-02418</x:v>
      </x:c>
      <x:c r="C2419" s="8" t="n">
        <x:v>45422</x:v>
      </x:c>
      <x:c r="D2419" s="4" t="str">
        <x:v>Sales operations manager</x:v>
      </x:c>
      <x:c r="E2419" s="4" t="str">
        <x:v>Paper transcribed</x:v>
      </x:c>
      <x:c r="F2419" s="4" t="str">
        <x:v>Record captured</x:v>
      </x:c>
      <x:c r="G2419" s="4" t="str">
        <x:v>Cancelled</x:v>
      </x:c>
    </x:row>
    <x:row r="2420" ht="34" customHeight="1">
      <x:c r="A2420" s="4" t="str">
        <x:v>RS-02419-E1</x:v>
      </x:c>
      <x:c r="B2420" s="4" t="str">
        <x:v>RS-02419</x:v>
      </x:c>
      <x:c r="C2420" s="8" t="n">
        <x:v>45423</x:v>
      </x:c>
      <x:c r="D2420" s="4" t="str">
        <x:v>Sales operations manager</x:v>
      </x:c>
      <x:c r="E2420" s="4" t="str">
        <x:v>Paper transcribed</x:v>
      </x:c>
      <x:c r="F2420" s="4" t="str">
        <x:v>Record captured</x:v>
      </x:c>
      <x:c r="G2420" s="4" t="str">
        <x:v>Cancelled</x:v>
      </x:c>
    </x:row>
    <x:row r="2421" ht="34" customHeight="1">
      <x:c r="A2421" s="4" t="str">
        <x:v>RS-02420-E1</x:v>
      </x:c>
      <x:c r="B2421" s="4" t="str">
        <x:v>RS-02420</x:v>
      </x:c>
      <x:c r="C2421" s="8" t="n">
        <x:v>45424</x:v>
      </x:c>
      <x:c r="D2421" s="4" t="str">
        <x:v>Sales operations manager</x:v>
      </x:c>
      <x:c r="E2421" s="4" t="str">
        <x:v>WhatsApp transcribed</x:v>
      </x:c>
      <x:c r="F2421" s="4" t="str">
        <x:v>Record captured</x:v>
      </x:c>
      <x:c r="G2421" s="4" t="str">
        <x:v>Reserved</x:v>
      </x:c>
    </x:row>
    <x:row r="2422" ht="34" customHeight="1">
      <x:c r="A2422" s="4" t="str">
        <x:v>RS-02421-E1</x:v>
      </x:c>
      <x:c r="B2422" s="4" t="str">
        <x:v>RS-02421</x:v>
      </x:c>
      <x:c r="C2422" s="8" t="n">
        <x:v>45425</x:v>
      </x:c>
      <x:c r="D2422" s="4" t="str">
        <x:v>Sales operations manager</x:v>
      </x:c>
      <x:c r="E2422" s="4" t="str">
        <x:v>Paper transcribed</x:v>
      </x:c>
      <x:c r="F2422" s="4" t="str">
        <x:v>Record captured</x:v>
      </x:c>
      <x:c r="G2422" s="4" t="str">
        <x:v>Handed over</x:v>
      </x:c>
    </x:row>
    <x:row r="2423" ht="34" customHeight="1">
      <x:c r="A2423" s="4" t="str">
        <x:v>RS-02422-E1</x:v>
      </x:c>
      <x:c r="B2423" s="4" t="str">
        <x:v>RS-02422</x:v>
      </x:c>
      <x:c r="C2423" s="8" t="n">
        <x:v>45426</x:v>
      </x:c>
      <x:c r="D2423" s="4" t="str">
        <x:v>Sales operations manager</x:v>
      </x:c>
      <x:c r="E2423" s="4" t="str">
        <x:v>Spreadsheet import</x:v>
      </x:c>
      <x:c r="F2423" s="4" t="str">
        <x:v>Record captured</x:v>
      </x:c>
      <x:c r="G2423" s="4" t="str">
        <x:v>Cancelled</x:v>
      </x:c>
    </x:row>
    <x:row r="2424" ht="34" customHeight="1">
      <x:c r="A2424" s="4" t="str">
        <x:v>RS-02423-E1</x:v>
      </x:c>
      <x:c r="B2424" s="4" t="str">
        <x:v>RS-02423</x:v>
      </x:c>
      <x:c r="C2424" s="8" t="n">
        <x:v>45427</x:v>
      </x:c>
      <x:c r="D2424" s="4" t="str">
        <x:v>Sales operations manager</x:v>
      </x:c>
      <x:c r="E2424" s="4" t="str">
        <x:v>Spreadsheet import</x:v>
      </x:c>
      <x:c r="F2424" s="4" t="str">
        <x:v>Record captured</x:v>
      </x:c>
      <x:c r="G2424" s="4" t="str">
        <x:v>Reserved</x:v>
      </x:c>
    </x:row>
    <x:row r="2425" ht="34" customHeight="1">
      <x:c r="A2425" s="4" t="str">
        <x:v>RS-02424-E1</x:v>
      </x:c>
      <x:c r="B2425" s="4" t="str">
        <x:v>RS-02424</x:v>
      </x:c>
      <x:c r="C2425" s="8" t="n">
        <x:v>45428</x:v>
      </x:c>
      <x:c r="D2425" s="4" t="str">
        <x:v>Sales operations manager</x:v>
      </x:c>
      <x:c r="E2425" s="4" t="str">
        <x:v>ERP form</x:v>
      </x:c>
      <x:c r="F2425" s="4" t="str">
        <x:v>Record captured</x:v>
      </x:c>
      <x:c r="G2425" s="4" t="str">
        <x:v>Reserved</x:v>
      </x:c>
    </x:row>
    <x:row r="2426" ht="34" customHeight="1">
      <x:c r="A2426" s="4" t="str">
        <x:v>RS-02425-E1</x:v>
      </x:c>
      <x:c r="B2426" s="4" t="str">
        <x:v>RS-02425</x:v>
      </x:c>
      <x:c r="C2426" s="8" t="n">
        <x:v>45429</x:v>
      </x:c>
      <x:c r="D2426" s="4" t="str">
        <x:v>Sales operations manager</x:v>
      </x:c>
      <x:c r="E2426" s="4" t="str">
        <x:v>ERP form</x:v>
      </x:c>
      <x:c r="F2426" s="4" t="str">
        <x:v>Record captured</x:v>
      </x:c>
      <x:c r="G2426" s="4" t="str">
        <x:v>Booked</x:v>
      </x:c>
    </x:row>
    <x:row r="2427" ht="34" customHeight="1">
      <x:c r="A2427" s="4" t="str">
        <x:v>RS-02426-E1</x:v>
      </x:c>
      <x:c r="B2427" s="4" t="str">
        <x:v>RS-02426</x:v>
      </x:c>
      <x:c r="C2427" s="8" t="n">
        <x:v>45430</x:v>
      </x:c>
      <x:c r="D2427" s="4" t="str">
        <x:v>Sales operations manager</x:v>
      </x:c>
      <x:c r="E2427" s="4" t="str">
        <x:v>Spreadsheet import</x:v>
      </x:c>
      <x:c r="F2427" s="4" t="str">
        <x:v>Record captured</x:v>
      </x:c>
      <x:c r="G2427" s="4" t="str">
        <x:v>Agreement signed</x:v>
      </x:c>
    </x:row>
    <x:row r="2428" ht="34" customHeight="1">
      <x:c r="A2428" s="4" t="str">
        <x:v>RS-02427-E1</x:v>
      </x:c>
      <x:c r="B2428" s="4" t="str">
        <x:v>RS-02427</x:v>
      </x:c>
      <x:c r="C2428" s="8" t="n">
        <x:v>45431</x:v>
      </x:c>
      <x:c r="D2428" s="4" t="str">
        <x:v>Sales operations manager</x:v>
      </x:c>
      <x:c r="E2428" s="4" t="str">
        <x:v>Paper transcribed</x:v>
      </x:c>
      <x:c r="F2428" s="4" t="str">
        <x:v>Record captured</x:v>
      </x:c>
      <x:c r="G2428" s="4" t="str">
        <x:v>Booked</x:v>
      </x:c>
    </x:row>
    <x:row r="2429" ht="34" customHeight="1">
      <x:c r="A2429" s="4" t="str">
        <x:v>RS-02428-E1</x:v>
      </x:c>
      <x:c r="B2429" s="4" t="str">
        <x:v>RS-02428</x:v>
      </x:c>
      <x:c r="C2429" s="8" t="n">
        <x:v>45432</x:v>
      </x:c>
      <x:c r="D2429" s="4" t="str">
        <x:v>Sales operations manager</x:v>
      </x:c>
      <x:c r="E2429" s="4" t="str">
        <x:v>Spreadsheet import</x:v>
      </x:c>
      <x:c r="F2429" s="4" t="str">
        <x:v>Record captured</x:v>
      </x:c>
      <x:c r="G2429" s="4" t="str">
        <x:v>Handed over</x:v>
      </x:c>
    </x:row>
    <x:row r="2430" ht="34" customHeight="1">
      <x:c r="A2430" s="4" t="str">
        <x:v>RS-02429-E1</x:v>
      </x:c>
      <x:c r="B2430" s="4" t="str">
        <x:v>RS-02429</x:v>
      </x:c>
      <x:c r="C2430" s="8" t="n">
        <x:v>45433</x:v>
      </x:c>
      <x:c r="D2430" s="4" t="str">
        <x:v>Sales operations manager</x:v>
      </x:c>
      <x:c r="E2430" s="4" t="str">
        <x:v>Spreadsheet import</x:v>
      </x:c>
      <x:c r="F2430" s="4" t="str">
        <x:v>Record captured</x:v>
      </x:c>
      <x:c r="G2430" s="4" t="str">
        <x:v>Handed over</x:v>
      </x:c>
    </x:row>
    <x:row r="2431" ht="34" customHeight="1">
      <x:c r="A2431" s="4" t="str">
        <x:v>RS-02430-E1</x:v>
      </x:c>
      <x:c r="B2431" s="4" t="str">
        <x:v>RS-02430</x:v>
      </x:c>
      <x:c r="C2431" s="8" t="n">
        <x:v>45434</x:v>
      </x:c>
      <x:c r="D2431" s="4" t="str">
        <x:v>Sales operations manager</x:v>
      </x:c>
      <x:c r="E2431" s="4" t="str">
        <x:v>WhatsApp transcribed</x:v>
      </x:c>
      <x:c r="F2431" s="4" t="str">
        <x:v>Record captured</x:v>
      </x:c>
      <x:c r="G2431" s="4" t="str">
        <x:v>Agreement signed</x:v>
      </x:c>
    </x:row>
    <x:row r="2432" ht="34" customHeight="1">
      <x:c r="A2432" s="4" t="str">
        <x:v>RS-02431-E1</x:v>
      </x:c>
      <x:c r="B2432" s="4" t="str">
        <x:v>RS-02431</x:v>
      </x:c>
      <x:c r="C2432" s="8" t="n">
        <x:v>45435</x:v>
      </x:c>
      <x:c r="D2432" s="4" t="str">
        <x:v>Sales operations manager</x:v>
      </x:c>
      <x:c r="E2432" s="4" t="str">
        <x:v>Spreadsheet import</x:v>
      </x:c>
      <x:c r="F2432" s="4" t="str">
        <x:v>Record captured</x:v>
      </x:c>
      <x:c r="G2432" s="4" t="str">
        <x:v>Reserved</x:v>
      </x:c>
    </x:row>
    <x:row r="2433" ht="34" customHeight="1">
      <x:c r="A2433" s="4" t="str">
        <x:v>RS-02432-E1</x:v>
      </x:c>
      <x:c r="B2433" s="4" t="str">
        <x:v>RS-02432</x:v>
      </x:c>
      <x:c r="C2433" s="8" t="n">
        <x:v>45436</x:v>
      </x:c>
      <x:c r="D2433" s="4" t="str">
        <x:v>Sales operations manager</x:v>
      </x:c>
      <x:c r="E2433" s="4" t="str">
        <x:v>Spreadsheet import</x:v>
      </x:c>
      <x:c r="F2433" s="4" t="str">
        <x:v>Record captured</x:v>
      </x:c>
      <x:c r="G2433" s="4" t="str">
        <x:v>Cancelled</x:v>
      </x:c>
    </x:row>
    <x:row r="2434" ht="34" customHeight="1">
      <x:c r="A2434" s="4" t="str">
        <x:v>RS-02433-E1</x:v>
      </x:c>
      <x:c r="B2434" s="4" t="str">
        <x:v>RS-02433</x:v>
      </x:c>
      <x:c r="C2434" s="8" t="n">
        <x:v>45437</x:v>
      </x:c>
      <x:c r="D2434" s="4" t="str">
        <x:v>Sales operations manager</x:v>
      </x:c>
      <x:c r="E2434" s="4" t="str">
        <x:v>WhatsApp transcribed</x:v>
      </x:c>
      <x:c r="F2434" s="4" t="str">
        <x:v>Record captured</x:v>
      </x:c>
      <x:c r="G2434" s="4" t="str">
        <x:v>Agreement signed</x:v>
      </x:c>
    </x:row>
    <x:row r="2435" ht="34" customHeight="1">
      <x:c r="A2435" s="4" t="str">
        <x:v>RS-02434-E1</x:v>
      </x:c>
      <x:c r="B2435" s="4" t="str">
        <x:v>RS-02434</x:v>
      </x:c>
      <x:c r="C2435" s="8" t="n">
        <x:v>45438</x:v>
      </x:c>
      <x:c r="D2435" s="4" t="str">
        <x:v>Sales operations manager</x:v>
      </x:c>
      <x:c r="E2435" s="4" t="str">
        <x:v>Paper transcribed</x:v>
      </x:c>
      <x:c r="F2435" s="4" t="str">
        <x:v>Record captured</x:v>
      </x:c>
      <x:c r="G2435" s="4" t="str">
        <x:v>Booked</x:v>
      </x:c>
    </x:row>
    <x:row r="2436" ht="34" customHeight="1">
      <x:c r="A2436" s="4" t="str">
        <x:v>RS-02435-E1</x:v>
      </x:c>
      <x:c r="B2436" s="4" t="str">
        <x:v>RS-02435</x:v>
      </x:c>
      <x:c r="C2436" s="8" t="n">
        <x:v>45439</x:v>
      </x:c>
      <x:c r="D2436" s="4" t="str">
        <x:v>Sales operations manager</x:v>
      </x:c>
      <x:c r="E2436" s="4" t="str">
        <x:v>Paper transcribed</x:v>
      </x:c>
      <x:c r="F2436" s="4" t="str">
        <x:v>Record captured</x:v>
      </x:c>
      <x:c r="G2436" s="4" t="str">
        <x:v>Booked</x:v>
      </x:c>
    </x:row>
    <x:row r="2437" ht="34" customHeight="1">
      <x:c r="A2437" s="4" t="str">
        <x:v>RS-02436-E1</x:v>
      </x:c>
      <x:c r="B2437" s="4" t="str">
        <x:v>RS-02436</x:v>
      </x:c>
      <x:c r="C2437" s="8" t="n">
        <x:v>45440</x:v>
      </x:c>
      <x:c r="D2437" s="4" t="str">
        <x:v>Sales operations manager</x:v>
      </x:c>
      <x:c r="E2437" s="4" t="str">
        <x:v>Paper transcribed</x:v>
      </x:c>
      <x:c r="F2437" s="4" t="str">
        <x:v>Record captured</x:v>
      </x:c>
      <x:c r="G2437" s="4" t="str">
        <x:v>Handed over</x:v>
      </x:c>
    </x:row>
    <x:row r="2438" ht="34" customHeight="1">
      <x:c r="A2438" s="4" t="str">
        <x:v>RS-02437-E1</x:v>
      </x:c>
      <x:c r="B2438" s="4" t="str">
        <x:v>RS-02437</x:v>
      </x:c>
      <x:c r="C2438" s="8" t="n">
        <x:v>45413</x:v>
      </x:c>
      <x:c r="D2438" s="4" t="str">
        <x:v>Sales operations manager</x:v>
      </x:c>
      <x:c r="E2438" s="4" t="str">
        <x:v>Spreadsheet import</x:v>
      </x:c>
      <x:c r="F2438" s="4" t="str">
        <x:v>Record captured</x:v>
      </x:c>
      <x:c r="G2438" s="4" t="str">
        <x:v>Handed over</x:v>
      </x:c>
    </x:row>
    <x:row r="2439" ht="34" customHeight="1">
      <x:c r="A2439" s="4" t="str">
        <x:v>RS-02438-E1</x:v>
      </x:c>
      <x:c r="B2439" s="4" t="str">
        <x:v>RS-02438</x:v>
      </x:c>
      <x:c r="C2439" s="8" t="n">
        <x:v>45414</x:v>
      </x:c>
      <x:c r="D2439" s="4" t="str">
        <x:v>Sales operations manager</x:v>
      </x:c>
      <x:c r="E2439" s="4" t="str">
        <x:v>Paper transcribed</x:v>
      </x:c>
      <x:c r="F2439" s="4" t="str">
        <x:v>Record captured</x:v>
      </x:c>
      <x:c r="G2439" s="4" t="str">
        <x:v>Booked</x:v>
      </x:c>
    </x:row>
    <x:row r="2440" ht="34" customHeight="1">
      <x:c r="A2440" s="4" t="str">
        <x:v>RS-02439-E1</x:v>
      </x:c>
      <x:c r="B2440" s="4" t="str">
        <x:v>RS-02439</x:v>
      </x:c>
      <x:c r="C2440" s="8" t="n">
        <x:v>45415</x:v>
      </x:c>
      <x:c r="D2440" s="4" t="str">
        <x:v>Sales operations manager</x:v>
      </x:c>
      <x:c r="E2440" s="4" t="str">
        <x:v>Paper transcribed</x:v>
      </x:c>
      <x:c r="F2440" s="4" t="str">
        <x:v>Record captured</x:v>
      </x:c>
      <x:c r="G2440" s="4" t="str">
        <x:v>Reserved</x:v>
      </x:c>
    </x:row>
    <x:row r="2441" ht="34" customHeight="1">
      <x:c r="A2441" s="4" t="str">
        <x:v>RS-02440-E1</x:v>
      </x:c>
      <x:c r="B2441" s="4" t="str">
        <x:v>RS-02440</x:v>
      </x:c>
      <x:c r="C2441" s="8" t="n">
        <x:v>45416</x:v>
      </x:c>
      <x:c r="D2441" s="4" t="str">
        <x:v>Sales operations manager</x:v>
      </x:c>
      <x:c r="E2441" s="4" t="str">
        <x:v>ERP form</x:v>
      </x:c>
      <x:c r="F2441" s="4" t="str">
        <x:v>Record captured</x:v>
      </x:c>
      <x:c r="G2441" s="4" t="str">
        <x:v>Booked</x:v>
      </x:c>
    </x:row>
    <x:row r="2442" ht="34" customHeight="1">
      <x:c r="A2442" s="4" t="str">
        <x:v>RS-02441-E1</x:v>
      </x:c>
      <x:c r="B2442" s="4" t="str">
        <x:v>RS-02441</x:v>
      </x:c>
      <x:c r="C2442" s="8" t="n">
        <x:v>45417</x:v>
      </x:c>
      <x:c r="D2442" s="4" t="str">
        <x:v>Sales operations manager</x:v>
      </x:c>
      <x:c r="E2442" s="4" t="str">
        <x:v>WhatsApp transcribed</x:v>
      </x:c>
      <x:c r="F2442" s="4" t="str">
        <x:v>Record captured</x:v>
      </x:c>
      <x:c r="G2442" s="4" t="str">
        <x:v>Handed over</x:v>
      </x:c>
    </x:row>
    <x:row r="2443" ht="34" customHeight="1">
      <x:c r="A2443" s="4" t="str">
        <x:v>RS-02442-E1</x:v>
      </x:c>
      <x:c r="B2443" s="4" t="str">
        <x:v>RS-02442</x:v>
      </x:c>
      <x:c r="C2443" s="8" t="n">
        <x:v>45418</x:v>
      </x:c>
      <x:c r="D2443" s="4" t="str">
        <x:v>Sales operations manager</x:v>
      </x:c>
      <x:c r="E2443" s="4" t="str">
        <x:v>ERP form</x:v>
      </x:c>
      <x:c r="F2443" s="4" t="str">
        <x:v>Record captured</x:v>
      </x:c>
      <x:c r="G2443" s="4" t="str">
        <x:v>Handed over</x:v>
      </x:c>
    </x:row>
    <x:row r="2444" ht="34" customHeight="1">
      <x:c r="A2444" s="4" t="str">
        <x:v>RS-02443-E1</x:v>
      </x:c>
      <x:c r="B2444" s="4" t="str">
        <x:v>RS-02443</x:v>
      </x:c>
      <x:c r="C2444" s="8" t="n">
        <x:v>45419</x:v>
      </x:c>
      <x:c r="D2444" s="4" t="str">
        <x:v>Sales operations manager</x:v>
      </x:c>
      <x:c r="E2444" s="4" t="str">
        <x:v>ERP form</x:v>
      </x:c>
      <x:c r="F2444" s="4" t="str">
        <x:v>Record captured</x:v>
      </x:c>
      <x:c r="G2444" s="4" t="str">
        <x:v>Cancelled</x:v>
      </x:c>
    </x:row>
    <x:row r="2445" ht="34" customHeight="1">
      <x:c r="A2445" s="4" t="str">
        <x:v>RS-02444-E1</x:v>
      </x:c>
      <x:c r="B2445" s="4" t="str">
        <x:v>RS-02444</x:v>
      </x:c>
      <x:c r="C2445" s="8" t="n">
        <x:v>45420</x:v>
      </x:c>
      <x:c r="D2445" s="4" t="str">
        <x:v>Sales operations manager</x:v>
      </x:c>
      <x:c r="E2445" s="4" t="str">
        <x:v>Paper transcribed</x:v>
      </x:c>
      <x:c r="F2445" s="4" t="str">
        <x:v>Record captured</x:v>
      </x:c>
      <x:c r="G2445" s="4" t="str">
        <x:v>Cancelled</x:v>
      </x:c>
    </x:row>
    <x:row r="2446" ht="34" customHeight="1">
      <x:c r="A2446" s="4" t="str">
        <x:v>RS-02445-E1</x:v>
      </x:c>
      <x:c r="B2446" s="4" t="str">
        <x:v>RS-02445</x:v>
      </x:c>
      <x:c r="C2446" s="8" t="n">
        <x:v>45421</x:v>
      </x:c>
      <x:c r="D2446" s="4" t="str">
        <x:v>Sales operations manager</x:v>
      </x:c>
      <x:c r="E2446" s="4" t="str">
        <x:v>Spreadsheet import</x:v>
      </x:c>
      <x:c r="F2446" s="4" t="str">
        <x:v>Record captured</x:v>
      </x:c>
      <x:c r="G2446" s="4" t="str">
        <x:v>Booked</x:v>
      </x:c>
    </x:row>
    <x:row r="2447" ht="34" customHeight="1">
      <x:c r="A2447" s="4" t="str">
        <x:v>RS-02446-E1</x:v>
      </x:c>
      <x:c r="B2447" s="4" t="str">
        <x:v>RS-02446</x:v>
      </x:c>
      <x:c r="C2447" s="8" t="n">
        <x:v>45422</x:v>
      </x:c>
      <x:c r="D2447" s="4" t="str">
        <x:v>Sales operations manager</x:v>
      </x:c>
      <x:c r="E2447" s="4" t="str">
        <x:v>ERP form</x:v>
      </x:c>
      <x:c r="F2447" s="4" t="str">
        <x:v>Record captured</x:v>
      </x:c>
      <x:c r="G2447" s="4" t="str">
        <x:v>Agreement signed</x:v>
      </x:c>
    </x:row>
    <x:row r="2448" ht="34" customHeight="1">
      <x:c r="A2448" s="4" t="str">
        <x:v>RS-02447-E1</x:v>
      </x:c>
      <x:c r="B2448" s="4" t="str">
        <x:v>RS-02447</x:v>
      </x:c>
      <x:c r="C2448" s="8" t="n">
        <x:v>45423</x:v>
      </x:c>
      <x:c r="D2448" s="4" t="str">
        <x:v>Sales operations manager</x:v>
      </x:c>
      <x:c r="E2448" s="4" t="str">
        <x:v>ERP form</x:v>
      </x:c>
      <x:c r="F2448" s="4" t="str">
        <x:v>Record captured</x:v>
      </x:c>
      <x:c r="G2448" s="4" t="str">
        <x:v>Agreement signed</x:v>
      </x:c>
    </x:row>
    <x:row r="2449" ht="34" customHeight="1">
      <x:c r="A2449" s="4" t="str">
        <x:v>RS-02448-E1</x:v>
      </x:c>
      <x:c r="B2449" s="4" t="str">
        <x:v>RS-02448</x:v>
      </x:c>
      <x:c r="C2449" s="8" t="n">
        <x:v>45424</x:v>
      </x:c>
      <x:c r="D2449" s="4" t="str">
        <x:v>Sales operations manager</x:v>
      </x:c>
      <x:c r="E2449" s="4" t="str">
        <x:v>WhatsApp transcribed</x:v>
      </x:c>
      <x:c r="F2449" s="4" t="str">
        <x:v>Record captured</x:v>
      </x:c>
      <x:c r="G2449" s="4" t="str">
        <x:v>Agreement signed</x:v>
      </x:c>
    </x:row>
    <x:row r="2450" ht="34" customHeight="1">
      <x:c r="A2450" s="4" t="str">
        <x:v>RS-02449-E1</x:v>
      </x:c>
      <x:c r="B2450" s="4" t="str">
        <x:v>RS-02449</x:v>
      </x:c>
      <x:c r="C2450" s="8" t="n">
        <x:v>45425</x:v>
      </x:c>
      <x:c r="D2450" s="4" t="str">
        <x:v>Sales operations manager</x:v>
      </x:c>
      <x:c r="E2450" s="4" t="str">
        <x:v>ERP form</x:v>
      </x:c>
      <x:c r="F2450" s="4" t="str">
        <x:v>Record captured</x:v>
      </x:c>
      <x:c r="G2450" s="4" t="str">
        <x:v>Cancelled</x:v>
      </x:c>
    </x:row>
    <x:row r="2451" ht="34" customHeight="1">
      <x:c r="A2451" s="4" t="str">
        <x:v>RS-02450-E1</x:v>
      </x:c>
      <x:c r="B2451" s="4" t="str">
        <x:v>RS-02450</x:v>
      </x:c>
      <x:c r="C2451" s="8" t="n">
        <x:v>45426</x:v>
      </x:c>
      <x:c r="D2451" s="4" t="str">
        <x:v>Sales operations manager</x:v>
      </x:c>
      <x:c r="E2451" s="4" t="str">
        <x:v>Paper transcribed</x:v>
      </x:c>
      <x:c r="F2451" s="4" t="str">
        <x:v>Record captured</x:v>
      </x:c>
      <x:c r="G2451" s="4" t="str">
        <x:v>Agreement signed</x:v>
      </x:c>
    </x:row>
    <x:row r="2452" ht="34" customHeight="1">
      <x:c r="A2452" s="4" t="str">
        <x:v>RS-02451-E1</x:v>
      </x:c>
      <x:c r="B2452" s="4" t="str">
        <x:v>RS-02451</x:v>
      </x:c>
      <x:c r="C2452" s="8" t="n">
        <x:v>45427</x:v>
      </x:c>
      <x:c r="D2452" s="4" t="str">
        <x:v>Sales operations manager</x:v>
      </x:c>
      <x:c r="E2452" s="4" t="str">
        <x:v>Paper transcribed</x:v>
      </x:c>
      <x:c r="F2452" s="4" t="str">
        <x:v>Record captured</x:v>
      </x:c>
      <x:c r="G2452" s="4" t="str">
        <x:v>Handed over</x:v>
      </x:c>
    </x:row>
    <x:row r="2453" ht="34" customHeight="1">
      <x:c r="A2453" s="4" t="str">
        <x:v>RS-02452-E1</x:v>
      </x:c>
      <x:c r="B2453" s="4" t="str">
        <x:v>RS-02452</x:v>
      </x:c>
      <x:c r="C2453" s="8" t="n">
        <x:v>45428</x:v>
      </x:c>
      <x:c r="D2453" s="4" t="str">
        <x:v>Sales operations manager</x:v>
      </x:c>
      <x:c r="E2453" s="4" t="str">
        <x:v>ERP form</x:v>
      </x:c>
      <x:c r="F2453" s="4" t="str">
        <x:v>Record captured</x:v>
      </x:c>
      <x:c r="G2453" s="4" t="str">
        <x:v>Agreement signed</x:v>
      </x:c>
    </x:row>
    <x:row r="2454" ht="34" customHeight="1">
      <x:c r="A2454" s="4" t="str">
        <x:v>RS-02453-E1</x:v>
      </x:c>
      <x:c r="B2454" s="4" t="str">
        <x:v>RS-02453</x:v>
      </x:c>
      <x:c r="C2454" s="8" t="n">
        <x:v>45429</x:v>
      </x:c>
      <x:c r="D2454" s="4" t="str">
        <x:v>Sales operations manager</x:v>
      </x:c>
      <x:c r="E2454" s="4" t="str">
        <x:v>Spreadsheet import</x:v>
      </x:c>
      <x:c r="F2454" s="4" t="str">
        <x:v>Record captured</x:v>
      </x:c>
      <x:c r="G2454" s="4" t="str">
        <x:v>Cancelled</x:v>
      </x:c>
    </x:row>
    <x:row r="2455" ht="34" customHeight="1">
      <x:c r="A2455" s="4" t="str">
        <x:v>RS-02454-E1</x:v>
      </x:c>
      <x:c r="B2455" s="4" t="str">
        <x:v>RS-02454</x:v>
      </x:c>
      <x:c r="C2455" s="8" t="n">
        <x:v>45430</x:v>
      </x:c>
      <x:c r="D2455" s="4" t="str">
        <x:v>Sales operations manager</x:v>
      </x:c>
      <x:c r="E2455" s="4" t="str">
        <x:v>WhatsApp transcribed</x:v>
      </x:c>
      <x:c r="F2455" s="4" t="str">
        <x:v>Record captured</x:v>
      </x:c>
      <x:c r="G2455" s="4" t="str">
        <x:v>Enquiry</x:v>
      </x:c>
    </x:row>
    <x:row r="2456" ht="34" customHeight="1">
      <x:c r="A2456" s="4" t="str">
        <x:v>RS-02455-E1</x:v>
      </x:c>
      <x:c r="B2456" s="4" t="str">
        <x:v>RS-02455</x:v>
      </x:c>
      <x:c r="C2456" s="8" t="n">
        <x:v>45431</x:v>
      </x:c>
      <x:c r="D2456" s="4" t="str">
        <x:v>Sales operations manager</x:v>
      </x:c>
      <x:c r="E2456" s="4" t="str">
        <x:v>Spreadsheet import</x:v>
      </x:c>
      <x:c r="F2456" s="4" t="str">
        <x:v>Record captured</x:v>
      </x:c>
      <x:c r="G2456" s="4" t="str">
        <x:v>Enquiry</x:v>
      </x:c>
    </x:row>
    <x:row r="2457" ht="34" customHeight="1">
      <x:c r="A2457" s="4" t="str">
        <x:v>RS-02456-E1</x:v>
      </x:c>
      <x:c r="B2457" s="4" t="str">
        <x:v>RS-02456</x:v>
      </x:c>
      <x:c r="C2457" s="8" t="n">
        <x:v>45432</x:v>
      </x:c>
      <x:c r="D2457" s="4" t="str">
        <x:v>Sales operations manager</x:v>
      </x:c>
      <x:c r="E2457" s="4" t="str">
        <x:v>Paper transcribed</x:v>
      </x:c>
      <x:c r="F2457" s="4" t="str">
        <x:v>Record captured</x:v>
      </x:c>
      <x:c r="G2457" s="4" t="str">
        <x:v>Handed over</x:v>
      </x:c>
    </x:row>
    <x:row r="2458" ht="34" customHeight="1">
      <x:c r="A2458" s="4" t="str">
        <x:v>RS-02457-E1</x:v>
      </x:c>
      <x:c r="B2458" s="4" t="str">
        <x:v>RS-02457</x:v>
      </x:c>
      <x:c r="C2458" s="8" t="n">
        <x:v>45433</x:v>
      </x:c>
      <x:c r="D2458" s="4" t="str">
        <x:v>Sales operations manager</x:v>
      </x:c>
      <x:c r="E2458" s="4" t="str">
        <x:v>WhatsApp transcribed</x:v>
      </x:c>
      <x:c r="F2458" s="4" t="str">
        <x:v>Record captured</x:v>
      </x:c>
      <x:c r="G2458" s="4" t="str">
        <x:v>Agreement signed</x:v>
      </x:c>
    </x:row>
    <x:row r="2459" ht="34" customHeight="1">
      <x:c r="A2459" s="4" t="str">
        <x:v>RS-02458-E1</x:v>
      </x:c>
      <x:c r="B2459" s="4" t="str">
        <x:v>RS-02458</x:v>
      </x:c>
      <x:c r="C2459" s="8" t="n">
        <x:v>45434</x:v>
      </x:c>
      <x:c r="D2459" s="4" t="str">
        <x:v>Sales operations manager</x:v>
      </x:c>
      <x:c r="E2459" s="4" t="str">
        <x:v>Paper transcribed</x:v>
      </x:c>
      <x:c r="F2459" s="4" t="str">
        <x:v>Record captured</x:v>
      </x:c>
      <x:c r="G2459" s="4" t="str">
        <x:v>Cancelled</x:v>
      </x:c>
    </x:row>
    <x:row r="2460" ht="34" customHeight="1">
      <x:c r="A2460" s="4" t="str">
        <x:v>RS-02459-E1</x:v>
      </x:c>
      <x:c r="B2460" s="4" t="str">
        <x:v>RS-02459</x:v>
      </x:c>
      <x:c r="C2460" s="8" t="n">
        <x:v>45435</x:v>
      </x:c>
      <x:c r="D2460" s="4" t="str">
        <x:v>Sales operations manager</x:v>
      </x:c>
      <x:c r="E2460" s="4" t="str">
        <x:v>WhatsApp transcribed</x:v>
      </x:c>
      <x:c r="F2460" s="4" t="str">
        <x:v>Record captured</x:v>
      </x:c>
      <x:c r="G2460" s="4" t="str">
        <x:v>Cancelled</x:v>
      </x:c>
    </x:row>
    <x:row r="2461" ht="34" customHeight="1">
      <x:c r="A2461" s="4" t="str">
        <x:v>RS-02460-E1</x:v>
      </x:c>
      <x:c r="B2461" s="4" t="str">
        <x:v>RS-02460</x:v>
      </x:c>
      <x:c r="C2461" s="8" t="n">
        <x:v>45436</x:v>
      </x:c>
      <x:c r="D2461" s="4" t="str">
        <x:v>Sales operations manager</x:v>
      </x:c>
      <x:c r="E2461" s="4" t="str">
        <x:v>Spreadsheet import</x:v>
      </x:c>
      <x:c r="F2461" s="4" t="str">
        <x:v>Record captured</x:v>
      </x:c>
      <x:c r="G2461" s="4" t="str">
        <x:v>Enquiry</x:v>
      </x:c>
    </x:row>
    <x:row r="2462" ht="34" customHeight="1">
      <x:c r="A2462" s="4" t="str">
        <x:v>RS-02461-E1</x:v>
      </x:c>
      <x:c r="B2462" s="4" t="str">
        <x:v>RS-02461</x:v>
      </x:c>
      <x:c r="C2462" s="8" t="n">
        <x:v>45437</x:v>
      </x:c>
      <x:c r="D2462" s="4" t="str">
        <x:v>Sales operations manager</x:v>
      </x:c>
      <x:c r="E2462" s="4" t="str">
        <x:v>Paper transcribed</x:v>
      </x:c>
      <x:c r="F2462" s="4" t="str">
        <x:v>Record captured</x:v>
      </x:c>
      <x:c r="G2462" s="4" t="str">
        <x:v>Reserved</x:v>
      </x:c>
    </x:row>
    <x:row r="2463" ht="34" customHeight="1">
      <x:c r="A2463" s="4" t="str">
        <x:v>RS-02462-E1</x:v>
      </x:c>
      <x:c r="B2463" s="4" t="str">
        <x:v>RS-02462</x:v>
      </x:c>
      <x:c r="C2463" s="8" t="n">
        <x:v>45438</x:v>
      </x:c>
      <x:c r="D2463" s="4" t="str">
        <x:v>Sales operations manager</x:v>
      </x:c>
      <x:c r="E2463" s="4" t="str">
        <x:v>WhatsApp transcribed</x:v>
      </x:c>
      <x:c r="F2463" s="4" t="str">
        <x:v>Record captured</x:v>
      </x:c>
      <x:c r="G2463" s="4" t="str">
        <x:v>Cancelled</x:v>
      </x:c>
    </x:row>
    <x:row r="2464" ht="34" customHeight="1">
      <x:c r="A2464" s="4" t="str">
        <x:v>RS-02463-E1</x:v>
      </x:c>
      <x:c r="B2464" s="4" t="str">
        <x:v>RS-02463</x:v>
      </x:c>
      <x:c r="C2464" s="8" t="n">
        <x:v>45439</x:v>
      </x:c>
      <x:c r="D2464" s="4" t="str">
        <x:v>Sales operations manager</x:v>
      </x:c>
      <x:c r="E2464" s="4" t="str">
        <x:v>WhatsApp transcribed</x:v>
      </x:c>
      <x:c r="F2464" s="4" t="str">
        <x:v>Record captured</x:v>
      </x:c>
      <x:c r="G2464" s="4" t="str">
        <x:v>Booked</x:v>
      </x:c>
    </x:row>
    <x:row r="2465" ht="34" customHeight="1">
      <x:c r="A2465" s="4" t="str">
        <x:v>RS-02464-E1</x:v>
      </x:c>
      <x:c r="B2465" s="4" t="str">
        <x:v>RS-02464</x:v>
      </x:c>
      <x:c r="C2465" s="8" t="n">
        <x:v>45440</x:v>
      </x:c>
      <x:c r="D2465" s="4" t="str">
        <x:v>Sales operations manager</x:v>
      </x:c>
      <x:c r="E2465" s="4" t="str">
        <x:v>ERP form</x:v>
      </x:c>
      <x:c r="F2465" s="4" t="str">
        <x:v>Record captured</x:v>
      </x:c>
      <x:c r="G2465" s="4" t="str">
        <x:v>Booked</x:v>
      </x:c>
    </x:row>
    <x:row r="2466" ht="34" customHeight="1">
      <x:c r="A2466" s="4" t="str">
        <x:v>RS-02465-E1</x:v>
      </x:c>
      <x:c r="B2466" s="4" t="str">
        <x:v>RS-02465</x:v>
      </x:c>
      <x:c r="C2466" s="8" t="n">
        <x:v>45413</x:v>
      </x:c>
      <x:c r="D2466" s="4" t="str">
        <x:v>Sales operations manager</x:v>
      </x:c>
      <x:c r="E2466" s="4" t="str">
        <x:v>ERP form</x:v>
      </x:c>
      <x:c r="F2466" s="4" t="str">
        <x:v>Record captured</x:v>
      </x:c>
      <x:c r="G2466" s="4" t="str">
        <x:v>Reserved</x:v>
      </x:c>
    </x:row>
    <x:row r="2467" ht="34" customHeight="1">
      <x:c r="A2467" s="4" t="str">
        <x:v>RS-02466-E1</x:v>
      </x:c>
      <x:c r="B2467" s="4" t="str">
        <x:v>RS-02466</x:v>
      </x:c>
      <x:c r="C2467" s="8" t="n">
        <x:v>45414</x:v>
      </x:c>
      <x:c r="D2467" s="4" t="str">
        <x:v>Sales operations manager</x:v>
      </x:c>
      <x:c r="E2467" s="4" t="str">
        <x:v>WhatsApp transcribed</x:v>
      </x:c>
      <x:c r="F2467" s="4" t="str">
        <x:v>Record captured</x:v>
      </x:c>
      <x:c r="G2467" s="4" t="str">
        <x:v>Booked</x:v>
      </x:c>
    </x:row>
    <x:row r="2468" ht="34" customHeight="1">
      <x:c r="A2468" s="4" t="str">
        <x:v>RS-02467-E1</x:v>
      </x:c>
      <x:c r="B2468" s="4" t="str">
        <x:v>RS-02467</x:v>
      </x:c>
      <x:c r="C2468" s="8" t="n">
        <x:v>45415</x:v>
      </x:c>
      <x:c r="D2468" s="4" t="str">
        <x:v>Sales operations manager</x:v>
      </x:c>
      <x:c r="E2468" s="4" t="str">
        <x:v>Spreadsheet import</x:v>
      </x:c>
      <x:c r="F2468" s="4" t="str">
        <x:v>Record captured</x:v>
      </x:c>
      <x:c r="G2468" s="4" t="str">
        <x:v>Cancelled</x:v>
      </x:c>
    </x:row>
    <x:row r="2469" ht="34" customHeight="1">
      <x:c r="A2469" s="4" t="str">
        <x:v>RS-02468-E1</x:v>
      </x:c>
      <x:c r="B2469" s="4" t="str">
        <x:v>RS-02468</x:v>
      </x:c>
      <x:c r="C2469" s="8" t="n">
        <x:v>45416</x:v>
      </x:c>
      <x:c r="D2469" s="4" t="str">
        <x:v>Sales operations manager</x:v>
      </x:c>
      <x:c r="E2469" s="4" t="str">
        <x:v>WhatsApp transcribed</x:v>
      </x:c>
      <x:c r="F2469" s="4" t="str">
        <x:v>Record captured</x:v>
      </x:c>
      <x:c r="G2469" s="4" t="str">
        <x:v>Booked</x:v>
      </x:c>
    </x:row>
    <x:row r="2470" ht="34" customHeight="1">
      <x:c r="A2470" s="4" t="str">
        <x:v>RS-02469-E1</x:v>
      </x:c>
      <x:c r="B2470" s="4" t="str">
        <x:v>RS-02469</x:v>
      </x:c>
      <x:c r="C2470" s="8" t="n">
        <x:v>45417</x:v>
      </x:c>
      <x:c r="D2470" s="4" t="str">
        <x:v>Sales operations manager</x:v>
      </x:c>
      <x:c r="E2470" s="4" t="str">
        <x:v>WhatsApp transcribed</x:v>
      </x:c>
      <x:c r="F2470" s="4" t="str">
        <x:v>Record captured</x:v>
      </x:c>
      <x:c r="G2470" s="4" t="str">
        <x:v>Agreement signed</x:v>
      </x:c>
    </x:row>
    <x:row r="2471" ht="34" customHeight="1">
      <x:c r="A2471" s="4" t="str">
        <x:v>RS-02470-E1</x:v>
      </x:c>
      <x:c r="B2471" s="4" t="str">
        <x:v>RS-02470</x:v>
      </x:c>
      <x:c r="C2471" s="8" t="n">
        <x:v>45418</x:v>
      </x:c>
      <x:c r="D2471" s="4" t="str">
        <x:v>Sales operations manager</x:v>
      </x:c>
      <x:c r="E2471" s="4" t="str">
        <x:v>Spreadsheet import</x:v>
      </x:c>
      <x:c r="F2471" s="4" t="str">
        <x:v>Record captured</x:v>
      </x:c>
      <x:c r="G2471" s="4" t="str">
        <x:v>Handed over</x:v>
      </x:c>
    </x:row>
    <x:row r="2472" ht="34" customHeight="1">
      <x:c r="A2472" s="4" t="str">
        <x:v>RS-02471-E1</x:v>
      </x:c>
      <x:c r="B2472" s="4" t="str">
        <x:v>RS-02471</x:v>
      </x:c>
      <x:c r="C2472" s="8" t="n">
        <x:v>45419</x:v>
      </x:c>
      <x:c r="D2472" s="4" t="str">
        <x:v>Sales operations manager</x:v>
      </x:c>
      <x:c r="E2472" s="4" t="str">
        <x:v>ERP form</x:v>
      </x:c>
      <x:c r="F2472" s="4" t="str">
        <x:v>Record captured</x:v>
      </x:c>
      <x:c r="G2472" s="4" t="str">
        <x:v>Booked</x:v>
      </x:c>
    </x:row>
    <x:row r="2473" ht="34" customHeight="1">
      <x:c r="A2473" s="4" t="str">
        <x:v>RS-02472-E1</x:v>
      </x:c>
      <x:c r="B2473" s="4" t="str">
        <x:v>RS-02472</x:v>
      </x:c>
      <x:c r="C2473" s="8" t="n">
        <x:v>45420</x:v>
      </x:c>
      <x:c r="D2473" s="4" t="str">
        <x:v>Sales operations manager</x:v>
      </x:c>
      <x:c r="E2473" s="4" t="str">
        <x:v>Paper transcribed</x:v>
      </x:c>
      <x:c r="F2473" s="4" t="str">
        <x:v>Record captured</x:v>
      </x:c>
      <x:c r="G2473" s="4" t="str">
        <x:v>Booked</x:v>
      </x:c>
    </x:row>
    <x:row r="2474" ht="34" customHeight="1">
      <x:c r="A2474" s="4" t="str">
        <x:v>RS-02473-E1</x:v>
      </x:c>
      <x:c r="B2474" s="4" t="str">
        <x:v>RS-02473</x:v>
      </x:c>
      <x:c r="C2474" s="8" t="n">
        <x:v>45421</x:v>
      </x:c>
      <x:c r="D2474" s="4" t="str">
        <x:v>Sales operations manager</x:v>
      </x:c>
      <x:c r="E2474" s="4" t="str">
        <x:v>Paper transcribed</x:v>
      </x:c>
      <x:c r="F2474" s="4" t="str">
        <x:v>Record captured</x:v>
      </x:c>
      <x:c r="G2474" s="4" t="str">
        <x:v>Enquiry</x:v>
      </x:c>
    </x:row>
    <x:row r="2475" ht="34" customHeight="1">
      <x:c r="A2475" s="4" t="str">
        <x:v>RS-02474-E1</x:v>
      </x:c>
      <x:c r="B2475" s="4" t="str">
        <x:v>RS-02474</x:v>
      </x:c>
      <x:c r="C2475" s="8" t="n">
        <x:v>45422</x:v>
      </x:c>
      <x:c r="D2475" s="4" t="str">
        <x:v>Sales operations manager</x:v>
      </x:c>
      <x:c r="E2475" s="4" t="str">
        <x:v>Paper transcribed</x:v>
      </x:c>
      <x:c r="F2475" s="4" t="str">
        <x:v>Record captured</x:v>
      </x:c>
      <x:c r="G2475" s="4" t="str">
        <x:v>Cancelled</x:v>
      </x:c>
    </x:row>
    <x:row r="2476" ht="34" customHeight="1">
      <x:c r="A2476" s="4" t="str">
        <x:v>RS-02475-E1</x:v>
      </x:c>
      <x:c r="B2476" s="4" t="str">
        <x:v>RS-02475</x:v>
      </x:c>
      <x:c r="C2476" s="8" t="n">
        <x:v>45423</x:v>
      </x:c>
      <x:c r="D2476" s="4" t="str">
        <x:v>Sales operations manager</x:v>
      </x:c>
      <x:c r="E2476" s="4" t="str">
        <x:v>Spreadsheet import</x:v>
      </x:c>
      <x:c r="F2476" s="4" t="str">
        <x:v>Record captured</x:v>
      </x:c>
      <x:c r="G2476" s="4" t="str">
        <x:v>Reserved</x:v>
      </x:c>
    </x:row>
    <x:row r="2477" ht="34" customHeight="1">
      <x:c r="A2477" s="4" t="str">
        <x:v>RS-02476-E1</x:v>
      </x:c>
      <x:c r="B2477" s="4" t="str">
        <x:v>RS-02476</x:v>
      </x:c>
      <x:c r="C2477" s="8" t="n">
        <x:v>45424</x:v>
      </x:c>
      <x:c r="D2477" s="4" t="str">
        <x:v>Sales operations manager</x:v>
      </x:c>
      <x:c r="E2477" s="4" t="str">
        <x:v>Spreadsheet import</x:v>
      </x:c>
      <x:c r="F2477" s="4" t="str">
        <x:v>Record captured</x:v>
      </x:c>
      <x:c r="G2477" s="4" t="str">
        <x:v>Reserved</x:v>
      </x:c>
    </x:row>
    <x:row r="2478" ht="34" customHeight="1">
      <x:c r="A2478" s="4" t="str">
        <x:v>RS-02477-E1</x:v>
      </x:c>
      <x:c r="B2478" s="4" t="str">
        <x:v>RS-02477</x:v>
      </x:c>
      <x:c r="C2478" s="8" t="n">
        <x:v>45425</x:v>
      </x:c>
      <x:c r="D2478" s="4" t="str">
        <x:v>Sales operations manager</x:v>
      </x:c>
      <x:c r="E2478" s="4" t="str">
        <x:v>ERP form</x:v>
      </x:c>
      <x:c r="F2478" s="4" t="str">
        <x:v>Record captured</x:v>
      </x:c>
      <x:c r="G2478" s="4" t="str">
        <x:v>Booked</x:v>
      </x:c>
    </x:row>
    <x:row r="2479" ht="34" customHeight="1">
      <x:c r="A2479" s="4" t="str">
        <x:v>RS-02478-E1</x:v>
      </x:c>
      <x:c r="B2479" s="4" t="str">
        <x:v>RS-02478</x:v>
      </x:c>
      <x:c r="C2479" s="8" t="n">
        <x:v>45426</x:v>
      </x:c>
      <x:c r="D2479" s="4" t="str">
        <x:v>Sales operations manager</x:v>
      </x:c>
      <x:c r="E2479" s="4" t="str">
        <x:v>ERP form</x:v>
      </x:c>
      <x:c r="F2479" s="4" t="str">
        <x:v>Record captured</x:v>
      </x:c>
      <x:c r="G2479" s="4" t="str">
        <x:v>Booked</x:v>
      </x:c>
    </x:row>
    <x:row r="2480" ht="34" customHeight="1">
      <x:c r="A2480" s="4" t="str">
        <x:v>RS-02479-E1</x:v>
      </x:c>
      <x:c r="B2480" s="4" t="str">
        <x:v>RS-02479</x:v>
      </x:c>
      <x:c r="C2480" s="8" t="n">
        <x:v>45427</x:v>
      </x:c>
      <x:c r="D2480" s="4" t="str">
        <x:v>Sales operations manager</x:v>
      </x:c>
      <x:c r="E2480" s="4" t="str">
        <x:v>Spreadsheet import</x:v>
      </x:c>
      <x:c r="F2480" s="4" t="str">
        <x:v>Record captured</x:v>
      </x:c>
      <x:c r="G2480" s="4" t="str">
        <x:v>Agreement signed</x:v>
      </x:c>
    </x:row>
    <x:row r="2481" ht="34" customHeight="1">
      <x:c r="A2481" s="4" t="str">
        <x:v>RS-02480-E1</x:v>
      </x:c>
      <x:c r="B2481" s="4" t="str">
        <x:v>RS-02480</x:v>
      </x:c>
      <x:c r="C2481" s="8" t="n">
        <x:v>45428</x:v>
      </x:c>
      <x:c r="D2481" s="4" t="str">
        <x:v>Sales operations manager</x:v>
      </x:c>
      <x:c r="E2481" s="4" t="str">
        <x:v>ERP form</x:v>
      </x:c>
      <x:c r="F2481" s="4" t="str">
        <x:v>Record captured</x:v>
      </x:c>
      <x:c r="G2481" s="4" t="str">
        <x:v>Booked</x:v>
      </x:c>
    </x:row>
    <x:row r="2482" ht="34" customHeight="1">
      <x:c r="A2482" s="4" t="str">
        <x:v>RS-02481-E1</x:v>
      </x:c>
      <x:c r="B2482" s="4" t="str">
        <x:v>RS-02481</x:v>
      </x:c>
      <x:c r="C2482" s="8" t="n">
        <x:v>45429</x:v>
      </x:c>
      <x:c r="D2482" s="4" t="str">
        <x:v>Sales operations manager</x:v>
      </x:c>
      <x:c r="E2482" s="4" t="str">
        <x:v>Spreadsheet import</x:v>
      </x:c>
      <x:c r="F2482" s="4" t="str">
        <x:v>Record captured</x:v>
      </x:c>
      <x:c r="G2482" s="4" t="str">
        <x:v>Reserved</x:v>
      </x:c>
    </x:row>
    <x:row r="2483" ht="34" customHeight="1">
      <x:c r="A2483" s="4" t="str">
        <x:v>RS-02482-E1</x:v>
      </x:c>
      <x:c r="B2483" s="4" t="str">
        <x:v>RS-02482</x:v>
      </x:c>
      <x:c r="C2483" s="8" t="n">
        <x:v>45430</x:v>
      </x:c>
      <x:c r="D2483" s="4" t="str">
        <x:v>Sales operations manager</x:v>
      </x:c>
      <x:c r="E2483" s="4" t="str">
        <x:v>Paper transcribed</x:v>
      </x:c>
      <x:c r="F2483" s="4" t="str">
        <x:v>Record captured</x:v>
      </x:c>
      <x:c r="G2483" s="4" t="str">
        <x:v>Agreement signed</x:v>
      </x:c>
    </x:row>
    <x:row r="2484" ht="34" customHeight="1">
      <x:c r="A2484" s="4" t="str">
        <x:v>RS-02483-E1</x:v>
      </x:c>
      <x:c r="B2484" s="4" t="str">
        <x:v>RS-02483</x:v>
      </x:c>
      <x:c r="C2484" s="8" t="n">
        <x:v>45431</x:v>
      </x:c>
      <x:c r="D2484" s="4" t="str">
        <x:v>Sales operations manager</x:v>
      </x:c>
      <x:c r="E2484" s="4" t="str">
        <x:v>Spreadsheet import</x:v>
      </x:c>
      <x:c r="F2484" s="4" t="str">
        <x:v>Record captured</x:v>
      </x:c>
      <x:c r="G2484" s="4" t="str">
        <x:v>Booked</x:v>
      </x:c>
    </x:row>
    <x:row r="2485" ht="34" customHeight="1">
      <x:c r="A2485" s="4" t="str">
        <x:v>RS-02484-E1</x:v>
      </x:c>
      <x:c r="B2485" s="4" t="str">
        <x:v>RS-02484</x:v>
      </x:c>
      <x:c r="C2485" s="8" t="n">
        <x:v>45432</x:v>
      </x:c>
      <x:c r="D2485" s="4" t="str">
        <x:v>Sales operations manager</x:v>
      </x:c>
      <x:c r="E2485" s="4" t="str">
        <x:v>ERP form</x:v>
      </x:c>
      <x:c r="F2485" s="4" t="str">
        <x:v>Record captured</x:v>
      </x:c>
      <x:c r="G2485" s="4" t="str">
        <x:v>Reserved</x:v>
      </x:c>
    </x:row>
    <x:row r="2486" ht="34" customHeight="1">
      <x:c r="A2486" s="4" t="str">
        <x:v>RS-02485-E1</x:v>
      </x:c>
      <x:c r="B2486" s="4" t="str">
        <x:v>RS-02485</x:v>
      </x:c>
      <x:c r="C2486" s="8" t="n">
        <x:v>45433</x:v>
      </x:c>
      <x:c r="D2486" s="4" t="str">
        <x:v>Sales operations manager</x:v>
      </x:c>
      <x:c r="E2486" s="4" t="str">
        <x:v>Paper transcribed</x:v>
      </x:c>
      <x:c r="F2486" s="4" t="str">
        <x:v>Record captured</x:v>
      </x:c>
      <x:c r="G2486" s="4" t="str">
        <x:v>Handed over</x:v>
      </x:c>
    </x:row>
    <x:row r="2487" ht="34" customHeight="1">
      <x:c r="A2487" s="4" t="str">
        <x:v>RS-02486-E1</x:v>
      </x:c>
      <x:c r="B2487" s="4" t="str">
        <x:v>RS-02486</x:v>
      </x:c>
      <x:c r="C2487" s="8" t="n">
        <x:v>45434</x:v>
      </x:c>
      <x:c r="D2487" s="4" t="str">
        <x:v>Sales operations manager</x:v>
      </x:c>
      <x:c r="E2487" s="4" t="str">
        <x:v>Spreadsheet import</x:v>
      </x:c>
      <x:c r="F2487" s="4" t="str">
        <x:v>Record captured</x:v>
      </x:c>
      <x:c r="G2487" s="4" t="str">
        <x:v>Handed over</x:v>
      </x:c>
    </x:row>
    <x:row r="2488" ht="34" customHeight="1">
      <x:c r="A2488" s="4" t="str">
        <x:v>RS-02487-E1</x:v>
      </x:c>
      <x:c r="B2488" s="4" t="str">
        <x:v>RS-02487</x:v>
      </x:c>
      <x:c r="C2488" s="8" t="n">
        <x:v>45435</x:v>
      </x:c>
      <x:c r="D2488" s="4" t="str">
        <x:v>Sales operations manager</x:v>
      </x:c>
      <x:c r="E2488" s="4" t="str">
        <x:v>Paper transcribed</x:v>
      </x:c>
      <x:c r="F2488" s="4" t="str">
        <x:v>Record captured</x:v>
      </x:c>
      <x:c r="G2488" s="4" t="str">
        <x:v>Agreement signed</x:v>
      </x:c>
    </x:row>
    <x:row r="2489" ht="34" customHeight="1">
      <x:c r="A2489" s="4" t="str">
        <x:v>RS-02488-E1</x:v>
      </x:c>
      <x:c r="B2489" s="4" t="str">
        <x:v>RS-02488</x:v>
      </x:c>
      <x:c r="C2489" s="8" t="n">
        <x:v>45436</x:v>
      </x:c>
      <x:c r="D2489" s="4" t="str">
        <x:v>Sales operations manager</x:v>
      </x:c>
      <x:c r="E2489" s="4" t="str">
        <x:v>ERP form</x:v>
      </x:c>
      <x:c r="F2489" s="4" t="str">
        <x:v>Record captured</x:v>
      </x:c>
      <x:c r="G2489" s="4" t="str">
        <x:v>Booked</x:v>
      </x:c>
    </x:row>
    <x:row r="2490" ht="34" customHeight="1">
      <x:c r="A2490" s="4" t="str">
        <x:v>RS-02489-E1</x:v>
      </x:c>
      <x:c r="B2490" s="4" t="str">
        <x:v>RS-02489</x:v>
      </x:c>
      <x:c r="C2490" s="8" t="n">
        <x:v>45437</x:v>
      </x:c>
      <x:c r="D2490" s="4" t="str">
        <x:v>Sales operations manager</x:v>
      </x:c>
      <x:c r="E2490" s="4" t="str">
        <x:v>Spreadsheet import</x:v>
      </x:c>
      <x:c r="F2490" s="4" t="str">
        <x:v>Record captured</x:v>
      </x:c>
      <x:c r="G2490" s="4" t="str">
        <x:v>Agreement signed</x:v>
      </x:c>
    </x:row>
    <x:row r="2491" ht="34" customHeight="1">
      <x:c r="A2491" s="4" t="str">
        <x:v>RS-02490-E1</x:v>
      </x:c>
      <x:c r="B2491" s="4" t="str">
        <x:v>RS-02490</x:v>
      </x:c>
      <x:c r="C2491" s="8" t="n">
        <x:v>45438</x:v>
      </x:c>
      <x:c r="D2491" s="4" t="str">
        <x:v>Sales operations manager</x:v>
      </x:c>
      <x:c r="E2491" s="4" t="str">
        <x:v>WhatsApp transcribed</x:v>
      </x:c>
      <x:c r="F2491" s="4" t="str">
        <x:v>Record captured</x:v>
      </x:c>
      <x:c r="G2491" s="4" t="str">
        <x:v>Agreement signed</x:v>
      </x:c>
    </x:row>
    <x:row r="2492" ht="34" customHeight="1">
      <x:c r="A2492" s="4" t="str">
        <x:v>RS-02491-E1</x:v>
      </x:c>
      <x:c r="B2492" s="4" t="str">
        <x:v>RS-02491</x:v>
      </x:c>
      <x:c r="C2492" s="8" t="n">
        <x:v>45439</x:v>
      </x:c>
      <x:c r="D2492" s="4" t="str">
        <x:v>Sales operations manager</x:v>
      </x:c>
      <x:c r="E2492" s="4" t="str">
        <x:v>ERP form</x:v>
      </x:c>
      <x:c r="F2492" s="4" t="str">
        <x:v>Record captured</x:v>
      </x:c>
      <x:c r="G2492" s="4" t="str">
        <x:v>Handed over</x:v>
      </x:c>
    </x:row>
    <x:row r="2493" ht="34" customHeight="1">
      <x:c r="A2493" s="4" t="str">
        <x:v>RS-02492-E1</x:v>
      </x:c>
      <x:c r="B2493" s="4" t="str">
        <x:v>RS-02492</x:v>
      </x:c>
      <x:c r="C2493" s="8" t="n">
        <x:v>45440</x:v>
      </x:c>
      <x:c r="D2493" s="4" t="str">
        <x:v>Sales operations manager</x:v>
      </x:c>
      <x:c r="E2493" s="4" t="str">
        <x:v>Paper transcribed</x:v>
      </x:c>
      <x:c r="F2493" s="4" t="str">
        <x:v>Record captured</x:v>
      </x:c>
      <x:c r="G2493" s="4" t="str">
        <x:v>Enquiry</x:v>
      </x:c>
    </x:row>
    <x:row r="2494" ht="34" customHeight="1">
      <x:c r="A2494" s="4" t="str">
        <x:v>RS-02493-E1</x:v>
      </x:c>
      <x:c r="B2494" s="4" t="str">
        <x:v>RS-02493</x:v>
      </x:c>
      <x:c r="C2494" s="8" t="n">
        <x:v>45413</x:v>
      </x:c>
      <x:c r="D2494" s="4" t="str">
        <x:v>Sales operations manager</x:v>
      </x:c>
      <x:c r="E2494" s="4" t="str">
        <x:v>Spreadsheet import</x:v>
      </x:c>
      <x:c r="F2494" s="4" t="str">
        <x:v>Record captured</x:v>
      </x:c>
      <x:c r="G2494" s="4" t="str">
        <x:v>Handed over</x:v>
      </x:c>
    </x:row>
    <x:row r="2495" ht="34" customHeight="1">
      <x:c r="A2495" s="4" t="str">
        <x:v>RS-02494-E1</x:v>
      </x:c>
      <x:c r="B2495" s="4" t="str">
        <x:v>RS-02494</x:v>
      </x:c>
      <x:c r="C2495" s="8" t="n">
        <x:v>45414</x:v>
      </x:c>
      <x:c r="D2495" s="4" t="str">
        <x:v>Sales operations manager</x:v>
      </x:c>
      <x:c r="E2495" s="4" t="str">
        <x:v>Paper transcribed</x:v>
      </x:c>
      <x:c r="F2495" s="4" t="str">
        <x:v>Record captured</x:v>
      </x:c>
      <x:c r="G2495" s="4" t="str">
        <x:v>Reserved</x:v>
      </x:c>
    </x:row>
    <x:row r="2496" ht="34" customHeight="1">
      <x:c r="A2496" s="4" t="str">
        <x:v>RS-02495-E1</x:v>
      </x:c>
      <x:c r="B2496" s="4" t="str">
        <x:v>RS-02495</x:v>
      </x:c>
      <x:c r="C2496" s="8" t="n">
        <x:v>45415</x:v>
      </x:c>
      <x:c r="D2496" s="4" t="str">
        <x:v>Sales operations manager</x:v>
      </x:c>
      <x:c r="E2496" s="4" t="str">
        <x:v>ERP form</x:v>
      </x:c>
      <x:c r="F2496" s="4" t="str">
        <x:v>Record captured</x:v>
      </x:c>
      <x:c r="G2496" s="4" t="str">
        <x:v>Enquiry</x:v>
      </x:c>
    </x:row>
    <x:row r="2497" ht="34" customHeight="1">
      <x:c r="A2497" s="4" t="str">
        <x:v>RS-02496-E1</x:v>
      </x:c>
      <x:c r="B2497" s="4" t="str">
        <x:v>RS-02496</x:v>
      </x:c>
      <x:c r="C2497" s="8" t="n">
        <x:v>45416</x:v>
      </x:c>
      <x:c r="D2497" s="4" t="str">
        <x:v>Sales operations manager</x:v>
      </x:c>
      <x:c r="E2497" s="4" t="str">
        <x:v>WhatsApp transcribed</x:v>
      </x:c>
      <x:c r="F2497" s="4" t="str">
        <x:v>Record captured</x:v>
      </x:c>
      <x:c r="G2497" s="4" t="str">
        <x:v>Cancelled</x:v>
      </x:c>
    </x:row>
    <x:row r="2498" ht="34" customHeight="1">
      <x:c r="A2498" s="4" t="str">
        <x:v>RS-02497-E1</x:v>
      </x:c>
      <x:c r="B2498" s="4" t="str">
        <x:v>RS-02497</x:v>
      </x:c>
      <x:c r="C2498" s="8" t="n">
        <x:v>45417</x:v>
      </x:c>
      <x:c r="D2498" s="4" t="str">
        <x:v>Sales operations manager</x:v>
      </x:c>
      <x:c r="E2498" s="4" t="str">
        <x:v>Spreadsheet import</x:v>
      </x:c>
      <x:c r="F2498" s="4" t="str">
        <x:v>Record captured</x:v>
      </x:c>
      <x:c r="G2498" s="4" t="str">
        <x:v>Reserved</x:v>
      </x:c>
    </x:row>
    <x:row r="2499" ht="34" customHeight="1">
      <x:c r="A2499" s="4" t="str">
        <x:v>RS-02498-E1</x:v>
      </x:c>
      <x:c r="B2499" s="4" t="str">
        <x:v>RS-02498</x:v>
      </x:c>
      <x:c r="C2499" s="8" t="n">
        <x:v>45418</x:v>
      </x:c>
      <x:c r="D2499" s="4" t="str">
        <x:v>Sales operations manager</x:v>
      </x:c>
      <x:c r="E2499" s="4" t="str">
        <x:v>Spreadsheet import</x:v>
      </x:c>
      <x:c r="F2499" s="4" t="str">
        <x:v>Record captured</x:v>
      </x:c>
      <x:c r="G2499" s="4" t="str">
        <x:v>Handed over</x:v>
      </x:c>
    </x:row>
    <x:row r="2500" ht="34" customHeight="1">
      <x:c r="A2500" s="4" t="str">
        <x:v>RS-02499-E1</x:v>
      </x:c>
      <x:c r="B2500" s="4" t="str">
        <x:v>RS-02499</x:v>
      </x:c>
      <x:c r="C2500" s="8" t="n">
        <x:v>45419</x:v>
      </x:c>
      <x:c r="D2500" s="4" t="str">
        <x:v>Sales operations manager</x:v>
      </x:c>
      <x:c r="E2500" s="4" t="str">
        <x:v>ERP form</x:v>
      </x:c>
      <x:c r="F2500" s="4" t="str">
        <x:v>Record captured</x:v>
      </x:c>
      <x:c r="G2500" s="4" t="str">
        <x:v>Cancelled</x:v>
      </x:c>
    </x:row>
    <x:row r="2501" ht="34" customHeight="1">
      <x:c r="A2501" s="4" t="str">
        <x:v>RS-02500-E1</x:v>
      </x:c>
      <x:c r="B2501" s="4" t="str">
        <x:v>RS-02500</x:v>
      </x:c>
      <x:c r="C2501" s="8" t="n">
        <x:v>45420</x:v>
      </x:c>
      <x:c r="D2501" s="4" t="str">
        <x:v>Sales operations manager</x:v>
      </x:c>
      <x:c r="E2501" s="4" t="str">
        <x:v>Spreadsheet import</x:v>
      </x:c>
      <x:c r="F2501" s="4" t="str">
        <x:v>Record captured</x:v>
      </x:c>
      <x:c r="G2501" s="4" t="str">
        <x:v>Enquiry</x:v>
      </x:c>
    </x:row>
    <x:row r="2502" ht="34" customHeight="1">
      <x:c r="A2502" s="4" t="str">
        <x:v>RS-02501-E1</x:v>
      </x:c>
      <x:c r="B2502" s="4" t="str">
        <x:v>RS-02501</x:v>
      </x:c>
      <x:c r="C2502" s="8" t="n">
        <x:v>45452</x:v>
      </x:c>
      <x:c r="D2502" s="4" t="str">
        <x:v>Sales operations manager</x:v>
      </x:c>
      <x:c r="E2502" s="4" t="str">
        <x:v>WhatsApp transcribed</x:v>
      </x:c>
      <x:c r="F2502" s="4" t="str">
        <x:v>Record captured</x:v>
      </x:c>
      <x:c r="G2502" s="4" t="str">
        <x:v>Enquiry</x:v>
      </x:c>
    </x:row>
    <x:row r="2503" ht="34" customHeight="1">
      <x:c r="A2503" s="4" t="str">
        <x:v>RS-02502-E1</x:v>
      </x:c>
      <x:c r="B2503" s="4" t="str">
        <x:v>RS-02502</x:v>
      </x:c>
      <x:c r="C2503" s="8" t="n">
        <x:v>45453</x:v>
      </x:c>
      <x:c r="D2503" s="4" t="str">
        <x:v>Sales operations manager</x:v>
      </x:c>
      <x:c r="E2503" s="4" t="str">
        <x:v>ERP form</x:v>
      </x:c>
      <x:c r="F2503" s="4" t="str">
        <x:v>Record captured</x:v>
      </x:c>
      <x:c r="G2503" s="4" t="str">
        <x:v>Booked</x:v>
      </x:c>
    </x:row>
    <x:row r="2504" ht="34" customHeight="1">
      <x:c r="A2504" s="4" t="str">
        <x:v>RS-02503-E1</x:v>
      </x:c>
      <x:c r="B2504" s="4" t="str">
        <x:v>RS-02503</x:v>
      </x:c>
      <x:c r="C2504" s="8" t="n">
        <x:v>45454</x:v>
      </x:c>
      <x:c r="D2504" s="4" t="str">
        <x:v>Sales operations manager</x:v>
      </x:c>
      <x:c r="E2504" s="4" t="str">
        <x:v>ERP form</x:v>
      </x:c>
      <x:c r="F2504" s="4" t="str">
        <x:v>Record captured</x:v>
      </x:c>
      <x:c r="G2504" s="4" t="str">
        <x:v>Handed over</x:v>
      </x:c>
    </x:row>
    <x:row r="2505" ht="34" customHeight="1">
      <x:c r="A2505" s="4" t="str">
        <x:v>RS-02504-E1</x:v>
      </x:c>
      <x:c r="B2505" s="4" t="str">
        <x:v>RS-02504</x:v>
      </x:c>
      <x:c r="C2505" s="8" t="n">
        <x:v>45455</x:v>
      </x:c>
      <x:c r="D2505" s="4" t="str">
        <x:v>Sales operations manager</x:v>
      </x:c>
      <x:c r="E2505" s="4" t="str">
        <x:v>ERP form</x:v>
      </x:c>
      <x:c r="F2505" s="4" t="str">
        <x:v>Record captured</x:v>
      </x:c>
      <x:c r="G2505" s="4" t="str">
        <x:v>Handed over</x:v>
      </x:c>
    </x:row>
    <x:row r="2506" ht="34" customHeight="1">
      <x:c r="A2506" s="4" t="str">
        <x:v>RS-02505-E1</x:v>
      </x:c>
      <x:c r="B2506" s="4" t="str">
        <x:v>RS-02505</x:v>
      </x:c>
      <x:c r="C2506" s="8" t="n">
        <x:v>45456</x:v>
      </x:c>
      <x:c r="D2506" s="4" t="str">
        <x:v>Sales operations manager</x:v>
      </x:c>
      <x:c r="E2506" s="4" t="str">
        <x:v>WhatsApp transcribed</x:v>
      </x:c>
      <x:c r="F2506" s="4" t="str">
        <x:v>Record captured</x:v>
      </x:c>
      <x:c r="G2506" s="4" t="str">
        <x:v>Handed over</x:v>
      </x:c>
    </x:row>
    <x:row r="2507" ht="34" customHeight="1">
      <x:c r="A2507" s="4" t="str">
        <x:v>RS-02506-E1</x:v>
      </x:c>
      <x:c r="B2507" s="4" t="str">
        <x:v>RS-02506</x:v>
      </x:c>
      <x:c r="C2507" s="8" t="n">
        <x:v>45457</x:v>
      </x:c>
      <x:c r="D2507" s="4" t="str">
        <x:v>Sales operations manager</x:v>
      </x:c>
      <x:c r="E2507" s="4" t="str">
        <x:v>Paper transcribed</x:v>
      </x:c>
      <x:c r="F2507" s="4" t="str">
        <x:v>Record captured</x:v>
      </x:c>
      <x:c r="G2507" s="4" t="str">
        <x:v>Agreement signed</x:v>
      </x:c>
    </x:row>
    <x:row r="2508" ht="34" customHeight="1">
      <x:c r="A2508" s="4" t="str">
        <x:v>RS-02507-E1</x:v>
      </x:c>
      <x:c r="B2508" s="4" t="str">
        <x:v>RS-02507</x:v>
      </x:c>
      <x:c r="C2508" s="8" t="n">
        <x:v>45458</x:v>
      </x:c>
      <x:c r="D2508" s="4" t="str">
        <x:v>Sales operations manager</x:v>
      </x:c>
      <x:c r="E2508" s="4" t="str">
        <x:v>WhatsApp transcribed</x:v>
      </x:c>
      <x:c r="F2508" s="4" t="str">
        <x:v>Record captured</x:v>
      </x:c>
      <x:c r="G2508" s="4" t="str">
        <x:v>Agreement signed</x:v>
      </x:c>
    </x:row>
    <x:row r="2509" ht="34" customHeight="1">
      <x:c r="A2509" s="4" t="str">
        <x:v>RS-02508-E1</x:v>
      </x:c>
      <x:c r="B2509" s="4" t="str">
        <x:v>RS-02508</x:v>
      </x:c>
      <x:c r="C2509" s="8" t="n">
        <x:v>45459</x:v>
      </x:c>
      <x:c r="D2509" s="4" t="str">
        <x:v>Sales operations manager</x:v>
      </x:c>
      <x:c r="E2509" s="4" t="str">
        <x:v>Paper transcribed</x:v>
      </x:c>
      <x:c r="F2509" s="4" t="str">
        <x:v>Record captured</x:v>
      </x:c>
      <x:c r="G2509" s="4" t="str">
        <x:v>Reserved</x:v>
      </x:c>
    </x:row>
    <x:row r="2510" ht="34" customHeight="1">
      <x:c r="A2510" s="4" t="str">
        <x:v>RS-02509-E1</x:v>
      </x:c>
      <x:c r="B2510" s="4" t="str">
        <x:v>RS-02509</x:v>
      </x:c>
      <x:c r="C2510" s="8" t="n">
        <x:v>45460</x:v>
      </x:c>
      <x:c r="D2510" s="4" t="str">
        <x:v>Sales operations manager</x:v>
      </x:c>
      <x:c r="E2510" s="4" t="str">
        <x:v>Spreadsheet import</x:v>
      </x:c>
      <x:c r="F2510" s="4" t="str">
        <x:v>Record captured</x:v>
      </x:c>
      <x:c r="G2510" s="4" t="str">
        <x:v>Cancelled</x:v>
      </x:c>
    </x:row>
    <x:row r="2511" ht="34" customHeight="1">
      <x:c r="A2511" s="4" t="str">
        <x:v>RS-02510-E1</x:v>
      </x:c>
      <x:c r="B2511" s="4" t="str">
        <x:v>RS-02510</x:v>
      </x:c>
      <x:c r="C2511" s="8" t="n">
        <x:v>45461</x:v>
      </x:c>
      <x:c r="D2511" s="4" t="str">
        <x:v>Sales operations manager</x:v>
      </x:c>
      <x:c r="E2511" s="4" t="str">
        <x:v>WhatsApp transcribed</x:v>
      </x:c>
      <x:c r="F2511" s="4" t="str">
        <x:v>Record captured</x:v>
      </x:c>
      <x:c r="G2511" s="4" t="str">
        <x:v>Agreement signed</x:v>
      </x:c>
    </x:row>
    <x:row r="2512" ht="34" customHeight="1">
      <x:c r="A2512" s="4" t="str">
        <x:v>RS-02511-E1</x:v>
      </x:c>
      <x:c r="B2512" s="4" t="str">
        <x:v>RS-02511</x:v>
      </x:c>
      <x:c r="C2512" s="8" t="n">
        <x:v>45462</x:v>
      </x:c>
      <x:c r="D2512" s="4" t="str">
        <x:v>Sales operations manager</x:v>
      </x:c>
      <x:c r="E2512" s="4" t="str">
        <x:v>Spreadsheet import</x:v>
      </x:c>
      <x:c r="F2512" s="4" t="str">
        <x:v>Record captured</x:v>
      </x:c>
      <x:c r="G2512" s="4" t="str">
        <x:v>Enquiry</x:v>
      </x:c>
    </x:row>
    <x:row r="2513" ht="34" customHeight="1">
      <x:c r="A2513" s="4" t="str">
        <x:v>RS-02512-E1</x:v>
      </x:c>
      <x:c r="B2513" s="4" t="str">
        <x:v>RS-02512</x:v>
      </x:c>
      <x:c r="C2513" s="8" t="n">
        <x:v>45463</x:v>
      </x:c>
      <x:c r="D2513" s="4" t="str">
        <x:v>Sales operations manager</x:v>
      </x:c>
      <x:c r="E2513" s="4" t="str">
        <x:v>Paper transcribed</x:v>
      </x:c>
      <x:c r="F2513" s="4" t="str">
        <x:v>Record captured</x:v>
      </x:c>
      <x:c r="G2513" s="4" t="str">
        <x:v>Reserved</x:v>
      </x:c>
    </x:row>
    <x:row r="2514" ht="34" customHeight="1">
      <x:c r="A2514" s="4" t="str">
        <x:v>RS-02513-E1</x:v>
      </x:c>
      <x:c r="B2514" s="4" t="str">
        <x:v>RS-02513</x:v>
      </x:c>
      <x:c r="C2514" s="8" t="n">
        <x:v>45464</x:v>
      </x:c>
      <x:c r="D2514" s="4" t="str">
        <x:v>Sales operations manager</x:v>
      </x:c>
      <x:c r="E2514" s="4" t="str">
        <x:v>ERP form</x:v>
      </x:c>
      <x:c r="F2514" s="4" t="str">
        <x:v>Record captured</x:v>
      </x:c>
      <x:c r="G2514" s="4" t="str">
        <x:v>Reserved</x:v>
      </x:c>
    </x:row>
    <x:row r="2515" ht="34" customHeight="1">
      <x:c r="A2515" s="4" t="str">
        <x:v>RS-02514-E1</x:v>
      </x:c>
      <x:c r="B2515" s="4" t="str">
        <x:v>RS-02514</x:v>
      </x:c>
      <x:c r="C2515" s="8" t="n">
        <x:v>45465</x:v>
      </x:c>
      <x:c r="D2515" s="4" t="str">
        <x:v>Sales operations manager</x:v>
      </x:c>
      <x:c r="E2515" s="4" t="str">
        <x:v>Paper transcribed</x:v>
      </x:c>
      <x:c r="F2515" s="4" t="str">
        <x:v>Record captured</x:v>
      </x:c>
      <x:c r="G2515" s="4" t="str">
        <x:v>Booked</x:v>
      </x:c>
    </x:row>
    <x:row r="2516" ht="34" customHeight="1">
      <x:c r="A2516" s="4" t="str">
        <x:v>RS-02515-E1</x:v>
      </x:c>
      <x:c r="B2516" s="4" t="str">
        <x:v>RS-02515</x:v>
      </x:c>
      <x:c r="C2516" s="8" t="n">
        <x:v>45466</x:v>
      </x:c>
      <x:c r="D2516" s="4" t="str">
        <x:v>Sales operations manager</x:v>
      </x:c>
      <x:c r="E2516" s="4" t="str">
        <x:v>ERP form</x:v>
      </x:c>
      <x:c r="F2516" s="4" t="str">
        <x:v>Record captured</x:v>
      </x:c>
      <x:c r="G2516" s="4" t="str">
        <x:v>Reserved</x:v>
      </x:c>
    </x:row>
    <x:row r="2517" ht="34" customHeight="1">
      <x:c r="A2517" s="4" t="str">
        <x:v>RS-02516-E1</x:v>
      </x:c>
      <x:c r="B2517" s="4" t="str">
        <x:v>RS-02516</x:v>
      </x:c>
      <x:c r="C2517" s="8" t="n">
        <x:v>45467</x:v>
      </x:c>
      <x:c r="D2517" s="4" t="str">
        <x:v>Sales operations manager</x:v>
      </x:c>
      <x:c r="E2517" s="4" t="str">
        <x:v>Paper transcribed</x:v>
      </x:c>
      <x:c r="F2517" s="4" t="str">
        <x:v>Record captured</x:v>
      </x:c>
      <x:c r="G2517" s="4" t="str">
        <x:v>Agreement signed</x:v>
      </x:c>
    </x:row>
    <x:row r="2518" ht="34" customHeight="1">
      <x:c r="A2518" s="4" t="str">
        <x:v>RS-02517-E1</x:v>
      </x:c>
      <x:c r="B2518" s="4" t="str">
        <x:v>RS-02517</x:v>
      </x:c>
      <x:c r="C2518" s="8" t="n">
        <x:v>45468</x:v>
      </x:c>
      <x:c r="D2518" s="4" t="str">
        <x:v>Sales operations manager</x:v>
      </x:c>
      <x:c r="E2518" s="4" t="str">
        <x:v>Paper transcribed</x:v>
      </x:c>
      <x:c r="F2518" s="4" t="str">
        <x:v>Record captured</x:v>
      </x:c>
      <x:c r="G2518" s="4" t="str">
        <x:v>Reserved</x:v>
      </x:c>
    </x:row>
    <x:row r="2519" ht="34" customHeight="1">
      <x:c r="A2519" s="4" t="str">
        <x:v>RS-02518-E1</x:v>
      </x:c>
      <x:c r="B2519" s="4" t="str">
        <x:v>RS-02518</x:v>
      </x:c>
      <x:c r="C2519" s="8" t="n">
        <x:v>45469</x:v>
      </x:c>
      <x:c r="D2519" s="4" t="str">
        <x:v>Sales operations manager</x:v>
      </x:c>
      <x:c r="E2519" s="4" t="str">
        <x:v>Paper transcribed</x:v>
      </x:c>
      <x:c r="F2519" s="4" t="str">
        <x:v>Record captured</x:v>
      </x:c>
      <x:c r="G2519" s="4" t="str">
        <x:v>Booked</x:v>
      </x:c>
    </x:row>
    <x:row r="2520" ht="34" customHeight="1">
      <x:c r="A2520" s="4" t="str">
        <x:v>RS-02519-E1</x:v>
      </x:c>
      <x:c r="B2520" s="4" t="str">
        <x:v>RS-02519</x:v>
      </x:c>
      <x:c r="C2520" s="8" t="n">
        <x:v>45470</x:v>
      </x:c>
      <x:c r="D2520" s="4" t="str">
        <x:v>Sales operations manager</x:v>
      </x:c>
      <x:c r="E2520" s="4" t="str">
        <x:v>Spreadsheet import</x:v>
      </x:c>
      <x:c r="F2520" s="4" t="str">
        <x:v>Record captured</x:v>
      </x:c>
      <x:c r="G2520" s="4" t="str">
        <x:v>Booked</x:v>
      </x:c>
    </x:row>
    <x:row r="2521" ht="34" customHeight="1">
      <x:c r="A2521" s="4" t="str">
        <x:v>RS-02520-E1</x:v>
      </x:c>
      <x:c r="B2521" s="4" t="str">
        <x:v>RS-02520</x:v>
      </x:c>
      <x:c r="C2521" s="8" t="n">
        <x:v>45471</x:v>
      </x:c>
      <x:c r="D2521" s="4" t="str">
        <x:v>Sales operations manager</x:v>
      </x:c>
      <x:c r="E2521" s="4" t="str">
        <x:v>Paper transcribed</x:v>
      </x:c>
      <x:c r="F2521" s="4" t="str">
        <x:v>Record captured</x:v>
      </x:c>
      <x:c r="G2521" s="4" t="str">
        <x:v>Agreement signed</x:v>
      </x:c>
    </x:row>
    <x:row r="2522" ht="34" customHeight="1">
      <x:c r="A2522" s="4" t="str">
        <x:v>RS-02521-E1</x:v>
      </x:c>
      <x:c r="B2522" s="4" t="str">
        <x:v>RS-02521</x:v>
      </x:c>
      <x:c r="C2522" s="8" t="n">
        <x:v>45444</x:v>
      </x:c>
      <x:c r="D2522" s="4" t="str">
        <x:v>Sales operations manager</x:v>
      </x:c>
      <x:c r="E2522" s="4" t="str">
        <x:v>ERP form</x:v>
      </x:c>
      <x:c r="F2522" s="4" t="str">
        <x:v>Record captured</x:v>
      </x:c>
      <x:c r="G2522" s="4" t="str">
        <x:v>Reserved</x:v>
      </x:c>
    </x:row>
    <x:row r="2523" ht="34" customHeight="1">
      <x:c r="A2523" s="4" t="str">
        <x:v>RS-02522-E1</x:v>
      </x:c>
      <x:c r="B2523" s="4" t="str">
        <x:v>RS-02522</x:v>
      </x:c>
      <x:c r="C2523" s="8" t="n">
        <x:v>45445</x:v>
      </x:c>
      <x:c r="D2523" s="4" t="str">
        <x:v>Sales operations manager</x:v>
      </x:c>
      <x:c r="E2523" s="4" t="str">
        <x:v>WhatsApp transcribed</x:v>
      </x:c>
      <x:c r="F2523" s="4" t="str">
        <x:v>Record captured</x:v>
      </x:c>
      <x:c r="G2523" s="4" t="str">
        <x:v>Booked</x:v>
      </x:c>
    </x:row>
    <x:row r="2524" ht="34" customHeight="1">
      <x:c r="A2524" s="4" t="str">
        <x:v>RS-02523-E1</x:v>
      </x:c>
      <x:c r="B2524" s="4" t="str">
        <x:v>RS-02523</x:v>
      </x:c>
      <x:c r="C2524" s="8" t="n">
        <x:v>45446</x:v>
      </x:c>
      <x:c r="D2524" s="4" t="str">
        <x:v>Sales operations manager</x:v>
      </x:c>
      <x:c r="E2524" s="4" t="str">
        <x:v>WhatsApp transcribed</x:v>
      </x:c>
      <x:c r="F2524" s="4" t="str">
        <x:v>Record captured</x:v>
      </x:c>
      <x:c r="G2524" s="4" t="str">
        <x:v>Reserved</x:v>
      </x:c>
    </x:row>
    <x:row r="2525" ht="34" customHeight="1">
      <x:c r="A2525" s="4" t="str">
        <x:v>RS-02524-E1</x:v>
      </x:c>
      <x:c r="B2525" s="4" t="str">
        <x:v>RS-02524</x:v>
      </x:c>
      <x:c r="C2525" s="8" t="n">
        <x:v>45447</x:v>
      </x:c>
      <x:c r="D2525" s="4" t="str">
        <x:v>Sales operations manager</x:v>
      </x:c>
      <x:c r="E2525" s="4" t="str">
        <x:v>WhatsApp transcribed</x:v>
      </x:c>
      <x:c r="F2525" s="4" t="str">
        <x:v>Record captured</x:v>
      </x:c>
      <x:c r="G2525" s="4" t="str">
        <x:v>Reserved</x:v>
      </x:c>
    </x:row>
    <x:row r="2526" ht="34" customHeight="1">
      <x:c r="A2526" s="4" t="str">
        <x:v>RS-02525-E1</x:v>
      </x:c>
      <x:c r="B2526" s="4" t="str">
        <x:v>RS-02525</x:v>
      </x:c>
      <x:c r="C2526" s="8" t="n">
        <x:v>45448</x:v>
      </x:c>
      <x:c r="D2526" s="4" t="str">
        <x:v>Sales operations manager</x:v>
      </x:c>
      <x:c r="E2526" s="4" t="str">
        <x:v>Spreadsheet import</x:v>
      </x:c>
      <x:c r="F2526" s="4" t="str">
        <x:v>Record captured</x:v>
      </x:c>
      <x:c r="G2526" s="4" t="str">
        <x:v>Booked</x:v>
      </x:c>
    </x:row>
    <x:row r="2527" ht="34" customHeight="1">
      <x:c r="A2527" s="4" t="str">
        <x:v>RS-02526-E1</x:v>
      </x:c>
      <x:c r="B2527" s="4" t="str">
        <x:v>RS-02526</x:v>
      </x:c>
      <x:c r="C2527" s="8" t="n">
        <x:v>45449</x:v>
      </x:c>
      <x:c r="D2527" s="4" t="str">
        <x:v>Sales operations manager</x:v>
      </x:c>
      <x:c r="E2527" s="4" t="str">
        <x:v>ERP form</x:v>
      </x:c>
      <x:c r="F2527" s="4" t="str">
        <x:v>Record captured</x:v>
      </x:c>
      <x:c r="G2527" s="4" t="str">
        <x:v>Agreement signed</x:v>
      </x:c>
    </x:row>
    <x:row r="2528" ht="34" customHeight="1">
      <x:c r="A2528" s="4" t="str">
        <x:v>RS-02527-E1</x:v>
      </x:c>
      <x:c r="B2528" s="4" t="str">
        <x:v>RS-02527</x:v>
      </x:c>
      <x:c r="C2528" s="8" t="n">
        <x:v>45450</x:v>
      </x:c>
      <x:c r="D2528" s="4" t="str">
        <x:v>Sales operations manager</x:v>
      </x:c>
      <x:c r="E2528" s="4" t="str">
        <x:v>WhatsApp transcribed</x:v>
      </x:c>
      <x:c r="F2528" s="4" t="str">
        <x:v>Record captured</x:v>
      </x:c>
      <x:c r="G2528" s="4" t="str">
        <x:v>Reserved</x:v>
      </x:c>
    </x:row>
    <x:row r="2529" ht="34" customHeight="1">
      <x:c r="A2529" s="4" t="str">
        <x:v>RS-02528-E1</x:v>
      </x:c>
      <x:c r="B2529" s="4" t="str">
        <x:v>RS-02528</x:v>
      </x:c>
      <x:c r="C2529" s="8" t="n">
        <x:v>45451</x:v>
      </x:c>
      <x:c r="D2529" s="4" t="str">
        <x:v>Sales operations manager</x:v>
      </x:c>
      <x:c r="E2529" s="4" t="str">
        <x:v>Paper transcribed</x:v>
      </x:c>
      <x:c r="F2529" s="4" t="str">
        <x:v>Record captured</x:v>
      </x:c>
      <x:c r="G2529" s="4" t="str">
        <x:v>Reserved</x:v>
      </x:c>
    </x:row>
    <x:row r="2530" ht="34" customHeight="1">
      <x:c r="A2530" s="4" t="str">
        <x:v>RS-02529-E1</x:v>
      </x:c>
      <x:c r="B2530" s="4" t="str">
        <x:v>RS-02529</x:v>
      </x:c>
      <x:c r="C2530" s="8" t="n">
        <x:v>45452</x:v>
      </x:c>
      <x:c r="D2530" s="4" t="str">
        <x:v>Sales operations manager</x:v>
      </x:c>
      <x:c r="E2530" s="4" t="str">
        <x:v>ERP form</x:v>
      </x:c>
      <x:c r="F2530" s="4" t="str">
        <x:v>Record captured</x:v>
      </x:c>
      <x:c r="G2530" s="4" t="str">
        <x:v>Reserved</x:v>
      </x:c>
    </x:row>
    <x:row r="2531" ht="34" customHeight="1">
      <x:c r="A2531" s="4" t="str">
        <x:v>RS-02530-E1</x:v>
      </x:c>
      <x:c r="B2531" s="4" t="str">
        <x:v>RS-02530</x:v>
      </x:c>
      <x:c r="C2531" s="8" t="n">
        <x:v>45453</x:v>
      </x:c>
      <x:c r="D2531" s="4" t="str">
        <x:v>Sales operations manager</x:v>
      </x:c>
      <x:c r="E2531" s="4" t="str">
        <x:v>WhatsApp transcribed</x:v>
      </x:c>
      <x:c r="F2531" s="4" t="str">
        <x:v>Record captured</x:v>
      </x:c>
      <x:c r="G2531" s="4" t="str">
        <x:v>Reserved</x:v>
      </x:c>
    </x:row>
    <x:row r="2532" ht="34" customHeight="1">
      <x:c r="A2532" s="4" t="str">
        <x:v>RS-02531-E1</x:v>
      </x:c>
      <x:c r="B2532" s="4" t="str">
        <x:v>RS-02531</x:v>
      </x:c>
      <x:c r="C2532" s="8" t="n">
        <x:v>45454</x:v>
      </x:c>
      <x:c r="D2532" s="4" t="str">
        <x:v>Sales operations manager</x:v>
      </x:c>
      <x:c r="E2532" s="4" t="str">
        <x:v>Spreadsheet import</x:v>
      </x:c>
      <x:c r="F2532" s="4" t="str">
        <x:v>Record captured</x:v>
      </x:c>
      <x:c r="G2532" s="4" t="str">
        <x:v>Enquiry</x:v>
      </x:c>
    </x:row>
    <x:row r="2533" ht="34" customHeight="1">
      <x:c r="A2533" s="4" t="str">
        <x:v>RS-02532-E1</x:v>
      </x:c>
      <x:c r="B2533" s="4" t="str">
        <x:v>RS-02532</x:v>
      </x:c>
      <x:c r="C2533" s="8" t="n">
        <x:v>45455</x:v>
      </x:c>
      <x:c r="D2533" s="4" t="str">
        <x:v>Sales operations manager</x:v>
      </x:c>
      <x:c r="E2533" s="4" t="str">
        <x:v>Spreadsheet import</x:v>
      </x:c>
      <x:c r="F2533" s="4" t="str">
        <x:v>Record captured</x:v>
      </x:c>
      <x:c r="G2533" s="4" t="str">
        <x:v>Reserved</x:v>
      </x:c>
    </x:row>
    <x:row r="2534" ht="34" customHeight="1">
      <x:c r="A2534" s="4" t="str">
        <x:v>RS-02533-E1</x:v>
      </x:c>
      <x:c r="B2534" s="4" t="str">
        <x:v>RS-02533</x:v>
      </x:c>
      <x:c r="C2534" s="8" t="n">
        <x:v>45456</x:v>
      </x:c>
      <x:c r="D2534" s="4" t="str">
        <x:v>Sales operations manager</x:v>
      </x:c>
      <x:c r="E2534" s="4" t="str">
        <x:v>ERP form</x:v>
      </x:c>
      <x:c r="F2534" s="4" t="str">
        <x:v>Record captured</x:v>
      </x:c>
      <x:c r="G2534" s="4" t="str">
        <x:v>Cancelled</x:v>
      </x:c>
    </x:row>
    <x:row r="2535" ht="34" customHeight="1">
      <x:c r="A2535" s="4" t="str">
        <x:v>RS-02534-E1</x:v>
      </x:c>
      <x:c r="B2535" s="4" t="str">
        <x:v>RS-02534</x:v>
      </x:c>
      <x:c r="C2535" s="8" t="n">
        <x:v>45457</x:v>
      </x:c>
      <x:c r="D2535" s="4" t="str">
        <x:v>Sales operations manager</x:v>
      </x:c>
      <x:c r="E2535" s="4" t="str">
        <x:v>ERP form</x:v>
      </x:c>
      <x:c r="F2535" s="4" t="str">
        <x:v>Record captured</x:v>
      </x:c>
      <x:c r="G2535" s="4" t="str">
        <x:v>Enquiry</x:v>
      </x:c>
    </x:row>
    <x:row r="2536" ht="34" customHeight="1">
      <x:c r="A2536" s="4" t="str">
        <x:v>RS-02535-E1</x:v>
      </x:c>
      <x:c r="B2536" s="4" t="str">
        <x:v>RS-02535</x:v>
      </x:c>
      <x:c r="C2536" s="8" t="n">
        <x:v>45458</x:v>
      </x:c>
      <x:c r="D2536" s="4" t="str">
        <x:v>Sales operations manager</x:v>
      </x:c>
      <x:c r="E2536" s="4" t="str">
        <x:v>Paper transcribed</x:v>
      </x:c>
      <x:c r="F2536" s="4" t="str">
        <x:v>Record captured</x:v>
      </x:c>
      <x:c r="G2536" s="4" t="str">
        <x:v>Reserved</x:v>
      </x:c>
    </x:row>
    <x:row r="2537" ht="34" customHeight="1">
      <x:c r="A2537" s="4" t="str">
        <x:v>RS-02536-E1</x:v>
      </x:c>
      <x:c r="B2537" s="4" t="str">
        <x:v>RS-02536</x:v>
      </x:c>
      <x:c r="C2537" s="8" t="n">
        <x:v>45459</x:v>
      </x:c>
      <x:c r="D2537" s="4" t="str">
        <x:v>Sales operations manager</x:v>
      </x:c>
      <x:c r="E2537" s="4" t="str">
        <x:v>Paper transcribed</x:v>
      </x:c>
      <x:c r="F2537" s="4" t="str">
        <x:v>Record captured</x:v>
      </x:c>
      <x:c r="G2537" s="4" t="str">
        <x:v>Enquiry</x:v>
      </x:c>
    </x:row>
    <x:row r="2538" ht="34" customHeight="1">
      <x:c r="A2538" s="4" t="str">
        <x:v>RS-02537-E1</x:v>
      </x:c>
      <x:c r="B2538" s="4" t="str">
        <x:v>RS-02537</x:v>
      </x:c>
      <x:c r="C2538" s="8" t="n">
        <x:v>45460</x:v>
      </x:c>
      <x:c r="D2538" s="4" t="str">
        <x:v>Sales operations manager</x:v>
      </x:c>
      <x:c r="E2538" s="4" t="str">
        <x:v>Spreadsheet import</x:v>
      </x:c>
      <x:c r="F2538" s="4" t="str">
        <x:v>Record captured</x:v>
      </x:c>
      <x:c r="G2538" s="4" t="str">
        <x:v>Agreement signed</x:v>
      </x:c>
    </x:row>
    <x:row r="2539" ht="34" customHeight="1">
      <x:c r="A2539" s="4" t="str">
        <x:v>RS-02538-E1</x:v>
      </x:c>
      <x:c r="B2539" s="4" t="str">
        <x:v>RS-02538</x:v>
      </x:c>
      <x:c r="C2539" s="8" t="n">
        <x:v>45461</x:v>
      </x:c>
      <x:c r="D2539" s="4" t="str">
        <x:v>Sales operations manager</x:v>
      </x:c>
      <x:c r="E2539" s="4" t="str">
        <x:v>Spreadsheet import</x:v>
      </x:c>
      <x:c r="F2539" s="4" t="str">
        <x:v>Record captured</x:v>
      </x:c>
      <x:c r="G2539" s="4" t="str">
        <x:v>Enquiry</x:v>
      </x:c>
    </x:row>
    <x:row r="2540" ht="34" customHeight="1">
      <x:c r="A2540" s="4" t="str">
        <x:v>RS-02539-E1</x:v>
      </x:c>
      <x:c r="B2540" s="4" t="str">
        <x:v>RS-02539</x:v>
      </x:c>
      <x:c r="C2540" s="8" t="n">
        <x:v>45462</x:v>
      </x:c>
      <x:c r="D2540" s="4" t="str">
        <x:v>Sales operations manager</x:v>
      </x:c>
      <x:c r="E2540" s="4" t="str">
        <x:v>Paper transcribed</x:v>
      </x:c>
      <x:c r="F2540" s="4" t="str">
        <x:v>Record captured</x:v>
      </x:c>
      <x:c r="G2540" s="4" t="str">
        <x:v>Reserved</x:v>
      </x:c>
    </x:row>
    <x:row r="2541" ht="34" customHeight="1">
      <x:c r="A2541" s="4" t="str">
        <x:v>RS-02540-E1</x:v>
      </x:c>
      <x:c r="B2541" s="4" t="str">
        <x:v>RS-02540</x:v>
      </x:c>
      <x:c r="C2541" s="8" t="n">
        <x:v>45463</x:v>
      </x:c>
      <x:c r="D2541" s="4" t="str">
        <x:v>Sales operations manager</x:v>
      </x:c>
      <x:c r="E2541" s="4" t="str">
        <x:v>WhatsApp transcribed</x:v>
      </x:c>
      <x:c r="F2541" s="4" t="str">
        <x:v>Record captured</x:v>
      </x:c>
      <x:c r="G2541" s="4" t="str">
        <x:v>Enquiry</x:v>
      </x:c>
    </x:row>
    <x:row r="2542" ht="34" customHeight="1">
      <x:c r="A2542" s="4" t="str">
        <x:v>RS-02541-E1</x:v>
      </x:c>
      <x:c r="B2542" s="4" t="str">
        <x:v>RS-02541</x:v>
      </x:c>
      <x:c r="C2542" s="8" t="n">
        <x:v>45464</x:v>
      </x:c>
      <x:c r="D2542" s="4" t="str">
        <x:v>Sales operations manager</x:v>
      </x:c>
      <x:c r="E2542" s="4" t="str">
        <x:v>Spreadsheet import</x:v>
      </x:c>
      <x:c r="F2542" s="4" t="str">
        <x:v>Record captured</x:v>
      </x:c>
      <x:c r="G2542" s="4" t="str">
        <x:v>Handed over</x:v>
      </x:c>
    </x:row>
    <x:row r="2543" ht="34" customHeight="1">
      <x:c r="A2543" s="4" t="str">
        <x:v>RS-02542-E1</x:v>
      </x:c>
      <x:c r="B2543" s="4" t="str">
        <x:v>RS-02542</x:v>
      </x:c>
      <x:c r="C2543" s="8" t="n">
        <x:v>45465</x:v>
      </x:c>
      <x:c r="D2543" s="4" t="str">
        <x:v>Sales operations manager</x:v>
      </x:c>
      <x:c r="E2543" s="4" t="str">
        <x:v>Spreadsheet import</x:v>
      </x:c>
      <x:c r="F2543" s="4" t="str">
        <x:v>Record captured</x:v>
      </x:c>
      <x:c r="G2543" s="4" t="str">
        <x:v>Cancelled</x:v>
      </x:c>
    </x:row>
    <x:row r="2544" ht="34" customHeight="1">
      <x:c r="A2544" s="4" t="str">
        <x:v>RS-02543-E1</x:v>
      </x:c>
      <x:c r="B2544" s="4" t="str">
        <x:v>RS-02543</x:v>
      </x:c>
      <x:c r="C2544" s="8" t="n">
        <x:v>45466</x:v>
      </x:c>
      <x:c r="D2544" s="4" t="str">
        <x:v>Sales operations manager</x:v>
      </x:c>
      <x:c r="E2544" s="4" t="str">
        <x:v>Spreadsheet import</x:v>
      </x:c>
      <x:c r="F2544" s="4" t="str">
        <x:v>Record captured</x:v>
      </x:c>
      <x:c r="G2544" s="4" t="str">
        <x:v>Cancelled</x:v>
      </x:c>
    </x:row>
    <x:row r="2545" ht="34" customHeight="1">
      <x:c r="A2545" s="4" t="str">
        <x:v>RS-02544-E1</x:v>
      </x:c>
      <x:c r="B2545" s="4" t="str">
        <x:v>RS-02544</x:v>
      </x:c>
      <x:c r="C2545" s="8" t="n">
        <x:v>45467</x:v>
      </x:c>
      <x:c r="D2545" s="4" t="str">
        <x:v>Sales operations manager</x:v>
      </x:c>
      <x:c r="E2545" s="4" t="str">
        <x:v>Spreadsheet import</x:v>
      </x:c>
      <x:c r="F2545" s="4" t="str">
        <x:v>Record captured</x:v>
      </x:c>
      <x:c r="G2545" s="4" t="str">
        <x:v>Handed over</x:v>
      </x:c>
    </x:row>
    <x:row r="2546" ht="34" customHeight="1">
      <x:c r="A2546" s="4" t="str">
        <x:v>RS-02545-E1</x:v>
      </x:c>
      <x:c r="B2546" s="4" t="str">
        <x:v>RS-02545</x:v>
      </x:c>
      <x:c r="C2546" s="8" t="n">
        <x:v>45468</x:v>
      </x:c>
      <x:c r="D2546" s="4" t="str">
        <x:v>Sales operations manager</x:v>
      </x:c>
      <x:c r="E2546" s="4" t="str">
        <x:v>ERP form</x:v>
      </x:c>
      <x:c r="F2546" s="4" t="str">
        <x:v>Record captured</x:v>
      </x:c>
      <x:c r="G2546" s="4" t="str">
        <x:v>Booked</x:v>
      </x:c>
    </x:row>
    <x:row r="2547" ht="34" customHeight="1">
      <x:c r="A2547" s="4" t="str">
        <x:v>RS-02546-E1</x:v>
      </x:c>
      <x:c r="B2547" s="4" t="str">
        <x:v>RS-02546</x:v>
      </x:c>
      <x:c r="C2547" s="8" t="n">
        <x:v>45469</x:v>
      </x:c>
      <x:c r="D2547" s="4" t="str">
        <x:v>Sales operations manager</x:v>
      </x:c>
      <x:c r="E2547" s="4" t="str">
        <x:v>Spreadsheet import</x:v>
      </x:c>
      <x:c r="F2547" s="4" t="str">
        <x:v>Record captured</x:v>
      </x:c>
      <x:c r="G2547" s="4" t="str">
        <x:v>Reserved</x:v>
      </x:c>
    </x:row>
    <x:row r="2548" ht="34" customHeight="1">
      <x:c r="A2548" s="4" t="str">
        <x:v>RS-02547-E1</x:v>
      </x:c>
      <x:c r="B2548" s="4" t="str">
        <x:v>RS-02547</x:v>
      </x:c>
      <x:c r="C2548" s="8" t="n">
        <x:v>45470</x:v>
      </x:c>
      <x:c r="D2548" s="4" t="str">
        <x:v>Sales operations manager</x:v>
      </x:c>
      <x:c r="E2548" s="4" t="str">
        <x:v>ERP form</x:v>
      </x:c>
      <x:c r="F2548" s="4" t="str">
        <x:v>Record captured</x:v>
      </x:c>
      <x:c r="G2548" s="4" t="str">
        <x:v>Agreement signed</x:v>
      </x:c>
    </x:row>
    <x:row r="2549" ht="34" customHeight="1">
      <x:c r="A2549" s="4" t="str">
        <x:v>RS-02548-E1</x:v>
      </x:c>
      <x:c r="B2549" s="4" t="str">
        <x:v>RS-02548</x:v>
      </x:c>
      <x:c r="C2549" s="8" t="n">
        <x:v>45471</x:v>
      </x:c>
      <x:c r="D2549" s="4" t="str">
        <x:v>Sales operations manager</x:v>
      </x:c>
      <x:c r="E2549" s="4" t="str">
        <x:v>Paper transcribed</x:v>
      </x:c>
      <x:c r="F2549" s="4" t="str">
        <x:v>Record captured</x:v>
      </x:c>
      <x:c r="G2549" s="4" t="str">
        <x:v>Agreement signed</x:v>
      </x:c>
    </x:row>
    <x:row r="2550" ht="34" customHeight="1">
      <x:c r="A2550" s="4" t="str">
        <x:v>RS-02549-E1</x:v>
      </x:c>
      <x:c r="B2550" s="4" t="str">
        <x:v>RS-02549</x:v>
      </x:c>
      <x:c r="C2550" s="8" t="n">
        <x:v>45444</x:v>
      </x:c>
      <x:c r="D2550" s="4" t="str">
        <x:v>Sales operations manager</x:v>
      </x:c>
      <x:c r="E2550" s="4" t="str">
        <x:v>ERP form</x:v>
      </x:c>
      <x:c r="F2550" s="4" t="str">
        <x:v>Record captured</x:v>
      </x:c>
      <x:c r="G2550" s="4" t="str">
        <x:v>Enquiry</x:v>
      </x:c>
    </x:row>
    <x:row r="2551" ht="34" customHeight="1">
      <x:c r="A2551" s="4" t="str">
        <x:v>RS-02550-E1</x:v>
      </x:c>
      <x:c r="B2551" s="4" t="str">
        <x:v>RS-02550</x:v>
      </x:c>
      <x:c r="C2551" s="8" t="n">
        <x:v>45445</x:v>
      </x:c>
      <x:c r="D2551" s="4" t="str">
        <x:v>Sales operations manager</x:v>
      </x:c>
      <x:c r="E2551" s="4" t="str">
        <x:v>ERP form</x:v>
      </x:c>
      <x:c r="F2551" s="4" t="str">
        <x:v>Record captured</x:v>
      </x:c>
      <x:c r="G2551" s="4" t="str">
        <x:v>Reserved</x:v>
      </x:c>
    </x:row>
    <x:row r="2552" ht="34" customHeight="1">
      <x:c r="A2552" s="4" t="str">
        <x:v>RS-02551-E1</x:v>
      </x:c>
      <x:c r="B2552" s="4" t="str">
        <x:v>RS-02551</x:v>
      </x:c>
      <x:c r="C2552" s="8" t="n">
        <x:v>45446</x:v>
      </x:c>
      <x:c r="D2552" s="4" t="str">
        <x:v>Sales operations manager</x:v>
      </x:c>
      <x:c r="E2552" s="4" t="str">
        <x:v>ERP form</x:v>
      </x:c>
      <x:c r="F2552" s="4" t="str">
        <x:v>Record captured</x:v>
      </x:c>
      <x:c r="G2552" s="4" t="str">
        <x:v>Handed over</x:v>
      </x:c>
    </x:row>
    <x:row r="2553" ht="34" customHeight="1">
      <x:c r="A2553" s="4" t="str">
        <x:v>RS-02552-E1</x:v>
      </x:c>
      <x:c r="B2553" s="4" t="str">
        <x:v>RS-02552</x:v>
      </x:c>
      <x:c r="C2553" s="8" t="n">
        <x:v>45447</x:v>
      </x:c>
      <x:c r="D2553" s="4" t="str">
        <x:v>Sales operations manager</x:v>
      </x:c>
      <x:c r="E2553" s="4" t="str">
        <x:v>ERP form</x:v>
      </x:c>
      <x:c r="F2553" s="4" t="str">
        <x:v>Record captured</x:v>
      </x:c>
      <x:c r="G2553" s="4" t="str">
        <x:v>Reserved</x:v>
      </x:c>
    </x:row>
    <x:row r="2554" ht="34" customHeight="1">
      <x:c r="A2554" s="4" t="str">
        <x:v>RS-02553-E1</x:v>
      </x:c>
      <x:c r="B2554" s="4" t="str">
        <x:v>RS-02553</x:v>
      </x:c>
      <x:c r="C2554" s="8" t="n">
        <x:v>45448</x:v>
      </x:c>
      <x:c r="D2554" s="4" t="str">
        <x:v>Sales operations manager</x:v>
      </x:c>
      <x:c r="E2554" s="4" t="str">
        <x:v>WhatsApp transcribed</x:v>
      </x:c>
      <x:c r="F2554" s="4" t="str">
        <x:v>Record captured</x:v>
      </x:c>
      <x:c r="G2554" s="4" t="str">
        <x:v>Agreement signed</x:v>
      </x:c>
    </x:row>
    <x:row r="2555" ht="34" customHeight="1">
      <x:c r="A2555" s="4" t="str">
        <x:v>RS-02554-E1</x:v>
      </x:c>
      <x:c r="B2555" s="4" t="str">
        <x:v>RS-02554</x:v>
      </x:c>
      <x:c r="C2555" s="8" t="n">
        <x:v>45449</x:v>
      </x:c>
      <x:c r="D2555" s="4" t="str">
        <x:v>Sales operations manager</x:v>
      </x:c>
      <x:c r="E2555" s="4" t="str">
        <x:v>Paper transcribed</x:v>
      </x:c>
      <x:c r="F2555" s="4" t="str">
        <x:v>Record captured</x:v>
      </x:c>
      <x:c r="G2555" s="4" t="str">
        <x:v>Cancelled</x:v>
      </x:c>
    </x:row>
    <x:row r="2556" ht="34" customHeight="1">
      <x:c r="A2556" s="4" t="str">
        <x:v>RS-02555-E1</x:v>
      </x:c>
      <x:c r="B2556" s="4" t="str">
        <x:v>RS-02555</x:v>
      </x:c>
      <x:c r="C2556" s="8" t="n">
        <x:v>45450</x:v>
      </x:c>
      <x:c r="D2556" s="4" t="str">
        <x:v>Sales operations manager</x:v>
      </x:c>
      <x:c r="E2556" s="4" t="str">
        <x:v>WhatsApp transcribed</x:v>
      </x:c>
      <x:c r="F2556" s="4" t="str">
        <x:v>Record captured</x:v>
      </x:c>
      <x:c r="G2556" s="4" t="str">
        <x:v>Enquiry</x:v>
      </x:c>
    </x:row>
    <x:row r="2557" ht="34" customHeight="1">
      <x:c r="A2557" s="4" t="str">
        <x:v>RS-02556-E1</x:v>
      </x:c>
      <x:c r="B2557" s="4" t="str">
        <x:v>RS-02556</x:v>
      </x:c>
      <x:c r="C2557" s="8" t="n">
        <x:v>45451</x:v>
      </x:c>
      <x:c r="D2557" s="4" t="str">
        <x:v>Sales operations manager</x:v>
      </x:c>
      <x:c r="E2557" s="4" t="str">
        <x:v>ERP form</x:v>
      </x:c>
      <x:c r="F2557" s="4" t="str">
        <x:v>Record captured</x:v>
      </x:c>
      <x:c r="G2557" s="4" t="str">
        <x:v>Booked</x:v>
      </x:c>
    </x:row>
    <x:row r="2558" ht="34" customHeight="1">
      <x:c r="A2558" s="4" t="str">
        <x:v>RS-02557-E1</x:v>
      </x:c>
      <x:c r="B2558" s="4" t="str">
        <x:v>RS-02557</x:v>
      </x:c>
      <x:c r="C2558" s="8" t="n">
        <x:v>45452</x:v>
      </x:c>
      <x:c r="D2558" s="4" t="str">
        <x:v>Sales operations manager</x:v>
      </x:c>
      <x:c r="E2558" s="4" t="str">
        <x:v>ERP form</x:v>
      </x:c>
      <x:c r="F2558" s="4" t="str">
        <x:v>Record captured</x:v>
      </x:c>
      <x:c r="G2558" s="4" t="str">
        <x:v>Enquiry</x:v>
      </x:c>
    </x:row>
    <x:row r="2559" ht="34" customHeight="1">
      <x:c r="A2559" s="4" t="str">
        <x:v>RS-02558-E1</x:v>
      </x:c>
      <x:c r="B2559" s="4" t="str">
        <x:v>RS-02558</x:v>
      </x:c>
      <x:c r="C2559" s="8" t="n">
        <x:v>45453</x:v>
      </x:c>
      <x:c r="D2559" s="4" t="str">
        <x:v>Sales operations manager</x:v>
      </x:c>
      <x:c r="E2559" s="4" t="str">
        <x:v>WhatsApp transcribed</x:v>
      </x:c>
      <x:c r="F2559" s="4" t="str">
        <x:v>Record captured</x:v>
      </x:c>
      <x:c r="G2559" s="4" t="str">
        <x:v>Enquiry</x:v>
      </x:c>
    </x:row>
    <x:row r="2560" ht="34" customHeight="1">
      <x:c r="A2560" s="4" t="str">
        <x:v>RS-02559-E1</x:v>
      </x:c>
      <x:c r="B2560" s="4" t="str">
        <x:v>RS-02559</x:v>
      </x:c>
      <x:c r="C2560" s="8" t="n">
        <x:v>45454</x:v>
      </x:c>
      <x:c r="D2560" s="4" t="str">
        <x:v>Sales operations manager</x:v>
      </x:c>
      <x:c r="E2560" s="4" t="str">
        <x:v>ERP form</x:v>
      </x:c>
      <x:c r="F2560" s="4" t="str">
        <x:v>Record captured</x:v>
      </x:c>
      <x:c r="G2560" s="4" t="str">
        <x:v>Enquiry</x:v>
      </x:c>
    </x:row>
    <x:row r="2561" ht="34" customHeight="1">
      <x:c r="A2561" s="4" t="str">
        <x:v>RS-02560-E1</x:v>
      </x:c>
      <x:c r="B2561" s="4" t="str">
        <x:v>RS-02560</x:v>
      </x:c>
      <x:c r="C2561" s="8" t="n">
        <x:v>45455</x:v>
      </x:c>
      <x:c r="D2561" s="4" t="str">
        <x:v>Sales operations manager</x:v>
      </x:c>
      <x:c r="E2561" s="4" t="str">
        <x:v>Spreadsheet import</x:v>
      </x:c>
      <x:c r="F2561" s="4" t="str">
        <x:v>Record captured</x:v>
      </x:c>
      <x:c r="G2561" s="4" t="str">
        <x:v>Cancelled</x:v>
      </x:c>
    </x:row>
    <x:row r="2562" ht="34" customHeight="1">
      <x:c r="A2562" s="4" t="str">
        <x:v>RS-02561-E1</x:v>
      </x:c>
      <x:c r="B2562" s="4" t="str">
        <x:v>RS-02561</x:v>
      </x:c>
      <x:c r="C2562" s="8" t="n">
        <x:v>45456</x:v>
      </x:c>
      <x:c r="D2562" s="4" t="str">
        <x:v>Sales operations manager</x:v>
      </x:c>
      <x:c r="E2562" s="4" t="str">
        <x:v>Paper transcribed</x:v>
      </x:c>
      <x:c r="F2562" s="4" t="str">
        <x:v>Record captured</x:v>
      </x:c>
      <x:c r="G2562" s="4" t="str">
        <x:v>Reserved</x:v>
      </x:c>
    </x:row>
    <x:row r="2563" ht="34" customHeight="1">
      <x:c r="A2563" s="4" t="str">
        <x:v>RS-02562-E1</x:v>
      </x:c>
      <x:c r="B2563" s="4" t="str">
        <x:v>RS-02562</x:v>
      </x:c>
      <x:c r="C2563" s="8" t="n">
        <x:v>45457</x:v>
      </x:c>
      <x:c r="D2563" s="4" t="str">
        <x:v>Sales operations manager</x:v>
      </x:c>
      <x:c r="E2563" s="4" t="str">
        <x:v>Spreadsheet import</x:v>
      </x:c>
      <x:c r="F2563" s="4" t="str">
        <x:v>Record captured</x:v>
      </x:c>
      <x:c r="G2563" s="4" t="str">
        <x:v>Cancelled</x:v>
      </x:c>
    </x:row>
    <x:row r="2564" ht="34" customHeight="1">
      <x:c r="A2564" s="4" t="str">
        <x:v>RS-02563-E1</x:v>
      </x:c>
      <x:c r="B2564" s="4" t="str">
        <x:v>RS-02563</x:v>
      </x:c>
      <x:c r="C2564" s="8" t="n">
        <x:v>45458</x:v>
      </x:c>
      <x:c r="D2564" s="4" t="str">
        <x:v>Sales operations manager</x:v>
      </x:c>
      <x:c r="E2564" s="4" t="str">
        <x:v>Spreadsheet import</x:v>
      </x:c>
      <x:c r="F2564" s="4" t="str">
        <x:v>Record captured</x:v>
      </x:c>
      <x:c r="G2564" s="4" t="str">
        <x:v>Booked</x:v>
      </x:c>
    </x:row>
    <x:row r="2565" ht="34" customHeight="1">
      <x:c r="A2565" s="4" t="str">
        <x:v>RS-02564-E1</x:v>
      </x:c>
      <x:c r="B2565" s="4" t="str">
        <x:v>RS-02564</x:v>
      </x:c>
      <x:c r="C2565" s="8" t="n">
        <x:v>45459</x:v>
      </x:c>
      <x:c r="D2565" s="4" t="str">
        <x:v>Sales operations manager</x:v>
      </x:c>
      <x:c r="E2565" s="4" t="str">
        <x:v>ERP form</x:v>
      </x:c>
      <x:c r="F2565" s="4" t="str">
        <x:v>Record captured</x:v>
      </x:c>
      <x:c r="G2565" s="4" t="str">
        <x:v>Reserved</x:v>
      </x:c>
    </x:row>
    <x:row r="2566" ht="34" customHeight="1">
      <x:c r="A2566" s="4" t="str">
        <x:v>RS-02565-E1</x:v>
      </x:c>
      <x:c r="B2566" s="4" t="str">
        <x:v>RS-02565</x:v>
      </x:c>
      <x:c r="C2566" s="8" t="n">
        <x:v>45460</x:v>
      </x:c>
      <x:c r="D2566" s="4" t="str">
        <x:v>Sales operations manager</x:v>
      </x:c>
      <x:c r="E2566" s="4" t="str">
        <x:v>Spreadsheet import</x:v>
      </x:c>
      <x:c r="F2566" s="4" t="str">
        <x:v>Record captured</x:v>
      </x:c>
      <x:c r="G2566" s="4" t="str">
        <x:v>Reserved</x:v>
      </x:c>
    </x:row>
    <x:row r="2567" ht="34" customHeight="1">
      <x:c r="A2567" s="4" t="str">
        <x:v>RS-02566-E1</x:v>
      </x:c>
      <x:c r="B2567" s="4" t="str">
        <x:v>RS-02566</x:v>
      </x:c>
      <x:c r="C2567" s="8" t="n">
        <x:v>45461</x:v>
      </x:c>
      <x:c r="D2567" s="4" t="str">
        <x:v>Sales operations manager</x:v>
      </x:c>
      <x:c r="E2567" s="4" t="str">
        <x:v>Paper transcribed</x:v>
      </x:c>
      <x:c r="F2567" s="4" t="str">
        <x:v>Record captured</x:v>
      </x:c>
      <x:c r="G2567" s="4" t="str">
        <x:v>Enquiry</x:v>
      </x:c>
    </x:row>
    <x:row r="2568" ht="34" customHeight="1">
      <x:c r="A2568" s="4" t="str">
        <x:v>RS-02567-E1</x:v>
      </x:c>
      <x:c r="B2568" s="4" t="str">
        <x:v>RS-02567</x:v>
      </x:c>
      <x:c r="C2568" s="8" t="n">
        <x:v>45462</x:v>
      </x:c>
      <x:c r="D2568" s="4" t="str">
        <x:v>Sales operations manager</x:v>
      </x:c>
      <x:c r="E2568" s="4" t="str">
        <x:v>WhatsApp transcribed</x:v>
      </x:c>
      <x:c r="F2568" s="4" t="str">
        <x:v>Record captured</x:v>
      </x:c>
      <x:c r="G2568" s="4" t="str">
        <x:v>Handed over</x:v>
      </x:c>
    </x:row>
    <x:row r="2569" ht="34" customHeight="1">
      <x:c r="A2569" s="4" t="str">
        <x:v>RS-02568-E1</x:v>
      </x:c>
      <x:c r="B2569" s="4" t="str">
        <x:v>RS-02568</x:v>
      </x:c>
      <x:c r="C2569" s="8" t="n">
        <x:v>45463</x:v>
      </x:c>
      <x:c r="D2569" s="4" t="str">
        <x:v>Sales operations manager</x:v>
      </x:c>
      <x:c r="E2569" s="4" t="str">
        <x:v>ERP form</x:v>
      </x:c>
      <x:c r="F2569" s="4" t="str">
        <x:v>Record captured</x:v>
      </x:c>
      <x:c r="G2569" s="4" t="str">
        <x:v>Handed over</x:v>
      </x:c>
    </x:row>
    <x:row r="2570" ht="34" customHeight="1">
      <x:c r="A2570" s="4" t="str">
        <x:v>RS-02569-E1</x:v>
      </x:c>
      <x:c r="B2570" s="4" t="str">
        <x:v>RS-02569</x:v>
      </x:c>
      <x:c r="C2570" s="8" t="n">
        <x:v>45464</x:v>
      </x:c>
      <x:c r="D2570" s="4" t="str">
        <x:v>Sales operations manager</x:v>
      </x:c>
      <x:c r="E2570" s="4" t="str">
        <x:v>WhatsApp transcribed</x:v>
      </x:c>
      <x:c r="F2570" s="4" t="str">
        <x:v>Record captured</x:v>
      </x:c>
      <x:c r="G2570" s="4" t="str">
        <x:v>Reserved</x:v>
      </x:c>
    </x:row>
    <x:row r="2571" ht="34" customHeight="1">
      <x:c r="A2571" s="4" t="str">
        <x:v>RS-02570-E1</x:v>
      </x:c>
      <x:c r="B2571" s="4" t="str">
        <x:v>RS-02570</x:v>
      </x:c>
      <x:c r="C2571" s="8" t="n">
        <x:v>45465</x:v>
      </x:c>
      <x:c r="D2571" s="4" t="str">
        <x:v>Sales operations manager</x:v>
      </x:c>
      <x:c r="E2571" s="4" t="str">
        <x:v>Paper transcribed</x:v>
      </x:c>
      <x:c r="F2571" s="4" t="str">
        <x:v>Record captured</x:v>
      </x:c>
      <x:c r="G2571" s="4" t="str">
        <x:v>Handed over</x:v>
      </x:c>
    </x:row>
    <x:row r="2572" ht="34" customHeight="1">
      <x:c r="A2572" s="4" t="str">
        <x:v>RS-02571-E1</x:v>
      </x:c>
      <x:c r="B2572" s="4" t="str">
        <x:v>RS-02571</x:v>
      </x:c>
      <x:c r="C2572" s="8" t="n">
        <x:v>45466</x:v>
      </x:c>
      <x:c r="D2572" s="4" t="str">
        <x:v>Sales operations manager</x:v>
      </x:c>
      <x:c r="E2572" s="4" t="str">
        <x:v>WhatsApp transcribed</x:v>
      </x:c>
      <x:c r="F2572" s="4" t="str">
        <x:v>Record captured</x:v>
      </x:c>
      <x:c r="G2572" s="4" t="str">
        <x:v>Reserved</x:v>
      </x:c>
    </x:row>
    <x:row r="2573" ht="34" customHeight="1">
      <x:c r="A2573" s="4" t="str">
        <x:v>RS-02572-E1</x:v>
      </x:c>
      <x:c r="B2573" s="4" t="str">
        <x:v>RS-02572</x:v>
      </x:c>
      <x:c r="C2573" s="8" t="n">
        <x:v>45467</x:v>
      </x:c>
      <x:c r="D2573" s="4" t="str">
        <x:v>Sales operations manager</x:v>
      </x:c>
      <x:c r="E2573" s="4" t="str">
        <x:v>Spreadsheet import</x:v>
      </x:c>
      <x:c r="F2573" s="4" t="str">
        <x:v>Record captured</x:v>
      </x:c>
      <x:c r="G2573" s="4" t="str">
        <x:v>Cancelled</x:v>
      </x:c>
    </x:row>
    <x:row r="2574" ht="34" customHeight="1">
      <x:c r="A2574" s="4" t="str">
        <x:v>RS-02573-E1</x:v>
      </x:c>
      <x:c r="B2574" s="4" t="str">
        <x:v>RS-02573</x:v>
      </x:c>
      <x:c r="C2574" s="8" t="n">
        <x:v>45468</x:v>
      </x:c>
      <x:c r="D2574" s="4" t="str">
        <x:v>Sales operations manager</x:v>
      </x:c>
      <x:c r="E2574" s="4" t="str">
        <x:v>ERP form</x:v>
      </x:c>
      <x:c r="F2574" s="4" t="str">
        <x:v>Record captured</x:v>
      </x:c>
      <x:c r="G2574" s="4" t="str">
        <x:v>Agreement signed</x:v>
      </x:c>
    </x:row>
    <x:row r="2575" ht="34" customHeight="1">
      <x:c r="A2575" s="4" t="str">
        <x:v>RS-02574-E1</x:v>
      </x:c>
      <x:c r="B2575" s="4" t="str">
        <x:v>RS-02574</x:v>
      </x:c>
      <x:c r="C2575" s="8" t="n">
        <x:v>45469</x:v>
      </x:c>
      <x:c r="D2575" s="4" t="str">
        <x:v>Sales operations manager</x:v>
      </x:c>
      <x:c r="E2575" s="4" t="str">
        <x:v>WhatsApp transcribed</x:v>
      </x:c>
      <x:c r="F2575" s="4" t="str">
        <x:v>Record captured</x:v>
      </x:c>
      <x:c r="G2575" s="4" t="str">
        <x:v>Booked</x:v>
      </x:c>
    </x:row>
    <x:row r="2576" ht="34" customHeight="1">
      <x:c r="A2576" s="4" t="str">
        <x:v>RS-02575-E1</x:v>
      </x:c>
      <x:c r="B2576" s="4" t="str">
        <x:v>RS-02575</x:v>
      </x:c>
      <x:c r="C2576" s="8" t="n">
        <x:v>45470</x:v>
      </x:c>
      <x:c r="D2576" s="4" t="str">
        <x:v>Sales operations manager</x:v>
      </x:c>
      <x:c r="E2576" s="4" t="str">
        <x:v>Paper transcribed</x:v>
      </x:c>
      <x:c r="F2576" s="4" t="str">
        <x:v>Record captured</x:v>
      </x:c>
      <x:c r="G2576" s="4" t="str">
        <x:v>Reserved</x:v>
      </x:c>
    </x:row>
    <x:row r="2577" ht="34" customHeight="1">
      <x:c r="A2577" s="4" t="str">
        <x:v>RS-02576-E1</x:v>
      </x:c>
      <x:c r="B2577" s="4" t="str">
        <x:v>RS-02576</x:v>
      </x:c>
      <x:c r="C2577" s="8" t="n">
        <x:v>45471</x:v>
      </x:c>
      <x:c r="D2577" s="4" t="str">
        <x:v>Sales operations manager</x:v>
      </x:c>
      <x:c r="E2577" s="4" t="str">
        <x:v>Spreadsheet import</x:v>
      </x:c>
      <x:c r="F2577" s="4" t="str">
        <x:v>Record captured</x:v>
      </x:c>
      <x:c r="G2577" s="4" t="str">
        <x:v>Cancelled</x:v>
      </x:c>
    </x:row>
    <x:row r="2578" ht="34" customHeight="1">
      <x:c r="A2578" s="4" t="str">
        <x:v>RS-02577-E1</x:v>
      </x:c>
      <x:c r="B2578" s="4" t="str">
        <x:v>RS-02577</x:v>
      </x:c>
      <x:c r="C2578" s="8" t="n">
        <x:v>45444</x:v>
      </x:c>
      <x:c r="D2578" s="4" t="str">
        <x:v>Sales operations manager</x:v>
      </x:c>
      <x:c r="E2578" s="4" t="str">
        <x:v>Spreadsheet import</x:v>
      </x:c>
      <x:c r="F2578" s="4" t="str">
        <x:v>Record captured</x:v>
      </x:c>
      <x:c r="G2578" s="4" t="str">
        <x:v>Cancelled</x:v>
      </x:c>
    </x:row>
    <x:row r="2579" ht="34" customHeight="1">
      <x:c r="A2579" s="4" t="str">
        <x:v>RS-02578-E1</x:v>
      </x:c>
      <x:c r="B2579" s="4" t="str">
        <x:v>RS-02578</x:v>
      </x:c>
      <x:c r="C2579" s="8" t="n">
        <x:v>45445</x:v>
      </x:c>
      <x:c r="D2579" s="4" t="str">
        <x:v>Sales operations manager</x:v>
      </x:c>
      <x:c r="E2579" s="4" t="str">
        <x:v>WhatsApp transcribed</x:v>
      </x:c>
      <x:c r="F2579" s="4" t="str">
        <x:v>Record captured</x:v>
      </x:c>
      <x:c r="G2579" s="4" t="str">
        <x:v>Agreement signed</x:v>
      </x:c>
    </x:row>
    <x:row r="2580" ht="34" customHeight="1">
      <x:c r="A2580" s="4" t="str">
        <x:v>RS-02579-E1</x:v>
      </x:c>
      <x:c r="B2580" s="4" t="str">
        <x:v>RS-02579</x:v>
      </x:c>
      <x:c r="C2580" s="8" t="n">
        <x:v>45446</x:v>
      </x:c>
      <x:c r="D2580" s="4" t="str">
        <x:v>Sales operations manager</x:v>
      </x:c>
      <x:c r="E2580" s="4" t="str">
        <x:v>Spreadsheet import</x:v>
      </x:c>
      <x:c r="F2580" s="4" t="str">
        <x:v>Record captured</x:v>
      </x:c>
      <x:c r="G2580" s="4" t="str">
        <x:v>Reserved</x:v>
      </x:c>
    </x:row>
    <x:row r="2581" ht="34" customHeight="1">
      <x:c r="A2581" s="4" t="str">
        <x:v>RS-02580-E1</x:v>
      </x:c>
      <x:c r="B2581" s="4" t="str">
        <x:v>RS-02580</x:v>
      </x:c>
      <x:c r="C2581" s="8" t="n">
        <x:v>45447</x:v>
      </x:c>
      <x:c r="D2581" s="4" t="str">
        <x:v>Sales operations manager</x:v>
      </x:c>
      <x:c r="E2581" s="4" t="str">
        <x:v>ERP form</x:v>
      </x:c>
      <x:c r="F2581" s="4" t="str">
        <x:v>Record captured</x:v>
      </x:c>
      <x:c r="G2581" s="4" t="str">
        <x:v>Booked</x:v>
      </x:c>
    </x:row>
    <x:row r="2582" ht="34" customHeight="1">
      <x:c r="A2582" s="4" t="str">
        <x:v>RS-02581-E1</x:v>
      </x:c>
      <x:c r="B2582" s="4" t="str">
        <x:v>RS-02581</x:v>
      </x:c>
      <x:c r="C2582" s="8" t="n">
        <x:v>45448</x:v>
      </x:c>
      <x:c r="D2582" s="4" t="str">
        <x:v>Sales operations manager</x:v>
      </x:c>
      <x:c r="E2582" s="4" t="str">
        <x:v>Paper transcribed</x:v>
      </x:c>
      <x:c r="F2582" s="4" t="str">
        <x:v>Record captured</x:v>
      </x:c>
      <x:c r="G2582" s="4" t="str">
        <x:v>Cancelled</x:v>
      </x:c>
    </x:row>
    <x:row r="2583" ht="34" customHeight="1">
      <x:c r="A2583" s="4" t="str">
        <x:v>RS-02582-E1</x:v>
      </x:c>
      <x:c r="B2583" s="4" t="str">
        <x:v>RS-02582</x:v>
      </x:c>
      <x:c r="C2583" s="8" t="n">
        <x:v>45449</x:v>
      </x:c>
      <x:c r="D2583" s="4" t="str">
        <x:v>Sales operations manager</x:v>
      </x:c>
      <x:c r="E2583" s="4" t="str">
        <x:v>Paper transcribed</x:v>
      </x:c>
      <x:c r="F2583" s="4" t="str">
        <x:v>Record captured</x:v>
      </x:c>
      <x:c r="G2583" s="4" t="str">
        <x:v>Handed over</x:v>
      </x:c>
    </x:row>
    <x:row r="2584" ht="34" customHeight="1">
      <x:c r="A2584" s="4" t="str">
        <x:v>RS-02583-E1</x:v>
      </x:c>
      <x:c r="B2584" s="4" t="str">
        <x:v>RS-02583</x:v>
      </x:c>
      <x:c r="C2584" s="8" t="n">
        <x:v>45450</x:v>
      </x:c>
      <x:c r="D2584" s="4" t="str">
        <x:v>Sales operations manager</x:v>
      </x:c>
      <x:c r="E2584" s="4" t="str">
        <x:v>WhatsApp transcribed</x:v>
      </x:c>
      <x:c r="F2584" s="4" t="str">
        <x:v>Record captured</x:v>
      </x:c>
      <x:c r="G2584" s="4" t="str">
        <x:v>Handed over</x:v>
      </x:c>
    </x:row>
    <x:row r="2585" ht="34" customHeight="1">
      <x:c r="A2585" s="4" t="str">
        <x:v>RS-02584-E1</x:v>
      </x:c>
      <x:c r="B2585" s="4" t="str">
        <x:v>RS-02584</x:v>
      </x:c>
      <x:c r="C2585" s="8" t="n">
        <x:v>45451</x:v>
      </x:c>
      <x:c r="D2585" s="4" t="str">
        <x:v>Sales operations manager</x:v>
      </x:c>
      <x:c r="E2585" s="4" t="str">
        <x:v>Paper transcribed</x:v>
      </x:c>
      <x:c r="F2585" s="4" t="str">
        <x:v>Record captured</x:v>
      </x:c>
      <x:c r="G2585" s="4" t="str">
        <x:v>Handed over</x:v>
      </x:c>
    </x:row>
    <x:row r="2586" ht="34" customHeight="1">
      <x:c r="A2586" s="4" t="str">
        <x:v>RS-02585-E1</x:v>
      </x:c>
      <x:c r="B2586" s="4" t="str">
        <x:v>RS-02585</x:v>
      </x:c>
      <x:c r="C2586" s="8" t="n">
        <x:v>45452</x:v>
      </x:c>
      <x:c r="D2586" s="4" t="str">
        <x:v>Sales operations manager</x:v>
      </x:c>
      <x:c r="E2586" s="4" t="str">
        <x:v>Spreadsheet import</x:v>
      </x:c>
      <x:c r="F2586" s="4" t="str">
        <x:v>Record captured</x:v>
      </x:c>
      <x:c r="G2586" s="4" t="str">
        <x:v>Cancelled</x:v>
      </x:c>
    </x:row>
    <x:row r="2587" ht="34" customHeight="1">
      <x:c r="A2587" s="4" t="str">
        <x:v>RS-02586-E1</x:v>
      </x:c>
      <x:c r="B2587" s="4" t="str">
        <x:v>RS-02586</x:v>
      </x:c>
      <x:c r="C2587" s="8" t="n">
        <x:v>45453</x:v>
      </x:c>
      <x:c r="D2587" s="4" t="str">
        <x:v>Sales operations manager</x:v>
      </x:c>
      <x:c r="E2587" s="4" t="str">
        <x:v>WhatsApp transcribed</x:v>
      </x:c>
      <x:c r="F2587" s="4" t="str">
        <x:v>Record captured</x:v>
      </x:c>
      <x:c r="G2587" s="4" t="str">
        <x:v>Booked</x:v>
      </x:c>
    </x:row>
    <x:row r="2588" ht="34" customHeight="1">
      <x:c r="A2588" s="4" t="str">
        <x:v>RS-02587-E1</x:v>
      </x:c>
      <x:c r="B2588" s="4" t="str">
        <x:v>RS-02587</x:v>
      </x:c>
      <x:c r="C2588" s="8" t="n">
        <x:v>45454</x:v>
      </x:c>
      <x:c r="D2588" s="4" t="str">
        <x:v>Sales operations manager</x:v>
      </x:c>
      <x:c r="E2588" s="4" t="str">
        <x:v>Spreadsheet import</x:v>
      </x:c>
      <x:c r="F2588" s="4" t="str">
        <x:v>Record captured</x:v>
      </x:c>
      <x:c r="G2588" s="4" t="str">
        <x:v>Cancelled</x:v>
      </x:c>
    </x:row>
    <x:row r="2589" ht="34" customHeight="1">
      <x:c r="A2589" s="4" t="str">
        <x:v>RS-02588-E1</x:v>
      </x:c>
      <x:c r="B2589" s="4" t="str">
        <x:v>RS-02588</x:v>
      </x:c>
      <x:c r="C2589" s="8" t="n">
        <x:v>45455</x:v>
      </x:c>
      <x:c r="D2589" s="4" t="str">
        <x:v>Sales operations manager</x:v>
      </x:c>
      <x:c r="E2589" s="4" t="str">
        <x:v>Spreadsheet import</x:v>
      </x:c>
      <x:c r="F2589" s="4" t="str">
        <x:v>Record captured</x:v>
      </x:c>
      <x:c r="G2589" s="4" t="str">
        <x:v>Cancelled</x:v>
      </x:c>
    </x:row>
    <x:row r="2590" ht="34" customHeight="1">
      <x:c r="A2590" s="4" t="str">
        <x:v>RS-02589-E1</x:v>
      </x:c>
      <x:c r="B2590" s="4" t="str">
        <x:v>RS-02589</x:v>
      </x:c>
      <x:c r="C2590" s="8" t="n">
        <x:v>45456</x:v>
      </x:c>
      <x:c r="D2590" s="4" t="str">
        <x:v>Sales operations manager</x:v>
      </x:c>
      <x:c r="E2590" s="4" t="str">
        <x:v>Paper transcribed</x:v>
      </x:c>
      <x:c r="F2590" s="4" t="str">
        <x:v>Record captured</x:v>
      </x:c>
      <x:c r="G2590" s="4" t="str">
        <x:v>Enquiry</x:v>
      </x:c>
    </x:row>
    <x:row r="2591" ht="34" customHeight="1">
      <x:c r="A2591" s="4" t="str">
        <x:v>RS-02590-E1</x:v>
      </x:c>
      <x:c r="B2591" s="4" t="str">
        <x:v>RS-02590</x:v>
      </x:c>
      <x:c r="C2591" s="8" t="n">
        <x:v>45457</x:v>
      </x:c>
      <x:c r="D2591" s="4" t="str">
        <x:v>Sales operations manager</x:v>
      </x:c>
      <x:c r="E2591" s="4" t="str">
        <x:v>WhatsApp transcribed</x:v>
      </x:c>
      <x:c r="F2591" s="4" t="str">
        <x:v>Record captured</x:v>
      </x:c>
      <x:c r="G2591" s="4" t="str">
        <x:v>Handed over</x:v>
      </x:c>
    </x:row>
    <x:row r="2592" ht="34" customHeight="1">
      <x:c r="A2592" s="4" t="str">
        <x:v>RS-02591-E1</x:v>
      </x:c>
      <x:c r="B2592" s="4" t="str">
        <x:v>RS-02591</x:v>
      </x:c>
      <x:c r="C2592" s="8" t="n">
        <x:v>45458</x:v>
      </x:c>
      <x:c r="D2592" s="4" t="str">
        <x:v>Sales operations manager</x:v>
      </x:c>
      <x:c r="E2592" s="4" t="str">
        <x:v>ERP form</x:v>
      </x:c>
      <x:c r="F2592" s="4" t="str">
        <x:v>Record captured</x:v>
      </x:c>
      <x:c r="G2592" s="4" t="str">
        <x:v>Cancelled</x:v>
      </x:c>
    </x:row>
    <x:row r="2593" ht="34" customHeight="1">
      <x:c r="A2593" s="4" t="str">
        <x:v>RS-02592-E1</x:v>
      </x:c>
      <x:c r="B2593" s="4" t="str">
        <x:v>RS-02592</x:v>
      </x:c>
      <x:c r="C2593" s="8" t="n">
        <x:v>45459</x:v>
      </x:c>
      <x:c r="D2593" s="4" t="str">
        <x:v>Sales operations manager</x:v>
      </x:c>
      <x:c r="E2593" s="4" t="str">
        <x:v>WhatsApp transcribed</x:v>
      </x:c>
      <x:c r="F2593" s="4" t="str">
        <x:v>Record captured</x:v>
      </x:c>
      <x:c r="G2593" s="4" t="str">
        <x:v>Enquiry</x:v>
      </x:c>
    </x:row>
    <x:row r="2594" ht="34" customHeight="1">
      <x:c r="A2594" s="4" t="str">
        <x:v>RS-02593-E1</x:v>
      </x:c>
      <x:c r="B2594" s="4" t="str">
        <x:v>RS-02593</x:v>
      </x:c>
      <x:c r="C2594" s="8" t="n">
        <x:v>45460</x:v>
      </x:c>
      <x:c r="D2594" s="4" t="str">
        <x:v>Sales operations manager</x:v>
      </x:c>
      <x:c r="E2594" s="4" t="str">
        <x:v>ERP form</x:v>
      </x:c>
      <x:c r="F2594" s="4" t="str">
        <x:v>Record captured</x:v>
      </x:c>
      <x:c r="G2594" s="4" t="str">
        <x:v>Enquiry</x:v>
      </x:c>
    </x:row>
    <x:row r="2595" ht="34" customHeight="1">
      <x:c r="A2595" s="4" t="str">
        <x:v>RS-02594-E1</x:v>
      </x:c>
      <x:c r="B2595" s="4" t="str">
        <x:v>RS-02594</x:v>
      </x:c>
      <x:c r="C2595" s="8" t="n">
        <x:v>45461</x:v>
      </x:c>
      <x:c r="D2595" s="4" t="str">
        <x:v>Sales operations manager</x:v>
      </x:c>
      <x:c r="E2595" s="4" t="str">
        <x:v>WhatsApp transcribed</x:v>
      </x:c>
      <x:c r="F2595" s="4" t="str">
        <x:v>Record captured</x:v>
      </x:c>
      <x:c r="G2595" s="4" t="str">
        <x:v>Booked</x:v>
      </x:c>
    </x:row>
    <x:row r="2596" ht="34" customHeight="1">
      <x:c r="A2596" s="4" t="str">
        <x:v>RS-02595-E1</x:v>
      </x:c>
      <x:c r="B2596" s="4" t="str">
        <x:v>RS-02595</x:v>
      </x:c>
      <x:c r="C2596" s="8" t="n">
        <x:v>45462</x:v>
      </x:c>
      <x:c r="D2596" s="4" t="str">
        <x:v>Sales operations manager</x:v>
      </x:c>
      <x:c r="E2596" s="4" t="str">
        <x:v>Spreadsheet import</x:v>
      </x:c>
      <x:c r="F2596" s="4" t="str">
        <x:v>Record captured</x:v>
      </x:c>
      <x:c r="G2596" s="4" t="str">
        <x:v>Enquiry</x:v>
      </x:c>
    </x:row>
    <x:row r="2597" ht="34" customHeight="1">
      <x:c r="A2597" s="4" t="str">
        <x:v>RS-02596-E1</x:v>
      </x:c>
      <x:c r="B2597" s="4" t="str">
        <x:v>RS-02596</x:v>
      </x:c>
      <x:c r="C2597" s="8" t="n">
        <x:v>45463</x:v>
      </x:c>
      <x:c r="D2597" s="4" t="str">
        <x:v>Sales operations manager</x:v>
      </x:c>
      <x:c r="E2597" s="4" t="str">
        <x:v>Paper transcribed</x:v>
      </x:c>
      <x:c r="F2597" s="4" t="str">
        <x:v>Record captured</x:v>
      </x:c>
      <x:c r="G2597" s="4" t="str">
        <x:v>Cancelled</x:v>
      </x:c>
    </x:row>
    <x:row r="2598" ht="34" customHeight="1">
      <x:c r="A2598" s="4" t="str">
        <x:v>RS-02597-E1</x:v>
      </x:c>
      <x:c r="B2598" s="4" t="str">
        <x:v>RS-02597</x:v>
      </x:c>
      <x:c r="C2598" s="8" t="n">
        <x:v>45464</x:v>
      </x:c>
      <x:c r="D2598" s="4" t="str">
        <x:v>Sales operations manager</x:v>
      </x:c>
      <x:c r="E2598" s="4" t="str">
        <x:v>ERP form</x:v>
      </x:c>
      <x:c r="F2598" s="4" t="str">
        <x:v>Record captured</x:v>
      </x:c>
      <x:c r="G2598" s="4" t="str">
        <x:v>Reserved</x:v>
      </x:c>
    </x:row>
    <x:row r="2599" ht="34" customHeight="1">
      <x:c r="A2599" s="4" t="str">
        <x:v>RS-02598-E1</x:v>
      </x:c>
      <x:c r="B2599" s="4" t="str">
        <x:v>RS-02598</x:v>
      </x:c>
      <x:c r="C2599" s="8" t="n">
        <x:v>45465</x:v>
      </x:c>
      <x:c r="D2599" s="4" t="str">
        <x:v>Sales operations manager</x:v>
      </x:c>
      <x:c r="E2599" s="4" t="str">
        <x:v>WhatsApp transcribed</x:v>
      </x:c>
      <x:c r="F2599" s="4" t="str">
        <x:v>Record captured</x:v>
      </x:c>
      <x:c r="G2599" s="4" t="str">
        <x:v>Cancelled</x:v>
      </x:c>
    </x:row>
    <x:row r="2600" ht="34" customHeight="1">
      <x:c r="A2600" s="4" t="str">
        <x:v>RS-02599-E1</x:v>
      </x:c>
      <x:c r="B2600" s="4" t="str">
        <x:v>RS-02599</x:v>
      </x:c>
      <x:c r="C2600" s="8" t="n">
        <x:v>45466</x:v>
      </x:c>
      <x:c r="D2600" s="4" t="str">
        <x:v>Sales operations manager</x:v>
      </x:c>
      <x:c r="E2600" s="4" t="str">
        <x:v>WhatsApp transcribed</x:v>
      </x:c>
      <x:c r="F2600" s="4" t="str">
        <x:v>Record captured</x:v>
      </x:c>
      <x:c r="G2600" s="4" t="str">
        <x:v>Reserved</x:v>
      </x:c>
    </x:row>
    <x:row r="2601" ht="34" customHeight="1">
      <x:c r="A2601" s="4" t="str">
        <x:v>RS-02600-E1</x:v>
      </x:c>
      <x:c r="B2601" s="4" t="str">
        <x:v>RS-02600</x:v>
      </x:c>
      <x:c r="C2601" s="8" t="n">
        <x:v>45467</x:v>
      </x:c>
      <x:c r="D2601" s="4" t="str">
        <x:v>Sales operations manager</x:v>
      </x:c>
      <x:c r="E2601" s="4" t="str">
        <x:v>ERP form</x:v>
      </x:c>
      <x:c r="F2601" s="4" t="str">
        <x:v>Record captured</x:v>
      </x:c>
      <x:c r="G2601" s="4" t="str">
        <x:v>Reserved</x:v>
      </x:c>
    </x:row>
    <x:row r="2602" ht="34" customHeight="1">
      <x:c r="A2602" s="4" t="str">
        <x:v>RS-02601-E1</x:v>
      </x:c>
      <x:c r="B2602" s="4" t="str">
        <x:v>RS-02601</x:v>
      </x:c>
      <x:c r="C2602" s="8" t="n">
        <x:v>45468</x:v>
      </x:c>
      <x:c r="D2602" s="4" t="str">
        <x:v>Sales operations manager</x:v>
      </x:c>
      <x:c r="E2602" s="4" t="str">
        <x:v>WhatsApp transcribed</x:v>
      </x:c>
      <x:c r="F2602" s="4" t="str">
        <x:v>Record captured</x:v>
      </x:c>
      <x:c r="G2602" s="4" t="str">
        <x:v>Booked</x:v>
      </x:c>
    </x:row>
    <x:row r="2603" ht="34" customHeight="1">
      <x:c r="A2603" s="4" t="str">
        <x:v>RS-02602-E1</x:v>
      </x:c>
      <x:c r="B2603" s="4" t="str">
        <x:v>RS-02602</x:v>
      </x:c>
      <x:c r="C2603" s="8" t="n">
        <x:v>45469</x:v>
      </x:c>
      <x:c r="D2603" s="4" t="str">
        <x:v>Sales operations manager</x:v>
      </x:c>
      <x:c r="E2603" s="4" t="str">
        <x:v>Spreadsheet import</x:v>
      </x:c>
      <x:c r="F2603" s="4" t="str">
        <x:v>Record captured</x:v>
      </x:c>
      <x:c r="G2603" s="4" t="str">
        <x:v>Cancelled</x:v>
      </x:c>
    </x:row>
    <x:row r="2604" ht="34" customHeight="1">
      <x:c r="A2604" s="4" t="str">
        <x:v>RS-02603-E1</x:v>
      </x:c>
      <x:c r="B2604" s="4" t="str">
        <x:v>RS-02603</x:v>
      </x:c>
      <x:c r="C2604" s="8" t="n">
        <x:v>45470</x:v>
      </x:c>
      <x:c r="D2604" s="4" t="str">
        <x:v>Sales operations manager</x:v>
      </x:c>
      <x:c r="E2604" s="4" t="str">
        <x:v>WhatsApp transcribed</x:v>
      </x:c>
      <x:c r="F2604" s="4" t="str">
        <x:v>Record captured</x:v>
      </x:c>
      <x:c r="G2604" s="4" t="str">
        <x:v>Handed over</x:v>
      </x:c>
    </x:row>
    <x:row r="2605" ht="34" customHeight="1">
      <x:c r="A2605" s="4" t="str">
        <x:v>RS-02604-E1</x:v>
      </x:c>
      <x:c r="B2605" s="4" t="str">
        <x:v>RS-02604</x:v>
      </x:c>
      <x:c r="C2605" s="8" t="n">
        <x:v>45471</x:v>
      </x:c>
      <x:c r="D2605" s="4" t="str">
        <x:v>Sales operations manager</x:v>
      </x:c>
      <x:c r="E2605" s="4" t="str">
        <x:v>Spreadsheet import</x:v>
      </x:c>
      <x:c r="F2605" s="4" t="str">
        <x:v>Record captured</x:v>
      </x:c>
      <x:c r="G2605" s="4" t="str">
        <x:v>Booked</x:v>
      </x:c>
    </x:row>
    <x:row r="2606" ht="34" customHeight="1">
      <x:c r="A2606" s="4" t="str">
        <x:v>RS-02605-E1</x:v>
      </x:c>
      <x:c r="B2606" s="4" t="str">
        <x:v>RS-02605</x:v>
      </x:c>
      <x:c r="C2606" s="8" t="n">
        <x:v>45444</x:v>
      </x:c>
      <x:c r="D2606" s="4" t="str">
        <x:v>Sales operations manager</x:v>
      </x:c>
      <x:c r="E2606" s="4" t="str">
        <x:v>ERP form</x:v>
      </x:c>
      <x:c r="F2606" s="4" t="str">
        <x:v>Record captured</x:v>
      </x:c>
      <x:c r="G2606" s="4" t="str">
        <x:v>Agreement signed</x:v>
      </x:c>
    </x:row>
    <x:row r="2607" ht="34" customHeight="1">
      <x:c r="A2607" s="4" t="str">
        <x:v>RS-02606-E1</x:v>
      </x:c>
      <x:c r="B2607" s="4" t="str">
        <x:v>RS-02606</x:v>
      </x:c>
      <x:c r="C2607" s="8" t="n">
        <x:v>45445</x:v>
      </x:c>
      <x:c r="D2607" s="4" t="str">
        <x:v>Sales operations manager</x:v>
      </x:c>
      <x:c r="E2607" s="4" t="str">
        <x:v>Paper transcribed</x:v>
      </x:c>
      <x:c r="F2607" s="4" t="str">
        <x:v>Record captured</x:v>
      </x:c>
      <x:c r="G2607" s="4" t="str">
        <x:v>Reserved</x:v>
      </x:c>
    </x:row>
    <x:row r="2608" ht="34" customHeight="1">
      <x:c r="A2608" s="4" t="str">
        <x:v>RS-02607-E1</x:v>
      </x:c>
      <x:c r="B2608" s="4" t="str">
        <x:v>RS-02607</x:v>
      </x:c>
      <x:c r="C2608" s="8" t="n">
        <x:v>45446</x:v>
      </x:c>
      <x:c r="D2608" s="4" t="str">
        <x:v>Sales operations manager</x:v>
      </x:c>
      <x:c r="E2608" s="4" t="str">
        <x:v>Paper transcribed</x:v>
      </x:c>
      <x:c r="F2608" s="4" t="str">
        <x:v>Record captured</x:v>
      </x:c>
      <x:c r="G2608" s="4" t="str">
        <x:v>Agreement signed</x:v>
      </x:c>
    </x:row>
    <x:row r="2609" ht="34" customHeight="1">
      <x:c r="A2609" s="4" t="str">
        <x:v>RS-02608-E1</x:v>
      </x:c>
      <x:c r="B2609" s="4" t="str">
        <x:v>RS-02608</x:v>
      </x:c>
      <x:c r="C2609" s="8" t="n">
        <x:v>45447</x:v>
      </x:c>
      <x:c r="D2609" s="4" t="str">
        <x:v>Sales operations manager</x:v>
      </x:c>
      <x:c r="E2609" s="4" t="str">
        <x:v>Spreadsheet import</x:v>
      </x:c>
      <x:c r="F2609" s="4" t="str">
        <x:v>Record captured</x:v>
      </x:c>
      <x:c r="G2609" s="4" t="str">
        <x:v>Handed over</x:v>
      </x:c>
    </x:row>
    <x:row r="2610" ht="34" customHeight="1">
      <x:c r="A2610" s="4" t="str">
        <x:v>RS-02609-E1</x:v>
      </x:c>
      <x:c r="B2610" s="4" t="str">
        <x:v>RS-02609</x:v>
      </x:c>
      <x:c r="C2610" s="8" t="n">
        <x:v>45448</x:v>
      </x:c>
      <x:c r="D2610" s="4" t="str">
        <x:v>Sales operations manager</x:v>
      </x:c>
      <x:c r="E2610" s="4" t="str">
        <x:v>ERP form</x:v>
      </x:c>
      <x:c r="F2610" s="4" t="str">
        <x:v>Record captured</x:v>
      </x:c>
      <x:c r="G2610" s="4" t="str">
        <x:v>Handed over</x:v>
      </x:c>
    </x:row>
    <x:row r="2611" ht="34" customHeight="1">
      <x:c r="A2611" s="4" t="str">
        <x:v>RS-02610-E1</x:v>
      </x:c>
      <x:c r="B2611" s="4" t="str">
        <x:v>RS-02610</x:v>
      </x:c>
      <x:c r="C2611" s="8" t="n">
        <x:v>45449</x:v>
      </x:c>
      <x:c r="D2611" s="4" t="str">
        <x:v>Sales operations manager</x:v>
      </x:c>
      <x:c r="E2611" s="4" t="str">
        <x:v>Paper transcribed</x:v>
      </x:c>
      <x:c r="F2611" s="4" t="str">
        <x:v>Record captured</x:v>
      </x:c>
      <x:c r="G2611" s="4" t="str">
        <x:v>Booked</x:v>
      </x:c>
    </x:row>
    <x:row r="2612" ht="34" customHeight="1">
      <x:c r="A2612" s="4" t="str">
        <x:v>RS-02611-E1</x:v>
      </x:c>
      <x:c r="B2612" s="4" t="str">
        <x:v>RS-02611</x:v>
      </x:c>
      <x:c r="C2612" s="8" t="n">
        <x:v>45450</x:v>
      </x:c>
      <x:c r="D2612" s="4" t="str">
        <x:v>Sales operations manager</x:v>
      </x:c>
      <x:c r="E2612" s="4" t="str">
        <x:v>Spreadsheet import</x:v>
      </x:c>
      <x:c r="F2612" s="4" t="str">
        <x:v>Record captured</x:v>
      </x:c>
      <x:c r="G2612" s="4" t="str">
        <x:v>Booked</x:v>
      </x:c>
    </x:row>
    <x:row r="2613" ht="34" customHeight="1">
      <x:c r="A2613" s="4" t="str">
        <x:v>RS-02612-E1</x:v>
      </x:c>
      <x:c r="B2613" s="4" t="str">
        <x:v>RS-02612</x:v>
      </x:c>
      <x:c r="C2613" s="8" t="n">
        <x:v>45451</x:v>
      </x:c>
      <x:c r="D2613" s="4" t="str">
        <x:v>Sales operations manager</x:v>
      </x:c>
      <x:c r="E2613" s="4" t="str">
        <x:v>Paper transcribed</x:v>
      </x:c>
      <x:c r="F2613" s="4" t="str">
        <x:v>Record captured</x:v>
      </x:c>
      <x:c r="G2613" s="4" t="str">
        <x:v>Handed over</x:v>
      </x:c>
    </x:row>
    <x:row r="2614" ht="34" customHeight="1">
      <x:c r="A2614" s="4" t="str">
        <x:v>RS-02613-E1</x:v>
      </x:c>
      <x:c r="B2614" s="4" t="str">
        <x:v>RS-02613</x:v>
      </x:c>
      <x:c r="C2614" s="8" t="n">
        <x:v>45452</x:v>
      </x:c>
      <x:c r="D2614" s="4" t="str">
        <x:v>Sales operations manager</x:v>
      </x:c>
      <x:c r="E2614" s="4" t="str">
        <x:v>Paper transcribed</x:v>
      </x:c>
      <x:c r="F2614" s="4" t="str">
        <x:v>Record captured</x:v>
      </x:c>
      <x:c r="G2614" s="4" t="str">
        <x:v>Agreement signed</x:v>
      </x:c>
    </x:row>
    <x:row r="2615" ht="34" customHeight="1">
      <x:c r="A2615" s="4" t="str">
        <x:v>RS-02614-E1</x:v>
      </x:c>
      <x:c r="B2615" s="4" t="str">
        <x:v>RS-02614</x:v>
      </x:c>
      <x:c r="C2615" s="8" t="n">
        <x:v>45453</x:v>
      </x:c>
      <x:c r="D2615" s="4" t="str">
        <x:v>Sales operations manager</x:v>
      </x:c>
      <x:c r="E2615" s="4" t="str">
        <x:v>Spreadsheet import</x:v>
      </x:c>
      <x:c r="F2615" s="4" t="str">
        <x:v>Record captured</x:v>
      </x:c>
      <x:c r="G2615" s="4" t="str">
        <x:v>Enquiry</x:v>
      </x:c>
    </x:row>
    <x:row r="2616" ht="34" customHeight="1">
      <x:c r="A2616" s="4" t="str">
        <x:v>RS-02615-E1</x:v>
      </x:c>
      <x:c r="B2616" s="4" t="str">
        <x:v>RS-02615</x:v>
      </x:c>
      <x:c r="C2616" s="8" t="n">
        <x:v>45454</x:v>
      </x:c>
      <x:c r="D2616" s="4" t="str">
        <x:v>Sales operations manager</x:v>
      </x:c>
      <x:c r="E2616" s="4" t="str">
        <x:v>Spreadsheet import</x:v>
      </x:c>
      <x:c r="F2616" s="4" t="str">
        <x:v>Record captured</x:v>
      </x:c>
      <x:c r="G2616" s="4" t="str">
        <x:v>Handed over</x:v>
      </x:c>
    </x:row>
    <x:row r="2617" ht="34" customHeight="1">
      <x:c r="A2617" s="4" t="str">
        <x:v>RS-02616-E1</x:v>
      </x:c>
      <x:c r="B2617" s="4" t="str">
        <x:v>RS-02616</x:v>
      </x:c>
      <x:c r="C2617" s="8" t="n">
        <x:v>45455</x:v>
      </x:c>
      <x:c r="D2617" s="4" t="str">
        <x:v>Sales operations manager</x:v>
      </x:c>
      <x:c r="E2617" s="4" t="str">
        <x:v>ERP form</x:v>
      </x:c>
      <x:c r="F2617" s="4" t="str">
        <x:v>Record captured</x:v>
      </x:c>
      <x:c r="G2617" s="4" t="str">
        <x:v>Booked</x:v>
      </x:c>
    </x:row>
    <x:row r="2618" ht="34" customHeight="1">
      <x:c r="A2618" s="4" t="str">
        <x:v>RS-02617-E1</x:v>
      </x:c>
      <x:c r="B2618" s="4" t="str">
        <x:v>RS-02617</x:v>
      </x:c>
      <x:c r="C2618" s="8" t="n">
        <x:v>45456</x:v>
      </x:c>
      <x:c r="D2618" s="4" t="str">
        <x:v>Sales operations manager</x:v>
      </x:c>
      <x:c r="E2618" s="4" t="str">
        <x:v>ERP form</x:v>
      </x:c>
      <x:c r="F2618" s="4" t="str">
        <x:v>Record captured</x:v>
      </x:c>
      <x:c r="G2618" s="4" t="str">
        <x:v>Cancelled</x:v>
      </x:c>
    </x:row>
    <x:row r="2619" ht="34" customHeight="1">
      <x:c r="A2619" s="4" t="str">
        <x:v>RS-02618-E1</x:v>
      </x:c>
      <x:c r="B2619" s="4" t="str">
        <x:v>RS-02618</x:v>
      </x:c>
      <x:c r="C2619" s="8" t="n">
        <x:v>45457</x:v>
      </x:c>
      <x:c r="D2619" s="4" t="str">
        <x:v>Sales operations manager</x:v>
      </x:c>
      <x:c r="E2619" s="4" t="str">
        <x:v>Spreadsheet import</x:v>
      </x:c>
      <x:c r="F2619" s="4" t="str">
        <x:v>Record captured</x:v>
      </x:c>
      <x:c r="G2619" s="4" t="str">
        <x:v>Reserved</x:v>
      </x:c>
    </x:row>
    <x:row r="2620" ht="34" customHeight="1">
      <x:c r="A2620" s="4" t="str">
        <x:v>RS-02619-E1</x:v>
      </x:c>
      <x:c r="B2620" s="4" t="str">
        <x:v>RS-02619</x:v>
      </x:c>
      <x:c r="C2620" s="8" t="n">
        <x:v>45458</x:v>
      </x:c>
      <x:c r="D2620" s="4" t="str">
        <x:v>Sales operations manager</x:v>
      </x:c>
      <x:c r="E2620" s="4" t="str">
        <x:v>Spreadsheet import</x:v>
      </x:c>
      <x:c r="F2620" s="4" t="str">
        <x:v>Record captured</x:v>
      </x:c>
      <x:c r="G2620" s="4" t="str">
        <x:v>Enquiry</x:v>
      </x:c>
    </x:row>
    <x:row r="2621" ht="34" customHeight="1">
      <x:c r="A2621" s="4" t="str">
        <x:v>RS-02620-E1</x:v>
      </x:c>
      <x:c r="B2621" s="4" t="str">
        <x:v>RS-02620</x:v>
      </x:c>
      <x:c r="C2621" s="8" t="n">
        <x:v>45459</x:v>
      </x:c>
      <x:c r="D2621" s="4" t="str">
        <x:v>Sales operations manager</x:v>
      </x:c>
      <x:c r="E2621" s="4" t="str">
        <x:v>ERP form</x:v>
      </x:c>
      <x:c r="F2621" s="4" t="str">
        <x:v>Record captured</x:v>
      </x:c>
      <x:c r="G2621" s="4" t="str">
        <x:v>Reserved</x:v>
      </x:c>
    </x:row>
    <x:row r="2622" ht="34" customHeight="1">
      <x:c r="A2622" s="4" t="str">
        <x:v>RS-02621-E1</x:v>
      </x:c>
      <x:c r="B2622" s="4" t="str">
        <x:v>RS-02621</x:v>
      </x:c>
      <x:c r="C2622" s="8" t="n">
        <x:v>45460</x:v>
      </x:c>
      <x:c r="D2622" s="4" t="str">
        <x:v>Sales operations manager</x:v>
      </x:c>
      <x:c r="E2622" s="4" t="str">
        <x:v>Paper transcribed</x:v>
      </x:c>
      <x:c r="F2622" s="4" t="str">
        <x:v>Record captured</x:v>
      </x:c>
      <x:c r="G2622" s="4" t="str">
        <x:v>Handed over</x:v>
      </x:c>
    </x:row>
    <x:row r="2623" ht="34" customHeight="1">
      <x:c r="A2623" s="4" t="str">
        <x:v>RS-02622-E1</x:v>
      </x:c>
      <x:c r="B2623" s="4" t="str">
        <x:v>RS-02622</x:v>
      </x:c>
      <x:c r="C2623" s="8" t="n">
        <x:v>45461</x:v>
      </x:c>
      <x:c r="D2623" s="4" t="str">
        <x:v>Sales operations manager</x:v>
      </x:c>
      <x:c r="E2623" s="4" t="str">
        <x:v>Spreadsheet import</x:v>
      </x:c>
      <x:c r="F2623" s="4" t="str">
        <x:v>Record captured</x:v>
      </x:c>
      <x:c r="G2623" s="4" t="str">
        <x:v>Agreement signed</x:v>
      </x:c>
    </x:row>
    <x:row r="2624" ht="34" customHeight="1">
      <x:c r="A2624" s="4" t="str">
        <x:v>RS-02623-E1</x:v>
      </x:c>
      <x:c r="B2624" s="4" t="str">
        <x:v>RS-02623</x:v>
      </x:c>
      <x:c r="C2624" s="8" t="n">
        <x:v>45462</x:v>
      </x:c>
      <x:c r="D2624" s="4" t="str">
        <x:v>Sales operations manager</x:v>
      </x:c>
      <x:c r="E2624" s="4" t="str">
        <x:v>ERP form</x:v>
      </x:c>
      <x:c r="F2624" s="4" t="str">
        <x:v>Record captured</x:v>
      </x:c>
      <x:c r="G2624" s="4" t="str">
        <x:v>Cancelled</x:v>
      </x:c>
    </x:row>
    <x:row r="2625" ht="34" customHeight="1">
      <x:c r="A2625" s="4" t="str">
        <x:v>RS-02624-E1</x:v>
      </x:c>
      <x:c r="B2625" s="4" t="str">
        <x:v>RS-02624</x:v>
      </x:c>
      <x:c r="C2625" s="8" t="n">
        <x:v>45463</x:v>
      </x:c>
      <x:c r="D2625" s="4" t="str">
        <x:v>Sales operations manager</x:v>
      </x:c>
      <x:c r="E2625" s="4" t="str">
        <x:v>Spreadsheet import</x:v>
      </x:c>
      <x:c r="F2625" s="4" t="str">
        <x:v>Record captured</x:v>
      </x:c>
      <x:c r="G2625" s="4" t="str">
        <x:v>Agreement signed</x:v>
      </x:c>
    </x:row>
    <x:row r="2626" ht="34" customHeight="1">
      <x:c r="A2626" s="4" t="str">
        <x:v>RS-02625-E1</x:v>
      </x:c>
      <x:c r="B2626" s="4" t="str">
        <x:v>RS-02625</x:v>
      </x:c>
      <x:c r="C2626" s="8" t="n">
        <x:v>45464</x:v>
      </x:c>
      <x:c r="D2626" s="4" t="str">
        <x:v>Sales operations manager</x:v>
      </x:c>
      <x:c r="E2626" s="4" t="str">
        <x:v>Paper transcribed</x:v>
      </x:c>
      <x:c r="F2626" s="4" t="str">
        <x:v>Record captured</x:v>
      </x:c>
      <x:c r="G2626" s="4" t="str">
        <x:v>Enquiry</x:v>
      </x:c>
    </x:row>
    <x:row r="2627" ht="34" customHeight="1">
      <x:c r="A2627" s="4" t="str">
        <x:v>RS-02626-E1</x:v>
      </x:c>
      <x:c r="B2627" s="4" t="str">
        <x:v>RS-02626</x:v>
      </x:c>
      <x:c r="C2627" s="8" t="n">
        <x:v>45465</x:v>
      </x:c>
      <x:c r="D2627" s="4" t="str">
        <x:v>Sales operations manager</x:v>
      </x:c>
      <x:c r="E2627" s="4" t="str">
        <x:v>Paper transcribed</x:v>
      </x:c>
      <x:c r="F2627" s="4" t="str">
        <x:v>Record captured</x:v>
      </x:c>
      <x:c r="G2627" s="4" t="str">
        <x:v>Handed over</x:v>
      </x:c>
    </x:row>
    <x:row r="2628" ht="34" customHeight="1">
      <x:c r="A2628" s="4" t="str">
        <x:v>RS-02627-E1</x:v>
      </x:c>
      <x:c r="B2628" s="4" t="str">
        <x:v>RS-02627</x:v>
      </x:c>
      <x:c r="C2628" s="8" t="n">
        <x:v>45466</x:v>
      </x:c>
      <x:c r="D2628" s="4" t="str">
        <x:v>Sales operations manager</x:v>
      </x:c>
      <x:c r="E2628" s="4" t="str">
        <x:v>ERP form</x:v>
      </x:c>
      <x:c r="F2628" s="4" t="str">
        <x:v>Record captured</x:v>
      </x:c>
      <x:c r="G2628" s="4" t="str">
        <x:v>Reserved</x:v>
      </x:c>
    </x:row>
    <x:row r="2629" ht="34" customHeight="1">
      <x:c r="A2629" s="4" t="str">
        <x:v>RS-02628-E1</x:v>
      </x:c>
      <x:c r="B2629" s="4" t="str">
        <x:v>RS-02628</x:v>
      </x:c>
      <x:c r="C2629" s="8" t="n">
        <x:v>45467</x:v>
      </x:c>
      <x:c r="D2629" s="4" t="str">
        <x:v>Sales operations manager</x:v>
      </x:c>
      <x:c r="E2629" s="4" t="str">
        <x:v>Paper transcribed</x:v>
      </x:c>
      <x:c r="F2629" s="4" t="str">
        <x:v>Record captured</x:v>
      </x:c>
      <x:c r="G2629" s="4" t="str">
        <x:v>Reserved</x:v>
      </x:c>
    </x:row>
    <x:row r="2630" ht="34" customHeight="1">
      <x:c r="A2630" s="4" t="str">
        <x:v>RS-02629-E1</x:v>
      </x:c>
      <x:c r="B2630" s="4" t="str">
        <x:v>RS-02629</x:v>
      </x:c>
      <x:c r="C2630" s="8" t="n">
        <x:v>45468</x:v>
      </x:c>
      <x:c r="D2630" s="4" t="str">
        <x:v>Sales operations manager</x:v>
      </x:c>
      <x:c r="E2630" s="4" t="str">
        <x:v>Paper transcribed</x:v>
      </x:c>
      <x:c r="F2630" s="4" t="str">
        <x:v>Record captured</x:v>
      </x:c>
      <x:c r="G2630" s="4" t="str">
        <x:v>Agreement signed</x:v>
      </x:c>
    </x:row>
    <x:row r="2631" ht="34" customHeight="1">
      <x:c r="A2631" s="4" t="str">
        <x:v>RS-02630-E1</x:v>
      </x:c>
      <x:c r="B2631" s="4" t="str">
        <x:v>RS-02630</x:v>
      </x:c>
      <x:c r="C2631" s="8" t="n">
        <x:v>45469</x:v>
      </x:c>
      <x:c r="D2631" s="4" t="str">
        <x:v>Sales operations manager</x:v>
      </x:c>
      <x:c r="E2631" s="4" t="str">
        <x:v>Paper transcribed</x:v>
      </x:c>
      <x:c r="F2631" s="4" t="str">
        <x:v>Record captured</x:v>
      </x:c>
      <x:c r="G2631" s="4" t="str">
        <x:v>Booked</x:v>
      </x:c>
    </x:row>
    <x:row r="2632" ht="34" customHeight="1">
      <x:c r="A2632" s="4" t="str">
        <x:v>RS-02631-E1</x:v>
      </x:c>
      <x:c r="B2632" s="4" t="str">
        <x:v>RS-02631</x:v>
      </x:c>
      <x:c r="C2632" s="8" t="n">
        <x:v>45470</x:v>
      </x:c>
      <x:c r="D2632" s="4" t="str">
        <x:v>Sales operations manager</x:v>
      </x:c>
      <x:c r="E2632" s="4" t="str">
        <x:v>ERP form</x:v>
      </x:c>
      <x:c r="F2632" s="4" t="str">
        <x:v>Record captured</x:v>
      </x:c>
      <x:c r="G2632" s="4" t="str">
        <x:v>Booked</x:v>
      </x:c>
    </x:row>
    <x:row r="2633" ht="34" customHeight="1">
      <x:c r="A2633" s="4" t="str">
        <x:v>RS-02632-E1</x:v>
      </x:c>
      <x:c r="B2633" s="4" t="str">
        <x:v>RS-02632</x:v>
      </x:c>
      <x:c r="C2633" s="8" t="n">
        <x:v>45471</x:v>
      </x:c>
      <x:c r="D2633" s="4" t="str">
        <x:v>Sales operations manager</x:v>
      </x:c>
      <x:c r="E2633" s="4" t="str">
        <x:v>Spreadsheet import</x:v>
      </x:c>
      <x:c r="F2633" s="4" t="str">
        <x:v>Record captured</x:v>
      </x:c>
      <x:c r="G2633" s="4" t="str">
        <x:v>Reserved</x:v>
      </x:c>
    </x:row>
    <x:row r="2634" ht="34" customHeight="1">
      <x:c r="A2634" s="4" t="str">
        <x:v>RS-02633-E1</x:v>
      </x:c>
      <x:c r="B2634" s="4" t="str">
        <x:v>RS-02633</x:v>
      </x:c>
      <x:c r="C2634" s="8" t="n">
        <x:v>45444</x:v>
      </x:c>
      <x:c r="D2634" s="4" t="str">
        <x:v>Sales operations manager</x:v>
      </x:c>
      <x:c r="E2634" s="4" t="str">
        <x:v>Spreadsheet import</x:v>
      </x:c>
      <x:c r="F2634" s="4" t="str">
        <x:v>Record captured</x:v>
      </x:c>
      <x:c r="G2634" s="4" t="str">
        <x:v>Reserved</x:v>
      </x:c>
    </x:row>
    <x:row r="2635" ht="34" customHeight="1">
      <x:c r="A2635" s="4" t="str">
        <x:v>RS-02634-E1</x:v>
      </x:c>
      <x:c r="B2635" s="4" t="str">
        <x:v>RS-02634</x:v>
      </x:c>
      <x:c r="C2635" s="8" t="n">
        <x:v>45445</x:v>
      </x:c>
      <x:c r="D2635" s="4" t="str">
        <x:v>Sales operations manager</x:v>
      </x:c>
      <x:c r="E2635" s="4" t="str">
        <x:v>ERP form</x:v>
      </x:c>
      <x:c r="F2635" s="4" t="str">
        <x:v>Record captured</x:v>
      </x:c>
      <x:c r="G2635" s="4" t="str">
        <x:v>Reserved</x:v>
      </x:c>
    </x:row>
    <x:row r="2636" ht="34" customHeight="1">
      <x:c r="A2636" s="4" t="str">
        <x:v>RS-02635-E1</x:v>
      </x:c>
      <x:c r="B2636" s="4" t="str">
        <x:v>RS-02635</x:v>
      </x:c>
      <x:c r="C2636" s="8" t="n">
        <x:v>45446</x:v>
      </x:c>
      <x:c r="D2636" s="4" t="str">
        <x:v>Sales operations manager</x:v>
      </x:c>
      <x:c r="E2636" s="4" t="str">
        <x:v>ERP form</x:v>
      </x:c>
      <x:c r="F2636" s="4" t="str">
        <x:v>Record captured</x:v>
      </x:c>
      <x:c r="G2636" s="4" t="str">
        <x:v>Cancelled</x:v>
      </x:c>
    </x:row>
    <x:row r="2637" ht="34" customHeight="1">
      <x:c r="A2637" s="4" t="str">
        <x:v>RS-02636-E1</x:v>
      </x:c>
      <x:c r="B2637" s="4" t="str">
        <x:v>RS-02636</x:v>
      </x:c>
      <x:c r="C2637" s="8" t="n">
        <x:v>45447</x:v>
      </x:c>
      <x:c r="D2637" s="4" t="str">
        <x:v>Sales operations manager</x:v>
      </x:c>
      <x:c r="E2637" s="4" t="str">
        <x:v>WhatsApp transcribed</x:v>
      </x:c>
      <x:c r="F2637" s="4" t="str">
        <x:v>Record captured</x:v>
      </x:c>
      <x:c r="G2637" s="4" t="str">
        <x:v>Agreement signed</x:v>
      </x:c>
    </x:row>
    <x:row r="2638" ht="34" customHeight="1">
      <x:c r="A2638" s="4" t="str">
        <x:v>RS-02637-E1</x:v>
      </x:c>
      <x:c r="B2638" s="4" t="str">
        <x:v>RS-02637</x:v>
      </x:c>
      <x:c r="C2638" s="8" t="n">
        <x:v>45448</x:v>
      </x:c>
      <x:c r="D2638" s="4" t="str">
        <x:v>Sales operations manager</x:v>
      </x:c>
      <x:c r="E2638" s="4" t="str">
        <x:v>Spreadsheet import</x:v>
      </x:c>
      <x:c r="F2638" s="4" t="str">
        <x:v>Record captured</x:v>
      </x:c>
      <x:c r="G2638" s="4" t="str">
        <x:v>Handed over</x:v>
      </x:c>
    </x:row>
    <x:row r="2639" ht="34" customHeight="1">
      <x:c r="A2639" s="4" t="str">
        <x:v>RS-02638-E1</x:v>
      </x:c>
      <x:c r="B2639" s="4" t="str">
        <x:v>RS-02638</x:v>
      </x:c>
      <x:c r="C2639" s="8" t="n">
        <x:v>45449</x:v>
      </x:c>
      <x:c r="D2639" s="4" t="str">
        <x:v>Sales operations manager</x:v>
      </x:c>
      <x:c r="E2639" s="4" t="str">
        <x:v>ERP form</x:v>
      </x:c>
      <x:c r="F2639" s="4" t="str">
        <x:v>Record captured</x:v>
      </x:c>
      <x:c r="G2639" s="4" t="str">
        <x:v>Reserved</x:v>
      </x:c>
    </x:row>
    <x:row r="2640" ht="34" customHeight="1">
      <x:c r="A2640" s="4" t="str">
        <x:v>RS-02639-E1</x:v>
      </x:c>
      <x:c r="B2640" s="4" t="str">
        <x:v>RS-02639</x:v>
      </x:c>
      <x:c r="C2640" s="8" t="n">
        <x:v>45450</x:v>
      </x:c>
      <x:c r="D2640" s="4" t="str">
        <x:v>Sales operations manager</x:v>
      </x:c>
      <x:c r="E2640" s="4" t="str">
        <x:v>WhatsApp transcribed</x:v>
      </x:c>
      <x:c r="F2640" s="4" t="str">
        <x:v>Record captured</x:v>
      </x:c>
      <x:c r="G2640" s="4" t="str">
        <x:v>Cancelled</x:v>
      </x:c>
    </x:row>
    <x:row r="2641" ht="34" customHeight="1">
      <x:c r="A2641" s="4" t="str">
        <x:v>RS-02640-E1</x:v>
      </x:c>
      <x:c r="B2641" s="4" t="str">
        <x:v>RS-02640</x:v>
      </x:c>
      <x:c r="C2641" s="8" t="n">
        <x:v>45451</x:v>
      </x:c>
      <x:c r="D2641" s="4" t="str">
        <x:v>Sales operations manager</x:v>
      </x:c>
      <x:c r="E2641" s="4" t="str">
        <x:v>WhatsApp transcribed</x:v>
      </x:c>
      <x:c r="F2641" s="4" t="str">
        <x:v>Record captured</x:v>
      </x:c>
      <x:c r="G2641" s="4" t="str">
        <x:v>Agreement signed</x:v>
      </x:c>
    </x:row>
    <x:row r="2642" ht="34" customHeight="1">
      <x:c r="A2642" s="4" t="str">
        <x:v>RS-02641-E1</x:v>
      </x:c>
      <x:c r="B2642" s="4" t="str">
        <x:v>RS-02641</x:v>
      </x:c>
      <x:c r="C2642" s="8" t="n">
        <x:v>45452</x:v>
      </x:c>
      <x:c r="D2642" s="4" t="str">
        <x:v>Sales operations manager</x:v>
      </x:c>
      <x:c r="E2642" s="4" t="str">
        <x:v>Paper transcribed</x:v>
      </x:c>
      <x:c r="F2642" s="4" t="str">
        <x:v>Record captured</x:v>
      </x:c>
      <x:c r="G2642" s="4" t="str">
        <x:v>Enquiry</x:v>
      </x:c>
    </x:row>
    <x:row r="2643" ht="34" customHeight="1">
      <x:c r="A2643" s="4" t="str">
        <x:v>RS-02642-E1</x:v>
      </x:c>
      <x:c r="B2643" s="4" t="str">
        <x:v>RS-02642</x:v>
      </x:c>
      <x:c r="C2643" s="8" t="n">
        <x:v>45453</x:v>
      </x:c>
      <x:c r="D2643" s="4" t="str">
        <x:v>Sales operations manager</x:v>
      </x:c>
      <x:c r="E2643" s="4" t="str">
        <x:v>Paper transcribed</x:v>
      </x:c>
      <x:c r="F2643" s="4" t="str">
        <x:v>Record captured</x:v>
      </x:c>
      <x:c r="G2643" s="4" t="str">
        <x:v>Cancelled</x:v>
      </x:c>
    </x:row>
    <x:row r="2644" ht="34" customHeight="1">
      <x:c r="A2644" s="4" t="str">
        <x:v>RS-02643-E1</x:v>
      </x:c>
      <x:c r="B2644" s="4" t="str">
        <x:v>RS-02643</x:v>
      </x:c>
      <x:c r="C2644" s="8" t="n">
        <x:v>45454</x:v>
      </x:c>
      <x:c r="D2644" s="4" t="str">
        <x:v>Sales operations manager</x:v>
      </x:c>
      <x:c r="E2644" s="4" t="str">
        <x:v>Spreadsheet import</x:v>
      </x:c>
      <x:c r="F2644" s="4" t="str">
        <x:v>Record captured</x:v>
      </x:c>
      <x:c r="G2644" s="4" t="str">
        <x:v>Enquiry</x:v>
      </x:c>
    </x:row>
    <x:row r="2645" ht="34" customHeight="1">
      <x:c r="A2645" s="4" t="str">
        <x:v>RS-02644-E1</x:v>
      </x:c>
      <x:c r="B2645" s="4" t="str">
        <x:v>RS-02644</x:v>
      </x:c>
      <x:c r="C2645" s="8" t="n">
        <x:v>45455</x:v>
      </x:c>
      <x:c r="D2645" s="4" t="str">
        <x:v>Sales operations manager</x:v>
      </x:c>
      <x:c r="E2645" s="4" t="str">
        <x:v>WhatsApp transcribed</x:v>
      </x:c>
      <x:c r="F2645" s="4" t="str">
        <x:v>Record captured</x:v>
      </x:c>
      <x:c r="G2645" s="4" t="str">
        <x:v>Reserved</x:v>
      </x:c>
    </x:row>
    <x:row r="2646" ht="34" customHeight="1">
      <x:c r="A2646" s="4" t="str">
        <x:v>RS-02645-E1</x:v>
      </x:c>
      <x:c r="B2646" s="4" t="str">
        <x:v>RS-02645</x:v>
      </x:c>
      <x:c r="C2646" s="8" t="n">
        <x:v>45456</x:v>
      </x:c>
      <x:c r="D2646" s="4" t="str">
        <x:v>Sales operations manager</x:v>
      </x:c>
      <x:c r="E2646" s="4" t="str">
        <x:v>WhatsApp transcribed</x:v>
      </x:c>
      <x:c r="F2646" s="4" t="str">
        <x:v>Record captured</x:v>
      </x:c>
      <x:c r="G2646" s="4" t="str">
        <x:v>Cancelled</x:v>
      </x:c>
    </x:row>
    <x:row r="2647" ht="34" customHeight="1">
      <x:c r="A2647" s="4" t="str">
        <x:v>RS-02646-E1</x:v>
      </x:c>
      <x:c r="B2647" s="4" t="str">
        <x:v>RS-02646</x:v>
      </x:c>
      <x:c r="C2647" s="8" t="n">
        <x:v>45457</x:v>
      </x:c>
      <x:c r="D2647" s="4" t="str">
        <x:v>Sales operations manager</x:v>
      </x:c>
      <x:c r="E2647" s="4" t="str">
        <x:v>Spreadsheet import</x:v>
      </x:c>
      <x:c r="F2647" s="4" t="str">
        <x:v>Record captured</x:v>
      </x:c>
      <x:c r="G2647" s="4" t="str">
        <x:v>Cancelled</x:v>
      </x:c>
    </x:row>
    <x:row r="2648" ht="34" customHeight="1">
      <x:c r="A2648" s="4" t="str">
        <x:v>RS-02647-E1</x:v>
      </x:c>
      <x:c r="B2648" s="4" t="str">
        <x:v>RS-02647</x:v>
      </x:c>
      <x:c r="C2648" s="8" t="n">
        <x:v>45458</x:v>
      </x:c>
      <x:c r="D2648" s="4" t="str">
        <x:v>Sales operations manager</x:v>
      </x:c>
      <x:c r="E2648" s="4" t="str">
        <x:v>ERP form</x:v>
      </x:c>
      <x:c r="F2648" s="4" t="str">
        <x:v>Record captured</x:v>
      </x:c>
      <x:c r="G2648" s="4" t="str">
        <x:v>Booked</x:v>
      </x:c>
    </x:row>
    <x:row r="2649" ht="34" customHeight="1">
      <x:c r="A2649" s="4" t="str">
        <x:v>RS-02648-E1</x:v>
      </x:c>
      <x:c r="B2649" s="4" t="str">
        <x:v>RS-02648</x:v>
      </x:c>
      <x:c r="C2649" s="8" t="n">
        <x:v>45459</x:v>
      </x:c>
      <x:c r="D2649" s="4" t="str">
        <x:v>Sales operations manager</x:v>
      </x:c>
      <x:c r="E2649" s="4" t="str">
        <x:v>WhatsApp transcribed</x:v>
      </x:c>
      <x:c r="F2649" s="4" t="str">
        <x:v>Record captured</x:v>
      </x:c>
      <x:c r="G2649" s="4" t="str">
        <x:v>Enquiry</x:v>
      </x:c>
    </x:row>
    <x:row r="2650" ht="34" customHeight="1">
      <x:c r="A2650" s="4" t="str">
        <x:v>RS-02649-E1</x:v>
      </x:c>
      <x:c r="B2650" s="4" t="str">
        <x:v>RS-02649</x:v>
      </x:c>
      <x:c r="C2650" s="8" t="n">
        <x:v>45460</x:v>
      </x:c>
      <x:c r="D2650" s="4" t="str">
        <x:v>Sales operations manager</x:v>
      </x:c>
      <x:c r="E2650" s="4" t="str">
        <x:v>ERP form</x:v>
      </x:c>
      <x:c r="F2650" s="4" t="str">
        <x:v>Record captured</x:v>
      </x:c>
      <x:c r="G2650" s="4" t="str">
        <x:v>Reserved</x:v>
      </x:c>
    </x:row>
    <x:row r="2651" ht="34" customHeight="1">
      <x:c r="A2651" s="4" t="str">
        <x:v>RS-02650-E1</x:v>
      </x:c>
      <x:c r="B2651" s="4" t="str">
        <x:v>RS-02650</x:v>
      </x:c>
      <x:c r="C2651" s="8" t="n">
        <x:v>45461</x:v>
      </x:c>
      <x:c r="D2651" s="4" t="str">
        <x:v>Sales operations manager</x:v>
      </x:c>
      <x:c r="E2651" s="4" t="str">
        <x:v>WhatsApp transcribed</x:v>
      </x:c>
      <x:c r="F2651" s="4" t="str">
        <x:v>Record captured</x:v>
      </x:c>
      <x:c r="G2651" s="4" t="str">
        <x:v>Booked</x:v>
      </x:c>
    </x:row>
    <x:row r="2652" ht="34" customHeight="1">
      <x:c r="A2652" s="4" t="str">
        <x:v>RS-02651-E1</x:v>
      </x:c>
      <x:c r="B2652" s="4" t="str">
        <x:v>RS-02651</x:v>
      </x:c>
      <x:c r="C2652" s="8" t="n">
        <x:v>45462</x:v>
      </x:c>
      <x:c r="D2652" s="4" t="str">
        <x:v>Sales operations manager</x:v>
      </x:c>
      <x:c r="E2652" s="4" t="str">
        <x:v>ERP form</x:v>
      </x:c>
      <x:c r="F2652" s="4" t="str">
        <x:v>Record captured</x:v>
      </x:c>
      <x:c r="G2652" s="4" t="str">
        <x:v>Cancelled</x:v>
      </x:c>
    </x:row>
    <x:row r="2653" ht="34" customHeight="1">
      <x:c r="A2653" s="4" t="str">
        <x:v>RS-02652-E1</x:v>
      </x:c>
      <x:c r="B2653" s="4" t="str">
        <x:v>RS-02652</x:v>
      </x:c>
      <x:c r="C2653" s="8" t="n">
        <x:v>45463</x:v>
      </x:c>
      <x:c r="D2653" s="4" t="str">
        <x:v>Sales operations manager</x:v>
      </x:c>
      <x:c r="E2653" s="4" t="str">
        <x:v>Spreadsheet import</x:v>
      </x:c>
      <x:c r="F2653" s="4" t="str">
        <x:v>Record captured</x:v>
      </x:c>
      <x:c r="G2653" s="4" t="str">
        <x:v>Reserved</x:v>
      </x:c>
    </x:row>
    <x:row r="2654" ht="34" customHeight="1">
      <x:c r="A2654" s="4" t="str">
        <x:v>RS-02653-E1</x:v>
      </x:c>
      <x:c r="B2654" s="4" t="str">
        <x:v>RS-02653</x:v>
      </x:c>
      <x:c r="C2654" s="8" t="n">
        <x:v>45464</x:v>
      </x:c>
      <x:c r="D2654" s="4" t="str">
        <x:v>Sales operations manager</x:v>
      </x:c>
      <x:c r="E2654" s="4" t="str">
        <x:v>Paper transcribed</x:v>
      </x:c>
      <x:c r="F2654" s="4" t="str">
        <x:v>Record captured</x:v>
      </x:c>
      <x:c r="G2654" s="4" t="str">
        <x:v>Booked</x:v>
      </x:c>
    </x:row>
    <x:row r="2655" ht="34" customHeight="1">
      <x:c r="A2655" s="4" t="str">
        <x:v>RS-02654-E1</x:v>
      </x:c>
      <x:c r="B2655" s="4" t="str">
        <x:v>RS-02654</x:v>
      </x:c>
      <x:c r="C2655" s="8" t="n">
        <x:v>45465</x:v>
      </x:c>
      <x:c r="D2655" s="4" t="str">
        <x:v>Sales operations manager</x:v>
      </x:c>
      <x:c r="E2655" s="4" t="str">
        <x:v>ERP form</x:v>
      </x:c>
      <x:c r="F2655" s="4" t="str">
        <x:v>Record captured</x:v>
      </x:c>
      <x:c r="G2655" s="4" t="str">
        <x:v>Handed over</x:v>
      </x:c>
    </x:row>
    <x:row r="2656" ht="34" customHeight="1">
      <x:c r="A2656" s="4" t="str">
        <x:v>RS-02655-E1</x:v>
      </x:c>
      <x:c r="B2656" s="4" t="str">
        <x:v>RS-02655</x:v>
      </x:c>
      <x:c r="C2656" s="8" t="n">
        <x:v>45466</x:v>
      </x:c>
      <x:c r="D2656" s="4" t="str">
        <x:v>Sales operations manager</x:v>
      </x:c>
      <x:c r="E2656" s="4" t="str">
        <x:v>Spreadsheet import</x:v>
      </x:c>
      <x:c r="F2656" s="4" t="str">
        <x:v>Record captured</x:v>
      </x:c>
      <x:c r="G2656" s="4" t="str">
        <x:v>Enquiry</x:v>
      </x:c>
    </x:row>
    <x:row r="2657" ht="34" customHeight="1">
      <x:c r="A2657" s="4" t="str">
        <x:v>RS-02656-E1</x:v>
      </x:c>
      <x:c r="B2657" s="4" t="str">
        <x:v>RS-02656</x:v>
      </x:c>
      <x:c r="C2657" s="8" t="n">
        <x:v>45467</x:v>
      </x:c>
      <x:c r="D2657" s="4" t="str">
        <x:v>Sales operations manager</x:v>
      </x:c>
      <x:c r="E2657" s="4" t="str">
        <x:v>ERP form</x:v>
      </x:c>
      <x:c r="F2657" s="4" t="str">
        <x:v>Record captured</x:v>
      </x:c>
      <x:c r="G2657" s="4" t="str">
        <x:v>Booked</x:v>
      </x:c>
    </x:row>
    <x:row r="2658" ht="34" customHeight="1">
      <x:c r="A2658" s="4" t="str">
        <x:v>RS-02657-E1</x:v>
      </x:c>
      <x:c r="B2658" s="4" t="str">
        <x:v>RS-02657</x:v>
      </x:c>
      <x:c r="C2658" s="8" t="n">
        <x:v>45468</x:v>
      </x:c>
      <x:c r="D2658" s="4" t="str">
        <x:v>Sales operations manager</x:v>
      </x:c>
      <x:c r="E2658" s="4" t="str">
        <x:v>Spreadsheet import</x:v>
      </x:c>
      <x:c r="F2658" s="4" t="str">
        <x:v>Record captured</x:v>
      </x:c>
      <x:c r="G2658" s="4" t="str">
        <x:v>Cancelled</x:v>
      </x:c>
    </x:row>
    <x:row r="2659" ht="34" customHeight="1">
      <x:c r="A2659" s="4" t="str">
        <x:v>RS-02658-E1</x:v>
      </x:c>
      <x:c r="B2659" s="4" t="str">
        <x:v>RS-02658</x:v>
      </x:c>
      <x:c r="C2659" s="8" t="n">
        <x:v>45469</x:v>
      </x:c>
      <x:c r="D2659" s="4" t="str">
        <x:v>Sales operations manager</x:v>
      </x:c>
      <x:c r="E2659" s="4" t="str">
        <x:v>WhatsApp transcribed</x:v>
      </x:c>
      <x:c r="F2659" s="4" t="str">
        <x:v>Record captured</x:v>
      </x:c>
      <x:c r="G2659" s="4" t="str">
        <x:v>Reserved</x:v>
      </x:c>
    </x:row>
    <x:row r="2660" ht="34" customHeight="1">
      <x:c r="A2660" s="4" t="str">
        <x:v>RS-02659-E1</x:v>
      </x:c>
      <x:c r="B2660" s="4" t="str">
        <x:v>RS-02659</x:v>
      </x:c>
      <x:c r="C2660" s="8" t="n">
        <x:v>45470</x:v>
      </x:c>
      <x:c r="D2660" s="4" t="str">
        <x:v>Sales operations manager</x:v>
      </x:c>
      <x:c r="E2660" s="4" t="str">
        <x:v>ERP form</x:v>
      </x:c>
      <x:c r="F2660" s="4" t="str">
        <x:v>Record captured</x:v>
      </x:c>
      <x:c r="G2660" s="4" t="str">
        <x:v>Agreement signed</x:v>
      </x:c>
    </x:row>
    <x:row r="2661" ht="34" customHeight="1">
      <x:c r="A2661" s="4" t="str">
        <x:v>RS-02660-E1</x:v>
      </x:c>
      <x:c r="B2661" s="4" t="str">
        <x:v>RS-02660</x:v>
      </x:c>
      <x:c r="C2661" s="8" t="n">
        <x:v>45471</x:v>
      </x:c>
      <x:c r="D2661" s="4" t="str">
        <x:v>Sales operations manager</x:v>
      </x:c>
      <x:c r="E2661" s="4" t="str">
        <x:v>WhatsApp transcribed</x:v>
      </x:c>
      <x:c r="F2661" s="4" t="str">
        <x:v>Record captured</x:v>
      </x:c>
      <x:c r="G2661" s="4" t="str">
        <x:v>Booked</x:v>
      </x:c>
    </x:row>
    <x:row r="2662" ht="34" customHeight="1">
      <x:c r="A2662" s="4" t="str">
        <x:v>RS-02661-E1</x:v>
      </x:c>
      <x:c r="B2662" s="4" t="str">
        <x:v>RS-02661</x:v>
      </x:c>
      <x:c r="C2662" s="8" t="n">
        <x:v>45444</x:v>
      </x:c>
      <x:c r="D2662" s="4" t="str">
        <x:v>Sales operations manager</x:v>
      </x:c>
      <x:c r="E2662" s="4" t="str">
        <x:v>WhatsApp transcribed</x:v>
      </x:c>
      <x:c r="F2662" s="4" t="str">
        <x:v>Record captured</x:v>
      </x:c>
      <x:c r="G2662" s="4" t="str">
        <x:v>Agreement signed</x:v>
      </x:c>
    </x:row>
    <x:row r="2663" ht="34" customHeight="1">
      <x:c r="A2663" s="4" t="str">
        <x:v>RS-02662-E1</x:v>
      </x:c>
      <x:c r="B2663" s="4" t="str">
        <x:v>RS-02662</x:v>
      </x:c>
      <x:c r="C2663" s="8" t="n">
        <x:v>45445</x:v>
      </x:c>
      <x:c r="D2663" s="4" t="str">
        <x:v>Sales operations manager</x:v>
      </x:c>
      <x:c r="E2663" s="4" t="str">
        <x:v>ERP form</x:v>
      </x:c>
      <x:c r="F2663" s="4" t="str">
        <x:v>Record captured</x:v>
      </x:c>
      <x:c r="G2663" s="4" t="str">
        <x:v>Cancelled</x:v>
      </x:c>
    </x:row>
    <x:row r="2664" ht="34" customHeight="1">
      <x:c r="A2664" s="4" t="str">
        <x:v>RS-02663-E1</x:v>
      </x:c>
      <x:c r="B2664" s="4" t="str">
        <x:v>RS-02663</x:v>
      </x:c>
      <x:c r="C2664" s="8" t="n">
        <x:v>45446</x:v>
      </x:c>
      <x:c r="D2664" s="4" t="str">
        <x:v>Sales operations manager</x:v>
      </x:c>
      <x:c r="E2664" s="4" t="str">
        <x:v>WhatsApp transcribed</x:v>
      </x:c>
      <x:c r="F2664" s="4" t="str">
        <x:v>Record captured</x:v>
      </x:c>
      <x:c r="G2664" s="4" t="str">
        <x:v>Enquiry</x:v>
      </x:c>
    </x:row>
    <x:row r="2665" ht="34" customHeight="1">
      <x:c r="A2665" s="4" t="str">
        <x:v>RS-02664-E1</x:v>
      </x:c>
      <x:c r="B2665" s="4" t="str">
        <x:v>RS-02664</x:v>
      </x:c>
      <x:c r="C2665" s="8" t="n">
        <x:v>45447</x:v>
      </x:c>
      <x:c r="D2665" s="4" t="str">
        <x:v>Sales operations manager</x:v>
      </x:c>
      <x:c r="E2665" s="4" t="str">
        <x:v>Spreadsheet import</x:v>
      </x:c>
      <x:c r="F2665" s="4" t="str">
        <x:v>Record captured</x:v>
      </x:c>
      <x:c r="G2665" s="4" t="str">
        <x:v>Enquiry</x:v>
      </x:c>
    </x:row>
    <x:row r="2666" ht="34" customHeight="1">
      <x:c r="A2666" s="4" t="str">
        <x:v>RS-02665-E1</x:v>
      </x:c>
      <x:c r="B2666" s="4" t="str">
        <x:v>RS-02665</x:v>
      </x:c>
      <x:c r="C2666" s="8" t="n">
        <x:v>45448</x:v>
      </x:c>
      <x:c r="D2666" s="4" t="str">
        <x:v>Sales operations manager</x:v>
      </x:c>
      <x:c r="E2666" s="4" t="str">
        <x:v>WhatsApp transcribed</x:v>
      </x:c>
      <x:c r="F2666" s="4" t="str">
        <x:v>Record captured</x:v>
      </x:c>
      <x:c r="G2666" s="4" t="str">
        <x:v>Enquiry</x:v>
      </x:c>
    </x:row>
    <x:row r="2667" ht="34" customHeight="1">
      <x:c r="A2667" s="4" t="str">
        <x:v>RS-02666-E1</x:v>
      </x:c>
      <x:c r="B2667" s="4" t="str">
        <x:v>RS-02666</x:v>
      </x:c>
      <x:c r="C2667" s="8" t="n">
        <x:v>45449</x:v>
      </x:c>
      <x:c r="D2667" s="4" t="str">
        <x:v>Sales operations manager</x:v>
      </x:c>
      <x:c r="E2667" s="4" t="str">
        <x:v>ERP form</x:v>
      </x:c>
      <x:c r="F2667" s="4" t="str">
        <x:v>Record captured</x:v>
      </x:c>
      <x:c r="G2667" s="4" t="str">
        <x:v>Reserved</x:v>
      </x:c>
    </x:row>
    <x:row r="2668" ht="34" customHeight="1">
      <x:c r="A2668" s="4" t="str">
        <x:v>RS-02667-E1</x:v>
      </x:c>
      <x:c r="B2668" s="4" t="str">
        <x:v>RS-02667</x:v>
      </x:c>
      <x:c r="C2668" s="8" t="n">
        <x:v>45450</x:v>
      </x:c>
      <x:c r="D2668" s="4" t="str">
        <x:v>Sales operations manager</x:v>
      </x:c>
      <x:c r="E2668" s="4" t="str">
        <x:v>Spreadsheet import</x:v>
      </x:c>
      <x:c r="F2668" s="4" t="str">
        <x:v>Record captured</x:v>
      </x:c>
      <x:c r="G2668" s="4" t="str">
        <x:v>Booked</x:v>
      </x:c>
    </x:row>
    <x:row r="2669" ht="34" customHeight="1">
      <x:c r="A2669" s="4" t="str">
        <x:v>RS-02668-E1</x:v>
      </x:c>
      <x:c r="B2669" s="4" t="str">
        <x:v>RS-02668</x:v>
      </x:c>
      <x:c r="C2669" s="8" t="n">
        <x:v>45451</x:v>
      </x:c>
      <x:c r="D2669" s="4" t="str">
        <x:v>Sales operations manager</x:v>
      </x:c>
      <x:c r="E2669" s="4" t="str">
        <x:v>Paper transcribed</x:v>
      </x:c>
      <x:c r="F2669" s="4" t="str">
        <x:v>Record captured</x:v>
      </x:c>
      <x:c r="G2669" s="4" t="str">
        <x:v>Cancelled</x:v>
      </x:c>
    </x:row>
    <x:row r="2670" ht="34" customHeight="1">
      <x:c r="A2670" s="4" t="str">
        <x:v>RS-02669-E1</x:v>
      </x:c>
      <x:c r="B2670" s="4" t="str">
        <x:v>RS-02669</x:v>
      </x:c>
      <x:c r="C2670" s="8" t="n">
        <x:v>45452</x:v>
      </x:c>
      <x:c r="D2670" s="4" t="str">
        <x:v>Sales operations manager</x:v>
      </x:c>
      <x:c r="E2670" s="4" t="str">
        <x:v>WhatsApp transcribed</x:v>
      </x:c>
      <x:c r="F2670" s="4" t="str">
        <x:v>Record captured</x:v>
      </x:c>
      <x:c r="G2670" s="4" t="str">
        <x:v>Booked</x:v>
      </x:c>
    </x:row>
    <x:row r="2671" ht="34" customHeight="1">
      <x:c r="A2671" s="4" t="str">
        <x:v>RS-02670-E1</x:v>
      </x:c>
      <x:c r="B2671" s="4" t="str">
        <x:v>RS-02670</x:v>
      </x:c>
      <x:c r="C2671" s="8" t="n">
        <x:v>45453</x:v>
      </x:c>
      <x:c r="D2671" s="4" t="str">
        <x:v>Sales operations manager</x:v>
      </x:c>
      <x:c r="E2671" s="4" t="str">
        <x:v>Paper transcribed</x:v>
      </x:c>
      <x:c r="F2671" s="4" t="str">
        <x:v>Record captured</x:v>
      </x:c>
      <x:c r="G2671" s="4" t="str">
        <x:v>Booked</x:v>
      </x:c>
    </x:row>
    <x:row r="2672" ht="34" customHeight="1">
      <x:c r="A2672" s="4" t="str">
        <x:v>RS-02671-E1</x:v>
      </x:c>
      <x:c r="B2672" s="4" t="str">
        <x:v>RS-02671</x:v>
      </x:c>
      <x:c r="C2672" s="8" t="n">
        <x:v>45454</x:v>
      </x:c>
      <x:c r="D2672" s="4" t="str">
        <x:v>Sales operations manager</x:v>
      </x:c>
      <x:c r="E2672" s="4" t="str">
        <x:v>Spreadsheet import</x:v>
      </x:c>
      <x:c r="F2672" s="4" t="str">
        <x:v>Record captured</x:v>
      </x:c>
      <x:c r="G2672" s="4" t="str">
        <x:v>Agreement signed</x:v>
      </x:c>
    </x:row>
    <x:row r="2673" ht="34" customHeight="1">
      <x:c r="A2673" s="4" t="str">
        <x:v>RS-02672-E1</x:v>
      </x:c>
      <x:c r="B2673" s="4" t="str">
        <x:v>RS-02672</x:v>
      </x:c>
      <x:c r="C2673" s="8" t="n">
        <x:v>45455</x:v>
      </x:c>
      <x:c r="D2673" s="4" t="str">
        <x:v>Sales operations manager</x:v>
      </x:c>
      <x:c r="E2673" s="4" t="str">
        <x:v>WhatsApp transcribed</x:v>
      </x:c>
      <x:c r="F2673" s="4" t="str">
        <x:v>Record captured</x:v>
      </x:c>
      <x:c r="G2673" s="4" t="str">
        <x:v>Handed over</x:v>
      </x:c>
    </x:row>
    <x:row r="2674" ht="34" customHeight="1">
      <x:c r="A2674" s="4" t="str">
        <x:v>RS-02673-E1</x:v>
      </x:c>
      <x:c r="B2674" s="4" t="str">
        <x:v>RS-02673</x:v>
      </x:c>
      <x:c r="C2674" s="8" t="n">
        <x:v>45456</x:v>
      </x:c>
      <x:c r="D2674" s="4" t="str">
        <x:v>Sales operations manager</x:v>
      </x:c>
      <x:c r="E2674" s="4" t="str">
        <x:v>WhatsApp transcribed</x:v>
      </x:c>
      <x:c r="F2674" s="4" t="str">
        <x:v>Record captured</x:v>
      </x:c>
      <x:c r="G2674" s="4" t="str">
        <x:v>Handed over</x:v>
      </x:c>
    </x:row>
    <x:row r="2675" ht="34" customHeight="1">
      <x:c r="A2675" s="4" t="str">
        <x:v>RS-02674-E1</x:v>
      </x:c>
      <x:c r="B2675" s="4" t="str">
        <x:v>RS-02674</x:v>
      </x:c>
      <x:c r="C2675" s="8" t="n">
        <x:v>45457</x:v>
      </x:c>
      <x:c r="D2675" s="4" t="str">
        <x:v>Sales operations manager</x:v>
      </x:c>
      <x:c r="E2675" s="4" t="str">
        <x:v>ERP form</x:v>
      </x:c>
      <x:c r="F2675" s="4" t="str">
        <x:v>Record captured</x:v>
      </x:c>
      <x:c r="G2675" s="4" t="str">
        <x:v>Booked</x:v>
      </x:c>
    </x:row>
    <x:row r="2676" ht="34" customHeight="1">
      <x:c r="A2676" s="4" t="str">
        <x:v>RS-02675-E1</x:v>
      </x:c>
      <x:c r="B2676" s="4" t="str">
        <x:v>RS-02675</x:v>
      </x:c>
      <x:c r="C2676" s="8" t="n">
        <x:v>45458</x:v>
      </x:c>
      <x:c r="D2676" s="4" t="str">
        <x:v>Sales operations manager</x:v>
      </x:c>
      <x:c r="E2676" s="4" t="str">
        <x:v>WhatsApp transcribed</x:v>
      </x:c>
      <x:c r="F2676" s="4" t="str">
        <x:v>Record captured</x:v>
      </x:c>
      <x:c r="G2676" s="4" t="str">
        <x:v>Enquiry</x:v>
      </x:c>
    </x:row>
    <x:row r="2677" ht="34" customHeight="1">
      <x:c r="A2677" s="4" t="str">
        <x:v>RS-02676-E1</x:v>
      </x:c>
      <x:c r="B2677" s="4" t="str">
        <x:v>RS-02676</x:v>
      </x:c>
      <x:c r="C2677" s="8" t="n">
        <x:v>45459</x:v>
      </x:c>
      <x:c r="D2677" s="4" t="str">
        <x:v>Sales operations manager</x:v>
      </x:c>
      <x:c r="E2677" s="4" t="str">
        <x:v>Paper transcribed</x:v>
      </x:c>
      <x:c r="F2677" s="4" t="str">
        <x:v>Record captured</x:v>
      </x:c>
      <x:c r="G2677" s="4" t="str">
        <x:v>Reserved</x:v>
      </x:c>
    </x:row>
    <x:row r="2678" ht="34" customHeight="1">
      <x:c r="A2678" s="4" t="str">
        <x:v>RS-02677-E1</x:v>
      </x:c>
      <x:c r="B2678" s="4" t="str">
        <x:v>RS-02677</x:v>
      </x:c>
      <x:c r="C2678" s="8" t="n">
        <x:v>45460</x:v>
      </x:c>
      <x:c r="D2678" s="4" t="str">
        <x:v>Sales operations manager</x:v>
      </x:c>
      <x:c r="E2678" s="4" t="str">
        <x:v>Paper transcribed</x:v>
      </x:c>
      <x:c r="F2678" s="4" t="str">
        <x:v>Record captured</x:v>
      </x:c>
      <x:c r="G2678" s="4" t="str">
        <x:v>Cancelled</x:v>
      </x:c>
    </x:row>
    <x:row r="2679" ht="34" customHeight="1">
      <x:c r="A2679" s="4" t="str">
        <x:v>RS-02678-E1</x:v>
      </x:c>
      <x:c r="B2679" s="4" t="str">
        <x:v>RS-02678</x:v>
      </x:c>
      <x:c r="C2679" s="8" t="n">
        <x:v>45461</x:v>
      </x:c>
      <x:c r="D2679" s="4" t="str">
        <x:v>Sales operations manager</x:v>
      </x:c>
      <x:c r="E2679" s="4" t="str">
        <x:v>Spreadsheet import</x:v>
      </x:c>
      <x:c r="F2679" s="4" t="str">
        <x:v>Record captured</x:v>
      </x:c>
      <x:c r="G2679" s="4" t="str">
        <x:v>Handed over</x:v>
      </x:c>
    </x:row>
    <x:row r="2680" ht="34" customHeight="1">
      <x:c r="A2680" s="4" t="str">
        <x:v>RS-02679-E1</x:v>
      </x:c>
      <x:c r="B2680" s="4" t="str">
        <x:v>RS-02679</x:v>
      </x:c>
      <x:c r="C2680" s="8" t="n">
        <x:v>45462</x:v>
      </x:c>
      <x:c r="D2680" s="4" t="str">
        <x:v>Sales operations manager</x:v>
      </x:c>
      <x:c r="E2680" s="4" t="str">
        <x:v>Spreadsheet import</x:v>
      </x:c>
      <x:c r="F2680" s="4" t="str">
        <x:v>Record captured</x:v>
      </x:c>
      <x:c r="G2680" s="4" t="str">
        <x:v>Agreement signed</x:v>
      </x:c>
    </x:row>
    <x:row r="2681" ht="34" customHeight="1">
      <x:c r="A2681" s="4" t="str">
        <x:v>RS-02680-E1</x:v>
      </x:c>
      <x:c r="B2681" s="4" t="str">
        <x:v>RS-02680</x:v>
      </x:c>
      <x:c r="C2681" s="8" t="n">
        <x:v>45463</x:v>
      </x:c>
      <x:c r="D2681" s="4" t="str">
        <x:v>Sales operations manager</x:v>
      </x:c>
      <x:c r="E2681" s="4" t="str">
        <x:v>ERP form</x:v>
      </x:c>
      <x:c r="F2681" s="4" t="str">
        <x:v>Record captured</x:v>
      </x:c>
      <x:c r="G2681" s="4" t="str">
        <x:v>Handed over</x:v>
      </x:c>
    </x:row>
    <x:row r="2682" ht="34" customHeight="1">
      <x:c r="A2682" s="4" t="str">
        <x:v>RS-02681-E1</x:v>
      </x:c>
      <x:c r="B2682" s="4" t="str">
        <x:v>RS-02681</x:v>
      </x:c>
      <x:c r="C2682" s="8" t="n">
        <x:v>45464</x:v>
      </x:c>
      <x:c r="D2682" s="4" t="str">
        <x:v>Sales operations manager</x:v>
      </x:c>
      <x:c r="E2682" s="4" t="str">
        <x:v>ERP form</x:v>
      </x:c>
      <x:c r="F2682" s="4" t="str">
        <x:v>Record captured</x:v>
      </x:c>
      <x:c r="G2682" s="4" t="str">
        <x:v>Handed over</x:v>
      </x:c>
    </x:row>
    <x:row r="2683" ht="34" customHeight="1">
      <x:c r="A2683" s="4" t="str">
        <x:v>RS-02682-E1</x:v>
      </x:c>
      <x:c r="B2683" s="4" t="str">
        <x:v>RS-02682</x:v>
      </x:c>
      <x:c r="C2683" s="8" t="n">
        <x:v>45465</x:v>
      </x:c>
      <x:c r="D2683" s="4" t="str">
        <x:v>Sales operations manager</x:v>
      </x:c>
      <x:c r="E2683" s="4" t="str">
        <x:v>ERP form</x:v>
      </x:c>
      <x:c r="F2683" s="4" t="str">
        <x:v>Record captured</x:v>
      </x:c>
      <x:c r="G2683" s="4" t="str">
        <x:v>Enquiry</x:v>
      </x:c>
    </x:row>
    <x:row r="2684" ht="34" customHeight="1">
      <x:c r="A2684" s="4" t="str">
        <x:v>RS-02683-E1</x:v>
      </x:c>
      <x:c r="B2684" s="4" t="str">
        <x:v>RS-02683</x:v>
      </x:c>
      <x:c r="C2684" s="8" t="n">
        <x:v>45466</x:v>
      </x:c>
      <x:c r="D2684" s="4" t="str">
        <x:v>Sales operations manager</x:v>
      </x:c>
      <x:c r="E2684" s="4" t="str">
        <x:v>Spreadsheet import</x:v>
      </x:c>
      <x:c r="F2684" s="4" t="str">
        <x:v>Record captured</x:v>
      </x:c>
      <x:c r="G2684" s="4" t="str">
        <x:v>Booked</x:v>
      </x:c>
    </x:row>
    <x:row r="2685" ht="34" customHeight="1">
      <x:c r="A2685" s="4" t="str">
        <x:v>RS-02684-E1</x:v>
      </x:c>
      <x:c r="B2685" s="4" t="str">
        <x:v>RS-02684</x:v>
      </x:c>
      <x:c r="C2685" s="8" t="n">
        <x:v>45467</x:v>
      </x:c>
      <x:c r="D2685" s="4" t="str">
        <x:v>Sales operations manager</x:v>
      </x:c>
      <x:c r="E2685" s="4" t="str">
        <x:v>Paper transcribed</x:v>
      </x:c>
      <x:c r="F2685" s="4" t="str">
        <x:v>Record captured</x:v>
      </x:c>
      <x:c r="G2685" s="4" t="str">
        <x:v>Booked</x:v>
      </x:c>
    </x:row>
    <x:row r="2686" ht="34" customHeight="1">
      <x:c r="A2686" s="4" t="str">
        <x:v>RS-02685-E1</x:v>
      </x:c>
      <x:c r="B2686" s="4" t="str">
        <x:v>RS-02685</x:v>
      </x:c>
      <x:c r="C2686" s="8" t="n">
        <x:v>45468</x:v>
      </x:c>
      <x:c r="D2686" s="4" t="str">
        <x:v>Sales operations manager</x:v>
      </x:c>
      <x:c r="E2686" s="4" t="str">
        <x:v>ERP form</x:v>
      </x:c>
      <x:c r="F2686" s="4" t="str">
        <x:v>Record captured</x:v>
      </x:c>
      <x:c r="G2686" s="4" t="str">
        <x:v>Reserved</x:v>
      </x:c>
    </x:row>
    <x:row r="2687" ht="34" customHeight="1">
      <x:c r="A2687" s="4" t="str">
        <x:v>RS-02686-E1</x:v>
      </x:c>
      <x:c r="B2687" s="4" t="str">
        <x:v>RS-02686</x:v>
      </x:c>
      <x:c r="C2687" s="8" t="n">
        <x:v>45469</x:v>
      </x:c>
      <x:c r="D2687" s="4" t="str">
        <x:v>Sales operations manager</x:v>
      </x:c>
      <x:c r="E2687" s="4" t="str">
        <x:v>Paper transcribed</x:v>
      </x:c>
      <x:c r="F2687" s="4" t="str">
        <x:v>Record captured</x:v>
      </x:c>
      <x:c r="G2687" s="4" t="str">
        <x:v>Booked</x:v>
      </x:c>
    </x:row>
    <x:row r="2688" ht="34" customHeight="1">
      <x:c r="A2688" s="4" t="str">
        <x:v>RS-02687-E1</x:v>
      </x:c>
      <x:c r="B2688" s="4" t="str">
        <x:v>RS-02687</x:v>
      </x:c>
      <x:c r="C2688" s="8" t="n">
        <x:v>45470</x:v>
      </x:c>
      <x:c r="D2688" s="4" t="str">
        <x:v>Sales operations manager</x:v>
      </x:c>
      <x:c r="E2688" s="4" t="str">
        <x:v>WhatsApp transcribed</x:v>
      </x:c>
      <x:c r="F2688" s="4" t="str">
        <x:v>Record captured</x:v>
      </x:c>
      <x:c r="G2688" s="4" t="str">
        <x:v>Agreement signed</x:v>
      </x:c>
    </x:row>
    <x:row r="2689" ht="34" customHeight="1">
      <x:c r="A2689" s="4" t="str">
        <x:v>RS-02688-E1</x:v>
      </x:c>
      <x:c r="B2689" s="4" t="str">
        <x:v>RS-02688</x:v>
      </x:c>
      <x:c r="C2689" s="8" t="n">
        <x:v>45471</x:v>
      </x:c>
      <x:c r="D2689" s="4" t="str">
        <x:v>Sales operations manager</x:v>
      </x:c>
      <x:c r="E2689" s="4" t="str">
        <x:v>ERP form</x:v>
      </x:c>
      <x:c r="F2689" s="4" t="str">
        <x:v>Record captured</x:v>
      </x:c>
      <x:c r="G2689" s="4" t="str">
        <x:v>Agreement signed</x:v>
      </x:c>
    </x:row>
    <x:row r="2690" ht="34" customHeight="1">
      <x:c r="A2690" s="4" t="str">
        <x:v>RS-02689-E1</x:v>
      </x:c>
      <x:c r="B2690" s="4" t="str">
        <x:v>RS-02689</x:v>
      </x:c>
      <x:c r="C2690" s="8" t="n">
        <x:v>45444</x:v>
      </x:c>
      <x:c r="D2690" s="4" t="str">
        <x:v>Sales operations manager</x:v>
      </x:c>
      <x:c r="E2690" s="4" t="str">
        <x:v>ERP form</x:v>
      </x:c>
      <x:c r="F2690" s="4" t="str">
        <x:v>Record captured</x:v>
      </x:c>
      <x:c r="G2690" s="4" t="str">
        <x:v>Booked</x:v>
      </x:c>
    </x:row>
    <x:row r="2691" ht="34" customHeight="1">
      <x:c r="A2691" s="4" t="str">
        <x:v>RS-02690-E1</x:v>
      </x:c>
      <x:c r="B2691" s="4" t="str">
        <x:v>RS-02690</x:v>
      </x:c>
      <x:c r="C2691" s="8" t="n">
        <x:v>45445</x:v>
      </x:c>
      <x:c r="D2691" s="4" t="str">
        <x:v>Sales operations manager</x:v>
      </x:c>
      <x:c r="E2691" s="4" t="str">
        <x:v>Spreadsheet import</x:v>
      </x:c>
      <x:c r="F2691" s="4" t="str">
        <x:v>Record captured</x:v>
      </x:c>
      <x:c r="G2691" s="4" t="str">
        <x:v>Reserved</x:v>
      </x:c>
    </x:row>
    <x:row r="2692" ht="34" customHeight="1">
      <x:c r="A2692" s="4" t="str">
        <x:v>RS-02691-E1</x:v>
      </x:c>
      <x:c r="B2692" s="4" t="str">
        <x:v>RS-02691</x:v>
      </x:c>
      <x:c r="C2692" s="8" t="n">
        <x:v>45446</x:v>
      </x:c>
      <x:c r="D2692" s="4" t="str">
        <x:v>Sales operations manager</x:v>
      </x:c>
      <x:c r="E2692" s="4" t="str">
        <x:v>ERP form</x:v>
      </x:c>
      <x:c r="F2692" s="4" t="str">
        <x:v>Record captured</x:v>
      </x:c>
      <x:c r="G2692" s="4" t="str">
        <x:v>Cancelled</x:v>
      </x:c>
    </x:row>
    <x:row r="2693" ht="34" customHeight="1">
      <x:c r="A2693" s="4" t="str">
        <x:v>RS-02692-E1</x:v>
      </x:c>
      <x:c r="B2693" s="4" t="str">
        <x:v>RS-02692</x:v>
      </x:c>
      <x:c r="C2693" s="8" t="n">
        <x:v>45447</x:v>
      </x:c>
      <x:c r="D2693" s="4" t="str">
        <x:v>Sales operations manager</x:v>
      </x:c>
      <x:c r="E2693" s="4" t="str">
        <x:v>WhatsApp transcribed</x:v>
      </x:c>
      <x:c r="F2693" s="4" t="str">
        <x:v>Record captured</x:v>
      </x:c>
      <x:c r="G2693" s="4" t="str">
        <x:v>Cancelled</x:v>
      </x:c>
    </x:row>
    <x:row r="2694" ht="34" customHeight="1">
      <x:c r="A2694" s="4" t="str">
        <x:v>RS-02693-E1</x:v>
      </x:c>
      <x:c r="B2694" s="4" t="str">
        <x:v>RS-02693</x:v>
      </x:c>
      <x:c r="C2694" s="8" t="n">
        <x:v>45448</x:v>
      </x:c>
      <x:c r="D2694" s="4" t="str">
        <x:v>Sales operations manager</x:v>
      </x:c>
      <x:c r="E2694" s="4" t="str">
        <x:v>WhatsApp transcribed</x:v>
      </x:c>
      <x:c r="F2694" s="4" t="str">
        <x:v>Record captured</x:v>
      </x:c>
      <x:c r="G2694" s="4" t="str">
        <x:v>Reserved</x:v>
      </x:c>
    </x:row>
    <x:row r="2695" ht="34" customHeight="1">
      <x:c r="A2695" s="4" t="str">
        <x:v>RS-02694-E1</x:v>
      </x:c>
      <x:c r="B2695" s="4" t="str">
        <x:v>RS-02694</x:v>
      </x:c>
      <x:c r="C2695" s="8" t="n">
        <x:v>45449</x:v>
      </x:c>
      <x:c r="D2695" s="4" t="str">
        <x:v>Sales operations manager</x:v>
      </x:c>
      <x:c r="E2695" s="4" t="str">
        <x:v>WhatsApp transcribed</x:v>
      </x:c>
      <x:c r="F2695" s="4" t="str">
        <x:v>Record captured</x:v>
      </x:c>
      <x:c r="G2695" s="4" t="str">
        <x:v>Agreement signed</x:v>
      </x:c>
    </x:row>
    <x:row r="2696" ht="34" customHeight="1">
      <x:c r="A2696" s="4" t="str">
        <x:v>RS-02695-E1</x:v>
      </x:c>
      <x:c r="B2696" s="4" t="str">
        <x:v>RS-02695</x:v>
      </x:c>
      <x:c r="C2696" s="8" t="n">
        <x:v>45450</x:v>
      </x:c>
      <x:c r="D2696" s="4" t="str">
        <x:v>Sales operations manager</x:v>
      </x:c>
      <x:c r="E2696" s="4" t="str">
        <x:v>ERP form</x:v>
      </x:c>
      <x:c r="F2696" s="4" t="str">
        <x:v>Record captured</x:v>
      </x:c>
      <x:c r="G2696" s="4" t="str">
        <x:v>Enquiry</x:v>
      </x:c>
    </x:row>
    <x:row r="2697" ht="34" customHeight="1">
      <x:c r="A2697" s="4" t="str">
        <x:v>RS-02696-E1</x:v>
      </x:c>
      <x:c r="B2697" s="4" t="str">
        <x:v>RS-02696</x:v>
      </x:c>
      <x:c r="C2697" s="8" t="n">
        <x:v>45451</x:v>
      </x:c>
      <x:c r="D2697" s="4" t="str">
        <x:v>Sales operations manager</x:v>
      </x:c>
      <x:c r="E2697" s="4" t="str">
        <x:v>WhatsApp transcribed</x:v>
      </x:c>
      <x:c r="F2697" s="4" t="str">
        <x:v>Record captured</x:v>
      </x:c>
      <x:c r="G2697" s="4" t="str">
        <x:v>Handed over</x:v>
      </x:c>
    </x:row>
    <x:row r="2698" ht="34" customHeight="1">
      <x:c r="A2698" s="4" t="str">
        <x:v>RS-02697-E1</x:v>
      </x:c>
      <x:c r="B2698" s="4" t="str">
        <x:v>RS-02697</x:v>
      </x:c>
      <x:c r="C2698" s="8" t="n">
        <x:v>45452</x:v>
      </x:c>
      <x:c r="D2698" s="4" t="str">
        <x:v>Sales operations manager</x:v>
      </x:c>
      <x:c r="E2698" s="4" t="str">
        <x:v>ERP form</x:v>
      </x:c>
      <x:c r="F2698" s="4" t="str">
        <x:v>Record captured</x:v>
      </x:c>
      <x:c r="G2698" s="4" t="str">
        <x:v>Reserved</x:v>
      </x:c>
    </x:row>
    <x:row r="2699" ht="34" customHeight="1">
      <x:c r="A2699" s="4" t="str">
        <x:v>RS-02698-E1</x:v>
      </x:c>
      <x:c r="B2699" s="4" t="str">
        <x:v>RS-02698</x:v>
      </x:c>
      <x:c r="C2699" s="8" t="n">
        <x:v>45453</x:v>
      </x:c>
      <x:c r="D2699" s="4" t="str">
        <x:v>Sales operations manager</x:v>
      </x:c>
      <x:c r="E2699" s="4" t="str">
        <x:v>ERP form</x:v>
      </x:c>
      <x:c r="F2699" s="4" t="str">
        <x:v>Record captured</x:v>
      </x:c>
      <x:c r="G2699" s="4" t="str">
        <x:v>Cancelled</x:v>
      </x:c>
    </x:row>
    <x:row r="2700" ht="34" customHeight="1">
      <x:c r="A2700" s="4" t="str">
        <x:v>RS-02699-E1</x:v>
      </x:c>
      <x:c r="B2700" s="4" t="str">
        <x:v>RS-02699</x:v>
      </x:c>
      <x:c r="C2700" s="8" t="n">
        <x:v>45454</x:v>
      </x:c>
      <x:c r="D2700" s="4" t="str">
        <x:v>Sales operations manager</x:v>
      </x:c>
      <x:c r="E2700" s="4" t="str">
        <x:v>WhatsApp transcribed</x:v>
      </x:c>
      <x:c r="F2700" s="4" t="str">
        <x:v>Record captured</x:v>
      </x:c>
      <x:c r="G2700" s="4" t="str">
        <x:v>Enquiry</x:v>
      </x:c>
    </x:row>
    <x:row r="2701" ht="34" customHeight="1">
      <x:c r="A2701" s="4" t="str">
        <x:v>RS-02700-E1</x:v>
      </x:c>
      <x:c r="B2701" s="4" t="str">
        <x:v>RS-02700</x:v>
      </x:c>
      <x:c r="C2701" s="8" t="n">
        <x:v>45455</x:v>
      </x:c>
      <x:c r="D2701" s="4" t="str">
        <x:v>Sales operations manager</x:v>
      </x:c>
      <x:c r="E2701" s="4" t="str">
        <x:v>Paper transcribed</x:v>
      </x:c>
      <x:c r="F2701" s="4" t="str">
        <x:v>Record captured</x:v>
      </x:c>
      <x:c r="G2701" s="4" t="str">
        <x:v>Booked</x:v>
      </x:c>
    </x:row>
    <x:row r="2702" ht="34" customHeight="1">
      <x:c r="A2702" s="4" t="str">
        <x:v>RS-02701-E1</x:v>
      </x:c>
      <x:c r="B2702" s="4" t="str">
        <x:v>RS-02701</x:v>
      </x:c>
      <x:c r="C2702" s="8" t="n">
        <x:v>45456</x:v>
      </x:c>
      <x:c r="D2702" s="4" t="str">
        <x:v>Sales operations manager</x:v>
      </x:c>
      <x:c r="E2702" s="4" t="str">
        <x:v>ERP form</x:v>
      </x:c>
      <x:c r="F2702" s="4" t="str">
        <x:v>Record captured</x:v>
      </x:c>
      <x:c r="G2702" s="4" t="str">
        <x:v>Enquiry</x:v>
      </x:c>
    </x:row>
    <x:row r="2703" ht="34" customHeight="1">
      <x:c r="A2703" s="4" t="str">
        <x:v>RS-02702-E1</x:v>
      </x:c>
      <x:c r="B2703" s="4" t="str">
        <x:v>RS-02702</x:v>
      </x:c>
      <x:c r="C2703" s="8" t="n">
        <x:v>45457</x:v>
      </x:c>
      <x:c r="D2703" s="4" t="str">
        <x:v>Sales operations manager</x:v>
      </x:c>
      <x:c r="E2703" s="4" t="str">
        <x:v>Spreadsheet import</x:v>
      </x:c>
      <x:c r="F2703" s="4" t="str">
        <x:v>Record captured</x:v>
      </x:c>
      <x:c r="G2703" s="4" t="str">
        <x:v>Agreement signed</x:v>
      </x:c>
    </x:row>
    <x:row r="2704" ht="34" customHeight="1">
      <x:c r="A2704" s="4" t="str">
        <x:v>RS-02703-E1</x:v>
      </x:c>
      <x:c r="B2704" s="4" t="str">
        <x:v>RS-02703</x:v>
      </x:c>
      <x:c r="C2704" s="8" t="n">
        <x:v>45458</x:v>
      </x:c>
      <x:c r="D2704" s="4" t="str">
        <x:v>Sales operations manager</x:v>
      </x:c>
      <x:c r="E2704" s="4" t="str">
        <x:v>Paper transcribed</x:v>
      </x:c>
      <x:c r="F2704" s="4" t="str">
        <x:v>Record captured</x:v>
      </x:c>
      <x:c r="G2704" s="4" t="str">
        <x:v>Booked</x:v>
      </x:c>
    </x:row>
    <x:row r="2705" ht="34" customHeight="1">
      <x:c r="A2705" s="4" t="str">
        <x:v>RS-02704-E1</x:v>
      </x:c>
      <x:c r="B2705" s="4" t="str">
        <x:v>RS-02704</x:v>
      </x:c>
      <x:c r="C2705" s="8" t="n">
        <x:v>45459</x:v>
      </x:c>
      <x:c r="D2705" s="4" t="str">
        <x:v>Sales operations manager</x:v>
      </x:c>
      <x:c r="E2705" s="4" t="str">
        <x:v>Paper transcribed</x:v>
      </x:c>
      <x:c r="F2705" s="4" t="str">
        <x:v>Record captured</x:v>
      </x:c>
      <x:c r="G2705" s="4" t="str">
        <x:v>Handed over</x:v>
      </x:c>
    </x:row>
    <x:row r="2706" ht="34" customHeight="1">
      <x:c r="A2706" s="4" t="str">
        <x:v>RS-02705-E1</x:v>
      </x:c>
      <x:c r="B2706" s="4" t="str">
        <x:v>RS-02705</x:v>
      </x:c>
      <x:c r="C2706" s="8" t="n">
        <x:v>45460</x:v>
      </x:c>
      <x:c r="D2706" s="4" t="str">
        <x:v>Sales operations manager</x:v>
      </x:c>
      <x:c r="E2706" s="4" t="str">
        <x:v>Paper transcribed</x:v>
      </x:c>
      <x:c r="F2706" s="4" t="str">
        <x:v>Record captured</x:v>
      </x:c>
      <x:c r="G2706" s="4" t="str">
        <x:v>Cancelled</x:v>
      </x:c>
    </x:row>
    <x:row r="2707" ht="34" customHeight="1">
      <x:c r="A2707" s="4" t="str">
        <x:v>RS-02706-E1</x:v>
      </x:c>
      <x:c r="B2707" s="4" t="str">
        <x:v>RS-02706</x:v>
      </x:c>
      <x:c r="C2707" s="8" t="n">
        <x:v>45461</x:v>
      </x:c>
      <x:c r="D2707" s="4" t="str">
        <x:v>Sales operations manager</x:v>
      </x:c>
      <x:c r="E2707" s="4" t="str">
        <x:v>Paper transcribed</x:v>
      </x:c>
      <x:c r="F2707" s="4" t="str">
        <x:v>Record captured</x:v>
      </x:c>
      <x:c r="G2707" s="4" t="str">
        <x:v>Reserved</x:v>
      </x:c>
    </x:row>
    <x:row r="2708" ht="34" customHeight="1">
      <x:c r="A2708" s="4" t="str">
        <x:v>RS-02707-E1</x:v>
      </x:c>
      <x:c r="B2708" s="4" t="str">
        <x:v>RS-02707</x:v>
      </x:c>
      <x:c r="C2708" s="8" t="n">
        <x:v>45462</x:v>
      </x:c>
      <x:c r="D2708" s="4" t="str">
        <x:v>Sales operations manager</x:v>
      </x:c>
      <x:c r="E2708" s="4" t="str">
        <x:v>ERP form</x:v>
      </x:c>
      <x:c r="F2708" s="4" t="str">
        <x:v>Record captured</x:v>
      </x:c>
      <x:c r="G2708" s="4" t="str">
        <x:v>Agreement signed</x:v>
      </x:c>
    </x:row>
    <x:row r="2709" ht="34" customHeight="1">
      <x:c r="A2709" s="4" t="str">
        <x:v>RS-02708-E1</x:v>
      </x:c>
      <x:c r="B2709" s="4" t="str">
        <x:v>RS-02708</x:v>
      </x:c>
      <x:c r="C2709" s="8" t="n">
        <x:v>45463</x:v>
      </x:c>
      <x:c r="D2709" s="4" t="str">
        <x:v>Sales operations manager</x:v>
      </x:c>
      <x:c r="E2709" s="4" t="str">
        <x:v>Spreadsheet import</x:v>
      </x:c>
      <x:c r="F2709" s="4" t="str">
        <x:v>Record captured</x:v>
      </x:c>
      <x:c r="G2709" s="4" t="str">
        <x:v>Cancelled</x:v>
      </x:c>
    </x:row>
    <x:row r="2710" ht="34" customHeight="1">
      <x:c r="A2710" s="4" t="str">
        <x:v>RS-02709-E1</x:v>
      </x:c>
      <x:c r="B2710" s="4" t="str">
        <x:v>RS-02709</x:v>
      </x:c>
      <x:c r="C2710" s="8" t="n">
        <x:v>45464</x:v>
      </x:c>
      <x:c r="D2710" s="4" t="str">
        <x:v>Sales operations manager</x:v>
      </x:c>
      <x:c r="E2710" s="4" t="str">
        <x:v>WhatsApp transcribed</x:v>
      </x:c>
      <x:c r="F2710" s="4" t="str">
        <x:v>Record captured</x:v>
      </x:c>
      <x:c r="G2710" s="4" t="str">
        <x:v>Enquiry</x:v>
      </x:c>
    </x:row>
    <x:row r="2711" ht="34" customHeight="1">
      <x:c r="A2711" s="4" t="str">
        <x:v>RS-02710-E1</x:v>
      </x:c>
      <x:c r="B2711" s="4" t="str">
        <x:v>RS-02710</x:v>
      </x:c>
      <x:c r="C2711" s="8" t="n">
        <x:v>45465</x:v>
      </x:c>
      <x:c r="D2711" s="4" t="str">
        <x:v>Sales operations manager</x:v>
      </x:c>
      <x:c r="E2711" s="4" t="str">
        <x:v>WhatsApp transcribed</x:v>
      </x:c>
      <x:c r="F2711" s="4" t="str">
        <x:v>Record captured</x:v>
      </x:c>
      <x:c r="G2711" s="4" t="str">
        <x:v>Handed over</x:v>
      </x:c>
    </x:row>
    <x:row r="2712" ht="34" customHeight="1">
      <x:c r="A2712" s="4" t="str">
        <x:v>RS-02711-E1</x:v>
      </x:c>
      <x:c r="B2712" s="4" t="str">
        <x:v>RS-02711</x:v>
      </x:c>
      <x:c r="C2712" s="8" t="n">
        <x:v>45466</x:v>
      </x:c>
      <x:c r="D2712" s="4" t="str">
        <x:v>Sales operations manager</x:v>
      </x:c>
      <x:c r="E2712" s="4" t="str">
        <x:v>ERP form</x:v>
      </x:c>
      <x:c r="F2712" s="4" t="str">
        <x:v>Record captured</x:v>
      </x:c>
      <x:c r="G2712" s="4" t="str">
        <x:v>Handed over</x:v>
      </x:c>
    </x:row>
    <x:row r="2713" ht="34" customHeight="1">
      <x:c r="A2713" s="4" t="str">
        <x:v>RS-02712-E1</x:v>
      </x:c>
      <x:c r="B2713" s="4" t="str">
        <x:v>RS-02712</x:v>
      </x:c>
      <x:c r="C2713" s="8" t="n">
        <x:v>45467</x:v>
      </x:c>
      <x:c r="D2713" s="4" t="str">
        <x:v>Sales operations manager</x:v>
      </x:c>
      <x:c r="E2713" s="4" t="str">
        <x:v>Spreadsheet import</x:v>
      </x:c>
      <x:c r="F2713" s="4" t="str">
        <x:v>Record captured</x:v>
      </x:c>
      <x:c r="G2713" s="4" t="str">
        <x:v>Cancelled</x:v>
      </x:c>
    </x:row>
    <x:row r="2714" ht="34" customHeight="1">
      <x:c r="A2714" s="4" t="str">
        <x:v>RS-02713-E1</x:v>
      </x:c>
      <x:c r="B2714" s="4" t="str">
        <x:v>RS-02713</x:v>
      </x:c>
      <x:c r="C2714" s="8" t="n">
        <x:v>45468</x:v>
      </x:c>
      <x:c r="D2714" s="4" t="str">
        <x:v>Sales operations manager</x:v>
      </x:c>
      <x:c r="E2714" s="4" t="str">
        <x:v>WhatsApp transcribed</x:v>
      </x:c>
      <x:c r="F2714" s="4" t="str">
        <x:v>Record captured</x:v>
      </x:c>
      <x:c r="G2714" s="4" t="str">
        <x:v>Reserved</x:v>
      </x:c>
    </x:row>
    <x:row r="2715" ht="34" customHeight="1">
      <x:c r="A2715" s="4" t="str">
        <x:v>RS-02714-E1</x:v>
      </x:c>
      <x:c r="B2715" s="4" t="str">
        <x:v>RS-02714</x:v>
      </x:c>
      <x:c r="C2715" s="8" t="n">
        <x:v>45469</x:v>
      </x:c>
      <x:c r="D2715" s="4" t="str">
        <x:v>Sales operations manager</x:v>
      </x:c>
      <x:c r="E2715" s="4" t="str">
        <x:v>ERP form</x:v>
      </x:c>
      <x:c r="F2715" s="4" t="str">
        <x:v>Record captured</x:v>
      </x:c>
      <x:c r="G2715" s="4" t="str">
        <x:v>Enquiry</x:v>
      </x:c>
    </x:row>
    <x:row r="2716" ht="34" customHeight="1">
      <x:c r="A2716" s="4" t="str">
        <x:v>RS-02715-E1</x:v>
      </x:c>
      <x:c r="B2716" s="4" t="str">
        <x:v>RS-02715</x:v>
      </x:c>
      <x:c r="C2716" s="8" t="n">
        <x:v>45470</x:v>
      </x:c>
      <x:c r="D2716" s="4" t="str">
        <x:v>Sales operations manager</x:v>
      </x:c>
      <x:c r="E2716" s="4" t="str">
        <x:v>WhatsApp transcribed</x:v>
      </x:c>
      <x:c r="F2716" s="4" t="str">
        <x:v>Record captured</x:v>
      </x:c>
      <x:c r="G2716" s="4" t="str">
        <x:v>Reserved</x:v>
      </x:c>
    </x:row>
    <x:row r="2717" ht="34" customHeight="1">
      <x:c r="A2717" s="4" t="str">
        <x:v>RS-02716-E1</x:v>
      </x:c>
      <x:c r="B2717" s="4" t="str">
        <x:v>RS-02716</x:v>
      </x:c>
      <x:c r="C2717" s="8" t="n">
        <x:v>45471</x:v>
      </x:c>
      <x:c r="D2717" s="4" t="str">
        <x:v>Sales operations manager</x:v>
      </x:c>
      <x:c r="E2717" s="4" t="str">
        <x:v>Paper transcribed</x:v>
      </x:c>
      <x:c r="F2717" s="4" t="str">
        <x:v>Record captured</x:v>
      </x:c>
      <x:c r="G2717" s="4" t="str">
        <x:v>Enquiry</x:v>
      </x:c>
    </x:row>
    <x:row r="2718" ht="34" customHeight="1">
      <x:c r="A2718" s="4" t="str">
        <x:v>RS-02717-E1</x:v>
      </x:c>
      <x:c r="B2718" s="4" t="str">
        <x:v>RS-02717</x:v>
      </x:c>
      <x:c r="C2718" s="8" t="n">
        <x:v>45444</x:v>
      </x:c>
      <x:c r="D2718" s="4" t="str">
        <x:v>Sales operations manager</x:v>
      </x:c>
      <x:c r="E2718" s="4" t="str">
        <x:v>WhatsApp transcribed</x:v>
      </x:c>
      <x:c r="F2718" s="4" t="str">
        <x:v>Record captured</x:v>
      </x:c>
      <x:c r="G2718" s="4" t="str">
        <x:v>Agreement signed</x:v>
      </x:c>
    </x:row>
    <x:row r="2719" ht="34" customHeight="1">
      <x:c r="A2719" s="4" t="str">
        <x:v>RS-02718-E1</x:v>
      </x:c>
      <x:c r="B2719" s="4" t="str">
        <x:v>RS-02718</x:v>
      </x:c>
      <x:c r="C2719" s="8" t="n">
        <x:v>45445</x:v>
      </x:c>
      <x:c r="D2719" s="4" t="str">
        <x:v>Sales operations manager</x:v>
      </x:c>
      <x:c r="E2719" s="4" t="str">
        <x:v>Spreadsheet import</x:v>
      </x:c>
      <x:c r="F2719" s="4" t="str">
        <x:v>Record captured</x:v>
      </x:c>
      <x:c r="G2719" s="4" t="str">
        <x:v>Reserved</x:v>
      </x:c>
    </x:row>
    <x:row r="2720" ht="34" customHeight="1">
      <x:c r="A2720" s="4" t="str">
        <x:v>RS-02719-E1</x:v>
      </x:c>
      <x:c r="B2720" s="4" t="str">
        <x:v>RS-02719</x:v>
      </x:c>
      <x:c r="C2720" s="8" t="n">
        <x:v>45446</x:v>
      </x:c>
      <x:c r="D2720" s="4" t="str">
        <x:v>Sales operations manager</x:v>
      </x:c>
      <x:c r="E2720" s="4" t="str">
        <x:v>WhatsApp transcribed</x:v>
      </x:c>
      <x:c r="F2720" s="4" t="str">
        <x:v>Record captured</x:v>
      </x:c>
      <x:c r="G2720" s="4" t="str">
        <x:v>Agreement signed</x:v>
      </x:c>
    </x:row>
    <x:row r="2721" ht="34" customHeight="1">
      <x:c r="A2721" s="4" t="str">
        <x:v>RS-02720-E1</x:v>
      </x:c>
      <x:c r="B2721" s="4" t="str">
        <x:v>RS-02720</x:v>
      </x:c>
      <x:c r="C2721" s="8" t="n">
        <x:v>45447</x:v>
      </x:c>
      <x:c r="D2721" s="4" t="str">
        <x:v>Sales operations manager</x:v>
      </x:c>
      <x:c r="E2721" s="4" t="str">
        <x:v>Paper transcribed</x:v>
      </x:c>
      <x:c r="F2721" s="4" t="str">
        <x:v>Record captured</x:v>
      </x:c>
      <x:c r="G2721" s="4" t="str">
        <x:v>Handed over</x:v>
      </x:c>
    </x:row>
    <x:row r="2722" ht="34" customHeight="1">
      <x:c r="A2722" s="4" t="str">
        <x:v>RS-02721-E1</x:v>
      </x:c>
      <x:c r="B2722" s="4" t="str">
        <x:v>RS-02721</x:v>
      </x:c>
      <x:c r="C2722" s="8" t="n">
        <x:v>45448</x:v>
      </x:c>
      <x:c r="D2722" s="4" t="str">
        <x:v>Sales operations manager</x:v>
      </x:c>
      <x:c r="E2722" s="4" t="str">
        <x:v>WhatsApp transcribed</x:v>
      </x:c>
      <x:c r="F2722" s="4" t="str">
        <x:v>Record captured</x:v>
      </x:c>
      <x:c r="G2722" s="4" t="str">
        <x:v>Cancelled</x:v>
      </x:c>
    </x:row>
    <x:row r="2723" ht="34" customHeight="1">
      <x:c r="A2723" s="4" t="str">
        <x:v>RS-02722-E1</x:v>
      </x:c>
      <x:c r="B2723" s="4" t="str">
        <x:v>RS-02722</x:v>
      </x:c>
      <x:c r="C2723" s="8" t="n">
        <x:v>45449</x:v>
      </x:c>
      <x:c r="D2723" s="4" t="str">
        <x:v>Sales operations manager</x:v>
      </x:c>
      <x:c r="E2723" s="4" t="str">
        <x:v>ERP form</x:v>
      </x:c>
      <x:c r="F2723" s="4" t="str">
        <x:v>Record captured</x:v>
      </x:c>
      <x:c r="G2723" s="4" t="str">
        <x:v>Agreement signed</x:v>
      </x:c>
    </x:row>
    <x:row r="2724" ht="34" customHeight="1">
      <x:c r="A2724" s="4" t="str">
        <x:v>RS-02723-E1</x:v>
      </x:c>
      <x:c r="B2724" s="4" t="str">
        <x:v>RS-02723</x:v>
      </x:c>
      <x:c r="C2724" s="8" t="n">
        <x:v>45450</x:v>
      </x:c>
      <x:c r="D2724" s="4" t="str">
        <x:v>Sales operations manager</x:v>
      </x:c>
      <x:c r="E2724" s="4" t="str">
        <x:v>ERP form</x:v>
      </x:c>
      <x:c r="F2724" s="4" t="str">
        <x:v>Record captured</x:v>
      </x:c>
      <x:c r="G2724" s="4" t="str">
        <x:v>Agreement signed</x:v>
      </x:c>
    </x:row>
    <x:row r="2725" ht="34" customHeight="1">
      <x:c r="A2725" s="4" t="str">
        <x:v>RS-02724-E1</x:v>
      </x:c>
      <x:c r="B2725" s="4" t="str">
        <x:v>RS-02724</x:v>
      </x:c>
      <x:c r="C2725" s="8" t="n">
        <x:v>45451</x:v>
      </x:c>
      <x:c r="D2725" s="4" t="str">
        <x:v>Sales operations manager</x:v>
      </x:c>
      <x:c r="E2725" s="4" t="str">
        <x:v>Spreadsheet import</x:v>
      </x:c>
      <x:c r="F2725" s="4" t="str">
        <x:v>Record captured</x:v>
      </x:c>
      <x:c r="G2725" s="4" t="str">
        <x:v>Enquiry</x:v>
      </x:c>
    </x:row>
    <x:row r="2726" ht="34" customHeight="1">
      <x:c r="A2726" s="4" t="str">
        <x:v>RS-02725-E1</x:v>
      </x:c>
      <x:c r="B2726" s="4" t="str">
        <x:v>RS-02725</x:v>
      </x:c>
      <x:c r="C2726" s="8" t="n">
        <x:v>45452</x:v>
      </x:c>
      <x:c r="D2726" s="4" t="str">
        <x:v>Sales operations manager</x:v>
      </x:c>
      <x:c r="E2726" s="4" t="str">
        <x:v>Spreadsheet import</x:v>
      </x:c>
      <x:c r="F2726" s="4" t="str">
        <x:v>Record captured</x:v>
      </x:c>
      <x:c r="G2726" s="4" t="str">
        <x:v>Reserved</x:v>
      </x:c>
    </x:row>
    <x:row r="2727" ht="34" customHeight="1">
      <x:c r="A2727" s="4" t="str">
        <x:v>RS-02726-E1</x:v>
      </x:c>
      <x:c r="B2727" s="4" t="str">
        <x:v>RS-02726</x:v>
      </x:c>
      <x:c r="C2727" s="8" t="n">
        <x:v>45453</x:v>
      </x:c>
      <x:c r="D2727" s="4" t="str">
        <x:v>Sales operations manager</x:v>
      </x:c>
      <x:c r="E2727" s="4" t="str">
        <x:v>ERP form</x:v>
      </x:c>
      <x:c r="F2727" s="4" t="str">
        <x:v>Record captured</x:v>
      </x:c>
      <x:c r="G2727" s="4" t="str">
        <x:v>Handed over</x:v>
      </x:c>
    </x:row>
    <x:row r="2728" ht="34" customHeight="1">
      <x:c r="A2728" s="4" t="str">
        <x:v>RS-02727-E1</x:v>
      </x:c>
      <x:c r="B2728" s="4" t="str">
        <x:v>RS-02727</x:v>
      </x:c>
      <x:c r="C2728" s="8" t="n">
        <x:v>45454</x:v>
      </x:c>
      <x:c r="D2728" s="4" t="str">
        <x:v>Sales operations manager</x:v>
      </x:c>
      <x:c r="E2728" s="4" t="str">
        <x:v>Paper transcribed</x:v>
      </x:c>
      <x:c r="F2728" s="4" t="str">
        <x:v>Record captured</x:v>
      </x:c>
      <x:c r="G2728" s="4" t="str">
        <x:v>Cancelled</x:v>
      </x:c>
    </x:row>
    <x:row r="2729" ht="34" customHeight="1">
      <x:c r="A2729" s="4" t="str">
        <x:v>RS-02728-E1</x:v>
      </x:c>
      <x:c r="B2729" s="4" t="str">
        <x:v>RS-02728</x:v>
      </x:c>
      <x:c r="C2729" s="8" t="n">
        <x:v>45455</x:v>
      </x:c>
      <x:c r="D2729" s="4" t="str">
        <x:v>Sales operations manager</x:v>
      </x:c>
      <x:c r="E2729" s="4" t="str">
        <x:v>Spreadsheet import</x:v>
      </x:c>
      <x:c r="F2729" s="4" t="str">
        <x:v>Record captured</x:v>
      </x:c>
      <x:c r="G2729" s="4" t="str">
        <x:v>Handed over</x:v>
      </x:c>
    </x:row>
    <x:row r="2730" ht="34" customHeight="1">
      <x:c r="A2730" s="4" t="str">
        <x:v>RS-02729-E1</x:v>
      </x:c>
      <x:c r="B2730" s="4" t="str">
        <x:v>RS-02729</x:v>
      </x:c>
      <x:c r="C2730" s="8" t="n">
        <x:v>45456</x:v>
      </x:c>
      <x:c r="D2730" s="4" t="str">
        <x:v>Sales operations manager</x:v>
      </x:c>
      <x:c r="E2730" s="4" t="str">
        <x:v>WhatsApp transcribed</x:v>
      </x:c>
      <x:c r="F2730" s="4" t="str">
        <x:v>Record captured</x:v>
      </x:c>
      <x:c r="G2730" s="4" t="str">
        <x:v>Enquiry</x:v>
      </x:c>
    </x:row>
    <x:row r="2731" ht="34" customHeight="1">
      <x:c r="A2731" s="4" t="str">
        <x:v>RS-02730-E1</x:v>
      </x:c>
      <x:c r="B2731" s="4" t="str">
        <x:v>RS-02730</x:v>
      </x:c>
      <x:c r="C2731" s="8" t="n">
        <x:v>45457</x:v>
      </x:c>
      <x:c r="D2731" s="4" t="str">
        <x:v>Sales operations manager</x:v>
      </x:c>
      <x:c r="E2731" s="4" t="str">
        <x:v>ERP form</x:v>
      </x:c>
      <x:c r="F2731" s="4" t="str">
        <x:v>Record captured</x:v>
      </x:c>
      <x:c r="G2731" s="4" t="str">
        <x:v>Enquiry</x:v>
      </x:c>
    </x:row>
    <x:row r="2732" ht="34" customHeight="1">
      <x:c r="A2732" s="4" t="str">
        <x:v>RS-02731-E1</x:v>
      </x:c>
      <x:c r="B2732" s="4" t="str">
        <x:v>RS-02731</x:v>
      </x:c>
      <x:c r="C2732" s="8" t="n">
        <x:v>45458</x:v>
      </x:c>
      <x:c r="D2732" s="4" t="str">
        <x:v>Sales operations manager</x:v>
      </x:c>
      <x:c r="E2732" s="4" t="str">
        <x:v>ERP form</x:v>
      </x:c>
      <x:c r="F2732" s="4" t="str">
        <x:v>Record captured</x:v>
      </x:c>
      <x:c r="G2732" s="4" t="str">
        <x:v>Booked</x:v>
      </x:c>
    </x:row>
    <x:row r="2733" ht="34" customHeight="1">
      <x:c r="A2733" s="4" t="str">
        <x:v>RS-02732-E1</x:v>
      </x:c>
      <x:c r="B2733" s="4" t="str">
        <x:v>RS-02732</x:v>
      </x:c>
      <x:c r="C2733" s="8" t="n">
        <x:v>45459</x:v>
      </x:c>
      <x:c r="D2733" s="4" t="str">
        <x:v>Sales operations manager</x:v>
      </x:c>
      <x:c r="E2733" s="4" t="str">
        <x:v>Spreadsheet import</x:v>
      </x:c>
      <x:c r="F2733" s="4" t="str">
        <x:v>Record captured</x:v>
      </x:c>
      <x:c r="G2733" s="4" t="str">
        <x:v>Handed over</x:v>
      </x:c>
    </x:row>
    <x:row r="2734" ht="34" customHeight="1">
      <x:c r="A2734" s="4" t="str">
        <x:v>RS-02733-E1</x:v>
      </x:c>
      <x:c r="B2734" s="4" t="str">
        <x:v>RS-02733</x:v>
      </x:c>
      <x:c r="C2734" s="8" t="n">
        <x:v>45460</x:v>
      </x:c>
      <x:c r="D2734" s="4" t="str">
        <x:v>Sales operations manager</x:v>
      </x:c>
      <x:c r="E2734" s="4" t="str">
        <x:v>ERP form</x:v>
      </x:c>
      <x:c r="F2734" s="4" t="str">
        <x:v>Record captured</x:v>
      </x:c>
      <x:c r="G2734" s="4" t="str">
        <x:v>Enquiry</x:v>
      </x:c>
    </x:row>
    <x:row r="2735" ht="34" customHeight="1">
      <x:c r="A2735" s="4" t="str">
        <x:v>RS-02734-E1</x:v>
      </x:c>
      <x:c r="B2735" s="4" t="str">
        <x:v>RS-02734</x:v>
      </x:c>
      <x:c r="C2735" s="8" t="n">
        <x:v>45461</x:v>
      </x:c>
      <x:c r="D2735" s="4" t="str">
        <x:v>Sales operations manager</x:v>
      </x:c>
      <x:c r="E2735" s="4" t="str">
        <x:v>WhatsApp transcribed</x:v>
      </x:c>
      <x:c r="F2735" s="4" t="str">
        <x:v>Record captured</x:v>
      </x:c>
      <x:c r="G2735" s="4" t="str">
        <x:v>Enquiry</x:v>
      </x:c>
    </x:row>
    <x:row r="2736" ht="34" customHeight="1">
      <x:c r="A2736" s="4" t="str">
        <x:v>RS-02735-E1</x:v>
      </x:c>
      <x:c r="B2736" s="4" t="str">
        <x:v>RS-02735</x:v>
      </x:c>
      <x:c r="C2736" s="8" t="n">
        <x:v>45462</x:v>
      </x:c>
      <x:c r="D2736" s="4" t="str">
        <x:v>Sales operations manager</x:v>
      </x:c>
      <x:c r="E2736" s="4" t="str">
        <x:v>WhatsApp transcribed</x:v>
      </x:c>
      <x:c r="F2736" s="4" t="str">
        <x:v>Record captured</x:v>
      </x:c>
      <x:c r="G2736" s="4" t="str">
        <x:v>Booked</x:v>
      </x:c>
    </x:row>
    <x:row r="2737" ht="34" customHeight="1">
      <x:c r="A2737" s="4" t="str">
        <x:v>RS-02736-E1</x:v>
      </x:c>
      <x:c r="B2737" s="4" t="str">
        <x:v>RS-02736</x:v>
      </x:c>
      <x:c r="C2737" s="8" t="n">
        <x:v>45463</x:v>
      </x:c>
      <x:c r="D2737" s="4" t="str">
        <x:v>Sales operations manager</x:v>
      </x:c>
      <x:c r="E2737" s="4" t="str">
        <x:v>Paper transcribed</x:v>
      </x:c>
      <x:c r="F2737" s="4" t="str">
        <x:v>Record captured</x:v>
      </x:c>
      <x:c r="G2737" s="4" t="str">
        <x:v>Agreement signed</x:v>
      </x:c>
    </x:row>
    <x:row r="2738" ht="34" customHeight="1">
      <x:c r="A2738" s="4" t="str">
        <x:v>RS-02737-E1</x:v>
      </x:c>
      <x:c r="B2738" s="4" t="str">
        <x:v>RS-02737</x:v>
      </x:c>
      <x:c r="C2738" s="8" t="n">
        <x:v>45464</x:v>
      </x:c>
      <x:c r="D2738" s="4" t="str">
        <x:v>Sales operations manager</x:v>
      </x:c>
      <x:c r="E2738" s="4" t="str">
        <x:v>WhatsApp transcribed</x:v>
      </x:c>
      <x:c r="F2738" s="4" t="str">
        <x:v>Record captured</x:v>
      </x:c>
      <x:c r="G2738" s="4" t="str">
        <x:v>Agreement signed</x:v>
      </x:c>
    </x:row>
    <x:row r="2739" ht="34" customHeight="1">
      <x:c r="A2739" s="4" t="str">
        <x:v>RS-02738-E1</x:v>
      </x:c>
      <x:c r="B2739" s="4" t="str">
        <x:v>RS-02738</x:v>
      </x:c>
      <x:c r="C2739" s="8" t="n">
        <x:v>45465</x:v>
      </x:c>
      <x:c r="D2739" s="4" t="str">
        <x:v>Sales operations manager</x:v>
      </x:c>
      <x:c r="E2739" s="4" t="str">
        <x:v>Spreadsheet import</x:v>
      </x:c>
      <x:c r="F2739" s="4" t="str">
        <x:v>Record captured</x:v>
      </x:c>
      <x:c r="G2739" s="4" t="str">
        <x:v>Agreement signed</x:v>
      </x:c>
    </x:row>
    <x:row r="2740" ht="34" customHeight="1">
      <x:c r="A2740" s="4" t="str">
        <x:v>RS-02739-E1</x:v>
      </x:c>
      <x:c r="B2740" s="4" t="str">
        <x:v>RS-02739</x:v>
      </x:c>
      <x:c r="C2740" s="8" t="n">
        <x:v>45466</x:v>
      </x:c>
      <x:c r="D2740" s="4" t="str">
        <x:v>Sales operations manager</x:v>
      </x:c>
      <x:c r="E2740" s="4" t="str">
        <x:v>ERP form</x:v>
      </x:c>
      <x:c r="F2740" s="4" t="str">
        <x:v>Record captured</x:v>
      </x:c>
      <x:c r="G2740" s="4" t="str">
        <x:v>Handed over</x:v>
      </x:c>
    </x:row>
    <x:row r="2741" ht="34" customHeight="1">
      <x:c r="A2741" s="4" t="str">
        <x:v>RS-02740-E1</x:v>
      </x:c>
      <x:c r="B2741" s="4" t="str">
        <x:v>RS-02740</x:v>
      </x:c>
      <x:c r="C2741" s="8" t="n">
        <x:v>45467</x:v>
      </x:c>
      <x:c r="D2741" s="4" t="str">
        <x:v>Sales operations manager</x:v>
      </x:c>
      <x:c r="E2741" s="4" t="str">
        <x:v>Paper transcribed</x:v>
      </x:c>
      <x:c r="F2741" s="4" t="str">
        <x:v>Record captured</x:v>
      </x:c>
      <x:c r="G2741" s="4" t="str">
        <x:v>Cancelled</x:v>
      </x:c>
    </x:row>
    <x:row r="2742" ht="34" customHeight="1">
      <x:c r="A2742" s="4" t="str">
        <x:v>RS-02741-E1</x:v>
      </x:c>
      <x:c r="B2742" s="4" t="str">
        <x:v>RS-02741</x:v>
      </x:c>
      <x:c r="C2742" s="8" t="n">
        <x:v>45468</x:v>
      </x:c>
      <x:c r="D2742" s="4" t="str">
        <x:v>Sales operations manager</x:v>
      </x:c>
      <x:c r="E2742" s="4" t="str">
        <x:v>WhatsApp transcribed</x:v>
      </x:c>
      <x:c r="F2742" s="4" t="str">
        <x:v>Record captured</x:v>
      </x:c>
      <x:c r="G2742" s="4" t="str">
        <x:v>Reserved</x:v>
      </x:c>
    </x:row>
    <x:row r="2743" ht="34" customHeight="1">
      <x:c r="A2743" s="4" t="str">
        <x:v>RS-02742-E1</x:v>
      </x:c>
      <x:c r="B2743" s="4" t="str">
        <x:v>RS-02742</x:v>
      </x:c>
      <x:c r="C2743" s="8" t="n">
        <x:v>45469</x:v>
      </x:c>
      <x:c r="D2743" s="4" t="str">
        <x:v>Sales operations manager</x:v>
      </x:c>
      <x:c r="E2743" s="4" t="str">
        <x:v>Spreadsheet import</x:v>
      </x:c>
      <x:c r="F2743" s="4" t="str">
        <x:v>Record captured</x:v>
      </x:c>
      <x:c r="G2743" s="4" t="str">
        <x:v>Agreement signed</x:v>
      </x:c>
    </x:row>
    <x:row r="2744" ht="34" customHeight="1">
      <x:c r="A2744" s="4" t="str">
        <x:v>RS-02743-E1</x:v>
      </x:c>
      <x:c r="B2744" s="4" t="str">
        <x:v>RS-02743</x:v>
      </x:c>
      <x:c r="C2744" s="8" t="n">
        <x:v>45470</x:v>
      </x:c>
      <x:c r="D2744" s="4" t="str">
        <x:v>Sales operations manager</x:v>
      </x:c>
      <x:c r="E2744" s="4" t="str">
        <x:v>WhatsApp transcribed</x:v>
      </x:c>
      <x:c r="F2744" s="4" t="str">
        <x:v>Record captured</x:v>
      </x:c>
      <x:c r="G2744" s="4" t="str">
        <x:v>Cancelled</x:v>
      </x:c>
    </x:row>
    <x:row r="2745" ht="34" customHeight="1">
      <x:c r="A2745" s="4" t="str">
        <x:v>RS-02744-E1</x:v>
      </x:c>
      <x:c r="B2745" s="4" t="str">
        <x:v>RS-02744</x:v>
      </x:c>
      <x:c r="C2745" s="8" t="n">
        <x:v>45471</x:v>
      </x:c>
      <x:c r="D2745" s="4" t="str">
        <x:v>Sales operations manager</x:v>
      </x:c>
      <x:c r="E2745" s="4" t="str">
        <x:v>WhatsApp transcribed</x:v>
      </x:c>
      <x:c r="F2745" s="4" t="str">
        <x:v>Record captured</x:v>
      </x:c>
      <x:c r="G2745" s="4" t="str">
        <x:v>Handed over</x:v>
      </x:c>
    </x:row>
    <x:row r="2746" ht="34" customHeight="1">
      <x:c r="A2746" s="4" t="str">
        <x:v>RS-02745-E1</x:v>
      </x:c>
      <x:c r="B2746" s="4" t="str">
        <x:v>RS-02745</x:v>
      </x:c>
      <x:c r="C2746" s="8" t="n">
        <x:v>45444</x:v>
      </x:c>
      <x:c r="D2746" s="4" t="str">
        <x:v>Sales operations manager</x:v>
      </x:c>
      <x:c r="E2746" s="4" t="str">
        <x:v>WhatsApp transcribed</x:v>
      </x:c>
      <x:c r="F2746" s="4" t="str">
        <x:v>Record captured</x:v>
      </x:c>
      <x:c r="G2746" s="4" t="str">
        <x:v>Reserved</x:v>
      </x:c>
    </x:row>
    <x:row r="2747" ht="34" customHeight="1">
      <x:c r="A2747" s="4" t="str">
        <x:v>RS-02746-E1</x:v>
      </x:c>
      <x:c r="B2747" s="4" t="str">
        <x:v>RS-02746</x:v>
      </x:c>
      <x:c r="C2747" s="8" t="n">
        <x:v>45445</x:v>
      </x:c>
      <x:c r="D2747" s="4" t="str">
        <x:v>Sales operations manager</x:v>
      </x:c>
      <x:c r="E2747" s="4" t="str">
        <x:v>Spreadsheet import</x:v>
      </x:c>
      <x:c r="F2747" s="4" t="str">
        <x:v>Record captured</x:v>
      </x:c>
      <x:c r="G2747" s="4" t="str">
        <x:v>Agreement signed</x:v>
      </x:c>
    </x:row>
    <x:row r="2748" ht="34" customHeight="1">
      <x:c r="A2748" s="4" t="str">
        <x:v>RS-02747-E1</x:v>
      </x:c>
      <x:c r="B2748" s="4" t="str">
        <x:v>RS-02747</x:v>
      </x:c>
      <x:c r="C2748" s="8" t="n">
        <x:v>45446</x:v>
      </x:c>
      <x:c r="D2748" s="4" t="str">
        <x:v>Sales operations manager</x:v>
      </x:c>
      <x:c r="E2748" s="4" t="str">
        <x:v>ERP form</x:v>
      </x:c>
      <x:c r="F2748" s="4" t="str">
        <x:v>Record captured</x:v>
      </x:c>
      <x:c r="G2748" s="4" t="str">
        <x:v>Enquiry</x:v>
      </x:c>
    </x:row>
    <x:row r="2749" ht="34" customHeight="1">
      <x:c r="A2749" s="4" t="str">
        <x:v>RS-02748-E1</x:v>
      </x:c>
      <x:c r="B2749" s="4" t="str">
        <x:v>RS-02748</x:v>
      </x:c>
      <x:c r="C2749" s="8" t="n">
        <x:v>45447</x:v>
      </x:c>
      <x:c r="D2749" s="4" t="str">
        <x:v>Sales operations manager</x:v>
      </x:c>
      <x:c r="E2749" s="4" t="str">
        <x:v>Paper transcribed</x:v>
      </x:c>
      <x:c r="F2749" s="4" t="str">
        <x:v>Record captured</x:v>
      </x:c>
      <x:c r="G2749" s="4" t="str">
        <x:v>Handed over</x:v>
      </x:c>
    </x:row>
    <x:row r="2750" ht="34" customHeight="1">
      <x:c r="A2750" s="4" t="str">
        <x:v>RS-02749-E1</x:v>
      </x:c>
      <x:c r="B2750" s="4" t="str">
        <x:v>RS-02749</x:v>
      </x:c>
      <x:c r="C2750" s="8" t="n">
        <x:v>45448</x:v>
      </x:c>
      <x:c r="D2750" s="4" t="str">
        <x:v>Sales operations manager</x:v>
      </x:c>
      <x:c r="E2750" s="4" t="str">
        <x:v>Paper transcribed</x:v>
      </x:c>
      <x:c r="F2750" s="4" t="str">
        <x:v>Record captured</x:v>
      </x:c>
      <x:c r="G2750" s="4" t="str">
        <x:v>Agreement signed</x:v>
      </x:c>
    </x:row>
    <x:row r="2751" ht="34" customHeight="1">
      <x:c r="A2751" s="4" t="str">
        <x:v>RS-02750-E1</x:v>
      </x:c>
      <x:c r="B2751" s="4" t="str">
        <x:v>RS-02750</x:v>
      </x:c>
      <x:c r="C2751" s="8" t="n">
        <x:v>45449</x:v>
      </x:c>
      <x:c r="D2751" s="4" t="str">
        <x:v>Sales operations manager</x:v>
      </x:c>
      <x:c r="E2751" s="4" t="str">
        <x:v>Spreadsheet import</x:v>
      </x:c>
      <x:c r="F2751" s="4" t="str">
        <x:v>Record captured</x:v>
      </x:c>
      <x:c r="G2751" s="4" t="str">
        <x:v>Agreement signed</x:v>
      </x:c>
    </x:row>
    <x:row r="2752" ht="34" customHeight="1">
      <x:c r="A2752" s="4" t="str">
        <x:v>RS-02751-E1</x:v>
      </x:c>
      <x:c r="B2752" s="4" t="str">
        <x:v>RS-02751</x:v>
      </x:c>
      <x:c r="C2752" s="8" t="n">
        <x:v>45450</x:v>
      </x:c>
      <x:c r="D2752" s="4" t="str">
        <x:v>Sales operations manager</x:v>
      </x:c>
      <x:c r="E2752" s="4" t="str">
        <x:v>Spreadsheet import</x:v>
      </x:c>
      <x:c r="F2752" s="4" t="str">
        <x:v>Record captured</x:v>
      </x:c>
      <x:c r="G2752" s="4" t="str">
        <x:v>Agreement signed</x:v>
      </x:c>
    </x:row>
    <x:row r="2753" ht="34" customHeight="1">
      <x:c r="A2753" s="4" t="str">
        <x:v>RS-02752-E1</x:v>
      </x:c>
      <x:c r="B2753" s="4" t="str">
        <x:v>RS-02752</x:v>
      </x:c>
      <x:c r="C2753" s="8" t="n">
        <x:v>45451</x:v>
      </x:c>
      <x:c r="D2753" s="4" t="str">
        <x:v>Sales operations manager</x:v>
      </x:c>
      <x:c r="E2753" s="4" t="str">
        <x:v>WhatsApp transcribed</x:v>
      </x:c>
      <x:c r="F2753" s="4" t="str">
        <x:v>Record captured</x:v>
      </x:c>
      <x:c r="G2753" s="4" t="str">
        <x:v>Reserved</x:v>
      </x:c>
    </x:row>
    <x:row r="2754" ht="34" customHeight="1">
      <x:c r="A2754" s="4" t="str">
        <x:v>RS-02753-E1</x:v>
      </x:c>
      <x:c r="B2754" s="4" t="str">
        <x:v>RS-02753</x:v>
      </x:c>
      <x:c r="C2754" s="8" t="n">
        <x:v>45452</x:v>
      </x:c>
      <x:c r="D2754" s="4" t="str">
        <x:v>Sales operations manager</x:v>
      </x:c>
      <x:c r="E2754" s="4" t="str">
        <x:v>ERP form</x:v>
      </x:c>
      <x:c r="F2754" s="4" t="str">
        <x:v>Record captured</x:v>
      </x:c>
      <x:c r="G2754" s="4" t="str">
        <x:v>Reserved</x:v>
      </x:c>
    </x:row>
    <x:row r="2755" ht="34" customHeight="1">
      <x:c r="A2755" s="4" t="str">
        <x:v>RS-02754-E1</x:v>
      </x:c>
      <x:c r="B2755" s="4" t="str">
        <x:v>RS-02754</x:v>
      </x:c>
      <x:c r="C2755" s="8" t="n">
        <x:v>45453</x:v>
      </x:c>
      <x:c r="D2755" s="4" t="str">
        <x:v>Sales operations manager</x:v>
      </x:c>
      <x:c r="E2755" s="4" t="str">
        <x:v>ERP form</x:v>
      </x:c>
      <x:c r="F2755" s="4" t="str">
        <x:v>Record captured</x:v>
      </x:c>
      <x:c r="G2755" s="4" t="str">
        <x:v>Enquiry</x:v>
      </x:c>
    </x:row>
    <x:row r="2756" ht="34" customHeight="1">
      <x:c r="A2756" s="4" t="str">
        <x:v>RS-02755-E1</x:v>
      </x:c>
      <x:c r="B2756" s="4" t="str">
        <x:v>RS-02755</x:v>
      </x:c>
      <x:c r="C2756" s="8" t="n">
        <x:v>45454</x:v>
      </x:c>
      <x:c r="D2756" s="4" t="str">
        <x:v>Sales operations manager</x:v>
      </x:c>
      <x:c r="E2756" s="4" t="str">
        <x:v>WhatsApp transcribed</x:v>
      </x:c>
      <x:c r="F2756" s="4" t="str">
        <x:v>Record captured</x:v>
      </x:c>
      <x:c r="G2756" s="4" t="str">
        <x:v>Cancelled</x:v>
      </x:c>
    </x:row>
    <x:row r="2757" ht="34" customHeight="1">
      <x:c r="A2757" s="4" t="str">
        <x:v>RS-02756-E1</x:v>
      </x:c>
      <x:c r="B2757" s="4" t="str">
        <x:v>RS-02756</x:v>
      </x:c>
      <x:c r="C2757" s="8" t="n">
        <x:v>45455</x:v>
      </x:c>
      <x:c r="D2757" s="4" t="str">
        <x:v>Sales operations manager</x:v>
      </x:c>
      <x:c r="E2757" s="4" t="str">
        <x:v>Paper transcribed</x:v>
      </x:c>
      <x:c r="F2757" s="4" t="str">
        <x:v>Record captured</x:v>
      </x:c>
      <x:c r="G2757" s="4" t="str">
        <x:v>Reserved</x:v>
      </x:c>
    </x:row>
    <x:row r="2758" ht="34" customHeight="1">
      <x:c r="A2758" s="4" t="str">
        <x:v>RS-02757-E1</x:v>
      </x:c>
      <x:c r="B2758" s="4" t="str">
        <x:v>RS-02757</x:v>
      </x:c>
      <x:c r="C2758" s="8" t="n">
        <x:v>45456</x:v>
      </x:c>
      <x:c r="D2758" s="4" t="str">
        <x:v>Sales operations manager</x:v>
      </x:c>
      <x:c r="E2758" s="4" t="str">
        <x:v>WhatsApp transcribed</x:v>
      </x:c>
      <x:c r="F2758" s="4" t="str">
        <x:v>Record captured</x:v>
      </x:c>
      <x:c r="G2758" s="4" t="str">
        <x:v>Cancelled</x:v>
      </x:c>
    </x:row>
    <x:row r="2759" ht="34" customHeight="1">
      <x:c r="A2759" s="4" t="str">
        <x:v>RS-02758-E1</x:v>
      </x:c>
      <x:c r="B2759" s="4" t="str">
        <x:v>RS-02758</x:v>
      </x:c>
      <x:c r="C2759" s="8" t="n">
        <x:v>45457</x:v>
      </x:c>
      <x:c r="D2759" s="4" t="str">
        <x:v>Sales operations manager</x:v>
      </x:c>
      <x:c r="E2759" s="4" t="str">
        <x:v>WhatsApp transcribed</x:v>
      </x:c>
      <x:c r="F2759" s="4" t="str">
        <x:v>Record captured</x:v>
      </x:c>
      <x:c r="G2759" s="4" t="str">
        <x:v>Enquiry</x:v>
      </x:c>
    </x:row>
    <x:row r="2760" ht="34" customHeight="1">
      <x:c r="A2760" s="4" t="str">
        <x:v>RS-02759-E1</x:v>
      </x:c>
      <x:c r="B2760" s="4" t="str">
        <x:v>RS-02759</x:v>
      </x:c>
      <x:c r="C2760" s="8" t="n">
        <x:v>45458</x:v>
      </x:c>
      <x:c r="D2760" s="4" t="str">
        <x:v>Sales operations manager</x:v>
      </x:c>
      <x:c r="E2760" s="4" t="str">
        <x:v>WhatsApp transcribed</x:v>
      </x:c>
      <x:c r="F2760" s="4" t="str">
        <x:v>Record captured</x:v>
      </x:c>
      <x:c r="G2760" s="4" t="str">
        <x:v>Reserved</x:v>
      </x:c>
    </x:row>
    <x:row r="2761" ht="34" customHeight="1">
      <x:c r="A2761" s="4" t="str">
        <x:v>RS-02760-E1</x:v>
      </x:c>
      <x:c r="B2761" s="4" t="str">
        <x:v>RS-02760</x:v>
      </x:c>
      <x:c r="C2761" s="8" t="n">
        <x:v>45459</x:v>
      </x:c>
      <x:c r="D2761" s="4" t="str">
        <x:v>Sales operations manager</x:v>
      </x:c>
      <x:c r="E2761" s="4" t="str">
        <x:v>Paper transcribed</x:v>
      </x:c>
      <x:c r="F2761" s="4" t="str">
        <x:v>Record captured</x:v>
      </x:c>
      <x:c r="G2761" s="4" t="str">
        <x:v>Booked</x:v>
      </x:c>
    </x:row>
    <x:row r="2762" ht="34" customHeight="1">
      <x:c r="A2762" s="4" t="str">
        <x:v>RS-02761-E1</x:v>
      </x:c>
      <x:c r="B2762" s="4" t="str">
        <x:v>RS-02761</x:v>
      </x:c>
      <x:c r="C2762" s="8" t="n">
        <x:v>45460</x:v>
      </x:c>
      <x:c r="D2762" s="4" t="str">
        <x:v>Sales operations manager</x:v>
      </x:c>
      <x:c r="E2762" s="4" t="str">
        <x:v>Spreadsheet import</x:v>
      </x:c>
      <x:c r="F2762" s="4" t="str">
        <x:v>Record captured</x:v>
      </x:c>
      <x:c r="G2762" s="4" t="str">
        <x:v>Handed over</x:v>
      </x:c>
    </x:row>
    <x:row r="2763" ht="34" customHeight="1">
      <x:c r="A2763" s="4" t="str">
        <x:v>RS-02762-E1</x:v>
      </x:c>
      <x:c r="B2763" s="4" t="str">
        <x:v>RS-02762</x:v>
      </x:c>
      <x:c r="C2763" s="8" t="n">
        <x:v>45461</x:v>
      </x:c>
      <x:c r="D2763" s="4" t="str">
        <x:v>Sales operations manager</x:v>
      </x:c>
      <x:c r="E2763" s="4" t="str">
        <x:v>Paper transcribed</x:v>
      </x:c>
      <x:c r="F2763" s="4" t="str">
        <x:v>Record captured</x:v>
      </x:c>
      <x:c r="G2763" s="4" t="str">
        <x:v>Handed over</x:v>
      </x:c>
    </x:row>
    <x:row r="2764" ht="34" customHeight="1">
      <x:c r="A2764" s="4" t="str">
        <x:v>RS-02763-E1</x:v>
      </x:c>
      <x:c r="B2764" s="4" t="str">
        <x:v>RS-02763</x:v>
      </x:c>
      <x:c r="C2764" s="8" t="n">
        <x:v>45462</x:v>
      </x:c>
      <x:c r="D2764" s="4" t="str">
        <x:v>Sales operations manager</x:v>
      </x:c>
      <x:c r="E2764" s="4" t="str">
        <x:v>Paper transcribed</x:v>
      </x:c>
      <x:c r="F2764" s="4" t="str">
        <x:v>Record captured</x:v>
      </x:c>
      <x:c r="G2764" s="4" t="str">
        <x:v>Enquiry</x:v>
      </x:c>
    </x:row>
    <x:row r="2765" ht="34" customHeight="1">
      <x:c r="A2765" s="4" t="str">
        <x:v>RS-02764-E1</x:v>
      </x:c>
      <x:c r="B2765" s="4" t="str">
        <x:v>RS-02764</x:v>
      </x:c>
      <x:c r="C2765" s="8" t="n">
        <x:v>45463</x:v>
      </x:c>
      <x:c r="D2765" s="4" t="str">
        <x:v>Sales operations manager</x:v>
      </x:c>
      <x:c r="E2765" s="4" t="str">
        <x:v>WhatsApp transcribed</x:v>
      </x:c>
      <x:c r="F2765" s="4" t="str">
        <x:v>Record captured</x:v>
      </x:c>
      <x:c r="G2765" s="4" t="str">
        <x:v>Agreement signed</x:v>
      </x:c>
    </x:row>
    <x:row r="2766" ht="34" customHeight="1">
      <x:c r="A2766" s="4" t="str">
        <x:v>RS-02765-E1</x:v>
      </x:c>
      <x:c r="B2766" s="4" t="str">
        <x:v>RS-02765</x:v>
      </x:c>
      <x:c r="C2766" s="8" t="n">
        <x:v>45464</x:v>
      </x:c>
      <x:c r="D2766" s="4" t="str">
        <x:v>Sales operations manager</x:v>
      </x:c>
      <x:c r="E2766" s="4" t="str">
        <x:v>ERP form</x:v>
      </x:c>
      <x:c r="F2766" s="4" t="str">
        <x:v>Record captured</x:v>
      </x:c>
      <x:c r="G2766" s="4" t="str">
        <x:v>Cancelled</x:v>
      </x:c>
    </x:row>
    <x:row r="2767" ht="34" customHeight="1">
      <x:c r="A2767" s="4" t="str">
        <x:v>RS-02766-E1</x:v>
      </x:c>
      <x:c r="B2767" s="4" t="str">
        <x:v>RS-02766</x:v>
      </x:c>
      <x:c r="C2767" s="8" t="n">
        <x:v>45465</x:v>
      </x:c>
      <x:c r="D2767" s="4" t="str">
        <x:v>Sales operations manager</x:v>
      </x:c>
      <x:c r="E2767" s="4" t="str">
        <x:v>Paper transcribed</x:v>
      </x:c>
      <x:c r="F2767" s="4" t="str">
        <x:v>Record captured</x:v>
      </x:c>
      <x:c r="G2767" s="4" t="str">
        <x:v>Agreement signed</x:v>
      </x:c>
    </x:row>
    <x:row r="2768" ht="34" customHeight="1">
      <x:c r="A2768" s="4" t="str">
        <x:v>RS-02767-E1</x:v>
      </x:c>
      <x:c r="B2768" s="4" t="str">
        <x:v>RS-02767</x:v>
      </x:c>
      <x:c r="C2768" s="8" t="n">
        <x:v>45466</x:v>
      </x:c>
      <x:c r="D2768" s="4" t="str">
        <x:v>Sales operations manager</x:v>
      </x:c>
      <x:c r="E2768" s="4" t="str">
        <x:v>ERP form</x:v>
      </x:c>
      <x:c r="F2768" s="4" t="str">
        <x:v>Record captured</x:v>
      </x:c>
      <x:c r="G2768" s="4" t="str">
        <x:v>Reserved</x:v>
      </x:c>
    </x:row>
    <x:row r="2769" ht="34" customHeight="1">
      <x:c r="A2769" s="4" t="str">
        <x:v>RS-02768-E1</x:v>
      </x:c>
      <x:c r="B2769" s="4" t="str">
        <x:v>RS-02768</x:v>
      </x:c>
      <x:c r="C2769" s="8" t="n">
        <x:v>45467</x:v>
      </x:c>
      <x:c r="D2769" s="4" t="str">
        <x:v>Sales operations manager</x:v>
      </x:c>
      <x:c r="E2769" s="4" t="str">
        <x:v>WhatsApp transcribed</x:v>
      </x:c>
      <x:c r="F2769" s="4" t="str">
        <x:v>Record captured</x:v>
      </x:c>
      <x:c r="G2769" s="4" t="str">
        <x:v>Enquiry</x:v>
      </x:c>
    </x:row>
    <x:row r="2770" ht="34" customHeight="1">
      <x:c r="A2770" s="4" t="str">
        <x:v>RS-02769-E1</x:v>
      </x:c>
      <x:c r="B2770" s="4" t="str">
        <x:v>RS-02769</x:v>
      </x:c>
      <x:c r="C2770" s="8" t="n">
        <x:v>45468</x:v>
      </x:c>
      <x:c r="D2770" s="4" t="str">
        <x:v>Sales operations manager</x:v>
      </x:c>
      <x:c r="E2770" s="4" t="str">
        <x:v>ERP form</x:v>
      </x:c>
      <x:c r="F2770" s="4" t="str">
        <x:v>Record captured</x:v>
      </x:c>
      <x:c r="G2770" s="4" t="str">
        <x:v>Reserved</x:v>
      </x:c>
    </x:row>
    <x:row r="2771" ht="34" customHeight="1">
      <x:c r="A2771" s="4" t="str">
        <x:v>RS-02770-E1</x:v>
      </x:c>
      <x:c r="B2771" s="4" t="str">
        <x:v>RS-02770</x:v>
      </x:c>
      <x:c r="C2771" s="8" t="n">
        <x:v>45469</x:v>
      </x:c>
      <x:c r="D2771" s="4" t="str">
        <x:v>Sales operations manager</x:v>
      </x:c>
      <x:c r="E2771" s="4" t="str">
        <x:v>ERP form</x:v>
      </x:c>
      <x:c r="F2771" s="4" t="str">
        <x:v>Record captured</x:v>
      </x:c>
      <x:c r="G2771" s="4" t="str">
        <x:v>Booked</x:v>
      </x:c>
    </x:row>
    <x:row r="2772" ht="34" customHeight="1">
      <x:c r="A2772" s="4" t="str">
        <x:v>RS-02771-E1</x:v>
      </x:c>
      <x:c r="B2772" s="4" t="str">
        <x:v>RS-02771</x:v>
      </x:c>
      <x:c r="C2772" s="8" t="n">
        <x:v>45470</x:v>
      </x:c>
      <x:c r="D2772" s="4" t="str">
        <x:v>Sales operations manager</x:v>
      </x:c>
      <x:c r="E2772" s="4" t="str">
        <x:v>WhatsApp transcribed</x:v>
      </x:c>
      <x:c r="F2772" s="4" t="str">
        <x:v>Record captured</x:v>
      </x:c>
      <x:c r="G2772" s="4" t="str">
        <x:v>Booked</x:v>
      </x:c>
    </x:row>
    <x:row r="2773" ht="34" customHeight="1">
      <x:c r="A2773" s="4" t="str">
        <x:v>RS-02772-E1</x:v>
      </x:c>
      <x:c r="B2773" s="4" t="str">
        <x:v>RS-02772</x:v>
      </x:c>
      <x:c r="C2773" s="8" t="n">
        <x:v>45471</x:v>
      </x:c>
      <x:c r="D2773" s="4" t="str">
        <x:v>Sales operations manager</x:v>
      </x:c>
      <x:c r="E2773" s="4" t="str">
        <x:v>WhatsApp transcribed</x:v>
      </x:c>
      <x:c r="F2773" s="4" t="str">
        <x:v>Record captured</x:v>
      </x:c>
      <x:c r="G2773" s="4" t="str">
        <x:v>Reserved</x:v>
      </x:c>
    </x:row>
    <x:row r="2774" ht="34" customHeight="1">
      <x:c r="A2774" s="4" t="str">
        <x:v>RS-02773-E1</x:v>
      </x:c>
      <x:c r="B2774" s="4" t="str">
        <x:v>RS-02773</x:v>
      </x:c>
      <x:c r="C2774" s="8" t="n">
        <x:v>45444</x:v>
      </x:c>
      <x:c r="D2774" s="4" t="str">
        <x:v>Sales operations manager</x:v>
      </x:c>
      <x:c r="E2774" s="4" t="str">
        <x:v>ERP form</x:v>
      </x:c>
      <x:c r="F2774" s="4" t="str">
        <x:v>Record captured</x:v>
      </x:c>
      <x:c r="G2774" s="4" t="str">
        <x:v>Cancelled</x:v>
      </x:c>
    </x:row>
    <x:row r="2775" ht="34" customHeight="1">
      <x:c r="A2775" s="4" t="str">
        <x:v>RS-02774-E1</x:v>
      </x:c>
      <x:c r="B2775" s="4" t="str">
        <x:v>RS-02774</x:v>
      </x:c>
      <x:c r="C2775" s="8" t="n">
        <x:v>45445</x:v>
      </x:c>
      <x:c r="D2775" s="4" t="str">
        <x:v>Sales operations manager</x:v>
      </x:c>
      <x:c r="E2775" s="4" t="str">
        <x:v>ERP form</x:v>
      </x:c>
      <x:c r="F2775" s="4" t="str">
        <x:v>Record captured</x:v>
      </x:c>
      <x:c r="G2775" s="4" t="str">
        <x:v>Cancelled</x:v>
      </x:c>
    </x:row>
    <x:row r="2776" ht="34" customHeight="1">
      <x:c r="A2776" s="4" t="str">
        <x:v>RS-02775-E1</x:v>
      </x:c>
      <x:c r="B2776" s="4" t="str">
        <x:v>RS-02775</x:v>
      </x:c>
      <x:c r="C2776" s="8" t="n">
        <x:v>45446</x:v>
      </x:c>
      <x:c r="D2776" s="4" t="str">
        <x:v>Sales operations manager</x:v>
      </x:c>
      <x:c r="E2776" s="4" t="str">
        <x:v>Spreadsheet import</x:v>
      </x:c>
      <x:c r="F2776" s="4" t="str">
        <x:v>Record captured</x:v>
      </x:c>
      <x:c r="G2776" s="4" t="str">
        <x:v>Reserved</x:v>
      </x:c>
    </x:row>
    <x:row r="2777" ht="34" customHeight="1">
      <x:c r="A2777" s="4" t="str">
        <x:v>RS-02776-E1</x:v>
      </x:c>
      <x:c r="B2777" s="4" t="str">
        <x:v>RS-02776</x:v>
      </x:c>
      <x:c r="C2777" s="8" t="n">
        <x:v>45447</x:v>
      </x:c>
      <x:c r="D2777" s="4" t="str">
        <x:v>Sales operations manager</x:v>
      </x:c>
      <x:c r="E2777" s="4" t="str">
        <x:v>Paper transcribed</x:v>
      </x:c>
      <x:c r="F2777" s="4" t="str">
        <x:v>Record captured</x:v>
      </x:c>
      <x:c r="G2777" s="4" t="str">
        <x:v>Booked</x:v>
      </x:c>
    </x:row>
    <x:row r="2778" ht="34" customHeight="1">
      <x:c r="A2778" s="4" t="str">
        <x:v>RS-02777-E1</x:v>
      </x:c>
      <x:c r="B2778" s="4" t="str">
        <x:v>RS-02777</x:v>
      </x:c>
      <x:c r="C2778" s="8" t="n">
        <x:v>45448</x:v>
      </x:c>
      <x:c r="D2778" s="4" t="str">
        <x:v>Sales operations manager</x:v>
      </x:c>
      <x:c r="E2778" s="4" t="str">
        <x:v>WhatsApp transcribed</x:v>
      </x:c>
      <x:c r="F2778" s="4" t="str">
        <x:v>Record captured</x:v>
      </x:c>
      <x:c r="G2778" s="4" t="str">
        <x:v>Handed over</x:v>
      </x:c>
    </x:row>
    <x:row r="2779" ht="34" customHeight="1">
      <x:c r="A2779" s="4" t="str">
        <x:v>RS-02778-E1</x:v>
      </x:c>
      <x:c r="B2779" s="4" t="str">
        <x:v>RS-02778</x:v>
      </x:c>
      <x:c r="C2779" s="8" t="n">
        <x:v>45449</x:v>
      </x:c>
      <x:c r="D2779" s="4" t="str">
        <x:v>Sales operations manager</x:v>
      </x:c>
      <x:c r="E2779" s="4" t="str">
        <x:v>Spreadsheet import</x:v>
      </x:c>
      <x:c r="F2779" s="4" t="str">
        <x:v>Record captured</x:v>
      </x:c>
      <x:c r="G2779" s="4" t="str">
        <x:v>Reserved</x:v>
      </x:c>
    </x:row>
    <x:row r="2780" ht="34" customHeight="1">
      <x:c r="A2780" s="4" t="str">
        <x:v>RS-02779-E1</x:v>
      </x:c>
      <x:c r="B2780" s="4" t="str">
        <x:v>RS-02779</x:v>
      </x:c>
      <x:c r="C2780" s="8" t="n">
        <x:v>45450</x:v>
      </x:c>
      <x:c r="D2780" s="4" t="str">
        <x:v>Sales operations manager</x:v>
      </x:c>
      <x:c r="E2780" s="4" t="str">
        <x:v>Paper transcribed</x:v>
      </x:c>
      <x:c r="F2780" s="4" t="str">
        <x:v>Record captured</x:v>
      </x:c>
      <x:c r="G2780" s="4" t="str">
        <x:v>Handed over</x:v>
      </x:c>
    </x:row>
    <x:row r="2781" ht="34" customHeight="1">
      <x:c r="A2781" s="4" t="str">
        <x:v>RS-02780-E1</x:v>
      </x:c>
      <x:c r="B2781" s="4" t="str">
        <x:v>RS-02780</x:v>
      </x:c>
      <x:c r="C2781" s="8" t="n">
        <x:v>45451</x:v>
      </x:c>
      <x:c r="D2781" s="4" t="str">
        <x:v>Sales operations manager</x:v>
      </x:c>
      <x:c r="E2781" s="4" t="str">
        <x:v>ERP form</x:v>
      </x:c>
      <x:c r="F2781" s="4" t="str">
        <x:v>Record captured</x:v>
      </x:c>
      <x:c r="G2781" s="4" t="str">
        <x:v>Reserved</x:v>
      </x:c>
    </x:row>
    <x:row r="2782" ht="34" customHeight="1">
      <x:c r="A2782" s="4" t="str">
        <x:v>RS-02781-E1</x:v>
      </x:c>
      <x:c r="B2782" s="4" t="str">
        <x:v>RS-02781</x:v>
      </x:c>
      <x:c r="C2782" s="8" t="n">
        <x:v>45452</x:v>
      </x:c>
      <x:c r="D2782" s="4" t="str">
        <x:v>Sales operations manager</x:v>
      </x:c>
      <x:c r="E2782" s="4" t="str">
        <x:v>Spreadsheet import</x:v>
      </x:c>
      <x:c r="F2782" s="4" t="str">
        <x:v>Record captured</x:v>
      </x:c>
      <x:c r="G2782" s="4" t="str">
        <x:v>Booked</x:v>
      </x:c>
    </x:row>
    <x:row r="2783" ht="34" customHeight="1">
      <x:c r="A2783" s="4" t="str">
        <x:v>RS-02782-E1</x:v>
      </x:c>
      <x:c r="B2783" s="4" t="str">
        <x:v>RS-02782</x:v>
      </x:c>
      <x:c r="C2783" s="8" t="n">
        <x:v>45453</x:v>
      </x:c>
      <x:c r="D2783" s="4" t="str">
        <x:v>Sales operations manager</x:v>
      </x:c>
      <x:c r="E2783" s="4" t="str">
        <x:v>Spreadsheet import</x:v>
      </x:c>
      <x:c r="F2783" s="4" t="str">
        <x:v>Record captured</x:v>
      </x:c>
      <x:c r="G2783" s="4" t="str">
        <x:v>Reserved</x:v>
      </x:c>
    </x:row>
    <x:row r="2784" ht="34" customHeight="1">
      <x:c r="A2784" s="4" t="str">
        <x:v>RS-02783-E1</x:v>
      </x:c>
      <x:c r="B2784" s="4" t="str">
        <x:v>RS-02783</x:v>
      </x:c>
      <x:c r="C2784" s="8" t="n">
        <x:v>45454</x:v>
      </x:c>
      <x:c r="D2784" s="4" t="str">
        <x:v>Sales operations manager</x:v>
      </x:c>
      <x:c r="E2784" s="4" t="str">
        <x:v>WhatsApp transcribed</x:v>
      </x:c>
      <x:c r="F2784" s="4" t="str">
        <x:v>Record captured</x:v>
      </x:c>
      <x:c r="G2784" s="4" t="str">
        <x:v>Reserved</x:v>
      </x:c>
    </x:row>
    <x:row r="2785" ht="34" customHeight="1">
      <x:c r="A2785" s="4" t="str">
        <x:v>RS-02784-E1</x:v>
      </x:c>
      <x:c r="B2785" s="4" t="str">
        <x:v>RS-02784</x:v>
      </x:c>
      <x:c r="C2785" s="8" t="n">
        <x:v>45455</x:v>
      </x:c>
      <x:c r="D2785" s="4" t="str">
        <x:v>Sales operations manager</x:v>
      </x:c>
      <x:c r="E2785" s="4" t="str">
        <x:v>WhatsApp transcribed</x:v>
      </x:c>
      <x:c r="F2785" s="4" t="str">
        <x:v>Record captured</x:v>
      </x:c>
      <x:c r="G2785" s="4" t="str">
        <x:v>Agreement signed</x:v>
      </x:c>
    </x:row>
    <x:row r="2786" ht="34" customHeight="1">
      <x:c r="A2786" s="4" t="str">
        <x:v>RS-02785-E1</x:v>
      </x:c>
      <x:c r="B2786" s="4" t="str">
        <x:v>RS-02785</x:v>
      </x:c>
      <x:c r="C2786" s="8" t="n">
        <x:v>45456</x:v>
      </x:c>
      <x:c r="D2786" s="4" t="str">
        <x:v>Sales operations manager</x:v>
      </x:c>
      <x:c r="E2786" s="4" t="str">
        <x:v>Spreadsheet import</x:v>
      </x:c>
      <x:c r="F2786" s="4" t="str">
        <x:v>Record captured</x:v>
      </x:c>
      <x:c r="G2786" s="4" t="str">
        <x:v>Enquiry</x:v>
      </x:c>
    </x:row>
    <x:row r="2787" ht="34" customHeight="1">
      <x:c r="A2787" s="4" t="str">
        <x:v>RS-02786-E1</x:v>
      </x:c>
      <x:c r="B2787" s="4" t="str">
        <x:v>RS-02786</x:v>
      </x:c>
      <x:c r="C2787" s="8" t="n">
        <x:v>45457</x:v>
      </x:c>
      <x:c r="D2787" s="4" t="str">
        <x:v>Sales operations manager</x:v>
      </x:c>
      <x:c r="E2787" s="4" t="str">
        <x:v>ERP form</x:v>
      </x:c>
      <x:c r="F2787" s="4" t="str">
        <x:v>Record captured</x:v>
      </x:c>
      <x:c r="G2787" s="4" t="str">
        <x:v>Cancelled</x:v>
      </x:c>
    </x:row>
    <x:row r="2788" ht="34" customHeight="1">
      <x:c r="A2788" s="4" t="str">
        <x:v>RS-02787-E1</x:v>
      </x:c>
      <x:c r="B2788" s="4" t="str">
        <x:v>RS-02787</x:v>
      </x:c>
      <x:c r="C2788" s="8" t="n">
        <x:v>45458</x:v>
      </x:c>
      <x:c r="D2788" s="4" t="str">
        <x:v>Sales operations manager</x:v>
      </x:c>
      <x:c r="E2788" s="4" t="str">
        <x:v>Spreadsheet import</x:v>
      </x:c>
      <x:c r="F2788" s="4" t="str">
        <x:v>Record captured</x:v>
      </x:c>
      <x:c r="G2788" s="4" t="str">
        <x:v>Handed over</x:v>
      </x:c>
    </x:row>
    <x:row r="2789" ht="34" customHeight="1">
      <x:c r="A2789" s="4" t="str">
        <x:v>RS-02788-E1</x:v>
      </x:c>
      <x:c r="B2789" s="4" t="str">
        <x:v>RS-02788</x:v>
      </x:c>
      <x:c r="C2789" s="8" t="n">
        <x:v>45459</x:v>
      </x:c>
      <x:c r="D2789" s="4" t="str">
        <x:v>Sales operations manager</x:v>
      </x:c>
      <x:c r="E2789" s="4" t="str">
        <x:v>Spreadsheet import</x:v>
      </x:c>
      <x:c r="F2789" s="4" t="str">
        <x:v>Record captured</x:v>
      </x:c>
      <x:c r="G2789" s="4" t="str">
        <x:v>Cancelled</x:v>
      </x:c>
    </x:row>
    <x:row r="2790" ht="34" customHeight="1">
      <x:c r="A2790" s="4" t="str">
        <x:v>RS-02789-E1</x:v>
      </x:c>
      <x:c r="B2790" s="4" t="str">
        <x:v>RS-02789</x:v>
      </x:c>
      <x:c r="C2790" s="8" t="n">
        <x:v>45460</x:v>
      </x:c>
      <x:c r="D2790" s="4" t="str">
        <x:v>Sales operations manager</x:v>
      </x:c>
      <x:c r="E2790" s="4" t="str">
        <x:v>ERP form</x:v>
      </x:c>
      <x:c r="F2790" s="4" t="str">
        <x:v>Record captured</x:v>
      </x:c>
      <x:c r="G2790" s="4" t="str">
        <x:v>Cancelled</x:v>
      </x:c>
    </x:row>
    <x:row r="2791" ht="34" customHeight="1">
      <x:c r="A2791" s="4" t="str">
        <x:v>RS-02790-E1</x:v>
      </x:c>
      <x:c r="B2791" s="4" t="str">
        <x:v>RS-02790</x:v>
      </x:c>
      <x:c r="C2791" s="8" t="n">
        <x:v>45461</x:v>
      </x:c>
      <x:c r="D2791" s="4" t="str">
        <x:v>Sales operations manager</x:v>
      </x:c>
      <x:c r="E2791" s="4" t="str">
        <x:v>ERP form</x:v>
      </x:c>
      <x:c r="F2791" s="4" t="str">
        <x:v>Record captured</x:v>
      </x:c>
      <x:c r="G2791" s="4" t="str">
        <x:v>Enquiry</x:v>
      </x:c>
    </x:row>
    <x:row r="2792" ht="34" customHeight="1">
      <x:c r="A2792" s="4" t="str">
        <x:v>RS-02791-E1</x:v>
      </x:c>
      <x:c r="B2792" s="4" t="str">
        <x:v>RS-02791</x:v>
      </x:c>
      <x:c r="C2792" s="8" t="n">
        <x:v>45462</x:v>
      </x:c>
      <x:c r="D2792" s="4" t="str">
        <x:v>Sales operations manager</x:v>
      </x:c>
      <x:c r="E2792" s="4" t="str">
        <x:v>Paper transcribed</x:v>
      </x:c>
      <x:c r="F2792" s="4" t="str">
        <x:v>Record captured</x:v>
      </x:c>
      <x:c r="G2792" s="4" t="str">
        <x:v>Reserved</x:v>
      </x:c>
    </x:row>
    <x:row r="2793" ht="34" customHeight="1">
      <x:c r="A2793" s="4" t="str">
        <x:v>RS-02792-E1</x:v>
      </x:c>
      <x:c r="B2793" s="4" t="str">
        <x:v>RS-02792</x:v>
      </x:c>
      <x:c r="C2793" s="8" t="n">
        <x:v>45463</x:v>
      </x:c>
      <x:c r="D2793" s="4" t="str">
        <x:v>Sales operations manager</x:v>
      </x:c>
      <x:c r="E2793" s="4" t="str">
        <x:v>ERP form</x:v>
      </x:c>
      <x:c r="F2793" s="4" t="str">
        <x:v>Record captured</x:v>
      </x:c>
      <x:c r="G2793" s="4" t="str">
        <x:v>Handed over</x:v>
      </x:c>
    </x:row>
    <x:row r="2794" ht="34" customHeight="1">
      <x:c r="A2794" s="4" t="str">
        <x:v>RS-02793-E1</x:v>
      </x:c>
      <x:c r="B2794" s="4" t="str">
        <x:v>RS-02793</x:v>
      </x:c>
      <x:c r="C2794" s="8" t="n">
        <x:v>45464</x:v>
      </x:c>
      <x:c r="D2794" s="4" t="str">
        <x:v>Sales operations manager</x:v>
      </x:c>
      <x:c r="E2794" s="4" t="str">
        <x:v>Spreadsheet import</x:v>
      </x:c>
      <x:c r="F2794" s="4" t="str">
        <x:v>Record captured</x:v>
      </x:c>
      <x:c r="G2794" s="4" t="str">
        <x:v>Enquiry</x:v>
      </x:c>
    </x:row>
    <x:row r="2795" ht="34" customHeight="1">
      <x:c r="A2795" s="4" t="str">
        <x:v>RS-02794-E1</x:v>
      </x:c>
      <x:c r="B2795" s="4" t="str">
        <x:v>RS-02794</x:v>
      </x:c>
      <x:c r="C2795" s="8" t="n">
        <x:v>45465</x:v>
      </x:c>
      <x:c r="D2795" s="4" t="str">
        <x:v>Sales operations manager</x:v>
      </x:c>
      <x:c r="E2795" s="4" t="str">
        <x:v>WhatsApp transcribed</x:v>
      </x:c>
      <x:c r="F2795" s="4" t="str">
        <x:v>Record captured</x:v>
      </x:c>
      <x:c r="G2795" s="4" t="str">
        <x:v>Booked</x:v>
      </x:c>
    </x:row>
    <x:row r="2796" ht="34" customHeight="1">
      <x:c r="A2796" s="4" t="str">
        <x:v>RS-02795-E1</x:v>
      </x:c>
      <x:c r="B2796" s="4" t="str">
        <x:v>RS-02795</x:v>
      </x:c>
      <x:c r="C2796" s="8" t="n">
        <x:v>45466</x:v>
      </x:c>
      <x:c r="D2796" s="4" t="str">
        <x:v>Sales operations manager</x:v>
      </x:c>
      <x:c r="E2796" s="4" t="str">
        <x:v>Paper transcribed</x:v>
      </x:c>
      <x:c r="F2796" s="4" t="str">
        <x:v>Record captured</x:v>
      </x:c>
      <x:c r="G2796" s="4" t="str">
        <x:v>Cancelled</x:v>
      </x:c>
    </x:row>
    <x:row r="2797" ht="34" customHeight="1">
      <x:c r="A2797" s="4" t="str">
        <x:v>RS-02796-E1</x:v>
      </x:c>
      <x:c r="B2797" s="4" t="str">
        <x:v>RS-02796</x:v>
      </x:c>
      <x:c r="C2797" s="8" t="n">
        <x:v>45467</x:v>
      </x:c>
      <x:c r="D2797" s="4" t="str">
        <x:v>Sales operations manager</x:v>
      </x:c>
      <x:c r="E2797" s="4" t="str">
        <x:v>WhatsApp transcribed</x:v>
      </x:c>
      <x:c r="F2797" s="4" t="str">
        <x:v>Record captured</x:v>
      </x:c>
      <x:c r="G2797" s="4" t="str">
        <x:v>Agreement signed</x:v>
      </x:c>
    </x:row>
    <x:row r="2798" ht="34" customHeight="1">
      <x:c r="A2798" s="4" t="str">
        <x:v>RS-02797-E1</x:v>
      </x:c>
      <x:c r="B2798" s="4" t="str">
        <x:v>RS-02797</x:v>
      </x:c>
      <x:c r="C2798" s="8" t="n">
        <x:v>45468</x:v>
      </x:c>
      <x:c r="D2798" s="4" t="str">
        <x:v>Sales operations manager</x:v>
      </x:c>
      <x:c r="E2798" s="4" t="str">
        <x:v>Paper transcribed</x:v>
      </x:c>
      <x:c r="F2798" s="4" t="str">
        <x:v>Record captured</x:v>
      </x:c>
      <x:c r="G2798" s="4" t="str">
        <x:v>Enquiry</x:v>
      </x:c>
    </x:row>
    <x:row r="2799" ht="34" customHeight="1">
      <x:c r="A2799" s="4" t="str">
        <x:v>RS-02798-E1</x:v>
      </x:c>
      <x:c r="B2799" s="4" t="str">
        <x:v>RS-02798</x:v>
      </x:c>
      <x:c r="C2799" s="8" t="n">
        <x:v>45469</x:v>
      </x:c>
      <x:c r="D2799" s="4" t="str">
        <x:v>Sales operations manager</x:v>
      </x:c>
      <x:c r="E2799" s="4" t="str">
        <x:v>Paper transcribed</x:v>
      </x:c>
      <x:c r="F2799" s="4" t="str">
        <x:v>Record captured</x:v>
      </x:c>
      <x:c r="G2799" s="4" t="str">
        <x:v>Agreement signed</x:v>
      </x:c>
    </x:row>
    <x:row r="2800" ht="34" customHeight="1">
      <x:c r="A2800" s="4" t="str">
        <x:v>RS-02799-E1</x:v>
      </x:c>
      <x:c r="B2800" s="4" t="str">
        <x:v>RS-02799</x:v>
      </x:c>
      <x:c r="C2800" s="8" t="n">
        <x:v>45470</x:v>
      </x:c>
      <x:c r="D2800" s="4" t="str">
        <x:v>Sales operations manager</x:v>
      </x:c>
      <x:c r="E2800" s="4" t="str">
        <x:v>ERP form</x:v>
      </x:c>
      <x:c r="F2800" s="4" t="str">
        <x:v>Record captured</x:v>
      </x:c>
      <x:c r="G2800" s="4" t="str">
        <x:v>Agreement signed</x:v>
      </x:c>
    </x:row>
    <x:row r="2801" ht="34" customHeight="1">
      <x:c r="A2801" s="4" t="str">
        <x:v>RS-02800-E1</x:v>
      </x:c>
      <x:c r="B2801" s="4" t="str">
        <x:v>RS-02800</x:v>
      </x:c>
      <x:c r="C2801" s="8" t="n">
        <x:v>45471</x:v>
      </x:c>
      <x:c r="D2801" s="4" t="str">
        <x:v>Sales operations manager</x:v>
      </x:c>
      <x:c r="E2801" s="4" t="str">
        <x:v>Spreadsheet import</x:v>
      </x:c>
      <x:c r="F2801" s="4" t="str">
        <x:v>Record captured</x:v>
      </x:c>
      <x:c r="G2801" s="4" t="str">
        <x:v>Agreement signed</x:v>
      </x:c>
    </x:row>
    <x:row r="2802" ht="34" customHeight="1">
      <x:c r="A2802" s="4" t="str">
        <x:v>RS-02801-E1</x:v>
      </x:c>
      <x:c r="B2802" s="4" t="str">
        <x:v>RS-02801</x:v>
      </x:c>
      <x:c r="C2802" s="8" t="n">
        <x:v>45444</x:v>
      </x:c>
      <x:c r="D2802" s="4" t="str">
        <x:v>Sales operations manager</x:v>
      </x:c>
      <x:c r="E2802" s="4" t="str">
        <x:v>ERP form</x:v>
      </x:c>
      <x:c r="F2802" s="4" t="str">
        <x:v>Record captured</x:v>
      </x:c>
      <x:c r="G2802" s="4" t="str">
        <x:v>Handed over</x:v>
      </x:c>
    </x:row>
    <x:row r="2803" ht="34" customHeight="1">
      <x:c r="A2803" s="4" t="str">
        <x:v>RS-02802-E1</x:v>
      </x:c>
      <x:c r="B2803" s="4" t="str">
        <x:v>RS-02802</x:v>
      </x:c>
      <x:c r="C2803" s="8" t="n">
        <x:v>45445</x:v>
      </x:c>
      <x:c r="D2803" s="4" t="str">
        <x:v>Sales operations manager</x:v>
      </x:c>
      <x:c r="E2803" s="4" t="str">
        <x:v>WhatsApp transcribed</x:v>
      </x:c>
      <x:c r="F2803" s="4" t="str">
        <x:v>Record captured</x:v>
      </x:c>
      <x:c r="G2803" s="4" t="str">
        <x:v>Reserved</x:v>
      </x:c>
    </x:row>
    <x:row r="2804" ht="34" customHeight="1">
      <x:c r="A2804" s="4" t="str">
        <x:v>RS-02803-E1</x:v>
      </x:c>
      <x:c r="B2804" s="4" t="str">
        <x:v>RS-02803</x:v>
      </x:c>
      <x:c r="C2804" s="8" t="n">
        <x:v>45446</x:v>
      </x:c>
      <x:c r="D2804" s="4" t="str">
        <x:v>Sales operations manager</x:v>
      </x:c>
      <x:c r="E2804" s="4" t="str">
        <x:v>WhatsApp transcribed</x:v>
      </x:c>
      <x:c r="F2804" s="4" t="str">
        <x:v>Record captured</x:v>
      </x:c>
      <x:c r="G2804" s="4" t="str">
        <x:v>Handed over</x:v>
      </x:c>
    </x:row>
    <x:row r="2805" ht="34" customHeight="1">
      <x:c r="A2805" s="4" t="str">
        <x:v>RS-02804-E1</x:v>
      </x:c>
      <x:c r="B2805" s="4" t="str">
        <x:v>RS-02804</x:v>
      </x:c>
      <x:c r="C2805" s="8" t="n">
        <x:v>45447</x:v>
      </x:c>
      <x:c r="D2805" s="4" t="str">
        <x:v>Sales operations manager</x:v>
      </x:c>
      <x:c r="E2805" s="4" t="str">
        <x:v>WhatsApp transcribed</x:v>
      </x:c>
      <x:c r="F2805" s="4" t="str">
        <x:v>Record captured</x:v>
      </x:c>
      <x:c r="G2805" s="4" t="str">
        <x:v>Reserved</x:v>
      </x:c>
    </x:row>
    <x:row r="2806" ht="34" customHeight="1">
      <x:c r="A2806" s="4" t="str">
        <x:v>RS-02805-E1</x:v>
      </x:c>
      <x:c r="B2806" s="4" t="str">
        <x:v>RS-02805</x:v>
      </x:c>
      <x:c r="C2806" s="8" t="n">
        <x:v>45448</x:v>
      </x:c>
      <x:c r="D2806" s="4" t="str">
        <x:v>Sales operations manager</x:v>
      </x:c>
      <x:c r="E2806" s="4" t="str">
        <x:v>ERP form</x:v>
      </x:c>
      <x:c r="F2806" s="4" t="str">
        <x:v>Record captured</x:v>
      </x:c>
      <x:c r="G2806" s="4" t="str">
        <x:v>Booked</x:v>
      </x:c>
    </x:row>
    <x:row r="2807" ht="34" customHeight="1">
      <x:c r="A2807" s="4" t="str">
        <x:v>RS-02806-E1</x:v>
      </x:c>
      <x:c r="B2807" s="4" t="str">
        <x:v>RS-02806</x:v>
      </x:c>
      <x:c r="C2807" s="8" t="n">
        <x:v>45449</x:v>
      </x:c>
      <x:c r="D2807" s="4" t="str">
        <x:v>Sales operations manager</x:v>
      </x:c>
      <x:c r="E2807" s="4" t="str">
        <x:v>Spreadsheet import</x:v>
      </x:c>
      <x:c r="F2807" s="4" t="str">
        <x:v>Record captured</x:v>
      </x:c>
      <x:c r="G2807" s="4" t="str">
        <x:v>Agreement signed</x:v>
      </x:c>
    </x:row>
    <x:row r="2808" ht="34" customHeight="1">
      <x:c r="A2808" s="4" t="str">
        <x:v>RS-02807-E1</x:v>
      </x:c>
      <x:c r="B2808" s="4" t="str">
        <x:v>RS-02807</x:v>
      </x:c>
      <x:c r="C2808" s="8" t="n">
        <x:v>45450</x:v>
      </x:c>
      <x:c r="D2808" s="4" t="str">
        <x:v>Sales operations manager</x:v>
      </x:c>
      <x:c r="E2808" s="4" t="str">
        <x:v>Paper transcribed</x:v>
      </x:c>
      <x:c r="F2808" s="4" t="str">
        <x:v>Record captured</x:v>
      </x:c>
      <x:c r="G2808" s="4" t="str">
        <x:v>Reserved</x:v>
      </x:c>
    </x:row>
    <x:row r="2809" ht="34" customHeight="1">
      <x:c r="A2809" s="4" t="str">
        <x:v>RS-02808-E1</x:v>
      </x:c>
      <x:c r="B2809" s="4" t="str">
        <x:v>RS-02808</x:v>
      </x:c>
      <x:c r="C2809" s="8" t="n">
        <x:v>45451</x:v>
      </x:c>
      <x:c r="D2809" s="4" t="str">
        <x:v>Sales operations manager</x:v>
      </x:c>
      <x:c r="E2809" s="4" t="str">
        <x:v>ERP form</x:v>
      </x:c>
      <x:c r="F2809" s="4" t="str">
        <x:v>Record captured</x:v>
      </x:c>
      <x:c r="G2809" s="4" t="str">
        <x:v>Enquiry</x:v>
      </x:c>
    </x:row>
    <x:row r="2810" ht="34" customHeight="1">
      <x:c r="A2810" s="4" t="str">
        <x:v>RS-02809-E1</x:v>
      </x:c>
      <x:c r="B2810" s="4" t="str">
        <x:v>RS-02809</x:v>
      </x:c>
      <x:c r="C2810" s="8" t="n">
        <x:v>45452</x:v>
      </x:c>
      <x:c r="D2810" s="4" t="str">
        <x:v>Sales operations manager</x:v>
      </x:c>
      <x:c r="E2810" s="4" t="str">
        <x:v>Spreadsheet import</x:v>
      </x:c>
      <x:c r="F2810" s="4" t="str">
        <x:v>Record captured</x:v>
      </x:c>
      <x:c r="G2810" s="4" t="str">
        <x:v>Handed over</x:v>
      </x:c>
    </x:row>
    <x:row r="2811" ht="34" customHeight="1">
      <x:c r="A2811" s="4" t="str">
        <x:v>RS-02810-E1</x:v>
      </x:c>
      <x:c r="B2811" s="4" t="str">
        <x:v>RS-02810</x:v>
      </x:c>
      <x:c r="C2811" s="8" t="n">
        <x:v>45453</x:v>
      </x:c>
      <x:c r="D2811" s="4" t="str">
        <x:v>Sales operations manager</x:v>
      </x:c>
      <x:c r="E2811" s="4" t="str">
        <x:v>ERP form</x:v>
      </x:c>
      <x:c r="F2811" s="4" t="str">
        <x:v>Record captured</x:v>
      </x:c>
      <x:c r="G2811" s="4" t="str">
        <x:v>Agreement signed</x:v>
      </x:c>
    </x:row>
    <x:row r="2812" ht="34" customHeight="1">
      <x:c r="A2812" s="4" t="str">
        <x:v>RS-02811-E1</x:v>
      </x:c>
      <x:c r="B2812" s="4" t="str">
        <x:v>RS-02811</x:v>
      </x:c>
      <x:c r="C2812" s="8" t="n">
        <x:v>45454</x:v>
      </x:c>
      <x:c r="D2812" s="4" t="str">
        <x:v>Sales operations manager</x:v>
      </x:c>
      <x:c r="E2812" s="4" t="str">
        <x:v>Spreadsheet import</x:v>
      </x:c>
      <x:c r="F2812" s="4" t="str">
        <x:v>Record captured</x:v>
      </x:c>
      <x:c r="G2812" s="4" t="str">
        <x:v>Agreement signed</x:v>
      </x:c>
    </x:row>
    <x:row r="2813" ht="34" customHeight="1">
      <x:c r="A2813" s="4" t="str">
        <x:v>RS-02812-E1</x:v>
      </x:c>
      <x:c r="B2813" s="4" t="str">
        <x:v>RS-02812</x:v>
      </x:c>
      <x:c r="C2813" s="8" t="n">
        <x:v>45455</x:v>
      </x:c>
      <x:c r="D2813" s="4" t="str">
        <x:v>Sales operations manager</x:v>
      </x:c>
      <x:c r="E2813" s="4" t="str">
        <x:v>WhatsApp transcribed</x:v>
      </x:c>
      <x:c r="F2813" s="4" t="str">
        <x:v>Record captured</x:v>
      </x:c>
      <x:c r="G2813" s="4" t="str">
        <x:v>Reserved</x:v>
      </x:c>
    </x:row>
    <x:row r="2814" ht="34" customHeight="1">
      <x:c r="A2814" s="4" t="str">
        <x:v>RS-02813-E1</x:v>
      </x:c>
      <x:c r="B2814" s="4" t="str">
        <x:v>RS-02813</x:v>
      </x:c>
      <x:c r="C2814" s="8" t="n">
        <x:v>45456</x:v>
      </x:c>
      <x:c r="D2814" s="4" t="str">
        <x:v>Sales operations manager</x:v>
      </x:c>
      <x:c r="E2814" s="4" t="str">
        <x:v>ERP form</x:v>
      </x:c>
      <x:c r="F2814" s="4" t="str">
        <x:v>Record captured</x:v>
      </x:c>
      <x:c r="G2814" s="4" t="str">
        <x:v>Cancelled</x:v>
      </x:c>
    </x:row>
    <x:row r="2815" ht="34" customHeight="1">
      <x:c r="A2815" s="4" t="str">
        <x:v>RS-02814-E1</x:v>
      </x:c>
      <x:c r="B2815" s="4" t="str">
        <x:v>RS-02814</x:v>
      </x:c>
      <x:c r="C2815" s="8" t="n">
        <x:v>45457</x:v>
      </x:c>
      <x:c r="D2815" s="4" t="str">
        <x:v>Sales operations manager</x:v>
      </x:c>
      <x:c r="E2815" s="4" t="str">
        <x:v>ERP form</x:v>
      </x:c>
      <x:c r="F2815" s="4" t="str">
        <x:v>Record captured</x:v>
      </x:c>
      <x:c r="G2815" s="4" t="str">
        <x:v>Agreement signed</x:v>
      </x:c>
    </x:row>
    <x:row r="2816" ht="34" customHeight="1">
      <x:c r="A2816" s="4" t="str">
        <x:v>RS-02815-E1</x:v>
      </x:c>
      <x:c r="B2816" s="4" t="str">
        <x:v>RS-02815</x:v>
      </x:c>
      <x:c r="C2816" s="8" t="n">
        <x:v>45458</x:v>
      </x:c>
      <x:c r="D2816" s="4" t="str">
        <x:v>Sales operations manager</x:v>
      </x:c>
      <x:c r="E2816" s="4" t="str">
        <x:v>Paper transcribed</x:v>
      </x:c>
      <x:c r="F2816" s="4" t="str">
        <x:v>Record captured</x:v>
      </x:c>
      <x:c r="G2816" s="4" t="str">
        <x:v>Handed over</x:v>
      </x:c>
    </x:row>
    <x:row r="2817" ht="34" customHeight="1">
      <x:c r="A2817" s="4" t="str">
        <x:v>RS-02816-E1</x:v>
      </x:c>
      <x:c r="B2817" s="4" t="str">
        <x:v>RS-02816</x:v>
      </x:c>
      <x:c r="C2817" s="8" t="n">
        <x:v>45459</x:v>
      </x:c>
      <x:c r="D2817" s="4" t="str">
        <x:v>Sales operations manager</x:v>
      </x:c>
      <x:c r="E2817" s="4" t="str">
        <x:v>Paper transcribed</x:v>
      </x:c>
      <x:c r="F2817" s="4" t="str">
        <x:v>Record captured</x:v>
      </x:c>
      <x:c r="G2817" s="4" t="str">
        <x:v>Agreement signed</x:v>
      </x:c>
    </x:row>
    <x:row r="2818" ht="34" customHeight="1">
      <x:c r="A2818" s="4" t="str">
        <x:v>RS-02817-E1</x:v>
      </x:c>
      <x:c r="B2818" s="4" t="str">
        <x:v>RS-02817</x:v>
      </x:c>
      <x:c r="C2818" s="8" t="n">
        <x:v>45460</x:v>
      </x:c>
      <x:c r="D2818" s="4" t="str">
        <x:v>Sales operations manager</x:v>
      </x:c>
      <x:c r="E2818" s="4" t="str">
        <x:v>ERP form</x:v>
      </x:c>
      <x:c r="F2818" s="4" t="str">
        <x:v>Record captured</x:v>
      </x:c>
      <x:c r="G2818" s="4" t="str">
        <x:v>Agreement signed</x:v>
      </x:c>
    </x:row>
    <x:row r="2819" ht="34" customHeight="1">
      <x:c r="A2819" s="4" t="str">
        <x:v>RS-02818-E1</x:v>
      </x:c>
      <x:c r="B2819" s="4" t="str">
        <x:v>RS-02818</x:v>
      </x:c>
      <x:c r="C2819" s="8" t="n">
        <x:v>45461</x:v>
      </x:c>
      <x:c r="D2819" s="4" t="str">
        <x:v>Sales operations manager</x:v>
      </x:c>
      <x:c r="E2819" s="4" t="str">
        <x:v>Spreadsheet import</x:v>
      </x:c>
      <x:c r="F2819" s="4" t="str">
        <x:v>Record captured</x:v>
      </x:c>
      <x:c r="G2819" s="4" t="str">
        <x:v>Booked</x:v>
      </x:c>
    </x:row>
    <x:row r="2820" ht="34" customHeight="1">
      <x:c r="A2820" s="4" t="str">
        <x:v>RS-02819-E1</x:v>
      </x:c>
      <x:c r="B2820" s="4" t="str">
        <x:v>RS-02819</x:v>
      </x:c>
      <x:c r="C2820" s="8" t="n">
        <x:v>45462</x:v>
      </x:c>
      <x:c r="D2820" s="4" t="str">
        <x:v>Sales operations manager</x:v>
      </x:c>
      <x:c r="E2820" s="4" t="str">
        <x:v>WhatsApp transcribed</x:v>
      </x:c>
      <x:c r="F2820" s="4" t="str">
        <x:v>Record captured</x:v>
      </x:c>
      <x:c r="G2820" s="4" t="str">
        <x:v>Agreement signed</x:v>
      </x:c>
    </x:row>
    <x:row r="2821" ht="34" customHeight="1">
      <x:c r="A2821" s="4" t="str">
        <x:v>RS-02820-E1</x:v>
      </x:c>
      <x:c r="B2821" s="4" t="str">
        <x:v>RS-02820</x:v>
      </x:c>
      <x:c r="C2821" s="8" t="n">
        <x:v>45463</x:v>
      </x:c>
      <x:c r="D2821" s="4" t="str">
        <x:v>Sales operations manager</x:v>
      </x:c>
      <x:c r="E2821" s="4" t="str">
        <x:v>Spreadsheet import</x:v>
      </x:c>
      <x:c r="F2821" s="4" t="str">
        <x:v>Record captured</x:v>
      </x:c>
      <x:c r="G2821" s="4" t="str">
        <x:v>Reserved</x:v>
      </x:c>
    </x:row>
    <x:row r="2822" ht="34" customHeight="1">
      <x:c r="A2822" s="4" t="str">
        <x:v>RS-02821-E1</x:v>
      </x:c>
      <x:c r="B2822" s="4" t="str">
        <x:v>RS-02821</x:v>
      </x:c>
      <x:c r="C2822" s="8" t="n">
        <x:v>45464</x:v>
      </x:c>
      <x:c r="D2822" s="4" t="str">
        <x:v>Sales operations manager</x:v>
      </x:c>
      <x:c r="E2822" s="4" t="str">
        <x:v>ERP form</x:v>
      </x:c>
      <x:c r="F2822" s="4" t="str">
        <x:v>Record captured</x:v>
      </x:c>
      <x:c r="G2822" s="4" t="str">
        <x:v>Agreement signed</x:v>
      </x:c>
    </x:row>
    <x:row r="2823" ht="34" customHeight="1">
      <x:c r="A2823" s="4" t="str">
        <x:v>RS-02822-E1</x:v>
      </x:c>
      <x:c r="B2823" s="4" t="str">
        <x:v>RS-02822</x:v>
      </x:c>
      <x:c r="C2823" s="8" t="n">
        <x:v>45465</x:v>
      </x:c>
      <x:c r="D2823" s="4" t="str">
        <x:v>Sales operations manager</x:v>
      </x:c>
      <x:c r="E2823" s="4" t="str">
        <x:v>Spreadsheet import</x:v>
      </x:c>
      <x:c r="F2823" s="4" t="str">
        <x:v>Record captured</x:v>
      </x:c>
      <x:c r="G2823" s="4" t="str">
        <x:v>Cancelled</x:v>
      </x:c>
    </x:row>
    <x:row r="2824" ht="34" customHeight="1">
      <x:c r="A2824" s="4" t="str">
        <x:v>RS-02823-E1</x:v>
      </x:c>
      <x:c r="B2824" s="4" t="str">
        <x:v>RS-02823</x:v>
      </x:c>
      <x:c r="C2824" s="8" t="n">
        <x:v>45466</x:v>
      </x:c>
      <x:c r="D2824" s="4" t="str">
        <x:v>Sales operations manager</x:v>
      </x:c>
      <x:c r="E2824" s="4" t="str">
        <x:v>Paper transcribed</x:v>
      </x:c>
      <x:c r="F2824" s="4" t="str">
        <x:v>Record captured</x:v>
      </x:c>
      <x:c r="G2824" s="4" t="str">
        <x:v>Reserved</x:v>
      </x:c>
    </x:row>
    <x:row r="2825" ht="34" customHeight="1">
      <x:c r="A2825" s="4" t="str">
        <x:v>RS-02824-E1</x:v>
      </x:c>
      <x:c r="B2825" s="4" t="str">
        <x:v>RS-02824</x:v>
      </x:c>
      <x:c r="C2825" s="8" t="n">
        <x:v>45467</x:v>
      </x:c>
      <x:c r="D2825" s="4" t="str">
        <x:v>Sales operations manager</x:v>
      </x:c>
      <x:c r="E2825" s="4" t="str">
        <x:v>Paper transcribed</x:v>
      </x:c>
      <x:c r="F2825" s="4" t="str">
        <x:v>Record captured</x:v>
      </x:c>
      <x:c r="G2825" s="4" t="str">
        <x:v>Handed over</x:v>
      </x:c>
    </x:row>
    <x:row r="2826" ht="34" customHeight="1">
      <x:c r="A2826" s="4" t="str">
        <x:v>RS-02825-E1</x:v>
      </x:c>
      <x:c r="B2826" s="4" t="str">
        <x:v>RS-02825</x:v>
      </x:c>
      <x:c r="C2826" s="8" t="n">
        <x:v>45468</x:v>
      </x:c>
      <x:c r="D2826" s="4" t="str">
        <x:v>Sales operations manager</x:v>
      </x:c>
      <x:c r="E2826" s="4" t="str">
        <x:v>ERP form</x:v>
      </x:c>
      <x:c r="F2826" s="4" t="str">
        <x:v>Record captured</x:v>
      </x:c>
      <x:c r="G2826" s="4" t="str">
        <x:v>Cancelled</x:v>
      </x:c>
    </x:row>
    <x:row r="2827" ht="34" customHeight="1">
      <x:c r="A2827" s="4" t="str">
        <x:v>RS-02826-E1</x:v>
      </x:c>
      <x:c r="B2827" s="4" t="str">
        <x:v>RS-02826</x:v>
      </x:c>
      <x:c r="C2827" s="8" t="n">
        <x:v>45469</x:v>
      </x:c>
      <x:c r="D2827" s="4" t="str">
        <x:v>Sales operations manager</x:v>
      </x:c>
      <x:c r="E2827" s="4" t="str">
        <x:v>ERP form</x:v>
      </x:c>
      <x:c r="F2827" s="4" t="str">
        <x:v>Record captured</x:v>
      </x:c>
      <x:c r="G2827" s="4" t="str">
        <x:v>Agreement signed</x:v>
      </x:c>
    </x:row>
    <x:row r="2828" ht="34" customHeight="1">
      <x:c r="A2828" s="4" t="str">
        <x:v>RS-02827-E1</x:v>
      </x:c>
      <x:c r="B2828" s="4" t="str">
        <x:v>RS-02827</x:v>
      </x:c>
      <x:c r="C2828" s="8" t="n">
        <x:v>45470</x:v>
      </x:c>
      <x:c r="D2828" s="4" t="str">
        <x:v>Sales operations manager</x:v>
      </x:c>
      <x:c r="E2828" s="4" t="str">
        <x:v>Paper transcribed</x:v>
      </x:c>
      <x:c r="F2828" s="4" t="str">
        <x:v>Record captured</x:v>
      </x:c>
      <x:c r="G2828" s="4" t="str">
        <x:v>Reserved</x:v>
      </x:c>
    </x:row>
    <x:row r="2829" ht="34" customHeight="1">
      <x:c r="A2829" s="4" t="str">
        <x:v>RS-02828-E1</x:v>
      </x:c>
      <x:c r="B2829" s="4" t="str">
        <x:v>RS-02828</x:v>
      </x:c>
      <x:c r="C2829" s="8" t="n">
        <x:v>45471</x:v>
      </x:c>
      <x:c r="D2829" s="4" t="str">
        <x:v>Sales operations manager</x:v>
      </x:c>
      <x:c r="E2829" s="4" t="str">
        <x:v>ERP form</x:v>
      </x:c>
      <x:c r="F2829" s="4" t="str">
        <x:v>Record captured</x:v>
      </x:c>
      <x:c r="G2829" s="4" t="str">
        <x:v>Enquiry</x:v>
      </x:c>
    </x:row>
    <x:row r="2830" ht="34" customHeight="1">
      <x:c r="A2830" s="4" t="str">
        <x:v>RS-02829-E1</x:v>
      </x:c>
      <x:c r="B2830" s="4" t="str">
        <x:v>RS-02829</x:v>
      </x:c>
      <x:c r="C2830" s="8" t="n">
        <x:v>45444</x:v>
      </x:c>
      <x:c r="D2830" s="4" t="str">
        <x:v>Sales operations manager</x:v>
      </x:c>
      <x:c r="E2830" s="4" t="str">
        <x:v>WhatsApp transcribed</x:v>
      </x:c>
      <x:c r="F2830" s="4" t="str">
        <x:v>Record captured</x:v>
      </x:c>
      <x:c r="G2830" s="4" t="str">
        <x:v>Reserved</x:v>
      </x:c>
    </x:row>
    <x:row r="2831" ht="34" customHeight="1">
      <x:c r="A2831" s="4" t="str">
        <x:v>RS-02830-E1</x:v>
      </x:c>
      <x:c r="B2831" s="4" t="str">
        <x:v>RS-02830</x:v>
      </x:c>
      <x:c r="C2831" s="8" t="n">
        <x:v>45445</x:v>
      </x:c>
      <x:c r="D2831" s="4" t="str">
        <x:v>Sales operations manager</x:v>
      </x:c>
      <x:c r="E2831" s="4" t="str">
        <x:v>Paper transcribed</x:v>
      </x:c>
      <x:c r="F2831" s="4" t="str">
        <x:v>Record captured</x:v>
      </x:c>
      <x:c r="G2831" s="4" t="str">
        <x:v>Booked</x:v>
      </x:c>
    </x:row>
    <x:row r="2832" ht="34" customHeight="1">
      <x:c r="A2832" s="4" t="str">
        <x:v>RS-02831-E1</x:v>
      </x:c>
      <x:c r="B2832" s="4" t="str">
        <x:v>RS-02831</x:v>
      </x:c>
      <x:c r="C2832" s="8" t="n">
        <x:v>45446</x:v>
      </x:c>
      <x:c r="D2832" s="4" t="str">
        <x:v>Sales operations manager</x:v>
      </x:c>
      <x:c r="E2832" s="4" t="str">
        <x:v>Spreadsheet import</x:v>
      </x:c>
      <x:c r="F2832" s="4" t="str">
        <x:v>Record captured</x:v>
      </x:c>
      <x:c r="G2832" s="4" t="str">
        <x:v>Agreement signed</x:v>
      </x:c>
    </x:row>
    <x:row r="2833" ht="34" customHeight="1">
      <x:c r="A2833" s="4" t="str">
        <x:v>RS-02832-E1</x:v>
      </x:c>
      <x:c r="B2833" s="4" t="str">
        <x:v>RS-02832</x:v>
      </x:c>
      <x:c r="C2833" s="8" t="n">
        <x:v>45447</x:v>
      </x:c>
      <x:c r="D2833" s="4" t="str">
        <x:v>Sales operations manager</x:v>
      </x:c>
      <x:c r="E2833" s="4" t="str">
        <x:v>Spreadsheet import</x:v>
      </x:c>
      <x:c r="F2833" s="4" t="str">
        <x:v>Record captured</x:v>
      </x:c>
      <x:c r="G2833" s="4" t="str">
        <x:v>Agreement signed</x:v>
      </x:c>
    </x:row>
    <x:row r="2834" ht="34" customHeight="1">
      <x:c r="A2834" s="4" t="str">
        <x:v>RS-02833-E1</x:v>
      </x:c>
      <x:c r="B2834" s="4" t="str">
        <x:v>RS-02833</x:v>
      </x:c>
      <x:c r="C2834" s="8" t="n">
        <x:v>45448</x:v>
      </x:c>
      <x:c r="D2834" s="4" t="str">
        <x:v>Sales operations manager</x:v>
      </x:c>
      <x:c r="E2834" s="4" t="str">
        <x:v>Paper transcribed</x:v>
      </x:c>
      <x:c r="F2834" s="4" t="str">
        <x:v>Record captured</x:v>
      </x:c>
      <x:c r="G2834" s="4" t="str">
        <x:v>Enquiry</x:v>
      </x:c>
    </x:row>
    <x:row r="2835" ht="34" customHeight="1">
      <x:c r="A2835" s="4" t="str">
        <x:v>RS-02834-E1</x:v>
      </x:c>
      <x:c r="B2835" s="4" t="str">
        <x:v>RS-02834</x:v>
      </x:c>
      <x:c r="C2835" s="8" t="n">
        <x:v>45449</x:v>
      </x:c>
      <x:c r="D2835" s="4" t="str">
        <x:v>Sales operations manager</x:v>
      </x:c>
      <x:c r="E2835" s="4" t="str">
        <x:v>ERP form</x:v>
      </x:c>
      <x:c r="F2835" s="4" t="str">
        <x:v>Record captured</x:v>
      </x:c>
      <x:c r="G2835" s="4" t="str">
        <x:v>Cancelled</x:v>
      </x:c>
    </x:row>
    <x:row r="2836" ht="34" customHeight="1">
      <x:c r="A2836" s="4" t="str">
        <x:v>RS-02835-E1</x:v>
      </x:c>
      <x:c r="B2836" s="4" t="str">
        <x:v>RS-02835</x:v>
      </x:c>
      <x:c r="C2836" s="8" t="n">
        <x:v>45450</x:v>
      </x:c>
      <x:c r="D2836" s="4" t="str">
        <x:v>Sales operations manager</x:v>
      </x:c>
      <x:c r="E2836" s="4" t="str">
        <x:v>Spreadsheet import</x:v>
      </x:c>
      <x:c r="F2836" s="4" t="str">
        <x:v>Record captured</x:v>
      </x:c>
      <x:c r="G2836" s="4" t="str">
        <x:v>Cancelled</x:v>
      </x:c>
    </x:row>
    <x:row r="2837" ht="34" customHeight="1">
      <x:c r="A2837" s="4" t="str">
        <x:v>RS-02836-E1</x:v>
      </x:c>
      <x:c r="B2837" s="4" t="str">
        <x:v>RS-02836</x:v>
      </x:c>
      <x:c r="C2837" s="8" t="n">
        <x:v>45451</x:v>
      </x:c>
      <x:c r="D2837" s="4" t="str">
        <x:v>Sales operations manager</x:v>
      </x:c>
      <x:c r="E2837" s="4" t="str">
        <x:v>ERP form</x:v>
      </x:c>
      <x:c r="F2837" s="4" t="str">
        <x:v>Record captured</x:v>
      </x:c>
      <x:c r="G2837" s="4" t="str">
        <x:v>Handed over</x:v>
      </x:c>
    </x:row>
    <x:row r="2838" ht="34" customHeight="1">
      <x:c r="A2838" s="4" t="str">
        <x:v>RS-02837-E1</x:v>
      </x:c>
      <x:c r="B2838" s="4" t="str">
        <x:v>RS-02837</x:v>
      </x:c>
      <x:c r="C2838" s="8" t="n">
        <x:v>45452</x:v>
      </x:c>
      <x:c r="D2838" s="4" t="str">
        <x:v>Sales operations manager</x:v>
      </x:c>
      <x:c r="E2838" s="4" t="str">
        <x:v>ERP form</x:v>
      </x:c>
      <x:c r="F2838" s="4" t="str">
        <x:v>Record captured</x:v>
      </x:c>
      <x:c r="G2838" s="4" t="str">
        <x:v>Enquiry</x:v>
      </x:c>
    </x:row>
    <x:row r="2839" ht="34" customHeight="1">
      <x:c r="A2839" s="4" t="str">
        <x:v>RS-02838-E1</x:v>
      </x:c>
      <x:c r="B2839" s="4" t="str">
        <x:v>RS-02838</x:v>
      </x:c>
      <x:c r="C2839" s="8" t="n">
        <x:v>45453</x:v>
      </x:c>
      <x:c r="D2839" s="4" t="str">
        <x:v>Sales operations manager</x:v>
      </x:c>
      <x:c r="E2839" s="4" t="str">
        <x:v>Spreadsheet import</x:v>
      </x:c>
      <x:c r="F2839" s="4" t="str">
        <x:v>Record captured</x:v>
      </x:c>
      <x:c r="G2839" s="4" t="str">
        <x:v>Booked</x:v>
      </x:c>
    </x:row>
    <x:row r="2840" ht="34" customHeight="1">
      <x:c r="A2840" s="4" t="str">
        <x:v>RS-02839-E1</x:v>
      </x:c>
      <x:c r="B2840" s="4" t="str">
        <x:v>RS-02839</x:v>
      </x:c>
      <x:c r="C2840" s="8" t="n">
        <x:v>45454</x:v>
      </x:c>
      <x:c r="D2840" s="4" t="str">
        <x:v>Sales operations manager</x:v>
      </x:c>
      <x:c r="E2840" s="4" t="str">
        <x:v>Spreadsheet import</x:v>
      </x:c>
      <x:c r="F2840" s="4" t="str">
        <x:v>Record captured</x:v>
      </x:c>
      <x:c r="G2840" s="4" t="str">
        <x:v>Agreement signed</x:v>
      </x:c>
    </x:row>
    <x:row r="2841" ht="34" customHeight="1">
      <x:c r="A2841" s="4" t="str">
        <x:v>RS-02840-E1</x:v>
      </x:c>
      <x:c r="B2841" s="4" t="str">
        <x:v>RS-02840</x:v>
      </x:c>
      <x:c r="C2841" s="8" t="n">
        <x:v>45455</x:v>
      </x:c>
      <x:c r="D2841" s="4" t="str">
        <x:v>Sales operations manager</x:v>
      </x:c>
      <x:c r="E2841" s="4" t="str">
        <x:v>WhatsApp transcribed</x:v>
      </x:c>
      <x:c r="F2841" s="4" t="str">
        <x:v>Record captured</x:v>
      </x:c>
      <x:c r="G2841" s="4" t="str">
        <x:v>Handed over</x:v>
      </x:c>
    </x:row>
    <x:row r="2842" ht="34" customHeight="1">
      <x:c r="A2842" s="4" t="str">
        <x:v>RS-02841-E1</x:v>
      </x:c>
      <x:c r="B2842" s="4" t="str">
        <x:v>RS-02841</x:v>
      </x:c>
      <x:c r="C2842" s="8" t="n">
        <x:v>45456</x:v>
      </x:c>
      <x:c r="D2842" s="4" t="str">
        <x:v>Sales operations manager</x:v>
      </x:c>
      <x:c r="E2842" s="4" t="str">
        <x:v>Paper transcribed</x:v>
      </x:c>
      <x:c r="F2842" s="4" t="str">
        <x:v>Record captured</x:v>
      </x:c>
      <x:c r="G2842" s="4" t="str">
        <x:v>Enquiry</x:v>
      </x:c>
    </x:row>
    <x:row r="2843" ht="34" customHeight="1">
      <x:c r="A2843" s="4" t="str">
        <x:v>RS-02842-E1</x:v>
      </x:c>
      <x:c r="B2843" s="4" t="str">
        <x:v>RS-02842</x:v>
      </x:c>
      <x:c r="C2843" s="8" t="n">
        <x:v>45457</x:v>
      </x:c>
      <x:c r="D2843" s="4" t="str">
        <x:v>Sales operations manager</x:v>
      </x:c>
      <x:c r="E2843" s="4" t="str">
        <x:v>WhatsApp transcribed</x:v>
      </x:c>
      <x:c r="F2843" s="4" t="str">
        <x:v>Record captured</x:v>
      </x:c>
      <x:c r="G2843" s="4" t="str">
        <x:v>Enquiry</x:v>
      </x:c>
    </x:row>
    <x:row r="2844" ht="34" customHeight="1">
      <x:c r="A2844" s="4" t="str">
        <x:v>RS-02843-E1</x:v>
      </x:c>
      <x:c r="B2844" s="4" t="str">
        <x:v>RS-02843</x:v>
      </x:c>
      <x:c r="C2844" s="8" t="n">
        <x:v>45458</x:v>
      </x:c>
      <x:c r="D2844" s="4" t="str">
        <x:v>Sales operations manager</x:v>
      </x:c>
      <x:c r="E2844" s="4" t="str">
        <x:v>WhatsApp transcribed</x:v>
      </x:c>
      <x:c r="F2844" s="4" t="str">
        <x:v>Record captured</x:v>
      </x:c>
      <x:c r="G2844" s="4" t="str">
        <x:v>Booked</x:v>
      </x:c>
    </x:row>
    <x:row r="2845" ht="34" customHeight="1">
      <x:c r="A2845" s="4" t="str">
        <x:v>RS-02844-E1</x:v>
      </x:c>
      <x:c r="B2845" s="4" t="str">
        <x:v>RS-02844</x:v>
      </x:c>
      <x:c r="C2845" s="8" t="n">
        <x:v>45459</x:v>
      </x:c>
      <x:c r="D2845" s="4" t="str">
        <x:v>Sales operations manager</x:v>
      </x:c>
      <x:c r="E2845" s="4" t="str">
        <x:v>Spreadsheet import</x:v>
      </x:c>
      <x:c r="F2845" s="4" t="str">
        <x:v>Record captured</x:v>
      </x:c>
      <x:c r="G2845" s="4" t="str">
        <x:v>Handed over</x:v>
      </x:c>
    </x:row>
    <x:row r="2846" ht="34" customHeight="1">
      <x:c r="A2846" s="4" t="str">
        <x:v>RS-02845-E1</x:v>
      </x:c>
      <x:c r="B2846" s="4" t="str">
        <x:v>RS-02845</x:v>
      </x:c>
      <x:c r="C2846" s="8" t="n">
        <x:v>45460</x:v>
      </x:c>
      <x:c r="D2846" s="4" t="str">
        <x:v>Sales operations manager</x:v>
      </x:c>
      <x:c r="E2846" s="4" t="str">
        <x:v>Paper transcribed</x:v>
      </x:c>
      <x:c r="F2846" s="4" t="str">
        <x:v>Record captured</x:v>
      </x:c>
      <x:c r="G2846" s="4" t="str">
        <x:v>Agreement signed</x:v>
      </x:c>
    </x:row>
    <x:row r="2847" ht="34" customHeight="1">
      <x:c r="A2847" s="4" t="str">
        <x:v>RS-02846-E1</x:v>
      </x:c>
      <x:c r="B2847" s="4" t="str">
        <x:v>RS-02846</x:v>
      </x:c>
      <x:c r="C2847" s="8" t="n">
        <x:v>45461</x:v>
      </x:c>
      <x:c r="D2847" s="4" t="str">
        <x:v>Sales operations manager</x:v>
      </x:c>
      <x:c r="E2847" s="4" t="str">
        <x:v>WhatsApp transcribed</x:v>
      </x:c>
      <x:c r="F2847" s="4" t="str">
        <x:v>Record captured</x:v>
      </x:c>
      <x:c r="G2847" s="4" t="str">
        <x:v>Booked</x:v>
      </x:c>
    </x:row>
    <x:row r="2848" ht="34" customHeight="1">
      <x:c r="A2848" s="4" t="str">
        <x:v>RS-02847-E1</x:v>
      </x:c>
      <x:c r="B2848" s="4" t="str">
        <x:v>RS-02847</x:v>
      </x:c>
      <x:c r="C2848" s="8" t="n">
        <x:v>45462</x:v>
      </x:c>
      <x:c r="D2848" s="4" t="str">
        <x:v>Sales operations manager</x:v>
      </x:c>
      <x:c r="E2848" s="4" t="str">
        <x:v>Spreadsheet import</x:v>
      </x:c>
      <x:c r="F2848" s="4" t="str">
        <x:v>Record captured</x:v>
      </x:c>
      <x:c r="G2848" s="4" t="str">
        <x:v>Enquiry</x:v>
      </x:c>
    </x:row>
    <x:row r="2849" ht="34" customHeight="1">
      <x:c r="A2849" s="4" t="str">
        <x:v>RS-02848-E1</x:v>
      </x:c>
      <x:c r="B2849" s="4" t="str">
        <x:v>RS-02848</x:v>
      </x:c>
      <x:c r="C2849" s="8" t="n">
        <x:v>45463</x:v>
      </x:c>
      <x:c r="D2849" s="4" t="str">
        <x:v>Sales operations manager</x:v>
      </x:c>
      <x:c r="E2849" s="4" t="str">
        <x:v>Paper transcribed</x:v>
      </x:c>
      <x:c r="F2849" s="4" t="str">
        <x:v>Record captured</x:v>
      </x:c>
      <x:c r="G2849" s="4" t="str">
        <x:v>Enquiry</x:v>
      </x:c>
    </x:row>
    <x:row r="2850" ht="34" customHeight="1">
      <x:c r="A2850" s="4" t="str">
        <x:v>RS-02849-E1</x:v>
      </x:c>
      <x:c r="B2850" s="4" t="str">
        <x:v>RS-02849</x:v>
      </x:c>
      <x:c r="C2850" s="8" t="n">
        <x:v>45464</x:v>
      </x:c>
      <x:c r="D2850" s="4" t="str">
        <x:v>Sales operations manager</x:v>
      </x:c>
      <x:c r="E2850" s="4" t="str">
        <x:v>Paper transcribed</x:v>
      </x:c>
      <x:c r="F2850" s="4" t="str">
        <x:v>Record captured</x:v>
      </x:c>
      <x:c r="G2850" s="4" t="str">
        <x:v>Cancelled</x:v>
      </x:c>
    </x:row>
    <x:row r="2851" ht="34" customHeight="1">
      <x:c r="A2851" s="4" t="str">
        <x:v>RS-02850-E1</x:v>
      </x:c>
      <x:c r="B2851" s="4" t="str">
        <x:v>RS-02850</x:v>
      </x:c>
      <x:c r="C2851" s="8" t="n">
        <x:v>45465</x:v>
      </x:c>
      <x:c r="D2851" s="4" t="str">
        <x:v>Sales operations manager</x:v>
      </x:c>
      <x:c r="E2851" s="4" t="str">
        <x:v>WhatsApp transcribed</x:v>
      </x:c>
      <x:c r="F2851" s="4" t="str">
        <x:v>Record captured</x:v>
      </x:c>
      <x:c r="G2851" s="4" t="str">
        <x:v>Booked</x:v>
      </x:c>
    </x:row>
    <x:row r="2852" ht="34" customHeight="1">
      <x:c r="A2852" s="4" t="str">
        <x:v>RS-02851-E1</x:v>
      </x:c>
      <x:c r="B2852" s="4" t="str">
        <x:v>RS-02851</x:v>
      </x:c>
      <x:c r="C2852" s="8" t="n">
        <x:v>45466</x:v>
      </x:c>
      <x:c r="D2852" s="4" t="str">
        <x:v>Sales operations manager</x:v>
      </x:c>
      <x:c r="E2852" s="4" t="str">
        <x:v>WhatsApp transcribed</x:v>
      </x:c>
      <x:c r="F2852" s="4" t="str">
        <x:v>Record captured</x:v>
      </x:c>
      <x:c r="G2852" s="4" t="str">
        <x:v>Cancelled</x:v>
      </x:c>
    </x:row>
    <x:row r="2853" ht="34" customHeight="1">
      <x:c r="A2853" s="4" t="str">
        <x:v>RS-02852-E1</x:v>
      </x:c>
      <x:c r="B2853" s="4" t="str">
        <x:v>RS-02852</x:v>
      </x:c>
      <x:c r="C2853" s="8" t="n">
        <x:v>45467</x:v>
      </x:c>
      <x:c r="D2853" s="4" t="str">
        <x:v>Sales operations manager</x:v>
      </x:c>
      <x:c r="E2853" s="4" t="str">
        <x:v>Paper transcribed</x:v>
      </x:c>
      <x:c r="F2853" s="4" t="str">
        <x:v>Record captured</x:v>
      </x:c>
      <x:c r="G2853" s="4" t="str">
        <x:v>Enquiry</x:v>
      </x:c>
    </x:row>
    <x:row r="2854" ht="34" customHeight="1">
      <x:c r="A2854" s="4" t="str">
        <x:v>RS-02853-E1</x:v>
      </x:c>
      <x:c r="B2854" s="4" t="str">
        <x:v>RS-02853</x:v>
      </x:c>
      <x:c r="C2854" s="8" t="n">
        <x:v>45468</x:v>
      </x:c>
      <x:c r="D2854" s="4" t="str">
        <x:v>Sales operations manager</x:v>
      </x:c>
      <x:c r="E2854" s="4" t="str">
        <x:v>WhatsApp transcribed</x:v>
      </x:c>
      <x:c r="F2854" s="4" t="str">
        <x:v>Record captured</x:v>
      </x:c>
      <x:c r="G2854" s="4" t="str">
        <x:v>Agreement signed</x:v>
      </x:c>
    </x:row>
    <x:row r="2855" ht="34" customHeight="1">
      <x:c r="A2855" s="4" t="str">
        <x:v>RS-02854-E1</x:v>
      </x:c>
      <x:c r="B2855" s="4" t="str">
        <x:v>RS-02854</x:v>
      </x:c>
      <x:c r="C2855" s="8" t="n">
        <x:v>45469</x:v>
      </x:c>
      <x:c r="D2855" s="4" t="str">
        <x:v>Sales operations manager</x:v>
      </x:c>
      <x:c r="E2855" s="4" t="str">
        <x:v>Paper transcribed</x:v>
      </x:c>
      <x:c r="F2855" s="4" t="str">
        <x:v>Record captured</x:v>
      </x:c>
      <x:c r="G2855" s="4" t="str">
        <x:v>Handed over</x:v>
      </x:c>
    </x:row>
    <x:row r="2856" ht="34" customHeight="1">
      <x:c r="A2856" s="4" t="str">
        <x:v>RS-02855-E1</x:v>
      </x:c>
      <x:c r="B2856" s="4" t="str">
        <x:v>RS-02855</x:v>
      </x:c>
      <x:c r="C2856" s="8" t="n">
        <x:v>45470</x:v>
      </x:c>
      <x:c r="D2856" s="4" t="str">
        <x:v>Sales operations manager</x:v>
      </x:c>
      <x:c r="E2856" s="4" t="str">
        <x:v>Spreadsheet import</x:v>
      </x:c>
      <x:c r="F2856" s="4" t="str">
        <x:v>Record captured</x:v>
      </x:c>
      <x:c r="G2856" s="4" t="str">
        <x:v>Enquiry</x:v>
      </x:c>
    </x:row>
    <x:row r="2857" ht="34" customHeight="1">
      <x:c r="A2857" s="4" t="str">
        <x:v>RS-02856-E1</x:v>
      </x:c>
      <x:c r="B2857" s="4" t="str">
        <x:v>RS-02856</x:v>
      </x:c>
      <x:c r="C2857" s="8" t="n">
        <x:v>45471</x:v>
      </x:c>
      <x:c r="D2857" s="4" t="str">
        <x:v>Sales operations manager</x:v>
      </x:c>
      <x:c r="E2857" s="4" t="str">
        <x:v>WhatsApp transcribed</x:v>
      </x:c>
      <x:c r="F2857" s="4" t="str">
        <x:v>Record captured</x:v>
      </x:c>
      <x:c r="G2857" s="4" t="str">
        <x:v>Agreement signed</x:v>
      </x:c>
    </x:row>
    <x:row r="2858" ht="34" customHeight="1">
      <x:c r="A2858" s="4" t="str">
        <x:v>RS-02857-E1</x:v>
      </x:c>
      <x:c r="B2858" s="4" t="str">
        <x:v>RS-02857</x:v>
      </x:c>
      <x:c r="C2858" s="8" t="n">
        <x:v>45444</x:v>
      </x:c>
      <x:c r="D2858" s="4" t="str">
        <x:v>Sales operations manager</x:v>
      </x:c>
      <x:c r="E2858" s="4" t="str">
        <x:v>Spreadsheet import</x:v>
      </x:c>
      <x:c r="F2858" s="4" t="str">
        <x:v>Record captured</x:v>
      </x:c>
      <x:c r="G2858" s="4" t="str">
        <x:v>Enquiry</x:v>
      </x:c>
    </x:row>
    <x:row r="2859" ht="34" customHeight="1">
      <x:c r="A2859" s="4" t="str">
        <x:v>RS-02858-E1</x:v>
      </x:c>
      <x:c r="B2859" s="4" t="str">
        <x:v>RS-02858</x:v>
      </x:c>
      <x:c r="C2859" s="8" t="n">
        <x:v>45445</x:v>
      </x:c>
      <x:c r="D2859" s="4" t="str">
        <x:v>Sales operations manager</x:v>
      </x:c>
      <x:c r="E2859" s="4" t="str">
        <x:v>Spreadsheet import</x:v>
      </x:c>
      <x:c r="F2859" s="4" t="str">
        <x:v>Record captured</x:v>
      </x:c>
      <x:c r="G2859" s="4" t="str">
        <x:v>Enquiry</x:v>
      </x:c>
    </x:row>
    <x:row r="2860" ht="34" customHeight="1">
      <x:c r="A2860" s="4" t="str">
        <x:v>RS-02859-E1</x:v>
      </x:c>
      <x:c r="B2860" s="4" t="str">
        <x:v>RS-02859</x:v>
      </x:c>
      <x:c r="C2860" s="8" t="n">
        <x:v>45446</x:v>
      </x:c>
      <x:c r="D2860" s="4" t="str">
        <x:v>Sales operations manager</x:v>
      </x:c>
      <x:c r="E2860" s="4" t="str">
        <x:v>Spreadsheet import</x:v>
      </x:c>
      <x:c r="F2860" s="4" t="str">
        <x:v>Record captured</x:v>
      </x:c>
      <x:c r="G2860" s="4" t="str">
        <x:v>Cancelled</x:v>
      </x:c>
    </x:row>
    <x:row r="2861" ht="34" customHeight="1">
      <x:c r="A2861" s="4" t="str">
        <x:v>RS-02860-E1</x:v>
      </x:c>
      <x:c r="B2861" s="4" t="str">
        <x:v>RS-02860</x:v>
      </x:c>
      <x:c r="C2861" s="8" t="n">
        <x:v>45447</x:v>
      </x:c>
      <x:c r="D2861" s="4" t="str">
        <x:v>Sales operations manager</x:v>
      </x:c>
      <x:c r="E2861" s="4" t="str">
        <x:v>ERP form</x:v>
      </x:c>
      <x:c r="F2861" s="4" t="str">
        <x:v>Record captured</x:v>
      </x:c>
      <x:c r="G2861" s="4" t="str">
        <x:v>Booked</x:v>
      </x:c>
    </x:row>
    <x:row r="2862" ht="34" customHeight="1">
      <x:c r="A2862" s="4" t="str">
        <x:v>RS-02861-E1</x:v>
      </x:c>
      <x:c r="B2862" s="4" t="str">
        <x:v>RS-02861</x:v>
      </x:c>
      <x:c r="C2862" s="8" t="n">
        <x:v>45448</x:v>
      </x:c>
      <x:c r="D2862" s="4" t="str">
        <x:v>Sales operations manager</x:v>
      </x:c>
      <x:c r="E2862" s="4" t="str">
        <x:v>Paper transcribed</x:v>
      </x:c>
      <x:c r="F2862" s="4" t="str">
        <x:v>Record captured</x:v>
      </x:c>
      <x:c r="G2862" s="4" t="str">
        <x:v>Agreement signed</x:v>
      </x:c>
    </x:row>
    <x:row r="2863" ht="34" customHeight="1">
      <x:c r="A2863" s="4" t="str">
        <x:v>RS-02862-E1</x:v>
      </x:c>
      <x:c r="B2863" s="4" t="str">
        <x:v>RS-02862</x:v>
      </x:c>
      <x:c r="C2863" s="8" t="n">
        <x:v>45449</x:v>
      </x:c>
      <x:c r="D2863" s="4" t="str">
        <x:v>Sales operations manager</x:v>
      </x:c>
      <x:c r="E2863" s="4" t="str">
        <x:v>WhatsApp transcribed</x:v>
      </x:c>
      <x:c r="F2863" s="4" t="str">
        <x:v>Record captured</x:v>
      </x:c>
      <x:c r="G2863" s="4" t="str">
        <x:v>Cancelled</x:v>
      </x:c>
    </x:row>
    <x:row r="2864" ht="34" customHeight="1">
      <x:c r="A2864" s="4" t="str">
        <x:v>RS-02863-E1</x:v>
      </x:c>
      <x:c r="B2864" s="4" t="str">
        <x:v>RS-02863</x:v>
      </x:c>
      <x:c r="C2864" s="8" t="n">
        <x:v>45450</x:v>
      </x:c>
      <x:c r="D2864" s="4" t="str">
        <x:v>Sales operations manager</x:v>
      </x:c>
      <x:c r="E2864" s="4" t="str">
        <x:v>Spreadsheet import</x:v>
      </x:c>
      <x:c r="F2864" s="4" t="str">
        <x:v>Record captured</x:v>
      </x:c>
      <x:c r="G2864" s="4" t="str">
        <x:v>Cancelled</x:v>
      </x:c>
    </x:row>
    <x:row r="2865" ht="34" customHeight="1">
      <x:c r="A2865" s="4" t="str">
        <x:v>RS-02864-E1</x:v>
      </x:c>
      <x:c r="B2865" s="4" t="str">
        <x:v>RS-02864</x:v>
      </x:c>
      <x:c r="C2865" s="8" t="n">
        <x:v>45451</x:v>
      </x:c>
      <x:c r="D2865" s="4" t="str">
        <x:v>Sales operations manager</x:v>
      </x:c>
      <x:c r="E2865" s="4" t="str">
        <x:v>ERP form</x:v>
      </x:c>
      <x:c r="F2865" s="4" t="str">
        <x:v>Record captured</x:v>
      </x:c>
      <x:c r="G2865" s="4" t="str">
        <x:v>Booked</x:v>
      </x:c>
    </x:row>
    <x:row r="2866" ht="34" customHeight="1">
      <x:c r="A2866" s="4" t="str">
        <x:v>RS-02865-E1</x:v>
      </x:c>
      <x:c r="B2866" s="4" t="str">
        <x:v>RS-02865</x:v>
      </x:c>
      <x:c r="C2866" s="8" t="n">
        <x:v>45452</x:v>
      </x:c>
      <x:c r="D2866" s="4" t="str">
        <x:v>Sales operations manager</x:v>
      </x:c>
      <x:c r="E2866" s="4" t="str">
        <x:v>Spreadsheet import</x:v>
      </x:c>
      <x:c r="F2866" s="4" t="str">
        <x:v>Record captured</x:v>
      </x:c>
      <x:c r="G2866" s="4" t="str">
        <x:v>Handed over</x:v>
      </x:c>
    </x:row>
    <x:row r="2867" ht="34" customHeight="1">
      <x:c r="A2867" s="4" t="str">
        <x:v>RS-02866-E1</x:v>
      </x:c>
      <x:c r="B2867" s="4" t="str">
        <x:v>RS-02866</x:v>
      </x:c>
      <x:c r="C2867" s="8" t="n">
        <x:v>45453</x:v>
      </x:c>
      <x:c r="D2867" s="4" t="str">
        <x:v>Sales operations manager</x:v>
      </x:c>
      <x:c r="E2867" s="4" t="str">
        <x:v>Paper transcribed</x:v>
      </x:c>
      <x:c r="F2867" s="4" t="str">
        <x:v>Record captured</x:v>
      </x:c>
      <x:c r="G2867" s="4" t="str">
        <x:v>Handed over</x:v>
      </x:c>
    </x:row>
    <x:row r="2868" ht="34" customHeight="1">
      <x:c r="A2868" s="4" t="str">
        <x:v>RS-02867-E1</x:v>
      </x:c>
      <x:c r="B2868" s="4" t="str">
        <x:v>RS-02867</x:v>
      </x:c>
      <x:c r="C2868" s="8" t="n">
        <x:v>45454</x:v>
      </x:c>
      <x:c r="D2868" s="4" t="str">
        <x:v>Sales operations manager</x:v>
      </x:c>
      <x:c r="E2868" s="4" t="str">
        <x:v>Paper transcribed</x:v>
      </x:c>
      <x:c r="F2868" s="4" t="str">
        <x:v>Record captured</x:v>
      </x:c>
      <x:c r="G2868" s="4" t="str">
        <x:v>Handed over</x:v>
      </x:c>
    </x:row>
    <x:row r="2869" ht="34" customHeight="1">
      <x:c r="A2869" s="4" t="str">
        <x:v>RS-02868-E1</x:v>
      </x:c>
      <x:c r="B2869" s="4" t="str">
        <x:v>RS-02868</x:v>
      </x:c>
      <x:c r="C2869" s="8" t="n">
        <x:v>45455</x:v>
      </x:c>
      <x:c r="D2869" s="4" t="str">
        <x:v>Sales operations manager</x:v>
      </x:c>
      <x:c r="E2869" s="4" t="str">
        <x:v>Paper transcribed</x:v>
      </x:c>
      <x:c r="F2869" s="4" t="str">
        <x:v>Record captured</x:v>
      </x:c>
      <x:c r="G2869" s="4" t="str">
        <x:v>Agreement signed</x:v>
      </x:c>
    </x:row>
    <x:row r="2870" ht="34" customHeight="1">
      <x:c r="A2870" s="4" t="str">
        <x:v>RS-02869-E1</x:v>
      </x:c>
      <x:c r="B2870" s="4" t="str">
        <x:v>RS-02869</x:v>
      </x:c>
      <x:c r="C2870" s="8" t="n">
        <x:v>45456</x:v>
      </x:c>
      <x:c r="D2870" s="4" t="str">
        <x:v>Sales operations manager</x:v>
      </x:c>
      <x:c r="E2870" s="4" t="str">
        <x:v>WhatsApp transcribed</x:v>
      </x:c>
      <x:c r="F2870" s="4" t="str">
        <x:v>Record captured</x:v>
      </x:c>
      <x:c r="G2870" s="4" t="str">
        <x:v>Handed over</x:v>
      </x:c>
    </x:row>
    <x:row r="2871" ht="34" customHeight="1">
      <x:c r="A2871" s="4" t="str">
        <x:v>RS-02870-E1</x:v>
      </x:c>
      <x:c r="B2871" s="4" t="str">
        <x:v>RS-02870</x:v>
      </x:c>
      <x:c r="C2871" s="8" t="n">
        <x:v>45457</x:v>
      </x:c>
      <x:c r="D2871" s="4" t="str">
        <x:v>Sales operations manager</x:v>
      </x:c>
      <x:c r="E2871" s="4" t="str">
        <x:v>Paper transcribed</x:v>
      </x:c>
      <x:c r="F2871" s="4" t="str">
        <x:v>Record captured</x:v>
      </x:c>
      <x:c r="G2871" s="4" t="str">
        <x:v>Cancelled</x:v>
      </x:c>
    </x:row>
    <x:row r="2872" ht="34" customHeight="1">
      <x:c r="A2872" s="4" t="str">
        <x:v>RS-02871-E1</x:v>
      </x:c>
      <x:c r="B2872" s="4" t="str">
        <x:v>RS-02871</x:v>
      </x:c>
      <x:c r="C2872" s="8" t="n">
        <x:v>45458</x:v>
      </x:c>
      <x:c r="D2872" s="4" t="str">
        <x:v>Sales operations manager</x:v>
      </x:c>
      <x:c r="E2872" s="4" t="str">
        <x:v>WhatsApp transcribed</x:v>
      </x:c>
      <x:c r="F2872" s="4" t="str">
        <x:v>Record captured</x:v>
      </x:c>
      <x:c r="G2872" s="4" t="str">
        <x:v>Booked</x:v>
      </x:c>
    </x:row>
    <x:row r="2873" ht="34" customHeight="1">
      <x:c r="A2873" s="4" t="str">
        <x:v>RS-02872-E1</x:v>
      </x:c>
      <x:c r="B2873" s="4" t="str">
        <x:v>RS-02872</x:v>
      </x:c>
      <x:c r="C2873" s="8" t="n">
        <x:v>45459</x:v>
      </x:c>
      <x:c r="D2873" s="4" t="str">
        <x:v>Sales operations manager</x:v>
      </x:c>
      <x:c r="E2873" s="4" t="str">
        <x:v>Spreadsheet import</x:v>
      </x:c>
      <x:c r="F2873" s="4" t="str">
        <x:v>Record captured</x:v>
      </x:c>
      <x:c r="G2873" s="4" t="str">
        <x:v>Handed over</x:v>
      </x:c>
    </x:row>
    <x:row r="2874" ht="34" customHeight="1">
      <x:c r="A2874" s="4" t="str">
        <x:v>RS-02873-E1</x:v>
      </x:c>
      <x:c r="B2874" s="4" t="str">
        <x:v>RS-02873</x:v>
      </x:c>
      <x:c r="C2874" s="8" t="n">
        <x:v>45460</x:v>
      </x:c>
      <x:c r="D2874" s="4" t="str">
        <x:v>Sales operations manager</x:v>
      </x:c>
      <x:c r="E2874" s="4" t="str">
        <x:v>Paper transcribed</x:v>
      </x:c>
      <x:c r="F2874" s="4" t="str">
        <x:v>Record captured</x:v>
      </x:c>
      <x:c r="G2874" s="4" t="str">
        <x:v>Booked</x:v>
      </x:c>
    </x:row>
    <x:row r="2875" ht="34" customHeight="1">
      <x:c r="A2875" s="4" t="str">
        <x:v>RS-02874-E1</x:v>
      </x:c>
      <x:c r="B2875" s="4" t="str">
        <x:v>RS-02874</x:v>
      </x:c>
      <x:c r="C2875" s="8" t="n">
        <x:v>45461</x:v>
      </x:c>
      <x:c r="D2875" s="4" t="str">
        <x:v>Sales operations manager</x:v>
      </x:c>
      <x:c r="E2875" s="4" t="str">
        <x:v>Paper transcribed</x:v>
      </x:c>
      <x:c r="F2875" s="4" t="str">
        <x:v>Record captured</x:v>
      </x:c>
      <x:c r="G2875" s="4" t="str">
        <x:v>Handed over</x:v>
      </x:c>
    </x:row>
    <x:row r="2876" ht="34" customHeight="1">
      <x:c r="A2876" s="4" t="str">
        <x:v>RS-02875-E1</x:v>
      </x:c>
      <x:c r="B2876" s="4" t="str">
        <x:v>RS-02875</x:v>
      </x:c>
      <x:c r="C2876" s="8" t="n">
        <x:v>45462</x:v>
      </x:c>
      <x:c r="D2876" s="4" t="str">
        <x:v>Sales operations manager</x:v>
      </x:c>
      <x:c r="E2876" s="4" t="str">
        <x:v>WhatsApp transcribed</x:v>
      </x:c>
      <x:c r="F2876" s="4" t="str">
        <x:v>Record captured</x:v>
      </x:c>
      <x:c r="G2876" s="4" t="str">
        <x:v>Enquiry</x:v>
      </x:c>
    </x:row>
    <x:row r="2877" ht="34" customHeight="1">
      <x:c r="A2877" s="4" t="str">
        <x:v>RS-02876-E1</x:v>
      </x:c>
      <x:c r="B2877" s="4" t="str">
        <x:v>RS-02876</x:v>
      </x:c>
      <x:c r="C2877" s="8" t="n">
        <x:v>45463</x:v>
      </x:c>
      <x:c r="D2877" s="4" t="str">
        <x:v>Sales operations manager</x:v>
      </x:c>
      <x:c r="E2877" s="4" t="str">
        <x:v>ERP form</x:v>
      </x:c>
      <x:c r="F2877" s="4" t="str">
        <x:v>Record captured</x:v>
      </x:c>
      <x:c r="G2877" s="4" t="str">
        <x:v>Handed over</x:v>
      </x:c>
    </x:row>
    <x:row r="2878" ht="34" customHeight="1">
      <x:c r="A2878" s="4" t="str">
        <x:v>RS-02877-E1</x:v>
      </x:c>
      <x:c r="B2878" s="4" t="str">
        <x:v>RS-02877</x:v>
      </x:c>
      <x:c r="C2878" s="8" t="n">
        <x:v>45464</x:v>
      </x:c>
      <x:c r="D2878" s="4" t="str">
        <x:v>Sales operations manager</x:v>
      </x:c>
      <x:c r="E2878" s="4" t="str">
        <x:v>WhatsApp transcribed</x:v>
      </x:c>
      <x:c r="F2878" s="4" t="str">
        <x:v>Record captured</x:v>
      </x:c>
      <x:c r="G2878" s="4" t="str">
        <x:v>Agreement signed</x:v>
      </x:c>
    </x:row>
    <x:row r="2879" ht="34" customHeight="1">
      <x:c r="A2879" s="4" t="str">
        <x:v>RS-02878-E1</x:v>
      </x:c>
      <x:c r="B2879" s="4" t="str">
        <x:v>RS-02878</x:v>
      </x:c>
      <x:c r="C2879" s="8" t="n">
        <x:v>45465</x:v>
      </x:c>
      <x:c r="D2879" s="4" t="str">
        <x:v>Sales operations manager</x:v>
      </x:c>
      <x:c r="E2879" s="4" t="str">
        <x:v>Paper transcribed</x:v>
      </x:c>
      <x:c r="F2879" s="4" t="str">
        <x:v>Record captured</x:v>
      </x:c>
      <x:c r="G2879" s="4" t="str">
        <x:v>Agreement signed</x:v>
      </x:c>
    </x:row>
    <x:row r="2880" ht="34" customHeight="1">
      <x:c r="A2880" s="4" t="str">
        <x:v>RS-02879-E1</x:v>
      </x:c>
      <x:c r="B2880" s="4" t="str">
        <x:v>RS-02879</x:v>
      </x:c>
      <x:c r="C2880" s="8" t="n">
        <x:v>45466</x:v>
      </x:c>
      <x:c r="D2880" s="4" t="str">
        <x:v>Sales operations manager</x:v>
      </x:c>
      <x:c r="E2880" s="4" t="str">
        <x:v>Paper transcribed</x:v>
      </x:c>
      <x:c r="F2880" s="4" t="str">
        <x:v>Record captured</x:v>
      </x:c>
      <x:c r="G2880" s="4" t="str">
        <x:v>Cancelled</x:v>
      </x:c>
    </x:row>
    <x:row r="2881" ht="34" customHeight="1">
      <x:c r="A2881" s="4" t="str">
        <x:v>RS-02880-E1</x:v>
      </x:c>
      <x:c r="B2881" s="4" t="str">
        <x:v>RS-02880</x:v>
      </x:c>
      <x:c r="C2881" s="8" t="n">
        <x:v>45467</x:v>
      </x:c>
      <x:c r="D2881" s="4" t="str">
        <x:v>Sales operations manager</x:v>
      </x:c>
      <x:c r="E2881" s="4" t="str">
        <x:v>ERP form</x:v>
      </x:c>
      <x:c r="F2881" s="4" t="str">
        <x:v>Record captured</x:v>
      </x:c>
      <x:c r="G2881" s="4" t="str">
        <x:v>Agreement signed</x:v>
      </x:c>
    </x:row>
    <x:row r="2882" ht="34" customHeight="1">
      <x:c r="A2882" s="4" t="str">
        <x:v>RS-02881-E1</x:v>
      </x:c>
      <x:c r="B2882" s="4" t="str">
        <x:v>RS-02881</x:v>
      </x:c>
      <x:c r="C2882" s="8" t="n">
        <x:v>45468</x:v>
      </x:c>
      <x:c r="D2882" s="4" t="str">
        <x:v>Sales operations manager</x:v>
      </x:c>
      <x:c r="E2882" s="4" t="str">
        <x:v>ERP form</x:v>
      </x:c>
      <x:c r="F2882" s="4" t="str">
        <x:v>Record captured</x:v>
      </x:c>
      <x:c r="G2882" s="4" t="str">
        <x:v>Agreement signed</x:v>
      </x:c>
    </x:row>
    <x:row r="2883" ht="34" customHeight="1">
      <x:c r="A2883" s="4" t="str">
        <x:v>RS-02882-E1</x:v>
      </x:c>
      <x:c r="B2883" s="4" t="str">
        <x:v>RS-02882</x:v>
      </x:c>
      <x:c r="C2883" s="8" t="n">
        <x:v>45469</x:v>
      </x:c>
      <x:c r="D2883" s="4" t="str">
        <x:v>Sales operations manager</x:v>
      </x:c>
      <x:c r="E2883" s="4" t="str">
        <x:v>Spreadsheet import</x:v>
      </x:c>
      <x:c r="F2883" s="4" t="str">
        <x:v>Record captured</x:v>
      </x:c>
      <x:c r="G2883" s="4" t="str">
        <x:v>Agreement signed</x:v>
      </x:c>
    </x:row>
    <x:row r="2884" ht="34" customHeight="1">
      <x:c r="A2884" s="4" t="str">
        <x:v>RS-02883-E1</x:v>
      </x:c>
      <x:c r="B2884" s="4" t="str">
        <x:v>RS-02883</x:v>
      </x:c>
      <x:c r="C2884" s="8" t="n">
        <x:v>45470</x:v>
      </x:c>
      <x:c r="D2884" s="4" t="str">
        <x:v>Sales operations manager</x:v>
      </x:c>
      <x:c r="E2884" s="4" t="str">
        <x:v>Spreadsheet import</x:v>
      </x:c>
      <x:c r="F2884" s="4" t="str">
        <x:v>Record captured</x:v>
      </x:c>
      <x:c r="G2884" s="4" t="str">
        <x:v>Cancelled</x:v>
      </x:c>
    </x:row>
    <x:row r="2885" ht="34" customHeight="1">
      <x:c r="A2885" s="4" t="str">
        <x:v>RS-02884-E1</x:v>
      </x:c>
      <x:c r="B2885" s="4" t="str">
        <x:v>RS-02884</x:v>
      </x:c>
      <x:c r="C2885" s="8" t="n">
        <x:v>45471</x:v>
      </x:c>
      <x:c r="D2885" s="4" t="str">
        <x:v>Sales operations manager</x:v>
      </x:c>
      <x:c r="E2885" s="4" t="str">
        <x:v>ERP form</x:v>
      </x:c>
      <x:c r="F2885" s="4" t="str">
        <x:v>Record captured</x:v>
      </x:c>
      <x:c r="G2885" s="4" t="str">
        <x:v>Agreement signed</x:v>
      </x:c>
    </x:row>
    <x:row r="2886" ht="34" customHeight="1">
      <x:c r="A2886" s="4" t="str">
        <x:v>RS-02885-E1</x:v>
      </x:c>
      <x:c r="B2886" s="4" t="str">
        <x:v>RS-02885</x:v>
      </x:c>
      <x:c r="C2886" s="8" t="n">
        <x:v>45444</x:v>
      </x:c>
      <x:c r="D2886" s="4" t="str">
        <x:v>Sales operations manager</x:v>
      </x:c>
      <x:c r="E2886" s="4" t="str">
        <x:v>Spreadsheet import</x:v>
      </x:c>
      <x:c r="F2886" s="4" t="str">
        <x:v>Record captured</x:v>
      </x:c>
      <x:c r="G2886" s="4" t="str">
        <x:v>Reserved</x:v>
      </x:c>
    </x:row>
    <x:row r="2887" ht="34" customHeight="1">
      <x:c r="A2887" s="4" t="str">
        <x:v>RS-02886-E1</x:v>
      </x:c>
      <x:c r="B2887" s="4" t="str">
        <x:v>RS-02886</x:v>
      </x:c>
      <x:c r="C2887" s="8" t="n">
        <x:v>45445</x:v>
      </x:c>
      <x:c r="D2887" s="4" t="str">
        <x:v>Sales operations manager</x:v>
      </x:c>
      <x:c r="E2887" s="4" t="str">
        <x:v>WhatsApp transcribed</x:v>
      </x:c>
      <x:c r="F2887" s="4" t="str">
        <x:v>Record captured</x:v>
      </x:c>
      <x:c r="G2887" s="4" t="str">
        <x:v>Booked</x:v>
      </x:c>
    </x:row>
    <x:row r="2888" ht="34" customHeight="1">
      <x:c r="A2888" s="4" t="str">
        <x:v>RS-02887-E1</x:v>
      </x:c>
      <x:c r="B2888" s="4" t="str">
        <x:v>RS-02887</x:v>
      </x:c>
      <x:c r="C2888" s="8" t="n">
        <x:v>45446</x:v>
      </x:c>
      <x:c r="D2888" s="4" t="str">
        <x:v>Sales operations manager</x:v>
      </x:c>
      <x:c r="E2888" s="4" t="str">
        <x:v>WhatsApp transcribed</x:v>
      </x:c>
      <x:c r="F2888" s="4" t="str">
        <x:v>Record captured</x:v>
      </x:c>
      <x:c r="G2888" s="4" t="str">
        <x:v>Booked</x:v>
      </x:c>
    </x:row>
    <x:row r="2889" ht="34" customHeight="1">
      <x:c r="A2889" s="4" t="str">
        <x:v>RS-02888-E1</x:v>
      </x:c>
      <x:c r="B2889" s="4" t="str">
        <x:v>RS-02888</x:v>
      </x:c>
      <x:c r="C2889" s="8" t="n">
        <x:v>45447</x:v>
      </x:c>
      <x:c r="D2889" s="4" t="str">
        <x:v>Sales operations manager</x:v>
      </x:c>
      <x:c r="E2889" s="4" t="str">
        <x:v>ERP form</x:v>
      </x:c>
      <x:c r="F2889" s="4" t="str">
        <x:v>Record captured</x:v>
      </x:c>
      <x:c r="G2889" s="4" t="str">
        <x:v>Enquiry</x:v>
      </x:c>
    </x:row>
    <x:row r="2890" ht="34" customHeight="1">
      <x:c r="A2890" s="4" t="str">
        <x:v>RS-02889-E1</x:v>
      </x:c>
      <x:c r="B2890" s="4" t="str">
        <x:v>RS-02889</x:v>
      </x:c>
      <x:c r="C2890" s="8" t="n">
        <x:v>45448</x:v>
      </x:c>
      <x:c r="D2890" s="4" t="str">
        <x:v>Sales operations manager</x:v>
      </x:c>
      <x:c r="E2890" s="4" t="str">
        <x:v>WhatsApp transcribed</x:v>
      </x:c>
      <x:c r="F2890" s="4" t="str">
        <x:v>Record captured</x:v>
      </x:c>
      <x:c r="G2890" s="4" t="str">
        <x:v>Cancelled</x:v>
      </x:c>
    </x:row>
    <x:row r="2891" ht="34" customHeight="1">
      <x:c r="A2891" s="4" t="str">
        <x:v>RS-02890-E1</x:v>
      </x:c>
      <x:c r="B2891" s="4" t="str">
        <x:v>RS-02890</x:v>
      </x:c>
      <x:c r="C2891" s="8" t="n">
        <x:v>45449</x:v>
      </x:c>
      <x:c r="D2891" s="4" t="str">
        <x:v>Sales operations manager</x:v>
      </x:c>
      <x:c r="E2891" s="4" t="str">
        <x:v>Paper transcribed</x:v>
      </x:c>
      <x:c r="F2891" s="4" t="str">
        <x:v>Record captured</x:v>
      </x:c>
      <x:c r="G2891" s="4" t="str">
        <x:v>Reserved</x:v>
      </x:c>
    </x:row>
    <x:row r="2892" ht="34" customHeight="1">
      <x:c r="A2892" s="4" t="str">
        <x:v>RS-02891-E1</x:v>
      </x:c>
      <x:c r="B2892" s="4" t="str">
        <x:v>RS-02891</x:v>
      </x:c>
      <x:c r="C2892" s="8" t="n">
        <x:v>45450</x:v>
      </x:c>
      <x:c r="D2892" s="4" t="str">
        <x:v>Sales operations manager</x:v>
      </x:c>
      <x:c r="E2892" s="4" t="str">
        <x:v>Paper transcribed</x:v>
      </x:c>
      <x:c r="F2892" s="4" t="str">
        <x:v>Record captured</x:v>
      </x:c>
      <x:c r="G2892" s="4" t="str">
        <x:v>Cancelled</x:v>
      </x:c>
    </x:row>
    <x:row r="2893" ht="34" customHeight="1">
      <x:c r="A2893" s="4" t="str">
        <x:v>RS-02892-E1</x:v>
      </x:c>
      <x:c r="B2893" s="4" t="str">
        <x:v>RS-02892</x:v>
      </x:c>
      <x:c r="C2893" s="8" t="n">
        <x:v>45451</x:v>
      </x:c>
      <x:c r="D2893" s="4" t="str">
        <x:v>Sales operations manager</x:v>
      </x:c>
      <x:c r="E2893" s="4" t="str">
        <x:v>WhatsApp transcribed</x:v>
      </x:c>
      <x:c r="F2893" s="4" t="str">
        <x:v>Record captured</x:v>
      </x:c>
      <x:c r="G2893" s="4" t="str">
        <x:v>Cancelled</x:v>
      </x:c>
    </x:row>
    <x:row r="2894" ht="34" customHeight="1">
      <x:c r="A2894" s="4" t="str">
        <x:v>RS-02893-E1</x:v>
      </x:c>
      <x:c r="B2894" s="4" t="str">
        <x:v>RS-02893</x:v>
      </x:c>
      <x:c r="C2894" s="8" t="n">
        <x:v>45452</x:v>
      </x:c>
      <x:c r="D2894" s="4" t="str">
        <x:v>Sales operations manager</x:v>
      </x:c>
      <x:c r="E2894" s="4" t="str">
        <x:v>Spreadsheet import</x:v>
      </x:c>
      <x:c r="F2894" s="4" t="str">
        <x:v>Record captured</x:v>
      </x:c>
      <x:c r="G2894" s="4" t="str">
        <x:v>Booked</x:v>
      </x:c>
    </x:row>
    <x:row r="2895" ht="34" customHeight="1">
      <x:c r="A2895" s="4" t="str">
        <x:v>RS-02894-E1</x:v>
      </x:c>
      <x:c r="B2895" s="4" t="str">
        <x:v>RS-02894</x:v>
      </x:c>
      <x:c r="C2895" s="8" t="n">
        <x:v>45453</x:v>
      </x:c>
      <x:c r="D2895" s="4" t="str">
        <x:v>Sales operations manager</x:v>
      </x:c>
      <x:c r="E2895" s="4" t="str">
        <x:v>ERP form</x:v>
      </x:c>
      <x:c r="F2895" s="4" t="str">
        <x:v>Record captured</x:v>
      </x:c>
      <x:c r="G2895" s="4" t="str">
        <x:v>Handed over</x:v>
      </x:c>
    </x:row>
    <x:row r="2896" ht="34" customHeight="1">
      <x:c r="A2896" s="4" t="str">
        <x:v>RS-02895-E1</x:v>
      </x:c>
      <x:c r="B2896" s="4" t="str">
        <x:v>RS-02895</x:v>
      </x:c>
      <x:c r="C2896" s="8" t="n">
        <x:v>45454</x:v>
      </x:c>
      <x:c r="D2896" s="4" t="str">
        <x:v>Sales operations manager</x:v>
      </x:c>
      <x:c r="E2896" s="4" t="str">
        <x:v>Paper transcribed</x:v>
      </x:c>
      <x:c r="F2896" s="4" t="str">
        <x:v>Record captured</x:v>
      </x:c>
      <x:c r="G2896" s="4" t="str">
        <x:v>Enquiry</x:v>
      </x:c>
    </x:row>
    <x:row r="2897" ht="34" customHeight="1">
      <x:c r="A2897" s="4" t="str">
        <x:v>RS-02896-E1</x:v>
      </x:c>
      <x:c r="B2897" s="4" t="str">
        <x:v>RS-02896</x:v>
      </x:c>
      <x:c r="C2897" s="8" t="n">
        <x:v>45455</x:v>
      </x:c>
      <x:c r="D2897" s="4" t="str">
        <x:v>Sales operations manager</x:v>
      </x:c>
      <x:c r="E2897" s="4" t="str">
        <x:v>WhatsApp transcribed</x:v>
      </x:c>
      <x:c r="F2897" s="4" t="str">
        <x:v>Record captured</x:v>
      </x:c>
      <x:c r="G2897" s="4" t="str">
        <x:v>Enquiry</x:v>
      </x:c>
    </x:row>
    <x:row r="2898" ht="34" customHeight="1">
      <x:c r="A2898" s="4" t="str">
        <x:v>RS-02897-E1</x:v>
      </x:c>
      <x:c r="B2898" s="4" t="str">
        <x:v>RS-02897</x:v>
      </x:c>
      <x:c r="C2898" s="8" t="n">
        <x:v>45456</x:v>
      </x:c>
      <x:c r="D2898" s="4" t="str">
        <x:v>Sales operations manager</x:v>
      </x:c>
      <x:c r="E2898" s="4" t="str">
        <x:v>Paper transcribed</x:v>
      </x:c>
      <x:c r="F2898" s="4" t="str">
        <x:v>Record captured</x:v>
      </x:c>
      <x:c r="G2898" s="4" t="str">
        <x:v>Enquiry</x:v>
      </x:c>
    </x:row>
    <x:row r="2899" ht="34" customHeight="1">
      <x:c r="A2899" s="4" t="str">
        <x:v>RS-02898-E1</x:v>
      </x:c>
      <x:c r="B2899" s="4" t="str">
        <x:v>RS-02898</x:v>
      </x:c>
      <x:c r="C2899" s="8" t="n">
        <x:v>45457</x:v>
      </x:c>
      <x:c r="D2899" s="4" t="str">
        <x:v>Sales operations manager</x:v>
      </x:c>
      <x:c r="E2899" s="4" t="str">
        <x:v>Paper transcribed</x:v>
      </x:c>
      <x:c r="F2899" s="4" t="str">
        <x:v>Record captured</x:v>
      </x:c>
      <x:c r="G2899" s="4" t="str">
        <x:v>Enquiry</x:v>
      </x:c>
    </x:row>
    <x:row r="2900" ht="34" customHeight="1">
      <x:c r="A2900" s="4" t="str">
        <x:v>RS-02899-E1</x:v>
      </x:c>
      <x:c r="B2900" s="4" t="str">
        <x:v>RS-02899</x:v>
      </x:c>
      <x:c r="C2900" s="8" t="n">
        <x:v>45458</x:v>
      </x:c>
      <x:c r="D2900" s="4" t="str">
        <x:v>Sales operations manager</x:v>
      </x:c>
      <x:c r="E2900" s="4" t="str">
        <x:v>WhatsApp transcribed</x:v>
      </x:c>
      <x:c r="F2900" s="4" t="str">
        <x:v>Record captured</x:v>
      </x:c>
      <x:c r="G2900" s="4" t="str">
        <x:v>Handed over</x:v>
      </x:c>
    </x:row>
    <x:row r="2901" ht="34" customHeight="1">
      <x:c r="A2901" s="4" t="str">
        <x:v>RS-02900-E1</x:v>
      </x:c>
      <x:c r="B2901" s="4" t="str">
        <x:v>RS-02900</x:v>
      </x:c>
      <x:c r="C2901" s="8" t="n">
        <x:v>45459</x:v>
      </x:c>
      <x:c r="D2901" s="4" t="str">
        <x:v>Sales operations manager</x:v>
      </x:c>
      <x:c r="E2901" s="4" t="str">
        <x:v>Paper transcribed</x:v>
      </x:c>
      <x:c r="F2901" s="4" t="str">
        <x:v>Record captured</x:v>
      </x:c>
      <x:c r="G2901" s="4" t="str">
        <x:v>Enquiry</x:v>
      </x:c>
    </x:row>
    <x:row r="2902" ht="34" customHeight="1">
      <x:c r="A2902" s="4" t="str">
        <x:v>RS-02901-E1</x:v>
      </x:c>
      <x:c r="B2902" s="4" t="str">
        <x:v>RS-02901</x:v>
      </x:c>
      <x:c r="C2902" s="8" t="n">
        <x:v>45460</x:v>
      </x:c>
      <x:c r="D2902" s="4" t="str">
        <x:v>Sales operations manager</x:v>
      </x:c>
      <x:c r="E2902" s="4" t="str">
        <x:v>WhatsApp transcribed</x:v>
      </x:c>
      <x:c r="F2902" s="4" t="str">
        <x:v>Record captured</x:v>
      </x:c>
      <x:c r="G2902" s="4" t="str">
        <x:v>Booked</x:v>
      </x:c>
    </x:row>
    <x:row r="2903" ht="34" customHeight="1">
      <x:c r="A2903" s="4" t="str">
        <x:v>RS-02902-E1</x:v>
      </x:c>
      <x:c r="B2903" s="4" t="str">
        <x:v>RS-02902</x:v>
      </x:c>
      <x:c r="C2903" s="8" t="n">
        <x:v>45461</x:v>
      </x:c>
      <x:c r="D2903" s="4" t="str">
        <x:v>Sales operations manager</x:v>
      </x:c>
      <x:c r="E2903" s="4" t="str">
        <x:v>ERP form</x:v>
      </x:c>
      <x:c r="F2903" s="4" t="str">
        <x:v>Record captured</x:v>
      </x:c>
      <x:c r="G2903" s="4" t="str">
        <x:v>Cancelled</x:v>
      </x:c>
    </x:row>
    <x:row r="2904" ht="34" customHeight="1">
      <x:c r="A2904" s="4" t="str">
        <x:v>RS-02903-E1</x:v>
      </x:c>
      <x:c r="B2904" s="4" t="str">
        <x:v>RS-02903</x:v>
      </x:c>
      <x:c r="C2904" s="8" t="n">
        <x:v>45462</x:v>
      </x:c>
      <x:c r="D2904" s="4" t="str">
        <x:v>Sales operations manager</x:v>
      </x:c>
      <x:c r="E2904" s="4" t="str">
        <x:v>Paper transcribed</x:v>
      </x:c>
      <x:c r="F2904" s="4" t="str">
        <x:v>Record captured</x:v>
      </x:c>
      <x:c r="G2904" s="4" t="str">
        <x:v>Reserved</x:v>
      </x:c>
    </x:row>
    <x:row r="2905" ht="34" customHeight="1">
      <x:c r="A2905" s="4" t="str">
        <x:v>RS-02904-E1</x:v>
      </x:c>
      <x:c r="B2905" s="4" t="str">
        <x:v>RS-02904</x:v>
      </x:c>
      <x:c r="C2905" s="8" t="n">
        <x:v>45463</x:v>
      </x:c>
      <x:c r="D2905" s="4" t="str">
        <x:v>Sales operations manager</x:v>
      </x:c>
      <x:c r="E2905" s="4" t="str">
        <x:v>WhatsApp transcribed</x:v>
      </x:c>
      <x:c r="F2905" s="4" t="str">
        <x:v>Record captured</x:v>
      </x:c>
      <x:c r="G2905" s="4" t="str">
        <x:v>Enquiry</x:v>
      </x:c>
    </x:row>
    <x:row r="2906" ht="34" customHeight="1">
      <x:c r="A2906" s="4" t="str">
        <x:v>RS-02905-E1</x:v>
      </x:c>
      <x:c r="B2906" s="4" t="str">
        <x:v>RS-02905</x:v>
      </x:c>
      <x:c r="C2906" s="8" t="n">
        <x:v>45464</x:v>
      </x:c>
      <x:c r="D2906" s="4" t="str">
        <x:v>Sales operations manager</x:v>
      </x:c>
      <x:c r="E2906" s="4" t="str">
        <x:v>Spreadsheet import</x:v>
      </x:c>
      <x:c r="F2906" s="4" t="str">
        <x:v>Record captured</x:v>
      </x:c>
      <x:c r="G2906" s="4" t="str">
        <x:v>Agreement signed</x:v>
      </x:c>
    </x:row>
    <x:row r="2907" ht="34" customHeight="1">
      <x:c r="A2907" s="4" t="str">
        <x:v>RS-02906-E1</x:v>
      </x:c>
      <x:c r="B2907" s="4" t="str">
        <x:v>RS-02906</x:v>
      </x:c>
      <x:c r="C2907" s="8" t="n">
        <x:v>45465</x:v>
      </x:c>
      <x:c r="D2907" s="4" t="str">
        <x:v>Sales operations manager</x:v>
      </x:c>
      <x:c r="E2907" s="4" t="str">
        <x:v>WhatsApp transcribed</x:v>
      </x:c>
      <x:c r="F2907" s="4" t="str">
        <x:v>Record captured</x:v>
      </x:c>
      <x:c r="G2907" s="4" t="str">
        <x:v>Reserved</x:v>
      </x:c>
    </x:row>
    <x:row r="2908" ht="34" customHeight="1">
      <x:c r="A2908" s="4" t="str">
        <x:v>RS-02907-E1</x:v>
      </x:c>
      <x:c r="B2908" s="4" t="str">
        <x:v>RS-02907</x:v>
      </x:c>
      <x:c r="C2908" s="8" t="n">
        <x:v>45466</x:v>
      </x:c>
      <x:c r="D2908" s="4" t="str">
        <x:v>Sales operations manager</x:v>
      </x:c>
      <x:c r="E2908" s="4" t="str">
        <x:v>WhatsApp transcribed</x:v>
      </x:c>
      <x:c r="F2908" s="4" t="str">
        <x:v>Record captured</x:v>
      </x:c>
      <x:c r="G2908" s="4" t="str">
        <x:v>Reserved</x:v>
      </x:c>
    </x:row>
    <x:row r="2909" ht="34" customHeight="1">
      <x:c r="A2909" s="4" t="str">
        <x:v>RS-02908-E1</x:v>
      </x:c>
      <x:c r="B2909" s="4" t="str">
        <x:v>RS-02908</x:v>
      </x:c>
      <x:c r="C2909" s="8" t="n">
        <x:v>45467</x:v>
      </x:c>
      <x:c r="D2909" s="4" t="str">
        <x:v>Sales operations manager</x:v>
      </x:c>
      <x:c r="E2909" s="4" t="str">
        <x:v>Paper transcribed</x:v>
      </x:c>
      <x:c r="F2909" s="4" t="str">
        <x:v>Record captured</x:v>
      </x:c>
      <x:c r="G2909" s="4" t="str">
        <x:v>Handed over</x:v>
      </x:c>
    </x:row>
    <x:row r="2910" ht="34" customHeight="1">
      <x:c r="A2910" s="4" t="str">
        <x:v>RS-02909-E1</x:v>
      </x:c>
      <x:c r="B2910" s="4" t="str">
        <x:v>RS-02909</x:v>
      </x:c>
      <x:c r="C2910" s="8" t="n">
        <x:v>45468</x:v>
      </x:c>
      <x:c r="D2910" s="4" t="str">
        <x:v>Sales operations manager</x:v>
      </x:c>
      <x:c r="E2910" s="4" t="str">
        <x:v>WhatsApp transcribed</x:v>
      </x:c>
      <x:c r="F2910" s="4" t="str">
        <x:v>Record captured</x:v>
      </x:c>
      <x:c r="G2910" s="4" t="str">
        <x:v>Cancelled</x:v>
      </x:c>
    </x:row>
    <x:row r="2911" ht="34" customHeight="1">
      <x:c r="A2911" s="4" t="str">
        <x:v>RS-02910-E1</x:v>
      </x:c>
      <x:c r="B2911" s="4" t="str">
        <x:v>RS-02910</x:v>
      </x:c>
      <x:c r="C2911" s="8" t="n">
        <x:v>45469</x:v>
      </x:c>
      <x:c r="D2911" s="4" t="str">
        <x:v>Sales operations manager</x:v>
      </x:c>
      <x:c r="E2911" s="4" t="str">
        <x:v>ERP form</x:v>
      </x:c>
      <x:c r="F2911" s="4" t="str">
        <x:v>Record captured</x:v>
      </x:c>
      <x:c r="G2911" s="4" t="str">
        <x:v>Reserved</x:v>
      </x:c>
    </x:row>
    <x:row r="2912" ht="34" customHeight="1">
      <x:c r="A2912" s="4" t="str">
        <x:v>RS-02911-E1</x:v>
      </x:c>
      <x:c r="B2912" s="4" t="str">
        <x:v>RS-02911</x:v>
      </x:c>
      <x:c r="C2912" s="8" t="n">
        <x:v>45470</x:v>
      </x:c>
      <x:c r="D2912" s="4" t="str">
        <x:v>Sales operations manager</x:v>
      </x:c>
      <x:c r="E2912" s="4" t="str">
        <x:v>ERP form</x:v>
      </x:c>
      <x:c r="F2912" s="4" t="str">
        <x:v>Record captured</x:v>
      </x:c>
      <x:c r="G2912" s="4" t="str">
        <x:v>Agreement signed</x:v>
      </x:c>
    </x:row>
    <x:row r="2913" ht="34" customHeight="1">
      <x:c r="A2913" s="4" t="str">
        <x:v>RS-02912-E1</x:v>
      </x:c>
      <x:c r="B2913" s="4" t="str">
        <x:v>RS-02912</x:v>
      </x:c>
      <x:c r="C2913" s="8" t="n">
        <x:v>45471</x:v>
      </x:c>
      <x:c r="D2913" s="4" t="str">
        <x:v>Sales operations manager</x:v>
      </x:c>
      <x:c r="E2913" s="4" t="str">
        <x:v>Spreadsheet import</x:v>
      </x:c>
      <x:c r="F2913" s="4" t="str">
        <x:v>Record captured</x:v>
      </x:c>
      <x:c r="G2913" s="4" t="str">
        <x:v>Agreement signed</x:v>
      </x:c>
    </x:row>
    <x:row r="2914" ht="34" customHeight="1">
      <x:c r="A2914" s="4" t="str">
        <x:v>RS-02913-E1</x:v>
      </x:c>
      <x:c r="B2914" s="4" t="str">
        <x:v>RS-02913</x:v>
      </x:c>
      <x:c r="C2914" s="8" t="n">
        <x:v>45444</x:v>
      </x:c>
      <x:c r="D2914" s="4" t="str">
        <x:v>Sales operations manager</x:v>
      </x:c>
      <x:c r="E2914" s="4" t="str">
        <x:v>Spreadsheet import</x:v>
      </x:c>
      <x:c r="F2914" s="4" t="str">
        <x:v>Record captured</x:v>
      </x:c>
      <x:c r="G2914" s="4" t="str">
        <x:v>Cancelled</x:v>
      </x:c>
    </x:row>
    <x:row r="2915" ht="34" customHeight="1">
      <x:c r="A2915" s="4" t="str">
        <x:v>RS-02914-E1</x:v>
      </x:c>
      <x:c r="B2915" s="4" t="str">
        <x:v>RS-02914</x:v>
      </x:c>
      <x:c r="C2915" s="8" t="n">
        <x:v>45445</x:v>
      </x:c>
      <x:c r="D2915" s="4" t="str">
        <x:v>Sales operations manager</x:v>
      </x:c>
      <x:c r="E2915" s="4" t="str">
        <x:v>WhatsApp transcribed</x:v>
      </x:c>
      <x:c r="F2915" s="4" t="str">
        <x:v>Record captured</x:v>
      </x:c>
      <x:c r="G2915" s="4" t="str">
        <x:v>Reserved</x:v>
      </x:c>
    </x:row>
    <x:row r="2916" ht="34" customHeight="1">
      <x:c r="A2916" s="4" t="str">
        <x:v>RS-02915-E1</x:v>
      </x:c>
      <x:c r="B2916" s="4" t="str">
        <x:v>RS-02915</x:v>
      </x:c>
      <x:c r="C2916" s="8" t="n">
        <x:v>45446</x:v>
      </x:c>
      <x:c r="D2916" s="4" t="str">
        <x:v>Sales operations manager</x:v>
      </x:c>
      <x:c r="E2916" s="4" t="str">
        <x:v>Paper transcribed</x:v>
      </x:c>
      <x:c r="F2916" s="4" t="str">
        <x:v>Record captured</x:v>
      </x:c>
      <x:c r="G2916" s="4" t="str">
        <x:v>Agreement signed</x:v>
      </x:c>
    </x:row>
    <x:row r="2917" ht="34" customHeight="1">
      <x:c r="A2917" s="4" t="str">
        <x:v>RS-02916-E1</x:v>
      </x:c>
      <x:c r="B2917" s="4" t="str">
        <x:v>RS-02916</x:v>
      </x:c>
      <x:c r="C2917" s="8" t="n">
        <x:v>45447</x:v>
      </x:c>
      <x:c r="D2917" s="4" t="str">
        <x:v>Sales operations manager</x:v>
      </x:c>
      <x:c r="E2917" s="4" t="str">
        <x:v>WhatsApp transcribed</x:v>
      </x:c>
      <x:c r="F2917" s="4" t="str">
        <x:v>Record captured</x:v>
      </x:c>
      <x:c r="G2917" s="4" t="str">
        <x:v>Enquiry</x:v>
      </x:c>
    </x:row>
    <x:row r="2918" ht="34" customHeight="1">
      <x:c r="A2918" s="4" t="str">
        <x:v>RS-02917-E1</x:v>
      </x:c>
      <x:c r="B2918" s="4" t="str">
        <x:v>RS-02917</x:v>
      </x:c>
      <x:c r="C2918" s="8" t="n">
        <x:v>45448</x:v>
      </x:c>
      <x:c r="D2918" s="4" t="str">
        <x:v>Sales operations manager</x:v>
      </x:c>
      <x:c r="E2918" s="4" t="str">
        <x:v>Spreadsheet import</x:v>
      </x:c>
      <x:c r="F2918" s="4" t="str">
        <x:v>Record captured</x:v>
      </x:c>
      <x:c r="G2918" s="4" t="str">
        <x:v>Handed over</x:v>
      </x:c>
    </x:row>
    <x:row r="2919" ht="34" customHeight="1">
      <x:c r="A2919" s="4" t="str">
        <x:v>RS-02918-E1</x:v>
      </x:c>
      <x:c r="B2919" s="4" t="str">
        <x:v>RS-02918</x:v>
      </x:c>
      <x:c r="C2919" s="8" t="n">
        <x:v>45449</x:v>
      </x:c>
      <x:c r="D2919" s="4" t="str">
        <x:v>Sales operations manager</x:v>
      </x:c>
      <x:c r="E2919" s="4" t="str">
        <x:v>Spreadsheet import</x:v>
      </x:c>
      <x:c r="F2919" s="4" t="str">
        <x:v>Record captured</x:v>
      </x:c>
      <x:c r="G2919" s="4" t="str">
        <x:v>Handed over</x:v>
      </x:c>
    </x:row>
    <x:row r="2920" ht="34" customHeight="1">
      <x:c r="A2920" s="4" t="str">
        <x:v>RS-02919-E1</x:v>
      </x:c>
      <x:c r="B2920" s="4" t="str">
        <x:v>RS-02919</x:v>
      </x:c>
      <x:c r="C2920" s="8" t="n">
        <x:v>45450</x:v>
      </x:c>
      <x:c r="D2920" s="4" t="str">
        <x:v>Sales operations manager</x:v>
      </x:c>
      <x:c r="E2920" s="4" t="str">
        <x:v>Paper transcribed</x:v>
      </x:c>
      <x:c r="F2920" s="4" t="str">
        <x:v>Record captured</x:v>
      </x:c>
      <x:c r="G2920" s="4" t="str">
        <x:v>Booked</x:v>
      </x:c>
    </x:row>
    <x:row r="2921" ht="34" customHeight="1">
      <x:c r="A2921" s="4" t="str">
        <x:v>RS-02920-E1</x:v>
      </x:c>
      <x:c r="B2921" s="4" t="str">
        <x:v>RS-02920</x:v>
      </x:c>
      <x:c r="C2921" s="8" t="n">
        <x:v>45451</x:v>
      </x:c>
      <x:c r="D2921" s="4" t="str">
        <x:v>Sales operations manager</x:v>
      </x:c>
      <x:c r="E2921" s="4" t="str">
        <x:v>Paper transcribed</x:v>
      </x:c>
      <x:c r="F2921" s="4" t="str">
        <x:v>Record captured</x:v>
      </x:c>
      <x:c r="G2921" s="4" t="str">
        <x:v>Handed over</x:v>
      </x:c>
    </x:row>
    <x:row r="2922" ht="34" customHeight="1">
      <x:c r="A2922" s="4" t="str">
        <x:v>RS-02921-E1</x:v>
      </x:c>
      <x:c r="B2922" s="4" t="str">
        <x:v>RS-02921</x:v>
      </x:c>
      <x:c r="C2922" s="8" t="n">
        <x:v>45452</x:v>
      </x:c>
      <x:c r="D2922" s="4" t="str">
        <x:v>Sales operations manager</x:v>
      </x:c>
      <x:c r="E2922" s="4" t="str">
        <x:v>ERP form</x:v>
      </x:c>
      <x:c r="F2922" s="4" t="str">
        <x:v>Record captured</x:v>
      </x:c>
      <x:c r="G2922" s="4" t="str">
        <x:v>Handed over</x:v>
      </x:c>
    </x:row>
    <x:row r="2923" ht="34" customHeight="1">
      <x:c r="A2923" s="4" t="str">
        <x:v>RS-02922-E1</x:v>
      </x:c>
      <x:c r="B2923" s="4" t="str">
        <x:v>RS-02922</x:v>
      </x:c>
      <x:c r="C2923" s="8" t="n">
        <x:v>45453</x:v>
      </x:c>
      <x:c r="D2923" s="4" t="str">
        <x:v>Sales operations manager</x:v>
      </x:c>
      <x:c r="E2923" s="4" t="str">
        <x:v>Paper transcribed</x:v>
      </x:c>
      <x:c r="F2923" s="4" t="str">
        <x:v>Record captured</x:v>
      </x:c>
      <x:c r="G2923" s="4" t="str">
        <x:v>Reserved</x:v>
      </x:c>
    </x:row>
    <x:row r="2924" ht="34" customHeight="1">
      <x:c r="A2924" s="4" t="str">
        <x:v>RS-02923-E1</x:v>
      </x:c>
      <x:c r="B2924" s="4" t="str">
        <x:v>RS-02923</x:v>
      </x:c>
      <x:c r="C2924" s="8" t="n">
        <x:v>45454</x:v>
      </x:c>
      <x:c r="D2924" s="4" t="str">
        <x:v>Sales operations manager</x:v>
      </x:c>
      <x:c r="E2924" s="4" t="str">
        <x:v>WhatsApp transcribed</x:v>
      </x:c>
      <x:c r="F2924" s="4" t="str">
        <x:v>Record captured</x:v>
      </x:c>
      <x:c r="G2924" s="4" t="str">
        <x:v>Booked</x:v>
      </x:c>
    </x:row>
    <x:row r="2925" ht="34" customHeight="1">
      <x:c r="A2925" s="4" t="str">
        <x:v>RS-02924-E1</x:v>
      </x:c>
      <x:c r="B2925" s="4" t="str">
        <x:v>RS-02924</x:v>
      </x:c>
      <x:c r="C2925" s="8" t="n">
        <x:v>45455</x:v>
      </x:c>
      <x:c r="D2925" s="4" t="str">
        <x:v>Sales operations manager</x:v>
      </x:c>
      <x:c r="E2925" s="4" t="str">
        <x:v>ERP form</x:v>
      </x:c>
      <x:c r="F2925" s="4" t="str">
        <x:v>Record captured</x:v>
      </x:c>
      <x:c r="G2925" s="4" t="str">
        <x:v>Cancelled</x:v>
      </x:c>
    </x:row>
    <x:row r="2926" ht="34" customHeight="1">
      <x:c r="A2926" s="4" t="str">
        <x:v>RS-02925-E1</x:v>
      </x:c>
      <x:c r="B2926" s="4" t="str">
        <x:v>RS-02925</x:v>
      </x:c>
      <x:c r="C2926" s="8" t="n">
        <x:v>45456</x:v>
      </x:c>
      <x:c r="D2926" s="4" t="str">
        <x:v>Sales operations manager</x:v>
      </x:c>
      <x:c r="E2926" s="4" t="str">
        <x:v>ERP form</x:v>
      </x:c>
      <x:c r="F2926" s="4" t="str">
        <x:v>Record captured</x:v>
      </x:c>
      <x:c r="G2926" s="4" t="str">
        <x:v>Handed over</x:v>
      </x:c>
    </x:row>
    <x:row r="2927" ht="34" customHeight="1">
      <x:c r="A2927" s="4" t="str">
        <x:v>RS-02926-E1</x:v>
      </x:c>
      <x:c r="B2927" s="4" t="str">
        <x:v>RS-02926</x:v>
      </x:c>
      <x:c r="C2927" s="8" t="n">
        <x:v>45457</x:v>
      </x:c>
      <x:c r="D2927" s="4" t="str">
        <x:v>Sales operations manager</x:v>
      </x:c>
      <x:c r="E2927" s="4" t="str">
        <x:v>Spreadsheet import</x:v>
      </x:c>
      <x:c r="F2927" s="4" t="str">
        <x:v>Record captured</x:v>
      </x:c>
      <x:c r="G2927" s="4" t="str">
        <x:v>Handed over</x:v>
      </x:c>
    </x:row>
    <x:row r="2928" ht="34" customHeight="1">
      <x:c r="A2928" s="4" t="str">
        <x:v>RS-02927-E1</x:v>
      </x:c>
      <x:c r="B2928" s="4" t="str">
        <x:v>RS-02927</x:v>
      </x:c>
      <x:c r="C2928" s="8" t="n">
        <x:v>45458</x:v>
      </x:c>
      <x:c r="D2928" s="4" t="str">
        <x:v>Sales operations manager</x:v>
      </x:c>
      <x:c r="E2928" s="4" t="str">
        <x:v>ERP form</x:v>
      </x:c>
      <x:c r="F2928" s="4" t="str">
        <x:v>Record captured</x:v>
      </x:c>
      <x:c r="G2928" s="4" t="str">
        <x:v>Handed over</x:v>
      </x:c>
    </x:row>
    <x:row r="2929" ht="34" customHeight="1">
      <x:c r="A2929" s="4" t="str">
        <x:v>RS-02928-E1</x:v>
      </x:c>
      <x:c r="B2929" s="4" t="str">
        <x:v>RS-02928</x:v>
      </x:c>
      <x:c r="C2929" s="8" t="n">
        <x:v>45459</x:v>
      </x:c>
      <x:c r="D2929" s="4" t="str">
        <x:v>Sales operations manager</x:v>
      </x:c>
      <x:c r="E2929" s="4" t="str">
        <x:v>ERP form</x:v>
      </x:c>
      <x:c r="F2929" s="4" t="str">
        <x:v>Record captured</x:v>
      </x:c>
      <x:c r="G2929" s="4" t="str">
        <x:v>Handed over</x:v>
      </x:c>
    </x:row>
    <x:row r="2930" ht="34" customHeight="1">
      <x:c r="A2930" s="4" t="str">
        <x:v>RS-02929-E1</x:v>
      </x:c>
      <x:c r="B2930" s="4" t="str">
        <x:v>RS-02929</x:v>
      </x:c>
      <x:c r="C2930" s="8" t="n">
        <x:v>45460</x:v>
      </x:c>
      <x:c r="D2930" s="4" t="str">
        <x:v>Sales operations manager</x:v>
      </x:c>
      <x:c r="E2930" s="4" t="str">
        <x:v>Spreadsheet import</x:v>
      </x:c>
      <x:c r="F2930" s="4" t="str">
        <x:v>Record captured</x:v>
      </x:c>
      <x:c r="G2930" s="4" t="str">
        <x:v>Agreement signed</x:v>
      </x:c>
    </x:row>
    <x:row r="2931" ht="34" customHeight="1">
      <x:c r="A2931" s="4" t="str">
        <x:v>RS-02930-E1</x:v>
      </x:c>
      <x:c r="B2931" s="4" t="str">
        <x:v>RS-02930</x:v>
      </x:c>
      <x:c r="C2931" s="8" t="n">
        <x:v>45461</x:v>
      </x:c>
      <x:c r="D2931" s="4" t="str">
        <x:v>Sales operations manager</x:v>
      </x:c>
      <x:c r="E2931" s="4" t="str">
        <x:v>Paper transcribed</x:v>
      </x:c>
      <x:c r="F2931" s="4" t="str">
        <x:v>Record captured</x:v>
      </x:c>
      <x:c r="G2931" s="4" t="str">
        <x:v>Enquiry</x:v>
      </x:c>
    </x:row>
    <x:row r="2932" ht="34" customHeight="1">
      <x:c r="A2932" s="4" t="str">
        <x:v>RS-02931-E1</x:v>
      </x:c>
      <x:c r="B2932" s="4" t="str">
        <x:v>RS-02931</x:v>
      </x:c>
      <x:c r="C2932" s="8" t="n">
        <x:v>45462</x:v>
      </x:c>
      <x:c r="D2932" s="4" t="str">
        <x:v>Sales operations manager</x:v>
      </x:c>
      <x:c r="E2932" s="4" t="str">
        <x:v>Spreadsheet import</x:v>
      </x:c>
      <x:c r="F2932" s="4" t="str">
        <x:v>Record captured</x:v>
      </x:c>
      <x:c r="G2932" s="4" t="str">
        <x:v>Handed over</x:v>
      </x:c>
    </x:row>
    <x:row r="2933" ht="34" customHeight="1">
      <x:c r="A2933" s="4" t="str">
        <x:v>RS-02932-E1</x:v>
      </x:c>
      <x:c r="B2933" s="4" t="str">
        <x:v>RS-02932</x:v>
      </x:c>
      <x:c r="C2933" s="8" t="n">
        <x:v>45463</x:v>
      </x:c>
      <x:c r="D2933" s="4" t="str">
        <x:v>Sales operations manager</x:v>
      </x:c>
      <x:c r="E2933" s="4" t="str">
        <x:v>Spreadsheet import</x:v>
      </x:c>
      <x:c r="F2933" s="4" t="str">
        <x:v>Record captured</x:v>
      </x:c>
      <x:c r="G2933" s="4" t="str">
        <x:v>Enquiry</x:v>
      </x:c>
    </x:row>
    <x:row r="2934" ht="34" customHeight="1">
      <x:c r="A2934" s="4" t="str">
        <x:v>RS-02933-E1</x:v>
      </x:c>
      <x:c r="B2934" s="4" t="str">
        <x:v>RS-02933</x:v>
      </x:c>
      <x:c r="C2934" s="8" t="n">
        <x:v>45464</x:v>
      </x:c>
      <x:c r="D2934" s="4" t="str">
        <x:v>Sales operations manager</x:v>
      </x:c>
      <x:c r="E2934" s="4" t="str">
        <x:v>WhatsApp transcribed</x:v>
      </x:c>
      <x:c r="F2934" s="4" t="str">
        <x:v>Record captured</x:v>
      </x:c>
      <x:c r="G2934" s="4" t="str">
        <x:v>Handed over</x:v>
      </x:c>
    </x:row>
    <x:row r="2935" ht="34" customHeight="1">
      <x:c r="A2935" s="4" t="str">
        <x:v>RS-02934-E1</x:v>
      </x:c>
      <x:c r="B2935" s="4" t="str">
        <x:v>RS-02934</x:v>
      </x:c>
      <x:c r="C2935" s="8" t="n">
        <x:v>45465</x:v>
      </x:c>
      <x:c r="D2935" s="4" t="str">
        <x:v>Sales operations manager</x:v>
      </x:c>
      <x:c r="E2935" s="4" t="str">
        <x:v>Paper transcribed</x:v>
      </x:c>
      <x:c r="F2935" s="4" t="str">
        <x:v>Record captured</x:v>
      </x:c>
      <x:c r="G2935" s="4" t="str">
        <x:v>Cancelled</x:v>
      </x:c>
    </x:row>
    <x:row r="2936" ht="34" customHeight="1">
      <x:c r="A2936" s="4" t="str">
        <x:v>RS-02935-E1</x:v>
      </x:c>
      <x:c r="B2936" s="4" t="str">
        <x:v>RS-02935</x:v>
      </x:c>
      <x:c r="C2936" s="8" t="n">
        <x:v>45466</x:v>
      </x:c>
      <x:c r="D2936" s="4" t="str">
        <x:v>Sales operations manager</x:v>
      </x:c>
      <x:c r="E2936" s="4" t="str">
        <x:v>WhatsApp transcribed</x:v>
      </x:c>
      <x:c r="F2936" s="4" t="str">
        <x:v>Record captured</x:v>
      </x:c>
      <x:c r="G2936" s="4" t="str">
        <x:v>Reserved</x:v>
      </x:c>
    </x:row>
    <x:row r="2937" ht="34" customHeight="1">
      <x:c r="A2937" s="4" t="str">
        <x:v>RS-02936-E1</x:v>
      </x:c>
      <x:c r="B2937" s="4" t="str">
        <x:v>RS-02936</x:v>
      </x:c>
      <x:c r="C2937" s="8" t="n">
        <x:v>45467</x:v>
      </x:c>
      <x:c r="D2937" s="4" t="str">
        <x:v>Sales operations manager</x:v>
      </x:c>
      <x:c r="E2937" s="4" t="str">
        <x:v>Paper transcribed</x:v>
      </x:c>
      <x:c r="F2937" s="4" t="str">
        <x:v>Record captured</x:v>
      </x:c>
      <x:c r="G2937" s="4" t="str">
        <x:v>Enquiry</x:v>
      </x:c>
    </x:row>
    <x:row r="2938" ht="34" customHeight="1">
      <x:c r="A2938" s="4" t="str">
        <x:v>RS-02937-E1</x:v>
      </x:c>
      <x:c r="B2938" s="4" t="str">
        <x:v>RS-02937</x:v>
      </x:c>
      <x:c r="C2938" s="8" t="n">
        <x:v>45468</x:v>
      </x:c>
      <x:c r="D2938" s="4" t="str">
        <x:v>Sales operations manager</x:v>
      </x:c>
      <x:c r="E2938" s="4" t="str">
        <x:v>ERP form</x:v>
      </x:c>
      <x:c r="F2938" s="4" t="str">
        <x:v>Record captured</x:v>
      </x:c>
      <x:c r="G2938" s="4" t="str">
        <x:v>Booked</x:v>
      </x:c>
    </x:row>
    <x:row r="2939" ht="34" customHeight="1">
      <x:c r="A2939" s="4" t="str">
        <x:v>RS-02938-E1</x:v>
      </x:c>
      <x:c r="B2939" s="4" t="str">
        <x:v>RS-02938</x:v>
      </x:c>
      <x:c r="C2939" s="8" t="n">
        <x:v>45469</x:v>
      </x:c>
      <x:c r="D2939" s="4" t="str">
        <x:v>Sales operations manager</x:v>
      </x:c>
      <x:c r="E2939" s="4" t="str">
        <x:v>WhatsApp transcribed</x:v>
      </x:c>
      <x:c r="F2939" s="4" t="str">
        <x:v>Record captured</x:v>
      </x:c>
      <x:c r="G2939" s="4" t="str">
        <x:v>Agreement signed</x:v>
      </x:c>
    </x:row>
    <x:row r="2940" ht="34" customHeight="1">
      <x:c r="A2940" s="4" t="str">
        <x:v>RS-02939-E1</x:v>
      </x:c>
      <x:c r="B2940" s="4" t="str">
        <x:v>RS-02939</x:v>
      </x:c>
      <x:c r="C2940" s="8" t="n">
        <x:v>45470</x:v>
      </x:c>
      <x:c r="D2940" s="4" t="str">
        <x:v>Sales operations manager</x:v>
      </x:c>
      <x:c r="E2940" s="4" t="str">
        <x:v>ERP form</x:v>
      </x:c>
      <x:c r="F2940" s="4" t="str">
        <x:v>Record captured</x:v>
      </x:c>
      <x:c r="G2940" s="4" t="str">
        <x:v>Agreement signed</x:v>
      </x:c>
    </x:row>
    <x:row r="2941" ht="34" customHeight="1">
      <x:c r="A2941" s="4" t="str">
        <x:v>RS-02940-E1</x:v>
      </x:c>
      <x:c r="B2941" s="4" t="str">
        <x:v>RS-02940</x:v>
      </x:c>
      <x:c r="C2941" s="8" t="n">
        <x:v>45471</x:v>
      </x:c>
      <x:c r="D2941" s="4" t="str">
        <x:v>Sales operations manager</x:v>
      </x:c>
      <x:c r="E2941" s="4" t="str">
        <x:v>Paper transcribed</x:v>
      </x:c>
      <x:c r="F2941" s="4" t="str">
        <x:v>Record captured</x:v>
      </x:c>
      <x:c r="G2941" s="4" t="str">
        <x:v>Reserved</x:v>
      </x:c>
    </x:row>
    <x:row r="2942" ht="34" customHeight="1">
      <x:c r="A2942" s="4" t="str">
        <x:v>RS-02941-E1</x:v>
      </x:c>
      <x:c r="B2942" s="4" t="str">
        <x:v>RS-02941</x:v>
      </x:c>
      <x:c r="C2942" s="8" t="n">
        <x:v>45444</x:v>
      </x:c>
      <x:c r="D2942" s="4" t="str">
        <x:v>Sales operations manager</x:v>
      </x:c>
      <x:c r="E2942" s="4" t="str">
        <x:v>Spreadsheet import</x:v>
      </x:c>
      <x:c r="F2942" s="4" t="str">
        <x:v>Record captured</x:v>
      </x:c>
      <x:c r="G2942" s="4" t="str">
        <x:v>Cancelled</x:v>
      </x:c>
    </x:row>
    <x:row r="2943" ht="34" customHeight="1">
      <x:c r="A2943" s="4" t="str">
        <x:v>RS-02942-E1</x:v>
      </x:c>
      <x:c r="B2943" s="4" t="str">
        <x:v>RS-02942</x:v>
      </x:c>
      <x:c r="C2943" s="8" t="n">
        <x:v>45445</x:v>
      </x:c>
      <x:c r="D2943" s="4" t="str">
        <x:v>Sales operations manager</x:v>
      </x:c>
      <x:c r="E2943" s="4" t="str">
        <x:v>WhatsApp transcribed</x:v>
      </x:c>
      <x:c r="F2943" s="4" t="str">
        <x:v>Record captured</x:v>
      </x:c>
      <x:c r="G2943" s="4" t="str">
        <x:v>Agreement signed</x:v>
      </x:c>
    </x:row>
    <x:row r="2944" ht="34" customHeight="1">
      <x:c r="A2944" s="4" t="str">
        <x:v>RS-02943-E1</x:v>
      </x:c>
      <x:c r="B2944" s="4" t="str">
        <x:v>RS-02943</x:v>
      </x:c>
      <x:c r="C2944" s="8" t="n">
        <x:v>45446</x:v>
      </x:c>
      <x:c r="D2944" s="4" t="str">
        <x:v>Sales operations manager</x:v>
      </x:c>
      <x:c r="E2944" s="4" t="str">
        <x:v>Paper transcribed</x:v>
      </x:c>
      <x:c r="F2944" s="4" t="str">
        <x:v>Record captured</x:v>
      </x:c>
      <x:c r="G2944" s="4" t="str">
        <x:v>Agreement signed</x:v>
      </x:c>
    </x:row>
    <x:row r="2945" ht="34" customHeight="1">
      <x:c r="A2945" s="4" t="str">
        <x:v>RS-02944-E1</x:v>
      </x:c>
      <x:c r="B2945" s="4" t="str">
        <x:v>RS-02944</x:v>
      </x:c>
      <x:c r="C2945" s="8" t="n">
        <x:v>45447</x:v>
      </x:c>
      <x:c r="D2945" s="4" t="str">
        <x:v>Sales operations manager</x:v>
      </x:c>
      <x:c r="E2945" s="4" t="str">
        <x:v>Spreadsheet import</x:v>
      </x:c>
      <x:c r="F2945" s="4" t="str">
        <x:v>Record captured</x:v>
      </x:c>
      <x:c r="G2945" s="4" t="str">
        <x:v>Handed over</x:v>
      </x:c>
    </x:row>
    <x:row r="2946" ht="34" customHeight="1">
      <x:c r="A2946" s="4" t="str">
        <x:v>RS-02945-E1</x:v>
      </x:c>
      <x:c r="B2946" s="4" t="str">
        <x:v>RS-02945</x:v>
      </x:c>
      <x:c r="C2946" s="8" t="n">
        <x:v>45448</x:v>
      </x:c>
      <x:c r="D2946" s="4" t="str">
        <x:v>Sales operations manager</x:v>
      </x:c>
      <x:c r="E2946" s="4" t="str">
        <x:v>ERP form</x:v>
      </x:c>
      <x:c r="F2946" s="4" t="str">
        <x:v>Record captured</x:v>
      </x:c>
      <x:c r="G2946" s="4" t="str">
        <x:v>Enquiry</x:v>
      </x:c>
    </x:row>
    <x:row r="2947" ht="34" customHeight="1">
      <x:c r="A2947" s="4" t="str">
        <x:v>RS-02946-E1</x:v>
      </x:c>
      <x:c r="B2947" s="4" t="str">
        <x:v>RS-02946</x:v>
      </x:c>
      <x:c r="C2947" s="8" t="n">
        <x:v>45449</x:v>
      </x:c>
      <x:c r="D2947" s="4" t="str">
        <x:v>Sales operations manager</x:v>
      </x:c>
      <x:c r="E2947" s="4" t="str">
        <x:v>Paper transcribed</x:v>
      </x:c>
      <x:c r="F2947" s="4" t="str">
        <x:v>Record captured</x:v>
      </x:c>
      <x:c r="G2947" s="4" t="str">
        <x:v>Cancelled</x:v>
      </x:c>
    </x:row>
    <x:row r="2948" ht="34" customHeight="1">
      <x:c r="A2948" s="4" t="str">
        <x:v>RS-02947-E1</x:v>
      </x:c>
      <x:c r="B2948" s="4" t="str">
        <x:v>RS-02947</x:v>
      </x:c>
      <x:c r="C2948" s="8" t="n">
        <x:v>45450</x:v>
      </x:c>
      <x:c r="D2948" s="4" t="str">
        <x:v>Sales operations manager</x:v>
      </x:c>
      <x:c r="E2948" s="4" t="str">
        <x:v>Spreadsheet import</x:v>
      </x:c>
      <x:c r="F2948" s="4" t="str">
        <x:v>Record captured</x:v>
      </x:c>
      <x:c r="G2948" s="4" t="str">
        <x:v>Reserved</x:v>
      </x:c>
    </x:row>
    <x:row r="2949" ht="34" customHeight="1">
      <x:c r="A2949" s="4" t="str">
        <x:v>RS-02948-E1</x:v>
      </x:c>
      <x:c r="B2949" s="4" t="str">
        <x:v>RS-02948</x:v>
      </x:c>
      <x:c r="C2949" s="8" t="n">
        <x:v>45451</x:v>
      </x:c>
      <x:c r="D2949" s="4" t="str">
        <x:v>Sales operations manager</x:v>
      </x:c>
      <x:c r="E2949" s="4" t="str">
        <x:v>Paper transcribed</x:v>
      </x:c>
      <x:c r="F2949" s="4" t="str">
        <x:v>Record captured</x:v>
      </x:c>
      <x:c r="G2949" s="4" t="str">
        <x:v>Enquiry</x:v>
      </x:c>
    </x:row>
    <x:row r="2950" ht="34" customHeight="1">
      <x:c r="A2950" s="4" t="str">
        <x:v>RS-02949-E1</x:v>
      </x:c>
      <x:c r="B2950" s="4" t="str">
        <x:v>RS-02949</x:v>
      </x:c>
      <x:c r="C2950" s="8" t="n">
        <x:v>45452</x:v>
      </x:c>
      <x:c r="D2950" s="4" t="str">
        <x:v>Sales operations manager</x:v>
      </x:c>
      <x:c r="E2950" s="4" t="str">
        <x:v>Paper transcribed</x:v>
      </x:c>
      <x:c r="F2950" s="4" t="str">
        <x:v>Record captured</x:v>
      </x:c>
      <x:c r="G2950" s="4" t="str">
        <x:v>Cancelled</x:v>
      </x:c>
    </x:row>
    <x:row r="2951" ht="34" customHeight="1">
      <x:c r="A2951" s="4" t="str">
        <x:v>RS-02950-E1</x:v>
      </x:c>
      <x:c r="B2951" s="4" t="str">
        <x:v>RS-02950</x:v>
      </x:c>
      <x:c r="C2951" s="8" t="n">
        <x:v>45453</x:v>
      </x:c>
      <x:c r="D2951" s="4" t="str">
        <x:v>Sales operations manager</x:v>
      </x:c>
      <x:c r="E2951" s="4" t="str">
        <x:v>WhatsApp transcribed</x:v>
      </x:c>
      <x:c r="F2951" s="4" t="str">
        <x:v>Record captured</x:v>
      </x:c>
      <x:c r="G2951" s="4" t="str">
        <x:v>Handed over</x:v>
      </x:c>
    </x:row>
    <x:row r="2952" ht="34" customHeight="1">
      <x:c r="A2952" s="4" t="str">
        <x:v>RS-02951-E1</x:v>
      </x:c>
      <x:c r="B2952" s="4" t="str">
        <x:v>RS-02951</x:v>
      </x:c>
      <x:c r="C2952" s="8" t="n">
        <x:v>45454</x:v>
      </x:c>
      <x:c r="D2952" s="4" t="str">
        <x:v>Sales operations manager</x:v>
      </x:c>
      <x:c r="E2952" s="4" t="str">
        <x:v>Spreadsheet import</x:v>
      </x:c>
      <x:c r="F2952" s="4" t="str">
        <x:v>Record captured</x:v>
      </x:c>
      <x:c r="G2952" s="4" t="str">
        <x:v>Handed over</x:v>
      </x:c>
    </x:row>
    <x:row r="2953" ht="34" customHeight="1">
      <x:c r="A2953" s="4" t="str">
        <x:v>RS-02952-E1</x:v>
      </x:c>
      <x:c r="B2953" s="4" t="str">
        <x:v>RS-02952</x:v>
      </x:c>
      <x:c r="C2953" s="8" t="n">
        <x:v>45455</x:v>
      </x:c>
      <x:c r="D2953" s="4" t="str">
        <x:v>Sales operations manager</x:v>
      </x:c>
      <x:c r="E2953" s="4" t="str">
        <x:v>Spreadsheet import</x:v>
      </x:c>
      <x:c r="F2953" s="4" t="str">
        <x:v>Record captured</x:v>
      </x:c>
      <x:c r="G2953" s="4" t="str">
        <x:v>Reserved</x:v>
      </x:c>
    </x:row>
    <x:row r="2954" ht="34" customHeight="1">
      <x:c r="A2954" s="4" t="str">
        <x:v>RS-02953-E1</x:v>
      </x:c>
      <x:c r="B2954" s="4" t="str">
        <x:v>RS-02953</x:v>
      </x:c>
      <x:c r="C2954" s="8" t="n">
        <x:v>45456</x:v>
      </x:c>
      <x:c r="D2954" s="4" t="str">
        <x:v>Sales operations manager</x:v>
      </x:c>
      <x:c r="E2954" s="4" t="str">
        <x:v>Spreadsheet import</x:v>
      </x:c>
      <x:c r="F2954" s="4" t="str">
        <x:v>Record captured</x:v>
      </x:c>
      <x:c r="G2954" s="4" t="str">
        <x:v>Handed over</x:v>
      </x:c>
    </x:row>
    <x:row r="2955" ht="34" customHeight="1">
      <x:c r="A2955" s="4" t="str">
        <x:v>RS-02954-E1</x:v>
      </x:c>
      <x:c r="B2955" s="4" t="str">
        <x:v>RS-02954</x:v>
      </x:c>
      <x:c r="C2955" s="8" t="n">
        <x:v>45457</x:v>
      </x:c>
      <x:c r="D2955" s="4" t="str">
        <x:v>Sales operations manager</x:v>
      </x:c>
      <x:c r="E2955" s="4" t="str">
        <x:v>Paper transcribed</x:v>
      </x:c>
      <x:c r="F2955" s="4" t="str">
        <x:v>Record captured</x:v>
      </x:c>
      <x:c r="G2955" s="4" t="str">
        <x:v>Cancelled</x:v>
      </x:c>
    </x:row>
    <x:row r="2956" ht="34" customHeight="1">
      <x:c r="A2956" s="4" t="str">
        <x:v>RS-02955-E1</x:v>
      </x:c>
      <x:c r="B2956" s="4" t="str">
        <x:v>RS-02955</x:v>
      </x:c>
      <x:c r="C2956" s="8" t="n">
        <x:v>45458</x:v>
      </x:c>
      <x:c r="D2956" s="4" t="str">
        <x:v>Sales operations manager</x:v>
      </x:c>
      <x:c r="E2956" s="4" t="str">
        <x:v>WhatsApp transcribed</x:v>
      </x:c>
      <x:c r="F2956" s="4" t="str">
        <x:v>Record captured</x:v>
      </x:c>
      <x:c r="G2956" s="4" t="str">
        <x:v>Agreement signed</x:v>
      </x:c>
    </x:row>
    <x:row r="2957" ht="34" customHeight="1">
      <x:c r="A2957" s="4" t="str">
        <x:v>RS-02956-E1</x:v>
      </x:c>
      <x:c r="B2957" s="4" t="str">
        <x:v>RS-02956</x:v>
      </x:c>
      <x:c r="C2957" s="8" t="n">
        <x:v>45459</x:v>
      </x:c>
      <x:c r="D2957" s="4" t="str">
        <x:v>Sales operations manager</x:v>
      </x:c>
      <x:c r="E2957" s="4" t="str">
        <x:v>Spreadsheet import</x:v>
      </x:c>
      <x:c r="F2957" s="4" t="str">
        <x:v>Record captured</x:v>
      </x:c>
      <x:c r="G2957" s="4" t="str">
        <x:v>Enquiry</x:v>
      </x:c>
    </x:row>
    <x:row r="2958" ht="34" customHeight="1">
      <x:c r="A2958" s="4" t="str">
        <x:v>RS-02957-E1</x:v>
      </x:c>
      <x:c r="B2958" s="4" t="str">
        <x:v>RS-02957</x:v>
      </x:c>
      <x:c r="C2958" s="8" t="n">
        <x:v>45460</x:v>
      </x:c>
      <x:c r="D2958" s="4" t="str">
        <x:v>Sales operations manager</x:v>
      </x:c>
      <x:c r="E2958" s="4" t="str">
        <x:v>Spreadsheet import</x:v>
      </x:c>
      <x:c r="F2958" s="4" t="str">
        <x:v>Record captured</x:v>
      </x:c>
      <x:c r="G2958" s="4" t="str">
        <x:v>Enquiry</x:v>
      </x:c>
    </x:row>
    <x:row r="2959" ht="34" customHeight="1">
      <x:c r="A2959" s="4" t="str">
        <x:v>RS-02958-E1</x:v>
      </x:c>
      <x:c r="B2959" s="4" t="str">
        <x:v>RS-02958</x:v>
      </x:c>
      <x:c r="C2959" s="8" t="n">
        <x:v>45461</x:v>
      </x:c>
      <x:c r="D2959" s="4" t="str">
        <x:v>Sales operations manager</x:v>
      </x:c>
      <x:c r="E2959" s="4" t="str">
        <x:v>WhatsApp transcribed</x:v>
      </x:c>
      <x:c r="F2959" s="4" t="str">
        <x:v>Record captured</x:v>
      </x:c>
      <x:c r="G2959" s="4" t="str">
        <x:v>Booked</x:v>
      </x:c>
    </x:row>
    <x:row r="2960" ht="34" customHeight="1">
      <x:c r="A2960" s="4" t="str">
        <x:v>RS-02959-E1</x:v>
      </x:c>
      <x:c r="B2960" s="4" t="str">
        <x:v>RS-02959</x:v>
      </x:c>
      <x:c r="C2960" s="8" t="n">
        <x:v>45462</x:v>
      </x:c>
      <x:c r="D2960" s="4" t="str">
        <x:v>Sales operations manager</x:v>
      </x:c>
      <x:c r="E2960" s="4" t="str">
        <x:v>Spreadsheet import</x:v>
      </x:c>
      <x:c r="F2960" s="4" t="str">
        <x:v>Record captured</x:v>
      </x:c>
      <x:c r="G2960" s="4" t="str">
        <x:v>Reserved</x:v>
      </x:c>
    </x:row>
    <x:row r="2961" ht="34" customHeight="1">
      <x:c r="A2961" s="4" t="str">
        <x:v>RS-02960-E1</x:v>
      </x:c>
      <x:c r="B2961" s="4" t="str">
        <x:v>RS-02960</x:v>
      </x:c>
      <x:c r="C2961" s="8" t="n">
        <x:v>45463</x:v>
      </x:c>
      <x:c r="D2961" s="4" t="str">
        <x:v>Sales operations manager</x:v>
      </x:c>
      <x:c r="E2961" s="4" t="str">
        <x:v>Paper transcribed</x:v>
      </x:c>
      <x:c r="F2961" s="4" t="str">
        <x:v>Record captured</x:v>
      </x:c>
      <x:c r="G2961" s="4" t="str">
        <x:v>Handed over</x:v>
      </x:c>
    </x:row>
    <x:row r="2962" ht="34" customHeight="1">
      <x:c r="A2962" s="4" t="str">
        <x:v>RS-02961-E1</x:v>
      </x:c>
      <x:c r="B2962" s="4" t="str">
        <x:v>RS-02961</x:v>
      </x:c>
      <x:c r="C2962" s="8" t="n">
        <x:v>45464</x:v>
      </x:c>
      <x:c r="D2962" s="4" t="str">
        <x:v>Sales operations manager</x:v>
      </x:c>
      <x:c r="E2962" s="4" t="str">
        <x:v>ERP form</x:v>
      </x:c>
      <x:c r="F2962" s="4" t="str">
        <x:v>Record captured</x:v>
      </x:c>
      <x:c r="G2962" s="4" t="str">
        <x:v>Booked</x:v>
      </x:c>
    </x:row>
    <x:row r="2963" ht="34" customHeight="1">
      <x:c r="A2963" s="4" t="str">
        <x:v>RS-02962-E1</x:v>
      </x:c>
      <x:c r="B2963" s="4" t="str">
        <x:v>RS-02962</x:v>
      </x:c>
      <x:c r="C2963" s="8" t="n">
        <x:v>45465</x:v>
      </x:c>
      <x:c r="D2963" s="4" t="str">
        <x:v>Sales operations manager</x:v>
      </x:c>
      <x:c r="E2963" s="4" t="str">
        <x:v>ERP form</x:v>
      </x:c>
      <x:c r="F2963" s="4" t="str">
        <x:v>Record captured</x:v>
      </x:c>
      <x:c r="G2963" s="4" t="str">
        <x:v>Agreement signed</x:v>
      </x:c>
    </x:row>
    <x:row r="2964" ht="34" customHeight="1">
      <x:c r="A2964" s="4" t="str">
        <x:v>RS-02963-E1</x:v>
      </x:c>
      <x:c r="B2964" s="4" t="str">
        <x:v>RS-02963</x:v>
      </x:c>
      <x:c r="C2964" s="8" t="n">
        <x:v>45466</x:v>
      </x:c>
      <x:c r="D2964" s="4" t="str">
        <x:v>Sales operations manager</x:v>
      </x:c>
      <x:c r="E2964" s="4" t="str">
        <x:v>WhatsApp transcribed</x:v>
      </x:c>
      <x:c r="F2964" s="4" t="str">
        <x:v>Record captured</x:v>
      </x:c>
      <x:c r="G2964" s="4" t="str">
        <x:v>Agreement signed</x:v>
      </x:c>
    </x:row>
    <x:row r="2965" ht="34" customHeight="1">
      <x:c r="A2965" s="4" t="str">
        <x:v>RS-02964-E1</x:v>
      </x:c>
      <x:c r="B2965" s="4" t="str">
        <x:v>RS-02964</x:v>
      </x:c>
      <x:c r="C2965" s="8" t="n">
        <x:v>45467</x:v>
      </x:c>
      <x:c r="D2965" s="4" t="str">
        <x:v>Sales operations manager</x:v>
      </x:c>
      <x:c r="E2965" s="4" t="str">
        <x:v>WhatsApp transcribed</x:v>
      </x:c>
      <x:c r="F2965" s="4" t="str">
        <x:v>Record captured</x:v>
      </x:c>
      <x:c r="G2965" s="4" t="str">
        <x:v>Handed over</x:v>
      </x:c>
    </x:row>
    <x:row r="2966" ht="34" customHeight="1">
      <x:c r="A2966" s="4" t="str">
        <x:v>RS-02965-E1</x:v>
      </x:c>
      <x:c r="B2966" s="4" t="str">
        <x:v>RS-02965</x:v>
      </x:c>
      <x:c r="C2966" s="8" t="n">
        <x:v>45468</x:v>
      </x:c>
      <x:c r="D2966" s="4" t="str">
        <x:v>Sales operations manager</x:v>
      </x:c>
      <x:c r="E2966" s="4" t="str">
        <x:v>Paper transcribed</x:v>
      </x:c>
      <x:c r="F2966" s="4" t="str">
        <x:v>Record captured</x:v>
      </x:c>
      <x:c r="G2966" s="4" t="str">
        <x:v>Agreement signed</x:v>
      </x:c>
    </x:row>
    <x:row r="2967" ht="34" customHeight="1">
      <x:c r="A2967" s="4" t="str">
        <x:v>RS-02966-E1</x:v>
      </x:c>
      <x:c r="B2967" s="4" t="str">
        <x:v>RS-02966</x:v>
      </x:c>
      <x:c r="C2967" s="8" t="n">
        <x:v>45469</x:v>
      </x:c>
      <x:c r="D2967" s="4" t="str">
        <x:v>Sales operations manager</x:v>
      </x:c>
      <x:c r="E2967" s="4" t="str">
        <x:v>Spreadsheet import</x:v>
      </x:c>
      <x:c r="F2967" s="4" t="str">
        <x:v>Record captured</x:v>
      </x:c>
      <x:c r="G2967" s="4" t="str">
        <x:v>Handed over</x:v>
      </x:c>
    </x:row>
    <x:row r="2968" ht="34" customHeight="1">
      <x:c r="A2968" s="4" t="str">
        <x:v>RS-02967-E1</x:v>
      </x:c>
      <x:c r="B2968" s="4" t="str">
        <x:v>RS-02967</x:v>
      </x:c>
      <x:c r="C2968" s="8" t="n">
        <x:v>45470</x:v>
      </x:c>
      <x:c r="D2968" s="4" t="str">
        <x:v>Sales operations manager</x:v>
      </x:c>
      <x:c r="E2968" s="4" t="str">
        <x:v>Spreadsheet import</x:v>
      </x:c>
      <x:c r="F2968" s="4" t="str">
        <x:v>Record captured</x:v>
      </x:c>
      <x:c r="G2968" s="4" t="str">
        <x:v>Enquiry</x:v>
      </x:c>
    </x:row>
    <x:row r="2969" ht="34" customHeight="1">
      <x:c r="A2969" s="4" t="str">
        <x:v>RS-02968-E1</x:v>
      </x:c>
      <x:c r="B2969" s="4" t="str">
        <x:v>RS-02968</x:v>
      </x:c>
      <x:c r="C2969" s="8" t="n">
        <x:v>45471</x:v>
      </x:c>
      <x:c r="D2969" s="4" t="str">
        <x:v>Sales operations manager</x:v>
      </x:c>
      <x:c r="E2969" s="4" t="str">
        <x:v>ERP form</x:v>
      </x:c>
      <x:c r="F2969" s="4" t="str">
        <x:v>Record captured</x:v>
      </x:c>
      <x:c r="G2969" s="4" t="str">
        <x:v>Cancelled</x:v>
      </x:c>
    </x:row>
    <x:row r="2970" ht="34" customHeight="1">
      <x:c r="A2970" s="4" t="str">
        <x:v>RS-02969-E1</x:v>
      </x:c>
      <x:c r="B2970" s="4" t="str">
        <x:v>RS-02969</x:v>
      </x:c>
      <x:c r="C2970" s="8" t="n">
        <x:v>45444</x:v>
      </x:c>
      <x:c r="D2970" s="4" t="str">
        <x:v>Sales operations manager</x:v>
      </x:c>
      <x:c r="E2970" s="4" t="str">
        <x:v>Paper transcribed</x:v>
      </x:c>
      <x:c r="F2970" s="4" t="str">
        <x:v>Record captured</x:v>
      </x:c>
      <x:c r="G2970" s="4" t="str">
        <x:v>Enquiry</x:v>
      </x:c>
    </x:row>
    <x:row r="2971" ht="34" customHeight="1">
      <x:c r="A2971" s="4" t="str">
        <x:v>RS-02970-E1</x:v>
      </x:c>
      <x:c r="B2971" s="4" t="str">
        <x:v>RS-02970</x:v>
      </x:c>
      <x:c r="C2971" s="8" t="n">
        <x:v>45445</x:v>
      </x:c>
      <x:c r="D2971" s="4" t="str">
        <x:v>Sales operations manager</x:v>
      </x:c>
      <x:c r="E2971" s="4" t="str">
        <x:v>Paper transcribed</x:v>
      </x:c>
      <x:c r="F2971" s="4" t="str">
        <x:v>Record captured</x:v>
      </x:c>
      <x:c r="G2971" s="4" t="str">
        <x:v>Agreement signed</x:v>
      </x:c>
    </x:row>
    <x:row r="2972" ht="34" customHeight="1">
      <x:c r="A2972" s="4" t="str">
        <x:v>RS-02971-E1</x:v>
      </x:c>
      <x:c r="B2972" s="4" t="str">
        <x:v>RS-02971</x:v>
      </x:c>
      <x:c r="C2972" s="8" t="n">
        <x:v>45446</x:v>
      </x:c>
      <x:c r="D2972" s="4" t="str">
        <x:v>Sales operations manager</x:v>
      </x:c>
      <x:c r="E2972" s="4" t="str">
        <x:v>WhatsApp transcribed</x:v>
      </x:c>
      <x:c r="F2972" s="4" t="str">
        <x:v>Record captured</x:v>
      </x:c>
      <x:c r="G2972" s="4" t="str">
        <x:v>Reserved</x:v>
      </x:c>
    </x:row>
    <x:row r="2973" ht="34" customHeight="1">
      <x:c r="A2973" s="4" t="str">
        <x:v>RS-02972-E1</x:v>
      </x:c>
      <x:c r="B2973" s="4" t="str">
        <x:v>RS-02972</x:v>
      </x:c>
      <x:c r="C2973" s="8" t="n">
        <x:v>45447</x:v>
      </x:c>
      <x:c r="D2973" s="4" t="str">
        <x:v>Sales operations manager</x:v>
      </x:c>
      <x:c r="E2973" s="4" t="str">
        <x:v>Spreadsheet import</x:v>
      </x:c>
      <x:c r="F2973" s="4" t="str">
        <x:v>Record captured</x:v>
      </x:c>
      <x:c r="G2973" s="4" t="str">
        <x:v>Booked</x:v>
      </x:c>
    </x:row>
    <x:row r="2974" ht="34" customHeight="1">
      <x:c r="A2974" s="4" t="str">
        <x:v>RS-02973-E1</x:v>
      </x:c>
      <x:c r="B2974" s="4" t="str">
        <x:v>RS-02973</x:v>
      </x:c>
      <x:c r="C2974" s="8" t="n">
        <x:v>45448</x:v>
      </x:c>
      <x:c r="D2974" s="4" t="str">
        <x:v>Sales operations manager</x:v>
      </x:c>
      <x:c r="E2974" s="4" t="str">
        <x:v>WhatsApp transcribed</x:v>
      </x:c>
      <x:c r="F2974" s="4" t="str">
        <x:v>Record captured</x:v>
      </x:c>
      <x:c r="G2974" s="4" t="str">
        <x:v>Cancelled</x:v>
      </x:c>
    </x:row>
    <x:row r="2975" ht="34" customHeight="1">
      <x:c r="A2975" s="4" t="str">
        <x:v>RS-02974-E1</x:v>
      </x:c>
      <x:c r="B2975" s="4" t="str">
        <x:v>RS-02974</x:v>
      </x:c>
      <x:c r="C2975" s="8" t="n">
        <x:v>45449</x:v>
      </x:c>
      <x:c r="D2975" s="4" t="str">
        <x:v>Sales operations manager</x:v>
      </x:c>
      <x:c r="E2975" s="4" t="str">
        <x:v>ERP form</x:v>
      </x:c>
      <x:c r="F2975" s="4" t="str">
        <x:v>Record captured</x:v>
      </x:c>
      <x:c r="G2975" s="4" t="str">
        <x:v>Enquiry</x:v>
      </x:c>
    </x:row>
    <x:row r="2976" ht="34" customHeight="1">
      <x:c r="A2976" s="4" t="str">
        <x:v>RS-02975-E1</x:v>
      </x:c>
      <x:c r="B2976" s="4" t="str">
        <x:v>RS-02975</x:v>
      </x:c>
      <x:c r="C2976" s="8" t="n">
        <x:v>45450</x:v>
      </x:c>
      <x:c r="D2976" s="4" t="str">
        <x:v>Sales operations manager</x:v>
      </x:c>
      <x:c r="E2976" s="4" t="str">
        <x:v>ERP form</x:v>
      </x:c>
      <x:c r="F2976" s="4" t="str">
        <x:v>Record captured</x:v>
      </x:c>
      <x:c r="G2976" s="4" t="str">
        <x:v>Agreement signed</x:v>
      </x:c>
    </x:row>
    <x:row r="2977" ht="34" customHeight="1">
      <x:c r="A2977" s="4" t="str">
        <x:v>RS-02976-E1</x:v>
      </x:c>
      <x:c r="B2977" s="4" t="str">
        <x:v>RS-02976</x:v>
      </x:c>
      <x:c r="C2977" s="8" t="n">
        <x:v>45451</x:v>
      </x:c>
      <x:c r="D2977" s="4" t="str">
        <x:v>Sales operations manager</x:v>
      </x:c>
      <x:c r="E2977" s="4" t="str">
        <x:v>Spreadsheet import</x:v>
      </x:c>
      <x:c r="F2977" s="4" t="str">
        <x:v>Record captured</x:v>
      </x:c>
      <x:c r="G2977" s="4" t="str">
        <x:v>Enquiry</x:v>
      </x:c>
    </x:row>
    <x:row r="2978" ht="34" customHeight="1">
      <x:c r="A2978" s="4" t="str">
        <x:v>RS-02977-E1</x:v>
      </x:c>
      <x:c r="B2978" s="4" t="str">
        <x:v>RS-02977</x:v>
      </x:c>
      <x:c r="C2978" s="8" t="n">
        <x:v>45452</x:v>
      </x:c>
      <x:c r="D2978" s="4" t="str">
        <x:v>Sales operations manager</x:v>
      </x:c>
      <x:c r="E2978" s="4" t="str">
        <x:v>Spreadsheet import</x:v>
      </x:c>
      <x:c r="F2978" s="4" t="str">
        <x:v>Record captured</x:v>
      </x:c>
      <x:c r="G2978" s="4" t="str">
        <x:v>Booked</x:v>
      </x:c>
    </x:row>
    <x:row r="2979" ht="34" customHeight="1">
      <x:c r="A2979" s="4" t="str">
        <x:v>RS-02978-E1</x:v>
      </x:c>
      <x:c r="B2979" s="4" t="str">
        <x:v>RS-02978</x:v>
      </x:c>
      <x:c r="C2979" s="8" t="n">
        <x:v>45453</x:v>
      </x:c>
      <x:c r="D2979" s="4" t="str">
        <x:v>Sales operations manager</x:v>
      </x:c>
      <x:c r="E2979" s="4" t="str">
        <x:v>WhatsApp transcribed</x:v>
      </x:c>
      <x:c r="F2979" s="4" t="str">
        <x:v>Record captured</x:v>
      </x:c>
      <x:c r="G2979" s="4" t="str">
        <x:v>Handed over</x:v>
      </x:c>
    </x:row>
    <x:row r="2980" ht="34" customHeight="1">
      <x:c r="A2980" s="4" t="str">
        <x:v>RS-02979-E1</x:v>
      </x:c>
      <x:c r="B2980" s="4" t="str">
        <x:v>RS-02979</x:v>
      </x:c>
      <x:c r="C2980" s="8" t="n">
        <x:v>45454</x:v>
      </x:c>
      <x:c r="D2980" s="4" t="str">
        <x:v>Sales operations manager</x:v>
      </x:c>
      <x:c r="E2980" s="4" t="str">
        <x:v>ERP form</x:v>
      </x:c>
      <x:c r="F2980" s="4" t="str">
        <x:v>Record captured</x:v>
      </x:c>
      <x:c r="G2980" s="4" t="str">
        <x:v>Enquiry</x:v>
      </x:c>
    </x:row>
    <x:row r="2981" ht="34" customHeight="1">
      <x:c r="A2981" s="4" t="str">
        <x:v>RS-02980-E1</x:v>
      </x:c>
      <x:c r="B2981" s="4" t="str">
        <x:v>RS-02980</x:v>
      </x:c>
      <x:c r="C2981" s="8" t="n">
        <x:v>45455</x:v>
      </x:c>
      <x:c r="D2981" s="4" t="str">
        <x:v>Sales operations manager</x:v>
      </x:c>
      <x:c r="E2981" s="4" t="str">
        <x:v>WhatsApp transcribed</x:v>
      </x:c>
      <x:c r="F2981" s="4" t="str">
        <x:v>Record captured</x:v>
      </x:c>
      <x:c r="G2981" s="4" t="str">
        <x:v>Agreement signed</x:v>
      </x:c>
    </x:row>
    <x:row r="2982" ht="34" customHeight="1">
      <x:c r="A2982" s="4" t="str">
        <x:v>RS-02981-E1</x:v>
      </x:c>
      <x:c r="B2982" s="4" t="str">
        <x:v>RS-02981</x:v>
      </x:c>
      <x:c r="C2982" s="8" t="n">
        <x:v>45456</x:v>
      </x:c>
      <x:c r="D2982" s="4" t="str">
        <x:v>Sales operations manager</x:v>
      </x:c>
      <x:c r="E2982" s="4" t="str">
        <x:v>Spreadsheet import</x:v>
      </x:c>
      <x:c r="F2982" s="4" t="str">
        <x:v>Record captured</x:v>
      </x:c>
      <x:c r="G2982" s="4" t="str">
        <x:v>Cancelled</x:v>
      </x:c>
    </x:row>
    <x:row r="2983" ht="34" customHeight="1">
      <x:c r="A2983" s="4" t="str">
        <x:v>RS-02982-E1</x:v>
      </x:c>
      <x:c r="B2983" s="4" t="str">
        <x:v>RS-02982</x:v>
      </x:c>
      <x:c r="C2983" s="8" t="n">
        <x:v>45457</x:v>
      </x:c>
      <x:c r="D2983" s="4" t="str">
        <x:v>Sales operations manager</x:v>
      </x:c>
      <x:c r="E2983" s="4" t="str">
        <x:v>Paper transcribed</x:v>
      </x:c>
      <x:c r="F2983" s="4" t="str">
        <x:v>Record captured</x:v>
      </x:c>
      <x:c r="G2983" s="4" t="str">
        <x:v>Cancelled</x:v>
      </x:c>
    </x:row>
    <x:row r="2984" ht="34" customHeight="1">
      <x:c r="A2984" s="4" t="str">
        <x:v>RS-02983-E1</x:v>
      </x:c>
      <x:c r="B2984" s="4" t="str">
        <x:v>RS-02983</x:v>
      </x:c>
      <x:c r="C2984" s="8" t="n">
        <x:v>45458</x:v>
      </x:c>
      <x:c r="D2984" s="4" t="str">
        <x:v>Sales operations manager</x:v>
      </x:c>
      <x:c r="E2984" s="4" t="str">
        <x:v>Paper transcribed</x:v>
      </x:c>
      <x:c r="F2984" s="4" t="str">
        <x:v>Record captured</x:v>
      </x:c>
      <x:c r="G2984" s="4" t="str">
        <x:v>Handed over</x:v>
      </x:c>
    </x:row>
    <x:row r="2985" ht="34" customHeight="1">
      <x:c r="A2985" s="4" t="str">
        <x:v>RS-02984-E1</x:v>
      </x:c>
      <x:c r="B2985" s="4" t="str">
        <x:v>RS-02984</x:v>
      </x:c>
      <x:c r="C2985" s="8" t="n">
        <x:v>45459</x:v>
      </x:c>
      <x:c r="D2985" s="4" t="str">
        <x:v>Sales operations manager</x:v>
      </x:c>
      <x:c r="E2985" s="4" t="str">
        <x:v>Spreadsheet import</x:v>
      </x:c>
      <x:c r="F2985" s="4" t="str">
        <x:v>Record captured</x:v>
      </x:c>
      <x:c r="G2985" s="4" t="str">
        <x:v>Handed over</x:v>
      </x:c>
    </x:row>
    <x:row r="2986" ht="34" customHeight="1">
      <x:c r="A2986" s="4" t="str">
        <x:v>RS-02985-E1</x:v>
      </x:c>
      <x:c r="B2986" s="4" t="str">
        <x:v>RS-02985</x:v>
      </x:c>
      <x:c r="C2986" s="8" t="n">
        <x:v>45460</x:v>
      </x:c>
      <x:c r="D2986" s="4" t="str">
        <x:v>Sales operations manager</x:v>
      </x:c>
      <x:c r="E2986" s="4" t="str">
        <x:v>ERP form</x:v>
      </x:c>
      <x:c r="F2986" s="4" t="str">
        <x:v>Record captured</x:v>
      </x:c>
      <x:c r="G2986" s="4" t="str">
        <x:v>Agreement signed</x:v>
      </x:c>
    </x:row>
    <x:row r="2987" ht="34" customHeight="1">
      <x:c r="A2987" s="4" t="str">
        <x:v>RS-02986-E1</x:v>
      </x:c>
      <x:c r="B2987" s="4" t="str">
        <x:v>RS-02986</x:v>
      </x:c>
      <x:c r="C2987" s="8" t="n">
        <x:v>45461</x:v>
      </x:c>
      <x:c r="D2987" s="4" t="str">
        <x:v>Sales operations manager</x:v>
      </x:c>
      <x:c r="E2987" s="4" t="str">
        <x:v>Paper transcribed</x:v>
      </x:c>
      <x:c r="F2987" s="4" t="str">
        <x:v>Record captured</x:v>
      </x:c>
      <x:c r="G2987" s="4" t="str">
        <x:v>Booked</x:v>
      </x:c>
    </x:row>
    <x:row r="2988" ht="34" customHeight="1">
      <x:c r="A2988" s="4" t="str">
        <x:v>RS-02987-E1</x:v>
      </x:c>
      <x:c r="B2988" s="4" t="str">
        <x:v>RS-02987</x:v>
      </x:c>
      <x:c r="C2988" s="8" t="n">
        <x:v>45462</x:v>
      </x:c>
      <x:c r="D2988" s="4" t="str">
        <x:v>Sales operations manager</x:v>
      </x:c>
      <x:c r="E2988" s="4" t="str">
        <x:v>WhatsApp transcribed</x:v>
      </x:c>
      <x:c r="F2988" s="4" t="str">
        <x:v>Record captured</x:v>
      </x:c>
      <x:c r="G2988" s="4" t="str">
        <x:v>Cancelled</x:v>
      </x:c>
    </x:row>
    <x:row r="2989" ht="34" customHeight="1">
      <x:c r="A2989" s="4" t="str">
        <x:v>RS-02988-E1</x:v>
      </x:c>
      <x:c r="B2989" s="4" t="str">
        <x:v>RS-02988</x:v>
      </x:c>
      <x:c r="C2989" s="8" t="n">
        <x:v>45463</x:v>
      </x:c>
      <x:c r="D2989" s="4" t="str">
        <x:v>Sales operations manager</x:v>
      </x:c>
      <x:c r="E2989" s="4" t="str">
        <x:v>WhatsApp transcribed</x:v>
      </x:c>
      <x:c r="F2989" s="4" t="str">
        <x:v>Record captured</x:v>
      </x:c>
      <x:c r="G2989" s="4" t="str">
        <x:v>Booked</x:v>
      </x:c>
    </x:row>
    <x:row r="2990" ht="34" customHeight="1">
      <x:c r="A2990" s="4" t="str">
        <x:v>RS-02989-E1</x:v>
      </x:c>
      <x:c r="B2990" s="4" t="str">
        <x:v>RS-02989</x:v>
      </x:c>
      <x:c r="C2990" s="8" t="n">
        <x:v>45464</x:v>
      </x:c>
      <x:c r="D2990" s="4" t="str">
        <x:v>Sales operations manager</x:v>
      </x:c>
      <x:c r="E2990" s="4" t="str">
        <x:v>Paper transcribed</x:v>
      </x:c>
      <x:c r="F2990" s="4" t="str">
        <x:v>Record captured</x:v>
      </x:c>
      <x:c r="G2990" s="4" t="str">
        <x:v>Reserved</x:v>
      </x:c>
    </x:row>
    <x:row r="2991" ht="34" customHeight="1">
      <x:c r="A2991" s="4" t="str">
        <x:v>RS-02990-E1</x:v>
      </x:c>
      <x:c r="B2991" s="4" t="str">
        <x:v>RS-02990</x:v>
      </x:c>
      <x:c r="C2991" s="8" t="n">
        <x:v>45465</x:v>
      </x:c>
      <x:c r="D2991" s="4" t="str">
        <x:v>Sales operations manager</x:v>
      </x:c>
      <x:c r="E2991" s="4" t="str">
        <x:v>Paper transcribed</x:v>
      </x:c>
      <x:c r="F2991" s="4" t="str">
        <x:v>Record captured</x:v>
      </x:c>
      <x:c r="G2991" s="4" t="str">
        <x:v>Agreement signed</x:v>
      </x:c>
    </x:row>
    <x:row r="2992" ht="34" customHeight="1">
      <x:c r="A2992" s="4" t="str">
        <x:v>RS-02991-E1</x:v>
      </x:c>
      <x:c r="B2992" s="4" t="str">
        <x:v>RS-02991</x:v>
      </x:c>
      <x:c r="C2992" s="8" t="n">
        <x:v>45466</x:v>
      </x:c>
      <x:c r="D2992" s="4" t="str">
        <x:v>Sales operations manager</x:v>
      </x:c>
      <x:c r="E2992" s="4" t="str">
        <x:v>ERP form</x:v>
      </x:c>
      <x:c r="F2992" s="4" t="str">
        <x:v>Record captured</x:v>
      </x:c>
      <x:c r="G2992" s="4" t="str">
        <x:v>Reserved</x:v>
      </x:c>
    </x:row>
    <x:row r="2993" ht="34" customHeight="1">
      <x:c r="A2993" s="4" t="str">
        <x:v>RS-02992-E1</x:v>
      </x:c>
      <x:c r="B2993" s="4" t="str">
        <x:v>RS-02992</x:v>
      </x:c>
      <x:c r="C2993" s="8" t="n">
        <x:v>45467</x:v>
      </x:c>
      <x:c r="D2993" s="4" t="str">
        <x:v>Sales operations manager</x:v>
      </x:c>
      <x:c r="E2993" s="4" t="str">
        <x:v>ERP form</x:v>
      </x:c>
      <x:c r="F2993" s="4" t="str">
        <x:v>Record captured</x:v>
      </x:c>
      <x:c r="G2993" s="4" t="str">
        <x:v>Reserved</x:v>
      </x:c>
    </x:row>
    <x:row r="2994" ht="34" customHeight="1">
      <x:c r="A2994" s="4" t="str">
        <x:v>RS-02993-E1</x:v>
      </x:c>
      <x:c r="B2994" s="4" t="str">
        <x:v>RS-02993</x:v>
      </x:c>
      <x:c r="C2994" s="8" t="n">
        <x:v>45468</x:v>
      </x:c>
      <x:c r="D2994" s="4" t="str">
        <x:v>Sales operations manager</x:v>
      </x:c>
      <x:c r="E2994" s="4" t="str">
        <x:v>Spreadsheet import</x:v>
      </x:c>
      <x:c r="F2994" s="4" t="str">
        <x:v>Record captured</x:v>
      </x:c>
      <x:c r="G2994" s="4" t="str">
        <x:v>Cancelled</x:v>
      </x:c>
    </x:row>
    <x:row r="2995" ht="34" customHeight="1">
      <x:c r="A2995" s="4" t="str">
        <x:v>RS-02994-E1</x:v>
      </x:c>
      <x:c r="B2995" s="4" t="str">
        <x:v>RS-02994</x:v>
      </x:c>
      <x:c r="C2995" s="8" t="n">
        <x:v>45469</x:v>
      </x:c>
      <x:c r="D2995" s="4" t="str">
        <x:v>Sales operations manager</x:v>
      </x:c>
      <x:c r="E2995" s="4" t="str">
        <x:v>WhatsApp transcribed</x:v>
      </x:c>
      <x:c r="F2995" s="4" t="str">
        <x:v>Record captured</x:v>
      </x:c>
      <x:c r="G2995" s="4" t="str">
        <x:v>Reserved</x:v>
      </x:c>
    </x:row>
    <x:row r="2996" ht="34" customHeight="1">
      <x:c r="A2996" s="4" t="str">
        <x:v>RS-02995-E1</x:v>
      </x:c>
      <x:c r="B2996" s="4" t="str">
        <x:v>RS-02995</x:v>
      </x:c>
      <x:c r="C2996" s="8" t="n">
        <x:v>45470</x:v>
      </x:c>
      <x:c r="D2996" s="4" t="str">
        <x:v>Sales operations manager</x:v>
      </x:c>
      <x:c r="E2996" s="4" t="str">
        <x:v>ERP form</x:v>
      </x:c>
      <x:c r="F2996" s="4" t="str">
        <x:v>Record captured</x:v>
      </x:c>
      <x:c r="G2996" s="4" t="str">
        <x:v>Handed over</x:v>
      </x:c>
    </x:row>
    <x:row r="2997" ht="34" customHeight="1">
      <x:c r="A2997" s="4" t="str">
        <x:v>RS-02996-E1</x:v>
      </x:c>
      <x:c r="B2997" s="4" t="str">
        <x:v>RS-02996</x:v>
      </x:c>
      <x:c r="C2997" s="8" t="n">
        <x:v>45471</x:v>
      </x:c>
      <x:c r="D2997" s="4" t="str">
        <x:v>Sales operations manager</x:v>
      </x:c>
      <x:c r="E2997" s="4" t="str">
        <x:v>Paper transcribed</x:v>
      </x:c>
      <x:c r="F2997" s="4" t="str">
        <x:v>Record captured</x:v>
      </x:c>
      <x:c r="G2997" s="4" t="str">
        <x:v>Cancelled</x:v>
      </x:c>
    </x:row>
    <x:row r="2998" ht="34" customHeight="1">
      <x:c r="A2998" s="4" t="str">
        <x:v>RS-02997-E1</x:v>
      </x:c>
      <x:c r="B2998" s="4" t="str">
        <x:v>RS-02997</x:v>
      </x:c>
      <x:c r="C2998" s="8" t="n">
        <x:v>45444</x:v>
      </x:c>
      <x:c r="D2998" s="4" t="str">
        <x:v>Sales operations manager</x:v>
      </x:c>
      <x:c r="E2998" s="4" t="str">
        <x:v>Spreadsheet import</x:v>
      </x:c>
      <x:c r="F2998" s="4" t="str">
        <x:v>Record captured</x:v>
      </x:c>
      <x:c r="G2998" s="4" t="str">
        <x:v>Booked</x:v>
      </x:c>
    </x:row>
    <x:row r="2999" ht="34" customHeight="1">
      <x:c r="A2999" s="4" t="str">
        <x:v>RS-02998-E1</x:v>
      </x:c>
      <x:c r="B2999" s="4" t="str">
        <x:v>RS-02998</x:v>
      </x:c>
      <x:c r="C2999" s="8" t="n">
        <x:v>45445</x:v>
      </x:c>
      <x:c r="D2999" s="4" t="str">
        <x:v>Sales operations manager</x:v>
      </x:c>
      <x:c r="E2999" s="4" t="str">
        <x:v>ERP form</x:v>
      </x:c>
      <x:c r="F2999" s="4" t="str">
        <x:v>Record captured</x:v>
      </x:c>
      <x:c r="G2999" s="4" t="str">
        <x:v>Enquiry</x:v>
      </x:c>
    </x:row>
    <x:row r="3000" ht="34" customHeight="1">
      <x:c r="A3000" s="4" t="str">
        <x:v>RS-02999-E1</x:v>
      </x:c>
      <x:c r="B3000" s="4" t="str">
        <x:v>RS-02999</x:v>
      </x:c>
      <x:c r="C3000" s="8" t="n">
        <x:v>45446</x:v>
      </x:c>
      <x:c r="D3000" s="4" t="str">
        <x:v>Sales operations manager</x:v>
      </x:c>
      <x:c r="E3000" s="4" t="str">
        <x:v>ERP form</x:v>
      </x:c>
      <x:c r="F3000" s="4" t="str">
        <x:v>Record captured</x:v>
      </x:c>
      <x:c r="G3000" s="4" t="str">
        <x:v>Handed over</x:v>
      </x:c>
    </x:row>
    <x:row r="3001" ht="34" customHeight="1">
      <x:c r="A3001" s="4" t="str">
        <x:v>RS-03000-E1</x:v>
      </x:c>
      <x:c r="B3001" s="4" t="str">
        <x:v>RS-03000</x:v>
      </x:c>
      <x:c r="C3001" s="8" t="n">
        <x:v>45447</x:v>
      </x:c>
      <x:c r="D3001" s="4" t="str">
        <x:v>Sales operations manager</x:v>
      </x:c>
      <x:c r="E3001" s="4" t="str">
        <x:v>WhatsApp transcribed</x:v>
      </x:c>
      <x:c r="F3001" s="4" t="str">
        <x:v>Record captured</x:v>
      </x:c>
      <x:c r="G3001" s="4" t="str">
        <x:v>Handed over</x:v>
      </x:c>
    </x:row>
    <x:row r="3002" ht="34" customHeight="1">
      <x:c r="A3002" s="4" t="str">
        <x:v>RS-03001-E1</x:v>
      </x:c>
      <x:c r="B3002" s="4" t="str">
        <x:v>RS-03001</x:v>
      </x:c>
      <x:c r="C3002" s="8" t="n">
        <x:v>45478</x:v>
      </x:c>
      <x:c r="D3002" s="4" t="str">
        <x:v>Sales operations manager</x:v>
      </x:c>
      <x:c r="E3002" s="4" t="str">
        <x:v>Paper transcribed</x:v>
      </x:c>
      <x:c r="F3002" s="4" t="str">
        <x:v>Record captured</x:v>
      </x:c>
      <x:c r="G3002" s="4" t="str">
        <x:v>Handed over</x:v>
      </x:c>
    </x:row>
    <x:row r="3003" ht="34" customHeight="1">
      <x:c r="A3003" s="4" t="str">
        <x:v>RS-03002-E1</x:v>
      </x:c>
      <x:c r="B3003" s="4" t="str">
        <x:v>RS-03002</x:v>
      </x:c>
      <x:c r="C3003" s="8" t="n">
        <x:v>45479</x:v>
      </x:c>
      <x:c r="D3003" s="4" t="str">
        <x:v>Sales operations manager</x:v>
      </x:c>
      <x:c r="E3003" s="4" t="str">
        <x:v>Spreadsheet import</x:v>
      </x:c>
      <x:c r="F3003" s="4" t="str">
        <x:v>Record captured</x:v>
      </x:c>
      <x:c r="G3003" s="4" t="str">
        <x:v>Reserved</x:v>
      </x:c>
    </x:row>
    <x:row r="3004" ht="34" customHeight="1">
      <x:c r="A3004" s="4" t="str">
        <x:v>RS-03003-E1</x:v>
      </x:c>
      <x:c r="B3004" s="4" t="str">
        <x:v>RS-03003</x:v>
      </x:c>
      <x:c r="C3004" s="8" t="n">
        <x:v>45480</x:v>
      </x:c>
      <x:c r="D3004" s="4" t="str">
        <x:v>Sales operations manager</x:v>
      </x:c>
      <x:c r="E3004" s="4" t="str">
        <x:v>Spreadsheet import</x:v>
      </x:c>
      <x:c r="F3004" s="4" t="str">
        <x:v>Record captured</x:v>
      </x:c>
      <x:c r="G3004" s="4" t="str">
        <x:v>Reserved</x:v>
      </x:c>
    </x:row>
    <x:row r="3005" ht="34" customHeight="1">
      <x:c r="A3005" s="4" t="str">
        <x:v>RS-03004-E1</x:v>
      </x:c>
      <x:c r="B3005" s="4" t="str">
        <x:v>RS-03004</x:v>
      </x:c>
      <x:c r="C3005" s="8" t="n">
        <x:v>45481</x:v>
      </x:c>
      <x:c r="D3005" s="4" t="str">
        <x:v>Sales operations manager</x:v>
      </x:c>
      <x:c r="E3005" s="4" t="str">
        <x:v>Spreadsheet import</x:v>
      </x:c>
      <x:c r="F3005" s="4" t="str">
        <x:v>Record captured</x:v>
      </x:c>
      <x:c r="G3005" s="4" t="str">
        <x:v>Enquiry</x:v>
      </x:c>
    </x:row>
    <x:row r="3006" ht="34" customHeight="1">
      <x:c r="A3006" s="4" t="str">
        <x:v>RS-03005-E1</x:v>
      </x:c>
      <x:c r="B3006" s="4" t="str">
        <x:v>RS-03005</x:v>
      </x:c>
      <x:c r="C3006" s="8" t="n">
        <x:v>45482</x:v>
      </x:c>
      <x:c r="D3006" s="4" t="str">
        <x:v>Sales operations manager</x:v>
      </x:c>
      <x:c r="E3006" s="4" t="str">
        <x:v>Spreadsheet import</x:v>
      </x:c>
      <x:c r="F3006" s="4" t="str">
        <x:v>Record captured</x:v>
      </x:c>
      <x:c r="G3006" s="4" t="str">
        <x:v>Agreement signed</x:v>
      </x:c>
    </x:row>
    <x:row r="3007" ht="34" customHeight="1">
      <x:c r="A3007" s="4" t="str">
        <x:v>RS-03006-E1</x:v>
      </x:c>
      <x:c r="B3007" s="4" t="str">
        <x:v>RS-03006</x:v>
      </x:c>
      <x:c r="C3007" s="8" t="n">
        <x:v>45483</x:v>
      </x:c>
      <x:c r="D3007" s="4" t="str">
        <x:v>Sales operations manager</x:v>
      </x:c>
      <x:c r="E3007" s="4" t="str">
        <x:v>Paper transcribed</x:v>
      </x:c>
      <x:c r="F3007" s="4" t="str">
        <x:v>Record captured</x:v>
      </x:c>
      <x:c r="G3007" s="4" t="str">
        <x:v>Handed over</x:v>
      </x:c>
    </x:row>
    <x:row r="3008" ht="34" customHeight="1">
      <x:c r="A3008" s="4" t="str">
        <x:v>RS-03007-E1</x:v>
      </x:c>
      <x:c r="B3008" s="4" t="str">
        <x:v>RS-03007</x:v>
      </x:c>
      <x:c r="C3008" s="8" t="n">
        <x:v>45484</x:v>
      </x:c>
      <x:c r="D3008" s="4" t="str">
        <x:v>Sales operations manager</x:v>
      </x:c>
      <x:c r="E3008" s="4" t="str">
        <x:v>ERP form</x:v>
      </x:c>
      <x:c r="F3008" s="4" t="str">
        <x:v>Record captured</x:v>
      </x:c>
      <x:c r="G3008" s="4" t="str">
        <x:v>Reserved</x:v>
      </x:c>
    </x:row>
    <x:row r="3009" ht="34" customHeight="1">
      <x:c r="A3009" s="4" t="str">
        <x:v>RS-03008-E1</x:v>
      </x:c>
      <x:c r="B3009" s="4" t="str">
        <x:v>RS-03008</x:v>
      </x:c>
      <x:c r="C3009" s="8" t="n">
        <x:v>45485</x:v>
      </x:c>
      <x:c r="D3009" s="4" t="str">
        <x:v>Sales operations manager</x:v>
      </x:c>
      <x:c r="E3009" s="4" t="str">
        <x:v>ERP form</x:v>
      </x:c>
      <x:c r="F3009" s="4" t="str">
        <x:v>Record captured</x:v>
      </x:c>
      <x:c r="G3009" s="4" t="str">
        <x:v>Cancelled</x:v>
      </x:c>
    </x:row>
    <x:row r="3010" ht="34" customHeight="1">
      <x:c r="A3010" s="4" t="str">
        <x:v>RS-03009-E1</x:v>
      </x:c>
      <x:c r="B3010" s="4" t="str">
        <x:v>RS-03009</x:v>
      </x:c>
      <x:c r="C3010" s="8" t="n">
        <x:v>45486</x:v>
      </x:c>
      <x:c r="D3010" s="4" t="str">
        <x:v>Sales operations manager</x:v>
      </x:c>
      <x:c r="E3010" s="4" t="str">
        <x:v>Paper transcribed</x:v>
      </x:c>
      <x:c r="F3010" s="4" t="str">
        <x:v>Record captured</x:v>
      </x:c>
      <x:c r="G3010" s="4" t="str">
        <x:v>Reserved</x:v>
      </x:c>
    </x:row>
    <x:row r="3011" ht="34" customHeight="1">
      <x:c r="A3011" s="4" t="str">
        <x:v>RS-03010-E1</x:v>
      </x:c>
      <x:c r="B3011" s="4" t="str">
        <x:v>RS-03010</x:v>
      </x:c>
      <x:c r="C3011" s="8" t="n">
        <x:v>45487</x:v>
      </x:c>
      <x:c r="D3011" s="4" t="str">
        <x:v>Sales operations manager</x:v>
      </x:c>
      <x:c r="E3011" s="4" t="str">
        <x:v>WhatsApp transcribed</x:v>
      </x:c>
      <x:c r="F3011" s="4" t="str">
        <x:v>Record captured</x:v>
      </x:c>
      <x:c r="G3011" s="4" t="str">
        <x:v>Handed over</x:v>
      </x:c>
    </x:row>
    <x:row r="3012" ht="34" customHeight="1">
      <x:c r="A3012" s="4" t="str">
        <x:v>RS-03011-E1</x:v>
      </x:c>
      <x:c r="B3012" s="4" t="str">
        <x:v>RS-03011</x:v>
      </x:c>
      <x:c r="C3012" s="8" t="n">
        <x:v>45488</x:v>
      </x:c>
      <x:c r="D3012" s="4" t="str">
        <x:v>Sales operations manager</x:v>
      </x:c>
      <x:c r="E3012" s="4" t="str">
        <x:v>Paper transcribed</x:v>
      </x:c>
      <x:c r="F3012" s="4" t="str">
        <x:v>Record captured</x:v>
      </x:c>
      <x:c r="G3012" s="4" t="str">
        <x:v>Booked</x:v>
      </x:c>
    </x:row>
    <x:row r="3013" ht="34" customHeight="1">
      <x:c r="A3013" s="4" t="str">
        <x:v>RS-03012-E1</x:v>
      </x:c>
      <x:c r="B3013" s="4" t="str">
        <x:v>RS-03012</x:v>
      </x:c>
      <x:c r="C3013" s="8" t="n">
        <x:v>45489</x:v>
      </x:c>
      <x:c r="D3013" s="4" t="str">
        <x:v>Sales operations manager</x:v>
      </x:c>
      <x:c r="E3013" s="4" t="str">
        <x:v>WhatsApp transcribed</x:v>
      </x:c>
      <x:c r="F3013" s="4" t="str">
        <x:v>Record captured</x:v>
      </x:c>
      <x:c r="G3013" s="4" t="str">
        <x:v>Handed over</x:v>
      </x:c>
    </x:row>
    <x:row r="3014" ht="34" customHeight="1">
      <x:c r="A3014" s="4" t="str">
        <x:v>RS-03013-E1</x:v>
      </x:c>
      <x:c r="B3014" s="4" t="str">
        <x:v>RS-03013</x:v>
      </x:c>
      <x:c r="C3014" s="8" t="n">
        <x:v>45490</x:v>
      </x:c>
      <x:c r="D3014" s="4" t="str">
        <x:v>Sales operations manager</x:v>
      </x:c>
      <x:c r="E3014" s="4" t="str">
        <x:v>Spreadsheet import</x:v>
      </x:c>
      <x:c r="F3014" s="4" t="str">
        <x:v>Record captured</x:v>
      </x:c>
      <x:c r="G3014" s="4" t="str">
        <x:v>Enquiry</x:v>
      </x:c>
    </x:row>
    <x:row r="3015" ht="34" customHeight="1">
      <x:c r="A3015" s="4" t="str">
        <x:v>RS-03014-E1</x:v>
      </x:c>
      <x:c r="B3015" s="4" t="str">
        <x:v>RS-03014</x:v>
      </x:c>
      <x:c r="C3015" s="8" t="n">
        <x:v>45491</x:v>
      </x:c>
      <x:c r="D3015" s="4" t="str">
        <x:v>Sales operations manager</x:v>
      </x:c>
      <x:c r="E3015" s="4" t="str">
        <x:v>Spreadsheet import</x:v>
      </x:c>
      <x:c r="F3015" s="4" t="str">
        <x:v>Record captured</x:v>
      </x:c>
      <x:c r="G3015" s="4" t="str">
        <x:v>Agreement signed</x:v>
      </x:c>
    </x:row>
    <x:row r="3016" ht="34" customHeight="1">
      <x:c r="A3016" s="4" t="str">
        <x:v>RS-03015-E1</x:v>
      </x:c>
      <x:c r="B3016" s="4" t="str">
        <x:v>RS-03015</x:v>
      </x:c>
      <x:c r="C3016" s="8" t="n">
        <x:v>45492</x:v>
      </x:c>
      <x:c r="D3016" s="4" t="str">
        <x:v>Sales operations manager</x:v>
      </x:c>
      <x:c r="E3016" s="4" t="str">
        <x:v>ERP form</x:v>
      </x:c>
      <x:c r="F3016" s="4" t="str">
        <x:v>Record captured</x:v>
      </x:c>
      <x:c r="G3016" s="4" t="str">
        <x:v>Enquiry</x:v>
      </x:c>
    </x:row>
    <x:row r="3017" ht="34" customHeight="1">
      <x:c r="A3017" s="4" t="str">
        <x:v>RS-03016-E1</x:v>
      </x:c>
      <x:c r="B3017" s="4" t="str">
        <x:v>RS-03016</x:v>
      </x:c>
      <x:c r="C3017" s="8" t="n">
        <x:v>45493</x:v>
      </x:c>
      <x:c r="D3017" s="4" t="str">
        <x:v>Sales operations manager</x:v>
      </x:c>
      <x:c r="E3017" s="4" t="str">
        <x:v>ERP form</x:v>
      </x:c>
      <x:c r="F3017" s="4" t="str">
        <x:v>Record captured</x:v>
      </x:c>
      <x:c r="G3017" s="4" t="str">
        <x:v>Booked</x:v>
      </x:c>
    </x:row>
    <x:row r="3018" ht="34" customHeight="1">
      <x:c r="A3018" s="4" t="str">
        <x:v>RS-03017-E1</x:v>
      </x:c>
      <x:c r="B3018" s="4" t="str">
        <x:v>RS-03017</x:v>
      </x:c>
      <x:c r="C3018" s="8" t="n">
        <x:v>45494</x:v>
      </x:c>
      <x:c r="D3018" s="4" t="str">
        <x:v>Sales operations manager</x:v>
      </x:c>
      <x:c r="E3018" s="4" t="str">
        <x:v>ERP form</x:v>
      </x:c>
      <x:c r="F3018" s="4" t="str">
        <x:v>Record captured</x:v>
      </x:c>
      <x:c r="G3018" s="4" t="str">
        <x:v>Agreement signed</x:v>
      </x:c>
    </x:row>
    <x:row r="3019" ht="34" customHeight="1">
      <x:c r="A3019" s="4" t="str">
        <x:v>RS-03018-E1</x:v>
      </x:c>
      <x:c r="B3019" s="4" t="str">
        <x:v>RS-03018</x:v>
      </x:c>
      <x:c r="C3019" s="8" t="n">
        <x:v>45495</x:v>
      </x:c>
      <x:c r="D3019" s="4" t="str">
        <x:v>Sales operations manager</x:v>
      </x:c>
      <x:c r="E3019" s="4" t="str">
        <x:v>Paper transcribed</x:v>
      </x:c>
      <x:c r="F3019" s="4" t="str">
        <x:v>Record captured</x:v>
      </x:c>
      <x:c r="G3019" s="4" t="str">
        <x:v>Agreement signed</x:v>
      </x:c>
    </x:row>
    <x:row r="3020" ht="34" customHeight="1">
      <x:c r="A3020" s="4" t="str">
        <x:v>RS-03019-E1</x:v>
      </x:c>
      <x:c r="B3020" s="4" t="str">
        <x:v>RS-03019</x:v>
      </x:c>
      <x:c r="C3020" s="8" t="n">
        <x:v>45496</x:v>
      </x:c>
      <x:c r="D3020" s="4" t="str">
        <x:v>Sales operations manager</x:v>
      </x:c>
      <x:c r="E3020" s="4" t="str">
        <x:v>ERP form</x:v>
      </x:c>
      <x:c r="F3020" s="4" t="str">
        <x:v>Record captured</x:v>
      </x:c>
      <x:c r="G3020" s="4" t="str">
        <x:v>Agreement signed</x:v>
      </x:c>
    </x:row>
    <x:row r="3021" ht="34" customHeight="1">
      <x:c r="A3021" s="4" t="str">
        <x:v>RS-03020-E1</x:v>
      </x:c>
      <x:c r="B3021" s="4" t="str">
        <x:v>RS-03020</x:v>
      </x:c>
      <x:c r="C3021" s="8" t="n">
        <x:v>45497</x:v>
      </x:c>
      <x:c r="D3021" s="4" t="str">
        <x:v>Sales operations manager</x:v>
      </x:c>
      <x:c r="E3021" s="4" t="str">
        <x:v>Spreadsheet import</x:v>
      </x:c>
      <x:c r="F3021" s="4" t="str">
        <x:v>Record captured</x:v>
      </x:c>
      <x:c r="G3021" s="4" t="str">
        <x:v>Handed over</x:v>
      </x:c>
    </x:row>
    <x:row r="3022" ht="34" customHeight="1">
      <x:c r="A3022" s="4" t="str">
        <x:v>RS-03021-E1</x:v>
      </x:c>
      <x:c r="B3022" s="4" t="str">
        <x:v>RS-03021</x:v>
      </x:c>
      <x:c r="C3022" s="8" t="n">
        <x:v>45498</x:v>
      </x:c>
      <x:c r="D3022" s="4" t="str">
        <x:v>Sales operations manager</x:v>
      </x:c>
      <x:c r="E3022" s="4" t="str">
        <x:v>WhatsApp transcribed</x:v>
      </x:c>
      <x:c r="F3022" s="4" t="str">
        <x:v>Record captured</x:v>
      </x:c>
      <x:c r="G3022" s="4" t="str">
        <x:v>Agreement signed</x:v>
      </x:c>
    </x:row>
    <x:row r="3023" ht="34" customHeight="1">
      <x:c r="A3023" s="4" t="str">
        <x:v>RS-03022-E1</x:v>
      </x:c>
      <x:c r="B3023" s="4" t="str">
        <x:v>RS-03022</x:v>
      </x:c>
      <x:c r="C3023" s="8" t="n">
        <x:v>45499</x:v>
      </x:c>
      <x:c r="D3023" s="4" t="str">
        <x:v>Sales operations manager</x:v>
      </x:c>
      <x:c r="E3023" s="4" t="str">
        <x:v>Paper transcribed</x:v>
      </x:c>
      <x:c r="F3023" s="4" t="str">
        <x:v>Record captured</x:v>
      </x:c>
      <x:c r="G3023" s="4" t="str">
        <x:v>Agreement signed</x:v>
      </x:c>
    </x:row>
    <x:row r="3024" ht="34" customHeight="1">
      <x:c r="A3024" s="4" t="str">
        <x:v>RS-03023-E1</x:v>
      </x:c>
      <x:c r="B3024" s="4" t="str">
        <x:v>RS-03023</x:v>
      </x:c>
      <x:c r="C3024" s="8" t="n">
        <x:v>45500</x:v>
      </x:c>
      <x:c r="D3024" s="4" t="str">
        <x:v>Sales operations manager</x:v>
      </x:c>
      <x:c r="E3024" s="4" t="str">
        <x:v>ERP form</x:v>
      </x:c>
      <x:c r="F3024" s="4" t="str">
        <x:v>Record captured</x:v>
      </x:c>
      <x:c r="G3024" s="4" t="str">
        <x:v>Cancelled</x:v>
      </x:c>
    </x:row>
    <x:row r="3025" ht="34" customHeight="1">
      <x:c r="A3025" s="4" t="str">
        <x:v>RS-03024-E1</x:v>
      </x:c>
      <x:c r="B3025" s="4" t="str">
        <x:v>RS-03024</x:v>
      </x:c>
      <x:c r="C3025" s="8" t="n">
        <x:v>45501</x:v>
      </x:c>
      <x:c r="D3025" s="4" t="str">
        <x:v>Sales operations manager</x:v>
      </x:c>
      <x:c r="E3025" s="4" t="str">
        <x:v>Paper transcribed</x:v>
      </x:c>
      <x:c r="F3025" s="4" t="str">
        <x:v>Record captured</x:v>
      </x:c>
      <x:c r="G3025" s="4" t="str">
        <x:v>Reserved</x:v>
      </x:c>
    </x:row>
    <x:row r="3026" ht="34" customHeight="1">
      <x:c r="A3026" s="4" t="str">
        <x:v>RS-03025-E1</x:v>
      </x:c>
      <x:c r="B3026" s="4" t="str">
        <x:v>RS-03025</x:v>
      </x:c>
      <x:c r="C3026" s="8" t="n">
        <x:v>45474</x:v>
      </x:c>
      <x:c r="D3026" s="4" t="str">
        <x:v>Sales operations manager</x:v>
      </x:c>
      <x:c r="E3026" s="4" t="str">
        <x:v>WhatsApp transcribed</x:v>
      </x:c>
      <x:c r="F3026" s="4" t="str">
        <x:v>Record captured</x:v>
      </x:c>
      <x:c r="G3026" s="4" t="str">
        <x:v>Booked</x:v>
      </x:c>
    </x:row>
    <x:row r="3027" ht="34" customHeight="1">
      <x:c r="A3027" s="4" t="str">
        <x:v>RS-03026-E1</x:v>
      </x:c>
      <x:c r="B3027" s="4" t="str">
        <x:v>RS-03026</x:v>
      </x:c>
      <x:c r="C3027" s="8" t="n">
        <x:v>45475</x:v>
      </x:c>
      <x:c r="D3027" s="4" t="str">
        <x:v>Sales operations manager</x:v>
      </x:c>
      <x:c r="E3027" s="4" t="str">
        <x:v>WhatsApp transcribed</x:v>
      </x:c>
      <x:c r="F3027" s="4" t="str">
        <x:v>Record captured</x:v>
      </x:c>
      <x:c r="G3027" s="4" t="str">
        <x:v>Booked</x:v>
      </x:c>
    </x:row>
    <x:row r="3028" ht="34" customHeight="1">
      <x:c r="A3028" s="4" t="str">
        <x:v>RS-03027-E1</x:v>
      </x:c>
      <x:c r="B3028" s="4" t="str">
        <x:v>RS-03027</x:v>
      </x:c>
      <x:c r="C3028" s="8" t="n">
        <x:v>45476</x:v>
      </x:c>
      <x:c r="D3028" s="4" t="str">
        <x:v>Sales operations manager</x:v>
      </x:c>
      <x:c r="E3028" s="4" t="str">
        <x:v>Paper transcribed</x:v>
      </x:c>
      <x:c r="F3028" s="4" t="str">
        <x:v>Record captured</x:v>
      </x:c>
      <x:c r="G3028" s="4" t="str">
        <x:v>Handed over</x:v>
      </x:c>
    </x:row>
    <x:row r="3029" ht="34" customHeight="1">
      <x:c r="A3029" s="4" t="str">
        <x:v>RS-03028-E1</x:v>
      </x:c>
      <x:c r="B3029" s="4" t="str">
        <x:v>RS-03028</x:v>
      </x:c>
      <x:c r="C3029" s="8" t="n">
        <x:v>45477</x:v>
      </x:c>
      <x:c r="D3029" s="4" t="str">
        <x:v>Sales operations manager</x:v>
      </x:c>
      <x:c r="E3029" s="4" t="str">
        <x:v>Spreadsheet import</x:v>
      </x:c>
      <x:c r="F3029" s="4" t="str">
        <x:v>Record captured</x:v>
      </x:c>
      <x:c r="G3029" s="4" t="str">
        <x:v>Agreement signed</x:v>
      </x:c>
    </x:row>
    <x:row r="3030" ht="34" customHeight="1">
      <x:c r="A3030" s="4" t="str">
        <x:v>RS-03029-E1</x:v>
      </x:c>
      <x:c r="B3030" s="4" t="str">
        <x:v>RS-03029</x:v>
      </x:c>
      <x:c r="C3030" s="8" t="n">
        <x:v>45478</x:v>
      </x:c>
      <x:c r="D3030" s="4" t="str">
        <x:v>Sales operations manager</x:v>
      </x:c>
      <x:c r="E3030" s="4" t="str">
        <x:v>ERP form</x:v>
      </x:c>
      <x:c r="F3030" s="4" t="str">
        <x:v>Record captured</x:v>
      </x:c>
      <x:c r="G3030" s="4" t="str">
        <x:v>Booked</x:v>
      </x:c>
    </x:row>
    <x:row r="3031" ht="34" customHeight="1">
      <x:c r="A3031" s="4" t="str">
        <x:v>RS-03030-E1</x:v>
      </x:c>
      <x:c r="B3031" s="4" t="str">
        <x:v>RS-03030</x:v>
      </x:c>
      <x:c r="C3031" s="8" t="n">
        <x:v>45479</x:v>
      </x:c>
      <x:c r="D3031" s="4" t="str">
        <x:v>Sales operations manager</x:v>
      </x:c>
      <x:c r="E3031" s="4" t="str">
        <x:v>Spreadsheet import</x:v>
      </x:c>
      <x:c r="F3031" s="4" t="str">
        <x:v>Record captured</x:v>
      </x:c>
      <x:c r="G3031" s="4" t="str">
        <x:v>Enquiry</x:v>
      </x:c>
    </x:row>
    <x:row r="3032" ht="34" customHeight="1">
      <x:c r="A3032" s="4" t="str">
        <x:v>RS-03031-E1</x:v>
      </x:c>
      <x:c r="B3032" s="4" t="str">
        <x:v>RS-03031</x:v>
      </x:c>
      <x:c r="C3032" s="8" t="n">
        <x:v>45480</x:v>
      </x:c>
      <x:c r="D3032" s="4" t="str">
        <x:v>Sales operations manager</x:v>
      </x:c>
      <x:c r="E3032" s="4" t="str">
        <x:v>Spreadsheet import</x:v>
      </x:c>
      <x:c r="F3032" s="4" t="str">
        <x:v>Record captured</x:v>
      </x:c>
      <x:c r="G3032" s="4" t="str">
        <x:v>Cancelled</x:v>
      </x:c>
    </x:row>
    <x:row r="3033" ht="34" customHeight="1">
      <x:c r="A3033" s="4" t="str">
        <x:v>RS-03032-E1</x:v>
      </x:c>
      <x:c r="B3033" s="4" t="str">
        <x:v>RS-03032</x:v>
      </x:c>
      <x:c r="C3033" s="8" t="n">
        <x:v>45481</x:v>
      </x:c>
      <x:c r="D3033" s="4" t="str">
        <x:v>Sales operations manager</x:v>
      </x:c>
      <x:c r="E3033" s="4" t="str">
        <x:v>ERP form</x:v>
      </x:c>
      <x:c r="F3033" s="4" t="str">
        <x:v>Record captured</x:v>
      </x:c>
      <x:c r="G3033" s="4" t="str">
        <x:v>Handed over</x:v>
      </x:c>
    </x:row>
    <x:row r="3034" ht="34" customHeight="1">
      <x:c r="A3034" s="4" t="str">
        <x:v>RS-03033-E1</x:v>
      </x:c>
      <x:c r="B3034" s="4" t="str">
        <x:v>RS-03033</x:v>
      </x:c>
      <x:c r="C3034" s="8" t="n">
        <x:v>45482</x:v>
      </x:c>
      <x:c r="D3034" s="4" t="str">
        <x:v>Sales operations manager</x:v>
      </x:c>
      <x:c r="E3034" s="4" t="str">
        <x:v>Spreadsheet import</x:v>
      </x:c>
      <x:c r="F3034" s="4" t="str">
        <x:v>Record captured</x:v>
      </x:c>
      <x:c r="G3034" s="4" t="str">
        <x:v>Booked</x:v>
      </x:c>
    </x:row>
    <x:row r="3035" ht="34" customHeight="1">
      <x:c r="A3035" s="4" t="str">
        <x:v>RS-03034-E1</x:v>
      </x:c>
      <x:c r="B3035" s="4" t="str">
        <x:v>RS-03034</x:v>
      </x:c>
      <x:c r="C3035" s="8" t="n">
        <x:v>45483</x:v>
      </x:c>
      <x:c r="D3035" s="4" t="str">
        <x:v>Sales operations manager</x:v>
      </x:c>
      <x:c r="E3035" s="4" t="str">
        <x:v>Paper transcribed</x:v>
      </x:c>
      <x:c r="F3035" s="4" t="str">
        <x:v>Record captured</x:v>
      </x:c>
      <x:c r="G3035" s="4" t="str">
        <x:v>Booked</x:v>
      </x:c>
    </x:row>
    <x:row r="3036" ht="34" customHeight="1">
      <x:c r="A3036" s="4" t="str">
        <x:v>RS-03035-E1</x:v>
      </x:c>
      <x:c r="B3036" s="4" t="str">
        <x:v>RS-03035</x:v>
      </x:c>
      <x:c r="C3036" s="8" t="n">
        <x:v>45484</x:v>
      </x:c>
      <x:c r="D3036" s="4" t="str">
        <x:v>Sales operations manager</x:v>
      </x:c>
      <x:c r="E3036" s="4" t="str">
        <x:v>Spreadsheet import</x:v>
      </x:c>
      <x:c r="F3036" s="4" t="str">
        <x:v>Record captured</x:v>
      </x:c>
      <x:c r="G3036" s="4" t="str">
        <x:v>Reserved</x:v>
      </x:c>
    </x:row>
    <x:row r="3037" ht="34" customHeight="1">
      <x:c r="A3037" s="4" t="str">
        <x:v>RS-03036-E1</x:v>
      </x:c>
      <x:c r="B3037" s="4" t="str">
        <x:v>RS-03036</x:v>
      </x:c>
      <x:c r="C3037" s="8" t="n">
        <x:v>45485</x:v>
      </x:c>
      <x:c r="D3037" s="4" t="str">
        <x:v>Sales operations manager</x:v>
      </x:c>
      <x:c r="E3037" s="4" t="str">
        <x:v>WhatsApp transcribed</x:v>
      </x:c>
      <x:c r="F3037" s="4" t="str">
        <x:v>Record captured</x:v>
      </x:c>
      <x:c r="G3037" s="4" t="str">
        <x:v>Booked</x:v>
      </x:c>
    </x:row>
    <x:row r="3038" ht="34" customHeight="1">
      <x:c r="A3038" s="4" t="str">
        <x:v>RS-03037-E1</x:v>
      </x:c>
      <x:c r="B3038" s="4" t="str">
        <x:v>RS-03037</x:v>
      </x:c>
      <x:c r="C3038" s="8" t="n">
        <x:v>45486</x:v>
      </x:c>
      <x:c r="D3038" s="4" t="str">
        <x:v>Sales operations manager</x:v>
      </x:c>
      <x:c r="E3038" s="4" t="str">
        <x:v>Spreadsheet import</x:v>
      </x:c>
      <x:c r="F3038" s="4" t="str">
        <x:v>Record captured</x:v>
      </x:c>
      <x:c r="G3038" s="4" t="str">
        <x:v>Booked</x:v>
      </x:c>
    </x:row>
    <x:row r="3039" ht="34" customHeight="1">
      <x:c r="A3039" s="4" t="str">
        <x:v>RS-03038-E1</x:v>
      </x:c>
      <x:c r="B3039" s="4" t="str">
        <x:v>RS-03038</x:v>
      </x:c>
      <x:c r="C3039" s="8" t="n">
        <x:v>45487</x:v>
      </x:c>
      <x:c r="D3039" s="4" t="str">
        <x:v>Sales operations manager</x:v>
      </x:c>
      <x:c r="E3039" s="4" t="str">
        <x:v>Paper transcribed</x:v>
      </x:c>
      <x:c r="F3039" s="4" t="str">
        <x:v>Record captured</x:v>
      </x:c>
      <x:c r="G3039" s="4" t="str">
        <x:v>Cancelled</x:v>
      </x:c>
    </x:row>
    <x:row r="3040" ht="34" customHeight="1">
      <x:c r="A3040" s="4" t="str">
        <x:v>RS-03039-E1</x:v>
      </x:c>
      <x:c r="B3040" s="4" t="str">
        <x:v>RS-03039</x:v>
      </x:c>
      <x:c r="C3040" s="8" t="n">
        <x:v>45488</x:v>
      </x:c>
      <x:c r="D3040" s="4" t="str">
        <x:v>Sales operations manager</x:v>
      </x:c>
      <x:c r="E3040" s="4" t="str">
        <x:v>Paper transcribed</x:v>
      </x:c>
      <x:c r="F3040" s="4" t="str">
        <x:v>Record captured</x:v>
      </x:c>
      <x:c r="G3040" s="4" t="str">
        <x:v>Cancelled</x:v>
      </x:c>
    </x:row>
    <x:row r="3041" ht="34" customHeight="1">
      <x:c r="A3041" s="4" t="str">
        <x:v>RS-03040-E1</x:v>
      </x:c>
      <x:c r="B3041" s="4" t="str">
        <x:v>RS-03040</x:v>
      </x:c>
      <x:c r="C3041" s="8" t="n">
        <x:v>45489</x:v>
      </x:c>
      <x:c r="D3041" s="4" t="str">
        <x:v>Sales operations manager</x:v>
      </x:c>
      <x:c r="E3041" s="4" t="str">
        <x:v>Paper transcribed</x:v>
      </x:c>
      <x:c r="F3041" s="4" t="str">
        <x:v>Record captured</x:v>
      </x:c>
      <x:c r="G3041" s="4" t="str">
        <x:v>Cancelled</x:v>
      </x:c>
    </x:row>
    <x:row r="3042" ht="34" customHeight="1">
      <x:c r="A3042" s="4" t="str">
        <x:v>RS-03041-E1</x:v>
      </x:c>
      <x:c r="B3042" s="4" t="str">
        <x:v>RS-03041</x:v>
      </x:c>
      <x:c r="C3042" s="8" t="n">
        <x:v>45490</x:v>
      </x:c>
      <x:c r="D3042" s="4" t="str">
        <x:v>Sales operations manager</x:v>
      </x:c>
      <x:c r="E3042" s="4" t="str">
        <x:v>WhatsApp transcribed</x:v>
      </x:c>
      <x:c r="F3042" s="4" t="str">
        <x:v>Record captured</x:v>
      </x:c>
      <x:c r="G3042" s="4" t="str">
        <x:v>Cancelled</x:v>
      </x:c>
    </x:row>
    <x:row r="3043" ht="34" customHeight="1">
      <x:c r="A3043" s="4" t="str">
        <x:v>RS-03042-E1</x:v>
      </x:c>
      <x:c r="B3043" s="4" t="str">
        <x:v>RS-03042</x:v>
      </x:c>
      <x:c r="C3043" s="8" t="n">
        <x:v>45491</x:v>
      </x:c>
      <x:c r="D3043" s="4" t="str">
        <x:v>Sales operations manager</x:v>
      </x:c>
      <x:c r="E3043" s="4" t="str">
        <x:v>Spreadsheet import</x:v>
      </x:c>
      <x:c r="F3043" s="4" t="str">
        <x:v>Record captured</x:v>
      </x:c>
      <x:c r="G3043" s="4" t="str">
        <x:v>Reserved</x:v>
      </x:c>
    </x:row>
    <x:row r="3044" ht="34" customHeight="1">
      <x:c r="A3044" s="4" t="str">
        <x:v>RS-03043-E1</x:v>
      </x:c>
      <x:c r="B3044" s="4" t="str">
        <x:v>RS-03043</x:v>
      </x:c>
      <x:c r="C3044" s="8" t="n">
        <x:v>45492</x:v>
      </x:c>
      <x:c r="D3044" s="4" t="str">
        <x:v>Sales operations manager</x:v>
      </x:c>
      <x:c r="E3044" s="4" t="str">
        <x:v>Spreadsheet import</x:v>
      </x:c>
      <x:c r="F3044" s="4" t="str">
        <x:v>Record captured</x:v>
      </x:c>
      <x:c r="G3044" s="4" t="str">
        <x:v>Reserved</x:v>
      </x:c>
    </x:row>
    <x:row r="3045" ht="34" customHeight="1">
      <x:c r="A3045" s="4" t="str">
        <x:v>RS-03044-E1</x:v>
      </x:c>
      <x:c r="B3045" s="4" t="str">
        <x:v>RS-03044</x:v>
      </x:c>
      <x:c r="C3045" s="8" t="n">
        <x:v>45493</x:v>
      </x:c>
      <x:c r="D3045" s="4" t="str">
        <x:v>Sales operations manager</x:v>
      </x:c>
      <x:c r="E3045" s="4" t="str">
        <x:v>WhatsApp transcribed</x:v>
      </x:c>
      <x:c r="F3045" s="4" t="str">
        <x:v>Record captured</x:v>
      </x:c>
      <x:c r="G3045" s="4" t="str">
        <x:v>Cancelled</x:v>
      </x:c>
    </x:row>
    <x:row r="3046" ht="34" customHeight="1">
      <x:c r="A3046" s="4" t="str">
        <x:v>RS-03045-E1</x:v>
      </x:c>
      <x:c r="B3046" s="4" t="str">
        <x:v>RS-03045</x:v>
      </x:c>
      <x:c r="C3046" s="8" t="n">
        <x:v>45494</x:v>
      </x:c>
      <x:c r="D3046" s="4" t="str">
        <x:v>Sales operations manager</x:v>
      </x:c>
      <x:c r="E3046" s="4" t="str">
        <x:v>Paper transcribed</x:v>
      </x:c>
      <x:c r="F3046" s="4" t="str">
        <x:v>Record captured</x:v>
      </x:c>
      <x:c r="G3046" s="4" t="str">
        <x:v>Handed over</x:v>
      </x:c>
    </x:row>
    <x:row r="3047" ht="34" customHeight="1">
      <x:c r="A3047" s="4" t="str">
        <x:v>RS-03046-E1</x:v>
      </x:c>
      <x:c r="B3047" s="4" t="str">
        <x:v>RS-03046</x:v>
      </x:c>
      <x:c r="C3047" s="8" t="n">
        <x:v>45495</x:v>
      </x:c>
      <x:c r="D3047" s="4" t="str">
        <x:v>Sales operations manager</x:v>
      </x:c>
      <x:c r="E3047" s="4" t="str">
        <x:v>Spreadsheet import</x:v>
      </x:c>
      <x:c r="F3047" s="4" t="str">
        <x:v>Record captured</x:v>
      </x:c>
      <x:c r="G3047" s="4" t="str">
        <x:v>Enquiry</x:v>
      </x:c>
    </x:row>
    <x:row r="3048" ht="34" customHeight="1">
      <x:c r="A3048" s="4" t="str">
        <x:v>RS-03047-E1</x:v>
      </x:c>
      <x:c r="B3048" s="4" t="str">
        <x:v>RS-03047</x:v>
      </x:c>
      <x:c r="C3048" s="8" t="n">
        <x:v>45496</x:v>
      </x:c>
      <x:c r="D3048" s="4" t="str">
        <x:v>Sales operations manager</x:v>
      </x:c>
      <x:c r="E3048" s="4" t="str">
        <x:v>WhatsApp transcribed</x:v>
      </x:c>
      <x:c r="F3048" s="4" t="str">
        <x:v>Record captured</x:v>
      </x:c>
      <x:c r="G3048" s="4" t="str">
        <x:v>Enquiry</x:v>
      </x:c>
    </x:row>
    <x:row r="3049" ht="34" customHeight="1">
      <x:c r="A3049" s="4" t="str">
        <x:v>RS-03048-E1</x:v>
      </x:c>
      <x:c r="B3049" s="4" t="str">
        <x:v>RS-03048</x:v>
      </x:c>
      <x:c r="C3049" s="8" t="n">
        <x:v>45497</x:v>
      </x:c>
      <x:c r="D3049" s="4" t="str">
        <x:v>Sales operations manager</x:v>
      </x:c>
      <x:c r="E3049" s="4" t="str">
        <x:v>Paper transcribed</x:v>
      </x:c>
      <x:c r="F3049" s="4" t="str">
        <x:v>Record captured</x:v>
      </x:c>
      <x:c r="G3049" s="4" t="str">
        <x:v>Booked</x:v>
      </x:c>
    </x:row>
    <x:row r="3050" ht="34" customHeight="1">
      <x:c r="A3050" s="4" t="str">
        <x:v>RS-03049-E1</x:v>
      </x:c>
      <x:c r="B3050" s="4" t="str">
        <x:v>RS-03049</x:v>
      </x:c>
      <x:c r="C3050" s="8" t="n">
        <x:v>45498</x:v>
      </x:c>
      <x:c r="D3050" s="4" t="str">
        <x:v>Sales operations manager</x:v>
      </x:c>
      <x:c r="E3050" s="4" t="str">
        <x:v>Paper transcribed</x:v>
      </x:c>
      <x:c r="F3050" s="4" t="str">
        <x:v>Record captured</x:v>
      </x:c>
      <x:c r="G3050" s="4" t="str">
        <x:v>Reserved</x:v>
      </x:c>
    </x:row>
    <x:row r="3051" ht="34" customHeight="1">
      <x:c r="A3051" s="4" t="str">
        <x:v>RS-03050-E1</x:v>
      </x:c>
      <x:c r="B3051" s="4" t="str">
        <x:v>RS-03050</x:v>
      </x:c>
      <x:c r="C3051" s="8" t="n">
        <x:v>45499</x:v>
      </x:c>
      <x:c r="D3051" s="4" t="str">
        <x:v>Sales operations manager</x:v>
      </x:c>
      <x:c r="E3051" s="4" t="str">
        <x:v>WhatsApp transcribed</x:v>
      </x:c>
      <x:c r="F3051" s="4" t="str">
        <x:v>Record captured</x:v>
      </x:c>
      <x:c r="G3051" s="4" t="str">
        <x:v>Cancelled</x:v>
      </x:c>
    </x:row>
    <x:row r="3052" ht="34" customHeight="1">
      <x:c r="A3052" s="4" t="str">
        <x:v>RS-03051-E1</x:v>
      </x:c>
      <x:c r="B3052" s="4" t="str">
        <x:v>RS-03051</x:v>
      </x:c>
      <x:c r="C3052" s="8" t="n">
        <x:v>45500</x:v>
      </x:c>
      <x:c r="D3052" s="4" t="str">
        <x:v>Sales operations manager</x:v>
      </x:c>
      <x:c r="E3052" s="4" t="str">
        <x:v>WhatsApp transcribed</x:v>
      </x:c>
      <x:c r="F3052" s="4" t="str">
        <x:v>Record captured</x:v>
      </x:c>
      <x:c r="G3052" s="4" t="str">
        <x:v>Booked</x:v>
      </x:c>
    </x:row>
    <x:row r="3053" ht="34" customHeight="1">
      <x:c r="A3053" s="4" t="str">
        <x:v>RS-03052-E1</x:v>
      </x:c>
      <x:c r="B3053" s="4" t="str">
        <x:v>RS-03052</x:v>
      </x:c>
      <x:c r="C3053" s="8" t="n">
        <x:v>45501</x:v>
      </x:c>
      <x:c r="D3053" s="4" t="str">
        <x:v>Sales operations manager</x:v>
      </x:c>
      <x:c r="E3053" s="4" t="str">
        <x:v>ERP form</x:v>
      </x:c>
      <x:c r="F3053" s="4" t="str">
        <x:v>Record captured</x:v>
      </x:c>
      <x:c r="G3053" s="4" t="str">
        <x:v>Handed over</x:v>
      </x:c>
    </x:row>
    <x:row r="3054" ht="34" customHeight="1">
      <x:c r="A3054" s="4" t="str">
        <x:v>RS-03053-E1</x:v>
      </x:c>
      <x:c r="B3054" s="4" t="str">
        <x:v>RS-03053</x:v>
      </x:c>
      <x:c r="C3054" s="8" t="n">
        <x:v>45474</x:v>
      </x:c>
      <x:c r="D3054" s="4" t="str">
        <x:v>Sales operations manager</x:v>
      </x:c>
      <x:c r="E3054" s="4" t="str">
        <x:v>ERP form</x:v>
      </x:c>
      <x:c r="F3054" s="4" t="str">
        <x:v>Record captured</x:v>
      </x:c>
      <x:c r="G3054" s="4" t="str">
        <x:v>Enquiry</x:v>
      </x:c>
    </x:row>
    <x:row r="3055" ht="34" customHeight="1">
      <x:c r="A3055" s="4" t="str">
        <x:v>RS-03054-E1</x:v>
      </x:c>
      <x:c r="B3055" s="4" t="str">
        <x:v>RS-03054</x:v>
      </x:c>
      <x:c r="C3055" s="8" t="n">
        <x:v>45475</x:v>
      </x:c>
      <x:c r="D3055" s="4" t="str">
        <x:v>Sales operations manager</x:v>
      </x:c>
      <x:c r="E3055" s="4" t="str">
        <x:v>Paper transcribed</x:v>
      </x:c>
      <x:c r="F3055" s="4" t="str">
        <x:v>Record captured</x:v>
      </x:c>
      <x:c r="G3055" s="4" t="str">
        <x:v>Reserved</x:v>
      </x:c>
    </x:row>
    <x:row r="3056" ht="34" customHeight="1">
      <x:c r="A3056" s="4" t="str">
        <x:v>RS-03055-E1</x:v>
      </x:c>
      <x:c r="B3056" s="4" t="str">
        <x:v>RS-03055</x:v>
      </x:c>
      <x:c r="C3056" s="8" t="n">
        <x:v>45476</x:v>
      </x:c>
      <x:c r="D3056" s="4" t="str">
        <x:v>Sales operations manager</x:v>
      </x:c>
      <x:c r="E3056" s="4" t="str">
        <x:v>ERP form</x:v>
      </x:c>
      <x:c r="F3056" s="4" t="str">
        <x:v>Record captured</x:v>
      </x:c>
      <x:c r="G3056" s="4" t="str">
        <x:v>Agreement signed</x:v>
      </x:c>
    </x:row>
    <x:row r="3057" ht="34" customHeight="1">
      <x:c r="A3057" s="4" t="str">
        <x:v>RS-03056-E1</x:v>
      </x:c>
      <x:c r="B3057" s="4" t="str">
        <x:v>RS-03056</x:v>
      </x:c>
      <x:c r="C3057" s="8" t="n">
        <x:v>45477</x:v>
      </x:c>
      <x:c r="D3057" s="4" t="str">
        <x:v>Sales operations manager</x:v>
      </x:c>
      <x:c r="E3057" s="4" t="str">
        <x:v>Paper transcribed</x:v>
      </x:c>
      <x:c r="F3057" s="4" t="str">
        <x:v>Record captured</x:v>
      </x:c>
      <x:c r="G3057" s="4" t="str">
        <x:v>Enquiry</x:v>
      </x:c>
    </x:row>
    <x:row r="3058" ht="34" customHeight="1">
      <x:c r="A3058" s="4" t="str">
        <x:v>RS-03057-E1</x:v>
      </x:c>
      <x:c r="B3058" s="4" t="str">
        <x:v>RS-03057</x:v>
      </x:c>
      <x:c r="C3058" s="8" t="n">
        <x:v>45478</x:v>
      </x:c>
      <x:c r="D3058" s="4" t="str">
        <x:v>Sales operations manager</x:v>
      </x:c>
      <x:c r="E3058" s="4" t="str">
        <x:v>WhatsApp transcribed</x:v>
      </x:c>
      <x:c r="F3058" s="4" t="str">
        <x:v>Record captured</x:v>
      </x:c>
      <x:c r="G3058" s="4" t="str">
        <x:v>Agreement signed</x:v>
      </x:c>
    </x:row>
    <x:row r="3059" ht="34" customHeight="1">
      <x:c r="A3059" s="4" t="str">
        <x:v>RS-03058-E1</x:v>
      </x:c>
      <x:c r="B3059" s="4" t="str">
        <x:v>RS-03058</x:v>
      </x:c>
      <x:c r="C3059" s="8" t="n">
        <x:v>45479</x:v>
      </x:c>
      <x:c r="D3059" s="4" t="str">
        <x:v>Sales operations manager</x:v>
      </x:c>
      <x:c r="E3059" s="4" t="str">
        <x:v>Paper transcribed</x:v>
      </x:c>
      <x:c r="F3059" s="4" t="str">
        <x:v>Record captured</x:v>
      </x:c>
      <x:c r="G3059" s="4" t="str">
        <x:v>Reserved</x:v>
      </x:c>
    </x:row>
    <x:row r="3060" ht="34" customHeight="1">
      <x:c r="A3060" s="4" t="str">
        <x:v>RS-03059-E1</x:v>
      </x:c>
      <x:c r="B3060" s="4" t="str">
        <x:v>RS-03059</x:v>
      </x:c>
      <x:c r="C3060" s="8" t="n">
        <x:v>45480</x:v>
      </x:c>
      <x:c r="D3060" s="4" t="str">
        <x:v>Sales operations manager</x:v>
      </x:c>
      <x:c r="E3060" s="4" t="str">
        <x:v>Spreadsheet import</x:v>
      </x:c>
      <x:c r="F3060" s="4" t="str">
        <x:v>Record captured</x:v>
      </x:c>
      <x:c r="G3060" s="4" t="str">
        <x:v>Booked</x:v>
      </x:c>
    </x:row>
    <x:row r="3061" ht="34" customHeight="1">
      <x:c r="A3061" s="4" t="str">
        <x:v>RS-03060-E1</x:v>
      </x:c>
      <x:c r="B3061" s="4" t="str">
        <x:v>RS-03060</x:v>
      </x:c>
      <x:c r="C3061" s="8" t="n">
        <x:v>45481</x:v>
      </x:c>
      <x:c r="D3061" s="4" t="str">
        <x:v>Sales operations manager</x:v>
      </x:c>
      <x:c r="E3061" s="4" t="str">
        <x:v>Spreadsheet import</x:v>
      </x:c>
      <x:c r="F3061" s="4" t="str">
        <x:v>Record captured</x:v>
      </x:c>
      <x:c r="G3061" s="4" t="str">
        <x:v>Booked</x:v>
      </x:c>
    </x:row>
    <x:row r="3062" ht="34" customHeight="1">
      <x:c r="A3062" s="4" t="str">
        <x:v>RS-03061-E1</x:v>
      </x:c>
      <x:c r="B3062" s="4" t="str">
        <x:v>RS-03061</x:v>
      </x:c>
      <x:c r="C3062" s="8" t="n">
        <x:v>45482</x:v>
      </x:c>
      <x:c r="D3062" s="4" t="str">
        <x:v>Sales operations manager</x:v>
      </x:c>
      <x:c r="E3062" s="4" t="str">
        <x:v>WhatsApp transcribed</x:v>
      </x:c>
      <x:c r="F3062" s="4" t="str">
        <x:v>Record captured</x:v>
      </x:c>
      <x:c r="G3062" s="4" t="str">
        <x:v>Reserved</x:v>
      </x:c>
    </x:row>
    <x:row r="3063" ht="34" customHeight="1">
      <x:c r="A3063" s="4" t="str">
        <x:v>RS-03062-E1</x:v>
      </x:c>
      <x:c r="B3063" s="4" t="str">
        <x:v>RS-03062</x:v>
      </x:c>
      <x:c r="C3063" s="8" t="n">
        <x:v>45483</x:v>
      </x:c>
      <x:c r="D3063" s="4" t="str">
        <x:v>Sales operations manager</x:v>
      </x:c>
      <x:c r="E3063" s="4" t="str">
        <x:v>Spreadsheet import</x:v>
      </x:c>
      <x:c r="F3063" s="4" t="str">
        <x:v>Record captured</x:v>
      </x:c>
      <x:c r="G3063" s="4" t="str">
        <x:v>Cancelled</x:v>
      </x:c>
    </x:row>
    <x:row r="3064" ht="34" customHeight="1">
      <x:c r="A3064" s="4" t="str">
        <x:v>RS-03063-E1</x:v>
      </x:c>
      <x:c r="B3064" s="4" t="str">
        <x:v>RS-03063</x:v>
      </x:c>
      <x:c r="C3064" s="8" t="n">
        <x:v>45484</x:v>
      </x:c>
      <x:c r="D3064" s="4" t="str">
        <x:v>Sales operations manager</x:v>
      </x:c>
      <x:c r="E3064" s="4" t="str">
        <x:v>Spreadsheet import</x:v>
      </x:c>
      <x:c r="F3064" s="4" t="str">
        <x:v>Record captured</x:v>
      </x:c>
      <x:c r="G3064" s="4" t="str">
        <x:v>Agreement signed</x:v>
      </x:c>
    </x:row>
    <x:row r="3065" ht="34" customHeight="1">
      <x:c r="A3065" s="4" t="str">
        <x:v>RS-03064-E1</x:v>
      </x:c>
      <x:c r="B3065" s="4" t="str">
        <x:v>RS-03064</x:v>
      </x:c>
      <x:c r="C3065" s="8" t="n">
        <x:v>45485</x:v>
      </x:c>
      <x:c r="D3065" s="4" t="str">
        <x:v>Sales operations manager</x:v>
      </x:c>
      <x:c r="E3065" s="4" t="str">
        <x:v>ERP form</x:v>
      </x:c>
      <x:c r="F3065" s="4" t="str">
        <x:v>Record captured</x:v>
      </x:c>
      <x:c r="G3065" s="4" t="str">
        <x:v>Handed over</x:v>
      </x:c>
    </x:row>
    <x:row r="3066" ht="34" customHeight="1">
      <x:c r="A3066" s="4" t="str">
        <x:v>RS-03065-E1</x:v>
      </x:c>
      <x:c r="B3066" s="4" t="str">
        <x:v>RS-03065</x:v>
      </x:c>
      <x:c r="C3066" s="8" t="n">
        <x:v>45486</x:v>
      </x:c>
      <x:c r="D3066" s="4" t="str">
        <x:v>Sales operations manager</x:v>
      </x:c>
      <x:c r="E3066" s="4" t="str">
        <x:v>ERP form</x:v>
      </x:c>
      <x:c r="F3066" s="4" t="str">
        <x:v>Record captured</x:v>
      </x:c>
      <x:c r="G3066" s="4" t="str">
        <x:v>Handed over</x:v>
      </x:c>
    </x:row>
    <x:row r="3067" ht="34" customHeight="1">
      <x:c r="A3067" s="4" t="str">
        <x:v>RS-03066-E1</x:v>
      </x:c>
      <x:c r="B3067" s="4" t="str">
        <x:v>RS-03066</x:v>
      </x:c>
      <x:c r="C3067" s="8" t="n">
        <x:v>45487</x:v>
      </x:c>
      <x:c r="D3067" s="4" t="str">
        <x:v>Sales operations manager</x:v>
      </x:c>
      <x:c r="E3067" s="4" t="str">
        <x:v>WhatsApp transcribed</x:v>
      </x:c>
      <x:c r="F3067" s="4" t="str">
        <x:v>Record captured</x:v>
      </x:c>
      <x:c r="G3067" s="4" t="str">
        <x:v>Booked</x:v>
      </x:c>
    </x:row>
    <x:row r="3068" ht="34" customHeight="1">
      <x:c r="A3068" s="4" t="str">
        <x:v>RS-03067-E1</x:v>
      </x:c>
      <x:c r="B3068" s="4" t="str">
        <x:v>RS-03067</x:v>
      </x:c>
      <x:c r="C3068" s="8" t="n">
        <x:v>45488</x:v>
      </x:c>
      <x:c r="D3068" s="4" t="str">
        <x:v>Sales operations manager</x:v>
      </x:c>
      <x:c r="E3068" s="4" t="str">
        <x:v>Spreadsheet import</x:v>
      </x:c>
      <x:c r="F3068" s="4" t="str">
        <x:v>Record captured</x:v>
      </x:c>
      <x:c r="G3068" s="4" t="str">
        <x:v>Enquiry</x:v>
      </x:c>
    </x:row>
    <x:row r="3069" ht="34" customHeight="1">
      <x:c r="A3069" s="4" t="str">
        <x:v>RS-03068-E1</x:v>
      </x:c>
      <x:c r="B3069" s="4" t="str">
        <x:v>RS-03068</x:v>
      </x:c>
      <x:c r="C3069" s="8" t="n">
        <x:v>45489</x:v>
      </x:c>
      <x:c r="D3069" s="4" t="str">
        <x:v>Sales operations manager</x:v>
      </x:c>
      <x:c r="E3069" s="4" t="str">
        <x:v>WhatsApp transcribed</x:v>
      </x:c>
      <x:c r="F3069" s="4" t="str">
        <x:v>Record captured</x:v>
      </x:c>
      <x:c r="G3069" s="4" t="str">
        <x:v>Handed over</x:v>
      </x:c>
    </x:row>
    <x:row r="3070" ht="34" customHeight="1">
      <x:c r="A3070" s="4" t="str">
        <x:v>RS-03069-E1</x:v>
      </x:c>
      <x:c r="B3070" s="4" t="str">
        <x:v>RS-03069</x:v>
      </x:c>
      <x:c r="C3070" s="8" t="n">
        <x:v>45490</x:v>
      </x:c>
      <x:c r="D3070" s="4" t="str">
        <x:v>Sales operations manager</x:v>
      </x:c>
      <x:c r="E3070" s="4" t="str">
        <x:v>Paper transcribed</x:v>
      </x:c>
      <x:c r="F3070" s="4" t="str">
        <x:v>Record captured</x:v>
      </x:c>
      <x:c r="G3070" s="4" t="str">
        <x:v>Enquiry</x:v>
      </x:c>
    </x:row>
    <x:row r="3071" ht="34" customHeight="1">
      <x:c r="A3071" s="4" t="str">
        <x:v>RS-03070-E1</x:v>
      </x:c>
      <x:c r="B3071" s="4" t="str">
        <x:v>RS-03070</x:v>
      </x:c>
      <x:c r="C3071" s="8" t="n">
        <x:v>45491</x:v>
      </x:c>
      <x:c r="D3071" s="4" t="str">
        <x:v>Sales operations manager</x:v>
      </x:c>
      <x:c r="E3071" s="4" t="str">
        <x:v>WhatsApp transcribed</x:v>
      </x:c>
      <x:c r="F3071" s="4" t="str">
        <x:v>Record captured</x:v>
      </x:c>
      <x:c r="G3071" s="4" t="str">
        <x:v>Reserved</x:v>
      </x:c>
    </x:row>
    <x:row r="3072" ht="34" customHeight="1">
      <x:c r="A3072" s="4" t="str">
        <x:v>RS-03071-E1</x:v>
      </x:c>
      <x:c r="B3072" s="4" t="str">
        <x:v>RS-03071</x:v>
      </x:c>
      <x:c r="C3072" s="8" t="n">
        <x:v>45492</x:v>
      </x:c>
      <x:c r="D3072" s="4" t="str">
        <x:v>Sales operations manager</x:v>
      </x:c>
      <x:c r="E3072" s="4" t="str">
        <x:v>Paper transcribed</x:v>
      </x:c>
      <x:c r="F3072" s="4" t="str">
        <x:v>Record captured</x:v>
      </x:c>
      <x:c r="G3072" s="4" t="str">
        <x:v>Reserved</x:v>
      </x:c>
    </x:row>
    <x:row r="3073" ht="34" customHeight="1">
      <x:c r="A3073" s="4" t="str">
        <x:v>RS-03072-E1</x:v>
      </x:c>
      <x:c r="B3073" s="4" t="str">
        <x:v>RS-03072</x:v>
      </x:c>
      <x:c r="C3073" s="8" t="n">
        <x:v>45493</x:v>
      </x:c>
      <x:c r="D3073" s="4" t="str">
        <x:v>Sales operations manager</x:v>
      </x:c>
      <x:c r="E3073" s="4" t="str">
        <x:v>Spreadsheet import</x:v>
      </x:c>
      <x:c r="F3073" s="4" t="str">
        <x:v>Record captured</x:v>
      </x:c>
      <x:c r="G3073" s="4" t="str">
        <x:v>Enquiry</x:v>
      </x:c>
    </x:row>
    <x:row r="3074" ht="34" customHeight="1">
      <x:c r="A3074" s="4" t="str">
        <x:v>RS-03073-E1</x:v>
      </x:c>
      <x:c r="B3074" s="4" t="str">
        <x:v>RS-03073</x:v>
      </x:c>
      <x:c r="C3074" s="8" t="n">
        <x:v>45494</x:v>
      </x:c>
      <x:c r="D3074" s="4" t="str">
        <x:v>Sales operations manager</x:v>
      </x:c>
      <x:c r="E3074" s="4" t="str">
        <x:v>Paper transcribed</x:v>
      </x:c>
      <x:c r="F3074" s="4" t="str">
        <x:v>Record captured</x:v>
      </x:c>
      <x:c r="G3074" s="4" t="str">
        <x:v>Reserved</x:v>
      </x:c>
    </x:row>
    <x:row r="3075" ht="34" customHeight="1">
      <x:c r="A3075" s="4" t="str">
        <x:v>RS-03074-E1</x:v>
      </x:c>
      <x:c r="B3075" s="4" t="str">
        <x:v>RS-03074</x:v>
      </x:c>
      <x:c r="C3075" s="8" t="n">
        <x:v>45495</x:v>
      </x:c>
      <x:c r="D3075" s="4" t="str">
        <x:v>Sales operations manager</x:v>
      </x:c>
      <x:c r="E3075" s="4" t="str">
        <x:v>WhatsApp transcribed</x:v>
      </x:c>
      <x:c r="F3075" s="4" t="str">
        <x:v>Record captured</x:v>
      </x:c>
      <x:c r="G3075" s="4" t="str">
        <x:v>Enquiry</x:v>
      </x:c>
    </x:row>
    <x:row r="3076" ht="34" customHeight="1">
      <x:c r="A3076" s="4" t="str">
        <x:v>RS-03075-E1</x:v>
      </x:c>
      <x:c r="B3076" s="4" t="str">
        <x:v>RS-03075</x:v>
      </x:c>
      <x:c r="C3076" s="8" t="n">
        <x:v>45496</x:v>
      </x:c>
      <x:c r="D3076" s="4" t="str">
        <x:v>Sales operations manager</x:v>
      </x:c>
      <x:c r="E3076" s="4" t="str">
        <x:v>Paper transcribed</x:v>
      </x:c>
      <x:c r="F3076" s="4" t="str">
        <x:v>Record captured</x:v>
      </x:c>
      <x:c r="G3076" s="4" t="str">
        <x:v>Reserved</x:v>
      </x:c>
    </x:row>
    <x:row r="3077" ht="34" customHeight="1">
      <x:c r="A3077" s="4" t="str">
        <x:v>RS-03076-E1</x:v>
      </x:c>
      <x:c r="B3077" s="4" t="str">
        <x:v>RS-03076</x:v>
      </x:c>
      <x:c r="C3077" s="8" t="n">
        <x:v>45497</x:v>
      </x:c>
      <x:c r="D3077" s="4" t="str">
        <x:v>Sales operations manager</x:v>
      </x:c>
      <x:c r="E3077" s="4" t="str">
        <x:v>ERP form</x:v>
      </x:c>
      <x:c r="F3077" s="4" t="str">
        <x:v>Record captured</x:v>
      </x:c>
      <x:c r="G3077" s="4" t="str">
        <x:v>Booked</x:v>
      </x:c>
    </x:row>
    <x:row r="3078" ht="34" customHeight="1">
      <x:c r="A3078" s="4" t="str">
        <x:v>RS-03077-E1</x:v>
      </x:c>
      <x:c r="B3078" s="4" t="str">
        <x:v>RS-03077</x:v>
      </x:c>
      <x:c r="C3078" s="8" t="n">
        <x:v>45498</x:v>
      </x:c>
      <x:c r="D3078" s="4" t="str">
        <x:v>Sales operations manager</x:v>
      </x:c>
      <x:c r="E3078" s="4" t="str">
        <x:v>ERP form</x:v>
      </x:c>
      <x:c r="F3078" s="4" t="str">
        <x:v>Record captured</x:v>
      </x:c>
      <x:c r="G3078" s="4" t="str">
        <x:v>Enquiry</x:v>
      </x:c>
    </x:row>
    <x:row r="3079" ht="34" customHeight="1">
      <x:c r="A3079" s="4" t="str">
        <x:v>RS-03078-E1</x:v>
      </x:c>
      <x:c r="B3079" s="4" t="str">
        <x:v>RS-03078</x:v>
      </x:c>
      <x:c r="C3079" s="8" t="n">
        <x:v>45499</x:v>
      </x:c>
      <x:c r="D3079" s="4" t="str">
        <x:v>Sales operations manager</x:v>
      </x:c>
      <x:c r="E3079" s="4" t="str">
        <x:v>WhatsApp transcribed</x:v>
      </x:c>
      <x:c r="F3079" s="4" t="str">
        <x:v>Record captured</x:v>
      </x:c>
      <x:c r="G3079" s="4" t="str">
        <x:v>Reserved</x:v>
      </x:c>
    </x:row>
    <x:row r="3080" ht="34" customHeight="1">
      <x:c r="A3080" s="4" t="str">
        <x:v>RS-03079-E1</x:v>
      </x:c>
      <x:c r="B3080" s="4" t="str">
        <x:v>RS-03079</x:v>
      </x:c>
      <x:c r="C3080" s="8" t="n">
        <x:v>45500</x:v>
      </x:c>
      <x:c r="D3080" s="4" t="str">
        <x:v>Sales operations manager</x:v>
      </x:c>
      <x:c r="E3080" s="4" t="str">
        <x:v>WhatsApp transcribed</x:v>
      </x:c>
      <x:c r="F3080" s="4" t="str">
        <x:v>Record captured</x:v>
      </x:c>
      <x:c r="G3080" s="4" t="str">
        <x:v>Booked</x:v>
      </x:c>
    </x:row>
    <x:row r="3081" ht="34" customHeight="1">
      <x:c r="A3081" s="4" t="str">
        <x:v>RS-03080-E1</x:v>
      </x:c>
      <x:c r="B3081" s="4" t="str">
        <x:v>RS-03080</x:v>
      </x:c>
      <x:c r="C3081" s="8" t="n">
        <x:v>45501</x:v>
      </x:c>
      <x:c r="D3081" s="4" t="str">
        <x:v>Sales operations manager</x:v>
      </x:c>
      <x:c r="E3081" s="4" t="str">
        <x:v>WhatsApp transcribed</x:v>
      </x:c>
      <x:c r="F3081" s="4" t="str">
        <x:v>Record captured</x:v>
      </x:c>
      <x:c r="G3081" s="4" t="str">
        <x:v>Cancelled</x:v>
      </x:c>
    </x:row>
    <x:row r="3082" ht="34" customHeight="1">
      <x:c r="A3082" s="4" t="str">
        <x:v>RS-03081-E1</x:v>
      </x:c>
      <x:c r="B3082" s="4" t="str">
        <x:v>RS-03081</x:v>
      </x:c>
      <x:c r="C3082" s="8" t="n">
        <x:v>45474</x:v>
      </x:c>
      <x:c r="D3082" s="4" t="str">
        <x:v>Sales operations manager</x:v>
      </x:c>
      <x:c r="E3082" s="4" t="str">
        <x:v>WhatsApp transcribed</x:v>
      </x:c>
      <x:c r="F3082" s="4" t="str">
        <x:v>Record captured</x:v>
      </x:c>
      <x:c r="G3082" s="4" t="str">
        <x:v>Enquiry</x:v>
      </x:c>
    </x:row>
    <x:row r="3083" ht="34" customHeight="1">
      <x:c r="A3083" s="4" t="str">
        <x:v>RS-03082-E1</x:v>
      </x:c>
      <x:c r="B3083" s="4" t="str">
        <x:v>RS-03082</x:v>
      </x:c>
      <x:c r="C3083" s="8" t="n">
        <x:v>45475</x:v>
      </x:c>
      <x:c r="D3083" s="4" t="str">
        <x:v>Sales operations manager</x:v>
      </x:c>
      <x:c r="E3083" s="4" t="str">
        <x:v>ERP form</x:v>
      </x:c>
      <x:c r="F3083" s="4" t="str">
        <x:v>Record captured</x:v>
      </x:c>
      <x:c r="G3083" s="4" t="str">
        <x:v>Handed over</x:v>
      </x:c>
    </x:row>
    <x:row r="3084" ht="34" customHeight="1">
      <x:c r="A3084" s="4" t="str">
        <x:v>RS-03083-E1</x:v>
      </x:c>
      <x:c r="B3084" s="4" t="str">
        <x:v>RS-03083</x:v>
      </x:c>
      <x:c r="C3084" s="8" t="n">
        <x:v>45476</x:v>
      </x:c>
      <x:c r="D3084" s="4" t="str">
        <x:v>Sales operations manager</x:v>
      </x:c>
      <x:c r="E3084" s="4" t="str">
        <x:v>ERP form</x:v>
      </x:c>
      <x:c r="F3084" s="4" t="str">
        <x:v>Record captured</x:v>
      </x:c>
      <x:c r="G3084" s="4" t="str">
        <x:v>Handed over</x:v>
      </x:c>
    </x:row>
    <x:row r="3085" ht="34" customHeight="1">
      <x:c r="A3085" s="4" t="str">
        <x:v>RS-03084-E1</x:v>
      </x:c>
      <x:c r="B3085" s="4" t="str">
        <x:v>RS-03084</x:v>
      </x:c>
      <x:c r="C3085" s="8" t="n">
        <x:v>45477</x:v>
      </x:c>
      <x:c r="D3085" s="4" t="str">
        <x:v>Sales operations manager</x:v>
      </x:c>
      <x:c r="E3085" s="4" t="str">
        <x:v>ERP form</x:v>
      </x:c>
      <x:c r="F3085" s="4" t="str">
        <x:v>Record captured</x:v>
      </x:c>
      <x:c r="G3085" s="4" t="str">
        <x:v>Reserved</x:v>
      </x:c>
    </x:row>
    <x:row r="3086" ht="34" customHeight="1">
      <x:c r="A3086" s="4" t="str">
        <x:v>RS-03085-E1</x:v>
      </x:c>
      <x:c r="B3086" s="4" t="str">
        <x:v>RS-03085</x:v>
      </x:c>
      <x:c r="C3086" s="8" t="n">
        <x:v>45478</x:v>
      </x:c>
      <x:c r="D3086" s="4" t="str">
        <x:v>Sales operations manager</x:v>
      </x:c>
      <x:c r="E3086" s="4" t="str">
        <x:v>Spreadsheet import</x:v>
      </x:c>
      <x:c r="F3086" s="4" t="str">
        <x:v>Record captured</x:v>
      </x:c>
      <x:c r="G3086" s="4" t="str">
        <x:v>Enquiry</x:v>
      </x:c>
    </x:row>
    <x:row r="3087" ht="34" customHeight="1">
      <x:c r="A3087" s="4" t="str">
        <x:v>RS-03086-E1</x:v>
      </x:c>
      <x:c r="B3087" s="4" t="str">
        <x:v>RS-03086</x:v>
      </x:c>
      <x:c r="C3087" s="8" t="n">
        <x:v>45479</x:v>
      </x:c>
      <x:c r="D3087" s="4" t="str">
        <x:v>Sales operations manager</x:v>
      </x:c>
      <x:c r="E3087" s="4" t="str">
        <x:v>Spreadsheet import</x:v>
      </x:c>
      <x:c r="F3087" s="4" t="str">
        <x:v>Record captured</x:v>
      </x:c>
      <x:c r="G3087" s="4" t="str">
        <x:v>Handed over</x:v>
      </x:c>
    </x:row>
    <x:row r="3088" ht="34" customHeight="1">
      <x:c r="A3088" s="4" t="str">
        <x:v>RS-03087-E1</x:v>
      </x:c>
      <x:c r="B3088" s="4" t="str">
        <x:v>RS-03087</x:v>
      </x:c>
      <x:c r="C3088" s="8" t="n">
        <x:v>45480</x:v>
      </x:c>
      <x:c r="D3088" s="4" t="str">
        <x:v>Sales operations manager</x:v>
      </x:c>
      <x:c r="E3088" s="4" t="str">
        <x:v>Paper transcribed</x:v>
      </x:c>
      <x:c r="F3088" s="4" t="str">
        <x:v>Record captured</x:v>
      </x:c>
      <x:c r="G3088" s="4" t="str">
        <x:v>Enquiry</x:v>
      </x:c>
    </x:row>
    <x:row r="3089" ht="34" customHeight="1">
      <x:c r="A3089" s="4" t="str">
        <x:v>RS-03088-E1</x:v>
      </x:c>
      <x:c r="B3089" s="4" t="str">
        <x:v>RS-03088</x:v>
      </x:c>
      <x:c r="C3089" s="8" t="n">
        <x:v>45481</x:v>
      </x:c>
      <x:c r="D3089" s="4" t="str">
        <x:v>Sales operations manager</x:v>
      </x:c>
      <x:c r="E3089" s="4" t="str">
        <x:v>WhatsApp transcribed</x:v>
      </x:c>
      <x:c r="F3089" s="4" t="str">
        <x:v>Record captured</x:v>
      </x:c>
      <x:c r="G3089" s="4" t="str">
        <x:v>Agreement signed</x:v>
      </x:c>
    </x:row>
    <x:row r="3090" ht="34" customHeight="1">
      <x:c r="A3090" s="4" t="str">
        <x:v>RS-03089-E1</x:v>
      </x:c>
      <x:c r="B3090" s="4" t="str">
        <x:v>RS-03089</x:v>
      </x:c>
      <x:c r="C3090" s="8" t="n">
        <x:v>45482</x:v>
      </x:c>
      <x:c r="D3090" s="4" t="str">
        <x:v>Sales operations manager</x:v>
      </x:c>
      <x:c r="E3090" s="4" t="str">
        <x:v>WhatsApp transcribed</x:v>
      </x:c>
      <x:c r="F3090" s="4" t="str">
        <x:v>Record captured</x:v>
      </x:c>
      <x:c r="G3090" s="4" t="str">
        <x:v>Booked</x:v>
      </x:c>
    </x:row>
    <x:row r="3091" ht="34" customHeight="1">
      <x:c r="A3091" s="4" t="str">
        <x:v>RS-03090-E1</x:v>
      </x:c>
      <x:c r="B3091" s="4" t="str">
        <x:v>RS-03090</x:v>
      </x:c>
      <x:c r="C3091" s="8" t="n">
        <x:v>45483</x:v>
      </x:c>
      <x:c r="D3091" s="4" t="str">
        <x:v>Sales operations manager</x:v>
      </x:c>
      <x:c r="E3091" s="4" t="str">
        <x:v>Spreadsheet import</x:v>
      </x:c>
      <x:c r="F3091" s="4" t="str">
        <x:v>Record captured</x:v>
      </x:c>
      <x:c r="G3091" s="4" t="str">
        <x:v>Agreement signed</x:v>
      </x:c>
    </x:row>
    <x:row r="3092" ht="34" customHeight="1">
      <x:c r="A3092" s="4" t="str">
        <x:v>RS-03091-E1</x:v>
      </x:c>
      <x:c r="B3092" s="4" t="str">
        <x:v>RS-03091</x:v>
      </x:c>
      <x:c r="C3092" s="8" t="n">
        <x:v>45484</x:v>
      </x:c>
      <x:c r="D3092" s="4" t="str">
        <x:v>Sales operations manager</x:v>
      </x:c>
      <x:c r="E3092" s="4" t="str">
        <x:v>Paper transcribed</x:v>
      </x:c>
      <x:c r="F3092" s="4" t="str">
        <x:v>Record captured</x:v>
      </x:c>
      <x:c r="G3092" s="4" t="str">
        <x:v>Handed over</x:v>
      </x:c>
    </x:row>
    <x:row r="3093" ht="34" customHeight="1">
      <x:c r="A3093" s="4" t="str">
        <x:v>RS-03092-E1</x:v>
      </x:c>
      <x:c r="B3093" s="4" t="str">
        <x:v>RS-03092</x:v>
      </x:c>
      <x:c r="C3093" s="8" t="n">
        <x:v>45485</x:v>
      </x:c>
      <x:c r="D3093" s="4" t="str">
        <x:v>Sales operations manager</x:v>
      </x:c>
      <x:c r="E3093" s="4" t="str">
        <x:v>Spreadsheet import</x:v>
      </x:c>
      <x:c r="F3093" s="4" t="str">
        <x:v>Record captured</x:v>
      </x:c>
      <x:c r="G3093" s="4" t="str">
        <x:v>Cancelled</x:v>
      </x:c>
    </x:row>
    <x:row r="3094" ht="34" customHeight="1">
      <x:c r="A3094" s="4" t="str">
        <x:v>RS-03093-E1</x:v>
      </x:c>
      <x:c r="B3094" s="4" t="str">
        <x:v>RS-03093</x:v>
      </x:c>
      <x:c r="C3094" s="8" t="n">
        <x:v>45486</x:v>
      </x:c>
      <x:c r="D3094" s="4" t="str">
        <x:v>Sales operations manager</x:v>
      </x:c>
      <x:c r="E3094" s="4" t="str">
        <x:v>ERP form</x:v>
      </x:c>
      <x:c r="F3094" s="4" t="str">
        <x:v>Record captured</x:v>
      </x:c>
      <x:c r="G3094" s="4" t="str">
        <x:v>Agreement signed</x:v>
      </x:c>
    </x:row>
    <x:row r="3095" ht="34" customHeight="1">
      <x:c r="A3095" s="4" t="str">
        <x:v>RS-03094-E1</x:v>
      </x:c>
      <x:c r="B3095" s="4" t="str">
        <x:v>RS-03094</x:v>
      </x:c>
      <x:c r="C3095" s="8" t="n">
        <x:v>45487</x:v>
      </x:c>
      <x:c r="D3095" s="4" t="str">
        <x:v>Sales operations manager</x:v>
      </x:c>
      <x:c r="E3095" s="4" t="str">
        <x:v>Paper transcribed</x:v>
      </x:c>
      <x:c r="F3095" s="4" t="str">
        <x:v>Record captured</x:v>
      </x:c>
      <x:c r="G3095" s="4" t="str">
        <x:v>Agreement signed</x:v>
      </x:c>
    </x:row>
    <x:row r="3096" ht="34" customHeight="1">
      <x:c r="A3096" s="4" t="str">
        <x:v>RS-03095-E1</x:v>
      </x:c>
      <x:c r="B3096" s="4" t="str">
        <x:v>RS-03095</x:v>
      </x:c>
      <x:c r="C3096" s="8" t="n">
        <x:v>45488</x:v>
      </x:c>
      <x:c r="D3096" s="4" t="str">
        <x:v>Sales operations manager</x:v>
      </x:c>
      <x:c r="E3096" s="4" t="str">
        <x:v>ERP form</x:v>
      </x:c>
      <x:c r="F3096" s="4" t="str">
        <x:v>Record captured</x:v>
      </x:c>
      <x:c r="G3096" s="4" t="str">
        <x:v>Agreement signed</x:v>
      </x:c>
    </x:row>
    <x:row r="3097" ht="34" customHeight="1">
      <x:c r="A3097" s="4" t="str">
        <x:v>RS-03096-E1</x:v>
      </x:c>
      <x:c r="B3097" s="4" t="str">
        <x:v>RS-03096</x:v>
      </x:c>
      <x:c r="C3097" s="8" t="n">
        <x:v>45489</x:v>
      </x:c>
      <x:c r="D3097" s="4" t="str">
        <x:v>Sales operations manager</x:v>
      </x:c>
      <x:c r="E3097" s="4" t="str">
        <x:v>Spreadsheet import</x:v>
      </x:c>
      <x:c r="F3097" s="4" t="str">
        <x:v>Record captured</x:v>
      </x:c>
      <x:c r="G3097" s="4" t="str">
        <x:v>Enquiry</x:v>
      </x:c>
    </x:row>
    <x:row r="3098" ht="34" customHeight="1">
      <x:c r="A3098" s="4" t="str">
        <x:v>RS-03097-E1</x:v>
      </x:c>
      <x:c r="B3098" s="4" t="str">
        <x:v>RS-03097</x:v>
      </x:c>
      <x:c r="C3098" s="8" t="n">
        <x:v>45490</x:v>
      </x:c>
      <x:c r="D3098" s="4" t="str">
        <x:v>Sales operations manager</x:v>
      </x:c>
      <x:c r="E3098" s="4" t="str">
        <x:v>Spreadsheet import</x:v>
      </x:c>
      <x:c r="F3098" s="4" t="str">
        <x:v>Record captured</x:v>
      </x:c>
      <x:c r="G3098" s="4" t="str">
        <x:v>Handed over</x:v>
      </x:c>
    </x:row>
    <x:row r="3099" ht="34" customHeight="1">
      <x:c r="A3099" s="4" t="str">
        <x:v>RS-03098-E1</x:v>
      </x:c>
      <x:c r="B3099" s="4" t="str">
        <x:v>RS-03098</x:v>
      </x:c>
      <x:c r="C3099" s="8" t="n">
        <x:v>45491</x:v>
      </x:c>
      <x:c r="D3099" s="4" t="str">
        <x:v>Sales operations manager</x:v>
      </x:c>
      <x:c r="E3099" s="4" t="str">
        <x:v>Spreadsheet import</x:v>
      </x:c>
      <x:c r="F3099" s="4" t="str">
        <x:v>Record captured</x:v>
      </x:c>
      <x:c r="G3099" s="4" t="str">
        <x:v>Agreement signed</x:v>
      </x:c>
    </x:row>
    <x:row r="3100" ht="34" customHeight="1">
      <x:c r="A3100" s="4" t="str">
        <x:v>RS-03099-E1</x:v>
      </x:c>
      <x:c r="B3100" s="4" t="str">
        <x:v>RS-03099</x:v>
      </x:c>
      <x:c r="C3100" s="8" t="n">
        <x:v>45492</x:v>
      </x:c>
      <x:c r="D3100" s="4" t="str">
        <x:v>Sales operations manager</x:v>
      </x:c>
      <x:c r="E3100" s="4" t="str">
        <x:v>Spreadsheet import</x:v>
      </x:c>
      <x:c r="F3100" s="4" t="str">
        <x:v>Record captured</x:v>
      </x:c>
      <x:c r="G3100" s="4" t="str">
        <x:v>Reserved</x:v>
      </x:c>
    </x:row>
    <x:row r="3101" ht="34" customHeight="1">
      <x:c r="A3101" s="4" t="str">
        <x:v>RS-03100-E1</x:v>
      </x:c>
      <x:c r="B3101" s="4" t="str">
        <x:v>RS-03100</x:v>
      </x:c>
      <x:c r="C3101" s="8" t="n">
        <x:v>45493</x:v>
      </x:c>
      <x:c r="D3101" s="4" t="str">
        <x:v>Sales operations manager</x:v>
      </x:c>
      <x:c r="E3101" s="4" t="str">
        <x:v>WhatsApp transcribed</x:v>
      </x:c>
      <x:c r="F3101" s="4" t="str">
        <x:v>Record captured</x:v>
      </x:c>
      <x:c r="G3101" s="4" t="str">
        <x:v>Booked</x:v>
      </x:c>
    </x:row>
    <x:row r="3102" ht="34" customHeight="1">
      <x:c r="A3102" s="4" t="str">
        <x:v>RS-03101-E1</x:v>
      </x:c>
      <x:c r="B3102" s="4" t="str">
        <x:v>RS-03101</x:v>
      </x:c>
      <x:c r="C3102" s="8" t="n">
        <x:v>45494</x:v>
      </x:c>
      <x:c r="D3102" s="4" t="str">
        <x:v>Sales operations manager</x:v>
      </x:c>
      <x:c r="E3102" s="4" t="str">
        <x:v>Spreadsheet import</x:v>
      </x:c>
      <x:c r="F3102" s="4" t="str">
        <x:v>Record captured</x:v>
      </x:c>
      <x:c r="G3102" s="4" t="str">
        <x:v>Cancelled</x:v>
      </x:c>
    </x:row>
    <x:row r="3103" ht="34" customHeight="1">
      <x:c r="A3103" s="4" t="str">
        <x:v>RS-03102-E1</x:v>
      </x:c>
      <x:c r="B3103" s="4" t="str">
        <x:v>RS-03102</x:v>
      </x:c>
      <x:c r="C3103" s="8" t="n">
        <x:v>45495</x:v>
      </x:c>
      <x:c r="D3103" s="4" t="str">
        <x:v>Sales operations manager</x:v>
      </x:c>
      <x:c r="E3103" s="4" t="str">
        <x:v>WhatsApp transcribed</x:v>
      </x:c>
      <x:c r="F3103" s="4" t="str">
        <x:v>Record captured</x:v>
      </x:c>
      <x:c r="G3103" s="4" t="str">
        <x:v>Enquiry</x:v>
      </x:c>
    </x:row>
    <x:row r="3104" ht="34" customHeight="1">
      <x:c r="A3104" s="4" t="str">
        <x:v>RS-03103-E1</x:v>
      </x:c>
      <x:c r="B3104" s="4" t="str">
        <x:v>RS-03103</x:v>
      </x:c>
      <x:c r="C3104" s="8" t="n">
        <x:v>45496</x:v>
      </x:c>
      <x:c r="D3104" s="4" t="str">
        <x:v>Sales operations manager</x:v>
      </x:c>
      <x:c r="E3104" s="4" t="str">
        <x:v>Paper transcribed</x:v>
      </x:c>
      <x:c r="F3104" s="4" t="str">
        <x:v>Record captured</x:v>
      </x:c>
      <x:c r="G3104" s="4" t="str">
        <x:v>Cancelled</x:v>
      </x:c>
    </x:row>
    <x:row r="3105" ht="34" customHeight="1">
      <x:c r="A3105" s="4" t="str">
        <x:v>RS-03104-E1</x:v>
      </x:c>
      <x:c r="B3105" s="4" t="str">
        <x:v>RS-03104</x:v>
      </x:c>
      <x:c r="C3105" s="8" t="n">
        <x:v>45497</x:v>
      </x:c>
      <x:c r="D3105" s="4" t="str">
        <x:v>Sales operations manager</x:v>
      </x:c>
      <x:c r="E3105" s="4" t="str">
        <x:v>ERP form</x:v>
      </x:c>
      <x:c r="F3105" s="4" t="str">
        <x:v>Record captured</x:v>
      </x:c>
      <x:c r="G3105" s="4" t="str">
        <x:v>Booked</x:v>
      </x:c>
    </x:row>
    <x:row r="3106" ht="34" customHeight="1">
      <x:c r="A3106" s="4" t="str">
        <x:v>RS-03105-E1</x:v>
      </x:c>
      <x:c r="B3106" s="4" t="str">
        <x:v>RS-03105</x:v>
      </x:c>
      <x:c r="C3106" s="8" t="n">
        <x:v>45498</x:v>
      </x:c>
      <x:c r="D3106" s="4" t="str">
        <x:v>Sales operations manager</x:v>
      </x:c>
      <x:c r="E3106" s="4" t="str">
        <x:v>Spreadsheet import</x:v>
      </x:c>
      <x:c r="F3106" s="4" t="str">
        <x:v>Record captured</x:v>
      </x:c>
      <x:c r="G3106" s="4" t="str">
        <x:v>Reserved</x:v>
      </x:c>
    </x:row>
    <x:row r="3107" ht="34" customHeight="1">
      <x:c r="A3107" s="4" t="str">
        <x:v>RS-03106-E1</x:v>
      </x:c>
      <x:c r="B3107" s="4" t="str">
        <x:v>RS-03106</x:v>
      </x:c>
      <x:c r="C3107" s="8" t="n">
        <x:v>45499</x:v>
      </x:c>
      <x:c r="D3107" s="4" t="str">
        <x:v>Sales operations manager</x:v>
      </x:c>
      <x:c r="E3107" s="4" t="str">
        <x:v>ERP form</x:v>
      </x:c>
      <x:c r="F3107" s="4" t="str">
        <x:v>Record captured</x:v>
      </x:c>
      <x:c r="G3107" s="4" t="str">
        <x:v>Booked</x:v>
      </x:c>
    </x:row>
    <x:row r="3108" ht="34" customHeight="1">
      <x:c r="A3108" s="4" t="str">
        <x:v>RS-03107-E1</x:v>
      </x:c>
      <x:c r="B3108" s="4" t="str">
        <x:v>RS-03107</x:v>
      </x:c>
      <x:c r="C3108" s="8" t="n">
        <x:v>45500</x:v>
      </x:c>
      <x:c r="D3108" s="4" t="str">
        <x:v>Sales operations manager</x:v>
      </x:c>
      <x:c r="E3108" s="4" t="str">
        <x:v>WhatsApp transcribed</x:v>
      </x:c>
      <x:c r="F3108" s="4" t="str">
        <x:v>Record captured</x:v>
      </x:c>
      <x:c r="G3108" s="4" t="str">
        <x:v>Cancelled</x:v>
      </x:c>
    </x:row>
    <x:row r="3109" ht="34" customHeight="1">
      <x:c r="A3109" s="4" t="str">
        <x:v>RS-03108-E1</x:v>
      </x:c>
      <x:c r="B3109" s="4" t="str">
        <x:v>RS-03108</x:v>
      </x:c>
      <x:c r="C3109" s="8" t="n">
        <x:v>45501</x:v>
      </x:c>
      <x:c r="D3109" s="4" t="str">
        <x:v>Sales operations manager</x:v>
      </x:c>
      <x:c r="E3109" s="4" t="str">
        <x:v>WhatsApp transcribed</x:v>
      </x:c>
      <x:c r="F3109" s="4" t="str">
        <x:v>Record captured</x:v>
      </x:c>
      <x:c r="G3109" s="4" t="str">
        <x:v>Agreement signed</x:v>
      </x:c>
    </x:row>
    <x:row r="3110" ht="34" customHeight="1">
      <x:c r="A3110" s="4" t="str">
        <x:v>RS-03109-E1</x:v>
      </x:c>
      <x:c r="B3110" s="4" t="str">
        <x:v>RS-03109</x:v>
      </x:c>
      <x:c r="C3110" s="8" t="n">
        <x:v>45474</x:v>
      </x:c>
      <x:c r="D3110" s="4" t="str">
        <x:v>Sales operations manager</x:v>
      </x:c>
      <x:c r="E3110" s="4" t="str">
        <x:v>Spreadsheet import</x:v>
      </x:c>
      <x:c r="F3110" s="4" t="str">
        <x:v>Record captured</x:v>
      </x:c>
      <x:c r="G3110" s="4" t="str">
        <x:v>Reserved</x:v>
      </x:c>
    </x:row>
    <x:row r="3111" ht="34" customHeight="1">
      <x:c r="A3111" s="4" t="str">
        <x:v>RS-03110-E1</x:v>
      </x:c>
      <x:c r="B3111" s="4" t="str">
        <x:v>RS-03110</x:v>
      </x:c>
      <x:c r="C3111" s="8" t="n">
        <x:v>45475</x:v>
      </x:c>
      <x:c r="D3111" s="4" t="str">
        <x:v>Sales operations manager</x:v>
      </x:c>
      <x:c r="E3111" s="4" t="str">
        <x:v>Spreadsheet import</x:v>
      </x:c>
      <x:c r="F3111" s="4" t="str">
        <x:v>Record captured</x:v>
      </x:c>
      <x:c r="G3111" s="4" t="str">
        <x:v>Reserved</x:v>
      </x:c>
    </x:row>
    <x:row r="3112" ht="34" customHeight="1">
      <x:c r="A3112" s="4" t="str">
        <x:v>RS-03111-E1</x:v>
      </x:c>
      <x:c r="B3112" s="4" t="str">
        <x:v>RS-03111</x:v>
      </x:c>
      <x:c r="C3112" s="8" t="n">
        <x:v>45476</x:v>
      </x:c>
      <x:c r="D3112" s="4" t="str">
        <x:v>Sales operations manager</x:v>
      </x:c>
      <x:c r="E3112" s="4" t="str">
        <x:v>Spreadsheet import</x:v>
      </x:c>
      <x:c r="F3112" s="4" t="str">
        <x:v>Record captured</x:v>
      </x:c>
      <x:c r="G3112" s="4" t="str">
        <x:v>Booked</x:v>
      </x:c>
    </x:row>
    <x:row r="3113" ht="34" customHeight="1">
      <x:c r="A3113" s="4" t="str">
        <x:v>RS-03112-E1</x:v>
      </x:c>
      <x:c r="B3113" s="4" t="str">
        <x:v>RS-03112</x:v>
      </x:c>
      <x:c r="C3113" s="8" t="n">
        <x:v>45477</x:v>
      </x:c>
      <x:c r="D3113" s="4" t="str">
        <x:v>Sales operations manager</x:v>
      </x:c>
      <x:c r="E3113" s="4" t="str">
        <x:v>Spreadsheet import</x:v>
      </x:c>
      <x:c r="F3113" s="4" t="str">
        <x:v>Record captured</x:v>
      </x:c>
      <x:c r="G3113" s="4" t="str">
        <x:v>Handed over</x:v>
      </x:c>
    </x:row>
    <x:row r="3114" ht="34" customHeight="1">
      <x:c r="A3114" s="4" t="str">
        <x:v>RS-03113-E1</x:v>
      </x:c>
      <x:c r="B3114" s="4" t="str">
        <x:v>RS-03113</x:v>
      </x:c>
      <x:c r="C3114" s="8" t="n">
        <x:v>45478</x:v>
      </x:c>
      <x:c r="D3114" s="4" t="str">
        <x:v>Sales operations manager</x:v>
      </x:c>
      <x:c r="E3114" s="4" t="str">
        <x:v>Spreadsheet import</x:v>
      </x:c>
      <x:c r="F3114" s="4" t="str">
        <x:v>Record captured</x:v>
      </x:c>
      <x:c r="G3114" s="4" t="str">
        <x:v>Cancelled</x:v>
      </x:c>
    </x:row>
    <x:row r="3115" ht="34" customHeight="1">
      <x:c r="A3115" s="4" t="str">
        <x:v>RS-03114-E1</x:v>
      </x:c>
      <x:c r="B3115" s="4" t="str">
        <x:v>RS-03114</x:v>
      </x:c>
      <x:c r="C3115" s="8" t="n">
        <x:v>45479</x:v>
      </x:c>
      <x:c r="D3115" s="4" t="str">
        <x:v>Sales operations manager</x:v>
      </x:c>
      <x:c r="E3115" s="4" t="str">
        <x:v>Spreadsheet import</x:v>
      </x:c>
      <x:c r="F3115" s="4" t="str">
        <x:v>Record captured</x:v>
      </x:c>
      <x:c r="G3115" s="4" t="str">
        <x:v>Cancelled</x:v>
      </x:c>
    </x:row>
    <x:row r="3116" ht="34" customHeight="1">
      <x:c r="A3116" s="4" t="str">
        <x:v>RS-03115-E1</x:v>
      </x:c>
      <x:c r="B3116" s="4" t="str">
        <x:v>RS-03115</x:v>
      </x:c>
      <x:c r="C3116" s="8" t="n">
        <x:v>45480</x:v>
      </x:c>
      <x:c r="D3116" s="4" t="str">
        <x:v>Sales operations manager</x:v>
      </x:c>
      <x:c r="E3116" s="4" t="str">
        <x:v>Paper transcribed</x:v>
      </x:c>
      <x:c r="F3116" s="4" t="str">
        <x:v>Record captured</x:v>
      </x:c>
      <x:c r="G3116" s="4" t="str">
        <x:v>Reserved</x:v>
      </x:c>
    </x:row>
    <x:row r="3117" ht="34" customHeight="1">
      <x:c r="A3117" s="4" t="str">
        <x:v>RS-03116-E1</x:v>
      </x:c>
      <x:c r="B3117" s="4" t="str">
        <x:v>RS-03116</x:v>
      </x:c>
      <x:c r="C3117" s="8" t="n">
        <x:v>45481</x:v>
      </x:c>
      <x:c r="D3117" s="4" t="str">
        <x:v>Sales operations manager</x:v>
      </x:c>
      <x:c r="E3117" s="4" t="str">
        <x:v>Spreadsheet import</x:v>
      </x:c>
      <x:c r="F3117" s="4" t="str">
        <x:v>Record captured</x:v>
      </x:c>
      <x:c r="G3117" s="4" t="str">
        <x:v>Booked</x:v>
      </x:c>
    </x:row>
    <x:row r="3118" ht="34" customHeight="1">
      <x:c r="A3118" s="4" t="str">
        <x:v>RS-03117-E1</x:v>
      </x:c>
      <x:c r="B3118" s="4" t="str">
        <x:v>RS-03117</x:v>
      </x:c>
      <x:c r="C3118" s="8" t="n">
        <x:v>45482</x:v>
      </x:c>
      <x:c r="D3118" s="4" t="str">
        <x:v>Sales operations manager</x:v>
      </x:c>
      <x:c r="E3118" s="4" t="str">
        <x:v>Paper transcribed</x:v>
      </x:c>
      <x:c r="F3118" s="4" t="str">
        <x:v>Record captured</x:v>
      </x:c>
      <x:c r="G3118" s="4" t="str">
        <x:v>Reserved</x:v>
      </x:c>
    </x:row>
    <x:row r="3119" ht="34" customHeight="1">
      <x:c r="A3119" s="4" t="str">
        <x:v>RS-03118-E1</x:v>
      </x:c>
      <x:c r="B3119" s="4" t="str">
        <x:v>RS-03118</x:v>
      </x:c>
      <x:c r="C3119" s="8" t="n">
        <x:v>45483</x:v>
      </x:c>
      <x:c r="D3119" s="4" t="str">
        <x:v>Sales operations manager</x:v>
      </x:c>
      <x:c r="E3119" s="4" t="str">
        <x:v>Paper transcribed</x:v>
      </x:c>
      <x:c r="F3119" s="4" t="str">
        <x:v>Record captured</x:v>
      </x:c>
      <x:c r="G3119" s="4" t="str">
        <x:v>Enquiry</x:v>
      </x:c>
    </x:row>
    <x:row r="3120" ht="34" customHeight="1">
      <x:c r="A3120" s="4" t="str">
        <x:v>RS-03119-E1</x:v>
      </x:c>
      <x:c r="B3120" s="4" t="str">
        <x:v>RS-03119</x:v>
      </x:c>
      <x:c r="C3120" s="8" t="n">
        <x:v>45484</x:v>
      </x:c>
      <x:c r="D3120" s="4" t="str">
        <x:v>Sales operations manager</x:v>
      </x:c>
      <x:c r="E3120" s="4" t="str">
        <x:v>ERP form</x:v>
      </x:c>
      <x:c r="F3120" s="4" t="str">
        <x:v>Record captured</x:v>
      </x:c>
      <x:c r="G3120" s="4" t="str">
        <x:v>Handed over</x:v>
      </x:c>
    </x:row>
    <x:row r="3121" ht="34" customHeight="1">
      <x:c r="A3121" s="4" t="str">
        <x:v>RS-03120-E1</x:v>
      </x:c>
      <x:c r="B3121" s="4" t="str">
        <x:v>RS-03120</x:v>
      </x:c>
      <x:c r="C3121" s="8" t="n">
        <x:v>45485</x:v>
      </x:c>
      <x:c r="D3121" s="4" t="str">
        <x:v>Sales operations manager</x:v>
      </x:c>
      <x:c r="E3121" s="4" t="str">
        <x:v>Paper transcribed</x:v>
      </x:c>
      <x:c r="F3121" s="4" t="str">
        <x:v>Record captured</x:v>
      </x:c>
      <x:c r="G3121" s="4" t="str">
        <x:v>Reserved</x:v>
      </x:c>
    </x:row>
    <x:row r="3122" ht="34" customHeight="1">
      <x:c r="A3122" s="4" t="str">
        <x:v>RS-03121-E1</x:v>
      </x:c>
      <x:c r="B3122" s="4" t="str">
        <x:v>RS-03121</x:v>
      </x:c>
      <x:c r="C3122" s="8" t="n">
        <x:v>45486</x:v>
      </x:c>
      <x:c r="D3122" s="4" t="str">
        <x:v>Sales operations manager</x:v>
      </x:c>
      <x:c r="E3122" s="4" t="str">
        <x:v>ERP form</x:v>
      </x:c>
      <x:c r="F3122" s="4" t="str">
        <x:v>Record captured</x:v>
      </x:c>
      <x:c r="G3122" s="4" t="str">
        <x:v>Booked</x:v>
      </x:c>
    </x:row>
    <x:row r="3123" ht="34" customHeight="1">
      <x:c r="A3123" s="4" t="str">
        <x:v>RS-03122-E1</x:v>
      </x:c>
      <x:c r="B3123" s="4" t="str">
        <x:v>RS-03122</x:v>
      </x:c>
      <x:c r="C3123" s="8" t="n">
        <x:v>45487</x:v>
      </x:c>
      <x:c r="D3123" s="4" t="str">
        <x:v>Sales operations manager</x:v>
      </x:c>
      <x:c r="E3123" s="4" t="str">
        <x:v>WhatsApp transcribed</x:v>
      </x:c>
      <x:c r="F3123" s="4" t="str">
        <x:v>Record captured</x:v>
      </x:c>
      <x:c r="G3123" s="4" t="str">
        <x:v>Enquiry</x:v>
      </x:c>
    </x:row>
    <x:row r="3124" ht="34" customHeight="1">
      <x:c r="A3124" s="4" t="str">
        <x:v>RS-03123-E1</x:v>
      </x:c>
      <x:c r="B3124" s="4" t="str">
        <x:v>RS-03123</x:v>
      </x:c>
      <x:c r="C3124" s="8" t="n">
        <x:v>45488</x:v>
      </x:c>
      <x:c r="D3124" s="4" t="str">
        <x:v>Sales operations manager</x:v>
      </x:c>
      <x:c r="E3124" s="4" t="str">
        <x:v>Spreadsheet import</x:v>
      </x:c>
      <x:c r="F3124" s="4" t="str">
        <x:v>Record captured</x:v>
      </x:c>
      <x:c r="G3124" s="4" t="str">
        <x:v>Cancelled</x:v>
      </x:c>
    </x:row>
    <x:row r="3125" ht="34" customHeight="1">
      <x:c r="A3125" s="4" t="str">
        <x:v>RS-03124-E1</x:v>
      </x:c>
      <x:c r="B3125" s="4" t="str">
        <x:v>RS-03124</x:v>
      </x:c>
      <x:c r="C3125" s="8" t="n">
        <x:v>45489</x:v>
      </x:c>
      <x:c r="D3125" s="4" t="str">
        <x:v>Sales operations manager</x:v>
      </x:c>
      <x:c r="E3125" s="4" t="str">
        <x:v>WhatsApp transcribed</x:v>
      </x:c>
      <x:c r="F3125" s="4" t="str">
        <x:v>Record captured</x:v>
      </x:c>
      <x:c r="G3125" s="4" t="str">
        <x:v>Booked</x:v>
      </x:c>
    </x:row>
    <x:row r="3126" ht="34" customHeight="1">
      <x:c r="A3126" s="4" t="str">
        <x:v>RS-03125-E1</x:v>
      </x:c>
      <x:c r="B3126" s="4" t="str">
        <x:v>RS-03125</x:v>
      </x:c>
      <x:c r="C3126" s="8" t="n">
        <x:v>45490</x:v>
      </x:c>
      <x:c r="D3126" s="4" t="str">
        <x:v>Sales operations manager</x:v>
      </x:c>
      <x:c r="E3126" s="4" t="str">
        <x:v>WhatsApp transcribed</x:v>
      </x:c>
      <x:c r="F3126" s="4" t="str">
        <x:v>Record captured</x:v>
      </x:c>
      <x:c r="G3126" s="4" t="str">
        <x:v>Handed over</x:v>
      </x:c>
    </x:row>
    <x:row r="3127" ht="34" customHeight="1">
      <x:c r="A3127" s="4" t="str">
        <x:v>RS-03126-E1</x:v>
      </x:c>
      <x:c r="B3127" s="4" t="str">
        <x:v>RS-03126</x:v>
      </x:c>
      <x:c r="C3127" s="8" t="n">
        <x:v>45491</x:v>
      </x:c>
      <x:c r="D3127" s="4" t="str">
        <x:v>Sales operations manager</x:v>
      </x:c>
      <x:c r="E3127" s="4" t="str">
        <x:v>WhatsApp transcribed</x:v>
      </x:c>
      <x:c r="F3127" s="4" t="str">
        <x:v>Record captured</x:v>
      </x:c>
      <x:c r="G3127" s="4" t="str">
        <x:v>Agreement signed</x:v>
      </x:c>
    </x:row>
    <x:row r="3128" ht="34" customHeight="1">
      <x:c r="A3128" s="4" t="str">
        <x:v>RS-03127-E1</x:v>
      </x:c>
      <x:c r="B3128" s="4" t="str">
        <x:v>RS-03127</x:v>
      </x:c>
      <x:c r="C3128" s="8" t="n">
        <x:v>45492</x:v>
      </x:c>
      <x:c r="D3128" s="4" t="str">
        <x:v>Sales operations manager</x:v>
      </x:c>
      <x:c r="E3128" s="4" t="str">
        <x:v>ERP form</x:v>
      </x:c>
      <x:c r="F3128" s="4" t="str">
        <x:v>Record captured</x:v>
      </x:c>
      <x:c r="G3128" s="4" t="str">
        <x:v>Enquiry</x:v>
      </x:c>
    </x:row>
    <x:row r="3129" ht="34" customHeight="1">
      <x:c r="A3129" s="4" t="str">
        <x:v>RS-03128-E1</x:v>
      </x:c>
      <x:c r="B3129" s="4" t="str">
        <x:v>RS-03128</x:v>
      </x:c>
      <x:c r="C3129" s="8" t="n">
        <x:v>45493</x:v>
      </x:c>
      <x:c r="D3129" s="4" t="str">
        <x:v>Sales operations manager</x:v>
      </x:c>
      <x:c r="E3129" s="4" t="str">
        <x:v>WhatsApp transcribed</x:v>
      </x:c>
      <x:c r="F3129" s="4" t="str">
        <x:v>Record captured</x:v>
      </x:c>
      <x:c r="G3129" s="4" t="str">
        <x:v>Reserved</x:v>
      </x:c>
    </x:row>
    <x:row r="3130" ht="34" customHeight="1">
      <x:c r="A3130" s="4" t="str">
        <x:v>RS-03129-E1</x:v>
      </x:c>
      <x:c r="B3130" s="4" t="str">
        <x:v>RS-03129</x:v>
      </x:c>
      <x:c r="C3130" s="8" t="n">
        <x:v>45494</x:v>
      </x:c>
      <x:c r="D3130" s="4" t="str">
        <x:v>Sales operations manager</x:v>
      </x:c>
      <x:c r="E3130" s="4" t="str">
        <x:v>WhatsApp transcribed</x:v>
      </x:c>
      <x:c r="F3130" s="4" t="str">
        <x:v>Record captured</x:v>
      </x:c>
      <x:c r="G3130" s="4" t="str">
        <x:v>Reserved</x:v>
      </x:c>
    </x:row>
    <x:row r="3131" ht="34" customHeight="1">
      <x:c r="A3131" s="4" t="str">
        <x:v>RS-03130-E1</x:v>
      </x:c>
      <x:c r="B3131" s="4" t="str">
        <x:v>RS-03130</x:v>
      </x:c>
      <x:c r="C3131" s="8" t="n">
        <x:v>45495</x:v>
      </x:c>
      <x:c r="D3131" s="4" t="str">
        <x:v>Sales operations manager</x:v>
      </x:c>
      <x:c r="E3131" s="4" t="str">
        <x:v>Paper transcribed</x:v>
      </x:c>
      <x:c r="F3131" s="4" t="str">
        <x:v>Record captured</x:v>
      </x:c>
      <x:c r="G3131" s="4" t="str">
        <x:v>Cancelled</x:v>
      </x:c>
    </x:row>
    <x:row r="3132" ht="34" customHeight="1">
      <x:c r="A3132" s="4" t="str">
        <x:v>RS-03131-E1</x:v>
      </x:c>
      <x:c r="B3132" s="4" t="str">
        <x:v>RS-03131</x:v>
      </x:c>
      <x:c r="C3132" s="8" t="n">
        <x:v>45496</x:v>
      </x:c>
      <x:c r="D3132" s="4" t="str">
        <x:v>Sales operations manager</x:v>
      </x:c>
      <x:c r="E3132" s="4" t="str">
        <x:v>ERP form</x:v>
      </x:c>
      <x:c r="F3132" s="4" t="str">
        <x:v>Record captured</x:v>
      </x:c>
      <x:c r="G3132" s="4" t="str">
        <x:v>Agreement signed</x:v>
      </x:c>
    </x:row>
    <x:row r="3133" ht="34" customHeight="1">
      <x:c r="A3133" s="4" t="str">
        <x:v>RS-03132-E1</x:v>
      </x:c>
      <x:c r="B3133" s="4" t="str">
        <x:v>RS-03132</x:v>
      </x:c>
      <x:c r="C3133" s="8" t="n">
        <x:v>45497</x:v>
      </x:c>
      <x:c r="D3133" s="4" t="str">
        <x:v>Sales operations manager</x:v>
      </x:c>
      <x:c r="E3133" s="4" t="str">
        <x:v>ERP form</x:v>
      </x:c>
      <x:c r="F3133" s="4" t="str">
        <x:v>Record captured</x:v>
      </x:c>
      <x:c r="G3133" s="4" t="str">
        <x:v>Agreement signed</x:v>
      </x:c>
    </x:row>
    <x:row r="3134" ht="34" customHeight="1">
      <x:c r="A3134" s="4" t="str">
        <x:v>RS-03133-E1</x:v>
      </x:c>
      <x:c r="B3134" s="4" t="str">
        <x:v>RS-03133</x:v>
      </x:c>
      <x:c r="C3134" s="8" t="n">
        <x:v>45498</x:v>
      </x:c>
      <x:c r="D3134" s="4" t="str">
        <x:v>Sales operations manager</x:v>
      </x:c>
      <x:c r="E3134" s="4" t="str">
        <x:v>ERP form</x:v>
      </x:c>
      <x:c r="F3134" s="4" t="str">
        <x:v>Record captured</x:v>
      </x:c>
      <x:c r="G3134" s="4" t="str">
        <x:v>Cancelled</x:v>
      </x:c>
    </x:row>
    <x:row r="3135" ht="34" customHeight="1">
      <x:c r="A3135" s="4" t="str">
        <x:v>RS-03134-E1</x:v>
      </x:c>
      <x:c r="B3135" s="4" t="str">
        <x:v>RS-03134</x:v>
      </x:c>
      <x:c r="C3135" s="8" t="n">
        <x:v>45499</x:v>
      </x:c>
      <x:c r="D3135" s="4" t="str">
        <x:v>Sales operations manager</x:v>
      </x:c>
      <x:c r="E3135" s="4" t="str">
        <x:v>Paper transcribed</x:v>
      </x:c>
      <x:c r="F3135" s="4" t="str">
        <x:v>Record captured</x:v>
      </x:c>
      <x:c r="G3135" s="4" t="str">
        <x:v>Handed over</x:v>
      </x:c>
    </x:row>
    <x:row r="3136" ht="34" customHeight="1">
      <x:c r="A3136" s="4" t="str">
        <x:v>RS-03135-E1</x:v>
      </x:c>
      <x:c r="B3136" s="4" t="str">
        <x:v>RS-03135</x:v>
      </x:c>
      <x:c r="C3136" s="8" t="n">
        <x:v>45500</x:v>
      </x:c>
      <x:c r="D3136" s="4" t="str">
        <x:v>Sales operations manager</x:v>
      </x:c>
      <x:c r="E3136" s="4" t="str">
        <x:v>ERP form</x:v>
      </x:c>
      <x:c r="F3136" s="4" t="str">
        <x:v>Record captured</x:v>
      </x:c>
      <x:c r="G3136" s="4" t="str">
        <x:v>Cancelled</x:v>
      </x:c>
    </x:row>
    <x:row r="3137" ht="34" customHeight="1">
      <x:c r="A3137" s="4" t="str">
        <x:v>RS-03136-E1</x:v>
      </x:c>
      <x:c r="B3137" s="4" t="str">
        <x:v>RS-03136</x:v>
      </x:c>
      <x:c r="C3137" s="8" t="n">
        <x:v>45501</x:v>
      </x:c>
      <x:c r="D3137" s="4" t="str">
        <x:v>Sales operations manager</x:v>
      </x:c>
      <x:c r="E3137" s="4" t="str">
        <x:v>Paper transcribed</x:v>
      </x:c>
      <x:c r="F3137" s="4" t="str">
        <x:v>Record captured</x:v>
      </x:c>
      <x:c r="G3137" s="4" t="str">
        <x:v>Agreement signed</x:v>
      </x:c>
    </x:row>
    <x:row r="3138" ht="34" customHeight="1">
      <x:c r="A3138" s="4" t="str">
        <x:v>RS-03137-E1</x:v>
      </x:c>
      <x:c r="B3138" s="4" t="str">
        <x:v>RS-03137</x:v>
      </x:c>
      <x:c r="C3138" s="8" t="n">
        <x:v>45474</x:v>
      </x:c>
      <x:c r="D3138" s="4" t="str">
        <x:v>Sales operations manager</x:v>
      </x:c>
      <x:c r="E3138" s="4" t="str">
        <x:v>ERP form</x:v>
      </x:c>
      <x:c r="F3138" s="4" t="str">
        <x:v>Record captured</x:v>
      </x:c>
      <x:c r="G3138" s="4" t="str">
        <x:v>Enquiry</x:v>
      </x:c>
    </x:row>
    <x:row r="3139" ht="34" customHeight="1">
      <x:c r="A3139" s="4" t="str">
        <x:v>RS-03138-E1</x:v>
      </x:c>
      <x:c r="B3139" s="4" t="str">
        <x:v>RS-03138</x:v>
      </x:c>
      <x:c r="C3139" s="8" t="n">
        <x:v>45475</x:v>
      </x:c>
      <x:c r="D3139" s="4" t="str">
        <x:v>Sales operations manager</x:v>
      </x:c>
      <x:c r="E3139" s="4" t="str">
        <x:v>WhatsApp transcribed</x:v>
      </x:c>
      <x:c r="F3139" s="4" t="str">
        <x:v>Record captured</x:v>
      </x:c>
      <x:c r="G3139" s="4" t="str">
        <x:v>Enquiry</x:v>
      </x:c>
    </x:row>
    <x:row r="3140" ht="34" customHeight="1">
      <x:c r="A3140" s="4" t="str">
        <x:v>RS-03139-E1</x:v>
      </x:c>
      <x:c r="B3140" s="4" t="str">
        <x:v>RS-03139</x:v>
      </x:c>
      <x:c r="C3140" s="8" t="n">
        <x:v>45476</x:v>
      </x:c>
      <x:c r="D3140" s="4" t="str">
        <x:v>Sales operations manager</x:v>
      </x:c>
      <x:c r="E3140" s="4" t="str">
        <x:v>Spreadsheet import</x:v>
      </x:c>
      <x:c r="F3140" s="4" t="str">
        <x:v>Record captured</x:v>
      </x:c>
      <x:c r="G3140" s="4" t="str">
        <x:v>Booked</x:v>
      </x:c>
    </x:row>
    <x:row r="3141" ht="34" customHeight="1">
      <x:c r="A3141" s="4" t="str">
        <x:v>RS-03140-E1</x:v>
      </x:c>
      <x:c r="B3141" s="4" t="str">
        <x:v>RS-03140</x:v>
      </x:c>
      <x:c r="C3141" s="8" t="n">
        <x:v>45477</x:v>
      </x:c>
      <x:c r="D3141" s="4" t="str">
        <x:v>Sales operations manager</x:v>
      </x:c>
      <x:c r="E3141" s="4" t="str">
        <x:v>WhatsApp transcribed</x:v>
      </x:c>
      <x:c r="F3141" s="4" t="str">
        <x:v>Record captured</x:v>
      </x:c>
      <x:c r="G3141" s="4" t="str">
        <x:v>Enquiry</x:v>
      </x:c>
    </x:row>
    <x:row r="3142" ht="34" customHeight="1">
      <x:c r="A3142" s="4" t="str">
        <x:v>RS-03141-E1</x:v>
      </x:c>
      <x:c r="B3142" s="4" t="str">
        <x:v>RS-03141</x:v>
      </x:c>
      <x:c r="C3142" s="8" t="n">
        <x:v>45478</x:v>
      </x:c>
      <x:c r="D3142" s="4" t="str">
        <x:v>Sales operations manager</x:v>
      </x:c>
      <x:c r="E3142" s="4" t="str">
        <x:v>WhatsApp transcribed</x:v>
      </x:c>
      <x:c r="F3142" s="4" t="str">
        <x:v>Record captured</x:v>
      </x:c>
      <x:c r="G3142" s="4" t="str">
        <x:v>Reserved</x:v>
      </x:c>
    </x:row>
    <x:row r="3143" ht="34" customHeight="1">
      <x:c r="A3143" s="4" t="str">
        <x:v>RS-03142-E1</x:v>
      </x:c>
      <x:c r="B3143" s="4" t="str">
        <x:v>RS-03142</x:v>
      </x:c>
      <x:c r="C3143" s="8" t="n">
        <x:v>45479</x:v>
      </x:c>
      <x:c r="D3143" s="4" t="str">
        <x:v>Sales operations manager</x:v>
      </x:c>
      <x:c r="E3143" s="4" t="str">
        <x:v>ERP form</x:v>
      </x:c>
      <x:c r="F3143" s="4" t="str">
        <x:v>Record captured</x:v>
      </x:c>
      <x:c r="G3143" s="4" t="str">
        <x:v>Booked</x:v>
      </x:c>
    </x:row>
    <x:row r="3144" ht="34" customHeight="1">
      <x:c r="A3144" s="4" t="str">
        <x:v>RS-03143-E1</x:v>
      </x:c>
      <x:c r="B3144" s="4" t="str">
        <x:v>RS-03143</x:v>
      </x:c>
      <x:c r="C3144" s="8" t="n">
        <x:v>45480</x:v>
      </x:c>
      <x:c r="D3144" s="4" t="str">
        <x:v>Sales operations manager</x:v>
      </x:c>
      <x:c r="E3144" s="4" t="str">
        <x:v>WhatsApp transcribed</x:v>
      </x:c>
      <x:c r="F3144" s="4" t="str">
        <x:v>Record captured</x:v>
      </x:c>
      <x:c r="G3144" s="4" t="str">
        <x:v>Handed over</x:v>
      </x:c>
    </x:row>
    <x:row r="3145" ht="34" customHeight="1">
      <x:c r="A3145" s="4" t="str">
        <x:v>RS-03144-E1</x:v>
      </x:c>
      <x:c r="B3145" s="4" t="str">
        <x:v>RS-03144</x:v>
      </x:c>
      <x:c r="C3145" s="8" t="n">
        <x:v>45481</x:v>
      </x:c>
      <x:c r="D3145" s="4" t="str">
        <x:v>Sales operations manager</x:v>
      </x:c>
      <x:c r="E3145" s="4" t="str">
        <x:v>WhatsApp transcribed</x:v>
      </x:c>
      <x:c r="F3145" s="4" t="str">
        <x:v>Record captured</x:v>
      </x:c>
      <x:c r="G3145" s="4" t="str">
        <x:v>Cancelled</x:v>
      </x:c>
    </x:row>
    <x:row r="3146" ht="34" customHeight="1">
      <x:c r="A3146" s="4" t="str">
        <x:v>RS-03145-E1</x:v>
      </x:c>
      <x:c r="B3146" s="4" t="str">
        <x:v>RS-03145</x:v>
      </x:c>
      <x:c r="C3146" s="8" t="n">
        <x:v>45482</x:v>
      </x:c>
      <x:c r="D3146" s="4" t="str">
        <x:v>Sales operations manager</x:v>
      </x:c>
      <x:c r="E3146" s="4" t="str">
        <x:v>Paper transcribed</x:v>
      </x:c>
      <x:c r="F3146" s="4" t="str">
        <x:v>Record captured</x:v>
      </x:c>
      <x:c r="G3146" s="4" t="str">
        <x:v>Reserved</x:v>
      </x:c>
    </x:row>
    <x:row r="3147" ht="34" customHeight="1">
      <x:c r="A3147" s="4" t="str">
        <x:v>RS-03146-E1</x:v>
      </x:c>
      <x:c r="B3147" s="4" t="str">
        <x:v>RS-03146</x:v>
      </x:c>
      <x:c r="C3147" s="8" t="n">
        <x:v>45483</x:v>
      </x:c>
      <x:c r="D3147" s="4" t="str">
        <x:v>Sales operations manager</x:v>
      </x:c>
      <x:c r="E3147" s="4" t="str">
        <x:v>Paper transcribed</x:v>
      </x:c>
      <x:c r="F3147" s="4" t="str">
        <x:v>Record captured</x:v>
      </x:c>
      <x:c r="G3147" s="4" t="str">
        <x:v>Cancelled</x:v>
      </x:c>
    </x:row>
    <x:row r="3148" ht="34" customHeight="1">
      <x:c r="A3148" s="4" t="str">
        <x:v>RS-03147-E1</x:v>
      </x:c>
      <x:c r="B3148" s="4" t="str">
        <x:v>RS-03147</x:v>
      </x:c>
      <x:c r="C3148" s="8" t="n">
        <x:v>45484</x:v>
      </x:c>
      <x:c r="D3148" s="4" t="str">
        <x:v>Sales operations manager</x:v>
      </x:c>
      <x:c r="E3148" s="4" t="str">
        <x:v>Paper transcribed</x:v>
      </x:c>
      <x:c r="F3148" s="4" t="str">
        <x:v>Record captured</x:v>
      </x:c>
      <x:c r="G3148" s="4" t="str">
        <x:v>Reserved</x:v>
      </x:c>
    </x:row>
    <x:row r="3149" ht="34" customHeight="1">
      <x:c r="A3149" s="4" t="str">
        <x:v>RS-03148-E1</x:v>
      </x:c>
      <x:c r="B3149" s="4" t="str">
        <x:v>RS-03148</x:v>
      </x:c>
      <x:c r="C3149" s="8" t="n">
        <x:v>45485</x:v>
      </x:c>
      <x:c r="D3149" s="4" t="str">
        <x:v>Sales operations manager</x:v>
      </x:c>
      <x:c r="E3149" s="4" t="str">
        <x:v>ERP form</x:v>
      </x:c>
      <x:c r="F3149" s="4" t="str">
        <x:v>Record captured</x:v>
      </x:c>
      <x:c r="G3149" s="4" t="str">
        <x:v>Booked</x:v>
      </x:c>
    </x:row>
    <x:row r="3150" ht="34" customHeight="1">
      <x:c r="A3150" s="4" t="str">
        <x:v>RS-03149-E1</x:v>
      </x:c>
      <x:c r="B3150" s="4" t="str">
        <x:v>RS-03149</x:v>
      </x:c>
      <x:c r="C3150" s="8" t="n">
        <x:v>45486</x:v>
      </x:c>
      <x:c r="D3150" s="4" t="str">
        <x:v>Sales operations manager</x:v>
      </x:c>
      <x:c r="E3150" s="4" t="str">
        <x:v>WhatsApp transcribed</x:v>
      </x:c>
      <x:c r="F3150" s="4" t="str">
        <x:v>Record captured</x:v>
      </x:c>
      <x:c r="G3150" s="4" t="str">
        <x:v>Reserved</x:v>
      </x:c>
    </x:row>
    <x:row r="3151" ht="34" customHeight="1">
      <x:c r="A3151" s="4" t="str">
        <x:v>RS-03150-E1</x:v>
      </x:c>
      <x:c r="B3151" s="4" t="str">
        <x:v>RS-03150</x:v>
      </x:c>
      <x:c r="C3151" s="8" t="n">
        <x:v>45487</x:v>
      </x:c>
      <x:c r="D3151" s="4" t="str">
        <x:v>Sales operations manager</x:v>
      </x:c>
      <x:c r="E3151" s="4" t="str">
        <x:v>ERP form</x:v>
      </x:c>
      <x:c r="F3151" s="4" t="str">
        <x:v>Record captured</x:v>
      </x:c>
      <x:c r="G3151" s="4" t="str">
        <x:v>Reserved</x:v>
      </x:c>
    </x:row>
    <x:row r="3152" ht="34" customHeight="1">
      <x:c r="A3152" s="4" t="str">
        <x:v>RS-03151-E1</x:v>
      </x:c>
      <x:c r="B3152" s="4" t="str">
        <x:v>RS-03151</x:v>
      </x:c>
      <x:c r="C3152" s="8" t="n">
        <x:v>45488</x:v>
      </x:c>
      <x:c r="D3152" s="4" t="str">
        <x:v>Sales operations manager</x:v>
      </x:c>
      <x:c r="E3152" s="4" t="str">
        <x:v>Paper transcribed</x:v>
      </x:c>
      <x:c r="F3152" s="4" t="str">
        <x:v>Record captured</x:v>
      </x:c>
      <x:c r="G3152" s="4" t="str">
        <x:v>Cancelled</x:v>
      </x:c>
    </x:row>
    <x:row r="3153" ht="34" customHeight="1">
      <x:c r="A3153" s="4" t="str">
        <x:v>RS-03152-E1</x:v>
      </x:c>
      <x:c r="B3153" s="4" t="str">
        <x:v>RS-03152</x:v>
      </x:c>
      <x:c r="C3153" s="8" t="n">
        <x:v>45489</x:v>
      </x:c>
      <x:c r="D3153" s="4" t="str">
        <x:v>Sales operations manager</x:v>
      </x:c>
      <x:c r="E3153" s="4" t="str">
        <x:v>Paper transcribed</x:v>
      </x:c>
      <x:c r="F3153" s="4" t="str">
        <x:v>Record captured</x:v>
      </x:c>
      <x:c r="G3153" s="4" t="str">
        <x:v>Cancelled</x:v>
      </x:c>
    </x:row>
    <x:row r="3154" ht="34" customHeight="1">
      <x:c r="A3154" s="4" t="str">
        <x:v>RS-03153-E1</x:v>
      </x:c>
      <x:c r="B3154" s="4" t="str">
        <x:v>RS-03153</x:v>
      </x:c>
      <x:c r="C3154" s="8" t="n">
        <x:v>45490</x:v>
      </x:c>
      <x:c r="D3154" s="4" t="str">
        <x:v>Sales operations manager</x:v>
      </x:c>
      <x:c r="E3154" s="4" t="str">
        <x:v>ERP form</x:v>
      </x:c>
      <x:c r="F3154" s="4" t="str">
        <x:v>Record captured</x:v>
      </x:c>
      <x:c r="G3154" s="4" t="str">
        <x:v>Enquiry</x:v>
      </x:c>
    </x:row>
    <x:row r="3155" ht="34" customHeight="1">
      <x:c r="A3155" s="4" t="str">
        <x:v>RS-03154-E1</x:v>
      </x:c>
      <x:c r="B3155" s="4" t="str">
        <x:v>RS-03154</x:v>
      </x:c>
      <x:c r="C3155" s="8" t="n">
        <x:v>45491</x:v>
      </x:c>
      <x:c r="D3155" s="4" t="str">
        <x:v>Sales operations manager</x:v>
      </x:c>
      <x:c r="E3155" s="4" t="str">
        <x:v>Paper transcribed</x:v>
      </x:c>
      <x:c r="F3155" s="4" t="str">
        <x:v>Record captured</x:v>
      </x:c>
      <x:c r="G3155" s="4" t="str">
        <x:v>Reserved</x:v>
      </x:c>
    </x:row>
    <x:row r="3156" ht="34" customHeight="1">
      <x:c r="A3156" s="4" t="str">
        <x:v>RS-03155-E1</x:v>
      </x:c>
      <x:c r="B3156" s="4" t="str">
        <x:v>RS-03155</x:v>
      </x:c>
      <x:c r="C3156" s="8" t="n">
        <x:v>45492</x:v>
      </x:c>
      <x:c r="D3156" s="4" t="str">
        <x:v>Sales operations manager</x:v>
      </x:c>
      <x:c r="E3156" s="4" t="str">
        <x:v>Spreadsheet import</x:v>
      </x:c>
      <x:c r="F3156" s="4" t="str">
        <x:v>Record captured</x:v>
      </x:c>
      <x:c r="G3156" s="4" t="str">
        <x:v>Booked</x:v>
      </x:c>
    </x:row>
    <x:row r="3157" ht="34" customHeight="1">
      <x:c r="A3157" s="4" t="str">
        <x:v>RS-03156-E1</x:v>
      </x:c>
      <x:c r="B3157" s="4" t="str">
        <x:v>RS-03156</x:v>
      </x:c>
      <x:c r="C3157" s="8" t="n">
        <x:v>45493</x:v>
      </x:c>
      <x:c r="D3157" s="4" t="str">
        <x:v>Sales operations manager</x:v>
      </x:c>
      <x:c r="E3157" s="4" t="str">
        <x:v>WhatsApp transcribed</x:v>
      </x:c>
      <x:c r="F3157" s="4" t="str">
        <x:v>Record captured</x:v>
      </x:c>
      <x:c r="G3157" s="4" t="str">
        <x:v>Cancelled</x:v>
      </x:c>
    </x:row>
    <x:row r="3158" ht="34" customHeight="1">
      <x:c r="A3158" s="4" t="str">
        <x:v>RS-03157-E1</x:v>
      </x:c>
      <x:c r="B3158" s="4" t="str">
        <x:v>RS-03157</x:v>
      </x:c>
      <x:c r="C3158" s="8" t="n">
        <x:v>45494</x:v>
      </x:c>
      <x:c r="D3158" s="4" t="str">
        <x:v>Sales operations manager</x:v>
      </x:c>
      <x:c r="E3158" s="4" t="str">
        <x:v>ERP form</x:v>
      </x:c>
      <x:c r="F3158" s="4" t="str">
        <x:v>Record captured</x:v>
      </x:c>
      <x:c r="G3158" s="4" t="str">
        <x:v>Enquiry</x:v>
      </x:c>
    </x:row>
    <x:row r="3159" ht="34" customHeight="1">
      <x:c r="A3159" s="4" t="str">
        <x:v>RS-03158-E1</x:v>
      </x:c>
      <x:c r="B3159" s="4" t="str">
        <x:v>RS-03158</x:v>
      </x:c>
      <x:c r="C3159" s="8" t="n">
        <x:v>45495</x:v>
      </x:c>
      <x:c r="D3159" s="4" t="str">
        <x:v>Sales operations manager</x:v>
      </x:c>
      <x:c r="E3159" s="4" t="str">
        <x:v>Spreadsheet import</x:v>
      </x:c>
      <x:c r="F3159" s="4" t="str">
        <x:v>Record captured</x:v>
      </x:c>
      <x:c r="G3159" s="4" t="str">
        <x:v>Booked</x:v>
      </x:c>
    </x:row>
    <x:row r="3160" ht="34" customHeight="1">
      <x:c r="A3160" s="4" t="str">
        <x:v>RS-03159-E1</x:v>
      </x:c>
      <x:c r="B3160" s="4" t="str">
        <x:v>RS-03159</x:v>
      </x:c>
      <x:c r="C3160" s="8" t="n">
        <x:v>45496</x:v>
      </x:c>
      <x:c r="D3160" s="4" t="str">
        <x:v>Sales operations manager</x:v>
      </x:c>
      <x:c r="E3160" s="4" t="str">
        <x:v>ERP form</x:v>
      </x:c>
      <x:c r="F3160" s="4" t="str">
        <x:v>Record captured</x:v>
      </x:c>
      <x:c r="G3160" s="4" t="str">
        <x:v>Handed over</x:v>
      </x:c>
    </x:row>
    <x:row r="3161" ht="34" customHeight="1">
      <x:c r="A3161" s="4" t="str">
        <x:v>RS-03160-E1</x:v>
      </x:c>
      <x:c r="B3161" s="4" t="str">
        <x:v>RS-03160</x:v>
      </x:c>
      <x:c r="C3161" s="8" t="n">
        <x:v>45497</x:v>
      </x:c>
      <x:c r="D3161" s="4" t="str">
        <x:v>Sales operations manager</x:v>
      </x:c>
      <x:c r="E3161" s="4" t="str">
        <x:v>Paper transcribed</x:v>
      </x:c>
      <x:c r="F3161" s="4" t="str">
        <x:v>Record captured</x:v>
      </x:c>
      <x:c r="G3161" s="4" t="str">
        <x:v>Enquiry</x:v>
      </x:c>
    </x:row>
    <x:row r="3162" ht="34" customHeight="1">
      <x:c r="A3162" s="4" t="str">
        <x:v>RS-03161-E1</x:v>
      </x:c>
      <x:c r="B3162" s="4" t="str">
        <x:v>RS-03161</x:v>
      </x:c>
      <x:c r="C3162" s="8" t="n">
        <x:v>45498</x:v>
      </x:c>
      <x:c r="D3162" s="4" t="str">
        <x:v>Sales operations manager</x:v>
      </x:c>
      <x:c r="E3162" s="4" t="str">
        <x:v>Paper transcribed</x:v>
      </x:c>
      <x:c r="F3162" s="4" t="str">
        <x:v>Record captured</x:v>
      </x:c>
      <x:c r="G3162" s="4" t="str">
        <x:v>Cancelled</x:v>
      </x:c>
    </x:row>
    <x:row r="3163" ht="34" customHeight="1">
      <x:c r="A3163" s="4" t="str">
        <x:v>RS-03162-E1</x:v>
      </x:c>
      <x:c r="B3163" s="4" t="str">
        <x:v>RS-03162</x:v>
      </x:c>
      <x:c r="C3163" s="8" t="n">
        <x:v>45499</x:v>
      </x:c>
      <x:c r="D3163" s="4" t="str">
        <x:v>Sales operations manager</x:v>
      </x:c>
      <x:c r="E3163" s="4" t="str">
        <x:v>ERP form</x:v>
      </x:c>
      <x:c r="F3163" s="4" t="str">
        <x:v>Record captured</x:v>
      </x:c>
      <x:c r="G3163" s="4" t="str">
        <x:v>Enquiry</x:v>
      </x:c>
    </x:row>
    <x:row r="3164" ht="34" customHeight="1">
      <x:c r="A3164" s="4" t="str">
        <x:v>RS-03163-E1</x:v>
      </x:c>
      <x:c r="B3164" s="4" t="str">
        <x:v>RS-03163</x:v>
      </x:c>
      <x:c r="C3164" s="8" t="n">
        <x:v>45500</x:v>
      </x:c>
      <x:c r="D3164" s="4" t="str">
        <x:v>Sales operations manager</x:v>
      </x:c>
      <x:c r="E3164" s="4" t="str">
        <x:v>WhatsApp transcribed</x:v>
      </x:c>
      <x:c r="F3164" s="4" t="str">
        <x:v>Record captured</x:v>
      </x:c>
      <x:c r="G3164" s="4" t="str">
        <x:v>Cancelled</x:v>
      </x:c>
    </x:row>
    <x:row r="3165" ht="34" customHeight="1">
      <x:c r="A3165" s="4" t="str">
        <x:v>RS-03164-E1</x:v>
      </x:c>
      <x:c r="B3165" s="4" t="str">
        <x:v>RS-03164</x:v>
      </x:c>
      <x:c r="C3165" s="8" t="n">
        <x:v>45501</x:v>
      </x:c>
      <x:c r="D3165" s="4" t="str">
        <x:v>Sales operations manager</x:v>
      </x:c>
      <x:c r="E3165" s="4" t="str">
        <x:v>Spreadsheet import</x:v>
      </x:c>
      <x:c r="F3165" s="4" t="str">
        <x:v>Record captured</x:v>
      </x:c>
      <x:c r="G3165" s="4" t="str">
        <x:v>Enquiry</x:v>
      </x:c>
    </x:row>
    <x:row r="3166" ht="34" customHeight="1">
      <x:c r="A3166" s="4" t="str">
        <x:v>RS-03165-E1</x:v>
      </x:c>
      <x:c r="B3166" s="4" t="str">
        <x:v>RS-03165</x:v>
      </x:c>
      <x:c r="C3166" s="8" t="n">
        <x:v>45474</x:v>
      </x:c>
      <x:c r="D3166" s="4" t="str">
        <x:v>Sales operations manager</x:v>
      </x:c>
      <x:c r="E3166" s="4" t="str">
        <x:v>Spreadsheet import</x:v>
      </x:c>
      <x:c r="F3166" s="4" t="str">
        <x:v>Record captured</x:v>
      </x:c>
      <x:c r="G3166" s="4" t="str">
        <x:v>Reserved</x:v>
      </x:c>
    </x:row>
    <x:row r="3167" ht="34" customHeight="1">
      <x:c r="A3167" s="4" t="str">
        <x:v>RS-03166-E1</x:v>
      </x:c>
      <x:c r="B3167" s="4" t="str">
        <x:v>RS-03166</x:v>
      </x:c>
      <x:c r="C3167" s="8" t="n">
        <x:v>45475</x:v>
      </x:c>
      <x:c r="D3167" s="4" t="str">
        <x:v>Sales operations manager</x:v>
      </x:c>
      <x:c r="E3167" s="4" t="str">
        <x:v>Paper transcribed</x:v>
      </x:c>
      <x:c r="F3167" s="4" t="str">
        <x:v>Record captured</x:v>
      </x:c>
      <x:c r="G3167" s="4" t="str">
        <x:v>Cancelled</x:v>
      </x:c>
    </x:row>
    <x:row r="3168" ht="34" customHeight="1">
      <x:c r="A3168" s="4" t="str">
        <x:v>RS-03167-E1</x:v>
      </x:c>
      <x:c r="B3168" s="4" t="str">
        <x:v>RS-03167</x:v>
      </x:c>
      <x:c r="C3168" s="8" t="n">
        <x:v>45476</x:v>
      </x:c>
      <x:c r="D3168" s="4" t="str">
        <x:v>Sales operations manager</x:v>
      </x:c>
      <x:c r="E3168" s="4" t="str">
        <x:v>Paper transcribed</x:v>
      </x:c>
      <x:c r="F3168" s="4" t="str">
        <x:v>Record captured</x:v>
      </x:c>
      <x:c r="G3168" s="4" t="str">
        <x:v>Booked</x:v>
      </x:c>
    </x:row>
    <x:row r="3169" ht="34" customHeight="1">
      <x:c r="A3169" s="4" t="str">
        <x:v>RS-03168-E1</x:v>
      </x:c>
      <x:c r="B3169" s="4" t="str">
        <x:v>RS-03168</x:v>
      </x:c>
      <x:c r="C3169" s="8" t="n">
        <x:v>45477</x:v>
      </x:c>
      <x:c r="D3169" s="4" t="str">
        <x:v>Sales operations manager</x:v>
      </x:c>
      <x:c r="E3169" s="4" t="str">
        <x:v>ERP form</x:v>
      </x:c>
      <x:c r="F3169" s="4" t="str">
        <x:v>Record captured</x:v>
      </x:c>
      <x:c r="G3169" s="4" t="str">
        <x:v>Enquiry</x:v>
      </x:c>
    </x:row>
    <x:row r="3170" ht="34" customHeight="1">
      <x:c r="A3170" s="4" t="str">
        <x:v>RS-03169-E1</x:v>
      </x:c>
      <x:c r="B3170" s="4" t="str">
        <x:v>RS-03169</x:v>
      </x:c>
      <x:c r="C3170" s="8" t="n">
        <x:v>45478</x:v>
      </x:c>
      <x:c r="D3170" s="4" t="str">
        <x:v>Sales operations manager</x:v>
      </x:c>
      <x:c r="E3170" s="4" t="str">
        <x:v>Spreadsheet import</x:v>
      </x:c>
      <x:c r="F3170" s="4" t="str">
        <x:v>Record captured</x:v>
      </x:c>
      <x:c r="G3170" s="4" t="str">
        <x:v>Handed over</x:v>
      </x:c>
    </x:row>
    <x:row r="3171" ht="34" customHeight="1">
      <x:c r="A3171" s="4" t="str">
        <x:v>RS-03170-E1</x:v>
      </x:c>
      <x:c r="B3171" s="4" t="str">
        <x:v>RS-03170</x:v>
      </x:c>
      <x:c r="C3171" s="8" t="n">
        <x:v>45479</x:v>
      </x:c>
      <x:c r="D3171" s="4" t="str">
        <x:v>Sales operations manager</x:v>
      </x:c>
      <x:c r="E3171" s="4" t="str">
        <x:v>Paper transcribed</x:v>
      </x:c>
      <x:c r="F3171" s="4" t="str">
        <x:v>Record captured</x:v>
      </x:c>
      <x:c r="G3171" s="4" t="str">
        <x:v>Reserved</x:v>
      </x:c>
    </x:row>
    <x:row r="3172" ht="34" customHeight="1">
      <x:c r="A3172" s="4" t="str">
        <x:v>RS-03171-E1</x:v>
      </x:c>
      <x:c r="B3172" s="4" t="str">
        <x:v>RS-03171</x:v>
      </x:c>
      <x:c r="C3172" s="8" t="n">
        <x:v>45480</x:v>
      </x:c>
      <x:c r="D3172" s="4" t="str">
        <x:v>Sales operations manager</x:v>
      </x:c>
      <x:c r="E3172" s="4" t="str">
        <x:v>WhatsApp transcribed</x:v>
      </x:c>
      <x:c r="F3172" s="4" t="str">
        <x:v>Record captured</x:v>
      </x:c>
      <x:c r="G3172" s="4" t="str">
        <x:v>Cancelled</x:v>
      </x:c>
    </x:row>
    <x:row r="3173" ht="34" customHeight="1">
      <x:c r="A3173" s="4" t="str">
        <x:v>RS-03172-E1</x:v>
      </x:c>
      <x:c r="B3173" s="4" t="str">
        <x:v>RS-03172</x:v>
      </x:c>
      <x:c r="C3173" s="8" t="n">
        <x:v>45481</x:v>
      </x:c>
      <x:c r="D3173" s="4" t="str">
        <x:v>Sales operations manager</x:v>
      </x:c>
      <x:c r="E3173" s="4" t="str">
        <x:v>Paper transcribed</x:v>
      </x:c>
      <x:c r="F3173" s="4" t="str">
        <x:v>Record captured</x:v>
      </x:c>
      <x:c r="G3173" s="4" t="str">
        <x:v>Reserved</x:v>
      </x:c>
    </x:row>
    <x:row r="3174" ht="34" customHeight="1">
      <x:c r="A3174" s="4" t="str">
        <x:v>RS-03173-E1</x:v>
      </x:c>
      <x:c r="B3174" s="4" t="str">
        <x:v>RS-03173</x:v>
      </x:c>
      <x:c r="C3174" s="8" t="n">
        <x:v>45482</x:v>
      </x:c>
      <x:c r="D3174" s="4" t="str">
        <x:v>Sales operations manager</x:v>
      </x:c>
      <x:c r="E3174" s="4" t="str">
        <x:v>ERP form</x:v>
      </x:c>
      <x:c r="F3174" s="4" t="str">
        <x:v>Record captured</x:v>
      </x:c>
      <x:c r="G3174" s="4" t="str">
        <x:v>Agreement signed</x:v>
      </x:c>
    </x:row>
    <x:row r="3175" ht="34" customHeight="1">
      <x:c r="A3175" s="4" t="str">
        <x:v>RS-03174-E1</x:v>
      </x:c>
      <x:c r="B3175" s="4" t="str">
        <x:v>RS-03174</x:v>
      </x:c>
      <x:c r="C3175" s="8" t="n">
        <x:v>45483</x:v>
      </x:c>
      <x:c r="D3175" s="4" t="str">
        <x:v>Sales operations manager</x:v>
      </x:c>
      <x:c r="E3175" s="4" t="str">
        <x:v>WhatsApp transcribed</x:v>
      </x:c>
      <x:c r="F3175" s="4" t="str">
        <x:v>Record captured</x:v>
      </x:c>
      <x:c r="G3175" s="4" t="str">
        <x:v>Cancelled</x:v>
      </x:c>
    </x:row>
    <x:row r="3176" ht="34" customHeight="1">
      <x:c r="A3176" s="4" t="str">
        <x:v>RS-03175-E1</x:v>
      </x:c>
      <x:c r="B3176" s="4" t="str">
        <x:v>RS-03175</x:v>
      </x:c>
      <x:c r="C3176" s="8" t="n">
        <x:v>45484</x:v>
      </x:c>
      <x:c r="D3176" s="4" t="str">
        <x:v>Sales operations manager</x:v>
      </x:c>
      <x:c r="E3176" s="4" t="str">
        <x:v>Spreadsheet import</x:v>
      </x:c>
      <x:c r="F3176" s="4" t="str">
        <x:v>Record captured</x:v>
      </x:c>
      <x:c r="G3176" s="4" t="str">
        <x:v>Enquiry</x:v>
      </x:c>
    </x:row>
    <x:row r="3177" ht="34" customHeight="1">
      <x:c r="A3177" s="4" t="str">
        <x:v>RS-03176-E1</x:v>
      </x:c>
      <x:c r="B3177" s="4" t="str">
        <x:v>RS-03176</x:v>
      </x:c>
      <x:c r="C3177" s="8" t="n">
        <x:v>45485</x:v>
      </x:c>
      <x:c r="D3177" s="4" t="str">
        <x:v>Sales operations manager</x:v>
      </x:c>
      <x:c r="E3177" s="4" t="str">
        <x:v>Paper transcribed</x:v>
      </x:c>
      <x:c r="F3177" s="4" t="str">
        <x:v>Record captured</x:v>
      </x:c>
      <x:c r="G3177" s="4" t="str">
        <x:v>Enquiry</x:v>
      </x:c>
    </x:row>
    <x:row r="3178" ht="34" customHeight="1">
      <x:c r="A3178" s="4" t="str">
        <x:v>RS-03177-E1</x:v>
      </x:c>
      <x:c r="B3178" s="4" t="str">
        <x:v>RS-03177</x:v>
      </x:c>
      <x:c r="C3178" s="8" t="n">
        <x:v>45486</x:v>
      </x:c>
      <x:c r="D3178" s="4" t="str">
        <x:v>Sales operations manager</x:v>
      </x:c>
      <x:c r="E3178" s="4" t="str">
        <x:v>ERP form</x:v>
      </x:c>
      <x:c r="F3178" s="4" t="str">
        <x:v>Record captured</x:v>
      </x:c>
      <x:c r="G3178" s="4" t="str">
        <x:v>Reserved</x:v>
      </x:c>
    </x:row>
    <x:row r="3179" ht="34" customHeight="1">
      <x:c r="A3179" s="4" t="str">
        <x:v>RS-03178-E1</x:v>
      </x:c>
      <x:c r="B3179" s="4" t="str">
        <x:v>RS-03178</x:v>
      </x:c>
      <x:c r="C3179" s="8" t="n">
        <x:v>45487</x:v>
      </x:c>
      <x:c r="D3179" s="4" t="str">
        <x:v>Sales operations manager</x:v>
      </x:c>
      <x:c r="E3179" s="4" t="str">
        <x:v>ERP form</x:v>
      </x:c>
      <x:c r="F3179" s="4" t="str">
        <x:v>Record captured</x:v>
      </x:c>
      <x:c r="G3179" s="4" t="str">
        <x:v>Cancelled</x:v>
      </x:c>
    </x:row>
    <x:row r="3180" ht="34" customHeight="1">
      <x:c r="A3180" s="4" t="str">
        <x:v>RS-03179-E1</x:v>
      </x:c>
      <x:c r="B3180" s="4" t="str">
        <x:v>RS-03179</x:v>
      </x:c>
      <x:c r="C3180" s="8" t="n">
        <x:v>45488</x:v>
      </x:c>
      <x:c r="D3180" s="4" t="str">
        <x:v>Sales operations manager</x:v>
      </x:c>
      <x:c r="E3180" s="4" t="str">
        <x:v>Paper transcribed</x:v>
      </x:c>
      <x:c r="F3180" s="4" t="str">
        <x:v>Record captured</x:v>
      </x:c>
      <x:c r="G3180" s="4" t="str">
        <x:v>Cancelled</x:v>
      </x:c>
    </x:row>
    <x:row r="3181" ht="34" customHeight="1">
      <x:c r="A3181" s="4" t="str">
        <x:v>RS-03180-E1</x:v>
      </x:c>
      <x:c r="B3181" s="4" t="str">
        <x:v>RS-03180</x:v>
      </x:c>
      <x:c r="C3181" s="8" t="n">
        <x:v>45489</x:v>
      </x:c>
      <x:c r="D3181" s="4" t="str">
        <x:v>Sales operations manager</x:v>
      </x:c>
      <x:c r="E3181" s="4" t="str">
        <x:v>Paper transcribed</x:v>
      </x:c>
      <x:c r="F3181" s="4" t="str">
        <x:v>Record captured</x:v>
      </x:c>
      <x:c r="G3181" s="4" t="str">
        <x:v>Agreement signed</x:v>
      </x:c>
    </x:row>
    <x:row r="3182" ht="34" customHeight="1">
      <x:c r="A3182" s="4" t="str">
        <x:v>RS-03181-E1</x:v>
      </x:c>
      <x:c r="B3182" s="4" t="str">
        <x:v>RS-03181</x:v>
      </x:c>
      <x:c r="C3182" s="8" t="n">
        <x:v>45490</x:v>
      </x:c>
      <x:c r="D3182" s="4" t="str">
        <x:v>Sales operations manager</x:v>
      </x:c>
      <x:c r="E3182" s="4" t="str">
        <x:v>Spreadsheet import</x:v>
      </x:c>
      <x:c r="F3182" s="4" t="str">
        <x:v>Record captured</x:v>
      </x:c>
      <x:c r="G3182" s="4" t="str">
        <x:v>Agreement signed</x:v>
      </x:c>
    </x:row>
    <x:row r="3183" ht="34" customHeight="1">
      <x:c r="A3183" s="4" t="str">
        <x:v>RS-03182-E1</x:v>
      </x:c>
      <x:c r="B3183" s="4" t="str">
        <x:v>RS-03182</x:v>
      </x:c>
      <x:c r="C3183" s="8" t="n">
        <x:v>45491</x:v>
      </x:c>
      <x:c r="D3183" s="4" t="str">
        <x:v>Sales operations manager</x:v>
      </x:c>
      <x:c r="E3183" s="4" t="str">
        <x:v>Paper transcribed</x:v>
      </x:c>
      <x:c r="F3183" s="4" t="str">
        <x:v>Record captured</x:v>
      </x:c>
      <x:c r="G3183" s="4" t="str">
        <x:v>Agreement signed</x:v>
      </x:c>
    </x:row>
    <x:row r="3184" ht="34" customHeight="1">
      <x:c r="A3184" s="4" t="str">
        <x:v>RS-03183-E1</x:v>
      </x:c>
      <x:c r="B3184" s="4" t="str">
        <x:v>RS-03183</x:v>
      </x:c>
      <x:c r="C3184" s="8" t="n">
        <x:v>45492</x:v>
      </x:c>
      <x:c r="D3184" s="4" t="str">
        <x:v>Sales operations manager</x:v>
      </x:c>
      <x:c r="E3184" s="4" t="str">
        <x:v>Spreadsheet import</x:v>
      </x:c>
      <x:c r="F3184" s="4" t="str">
        <x:v>Record captured</x:v>
      </x:c>
      <x:c r="G3184" s="4" t="str">
        <x:v>Agreement signed</x:v>
      </x:c>
    </x:row>
    <x:row r="3185" ht="34" customHeight="1">
      <x:c r="A3185" s="4" t="str">
        <x:v>RS-03184-E1</x:v>
      </x:c>
      <x:c r="B3185" s="4" t="str">
        <x:v>RS-03184</x:v>
      </x:c>
      <x:c r="C3185" s="8" t="n">
        <x:v>45493</x:v>
      </x:c>
      <x:c r="D3185" s="4" t="str">
        <x:v>Sales operations manager</x:v>
      </x:c>
      <x:c r="E3185" s="4" t="str">
        <x:v>Spreadsheet import</x:v>
      </x:c>
      <x:c r="F3185" s="4" t="str">
        <x:v>Record captured</x:v>
      </x:c>
      <x:c r="G3185" s="4" t="str">
        <x:v>Cancelled</x:v>
      </x:c>
    </x:row>
    <x:row r="3186" ht="34" customHeight="1">
      <x:c r="A3186" s="4" t="str">
        <x:v>RS-03185-E1</x:v>
      </x:c>
      <x:c r="B3186" s="4" t="str">
        <x:v>RS-03185</x:v>
      </x:c>
      <x:c r="C3186" s="8" t="n">
        <x:v>45494</x:v>
      </x:c>
      <x:c r="D3186" s="4" t="str">
        <x:v>Sales operations manager</x:v>
      </x:c>
      <x:c r="E3186" s="4" t="str">
        <x:v>Paper transcribed</x:v>
      </x:c>
      <x:c r="F3186" s="4" t="str">
        <x:v>Record captured</x:v>
      </x:c>
      <x:c r="G3186" s="4" t="str">
        <x:v>Booked</x:v>
      </x:c>
    </x:row>
    <x:row r="3187" ht="34" customHeight="1">
      <x:c r="A3187" s="4" t="str">
        <x:v>RS-03186-E1</x:v>
      </x:c>
      <x:c r="B3187" s="4" t="str">
        <x:v>RS-03186</x:v>
      </x:c>
      <x:c r="C3187" s="8" t="n">
        <x:v>45495</x:v>
      </x:c>
      <x:c r="D3187" s="4" t="str">
        <x:v>Sales operations manager</x:v>
      </x:c>
      <x:c r="E3187" s="4" t="str">
        <x:v>Paper transcribed</x:v>
      </x:c>
      <x:c r="F3187" s="4" t="str">
        <x:v>Record captured</x:v>
      </x:c>
      <x:c r="G3187" s="4" t="str">
        <x:v>Handed over</x:v>
      </x:c>
    </x:row>
    <x:row r="3188" ht="34" customHeight="1">
      <x:c r="A3188" s="4" t="str">
        <x:v>RS-03187-E1</x:v>
      </x:c>
      <x:c r="B3188" s="4" t="str">
        <x:v>RS-03187</x:v>
      </x:c>
      <x:c r="C3188" s="8" t="n">
        <x:v>45496</x:v>
      </x:c>
      <x:c r="D3188" s="4" t="str">
        <x:v>Sales operations manager</x:v>
      </x:c>
      <x:c r="E3188" s="4" t="str">
        <x:v>ERP form</x:v>
      </x:c>
      <x:c r="F3188" s="4" t="str">
        <x:v>Record captured</x:v>
      </x:c>
      <x:c r="G3188" s="4" t="str">
        <x:v>Enquiry</x:v>
      </x:c>
    </x:row>
    <x:row r="3189" ht="34" customHeight="1">
      <x:c r="A3189" s="4" t="str">
        <x:v>RS-03188-E1</x:v>
      </x:c>
      <x:c r="B3189" s="4" t="str">
        <x:v>RS-03188</x:v>
      </x:c>
      <x:c r="C3189" s="8" t="n">
        <x:v>45497</x:v>
      </x:c>
      <x:c r="D3189" s="4" t="str">
        <x:v>Sales operations manager</x:v>
      </x:c>
      <x:c r="E3189" s="4" t="str">
        <x:v>ERP form</x:v>
      </x:c>
      <x:c r="F3189" s="4" t="str">
        <x:v>Record captured</x:v>
      </x:c>
      <x:c r="G3189" s="4" t="str">
        <x:v>Agreement signed</x:v>
      </x:c>
    </x:row>
    <x:row r="3190" ht="34" customHeight="1">
      <x:c r="A3190" s="4" t="str">
        <x:v>RS-03189-E1</x:v>
      </x:c>
      <x:c r="B3190" s="4" t="str">
        <x:v>RS-03189</x:v>
      </x:c>
      <x:c r="C3190" s="8" t="n">
        <x:v>45498</x:v>
      </x:c>
      <x:c r="D3190" s="4" t="str">
        <x:v>Sales operations manager</x:v>
      </x:c>
      <x:c r="E3190" s="4" t="str">
        <x:v>WhatsApp transcribed</x:v>
      </x:c>
      <x:c r="F3190" s="4" t="str">
        <x:v>Record captured</x:v>
      </x:c>
      <x:c r="G3190" s="4" t="str">
        <x:v>Booked</x:v>
      </x:c>
    </x:row>
    <x:row r="3191" ht="34" customHeight="1">
      <x:c r="A3191" s="4" t="str">
        <x:v>RS-03190-E1</x:v>
      </x:c>
      <x:c r="B3191" s="4" t="str">
        <x:v>RS-03190</x:v>
      </x:c>
      <x:c r="C3191" s="8" t="n">
        <x:v>45499</x:v>
      </x:c>
      <x:c r="D3191" s="4" t="str">
        <x:v>Sales operations manager</x:v>
      </x:c>
      <x:c r="E3191" s="4" t="str">
        <x:v>Paper transcribed</x:v>
      </x:c>
      <x:c r="F3191" s="4" t="str">
        <x:v>Record captured</x:v>
      </x:c>
      <x:c r="G3191" s="4" t="str">
        <x:v>Enquiry</x:v>
      </x:c>
    </x:row>
    <x:row r="3192" ht="34" customHeight="1">
      <x:c r="A3192" s="4" t="str">
        <x:v>RS-03191-E1</x:v>
      </x:c>
      <x:c r="B3192" s="4" t="str">
        <x:v>RS-03191</x:v>
      </x:c>
      <x:c r="C3192" s="8" t="n">
        <x:v>45500</x:v>
      </x:c>
      <x:c r="D3192" s="4" t="str">
        <x:v>Sales operations manager</x:v>
      </x:c>
      <x:c r="E3192" s="4" t="str">
        <x:v>Spreadsheet import</x:v>
      </x:c>
      <x:c r="F3192" s="4" t="str">
        <x:v>Record captured</x:v>
      </x:c>
      <x:c r="G3192" s="4" t="str">
        <x:v>Booked</x:v>
      </x:c>
    </x:row>
    <x:row r="3193" ht="34" customHeight="1">
      <x:c r="A3193" s="4" t="str">
        <x:v>RS-03192-E1</x:v>
      </x:c>
      <x:c r="B3193" s="4" t="str">
        <x:v>RS-03192</x:v>
      </x:c>
      <x:c r="C3193" s="8" t="n">
        <x:v>45501</x:v>
      </x:c>
      <x:c r="D3193" s="4" t="str">
        <x:v>Sales operations manager</x:v>
      </x:c>
      <x:c r="E3193" s="4" t="str">
        <x:v>Spreadsheet import</x:v>
      </x:c>
      <x:c r="F3193" s="4" t="str">
        <x:v>Record captured</x:v>
      </x:c>
      <x:c r="G3193" s="4" t="str">
        <x:v>Cancelled</x:v>
      </x:c>
    </x:row>
    <x:row r="3194" ht="34" customHeight="1">
      <x:c r="A3194" s="4" t="str">
        <x:v>RS-03193-E1</x:v>
      </x:c>
      <x:c r="B3194" s="4" t="str">
        <x:v>RS-03193</x:v>
      </x:c>
      <x:c r="C3194" s="8" t="n">
        <x:v>45474</x:v>
      </x:c>
      <x:c r="D3194" s="4" t="str">
        <x:v>Sales operations manager</x:v>
      </x:c>
      <x:c r="E3194" s="4" t="str">
        <x:v>ERP form</x:v>
      </x:c>
      <x:c r="F3194" s="4" t="str">
        <x:v>Record captured</x:v>
      </x:c>
      <x:c r="G3194" s="4" t="str">
        <x:v>Reserved</x:v>
      </x:c>
    </x:row>
    <x:row r="3195" ht="34" customHeight="1">
      <x:c r="A3195" s="4" t="str">
        <x:v>RS-03194-E1</x:v>
      </x:c>
      <x:c r="B3195" s="4" t="str">
        <x:v>RS-03194</x:v>
      </x:c>
      <x:c r="C3195" s="8" t="n">
        <x:v>45475</x:v>
      </x:c>
      <x:c r="D3195" s="4" t="str">
        <x:v>Sales operations manager</x:v>
      </x:c>
      <x:c r="E3195" s="4" t="str">
        <x:v>Paper transcribed</x:v>
      </x:c>
      <x:c r="F3195" s="4" t="str">
        <x:v>Record captured</x:v>
      </x:c>
      <x:c r="G3195" s="4" t="str">
        <x:v>Reserved</x:v>
      </x:c>
    </x:row>
    <x:row r="3196" ht="34" customHeight="1">
      <x:c r="A3196" s="4" t="str">
        <x:v>RS-03195-E1</x:v>
      </x:c>
      <x:c r="B3196" s="4" t="str">
        <x:v>RS-03195</x:v>
      </x:c>
      <x:c r="C3196" s="8" t="n">
        <x:v>45476</x:v>
      </x:c>
      <x:c r="D3196" s="4" t="str">
        <x:v>Sales operations manager</x:v>
      </x:c>
      <x:c r="E3196" s="4" t="str">
        <x:v>Paper transcribed</x:v>
      </x:c>
      <x:c r="F3196" s="4" t="str">
        <x:v>Record captured</x:v>
      </x:c>
      <x:c r="G3196" s="4" t="str">
        <x:v>Handed over</x:v>
      </x:c>
    </x:row>
    <x:row r="3197" ht="34" customHeight="1">
      <x:c r="A3197" s="4" t="str">
        <x:v>RS-03196-E1</x:v>
      </x:c>
      <x:c r="B3197" s="4" t="str">
        <x:v>RS-03196</x:v>
      </x:c>
      <x:c r="C3197" s="8" t="n">
        <x:v>45477</x:v>
      </x:c>
      <x:c r="D3197" s="4" t="str">
        <x:v>Sales operations manager</x:v>
      </x:c>
      <x:c r="E3197" s="4" t="str">
        <x:v>Paper transcribed</x:v>
      </x:c>
      <x:c r="F3197" s="4" t="str">
        <x:v>Record captured</x:v>
      </x:c>
      <x:c r="G3197" s="4" t="str">
        <x:v>Agreement signed</x:v>
      </x:c>
    </x:row>
    <x:row r="3198" ht="34" customHeight="1">
      <x:c r="A3198" s="4" t="str">
        <x:v>RS-03197-E1</x:v>
      </x:c>
      <x:c r="B3198" s="4" t="str">
        <x:v>RS-03197</x:v>
      </x:c>
      <x:c r="C3198" s="8" t="n">
        <x:v>45478</x:v>
      </x:c>
      <x:c r="D3198" s="4" t="str">
        <x:v>Sales operations manager</x:v>
      </x:c>
      <x:c r="E3198" s="4" t="str">
        <x:v>WhatsApp transcribed</x:v>
      </x:c>
      <x:c r="F3198" s="4" t="str">
        <x:v>Record captured</x:v>
      </x:c>
      <x:c r="G3198" s="4" t="str">
        <x:v>Enquiry</x:v>
      </x:c>
    </x:row>
    <x:row r="3199" ht="34" customHeight="1">
      <x:c r="A3199" s="4" t="str">
        <x:v>RS-03198-E1</x:v>
      </x:c>
      <x:c r="B3199" s="4" t="str">
        <x:v>RS-03198</x:v>
      </x:c>
      <x:c r="C3199" s="8" t="n">
        <x:v>45479</x:v>
      </x:c>
      <x:c r="D3199" s="4" t="str">
        <x:v>Sales operations manager</x:v>
      </x:c>
      <x:c r="E3199" s="4" t="str">
        <x:v>Spreadsheet import</x:v>
      </x:c>
      <x:c r="F3199" s="4" t="str">
        <x:v>Record captured</x:v>
      </x:c>
      <x:c r="G3199" s="4" t="str">
        <x:v>Reserved</x:v>
      </x:c>
    </x:row>
    <x:row r="3200" ht="34" customHeight="1">
      <x:c r="A3200" s="4" t="str">
        <x:v>RS-03199-E1</x:v>
      </x:c>
      <x:c r="B3200" s="4" t="str">
        <x:v>RS-03199</x:v>
      </x:c>
      <x:c r="C3200" s="8" t="n">
        <x:v>45480</x:v>
      </x:c>
      <x:c r="D3200" s="4" t="str">
        <x:v>Sales operations manager</x:v>
      </x:c>
      <x:c r="E3200" s="4" t="str">
        <x:v>WhatsApp transcribed</x:v>
      </x:c>
      <x:c r="F3200" s="4" t="str">
        <x:v>Record captured</x:v>
      </x:c>
      <x:c r="G3200" s="4" t="str">
        <x:v>Cancelled</x:v>
      </x:c>
    </x:row>
    <x:row r="3201" ht="34" customHeight="1">
      <x:c r="A3201" s="4" t="str">
        <x:v>RS-03200-E1</x:v>
      </x:c>
      <x:c r="B3201" s="4" t="str">
        <x:v>RS-03200</x:v>
      </x:c>
      <x:c r="C3201" s="8" t="n">
        <x:v>45481</x:v>
      </x:c>
      <x:c r="D3201" s="4" t="str">
        <x:v>Sales operations manager</x:v>
      </x:c>
      <x:c r="E3201" s="4" t="str">
        <x:v>ERP form</x:v>
      </x:c>
      <x:c r="F3201" s="4" t="str">
        <x:v>Record captured</x:v>
      </x:c>
      <x:c r="G3201" s="4" t="str">
        <x:v>Enquiry</x:v>
      </x:c>
    </x:row>
    <x:row r="3202" ht="34" customHeight="1">
      <x:c r="A3202" s="4" t="str">
        <x:v>RS-03201-E1</x:v>
      </x:c>
      <x:c r="B3202" s="4" t="str">
        <x:v>RS-03201</x:v>
      </x:c>
      <x:c r="C3202" s="8" t="n">
        <x:v>45482</x:v>
      </x:c>
      <x:c r="D3202" s="4" t="str">
        <x:v>Sales operations manager</x:v>
      </x:c>
      <x:c r="E3202" s="4" t="str">
        <x:v>WhatsApp transcribed</x:v>
      </x:c>
      <x:c r="F3202" s="4" t="str">
        <x:v>Record captured</x:v>
      </x:c>
      <x:c r="G3202" s="4" t="str">
        <x:v>Cancelled</x:v>
      </x:c>
    </x:row>
    <x:row r="3203" ht="34" customHeight="1">
      <x:c r="A3203" s="4" t="str">
        <x:v>RS-03202-E1</x:v>
      </x:c>
      <x:c r="B3203" s="4" t="str">
        <x:v>RS-03202</x:v>
      </x:c>
      <x:c r="C3203" s="8" t="n">
        <x:v>45483</x:v>
      </x:c>
      <x:c r="D3203" s="4" t="str">
        <x:v>Sales operations manager</x:v>
      </x:c>
      <x:c r="E3203" s="4" t="str">
        <x:v>Spreadsheet import</x:v>
      </x:c>
      <x:c r="F3203" s="4" t="str">
        <x:v>Record captured</x:v>
      </x:c>
      <x:c r="G3203" s="4" t="str">
        <x:v>Enquiry</x:v>
      </x:c>
    </x:row>
    <x:row r="3204" ht="34" customHeight="1">
      <x:c r="A3204" s="4" t="str">
        <x:v>RS-03203-E1</x:v>
      </x:c>
      <x:c r="B3204" s="4" t="str">
        <x:v>RS-03203</x:v>
      </x:c>
      <x:c r="C3204" s="8" t="n">
        <x:v>45484</x:v>
      </x:c>
      <x:c r="D3204" s="4" t="str">
        <x:v>Sales operations manager</x:v>
      </x:c>
      <x:c r="E3204" s="4" t="str">
        <x:v>ERP form</x:v>
      </x:c>
      <x:c r="F3204" s="4" t="str">
        <x:v>Record captured</x:v>
      </x:c>
      <x:c r="G3204" s="4" t="str">
        <x:v>Handed over</x:v>
      </x:c>
    </x:row>
    <x:row r="3205" ht="34" customHeight="1">
      <x:c r="A3205" s="4" t="str">
        <x:v>RS-03204-E1</x:v>
      </x:c>
      <x:c r="B3205" s="4" t="str">
        <x:v>RS-03204</x:v>
      </x:c>
      <x:c r="C3205" s="8" t="n">
        <x:v>45485</x:v>
      </x:c>
      <x:c r="D3205" s="4" t="str">
        <x:v>Sales operations manager</x:v>
      </x:c>
      <x:c r="E3205" s="4" t="str">
        <x:v>ERP form</x:v>
      </x:c>
      <x:c r="F3205" s="4" t="str">
        <x:v>Record captured</x:v>
      </x:c>
      <x:c r="G3205" s="4" t="str">
        <x:v>Reserved</x:v>
      </x:c>
    </x:row>
    <x:row r="3206" ht="34" customHeight="1">
      <x:c r="A3206" s="4" t="str">
        <x:v>RS-03205-E1</x:v>
      </x:c>
      <x:c r="B3206" s="4" t="str">
        <x:v>RS-03205</x:v>
      </x:c>
      <x:c r="C3206" s="8" t="n">
        <x:v>45486</x:v>
      </x:c>
      <x:c r="D3206" s="4" t="str">
        <x:v>Sales operations manager</x:v>
      </x:c>
      <x:c r="E3206" s="4" t="str">
        <x:v>Spreadsheet import</x:v>
      </x:c>
      <x:c r="F3206" s="4" t="str">
        <x:v>Record captured</x:v>
      </x:c>
      <x:c r="G3206" s="4" t="str">
        <x:v>Booked</x:v>
      </x:c>
    </x:row>
    <x:row r="3207" ht="34" customHeight="1">
      <x:c r="A3207" s="4" t="str">
        <x:v>RS-03206-E1</x:v>
      </x:c>
      <x:c r="B3207" s="4" t="str">
        <x:v>RS-03206</x:v>
      </x:c>
      <x:c r="C3207" s="8" t="n">
        <x:v>45487</x:v>
      </x:c>
      <x:c r="D3207" s="4" t="str">
        <x:v>Sales operations manager</x:v>
      </x:c>
      <x:c r="E3207" s="4" t="str">
        <x:v>Paper transcribed</x:v>
      </x:c>
      <x:c r="F3207" s="4" t="str">
        <x:v>Record captured</x:v>
      </x:c>
      <x:c r="G3207" s="4" t="str">
        <x:v>Agreement signed</x:v>
      </x:c>
    </x:row>
    <x:row r="3208" ht="34" customHeight="1">
      <x:c r="A3208" s="4" t="str">
        <x:v>RS-03207-E1</x:v>
      </x:c>
      <x:c r="B3208" s="4" t="str">
        <x:v>RS-03207</x:v>
      </x:c>
      <x:c r="C3208" s="8" t="n">
        <x:v>45488</x:v>
      </x:c>
      <x:c r="D3208" s="4" t="str">
        <x:v>Sales operations manager</x:v>
      </x:c>
      <x:c r="E3208" s="4" t="str">
        <x:v>Spreadsheet import</x:v>
      </x:c>
      <x:c r="F3208" s="4" t="str">
        <x:v>Record captured</x:v>
      </x:c>
      <x:c r="G3208" s="4" t="str">
        <x:v>Agreement signed</x:v>
      </x:c>
    </x:row>
    <x:row r="3209" ht="34" customHeight="1">
      <x:c r="A3209" s="4" t="str">
        <x:v>RS-03208-E1</x:v>
      </x:c>
      <x:c r="B3209" s="4" t="str">
        <x:v>RS-03208</x:v>
      </x:c>
      <x:c r="C3209" s="8" t="n">
        <x:v>45489</x:v>
      </x:c>
      <x:c r="D3209" s="4" t="str">
        <x:v>Sales operations manager</x:v>
      </x:c>
      <x:c r="E3209" s="4" t="str">
        <x:v>Paper transcribed</x:v>
      </x:c>
      <x:c r="F3209" s="4" t="str">
        <x:v>Record captured</x:v>
      </x:c>
      <x:c r="G3209" s="4" t="str">
        <x:v>Enquiry</x:v>
      </x:c>
    </x:row>
    <x:row r="3210" ht="34" customHeight="1">
      <x:c r="A3210" s="4" t="str">
        <x:v>RS-03209-E1</x:v>
      </x:c>
      <x:c r="B3210" s="4" t="str">
        <x:v>RS-03209</x:v>
      </x:c>
      <x:c r="C3210" s="8" t="n">
        <x:v>45490</x:v>
      </x:c>
      <x:c r="D3210" s="4" t="str">
        <x:v>Sales operations manager</x:v>
      </x:c>
      <x:c r="E3210" s="4" t="str">
        <x:v>Spreadsheet import</x:v>
      </x:c>
      <x:c r="F3210" s="4" t="str">
        <x:v>Record captured</x:v>
      </x:c>
      <x:c r="G3210" s="4" t="str">
        <x:v>Cancelled</x:v>
      </x:c>
    </x:row>
    <x:row r="3211" ht="34" customHeight="1">
      <x:c r="A3211" s="4" t="str">
        <x:v>RS-03210-E1</x:v>
      </x:c>
      <x:c r="B3211" s="4" t="str">
        <x:v>RS-03210</x:v>
      </x:c>
      <x:c r="C3211" s="8" t="n">
        <x:v>45491</x:v>
      </x:c>
      <x:c r="D3211" s="4" t="str">
        <x:v>Sales operations manager</x:v>
      </x:c>
      <x:c r="E3211" s="4" t="str">
        <x:v>WhatsApp transcribed</x:v>
      </x:c>
      <x:c r="F3211" s="4" t="str">
        <x:v>Record captured</x:v>
      </x:c>
      <x:c r="G3211" s="4" t="str">
        <x:v>Handed over</x:v>
      </x:c>
    </x:row>
    <x:row r="3212" ht="34" customHeight="1">
      <x:c r="A3212" s="4" t="str">
        <x:v>RS-03211-E1</x:v>
      </x:c>
      <x:c r="B3212" s="4" t="str">
        <x:v>RS-03211</x:v>
      </x:c>
      <x:c r="C3212" s="8" t="n">
        <x:v>45492</x:v>
      </x:c>
      <x:c r="D3212" s="4" t="str">
        <x:v>Sales operations manager</x:v>
      </x:c>
      <x:c r="E3212" s="4" t="str">
        <x:v>ERP form</x:v>
      </x:c>
      <x:c r="F3212" s="4" t="str">
        <x:v>Record captured</x:v>
      </x:c>
      <x:c r="G3212" s="4" t="str">
        <x:v>Agreement signed</x:v>
      </x:c>
    </x:row>
    <x:row r="3213" ht="34" customHeight="1">
      <x:c r="A3213" s="4" t="str">
        <x:v>RS-03212-E1</x:v>
      </x:c>
      <x:c r="B3213" s="4" t="str">
        <x:v>RS-03212</x:v>
      </x:c>
      <x:c r="C3213" s="8" t="n">
        <x:v>45493</x:v>
      </x:c>
      <x:c r="D3213" s="4" t="str">
        <x:v>Sales operations manager</x:v>
      </x:c>
      <x:c r="E3213" s="4" t="str">
        <x:v>WhatsApp transcribed</x:v>
      </x:c>
      <x:c r="F3213" s="4" t="str">
        <x:v>Record captured</x:v>
      </x:c>
      <x:c r="G3213" s="4" t="str">
        <x:v>Enquiry</x:v>
      </x:c>
    </x:row>
    <x:row r="3214" ht="34" customHeight="1">
      <x:c r="A3214" s="4" t="str">
        <x:v>RS-03213-E1</x:v>
      </x:c>
      <x:c r="B3214" s="4" t="str">
        <x:v>RS-03213</x:v>
      </x:c>
      <x:c r="C3214" s="8" t="n">
        <x:v>45494</x:v>
      </x:c>
      <x:c r="D3214" s="4" t="str">
        <x:v>Sales operations manager</x:v>
      </x:c>
      <x:c r="E3214" s="4" t="str">
        <x:v>ERP form</x:v>
      </x:c>
      <x:c r="F3214" s="4" t="str">
        <x:v>Record captured</x:v>
      </x:c>
      <x:c r="G3214" s="4" t="str">
        <x:v>Reserved</x:v>
      </x:c>
    </x:row>
    <x:row r="3215" ht="34" customHeight="1">
      <x:c r="A3215" s="4" t="str">
        <x:v>RS-03214-E1</x:v>
      </x:c>
      <x:c r="B3215" s="4" t="str">
        <x:v>RS-03214</x:v>
      </x:c>
      <x:c r="C3215" s="8" t="n">
        <x:v>45495</x:v>
      </x:c>
      <x:c r="D3215" s="4" t="str">
        <x:v>Sales operations manager</x:v>
      </x:c>
      <x:c r="E3215" s="4" t="str">
        <x:v>Paper transcribed</x:v>
      </x:c>
      <x:c r="F3215" s="4" t="str">
        <x:v>Record captured</x:v>
      </x:c>
      <x:c r="G3215" s="4" t="str">
        <x:v>Reserved</x:v>
      </x:c>
    </x:row>
    <x:row r="3216" ht="34" customHeight="1">
      <x:c r="A3216" s="4" t="str">
        <x:v>RS-03215-E1</x:v>
      </x:c>
      <x:c r="B3216" s="4" t="str">
        <x:v>RS-03215</x:v>
      </x:c>
      <x:c r="C3216" s="8" t="n">
        <x:v>45496</x:v>
      </x:c>
      <x:c r="D3216" s="4" t="str">
        <x:v>Sales operations manager</x:v>
      </x:c>
      <x:c r="E3216" s="4" t="str">
        <x:v>Paper transcribed</x:v>
      </x:c>
      <x:c r="F3216" s="4" t="str">
        <x:v>Record captured</x:v>
      </x:c>
      <x:c r="G3216" s="4" t="str">
        <x:v>Agreement signed</x:v>
      </x:c>
    </x:row>
    <x:row r="3217" ht="34" customHeight="1">
      <x:c r="A3217" s="4" t="str">
        <x:v>RS-03216-E1</x:v>
      </x:c>
      <x:c r="B3217" s="4" t="str">
        <x:v>RS-03216</x:v>
      </x:c>
      <x:c r="C3217" s="8" t="n">
        <x:v>45497</x:v>
      </x:c>
      <x:c r="D3217" s="4" t="str">
        <x:v>Sales operations manager</x:v>
      </x:c>
      <x:c r="E3217" s="4" t="str">
        <x:v>WhatsApp transcribed</x:v>
      </x:c>
      <x:c r="F3217" s="4" t="str">
        <x:v>Record captured</x:v>
      </x:c>
      <x:c r="G3217" s="4" t="str">
        <x:v>Agreement signed</x:v>
      </x:c>
    </x:row>
    <x:row r="3218" ht="34" customHeight="1">
      <x:c r="A3218" s="4" t="str">
        <x:v>RS-03217-E1</x:v>
      </x:c>
      <x:c r="B3218" s="4" t="str">
        <x:v>RS-03217</x:v>
      </x:c>
      <x:c r="C3218" s="8" t="n">
        <x:v>45498</x:v>
      </x:c>
      <x:c r="D3218" s="4" t="str">
        <x:v>Sales operations manager</x:v>
      </x:c>
      <x:c r="E3218" s="4" t="str">
        <x:v>Paper transcribed</x:v>
      </x:c>
      <x:c r="F3218" s="4" t="str">
        <x:v>Record captured</x:v>
      </x:c>
      <x:c r="G3218" s="4" t="str">
        <x:v>Agreement signed</x:v>
      </x:c>
    </x:row>
    <x:row r="3219" ht="34" customHeight="1">
      <x:c r="A3219" s="4" t="str">
        <x:v>RS-03218-E1</x:v>
      </x:c>
      <x:c r="B3219" s="4" t="str">
        <x:v>RS-03218</x:v>
      </x:c>
      <x:c r="C3219" s="8" t="n">
        <x:v>45499</x:v>
      </x:c>
      <x:c r="D3219" s="4" t="str">
        <x:v>Sales operations manager</x:v>
      </x:c>
      <x:c r="E3219" s="4" t="str">
        <x:v>ERP form</x:v>
      </x:c>
      <x:c r="F3219" s="4" t="str">
        <x:v>Record captured</x:v>
      </x:c>
      <x:c r="G3219" s="4" t="str">
        <x:v>Enquiry</x:v>
      </x:c>
    </x:row>
    <x:row r="3220" ht="34" customHeight="1">
      <x:c r="A3220" s="4" t="str">
        <x:v>RS-03219-E1</x:v>
      </x:c>
      <x:c r="B3220" s="4" t="str">
        <x:v>RS-03219</x:v>
      </x:c>
      <x:c r="C3220" s="8" t="n">
        <x:v>45500</x:v>
      </x:c>
      <x:c r="D3220" s="4" t="str">
        <x:v>Sales operations manager</x:v>
      </x:c>
      <x:c r="E3220" s="4" t="str">
        <x:v>WhatsApp transcribed</x:v>
      </x:c>
      <x:c r="F3220" s="4" t="str">
        <x:v>Record captured</x:v>
      </x:c>
      <x:c r="G3220" s="4" t="str">
        <x:v>Enquiry</x:v>
      </x:c>
    </x:row>
    <x:row r="3221" ht="34" customHeight="1">
      <x:c r="A3221" s="4" t="str">
        <x:v>RS-03220-E1</x:v>
      </x:c>
      <x:c r="B3221" s="4" t="str">
        <x:v>RS-03220</x:v>
      </x:c>
      <x:c r="C3221" s="8" t="n">
        <x:v>45501</x:v>
      </x:c>
      <x:c r="D3221" s="4" t="str">
        <x:v>Sales operations manager</x:v>
      </x:c>
      <x:c r="E3221" s="4" t="str">
        <x:v>Spreadsheet import</x:v>
      </x:c>
      <x:c r="F3221" s="4" t="str">
        <x:v>Record captured</x:v>
      </x:c>
      <x:c r="G3221" s="4" t="str">
        <x:v>Enquiry</x:v>
      </x:c>
    </x:row>
    <x:row r="3222" ht="34" customHeight="1">
      <x:c r="A3222" s="4" t="str">
        <x:v>RS-03221-E1</x:v>
      </x:c>
      <x:c r="B3222" s="4" t="str">
        <x:v>RS-03221</x:v>
      </x:c>
      <x:c r="C3222" s="8" t="n">
        <x:v>45474</x:v>
      </x:c>
      <x:c r="D3222" s="4" t="str">
        <x:v>Sales operations manager</x:v>
      </x:c>
      <x:c r="E3222" s="4" t="str">
        <x:v>WhatsApp transcribed</x:v>
      </x:c>
      <x:c r="F3222" s="4" t="str">
        <x:v>Record captured</x:v>
      </x:c>
      <x:c r="G3222" s="4" t="str">
        <x:v>Agreement signed</x:v>
      </x:c>
    </x:row>
    <x:row r="3223" ht="34" customHeight="1">
      <x:c r="A3223" s="4" t="str">
        <x:v>RS-03222-E1</x:v>
      </x:c>
      <x:c r="B3223" s="4" t="str">
        <x:v>RS-03222</x:v>
      </x:c>
      <x:c r="C3223" s="8" t="n">
        <x:v>45475</x:v>
      </x:c>
      <x:c r="D3223" s="4" t="str">
        <x:v>Sales operations manager</x:v>
      </x:c>
      <x:c r="E3223" s="4" t="str">
        <x:v>WhatsApp transcribed</x:v>
      </x:c>
      <x:c r="F3223" s="4" t="str">
        <x:v>Record captured</x:v>
      </x:c>
      <x:c r="G3223" s="4" t="str">
        <x:v>Cancelled</x:v>
      </x:c>
    </x:row>
    <x:row r="3224" ht="34" customHeight="1">
      <x:c r="A3224" s="4" t="str">
        <x:v>RS-03223-E1</x:v>
      </x:c>
      <x:c r="B3224" s="4" t="str">
        <x:v>RS-03223</x:v>
      </x:c>
      <x:c r="C3224" s="8" t="n">
        <x:v>45476</x:v>
      </x:c>
      <x:c r="D3224" s="4" t="str">
        <x:v>Sales operations manager</x:v>
      </x:c>
      <x:c r="E3224" s="4" t="str">
        <x:v>WhatsApp transcribed</x:v>
      </x:c>
      <x:c r="F3224" s="4" t="str">
        <x:v>Record captured</x:v>
      </x:c>
      <x:c r="G3224" s="4" t="str">
        <x:v>Agreement signed</x:v>
      </x:c>
    </x:row>
    <x:row r="3225" ht="34" customHeight="1">
      <x:c r="A3225" s="4" t="str">
        <x:v>RS-03224-E1</x:v>
      </x:c>
      <x:c r="B3225" s="4" t="str">
        <x:v>RS-03224</x:v>
      </x:c>
      <x:c r="C3225" s="8" t="n">
        <x:v>45477</x:v>
      </x:c>
      <x:c r="D3225" s="4" t="str">
        <x:v>Sales operations manager</x:v>
      </x:c>
      <x:c r="E3225" s="4" t="str">
        <x:v>WhatsApp transcribed</x:v>
      </x:c>
      <x:c r="F3225" s="4" t="str">
        <x:v>Record captured</x:v>
      </x:c>
      <x:c r="G3225" s="4" t="str">
        <x:v>Reserved</x:v>
      </x:c>
    </x:row>
    <x:row r="3226" ht="34" customHeight="1">
      <x:c r="A3226" s="4" t="str">
        <x:v>RS-03225-E1</x:v>
      </x:c>
      <x:c r="B3226" s="4" t="str">
        <x:v>RS-03225</x:v>
      </x:c>
      <x:c r="C3226" s="8" t="n">
        <x:v>45478</x:v>
      </x:c>
      <x:c r="D3226" s="4" t="str">
        <x:v>Sales operations manager</x:v>
      </x:c>
      <x:c r="E3226" s="4" t="str">
        <x:v>Paper transcribed</x:v>
      </x:c>
      <x:c r="F3226" s="4" t="str">
        <x:v>Record captured</x:v>
      </x:c>
      <x:c r="G3226" s="4" t="str">
        <x:v>Booked</x:v>
      </x:c>
    </x:row>
    <x:row r="3227" ht="34" customHeight="1">
      <x:c r="A3227" s="4" t="str">
        <x:v>RS-03226-E1</x:v>
      </x:c>
      <x:c r="B3227" s="4" t="str">
        <x:v>RS-03226</x:v>
      </x:c>
      <x:c r="C3227" s="8" t="n">
        <x:v>45479</x:v>
      </x:c>
      <x:c r="D3227" s="4" t="str">
        <x:v>Sales operations manager</x:v>
      </x:c>
      <x:c r="E3227" s="4" t="str">
        <x:v>Paper transcribed</x:v>
      </x:c>
      <x:c r="F3227" s="4" t="str">
        <x:v>Record captured</x:v>
      </x:c>
      <x:c r="G3227" s="4" t="str">
        <x:v>Booked</x:v>
      </x:c>
    </x:row>
    <x:row r="3228" ht="34" customHeight="1">
      <x:c r="A3228" s="4" t="str">
        <x:v>RS-03227-E1</x:v>
      </x:c>
      <x:c r="B3228" s="4" t="str">
        <x:v>RS-03227</x:v>
      </x:c>
      <x:c r="C3228" s="8" t="n">
        <x:v>45480</x:v>
      </x:c>
      <x:c r="D3228" s="4" t="str">
        <x:v>Sales operations manager</x:v>
      </x:c>
      <x:c r="E3228" s="4" t="str">
        <x:v>ERP form</x:v>
      </x:c>
      <x:c r="F3228" s="4" t="str">
        <x:v>Record captured</x:v>
      </x:c>
      <x:c r="G3228" s="4" t="str">
        <x:v>Agreement signed</x:v>
      </x:c>
    </x:row>
    <x:row r="3229" ht="34" customHeight="1">
      <x:c r="A3229" s="4" t="str">
        <x:v>RS-03228-E1</x:v>
      </x:c>
      <x:c r="B3229" s="4" t="str">
        <x:v>RS-03228</x:v>
      </x:c>
      <x:c r="C3229" s="8" t="n">
        <x:v>45481</x:v>
      </x:c>
      <x:c r="D3229" s="4" t="str">
        <x:v>Sales operations manager</x:v>
      </x:c>
      <x:c r="E3229" s="4" t="str">
        <x:v>Paper transcribed</x:v>
      </x:c>
      <x:c r="F3229" s="4" t="str">
        <x:v>Record captured</x:v>
      </x:c>
      <x:c r="G3229" s="4" t="str">
        <x:v>Agreement signed</x:v>
      </x:c>
    </x:row>
    <x:row r="3230" ht="34" customHeight="1">
      <x:c r="A3230" s="4" t="str">
        <x:v>RS-03229-E1</x:v>
      </x:c>
      <x:c r="B3230" s="4" t="str">
        <x:v>RS-03229</x:v>
      </x:c>
      <x:c r="C3230" s="8" t="n">
        <x:v>45482</x:v>
      </x:c>
      <x:c r="D3230" s="4" t="str">
        <x:v>Sales operations manager</x:v>
      </x:c>
      <x:c r="E3230" s="4" t="str">
        <x:v>Paper transcribed</x:v>
      </x:c>
      <x:c r="F3230" s="4" t="str">
        <x:v>Record captured</x:v>
      </x:c>
      <x:c r="G3230" s="4" t="str">
        <x:v>Reserved</x:v>
      </x:c>
    </x:row>
    <x:row r="3231" ht="34" customHeight="1">
      <x:c r="A3231" s="4" t="str">
        <x:v>RS-03230-E1</x:v>
      </x:c>
      <x:c r="B3231" s="4" t="str">
        <x:v>RS-03230</x:v>
      </x:c>
      <x:c r="C3231" s="8" t="n">
        <x:v>45483</x:v>
      </x:c>
      <x:c r="D3231" s="4" t="str">
        <x:v>Sales operations manager</x:v>
      </x:c>
      <x:c r="E3231" s="4" t="str">
        <x:v>Paper transcribed</x:v>
      </x:c>
      <x:c r="F3231" s="4" t="str">
        <x:v>Record captured</x:v>
      </x:c>
      <x:c r="G3231" s="4" t="str">
        <x:v>Booked</x:v>
      </x:c>
    </x:row>
    <x:row r="3232" ht="34" customHeight="1">
      <x:c r="A3232" s="4" t="str">
        <x:v>RS-03231-E1</x:v>
      </x:c>
      <x:c r="B3232" s="4" t="str">
        <x:v>RS-03231</x:v>
      </x:c>
      <x:c r="C3232" s="8" t="n">
        <x:v>45484</x:v>
      </x:c>
      <x:c r="D3232" s="4" t="str">
        <x:v>Sales operations manager</x:v>
      </x:c>
      <x:c r="E3232" s="4" t="str">
        <x:v>ERP form</x:v>
      </x:c>
      <x:c r="F3232" s="4" t="str">
        <x:v>Record captured</x:v>
      </x:c>
      <x:c r="G3232" s="4" t="str">
        <x:v>Cancelled</x:v>
      </x:c>
    </x:row>
    <x:row r="3233" ht="34" customHeight="1">
      <x:c r="A3233" s="4" t="str">
        <x:v>RS-03232-E1</x:v>
      </x:c>
      <x:c r="B3233" s="4" t="str">
        <x:v>RS-03232</x:v>
      </x:c>
      <x:c r="C3233" s="8" t="n">
        <x:v>45485</x:v>
      </x:c>
      <x:c r="D3233" s="4" t="str">
        <x:v>Sales operations manager</x:v>
      </x:c>
      <x:c r="E3233" s="4" t="str">
        <x:v>Paper transcribed</x:v>
      </x:c>
      <x:c r="F3233" s="4" t="str">
        <x:v>Record captured</x:v>
      </x:c>
      <x:c r="G3233" s="4" t="str">
        <x:v>Enquiry</x:v>
      </x:c>
    </x:row>
    <x:row r="3234" ht="34" customHeight="1">
      <x:c r="A3234" s="4" t="str">
        <x:v>RS-03233-E1</x:v>
      </x:c>
      <x:c r="B3234" s="4" t="str">
        <x:v>RS-03233</x:v>
      </x:c>
      <x:c r="C3234" s="8" t="n">
        <x:v>45486</x:v>
      </x:c>
      <x:c r="D3234" s="4" t="str">
        <x:v>Sales operations manager</x:v>
      </x:c>
      <x:c r="E3234" s="4" t="str">
        <x:v>Paper transcribed</x:v>
      </x:c>
      <x:c r="F3234" s="4" t="str">
        <x:v>Record captured</x:v>
      </x:c>
      <x:c r="G3234" s="4" t="str">
        <x:v>Handed over</x:v>
      </x:c>
    </x:row>
    <x:row r="3235" ht="34" customHeight="1">
      <x:c r="A3235" s="4" t="str">
        <x:v>RS-03234-E1</x:v>
      </x:c>
      <x:c r="B3235" s="4" t="str">
        <x:v>RS-03234</x:v>
      </x:c>
      <x:c r="C3235" s="8" t="n">
        <x:v>45487</x:v>
      </x:c>
      <x:c r="D3235" s="4" t="str">
        <x:v>Sales operations manager</x:v>
      </x:c>
      <x:c r="E3235" s="4" t="str">
        <x:v>Paper transcribed</x:v>
      </x:c>
      <x:c r="F3235" s="4" t="str">
        <x:v>Record captured</x:v>
      </x:c>
      <x:c r="G3235" s="4" t="str">
        <x:v>Agreement signed</x:v>
      </x:c>
    </x:row>
    <x:row r="3236" ht="34" customHeight="1">
      <x:c r="A3236" s="4" t="str">
        <x:v>RS-03235-E1</x:v>
      </x:c>
      <x:c r="B3236" s="4" t="str">
        <x:v>RS-03235</x:v>
      </x:c>
      <x:c r="C3236" s="8" t="n">
        <x:v>45488</x:v>
      </x:c>
      <x:c r="D3236" s="4" t="str">
        <x:v>Sales operations manager</x:v>
      </x:c>
      <x:c r="E3236" s="4" t="str">
        <x:v>ERP form</x:v>
      </x:c>
      <x:c r="F3236" s="4" t="str">
        <x:v>Record captured</x:v>
      </x:c>
      <x:c r="G3236" s="4" t="str">
        <x:v>Cancelled</x:v>
      </x:c>
    </x:row>
    <x:row r="3237" ht="34" customHeight="1">
      <x:c r="A3237" s="4" t="str">
        <x:v>RS-03236-E1</x:v>
      </x:c>
      <x:c r="B3237" s="4" t="str">
        <x:v>RS-03236</x:v>
      </x:c>
      <x:c r="C3237" s="8" t="n">
        <x:v>45489</x:v>
      </x:c>
      <x:c r="D3237" s="4" t="str">
        <x:v>Sales operations manager</x:v>
      </x:c>
      <x:c r="E3237" s="4" t="str">
        <x:v>WhatsApp transcribed</x:v>
      </x:c>
      <x:c r="F3237" s="4" t="str">
        <x:v>Record captured</x:v>
      </x:c>
      <x:c r="G3237" s="4" t="str">
        <x:v>Enquiry</x:v>
      </x:c>
    </x:row>
    <x:row r="3238" ht="34" customHeight="1">
      <x:c r="A3238" s="4" t="str">
        <x:v>RS-03237-E1</x:v>
      </x:c>
      <x:c r="B3238" s="4" t="str">
        <x:v>RS-03237</x:v>
      </x:c>
      <x:c r="C3238" s="8" t="n">
        <x:v>45490</x:v>
      </x:c>
      <x:c r="D3238" s="4" t="str">
        <x:v>Sales operations manager</x:v>
      </x:c>
      <x:c r="E3238" s="4" t="str">
        <x:v>ERP form</x:v>
      </x:c>
      <x:c r="F3238" s="4" t="str">
        <x:v>Record captured</x:v>
      </x:c>
      <x:c r="G3238" s="4" t="str">
        <x:v>Handed over</x:v>
      </x:c>
    </x:row>
    <x:row r="3239" ht="34" customHeight="1">
      <x:c r="A3239" s="4" t="str">
        <x:v>RS-03238-E1</x:v>
      </x:c>
      <x:c r="B3239" s="4" t="str">
        <x:v>RS-03238</x:v>
      </x:c>
      <x:c r="C3239" s="8" t="n">
        <x:v>45491</x:v>
      </x:c>
      <x:c r="D3239" s="4" t="str">
        <x:v>Sales operations manager</x:v>
      </x:c>
      <x:c r="E3239" s="4" t="str">
        <x:v>WhatsApp transcribed</x:v>
      </x:c>
      <x:c r="F3239" s="4" t="str">
        <x:v>Record captured</x:v>
      </x:c>
      <x:c r="G3239" s="4" t="str">
        <x:v>Enquiry</x:v>
      </x:c>
    </x:row>
    <x:row r="3240" ht="34" customHeight="1">
      <x:c r="A3240" s="4" t="str">
        <x:v>RS-03239-E1</x:v>
      </x:c>
      <x:c r="B3240" s="4" t="str">
        <x:v>RS-03239</x:v>
      </x:c>
      <x:c r="C3240" s="8" t="n">
        <x:v>45492</x:v>
      </x:c>
      <x:c r="D3240" s="4" t="str">
        <x:v>Sales operations manager</x:v>
      </x:c>
      <x:c r="E3240" s="4" t="str">
        <x:v>ERP form</x:v>
      </x:c>
      <x:c r="F3240" s="4" t="str">
        <x:v>Record captured</x:v>
      </x:c>
      <x:c r="G3240" s="4" t="str">
        <x:v>Booked</x:v>
      </x:c>
    </x:row>
    <x:row r="3241" ht="34" customHeight="1">
      <x:c r="A3241" s="4" t="str">
        <x:v>RS-03240-E1</x:v>
      </x:c>
      <x:c r="B3241" s="4" t="str">
        <x:v>RS-03240</x:v>
      </x:c>
      <x:c r="C3241" s="8" t="n">
        <x:v>45493</x:v>
      </x:c>
      <x:c r="D3241" s="4" t="str">
        <x:v>Sales operations manager</x:v>
      </x:c>
      <x:c r="E3241" s="4" t="str">
        <x:v>Paper transcribed</x:v>
      </x:c>
      <x:c r="F3241" s="4" t="str">
        <x:v>Record captured</x:v>
      </x:c>
      <x:c r="G3241" s="4" t="str">
        <x:v>Reserved</x:v>
      </x:c>
    </x:row>
    <x:row r="3242" ht="34" customHeight="1">
      <x:c r="A3242" s="4" t="str">
        <x:v>RS-03241-E1</x:v>
      </x:c>
      <x:c r="B3242" s="4" t="str">
        <x:v>RS-03241</x:v>
      </x:c>
      <x:c r="C3242" s="8" t="n">
        <x:v>45494</x:v>
      </x:c>
      <x:c r="D3242" s="4" t="str">
        <x:v>Sales operations manager</x:v>
      </x:c>
      <x:c r="E3242" s="4" t="str">
        <x:v>ERP form</x:v>
      </x:c>
      <x:c r="F3242" s="4" t="str">
        <x:v>Record captured</x:v>
      </x:c>
      <x:c r="G3242" s="4" t="str">
        <x:v>Cancelled</x:v>
      </x:c>
    </x:row>
    <x:row r="3243" ht="34" customHeight="1">
      <x:c r="A3243" s="4" t="str">
        <x:v>RS-03242-E1</x:v>
      </x:c>
      <x:c r="B3243" s="4" t="str">
        <x:v>RS-03242</x:v>
      </x:c>
      <x:c r="C3243" s="8" t="n">
        <x:v>45495</x:v>
      </x:c>
      <x:c r="D3243" s="4" t="str">
        <x:v>Sales operations manager</x:v>
      </x:c>
      <x:c r="E3243" s="4" t="str">
        <x:v>ERP form</x:v>
      </x:c>
      <x:c r="F3243" s="4" t="str">
        <x:v>Record captured</x:v>
      </x:c>
      <x:c r="G3243" s="4" t="str">
        <x:v>Enquiry</x:v>
      </x:c>
    </x:row>
    <x:row r="3244" ht="34" customHeight="1">
      <x:c r="A3244" s="4" t="str">
        <x:v>RS-03243-E1</x:v>
      </x:c>
      <x:c r="B3244" s="4" t="str">
        <x:v>RS-03243</x:v>
      </x:c>
      <x:c r="C3244" s="8" t="n">
        <x:v>45496</x:v>
      </x:c>
      <x:c r="D3244" s="4" t="str">
        <x:v>Sales operations manager</x:v>
      </x:c>
      <x:c r="E3244" s="4" t="str">
        <x:v>Spreadsheet import</x:v>
      </x:c>
      <x:c r="F3244" s="4" t="str">
        <x:v>Record captured</x:v>
      </x:c>
      <x:c r="G3244" s="4" t="str">
        <x:v>Booked</x:v>
      </x:c>
    </x:row>
    <x:row r="3245" ht="34" customHeight="1">
      <x:c r="A3245" s="4" t="str">
        <x:v>RS-03244-E1</x:v>
      </x:c>
      <x:c r="B3245" s="4" t="str">
        <x:v>RS-03244</x:v>
      </x:c>
      <x:c r="C3245" s="8" t="n">
        <x:v>45497</x:v>
      </x:c>
      <x:c r="D3245" s="4" t="str">
        <x:v>Sales operations manager</x:v>
      </x:c>
      <x:c r="E3245" s="4" t="str">
        <x:v>Spreadsheet import</x:v>
      </x:c>
      <x:c r="F3245" s="4" t="str">
        <x:v>Record captured</x:v>
      </x:c>
      <x:c r="G3245" s="4" t="str">
        <x:v>Cancelled</x:v>
      </x:c>
    </x:row>
    <x:row r="3246" ht="34" customHeight="1">
      <x:c r="A3246" s="4" t="str">
        <x:v>RS-03245-E1</x:v>
      </x:c>
      <x:c r="B3246" s="4" t="str">
        <x:v>RS-03245</x:v>
      </x:c>
      <x:c r="C3246" s="8" t="n">
        <x:v>45498</x:v>
      </x:c>
      <x:c r="D3246" s="4" t="str">
        <x:v>Sales operations manager</x:v>
      </x:c>
      <x:c r="E3246" s="4" t="str">
        <x:v>Spreadsheet import</x:v>
      </x:c>
      <x:c r="F3246" s="4" t="str">
        <x:v>Record captured</x:v>
      </x:c>
      <x:c r="G3246" s="4" t="str">
        <x:v>Handed over</x:v>
      </x:c>
    </x:row>
    <x:row r="3247" ht="34" customHeight="1">
      <x:c r="A3247" s="4" t="str">
        <x:v>RS-03246-E1</x:v>
      </x:c>
      <x:c r="B3247" s="4" t="str">
        <x:v>RS-03246</x:v>
      </x:c>
      <x:c r="C3247" s="8" t="n">
        <x:v>45499</x:v>
      </x:c>
      <x:c r="D3247" s="4" t="str">
        <x:v>Sales operations manager</x:v>
      </x:c>
      <x:c r="E3247" s="4" t="str">
        <x:v>Spreadsheet import</x:v>
      </x:c>
      <x:c r="F3247" s="4" t="str">
        <x:v>Record captured</x:v>
      </x:c>
      <x:c r="G3247" s="4" t="str">
        <x:v>Handed over</x:v>
      </x:c>
    </x:row>
    <x:row r="3248" ht="34" customHeight="1">
      <x:c r="A3248" s="4" t="str">
        <x:v>RS-03247-E1</x:v>
      </x:c>
      <x:c r="B3248" s="4" t="str">
        <x:v>RS-03247</x:v>
      </x:c>
      <x:c r="C3248" s="8" t="n">
        <x:v>45500</x:v>
      </x:c>
      <x:c r="D3248" s="4" t="str">
        <x:v>Sales operations manager</x:v>
      </x:c>
      <x:c r="E3248" s="4" t="str">
        <x:v>ERP form</x:v>
      </x:c>
      <x:c r="F3248" s="4" t="str">
        <x:v>Record captured</x:v>
      </x:c>
      <x:c r="G3248" s="4" t="str">
        <x:v>Agreement signed</x:v>
      </x:c>
    </x:row>
    <x:row r="3249" ht="34" customHeight="1">
      <x:c r="A3249" s="4" t="str">
        <x:v>RS-03248-E1</x:v>
      </x:c>
      <x:c r="B3249" s="4" t="str">
        <x:v>RS-03248</x:v>
      </x:c>
      <x:c r="C3249" s="8" t="n">
        <x:v>45501</x:v>
      </x:c>
      <x:c r="D3249" s="4" t="str">
        <x:v>Sales operations manager</x:v>
      </x:c>
      <x:c r="E3249" s="4" t="str">
        <x:v>Spreadsheet import</x:v>
      </x:c>
      <x:c r="F3249" s="4" t="str">
        <x:v>Record captured</x:v>
      </x:c>
      <x:c r="G3249" s="4" t="str">
        <x:v>Enquiry</x:v>
      </x:c>
    </x:row>
    <x:row r="3250" ht="34" customHeight="1">
      <x:c r="A3250" s="4" t="str">
        <x:v>RS-03249-E1</x:v>
      </x:c>
      <x:c r="B3250" s="4" t="str">
        <x:v>RS-03249</x:v>
      </x:c>
      <x:c r="C3250" s="8" t="n">
        <x:v>45474</x:v>
      </x:c>
      <x:c r="D3250" s="4" t="str">
        <x:v>Sales operations manager</x:v>
      </x:c>
      <x:c r="E3250" s="4" t="str">
        <x:v>ERP form</x:v>
      </x:c>
      <x:c r="F3250" s="4" t="str">
        <x:v>Record captured</x:v>
      </x:c>
      <x:c r="G3250" s="4" t="str">
        <x:v>Enquiry</x:v>
      </x:c>
    </x:row>
    <x:row r="3251" ht="34" customHeight="1">
      <x:c r="A3251" s="4" t="str">
        <x:v>RS-03250-E1</x:v>
      </x:c>
      <x:c r="B3251" s="4" t="str">
        <x:v>RS-03250</x:v>
      </x:c>
      <x:c r="C3251" s="8" t="n">
        <x:v>45475</x:v>
      </x:c>
      <x:c r="D3251" s="4" t="str">
        <x:v>Sales operations manager</x:v>
      </x:c>
      <x:c r="E3251" s="4" t="str">
        <x:v>Paper transcribed</x:v>
      </x:c>
      <x:c r="F3251" s="4" t="str">
        <x:v>Record captured</x:v>
      </x:c>
      <x:c r="G3251" s="4" t="str">
        <x:v>Cancelled</x:v>
      </x:c>
    </x:row>
    <x:row r="3252" ht="34" customHeight="1">
      <x:c r="A3252" s="4" t="str">
        <x:v>RS-03251-E1</x:v>
      </x:c>
      <x:c r="B3252" s="4" t="str">
        <x:v>RS-03251</x:v>
      </x:c>
      <x:c r="C3252" s="8" t="n">
        <x:v>45476</x:v>
      </x:c>
      <x:c r="D3252" s="4" t="str">
        <x:v>Sales operations manager</x:v>
      </x:c>
      <x:c r="E3252" s="4" t="str">
        <x:v>Spreadsheet import</x:v>
      </x:c>
      <x:c r="F3252" s="4" t="str">
        <x:v>Record captured</x:v>
      </x:c>
      <x:c r="G3252" s="4" t="str">
        <x:v>Reserved</x:v>
      </x:c>
    </x:row>
    <x:row r="3253" ht="34" customHeight="1">
      <x:c r="A3253" s="4" t="str">
        <x:v>RS-03252-E1</x:v>
      </x:c>
      <x:c r="B3253" s="4" t="str">
        <x:v>RS-03252</x:v>
      </x:c>
      <x:c r="C3253" s="8" t="n">
        <x:v>45477</x:v>
      </x:c>
      <x:c r="D3253" s="4" t="str">
        <x:v>Sales operations manager</x:v>
      </x:c>
      <x:c r="E3253" s="4" t="str">
        <x:v>WhatsApp transcribed</x:v>
      </x:c>
      <x:c r="F3253" s="4" t="str">
        <x:v>Record captured</x:v>
      </x:c>
      <x:c r="G3253" s="4" t="str">
        <x:v>Cancelled</x:v>
      </x:c>
    </x:row>
    <x:row r="3254" ht="34" customHeight="1">
      <x:c r="A3254" s="4" t="str">
        <x:v>RS-03253-E1</x:v>
      </x:c>
      <x:c r="B3254" s="4" t="str">
        <x:v>RS-03253</x:v>
      </x:c>
      <x:c r="C3254" s="8" t="n">
        <x:v>45478</x:v>
      </x:c>
      <x:c r="D3254" s="4" t="str">
        <x:v>Sales operations manager</x:v>
      </x:c>
      <x:c r="E3254" s="4" t="str">
        <x:v>Paper transcribed</x:v>
      </x:c>
      <x:c r="F3254" s="4" t="str">
        <x:v>Record captured</x:v>
      </x:c>
      <x:c r="G3254" s="4" t="str">
        <x:v>Reserved</x:v>
      </x:c>
    </x:row>
    <x:row r="3255" ht="34" customHeight="1">
      <x:c r="A3255" s="4" t="str">
        <x:v>RS-03254-E1</x:v>
      </x:c>
      <x:c r="B3255" s="4" t="str">
        <x:v>RS-03254</x:v>
      </x:c>
      <x:c r="C3255" s="8" t="n">
        <x:v>45479</x:v>
      </x:c>
      <x:c r="D3255" s="4" t="str">
        <x:v>Sales operations manager</x:v>
      </x:c>
      <x:c r="E3255" s="4" t="str">
        <x:v>Spreadsheet import</x:v>
      </x:c>
      <x:c r="F3255" s="4" t="str">
        <x:v>Record captured</x:v>
      </x:c>
      <x:c r="G3255" s="4" t="str">
        <x:v>Handed over</x:v>
      </x:c>
    </x:row>
    <x:row r="3256" ht="34" customHeight="1">
      <x:c r="A3256" s="4" t="str">
        <x:v>RS-03255-E1</x:v>
      </x:c>
      <x:c r="B3256" s="4" t="str">
        <x:v>RS-03255</x:v>
      </x:c>
      <x:c r="C3256" s="8" t="n">
        <x:v>45480</x:v>
      </x:c>
      <x:c r="D3256" s="4" t="str">
        <x:v>Sales operations manager</x:v>
      </x:c>
      <x:c r="E3256" s="4" t="str">
        <x:v>ERP form</x:v>
      </x:c>
      <x:c r="F3256" s="4" t="str">
        <x:v>Record captured</x:v>
      </x:c>
      <x:c r="G3256" s="4" t="str">
        <x:v>Booked</x:v>
      </x:c>
    </x:row>
    <x:row r="3257" ht="34" customHeight="1">
      <x:c r="A3257" s="4" t="str">
        <x:v>RS-03256-E1</x:v>
      </x:c>
      <x:c r="B3257" s="4" t="str">
        <x:v>RS-03256</x:v>
      </x:c>
      <x:c r="C3257" s="8" t="n">
        <x:v>45481</x:v>
      </x:c>
      <x:c r="D3257" s="4" t="str">
        <x:v>Sales operations manager</x:v>
      </x:c>
      <x:c r="E3257" s="4" t="str">
        <x:v>ERP form</x:v>
      </x:c>
      <x:c r="F3257" s="4" t="str">
        <x:v>Record captured</x:v>
      </x:c>
      <x:c r="G3257" s="4" t="str">
        <x:v>Agreement signed</x:v>
      </x:c>
    </x:row>
    <x:row r="3258" ht="34" customHeight="1">
      <x:c r="A3258" s="4" t="str">
        <x:v>RS-03257-E1</x:v>
      </x:c>
      <x:c r="B3258" s="4" t="str">
        <x:v>RS-03257</x:v>
      </x:c>
      <x:c r="C3258" s="8" t="n">
        <x:v>45482</x:v>
      </x:c>
      <x:c r="D3258" s="4" t="str">
        <x:v>Sales operations manager</x:v>
      </x:c>
      <x:c r="E3258" s="4" t="str">
        <x:v>ERP form</x:v>
      </x:c>
      <x:c r="F3258" s="4" t="str">
        <x:v>Record captured</x:v>
      </x:c>
      <x:c r="G3258" s="4" t="str">
        <x:v>Handed over</x:v>
      </x:c>
    </x:row>
    <x:row r="3259" ht="34" customHeight="1">
      <x:c r="A3259" s="4" t="str">
        <x:v>RS-03258-E1</x:v>
      </x:c>
      <x:c r="B3259" s="4" t="str">
        <x:v>RS-03258</x:v>
      </x:c>
      <x:c r="C3259" s="8" t="n">
        <x:v>45483</x:v>
      </x:c>
      <x:c r="D3259" s="4" t="str">
        <x:v>Sales operations manager</x:v>
      </x:c>
      <x:c r="E3259" s="4" t="str">
        <x:v>ERP form</x:v>
      </x:c>
      <x:c r="F3259" s="4" t="str">
        <x:v>Record captured</x:v>
      </x:c>
      <x:c r="G3259" s="4" t="str">
        <x:v>Agreement signed</x:v>
      </x:c>
    </x:row>
    <x:row r="3260" ht="34" customHeight="1">
      <x:c r="A3260" s="4" t="str">
        <x:v>RS-03259-E1</x:v>
      </x:c>
      <x:c r="B3260" s="4" t="str">
        <x:v>RS-03259</x:v>
      </x:c>
      <x:c r="C3260" s="8" t="n">
        <x:v>45484</x:v>
      </x:c>
      <x:c r="D3260" s="4" t="str">
        <x:v>Sales operations manager</x:v>
      </x:c>
      <x:c r="E3260" s="4" t="str">
        <x:v>Spreadsheet import</x:v>
      </x:c>
      <x:c r="F3260" s="4" t="str">
        <x:v>Record captured</x:v>
      </x:c>
      <x:c r="G3260" s="4" t="str">
        <x:v>Reserved</x:v>
      </x:c>
    </x:row>
    <x:row r="3261" ht="34" customHeight="1">
      <x:c r="A3261" s="4" t="str">
        <x:v>RS-03260-E1</x:v>
      </x:c>
      <x:c r="B3261" s="4" t="str">
        <x:v>RS-03260</x:v>
      </x:c>
      <x:c r="C3261" s="8" t="n">
        <x:v>45485</x:v>
      </x:c>
      <x:c r="D3261" s="4" t="str">
        <x:v>Sales operations manager</x:v>
      </x:c>
      <x:c r="E3261" s="4" t="str">
        <x:v>Spreadsheet import</x:v>
      </x:c>
      <x:c r="F3261" s="4" t="str">
        <x:v>Record captured</x:v>
      </x:c>
      <x:c r="G3261" s="4" t="str">
        <x:v>Handed over</x:v>
      </x:c>
    </x:row>
    <x:row r="3262" ht="34" customHeight="1">
      <x:c r="A3262" s="4" t="str">
        <x:v>RS-03261-E1</x:v>
      </x:c>
      <x:c r="B3262" s="4" t="str">
        <x:v>RS-03261</x:v>
      </x:c>
      <x:c r="C3262" s="8" t="n">
        <x:v>45486</x:v>
      </x:c>
      <x:c r="D3262" s="4" t="str">
        <x:v>Sales operations manager</x:v>
      </x:c>
      <x:c r="E3262" s="4" t="str">
        <x:v>Paper transcribed</x:v>
      </x:c>
      <x:c r="F3262" s="4" t="str">
        <x:v>Record captured</x:v>
      </x:c>
      <x:c r="G3262" s="4" t="str">
        <x:v>Handed over</x:v>
      </x:c>
    </x:row>
    <x:row r="3263" ht="34" customHeight="1">
      <x:c r="A3263" s="4" t="str">
        <x:v>RS-03262-E1</x:v>
      </x:c>
      <x:c r="B3263" s="4" t="str">
        <x:v>RS-03262</x:v>
      </x:c>
      <x:c r="C3263" s="8" t="n">
        <x:v>45487</x:v>
      </x:c>
      <x:c r="D3263" s="4" t="str">
        <x:v>Sales operations manager</x:v>
      </x:c>
      <x:c r="E3263" s="4" t="str">
        <x:v>Paper transcribed</x:v>
      </x:c>
      <x:c r="F3263" s="4" t="str">
        <x:v>Record captured</x:v>
      </x:c>
      <x:c r="G3263" s="4" t="str">
        <x:v>Reserved</x:v>
      </x:c>
    </x:row>
    <x:row r="3264" ht="34" customHeight="1">
      <x:c r="A3264" s="4" t="str">
        <x:v>RS-03263-E1</x:v>
      </x:c>
      <x:c r="B3264" s="4" t="str">
        <x:v>RS-03263</x:v>
      </x:c>
      <x:c r="C3264" s="8" t="n">
        <x:v>45488</x:v>
      </x:c>
      <x:c r="D3264" s="4" t="str">
        <x:v>Sales operations manager</x:v>
      </x:c>
      <x:c r="E3264" s="4" t="str">
        <x:v>ERP form</x:v>
      </x:c>
      <x:c r="F3264" s="4" t="str">
        <x:v>Record captured</x:v>
      </x:c>
      <x:c r="G3264" s="4" t="str">
        <x:v>Reserved</x:v>
      </x:c>
    </x:row>
    <x:row r="3265" ht="34" customHeight="1">
      <x:c r="A3265" s="4" t="str">
        <x:v>RS-03264-E1</x:v>
      </x:c>
      <x:c r="B3265" s="4" t="str">
        <x:v>RS-03264</x:v>
      </x:c>
      <x:c r="C3265" s="8" t="n">
        <x:v>45489</x:v>
      </x:c>
      <x:c r="D3265" s="4" t="str">
        <x:v>Sales operations manager</x:v>
      </x:c>
      <x:c r="E3265" s="4" t="str">
        <x:v>WhatsApp transcribed</x:v>
      </x:c>
      <x:c r="F3265" s="4" t="str">
        <x:v>Record captured</x:v>
      </x:c>
      <x:c r="G3265" s="4" t="str">
        <x:v>Handed over</x:v>
      </x:c>
    </x:row>
    <x:row r="3266" ht="34" customHeight="1">
      <x:c r="A3266" s="4" t="str">
        <x:v>RS-03265-E1</x:v>
      </x:c>
      <x:c r="B3266" s="4" t="str">
        <x:v>RS-03265</x:v>
      </x:c>
      <x:c r="C3266" s="8" t="n">
        <x:v>45490</x:v>
      </x:c>
      <x:c r="D3266" s="4" t="str">
        <x:v>Sales operations manager</x:v>
      </x:c>
      <x:c r="E3266" s="4" t="str">
        <x:v>ERP form</x:v>
      </x:c>
      <x:c r="F3266" s="4" t="str">
        <x:v>Record captured</x:v>
      </x:c>
      <x:c r="G3266" s="4" t="str">
        <x:v>Reserved</x:v>
      </x:c>
    </x:row>
    <x:row r="3267" ht="34" customHeight="1">
      <x:c r="A3267" s="4" t="str">
        <x:v>RS-03266-E1</x:v>
      </x:c>
      <x:c r="B3267" s="4" t="str">
        <x:v>RS-03266</x:v>
      </x:c>
      <x:c r="C3267" s="8" t="n">
        <x:v>45491</x:v>
      </x:c>
      <x:c r="D3267" s="4" t="str">
        <x:v>Sales operations manager</x:v>
      </x:c>
      <x:c r="E3267" s="4" t="str">
        <x:v>WhatsApp transcribed</x:v>
      </x:c>
      <x:c r="F3267" s="4" t="str">
        <x:v>Record captured</x:v>
      </x:c>
      <x:c r="G3267" s="4" t="str">
        <x:v>Booked</x:v>
      </x:c>
    </x:row>
    <x:row r="3268" ht="34" customHeight="1">
      <x:c r="A3268" s="4" t="str">
        <x:v>RS-03267-E1</x:v>
      </x:c>
      <x:c r="B3268" s="4" t="str">
        <x:v>RS-03267</x:v>
      </x:c>
      <x:c r="C3268" s="8" t="n">
        <x:v>45492</x:v>
      </x:c>
      <x:c r="D3268" s="4" t="str">
        <x:v>Sales operations manager</x:v>
      </x:c>
      <x:c r="E3268" s="4" t="str">
        <x:v>Spreadsheet import</x:v>
      </x:c>
      <x:c r="F3268" s="4" t="str">
        <x:v>Record captured</x:v>
      </x:c>
      <x:c r="G3268" s="4" t="str">
        <x:v>Agreement signed</x:v>
      </x:c>
    </x:row>
    <x:row r="3269" ht="34" customHeight="1">
      <x:c r="A3269" s="4" t="str">
        <x:v>RS-03268-E1</x:v>
      </x:c>
      <x:c r="B3269" s="4" t="str">
        <x:v>RS-03268</x:v>
      </x:c>
      <x:c r="C3269" s="8" t="n">
        <x:v>45493</x:v>
      </x:c>
      <x:c r="D3269" s="4" t="str">
        <x:v>Sales operations manager</x:v>
      </x:c>
      <x:c r="E3269" s="4" t="str">
        <x:v>Paper transcribed</x:v>
      </x:c>
      <x:c r="F3269" s="4" t="str">
        <x:v>Record captured</x:v>
      </x:c>
      <x:c r="G3269" s="4" t="str">
        <x:v>Handed over</x:v>
      </x:c>
    </x:row>
    <x:row r="3270" ht="34" customHeight="1">
      <x:c r="A3270" s="4" t="str">
        <x:v>RS-03269-E1</x:v>
      </x:c>
      <x:c r="B3270" s="4" t="str">
        <x:v>RS-03269</x:v>
      </x:c>
      <x:c r="C3270" s="8" t="n">
        <x:v>45494</x:v>
      </x:c>
      <x:c r="D3270" s="4" t="str">
        <x:v>Sales operations manager</x:v>
      </x:c>
      <x:c r="E3270" s="4" t="str">
        <x:v>Paper transcribed</x:v>
      </x:c>
      <x:c r="F3270" s="4" t="str">
        <x:v>Record captured</x:v>
      </x:c>
      <x:c r="G3270" s="4" t="str">
        <x:v>Reserved</x:v>
      </x:c>
    </x:row>
    <x:row r="3271" ht="34" customHeight="1">
      <x:c r="A3271" s="4" t="str">
        <x:v>RS-03270-E1</x:v>
      </x:c>
      <x:c r="B3271" s="4" t="str">
        <x:v>RS-03270</x:v>
      </x:c>
      <x:c r="C3271" s="8" t="n">
        <x:v>45495</x:v>
      </x:c>
      <x:c r="D3271" s="4" t="str">
        <x:v>Sales operations manager</x:v>
      </x:c>
      <x:c r="E3271" s="4" t="str">
        <x:v>Spreadsheet import</x:v>
      </x:c>
      <x:c r="F3271" s="4" t="str">
        <x:v>Record captured</x:v>
      </x:c>
      <x:c r="G3271" s="4" t="str">
        <x:v>Enquiry</x:v>
      </x:c>
    </x:row>
    <x:row r="3272" ht="34" customHeight="1">
      <x:c r="A3272" s="4" t="str">
        <x:v>RS-03271-E1</x:v>
      </x:c>
      <x:c r="B3272" s="4" t="str">
        <x:v>RS-03271</x:v>
      </x:c>
      <x:c r="C3272" s="8" t="n">
        <x:v>45496</x:v>
      </x:c>
      <x:c r="D3272" s="4" t="str">
        <x:v>Sales operations manager</x:v>
      </x:c>
      <x:c r="E3272" s="4" t="str">
        <x:v>Spreadsheet import</x:v>
      </x:c>
      <x:c r="F3272" s="4" t="str">
        <x:v>Record captured</x:v>
      </x:c>
      <x:c r="G3272" s="4" t="str">
        <x:v>Booked</x:v>
      </x:c>
    </x:row>
    <x:row r="3273" ht="34" customHeight="1">
      <x:c r="A3273" s="4" t="str">
        <x:v>RS-03272-E1</x:v>
      </x:c>
      <x:c r="B3273" s="4" t="str">
        <x:v>RS-03272</x:v>
      </x:c>
      <x:c r="C3273" s="8" t="n">
        <x:v>45497</x:v>
      </x:c>
      <x:c r="D3273" s="4" t="str">
        <x:v>Sales operations manager</x:v>
      </x:c>
      <x:c r="E3273" s="4" t="str">
        <x:v>ERP form</x:v>
      </x:c>
      <x:c r="F3273" s="4" t="str">
        <x:v>Record captured</x:v>
      </x:c>
      <x:c r="G3273" s="4" t="str">
        <x:v>Booked</x:v>
      </x:c>
    </x:row>
    <x:row r="3274" ht="34" customHeight="1">
      <x:c r="A3274" s="4" t="str">
        <x:v>RS-03273-E1</x:v>
      </x:c>
      <x:c r="B3274" s="4" t="str">
        <x:v>RS-03273</x:v>
      </x:c>
      <x:c r="C3274" s="8" t="n">
        <x:v>45498</x:v>
      </x:c>
      <x:c r="D3274" s="4" t="str">
        <x:v>Sales operations manager</x:v>
      </x:c>
      <x:c r="E3274" s="4" t="str">
        <x:v>ERP form</x:v>
      </x:c>
      <x:c r="F3274" s="4" t="str">
        <x:v>Record captured</x:v>
      </x:c>
      <x:c r="G3274" s="4" t="str">
        <x:v>Handed over</x:v>
      </x:c>
    </x:row>
    <x:row r="3275" ht="34" customHeight="1">
      <x:c r="A3275" s="4" t="str">
        <x:v>RS-03274-E1</x:v>
      </x:c>
      <x:c r="B3275" s="4" t="str">
        <x:v>RS-03274</x:v>
      </x:c>
      <x:c r="C3275" s="8" t="n">
        <x:v>45499</x:v>
      </x:c>
      <x:c r="D3275" s="4" t="str">
        <x:v>Sales operations manager</x:v>
      </x:c>
      <x:c r="E3275" s="4" t="str">
        <x:v>ERP form</x:v>
      </x:c>
      <x:c r="F3275" s="4" t="str">
        <x:v>Record captured</x:v>
      </x:c>
      <x:c r="G3275" s="4" t="str">
        <x:v>Agreement signed</x:v>
      </x:c>
    </x:row>
    <x:row r="3276" ht="34" customHeight="1">
      <x:c r="A3276" s="4" t="str">
        <x:v>RS-03275-E1</x:v>
      </x:c>
      <x:c r="B3276" s="4" t="str">
        <x:v>RS-03275</x:v>
      </x:c>
      <x:c r="C3276" s="8" t="n">
        <x:v>45500</x:v>
      </x:c>
      <x:c r="D3276" s="4" t="str">
        <x:v>Sales operations manager</x:v>
      </x:c>
      <x:c r="E3276" s="4" t="str">
        <x:v>WhatsApp transcribed</x:v>
      </x:c>
      <x:c r="F3276" s="4" t="str">
        <x:v>Record captured</x:v>
      </x:c>
      <x:c r="G3276" s="4" t="str">
        <x:v>Enquiry</x:v>
      </x:c>
    </x:row>
    <x:row r="3277" ht="34" customHeight="1">
      <x:c r="A3277" s="4" t="str">
        <x:v>RS-03276-E1</x:v>
      </x:c>
      <x:c r="B3277" s="4" t="str">
        <x:v>RS-03276</x:v>
      </x:c>
      <x:c r="C3277" s="8" t="n">
        <x:v>45501</x:v>
      </x:c>
      <x:c r="D3277" s="4" t="str">
        <x:v>Sales operations manager</x:v>
      </x:c>
      <x:c r="E3277" s="4" t="str">
        <x:v>WhatsApp transcribed</x:v>
      </x:c>
      <x:c r="F3277" s="4" t="str">
        <x:v>Record captured</x:v>
      </x:c>
      <x:c r="G3277" s="4" t="str">
        <x:v>Reserved</x:v>
      </x:c>
    </x:row>
    <x:row r="3278" ht="34" customHeight="1">
      <x:c r="A3278" s="4" t="str">
        <x:v>RS-03277-E1</x:v>
      </x:c>
      <x:c r="B3278" s="4" t="str">
        <x:v>RS-03277</x:v>
      </x:c>
      <x:c r="C3278" s="8" t="n">
        <x:v>45474</x:v>
      </x:c>
      <x:c r="D3278" s="4" t="str">
        <x:v>Sales operations manager</x:v>
      </x:c>
      <x:c r="E3278" s="4" t="str">
        <x:v>ERP form</x:v>
      </x:c>
      <x:c r="F3278" s="4" t="str">
        <x:v>Record captured</x:v>
      </x:c>
      <x:c r="G3278" s="4" t="str">
        <x:v>Agreement signed</x:v>
      </x:c>
    </x:row>
    <x:row r="3279" ht="34" customHeight="1">
      <x:c r="A3279" s="4" t="str">
        <x:v>RS-03278-E1</x:v>
      </x:c>
      <x:c r="B3279" s="4" t="str">
        <x:v>RS-03278</x:v>
      </x:c>
      <x:c r="C3279" s="8" t="n">
        <x:v>45475</x:v>
      </x:c>
      <x:c r="D3279" s="4" t="str">
        <x:v>Sales operations manager</x:v>
      </x:c>
      <x:c r="E3279" s="4" t="str">
        <x:v>ERP form</x:v>
      </x:c>
      <x:c r="F3279" s="4" t="str">
        <x:v>Record captured</x:v>
      </x:c>
      <x:c r="G3279" s="4" t="str">
        <x:v>Agreement signed</x:v>
      </x:c>
    </x:row>
    <x:row r="3280" ht="34" customHeight="1">
      <x:c r="A3280" s="4" t="str">
        <x:v>RS-03279-E1</x:v>
      </x:c>
      <x:c r="B3280" s="4" t="str">
        <x:v>RS-03279</x:v>
      </x:c>
      <x:c r="C3280" s="8" t="n">
        <x:v>45476</x:v>
      </x:c>
      <x:c r="D3280" s="4" t="str">
        <x:v>Sales operations manager</x:v>
      </x:c>
      <x:c r="E3280" s="4" t="str">
        <x:v>Spreadsheet import</x:v>
      </x:c>
      <x:c r="F3280" s="4" t="str">
        <x:v>Record captured</x:v>
      </x:c>
      <x:c r="G3280" s="4" t="str">
        <x:v>Booked</x:v>
      </x:c>
    </x:row>
    <x:row r="3281" ht="34" customHeight="1">
      <x:c r="A3281" s="4" t="str">
        <x:v>RS-03280-E1</x:v>
      </x:c>
      <x:c r="B3281" s="4" t="str">
        <x:v>RS-03280</x:v>
      </x:c>
      <x:c r="C3281" s="8" t="n">
        <x:v>45477</x:v>
      </x:c>
      <x:c r="D3281" s="4" t="str">
        <x:v>Sales operations manager</x:v>
      </x:c>
      <x:c r="E3281" s="4" t="str">
        <x:v>Paper transcribed</x:v>
      </x:c>
      <x:c r="F3281" s="4" t="str">
        <x:v>Record captured</x:v>
      </x:c>
      <x:c r="G3281" s="4" t="str">
        <x:v>Booked</x:v>
      </x:c>
    </x:row>
    <x:row r="3282" ht="34" customHeight="1">
      <x:c r="A3282" s="4" t="str">
        <x:v>RS-03281-E1</x:v>
      </x:c>
      <x:c r="B3282" s="4" t="str">
        <x:v>RS-03281</x:v>
      </x:c>
      <x:c r="C3282" s="8" t="n">
        <x:v>45478</x:v>
      </x:c>
      <x:c r="D3282" s="4" t="str">
        <x:v>Sales operations manager</x:v>
      </x:c>
      <x:c r="E3282" s="4" t="str">
        <x:v>Spreadsheet import</x:v>
      </x:c>
      <x:c r="F3282" s="4" t="str">
        <x:v>Record captured</x:v>
      </x:c>
      <x:c r="G3282" s="4" t="str">
        <x:v>Handed over</x:v>
      </x:c>
    </x:row>
    <x:row r="3283" ht="34" customHeight="1">
      <x:c r="A3283" s="4" t="str">
        <x:v>RS-03282-E1</x:v>
      </x:c>
      <x:c r="B3283" s="4" t="str">
        <x:v>RS-03282</x:v>
      </x:c>
      <x:c r="C3283" s="8" t="n">
        <x:v>45479</x:v>
      </x:c>
      <x:c r="D3283" s="4" t="str">
        <x:v>Sales operations manager</x:v>
      </x:c>
      <x:c r="E3283" s="4" t="str">
        <x:v>WhatsApp transcribed</x:v>
      </x:c>
      <x:c r="F3283" s="4" t="str">
        <x:v>Record captured</x:v>
      </x:c>
      <x:c r="G3283" s="4" t="str">
        <x:v>Booked</x:v>
      </x:c>
    </x:row>
    <x:row r="3284" ht="34" customHeight="1">
      <x:c r="A3284" s="4" t="str">
        <x:v>RS-03283-E1</x:v>
      </x:c>
      <x:c r="B3284" s="4" t="str">
        <x:v>RS-03283</x:v>
      </x:c>
      <x:c r="C3284" s="8" t="n">
        <x:v>45480</x:v>
      </x:c>
      <x:c r="D3284" s="4" t="str">
        <x:v>Sales operations manager</x:v>
      </x:c>
      <x:c r="E3284" s="4" t="str">
        <x:v>Paper transcribed</x:v>
      </x:c>
      <x:c r="F3284" s="4" t="str">
        <x:v>Record captured</x:v>
      </x:c>
      <x:c r="G3284" s="4" t="str">
        <x:v>Cancelled</x:v>
      </x:c>
    </x:row>
    <x:row r="3285" ht="34" customHeight="1">
      <x:c r="A3285" s="4" t="str">
        <x:v>RS-03284-E1</x:v>
      </x:c>
      <x:c r="B3285" s="4" t="str">
        <x:v>RS-03284</x:v>
      </x:c>
      <x:c r="C3285" s="8" t="n">
        <x:v>45481</x:v>
      </x:c>
      <x:c r="D3285" s="4" t="str">
        <x:v>Sales operations manager</x:v>
      </x:c>
      <x:c r="E3285" s="4" t="str">
        <x:v>ERP form</x:v>
      </x:c>
      <x:c r="F3285" s="4" t="str">
        <x:v>Record captured</x:v>
      </x:c>
      <x:c r="G3285" s="4" t="str">
        <x:v>Booked</x:v>
      </x:c>
    </x:row>
    <x:row r="3286" ht="34" customHeight="1">
      <x:c r="A3286" s="4" t="str">
        <x:v>RS-03285-E1</x:v>
      </x:c>
      <x:c r="B3286" s="4" t="str">
        <x:v>RS-03285</x:v>
      </x:c>
      <x:c r="C3286" s="8" t="n">
        <x:v>45482</x:v>
      </x:c>
      <x:c r="D3286" s="4" t="str">
        <x:v>Sales operations manager</x:v>
      </x:c>
      <x:c r="E3286" s="4" t="str">
        <x:v>ERP form</x:v>
      </x:c>
      <x:c r="F3286" s="4" t="str">
        <x:v>Record captured</x:v>
      </x:c>
      <x:c r="G3286" s="4" t="str">
        <x:v>Booked</x:v>
      </x:c>
    </x:row>
    <x:row r="3287" ht="34" customHeight="1">
      <x:c r="A3287" s="4" t="str">
        <x:v>RS-03286-E1</x:v>
      </x:c>
      <x:c r="B3287" s="4" t="str">
        <x:v>RS-03286</x:v>
      </x:c>
      <x:c r="C3287" s="8" t="n">
        <x:v>45483</x:v>
      </x:c>
      <x:c r="D3287" s="4" t="str">
        <x:v>Sales operations manager</x:v>
      </x:c>
      <x:c r="E3287" s="4" t="str">
        <x:v>WhatsApp transcribed</x:v>
      </x:c>
      <x:c r="F3287" s="4" t="str">
        <x:v>Record captured</x:v>
      </x:c>
      <x:c r="G3287" s="4" t="str">
        <x:v>Booked</x:v>
      </x:c>
    </x:row>
    <x:row r="3288" ht="34" customHeight="1">
      <x:c r="A3288" s="4" t="str">
        <x:v>RS-03287-E1</x:v>
      </x:c>
      <x:c r="B3288" s="4" t="str">
        <x:v>RS-03287</x:v>
      </x:c>
      <x:c r="C3288" s="8" t="n">
        <x:v>45484</x:v>
      </x:c>
      <x:c r="D3288" s="4" t="str">
        <x:v>Sales operations manager</x:v>
      </x:c>
      <x:c r="E3288" s="4" t="str">
        <x:v>Paper transcribed</x:v>
      </x:c>
      <x:c r="F3288" s="4" t="str">
        <x:v>Record captured</x:v>
      </x:c>
      <x:c r="G3288" s="4" t="str">
        <x:v>Agreement signed</x:v>
      </x:c>
    </x:row>
    <x:row r="3289" ht="34" customHeight="1">
      <x:c r="A3289" s="4" t="str">
        <x:v>RS-03288-E1</x:v>
      </x:c>
      <x:c r="B3289" s="4" t="str">
        <x:v>RS-03288</x:v>
      </x:c>
      <x:c r="C3289" s="8" t="n">
        <x:v>45485</x:v>
      </x:c>
      <x:c r="D3289" s="4" t="str">
        <x:v>Sales operations manager</x:v>
      </x:c>
      <x:c r="E3289" s="4" t="str">
        <x:v>Paper transcribed</x:v>
      </x:c>
      <x:c r="F3289" s="4" t="str">
        <x:v>Record captured</x:v>
      </x:c>
      <x:c r="G3289" s="4" t="str">
        <x:v>Handed over</x:v>
      </x:c>
    </x:row>
    <x:row r="3290" ht="34" customHeight="1">
      <x:c r="A3290" s="4" t="str">
        <x:v>RS-03289-E1</x:v>
      </x:c>
      <x:c r="B3290" s="4" t="str">
        <x:v>RS-03289</x:v>
      </x:c>
      <x:c r="C3290" s="8" t="n">
        <x:v>45486</x:v>
      </x:c>
      <x:c r="D3290" s="4" t="str">
        <x:v>Sales operations manager</x:v>
      </x:c>
      <x:c r="E3290" s="4" t="str">
        <x:v>WhatsApp transcribed</x:v>
      </x:c>
      <x:c r="F3290" s="4" t="str">
        <x:v>Record captured</x:v>
      </x:c>
      <x:c r="G3290" s="4" t="str">
        <x:v>Booked</x:v>
      </x:c>
    </x:row>
    <x:row r="3291" ht="34" customHeight="1">
      <x:c r="A3291" s="4" t="str">
        <x:v>RS-03290-E1</x:v>
      </x:c>
      <x:c r="B3291" s="4" t="str">
        <x:v>RS-03290</x:v>
      </x:c>
      <x:c r="C3291" s="8" t="n">
        <x:v>45487</x:v>
      </x:c>
      <x:c r="D3291" s="4" t="str">
        <x:v>Sales operations manager</x:v>
      </x:c>
      <x:c r="E3291" s="4" t="str">
        <x:v>ERP form</x:v>
      </x:c>
      <x:c r="F3291" s="4" t="str">
        <x:v>Record captured</x:v>
      </x:c>
      <x:c r="G3291" s="4" t="str">
        <x:v>Booked</x:v>
      </x:c>
    </x:row>
    <x:row r="3292" ht="34" customHeight="1">
      <x:c r="A3292" s="4" t="str">
        <x:v>RS-03291-E1</x:v>
      </x:c>
      <x:c r="B3292" s="4" t="str">
        <x:v>RS-03291</x:v>
      </x:c>
      <x:c r="C3292" s="8" t="n">
        <x:v>45488</x:v>
      </x:c>
      <x:c r="D3292" s="4" t="str">
        <x:v>Sales operations manager</x:v>
      </x:c>
      <x:c r="E3292" s="4" t="str">
        <x:v>Spreadsheet import</x:v>
      </x:c>
      <x:c r="F3292" s="4" t="str">
        <x:v>Record captured</x:v>
      </x:c>
      <x:c r="G3292" s="4" t="str">
        <x:v>Cancelled</x:v>
      </x:c>
    </x:row>
    <x:row r="3293" ht="34" customHeight="1">
      <x:c r="A3293" s="4" t="str">
        <x:v>RS-03292-E1</x:v>
      </x:c>
      <x:c r="B3293" s="4" t="str">
        <x:v>RS-03292</x:v>
      </x:c>
      <x:c r="C3293" s="8" t="n">
        <x:v>45489</x:v>
      </x:c>
      <x:c r="D3293" s="4" t="str">
        <x:v>Sales operations manager</x:v>
      </x:c>
      <x:c r="E3293" s="4" t="str">
        <x:v>WhatsApp transcribed</x:v>
      </x:c>
      <x:c r="F3293" s="4" t="str">
        <x:v>Record captured</x:v>
      </x:c>
      <x:c r="G3293" s="4" t="str">
        <x:v>Handed over</x:v>
      </x:c>
    </x:row>
    <x:row r="3294" ht="34" customHeight="1">
      <x:c r="A3294" s="4" t="str">
        <x:v>RS-03293-E1</x:v>
      </x:c>
      <x:c r="B3294" s="4" t="str">
        <x:v>RS-03293</x:v>
      </x:c>
      <x:c r="C3294" s="8" t="n">
        <x:v>45490</x:v>
      </x:c>
      <x:c r="D3294" s="4" t="str">
        <x:v>Sales operations manager</x:v>
      </x:c>
      <x:c r="E3294" s="4" t="str">
        <x:v>WhatsApp transcribed</x:v>
      </x:c>
      <x:c r="F3294" s="4" t="str">
        <x:v>Record captured</x:v>
      </x:c>
      <x:c r="G3294" s="4" t="str">
        <x:v>Handed over</x:v>
      </x:c>
    </x:row>
    <x:row r="3295" ht="34" customHeight="1">
      <x:c r="A3295" s="4" t="str">
        <x:v>RS-03294-E1</x:v>
      </x:c>
      <x:c r="B3295" s="4" t="str">
        <x:v>RS-03294</x:v>
      </x:c>
      <x:c r="C3295" s="8" t="n">
        <x:v>45491</x:v>
      </x:c>
      <x:c r="D3295" s="4" t="str">
        <x:v>Sales operations manager</x:v>
      </x:c>
      <x:c r="E3295" s="4" t="str">
        <x:v>WhatsApp transcribed</x:v>
      </x:c>
      <x:c r="F3295" s="4" t="str">
        <x:v>Record captured</x:v>
      </x:c>
      <x:c r="G3295" s="4" t="str">
        <x:v>Reserved</x:v>
      </x:c>
    </x:row>
    <x:row r="3296" ht="34" customHeight="1">
      <x:c r="A3296" s="4" t="str">
        <x:v>RS-03295-E1</x:v>
      </x:c>
      <x:c r="B3296" s="4" t="str">
        <x:v>RS-03295</x:v>
      </x:c>
      <x:c r="C3296" s="8" t="n">
        <x:v>45492</x:v>
      </x:c>
      <x:c r="D3296" s="4" t="str">
        <x:v>Sales operations manager</x:v>
      </x:c>
      <x:c r="E3296" s="4" t="str">
        <x:v>Paper transcribed</x:v>
      </x:c>
      <x:c r="F3296" s="4" t="str">
        <x:v>Record captured</x:v>
      </x:c>
      <x:c r="G3296" s="4" t="str">
        <x:v>Handed over</x:v>
      </x:c>
    </x:row>
    <x:row r="3297" ht="34" customHeight="1">
      <x:c r="A3297" s="4" t="str">
        <x:v>RS-03296-E1</x:v>
      </x:c>
      <x:c r="B3297" s="4" t="str">
        <x:v>RS-03296</x:v>
      </x:c>
      <x:c r="C3297" s="8" t="n">
        <x:v>45493</x:v>
      </x:c>
      <x:c r="D3297" s="4" t="str">
        <x:v>Sales operations manager</x:v>
      </x:c>
      <x:c r="E3297" s="4" t="str">
        <x:v>Paper transcribed</x:v>
      </x:c>
      <x:c r="F3297" s="4" t="str">
        <x:v>Record captured</x:v>
      </x:c>
      <x:c r="G3297" s="4" t="str">
        <x:v>Reserved</x:v>
      </x:c>
    </x:row>
    <x:row r="3298" ht="34" customHeight="1">
      <x:c r="A3298" s="4" t="str">
        <x:v>RS-03297-E1</x:v>
      </x:c>
      <x:c r="B3298" s="4" t="str">
        <x:v>RS-03297</x:v>
      </x:c>
      <x:c r="C3298" s="8" t="n">
        <x:v>45494</x:v>
      </x:c>
      <x:c r="D3298" s="4" t="str">
        <x:v>Sales operations manager</x:v>
      </x:c>
      <x:c r="E3298" s="4" t="str">
        <x:v>Spreadsheet import</x:v>
      </x:c>
      <x:c r="F3298" s="4" t="str">
        <x:v>Record captured</x:v>
      </x:c>
      <x:c r="G3298" s="4" t="str">
        <x:v>Agreement signed</x:v>
      </x:c>
    </x:row>
    <x:row r="3299" ht="34" customHeight="1">
      <x:c r="A3299" s="4" t="str">
        <x:v>RS-03298-E1</x:v>
      </x:c>
      <x:c r="B3299" s="4" t="str">
        <x:v>RS-03298</x:v>
      </x:c>
      <x:c r="C3299" s="8" t="n">
        <x:v>45495</x:v>
      </x:c>
      <x:c r="D3299" s="4" t="str">
        <x:v>Sales operations manager</x:v>
      </x:c>
      <x:c r="E3299" s="4" t="str">
        <x:v>Paper transcribed</x:v>
      </x:c>
      <x:c r="F3299" s="4" t="str">
        <x:v>Record captured</x:v>
      </x:c>
      <x:c r="G3299" s="4" t="str">
        <x:v>Booked</x:v>
      </x:c>
    </x:row>
    <x:row r="3300" ht="34" customHeight="1">
      <x:c r="A3300" s="4" t="str">
        <x:v>RS-03299-E1</x:v>
      </x:c>
      <x:c r="B3300" s="4" t="str">
        <x:v>RS-03299</x:v>
      </x:c>
      <x:c r="C3300" s="8" t="n">
        <x:v>45496</x:v>
      </x:c>
      <x:c r="D3300" s="4" t="str">
        <x:v>Sales operations manager</x:v>
      </x:c>
      <x:c r="E3300" s="4" t="str">
        <x:v>Paper transcribed</x:v>
      </x:c>
      <x:c r="F3300" s="4" t="str">
        <x:v>Record captured</x:v>
      </x:c>
      <x:c r="G3300" s="4" t="str">
        <x:v>Handed over</x:v>
      </x:c>
    </x:row>
    <x:row r="3301" ht="34" customHeight="1">
      <x:c r="A3301" s="4" t="str">
        <x:v>RS-03300-E1</x:v>
      </x:c>
      <x:c r="B3301" s="4" t="str">
        <x:v>RS-03300</x:v>
      </x:c>
      <x:c r="C3301" s="8" t="n">
        <x:v>45497</x:v>
      </x:c>
      <x:c r="D3301" s="4" t="str">
        <x:v>Sales operations manager</x:v>
      </x:c>
      <x:c r="E3301" s="4" t="str">
        <x:v>Spreadsheet import</x:v>
      </x:c>
      <x:c r="F3301" s="4" t="str">
        <x:v>Record captured</x:v>
      </x:c>
      <x:c r="G3301" s="4" t="str">
        <x:v>Reserved</x:v>
      </x:c>
    </x:row>
    <x:row r="3302" ht="34" customHeight="1">
      <x:c r="A3302" s="4" t="str">
        <x:v>RS-03301-E1</x:v>
      </x:c>
      <x:c r="B3302" s="4" t="str">
        <x:v>RS-03301</x:v>
      </x:c>
      <x:c r="C3302" s="8" t="n">
        <x:v>45498</x:v>
      </x:c>
      <x:c r="D3302" s="4" t="str">
        <x:v>Sales operations manager</x:v>
      </x:c>
      <x:c r="E3302" s="4" t="str">
        <x:v>ERP form</x:v>
      </x:c>
      <x:c r="F3302" s="4" t="str">
        <x:v>Record captured</x:v>
      </x:c>
      <x:c r="G3302" s="4" t="str">
        <x:v>Agreement signed</x:v>
      </x:c>
    </x:row>
    <x:row r="3303" ht="34" customHeight="1">
      <x:c r="A3303" s="4" t="str">
        <x:v>RS-03302-E1</x:v>
      </x:c>
      <x:c r="B3303" s="4" t="str">
        <x:v>RS-03302</x:v>
      </x:c>
      <x:c r="C3303" s="8" t="n">
        <x:v>45499</x:v>
      </x:c>
      <x:c r="D3303" s="4" t="str">
        <x:v>Sales operations manager</x:v>
      </x:c>
      <x:c r="E3303" s="4" t="str">
        <x:v>ERP form</x:v>
      </x:c>
      <x:c r="F3303" s="4" t="str">
        <x:v>Record captured</x:v>
      </x:c>
      <x:c r="G3303" s="4" t="str">
        <x:v>Enquiry</x:v>
      </x:c>
    </x:row>
    <x:row r="3304" ht="34" customHeight="1">
      <x:c r="A3304" s="4" t="str">
        <x:v>RS-03303-E1</x:v>
      </x:c>
      <x:c r="B3304" s="4" t="str">
        <x:v>RS-03303</x:v>
      </x:c>
      <x:c r="C3304" s="8" t="n">
        <x:v>45500</x:v>
      </x:c>
      <x:c r="D3304" s="4" t="str">
        <x:v>Sales operations manager</x:v>
      </x:c>
      <x:c r="E3304" s="4" t="str">
        <x:v>Paper transcribed</x:v>
      </x:c>
      <x:c r="F3304" s="4" t="str">
        <x:v>Record captured</x:v>
      </x:c>
      <x:c r="G3304" s="4" t="str">
        <x:v>Booked</x:v>
      </x:c>
    </x:row>
    <x:row r="3305" ht="34" customHeight="1">
      <x:c r="A3305" s="4" t="str">
        <x:v>RS-03304-E1</x:v>
      </x:c>
      <x:c r="B3305" s="4" t="str">
        <x:v>RS-03304</x:v>
      </x:c>
      <x:c r="C3305" s="8" t="n">
        <x:v>45501</x:v>
      </x:c>
      <x:c r="D3305" s="4" t="str">
        <x:v>Sales operations manager</x:v>
      </x:c>
      <x:c r="E3305" s="4" t="str">
        <x:v>Paper transcribed</x:v>
      </x:c>
      <x:c r="F3305" s="4" t="str">
        <x:v>Record captured</x:v>
      </x:c>
      <x:c r="G3305" s="4" t="str">
        <x:v>Booked</x:v>
      </x:c>
    </x:row>
    <x:row r="3306" ht="34" customHeight="1">
      <x:c r="A3306" s="4" t="str">
        <x:v>RS-03305-E1</x:v>
      </x:c>
      <x:c r="B3306" s="4" t="str">
        <x:v>RS-03305</x:v>
      </x:c>
      <x:c r="C3306" s="8" t="n">
        <x:v>45474</x:v>
      </x:c>
      <x:c r="D3306" s="4" t="str">
        <x:v>Sales operations manager</x:v>
      </x:c>
      <x:c r="E3306" s="4" t="str">
        <x:v>Spreadsheet import</x:v>
      </x:c>
      <x:c r="F3306" s="4" t="str">
        <x:v>Record captured</x:v>
      </x:c>
      <x:c r="G3306" s="4" t="str">
        <x:v>Enquiry</x:v>
      </x:c>
    </x:row>
    <x:row r="3307" ht="34" customHeight="1">
      <x:c r="A3307" s="4" t="str">
        <x:v>RS-03306-E1</x:v>
      </x:c>
      <x:c r="B3307" s="4" t="str">
        <x:v>RS-03306</x:v>
      </x:c>
      <x:c r="C3307" s="8" t="n">
        <x:v>45475</x:v>
      </x:c>
      <x:c r="D3307" s="4" t="str">
        <x:v>Sales operations manager</x:v>
      </x:c>
      <x:c r="E3307" s="4" t="str">
        <x:v>Spreadsheet import</x:v>
      </x:c>
      <x:c r="F3307" s="4" t="str">
        <x:v>Record captured</x:v>
      </x:c>
      <x:c r="G3307" s="4" t="str">
        <x:v>Booked</x:v>
      </x:c>
    </x:row>
    <x:row r="3308" ht="34" customHeight="1">
      <x:c r="A3308" s="4" t="str">
        <x:v>RS-03307-E1</x:v>
      </x:c>
      <x:c r="B3308" s="4" t="str">
        <x:v>RS-03307</x:v>
      </x:c>
      <x:c r="C3308" s="8" t="n">
        <x:v>45476</x:v>
      </x:c>
      <x:c r="D3308" s="4" t="str">
        <x:v>Sales operations manager</x:v>
      </x:c>
      <x:c r="E3308" s="4" t="str">
        <x:v>Spreadsheet import</x:v>
      </x:c>
      <x:c r="F3308" s="4" t="str">
        <x:v>Record captured</x:v>
      </x:c>
      <x:c r="G3308" s="4" t="str">
        <x:v>Cancelled</x:v>
      </x:c>
    </x:row>
    <x:row r="3309" ht="34" customHeight="1">
      <x:c r="A3309" s="4" t="str">
        <x:v>RS-03308-E1</x:v>
      </x:c>
      <x:c r="B3309" s="4" t="str">
        <x:v>RS-03308</x:v>
      </x:c>
      <x:c r="C3309" s="8" t="n">
        <x:v>45477</x:v>
      </x:c>
      <x:c r="D3309" s="4" t="str">
        <x:v>Sales operations manager</x:v>
      </x:c>
      <x:c r="E3309" s="4" t="str">
        <x:v>WhatsApp transcribed</x:v>
      </x:c>
      <x:c r="F3309" s="4" t="str">
        <x:v>Record captured</x:v>
      </x:c>
      <x:c r="G3309" s="4" t="str">
        <x:v>Cancelled</x:v>
      </x:c>
    </x:row>
    <x:row r="3310" ht="34" customHeight="1">
      <x:c r="A3310" s="4" t="str">
        <x:v>RS-03309-E1</x:v>
      </x:c>
      <x:c r="B3310" s="4" t="str">
        <x:v>RS-03309</x:v>
      </x:c>
      <x:c r="C3310" s="8" t="n">
        <x:v>45478</x:v>
      </x:c>
      <x:c r="D3310" s="4" t="str">
        <x:v>Sales operations manager</x:v>
      </x:c>
      <x:c r="E3310" s="4" t="str">
        <x:v>Spreadsheet import</x:v>
      </x:c>
      <x:c r="F3310" s="4" t="str">
        <x:v>Record captured</x:v>
      </x:c>
      <x:c r="G3310" s="4" t="str">
        <x:v>Handed over</x:v>
      </x:c>
    </x:row>
    <x:row r="3311" ht="34" customHeight="1">
      <x:c r="A3311" s="4" t="str">
        <x:v>RS-03310-E1</x:v>
      </x:c>
      <x:c r="B3311" s="4" t="str">
        <x:v>RS-03310</x:v>
      </x:c>
      <x:c r="C3311" s="8" t="n">
        <x:v>45479</x:v>
      </x:c>
      <x:c r="D3311" s="4" t="str">
        <x:v>Sales operations manager</x:v>
      </x:c>
      <x:c r="E3311" s="4" t="str">
        <x:v>Paper transcribed</x:v>
      </x:c>
      <x:c r="F3311" s="4" t="str">
        <x:v>Record captured</x:v>
      </x:c>
      <x:c r="G3311" s="4" t="str">
        <x:v>Booked</x:v>
      </x:c>
    </x:row>
    <x:row r="3312" ht="34" customHeight="1">
      <x:c r="A3312" s="4" t="str">
        <x:v>RS-03311-E1</x:v>
      </x:c>
      <x:c r="B3312" s="4" t="str">
        <x:v>RS-03311</x:v>
      </x:c>
      <x:c r="C3312" s="8" t="n">
        <x:v>45480</x:v>
      </x:c>
      <x:c r="D3312" s="4" t="str">
        <x:v>Sales operations manager</x:v>
      </x:c>
      <x:c r="E3312" s="4" t="str">
        <x:v>WhatsApp transcribed</x:v>
      </x:c>
      <x:c r="F3312" s="4" t="str">
        <x:v>Record captured</x:v>
      </x:c>
      <x:c r="G3312" s="4" t="str">
        <x:v>Agreement signed</x:v>
      </x:c>
    </x:row>
    <x:row r="3313" ht="34" customHeight="1">
      <x:c r="A3313" s="4" t="str">
        <x:v>RS-03312-E1</x:v>
      </x:c>
      <x:c r="B3313" s="4" t="str">
        <x:v>RS-03312</x:v>
      </x:c>
      <x:c r="C3313" s="8" t="n">
        <x:v>45481</x:v>
      </x:c>
      <x:c r="D3313" s="4" t="str">
        <x:v>Sales operations manager</x:v>
      </x:c>
      <x:c r="E3313" s="4" t="str">
        <x:v>Spreadsheet import</x:v>
      </x:c>
      <x:c r="F3313" s="4" t="str">
        <x:v>Record captured</x:v>
      </x:c>
      <x:c r="G3313" s="4" t="str">
        <x:v>Enquiry</x:v>
      </x:c>
    </x:row>
    <x:row r="3314" ht="34" customHeight="1">
      <x:c r="A3314" s="4" t="str">
        <x:v>RS-03313-E1</x:v>
      </x:c>
      <x:c r="B3314" s="4" t="str">
        <x:v>RS-03313</x:v>
      </x:c>
      <x:c r="C3314" s="8" t="n">
        <x:v>45482</x:v>
      </x:c>
      <x:c r="D3314" s="4" t="str">
        <x:v>Sales operations manager</x:v>
      </x:c>
      <x:c r="E3314" s="4" t="str">
        <x:v>Spreadsheet import</x:v>
      </x:c>
      <x:c r="F3314" s="4" t="str">
        <x:v>Record captured</x:v>
      </x:c>
      <x:c r="G3314" s="4" t="str">
        <x:v>Handed over</x:v>
      </x:c>
    </x:row>
    <x:row r="3315" ht="34" customHeight="1">
      <x:c r="A3315" s="4" t="str">
        <x:v>RS-03314-E1</x:v>
      </x:c>
      <x:c r="B3315" s="4" t="str">
        <x:v>RS-03314</x:v>
      </x:c>
      <x:c r="C3315" s="8" t="n">
        <x:v>45483</x:v>
      </x:c>
      <x:c r="D3315" s="4" t="str">
        <x:v>Sales operations manager</x:v>
      </x:c>
      <x:c r="E3315" s="4" t="str">
        <x:v>Paper transcribed</x:v>
      </x:c>
      <x:c r="F3315" s="4" t="str">
        <x:v>Record captured</x:v>
      </x:c>
      <x:c r="G3315" s="4" t="str">
        <x:v>Agreement signed</x:v>
      </x:c>
    </x:row>
    <x:row r="3316" ht="34" customHeight="1">
      <x:c r="A3316" s="4" t="str">
        <x:v>RS-03315-E1</x:v>
      </x:c>
      <x:c r="B3316" s="4" t="str">
        <x:v>RS-03315</x:v>
      </x:c>
      <x:c r="C3316" s="8" t="n">
        <x:v>45484</x:v>
      </x:c>
      <x:c r="D3316" s="4" t="str">
        <x:v>Sales operations manager</x:v>
      </x:c>
      <x:c r="E3316" s="4" t="str">
        <x:v>Spreadsheet import</x:v>
      </x:c>
      <x:c r="F3316" s="4" t="str">
        <x:v>Record captured</x:v>
      </x:c>
      <x:c r="G3316" s="4" t="str">
        <x:v>Reserved</x:v>
      </x:c>
    </x:row>
    <x:row r="3317" ht="34" customHeight="1">
      <x:c r="A3317" s="4" t="str">
        <x:v>RS-03316-E1</x:v>
      </x:c>
      <x:c r="B3317" s="4" t="str">
        <x:v>RS-03316</x:v>
      </x:c>
      <x:c r="C3317" s="8" t="n">
        <x:v>45485</x:v>
      </x:c>
      <x:c r="D3317" s="4" t="str">
        <x:v>Sales operations manager</x:v>
      </x:c>
      <x:c r="E3317" s="4" t="str">
        <x:v>Paper transcribed</x:v>
      </x:c>
      <x:c r="F3317" s="4" t="str">
        <x:v>Record captured</x:v>
      </x:c>
      <x:c r="G3317" s="4" t="str">
        <x:v>Handed over</x:v>
      </x:c>
    </x:row>
    <x:row r="3318" ht="34" customHeight="1">
      <x:c r="A3318" s="4" t="str">
        <x:v>RS-03317-E1</x:v>
      </x:c>
      <x:c r="B3318" s="4" t="str">
        <x:v>RS-03317</x:v>
      </x:c>
      <x:c r="C3318" s="8" t="n">
        <x:v>45486</x:v>
      </x:c>
      <x:c r="D3318" s="4" t="str">
        <x:v>Sales operations manager</x:v>
      </x:c>
      <x:c r="E3318" s="4" t="str">
        <x:v>Spreadsheet import</x:v>
      </x:c>
      <x:c r="F3318" s="4" t="str">
        <x:v>Record captured</x:v>
      </x:c>
      <x:c r="G3318" s="4" t="str">
        <x:v>Reserved</x:v>
      </x:c>
    </x:row>
    <x:row r="3319" ht="34" customHeight="1">
      <x:c r="A3319" s="4" t="str">
        <x:v>RS-03318-E1</x:v>
      </x:c>
      <x:c r="B3319" s="4" t="str">
        <x:v>RS-03318</x:v>
      </x:c>
      <x:c r="C3319" s="8" t="n">
        <x:v>45487</x:v>
      </x:c>
      <x:c r="D3319" s="4" t="str">
        <x:v>Sales operations manager</x:v>
      </x:c>
      <x:c r="E3319" s="4" t="str">
        <x:v>Paper transcribed</x:v>
      </x:c>
      <x:c r="F3319" s="4" t="str">
        <x:v>Record captured</x:v>
      </x:c>
      <x:c r="G3319" s="4" t="str">
        <x:v>Handed over</x:v>
      </x:c>
    </x:row>
    <x:row r="3320" ht="34" customHeight="1">
      <x:c r="A3320" s="4" t="str">
        <x:v>RS-03319-E1</x:v>
      </x:c>
      <x:c r="B3320" s="4" t="str">
        <x:v>RS-03319</x:v>
      </x:c>
      <x:c r="C3320" s="8" t="n">
        <x:v>45488</x:v>
      </x:c>
      <x:c r="D3320" s="4" t="str">
        <x:v>Sales operations manager</x:v>
      </x:c>
      <x:c r="E3320" s="4" t="str">
        <x:v>Spreadsheet import</x:v>
      </x:c>
      <x:c r="F3320" s="4" t="str">
        <x:v>Record captured</x:v>
      </x:c>
      <x:c r="G3320" s="4" t="str">
        <x:v>Cancelled</x:v>
      </x:c>
    </x:row>
    <x:row r="3321" ht="34" customHeight="1">
      <x:c r="A3321" s="4" t="str">
        <x:v>RS-03320-E1</x:v>
      </x:c>
      <x:c r="B3321" s="4" t="str">
        <x:v>RS-03320</x:v>
      </x:c>
      <x:c r="C3321" s="8" t="n">
        <x:v>45489</x:v>
      </x:c>
      <x:c r="D3321" s="4" t="str">
        <x:v>Sales operations manager</x:v>
      </x:c>
      <x:c r="E3321" s="4" t="str">
        <x:v>Paper transcribed</x:v>
      </x:c>
      <x:c r="F3321" s="4" t="str">
        <x:v>Record captured</x:v>
      </x:c>
      <x:c r="G3321" s="4" t="str">
        <x:v>Enquiry</x:v>
      </x:c>
    </x:row>
    <x:row r="3322" ht="34" customHeight="1">
      <x:c r="A3322" s="4" t="str">
        <x:v>RS-03321-E1</x:v>
      </x:c>
      <x:c r="B3322" s="4" t="str">
        <x:v>RS-03321</x:v>
      </x:c>
      <x:c r="C3322" s="8" t="n">
        <x:v>45490</x:v>
      </x:c>
      <x:c r="D3322" s="4" t="str">
        <x:v>Sales operations manager</x:v>
      </x:c>
      <x:c r="E3322" s="4" t="str">
        <x:v>Spreadsheet import</x:v>
      </x:c>
      <x:c r="F3322" s="4" t="str">
        <x:v>Record captured</x:v>
      </x:c>
      <x:c r="G3322" s="4" t="str">
        <x:v>Handed over</x:v>
      </x:c>
    </x:row>
    <x:row r="3323" ht="34" customHeight="1">
      <x:c r="A3323" s="4" t="str">
        <x:v>RS-03322-E1</x:v>
      </x:c>
      <x:c r="B3323" s="4" t="str">
        <x:v>RS-03322</x:v>
      </x:c>
      <x:c r="C3323" s="8" t="n">
        <x:v>45491</x:v>
      </x:c>
      <x:c r="D3323" s="4" t="str">
        <x:v>Sales operations manager</x:v>
      </x:c>
      <x:c r="E3323" s="4" t="str">
        <x:v>Paper transcribed</x:v>
      </x:c>
      <x:c r="F3323" s="4" t="str">
        <x:v>Record captured</x:v>
      </x:c>
      <x:c r="G3323" s="4" t="str">
        <x:v>Agreement signed</x:v>
      </x:c>
    </x:row>
    <x:row r="3324" ht="34" customHeight="1">
      <x:c r="A3324" s="4" t="str">
        <x:v>RS-03323-E1</x:v>
      </x:c>
      <x:c r="B3324" s="4" t="str">
        <x:v>RS-03323</x:v>
      </x:c>
      <x:c r="C3324" s="8" t="n">
        <x:v>45492</x:v>
      </x:c>
      <x:c r="D3324" s="4" t="str">
        <x:v>Sales operations manager</x:v>
      </x:c>
      <x:c r="E3324" s="4" t="str">
        <x:v>Paper transcribed</x:v>
      </x:c>
      <x:c r="F3324" s="4" t="str">
        <x:v>Record captured</x:v>
      </x:c>
      <x:c r="G3324" s="4" t="str">
        <x:v>Handed over</x:v>
      </x:c>
    </x:row>
    <x:row r="3325" ht="34" customHeight="1">
      <x:c r="A3325" s="4" t="str">
        <x:v>RS-03324-E1</x:v>
      </x:c>
      <x:c r="B3325" s="4" t="str">
        <x:v>RS-03324</x:v>
      </x:c>
      <x:c r="C3325" s="8" t="n">
        <x:v>45493</x:v>
      </x:c>
      <x:c r="D3325" s="4" t="str">
        <x:v>Sales operations manager</x:v>
      </x:c>
      <x:c r="E3325" s="4" t="str">
        <x:v>WhatsApp transcribed</x:v>
      </x:c>
      <x:c r="F3325" s="4" t="str">
        <x:v>Record captured</x:v>
      </x:c>
      <x:c r="G3325" s="4" t="str">
        <x:v>Reserved</x:v>
      </x:c>
    </x:row>
    <x:row r="3326" ht="34" customHeight="1">
      <x:c r="A3326" s="4" t="str">
        <x:v>RS-03325-E1</x:v>
      </x:c>
      <x:c r="B3326" s="4" t="str">
        <x:v>RS-03325</x:v>
      </x:c>
      <x:c r="C3326" s="8" t="n">
        <x:v>45494</x:v>
      </x:c>
      <x:c r="D3326" s="4" t="str">
        <x:v>Sales operations manager</x:v>
      </x:c>
      <x:c r="E3326" s="4" t="str">
        <x:v>WhatsApp transcribed</x:v>
      </x:c>
      <x:c r="F3326" s="4" t="str">
        <x:v>Record captured</x:v>
      </x:c>
      <x:c r="G3326" s="4" t="str">
        <x:v>Cancelled</x:v>
      </x:c>
    </x:row>
    <x:row r="3327" ht="34" customHeight="1">
      <x:c r="A3327" s="4" t="str">
        <x:v>RS-03326-E1</x:v>
      </x:c>
      <x:c r="B3327" s="4" t="str">
        <x:v>RS-03326</x:v>
      </x:c>
      <x:c r="C3327" s="8" t="n">
        <x:v>45495</x:v>
      </x:c>
      <x:c r="D3327" s="4" t="str">
        <x:v>Sales operations manager</x:v>
      </x:c>
      <x:c r="E3327" s="4" t="str">
        <x:v>Paper transcribed</x:v>
      </x:c>
      <x:c r="F3327" s="4" t="str">
        <x:v>Record captured</x:v>
      </x:c>
      <x:c r="G3327" s="4" t="str">
        <x:v>Handed over</x:v>
      </x:c>
    </x:row>
    <x:row r="3328" ht="34" customHeight="1">
      <x:c r="A3328" s="4" t="str">
        <x:v>RS-03327-E1</x:v>
      </x:c>
      <x:c r="B3328" s="4" t="str">
        <x:v>RS-03327</x:v>
      </x:c>
      <x:c r="C3328" s="8" t="n">
        <x:v>45496</x:v>
      </x:c>
      <x:c r="D3328" s="4" t="str">
        <x:v>Sales operations manager</x:v>
      </x:c>
      <x:c r="E3328" s="4" t="str">
        <x:v>Spreadsheet import</x:v>
      </x:c>
      <x:c r="F3328" s="4" t="str">
        <x:v>Record captured</x:v>
      </x:c>
      <x:c r="G3328" s="4" t="str">
        <x:v>Agreement signed</x:v>
      </x:c>
    </x:row>
    <x:row r="3329" ht="34" customHeight="1">
      <x:c r="A3329" s="4" t="str">
        <x:v>RS-03328-E1</x:v>
      </x:c>
      <x:c r="B3329" s="4" t="str">
        <x:v>RS-03328</x:v>
      </x:c>
      <x:c r="C3329" s="8" t="n">
        <x:v>45497</x:v>
      </x:c>
      <x:c r="D3329" s="4" t="str">
        <x:v>Sales operations manager</x:v>
      </x:c>
      <x:c r="E3329" s="4" t="str">
        <x:v>Spreadsheet import</x:v>
      </x:c>
      <x:c r="F3329" s="4" t="str">
        <x:v>Record captured</x:v>
      </x:c>
      <x:c r="G3329" s="4" t="str">
        <x:v>Enquiry</x:v>
      </x:c>
    </x:row>
    <x:row r="3330" ht="34" customHeight="1">
      <x:c r="A3330" s="4" t="str">
        <x:v>RS-03329-E1</x:v>
      </x:c>
      <x:c r="B3330" s="4" t="str">
        <x:v>RS-03329</x:v>
      </x:c>
      <x:c r="C3330" s="8" t="n">
        <x:v>45498</x:v>
      </x:c>
      <x:c r="D3330" s="4" t="str">
        <x:v>Sales operations manager</x:v>
      </x:c>
      <x:c r="E3330" s="4" t="str">
        <x:v>WhatsApp transcribed</x:v>
      </x:c>
      <x:c r="F3330" s="4" t="str">
        <x:v>Record captured</x:v>
      </x:c>
      <x:c r="G3330" s="4" t="str">
        <x:v>Booked</x:v>
      </x:c>
    </x:row>
    <x:row r="3331" ht="34" customHeight="1">
      <x:c r="A3331" s="4" t="str">
        <x:v>RS-03330-E1</x:v>
      </x:c>
      <x:c r="B3331" s="4" t="str">
        <x:v>RS-03330</x:v>
      </x:c>
      <x:c r="C3331" s="8" t="n">
        <x:v>45499</x:v>
      </x:c>
      <x:c r="D3331" s="4" t="str">
        <x:v>Sales operations manager</x:v>
      </x:c>
      <x:c r="E3331" s="4" t="str">
        <x:v>Spreadsheet import</x:v>
      </x:c>
      <x:c r="F3331" s="4" t="str">
        <x:v>Record captured</x:v>
      </x:c>
      <x:c r="G3331" s="4" t="str">
        <x:v>Handed over</x:v>
      </x:c>
    </x:row>
    <x:row r="3332" ht="34" customHeight="1">
      <x:c r="A3332" s="4" t="str">
        <x:v>RS-03331-E1</x:v>
      </x:c>
      <x:c r="B3332" s="4" t="str">
        <x:v>RS-03331</x:v>
      </x:c>
      <x:c r="C3332" s="8" t="n">
        <x:v>45500</x:v>
      </x:c>
      <x:c r="D3332" s="4" t="str">
        <x:v>Sales operations manager</x:v>
      </x:c>
      <x:c r="E3332" s="4" t="str">
        <x:v>Spreadsheet import</x:v>
      </x:c>
      <x:c r="F3332" s="4" t="str">
        <x:v>Record captured</x:v>
      </x:c>
      <x:c r="G3332" s="4" t="str">
        <x:v>Cancelled</x:v>
      </x:c>
    </x:row>
    <x:row r="3333" ht="34" customHeight="1">
      <x:c r="A3333" s="4" t="str">
        <x:v>RS-03332-E1</x:v>
      </x:c>
      <x:c r="B3333" s="4" t="str">
        <x:v>RS-03332</x:v>
      </x:c>
      <x:c r="C3333" s="8" t="n">
        <x:v>45501</x:v>
      </x:c>
      <x:c r="D3333" s="4" t="str">
        <x:v>Sales operations manager</x:v>
      </x:c>
      <x:c r="E3333" s="4" t="str">
        <x:v>Spreadsheet import</x:v>
      </x:c>
      <x:c r="F3333" s="4" t="str">
        <x:v>Record captured</x:v>
      </x:c>
      <x:c r="G3333" s="4" t="str">
        <x:v>Cancelled</x:v>
      </x:c>
    </x:row>
    <x:row r="3334" ht="34" customHeight="1">
      <x:c r="A3334" s="4" t="str">
        <x:v>RS-03333-E1</x:v>
      </x:c>
      <x:c r="B3334" s="4" t="str">
        <x:v>RS-03333</x:v>
      </x:c>
      <x:c r="C3334" s="8" t="n">
        <x:v>45474</x:v>
      </x:c>
      <x:c r="D3334" s="4" t="str">
        <x:v>Sales operations manager</x:v>
      </x:c>
      <x:c r="E3334" s="4" t="str">
        <x:v>WhatsApp transcribed</x:v>
      </x:c>
      <x:c r="F3334" s="4" t="str">
        <x:v>Record captured</x:v>
      </x:c>
      <x:c r="G3334" s="4" t="str">
        <x:v>Enquiry</x:v>
      </x:c>
    </x:row>
    <x:row r="3335" ht="34" customHeight="1">
      <x:c r="A3335" s="4" t="str">
        <x:v>RS-03334-E1</x:v>
      </x:c>
      <x:c r="B3335" s="4" t="str">
        <x:v>RS-03334</x:v>
      </x:c>
      <x:c r="C3335" s="8" t="n">
        <x:v>45475</x:v>
      </x:c>
      <x:c r="D3335" s="4" t="str">
        <x:v>Sales operations manager</x:v>
      </x:c>
      <x:c r="E3335" s="4" t="str">
        <x:v>Spreadsheet import</x:v>
      </x:c>
      <x:c r="F3335" s="4" t="str">
        <x:v>Record captured</x:v>
      </x:c>
      <x:c r="G3335" s="4" t="str">
        <x:v>Agreement signed</x:v>
      </x:c>
    </x:row>
    <x:row r="3336" ht="34" customHeight="1">
      <x:c r="A3336" s="4" t="str">
        <x:v>RS-03335-E1</x:v>
      </x:c>
      <x:c r="B3336" s="4" t="str">
        <x:v>RS-03335</x:v>
      </x:c>
      <x:c r="C3336" s="8" t="n">
        <x:v>45476</x:v>
      </x:c>
      <x:c r="D3336" s="4" t="str">
        <x:v>Sales operations manager</x:v>
      </x:c>
      <x:c r="E3336" s="4" t="str">
        <x:v>ERP form</x:v>
      </x:c>
      <x:c r="F3336" s="4" t="str">
        <x:v>Record captured</x:v>
      </x:c>
      <x:c r="G3336" s="4" t="str">
        <x:v>Booked</x:v>
      </x:c>
    </x:row>
    <x:row r="3337" ht="34" customHeight="1">
      <x:c r="A3337" s="4" t="str">
        <x:v>RS-03336-E1</x:v>
      </x:c>
      <x:c r="B3337" s="4" t="str">
        <x:v>RS-03336</x:v>
      </x:c>
      <x:c r="C3337" s="8" t="n">
        <x:v>45477</x:v>
      </x:c>
      <x:c r="D3337" s="4" t="str">
        <x:v>Sales operations manager</x:v>
      </x:c>
      <x:c r="E3337" s="4" t="str">
        <x:v>Paper transcribed</x:v>
      </x:c>
      <x:c r="F3337" s="4" t="str">
        <x:v>Record captured</x:v>
      </x:c>
      <x:c r="G3337" s="4" t="str">
        <x:v>Handed over</x:v>
      </x:c>
    </x:row>
    <x:row r="3338" ht="34" customHeight="1">
      <x:c r="A3338" s="4" t="str">
        <x:v>RS-03337-E1</x:v>
      </x:c>
      <x:c r="B3338" s="4" t="str">
        <x:v>RS-03337</x:v>
      </x:c>
      <x:c r="C3338" s="8" t="n">
        <x:v>45478</x:v>
      </x:c>
      <x:c r="D3338" s="4" t="str">
        <x:v>Sales operations manager</x:v>
      </x:c>
      <x:c r="E3338" s="4" t="str">
        <x:v>Paper transcribed</x:v>
      </x:c>
      <x:c r="F3338" s="4" t="str">
        <x:v>Record captured</x:v>
      </x:c>
      <x:c r="G3338" s="4" t="str">
        <x:v>Reserved</x:v>
      </x:c>
    </x:row>
    <x:row r="3339" ht="34" customHeight="1">
      <x:c r="A3339" s="4" t="str">
        <x:v>RS-03338-E1</x:v>
      </x:c>
      <x:c r="B3339" s="4" t="str">
        <x:v>RS-03338</x:v>
      </x:c>
      <x:c r="C3339" s="8" t="n">
        <x:v>45479</x:v>
      </x:c>
      <x:c r="D3339" s="4" t="str">
        <x:v>Sales operations manager</x:v>
      </x:c>
      <x:c r="E3339" s="4" t="str">
        <x:v>Paper transcribed</x:v>
      </x:c>
      <x:c r="F3339" s="4" t="str">
        <x:v>Record captured</x:v>
      </x:c>
      <x:c r="G3339" s="4" t="str">
        <x:v>Agreement signed</x:v>
      </x:c>
    </x:row>
    <x:row r="3340" ht="34" customHeight="1">
      <x:c r="A3340" s="4" t="str">
        <x:v>RS-03339-E1</x:v>
      </x:c>
      <x:c r="B3340" s="4" t="str">
        <x:v>RS-03339</x:v>
      </x:c>
      <x:c r="C3340" s="8" t="n">
        <x:v>45480</x:v>
      </x:c>
      <x:c r="D3340" s="4" t="str">
        <x:v>Sales operations manager</x:v>
      </x:c>
      <x:c r="E3340" s="4" t="str">
        <x:v>Paper transcribed</x:v>
      </x:c>
      <x:c r="F3340" s="4" t="str">
        <x:v>Record captured</x:v>
      </x:c>
      <x:c r="G3340" s="4" t="str">
        <x:v>Agreement signed</x:v>
      </x:c>
    </x:row>
    <x:row r="3341" ht="34" customHeight="1">
      <x:c r="A3341" s="4" t="str">
        <x:v>RS-03340-E1</x:v>
      </x:c>
      <x:c r="B3341" s="4" t="str">
        <x:v>RS-03340</x:v>
      </x:c>
      <x:c r="C3341" s="8" t="n">
        <x:v>45481</x:v>
      </x:c>
      <x:c r="D3341" s="4" t="str">
        <x:v>Sales operations manager</x:v>
      </x:c>
      <x:c r="E3341" s="4" t="str">
        <x:v>Paper transcribed</x:v>
      </x:c>
      <x:c r="F3341" s="4" t="str">
        <x:v>Record captured</x:v>
      </x:c>
      <x:c r="G3341" s="4" t="str">
        <x:v>Agreement signed</x:v>
      </x:c>
    </x:row>
    <x:row r="3342" ht="34" customHeight="1">
      <x:c r="A3342" s="4" t="str">
        <x:v>RS-03341-E1</x:v>
      </x:c>
      <x:c r="B3342" s="4" t="str">
        <x:v>RS-03341</x:v>
      </x:c>
      <x:c r="C3342" s="8" t="n">
        <x:v>45482</x:v>
      </x:c>
      <x:c r="D3342" s="4" t="str">
        <x:v>Sales operations manager</x:v>
      </x:c>
      <x:c r="E3342" s="4" t="str">
        <x:v>Spreadsheet import</x:v>
      </x:c>
      <x:c r="F3342" s="4" t="str">
        <x:v>Record captured</x:v>
      </x:c>
      <x:c r="G3342" s="4" t="str">
        <x:v>Enquiry</x:v>
      </x:c>
    </x:row>
    <x:row r="3343" ht="34" customHeight="1">
      <x:c r="A3343" s="4" t="str">
        <x:v>RS-03342-E1</x:v>
      </x:c>
      <x:c r="B3343" s="4" t="str">
        <x:v>RS-03342</x:v>
      </x:c>
      <x:c r="C3343" s="8" t="n">
        <x:v>45483</x:v>
      </x:c>
      <x:c r="D3343" s="4" t="str">
        <x:v>Sales operations manager</x:v>
      </x:c>
      <x:c r="E3343" s="4" t="str">
        <x:v>ERP form</x:v>
      </x:c>
      <x:c r="F3343" s="4" t="str">
        <x:v>Record captured</x:v>
      </x:c>
      <x:c r="G3343" s="4" t="str">
        <x:v>Handed over</x:v>
      </x:c>
    </x:row>
    <x:row r="3344" ht="34" customHeight="1">
      <x:c r="A3344" s="4" t="str">
        <x:v>RS-03343-E1</x:v>
      </x:c>
      <x:c r="B3344" s="4" t="str">
        <x:v>RS-03343</x:v>
      </x:c>
      <x:c r="C3344" s="8" t="n">
        <x:v>45484</x:v>
      </x:c>
      <x:c r="D3344" s="4" t="str">
        <x:v>Sales operations manager</x:v>
      </x:c>
      <x:c r="E3344" s="4" t="str">
        <x:v>WhatsApp transcribed</x:v>
      </x:c>
      <x:c r="F3344" s="4" t="str">
        <x:v>Record captured</x:v>
      </x:c>
      <x:c r="G3344" s="4" t="str">
        <x:v>Booked</x:v>
      </x:c>
    </x:row>
    <x:row r="3345" ht="34" customHeight="1">
      <x:c r="A3345" s="4" t="str">
        <x:v>RS-03344-E1</x:v>
      </x:c>
      <x:c r="B3345" s="4" t="str">
        <x:v>RS-03344</x:v>
      </x:c>
      <x:c r="C3345" s="8" t="n">
        <x:v>45485</x:v>
      </x:c>
      <x:c r="D3345" s="4" t="str">
        <x:v>Sales operations manager</x:v>
      </x:c>
      <x:c r="E3345" s="4" t="str">
        <x:v>WhatsApp transcribed</x:v>
      </x:c>
      <x:c r="F3345" s="4" t="str">
        <x:v>Record captured</x:v>
      </x:c>
      <x:c r="G3345" s="4" t="str">
        <x:v>Cancelled</x:v>
      </x:c>
    </x:row>
    <x:row r="3346" ht="34" customHeight="1">
      <x:c r="A3346" s="4" t="str">
        <x:v>RS-03345-E1</x:v>
      </x:c>
      <x:c r="B3346" s="4" t="str">
        <x:v>RS-03345</x:v>
      </x:c>
      <x:c r="C3346" s="8" t="n">
        <x:v>45486</x:v>
      </x:c>
      <x:c r="D3346" s="4" t="str">
        <x:v>Sales operations manager</x:v>
      </x:c>
      <x:c r="E3346" s="4" t="str">
        <x:v>ERP form</x:v>
      </x:c>
      <x:c r="F3346" s="4" t="str">
        <x:v>Record captured</x:v>
      </x:c>
      <x:c r="G3346" s="4" t="str">
        <x:v>Booked</x:v>
      </x:c>
    </x:row>
    <x:row r="3347" ht="34" customHeight="1">
      <x:c r="A3347" s="4" t="str">
        <x:v>RS-03346-E1</x:v>
      </x:c>
      <x:c r="B3347" s="4" t="str">
        <x:v>RS-03346</x:v>
      </x:c>
      <x:c r="C3347" s="8" t="n">
        <x:v>45487</x:v>
      </x:c>
      <x:c r="D3347" s="4" t="str">
        <x:v>Sales operations manager</x:v>
      </x:c>
      <x:c r="E3347" s="4" t="str">
        <x:v>ERP form</x:v>
      </x:c>
      <x:c r="F3347" s="4" t="str">
        <x:v>Record captured</x:v>
      </x:c>
      <x:c r="G3347" s="4" t="str">
        <x:v>Cancelled</x:v>
      </x:c>
    </x:row>
    <x:row r="3348" ht="34" customHeight="1">
      <x:c r="A3348" s="4" t="str">
        <x:v>RS-03347-E1</x:v>
      </x:c>
      <x:c r="B3348" s="4" t="str">
        <x:v>RS-03347</x:v>
      </x:c>
      <x:c r="C3348" s="8" t="n">
        <x:v>45488</x:v>
      </x:c>
      <x:c r="D3348" s="4" t="str">
        <x:v>Sales operations manager</x:v>
      </x:c>
      <x:c r="E3348" s="4" t="str">
        <x:v>Paper transcribed</x:v>
      </x:c>
      <x:c r="F3348" s="4" t="str">
        <x:v>Record captured</x:v>
      </x:c>
      <x:c r="G3348" s="4" t="str">
        <x:v>Cancelled</x:v>
      </x:c>
    </x:row>
    <x:row r="3349" ht="34" customHeight="1">
      <x:c r="A3349" s="4" t="str">
        <x:v>RS-03348-E1</x:v>
      </x:c>
      <x:c r="B3349" s="4" t="str">
        <x:v>RS-03348</x:v>
      </x:c>
      <x:c r="C3349" s="8" t="n">
        <x:v>45489</x:v>
      </x:c>
      <x:c r="D3349" s="4" t="str">
        <x:v>Sales operations manager</x:v>
      </x:c>
      <x:c r="E3349" s="4" t="str">
        <x:v>Spreadsheet import</x:v>
      </x:c>
      <x:c r="F3349" s="4" t="str">
        <x:v>Record captured</x:v>
      </x:c>
      <x:c r="G3349" s="4" t="str">
        <x:v>Reserved</x:v>
      </x:c>
    </x:row>
    <x:row r="3350" ht="34" customHeight="1">
      <x:c r="A3350" s="4" t="str">
        <x:v>RS-03349-E1</x:v>
      </x:c>
      <x:c r="B3350" s="4" t="str">
        <x:v>RS-03349</x:v>
      </x:c>
      <x:c r="C3350" s="8" t="n">
        <x:v>45490</x:v>
      </x:c>
      <x:c r="D3350" s="4" t="str">
        <x:v>Sales operations manager</x:v>
      </x:c>
      <x:c r="E3350" s="4" t="str">
        <x:v>Paper transcribed</x:v>
      </x:c>
      <x:c r="F3350" s="4" t="str">
        <x:v>Record captured</x:v>
      </x:c>
      <x:c r="G3350" s="4" t="str">
        <x:v>Enquiry</x:v>
      </x:c>
    </x:row>
    <x:row r="3351" ht="34" customHeight="1">
      <x:c r="A3351" s="4" t="str">
        <x:v>RS-03350-E1</x:v>
      </x:c>
      <x:c r="B3351" s="4" t="str">
        <x:v>RS-03350</x:v>
      </x:c>
      <x:c r="C3351" s="8" t="n">
        <x:v>45491</x:v>
      </x:c>
      <x:c r="D3351" s="4" t="str">
        <x:v>Sales operations manager</x:v>
      </x:c>
      <x:c r="E3351" s="4" t="str">
        <x:v>Paper transcribed</x:v>
      </x:c>
      <x:c r="F3351" s="4" t="str">
        <x:v>Record captured</x:v>
      </x:c>
      <x:c r="G3351" s="4" t="str">
        <x:v>Booked</x:v>
      </x:c>
    </x:row>
    <x:row r="3352" ht="34" customHeight="1">
      <x:c r="A3352" s="4" t="str">
        <x:v>RS-03351-E1</x:v>
      </x:c>
      <x:c r="B3352" s="4" t="str">
        <x:v>RS-03351</x:v>
      </x:c>
      <x:c r="C3352" s="8" t="n">
        <x:v>45492</x:v>
      </x:c>
      <x:c r="D3352" s="4" t="str">
        <x:v>Sales operations manager</x:v>
      </x:c>
      <x:c r="E3352" s="4" t="str">
        <x:v>Paper transcribed</x:v>
      </x:c>
      <x:c r="F3352" s="4" t="str">
        <x:v>Record captured</x:v>
      </x:c>
      <x:c r="G3352" s="4" t="str">
        <x:v>Handed over</x:v>
      </x:c>
    </x:row>
    <x:row r="3353" ht="34" customHeight="1">
      <x:c r="A3353" s="4" t="str">
        <x:v>RS-03352-E1</x:v>
      </x:c>
      <x:c r="B3353" s="4" t="str">
        <x:v>RS-03352</x:v>
      </x:c>
      <x:c r="C3353" s="8" t="n">
        <x:v>45493</x:v>
      </x:c>
      <x:c r="D3353" s="4" t="str">
        <x:v>Sales operations manager</x:v>
      </x:c>
      <x:c r="E3353" s="4" t="str">
        <x:v>Paper transcribed</x:v>
      </x:c>
      <x:c r="F3353" s="4" t="str">
        <x:v>Record captured</x:v>
      </x:c>
      <x:c r="G3353" s="4" t="str">
        <x:v>Enquiry</x:v>
      </x:c>
    </x:row>
    <x:row r="3354" ht="34" customHeight="1">
      <x:c r="A3354" s="4" t="str">
        <x:v>RS-03353-E1</x:v>
      </x:c>
      <x:c r="B3354" s="4" t="str">
        <x:v>RS-03353</x:v>
      </x:c>
      <x:c r="C3354" s="8" t="n">
        <x:v>45494</x:v>
      </x:c>
      <x:c r="D3354" s="4" t="str">
        <x:v>Sales operations manager</x:v>
      </x:c>
      <x:c r="E3354" s="4" t="str">
        <x:v>WhatsApp transcribed</x:v>
      </x:c>
      <x:c r="F3354" s="4" t="str">
        <x:v>Record captured</x:v>
      </x:c>
      <x:c r="G3354" s="4" t="str">
        <x:v>Booked</x:v>
      </x:c>
    </x:row>
    <x:row r="3355" ht="34" customHeight="1">
      <x:c r="A3355" s="4" t="str">
        <x:v>RS-03354-E1</x:v>
      </x:c>
      <x:c r="B3355" s="4" t="str">
        <x:v>RS-03354</x:v>
      </x:c>
      <x:c r="C3355" s="8" t="n">
        <x:v>45495</x:v>
      </x:c>
      <x:c r="D3355" s="4" t="str">
        <x:v>Sales operations manager</x:v>
      </x:c>
      <x:c r="E3355" s="4" t="str">
        <x:v>Spreadsheet import</x:v>
      </x:c>
      <x:c r="F3355" s="4" t="str">
        <x:v>Record captured</x:v>
      </x:c>
      <x:c r="G3355" s="4" t="str">
        <x:v>Agreement signed</x:v>
      </x:c>
    </x:row>
    <x:row r="3356" ht="34" customHeight="1">
      <x:c r="A3356" s="4" t="str">
        <x:v>RS-03355-E1</x:v>
      </x:c>
      <x:c r="B3356" s="4" t="str">
        <x:v>RS-03355</x:v>
      </x:c>
      <x:c r="C3356" s="8" t="n">
        <x:v>45496</x:v>
      </x:c>
      <x:c r="D3356" s="4" t="str">
        <x:v>Sales operations manager</x:v>
      </x:c>
      <x:c r="E3356" s="4" t="str">
        <x:v>WhatsApp transcribed</x:v>
      </x:c>
      <x:c r="F3356" s="4" t="str">
        <x:v>Record captured</x:v>
      </x:c>
      <x:c r="G3356" s="4" t="str">
        <x:v>Agreement signed</x:v>
      </x:c>
    </x:row>
    <x:row r="3357" ht="34" customHeight="1">
      <x:c r="A3357" s="4" t="str">
        <x:v>RS-03356-E1</x:v>
      </x:c>
      <x:c r="B3357" s="4" t="str">
        <x:v>RS-03356</x:v>
      </x:c>
      <x:c r="C3357" s="8" t="n">
        <x:v>45497</x:v>
      </x:c>
      <x:c r="D3357" s="4" t="str">
        <x:v>Sales operations manager</x:v>
      </x:c>
      <x:c r="E3357" s="4" t="str">
        <x:v>Spreadsheet import</x:v>
      </x:c>
      <x:c r="F3357" s="4" t="str">
        <x:v>Record captured</x:v>
      </x:c>
      <x:c r="G3357" s="4" t="str">
        <x:v>Agreement signed</x:v>
      </x:c>
    </x:row>
    <x:row r="3358" ht="34" customHeight="1">
      <x:c r="A3358" s="4" t="str">
        <x:v>RS-03357-E1</x:v>
      </x:c>
      <x:c r="B3358" s="4" t="str">
        <x:v>RS-03357</x:v>
      </x:c>
      <x:c r="C3358" s="8" t="n">
        <x:v>45498</x:v>
      </x:c>
      <x:c r="D3358" s="4" t="str">
        <x:v>Sales operations manager</x:v>
      </x:c>
      <x:c r="E3358" s="4" t="str">
        <x:v>WhatsApp transcribed</x:v>
      </x:c>
      <x:c r="F3358" s="4" t="str">
        <x:v>Record captured</x:v>
      </x:c>
      <x:c r="G3358" s="4" t="str">
        <x:v>Agreement signed</x:v>
      </x:c>
    </x:row>
    <x:row r="3359" ht="34" customHeight="1">
      <x:c r="A3359" s="4" t="str">
        <x:v>RS-03358-E1</x:v>
      </x:c>
      <x:c r="B3359" s="4" t="str">
        <x:v>RS-03358</x:v>
      </x:c>
      <x:c r="C3359" s="8" t="n">
        <x:v>45499</x:v>
      </x:c>
      <x:c r="D3359" s="4" t="str">
        <x:v>Sales operations manager</x:v>
      </x:c>
      <x:c r="E3359" s="4" t="str">
        <x:v>ERP form</x:v>
      </x:c>
      <x:c r="F3359" s="4" t="str">
        <x:v>Record captured</x:v>
      </x:c>
      <x:c r="G3359" s="4" t="str">
        <x:v>Booked</x:v>
      </x:c>
    </x:row>
    <x:row r="3360" ht="34" customHeight="1">
      <x:c r="A3360" s="4" t="str">
        <x:v>RS-03359-E1</x:v>
      </x:c>
      <x:c r="B3360" s="4" t="str">
        <x:v>RS-03359</x:v>
      </x:c>
      <x:c r="C3360" s="8" t="n">
        <x:v>45500</x:v>
      </x:c>
      <x:c r="D3360" s="4" t="str">
        <x:v>Sales operations manager</x:v>
      </x:c>
      <x:c r="E3360" s="4" t="str">
        <x:v>ERP form</x:v>
      </x:c>
      <x:c r="F3360" s="4" t="str">
        <x:v>Record captured</x:v>
      </x:c>
      <x:c r="G3360" s="4" t="str">
        <x:v>Handed over</x:v>
      </x:c>
    </x:row>
    <x:row r="3361" ht="34" customHeight="1">
      <x:c r="A3361" s="4" t="str">
        <x:v>RS-03360-E1</x:v>
      </x:c>
      <x:c r="B3361" s="4" t="str">
        <x:v>RS-03360</x:v>
      </x:c>
      <x:c r="C3361" s="8" t="n">
        <x:v>45501</x:v>
      </x:c>
      <x:c r="D3361" s="4" t="str">
        <x:v>Sales operations manager</x:v>
      </x:c>
      <x:c r="E3361" s="4" t="str">
        <x:v>Spreadsheet import</x:v>
      </x:c>
      <x:c r="F3361" s="4" t="str">
        <x:v>Record captured</x:v>
      </x:c>
      <x:c r="G3361" s="4" t="str">
        <x:v>Agreement signed</x:v>
      </x:c>
    </x:row>
    <x:row r="3362" ht="34" customHeight="1">
      <x:c r="A3362" s="4" t="str">
        <x:v>RS-03361-E1</x:v>
      </x:c>
      <x:c r="B3362" s="4" t="str">
        <x:v>RS-03361</x:v>
      </x:c>
      <x:c r="C3362" s="8" t="n">
        <x:v>45474</x:v>
      </x:c>
      <x:c r="D3362" s="4" t="str">
        <x:v>Sales operations manager</x:v>
      </x:c>
      <x:c r="E3362" s="4" t="str">
        <x:v>ERP form</x:v>
      </x:c>
      <x:c r="F3362" s="4" t="str">
        <x:v>Record captured</x:v>
      </x:c>
      <x:c r="G3362" s="4" t="str">
        <x:v>Enquiry</x:v>
      </x:c>
    </x:row>
    <x:row r="3363" ht="34" customHeight="1">
      <x:c r="A3363" s="4" t="str">
        <x:v>RS-03362-E1</x:v>
      </x:c>
      <x:c r="B3363" s="4" t="str">
        <x:v>RS-03362</x:v>
      </x:c>
      <x:c r="C3363" s="8" t="n">
        <x:v>45475</x:v>
      </x:c>
      <x:c r="D3363" s="4" t="str">
        <x:v>Sales operations manager</x:v>
      </x:c>
      <x:c r="E3363" s="4" t="str">
        <x:v>Paper transcribed</x:v>
      </x:c>
      <x:c r="F3363" s="4" t="str">
        <x:v>Record captured</x:v>
      </x:c>
      <x:c r="G3363" s="4" t="str">
        <x:v>Enquiry</x:v>
      </x:c>
    </x:row>
    <x:row r="3364" ht="34" customHeight="1">
      <x:c r="A3364" s="4" t="str">
        <x:v>RS-03363-E1</x:v>
      </x:c>
      <x:c r="B3364" s="4" t="str">
        <x:v>RS-03363</x:v>
      </x:c>
      <x:c r="C3364" s="8" t="n">
        <x:v>45476</x:v>
      </x:c>
      <x:c r="D3364" s="4" t="str">
        <x:v>Sales operations manager</x:v>
      </x:c>
      <x:c r="E3364" s="4" t="str">
        <x:v>Paper transcribed</x:v>
      </x:c>
      <x:c r="F3364" s="4" t="str">
        <x:v>Record captured</x:v>
      </x:c>
      <x:c r="G3364" s="4" t="str">
        <x:v>Cancelled</x:v>
      </x:c>
    </x:row>
    <x:row r="3365" ht="34" customHeight="1">
      <x:c r="A3365" s="4" t="str">
        <x:v>RS-03364-E1</x:v>
      </x:c>
      <x:c r="B3365" s="4" t="str">
        <x:v>RS-03364</x:v>
      </x:c>
      <x:c r="C3365" s="8" t="n">
        <x:v>45477</x:v>
      </x:c>
      <x:c r="D3365" s="4" t="str">
        <x:v>Sales operations manager</x:v>
      </x:c>
      <x:c r="E3365" s="4" t="str">
        <x:v>WhatsApp transcribed</x:v>
      </x:c>
      <x:c r="F3365" s="4" t="str">
        <x:v>Record captured</x:v>
      </x:c>
      <x:c r="G3365" s="4" t="str">
        <x:v>Cancelled</x:v>
      </x:c>
    </x:row>
    <x:row r="3366" ht="34" customHeight="1">
      <x:c r="A3366" s="4" t="str">
        <x:v>RS-03365-E1</x:v>
      </x:c>
      <x:c r="B3366" s="4" t="str">
        <x:v>RS-03365</x:v>
      </x:c>
      <x:c r="C3366" s="8" t="n">
        <x:v>45478</x:v>
      </x:c>
      <x:c r="D3366" s="4" t="str">
        <x:v>Sales operations manager</x:v>
      </x:c>
      <x:c r="E3366" s="4" t="str">
        <x:v>WhatsApp transcribed</x:v>
      </x:c>
      <x:c r="F3366" s="4" t="str">
        <x:v>Record captured</x:v>
      </x:c>
      <x:c r="G3366" s="4" t="str">
        <x:v>Reserved</x:v>
      </x:c>
    </x:row>
    <x:row r="3367" ht="34" customHeight="1">
      <x:c r="A3367" s="4" t="str">
        <x:v>RS-03366-E1</x:v>
      </x:c>
      <x:c r="B3367" s="4" t="str">
        <x:v>RS-03366</x:v>
      </x:c>
      <x:c r="C3367" s="8" t="n">
        <x:v>45479</x:v>
      </x:c>
      <x:c r="D3367" s="4" t="str">
        <x:v>Sales operations manager</x:v>
      </x:c>
      <x:c r="E3367" s="4" t="str">
        <x:v>Paper transcribed</x:v>
      </x:c>
      <x:c r="F3367" s="4" t="str">
        <x:v>Record captured</x:v>
      </x:c>
      <x:c r="G3367" s="4" t="str">
        <x:v>Handed over</x:v>
      </x:c>
    </x:row>
    <x:row r="3368" ht="34" customHeight="1">
      <x:c r="A3368" s="4" t="str">
        <x:v>RS-03367-E1</x:v>
      </x:c>
      <x:c r="B3368" s="4" t="str">
        <x:v>RS-03367</x:v>
      </x:c>
      <x:c r="C3368" s="8" t="n">
        <x:v>45480</x:v>
      </x:c>
      <x:c r="D3368" s="4" t="str">
        <x:v>Sales operations manager</x:v>
      </x:c>
      <x:c r="E3368" s="4" t="str">
        <x:v>WhatsApp transcribed</x:v>
      </x:c>
      <x:c r="F3368" s="4" t="str">
        <x:v>Record captured</x:v>
      </x:c>
      <x:c r="G3368" s="4" t="str">
        <x:v>Handed over</x:v>
      </x:c>
    </x:row>
    <x:row r="3369" ht="34" customHeight="1">
      <x:c r="A3369" s="4" t="str">
        <x:v>RS-03368-E1</x:v>
      </x:c>
      <x:c r="B3369" s="4" t="str">
        <x:v>RS-03368</x:v>
      </x:c>
      <x:c r="C3369" s="8" t="n">
        <x:v>45481</x:v>
      </x:c>
      <x:c r="D3369" s="4" t="str">
        <x:v>Sales operations manager</x:v>
      </x:c>
      <x:c r="E3369" s="4" t="str">
        <x:v>ERP form</x:v>
      </x:c>
      <x:c r="F3369" s="4" t="str">
        <x:v>Record captured</x:v>
      </x:c>
      <x:c r="G3369" s="4" t="str">
        <x:v>Handed over</x:v>
      </x:c>
    </x:row>
    <x:row r="3370" ht="34" customHeight="1">
      <x:c r="A3370" s="4" t="str">
        <x:v>RS-03369-E1</x:v>
      </x:c>
      <x:c r="B3370" s="4" t="str">
        <x:v>RS-03369</x:v>
      </x:c>
      <x:c r="C3370" s="8" t="n">
        <x:v>45482</x:v>
      </x:c>
      <x:c r="D3370" s="4" t="str">
        <x:v>Sales operations manager</x:v>
      </x:c>
      <x:c r="E3370" s="4" t="str">
        <x:v>Paper transcribed</x:v>
      </x:c>
      <x:c r="F3370" s="4" t="str">
        <x:v>Record captured</x:v>
      </x:c>
      <x:c r="G3370" s="4" t="str">
        <x:v>Cancelled</x:v>
      </x:c>
    </x:row>
    <x:row r="3371" ht="34" customHeight="1">
      <x:c r="A3371" s="4" t="str">
        <x:v>RS-03370-E1</x:v>
      </x:c>
      <x:c r="B3371" s="4" t="str">
        <x:v>RS-03370</x:v>
      </x:c>
      <x:c r="C3371" s="8" t="n">
        <x:v>45483</x:v>
      </x:c>
      <x:c r="D3371" s="4" t="str">
        <x:v>Sales operations manager</x:v>
      </x:c>
      <x:c r="E3371" s="4" t="str">
        <x:v>ERP form</x:v>
      </x:c>
      <x:c r="F3371" s="4" t="str">
        <x:v>Record captured</x:v>
      </x:c>
      <x:c r="G3371" s="4" t="str">
        <x:v>Enquiry</x:v>
      </x:c>
    </x:row>
    <x:row r="3372" ht="34" customHeight="1">
      <x:c r="A3372" s="4" t="str">
        <x:v>RS-03371-E1</x:v>
      </x:c>
      <x:c r="B3372" s="4" t="str">
        <x:v>RS-03371</x:v>
      </x:c>
      <x:c r="C3372" s="8" t="n">
        <x:v>45484</x:v>
      </x:c>
      <x:c r="D3372" s="4" t="str">
        <x:v>Sales operations manager</x:v>
      </x:c>
      <x:c r="E3372" s="4" t="str">
        <x:v>WhatsApp transcribed</x:v>
      </x:c>
      <x:c r="F3372" s="4" t="str">
        <x:v>Record captured</x:v>
      </x:c>
      <x:c r="G3372" s="4" t="str">
        <x:v>Handed over</x:v>
      </x:c>
    </x:row>
    <x:row r="3373" ht="34" customHeight="1">
      <x:c r="A3373" s="4" t="str">
        <x:v>RS-03372-E1</x:v>
      </x:c>
      <x:c r="B3373" s="4" t="str">
        <x:v>RS-03372</x:v>
      </x:c>
      <x:c r="C3373" s="8" t="n">
        <x:v>45485</x:v>
      </x:c>
      <x:c r="D3373" s="4" t="str">
        <x:v>Sales operations manager</x:v>
      </x:c>
      <x:c r="E3373" s="4" t="str">
        <x:v>ERP form</x:v>
      </x:c>
      <x:c r="F3373" s="4" t="str">
        <x:v>Record captured</x:v>
      </x:c>
      <x:c r="G3373" s="4" t="str">
        <x:v>Booked</x:v>
      </x:c>
    </x:row>
    <x:row r="3374" ht="34" customHeight="1">
      <x:c r="A3374" s="4" t="str">
        <x:v>RS-03373-E1</x:v>
      </x:c>
      <x:c r="B3374" s="4" t="str">
        <x:v>RS-03373</x:v>
      </x:c>
      <x:c r="C3374" s="8" t="n">
        <x:v>45486</x:v>
      </x:c>
      <x:c r="D3374" s="4" t="str">
        <x:v>Sales operations manager</x:v>
      </x:c>
      <x:c r="E3374" s="4" t="str">
        <x:v>WhatsApp transcribed</x:v>
      </x:c>
      <x:c r="F3374" s="4" t="str">
        <x:v>Record captured</x:v>
      </x:c>
      <x:c r="G3374" s="4" t="str">
        <x:v>Enquiry</x:v>
      </x:c>
    </x:row>
    <x:row r="3375" ht="34" customHeight="1">
      <x:c r="A3375" s="4" t="str">
        <x:v>RS-03374-E1</x:v>
      </x:c>
      <x:c r="B3375" s="4" t="str">
        <x:v>RS-03374</x:v>
      </x:c>
      <x:c r="C3375" s="8" t="n">
        <x:v>45487</x:v>
      </x:c>
      <x:c r="D3375" s="4" t="str">
        <x:v>Sales operations manager</x:v>
      </x:c>
      <x:c r="E3375" s="4" t="str">
        <x:v>Paper transcribed</x:v>
      </x:c>
      <x:c r="F3375" s="4" t="str">
        <x:v>Record captured</x:v>
      </x:c>
      <x:c r="G3375" s="4" t="str">
        <x:v>Reserved</x:v>
      </x:c>
    </x:row>
    <x:row r="3376" ht="34" customHeight="1">
      <x:c r="A3376" s="4" t="str">
        <x:v>RS-03375-E1</x:v>
      </x:c>
      <x:c r="B3376" s="4" t="str">
        <x:v>RS-03375</x:v>
      </x:c>
      <x:c r="C3376" s="8" t="n">
        <x:v>45488</x:v>
      </x:c>
      <x:c r="D3376" s="4" t="str">
        <x:v>Sales operations manager</x:v>
      </x:c>
      <x:c r="E3376" s="4" t="str">
        <x:v>Spreadsheet import</x:v>
      </x:c>
      <x:c r="F3376" s="4" t="str">
        <x:v>Record captured</x:v>
      </x:c>
      <x:c r="G3376" s="4" t="str">
        <x:v>Agreement signed</x:v>
      </x:c>
    </x:row>
    <x:row r="3377" ht="34" customHeight="1">
      <x:c r="A3377" s="4" t="str">
        <x:v>RS-03376-E1</x:v>
      </x:c>
      <x:c r="B3377" s="4" t="str">
        <x:v>RS-03376</x:v>
      </x:c>
      <x:c r="C3377" s="8" t="n">
        <x:v>45489</x:v>
      </x:c>
      <x:c r="D3377" s="4" t="str">
        <x:v>Sales operations manager</x:v>
      </x:c>
      <x:c r="E3377" s="4" t="str">
        <x:v>ERP form</x:v>
      </x:c>
      <x:c r="F3377" s="4" t="str">
        <x:v>Record captured</x:v>
      </x:c>
      <x:c r="G3377" s="4" t="str">
        <x:v>Enquiry</x:v>
      </x:c>
    </x:row>
    <x:row r="3378" ht="34" customHeight="1">
      <x:c r="A3378" s="4" t="str">
        <x:v>RS-03377-E1</x:v>
      </x:c>
      <x:c r="B3378" s="4" t="str">
        <x:v>RS-03377</x:v>
      </x:c>
      <x:c r="C3378" s="8" t="n">
        <x:v>45490</x:v>
      </x:c>
      <x:c r="D3378" s="4" t="str">
        <x:v>Sales operations manager</x:v>
      </x:c>
      <x:c r="E3378" s="4" t="str">
        <x:v>Spreadsheet import</x:v>
      </x:c>
      <x:c r="F3378" s="4" t="str">
        <x:v>Record captured</x:v>
      </x:c>
      <x:c r="G3378" s="4" t="str">
        <x:v>Enquiry</x:v>
      </x:c>
    </x:row>
    <x:row r="3379" ht="34" customHeight="1">
      <x:c r="A3379" s="4" t="str">
        <x:v>RS-03378-E1</x:v>
      </x:c>
      <x:c r="B3379" s="4" t="str">
        <x:v>RS-03378</x:v>
      </x:c>
      <x:c r="C3379" s="8" t="n">
        <x:v>45491</x:v>
      </x:c>
      <x:c r="D3379" s="4" t="str">
        <x:v>Sales operations manager</x:v>
      </x:c>
      <x:c r="E3379" s="4" t="str">
        <x:v>ERP form</x:v>
      </x:c>
      <x:c r="F3379" s="4" t="str">
        <x:v>Record captured</x:v>
      </x:c>
      <x:c r="G3379" s="4" t="str">
        <x:v>Agreement signed</x:v>
      </x:c>
    </x:row>
    <x:row r="3380" ht="34" customHeight="1">
      <x:c r="A3380" s="4" t="str">
        <x:v>RS-03379-E1</x:v>
      </x:c>
      <x:c r="B3380" s="4" t="str">
        <x:v>RS-03379</x:v>
      </x:c>
      <x:c r="C3380" s="8" t="n">
        <x:v>45492</x:v>
      </x:c>
      <x:c r="D3380" s="4" t="str">
        <x:v>Sales operations manager</x:v>
      </x:c>
      <x:c r="E3380" s="4" t="str">
        <x:v>Spreadsheet import</x:v>
      </x:c>
      <x:c r="F3380" s="4" t="str">
        <x:v>Record captured</x:v>
      </x:c>
      <x:c r="G3380" s="4" t="str">
        <x:v>Booked</x:v>
      </x:c>
    </x:row>
    <x:row r="3381" ht="34" customHeight="1">
      <x:c r="A3381" s="4" t="str">
        <x:v>RS-03380-E1</x:v>
      </x:c>
      <x:c r="B3381" s="4" t="str">
        <x:v>RS-03380</x:v>
      </x:c>
      <x:c r="C3381" s="8" t="n">
        <x:v>45493</x:v>
      </x:c>
      <x:c r="D3381" s="4" t="str">
        <x:v>Sales operations manager</x:v>
      </x:c>
      <x:c r="E3381" s="4" t="str">
        <x:v>WhatsApp transcribed</x:v>
      </x:c>
      <x:c r="F3381" s="4" t="str">
        <x:v>Record captured</x:v>
      </x:c>
      <x:c r="G3381" s="4" t="str">
        <x:v>Reserved</x:v>
      </x:c>
    </x:row>
    <x:row r="3382" ht="34" customHeight="1">
      <x:c r="A3382" s="4" t="str">
        <x:v>RS-03381-E1</x:v>
      </x:c>
      <x:c r="B3382" s="4" t="str">
        <x:v>RS-03381</x:v>
      </x:c>
      <x:c r="C3382" s="8" t="n">
        <x:v>45494</x:v>
      </x:c>
      <x:c r="D3382" s="4" t="str">
        <x:v>Sales operations manager</x:v>
      </x:c>
      <x:c r="E3382" s="4" t="str">
        <x:v>Spreadsheet import</x:v>
      </x:c>
      <x:c r="F3382" s="4" t="str">
        <x:v>Record captured</x:v>
      </x:c>
      <x:c r="G3382" s="4" t="str">
        <x:v>Reserved</x:v>
      </x:c>
    </x:row>
    <x:row r="3383" ht="34" customHeight="1">
      <x:c r="A3383" s="4" t="str">
        <x:v>RS-03382-E1</x:v>
      </x:c>
      <x:c r="B3383" s="4" t="str">
        <x:v>RS-03382</x:v>
      </x:c>
      <x:c r="C3383" s="8" t="n">
        <x:v>45495</x:v>
      </x:c>
      <x:c r="D3383" s="4" t="str">
        <x:v>Sales operations manager</x:v>
      </x:c>
      <x:c r="E3383" s="4" t="str">
        <x:v>Spreadsheet import</x:v>
      </x:c>
      <x:c r="F3383" s="4" t="str">
        <x:v>Record captured</x:v>
      </x:c>
      <x:c r="G3383" s="4" t="str">
        <x:v>Enquiry</x:v>
      </x:c>
    </x:row>
    <x:row r="3384" ht="34" customHeight="1">
      <x:c r="A3384" s="4" t="str">
        <x:v>RS-03383-E1</x:v>
      </x:c>
      <x:c r="B3384" s="4" t="str">
        <x:v>RS-03383</x:v>
      </x:c>
      <x:c r="C3384" s="8" t="n">
        <x:v>45496</x:v>
      </x:c>
      <x:c r="D3384" s="4" t="str">
        <x:v>Sales operations manager</x:v>
      </x:c>
      <x:c r="E3384" s="4" t="str">
        <x:v>ERP form</x:v>
      </x:c>
      <x:c r="F3384" s="4" t="str">
        <x:v>Record captured</x:v>
      </x:c>
      <x:c r="G3384" s="4" t="str">
        <x:v>Cancelled</x:v>
      </x:c>
    </x:row>
    <x:row r="3385" ht="34" customHeight="1">
      <x:c r="A3385" s="4" t="str">
        <x:v>RS-03384-E1</x:v>
      </x:c>
      <x:c r="B3385" s="4" t="str">
        <x:v>RS-03384</x:v>
      </x:c>
      <x:c r="C3385" s="8" t="n">
        <x:v>45497</x:v>
      </x:c>
      <x:c r="D3385" s="4" t="str">
        <x:v>Sales operations manager</x:v>
      </x:c>
      <x:c r="E3385" s="4" t="str">
        <x:v>WhatsApp transcribed</x:v>
      </x:c>
      <x:c r="F3385" s="4" t="str">
        <x:v>Record captured</x:v>
      </x:c>
      <x:c r="G3385" s="4" t="str">
        <x:v>Handed over</x:v>
      </x:c>
    </x:row>
    <x:row r="3386" ht="34" customHeight="1">
      <x:c r="A3386" s="4" t="str">
        <x:v>RS-03385-E1</x:v>
      </x:c>
      <x:c r="B3386" s="4" t="str">
        <x:v>RS-03385</x:v>
      </x:c>
      <x:c r="C3386" s="8" t="n">
        <x:v>45498</x:v>
      </x:c>
      <x:c r="D3386" s="4" t="str">
        <x:v>Sales operations manager</x:v>
      </x:c>
      <x:c r="E3386" s="4" t="str">
        <x:v>Paper transcribed</x:v>
      </x:c>
      <x:c r="F3386" s="4" t="str">
        <x:v>Record captured</x:v>
      </x:c>
      <x:c r="G3386" s="4" t="str">
        <x:v>Enquiry</x:v>
      </x:c>
    </x:row>
    <x:row r="3387" ht="34" customHeight="1">
      <x:c r="A3387" s="4" t="str">
        <x:v>RS-03386-E1</x:v>
      </x:c>
      <x:c r="B3387" s="4" t="str">
        <x:v>RS-03386</x:v>
      </x:c>
      <x:c r="C3387" s="8" t="n">
        <x:v>45499</x:v>
      </x:c>
      <x:c r="D3387" s="4" t="str">
        <x:v>Sales operations manager</x:v>
      </x:c>
      <x:c r="E3387" s="4" t="str">
        <x:v>WhatsApp transcribed</x:v>
      </x:c>
      <x:c r="F3387" s="4" t="str">
        <x:v>Record captured</x:v>
      </x:c>
      <x:c r="G3387" s="4" t="str">
        <x:v>Handed over</x:v>
      </x:c>
    </x:row>
    <x:row r="3388" ht="34" customHeight="1">
      <x:c r="A3388" s="4" t="str">
        <x:v>RS-03387-E1</x:v>
      </x:c>
      <x:c r="B3388" s="4" t="str">
        <x:v>RS-03387</x:v>
      </x:c>
      <x:c r="C3388" s="8" t="n">
        <x:v>45500</x:v>
      </x:c>
      <x:c r="D3388" s="4" t="str">
        <x:v>Sales operations manager</x:v>
      </x:c>
      <x:c r="E3388" s="4" t="str">
        <x:v>Paper transcribed</x:v>
      </x:c>
      <x:c r="F3388" s="4" t="str">
        <x:v>Record captured</x:v>
      </x:c>
      <x:c r="G3388" s="4" t="str">
        <x:v>Reserved</x:v>
      </x:c>
    </x:row>
    <x:row r="3389" ht="34" customHeight="1">
      <x:c r="A3389" s="4" t="str">
        <x:v>RS-03388-E1</x:v>
      </x:c>
      <x:c r="B3389" s="4" t="str">
        <x:v>RS-03388</x:v>
      </x:c>
      <x:c r="C3389" s="8" t="n">
        <x:v>45501</x:v>
      </x:c>
      <x:c r="D3389" s="4" t="str">
        <x:v>Sales operations manager</x:v>
      </x:c>
      <x:c r="E3389" s="4" t="str">
        <x:v>ERP form</x:v>
      </x:c>
      <x:c r="F3389" s="4" t="str">
        <x:v>Record captured</x:v>
      </x:c>
      <x:c r="G3389" s="4" t="str">
        <x:v>Reserved</x:v>
      </x:c>
    </x:row>
    <x:row r="3390" ht="34" customHeight="1">
      <x:c r="A3390" s="4" t="str">
        <x:v>RS-03389-E1</x:v>
      </x:c>
      <x:c r="B3390" s="4" t="str">
        <x:v>RS-03389</x:v>
      </x:c>
      <x:c r="C3390" s="8" t="n">
        <x:v>45474</x:v>
      </x:c>
      <x:c r="D3390" s="4" t="str">
        <x:v>Sales operations manager</x:v>
      </x:c>
      <x:c r="E3390" s="4" t="str">
        <x:v>WhatsApp transcribed</x:v>
      </x:c>
      <x:c r="F3390" s="4" t="str">
        <x:v>Record captured</x:v>
      </x:c>
      <x:c r="G3390" s="4" t="str">
        <x:v>Handed over</x:v>
      </x:c>
    </x:row>
    <x:row r="3391" ht="34" customHeight="1">
      <x:c r="A3391" s="4" t="str">
        <x:v>RS-03390-E1</x:v>
      </x:c>
      <x:c r="B3391" s="4" t="str">
        <x:v>RS-03390</x:v>
      </x:c>
      <x:c r="C3391" s="8" t="n">
        <x:v>45475</x:v>
      </x:c>
      <x:c r="D3391" s="4" t="str">
        <x:v>Sales operations manager</x:v>
      </x:c>
      <x:c r="E3391" s="4" t="str">
        <x:v>Spreadsheet import</x:v>
      </x:c>
      <x:c r="F3391" s="4" t="str">
        <x:v>Record captured</x:v>
      </x:c>
      <x:c r="G3391" s="4" t="str">
        <x:v>Reserved</x:v>
      </x:c>
    </x:row>
    <x:row r="3392" ht="34" customHeight="1">
      <x:c r="A3392" s="4" t="str">
        <x:v>RS-03391-E1</x:v>
      </x:c>
      <x:c r="B3392" s="4" t="str">
        <x:v>RS-03391</x:v>
      </x:c>
      <x:c r="C3392" s="8" t="n">
        <x:v>45476</x:v>
      </x:c>
      <x:c r="D3392" s="4" t="str">
        <x:v>Sales operations manager</x:v>
      </x:c>
      <x:c r="E3392" s="4" t="str">
        <x:v>WhatsApp transcribed</x:v>
      </x:c>
      <x:c r="F3392" s="4" t="str">
        <x:v>Record captured</x:v>
      </x:c>
      <x:c r="G3392" s="4" t="str">
        <x:v>Booked</x:v>
      </x:c>
    </x:row>
    <x:row r="3393" ht="34" customHeight="1">
      <x:c r="A3393" s="4" t="str">
        <x:v>RS-03392-E1</x:v>
      </x:c>
      <x:c r="B3393" s="4" t="str">
        <x:v>RS-03392</x:v>
      </x:c>
      <x:c r="C3393" s="8" t="n">
        <x:v>45477</x:v>
      </x:c>
      <x:c r="D3393" s="4" t="str">
        <x:v>Sales operations manager</x:v>
      </x:c>
      <x:c r="E3393" s="4" t="str">
        <x:v>ERP form</x:v>
      </x:c>
      <x:c r="F3393" s="4" t="str">
        <x:v>Record captured</x:v>
      </x:c>
      <x:c r="G3393" s="4" t="str">
        <x:v>Cancelled</x:v>
      </x:c>
    </x:row>
    <x:row r="3394" ht="34" customHeight="1">
      <x:c r="A3394" s="4" t="str">
        <x:v>RS-03393-E1</x:v>
      </x:c>
      <x:c r="B3394" s="4" t="str">
        <x:v>RS-03393</x:v>
      </x:c>
      <x:c r="C3394" s="8" t="n">
        <x:v>45478</x:v>
      </x:c>
      <x:c r="D3394" s="4" t="str">
        <x:v>Sales operations manager</x:v>
      </x:c>
      <x:c r="E3394" s="4" t="str">
        <x:v>Spreadsheet import</x:v>
      </x:c>
      <x:c r="F3394" s="4" t="str">
        <x:v>Record captured</x:v>
      </x:c>
      <x:c r="G3394" s="4" t="str">
        <x:v>Enquiry</x:v>
      </x:c>
    </x:row>
    <x:row r="3395" ht="34" customHeight="1">
      <x:c r="A3395" s="4" t="str">
        <x:v>RS-03394-E1</x:v>
      </x:c>
      <x:c r="B3395" s="4" t="str">
        <x:v>RS-03394</x:v>
      </x:c>
      <x:c r="C3395" s="8" t="n">
        <x:v>45479</x:v>
      </x:c>
      <x:c r="D3395" s="4" t="str">
        <x:v>Sales operations manager</x:v>
      </x:c>
      <x:c r="E3395" s="4" t="str">
        <x:v>Spreadsheet import</x:v>
      </x:c>
      <x:c r="F3395" s="4" t="str">
        <x:v>Record captured</x:v>
      </x:c>
      <x:c r="G3395" s="4" t="str">
        <x:v>Enquiry</x:v>
      </x:c>
    </x:row>
    <x:row r="3396" ht="34" customHeight="1">
      <x:c r="A3396" s="4" t="str">
        <x:v>RS-03395-E1</x:v>
      </x:c>
      <x:c r="B3396" s="4" t="str">
        <x:v>RS-03395</x:v>
      </x:c>
      <x:c r="C3396" s="8" t="n">
        <x:v>45480</x:v>
      </x:c>
      <x:c r="D3396" s="4" t="str">
        <x:v>Sales operations manager</x:v>
      </x:c>
      <x:c r="E3396" s="4" t="str">
        <x:v>ERP form</x:v>
      </x:c>
      <x:c r="F3396" s="4" t="str">
        <x:v>Record captured</x:v>
      </x:c>
      <x:c r="G3396" s="4" t="str">
        <x:v>Cancelled</x:v>
      </x:c>
    </x:row>
    <x:row r="3397" ht="34" customHeight="1">
      <x:c r="A3397" s="4" t="str">
        <x:v>RS-03396-E1</x:v>
      </x:c>
      <x:c r="B3397" s="4" t="str">
        <x:v>RS-03396</x:v>
      </x:c>
      <x:c r="C3397" s="8" t="n">
        <x:v>45481</x:v>
      </x:c>
      <x:c r="D3397" s="4" t="str">
        <x:v>Sales operations manager</x:v>
      </x:c>
      <x:c r="E3397" s="4" t="str">
        <x:v>WhatsApp transcribed</x:v>
      </x:c>
      <x:c r="F3397" s="4" t="str">
        <x:v>Record captured</x:v>
      </x:c>
      <x:c r="G3397" s="4" t="str">
        <x:v>Cancelled</x:v>
      </x:c>
    </x:row>
    <x:row r="3398" ht="34" customHeight="1">
      <x:c r="A3398" s="4" t="str">
        <x:v>RS-03397-E1</x:v>
      </x:c>
      <x:c r="B3398" s="4" t="str">
        <x:v>RS-03397</x:v>
      </x:c>
      <x:c r="C3398" s="8" t="n">
        <x:v>45482</x:v>
      </x:c>
      <x:c r="D3398" s="4" t="str">
        <x:v>Sales operations manager</x:v>
      </x:c>
      <x:c r="E3398" s="4" t="str">
        <x:v>Paper transcribed</x:v>
      </x:c>
      <x:c r="F3398" s="4" t="str">
        <x:v>Record captured</x:v>
      </x:c>
      <x:c r="G3398" s="4" t="str">
        <x:v>Reserved</x:v>
      </x:c>
    </x:row>
    <x:row r="3399" ht="34" customHeight="1">
      <x:c r="A3399" s="4" t="str">
        <x:v>RS-03398-E1</x:v>
      </x:c>
      <x:c r="B3399" s="4" t="str">
        <x:v>RS-03398</x:v>
      </x:c>
      <x:c r="C3399" s="8" t="n">
        <x:v>45483</x:v>
      </x:c>
      <x:c r="D3399" s="4" t="str">
        <x:v>Sales operations manager</x:v>
      </x:c>
      <x:c r="E3399" s="4" t="str">
        <x:v>WhatsApp transcribed</x:v>
      </x:c>
      <x:c r="F3399" s="4" t="str">
        <x:v>Record captured</x:v>
      </x:c>
      <x:c r="G3399" s="4" t="str">
        <x:v>Cancelled</x:v>
      </x:c>
    </x:row>
    <x:row r="3400" ht="34" customHeight="1">
      <x:c r="A3400" s="4" t="str">
        <x:v>RS-03399-E1</x:v>
      </x:c>
      <x:c r="B3400" s="4" t="str">
        <x:v>RS-03399</x:v>
      </x:c>
      <x:c r="C3400" s="8" t="n">
        <x:v>45484</x:v>
      </x:c>
      <x:c r="D3400" s="4" t="str">
        <x:v>Sales operations manager</x:v>
      </x:c>
      <x:c r="E3400" s="4" t="str">
        <x:v>Paper transcribed</x:v>
      </x:c>
      <x:c r="F3400" s="4" t="str">
        <x:v>Record captured</x:v>
      </x:c>
      <x:c r="G3400" s="4" t="str">
        <x:v>Agreement signed</x:v>
      </x:c>
    </x:row>
    <x:row r="3401" ht="34" customHeight="1">
      <x:c r="A3401" s="4" t="str">
        <x:v>RS-03400-E1</x:v>
      </x:c>
      <x:c r="B3401" s="4" t="str">
        <x:v>RS-03400</x:v>
      </x:c>
      <x:c r="C3401" s="8" t="n">
        <x:v>45485</x:v>
      </x:c>
      <x:c r="D3401" s="4" t="str">
        <x:v>Sales operations manager</x:v>
      </x:c>
      <x:c r="E3401" s="4" t="str">
        <x:v>Paper transcribed</x:v>
      </x:c>
      <x:c r="F3401" s="4" t="str">
        <x:v>Record captured</x:v>
      </x:c>
      <x:c r="G3401" s="4" t="str">
        <x:v>Agreement signed</x:v>
      </x:c>
    </x:row>
    <x:row r="3402" ht="34" customHeight="1">
      <x:c r="A3402" s="4" t="str">
        <x:v>RS-03401-E1</x:v>
      </x:c>
      <x:c r="B3402" s="4" t="str">
        <x:v>RS-03401</x:v>
      </x:c>
      <x:c r="C3402" s="8" t="n">
        <x:v>45486</x:v>
      </x:c>
      <x:c r="D3402" s="4" t="str">
        <x:v>Sales operations manager</x:v>
      </x:c>
      <x:c r="E3402" s="4" t="str">
        <x:v>Spreadsheet import</x:v>
      </x:c>
      <x:c r="F3402" s="4" t="str">
        <x:v>Record captured</x:v>
      </x:c>
      <x:c r="G3402" s="4" t="str">
        <x:v>Cancelled</x:v>
      </x:c>
    </x:row>
    <x:row r="3403" ht="34" customHeight="1">
      <x:c r="A3403" s="4" t="str">
        <x:v>RS-03402-E1</x:v>
      </x:c>
      <x:c r="B3403" s="4" t="str">
        <x:v>RS-03402</x:v>
      </x:c>
      <x:c r="C3403" s="8" t="n">
        <x:v>45487</x:v>
      </x:c>
      <x:c r="D3403" s="4" t="str">
        <x:v>Sales operations manager</x:v>
      </x:c>
      <x:c r="E3403" s="4" t="str">
        <x:v>Paper transcribed</x:v>
      </x:c>
      <x:c r="F3403" s="4" t="str">
        <x:v>Record captured</x:v>
      </x:c>
      <x:c r="G3403" s="4" t="str">
        <x:v>Handed over</x:v>
      </x:c>
    </x:row>
    <x:row r="3404" ht="34" customHeight="1">
      <x:c r="A3404" s="4" t="str">
        <x:v>RS-03403-E1</x:v>
      </x:c>
      <x:c r="B3404" s="4" t="str">
        <x:v>RS-03403</x:v>
      </x:c>
      <x:c r="C3404" s="8" t="n">
        <x:v>45488</x:v>
      </x:c>
      <x:c r="D3404" s="4" t="str">
        <x:v>Sales operations manager</x:v>
      </x:c>
      <x:c r="E3404" s="4" t="str">
        <x:v>ERP form</x:v>
      </x:c>
      <x:c r="F3404" s="4" t="str">
        <x:v>Record captured</x:v>
      </x:c>
      <x:c r="G3404" s="4" t="str">
        <x:v>Enquiry</x:v>
      </x:c>
    </x:row>
    <x:row r="3405" ht="34" customHeight="1">
      <x:c r="A3405" s="4" t="str">
        <x:v>RS-03404-E1</x:v>
      </x:c>
      <x:c r="B3405" s="4" t="str">
        <x:v>RS-03404</x:v>
      </x:c>
      <x:c r="C3405" s="8" t="n">
        <x:v>45489</x:v>
      </x:c>
      <x:c r="D3405" s="4" t="str">
        <x:v>Sales operations manager</x:v>
      </x:c>
      <x:c r="E3405" s="4" t="str">
        <x:v>Spreadsheet import</x:v>
      </x:c>
      <x:c r="F3405" s="4" t="str">
        <x:v>Record captured</x:v>
      </x:c>
      <x:c r="G3405" s="4" t="str">
        <x:v>Reserved</x:v>
      </x:c>
    </x:row>
    <x:row r="3406" ht="34" customHeight="1">
      <x:c r="A3406" s="4" t="str">
        <x:v>RS-03405-E1</x:v>
      </x:c>
      <x:c r="B3406" s="4" t="str">
        <x:v>RS-03405</x:v>
      </x:c>
      <x:c r="C3406" s="8" t="n">
        <x:v>45490</x:v>
      </x:c>
      <x:c r="D3406" s="4" t="str">
        <x:v>Sales operations manager</x:v>
      </x:c>
      <x:c r="E3406" s="4" t="str">
        <x:v>Paper transcribed</x:v>
      </x:c>
      <x:c r="F3406" s="4" t="str">
        <x:v>Record captured</x:v>
      </x:c>
      <x:c r="G3406" s="4" t="str">
        <x:v>Handed over</x:v>
      </x:c>
    </x:row>
    <x:row r="3407" ht="34" customHeight="1">
      <x:c r="A3407" s="4" t="str">
        <x:v>RS-03406-E1</x:v>
      </x:c>
      <x:c r="B3407" s="4" t="str">
        <x:v>RS-03406</x:v>
      </x:c>
      <x:c r="C3407" s="8" t="n">
        <x:v>45491</x:v>
      </x:c>
      <x:c r="D3407" s="4" t="str">
        <x:v>Sales operations manager</x:v>
      </x:c>
      <x:c r="E3407" s="4" t="str">
        <x:v>ERP form</x:v>
      </x:c>
      <x:c r="F3407" s="4" t="str">
        <x:v>Record captured</x:v>
      </x:c>
      <x:c r="G3407" s="4" t="str">
        <x:v>Booked</x:v>
      </x:c>
    </x:row>
    <x:row r="3408" ht="34" customHeight="1">
      <x:c r="A3408" s="4" t="str">
        <x:v>RS-03407-E1</x:v>
      </x:c>
      <x:c r="B3408" s="4" t="str">
        <x:v>RS-03407</x:v>
      </x:c>
      <x:c r="C3408" s="8" t="n">
        <x:v>45492</x:v>
      </x:c>
      <x:c r="D3408" s="4" t="str">
        <x:v>Sales operations manager</x:v>
      </x:c>
      <x:c r="E3408" s="4" t="str">
        <x:v>ERP form</x:v>
      </x:c>
      <x:c r="F3408" s="4" t="str">
        <x:v>Record captured</x:v>
      </x:c>
      <x:c r="G3408" s="4" t="str">
        <x:v>Booked</x:v>
      </x:c>
    </x:row>
    <x:row r="3409" ht="34" customHeight="1">
      <x:c r="A3409" s="4" t="str">
        <x:v>RS-03408-E1</x:v>
      </x:c>
      <x:c r="B3409" s="4" t="str">
        <x:v>RS-03408</x:v>
      </x:c>
      <x:c r="C3409" s="8" t="n">
        <x:v>45493</x:v>
      </x:c>
      <x:c r="D3409" s="4" t="str">
        <x:v>Sales operations manager</x:v>
      </x:c>
      <x:c r="E3409" s="4" t="str">
        <x:v>Paper transcribed</x:v>
      </x:c>
      <x:c r="F3409" s="4" t="str">
        <x:v>Record captured</x:v>
      </x:c>
      <x:c r="G3409" s="4" t="str">
        <x:v>Reserved</x:v>
      </x:c>
    </x:row>
    <x:row r="3410" ht="34" customHeight="1">
      <x:c r="A3410" s="4" t="str">
        <x:v>RS-03409-E1</x:v>
      </x:c>
      <x:c r="B3410" s="4" t="str">
        <x:v>RS-03409</x:v>
      </x:c>
      <x:c r="C3410" s="8" t="n">
        <x:v>45494</x:v>
      </x:c>
      <x:c r="D3410" s="4" t="str">
        <x:v>Sales operations manager</x:v>
      </x:c>
      <x:c r="E3410" s="4" t="str">
        <x:v>Paper transcribed</x:v>
      </x:c>
      <x:c r="F3410" s="4" t="str">
        <x:v>Record captured</x:v>
      </x:c>
      <x:c r="G3410" s="4" t="str">
        <x:v>Agreement signed</x:v>
      </x:c>
    </x:row>
    <x:row r="3411" ht="34" customHeight="1">
      <x:c r="A3411" s="4" t="str">
        <x:v>RS-03410-E1</x:v>
      </x:c>
      <x:c r="B3411" s="4" t="str">
        <x:v>RS-03410</x:v>
      </x:c>
      <x:c r="C3411" s="8" t="n">
        <x:v>45495</x:v>
      </x:c>
      <x:c r="D3411" s="4" t="str">
        <x:v>Sales operations manager</x:v>
      </x:c>
      <x:c r="E3411" s="4" t="str">
        <x:v>Spreadsheet import</x:v>
      </x:c>
      <x:c r="F3411" s="4" t="str">
        <x:v>Record captured</x:v>
      </x:c>
      <x:c r="G3411" s="4" t="str">
        <x:v>Enquiry</x:v>
      </x:c>
    </x:row>
    <x:row r="3412" ht="34" customHeight="1">
      <x:c r="A3412" s="4" t="str">
        <x:v>RS-03411-E1</x:v>
      </x:c>
      <x:c r="B3412" s="4" t="str">
        <x:v>RS-03411</x:v>
      </x:c>
      <x:c r="C3412" s="8" t="n">
        <x:v>45496</x:v>
      </x:c>
      <x:c r="D3412" s="4" t="str">
        <x:v>Sales operations manager</x:v>
      </x:c>
      <x:c r="E3412" s="4" t="str">
        <x:v>Spreadsheet import</x:v>
      </x:c>
      <x:c r="F3412" s="4" t="str">
        <x:v>Record captured</x:v>
      </x:c>
      <x:c r="G3412" s="4" t="str">
        <x:v>Reserved</x:v>
      </x:c>
    </x:row>
    <x:row r="3413" ht="34" customHeight="1">
      <x:c r="A3413" s="4" t="str">
        <x:v>RS-03412-E1</x:v>
      </x:c>
      <x:c r="B3413" s="4" t="str">
        <x:v>RS-03412</x:v>
      </x:c>
      <x:c r="C3413" s="8" t="n">
        <x:v>45497</x:v>
      </x:c>
      <x:c r="D3413" s="4" t="str">
        <x:v>Sales operations manager</x:v>
      </x:c>
      <x:c r="E3413" s="4" t="str">
        <x:v>Spreadsheet import</x:v>
      </x:c>
      <x:c r="F3413" s="4" t="str">
        <x:v>Record captured</x:v>
      </x:c>
      <x:c r="G3413" s="4" t="str">
        <x:v>Enquiry</x:v>
      </x:c>
    </x:row>
    <x:row r="3414" ht="34" customHeight="1">
      <x:c r="A3414" s="4" t="str">
        <x:v>RS-03413-E1</x:v>
      </x:c>
      <x:c r="B3414" s="4" t="str">
        <x:v>RS-03413</x:v>
      </x:c>
      <x:c r="C3414" s="8" t="n">
        <x:v>45498</x:v>
      </x:c>
      <x:c r="D3414" s="4" t="str">
        <x:v>Sales operations manager</x:v>
      </x:c>
      <x:c r="E3414" s="4" t="str">
        <x:v>WhatsApp transcribed</x:v>
      </x:c>
      <x:c r="F3414" s="4" t="str">
        <x:v>Record captured</x:v>
      </x:c>
      <x:c r="G3414" s="4" t="str">
        <x:v>Cancelled</x:v>
      </x:c>
    </x:row>
    <x:row r="3415" ht="34" customHeight="1">
      <x:c r="A3415" s="4" t="str">
        <x:v>RS-03414-E1</x:v>
      </x:c>
      <x:c r="B3415" s="4" t="str">
        <x:v>RS-03414</x:v>
      </x:c>
      <x:c r="C3415" s="8" t="n">
        <x:v>45499</x:v>
      </x:c>
      <x:c r="D3415" s="4" t="str">
        <x:v>Sales operations manager</x:v>
      </x:c>
      <x:c r="E3415" s="4" t="str">
        <x:v>Spreadsheet import</x:v>
      </x:c>
      <x:c r="F3415" s="4" t="str">
        <x:v>Record captured</x:v>
      </x:c>
      <x:c r="G3415" s="4" t="str">
        <x:v>Agreement signed</x:v>
      </x:c>
    </x:row>
    <x:row r="3416" ht="34" customHeight="1">
      <x:c r="A3416" s="4" t="str">
        <x:v>RS-03415-E1</x:v>
      </x:c>
      <x:c r="B3416" s="4" t="str">
        <x:v>RS-03415</x:v>
      </x:c>
      <x:c r="C3416" s="8" t="n">
        <x:v>45500</x:v>
      </x:c>
      <x:c r="D3416" s="4" t="str">
        <x:v>Sales operations manager</x:v>
      </x:c>
      <x:c r="E3416" s="4" t="str">
        <x:v>ERP form</x:v>
      </x:c>
      <x:c r="F3416" s="4" t="str">
        <x:v>Record captured</x:v>
      </x:c>
      <x:c r="G3416" s="4" t="str">
        <x:v>Enquiry</x:v>
      </x:c>
    </x:row>
    <x:row r="3417" ht="34" customHeight="1">
      <x:c r="A3417" s="4" t="str">
        <x:v>RS-03416-E1</x:v>
      </x:c>
      <x:c r="B3417" s="4" t="str">
        <x:v>RS-03416</x:v>
      </x:c>
      <x:c r="C3417" s="8" t="n">
        <x:v>45501</x:v>
      </x:c>
      <x:c r="D3417" s="4" t="str">
        <x:v>Sales operations manager</x:v>
      </x:c>
      <x:c r="E3417" s="4" t="str">
        <x:v>ERP form</x:v>
      </x:c>
      <x:c r="F3417" s="4" t="str">
        <x:v>Record captured</x:v>
      </x:c>
      <x:c r="G3417" s="4" t="str">
        <x:v>Cancelled</x:v>
      </x:c>
    </x:row>
    <x:row r="3418" ht="34" customHeight="1">
      <x:c r="A3418" s="4" t="str">
        <x:v>RS-03417-E1</x:v>
      </x:c>
      <x:c r="B3418" s="4" t="str">
        <x:v>RS-03417</x:v>
      </x:c>
      <x:c r="C3418" s="8" t="n">
        <x:v>45474</x:v>
      </x:c>
      <x:c r="D3418" s="4" t="str">
        <x:v>Sales operations manager</x:v>
      </x:c>
      <x:c r="E3418" s="4" t="str">
        <x:v>Spreadsheet import</x:v>
      </x:c>
      <x:c r="F3418" s="4" t="str">
        <x:v>Record captured</x:v>
      </x:c>
      <x:c r="G3418" s="4" t="str">
        <x:v>Handed over</x:v>
      </x:c>
    </x:row>
    <x:row r="3419" ht="34" customHeight="1">
      <x:c r="A3419" s="4" t="str">
        <x:v>RS-03418-E1</x:v>
      </x:c>
      <x:c r="B3419" s="4" t="str">
        <x:v>RS-03418</x:v>
      </x:c>
      <x:c r="C3419" s="8" t="n">
        <x:v>45475</x:v>
      </x:c>
      <x:c r="D3419" s="4" t="str">
        <x:v>Sales operations manager</x:v>
      </x:c>
      <x:c r="E3419" s="4" t="str">
        <x:v>WhatsApp transcribed</x:v>
      </x:c>
      <x:c r="F3419" s="4" t="str">
        <x:v>Record captured</x:v>
      </x:c>
      <x:c r="G3419" s="4" t="str">
        <x:v>Handed over</x:v>
      </x:c>
    </x:row>
    <x:row r="3420" ht="34" customHeight="1">
      <x:c r="A3420" s="4" t="str">
        <x:v>RS-03419-E1</x:v>
      </x:c>
      <x:c r="B3420" s="4" t="str">
        <x:v>RS-03419</x:v>
      </x:c>
      <x:c r="C3420" s="8" t="n">
        <x:v>45476</x:v>
      </x:c>
      <x:c r="D3420" s="4" t="str">
        <x:v>Sales operations manager</x:v>
      </x:c>
      <x:c r="E3420" s="4" t="str">
        <x:v>WhatsApp transcribed</x:v>
      </x:c>
      <x:c r="F3420" s="4" t="str">
        <x:v>Record captured</x:v>
      </x:c>
      <x:c r="G3420" s="4" t="str">
        <x:v>Booked</x:v>
      </x:c>
    </x:row>
    <x:row r="3421" ht="34" customHeight="1">
      <x:c r="A3421" s="4" t="str">
        <x:v>RS-03420-E1</x:v>
      </x:c>
      <x:c r="B3421" s="4" t="str">
        <x:v>RS-03420</x:v>
      </x:c>
      <x:c r="C3421" s="8" t="n">
        <x:v>45477</x:v>
      </x:c>
      <x:c r="D3421" s="4" t="str">
        <x:v>Sales operations manager</x:v>
      </x:c>
      <x:c r="E3421" s="4" t="str">
        <x:v>Spreadsheet import</x:v>
      </x:c>
      <x:c r="F3421" s="4" t="str">
        <x:v>Record captured</x:v>
      </x:c>
      <x:c r="G3421" s="4" t="str">
        <x:v>Cancelled</x:v>
      </x:c>
    </x:row>
    <x:row r="3422" ht="34" customHeight="1">
      <x:c r="A3422" s="4" t="str">
        <x:v>RS-03421-E1</x:v>
      </x:c>
      <x:c r="B3422" s="4" t="str">
        <x:v>RS-03421</x:v>
      </x:c>
      <x:c r="C3422" s="8" t="n">
        <x:v>45478</x:v>
      </x:c>
      <x:c r="D3422" s="4" t="str">
        <x:v>Sales operations manager</x:v>
      </x:c>
      <x:c r="E3422" s="4" t="str">
        <x:v>Spreadsheet import</x:v>
      </x:c>
      <x:c r="F3422" s="4" t="str">
        <x:v>Record captured</x:v>
      </x:c>
      <x:c r="G3422" s="4" t="str">
        <x:v>Agreement signed</x:v>
      </x:c>
    </x:row>
    <x:row r="3423" ht="34" customHeight="1">
      <x:c r="A3423" s="4" t="str">
        <x:v>RS-03422-E1</x:v>
      </x:c>
      <x:c r="B3423" s="4" t="str">
        <x:v>RS-03422</x:v>
      </x:c>
      <x:c r="C3423" s="8" t="n">
        <x:v>45479</x:v>
      </x:c>
      <x:c r="D3423" s="4" t="str">
        <x:v>Sales operations manager</x:v>
      </x:c>
      <x:c r="E3423" s="4" t="str">
        <x:v>WhatsApp transcribed</x:v>
      </x:c>
      <x:c r="F3423" s="4" t="str">
        <x:v>Record captured</x:v>
      </x:c>
      <x:c r="G3423" s="4" t="str">
        <x:v>Agreement signed</x:v>
      </x:c>
    </x:row>
    <x:row r="3424" ht="34" customHeight="1">
      <x:c r="A3424" s="4" t="str">
        <x:v>RS-03423-E1</x:v>
      </x:c>
      <x:c r="B3424" s="4" t="str">
        <x:v>RS-03423</x:v>
      </x:c>
      <x:c r="C3424" s="8" t="n">
        <x:v>45480</x:v>
      </x:c>
      <x:c r="D3424" s="4" t="str">
        <x:v>Sales operations manager</x:v>
      </x:c>
      <x:c r="E3424" s="4" t="str">
        <x:v>Spreadsheet import</x:v>
      </x:c>
      <x:c r="F3424" s="4" t="str">
        <x:v>Record captured</x:v>
      </x:c>
      <x:c r="G3424" s="4" t="str">
        <x:v>Agreement signed</x:v>
      </x:c>
    </x:row>
    <x:row r="3425" ht="34" customHeight="1">
      <x:c r="A3425" s="4" t="str">
        <x:v>RS-03424-E1</x:v>
      </x:c>
      <x:c r="B3425" s="4" t="str">
        <x:v>RS-03424</x:v>
      </x:c>
      <x:c r="C3425" s="8" t="n">
        <x:v>45481</x:v>
      </x:c>
      <x:c r="D3425" s="4" t="str">
        <x:v>Sales operations manager</x:v>
      </x:c>
      <x:c r="E3425" s="4" t="str">
        <x:v>Paper transcribed</x:v>
      </x:c>
      <x:c r="F3425" s="4" t="str">
        <x:v>Record captured</x:v>
      </x:c>
      <x:c r="G3425" s="4" t="str">
        <x:v>Handed over</x:v>
      </x:c>
    </x:row>
    <x:row r="3426" ht="34" customHeight="1">
      <x:c r="A3426" s="4" t="str">
        <x:v>RS-03425-E1</x:v>
      </x:c>
      <x:c r="B3426" s="4" t="str">
        <x:v>RS-03425</x:v>
      </x:c>
      <x:c r="C3426" s="8" t="n">
        <x:v>45482</x:v>
      </x:c>
      <x:c r="D3426" s="4" t="str">
        <x:v>Sales operations manager</x:v>
      </x:c>
      <x:c r="E3426" s="4" t="str">
        <x:v>Paper transcribed</x:v>
      </x:c>
      <x:c r="F3426" s="4" t="str">
        <x:v>Record captured</x:v>
      </x:c>
      <x:c r="G3426" s="4" t="str">
        <x:v>Cancelled</x:v>
      </x:c>
    </x:row>
    <x:row r="3427" ht="34" customHeight="1">
      <x:c r="A3427" s="4" t="str">
        <x:v>RS-03426-E1</x:v>
      </x:c>
      <x:c r="B3427" s="4" t="str">
        <x:v>RS-03426</x:v>
      </x:c>
      <x:c r="C3427" s="8" t="n">
        <x:v>45483</x:v>
      </x:c>
      <x:c r="D3427" s="4" t="str">
        <x:v>Sales operations manager</x:v>
      </x:c>
      <x:c r="E3427" s="4" t="str">
        <x:v>Paper transcribed</x:v>
      </x:c>
      <x:c r="F3427" s="4" t="str">
        <x:v>Record captured</x:v>
      </x:c>
      <x:c r="G3427" s="4" t="str">
        <x:v>Reserved</x:v>
      </x:c>
    </x:row>
    <x:row r="3428" ht="34" customHeight="1">
      <x:c r="A3428" s="4" t="str">
        <x:v>RS-03427-E1</x:v>
      </x:c>
      <x:c r="B3428" s="4" t="str">
        <x:v>RS-03427</x:v>
      </x:c>
      <x:c r="C3428" s="8" t="n">
        <x:v>45484</x:v>
      </x:c>
      <x:c r="D3428" s="4" t="str">
        <x:v>Sales operations manager</x:v>
      </x:c>
      <x:c r="E3428" s="4" t="str">
        <x:v>Paper transcribed</x:v>
      </x:c>
      <x:c r="F3428" s="4" t="str">
        <x:v>Record captured</x:v>
      </x:c>
      <x:c r="G3428" s="4" t="str">
        <x:v>Reserved</x:v>
      </x:c>
    </x:row>
    <x:row r="3429" ht="34" customHeight="1">
      <x:c r="A3429" s="4" t="str">
        <x:v>RS-03428-E1</x:v>
      </x:c>
      <x:c r="B3429" s="4" t="str">
        <x:v>RS-03428</x:v>
      </x:c>
      <x:c r="C3429" s="8" t="n">
        <x:v>45485</x:v>
      </x:c>
      <x:c r="D3429" s="4" t="str">
        <x:v>Sales operations manager</x:v>
      </x:c>
      <x:c r="E3429" s="4" t="str">
        <x:v>Paper transcribed</x:v>
      </x:c>
      <x:c r="F3429" s="4" t="str">
        <x:v>Record captured</x:v>
      </x:c>
      <x:c r="G3429" s="4" t="str">
        <x:v>Reserved</x:v>
      </x:c>
    </x:row>
    <x:row r="3430" ht="34" customHeight="1">
      <x:c r="A3430" s="4" t="str">
        <x:v>RS-03429-E1</x:v>
      </x:c>
      <x:c r="B3430" s="4" t="str">
        <x:v>RS-03429</x:v>
      </x:c>
      <x:c r="C3430" s="8" t="n">
        <x:v>45486</x:v>
      </x:c>
      <x:c r="D3430" s="4" t="str">
        <x:v>Sales operations manager</x:v>
      </x:c>
      <x:c r="E3430" s="4" t="str">
        <x:v>Paper transcribed</x:v>
      </x:c>
      <x:c r="F3430" s="4" t="str">
        <x:v>Record captured</x:v>
      </x:c>
      <x:c r="G3430" s="4" t="str">
        <x:v>Booked</x:v>
      </x:c>
    </x:row>
    <x:row r="3431" ht="34" customHeight="1">
      <x:c r="A3431" s="4" t="str">
        <x:v>RS-03430-E1</x:v>
      </x:c>
      <x:c r="B3431" s="4" t="str">
        <x:v>RS-03430</x:v>
      </x:c>
      <x:c r="C3431" s="8" t="n">
        <x:v>45487</x:v>
      </x:c>
      <x:c r="D3431" s="4" t="str">
        <x:v>Sales operations manager</x:v>
      </x:c>
      <x:c r="E3431" s="4" t="str">
        <x:v>Paper transcribed</x:v>
      </x:c>
      <x:c r="F3431" s="4" t="str">
        <x:v>Record captured</x:v>
      </x:c>
      <x:c r="G3431" s="4" t="str">
        <x:v>Enquiry</x:v>
      </x:c>
    </x:row>
    <x:row r="3432" ht="34" customHeight="1">
      <x:c r="A3432" s="4" t="str">
        <x:v>RS-03431-E1</x:v>
      </x:c>
      <x:c r="B3432" s="4" t="str">
        <x:v>RS-03431</x:v>
      </x:c>
      <x:c r="C3432" s="8" t="n">
        <x:v>45488</x:v>
      </x:c>
      <x:c r="D3432" s="4" t="str">
        <x:v>Sales operations manager</x:v>
      </x:c>
      <x:c r="E3432" s="4" t="str">
        <x:v>Spreadsheet import</x:v>
      </x:c>
      <x:c r="F3432" s="4" t="str">
        <x:v>Record captured</x:v>
      </x:c>
      <x:c r="G3432" s="4" t="str">
        <x:v>Agreement signed</x:v>
      </x:c>
    </x:row>
    <x:row r="3433" ht="34" customHeight="1">
      <x:c r="A3433" s="4" t="str">
        <x:v>RS-03432-E1</x:v>
      </x:c>
      <x:c r="B3433" s="4" t="str">
        <x:v>RS-03432</x:v>
      </x:c>
      <x:c r="C3433" s="8" t="n">
        <x:v>45489</x:v>
      </x:c>
      <x:c r="D3433" s="4" t="str">
        <x:v>Sales operations manager</x:v>
      </x:c>
      <x:c r="E3433" s="4" t="str">
        <x:v>WhatsApp transcribed</x:v>
      </x:c>
      <x:c r="F3433" s="4" t="str">
        <x:v>Record captured</x:v>
      </x:c>
      <x:c r="G3433" s="4" t="str">
        <x:v>Cancelled</x:v>
      </x:c>
    </x:row>
    <x:row r="3434" ht="34" customHeight="1">
      <x:c r="A3434" s="4" t="str">
        <x:v>RS-03433-E1</x:v>
      </x:c>
      <x:c r="B3434" s="4" t="str">
        <x:v>RS-03433</x:v>
      </x:c>
      <x:c r="C3434" s="8" t="n">
        <x:v>45490</x:v>
      </x:c>
      <x:c r="D3434" s="4" t="str">
        <x:v>Sales operations manager</x:v>
      </x:c>
      <x:c r="E3434" s="4" t="str">
        <x:v>ERP form</x:v>
      </x:c>
      <x:c r="F3434" s="4" t="str">
        <x:v>Record captured</x:v>
      </x:c>
      <x:c r="G3434" s="4" t="str">
        <x:v>Enquiry</x:v>
      </x:c>
    </x:row>
    <x:row r="3435" ht="34" customHeight="1">
      <x:c r="A3435" s="4" t="str">
        <x:v>RS-03434-E1</x:v>
      </x:c>
      <x:c r="B3435" s="4" t="str">
        <x:v>RS-03434</x:v>
      </x:c>
      <x:c r="C3435" s="8" t="n">
        <x:v>45491</x:v>
      </x:c>
      <x:c r="D3435" s="4" t="str">
        <x:v>Sales operations manager</x:v>
      </x:c>
      <x:c r="E3435" s="4" t="str">
        <x:v>ERP form</x:v>
      </x:c>
      <x:c r="F3435" s="4" t="str">
        <x:v>Record captured</x:v>
      </x:c>
      <x:c r="G3435" s="4" t="str">
        <x:v>Enquiry</x:v>
      </x:c>
    </x:row>
    <x:row r="3436" ht="34" customHeight="1">
      <x:c r="A3436" s="4" t="str">
        <x:v>RS-03435-E1</x:v>
      </x:c>
      <x:c r="B3436" s="4" t="str">
        <x:v>RS-03435</x:v>
      </x:c>
      <x:c r="C3436" s="8" t="n">
        <x:v>45492</x:v>
      </x:c>
      <x:c r="D3436" s="4" t="str">
        <x:v>Sales operations manager</x:v>
      </x:c>
      <x:c r="E3436" s="4" t="str">
        <x:v>Paper transcribed</x:v>
      </x:c>
      <x:c r="F3436" s="4" t="str">
        <x:v>Record captured</x:v>
      </x:c>
      <x:c r="G3436" s="4" t="str">
        <x:v>Agreement signed</x:v>
      </x:c>
    </x:row>
    <x:row r="3437" ht="34" customHeight="1">
      <x:c r="A3437" s="4" t="str">
        <x:v>RS-03436-E1</x:v>
      </x:c>
      <x:c r="B3437" s="4" t="str">
        <x:v>RS-03436</x:v>
      </x:c>
      <x:c r="C3437" s="8" t="n">
        <x:v>45493</x:v>
      </x:c>
      <x:c r="D3437" s="4" t="str">
        <x:v>Sales operations manager</x:v>
      </x:c>
      <x:c r="E3437" s="4" t="str">
        <x:v>Paper transcribed</x:v>
      </x:c>
      <x:c r="F3437" s="4" t="str">
        <x:v>Record captured</x:v>
      </x:c>
      <x:c r="G3437" s="4" t="str">
        <x:v>Reserved</x:v>
      </x:c>
    </x:row>
    <x:row r="3438" ht="34" customHeight="1">
      <x:c r="A3438" s="4" t="str">
        <x:v>RS-03437-E1</x:v>
      </x:c>
      <x:c r="B3438" s="4" t="str">
        <x:v>RS-03437</x:v>
      </x:c>
      <x:c r="C3438" s="8" t="n">
        <x:v>45494</x:v>
      </x:c>
      <x:c r="D3438" s="4" t="str">
        <x:v>Sales operations manager</x:v>
      </x:c>
      <x:c r="E3438" s="4" t="str">
        <x:v>Spreadsheet import</x:v>
      </x:c>
      <x:c r="F3438" s="4" t="str">
        <x:v>Record captured</x:v>
      </x:c>
      <x:c r="G3438" s="4" t="str">
        <x:v>Booked</x:v>
      </x:c>
    </x:row>
    <x:row r="3439" ht="34" customHeight="1">
      <x:c r="A3439" s="4" t="str">
        <x:v>RS-03438-E1</x:v>
      </x:c>
      <x:c r="B3439" s="4" t="str">
        <x:v>RS-03438</x:v>
      </x:c>
      <x:c r="C3439" s="8" t="n">
        <x:v>45495</x:v>
      </x:c>
      <x:c r="D3439" s="4" t="str">
        <x:v>Sales operations manager</x:v>
      </x:c>
      <x:c r="E3439" s="4" t="str">
        <x:v>Spreadsheet import</x:v>
      </x:c>
      <x:c r="F3439" s="4" t="str">
        <x:v>Record captured</x:v>
      </x:c>
      <x:c r="G3439" s="4" t="str">
        <x:v>Handed over</x:v>
      </x:c>
    </x:row>
    <x:row r="3440" ht="34" customHeight="1">
      <x:c r="A3440" s="4" t="str">
        <x:v>RS-03439-E1</x:v>
      </x:c>
      <x:c r="B3440" s="4" t="str">
        <x:v>RS-03439</x:v>
      </x:c>
      <x:c r="C3440" s="8" t="n">
        <x:v>45496</x:v>
      </x:c>
      <x:c r="D3440" s="4" t="str">
        <x:v>Sales operations manager</x:v>
      </x:c>
      <x:c r="E3440" s="4" t="str">
        <x:v>WhatsApp transcribed</x:v>
      </x:c>
      <x:c r="F3440" s="4" t="str">
        <x:v>Record captured</x:v>
      </x:c>
      <x:c r="G3440" s="4" t="str">
        <x:v>Reserved</x:v>
      </x:c>
    </x:row>
    <x:row r="3441" ht="34" customHeight="1">
      <x:c r="A3441" s="4" t="str">
        <x:v>RS-03440-E1</x:v>
      </x:c>
      <x:c r="B3441" s="4" t="str">
        <x:v>RS-03440</x:v>
      </x:c>
      <x:c r="C3441" s="8" t="n">
        <x:v>45497</x:v>
      </x:c>
      <x:c r="D3441" s="4" t="str">
        <x:v>Sales operations manager</x:v>
      </x:c>
      <x:c r="E3441" s="4" t="str">
        <x:v>Spreadsheet import</x:v>
      </x:c>
      <x:c r="F3441" s="4" t="str">
        <x:v>Record captured</x:v>
      </x:c>
      <x:c r="G3441" s="4" t="str">
        <x:v>Handed over</x:v>
      </x:c>
    </x:row>
    <x:row r="3442" ht="34" customHeight="1">
      <x:c r="A3442" s="4" t="str">
        <x:v>RS-03441-E1</x:v>
      </x:c>
      <x:c r="B3442" s="4" t="str">
        <x:v>RS-03441</x:v>
      </x:c>
      <x:c r="C3442" s="8" t="n">
        <x:v>45498</x:v>
      </x:c>
      <x:c r="D3442" s="4" t="str">
        <x:v>Sales operations manager</x:v>
      </x:c>
      <x:c r="E3442" s="4" t="str">
        <x:v>Spreadsheet import</x:v>
      </x:c>
      <x:c r="F3442" s="4" t="str">
        <x:v>Record captured</x:v>
      </x:c>
      <x:c r="G3442" s="4" t="str">
        <x:v>Handed over</x:v>
      </x:c>
    </x:row>
    <x:row r="3443" ht="34" customHeight="1">
      <x:c r="A3443" s="4" t="str">
        <x:v>RS-03442-E1</x:v>
      </x:c>
      <x:c r="B3443" s="4" t="str">
        <x:v>RS-03442</x:v>
      </x:c>
      <x:c r="C3443" s="8" t="n">
        <x:v>45499</x:v>
      </x:c>
      <x:c r="D3443" s="4" t="str">
        <x:v>Sales operations manager</x:v>
      </x:c>
      <x:c r="E3443" s="4" t="str">
        <x:v>Paper transcribed</x:v>
      </x:c>
      <x:c r="F3443" s="4" t="str">
        <x:v>Record captured</x:v>
      </x:c>
      <x:c r="G3443" s="4" t="str">
        <x:v>Booked</x:v>
      </x:c>
    </x:row>
    <x:row r="3444" ht="34" customHeight="1">
      <x:c r="A3444" s="4" t="str">
        <x:v>RS-03443-E1</x:v>
      </x:c>
      <x:c r="B3444" s="4" t="str">
        <x:v>RS-03443</x:v>
      </x:c>
      <x:c r="C3444" s="8" t="n">
        <x:v>45500</x:v>
      </x:c>
      <x:c r="D3444" s="4" t="str">
        <x:v>Sales operations manager</x:v>
      </x:c>
      <x:c r="E3444" s="4" t="str">
        <x:v>Spreadsheet import</x:v>
      </x:c>
      <x:c r="F3444" s="4" t="str">
        <x:v>Record captured</x:v>
      </x:c>
      <x:c r="G3444" s="4" t="str">
        <x:v>Handed over</x:v>
      </x:c>
    </x:row>
    <x:row r="3445" ht="34" customHeight="1">
      <x:c r="A3445" s="4" t="str">
        <x:v>RS-03444-E1</x:v>
      </x:c>
      <x:c r="B3445" s="4" t="str">
        <x:v>RS-03444</x:v>
      </x:c>
      <x:c r="C3445" s="8" t="n">
        <x:v>45501</x:v>
      </x:c>
      <x:c r="D3445" s="4" t="str">
        <x:v>Sales operations manager</x:v>
      </x:c>
      <x:c r="E3445" s="4" t="str">
        <x:v>ERP form</x:v>
      </x:c>
      <x:c r="F3445" s="4" t="str">
        <x:v>Record captured</x:v>
      </x:c>
      <x:c r="G3445" s="4" t="str">
        <x:v>Reserved</x:v>
      </x:c>
    </x:row>
    <x:row r="3446" ht="34" customHeight="1">
      <x:c r="A3446" s="4" t="str">
        <x:v>RS-03445-E1</x:v>
      </x:c>
      <x:c r="B3446" s="4" t="str">
        <x:v>RS-03445</x:v>
      </x:c>
      <x:c r="C3446" s="8" t="n">
        <x:v>45474</x:v>
      </x:c>
      <x:c r="D3446" s="4" t="str">
        <x:v>Sales operations manager</x:v>
      </x:c>
      <x:c r="E3446" s="4" t="str">
        <x:v>WhatsApp transcribed</x:v>
      </x:c>
      <x:c r="F3446" s="4" t="str">
        <x:v>Record captured</x:v>
      </x:c>
      <x:c r="G3446" s="4" t="str">
        <x:v>Agreement signed</x:v>
      </x:c>
    </x:row>
    <x:row r="3447" ht="34" customHeight="1">
      <x:c r="A3447" s="4" t="str">
        <x:v>RS-03446-E1</x:v>
      </x:c>
      <x:c r="B3447" s="4" t="str">
        <x:v>RS-03446</x:v>
      </x:c>
      <x:c r="C3447" s="8" t="n">
        <x:v>45475</x:v>
      </x:c>
      <x:c r="D3447" s="4" t="str">
        <x:v>Sales operations manager</x:v>
      </x:c>
      <x:c r="E3447" s="4" t="str">
        <x:v>WhatsApp transcribed</x:v>
      </x:c>
      <x:c r="F3447" s="4" t="str">
        <x:v>Record captured</x:v>
      </x:c>
      <x:c r="G3447" s="4" t="str">
        <x:v>Reserved</x:v>
      </x:c>
    </x:row>
    <x:row r="3448" ht="34" customHeight="1">
      <x:c r="A3448" s="4" t="str">
        <x:v>RS-03447-E1</x:v>
      </x:c>
      <x:c r="B3448" s="4" t="str">
        <x:v>RS-03447</x:v>
      </x:c>
      <x:c r="C3448" s="8" t="n">
        <x:v>45476</x:v>
      </x:c>
      <x:c r="D3448" s="4" t="str">
        <x:v>Sales operations manager</x:v>
      </x:c>
      <x:c r="E3448" s="4" t="str">
        <x:v>WhatsApp transcribed</x:v>
      </x:c>
      <x:c r="F3448" s="4" t="str">
        <x:v>Record captured</x:v>
      </x:c>
      <x:c r="G3448" s="4" t="str">
        <x:v>Agreement signed</x:v>
      </x:c>
    </x:row>
    <x:row r="3449" ht="34" customHeight="1">
      <x:c r="A3449" s="4" t="str">
        <x:v>RS-03448-E1</x:v>
      </x:c>
      <x:c r="B3449" s="4" t="str">
        <x:v>RS-03448</x:v>
      </x:c>
      <x:c r="C3449" s="8" t="n">
        <x:v>45477</x:v>
      </x:c>
      <x:c r="D3449" s="4" t="str">
        <x:v>Sales operations manager</x:v>
      </x:c>
      <x:c r="E3449" s="4" t="str">
        <x:v>WhatsApp transcribed</x:v>
      </x:c>
      <x:c r="F3449" s="4" t="str">
        <x:v>Record captured</x:v>
      </x:c>
      <x:c r="G3449" s="4" t="str">
        <x:v>Booked</x:v>
      </x:c>
    </x:row>
    <x:row r="3450" ht="34" customHeight="1">
      <x:c r="A3450" s="4" t="str">
        <x:v>RS-03449-E1</x:v>
      </x:c>
      <x:c r="B3450" s="4" t="str">
        <x:v>RS-03449</x:v>
      </x:c>
      <x:c r="C3450" s="8" t="n">
        <x:v>45478</x:v>
      </x:c>
      <x:c r="D3450" s="4" t="str">
        <x:v>Sales operations manager</x:v>
      </x:c>
      <x:c r="E3450" s="4" t="str">
        <x:v>ERP form</x:v>
      </x:c>
      <x:c r="F3450" s="4" t="str">
        <x:v>Record captured</x:v>
      </x:c>
      <x:c r="G3450" s="4" t="str">
        <x:v>Handed over</x:v>
      </x:c>
    </x:row>
    <x:row r="3451" ht="34" customHeight="1">
      <x:c r="A3451" s="4" t="str">
        <x:v>RS-03450-E1</x:v>
      </x:c>
      <x:c r="B3451" s="4" t="str">
        <x:v>RS-03450</x:v>
      </x:c>
      <x:c r="C3451" s="8" t="n">
        <x:v>45479</x:v>
      </x:c>
      <x:c r="D3451" s="4" t="str">
        <x:v>Sales operations manager</x:v>
      </x:c>
      <x:c r="E3451" s="4" t="str">
        <x:v>ERP form</x:v>
      </x:c>
      <x:c r="F3451" s="4" t="str">
        <x:v>Record captured</x:v>
      </x:c>
      <x:c r="G3451" s="4" t="str">
        <x:v>Cancelled</x:v>
      </x:c>
    </x:row>
    <x:row r="3452" ht="34" customHeight="1">
      <x:c r="A3452" s="4" t="str">
        <x:v>RS-03451-E1</x:v>
      </x:c>
      <x:c r="B3452" s="4" t="str">
        <x:v>RS-03451</x:v>
      </x:c>
      <x:c r="C3452" s="8" t="n">
        <x:v>45480</x:v>
      </x:c>
      <x:c r="D3452" s="4" t="str">
        <x:v>Sales operations manager</x:v>
      </x:c>
      <x:c r="E3452" s="4" t="str">
        <x:v>Paper transcribed</x:v>
      </x:c>
      <x:c r="F3452" s="4" t="str">
        <x:v>Record captured</x:v>
      </x:c>
      <x:c r="G3452" s="4" t="str">
        <x:v>Agreement signed</x:v>
      </x:c>
    </x:row>
    <x:row r="3453" ht="34" customHeight="1">
      <x:c r="A3453" s="4" t="str">
        <x:v>RS-03452-E1</x:v>
      </x:c>
      <x:c r="B3453" s="4" t="str">
        <x:v>RS-03452</x:v>
      </x:c>
      <x:c r="C3453" s="8" t="n">
        <x:v>45481</x:v>
      </x:c>
      <x:c r="D3453" s="4" t="str">
        <x:v>Sales operations manager</x:v>
      </x:c>
      <x:c r="E3453" s="4" t="str">
        <x:v>Paper transcribed</x:v>
      </x:c>
      <x:c r="F3453" s="4" t="str">
        <x:v>Record captured</x:v>
      </x:c>
      <x:c r="G3453" s="4" t="str">
        <x:v>Booked</x:v>
      </x:c>
    </x:row>
    <x:row r="3454" ht="34" customHeight="1">
      <x:c r="A3454" s="4" t="str">
        <x:v>RS-03453-E1</x:v>
      </x:c>
      <x:c r="B3454" s="4" t="str">
        <x:v>RS-03453</x:v>
      </x:c>
      <x:c r="C3454" s="8" t="n">
        <x:v>45482</x:v>
      </x:c>
      <x:c r="D3454" s="4" t="str">
        <x:v>Sales operations manager</x:v>
      </x:c>
      <x:c r="E3454" s="4" t="str">
        <x:v>Paper transcribed</x:v>
      </x:c>
      <x:c r="F3454" s="4" t="str">
        <x:v>Record captured</x:v>
      </x:c>
      <x:c r="G3454" s="4" t="str">
        <x:v>Cancelled</x:v>
      </x:c>
    </x:row>
    <x:row r="3455" ht="34" customHeight="1">
      <x:c r="A3455" s="4" t="str">
        <x:v>RS-03454-E1</x:v>
      </x:c>
      <x:c r="B3455" s="4" t="str">
        <x:v>RS-03454</x:v>
      </x:c>
      <x:c r="C3455" s="8" t="n">
        <x:v>45483</x:v>
      </x:c>
      <x:c r="D3455" s="4" t="str">
        <x:v>Sales operations manager</x:v>
      </x:c>
      <x:c r="E3455" s="4" t="str">
        <x:v>WhatsApp transcribed</x:v>
      </x:c>
      <x:c r="F3455" s="4" t="str">
        <x:v>Record captured</x:v>
      </x:c>
      <x:c r="G3455" s="4" t="str">
        <x:v>Agreement signed</x:v>
      </x:c>
    </x:row>
    <x:row r="3456" ht="34" customHeight="1">
      <x:c r="A3456" s="4" t="str">
        <x:v>RS-03455-E1</x:v>
      </x:c>
      <x:c r="B3456" s="4" t="str">
        <x:v>RS-03455</x:v>
      </x:c>
      <x:c r="C3456" s="8" t="n">
        <x:v>45484</x:v>
      </x:c>
      <x:c r="D3456" s="4" t="str">
        <x:v>Sales operations manager</x:v>
      </x:c>
      <x:c r="E3456" s="4" t="str">
        <x:v>ERP form</x:v>
      </x:c>
      <x:c r="F3456" s="4" t="str">
        <x:v>Record captured</x:v>
      </x:c>
      <x:c r="G3456" s="4" t="str">
        <x:v>Enquiry</x:v>
      </x:c>
    </x:row>
    <x:row r="3457" ht="34" customHeight="1">
      <x:c r="A3457" s="4" t="str">
        <x:v>RS-03456-E1</x:v>
      </x:c>
      <x:c r="B3457" s="4" t="str">
        <x:v>RS-03456</x:v>
      </x:c>
      <x:c r="C3457" s="8" t="n">
        <x:v>45485</x:v>
      </x:c>
      <x:c r="D3457" s="4" t="str">
        <x:v>Sales operations manager</x:v>
      </x:c>
      <x:c r="E3457" s="4" t="str">
        <x:v>WhatsApp transcribed</x:v>
      </x:c>
      <x:c r="F3457" s="4" t="str">
        <x:v>Record captured</x:v>
      </x:c>
      <x:c r="G3457" s="4" t="str">
        <x:v>Handed over</x:v>
      </x:c>
    </x:row>
    <x:row r="3458" ht="34" customHeight="1">
      <x:c r="A3458" s="4" t="str">
        <x:v>RS-03457-E1</x:v>
      </x:c>
      <x:c r="B3458" s="4" t="str">
        <x:v>RS-03457</x:v>
      </x:c>
      <x:c r="C3458" s="8" t="n">
        <x:v>45486</x:v>
      </x:c>
      <x:c r="D3458" s="4" t="str">
        <x:v>Sales operations manager</x:v>
      </x:c>
      <x:c r="E3458" s="4" t="str">
        <x:v>Spreadsheet import</x:v>
      </x:c>
      <x:c r="F3458" s="4" t="str">
        <x:v>Record captured</x:v>
      </x:c>
      <x:c r="G3458" s="4" t="str">
        <x:v>Agreement signed</x:v>
      </x:c>
    </x:row>
    <x:row r="3459" ht="34" customHeight="1">
      <x:c r="A3459" s="4" t="str">
        <x:v>RS-03458-E1</x:v>
      </x:c>
      <x:c r="B3459" s="4" t="str">
        <x:v>RS-03458</x:v>
      </x:c>
      <x:c r="C3459" s="8" t="n">
        <x:v>45487</x:v>
      </x:c>
      <x:c r="D3459" s="4" t="str">
        <x:v>Sales operations manager</x:v>
      </x:c>
      <x:c r="E3459" s="4" t="str">
        <x:v>ERP form</x:v>
      </x:c>
      <x:c r="F3459" s="4" t="str">
        <x:v>Record captured</x:v>
      </x:c>
      <x:c r="G3459" s="4" t="str">
        <x:v>Cancelled</x:v>
      </x:c>
    </x:row>
    <x:row r="3460" ht="34" customHeight="1">
      <x:c r="A3460" s="4" t="str">
        <x:v>RS-03459-E1</x:v>
      </x:c>
      <x:c r="B3460" s="4" t="str">
        <x:v>RS-03459</x:v>
      </x:c>
      <x:c r="C3460" s="8" t="n">
        <x:v>45488</x:v>
      </x:c>
      <x:c r="D3460" s="4" t="str">
        <x:v>Sales operations manager</x:v>
      </x:c>
      <x:c r="E3460" s="4" t="str">
        <x:v>Spreadsheet import</x:v>
      </x:c>
      <x:c r="F3460" s="4" t="str">
        <x:v>Record captured</x:v>
      </x:c>
      <x:c r="G3460" s="4" t="str">
        <x:v>Agreement signed</x:v>
      </x:c>
    </x:row>
    <x:row r="3461" ht="34" customHeight="1">
      <x:c r="A3461" s="4" t="str">
        <x:v>RS-03460-E1</x:v>
      </x:c>
      <x:c r="B3461" s="4" t="str">
        <x:v>RS-03460</x:v>
      </x:c>
      <x:c r="C3461" s="8" t="n">
        <x:v>45489</x:v>
      </x:c>
      <x:c r="D3461" s="4" t="str">
        <x:v>Sales operations manager</x:v>
      </x:c>
      <x:c r="E3461" s="4" t="str">
        <x:v>Spreadsheet import</x:v>
      </x:c>
      <x:c r="F3461" s="4" t="str">
        <x:v>Record captured</x:v>
      </x:c>
      <x:c r="G3461" s="4" t="str">
        <x:v>Enquiry</x:v>
      </x:c>
    </x:row>
    <x:row r="3462" ht="34" customHeight="1">
      <x:c r="A3462" s="4" t="str">
        <x:v>RS-03461-E1</x:v>
      </x:c>
      <x:c r="B3462" s="4" t="str">
        <x:v>RS-03461</x:v>
      </x:c>
      <x:c r="C3462" s="8" t="n">
        <x:v>45490</x:v>
      </x:c>
      <x:c r="D3462" s="4" t="str">
        <x:v>Sales operations manager</x:v>
      </x:c>
      <x:c r="E3462" s="4" t="str">
        <x:v>Paper transcribed</x:v>
      </x:c>
      <x:c r="F3462" s="4" t="str">
        <x:v>Record captured</x:v>
      </x:c>
      <x:c r="G3462" s="4" t="str">
        <x:v>Agreement signed</x:v>
      </x:c>
    </x:row>
    <x:row r="3463" ht="34" customHeight="1">
      <x:c r="A3463" s="4" t="str">
        <x:v>RS-03462-E1</x:v>
      </x:c>
      <x:c r="B3463" s="4" t="str">
        <x:v>RS-03462</x:v>
      </x:c>
      <x:c r="C3463" s="8" t="n">
        <x:v>45491</x:v>
      </x:c>
      <x:c r="D3463" s="4" t="str">
        <x:v>Sales operations manager</x:v>
      </x:c>
      <x:c r="E3463" s="4" t="str">
        <x:v>WhatsApp transcribed</x:v>
      </x:c>
      <x:c r="F3463" s="4" t="str">
        <x:v>Record captured</x:v>
      </x:c>
      <x:c r="G3463" s="4" t="str">
        <x:v>Handed over</x:v>
      </x:c>
    </x:row>
    <x:row r="3464" ht="34" customHeight="1">
      <x:c r="A3464" s="4" t="str">
        <x:v>RS-03463-E1</x:v>
      </x:c>
      <x:c r="B3464" s="4" t="str">
        <x:v>RS-03463</x:v>
      </x:c>
      <x:c r="C3464" s="8" t="n">
        <x:v>45492</x:v>
      </x:c>
      <x:c r="D3464" s="4" t="str">
        <x:v>Sales operations manager</x:v>
      </x:c>
      <x:c r="E3464" s="4" t="str">
        <x:v>Spreadsheet import</x:v>
      </x:c>
      <x:c r="F3464" s="4" t="str">
        <x:v>Record captured</x:v>
      </x:c>
      <x:c r="G3464" s="4" t="str">
        <x:v>Handed over</x:v>
      </x:c>
    </x:row>
    <x:row r="3465" ht="34" customHeight="1">
      <x:c r="A3465" s="4" t="str">
        <x:v>RS-03464-E1</x:v>
      </x:c>
      <x:c r="B3465" s="4" t="str">
        <x:v>RS-03464</x:v>
      </x:c>
      <x:c r="C3465" s="8" t="n">
        <x:v>45493</x:v>
      </x:c>
      <x:c r="D3465" s="4" t="str">
        <x:v>Sales operations manager</x:v>
      </x:c>
      <x:c r="E3465" s="4" t="str">
        <x:v>ERP form</x:v>
      </x:c>
      <x:c r="F3465" s="4" t="str">
        <x:v>Record captured</x:v>
      </x:c>
      <x:c r="G3465" s="4" t="str">
        <x:v>Handed over</x:v>
      </x:c>
    </x:row>
    <x:row r="3466" ht="34" customHeight="1">
      <x:c r="A3466" s="4" t="str">
        <x:v>RS-03465-E1</x:v>
      </x:c>
      <x:c r="B3466" s="4" t="str">
        <x:v>RS-03465</x:v>
      </x:c>
      <x:c r="C3466" s="8" t="n">
        <x:v>45494</x:v>
      </x:c>
      <x:c r="D3466" s="4" t="str">
        <x:v>Sales operations manager</x:v>
      </x:c>
      <x:c r="E3466" s="4" t="str">
        <x:v>ERP form</x:v>
      </x:c>
      <x:c r="F3466" s="4" t="str">
        <x:v>Record captured</x:v>
      </x:c>
      <x:c r="G3466" s="4" t="str">
        <x:v>Handed over</x:v>
      </x:c>
    </x:row>
    <x:row r="3467" ht="34" customHeight="1">
      <x:c r="A3467" s="4" t="str">
        <x:v>RS-03466-E1</x:v>
      </x:c>
      <x:c r="B3467" s="4" t="str">
        <x:v>RS-03466</x:v>
      </x:c>
      <x:c r="C3467" s="8" t="n">
        <x:v>45495</x:v>
      </x:c>
      <x:c r="D3467" s="4" t="str">
        <x:v>Sales operations manager</x:v>
      </x:c>
      <x:c r="E3467" s="4" t="str">
        <x:v>Spreadsheet import</x:v>
      </x:c>
      <x:c r="F3467" s="4" t="str">
        <x:v>Record captured</x:v>
      </x:c>
      <x:c r="G3467" s="4" t="str">
        <x:v>Cancelled</x:v>
      </x:c>
    </x:row>
    <x:row r="3468" ht="34" customHeight="1">
      <x:c r="A3468" s="4" t="str">
        <x:v>RS-03467-E1</x:v>
      </x:c>
      <x:c r="B3468" s="4" t="str">
        <x:v>RS-03467</x:v>
      </x:c>
      <x:c r="C3468" s="8" t="n">
        <x:v>45496</x:v>
      </x:c>
      <x:c r="D3468" s="4" t="str">
        <x:v>Sales operations manager</x:v>
      </x:c>
      <x:c r="E3468" s="4" t="str">
        <x:v>Spreadsheet import</x:v>
      </x:c>
      <x:c r="F3468" s="4" t="str">
        <x:v>Record captured</x:v>
      </x:c>
      <x:c r="G3468" s="4" t="str">
        <x:v>Cancelled</x:v>
      </x:c>
    </x:row>
    <x:row r="3469" ht="34" customHeight="1">
      <x:c r="A3469" s="4" t="str">
        <x:v>RS-03468-E1</x:v>
      </x:c>
      <x:c r="B3469" s="4" t="str">
        <x:v>RS-03468</x:v>
      </x:c>
      <x:c r="C3469" s="8" t="n">
        <x:v>45497</x:v>
      </x:c>
      <x:c r="D3469" s="4" t="str">
        <x:v>Sales operations manager</x:v>
      </x:c>
      <x:c r="E3469" s="4" t="str">
        <x:v>ERP form</x:v>
      </x:c>
      <x:c r="F3469" s="4" t="str">
        <x:v>Record captured</x:v>
      </x:c>
      <x:c r="G3469" s="4" t="str">
        <x:v>Booked</x:v>
      </x:c>
    </x:row>
    <x:row r="3470" ht="34" customHeight="1">
      <x:c r="A3470" s="4" t="str">
        <x:v>RS-03469-E1</x:v>
      </x:c>
      <x:c r="B3470" s="4" t="str">
        <x:v>RS-03469</x:v>
      </x:c>
      <x:c r="C3470" s="8" t="n">
        <x:v>45498</x:v>
      </x:c>
      <x:c r="D3470" s="4" t="str">
        <x:v>Sales operations manager</x:v>
      </x:c>
      <x:c r="E3470" s="4" t="str">
        <x:v>ERP form</x:v>
      </x:c>
      <x:c r="F3470" s="4" t="str">
        <x:v>Record captured</x:v>
      </x:c>
      <x:c r="G3470" s="4" t="str">
        <x:v>Cancelled</x:v>
      </x:c>
    </x:row>
    <x:row r="3471" ht="34" customHeight="1">
      <x:c r="A3471" s="4" t="str">
        <x:v>RS-03470-E1</x:v>
      </x:c>
      <x:c r="B3471" s="4" t="str">
        <x:v>RS-03470</x:v>
      </x:c>
      <x:c r="C3471" s="8" t="n">
        <x:v>45499</x:v>
      </x:c>
      <x:c r="D3471" s="4" t="str">
        <x:v>Sales operations manager</x:v>
      </x:c>
      <x:c r="E3471" s="4" t="str">
        <x:v>Spreadsheet import</x:v>
      </x:c>
      <x:c r="F3471" s="4" t="str">
        <x:v>Record captured</x:v>
      </x:c>
      <x:c r="G3471" s="4" t="str">
        <x:v>Booked</x:v>
      </x:c>
    </x:row>
    <x:row r="3472" ht="34" customHeight="1">
      <x:c r="A3472" s="4" t="str">
        <x:v>RS-03471-E1</x:v>
      </x:c>
      <x:c r="B3472" s="4" t="str">
        <x:v>RS-03471</x:v>
      </x:c>
      <x:c r="C3472" s="8" t="n">
        <x:v>45500</x:v>
      </x:c>
      <x:c r="D3472" s="4" t="str">
        <x:v>Sales operations manager</x:v>
      </x:c>
      <x:c r="E3472" s="4" t="str">
        <x:v>Paper transcribed</x:v>
      </x:c>
      <x:c r="F3472" s="4" t="str">
        <x:v>Record captured</x:v>
      </x:c>
      <x:c r="G3472" s="4" t="str">
        <x:v>Handed over</x:v>
      </x:c>
    </x:row>
    <x:row r="3473" ht="34" customHeight="1">
      <x:c r="A3473" s="4" t="str">
        <x:v>RS-03472-E1</x:v>
      </x:c>
      <x:c r="B3473" s="4" t="str">
        <x:v>RS-03472</x:v>
      </x:c>
      <x:c r="C3473" s="8" t="n">
        <x:v>45501</x:v>
      </x:c>
      <x:c r="D3473" s="4" t="str">
        <x:v>Sales operations manager</x:v>
      </x:c>
      <x:c r="E3473" s="4" t="str">
        <x:v>WhatsApp transcribed</x:v>
      </x:c>
      <x:c r="F3473" s="4" t="str">
        <x:v>Record captured</x:v>
      </x:c>
      <x:c r="G3473" s="4" t="str">
        <x:v>Reserved</x:v>
      </x:c>
    </x:row>
    <x:row r="3474" ht="34" customHeight="1">
      <x:c r="A3474" s="4" t="str">
        <x:v>RS-03473-E1</x:v>
      </x:c>
      <x:c r="B3474" s="4" t="str">
        <x:v>RS-03473</x:v>
      </x:c>
      <x:c r="C3474" s="8" t="n">
        <x:v>45474</x:v>
      </x:c>
      <x:c r="D3474" s="4" t="str">
        <x:v>Sales operations manager</x:v>
      </x:c>
      <x:c r="E3474" s="4" t="str">
        <x:v>Spreadsheet import</x:v>
      </x:c>
      <x:c r="F3474" s="4" t="str">
        <x:v>Record captured</x:v>
      </x:c>
      <x:c r="G3474" s="4" t="str">
        <x:v>Enquiry</x:v>
      </x:c>
    </x:row>
    <x:row r="3475" ht="34" customHeight="1">
      <x:c r="A3475" s="4" t="str">
        <x:v>RS-03474-E1</x:v>
      </x:c>
      <x:c r="B3475" s="4" t="str">
        <x:v>RS-03474</x:v>
      </x:c>
      <x:c r="C3475" s="8" t="n">
        <x:v>45475</x:v>
      </x:c>
      <x:c r="D3475" s="4" t="str">
        <x:v>Sales operations manager</x:v>
      </x:c>
      <x:c r="E3475" s="4" t="str">
        <x:v>Paper transcribed</x:v>
      </x:c>
      <x:c r="F3475" s="4" t="str">
        <x:v>Record captured</x:v>
      </x:c>
      <x:c r="G3475" s="4" t="str">
        <x:v>Cancelled</x:v>
      </x:c>
    </x:row>
    <x:row r="3476" ht="34" customHeight="1">
      <x:c r="A3476" s="4" t="str">
        <x:v>RS-03475-E1</x:v>
      </x:c>
      <x:c r="B3476" s="4" t="str">
        <x:v>RS-03475</x:v>
      </x:c>
      <x:c r="C3476" s="8" t="n">
        <x:v>45476</x:v>
      </x:c>
      <x:c r="D3476" s="4" t="str">
        <x:v>Sales operations manager</x:v>
      </x:c>
      <x:c r="E3476" s="4" t="str">
        <x:v>WhatsApp transcribed</x:v>
      </x:c>
      <x:c r="F3476" s="4" t="str">
        <x:v>Record captured</x:v>
      </x:c>
      <x:c r="G3476" s="4" t="str">
        <x:v>Handed over</x:v>
      </x:c>
    </x:row>
    <x:row r="3477" ht="34" customHeight="1">
      <x:c r="A3477" s="4" t="str">
        <x:v>RS-03476-E1</x:v>
      </x:c>
      <x:c r="B3477" s="4" t="str">
        <x:v>RS-03476</x:v>
      </x:c>
      <x:c r="C3477" s="8" t="n">
        <x:v>45477</x:v>
      </x:c>
      <x:c r="D3477" s="4" t="str">
        <x:v>Sales operations manager</x:v>
      </x:c>
      <x:c r="E3477" s="4" t="str">
        <x:v>WhatsApp transcribed</x:v>
      </x:c>
      <x:c r="F3477" s="4" t="str">
        <x:v>Record captured</x:v>
      </x:c>
      <x:c r="G3477" s="4" t="str">
        <x:v>Reserved</x:v>
      </x:c>
    </x:row>
    <x:row r="3478" ht="34" customHeight="1">
      <x:c r="A3478" s="4" t="str">
        <x:v>RS-03477-E1</x:v>
      </x:c>
      <x:c r="B3478" s="4" t="str">
        <x:v>RS-03477</x:v>
      </x:c>
      <x:c r="C3478" s="8" t="n">
        <x:v>45478</x:v>
      </x:c>
      <x:c r="D3478" s="4" t="str">
        <x:v>Sales operations manager</x:v>
      </x:c>
      <x:c r="E3478" s="4" t="str">
        <x:v>Spreadsheet import</x:v>
      </x:c>
      <x:c r="F3478" s="4" t="str">
        <x:v>Record captured</x:v>
      </x:c>
      <x:c r="G3478" s="4" t="str">
        <x:v>Handed over</x:v>
      </x:c>
    </x:row>
    <x:row r="3479" ht="34" customHeight="1">
      <x:c r="A3479" s="4" t="str">
        <x:v>RS-03478-E1</x:v>
      </x:c>
      <x:c r="B3479" s="4" t="str">
        <x:v>RS-03478</x:v>
      </x:c>
      <x:c r="C3479" s="8" t="n">
        <x:v>45479</x:v>
      </x:c>
      <x:c r="D3479" s="4" t="str">
        <x:v>Sales operations manager</x:v>
      </x:c>
      <x:c r="E3479" s="4" t="str">
        <x:v>ERP form</x:v>
      </x:c>
      <x:c r="F3479" s="4" t="str">
        <x:v>Record captured</x:v>
      </x:c>
      <x:c r="G3479" s="4" t="str">
        <x:v>Booked</x:v>
      </x:c>
    </x:row>
    <x:row r="3480" ht="34" customHeight="1">
      <x:c r="A3480" s="4" t="str">
        <x:v>RS-03479-E1</x:v>
      </x:c>
      <x:c r="B3480" s="4" t="str">
        <x:v>RS-03479</x:v>
      </x:c>
      <x:c r="C3480" s="8" t="n">
        <x:v>45480</x:v>
      </x:c>
      <x:c r="D3480" s="4" t="str">
        <x:v>Sales operations manager</x:v>
      </x:c>
      <x:c r="E3480" s="4" t="str">
        <x:v>ERP form</x:v>
      </x:c>
      <x:c r="F3480" s="4" t="str">
        <x:v>Record captured</x:v>
      </x:c>
      <x:c r="G3480" s="4" t="str">
        <x:v>Agreement signed</x:v>
      </x:c>
    </x:row>
    <x:row r="3481" ht="34" customHeight="1">
      <x:c r="A3481" s="4" t="str">
        <x:v>RS-03480-E1</x:v>
      </x:c>
      <x:c r="B3481" s="4" t="str">
        <x:v>RS-03480</x:v>
      </x:c>
      <x:c r="C3481" s="8" t="n">
        <x:v>45481</x:v>
      </x:c>
      <x:c r="D3481" s="4" t="str">
        <x:v>Sales operations manager</x:v>
      </x:c>
      <x:c r="E3481" s="4" t="str">
        <x:v>Spreadsheet import</x:v>
      </x:c>
      <x:c r="F3481" s="4" t="str">
        <x:v>Record captured</x:v>
      </x:c>
      <x:c r="G3481" s="4" t="str">
        <x:v>Handed over</x:v>
      </x:c>
    </x:row>
    <x:row r="3482" ht="34" customHeight="1">
      <x:c r="A3482" s="4" t="str">
        <x:v>RS-03481-E1</x:v>
      </x:c>
      <x:c r="B3482" s="4" t="str">
        <x:v>RS-03481</x:v>
      </x:c>
      <x:c r="C3482" s="8" t="n">
        <x:v>45482</x:v>
      </x:c>
      <x:c r="D3482" s="4" t="str">
        <x:v>Sales operations manager</x:v>
      </x:c>
      <x:c r="E3482" s="4" t="str">
        <x:v>Paper transcribed</x:v>
      </x:c>
      <x:c r="F3482" s="4" t="str">
        <x:v>Record captured</x:v>
      </x:c>
      <x:c r="G3482" s="4" t="str">
        <x:v>Enquiry</x:v>
      </x:c>
    </x:row>
    <x:row r="3483" ht="34" customHeight="1">
      <x:c r="A3483" s="4" t="str">
        <x:v>RS-03482-E1</x:v>
      </x:c>
      <x:c r="B3483" s="4" t="str">
        <x:v>RS-03482</x:v>
      </x:c>
      <x:c r="C3483" s="8" t="n">
        <x:v>45483</x:v>
      </x:c>
      <x:c r="D3483" s="4" t="str">
        <x:v>Sales operations manager</x:v>
      </x:c>
      <x:c r="E3483" s="4" t="str">
        <x:v>ERP form</x:v>
      </x:c>
      <x:c r="F3483" s="4" t="str">
        <x:v>Record captured</x:v>
      </x:c>
      <x:c r="G3483" s="4" t="str">
        <x:v>Enquiry</x:v>
      </x:c>
    </x:row>
    <x:row r="3484" ht="34" customHeight="1">
      <x:c r="A3484" s="4" t="str">
        <x:v>RS-03483-E1</x:v>
      </x:c>
      <x:c r="B3484" s="4" t="str">
        <x:v>RS-03483</x:v>
      </x:c>
      <x:c r="C3484" s="8" t="n">
        <x:v>45484</x:v>
      </x:c>
      <x:c r="D3484" s="4" t="str">
        <x:v>Sales operations manager</x:v>
      </x:c>
      <x:c r="E3484" s="4" t="str">
        <x:v>Paper transcribed</x:v>
      </x:c>
      <x:c r="F3484" s="4" t="str">
        <x:v>Record captured</x:v>
      </x:c>
      <x:c r="G3484" s="4" t="str">
        <x:v>Agreement signed</x:v>
      </x:c>
    </x:row>
    <x:row r="3485" ht="34" customHeight="1">
      <x:c r="A3485" s="4" t="str">
        <x:v>RS-03484-E1</x:v>
      </x:c>
      <x:c r="B3485" s="4" t="str">
        <x:v>RS-03484</x:v>
      </x:c>
      <x:c r="C3485" s="8" t="n">
        <x:v>45485</x:v>
      </x:c>
      <x:c r="D3485" s="4" t="str">
        <x:v>Sales operations manager</x:v>
      </x:c>
      <x:c r="E3485" s="4" t="str">
        <x:v>ERP form</x:v>
      </x:c>
      <x:c r="F3485" s="4" t="str">
        <x:v>Record captured</x:v>
      </x:c>
      <x:c r="G3485" s="4" t="str">
        <x:v>Handed over</x:v>
      </x:c>
    </x:row>
    <x:row r="3486" ht="34" customHeight="1">
      <x:c r="A3486" s="4" t="str">
        <x:v>RS-03485-E1</x:v>
      </x:c>
      <x:c r="B3486" s="4" t="str">
        <x:v>RS-03485</x:v>
      </x:c>
      <x:c r="C3486" s="8" t="n">
        <x:v>45486</x:v>
      </x:c>
      <x:c r="D3486" s="4" t="str">
        <x:v>Sales operations manager</x:v>
      </x:c>
      <x:c r="E3486" s="4" t="str">
        <x:v>WhatsApp transcribed</x:v>
      </x:c>
      <x:c r="F3486" s="4" t="str">
        <x:v>Record captured</x:v>
      </x:c>
      <x:c r="G3486" s="4" t="str">
        <x:v>Reserved</x:v>
      </x:c>
    </x:row>
    <x:row r="3487" ht="34" customHeight="1">
      <x:c r="A3487" s="4" t="str">
        <x:v>RS-03486-E1</x:v>
      </x:c>
      <x:c r="B3487" s="4" t="str">
        <x:v>RS-03486</x:v>
      </x:c>
      <x:c r="C3487" s="8" t="n">
        <x:v>45487</x:v>
      </x:c>
      <x:c r="D3487" s="4" t="str">
        <x:v>Sales operations manager</x:v>
      </x:c>
      <x:c r="E3487" s="4" t="str">
        <x:v>Paper transcribed</x:v>
      </x:c>
      <x:c r="F3487" s="4" t="str">
        <x:v>Record captured</x:v>
      </x:c>
      <x:c r="G3487" s="4" t="str">
        <x:v>Cancelled</x:v>
      </x:c>
    </x:row>
    <x:row r="3488" ht="34" customHeight="1">
      <x:c r="A3488" s="4" t="str">
        <x:v>RS-03487-E1</x:v>
      </x:c>
      <x:c r="B3488" s="4" t="str">
        <x:v>RS-03487</x:v>
      </x:c>
      <x:c r="C3488" s="8" t="n">
        <x:v>45488</x:v>
      </x:c>
      <x:c r="D3488" s="4" t="str">
        <x:v>Sales operations manager</x:v>
      </x:c>
      <x:c r="E3488" s="4" t="str">
        <x:v>ERP form</x:v>
      </x:c>
      <x:c r="F3488" s="4" t="str">
        <x:v>Record captured</x:v>
      </x:c>
      <x:c r="G3488" s="4" t="str">
        <x:v>Reserved</x:v>
      </x:c>
    </x:row>
    <x:row r="3489" ht="34" customHeight="1">
      <x:c r="A3489" s="4" t="str">
        <x:v>RS-03488-E1</x:v>
      </x:c>
      <x:c r="B3489" s="4" t="str">
        <x:v>RS-03488</x:v>
      </x:c>
      <x:c r="C3489" s="8" t="n">
        <x:v>45489</x:v>
      </x:c>
      <x:c r="D3489" s="4" t="str">
        <x:v>Sales operations manager</x:v>
      </x:c>
      <x:c r="E3489" s="4" t="str">
        <x:v>Paper transcribed</x:v>
      </x:c>
      <x:c r="F3489" s="4" t="str">
        <x:v>Record captured</x:v>
      </x:c>
      <x:c r="G3489" s="4" t="str">
        <x:v>Agreement signed</x:v>
      </x:c>
    </x:row>
    <x:row r="3490" ht="34" customHeight="1">
      <x:c r="A3490" s="4" t="str">
        <x:v>RS-03489-E1</x:v>
      </x:c>
      <x:c r="B3490" s="4" t="str">
        <x:v>RS-03489</x:v>
      </x:c>
      <x:c r="C3490" s="8" t="n">
        <x:v>45490</x:v>
      </x:c>
      <x:c r="D3490" s="4" t="str">
        <x:v>Sales operations manager</x:v>
      </x:c>
      <x:c r="E3490" s="4" t="str">
        <x:v>Spreadsheet import</x:v>
      </x:c>
      <x:c r="F3490" s="4" t="str">
        <x:v>Record captured</x:v>
      </x:c>
      <x:c r="G3490" s="4" t="str">
        <x:v>Handed over</x:v>
      </x:c>
    </x:row>
    <x:row r="3491" ht="34" customHeight="1">
      <x:c r="A3491" s="4" t="str">
        <x:v>RS-03490-E1</x:v>
      </x:c>
      <x:c r="B3491" s="4" t="str">
        <x:v>RS-03490</x:v>
      </x:c>
      <x:c r="C3491" s="8" t="n">
        <x:v>45491</x:v>
      </x:c>
      <x:c r="D3491" s="4" t="str">
        <x:v>Sales operations manager</x:v>
      </x:c>
      <x:c r="E3491" s="4" t="str">
        <x:v>ERP form</x:v>
      </x:c>
      <x:c r="F3491" s="4" t="str">
        <x:v>Record captured</x:v>
      </x:c>
      <x:c r="G3491" s="4" t="str">
        <x:v>Enquiry</x:v>
      </x:c>
    </x:row>
    <x:row r="3492" ht="34" customHeight="1">
      <x:c r="A3492" s="4" t="str">
        <x:v>RS-03491-E1</x:v>
      </x:c>
      <x:c r="B3492" s="4" t="str">
        <x:v>RS-03491</x:v>
      </x:c>
      <x:c r="C3492" s="8" t="n">
        <x:v>45492</x:v>
      </x:c>
      <x:c r="D3492" s="4" t="str">
        <x:v>Sales operations manager</x:v>
      </x:c>
      <x:c r="E3492" s="4" t="str">
        <x:v>Paper transcribed</x:v>
      </x:c>
      <x:c r="F3492" s="4" t="str">
        <x:v>Record captured</x:v>
      </x:c>
      <x:c r="G3492" s="4" t="str">
        <x:v>Reserved</x:v>
      </x:c>
    </x:row>
    <x:row r="3493" ht="34" customHeight="1">
      <x:c r="A3493" s="4" t="str">
        <x:v>RS-03492-E1</x:v>
      </x:c>
      <x:c r="B3493" s="4" t="str">
        <x:v>RS-03492</x:v>
      </x:c>
      <x:c r="C3493" s="8" t="n">
        <x:v>45493</x:v>
      </x:c>
      <x:c r="D3493" s="4" t="str">
        <x:v>Sales operations manager</x:v>
      </x:c>
      <x:c r="E3493" s="4" t="str">
        <x:v>Paper transcribed</x:v>
      </x:c>
      <x:c r="F3493" s="4" t="str">
        <x:v>Record captured</x:v>
      </x:c>
      <x:c r="G3493" s="4" t="str">
        <x:v>Agreement signed</x:v>
      </x:c>
    </x:row>
    <x:row r="3494" ht="34" customHeight="1">
      <x:c r="A3494" s="4" t="str">
        <x:v>RS-03493-E1</x:v>
      </x:c>
      <x:c r="B3494" s="4" t="str">
        <x:v>RS-03493</x:v>
      </x:c>
      <x:c r="C3494" s="8" t="n">
        <x:v>45494</x:v>
      </x:c>
      <x:c r="D3494" s="4" t="str">
        <x:v>Sales operations manager</x:v>
      </x:c>
      <x:c r="E3494" s="4" t="str">
        <x:v>Spreadsheet import</x:v>
      </x:c>
      <x:c r="F3494" s="4" t="str">
        <x:v>Record captured</x:v>
      </x:c>
      <x:c r="G3494" s="4" t="str">
        <x:v>Handed over</x:v>
      </x:c>
    </x:row>
    <x:row r="3495" ht="34" customHeight="1">
      <x:c r="A3495" s="4" t="str">
        <x:v>RS-03494-E1</x:v>
      </x:c>
      <x:c r="B3495" s="4" t="str">
        <x:v>RS-03494</x:v>
      </x:c>
      <x:c r="C3495" s="8" t="n">
        <x:v>45495</x:v>
      </x:c>
      <x:c r="D3495" s="4" t="str">
        <x:v>Sales operations manager</x:v>
      </x:c>
      <x:c r="E3495" s="4" t="str">
        <x:v>WhatsApp transcribed</x:v>
      </x:c>
      <x:c r="F3495" s="4" t="str">
        <x:v>Record captured</x:v>
      </x:c>
      <x:c r="G3495" s="4" t="str">
        <x:v>Agreement signed</x:v>
      </x:c>
    </x:row>
    <x:row r="3496" ht="34" customHeight="1">
      <x:c r="A3496" s="4" t="str">
        <x:v>RS-03495-E1</x:v>
      </x:c>
      <x:c r="B3496" s="4" t="str">
        <x:v>RS-03495</x:v>
      </x:c>
      <x:c r="C3496" s="8" t="n">
        <x:v>45496</x:v>
      </x:c>
      <x:c r="D3496" s="4" t="str">
        <x:v>Sales operations manager</x:v>
      </x:c>
      <x:c r="E3496" s="4" t="str">
        <x:v>Spreadsheet import</x:v>
      </x:c>
      <x:c r="F3496" s="4" t="str">
        <x:v>Record captured</x:v>
      </x:c>
      <x:c r="G3496" s="4" t="str">
        <x:v>Booked</x:v>
      </x:c>
    </x:row>
    <x:row r="3497" ht="34" customHeight="1">
      <x:c r="A3497" s="4" t="str">
        <x:v>RS-03496-E1</x:v>
      </x:c>
      <x:c r="B3497" s="4" t="str">
        <x:v>RS-03496</x:v>
      </x:c>
      <x:c r="C3497" s="8" t="n">
        <x:v>45497</x:v>
      </x:c>
      <x:c r="D3497" s="4" t="str">
        <x:v>Sales operations manager</x:v>
      </x:c>
      <x:c r="E3497" s="4" t="str">
        <x:v>Spreadsheet import</x:v>
      </x:c>
      <x:c r="F3497" s="4" t="str">
        <x:v>Record captured</x:v>
      </x:c>
      <x:c r="G3497" s="4" t="str">
        <x:v>Handed over</x:v>
      </x:c>
    </x:row>
    <x:row r="3498" ht="34" customHeight="1">
      <x:c r="A3498" s="4" t="str">
        <x:v>RS-03497-E1</x:v>
      </x:c>
      <x:c r="B3498" s="4" t="str">
        <x:v>RS-03497</x:v>
      </x:c>
      <x:c r="C3498" s="8" t="n">
        <x:v>45498</x:v>
      </x:c>
      <x:c r="D3498" s="4" t="str">
        <x:v>Sales operations manager</x:v>
      </x:c>
      <x:c r="E3498" s="4" t="str">
        <x:v>WhatsApp transcribed</x:v>
      </x:c>
      <x:c r="F3498" s="4" t="str">
        <x:v>Record captured</x:v>
      </x:c>
      <x:c r="G3498" s="4" t="str">
        <x:v>Booked</x:v>
      </x:c>
    </x:row>
    <x:row r="3499" ht="34" customHeight="1">
      <x:c r="A3499" s="4" t="str">
        <x:v>RS-03498-E1</x:v>
      </x:c>
      <x:c r="B3499" s="4" t="str">
        <x:v>RS-03498</x:v>
      </x:c>
      <x:c r="C3499" s="8" t="n">
        <x:v>45499</x:v>
      </x:c>
      <x:c r="D3499" s="4" t="str">
        <x:v>Sales operations manager</x:v>
      </x:c>
      <x:c r="E3499" s="4" t="str">
        <x:v>Spreadsheet import</x:v>
      </x:c>
      <x:c r="F3499" s="4" t="str">
        <x:v>Record captured</x:v>
      </x:c>
      <x:c r="G3499" s="4" t="str">
        <x:v>Agreement signed</x:v>
      </x:c>
    </x:row>
    <x:row r="3500" ht="34" customHeight="1">
      <x:c r="A3500" s="4" t="str">
        <x:v>RS-03499-E1</x:v>
      </x:c>
      <x:c r="B3500" s="4" t="str">
        <x:v>RS-03499</x:v>
      </x:c>
      <x:c r="C3500" s="8" t="n">
        <x:v>45500</x:v>
      </x:c>
      <x:c r="D3500" s="4" t="str">
        <x:v>Sales operations manager</x:v>
      </x:c>
      <x:c r="E3500" s="4" t="str">
        <x:v>WhatsApp transcribed</x:v>
      </x:c>
      <x:c r="F3500" s="4" t="str">
        <x:v>Record captured</x:v>
      </x:c>
      <x:c r="G3500" s="4" t="str">
        <x:v>Cancelled</x:v>
      </x:c>
    </x:row>
    <x:row r="3501" ht="34" customHeight="1">
      <x:c r="A3501" s="4" t="str">
        <x:v>RS-03500-E1</x:v>
      </x:c>
      <x:c r="B3501" s="4" t="str">
        <x:v>RS-03500</x:v>
      </x:c>
      <x:c r="C3501" s="8" t="n">
        <x:v>45501</x:v>
      </x:c>
      <x:c r="D3501" s="4" t="str">
        <x:v>Sales operations manager</x:v>
      </x:c>
      <x:c r="E3501" s="4" t="str">
        <x:v>Paper transcribed</x:v>
      </x:c>
      <x:c r="F3501" s="4" t="str">
        <x:v>Record captured</x:v>
      </x:c>
      <x:c r="G3501" s="4" t="str">
        <x:v>Handed over</x:v>
      </x:c>
    </x:row>
    <x:row r="3502" ht="34" customHeight="1">
      <x:c r="A3502" s="4" t="str">
        <x:v>RS-03501-E1</x:v>
      </x:c>
      <x:c r="B3502" s="4" t="str">
        <x:v>RS-03501</x:v>
      </x:c>
      <x:c r="C3502" s="8" t="n">
        <x:v>45505</x:v>
      </x:c>
      <x:c r="D3502" s="4" t="str">
        <x:v>Sales operations manager</x:v>
      </x:c>
      <x:c r="E3502" s="4" t="str">
        <x:v>Paper transcribed</x:v>
      </x:c>
      <x:c r="F3502" s="4" t="str">
        <x:v>Record captured</x:v>
      </x:c>
      <x:c r="G3502" s="4" t="str">
        <x:v>Reserved</x:v>
      </x:c>
    </x:row>
    <x:row r="3503" ht="34" customHeight="1">
      <x:c r="A3503" s="4" t="str">
        <x:v>RS-03502-E1</x:v>
      </x:c>
      <x:c r="B3503" s="4" t="str">
        <x:v>RS-03502</x:v>
      </x:c>
      <x:c r="C3503" s="8" t="n">
        <x:v>45506</x:v>
      </x:c>
      <x:c r="D3503" s="4" t="str">
        <x:v>Sales operations manager</x:v>
      </x:c>
      <x:c r="E3503" s="4" t="str">
        <x:v>Paper transcribed</x:v>
      </x:c>
      <x:c r="F3503" s="4" t="str">
        <x:v>Record captured</x:v>
      </x:c>
      <x:c r="G3503" s="4" t="str">
        <x:v>Enquiry</x:v>
      </x:c>
    </x:row>
    <x:row r="3504" ht="34" customHeight="1">
      <x:c r="A3504" s="4" t="str">
        <x:v>RS-03503-E1</x:v>
      </x:c>
      <x:c r="B3504" s="4" t="str">
        <x:v>RS-03503</x:v>
      </x:c>
      <x:c r="C3504" s="8" t="n">
        <x:v>45507</x:v>
      </x:c>
      <x:c r="D3504" s="4" t="str">
        <x:v>Sales operations manager</x:v>
      </x:c>
      <x:c r="E3504" s="4" t="str">
        <x:v>WhatsApp transcribed</x:v>
      </x:c>
      <x:c r="F3504" s="4" t="str">
        <x:v>Record captured</x:v>
      </x:c>
      <x:c r="G3504" s="4" t="str">
        <x:v>Handed over</x:v>
      </x:c>
    </x:row>
    <x:row r="3505" ht="34" customHeight="1">
      <x:c r="A3505" s="4" t="str">
        <x:v>RS-03504-E1</x:v>
      </x:c>
      <x:c r="B3505" s="4" t="str">
        <x:v>RS-03504</x:v>
      </x:c>
      <x:c r="C3505" s="8" t="n">
        <x:v>45508</x:v>
      </x:c>
      <x:c r="D3505" s="4" t="str">
        <x:v>Sales operations manager</x:v>
      </x:c>
      <x:c r="E3505" s="4" t="str">
        <x:v>WhatsApp transcribed</x:v>
      </x:c>
      <x:c r="F3505" s="4" t="str">
        <x:v>Record captured</x:v>
      </x:c>
      <x:c r="G3505" s="4" t="str">
        <x:v>Booked</x:v>
      </x:c>
    </x:row>
    <x:row r="3506" ht="34" customHeight="1">
      <x:c r="A3506" s="4" t="str">
        <x:v>RS-03505-E1</x:v>
      </x:c>
      <x:c r="B3506" s="4" t="str">
        <x:v>RS-03505</x:v>
      </x:c>
      <x:c r="C3506" s="8" t="n">
        <x:v>45509</x:v>
      </x:c>
      <x:c r="D3506" s="4" t="str">
        <x:v>Sales operations manager</x:v>
      </x:c>
      <x:c r="E3506" s="4" t="str">
        <x:v>ERP form</x:v>
      </x:c>
      <x:c r="F3506" s="4" t="str">
        <x:v>Record captured</x:v>
      </x:c>
      <x:c r="G3506" s="4" t="str">
        <x:v>Booked</x:v>
      </x:c>
    </x:row>
    <x:row r="3507" ht="34" customHeight="1">
      <x:c r="A3507" s="4" t="str">
        <x:v>RS-03506-E1</x:v>
      </x:c>
      <x:c r="B3507" s="4" t="str">
        <x:v>RS-03506</x:v>
      </x:c>
      <x:c r="C3507" s="8" t="n">
        <x:v>45510</x:v>
      </x:c>
      <x:c r="D3507" s="4" t="str">
        <x:v>Sales operations manager</x:v>
      </x:c>
      <x:c r="E3507" s="4" t="str">
        <x:v>ERP form</x:v>
      </x:c>
      <x:c r="F3507" s="4" t="str">
        <x:v>Record captured</x:v>
      </x:c>
      <x:c r="G3507" s="4" t="str">
        <x:v>Enquiry</x:v>
      </x:c>
    </x:row>
    <x:row r="3508" ht="34" customHeight="1">
      <x:c r="A3508" s="4" t="str">
        <x:v>RS-03507-E1</x:v>
      </x:c>
      <x:c r="B3508" s="4" t="str">
        <x:v>RS-03507</x:v>
      </x:c>
      <x:c r="C3508" s="8" t="n">
        <x:v>45511</x:v>
      </x:c>
      <x:c r="D3508" s="4" t="str">
        <x:v>Sales operations manager</x:v>
      </x:c>
      <x:c r="E3508" s="4" t="str">
        <x:v>Paper transcribed</x:v>
      </x:c>
      <x:c r="F3508" s="4" t="str">
        <x:v>Record captured</x:v>
      </x:c>
      <x:c r="G3508" s="4" t="str">
        <x:v>Booked</x:v>
      </x:c>
    </x:row>
    <x:row r="3509" ht="34" customHeight="1">
      <x:c r="A3509" s="4" t="str">
        <x:v>RS-03508-E1</x:v>
      </x:c>
      <x:c r="B3509" s="4" t="str">
        <x:v>RS-03508</x:v>
      </x:c>
      <x:c r="C3509" s="8" t="n">
        <x:v>45512</x:v>
      </x:c>
      <x:c r="D3509" s="4" t="str">
        <x:v>Sales operations manager</x:v>
      </x:c>
      <x:c r="E3509" s="4" t="str">
        <x:v>Spreadsheet import</x:v>
      </x:c>
      <x:c r="F3509" s="4" t="str">
        <x:v>Record captured</x:v>
      </x:c>
      <x:c r="G3509" s="4" t="str">
        <x:v>Agreement signed</x:v>
      </x:c>
    </x:row>
    <x:row r="3510" ht="34" customHeight="1">
      <x:c r="A3510" s="4" t="str">
        <x:v>RS-03509-E1</x:v>
      </x:c>
      <x:c r="B3510" s="4" t="str">
        <x:v>RS-03509</x:v>
      </x:c>
      <x:c r="C3510" s="8" t="n">
        <x:v>45513</x:v>
      </x:c>
      <x:c r="D3510" s="4" t="str">
        <x:v>Sales operations manager</x:v>
      </x:c>
      <x:c r="E3510" s="4" t="str">
        <x:v>Paper transcribed</x:v>
      </x:c>
      <x:c r="F3510" s="4" t="str">
        <x:v>Record captured</x:v>
      </x:c>
      <x:c r="G3510" s="4" t="str">
        <x:v>Agreement signed</x:v>
      </x:c>
    </x:row>
    <x:row r="3511" ht="34" customHeight="1">
      <x:c r="A3511" s="4" t="str">
        <x:v>RS-03510-E1</x:v>
      </x:c>
      <x:c r="B3511" s="4" t="str">
        <x:v>RS-03510</x:v>
      </x:c>
      <x:c r="C3511" s="8" t="n">
        <x:v>45514</x:v>
      </x:c>
      <x:c r="D3511" s="4" t="str">
        <x:v>Sales operations manager</x:v>
      </x:c>
      <x:c r="E3511" s="4" t="str">
        <x:v>Paper transcribed</x:v>
      </x:c>
      <x:c r="F3511" s="4" t="str">
        <x:v>Record captured</x:v>
      </x:c>
      <x:c r="G3511" s="4" t="str">
        <x:v>Enquiry</x:v>
      </x:c>
    </x:row>
    <x:row r="3512" ht="34" customHeight="1">
      <x:c r="A3512" s="4" t="str">
        <x:v>RS-03511-E1</x:v>
      </x:c>
      <x:c r="B3512" s="4" t="str">
        <x:v>RS-03511</x:v>
      </x:c>
      <x:c r="C3512" s="8" t="n">
        <x:v>45515</x:v>
      </x:c>
      <x:c r="D3512" s="4" t="str">
        <x:v>Sales operations manager</x:v>
      </x:c>
      <x:c r="E3512" s="4" t="str">
        <x:v>WhatsApp transcribed</x:v>
      </x:c>
      <x:c r="F3512" s="4" t="str">
        <x:v>Record captured</x:v>
      </x:c>
      <x:c r="G3512" s="4" t="str">
        <x:v>Cancelled</x:v>
      </x:c>
    </x:row>
    <x:row r="3513" ht="34" customHeight="1">
      <x:c r="A3513" s="4" t="str">
        <x:v>RS-03512-E1</x:v>
      </x:c>
      <x:c r="B3513" s="4" t="str">
        <x:v>RS-03512</x:v>
      </x:c>
      <x:c r="C3513" s="8" t="n">
        <x:v>45516</x:v>
      </x:c>
      <x:c r="D3513" s="4" t="str">
        <x:v>Sales operations manager</x:v>
      </x:c>
      <x:c r="E3513" s="4" t="str">
        <x:v>WhatsApp transcribed</x:v>
      </x:c>
      <x:c r="F3513" s="4" t="str">
        <x:v>Record captured</x:v>
      </x:c>
      <x:c r="G3513" s="4" t="str">
        <x:v>Handed over</x:v>
      </x:c>
    </x:row>
    <x:row r="3514" ht="34" customHeight="1">
      <x:c r="A3514" s="4" t="str">
        <x:v>RS-03513-E1</x:v>
      </x:c>
      <x:c r="B3514" s="4" t="str">
        <x:v>RS-03513</x:v>
      </x:c>
      <x:c r="C3514" s="8" t="n">
        <x:v>45517</x:v>
      </x:c>
      <x:c r="D3514" s="4" t="str">
        <x:v>Sales operations manager</x:v>
      </x:c>
      <x:c r="E3514" s="4" t="str">
        <x:v>Paper transcribed</x:v>
      </x:c>
      <x:c r="F3514" s="4" t="str">
        <x:v>Record captured</x:v>
      </x:c>
      <x:c r="G3514" s="4" t="str">
        <x:v>Booked</x:v>
      </x:c>
    </x:row>
    <x:row r="3515" ht="34" customHeight="1">
      <x:c r="A3515" s="4" t="str">
        <x:v>RS-03514-E1</x:v>
      </x:c>
      <x:c r="B3515" s="4" t="str">
        <x:v>RS-03514</x:v>
      </x:c>
      <x:c r="C3515" s="8" t="n">
        <x:v>45518</x:v>
      </x:c>
      <x:c r="D3515" s="4" t="str">
        <x:v>Sales operations manager</x:v>
      </x:c>
      <x:c r="E3515" s="4" t="str">
        <x:v>ERP form</x:v>
      </x:c>
      <x:c r="F3515" s="4" t="str">
        <x:v>Record captured</x:v>
      </x:c>
      <x:c r="G3515" s="4" t="str">
        <x:v>Booked</x:v>
      </x:c>
    </x:row>
    <x:row r="3516" ht="34" customHeight="1">
      <x:c r="A3516" s="4" t="str">
        <x:v>RS-03515-E1</x:v>
      </x:c>
      <x:c r="B3516" s="4" t="str">
        <x:v>RS-03515</x:v>
      </x:c>
      <x:c r="C3516" s="8" t="n">
        <x:v>45519</x:v>
      </x:c>
      <x:c r="D3516" s="4" t="str">
        <x:v>Sales operations manager</x:v>
      </x:c>
      <x:c r="E3516" s="4" t="str">
        <x:v>WhatsApp transcribed</x:v>
      </x:c>
      <x:c r="F3516" s="4" t="str">
        <x:v>Record captured</x:v>
      </x:c>
      <x:c r="G3516" s="4" t="str">
        <x:v>Enquiry</x:v>
      </x:c>
    </x:row>
    <x:row r="3517" ht="34" customHeight="1">
      <x:c r="A3517" s="4" t="str">
        <x:v>RS-03516-E1</x:v>
      </x:c>
      <x:c r="B3517" s="4" t="str">
        <x:v>RS-03516</x:v>
      </x:c>
      <x:c r="C3517" s="8" t="n">
        <x:v>45520</x:v>
      </x:c>
      <x:c r="D3517" s="4" t="str">
        <x:v>Sales operations manager</x:v>
      </x:c>
      <x:c r="E3517" s="4" t="str">
        <x:v>Paper transcribed</x:v>
      </x:c>
      <x:c r="F3517" s="4" t="str">
        <x:v>Record captured</x:v>
      </x:c>
      <x:c r="G3517" s="4" t="str">
        <x:v>Agreement signed</x:v>
      </x:c>
    </x:row>
    <x:row r="3518" ht="34" customHeight="1">
      <x:c r="A3518" s="4" t="str">
        <x:v>RS-03517-E1</x:v>
      </x:c>
      <x:c r="B3518" s="4" t="str">
        <x:v>RS-03517</x:v>
      </x:c>
      <x:c r="C3518" s="8" t="n">
        <x:v>45521</x:v>
      </x:c>
      <x:c r="D3518" s="4" t="str">
        <x:v>Sales operations manager</x:v>
      </x:c>
      <x:c r="E3518" s="4" t="str">
        <x:v>ERP form</x:v>
      </x:c>
      <x:c r="F3518" s="4" t="str">
        <x:v>Record captured</x:v>
      </x:c>
      <x:c r="G3518" s="4" t="str">
        <x:v>Enquiry</x:v>
      </x:c>
    </x:row>
    <x:row r="3519" ht="34" customHeight="1">
      <x:c r="A3519" s="4" t="str">
        <x:v>RS-03518-E1</x:v>
      </x:c>
      <x:c r="B3519" s="4" t="str">
        <x:v>RS-03518</x:v>
      </x:c>
      <x:c r="C3519" s="8" t="n">
        <x:v>45522</x:v>
      </x:c>
      <x:c r="D3519" s="4" t="str">
        <x:v>Sales operations manager</x:v>
      </x:c>
      <x:c r="E3519" s="4" t="str">
        <x:v>WhatsApp transcribed</x:v>
      </x:c>
      <x:c r="F3519" s="4" t="str">
        <x:v>Record captured</x:v>
      </x:c>
      <x:c r="G3519" s="4" t="str">
        <x:v>Agreement signed</x:v>
      </x:c>
    </x:row>
    <x:row r="3520" ht="34" customHeight="1">
      <x:c r="A3520" s="4" t="str">
        <x:v>RS-03519-E1</x:v>
      </x:c>
      <x:c r="B3520" s="4" t="str">
        <x:v>RS-03519</x:v>
      </x:c>
      <x:c r="C3520" s="8" t="n">
        <x:v>45523</x:v>
      </x:c>
      <x:c r="D3520" s="4" t="str">
        <x:v>Sales operations manager</x:v>
      </x:c>
      <x:c r="E3520" s="4" t="str">
        <x:v>ERP form</x:v>
      </x:c>
      <x:c r="F3520" s="4" t="str">
        <x:v>Record captured</x:v>
      </x:c>
      <x:c r="G3520" s="4" t="str">
        <x:v>Agreement signed</x:v>
      </x:c>
    </x:row>
    <x:row r="3521" ht="34" customHeight="1">
      <x:c r="A3521" s="4" t="str">
        <x:v>RS-03520-E1</x:v>
      </x:c>
      <x:c r="B3521" s="4" t="str">
        <x:v>RS-03520</x:v>
      </x:c>
      <x:c r="C3521" s="8" t="n">
        <x:v>45524</x:v>
      </x:c>
      <x:c r="D3521" s="4" t="str">
        <x:v>Sales operations manager</x:v>
      </x:c>
      <x:c r="E3521" s="4" t="str">
        <x:v>ERP form</x:v>
      </x:c>
      <x:c r="F3521" s="4" t="str">
        <x:v>Record captured</x:v>
      </x:c>
      <x:c r="G3521" s="4" t="str">
        <x:v>Enquiry</x:v>
      </x:c>
    </x:row>
    <x:row r="3522" ht="34" customHeight="1">
      <x:c r="A3522" s="4" t="str">
        <x:v>RS-03521-E1</x:v>
      </x:c>
      <x:c r="B3522" s="4" t="str">
        <x:v>RS-03521</x:v>
      </x:c>
      <x:c r="C3522" s="8" t="n">
        <x:v>45525</x:v>
      </x:c>
      <x:c r="D3522" s="4" t="str">
        <x:v>Sales operations manager</x:v>
      </x:c>
      <x:c r="E3522" s="4" t="str">
        <x:v>Paper transcribed</x:v>
      </x:c>
      <x:c r="F3522" s="4" t="str">
        <x:v>Record captured</x:v>
      </x:c>
      <x:c r="G3522" s="4" t="str">
        <x:v>Handed over</x:v>
      </x:c>
    </x:row>
    <x:row r="3523" ht="34" customHeight="1">
      <x:c r="A3523" s="4" t="str">
        <x:v>RS-03522-E1</x:v>
      </x:c>
      <x:c r="B3523" s="4" t="str">
        <x:v>RS-03522</x:v>
      </x:c>
      <x:c r="C3523" s="8" t="n">
        <x:v>45526</x:v>
      </x:c>
      <x:c r="D3523" s="4" t="str">
        <x:v>Sales operations manager</x:v>
      </x:c>
      <x:c r="E3523" s="4" t="str">
        <x:v>Spreadsheet import</x:v>
      </x:c>
      <x:c r="F3523" s="4" t="str">
        <x:v>Record captured</x:v>
      </x:c>
      <x:c r="G3523" s="4" t="str">
        <x:v>Agreement signed</x:v>
      </x:c>
    </x:row>
    <x:row r="3524" ht="34" customHeight="1">
      <x:c r="A3524" s="4" t="str">
        <x:v>RS-03523-E1</x:v>
      </x:c>
      <x:c r="B3524" s="4" t="str">
        <x:v>RS-03523</x:v>
      </x:c>
      <x:c r="C3524" s="8" t="n">
        <x:v>45527</x:v>
      </x:c>
      <x:c r="D3524" s="4" t="str">
        <x:v>Sales operations manager</x:v>
      </x:c>
      <x:c r="E3524" s="4" t="str">
        <x:v>ERP form</x:v>
      </x:c>
      <x:c r="F3524" s="4" t="str">
        <x:v>Record captured</x:v>
      </x:c>
      <x:c r="G3524" s="4" t="str">
        <x:v>Agreement signed</x:v>
      </x:c>
    </x:row>
    <x:row r="3525" ht="34" customHeight="1">
      <x:c r="A3525" s="4" t="str">
        <x:v>RS-03524-E1</x:v>
      </x:c>
      <x:c r="B3525" s="4" t="str">
        <x:v>RS-03524</x:v>
      </x:c>
      <x:c r="C3525" s="8" t="n">
        <x:v>45528</x:v>
      </x:c>
      <x:c r="D3525" s="4" t="str">
        <x:v>Sales operations manager</x:v>
      </x:c>
      <x:c r="E3525" s="4" t="str">
        <x:v>Spreadsheet import</x:v>
      </x:c>
      <x:c r="F3525" s="4" t="str">
        <x:v>Record captured</x:v>
      </x:c>
      <x:c r="G3525" s="4" t="str">
        <x:v>Handed over</x:v>
      </x:c>
    </x:row>
    <x:row r="3526" ht="34" customHeight="1">
      <x:c r="A3526" s="4" t="str">
        <x:v>RS-03525-E1</x:v>
      </x:c>
      <x:c r="B3526" s="4" t="str">
        <x:v>RS-03525</x:v>
      </x:c>
      <x:c r="C3526" s="8" t="n">
        <x:v>45529</x:v>
      </x:c>
      <x:c r="D3526" s="4" t="str">
        <x:v>Sales operations manager</x:v>
      </x:c>
      <x:c r="E3526" s="4" t="str">
        <x:v>ERP form</x:v>
      </x:c>
      <x:c r="F3526" s="4" t="str">
        <x:v>Record captured</x:v>
      </x:c>
      <x:c r="G3526" s="4" t="str">
        <x:v>Cancelled</x:v>
      </x:c>
    </x:row>
    <x:row r="3527" ht="34" customHeight="1">
      <x:c r="A3527" s="4" t="str">
        <x:v>RS-03526-E1</x:v>
      </x:c>
      <x:c r="B3527" s="4" t="str">
        <x:v>RS-03526</x:v>
      </x:c>
      <x:c r="C3527" s="8" t="n">
        <x:v>45530</x:v>
      </x:c>
      <x:c r="D3527" s="4" t="str">
        <x:v>Sales operations manager</x:v>
      </x:c>
      <x:c r="E3527" s="4" t="str">
        <x:v>Spreadsheet import</x:v>
      </x:c>
      <x:c r="F3527" s="4" t="str">
        <x:v>Record captured</x:v>
      </x:c>
      <x:c r="G3527" s="4" t="str">
        <x:v>Reserved</x:v>
      </x:c>
    </x:row>
    <x:row r="3528" ht="34" customHeight="1">
      <x:c r="A3528" s="4" t="str">
        <x:v>RS-03527-E1</x:v>
      </x:c>
      <x:c r="B3528" s="4" t="str">
        <x:v>RS-03527</x:v>
      </x:c>
      <x:c r="C3528" s="8" t="n">
        <x:v>45531</x:v>
      </x:c>
      <x:c r="D3528" s="4" t="str">
        <x:v>Sales operations manager</x:v>
      </x:c>
      <x:c r="E3528" s="4" t="str">
        <x:v>Spreadsheet import</x:v>
      </x:c>
      <x:c r="F3528" s="4" t="str">
        <x:v>Record captured</x:v>
      </x:c>
      <x:c r="G3528" s="4" t="str">
        <x:v>Booked</x:v>
      </x:c>
    </x:row>
    <x:row r="3529" ht="34" customHeight="1">
      <x:c r="A3529" s="4" t="str">
        <x:v>RS-03528-E1</x:v>
      </x:c>
      <x:c r="B3529" s="4" t="str">
        <x:v>RS-03528</x:v>
      </x:c>
      <x:c r="C3529" s="8" t="n">
        <x:v>45532</x:v>
      </x:c>
      <x:c r="D3529" s="4" t="str">
        <x:v>Sales operations manager</x:v>
      </x:c>
      <x:c r="E3529" s="4" t="str">
        <x:v>WhatsApp transcribed</x:v>
      </x:c>
      <x:c r="F3529" s="4" t="str">
        <x:v>Record captured</x:v>
      </x:c>
      <x:c r="G3529" s="4" t="str">
        <x:v>Booked</x:v>
      </x:c>
    </x:row>
    <x:row r="3530" ht="34" customHeight="1">
      <x:c r="A3530" s="4" t="str">
        <x:v>RS-03529-E1</x:v>
      </x:c>
      <x:c r="B3530" s="4" t="str">
        <x:v>RS-03529</x:v>
      </x:c>
      <x:c r="C3530" s="8" t="n">
        <x:v>45505</x:v>
      </x:c>
      <x:c r="D3530" s="4" t="str">
        <x:v>Sales operations manager</x:v>
      </x:c>
      <x:c r="E3530" s="4" t="str">
        <x:v>Paper transcribed</x:v>
      </x:c>
      <x:c r="F3530" s="4" t="str">
        <x:v>Record captured</x:v>
      </x:c>
      <x:c r="G3530" s="4" t="str">
        <x:v>Handed over</x:v>
      </x:c>
    </x:row>
    <x:row r="3531" ht="34" customHeight="1">
      <x:c r="A3531" s="4" t="str">
        <x:v>RS-03530-E1</x:v>
      </x:c>
      <x:c r="B3531" s="4" t="str">
        <x:v>RS-03530</x:v>
      </x:c>
      <x:c r="C3531" s="8" t="n">
        <x:v>45506</x:v>
      </x:c>
      <x:c r="D3531" s="4" t="str">
        <x:v>Sales operations manager</x:v>
      </x:c>
      <x:c r="E3531" s="4" t="str">
        <x:v>Paper transcribed</x:v>
      </x:c>
      <x:c r="F3531" s="4" t="str">
        <x:v>Record captured</x:v>
      </x:c>
      <x:c r="G3531" s="4" t="str">
        <x:v>Cancelled</x:v>
      </x:c>
    </x:row>
    <x:row r="3532" ht="34" customHeight="1">
      <x:c r="A3532" s="4" t="str">
        <x:v>RS-03531-E1</x:v>
      </x:c>
      <x:c r="B3532" s="4" t="str">
        <x:v>RS-03531</x:v>
      </x:c>
      <x:c r="C3532" s="8" t="n">
        <x:v>45507</x:v>
      </x:c>
      <x:c r="D3532" s="4" t="str">
        <x:v>Sales operations manager</x:v>
      </x:c>
      <x:c r="E3532" s="4" t="str">
        <x:v>WhatsApp transcribed</x:v>
      </x:c>
      <x:c r="F3532" s="4" t="str">
        <x:v>Record captured</x:v>
      </x:c>
      <x:c r="G3532" s="4" t="str">
        <x:v>Reserved</x:v>
      </x:c>
    </x:row>
    <x:row r="3533" ht="34" customHeight="1">
      <x:c r="A3533" s="4" t="str">
        <x:v>RS-03532-E1</x:v>
      </x:c>
      <x:c r="B3533" s="4" t="str">
        <x:v>RS-03532</x:v>
      </x:c>
      <x:c r="C3533" s="8" t="n">
        <x:v>45508</x:v>
      </x:c>
      <x:c r="D3533" s="4" t="str">
        <x:v>Sales operations manager</x:v>
      </x:c>
      <x:c r="E3533" s="4" t="str">
        <x:v>Paper transcribed</x:v>
      </x:c>
      <x:c r="F3533" s="4" t="str">
        <x:v>Record captured</x:v>
      </x:c>
      <x:c r="G3533" s="4" t="str">
        <x:v>Booked</x:v>
      </x:c>
    </x:row>
    <x:row r="3534" ht="34" customHeight="1">
      <x:c r="A3534" s="4" t="str">
        <x:v>RS-03533-E1</x:v>
      </x:c>
      <x:c r="B3534" s="4" t="str">
        <x:v>RS-03533</x:v>
      </x:c>
      <x:c r="C3534" s="8" t="n">
        <x:v>45509</x:v>
      </x:c>
      <x:c r="D3534" s="4" t="str">
        <x:v>Sales operations manager</x:v>
      </x:c>
      <x:c r="E3534" s="4" t="str">
        <x:v>Paper transcribed</x:v>
      </x:c>
      <x:c r="F3534" s="4" t="str">
        <x:v>Record captured</x:v>
      </x:c>
      <x:c r="G3534" s="4" t="str">
        <x:v>Booked</x:v>
      </x:c>
    </x:row>
    <x:row r="3535" ht="34" customHeight="1">
      <x:c r="A3535" s="4" t="str">
        <x:v>RS-03534-E1</x:v>
      </x:c>
      <x:c r="B3535" s="4" t="str">
        <x:v>RS-03534</x:v>
      </x:c>
      <x:c r="C3535" s="8" t="n">
        <x:v>45510</x:v>
      </x:c>
      <x:c r="D3535" s="4" t="str">
        <x:v>Sales operations manager</x:v>
      </x:c>
      <x:c r="E3535" s="4" t="str">
        <x:v>WhatsApp transcribed</x:v>
      </x:c>
      <x:c r="F3535" s="4" t="str">
        <x:v>Record captured</x:v>
      </x:c>
      <x:c r="G3535" s="4" t="str">
        <x:v>Cancelled</x:v>
      </x:c>
    </x:row>
    <x:row r="3536" ht="34" customHeight="1">
      <x:c r="A3536" s="4" t="str">
        <x:v>RS-03535-E1</x:v>
      </x:c>
      <x:c r="B3536" s="4" t="str">
        <x:v>RS-03535</x:v>
      </x:c>
      <x:c r="C3536" s="8" t="n">
        <x:v>45511</x:v>
      </x:c>
      <x:c r="D3536" s="4" t="str">
        <x:v>Sales operations manager</x:v>
      </x:c>
      <x:c r="E3536" s="4" t="str">
        <x:v>Paper transcribed</x:v>
      </x:c>
      <x:c r="F3536" s="4" t="str">
        <x:v>Record captured</x:v>
      </x:c>
      <x:c r="G3536" s="4" t="str">
        <x:v>Enquiry</x:v>
      </x:c>
    </x:row>
    <x:row r="3537" ht="34" customHeight="1">
      <x:c r="A3537" s="4" t="str">
        <x:v>RS-03536-E1</x:v>
      </x:c>
      <x:c r="B3537" s="4" t="str">
        <x:v>RS-03536</x:v>
      </x:c>
      <x:c r="C3537" s="8" t="n">
        <x:v>45512</x:v>
      </x:c>
      <x:c r="D3537" s="4" t="str">
        <x:v>Sales operations manager</x:v>
      </x:c>
      <x:c r="E3537" s="4" t="str">
        <x:v>WhatsApp transcribed</x:v>
      </x:c>
      <x:c r="F3537" s="4" t="str">
        <x:v>Record captured</x:v>
      </x:c>
      <x:c r="G3537" s="4" t="str">
        <x:v>Enquiry</x:v>
      </x:c>
    </x:row>
    <x:row r="3538" ht="34" customHeight="1">
      <x:c r="A3538" s="4" t="str">
        <x:v>RS-03537-E1</x:v>
      </x:c>
      <x:c r="B3538" s="4" t="str">
        <x:v>RS-03537</x:v>
      </x:c>
      <x:c r="C3538" s="8" t="n">
        <x:v>45513</x:v>
      </x:c>
      <x:c r="D3538" s="4" t="str">
        <x:v>Sales operations manager</x:v>
      </x:c>
      <x:c r="E3538" s="4" t="str">
        <x:v>Paper transcribed</x:v>
      </x:c>
      <x:c r="F3538" s="4" t="str">
        <x:v>Record captured</x:v>
      </x:c>
      <x:c r="G3538" s="4" t="str">
        <x:v>Booked</x:v>
      </x:c>
    </x:row>
    <x:row r="3539" ht="34" customHeight="1">
      <x:c r="A3539" s="4" t="str">
        <x:v>RS-03538-E1</x:v>
      </x:c>
      <x:c r="B3539" s="4" t="str">
        <x:v>RS-03538</x:v>
      </x:c>
      <x:c r="C3539" s="8" t="n">
        <x:v>45514</x:v>
      </x:c>
      <x:c r="D3539" s="4" t="str">
        <x:v>Sales operations manager</x:v>
      </x:c>
      <x:c r="E3539" s="4" t="str">
        <x:v>ERP form</x:v>
      </x:c>
      <x:c r="F3539" s="4" t="str">
        <x:v>Record captured</x:v>
      </x:c>
      <x:c r="G3539" s="4" t="str">
        <x:v>Cancelled</x:v>
      </x:c>
    </x:row>
    <x:row r="3540" ht="34" customHeight="1">
      <x:c r="A3540" s="4" t="str">
        <x:v>RS-03539-E1</x:v>
      </x:c>
      <x:c r="B3540" s="4" t="str">
        <x:v>RS-03539</x:v>
      </x:c>
      <x:c r="C3540" s="8" t="n">
        <x:v>45515</x:v>
      </x:c>
      <x:c r="D3540" s="4" t="str">
        <x:v>Sales operations manager</x:v>
      </x:c>
      <x:c r="E3540" s="4" t="str">
        <x:v>WhatsApp transcribed</x:v>
      </x:c>
      <x:c r="F3540" s="4" t="str">
        <x:v>Record captured</x:v>
      </x:c>
      <x:c r="G3540" s="4" t="str">
        <x:v>Reserved</x:v>
      </x:c>
    </x:row>
    <x:row r="3541" ht="34" customHeight="1">
      <x:c r="A3541" s="4" t="str">
        <x:v>RS-03540-E1</x:v>
      </x:c>
      <x:c r="B3541" s="4" t="str">
        <x:v>RS-03540</x:v>
      </x:c>
      <x:c r="C3541" s="8" t="n">
        <x:v>45516</x:v>
      </x:c>
      <x:c r="D3541" s="4" t="str">
        <x:v>Sales operations manager</x:v>
      </x:c>
      <x:c r="E3541" s="4" t="str">
        <x:v>ERP form</x:v>
      </x:c>
      <x:c r="F3541" s="4" t="str">
        <x:v>Record captured</x:v>
      </x:c>
      <x:c r="G3541" s="4" t="str">
        <x:v>Booked</x:v>
      </x:c>
    </x:row>
    <x:row r="3542" ht="34" customHeight="1">
      <x:c r="A3542" s="4" t="str">
        <x:v>RS-03541-E1</x:v>
      </x:c>
      <x:c r="B3542" s="4" t="str">
        <x:v>RS-03541</x:v>
      </x:c>
      <x:c r="C3542" s="8" t="n">
        <x:v>45517</x:v>
      </x:c>
      <x:c r="D3542" s="4" t="str">
        <x:v>Sales operations manager</x:v>
      </x:c>
      <x:c r="E3542" s="4" t="str">
        <x:v>WhatsApp transcribed</x:v>
      </x:c>
      <x:c r="F3542" s="4" t="str">
        <x:v>Record captured</x:v>
      </x:c>
      <x:c r="G3542" s="4" t="str">
        <x:v>Booked</x:v>
      </x:c>
    </x:row>
    <x:row r="3543" ht="34" customHeight="1">
      <x:c r="A3543" s="4" t="str">
        <x:v>RS-03542-E1</x:v>
      </x:c>
      <x:c r="B3543" s="4" t="str">
        <x:v>RS-03542</x:v>
      </x:c>
      <x:c r="C3543" s="8" t="n">
        <x:v>45518</x:v>
      </x:c>
      <x:c r="D3543" s="4" t="str">
        <x:v>Sales operations manager</x:v>
      </x:c>
      <x:c r="E3543" s="4" t="str">
        <x:v>ERP form</x:v>
      </x:c>
      <x:c r="F3543" s="4" t="str">
        <x:v>Record captured</x:v>
      </x:c>
      <x:c r="G3543" s="4" t="str">
        <x:v>Handed over</x:v>
      </x:c>
    </x:row>
    <x:row r="3544" ht="34" customHeight="1">
      <x:c r="A3544" s="4" t="str">
        <x:v>RS-03543-E1</x:v>
      </x:c>
      <x:c r="B3544" s="4" t="str">
        <x:v>RS-03543</x:v>
      </x:c>
      <x:c r="C3544" s="8" t="n">
        <x:v>45519</x:v>
      </x:c>
      <x:c r="D3544" s="4" t="str">
        <x:v>Sales operations manager</x:v>
      </x:c>
      <x:c r="E3544" s="4" t="str">
        <x:v>Spreadsheet import</x:v>
      </x:c>
      <x:c r="F3544" s="4" t="str">
        <x:v>Record captured</x:v>
      </x:c>
      <x:c r="G3544" s="4" t="str">
        <x:v>Handed over</x:v>
      </x:c>
    </x:row>
    <x:row r="3545" ht="34" customHeight="1">
      <x:c r="A3545" s="4" t="str">
        <x:v>RS-03544-E1</x:v>
      </x:c>
      <x:c r="B3545" s="4" t="str">
        <x:v>RS-03544</x:v>
      </x:c>
      <x:c r="C3545" s="8" t="n">
        <x:v>45520</x:v>
      </x:c>
      <x:c r="D3545" s="4" t="str">
        <x:v>Sales operations manager</x:v>
      </x:c>
      <x:c r="E3545" s="4" t="str">
        <x:v>Spreadsheet import</x:v>
      </x:c>
      <x:c r="F3545" s="4" t="str">
        <x:v>Record captured</x:v>
      </x:c>
      <x:c r="G3545" s="4" t="str">
        <x:v>Agreement signed</x:v>
      </x:c>
    </x:row>
    <x:row r="3546" ht="34" customHeight="1">
      <x:c r="A3546" s="4" t="str">
        <x:v>RS-03545-E1</x:v>
      </x:c>
      <x:c r="B3546" s="4" t="str">
        <x:v>RS-03545</x:v>
      </x:c>
      <x:c r="C3546" s="8" t="n">
        <x:v>45521</x:v>
      </x:c>
      <x:c r="D3546" s="4" t="str">
        <x:v>Sales operations manager</x:v>
      </x:c>
      <x:c r="E3546" s="4" t="str">
        <x:v>Paper transcribed</x:v>
      </x:c>
      <x:c r="F3546" s="4" t="str">
        <x:v>Record captured</x:v>
      </x:c>
      <x:c r="G3546" s="4" t="str">
        <x:v>Enquiry</x:v>
      </x:c>
    </x:row>
    <x:row r="3547" ht="34" customHeight="1">
      <x:c r="A3547" s="4" t="str">
        <x:v>RS-03546-E1</x:v>
      </x:c>
      <x:c r="B3547" s="4" t="str">
        <x:v>RS-03546</x:v>
      </x:c>
      <x:c r="C3547" s="8" t="n">
        <x:v>45522</x:v>
      </x:c>
      <x:c r="D3547" s="4" t="str">
        <x:v>Sales operations manager</x:v>
      </x:c>
      <x:c r="E3547" s="4" t="str">
        <x:v>Paper transcribed</x:v>
      </x:c>
      <x:c r="F3547" s="4" t="str">
        <x:v>Record captured</x:v>
      </x:c>
      <x:c r="G3547" s="4" t="str">
        <x:v>Cancelled</x:v>
      </x:c>
    </x:row>
    <x:row r="3548" ht="34" customHeight="1">
      <x:c r="A3548" s="4" t="str">
        <x:v>RS-03547-E1</x:v>
      </x:c>
      <x:c r="B3548" s="4" t="str">
        <x:v>RS-03547</x:v>
      </x:c>
      <x:c r="C3548" s="8" t="n">
        <x:v>45523</x:v>
      </x:c>
      <x:c r="D3548" s="4" t="str">
        <x:v>Sales operations manager</x:v>
      </x:c>
      <x:c r="E3548" s="4" t="str">
        <x:v>Spreadsheet import</x:v>
      </x:c>
      <x:c r="F3548" s="4" t="str">
        <x:v>Record captured</x:v>
      </x:c>
      <x:c r="G3548" s="4" t="str">
        <x:v>Handed over</x:v>
      </x:c>
    </x:row>
    <x:row r="3549" ht="34" customHeight="1">
      <x:c r="A3549" s="4" t="str">
        <x:v>RS-03548-E1</x:v>
      </x:c>
      <x:c r="B3549" s="4" t="str">
        <x:v>RS-03548</x:v>
      </x:c>
      <x:c r="C3549" s="8" t="n">
        <x:v>45524</x:v>
      </x:c>
      <x:c r="D3549" s="4" t="str">
        <x:v>Sales operations manager</x:v>
      </x:c>
      <x:c r="E3549" s="4" t="str">
        <x:v>ERP form</x:v>
      </x:c>
      <x:c r="F3549" s="4" t="str">
        <x:v>Record captured</x:v>
      </x:c>
      <x:c r="G3549" s="4" t="str">
        <x:v>Agreement signed</x:v>
      </x:c>
    </x:row>
    <x:row r="3550" ht="34" customHeight="1">
      <x:c r="A3550" s="4" t="str">
        <x:v>RS-03549-E1</x:v>
      </x:c>
      <x:c r="B3550" s="4" t="str">
        <x:v>RS-03549</x:v>
      </x:c>
      <x:c r="C3550" s="8" t="n">
        <x:v>45525</x:v>
      </x:c>
      <x:c r="D3550" s="4" t="str">
        <x:v>Sales operations manager</x:v>
      </x:c>
      <x:c r="E3550" s="4" t="str">
        <x:v>ERP form</x:v>
      </x:c>
      <x:c r="F3550" s="4" t="str">
        <x:v>Record captured</x:v>
      </x:c>
      <x:c r="G3550" s="4" t="str">
        <x:v>Booked</x:v>
      </x:c>
    </x:row>
    <x:row r="3551" ht="34" customHeight="1">
      <x:c r="A3551" s="4" t="str">
        <x:v>RS-03550-E1</x:v>
      </x:c>
      <x:c r="B3551" s="4" t="str">
        <x:v>RS-03550</x:v>
      </x:c>
      <x:c r="C3551" s="8" t="n">
        <x:v>45526</x:v>
      </x:c>
      <x:c r="D3551" s="4" t="str">
        <x:v>Sales operations manager</x:v>
      </x:c>
      <x:c r="E3551" s="4" t="str">
        <x:v>ERP form</x:v>
      </x:c>
      <x:c r="F3551" s="4" t="str">
        <x:v>Record captured</x:v>
      </x:c>
      <x:c r="G3551" s="4" t="str">
        <x:v>Reserved</x:v>
      </x:c>
    </x:row>
    <x:row r="3552" ht="34" customHeight="1">
      <x:c r="A3552" s="4" t="str">
        <x:v>RS-03551-E1</x:v>
      </x:c>
      <x:c r="B3552" s="4" t="str">
        <x:v>RS-03551</x:v>
      </x:c>
      <x:c r="C3552" s="8" t="n">
        <x:v>45527</x:v>
      </x:c>
      <x:c r="D3552" s="4" t="str">
        <x:v>Sales operations manager</x:v>
      </x:c>
      <x:c r="E3552" s="4" t="str">
        <x:v>WhatsApp transcribed</x:v>
      </x:c>
      <x:c r="F3552" s="4" t="str">
        <x:v>Record captured</x:v>
      </x:c>
      <x:c r="G3552" s="4" t="str">
        <x:v>Reserved</x:v>
      </x:c>
    </x:row>
    <x:row r="3553" ht="34" customHeight="1">
      <x:c r="A3553" s="4" t="str">
        <x:v>RS-03552-E1</x:v>
      </x:c>
      <x:c r="B3553" s="4" t="str">
        <x:v>RS-03552</x:v>
      </x:c>
      <x:c r="C3553" s="8" t="n">
        <x:v>45528</x:v>
      </x:c>
      <x:c r="D3553" s="4" t="str">
        <x:v>Sales operations manager</x:v>
      </x:c>
      <x:c r="E3553" s="4" t="str">
        <x:v>WhatsApp transcribed</x:v>
      </x:c>
      <x:c r="F3553" s="4" t="str">
        <x:v>Record captured</x:v>
      </x:c>
      <x:c r="G3553" s="4" t="str">
        <x:v>Enquiry</x:v>
      </x:c>
    </x:row>
    <x:row r="3554" ht="34" customHeight="1">
      <x:c r="A3554" s="4" t="str">
        <x:v>RS-03553-E1</x:v>
      </x:c>
      <x:c r="B3554" s="4" t="str">
        <x:v>RS-03553</x:v>
      </x:c>
      <x:c r="C3554" s="8" t="n">
        <x:v>45529</x:v>
      </x:c>
      <x:c r="D3554" s="4" t="str">
        <x:v>Sales operations manager</x:v>
      </x:c>
      <x:c r="E3554" s="4" t="str">
        <x:v>WhatsApp transcribed</x:v>
      </x:c>
      <x:c r="F3554" s="4" t="str">
        <x:v>Record captured</x:v>
      </x:c>
      <x:c r="G3554" s="4" t="str">
        <x:v>Enquiry</x:v>
      </x:c>
    </x:row>
    <x:row r="3555" ht="34" customHeight="1">
      <x:c r="A3555" s="4" t="str">
        <x:v>RS-03554-E1</x:v>
      </x:c>
      <x:c r="B3555" s="4" t="str">
        <x:v>RS-03554</x:v>
      </x:c>
      <x:c r="C3555" s="8" t="n">
        <x:v>45530</x:v>
      </x:c>
      <x:c r="D3555" s="4" t="str">
        <x:v>Sales operations manager</x:v>
      </x:c>
      <x:c r="E3555" s="4" t="str">
        <x:v>Paper transcribed</x:v>
      </x:c>
      <x:c r="F3555" s="4" t="str">
        <x:v>Record captured</x:v>
      </x:c>
      <x:c r="G3555" s="4" t="str">
        <x:v>Handed over</x:v>
      </x:c>
    </x:row>
    <x:row r="3556" ht="34" customHeight="1">
      <x:c r="A3556" s="4" t="str">
        <x:v>RS-03555-E1</x:v>
      </x:c>
      <x:c r="B3556" s="4" t="str">
        <x:v>RS-03555</x:v>
      </x:c>
      <x:c r="C3556" s="8" t="n">
        <x:v>45531</x:v>
      </x:c>
      <x:c r="D3556" s="4" t="str">
        <x:v>Sales operations manager</x:v>
      </x:c>
      <x:c r="E3556" s="4" t="str">
        <x:v>Paper transcribed</x:v>
      </x:c>
      <x:c r="F3556" s="4" t="str">
        <x:v>Record captured</x:v>
      </x:c>
      <x:c r="G3556" s="4" t="str">
        <x:v>Booked</x:v>
      </x:c>
    </x:row>
    <x:row r="3557" ht="34" customHeight="1">
      <x:c r="A3557" s="4" t="str">
        <x:v>RS-03556-E1</x:v>
      </x:c>
      <x:c r="B3557" s="4" t="str">
        <x:v>RS-03556</x:v>
      </x:c>
      <x:c r="C3557" s="8" t="n">
        <x:v>45532</x:v>
      </x:c>
      <x:c r="D3557" s="4" t="str">
        <x:v>Sales operations manager</x:v>
      </x:c>
      <x:c r="E3557" s="4" t="str">
        <x:v>ERP form</x:v>
      </x:c>
      <x:c r="F3557" s="4" t="str">
        <x:v>Record captured</x:v>
      </x:c>
      <x:c r="G3557" s="4" t="str">
        <x:v>Reserved</x:v>
      </x:c>
    </x:row>
    <x:row r="3558" ht="34" customHeight="1">
      <x:c r="A3558" s="4" t="str">
        <x:v>RS-03557-E1</x:v>
      </x:c>
      <x:c r="B3558" s="4" t="str">
        <x:v>RS-03557</x:v>
      </x:c>
      <x:c r="C3558" s="8" t="n">
        <x:v>45505</x:v>
      </x:c>
      <x:c r="D3558" s="4" t="str">
        <x:v>Sales operations manager</x:v>
      </x:c>
      <x:c r="E3558" s="4" t="str">
        <x:v>ERP form</x:v>
      </x:c>
      <x:c r="F3558" s="4" t="str">
        <x:v>Record captured</x:v>
      </x:c>
      <x:c r="G3558" s="4" t="str">
        <x:v>Enquiry</x:v>
      </x:c>
    </x:row>
    <x:row r="3559" ht="34" customHeight="1">
      <x:c r="A3559" s="4" t="str">
        <x:v>RS-03558-E1</x:v>
      </x:c>
      <x:c r="B3559" s="4" t="str">
        <x:v>RS-03558</x:v>
      </x:c>
      <x:c r="C3559" s="8" t="n">
        <x:v>45506</x:v>
      </x:c>
      <x:c r="D3559" s="4" t="str">
        <x:v>Sales operations manager</x:v>
      </x:c>
      <x:c r="E3559" s="4" t="str">
        <x:v>Paper transcribed</x:v>
      </x:c>
      <x:c r="F3559" s="4" t="str">
        <x:v>Record captured</x:v>
      </x:c>
      <x:c r="G3559" s="4" t="str">
        <x:v>Enquiry</x:v>
      </x:c>
    </x:row>
    <x:row r="3560" ht="34" customHeight="1">
      <x:c r="A3560" s="4" t="str">
        <x:v>RS-03559-E1</x:v>
      </x:c>
      <x:c r="B3560" s="4" t="str">
        <x:v>RS-03559</x:v>
      </x:c>
      <x:c r="C3560" s="8" t="n">
        <x:v>45507</x:v>
      </x:c>
      <x:c r="D3560" s="4" t="str">
        <x:v>Sales operations manager</x:v>
      </x:c>
      <x:c r="E3560" s="4" t="str">
        <x:v>ERP form</x:v>
      </x:c>
      <x:c r="F3560" s="4" t="str">
        <x:v>Record captured</x:v>
      </x:c>
      <x:c r="G3560" s="4" t="str">
        <x:v>Cancelled</x:v>
      </x:c>
    </x:row>
    <x:row r="3561" ht="34" customHeight="1">
      <x:c r="A3561" s="4" t="str">
        <x:v>RS-03560-E1</x:v>
      </x:c>
      <x:c r="B3561" s="4" t="str">
        <x:v>RS-03560</x:v>
      </x:c>
      <x:c r="C3561" s="8" t="n">
        <x:v>45508</x:v>
      </x:c>
      <x:c r="D3561" s="4" t="str">
        <x:v>Sales operations manager</x:v>
      </x:c>
      <x:c r="E3561" s="4" t="str">
        <x:v>Paper transcribed</x:v>
      </x:c>
      <x:c r="F3561" s="4" t="str">
        <x:v>Record captured</x:v>
      </x:c>
      <x:c r="G3561" s="4" t="str">
        <x:v>Handed over</x:v>
      </x:c>
    </x:row>
    <x:row r="3562" ht="34" customHeight="1">
      <x:c r="A3562" s="4" t="str">
        <x:v>RS-03561-E1</x:v>
      </x:c>
      <x:c r="B3562" s="4" t="str">
        <x:v>RS-03561</x:v>
      </x:c>
      <x:c r="C3562" s="8" t="n">
        <x:v>45509</x:v>
      </x:c>
      <x:c r="D3562" s="4" t="str">
        <x:v>Sales operations manager</x:v>
      </x:c>
      <x:c r="E3562" s="4" t="str">
        <x:v>Spreadsheet import</x:v>
      </x:c>
      <x:c r="F3562" s="4" t="str">
        <x:v>Record captured</x:v>
      </x:c>
      <x:c r="G3562" s="4" t="str">
        <x:v>Handed over</x:v>
      </x:c>
    </x:row>
    <x:row r="3563" ht="34" customHeight="1">
      <x:c r="A3563" s="4" t="str">
        <x:v>RS-03562-E1</x:v>
      </x:c>
      <x:c r="B3563" s="4" t="str">
        <x:v>RS-03562</x:v>
      </x:c>
      <x:c r="C3563" s="8" t="n">
        <x:v>45510</x:v>
      </x:c>
      <x:c r="D3563" s="4" t="str">
        <x:v>Sales operations manager</x:v>
      </x:c>
      <x:c r="E3563" s="4" t="str">
        <x:v>WhatsApp transcribed</x:v>
      </x:c>
      <x:c r="F3563" s="4" t="str">
        <x:v>Record captured</x:v>
      </x:c>
      <x:c r="G3563" s="4" t="str">
        <x:v>Agreement signed</x:v>
      </x:c>
    </x:row>
    <x:row r="3564" ht="34" customHeight="1">
      <x:c r="A3564" s="4" t="str">
        <x:v>RS-03563-E1</x:v>
      </x:c>
      <x:c r="B3564" s="4" t="str">
        <x:v>RS-03563</x:v>
      </x:c>
      <x:c r="C3564" s="8" t="n">
        <x:v>45511</x:v>
      </x:c>
      <x:c r="D3564" s="4" t="str">
        <x:v>Sales operations manager</x:v>
      </x:c>
      <x:c r="E3564" s="4" t="str">
        <x:v>Paper transcribed</x:v>
      </x:c>
      <x:c r="F3564" s="4" t="str">
        <x:v>Record captured</x:v>
      </x:c>
      <x:c r="G3564" s="4" t="str">
        <x:v>Booked</x:v>
      </x:c>
    </x:row>
    <x:row r="3565" ht="34" customHeight="1">
      <x:c r="A3565" s="4" t="str">
        <x:v>RS-03564-E1</x:v>
      </x:c>
      <x:c r="B3565" s="4" t="str">
        <x:v>RS-03564</x:v>
      </x:c>
      <x:c r="C3565" s="8" t="n">
        <x:v>45512</x:v>
      </x:c>
      <x:c r="D3565" s="4" t="str">
        <x:v>Sales operations manager</x:v>
      </x:c>
      <x:c r="E3565" s="4" t="str">
        <x:v>Paper transcribed</x:v>
      </x:c>
      <x:c r="F3565" s="4" t="str">
        <x:v>Record captured</x:v>
      </x:c>
      <x:c r="G3565" s="4" t="str">
        <x:v>Booked</x:v>
      </x:c>
    </x:row>
    <x:row r="3566" ht="34" customHeight="1">
      <x:c r="A3566" s="4" t="str">
        <x:v>RS-03565-E1</x:v>
      </x:c>
      <x:c r="B3566" s="4" t="str">
        <x:v>RS-03565</x:v>
      </x:c>
      <x:c r="C3566" s="8" t="n">
        <x:v>45513</x:v>
      </x:c>
      <x:c r="D3566" s="4" t="str">
        <x:v>Sales operations manager</x:v>
      </x:c>
      <x:c r="E3566" s="4" t="str">
        <x:v>ERP form</x:v>
      </x:c>
      <x:c r="F3566" s="4" t="str">
        <x:v>Record captured</x:v>
      </x:c>
      <x:c r="G3566" s="4" t="str">
        <x:v>Booked</x:v>
      </x:c>
    </x:row>
    <x:row r="3567" ht="34" customHeight="1">
      <x:c r="A3567" s="4" t="str">
        <x:v>RS-03566-E1</x:v>
      </x:c>
      <x:c r="B3567" s="4" t="str">
        <x:v>RS-03566</x:v>
      </x:c>
      <x:c r="C3567" s="8" t="n">
        <x:v>45514</x:v>
      </x:c>
      <x:c r="D3567" s="4" t="str">
        <x:v>Sales operations manager</x:v>
      </x:c>
      <x:c r="E3567" s="4" t="str">
        <x:v>Paper transcribed</x:v>
      </x:c>
      <x:c r="F3567" s="4" t="str">
        <x:v>Record captured</x:v>
      </x:c>
      <x:c r="G3567" s="4" t="str">
        <x:v>Booked</x:v>
      </x:c>
    </x:row>
    <x:row r="3568" ht="34" customHeight="1">
      <x:c r="A3568" s="4" t="str">
        <x:v>RS-03567-E1</x:v>
      </x:c>
      <x:c r="B3568" s="4" t="str">
        <x:v>RS-03567</x:v>
      </x:c>
      <x:c r="C3568" s="8" t="n">
        <x:v>45515</x:v>
      </x:c>
      <x:c r="D3568" s="4" t="str">
        <x:v>Sales operations manager</x:v>
      </x:c>
      <x:c r="E3568" s="4" t="str">
        <x:v>Paper transcribed</x:v>
      </x:c>
      <x:c r="F3568" s="4" t="str">
        <x:v>Record captured</x:v>
      </x:c>
      <x:c r="G3568" s="4" t="str">
        <x:v>Agreement signed</x:v>
      </x:c>
    </x:row>
    <x:row r="3569" ht="34" customHeight="1">
      <x:c r="A3569" s="4" t="str">
        <x:v>RS-03568-E1</x:v>
      </x:c>
      <x:c r="B3569" s="4" t="str">
        <x:v>RS-03568</x:v>
      </x:c>
      <x:c r="C3569" s="8" t="n">
        <x:v>45516</x:v>
      </x:c>
      <x:c r="D3569" s="4" t="str">
        <x:v>Sales operations manager</x:v>
      </x:c>
      <x:c r="E3569" s="4" t="str">
        <x:v>ERP form</x:v>
      </x:c>
      <x:c r="F3569" s="4" t="str">
        <x:v>Record captured</x:v>
      </x:c>
      <x:c r="G3569" s="4" t="str">
        <x:v>Agreement signed</x:v>
      </x:c>
    </x:row>
    <x:row r="3570" ht="34" customHeight="1">
      <x:c r="A3570" s="4" t="str">
        <x:v>RS-03569-E1</x:v>
      </x:c>
      <x:c r="B3570" s="4" t="str">
        <x:v>RS-03569</x:v>
      </x:c>
      <x:c r="C3570" s="8" t="n">
        <x:v>45517</x:v>
      </x:c>
      <x:c r="D3570" s="4" t="str">
        <x:v>Sales operations manager</x:v>
      </x:c>
      <x:c r="E3570" s="4" t="str">
        <x:v>ERP form</x:v>
      </x:c>
      <x:c r="F3570" s="4" t="str">
        <x:v>Record captured</x:v>
      </x:c>
      <x:c r="G3570" s="4" t="str">
        <x:v>Cancelled</x:v>
      </x:c>
    </x:row>
    <x:row r="3571" ht="34" customHeight="1">
      <x:c r="A3571" s="4" t="str">
        <x:v>RS-03570-E1</x:v>
      </x:c>
      <x:c r="B3571" s="4" t="str">
        <x:v>RS-03570</x:v>
      </x:c>
      <x:c r="C3571" s="8" t="n">
        <x:v>45518</x:v>
      </x:c>
      <x:c r="D3571" s="4" t="str">
        <x:v>Sales operations manager</x:v>
      </x:c>
      <x:c r="E3571" s="4" t="str">
        <x:v>WhatsApp transcribed</x:v>
      </x:c>
      <x:c r="F3571" s="4" t="str">
        <x:v>Record captured</x:v>
      </x:c>
      <x:c r="G3571" s="4" t="str">
        <x:v>Agreement signed</x:v>
      </x:c>
    </x:row>
    <x:row r="3572" ht="34" customHeight="1">
      <x:c r="A3572" s="4" t="str">
        <x:v>RS-03571-E1</x:v>
      </x:c>
      <x:c r="B3572" s="4" t="str">
        <x:v>RS-03571</x:v>
      </x:c>
      <x:c r="C3572" s="8" t="n">
        <x:v>45519</x:v>
      </x:c>
      <x:c r="D3572" s="4" t="str">
        <x:v>Sales operations manager</x:v>
      </x:c>
      <x:c r="E3572" s="4" t="str">
        <x:v>WhatsApp transcribed</x:v>
      </x:c>
      <x:c r="F3572" s="4" t="str">
        <x:v>Record captured</x:v>
      </x:c>
      <x:c r="G3572" s="4" t="str">
        <x:v>Reserved</x:v>
      </x:c>
    </x:row>
    <x:row r="3573" ht="34" customHeight="1">
      <x:c r="A3573" s="4" t="str">
        <x:v>RS-03572-E1</x:v>
      </x:c>
      <x:c r="B3573" s="4" t="str">
        <x:v>RS-03572</x:v>
      </x:c>
      <x:c r="C3573" s="8" t="n">
        <x:v>45520</x:v>
      </x:c>
      <x:c r="D3573" s="4" t="str">
        <x:v>Sales operations manager</x:v>
      </x:c>
      <x:c r="E3573" s="4" t="str">
        <x:v>Paper transcribed</x:v>
      </x:c>
      <x:c r="F3573" s="4" t="str">
        <x:v>Record captured</x:v>
      </x:c>
      <x:c r="G3573" s="4" t="str">
        <x:v>Handed over</x:v>
      </x:c>
    </x:row>
    <x:row r="3574" ht="34" customHeight="1">
      <x:c r="A3574" s="4" t="str">
        <x:v>RS-03573-E1</x:v>
      </x:c>
      <x:c r="B3574" s="4" t="str">
        <x:v>RS-03573</x:v>
      </x:c>
      <x:c r="C3574" s="8" t="n">
        <x:v>45521</x:v>
      </x:c>
      <x:c r="D3574" s="4" t="str">
        <x:v>Sales operations manager</x:v>
      </x:c>
      <x:c r="E3574" s="4" t="str">
        <x:v>Spreadsheet import</x:v>
      </x:c>
      <x:c r="F3574" s="4" t="str">
        <x:v>Record captured</x:v>
      </x:c>
      <x:c r="G3574" s="4" t="str">
        <x:v>Agreement signed</x:v>
      </x:c>
    </x:row>
    <x:row r="3575" ht="34" customHeight="1">
      <x:c r="A3575" s="4" t="str">
        <x:v>RS-03574-E1</x:v>
      </x:c>
      <x:c r="B3575" s="4" t="str">
        <x:v>RS-03574</x:v>
      </x:c>
      <x:c r="C3575" s="8" t="n">
        <x:v>45522</x:v>
      </x:c>
      <x:c r="D3575" s="4" t="str">
        <x:v>Sales operations manager</x:v>
      </x:c>
      <x:c r="E3575" s="4" t="str">
        <x:v>ERP form</x:v>
      </x:c>
      <x:c r="F3575" s="4" t="str">
        <x:v>Record captured</x:v>
      </x:c>
      <x:c r="G3575" s="4" t="str">
        <x:v>Booked</x:v>
      </x:c>
    </x:row>
    <x:row r="3576" ht="34" customHeight="1">
      <x:c r="A3576" s="4" t="str">
        <x:v>RS-03575-E1</x:v>
      </x:c>
      <x:c r="B3576" s="4" t="str">
        <x:v>RS-03575</x:v>
      </x:c>
      <x:c r="C3576" s="8" t="n">
        <x:v>45523</x:v>
      </x:c>
      <x:c r="D3576" s="4" t="str">
        <x:v>Sales operations manager</x:v>
      </x:c>
      <x:c r="E3576" s="4" t="str">
        <x:v>ERP form</x:v>
      </x:c>
      <x:c r="F3576" s="4" t="str">
        <x:v>Record captured</x:v>
      </x:c>
      <x:c r="G3576" s="4" t="str">
        <x:v>Handed over</x:v>
      </x:c>
    </x:row>
    <x:row r="3577" ht="34" customHeight="1">
      <x:c r="A3577" s="4" t="str">
        <x:v>RS-03576-E1</x:v>
      </x:c>
      <x:c r="B3577" s="4" t="str">
        <x:v>RS-03576</x:v>
      </x:c>
      <x:c r="C3577" s="8" t="n">
        <x:v>45524</x:v>
      </x:c>
      <x:c r="D3577" s="4" t="str">
        <x:v>Sales operations manager</x:v>
      </x:c>
      <x:c r="E3577" s="4" t="str">
        <x:v>ERP form</x:v>
      </x:c>
      <x:c r="F3577" s="4" t="str">
        <x:v>Record captured</x:v>
      </x:c>
      <x:c r="G3577" s="4" t="str">
        <x:v>Reserved</x:v>
      </x:c>
    </x:row>
    <x:row r="3578" ht="34" customHeight="1">
      <x:c r="A3578" s="4" t="str">
        <x:v>RS-03577-E1</x:v>
      </x:c>
      <x:c r="B3578" s="4" t="str">
        <x:v>RS-03577</x:v>
      </x:c>
      <x:c r="C3578" s="8" t="n">
        <x:v>45525</x:v>
      </x:c>
      <x:c r="D3578" s="4" t="str">
        <x:v>Sales operations manager</x:v>
      </x:c>
      <x:c r="E3578" s="4" t="str">
        <x:v>WhatsApp transcribed</x:v>
      </x:c>
      <x:c r="F3578" s="4" t="str">
        <x:v>Record captured</x:v>
      </x:c>
      <x:c r="G3578" s="4" t="str">
        <x:v>Cancelled</x:v>
      </x:c>
    </x:row>
    <x:row r="3579" ht="34" customHeight="1">
      <x:c r="A3579" s="4" t="str">
        <x:v>RS-03578-E1</x:v>
      </x:c>
      <x:c r="B3579" s="4" t="str">
        <x:v>RS-03578</x:v>
      </x:c>
      <x:c r="C3579" s="8" t="n">
        <x:v>45526</x:v>
      </x:c>
      <x:c r="D3579" s="4" t="str">
        <x:v>Sales operations manager</x:v>
      </x:c>
      <x:c r="E3579" s="4" t="str">
        <x:v>WhatsApp transcribed</x:v>
      </x:c>
      <x:c r="F3579" s="4" t="str">
        <x:v>Record captured</x:v>
      </x:c>
      <x:c r="G3579" s="4" t="str">
        <x:v>Handed over</x:v>
      </x:c>
    </x:row>
    <x:row r="3580" ht="34" customHeight="1">
      <x:c r="A3580" s="4" t="str">
        <x:v>RS-03579-E1</x:v>
      </x:c>
      <x:c r="B3580" s="4" t="str">
        <x:v>RS-03579</x:v>
      </x:c>
      <x:c r="C3580" s="8" t="n">
        <x:v>45527</x:v>
      </x:c>
      <x:c r="D3580" s="4" t="str">
        <x:v>Sales operations manager</x:v>
      </x:c>
      <x:c r="E3580" s="4" t="str">
        <x:v>ERP form</x:v>
      </x:c>
      <x:c r="F3580" s="4" t="str">
        <x:v>Record captured</x:v>
      </x:c>
      <x:c r="G3580" s="4" t="str">
        <x:v>Booked</x:v>
      </x:c>
    </x:row>
    <x:row r="3581" ht="34" customHeight="1">
      <x:c r="A3581" s="4" t="str">
        <x:v>RS-03580-E1</x:v>
      </x:c>
      <x:c r="B3581" s="4" t="str">
        <x:v>RS-03580</x:v>
      </x:c>
      <x:c r="C3581" s="8" t="n">
        <x:v>45528</x:v>
      </x:c>
      <x:c r="D3581" s="4" t="str">
        <x:v>Sales operations manager</x:v>
      </x:c>
      <x:c r="E3581" s="4" t="str">
        <x:v>Spreadsheet import</x:v>
      </x:c>
      <x:c r="F3581" s="4" t="str">
        <x:v>Record captured</x:v>
      </x:c>
      <x:c r="G3581" s="4" t="str">
        <x:v>Enquiry</x:v>
      </x:c>
    </x:row>
    <x:row r="3582" ht="34" customHeight="1">
      <x:c r="A3582" s="4" t="str">
        <x:v>RS-03581-E1</x:v>
      </x:c>
      <x:c r="B3582" s="4" t="str">
        <x:v>RS-03581</x:v>
      </x:c>
      <x:c r="C3582" s="8" t="n">
        <x:v>45529</x:v>
      </x:c>
      <x:c r="D3582" s="4" t="str">
        <x:v>Sales operations manager</x:v>
      </x:c>
      <x:c r="E3582" s="4" t="str">
        <x:v>Spreadsheet import</x:v>
      </x:c>
      <x:c r="F3582" s="4" t="str">
        <x:v>Record captured</x:v>
      </x:c>
      <x:c r="G3582" s="4" t="str">
        <x:v>Cancelled</x:v>
      </x:c>
    </x:row>
    <x:row r="3583" ht="34" customHeight="1">
      <x:c r="A3583" s="4" t="str">
        <x:v>RS-03582-E1</x:v>
      </x:c>
      <x:c r="B3583" s="4" t="str">
        <x:v>RS-03582</x:v>
      </x:c>
      <x:c r="C3583" s="8" t="n">
        <x:v>45530</x:v>
      </x:c>
      <x:c r="D3583" s="4" t="str">
        <x:v>Sales operations manager</x:v>
      </x:c>
      <x:c r="E3583" s="4" t="str">
        <x:v>ERP form</x:v>
      </x:c>
      <x:c r="F3583" s="4" t="str">
        <x:v>Record captured</x:v>
      </x:c>
      <x:c r="G3583" s="4" t="str">
        <x:v>Handed over</x:v>
      </x:c>
    </x:row>
    <x:row r="3584" ht="34" customHeight="1">
      <x:c r="A3584" s="4" t="str">
        <x:v>RS-03583-E1</x:v>
      </x:c>
      <x:c r="B3584" s="4" t="str">
        <x:v>RS-03583</x:v>
      </x:c>
      <x:c r="C3584" s="8" t="n">
        <x:v>45531</x:v>
      </x:c>
      <x:c r="D3584" s="4" t="str">
        <x:v>Sales operations manager</x:v>
      </x:c>
      <x:c r="E3584" s="4" t="str">
        <x:v>Spreadsheet import</x:v>
      </x:c>
      <x:c r="F3584" s="4" t="str">
        <x:v>Record captured</x:v>
      </x:c>
      <x:c r="G3584" s="4" t="str">
        <x:v>Agreement signed</x:v>
      </x:c>
    </x:row>
    <x:row r="3585" ht="34" customHeight="1">
      <x:c r="A3585" s="4" t="str">
        <x:v>RS-03584-E1</x:v>
      </x:c>
      <x:c r="B3585" s="4" t="str">
        <x:v>RS-03584</x:v>
      </x:c>
      <x:c r="C3585" s="8" t="n">
        <x:v>45532</x:v>
      </x:c>
      <x:c r="D3585" s="4" t="str">
        <x:v>Sales operations manager</x:v>
      </x:c>
      <x:c r="E3585" s="4" t="str">
        <x:v>ERP form</x:v>
      </x:c>
      <x:c r="F3585" s="4" t="str">
        <x:v>Record captured</x:v>
      </x:c>
      <x:c r="G3585" s="4" t="str">
        <x:v>Cancelled</x:v>
      </x:c>
    </x:row>
    <x:row r="3586" ht="34" customHeight="1">
      <x:c r="A3586" s="4" t="str">
        <x:v>RS-03585-E1</x:v>
      </x:c>
      <x:c r="B3586" s="4" t="str">
        <x:v>RS-03585</x:v>
      </x:c>
      <x:c r="C3586" s="8" t="n">
        <x:v>45505</x:v>
      </x:c>
      <x:c r="D3586" s="4" t="str">
        <x:v>Sales operations manager</x:v>
      </x:c>
      <x:c r="E3586" s="4" t="str">
        <x:v>Paper transcribed</x:v>
      </x:c>
      <x:c r="F3586" s="4" t="str">
        <x:v>Record captured</x:v>
      </x:c>
      <x:c r="G3586" s="4" t="str">
        <x:v>Booked</x:v>
      </x:c>
    </x:row>
    <x:row r="3587" ht="34" customHeight="1">
      <x:c r="A3587" s="4" t="str">
        <x:v>RS-03586-E1</x:v>
      </x:c>
      <x:c r="B3587" s="4" t="str">
        <x:v>RS-03586</x:v>
      </x:c>
      <x:c r="C3587" s="8" t="n">
        <x:v>45506</x:v>
      </x:c>
      <x:c r="D3587" s="4" t="str">
        <x:v>Sales operations manager</x:v>
      </x:c>
      <x:c r="E3587" s="4" t="str">
        <x:v>Spreadsheet import</x:v>
      </x:c>
      <x:c r="F3587" s="4" t="str">
        <x:v>Record captured</x:v>
      </x:c>
      <x:c r="G3587" s="4" t="str">
        <x:v>Booked</x:v>
      </x:c>
    </x:row>
    <x:row r="3588" ht="34" customHeight="1">
      <x:c r="A3588" s="4" t="str">
        <x:v>RS-03587-E1</x:v>
      </x:c>
      <x:c r="B3588" s="4" t="str">
        <x:v>RS-03587</x:v>
      </x:c>
      <x:c r="C3588" s="8" t="n">
        <x:v>45507</x:v>
      </x:c>
      <x:c r="D3588" s="4" t="str">
        <x:v>Sales operations manager</x:v>
      </x:c>
      <x:c r="E3588" s="4" t="str">
        <x:v>ERP form</x:v>
      </x:c>
      <x:c r="F3588" s="4" t="str">
        <x:v>Record captured</x:v>
      </x:c>
      <x:c r="G3588" s="4" t="str">
        <x:v>Handed over</x:v>
      </x:c>
    </x:row>
    <x:row r="3589" ht="34" customHeight="1">
      <x:c r="A3589" s="4" t="str">
        <x:v>RS-03588-E1</x:v>
      </x:c>
      <x:c r="B3589" s="4" t="str">
        <x:v>RS-03588</x:v>
      </x:c>
      <x:c r="C3589" s="8" t="n">
        <x:v>45508</x:v>
      </x:c>
      <x:c r="D3589" s="4" t="str">
        <x:v>Sales operations manager</x:v>
      </x:c>
      <x:c r="E3589" s="4" t="str">
        <x:v>WhatsApp transcribed</x:v>
      </x:c>
      <x:c r="F3589" s="4" t="str">
        <x:v>Record captured</x:v>
      </x:c>
      <x:c r="G3589" s="4" t="str">
        <x:v>Handed over</x:v>
      </x:c>
    </x:row>
    <x:row r="3590" ht="34" customHeight="1">
      <x:c r="A3590" s="4" t="str">
        <x:v>RS-03589-E1</x:v>
      </x:c>
      <x:c r="B3590" s="4" t="str">
        <x:v>RS-03589</x:v>
      </x:c>
      <x:c r="C3590" s="8" t="n">
        <x:v>45509</x:v>
      </x:c>
      <x:c r="D3590" s="4" t="str">
        <x:v>Sales operations manager</x:v>
      </x:c>
      <x:c r="E3590" s="4" t="str">
        <x:v>ERP form</x:v>
      </x:c>
      <x:c r="F3590" s="4" t="str">
        <x:v>Record captured</x:v>
      </x:c>
      <x:c r="G3590" s="4" t="str">
        <x:v>Enquiry</x:v>
      </x:c>
    </x:row>
    <x:row r="3591" ht="34" customHeight="1">
      <x:c r="A3591" s="4" t="str">
        <x:v>RS-03590-E1</x:v>
      </x:c>
      <x:c r="B3591" s="4" t="str">
        <x:v>RS-03590</x:v>
      </x:c>
      <x:c r="C3591" s="8" t="n">
        <x:v>45510</x:v>
      </x:c>
      <x:c r="D3591" s="4" t="str">
        <x:v>Sales operations manager</x:v>
      </x:c>
      <x:c r="E3591" s="4" t="str">
        <x:v>ERP form</x:v>
      </x:c>
      <x:c r="F3591" s="4" t="str">
        <x:v>Record captured</x:v>
      </x:c>
      <x:c r="G3591" s="4" t="str">
        <x:v>Agreement signed</x:v>
      </x:c>
    </x:row>
    <x:row r="3592" ht="34" customHeight="1">
      <x:c r="A3592" s="4" t="str">
        <x:v>RS-03591-E1</x:v>
      </x:c>
      <x:c r="B3592" s="4" t="str">
        <x:v>RS-03591</x:v>
      </x:c>
      <x:c r="C3592" s="8" t="n">
        <x:v>45511</x:v>
      </x:c>
      <x:c r="D3592" s="4" t="str">
        <x:v>Sales operations manager</x:v>
      </x:c>
      <x:c r="E3592" s="4" t="str">
        <x:v>WhatsApp transcribed</x:v>
      </x:c>
      <x:c r="F3592" s="4" t="str">
        <x:v>Record captured</x:v>
      </x:c>
      <x:c r="G3592" s="4" t="str">
        <x:v>Enquiry</x:v>
      </x:c>
    </x:row>
    <x:row r="3593" ht="34" customHeight="1">
      <x:c r="A3593" s="4" t="str">
        <x:v>RS-03592-E1</x:v>
      </x:c>
      <x:c r="B3593" s="4" t="str">
        <x:v>RS-03592</x:v>
      </x:c>
      <x:c r="C3593" s="8" t="n">
        <x:v>45512</x:v>
      </x:c>
      <x:c r="D3593" s="4" t="str">
        <x:v>Sales operations manager</x:v>
      </x:c>
      <x:c r="E3593" s="4" t="str">
        <x:v>ERP form</x:v>
      </x:c>
      <x:c r="F3593" s="4" t="str">
        <x:v>Record captured</x:v>
      </x:c>
      <x:c r="G3593" s="4" t="str">
        <x:v>Reserved</x:v>
      </x:c>
    </x:row>
    <x:row r="3594" ht="34" customHeight="1">
      <x:c r="A3594" s="4" t="str">
        <x:v>RS-03593-E1</x:v>
      </x:c>
      <x:c r="B3594" s="4" t="str">
        <x:v>RS-03593</x:v>
      </x:c>
      <x:c r="C3594" s="8" t="n">
        <x:v>45513</x:v>
      </x:c>
      <x:c r="D3594" s="4" t="str">
        <x:v>Sales operations manager</x:v>
      </x:c>
      <x:c r="E3594" s="4" t="str">
        <x:v>Spreadsheet import</x:v>
      </x:c>
      <x:c r="F3594" s="4" t="str">
        <x:v>Record captured</x:v>
      </x:c>
      <x:c r="G3594" s="4" t="str">
        <x:v>Agreement signed</x:v>
      </x:c>
    </x:row>
    <x:row r="3595" ht="34" customHeight="1">
      <x:c r="A3595" s="4" t="str">
        <x:v>RS-03594-E1</x:v>
      </x:c>
      <x:c r="B3595" s="4" t="str">
        <x:v>RS-03594</x:v>
      </x:c>
      <x:c r="C3595" s="8" t="n">
        <x:v>45514</x:v>
      </x:c>
      <x:c r="D3595" s="4" t="str">
        <x:v>Sales operations manager</x:v>
      </x:c>
      <x:c r="E3595" s="4" t="str">
        <x:v>Spreadsheet import</x:v>
      </x:c>
      <x:c r="F3595" s="4" t="str">
        <x:v>Record captured</x:v>
      </x:c>
      <x:c r="G3595" s="4" t="str">
        <x:v>Booked</x:v>
      </x:c>
    </x:row>
    <x:row r="3596" ht="34" customHeight="1">
      <x:c r="A3596" s="4" t="str">
        <x:v>RS-03595-E1</x:v>
      </x:c>
      <x:c r="B3596" s="4" t="str">
        <x:v>RS-03595</x:v>
      </x:c>
      <x:c r="C3596" s="8" t="n">
        <x:v>45515</x:v>
      </x:c>
      <x:c r="D3596" s="4" t="str">
        <x:v>Sales operations manager</x:v>
      </x:c>
      <x:c r="E3596" s="4" t="str">
        <x:v>Spreadsheet import</x:v>
      </x:c>
      <x:c r="F3596" s="4" t="str">
        <x:v>Record captured</x:v>
      </x:c>
      <x:c r="G3596" s="4" t="str">
        <x:v>Enquiry</x:v>
      </x:c>
    </x:row>
    <x:row r="3597" ht="34" customHeight="1">
      <x:c r="A3597" s="4" t="str">
        <x:v>RS-03596-E1</x:v>
      </x:c>
      <x:c r="B3597" s="4" t="str">
        <x:v>RS-03596</x:v>
      </x:c>
      <x:c r="C3597" s="8" t="n">
        <x:v>45516</x:v>
      </x:c>
      <x:c r="D3597" s="4" t="str">
        <x:v>Sales operations manager</x:v>
      </x:c>
      <x:c r="E3597" s="4" t="str">
        <x:v>WhatsApp transcribed</x:v>
      </x:c>
      <x:c r="F3597" s="4" t="str">
        <x:v>Record captured</x:v>
      </x:c>
      <x:c r="G3597" s="4" t="str">
        <x:v>Cancelled</x:v>
      </x:c>
    </x:row>
    <x:row r="3598" ht="34" customHeight="1">
      <x:c r="A3598" s="4" t="str">
        <x:v>RS-03597-E1</x:v>
      </x:c>
      <x:c r="B3598" s="4" t="str">
        <x:v>RS-03597</x:v>
      </x:c>
      <x:c r="C3598" s="8" t="n">
        <x:v>45517</x:v>
      </x:c>
      <x:c r="D3598" s="4" t="str">
        <x:v>Sales operations manager</x:v>
      </x:c>
      <x:c r="E3598" s="4" t="str">
        <x:v>ERP form</x:v>
      </x:c>
      <x:c r="F3598" s="4" t="str">
        <x:v>Record captured</x:v>
      </x:c>
      <x:c r="G3598" s="4" t="str">
        <x:v>Agreement signed</x:v>
      </x:c>
    </x:row>
    <x:row r="3599" ht="34" customHeight="1">
      <x:c r="A3599" s="4" t="str">
        <x:v>RS-03598-E1</x:v>
      </x:c>
      <x:c r="B3599" s="4" t="str">
        <x:v>RS-03598</x:v>
      </x:c>
      <x:c r="C3599" s="8" t="n">
        <x:v>45518</x:v>
      </x:c>
      <x:c r="D3599" s="4" t="str">
        <x:v>Sales operations manager</x:v>
      </x:c>
      <x:c r="E3599" s="4" t="str">
        <x:v>Paper transcribed</x:v>
      </x:c>
      <x:c r="F3599" s="4" t="str">
        <x:v>Record captured</x:v>
      </x:c>
      <x:c r="G3599" s="4" t="str">
        <x:v>Enquiry</x:v>
      </x:c>
    </x:row>
    <x:row r="3600" ht="34" customHeight="1">
      <x:c r="A3600" s="4" t="str">
        <x:v>RS-03599-E1</x:v>
      </x:c>
      <x:c r="B3600" s="4" t="str">
        <x:v>RS-03599</x:v>
      </x:c>
      <x:c r="C3600" s="8" t="n">
        <x:v>45519</x:v>
      </x:c>
      <x:c r="D3600" s="4" t="str">
        <x:v>Sales operations manager</x:v>
      </x:c>
      <x:c r="E3600" s="4" t="str">
        <x:v>Paper transcribed</x:v>
      </x:c>
      <x:c r="F3600" s="4" t="str">
        <x:v>Record captured</x:v>
      </x:c>
      <x:c r="G3600" s="4" t="str">
        <x:v>Booked</x:v>
      </x:c>
    </x:row>
    <x:row r="3601" ht="34" customHeight="1">
      <x:c r="A3601" s="4" t="str">
        <x:v>RS-03600-E1</x:v>
      </x:c>
      <x:c r="B3601" s="4" t="str">
        <x:v>RS-03600</x:v>
      </x:c>
      <x:c r="C3601" s="8" t="n">
        <x:v>45520</x:v>
      </x:c>
      <x:c r="D3601" s="4" t="str">
        <x:v>Sales operations manager</x:v>
      </x:c>
      <x:c r="E3601" s="4" t="str">
        <x:v>Paper transcribed</x:v>
      </x:c>
      <x:c r="F3601" s="4" t="str">
        <x:v>Record captured</x:v>
      </x:c>
      <x:c r="G3601" s="4" t="str">
        <x:v>Reserved</x:v>
      </x:c>
    </x:row>
    <x:row r="3602" ht="34" customHeight="1">
      <x:c r="A3602" s="4" t="str">
        <x:v>RS-03601-E1</x:v>
      </x:c>
      <x:c r="B3602" s="4" t="str">
        <x:v>RS-03601</x:v>
      </x:c>
      <x:c r="C3602" s="8" t="n">
        <x:v>45521</x:v>
      </x:c>
      <x:c r="D3602" s="4" t="str">
        <x:v>Sales operations manager</x:v>
      </x:c>
      <x:c r="E3602" s="4" t="str">
        <x:v>ERP form</x:v>
      </x:c>
      <x:c r="F3602" s="4" t="str">
        <x:v>Record captured</x:v>
      </x:c>
      <x:c r="G3602" s="4" t="str">
        <x:v>Booked</x:v>
      </x:c>
    </x:row>
    <x:row r="3603" ht="34" customHeight="1">
      <x:c r="A3603" s="4" t="str">
        <x:v>RS-03602-E1</x:v>
      </x:c>
      <x:c r="B3603" s="4" t="str">
        <x:v>RS-03602</x:v>
      </x:c>
      <x:c r="C3603" s="8" t="n">
        <x:v>45522</x:v>
      </x:c>
      <x:c r="D3603" s="4" t="str">
        <x:v>Sales operations manager</x:v>
      </x:c>
      <x:c r="E3603" s="4" t="str">
        <x:v>Paper transcribed</x:v>
      </x:c>
      <x:c r="F3603" s="4" t="str">
        <x:v>Record captured</x:v>
      </x:c>
      <x:c r="G3603" s="4" t="str">
        <x:v>Handed over</x:v>
      </x:c>
    </x:row>
    <x:row r="3604" ht="34" customHeight="1">
      <x:c r="A3604" s="4" t="str">
        <x:v>RS-03603-E1</x:v>
      </x:c>
      <x:c r="B3604" s="4" t="str">
        <x:v>RS-03603</x:v>
      </x:c>
      <x:c r="C3604" s="8" t="n">
        <x:v>45523</x:v>
      </x:c>
      <x:c r="D3604" s="4" t="str">
        <x:v>Sales operations manager</x:v>
      </x:c>
      <x:c r="E3604" s="4" t="str">
        <x:v>Paper transcribed</x:v>
      </x:c>
      <x:c r="F3604" s="4" t="str">
        <x:v>Record captured</x:v>
      </x:c>
      <x:c r="G3604" s="4" t="str">
        <x:v>Agreement signed</x:v>
      </x:c>
    </x:row>
    <x:row r="3605" ht="34" customHeight="1">
      <x:c r="A3605" s="4" t="str">
        <x:v>RS-03604-E1</x:v>
      </x:c>
      <x:c r="B3605" s="4" t="str">
        <x:v>RS-03604</x:v>
      </x:c>
      <x:c r="C3605" s="8" t="n">
        <x:v>45524</x:v>
      </x:c>
      <x:c r="D3605" s="4" t="str">
        <x:v>Sales operations manager</x:v>
      </x:c>
      <x:c r="E3605" s="4" t="str">
        <x:v>Spreadsheet import</x:v>
      </x:c>
      <x:c r="F3605" s="4" t="str">
        <x:v>Record captured</x:v>
      </x:c>
      <x:c r="G3605" s="4" t="str">
        <x:v>Enquiry</x:v>
      </x:c>
    </x:row>
    <x:row r="3606" ht="34" customHeight="1">
      <x:c r="A3606" s="4" t="str">
        <x:v>RS-03605-E1</x:v>
      </x:c>
      <x:c r="B3606" s="4" t="str">
        <x:v>RS-03605</x:v>
      </x:c>
      <x:c r="C3606" s="8" t="n">
        <x:v>45525</x:v>
      </x:c>
      <x:c r="D3606" s="4" t="str">
        <x:v>Sales operations manager</x:v>
      </x:c>
      <x:c r="E3606" s="4" t="str">
        <x:v>ERP form</x:v>
      </x:c>
      <x:c r="F3606" s="4" t="str">
        <x:v>Record captured</x:v>
      </x:c>
      <x:c r="G3606" s="4" t="str">
        <x:v>Agreement signed</x:v>
      </x:c>
    </x:row>
    <x:row r="3607" ht="34" customHeight="1">
      <x:c r="A3607" s="4" t="str">
        <x:v>RS-03606-E1</x:v>
      </x:c>
      <x:c r="B3607" s="4" t="str">
        <x:v>RS-03606</x:v>
      </x:c>
      <x:c r="C3607" s="8" t="n">
        <x:v>45526</x:v>
      </x:c>
      <x:c r="D3607" s="4" t="str">
        <x:v>Sales operations manager</x:v>
      </x:c>
      <x:c r="E3607" s="4" t="str">
        <x:v>Paper transcribed</x:v>
      </x:c>
      <x:c r="F3607" s="4" t="str">
        <x:v>Record captured</x:v>
      </x:c>
      <x:c r="G3607" s="4" t="str">
        <x:v>Cancelled</x:v>
      </x:c>
    </x:row>
    <x:row r="3608" ht="34" customHeight="1">
      <x:c r="A3608" s="4" t="str">
        <x:v>RS-03607-E1</x:v>
      </x:c>
      <x:c r="B3608" s="4" t="str">
        <x:v>RS-03607</x:v>
      </x:c>
      <x:c r="C3608" s="8" t="n">
        <x:v>45527</x:v>
      </x:c>
      <x:c r="D3608" s="4" t="str">
        <x:v>Sales operations manager</x:v>
      </x:c>
      <x:c r="E3608" s="4" t="str">
        <x:v>Paper transcribed</x:v>
      </x:c>
      <x:c r="F3608" s="4" t="str">
        <x:v>Record captured</x:v>
      </x:c>
      <x:c r="G3608" s="4" t="str">
        <x:v>Agreement signed</x:v>
      </x:c>
    </x:row>
    <x:row r="3609" ht="34" customHeight="1">
      <x:c r="A3609" s="4" t="str">
        <x:v>RS-03608-E1</x:v>
      </x:c>
      <x:c r="B3609" s="4" t="str">
        <x:v>RS-03608</x:v>
      </x:c>
      <x:c r="C3609" s="8" t="n">
        <x:v>45528</x:v>
      </x:c>
      <x:c r="D3609" s="4" t="str">
        <x:v>Sales operations manager</x:v>
      </x:c>
      <x:c r="E3609" s="4" t="str">
        <x:v>ERP form</x:v>
      </x:c>
      <x:c r="F3609" s="4" t="str">
        <x:v>Record captured</x:v>
      </x:c>
      <x:c r="G3609" s="4" t="str">
        <x:v>Cancelled</x:v>
      </x:c>
    </x:row>
    <x:row r="3610" ht="34" customHeight="1">
      <x:c r="A3610" s="4" t="str">
        <x:v>RS-03609-E1</x:v>
      </x:c>
      <x:c r="B3610" s="4" t="str">
        <x:v>RS-03609</x:v>
      </x:c>
      <x:c r="C3610" s="8" t="n">
        <x:v>45529</x:v>
      </x:c>
      <x:c r="D3610" s="4" t="str">
        <x:v>Sales operations manager</x:v>
      </x:c>
      <x:c r="E3610" s="4" t="str">
        <x:v>Paper transcribed</x:v>
      </x:c>
      <x:c r="F3610" s="4" t="str">
        <x:v>Record captured</x:v>
      </x:c>
      <x:c r="G3610" s="4" t="str">
        <x:v>Booked</x:v>
      </x:c>
    </x:row>
    <x:row r="3611" ht="34" customHeight="1">
      <x:c r="A3611" s="4" t="str">
        <x:v>RS-03610-E1</x:v>
      </x:c>
      <x:c r="B3611" s="4" t="str">
        <x:v>RS-03610</x:v>
      </x:c>
      <x:c r="C3611" s="8" t="n">
        <x:v>45530</x:v>
      </x:c>
      <x:c r="D3611" s="4" t="str">
        <x:v>Sales operations manager</x:v>
      </x:c>
      <x:c r="E3611" s="4" t="str">
        <x:v>Spreadsheet import</x:v>
      </x:c>
      <x:c r="F3611" s="4" t="str">
        <x:v>Record captured</x:v>
      </x:c>
      <x:c r="G3611" s="4" t="str">
        <x:v>Agreement signed</x:v>
      </x:c>
    </x:row>
    <x:row r="3612" ht="34" customHeight="1">
      <x:c r="A3612" s="4" t="str">
        <x:v>RS-03611-E1</x:v>
      </x:c>
      <x:c r="B3612" s="4" t="str">
        <x:v>RS-03611</x:v>
      </x:c>
      <x:c r="C3612" s="8" t="n">
        <x:v>45531</x:v>
      </x:c>
      <x:c r="D3612" s="4" t="str">
        <x:v>Sales operations manager</x:v>
      </x:c>
      <x:c r="E3612" s="4" t="str">
        <x:v>WhatsApp transcribed</x:v>
      </x:c>
      <x:c r="F3612" s="4" t="str">
        <x:v>Record captured</x:v>
      </x:c>
      <x:c r="G3612" s="4" t="str">
        <x:v>Agreement signed</x:v>
      </x:c>
    </x:row>
    <x:row r="3613" ht="34" customHeight="1">
      <x:c r="A3613" s="4" t="str">
        <x:v>RS-03612-E1</x:v>
      </x:c>
      <x:c r="B3613" s="4" t="str">
        <x:v>RS-03612</x:v>
      </x:c>
      <x:c r="C3613" s="8" t="n">
        <x:v>45532</x:v>
      </x:c>
      <x:c r="D3613" s="4" t="str">
        <x:v>Sales operations manager</x:v>
      </x:c>
      <x:c r="E3613" s="4" t="str">
        <x:v>WhatsApp transcribed</x:v>
      </x:c>
      <x:c r="F3613" s="4" t="str">
        <x:v>Record captured</x:v>
      </x:c>
      <x:c r="G3613" s="4" t="str">
        <x:v>Booked</x:v>
      </x:c>
    </x:row>
    <x:row r="3614" ht="34" customHeight="1">
      <x:c r="A3614" s="4" t="str">
        <x:v>RS-03613-E1</x:v>
      </x:c>
      <x:c r="B3614" s="4" t="str">
        <x:v>RS-03613</x:v>
      </x:c>
      <x:c r="C3614" s="8" t="n">
        <x:v>45505</x:v>
      </x:c>
      <x:c r="D3614" s="4" t="str">
        <x:v>Sales operations manager</x:v>
      </x:c>
      <x:c r="E3614" s="4" t="str">
        <x:v>Spreadsheet import</x:v>
      </x:c>
      <x:c r="F3614" s="4" t="str">
        <x:v>Record captured</x:v>
      </x:c>
      <x:c r="G3614" s="4" t="str">
        <x:v>Enquiry</x:v>
      </x:c>
    </x:row>
    <x:row r="3615" ht="34" customHeight="1">
      <x:c r="A3615" s="4" t="str">
        <x:v>RS-03614-E1</x:v>
      </x:c>
      <x:c r="B3615" s="4" t="str">
        <x:v>RS-03614</x:v>
      </x:c>
      <x:c r="C3615" s="8" t="n">
        <x:v>45506</x:v>
      </x:c>
      <x:c r="D3615" s="4" t="str">
        <x:v>Sales operations manager</x:v>
      </x:c>
      <x:c r="E3615" s="4" t="str">
        <x:v>Spreadsheet import</x:v>
      </x:c>
      <x:c r="F3615" s="4" t="str">
        <x:v>Record captured</x:v>
      </x:c>
      <x:c r="G3615" s="4" t="str">
        <x:v>Reserved</x:v>
      </x:c>
    </x:row>
    <x:row r="3616" ht="34" customHeight="1">
      <x:c r="A3616" s="4" t="str">
        <x:v>RS-03615-E1</x:v>
      </x:c>
      <x:c r="B3616" s="4" t="str">
        <x:v>RS-03615</x:v>
      </x:c>
      <x:c r="C3616" s="8" t="n">
        <x:v>45507</x:v>
      </x:c>
      <x:c r="D3616" s="4" t="str">
        <x:v>Sales operations manager</x:v>
      </x:c>
      <x:c r="E3616" s="4" t="str">
        <x:v>Spreadsheet import</x:v>
      </x:c>
      <x:c r="F3616" s="4" t="str">
        <x:v>Record captured</x:v>
      </x:c>
      <x:c r="G3616" s="4" t="str">
        <x:v>Reserved</x:v>
      </x:c>
    </x:row>
    <x:row r="3617" ht="34" customHeight="1">
      <x:c r="A3617" s="4" t="str">
        <x:v>RS-03616-E1</x:v>
      </x:c>
      <x:c r="B3617" s="4" t="str">
        <x:v>RS-03616</x:v>
      </x:c>
      <x:c r="C3617" s="8" t="n">
        <x:v>45508</x:v>
      </x:c>
      <x:c r="D3617" s="4" t="str">
        <x:v>Sales operations manager</x:v>
      </x:c>
      <x:c r="E3617" s="4" t="str">
        <x:v>WhatsApp transcribed</x:v>
      </x:c>
      <x:c r="F3617" s="4" t="str">
        <x:v>Record captured</x:v>
      </x:c>
      <x:c r="G3617" s="4" t="str">
        <x:v>Agreement signed</x:v>
      </x:c>
    </x:row>
    <x:row r="3618" ht="34" customHeight="1">
      <x:c r="A3618" s="4" t="str">
        <x:v>RS-03617-E1</x:v>
      </x:c>
      <x:c r="B3618" s="4" t="str">
        <x:v>RS-03617</x:v>
      </x:c>
      <x:c r="C3618" s="8" t="n">
        <x:v>45509</x:v>
      </x:c>
      <x:c r="D3618" s="4" t="str">
        <x:v>Sales operations manager</x:v>
      </x:c>
      <x:c r="E3618" s="4" t="str">
        <x:v>WhatsApp transcribed</x:v>
      </x:c>
      <x:c r="F3618" s="4" t="str">
        <x:v>Record captured</x:v>
      </x:c>
      <x:c r="G3618" s="4" t="str">
        <x:v>Handed over</x:v>
      </x:c>
    </x:row>
    <x:row r="3619" ht="34" customHeight="1">
      <x:c r="A3619" s="4" t="str">
        <x:v>RS-03618-E1</x:v>
      </x:c>
      <x:c r="B3619" s="4" t="str">
        <x:v>RS-03618</x:v>
      </x:c>
      <x:c r="C3619" s="8" t="n">
        <x:v>45510</x:v>
      </x:c>
      <x:c r="D3619" s="4" t="str">
        <x:v>Sales operations manager</x:v>
      </x:c>
      <x:c r="E3619" s="4" t="str">
        <x:v>ERP form</x:v>
      </x:c>
      <x:c r="F3619" s="4" t="str">
        <x:v>Record captured</x:v>
      </x:c>
      <x:c r="G3619" s="4" t="str">
        <x:v>Booked</x:v>
      </x:c>
    </x:row>
    <x:row r="3620" ht="34" customHeight="1">
      <x:c r="A3620" s="4" t="str">
        <x:v>RS-03619-E1</x:v>
      </x:c>
      <x:c r="B3620" s="4" t="str">
        <x:v>RS-03619</x:v>
      </x:c>
      <x:c r="C3620" s="8" t="n">
        <x:v>45511</x:v>
      </x:c>
      <x:c r="D3620" s="4" t="str">
        <x:v>Sales operations manager</x:v>
      </x:c>
      <x:c r="E3620" s="4" t="str">
        <x:v>WhatsApp transcribed</x:v>
      </x:c>
      <x:c r="F3620" s="4" t="str">
        <x:v>Record captured</x:v>
      </x:c>
      <x:c r="G3620" s="4" t="str">
        <x:v>Handed over</x:v>
      </x:c>
    </x:row>
    <x:row r="3621" ht="34" customHeight="1">
      <x:c r="A3621" s="4" t="str">
        <x:v>RS-03620-E1</x:v>
      </x:c>
      <x:c r="B3621" s="4" t="str">
        <x:v>RS-03620</x:v>
      </x:c>
      <x:c r="C3621" s="8" t="n">
        <x:v>45512</x:v>
      </x:c>
      <x:c r="D3621" s="4" t="str">
        <x:v>Sales operations manager</x:v>
      </x:c>
      <x:c r="E3621" s="4" t="str">
        <x:v>WhatsApp transcribed</x:v>
      </x:c>
      <x:c r="F3621" s="4" t="str">
        <x:v>Record captured</x:v>
      </x:c>
      <x:c r="G3621" s="4" t="str">
        <x:v>Cancelled</x:v>
      </x:c>
    </x:row>
    <x:row r="3622" ht="34" customHeight="1">
      <x:c r="A3622" s="4" t="str">
        <x:v>RS-03621-E1</x:v>
      </x:c>
      <x:c r="B3622" s="4" t="str">
        <x:v>RS-03621</x:v>
      </x:c>
      <x:c r="C3622" s="8" t="n">
        <x:v>45513</x:v>
      </x:c>
      <x:c r="D3622" s="4" t="str">
        <x:v>Sales operations manager</x:v>
      </x:c>
      <x:c r="E3622" s="4" t="str">
        <x:v>Paper transcribed</x:v>
      </x:c>
      <x:c r="F3622" s="4" t="str">
        <x:v>Record captured</x:v>
      </x:c>
      <x:c r="G3622" s="4" t="str">
        <x:v>Booked</x:v>
      </x:c>
    </x:row>
    <x:row r="3623" ht="34" customHeight="1">
      <x:c r="A3623" s="4" t="str">
        <x:v>RS-03622-E1</x:v>
      </x:c>
      <x:c r="B3623" s="4" t="str">
        <x:v>RS-03622</x:v>
      </x:c>
      <x:c r="C3623" s="8" t="n">
        <x:v>45514</x:v>
      </x:c>
      <x:c r="D3623" s="4" t="str">
        <x:v>Sales operations manager</x:v>
      </x:c>
      <x:c r="E3623" s="4" t="str">
        <x:v>WhatsApp transcribed</x:v>
      </x:c>
      <x:c r="F3623" s="4" t="str">
        <x:v>Record captured</x:v>
      </x:c>
      <x:c r="G3623" s="4" t="str">
        <x:v>Booked</x:v>
      </x:c>
    </x:row>
    <x:row r="3624" ht="34" customHeight="1">
      <x:c r="A3624" s="4" t="str">
        <x:v>RS-03623-E1</x:v>
      </x:c>
      <x:c r="B3624" s="4" t="str">
        <x:v>RS-03623</x:v>
      </x:c>
      <x:c r="C3624" s="8" t="n">
        <x:v>45515</x:v>
      </x:c>
      <x:c r="D3624" s="4" t="str">
        <x:v>Sales operations manager</x:v>
      </x:c>
      <x:c r="E3624" s="4" t="str">
        <x:v>WhatsApp transcribed</x:v>
      </x:c>
      <x:c r="F3624" s="4" t="str">
        <x:v>Record captured</x:v>
      </x:c>
      <x:c r="G3624" s="4" t="str">
        <x:v>Handed over</x:v>
      </x:c>
    </x:row>
    <x:row r="3625" ht="34" customHeight="1">
      <x:c r="A3625" s="4" t="str">
        <x:v>RS-03624-E1</x:v>
      </x:c>
      <x:c r="B3625" s="4" t="str">
        <x:v>RS-03624</x:v>
      </x:c>
      <x:c r="C3625" s="8" t="n">
        <x:v>45516</x:v>
      </x:c>
      <x:c r="D3625" s="4" t="str">
        <x:v>Sales operations manager</x:v>
      </x:c>
      <x:c r="E3625" s="4" t="str">
        <x:v>WhatsApp transcribed</x:v>
      </x:c>
      <x:c r="F3625" s="4" t="str">
        <x:v>Record captured</x:v>
      </x:c>
      <x:c r="G3625" s="4" t="str">
        <x:v>Agreement signed</x:v>
      </x:c>
    </x:row>
    <x:row r="3626" ht="34" customHeight="1">
      <x:c r="A3626" s="4" t="str">
        <x:v>RS-03625-E1</x:v>
      </x:c>
      <x:c r="B3626" s="4" t="str">
        <x:v>RS-03625</x:v>
      </x:c>
      <x:c r="C3626" s="8" t="n">
        <x:v>45517</x:v>
      </x:c>
      <x:c r="D3626" s="4" t="str">
        <x:v>Sales operations manager</x:v>
      </x:c>
      <x:c r="E3626" s="4" t="str">
        <x:v>Spreadsheet import</x:v>
      </x:c>
      <x:c r="F3626" s="4" t="str">
        <x:v>Record captured</x:v>
      </x:c>
      <x:c r="G3626" s="4" t="str">
        <x:v>Cancelled</x:v>
      </x:c>
    </x:row>
    <x:row r="3627" ht="34" customHeight="1">
      <x:c r="A3627" s="4" t="str">
        <x:v>RS-03626-E1</x:v>
      </x:c>
      <x:c r="B3627" s="4" t="str">
        <x:v>RS-03626</x:v>
      </x:c>
      <x:c r="C3627" s="8" t="n">
        <x:v>45518</x:v>
      </x:c>
      <x:c r="D3627" s="4" t="str">
        <x:v>Sales operations manager</x:v>
      </x:c>
      <x:c r="E3627" s="4" t="str">
        <x:v>WhatsApp transcribed</x:v>
      </x:c>
      <x:c r="F3627" s="4" t="str">
        <x:v>Record captured</x:v>
      </x:c>
      <x:c r="G3627" s="4" t="str">
        <x:v>Handed over</x:v>
      </x:c>
    </x:row>
    <x:row r="3628" ht="34" customHeight="1">
      <x:c r="A3628" s="4" t="str">
        <x:v>RS-03627-E1</x:v>
      </x:c>
      <x:c r="B3628" s="4" t="str">
        <x:v>RS-03627</x:v>
      </x:c>
      <x:c r="C3628" s="8" t="n">
        <x:v>45519</x:v>
      </x:c>
      <x:c r="D3628" s="4" t="str">
        <x:v>Sales operations manager</x:v>
      </x:c>
      <x:c r="E3628" s="4" t="str">
        <x:v>ERP form</x:v>
      </x:c>
      <x:c r="F3628" s="4" t="str">
        <x:v>Record captured</x:v>
      </x:c>
      <x:c r="G3628" s="4" t="str">
        <x:v>Agreement signed</x:v>
      </x:c>
    </x:row>
    <x:row r="3629" ht="34" customHeight="1">
      <x:c r="A3629" s="4" t="str">
        <x:v>RS-03628-E1</x:v>
      </x:c>
      <x:c r="B3629" s="4" t="str">
        <x:v>RS-03628</x:v>
      </x:c>
      <x:c r="C3629" s="8" t="n">
        <x:v>45520</x:v>
      </x:c>
      <x:c r="D3629" s="4" t="str">
        <x:v>Sales operations manager</x:v>
      </x:c>
      <x:c r="E3629" s="4" t="str">
        <x:v>ERP form</x:v>
      </x:c>
      <x:c r="F3629" s="4" t="str">
        <x:v>Record captured</x:v>
      </x:c>
      <x:c r="G3629" s="4" t="str">
        <x:v>Enquiry</x:v>
      </x:c>
    </x:row>
    <x:row r="3630" ht="34" customHeight="1">
      <x:c r="A3630" s="4" t="str">
        <x:v>RS-03629-E1</x:v>
      </x:c>
      <x:c r="B3630" s="4" t="str">
        <x:v>RS-03629</x:v>
      </x:c>
      <x:c r="C3630" s="8" t="n">
        <x:v>45521</x:v>
      </x:c>
      <x:c r="D3630" s="4" t="str">
        <x:v>Sales operations manager</x:v>
      </x:c>
      <x:c r="E3630" s="4" t="str">
        <x:v>Spreadsheet import</x:v>
      </x:c>
      <x:c r="F3630" s="4" t="str">
        <x:v>Record captured</x:v>
      </x:c>
      <x:c r="G3630" s="4" t="str">
        <x:v>Cancelled</x:v>
      </x:c>
    </x:row>
    <x:row r="3631" ht="34" customHeight="1">
      <x:c r="A3631" s="4" t="str">
        <x:v>RS-03630-E1</x:v>
      </x:c>
      <x:c r="B3631" s="4" t="str">
        <x:v>RS-03630</x:v>
      </x:c>
      <x:c r="C3631" s="8" t="n">
        <x:v>45522</x:v>
      </x:c>
      <x:c r="D3631" s="4" t="str">
        <x:v>Sales operations manager</x:v>
      </x:c>
      <x:c r="E3631" s="4" t="str">
        <x:v>ERP form</x:v>
      </x:c>
      <x:c r="F3631" s="4" t="str">
        <x:v>Record captured</x:v>
      </x:c>
      <x:c r="G3631" s="4" t="str">
        <x:v>Cancelled</x:v>
      </x:c>
    </x:row>
    <x:row r="3632" ht="34" customHeight="1">
      <x:c r="A3632" s="4" t="str">
        <x:v>RS-03631-E1</x:v>
      </x:c>
      <x:c r="B3632" s="4" t="str">
        <x:v>RS-03631</x:v>
      </x:c>
      <x:c r="C3632" s="8" t="n">
        <x:v>45523</x:v>
      </x:c>
      <x:c r="D3632" s="4" t="str">
        <x:v>Sales operations manager</x:v>
      </x:c>
      <x:c r="E3632" s="4" t="str">
        <x:v>Spreadsheet import</x:v>
      </x:c>
      <x:c r="F3632" s="4" t="str">
        <x:v>Record captured</x:v>
      </x:c>
      <x:c r="G3632" s="4" t="str">
        <x:v>Booked</x:v>
      </x:c>
    </x:row>
    <x:row r="3633" ht="34" customHeight="1">
      <x:c r="A3633" s="4" t="str">
        <x:v>RS-03632-E1</x:v>
      </x:c>
      <x:c r="B3633" s="4" t="str">
        <x:v>RS-03632</x:v>
      </x:c>
      <x:c r="C3633" s="8" t="n">
        <x:v>45524</x:v>
      </x:c>
      <x:c r="D3633" s="4" t="str">
        <x:v>Sales operations manager</x:v>
      </x:c>
      <x:c r="E3633" s="4" t="str">
        <x:v>Paper transcribed</x:v>
      </x:c>
      <x:c r="F3633" s="4" t="str">
        <x:v>Record captured</x:v>
      </x:c>
      <x:c r="G3633" s="4" t="str">
        <x:v>Handed over</x:v>
      </x:c>
    </x:row>
    <x:row r="3634" ht="34" customHeight="1">
      <x:c r="A3634" s="4" t="str">
        <x:v>RS-03633-E1</x:v>
      </x:c>
      <x:c r="B3634" s="4" t="str">
        <x:v>RS-03633</x:v>
      </x:c>
      <x:c r="C3634" s="8" t="n">
        <x:v>45525</x:v>
      </x:c>
      <x:c r="D3634" s="4" t="str">
        <x:v>Sales operations manager</x:v>
      </x:c>
      <x:c r="E3634" s="4" t="str">
        <x:v>WhatsApp transcribed</x:v>
      </x:c>
      <x:c r="F3634" s="4" t="str">
        <x:v>Record captured</x:v>
      </x:c>
      <x:c r="G3634" s="4" t="str">
        <x:v>Agreement signed</x:v>
      </x:c>
    </x:row>
    <x:row r="3635" ht="34" customHeight="1">
      <x:c r="A3635" s="4" t="str">
        <x:v>RS-03634-E1</x:v>
      </x:c>
      <x:c r="B3635" s="4" t="str">
        <x:v>RS-03634</x:v>
      </x:c>
      <x:c r="C3635" s="8" t="n">
        <x:v>45526</x:v>
      </x:c>
      <x:c r="D3635" s="4" t="str">
        <x:v>Sales operations manager</x:v>
      </x:c>
      <x:c r="E3635" s="4" t="str">
        <x:v>Spreadsheet import</x:v>
      </x:c>
      <x:c r="F3635" s="4" t="str">
        <x:v>Record captured</x:v>
      </x:c>
      <x:c r="G3635" s="4" t="str">
        <x:v>Handed over</x:v>
      </x:c>
    </x:row>
    <x:row r="3636" ht="34" customHeight="1">
      <x:c r="A3636" s="4" t="str">
        <x:v>RS-03635-E1</x:v>
      </x:c>
      <x:c r="B3636" s="4" t="str">
        <x:v>RS-03635</x:v>
      </x:c>
      <x:c r="C3636" s="8" t="n">
        <x:v>45527</x:v>
      </x:c>
      <x:c r="D3636" s="4" t="str">
        <x:v>Sales operations manager</x:v>
      </x:c>
      <x:c r="E3636" s="4" t="str">
        <x:v>ERP form</x:v>
      </x:c>
      <x:c r="F3636" s="4" t="str">
        <x:v>Record captured</x:v>
      </x:c>
      <x:c r="G3636" s="4" t="str">
        <x:v>Agreement signed</x:v>
      </x:c>
    </x:row>
    <x:row r="3637" ht="34" customHeight="1">
      <x:c r="A3637" s="4" t="str">
        <x:v>RS-03636-E1</x:v>
      </x:c>
      <x:c r="B3637" s="4" t="str">
        <x:v>RS-03636</x:v>
      </x:c>
      <x:c r="C3637" s="8" t="n">
        <x:v>45528</x:v>
      </x:c>
      <x:c r="D3637" s="4" t="str">
        <x:v>Sales operations manager</x:v>
      </x:c>
      <x:c r="E3637" s="4" t="str">
        <x:v>Spreadsheet import</x:v>
      </x:c>
      <x:c r="F3637" s="4" t="str">
        <x:v>Record captured</x:v>
      </x:c>
      <x:c r="G3637" s="4" t="str">
        <x:v>Agreement signed</x:v>
      </x:c>
    </x:row>
    <x:row r="3638" ht="34" customHeight="1">
      <x:c r="A3638" s="4" t="str">
        <x:v>RS-03637-E1</x:v>
      </x:c>
      <x:c r="B3638" s="4" t="str">
        <x:v>RS-03637</x:v>
      </x:c>
      <x:c r="C3638" s="8" t="n">
        <x:v>45529</x:v>
      </x:c>
      <x:c r="D3638" s="4" t="str">
        <x:v>Sales operations manager</x:v>
      </x:c>
      <x:c r="E3638" s="4" t="str">
        <x:v>Paper transcribed</x:v>
      </x:c>
      <x:c r="F3638" s="4" t="str">
        <x:v>Record captured</x:v>
      </x:c>
      <x:c r="G3638" s="4" t="str">
        <x:v>Reserved</x:v>
      </x:c>
    </x:row>
    <x:row r="3639" ht="34" customHeight="1">
      <x:c r="A3639" s="4" t="str">
        <x:v>RS-03638-E1</x:v>
      </x:c>
      <x:c r="B3639" s="4" t="str">
        <x:v>RS-03638</x:v>
      </x:c>
      <x:c r="C3639" s="8" t="n">
        <x:v>45530</x:v>
      </x:c>
      <x:c r="D3639" s="4" t="str">
        <x:v>Sales operations manager</x:v>
      </x:c>
      <x:c r="E3639" s="4" t="str">
        <x:v>WhatsApp transcribed</x:v>
      </x:c>
      <x:c r="F3639" s="4" t="str">
        <x:v>Record captured</x:v>
      </x:c>
      <x:c r="G3639" s="4" t="str">
        <x:v>Handed over</x:v>
      </x:c>
    </x:row>
    <x:row r="3640" ht="34" customHeight="1">
      <x:c r="A3640" s="4" t="str">
        <x:v>RS-03639-E1</x:v>
      </x:c>
      <x:c r="B3640" s="4" t="str">
        <x:v>RS-03639</x:v>
      </x:c>
      <x:c r="C3640" s="8" t="n">
        <x:v>45531</x:v>
      </x:c>
      <x:c r="D3640" s="4" t="str">
        <x:v>Sales operations manager</x:v>
      </x:c>
      <x:c r="E3640" s="4" t="str">
        <x:v>ERP form</x:v>
      </x:c>
      <x:c r="F3640" s="4" t="str">
        <x:v>Record captured</x:v>
      </x:c>
      <x:c r="G3640" s="4" t="str">
        <x:v>Handed over</x:v>
      </x:c>
    </x:row>
    <x:row r="3641" ht="34" customHeight="1">
      <x:c r="A3641" s="4" t="str">
        <x:v>RS-03640-E1</x:v>
      </x:c>
      <x:c r="B3641" s="4" t="str">
        <x:v>RS-03640</x:v>
      </x:c>
      <x:c r="C3641" s="8" t="n">
        <x:v>45532</x:v>
      </x:c>
      <x:c r="D3641" s="4" t="str">
        <x:v>Sales operations manager</x:v>
      </x:c>
      <x:c r="E3641" s="4" t="str">
        <x:v>ERP form</x:v>
      </x:c>
      <x:c r="F3641" s="4" t="str">
        <x:v>Record captured</x:v>
      </x:c>
      <x:c r="G3641" s="4" t="str">
        <x:v>Cancelled</x:v>
      </x:c>
    </x:row>
    <x:row r="3642" ht="34" customHeight="1">
      <x:c r="A3642" s="4" t="str">
        <x:v>RS-03641-E1</x:v>
      </x:c>
      <x:c r="B3642" s="4" t="str">
        <x:v>RS-03641</x:v>
      </x:c>
      <x:c r="C3642" s="8" t="n">
        <x:v>45505</x:v>
      </x:c>
      <x:c r="D3642" s="4" t="str">
        <x:v>Sales operations manager</x:v>
      </x:c>
      <x:c r="E3642" s="4" t="str">
        <x:v>ERP form</x:v>
      </x:c>
      <x:c r="F3642" s="4" t="str">
        <x:v>Record captured</x:v>
      </x:c>
      <x:c r="G3642" s="4" t="str">
        <x:v>Reserved</x:v>
      </x:c>
    </x:row>
    <x:row r="3643" ht="34" customHeight="1">
      <x:c r="A3643" s="4" t="str">
        <x:v>RS-03642-E1</x:v>
      </x:c>
      <x:c r="B3643" s="4" t="str">
        <x:v>RS-03642</x:v>
      </x:c>
      <x:c r="C3643" s="8" t="n">
        <x:v>45506</x:v>
      </x:c>
      <x:c r="D3643" s="4" t="str">
        <x:v>Sales operations manager</x:v>
      </x:c>
      <x:c r="E3643" s="4" t="str">
        <x:v>Spreadsheet import</x:v>
      </x:c>
      <x:c r="F3643" s="4" t="str">
        <x:v>Record captured</x:v>
      </x:c>
      <x:c r="G3643" s="4" t="str">
        <x:v>Enquiry</x:v>
      </x:c>
    </x:row>
    <x:row r="3644" ht="34" customHeight="1">
      <x:c r="A3644" s="4" t="str">
        <x:v>RS-03643-E1</x:v>
      </x:c>
      <x:c r="B3644" s="4" t="str">
        <x:v>RS-03643</x:v>
      </x:c>
      <x:c r="C3644" s="8" t="n">
        <x:v>45507</x:v>
      </x:c>
      <x:c r="D3644" s="4" t="str">
        <x:v>Sales operations manager</x:v>
      </x:c>
      <x:c r="E3644" s="4" t="str">
        <x:v>ERP form</x:v>
      </x:c>
      <x:c r="F3644" s="4" t="str">
        <x:v>Record captured</x:v>
      </x:c>
      <x:c r="G3644" s="4" t="str">
        <x:v>Agreement signed</x:v>
      </x:c>
    </x:row>
    <x:row r="3645" ht="34" customHeight="1">
      <x:c r="A3645" s="4" t="str">
        <x:v>RS-03644-E1</x:v>
      </x:c>
      <x:c r="B3645" s="4" t="str">
        <x:v>RS-03644</x:v>
      </x:c>
      <x:c r="C3645" s="8" t="n">
        <x:v>45508</x:v>
      </x:c>
      <x:c r="D3645" s="4" t="str">
        <x:v>Sales operations manager</x:v>
      </x:c>
      <x:c r="E3645" s="4" t="str">
        <x:v>Spreadsheet import</x:v>
      </x:c>
      <x:c r="F3645" s="4" t="str">
        <x:v>Record captured</x:v>
      </x:c>
      <x:c r="G3645" s="4" t="str">
        <x:v>Booked</x:v>
      </x:c>
    </x:row>
    <x:row r="3646" ht="34" customHeight="1">
      <x:c r="A3646" s="4" t="str">
        <x:v>RS-03645-E1</x:v>
      </x:c>
      <x:c r="B3646" s="4" t="str">
        <x:v>RS-03645</x:v>
      </x:c>
      <x:c r="C3646" s="8" t="n">
        <x:v>45509</x:v>
      </x:c>
      <x:c r="D3646" s="4" t="str">
        <x:v>Sales operations manager</x:v>
      </x:c>
      <x:c r="E3646" s="4" t="str">
        <x:v>WhatsApp transcribed</x:v>
      </x:c>
      <x:c r="F3646" s="4" t="str">
        <x:v>Record captured</x:v>
      </x:c>
      <x:c r="G3646" s="4" t="str">
        <x:v>Enquiry</x:v>
      </x:c>
    </x:row>
    <x:row r="3647" ht="34" customHeight="1">
      <x:c r="A3647" s="4" t="str">
        <x:v>RS-03646-E1</x:v>
      </x:c>
      <x:c r="B3647" s="4" t="str">
        <x:v>RS-03646</x:v>
      </x:c>
      <x:c r="C3647" s="8" t="n">
        <x:v>45510</x:v>
      </x:c>
      <x:c r="D3647" s="4" t="str">
        <x:v>Sales operations manager</x:v>
      </x:c>
      <x:c r="E3647" s="4" t="str">
        <x:v>Spreadsheet import</x:v>
      </x:c>
      <x:c r="F3647" s="4" t="str">
        <x:v>Record captured</x:v>
      </x:c>
      <x:c r="G3647" s="4" t="str">
        <x:v>Handed over</x:v>
      </x:c>
    </x:row>
    <x:row r="3648" ht="34" customHeight="1">
      <x:c r="A3648" s="4" t="str">
        <x:v>RS-03647-E1</x:v>
      </x:c>
      <x:c r="B3648" s="4" t="str">
        <x:v>RS-03647</x:v>
      </x:c>
      <x:c r="C3648" s="8" t="n">
        <x:v>45511</x:v>
      </x:c>
      <x:c r="D3648" s="4" t="str">
        <x:v>Sales operations manager</x:v>
      </x:c>
      <x:c r="E3648" s="4" t="str">
        <x:v>ERP form</x:v>
      </x:c>
      <x:c r="F3648" s="4" t="str">
        <x:v>Record captured</x:v>
      </x:c>
      <x:c r="G3648" s="4" t="str">
        <x:v>Handed over</x:v>
      </x:c>
    </x:row>
    <x:row r="3649" ht="34" customHeight="1">
      <x:c r="A3649" s="4" t="str">
        <x:v>RS-03648-E1</x:v>
      </x:c>
      <x:c r="B3649" s="4" t="str">
        <x:v>RS-03648</x:v>
      </x:c>
      <x:c r="C3649" s="8" t="n">
        <x:v>45512</x:v>
      </x:c>
      <x:c r="D3649" s="4" t="str">
        <x:v>Sales operations manager</x:v>
      </x:c>
      <x:c r="E3649" s="4" t="str">
        <x:v>Spreadsheet import</x:v>
      </x:c>
      <x:c r="F3649" s="4" t="str">
        <x:v>Record captured</x:v>
      </x:c>
      <x:c r="G3649" s="4" t="str">
        <x:v>Handed over</x:v>
      </x:c>
    </x:row>
    <x:row r="3650" ht="34" customHeight="1">
      <x:c r="A3650" s="4" t="str">
        <x:v>RS-03649-E1</x:v>
      </x:c>
      <x:c r="B3650" s="4" t="str">
        <x:v>RS-03649</x:v>
      </x:c>
      <x:c r="C3650" s="8" t="n">
        <x:v>45513</x:v>
      </x:c>
      <x:c r="D3650" s="4" t="str">
        <x:v>Sales operations manager</x:v>
      </x:c>
      <x:c r="E3650" s="4" t="str">
        <x:v>WhatsApp transcribed</x:v>
      </x:c>
      <x:c r="F3650" s="4" t="str">
        <x:v>Record captured</x:v>
      </x:c>
      <x:c r="G3650" s="4" t="str">
        <x:v>Enquiry</x:v>
      </x:c>
    </x:row>
    <x:row r="3651" ht="34" customHeight="1">
      <x:c r="A3651" s="4" t="str">
        <x:v>RS-03650-E1</x:v>
      </x:c>
      <x:c r="B3651" s="4" t="str">
        <x:v>RS-03650</x:v>
      </x:c>
      <x:c r="C3651" s="8" t="n">
        <x:v>45514</x:v>
      </x:c>
      <x:c r="D3651" s="4" t="str">
        <x:v>Sales operations manager</x:v>
      </x:c>
      <x:c r="E3651" s="4" t="str">
        <x:v>WhatsApp transcribed</x:v>
      </x:c>
      <x:c r="F3651" s="4" t="str">
        <x:v>Record captured</x:v>
      </x:c>
      <x:c r="G3651" s="4" t="str">
        <x:v>Handed over</x:v>
      </x:c>
    </x:row>
    <x:row r="3652" ht="34" customHeight="1">
      <x:c r="A3652" s="4" t="str">
        <x:v>RS-03651-E1</x:v>
      </x:c>
      <x:c r="B3652" s="4" t="str">
        <x:v>RS-03651</x:v>
      </x:c>
      <x:c r="C3652" s="8" t="n">
        <x:v>45515</x:v>
      </x:c>
      <x:c r="D3652" s="4" t="str">
        <x:v>Sales operations manager</x:v>
      </x:c>
      <x:c r="E3652" s="4" t="str">
        <x:v>WhatsApp transcribed</x:v>
      </x:c>
      <x:c r="F3652" s="4" t="str">
        <x:v>Record captured</x:v>
      </x:c>
      <x:c r="G3652" s="4" t="str">
        <x:v>Cancelled</x:v>
      </x:c>
    </x:row>
    <x:row r="3653" ht="34" customHeight="1">
      <x:c r="A3653" s="4" t="str">
        <x:v>RS-03652-E1</x:v>
      </x:c>
      <x:c r="B3653" s="4" t="str">
        <x:v>RS-03652</x:v>
      </x:c>
      <x:c r="C3653" s="8" t="n">
        <x:v>45516</x:v>
      </x:c>
      <x:c r="D3653" s="4" t="str">
        <x:v>Sales operations manager</x:v>
      </x:c>
      <x:c r="E3653" s="4" t="str">
        <x:v>Paper transcribed</x:v>
      </x:c>
      <x:c r="F3653" s="4" t="str">
        <x:v>Record captured</x:v>
      </x:c>
      <x:c r="G3653" s="4" t="str">
        <x:v>Booked</x:v>
      </x:c>
    </x:row>
    <x:row r="3654" ht="34" customHeight="1">
      <x:c r="A3654" s="4" t="str">
        <x:v>RS-03653-E1</x:v>
      </x:c>
      <x:c r="B3654" s="4" t="str">
        <x:v>RS-03653</x:v>
      </x:c>
      <x:c r="C3654" s="8" t="n">
        <x:v>45517</x:v>
      </x:c>
      <x:c r="D3654" s="4" t="str">
        <x:v>Sales operations manager</x:v>
      </x:c>
      <x:c r="E3654" s="4" t="str">
        <x:v>Paper transcribed</x:v>
      </x:c>
      <x:c r="F3654" s="4" t="str">
        <x:v>Record captured</x:v>
      </x:c>
      <x:c r="G3654" s="4" t="str">
        <x:v>Reserved</x:v>
      </x:c>
    </x:row>
    <x:row r="3655" ht="34" customHeight="1">
      <x:c r="A3655" s="4" t="str">
        <x:v>RS-03654-E1</x:v>
      </x:c>
      <x:c r="B3655" s="4" t="str">
        <x:v>RS-03654</x:v>
      </x:c>
      <x:c r="C3655" s="8" t="n">
        <x:v>45518</x:v>
      </x:c>
      <x:c r="D3655" s="4" t="str">
        <x:v>Sales operations manager</x:v>
      </x:c>
      <x:c r="E3655" s="4" t="str">
        <x:v>WhatsApp transcribed</x:v>
      </x:c>
      <x:c r="F3655" s="4" t="str">
        <x:v>Record captured</x:v>
      </x:c>
      <x:c r="G3655" s="4" t="str">
        <x:v>Enquiry</x:v>
      </x:c>
    </x:row>
    <x:row r="3656" ht="34" customHeight="1">
      <x:c r="A3656" s="4" t="str">
        <x:v>RS-03655-E1</x:v>
      </x:c>
      <x:c r="B3656" s="4" t="str">
        <x:v>RS-03655</x:v>
      </x:c>
      <x:c r="C3656" s="8" t="n">
        <x:v>45519</x:v>
      </x:c>
      <x:c r="D3656" s="4" t="str">
        <x:v>Sales operations manager</x:v>
      </x:c>
      <x:c r="E3656" s="4" t="str">
        <x:v>Paper transcribed</x:v>
      </x:c>
      <x:c r="F3656" s="4" t="str">
        <x:v>Record captured</x:v>
      </x:c>
      <x:c r="G3656" s="4" t="str">
        <x:v>Reserved</x:v>
      </x:c>
    </x:row>
    <x:row r="3657" ht="34" customHeight="1">
      <x:c r="A3657" s="4" t="str">
        <x:v>RS-03656-E1</x:v>
      </x:c>
      <x:c r="B3657" s="4" t="str">
        <x:v>RS-03656</x:v>
      </x:c>
      <x:c r="C3657" s="8" t="n">
        <x:v>45520</x:v>
      </x:c>
      <x:c r="D3657" s="4" t="str">
        <x:v>Sales operations manager</x:v>
      </x:c>
      <x:c r="E3657" s="4" t="str">
        <x:v>Spreadsheet import</x:v>
      </x:c>
      <x:c r="F3657" s="4" t="str">
        <x:v>Record captured</x:v>
      </x:c>
      <x:c r="G3657" s="4" t="str">
        <x:v>Reserved</x:v>
      </x:c>
    </x:row>
    <x:row r="3658" ht="34" customHeight="1">
      <x:c r="A3658" s="4" t="str">
        <x:v>RS-03657-E1</x:v>
      </x:c>
      <x:c r="B3658" s="4" t="str">
        <x:v>RS-03657</x:v>
      </x:c>
      <x:c r="C3658" s="8" t="n">
        <x:v>45521</x:v>
      </x:c>
      <x:c r="D3658" s="4" t="str">
        <x:v>Sales operations manager</x:v>
      </x:c>
      <x:c r="E3658" s="4" t="str">
        <x:v>Paper transcribed</x:v>
      </x:c>
      <x:c r="F3658" s="4" t="str">
        <x:v>Record captured</x:v>
      </x:c>
      <x:c r="G3658" s="4" t="str">
        <x:v>Enquiry</x:v>
      </x:c>
    </x:row>
    <x:row r="3659" ht="34" customHeight="1">
      <x:c r="A3659" s="4" t="str">
        <x:v>RS-03658-E1</x:v>
      </x:c>
      <x:c r="B3659" s="4" t="str">
        <x:v>RS-03658</x:v>
      </x:c>
      <x:c r="C3659" s="8" t="n">
        <x:v>45522</x:v>
      </x:c>
      <x:c r="D3659" s="4" t="str">
        <x:v>Sales operations manager</x:v>
      </x:c>
      <x:c r="E3659" s="4" t="str">
        <x:v>Spreadsheet import</x:v>
      </x:c>
      <x:c r="F3659" s="4" t="str">
        <x:v>Record captured</x:v>
      </x:c>
      <x:c r="G3659" s="4" t="str">
        <x:v>Agreement signed</x:v>
      </x:c>
    </x:row>
    <x:row r="3660" ht="34" customHeight="1">
      <x:c r="A3660" s="4" t="str">
        <x:v>RS-03659-E1</x:v>
      </x:c>
      <x:c r="B3660" s="4" t="str">
        <x:v>RS-03659</x:v>
      </x:c>
      <x:c r="C3660" s="8" t="n">
        <x:v>45523</x:v>
      </x:c>
      <x:c r="D3660" s="4" t="str">
        <x:v>Sales operations manager</x:v>
      </x:c>
      <x:c r="E3660" s="4" t="str">
        <x:v>Paper transcribed</x:v>
      </x:c>
      <x:c r="F3660" s="4" t="str">
        <x:v>Record captured</x:v>
      </x:c>
      <x:c r="G3660" s="4" t="str">
        <x:v>Handed over</x:v>
      </x:c>
    </x:row>
    <x:row r="3661" ht="34" customHeight="1">
      <x:c r="A3661" s="4" t="str">
        <x:v>RS-03660-E1</x:v>
      </x:c>
      <x:c r="B3661" s="4" t="str">
        <x:v>RS-03660</x:v>
      </x:c>
      <x:c r="C3661" s="8" t="n">
        <x:v>45524</x:v>
      </x:c>
      <x:c r="D3661" s="4" t="str">
        <x:v>Sales operations manager</x:v>
      </x:c>
      <x:c r="E3661" s="4" t="str">
        <x:v>Paper transcribed</x:v>
      </x:c>
      <x:c r="F3661" s="4" t="str">
        <x:v>Record captured</x:v>
      </x:c>
      <x:c r="G3661" s="4" t="str">
        <x:v>Enquiry</x:v>
      </x:c>
    </x:row>
    <x:row r="3662" ht="34" customHeight="1">
      <x:c r="A3662" s="4" t="str">
        <x:v>RS-03661-E1</x:v>
      </x:c>
      <x:c r="B3662" s="4" t="str">
        <x:v>RS-03661</x:v>
      </x:c>
      <x:c r="C3662" s="8" t="n">
        <x:v>45525</x:v>
      </x:c>
      <x:c r="D3662" s="4" t="str">
        <x:v>Sales operations manager</x:v>
      </x:c>
      <x:c r="E3662" s="4" t="str">
        <x:v>WhatsApp transcribed</x:v>
      </x:c>
      <x:c r="F3662" s="4" t="str">
        <x:v>Record captured</x:v>
      </x:c>
      <x:c r="G3662" s="4" t="str">
        <x:v>Cancelled</x:v>
      </x:c>
    </x:row>
    <x:row r="3663" ht="34" customHeight="1">
      <x:c r="A3663" s="4" t="str">
        <x:v>RS-03662-E1</x:v>
      </x:c>
      <x:c r="B3663" s="4" t="str">
        <x:v>RS-03662</x:v>
      </x:c>
      <x:c r="C3663" s="8" t="n">
        <x:v>45526</x:v>
      </x:c>
      <x:c r="D3663" s="4" t="str">
        <x:v>Sales operations manager</x:v>
      </x:c>
      <x:c r="E3663" s="4" t="str">
        <x:v>Spreadsheet import</x:v>
      </x:c>
      <x:c r="F3663" s="4" t="str">
        <x:v>Record captured</x:v>
      </x:c>
      <x:c r="G3663" s="4" t="str">
        <x:v>Reserved</x:v>
      </x:c>
    </x:row>
    <x:row r="3664" ht="34" customHeight="1">
      <x:c r="A3664" s="4" t="str">
        <x:v>RS-03663-E1</x:v>
      </x:c>
      <x:c r="B3664" s="4" t="str">
        <x:v>RS-03663</x:v>
      </x:c>
      <x:c r="C3664" s="8" t="n">
        <x:v>45527</x:v>
      </x:c>
      <x:c r="D3664" s="4" t="str">
        <x:v>Sales operations manager</x:v>
      </x:c>
      <x:c r="E3664" s="4" t="str">
        <x:v>Spreadsheet import</x:v>
      </x:c>
      <x:c r="F3664" s="4" t="str">
        <x:v>Record captured</x:v>
      </x:c>
      <x:c r="G3664" s="4" t="str">
        <x:v>Booked</x:v>
      </x:c>
    </x:row>
    <x:row r="3665" ht="34" customHeight="1">
      <x:c r="A3665" s="4" t="str">
        <x:v>RS-03664-E1</x:v>
      </x:c>
      <x:c r="B3665" s="4" t="str">
        <x:v>RS-03664</x:v>
      </x:c>
      <x:c r="C3665" s="8" t="n">
        <x:v>45528</x:v>
      </x:c>
      <x:c r="D3665" s="4" t="str">
        <x:v>Sales operations manager</x:v>
      </x:c>
      <x:c r="E3665" s="4" t="str">
        <x:v>Paper transcribed</x:v>
      </x:c>
      <x:c r="F3665" s="4" t="str">
        <x:v>Record captured</x:v>
      </x:c>
      <x:c r="G3665" s="4" t="str">
        <x:v>Agreement signed</x:v>
      </x:c>
    </x:row>
    <x:row r="3666" ht="34" customHeight="1">
      <x:c r="A3666" s="4" t="str">
        <x:v>RS-03665-E1</x:v>
      </x:c>
      <x:c r="B3666" s="4" t="str">
        <x:v>RS-03665</x:v>
      </x:c>
      <x:c r="C3666" s="8" t="n">
        <x:v>45529</x:v>
      </x:c>
      <x:c r="D3666" s="4" t="str">
        <x:v>Sales operations manager</x:v>
      </x:c>
      <x:c r="E3666" s="4" t="str">
        <x:v>ERP form</x:v>
      </x:c>
      <x:c r="F3666" s="4" t="str">
        <x:v>Record captured</x:v>
      </x:c>
      <x:c r="G3666" s="4" t="str">
        <x:v>Reserved</x:v>
      </x:c>
    </x:row>
    <x:row r="3667" ht="34" customHeight="1">
      <x:c r="A3667" s="4" t="str">
        <x:v>RS-03666-E1</x:v>
      </x:c>
      <x:c r="B3667" s="4" t="str">
        <x:v>RS-03666</x:v>
      </x:c>
      <x:c r="C3667" s="8" t="n">
        <x:v>45530</x:v>
      </x:c>
      <x:c r="D3667" s="4" t="str">
        <x:v>Sales operations manager</x:v>
      </x:c>
      <x:c r="E3667" s="4" t="str">
        <x:v>WhatsApp transcribed</x:v>
      </x:c>
      <x:c r="F3667" s="4" t="str">
        <x:v>Record captured</x:v>
      </x:c>
      <x:c r="G3667" s="4" t="str">
        <x:v>Enquiry</x:v>
      </x:c>
    </x:row>
    <x:row r="3668" ht="34" customHeight="1">
      <x:c r="A3668" s="4" t="str">
        <x:v>RS-03667-E1</x:v>
      </x:c>
      <x:c r="B3668" s="4" t="str">
        <x:v>RS-03667</x:v>
      </x:c>
      <x:c r="C3668" s="8" t="n">
        <x:v>45531</x:v>
      </x:c>
      <x:c r="D3668" s="4" t="str">
        <x:v>Sales operations manager</x:v>
      </x:c>
      <x:c r="E3668" s="4" t="str">
        <x:v>Spreadsheet import</x:v>
      </x:c>
      <x:c r="F3668" s="4" t="str">
        <x:v>Record captured</x:v>
      </x:c>
      <x:c r="G3668" s="4" t="str">
        <x:v>Handed over</x:v>
      </x:c>
    </x:row>
    <x:row r="3669" ht="34" customHeight="1">
      <x:c r="A3669" s="4" t="str">
        <x:v>RS-03668-E1</x:v>
      </x:c>
      <x:c r="B3669" s="4" t="str">
        <x:v>RS-03668</x:v>
      </x:c>
      <x:c r="C3669" s="8" t="n">
        <x:v>45532</x:v>
      </x:c>
      <x:c r="D3669" s="4" t="str">
        <x:v>Sales operations manager</x:v>
      </x:c>
      <x:c r="E3669" s="4" t="str">
        <x:v>Paper transcribed</x:v>
      </x:c>
      <x:c r="F3669" s="4" t="str">
        <x:v>Record captured</x:v>
      </x:c>
      <x:c r="G3669" s="4" t="str">
        <x:v>Cancelled</x:v>
      </x:c>
    </x:row>
    <x:row r="3670" ht="34" customHeight="1">
      <x:c r="A3670" s="4" t="str">
        <x:v>RS-03669-E1</x:v>
      </x:c>
      <x:c r="B3670" s="4" t="str">
        <x:v>RS-03669</x:v>
      </x:c>
      <x:c r="C3670" s="8" t="n">
        <x:v>45505</x:v>
      </x:c>
      <x:c r="D3670" s="4" t="str">
        <x:v>Sales operations manager</x:v>
      </x:c>
      <x:c r="E3670" s="4" t="str">
        <x:v>Spreadsheet import</x:v>
      </x:c>
      <x:c r="F3670" s="4" t="str">
        <x:v>Record captured</x:v>
      </x:c>
      <x:c r="G3670" s="4" t="str">
        <x:v>Handed over</x:v>
      </x:c>
    </x:row>
    <x:row r="3671" ht="34" customHeight="1">
      <x:c r="A3671" s="4" t="str">
        <x:v>RS-03670-E1</x:v>
      </x:c>
      <x:c r="B3671" s="4" t="str">
        <x:v>RS-03670</x:v>
      </x:c>
      <x:c r="C3671" s="8" t="n">
        <x:v>45506</x:v>
      </x:c>
      <x:c r="D3671" s="4" t="str">
        <x:v>Sales operations manager</x:v>
      </x:c>
      <x:c r="E3671" s="4" t="str">
        <x:v>Spreadsheet import</x:v>
      </x:c>
      <x:c r="F3671" s="4" t="str">
        <x:v>Record captured</x:v>
      </x:c>
      <x:c r="G3671" s="4" t="str">
        <x:v>Handed over</x:v>
      </x:c>
    </x:row>
    <x:row r="3672" ht="34" customHeight="1">
      <x:c r="A3672" s="4" t="str">
        <x:v>RS-03671-E1</x:v>
      </x:c>
      <x:c r="B3672" s="4" t="str">
        <x:v>RS-03671</x:v>
      </x:c>
      <x:c r="C3672" s="8" t="n">
        <x:v>45507</x:v>
      </x:c>
      <x:c r="D3672" s="4" t="str">
        <x:v>Sales operations manager</x:v>
      </x:c>
      <x:c r="E3672" s="4" t="str">
        <x:v>Paper transcribed</x:v>
      </x:c>
      <x:c r="F3672" s="4" t="str">
        <x:v>Record captured</x:v>
      </x:c>
      <x:c r="G3672" s="4" t="str">
        <x:v>Cancelled</x:v>
      </x:c>
    </x:row>
    <x:row r="3673" ht="34" customHeight="1">
      <x:c r="A3673" s="4" t="str">
        <x:v>RS-03672-E1</x:v>
      </x:c>
      <x:c r="B3673" s="4" t="str">
        <x:v>RS-03672</x:v>
      </x:c>
      <x:c r="C3673" s="8" t="n">
        <x:v>45508</x:v>
      </x:c>
      <x:c r="D3673" s="4" t="str">
        <x:v>Sales operations manager</x:v>
      </x:c>
      <x:c r="E3673" s="4" t="str">
        <x:v>Paper transcribed</x:v>
      </x:c>
      <x:c r="F3673" s="4" t="str">
        <x:v>Record captured</x:v>
      </x:c>
      <x:c r="G3673" s="4" t="str">
        <x:v>Booked</x:v>
      </x:c>
    </x:row>
    <x:row r="3674" ht="34" customHeight="1">
      <x:c r="A3674" s="4" t="str">
        <x:v>RS-03673-E1</x:v>
      </x:c>
      <x:c r="B3674" s="4" t="str">
        <x:v>RS-03673</x:v>
      </x:c>
      <x:c r="C3674" s="8" t="n">
        <x:v>45509</x:v>
      </x:c>
      <x:c r="D3674" s="4" t="str">
        <x:v>Sales operations manager</x:v>
      </x:c>
      <x:c r="E3674" s="4" t="str">
        <x:v>Paper transcribed</x:v>
      </x:c>
      <x:c r="F3674" s="4" t="str">
        <x:v>Record captured</x:v>
      </x:c>
      <x:c r="G3674" s="4" t="str">
        <x:v>Booked</x:v>
      </x:c>
    </x:row>
    <x:row r="3675" ht="34" customHeight="1">
      <x:c r="A3675" s="4" t="str">
        <x:v>RS-03674-E1</x:v>
      </x:c>
      <x:c r="B3675" s="4" t="str">
        <x:v>RS-03674</x:v>
      </x:c>
      <x:c r="C3675" s="8" t="n">
        <x:v>45510</x:v>
      </x:c>
      <x:c r="D3675" s="4" t="str">
        <x:v>Sales operations manager</x:v>
      </x:c>
      <x:c r="E3675" s="4" t="str">
        <x:v>WhatsApp transcribed</x:v>
      </x:c>
      <x:c r="F3675" s="4" t="str">
        <x:v>Record captured</x:v>
      </x:c>
      <x:c r="G3675" s="4" t="str">
        <x:v>Agreement signed</x:v>
      </x:c>
    </x:row>
    <x:row r="3676" ht="34" customHeight="1">
      <x:c r="A3676" s="4" t="str">
        <x:v>RS-03675-E1</x:v>
      </x:c>
      <x:c r="B3676" s="4" t="str">
        <x:v>RS-03675</x:v>
      </x:c>
      <x:c r="C3676" s="8" t="n">
        <x:v>45511</x:v>
      </x:c>
      <x:c r="D3676" s="4" t="str">
        <x:v>Sales operations manager</x:v>
      </x:c>
      <x:c r="E3676" s="4" t="str">
        <x:v>Spreadsheet import</x:v>
      </x:c>
      <x:c r="F3676" s="4" t="str">
        <x:v>Record captured</x:v>
      </x:c>
      <x:c r="G3676" s="4" t="str">
        <x:v>Booked</x:v>
      </x:c>
    </x:row>
    <x:row r="3677" ht="34" customHeight="1">
      <x:c r="A3677" s="4" t="str">
        <x:v>RS-03676-E1</x:v>
      </x:c>
      <x:c r="B3677" s="4" t="str">
        <x:v>RS-03676</x:v>
      </x:c>
      <x:c r="C3677" s="8" t="n">
        <x:v>45512</x:v>
      </x:c>
      <x:c r="D3677" s="4" t="str">
        <x:v>Sales operations manager</x:v>
      </x:c>
      <x:c r="E3677" s="4" t="str">
        <x:v>WhatsApp transcribed</x:v>
      </x:c>
      <x:c r="F3677" s="4" t="str">
        <x:v>Record captured</x:v>
      </x:c>
      <x:c r="G3677" s="4" t="str">
        <x:v>Booked</x:v>
      </x:c>
    </x:row>
    <x:row r="3678" ht="34" customHeight="1">
      <x:c r="A3678" s="4" t="str">
        <x:v>RS-03677-E1</x:v>
      </x:c>
      <x:c r="B3678" s="4" t="str">
        <x:v>RS-03677</x:v>
      </x:c>
      <x:c r="C3678" s="8" t="n">
        <x:v>45513</x:v>
      </x:c>
      <x:c r="D3678" s="4" t="str">
        <x:v>Sales operations manager</x:v>
      </x:c>
      <x:c r="E3678" s="4" t="str">
        <x:v>ERP form</x:v>
      </x:c>
      <x:c r="F3678" s="4" t="str">
        <x:v>Record captured</x:v>
      </x:c>
      <x:c r="G3678" s="4" t="str">
        <x:v>Booked</x:v>
      </x:c>
    </x:row>
    <x:row r="3679" ht="34" customHeight="1">
      <x:c r="A3679" s="4" t="str">
        <x:v>RS-03678-E1</x:v>
      </x:c>
      <x:c r="B3679" s="4" t="str">
        <x:v>RS-03678</x:v>
      </x:c>
      <x:c r="C3679" s="8" t="n">
        <x:v>45514</x:v>
      </x:c>
      <x:c r="D3679" s="4" t="str">
        <x:v>Sales operations manager</x:v>
      </x:c>
      <x:c r="E3679" s="4" t="str">
        <x:v>WhatsApp transcribed</x:v>
      </x:c>
      <x:c r="F3679" s="4" t="str">
        <x:v>Record captured</x:v>
      </x:c>
      <x:c r="G3679" s="4" t="str">
        <x:v>Cancelled</x:v>
      </x:c>
    </x:row>
    <x:row r="3680" ht="34" customHeight="1">
      <x:c r="A3680" s="4" t="str">
        <x:v>RS-03679-E1</x:v>
      </x:c>
      <x:c r="B3680" s="4" t="str">
        <x:v>RS-03679</x:v>
      </x:c>
      <x:c r="C3680" s="8" t="n">
        <x:v>45515</x:v>
      </x:c>
      <x:c r="D3680" s="4" t="str">
        <x:v>Sales operations manager</x:v>
      </x:c>
      <x:c r="E3680" s="4" t="str">
        <x:v>Paper transcribed</x:v>
      </x:c>
      <x:c r="F3680" s="4" t="str">
        <x:v>Record captured</x:v>
      </x:c>
      <x:c r="G3680" s="4" t="str">
        <x:v>Handed over</x:v>
      </x:c>
    </x:row>
    <x:row r="3681" ht="34" customHeight="1">
      <x:c r="A3681" s="4" t="str">
        <x:v>RS-03680-E1</x:v>
      </x:c>
      <x:c r="B3681" s="4" t="str">
        <x:v>RS-03680</x:v>
      </x:c>
      <x:c r="C3681" s="8" t="n">
        <x:v>45516</x:v>
      </x:c>
      <x:c r="D3681" s="4" t="str">
        <x:v>Sales operations manager</x:v>
      </x:c>
      <x:c r="E3681" s="4" t="str">
        <x:v>ERP form</x:v>
      </x:c>
      <x:c r="F3681" s="4" t="str">
        <x:v>Record captured</x:v>
      </x:c>
      <x:c r="G3681" s="4" t="str">
        <x:v>Agreement signed</x:v>
      </x:c>
    </x:row>
    <x:row r="3682" ht="34" customHeight="1">
      <x:c r="A3682" s="4" t="str">
        <x:v>RS-03681-E1</x:v>
      </x:c>
      <x:c r="B3682" s="4" t="str">
        <x:v>RS-03681</x:v>
      </x:c>
      <x:c r="C3682" s="8" t="n">
        <x:v>45517</x:v>
      </x:c>
      <x:c r="D3682" s="4" t="str">
        <x:v>Sales operations manager</x:v>
      </x:c>
      <x:c r="E3682" s="4" t="str">
        <x:v>ERP form</x:v>
      </x:c>
      <x:c r="F3682" s="4" t="str">
        <x:v>Record captured</x:v>
      </x:c>
      <x:c r="G3682" s="4" t="str">
        <x:v>Agreement signed</x:v>
      </x:c>
    </x:row>
    <x:row r="3683" ht="34" customHeight="1">
      <x:c r="A3683" s="4" t="str">
        <x:v>RS-03682-E1</x:v>
      </x:c>
      <x:c r="B3683" s="4" t="str">
        <x:v>RS-03682</x:v>
      </x:c>
      <x:c r="C3683" s="8" t="n">
        <x:v>45518</x:v>
      </x:c>
      <x:c r="D3683" s="4" t="str">
        <x:v>Sales operations manager</x:v>
      </x:c>
      <x:c r="E3683" s="4" t="str">
        <x:v>Paper transcribed</x:v>
      </x:c>
      <x:c r="F3683" s="4" t="str">
        <x:v>Record captured</x:v>
      </x:c>
      <x:c r="G3683" s="4" t="str">
        <x:v>Agreement signed</x:v>
      </x:c>
    </x:row>
    <x:row r="3684" ht="34" customHeight="1">
      <x:c r="A3684" s="4" t="str">
        <x:v>RS-03683-E1</x:v>
      </x:c>
      <x:c r="B3684" s="4" t="str">
        <x:v>RS-03683</x:v>
      </x:c>
      <x:c r="C3684" s="8" t="n">
        <x:v>45519</x:v>
      </x:c>
      <x:c r="D3684" s="4" t="str">
        <x:v>Sales operations manager</x:v>
      </x:c>
      <x:c r="E3684" s="4" t="str">
        <x:v>Paper transcribed</x:v>
      </x:c>
      <x:c r="F3684" s="4" t="str">
        <x:v>Record captured</x:v>
      </x:c>
      <x:c r="G3684" s="4" t="str">
        <x:v>Reserved</x:v>
      </x:c>
    </x:row>
    <x:row r="3685" ht="34" customHeight="1">
      <x:c r="A3685" s="4" t="str">
        <x:v>RS-03684-E1</x:v>
      </x:c>
      <x:c r="B3685" s="4" t="str">
        <x:v>RS-03684</x:v>
      </x:c>
      <x:c r="C3685" s="8" t="n">
        <x:v>45520</x:v>
      </x:c>
      <x:c r="D3685" s="4" t="str">
        <x:v>Sales operations manager</x:v>
      </x:c>
      <x:c r="E3685" s="4" t="str">
        <x:v>Paper transcribed</x:v>
      </x:c>
      <x:c r="F3685" s="4" t="str">
        <x:v>Record captured</x:v>
      </x:c>
      <x:c r="G3685" s="4" t="str">
        <x:v>Reserved</x:v>
      </x:c>
    </x:row>
    <x:row r="3686" ht="34" customHeight="1">
      <x:c r="A3686" s="4" t="str">
        <x:v>RS-03685-E1</x:v>
      </x:c>
      <x:c r="B3686" s="4" t="str">
        <x:v>RS-03685</x:v>
      </x:c>
      <x:c r="C3686" s="8" t="n">
        <x:v>45521</x:v>
      </x:c>
      <x:c r="D3686" s="4" t="str">
        <x:v>Sales operations manager</x:v>
      </x:c>
      <x:c r="E3686" s="4" t="str">
        <x:v>ERP form</x:v>
      </x:c>
      <x:c r="F3686" s="4" t="str">
        <x:v>Record captured</x:v>
      </x:c>
      <x:c r="G3686" s="4" t="str">
        <x:v>Cancelled</x:v>
      </x:c>
    </x:row>
    <x:row r="3687" ht="34" customHeight="1">
      <x:c r="A3687" s="4" t="str">
        <x:v>RS-03686-E1</x:v>
      </x:c>
      <x:c r="B3687" s="4" t="str">
        <x:v>RS-03686</x:v>
      </x:c>
      <x:c r="C3687" s="8" t="n">
        <x:v>45522</x:v>
      </x:c>
      <x:c r="D3687" s="4" t="str">
        <x:v>Sales operations manager</x:v>
      </x:c>
      <x:c r="E3687" s="4" t="str">
        <x:v>WhatsApp transcribed</x:v>
      </x:c>
      <x:c r="F3687" s="4" t="str">
        <x:v>Record captured</x:v>
      </x:c>
      <x:c r="G3687" s="4" t="str">
        <x:v>Cancelled</x:v>
      </x:c>
    </x:row>
    <x:row r="3688" ht="34" customHeight="1">
      <x:c r="A3688" s="4" t="str">
        <x:v>RS-03687-E1</x:v>
      </x:c>
      <x:c r="B3688" s="4" t="str">
        <x:v>RS-03687</x:v>
      </x:c>
      <x:c r="C3688" s="8" t="n">
        <x:v>45523</x:v>
      </x:c>
      <x:c r="D3688" s="4" t="str">
        <x:v>Sales operations manager</x:v>
      </x:c>
      <x:c r="E3688" s="4" t="str">
        <x:v>WhatsApp transcribed</x:v>
      </x:c>
      <x:c r="F3688" s="4" t="str">
        <x:v>Record captured</x:v>
      </x:c>
      <x:c r="G3688" s="4" t="str">
        <x:v>Booked</x:v>
      </x:c>
    </x:row>
    <x:row r="3689" ht="34" customHeight="1">
      <x:c r="A3689" s="4" t="str">
        <x:v>RS-03688-E1</x:v>
      </x:c>
      <x:c r="B3689" s="4" t="str">
        <x:v>RS-03688</x:v>
      </x:c>
      <x:c r="C3689" s="8" t="n">
        <x:v>45524</x:v>
      </x:c>
      <x:c r="D3689" s="4" t="str">
        <x:v>Sales operations manager</x:v>
      </x:c>
      <x:c r="E3689" s="4" t="str">
        <x:v>WhatsApp transcribed</x:v>
      </x:c>
      <x:c r="F3689" s="4" t="str">
        <x:v>Record captured</x:v>
      </x:c>
      <x:c r="G3689" s="4" t="str">
        <x:v>Enquiry</x:v>
      </x:c>
    </x:row>
    <x:row r="3690" ht="34" customHeight="1">
      <x:c r="A3690" s="4" t="str">
        <x:v>RS-03689-E1</x:v>
      </x:c>
      <x:c r="B3690" s="4" t="str">
        <x:v>RS-03689</x:v>
      </x:c>
      <x:c r="C3690" s="8" t="n">
        <x:v>45525</x:v>
      </x:c>
      <x:c r="D3690" s="4" t="str">
        <x:v>Sales operations manager</x:v>
      </x:c>
      <x:c r="E3690" s="4" t="str">
        <x:v>ERP form</x:v>
      </x:c>
      <x:c r="F3690" s="4" t="str">
        <x:v>Record captured</x:v>
      </x:c>
      <x:c r="G3690" s="4" t="str">
        <x:v>Booked</x:v>
      </x:c>
    </x:row>
    <x:row r="3691" ht="34" customHeight="1">
      <x:c r="A3691" s="4" t="str">
        <x:v>RS-03690-E1</x:v>
      </x:c>
      <x:c r="B3691" s="4" t="str">
        <x:v>RS-03690</x:v>
      </x:c>
      <x:c r="C3691" s="8" t="n">
        <x:v>45526</x:v>
      </x:c>
      <x:c r="D3691" s="4" t="str">
        <x:v>Sales operations manager</x:v>
      </x:c>
      <x:c r="E3691" s="4" t="str">
        <x:v>Spreadsheet import</x:v>
      </x:c>
      <x:c r="F3691" s="4" t="str">
        <x:v>Record captured</x:v>
      </x:c>
      <x:c r="G3691" s="4" t="str">
        <x:v>Cancelled</x:v>
      </x:c>
    </x:row>
    <x:row r="3692" ht="34" customHeight="1">
      <x:c r="A3692" s="4" t="str">
        <x:v>RS-03691-E1</x:v>
      </x:c>
      <x:c r="B3692" s="4" t="str">
        <x:v>RS-03691</x:v>
      </x:c>
      <x:c r="C3692" s="8" t="n">
        <x:v>45527</x:v>
      </x:c>
      <x:c r="D3692" s="4" t="str">
        <x:v>Sales operations manager</x:v>
      </x:c>
      <x:c r="E3692" s="4" t="str">
        <x:v>Paper transcribed</x:v>
      </x:c>
      <x:c r="F3692" s="4" t="str">
        <x:v>Record captured</x:v>
      </x:c>
      <x:c r="G3692" s="4" t="str">
        <x:v>Reserved</x:v>
      </x:c>
    </x:row>
    <x:row r="3693" ht="34" customHeight="1">
      <x:c r="A3693" s="4" t="str">
        <x:v>RS-03692-E1</x:v>
      </x:c>
      <x:c r="B3693" s="4" t="str">
        <x:v>RS-03692</x:v>
      </x:c>
      <x:c r="C3693" s="8" t="n">
        <x:v>45528</x:v>
      </x:c>
      <x:c r="D3693" s="4" t="str">
        <x:v>Sales operations manager</x:v>
      </x:c>
      <x:c r="E3693" s="4" t="str">
        <x:v>Spreadsheet import</x:v>
      </x:c>
      <x:c r="F3693" s="4" t="str">
        <x:v>Record captured</x:v>
      </x:c>
      <x:c r="G3693" s="4" t="str">
        <x:v>Reserved</x:v>
      </x:c>
    </x:row>
    <x:row r="3694" ht="34" customHeight="1">
      <x:c r="A3694" s="4" t="str">
        <x:v>RS-03693-E1</x:v>
      </x:c>
      <x:c r="B3694" s="4" t="str">
        <x:v>RS-03693</x:v>
      </x:c>
      <x:c r="C3694" s="8" t="n">
        <x:v>45529</x:v>
      </x:c>
      <x:c r="D3694" s="4" t="str">
        <x:v>Sales operations manager</x:v>
      </x:c>
      <x:c r="E3694" s="4" t="str">
        <x:v>ERP form</x:v>
      </x:c>
      <x:c r="F3694" s="4" t="str">
        <x:v>Record captured</x:v>
      </x:c>
      <x:c r="G3694" s="4" t="str">
        <x:v>Handed over</x:v>
      </x:c>
    </x:row>
    <x:row r="3695" ht="34" customHeight="1">
      <x:c r="A3695" s="4" t="str">
        <x:v>RS-03694-E1</x:v>
      </x:c>
      <x:c r="B3695" s="4" t="str">
        <x:v>RS-03694</x:v>
      </x:c>
      <x:c r="C3695" s="8" t="n">
        <x:v>45530</x:v>
      </x:c>
      <x:c r="D3695" s="4" t="str">
        <x:v>Sales operations manager</x:v>
      </x:c>
      <x:c r="E3695" s="4" t="str">
        <x:v>ERP form</x:v>
      </x:c>
      <x:c r="F3695" s="4" t="str">
        <x:v>Record captured</x:v>
      </x:c>
      <x:c r="G3695" s="4" t="str">
        <x:v>Cancelled</x:v>
      </x:c>
    </x:row>
    <x:row r="3696" ht="34" customHeight="1">
      <x:c r="A3696" s="4" t="str">
        <x:v>RS-03695-E1</x:v>
      </x:c>
      <x:c r="B3696" s="4" t="str">
        <x:v>RS-03695</x:v>
      </x:c>
      <x:c r="C3696" s="8" t="n">
        <x:v>45531</x:v>
      </x:c>
      <x:c r="D3696" s="4" t="str">
        <x:v>Sales operations manager</x:v>
      </x:c>
      <x:c r="E3696" s="4" t="str">
        <x:v>Spreadsheet import</x:v>
      </x:c>
      <x:c r="F3696" s="4" t="str">
        <x:v>Record captured</x:v>
      </x:c>
      <x:c r="G3696" s="4" t="str">
        <x:v>Enquiry</x:v>
      </x:c>
    </x:row>
    <x:row r="3697" ht="34" customHeight="1">
      <x:c r="A3697" s="4" t="str">
        <x:v>RS-03696-E1</x:v>
      </x:c>
      <x:c r="B3697" s="4" t="str">
        <x:v>RS-03696</x:v>
      </x:c>
      <x:c r="C3697" s="8" t="n">
        <x:v>45532</x:v>
      </x:c>
      <x:c r="D3697" s="4" t="str">
        <x:v>Sales operations manager</x:v>
      </x:c>
      <x:c r="E3697" s="4" t="str">
        <x:v>Spreadsheet import</x:v>
      </x:c>
      <x:c r="F3697" s="4" t="str">
        <x:v>Record captured</x:v>
      </x:c>
      <x:c r="G3697" s="4" t="str">
        <x:v>Handed over</x:v>
      </x:c>
    </x:row>
    <x:row r="3698" ht="34" customHeight="1">
      <x:c r="A3698" s="4" t="str">
        <x:v>RS-03697-E1</x:v>
      </x:c>
      <x:c r="B3698" s="4" t="str">
        <x:v>RS-03697</x:v>
      </x:c>
      <x:c r="C3698" s="8" t="n">
        <x:v>45505</x:v>
      </x:c>
      <x:c r="D3698" s="4" t="str">
        <x:v>Sales operations manager</x:v>
      </x:c>
      <x:c r="E3698" s="4" t="str">
        <x:v>Paper transcribed</x:v>
      </x:c>
      <x:c r="F3698" s="4" t="str">
        <x:v>Record captured</x:v>
      </x:c>
      <x:c r="G3698" s="4" t="str">
        <x:v>Booked</x:v>
      </x:c>
    </x:row>
    <x:row r="3699" ht="34" customHeight="1">
      <x:c r="A3699" s="4" t="str">
        <x:v>RS-03698-E1</x:v>
      </x:c>
      <x:c r="B3699" s="4" t="str">
        <x:v>RS-03698</x:v>
      </x:c>
      <x:c r="C3699" s="8" t="n">
        <x:v>45506</x:v>
      </x:c>
      <x:c r="D3699" s="4" t="str">
        <x:v>Sales operations manager</x:v>
      </x:c>
      <x:c r="E3699" s="4" t="str">
        <x:v>Paper transcribed</x:v>
      </x:c>
      <x:c r="F3699" s="4" t="str">
        <x:v>Record captured</x:v>
      </x:c>
      <x:c r="G3699" s="4" t="str">
        <x:v>Enquiry</x:v>
      </x:c>
    </x:row>
    <x:row r="3700" ht="34" customHeight="1">
      <x:c r="A3700" s="4" t="str">
        <x:v>RS-03699-E1</x:v>
      </x:c>
      <x:c r="B3700" s="4" t="str">
        <x:v>RS-03699</x:v>
      </x:c>
      <x:c r="C3700" s="8" t="n">
        <x:v>45507</x:v>
      </x:c>
      <x:c r="D3700" s="4" t="str">
        <x:v>Sales operations manager</x:v>
      </x:c>
      <x:c r="E3700" s="4" t="str">
        <x:v>ERP form</x:v>
      </x:c>
      <x:c r="F3700" s="4" t="str">
        <x:v>Record captured</x:v>
      </x:c>
      <x:c r="G3700" s="4" t="str">
        <x:v>Booked</x:v>
      </x:c>
    </x:row>
    <x:row r="3701" ht="34" customHeight="1">
      <x:c r="A3701" s="4" t="str">
        <x:v>RS-03700-E1</x:v>
      </x:c>
      <x:c r="B3701" s="4" t="str">
        <x:v>RS-03700</x:v>
      </x:c>
      <x:c r="C3701" s="8" t="n">
        <x:v>45508</x:v>
      </x:c>
      <x:c r="D3701" s="4" t="str">
        <x:v>Sales operations manager</x:v>
      </x:c>
      <x:c r="E3701" s="4" t="str">
        <x:v>WhatsApp transcribed</x:v>
      </x:c>
      <x:c r="F3701" s="4" t="str">
        <x:v>Record captured</x:v>
      </x:c>
      <x:c r="G3701" s="4" t="str">
        <x:v>Enquiry</x:v>
      </x:c>
    </x:row>
    <x:row r="3702" ht="34" customHeight="1">
      <x:c r="A3702" s="4" t="str">
        <x:v>RS-03701-E1</x:v>
      </x:c>
      <x:c r="B3702" s="4" t="str">
        <x:v>RS-03701</x:v>
      </x:c>
      <x:c r="C3702" s="8" t="n">
        <x:v>45509</x:v>
      </x:c>
      <x:c r="D3702" s="4" t="str">
        <x:v>Sales operations manager</x:v>
      </x:c>
      <x:c r="E3702" s="4" t="str">
        <x:v>Spreadsheet import</x:v>
      </x:c>
      <x:c r="F3702" s="4" t="str">
        <x:v>Record captured</x:v>
      </x:c>
      <x:c r="G3702" s="4" t="str">
        <x:v>Cancelled</x:v>
      </x:c>
    </x:row>
    <x:row r="3703" ht="34" customHeight="1">
      <x:c r="A3703" s="4" t="str">
        <x:v>RS-03702-E1</x:v>
      </x:c>
      <x:c r="B3703" s="4" t="str">
        <x:v>RS-03702</x:v>
      </x:c>
      <x:c r="C3703" s="8" t="n">
        <x:v>45510</x:v>
      </x:c>
      <x:c r="D3703" s="4" t="str">
        <x:v>Sales operations manager</x:v>
      </x:c>
      <x:c r="E3703" s="4" t="str">
        <x:v>WhatsApp transcribed</x:v>
      </x:c>
      <x:c r="F3703" s="4" t="str">
        <x:v>Record captured</x:v>
      </x:c>
      <x:c r="G3703" s="4" t="str">
        <x:v>Booked</x:v>
      </x:c>
    </x:row>
    <x:row r="3704" ht="34" customHeight="1">
      <x:c r="A3704" s="4" t="str">
        <x:v>RS-03703-E1</x:v>
      </x:c>
      <x:c r="B3704" s="4" t="str">
        <x:v>RS-03703</x:v>
      </x:c>
      <x:c r="C3704" s="8" t="n">
        <x:v>45511</x:v>
      </x:c>
      <x:c r="D3704" s="4" t="str">
        <x:v>Sales operations manager</x:v>
      </x:c>
      <x:c r="E3704" s="4" t="str">
        <x:v>Spreadsheet import</x:v>
      </x:c>
      <x:c r="F3704" s="4" t="str">
        <x:v>Record captured</x:v>
      </x:c>
      <x:c r="G3704" s="4" t="str">
        <x:v>Booked</x:v>
      </x:c>
    </x:row>
    <x:row r="3705" ht="34" customHeight="1">
      <x:c r="A3705" s="4" t="str">
        <x:v>RS-03704-E1</x:v>
      </x:c>
      <x:c r="B3705" s="4" t="str">
        <x:v>RS-03704</x:v>
      </x:c>
      <x:c r="C3705" s="8" t="n">
        <x:v>45512</x:v>
      </x:c>
      <x:c r="D3705" s="4" t="str">
        <x:v>Sales operations manager</x:v>
      </x:c>
      <x:c r="E3705" s="4" t="str">
        <x:v>Spreadsheet import</x:v>
      </x:c>
      <x:c r="F3705" s="4" t="str">
        <x:v>Record captured</x:v>
      </x:c>
      <x:c r="G3705" s="4" t="str">
        <x:v>Cancelled</x:v>
      </x:c>
    </x:row>
    <x:row r="3706" ht="34" customHeight="1">
      <x:c r="A3706" s="4" t="str">
        <x:v>RS-03705-E1</x:v>
      </x:c>
      <x:c r="B3706" s="4" t="str">
        <x:v>RS-03705</x:v>
      </x:c>
      <x:c r="C3706" s="8" t="n">
        <x:v>45513</x:v>
      </x:c>
      <x:c r="D3706" s="4" t="str">
        <x:v>Sales operations manager</x:v>
      </x:c>
      <x:c r="E3706" s="4" t="str">
        <x:v>Paper transcribed</x:v>
      </x:c>
      <x:c r="F3706" s="4" t="str">
        <x:v>Record captured</x:v>
      </x:c>
      <x:c r="G3706" s="4" t="str">
        <x:v>Agreement signed</x:v>
      </x:c>
    </x:row>
    <x:row r="3707" ht="34" customHeight="1">
      <x:c r="A3707" s="4" t="str">
        <x:v>RS-03706-E1</x:v>
      </x:c>
      <x:c r="B3707" s="4" t="str">
        <x:v>RS-03706</x:v>
      </x:c>
      <x:c r="C3707" s="8" t="n">
        <x:v>45514</x:v>
      </x:c>
      <x:c r="D3707" s="4" t="str">
        <x:v>Sales operations manager</x:v>
      </x:c>
      <x:c r="E3707" s="4" t="str">
        <x:v>WhatsApp transcribed</x:v>
      </x:c>
      <x:c r="F3707" s="4" t="str">
        <x:v>Record captured</x:v>
      </x:c>
      <x:c r="G3707" s="4" t="str">
        <x:v>Agreement signed</x:v>
      </x:c>
    </x:row>
    <x:row r="3708" ht="34" customHeight="1">
      <x:c r="A3708" s="4" t="str">
        <x:v>RS-03707-E1</x:v>
      </x:c>
      <x:c r="B3708" s="4" t="str">
        <x:v>RS-03707</x:v>
      </x:c>
      <x:c r="C3708" s="8" t="n">
        <x:v>45515</x:v>
      </x:c>
      <x:c r="D3708" s="4" t="str">
        <x:v>Sales operations manager</x:v>
      </x:c>
      <x:c r="E3708" s="4" t="str">
        <x:v>ERP form</x:v>
      </x:c>
      <x:c r="F3708" s="4" t="str">
        <x:v>Record captured</x:v>
      </x:c>
      <x:c r="G3708" s="4" t="str">
        <x:v>Cancelled</x:v>
      </x:c>
    </x:row>
    <x:row r="3709" ht="34" customHeight="1">
      <x:c r="A3709" s="4" t="str">
        <x:v>RS-03708-E1</x:v>
      </x:c>
      <x:c r="B3709" s="4" t="str">
        <x:v>RS-03708</x:v>
      </x:c>
      <x:c r="C3709" s="8" t="n">
        <x:v>45516</x:v>
      </x:c>
      <x:c r="D3709" s="4" t="str">
        <x:v>Sales operations manager</x:v>
      </x:c>
      <x:c r="E3709" s="4" t="str">
        <x:v>WhatsApp transcribed</x:v>
      </x:c>
      <x:c r="F3709" s="4" t="str">
        <x:v>Record captured</x:v>
      </x:c>
      <x:c r="G3709" s="4" t="str">
        <x:v>Booked</x:v>
      </x:c>
    </x:row>
    <x:row r="3710" ht="34" customHeight="1">
      <x:c r="A3710" s="4" t="str">
        <x:v>RS-03709-E1</x:v>
      </x:c>
      <x:c r="B3710" s="4" t="str">
        <x:v>RS-03709</x:v>
      </x:c>
      <x:c r="C3710" s="8" t="n">
        <x:v>45517</x:v>
      </x:c>
      <x:c r="D3710" s="4" t="str">
        <x:v>Sales operations manager</x:v>
      </x:c>
      <x:c r="E3710" s="4" t="str">
        <x:v>Spreadsheet import</x:v>
      </x:c>
      <x:c r="F3710" s="4" t="str">
        <x:v>Record captured</x:v>
      </x:c>
      <x:c r="G3710" s="4" t="str">
        <x:v>Booked</x:v>
      </x:c>
    </x:row>
    <x:row r="3711" ht="34" customHeight="1">
      <x:c r="A3711" s="4" t="str">
        <x:v>RS-03710-E1</x:v>
      </x:c>
      <x:c r="B3711" s="4" t="str">
        <x:v>RS-03710</x:v>
      </x:c>
      <x:c r="C3711" s="8" t="n">
        <x:v>45518</x:v>
      </x:c>
      <x:c r="D3711" s="4" t="str">
        <x:v>Sales operations manager</x:v>
      </x:c>
      <x:c r="E3711" s="4" t="str">
        <x:v>Paper transcribed</x:v>
      </x:c>
      <x:c r="F3711" s="4" t="str">
        <x:v>Record captured</x:v>
      </x:c>
      <x:c r="G3711" s="4" t="str">
        <x:v>Enquiry</x:v>
      </x:c>
    </x:row>
    <x:row r="3712" ht="34" customHeight="1">
      <x:c r="A3712" s="4" t="str">
        <x:v>RS-03711-E1</x:v>
      </x:c>
      <x:c r="B3712" s="4" t="str">
        <x:v>RS-03711</x:v>
      </x:c>
      <x:c r="C3712" s="8" t="n">
        <x:v>45519</x:v>
      </x:c>
      <x:c r="D3712" s="4" t="str">
        <x:v>Sales operations manager</x:v>
      </x:c>
      <x:c r="E3712" s="4" t="str">
        <x:v>Paper transcribed</x:v>
      </x:c>
      <x:c r="F3712" s="4" t="str">
        <x:v>Record captured</x:v>
      </x:c>
      <x:c r="G3712" s="4" t="str">
        <x:v>Cancelled</x:v>
      </x:c>
    </x:row>
    <x:row r="3713" ht="34" customHeight="1">
      <x:c r="A3713" s="4" t="str">
        <x:v>RS-03712-E1</x:v>
      </x:c>
      <x:c r="B3713" s="4" t="str">
        <x:v>RS-03712</x:v>
      </x:c>
      <x:c r="C3713" s="8" t="n">
        <x:v>45520</x:v>
      </x:c>
      <x:c r="D3713" s="4" t="str">
        <x:v>Sales operations manager</x:v>
      </x:c>
      <x:c r="E3713" s="4" t="str">
        <x:v>Spreadsheet import</x:v>
      </x:c>
      <x:c r="F3713" s="4" t="str">
        <x:v>Record captured</x:v>
      </x:c>
      <x:c r="G3713" s="4" t="str">
        <x:v>Handed over</x:v>
      </x:c>
    </x:row>
    <x:row r="3714" ht="34" customHeight="1">
      <x:c r="A3714" s="4" t="str">
        <x:v>RS-03713-E1</x:v>
      </x:c>
      <x:c r="B3714" s="4" t="str">
        <x:v>RS-03713</x:v>
      </x:c>
      <x:c r="C3714" s="8" t="n">
        <x:v>45521</x:v>
      </x:c>
      <x:c r="D3714" s="4" t="str">
        <x:v>Sales operations manager</x:v>
      </x:c>
      <x:c r="E3714" s="4" t="str">
        <x:v>WhatsApp transcribed</x:v>
      </x:c>
      <x:c r="F3714" s="4" t="str">
        <x:v>Record captured</x:v>
      </x:c>
      <x:c r="G3714" s="4" t="str">
        <x:v>Reserved</x:v>
      </x:c>
    </x:row>
    <x:row r="3715" ht="34" customHeight="1">
      <x:c r="A3715" s="4" t="str">
        <x:v>RS-03714-E1</x:v>
      </x:c>
      <x:c r="B3715" s="4" t="str">
        <x:v>RS-03714</x:v>
      </x:c>
      <x:c r="C3715" s="8" t="n">
        <x:v>45522</x:v>
      </x:c>
      <x:c r="D3715" s="4" t="str">
        <x:v>Sales operations manager</x:v>
      </x:c>
      <x:c r="E3715" s="4" t="str">
        <x:v>WhatsApp transcribed</x:v>
      </x:c>
      <x:c r="F3715" s="4" t="str">
        <x:v>Record captured</x:v>
      </x:c>
      <x:c r="G3715" s="4" t="str">
        <x:v>Enquiry</x:v>
      </x:c>
    </x:row>
    <x:row r="3716" ht="34" customHeight="1">
      <x:c r="A3716" s="4" t="str">
        <x:v>RS-03715-E1</x:v>
      </x:c>
      <x:c r="B3716" s="4" t="str">
        <x:v>RS-03715</x:v>
      </x:c>
      <x:c r="C3716" s="8" t="n">
        <x:v>45523</x:v>
      </x:c>
      <x:c r="D3716" s="4" t="str">
        <x:v>Sales operations manager</x:v>
      </x:c>
      <x:c r="E3716" s="4" t="str">
        <x:v>WhatsApp transcribed</x:v>
      </x:c>
      <x:c r="F3716" s="4" t="str">
        <x:v>Record captured</x:v>
      </x:c>
      <x:c r="G3716" s="4" t="str">
        <x:v>Booked</x:v>
      </x:c>
    </x:row>
    <x:row r="3717" ht="34" customHeight="1">
      <x:c r="A3717" s="4" t="str">
        <x:v>RS-03716-E1</x:v>
      </x:c>
      <x:c r="B3717" s="4" t="str">
        <x:v>RS-03716</x:v>
      </x:c>
      <x:c r="C3717" s="8" t="n">
        <x:v>45524</x:v>
      </x:c>
      <x:c r="D3717" s="4" t="str">
        <x:v>Sales operations manager</x:v>
      </x:c>
      <x:c r="E3717" s="4" t="str">
        <x:v>Paper transcribed</x:v>
      </x:c>
      <x:c r="F3717" s="4" t="str">
        <x:v>Record captured</x:v>
      </x:c>
      <x:c r="G3717" s="4" t="str">
        <x:v>Cancelled</x:v>
      </x:c>
    </x:row>
    <x:row r="3718" ht="34" customHeight="1">
      <x:c r="A3718" s="4" t="str">
        <x:v>RS-03717-E1</x:v>
      </x:c>
      <x:c r="B3718" s="4" t="str">
        <x:v>RS-03717</x:v>
      </x:c>
      <x:c r="C3718" s="8" t="n">
        <x:v>45525</x:v>
      </x:c>
      <x:c r="D3718" s="4" t="str">
        <x:v>Sales operations manager</x:v>
      </x:c>
      <x:c r="E3718" s="4" t="str">
        <x:v>Spreadsheet import</x:v>
      </x:c>
      <x:c r="F3718" s="4" t="str">
        <x:v>Record captured</x:v>
      </x:c>
      <x:c r="G3718" s="4" t="str">
        <x:v>Cancelled</x:v>
      </x:c>
    </x:row>
    <x:row r="3719" ht="34" customHeight="1">
      <x:c r="A3719" s="4" t="str">
        <x:v>RS-03718-E1</x:v>
      </x:c>
      <x:c r="B3719" s="4" t="str">
        <x:v>RS-03718</x:v>
      </x:c>
      <x:c r="C3719" s="8" t="n">
        <x:v>45526</x:v>
      </x:c>
      <x:c r="D3719" s="4" t="str">
        <x:v>Sales operations manager</x:v>
      </x:c>
      <x:c r="E3719" s="4" t="str">
        <x:v>Paper transcribed</x:v>
      </x:c>
      <x:c r="F3719" s="4" t="str">
        <x:v>Record captured</x:v>
      </x:c>
      <x:c r="G3719" s="4" t="str">
        <x:v>Cancelled</x:v>
      </x:c>
    </x:row>
    <x:row r="3720" ht="34" customHeight="1">
      <x:c r="A3720" s="4" t="str">
        <x:v>RS-03719-E1</x:v>
      </x:c>
      <x:c r="B3720" s="4" t="str">
        <x:v>RS-03719</x:v>
      </x:c>
      <x:c r="C3720" s="8" t="n">
        <x:v>45527</x:v>
      </x:c>
      <x:c r="D3720" s="4" t="str">
        <x:v>Sales operations manager</x:v>
      </x:c>
      <x:c r="E3720" s="4" t="str">
        <x:v>ERP form</x:v>
      </x:c>
      <x:c r="F3720" s="4" t="str">
        <x:v>Record captured</x:v>
      </x:c>
      <x:c r="G3720" s="4" t="str">
        <x:v>Enquiry</x:v>
      </x:c>
    </x:row>
    <x:row r="3721" ht="34" customHeight="1">
      <x:c r="A3721" s="4" t="str">
        <x:v>RS-03720-E1</x:v>
      </x:c>
      <x:c r="B3721" s="4" t="str">
        <x:v>RS-03720</x:v>
      </x:c>
      <x:c r="C3721" s="8" t="n">
        <x:v>45528</x:v>
      </x:c>
      <x:c r="D3721" s="4" t="str">
        <x:v>Sales operations manager</x:v>
      </x:c>
      <x:c r="E3721" s="4" t="str">
        <x:v>ERP form</x:v>
      </x:c>
      <x:c r="F3721" s="4" t="str">
        <x:v>Record captured</x:v>
      </x:c>
      <x:c r="G3721" s="4" t="str">
        <x:v>Booked</x:v>
      </x:c>
    </x:row>
    <x:row r="3722" ht="34" customHeight="1">
      <x:c r="A3722" s="4" t="str">
        <x:v>RS-03721-E1</x:v>
      </x:c>
      <x:c r="B3722" s="4" t="str">
        <x:v>RS-03721</x:v>
      </x:c>
      <x:c r="C3722" s="8" t="n">
        <x:v>45529</x:v>
      </x:c>
      <x:c r="D3722" s="4" t="str">
        <x:v>Sales operations manager</x:v>
      </x:c>
      <x:c r="E3722" s="4" t="str">
        <x:v>ERP form</x:v>
      </x:c>
      <x:c r="F3722" s="4" t="str">
        <x:v>Record captured</x:v>
      </x:c>
      <x:c r="G3722" s="4" t="str">
        <x:v>Handed over</x:v>
      </x:c>
    </x:row>
    <x:row r="3723" ht="34" customHeight="1">
      <x:c r="A3723" s="4" t="str">
        <x:v>RS-03722-E1</x:v>
      </x:c>
      <x:c r="B3723" s="4" t="str">
        <x:v>RS-03722</x:v>
      </x:c>
      <x:c r="C3723" s="8" t="n">
        <x:v>45530</x:v>
      </x:c>
      <x:c r="D3723" s="4" t="str">
        <x:v>Sales operations manager</x:v>
      </x:c>
      <x:c r="E3723" s="4" t="str">
        <x:v>ERP form</x:v>
      </x:c>
      <x:c r="F3723" s="4" t="str">
        <x:v>Record captured</x:v>
      </x:c>
      <x:c r="G3723" s="4" t="str">
        <x:v>Enquiry</x:v>
      </x:c>
    </x:row>
    <x:row r="3724" ht="34" customHeight="1">
      <x:c r="A3724" s="4" t="str">
        <x:v>RS-03723-E1</x:v>
      </x:c>
      <x:c r="B3724" s="4" t="str">
        <x:v>RS-03723</x:v>
      </x:c>
      <x:c r="C3724" s="8" t="n">
        <x:v>45531</x:v>
      </x:c>
      <x:c r="D3724" s="4" t="str">
        <x:v>Sales operations manager</x:v>
      </x:c>
      <x:c r="E3724" s="4" t="str">
        <x:v>Spreadsheet import</x:v>
      </x:c>
      <x:c r="F3724" s="4" t="str">
        <x:v>Record captured</x:v>
      </x:c>
      <x:c r="G3724" s="4" t="str">
        <x:v>Enquiry</x:v>
      </x:c>
    </x:row>
    <x:row r="3725" ht="34" customHeight="1">
      <x:c r="A3725" s="4" t="str">
        <x:v>RS-03724-E1</x:v>
      </x:c>
      <x:c r="B3725" s="4" t="str">
        <x:v>RS-03724</x:v>
      </x:c>
      <x:c r="C3725" s="8" t="n">
        <x:v>45532</x:v>
      </x:c>
      <x:c r="D3725" s="4" t="str">
        <x:v>Sales operations manager</x:v>
      </x:c>
      <x:c r="E3725" s="4" t="str">
        <x:v>Spreadsheet import</x:v>
      </x:c>
      <x:c r="F3725" s="4" t="str">
        <x:v>Record captured</x:v>
      </x:c>
      <x:c r="G3725" s="4" t="str">
        <x:v>Handed over</x:v>
      </x:c>
    </x:row>
    <x:row r="3726" ht="34" customHeight="1">
      <x:c r="A3726" s="4" t="str">
        <x:v>RS-03725-E1</x:v>
      </x:c>
      <x:c r="B3726" s="4" t="str">
        <x:v>RS-03725</x:v>
      </x:c>
      <x:c r="C3726" s="8" t="n">
        <x:v>45505</x:v>
      </x:c>
      <x:c r="D3726" s="4" t="str">
        <x:v>Sales operations manager</x:v>
      </x:c>
      <x:c r="E3726" s="4" t="str">
        <x:v>ERP form</x:v>
      </x:c>
      <x:c r="F3726" s="4" t="str">
        <x:v>Record captured</x:v>
      </x:c>
      <x:c r="G3726" s="4" t="str">
        <x:v>Handed over</x:v>
      </x:c>
    </x:row>
    <x:row r="3727" ht="34" customHeight="1">
      <x:c r="A3727" s="4" t="str">
        <x:v>RS-03726-E1</x:v>
      </x:c>
      <x:c r="B3727" s="4" t="str">
        <x:v>RS-03726</x:v>
      </x:c>
      <x:c r="C3727" s="8" t="n">
        <x:v>45506</x:v>
      </x:c>
      <x:c r="D3727" s="4" t="str">
        <x:v>Sales operations manager</x:v>
      </x:c>
      <x:c r="E3727" s="4" t="str">
        <x:v>Spreadsheet import</x:v>
      </x:c>
      <x:c r="F3727" s="4" t="str">
        <x:v>Record captured</x:v>
      </x:c>
      <x:c r="G3727" s="4" t="str">
        <x:v>Handed over</x:v>
      </x:c>
    </x:row>
    <x:row r="3728" ht="34" customHeight="1">
      <x:c r="A3728" s="4" t="str">
        <x:v>RS-03727-E1</x:v>
      </x:c>
      <x:c r="B3728" s="4" t="str">
        <x:v>RS-03727</x:v>
      </x:c>
      <x:c r="C3728" s="8" t="n">
        <x:v>45507</x:v>
      </x:c>
      <x:c r="D3728" s="4" t="str">
        <x:v>Sales operations manager</x:v>
      </x:c>
      <x:c r="E3728" s="4" t="str">
        <x:v>Paper transcribed</x:v>
      </x:c>
      <x:c r="F3728" s="4" t="str">
        <x:v>Record captured</x:v>
      </x:c>
      <x:c r="G3728" s="4" t="str">
        <x:v>Cancelled</x:v>
      </x:c>
    </x:row>
    <x:row r="3729" ht="34" customHeight="1">
      <x:c r="A3729" s="4" t="str">
        <x:v>RS-03728-E1</x:v>
      </x:c>
      <x:c r="B3729" s="4" t="str">
        <x:v>RS-03728</x:v>
      </x:c>
      <x:c r="C3729" s="8" t="n">
        <x:v>45508</x:v>
      </x:c>
      <x:c r="D3729" s="4" t="str">
        <x:v>Sales operations manager</x:v>
      </x:c>
      <x:c r="E3729" s="4" t="str">
        <x:v>Paper transcribed</x:v>
      </x:c>
      <x:c r="F3729" s="4" t="str">
        <x:v>Record captured</x:v>
      </x:c>
      <x:c r="G3729" s="4" t="str">
        <x:v>Handed over</x:v>
      </x:c>
    </x:row>
    <x:row r="3730" ht="34" customHeight="1">
      <x:c r="A3730" s="4" t="str">
        <x:v>RS-03729-E1</x:v>
      </x:c>
      <x:c r="B3730" s="4" t="str">
        <x:v>RS-03729</x:v>
      </x:c>
      <x:c r="C3730" s="8" t="n">
        <x:v>45509</x:v>
      </x:c>
      <x:c r="D3730" s="4" t="str">
        <x:v>Sales operations manager</x:v>
      </x:c>
      <x:c r="E3730" s="4" t="str">
        <x:v>Paper transcribed</x:v>
      </x:c>
      <x:c r="F3730" s="4" t="str">
        <x:v>Record captured</x:v>
      </x:c>
      <x:c r="G3730" s="4" t="str">
        <x:v>Cancelled</x:v>
      </x:c>
    </x:row>
    <x:row r="3731" ht="34" customHeight="1">
      <x:c r="A3731" s="4" t="str">
        <x:v>RS-03730-E1</x:v>
      </x:c>
      <x:c r="B3731" s="4" t="str">
        <x:v>RS-03730</x:v>
      </x:c>
      <x:c r="C3731" s="8" t="n">
        <x:v>45510</x:v>
      </x:c>
      <x:c r="D3731" s="4" t="str">
        <x:v>Sales operations manager</x:v>
      </x:c>
      <x:c r="E3731" s="4" t="str">
        <x:v>Spreadsheet import</x:v>
      </x:c>
      <x:c r="F3731" s="4" t="str">
        <x:v>Record captured</x:v>
      </x:c>
      <x:c r="G3731" s="4" t="str">
        <x:v>Enquiry</x:v>
      </x:c>
    </x:row>
    <x:row r="3732" ht="34" customHeight="1">
      <x:c r="A3732" s="4" t="str">
        <x:v>RS-03731-E1</x:v>
      </x:c>
      <x:c r="B3732" s="4" t="str">
        <x:v>RS-03731</x:v>
      </x:c>
      <x:c r="C3732" s="8" t="n">
        <x:v>45511</x:v>
      </x:c>
      <x:c r="D3732" s="4" t="str">
        <x:v>Sales operations manager</x:v>
      </x:c>
      <x:c r="E3732" s="4" t="str">
        <x:v>ERP form</x:v>
      </x:c>
      <x:c r="F3732" s="4" t="str">
        <x:v>Record captured</x:v>
      </x:c>
      <x:c r="G3732" s="4" t="str">
        <x:v>Booked</x:v>
      </x:c>
    </x:row>
    <x:row r="3733" ht="34" customHeight="1">
      <x:c r="A3733" s="4" t="str">
        <x:v>RS-03732-E1</x:v>
      </x:c>
      <x:c r="B3733" s="4" t="str">
        <x:v>RS-03732</x:v>
      </x:c>
      <x:c r="C3733" s="8" t="n">
        <x:v>45512</x:v>
      </x:c>
      <x:c r="D3733" s="4" t="str">
        <x:v>Sales operations manager</x:v>
      </x:c>
      <x:c r="E3733" s="4" t="str">
        <x:v>WhatsApp transcribed</x:v>
      </x:c>
      <x:c r="F3733" s="4" t="str">
        <x:v>Record captured</x:v>
      </x:c>
      <x:c r="G3733" s="4" t="str">
        <x:v>Reserved</x:v>
      </x:c>
    </x:row>
    <x:row r="3734" ht="34" customHeight="1">
      <x:c r="A3734" s="4" t="str">
        <x:v>RS-03733-E1</x:v>
      </x:c>
      <x:c r="B3734" s="4" t="str">
        <x:v>RS-03733</x:v>
      </x:c>
      <x:c r="C3734" s="8" t="n">
        <x:v>45513</x:v>
      </x:c>
      <x:c r="D3734" s="4" t="str">
        <x:v>Sales operations manager</x:v>
      </x:c>
      <x:c r="E3734" s="4" t="str">
        <x:v>Spreadsheet import</x:v>
      </x:c>
      <x:c r="F3734" s="4" t="str">
        <x:v>Record captured</x:v>
      </x:c>
      <x:c r="G3734" s="4" t="str">
        <x:v>Enquiry</x:v>
      </x:c>
    </x:row>
    <x:row r="3735" ht="34" customHeight="1">
      <x:c r="A3735" s="4" t="str">
        <x:v>RS-03734-E1</x:v>
      </x:c>
      <x:c r="B3735" s="4" t="str">
        <x:v>RS-03734</x:v>
      </x:c>
      <x:c r="C3735" s="8" t="n">
        <x:v>45514</x:v>
      </x:c>
      <x:c r="D3735" s="4" t="str">
        <x:v>Sales operations manager</x:v>
      </x:c>
      <x:c r="E3735" s="4" t="str">
        <x:v>WhatsApp transcribed</x:v>
      </x:c>
      <x:c r="F3735" s="4" t="str">
        <x:v>Record captured</x:v>
      </x:c>
      <x:c r="G3735" s="4" t="str">
        <x:v>Enquiry</x:v>
      </x:c>
    </x:row>
    <x:row r="3736" ht="34" customHeight="1">
      <x:c r="A3736" s="4" t="str">
        <x:v>RS-03735-E1</x:v>
      </x:c>
      <x:c r="B3736" s="4" t="str">
        <x:v>RS-03735</x:v>
      </x:c>
      <x:c r="C3736" s="8" t="n">
        <x:v>45515</x:v>
      </x:c>
      <x:c r="D3736" s="4" t="str">
        <x:v>Sales operations manager</x:v>
      </x:c>
      <x:c r="E3736" s="4" t="str">
        <x:v>WhatsApp transcribed</x:v>
      </x:c>
      <x:c r="F3736" s="4" t="str">
        <x:v>Record captured</x:v>
      </x:c>
      <x:c r="G3736" s="4" t="str">
        <x:v>Handed over</x:v>
      </x:c>
    </x:row>
    <x:row r="3737" ht="34" customHeight="1">
      <x:c r="A3737" s="4" t="str">
        <x:v>RS-03736-E1</x:v>
      </x:c>
      <x:c r="B3737" s="4" t="str">
        <x:v>RS-03736</x:v>
      </x:c>
      <x:c r="C3737" s="8" t="n">
        <x:v>45516</x:v>
      </x:c>
      <x:c r="D3737" s="4" t="str">
        <x:v>Sales operations manager</x:v>
      </x:c>
      <x:c r="E3737" s="4" t="str">
        <x:v>Spreadsheet import</x:v>
      </x:c>
      <x:c r="F3737" s="4" t="str">
        <x:v>Record captured</x:v>
      </x:c>
      <x:c r="G3737" s="4" t="str">
        <x:v>Cancelled</x:v>
      </x:c>
    </x:row>
    <x:row r="3738" ht="34" customHeight="1">
      <x:c r="A3738" s="4" t="str">
        <x:v>RS-03737-E1</x:v>
      </x:c>
      <x:c r="B3738" s="4" t="str">
        <x:v>RS-03737</x:v>
      </x:c>
      <x:c r="C3738" s="8" t="n">
        <x:v>45517</x:v>
      </x:c>
      <x:c r="D3738" s="4" t="str">
        <x:v>Sales operations manager</x:v>
      </x:c>
      <x:c r="E3738" s="4" t="str">
        <x:v>WhatsApp transcribed</x:v>
      </x:c>
      <x:c r="F3738" s="4" t="str">
        <x:v>Record captured</x:v>
      </x:c>
      <x:c r="G3738" s="4" t="str">
        <x:v>Agreement signed</x:v>
      </x:c>
    </x:row>
    <x:row r="3739" ht="34" customHeight="1">
      <x:c r="A3739" s="4" t="str">
        <x:v>RS-03738-E1</x:v>
      </x:c>
      <x:c r="B3739" s="4" t="str">
        <x:v>RS-03738</x:v>
      </x:c>
      <x:c r="C3739" s="8" t="n">
        <x:v>45518</x:v>
      </x:c>
      <x:c r="D3739" s="4" t="str">
        <x:v>Sales operations manager</x:v>
      </x:c>
      <x:c r="E3739" s="4" t="str">
        <x:v>ERP form</x:v>
      </x:c>
      <x:c r="F3739" s="4" t="str">
        <x:v>Record captured</x:v>
      </x:c>
      <x:c r="G3739" s="4" t="str">
        <x:v>Enquiry</x:v>
      </x:c>
    </x:row>
    <x:row r="3740" ht="34" customHeight="1">
      <x:c r="A3740" s="4" t="str">
        <x:v>RS-03739-E1</x:v>
      </x:c>
      <x:c r="B3740" s="4" t="str">
        <x:v>RS-03739</x:v>
      </x:c>
      <x:c r="C3740" s="8" t="n">
        <x:v>45519</x:v>
      </x:c>
      <x:c r="D3740" s="4" t="str">
        <x:v>Sales operations manager</x:v>
      </x:c>
      <x:c r="E3740" s="4" t="str">
        <x:v>Spreadsheet import</x:v>
      </x:c>
      <x:c r="F3740" s="4" t="str">
        <x:v>Record captured</x:v>
      </x:c>
      <x:c r="G3740" s="4" t="str">
        <x:v>Cancelled</x:v>
      </x:c>
    </x:row>
    <x:row r="3741" ht="34" customHeight="1">
      <x:c r="A3741" s="4" t="str">
        <x:v>RS-03740-E1</x:v>
      </x:c>
      <x:c r="B3741" s="4" t="str">
        <x:v>RS-03740</x:v>
      </x:c>
      <x:c r="C3741" s="8" t="n">
        <x:v>45520</x:v>
      </x:c>
      <x:c r="D3741" s="4" t="str">
        <x:v>Sales operations manager</x:v>
      </x:c>
      <x:c r="E3741" s="4" t="str">
        <x:v>Spreadsheet import</x:v>
      </x:c>
      <x:c r="F3741" s="4" t="str">
        <x:v>Record captured</x:v>
      </x:c>
      <x:c r="G3741" s="4" t="str">
        <x:v>Reserved</x:v>
      </x:c>
    </x:row>
    <x:row r="3742" ht="34" customHeight="1">
      <x:c r="A3742" s="4" t="str">
        <x:v>RS-03741-E1</x:v>
      </x:c>
      <x:c r="B3742" s="4" t="str">
        <x:v>RS-03741</x:v>
      </x:c>
      <x:c r="C3742" s="8" t="n">
        <x:v>45521</x:v>
      </x:c>
      <x:c r="D3742" s="4" t="str">
        <x:v>Sales operations manager</x:v>
      </x:c>
      <x:c r="E3742" s="4" t="str">
        <x:v>WhatsApp transcribed</x:v>
      </x:c>
      <x:c r="F3742" s="4" t="str">
        <x:v>Record captured</x:v>
      </x:c>
      <x:c r="G3742" s="4" t="str">
        <x:v>Handed over</x:v>
      </x:c>
    </x:row>
    <x:row r="3743" ht="34" customHeight="1">
      <x:c r="A3743" s="4" t="str">
        <x:v>RS-03742-E1</x:v>
      </x:c>
      <x:c r="B3743" s="4" t="str">
        <x:v>RS-03742</x:v>
      </x:c>
      <x:c r="C3743" s="8" t="n">
        <x:v>45522</x:v>
      </x:c>
      <x:c r="D3743" s="4" t="str">
        <x:v>Sales operations manager</x:v>
      </x:c>
      <x:c r="E3743" s="4" t="str">
        <x:v>ERP form</x:v>
      </x:c>
      <x:c r="F3743" s="4" t="str">
        <x:v>Record captured</x:v>
      </x:c>
      <x:c r="G3743" s="4" t="str">
        <x:v>Handed over</x:v>
      </x:c>
    </x:row>
    <x:row r="3744" ht="34" customHeight="1">
      <x:c r="A3744" s="4" t="str">
        <x:v>RS-03743-E1</x:v>
      </x:c>
      <x:c r="B3744" s="4" t="str">
        <x:v>RS-03743</x:v>
      </x:c>
      <x:c r="C3744" s="8" t="n">
        <x:v>45523</x:v>
      </x:c>
      <x:c r="D3744" s="4" t="str">
        <x:v>Sales operations manager</x:v>
      </x:c>
      <x:c r="E3744" s="4" t="str">
        <x:v>WhatsApp transcribed</x:v>
      </x:c>
      <x:c r="F3744" s="4" t="str">
        <x:v>Record captured</x:v>
      </x:c>
      <x:c r="G3744" s="4" t="str">
        <x:v>Enquiry</x:v>
      </x:c>
    </x:row>
    <x:row r="3745" ht="34" customHeight="1">
      <x:c r="A3745" s="4" t="str">
        <x:v>RS-03744-E1</x:v>
      </x:c>
      <x:c r="B3745" s="4" t="str">
        <x:v>RS-03744</x:v>
      </x:c>
      <x:c r="C3745" s="8" t="n">
        <x:v>45524</x:v>
      </x:c>
      <x:c r="D3745" s="4" t="str">
        <x:v>Sales operations manager</x:v>
      </x:c>
      <x:c r="E3745" s="4" t="str">
        <x:v>WhatsApp transcribed</x:v>
      </x:c>
      <x:c r="F3745" s="4" t="str">
        <x:v>Record captured</x:v>
      </x:c>
      <x:c r="G3745" s="4" t="str">
        <x:v>Reserved</x:v>
      </x:c>
    </x:row>
    <x:row r="3746" ht="34" customHeight="1">
      <x:c r="A3746" s="4" t="str">
        <x:v>RS-03745-E1</x:v>
      </x:c>
      <x:c r="B3746" s="4" t="str">
        <x:v>RS-03745</x:v>
      </x:c>
      <x:c r="C3746" s="8" t="n">
        <x:v>45525</x:v>
      </x:c>
      <x:c r="D3746" s="4" t="str">
        <x:v>Sales operations manager</x:v>
      </x:c>
      <x:c r="E3746" s="4" t="str">
        <x:v>ERP form</x:v>
      </x:c>
      <x:c r="F3746" s="4" t="str">
        <x:v>Record captured</x:v>
      </x:c>
      <x:c r="G3746" s="4" t="str">
        <x:v>Reserved</x:v>
      </x:c>
    </x:row>
    <x:row r="3747" ht="34" customHeight="1">
      <x:c r="A3747" s="4" t="str">
        <x:v>RS-03746-E1</x:v>
      </x:c>
      <x:c r="B3747" s="4" t="str">
        <x:v>RS-03746</x:v>
      </x:c>
      <x:c r="C3747" s="8" t="n">
        <x:v>45526</x:v>
      </x:c>
      <x:c r="D3747" s="4" t="str">
        <x:v>Sales operations manager</x:v>
      </x:c>
      <x:c r="E3747" s="4" t="str">
        <x:v>WhatsApp transcribed</x:v>
      </x:c>
      <x:c r="F3747" s="4" t="str">
        <x:v>Record captured</x:v>
      </x:c>
      <x:c r="G3747" s="4" t="str">
        <x:v>Handed over</x:v>
      </x:c>
    </x:row>
    <x:row r="3748" ht="34" customHeight="1">
      <x:c r="A3748" s="4" t="str">
        <x:v>RS-03747-E1</x:v>
      </x:c>
      <x:c r="B3748" s="4" t="str">
        <x:v>RS-03747</x:v>
      </x:c>
      <x:c r="C3748" s="8" t="n">
        <x:v>45527</x:v>
      </x:c>
      <x:c r="D3748" s="4" t="str">
        <x:v>Sales operations manager</x:v>
      </x:c>
      <x:c r="E3748" s="4" t="str">
        <x:v>ERP form</x:v>
      </x:c>
      <x:c r="F3748" s="4" t="str">
        <x:v>Record captured</x:v>
      </x:c>
      <x:c r="G3748" s="4" t="str">
        <x:v>Enquiry</x:v>
      </x:c>
    </x:row>
    <x:row r="3749" ht="34" customHeight="1">
      <x:c r="A3749" s="4" t="str">
        <x:v>RS-03748-E1</x:v>
      </x:c>
      <x:c r="B3749" s="4" t="str">
        <x:v>RS-03748</x:v>
      </x:c>
      <x:c r="C3749" s="8" t="n">
        <x:v>45528</x:v>
      </x:c>
      <x:c r="D3749" s="4" t="str">
        <x:v>Sales operations manager</x:v>
      </x:c>
      <x:c r="E3749" s="4" t="str">
        <x:v>ERP form</x:v>
      </x:c>
      <x:c r="F3749" s="4" t="str">
        <x:v>Record captured</x:v>
      </x:c>
      <x:c r="G3749" s="4" t="str">
        <x:v>Cancelled</x:v>
      </x:c>
    </x:row>
    <x:row r="3750" ht="34" customHeight="1">
      <x:c r="A3750" s="4" t="str">
        <x:v>RS-03749-E1</x:v>
      </x:c>
      <x:c r="B3750" s="4" t="str">
        <x:v>RS-03749</x:v>
      </x:c>
      <x:c r="C3750" s="8" t="n">
        <x:v>45529</x:v>
      </x:c>
      <x:c r="D3750" s="4" t="str">
        <x:v>Sales operations manager</x:v>
      </x:c>
      <x:c r="E3750" s="4" t="str">
        <x:v>WhatsApp transcribed</x:v>
      </x:c>
      <x:c r="F3750" s="4" t="str">
        <x:v>Record captured</x:v>
      </x:c>
      <x:c r="G3750" s="4" t="str">
        <x:v>Booked</x:v>
      </x:c>
    </x:row>
    <x:row r="3751" ht="34" customHeight="1">
      <x:c r="A3751" s="4" t="str">
        <x:v>RS-03750-E1</x:v>
      </x:c>
      <x:c r="B3751" s="4" t="str">
        <x:v>RS-03750</x:v>
      </x:c>
      <x:c r="C3751" s="8" t="n">
        <x:v>45530</x:v>
      </x:c>
      <x:c r="D3751" s="4" t="str">
        <x:v>Sales operations manager</x:v>
      </x:c>
      <x:c r="E3751" s="4" t="str">
        <x:v>WhatsApp transcribed</x:v>
      </x:c>
      <x:c r="F3751" s="4" t="str">
        <x:v>Record captured</x:v>
      </x:c>
      <x:c r="G3751" s="4" t="str">
        <x:v>Handed over</x:v>
      </x:c>
    </x:row>
    <x:row r="3752" ht="34" customHeight="1">
      <x:c r="A3752" s="4" t="str">
        <x:v>RS-03751-E1</x:v>
      </x:c>
      <x:c r="B3752" s="4" t="str">
        <x:v>RS-03751</x:v>
      </x:c>
      <x:c r="C3752" s="8" t="n">
        <x:v>45531</x:v>
      </x:c>
      <x:c r="D3752" s="4" t="str">
        <x:v>Sales operations manager</x:v>
      </x:c>
      <x:c r="E3752" s="4" t="str">
        <x:v>Paper transcribed</x:v>
      </x:c>
      <x:c r="F3752" s="4" t="str">
        <x:v>Record captured</x:v>
      </x:c>
      <x:c r="G3752" s="4" t="str">
        <x:v>Reserved</x:v>
      </x:c>
    </x:row>
    <x:row r="3753" ht="34" customHeight="1">
      <x:c r="A3753" s="4" t="str">
        <x:v>RS-03752-E1</x:v>
      </x:c>
      <x:c r="B3753" s="4" t="str">
        <x:v>RS-03752</x:v>
      </x:c>
      <x:c r="C3753" s="8" t="n">
        <x:v>45532</x:v>
      </x:c>
      <x:c r="D3753" s="4" t="str">
        <x:v>Sales operations manager</x:v>
      </x:c>
      <x:c r="E3753" s="4" t="str">
        <x:v>Paper transcribed</x:v>
      </x:c>
      <x:c r="F3753" s="4" t="str">
        <x:v>Record captured</x:v>
      </x:c>
      <x:c r="G3753" s="4" t="str">
        <x:v>Agreement signed</x:v>
      </x:c>
    </x:row>
    <x:row r="3754" ht="34" customHeight="1">
      <x:c r="A3754" s="4" t="str">
        <x:v>RS-03753-E1</x:v>
      </x:c>
      <x:c r="B3754" s="4" t="str">
        <x:v>RS-03753</x:v>
      </x:c>
      <x:c r="C3754" s="8" t="n">
        <x:v>45505</x:v>
      </x:c>
      <x:c r="D3754" s="4" t="str">
        <x:v>Sales operations manager</x:v>
      </x:c>
      <x:c r="E3754" s="4" t="str">
        <x:v>Paper transcribed</x:v>
      </x:c>
      <x:c r="F3754" s="4" t="str">
        <x:v>Record captured</x:v>
      </x:c>
      <x:c r="G3754" s="4" t="str">
        <x:v>Handed over</x:v>
      </x:c>
    </x:row>
    <x:row r="3755" ht="34" customHeight="1">
      <x:c r="A3755" s="4" t="str">
        <x:v>RS-03754-E1</x:v>
      </x:c>
      <x:c r="B3755" s="4" t="str">
        <x:v>RS-03754</x:v>
      </x:c>
      <x:c r="C3755" s="8" t="n">
        <x:v>45506</x:v>
      </x:c>
      <x:c r="D3755" s="4" t="str">
        <x:v>Sales operations manager</x:v>
      </x:c>
      <x:c r="E3755" s="4" t="str">
        <x:v>Paper transcribed</x:v>
      </x:c>
      <x:c r="F3755" s="4" t="str">
        <x:v>Record captured</x:v>
      </x:c>
      <x:c r="G3755" s="4" t="str">
        <x:v>Handed over</x:v>
      </x:c>
    </x:row>
    <x:row r="3756" ht="34" customHeight="1">
      <x:c r="A3756" s="4" t="str">
        <x:v>RS-03755-E1</x:v>
      </x:c>
      <x:c r="B3756" s="4" t="str">
        <x:v>RS-03755</x:v>
      </x:c>
      <x:c r="C3756" s="8" t="n">
        <x:v>45507</x:v>
      </x:c>
      <x:c r="D3756" s="4" t="str">
        <x:v>Sales operations manager</x:v>
      </x:c>
      <x:c r="E3756" s="4" t="str">
        <x:v>ERP form</x:v>
      </x:c>
      <x:c r="F3756" s="4" t="str">
        <x:v>Record captured</x:v>
      </x:c>
      <x:c r="G3756" s="4" t="str">
        <x:v>Enquiry</x:v>
      </x:c>
    </x:row>
    <x:row r="3757" ht="34" customHeight="1">
      <x:c r="A3757" s="4" t="str">
        <x:v>RS-03756-E1</x:v>
      </x:c>
      <x:c r="B3757" s="4" t="str">
        <x:v>RS-03756</x:v>
      </x:c>
      <x:c r="C3757" s="8" t="n">
        <x:v>45508</x:v>
      </x:c>
      <x:c r="D3757" s="4" t="str">
        <x:v>Sales operations manager</x:v>
      </x:c>
      <x:c r="E3757" s="4" t="str">
        <x:v>Paper transcribed</x:v>
      </x:c>
      <x:c r="F3757" s="4" t="str">
        <x:v>Record captured</x:v>
      </x:c>
      <x:c r="G3757" s="4" t="str">
        <x:v>Handed over</x:v>
      </x:c>
    </x:row>
    <x:row r="3758" ht="34" customHeight="1">
      <x:c r="A3758" s="4" t="str">
        <x:v>RS-03757-E1</x:v>
      </x:c>
      <x:c r="B3758" s="4" t="str">
        <x:v>RS-03757</x:v>
      </x:c>
      <x:c r="C3758" s="8" t="n">
        <x:v>45509</x:v>
      </x:c>
      <x:c r="D3758" s="4" t="str">
        <x:v>Sales operations manager</x:v>
      </x:c>
      <x:c r="E3758" s="4" t="str">
        <x:v>Paper transcribed</x:v>
      </x:c>
      <x:c r="F3758" s="4" t="str">
        <x:v>Record captured</x:v>
      </x:c>
      <x:c r="G3758" s="4" t="str">
        <x:v>Enquiry</x:v>
      </x:c>
    </x:row>
    <x:row r="3759" ht="34" customHeight="1">
      <x:c r="A3759" s="4" t="str">
        <x:v>RS-03758-E1</x:v>
      </x:c>
      <x:c r="B3759" s="4" t="str">
        <x:v>RS-03758</x:v>
      </x:c>
      <x:c r="C3759" s="8" t="n">
        <x:v>45510</x:v>
      </x:c>
      <x:c r="D3759" s="4" t="str">
        <x:v>Sales operations manager</x:v>
      </x:c>
      <x:c r="E3759" s="4" t="str">
        <x:v>Spreadsheet import</x:v>
      </x:c>
      <x:c r="F3759" s="4" t="str">
        <x:v>Record captured</x:v>
      </x:c>
      <x:c r="G3759" s="4" t="str">
        <x:v>Agreement signed</x:v>
      </x:c>
    </x:row>
    <x:row r="3760" ht="34" customHeight="1">
      <x:c r="A3760" s="4" t="str">
        <x:v>RS-03759-E1</x:v>
      </x:c>
      <x:c r="B3760" s="4" t="str">
        <x:v>RS-03759</x:v>
      </x:c>
      <x:c r="C3760" s="8" t="n">
        <x:v>45511</x:v>
      </x:c>
      <x:c r="D3760" s="4" t="str">
        <x:v>Sales operations manager</x:v>
      </x:c>
      <x:c r="E3760" s="4" t="str">
        <x:v>Paper transcribed</x:v>
      </x:c>
      <x:c r="F3760" s="4" t="str">
        <x:v>Record captured</x:v>
      </x:c>
      <x:c r="G3760" s="4" t="str">
        <x:v>Booked</x:v>
      </x:c>
    </x:row>
    <x:row r="3761" ht="34" customHeight="1">
      <x:c r="A3761" s="4" t="str">
        <x:v>RS-03760-E1</x:v>
      </x:c>
      <x:c r="B3761" s="4" t="str">
        <x:v>RS-03760</x:v>
      </x:c>
      <x:c r="C3761" s="8" t="n">
        <x:v>45512</x:v>
      </x:c>
      <x:c r="D3761" s="4" t="str">
        <x:v>Sales operations manager</x:v>
      </x:c>
      <x:c r="E3761" s="4" t="str">
        <x:v>WhatsApp transcribed</x:v>
      </x:c>
      <x:c r="F3761" s="4" t="str">
        <x:v>Record captured</x:v>
      </x:c>
      <x:c r="G3761" s="4" t="str">
        <x:v>Handed over</x:v>
      </x:c>
    </x:row>
    <x:row r="3762" ht="34" customHeight="1">
      <x:c r="A3762" s="4" t="str">
        <x:v>RS-03761-E1</x:v>
      </x:c>
      <x:c r="B3762" s="4" t="str">
        <x:v>RS-03761</x:v>
      </x:c>
      <x:c r="C3762" s="8" t="n">
        <x:v>45513</x:v>
      </x:c>
      <x:c r="D3762" s="4" t="str">
        <x:v>Sales operations manager</x:v>
      </x:c>
      <x:c r="E3762" s="4" t="str">
        <x:v>Spreadsheet import</x:v>
      </x:c>
      <x:c r="F3762" s="4" t="str">
        <x:v>Record captured</x:v>
      </x:c>
      <x:c r="G3762" s="4" t="str">
        <x:v>Agreement signed</x:v>
      </x:c>
    </x:row>
    <x:row r="3763" ht="34" customHeight="1">
      <x:c r="A3763" s="4" t="str">
        <x:v>RS-03762-E1</x:v>
      </x:c>
      <x:c r="B3763" s="4" t="str">
        <x:v>RS-03762</x:v>
      </x:c>
      <x:c r="C3763" s="8" t="n">
        <x:v>45514</x:v>
      </x:c>
      <x:c r="D3763" s="4" t="str">
        <x:v>Sales operations manager</x:v>
      </x:c>
      <x:c r="E3763" s="4" t="str">
        <x:v>Paper transcribed</x:v>
      </x:c>
      <x:c r="F3763" s="4" t="str">
        <x:v>Record captured</x:v>
      </x:c>
      <x:c r="G3763" s="4" t="str">
        <x:v>Cancelled</x:v>
      </x:c>
    </x:row>
    <x:row r="3764" ht="34" customHeight="1">
      <x:c r="A3764" s="4" t="str">
        <x:v>RS-03763-E1</x:v>
      </x:c>
      <x:c r="B3764" s="4" t="str">
        <x:v>RS-03763</x:v>
      </x:c>
      <x:c r="C3764" s="8" t="n">
        <x:v>45515</x:v>
      </x:c>
      <x:c r="D3764" s="4" t="str">
        <x:v>Sales operations manager</x:v>
      </x:c>
      <x:c r="E3764" s="4" t="str">
        <x:v>Spreadsheet import</x:v>
      </x:c>
      <x:c r="F3764" s="4" t="str">
        <x:v>Record captured</x:v>
      </x:c>
      <x:c r="G3764" s="4" t="str">
        <x:v>Enquiry</x:v>
      </x:c>
    </x:row>
    <x:row r="3765" ht="34" customHeight="1">
      <x:c r="A3765" s="4" t="str">
        <x:v>RS-03764-E1</x:v>
      </x:c>
      <x:c r="B3765" s="4" t="str">
        <x:v>RS-03764</x:v>
      </x:c>
      <x:c r="C3765" s="8" t="n">
        <x:v>45516</x:v>
      </x:c>
      <x:c r="D3765" s="4" t="str">
        <x:v>Sales operations manager</x:v>
      </x:c>
      <x:c r="E3765" s="4" t="str">
        <x:v>WhatsApp transcribed</x:v>
      </x:c>
      <x:c r="F3765" s="4" t="str">
        <x:v>Record captured</x:v>
      </x:c>
      <x:c r="G3765" s="4" t="str">
        <x:v>Handed over</x:v>
      </x:c>
    </x:row>
    <x:row r="3766" ht="34" customHeight="1">
      <x:c r="A3766" s="4" t="str">
        <x:v>RS-03765-E1</x:v>
      </x:c>
      <x:c r="B3766" s="4" t="str">
        <x:v>RS-03765</x:v>
      </x:c>
      <x:c r="C3766" s="8" t="n">
        <x:v>45517</x:v>
      </x:c>
      <x:c r="D3766" s="4" t="str">
        <x:v>Sales operations manager</x:v>
      </x:c>
      <x:c r="E3766" s="4" t="str">
        <x:v>Paper transcribed</x:v>
      </x:c>
      <x:c r="F3766" s="4" t="str">
        <x:v>Record captured</x:v>
      </x:c>
      <x:c r="G3766" s="4" t="str">
        <x:v>Agreement signed</x:v>
      </x:c>
    </x:row>
    <x:row r="3767" ht="34" customHeight="1">
      <x:c r="A3767" s="4" t="str">
        <x:v>RS-03766-E1</x:v>
      </x:c>
      <x:c r="B3767" s="4" t="str">
        <x:v>RS-03766</x:v>
      </x:c>
      <x:c r="C3767" s="8" t="n">
        <x:v>45518</x:v>
      </x:c>
      <x:c r="D3767" s="4" t="str">
        <x:v>Sales operations manager</x:v>
      </x:c>
      <x:c r="E3767" s="4" t="str">
        <x:v>ERP form</x:v>
      </x:c>
      <x:c r="F3767" s="4" t="str">
        <x:v>Record captured</x:v>
      </x:c>
      <x:c r="G3767" s="4" t="str">
        <x:v>Enquiry</x:v>
      </x:c>
    </x:row>
    <x:row r="3768" ht="34" customHeight="1">
      <x:c r="A3768" s="4" t="str">
        <x:v>RS-03767-E1</x:v>
      </x:c>
      <x:c r="B3768" s="4" t="str">
        <x:v>RS-03767</x:v>
      </x:c>
      <x:c r="C3768" s="8" t="n">
        <x:v>45519</x:v>
      </x:c>
      <x:c r="D3768" s="4" t="str">
        <x:v>Sales operations manager</x:v>
      </x:c>
      <x:c r="E3768" s="4" t="str">
        <x:v>ERP form</x:v>
      </x:c>
      <x:c r="F3768" s="4" t="str">
        <x:v>Record captured</x:v>
      </x:c>
      <x:c r="G3768" s="4" t="str">
        <x:v>Handed over</x:v>
      </x:c>
    </x:row>
    <x:row r="3769" ht="34" customHeight="1">
      <x:c r="A3769" s="4" t="str">
        <x:v>RS-03768-E1</x:v>
      </x:c>
      <x:c r="B3769" s="4" t="str">
        <x:v>RS-03768</x:v>
      </x:c>
      <x:c r="C3769" s="8" t="n">
        <x:v>45520</x:v>
      </x:c>
      <x:c r="D3769" s="4" t="str">
        <x:v>Sales operations manager</x:v>
      </x:c>
      <x:c r="E3769" s="4" t="str">
        <x:v>WhatsApp transcribed</x:v>
      </x:c>
      <x:c r="F3769" s="4" t="str">
        <x:v>Record captured</x:v>
      </x:c>
      <x:c r="G3769" s="4" t="str">
        <x:v>Handed over</x:v>
      </x:c>
    </x:row>
    <x:row r="3770" ht="34" customHeight="1">
      <x:c r="A3770" s="4" t="str">
        <x:v>RS-03769-E1</x:v>
      </x:c>
      <x:c r="B3770" s="4" t="str">
        <x:v>RS-03769</x:v>
      </x:c>
      <x:c r="C3770" s="8" t="n">
        <x:v>45521</x:v>
      </x:c>
      <x:c r="D3770" s="4" t="str">
        <x:v>Sales operations manager</x:v>
      </x:c>
      <x:c r="E3770" s="4" t="str">
        <x:v>Paper transcribed</x:v>
      </x:c>
      <x:c r="F3770" s="4" t="str">
        <x:v>Record captured</x:v>
      </x:c>
      <x:c r="G3770" s="4" t="str">
        <x:v>Agreement signed</x:v>
      </x:c>
    </x:row>
    <x:row r="3771" ht="34" customHeight="1">
      <x:c r="A3771" s="4" t="str">
        <x:v>RS-03770-E1</x:v>
      </x:c>
      <x:c r="B3771" s="4" t="str">
        <x:v>RS-03770</x:v>
      </x:c>
      <x:c r="C3771" s="8" t="n">
        <x:v>45522</x:v>
      </x:c>
      <x:c r="D3771" s="4" t="str">
        <x:v>Sales operations manager</x:v>
      </x:c>
      <x:c r="E3771" s="4" t="str">
        <x:v>Spreadsheet import</x:v>
      </x:c>
      <x:c r="F3771" s="4" t="str">
        <x:v>Record captured</x:v>
      </x:c>
      <x:c r="G3771" s="4" t="str">
        <x:v>Booked</x:v>
      </x:c>
    </x:row>
    <x:row r="3772" ht="34" customHeight="1">
      <x:c r="A3772" s="4" t="str">
        <x:v>RS-03771-E1</x:v>
      </x:c>
      <x:c r="B3772" s="4" t="str">
        <x:v>RS-03771</x:v>
      </x:c>
      <x:c r="C3772" s="8" t="n">
        <x:v>45523</x:v>
      </x:c>
      <x:c r="D3772" s="4" t="str">
        <x:v>Sales operations manager</x:v>
      </x:c>
      <x:c r="E3772" s="4" t="str">
        <x:v>ERP form</x:v>
      </x:c>
      <x:c r="F3772" s="4" t="str">
        <x:v>Record captured</x:v>
      </x:c>
      <x:c r="G3772" s="4" t="str">
        <x:v>Handed over</x:v>
      </x:c>
    </x:row>
    <x:row r="3773" ht="34" customHeight="1">
      <x:c r="A3773" s="4" t="str">
        <x:v>RS-03772-E1</x:v>
      </x:c>
      <x:c r="B3773" s="4" t="str">
        <x:v>RS-03772</x:v>
      </x:c>
      <x:c r="C3773" s="8" t="n">
        <x:v>45524</x:v>
      </x:c>
      <x:c r="D3773" s="4" t="str">
        <x:v>Sales operations manager</x:v>
      </x:c>
      <x:c r="E3773" s="4" t="str">
        <x:v>WhatsApp transcribed</x:v>
      </x:c>
      <x:c r="F3773" s="4" t="str">
        <x:v>Record captured</x:v>
      </x:c>
      <x:c r="G3773" s="4" t="str">
        <x:v>Cancelled</x:v>
      </x:c>
    </x:row>
    <x:row r="3774" ht="34" customHeight="1">
      <x:c r="A3774" s="4" t="str">
        <x:v>RS-03773-E1</x:v>
      </x:c>
      <x:c r="B3774" s="4" t="str">
        <x:v>RS-03773</x:v>
      </x:c>
      <x:c r="C3774" s="8" t="n">
        <x:v>45525</x:v>
      </x:c>
      <x:c r="D3774" s="4" t="str">
        <x:v>Sales operations manager</x:v>
      </x:c>
      <x:c r="E3774" s="4" t="str">
        <x:v>Paper transcribed</x:v>
      </x:c>
      <x:c r="F3774" s="4" t="str">
        <x:v>Record captured</x:v>
      </x:c>
      <x:c r="G3774" s="4" t="str">
        <x:v>Enquiry</x:v>
      </x:c>
    </x:row>
    <x:row r="3775" ht="34" customHeight="1">
      <x:c r="A3775" s="4" t="str">
        <x:v>RS-03774-E1</x:v>
      </x:c>
      <x:c r="B3775" s="4" t="str">
        <x:v>RS-03774</x:v>
      </x:c>
      <x:c r="C3775" s="8" t="n">
        <x:v>45526</x:v>
      </x:c>
      <x:c r="D3775" s="4" t="str">
        <x:v>Sales operations manager</x:v>
      </x:c>
      <x:c r="E3775" s="4" t="str">
        <x:v>Spreadsheet import</x:v>
      </x:c>
      <x:c r="F3775" s="4" t="str">
        <x:v>Record captured</x:v>
      </x:c>
      <x:c r="G3775" s="4" t="str">
        <x:v>Cancelled</x:v>
      </x:c>
    </x:row>
    <x:row r="3776" ht="34" customHeight="1">
      <x:c r="A3776" s="4" t="str">
        <x:v>RS-03775-E1</x:v>
      </x:c>
      <x:c r="B3776" s="4" t="str">
        <x:v>RS-03775</x:v>
      </x:c>
      <x:c r="C3776" s="8" t="n">
        <x:v>45527</x:v>
      </x:c>
      <x:c r="D3776" s="4" t="str">
        <x:v>Sales operations manager</x:v>
      </x:c>
      <x:c r="E3776" s="4" t="str">
        <x:v>Paper transcribed</x:v>
      </x:c>
      <x:c r="F3776" s="4" t="str">
        <x:v>Record captured</x:v>
      </x:c>
      <x:c r="G3776" s="4" t="str">
        <x:v>Cancelled</x:v>
      </x:c>
    </x:row>
    <x:row r="3777" ht="34" customHeight="1">
      <x:c r="A3777" s="4" t="str">
        <x:v>RS-03776-E1</x:v>
      </x:c>
      <x:c r="B3777" s="4" t="str">
        <x:v>RS-03776</x:v>
      </x:c>
      <x:c r="C3777" s="8" t="n">
        <x:v>45528</x:v>
      </x:c>
      <x:c r="D3777" s="4" t="str">
        <x:v>Sales operations manager</x:v>
      </x:c>
      <x:c r="E3777" s="4" t="str">
        <x:v>Paper transcribed</x:v>
      </x:c>
      <x:c r="F3777" s="4" t="str">
        <x:v>Record captured</x:v>
      </x:c>
      <x:c r="G3777" s="4" t="str">
        <x:v>Cancelled</x:v>
      </x:c>
    </x:row>
    <x:row r="3778" ht="34" customHeight="1">
      <x:c r="A3778" s="4" t="str">
        <x:v>RS-03777-E1</x:v>
      </x:c>
      <x:c r="B3778" s="4" t="str">
        <x:v>RS-03777</x:v>
      </x:c>
      <x:c r="C3778" s="8" t="n">
        <x:v>45529</x:v>
      </x:c>
      <x:c r="D3778" s="4" t="str">
        <x:v>Sales operations manager</x:v>
      </x:c>
      <x:c r="E3778" s="4" t="str">
        <x:v>WhatsApp transcribed</x:v>
      </x:c>
      <x:c r="F3778" s="4" t="str">
        <x:v>Record captured</x:v>
      </x:c>
      <x:c r="G3778" s="4" t="str">
        <x:v>Agreement signed</x:v>
      </x:c>
    </x:row>
    <x:row r="3779" ht="34" customHeight="1">
      <x:c r="A3779" s="4" t="str">
        <x:v>RS-03778-E1</x:v>
      </x:c>
      <x:c r="B3779" s="4" t="str">
        <x:v>RS-03778</x:v>
      </x:c>
      <x:c r="C3779" s="8" t="n">
        <x:v>45530</x:v>
      </x:c>
      <x:c r="D3779" s="4" t="str">
        <x:v>Sales operations manager</x:v>
      </x:c>
      <x:c r="E3779" s="4" t="str">
        <x:v>Spreadsheet import</x:v>
      </x:c>
      <x:c r="F3779" s="4" t="str">
        <x:v>Record captured</x:v>
      </x:c>
      <x:c r="G3779" s="4" t="str">
        <x:v>Handed over</x:v>
      </x:c>
    </x:row>
    <x:row r="3780" ht="34" customHeight="1">
      <x:c r="A3780" s="4" t="str">
        <x:v>RS-03779-E1</x:v>
      </x:c>
      <x:c r="B3780" s="4" t="str">
        <x:v>RS-03779</x:v>
      </x:c>
      <x:c r="C3780" s="8" t="n">
        <x:v>45531</x:v>
      </x:c>
      <x:c r="D3780" s="4" t="str">
        <x:v>Sales operations manager</x:v>
      </x:c>
      <x:c r="E3780" s="4" t="str">
        <x:v>WhatsApp transcribed</x:v>
      </x:c>
      <x:c r="F3780" s="4" t="str">
        <x:v>Record captured</x:v>
      </x:c>
      <x:c r="G3780" s="4" t="str">
        <x:v>Enquiry</x:v>
      </x:c>
    </x:row>
    <x:row r="3781" ht="34" customHeight="1">
      <x:c r="A3781" s="4" t="str">
        <x:v>RS-03780-E1</x:v>
      </x:c>
      <x:c r="B3781" s="4" t="str">
        <x:v>RS-03780</x:v>
      </x:c>
      <x:c r="C3781" s="8" t="n">
        <x:v>45532</x:v>
      </x:c>
      <x:c r="D3781" s="4" t="str">
        <x:v>Sales operations manager</x:v>
      </x:c>
      <x:c r="E3781" s="4" t="str">
        <x:v>WhatsApp transcribed</x:v>
      </x:c>
      <x:c r="F3781" s="4" t="str">
        <x:v>Record captured</x:v>
      </x:c>
      <x:c r="G3781" s="4" t="str">
        <x:v>Cancelled</x:v>
      </x:c>
    </x:row>
    <x:row r="3782" ht="34" customHeight="1">
      <x:c r="A3782" s="4" t="str">
        <x:v>RS-03781-E1</x:v>
      </x:c>
      <x:c r="B3782" s="4" t="str">
        <x:v>RS-03781</x:v>
      </x:c>
      <x:c r="C3782" s="8" t="n">
        <x:v>45505</x:v>
      </x:c>
      <x:c r="D3782" s="4" t="str">
        <x:v>Sales operations manager</x:v>
      </x:c>
      <x:c r="E3782" s="4" t="str">
        <x:v>Spreadsheet import</x:v>
      </x:c>
      <x:c r="F3782" s="4" t="str">
        <x:v>Record captured</x:v>
      </x:c>
      <x:c r="G3782" s="4" t="str">
        <x:v>Booked</x:v>
      </x:c>
    </x:row>
    <x:row r="3783" ht="34" customHeight="1">
      <x:c r="A3783" s="4" t="str">
        <x:v>RS-03782-E1</x:v>
      </x:c>
      <x:c r="B3783" s="4" t="str">
        <x:v>RS-03782</x:v>
      </x:c>
      <x:c r="C3783" s="8" t="n">
        <x:v>45506</x:v>
      </x:c>
      <x:c r="D3783" s="4" t="str">
        <x:v>Sales operations manager</x:v>
      </x:c>
      <x:c r="E3783" s="4" t="str">
        <x:v>ERP form</x:v>
      </x:c>
      <x:c r="F3783" s="4" t="str">
        <x:v>Record captured</x:v>
      </x:c>
      <x:c r="G3783" s="4" t="str">
        <x:v>Enquiry</x:v>
      </x:c>
    </x:row>
    <x:row r="3784" ht="34" customHeight="1">
      <x:c r="A3784" s="4" t="str">
        <x:v>RS-03783-E1</x:v>
      </x:c>
      <x:c r="B3784" s="4" t="str">
        <x:v>RS-03783</x:v>
      </x:c>
      <x:c r="C3784" s="8" t="n">
        <x:v>45507</x:v>
      </x:c>
      <x:c r="D3784" s="4" t="str">
        <x:v>Sales operations manager</x:v>
      </x:c>
      <x:c r="E3784" s="4" t="str">
        <x:v>WhatsApp transcribed</x:v>
      </x:c>
      <x:c r="F3784" s="4" t="str">
        <x:v>Record captured</x:v>
      </x:c>
      <x:c r="G3784" s="4" t="str">
        <x:v>Booked</x:v>
      </x:c>
    </x:row>
    <x:row r="3785" ht="34" customHeight="1">
      <x:c r="A3785" s="4" t="str">
        <x:v>RS-03784-E1</x:v>
      </x:c>
      <x:c r="B3785" s="4" t="str">
        <x:v>RS-03784</x:v>
      </x:c>
      <x:c r="C3785" s="8" t="n">
        <x:v>45508</x:v>
      </x:c>
      <x:c r="D3785" s="4" t="str">
        <x:v>Sales operations manager</x:v>
      </x:c>
      <x:c r="E3785" s="4" t="str">
        <x:v>ERP form</x:v>
      </x:c>
      <x:c r="F3785" s="4" t="str">
        <x:v>Record captured</x:v>
      </x:c>
      <x:c r="G3785" s="4" t="str">
        <x:v>Enquiry</x:v>
      </x:c>
    </x:row>
    <x:row r="3786" ht="34" customHeight="1">
      <x:c r="A3786" s="4" t="str">
        <x:v>RS-03785-E1</x:v>
      </x:c>
      <x:c r="B3786" s="4" t="str">
        <x:v>RS-03785</x:v>
      </x:c>
      <x:c r="C3786" s="8" t="n">
        <x:v>45509</x:v>
      </x:c>
      <x:c r="D3786" s="4" t="str">
        <x:v>Sales operations manager</x:v>
      </x:c>
      <x:c r="E3786" s="4" t="str">
        <x:v>WhatsApp transcribed</x:v>
      </x:c>
      <x:c r="F3786" s="4" t="str">
        <x:v>Record captured</x:v>
      </x:c>
      <x:c r="G3786" s="4" t="str">
        <x:v>Agreement signed</x:v>
      </x:c>
    </x:row>
    <x:row r="3787" ht="34" customHeight="1">
      <x:c r="A3787" s="4" t="str">
        <x:v>RS-03786-E1</x:v>
      </x:c>
      <x:c r="B3787" s="4" t="str">
        <x:v>RS-03786</x:v>
      </x:c>
      <x:c r="C3787" s="8" t="n">
        <x:v>45510</x:v>
      </x:c>
      <x:c r="D3787" s="4" t="str">
        <x:v>Sales operations manager</x:v>
      </x:c>
      <x:c r="E3787" s="4" t="str">
        <x:v>ERP form</x:v>
      </x:c>
      <x:c r="F3787" s="4" t="str">
        <x:v>Record captured</x:v>
      </x:c>
      <x:c r="G3787" s="4" t="str">
        <x:v>Reserved</x:v>
      </x:c>
    </x:row>
    <x:row r="3788" ht="34" customHeight="1">
      <x:c r="A3788" s="4" t="str">
        <x:v>RS-03787-E1</x:v>
      </x:c>
      <x:c r="B3788" s="4" t="str">
        <x:v>RS-03787</x:v>
      </x:c>
      <x:c r="C3788" s="8" t="n">
        <x:v>45511</x:v>
      </x:c>
      <x:c r="D3788" s="4" t="str">
        <x:v>Sales operations manager</x:v>
      </x:c>
      <x:c r="E3788" s="4" t="str">
        <x:v>ERP form</x:v>
      </x:c>
      <x:c r="F3788" s="4" t="str">
        <x:v>Record captured</x:v>
      </x:c>
      <x:c r="G3788" s="4" t="str">
        <x:v>Cancelled</x:v>
      </x:c>
    </x:row>
    <x:row r="3789" ht="34" customHeight="1">
      <x:c r="A3789" s="4" t="str">
        <x:v>RS-03788-E1</x:v>
      </x:c>
      <x:c r="B3789" s="4" t="str">
        <x:v>RS-03788</x:v>
      </x:c>
      <x:c r="C3789" s="8" t="n">
        <x:v>45512</x:v>
      </x:c>
      <x:c r="D3789" s="4" t="str">
        <x:v>Sales operations manager</x:v>
      </x:c>
      <x:c r="E3789" s="4" t="str">
        <x:v>Spreadsheet import</x:v>
      </x:c>
      <x:c r="F3789" s="4" t="str">
        <x:v>Record captured</x:v>
      </x:c>
      <x:c r="G3789" s="4" t="str">
        <x:v>Enquiry</x:v>
      </x:c>
    </x:row>
    <x:row r="3790" ht="34" customHeight="1">
      <x:c r="A3790" s="4" t="str">
        <x:v>RS-03789-E1</x:v>
      </x:c>
      <x:c r="B3790" s="4" t="str">
        <x:v>RS-03789</x:v>
      </x:c>
      <x:c r="C3790" s="8" t="n">
        <x:v>45513</x:v>
      </x:c>
      <x:c r="D3790" s="4" t="str">
        <x:v>Sales operations manager</x:v>
      </x:c>
      <x:c r="E3790" s="4" t="str">
        <x:v>Paper transcribed</x:v>
      </x:c>
      <x:c r="F3790" s="4" t="str">
        <x:v>Record captured</x:v>
      </x:c>
      <x:c r="G3790" s="4" t="str">
        <x:v>Cancelled</x:v>
      </x:c>
    </x:row>
    <x:row r="3791" ht="34" customHeight="1">
      <x:c r="A3791" s="4" t="str">
        <x:v>RS-03790-E1</x:v>
      </x:c>
      <x:c r="B3791" s="4" t="str">
        <x:v>RS-03790</x:v>
      </x:c>
      <x:c r="C3791" s="8" t="n">
        <x:v>45514</x:v>
      </x:c>
      <x:c r="D3791" s="4" t="str">
        <x:v>Sales operations manager</x:v>
      </x:c>
      <x:c r="E3791" s="4" t="str">
        <x:v>Spreadsheet import</x:v>
      </x:c>
      <x:c r="F3791" s="4" t="str">
        <x:v>Record captured</x:v>
      </x:c>
      <x:c r="G3791" s="4" t="str">
        <x:v>Cancelled</x:v>
      </x:c>
    </x:row>
    <x:row r="3792" ht="34" customHeight="1">
      <x:c r="A3792" s="4" t="str">
        <x:v>RS-03791-E1</x:v>
      </x:c>
      <x:c r="B3792" s="4" t="str">
        <x:v>RS-03791</x:v>
      </x:c>
      <x:c r="C3792" s="8" t="n">
        <x:v>45515</x:v>
      </x:c>
      <x:c r="D3792" s="4" t="str">
        <x:v>Sales operations manager</x:v>
      </x:c>
      <x:c r="E3792" s="4" t="str">
        <x:v>ERP form</x:v>
      </x:c>
      <x:c r="F3792" s="4" t="str">
        <x:v>Record captured</x:v>
      </x:c>
      <x:c r="G3792" s="4" t="str">
        <x:v>Agreement signed</x:v>
      </x:c>
    </x:row>
    <x:row r="3793" ht="34" customHeight="1">
      <x:c r="A3793" s="4" t="str">
        <x:v>RS-03792-E1</x:v>
      </x:c>
      <x:c r="B3793" s="4" t="str">
        <x:v>RS-03792</x:v>
      </x:c>
      <x:c r="C3793" s="8" t="n">
        <x:v>45516</x:v>
      </x:c>
      <x:c r="D3793" s="4" t="str">
        <x:v>Sales operations manager</x:v>
      </x:c>
      <x:c r="E3793" s="4" t="str">
        <x:v>ERP form</x:v>
      </x:c>
      <x:c r="F3793" s="4" t="str">
        <x:v>Record captured</x:v>
      </x:c>
      <x:c r="G3793" s="4" t="str">
        <x:v>Booked</x:v>
      </x:c>
    </x:row>
    <x:row r="3794" ht="34" customHeight="1">
      <x:c r="A3794" s="4" t="str">
        <x:v>RS-03793-E1</x:v>
      </x:c>
      <x:c r="B3794" s="4" t="str">
        <x:v>RS-03793</x:v>
      </x:c>
      <x:c r="C3794" s="8" t="n">
        <x:v>45517</x:v>
      </x:c>
      <x:c r="D3794" s="4" t="str">
        <x:v>Sales operations manager</x:v>
      </x:c>
      <x:c r="E3794" s="4" t="str">
        <x:v>Paper transcribed</x:v>
      </x:c>
      <x:c r="F3794" s="4" t="str">
        <x:v>Record captured</x:v>
      </x:c>
      <x:c r="G3794" s="4" t="str">
        <x:v>Agreement signed</x:v>
      </x:c>
    </x:row>
    <x:row r="3795" ht="34" customHeight="1">
      <x:c r="A3795" s="4" t="str">
        <x:v>RS-03794-E1</x:v>
      </x:c>
      <x:c r="B3795" s="4" t="str">
        <x:v>RS-03794</x:v>
      </x:c>
      <x:c r="C3795" s="8" t="n">
        <x:v>45518</x:v>
      </x:c>
      <x:c r="D3795" s="4" t="str">
        <x:v>Sales operations manager</x:v>
      </x:c>
      <x:c r="E3795" s="4" t="str">
        <x:v>ERP form</x:v>
      </x:c>
      <x:c r="F3795" s="4" t="str">
        <x:v>Record captured</x:v>
      </x:c>
      <x:c r="G3795" s="4" t="str">
        <x:v>Handed over</x:v>
      </x:c>
    </x:row>
    <x:row r="3796" ht="34" customHeight="1">
      <x:c r="A3796" s="4" t="str">
        <x:v>RS-03795-E1</x:v>
      </x:c>
      <x:c r="B3796" s="4" t="str">
        <x:v>RS-03795</x:v>
      </x:c>
      <x:c r="C3796" s="8" t="n">
        <x:v>45519</x:v>
      </x:c>
      <x:c r="D3796" s="4" t="str">
        <x:v>Sales operations manager</x:v>
      </x:c>
      <x:c r="E3796" s="4" t="str">
        <x:v>ERP form</x:v>
      </x:c>
      <x:c r="F3796" s="4" t="str">
        <x:v>Record captured</x:v>
      </x:c>
      <x:c r="G3796" s="4" t="str">
        <x:v>Reserved</x:v>
      </x:c>
    </x:row>
    <x:row r="3797" ht="34" customHeight="1">
      <x:c r="A3797" s="4" t="str">
        <x:v>RS-03796-E1</x:v>
      </x:c>
      <x:c r="B3797" s="4" t="str">
        <x:v>RS-03796</x:v>
      </x:c>
      <x:c r="C3797" s="8" t="n">
        <x:v>45520</x:v>
      </x:c>
      <x:c r="D3797" s="4" t="str">
        <x:v>Sales operations manager</x:v>
      </x:c>
      <x:c r="E3797" s="4" t="str">
        <x:v>ERP form</x:v>
      </x:c>
      <x:c r="F3797" s="4" t="str">
        <x:v>Record captured</x:v>
      </x:c>
      <x:c r="G3797" s="4" t="str">
        <x:v>Cancelled</x:v>
      </x:c>
    </x:row>
    <x:row r="3798" ht="34" customHeight="1">
      <x:c r="A3798" s="4" t="str">
        <x:v>RS-03797-E1</x:v>
      </x:c>
      <x:c r="B3798" s="4" t="str">
        <x:v>RS-03797</x:v>
      </x:c>
      <x:c r="C3798" s="8" t="n">
        <x:v>45521</x:v>
      </x:c>
      <x:c r="D3798" s="4" t="str">
        <x:v>Sales operations manager</x:v>
      </x:c>
      <x:c r="E3798" s="4" t="str">
        <x:v>ERP form</x:v>
      </x:c>
      <x:c r="F3798" s="4" t="str">
        <x:v>Record captured</x:v>
      </x:c>
      <x:c r="G3798" s="4" t="str">
        <x:v>Handed over</x:v>
      </x:c>
    </x:row>
    <x:row r="3799" ht="34" customHeight="1">
      <x:c r="A3799" s="4" t="str">
        <x:v>RS-03798-E1</x:v>
      </x:c>
      <x:c r="B3799" s="4" t="str">
        <x:v>RS-03798</x:v>
      </x:c>
      <x:c r="C3799" s="8" t="n">
        <x:v>45522</x:v>
      </x:c>
      <x:c r="D3799" s="4" t="str">
        <x:v>Sales operations manager</x:v>
      </x:c>
      <x:c r="E3799" s="4" t="str">
        <x:v>WhatsApp transcribed</x:v>
      </x:c>
      <x:c r="F3799" s="4" t="str">
        <x:v>Record captured</x:v>
      </x:c>
      <x:c r="G3799" s="4" t="str">
        <x:v>Handed over</x:v>
      </x:c>
    </x:row>
    <x:row r="3800" ht="34" customHeight="1">
      <x:c r="A3800" s="4" t="str">
        <x:v>RS-03799-E1</x:v>
      </x:c>
      <x:c r="B3800" s="4" t="str">
        <x:v>RS-03799</x:v>
      </x:c>
      <x:c r="C3800" s="8" t="n">
        <x:v>45523</x:v>
      </x:c>
      <x:c r="D3800" s="4" t="str">
        <x:v>Sales operations manager</x:v>
      </x:c>
      <x:c r="E3800" s="4" t="str">
        <x:v>ERP form</x:v>
      </x:c>
      <x:c r="F3800" s="4" t="str">
        <x:v>Record captured</x:v>
      </x:c>
      <x:c r="G3800" s="4" t="str">
        <x:v>Enquiry</x:v>
      </x:c>
    </x:row>
    <x:row r="3801" ht="34" customHeight="1">
      <x:c r="A3801" s="4" t="str">
        <x:v>RS-03800-E1</x:v>
      </x:c>
      <x:c r="B3801" s="4" t="str">
        <x:v>RS-03800</x:v>
      </x:c>
      <x:c r="C3801" s="8" t="n">
        <x:v>45524</x:v>
      </x:c>
      <x:c r="D3801" s="4" t="str">
        <x:v>Sales operations manager</x:v>
      </x:c>
      <x:c r="E3801" s="4" t="str">
        <x:v>Spreadsheet import</x:v>
      </x:c>
      <x:c r="F3801" s="4" t="str">
        <x:v>Record captured</x:v>
      </x:c>
      <x:c r="G3801" s="4" t="str">
        <x:v>Handed over</x:v>
      </x:c>
    </x:row>
    <x:row r="3802" ht="34" customHeight="1">
      <x:c r="A3802" s="4" t="str">
        <x:v>RS-03801-E1</x:v>
      </x:c>
      <x:c r="B3802" s="4" t="str">
        <x:v>RS-03801</x:v>
      </x:c>
      <x:c r="C3802" s="8" t="n">
        <x:v>45525</x:v>
      </x:c>
      <x:c r="D3802" s="4" t="str">
        <x:v>Sales operations manager</x:v>
      </x:c>
      <x:c r="E3802" s="4" t="str">
        <x:v>WhatsApp transcribed</x:v>
      </x:c>
      <x:c r="F3802" s="4" t="str">
        <x:v>Record captured</x:v>
      </x:c>
      <x:c r="G3802" s="4" t="str">
        <x:v>Reserved</x:v>
      </x:c>
    </x:row>
    <x:row r="3803" ht="34" customHeight="1">
      <x:c r="A3803" s="4" t="str">
        <x:v>RS-03802-E1</x:v>
      </x:c>
      <x:c r="B3803" s="4" t="str">
        <x:v>RS-03802</x:v>
      </x:c>
      <x:c r="C3803" s="8" t="n">
        <x:v>45526</x:v>
      </x:c>
      <x:c r="D3803" s="4" t="str">
        <x:v>Sales operations manager</x:v>
      </x:c>
      <x:c r="E3803" s="4" t="str">
        <x:v>Paper transcribed</x:v>
      </x:c>
      <x:c r="F3803" s="4" t="str">
        <x:v>Record captured</x:v>
      </x:c>
      <x:c r="G3803" s="4" t="str">
        <x:v>Booked</x:v>
      </x:c>
    </x:row>
    <x:row r="3804" ht="34" customHeight="1">
      <x:c r="A3804" s="4" t="str">
        <x:v>RS-03803-E1</x:v>
      </x:c>
      <x:c r="B3804" s="4" t="str">
        <x:v>RS-03803</x:v>
      </x:c>
      <x:c r="C3804" s="8" t="n">
        <x:v>45527</x:v>
      </x:c>
      <x:c r="D3804" s="4" t="str">
        <x:v>Sales operations manager</x:v>
      </x:c>
      <x:c r="E3804" s="4" t="str">
        <x:v>Spreadsheet import</x:v>
      </x:c>
      <x:c r="F3804" s="4" t="str">
        <x:v>Record captured</x:v>
      </x:c>
      <x:c r="G3804" s="4" t="str">
        <x:v>Reserved</x:v>
      </x:c>
    </x:row>
    <x:row r="3805" ht="34" customHeight="1">
      <x:c r="A3805" s="4" t="str">
        <x:v>RS-03804-E1</x:v>
      </x:c>
      <x:c r="B3805" s="4" t="str">
        <x:v>RS-03804</x:v>
      </x:c>
      <x:c r="C3805" s="8" t="n">
        <x:v>45528</x:v>
      </x:c>
      <x:c r="D3805" s="4" t="str">
        <x:v>Sales operations manager</x:v>
      </x:c>
      <x:c r="E3805" s="4" t="str">
        <x:v>ERP form</x:v>
      </x:c>
      <x:c r="F3805" s="4" t="str">
        <x:v>Record captured</x:v>
      </x:c>
      <x:c r="G3805" s="4" t="str">
        <x:v>Reserved</x:v>
      </x:c>
    </x:row>
    <x:row r="3806" ht="34" customHeight="1">
      <x:c r="A3806" s="4" t="str">
        <x:v>RS-03805-E1</x:v>
      </x:c>
      <x:c r="B3806" s="4" t="str">
        <x:v>RS-03805</x:v>
      </x:c>
      <x:c r="C3806" s="8" t="n">
        <x:v>45529</x:v>
      </x:c>
      <x:c r="D3806" s="4" t="str">
        <x:v>Sales operations manager</x:v>
      </x:c>
      <x:c r="E3806" s="4" t="str">
        <x:v>Paper transcribed</x:v>
      </x:c>
      <x:c r="F3806" s="4" t="str">
        <x:v>Record captured</x:v>
      </x:c>
      <x:c r="G3806" s="4" t="str">
        <x:v>Agreement signed</x:v>
      </x:c>
    </x:row>
    <x:row r="3807" ht="34" customHeight="1">
      <x:c r="A3807" s="4" t="str">
        <x:v>RS-03806-E1</x:v>
      </x:c>
      <x:c r="B3807" s="4" t="str">
        <x:v>RS-03806</x:v>
      </x:c>
      <x:c r="C3807" s="8" t="n">
        <x:v>45530</x:v>
      </x:c>
      <x:c r="D3807" s="4" t="str">
        <x:v>Sales operations manager</x:v>
      </x:c>
      <x:c r="E3807" s="4" t="str">
        <x:v>WhatsApp transcribed</x:v>
      </x:c>
      <x:c r="F3807" s="4" t="str">
        <x:v>Record captured</x:v>
      </x:c>
      <x:c r="G3807" s="4" t="str">
        <x:v>Agreement signed</x:v>
      </x:c>
    </x:row>
    <x:row r="3808" ht="34" customHeight="1">
      <x:c r="A3808" s="4" t="str">
        <x:v>RS-03807-E1</x:v>
      </x:c>
      <x:c r="B3808" s="4" t="str">
        <x:v>RS-03807</x:v>
      </x:c>
      <x:c r="C3808" s="8" t="n">
        <x:v>45531</x:v>
      </x:c>
      <x:c r="D3808" s="4" t="str">
        <x:v>Sales operations manager</x:v>
      </x:c>
      <x:c r="E3808" s="4" t="str">
        <x:v>WhatsApp transcribed</x:v>
      </x:c>
      <x:c r="F3808" s="4" t="str">
        <x:v>Record captured</x:v>
      </x:c>
      <x:c r="G3808" s="4" t="str">
        <x:v>Booked</x:v>
      </x:c>
    </x:row>
    <x:row r="3809" ht="34" customHeight="1">
      <x:c r="A3809" s="4" t="str">
        <x:v>RS-03808-E1</x:v>
      </x:c>
      <x:c r="B3809" s="4" t="str">
        <x:v>RS-03808</x:v>
      </x:c>
      <x:c r="C3809" s="8" t="n">
        <x:v>45532</x:v>
      </x:c>
      <x:c r="D3809" s="4" t="str">
        <x:v>Sales operations manager</x:v>
      </x:c>
      <x:c r="E3809" s="4" t="str">
        <x:v>ERP form</x:v>
      </x:c>
      <x:c r="F3809" s="4" t="str">
        <x:v>Record captured</x:v>
      </x:c>
      <x:c r="G3809" s="4" t="str">
        <x:v>Enquiry</x:v>
      </x:c>
    </x:row>
    <x:row r="3810" ht="34" customHeight="1">
      <x:c r="A3810" s="4" t="str">
        <x:v>RS-03809-E1</x:v>
      </x:c>
      <x:c r="B3810" s="4" t="str">
        <x:v>RS-03809</x:v>
      </x:c>
      <x:c r="C3810" s="8" t="n">
        <x:v>45505</x:v>
      </x:c>
      <x:c r="D3810" s="4" t="str">
        <x:v>Sales operations manager</x:v>
      </x:c>
      <x:c r="E3810" s="4" t="str">
        <x:v>ERP form</x:v>
      </x:c>
      <x:c r="F3810" s="4" t="str">
        <x:v>Record captured</x:v>
      </x:c>
      <x:c r="G3810" s="4" t="str">
        <x:v>Booked</x:v>
      </x:c>
    </x:row>
    <x:row r="3811" ht="34" customHeight="1">
      <x:c r="A3811" s="4" t="str">
        <x:v>RS-03810-E1</x:v>
      </x:c>
      <x:c r="B3811" s="4" t="str">
        <x:v>RS-03810</x:v>
      </x:c>
      <x:c r="C3811" s="8" t="n">
        <x:v>45506</x:v>
      </x:c>
      <x:c r="D3811" s="4" t="str">
        <x:v>Sales operations manager</x:v>
      </x:c>
      <x:c r="E3811" s="4" t="str">
        <x:v>Spreadsheet import</x:v>
      </x:c>
      <x:c r="F3811" s="4" t="str">
        <x:v>Record captured</x:v>
      </x:c>
      <x:c r="G3811" s="4" t="str">
        <x:v>Handed over</x:v>
      </x:c>
    </x:row>
    <x:row r="3812" ht="34" customHeight="1">
      <x:c r="A3812" s="4" t="str">
        <x:v>RS-03811-E1</x:v>
      </x:c>
      <x:c r="B3812" s="4" t="str">
        <x:v>RS-03811</x:v>
      </x:c>
      <x:c r="C3812" s="8" t="n">
        <x:v>45507</x:v>
      </x:c>
      <x:c r="D3812" s="4" t="str">
        <x:v>Sales operations manager</x:v>
      </x:c>
      <x:c r="E3812" s="4" t="str">
        <x:v>Paper transcribed</x:v>
      </x:c>
      <x:c r="F3812" s="4" t="str">
        <x:v>Record captured</x:v>
      </x:c>
      <x:c r="G3812" s="4" t="str">
        <x:v>Reserved</x:v>
      </x:c>
    </x:row>
    <x:row r="3813" ht="34" customHeight="1">
      <x:c r="A3813" s="4" t="str">
        <x:v>RS-03812-E1</x:v>
      </x:c>
      <x:c r="B3813" s="4" t="str">
        <x:v>RS-03812</x:v>
      </x:c>
      <x:c r="C3813" s="8" t="n">
        <x:v>45508</x:v>
      </x:c>
      <x:c r="D3813" s="4" t="str">
        <x:v>Sales operations manager</x:v>
      </x:c>
      <x:c r="E3813" s="4" t="str">
        <x:v>Spreadsheet import</x:v>
      </x:c>
      <x:c r="F3813" s="4" t="str">
        <x:v>Record captured</x:v>
      </x:c>
      <x:c r="G3813" s="4" t="str">
        <x:v>Handed over</x:v>
      </x:c>
    </x:row>
    <x:row r="3814" ht="34" customHeight="1">
      <x:c r="A3814" s="4" t="str">
        <x:v>RS-03813-E1</x:v>
      </x:c>
      <x:c r="B3814" s="4" t="str">
        <x:v>RS-03813</x:v>
      </x:c>
      <x:c r="C3814" s="8" t="n">
        <x:v>45509</x:v>
      </x:c>
      <x:c r="D3814" s="4" t="str">
        <x:v>Sales operations manager</x:v>
      </x:c>
      <x:c r="E3814" s="4" t="str">
        <x:v>Paper transcribed</x:v>
      </x:c>
      <x:c r="F3814" s="4" t="str">
        <x:v>Record captured</x:v>
      </x:c>
      <x:c r="G3814" s="4" t="str">
        <x:v>Booked</x:v>
      </x:c>
    </x:row>
    <x:row r="3815" ht="34" customHeight="1">
      <x:c r="A3815" s="4" t="str">
        <x:v>RS-03814-E1</x:v>
      </x:c>
      <x:c r="B3815" s="4" t="str">
        <x:v>RS-03814</x:v>
      </x:c>
      <x:c r="C3815" s="8" t="n">
        <x:v>45510</x:v>
      </x:c>
      <x:c r="D3815" s="4" t="str">
        <x:v>Sales operations manager</x:v>
      </x:c>
      <x:c r="E3815" s="4" t="str">
        <x:v>ERP form</x:v>
      </x:c>
      <x:c r="F3815" s="4" t="str">
        <x:v>Record captured</x:v>
      </x:c>
      <x:c r="G3815" s="4" t="str">
        <x:v>Agreement signed</x:v>
      </x:c>
    </x:row>
    <x:row r="3816" ht="34" customHeight="1">
      <x:c r="A3816" s="4" t="str">
        <x:v>RS-03815-E1</x:v>
      </x:c>
      <x:c r="B3816" s="4" t="str">
        <x:v>RS-03815</x:v>
      </x:c>
      <x:c r="C3816" s="8" t="n">
        <x:v>45511</x:v>
      </x:c>
      <x:c r="D3816" s="4" t="str">
        <x:v>Sales operations manager</x:v>
      </x:c>
      <x:c r="E3816" s="4" t="str">
        <x:v>ERP form</x:v>
      </x:c>
      <x:c r="F3816" s="4" t="str">
        <x:v>Record captured</x:v>
      </x:c>
      <x:c r="G3816" s="4" t="str">
        <x:v>Enquiry</x:v>
      </x:c>
    </x:row>
    <x:row r="3817" ht="34" customHeight="1">
      <x:c r="A3817" s="4" t="str">
        <x:v>RS-03816-E1</x:v>
      </x:c>
      <x:c r="B3817" s="4" t="str">
        <x:v>RS-03816</x:v>
      </x:c>
      <x:c r="C3817" s="8" t="n">
        <x:v>45512</x:v>
      </x:c>
      <x:c r="D3817" s="4" t="str">
        <x:v>Sales operations manager</x:v>
      </x:c>
      <x:c r="E3817" s="4" t="str">
        <x:v>Paper transcribed</x:v>
      </x:c>
      <x:c r="F3817" s="4" t="str">
        <x:v>Record captured</x:v>
      </x:c>
      <x:c r="G3817" s="4" t="str">
        <x:v>Reserved</x:v>
      </x:c>
    </x:row>
    <x:row r="3818" ht="34" customHeight="1">
      <x:c r="A3818" s="4" t="str">
        <x:v>RS-03817-E1</x:v>
      </x:c>
      <x:c r="B3818" s="4" t="str">
        <x:v>RS-03817</x:v>
      </x:c>
      <x:c r="C3818" s="8" t="n">
        <x:v>45513</x:v>
      </x:c>
      <x:c r="D3818" s="4" t="str">
        <x:v>Sales operations manager</x:v>
      </x:c>
      <x:c r="E3818" s="4" t="str">
        <x:v>Paper transcribed</x:v>
      </x:c>
      <x:c r="F3818" s="4" t="str">
        <x:v>Record captured</x:v>
      </x:c>
      <x:c r="G3818" s="4" t="str">
        <x:v>Agreement signed</x:v>
      </x:c>
    </x:row>
    <x:row r="3819" ht="34" customHeight="1">
      <x:c r="A3819" s="4" t="str">
        <x:v>RS-03818-E1</x:v>
      </x:c>
      <x:c r="B3819" s="4" t="str">
        <x:v>RS-03818</x:v>
      </x:c>
      <x:c r="C3819" s="8" t="n">
        <x:v>45514</x:v>
      </x:c>
      <x:c r="D3819" s="4" t="str">
        <x:v>Sales operations manager</x:v>
      </x:c>
      <x:c r="E3819" s="4" t="str">
        <x:v>WhatsApp transcribed</x:v>
      </x:c>
      <x:c r="F3819" s="4" t="str">
        <x:v>Record captured</x:v>
      </x:c>
      <x:c r="G3819" s="4" t="str">
        <x:v>Booked</x:v>
      </x:c>
    </x:row>
    <x:row r="3820" ht="34" customHeight="1">
      <x:c r="A3820" s="4" t="str">
        <x:v>RS-03819-E1</x:v>
      </x:c>
      <x:c r="B3820" s="4" t="str">
        <x:v>RS-03819</x:v>
      </x:c>
      <x:c r="C3820" s="8" t="n">
        <x:v>45515</x:v>
      </x:c>
      <x:c r="D3820" s="4" t="str">
        <x:v>Sales operations manager</x:v>
      </x:c>
      <x:c r="E3820" s="4" t="str">
        <x:v>ERP form</x:v>
      </x:c>
      <x:c r="F3820" s="4" t="str">
        <x:v>Record captured</x:v>
      </x:c>
      <x:c r="G3820" s="4" t="str">
        <x:v>Agreement signed</x:v>
      </x:c>
    </x:row>
    <x:row r="3821" ht="34" customHeight="1">
      <x:c r="A3821" s="4" t="str">
        <x:v>RS-03820-E1</x:v>
      </x:c>
      <x:c r="B3821" s="4" t="str">
        <x:v>RS-03820</x:v>
      </x:c>
      <x:c r="C3821" s="8" t="n">
        <x:v>45516</x:v>
      </x:c>
      <x:c r="D3821" s="4" t="str">
        <x:v>Sales operations manager</x:v>
      </x:c>
      <x:c r="E3821" s="4" t="str">
        <x:v>WhatsApp transcribed</x:v>
      </x:c>
      <x:c r="F3821" s="4" t="str">
        <x:v>Record captured</x:v>
      </x:c>
      <x:c r="G3821" s="4" t="str">
        <x:v>Cancelled</x:v>
      </x:c>
    </x:row>
    <x:row r="3822" ht="34" customHeight="1">
      <x:c r="A3822" s="4" t="str">
        <x:v>RS-03821-E1</x:v>
      </x:c>
      <x:c r="B3822" s="4" t="str">
        <x:v>RS-03821</x:v>
      </x:c>
      <x:c r="C3822" s="8" t="n">
        <x:v>45517</x:v>
      </x:c>
      <x:c r="D3822" s="4" t="str">
        <x:v>Sales operations manager</x:v>
      </x:c>
      <x:c r="E3822" s="4" t="str">
        <x:v>WhatsApp transcribed</x:v>
      </x:c>
      <x:c r="F3822" s="4" t="str">
        <x:v>Record captured</x:v>
      </x:c>
      <x:c r="G3822" s="4" t="str">
        <x:v>Enquiry</x:v>
      </x:c>
    </x:row>
    <x:row r="3823" ht="34" customHeight="1">
      <x:c r="A3823" s="4" t="str">
        <x:v>RS-03822-E1</x:v>
      </x:c>
      <x:c r="B3823" s="4" t="str">
        <x:v>RS-03822</x:v>
      </x:c>
      <x:c r="C3823" s="8" t="n">
        <x:v>45518</x:v>
      </x:c>
      <x:c r="D3823" s="4" t="str">
        <x:v>Sales operations manager</x:v>
      </x:c>
      <x:c r="E3823" s="4" t="str">
        <x:v>Paper transcribed</x:v>
      </x:c>
      <x:c r="F3823" s="4" t="str">
        <x:v>Record captured</x:v>
      </x:c>
      <x:c r="G3823" s="4" t="str">
        <x:v>Enquiry</x:v>
      </x:c>
    </x:row>
    <x:row r="3824" ht="34" customHeight="1">
      <x:c r="A3824" s="4" t="str">
        <x:v>RS-03823-E1</x:v>
      </x:c>
      <x:c r="B3824" s="4" t="str">
        <x:v>RS-03823</x:v>
      </x:c>
      <x:c r="C3824" s="8" t="n">
        <x:v>45519</x:v>
      </x:c>
      <x:c r="D3824" s="4" t="str">
        <x:v>Sales operations manager</x:v>
      </x:c>
      <x:c r="E3824" s="4" t="str">
        <x:v>Paper transcribed</x:v>
      </x:c>
      <x:c r="F3824" s="4" t="str">
        <x:v>Record captured</x:v>
      </x:c>
      <x:c r="G3824" s="4" t="str">
        <x:v>Reserved</x:v>
      </x:c>
    </x:row>
    <x:row r="3825" ht="34" customHeight="1">
      <x:c r="A3825" s="4" t="str">
        <x:v>RS-03824-E1</x:v>
      </x:c>
      <x:c r="B3825" s="4" t="str">
        <x:v>RS-03824</x:v>
      </x:c>
      <x:c r="C3825" s="8" t="n">
        <x:v>45520</x:v>
      </x:c>
      <x:c r="D3825" s="4" t="str">
        <x:v>Sales operations manager</x:v>
      </x:c>
      <x:c r="E3825" s="4" t="str">
        <x:v>ERP form</x:v>
      </x:c>
      <x:c r="F3825" s="4" t="str">
        <x:v>Record captured</x:v>
      </x:c>
      <x:c r="G3825" s="4" t="str">
        <x:v>Booked</x:v>
      </x:c>
    </x:row>
    <x:row r="3826" ht="34" customHeight="1">
      <x:c r="A3826" s="4" t="str">
        <x:v>RS-03825-E1</x:v>
      </x:c>
      <x:c r="B3826" s="4" t="str">
        <x:v>RS-03825</x:v>
      </x:c>
      <x:c r="C3826" s="8" t="n">
        <x:v>45521</x:v>
      </x:c>
      <x:c r="D3826" s="4" t="str">
        <x:v>Sales operations manager</x:v>
      </x:c>
      <x:c r="E3826" s="4" t="str">
        <x:v>WhatsApp transcribed</x:v>
      </x:c>
      <x:c r="F3826" s="4" t="str">
        <x:v>Record captured</x:v>
      </x:c>
      <x:c r="G3826" s="4" t="str">
        <x:v>Cancelled</x:v>
      </x:c>
    </x:row>
    <x:row r="3827" ht="34" customHeight="1">
      <x:c r="A3827" s="4" t="str">
        <x:v>RS-03826-E1</x:v>
      </x:c>
      <x:c r="B3827" s="4" t="str">
        <x:v>RS-03826</x:v>
      </x:c>
      <x:c r="C3827" s="8" t="n">
        <x:v>45522</x:v>
      </x:c>
      <x:c r="D3827" s="4" t="str">
        <x:v>Sales operations manager</x:v>
      </x:c>
      <x:c r="E3827" s="4" t="str">
        <x:v>Paper transcribed</x:v>
      </x:c>
      <x:c r="F3827" s="4" t="str">
        <x:v>Record captured</x:v>
      </x:c>
      <x:c r="G3827" s="4" t="str">
        <x:v>Handed over</x:v>
      </x:c>
    </x:row>
    <x:row r="3828" ht="34" customHeight="1">
      <x:c r="A3828" s="4" t="str">
        <x:v>RS-03827-E1</x:v>
      </x:c>
      <x:c r="B3828" s="4" t="str">
        <x:v>RS-03827</x:v>
      </x:c>
      <x:c r="C3828" s="8" t="n">
        <x:v>45523</x:v>
      </x:c>
      <x:c r="D3828" s="4" t="str">
        <x:v>Sales operations manager</x:v>
      </x:c>
      <x:c r="E3828" s="4" t="str">
        <x:v>ERP form</x:v>
      </x:c>
      <x:c r="F3828" s="4" t="str">
        <x:v>Record captured</x:v>
      </x:c>
      <x:c r="G3828" s="4" t="str">
        <x:v>Enquiry</x:v>
      </x:c>
    </x:row>
    <x:row r="3829" ht="34" customHeight="1">
      <x:c r="A3829" s="4" t="str">
        <x:v>RS-03828-E1</x:v>
      </x:c>
      <x:c r="B3829" s="4" t="str">
        <x:v>RS-03828</x:v>
      </x:c>
      <x:c r="C3829" s="8" t="n">
        <x:v>45524</x:v>
      </x:c>
      <x:c r="D3829" s="4" t="str">
        <x:v>Sales operations manager</x:v>
      </x:c>
      <x:c r="E3829" s="4" t="str">
        <x:v>ERP form</x:v>
      </x:c>
      <x:c r="F3829" s="4" t="str">
        <x:v>Record captured</x:v>
      </x:c>
      <x:c r="G3829" s="4" t="str">
        <x:v>Reserved</x:v>
      </x:c>
    </x:row>
    <x:row r="3830" ht="34" customHeight="1">
      <x:c r="A3830" s="4" t="str">
        <x:v>RS-03829-E1</x:v>
      </x:c>
      <x:c r="B3830" s="4" t="str">
        <x:v>RS-03829</x:v>
      </x:c>
      <x:c r="C3830" s="8" t="n">
        <x:v>45525</x:v>
      </x:c>
      <x:c r="D3830" s="4" t="str">
        <x:v>Sales operations manager</x:v>
      </x:c>
      <x:c r="E3830" s="4" t="str">
        <x:v>ERP form</x:v>
      </x:c>
      <x:c r="F3830" s="4" t="str">
        <x:v>Record captured</x:v>
      </x:c>
      <x:c r="G3830" s="4" t="str">
        <x:v>Reserved</x:v>
      </x:c>
    </x:row>
    <x:row r="3831" ht="34" customHeight="1">
      <x:c r="A3831" s="4" t="str">
        <x:v>RS-03830-E1</x:v>
      </x:c>
      <x:c r="B3831" s="4" t="str">
        <x:v>RS-03830</x:v>
      </x:c>
      <x:c r="C3831" s="8" t="n">
        <x:v>45526</x:v>
      </x:c>
      <x:c r="D3831" s="4" t="str">
        <x:v>Sales operations manager</x:v>
      </x:c>
      <x:c r="E3831" s="4" t="str">
        <x:v>ERP form</x:v>
      </x:c>
      <x:c r="F3831" s="4" t="str">
        <x:v>Record captured</x:v>
      </x:c>
      <x:c r="G3831" s="4" t="str">
        <x:v>Cancelled</x:v>
      </x:c>
    </x:row>
    <x:row r="3832" ht="34" customHeight="1">
      <x:c r="A3832" s="4" t="str">
        <x:v>RS-03831-E1</x:v>
      </x:c>
      <x:c r="B3832" s="4" t="str">
        <x:v>RS-03831</x:v>
      </x:c>
      <x:c r="C3832" s="8" t="n">
        <x:v>45527</x:v>
      </x:c>
      <x:c r="D3832" s="4" t="str">
        <x:v>Sales operations manager</x:v>
      </x:c>
      <x:c r="E3832" s="4" t="str">
        <x:v>Paper transcribed</x:v>
      </x:c>
      <x:c r="F3832" s="4" t="str">
        <x:v>Record captured</x:v>
      </x:c>
      <x:c r="G3832" s="4" t="str">
        <x:v>Enquiry</x:v>
      </x:c>
    </x:row>
    <x:row r="3833" ht="34" customHeight="1">
      <x:c r="A3833" s="4" t="str">
        <x:v>RS-03832-E1</x:v>
      </x:c>
      <x:c r="B3833" s="4" t="str">
        <x:v>RS-03832</x:v>
      </x:c>
      <x:c r="C3833" s="8" t="n">
        <x:v>45528</x:v>
      </x:c>
      <x:c r="D3833" s="4" t="str">
        <x:v>Sales operations manager</x:v>
      </x:c>
      <x:c r="E3833" s="4" t="str">
        <x:v>WhatsApp transcribed</x:v>
      </x:c>
      <x:c r="F3833" s="4" t="str">
        <x:v>Record captured</x:v>
      </x:c>
      <x:c r="G3833" s="4" t="str">
        <x:v>Booked</x:v>
      </x:c>
    </x:row>
    <x:row r="3834" ht="34" customHeight="1">
      <x:c r="A3834" s="4" t="str">
        <x:v>RS-03833-E1</x:v>
      </x:c>
      <x:c r="B3834" s="4" t="str">
        <x:v>RS-03833</x:v>
      </x:c>
      <x:c r="C3834" s="8" t="n">
        <x:v>45529</x:v>
      </x:c>
      <x:c r="D3834" s="4" t="str">
        <x:v>Sales operations manager</x:v>
      </x:c>
      <x:c r="E3834" s="4" t="str">
        <x:v>Paper transcribed</x:v>
      </x:c>
      <x:c r="F3834" s="4" t="str">
        <x:v>Record captured</x:v>
      </x:c>
      <x:c r="G3834" s="4" t="str">
        <x:v>Cancelled</x:v>
      </x:c>
    </x:row>
    <x:row r="3835" ht="34" customHeight="1">
      <x:c r="A3835" s="4" t="str">
        <x:v>RS-03834-E1</x:v>
      </x:c>
      <x:c r="B3835" s="4" t="str">
        <x:v>RS-03834</x:v>
      </x:c>
      <x:c r="C3835" s="8" t="n">
        <x:v>45530</x:v>
      </x:c>
      <x:c r="D3835" s="4" t="str">
        <x:v>Sales operations manager</x:v>
      </x:c>
      <x:c r="E3835" s="4" t="str">
        <x:v>Spreadsheet import</x:v>
      </x:c>
      <x:c r="F3835" s="4" t="str">
        <x:v>Record captured</x:v>
      </x:c>
      <x:c r="G3835" s="4" t="str">
        <x:v>Booked</x:v>
      </x:c>
    </x:row>
    <x:row r="3836" ht="34" customHeight="1">
      <x:c r="A3836" s="4" t="str">
        <x:v>RS-03835-E1</x:v>
      </x:c>
      <x:c r="B3836" s="4" t="str">
        <x:v>RS-03835</x:v>
      </x:c>
      <x:c r="C3836" s="8" t="n">
        <x:v>45531</x:v>
      </x:c>
      <x:c r="D3836" s="4" t="str">
        <x:v>Sales operations manager</x:v>
      </x:c>
      <x:c r="E3836" s="4" t="str">
        <x:v>Paper transcribed</x:v>
      </x:c>
      <x:c r="F3836" s="4" t="str">
        <x:v>Record captured</x:v>
      </x:c>
      <x:c r="G3836" s="4" t="str">
        <x:v>Agreement signed</x:v>
      </x:c>
    </x:row>
    <x:row r="3837" ht="34" customHeight="1">
      <x:c r="A3837" s="4" t="str">
        <x:v>RS-03836-E1</x:v>
      </x:c>
      <x:c r="B3837" s="4" t="str">
        <x:v>RS-03836</x:v>
      </x:c>
      <x:c r="C3837" s="8" t="n">
        <x:v>45532</x:v>
      </x:c>
      <x:c r="D3837" s="4" t="str">
        <x:v>Sales operations manager</x:v>
      </x:c>
      <x:c r="E3837" s="4" t="str">
        <x:v>Spreadsheet import</x:v>
      </x:c>
      <x:c r="F3837" s="4" t="str">
        <x:v>Record captured</x:v>
      </x:c>
      <x:c r="G3837" s="4" t="str">
        <x:v>Reserved</x:v>
      </x:c>
    </x:row>
    <x:row r="3838" ht="34" customHeight="1">
      <x:c r="A3838" s="4" t="str">
        <x:v>RS-03837-E1</x:v>
      </x:c>
      <x:c r="B3838" s="4" t="str">
        <x:v>RS-03837</x:v>
      </x:c>
      <x:c r="C3838" s="8" t="n">
        <x:v>45505</x:v>
      </x:c>
      <x:c r="D3838" s="4" t="str">
        <x:v>Sales operations manager</x:v>
      </x:c>
      <x:c r="E3838" s="4" t="str">
        <x:v>ERP form</x:v>
      </x:c>
      <x:c r="F3838" s="4" t="str">
        <x:v>Record captured</x:v>
      </x:c>
      <x:c r="G3838" s="4" t="str">
        <x:v>Agreement signed</x:v>
      </x:c>
    </x:row>
    <x:row r="3839" ht="34" customHeight="1">
      <x:c r="A3839" s="4" t="str">
        <x:v>RS-03838-E1</x:v>
      </x:c>
      <x:c r="B3839" s="4" t="str">
        <x:v>RS-03838</x:v>
      </x:c>
      <x:c r="C3839" s="8" t="n">
        <x:v>45506</x:v>
      </x:c>
      <x:c r="D3839" s="4" t="str">
        <x:v>Sales operations manager</x:v>
      </x:c>
      <x:c r="E3839" s="4" t="str">
        <x:v>Spreadsheet import</x:v>
      </x:c>
      <x:c r="F3839" s="4" t="str">
        <x:v>Record captured</x:v>
      </x:c>
      <x:c r="G3839" s="4" t="str">
        <x:v>Cancelled</x:v>
      </x:c>
    </x:row>
    <x:row r="3840" ht="34" customHeight="1">
      <x:c r="A3840" s="4" t="str">
        <x:v>RS-03839-E1</x:v>
      </x:c>
      <x:c r="B3840" s="4" t="str">
        <x:v>RS-03839</x:v>
      </x:c>
      <x:c r="C3840" s="8" t="n">
        <x:v>45507</x:v>
      </x:c>
      <x:c r="D3840" s="4" t="str">
        <x:v>Sales operations manager</x:v>
      </x:c>
      <x:c r="E3840" s="4" t="str">
        <x:v>Spreadsheet import</x:v>
      </x:c>
      <x:c r="F3840" s="4" t="str">
        <x:v>Record captured</x:v>
      </x:c>
      <x:c r="G3840" s="4" t="str">
        <x:v>Enquiry</x:v>
      </x:c>
    </x:row>
    <x:row r="3841" ht="34" customHeight="1">
      <x:c r="A3841" s="4" t="str">
        <x:v>RS-03840-E1</x:v>
      </x:c>
      <x:c r="B3841" s="4" t="str">
        <x:v>RS-03840</x:v>
      </x:c>
      <x:c r="C3841" s="8" t="n">
        <x:v>45508</x:v>
      </x:c>
      <x:c r="D3841" s="4" t="str">
        <x:v>Sales operations manager</x:v>
      </x:c>
      <x:c r="E3841" s="4" t="str">
        <x:v>WhatsApp transcribed</x:v>
      </x:c>
      <x:c r="F3841" s="4" t="str">
        <x:v>Record captured</x:v>
      </x:c>
      <x:c r="G3841" s="4" t="str">
        <x:v>Booked</x:v>
      </x:c>
    </x:row>
    <x:row r="3842" ht="34" customHeight="1">
      <x:c r="A3842" s="4" t="str">
        <x:v>RS-03841-E1</x:v>
      </x:c>
      <x:c r="B3842" s="4" t="str">
        <x:v>RS-03841</x:v>
      </x:c>
      <x:c r="C3842" s="8" t="n">
        <x:v>45509</x:v>
      </x:c>
      <x:c r="D3842" s="4" t="str">
        <x:v>Sales operations manager</x:v>
      </x:c>
      <x:c r="E3842" s="4" t="str">
        <x:v>WhatsApp transcribed</x:v>
      </x:c>
      <x:c r="F3842" s="4" t="str">
        <x:v>Record captured</x:v>
      </x:c>
      <x:c r="G3842" s="4" t="str">
        <x:v>Handed over</x:v>
      </x:c>
    </x:row>
    <x:row r="3843" ht="34" customHeight="1">
      <x:c r="A3843" s="4" t="str">
        <x:v>RS-03842-E1</x:v>
      </x:c>
      <x:c r="B3843" s="4" t="str">
        <x:v>RS-03842</x:v>
      </x:c>
      <x:c r="C3843" s="8" t="n">
        <x:v>45510</x:v>
      </x:c>
      <x:c r="D3843" s="4" t="str">
        <x:v>Sales operations manager</x:v>
      </x:c>
      <x:c r="E3843" s="4" t="str">
        <x:v>ERP form</x:v>
      </x:c>
      <x:c r="F3843" s="4" t="str">
        <x:v>Record captured</x:v>
      </x:c>
      <x:c r="G3843" s="4" t="str">
        <x:v>Agreement signed</x:v>
      </x:c>
    </x:row>
    <x:row r="3844" ht="34" customHeight="1">
      <x:c r="A3844" s="4" t="str">
        <x:v>RS-03843-E1</x:v>
      </x:c>
      <x:c r="B3844" s="4" t="str">
        <x:v>RS-03843</x:v>
      </x:c>
      <x:c r="C3844" s="8" t="n">
        <x:v>45511</x:v>
      </x:c>
      <x:c r="D3844" s="4" t="str">
        <x:v>Sales operations manager</x:v>
      </x:c>
      <x:c r="E3844" s="4" t="str">
        <x:v>WhatsApp transcribed</x:v>
      </x:c>
      <x:c r="F3844" s="4" t="str">
        <x:v>Record captured</x:v>
      </x:c>
      <x:c r="G3844" s="4" t="str">
        <x:v>Enquiry</x:v>
      </x:c>
    </x:row>
    <x:row r="3845" ht="34" customHeight="1">
      <x:c r="A3845" s="4" t="str">
        <x:v>RS-03844-E1</x:v>
      </x:c>
      <x:c r="B3845" s="4" t="str">
        <x:v>RS-03844</x:v>
      </x:c>
      <x:c r="C3845" s="8" t="n">
        <x:v>45512</x:v>
      </x:c>
      <x:c r="D3845" s="4" t="str">
        <x:v>Sales operations manager</x:v>
      </x:c>
      <x:c r="E3845" s="4" t="str">
        <x:v>Spreadsheet import</x:v>
      </x:c>
      <x:c r="F3845" s="4" t="str">
        <x:v>Record captured</x:v>
      </x:c>
      <x:c r="G3845" s="4" t="str">
        <x:v>Enquiry</x:v>
      </x:c>
    </x:row>
    <x:row r="3846" ht="34" customHeight="1">
      <x:c r="A3846" s="4" t="str">
        <x:v>RS-03845-E1</x:v>
      </x:c>
      <x:c r="B3846" s="4" t="str">
        <x:v>RS-03845</x:v>
      </x:c>
      <x:c r="C3846" s="8" t="n">
        <x:v>45513</x:v>
      </x:c>
      <x:c r="D3846" s="4" t="str">
        <x:v>Sales operations manager</x:v>
      </x:c>
      <x:c r="E3846" s="4" t="str">
        <x:v>Spreadsheet import</x:v>
      </x:c>
      <x:c r="F3846" s="4" t="str">
        <x:v>Record captured</x:v>
      </x:c>
      <x:c r="G3846" s="4" t="str">
        <x:v>Cancelled</x:v>
      </x:c>
    </x:row>
    <x:row r="3847" ht="34" customHeight="1">
      <x:c r="A3847" s="4" t="str">
        <x:v>RS-03846-E1</x:v>
      </x:c>
      <x:c r="B3847" s="4" t="str">
        <x:v>RS-03846</x:v>
      </x:c>
      <x:c r="C3847" s="8" t="n">
        <x:v>45514</x:v>
      </x:c>
      <x:c r="D3847" s="4" t="str">
        <x:v>Sales operations manager</x:v>
      </x:c>
      <x:c r="E3847" s="4" t="str">
        <x:v>Spreadsheet import</x:v>
      </x:c>
      <x:c r="F3847" s="4" t="str">
        <x:v>Record captured</x:v>
      </x:c>
      <x:c r="G3847" s="4" t="str">
        <x:v>Agreement signed</x:v>
      </x:c>
    </x:row>
    <x:row r="3848" ht="34" customHeight="1">
      <x:c r="A3848" s="4" t="str">
        <x:v>RS-03847-E1</x:v>
      </x:c>
      <x:c r="B3848" s="4" t="str">
        <x:v>RS-03847</x:v>
      </x:c>
      <x:c r="C3848" s="8" t="n">
        <x:v>45515</x:v>
      </x:c>
      <x:c r="D3848" s="4" t="str">
        <x:v>Sales operations manager</x:v>
      </x:c>
      <x:c r="E3848" s="4" t="str">
        <x:v>Paper transcribed</x:v>
      </x:c>
      <x:c r="F3848" s="4" t="str">
        <x:v>Record captured</x:v>
      </x:c>
      <x:c r="G3848" s="4" t="str">
        <x:v>Enquiry</x:v>
      </x:c>
    </x:row>
    <x:row r="3849" ht="34" customHeight="1">
      <x:c r="A3849" s="4" t="str">
        <x:v>RS-03848-E1</x:v>
      </x:c>
      <x:c r="B3849" s="4" t="str">
        <x:v>RS-03848</x:v>
      </x:c>
      <x:c r="C3849" s="8" t="n">
        <x:v>45516</x:v>
      </x:c>
      <x:c r="D3849" s="4" t="str">
        <x:v>Sales operations manager</x:v>
      </x:c>
      <x:c r="E3849" s="4" t="str">
        <x:v>Spreadsheet import</x:v>
      </x:c>
      <x:c r="F3849" s="4" t="str">
        <x:v>Record captured</x:v>
      </x:c>
      <x:c r="G3849" s="4" t="str">
        <x:v>Booked</x:v>
      </x:c>
    </x:row>
    <x:row r="3850" ht="34" customHeight="1">
      <x:c r="A3850" s="4" t="str">
        <x:v>RS-03849-E1</x:v>
      </x:c>
      <x:c r="B3850" s="4" t="str">
        <x:v>RS-03849</x:v>
      </x:c>
      <x:c r="C3850" s="8" t="n">
        <x:v>45517</x:v>
      </x:c>
      <x:c r="D3850" s="4" t="str">
        <x:v>Sales operations manager</x:v>
      </x:c>
      <x:c r="E3850" s="4" t="str">
        <x:v>WhatsApp transcribed</x:v>
      </x:c>
      <x:c r="F3850" s="4" t="str">
        <x:v>Record captured</x:v>
      </x:c>
      <x:c r="G3850" s="4" t="str">
        <x:v>Handed over</x:v>
      </x:c>
    </x:row>
    <x:row r="3851" ht="34" customHeight="1">
      <x:c r="A3851" s="4" t="str">
        <x:v>RS-03850-E1</x:v>
      </x:c>
      <x:c r="B3851" s="4" t="str">
        <x:v>RS-03850</x:v>
      </x:c>
      <x:c r="C3851" s="8" t="n">
        <x:v>45518</x:v>
      </x:c>
      <x:c r="D3851" s="4" t="str">
        <x:v>Sales operations manager</x:v>
      </x:c>
      <x:c r="E3851" s="4" t="str">
        <x:v>Spreadsheet import</x:v>
      </x:c>
      <x:c r="F3851" s="4" t="str">
        <x:v>Record captured</x:v>
      </x:c>
      <x:c r="G3851" s="4" t="str">
        <x:v>Enquiry</x:v>
      </x:c>
    </x:row>
    <x:row r="3852" ht="34" customHeight="1">
      <x:c r="A3852" s="4" t="str">
        <x:v>RS-03851-E1</x:v>
      </x:c>
      <x:c r="B3852" s="4" t="str">
        <x:v>RS-03851</x:v>
      </x:c>
      <x:c r="C3852" s="8" t="n">
        <x:v>45519</x:v>
      </x:c>
      <x:c r="D3852" s="4" t="str">
        <x:v>Sales operations manager</x:v>
      </x:c>
      <x:c r="E3852" s="4" t="str">
        <x:v>WhatsApp transcribed</x:v>
      </x:c>
      <x:c r="F3852" s="4" t="str">
        <x:v>Record captured</x:v>
      </x:c>
      <x:c r="G3852" s="4" t="str">
        <x:v>Booked</x:v>
      </x:c>
    </x:row>
    <x:row r="3853" ht="34" customHeight="1">
      <x:c r="A3853" s="4" t="str">
        <x:v>RS-03852-E1</x:v>
      </x:c>
      <x:c r="B3853" s="4" t="str">
        <x:v>RS-03852</x:v>
      </x:c>
      <x:c r="C3853" s="8" t="n">
        <x:v>45520</x:v>
      </x:c>
      <x:c r="D3853" s="4" t="str">
        <x:v>Sales operations manager</x:v>
      </x:c>
      <x:c r="E3853" s="4" t="str">
        <x:v>Spreadsheet import</x:v>
      </x:c>
      <x:c r="F3853" s="4" t="str">
        <x:v>Record captured</x:v>
      </x:c>
      <x:c r="G3853" s="4" t="str">
        <x:v>Enquiry</x:v>
      </x:c>
    </x:row>
    <x:row r="3854" ht="34" customHeight="1">
      <x:c r="A3854" s="4" t="str">
        <x:v>RS-03853-E1</x:v>
      </x:c>
      <x:c r="B3854" s="4" t="str">
        <x:v>RS-03853</x:v>
      </x:c>
      <x:c r="C3854" s="8" t="n">
        <x:v>45521</x:v>
      </x:c>
      <x:c r="D3854" s="4" t="str">
        <x:v>Sales operations manager</x:v>
      </x:c>
      <x:c r="E3854" s="4" t="str">
        <x:v>ERP form</x:v>
      </x:c>
      <x:c r="F3854" s="4" t="str">
        <x:v>Record captured</x:v>
      </x:c>
      <x:c r="G3854" s="4" t="str">
        <x:v>Agreement signed</x:v>
      </x:c>
    </x:row>
    <x:row r="3855" ht="34" customHeight="1">
      <x:c r="A3855" s="4" t="str">
        <x:v>RS-03854-E1</x:v>
      </x:c>
      <x:c r="B3855" s="4" t="str">
        <x:v>RS-03854</x:v>
      </x:c>
      <x:c r="C3855" s="8" t="n">
        <x:v>45522</x:v>
      </x:c>
      <x:c r="D3855" s="4" t="str">
        <x:v>Sales operations manager</x:v>
      </x:c>
      <x:c r="E3855" s="4" t="str">
        <x:v>ERP form</x:v>
      </x:c>
      <x:c r="F3855" s="4" t="str">
        <x:v>Record captured</x:v>
      </x:c>
      <x:c r="G3855" s="4" t="str">
        <x:v>Enquiry</x:v>
      </x:c>
    </x:row>
    <x:row r="3856" ht="34" customHeight="1">
      <x:c r="A3856" s="4" t="str">
        <x:v>RS-03855-E1</x:v>
      </x:c>
      <x:c r="B3856" s="4" t="str">
        <x:v>RS-03855</x:v>
      </x:c>
      <x:c r="C3856" s="8" t="n">
        <x:v>45523</x:v>
      </x:c>
      <x:c r="D3856" s="4" t="str">
        <x:v>Sales operations manager</x:v>
      </x:c>
      <x:c r="E3856" s="4" t="str">
        <x:v>ERP form</x:v>
      </x:c>
      <x:c r="F3856" s="4" t="str">
        <x:v>Record captured</x:v>
      </x:c>
      <x:c r="G3856" s="4" t="str">
        <x:v>Enquiry</x:v>
      </x:c>
    </x:row>
    <x:row r="3857" ht="34" customHeight="1">
      <x:c r="A3857" s="4" t="str">
        <x:v>RS-03856-E1</x:v>
      </x:c>
      <x:c r="B3857" s="4" t="str">
        <x:v>RS-03856</x:v>
      </x:c>
      <x:c r="C3857" s="8" t="n">
        <x:v>45524</x:v>
      </x:c>
      <x:c r="D3857" s="4" t="str">
        <x:v>Sales operations manager</x:v>
      </x:c>
      <x:c r="E3857" s="4" t="str">
        <x:v>ERP form</x:v>
      </x:c>
      <x:c r="F3857" s="4" t="str">
        <x:v>Record captured</x:v>
      </x:c>
      <x:c r="G3857" s="4" t="str">
        <x:v>Reserved</x:v>
      </x:c>
    </x:row>
    <x:row r="3858" ht="34" customHeight="1">
      <x:c r="A3858" s="4" t="str">
        <x:v>RS-03857-E1</x:v>
      </x:c>
      <x:c r="B3858" s="4" t="str">
        <x:v>RS-03857</x:v>
      </x:c>
      <x:c r="C3858" s="8" t="n">
        <x:v>45525</x:v>
      </x:c>
      <x:c r="D3858" s="4" t="str">
        <x:v>Sales operations manager</x:v>
      </x:c>
      <x:c r="E3858" s="4" t="str">
        <x:v>Paper transcribed</x:v>
      </x:c>
      <x:c r="F3858" s="4" t="str">
        <x:v>Record captured</x:v>
      </x:c>
      <x:c r="G3858" s="4" t="str">
        <x:v>Booked</x:v>
      </x:c>
    </x:row>
    <x:row r="3859" ht="34" customHeight="1">
      <x:c r="A3859" s="4" t="str">
        <x:v>RS-03858-E1</x:v>
      </x:c>
      <x:c r="B3859" s="4" t="str">
        <x:v>RS-03858</x:v>
      </x:c>
      <x:c r="C3859" s="8" t="n">
        <x:v>45526</x:v>
      </x:c>
      <x:c r="D3859" s="4" t="str">
        <x:v>Sales operations manager</x:v>
      </x:c>
      <x:c r="E3859" s="4" t="str">
        <x:v>Paper transcribed</x:v>
      </x:c>
      <x:c r="F3859" s="4" t="str">
        <x:v>Record captured</x:v>
      </x:c>
      <x:c r="G3859" s="4" t="str">
        <x:v>Booked</x:v>
      </x:c>
    </x:row>
    <x:row r="3860" ht="34" customHeight="1">
      <x:c r="A3860" s="4" t="str">
        <x:v>RS-03859-E1</x:v>
      </x:c>
      <x:c r="B3860" s="4" t="str">
        <x:v>RS-03859</x:v>
      </x:c>
      <x:c r="C3860" s="8" t="n">
        <x:v>45527</x:v>
      </x:c>
      <x:c r="D3860" s="4" t="str">
        <x:v>Sales operations manager</x:v>
      </x:c>
      <x:c r="E3860" s="4" t="str">
        <x:v>Spreadsheet import</x:v>
      </x:c>
      <x:c r="F3860" s="4" t="str">
        <x:v>Record captured</x:v>
      </x:c>
      <x:c r="G3860" s="4" t="str">
        <x:v>Reserved</x:v>
      </x:c>
    </x:row>
    <x:row r="3861" ht="34" customHeight="1">
      <x:c r="A3861" s="4" t="str">
        <x:v>RS-03860-E1</x:v>
      </x:c>
      <x:c r="B3861" s="4" t="str">
        <x:v>RS-03860</x:v>
      </x:c>
      <x:c r="C3861" s="8" t="n">
        <x:v>45528</x:v>
      </x:c>
      <x:c r="D3861" s="4" t="str">
        <x:v>Sales operations manager</x:v>
      </x:c>
      <x:c r="E3861" s="4" t="str">
        <x:v>Paper transcribed</x:v>
      </x:c>
      <x:c r="F3861" s="4" t="str">
        <x:v>Record captured</x:v>
      </x:c>
      <x:c r="G3861" s="4" t="str">
        <x:v>Handed over</x:v>
      </x:c>
    </x:row>
    <x:row r="3862" ht="34" customHeight="1">
      <x:c r="A3862" s="4" t="str">
        <x:v>RS-03861-E1</x:v>
      </x:c>
      <x:c r="B3862" s="4" t="str">
        <x:v>RS-03861</x:v>
      </x:c>
      <x:c r="C3862" s="8" t="n">
        <x:v>45529</x:v>
      </x:c>
      <x:c r="D3862" s="4" t="str">
        <x:v>Sales operations manager</x:v>
      </x:c>
      <x:c r="E3862" s="4" t="str">
        <x:v>ERP form</x:v>
      </x:c>
      <x:c r="F3862" s="4" t="str">
        <x:v>Record captured</x:v>
      </x:c>
      <x:c r="G3862" s="4" t="str">
        <x:v>Cancelled</x:v>
      </x:c>
    </x:row>
    <x:row r="3863" ht="34" customHeight="1">
      <x:c r="A3863" s="4" t="str">
        <x:v>RS-03862-E1</x:v>
      </x:c>
      <x:c r="B3863" s="4" t="str">
        <x:v>RS-03862</x:v>
      </x:c>
      <x:c r="C3863" s="8" t="n">
        <x:v>45530</x:v>
      </x:c>
      <x:c r="D3863" s="4" t="str">
        <x:v>Sales operations manager</x:v>
      </x:c>
      <x:c r="E3863" s="4" t="str">
        <x:v>ERP form</x:v>
      </x:c>
      <x:c r="F3863" s="4" t="str">
        <x:v>Record captured</x:v>
      </x:c>
      <x:c r="G3863" s="4" t="str">
        <x:v>Booked</x:v>
      </x:c>
    </x:row>
    <x:row r="3864" ht="34" customHeight="1">
      <x:c r="A3864" s="4" t="str">
        <x:v>RS-03863-E1</x:v>
      </x:c>
      <x:c r="B3864" s="4" t="str">
        <x:v>RS-03863</x:v>
      </x:c>
      <x:c r="C3864" s="8" t="n">
        <x:v>45531</x:v>
      </x:c>
      <x:c r="D3864" s="4" t="str">
        <x:v>Sales operations manager</x:v>
      </x:c>
      <x:c r="E3864" s="4" t="str">
        <x:v>ERP form</x:v>
      </x:c>
      <x:c r="F3864" s="4" t="str">
        <x:v>Record captured</x:v>
      </x:c>
      <x:c r="G3864" s="4" t="str">
        <x:v>Enquiry</x:v>
      </x:c>
    </x:row>
    <x:row r="3865" ht="34" customHeight="1">
      <x:c r="A3865" s="4" t="str">
        <x:v>RS-03864-E1</x:v>
      </x:c>
      <x:c r="B3865" s="4" t="str">
        <x:v>RS-03864</x:v>
      </x:c>
      <x:c r="C3865" s="8" t="n">
        <x:v>45532</x:v>
      </x:c>
      <x:c r="D3865" s="4" t="str">
        <x:v>Sales operations manager</x:v>
      </x:c>
      <x:c r="E3865" s="4" t="str">
        <x:v>Spreadsheet import</x:v>
      </x:c>
      <x:c r="F3865" s="4" t="str">
        <x:v>Record captured</x:v>
      </x:c>
      <x:c r="G3865" s="4" t="str">
        <x:v>Reserved</x:v>
      </x:c>
    </x:row>
    <x:row r="3866" ht="34" customHeight="1">
      <x:c r="A3866" s="4" t="str">
        <x:v>RS-03865-E1</x:v>
      </x:c>
      <x:c r="B3866" s="4" t="str">
        <x:v>RS-03865</x:v>
      </x:c>
      <x:c r="C3866" s="8" t="n">
        <x:v>45505</x:v>
      </x:c>
      <x:c r="D3866" s="4" t="str">
        <x:v>Sales operations manager</x:v>
      </x:c>
      <x:c r="E3866" s="4" t="str">
        <x:v>ERP form</x:v>
      </x:c>
      <x:c r="F3866" s="4" t="str">
        <x:v>Record captured</x:v>
      </x:c>
      <x:c r="G3866" s="4" t="str">
        <x:v>Cancelled</x:v>
      </x:c>
    </x:row>
    <x:row r="3867" ht="34" customHeight="1">
      <x:c r="A3867" s="4" t="str">
        <x:v>RS-03866-E1</x:v>
      </x:c>
      <x:c r="B3867" s="4" t="str">
        <x:v>RS-03866</x:v>
      </x:c>
      <x:c r="C3867" s="8" t="n">
        <x:v>45506</x:v>
      </x:c>
      <x:c r="D3867" s="4" t="str">
        <x:v>Sales operations manager</x:v>
      </x:c>
      <x:c r="E3867" s="4" t="str">
        <x:v>Spreadsheet import</x:v>
      </x:c>
      <x:c r="F3867" s="4" t="str">
        <x:v>Record captured</x:v>
      </x:c>
      <x:c r="G3867" s="4" t="str">
        <x:v>Agreement signed</x:v>
      </x:c>
    </x:row>
    <x:row r="3868" ht="34" customHeight="1">
      <x:c r="A3868" s="4" t="str">
        <x:v>RS-03867-E1</x:v>
      </x:c>
      <x:c r="B3868" s="4" t="str">
        <x:v>RS-03867</x:v>
      </x:c>
      <x:c r="C3868" s="8" t="n">
        <x:v>45507</x:v>
      </x:c>
      <x:c r="D3868" s="4" t="str">
        <x:v>Sales operations manager</x:v>
      </x:c>
      <x:c r="E3868" s="4" t="str">
        <x:v>Paper transcribed</x:v>
      </x:c>
      <x:c r="F3868" s="4" t="str">
        <x:v>Record captured</x:v>
      </x:c>
      <x:c r="G3868" s="4" t="str">
        <x:v>Handed over</x:v>
      </x:c>
    </x:row>
    <x:row r="3869" ht="34" customHeight="1">
      <x:c r="A3869" s="4" t="str">
        <x:v>RS-03868-E1</x:v>
      </x:c>
      <x:c r="B3869" s="4" t="str">
        <x:v>RS-03868</x:v>
      </x:c>
      <x:c r="C3869" s="8" t="n">
        <x:v>45508</x:v>
      </x:c>
      <x:c r="D3869" s="4" t="str">
        <x:v>Sales operations manager</x:v>
      </x:c>
      <x:c r="E3869" s="4" t="str">
        <x:v>WhatsApp transcribed</x:v>
      </x:c>
      <x:c r="F3869" s="4" t="str">
        <x:v>Record captured</x:v>
      </x:c>
      <x:c r="G3869" s="4" t="str">
        <x:v>Reserved</x:v>
      </x:c>
    </x:row>
    <x:row r="3870" ht="34" customHeight="1">
      <x:c r="A3870" s="4" t="str">
        <x:v>RS-03869-E1</x:v>
      </x:c>
      <x:c r="B3870" s="4" t="str">
        <x:v>RS-03869</x:v>
      </x:c>
      <x:c r="C3870" s="8" t="n">
        <x:v>45509</x:v>
      </x:c>
      <x:c r="D3870" s="4" t="str">
        <x:v>Sales operations manager</x:v>
      </x:c>
      <x:c r="E3870" s="4" t="str">
        <x:v>WhatsApp transcribed</x:v>
      </x:c>
      <x:c r="F3870" s="4" t="str">
        <x:v>Record captured</x:v>
      </x:c>
      <x:c r="G3870" s="4" t="str">
        <x:v>Booked</x:v>
      </x:c>
    </x:row>
    <x:row r="3871" ht="34" customHeight="1">
      <x:c r="A3871" s="4" t="str">
        <x:v>RS-03870-E1</x:v>
      </x:c>
      <x:c r="B3871" s="4" t="str">
        <x:v>RS-03870</x:v>
      </x:c>
      <x:c r="C3871" s="8" t="n">
        <x:v>45510</x:v>
      </x:c>
      <x:c r="D3871" s="4" t="str">
        <x:v>Sales operations manager</x:v>
      </x:c>
      <x:c r="E3871" s="4" t="str">
        <x:v>Spreadsheet import</x:v>
      </x:c>
      <x:c r="F3871" s="4" t="str">
        <x:v>Record captured</x:v>
      </x:c>
      <x:c r="G3871" s="4" t="str">
        <x:v>Enquiry</x:v>
      </x:c>
    </x:row>
    <x:row r="3872" ht="34" customHeight="1">
      <x:c r="A3872" s="4" t="str">
        <x:v>RS-03871-E1</x:v>
      </x:c>
      <x:c r="B3872" s="4" t="str">
        <x:v>RS-03871</x:v>
      </x:c>
      <x:c r="C3872" s="8" t="n">
        <x:v>45511</x:v>
      </x:c>
      <x:c r="D3872" s="4" t="str">
        <x:v>Sales operations manager</x:v>
      </x:c>
      <x:c r="E3872" s="4" t="str">
        <x:v>Paper transcribed</x:v>
      </x:c>
      <x:c r="F3872" s="4" t="str">
        <x:v>Record captured</x:v>
      </x:c>
      <x:c r="G3872" s="4" t="str">
        <x:v>Cancelled</x:v>
      </x:c>
    </x:row>
    <x:row r="3873" ht="34" customHeight="1">
      <x:c r="A3873" s="4" t="str">
        <x:v>RS-03872-E1</x:v>
      </x:c>
      <x:c r="B3873" s="4" t="str">
        <x:v>RS-03872</x:v>
      </x:c>
      <x:c r="C3873" s="8" t="n">
        <x:v>45512</x:v>
      </x:c>
      <x:c r="D3873" s="4" t="str">
        <x:v>Sales operations manager</x:v>
      </x:c>
      <x:c r="E3873" s="4" t="str">
        <x:v>Spreadsheet import</x:v>
      </x:c>
      <x:c r="F3873" s="4" t="str">
        <x:v>Record captured</x:v>
      </x:c>
      <x:c r="G3873" s="4" t="str">
        <x:v>Enquiry</x:v>
      </x:c>
    </x:row>
    <x:row r="3874" ht="34" customHeight="1">
      <x:c r="A3874" s="4" t="str">
        <x:v>RS-03873-E1</x:v>
      </x:c>
      <x:c r="B3874" s="4" t="str">
        <x:v>RS-03873</x:v>
      </x:c>
      <x:c r="C3874" s="8" t="n">
        <x:v>45513</x:v>
      </x:c>
      <x:c r="D3874" s="4" t="str">
        <x:v>Sales operations manager</x:v>
      </x:c>
      <x:c r="E3874" s="4" t="str">
        <x:v>Paper transcribed</x:v>
      </x:c>
      <x:c r="F3874" s="4" t="str">
        <x:v>Record captured</x:v>
      </x:c>
      <x:c r="G3874" s="4" t="str">
        <x:v>Booked</x:v>
      </x:c>
    </x:row>
    <x:row r="3875" ht="34" customHeight="1">
      <x:c r="A3875" s="4" t="str">
        <x:v>RS-03874-E1</x:v>
      </x:c>
      <x:c r="B3875" s="4" t="str">
        <x:v>RS-03874</x:v>
      </x:c>
      <x:c r="C3875" s="8" t="n">
        <x:v>45514</x:v>
      </x:c>
      <x:c r="D3875" s="4" t="str">
        <x:v>Sales operations manager</x:v>
      </x:c>
      <x:c r="E3875" s="4" t="str">
        <x:v>ERP form</x:v>
      </x:c>
      <x:c r="F3875" s="4" t="str">
        <x:v>Record captured</x:v>
      </x:c>
      <x:c r="G3875" s="4" t="str">
        <x:v>Reserved</x:v>
      </x:c>
    </x:row>
    <x:row r="3876" ht="34" customHeight="1">
      <x:c r="A3876" s="4" t="str">
        <x:v>RS-03875-E1</x:v>
      </x:c>
      <x:c r="B3876" s="4" t="str">
        <x:v>RS-03875</x:v>
      </x:c>
      <x:c r="C3876" s="8" t="n">
        <x:v>45515</x:v>
      </x:c>
      <x:c r="D3876" s="4" t="str">
        <x:v>Sales operations manager</x:v>
      </x:c>
      <x:c r="E3876" s="4" t="str">
        <x:v>Spreadsheet import</x:v>
      </x:c>
      <x:c r="F3876" s="4" t="str">
        <x:v>Record captured</x:v>
      </x:c>
      <x:c r="G3876" s="4" t="str">
        <x:v>Enquiry</x:v>
      </x:c>
    </x:row>
    <x:row r="3877" ht="34" customHeight="1">
      <x:c r="A3877" s="4" t="str">
        <x:v>RS-03876-E1</x:v>
      </x:c>
      <x:c r="B3877" s="4" t="str">
        <x:v>RS-03876</x:v>
      </x:c>
      <x:c r="C3877" s="8" t="n">
        <x:v>45516</x:v>
      </x:c>
      <x:c r="D3877" s="4" t="str">
        <x:v>Sales operations manager</x:v>
      </x:c>
      <x:c r="E3877" s="4" t="str">
        <x:v>WhatsApp transcribed</x:v>
      </x:c>
      <x:c r="F3877" s="4" t="str">
        <x:v>Record captured</x:v>
      </x:c>
      <x:c r="G3877" s="4" t="str">
        <x:v>Enquiry</x:v>
      </x:c>
    </x:row>
    <x:row r="3878" ht="34" customHeight="1">
      <x:c r="A3878" s="4" t="str">
        <x:v>RS-03877-E1</x:v>
      </x:c>
      <x:c r="B3878" s="4" t="str">
        <x:v>RS-03877</x:v>
      </x:c>
      <x:c r="C3878" s="8" t="n">
        <x:v>45517</x:v>
      </x:c>
      <x:c r="D3878" s="4" t="str">
        <x:v>Sales operations manager</x:v>
      </x:c>
      <x:c r="E3878" s="4" t="str">
        <x:v>WhatsApp transcribed</x:v>
      </x:c>
      <x:c r="F3878" s="4" t="str">
        <x:v>Record captured</x:v>
      </x:c>
      <x:c r="G3878" s="4" t="str">
        <x:v>Agreement signed</x:v>
      </x:c>
    </x:row>
    <x:row r="3879" ht="34" customHeight="1">
      <x:c r="A3879" s="4" t="str">
        <x:v>RS-03878-E1</x:v>
      </x:c>
      <x:c r="B3879" s="4" t="str">
        <x:v>RS-03878</x:v>
      </x:c>
      <x:c r="C3879" s="8" t="n">
        <x:v>45518</x:v>
      </x:c>
      <x:c r="D3879" s="4" t="str">
        <x:v>Sales operations manager</x:v>
      </x:c>
      <x:c r="E3879" s="4" t="str">
        <x:v>WhatsApp transcribed</x:v>
      </x:c>
      <x:c r="F3879" s="4" t="str">
        <x:v>Record captured</x:v>
      </x:c>
      <x:c r="G3879" s="4" t="str">
        <x:v>Cancelled</x:v>
      </x:c>
    </x:row>
    <x:row r="3880" ht="34" customHeight="1">
      <x:c r="A3880" s="4" t="str">
        <x:v>RS-03879-E1</x:v>
      </x:c>
      <x:c r="B3880" s="4" t="str">
        <x:v>RS-03879</x:v>
      </x:c>
      <x:c r="C3880" s="8" t="n">
        <x:v>45519</x:v>
      </x:c>
      <x:c r="D3880" s="4" t="str">
        <x:v>Sales operations manager</x:v>
      </x:c>
      <x:c r="E3880" s="4" t="str">
        <x:v>WhatsApp transcribed</x:v>
      </x:c>
      <x:c r="F3880" s="4" t="str">
        <x:v>Record captured</x:v>
      </x:c>
      <x:c r="G3880" s="4" t="str">
        <x:v>Agreement signed</x:v>
      </x:c>
    </x:row>
    <x:row r="3881" ht="34" customHeight="1">
      <x:c r="A3881" s="4" t="str">
        <x:v>RS-03880-E1</x:v>
      </x:c>
      <x:c r="B3881" s="4" t="str">
        <x:v>RS-03880</x:v>
      </x:c>
      <x:c r="C3881" s="8" t="n">
        <x:v>45520</x:v>
      </x:c>
      <x:c r="D3881" s="4" t="str">
        <x:v>Sales operations manager</x:v>
      </x:c>
      <x:c r="E3881" s="4" t="str">
        <x:v>ERP form</x:v>
      </x:c>
      <x:c r="F3881" s="4" t="str">
        <x:v>Record captured</x:v>
      </x:c>
      <x:c r="G3881" s="4" t="str">
        <x:v>Reserved</x:v>
      </x:c>
    </x:row>
    <x:row r="3882" ht="34" customHeight="1">
      <x:c r="A3882" s="4" t="str">
        <x:v>RS-03881-E1</x:v>
      </x:c>
      <x:c r="B3882" s="4" t="str">
        <x:v>RS-03881</x:v>
      </x:c>
      <x:c r="C3882" s="8" t="n">
        <x:v>45521</x:v>
      </x:c>
      <x:c r="D3882" s="4" t="str">
        <x:v>Sales operations manager</x:v>
      </x:c>
      <x:c r="E3882" s="4" t="str">
        <x:v>Paper transcribed</x:v>
      </x:c>
      <x:c r="F3882" s="4" t="str">
        <x:v>Record captured</x:v>
      </x:c>
      <x:c r="G3882" s="4" t="str">
        <x:v>Handed over</x:v>
      </x:c>
    </x:row>
    <x:row r="3883" ht="34" customHeight="1">
      <x:c r="A3883" s="4" t="str">
        <x:v>RS-03882-E1</x:v>
      </x:c>
      <x:c r="B3883" s="4" t="str">
        <x:v>RS-03882</x:v>
      </x:c>
      <x:c r="C3883" s="8" t="n">
        <x:v>45522</x:v>
      </x:c>
      <x:c r="D3883" s="4" t="str">
        <x:v>Sales operations manager</x:v>
      </x:c>
      <x:c r="E3883" s="4" t="str">
        <x:v>Spreadsheet import</x:v>
      </x:c>
      <x:c r="F3883" s="4" t="str">
        <x:v>Record captured</x:v>
      </x:c>
      <x:c r="G3883" s="4" t="str">
        <x:v>Booked</x:v>
      </x:c>
    </x:row>
    <x:row r="3884" ht="34" customHeight="1">
      <x:c r="A3884" s="4" t="str">
        <x:v>RS-03883-E1</x:v>
      </x:c>
      <x:c r="B3884" s="4" t="str">
        <x:v>RS-03883</x:v>
      </x:c>
      <x:c r="C3884" s="8" t="n">
        <x:v>45523</x:v>
      </x:c>
      <x:c r="D3884" s="4" t="str">
        <x:v>Sales operations manager</x:v>
      </x:c>
      <x:c r="E3884" s="4" t="str">
        <x:v>Spreadsheet import</x:v>
      </x:c>
      <x:c r="F3884" s="4" t="str">
        <x:v>Record captured</x:v>
      </x:c>
      <x:c r="G3884" s="4" t="str">
        <x:v>Booked</x:v>
      </x:c>
    </x:row>
    <x:row r="3885" ht="34" customHeight="1">
      <x:c r="A3885" s="4" t="str">
        <x:v>RS-03884-E1</x:v>
      </x:c>
      <x:c r="B3885" s="4" t="str">
        <x:v>RS-03884</x:v>
      </x:c>
      <x:c r="C3885" s="8" t="n">
        <x:v>45524</x:v>
      </x:c>
      <x:c r="D3885" s="4" t="str">
        <x:v>Sales operations manager</x:v>
      </x:c>
      <x:c r="E3885" s="4" t="str">
        <x:v>ERP form</x:v>
      </x:c>
      <x:c r="F3885" s="4" t="str">
        <x:v>Record captured</x:v>
      </x:c>
      <x:c r="G3885" s="4" t="str">
        <x:v>Agreement signed</x:v>
      </x:c>
    </x:row>
    <x:row r="3886" ht="34" customHeight="1">
      <x:c r="A3886" s="4" t="str">
        <x:v>RS-03885-E1</x:v>
      </x:c>
      <x:c r="B3886" s="4" t="str">
        <x:v>RS-03885</x:v>
      </x:c>
      <x:c r="C3886" s="8" t="n">
        <x:v>45525</x:v>
      </x:c>
      <x:c r="D3886" s="4" t="str">
        <x:v>Sales operations manager</x:v>
      </x:c>
      <x:c r="E3886" s="4" t="str">
        <x:v>Spreadsheet import</x:v>
      </x:c>
      <x:c r="F3886" s="4" t="str">
        <x:v>Record captured</x:v>
      </x:c>
      <x:c r="G3886" s="4" t="str">
        <x:v>Enquiry</x:v>
      </x:c>
    </x:row>
    <x:row r="3887" ht="34" customHeight="1">
      <x:c r="A3887" s="4" t="str">
        <x:v>RS-03886-E1</x:v>
      </x:c>
      <x:c r="B3887" s="4" t="str">
        <x:v>RS-03886</x:v>
      </x:c>
      <x:c r="C3887" s="8" t="n">
        <x:v>45526</x:v>
      </x:c>
      <x:c r="D3887" s="4" t="str">
        <x:v>Sales operations manager</x:v>
      </x:c>
      <x:c r="E3887" s="4" t="str">
        <x:v>Spreadsheet import</x:v>
      </x:c>
      <x:c r="F3887" s="4" t="str">
        <x:v>Record captured</x:v>
      </x:c>
      <x:c r="G3887" s="4" t="str">
        <x:v>Agreement signed</x:v>
      </x:c>
    </x:row>
    <x:row r="3888" ht="34" customHeight="1">
      <x:c r="A3888" s="4" t="str">
        <x:v>RS-03887-E1</x:v>
      </x:c>
      <x:c r="B3888" s="4" t="str">
        <x:v>RS-03887</x:v>
      </x:c>
      <x:c r="C3888" s="8" t="n">
        <x:v>45527</x:v>
      </x:c>
      <x:c r="D3888" s="4" t="str">
        <x:v>Sales operations manager</x:v>
      </x:c>
      <x:c r="E3888" s="4" t="str">
        <x:v>Paper transcribed</x:v>
      </x:c>
      <x:c r="F3888" s="4" t="str">
        <x:v>Record captured</x:v>
      </x:c>
      <x:c r="G3888" s="4" t="str">
        <x:v>Enquiry</x:v>
      </x:c>
    </x:row>
    <x:row r="3889" ht="34" customHeight="1">
      <x:c r="A3889" s="4" t="str">
        <x:v>RS-03888-E1</x:v>
      </x:c>
      <x:c r="B3889" s="4" t="str">
        <x:v>RS-03888</x:v>
      </x:c>
      <x:c r="C3889" s="8" t="n">
        <x:v>45528</x:v>
      </x:c>
      <x:c r="D3889" s="4" t="str">
        <x:v>Sales operations manager</x:v>
      </x:c>
      <x:c r="E3889" s="4" t="str">
        <x:v>Paper transcribed</x:v>
      </x:c>
      <x:c r="F3889" s="4" t="str">
        <x:v>Record captured</x:v>
      </x:c>
      <x:c r="G3889" s="4" t="str">
        <x:v>Enquiry</x:v>
      </x:c>
    </x:row>
    <x:row r="3890" ht="34" customHeight="1">
      <x:c r="A3890" s="4" t="str">
        <x:v>RS-03889-E1</x:v>
      </x:c>
      <x:c r="B3890" s="4" t="str">
        <x:v>RS-03889</x:v>
      </x:c>
      <x:c r="C3890" s="8" t="n">
        <x:v>45529</x:v>
      </x:c>
      <x:c r="D3890" s="4" t="str">
        <x:v>Sales operations manager</x:v>
      </x:c>
      <x:c r="E3890" s="4" t="str">
        <x:v>ERP form</x:v>
      </x:c>
      <x:c r="F3890" s="4" t="str">
        <x:v>Record captured</x:v>
      </x:c>
      <x:c r="G3890" s="4" t="str">
        <x:v>Cancelled</x:v>
      </x:c>
    </x:row>
    <x:row r="3891" ht="34" customHeight="1">
      <x:c r="A3891" s="4" t="str">
        <x:v>RS-03890-E1</x:v>
      </x:c>
      <x:c r="B3891" s="4" t="str">
        <x:v>RS-03890</x:v>
      </x:c>
      <x:c r="C3891" s="8" t="n">
        <x:v>45530</x:v>
      </x:c>
      <x:c r="D3891" s="4" t="str">
        <x:v>Sales operations manager</x:v>
      </x:c>
      <x:c r="E3891" s="4" t="str">
        <x:v>WhatsApp transcribed</x:v>
      </x:c>
      <x:c r="F3891" s="4" t="str">
        <x:v>Record captured</x:v>
      </x:c>
      <x:c r="G3891" s="4" t="str">
        <x:v>Agreement signed</x:v>
      </x:c>
    </x:row>
    <x:row r="3892" ht="34" customHeight="1">
      <x:c r="A3892" s="4" t="str">
        <x:v>RS-03891-E1</x:v>
      </x:c>
      <x:c r="B3892" s="4" t="str">
        <x:v>RS-03891</x:v>
      </x:c>
      <x:c r="C3892" s="8" t="n">
        <x:v>45531</x:v>
      </x:c>
      <x:c r="D3892" s="4" t="str">
        <x:v>Sales operations manager</x:v>
      </x:c>
      <x:c r="E3892" s="4" t="str">
        <x:v>WhatsApp transcribed</x:v>
      </x:c>
      <x:c r="F3892" s="4" t="str">
        <x:v>Record captured</x:v>
      </x:c>
      <x:c r="G3892" s="4" t="str">
        <x:v>Agreement signed</x:v>
      </x:c>
    </x:row>
    <x:row r="3893" ht="34" customHeight="1">
      <x:c r="A3893" s="4" t="str">
        <x:v>RS-03892-E1</x:v>
      </x:c>
      <x:c r="B3893" s="4" t="str">
        <x:v>RS-03892</x:v>
      </x:c>
      <x:c r="C3893" s="8" t="n">
        <x:v>45532</x:v>
      </x:c>
      <x:c r="D3893" s="4" t="str">
        <x:v>Sales operations manager</x:v>
      </x:c>
      <x:c r="E3893" s="4" t="str">
        <x:v>WhatsApp transcribed</x:v>
      </x:c>
      <x:c r="F3893" s="4" t="str">
        <x:v>Record captured</x:v>
      </x:c>
      <x:c r="G3893" s="4" t="str">
        <x:v>Booked</x:v>
      </x:c>
    </x:row>
    <x:row r="3894" ht="34" customHeight="1">
      <x:c r="A3894" s="4" t="str">
        <x:v>RS-03893-E1</x:v>
      </x:c>
      <x:c r="B3894" s="4" t="str">
        <x:v>RS-03893</x:v>
      </x:c>
      <x:c r="C3894" s="8" t="n">
        <x:v>45505</x:v>
      </x:c>
      <x:c r="D3894" s="4" t="str">
        <x:v>Sales operations manager</x:v>
      </x:c>
      <x:c r="E3894" s="4" t="str">
        <x:v>Paper transcribed</x:v>
      </x:c>
      <x:c r="F3894" s="4" t="str">
        <x:v>Record captured</x:v>
      </x:c>
      <x:c r="G3894" s="4" t="str">
        <x:v>Cancelled</x:v>
      </x:c>
    </x:row>
    <x:row r="3895" ht="34" customHeight="1">
      <x:c r="A3895" s="4" t="str">
        <x:v>RS-03894-E1</x:v>
      </x:c>
      <x:c r="B3895" s="4" t="str">
        <x:v>RS-03894</x:v>
      </x:c>
      <x:c r="C3895" s="8" t="n">
        <x:v>45506</x:v>
      </x:c>
      <x:c r="D3895" s="4" t="str">
        <x:v>Sales operations manager</x:v>
      </x:c>
      <x:c r="E3895" s="4" t="str">
        <x:v>Paper transcribed</x:v>
      </x:c>
      <x:c r="F3895" s="4" t="str">
        <x:v>Record captured</x:v>
      </x:c>
      <x:c r="G3895" s="4" t="str">
        <x:v>Cancelled</x:v>
      </x:c>
    </x:row>
    <x:row r="3896" ht="34" customHeight="1">
      <x:c r="A3896" s="4" t="str">
        <x:v>RS-03895-E1</x:v>
      </x:c>
      <x:c r="B3896" s="4" t="str">
        <x:v>RS-03895</x:v>
      </x:c>
      <x:c r="C3896" s="8" t="n">
        <x:v>45507</x:v>
      </x:c>
      <x:c r="D3896" s="4" t="str">
        <x:v>Sales operations manager</x:v>
      </x:c>
      <x:c r="E3896" s="4" t="str">
        <x:v>Spreadsheet import</x:v>
      </x:c>
      <x:c r="F3896" s="4" t="str">
        <x:v>Record captured</x:v>
      </x:c>
      <x:c r="G3896" s="4" t="str">
        <x:v>Handed over</x:v>
      </x:c>
    </x:row>
    <x:row r="3897" ht="34" customHeight="1">
      <x:c r="A3897" s="4" t="str">
        <x:v>RS-03896-E1</x:v>
      </x:c>
      <x:c r="B3897" s="4" t="str">
        <x:v>RS-03896</x:v>
      </x:c>
      <x:c r="C3897" s="8" t="n">
        <x:v>45508</x:v>
      </x:c>
      <x:c r="D3897" s="4" t="str">
        <x:v>Sales operations manager</x:v>
      </x:c>
      <x:c r="E3897" s="4" t="str">
        <x:v>WhatsApp transcribed</x:v>
      </x:c>
      <x:c r="F3897" s="4" t="str">
        <x:v>Record captured</x:v>
      </x:c>
      <x:c r="G3897" s="4" t="str">
        <x:v>Handed over</x:v>
      </x:c>
    </x:row>
    <x:row r="3898" ht="34" customHeight="1">
      <x:c r="A3898" s="4" t="str">
        <x:v>RS-03897-E1</x:v>
      </x:c>
      <x:c r="B3898" s="4" t="str">
        <x:v>RS-03897</x:v>
      </x:c>
      <x:c r="C3898" s="8" t="n">
        <x:v>45509</x:v>
      </x:c>
      <x:c r="D3898" s="4" t="str">
        <x:v>Sales operations manager</x:v>
      </x:c>
      <x:c r="E3898" s="4" t="str">
        <x:v>ERP form</x:v>
      </x:c>
      <x:c r="F3898" s="4" t="str">
        <x:v>Record captured</x:v>
      </x:c>
      <x:c r="G3898" s="4" t="str">
        <x:v>Agreement signed</x:v>
      </x:c>
    </x:row>
    <x:row r="3899" ht="34" customHeight="1">
      <x:c r="A3899" s="4" t="str">
        <x:v>RS-03898-E1</x:v>
      </x:c>
      <x:c r="B3899" s="4" t="str">
        <x:v>RS-03898</x:v>
      </x:c>
      <x:c r="C3899" s="8" t="n">
        <x:v>45510</x:v>
      </x:c>
      <x:c r="D3899" s="4" t="str">
        <x:v>Sales operations manager</x:v>
      </x:c>
      <x:c r="E3899" s="4" t="str">
        <x:v>WhatsApp transcribed</x:v>
      </x:c>
      <x:c r="F3899" s="4" t="str">
        <x:v>Record captured</x:v>
      </x:c>
      <x:c r="G3899" s="4" t="str">
        <x:v>Handed over</x:v>
      </x:c>
    </x:row>
    <x:row r="3900" ht="34" customHeight="1">
      <x:c r="A3900" s="4" t="str">
        <x:v>RS-03899-E1</x:v>
      </x:c>
      <x:c r="B3900" s="4" t="str">
        <x:v>RS-03899</x:v>
      </x:c>
      <x:c r="C3900" s="8" t="n">
        <x:v>45511</x:v>
      </x:c>
      <x:c r="D3900" s="4" t="str">
        <x:v>Sales operations manager</x:v>
      </x:c>
      <x:c r="E3900" s="4" t="str">
        <x:v>WhatsApp transcribed</x:v>
      </x:c>
      <x:c r="F3900" s="4" t="str">
        <x:v>Record captured</x:v>
      </x:c>
      <x:c r="G3900" s="4" t="str">
        <x:v>Enquiry</x:v>
      </x:c>
    </x:row>
    <x:row r="3901" ht="34" customHeight="1">
      <x:c r="A3901" s="4" t="str">
        <x:v>RS-03900-E1</x:v>
      </x:c>
      <x:c r="B3901" s="4" t="str">
        <x:v>RS-03900</x:v>
      </x:c>
      <x:c r="C3901" s="8" t="n">
        <x:v>45512</x:v>
      </x:c>
      <x:c r="D3901" s="4" t="str">
        <x:v>Sales operations manager</x:v>
      </x:c>
      <x:c r="E3901" s="4" t="str">
        <x:v>WhatsApp transcribed</x:v>
      </x:c>
      <x:c r="F3901" s="4" t="str">
        <x:v>Record captured</x:v>
      </x:c>
      <x:c r="G3901" s="4" t="str">
        <x:v>Cancelled</x:v>
      </x:c>
    </x:row>
    <x:row r="3902" ht="34" customHeight="1">
      <x:c r="A3902" s="4" t="str">
        <x:v>RS-03901-E1</x:v>
      </x:c>
      <x:c r="B3902" s="4" t="str">
        <x:v>RS-03901</x:v>
      </x:c>
      <x:c r="C3902" s="8" t="n">
        <x:v>45513</x:v>
      </x:c>
      <x:c r="D3902" s="4" t="str">
        <x:v>Sales operations manager</x:v>
      </x:c>
      <x:c r="E3902" s="4" t="str">
        <x:v>WhatsApp transcribed</x:v>
      </x:c>
      <x:c r="F3902" s="4" t="str">
        <x:v>Record captured</x:v>
      </x:c>
      <x:c r="G3902" s="4" t="str">
        <x:v>Agreement signed</x:v>
      </x:c>
    </x:row>
    <x:row r="3903" ht="34" customHeight="1">
      <x:c r="A3903" s="4" t="str">
        <x:v>RS-03902-E1</x:v>
      </x:c>
      <x:c r="B3903" s="4" t="str">
        <x:v>RS-03902</x:v>
      </x:c>
      <x:c r="C3903" s="8" t="n">
        <x:v>45514</x:v>
      </x:c>
      <x:c r="D3903" s="4" t="str">
        <x:v>Sales operations manager</x:v>
      </x:c>
      <x:c r="E3903" s="4" t="str">
        <x:v>WhatsApp transcribed</x:v>
      </x:c>
      <x:c r="F3903" s="4" t="str">
        <x:v>Record captured</x:v>
      </x:c>
      <x:c r="G3903" s="4" t="str">
        <x:v>Agreement signed</x:v>
      </x:c>
    </x:row>
    <x:row r="3904" ht="34" customHeight="1">
      <x:c r="A3904" s="4" t="str">
        <x:v>RS-03903-E1</x:v>
      </x:c>
      <x:c r="B3904" s="4" t="str">
        <x:v>RS-03903</x:v>
      </x:c>
      <x:c r="C3904" s="8" t="n">
        <x:v>45515</x:v>
      </x:c>
      <x:c r="D3904" s="4" t="str">
        <x:v>Sales operations manager</x:v>
      </x:c>
      <x:c r="E3904" s="4" t="str">
        <x:v>Spreadsheet import</x:v>
      </x:c>
      <x:c r="F3904" s="4" t="str">
        <x:v>Record captured</x:v>
      </x:c>
      <x:c r="G3904" s="4" t="str">
        <x:v>Handed over</x:v>
      </x:c>
    </x:row>
    <x:row r="3905" ht="34" customHeight="1">
      <x:c r="A3905" s="4" t="str">
        <x:v>RS-03904-E1</x:v>
      </x:c>
      <x:c r="B3905" s="4" t="str">
        <x:v>RS-03904</x:v>
      </x:c>
      <x:c r="C3905" s="8" t="n">
        <x:v>45516</x:v>
      </x:c>
      <x:c r="D3905" s="4" t="str">
        <x:v>Sales operations manager</x:v>
      </x:c>
      <x:c r="E3905" s="4" t="str">
        <x:v>Spreadsheet import</x:v>
      </x:c>
      <x:c r="F3905" s="4" t="str">
        <x:v>Record captured</x:v>
      </x:c>
      <x:c r="G3905" s="4" t="str">
        <x:v>Agreement signed</x:v>
      </x:c>
    </x:row>
    <x:row r="3906" ht="34" customHeight="1">
      <x:c r="A3906" s="4" t="str">
        <x:v>RS-03905-E1</x:v>
      </x:c>
      <x:c r="B3906" s="4" t="str">
        <x:v>RS-03905</x:v>
      </x:c>
      <x:c r="C3906" s="8" t="n">
        <x:v>45517</x:v>
      </x:c>
      <x:c r="D3906" s="4" t="str">
        <x:v>Sales operations manager</x:v>
      </x:c>
      <x:c r="E3906" s="4" t="str">
        <x:v>WhatsApp transcribed</x:v>
      </x:c>
      <x:c r="F3906" s="4" t="str">
        <x:v>Record captured</x:v>
      </x:c>
      <x:c r="G3906" s="4" t="str">
        <x:v>Agreement signed</x:v>
      </x:c>
    </x:row>
    <x:row r="3907" ht="34" customHeight="1">
      <x:c r="A3907" s="4" t="str">
        <x:v>RS-03906-E1</x:v>
      </x:c>
      <x:c r="B3907" s="4" t="str">
        <x:v>RS-03906</x:v>
      </x:c>
      <x:c r="C3907" s="8" t="n">
        <x:v>45518</x:v>
      </x:c>
      <x:c r="D3907" s="4" t="str">
        <x:v>Sales operations manager</x:v>
      </x:c>
      <x:c r="E3907" s="4" t="str">
        <x:v>ERP form</x:v>
      </x:c>
      <x:c r="F3907" s="4" t="str">
        <x:v>Record captured</x:v>
      </x:c>
      <x:c r="G3907" s="4" t="str">
        <x:v>Handed over</x:v>
      </x:c>
    </x:row>
    <x:row r="3908" ht="34" customHeight="1">
      <x:c r="A3908" s="4" t="str">
        <x:v>RS-03907-E1</x:v>
      </x:c>
      <x:c r="B3908" s="4" t="str">
        <x:v>RS-03907</x:v>
      </x:c>
      <x:c r="C3908" s="8" t="n">
        <x:v>45519</x:v>
      </x:c>
      <x:c r="D3908" s="4" t="str">
        <x:v>Sales operations manager</x:v>
      </x:c>
      <x:c r="E3908" s="4" t="str">
        <x:v>ERP form</x:v>
      </x:c>
      <x:c r="F3908" s="4" t="str">
        <x:v>Record captured</x:v>
      </x:c>
      <x:c r="G3908" s="4" t="str">
        <x:v>Enquiry</x:v>
      </x:c>
    </x:row>
    <x:row r="3909" ht="34" customHeight="1">
      <x:c r="A3909" s="4" t="str">
        <x:v>RS-03908-E1</x:v>
      </x:c>
      <x:c r="B3909" s="4" t="str">
        <x:v>RS-03908</x:v>
      </x:c>
      <x:c r="C3909" s="8" t="n">
        <x:v>45520</x:v>
      </x:c>
      <x:c r="D3909" s="4" t="str">
        <x:v>Sales operations manager</x:v>
      </x:c>
      <x:c r="E3909" s="4" t="str">
        <x:v>ERP form</x:v>
      </x:c>
      <x:c r="F3909" s="4" t="str">
        <x:v>Record captured</x:v>
      </x:c>
      <x:c r="G3909" s="4" t="str">
        <x:v>Enquiry</x:v>
      </x:c>
    </x:row>
    <x:row r="3910" ht="34" customHeight="1">
      <x:c r="A3910" s="4" t="str">
        <x:v>RS-03909-E1</x:v>
      </x:c>
      <x:c r="B3910" s="4" t="str">
        <x:v>RS-03909</x:v>
      </x:c>
      <x:c r="C3910" s="8" t="n">
        <x:v>45521</x:v>
      </x:c>
      <x:c r="D3910" s="4" t="str">
        <x:v>Sales operations manager</x:v>
      </x:c>
      <x:c r="E3910" s="4" t="str">
        <x:v>ERP form</x:v>
      </x:c>
      <x:c r="F3910" s="4" t="str">
        <x:v>Record captured</x:v>
      </x:c>
      <x:c r="G3910" s="4" t="str">
        <x:v>Booked</x:v>
      </x:c>
    </x:row>
    <x:row r="3911" ht="34" customHeight="1">
      <x:c r="A3911" s="4" t="str">
        <x:v>RS-03910-E1</x:v>
      </x:c>
      <x:c r="B3911" s="4" t="str">
        <x:v>RS-03910</x:v>
      </x:c>
      <x:c r="C3911" s="8" t="n">
        <x:v>45522</x:v>
      </x:c>
      <x:c r="D3911" s="4" t="str">
        <x:v>Sales operations manager</x:v>
      </x:c>
      <x:c r="E3911" s="4" t="str">
        <x:v>Spreadsheet import</x:v>
      </x:c>
      <x:c r="F3911" s="4" t="str">
        <x:v>Record captured</x:v>
      </x:c>
      <x:c r="G3911" s="4" t="str">
        <x:v>Handed over</x:v>
      </x:c>
    </x:row>
    <x:row r="3912" ht="34" customHeight="1">
      <x:c r="A3912" s="4" t="str">
        <x:v>RS-03911-E1</x:v>
      </x:c>
      <x:c r="B3912" s="4" t="str">
        <x:v>RS-03911</x:v>
      </x:c>
      <x:c r="C3912" s="8" t="n">
        <x:v>45523</x:v>
      </x:c>
      <x:c r="D3912" s="4" t="str">
        <x:v>Sales operations manager</x:v>
      </x:c>
      <x:c r="E3912" s="4" t="str">
        <x:v>Spreadsheet import</x:v>
      </x:c>
      <x:c r="F3912" s="4" t="str">
        <x:v>Record captured</x:v>
      </x:c>
      <x:c r="G3912" s="4" t="str">
        <x:v>Cancelled</x:v>
      </x:c>
    </x:row>
    <x:row r="3913" ht="34" customHeight="1">
      <x:c r="A3913" s="4" t="str">
        <x:v>RS-03912-E1</x:v>
      </x:c>
      <x:c r="B3913" s="4" t="str">
        <x:v>RS-03912</x:v>
      </x:c>
      <x:c r="C3913" s="8" t="n">
        <x:v>45524</x:v>
      </x:c>
      <x:c r="D3913" s="4" t="str">
        <x:v>Sales operations manager</x:v>
      </x:c>
      <x:c r="E3913" s="4" t="str">
        <x:v>ERP form</x:v>
      </x:c>
      <x:c r="F3913" s="4" t="str">
        <x:v>Record captured</x:v>
      </x:c>
      <x:c r="G3913" s="4" t="str">
        <x:v>Handed over</x:v>
      </x:c>
    </x:row>
    <x:row r="3914" ht="34" customHeight="1">
      <x:c r="A3914" s="4" t="str">
        <x:v>RS-03913-E1</x:v>
      </x:c>
      <x:c r="B3914" s="4" t="str">
        <x:v>RS-03913</x:v>
      </x:c>
      <x:c r="C3914" s="8" t="n">
        <x:v>45525</x:v>
      </x:c>
      <x:c r="D3914" s="4" t="str">
        <x:v>Sales operations manager</x:v>
      </x:c>
      <x:c r="E3914" s="4" t="str">
        <x:v>ERP form</x:v>
      </x:c>
      <x:c r="F3914" s="4" t="str">
        <x:v>Record captured</x:v>
      </x:c>
      <x:c r="G3914" s="4" t="str">
        <x:v>Agreement signed</x:v>
      </x:c>
    </x:row>
    <x:row r="3915" ht="34" customHeight="1">
      <x:c r="A3915" s="4" t="str">
        <x:v>RS-03914-E1</x:v>
      </x:c>
      <x:c r="B3915" s="4" t="str">
        <x:v>RS-03914</x:v>
      </x:c>
      <x:c r="C3915" s="8" t="n">
        <x:v>45526</x:v>
      </x:c>
      <x:c r="D3915" s="4" t="str">
        <x:v>Sales operations manager</x:v>
      </x:c>
      <x:c r="E3915" s="4" t="str">
        <x:v>Paper transcribed</x:v>
      </x:c>
      <x:c r="F3915" s="4" t="str">
        <x:v>Record captured</x:v>
      </x:c>
      <x:c r="G3915" s="4" t="str">
        <x:v>Booked</x:v>
      </x:c>
    </x:row>
    <x:row r="3916" ht="34" customHeight="1">
      <x:c r="A3916" s="4" t="str">
        <x:v>RS-03915-E1</x:v>
      </x:c>
      <x:c r="B3916" s="4" t="str">
        <x:v>RS-03915</x:v>
      </x:c>
      <x:c r="C3916" s="8" t="n">
        <x:v>45527</x:v>
      </x:c>
      <x:c r="D3916" s="4" t="str">
        <x:v>Sales operations manager</x:v>
      </x:c>
      <x:c r="E3916" s="4" t="str">
        <x:v>Paper transcribed</x:v>
      </x:c>
      <x:c r="F3916" s="4" t="str">
        <x:v>Record captured</x:v>
      </x:c>
      <x:c r="G3916" s="4" t="str">
        <x:v>Cancelled</x:v>
      </x:c>
    </x:row>
    <x:row r="3917" ht="34" customHeight="1">
      <x:c r="A3917" s="4" t="str">
        <x:v>RS-03916-E1</x:v>
      </x:c>
      <x:c r="B3917" s="4" t="str">
        <x:v>RS-03916</x:v>
      </x:c>
      <x:c r="C3917" s="8" t="n">
        <x:v>45528</x:v>
      </x:c>
      <x:c r="D3917" s="4" t="str">
        <x:v>Sales operations manager</x:v>
      </x:c>
      <x:c r="E3917" s="4" t="str">
        <x:v>ERP form</x:v>
      </x:c>
      <x:c r="F3917" s="4" t="str">
        <x:v>Record captured</x:v>
      </x:c>
      <x:c r="G3917" s="4" t="str">
        <x:v>Reserved</x:v>
      </x:c>
    </x:row>
    <x:row r="3918" ht="34" customHeight="1">
      <x:c r="A3918" s="4" t="str">
        <x:v>RS-03917-E1</x:v>
      </x:c>
      <x:c r="B3918" s="4" t="str">
        <x:v>RS-03917</x:v>
      </x:c>
      <x:c r="C3918" s="8" t="n">
        <x:v>45529</x:v>
      </x:c>
      <x:c r="D3918" s="4" t="str">
        <x:v>Sales operations manager</x:v>
      </x:c>
      <x:c r="E3918" s="4" t="str">
        <x:v>WhatsApp transcribed</x:v>
      </x:c>
      <x:c r="F3918" s="4" t="str">
        <x:v>Record captured</x:v>
      </x:c>
      <x:c r="G3918" s="4" t="str">
        <x:v>Handed over</x:v>
      </x:c>
    </x:row>
    <x:row r="3919" ht="34" customHeight="1">
      <x:c r="A3919" s="4" t="str">
        <x:v>RS-03918-E1</x:v>
      </x:c>
      <x:c r="B3919" s="4" t="str">
        <x:v>RS-03918</x:v>
      </x:c>
      <x:c r="C3919" s="8" t="n">
        <x:v>45530</x:v>
      </x:c>
      <x:c r="D3919" s="4" t="str">
        <x:v>Sales operations manager</x:v>
      </x:c>
      <x:c r="E3919" s="4" t="str">
        <x:v>WhatsApp transcribed</x:v>
      </x:c>
      <x:c r="F3919" s="4" t="str">
        <x:v>Record captured</x:v>
      </x:c>
      <x:c r="G3919" s="4" t="str">
        <x:v>Agreement signed</x:v>
      </x:c>
    </x:row>
    <x:row r="3920" ht="34" customHeight="1">
      <x:c r="A3920" s="4" t="str">
        <x:v>RS-03919-E1</x:v>
      </x:c>
      <x:c r="B3920" s="4" t="str">
        <x:v>RS-03919</x:v>
      </x:c>
      <x:c r="C3920" s="8" t="n">
        <x:v>45531</x:v>
      </x:c>
      <x:c r="D3920" s="4" t="str">
        <x:v>Sales operations manager</x:v>
      </x:c>
      <x:c r="E3920" s="4" t="str">
        <x:v>Paper transcribed</x:v>
      </x:c>
      <x:c r="F3920" s="4" t="str">
        <x:v>Record captured</x:v>
      </x:c>
      <x:c r="G3920" s="4" t="str">
        <x:v>Cancelled</x:v>
      </x:c>
    </x:row>
    <x:row r="3921" ht="34" customHeight="1">
      <x:c r="A3921" s="4" t="str">
        <x:v>RS-03920-E1</x:v>
      </x:c>
      <x:c r="B3921" s="4" t="str">
        <x:v>RS-03920</x:v>
      </x:c>
      <x:c r="C3921" s="8" t="n">
        <x:v>45532</x:v>
      </x:c>
      <x:c r="D3921" s="4" t="str">
        <x:v>Sales operations manager</x:v>
      </x:c>
      <x:c r="E3921" s="4" t="str">
        <x:v>Spreadsheet import</x:v>
      </x:c>
      <x:c r="F3921" s="4" t="str">
        <x:v>Record captured</x:v>
      </x:c>
      <x:c r="G3921" s="4" t="str">
        <x:v>Handed over</x:v>
      </x:c>
    </x:row>
    <x:row r="3922" ht="34" customHeight="1">
      <x:c r="A3922" s="4" t="str">
        <x:v>RS-03921-E1</x:v>
      </x:c>
      <x:c r="B3922" s="4" t="str">
        <x:v>RS-03921</x:v>
      </x:c>
      <x:c r="C3922" s="8" t="n">
        <x:v>45505</x:v>
      </x:c>
      <x:c r="D3922" s="4" t="str">
        <x:v>Sales operations manager</x:v>
      </x:c>
      <x:c r="E3922" s="4" t="str">
        <x:v>Paper transcribed</x:v>
      </x:c>
      <x:c r="F3922" s="4" t="str">
        <x:v>Record captured</x:v>
      </x:c>
      <x:c r="G3922" s="4" t="str">
        <x:v>Agreement signed</x:v>
      </x:c>
    </x:row>
    <x:row r="3923" ht="34" customHeight="1">
      <x:c r="A3923" s="4" t="str">
        <x:v>RS-03922-E1</x:v>
      </x:c>
      <x:c r="B3923" s="4" t="str">
        <x:v>RS-03922</x:v>
      </x:c>
      <x:c r="C3923" s="8" t="n">
        <x:v>45506</x:v>
      </x:c>
      <x:c r="D3923" s="4" t="str">
        <x:v>Sales operations manager</x:v>
      </x:c>
      <x:c r="E3923" s="4" t="str">
        <x:v>ERP form</x:v>
      </x:c>
      <x:c r="F3923" s="4" t="str">
        <x:v>Record captured</x:v>
      </x:c>
      <x:c r="G3923" s="4" t="str">
        <x:v>Reserved</x:v>
      </x:c>
    </x:row>
    <x:row r="3924" ht="34" customHeight="1">
      <x:c r="A3924" s="4" t="str">
        <x:v>RS-03923-E1</x:v>
      </x:c>
      <x:c r="B3924" s="4" t="str">
        <x:v>RS-03923</x:v>
      </x:c>
      <x:c r="C3924" s="8" t="n">
        <x:v>45507</x:v>
      </x:c>
      <x:c r="D3924" s="4" t="str">
        <x:v>Sales operations manager</x:v>
      </x:c>
      <x:c r="E3924" s="4" t="str">
        <x:v>Paper transcribed</x:v>
      </x:c>
      <x:c r="F3924" s="4" t="str">
        <x:v>Record captured</x:v>
      </x:c>
      <x:c r="G3924" s="4" t="str">
        <x:v>Enquiry</x:v>
      </x:c>
    </x:row>
    <x:row r="3925" ht="34" customHeight="1">
      <x:c r="A3925" s="4" t="str">
        <x:v>RS-03924-E1</x:v>
      </x:c>
      <x:c r="B3925" s="4" t="str">
        <x:v>RS-03924</x:v>
      </x:c>
      <x:c r="C3925" s="8" t="n">
        <x:v>45508</x:v>
      </x:c>
      <x:c r="D3925" s="4" t="str">
        <x:v>Sales operations manager</x:v>
      </x:c>
      <x:c r="E3925" s="4" t="str">
        <x:v>ERP form</x:v>
      </x:c>
      <x:c r="F3925" s="4" t="str">
        <x:v>Record captured</x:v>
      </x:c>
      <x:c r="G3925" s="4" t="str">
        <x:v>Reserved</x:v>
      </x:c>
    </x:row>
    <x:row r="3926" ht="34" customHeight="1">
      <x:c r="A3926" s="4" t="str">
        <x:v>RS-03925-E1</x:v>
      </x:c>
      <x:c r="B3926" s="4" t="str">
        <x:v>RS-03925</x:v>
      </x:c>
      <x:c r="C3926" s="8" t="n">
        <x:v>45509</x:v>
      </x:c>
      <x:c r="D3926" s="4" t="str">
        <x:v>Sales operations manager</x:v>
      </x:c>
      <x:c r="E3926" s="4" t="str">
        <x:v>ERP form</x:v>
      </x:c>
      <x:c r="F3926" s="4" t="str">
        <x:v>Record captured</x:v>
      </x:c>
      <x:c r="G3926" s="4" t="str">
        <x:v>Booked</x:v>
      </x:c>
    </x:row>
    <x:row r="3927" ht="34" customHeight="1">
      <x:c r="A3927" s="4" t="str">
        <x:v>RS-03926-E1</x:v>
      </x:c>
      <x:c r="B3927" s="4" t="str">
        <x:v>RS-03926</x:v>
      </x:c>
      <x:c r="C3927" s="8" t="n">
        <x:v>45510</x:v>
      </x:c>
      <x:c r="D3927" s="4" t="str">
        <x:v>Sales operations manager</x:v>
      </x:c>
      <x:c r="E3927" s="4" t="str">
        <x:v>WhatsApp transcribed</x:v>
      </x:c>
      <x:c r="F3927" s="4" t="str">
        <x:v>Record captured</x:v>
      </x:c>
      <x:c r="G3927" s="4" t="str">
        <x:v>Cancelled</x:v>
      </x:c>
    </x:row>
    <x:row r="3928" ht="34" customHeight="1">
      <x:c r="A3928" s="4" t="str">
        <x:v>RS-03927-E1</x:v>
      </x:c>
      <x:c r="B3928" s="4" t="str">
        <x:v>RS-03927</x:v>
      </x:c>
      <x:c r="C3928" s="8" t="n">
        <x:v>45511</x:v>
      </x:c>
      <x:c r="D3928" s="4" t="str">
        <x:v>Sales operations manager</x:v>
      </x:c>
      <x:c r="E3928" s="4" t="str">
        <x:v>Spreadsheet import</x:v>
      </x:c>
      <x:c r="F3928" s="4" t="str">
        <x:v>Record captured</x:v>
      </x:c>
      <x:c r="G3928" s="4" t="str">
        <x:v>Handed over</x:v>
      </x:c>
    </x:row>
    <x:row r="3929" ht="34" customHeight="1">
      <x:c r="A3929" s="4" t="str">
        <x:v>RS-03928-E1</x:v>
      </x:c>
      <x:c r="B3929" s="4" t="str">
        <x:v>RS-03928</x:v>
      </x:c>
      <x:c r="C3929" s="8" t="n">
        <x:v>45512</x:v>
      </x:c>
      <x:c r="D3929" s="4" t="str">
        <x:v>Sales operations manager</x:v>
      </x:c>
      <x:c r="E3929" s="4" t="str">
        <x:v>Paper transcribed</x:v>
      </x:c>
      <x:c r="F3929" s="4" t="str">
        <x:v>Record captured</x:v>
      </x:c>
      <x:c r="G3929" s="4" t="str">
        <x:v>Agreement signed</x:v>
      </x:c>
    </x:row>
    <x:row r="3930" ht="34" customHeight="1">
      <x:c r="A3930" s="4" t="str">
        <x:v>RS-03929-E1</x:v>
      </x:c>
      <x:c r="B3930" s="4" t="str">
        <x:v>RS-03929</x:v>
      </x:c>
      <x:c r="C3930" s="8" t="n">
        <x:v>45513</x:v>
      </x:c>
      <x:c r="D3930" s="4" t="str">
        <x:v>Sales operations manager</x:v>
      </x:c>
      <x:c r="E3930" s="4" t="str">
        <x:v>WhatsApp transcribed</x:v>
      </x:c>
      <x:c r="F3930" s="4" t="str">
        <x:v>Record captured</x:v>
      </x:c>
      <x:c r="G3930" s="4" t="str">
        <x:v>Enquiry</x:v>
      </x:c>
    </x:row>
    <x:row r="3931" ht="34" customHeight="1">
      <x:c r="A3931" s="4" t="str">
        <x:v>RS-03930-E1</x:v>
      </x:c>
      <x:c r="B3931" s="4" t="str">
        <x:v>RS-03930</x:v>
      </x:c>
      <x:c r="C3931" s="8" t="n">
        <x:v>45514</x:v>
      </x:c>
      <x:c r="D3931" s="4" t="str">
        <x:v>Sales operations manager</x:v>
      </x:c>
      <x:c r="E3931" s="4" t="str">
        <x:v>WhatsApp transcribed</x:v>
      </x:c>
      <x:c r="F3931" s="4" t="str">
        <x:v>Record captured</x:v>
      </x:c>
      <x:c r="G3931" s="4" t="str">
        <x:v>Handed over</x:v>
      </x:c>
    </x:row>
    <x:row r="3932" ht="34" customHeight="1">
      <x:c r="A3932" s="4" t="str">
        <x:v>RS-03931-E1</x:v>
      </x:c>
      <x:c r="B3932" s="4" t="str">
        <x:v>RS-03931</x:v>
      </x:c>
      <x:c r="C3932" s="8" t="n">
        <x:v>45515</x:v>
      </x:c>
      <x:c r="D3932" s="4" t="str">
        <x:v>Sales operations manager</x:v>
      </x:c>
      <x:c r="E3932" s="4" t="str">
        <x:v>Spreadsheet import</x:v>
      </x:c>
      <x:c r="F3932" s="4" t="str">
        <x:v>Record captured</x:v>
      </x:c>
      <x:c r="G3932" s="4" t="str">
        <x:v>Cancelled</x:v>
      </x:c>
    </x:row>
    <x:row r="3933" ht="34" customHeight="1">
      <x:c r="A3933" s="4" t="str">
        <x:v>RS-03932-E1</x:v>
      </x:c>
      <x:c r="B3933" s="4" t="str">
        <x:v>RS-03932</x:v>
      </x:c>
      <x:c r="C3933" s="8" t="n">
        <x:v>45516</x:v>
      </x:c>
      <x:c r="D3933" s="4" t="str">
        <x:v>Sales operations manager</x:v>
      </x:c>
      <x:c r="E3933" s="4" t="str">
        <x:v>Paper transcribed</x:v>
      </x:c>
      <x:c r="F3933" s="4" t="str">
        <x:v>Record captured</x:v>
      </x:c>
      <x:c r="G3933" s="4" t="str">
        <x:v>Handed over</x:v>
      </x:c>
    </x:row>
    <x:row r="3934" ht="34" customHeight="1">
      <x:c r="A3934" s="4" t="str">
        <x:v>RS-03933-E1</x:v>
      </x:c>
      <x:c r="B3934" s="4" t="str">
        <x:v>RS-03933</x:v>
      </x:c>
      <x:c r="C3934" s="8" t="n">
        <x:v>45517</x:v>
      </x:c>
      <x:c r="D3934" s="4" t="str">
        <x:v>Sales operations manager</x:v>
      </x:c>
      <x:c r="E3934" s="4" t="str">
        <x:v>Spreadsheet import</x:v>
      </x:c>
      <x:c r="F3934" s="4" t="str">
        <x:v>Record captured</x:v>
      </x:c>
      <x:c r="G3934" s="4" t="str">
        <x:v>Handed over</x:v>
      </x:c>
    </x:row>
    <x:row r="3935" ht="34" customHeight="1">
      <x:c r="A3935" s="4" t="str">
        <x:v>RS-03934-E1</x:v>
      </x:c>
      <x:c r="B3935" s="4" t="str">
        <x:v>RS-03934</x:v>
      </x:c>
      <x:c r="C3935" s="8" t="n">
        <x:v>45518</x:v>
      </x:c>
      <x:c r="D3935" s="4" t="str">
        <x:v>Sales operations manager</x:v>
      </x:c>
      <x:c r="E3935" s="4" t="str">
        <x:v>Spreadsheet import</x:v>
      </x:c>
      <x:c r="F3935" s="4" t="str">
        <x:v>Record captured</x:v>
      </x:c>
      <x:c r="G3935" s="4" t="str">
        <x:v>Enquiry</x:v>
      </x:c>
    </x:row>
    <x:row r="3936" ht="34" customHeight="1">
      <x:c r="A3936" s="4" t="str">
        <x:v>RS-03935-E1</x:v>
      </x:c>
      <x:c r="B3936" s="4" t="str">
        <x:v>RS-03935</x:v>
      </x:c>
      <x:c r="C3936" s="8" t="n">
        <x:v>45519</x:v>
      </x:c>
      <x:c r="D3936" s="4" t="str">
        <x:v>Sales operations manager</x:v>
      </x:c>
      <x:c r="E3936" s="4" t="str">
        <x:v>ERP form</x:v>
      </x:c>
      <x:c r="F3936" s="4" t="str">
        <x:v>Record captured</x:v>
      </x:c>
      <x:c r="G3936" s="4" t="str">
        <x:v>Booked</x:v>
      </x:c>
    </x:row>
    <x:row r="3937" ht="34" customHeight="1">
      <x:c r="A3937" s="4" t="str">
        <x:v>RS-03936-E1</x:v>
      </x:c>
      <x:c r="B3937" s="4" t="str">
        <x:v>RS-03936</x:v>
      </x:c>
      <x:c r="C3937" s="8" t="n">
        <x:v>45520</x:v>
      </x:c>
      <x:c r="D3937" s="4" t="str">
        <x:v>Sales operations manager</x:v>
      </x:c>
      <x:c r="E3937" s="4" t="str">
        <x:v>Paper transcribed</x:v>
      </x:c>
      <x:c r="F3937" s="4" t="str">
        <x:v>Record captured</x:v>
      </x:c>
      <x:c r="G3937" s="4" t="str">
        <x:v>Enquiry</x:v>
      </x:c>
    </x:row>
    <x:row r="3938" ht="34" customHeight="1">
      <x:c r="A3938" s="4" t="str">
        <x:v>RS-03937-E1</x:v>
      </x:c>
      <x:c r="B3938" s="4" t="str">
        <x:v>RS-03937</x:v>
      </x:c>
      <x:c r="C3938" s="8" t="n">
        <x:v>45521</x:v>
      </x:c>
      <x:c r="D3938" s="4" t="str">
        <x:v>Sales operations manager</x:v>
      </x:c>
      <x:c r="E3938" s="4" t="str">
        <x:v>Paper transcribed</x:v>
      </x:c>
      <x:c r="F3938" s="4" t="str">
        <x:v>Record captured</x:v>
      </x:c>
      <x:c r="G3938" s="4" t="str">
        <x:v>Handed over</x:v>
      </x:c>
    </x:row>
    <x:row r="3939" ht="34" customHeight="1">
      <x:c r="A3939" s="4" t="str">
        <x:v>RS-03938-E1</x:v>
      </x:c>
      <x:c r="B3939" s="4" t="str">
        <x:v>RS-03938</x:v>
      </x:c>
      <x:c r="C3939" s="8" t="n">
        <x:v>45522</x:v>
      </x:c>
      <x:c r="D3939" s="4" t="str">
        <x:v>Sales operations manager</x:v>
      </x:c>
      <x:c r="E3939" s="4" t="str">
        <x:v>WhatsApp transcribed</x:v>
      </x:c>
      <x:c r="F3939" s="4" t="str">
        <x:v>Record captured</x:v>
      </x:c>
      <x:c r="G3939" s="4" t="str">
        <x:v>Handed over</x:v>
      </x:c>
    </x:row>
    <x:row r="3940" ht="34" customHeight="1">
      <x:c r="A3940" s="4" t="str">
        <x:v>RS-03939-E1</x:v>
      </x:c>
      <x:c r="B3940" s="4" t="str">
        <x:v>RS-03939</x:v>
      </x:c>
      <x:c r="C3940" s="8" t="n">
        <x:v>45523</x:v>
      </x:c>
      <x:c r="D3940" s="4" t="str">
        <x:v>Sales operations manager</x:v>
      </x:c>
      <x:c r="E3940" s="4" t="str">
        <x:v>WhatsApp transcribed</x:v>
      </x:c>
      <x:c r="F3940" s="4" t="str">
        <x:v>Record captured</x:v>
      </x:c>
      <x:c r="G3940" s="4" t="str">
        <x:v>Cancelled</x:v>
      </x:c>
    </x:row>
    <x:row r="3941" ht="34" customHeight="1">
      <x:c r="A3941" s="4" t="str">
        <x:v>RS-03940-E1</x:v>
      </x:c>
      <x:c r="B3941" s="4" t="str">
        <x:v>RS-03940</x:v>
      </x:c>
      <x:c r="C3941" s="8" t="n">
        <x:v>45524</x:v>
      </x:c>
      <x:c r="D3941" s="4" t="str">
        <x:v>Sales operations manager</x:v>
      </x:c>
      <x:c r="E3941" s="4" t="str">
        <x:v>Paper transcribed</x:v>
      </x:c>
      <x:c r="F3941" s="4" t="str">
        <x:v>Record captured</x:v>
      </x:c>
      <x:c r="G3941" s="4" t="str">
        <x:v>Enquiry</x:v>
      </x:c>
    </x:row>
    <x:row r="3942" ht="34" customHeight="1">
      <x:c r="A3942" s="4" t="str">
        <x:v>RS-03941-E1</x:v>
      </x:c>
      <x:c r="B3942" s="4" t="str">
        <x:v>RS-03941</x:v>
      </x:c>
      <x:c r="C3942" s="8" t="n">
        <x:v>45525</x:v>
      </x:c>
      <x:c r="D3942" s="4" t="str">
        <x:v>Sales operations manager</x:v>
      </x:c>
      <x:c r="E3942" s="4" t="str">
        <x:v>Spreadsheet import</x:v>
      </x:c>
      <x:c r="F3942" s="4" t="str">
        <x:v>Record captured</x:v>
      </x:c>
      <x:c r="G3942" s="4" t="str">
        <x:v>Enquiry</x:v>
      </x:c>
    </x:row>
    <x:row r="3943" ht="34" customHeight="1">
      <x:c r="A3943" s="4" t="str">
        <x:v>RS-03942-E1</x:v>
      </x:c>
      <x:c r="B3943" s="4" t="str">
        <x:v>RS-03942</x:v>
      </x:c>
      <x:c r="C3943" s="8" t="n">
        <x:v>45526</x:v>
      </x:c>
      <x:c r="D3943" s="4" t="str">
        <x:v>Sales operations manager</x:v>
      </x:c>
      <x:c r="E3943" s="4" t="str">
        <x:v>WhatsApp transcribed</x:v>
      </x:c>
      <x:c r="F3943" s="4" t="str">
        <x:v>Record captured</x:v>
      </x:c>
      <x:c r="G3943" s="4" t="str">
        <x:v>Booked</x:v>
      </x:c>
    </x:row>
    <x:row r="3944" ht="34" customHeight="1">
      <x:c r="A3944" s="4" t="str">
        <x:v>RS-03943-E1</x:v>
      </x:c>
      <x:c r="B3944" s="4" t="str">
        <x:v>RS-03943</x:v>
      </x:c>
      <x:c r="C3944" s="8" t="n">
        <x:v>45527</x:v>
      </x:c>
      <x:c r="D3944" s="4" t="str">
        <x:v>Sales operations manager</x:v>
      </x:c>
      <x:c r="E3944" s="4" t="str">
        <x:v>Spreadsheet import</x:v>
      </x:c>
      <x:c r="F3944" s="4" t="str">
        <x:v>Record captured</x:v>
      </x:c>
      <x:c r="G3944" s="4" t="str">
        <x:v>Agreement signed</x:v>
      </x:c>
    </x:row>
    <x:row r="3945" ht="34" customHeight="1">
      <x:c r="A3945" s="4" t="str">
        <x:v>RS-03944-E1</x:v>
      </x:c>
      <x:c r="B3945" s="4" t="str">
        <x:v>RS-03944</x:v>
      </x:c>
      <x:c r="C3945" s="8" t="n">
        <x:v>45528</x:v>
      </x:c>
      <x:c r="D3945" s="4" t="str">
        <x:v>Sales operations manager</x:v>
      </x:c>
      <x:c r="E3945" s="4" t="str">
        <x:v>WhatsApp transcribed</x:v>
      </x:c>
      <x:c r="F3945" s="4" t="str">
        <x:v>Record captured</x:v>
      </x:c>
      <x:c r="G3945" s="4" t="str">
        <x:v>Booked</x:v>
      </x:c>
    </x:row>
    <x:row r="3946" ht="34" customHeight="1">
      <x:c r="A3946" s="4" t="str">
        <x:v>RS-03945-E1</x:v>
      </x:c>
      <x:c r="B3946" s="4" t="str">
        <x:v>RS-03945</x:v>
      </x:c>
      <x:c r="C3946" s="8" t="n">
        <x:v>45529</x:v>
      </x:c>
      <x:c r="D3946" s="4" t="str">
        <x:v>Sales operations manager</x:v>
      </x:c>
      <x:c r="E3946" s="4" t="str">
        <x:v>Spreadsheet import</x:v>
      </x:c>
      <x:c r="F3946" s="4" t="str">
        <x:v>Record captured</x:v>
      </x:c>
      <x:c r="G3946" s="4" t="str">
        <x:v>Agreement signed</x:v>
      </x:c>
    </x:row>
    <x:row r="3947" ht="34" customHeight="1">
      <x:c r="A3947" s="4" t="str">
        <x:v>RS-03946-E1</x:v>
      </x:c>
      <x:c r="B3947" s="4" t="str">
        <x:v>RS-03946</x:v>
      </x:c>
      <x:c r="C3947" s="8" t="n">
        <x:v>45530</x:v>
      </x:c>
      <x:c r="D3947" s="4" t="str">
        <x:v>Sales operations manager</x:v>
      </x:c>
      <x:c r="E3947" s="4" t="str">
        <x:v>WhatsApp transcribed</x:v>
      </x:c>
      <x:c r="F3947" s="4" t="str">
        <x:v>Record captured</x:v>
      </x:c>
      <x:c r="G3947" s="4" t="str">
        <x:v>Handed over</x:v>
      </x:c>
    </x:row>
    <x:row r="3948" ht="34" customHeight="1">
      <x:c r="A3948" s="4" t="str">
        <x:v>RS-03947-E1</x:v>
      </x:c>
      <x:c r="B3948" s="4" t="str">
        <x:v>RS-03947</x:v>
      </x:c>
      <x:c r="C3948" s="8" t="n">
        <x:v>45531</x:v>
      </x:c>
      <x:c r="D3948" s="4" t="str">
        <x:v>Sales operations manager</x:v>
      </x:c>
      <x:c r="E3948" s="4" t="str">
        <x:v>Spreadsheet import</x:v>
      </x:c>
      <x:c r="F3948" s="4" t="str">
        <x:v>Record captured</x:v>
      </x:c>
      <x:c r="G3948" s="4" t="str">
        <x:v>Booked</x:v>
      </x:c>
    </x:row>
    <x:row r="3949" ht="34" customHeight="1">
      <x:c r="A3949" s="4" t="str">
        <x:v>RS-03948-E1</x:v>
      </x:c>
      <x:c r="B3949" s="4" t="str">
        <x:v>RS-03948</x:v>
      </x:c>
      <x:c r="C3949" s="8" t="n">
        <x:v>45532</x:v>
      </x:c>
      <x:c r="D3949" s="4" t="str">
        <x:v>Sales operations manager</x:v>
      </x:c>
      <x:c r="E3949" s="4" t="str">
        <x:v>ERP form</x:v>
      </x:c>
      <x:c r="F3949" s="4" t="str">
        <x:v>Record captured</x:v>
      </x:c>
      <x:c r="G3949" s="4" t="str">
        <x:v>Booked</x:v>
      </x:c>
    </x:row>
    <x:row r="3950" ht="34" customHeight="1">
      <x:c r="A3950" s="4" t="str">
        <x:v>RS-03949-E1</x:v>
      </x:c>
      <x:c r="B3950" s="4" t="str">
        <x:v>RS-03949</x:v>
      </x:c>
      <x:c r="C3950" s="8" t="n">
        <x:v>45505</x:v>
      </x:c>
      <x:c r="D3950" s="4" t="str">
        <x:v>Sales operations manager</x:v>
      </x:c>
      <x:c r="E3950" s="4" t="str">
        <x:v>Paper transcribed</x:v>
      </x:c>
      <x:c r="F3950" s="4" t="str">
        <x:v>Record captured</x:v>
      </x:c>
      <x:c r="G3950" s="4" t="str">
        <x:v>Handed over</x:v>
      </x:c>
    </x:row>
    <x:row r="3951" ht="34" customHeight="1">
      <x:c r="A3951" s="4" t="str">
        <x:v>RS-03950-E1</x:v>
      </x:c>
      <x:c r="B3951" s="4" t="str">
        <x:v>RS-03950</x:v>
      </x:c>
      <x:c r="C3951" s="8" t="n">
        <x:v>45506</x:v>
      </x:c>
      <x:c r="D3951" s="4" t="str">
        <x:v>Sales operations manager</x:v>
      </x:c>
      <x:c r="E3951" s="4" t="str">
        <x:v>WhatsApp transcribed</x:v>
      </x:c>
      <x:c r="F3951" s="4" t="str">
        <x:v>Record captured</x:v>
      </x:c>
      <x:c r="G3951" s="4" t="str">
        <x:v>Agreement signed</x:v>
      </x:c>
    </x:row>
    <x:row r="3952" ht="34" customHeight="1">
      <x:c r="A3952" s="4" t="str">
        <x:v>RS-03951-E1</x:v>
      </x:c>
      <x:c r="B3952" s="4" t="str">
        <x:v>RS-03951</x:v>
      </x:c>
      <x:c r="C3952" s="8" t="n">
        <x:v>45507</x:v>
      </x:c>
      <x:c r="D3952" s="4" t="str">
        <x:v>Sales operations manager</x:v>
      </x:c>
      <x:c r="E3952" s="4" t="str">
        <x:v>Spreadsheet import</x:v>
      </x:c>
      <x:c r="F3952" s="4" t="str">
        <x:v>Record captured</x:v>
      </x:c>
      <x:c r="G3952" s="4" t="str">
        <x:v>Reserved</x:v>
      </x:c>
    </x:row>
    <x:row r="3953" ht="34" customHeight="1">
      <x:c r="A3953" s="4" t="str">
        <x:v>RS-03952-E1</x:v>
      </x:c>
      <x:c r="B3953" s="4" t="str">
        <x:v>RS-03952</x:v>
      </x:c>
      <x:c r="C3953" s="8" t="n">
        <x:v>45508</x:v>
      </x:c>
      <x:c r="D3953" s="4" t="str">
        <x:v>Sales operations manager</x:v>
      </x:c>
      <x:c r="E3953" s="4" t="str">
        <x:v>Paper transcribed</x:v>
      </x:c>
      <x:c r="F3953" s="4" t="str">
        <x:v>Record captured</x:v>
      </x:c>
      <x:c r="G3953" s="4" t="str">
        <x:v>Booked</x:v>
      </x:c>
    </x:row>
    <x:row r="3954" ht="34" customHeight="1">
      <x:c r="A3954" s="4" t="str">
        <x:v>RS-03953-E1</x:v>
      </x:c>
      <x:c r="B3954" s="4" t="str">
        <x:v>RS-03953</x:v>
      </x:c>
      <x:c r="C3954" s="8" t="n">
        <x:v>45509</x:v>
      </x:c>
      <x:c r="D3954" s="4" t="str">
        <x:v>Sales operations manager</x:v>
      </x:c>
      <x:c r="E3954" s="4" t="str">
        <x:v>Paper transcribed</x:v>
      </x:c>
      <x:c r="F3954" s="4" t="str">
        <x:v>Record captured</x:v>
      </x:c>
      <x:c r="G3954" s="4" t="str">
        <x:v>Enquiry</x:v>
      </x:c>
    </x:row>
    <x:row r="3955" ht="34" customHeight="1">
      <x:c r="A3955" s="4" t="str">
        <x:v>RS-03954-E1</x:v>
      </x:c>
      <x:c r="B3955" s="4" t="str">
        <x:v>RS-03954</x:v>
      </x:c>
      <x:c r="C3955" s="8" t="n">
        <x:v>45510</x:v>
      </x:c>
      <x:c r="D3955" s="4" t="str">
        <x:v>Sales operations manager</x:v>
      </x:c>
      <x:c r="E3955" s="4" t="str">
        <x:v>WhatsApp transcribed</x:v>
      </x:c>
      <x:c r="F3955" s="4" t="str">
        <x:v>Record captured</x:v>
      </x:c>
      <x:c r="G3955" s="4" t="str">
        <x:v>Booked</x:v>
      </x:c>
    </x:row>
    <x:row r="3956" ht="34" customHeight="1">
      <x:c r="A3956" s="4" t="str">
        <x:v>RS-03955-E1</x:v>
      </x:c>
      <x:c r="B3956" s="4" t="str">
        <x:v>RS-03955</x:v>
      </x:c>
      <x:c r="C3956" s="8" t="n">
        <x:v>45511</x:v>
      </x:c>
      <x:c r="D3956" s="4" t="str">
        <x:v>Sales operations manager</x:v>
      </x:c>
      <x:c r="E3956" s="4" t="str">
        <x:v>Paper transcribed</x:v>
      </x:c>
      <x:c r="F3956" s="4" t="str">
        <x:v>Record captured</x:v>
      </x:c>
      <x:c r="G3956" s="4" t="str">
        <x:v>Cancelled</x:v>
      </x:c>
    </x:row>
    <x:row r="3957" ht="34" customHeight="1">
      <x:c r="A3957" s="4" t="str">
        <x:v>RS-03956-E1</x:v>
      </x:c>
      <x:c r="B3957" s="4" t="str">
        <x:v>RS-03956</x:v>
      </x:c>
      <x:c r="C3957" s="8" t="n">
        <x:v>45512</x:v>
      </x:c>
      <x:c r="D3957" s="4" t="str">
        <x:v>Sales operations manager</x:v>
      </x:c>
      <x:c r="E3957" s="4" t="str">
        <x:v>Paper transcribed</x:v>
      </x:c>
      <x:c r="F3957" s="4" t="str">
        <x:v>Record captured</x:v>
      </x:c>
      <x:c r="G3957" s="4" t="str">
        <x:v>Booked</x:v>
      </x:c>
    </x:row>
    <x:row r="3958" ht="34" customHeight="1">
      <x:c r="A3958" s="4" t="str">
        <x:v>RS-03957-E1</x:v>
      </x:c>
      <x:c r="B3958" s="4" t="str">
        <x:v>RS-03957</x:v>
      </x:c>
      <x:c r="C3958" s="8" t="n">
        <x:v>45513</x:v>
      </x:c>
      <x:c r="D3958" s="4" t="str">
        <x:v>Sales operations manager</x:v>
      </x:c>
      <x:c r="E3958" s="4" t="str">
        <x:v>Paper transcribed</x:v>
      </x:c>
      <x:c r="F3958" s="4" t="str">
        <x:v>Record captured</x:v>
      </x:c>
      <x:c r="G3958" s="4" t="str">
        <x:v>Cancelled</x:v>
      </x:c>
    </x:row>
    <x:row r="3959" ht="34" customHeight="1">
      <x:c r="A3959" s="4" t="str">
        <x:v>RS-03958-E1</x:v>
      </x:c>
      <x:c r="B3959" s="4" t="str">
        <x:v>RS-03958</x:v>
      </x:c>
      <x:c r="C3959" s="8" t="n">
        <x:v>45514</x:v>
      </x:c>
      <x:c r="D3959" s="4" t="str">
        <x:v>Sales operations manager</x:v>
      </x:c>
      <x:c r="E3959" s="4" t="str">
        <x:v>Paper transcribed</x:v>
      </x:c>
      <x:c r="F3959" s="4" t="str">
        <x:v>Record captured</x:v>
      </x:c>
      <x:c r="G3959" s="4" t="str">
        <x:v>Booked</x:v>
      </x:c>
    </x:row>
    <x:row r="3960" ht="34" customHeight="1">
      <x:c r="A3960" s="4" t="str">
        <x:v>RS-03959-E1</x:v>
      </x:c>
      <x:c r="B3960" s="4" t="str">
        <x:v>RS-03959</x:v>
      </x:c>
      <x:c r="C3960" s="8" t="n">
        <x:v>45515</x:v>
      </x:c>
      <x:c r="D3960" s="4" t="str">
        <x:v>Sales operations manager</x:v>
      </x:c>
      <x:c r="E3960" s="4" t="str">
        <x:v>ERP form</x:v>
      </x:c>
      <x:c r="F3960" s="4" t="str">
        <x:v>Record captured</x:v>
      </x:c>
      <x:c r="G3960" s="4" t="str">
        <x:v>Enquiry</x:v>
      </x:c>
    </x:row>
    <x:row r="3961" ht="34" customHeight="1">
      <x:c r="A3961" s="4" t="str">
        <x:v>RS-03960-E1</x:v>
      </x:c>
      <x:c r="B3961" s="4" t="str">
        <x:v>RS-03960</x:v>
      </x:c>
      <x:c r="C3961" s="8" t="n">
        <x:v>45516</x:v>
      </x:c>
      <x:c r="D3961" s="4" t="str">
        <x:v>Sales operations manager</x:v>
      </x:c>
      <x:c r="E3961" s="4" t="str">
        <x:v>ERP form</x:v>
      </x:c>
      <x:c r="F3961" s="4" t="str">
        <x:v>Record captured</x:v>
      </x:c>
      <x:c r="G3961" s="4" t="str">
        <x:v>Cancelled</x:v>
      </x:c>
    </x:row>
    <x:row r="3962" ht="34" customHeight="1">
      <x:c r="A3962" s="4" t="str">
        <x:v>RS-03961-E1</x:v>
      </x:c>
      <x:c r="B3962" s="4" t="str">
        <x:v>RS-03961</x:v>
      </x:c>
      <x:c r="C3962" s="8" t="n">
        <x:v>45517</x:v>
      </x:c>
      <x:c r="D3962" s="4" t="str">
        <x:v>Sales operations manager</x:v>
      </x:c>
      <x:c r="E3962" s="4" t="str">
        <x:v>ERP form</x:v>
      </x:c>
      <x:c r="F3962" s="4" t="str">
        <x:v>Record captured</x:v>
      </x:c>
      <x:c r="G3962" s="4" t="str">
        <x:v>Enquiry</x:v>
      </x:c>
    </x:row>
    <x:row r="3963" ht="34" customHeight="1">
      <x:c r="A3963" s="4" t="str">
        <x:v>RS-03962-E1</x:v>
      </x:c>
      <x:c r="B3963" s="4" t="str">
        <x:v>RS-03962</x:v>
      </x:c>
      <x:c r="C3963" s="8" t="n">
        <x:v>45518</x:v>
      </x:c>
      <x:c r="D3963" s="4" t="str">
        <x:v>Sales operations manager</x:v>
      </x:c>
      <x:c r="E3963" s="4" t="str">
        <x:v>WhatsApp transcribed</x:v>
      </x:c>
      <x:c r="F3963" s="4" t="str">
        <x:v>Record captured</x:v>
      </x:c>
      <x:c r="G3963" s="4" t="str">
        <x:v>Reserved</x:v>
      </x:c>
    </x:row>
    <x:row r="3964" ht="34" customHeight="1">
      <x:c r="A3964" s="4" t="str">
        <x:v>RS-03963-E1</x:v>
      </x:c>
      <x:c r="B3964" s="4" t="str">
        <x:v>RS-03963</x:v>
      </x:c>
      <x:c r="C3964" s="8" t="n">
        <x:v>45519</x:v>
      </x:c>
      <x:c r="D3964" s="4" t="str">
        <x:v>Sales operations manager</x:v>
      </x:c>
      <x:c r="E3964" s="4" t="str">
        <x:v>ERP form</x:v>
      </x:c>
      <x:c r="F3964" s="4" t="str">
        <x:v>Record captured</x:v>
      </x:c>
      <x:c r="G3964" s="4" t="str">
        <x:v>Agreement signed</x:v>
      </x:c>
    </x:row>
    <x:row r="3965" ht="34" customHeight="1">
      <x:c r="A3965" s="4" t="str">
        <x:v>RS-03964-E1</x:v>
      </x:c>
      <x:c r="B3965" s="4" t="str">
        <x:v>RS-03964</x:v>
      </x:c>
      <x:c r="C3965" s="8" t="n">
        <x:v>45520</x:v>
      </x:c>
      <x:c r="D3965" s="4" t="str">
        <x:v>Sales operations manager</x:v>
      </x:c>
      <x:c r="E3965" s="4" t="str">
        <x:v>Spreadsheet import</x:v>
      </x:c>
      <x:c r="F3965" s="4" t="str">
        <x:v>Record captured</x:v>
      </x:c>
      <x:c r="G3965" s="4" t="str">
        <x:v>Reserved</x:v>
      </x:c>
    </x:row>
    <x:row r="3966" ht="34" customHeight="1">
      <x:c r="A3966" s="4" t="str">
        <x:v>RS-03965-E1</x:v>
      </x:c>
      <x:c r="B3966" s="4" t="str">
        <x:v>RS-03965</x:v>
      </x:c>
      <x:c r="C3966" s="8" t="n">
        <x:v>45521</x:v>
      </x:c>
      <x:c r="D3966" s="4" t="str">
        <x:v>Sales operations manager</x:v>
      </x:c>
      <x:c r="E3966" s="4" t="str">
        <x:v>WhatsApp transcribed</x:v>
      </x:c>
      <x:c r="F3966" s="4" t="str">
        <x:v>Record captured</x:v>
      </x:c>
      <x:c r="G3966" s="4" t="str">
        <x:v>Enquiry</x:v>
      </x:c>
    </x:row>
    <x:row r="3967" ht="34" customHeight="1">
      <x:c r="A3967" s="4" t="str">
        <x:v>RS-03966-E1</x:v>
      </x:c>
      <x:c r="B3967" s="4" t="str">
        <x:v>RS-03966</x:v>
      </x:c>
      <x:c r="C3967" s="8" t="n">
        <x:v>45522</x:v>
      </x:c>
      <x:c r="D3967" s="4" t="str">
        <x:v>Sales operations manager</x:v>
      </x:c>
      <x:c r="E3967" s="4" t="str">
        <x:v>Paper transcribed</x:v>
      </x:c>
      <x:c r="F3967" s="4" t="str">
        <x:v>Record captured</x:v>
      </x:c>
      <x:c r="G3967" s="4" t="str">
        <x:v>Cancelled</x:v>
      </x:c>
    </x:row>
    <x:row r="3968" ht="34" customHeight="1">
      <x:c r="A3968" s="4" t="str">
        <x:v>RS-03967-E1</x:v>
      </x:c>
      <x:c r="B3968" s="4" t="str">
        <x:v>RS-03967</x:v>
      </x:c>
      <x:c r="C3968" s="8" t="n">
        <x:v>45523</x:v>
      </x:c>
      <x:c r="D3968" s="4" t="str">
        <x:v>Sales operations manager</x:v>
      </x:c>
      <x:c r="E3968" s="4" t="str">
        <x:v>Paper transcribed</x:v>
      </x:c>
      <x:c r="F3968" s="4" t="str">
        <x:v>Record captured</x:v>
      </x:c>
      <x:c r="G3968" s="4" t="str">
        <x:v>Booked</x:v>
      </x:c>
    </x:row>
    <x:row r="3969" ht="34" customHeight="1">
      <x:c r="A3969" s="4" t="str">
        <x:v>RS-03968-E1</x:v>
      </x:c>
      <x:c r="B3969" s="4" t="str">
        <x:v>RS-03968</x:v>
      </x:c>
      <x:c r="C3969" s="8" t="n">
        <x:v>45524</x:v>
      </x:c>
      <x:c r="D3969" s="4" t="str">
        <x:v>Sales operations manager</x:v>
      </x:c>
      <x:c r="E3969" s="4" t="str">
        <x:v>WhatsApp transcribed</x:v>
      </x:c>
      <x:c r="F3969" s="4" t="str">
        <x:v>Record captured</x:v>
      </x:c>
      <x:c r="G3969" s="4" t="str">
        <x:v>Handed over</x:v>
      </x:c>
    </x:row>
    <x:row r="3970" ht="34" customHeight="1">
      <x:c r="A3970" s="4" t="str">
        <x:v>RS-03969-E1</x:v>
      </x:c>
      <x:c r="B3970" s="4" t="str">
        <x:v>RS-03969</x:v>
      </x:c>
      <x:c r="C3970" s="8" t="n">
        <x:v>45525</x:v>
      </x:c>
      <x:c r="D3970" s="4" t="str">
        <x:v>Sales operations manager</x:v>
      </x:c>
      <x:c r="E3970" s="4" t="str">
        <x:v>Spreadsheet import</x:v>
      </x:c>
      <x:c r="F3970" s="4" t="str">
        <x:v>Record captured</x:v>
      </x:c>
      <x:c r="G3970" s="4" t="str">
        <x:v>Agreement signed</x:v>
      </x:c>
    </x:row>
    <x:row r="3971" ht="34" customHeight="1">
      <x:c r="A3971" s="4" t="str">
        <x:v>RS-03970-E1</x:v>
      </x:c>
      <x:c r="B3971" s="4" t="str">
        <x:v>RS-03970</x:v>
      </x:c>
      <x:c r="C3971" s="8" t="n">
        <x:v>45526</x:v>
      </x:c>
      <x:c r="D3971" s="4" t="str">
        <x:v>Sales operations manager</x:v>
      </x:c>
      <x:c r="E3971" s="4" t="str">
        <x:v>ERP form</x:v>
      </x:c>
      <x:c r="F3971" s="4" t="str">
        <x:v>Record captured</x:v>
      </x:c>
      <x:c r="G3971" s="4" t="str">
        <x:v>Cancelled</x:v>
      </x:c>
    </x:row>
    <x:row r="3972" ht="34" customHeight="1">
      <x:c r="A3972" s="4" t="str">
        <x:v>RS-03971-E1</x:v>
      </x:c>
      <x:c r="B3972" s="4" t="str">
        <x:v>RS-03971</x:v>
      </x:c>
      <x:c r="C3972" s="8" t="n">
        <x:v>45527</x:v>
      </x:c>
      <x:c r="D3972" s="4" t="str">
        <x:v>Sales operations manager</x:v>
      </x:c>
      <x:c r="E3972" s="4" t="str">
        <x:v>Spreadsheet import</x:v>
      </x:c>
      <x:c r="F3972" s="4" t="str">
        <x:v>Record captured</x:v>
      </x:c>
      <x:c r="G3972" s="4" t="str">
        <x:v>Booked</x:v>
      </x:c>
    </x:row>
    <x:row r="3973" ht="34" customHeight="1">
      <x:c r="A3973" s="4" t="str">
        <x:v>RS-03972-E1</x:v>
      </x:c>
      <x:c r="B3973" s="4" t="str">
        <x:v>RS-03972</x:v>
      </x:c>
      <x:c r="C3973" s="8" t="n">
        <x:v>45528</x:v>
      </x:c>
      <x:c r="D3973" s="4" t="str">
        <x:v>Sales operations manager</x:v>
      </x:c>
      <x:c r="E3973" s="4" t="str">
        <x:v>ERP form</x:v>
      </x:c>
      <x:c r="F3973" s="4" t="str">
        <x:v>Record captured</x:v>
      </x:c>
      <x:c r="G3973" s="4" t="str">
        <x:v>Agreement signed</x:v>
      </x:c>
    </x:row>
    <x:row r="3974" ht="34" customHeight="1">
      <x:c r="A3974" s="4" t="str">
        <x:v>RS-03973-E1</x:v>
      </x:c>
      <x:c r="B3974" s="4" t="str">
        <x:v>RS-03973</x:v>
      </x:c>
      <x:c r="C3974" s="8" t="n">
        <x:v>45529</x:v>
      </x:c>
      <x:c r="D3974" s="4" t="str">
        <x:v>Sales operations manager</x:v>
      </x:c>
      <x:c r="E3974" s="4" t="str">
        <x:v>Spreadsheet import</x:v>
      </x:c>
      <x:c r="F3974" s="4" t="str">
        <x:v>Record captured</x:v>
      </x:c>
      <x:c r="G3974" s="4" t="str">
        <x:v>Handed over</x:v>
      </x:c>
    </x:row>
    <x:row r="3975" ht="34" customHeight="1">
      <x:c r="A3975" s="4" t="str">
        <x:v>RS-03974-E1</x:v>
      </x:c>
      <x:c r="B3975" s="4" t="str">
        <x:v>RS-03974</x:v>
      </x:c>
      <x:c r="C3975" s="8" t="n">
        <x:v>45530</x:v>
      </x:c>
      <x:c r="D3975" s="4" t="str">
        <x:v>Sales operations manager</x:v>
      </x:c>
      <x:c r="E3975" s="4" t="str">
        <x:v>WhatsApp transcribed</x:v>
      </x:c>
      <x:c r="F3975" s="4" t="str">
        <x:v>Record captured</x:v>
      </x:c>
      <x:c r="G3975" s="4" t="str">
        <x:v>Cancelled</x:v>
      </x:c>
    </x:row>
    <x:row r="3976" ht="34" customHeight="1">
      <x:c r="A3976" s="4" t="str">
        <x:v>RS-03975-E1</x:v>
      </x:c>
      <x:c r="B3976" s="4" t="str">
        <x:v>RS-03975</x:v>
      </x:c>
      <x:c r="C3976" s="8" t="n">
        <x:v>45531</x:v>
      </x:c>
      <x:c r="D3976" s="4" t="str">
        <x:v>Sales operations manager</x:v>
      </x:c>
      <x:c r="E3976" s="4" t="str">
        <x:v>Spreadsheet import</x:v>
      </x:c>
      <x:c r="F3976" s="4" t="str">
        <x:v>Record captured</x:v>
      </x:c>
      <x:c r="G3976" s="4" t="str">
        <x:v>Enquiry</x:v>
      </x:c>
    </x:row>
    <x:row r="3977" ht="34" customHeight="1">
      <x:c r="A3977" s="4" t="str">
        <x:v>RS-03976-E1</x:v>
      </x:c>
      <x:c r="B3977" s="4" t="str">
        <x:v>RS-03976</x:v>
      </x:c>
      <x:c r="C3977" s="8" t="n">
        <x:v>45532</x:v>
      </x:c>
      <x:c r="D3977" s="4" t="str">
        <x:v>Sales operations manager</x:v>
      </x:c>
      <x:c r="E3977" s="4" t="str">
        <x:v>ERP form</x:v>
      </x:c>
      <x:c r="F3977" s="4" t="str">
        <x:v>Record captured</x:v>
      </x:c>
      <x:c r="G3977" s="4" t="str">
        <x:v>Cancelled</x:v>
      </x:c>
    </x:row>
    <x:row r="3978" ht="34" customHeight="1">
      <x:c r="A3978" s="4" t="str">
        <x:v>RS-03977-E1</x:v>
      </x:c>
      <x:c r="B3978" s="4" t="str">
        <x:v>RS-03977</x:v>
      </x:c>
      <x:c r="C3978" s="8" t="n">
        <x:v>45505</x:v>
      </x:c>
      <x:c r="D3978" s="4" t="str">
        <x:v>Sales operations manager</x:v>
      </x:c>
      <x:c r="E3978" s="4" t="str">
        <x:v>Spreadsheet import</x:v>
      </x:c>
      <x:c r="F3978" s="4" t="str">
        <x:v>Record captured</x:v>
      </x:c>
      <x:c r="G3978" s="4" t="str">
        <x:v>Cancelled</x:v>
      </x:c>
    </x:row>
    <x:row r="3979" ht="34" customHeight="1">
      <x:c r="A3979" s="4" t="str">
        <x:v>RS-03978-E1</x:v>
      </x:c>
      <x:c r="B3979" s="4" t="str">
        <x:v>RS-03978</x:v>
      </x:c>
      <x:c r="C3979" s="8" t="n">
        <x:v>45506</x:v>
      </x:c>
      <x:c r="D3979" s="4" t="str">
        <x:v>Sales operations manager</x:v>
      </x:c>
      <x:c r="E3979" s="4" t="str">
        <x:v>ERP form</x:v>
      </x:c>
      <x:c r="F3979" s="4" t="str">
        <x:v>Record captured</x:v>
      </x:c>
      <x:c r="G3979" s="4" t="str">
        <x:v>Reserved</x:v>
      </x:c>
    </x:row>
    <x:row r="3980" ht="34" customHeight="1">
      <x:c r="A3980" s="4" t="str">
        <x:v>RS-03979-E1</x:v>
      </x:c>
      <x:c r="B3980" s="4" t="str">
        <x:v>RS-03979</x:v>
      </x:c>
      <x:c r="C3980" s="8" t="n">
        <x:v>45507</x:v>
      </x:c>
      <x:c r="D3980" s="4" t="str">
        <x:v>Sales operations manager</x:v>
      </x:c>
      <x:c r="E3980" s="4" t="str">
        <x:v>ERP form</x:v>
      </x:c>
      <x:c r="F3980" s="4" t="str">
        <x:v>Record captured</x:v>
      </x:c>
      <x:c r="G3980" s="4" t="str">
        <x:v>Handed over</x:v>
      </x:c>
    </x:row>
    <x:row r="3981" ht="34" customHeight="1">
      <x:c r="A3981" s="4" t="str">
        <x:v>RS-03980-E1</x:v>
      </x:c>
      <x:c r="B3981" s="4" t="str">
        <x:v>RS-03980</x:v>
      </x:c>
      <x:c r="C3981" s="8" t="n">
        <x:v>45508</x:v>
      </x:c>
      <x:c r="D3981" s="4" t="str">
        <x:v>Sales operations manager</x:v>
      </x:c>
      <x:c r="E3981" s="4" t="str">
        <x:v>ERP form</x:v>
      </x:c>
      <x:c r="F3981" s="4" t="str">
        <x:v>Record captured</x:v>
      </x:c>
      <x:c r="G3981" s="4" t="str">
        <x:v>Enquiry</x:v>
      </x:c>
    </x:row>
    <x:row r="3982" ht="34" customHeight="1">
      <x:c r="A3982" s="4" t="str">
        <x:v>RS-03981-E1</x:v>
      </x:c>
      <x:c r="B3982" s="4" t="str">
        <x:v>RS-03981</x:v>
      </x:c>
      <x:c r="C3982" s="8" t="n">
        <x:v>45509</x:v>
      </x:c>
      <x:c r="D3982" s="4" t="str">
        <x:v>Sales operations manager</x:v>
      </x:c>
      <x:c r="E3982" s="4" t="str">
        <x:v>ERP form</x:v>
      </x:c>
      <x:c r="F3982" s="4" t="str">
        <x:v>Record captured</x:v>
      </x:c>
      <x:c r="G3982" s="4" t="str">
        <x:v>Agreement signed</x:v>
      </x:c>
    </x:row>
    <x:row r="3983" ht="34" customHeight="1">
      <x:c r="A3983" s="4" t="str">
        <x:v>RS-03982-E1</x:v>
      </x:c>
      <x:c r="B3983" s="4" t="str">
        <x:v>RS-03982</x:v>
      </x:c>
      <x:c r="C3983" s="8" t="n">
        <x:v>45510</x:v>
      </x:c>
      <x:c r="D3983" s="4" t="str">
        <x:v>Sales operations manager</x:v>
      </x:c>
      <x:c r="E3983" s="4" t="str">
        <x:v>Paper transcribed</x:v>
      </x:c>
      <x:c r="F3983" s="4" t="str">
        <x:v>Record captured</x:v>
      </x:c>
      <x:c r="G3983" s="4" t="str">
        <x:v>Enquiry</x:v>
      </x:c>
    </x:row>
    <x:row r="3984" ht="34" customHeight="1">
      <x:c r="A3984" s="4" t="str">
        <x:v>RS-03983-E1</x:v>
      </x:c>
      <x:c r="B3984" s="4" t="str">
        <x:v>RS-03983</x:v>
      </x:c>
      <x:c r="C3984" s="8" t="n">
        <x:v>45511</x:v>
      </x:c>
      <x:c r="D3984" s="4" t="str">
        <x:v>Sales operations manager</x:v>
      </x:c>
      <x:c r="E3984" s="4" t="str">
        <x:v>WhatsApp transcribed</x:v>
      </x:c>
      <x:c r="F3984" s="4" t="str">
        <x:v>Record captured</x:v>
      </x:c>
      <x:c r="G3984" s="4" t="str">
        <x:v>Handed over</x:v>
      </x:c>
    </x:row>
    <x:row r="3985" ht="34" customHeight="1">
      <x:c r="A3985" s="4" t="str">
        <x:v>RS-03984-E1</x:v>
      </x:c>
      <x:c r="B3985" s="4" t="str">
        <x:v>RS-03984</x:v>
      </x:c>
      <x:c r="C3985" s="8" t="n">
        <x:v>45512</x:v>
      </x:c>
      <x:c r="D3985" s="4" t="str">
        <x:v>Sales operations manager</x:v>
      </x:c>
      <x:c r="E3985" s="4" t="str">
        <x:v>Spreadsheet import</x:v>
      </x:c>
      <x:c r="F3985" s="4" t="str">
        <x:v>Record captured</x:v>
      </x:c>
      <x:c r="G3985" s="4" t="str">
        <x:v>Cancelled</x:v>
      </x:c>
    </x:row>
    <x:row r="3986" ht="34" customHeight="1">
      <x:c r="A3986" s="4" t="str">
        <x:v>RS-03985-E1</x:v>
      </x:c>
      <x:c r="B3986" s="4" t="str">
        <x:v>RS-03985</x:v>
      </x:c>
      <x:c r="C3986" s="8" t="n">
        <x:v>45513</x:v>
      </x:c>
      <x:c r="D3986" s="4" t="str">
        <x:v>Sales operations manager</x:v>
      </x:c>
      <x:c r="E3986" s="4" t="str">
        <x:v>Spreadsheet import</x:v>
      </x:c>
      <x:c r="F3986" s="4" t="str">
        <x:v>Record captured</x:v>
      </x:c>
      <x:c r="G3986" s="4" t="str">
        <x:v>Booked</x:v>
      </x:c>
    </x:row>
    <x:row r="3987" ht="34" customHeight="1">
      <x:c r="A3987" s="4" t="str">
        <x:v>RS-03986-E1</x:v>
      </x:c>
      <x:c r="B3987" s="4" t="str">
        <x:v>RS-03986</x:v>
      </x:c>
      <x:c r="C3987" s="8" t="n">
        <x:v>45514</x:v>
      </x:c>
      <x:c r="D3987" s="4" t="str">
        <x:v>Sales operations manager</x:v>
      </x:c>
      <x:c r="E3987" s="4" t="str">
        <x:v>ERP form</x:v>
      </x:c>
      <x:c r="F3987" s="4" t="str">
        <x:v>Record captured</x:v>
      </x:c>
      <x:c r="G3987" s="4" t="str">
        <x:v>Cancelled</x:v>
      </x:c>
    </x:row>
    <x:row r="3988" ht="34" customHeight="1">
      <x:c r="A3988" s="4" t="str">
        <x:v>RS-03987-E1</x:v>
      </x:c>
      <x:c r="B3988" s="4" t="str">
        <x:v>RS-03987</x:v>
      </x:c>
      <x:c r="C3988" s="8" t="n">
        <x:v>45515</x:v>
      </x:c>
      <x:c r="D3988" s="4" t="str">
        <x:v>Sales operations manager</x:v>
      </x:c>
      <x:c r="E3988" s="4" t="str">
        <x:v>Spreadsheet import</x:v>
      </x:c>
      <x:c r="F3988" s="4" t="str">
        <x:v>Record captured</x:v>
      </x:c>
      <x:c r="G3988" s="4" t="str">
        <x:v>Booked</x:v>
      </x:c>
    </x:row>
    <x:row r="3989" ht="34" customHeight="1">
      <x:c r="A3989" s="4" t="str">
        <x:v>RS-03988-E1</x:v>
      </x:c>
      <x:c r="B3989" s="4" t="str">
        <x:v>RS-03988</x:v>
      </x:c>
      <x:c r="C3989" s="8" t="n">
        <x:v>45516</x:v>
      </x:c>
      <x:c r="D3989" s="4" t="str">
        <x:v>Sales operations manager</x:v>
      </x:c>
      <x:c r="E3989" s="4" t="str">
        <x:v>ERP form</x:v>
      </x:c>
      <x:c r="F3989" s="4" t="str">
        <x:v>Record captured</x:v>
      </x:c>
      <x:c r="G3989" s="4" t="str">
        <x:v>Cancelled</x:v>
      </x:c>
    </x:row>
    <x:row r="3990" ht="34" customHeight="1">
      <x:c r="A3990" s="4" t="str">
        <x:v>RS-03989-E1</x:v>
      </x:c>
      <x:c r="B3990" s="4" t="str">
        <x:v>RS-03989</x:v>
      </x:c>
      <x:c r="C3990" s="8" t="n">
        <x:v>45517</x:v>
      </x:c>
      <x:c r="D3990" s="4" t="str">
        <x:v>Sales operations manager</x:v>
      </x:c>
      <x:c r="E3990" s="4" t="str">
        <x:v>Spreadsheet import</x:v>
      </x:c>
      <x:c r="F3990" s="4" t="str">
        <x:v>Record captured</x:v>
      </x:c>
      <x:c r="G3990" s="4" t="str">
        <x:v>Handed over</x:v>
      </x:c>
    </x:row>
    <x:row r="3991" ht="34" customHeight="1">
      <x:c r="A3991" s="4" t="str">
        <x:v>RS-03990-E1</x:v>
      </x:c>
      <x:c r="B3991" s="4" t="str">
        <x:v>RS-03990</x:v>
      </x:c>
      <x:c r="C3991" s="8" t="n">
        <x:v>45518</x:v>
      </x:c>
      <x:c r="D3991" s="4" t="str">
        <x:v>Sales operations manager</x:v>
      </x:c>
      <x:c r="E3991" s="4" t="str">
        <x:v>WhatsApp transcribed</x:v>
      </x:c>
      <x:c r="F3991" s="4" t="str">
        <x:v>Record captured</x:v>
      </x:c>
      <x:c r="G3991" s="4" t="str">
        <x:v>Cancelled</x:v>
      </x:c>
    </x:row>
    <x:row r="3992" ht="34" customHeight="1">
      <x:c r="A3992" s="4" t="str">
        <x:v>RS-03991-E1</x:v>
      </x:c>
      <x:c r="B3992" s="4" t="str">
        <x:v>RS-03991</x:v>
      </x:c>
      <x:c r="C3992" s="8" t="n">
        <x:v>45519</x:v>
      </x:c>
      <x:c r="D3992" s="4" t="str">
        <x:v>Sales operations manager</x:v>
      </x:c>
      <x:c r="E3992" s="4" t="str">
        <x:v>Paper transcribed</x:v>
      </x:c>
      <x:c r="F3992" s="4" t="str">
        <x:v>Record captured</x:v>
      </x:c>
      <x:c r="G3992" s="4" t="str">
        <x:v>Agreement signed</x:v>
      </x:c>
    </x:row>
    <x:row r="3993" ht="34" customHeight="1">
      <x:c r="A3993" s="4" t="str">
        <x:v>RS-03992-E1</x:v>
      </x:c>
      <x:c r="B3993" s="4" t="str">
        <x:v>RS-03992</x:v>
      </x:c>
      <x:c r="C3993" s="8" t="n">
        <x:v>45520</x:v>
      </x:c>
      <x:c r="D3993" s="4" t="str">
        <x:v>Sales operations manager</x:v>
      </x:c>
      <x:c r="E3993" s="4" t="str">
        <x:v>Paper transcribed</x:v>
      </x:c>
      <x:c r="F3993" s="4" t="str">
        <x:v>Record captured</x:v>
      </x:c>
      <x:c r="G3993" s="4" t="str">
        <x:v>Enquiry</x:v>
      </x:c>
    </x:row>
    <x:row r="3994" ht="34" customHeight="1">
      <x:c r="A3994" s="4" t="str">
        <x:v>RS-03993-E1</x:v>
      </x:c>
      <x:c r="B3994" s="4" t="str">
        <x:v>RS-03993</x:v>
      </x:c>
      <x:c r="C3994" s="8" t="n">
        <x:v>45521</x:v>
      </x:c>
      <x:c r="D3994" s="4" t="str">
        <x:v>Sales operations manager</x:v>
      </x:c>
      <x:c r="E3994" s="4" t="str">
        <x:v>Paper transcribed</x:v>
      </x:c>
      <x:c r="F3994" s="4" t="str">
        <x:v>Record captured</x:v>
      </x:c>
      <x:c r="G3994" s="4" t="str">
        <x:v>Cancelled</x:v>
      </x:c>
    </x:row>
    <x:row r="3995" ht="34" customHeight="1">
      <x:c r="A3995" s="4" t="str">
        <x:v>RS-03994-E1</x:v>
      </x:c>
      <x:c r="B3995" s="4" t="str">
        <x:v>RS-03994</x:v>
      </x:c>
      <x:c r="C3995" s="8" t="n">
        <x:v>45522</x:v>
      </x:c>
      <x:c r="D3995" s="4" t="str">
        <x:v>Sales operations manager</x:v>
      </x:c>
      <x:c r="E3995" s="4" t="str">
        <x:v>ERP form</x:v>
      </x:c>
      <x:c r="F3995" s="4" t="str">
        <x:v>Record captured</x:v>
      </x:c>
      <x:c r="G3995" s="4" t="str">
        <x:v>Enquiry</x:v>
      </x:c>
    </x:row>
    <x:row r="3996" ht="34" customHeight="1">
      <x:c r="A3996" s="4" t="str">
        <x:v>RS-03995-E1</x:v>
      </x:c>
      <x:c r="B3996" s="4" t="str">
        <x:v>RS-03995</x:v>
      </x:c>
      <x:c r="C3996" s="8" t="n">
        <x:v>45523</x:v>
      </x:c>
      <x:c r="D3996" s="4" t="str">
        <x:v>Sales operations manager</x:v>
      </x:c>
      <x:c r="E3996" s="4" t="str">
        <x:v>Spreadsheet import</x:v>
      </x:c>
      <x:c r="F3996" s="4" t="str">
        <x:v>Record captured</x:v>
      </x:c>
      <x:c r="G3996" s="4" t="str">
        <x:v>Agreement signed</x:v>
      </x:c>
    </x:row>
    <x:row r="3997" ht="34" customHeight="1">
      <x:c r="A3997" s="4" t="str">
        <x:v>RS-03996-E1</x:v>
      </x:c>
      <x:c r="B3997" s="4" t="str">
        <x:v>RS-03996</x:v>
      </x:c>
      <x:c r="C3997" s="8" t="n">
        <x:v>45524</x:v>
      </x:c>
      <x:c r="D3997" s="4" t="str">
        <x:v>Sales operations manager</x:v>
      </x:c>
      <x:c r="E3997" s="4" t="str">
        <x:v>Spreadsheet import</x:v>
      </x:c>
      <x:c r="F3997" s="4" t="str">
        <x:v>Record captured</x:v>
      </x:c>
      <x:c r="G3997" s="4" t="str">
        <x:v>Enquiry</x:v>
      </x:c>
    </x:row>
    <x:row r="3998" ht="34" customHeight="1">
      <x:c r="A3998" s="4" t="str">
        <x:v>RS-03997-E1</x:v>
      </x:c>
      <x:c r="B3998" s="4" t="str">
        <x:v>RS-03997</x:v>
      </x:c>
      <x:c r="C3998" s="8" t="n">
        <x:v>45525</x:v>
      </x:c>
      <x:c r="D3998" s="4" t="str">
        <x:v>Sales operations manager</x:v>
      </x:c>
      <x:c r="E3998" s="4" t="str">
        <x:v>Paper transcribed</x:v>
      </x:c>
      <x:c r="F3998" s="4" t="str">
        <x:v>Record captured</x:v>
      </x:c>
      <x:c r="G3998" s="4" t="str">
        <x:v>Agreement signed</x:v>
      </x:c>
    </x:row>
    <x:row r="3999" ht="34" customHeight="1">
      <x:c r="A3999" s="4" t="str">
        <x:v>RS-03998-E1</x:v>
      </x:c>
      <x:c r="B3999" s="4" t="str">
        <x:v>RS-03998</x:v>
      </x:c>
      <x:c r="C3999" s="8" t="n">
        <x:v>45526</x:v>
      </x:c>
      <x:c r="D3999" s="4" t="str">
        <x:v>Sales operations manager</x:v>
      </x:c>
      <x:c r="E3999" s="4" t="str">
        <x:v>Paper transcribed</x:v>
      </x:c>
      <x:c r="F3999" s="4" t="str">
        <x:v>Record captured</x:v>
      </x:c>
      <x:c r="G3999" s="4" t="str">
        <x:v>Booked</x:v>
      </x:c>
    </x:row>
    <x:row r="4000" ht="34" customHeight="1">
      <x:c r="A4000" s="4" t="str">
        <x:v>RS-03999-E1</x:v>
      </x:c>
      <x:c r="B4000" s="4" t="str">
        <x:v>RS-03999</x:v>
      </x:c>
      <x:c r="C4000" s="8" t="n">
        <x:v>45527</x:v>
      </x:c>
      <x:c r="D4000" s="4" t="str">
        <x:v>Sales operations manager</x:v>
      </x:c>
      <x:c r="E4000" s="4" t="str">
        <x:v>Paper transcribed</x:v>
      </x:c>
      <x:c r="F4000" s="4" t="str">
        <x:v>Record captured</x:v>
      </x:c>
      <x:c r="G4000" s="4" t="str">
        <x:v>Enquiry</x:v>
      </x:c>
    </x:row>
    <x:row r="4001" ht="34" customHeight="1">
      <x:c r="A4001" s="4" t="str">
        <x:v>RS-04000-E1</x:v>
      </x:c>
      <x:c r="B4001" s="4" t="str">
        <x:v>RS-04000</x:v>
      </x:c>
      <x:c r="C4001" s="8" t="n">
        <x:v>45528</x:v>
      </x:c>
      <x:c r="D4001" s="4" t="str">
        <x:v>Sales operations manager</x:v>
      </x:c>
      <x:c r="E4001" s="4" t="str">
        <x:v>WhatsApp transcribed</x:v>
      </x:c>
      <x:c r="F4001" s="4" t="str">
        <x:v>Record captured</x:v>
      </x:c>
      <x:c r="G4001" s="4" t="str">
        <x:v>Reserved</x:v>
      </x:c>
    </x:row>
    <x:row r="4002" ht="34" customHeight="1">
      <x:c r="A4002" s="4" t="str">
        <x:v>RS-04001-E1</x:v>
      </x:c>
      <x:c r="B4002" s="4" t="str">
        <x:v>RS-04001</x:v>
      </x:c>
      <x:c r="C4002" s="8" t="n">
        <x:v>45560</x:v>
      </x:c>
      <x:c r="D4002" s="4" t="str">
        <x:v>Sales operations manager</x:v>
      </x:c>
      <x:c r="E4002" s="4" t="str">
        <x:v>ERP form</x:v>
      </x:c>
      <x:c r="F4002" s="4" t="str">
        <x:v>Record captured</x:v>
      </x:c>
      <x:c r="G4002" s="4" t="str">
        <x:v>Booked</x:v>
      </x:c>
    </x:row>
    <x:row r="4003" ht="34" customHeight="1">
      <x:c r="A4003" s="4" t="str">
        <x:v>RS-04002-E1</x:v>
      </x:c>
      <x:c r="B4003" s="4" t="str">
        <x:v>RS-04002</x:v>
      </x:c>
      <x:c r="C4003" s="8" t="n">
        <x:v>45561</x:v>
      </x:c>
      <x:c r="D4003" s="4" t="str">
        <x:v>Sales operations manager</x:v>
      </x:c>
      <x:c r="E4003" s="4" t="str">
        <x:v>Paper transcribed</x:v>
      </x:c>
      <x:c r="F4003" s="4" t="str">
        <x:v>Record captured</x:v>
      </x:c>
      <x:c r="G4003" s="4" t="str">
        <x:v>Cancelled</x:v>
      </x:c>
    </x:row>
    <x:row r="4004" ht="34" customHeight="1">
      <x:c r="A4004" s="4" t="str">
        <x:v>RS-04003-E1</x:v>
      </x:c>
      <x:c r="B4004" s="4" t="str">
        <x:v>RS-04003</x:v>
      </x:c>
      <x:c r="C4004" s="8" t="n">
        <x:v>45562</x:v>
      </x:c>
      <x:c r="D4004" s="4" t="str">
        <x:v>Sales operations manager</x:v>
      </x:c>
      <x:c r="E4004" s="4" t="str">
        <x:v>WhatsApp transcribed</x:v>
      </x:c>
      <x:c r="F4004" s="4" t="str">
        <x:v>Record captured</x:v>
      </x:c>
      <x:c r="G4004" s="4" t="str">
        <x:v>Reserved</x:v>
      </x:c>
    </x:row>
    <x:row r="4005" ht="34" customHeight="1">
      <x:c r="A4005" s="4" t="str">
        <x:v>RS-04004-E1</x:v>
      </x:c>
      <x:c r="B4005" s="4" t="str">
        <x:v>RS-04004</x:v>
      </x:c>
      <x:c r="C4005" s="8" t="n">
        <x:v>45563</x:v>
      </x:c>
      <x:c r="D4005" s="4" t="str">
        <x:v>Sales operations manager</x:v>
      </x:c>
      <x:c r="E4005" s="4" t="str">
        <x:v>WhatsApp transcribed</x:v>
      </x:c>
      <x:c r="F4005" s="4" t="str">
        <x:v>Record captured</x:v>
      </x:c>
      <x:c r="G4005" s="4" t="str">
        <x:v>Enquiry</x:v>
      </x:c>
    </x:row>
    <x:row r="4006" ht="34" customHeight="1">
      <x:c r="A4006" s="4" t="str">
        <x:v>RS-04005-E1</x:v>
      </x:c>
      <x:c r="B4006" s="4" t="str">
        <x:v>RS-04005</x:v>
      </x:c>
      <x:c r="C4006" s="8" t="n">
        <x:v>45536</x:v>
      </x:c>
      <x:c r="D4006" s="4" t="str">
        <x:v>Sales operations manager</x:v>
      </x:c>
      <x:c r="E4006" s="4" t="str">
        <x:v>ERP form</x:v>
      </x:c>
      <x:c r="F4006" s="4" t="str">
        <x:v>Record captured</x:v>
      </x:c>
      <x:c r="G4006" s="4" t="str">
        <x:v>Enquiry</x:v>
      </x:c>
    </x:row>
    <x:row r="4007" ht="34" customHeight="1">
      <x:c r="A4007" s="4" t="str">
        <x:v>RS-04006-E1</x:v>
      </x:c>
      <x:c r="B4007" s="4" t="str">
        <x:v>RS-04006</x:v>
      </x:c>
      <x:c r="C4007" s="8" t="n">
        <x:v>45537</x:v>
      </x:c>
      <x:c r="D4007" s="4" t="str">
        <x:v>Sales operations manager</x:v>
      </x:c>
      <x:c r="E4007" s="4" t="str">
        <x:v>Paper transcribed</x:v>
      </x:c>
      <x:c r="F4007" s="4" t="str">
        <x:v>Record captured</x:v>
      </x:c>
      <x:c r="G4007" s="4" t="str">
        <x:v>Reserved</x:v>
      </x:c>
    </x:row>
    <x:row r="4008" ht="34" customHeight="1">
      <x:c r="A4008" s="4" t="str">
        <x:v>RS-04007-E1</x:v>
      </x:c>
      <x:c r="B4008" s="4" t="str">
        <x:v>RS-04007</x:v>
      </x:c>
      <x:c r="C4008" s="8" t="n">
        <x:v>45538</x:v>
      </x:c>
      <x:c r="D4008" s="4" t="str">
        <x:v>Sales operations manager</x:v>
      </x:c>
      <x:c r="E4008" s="4" t="str">
        <x:v>Paper transcribed</x:v>
      </x:c>
      <x:c r="F4008" s="4" t="str">
        <x:v>Record captured</x:v>
      </x:c>
      <x:c r="G4008" s="4" t="str">
        <x:v>Handed over</x:v>
      </x:c>
    </x:row>
    <x:row r="4009" ht="34" customHeight="1">
      <x:c r="A4009" s="4" t="str">
        <x:v>RS-04008-E1</x:v>
      </x:c>
      <x:c r="B4009" s="4" t="str">
        <x:v>RS-04008</x:v>
      </x:c>
      <x:c r="C4009" s="8" t="n">
        <x:v>45539</x:v>
      </x:c>
      <x:c r="D4009" s="4" t="str">
        <x:v>Sales operations manager</x:v>
      </x:c>
      <x:c r="E4009" s="4" t="str">
        <x:v>WhatsApp transcribed</x:v>
      </x:c>
      <x:c r="F4009" s="4" t="str">
        <x:v>Record captured</x:v>
      </x:c>
      <x:c r="G4009" s="4" t="str">
        <x:v>Handed over</x:v>
      </x:c>
    </x:row>
    <x:row r="4010" ht="34" customHeight="1">
      <x:c r="A4010" s="4" t="str">
        <x:v>RS-04009-E1</x:v>
      </x:c>
      <x:c r="B4010" s="4" t="str">
        <x:v>RS-04009</x:v>
      </x:c>
      <x:c r="C4010" s="8" t="n">
        <x:v>45540</x:v>
      </x:c>
      <x:c r="D4010" s="4" t="str">
        <x:v>Sales operations manager</x:v>
      </x:c>
      <x:c r="E4010" s="4" t="str">
        <x:v>ERP form</x:v>
      </x:c>
      <x:c r="F4010" s="4" t="str">
        <x:v>Record captured</x:v>
      </x:c>
      <x:c r="G4010" s="4" t="str">
        <x:v>Agreement signed</x:v>
      </x:c>
    </x:row>
    <x:row r="4011" ht="34" customHeight="1">
      <x:c r="A4011" s="4" t="str">
        <x:v>RS-04010-E1</x:v>
      </x:c>
      <x:c r="B4011" s="4" t="str">
        <x:v>RS-04010</x:v>
      </x:c>
      <x:c r="C4011" s="8" t="n">
        <x:v>45541</x:v>
      </x:c>
      <x:c r="D4011" s="4" t="str">
        <x:v>Sales operations manager</x:v>
      </x:c>
      <x:c r="E4011" s="4" t="str">
        <x:v>ERP form</x:v>
      </x:c>
      <x:c r="F4011" s="4" t="str">
        <x:v>Record captured</x:v>
      </x:c>
      <x:c r="G4011" s="4" t="str">
        <x:v>Booked</x:v>
      </x:c>
    </x:row>
    <x:row r="4012" ht="34" customHeight="1">
      <x:c r="A4012" s="4" t="str">
        <x:v>RS-04011-E1</x:v>
      </x:c>
      <x:c r="B4012" s="4" t="str">
        <x:v>RS-04011</x:v>
      </x:c>
      <x:c r="C4012" s="8" t="n">
        <x:v>45542</x:v>
      </x:c>
      <x:c r="D4012" s="4" t="str">
        <x:v>Sales operations manager</x:v>
      </x:c>
      <x:c r="E4012" s="4" t="str">
        <x:v>ERP form</x:v>
      </x:c>
      <x:c r="F4012" s="4" t="str">
        <x:v>Record captured</x:v>
      </x:c>
      <x:c r="G4012" s="4" t="str">
        <x:v>Enquiry</x:v>
      </x:c>
    </x:row>
    <x:row r="4013" ht="34" customHeight="1">
      <x:c r="A4013" s="4" t="str">
        <x:v>RS-04012-E1</x:v>
      </x:c>
      <x:c r="B4013" s="4" t="str">
        <x:v>RS-04012</x:v>
      </x:c>
      <x:c r="C4013" s="8" t="n">
        <x:v>45543</x:v>
      </x:c>
      <x:c r="D4013" s="4" t="str">
        <x:v>Sales operations manager</x:v>
      </x:c>
      <x:c r="E4013" s="4" t="str">
        <x:v>ERP form</x:v>
      </x:c>
      <x:c r="F4013" s="4" t="str">
        <x:v>Record captured</x:v>
      </x:c>
      <x:c r="G4013" s="4" t="str">
        <x:v>Reserved</x:v>
      </x:c>
    </x:row>
    <x:row r="4014" ht="34" customHeight="1">
      <x:c r="A4014" s="4" t="str">
        <x:v>RS-04013-E1</x:v>
      </x:c>
      <x:c r="B4014" s="4" t="str">
        <x:v>RS-04013</x:v>
      </x:c>
      <x:c r="C4014" s="8" t="n">
        <x:v>45544</x:v>
      </x:c>
      <x:c r="D4014" s="4" t="str">
        <x:v>Sales operations manager</x:v>
      </x:c>
      <x:c r="E4014" s="4" t="str">
        <x:v>WhatsApp transcribed</x:v>
      </x:c>
      <x:c r="F4014" s="4" t="str">
        <x:v>Record captured</x:v>
      </x:c>
      <x:c r="G4014" s="4" t="str">
        <x:v>Handed over</x:v>
      </x:c>
    </x:row>
    <x:row r="4015" ht="34" customHeight="1">
      <x:c r="A4015" s="4" t="str">
        <x:v>RS-04014-E1</x:v>
      </x:c>
      <x:c r="B4015" s="4" t="str">
        <x:v>RS-04014</x:v>
      </x:c>
      <x:c r="C4015" s="8" t="n">
        <x:v>45545</x:v>
      </x:c>
      <x:c r="D4015" s="4" t="str">
        <x:v>Sales operations manager</x:v>
      </x:c>
      <x:c r="E4015" s="4" t="str">
        <x:v>Paper transcribed</x:v>
      </x:c>
      <x:c r="F4015" s="4" t="str">
        <x:v>Record captured</x:v>
      </x:c>
      <x:c r="G4015" s="4" t="str">
        <x:v>Cancelled</x:v>
      </x:c>
    </x:row>
    <x:row r="4016" ht="34" customHeight="1">
      <x:c r="A4016" s="4" t="str">
        <x:v>RS-04015-E1</x:v>
      </x:c>
      <x:c r="B4016" s="4" t="str">
        <x:v>RS-04015</x:v>
      </x:c>
      <x:c r="C4016" s="8" t="n">
        <x:v>45546</x:v>
      </x:c>
      <x:c r="D4016" s="4" t="str">
        <x:v>Sales operations manager</x:v>
      </x:c>
      <x:c r="E4016" s="4" t="str">
        <x:v>Spreadsheet import</x:v>
      </x:c>
      <x:c r="F4016" s="4" t="str">
        <x:v>Record captured</x:v>
      </x:c>
      <x:c r="G4016" s="4" t="str">
        <x:v>Booked</x:v>
      </x:c>
    </x:row>
    <x:row r="4017" ht="34" customHeight="1">
      <x:c r="A4017" s="4" t="str">
        <x:v>RS-04016-E1</x:v>
      </x:c>
      <x:c r="B4017" s="4" t="str">
        <x:v>RS-04016</x:v>
      </x:c>
      <x:c r="C4017" s="8" t="n">
        <x:v>45547</x:v>
      </x:c>
      <x:c r="D4017" s="4" t="str">
        <x:v>Sales operations manager</x:v>
      </x:c>
      <x:c r="E4017" s="4" t="str">
        <x:v>Paper transcribed</x:v>
      </x:c>
      <x:c r="F4017" s="4" t="str">
        <x:v>Record captured</x:v>
      </x:c>
      <x:c r="G4017" s="4" t="str">
        <x:v>Reserved</x:v>
      </x:c>
    </x:row>
    <x:row r="4018" ht="34" customHeight="1">
      <x:c r="A4018" s="4" t="str">
        <x:v>RS-04017-E1</x:v>
      </x:c>
      <x:c r="B4018" s="4" t="str">
        <x:v>RS-04017</x:v>
      </x:c>
      <x:c r="C4018" s="8" t="n">
        <x:v>45548</x:v>
      </x:c>
      <x:c r="D4018" s="4" t="str">
        <x:v>Sales operations manager</x:v>
      </x:c>
      <x:c r="E4018" s="4" t="str">
        <x:v>Paper transcribed</x:v>
      </x:c>
      <x:c r="F4018" s="4" t="str">
        <x:v>Record captured</x:v>
      </x:c>
      <x:c r="G4018" s="4" t="str">
        <x:v>Cancelled</x:v>
      </x:c>
    </x:row>
    <x:row r="4019" ht="34" customHeight="1">
      <x:c r="A4019" s="4" t="str">
        <x:v>RS-04018-E1</x:v>
      </x:c>
      <x:c r="B4019" s="4" t="str">
        <x:v>RS-04018</x:v>
      </x:c>
      <x:c r="C4019" s="8" t="n">
        <x:v>45549</x:v>
      </x:c>
      <x:c r="D4019" s="4" t="str">
        <x:v>Sales operations manager</x:v>
      </x:c>
      <x:c r="E4019" s="4" t="str">
        <x:v>Paper transcribed</x:v>
      </x:c>
      <x:c r="F4019" s="4" t="str">
        <x:v>Record captured</x:v>
      </x:c>
      <x:c r="G4019" s="4" t="str">
        <x:v>Booked</x:v>
      </x:c>
    </x:row>
    <x:row r="4020" ht="34" customHeight="1">
      <x:c r="A4020" s="4" t="str">
        <x:v>RS-04019-E1</x:v>
      </x:c>
      <x:c r="B4020" s="4" t="str">
        <x:v>RS-04019</x:v>
      </x:c>
      <x:c r="C4020" s="8" t="n">
        <x:v>45550</x:v>
      </x:c>
      <x:c r="D4020" s="4" t="str">
        <x:v>Sales operations manager</x:v>
      </x:c>
      <x:c r="E4020" s="4" t="str">
        <x:v>ERP form</x:v>
      </x:c>
      <x:c r="F4020" s="4" t="str">
        <x:v>Record captured</x:v>
      </x:c>
      <x:c r="G4020" s="4" t="str">
        <x:v>Enquiry</x:v>
      </x:c>
    </x:row>
    <x:row r="4021" ht="34" customHeight="1">
      <x:c r="A4021" s="4" t="str">
        <x:v>RS-04020-E1</x:v>
      </x:c>
      <x:c r="B4021" s="4" t="str">
        <x:v>RS-04020</x:v>
      </x:c>
      <x:c r="C4021" s="8" t="n">
        <x:v>45551</x:v>
      </x:c>
      <x:c r="D4021" s="4" t="str">
        <x:v>Sales operations manager</x:v>
      </x:c>
      <x:c r="E4021" s="4" t="str">
        <x:v>ERP form</x:v>
      </x:c>
      <x:c r="F4021" s="4" t="str">
        <x:v>Record captured</x:v>
      </x:c>
      <x:c r="G4021" s="4" t="str">
        <x:v>Booked</x:v>
      </x:c>
    </x:row>
    <x:row r="4022" ht="34" customHeight="1">
      <x:c r="A4022" s="4" t="str">
        <x:v>RS-04021-E1</x:v>
      </x:c>
      <x:c r="B4022" s="4" t="str">
        <x:v>RS-04021</x:v>
      </x:c>
      <x:c r="C4022" s="8" t="n">
        <x:v>45552</x:v>
      </x:c>
      <x:c r="D4022" s="4" t="str">
        <x:v>Sales operations manager</x:v>
      </x:c>
      <x:c r="E4022" s="4" t="str">
        <x:v>WhatsApp transcribed</x:v>
      </x:c>
      <x:c r="F4022" s="4" t="str">
        <x:v>Record captured</x:v>
      </x:c>
      <x:c r="G4022" s="4" t="str">
        <x:v>Handed over</x:v>
      </x:c>
    </x:row>
    <x:row r="4023" ht="34" customHeight="1">
      <x:c r="A4023" s="4" t="str">
        <x:v>RS-04022-E1</x:v>
      </x:c>
      <x:c r="B4023" s="4" t="str">
        <x:v>RS-04022</x:v>
      </x:c>
      <x:c r="C4023" s="8" t="n">
        <x:v>45553</x:v>
      </x:c>
      <x:c r="D4023" s="4" t="str">
        <x:v>Sales operations manager</x:v>
      </x:c>
      <x:c r="E4023" s="4" t="str">
        <x:v>Paper transcribed</x:v>
      </x:c>
      <x:c r="F4023" s="4" t="str">
        <x:v>Record captured</x:v>
      </x:c>
      <x:c r="G4023" s="4" t="str">
        <x:v>Handed over</x:v>
      </x:c>
    </x:row>
    <x:row r="4024" ht="34" customHeight="1">
      <x:c r="A4024" s="4" t="str">
        <x:v>RS-04023-E1</x:v>
      </x:c>
      <x:c r="B4024" s="4" t="str">
        <x:v>RS-04023</x:v>
      </x:c>
      <x:c r="C4024" s="8" t="n">
        <x:v>45554</x:v>
      </x:c>
      <x:c r="D4024" s="4" t="str">
        <x:v>Sales operations manager</x:v>
      </x:c>
      <x:c r="E4024" s="4" t="str">
        <x:v>Paper transcribed</x:v>
      </x:c>
      <x:c r="F4024" s="4" t="str">
        <x:v>Record captured</x:v>
      </x:c>
      <x:c r="G4024" s="4" t="str">
        <x:v>Reserved</x:v>
      </x:c>
    </x:row>
    <x:row r="4025" ht="34" customHeight="1">
      <x:c r="A4025" s="4" t="str">
        <x:v>RS-04024-E1</x:v>
      </x:c>
      <x:c r="B4025" s="4" t="str">
        <x:v>RS-04024</x:v>
      </x:c>
      <x:c r="C4025" s="8" t="n">
        <x:v>45555</x:v>
      </x:c>
      <x:c r="D4025" s="4" t="str">
        <x:v>Sales operations manager</x:v>
      </x:c>
      <x:c r="E4025" s="4" t="str">
        <x:v>Paper transcribed</x:v>
      </x:c>
      <x:c r="F4025" s="4" t="str">
        <x:v>Record captured</x:v>
      </x:c>
      <x:c r="G4025" s="4" t="str">
        <x:v>Cancelled</x:v>
      </x:c>
    </x:row>
    <x:row r="4026" ht="34" customHeight="1">
      <x:c r="A4026" s="4" t="str">
        <x:v>RS-04025-E1</x:v>
      </x:c>
      <x:c r="B4026" s="4" t="str">
        <x:v>RS-04025</x:v>
      </x:c>
      <x:c r="C4026" s="8" t="n">
        <x:v>45556</x:v>
      </x:c>
      <x:c r="D4026" s="4" t="str">
        <x:v>Sales operations manager</x:v>
      </x:c>
      <x:c r="E4026" s="4" t="str">
        <x:v>Spreadsheet import</x:v>
      </x:c>
      <x:c r="F4026" s="4" t="str">
        <x:v>Record captured</x:v>
      </x:c>
      <x:c r="G4026" s="4" t="str">
        <x:v>Cancelled</x:v>
      </x:c>
    </x:row>
    <x:row r="4027" ht="34" customHeight="1">
      <x:c r="A4027" s="4" t="str">
        <x:v>RS-04026-E1</x:v>
      </x:c>
      <x:c r="B4027" s="4" t="str">
        <x:v>RS-04026</x:v>
      </x:c>
      <x:c r="C4027" s="8" t="n">
        <x:v>45557</x:v>
      </x:c>
      <x:c r="D4027" s="4" t="str">
        <x:v>Sales operations manager</x:v>
      </x:c>
      <x:c r="E4027" s="4" t="str">
        <x:v>Spreadsheet import</x:v>
      </x:c>
      <x:c r="F4027" s="4" t="str">
        <x:v>Record captured</x:v>
      </x:c>
      <x:c r="G4027" s="4" t="str">
        <x:v>Booked</x:v>
      </x:c>
    </x:row>
    <x:row r="4028" ht="34" customHeight="1">
      <x:c r="A4028" s="4" t="str">
        <x:v>RS-04027-E1</x:v>
      </x:c>
      <x:c r="B4028" s="4" t="str">
        <x:v>RS-04027</x:v>
      </x:c>
      <x:c r="C4028" s="8" t="n">
        <x:v>45558</x:v>
      </x:c>
      <x:c r="D4028" s="4" t="str">
        <x:v>Sales operations manager</x:v>
      </x:c>
      <x:c r="E4028" s="4" t="str">
        <x:v>Paper transcribed</x:v>
      </x:c>
      <x:c r="F4028" s="4" t="str">
        <x:v>Record captured</x:v>
      </x:c>
      <x:c r="G4028" s="4" t="str">
        <x:v>Handed over</x:v>
      </x:c>
    </x:row>
    <x:row r="4029" ht="34" customHeight="1">
      <x:c r="A4029" s="4" t="str">
        <x:v>RS-04028-E1</x:v>
      </x:c>
      <x:c r="B4029" s="4" t="str">
        <x:v>RS-04028</x:v>
      </x:c>
      <x:c r="C4029" s="8" t="n">
        <x:v>45559</x:v>
      </x:c>
      <x:c r="D4029" s="4" t="str">
        <x:v>Sales operations manager</x:v>
      </x:c>
      <x:c r="E4029" s="4" t="str">
        <x:v>ERP form</x:v>
      </x:c>
      <x:c r="F4029" s="4" t="str">
        <x:v>Record captured</x:v>
      </x:c>
      <x:c r="G4029" s="4" t="str">
        <x:v>Enquiry</x:v>
      </x:c>
    </x:row>
    <x:row r="4030" ht="34" customHeight="1">
      <x:c r="A4030" s="4" t="str">
        <x:v>RS-04029-E1</x:v>
      </x:c>
      <x:c r="B4030" s="4" t="str">
        <x:v>RS-04029</x:v>
      </x:c>
      <x:c r="C4030" s="8" t="n">
        <x:v>45560</x:v>
      </x:c>
      <x:c r="D4030" s="4" t="str">
        <x:v>Sales operations manager</x:v>
      </x:c>
      <x:c r="E4030" s="4" t="str">
        <x:v>Paper transcribed</x:v>
      </x:c>
      <x:c r="F4030" s="4" t="str">
        <x:v>Record captured</x:v>
      </x:c>
      <x:c r="G4030" s="4" t="str">
        <x:v>Reserved</x:v>
      </x:c>
    </x:row>
    <x:row r="4031" ht="34" customHeight="1">
      <x:c r="A4031" s="4" t="str">
        <x:v>RS-04030-E1</x:v>
      </x:c>
      <x:c r="B4031" s="4" t="str">
        <x:v>RS-04030</x:v>
      </x:c>
      <x:c r="C4031" s="8" t="n">
        <x:v>45561</x:v>
      </x:c>
      <x:c r="D4031" s="4" t="str">
        <x:v>Sales operations manager</x:v>
      </x:c>
      <x:c r="E4031" s="4" t="str">
        <x:v>Paper transcribed</x:v>
      </x:c>
      <x:c r="F4031" s="4" t="str">
        <x:v>Record captured</x:v>
      </x:c>
      <x:c r="G4031" s="4" t="str">
        <x:v>Agreement signed</x:v>
      </x:c>
    </x:row>
    <x:row r="4032" ht="34" customHeight="1">
      <x:c r="A4032" s="4" t="str">
        <x:v>RS-04031-E1</x:v>
      </x:c>
      <x:c r="B4032" s="4" t="str">
        <x:v>RS-04031</x:v>
      </x:c>
      <x:c r="C4032" s="8" t="n">
        <x:v>45562</x:v>
      </x:c>
      <x:c r="D4032" s="4" t="str">
        <x:v>Sales operations manager</x:v>
      </x:c>
      <x:c r="E4032" s="4" t="str">
        <x:v>Paper transcribed</x:v>
      </x:c>
      <x:c r="F4032" s="4" t="str">
        <x:v>Record captured</x:v>
      </x:c>
      <x:c r="G4032" s="4" t="str">
        <x:v>Enquiry</x:v>
      </x:c>
    </x:row>
    <x:row r="4033" ht="34" customHeight="1">
      <x:c r="A4033" s="4" t="str">
        <x:v>RS-04032-E1</x:v>
      </x:c>
      <x:c r="B4033" s="4" t="str">
        <x:v>RS-04032</x:v>
      </x:c>
      <x:c r="C4033" s="8" t="n">
        <x:v>45563</x:v>
      </x:c>
      <x:c r="D4033" s="4" t="str">
        <x:v>Sales operations manager</x:v>
      </x:c>
      <x:c r="E4033" s="4" t="str">
        <x:v>ERP form</x:v>
      </x:c>
      <x:c r="F4033" s="4" t="str">
        <x:v>Record captured</x:v>
      </x:c>
      <x:c r="G4033" s="4" t="str">
        <x:v>Handed over</x:v>
      </x:c>
    </x:row>
    <x:row r="4034" ht="34" customHeight="1">
      <x:c r="A4034" s="4" t="str">
        <x:v>RS-04033-E1</x:v>
      </x:c>
      <x:c r="B4034" s="4" t="str">
        <x:v>RS-04033</x:v>
      </x:c>
      <x:c r="C4034" s="8" t="n">
        <x:v>45536</x:v>
      </x:c>
      <x:c r="D4034" s="4" t="str">
        <x:v>Sales operations manager</x:v>
      </x:c>
      <x:c r="E4034" s="4" t="str">
        <x:v>Spreadsheet import</x:v>
      </x:c>
      <x:c r="F4034" s="4" t="str">
        <x:v>Record captured</x:v>
      </x:c>
      <x:c r="G4034" s="4" t="str">
        <x:v>Reserved</x:v>
      </x:c>
    </x:row>
    <x:row r="4035" ht="34" customHeight="1">
      <x:c r="A4035" s="4" t="str">
        <x:v>RS-04034-E1</x:v>
      </x:c>
      <x:c r="B4035" s="4" t="str">
        <x:v>RS-04034</x:v>
      </x:c>
      <x:c r="C4035" s="8" t="n">
        <x:v>45537</x:v>
      </x:c>
      <x:c r="D4035" s="4" t="str">
        <x:v>Sales operations manager</x:v>
      </x:c>
      <x:c r="E4035" s="4" t="str">
        <x:v>ERP form</x:v>
      </x:c>
      <x:c r="F4035" s="4" t="str">
        <x:v>Record captured</x:v>
      </x:c>
      <x:c r="G4035" s="4" t="str">
        <x:v>Booked</x:v>
      </x:c>
    </x:row>
    <x:row r="4036" ht="34" customHeight="1">
      <x:c r="A4036" s="4" t="str">
        <x:v>RS-04035-E1</x:v>
      </x:c>
      <x:c r="B4036" s="4" t="str">
        <x:v>RS-04035</x:v>
      </x:c>
      <x:c r="C4036" s="8" t="n">
        <x:v>45538</x:v>
      </x:c>
      <x:c r="D4036" s="4" t="str">
        <x:v>Sales operations manager</x:v>
      </x:c>
      <x:c r="E4036" s="4" t="str">
        <x:v>Spreadsheet import</x:v>
      </x:c>
      <x:c r="F4036" s="4" t="str">
        <x:v>Record captured</x:v>
      </x:c>
      <x:c r="G4036" s="4" t="str">
        <x:v>Enquiry</x:v>
      </x:c>
    </x:row>
    <x:row r="4037" ht="34" customHeight="1">
      <x:c r="A4037" s="4" t="str">
        <x:v>RS-04036-E1</x:v>
      </x:c>
      <x:c r="B4037" s="4" t="str">
        <x:v>RS-04036</x:v>
      </x:c>
      <x:c r="C4037" s="8" t="n">
        <x:v>45539</x:v>
      </x:c>
      <x:c r="D4037" s="4" t="str">
        <x:v>Sales operations manager</x:v>
      </x:c>
      <x:c r="E4037" s="4" t="str">
        <x:v>ERP form</x:v>
      </x:c>
      <x:c r="F4037" s="4" t="str">
        <x:v>Record captured</x:v>
      </x:c>
      <x:c r="G4037" s="4" t="str">
        <x:v>Cancelled</x:v>
      </x:c>
    </x:row>
    <x:row r="4038" ht="34" customHeight="1">
      <x:c r="A4038" s="4" t="str">
        <x:v>RS-04037-E1</x:v>
      </x:c>
      <x:c r="B4038" s="4" t="str">
        <x:v>RS-04037</x:v>
      </x:c>
      <x:c r="C4038" s="8" t="n">
        <x:v>45540</x:v>
      </x:c>
      <x:c r="D4038" s="4" t="str">
        <x:v>Sales operations manager</x:v>
      </x:c>
      <x:c r="E4038" s="4" t="str">
        <x:v>WhatsApp transcribed</x:v>
      </x:c>
      <x:c r="F4038" s="4" t="str">
        <x:v>Record captured</x:v>
      </x:c>
      <x:c r="G4038" s="4" t="str">
        <x:v>Handed over</x:v>
      </x:c>
    </x:row>
    <x:row r="4039" ht="34" customHeight="1">
      <x:c r="A4039" s="4" t="str">
        <x:v>RS-04038-E1</x:v>
      </x:c>
      <x:c r="B4039" s="4" t="str">
        <x:v>RS-04038</x:v>
      </x:c>
      <x:c r="C4039" s="8" t="n">
        <x:v>45541</x:v>
      </x:c>
      <x:c r="D4039" s="4" t="str">
        <x:v>Sales operations manager</x:v>
      </x:c>
      <x:c r="E4039" s="4" t="str">
        <x:v>ERP form</x:v>
      </x:c>
      <x:c r="F4039" s="4" t="str">
        <x:v>Record captured</x:v>
      </x:c>
      <x:c r="G4039" s="4" t="str">
        <x:v>Handed over</x:v>
      </x:c>
    </x:row>
    <x:row r="4040" ht="34" customHeight="1">
      <x:c r="A4040" s="4" t="str">
        <x:v>RS-04039-E1</x:v>
      </x:c>
      <x:c r="B4040" s="4" t="str">
        <x:v>RS-04039</x:v>
      </x:c>
      <x:c r="C4040" s="8" t="n">
        <x:v>45542</x:v>
      </x:c>
      <x:c r="D4040" s="4" t="str">
        <x:v>Sales operations manager</x:v>
      </x:c>
      <x:c r="E4040" s="4" t="str">
        <x:v>WhatsApp transcribed</x:v>
      </x:c>
      <x:c r="F4040" s="4" t="str">
        <x:v>Record captured</x:v>
      </x:c>
      <x:c r="G4040" s="4" t="str">
        <x:v>Booked</x:v>
      </x:c>
    </x:row>
    <x:row r="4041" ht="34" customHeight="1">
      <x:c r="A4041" s="4" t="str">
        <x:v>RS-04040-E1</x:v>
      </x:c>
      <x:c r="B4041" s="4" t="str">
        <x:v>RS-04040</x:v>
      </x:c>
      <x:c r="C4041" s="8" t="n">
        <x:v>45543</x:v>
      </x:c>
      <x:c r="D4041" s="4" t="str">
        <x:v>Sales operations manager</x:v>
      </x:c>
      <x:c r="E4041" s="4" t="str">
        <x:v>WhatsApp transcribed</x:v>
      </x:c>
      <x:c r="F4041" s="4" t="str">
        <x:v>Record captured</x:v>
      </x:c>
      <x:c r="G4041" s="4" t="str">
        <x:v>Agreement signed</x:v>
      </x:c>
    </x:row>
    <x:row r="4042" ht="34" customHeight="1">
      <x:c r="A4042" s="4" t="str">
        <x:v>RS-04041-E1</x:v>
      </x:c>
      <x:c r="B4042" s="4" t="str">
        <x:v>RS-04041</x:v>
      </x:c>
      <x:c r="C4042" s="8" t="n">
        <x:v>45544</x:v>
      </x:c>
      <x:c r="D4042" s="4" t="str">
        <x:v>Sales operations manager</x:v>
      </x:c>
      <x:c r="E4042" s="4" t="str">
        <x:v>Paper transcribed</x:v>
      </x:c>
      <x:c r="F4042" s="4" t="str">
        <x:v>Record captured</x:v>
      </x:c>
      <x:c r="G4042" s="4" t="str">
        <x:v>Handed over</x:v>
      </x:c>
    </x:row>
    <x:row r="4043" ht="34" customHeight="1">
      <x:c r="A4043" s="4" t="str">
        <x:v>RS-04042-E1</x:v>
      </x:c>
      <x:c r="B4043" s="4" t="str">
        <x:v>RS-04042</x:v>
      </x:c>
      <x:c r="C4043" s="8" t="n">
        <x:v>45545</x:v>
      </x:c>
      <x:c r="D4043" s="4" t="str">
        <x:v>Sales operations manager</x:v>
      </x:c>
      <x:c r="E4043" s="4" t="str">
        <x:v>Spreadsheet import</x:v>
      </x:c>
      <x:c r="F4043" s="4" t="str">
        <x:v>Record captured</x:v>
      </x:c>
      <x:c r="G4043" s="4" t="str">
        <x:v>Booked</x:v>
      </x:c>
    </x:row>
    <x:row r="4044" ht="34" customHeight="1">
      <x:c r="A4044" s="4" t="str">
        <x:v>RS-04043-E1</x:v>
      </x:c>
      <x:c r="B4044" s="4" t="str">
        <x:v>RS-04043</x:v>
      </x:c>
      <x:c r="C4044" s="8" t="n">
        <x:v>45546</x:v>
      </x:c>
      <x:c r="D4044" s="4" t="str">
        <x:v>Sales operations manager</x:v>
      </x:c>
      <x:c r="E4044" s="4" t="str">
        <x:v>Paper transcribed</x:v>
      </x:c>
      <x:c r="F4044" s="4" t="str">
        <x:v>Record captured</x:v>
      </x:c>
      <x:c r="G4044" s="4" t="str">
        <x:v>Agreement signed</x:v>
      </x:c>
    </x:row>
    <x:row r="4045" ht="34" customHeight="1">
      <x:c r="A4045" s="4" t="str">
        <x:v>RS-04044-E1</x:v>
      </x:c>
      <x:c r="B4045" s="4" t="str">
        <x:v>RS-04044</x:v>
      </x:c>
      <x:c r="C4045" s="8" t="n">
        <x:v>45547</x:v>
      </x:c>
      <x:c r="D4045" s="4" t="str">
        <x:v>Sales operations manager</x:v>
      </x:c>
      <x:c r="E4045" s="4" t="str">
        <x:v>Spreadsheet import</x:v>
      </x:c>
      <x:c r="F4045" s="4" t="str">
        <x:v>Record captured</x:v>
      </x:c>
      <x:c r="G4045" s="4" t="str">
        <x:v>Agreement signed</x:v>
      </x:c>
    </x:row>
    <x:row r="4046" ht="34" customHeight="1">
      <x:c r="A4046" s="4" t="str">
        <x:v>RS-04045-E1</x:v>
      </x:c>
      <x:c r="B4046" s="4" t="str">
        <x:v>RS-04045</x:v>
      </x:c>
      <x:c r="C4046" s="8" t="n">
        <x:v>45548</x:v>
      </x:c>
      <x:c r="D4046" s="4" t="str">
        <x:v>Sales operations manager</x:v>
      </x:c>
      <x:c r="E4046" s="4" t="str">
        <x:v>WhatsApp transcribed</x:v>
      </x:c>
      <x:c r="F4046" s="4" t="str">
        <x:v>Record captured</x:v>
      </x:c>
      <x:c r="G4046" s="4" t="str">
        <x:v>Booked</x:v>
      </x:c>
    </x:row>
    <x:row r="4047" ht="34" customHeight="1">
      <x:c r="A4047" s="4" t="str">
        <x:v>RS-04046-E1</x:v>
      </x:c>
      <x:c r="B4047" s="4" t="str">
        <x:v>RS-04046</x:v>
      </x:c>
      <x:c r="C4047" s="8" t="n">
        <x:v>45549</x:v>
      </x:c>
      <x:c r="D4047" s="4" t="str">
        <x:v>Sales operations manager</x:v>
      </x:c>
      <x:c r="E4047" s="4" t="str">
        <x:v>Paper transcribed</x:v>
      </x:c>
      <x:c r="F4047" s="4" t="str">
        <x:v>Record captured</x:v>
      </x:c>
      <x:c r="G4047" s="4" t="str">
        <x:v>Reserved</x:v>
      </x:c>
    </x:row>
    <x:row r="4048" ht="34" customHeight="1">
      <x:c r="A4048" s="4" t="str">
        <x:v>RS-04047-E1</x:v>
      </x:c>
      <x:c r="B4048" s="4" t="str">
        <x:v>RS-04047</x:v>
      </x:c>
      <x:c r="C4048" s="8" t="n">
        <x:v>45550</x:v>
      </x:c>
      <x:c r="D4048" s="4" t="str">
        <x:v>Sales operations manager</x:v>
      </x:c>
      <x:c r="E4048" s="4" t="str">
        <x:v>WhatsApp transcribed</x:v>
      </x:c>
      <x:c r="F4048" s="4" t="str">
        <x:v>Record captured</x:v>
      </x:c>
      <x:c r="G4048" s="4" t="str">
        <x:v>Handed over</x:v>
      </x:c>
    </x:row>
    <x:row r="4049" ht="34" customHeight="1">
      <x:c r="A4049" s="4" t="str">
        <x:v>RS-04048-E1</x:v>
      </x:c>
      <x:c r="B4049" s="4" t="str">
        <x:v>RS-04048</x:v>
      </x:c>
      <x:c r="C4049" s="8" t="n">
        <x:v>45551</x:v>
      </x:c>
      <x:c r="D4049" s="4" t="str">
        <x:v>Sales operations manager</x:v>
      </x:c>
      <x:c r="E4049" s="4" t="str">
        <x:v>WhatsApp transcribed</x:v>
      </x:c>
      <x:c r="F4049" s="4" t="str">
        <x:v>Record captured</x:v>
      </x:c>
      <x:c r="G4049" s="4" t="str">
        <x:v>Agreement signed</x:v>
      </x:c>
    </x:row>
    <x:row r="4050" ht="34" customHeight="1">
      <x:c r="A4050" s="4" t="str">
        <x:v>RS-04049-E1</x:v>
      </x:c>
      <x:c r="B4050" s="4" t="str">
        <x:v>RS-04049</x:v>
      </x:c>
      <x:c r="C4050" s="8" t="n">
        <x:v>45552</x:v>
      </x:c>
      <x:c r="D4050" s="4" t="str">
        <x:v>Sales operations manager</x:v>
      </x:c>
      <x:c r="E4050" s="4" t="str">
        <x:v>WhatsApp transcribed</x:v>
      </x:c>
      <x:c r="F4050" s="4" t="str">
        <x:v>Record captured</x:v>
      </x:c>
      <x:c r="G4050" s="4" t="str">
        <x:v>Handed over</x:v>
      </x:c>
    </x:row>
    <x:row r="4051" ht="34" customHeight="1">
      <x:c r="A4051" s="4" t="str">
        <x:v>RS-04050-E1</x:v>
      </x:c>
      <x:c r="B4051" s="4" t="str">
        <x:v>RS-04050</x:v>
      </x:c>
      <x:c r="C4051" s="8" t="n">
        <x:v>45553</x:v>
      </x:c>
      <x:c r="D4051" s="4" t="str">
        <x:v>Sales operations manager</x:v>
      </x:c>
      <x:c r="E4051" s="4" t="str">
        <x:v>ERP form</x:v>
      </x:c>
      <x:c r="F4051" s="4" t="str">
        <x:v>Record captured</x:v>
      </x:c>
      <x:c r="G4051" s="4" t="str">
        <x:v>Agreement signed</x:v>
      </x:c>
    </x:row>
    <x:row r="4052" ht="34" customHeight="1">
      <x:c r="A4052" s="4" t="str">
        <x:v>RS-04051-E1</x:v>
      </x:c>
      <x:c r="B4052" s="4" t="str">
        <x:v>RS-04051</x:v>
      </x:c>
      <x:c r="C4052" s="8" t="n">
        <x:v>45554</x:v>
      </x:c>
      <x:c r="D4052" s="4" t="str">
        <x:v>Sales operations manager</x:v>
      </x:c>
      <x:c r="E4052" s="4" t="str">
        <x:v>Spreadsheet import</x:v>
      </x:c>
      <x:c r="F4052" s="4" t="str">
        <x:v>Record captured</x:v>
      </x:c>
      <x:c r="G4052" s="4" t="str">
        <x:v>Cancelled</x:v>
      </x:c>
    </x:row>
    <x:row r="4053" ht="34" customHeight="1">
      <x:c r="A4053" s="4" t="str">
        <x:v>RS-04052-E1</x:v>
      </x:c>
      <x:c r="B4053" s="4" t="str">
        <x:v>RS-04052</x:v>
      </x:c>
      <x:c r="C4053" s="8" t="n">
        <x:v>45555</x:v>
      </x:c>
      <x:c r="D4053" s="4" t="str">
        <x:v>Sales operations manager</x:v>
      </x:c>
      <x:c r="E4053" s="4" t="str">
        <x:v>Spreadsheet import</x:v>
      </x:c>
      <x:c r="F4053" s="4" t="str">
        <x:v>Record captured</x:v>
      </x:c>
      <x:c r="G4053" s="4" t="str">
        <x:v>Handed over</x:v>
      </x:c>
    </x:row>
    <x:row r="4054" ht="34" customHeight="1">
      <x:c r="A4054" s="4" t="str">
        <x:v>RS-04053-E1</x:v>
      </x:c>
      <x:c r="B4054" s="4" t="str">
        <x:v>RS-04053</x:v>
      </x:c>
      <x:c r="C4054" s="8" t="n">
        <x:v>45556</x:v>
      </x:c>
      <x:c r="D4054" s="4" t="str">
        <x:v>Sales operations manager</x:v>
      </x:c>
      <x:c r="E4054" s="4" t="str">
        <x:v>Paper transcribed</x:v>
      </x:c>
      <x:c r="F4054" s="4" t="str">
        <x:v>Record captured</x:v>
      </x:c>
      <x:c r="G4054" s="4" t="str">
        <x:v>Cancelled</x:v>
      </x:c>
    </x:row>
    <x:row r="4055" ht="34" customHeight="1">
      <x:c r="A4055" s="4" t="str">
        <x:v>RS-04054-E1</x:v>
      </x:c>
      <x:c r="B4055" s="4" t="str">
        <x:v>RS-04054</x:v>
      </x:c>
      <x:c r="C4055" s="8" t="n">
        <x:v>45557</x:v>
      </x:c>
      <x:c r="D4055" s="4" t="str">
        <x:v>Sales operations manager</x:v>
      </x:c>
      <x:c r="E4055" s="4" t="str">
        <x:v>ERP form</x:v>
      </x:c>
      <x:c r="F4055" s="4" t="str">
        <x:v>Record captured</x:v>
      </x:c>
      <x:c r="G4055" s="4" t="str">
        <x:v>Enquiry</x:v>
      </x:c>
    </x:row>
    <x:row r="4056" ht="34" customHeight="1">
      <x:c r="A4056" s="4" t="str">
        <x:v>RS-04055-E1</x:v>
      </x:c>
      <x:c r="B4056" s="4" t="str">
        <x:v>RS-04055</x:v>
      </x:c>
      <x:c r="C4056" s="8" t="n">
        <x:v>45558</x:v>
      </x:c>
      <x:c r="D4056" s="4" t="str">
        <x:v>Sales operations manager</x:v>
      </x:c>
      <x:c r="E4056" s="4" t="str">
        <x:v>Paper transcribed</x:v>
      </x:c>
      <x:c r="F4056" s="4" t="str">
        <x:v>Record captured</x:v>
      </x:c>
      <x:c r="G4056" s="4" t="str">
        <x:v>Cancelled</x:v>
      </x:c>
    </x:row>
    <x:row r="4057" ht="34" customHeight="1">
      <x:c r="A4057" s="4" t="str">
        <x:v>RS-04056-E1</x:v>
      </x:c>
      <x:c r="B4057" s="4" t="str">
        <x:v>RS-04056</x:v>
      </x:c>
      <x:c r="C4057" s="8" t="n">
        <x:v>45559</x:v>
      </x:c>
      <x:c r="D4057" s="4" t="str">
        <x:v>Sales operations manager</x:v>
      </x:c>
      <x:c r="E4057" s="4" t="str">
        <x:v>ERP form</x:v>
      </x:c>
      <x:c r="F4057" s="4" t="str">
        <x:v>Record captured</x:v>
      </x:c>
      <x:c r="G4057" s="4" t="str">
        <x:v>Agreement signed</x:v>
      </x:c>
    </x:row>
    <x:row r="4058" ht="34" customHeight="1">
      <x:c r="A4058" s="4" t="str">
        <x:v>RS-04057-E1</x:v>
      </x:c>
      <x:c r="B4058" s="4" t="str">
        <x:v>RS-04057</x:v>
      </x:c>
      <x:c r="C4058" s="8" t="n">
        <x:v>45560</x:v>
      </x:c>
      <x:c r="D4058" s="4" t="str">
        <x:v>Sales operations manager</x:v>
      </x:c>
      <x:c r="E4058" s="4" t="str">
        <x:v>ERP form</x:v>
      </x:c>
      <x:c r="F4058" s="4" t="str">
        <x:v>Record captured</x:v>
      </x:c>
      <x:c r="G4058" s="4" t="str">
        <x:v>Handed over</x:v>
      </x:c>
    </x:row>
    <x:row r="4059" ht="34" customHeight="1">
      <x:c r="A4059" s="4" t="str">
        <x:v>RS-04058-E1</x:v>
      </x:c>
      <x:c r="B4059" s="4" t="str">
        <x:v>RS-04058</x:v>
      </x:c>
      <x:c r="C4059" s="8" t="n">
        <x:v>45561</x:v>
      </x:c>
      <x:c r="D4059" s="4" t="str">
        <x:v>Sales operations manager</x:v>
      </x:c>
      <x:c r="E4059" s="4" t="str">
        <x:v>WhatsApp transcribed</x:v>
      </x:c>
      <x:c r="F4059" s="4" t="str">
        <x:v>Record captured</x:v>
      </x:c>
      <x:c r="G4059" s="4" t="str">
        <x:v>Cancelled</x:v>
      </x:c>
    </x:row>
    <x:row r="4060" ht="34" customHeight="1">
      <x:c r="A4060" s="4" t="str">
        <x:v>RS-04059-E1</x:v>
      </x:c>
      <x:c r="B4060" s="4" t="str">
        <x:v>RS-04059</x:v>
      </x:c>
      <x:c r="C4060" s="8" t="n">
        <x:v>45562</x:v>
      </x:c>
      <x:c r="D4060" s="4" t="str">
        <x:v>Sales operations manager</x:v>
      </x:c>
      <x:c r="E4060" s="4" t="str">
        <x:v>WhatsApp transcribed</x:v>
      </x:c>
      <x:c r="F4060" s="4" t="str">
        <x:v>Record captured</x:v>
      </x:c>
      <x:c r="G4060" s="4" t="str">
        <x:v>Reserved</x:v>
      </x:c>
    </x:row>
    <x:row r="4061" ht="34" customHeight="1">
      <x:c r="A4061" s="4" t="str">
        <x:v>RS-04060-E1</x:v>
      </x:c>
      <x:c r="B4061" s="4" t="str">
        <x:v>RS-04060</x:v>
      </x:c>
      <x:c r="C4061" s="8" t="n">
        <x:v>45563</x:v>
      </x:c>
      <x:c r="D4061" s="4" t="str">
        <x:v>Sales operations manager</x:v>
      </x:c>
      <x:c r="E4061" s="4" t="str">
        <x:v>ERP form</x:v>
      </x:c>
      <x:c r="F4061" s="4" t="str">
        <x:v>Record captured</x:v>
      </x:c>
      <x:c r="G4061" s="4" t="str">
        <x:v>Agreement signed</x:v>
      </x:c>
    </x:row>
    <x:row r="4062" ht="34" customHeight="1">
      <x:c r="A4062" s="4" t="str">
        <x:v>RS-04061-E1</x:v>
      </x:c>
      <x:c r="B4062" s="4" t="str">
        <x:v>RS-04061</x:v>
      </x:c>
      <x:c r="C4062" s="8" t="n">
        <x:v>45536</x:v>
      </x:c>
      <x:c r="D4062" s="4" t="str">
        <x:v>Sales operations manager</x:v>
      </x:c>
      <x:c r="E4062" s="4" t="str">
        <x:v>Paper transcribed</x:v>
      </x:c>
      <x:c r="F4062" s="4" t="str">
        <x:v>Record captured</x:v>
      </x:c>
      <x:c r="G4062" s="4" t="str">
        <x:v>Handed over</x:v>
      </x:c>
    </x:row>
    <x:row r="4063" ht="34" customHeight="1">
      <x:c r="A4063" s="4" t="str">
        <x:v>RS-04062-E1</x:v>
      </x:c>
      <x:c r="B4063" s="4" t="str">
        <x:v>RS-04062</x:v>
      </x:c>
      <x:c r="C4063" s="8" t="n">
        <x:v>45537</x:v>
      </x:c>
      <x:c r="D4063" s="4" t="str">
        <x:v>Sales operations manager</x:v>
      </x:c>
      <x:c r="E4063" s="4" t="str">
        <x:v>Spreadsheet import</x:v>
      </x:c>
      <x:c r="F4063" s="4" t="str">
        <x:v>Record captured</x:v>
      </x:c>
      <x:c r="G4063" s="4" t="str">
        <x:v>Cancelled</x:v>
      </x:c>
    </x:row>
    <x:row r="4064" ht="34" customHeight="1">
      <x:c r="A4064" s="4" t="str">
        <x:v>RS-04063-E1</x:v>
      </x:c>
      <x:c r="B4064" s="4" t="str">
        <x:v>RS-04063</x:v>
      </x:c>
      <x:c r="C4064" s="8" t="n">
        <x:v>45538</x:v>
      </x:c>
      <x:c r="D4064" s="4" t="str">
        <x:v>Sales operations manager</x:v>
      </x:c>
      <x:c r="E4064" s="4" t="str">
        <x:v>Spreadsheet import</x:v>
      </x:c>
      <x:c r="F4064" s="4" t="str">
        <x:v>Record captured</x:v>
      </x:c>
      <x:c r="G4064" s="4" t="str">
        <x:v>Enquiry</x:v>
      </x:c>
    </x:row>
    <x:row r="4065" ht="34" customHeight="1">
      <x:c r="A4065" s="4" t="str">
        <x:v>RS-04064-E1</x:v>
      </x:c>
      <x:c r="B4065" s="4" t="str">
        <x:v>RS-04064</x:v>
      </x:c>
      <x:c r="C4065" s="8" t="n">
        <x:v>45539</x:v>
      </x:c>
      <x:c r="D4065" s="4" t="str">
        <x:v>Sales operations manager</x:v>
      </x:c>
      <x:c r="E4065" s="4" t="str">
        <x:v>Spreadsheet import</x:v>
      </x:c>
      <x:c r="F4065" s="4" t="str">
        <x:v>Record captured</x:v>
      </x:c>
      <x:c r="G4065" s="4" t="str">
        <x:v>Handed over</x:v>
      </x:c>
    </x:row>
    <x:row r="4066" ht="34" customHeight="1">
      <x:c r="A4066" s="4" t="str">
        <x:v>RS-04065-E1</x:v>
      </x:c>
      <x:c r="B4066" s="4" t="str">
        <x:v>RS-04065</x:v>
      </x:c>
      <x:c r="C4066" s="8" t="n">
        <x:v>45540</x:v>
      </x:c>
      <x:c r="D4066" s="4" t="str">
        <x:v>Sales operations manager</x:v>
      </x:c>
      <x:c r="E4066" s="4" t="str">
        <x:v>Spreadsheet import</x:v>
      </x:c>
      <x:c r="F4066" s="4" t="str">
        <x:v>Record captured</x:v>
      </x:c>
      <x:c r="G4066" s="4" t="str">
        <x:v>Cancelled</x:v>
      </x:c>
    </x:row>
    <x:row r="4067" ht="34" customHeight="1">
      <x:c r="A4067" s="4" t="str">
        <x:v>RS-04066-E1</x:v>
      </x:c>
      <x:c r="B4067" s="4" t="str">
        <x:v>RS-04066</x:v>
      </x:c>
      <x:c r="C4067" s="8" t="n">
        <x:v>45541</x:v>
      </x:c>
      <x:c r="D4067" s="4" t="str">
        <x:v>Sales operations manager</x:v>
      </x:c>
      <x:c r="E4067" s="4" t="str">
        <x:v>ERP form</x:v>
      </x:c>
      <x:c r="F4067" s="4" t="str">
        <x:v>Record captured</x:v>
      </x:c>
      <x:c r="G4067" s="4" t="str">
        <x:v>Reserved</x:v>
      </x:c>
    </x:row>
    <x:row r="4068" ht="34" customHeight="1">
      <x:c r="A4068" s="4" t="str">
        <x:v>RS-04067-E1</x:v>
      </x:c>
      <x:c r="B4068" s="4" t="str">
        <x:v>RS-04067</x:v>
      </x:c>
      <x:c r="C4068" s="8" t="n">
        <x:v>45542</x:v>
      </x:c>
      <x:c r="D4068" s="4" t="str">
        <x:v>Sales operations manager</x:v>
      </x:c>
      <x:c r="E4068" s="4" t="str">
        <x:v>WhatsApp transcribed</x:v>
      </x:c>
      <x:c r="F4068" s="4" t="str">
        <x:v>Record captured</x:v>
      </x:c>
      <x:c r="G4068" s="4" t="str">
        <x:v>Agreement signed</x:v>
      </x:c>
    </x:row>
    <x:row r="4069" ht="34" customHeight="1">
      <x:c r="A4069" s="4" t="str">
        <x:v>RS-04068-E1</x:v>
      </x:c>
      <x:c r="B4069" s="4" t="str">
        <x:v>RS-04068</x:v>
      </x:c>
      <x:c r="C4069" s="8" t="n">
        <x:v>45543</x:v>
      </x:c>
      <x:c r="D4069" s="4" t="str">
        <x:v>Sales operations manager</x:v>
      </x:c>
      <x:c r="E4069" s="4" t="str">
        <x:v>ERP form</x:v>
      </x:c>
      <x:c r="F4069" s="4" t="str">
        <x:v>Record captured</x:v>
      </x:c>
      <x:c r="G4069" s="4" t="str">
        <x:v>Enquiry</x:v>
      </x:c>
    </x:row>
    <x:row r="4070" ht="34" customHeight="1">
      <x:c r="A4070" s="4" t="str">
        <x:v>RS-04069-E1</x:v>
      </x:c>
      <x:c r="B4070" s="4" t="str">
        <x:v>RS-04069</x:v>
      </x:c>
      <x:c r="C4070" s="8" t="n">
        <x:v>45544</x:v>
      </x:c>
      <x:c r="D4070" s="4" t="str">
        <x:v>Sales operations manager</x:v>
      </x:c>
      <x:c r="E4070" s="4" t="str">
        <x:v>Spreadsheet import</x:v>
      </x:c>
      <x:c r="F4070" s="4" t="str">
        <x:v>Record captured</x:v>
      </x:c>
      <x:c r="G4070" s="4" t="str">
        <x:v>Reserved</x:v>
      </x:c>
    </x:row>
    <x:row r="4071" ht="34" customHeight="1">
      <x:c r="A4071" s="4" t="str">
        <x:v>RS-04070-E1</x:v>
      </x:c>
      <x:c r="B4071" s="4" t="str">
        <x:v>RS-04070</x:v>
      </x:c>
      <x:c r="C4071" s="8" t="n">
        <x:v>45545</x:v>
      </x:c>
      <x:c r="D4071" s="4" t="str">
        <x:v>Sales operations manager</x:v>
      </x:c>
      <x:c r="E4071" s="4" t="str">
        <x:v>WhatsApp transcribed</x:v>
      </x:c>
      <x:c r="F4071" s="4" t="str">
        <x:v>Record captured</x:v>
      </x:c>
      <x:c r="G4071" s="4" t="str">
        <x:v>Handed over</x:v>
      </x:c>
    </x:row>
    <x:row r="4072" ht="34" customHeight="1">
      <x:c r="A4072" s="4" t="str">
        <x:v>RS-04071-E1</x:v>
      </x:c>
      <x:c r="B4072" s="4" t="str">
        <x:v>RS-04071</x:v>
      </x:c>
      <x:c r="C4072" s="8" t="n">
        <x:v>45546</x:v>
      </x:c>
      <x:c r="D4072" s="4" t="str">
        <x:v>Sales operations manager</x:v>
      </x:c>
      <x:c r="E4072" s="4" t="str">
        <x:v>ERP form</x:v>
      </x:c>
      <x:c r="F4072" s="4" t="str">
        <x:v>Record captured</x:v>
      </x:c>
      <x:c r="G4072" s="4" t="str">
        <x:v>Cancelled</x:v>
      </x:c>
    </x:row>
    <x:row r="4073" ht="34" customHeight="1">
      <x:c r="A4073" s="4" t="str">
        <x:v>RS-04072-E1</x:v>
      </x:c>
      <x:c r="B4073" s="4" t="str">
        <x:v>RS-04072</x:v>
      </x:c>
      <x:c r="C4073" s="8" t="n">
        <x:v>45547</x:v>
      </x:c>
      <x:c r="D4073" s="4" t="str">
        <x:v>Sales operations manager</x:v>
      </x:c>
      <x:c r="E4073" s="4" t="str">
        <x:v>ERP form</x:v>
      </x:c>
      <x:c r="F4073" s="4" t="str">
        <x:v>Record captured</x:v>
      </x:c>
      <x:c r="G4073" s="4" t="str">
        <x:v>Handed over</x:v>
      </x:c>
    </x:row>
    <x:row r="4074" ht="34" customHeight="1">
      <x:c r="A4074" s="4" t="str">
        <x:v>RS-04073-E1</x:v>
      </x:c>
      <x:c r="B4074" s="4" t="str">
        <x:v>RS-04073</x:v>
      </x:c>
      <x:c r="C4074" s="8" t="n">
        <x:v>45548</x:v>
      </x:c>
      <x:c r="D4074" s="4" t="str">
        <x:v>Sales operations manager</x:v>
      </x:c>
      <x:c r="E4074" s="4" t="str">
        <x:v>Spreadsheet import</x:v>
      </x:c>
      <x:c r="F4074" s="4" t="str">
        <x:v>Record captured</x:v>
      </x:c>
      <x:c r="G4074" s="4" t="str">
        <x:v>Handed over</x:v>
      </x:c>
    </x:row>
    <x:row r="4075" ht="34" customHeight="1">
      <x:c r="A4075" s="4" t="str">
        <x:v>RS-04074-E1</x:v>
      </x:c>
      <x:c r="B4075" s="4" t="str">
        <x:v>RS-04074</x:v>
      </x:c>
      <x:c r="C4075" s="8" t="n">
        <x:v>45549</x:v>
      </x:c>
      <x:c r="D4075" s="4" t="str">
        <x:v>Sales operations manager</x:v>
      </x:c>
      <x:c r="E4075" s="4" t="str">
        <x:v>Spreadsheet import</x:v>
      </x:c>
      <x:c r="F4075" s="4" t="str">
        <x:v>Record captured</x:v>
      </x:c>
      <x:c r="G4075" s="4" t="str">
        <x:v>Handed over</x:v>
      </x:c>
    </x:row>
    <x:row r="4076" ht="34" customHeight="1">
      <x:c r="A4076" s="4" t="str">
        <x:v>RS-04075-E1</x:v>
      </x:c>
      <x:c r="B4076" s="4" t="str">
        <x:v>RS-04075</x:v>
      </x:c>
      <x:c r="C4076" s="8" t="n">
        <x:v>45550</x:v>
      </x:c>
      <x:c r="D4076" s="4" t="str">
        <x:v>Sales operations manager</x:v>
      </x:c>
      <x:c r="E4076" s="4" t="str">
        <x:v>ERP form</x:v>
      </x:c>
      <x:c r="F4076" s="4" t="str">
        <x:v>Record captured</x:v>
      </x:c>
      <x:c r="G4076" s="4" t="str">
        <x:v>Enquiry</x:v>
      </x:c>
    </x:row>
    <x:row r="4077" ht="34" customHeight="1">
      <x:c r="A4077" s="4" t="str">
        <x:v>RS-04076-E1</x:v>
      </x:c>
      <x:c r="B4077" s="4" t="str">
        <x:v>RS-04076</x:v>
      </x:c>
      <x:c r="C4077" s="8" t="n">
        <x:v>45551</x:v>
      </x:c>
      <x:c r="D4077" s="4" t="str">
        <x:v>Sales operations manager</x:v>
      </x:c>
      <x:c r="E4077" s="4" t="str">
        <x:v>Spreadsheet import</x:v>
      </x:c>
      <x:c r="F4077" s="4" t="str">
        <x:v>Record captured</x:v>
      </x:c>
      <x:c r="G4077" s="4" t="str">
        <x:v>Agreement signed</x:v>
      </x:c>
    </x:row>
    <x:row r="4078" ht="34" customHeight="1">
      <x:c r="A4078" s="4" t="str">
        <x:v>RS-04077-E1</x:v>
      </x:c>
      <x:c r="B4078" s="4" t="str">
        <x:v>RS-04077</x:v>
      </x:c>
      <x:c r="C4078" s="8" t="n">
        <x:v>45552</x:v>
      </x:c>
      <x:c r="D4078" s="4" t="str">
        <x:v>Sales operations manager</x:v>
      </x:c>
      <x:c r="E4078" s="4" t="str">
        <x:v>Spreadsheet import</x:v>
      </x:c>
      <x:c r="F4078" s="4" t="str">
        <x:v>Record captured</x:v>
      </x:c>
      <x:c r="G4078" s="4" t="str">
        <x:v>Handed over</x:v>
      </x:c>
    </x:row>
    <x:row r="4079" ht="34" customHeight="1">
      <x:c r="A4079" s="4" t="str">
        <x:v>RS-04078-E1</x:v>
      </x:c>
      <x:c r="B4079" s="4" t="str">
        <x:v>RS-04078</x:v>
      </x:c>
      <x:c r="C4079" s="8" t="n">
        <x:v>45553</x:v>
      </x:c>
      <x:c r="D4079" s="4" t="str">
        <x:v>Sales operations manager</x:v>
      </x:c>
      <x:c r="E4079" s="4" t="str">
        <x:v>Spreadsheet import</x:v>
      </x:c>
      <x:c r="F4079" s="4" t="str">
        <x:v>Record captured</x:v>
      </x:c>
      <x:c r="G4079" s="4" t="str">
        <x:v>Reserved</x:v>
      </x:c>
    </x:row>
    <x:row r="4080" ht="34" customHeight="1">
      <x:c r="A4080" s="4" t="str">
        <x:v>RS-04079-E1</x:v>
      </x:c>
      <x:c r="B4080" s="4" t="str">
        <x:v>RS-04079</x:v>
      </x:c>
      <x:c r="C4080" s="8" t="n">
        <x:v>45554</x:v>
      </x:c>
      <x:c r="D4080" s="4" t="str">
        <x:v>Sales operations manager</x:v>
      </x:c>
      <x:c r="E4080" s="4" t="str">
        <x:v>Spreadsheet import</x:v>
      </x:c>
      <x:c r="F4080" s="4" t="str">
        <x:v>Record captured</x:v>
      </x:c>
      <x:c r="G4080" s="4" t="str">
        <x:v>Enquiry</x:v>
      </x:c>
    </x:row>
    <x:row r="4081" ht="34" customHeight="1">
      <x:c r="A4081" s="4" t="str">
        <x:v>RS-04080-E1</x:v>
      </x:c>
      <x:c r="B4081" s="4" t="str">
        <x:v>RS-04080</x:v>
      </x:c>
      <x:c r="C4081" s="8" t="n">
        <x:v>45555</x:v>
      </x:c>
      <x:c r="D4081" s="4" t="str">
        <x:v>Sales operations manager</x:v>
      </x:c>
      <x:c r="E4081" s="4" t="str">
        <x:v>Paper transcribed</x:v>
      </x:c>
      <x:c r="F4081" s="4" t="str">
        <x:v>Record captured</x:v>
      </x:c>
      <x:c r="G4081" s="4" t="str">
        <x:v>Handed over</x:v>
      </x:c>
    </x:row>
    <x:row r="4082" ht="34" customHeight="1">
      <x:c r="A4082" s="4" t="str">
        <x:v>RS-04081-E1</x:v>
      </x:c>
      <x:c r="B4082" s="4" t="str">
        <x:v>RS-04081</x:v>
      </x:c>
      <x:c r="C4082" s="8" t="n">
        <x:v>45556</x:v>
      </x:c>
      <x:c r="D4082" s="4" t="str">
        <x:v>Sales operations manager</x:v>
      </x:c>
      <x:c r="E4082" s="4" t="str">
        <x:v>WhatsApp transcribed</x:v>
      </x:c>
      <x:c r="F4082" s="4" t="str">
        <x:v>Record captured</x:v>
      </x:c>
      <x:c r="G4082" s="4" t="str">
        <x:v>Enquiry</x:v>
      </x:c>
    </x:row>
    <x:row r="4083" ht="34" customHeight="1">
      <x:c r="A4083" s="4" t="str">
        <x:v>RS-04082-E1</x:v>
      </x:c>
      <x:c r="B4083" s="4" t="str">
        <x:v>RS-04082</x:v>
      </x:c>
      <x:c r="C4083" s="8" t="n">
        <x:v>45557</x:v>
      </x:c>
      <x:c r="D4083" s="4" t="str">
        <x:v>Sales operations manager</x:v>
      </x:c>
      <x:c r="E4083" s="4" t="str">
        <x:v>ERP form</x:v>
      </x:c>
      <x:c r="F4083" s="4" t="str">
        <x:v>Record captured</x:v>
      </x:c>
      <x:c r="G4083" s="4" t="str">
        <x:v>Agreement signed</x:v>
      </x:c>
    </x:row>
    <x:row r="4084" ht="34" customHeight="1">
      <x:c r="A4084" s="4" t="str">
        <x:v>RS-04083-E1</x:v>
      </x:c>
      <x:c r="B4084" s="4" t="str">
        <x:v>RS-04083</x:v>
      </x:c>
      <x:c r="C4084" s="8" t="n">
        <x:v>45558</x:v>
      </x:c>
      <x:c r="D4084" s="4" t="str">
        <x:v>Sales operations manager</x:v>
      </x:c>
      <x:c r="E4084" s="4" t="str">
        <x:v>WhatsApp transcribed</x:v>
      </x:c>
      <x:c r="F4084" s="4" t="str">
        <x:v>Record captured</x:v>
      </x:c>
      <x:c r="G4084" s="4" t="str">
        <x:v>Agreement signed</x:v>
      </x:c>
    </x:row>
    <x:row r="4085" ht="34" customHeight="1">
      <x:c r="A4085" s="4" t="str">
        <x:v>RS-04084-E1</x:v>
      </x:c>
      <x:c r="B4085" s="4" t="str">
        <x:v>RS-04084</x:v>
      </x:c>
      <x:c r="C4085" s="8" t="n">
        <x:v>45559</x:v>
      </x:c>
      <x:c r="D4085" s="4" t="str">
        <x:v>Sales operations manager</x:v>
      </x:c>
      <x:c r="E4085" s="4" t="str">
        <x:v>WhatsApp transcribed</x:v>
      </x:c>
      <x:c r="F4085" s="4" t="str">
        <x:v>Record captured</x:v>
      </x:c>
      <x:c r="G4085" s="4" t="str">
        <x:v>Agreement signed</x:v>
      </x:c>
    </x:row>
    <x:row r="4086" ht="34" customHeight="1">
      <x:c r="A4086" s="4" t="str">
        <x:v>RS-04085-E1</x:v>
      </x:c>
      <x:c r="B4086" s="4" t="str">
        <x:v>RS-04085</x:v>
      </x:c>
      <x:c r="C4086" s="8" t="n">
        <x:v>45560</x:v>
      </x:c>
      <x:c r="D4086" s="4" t="str">
        <x:v>Sales operations manager</x:v>
      </x:c>
      <x:c r="E4086" s="4" t="str">
        <x:v>Spreadsheet import</x:v>
      </x:c>
      <x:c r="F4086" s="4" t="str">
        <x:v>Record captured</x:v>
      </x:c>
      <x:c r="G4086" s="4" t="str">
        <x:v>Enquiry</x:v>
      </x:c>
    </x:row>
    <x:row r="4087" ht="34" customHeight="1">
      <x:c r="A4087" s="4" t="str">
        <x:v>RS-04086-E1</x:v>
      </x:c>
      <x:c r="B4087" s="4" t="str">
        <x:v>RS-04086</x:v>
      </x:c>
      <x:c r="C4087" s="8" t="n">
        <x:v>45561</x:v>
      </x:c>
      <x:c r="D4087" s="4" t="str">
        <x:v>Sales operations manager</x:v>
      </x:c>
      <x:c r="E4087" s="4" t="str">
        <x:v>Paper transcribed</x:v>
      </x:c>
      <x:c r="F4087" s="4" t="str">
        <x:v>Record captured</x:v>
      </x:c>
      <x:c r="G4087" s="4" t="str">
        <x:v>Handed over</x:v>
      </x:c>
    </x:row>
    <x:row r="4088" ht="34" customHeight="1">
      <x:c r="A4088" s="4" t="str">
        <x:v>RS-04087-E1</x:v>
      </x:c>
      <x:c r="B4088" s="4" t="str">
        <x:v>RS-04087</x:v>
      </x:c>
      <x:c r="C4088" s="8" t="n">
        <x:v>45562</x:v>
      </x:c>
      <x:c r="D4088" s="4" t="str">
        <x:v>Sales operations manager</x:v>
      </x:c>
      <x:c r="E4088" s="4" t="str">
        <x:v>Paper transcribed</x:v>
      </x:c>
      <x:c r="F4088" s="4" t="str">
        <x:v>Record captured</x:v>
      </x:c>
      <x:c r="G4088" s="4" t="str">
        <x:v>Handed over</x:v>
      </x:c>
    </x:row>
    <x:row r="4089" ht="34" customHeight="1">
      <x:c r="A4089" s="4" t="str">
        <x:v>RS-04088-E1</x:v>
      </x:c>
      <x:c r="B4089" s="4" t="str">
        <x:v>RS-04088</x:v>
      </x:c>
      <x:c r="C4089" s="8" t="n">
        <x:v>45563</x:v>
      </x:c>
      <x:c r="D4089" s="4" t="str">
        <x:v>Sales operations manager</x:v>
      </x:c>
      <x:c r="E4089" s="4" t="str">
        <x:v>Spreadsheet import</x:v>
      </x:c>
      <x:c r="F4089" s="4" t="str">
        <x:v>Record captured</x:v>
      </x:c>
      <x:c r="G4089" s="4" t="str">
        <x:v>Booked</x:v>
      </x:c>
    </x:row>
    <x:row r="4090" ht="34" customHeight="1">
      <x:c r="A4090" s="4" t="str">
        <x:v>RS-04089-E1</x:v>
      </x:c>
      <x:c r="B4090" s="4" t="str">
        <x:v>RS-04089</x:v>
      </x:c>
      <x:c r="C4090" s="8" t="n">
        <x:v>45536</x:v>
      </x:c>
      <x:c r="D4090" s="4" t="str">
        <x:v>Sales operations manager</x:v>
      </x:c>
      <x:c r="E4090" s="4" t="str">
        <x:v>Paper transcribed</x:v>
      </x:c>
      <x:c r="F4090" s="4" t="str">
        <x:v>Record captured</x:v>
      </x:c>
      <x:c r="G4090" s="4" t="str">
        <x:v>Cancelled</x:v>
      </x:c>
    </x:row>
    <x:row r="4091" ht="34" customHeight="1">
      <x:c r="A4091" s="4" t="str">
        <x:v>RS-04090-E1</x:v>
      </x:c>
      <x:c r="B4091" s="4" t="str">
        <x:v>RS-04090</x:v>
      </x:c>
      <x:c r="C4091" s="8" t="n">
        <x:v>45537</x:v>
      </x:c>
      <x:c r="D4091" s="4" t="str">
        <x:v>Sales operations manager</x:v>
      </x:c>
      <x:c r="E4091" s="4" t="str">
        <x:v>Paper transcribed</x:v>
      </x:c>
      <x:c r="F4091" s="4" t="str">
        <x:v>Record captured</x:v>
      </x:c>
      <x:c r="G4091" s="4" t="str">
        <x:v>Handed over</x:v>
      </x:c>
    </x:row>
    <x:row r="4092" ht="34" customHeight="1">
      <x:c r="A4092" s="4" t="str">
        <x:v>RS-04091-E1</x:v>
      </x:c>
      <x:c r="B4092" s="4" t="str">
        <x:v>RS-04091</x:v>
      </x:c>
      <x:c r="C4092" s="8" t="n">
        <x:v>45538</x:v>
      </x:c>
      <x:c r="D4092" s="4" t="str">
        <x:v>Sales operations manager</x:v>
      </x:c>
      <x:c r="E4092" s="4" t="str">
        <x:v>ERP form</x:v>
      </x:c>
      <x:c r="F4092" s="4" t="str">
        <x:v>Record captured</x:v>
      </x:c>
      <x:c r="G4092" s="4" t="str">
        <x:v>Handed over</x:v>
      </x:c>
    </x:row>
    <x:row r="4093" ht="34" customHeight="1">
      <x:c r="A4093" s="4" t="str">
        <x:v>RS-04092-E1</x:v>
      </x:c>
      <x:c r="B4093" s="4" t="str">
        <x:v>RS-04092</x:v>
      </x:c>
      <x:c r="C4093" s="8" t="n">
        <x:v>45539</x:v>
      </x:c>
      <x:c r="D4093" s="4" t="str">
        <x:v>Sales operations manager</x:v>
      </x:c>
      <x:c r="E4093" s="4" t="str">
        <x:v>ERP form</x:v>
      </x:c>
      <x:c r="F4093" s="4" t="str">
        <x:v>Record captured</x:v>
      </x:c>
      <x:c r="G4093" s="4" t="str">
        <x:v>Enquiry</x:v>
      </x:c>
    </x:row>
    <x:row r="4094" ht="34" customHeight="1">
      <x:c r="A4094" s="4" t="str">
        <x:v>RS-04093-E1</x:v>
      </x:c>
      <x:c r="B4094" s="4" t="str">
        <x:v>RS-04093</x:v>
      </x:c>
      <x:c r="C4094" s="8" t="n">
        <x:v>45540</x:v>
      </x:c>
      <x:c r="D4094" s="4" t="str">
        <x:v>Sales operations manager</x:v>
      </x:c>
      <x:c r="E4094" s="4" t="str">
        <x:v>ERP form</x:v>
      </x:c>
      <x:c r="F4094" s="4" t="str">
        <x:v>Record captured</x:v>
      </x:c>
      <x:c r="G4094" s="4" t="str">
        <x:v>Enquiry</x:v>
      </x:c>
    </x:row>
    <x:row r="4095" ht="34" customHeight="1">
      <x:c r="A4095" s="4" t="str">
        <x:v>RS-04094-E1</x:v>
      </x:c>
      <x:c r="B4095" s="4" t="str">
        <x:v>RS-04094</x:v>
      </x:c>
      <x:c r="C4095" s="8" t="n">
        <x:v>45541</x:v>
      </x:c>
      <x:c r="D4095" s="4" t="str">
        <x:v>Sales operations manager</x:v>
      </x:c>
      <x:c r="E4095" s="4" t="str">
        <x:v>ERP form</x:v>
      </x:c>
      <x:c r="F4095" s="4" t="str">
        <x:v>Record captured</x:v>
      </x:c>
      <x:c r="G4095" s="4" t="str">
        <x:v>Reserved</x:v>
      </x:c>
    </x:row>
    <x:row r="4096" ht="34" customHeight="1">
      <x:c r="A4096" s="4" t="str">
        <x:v>RS-04095-E1</x:v>
      </x:c>
      <x:c r="B4096" s="4" t="str">
        <x:v>RS-04095</x:v>
      </x:c>
      <x:c r="C4096" s="8" t="n">
        <x:v>45542</x:v>
      </x:c>
      <x:c r="D4096" s="4" t="str">
        <x:v>Sales operations manager</x:v>
      </x:c>
      <x:c r="E4096" s="4" t="str">
        <x:v>Spreadsheet import</x:v>
      </x:c>
      <x:c r="F4096" s="4" t="str">
        <x:v>Record captured</x:v>
      </x:c>
      <x:c r="G4096" s="4" t="str">
        <x:v>Reserved</x:v>
      </x:c>
    </x:row>
    <x:row r="4097" ht="34" customHeight="1">
      <x:c r="A4097" s="4" t="str">
        <x:v>RS-04096-E1</x:v>
      </x:c>
      <x:c r="B4097" s="4" t="str">
        <x:v>RS-04096</x:v>
      </x:c>
      <x:c r="C4097" s="8" t="n">
        <x:v>45543</x:v>
      </x:c>
      <x:c r="D4097" s="4" t="str">
        <x:v>Sales operations manager</x:v>
      </x:c>
      <x:c r="E4097" s="4" t="str">
        <x:v>Paper transcribed</x:v>
      </x:c>
      <x:c r="F4097" s="4" t="str">
        <x:v>Record captured</x:v>
      </x:c>
      <x:c r="G4097" s="4" t="str">
        <x:v>Reserved</x:v>
      </x:c>
    </x:row>
    <x:row r="4098" ht="34" customHeight="1">
      <x:c r="A4098" s="4" t="str">
        <x:v>RS-04097-E1</x:v>
      </x:c>
      <x:c r="B4098" s="4" t="str">
        <x:v>RS-04097</x:v>
      </x:c>
      <x:c r="C4098" s="8" t="n">
        <x:v>45544</x:v>
      </x:c>
      <x:c r="D4098" s="4" t="str">
        <x:v>Sales operations manager</x:v>
      </x:c>
      <x:c r="E4098" s="4" t="str">
        <x:v>Paper transcribed</x:v>
      </x:c>
      <x:c r="F4098" s="4" t="str">
        <x:v>Record captured</x:v>
      </x:c>
      <x:c r="G4098" s="4" t="str">
        <x:v>Handed over</x:v>
      </x:c>
    </x:row>
    <x:row r="4099" ht="34" customHeight="1">
      <x:c r="A4099" s="4" t="str">
        <x:v>RS-04098-E1</x:v>
      </x:c>
      <x:c r="B4099" s="4" t="str">
        <x:v>RS-04098</x:v>
      </x:c>
      <x:c r="C4099" s="8" t="n">
        <x:v>45545</x:v>
      </x:c>
      <x:c r="D4099" s="4" t="str">
        <x:v>Sales operations manager</x:v>
      </x:c>
      <x:c r="E4099" s="4" t="str">
        <x:v>Spreadsheet import</x:v>
      </x:c>
      <x:c r="F4099" s="4" t="str">
        <x:v>Record captured</x:v>
      </x:c>
      <x:c r="G4099" s="4" t="str">
        <x:v>Enquiry</x:v>
      </x:c>
    </x:row>
    <x:row r="4100" ht="34" customHeight="1">
      <x:c r="A4100" s="4" t="str">
        <x:v>RS-04099-E1</x:v>
      </x:c>
      <x:c r="B4100" s="4" t="str">
        <x:v>RS-04099</x:v>
      </x:c>
      <x:c r="C4100" s="8" t="n">
        <x:v>45546</x:v>
      </x:c>
      <x:c r="D4100" s="4" t="str">
        <x:v>Sales operations manager</x:v>
      </x:c>
      <x:c r="E4100" s="4" t="str">
        <x:v>WhatsApp transcribed</x:v>
      </x:c>
      <x:c r="F4100" s="4" t="str">
        <x:v>Record captured</x:v>
      </x:c>
      <x:c r="G4100" s="4" t="str">
        <x:v>Agreement signed</x:v>
      </x:c>
    </x:row>
    <x:row r="4101" ht="34" customHeight="1">
      <x:c r="A4101" s="4" t="str">
        <x:v>RS-04100-E1</x:v>
      </x:c>
      <x:c r="B4101" s="4" t="str">
        <x:v>RS-04100</x:v>
      </x:c>
      <x:c r="C4101" s="8" t="n">
        <x:v>45547</x:v>
      </x:c>
      <x:c r="D4101" s="4" t="str">
        <x:v>Sales operations manager</x:v>
      </x:c>
      <x:c r="E4101" s="4" t="str">
        <x:v>WhatsApp transcribed</x:v>
      </x:c>
      <x:c r="F4101" s="4" t="str">
        <x:v>Record captured</x:v>
      </x:c>
      <x:c r="G4101" s="4" t="str">
        <x:v>Reserved</x:v>
      </x:c>
    </x:row>
    <x:row r="4102" ht="34" customHeight="1">
      <x:c r="A4102" s="4" t="str">
        <x:v>RS-04101-E1</x:v>
      </x:c>
      <x:c r="B4102" s="4" t="str">
        <x:v>RS-04101</x:v>
      </x:c>
      <x:c r="C4102" s="8" t="n">
        <x:v>45548</x:v>
      </x:c>
      <x:c r="D4102" s="4" t="str">
        <x:v>Sales operations manager</x:v>
      </x:c>
      <x:c r="E4102" s="4" t="str">
        <x:v>ERP form</x:v>
      </x:c>
      <x:c r="F4102" s="4" t="str">
        <x:v>Record captured</x:v>
      </x:c>
      <x:c r="G4102" s="4" t="str">
        <x:v>Agreement signed</x:v>
      </x:c>
    </x:row>
    <x:row r="4103" ht="34" customHeight="1">
      <x:c r="A4103" s="4" t="str">
        <x:v>RS-04102-E1</x:v>
      </x:c>
      <x:c r="B4103" s="4" t="str">
        <x:v>RS-04102</x:v>
      </x:c>
      <x:c r="C4103" s="8" t="n">
        <x:v>45549</x:v>
      </x:c>
      <x:c r="D4103" s="4" t="str">
        <x:v>Sales operations manager</x:v>
      </x:c>
      <x:c r="E4103" s="4" t="str">
        <x:v>WhatsApp transcribed</x:v>
      </x:c>
      <x:c r="F4103" s="4" t="str">
        <x:v>Record captured</x:v>
      </x:c>
      <x:c r="G4103" s="4" t="str">
        <x:v>Enquiry</x:v>
      </x:c>
    </x:row>
    <x:row r="4104" ht="34" customHeight="1">
      <x:c r="A4104" s="4" t="str">
        <x:v>RS-04103-E1</x:v>
      </x:c>
      <x:c r="B4104" s="4" t="str">
        <x:v>RS-04103</x:v>
      </x:c>
      <x:c r="C4104" s="8" t="n">
        <x:v>45550</x:v>
      </x:c>
      <x:c r="D4104" s="4" t="str">
        <x:v>Sales operations manager</x:v>
      </x:c>
      <x:c r="E4104" s="4" t="str">
        <x:v>WhatsApp transcribed</x:v>
      </x:c>
      <x:c r="F4104" s="4" t="str">
        <x:v>Record captured</x:v>
      </x:c>
      <x:c r="G4104" s="4" t="str">
        <x:v>Booked</x:v>
      </x:c>
    </x:row>
    <x:row r="4105" ht="34" customHeight="1">
      <x:c r="A4105" s="4" t="str">
        <x:v>RS-04104-E1</x:v>
      </x:c>
      <x:c r="B4105" s="4" t="str">
        <x:v>RS-04104</x:v>
      </x:c>
      <x:c r="C4105" s="8" t="n">
        <x:v>45551</x:v>
      </x:c>
      <x:c r="D4105" s="4" t="str">
        <x:v>Sales operations manager</x:v>
      </x:c>
      <x:c r="E4105" s="4" t="str">
        <x:v>Paper transcribed</x:v>
      </x:c>
      <x:c r="F4105" s="4" t="str">
        <x:v>Record captured</x:v>
      </x:c>
      <x:c r="G4105" s="4" t="str">
        <x:v>Reserved</x:v>
      </x:c>
    </x:row>
    <x:row r="4106" ht="34" customHeight="1">
      <x:c r="A4106" s="4" t="str">
        <x:v>RS-04105-E1</x:v>
      </x:c>
      <x:c r="B4106" s="4" t="str">
        <x:v>RS-04105</x:v>
      </x:c>
      <x:c r="C4106" s="8" t="n">
        <x:v>45552</x:v>
      </x:c>
      <x:c r="D4106" s="4" t="str">
        <x:v>Sales operations manager</x:v>
      </x:c>
      <x:c r="E4106" s="4" t="str">
        <x:v>ERP form</x:v>
      </x:c>
      <x:c r="F4106" s="4" t="str">
        <x:v>Record captured</x:v>
      </x:c>
      <x:c r="G4106" s="4" t="str">
        <x:v>Enquiry</x:v>
      </x:c>
    </x:row>
    <x:row r="4107" ht="34" customHeight="1">
      <x:c r="A4107" s="4" t="str">
        <x:v>RS-04106-E1</x:v>
      </x:c>
      <x:c r="B4107" s="4" t="str">
        <x:v>RS-04106</x:v>
      </x:c>
      <x:c r="C4107" s="8" t="n">
        <x:v>45553</x:v>
      </x:c>
      <x:c r="D4107" s="4" t="str">
        <x:v>Sales operations manager</x:v>
      </x:c>
      <x:c r="E4107" s="4" t="str">
        <x:v>WhatsApp transcribed</x:v>
      </x:c>
      <x:c r="F4107" s="4" t="str">
        <x:v>Record captured</x:v>
      </x:c>
      <x:c r="G4107" s="4" t="str">
        <x:v>Handed over</x:v>
      </x:c>
    </x:row>
    <x:row r="4108" ht="34" customHeight="1">
      <x:c r="A4108" s="4" t="str">
        <x:v>RS-04107-E1</x:v>
      </x:c>
      <x:c r="B4108" s="4" t="str">
        <x:v>RS-04107</x:v>
      </x:c>
      <x:c r="C4108" s="8" t="n">
        <x:v>45554</x:v>
      </x:c>
      <x:c r="D4108" s="4" t="str">
        <x:v>Sales operations manager</x:v>
      </x:c>
      <x:c r="E4108" s="4" t="str">
        <x:v>Spreadsheet import</x:v>
      </x:c>
      <x:c r="F4108" s="4" t="str">
        <x:v>Record captured</x:v>
      </x:c>
      <x:c r="G4108" s="4" t="str">
        <x:v>Handed over</x:v>
      </x:c>
    </x:row>
    <x:row r="4109" ht="34" customHeight="1">
      <x:c r="A4109" s="4" t="str">
        <x:v>RS-04108-E1</x:v>
      </x:c>
      <x:c r="B4109" s="4" t="str">
        <x:v>RS-04108</x:v>
      </x:c>
      <x:c r="C4109" s="8" t="n">
        <x:v>45555</x:v>
      </x:c>
      <x:c r="D4109" s="4" t="str">
        <x:v>Sales operations manager</x:v>
      </x:c>
      <x:c r="E4109" s="4" t="str">
        <x:v>WhatsApp transcribed</x:v>
      </x:c>
      <x:c r="F4109" s="4" t="str">
        <x:v>Record captured</x:v>
      </x:c>
      <x:c r="G4109" s="4" t="str">
        <x:v>Reserved</x:v>
      </x:c>
    </x:row>
    <x:row r="4110" ht="34" customHeight="1">
      <x:c r="A4110" s="4" t="str">
        <x:v>RS-04109-E1</x:v>
      </x:c>
      <x:c r="B4110" s="4" t="str">
        <x:v>RS-04109</x:v>
      </x:c>
      <x:c r="C4110" s="8" t="n">
        <x:v>45556</x:v>
      </x:c>
      <x:c r="D4110" s="4" t="str">
        <x:v>Sales operations manager</x:v>
      </x:c>
      <x:c r="E4110" s="4" t="str">
        <x:v>WhatsApp transcribed</x:v>
      </x:c>
      <x:c r="F4110" s="4" t="str">
        <x:v>Record captured</x:v>
      </x:c>
      <x:c r="G4110" s="4" t="str">
        <x:v>Reserved</x:v>
      </x:c>
    </x:row>
    <x:row r="4111" ht="34" customHeight="1">
      <x:c r="A4111" s="4" t="str">
        <x:v>RS-04110-E1</x:v>
      </x:c>
      <x:c r="B4111" s="4" t="str">
        <x:v>RS-04110</x:v>
      </x:c>
      <x:c r="C4111" s="8" t="n">
        <x:v>45557</x:v>
      </x:c>
      <x:c r="D4111" s="4" t="str">
        <x:v>Sales operations manager</x:v>
      </x:c>
      <x:c r="E4111" s="4" t="str">
        <x:v>ERP form</x:v>
      </x:c>
      <x:c r="F4111" s="4" t="str">
        <x:v>Record captured</x:v>
      </x:c>
      <x:c r="G4111" s="4" t="str">
        <x:v>Agreement signed</x:v>
      </x:c>
    </x:row>
    <x:row r="4112" ht="34" customHeight="1">
      <x:c r="A4112" s="4" t="str">
        <x:v>RS-04111-E1</x:v>
      </x:c>
      <x:c r="B4112" s="4" t="str">
        <x:v>RS-04111</x:v>
      </x:c>
      <x:c r="C4112" s="8" t="n">
        <x:v>45558</x:v>
      </x:c>
      <x:c r="D4112" s="4" t="str">
        <x:v>Sales operations manager</x:v>
      </x:c>
      <x:c r="E4112" s="4" t="str">
        <x:v>Paper transcribed</x:v>
      </x:c>
      <x:c r="F4112" s="4" t="str">
        <x:v>Record captured</x:v>
      </x:c>
      <x:c r="G4112" s="4" t="str">
        <x:v>Agreement signed</x:v>
      </x:c>
    </x:row>
    <x:row r="4113" ht="34" customHeight="1">
      <x:c r="A4113" s="4" t="str">
        <x:v>RS-04112-E1</x:v>
      </x:c>
      <x:c r="B4113" s="4" t="str">
        <x:v>RS-04112</x:v>
      </x:c>
      <x:c r="C4113" s="8" t="n">
        <x:v>45559</x:v>
      </x:c>
      <x:c r="D4113" s="4" t="str">
        <x:v>Sales operations manager</x:v>
      </x:c>
      <x:c r="E4113" s="4" t="str">
        <x:v>WhatsApp transcribed</x:v>
      </x:c>
      <x:c r="F4113" s="4" t="str">
        <x:v>Record captured</x:v>
      </x:c>
      <x:c r="G4113" s="4" t="str">
        <x:v>Agreement signed</x:v>
      </x:c>
    </x:row>
    <x:row r="4114" ht="34" customHeight="1">
      <x:c r="A4114" s="4" t="str">
        <x:v>RS-04113-E1</x:v>
      </x:c>
      <x:c r="B4114" s="4" t="str">
        <x:v>RS-04113</x:v>
      </x:c>
      <x:c r="C4114" s="8" t="n">
        <x:v>45560</x:v>
      </x:c>
      <x:c r="D4114" s="4" t="str">
        <x:v>Sales operations manager</x:v>
      </x:c>
      <x:c r="E4114" s="4" t="str">
        <x:v>Spreadsheet import</x:v>
      </x:c>
      <x:c r="F4114" s="4" t="str">
        <x:v>Record captured</x:v>
      </x:c>
      <x:c r="G4114" s="4" t="str">
        <x:v>Enquiry</x:v>
      </x:c>
    </x:row>
    <x:row r="4115" ht="34" customHeight="1">
      <x:c r="A4115" s="4" t="str">
        <x:v>RS-04114-E1</x:v>
      </x:c>
      <x:c r="B4115" s="4" t="str">
        <x:v>RS-04114</x:v>
      </x:c>
      <x:c r="C4115" s="8" t="n">
        <x:v>45561</x:v>
      </x:c>
      <x:c r="D4115" s="4" t="str">
        <x:v>Sales operations manager</x:v>
      </x:c>
      <x:c r="E4115" s="4" t="str">
        <x:v>WhatsApp transcribed</x:v>
      </x:c>
      <x:c r="F4115" s="4" t="str">
        <x:v>Record captured</x:v>
      </x:c>
      <x:c r="G4115" s="4" t="str">
        <x:v>Reserved</x:v>
      </x:c>
    </x:row>
    <x:row r="4116" ht="34" customHeight="1">
      <x:c r="A4116" s="4" t="str">
        <x:v>RS-04115-E1</x:v>
      </x:c>
      <x:c r="B4116" s="4" t="str">
        <x:v>RS-04115</x:v>
      </x:c>
      <x:c r="C4116" s="8" t="n">
        <x:v>45562</x:v>
      </x:c>
      <x:c r="D4116" s="4" t="str">
        <x:v>Sales operations manager</x:v>
      </x:c>
      <x:c r="E4116" s="4" t="str">
        <x:v>WhatsApp transcribed</x:v>
      </x:c>
      <x:c r="F4116" s="4" t="str">
        <x:v>Record captured</x:v>
      </x:c>
      <x:c r="G4116" s="4" t="str">
        <x:v>Reserved</x:v>
      </x:c>
    </x:row>
    <x:row r="4117" ht="34" customHeight="1">
      <x:c r="A4117" s="4" t="str">
        <x:v>RS-04116-E1</x:v>
      </x:c>
      <x:c r="B4117" s="4" t="str">
        <x:v>RS-04116</x:v>
      </x:c>
      <x:c r="C4117" s="8" t="n">
        <x:v>45563</x:v>
      </x:c>
      <x:c r="D4117" s="4" t="str">
        <x:v>Sales operations manager</x:v>
      </x:c>
      <x:c r="E4117" s="4" t="str">
        <x:v>Spreadsheet import</x:v>
      </x:c>
      <x:c r="F4117" s="4" t="str">
        <x:v>Record captured</x:v>
      </x:c>
      <x:c r="G4117" s="4" t="str">
        <x:v>Handed over</x:v>
      </x:c>
    </x:row>
    <x:row r="4118" ht="34" customHeight="1">
      <x:c r="A4118" s="4" t="str">
        <x:v>RS-04117-E1</x:v>
      </x:c>
      <x:c r="B4118" s="4" t="str">
        <x:v>RS-04117</x:v>
      </x:c>
      <x:c r="C4118" s="8" t="n">
        <x:v>45536</x:v>
      </x:c>
      <x:c r="D4118" s="4" t="str">
        <x:v>Sales operations manager</x:v>
      </x:c>
      <x:c r="E4118" s="4" t="str">
        <x:v>Paper transcribed</x:v>
      </x:c>
      <x:c r="F4118" s="4" t="str">
        <x:v>Record captured</x:v>
      </x:c>
      <x:c r="G4118" s="4" t="str">
        <x:v>Reserved</x:v>
      </x:c>
    </x:row>
    <x:row r="4119" ht="34" customHeight="1">
      <x:c r="A4119" s="4" t="str">
        <x:v>RS-04118-E1</x:v>
      </x:c>
      <x:c r="B4119" s="4" t="str">
        <x:v>RS-04118</x:v>
      </x:c>
      <x:c r="C4119" s="8" t="n">
        <x:v>45537</x:v>
      </x:c>
      <x:c r="D4119" s="4" t="str">
        <x:v>Sales operations manager</x:v>
      </x:c>
      <x:c r="E4119" s="4" t="str">
        <x:v>Paper transcribed</x:v>
      </x:c>
      <x:c r="F4119" s="4" t="str">
        <x:v>Record captured</x:v>
      </x:c>
      <x:c r="G4119" s="4" t="str">
        <x:v>Handed over</x:v>
      </x:c>
    </x:row>
    <x:row r="4120" ht="34" customHeight="1">
      <x:c r="A4120" s="4" t="str">
        <x:v>RS-04119-E1</x:v>
      </x:c>
      <x:c r="B4120" s="4" t="str">
        <x:v>RS-04119</x:v>
      </x:c>
      <x:c r="C4120" s="8" t="n">
        <x:v>45538</x:v>
      </x:c>
      <x:c r="D4120" s="4" t="str">
        <x:v>Sales operations manager</x:v>
      </x:c>
      <x:c r="E4120" s="4" t="str">
        <x:v>Spreadsheet import</x:v>
      </x:c>
      <x:c r="F4120" s="4" t="str">
        <x:v>Record captured</x:v>
      </x:c>
      <x:c r="G4120" s="4" t="str">
        <x:v>Cancelled</x:v>
      </x:c>
    </x:row>
    <x:row r="4121" ht="34" customHeight="1">
      <x:c r="A4121" s="4" t="str">
        <x:v>RS-04120-E1</x:v>
      </x:c>
      <x:c r="B4121" s="4" t="str">
        <x:v>RS-04120</x:v>
      </x:c>
      <x:c r="C4121" s="8" t="n">
        <x:v>45539</x:v>
      </x:c>
      <x:c r="D4121" s="4" t="str">
        <x:v>Sales operations manager</x:v>
      </x:c>
      <x:c r="E4121" s="4" t="str">
        <x:v>Paper transcribed</x:v>
      </x:c>
      <x:c r="F4121" s="4" t="str">
        <x:v>Record captured</x:v>
      </x:c>
      <x:c r="G4121" s="4" t="str">
        <x:v>Reserved</x:v>
      </x:c>
    </x:row>
    <x:row r="4122" ht="34" customHeight="1">
      <x:c r="A4122" s="4" t="str">
        <x:v>RS-04121-E1</x:v>
      </x:c>
      <x:c r="B4122" s="4" t="str">
        <x:v>RS-04121</x:v>
      </x:c>
      <x:c r="C4122" s="8" t="n">
        <x:v>45540</x:v>
      </x:c>
      <x:c r="D4122" s="4" t="str">
        <x:v>Sales operations manager</x:v>
      </x:c>
      <x:c r="E4122" s="4" t="str">
        <x:v>Spreadsheet import</x:v>
      </x:c>
      <x:c r="F4122" s="4" t="str">
        <x:v>Record captured</x:v>
      </x:c>
      <x:c r="G4122" s="4" t="str">
        <x:v>Handed over</x:v>
      </x:c>
    </x:row>
    <x:row r="4123" ht="34" customHeight="1">
      <x:c r="A4123" s="4" t="str">
        <x:v>RS-04122-E1</x:v>
      </x:c>
      <x:c r="B4123" s="4" t="str">
        <x:v>RS-04122</x:v>
      </x:c>
      <x:c r="C4123" s="8" t="n">
        <x:v>45541</x:v>
      </x:c>
      <x:c r="D4123" s="4" t="str">
        <x:v>Sales operations manager</x:v>
      </x:c>
      <x:c r="E4123" s="4" t="str">
        <x:v>ERP form</x:v>
      </x:c>
      <x:c r="F4123" s="4" t="str">
        <x:v>Record captured</x:v>
      </x:c>
      <x:c r="G4123" s="4" t="str">
        <x:v>Enquiry</x:v>
      </x:c>
    </x:row>
    <x:row r="4124" ht="34" customHeight="1">
      <x:c r="A4124" s="4" t="str">
        <x:v>RS-04123-E1</x:v>
      </x:c>
      <x:c r="B4124" s="4" t="str">
        <x:v>RS-04123</x:v>
      </x:c>
      <x:c r="C4124" s="8" t="n">
        <x:v>45542</x:v>
      </x:c>
      <x:c r="D4124" s="4" t="str">
        <x:v>Sales operations manager</x:v>
      </x:c>
      <x:c r="E4124" s="4" t="str">
        <x:v>Spreadsheet import</x:v>
      </x:c>
      <x:c r="F4124" s="4" t="str">
        <x:v>Record captured</x:v>
      </x:c>
      <x:c r="G4124" s="4" t="str">
        <x:v>Agreement signed</x:v>
      </x:c>
    </x:row>
    <x:row r="4125" ht="34" customHeight="1">
      <x:c r="A4125" s="4" t="str">
        <x:v>RS-04124-E1</x:v>
      </x:c>
      <x:c r="B4125" s="4" t="str">
        <x:v>RS-04124</x:v>
      </x:c>
      <x:c r="C4125" s="8" t="n">
        <x:v>45543</x:v>
      </x:c>
      <x:c r="D4125" s="4" t="str">
        <x:v>Sales operations manager</x:v>
      </x:c>
      <x:c r="E4125" s="4" t="str">
        <x:v>Paper transcribed</x:v>
      </x:c>
      <x:c r="F4125" s="4" t="str">
        <x:v>Record captured</x:v>
      </x:c>
      <x:c r="G4125" s="4" t="str">
        <x:v>Booked</x:v>
      </x:c>
    </x:row>
    <x:row r="4126" ht="34" customHeight="1">
      <x:c r="A4126" s="4" t="str">
        <x:v>RS-04125-E1</x:v>
      </x:c>
      <x:c r="B4126" s="4" t="str">
        <x:v>RS-04125</x:v>
      </x:c>
      <x:c r="C4126" s="8" t="n">
        <x:v>45544</x:v>
      </x:c>
      <x:c r="D4126" s="4" t="str">
        <x:v>Sales operations manager</x:v>
      </x:c>
      <x:c r="E4126" s="4" t="str">
        <x:v>WhatsApp transcribed</x:v>
      </x:c>
      <x:c r="F4126" s="4" t="str">
        <x:v>Record captured</x:v>
      </x:c>
      <x:c r="G4126" s="4" t="str">
        <x:v>Enquiry</x:v>
      </x:c>
    </x:row>
    <x:row r="4127" ht="34" customHeight="1">
      <x:c r="A4127" s="4" t="str">
        <x:v>RS-04126-E1</x:v>
      </x:c>
      <x:c r="B4127" s="4" t="str">
        <x:v>RS-04126</x:v>
      </x:c>
      <x:c r="C4127" s="8" t="n">
        <x:v>45545</x:v>
      </x:c>
      <x:c r="D4127" s="4" t="str">
        <x:v>Sales operations manager</x:v>
      </x:c>
      <x:c r="E4127" s="4" t="str">
        <x:v>Spreadsheet import</x:v>
      </x:c>
      <x:c r="F4127" s="4" t="str">
        <x:v>Record captured</x:v>
      </x:c>
      <x:c r="G4127" s="4" t="str">
        <x:v>Agreement signed</x:v>
      </x:c>
    </x:row>
    <x:row r="4128" ht="34" customHeight="1">
      <x:c r="A4128" s="4" t="str">
        <x:v>RS-04127-E1</x:v>
      </x:c>
      <x:c r="B4128" s="4" t="str">
        <x:v>RS-04127</x:v>
      </x:c>
      <x:c r="C4128" s="8" t="n">
        <x:v>45546</x:v>
      </x:c>
      <x:c r="D4128" s="4" t="str">
        <x:v>Sales operations manager</x:v>
      </x:c>
      <x:c r="E4128" s="4" t="str">
        <x:v>WhatsApp transcribed</x:v>
      </x:c>
      <x:c r="F4128" s="4" t="str">
        <x:v>Record captured</x:v>
      </x:c>
      <x:c r="G4128" s="4" t="str">
        <x:v>Booked</x:v>
      </x:c>
    </x:row>
    <x:row r="4129" ht="34" customHeight="1">
      <x:c r="A4129" s="4" t="str">
        <x:v>RS-04128-E1</x:v>
      </x:c>
      <x:c r="B4129" s="4" t="str">
        <x:v>RS-04128</x:v>
      </x:c>
      <x:c r="C4129" s="8" t="n">
        <x:v>45547</x:v>
      </x:c>
      <x:c r="D4129" s="4" t="str">
        <x:v>Sales operations manager</x:v>
      </x:c>
      <x:c r="E4129" s="4" t="str">
        <x:v>Paper transcribed</x:v>
      </x:c>
      <x:c r="F4129" s="4" t="str">
        <x:v>Record captured</x:v>
      </x:c>
      <x:c r="G4129" s="4" t="str">
        <x:v>Reserved</x:v>
      </x:c>
    </x:row>
    <x:row r="4130" ht="34" customHeight="1">
      <x:c r="A4130" s="4" t="str">
        <x:v>RS-04129-E1</x:v>
      </x:c>
      <x:c r="B4130" s="4" t="str">
        <x:v>RS-04129</x:v>
      </x:c>
      <x:c r="C4130" s="8" t="n">
        <x:v>45548</x:v>
      </x:c>
      <x:c r="D4130" s="4" t="str">
        <x:v>Sales operations manager</x:v>
      </x:c>
      <x:c r="E4130" s="4" t="str">
        <x:v>WhatsApp transcribed</x:v>
      </x:c>
      <x:c r="F4130" s="4" t="str">
        <x:v>Record captured</x:v>
      </x:c>
      <x:c r="G4130" s="4" t="str">
        <x:v>Booked</x:v>
      </x:c>
    </x:row>
    <x:row r="4131" ht="34" customHeight="1">
      <x:c r="A4131" s="4" t="str">
        <x:v>RS-04130-E1</x:v>
      </x:c>
      <x:c r="B4131" s="4" t="str">
        <x:v>RS-04130</x:v>
      </x:c>
      <x:c r="C4131" s="8" t="n">
        <x:v>45549</x:v>
      </x:c>
      <x:c r="D4131" s="4" t="str">
        <x:v>Sales operations manager</x:v>
      </x:c>
      <x:c r="E4131" s="4" t="str">
        <x:v>Paper transcribed</x:v>
      </x:c>
      <x:c r="F4131" s="4" t="str">
        <x:v>Record captured</x:v>
      </x:c>
      <x:c r="G4131" s="4" t="str">
        <x:v>Cancelled</x:v>
      </x:c>
    </x:row>
    <x:row r="4132" ht="34" customHeight="1">
      <x:c r="A4132" s="4" t="str">
        <x:v>RS-04131-E1</x:v>
      </x:c>
      <x:c r="B4132" s="4" t="str">
        <x:v>RS-04131</x:v>
      </x:c>
      <x:c r="C4132" s="8" t="n">
        <x:v>45550</x:v>
      </x:c>
      <x:c r="D4132" s="4" t="str">
        <x:v>Sales operations manager</x:v>
      </x:c>
      <x:c r="E4132" s="4" t="str">
        <x:v>ERP form</x:v>
      </x:c>
      <x:c r="F4132" s="4" t="str">
        <x:v>Record captured</x:v>
      </x:c>
      <x:c r="G4132" s="4" t="str">
        <x:v>Handed over</x:v>
      </x:c>
    </x:row>
    <x:row r="4133" ht="34" customHeight="1">
      <x:c r="A4133" s="4" t="str">
        <x:v>RS-04132-E1</x:v>
      </x:c>
      <x:c r="B4133" s="4" t="str">
        <x:v>RS-04132</x:v>
      </x:c>
      <x:c r="C4133" s="8" t="n">
        <x:v>45551</x:v>
      </x:c>
      <x:c r="D4133" s="4" t="str">
        <x:v>Sales operations manager</x:v>
      </x:c>
      <x:c r="E4133" s="4" t="str">
        <x:v>WhatsApp transcribed</x:v>
      </x:c>
      <x:c r="F4133" s="4" t="str">
        <x:v>Record captured</x:v>
      </x:c>
      <x:c r="G4133" s="4" t="str">
        <x:v>Handed over</x:v>
      </x:c>
    </x:row>
    <x:row r="4134" ht="34" customHeight="1">
      <x:c r="A4134" s="4" t="str">
        <x:v>RS-04133-E1</x:v>
      </x:c>
      <x:c r="B4134" s="4" t="str">
        <x:v>RS-04133</x:v>
      </x:c>
      <x:c r="C4134" s="8" t="n">
        <x:v>45552</x:v>
      </x:c>
      <x:c r="D4134" s="4" t="str">
        <x:v>Sales operations manager</x:v>
      </x:c>
      <x:c r="E4134" s="4" t="str">
        <x:v>Paper transcribed</x:v>
      </x:c>
      <x:c r="F4134" s="4" t="str">
        <x:v>Record captured</x:v>
      </x:c>
      <x:c r="G4134" s="4" t="str">
        <x:v>Handed over</x:v>
      </x:c>
    </x:row>
    <x:row r="4135" ht="34" customHeight="1">
      <x:c r="A4135" s="4" t="str">
        <x:v>RS-04134-E1</x:v>
      </x:c>
      <x:c r="B4135" s="4" t="str">
        <x:v>RS-04134</x:v>
      </x:c>
      <x:c r="C4135" s="8" t="n">
        <x:v>45553</x:v>
      </x:c>
      <x:c r="D4135" s="4" t="str">
        <x:v>Sales operations manager</x:v>
      </x:c>
      <x:c r="E4135" s="4" t="str">
        <x:v>ERP form</x:v>
      </x:c>
      <x:c r="F4135" s="4" t="str">
        <x:v>Record captured</x:v>
      </x:c>
      <x:c r="G4135" s="4" t="str">
        <x:v>Cancelled</x:v>
      </x:c>
    </x:row>
    <x:row r="4136" ht="34" customHeight="1">
      <x:c r="A4136" s="4" t="str">
        <x:v>RS-04135-E1</x:v>
      </x:c>
      <x:c r="B4136" s="4" t="str">
        <x:v>RS-04135</x:v>
      </x:c>
      <x:c r="C4136" s="8" t="n">
        <x:v>45554</x:v>
      </x:c>
      <x:c r="D4136" s="4" t="str">
        <x:v>Sales operations manager</x:v>
      </x:c>
      <x:c r="E4136" s="4" t="str">
        <x:v>Paper transcribed</x:v>
      </x:c>
      <x:c r="F4136" s="4" t="str">
        <x:v>Record captured</x:v>
      </x:c>
      <x:c r="G4136" s="4" t="str">
        <x:v>Reserved</x:v>
      </x:c>
    </x:row>
    <x:row r="4137" ht="34" customHeight="1">
      <x:c r="A4137" s="4" t="str">
        <x:v>RS-04136-E1</x:v>
      </x:c>
      <x:c r="B4137" s="4" t="str">
        <x:v>RS-04136</x:v>
      </x:c>
      <x:c r="C4137" s="8" t="n">
        <x:v>45555</x:v>
      </x:c>
      <x:c r="D4137" s="4" t="str">
        <x:v>Sales operations manager</x:v>
      </x:c>
      <x:c r="E4137" s="4" t="str">
        <x:v>WhatsApp transcribed</x:v>
      </x:c>
      <x:c r="F4137" s="4" t="str">
        <x:v>Record captured</x:v>
      </x:c>
      <x:c r="G4137" s="4" t="str">
        <x:v>Reserved</x:v>
      </x:c>
    </x:row>
    <x:row r="4138" ht="34" customHeight="1">
      <x:c r="A4138" s="4" t="str">
        <x:v>RS-04137-E1</x:v>
      </x:c>
      <x:c r="B4138" s="4" t="str">
        <x:v>RS-04137</x:v>
      </x:c>
      <x:c r="C4138" s="8" t="n">
        <x:v>45556</x:v>
      </x:c>
      <x:c r="D4138" s="4" t="str">
        <x:v>Sales operations manager</x:v>
      </x:c>
      <x:c r="E4138" s="4" t="str">
        <x:v>ERP form</x:v>
      </x:c>
      <x:c r="F4138" s="4" t="str">
        <x:v>Record captured</x:v>
      </x:c>
      <x:c r="G4138" s="4" t="str">
        <x:v>Booked</x:v>
      </x:c>
    </x:row>
    <x:row r="4139" ht="34" customHeight="1">
      <x:c r="A4139" s="4" t="str">
        <x:v>RS-04138-E1</x:v>
      </x:c>
      <x:c r="B4139" s="4" t="str">
        <x:v>RS-04138</x:v>
      </x:c>
      <x:c r="C4139" s="8" t="n">
        <x:v>45557</x:v>
      </x:c>
      <x:c r="D4139" s="4" t="str">
        <x:v>Sales operations manager</x:v>
      </x:c>
      <x:c r="E4139" s="4" t="str">
        <x:v>WhatsApp transcribed</x:v>
      </x:c>
      <x:c r="F4139" s="4" t="str">
        <x:v>Record captured</x:v>
      </x:c>
      <x:c r="G4139" s="4" t="str">
        <x:v>Booked</x:v>
      </x:c>
    </x:row>
    <x:row r="4140" ht="34" customHeight="1">
      <x:c r="A4140" s="4" t="str">
        <x:v>RS-04139-E1</x:v>
      </x:c>
      <x:c r="B4140" s="4" t="str">
        <x:v>RS-04139</x:v>
      </x:c>
      <x:c r="C4140" s="8" t="n">
        <x:v>45558</x:v>
      </x:c>
      <x:c r="D4140" s="4" t="str">
        <x:v>Sales operations manager</x:v>
      </x:c>
      <x:c r="E4140" s="4" t="str">
        <x:v>Spreadsheet import</x:v>
      </x:c>
      <x:c r="F4140" s="4" t="str">
        <x:v>Record captured</x:v>
      </x:c>
      <x:c r="G4140" s="4" t="str">
        <x:v>Cancelled</x:v>
      </x:c>
    </x:row>
    <x:row r="4141" ht="34" customHeight="1">
      <x:c r="A4141" s="4" t="str">
        <x:v>RS-04140-E1</x:v>
      </x:c>
      <x:c r="B4141" s="4" t="str">
        <x:v>RS-04140</x:v>
      </x:c>
      <x:c r="C4141" s="8" t="n">
        <x:v>45559</x:v>
      </x:c>
      <x:c r="D4141" s="4" t="str">
        <x:v>Sales operations manager</x:v>
      </x:c>
      <x:c r="E4141" s="4" t="str">
        <x:v>Spreadsheet import</x:v>
      </x:c>
      <x:c r="F4141" s="4" t="str">
        <x:v>Record captured</x:v>
      </x:c>
      <x:c r="G4141" s="4" t="str">
        <x:v>Enquiry</x:v>
      </x:c>
    </x:row>
    <x:row r="4142" ht="34" customHeight="1">
      <x:c r="A4142" s="4" t="str">
        <x:v>RS-04141-E1</x:v>
      </x:c>
      <x:c r="B4142" s="4" t="str">
        <x:v>RS-04141</x:v>
      </x:c>
      <x:c r="C4142" s="8" t="n">
        <x:v>45560</x:v>
      </x:c>
      <x:c r="D4142" s="4" t="str">
        <x:v>Sales operations manager</x:v>
      </x:c>
      <x:c r="E4142" s="4" t="str">
        <x:v>Paper transcribed</x:v>
      </x:c>
      <x:c r="F4142" s="4" t="str">
        <x:v>Record captured</x:v>
      </x:c>
      <x:c r="G4142" s="4" t="str">
        <x:v>Reserved</x:v>
      </x:c>
    </x:row>
    <x:row r="4143" ht="34" customHeight="1">
      <x:c r="A4143" s="4" t="str">
        <x:v>RS-04142-E1</x:v>
      </x:c>
      <x:c r="B4143" s="4" t="str">
        <x:v>RS-04142</x:v>
      </x:c>
      <x:c r="C4143" s="8" t="n">
        <x:v>45561</x:v>
      </x:c>
      <x:c r="D4143" s="4" t="str">
        <x:v>Sales operations manager</x:v>
      </x:c>
      <x:c r="E4143" s="4" t="str">
        <x:v>WhatsApp transcribed</x:v>
      </x:c>
      <x:c r="F4143" s="4" t="str">
        <x:v>Record captured</x:v>
      </x:c>
      <x:c r="G4143" s="4" t="str">
        <x:v>Cancelled</x:v>
      </x:c>
    </x:row>
    <x:row r="4144" ht="34" customHeight="1">
      <x:c r="A4144" s="4" t="str">
        <x:v>RS-04143-E1</x:v>
      </x:c>
      <x:c r="B4144" s="4" t="str">
        <x:v>RS-04143</x:v>
      </x:c>
      <x:c r="C4144" s="8" t="n">
        <x:v>45562</x:v>
      </x:c>
      <x:c r="D4144" s="4" t="str">
        <x:v>Sales operations manager</x:v>
      </x:c>
      <x:c r="E4144" s="4" t="str">
        <x:v>Paper transcribed</x:v>
      </x:c>
      <x:c r="F4144" s="4" t="str">
        <x:v>Record captured</x:v>
      </x:c>
      <x:c r="G4144" s="4" t="str">
        <x:v>Agreement signed</x:v>
      </x:c>
    </x:row>
    <x:row r="4145" ht="34" customHeight="1">
      <x:c r="A4145" s="4" t="str">
        <x:v>RS-04144-E1</x:v>
      </x:c>
      <x:c r="B4145" s="4" t="str">
        <x:v>RS-04144</x:v>
      </x:c>
      <x:c r="C4145" s="8" t="n">
        <x:v>45563</x:v>
      </x:c>
      <x:c r="D4145" s="4" t="str">
        <x:v>Sales operations manager</x:v>
      </x:c>
      <x:c r="E4145" s="4" t="str">
        <x:v>Paper transcribed</x:v>
      </x:c>
      <x:c r="F4145" s="4" t="str">
        <x:v>Record captured</x:v>
      </x:c>
      <x:c r="G4145" s="4" t="str">
        <x:v>Cancelled</x:v>
      </x:c>
    </x:row>
    <x:row r="4146" ht="34" customHeight="1">
      <x:c r="A4146" s="4" t="str">
        <x:v>RS-04145-E1</x:v>
      </x:c>
      <x:c r="B4146" s="4" t="str">
        <x:v>RS-04145</x:v>
      </x:c>
      <x:c r="C4146" s="8" t="n">
        <x:v>45536</x:v>
      </x:c>
      <x:c r="D4146" s="4" t="str">
        <x:v>Sales operations manager</x:v>
      </x:c>
      <x:c r="E4146" s="4" t="str">
        <x:v>Spreadsheet import</x:v>
      </x:c>
      <x:c r="F4146" s="4" t="str">
        <x:v>Record captured</x:v>
      </x:c>
      <x:c r="G4146" s="4" t="str">
        <x:v>Handed over</x:v>
      </x:c>
    </x:row>
    <x:row r="4147" ht="34" customHeight="1">
      <x:c r="A4147" s="4" t="str">
        <x:v>RS-04146-E1</x:v>
      </x:c>
      <x:c r="B4147" s="4" t="str">
        <x:v>RS-04146</x:v>
      </x:c>
      <x:c r="C4147" s="8" t="n">
        <x:v>45537</x:v>
      </x:c>
      <x:c r="D4147" s="4" t="str">
        <x:v>Sales operations manager</x:v>
      </x:c>
      <x:c r="E4147" s="4" t="str">
        <x:v>ERP form</x:v>
      </x:c>
      <x:c r="F4147" s="4" t="str">
        <x:v>Record captured</x:v>
      </x:c>
      <x:c r="G4147" s="4" t="str">
        <x:v>Enquiry</x:v>
      </x:c>
    </x:row>
    <x:row r="4148" ht="34" customHeight="1">
      <x:c r="A4148" s="4" t="str">
        <x:v>RS-04147-E1</x:v>
      </x:c>
      <x:c r="B4148" s="4" t="str">
        <x:v>RS-04147</x:v>
      </x:c>
      <x:c r="C4148" s="8" t="n">
        <x:v>45538</x:v>
      </x:c>
      <x:c r="D4148" s="4" t="str">
        <x:v>Sales operations manager</x:v>
      </x:c>
      <x:c r="E4148" s="4" t="str">
        <x:v>ERP form</x:v>
      </x:c>
      <x:c r="F4148" s="4" t="str">
        <x:v>Record captured</x:v>
      </x:c>
      <x:c r="G4148" s="4" t="str">
        <x:v>Handed over</x:v>
      </x:c>
    </x:row>
    <x:row r="4149" ht="34" customHeight="1">
      <x:c r="A4149" s="4" t="str">
        <x:v>RS-04148-E1</x:v>
      </x:c>
      <x:c r="B4149" s="4" t="str">
        <x:v>RS-04148</x:v>
      </x:c>
      <x:c r="C4149" s="8" t="n">
        <x:v>45539</x:v>
      </x:c>
      <x:c r="D4149" s="4" t="str">
        <x:v>Sales operations manager</x:v>
      </x:c>
      <x:c r="E4149" s="4" t="str">
        <x:v>Spreadsheet import</x:v>
      </x:c>
      <x:c r="F4149" s="4" t="str">
        <x:v>Record captured</x:v>
      </x:c>
      <x:c r="G4149" s="4" t="str">
        <x:v>Enquiry</x:v>
      </x:c>
    </x:row>
    <x:row r="4150" ht="34" customHeight="1">
      <x:c r="A4150" s="4" t="str">
        <x:v>RS-04149-E1</x:v>
      </x:c>
      <x:c r="B4150" s="4" t="str">
        <x:v>RS-04149</x:v>
      </x:c>
      <x:c r="C4150" s="8" t="n">
        <x:v>45540</x:v>
      </x:c>
      <x:c r="D4150" s="4" t="str">
        <x:v>Sales operations manager</x:v>
      </x:c>
      <x:c r="E4150" s="4" t="str">
        <x:v>Paper transcribed</x:v>
      </x:c>
      <x:c r="F4150" s="4" t="str">
        <x:v>Record captured</x:v>
      </x:c>
      <x:c r="G4150" s="4" t="str">
        <x:v>Reserved</x:v>
      </x:c>
    </x:row>
    <x:row r="4151" ht="34" customHeight="1">
      <x:c r="A4151" s="4" t="str">
        <x:v>RS-04150-E1</x:v>
      </x:c>
      <x:c r="B4151" s="4" t="str">
        <x:v>RS-04150</x:v>
      </x:c>
      <x:c r="C4151" s="8" t="n">
        <x:v>45541</x:v>
      </x:c>
      <x:c r="D4151" s="4" t="str">
        <x:v>Sales operations manager</x:v>
      </x:c>
      <x:c r="E4151" s="4" t="str">
        <x:v>ERP form</x:v>
      </x:c>
      <x:c r="F4151" s="4" t="str">
        <x:v>Record captured</x:v>
      </x:c>
      <x:c r="G4151" s="4" t="str">
        <x:v>Agreement signed</x:v>
      </x:c>
    </x:row>
    <x:row r="4152" ht="34" customHeight="1">
      <x:c r="A4152" s="4" t="str">
        <x:v>RS-04151-E1</x:v>
      </x:c>
      <x:c r="B4152" s="4" t="str">
        <x:v>RS-04151</x:v>
      </x:c>
      <x:c r="C4152" s="8" t="n">
        <x:v>45542</x:v>
      </x:c>
      <x:c r="D4152" s="4" t="str">
        <x:v>Sales operations manager</x:v>
      </x:c>
      <x:c r="E4152" s="4" t="str">
        <x:v>Spreadsheet import</x:v>
      </x:c>
      <x:c r="F4152" s="4" t="str">
        <x:v>Record captured</x:v>
      </x:c>
      <x:c r="G4152" s="4" t="str">
        <x:v>Enquiry</x:v>
      </x:c>
    </x:row>
    <x:row r="4153" ht="34" customHeight="1">
      <x:c r="A4153" s="4" t="str">
        <x:v>RS-04152-E1</x:v>
      </x:c>
      <x:c r="B4153" s="4" t="str">
        <x:v>RS-04152</x:v>
      </x:c>
      <x:c r="C4153" s="8" t="n">
        <x:v>45543</x:v>
      </x:c>
      <x:c r="D4153" s="4" t="str">
        <x:v>Sales operations manager</x:v>
      </x:c>
      <x:c r="E4153" s="4" t="str">
        <x:v>WhatsApp transcribed</x:v>
      </x:c>
      <x:c r="F4153" s="4" t="str">
        <x:v>Record captured</x:v>
      </x:c>
      <x:c r="G4153" s="4" t="str">
        <x:v>Cancelled</x:v>
      </x:c>
    </x:row>
    <x:row r="4154" ht="34" customHeight="1">
      <x:c r="A4154" s="4" t="str">
        <x:v>RS-04153-E1</x:v>
      </x:c>
      <x:c r="B4154" s="4" t="str">
        <x:v>RS-04153</x:v>
      </x:c>
      <x:c r="C4154" s="8" t="n">
        <x:v>45544</x:v>
      </x:c>
      <x:c r="D4154" s="4" t="str">
        <x:v>Sales operations manager</x:v>
      </x:c>
      <x:c r="E4154" s="4" t="str">
        <x:v>ERP form</x:v>
      </x:c>
      <x:c r="F4154" s="4" t="str">
        <x:v>Record captured</x:v>
      </x:c>
      <x:c r="G4154" s="4" t="str">
        <x:v>Cancelled</x:v>
      </x:c>
    </x:row>
    <x:row r="4155" ht="34" customHeight="1">
      <x:c r="A4155" s="4" t="str">
        <x:v>RS-04154-E1</x:v>
      </x:c>
      <x:c r="B4155" s="4" t="str">
        <x:v>RS-04154</x:v>
      </x:c>
      <x:c r="C4155" s="8" t="n">
        <x:v>45545</x:v>
      </x:c>
      <x:c r="D4155" s="4" t="str">
        <x:v>Sales operations manager</x:v>
      </x:c>
      <x:c r="E4155" s="4" t="str">
        <x:v>Paper transcribed</x:v>
      </x:c>
      <x:c r="F4155" s="4" t="str">
        <x:v>Record captured</x:v>
      </x:c>
      <x:c r="G4155" s="4" t="str">
        <x:v>Booked</x:v>
      </x:c>
    </x:row>
    <x:row r="4156" ht="34" customHeight="1">
      <x:c r="A4156" s="4" t="str">
        <x:v>RS-04155-E1</x:v>
      </x:c>
      <x:c r="B4156" s="4" t="str">
        <x:v>RS-04155</x:v>
      </x:c>
      <x:c r="C4156" s="8" t="n">
        <x:v>45546</x:v>
      </x:c>
      <x:c r="D4156" s="4" t="str">
        <x:v>Sales operations manager</x:v>
      </x:c>
      <x:c r="E4156" s="4" t="str">
        <x:v>Spreadsheet import</x:v>
      </x:c>
      <x:c r="F4156" s="4" t="str">
        <x:v>Record captured</x:v>
      </x:c>
      <x:c r="G4156" s="4" t="str">
        <x:v>Enquiry</x:v>
      </x:c>
    </x:row>
    <x:row r="4157" ht="34" customHeight="1">
      <x:c r="A4157" s="4" t="str">
        <x:v>RS-04156-E1</x:v>
      </x:c>
      <x:c r="B4157" s="4" t="str">
        <x:v>RS-04156</x:v>
      </x:c>
      <x:c r="C4157" s="8" t="n">
        <x:v>45547</x:v>
      </x:c>
      <x:c r="D4157" s="4" t="str">
        <x:v>Sales operations manager</x:v>
      </x:c>
      <x:c r="E4157" s="4" t="str">
        <x:v>WhatsApp transcribed</x:v>
      </x:c>
      <x:c r="F4157" s="4" t="str">
        <x:v>Record captured</x:v>
      </x:c>
      <x:c r="G4157" s="4" t="str">
        <x:v>Booked</x:v>
      </x:c>
    </x:row>
    <x:row r="4158" ht="34" customHeight="1">
      <x:c r="A4158" s="4" t="str">
        <x:v>RS-04157-E1</x:v>
      </x:c>
      <x:c r="B4158" s="4" t="str">
        <x:v>RS-04157</x:v>
      </x:c>
      <x:c r="C4158" s="8" t="n">
        <x:v>45548</x:v>
      </x:c>
      <x:c r="D4158" s="4" t="str">
        <x:v>Sales operations manager</x:v>
      </x:c>
      <x:c r="E4158" s="4" t="str">
        <x:v>Paper transcribed</x:v>
      </x:c>
      <x:c r="F4158" s="4" t="str">
        <x:v>Record captured</x:v>
      </x:c>
      <x:c r="G4158" s="4" t="str">
        <x:v>Reserved</x:v>
      </x:c>
    </x:row>
    <x:row r="4159" ht="34" customHeight="1">
      <x:c r="A4159" s="4" t="str">
        <x:v>RS-04158-E1</x:v>
      </x:c>
      <x:c r="B4159" s="4" t="str">
        <x:v>RS-04158</x:v>
      </x:c>
      <x:c r="C4159" s="8" t="n">
        <x:v>45549</x:v>
      </x:c>
      <x:c r="D4159" s="4" t="str">
        <x:v>Sales operations manager</x:v>
      </x:c>
      <x:c r="E4159" s="4" t="str">
        <x:v>WhatsApp transcribed</x:v>
      </x:c>
      <x:c r="F4159" s="4" t="str">
        <x:v>Record captured</x:v>
      </x:c>
      <x:c r="G4159" s="4" t="str">
        <x:v>Agreement signed</x:v>
      </x:c>
    </x:row>
    <x:row r="4160" ht="34" customHeight="1">
      <x:c r="A4160" s="4" t="str">
        <x:v>RS-04159-E1</x:v>
      </x:c>
      <x:c r="B4160" s="4" t="str">
        <x:v>RS-04159</x:v>
      </x:c>
      <x:c r="C4160" s="8" t="n">
        <x:v>45550</x:v>
      </x:c>
      <x:c r="D4160" s="4" t="str">
        <x:v>Sales operations manager</x:v>
      </x:c>
      <x:c r="E4160" s="4" t="str">
        <x:v>ERP form</x:v>
      </x:c>
      <x:c r="F4160" s="4" t="str">
        <x:v>Record captured</x:v>
      </x:c>
      <x:c r="G4160" s="4" t="str">
        <x:v>Reserved</x:v>
      </x:c>
    </x:row>
    <x:row r="4161" ht="34" customHeight="1">
      <x:c r="A4161" s="4" t="str">
        <x:v>RS-04160-E1</x:v>
      </x:c>
      <x:c r="B4161" s="4" t="str">
        <x:v>RS-04160</x:v>
      </x:c>
      <x:c r="C4161" s="8" t="n">
        <x:v>45551</x:v>
      </x:c>
      <x:c r="D4161" s="4" t="str">
        <x:v>Sales operations manager</x:v>
      </x:c>
      <x:c r="E4161" s="4" t="str">
        <x:v>Spreadsheet import</x:v>
      </x:c>
      <x:c r="F4161" s="4" t="str">
        <x:v>Record captured</x:v>
      </x:c>
      <x:c r="G4161" s="4" t="str">
        <x:v>Enquiry</x:v>
      </x:c>
    </x:row>
    <x:row r="4162" ht="34" customHeight="1">
      <x:c r="A4162" s="4" t="str">
        <x:v>RS-04161-E1</x:v>
      </x:c>
      <x:c r="B4162" s="4" t="str">
        <x:v>RS-04161</x:v>
      </x:c>
      <x:c r="C4162" s="8" t="n">
        <x:v>45552</x:v>
      </x:c>
      <x:c r="D4162" s="4" t="str">
        <x:v>Sales operations manager</x:v>
      </x:c>
      <x:c r="E4162" s="4" t="str">
        <x:v>Spreadsheet import</x:v>
      </x:c>
      <x:c r="F4162" s="4" t="str">
        <x:v>Record captured</x:v>
      </x:c>
      <x:c r="G4162" s="4" t="str">
        <x:v>Cancelled</x:v>
      </x:c>
    </x:row>
    <x:row r="4163" ht="34" customHeight="1">
      <x:c r="A4163" s="4" t="str">
        <x:v>RS-04162-E1</x:v>
      </x:c>
      <x:c r="B4163" s="4" t="str">
        <x:v>RS-04162</x:v>
      </x:c>
      <x:c r="C4163" s="8" t="n">
        <x:v>45553</x:v>
      </x:c>
      <x:c r="D4163" s="4" t="str">
        <x:v>Sales operations manager</x:v>
      </x:c>
      <x:c r="E4163" s="4" t="str">
        <x:v>Paper transcribed</x:v>
      </x:c>
      <x:c r="F4163" s="4" t="str">
        <x:v>Record captured</x:v>
      </x:c>
      <x:c r="G4163" s="4" t="str">
        <x:v>Cancelled</x:v>
      </x:c>
    </x:row>
    <x:row r="4164" ht="34" customHeight="1">
      <x:c r="A4164" s="4" t="str">
        <x:v>RS-04163-E1</x:v>
      </x:c>
      <x:c r="B4164" s="4" t="str">
        <x:v>RS-04163</x:v>
      </x:c>
      <x:c r="C4164" s="8" t="n">
        <x:v>45554</x:v>
      </x:c>
      <x:c r="D4164" s="4" t="str">
        <x:v>Sales operations manager</x:v>
      </x:c>
      <x:c r="E4164" s="4" t="str">
        <x:v>WhatsApp transcribed</x:v>
      </x:c>
      <x:c r="F4164" s="4" t="str">
        <x:v>Record captured</x:v>
      </x:c>
      <x:c r="G4164" s="4" t="str">
        <x:v>Booked</x:v>
      </x:c>
    </x:row>
    <x:row r="4165" ht="34" customHeight="1">
      <x:c r="A4165" s="4" t="str">
        <x:v>RS-04164-E1</x:v>
      </x:c>
      <x:c r="B4165" s="4" t="str">
        <x:v>RS-04164</x:v>
      </x:c>
      <x:c r="C4165" s="8" t="n">
        <x:v>45555</x:v>
      </x:c>
      <x:c r="D4165" s="4" t="str">
        <x:v>Sales operations manager</x:v>
      </x:c>
      <x:c r="E4165" s="4" t="str">
        <x:v>Spreadsheet import</x:v>
      </x:c>
      <x:c r="F4165" s="4" t="str">
        <x:v>Record captured</x:v>
      </x:c>
      <x:c r="G4165" s="4" t="str">
        <x:v>Handed over</x:v>
      </x:c>
    </x:row>
    <x:row r="4166" ht="34" customHeight="1">
      <x:c r="A4166" s="4" t="str">
        <x:v>RS-04165-E1</x:v>
      </x:c>
      <x:c r="B4166" s="4" t="str">
        <x:v>RS-04165</x:v>
      </x:c>
      <x:c r="C4166" s="8" t="n">
        <x:v>45556</x:v>
      </x:c>
      <x:c r="D4166" s="4" t="str">
        <x:v>Sales operations manager</x:v>
      </x:c>
      <x:c r="E4166" s="4" t="str">
        <x:v>Spreadsheet import</x:v>
      </x:c>
      <x:c r="F4166" s="4" t="str">
        <x:v>Record captured</x:v>
      </x:c>
      <x:c r="G4166" s="4" t="str">
        <x:v>Reserved</x:v>
      </x:c>
    </x:row>
    <x:row r="4167" ht="34" customHeight="1">
      <x:c r="A4167" s="4" t="str">
        <x:v>RS-04166-E1</x:v>
      </x:c>
      <x:c r="B4167" s="4" t="str">
        <x:v>RS-04166</x:v>
      </x:c>
      <x:c r="C4167" s="8" t="n">
        <x:v>45557</x:v>
      </x:c>
      <x:c r="D4167" s="4" t="str">
        <x:v>Sales operations manager</x:v>
      </x:c>
      <x:c r="E4167" s="4" t="str">
        <x:v>Paper transcribed</x:v>
      </x:c>
      <x:c r="F4167" s="4" t="str">
        <x:v>Record captured</x:v>
      </x:c>
      <x:c r="G4167" s="4" t="str">
        <x:v>Reserved</x:v>
      </x:c>
    </x:row>
    <x:row r="4168" ht="34" customHeight="1">
      <x:c r="A4168" s="4" t="str">
        <x:v>RS-04167-E1</x:v>
      </x:c>
      <x:c r="B4168" s="4" t="str">
        <x:v>RS-04167</x:v>
      </x:c>
      <x:c r="C4168" s="8" t="n">
        <x:v>45558</x:v>
      </x:c>
      <x:c r="D4168" s="4" t="str">
        <x:v>Sales operations manager</x:v>
      </x:c>
      <x:c r="E4168" s="4" t="str">
        <x:v>ERP form</x:v>
      </x:c>
      <x:c r="F4168" s="4" t="str">
        <x:v>Record captured</x:v>
      </x:c>
      <x:c r="G4168" s="4" t="str">
        <x:v>Cancelled</x:v>
      </x:c>
    </x:row>
    <x:row r="4169" ht="34" customHeight="1">
      <x:c r="A4169" s="4" t="str">
        <x:v>RS-04168-E1</x:v>
      </x:c>
      <x:c r="B4169" s="4" t="str">
        <x:v>RS-04168</x:v>
      </x:c>
      <x:c r="C4169" s="8" t="n">
        <x:v>45559</x:v>
      </x:c>
      <x:c r="D4169" s="4" t="str">
        <x:v>Sales operations manager</x:v>
      </x:c>
      <x:c r="E4169" s="4" t="str">
        <x:v>Paper transcribed</x:v>
      </x:c>
      <x:c r="F4169" s="4" t="str">
        <x:v>Record captured</x:v>
      </x:c>
      <x:c r="G4169" s="4" t="str">
        <x:v>Cancelled</x:v>
      </x:c>
    </x:row>
    <x:row r="4170" ht="34" customHeight="1">
      <x:c r="A4170" s="4" t="str">
        <x:v>RS-04169-E1</x:v>
      </x:c>
      <x:c r="B4170" s="4" t="str">
        <x:v>RS-04169</x:v>
      </x:c>
      <x:c r="C4170" s="8" t="n">
        <x:v>45560</x:v>
      </x:c>
      <x:c r="D4170" s="4" t="str">
        <x:v>Sales operations manager</x:v>
      </x:c>
      <x:c r="E4170" s="4" t="str">
        <x:v>ERP form</x:v>
      </x:c>
      <x:c r="F4170" s="4" t="str">
        <x:v>Record captured</x:v>
      </x:c>
      <x:c r="G4170" s="4" t="str">
        <x:v>Agreement signed</x:v>
      </x:c>
    </x:row>
    <x:row r="4171" ht="34" customHeight="1">
      <x:c r="A4171" s="4" t="str">
        <x:v>RS-04170-E1</x:v>
      </x:c>
      <x:c r="B4171" s="4" t="str">
        <x:v>RS-04170</x:v>
      </x:c>
      <x:c r="C4171" s="8" t="n">
        <x:v>45561</x:v>
      </x:c>
      <x:c r="D4171" s="4" t="str">
        <x:v>Sales operations manager</x:v>
      </x:c>
      <x:c r="E4171" s="4" t="str">
        <x:v>Spreadsheet import</x:v>
      </x:c>
      <x:c r="F4171" s="4" t="str">
        <x:v>Record captured</x:v>
      </x:c>
      <x:c r="G4171" s="4" t="str">
        <x:v>Handed over</x:v>
      </x:c>
    </x:row>
    <x:row r="4172" ht="34" customHeight="1">
      <x:c r="A4172" s="4" t="str">
        <x:v>RS-04171-E1</x:v>
      </x:c>
      <x:c r="B4172" s="4" t="str">
        <x:v>RS-04171</x:v>
      </x:c>
      <x:c r="C4172" s="8" t="n">
        <x:v>45562</x:v>
      </x:c>
      <x:c r="D4172" s="4" t="str">
        <x:v>Sales operations manager</x:v>
      </x:c>
      <x:c r="E4172" s="4" t="str">
        <x:v>Paper transcribed</x:v>
      </x:c>
      <x:c r="F4172" s="4" t="str">
        <x:v>Record captured</x:v>
      </x:c>
      <x:c r="G4172" s="4" t="str">
        <x:v>Agreement signed</x:v>
      </x:c>
    </x:row>
    <x:row r="4173" ht="34" customHeight="1">
      <x:c r="A4173" s="4" t="str">
        <x:v>RS-04172-E1</x:v>
      </x:c>
      <x:c r="B4173" s="4" t="str">
        <x:v>RS-04172</x:v>
      </x:c>
      <x:c r="C4173" s="8" t="n">
        <x:v>45563</x:v>
      </x:c>
      <x:c r="D4173" s="4" t="str">
        <x:v>Sales operations manager</x:v>
      </x:c>
      <x:c r="E4173" s="4" t="str">
        <x:v>Spreadsheet import</x:v>
      </x:c>
      <x:c r="F4173" s="4" t="str">
        <x:v>Record captured</x:v>
      </x:c>
      <x:c r="G4173" s="4" t="str">
        <x:v>Cancelled</x:v>
      </x:c>
    </x:row>
    <x:row r="4174" ht="34" customHeight="1">
      <x:c r="A4174" s="4" t="str">
        <x:v>RS-04173-E1</x:v>
      </x:c>
      <x:c r="B4174" s="4" t="str">
        <x:v>RS-04173</x:v>
      </x:c>
      <x:c r="C4174" s="8" t="n">
        <x:v>45536</x:v>
      </x:c>
      <x:c r="D4174" s="4" t="str">
        <x:v>Sales operations manager</x:v>
      </x:c>
      <x:c r="E4174" s="4" t="str">
        <x:v>ERP form</x:v>
      </x:c>
      <x:c r="F4174" s="4" t="str">
        <x:v>Record captured</x:v>
      </x:c>
      <x:c r="G4174" s="4" t="str">
        <x:v>Handed over</x:v>
      </x:c>
    </x:row>
    <x:row r="4175" ht="34" customHeight="1">
      <x:c r="A4175" s="4" t="str">
        <x:v>RS-04174-E1</x:v>
      </x:c>
      <x:c r="B4175" s="4" t="str">
        <x:v>RS-04174</x:v>
      </x:c>
      <x:c r="C4175" s="8" t="n">
        <x:v>45537</x:v>
      </x:c>
      <x:c r="D4175" s="4" t="str">
        <x:v>Sales operations manager</x:v>
      </x:c>
      <x:c r="E4175" s="4" t="str">
        <x:v>Spreadsheet import</x:v>
      </x:c>
      <x:c r="F4175" s="4" t="str">
        <x:v>Record captured</x:v>
      </x:c>
      <x:c r="G4175" s="4" t="str">
        <x:v>Booked</x:v>
      </x:c>
    </x:row>
    <x:row r="4176" ht="34" customHeight="1">
      <x:c r="A4176" s="4" t="str">
        <x:v>RS-04175-E1</x:v>
      </x:c>
      <x:c r="B4176" s="4" t="str">
        <x:v>RS-04175</x:v>
      </x:c>
      <x:c r="C4176" s="8" t="n">
        <x:v>45538</x:v>
      </x:c>
      <x:c r="D4176" s="4" t="str">
        <x:v>Sales operations manager</x:v>
      </x:c>
      <x:c r="E4176" s="4" t="str">
        <x:v>Spreadsheet import</x:v>
      </x:c>
      <x:c r="F4176" s="4" t="str">
        <x:v>Record captured</x:v>
      </x:c>
      <x:c r="G4176" s="4" t="str">
        <x:v>Booked</x:v>
      </x:c>
    </x:row>
    <x:row r="4177" ht="34" customHeight="1">
      <x:c r="A4177" s="4" t="str">
        <x:v>RS-04176-E1</x:v>
      </x:c>
      <x:c r="B4177" s="4" t="str">
        <x:v>RS-04176</x:v>
      </x:c>
      <x:c r="C4177" s="8" t="n">
        <x:v>45539</x:v>
      </x:c>
      <x:c r="D4177" s="4" t="str">
        <x:v>Sales operations manager</x:v>
      </x:c>
      <x:c r="E4177" s="4" t="str">
        <x:v>ERP form</x:v>
      </x:c>
      <x:c r="F4177" s="4" t="str">
        <x:v>Record captured</x:v>
      </x:c>
      <x:c r="G4177" s="4" t="str">
        <x:v>Handed over</x:v>
      </x:c>
    </x:row>
    <x:row r="4178" ht="34" customHeight="1">
      <x:c r="A4178" s="4" t="str">
        <x:v>RS-04177-E1</x:v>
      </x:c>
      <x:c r="B4178" s="4" t="str">
        <x:v>RS-04177</x:v>
      </x:c>
      <x:c r="C4178" s="8" t="n">
        <x:v>45540</x:v>
      </x:c>
      <x:c r="D4178" s="4" t="str">
        <x:v>Sales operations manager</x:v>
      </x:c>
      <x:c r="E4178" s="4" t="str">
        <x:v>ERP form</x:v>
      </x:c>
      <x:c r="F4178" s="4" t="str">
        <x:v>Record captured</x:v>
      </x:c>
      <x:c r="G4178" s="4" t="str">
        <x:v>Cancelled</x:v>
      </x:c>
    </x:row>
    <x:row r="4179" ht="34" customHeight="1">
      <x:c r="A4179" s="4" t="str">
        <x:v>RS-04178-E1</x:v>
      </x:c>
      <x:c r="B4179" s="4" t="str">
        <x:v>RS-04178</x:v>
      </x:c>
      <x:c r="C4179" s="8" t="n">
        <x:v>45541</x:v>
      </x:c>
      <x:c r="D4179" s="4" t="str">
        <x:v>Sales operations manager</x:v>
      </x:c>
      <x:c r="E4179" s="4" t="str">
        <x:v>Paper transcribed</x:v>
      </x:c>
      <x:c r="F4179" s="4" t="str">
        <x:v>Record captured</x:v>
      </x:c>
      <x:c r="G4179" s="4" t="str">
        <x:v>Handed over</x:v>
      </x:c>
    </x:row>
    <x:row r="4180" ht="34" customHeight="1">
      <x:c r="A4180" s="4" t="str">
        <x:v>RS-04179-E1</x:v>
      </x:c>
      <x:c r="B4180" s="4" t="str">
        <x:v>RS-04179</x:v>
      </x:c>
      <x:c r="C4180" s="8" t="n">
        <x:v>45542</x:v>
      </x:c>
      <x:c r="D4180" s="4" t="str">
        <x:v>Sales operations manager</x:v>
      </x:c>
      <x:c r="E4180" s="4" t="str">
        <x:v>Paper transcribed</x:v>
      </x:c>
      <x:c r="F4180" s="4" t="str">
        <x:v>Record captured</x:v>
      </x:c>
      <x:c r="G4180" s="4" t="str">
        <x:v>Agreement signed</x:v>
      </x:c>
    </x:row>
    <x:row r="4181" ht="34" customHeight="1">
      <x:c r="A4181" s="4" t="str">
        <x:v>RS-04180-E1</x:v>
      </x:c>
      <x:c r="B4181" s="4" t="str">
        <x:v>RS-04180</x:v>
      </x:c>
      <x:c r="C4181" s="8" t="n">
        <x:v>45543</x:v>
      </x:c>
      <x:c r="D4181" s="4" t="str">
        <x:v>Sales operations manager</x:v>
      </x:c>
      <x:c r="E4181" s="4" t="str">
        <x:v>WhatsApp transcribed</x:v>
      </x:c>
      <x:c r="F4181" s="4" t="str">
        <x:v>Record captured</x:v>
      </x:c>
      <x:c r="G4181" s="4" t="str">
        <x:v>Booked</x:v>
      </x:c>
    </x:row>
    <x:row r="4182" ht="34" customHeight="1">
      <x:c r="A4182" s="4" t="str">
        <x:v>RS-04181-E1</x:v>
      </x:c>
      <x:c r="B4182" s="4" t="str">
        <x:v>RS-04181</x:v>
      </x:c>
      <x:c r="C4182" s="8" t="n">
        <x:v>45544</x:v>
      </x:c>
      <x:c r="D4182" s="4" t="str">
        <x:v>Sales operations manager</x:v>
      </x:c>
      <x:c r="E4182" s="4" t="str">
        <x:v>Paper transcribed</x:v>
      </x:c>
      <x:c r="F4182" s="4" t="str">
        <x:v>Record captured</x:v>
      </x:c>
      <x:c r="G4182" s="4" t="str">
        <x:v>Enquiry</x:v>
      </x:c>
    </x:row>
    <x:row r="4183" ht="34" customHeight="1">
      <x:c r="A4183" s="4" t="str">
        <x:v>RS-04182-E1</x:v>
      </x:c>
      <x:c r="B4183" s="4" t="str">
        <x:v>RS-04182</x:v>
      </x:c>
      <x:c r="C4183" s="8" t="n">
        <x:v>45545</x:v>
      </x:c>
      <x:c r="D4183" s="4" t="str">
        <x:v>Sales operations manager</x:v>
      </x:c>
      <x:c r="E4183" s="4" t="str">
        <x:v>Spreadsheet import</x:v>
      </x:c>
      <x:c r="F4183" s="4" t="str">
        <x:v>Record captured</x:v>
      </x:c>
      <x:c r="G4183" s="4" t="str">
        <x:v>Reserved</x:v>
      </x:c>
    </x:row>
    <x:row r="4184" ht="34" customHeight="1">
      <x:c r="A4184" s="4" t="str">
        <x:v>RS-04183-E1</x:v>
      </x:c>
      <x:c r="B4184" s="4" t="str">
        <x:v>RS-04183</x:v>
      </x:c>
      <x:c r="C4184" s="8" t="n">
        <x:v>45546</x:v>
      </x:c>
      <x:c r="D4184" s="4" t="str">
        <x:v>Sales operations manager</x:v>
      </x:c>
      <x:c r="E4184" s="4" t="str">
        <x:v>ERP form</x:v>
      </x:c>
      <x:c r="F4184" s="4" t="str">
        <x:v>Record captured</x:v>
      </x:c>
      <x:c r="G4184" s="4" t="str">
        <x:v>Enquiry</x:v>
      </x:c>
    </x:row>
    <x:row r="4185" ht="34" customHeight="1">
      <x:c r="A4185" s="4" t="str">
        <x:v>RS-04184-E1</x:v>
      </x:c>
      <x:c r="B4185" s="4" t="str">
        <x:v>RS-04184</x:v>
      </x:c>
      <x:c r="C4185" s="8" t="n">
        <x:v>45547</x:v>
      </x:c>
      <x:c r="D4185" s="4" t="str">
        <x:v>Sales operations manager</x:v>
      </x:c>
      <x:c r="E4185" s="4" t="str">
        <x:v>WhatsApp transcribed</x:v>
      </x:c>
      <x:c r="F4185" s="4" t="str">
        <x:v>Record captured</x:v>
      </x:c>
      <x:c r="G4185" s="4" t="str">
        <x:v>Booked</x:v>
      </x:c>
    </x:row>
    <x:row r="4186" ht="34" customHeight="1">
      <x:c r="A4186" s="4" t="str">
        <x:v>RS-04185-E1</x:v>
      </x:c>
      <x:c r="B4186" s="4" t="str">
        <x:v>RS-04185</x:v>
      </x:c>
      <x:c r="C4186" s="8" t="n">
        <x:v>45548</x:v>
      </x:c>
      <x:c r="D4186" s="4" t="str">
        <x:v>Sales operations manager</x:v>
      </x:c>
      <x:c r="E4186" s="4" t="str">
        <x:v>WhatsApp transcribed</x:v>
      </x:c>
      <x:c r="F4186" s="4" t="str">
        <x:v>Record captured</x:v>
      </x:c>
      <x:c r="G4186" s="4" t="str">
        <x:v>Agreement signed</x:v>
      </x:c>
    </x:row>
    <x:row r="4187" ht="34" customHeight="1">
      <x:c r="A4187" s="4" t="str">
        <x:v>RS-04186-E1</x:v>
      </x:c>
      <x:c r="B4187" s="4" t="str">
        <x:v>RS-04186</x:v>
      </x:c>
      <x:c r="C4187" s="8" t="n">
        <x:v>45549</x:v>
      </x:c>
      <x:c r="D4187" s="4" t="str">
        <x:v>Sales operations manager</x:v>
      </x:c>
      <x:c r="E4187" s="4" t="str">
        <x:v>WhatsApp transcribed</x:v>
      </x:c>
      <x:c r="F4187" s="4" t="str">
        <x:v>Record captured</x:v>
      </x:c>
      <x:c r="G4187" s="4" t="str">
        <x:v>Reserved</x:v>
      </x:c>
    </x:row>
    <x:row r="4188" ht="34" customHeight="1">
      <x:c r="A4188" s="4" t="str">
        <x:v>RS-04187-E1</x:v>
      </x:c>
      <x:c r="B4188" s="4" t="str">
        <x:v>RS-04187</x:v>
      </x:c>
      <x:c r="C4188" s="8" t="n">
        <x:v>45550</x:v>
      </x:c>
      <x:c r="D4188" s="4" t="str">
        <x:v>Sales operations manager</x:v>
      </x:c>
      <x:c r="E4188" s="4" t="str">
        <x:v>Paper transcribed</x:v>
      </x:c>
      <x:c r="F4188" s="4" t="str">
        <x:v>Record captured</x:v>
      </x:c>
      <x:c r="G4188" s="4" t="str">
        <x:v>Cancelled</x:v>
      </x:c>
    </x:row>
    <x:row r="4189" ht="34" customHeight="1">
      <x:c r="A4189" s="4" t="str">
        <x:v>RS-04188-E1</x:v>
      </x:c>
      <x:c r="B4189" s="4" t="str">
        <x:v>RS-04188</x:v>
      </x:c>
      <x:c r="C4189" s="8" t="n">
        <x:v>45551</x:v>
      </x:c>
      <x:c r="D4189" s="4" t="str">
        <x:v>Sales operations manager</x:v>
      </x:c>
      <x:c r="E4189" s="4" t="str">
        <x:v>ERP form</x:v>
      </x:c>
      <x:c r="F4189" s="4" t="str">
        <x:v>Record captured</x:v>
      </x:c>
      <x:c r="G4189" s="4" t="str">
        <x:v>Booked</x:v>
      </x:c>
    </x:row>
    <x:row r="4190" ht="34" customHeight="1">
      <x:c r="A4190" s="4" t="str">
        <x:v>RS-04189-E1</x:v>
      </x:c>
      <x:c r="B4190" s="4" t="str">
        <x:v>RS-04189</x:v>
      </x:c>
      <x:c r="C4190" s="8" t="n">
        <x:v>45552</x:v>
      </x:c>
      <x:c r="D4190" s="4" t="str">
        <x:v>Sales operations manager</x:v>
      </x:c>
      <x:c r="E4190" s="4" t="str">
        <x:v>ERP form</x:v>
      </x:c>
      <x:c r="F4190" s="4" t="str">
        <x:v>Record captured</x:v>
      </x:c>
      <x:c r="G4190" s="4" t="str">
        <x:v>Booked</x:v>
      </x:c>
    </x:row>
    <x:row r="4191" ht="34" customHeight="1">
      <x:c r="A4191" s="4" t="str">
        <x:v>RS-04190-E1</x:v>
      </x:c>
      <x:c r="B4191" s="4" t="str">
        <x:v>RS-04190</x:v>
      </x:c>
      <x:c r="C4191" s="8" t="n">
        <x:v>45553</x:v>
      </x:c>
      <x:c r="D4191" s="4" t="str">
        <x:v>Sales operations manager</x:v>
      </x:c>
      <x:c r="E4191" s="4" t="str">
        <x:v>WhatsApp transcribed</x:v>
      </x:c>
      <x:c r="F4191" s="4" t="str">
        <x:v>Record captured</x:v>
      </x:c>
      <x:c r="G4191" s="4" t="str">
        <x:v>Handed over</x:v>
      </x:c>
    </x:row>
    <x:row r="4192" ht="34" customHeight="1">
      <x:c r="A4192" s="4" t="str">
        <x:v>RS-04191-E1</x:v>
      </x:c>
      <x:c r="B4192" s="4" t="str">
        <x:v>RS-04191</x:v>
      </x:c>
      <x:c r="C4192" s="8" t="n">
        <x:v>45554</x:v>
      </x:c>
      <x:c r="D4192" s="4" t="str">
        <x:v>Sales operations manager</x:v>
      </x:c>
      <x:c r="E4192" s="4" t="str">
        <x:v>Spreadsheet import</x:v>
      </x:c>
      <x:c r="F4192" s="4" t="str">
        <x:v>Record captured</x:v>
      </x:c>
      <x:c r="G4192" s="4" t="str">
        <x:v>Reserved</x:v>
      </x:c>
    </x:row>
    <x:row r="4193" ht="34" customHeight="1">
      <x:c r="A4193" s="4" t="str">
        <x:v>RS-04192-E1</x:v>
      </x:c>
      <x:c r="B4193" s="4" t="str">
        <x:v>RS-04192</x:v>
      </x:c>
      <x:c r="C4193" s="8" t="n">
        <x:v>45555</x:v>
      </x:c>
      <x:c r="D4193" s="4" t="str">
        <x:v>Sales operations manager</x:v>
      </x:c>
      <x:c r="E4193" s="4" t="str">
        <x:v>Paper transcribed</x:v>
      </x:c>
      <x:c r="F4193" s="4" t="str">
        <x:v>Record captured</x:v>
      </x:c>
      <x:c r="G4193" s="4" t="str">
        <x:v>Enquiry</x:v>
      </x:c>
    </x:row>
    <x:row r="4194" ht="34" customHeight="1">
      <x:c r="A4194" s="4" t="str">
        <x:v>RS-04193-E1</x:v>
      </x:c>
      <x:c r="B4194" s="4" t="str">
        <x:v>RS-04193</x:v>
      </x:c>
      <x:c r="C4194" s="8" t="n">
        <x:v>45556</x:v>
      </x:c>
      <x:c r="D4194" s="4" t="str">
        <x:v>Sales operations manager</x:v>
      </x:c>
      <x:c r="E4194" s="4" t="str">
        <x:v>WhatsApp transcribed</x:v>
      </x:c>
      <x:c r="F4194" s="4" t="str">
        <x:v>Record captured</x:v>
      </x:c>
      <x:c r="G4194" s="4" t="str">
        <x:v>Reserved</x:v>
      </x:c>
    </x:row>
    <x:row r="4195" ht="34" customHeight="1">
      <x:c r="A4195" s="4" t="str">
        <x:v>RS-04194-E1</x:v>
      </x:c>
      <x:c r="B4195" s="4" t="str">
        <x:v>RS-04194</x:v>
      </x:c>
      <x:c r="C4195" s="8" t="n">
        <x:v>45557</x:v>
      </x:c>
      <x:c r="D4195" s="4" t="str">
        <x:v>Sales operations manager</x:v>
      </x:c>
      <x:c r="E4195" s="4" t="str">
        <x:v>Spreadsheet import</x:v>
      </x:c>
      <x:c r="F4195" s="4" t="str">
        <x:v>Record captured</x:v>
      </x:c>
      <x:c r="G4195" s="4" t="str">
        <x:v>Cancelled</x:v>
      </x:c>
    </x:row>
    <x:row r="4196" ht="34" customHeight="1">
      <x:c r="A4196" s="4" t="str">
        <x:v>RS-04195-E1</x:v>
      </x:c>
      <x:c r="B4196" s="4" t="str">
        <x:v>RS-04195</x:v>
      </x:c>
      <x:c r="C4196" s="8" t="n">
        <x:v>45558</x:v>
      </x:c>
      <x:c r="D4196" s="4" t="str">
        <x:v>Sales operations manager</x:v>
      </x:c>
      <x:c r="E4196" s="4" t="str">
        <x:v>ERP form</x:v>
      </x:c>
      <x:c r="F4196" s="4" t="str">
        <x:v>Record captured</x:v>
      </x:c>
      <x:c r="G4196" s="4" t="str">
        <x:v>Booked</x:v>
      </x:c>
    </x:row>
    <x:row r="4197" ht="34" customHeight="1">
      <x:c r="A4197" s="4" t="str">
        <x:v>RS-04196-E1</x:v>
      </x:c>
      <x:c r="B4197" s="4" t="str">
        <x:v>RS-04196</x:v>
      </x:c>
      <x:c r="C4197" s="8" t="n">
        <x:v>45559</x:v>
      </x:c>
      <x:c r="D4197" s="4" t="str">
        <x:v>Sales operations manager</x:v>
      </x:c>
      <x:c r="E4197" s="4" t="str">
        <x:v>ERP form</x:v>
      </x:c>
      <x:c r="F4197" s="4" t="str">
        <x:v>Record captured</x:v>
      </x:c>
      <x:c r="G4197" s="4" t="str">
        <x:v>Handed over</x:v>
      </x:c>
    </x:row>
    <x:row r="4198" ht="34" customHeight="1">
      <x:c r="A4198" s="4" t="str">
        <x:v>RS-04197-E1</x:v>
      </x:c>
      <x:c r="B4198" s="4" t="str">
        <x:v>RS-04197</x:v>
      </x:c>
      <x:c r="C4198" s="8" t="n">
        <x:v>45560</x:v>
      </x:c>
      <x:c r="D4198" s="4" t="str">
        <x:v>Sales operations manager</x:v>
      </x:c>
      <x:c r="E4198" s="4" t="str">
        <x:v>Paper transcribed</x:v>
      </x:c>
      <x:c r="F4198" s="4" t="str">
        <x:v>Record captured</x:v>
      </x:c>
      <x:c r="G4198" s="4" t="str">
        <x:v>Enquiry</x:v>
      </x:c>
    </x:row>
    <x:row r="4199" ht="34" customHeight="1">
      <x:c r="A4199" s="4" t="str">
        <x:v>RS-04198-E1</x:v>
      </x:c>
      <x:c r="B4199" s="4" t="str">
        <x:v>RS-04198</x:v>
      </x:c>
      <x:c r="C4199" s="8" t="n">
        <x:v>45561</x:v>
      </x:c>
      <x:c r="D4199" s="4" t="str">
        <x:v>Sales operations manager</x:v>
      </x:c>
      <x:c r="E4199" s="4" t="str">
        <x:v>Paper transcribed</x:v>
      </x:c>
      <x:c r="F4199" s="4" t="str">
        <x:v>Record captured</x:v>
      </x:c>
      <x:c r="G4199" s="4" t="str">
        <x:v>Cancelled</x:v>
      </x:c>
    </x:row>
    <x:row r="4200" ht="34" customHeight="1">
      <x:c r="A4200" s="4" t="str">
        <x:v>RS-04199-E1</x:v>
      </x:c>
      <x:c r="B4200" s="4" t="str">
        <x:v>RS-04199</x:v>
      </x:c>
      <x:c r="C4200" s="8" t="n">
        <x:v>45562</x:v>
      </x:c>
      <x:c r="D4200" s="4" t="str">
        <x:v>Sales operations manager</x:v>
      </x:c>
      <x:c r="E4200" s="4" t="str">
        <x:v>Paper transcribed</x:v>
      </x:c>
      <x:c r="F4200" s="4" t="str">
        <x:v>Record captured</x:v>
      </x:c>
      <x:c r="G4200" s="4" t="str">
        <x:v>Handed over</x:v>
      </x:c>
    </x:row>
    <x:row r="4201" ht="34" customHeight="1">
      <x:c r="A4201" s="4" t="str">
        <x:v>RS-04200-E1</x:v>
      </x:c>
      <x:c r="B4201" s="4" t="str">
        <x:v>RS-04200</x:v>
      </x:c>
      <x:c r="C4201" s="8" t="n">
        <x:v>45563</x:v>
      </x:c>
      <x:c r="D4201" s="4" t="str">
        <x:v>Sales operations manager</x:v>
      </x:c>
      <x:c r="E4201" s="4" t="str">
        <x:v>WhatsApp transcribed</x:v>
      </x:c>
      <x:c r="F4201" s="4" t="str">
        <x:v>Record captured</x:v>
      </x:c>
      <x:c r="G4201" s="4" t="str">
        <x:v>Cancelled</x:v>
      </x:c>
    </x:row>
    <x:row r="4202" ht="34" customHeight="1">
      <x:c r="A4202" s="4" t="str">
        <x:v>RS-04201-E1</x:v>
      </x:c>
      <x:c r="B4202" s="4" t="str">
        <x:v>RS-04201</x:v>
      </x:c>
      <x:c r="C4202" s="8" t="n">
        <x:v>45536</x:v>
      </x:c>
      <x:c r="D4202" s="4" t="str">
        <x:v>Sales operations manager</x:v>
      </x:c>
      <x:c r="E4202" s="4" t="str">
        <x:v>ERP form</x:v>
      </x:c>
      <x:c r="F4202" s="4" t="str">
        <x:v>Record captured</x:v>
      </x:c>
      <x:c r="G4202" s="4" t="str">
        <x:v>Enquiry</x:v>
      </x:c>
    </x:row>
    <x:row r="4203" ht="34" customHeight="1">
      <x:c r="A4203" s="4" t="str">
        <x:v>RS-04202-E1</x:v>
      </x:c>
      <x:c r="B4203" s="4" t="str">
        <x:v>RS-04202</x:v>
      </x:c>
      <x:c r="C4203" s="8" t="n">
        <x:v>45537</x:v>
      </x:c>
      <x:c r="D4203" s="4" t="str">
        <x:v>Sales operations manager</x:v>
      </x:c>
      <x:c r="E4203" s="4" t="str">
        <x:v>WhatsApp transcribed</x:v>
      </x:c>
      <x:c r="F4203" s="4" t="str">
        <x:v>Record captured</x:v>
      </x:c>
      <x:c r="G4203" s="4" t="str">
        <x:v>Enquiry</x:v>
      </x:c>
    </x:row>
    <x:row r="4204" ht="34" customHeight="1">
      <x:c r="A4204" s="4" t="str">
        <x:v>RS-04203-E1</x:v>
      </x:c>
      <x:c r="B4204" s="4" t="str">
        <x:v>RS-04203</x:v>
      </x:c>
      <x:c r="C4204" s="8" t="n">
        <x:v>45538</x:v>
      </x:c>
      <x:c r="D4204" s="4" t="str">
        <x:v>Sales operations manager</x:v>
      </x:c>
      <x:c r="E4204" s="4" t="str">
        <x:v>ERP form</x:v>
      </x:c>
      <x:c r="F4204" s="4" t="str">
        <x:v>Record captured</x:v>
      </x:c>
      <x:c r="G4204" s="4" t="str">
        <x:v>Enquiry</x:v>
      </x:c>
    </x:row>
    <x:row r="4205" ht="34" customHeight="1">
      <x:c r="A4205" s="4" t="str">
        <x:v>RS-04204-E1</x:v>
      </x:c>
      <x:c r="B4205" s="4" t="str">
        <x:v>RS-04204</x:v>
      </x:c>
      <x:c r="C4205" s="8" t="n">
        <x:v>45539</x:v>
      </x:c>
      <x:c r="D4205" s="4" t="str">
        <x:v>Sales operations manager</x:v>
      </x:c>
      <x:c r="E4205" s="4" t="str">
        <x:v>Paper transcribed</x:v>
      </x:c>
      <x:c r="F4205" s="4" t="str">
        <x:v>Record captured</x:v>
      </x:c>
      <x:c r="G4205" s="4" t="str">
        <x:v>Reserved</x:v>
      </x:c>
    </x:row>
    <x:row r="4206" ht="34" customHeight="1">
      <x:c r="A4206" s="4" t="str">
        <x:v>RS-04205-E1</x:v>
      </x:c>
      <x:c r="B4206" s="4" t="str">
        <x:v>RS-04205</x:v>
      </x:c>
      <x:c r="C4206" s="8" t="n">
        <x:v>45540</x:v>
      </x:c>
      <x:c r="D4206" s="4" t="str">
        <x:v>Sales operations manager</x:v>
      </x:c>
      <x:c r="E4206" s="4" t="str">
        <x:v>WhatsApp transcribed</x:v>
      </x:c>
      <x:c r="F4206" s="4" t="str">
        <x:v>Record captured</x:v>
      </x:c>
      <x:c r="G4206" s="4" t="str">
        <x:v>Reserved</x:v>
      </x:c>
    </x:row>
    <x:row r="4207" ht="34" customHeight="1">
      <x:c r="A4207" s="4" t="str">
        <x:v>RS-04206-E1</x:v>
      </x:c>
      <x:c r="B4207" s="4" t="str">
        <x:v>RS-04206</x:v>
      </x:c>
      <x:c r="C4207" s="8" t="n">
        <x:v>45541</x:v>
      </x:c>
      <x:c r="D4207" s="4" t="str">
        <x:v>Sales operations manager</x:v>
      </x:c>
      <x:c r="E4207" s="4" t="str">
        <x:v>Paper transcribed</x:v>
      </x:c>
      <x:c r="F4207" s="4" t="str">
        <x:v>Record captured</x:v>
      </x:c>
      <x:c r="G4207" s="4" t="str">
        <x:v>Reserved</x:v>
      </x:c>
    </x:row>
    <x:row r="4208" ht="34" customHeight="1">
      <x:c r="A4208" s="4" t="str">
        <x:v>RS-04207-E1</x:v>
      </x:c>
      <x:c r="B4208" s="4" t="str">
        <x:v>RS-04207</x:v>
      </x:c>
      <x:c r="C4208" s="8" t="n">
        <x:v>45542</x:v>
      </x:c>
      <x:c r="D4208" s="4" t="str">
        <x:v>Sales operations manager</x:v>
      </x:c>
      <x:c r="E4208" s="4" t="str">
        <x:v>Spreadsheet import</x:v>
      </x:c>
      <x:c r="F4208" s="4" t="str">
        <x:v>Record captured</x:v>
      </x:c>
      <x:c r="G4208" s="4" t="str">
        <x:v>Handed over</x:v>
      </x:c>
    </x:row>
    <x:row r="4209" ht="34" customHeight="1">
      <x:c r="A4209" s="4" t="str">
        <x:v>RS-04208-E1</x:v>
      </x:c>
      <x:c r="B4209" s="4" t="str">
        <x:v>RS-04208</x:v>
      </x:c>
      <x:c r="C4209" s="8" t="n">
        <x:v>45543</x:v>
      </x:c>
      <x:c r="D4209" s="4" t="str">
        <x:v>Sales operations manager</x:v>
      </x:c>
      <x:c r="E4209" s="4" t="str">
        <x:v>WhatsApp transcribed</x:v>
      </x:c>
      <x:c r="F4209" s="4" t="str">
        <x:v>Record captured</x:v>
      </x:c>
      <x:c r="G4209" s="4" t="str">
        <x:v>Agreement signed</x:v>
      </x:c>
    </x:row>
    <x:row r="4210" ht="34" customHeight="1">
      <x:c r="A4210" s="4" t="str">
        <x:v>RS-04209-E1</x:v>
      </x:c>
      <x:c r="B4210" s="4" t="str">
        <x:v>RS-04209</x:v>
      </x:c>
      <x:c r="C4210" s="8" t="n">
        <x:v>45544</x:v>
      </x:c>
      <x:c r="D4210" s="4" t="str">
        <x:v>Sales operations manager</x:v>
      </x:c>
      <x:c r="E4210" s="4" t="str">
        <x:v>ERP form</x:v>
      </x:c>
      <x:c r="F4210" s="4" t="str">
        <x:v>Record captured</x:v>
      </x:c>
      <x:c r="G4210" s="4" t="str">
        <x:v>Handed over</x:v>
      </x:c>
    </x:row>
    <x:row r="4211" ht="34" customHeight="1">
      <x:c r="A4211" s="4" t="str">
        <x:v>RS-04210-E1</x:v>
      </x:c>
      <x:c r="B4211" s="4" t="str">
        <x:v>RS-04210</x:v>
      </x:c>
      <x:c r="C4211" s="8" t="n">
        <x:v>45545</x:v>
      </x:c>
      <x:c r="D4211" s="4" t="str">
        <x:v>Sales operations manager</x:v>
      </x:c>
      <x:c r="E4211" s="4" t="str">
        <x:v>Paper transcribed</x:v>
      </x:c>
      <x:c r="F4211" s="4" t="str">
        <x:v>Record captured</x:v>
      </x:c>
      <x:c r="G4211" s="4" t="str">
        <x:v>Cancelled</x:v>
      </x:c>
    </x:row>
    <x:row r="4212" ht="34" customHeight="1">
      <x:c r="A4212" s="4" t="str">
        <x:v>RS-04211-E1</x:v>
      </x:c>
      <x:c r="B4212" s="4" t="str">
        <x:v>RS-04211</x:v>
      </x:c>
      <x:c r="C4212" s="8" t="n">
        <x:v>45546</x:v>
      </x:c>
      <x:c r="D4212" s="4" t="str">
        <x:v>Sales operations manager</x:v>
      </x:c>
      <x:c r="E4212" s="4" t="str">
        <x:v>Paper transcribed</x:v>
      </x:c>
      <x:c r="F4212" s="4" t="str">
        <x:v>Record captured</x:v>
      </x:c>
      <x:c r="G4212" s="4" t="str">
        <x:v>Enquiry</x:v>
      </x:c>
    </x:row>
    <x:row r="4213" ht="34" customHeight="1">
      <x:c r="A4213" s="4" t="str">
        <x:v>RS-04212-E1</x:v>
      </x:c>
      <x:c r="B4213" s="4" t="str">
        <x:v>RS-04212</x:v>
      </x:c>
      <x:c r="C4213" s="8" t="n">
        <x:v>45547</x:v>
      </x:c>
      <x:c r="D4213" s="4" t="str">
        <x:v>Sales operations manager</x:v>
      </x:c>
      <x:c r="E4213" s="4" t="str">
        <x:v>Spreadsheet import</x:v>
      </x:c>
      <x:c r="F4213" s="4" t="str">
        <x:v>Record captured</x:v>
      </x:c>
      <x:c r="G4213" s="4" t="str">
        <x:v>Handed over</x:v>
      </x:c>
    </x:row>
    <x:row r="4214" ht="34" customHeight="1">
      <x:c r="A4214" s="4" t="str">
        <x:v>RS-04213-E1</x:v>
      </x:c>
      <x:c r="B4214" s="4" t="str">
        <x:v>RS-04213</x:v>
      </x:c>
      <x:c r="C4214" s="8" t="n">
        <x:v>45548</x:v>
      </x:c>
      <x:c r="D4214" s="4" t="str">
        <x:v>Sales operations manager</x:v>
      </x:c>
      <x:c r="E4214" s="4" t="str">
        <x:v>Paper transcribed</x:v>
      </x:c>
      <x:c r="F4214" s="4" t="str">
        <x:v>Record captured</x:v>
      </x:c>
      <x:c r="G4214" s="4" t="str">
        <x:v>Cancelled</x:v>
      </x:c>
    </x:row>
    <x:row r="4215" ht="34" customHeight="1">
      <x:c r="A4215" s="4" t="str">
        <x:v>RS-04214-E1</x:v>
      </x:c>
      <x:c r="B4215" s="4" t="str">
        <x:v>RS-04214</x:v>
      </x:c>
      <x:c r="C4215" s="8" t="n">
        <x:v>45549</x:v>
      </x:c>
      <x:c r="D4215" s="4" t="str">
        <x:v>Sales operations manager</x:v>
      </x:c>
      <x:c r="E4215" s="4" t="str">
        <x:v>WhatsApp transcribed</x:v>
      </x:c>
      <x:c r="F4215" s="4" t="str">
        <x:v>Record captured</x:v>
      </x:c>
      <x:c r="G4215" s="4" t="str">
        <x:v>Reserved</x:v>
      </x:c>
    </x:row>
    <x:row r="4216" ht="34" customHeight="1">
      <x:c r="A4216" s="4" t="str">
        <x:v>RS-04215-E1</x:v>
      </x:c>
      <x:c r="B4216" s="4" t="str">
        <x:v>RS-04215</x:v>
      </x:c>
      <x:c r="C4216" s="8" t="n">
        <x:v>45550</x:v>
      </x:c>
      <x:c r="D4216" s="4" t="str">
        <x:v>Sales operations manager</x:v>
      </x:c>
      <x:c r="E4216" s="4" t="str">
        <x:v>Spreadsheet import</x:v>
      </x:c>
      <x:c r="F4216" s="4" t="str">
        <x:v>Record captured</x:v>
      </x:c>
      <x:c r="G4216" s="4" t="str">
        <x:v>Reserved</x:v>
      </x:c>
    </x:row>
    <x:row r="4217" ht="34" customHeight="1">
      <x:c r="A4217" s="4" t="str">
        <x:v>RS-04216-E1</x:v>
      </x:c>
      <x:c r="B4217" s="4" t="str">
        <x:v>RS-04216</x:v>
      </x:c>
      <x:c r="C4217" s="8" t="n">
        <x:v>45551</x:v>
      </x:c>
      <x:c r="D4217" s="4" t="str">
        <x:v>Sales operations manager</x:v>
      </x:c>
      <x:c r="E4217" s="4" t="str">
        <x:v>Spreadsheet import</x:v>
      </x:c>
      <x:c r="F4217" s="4" t="str">
        <x:v>Record captured</x:v>
      </x:c>
      <x:c r="G4217" s="4" t="str">
        <x:v>Cancelled</x:v>
      </x:c>
    </x:row>
    <x:row r="4218" ht="34" customHeight="1">
      <x:c r="A4218" s="4" t="str">
        <x:v>RS-04217-E1</x:v>
      </x:c>
      <x:c r="B4218" s="4" t="str">
        <x:v>RS-04217</x:v>
      </x:c>
      <x:c r="C4218" s="8" t="n">
        <x:v>45552</x:v>
      </x:c>
      <x:c r="D4218" s="4" t="str">
        <x:v>Sales operations manager</x:v>
      </x:c>
      <x:c r="E4218" s="4" t="str">
        <x:v>ERP form</x:v>
      </x:c>
      <x:c r="F4218" s="4" t="str">
        <x:v>Record captured</x:v>
      </x:c>
      <x:c r="G4218" s="4" t="str">
        <x:v>Agreement signed</x:v>
      </x:c>
    </x:row>
    <x:row r="4219" ht="34" customHeight="1">
      <x:c r="A4219" s="4" t="str">
        <x:v>RS-04218-E1</x:v>
      </x:c>
      <x:c r="B4219" s="4" t="str">
        <x:v>RS-04218</x:v>
      </x:c>
      <x:c r="C4219" s="8" t="n">
        <x:v>45553</x:v>
      </x:c>
      <x:c r="D4219" s="4" t="str">
        <x:v>Sales operations manager</x:v>
      </x:c>
      <x:c r="E4219" s="4" t="str">
        <x:v>ERP form</x:v>
      </x:c>
      <x:c r="F4219" s="4" t="str">
        <x:v>Record captured</x:v>
      </x:c>
      <x:c r="G4219" s="4" t="str">
        <x:v>Handed over</x:v>
      </x:c>
    </x:row>
    <x:row r="4220" ht="34" customHeight="1">
      <x:c r="A4220" s="4" t="str">
        <x:v>RS-04219-E1</x:v>
      </x:c>
      <x:c r="B4220" s="4" t="str">
        <x:v>RS-04219</x:v>
      </x:c>
      <x:c r="C4220" s="8" t="n">
        <x:v>45554</x:v>
      </x:c>
      <x:c r="D4220" s="4" t="str">
        <x:v>Sales operations manager</x:v>
      </x:c>
      <x:c r="E4220" s="4" t="str">
        <x:v>WhatsApp transcribed</x:v>
      </x:c>
      <x:c r="F4220" s="4" t="str">
        <x:v>Record captured</x:v>
      </x:c>
      <x:c r="G4220" s="4" t="str">
        <x:v>Booked</x:v>
      </x:c>
    </x:row>
    <x:row r="4221" ht="34" customHeight="1">
      <x:c r="A4221" s="4" t="str">
        <x:v>RS-04220-E1</x:v>
      </x:c>
      <x:c r="B4221" s="4" t="str">
        <x:v>RS-04220</x:v>
      </x:c>
      <x:c r="C4221" s="8" t="n">
        <x:v>45555</x:v>
      </x:c>
      <x:c r="D4221" s="4" t="str">
        <x:v>Sales operations manager</x:v>
      </x:c>
      <x:c r="E4221" s="4" t="str">
        <x:v>ERP form</x:v>
      </x:c>
      <x:c r="F4221" s="4" t="str">
        <x:v>Record captured</x:v>
      </x:c>
      <x:c r="G4221" s="4" t="str">
        <x:v>Booked</x:v>
      </x:c>
    </x:row>
    <x:row r="4222" ht="34" customHeight="1">
      <x:c r="A4222" s="4" t="str">
        <x:v>RS-04221-E1</x:v>
      </x:c>
      <x:c r="B4222" s="4" t="str">
        <x:v>RS-04221</x:v>
      </x:c>
      <x:c r="C4222" s="8" t="n">
        <x:v>45556</x:v>
      </x:c>
      <x:c r="D4222" s="4" t="str">
        <x:v>Sales operations manager</x:v>
      </x:c>
      <x:c r="E4222" s="4" t="str">
        <x:v>WhatsApp transcribed</x:v>
      </x:c>
      <x:c r="F4222" s="4" t="str">
        <x:v>Record captured</x:v>
      </x:c>
      <x:c r="G4222" s="4" t="str">
        <x:v>Handed over</x:v>
      </x:c>
    </x:row>
    <x:row r="4223" ht="34" customHeight="1">
      <x:c r="A4223" s="4" t="str">
        <x:v>RS-04222-E1</x:v>
      </x:c>
      <x:c r="B4223" s="4" t="str">
        <x:v>RS-04222</x:v>
      </x:c>
      <x:c r="C4223" s="8" t="n">
        <x:v>45557</x:v>
      </x:c>
      <x:c r="D4223" s="4" t="str">
        <x:v>Sales operations manager</x:v>
      </x:c>
      <x:c r="E4223" s="4" t="str">
        <x:v>WhatsApp transcribed</x:v>
      </x:c>
      <x:c r="F4223" s="4" t="str">
        <x:v>Record captured</x:v>
      </x:c>
      <x:c r="G4223" s="4" t="str">
        <x:v>Handed over</x:v>
      </x:c>
    </x:row>
    <x:row r="4224" ht="34" customHeight="1">
      <x:c r="A4224" s="4" t="str">
        <x:v>RS-04223-E1</x:v>
      </x:c>
      <x:c r="B4224" s="4" t="str">
        <x:v>RS-04223</x:v>
      </x:c>
      <x:c r="C4224" s="8" t="n">
        <x:v>45558</x:v>
      </x:c>
      <x:c r="D4224" s="4" t="str">
        <x:v>Sales operations manager</x:v>
      </x:c>
      <x:c r="E4224" s="4" t="str">
        <x:v>Paper transcribed</x:v>
      </x:c>
      <x:c r="F4224" s="4" t="str">
        <x:v>Record captured</x:v>
      </x:c>
      <x:c r="G4224" s="4" t="str">
        <x:v>Enquiry</x:v>
      </x:c>
    </x:row>
    <x:row r="4225" ht="34" customHeight="1">
      <x:c r="A4225" s="4" t="str">
        <x:v>RS-04224-E1</x:v>
      </x:c>
      <x:c r="B4225" s="4" t="str">
        <x:v>RS-04224</x:v>
      </x:c>
      <x:c r="C4225" s="8" t="n">
        <x:v>45559</x:v>
      </x:c>
      <x:c r="D4225" s="4" t="str">
        <x:v>Sales operations manager</x:v>
      </x:c>
      <x:c r="E4225" s="4" t="str">
        <x:v>WhatsApp transcribed</x:v>
      </x:c>
      <x:c r="F4225" s="4" t="str">
        <x:v>Record captured</x:v>
      </x:c>
      <x:c r="G4225" s="4" t="str">
        <x:v>Handed over</x:v>
      </x:c>
    </x:row>
    <x:row r="4226" ht="34" customHeight="1">
      <x:c r="A4226" s="4" t="str">
        <x:v>RS-04225-E1</x:v>
      </x:c>
      <x:c r="B4226" s="4" t="str">
        <x:v>RS-04225</x:v>
      </x:c>
      <x:c r="C4226" s="8" t="n">
        <x:v>45560</x:v>
      </x:c>
      <x:c r="D4226" s="4" t="str">
        <x:v>Sales operations manager</x:v>
      </x:c>
      <x:c r="E4226" s="4" t="str">
        <x:v>ERP form</x:v>
      </x:c>
      <x:c r="F4226" s="4" t="str">
        <x:v>Record captured</x:v>
      </x:c>
      <x:c r="G4226" s="4" t="str">
        <x:v>Enquiry</x:v>
      </x:c>
    </x:row>
    <x:row r="4227" ht="34" customHeight="1">
      <x:c r="A4227" s="4" t="str">
        <x:v>RS-04226-E1</x:v>
      </x:c>
      <x:c r="B4227" s="4" t="str">
        <x:v>RS-04226</x:v>
      </x:c>
      <x:c r="C4227" s="8" t="n">
        <x:v>45561</x:v>
      </x:c>
      <x:c r="D4227" s="4" t="str">
        <x:v>Sales operations manager</x:v>
      </x:c>
      <x:c r="E4227" s="4" t="str">
        <x:v>Paper transcribed</x:v>
      </x:c>
      <x:c r="F4227" s="4" t="str">
        <x:v>Record captured</x:v>
      </x:c>
      <x:c r="G4227" s="4" t="str">
        <x:v>Booked</x:v>
      </x:c>
    </x:row>
    <x:row r="4228" ht="34" customHeight="1">
      <x:c r="A4228" s="4" t="str">
        <x:v>RS-04227-E1</x:v>
      </x:c>
      <x:c r="B4228" s="4" t="str">
        <x:v>RS-04227</x:v>
      </x:c>
      <x:c r="C4228" s="8" t="n">
        <x:v>45562</x:v>
      </x:c>
      <x:c r="D4228" s="4" t="str">
        <x:v>Sales operations manager</x:v>
      </x:c>
      <x:c r="E4228" s="4" t="str">
        <x:v>Spreadsheet import</x:v>
      </x:c>
      <x:c r="F4228" s="4" t="str">
        <x:v>Record captured</x:v>
      </x:c>
      <x:c r="G4228" s="4" t="str">
        <x:v>Reserved</x:v>
      </x:c>
    </x:row>
    <x:row r="4229" ht="34" customHeight="1">
      <x:c r="A4229" s="4" t="str">
        <x:v>RS-04228-E1</x:v>
      </x:c>
      <x:c r="B4229" s="4" t="str">
        <x:v>RS-04228</x:v>
      </x:c>
      <x:c r="C4229" s="8" t="n">
        <x:v>45563</x:v>
      </x:c>
      <x:c r="D4229" s="4" t="str">
        <x:v>Sales operations manager</x:v>
      </x:c>
      <x:c r="E4229" s="4" t="str">
        <x:v>Spreadsheet import</x:v>
      </x:c>
      <x:c r="F4229" s="4" t="str">
        <x:v>Record captured</x:v>
      </x:c>
      <x:c r="G4229" s="4" t="str">
        <x:v>Cancelled</x:v>
      </x:c>
    </x:row>
    <x:row r="4230" ht="34" customHeight="1">
      <x:c r="A4230" s="4" t="str">
        <x:v>RS-04229-E1</x:v>
      </x:c>
      <x:c r="B4230" s="4" t="str">
        <x:v>RS-04229</x:v>
      </x:c>
      <x:c r="C4230" s="8" t="n">
        <x:v>45536</x:v>
      </x:c>
      <x:c r="D4230" s="4" t="str">
        <x:v>Sales operations manager</x:v>
      </x:c>
      <x:c r="E4230" s="4" t="str">
        <x:v>Paper transcribed</x:v>
      </x:c>
      <x:c r="F4230" s="4" t="str">
        <x:v>Record captured</x:v>
      </x:c>
      <x:c r="G4230" s="4" t="str">
        <x:v>Handed over</x:v>
      </x:c>
    </x:row>
    <x:row r="4231" ht="34" customHeight="1">
      <x:c r="A4231" s="4" t="str">
        <x:v>RS-04230-E1</x:v>
      </x:c>
      <x:c r="B4231" s="4" t="str">
        <x:v>RS-04230</x:v>
      </x:c>
      <x:c r="C4231" s="8" t="n">
        <x:v>45537</x:v>
      </x:c>
      <x:c r="D4231" s="4" t="str">
        <x:v>Sales operations manager</x:v>
      </x:c>
      <x:c r="E4231" s="4" t="str">
        <x:v>Spreadsheet import</x:v>
      </x:c>
      <x:c r="F4231" s="4" t="str">
        <x:v>Record captured</x:v>
      </x:c>
      <x:c r="G4231" s="4" t="str">
        <x:v>Enquiry</x:v>
      </x:c>
    </x:row>
    <x:row r="4232" ht="34" customHeight="1">
      <x:c r="A4232" s="4" t="str">
        <x:v>RS-04231-E1</x:v>
      </x:c>
      <x:c r="B4232" s="4" t="str">
        <x:v>RS-04231</x:v>
      </x:c>
      <x:c r="C4232" s="8" t="n">
        <x:v>45538</x:v>
      </x:c>
      <x:c r="D4232" s="4" t="str">
        <x:v>Sales operations manager</x:v>
      </x:c>
      <x:c r="E4232" s="4" t="str">
        <x:v>Spreadsheet import</x:v>
      </x:c>
      <x:c r="F4232" s="4" t="str">
        <x:v>Record captured</x:v>
      </x:c>
      <x:c r="G4232" s="4" t="str">
        <x:v>Reserved</x:v>
      </x:c>
    </x:row>
    <x:row r="4233" ht="34" customHeight="1">
      <x:c r="A4233" s="4" t="str">
        <x:v>RS-04232-E1</x:v>
      </x:c>
      <x:c r="B4233" s="4" t="str">
        <x:v>RS-04232</x:v>
      </x:c>
      <x:c r="C4233" s="8" t="n">
        <x:v>45539</x:v>
      </x:c>
      <x:c r="D4233" s="4" t="str">
        <x:v>Sales operations manager</x:v>
      </x:c>
      <x:c r="E4233" s="4" t="str">
        <x:v>WhatsApp transcribed</x:v>
      </x:c>
      <x:c r="F4233" s="4" t="str">
        <x:v>Record captured</x:v>
      </x:c>
      <x:c r="G4233" s="4" t="str">
        <x:v>Handed over</x:v>
      </x:c>
    </x:row>
    <x:row r="4234" ht="34" customHeight="1">
      <x:c r="A4234" s="4" t="str">
        <x:v>RS-04233-E1</x:v>
      </x:c>
      <x:c r="B4234" s="4" t="str">
        <x:v>RS-04233</x:v>
      </x:c>
      <x:c r="C4234" s="8" t="n">
        <x:v>45540</x:v>
      </x:c>
      <x:c r="D4234" s="4" t="str">
        <x:v>Sales operations manager</x:v>
      </x:c>
      <x:c r="E4234" s="4" t="str">
        <x:v>ERP form</x:v>
      </x:c>
      <x:c r="F4234" s="4" t="str">
        <x:v>Record captured</x:v>
      </x:c>
      <x:c r="G4234" s="4" t="str">
        <x:v>Cancelled</x:v>
      </x:c>
    </x:row>
    <x:row r="4235" ht="34" customHeight="1">
      <x:c r="A4235" s="4" t="str">
        <x:v>RS-04234-E1</x:v>
      </x:c>
      <x:c r="B4235" s="4" t="str">
        <x:v>RS-04234</x:v>
      </x:c>
      <x:c r="C4235" s="8" t="n">
        <x:v>45541</x:v>
      </x:c>
      <x:c r="D4235" s="4" t="str">
        <x:v>Sales operations manager</x:v>
      </x:c>
      <x:c r="E4235" s="4" t="str">
        <x:v>ERP form</x:v>
      </x:c>
      <x:c r="F4235" s="4" t="str">
        <x:v>Record captured</x:v>
      </x:c>
      <x:c r="G4235" s="4" t="str">
        <x:v>Booked</x:v>
      </x:c>
    </x:row>
    <x:row r="4236" ht="34" customHeight="1">
      <x:c r="A4236" s="4" t="str">
        <x:v>RS-04235-E1</x:v>
      </x:c>
      <x:c r="B4236" s="4" t="str">
        <x:v>RS-04235</x:v>
      </x:c>
      <x:c r="C4236" s="8" t="n">
        <x:v>45542</x:v>
      </x:c>
      <x:c r="D4236" s="4" t="str">
        <x:v>Sales operations manager</x:v>
      </x:c>
      <x:c r="E4236" s="4" t="str">
        <x:v>ERP form</x:v>
      </x:c>
      <x:c r="F4236" s="4" t="str">
        <x:v>Record captured</x:v>
      </x:c>
      <x:c r="G4236" s="4" t="str">
        <x:v>Handed over</x:v>
      </x:c>
    </x:row>
    <x:row r="4237" ht="34" customHeight="1">
      <x:c r="A4237" s="4" t="str">
        <x:v>RS-04236-E1</x:v>
      </x:c>
      <x:c r="B4237" s="4" t="str">
        <x:v>RS-04236</x:v>
      </x:c>
      <x:c r="C4237" s="8" t="n">
        <x:v>45543</x:v>
      </x:c>
      <x:c r="D4237" s="4" t="str">
        <x:v>Sales operations manager</x:v>
      </x:c>
      <x:c r="E4237" s="4" t="str">
        <x:v>ERP form</x:v>
      </x:c>
      <x:c r="F4237" s="4" t="str">
        <x:v>Record captured</x:v>
      </x:c>
      <x:c r="G4237" s="4" t="str">
        <x:v>Booked</x:v>
      </x:c>
    </x:row>
    <x:row r="4238" ht="34" customHeight="1">
      <x:c r="A4238" s="4" t="str">
        <x:v>RS-04237-E1</x:v>
      </x:c>
      <x:c r="B4238" s="4" t="str">
        <x:v>RS-04237</x:v>
      </x:c>
      <x:c r="C4238" s="8" t="n">
        <x:v>45544</x:v>
      </x:c>
      <x:c r="D4238" s="4" t="str">
        <x:v>Sales operations manager</x:v>
      </x:c>
      <x:c r="E4238" s="4" t="str">
        <x:v>WhatsApp transcribed</x:v>
      </x:c>
      <x:c r="F4238" s="4" t="str">
        <x:v>Record captured</x:v>
      </x:c>
      <x:c r="G4238" s="4" t="str">
        <x:v>Agreement signed</x:v>
      </x:c>
    </x:row>
    <x:row r="4239" ht="34" customHeight="1">
      <x:c r="A4239" s="4" t="str">
        <x:v>RS-04238-E1</x:v>
      </x:c>
      <x:c r="B4239" s="4" t="str">
        <x:v>RS-04238</x:v>
      </x:c>
      <x:c r="C4239" s="8" t="n">
        <x:v>45545</x:v>
      </x:c>
      <x:c r="D4239" s="4" t="str">
        <x:v>Sales operations manager</x:v>
      </x:c>
      <x:c r="E4239" s="4" t="str">
        <x:v>Spreadsheet import</x:v>
      </x:c>
      <x:c r="F4239" s="4" t="str">
        <x:v>Record captured</x:v>
      </x:c>
      <x:c r="G4239" s="4" t="str">
        <x:v>Booked</x:v>
      </x:c>
    </x:row>
    <x:row r="4240" ht="34" customHeight="1">
      <x:c r="A4240" s="4" t="str">
        <x:v>RS-04239-E1</x:v>
      </x:c>
      <x:c r="B4240" s="4" t="str">
        <x:v>RS-04239</x:v>
      </x:c>
      <x:c r="C4240" s="8" t="n">
        <x:v>45546</x:v>
      </x:c>
      <x:c r="D4240" s="4" t="str">
        <x:v>Sales operations manager</x:v>
      </x:c>
      <x:c r="E4240" s="4" t="str">
        <x:v>WhatsApp transcribed</x:v>
      </x:c>
      <x:c r="F4240" s="4" t="str">
        <x:v>Record captured</x:v>
      </x:c>
      <x:c r="G4240" s="4" t="str">
        <x:v>Handed over</x:v>
      </x:c>
    </x:row>
    <x:row r="4241" ht="34" customHeight="1">
      <x:c r="A4241" s="4" t="str">
        <x:v>RS-04240-E1</x:v>
      </x:c>
      <x:c r="B4241" s="4" t="str">
        <x:v>RS-04240</x:v>
      </x:c>
      <x:c r="C4241" s="8" t="n">
        <x:v>45547</x:v>
      </x:c>
      <x:c r="D4241" s="4" t="str">
        <x:v>Sales operations manager</x:v>
      </x:c>
      <x:c r="E4241" s="4" t="str">
        <x:v>Paper transcribed</x:v>
      </x:c>
      <x:c r="F4241" s="4" t="str">
        <x:v>Record captured</x:v>
      </x:c>
      <x:c r="G4241" s="4" t="str">
        <x:v>Agreement signed</x:v>
      </x:c>
    </x:row>
    <x:row r="4242" ht="34" customHeight="1">
      <x:c r="A4242" s="4" t="str">
        <x:v>RS-04241-E1</x:v>
      </x:c>
      <x:c r="B4242" s="4" t="str">
        <x:v>RS-04241</x:v>
      </x:c>
      <x:c r="C4242" s="8" t="n">
        <x:v>45548</x:v>
      </x:c>
      <x:c r="D4242" s="4" t="str">
        <x:v>Sales operations manager</x:v>
      </x:c>
      <x:c r="E4242" s="4" t="str">
        <x:v>ERP form</x:v>
      </x:c>
      <x:c r="F4242" s="4" t="str">
        <x:v>Record captured</x:v>
      </x:c>
      <x:c r="G4242" s="4" t="str">
        <x:v>Handed over</x:v>
      </x:c>
    </x:row>
    <x:row r="4243" ht="34" customHeight="1">
      <x:c r="A4243" s="4" t="str">
        <x:v>RS-04242-E1</x:v>
      </x:c>
      <x:c r="B4243" s="4" t="str">
        <x:v>RS-04242</x:v>
      </x:c>
      <x:c r="C4243" s="8" t="n">
        <x:v>45549</x:v>
      </x:c>
      <x:c r="D4243" s="4" t="str">
        <x:v>Sales operations manager</x:v>
      </x:c>
      <x:c r="E4243" s="4" t="str">
        <x:v>ERP form</x:v>
      </x:c>
      <x:c r="F4243" s="4" t="str">
        <x:v>Record captured</x:v>
      </x:c>
      <x:c r="G4243" s="4" t="str">
        <x:v>Handed over</x:v>
      </x:c>
    </x:row>
    <x:row r="4244" ht="34" customHeight="1">
      <x:c r="A4244" s="4" t="str">
        <x:v>RS-04243-E1</x:v>
      </x:c>
      <x:c r="B4244" s="4" t="str">
        <x:v>RS-04243</x:v>
      </x:c>
      <x:c r="C4244" s="8" t="n">
        <x:v>45550</x:v>
      </x:c>
      <x:c r="D4244" s="4" t="str">
        <x:v>Sales operations manager</x:v>
      </x:c>
      <x:c r="E4244" s="4" t="str">
        <x:v>WhatsApp transcribed</x:v>
      </x:c>
      <x:c r="F4244" s="4" t="str">
        <x:v>Record captured</x:v>
      </x:c>
      <x:c r="G4244" s="4" t="str">
        <x:v>Handed over</x:v>
      </x:c>
    </x:row>
    <x:row r="4245" ht="34" customHeight="1">
      <x:c r="A4245" s="4" t="str">
        <x:v>RS-04244-E1</x:v>
      </x:c>
      <x:c r="B4245" s="4" t="str">
        <x:v>RS-04244</x:v>
      </x:c>
      <x:c r="C4245" s="8" t="n">
        <x:v>45551</x:v>
      </x:c>
      <x:c r="D4245" s="4" t="str">
        <x:v>Sales operations manager</x:v>
      </x:c>
      <x:c r="E4245" s="4" t="str">
        <x:v>Spreadsheet import</x:v>
      </x:c>
      <x:c r="F4245" s="4" t="str">
        <x:v>Record captured</x:v>
      </x:c>
      <x:c r="G4245" s="4" t="str">
        <x:v>Cancelled</x:v>
      </x:c>
    </x:row>
    <x:row r="4246" ht="34" customHeight="1">
      <x:c r="A4246" s="4" t="str">
        <x:v>RS-04245-E1</x:v>
      </x:c>
      <x:c r="B4246" s="4" t="str">
        <x:v>RS-04245</x:v>
      </x:c>
      <x:c r="C4246" s="8" t="n">
        <x:v>45552</x:v>
      </x:c>
      <x:c r="D4246" s="4" t="str">
        <x:v>Sales operations manager</x:v>
      </x:c>
      <x:c r="E4246" s="4" t="str">
        <x:v>Spreadsheet import</x:v>
      </x:c>
      <x:c r="F4246" s="4" t="str">
        <x:v>Record captured</x:v>
      </x:c>
      <x:c r="G4246" s="4" t="str">
        <x:v>Agreement signed</x:v>
      </x:c>
    </x:row>
    <x:row r="4247" ht="34" customHeight="1">
      <x:c r="A4247" s="4" t="str">
        <x:v>RS-04246-E1</x:v>
      </x:c>
      <x:c r="B4247" s="4" t="str">
        <x:v>RS-04246</x:v>
      </x:c>
      <x:c r="C4247" s="8" t="n">
        <x:v>45553</x:v>
      </x:c>
      <x:c r="D4247" s="4" t="str">
        <x:v>Sales operations manager</x:v>
      </x:c>
      <x:c r="E4247" s="4" t="str">
        <x:v>ERP form</x:v>
      </x:c>
      <x:c r="F4247" s="4" t="str">
        <x:v>Record captured</x:v>
      </x:c>
      <x:c r="G4247" s="4" t="str">
        <x:v>Booked</x:v>
      </x:c>
    </x:row>
    <x:row r="4248" ht="34" customHeight="1">
      <x:c r="A4248" s="4" t="str">
        <x:v>RS-04247-E1</x:v>
      </x:c>
      <x:c r="B4248" s="4" t="str">
        <x:v>RS-04247</x:v>
      </x:c>
      <x:c r="C4248" s="8" t="n">
        <x:v>45554</x:v>
      </x:c>
      <x:c r="D4248" s="4" t="str">
        <x:v>Sales operations manager</x:v>
      </x:c>
      <x:c r="E4248" s="4" t="str">
        <x:v>Paper transcribed</x:v>
      </x:c>
      <x:c r="F4248" s="4" t="str">
        <x:v>Record captured</x:v>
      </x:c>
      <x:c r="G4248" s="4" t="str">
        <x:v>Booked</x:v>
      </x:c>
    </x:row>
    <x:row r="4249" ht="34" customHeight="1">
      <x:c r="A4249" s="4" t="str">
        <x:v>RS-04248-E1</x:v>
      </x:c>
      <x:c r="B4249" s="4" t="str">
        <x:v>RS-04248</x:v>
      </x:c>
      <x:c r="C4249" s="8" t="n">
        <x:v>45555</x:v>
      </x:c>
      <x:c r="D4249" s="4" t="str">
        <x:v>Sales operations manager</x:v>
      </x:c>
      <x:c r="E4249" s="4" t="str">
        <x:v>Paper transcribed</x:v>
      </x:c>
      <x:c r="F4249" s="4" t="str">
        <x:v>Record captured</x:v>
      </x:c>
      <x:c r="G4249" s="4" t="str">
        <x:v>Reserved</x:v>
      </x:c>
    </x:row>
    <x:row r="4250" ht="34" customHeight="1">
      <x:c r="A4250" s="4" t="str">
        <x:v>RS-04249-E1</x:v>
      </x:c>
      <x:c r="B4250" s="4" t="str">
        <x:v>RS-04249</x:v>
      </x:c>
      <x:c r="C4250" s="8" t="n">
        <x:v>45556</x:v>
      </x:c>
      <x:c r="D4250" s="4" t="str">
        <x:v>Sales operations manager</x:v>
      </x:c>
      <x:c r="E4250" s="4" t="str">
        <x:v>ERP form</x:v>
      </x:c>
      <x:c r="F4250" s="4" t="str">
        <x:v>Record captured</x:v>
      </x:c>
      <x:c r="G4250" s="4" t="str">
        <x:v>Cancelled</x:v>
      </x:c>
    </x:row>
    <x:row r="4251" ht="34" customHeight="1">
      <x:c r="A4251" s="4" t="str">
        <x:v>RS-04250-E1</x:v>
      </x:c>
      <x:c r="B4251" s="4" t="str">
        <x:v>RS-04250</x:v>
      </x:c>
      <x:c r="C4251" s="8" t="n">
        <x:v>45557</x:v>
      </x:c>
      <x:c r="D4251" s="4" t="str">
        <x:v>Sales operations manager</x:v>
      </x:c>
      <x:c r="E4251" s="4" t="str">
        <x:v>WhatsApp transcribed</x:v>
      </x:c>
      <x:c r="F4251" s="4" t="str">
        <x:v>Record captured</x:v>
      </x:c>
      <x:c r="G4251" s="4" t="str">
        <x:v>Agreement signed</x:v>
      </x:c>
    </x:row>
    <x:row r="4252" ht="34" customHeight="1">
      <x:c r="A4252" s="4" t="str">
        <x:v>RS-04251-E1</x:v>
      </x:c>
      <x:c r="B4252" s="4" t="str">
        <x:v>RS-04251</x:v>
      </x:c>
      <x:c r="C4252" s="8" t="n">
        <x:v>45558</x:v>
      </x:c>
      <x:c r="D4252" s="4" t="str">
        <x:v>Sales operations manager</x:v>
      </x:c>
      <x:c r="E4252" s="4" t="str">
        <x:v>Spreadsheet import</x:v>
      </x:c>
      <x:c r="F4252" s="4" t="str">
        <x:v>Record captured</x:v>
      </x:c>
      <x:c r="G4252" s="4" t="str">
        <x:v>Agreement signed</x:v>
      </x:c>
    </x:row>
    <x:row r="4253" ht="34" customHeight="1">
      <x:c r="A4253" s="4" t="str">
        <x:v>RS-04252-E1</x:v>
      </x:c>
      <x:c r="B4253" s="4" t="str">
        <x:v>RS-04252</x:v>
      </x:c>
      <x:c r="C4253" s="8" t="n">
        <x:v>45559</x:v>
      </x:c>
      <x:c r="D4253" s="4" t="str">
        <x:v>Sales operations manager</x:v>
      </x:c>
      <x:c r="E4253" s="4" t="str">
        <x:v>Spreadsheet import</x:v>
      </x:c>
      <x:c r="F4253" s="4" t="str">
        <x:v>Record captured</x:v>
      </x:c>
      <x:c r="G4253" s="4" t="str">
        <x:v>Handed over</x:v>
      </x:c>
    </x:row>
    <x:row r="4254" ht="34" customHeight="1">
      <x:c r="A4254" s="4" t="str">
        <x:v>RS-04253-E1</x:v>
      </x:c>
      <x:c r="B4254" s="4" t="str">
        <x:v>RS-04253</x:v>
      </x:c>
      <x:c r="C4254" s="8" t="n">
        <x:v>45560</x:v>
      </x:c>
      <x:c r="D4254" s="4" t="str">
        <x:v>Sales operations manager</x:v>
      </x:c>
      <x:c r="E4254" s="4" t="str">
        <x:v>Spreadsheet import</x:v>
      </x:c>
      <x:c r="F4254" s="4" t="str">
        <x:v>Record captured</x:v>
      </x:c>
      <x:c r="G4254" s="4" t="str">
        <x:v>Cancelled</x:v>
      </x:c>
    </x:row>
    <x:row r="4255" ht="34" customHeight="1">
      <x:c r="A4255" s="4" t="str">
        <x:v>RS-04254-E1</x:v>
      </x:c>
      <x:c r="B4255" s="4" t="str">
        <x:v>RS-04254</x:v>
      </x:c>
      <x:c r="C4255" s="8" t="n">
        <x:v>45561</x:v>
      </x:c>
      <x:c r="D4255" s="4" t="str">
        <x:v>Sales operations manager</x:v>
      </x:c>
      <x:c r="E4255" s="4" t="str">
        <x:v>WhatsApp transcribed</x:v>
      </x:c>
      <x:c r="F4255" s="4" t="str">
        <x:v>Record captured</x:v>
      </x:c>
      <x:c r="G4255" s="4" t="str">
        <x:v>Agreement signed</x:v>
      </x:c>
    </x:row>
    <x:row r="4256" ht="34" customHeight="1">
      <x:c r="A4256" s="4" t="str">
        <x:v>RS-04255-E1</x:v>
      </x:c>
      <x:c r="B4256" s="4" t="str">
        <x:v>RS-04255</x:v>
      </x:c>
      <x:c r="C4256" s="8" t="n">
        <x:v>45562</x:v>
      </x:c>
      <x:c r="D4256" s="4" t="str">
        <x:v>Sales operations manager</x:v>
      </x:c>
      <x:c r="E4256" s="4" t="str">
        <x:v>ERP form</x:v>
      </x:c>
      <x:c r="F4256" s="4" t="str">
        <x:v>Record captured</x:v>
      </x:c>
      <x:c r="G4256" s="4" t="str">
        <x:v>Booked</x:v>
      </x:c>
    </x:row>
    <x:row r="4257" ht="34" customHeight="1">
      <x:c r="A4257" s="4" t="str">
        <x:v>RS-04256-E1</x:v>
      </x:c>
      <x:c r="B4257" s="4" t="str">
        <x:v>RS-04256</x:v>
      </x:c>
      <x:c r="C4257" s="8" t="n">
        <x:v>45563</x:v>
      </x:c>
      <x:c r="D4257" s="4" t="str">
        <x:v>Sales operations manager</x:v>
      </x:c>
      <x:c r="E4257" s="4" t="str">
        <x:v>ERP form</x:v>
      </x:c>
      <x:c r="F4257" s="4" t="str">
        <x:v>Record captured</x:v>
      </x:c>
      <x:c r="G4257" s="4" t="str">
        <x:v>Reserved</x:v>
      </x:c>
    </x:row>
    <x:row r="4258" ht="34" customHeight="1">
      <x:c r="A4258" s="4" t="str">
        <x:v>RS-04257-E1</x:v>
      </x:c>
      <x:c r="B4258" s="4" t="str">
        <x:v>RS-04257</x:v>
      </x:c>
      <x:c r="C4258" s="8" t="n">
        <x:v>45536</x:v>
      </x:c>
      <x:c r="D4258" s="4" t="str">
        <x:v>Sales operations manager</x:v>
      </x:c>
      <x:c r="E4258" s="4" t="str">
        <x:v>Spreadsheet import</x:v>
      </x:c>
      <x:c r="F4258" s="4" t="str">
        <x:v>Record captured</x:v>
      </x:c>
      <x:c r="G4258" s="4" t="str">
        <x:v>Booked</x:v>
      </x:c>
    </x:row>
    <x:row r="4259" ht="34" customHeight="1">
      <x:c r="A4259" s="4" t="str">
        <x:v>RS-04258-E1</x:v>
      </x:c>
      <x:c r="B4259" s="4" t="str">
        <x:v>RS-04258</x:v>
      </x:c>
      <x:c r="C4259" s="8" t="n">
        <x:v>45537</x:v>
      </x:c>
      <x:c r="D4259" s="4" t="str">
        <x:v>Sales operations manager</x:v>
      </x:c>
      <x:c r="E4259" s="4" t="str">
        <x:v>Spreadsheet import</x:v>
      </x:c>
      <x:c r="F4259" s="4" t="str">
        <x:v>Record captured</x:v>
      </x:c>
      <x:c r="G4259" s="4" t="str">
        <x:v>Booked</x:v>
      </x:c>
    </x:row>
    <x:row r="4260" ht="34" customHeight="1">
      <x:c r="A4260" s="4" t="str">
        <x:v>RS-04259-E1</x:v>
      </x:c>
      <x:c r="B4260" s="4" t="str">
        <x:v>RS-04259</x:v>
      </x:c>
      <x:c r="C4260" s="8" t="n">
        <x:v>45538</x:v>
      </x:c>
      <x:c r="D4260" s="4" t="str">
        <x:v>Sales operations manager</x:v>
      </x:c>
      <x:c r="E4260" s="4" t="str">
        <x:v>ERP form</x:v>
      </x:c>
      <x:c r="F4260" s="4" t="str">
        <x:v>Record captured</x:v>
      </x:c>
      <x:c r="G4260" s="4" t="str">
        <x:v>Handed over</x:v>
      </x:c>
    </x:row>
    <x:row r="4261" ht="34" customHeight="1">
      <x:c r="A4261" s="4" t="str">
        <x:v>RS-04260-E1</x:v>
      </x:c>
      <x:c r="B4261" s="4" t="str">
        <x:v>RS-04260</x:v>
      </x:c>
      <x:c r="C4261" s="8" t="n">
        <x:v>45539</x:v>
      </x:c>
      <x:c r="D4261" s="4" t="str">
        <x:v>Sales operations manager</x:v>
      </x:c>
      <x:c r="E4261" s="4" t="str">
        <x:v>Paper transcribed</x:v>
      </x:c>
      <x:c r="F4261" s="4" t="str">
        <x:v>Record captured</x:v>
      </x:c>
      <x:c r="G4261" s="4" t="str">
        <x:v>Enquiry</x:v>
      </x:c>
    </x:row>
    <x:row r="4262" ht="34" customHeight="1">
      <x:c r="A4262" s="4" t="str">
        <x:v>RS-04261-E1</x:v>
      </x:c>
      <x:c r="B4262" s="4" t="str">
        <x:v>RS-04261</x:v>
      </x:c>
      <x:c r="C4262" s="8" t="n">
        <x:v>45540</x:v>
      </x:c>
      <x:c r="D4262" s="4" t="str">
        <x:v>Sales operations manager</x:v>
      </x:c>
      <x:c r="E4262" s="4" t="str">
        <x:v>Spreadsheet import</x:v>
      </x:c>
      <x:c r="F4262" s="4" t="str">
        <x:v>Record captured</x:v>
      </x:c>
      <x:c r="G4262" s="4" t="str">
        <x:v>Agreement signed</x:v>
      </x:c>
    </x:row>
    <x:row r="4263" ht="34" customHeight="1">
      <x:c r="A4263" s="4" t="str">
        <x:v>RS-04262-E1</x:v>
      </x:c>
      <x:c r="B4263" s="4" t="str">
        <x:v>RS-04262</x:v>
      </x:c>
      <x:c r="C4263" s="8" t="n">
        <x:v>45541</x:v>
      </x:c>
      <x:c r="D4263" s="4" t="str">
        <x:v>Sales operations manager</x:v>
      </x:c>
      <x:c r="E4263" s="4" t="str">
        <x:v>ERP form</x:v>
      </x:c>
      <x:c r="F4263" s="4" t="str">
        <x:v>Record captured</x:v>
      </x:c>
      <x:c r="G4263" s="4" t="str">
        <x:v>Booked</x:v>
      </x:c>
    </x:row>
    <x:row r="4264" ht="34" customHeight="1">
      <x:c r="A4264" s="4" t="str">
        <x:v>RS-04263-E1</x:v>
      </x:c>
      <x:c r="B4264" s="4" t="str">
        <x:v>RS-04263</x:v>
      </x:c>
      <x:c r="C4264" s="8" t="n">
        <x:v>45542</x:v>
      </x:c>
      <x:c r="D4264" s="4" t="str">
        <x:v>Sales operations manager</x:v>
      </x:c>
      <x:c r="E4264" s="4" t="str">
        <x:v>ERP form</x:v>
      </x:c>
      <x:c r="F4264" s="4" t="str">
        <x:v>Record captured</x:v>
      </x:c>
      <x:c r="G4264" s="4" t="str">
        <x:v>Agreement signed</x:v>
      </x:c>
    </x:row>
    <x:row r="4265" ht="34" customHeight="1">
      <x:c r="A4265" s="4" t="str">
        <x:v>RS-04264-E1</x:v>
      </x:c>
      <x:c r="B4265" s="4" t="str">
        <x:v>RS-04264</x:v>
      </x:c>
      <x:c r="C4265" s="8" t="n">
        <x:v>45543</x:v>
      </x:c>
      <x:c r="D4265" s="4" t="str">
        <x:v>Sales operations manager</x:v>
      </x:c>
      <x:c r="E4265" s="4" t="str">
        <x:v>WhatsApp transcribed</x:v>
      </x:c>
      <x:c r="F4265" s="4" t="str">
        <x:v>Record captured</x:v>
      </x:c>
      <x:c r="G4265" s="4" t="str">
        <x:v>Booked</x:v>
      </x:c>
    </x:row>
    <x:row r="4266" ht="34" customHeight="1">
      <x:c r="A4266" s="4" t="str">
        <x:v>RS-04265-E1</x:v>
      </x:c>
      <x:c r="B4266" s="4" t="str">
        <x:v>RS-04265</x:v>
      </x:c>
      <x:c r="C4266" s="8" t="n">
        <x:v>45544</x:v>
      </x:c>
      <x:c r="D4266" s="4" t="str">
        <x:v>Sales operations manager</x:v>
      </x:c>
      <x:c r="E4266" s="4" t="str">
        <x:v>Spreadsheet import</x:v>
      </x:c>
      <x:c r="F4266" s="4" t="str">
        <x:v>Record captured</x:v>
      </x:c>
      <x:c r="G4266" s="4" t="str">
        <x:v>Enquiry</x:v>
      </x:c>
    </x:row>
    <x:row r="4267" ht="34" customHeight="1">
      <x:c r="A4267" s="4" t="str">
        <x:v>RS-04266-E1</x:v>
      </x:c>
      <x:c r="B4267" s="4" t="str">
        <x:v>RS-04266</x:v>
      </x:c>
      <x:c r="C4267" s="8" t="n">
        <x:v>45545</x:v>
      </x:c>
      <x:c r="D4267" s="4" t="str">
        <x:v>Sales operations manager</x:v>
      </x:c>
      <x:c r="E4267" s="4" t="str">
        <x:v>Paper transcribed</x:v>
      </x:c>
      <x:c r="F4267" s="4" t="str">
        <x:v>Record captured</x:v>
      </x:c>
      <x:c r="G4267" s="4" t="str">
        <x:v>Handed over</x:v>
      </x:c>
    </x:row>
    <x:row r="4268" ht="34" customHeight="1">
      <x:c r="A4268" s="4" t="str">
        <x:v>RS-04267-E1</x:v>
      </x:c>
      <x:c r="B4268" s="4" t="str">
        <x:v>RS-04267</x:v>
      </x:c>
      <x:c r="C4268" s="8" t="n">
        <x:v>45546</x:v>
      </x:c>
      <x:c r="D4268" s="4" t="str">
        <x:v>Sales operations manager</x:v>
      </x:c>
      <x:c r="E4268" s="4" t="str">
        <x:v>ERP form</x:v>
      </x:c>
      <x:c r="F4268" s="4" t="str">
        <x:v>Record captured</x:v>
      </x:c>
      <x:c r="G4268" s="4" t="str">
        <x:v>Enquiry</x:v>
      </x:c>
    </x:row>
    <x:row r="4269" ht="34" customHeight="1">
      <x:c r="A4269" s="4" t="str">
        <x:v>RS-04268-E1</x:v>
      </x:c>
      <x:c r="B4269" s="4" t="str">
        <x:v>RS-04268</x:v>
      </x:c>
      <x:c r="C4269" s="8" t="n">
        <x:v>45547</x:v>
      </x:c>
      <x:c r="D4269" s="4" t="str">
        <x:v>Sales operations manager</x:v>
      </x:c>
      <x:c r="E4269" s="4" t="str">
        <x:v>ERP form</x:v>
      </x:c>
      <x:c r="F4269" s="4" t="str">
        <x:v>Record captured</x:v>
      </x:c>
      <x:c r="G4269" s="4" t="str">
        <x:v>Booked</x:v>
      </x:c>
    </x:row>
    <x:row r="4270" ht="34" customHeight="1">
      <x:c r="A4270" s="4" t="str">
        <x:v>RS-04269-E1</x:v>
      </x:c>
      <x:c r="B4270" s="4" t="str">
        <x:v>RS-04269</x:v>
      </x:c>
      <x:c r="C4270" s="8" t="n">
        <x:v>45548</x:v>
      </x:c>
      <x:c r="D4270" s="4" t="str">
        <x:v>Sales operations manager</x:v>
      </x:c>
      <x:c r="E4270" s="4" t="str">
        <x:v>WhatsApp transcribed</x:v>
      </x:c>
      <x:c r="F4270" s="4" t="str">
        <x:v>Record captured</x:v>
      </x:c>
      <x:c r="G4270" s="4" t="str">
        <x:v>Cancelled</x:v>
      </x:c>
    </x:row>
    <x:row r="4271" ht="34" customHeight="1">
      <x:c r="A4271" s="4" t="str">
        <x:v>RS-04270-E1</x:v>
      </x:c>
      <x:c r="B4271" s="4" t="str">
        <x:v>RS-04270</x:v>
      </x:c>
      <x:c r="C4271" s="8" t="n">
        <x:v>45549</x:v>
      </x:c>
      <x:c r="D4271" s="4" t="str">
        <x:v>Sales operations manager</x:v>
      </x:c>
      <x:c r="E4271" s="4" t="str">
        <x:v>ERP form</x:v>
      </x:c>
      <x:c r="F4271" s="4" t="str">
        <x:v>Record captured</x:v>
      </x:c>
      <x:c r="G4271" s="4" t="str">
        <x:v>Agreement signed</x:v>
      </x:c>
    </x:row>
    <x:row r="4272" ht="34" customHeight="1">
      <x:c r="A4272" s="4" t="str">
        <x:v>RS-04271-E1</x:v>
      </x:c>
      <x:c r="B4272" s="4" t="str">
        <x:v>RS-04271</x:v>
      </x:c>
      <x:c r="C4272" s="8" t="n">
        <x:v>45550</x:v>
      </x:c>
      <x:c r="D4272" s="4" t="str">
        <x:v>Sales operations manager</x:v>
      </x:c>
      <x:c r="E4272" s="4" t="str">
        <x:v>Spreadsheet import</x:v>
      </x:c>
      <x:c r="F4272" s="4" t="str">
        <x:v>Record captured</x:v>
      </x:c>
      <x:c r="G4272" s="4" t="str">
        <x:v>Handed over</x:v>
      </x:c>
    </x:row>
    <x:row r="4273" ht="34" customHeight="1">
      <x:c r="A4273" s="4" t="str">
        <x:v>RS-04272-E1</x:v>
      </x:c>
      <x:c r="B4273" s="4" t="str">
        <x:v>RS-04272</x:v>
      </x:c>
      <x:c r="C4273" s="8" t="n">
        <x:v>45551</x:v>
      </x:c>
      <x:c r="D4273" s="4" t="str">
        <x:v>Sales operations manager</x:v>
      </x:c>
      <x:c r="E4273" s="4" t="str">
        <x:v>WhatsApp transcribed</x:v>
      </x:c>
      <x:c r="F4273" s="4" t="str">
        <x:v>Record captured</x:v>
      </x:c>
      <x:c r="G4273" s="4" t="str">
        <x:v>Agreement signed</x:v>
      </x:c>
    </x:row>
    <x:row r="4274" ht="34" customHeight="1">
      <x:c r="A4274" s="4" t="str">
        <x:v>RS-04273-E1</x:v>
      </x:c>
      <x:c r="B4274" s="4" t="str">
        <x:v>RS-04273</x:v>
      </x:c>
      <x:c r="C4274" s="8" t="n">
        <x:v>45552</x:v>
      </x:c>
      <x:c r="D4274" s="4" t="str">
        <x:v>Sales operations manager</x:v>
      </x:c>
      <x:c r="E4274" s="4" t="str">
        <x:v>Spreadsheet import</x:v>
      </x:c>
      <x:c r="F4274" s="4" t="str">
        <x:v>Record captured</x:v>
      </x:c>
      <x:c r="G4274" s="4" t="str">
        <x:v>Enquiry</x:v>
      </x:c>
    </x:row>
    <x:row r="4275" ht="34" customHeight="1">
      <x:c r="A4275" s="4" t="str">
        <x:v>RS-04274-E1</x:v>
      </x:c>
      <x:c r="B4275" s="4" t="str">
        <x:v>RS-04274</x:v>
      </x:c>
      <x:c r="C4275" s="8" t="n">
        <x:v>45553</x:v>
      </x:c>
      <x:c r="D4275" s="4" t="str">
        <x:v>Sales operations manager</x:v>
      </x:c>
      <x:c r="E4275" s="4" t="str">
        <x:v>Paper transcribed</x:v>
      </x:c>
      <x:c r="F4275" s="4" t="str">
        <x:v>Record captured</x:v>
      </x:c>
      <x:c r="G4275" s="4" t="str">
        <x:v>Cancelled</x:v>
      </x:c>
    </x:row>
    <x:row r="4276" ht="34" customHeight="1">
      <x:c r="A4276" s="4" t="str">
        <x:v>RS-04275-E1</x:v>
      </x:c>
      <x:c r="B4276" s="4" t="str">
        <x:v>RS-04275</x:v>
      </x:c>
      <x:c r="C4276" s="8" t="n">
        <x:v>45554</x:v>
      </x:c>
      <x:c r="D4276" s="4" t="str">
        <x:v>Sales operations manager</x:v>
      </x:c>
      <x:c r="E4276" s="4" t="str">
        <x:v>ERP form</x:v>
      </x:c>
      <x:c r="F4276" s="4" t="str">
        <x:v>Record captured</x:v>
      </x:c>
      <x:c r="G4276" s="4" t="str">
        <x:v>Reserved</x:v>
      </x:c>
    </x:row>
    <x:row r="4277" ht="34" customHeight="1">
      <x:c r="A4277" s="4" t="str">
        <x:v>RS-04276-E1</x:v>
      </x:c>
      <x:c r="B4277" s="4" t="str">
        <x:v>RS-04276</x:v>
      </x:c>
      <x:c r="C4277" s="8" t="n">
        <x:v>45555</x:v>
      </x:c>
      <x:c r="D4277" s="4" t="str">
        <x:v>Sales operations manager</x:v>
      </x:c>
      <x:c r="E4277" s="4" t="str">
        <x:v>Spreadsheet import</x:v>
      </x:c>
      <x:c r="F4277" s="4" t="str">
        <x:v>Record captured</x:v>
      </x:c>
      <x:c r="G4277" s="4" t="str">
        <x:v>Reserved</x:v>
      </x:c>
    </x:row>
    <x:row r="4278" ht="34" customHeight="1">
      <x:c r="A4278" s="4" t="str">
        <x:v>RS-04277-E1</x:v>
      </x:c>
      <x:c r="B4278" s="4" t="str">
        <x:v>RS-04277</x:v>
      </x:c>
      <x:c r="C4278" s="8" t="n">
        <x:v>45556</x:v>
      </x:c>
      <x:c r="D4278" s="4" t="str">
        <x:v>Sales operations manager</x:v>
      </x:c>
      <x:c r="E4278" s="4" t="str">
        <x:v>ERP form</x:v>
      </x:c>
      <x:c r="F4278" s="4" t="str">
        <x:v>Record captured</x:v>
      </x:c>
      <x:c r="G4278" s="4" t="str">
        <x:v>Agreement signed</x:v>
      </x:c>
    </x:row>
    <x:row r="4279" ht="34" customHeight="1">
      <x:c r="A4279" s="4" t="str">
        <x:v>RS-04278-E1</x:v>
      </x:c>
      <x:c r="B4279" s="4" t="str">
        <x:v>RS-04278</x:v>
      </x:c>
      <x:c r="C4279" s="8" t="n">
        <x:v>45557</x:v>
      </x:c>
      <x:c r="D4279" s="4" t="str">
        <x:v>Sales operations manager</x:v>
      </x:c>
      <x:c r="E4279" s="4" t="str">
        <x:v>Paper transcribed</x:v>
      </x:c>
      <x:c r="F4279" s="4" t="str">
        <x:v>Record captured</x:v>
      </x:c>
      <x:c r="G4279" s="4" t="str">
        <x:v>Enquiry</x:v>
      </x:c>
    </x:row>
    <x:row r="4280" ht="34" customHeight="1">
      <x:c r="A4280" s="4" t="str">
        <x:v>RS-04279-E1</x:v>
      </x:c>
      <x:c r="B4280" s="4" t="str">
        <x:v>RS-04279</x:v>
      </x:c>
      <x:c r="C4280" s="8" t="n">
        <x:v>45558</x:v>
      </x:c>
      <x:c r="D4280" s="4" t="str">
        <x:v>Sales operations manager</x:v>
      </x:c>
      <x:c r="E4280" s="4" t="str">
        <x:v>Spreadsheet import</x:v>
      </x:c>
      <x:c r="F4280" s="4" t="str">
        <x:v>Record captured</x:v>
      </x:c>
      <x:c r="G4280" s="4" t="str">
        <x:v>Cancelled</x:v>
      </x:c>
    </x:row>
    <x:row r="4281" ht="34" customHeight="1">
      <x:c r="A4281" s="4" t="str">
        <x:v>RS-04280-E1</x:v>
      </x:c>
      <x:c r="B4281" s="4" t="str">
        <x:v>RS-04280</x:v>
      </x:c>
      <x:c r="C4281" s="8" t="n">
        <x:v>45559</x:v>
      </x:c>
      <x:c r="D4281" s="4" t="str">
        <x:v>Sales operations manager</x:v>
      </x:c>
      <x:c r="E4281" s="4" t="str">
        <x:v>Paper transcribed</x:v>
      </x:c>
      <x:c r="F4281" s="4" t="str">
        <x:v>Record captured</x:v>
      </x:c>
      <x:c r="G4281" s="4" t="str">
        <x:v>Reserved</x:v>
      </x:c>
    </x:row>
    <x:row r="4282" ht="34" customHeight="1">
      <x:c r="A4282" s="4" t="str">
        <x:v>RS-04281-E1</x:v>
      </x:c>
      <x:c r="B4282" s="4" t="str">
        <x:v>RS-04281</x:v>
      </x:c>
      <x:c r="C4282" s="8" t="n">
        <x:v>45560</x:v>
      </x:c>
      <x:c r="D4282" s="4" t="str">
        <x:v>Sales operations manager</x:v>
      </x:c>
      <x:c r="E4282" s="4" t="str">
        <x:v>Spreadsheet import</x:v>
      </x:c>
      <x:c r="F4282" s="4" t="str">
        <x:v>Record captured</x:v>
      </x:c>
      <x:c r="G4282" s="4" t="str">
        <x:v>Agreement signed</x:v>
      </x:c>
    </x:row>
    <x:row r="4283" ht="34" customHeight="1">
      <x:c r="A4283" s="4" t="str">
        <x:v>RS-04282-E1</x:v>
      </x:c>
      <x:c r="B4283" s="4" t="str">
        <x:v>RS-04282</x:v>
      </x:c>
      <x:c r="C4283" s="8" t="n">
        <x:v>45561</x:v>
      </x:c>
      <x:c r="D4283" s="4" t="str">
        <x:v>Sales operations manager</x:v>
      </x:c>
      <x:c r="E4283" s="4" t="str">
        <x:v>Spreadsheet import</x:v>
      </x:c>
      <x:c r="F4283" s="4" t="str">
        <x:v>Record captured</x:v>
      </x:c>
      <x:c r="G4283" s="4" t="str">
        <x:v>Enquiry</x:v>
      </x:c>
    </x:row>
    <x:row r="4284" ht="34" customHeight="1">
      <x:c r="A4284" s="4" t="str">
        <x:v>RS-04283-E1</x:v>
      </x:c>
      <x:c r="B4284" s="4" t="str">
        <x:v>RS-04283</x:v>
      </x:c>
      <x:c r="C4284" s="8" t="n">
        <x:v>45562</x:v>
      </x:c>
      <x:c r="D4284" s="4" t="str">
        <x:v>Sales operations manager</x:v>
      </x:c>
      <x:c r="E4284" s="4" t="str">
        <x:v>WhatsApp transcribed</x:v>
      </x:c>
      <x:c r="F4284" s="4" t="str">
        <x:v>Record captured</x:v>
      </x:c>
      <x:c r="G4284" s="4" t="str">
        <x:v>Handed over</x:v>
      </x:c>
    </x:row>
    <x:row r="4285" ht="34" customHeight="1">
      <x:c r="A4285" s="4" t="str">
        <x:v>RS-04284-E1</x:v>
      </x:c>
      <x:c r="B4285" s="4" t="str">
        <x:v>RS-04284</x:v>
      </x:c>
      <x:c r="C4285" s="8" t="n">
        <x:v>45563</x:v>
      </x:c>
      <x:c r="D4285" s="4" t="str">
        <x:v>Sales operations manager</x:v>
      </x:c>
      <x:c r="E4285" s="4" t="str">
        <x:v>Paper transcribed</x:v>
      </x:c>
      <x:c r="F4285" s="4" t="str">
        <x:v>Record captured</x:v>
      </x:c>
      <x:c r="G4285" s="4" t="str">
        <x:v>Cancelled</x:v>
      </x:c>
    </x:row>
    <x:row r="4286" ht="34" customHeight="1">
      <x:c r="A4286" s="4" t="str">
        <x:v>RS-04285-E1</x:v>
      </x:c>
      <x:c r="B4286" s="4" t="str">
        <x:v>RS-04285</x:v>
      </x:c>
      <x:c r="C4286" s="8" t="n">
        <x:v>45536</x:v>
      </x:c>
      <x:c r="D4286" s="4" t="str">
        <x:v>Sales operations manager</x:v>
      </x:c>
      <x:c r="E4286" s="4" t="str">
        <x:v>WhatsApp transcribed</x:v>
      </x:c>
      <x:c r="F4286" s="4" t="str">
        <x:v>Record captured</x:v>
      </x:c>
      <x:c r="G4286" s="4" t="str">
        <x:v>Reserved</x:v>
      </x:c>
    </x:row>
    <x:row r="4287" ht="34" customHeight="1">
      <x:c r="A4287" s="4" t="str">
        <x:v>RS-04286-E1</x:v>
      </x:c>
      <x:c r="B4287" s="4" t="str">
        <x:v>RS-04286</x:v>
      </x:c>
      <x:c r="C4287" s="8" t="n">
        <x:v>45537</x:v>
      </x:c>
      <x:c r="D4287" s="4" t="str">
        <x:v>Sales operations manager</x:v>
      </x:c>
      <x:c r="E4287" s="4" t="str">
        <x:v>Spreadsheet import</x:v>
      </x:c>
      <x:c r="F4287" s="4" t="str">
        <x:v>Record captured</x:v>
      </x:c>
      <x:c r="G4287" s="4" t="str">
        <x:v>Handed over</x:v>
      </x:c>
    </x:row>
    <x:row r="4288" ht="34" customHeight="1">
      <x:c r="A4288" s="4" t="str">
        <x:v>RS-04287-E1</x:v>
      </x:c>
      <x:c r="B4288" s="4" t="str">
        <x:v>RS-04287</x:v>
      </x:c>
      <x:c r="C4288" s="8" t="n">
        <x:v>45538</x:v>
      </x:c>
      <x:c r="D4288" s="4" t="str">
        <x:v>Sales operations manager</x:v>
      </x:c>
      <x:c r="E4288" s="4" t="str">
        <x:v>ERP form</x:v>
      </x:c>
      <x:c r="F4288" s="4" t="str">
        <x:v>Record captured</x:v>
      </x:c>
      <x:c r="G4288" s="4" t="str">
        <x:v>Booked</x:v>
      </x:c>
    </x:row>
    <x:row r="4289" ht="34" customHeight="1">
      <x:c r="A4289" s="4" t="str">
        <x:v>RS-04288-E1</x:v>
      </x:c>
      <x:c r="B4289" s="4" t="str">
        <x:v>RS-04288</x:v>
      </x:c>
      <x:c r="C4289" s="8" t="n">
        <x:v>45539</x:v>
      </x:c>
      <x:c r="D4289" s="4" t="str">
        <x:v>Sales operations manager</x:v>
      </x:c>
      <x:c r="E4289" s="4" t="str">
        <x:v>Spreadsheet import</x:v>
      </x:c>
      <x:c r="F4289" s="4" t="str">
        <x:v>Record captured</x:v>
      </x:c>
      <x:c r="G4289" s="4" t="str">
        <x:v>Agreement signed</x:v>
      </x:c>
    </x:row>
    <x:row r="4290" ht="34" customHeight="1">
      <x:c r="A4290" s="4" t="str">
        <x:v>RS-04289-E1</x:v>
      </x:c>
      <x:c r="B4290" s="4" t="str">
        <x:v>RS-04289</x:v>
      </x:c>
      <x:c r="C4290" s="8" t="n">
        <x:v>45540</x:v>
      </x:c>
      <x:c r="D4290" s="4" t="str">
        <x:v>Sales operations manager</x:v>
      </x:c>
      <x:c r="E4290" s="4" t="str">
        <x:v>WhatsApp transcribed</x:v>
      </x:c>
      <x:c r="F4290" s="4" t="str">
        <x:v>Record captured</x:v>
      </x:c>
      <x:c r="G4290" s="4" t="str">
        <x:v>Handed over</x:v>
      </x:c>
    </x:row>
    <x:row r="4291" ht="34" customHeight="1">
      <x:c r="A4291" s="4" t="str">
        <x:v>RS-04290-E1</x:v>
      </x:c>
      <x:c r="B4291" s="4" t="str">
        <x:v>RS-04290</x:v>
      </x:c>
      <x:c r="C4291" s="8" t="n">
        <x:v>45541</x:v>
      </x:c>
      <x:c r="D4291" s="4" t="str">
        <x:v>Sales operations manager</x:v>
      </x:c>
      <x:c r="E4291" s="4" t="str">
        <x:v>Spreadsheet import</x:v>
      </x:c>
      <x:c r="F4291" s="4" t="str">
        <x:v>Record captured</x:v>
      </x:c>
      <x:c r="G4291" s="4" t="str">
        <x:v>Cancelled</x:v>
      </x:c>
    </x:row>
    <x:row r="4292" ht="34" customHeight="1">
      <x:c r="A4292" s="4" t="str">
        <x:v>RS-04291-E1</x:v>
      </x:c>
      <x:c r="B4292" s="4" t="str">
        <x:v>RS-04291</x:v>
      </x:c>
      <x:c r="C4292" s="8" t="n">
        <x:v>45542</x:v>
      </x:c>
      <x:c r="D4292" s="4" t="str">
        <x:v>Sales operations manager</x:v>
      </x:c>
      <x:c r="E4292" s="4" t="str">
        <x:v>Spreadsheet import</x:v>
      </x:c>
      <x:c r="F4292" s="4" t="str">
        <x:v>Record captured</x:v>
      </x:c>
      <x:c r="G4292" s="4" t="str">
        <x:v>Enquiry</x:v>
      </x:c>
    </x:row>
    <x:row r="4293" ht="34" customHeight="1">
      <x:c r="A4293" s="4" t="str">
        <x:v>RS-04292-E1</x:v>
      </x:c>
      <x:c r="B4293" s="4" t="str">
        <x:v>RS-04292</x:v>
      </x:c>
      <x:c r="C4293" s="8" t="n">
        <x:v>45543</x:v>
      </x:c>
      <x:c r="D4293" s="4" t="str">
        <x:v>Sales operations manager</x:v>
      </x:c>
      <x:c r="E4293" s="4" t="str">
        <x:v>ERP form</x:v>
      </x:c>
      <x:c r="F4293" s="4" t="str">
        <x:v>Record captured</x:v>
      </x:c>
      <x:c r="G4293" s="4" t="str">
        <x:v>Reserved</x:v>
      </x:c>
    </x:row>
    <x:row r="4294" ht="34" customHeight="1">
      <x:c r="A4294" s="4" t="str">
        <x:v>RS-04293-E1</x:v>
      </x:c>
      <x:c r="B4294" s="4" t="str">
        <x:v>RS-04293</x:v>
      </x:c>
      <x:c r="C4294" s="8" t="n">
        <x:v>45544</x:v>
      </x:c>
      <x:c r="D4294" s="4" t="str">
        <x:v>Sales operations manager</x:v>
      </x:c>
      <x:c r="E4294" s="4" t="str">
        <x:v>Paper transcribed</x:v>
      </x:c>
      <x:c r="F4294" s="4" t="str">
        <x:v>Record captured</x:v>
      </x:c>
      <x:c r="G4294" s="4" t="str">
        <x:v>Agreement signed</x:v>
      </x:c>
    </x:row>
    <x:row r="4295" ht="34" customHeight="1">
      <x:c r="A4295" s="4" t="str">
        <x:v>RS-04294-E1</x:v>
      </x:c>
      <x:c r="B4295" s="4" t="str">
        <x:v>RS-04294</x:v>
      </x:c>
      <x:c r="C4295" s="8" t="n">
        <x:v>45545</x:v>
      </x:c>
      <x:c r="D4295" s="4" t="str">
        <x:v>Sales operations manager</x:v>
      </x:c>
      <x:c r="E4295" s="4" t="str">
        <x:v>Spreadsheet import</x:v>
      </x:c>
      <x:c r="F4295" s="4" t="str">
        <x:v>Record captured</x:v>
      </x:c>
      <x:c r="G4295" s="4" t="str">
        <x:v>Booked</x:v>
      </x:c>
    </x:row>
    <x:row r="4296" ht="34" customHeight="1">
      <x:c r="A4296" s="4" t="str">
        <x:v>RS-04295-E1</x:v>
      </x:c>
      <x:c r="B4296" s="4" t="str">
        <x:v>RS-04295</x:v>
      </x:c>
      <x:c r="C4296" s="8" t="n">
        <x:v>45546</x:v>
      </x:c>
      <x:c r="D4296" s="4" t="str">
        <x:v>Sales operations manager</x:v>
      </x:c>
      <x:c r="E4296" s="4" t="str">
        <x:v>ERP form</x:v>
      </x:c>
      <x:c r="F4296" s="4" t="str">
        <x:v>Record captured</x:v>
      </x:c>
      <x:c r="G4296" s="4" t="str">
        <x:v>Reserved</x:v>
      </x:c>
    </x:row>
    <x:row r="4297" ht="34" customHeight="1">
      <x:c r="A4297" s="4" t="str">
        <x:v>RS-04296-E1</x:v>
      </x:c>
      <x:c r="B4297" s="4" t="str">
        <x:v>RS-04296</x:v>
      </x:c>
      <x:c r="C4297" s="8" t="n">
        <x:v>45547</x:v>
      </x:c>
      <x:c r="D4297" s="4" t="str">
        <x:v>Sales operations manager</x:v>
      </x:c>
      <x:c r="E4297" s="4" t="str">
        <x:v>Paper transcribed</x:v>
      </x:c>
      <x:c r="F4297" s="4" t="str">
        <x:v>Record captured</x:v>
      </x:c>
      <x:c r="G4297" s="4" t="str">
        <x:v>Enquiry</x:v>
      </x:c>
    </x:row>
    <x:row r="4298" ht="34" customHeight="1">
      <x:c r="A4298" s="4" t="str">
        <x:v>RS-04297-E1</x:v>
      </x:c>
      <x:c r="B4298" s="4" t="str">
        <x:v>RS-04297</x:v>
      </x:c>
      <x:c r="C4298" s="8" t="n">
        <x:v>45548</x:v>
      </x:c>
      <x:c r="D4298" s="4" t="str">
        <x:v>Sales operations manager</x:v>
      </x:c>
      <x:c r="E4298" s="4" t="str">
        <x:v>WhatsApp transcribed</x:v>
      </x:c>
      <x:c r="F4298" s="4" t="str">
        <x:v>Record captured</x:v>
      </x:c>
      <x:c r="G4298" s="4" t="str">
        <x:v>Enquiry</x:v>
      </x:c>
    </x:row>
    <x:row r="4299" ht="34" customHeight="1">
      <x:c r="A4299" s="4" t="str">
        <x:v>RS-04298-E1</x:v>
      </x:c>
      <x:c r="B4299" s="4" t="str">
        <x:v>RS-04298</x:v>
      </x:c>
      <x:c r="C4299" s="8" t="n">
        <x:v>45549</x:v>
      </x:c>
      <x:c r="D4299" s="4" t="str">
        <x:v>Sales operations manager</x:v>
      </x:c>
      <x:c r="E4299" s="4" t="str">
        <x:v>ERP form</x:v>
      </x:c>
      <x:c r="F4299" s="4" t="str">
        <x:v>Record captured</x:v>
      </x:c>
      <x:c r="G4299" s="4" t="str">
        <x:v>Agreement signed</x:v>
      </x:c>
    </x:row>
    <x:row r="4300" ht="34" customHeight="1">
      <x:c r="A4300" s="4" t="str">
        <x:v>RS-04299-E1</x:v>
      </x:c>
      <x:c r="B4300" s="4" t="str">
        <x:v>RS-04299</x:v>
      </x:c>
      <x:c r="C4300" s="8" t="n">
        <x:v>45550</x:v>
      </x:c>
      <x:c r="D4300" s="4" t="str">
        <x:v>Sales operations manager</x:v>
      </x:c>
      <x:c r="E4300" s="4" t="str">
        <x:v>Spreadsheet import</x:v>
      </x:c>
      <x:c r="F4300" s="4" t="str">
        <x:v>Record captured</x:v>
      </x:c>
      <x:c r="G4300" s="4" t="str">
        <x:v>Booked</x:v>
      </x:c>
    </x:row>
    <x:row r="4301" ht="34" customHeight="1">
      <x:c r="A4301" s="4" t="str">
        <x:v>RS-04300-E1</x:v>
      </x:c>
      <x:c r="B4301" s="4" t="str">
        <x:v>RS-04300</x:v>
      </x:c>
      <x:c r="C4301" s="8" t="n">
        <x:v>45551</x:v>
      </x:c>
      <x:c r="D4301" s="4" t="str">
        <x:v>Sales operations manager</x:v>
      </x:c>
      <x:c r="E4301" s="4" t="str">
        <x:v>Paper transcribed</x:v>
      </x:c>
      <x:c r="F4301" s="4" t="str">
        <x:v>Record captured</x:v>
      </x:c>
      <x:c r="G4301" s="4" t="str">
        <x:v>Cancelled</x:v>
      </x:c>
    </x:row>
    <x:row r="4302" ht="34" customHeight="1">
      <x:c r="A4302" s="4" t="str">
        <x:v>RS-04301-E1</x:v>
      </x:c>
      <x:c r="B4302" s="4" t="str">
        <x:v>RS-04301</x:v>
      </x:c>
      <x:c r="C4302" s="8" t="n">
        <x:v>45552</x:v>
      </x:c>
      <x:c r="D4302" s="4" t="str">
        <x:v>Sales operations manager</x:v>
      </x:c>
      <x:c r="E4302" s="4" t="str">
        <x:v>WhatsApp transcribed</x:v>
      </x:c>
      <x:c r="F4302" s="4" t="str">
        <x:v>Record captured</x:v>
      </x:c>
      <x:c r="G4302" s="4" t="str">
        <x:v>Booked</x:v>
      </x:c>
    </x:row>
    <x:row r="4303" ht="34" customHeight="1">
      <x:c r="A4303" s="4" t="str">
        <x:v>RS-04302-E1</x:v>
      </x:c>
      <x:c r="B4303" s="4" t="str">
        <x:v>RS-04302</x:v>
      </x:c>
      <x:c r="C4303" s="8" t="n">
        <x:v>45553</x:v>
      </x:c>
      <x:c r="D4303" s="4" t="str">
        <x:v>Sales operations manager</x:v>
      </x:c>
      <x:c r="E4303" s="4" t="str">
        <x:v>Paper transcribed</x:v>
      </x:c>
      <x:c r="F4303" s="4" t="str">
        <x:v>Record captured</x:v>
      </x:c>
      <x:c r="G4303" s="4" t="str">
        <x:v>Cancelled</x:v>
      </x:c>
    </x:row>
    <x:row r="4304" ht="34" customHeight="1">
      <x:c r="A4304" s="4" t="str">
        <x:v>RS-04303-E1</x:v>
      </x:c>
      <x:c r="B4304" s="4" t="str">
        <x:v>RS-04303</x:v>
      </x:c>
      <x:c r="C4304" s="8" t="n">
        <x:v>45554</x:v>
      </x:c>
      <x:c r="D4304" s="4" t="str">
        <x:v>Sales operations manager</x:v>
      </x:c>
      <x:c r="E4304" s="4" t="str">
        <x:v>Paper transcribed</x:v>
      </x:c>
      <x:c r="F4304" s="4" t="str">
        <x:v>Record captured</x:v>
      </x:c>
      <x:c r="G4304" s="4" t="str">
        <x:v>Enquiry</x:v>
      </x:c>
    </x:row>
    <x:row r="4305" ht="34" customHeight="1">
      <x:c r="A4305" s="4" t="str">
        <x:v>RS-04304-E1</x:v>
      </x:c>
      <x:c r="B4305" s="4" t="str">
        <x:v>RS-04304</x:v>
      </x:c>
      <x:c r="C4305" s="8" t="n">
        <x:v>45555</x:v>
      </x:c>
      <x:c r="D4305" s="4" t="str">
        <x:v>Sales operations manager</x:v>
      </x:c>
      <x:c r="E4305" s="4" t="str">
        <x:v>ERP form</x:v>
      </x:c>
      <x:c r="F4305" s="4" t="str">
        <x:v>Record captured</x:v>
      </x:c>
      <x:c r="G4305" s="4" t="str">
        <x:v>Booked</x:v>
      </x:c>
    </x:row>
    <x:row r="4306" ht="34" customHeight="1">
      <x:c r="A4306" s="4" t="str">
        <x:v>RS-04305-E1</x:v>
      </x:c>
      <x:c r="B4306" s="4" t="str">
        <x:v>RS-04305</x:v>
      </x:c>
      <x:c r="C4306" s="8" t="n">
        <x:v>45556</x:v>
      </x:c>
      <x:c r="D4306" s="4" t="str">
        <x:v>Sales operations manager</x:v>
      </x:c>
      <x:c r="E4306" s="4" t="str">
        <x:v>ERP form</x:v>
      </x:c>
      <x:c r="F4306" s="4" t="str">
        <x:v>Record captured</x:v>
      </x:c>
      <x:c r="G4306" s="4" t="str">
        <x:v>Agreement signed</x:v>
      </x:c>
    </x:row>
    <x:row r="4307" ht="34" customHeight="1">
      <x:c r="A4307" s="4" t="str">
        <x:v>RS-04306-E1</x:v>
      </x:c>
      <x:c r="B4307" s="4" t="str">
        <x:v>RS-04306</x:v>
      </x:c>
      <x:c r="C4307" s="8" t="n">
        <x:v>45557</x:v>
      </x:c>
      <x:c r="D4307" s="4" t="str">
        <x:v>Sales operations manager</x:v>
      </x:c>
      <x:c r="E4307" s="4" t="str">
        <x:v>Paper transcribed</x:v>
      </x:c>
      <x:c r="F4307" s="4" t="str">
        <x:v>Record captured</x:v>
      </x:c>
      <x:c r="G4307" s="4" t="str">
        <x:v>Reserved</x:v>
      </x:c>
    </x:row>
    <x:row r="4308" ht="34" customHeight="1">
      <x:c r="A4308" s="4" t="str">
        <x:v>RS-04307-E1</x:v>
      </x:c>
      <x:c r="B4308" s="4" t="str">
        <x:v>RS-04307</x:v>
      </x:c>
      <x:c r="C4308" s="8" t="n">
        <x:v>45558</x:v>
      </x:c>
      <x:c r="D4308" s="4" t="str">
        <x:v>Sales operations manager</x:v>
      </x:c>
      <x:c r="E4308" s="4" t="str">
        <x:v>WhatsApp transcribed</x:v>
      </x:c>
      <x:c r="F4308" s="4" t="str">
        <x:v>Record captured</x:v>
      </x:c>
      <x:c r="G4308" s="4" t="str">
        <x:v>Handed over</x:v>
      </x:c>
    </x:row>
    <x:row r="4309" ht="34" customHeight="1">
      <x:c r="A4309" s="4" t="str">
        <x:v>RS-04308-E1</x:v>
      </x:c>
      <x:c r="B4309" s="4" t="str">
        <x:v>RS-04308</x:v>
      </x:c>
      <x:c r="C4309" s="8" t="n">
        <x:v>45559</x:v>
      </x:c>
      <x:c r="D4309" s="4" t="str">
        <x:v>Sales operations manager</x:v>
      </x:c>
      <x:c r="E4309" s="4" t="str">
        <x:v>ERP form</x:v>
      </x:c>
      <x:c r="F4309" s="4" t="str">
        <x:v>Record captured</x:v>
      </x:c>
      <x:c r="G4309" s="4" t="str">
        <x:v>Enquiry</x:v>
      </x:c>
    </x:row>
    <x:row r="4310" ht="34" customHeight="1">
      <x:c r="A4310" s="4" t="str">
        <x:v>RS-04309-E1</x:v>
      </x:c>
      <x:c r="B4310" s="4" t="str">
        <x:v>RS-04309</x:v>
      </x:c>
      <x:c r="C4310" s="8" t="n">
        <x:v>45560</x:v>
      </x:c>
      <x:c r="D4310" s="4" t="str">
        <x:v>Sales operations manager</x:v>
      </x:c>
      <x:c r="E4310" s="4" t="str">
        <x:v>ERP form</x:v>
      </x:c>
      <x:c r="F4310" s="4" t="str">
        <x:v>Record captured</x:v>
      </x:c>
      <x:c r="G4310" s="4" t="str">
        <x:v>Reserved</x:v>
      </x:c>
    </x:row>
    <x:row r="4311" ht="34" customHeight="1">
      <x:c r="A4311" s="4" t="str">
        <x:v>RS-04310-E1</x:v>
      </x:c>
      <x:c r="B4311" s="4" t="str">
        <x:v>RS-04310</x:v>
      </x:c>
      <x:c r="C4311" s="8" t="n">
        <x:v>45561</x:v>
      </x:c>
      <x:c r="D4311" s="4" t="str">
        <x:v>Sales operations manager</x:v>
      </x:c>
      <x:c r="E4311" s="4" t="str">
        <x:v>WhatsApp transcribed</x:v>
      </x:c>
      <x:c r="F4311" s="4" t="str">
        <x:v>Record captured</x:v>
      </x:c>
      <x:c r="G4311" s="4" t="str">
        <x:v>Enquiry</x:v>
      </x:c>
    </x:row>
    <x:row r="4312" ht="34" customHeight="1">
      <x:c r="A4312" s="4" t="str">
        <x:v>RS-04311-E1</x:v>
      </x:c>
      <x:c r="B4312" s="4" t="str">
        <x:v>RS-04311</x:v>
      </x:c>
      <x:c r="C4312" s="8" t="n">
        <x:v>45562</x:v>
      </x:c>
      <x:c r="D4312" s="4" t="str">
        <x:v>Sales operations manager</x:v>
      </x:c>
      <x:c r="E4312" s="4" t="str">
        <x:v>Paper transcribed</x:v>
      </x:c>
      <x:c r="F4312" s="4" t="str">
        <x:v>Record captured</x:v>
      </x:c>
      <x:c r="G4312" s="4" t="str">
        <x:v>Booked</x:v>
      </x:c>
    </x:row>
    <x:row r="4313" ht="34" customHeight="1">
      <x:c r="A4313" s="4" t="str">
        <x:v>RS-04312-E1</x:v>
      </x:c>
      <x:c r="B4313" s="4" t="str">
        <x:v>RS-04312</x:v>
      </x:c>
      <x:c r="C4313" s="8" t="n">
        <x:v>45563</x:v>
      </x:c>
      <x:c r="D4313" s="4" t="str">
        <x:v>Sales operations manager</x:v>
      </x:c>
      <x:c r="E4313" s="4" t="str">
        <x:v>WhatsApp transcribed</x:v>
      </x:c>
      <x:c r="F4313" s="4" t="str">
        <x:v>Record captured</x:v>
      </x:c>
      <x:c r="G4313" s="4" t="str">
        <x:v>Reserved</x:v>
      </x:c>
    </x:row>
    <x:row r="4314" ht="34" customHeight="1">
      <x:c r="A4314" s="4" t="str">
        <x:v>RS-04313-E1</x:v>
      </x:c>
      <x:c r="B4314" s="4" t="str">
        <x:v>RS-04313</x:v>
      </x:c>
      <x:c r="C4314" s="8" t="n">
        <x:v>45536</x:v>
      </x:c>
      <x:c r="D4314" s="4" t="str">
        <x:v>Sales operations manager</x:v>
      </x:c>
      <x:c r="E4314" s="4" t="str">
        <x:v>WhatsApp transcribed</x:v>
      </x:c>
      <x:c r="F4314" s="4" t="str">
        <x:v>Record captured</x:v>
      </x:c>
      <x:c r="G4314" s="4" t="str">
        <x:v>Cancelled</x:v>
      </x:c>
    </x:row>
    <x:row r="4315" ht="34" customHeight="1">
      <x:c r="A4315" s="4" t="str">
        <x:v>RS-04314-E1</x:v>
      </x:c>
      <x:c r="B4315" s="4" t="str">
        <x:v>RS-04314</x:v>
      </x:c>
      <x:c r="C4315" s="8" t="n">
        <x:v>45537</x:v>
      </x:c>
      <x:c r="D4315" s="4" t="str">
        <x:v>Sales operations manager</x:v>
      </x:c>
      <x:c r="E4315" s="4" t="str">
        <x:v>Spreadsheet import</x:v>
      </x:c>
      <x:c r="F4315" s="4" t="str">
        <x:v>Record captured</x:v>
      </x:c>
      <x:c r="G4315" s="4" t="str">
        <x:v>Cancelled</x:v>
      </x:c>
    </x:row>
    <x:row r="4316" ht="34" customHeight="1">
      <x:c r="A4316" s="4" t="str">
        <x:v>RS-04315-E1</x:v>
      </x:c>
      <x:c r="B4316" s="4" t="str">
        <x:v>RS-04315</x:v>
      </x:c>
      <x:c r="C4316" s="8" t="n">
        <x:v>45538</x:v>
      </x:c>
      <x:c r="D4316" s="4" t="str">
        <x:v>Sales operations manager</x:v>
      </x:c>
      <x:c r="E4316" s="4" t="str">
        <x:v>Paper transcribed</x:v>
      </x:c>
      <x:c r="F4316" s="4" t="str">
        <x:v>Record captured</x:v>
      </x:c>
      <x:c r="G4316" s="4" t="str">
        <x:v>Booked</x:v>
      </x:c>
    </x:row>
    <x:row r="4317" ht="34" customHeight="1">
      <x:c r="A4317" s="4" t="str">
        <x:v>RS-04316-E1</x:v>
      </x:c>
      <x:c r="B4317" s="4" t="str">
        <x:v>RS-04316</x:v>
      </x:c>
      <x:c r="C4317" s="8" t="n">
        <x:v>45539</x:v>
      </x:c>
      <x:c r="D4317" s="4" t="str">
        <x:v>Sales operations manager</x:v>
      </x:c>
      <x:c r="E4317" s="4" t="str">
        <x:v>ERP form</x:v>
      </x:c>
      <x:c r="F4317" s="4" t="str">
        <x:v>Record captured</x:v>
      </x:c>
      <x:c r="G4317" s="4" t="str">
        <x:v>Reserved</x:v>
      </x:c>
    </x:row>
    <x:row r="4318" ht="34" customHeight="1">
      <x:c r="A4318" s="4" t="str">
        <x:v>RS-04317-E1</x:v>
      </x:c>
      <x:c r="B4318" s="4" t="str">
        <x:v>RS-04317</x:v>
      </x:c>
      <x:c r="C4318" s="8" t="n">
        <x:v>45540</x:v>
      </x:c>
      <x:c r="D4318" s="4" t="str">
        <x:v>Sales operations manager</x:v>
      </x:c>
      <x:c r="E4318" s="4" t="str">
        <x:v>Spreadsheet import</x:v>
      </x:c>
      <x:c r="F4318" s="4" t="str">
        <x:v>Record captured</x:v>
      </x:c>
      <x:c r="G4318" s="4" t="str">
        <x:v>Agreement signed</x:v>
      </x:c>
    </x:row>
    <x:row r="4319" ht="34" customHeight="1">
      <x:c r="A4319" s="4" t="str">
        <x:v>RS-04318-E1</x:v>
      </x:c>
      <x:c r="B4319" s="4" t="str">
        <x:v>RS-04318</x:v>
      </x:c>
      <x:c r="C4319" s="8" t="n">
        <x:v>45541</x:v>
      </x:c>
      <x:c r="D4319" s="4" t="str">
        <x:v>Sales operations manager</x:v>
      </x:c>
      <x:c r="E4319" s="4" t="str">
        <x:v>ERP form</x:v>
      </x:c>
      <x:c r="F4319" s="4" t="str">
        <x:v>Record captured</x:v>
      </x:c>
      <x:c r="G4319" s="4" t="str">
        <x:v>Cancelled</x:v>
      </x:c>
    </x:row>
    <x:row r="4320" ht="34" customHeight="1">
      <x:c r="A4320" s="4" t="str">
        <x:v>RS-04319-E1</x:v>
      </x:c>
      <x:c r="B4320" s="4" t="str">
        <x:v>RS-04319</x:v>
      </x:c>
      <x:c r="C4320" s="8" t="n">
        <x:v>45542</x:v>
      </x:c>
      <x:c r="D4320" s="4" t="str">
        <x:v>Sales operations manager</x:v>
      </x:c>
      <x:c r="E4320" s="4" t="str">
        <x:v>Paper transcribed</x:v>
      </x:c>
      <x:c r="F4320" s="4" t="str">
        <x:v>Record captured</x:v>
      </x:c>
      <x:c r="G4320" s="4" t="str">
        <x:v>Cancelled</x:v>
      </x:c>
    </x:row>
    <x:row r="4321" ht="34" customHeight="1">
      <x:c r="A4321" s="4" t="str">
        <x:v>RS-04320-E1</x:v>
      </x:c>
      <x:c r="B4321" s="4" t="str">
        <x:v>RS-04320</x:v>
      </x:c>
      <x:c r="C4321" s="8" t="n">
        <x:v>45543</x:v>
      </x:c>
      <x:c r="D4321" s="4" t="str">
        <x:v>Sales operations manager</x:v>
      </x:c>
      <x:c r="E4321" s="4" t="str">
        <x:v>WhatsApp transcribed</x:v>
      </x:c>
      <x:c r="F4321" s="4" t="str">
        <x:v>Record captured</x:v>
      </x:c>
      <x:c r="G4321" s="4" t="str">
        <x:v>Handed over</x:v>
      </x:c>
    </x:row>
    <x:row r="4322" ht="34" customHeight="1">
      <x:c r="A4322" s="4" t="str">
        <x:v>RS-04321-E1</x:v>
      </x:c>
      <x:c r="B4322" s="4" t="str">
        <x:v>RS-04321</x:v>
      </x:c>
      <x:c r="C4322" s="8" t="n">
        <x:v>45544</x:v>
      </x:c>
      <x:c r="D4322" s="4" t="str">
        <x:v>Sales operations manager</x:v>
      </x:c>
      <x:c r="E4322" s="4" t="str">
        <x:v>Spreadsheet import</x:v>
      </x:c>
      <x:c r="F4322" s="4" t="str">
        <x:v>Record captured</x:v>
      </x:c>
      <x:c r="G4322" s="4" t="str">
        <x:v>Booked</x:v>
      </x:c>
    </x:row>
    <x:row r="4323" ht="34" customHeight="1">
      <x:c r="A4323" s="4" t="str">
        <x:v>RS-04322-E1</x:v>
      </x:c>
      <x:c r="B4323" s="4" t="str">
        <x:v>RS-04322</x:v>
      </x:c>
      <x:c r="C4323" s="8" t="n">
        <x:v>45545</x:v>
      </x:c>
      <x:c r="D4323" s="4" t="str">
        <x:v>Sales operations manager</x:v>
      </x:c>
      <x:c r="E4323" s="4" t="str">
        <x:v>Spreadsheet import</x:v>
      </x:c>
      <x:c r="F4323" s="4" t="str">
        <x:v>Record captured</x:v>
      </x:c>
      <x:c r="G4323" s="4" t="str">
        <x:v>Agreement signed</x:v>
      </x:c>
    </x:row>
    <x:row r="4324" ht="34" customHeight="1">
      <x:c r="A4324" s="4" t="str">
        <x:v>RS-04323-E1</x:v>
      </x:c>
      <x:c r="B4324" s="4" t="str">
        <x:v>RS-04323</x:v>
      </x:c>
      <x:c r="C4324" s="8" t="n">
        <x:v>45546</x:v>
      </x:c>
      <x:c r="D4324" s="4" t="str">
        <x:v>Sales operations manager</x:v>
      </x:c>
      <x:c r="E4324" s="4" t="str">
        <x:v>ERP form</x:v>
      </x:c>
      <x:c r="F4324" s="4" t="str">
        <x:v>Record captured</x:v>
      </x:c>
      <x:c r="G4324" s="4" t="str">
        <x:v>Handed over</x:v>
      </x:c>
    </x:row>
    <x:row r="4325" ht="34" customHeight="1">
      <x:c r="A4325" s="4" t="str">
        <x:v>RS-04324-E1</x:v>
      </x:c>
      <x:c r="B4325" s="4" t="str">
        <x:v>RS-04324</x:v>
      </x:c>
      <x:c r="C4325" s="8" t="n">
        <x:v>45547</x:v>
      </x:c>
      <x:c r="D4325" s="4" t="str">
        <x:v>Sales operations manager</x:v>
      </x:c>
      <x:c r="E4325" s="4" t="str">
        <x:v>ERP form</x:v>
      </x:c>
      <x:c r="F4325" s="4" t="str">
        <x:v>Record captured</x:v>
      </x:c>
      <x:c r="G4325" s="4" t="str">
        <x:v>Agreement signed</x:v>
      </x:c>
    </x:row>
    <x:row r="4326" ht="34" customHeight="1">
      <x:c r="A4326" s="4" t="str">
        <x:v>RS-04325-E1</x:v>
      </x:c>
      <x:c r="B4326" s="4" t="str">
        <x:v>RS-04325</x:v>
      </x:c>
      <x:c r="C4326" s="8" t="n">
        <x:v>45548</x:v>
      </x:c>
      <x:c r="D4326" s="4" t="str">
        <x:v>Sales operations manager</x:v>
      </x:c>
      <x:c r="E4326" s="4" t="str">
        <x:v>WhatsApp transcribed</x:v>
      </x:c>
      <x:c r="F4326" s="4" t="str">
        <x:v>Record captured</x:v>
      </x:c>
      <x:c r="G4326" s="4" t="str">
        <x:v>Enquiry</x:v>
      </x:c>
    </x:row>
    <x:row r="4327" ht="34" customHeight="1">
      <x:c r="A4327" s="4" t="str">
        <x:v>RS-04326-E1</x:v>
      </x:c>
      <x:c r="B4327" s="4" t="str">
        <x:v>RS-04326</x:v>
      </x:c>
      <x:c r="C4327" s="8" t="n">
        <x:v>45549</x:v>
      </x:c>
      <x:c r="D4327" s="4" t="str">
        <x:v>Sales operations manager</x:v>
      </x:c>
      <x:c r="E4327" s="4" t="str">
        <x:v>ERP form</x:v>
      </x:c>
      <x:c r="F4327" s="4" t="str">
        <x:v>Record captured</x:v>
      </x:c>
      <x:c r="G4327" s="4" t="str">
        <x:v>Reserved</x:v>
      </x:c>
    </x:row>
    <x:row r="4328" ht="34" customHeight="1">
      <x:c r="A4328" s="4" t="str">
        <x:v>RS-04327-E1</x:v>
      </x:c>
      <x:c r="B4328" s="4" t="str">
        <x:v>RS-04327</x:v>
      </x:c>
      <x:c r="C4328" s="8" t="n">
        <x:v>45550</x:v>
      </x:c>
      <x:c r="D4328" s="4" t="str">
        <x:v>Sales operations manager</x:v>
      </x:c>
      <x:c r="E4328" s="4" t="str">
        <x:v>WhatsApp transcribed</x:v>
      </x:c>
      <x:c r="F4328" s="4" t="str">
        <x:v>Record captured</x:v>
      </x:c>
      <x:c r="G4328" s="4" t="str">
        <x:v>Cancelled</x:v>
      </x:c>
    </x:row>
    <x:row r="4329" ht="34" customHeight="1">
      <x:c r="A4329" s="4" t="str">
        <x:v>RS-04328-E1</x:v>
      </x:c>
      <x:c r="B4329" s="4" t="str">
        <x:v>RS-04328</x:v>
      </x:c>
      <x:c r="C4329" s="8" t="n">
        <x:v>45551</x:v>
      </x:c>
      <x:c r="D4329" s="4" t="str">
        <x:v>Sales operations manager</x:v>
      </x:c>
      <x:c r="E4329" s="4" t="str">
        <x:v>ERP form</x:v>
      </x:c>
      <x:c r="F4329" s="4" t="str">
        <x:v>Record captured</x:v>
      </x:c>
      <x:c r="G4329" s="4" t="str">
        <x:v>Handed over</x:v>
      </x:c>
    </x:row>
    <x:row r="4330" ht="34" customHeight="1">
      <x:c r="A4330" s="4" t="str">
        <x:v>RS-04329-E1</x:v>
      </x:c>
      <x:c r="B4330" s="4" t="str">
        <x:v>RS-04329</x:v>
      </x:c>
      <x:c r="C4330" s="8" t="n">
        <x:v>45552</x:v>
      </x:c>
      <x:c r="D4330" s="4" t="str">
        <x:v>Sales operations manager</x:v>
      </x:c>
      <x:c r="E4330" s="4" t="str">
        <x:v>WhatsApp transcribed</x:v>
      </x:c>
      <x:c r="F4330" s="4" t="str">
        <x:v>Record captured</x:v>
      </x:c>
      <x:c r="G4330" s="4" t="str">
        <x:v>Handed over</x:v>
      </x:c>
    </x:row>
    <x:row r="4331" ht="34" customHeight="1">
      <x:c r="A4331" s="4" t="str">
        <x:v>RS-04330-E1</x:v>
      </x:c>
      <x:c r="B4331" s="4" t="str">
        <x:v>RS-04330</x:v>
      </x:c>
      <x:c r="C4331" s="8" t="n">
        <x:v>45553</x:v>
      </x:c>
      <x:c r="D4331" s="4" t="str">
        <x:v>Sales operations manager</x:v>
      </x:c>
      <x:c r="E4331" s="4" t="str">
        <x:v>Paper transcribed</x:v>
      </x:c>
      <x:c r="F4331" s="4" t="str">
        <x:v>Record captured</x:v>
      </x:c>
      <x:c r="G4331" s="4" t="str">
        <x:v>Handed over</x:v>
      </x:c>
    </x:row>
    <x:row r="4332" ht="34" customHeight="1">
      <x:c r="A4332" s="4" t="str">
        <x:v>RS-04331-E1</x:v>
      </x:c>
      <x:c r="B4332" s="4" t="str">
        <x:v>RS-04331</x:v>
      </x:c>
      <x:c r="C4332" s="8" t="n">
        <x:v>45554</x:v>
      </x:c>
      <x:c r="D4332" s="4" t="str">
        <x:v>Sales operations manager</x:v>
      </x:c>
      <x:c r="E4332" s="4" t="str">
        <x:v>Paper transcribed</x:v>
      </x:c>
      <x:c r="F4332" s="4" t="str">
        <x:v>Record captured</x:v>
      </x:c>
      <x:c r="G4332" s="4" t="str">
        <x:v>Enquiry</x:v>
      </x:c>
    </x:row>
    <x:row r="4333" ht="34" customHeight="1">
      <x:c r="A4333" s="4" t="str">
        <x:v>RS-04332-E1</x:v>
      </x:c>
      <x:c r="B4333" s="4" t="str">
        <x:v>RS-04332</x:v>
      </x:c>
      <x:c r="C4333" s="8" t="n">
        <x:v>45555</x:v>
      </x:c>
      <x:c r="D4333" s="4" t="str">
        <x:v>Sales operations manager</x:v>
      </x:c>
      <x:c r="E4333" s="4" t="str">
        <x:v>WhatsApp transcribed</x:v>
      </x:c>
      <x:c r="F4333" s="4" t="str">
        <x:v>Record captured</x:v>
      </x:c>
      <x:c r="G4333" s="4" t="str">
        <x:v>Enquiry</x:v>
      </x:c>
    </x:row>
    <x:row r="4334" ht="34" customHeight="1">
      <x:c r="A4334" s="4" t="str">
        <x:v>RS-04333-E1</x:v>
      </x:c>
      <x:c r="B4334" s="4" t="str">
        <x:v>RS-04333</x:v>
      </x:c>
      <x:c r="C4334" s="8" t="n">
        <x:v>45556</x:v>
      </x:c>
      <x:c r="D4334" s="4" t="str">
        <x:v>Sales operations manager</x:v>
      </x:c>
      <x:c r="E4334" s="4" t="str">
        <x:v>Spreadsheet import</x:v>
      </x:c>
      <x:c r="F4334" s="4" t="str">
        <x:v>Record captured</x:v>
      </x:c>
      <x:c r="G4334" s="4" t="str">
        <x:v>Booked</x:v>
      </x:c>
    </x:row>
    <x:row r="4335" ht="34" customHeight="1">
      <x:c r="A4335" s="4" t="str">
        <x:v>RS-04334-E1</x:v>
      </x:c>
      <x:c r="B4335" s="4" t="str">
        <x:v>RS-04334</x:v>
      </x:c>
      <x:c r="C4335" s="8" t="n">
        <x:v>45557</x:v>
      </x:c>
      <x:c r="D4335" s="4" t="str">
        <x:v>Sales operations manager</x:v>
      </x:c>
      <x:c r="E4335" s="4" t="str">
        <x:v>Spreadsheet import</x:v>
      </x:c>
      <x:c r="F4335" s="4" t="str">
        <x:v>Record captured</x:v>
      </x:c>
      <x:c r="G4335" s="4" t="str">
        <x:v>Handed over</x:v>
      </x:c>
    </x:row>
    <x:row r="4336" ht="34" customHeight="1">
      <x:c r="A4336" s="4" t="str">
        <x:v>RS-04335-E1</x:v>
      </x:c>
      <x:c r="B4336" s="4" t="str">
        <x:v>RS-04335</x:v>
      </x:c>
      <x:c r="C4336" s="8" t="n">
        <x:v>45558</x:v>
      </x:c>
      <x:c r="D4336" s="4" t="str">
        <x:v>Sales operations manager</x:v>
      </x:c>
      <x:c r="E4336" s="4" t="str">
        <x:v>WhatsApp transcribed</x:v>
      </x:c>
      <x:c r="F4336" s="4" t="str">
        <x:v>Record captured</x:v>
      </x:c>
      <x:c r="G4336" s="4" t="str">
        <x:v>Reserved</x:v>
      </x:c>
    </x:row>
    <x:row r="4337" ht="34" customHeight="1">
      <x:c r="A4337" s="4" t="str">
        <x:v>RS-04336-E1</x:v>
      </x:c>
      <x:c r="B4337" s="4" t="str">
        <x:v>RS-04336</x:v>
      </x:c>
      <x:c r="C4337" s="8" t="n">
        <x:v>45559</x:v>
      </x:c>
      <x:c r="D4337" s="4" t="str">
        <x:v>Sales operations manager</x:v>
      </x:c>
      <x:c r="E4337" s="4" t="str">
        <x:v>Paper transcribed</x:v>
      </x:c>
      <x:c r="F4337" s="4" t="str">
        <x:v>Record captured</x:v>
      </x:c>
      <x:c r="G4337" s="4" t="str">
        <x:v>Cancelled</x:v>
      </x:c>
    </x:row>
    <x:row r="4338" ht="34" customHeight="1">
      <x:c r="A4338" s="4" t="str">
        <x:v>RS-04337-E1</x:v>
      </x:c>
      <x:c r="B4338" s="4" t="str">
        <x:v>RS-04337</x:v>
      </x:c>
      <x:c r="C4338" s="8" t="n">
        <x:v>45560</x:v>
      </x:c>
      <x:c r="D4338" s="4" t="str">
        <x:v>Sales operations manager</x:v>
      </x:c>
      <x:c r="E4338" s="4" t="str">
        <x:v>Paper transcribed</x:v>
      </x:c>
      <x:c r="F4338" s="4" t="str">
        <x:v>Record captured</x:v>
      </x:c>
      <x:c r="G4338" s="4" t="str">
        <x:v>Handed over</x:v>
      </x:c>
    </x:row>
    <x:row r="4339" ht="34" customHeight="1">
      <x:c r="A4339" s="4" t="str">
        <x:v>RS-04338-E1</x:v>
      </x:c>
      <x:c r="B4339" s="4" t="str">
        <x:v>RS-04338</x:v>
      </x:c>
      <x:c r="C4339" s="8" t="n">
        <x:v>45561</x:v>
      </x:c>
      <x:c r="D4339" s="4" t="str">
        <x:v>Sales operations manager</x:v>
      </x:c>
      <x:c r="E4339" s="4" t="str">
        <x:v>Spreadsheet import</x:v>
      </x:c>
      <x:c r="F4339" s="4" t="str">
        <x:v>Record captured</x:v>
      </x:c>
      <x:c r="G4339" s="4" t="str">
        <x:v>Handed over</x:v>
      </x:c>
    </x:row>
    <x:row r="4340" ht="34" customHeight="1">
      <x:c r="A4340" s="4" t="str">
        <x:v>RS-04339-E1</x:v>
      </x:c>
      <x:c r="B4340" s="4" t="str">
        <x:v>RS-04339</x:v>
      </x:c>
      <x:c r="C4340" s="8" t="n">
        <x:v>45562</x:v>
      </x:c>
      <x:c r="D4340" s="4" t="str">
        <x:v>Sales operations manager</x:v>
      </x:c>
      <x:c r="E4340" s="4" t="str">
        <x:v>ERP form</x:v>
      </x:c>
      <x:c r="F4340" s="4" t="str">
        <x:v>Record captured</x:v>
      </x:c>
      <x:c r="G4340" s="4" t="str">
        <x:v>Handed over</x:v>
      </x:c>
    </x:row>
    <x:row r="4341" ht="34" customHeight="1">
      <x:c r="A4341" s="4" t="str">
        <x:v>RS-04340-E1</x:v>
      </x:c>
      <x:c r="B4341" s="4" t="str">
        <x:v>RS-04340</x:v>
      </x:c>
      <x:c r="C4341" s="8" t="n">
        <x:v>45563</x:v>
      </x:c>
      <x:c r="D4341" s="4" t="str">
        <x:v>Sales operations manager</x:v>
      </x:c>
      <x:c r="E4341" s="4" t="str">
        <x:v>Paper transcribed</x:v>
      </x:c>
      <x:c r="F4341" s="4" t="str">
        <x:v>Record captured</x:v>
      </x:c>
      <x:c r="G4341" s="4" t="str">
        <x:v>Handed over</x:v>
      </x:c>
    </x:row>
    <x:row r="4342" ht="34" customHeight="1">
      <x:c r="A4342" s="4" t="str">
        <x:v>RS-04341-E1</x:v>
      </x:c>
      <x:c r="B4342" s="4" t="str">
        <x:v>RS-04341</x:v>
      </x:c>
      <x:c r="C4342" s="8" t="n">
        <x:v>45536</x:v>
      </x:c>
      <x:c r="D4342" s="4" t="str">
        <x:v>Sales operations manager</x:v>
      </x:c>
      <x:c r="E4342" s="4" t="str">
        <x:v>Paper transcribed</x:v>
      </x:c>
      <x:c r="F4342" s="4" t="str">
        <x:v>Record captured</x:v>
      </x:c>
      <x:c r="G4342" s="4" t="str">
        <x:v>Agreement signed</x:v>
      </x:c>
    </x:row>
    <x:row r="4343" ht="34" customHeight="1">
      <x:c r="A4343" s="4" t="str">
        <x:v>RS-04342-E1</x:v>
      </x:c>
      <x:c r="B4343" s="4" t="str">
        <x:v>RS-04342</x:v>
      </x:c>
      <x:c r="C4343" s="8" t="n">
        <x:v>45537</x:v>
      </x:c>
      <x:c r="D4343" s="4" t="str">
        <x:v>Sales operations manager</x:v>
      </x:c>
      <x:c r="E4343" s="4" t="str">
        <x:v>ERP form</x:v>
      </x:c>
      <x:c r="F4343" s="4" t="str">
        <x:v>Record captured</x:v>
      </x:c>
      <x:c r="G4343" s="4" t="str">
        <x:v>Cancelled</x:v>
      </x:c>
    </x:row>
    <x:row r="4344" ht="34" customHeight="1">
      <x:c r="A4344" s="4" t="str">
        <x:v>RS-04343-E1</x:v>
      </x:c>
      <x:c r="B4344" s="4" t="str">
        <x:v>RS-04343</x:v>
      </x:c>
      <x:c r="C4344" s="8" t="n">
        <x:v>45538</x:v>
      </x:c>
      <x:c r="D4344" s="4" t="str">
        <x:v>Sales operations manager</x:v>
      </x:c>
      <x:c r="E4344" s="4" t="str">
        <x:v>Spreadsheet import</x:v>
      </x:c>
      <x:c r="F4344" s="4" t="str">
        <x:v>Record captured</x:v>
      </x:c>
      <x:c r="G4344" s="4" t="str">
        <x:v>Agreement signed</x:v>
      </x:c>
    </x:row>
    <x:row r="4345" ht="34" customHeight="1">
      <x:c r="A4345" s="4" t="str">
        <x:v>RS-04344-E1</x:v>
      </x:c>
      <x:c r="B4345" s="4" t="str">
        <x:v>RS-04344</x:v>
      </x:c>
      <x:c r="C4345" s="8" t="n">
        <x:v>45539</x:v>
      </x:c>
      <x:c r="D4345" s="4" t="str">
        <x:v>Sales operations manager</x:v>
      </x:c>
      <x:c r="E4345" s="4" t="str">
        <x:v>Spreadsheet import</x:v>
      </x:c>
      <x:c r="F4345" s="4" t="str">
        <x:v>Record captured</x:v>
      </x:c>
      <x:c r="G4345" s="4" t="str">
        <x:v>Enquiry</x:v>
      </x:c>
    </x:row>
    <x:row r="4346" ht="34" customHeight="1">
      <x:c r="A4346" s="4" t="str">
        <x:v>RS-04345-E1</x:v>
      </x:c>
      <x:c r="B4346" s="4" t="str">
        <x:v>RS-04345</x:v>
      </x:c>
      <x:c r="C4346" s="8" t="n">
        <x:v>45540</x:v>
      </x:c>
      <x:c r="D4346" s="4" t="str">
        <x:v>Sales operations manager</x:v>
      </x:c>
      <x:c r="E4346" s="4" t="str">
        <x:v>WhatsApp transcribed</x:v>
      </x:c>
      <x:c r="F4346" s="4" t="str">
        <x:v>Record captured</x:v>
      </x:c>
      <x:c r="G4346" s="4" t="str">
        <x:v>Reserved</x:v>
      </x:c>
    </x:row>
    <x:row r="4347" ht="34" customHeight="1">
      <x:c r="A4347" s="4" t="str">
        <x:v>RS-04346-E1</x:v>
      </x:c>
      <x:c r="B4347" s="4" t="str">
        <x:v>RS-04346</x:v>
      </x:c>
      <x:c r="C4347" s="8" t="n">
        <x:v>45541</x:v>
      </x:c>
      <x:c r="D4347" s="4" t="str">
        <x:v>Sales operations manager</x:v>
      </x:c>
      <x:c r="E4347" s="4" t="str">
        <x:v>WhatsApp transcribed</x:v>
      </x:c>
      <x:c r="F4347" s="4" t="str">
        <x:v>Record captured</x:v>
      </x:c>
      <x:c r="G4347" s="4" t="str">
        <x:v>Enquiry</x:v>
      </x:c>
    </x:row>
    <x:row r="4348" ht="34" customHeight="1">
      <x:c r="A4348" s="4" t="str">
        <x:v>RS-04347-E1</x:v>
      </x:c>
      <x:c r="B4348" s="4" t="str">
        <x:v>RS-04347</x:v>
      </x:c>
      <x:c r="C4348" s="8" t="n">
        <x:v>45542</x:v>
      </x:c>
      <x:c r="D4348" s="4" t="str">
        <x:v>Sales operations manager</x:v>
      </x:c>
      <x:c r="E4348" s="4" t="str">
        <x:v>Spreadsheet import</x:v>
      </x:c>
      <x:c r="F4348" s="4" t="str">
        <x:v>Record captured</x:v>
      </x:c>
      <x:c r="G4348" s="4" t="str">
        <x:v>Agreement signed</x:v>
      </x:c>
    </x:row>
    <x:row r="4349" ht="34" customHeight="1">
      <x:c r="A4349" s="4" t="str">
        <x:v>RS-04348-E1</x:v>
      </x:c>
      <x:c r="B4349" s="4" t="str">
        <x:v>RS-04348</x:v>
      </x:c>
      <x:c r="C4349" s="8" t="n">
        <x:v>45543</x:v>
      </x:c>
      <x:c r="D4349" s="4" t="str">
        <x:v>Sales operations manager</x:v>
      </x:c>
      <x:c r="E4349" s="4" t="str">
        <x:v>Spreadsheet import</x:v>
      </x:c>
      <x:c r="F4349" s="4" t="str">
        <x:v>Record captured</x:v>
      </x:c>
      <x:c r="G4349" s="4" t="str">
        <x:v>Agreement signed</x:v>
      </x:c>
    </x:row>
    <x:row r="4350" ht="34" customHeight="1">
      <x:c r="A4350" s="4" t="str">
        <x:v>RS-04349-E1</x:v>
      </x:c>
      <x:c r="B4350" s="4" t="str">
        <x:v>RS-04349</x:v>
      </x:c>
      <x:c r="C4350" s="8" t="n">
        <x:v>45544</x:v>
      </x:c>
      <x:c r="D4350" s="4" t="str">
        <x:v>Sales operations manager</x:v>
      </x:c>
      <x:c r="E4350" s="4" t="str">
        <x:v>WhatsApp transcribed</x:v>
      </x:c>
      <x:c r="F4350" s="4" t="str">
        <x:v>Record captured</x:v>
      </x:c>
      <x:c r="G4350" s="4" t="str">
        <x:v>Handed over</x:v>
      </x:c>
    </x:row>
    <x:row r="4351" ht="34" customHeight="1">
      <x:c r="A4351" s="4" t="str">
        <x:v>RS-04350-E1</x:v>
      </x:c>
      <x:c r="B4351" s="4" t="str">
        <x:v>RS-04350</x:v>
      </x:c>
      <x:c r="C4351" s="8" t="n">
        <x:v>45545</x:v>
      </x:c>
      <x:c r="D4351" s="4" t="str">
        <x:v>Sales operations manager</x:v>
      </x:c>
      <x:c r="E4351" s="4" t="str">
        <x:v>Paper transcribed</x:v>
      </x:c>
      <x:c r="F4351" s="4" t="str">
        <x:v>Record captured</x:v>
      </x:c>
      <x:c r="G4351" s="4" t="str">
        <x:v>Cancelled</x:v>
      </x:c>
    </x:row>
    <x:row r="4352" ht="34" customHeight="1">
      <x:c r="A4352" s="4" t="str">
        <x:v>RS-04351-E1</x:v>
      </x:c>
      <x:c r="B4352" s="4" t="str">
        <x:v>RS-04351</x:v>
      </x:c>
      <x:c r="C4352" s="8" t="n">
        <x:v>45546</x:v>
      </x:c>
      <x:c r="D4352" s="4" t="str">
        <x:v>Sales operations manager</x:v>
      </x:c>
      <x:c r="E4352" s="4" t="str">
        <x:v>Paper transcribed</x:v>
      </x:c>
      <x:c r="F4352" s="4" t="str">
        <x:v>Record captured</x:v>
      </x:c>
      <x:c r="G4352" s="4" t="str">
        <x:v>Reserved</x:v>
      </x:c>
    </x:row>
    <x:row r="4353" ht="34" customHeight="1">
      <x:c r="A4353" s="4" t="str">
        <x:v>RS-04352-E1</x:v>
      </x:c>
      <x:c r="B4353" s="4" t="str">
        <x:v>RS-04352</x:v>
      </x:c>
      <x:c r="C4353" s="8" t="n">
        <x:v>45547</x:v>
      </x:c>
      <x:c r="D4353" s="4" t="str">
        <x:v>Sales operations manager</x:v>
      </x:c>
      <x:c r="E4353" s="4" t="str">
        <x:v>Spreadsheet import</x:v>
      </x:c>
      <x:c r="F4353" s="4" t="str">
        <x:v>Record captured</x:v>
      </x:c>
      <x:c r="G4353" s="4" t="str">
        <x:v>Cancelled</x:v>
      </x:c>
    </x:row>
    <x:row r="4354" ht="34" customHeight="1">
      <x:c r="A4354" s="4" t="str">
        <x:v>RS-04353-E1</x:v>
      </x:c>
      <x:c r="B4354" s="4" t="str">
        <x:v>RS-04353</x:v>
      </x:c>
      <x:c r="C4354" s="8" t="n">
        <x:v>45548</x:v>
      </x:c>
      <x:c r="D4354" s="4" t="str">
        <x:v>Sales operations manager</x:v>
      </x:c>
      <x:c r="E4354" s="4" t="str">
        <x:v>ERP form</x:v>
      </x:c>
      <x:c r="F4354" s="4" t="str">
        <x:v>Record captured</x:v>
      </x:c>
      <x:c r="G4354" s="4" t="str">
        <x:v>Enquiry</x:v>
      </x:c>
    </x:row>
    <x:row r="4355" ht="34" customHeight="1">
      <x:c r="A4355" s="4" t="str">
        <x:v>RS-04354-E1</x:v>
      </x:c>
      <x:c r="B4355" s="4" t="str">
        <x:v>RS-04354</x:v>
      </x:c>
      <x:c r="C4355" s="8" t="n">
        <x:v>45549</x:v>
      </x:c>
      <x:c r="D4355" s="4" t="str">
        <x:v>Sales operations manager</x:v>
      </x:c>
      <x:c r="E4355" s="4" t="str">
        <x:v>ERP form</x:v>
      </x:c>
      <x:c r="F4355" s="4" t="str">
        <x:v>Record captured</x:v>
      </x:c>
      <x:c r="G4355" s="4" t="str">
        <x:v>Booked</x:v>
      </x:c>
    </x:row>
    <x:row r="4356" ht="34" customHeight="1">
      <x:c r="A4356" s="4" t="str">
        <x:v>RS-04355-E1</x:v>
      </x:c>
      <x:c r="B4356" s="4" t="str">
        <x:v>RS-04355</x:v>
      </x:c>
      <x:c r="C4356" s="8" t="n">
        <x:v>45550</x:v>
      </x:c>
      <x:c r="D4356" s="4" t="str">
        <x:v>Sales operations manager</x:v>
      </x:c>
      <x:c r="E4356" s="4" t="str">
        <x:v>ERP form</x:v>
      </x:c>
      <x:c r="F4356" s="4" t="str">
        <x:v>Record captured</x:v>
      </x:c>
      <x:c r="G4356" s="4" t="str">
        <x:v>Cancelled</x:v>
      </x:c>
    </x:row>
    <x:row r="4357" ht="34" customHeight="1">
      <x:c r="A4357" s="4" t="str">
        <x:v>RS-04356-E1</x:v>
      </x:c>
      <x:c r="B4357" s="4" t="str">
        <x:v>RS-04356</x:v>
      </x:c>
      <x:c r="C4357" s="8" t="n">
        <x:v>45551</x:v>
      </x:c>
      <x:c r="D4357" s="4" t="str">
        <x:v>Sales operations manager</x:v>
      </x:c>
      <x:c r="E4357" s="4" t="str">
        <x:v>ERP form</x:v>
      </x:c>
      <x:c r="F4357" s="4" t="str">
        <x:v>Record captured</x:v>
      </x:c>
      <x:c r="G4357" s="4" t="str">
        <x:v>Enquiry</x:v>
      </x:c>
    </x:row>
    <x:row r="4358" ht="34" customHeight="1">
      <x:c r="A4358" s="4" t="str">
        <x:v>RS-04357-E1</x:v>
      </x:c>
      <x:c r="B4358" s="4" t="str">
        <x:v>RS-04357</x:v>
      </x:c>
      <x:c r="C4358" s="8" t="n">
        <x:v>45552</x:v>
      </x:c>
      <x:c r="D4358" s="4" t="str">
        <x:v>Sales operations manager</x:v>
      </x:c>
      <x:c r="E4358" s="4" t="str">
        <x:v>Spreadsheet import</x:v>
      </x:c>
      <x:c r="F4358" s="4" t="str">
        <x:v>Record captured</x:v>
      </x:c>
      <x:c r="G4358" s="4" t="str">
        <x:v>Agreement signed</x:v>
      </x:c>
    </x:row>
    <x:row r="4359" ht="34" customHeight="1">
      <x:c r="A4359" s="4" t="str">
        <x:v>RS-04358-E1</x:v>
      </x:c>
      <x:c r="B4359" s="4" t="str">
        <x:v>RS-04358</x:v>
      </x:c>
      <x:c r="C4359" s="8" t="n">
        <x:v>45553</x:v>
      </x:c>
      <x:c r="D4359" s="4" t="str">
        <x:v>Sales operations manager</x:v>
      </x:c>
      <x:c r="E4359" s="4" t="str">
        <x:v>Paper transcribed</x:v>
      </x:c>
      <x:c r="F4359" s="4" t="str">
        <x:v>Record captured</x:v>
      </x:c>
      <x:c r="G4359" s="4" t="str">
        <x:v>Enquiry</x:v>
      </x:c>
    </x:row>
    <x:row r="4360" ht="34" customHeight="1">
      <x:c r="A4360" s="4" t="str">
        <x:v>RS-04359-E1</x:v>
      </x:c>
      <x:c r="B4360" s="4" t="str">
        <x:v>RS-04359</x:v>
      </x:c>
      <x:c r="C4360" s="8" t="n">
        <x:v>45554</x:v>
      </x:c>
      <x:c r="D4360" s="4" t="str">
        <x:v>Sales operations manager</x:v>
      </x:c>
      <x:c r="E4360" s="4" t="str">
        <x:v>ERP form</x:v>
      </x:c>
      <x:c r="F4360" s="4" t="str">
        <x:v>Record captured</x:v>
      </x:c>
      <x:c r="G4360" s="4" t="str">
        <x:v>Handed over</x:v>
      </x:c>
    </x:row>
    <x:row r="4361" ht="34" customHeight="1">
      <x:c r="A4361" s="4" t="str">
        <x:v>RS-04360-E1</x:v>
      </x:c>
      <x:c r="B4361" s="4" t="str">
        <x:v>RS-04360</x:v>
      </x:c>
      <x:c r="C4361" s="8" t="n">
        <x:v>45555</x:v>
      </x:c>
      <x:c r="D4361" s="4" t="str">
        <x:v>Sales operations manager</x:v>
      </x:c>
      <x:c r="E4361" s="4" t="str">
        <x:v>Paper transcribed</x:v>
      </x:c>
      <x:c r="F4361" s="4" t="str">
        <x:v>Record captured</x:v>
      </x:c>
      <x:c r="G4361" s="4" t="str">
        <x:v>Handed over</x:v>
      </x:c>
    </x:row>
    <x:row r="4362" ht="34" customHeight="1">
      <x:c r="A4362" s="4" t="str">
        <x:v>RS-04361-E1</x:v>
      </x:c>
      <x:c r="B4362" s="4" t="str">
        <x:v>RS-04361</x:v>
      </x:c>
      <x:c r="C4362" s="8" t="n">
        <x:v>45556</x:v>
      </x:c>
      <x:c r="D4362" s="4" t="str">
        <x:v>Sales operations manager</x:v>
      </x:c>
      <x:c r="E4362" s="4" t="str">
        <x:v>ERP form</x:v>
      </x:c>
      <x:c r="F4362" s="4" t="str">
        <x:v>Record captured</x:v>
      </x:c>
      <x:c r="G4362" s="4" t="str">
        <x:v>Handed over</x:v>
      </x:c>
    </x:row>
    <x:row r="4363" ht="34" customHeight="1">
      <x:c r="A4363" s="4" t="str">
        <x:v>RS-04362-E1</x:v>
      </x:c>
      <x:c r="B4363" s="4" t="str">
        <x:v>RS-04362</x:v>
      </x:c>
      <x:c r="C4363" s="8" t="n">
        <x:v>45557</x:v>
      </x:c>
      <x:c r="D4363" s="4" t="str">
        <x:v>Sales operations manager</x:v>
      </x:c>
      <x:c r="E4363" s="4" t="str">
        <x:v>Paper transcribed</x:v>
      </x:c>
      <x:c r="F4363" s="4" t="str">
        <x:v>Record captured</x:v>
      </x:c>
      <x:c r="G4363" s="4" t="str">
        <x:v>Handed over</x:v>
      </x:c>
    </x:row>
    <x:row r="4364" ht="34" customHeight="1">
      <x:c r="A4364" s="4" t="str">
        <x:v>RS-04363-E1</x:v>
      </x:c>
      <x:c r="B4364" s="4" t="str">
        <x:v>RS-04363</x:v>
      </x:c>
      <x:c r="C4364" s="8" t="n">
        <x:v>45558</x:v>
      </x:c>
      <x:c r="D4364" s="4" t="str">
        <x:v>Sales operations manager</x:v>
      </x:c>
      <x:c r="E4364" s="4" t="str">
        <x:v>ERP form</x:v>
      </x:c>
      <x:c r="F4364" s="4" t="str">
        <x:v>Record captured</x:v>
      </x:c>
      <x:c r="G4364" s="4" t="str">
        <x:v>Booked</x:v>
      </x:c>
    </x:row>
    <x:row r="4365" ht="34" customHeight="1">
      <x:c r="A4365" s="4" t="str">
        <x:v>RS-04364-E1</x:v>
      </x:c>
      <x:c r="B4365" s="4" t="str">
        <x:v>RS-04364</x:v>
      </x:c>
      <x:c r="C4365" s="8" t="n">
        <x:v>45559</x:v>
      </x:c>
      <x:c r="D4365" s="4" t="str">
        <x:v>Sales operations manager</x:v>
      </x:c>
      <x:c r="E4365" s="4" t="str">
        <x:v>Spreadsheet import</x:v>
      </x:c>
      <x:c r="F4365" s="4" t="str">
        <x:v>Record captured</x:v>
      </x:c>
      <x:c r="G4365" s="4" t="str">
        <x:v>Enquiry</x:v>
      </x:c>
    </x:row>
    <x:row r="4366" ht="34" customHeight="1">
      <x:c r="A4366" s="4" t="str">
        <x:v>RS-04365-E1</x:v>
      </x:c>
      <x:c r="B4366" s="4" t="str">
        <x:v>RS-04365</x:v>
      </x:c>
      <x:c r="C4366" s="8" t="n">
        <x:v>45560</x:v>
      </x:c>
      <x:c r="D4366" s="4" t="str">
        <x:v>Sales operations manager</x:v>
      </x:c>
      <x:c r="E4366" s="4" t="str">
        <x:v>ERP form</x:v>
      </x:c>
      <x:c r="F4366" s="4" t="str">
        <x:v>Record captured</x:v>
      </x:c>
      <x:c r="G4366" s="4" t="str">
        <x:v>Reserved</x:v>
      </x:c>
    </x:row>
    <x:row r="4367" ht="34" customHeight="1">
      <x:c r="A4367" s="4" t="str">
        <x:v>RS-04366-E1</x:v>
      </x:c>
      <x:c r="B4367" s="4" t="str">
        <x:v>RS-04366</x:v>
      </x:c>
      <x:c r="C4367" s="8" t="n">
        <x:v>45561</x:v>
      </x:c>
      <x:c r="D4367" s="4" t="str">
        <x:v>Sales operations manager</x:v>
      </x:c>
      <x:c r="E4367" s="4" t="str">
        <x:v>Spreadsheet import</x:v>
      </x:c>
      <x:c r="F4367" s="4" t="str">
        <x:v>Record captured</x:v>
      </x:c>
      <x:c r="G4367" s="4" t="str">
        <x:v>Agreement signed</x:v>
      </x:c>
    </x:row>
    <x:row r="4368" ht="34" customHeight="1">
      <x:c r="A4368" s="4" t="str">
        <x:v>RS-04367-E1</x:v>
      </x:c>
      <x:c r="B4368" s="4" t="str">
        <x:v>RS-04367</x:v>
      </x:c>
      <x:c r="C4368" s="8" t="n">
        <x:v>45562</x:v>
      </x:c>
      <x:c r="D4368" s="4" t="str">
        <x:v>Sales operations manager</x:v>
      </x:c>
      <x:c r="E4368" s="4" t="str">
        <x:v>WhatsApp transcribed</x:v>
      </x:c>
      <x:c r="F4368" s="4" t="str">
        <x:v>Record captured</x:v>
      </x:c>
      <x:c r="G4368" s="4" t="str">
        <x:v>Enquiry</x:v>
      </x:c>
    </x:row>
    <x:row r="4369" ht="34" customHeight="1">
      <x:c r="A4369" s="4" t="str">
        <x:v>RS-04368-E1</x:v>
      </x:c>
      <x:c r="B4369" s="4" t="str">
        <x:v>RS-04368</x:v>
      </x:c>
      <x:c r="C4369" s="8" t="n">
        <x:v>45563</x:v>
      </x:c>
      <x:c r="D4369" s="4" t="str">
        <x:v>Sales operations manager</x:v>
      </x:c>
      <x:c r="E4369" s="4" t="str">
        <x:v>Spreadsheet import</x:v>
      </x:c>
      <x:c r="F4369" s="4" t="str">
        <x:v>Record captured</x:v>
      </x:c>
      <x:c r="G4369" s="4" t="str">
        <x:v>Enquiry</x:v>
      </x:c>
    </x:row>
    <x:row r="4370" ht="34" customHeight="1">
      <x:c r="A4370" s="4" t="str">
        <x:v>RS-04369-E1</x:v>
      </x:c>
      <x:c r="B4370" s="4" t="str">
        <x:v>RS-04369</x:v>
      </x:c>
      <x:c r="C4370" s="8" t="n">
        <x:v>45536</x:v>
      </x:c>
      <x:c r="D4370" s="4" t="str">
        <x:v>Sales operations manager</x:v>
      </x:c>
      <x:c r="E4370" s="4" t="str">
        <x:v>Spreadsheet import</x:v>
      </x:c>
      <x:c r="F4370" s="4" t="str">
        <x:v>Record captured</x:v>
      </x:c>
      <x:c r="G4370" s="4" t="str">
        <x:v>Reserved</x:v>
      </x:c>
    </x:row>
    <x:row r="4371" ht="34" customHeight="1">
      <x:c r="A4371" s="4" t="str">
        <x:v>RS-04370-E1</x:v>
      </x:c>
      <x:c r="B4371" s="4" t="str">
        <x:v>RS-04370</x:v>
      </x:c>
      <x:c r="C4371" s="8" t="n">
        <x:v>45537</x:v>
      </x:c>
      <x:c r="D4371" s="4" t="str">
        <x:v>Sales operations manager</x:v>
      </x:c>
      <x:c r="E4371" s="4" t="str">
        <x:v>Paper transcribed</x:v>
      </x:c>
      <x:c r="F4371" s="4" t="str">
        <x:v>Record captured</x:v>
      </x:c>
      <x:c r="G4371" s="4" t="str">
        <x:v>Reserved</x:v>
      </x:c>
    </x:row>
    <x:row r="4372" ht="34" customHeight="1">
      <x:c r="A4372" s="4" t="str">
        <x:v>RS-04371-E1</x:v>
      </x:c>
      <x:c r="B4372" s="4" t="str">
        <x:v>RS-04371</x:v>
      </x:c>
      <x:c r="C4372" s="8" t="n">
        <x:v>45538</x:v>
      </x:c>
      <x:c r="D4372" s="4" t="str">
        <x:v>Sales operations manager</x:v>
      </x:c>
      <x:c r="E4372" s="4" t="str">
        <x:v>ERP form</x:v>
      </x:c>
      <x:c r="F4372" s="4" t="str">
        <x:v>Record captured</x:v>
      </x:c>
      <x:c r="G4372" s="4" t="str">
        <x:v>Enquiry</x:v>
      </x:c>
    </x:row>
    <x:row r="4373" ht="34" customHeight="1">
      <x:c r="A4373" s="4" t="str">
        <x:v>RS-04372-E1</x:v>
      </x:c>
      <x:c r="B4373" s="4" t="str">
        <x:v>RS-04372</x:v>
      </x:c>
      <x:c r="C4373" s="8" t="n">
        <x:v>45539</x:v>
      </x:c>
      <x:c r="D4373" s="4" t="str">
        <x:v>Sales operations manager</x:v>
      </x:c>
      <x:c r="E4373" s="4" t="str">
        <x:v>Spreadsheet import</x:v>
      </x:c>
      <x:c r="F4373" s="4" t="str">
        <x:v>Record captured</x:v>
      </x:c>
      <x:c r="G4373" s="4" t="str">
        <x:v>Agreement signed</x:v>
      </x:c>
    </x:row>
    <x:row r="4374" ht="34" customHeight="1">
      <x:c r="A4374" s="4" t="str">
        <x:v>RS-04373-E1</x:v>
      </x:c>
      <x:c r="B4374" s="4" t="str">
        <x:v>RS-04373</x:v>
      </x:c>
      <x:c r="C4374" s="8" t="n">
        <x:v>45540</x:v>
      </x:c>
      <x:c r="D4374" s="4" t="str">
        <x:v>Sales operations manager</x:v>
      </x:c>
      <x:c r="E4374" s="4" t="str">
        <x:v>Spreadsheet import</x:v>
      </x:c>
      <x:c r="F4374" s="4" t="str">
        <x:v>Record captured</x:v>
      </x:c>
      <x:c r="G4374" s="4" t="str">
        <x:v>Agreement signed</x:v>
      </x:c>
    </x:row>
    <x:row r="4375" ht="34" customHeight="1">
      <x:c r="A4375" s="4" t="str">
        <x:v>RS-04374-E1</x:v>
      </x:c>
      <x:c r="B4375" s="4" t="str">
        <x:v>RS-04374</x:v>
      </x:c>
      <x:c r="C4375" s="8" t="n">
        <x:v>45541</x:v>
      </x:c>
      <x:c r="D4375" s="4" t="str">
        <x:v>Sales operations manager</x:v>
      </x:c>
      <x:c r="E4375" s="4" t="str">
        <x:v>Spreadsheet import</x:v>
      </x:c>
      <x:c r="F4375" s="4" t="str">
        <x:v>Record captured</x:v>
      </x:c>
      <x:c r="G4375" s="4" t="str">
        <x:v>Reserved</x:v>
      </x:c>
    </x:row>
    <x:row r="4376" ht="34" customHeight="1">
      <x:c r="A4376" s="4" t="str">
        <x:v>RS-04375-E1</x:v>
      </x:c>
      <x:c r="B4376" s="4" t="str">
        <x:v>RS-04375</x:v>
      </x:c>
      <x:c r="C4376" s="8" t="n">
        <x:v>45542</x:v>
      </x:c>
      <x:c r="D4376" s="4" t="str">
        <x:v>Sales operations manager</x:v>
      </x:c>
      <x:c r="E4376" s="4" t="str">
        <x:v>WhatsApp transcribed</x:v>
      </x:c>
      <x:c r="F4376" s="4" t="str">
        <x:v>Record captured</x:v>
      </x:c>
      <x:c r="G4376" s="4" t="str">
        <x:v>Agreement signed</x:v>
      </x:c>
    </x:row>
    <x:row r="4377" ht="34" customHeight="1">
      <x:c r="A4377" s="4" t="str">
        <x:v>RS-04376-E1</x:v>
      </x:c>
      <x:c r="B4377" s="4" t="str">
        <x:v>RS-04376</x:v>
      </x:c>
      <x:c r="C4377" s="8" t="n">
        <x:v>45543</x:v>
      </x:c>
      <x:c r="D4377" s="4" t="str">
        <x:v>Sales operations manager</x:v>
      </x:c>
      <x:c r="E4377" s="4" t="str">
        <x:v>Paper transcribed</x:v>
      </x:c>
      <x:c r="F4377" s="4" t="str">
        <x:v>Record captured</x:v>
      </x:c>
      <x:c r="G4377" s="4" t="str">
        <x:v>Reserved</x:v>
      </x:c>
    </x:row>
    <x:row r="4378" ht="34" customHeight="1">
      <x:c r="A4378" s="4" t="str">
        <x:v>RS-04377-E1</x:v>
      </x:c>
      <x:c r="B4378" s="4" t="str">
        <x:v>RS-04377</x:v>
      </x:c>
      <x:c r="C4378" s="8" t="n">
        <x:v>45544</x:v>
      </x:c>
      <x:c r="D4378" s="4" t="str">
        <x:v>Sales operations manager</x:v>
      </x:c>
      <x:c r="E4378" s="4" t="str">
        <x:v>WhatsApp transcribed</x:v>
      </x:c>
      <x:c r="F4378" s="4" t="str">
        <x:v>Record captured</x:v>
      </x:c>
      <x:c r="G4378" s="4" t="str">
        <x:v>Reserved</x:v>
      </x:c>
    </x:row>
    <x:row r="4379" ht="34" customHeight="1">
      <x:c r="A4379" s="4" t="str">
        <x:v>RS-04378-E1</x:v>
      </x:c>
      <x:c r="B4379" s="4" t="str">
        <x:v>RS-04378</x:v>
      </x:c>
      <x:c r="C4379" s="8" t="n">
        <x:v>45545</x:v>
      </x:c>
      <x:c r="D4379" s="4" t="str">
        <x:v>Sales operations manager</x:v>
      </x:c>
      <x:c r="E4379" s="4" t="str">
        <x:v>Spreadsheet import</x:v>
      </x:c>
      <x:c r="F4379" s="4" t="str">
        <x:v>Record captured</x:v>
      </x:c>
      <x:c r="G4379" s="4" t="str">
        <x:v>Handed over</x:v>
      </x:c>
    </x:row>
    <x:row r="4380" ht="34" customHeight="1">
      <x:c r="A4380" s="4" t="str">
        <x:v>RS-04379-E1</x:v>
      </x:c>
      <x:c r="B4380" s="4" t="str">
        <x:v>RS-04379</x:v>
      </x:c>
      <x:c r="C4380" s="8" t="n">
        <x:v>45546</x:v>
      </x:c>
      <x:c r="D4380" s="4" t="str">
        <x:v>Sales operations manager</x:v>
      </x:c>
      <x:c r="E4380" s="4" t="str">
        <x:v>ERP form</x:v>
      </x:c>
      <x:c r="F4380" s="4" t="str">
        <x:v>Record captured</x:v>
      </x:c>
      <x:c r="G4380" s="4" t="str">
        <x:v>Agreement signed</x:v>
      </x:c>
    </x:row>
    <x:row r="4381" ht="34" customHeight="1">
      <x:c r="A4381" s="4" t="str">
        <x:v>RS-04380-E1</x:v>
      </x:c>
      <x:c r="B4381" s="4" t="str">
        <x:v>RS-04380</x:v>
      </x:c>
      <x:c r="C4381" s="8" t="n">
        <x:v>45547</x:v>
      </x:c>
      <x:c r="D4381" s="4" t="str">
        <x:v>Sales operations manager</x:v>
      </x:c>
      <x:c r="E4381" s="4" t="str">
        <x:v>WhatsApp transcribed</x:v>
      </x:c>
      <x:c r="F4381" s="4" t="str">
        <x:v>Record captured</x:v>
      </x:c>
      <x:c r="G4381" s="4" t="str">
        <x:v>Agreement signed</x:v>
      </x:c>
    </x:row>
    <x:row r="4382" ht="34" customHeight="1">
      <x:c r="A4382" s="4" t="str">
        <x:v>RS-04381-E1</x:v>
      </x:c>
      <x:c r="B4382" s="4" t="str">
        <x:v>RS-04381</x:v>
      </x:c>
      <x:c r="C4382" s="8" t="n">
        <x:v>45548</x:v>
      </x:c>
      <x:c r="D4382" s="4" t="str">
        <x:v>Sales operations manager</x:v>
      </x:c>
      <x:c r="E4382" s="4" t="str">
        <x:v>WhatsApp transcribed</x:v>
      </x:c>
      <x:c r="F4382" s="4" t="str">
        <x:v>Record captured</x:v>
      </x:c>
      <x:c r="G4382" s="4" t="str">
        <x:v>Reserved</x:v>
      </x:c>
    </x:row>
    <x:row r="4383" ht="34" customHeight="1">
      <x:c r="A4383" s="4" t="str">
        <x:v>RS-04382-E1</x:v>
      </x:c>
      <x:c r="B4383" s="4" t="str">
        <x:v>RS-04382</x:v>
      </x:c>
      <x:c r="C4383" s="8" t="n">
        <x:v>45549</x:v>
      </x:c>
      <x:c r="D4383" s="4" t="str">
        <x:v>Sales operations manager</x:v>
      </x:c>
      <x:c r="E4383" s="4" t="str">
        <x:v>ERP form</x:v>
      </x:c>
      <x:c r="F4383" s="4" t="str">
        <x:v>Record captured</x:v>
      </x:c>
      <x:c r="G4383" s="4" t="str">
        <x:v>Enquiry</x:v>
      </x:c>
    </x:row>
    <x:row r="4384" ht="34" customHeight="1">
      <x:c r="A4384" s="4" t="str">
        <x:v>RS-04383-E1</x:v>
      </x:c>
      <x:c r="B4384" s="4" t="str">
        <x:v>RS-04383</x:v>
      </x:c>
      <x:c r="C4384" s="8" t="n">
        <x:v>45550</x:v>
      </x:c>
      <x:c r="D4384" s="4" t="str">
        <x:v>Sales operations manager</x:v>
      </x:c>
      <x:c r="E4384" s="4" t="str">
        <x:v>Spreadsheet import</x:v>
      </x:c>
      <x:c r="F4384" s="4" t="str">
        <x:v>Record captured</x:v>
      </x:c>
      <x:c r="G4384" s="4" t="str">
        <x:v>Reserved</x:v>
      </x:c>
    </x:row>
    <x:row r="4385" ht="34" customHeight="1">
      <x:c r="A4385" s="4" t="str">
        <x:v>RS-04384-E1</x:v>
      </x:c>
      <x:c r="B4385" s="4" t="str">
        <x:v>RS-04384</x:v>
      </x:c>
      <x:c r="C4385" s="8" t="n">
        <x:v>45551</x:v>
      </x:c>
      <x:c r="D4385" s="4" t="str">
        <x:v>Sales operations manager</x:v>
      </x:c>
      <x:c r="E4385" s="4" t="str">
        <x:v>ERP form</x:v>
      </x:c>
      <x:c r="F4385" s="4" t="str">
        <x:v>Record captured</x:v>
      </x:c>
      <x:c r="G4385" s="4" t="str">
        <x:v>Booked</x:v>
      </x:c>
    </x:row>
    <x:row r="4386" ht="34" customHeight="1">
      <x:c r="A4386" s="4" t="str">
        <x:v>RS-04385-E1</x:v>
      </x:c>
      <x:c r="B4386" s="4" t="str">
        <x:v>RS-04385</x:v>
      </x:c>
      <x:c r="C4386" s="8" t="n">
        <x:v>45552</x:v>
      </x:c>
      <x:c r="D4386" s="4" t="str">
        <x:v>Sales operations manager</x:v>
      </x:c>
      <x:c r="E4386" s="4" t="str">
        <x:v>WhatsApp transcribed</x:v>
      </x:c>
      <x:c r="F4386" s="4" t="str">
        <x:v>Record captured</x:v>
      </x:c>
      <x:c r="G4386" s="4" t="str">
        <x:v>Handed over</x:v>
      </x:c>
    </x:row>
    <x:row r="4387" ht="34" customHeight="1">
      <x:c r="A4387" s="4" t="str">
        <x:v>RS-04386-E1</x:v>
      </x:c>
      <x:c r="B4387" s="4" t="str">
        <x:v>RS-04386</x:v>
      </x:c>
      <x:c r="C4387" s="8" t="n">
        <x:v>45553</x:v>
      </x:c>
      <x:c r="D4387" s="4" t="str">
        <x:v>Sales operations manager</x:v>
      </x:c>
      <x:c r="E4387" s="4" t="str">
        <x:v>WhatsApp transcribed</x:v>
      </x:c>
      <x:c r="F4387" s="4" t="str">
        <x:v>Record captured</x:v>
      </x:c>
      <x:c r="G4387" s="4" t="str">
        <x:v>Handed over</x:v>
      </x:c>
    </x:row>
    <x:row r="4388" ht="34" customHeight="1">
      <x:c r="A4388" s="4" t="str">
        <x:v>RS-04387-E1</x:v>
      </x:c>
      <x:c r="B4388" s="4" t="str">
        <x:v>RS-04387</x:v>
      </x:c>
      <x:c r="C4388" s="8" t="n">
        <x:v>45554</x:v>
      </x:c>
      <x:c r="D4388" s="4" t="str">
        <x:v>Sales operations manager</x:v>
      </x:c>
      <x:c r="E4388" s="4" t="str">
        <x:v>Paper transcribed</x:v>
      </x:c>
      <x:c r="F4388" s="4" t="str">
        <x:v>Record captured</x:v>
      </x:c>
      <x:c r="G4388" s="4" t="str">
        <x:v>Agreement signed</x:v>
      </x:c>
    </x:row>
    <x:row r="4389" ht="34" customHeight="1">
      <x:c r="A4389" s="4" t="str">
        <x:v>RS-04388-E1</x:v>
      </x:c>
      <x:c r="B4389" s="4" t="str">
        <x:v>RS-04388</x:v>
      </x:c>
      <x:c r="C4389" s="8" t="n">
        <x:v>45555</x:v>
      </x:c>
      <x:c r="D4389" s="4" t="str">
        <x:v>Sales operations manager</x:v>
      </x:c>
      <x:c r="E4389" s="4" t="str">
        <x:v>WhatsApp transcribed</x:v>
      </x:c>
      <x:c r="F4389" s="4" t="str">
        <x:v>Record captured</x:v>
      </x:c>
      <x:c r="G4389" s="4" t="str">
        <x:v>Agreement signed</x:v>
      </x:c>
    </x:row>
    <x:row r="4390" ht="34" customHeight="1">
      <x:c r="A4390" s="4" t="str">
        <x:v>RS-04389-E1</x:v>
      </x:c>
      <x:c r="B4390" s="4" t="str">
        <x:v>RS-04389</x:v>
      </x:c>
      <x:c r="C4390" s="8" t="n">
        <x:v>45556</x:v>
      </x:c>
      <x:c r="D4390" s="4" t="str">
        <x:v>Sales operations manager</x:v>
      </x:c>
      <x:c r="E4390" s="4" t="str">
        <x:v>Spreadsheet import</x:v>
      </x:c>
      <x:c r="F4390" s="4" t="str">
        <x:v>Record captured</x:v>
      </x:c>
      <x:c r="G4390" s="4" t="str">
        <x:v>Reserved</x:v>
      </x:c>
    </x:row>
    <x:row r="4391" ht="34" customHeight="1">
      <x:c r="A4391" s="4" t="str">
        <x:v>RS-04390-E1</x:v>
      </x:c>
      <x:c r="B4391" s="4" t="str">
        <x:v>RS-04390</x:v>
      </x:c>
      <x:c r="C4391" s="8" t="n">
        <x:v>45557</x:v>
      </x:c>
      <x:c r="D4391" s="4" t="str">
        <x:v>Sales operations manager</x:v>
      </x:c>
      <x:c r="E4391" s="4" t="str">
        <x:v>ERP form</x:v>
      </x:c>
      <x:c r="F4391" s="4" t="str">
        <x:v>Record captured</x:v>
      </x:c>
      <x:c r="G4391" s="4" t="str">
        <x:v>Booked</x:v>
      </x:c>
    </x:row>
    <x:row r="4392" ht="34" customHeight="1">
      <x:c r="A4392" s="4" t="str">
        <x:v>RS-04391-E1</x:v>
      </x:c>
      <x:c r="B4392" s="4" t="str">
        <x:v>RS-04391</x:v>
      </x:c>
      <x:c r="C4392" s="8" t="n">
        <x:v>45558</x:v>
      </x:c>
      <x:c r="D4392" s="4" t="str">
        <x:v>Sales operations manager</x:v>
      </x:c>
      <x:c r="E4392" s="4" t="str">
        <x:v>WhatsApp transcribed</x:v>
      </x:c>
      <x:c r="F4392" s="4" t="str">
        <x:v>Record captured</x:v>
      </x:c>
      <x:c r="G4392" s="4" t="str">
        <x:v>Agreement signed</x:v>
      </x:c>
    </x:row>
    <x:row r="4393" ht="34" customHeight="1">
      <x:c r="A4393" s="4" t="str">
        <x:v>RS-04392-E1</x:v>
      </x:c>
      <x:c r="B4393" s="4" t="str">
        <x:v>RS-04392</x:v>
      </x:c>
      <x:c r="C4393" s="8" t="n">
        <x:v>45559</x:v>
      </x:c>
      <x:c r="D4393" s="4" t="str">
        <x:v>Sales operations manager</x:v>
      </x:c>
      <x:c r="E4393" s="4" t="str">
        <x:v>Spreadsheet import</x:v>
      </x:c>
      <x:c r="F4393" s="4" t="str">
        <x:v>Record captured</x:v>
      </x:c>
      <x:c r="G4393" s="4" t="str">
        <x:v>Handed over</x:v>
      </x:c>
    </x:row>
    <x:row r="4394" ht="34" customHeight="1">
      <x:c r="A4394" s="4" t="str">
        <x:v>RS-04393-E1</x:v>
      </x:c>
      <x:c r="B4394" s="4" t="str">
        <x:v>RS-04393</x:v>
      </x:c>
      <x:c r="C4394" s="8" t="n">
        <x:v>45560</x:v>
      </x:c>
      <x:c r="D4394" s="4" t="str">
        <x:v>Sales operations manager</x:v>
      </x:c>
      <x:c r="E4394" s="4" t="str">
        <x:v>ERP form</x:v>
      </x:c>
      <x:c r="F4394" s="4" t="str">
        <x:v>Record captured</x:v>
      </x:c>
      <x:c r="G4394" s="4" t="str">
        <x:v>Enquiry</x:v>
      </x:c>
    </x:row>
    <x:row r="4395" ht="34" customHeight="1">
      <x:c r="A4395" s="4" t="str">
        <x:v>RS-04394-E1</x:v>
      </x:c>
      <x:c r="B4395" s="4" t="str">
        <x:v>RS-04394</x:v>
      </x:c>
      <x:c r="C4395" s="8" t="n">
        <x:v>45561</x:v>
      </x:c>
      <x:c r="D4395" s="4" t="str">
        <x:v>Sales operations manager</x:v>
      </x:c>
      <x:c r="E4395" s="4" t="str">
        <x:v>ERP form</x:v>
      </x:c>
      <x:c r="F4395" s="4" t="str">
        <x:v>Record captured</x:v>
      </x:c>
      <x:c r="G4395" s="4" t="str">
        <x:v>Cancelled</x:v>
      </x:c>
    </x:row>
    <x:row r="4396" ht="34" customHeight="1">
      <x:c r="A4396" s="4" t="str">
        <x:v>RS-04395-E1</x:v>
      </x:c>
      <x:c r="B4396" s="4" t="str">
        <x:v>RS-04395</x:v>
      </x:c>
      <x:c r="C4396" s="8" t="n">
        <x:v>45562</x:v>
      </x:c>
      <x:c r="D4396" s="4" t="str">
        <x:v>Sales operations manager</x:v>
      </x:c>
      <x:c r="E4396" s="4" t="str">
        <x:v>WhatsApp transcribed</x:v>
      </x:c>
      <x:c r="F4396" s="4" t="str">
        <x:v>Record captured</x:v>
      </x:c>
      <x:c r="G4396" s="4" t="str">
        <x:v>Reserved</x:v>
      </x:c>
    </x:row>
    <x:row r="4397" ht="34" customHeight="1">
      <x:c r="A4397" s="4" t="str">
        <x:v>RS-04396-E1</x:v>
      </x:c>
      <x:c r="B4397" s="4" t="str">
        <x:v>RS-04396</x:v>
      </x:c>
      <x:c r="C4397" s="8" t="n">
        <x:v>45563</x:v>
      </x:c>
      <x:c r="D4397" s="4" t="str">
        <x:v>Sales operations manager</x:v>
      </x:c>
      <x:c r="E4397" s="4" t="str">
        <x:v>Spreadsheet import</x:v>
      </x:c>
      <x:c r="F4397" s="4" t="str">
        <x:v>Record captured</x:v>
      </x:c>
      <x:c r="G4397" s="4" t="str">
        <x:v>Reserved</x:v>
      </x:c>
    </x:row>
    <x:row r="4398" ht="34" customHeight="1">
      <x:c r="A4398" s="4" t="str">
        <x:v>RS-04397-E1</x:v>
      </x:c>
      <x:c r="B4398" s="4" t="str">
        <x:v>RS-04397</x:v>
      </x:c>
      <x:c r="C4398" s="8" t="n">
        <x:v>45536</x:v>
      </x:c>
      <x:c r="D4398" s="4" t="str">
        <x:v>Sales operations manager</x:v>
      </x:c>
      <x:c r="E4398" s="4" t="str">
        <x:v>WhatsApp transcribed</x:v>
      </x:c>
      <x:c r="F4398" s="4" t="str">
        <x:v>Record captured</x:v>
      </x:c>
      <x:c r="G4398" s="4" t="str">
        <x:v>Enquiry</x:v>
      </x:c>
    </x:row>
    <x:row r="4399" ht="34" customHeight="1">
      <x:c r="A4399" s="4" t="str">
        <x:v>RS-04398-E1</x:v>
      </x:c>
      <x:c r="B4399" s="4" t="str">
        <x:v>RS-04398</x:v>
      </x:c>
      <x:c r="C4399" s="8" t="n">
        <x:v>45537</x:v>
      </x:c>
      <x:c r="D4399" s="4" t="str">
        <x:v>Sales operations manager</x:v>
      </x:c>
      <x:c r="E4399" s="4" t="str">
        <x:v>Spreadsheet import</x:v>
      </x:c>
      <x:c r="F4399" s="4" t="str">
        <x:v>Record captured</x:v>
      </x:c>
      <x:c r="G4399" s="4" t="str">
        <x:v>Cancelled</x:v>
      </x:c>
    </x:row>
    <x:row r="4400" ht="34" customHeight="1">
      <x:c r="A4400" s="4" t="str">
        <x:v>RS-04399-E1</x:v>
      </x:c>
      <x:c r="B4400" s="4" t="str">
        <x:v>RS-04399</x:v>
      </x:c>
      <x:c r="C4400" s="8" t="n">
        <x:v>45538</x:v>
      </x:c>
      <x:c r="D4400" s="4" t="str">
        <x:v>Sales operations manager</x:v>
      </x:c>
      <x:c r="E4400" s="4" t="str">
        <x:v>Spreadsheet import</x:v>
      </x:c>
      <x:c r="F4400" s="4" t="str">
        <x:v>Record captured</x:v>
      </x:c>
      <x:c r="G4400" s="4" t="str">
        <x:v>Agreement signed</x:v>
      </x:c>
    </x:row>
    <x:row r="4401" ht="34" customHeight="1">
      <x:c r="A4401" s="4" t="str">
        <x:v>RS-04400-E1</x:v>
      </x:c>
      <x:c r="B4401" s="4" t="str">
        <x:v>RS-04400</x:v>
      </x:c>
      <x:c r="C4401" s="8" t="n">
        <x:v>45539</x:v>
      </x:c>
      <x:c r="D4401" s="4" t="str">
        <x:v>Sales operations manager</x:v>
      </x:c>
      <x:c r="E4401" s="4" t="str">
        <x:v>ERP form</x:v>
      </x:c>
      <x:c r="F4401" s="4" t="str">
        <x:v>Record captured</x:v>
      </x:c>
      <x:c r="G4401" s="4" t="str">
        <x:v>Enquiry</x:v>
      </x:c>
    </x:row>
    <x:row r="4402" ht="34" customHeight="1">
      <x:c r="A4402" s="4" t="str">
        <x:v>RS-04401-E1</x:v>
      </x:c>
      <x:c r="B4402" s="4" t="str">
        <x:v>RS-04401</x:v>
      </x:c>
      <x:c r="C4402" s="8" t="n">
        <x:v>45540</x:v>
      </x:c>
      <x:c r="D4402" s="4" t="str">
        <x:v>Sales operations manager</x:v>
      </x:c>
      <x:c r="E4402" s="4" t="str">
        <x:v>ERP form</x:v>
      </x:c>
      <x:c r="F4402" s="4" t="str">
        <x:v>Record captured</x:v>
      </x:c>
      <x:c r="G4402" s="4" t="str">
        <x:v>Cancelled</x:v>
      </x:c>
    </x:row>
    <x:row r="4403" ht="34" customHeight="1">
      <x:c r="A4403" s="4" t="str">
        <x:v>RS-04402-E1</x:v>
      </x:c>
      <x:c r="B4403" s="4" t="str">
        <x:v>RS-04402</x:v>
      </x:c>
      <x:c r="C4403" s="8" t="n">
        <x:v>45541</x:v>
      </x:c>
      <x:c r="D4403" s="4" t="str">
        <x:v>Sales operations manager</x:v>
      </x:c>
      <x:c r="E4403" s="4" t="str">
        <x:v>Spreadsheet import</x:v>
      </x:c>
      <x:c r="F4403" s="4" t="str">
        <x:v>Record captured</x:v>
      </x:c>
      <x:c r="G4403" s="4" t="str">
        <x:v>Enquiry</x:v>
      </x:c>
    </x:row>
    <x:row r="4404" ht="34" customHeight="1">
      <x:c r="A4404" s="4" t="str">
        <x:v>RS-04403-E1</x:v>
      </x:c>
      <x:c r="B4404" s="4" t="str">
        <x:v>RS-04403</x:v>
      </x:c>
      <x:c r="C4404" s="8" t="n">
        <x:v>45542</x:v>
      </x:c>
      <x:c r="D4404" s="4" t="str">
        <x:v>Sales operations manager</x:v>
      </x:c>
      <x:c r="E4404" s="4" t="str">
        <x:v>ERP form</x:v>
      </x:c>
      <x:c r="F4404" s="4" t="str">
        <x:v>Record captured</x:v>
      </x:c>
      <x:c r="G4404" s="4" t="str">
        <x:v>Reserved</x:v>
      </x:c>
    </x:row>
    <x:row r="4405" ht="34" customHeight="1">
      <x:c r="A4405" s="4" t="str">
        <x:v>RS-04404-E1</x:v>
      </x:c>
      <x:c r="B4405" s="4" t="str">
        <x:v>RS-04404</x:v>
      </x:c>
      <x:c r="C4405" s="8" t="n">
        <x:v>45543</x:v>
      </x:c>
      <x:c r="D4405" s="4" t="str">
        <x:v>Sales operations manager</x:v>
      </x:c>
      <x:c r="E4405" s="4" t="str">
        <x:v>Spreadsheet import</x:v>
      </x:c>
      <x:c r="F4405" s="4" t="str">
        <x:v>Record captured</x:v>
      </x:c>
      <x:c r="G4405" s="4" t="str">
        <x:v>Enquiry</x:v>
      </x:c>
    </x:row>
    <x:row r="4406" ht="34" customHeight="1">
      <x:c r="A4406" s="4" t="str">
        <x:v>RS-04405-E1</x:v>
      </x:c>
      <x:c r="B4406" s="4" t="str">
        <x:v>RS-04405</x:v>
      </x:c>
      <x:c r="C4406" s="8" t="n">
        <x:v>45544</x:v>
      </x:c>
      <x:c r="D4406" s="4" t="str">
        <x:v>Sales operations manager</x:v>
      </x:c>
      <x:c r="E4406" s="4" t="str">
        <x:v>WhatsApp transcribed</x:v>
      </x:c>
      <x:c r="F4406" s="4" t="str">
        <x:v>Record captured</x:v>
      </x:c>
      <x:c r="G4406" s="4" t="str">
        <x:v>Handed over</x:v>
      </x:c>
    </x:row>
    <x:row r="4407" ht="34" customHeight="1">
      <x:c r="A4407" s="4" t="str">
        <x:v>RS-04406-E1</x:v>
      </x:c>
      <x:c r="B4407" s="4" t="str">
        <x:v>RS-04406</x:v>
      </x:c>
      <x:c r="C4407" s="8" t="n">
        <x:v>45545</x:v>
      </x:c>
      <x:c r="D4407" s="4" t="str">
        <x:v>Sales operations manager</x:v>
      </x:c>
      <x:c r="E4407" s="4" t="str">
        <x:v>Paper transcribed</x:v>
      </x:c>
      <x:c r="F4407" s="4" t="str">
        <x:v>Record captured</x:v>
      </x:c>
      <x:c r="G4407" s="4" t="str">
        <x:v>Enquiry</x:v>
      </x:c>
    </x:row>
    <x:row r="4408" ht="34" customHeight="1">
      <x:c r="A4408" s="4" t="str">
        <x:v>RS-04407-E1</x:v>
      </x:c>
      <x:c r="B4408" s="4" t="str">
        <x:v>RS-04407</x:v>
      </x:c>
      <x:c r="C4408" s="8" t="n">
        <x:v>45546</x:v>
      </x:c>
      <x:c r="D4408" s="4" t="str">
        <x:v>Sales operations manager</x:v>
      </x:c>
      <x:c r="E4408" s="4" t="str">
        <x:v>WhatsApp transcribed</x:v>
      </x:c>
      <x:c r="F4408" s="4" t="str">
        <x:v>Record captured</x:v>
      </x:c>
      <x:c r="G4408" s="4" t="str">
        <x:v>Agreement signed</x:v>
      </x:c>
    </x:row>
    <x:row r="4409" ht="34" customHeight="1">
      <x:c r="A4409" s="4" t="str">
        <x:v>RS-04408-E1</x:v>
      </x:c>
      <x:c r="B4409" s="4" t="str">
        <x:v>RS-04408</x:v>
      </x:c>
      <x:c r="C4409" s="8" t="n">
        <x:v>45547</x:v>
      </x:c>
      <x:c r="D4409" s="4" t="str">
        <x:v>Sales operations manager</x:v>
      </x:c>
      <x:c r="E4409" s="4" t="str">
        <x:v>Paper transcribed</x:v>
      </x:c>
      <x:c r="F4409" s="4" t="str">
        <x:v>Record captured</x:v>
      </x:c>
      <x:c r="G4409" s="4" t="str">
        <x:v>Handed over</x:v>
      </x:c>
    </x:row>
    <x:row r="4410" ht="34" customHeight="1">
      <x:c r="A4410" s="4" t="str">
        <x:v>RS-04409-E1</x:v>
      </x:c>
      <x:c r="B4410" s="4" t="str">
        <x:v>RS-04409</x:v>
      </x:c>
      <x:c r="C4410" s="8" t="n">
        <x:v>45548</x:v>
      </x:c>
      <x:c r="D4410" s="4" t="str">
        <x:v>Sales operations manager</x:v>
      </x:c>
      <x:c r="E4410" s="4" t="str">
        <x:v>Paper transcribed</x:v>
      </x:c>
      <x:c r="F4410" s="4" t="str">
        <x:v>Record captured</x:v>
      </x:c>
      <x:c r="G4410" s="4" t="str">
        <x:v>Reserved</x:v>
      </x:c>
    </x:row>
    <x:row r="4411" ht="34" customHeight="1">
      <x:c r="A4411" s="4" t="str">
        <x:v>RS-04410-E1</x:v>
      </x:c>
      <x:c r="B4411" s="4" t="str">
        <x:v>RS-04410</x:v>
      </x:c>
      <x:c r="C4411" s="8" t="n">
        <x:v>45549</x:v>
      </x:c>
      <x:c r="D4411" s="4" t="str">
        <x:v>Sales operations manager</x:v>
      </x:c>
      <x:c r="E4411" s="4" t="str">
        <x:v>Paper transcribed</x:v>
      </x:c>
      <x:c r="F4411" s="4" t="str">
        <x:v>Record captured</x:v>
      </x:c>
      <x:c r="G4411" s="4" t="str">
        <x:v>Reserved</x:v>
      </x:c>
    </x:row>
    <x:row r="4412" ht="34" customHeight="1">
      <x:c r="A4412" s="4" t="str">
        <x:v>RS-04411-E1</x:v>
      </x:c>
      <x:c r="B4412" s="4" t="str">
        <x:v>RS-04411</x:v>
      </x:c>
      <x:c r="C4412" s="8" t="n">
        <x:v>45550</x:v>
      </x:c>
      <x:c r="D4412" s="4" t="str">
        <x:v>Sales operations manager</x:v>
      </x:c>
      <x:c r="E4412" s="4" t="str">
        <x:v>WhatsApp transcribed</x:v>
      </x:c>
      <x:c r="F4412" s="4" t="str">
        <x:v>Record captured</x:v>
      </x:c>
      <x:c r="G4412" s="4" t="str">
        <x:v>Enquiry</x:v>
      </x:c>
    </x:row>
    <x:row r="4413" ht="34" customHeight="1">
      <x:c r="A4413" s="4" t="str">
        <x:v>RS-04412-E1</x:v>
      </x:c>
      <x:c r="B4413" s="4" t="str">
        <x:v>RS-04412</x:v>
      </x:c>
      <x:c r="C4413" s="8" t="n">
        <x:v>45551</x:v>
      </x:c>
      <x:c r="D4413" s="4" t="str">
        <x:v>Sales operations manager</x:v>
      </x:c>
      <x:c r="E4413" s="4" t="str">
        <x:v>WhatsApp transcribed</x:v>
      </x:c>
      <x:c r="F4413" s="4" t="str">
        <x:v>Record captured</x:v>
      </x:c>
      <x:c r="G4413" s="4" t="str">
        <x:v>Enquiry</x:v>
      </x:c>
    </x:row>
    <x:row r="4414" ht="34" customHeight="1">
      <x:c r="A4414" s="4" t="str">
        <x:v>RS-04413-E1</x:v>
      </x:c>
      <x:c r="B4414" s="4" t="str">
        <x:v>RS-04413</x:v>
      </x:c>
      <x:c r="C4414" s="8" t="n">
        <x:v>45552</x:v>
      </x:c>
      <x:c r="D4414" s="4" t="str">
        <x:v>Sales operations manager</x:v>
      </x:c>
      <x:c r="E4414" s="4" t="str">
        <x:v>ERP form</x:v>
      </x:c>
      <x:c r="F4414" s="4" t="str">
        <x:v>Record captured</x:v>
      </x:c>
      <x:c r="G4414" s="4" t="str">
        <x:v>Cancelled</x:v>
      </x:c>
    </x:row>
    <x:row r="4415" ht="34" customHeight="1">
      <x:c r="A4415" s="4" t="str">
        <x:v>RS-04414-E1</x:v>
      </x:c>
      <x:c r="B4415" s="4" t="str">
        <x:v>RS-04414</x:v>
      </x:c>
      <x:c r="C4415" s="8" t="n">
        <x:v>45553</x:v>
      </x:c>
      <x:c r="D4415" s="4" t="str">
        <x:v>Sales operations manager</x:v>
      </x:c>
      <x:c r="E4415" s="4" t="str">
        <x:v>Paper transcribed</x:v>
      </x:c>
      <x:c r="F4415" s="4" t="str">
        <x:v>Record captured</x:v>
      </x:c>
      <x:c r="G4415" s="4" t="str">
        <x:v>Handed over</x:v>
      </x:c>
    </x:row>
    <x:row r="4416" ht="34" customHeight="1">
      <x:c r="A4416" s="4" t="str">
        <x:v>RS-04415-E1</x:v>
      </x:c>
      <x:c r="B4416" s="4" t="str">
        <x:v>RS-04415</x:v>
      </x:c>
      <x:c r="C4416" s="8" t="n">
        <x:v>45554</x:v>
      </x:c>
      <x:c r="D4416" s="4" t="str">
        <x:v>Sales operations manager</x:v>
      </x:c>
      <x:c r="E4416" s="4" t="str">
        <x:v>WhatsApp transcribed</x:v>
      </x:c>
      <x:c r="F4416" s="4" t="str">
        <x:v>Record captured</x:v>
      </x:c>
      <x:c r="G4416" s="4" t="str">
        <x:v>Cancelled</x:v>
      </x:c>
    </x:row>
    <x:row r="4417" ht="34" customHeight="1">
      <x:c r="A4417" s="4" t="str">
        <x:v>RS-04416-E1</x:v>
      </x:c>
      <x:c r="B4417" s="4" t="str">
        <x:v>RS-04416</x:v>
      </x:c>
      <x:c r="C4417" s="8" t="n">
        <x:v>45555</x:v>
      </x:c>
      <x:c r="D4417" s="4" t="str">
        <x:v>Sales operations manager</x:v>
      </x:c>
      <x:c r="E4417" s="4" t="str">
        <x:v>ERP form</x:v>
      </x:c>
      <x:c r="F4417" s="4" t="str">
        <x:v>Record captured</x:v>
      </x:c>
      <x:c r="G4417" s="4" t="str">
        <x:v>Reserved</x:v>
      </x:c>
    </x:row>
    <x:row r="4418" ht="34" customHeight="1">
      <x:c r="A4418" s="4" t="str">
        <x:v>RS-04417-E1</x:v>
      </x:c>
      <x:c r="B4418" s="4" t="str">
        <x:v>RS-04417</x:v>
      </x:c>
      <x:c r="C4418" s="8" t="n">
        <x:v>45556</x:v>
      </x:c>
      <x:c r="D4418" s="4" t="str">
        <x:v>Sales operations manager</x:v>
      </x:c>
      <x:c r="E4418" s="4" t="str">
        <x:v>Spreadsheet import</x:v>
      </x:c>
      <x:c r="F4418" s="4" t="str">
        <x:v>Record captured</x:v>
      </x:c>
      <x:c r="G4418" s="4" t="str">
        <x:v>Enquiry</x:v>
      </x:c>
    </x:row>
    <x:row r="4419" ht="34" customHeight="1">
      <x:c r="A4419" s="4" t="str">
        <x:v>RS-04418-E1</x:v>
      </x:c>
      <x:c r="B4419" s="4" t="str">
        <x:v>RS-04418</x:v>
      </x:c>
      <x:c r="C4419" s="8" t="n">
        <x:v>45557</x:v>
      </x:c>
      <x:c r="D4419" s="4" t="str">
        <x:v>Sales operations manager</x:v>
      </x:c>
      <x:c r="E4419" s="4" t="str">
        <x:v>WhatsApp transcribed</x:v>
      </x:c>
      <x:c r="F4419" s="4" t="str">
        <x:v>Record captured</x:v>
      </x:c>
      <x:c r="G4419" s="4" t="str">
        <x:v>Agreement signed</x:v>
      </x:c>
    </x:row>
    <x:row r="4420" ht="34" customHeight="1">
      <x:c r="A4420" s="4" t="str">
        <x:v>RS-04419-E1</x:v>
      </x:c>
      <x:c r="B4420" s="4" t="str">
        <x:v>RS-04419</x:v>
      </x:c>
      <x:c r="C4420" s="8" t="n">
        <x:v>45558</x:v>
      </x:c>
      <x:c r="D4420" s="4" t="str">
        <x:v>Sales operations manager</x:v>
      </x:c>
      <x:c r="E4420" s="4" t="str">
        <x:v>WhatsApp transcribed</x:v>
      </x:c>
      <x:c r="F4420" s="4" t="str">
        <x:v>Record captured</x:v>
      </x:c>
      <x:c r="G4420" s="4" t="str">
        <x:v>Cancelled</x:v>
      </x:c>
    </x:row>
    <x:row r="4421" ht="34" customHeight="1">
      <x:c r="A4421" s="4" t="str">
        <x:v>RS-04420-E1</x:v>
      </x:c>
      <x:c r="B4421" s="4" t="str">
        <x:v>RS-04420</x:v>
      </x:c>
      <x:c r="C4421" s="8" t="n">
        <x:v>45559</x:v>
      </x:c>
      <x:c r="D4421" s="4" t="str">
        <x:v>Sales operations manager</x:v>
      </x:c>
      <x:c r="E4421" s="4" t="str">
        <x:v>Paper transcribed</x:v>
      </x:c>
      <x:c r="F4421" s="4" t="str">
        <x:v>Record captured</x:v>
      </x:c>
      <x:c r="G4421" s="4" t="str">
        <x:v>Agreement signed</x:v>
      </x:c>
    </x:row>
    <x:row r="4422" ht="34" customHeight="1">
      <x:c r="A4422" s="4" t="str">
        <x:v>RS-04421-E1</x:v>
      </x:c>
      <x:c r="B4422" s="4" t="str">
        <x:v>RS-04421</x:v>
      </x:c>
      <x:c r="C4422" s="8" t="n">
        <x:v>45560</x:v>
      </x:c>
      <x:c r="D4422" s="4" t="str">
        <x:v>Sales operations manager</x:v>
      </x:c>
      <x:c r="E4422" s="4" t="str">
        <x:v>ERP form</x:v>
      </x:c>
      <x:c r="F4422" s="4" t="str">
        <x:v>Record captured</x:v>
      </x:c>
      <x:c r="G4422" s="4" t="str">
        <x:v>Cancelled</x:v>
      </x:c>
    </x:row>
    <x:row r="4423" ht="34" customHeight="1">
      <x:c r="A4423" s="4" t="str">
        <x:v>RS-04422-E1</x:v>
      </x:c>
      <x:c r="B4423" s="4" t="str">
        <x:v>RS-04422</x:v>
      </x:c>
      <x:c r="C4423" s="8" t="n">
        <x:v>45561</x:v>
      </x:c>
      <x:c r="D4423" s="4" t="str">
        <x:v>Sales operations manager</x:v>
      </x:c>
      <x:c r="E4423" s="4" t="str">
        <x:v>WhatsApp transcribed</x:v>
      </x:c>
      <x:c r="F4423" s="4" t="str">
        <x:v>Record captured</x:v>
      </x:c>
      <x:c r="G4423" s="4" t="str">
        <x:v>Enquiry</x:v>
      </x:c>
    </x:row>
    <x:row r="4424" ht="34" customHeight="1">
      <x:c r="A4424" s="4" t="str">
        <x:v>RS-04423-E1</x:v>
      </x:c>
      <x:c r="B4424" s="4" t="str">
        <x:v>RS-04423</x:v>
      </x:c>
      <x:c r="C4424" s="8" t="n">
        <x:v>45562</x:v>
      </x:c>
      <x:c r="D4424" s="4" t="str">
        <x:v>Sales operations manager</x:v>
      </x:c>
      <x:c r="E4424" s="4" t="str">
        <x:v>WhatsApp transcribed</x:v>
      </x:c>
      <x:c r="F4424" s="4" t="str">
        <x:v>Record captured</x:v>
      </x:c>
      <x:c r="G4424" s="4" t="str">
        <x:v>Enquiry</x:v>
      </x:c>
    </x:row>
    <x:row r="4425" ht="34" customHeight="1">
      <x:c r="A4425" s="4" t="str">
        <x:v>RS-04424-E1</x:v>
      </x:c>
      <x:c r="B4425" s="4" t="str">
        <x:v>RS-04424</x:v>
      </x:c>
      <x:c r="C4425" s="8" t="n">
        <x:v>45563</x:v>
      </x:c>
      <x:c r="D4425" s="4" t="str">
        <x:v>Sales operations manager</x:v>
      </x:c>
      <x:c r="E4425" s="4" t="str">
        <x:v>Spreadsheet import</x:v>
      </x:c>
      <x:c r="F4425" s="4" t="str">
        <x:v>Record captured</x:v>
      </x:c>
      <x:c r="G4425" s="4" t="str">
        <x:v>Handed over</x:v>
      </x:c>
    </x:row>
    <x:row r="4426" ht="34" customHeight="1">
      <x:c r="A4426" s="4" t="str">
        <x:v>RS-04425-E1</x:v>
      </x:c>
      <x:c r="B4426" s="4" t="str">
        <x:v>RS-04425</x:v>
      </x:c>
      <x:c r="C4426" s="8" t="n">
        <x:v>45536</x:v>
      </x:c>
      <x:c r="D4426" s="4" t="str">
        <x:v>Sales operations manager</x:v>
      </x:c>
      <x:c r="E4426" s="4" t="str">
        <x:v>Spreadsheet import</x:v>
      </x:c>
      <x:c r="F4426" s="4" t="str">
        <x:v>Record captured</x:v>
      </x:c>
      <x:c r="G4426" s="4" t="str">
        <x:v>Cancelled</x:v>
      </x:c>
    </x:row>
    <x:row r="4427" ht="34" customHeight="1">
      <x:c r="A4427" s="4" t="str">
        <x:v>RS-04426-E1</x:v>
      </x:c>
      <x:c r="B4427" s="4" t="str">
        <x:v>RS-04426</x:v>
      </x:c>
      <x:c r="C4427" s="8" t="n">
        <x:v>45537</x:v>
      </x:c>
      <x:c r="D4427" s="4" t="str">
        <x:v>Sales operations manager</x:v>
      </x:c>
      <x:c r="E4427" s="4" t="str">
        <x:v>Spreadsheet import</x:v>
      </x:c>
      <x:c r="F4427" s="4" t="str">
        <x:v>Record captured</x:v>
      </x:c>
      <x:c r="G4427" s="4" t="str">
        <x:v>Agreement signed</x:v>
      </x:c>
    </x:row>
    <x:row r="4428" ht="34" customHeight="1">
      <x:c r="A4428" s="4" t="str">
        <x:v>RS-04427-E1</x:v>
      </x:c>
      <x:c r="B4428" s="4" t="str">
        <x:v>RS-04427</x:v>
      </x:c>
      <x:c r="C4428" s="8" t="n">
        <x:v>45538</x:v>
      </x:c>
      <x:c r="D4428" s="4" t="str">
        <x:v>Sales operations manager</x:v>
      </x:c>
      <x:c r="E4428" s="4" t="str">
        <x:v>WhatsApp transcribed</x:v>
      </x:c>
      <x:c r="F4428" s="4" t="str">
        <x:v>Record captured</x:v>
      </x:c>
      <x:c r="G4428" s="4" t="str">
        <x:v>Reserved</x:v>
      </x:c>
    </x:row>
    <x:row r="4429" ht="34" customHeight="1">
      <x:c r="A4429" s="4" t="str">
        <x:v>RS-04428-E1</x:v>
      </x:c>
      <x:c r="B4429" s="4" t="str">
        <x:v>RS-04428</x:v>
      </x:c>
      <x:c r="C4429" s="8" t="n">
        <x:v>45539</x:v>
      </x:c>
      <x:c r="D4429" s="4" t="str">
        <x:v>Sales operations manager</x:v>
      </x:c>
      <x:c r="E4429" s="4" t="str">
        <x:v>Spreadsheet import</x:v>
      </x:c>
      <x:c r="F4429" s="4" t="str">
        <x:v>Record captured</x:v>
      </x:c>
      <x:c r="G4429" s="4" t="str">
        <x:v>Reserved</x:v>
      </x:c>
    </x:row>
    <x:row r="4430" ht="34" customHeight="1">
      <x:c r="A4430" s="4" t="str">
        <x:v>RS-04429-E1</x:v>
      </x:c>
      <x:c r="B4430" s="4" t="str">
        <x:v>RS-04429</x:v>
      </x:c>
      <x:c r="C4430" s="8" t="n">
        <x:v>45540</x:v>
      </x:c>
      <x:c r="D4430" s="4" t="str">
        <x:v>Sales operations manager</x:v>
      </x:c>
      <x:c r="E4430" s="4" t="str">
        <x:v>WhatsApp transcribed</x:v>
      </x:c>
      <x:c r="F4430" s="4" t="str">
        <x:v>Record captured</x:v>
      </x:c>
      <x:c r="G4430" s="4" t="str">
        <x:v>Agreement signed</x:v>
      </x:c>
    </x:row>
    <x:row r="4431" ht="34" customHeight="1">
      <x:c r="A4431" s="4" t="str">
        <x:v>RS-04430-E1</x:v>
      </x:c>
      <x:c r="B4431" s="4" t="str">
        <x:v>RS-04430</x:v>
      </x:c>
      <x:c r="C4431" s="8" t="n">
        <x:v>45541</x:v>
      </x:c>
      <x:c r="D4431" s="4" t="str">
        <x:v>Sales operations manager</x:v>
      </x:c>
      <x:c r="E4431" s="4" t="str">
        <x:v>ERP form</x:v>
      </x:c>
      <x:c r="F4431" s="4" t="str">
        <x:v>Record captured</x:v>
      </x:c>
      <x:c r="G4431" s="4" t="str">
        <x:v>Agreement signed</x:v>
      </x:c>
    </x:row>
    <x:row r="4432" ht="34" customHeight="1">
      <x:c r="A4432" s="4" t="str">
        <x:v>RS-04431-E1</x:v>
      </x:c>
      <x:c r="B4432" s="4" t="str">
        <x:v>RS-04431</x:v>
      </x:c>
      <x:c r="C4432" s="8" t="n">
        <x:v>45542</x:v>
      </x:c>
      <x:c r="D4432" s="4" t="str">
        <x:v>Sales operations manager</x:v>
      </x:c>
      <x:c r="E4432" s="4" t="str">
        <x:v>Paper transcribed</x:v>
      </x:c>
      <x:c r="F4432" s="4" t="str">
        <x:v>Record captured</x:v>
      </x:c>
      <x:c r="G4432" s="4" t="str">
        <x:v>Handed over</x:v>
      </x:c>
    </x:row>
    <x:row r="4433" ht="34" customHeight="1">
      <x:c r="A4433" s="4" t="str">
        <x:v>RS-04432-E1</x:v>
      </x:c>
      <x:c r="B4433" s="4" t="str">
        <x:v>RS-04432</x:v>
      </x:c>
      <x:c r="C4433" s="8" t="n">
        <x:v>45543</x:v>
      </x:c>
      <x:c r="D4433" s="4" t="str">
        <x:v>Sales operations manager</x:v>
      </x:c>
      <x:c r="E4433" s="4" t="str">
        <x:v>Spreadsheet import</x:v>
      </x:c>
      <x:c r="F4433" s="4" t="str">
        <x:v>Record captured</x:v>
      </x:c>
      <x:c r="G4433" s="4" t="str">
        <x:v>Agreement signed</x:v>
      </x:c>
    </x:row>
    <x:row r="4434" ht="34" customHeight="1">
      <x:c r="A4434" s="4" t="str">
        <x:v>RS-04433-E1</x:v>
      </x:c>
      <x:c r="B4434" s="4" t="str">
        <x:v>RS-04433</x:v>
      </x:c>
      <x:c r="C4434" s="8" t="n">
        <x:v>45544</x:v>
      </x:c>
      <x:c r="D4434" s="4" t="str">
        <x:v>Sales operations manager</x:v>
      </x:c>
      <x:c r="E4434" s="4" t="str">
        <x:v>Spreadsheet import</x:v>
      </x:c>
      <x:c r="F4434" s="4" t="str">
        <x:v>Record captured</x:v>
      </x:c>
      <x:c r="G4434" s="4" t="str">
        <x:v>Reserved</x:v>
      </x:c>
    </x:row>
    <x:row r="4435" ht="34" customHeight="1">
      <x:c r="A4435" s="4" t="str">
        <x:v>RS-04434-E1</x:v>
      </x:c>
      <x:c r="B4435" s="4" t="str">
        <x:v>RS-04434</x:v>
      </x:c>
      <x:c r="C4435" s="8" t="n">
        <x:v>45545</x:v>
      </x:c>
      <x:c r="D4435" s="4" t="str">
        <x:v>Sales operations manager</x:v>
      </x:c>
      <x:c r="E4435" s="4" t="str">
        <x:v>Spreadsheet import</x:v>
      </x:c>
      <x:c r="F4435" s="4" t="str">
        <x:v>Record captured</x:v>
      </x:c>
      <x:c r="G4435" s="4" t="str">
        <x:v>Agreement signed</x:v>
      </x:c>
    </x:row>
    <x:row r="4436" ht="34" customHeight="1">
      <x:c r="A4436" s="4" t="str">
        <x:v>RS-04435-E1</x:v>
      </x:c>
      <x:c r="B4436" s="4" t="str">
        <x:v>RS-04435</x:v>
      </x:c>
      <x:c r="C4436" s="8" t="n">
        <x:v>45546</x:v>
      </x:c>
      <x:c r="D4436" s="4" t="str">
        <x:v>Sales operations manager</x:v>
      </x:c>
      <x:c r="E4436" s="4" t="str">
        <x:v>Spreadsheet import</x:v>
      </x:c>
      <x:c r="F4436" s="4" t="str">
        <x:v>Record captured</x:v>
      </x:c>
      <x:c r="G4436" s="4" t="str">
        <x:v>Booked</x:v>
      </x:c>
    </x:row>
    <x:row r="4437" ht="34" customHeight="1">
      <x:c r="A4437" s="4" t="str">
        <x:v>RS-04436-E1</x:v>
      </x:c>
      <x:c r="B4437" s="4" t="str">
        <x:v>RS-04436</x:v>
      </x:c>
      <x:c r="C4437" s="8" t="n">
        <x:v>45547</x:v>
      </x:c>
      <x:c r="D4437" s="4" t="str">
        <x:v>Sales operations manager</x:v>
      </x:c>
      <x:c r="E4437" s="4" t="str">
        <x:v>Paper transcribed</x:v>
      </x:c>
      <x:c r="F4437" s="4" t="str">
        <x:v>Record captured</x:v>
      </x:c>
      <x:c r="G4437" s="4" t="str">
        <x:v>Enquiry</x:v>
      </x:c>
    </x:row>
    <x:row r="4438" ht="34" customHeight="1">
      <x:c r="A4438" s="4" t="str">
        <x:v>RS-04437-E1</x:v>
      </x:c>
      <x:c r="B4438" s="4" t="str">
        <x:v>RS-04437</x:v>
      </x:c>
      <x:c r="C4438" s="8" t="n">
        <x:v>45548</x:v>
      </x:c>
      <x:c r="D4438" s="4" t="str">
        <x:v>Sales operations manager</x:v>
      </x:c>
      <x:c r="E4438" s="4" t="str">
        <x:v>ERP form</x:v>
      </x:c>
      <x:c r="F4438" s="4" t="str">
        <x:v>Record captured</x:v>
      </x:c>
      <x:c r="G4438" s="4" t="str">
        <x:v>Booked</x:v>
      </x:c>
    </x:row>
    <x:row r="4439" ht="34" customHeight="1">
      <x:c r="A4439" s="4" t="str">
        <x:v>RS-04438-E1</x:v>
      </x:c>
      <x:c r="B4439" s="4" t="str">
        <x:v>RS-04438</x:v>
      </x:c>
      <x:c r="C4439" s="8" t="n">
        <x:v>45549</x:v>
      </x:c>
      <x:c r="D4439" s="4" t="str">
        <x:v>Sales operations manager</x:v>
      </x:c>
      <x:c r="E4439" s="4" t="str">
        <x:v>Spreadsheet import</x:v>
      </x:c>
      <x:c r="F4439" s="4" t="str">
        <x:v>Record captured</x:v>
      </x:c>
      <x:c r="G4439" s="4" t="str">
        <x:v>Enquiry</x:v>
      </x:c>
    </x:row>
    <x:row r="4440" ht="34" customHeight="1">
      <x:c r="A4440" s="4" t="str">
        <x:v>RS-04439-E1</x:v>
      </x:c>
      <x:c r="B4440" s="4" t="str">
        <x:v>RS-04439</x:v>
      </x:c>
      <x:c r="C4440" s="8" t="n">
        <x:v>45550</x:v>
      </x:c>
      <x:c r="D4440" s="4" t="str">
        <x:v>Sales operations manager</x:v>
      </x:c>
      <x:c r="E4440" s="4" t="str">
        <x:v>ERP form</x:v>
      </x:c>
      <x:c r="F4440" s="4" t="str">
        <x:v>Record captured</x:v>
      </x:c>
      <x:c r="G4440" s="4" t="str">
        <x:v>Booked</x:v>
      </x:c>
    </x:row>
    <x:row r="4441" ht="34" customHeight="1">
      <x:c r="A4441" s="4" t="str">
        <x:v>RS-04440-E1</x:v>
      </x:c>
      <x:c r="B4441" s="4" t="str">
        <x:v>RS-04440</x:v>
      </x:c>
      <x:c r="C4441" s="8" t="n">
        <x:v>45551</x:v>
      </x:c>
      <x:c r="D4441" s="4" t="str">
        <x:v>Sales operations manager</x:v>
      </x:c>
      <x:c r="E4441" s="4" t="str">
        <x:v>ERP form</x:v>
      </x:c>
      <x:c r="F4441" s="4" t="str">
        <x:v>Record captured</x:v>
      </x:c>
      <x:c r="G4441" s="4" t="str">
        <x:v>Handed over</x:v>
      </x:c>
    </x:row>
    <x:row r="4442" ht="34" customHeight="1">
      <x:c r="A4442" s="4" t="str">
        <x:v>RS-04441-E1</x:v>
      </x:c>
      <x:c r="B4442" s="4" t="str">
        <x:v>RS-04441</x:v>
      </x:c>
      <x:c r="C4442" s="8" t="n">
        <x:v>45552</x:v>
      </x:c>
      <x:c r="D4442" s="4" t="str">
        <x:v>Sales operations manager</x:v>
      </x:c>
      <x:c r="E4442" s="4" t="str">
        <x:v>WhatsApp transcribed</x:v>
      </x:c>
      <x:c r="F4442" s="4" t="str">
        <x:v>Record captured</x:v>
      </x:c>
      <x:c r="G4442" s="4" t="str">
        <x:v>Agreement signed</x:v>
      </x:c>
    </x:row>
    <x:row r="4443" ht="34" customHeight="1">
      <x:c r="A4443" s="4" t="str">
        <x:v>RS-04442-E1</x:v>
      </x:c>
      <x:c r="B4443" s="4" t="str">
        <x:v>RS-04442</x:v>
      </x:c>
      <x:c r="C4443" s="8" t="n">
        <x:v>45553</x:v>
      </x:c>
      <x:c r="D4443" s="4" t="str">
        <x:v>Sales operations manager</x:v>
      </x:c>
      <x:c r="E4443" s="4" t="str">
        <x:v>Spreadsheet import</x:v>
      </x:c>
      <x:c r="F4443" s="4" t="str">
        <x:v>Record captured</x:v>
      </x:c>
      <x:c r="G4443" s="4" t="str">
        <x:v>Enquiry</x:v>
      </x:c>
    </x:row>
    <x:row r="4444" ht="34" customHeight="1">
      <x:c r="A4444" s="4" t="str">
        <x:v>RS-04443-E1</x:v>
      </x:c>
      <x:c r="B4444" s="4" t="str">
        <x:v>RS-04443</x:v>
      </x:c>
      <x:c r="C4444" s="8" t="n">
        <x:v>45554</x:v>
      </x:c>
      <x:c r="D4444" s="4" t="str">
        <x:v>Sales operations manager</x:v>
      </x:c>
      <x:c r="E4444" s="4" t="str">
        <x:v>Spreadsheet import</x:v>
      </x:c>
      <x:c r="F4444" s="4" t="str">
        <x:v>Record captured</x:v>
      </x:c>
      <x:c r="G4444" s="4" t="str">
        <x:v>Handed over</x:v>
      </x:c>
    </x:row>
    <x:row r="4445" ht="34" customHeight="1">
      <x:c r="A4445" s="4" t="str">
        <x:v>RS-04444-E1</x:v>
      </x:c>
      <x:c r="B4445" s="4" t="str">
        <x:v>RS-04444</x:v>
      </x:c>
      <x:c r="C4445" s="8" t="n">
        <x:v>45555</x:v>
      </x:c>
      <x:c r="D4445" s="4" t="str">
        <x:v>Sales operations manager</x:v>
      </x:c>
      <x:c r="E4445" s="4" t="str">
        <x:v>WhatsApp transcribed</x:v>
      </x:c>
      <x:c r="F4445" s="4" t="str">
        <x:v>Record captured</x:v>
      </x:c>
      <x:c r="G4445" s="4" t="str">
        <x:v>Booked</x:v>
      </x:c>
    </x:row>
    <x:row r="4446" ht="34" customHeight="1">
      <x:c r="A4446" s="4" t="str">
        <x:v>RS-04445-E1</x:v>
      </x:c>
      <x:c r="B4446" s="4" t="str">
        <x:v>RS-04445</x:v>
      </x:c>
      <x:c r="C4446" s="8" t="n">
        <x:v>45556</x:v>
      </x:c>
      <x:c r="D4446" s="4" t="str">
        <x:v>Sales operations manager</x:v>
      </x:c>
      <x:c r="E4446" s="4" t="str">
        <x:v>WhatsApp transcribed</x:v>
      </x:c>
      <x:c r="F4446" s="4" t="str">
        <x:v>Record captured</x:v>
      </x:c>
      <x:c r="G4446" s="4" t="str">
        <x:v>Reserved</x:v>
      </x:c>
    </x:row>
    <x:row r="4447" ht="34" customHeight="1">
      <x:c r="A4447" s="4" t="str">
        <x:v>RS-04446-E1</x:v>
      </x:c>
      <x:c r="B4447" s="4" t="str">
        <x:v>RS-04446</x:v>
      </x:c>
      <x:c r="C4447" s="8" t="n">
        <x:v>45557</x:v>
      </x:c>
      <x:c r="D4447" s="4" t="str">
        <x:v>Sales operations manager</x:v>
      </x:c>
      <x:c r="E4447" s="4" t="str">
        <x:v>ERP form</x:v>
      </x:c>
      <x:c r="F4447" s="4" t="str">
        <x:v>Record captured</x:v>
      </x:c>
      <x:c r="G4447" s="4" t="str">
        <x:v>Handed over</x:v>
      </x:c>
    </x:row>
    <x:row r="4448" ht="34" customHeight="1">
      <x:c r="A4448" s="4" t="str">
        <x:v>RS-04447-E1</x:v>
      </x:c>
      <x:c r="B4448" s="4" t="str">
        <x:v>RS-04447</x:v>
      </x:c>
      <x:c r="C4448" s="8" t="n">
        <x:v>45558</x:v>
      </x:c>
      <x:c r="D4448" s="4" t="str">
        <x:v>Sales operations manager</x:v>
      </x:c>
      <x:c r="E4448" s="4" t="str">
        <x:v>Spreadsheet import</x:v>
      </x:c>
      <x:c r="F4448" s="4" t="str">
        <x:v>Record captured</x:v>
      </x:c>
      <x:c r="G4448" s="4" t="str">
        <x:v>Agreement signed</x:v>
      </x:c>
    </x:row>
    <x:row r="4449" ht="34" customHeight="1">
      <x:c r="A4449" s="4" t="str">
        <x:v>RS-04448-E1</x:v>
      </x:c>
      <x:c r="B4449" s="4" t="str">
        <x:v>RS-04448</x:v>
      </x:c>
      <x:c r="C4449" s="8" t="n">
        <x:v>45559</x:v>
      </x:c>
      <x:c r="D4449" s="4" t="str">
        <x:v>Sales operations manager</x:v>
      </x:c>
      <x:c r="E4449" s="4" t="str">
        <x:v>WhatsApp transcribed</x:v>
      </x:c>
      <x:c r="F4449" s="4" t="str">
        <x:v>Record captured</x:v>
      </x:c>
      <x:c r="G4449" s="4" t="str">
        <x:v>Booked</x:v>
      </x:c>
    </x:row>
    <x:row r="4450" ht="34" customHeight="1">
      <x:c r="A4450" s="4" t="str">
        <x:v>RS-04449-E1</x:v>
      </x:c>
      <x:c r="B4450" s="4" t="str">
        <x:v>RS-04449</x:v>
      </x:c>
      <x:c r="C4450" s="8" t="n">
        <x:v>45560</x:v>
      </x:c>
      <x:c r="D4450" s="4" t="str">
        <x:v>Sales operations manager</x:v>
      </x:c>
      <x:c r="E4450" s="4" t="str">
        <x:v>ERP form</x:v>
      </x:c>
      <x:c r="F4450" s="4" t="str">
        <x:v>Record captured</x:v>
      </x:c>
      <x:c r="G4450" s="4" t="str">
        <x:v>Booked</x:v>
      </x:c>
    </x:row>
    <x:row r="4451" ht="34" customHeight="1">
      <x:c r="A4451" s="4" t="str">
        <x:v>RS-04450-E1</x:v>
      </x:c>
      <x:c r="B4451" s="4" t="str">
        <x:v>RS-04450</x:v>
      </x:c>
      <x:c r="C4451" s="8" t="n">
        <x:v>45561</x:v>
      </x:c>
      <x:c r="D4451" s="4" t="str">
        <x:v>Sales operations manager</x:v>
      </x:c>
      <x:c r="E4451" s="4" t="str">
        <x:v>Spreadsheet import</x:v>
      </x:c>
      <x:c r="F4451" s="4" t="str">
        <x:v>Record captured</x:v>
      </x:c>
      <x:c r="G4451" s="4" t="str">
        <x:v>Booked</x:v>
      </x:c>
    </x:row>
    <x:row r="4452" ht="34" customHeight="1">
      <x:c r="A4452" s="4" t="str">
        <x:v>RS-04451-E1</x:v>
      </x:c>
      <x:c r="B4452" s="4" t="str">
        <x:v>RS-04451</x:v>
      </x:c>
      <x:c r="C4452" s="8" t="n">
        <x:v>45562</x:v>
      </x:c>
      <x:c r="D4452" s="4" t="str">
        <x:v>Sales operations manager</x:v>
      </x:c>
      <x:c r="E4452" s="4" t="str">
        <x:v>ERP form</x:v>
      </x:c>
      <x:c r="F4452" s="4" t="str">
        <x:v>Record captured</x:v>
      </x:c>
      <x:c r="G4452" s="4" t="str">
        <x:v>Agreement signed</x:v>
      </x:c>
    </x:row>
    <x:row r="4453" ht="34" customHeight="1">
      <x:c r="A4453" s="4" t="str">
        <x:v>RS-04452-E1</x:v>
      </x:c>
      <x:c r="B4453" s="4" t="str">
        <x:v>RS-04452</x:v>
      </x:c>
      <x:c r="C4453" s="8" t="n">
        <x:v>45563</x:v>
      </x:c>
      <x:c r="D4453" s="4" t="str">
        <x:v>Sales operations manager</x:v>
      </x:c>
      <x:c r="E4453" s="4" t="str">
        <x:v>ERP form</x:v>
      </x:c>
      <x:c r="F4453" s="4" t="str">
        <x:v>Record captured</x:v>
      </x:c>
      <x:c r="G4453" s="4" t="str">
        <x:v>Enquiry</x:v>
      </x:c>
    </x:row>
    <x:row r="4454" ht="34" customHeight="1">
      <x:c r="A4454" s="4" t="str">
        <x:v>RS-04453-E1</x:v>
      </x:c>
      <x:c r="B4454" s="4" t="str">
        <x:v>RS-04453</x:v>
      </x:c>
      <x:c r="C4454" s="8" t="n">
        <x:v>45536</x:v>
      </x:c>
      <x:c r="D4454" s="4" t="str">
        <x:v>Sales operations manager</x:v>
      </x:c>
      <x:c r="E4454" s="4" t="str">
        <x:v>Paper transcribed</x:v>
      </x:c>
      <x:c r="F4454" s="4" t="str">
        <x:v>Record captured</x:v>
      </x:c>
      <x:c r="G4454" s="4" t="str">
        <x:v>Booked</x:v>
      </x:c>
    </x:row>
    <x:row r="4455" ht="34" customHeight="1">
      <x:c r="A4455" s="4" t="str">
        <x:v>RS-04454-E1</x:v>
      </x:c>
      <x:c r="B4455" s="4" t="str">
        <x:v>RS-04454</x:v>
      </x:c>
      <x:c r="C4455" s="8" t="n">
        <x:v>45537</x:v>
      </x:c>
      <x:c r="D4455" s="4" t="str">
        <x:v>Sales operations manager</x:v>
      </x:c>
      <x:c r="E4455" s="4" t="str">
        <x:v>ERP form</x:v>
      </x:c>
      <x:c r="F4455" s="4" t="str">
        <x:v>Record captured</x:v>
      </x:c>
      <x:c r="G4455" s="4" t="str">
        <x:v>Enquiry</x:v>
      </x:c>
    </x:row>
    <x:row r="4456" ht="34" customHeight="1">
      <x:c r="A4456" s="4" t="str">
        <x:v>RS-04455-E1</x:v>
      </x:c>
      <x:c r="B4456" s="4" t="str">
        <x:v>RS-04455</x:v>
      </x:c>
      <x:c r="C4456" s="8" t="n">
        <x:v>45538</x:v>
      </x:c>
      <x:c r="D4456" s="4" t="str">
        <x:v>Sales operations manager</x:v>
      </x:c>
      <x:c r="E4456" s="4" t="str">
        <x:v>Spreadsheet import</x:v>
      </x:c>
      <x:c r="F4456" s="4" t="str">
        <x:v>Record captured</x:v>
      </x:c>
      <x:c r="G4456" s="4" t="str">
        <x:v>Booked</x:v>
      </x:c>
    </x:row>
    <x:row r="4457" ht="34" customHeight="1">
      <x:c r="A4457" s="4" t="str">
        <x:v>RS-04456-E1</x:v>
      </x:c>
      <x:c r="B4457" s="4" t="str">
        <x:v>RS-04456</x:v>
      </x:c>
      <x:c r="C4457" s="8" t="n">
        <x:v>45539</x:v>
      </x:c>
      <x:c r="D4457" s="4" t="str">
        <x:v>Sales operations manager</x:v>
      </x:c>
      <x:c r="E4457" s="4" t="str">
        <x:v>Spreadsheet import</x:v>
      </x:c>
      <x:c r="F4457" s="4" t="str">
        <x:v>Record captured</x:v>
      </x:c>
      <x:c r="G4457" s="4" t="str">
        <x:v>Enquiry</x:v>
      </x:c>
    </x:row>
    <x:row r="4458" ht="34" customHeight="1">
      <x:c r="A4458" s="4" t="str">
        <x:v>RS-04457-E1</x:v>
      </x:c>
      <x:c r="B4458" s="4" t="str">
        <x:v>RS-04457</x:v>
      </x:c>
      <x:c r="C4458" s="8" t="n">
        <x:v>45540</x:v>
      </x:c>
      <x:c r="D4458" s="4" t="str">
        <x:v>Sales operations manager</x:v>
      </x:c>
      <x:c r="E4458" s="4" t="str">
        <x:v>Paper transcribed</x:v>
      </x:c>
      <x:c r="F4458" s="4" t="str">
        <x:v>Record captured</x:v>
      </x:c>
      <x:c r="G4458" s="4" t="str">
        <x:v>Booked</x:v>
      </x:c>
    </x:row>
    <x:row r="4459" ht="34" customHeight="1">
      <x:c r="A4459" s="4" t="str">
        <x:v>RS-04458-E1</x:v>
      </x:c>
      <x:c r="B4459" s="4" t="str">
        <x:v>RS-04458</x:v>
      </x:c>
      <x:c r="C4459" s="8" t="n">
        <x:v>45541</x:v>
      </x:c>
      <x:c r="D4459" s="4" t="str">
        <x:v>Sales operations manager</x:v>
      </x:c>
      <x:c r="E4459" s="4" t="str">
        <x:v>Paper transcribed</x:v>
      </x:c>
      <x:c r="F4459" s="4" t="str">
        <x:v>Record captured</x:v>
      </x:c>
      <x:c r="G4459" s="4" t="str">
        <x:v>Cancelled</x:v>
      </x:c>
    </x:row>
    <x:row r="4460" ht="34" customHeight="1">
      <x:c r="A4460" s="4" t="str">
        <x:v>RS-04459-E1</x:v>
      </x:c>
      <x:c r="B4460" s="4" t="str">
        <x:v>RS-04459</x:v>
      </x:c>
      <x:c r="C4460" s="8" t="n">
        <x:v>45542</x:v>
      </x:c>
      <x:c r="D4460" s="4" t="str">
        <x:v>Sales operations manager</x:v>
      </x:c>
      <x:c r="E4460" s="4" t="str">
        <x:v>ERP form</x:v>
      </x:c>
      <x:c r="F4460" s="4" t="str">
        <x:v>Record captured</x:v>
      </x:c>
      <x:c r="G4460" s="4" t="str">
        <x:v>Handed over</x:v>
      </x:c>
    </x:row>
    <x:row r="4461" ht="34" customHeight="1">
      <x:c r="A4461" s="4" t="str">
        <x:v>RS-04460-E1</x:v>
      </x:c>
      <x:c r="B4461" s="4" t="str">
        <x:v>RS-04460</x:v>
      </x:c>
      <x:c r="C4461" s="8" t="n">
        <x:v>45543</x:v>
      </x:c>
      <x:c r="D4461" s="4" t="str">
        <x:v>Sales operations manager</x:v>
      </x:c>
      <x:c r="E4461" s="4" t="str">
        <x:v>Spreadsheet import</x:v>
      </x:c>
      <x:c r="F4461" s="4" t="str">
        <x:v>Record captured</x:v>
      </x:c>
      <x:c r="G4461" s="4" t="str">
        <x:v>Reserved</x:v>
      </x:c>
    </x:row>
    <x:row r="4462" ht="34" customHeight="1">
      <x:c r="A4462" s="4" t="str">
        <x:v>RS-04461-E1</x:v>
      </x:c>
      <x:c r="B4462" s="4" t="str">
        <x:v>RS-04461</x:v>
      </x:c>
      <x:c r="C4462" s="8" t="n">
        <x:v>45544</x:v>
      </x:c>
      <x:c r="D4462" s="4" t="str">
        <x:v>Sales operations manager</x:v>
      </x:c>
      <x:c r="E4462" s="4" t="str">
        <x:v>Paper transcribed</x:v>
      </x:c>
      <x:c r="F4462" s="4" t="str">
        <x:v>Record captured</x:v>
      </x:c>
      <x:c r="G4462" s="4" t="str">
        <x:v>Reserved</x:v>
      </x:c>
    </x:row>
    <x:row r="4463" ht="34" customHeight="1">
      <x:c r="A4463" s="4" t="str">
        <x:v>RS-04462-E1</x:v>
      </x:c>
      <x:c r="B4463" s="4" t="str">
        <x:v>RS-04462</x:v>
      </x:c>
      <x:c r="C4463" s="8" t="n">
        <x:v>45545</x:v>
      </x:c>
      <x:c r="D4463" s="4" t="str">
        <x:v>Sales operations manager</x:v>
      </x:c>
      <x:c r="E4463" s="4" t="str">
        <x:v>ERP form</x:v>
      </x:c>
      <x:c r="F4463" s="4" t="str">
        <x:v>Record captured</x:v>
      </x:c>
      <x:c r="G4463" s="4" t="str">
        <x:v>Reserved</x:v>
      </x:c>
    </x:row>
    <x:row r="4464" ht="34" customHeight="1">
      <x:c r="A4464" s="4" t="str">
        <x:v>RS-04463-E1</x:v>
      </x:c>
      <x:c r="B4464" s="4" t="str">
        <x:v>RS-04463</x:v>
      </x:c>
      <x:c r="C4464" s="8" t="n">
        <x:v>45546</x:v>
      </x:c>
      <x:c r="D4464" s="4" t="str">
        <x:v>Sales operations manager</x:v>
      </x:c>
      <x:c r="E4464" s="4" t="str">
        <x:v>ERP form</x:v>
      </x:c>
      <x:c r="F4464" s="4" t="str">
        <x:v>Record captured</x:v>
      </x:c>
      <x:c r="G4464" s="4" t="str">
        <x:v>Booked</x:v>
      </x:c>
    </x:row>
    <x:row r="4465" ht="34" customHeight="1">
      <x:c r="A4465" s="4" t="str">
        <x:v>RS-04464-E1</x:v>
      </x:c>
      <x:c r="B4465" s="4" t="str">
        <x:v>RS-04464</x:v>
      </x:c>
      <x:c r="C4465" s="8" t="n">
        <x:v>45547</x:v>
      </x:c>
      <x:c r="D4465" s="4" t="str">
        <x:v>Sales operations manager</x:v>
      </x:c>
      <x:c r="E4465" s="4" t="str">
        <x:v>ERP form</x:v>
      </x:c>
      <x:c r="F4465" s="4" t="str">
        <x:v>Record captured</x:v>
      </x:c>
      <x:c r="G4465" s="4" t="str">
        <x:v>Handed over</x:v>
      </x:c>
    </x:row>
    <x:row r="4466" ht="34" customHeight="1">
      <x:c r="A4466" s="4" t="str">
        <x:v>RS-04465-E1</x:v>
      </x:c>
      <x:c r="B4466" s="4" t="str">
        <x:v>RS-04465</x:v>
      </x:c>
      <x:c r="C4466" s="8" t="n">
        <x:v>45548</x:v>
      </x:c>
      <x:c r="D4466" s="4" t="str">
        <x:v>Sales operations manager</x:v>
      </x:c>
      <x:c r="E4466" s="4" t="str">
        <x:v>ERP form</x:v>
      </x:c>
      <x:c r="F4466" s="4" t="str">
        <x:v>Record captured</x:v>
      </x:c>
      <x:c r="G4466" s="4" t="str">
        <x:v>Handed over</x:v>
      </x:c>
    </x:row>
    <x:row r="4467" ht="34" customHeight="1">
      <x:c r="A4467" s="4" t="str">
        <x:v>RS-04466-E1</x:v>
      </x:c>
      <x:c r="B4467" s="4" t="str">
        <x:v>RS-04466</x:v>
      </x:c>
      <x:c r="C4467" s="8" t="n">
        <x:v>45549</x:v>
      </x:c>
      <x:c r="D4467" s="4" t="str">
        <x:v>Sales operations manager</x:v>
      </x:c>
      <x:c r="E4467" s="4" t="str">
        <x:v>Paper transcribed</x:v>
      </x:c>
      <x:c r="F4467" s="4" t="str">
        <x:v>Record captured</x:v>
      </x:c>
      <x:c r="G4467" s="4" t="str">
        <x:v>Handed over</x:v>
      </x:c>
    </x:row>
    <x:row r="4468" ht="34" customHeight="1">
      <x:c r="A4468" s="4" t="str">
        <x:v>RS-04467-E1</x:v>
      </x:c>
      <x:c r="B4468" s="4" t="str">
        <x:v>RS-04467</x:v>
      </x:c>
      <x:c r="C4468" s="8" t="n">
        <x:v>45550</x:v>
      </x:c>
      <x:c r="D4468" s="4" t="str">
        <x:v>Sales operations manager</x:v>
      </x:c>
      <x:c r="E4468" s="4" t="str">
        <x:v>ERP form</x:v>
      </x:c>
      <x:c r="F4468" s="4" t="str">
        <x:v>Record captured</x:v>
      </x:c>
      <x:c r="G4468" s="4" t="str">
        <x:v>Handed over</x:v>
      </x:c>
    </x:row>
    <x:row r="4469" ht="34" customHeight="1">
      <x:c r="A4469" s="4" t="str">
        <x:v>RS-04468-E1</x:v>
      </x:c>
      <x:c r="B4469" s="4" t="str">
        <x:v>RS-04468</x:v>
      </x:c>
      <x:c r="C4469" s="8" t="n">
        <x:v>45551</x:v>
      </x:c>
      <x:c r="D4469" s="4" t="str">
        <x:v>Sales operations manager</x:v>
      </x:c>
      <x:c r="E4469" s="4" t="str">
        <x:v>ERP form</x:v>
      </x:c>
      <x:c r="F4469" s="4" t="str">
        <x:v>Record captured</x:v>
      </x:c>
      <x:c r="G4469" s="4" t="str">
        <x:v>Booked</x:v>
      </x:c>
    </x:row>
    <x:row r="4470" ht="34" customHeight="1">
      <x:c r="A4470" s="4" t="str">
        <x:v>RS-04469-E1</x:v>
      </x:c>
      <x:c r="B4470" s="4" t="str">
        <x:v>RS-04469</x:v>
      </x:c>
      <x:c r="C4470" s="8" t="n">
        <x:v>45552</x:v>
      </x:c>
      <x:c r="D4470" s="4" t="str">
        <x:v>Sales operations manager</x:v>
      </x:c>
      <x:c r="E4470" s="4" t="str">
        <x:v>ERP form</x:v>
      </x:c>
      <x:c r="F4470" s="4" t="str">
        <x:v>Record captured</x:v>
      </x:c>
      <x:c r="G4470" s="4" t="str">
        <x:v>Agreement signed</x:v>
      </x:c>
    </x:row>
    <x:row r="4471" ht="34" customHeight="1">
      <x:c r="A4471" s="4" t="str">
        <x:v>RS-04470-E1</x:v>
      </x:c>
      <x:c r="B4471" s="4" t="str">
        <x:v>RS-04470</x:v>
      </x:c>
      <x:c r="C4471" s="8" t="n">
        <x:v>45553</x:v>
      </x:c>
      <x:c r="D4471" s="4" t="str">
        <x:v>Sales operations manager</x:v>
      </x:c>
      <x:c r="E4471" s="4" t="str">
        <x:v>Paper transcribed</x:v>
      </x:c>
      <x:c r="F4471" s="4" t="str">
        <x:v>Record captured</x:v>
      </x:c>
      <x:c r="G4471" s="4" t="str">
        <x:v>Enquiry</x:v>
      </x:c>
    </x:row>
    <x:row r="4472" ht="34" customHeight="1">
      <x:c r="A4472" s="4" t="str">
        <x:v>RS-04471-E1</x:v>
      </x:c>
      <x:c r="B4472" s="4" t="str">
        <x:v>RS-04471</x:v>
      </x:c>
      <x:c r="C4472" s="8" t="n">
        <x:v>45554</x:v>
      </x:c>
      <x:c r="D4472" s="4" t="str">
        <x:v>Sales operations manager</x:v>
      </x:c>
      <x:c r="E4472" s="4" t="str">
        <x:v>Spreadsheet import</x:v>
      </x:c>
      <x:c r="F4472" s="4" t="str">
        <x:v>Record captured</x:v>
      </x:c>
      <x:c r="G4472" s="4" t="str">
        <x:v>Enquiry</x:v>
      </x:c>
    </x:row>
    <x:row r="4473" ht="34" customHeight="1">
      <x:c r="A4473" s="4" t="str">
        <x:v>RS-04472-E1</x:v>
      </x:c>
      <x:c r="B4473" s="4" t="str">
        <x:v>RS-04472</x:v>
      </x:c>
      <x:c r="C4473" s="8" t="n">
        <x:v>45555</x:v>
      </x:c>
      <x:c r="D4473" s="4" t="str">
        <x:v>Sales operations manager</x:v>
      </x:c>
      <x:c r="E4473" s="4" t="str">
        <x:v>Paper transcribed</x:v>
      </x:c>
      <x:c r="F4473" s="4" t="str">
        <x:v>Record captured</x:v>
      </x:c>
      <x:c r="G4473" s="4" t="str">
        <x:v>Handed over</x:v>
      </x:c>
    </x:row>
    <x:row r="4474" ht="34" customHeight="1">
      <x:c r="A4474" s="4" t="str">
        <x:v>RS-04473-E1</x:v>
      </x:c>
      <x:c r="B4474" s="4" t="str">
        <x:v>RS-04473</x:v>
      </x:c>
      <x:c r="C4474" s="8" t="n">
        <x:v>45556</x:v>
      </x:c>
      <x:c r="D4474" s="4" t="str">
        <x:v>Sales operations manager</x:v>
      </x:c>
      <x:c r="E4474" s="4" t="str">
        <x:v>Spreadsheet import</x:v>
      </x:c>
      <x:c r="F4474" s="4" t="str">
        <x:v>Record captured</x:v>
      </x:c>
      <x:c r="G4474" s="4" t="str">
        <x:v>Agreement signed</x:v>
      </x:c>
    </x:row>
    <x:row r="4475" ht="34" customHeight="1">
      <x:c r="A4475" s="4" t="str">
        <x:v>RS-04474-E1</x:v>
      </x:c>
      <x:c r="B4475" s="4" t="str">
        <x:v>RS-04474</x:v>
      </x:c>
      <x:c r="C4475" s="8" t="n">
        <x:v>45557</x:v>
      </x:c>
      <x:c r="D4475" s="4" t="str">
        <x:v>Sales operations manager</x:v>
      </x:c>
      <x:c r="E4475" s="4" t="str">
        <x:v>Paper transcribed</x:v>
      </x:c>
      <x:c r="F4475" s="4" t="str">
        <x:v>Record captured</x:v>
      </x:c>
      <x:c r="G4475" s="4" t="str">
        <x:v>Booked</x:v>
      </x:c>
    </x:row>
    <x:row r="4476" ht="34" customHeight="1">
      <x:c r="A4476" s="4" t="str">
        <x:v>RS-04475-E1</x:v>
      </x:c>
      <x:c r="B4476" s="4" t="str">
        <x:v>RS-04475</x:v>
      </x:c>
      <x:c r="C4476" s="8" t="n">
        <x:v>45558</x:v>
      </x:c>
      <x:c r="D4476" s="4" t="str">
        <x:v>Sales operations manager</x:v>
      </x:c>
      <x:c r="E4476" s="4" t="str">
        <x:v>ERP form</x:v>
      </x:c>
      <x:c r="F4476" s="4" t="str">
        <x:v>Record captured</x:v>
      </x:c>
      <x:c r="G4476" s="4" t="str">
        <x:v>Cancelled</x:v>
      </x:c>
    </x:row>
    <x:row r="4477" ht="34" customHeight="1">
      <x:c r="A4477" s="4" t="str">
        <x:v>RS-04476-E1</x:v>
      </x:c>
      <x:c r="B4477" s="4" t="str">
        <x:v>RS-04476</x:v>
      </x:c>
      <x:c r="C4477" s="8" t="n">
        <x:v>45559</x:v>
      </x:c>
      <x:c r="D4477" s="4" t="str">
        <x:v>Sales operations manager</x:v>
      </x:c>
      <x:c r="E4477" s="4" t="str">
        <x:v>Spreadsheet import</x:v>
      </x:c>
      <x:c r="F4477" s="4" t="str">
        <x:v>Record captured</x:v>
      </x:c>
      <x:c r="G4477" s="4" t="str">
        <x:v>Agreement signed</x:v>
      </x:c>
    </x:row>
    <x:row r="4478" ht="34" customHeight="1">
      <x:c r="A4478" s="4" t="str">
        <x:v>RS-04477-E1</x:v>
      </x:c>
      <x:c r="B4478" s="4" t="str">
        <x:v>RS-04477</x:v>
      </x:c>
      <x:c r="C4478" s="8" t="n">
        <x:v>45560</x:v>
      </x:c>
      <x:c r="D4478" s="4" t="str">
        <x:v>Sales operations manager</x:v>
      </x:c>
      <x:c r="E4478" s="4" t="str">
        <x:v>ERP form</x:v>
      </x:c>
      <x:c r="F4478" s="4" t="str">
        <x:v>Record captured</x:v>
      </x:c>
      <x:c r="G4478" s="4" t="str">
        <x:v>Agreement signed</x:v>
      </x:c>
    </x:row>
    <x:row r="4479" ht="34" customHeight="1">
      <x:c r="A4479" s="4" t="str">
        <x:v>RS-04478-E1</x:v>
      </x:c>
      <x:c r="B4479" s="4" t="str">
        <x:v>RS-04478</x:v>
      </x:c>
      <x:c r="C4479" s="8" t="n">
        <x:v>45561</x:v>
      </x:c>
      <x:c r="D4479" s="4" t="str">
        <x:v>Sales operations manager</x:v>
      </x:c>
      <x:c r="E4479" s="4" t="str">
        <x:v>WhatsApp transcribed</x:v>
      </x:c>
      <x:c r="F4479" s="4" t="str">
        <x:v>Record captured</x:v>
      </x:c>
      <x:c r="G4479" s="4" t="str">
        <x:v>Cancelled</x:v>
      </x:c>
    </x:row>
    <x:row r="4480" ht="34" customHeight="1">
      <x:c r="A4480" s="4" t="str">
        <x:v>RS-04479-E1</x:v>
      </x:c>
      <x:c r="B4480" s="4" t="str">
        <x:v>RS-04479</x:v>
      </x:c>
      <x:c r="C4480" s="8" t="n">
        <x:v>45562</x:v>
      </x:c>
      <x:c r="D4480" s="4" t="str">
        <x:v>Sales operations manager</x:v>
      </x:c>
      <x:c r="E4480" s="4" t="str">
        <x:v>ERP form</x:v>
      </x:c>
      <x:c r="F4480" s="4" t="str">
        <x:v>Record captured</x:v>
      </x:c>
      <x:c r="G4480" s="4" t="str">
        <x:v>Cancelled</x:v>
      </x:c>
    </x:row>
    <x:row r="4481" ht="34" customHeight="1">
      <x:c r="A4481" s="4" t="str">
        <x:v>RS-04480-E1</x:v>
      </x:c>
      <x:c r="B4481" s="4" t="str">
        <x:v>RS-04480</x:v>
      </x:c>
      <x:c r="C4481" s="8" t="n">
        <x:v>45563</x:v>
      </x:c>
      <x:c r="D4481" s="4" t="str">
        <x:v>Sales operations manager</x:v>
      </x:c>
      <x:c r="E4481" s="4" t="str">
        <x:v>ERP form</x:v>
      </x:c>
      <x:c r="F4481" s="4" t="str">
        <x:v>Record captured</x:v>
      </x:c>
      <x:c r="G4481" s="4" t="str">
        <x:v>Agreement signed</x:v>
      </x:c>
    </x:row>
    <x:row r="4482" ht="34" customHeight="1">
      <x:c r="A4482" s="4" t="str">
        <x:v>RS-04481-E1</x:v>
      </x:c>
      <x:c r="B4482" s="4" t="str">
        <x:v>RS-04481</x:v>
      </x:c>
      <x:c r="C4482" s="8" t="n">
        <x:v>45536</x:v>
      </x:c>
      <x:c r="D4482" s="4" t="str">
        <x:v>Sales operations manager</x:v>
      </x:c>
      <x:c r="E4482" s="4" t="str">
        <x:v>Spreadsheet import</x:v>
      </x:c>
      <x:c r="F4482" s="4" t="str">
        <x:v>Record captured</x:v>
      </x:c>
      <x:c r="G4482" s="4" t="str">
        <x:v>Agreement signed</x:v>
      </x:c>
    </x:row>
    <x:row r="4483" ht="34" customHeight="1">
      <x:c r="A4483" s="4" t="str">
        <x:v>RS-04482-E1</x:v>
      </x:c>
      <x:c r="B4483" s="4" t="str">
        <x:v>RS-04482</x:v>
      </x:c>
      <x:c r="C4483" s="8" t="n">
        <x:v>45537</x:v>
      </x:c>
      <x:c r="D4483" s="4" t="str">
        <x:v>Sales operations manager</x:v>
      </x:c>
      <x:c r="E4483" s="4" t="str">
        <x:v>Spreadsheet import</x:v>
      </x:c>
      <x:c r="F4483" s="4" t="str">
        <x:v>Record captured</x:v>
      </x:c>
      <x:c r="G4483" s="4" t="str">
        <x:v>Handed over</x:v>
      </x:c>
    </x:row>
    <x:row r="4484" ht="34" customHeight="1">
      <x:c r="A4484" s="4" t="str">
        <x:v>RS-04483-E1</x:v>
      </x:c>
      <x:c r="B4484" s="4" t="str">
        <x:v>RS-04483</x:v>
      </x:c>
      <x:c r="C4484" s="8" t="n">
        <x:v>45538</x:v>
      </x:c>
      <x:c r="D4484" s="4" t="str">
        <x:v>Sales operations manager</x:v>
      </x:c>
      <x:c r="E4484" s="4" t="str">
        <x:v>WhatsApp transcribed</x:v>
      </x:c>
      <x:c r="F4484" s="4" t="str">
        <x:v>Record captured</x:v>
      </x:c>
      <x:c r="G4484" s="4" t="str">
        <x:v>Reserved</x:v>
      </x:c>
    </x:row>
    <x:row r="4485" ht="34" customHeight="1">
      <x:c r="A4485" s="4" t="str">
        <x:v>RS-04484-E1</x:v>
      </x:c>
      <x:c r="B4485" s="4" t="str">
        <x:v>RS-04484</x:v>
      </x:c>
      <x:c r="C4485" s="8" t="n">
        <x:v>45539</x:v>
      </x:c>
      <x:c r="D4485" s="4" t="str">
        <x:v>Sales operations manager</x:v>
      </x:c>
      <x:c r="E4485" s="4" t="str">
        <x:v>ERP form</x:v>
      </x:c>
      <x:c r="F4485" s="4" t="str">
        <x:v>Record captured</x:v>
      </x:c>
      <x:c r="G4485" s="4" t="str">
        <x:v>Booked</x:v>
      </x:c>
    </x:row>
    <x:row r="4486" ht="34" customHeight="1">
      <x:c r="A4486" s="4" t="str">
        <x:v>RS-04485-E1</x:v>
      </x:c>
      <x:c r="B4486" s="4" t="str">
        <x:v>RS-04485</x:v>
      </x:c>
      <x:c r="C4486" s="8" t="n">
        <x:v>45540</x:v>
      </x:c>
      <x:c r="D4486" s="4" t="str">
        <x:v>Sales operations manager</x:v>
      </x:c>
      <x:c r="E4486" s="4" t="str">
        <x:v>Spreadsheet import</x:v>
      </x:c>
      <x:c r="F4486" s="4" t="str">
        <x:v>Record captured</x:v>
      </x:c>
      <x:c r="G4486" s="4" t="str">
        <x:v>Reserved</x:v>
      </x:c>
    </x:row>
    <x:row r="4487" ht="34" customHeight="1">
      <x:c r="A4487" s="4" t="str">
        <x:v>RS-04486-E1</x:v>
      </x:c>
      <x:c r="B4487" s="4" t="str">
        <x:v>RS-04486</x:v>
      </x:c>
      <x:c r="C4487" s="8" t="n">
        <x:v>45541</x:v>
      </x:c>
      <x:c r="D4487" s="4" t="str">
        <x:v>Sales operations manager</x:v>
      </x:c>
      <x:c r="E4487" s="4" t="str">
        <x:v>Spreadsheet import</x:v>
      </x:c>
      <x:c r="F4487" s="4" t="str">
        <x:v>Record captured</x:v>
      </x:c>
      <x:c r="G4487" s="4" t="str">
        <x:v>Enquiry</x:v>
      </x:c>
    </x:row>
    <x:row r="4488" ht="34" customHeight="1">
      <x:c r="A4488" s="4" t="str">
        <x:v>RS-04487-E1</x:v>
      </x:c>
      <x:c r="B4488" s="4" t="str">
        <x:v>RS-04487</x:v>
      </x:c>
      <x:c r="C4488" s="8" t="n">
        <x:v>45542</x:v>
      </x:c>
      <x:c r="D4488" s="4" t="str">
        <x:v>Sales operations manager</x:v>
      </x:c>
      <x:c r="E4488" s="4" t="str">
        <x:v>Spreadsheet import</x:v>
      </x:c>
      <x:c r="F4488" s="4" t="str">
        <x:v>Record captured</x:v>
      </x:c>
      <x:c r="G4488" s="4" t="str">
        <x:v>Enquiry</x:v>
      </x:c>
    </x:row>
    <x:row r="4489" ht="34" customHeight="1">
      <x:c r="A4489" s="4" t="str">
        <x:v>RS-04488-E1</x:v>
      </x:c>
      <x:c r="B4489" s="4" t="str">
        <x:v>RS-04488</x:v>
      </x:c>
      <x:c r="C4489" s="8" t="n">
        <x:v>45543</x:v>
      </x:c>
      <x:c r="D4489" s="4" t="str">
        <x:v>Sales operations manager</x:v>
      </x:c>
      <x:c r="E4489" s="4" t="str">
        <x:v>WhatsApp transcribed</x:v>
      </x:c>
      <x:c r="F4489" s="4" t="str">
        <x:v>Record captured</x:v>
      </x:c>
      <x:c r="G4489" s="4" t="str">
        <x:v>Handed over</x:v>
      </x:c>
    </x:row>
    <x:row r="4490" ht="34" customHeight="1">
      <x:c r="A4490" s="4" t="str">
        <x:v>RS-04489-E1</x:v>
      </x:c>
      <x:c r="B4490" s="4" t="str">
        <x:v>RS-04489</x:v>
      </x:c>
      <x:c r="C4490" s="8" t="n">
        <x:v>45544</x:v>
      </x:c>
      <x:c r="D4490" s="4" t="str">
        <x:v>Sales operations manager</x:v>
      </x:c>
      <x:c r="E4490" s="4" t="str">
        <x:v>WhatsApp transcribed</x:v>
      </x:c>
      <x:c r="F4490" s="4" t="str">
        <x:v>Record captured</x:v>
      </x:c>
      <x:c r="G4490" s="4" t="str">
        <x:v>Agreement signed</x:v>
      </x:c>
    </x:row>
    <x:row r="4491" ht="34" customHeight="1">
      <x:c r="A4491" s="4" t="str">
        <x:v>RS-04490-E1</x:v>
      </x:c>
      <x:c r="B4491" s="4" t="str">
        <x:v>RS-04490</x:v>
      </x:c>
      <x:c r="C4491" s="8" t="n">
        <x:v>45545</x:v>
      </x:c>
      <x:c r="D4491" s="4" t="str">
        <x:v>Sales operations manager</x:v>
      </x:c>
      <x:c r="E4491" s="4" t="str">
        <x:v>Spreadsheet import</x:v>
      </x:c>
      <x:c r="F4491" s="4" t="str">
        <x:v>Record captured</x:v>
      </x:c>
      <x:c r="G4491" s="4" t="str">
        <x:v>Enquiry</x:v>
      </x:c>
    </x:row>
    <x:row r="4492" ht="34" customHeight="1">
      <x:c r="A4492" s="4" t="str">
        <x:v>RS-04491-E1</x:v>
      </x:c>
      <x:c r="B4492" s="4" t="str">
        <x:v>RS-04491</x:v>
      </x:c>
      <x:c r="C4492" s="8" t="n">
        <x:v>45546</x:v>
      </x:c>
      <x:c r="D4492" s="4" t="str">
        <x:v>Sales operations manager</x:v>
      </x:c>
      <x:c r="E4492" s="4" t="str">
        <x:v>ERP form</x:v>
      </x:c>
      <x:c r="F4492" s="4" t="str">
        <x:v>Record captured</x:v>
      </x:c>
      <x:c r="G4492" s="4" t="str">
        <x:v>Enquiry</x:v>
      </x:c>
    </x:row>
    <x:row r="4493" ht="34" customHeight="1">
      <x:c r="A4493" s="4" t="str">
        <x:v>RS-04492-E1</x:v>
      </x:c>
      <x:c r="B4493" s="4" t="str">
        <x:v>RS-04492</x:v>
      </x:c>
      <x:c r="C4493" s="8" t="n">
        <x:v>45547</x:v>
      </x:c>
      <x:c r="D4493" s="4" t="str">
        <x:v>Sales operations manager</x:v>
      </x:c>
      <x:c r="E4493" s="4" t="str">
        <x:v>WhatsApp transcribed</x:v>
      </x:c>
      <x:c r="F4493" s="4" t="str">
        <x:v>Record captured</x:v>
      </x:c>
      <x:c r="G4493" s="4" t="str">
        <x:v>Enquiry</x:v>
      </x:c>
    </x:row>
    <x:row r="4494" ht="34" customHeight="1">
      <x:c r="A4494" s="4" t="str">
        <x:v>RS-04493-E1</x:v>
      </x:c>
      <x:c r="B4494" s="4" t="str">
        <x:v>RS-04493</x:v>
      </x:c>
      <x:c r="C4494" s="8" t="n">
        <x:v>45548</x:v>
      </x:c>
      <x:c r="D4494" s="4" t="str">
        <x:v>Sales operations manager</x:v>
      </x:c>
      <x:c r="E4494" s="4" t="str">
        <x:v>WhatsApp transcribed</x:v>
      </x:c>
      <x:c r="F4494" s="4" t="str">
        <x:v>Record captured</x:v>
      </x:c>
      <x:c r="G4494" s="4" t="str">
        <x:v>Booked</x:v>
      </x:c>
    </x:row>
    <x:row r="4495" ht="34" customHeight="1">
      <x:c r="A4495" s="4" t="str">
        <x:v>RS-04494-E1</x:v>
      </x:c>
      <x:c r="B4495" s="4" t="str">
        <x:v>RS-04494</x:v>
      </x:c>
      <x:c r="C4495" s="8" t="n">
        <x:v>45549</x:v>
      </x:c>
      <x:c r="D4495" s="4" t="str">
        <x:v>Sales operations manager</x:v>
      </x:c>
      <x:c r="E4495" s="4" t="str">
        <x:v>ERP form</x:v>
      </x:c>
      <x:c r="F4495" s="4" t="str">
        <x:v>Record captured</x:v>
      </x:c>
      <x:c r="G4495" s="4" t="str">
        <x:v>Enquiry</x:v>
      </x:c>
    </x:row>
    <x:row r="4496" ht="34" customHeight="1">
      <x:c r="A4496" s="4" t="str">
        <x:v>RS-04495-E1</x:v>
      </x:c>
      <x:c r="B4496" s="4" t="str">
        <x:v>RS-04495</x:v>
      </x:c>
      <x:c r="C4496" s="8" t="n">
        <x:v>45550</x:v>
      </x:c>
      <x:c r="D4496" s="4" t="str">
        <x:v>Sales operations manager</x:v>
      </x:c>
      <x:c r="E4496" s="4" t="str">
        <x:v>ERP form</x:v>
      </x:c>
      <x:c r="F4496" s="4" t="str">
        <x:v>Record captured</x:v>
      </x:c>
      <x:c r="G4496" s="4" t="str">
        <x:v>Enquiry</x:v>
      </x:c>
    </x:row>
    <x:row r="4497" ht="34" customHeight="1">
      <x:c r="A4497" s="4" t="str">
        <x:v>RS-04496-E1</x:v>
      </x:c>
      <x:c r="B4497" s="4" t="str">
        <x:v>RS-04496</x:v>
      </x:c>
      <x:c r="C4497" s="8" t="n">
        <x:v>45551</x:v>
      </x:c>
      <x:c r="D4497" s="4" t="str">
        <x:v>Sales operations manager</x:v>
      </x:c>
      <x:c r="E4497" s="4" t="str">
        <x:v>WhatsApp transcribed</x:v>
      </x:c>
      <x:c r="F4497" s="4" t="str">
        <x:v>Record captured</x:v>
      </x:c>
      <x:c r="G4497" s="4" t="str">
        <x:v>Agreement signed</x:v>
      </x:c>
    </x:row>
    <x:row r="4498" ht="34" customHeight="1">
      <x:c r="A4498" s="4" t="str">
        <x:v>RS-04497-E1</x:v>
      </x:c>
      <x:c r="B4498" s="4" t="str">
        <x:v>RS-04497</x:v>
      </x:c>
      <x:c r="C4498" s="8" t="n">
        <x:v>45552</x:v>
      </x:c>
      <x:c r="D4498" s="4" t="str">
        <x:v>Sales operations manager</x:v>
      </x:c>
      <x:c r="E4498" s="4" t="str">
        <x:v>Paper transcribed</x:v>
      </x:c>
      <x:c r="F4498" s="4" t="str">
        <x:v>Record captured</x:v>
      </x:c>
      <x:c r="G4498" s="4" t="str">
        <x:v>Handed over</x:v>
      </x:c>
    </x:row>
    <x:row r="4499" ht="34" customHeight="1">
      <x:c r="A4499" s="4" t="str">
        <x:v>RS-04498-E1</x:v>
      </x:c>
      <x:c r="B4499" s="4" t="str">
        <x:v>RS-04498</x:v>
      </x:c>
      <x:c r="C4499" s="8" t="n">
        <x:v>45553</x:v>
      </x:c>
      <x:c r="D4499" s="4" t="str">
        <x:v>Sales operations manager</x:v>
      </x:c>
      <x:c r="E4499" s="4" t="str">
        <x:v>WhatsApp transcribed</x:v>
      </x:c>
      <x:c r="F4499" s="4" t="str">
        <x:v>Record captured</x:v>
      </x:c>
      <x:c r="G4499" s="4" t="str">
        <x:v>Handed over</x:v>
      </x:c>
    </x:row>
    <x:row r="4500" ht="34" customHeight="1">
      <x:c r="A4500" s="4" t="str">
        <x:v>RS-04499-E1</x:v>
      </x:c>
      <x:c r="B4500" s="4" t="str">
        <x:v>RS-04499</x:v>
      </x:c>
      <x:c r="C4500" s="8" t="n">
        <x:v>45554</x:v>
      </x:c>
      <x:c r="D4500" s="4" t="str">
        <x:v>Sales operations manager</x:v>
      </x:c>
      <x:c r="E4500" s="4" t="str">
        <x:v>Spreadsheet import</x:v>
      </x:c>
      <x:c r="F4500" s="4" t="str">
        <x:v>Record captured</x:v>
      </x:c>
      <x:c r="G4500" s="4" t="str">
        <x:v>Reserved</x:v>
      </x:c>
    </x:row>
    <x:row r="4501" ht="34" customHeight="1">
      <x:c r="A4501" s="4" t="str">
        <x:v>RS-04500-E1</x:v>
      </x:c>
      <x:c r="B4501" s="4" t="str">
        <x:v>RS-04500</x:v>
      </x:c>
      <x:c r="C4501" s="8" t="n">
        <x:v>45555</x:v>
      </x:c>
      <x:c r="D4501" s="4" t="str">
        <x:v>Sales operations manager</x:v>
      </x:c>
      <x:c r="E4501" s="4" t="str">
        <x:v>WhatsApp transcribed</x:v>
      </x:c>
      <x:c r="F4501" s="4" t="str">
        <x:v>Record captured</x:v>
      </x:c>
      <x:c r="G4501" s="4" t="str">
        <x:v>Agreement signed</x:v>
      </x:c>
    </x:row>
    <x:row r="4502" ht="34" customHeight="1">
      <x:c r="A4502" s="4" t="str">
        <x:v>RS-04501-E1</x:v>
      </x:c>
      <x:c r="B4502" s="4" t="str">
        <x:v>RS-04501</x:v>
      </x:c>
      <x:c r="C4502" s="8" t="n">
        <x:v>45586</x:v>
      </x:c>
      <x:c r="D4502" s="4" t="str">
        <x:v>Sales operations manager</x:v>
      </x:c>
      <x:c r="E4502" s="4" t="str">
        <x:v>ERP form</x:v>
      </x:c>
      <x:c r="F4502" s="4" t="str">
        <x:v>Record captured</x:v>
      </x:c>
      <x:c r="G4502" s="4" t="str">
        <x:v>Reserved</x:v>
      </x:c>
    </x:row>
    <x:row r="4503" ht="34" customHeight="1">
      <x:c r="A4503" s="4" t="str">
        <x:v>RS-04502-E1</x:v>
      </x:c>
      <x:c r="B4503" s="4" t="str">
        <x:v>RS-04502</x:v>
      </x:c>
      <x:c r="C4503" s="8" t="n">
        <x:v>45587</x:v>
      </x:c>
      <x:c r="D4503" s="4" t="str">
        <x:v>Sales operations manager</x:v>
      </x:c>
      <x:c r="E4503" s="4" t="str">
        <x:v>WhatsApp transcribed</x:v>
      </x:c>
      <x:c r="F4503" s="4" t="str">
        <x:v>Record captured</x:v>
      </x:c>
      <x:c r="G4503" s="4" t="str">
        <x:v>Reserved</x:v>
      </x:c>
    </x:row>
    <x:row r="4504" ht="34" customHeight="1">
      <x:c r="A4504" s="4" t="str">
        <x:v>RS-04503-E1</x:v>
      </x:c>
      <x:c r="B4504" s="4" t="str">
        <x:v>RS-04503</x:v>
      </x:c>
      <x:c r="C4504" s="8" t="n">
        <x:v>45588</x:v>
      </x:c>
      <x:c r="D4504" s="4" t="str">
        <x:v>Sales operations manager</x:v>
      </x:c>
      <x:c r="E4504" s="4" t="str">
        <x:v>Spreadsheet import</x:v>
      </x:c>
      <x:c r="F4504" s="4" t="str">
        <x:v>Record captured</x:v>
      </x:c>
      <x:c r="G4504" s="4" t="str">
        <x:v>Cancelled</x:v>
      </x:c>
    </x:row>
    <x:row r="4505" ht="34" customHeight="1">
      <x:c r="A4505" s="4" t="str">
        <x:v>RS-04504-E1</x:v>
      </x:c>
      <x:c r="B4505" s="4" t="str">
        <x:v>RS-04504</x:v>
      </x:c>
      <x:c r="C4505" s="8" t="n">
        <x:v>45589</x:v>
      </x:c>
      <x:c r="D4505" s="4" t="str">
        <x:v>Sales operations manager</x:v>
      </x:c>
      <x:c r="E4505" s="4" t="str">
        <x:v>WhatsApp transcribed</x:v>
      </x:c>
      <x:c r="F4505" s="4" t="str">
        <x:v>Record captured</x:v>
      </x:c>
      <x:c r="G4505" s="4" t="str">
        <x:v>Cancelled</x:v>
      </x:c>
    </x:row>
    <x:row r="4506" ht="34" customHeight="1">
      <x:c r="A4506" s="4" t="str">
        <x:v>RS-04505-E1</x:v>
      </x:c>
      <x:c r="B4506" s="4" t="str">
        <x:v>RS-04505</x:v>
      </x:c>
      <x:c r="C4506" s="8" t="n">
        <x:v>45590</x:v>
      </x:c>
      <x:c r="D4506" s="4" t="str">
        <x:v>Sales operations manager</x:v>
      </x:c>
      <x:c r="E4506" s="4" t="str">
        <x:v>Spreadsheet import</x:v>
      </x:c>
      <x:c r="F4506" s="4" t="str">
        <x:v>Record captured</x:v>
      </x:c>
      <x:c r="G4506" s="4" t="str">
        <x:v>Reserved</x:v>
      </x:c>
    </x:row>
    <x:row r="4507" ht="34" customHeight="1">
      <x:c r="A4507" s="4" t="str">
        <x:v>RS-04506-E1</x:v>
      </x:c>
      <x:c r="B4507" s="4" t="str">
        <x:v>RS-04506</x:v>
      </x:c>
      <x:c r="C4507" s="8" t="n">
        <x:v>45591</x:v>
      </x:c>
      <x:c r="D4507" s="4" t="str">
        <x:v>Sales operations manager</x:v>
      </x:c>
      <x:c r="E4507" s="4" t="str">
        <x:v>Paper transcribed</x:v>
      </x:c>
      <x:c r="F4507" s="4" t="str">
        <x:v>Record captured</x:v>
      </x:c>
      <x:c r="G4507" s="4" t="str">
        <x:v>Booked</x:v>
      </x:c>
    </x:row>
    <x:row r="4508" ht="34" customHeight="1">
      <x:c r="A4508" s="4" t="str">
        <x:v>RS-04507-E1</x:v>
      </x:c>
      <x:c r="B4508" s="4" t="str">
        <x:v>RS-04507</x:v>
      </x:c>
      <x:c r="C4508" s="8" t="n">
        <x:v>45592</x:v>
      </x:c>
      <x:c r="D4508" s="4" t="str">
        <x:v>Sales operations manager</x:v>
      </x:c>
      <x:c r="E4508" s="4" t="str">
        <x:v>ERP form</x:v>
      </x:c>
      <x:c r="F4508" s="4" t="str">
        <x:v>Record captured</x:v>
      </x:c>
      <x:c r="G4508" s="4" t="str">
        <x:v>Booked</x:v>
      </x:c>
    </x:row>
    <x:row r="4509" ht="34" customHeight="1">
      <x:c r="A4509" s="4" t="str">
        <x:v>RS-04508-E1</x:v>
      </x:c>
      <x:c r="B4509" s="4" t="str">
        <x:v>RS-04508</x:v>
      </x:c>
      <x:c r="C4509" s="8" t="n">
        <x:v>45593</x:v>
      </x:c>
      <x:c r="D4509" s="4" t="str">
        <x:v>Sales operations manager</x:v>
      </x:c>
      <x:c r="E4509" s="4" t="str">
        <x:v>Paper transcribed</x:v>
      </x:c>
      <x:c r="F4509" s="4" t="str">
        <x:v>Record captured</x:v>
      </x:c>
      <x:c r="G4509" s="4" t="str">
        <x:v>Booked</x:v>
      </x:c>
    </x:row>
    <x:row r="4510" ht="34" customHeight="1">
      <x:c r="A4510" s="4" t="str">
        <x:v>RS-04509-E1</x:v>
      </x:c>
      <x:c r="B4510" s="4" t="str">
        <x:v>RS-04509</x:v>
      </x:c>
      <x:c r="C4510" s="8" t="n">
        <x:v>45566</x:v>
      </x:c>
      <x:c r="D4510" s="4" t="str">
        <x:v>Sales operations manager</x:v>
      </x:c>
      <x:c r="E4510" s="4" t="str">
        <x:v>WhatsApp transcribed</x:v>
      </x:c>
      <x:c r="F4510" s="4" t="str">
        <x:v>Record captured</x:v>
      </x:c>
      <x:c r="G4510" s="4" t="str">
        <x:v>Cancelled</x:v>
      </x:c>
    </x:row>
    <x:row r="4511" ht="34" customHeight="1">
      <x:c r="A4511" s="4" t="str">
        <x:v>RS-04510-E1</x:v>
      </x:c>
      <x:c r="B4511" s="4" t="str">
        <x:v>RS-04510</x:v>
      </x:c>
      <x:c r="C4511" s="8" t="n">
        <x:v>45567</x:v>
      </x:c>
      <x:c r="D4511" s="4" t="str">
        <x:v>Sales operations manager</x:v>
      </x:c>
      <x:c r="E4511" s="4" t="str">
        <x:v>Paper transcribed</x:v>
      </x:c>
      <x:c r="F4511" s="4" t="str">
        <x:v>Record captured</x:v>
      </x:c>
      <x:c r="G4511" s="4" t="str">
        <x:v>Handed over</x:v>
      </x:c>
    </x:row>
    <x:row r="4512" ht="34" customHeight="1">
      <x:c r="A4512" s="4" t="str">
        <x:v>RS-04511-E1</x:v>
      </x:c>
      <x:c r="B4512" s="4" t="str">
        <x:v>RS-04511</x:v>
      </x:c>
      <x:c r="C4512" s="8" t="n">
        <x:v>45568</x:v>
      </x:c>
      <x:c r="D4512" s="4" t="str">
        <x:v>Sales operations manager</x:v>
      </x:c>
      <x:c r="E4512" s="4" t="str">
        <x:v>ERP form</x:v>
      </x:c>
      <x:c r="F4512" s="4" t="str">
        <x:v>Record captured</x:v>
      </x:c>
      <x:c r="G4512" s="4" t="str">
        <x:v>Agreement signed</x:v>
      </x:c>
    </x:row>
    <x:row r="4513" ht="34" customHeight="1">
      <x:c r="A4513" s="4" t="str">
        <x:v>RS-04512-E1</x:v>
      </x:c>
      <x:c r="B4513" s="4" t="str">
        <x:v>RS-04512</x:v>
      </x:c>
      <x:c r="C4513" s="8" t="n">
        <x:v>45569</x:v>
      </x:c>
      <x:c r="D4513" s="4" t="str">
        <x:v>Sales operations manager</x:v>
      </x:c>
      <x:c r="E4513" s="4" t="str">
        <x:v>ERP form</x:v>
      </x:c>
      <x:c r="F4513" s="4" t="str">
        <x:v>Record captured</x:v>
      </x:c>
      <x:c r="G4513" s="4" t="str">
        <x:v>Handed over</x:v>
      </x:c>
    </x:row>
    <x:row r="4514" ht="34" customHeight="1">
      <x:c r="A4514" s="4" t="str">
        <x:v>RS-04513-E1</x:v>
      </x:c>
      <x:c r="B4514" s="4" t="str">
        <x:v>RS-04513</x:v>
      </x:c>
      <x:c r="C4514" s="8" t="n">
        <x:v>45570</x:v>
      </x:c>
      <x:c r="D4514" s="4" t="str">
        <x:v>Sales operations manager</x:v>
      </x:c>
      <x:c r="E4514" s="4" t="str">
        <x:v>ERP form</x:v>
      </x:c>
      <x:c r="F4514" s="4" t="str">
        <x:v>Record captured</x:v>
      </x:c>
      <x:c r="G4514" s="4" t="str">
        <x:v>Enquiry</x:v>
      </x:c>
    </x:row>
    <x:row r="4515" ht="34" customHeight="1">
      <x:c r="A4515" s="4" t="str">
        <x:v>RS-04514-E1</x:v>
      </x:c>
      <x:c r="B4515" s="4" t="str">
        <x:v>RS-04514</x:v>
      </x:c>
      <x:c r="C4515" s="8" t="n">
        <x:v>45571</x:v>
      </x:c>
      <x:c r="D4515" s="4" t="str">
        <x:v>Sales operations manager</x:v>
      </x:c>
      <x:c r="E4515" s="4" t="str">
        <x:v>ERP form</x:v>
      </x:c>
      <x:c r="F4515" s="4" t="str">
        <x:v>Record captured</x:v>
      </x:c>
      <x:c r="G4515" s="4" t="str">
        <x:v>Booked</x:v>
      </x:c>
    </x:row>
    <x:row r="4516" ht="34" customHeight="1">
      <x:c r="A4516" s="4" t="str">
        <x:v>RS-04515-E1</x:v>
      </x:c>
      <x:c r="B4516" s="4" t="str">
        <x:v>RS-04515</x:v>
      </x:c>
      <x:c r="C4516" s="8" t="n">
        <x:v>45572</x:v>
      </x:c>
      <x:c r="D4516" s="4" t="str">
        <x:v>Sales operations manager</x:v>
      </x:c>
      <x:c r="E4516" s="4" t="str">
        <x:v>ERP form</x:v>
      </x:c>
      <x:c r="F4516" s="4" t="str">
        <x:v>Record captured</x:v>
      </x:c>
      <x:c r="G4516" s="4" t="str">
        <x:v>Booked</x:v>
      </x:c>
    </x:row>
    <x:row r="4517" ht="34" customHeight="1">
      <x:c r="A4517" s="4" t="str">
        <x:v>RS-04516-E1</x:v>
      </x:c>
      <x:c r="B4517" s="4" t="str">
        <x:v>RS-04516</x:v>
      </x:c>
      <x:c r="C4517" s="8" t="n">
        <x:v>45573</x:v>
      </x:c>
      <x:c r="D4517" s="4" t="str">
        <x:v>Sales operations manager</x:v>
      </x:c>
      <x:c r="E4517" s="4" t="str">
        <x:v>WhatsApp transcribed</x:v>
      </x:c>
      <x:c r="F4517" s="4" t="str">
        <x:v>Record captured</x:v>
      </x:c>
      <x:c r="G4517" s="4" t="str">
        <x:v>Booked</x:v>
      </x:c>
    </x:row>
    <x:row r="4518" ht="34" customHeight="1">
      <x:c r="A4518" s="4" t="str">
        <x:v>RS-04517-E1</x:v>
      </x:c>
      <x:c r="B4518" s="4" t="str">
        <x:v>RS-04517</x:v>
      </x:c>
      <x:c r="C4518" s="8" t="n">
        <x:v>45574</x:v>
      </x:c>
      <x:c r="D4518" s="4" t="str">
        <x:v>Sales operations manager</x:v>
      </x:c>
      <x:c r="E4518" s="4" t="str">
        <x:v>ERP form</x:v>
      </x:c>
      <x:c r="F4518" s="4" t="str">
        <x:v>Record captured</x:v>
      </x:c>
      <x:c r="G4518" s="4" t="str">
        <x:v>Handed over</x:v>
      </x:c>
    </x:row>
    <x:row r="4519" ht="34" customHeight="1">
      <x:c r="A4519" s="4" t="str">
        <x:v>RS-04518-E1</x:v>
      </x:c>
      <x:c r="B4519" s="4" t="str">
        <x:v>RS-04518</x:v>
      </x:c>
      <x:c r="C4519" s="8" t="n">
        <x:v>45575</x:v>
      </x:c>
      <x:c r="D4519" s="4" t="str">
        <x:v>Sales operations manager</x:v>
      </x:c>
      <x:c r="E4519" s="4" t="str">
        <x:v>Spreadsheet import</x:v>
      </x:c>
      <x:c r="F4519" s="4" t="str">
        <x:v>Record captured</x:v>
      </x:c>
      <x:c r="G4519" s="4" t="str">
        <x:v>Enquiry</x:v>
      </x:c>
    </x:row>
    <x:row r="4520" ht="34" customHeight="1">
      <x:c r="A4520" s="4" t="str">
        <x:v>RS-04519-E1</x:v>
      </x:c>
      <x:c r="B4520" s="4" t="str">
        <x:v>RS-04519</x:v>
      </x:c>
      <x:c r="C4520" s="8" t="n">
        <x:v>45576</x:v>
      </x:c>
      <x:c r="D4520" s="4" t="str">
        <x:v>Sales operations manager</x:v>
      </x:c>
      <x:c r="E4520" s="4" t="str">
        <x:v>ERP form</x:v>
      </x:c>
      <x:c r="F4520" s="4" t="str">
        <x:v>Record captured</x:v>
      </x:c>
      <x:c r="G4520" s="4" t="str">
        <x:v>Cancelled</x:v>
      </x:c>
    </x:row>
    <x:row r="4521" ht="34" customHeight="1">
      <x:c r="A4521" s="4" t="str">
        <x:v>RS-04520-E1</x:v>
      </x:c>
      <x:c r="B4521" s="4" t="str">
        <x:v>RS-04520</x:v>
      </x:c>
      <x:c r="C4521" s="8" t="n">
        <x:v>45577</x:v>
      </x:c>
      <x:c r="D4521" s="4" t="str">
        <x:v>Sales operations manager</x:v>
      </x:c>
      <x:c r="E4521" s="4" t="str">
        <x:v>Paper transcribed</x:v>
      </x:c>
      <x:c r="F4521" s="4" t="str">
        <x:v>Record captured</x:v>
      </x:c>
      <x:c r="G4521" s="4" t="str">
        <x:v>Enquiry</x:v>
      </x:c>
    </x:row>
    <x:row r="4522" ht="34" customHeight="1">
      <x:c r="A4522" s="4" t="str">
        <x:v>RS-04521-E1</x:v>
      </x:c>
      <x:c r="B4522" s="4" t="str">
        <x:v>RS-04521</x:v>
      </x:c>
      <x:c r="C4522" s="8" t="n">
        <x:v>45578</x:v>
      </x:c>
      <x:c r="D4522" s="4" t="str">
        <x:v>Sales operations manager</x:v>
      </x:c>
      <x:c r="E4522" s="4" t="str">
        <x:v>Spreadsheet import</x:v>
      </x:c>
      <x:c r="F4522" s="4" t="str">
        <x:v>Record captured</x:v>
      </x:c>
      <x:c r="G4522" s="4" t="str">
        <x:v>Cancelled</x:v>
      </x:c>
    </x:row>
    <x:row r="4523" ht="34" customHeight="1">
      <x:c r="A4523" s="4" t="str">
        <x:v>RS-04522-E1</x:v>
      </x:c>
      <x:c r="B4523" s="4" t="str">
        <x:v>RS-04522</x:v>
      </x:c>
      <x:c r="C4523" s="8" t="n">
        <x:v>45579</x:v>
      </x:c>
      <x:c r="D4523" s="4" t="str">
        <x:v>Sales operations manager</x:v>
      </x:c>
      <x:c r="E4523" s="4" t="str">
        <x:v>ERP form</x:v>
      </x:c>
      <x:c r="F4523" s="4" t="str">
        <x:v>Record captured</x:v>
      </x:c>
      <x:c r="G4523" s="4" t="str">
        <x:v>Cancelled</x:v>
      </x:c>
    </x:row>
    <x:row r="4524" ht="34" customHeight="1">
      <x:c r="A4524" s="4" t="str">
        <x:v>RS-04523-E1</x:v>
      </x:c>
      <x:c r="B4524" s="4" t="str">
        <x:v>RS-04523</x:v>
      </x:c>
      <x:c r="C4524" s="8" t="n">
        <x:v>45580</x:v>
      </x:c>
      <x:c r="D4524" s="4" t="str">
        <x:v>Sales operations manager</x:v>
      </x:c>
      <x:c r="E4524" s="4" t="str">
        <x:v>Spreadsheet import</x:v>
      </x:c>
      <x:c r="F4524" s="4" t="str">
        <x:v>Record captured</x:v>
      </x:c>
      <x:c r="G4524" s="4" t="str">
        <x:v>Cancelled</x:v>
      </x:c>
    </x:row>
    <x:row r="4525" ht="34" customHeight="1">
      <x:c r="A4525" s="4" t="str">
        <x:v>RS-04524-E1</x:v>
      </x:c>
      <x:c r="B4525" s="4" t="str">
        <x:v>RS-04524</x:v>
      </x:c>
      <x:c r="C4525" s="8" t="n">
        <x:v>45581</x:v>
      </x:c>
      <x:c r="D4525" s="4" t="str">
        <x:v>Sales operations manager</x:v>
      </x:c>
      <x:c r="E4525" s="4" t="str">
        <x:v>WhatsApp transcribed</x:v>
      </x:c>
      <x:c r="F4525" s="4" t="str">
        <x:v>Record captured</x:v>
      </x:c>
      <x:c r="G4525" s="4" t="str">
        <x:v>Handed over</x:v>
      </x:c>
    </x:row>
    <x:row r="4526" ht="34" customHeight="1">
      <x:c r="A4526" s="4" t="str">
        <x:v>RS-04525-E1</x:v>
      </x:c>
      <x:c r="B4526" s="4" t="str">
        <x:v>RS-04525</x:v>
      </x:c>
      <x:c r="C4526" s="8" t="n">
        <x:v>45582</x:v>
      </x:c>
      <x:c r="D4526" s="4" t="str">
        <x:v>Sales operations manager</x:v>
      </x:c>
      <x:c r="E4526" s="4" t="str">
        <x:v>Spreadsheet import</x:v>
      </x:c>
      <x:c r="F4526" s="4" t="str">
        <x:v>Record captured</x:v>
      </x:c>
      <x:c r="G4526" s="4" t="str">
        <x:v>Enquiry</x:v>
      </x:c>
    </x:row>
    <x:row r="4527" ht="34" customHeight="1">
      <x:c r="A4527" s="4" t="str">
        <x:v>RS-04526-E1</x:v>
      </x:c>
      <x:c r="B4527" s="4" t="str">
        <x:v>RS-04526</x:v>
      </x:c>
      <x:c r="C4527" s="8" t="n">
        <x:v>45583</x:v>
      </x:c>
      <x:c r="D4527" s="4" t="str">
        <x:v>Sales operations manager</x:v>
      </x:c>
      <x:c r="E4527" s="4" t="str">
        <x:v>Spreadsheet import</x:v>
      </x:c>
      <x:c r="F4527" s="4" t="str">
        <x:v>Record captured</x:v>
      </x:c>
      <x:c r="G4527" s="4" t="str">
        <x:v>Handed over</x:v>
      </x:c>
    </x:row>
    <x:row r="4528" ht="34" customHeight="1">
      <x:c r="A4528" s="4" t="str">
        <x:v>RS-04527-E1</x:v>
      </x:c>
      <x:c r="B4528" s="4" t="str">
        <x:v>RS-04527</x:v>
      </x:c>
      <x:c r="C4528" s="8" t="n">
        <x:v>45584</x:v>
      </x:c>
      <x:c r="D4528" s="4" t="str">
        <x:v>Sales operations manager</x:v>
      </x:c>
      <x:c r="E4528" s="4" t="str">
        <x:v>Spreadsheet import</x:v>
      </x:c>
      <x:c r="F4528" s="4" t="str">
        <x:v>Record captured</x:v>
      </x:c>
      <x:c r="G4528" s="4" t="str">
        <x:v>Agreement signed</x:v>
      </x:c>
    </x:row>
    <x:row r="4529" ht="34" customHeight="1">
      <x:c r="A4529" s="4" t="str">
        <x:v>RS-04528-E1</x:v>
      </x:c>
      <x:c r="B4529" s="4" t="str">
        <x:v>RS-04528</x:v>
      </x:c>
      <x:c r="C4529" s="8" t="n">
        <x:v>45585</x:v>
      </x:c>
      <x:c r="D4529" s="4" t="str">
        <x:v>Sales operations manager</x:v>
      </x:c>
      <x:c r="E4529" s="4" t="str">
        <x:v>Paper transcribed</x:v>
      </x:c>
      <x:c r="F4529" s="4" t="str">
        <x:v>Record captured</x:v>
      </x:c>
      <x:c r="G4529" s="4" t="str">
        <x:v>Booked</x:v>
      </x:c>
    </x:row>
    <x:row r="4530" ht="34" customHeight="1">
      <x:c r="A4530" s="4" t="str">
        <x:v>RS-04529-E1</x:v>
      </x:c>
      <x:c r="B4530" s="4" t="str">
        <x:v>RS-04529</x:v>
      </x:c>
      <x:c r="C4530" s="8" t="n">
        <x:v>45586</x:v>
      </x:c>
      <x:c r="D4530" s="4" t="str">
        <x:v>Sales operations manager</x:v>
      </x:c>
      <x:c r="E4530" s="4" t="str">
        <x:v>WhatsApp transcribed</x:v>
      </x:c>
      <x:c r="F4530" s="4" t="str">
        <x:v>Record captured</x:v>
      </x:c>
      <x:c r="G4530" s="4" t="str">
        <x:v>Enquiry</x:v>
      </x:c>
    </x:row>
    <x:row r="4531" ht="34" customHeight="1">
      <x:c r="A4531" s="4" t="str">
        <x:v>RS-04530-E1</x:v>
      </x:c>
      <x:c r="B4531" s="4" t="str">
        <x:v>RS-04530</x:v>
      </x:c>
      <x:c r="C4531" s="8" t="n">
        <x:v>45587</x:v>
      </x:c>
      <x:c r="D4531" s="4" t="str">
        <x:v>Sales operations manager</x:v>
      </x:c>
      <x:c r="E4531" s="4" t="str">
        <x:v>Spreadsheet import</x:v>
      </x:c>
      <x:c r="F4531" s="4" t="str">
        <x:v>Record captured</x:v>
      </x:c>
      <x:c r="G4531" s="4" t="str">
        <x:v>Handed over</x:v>
      </x:c>
    </x:row>
    <x:row r="4532" ht="34" customHeight="1">
      <x:c r="A4532" s="4" t="str">
        <x:v>RS-04531-E1</x:v>
      </x:c>
      <x:c r="B4532" s="4" t="str">
        <x:v>RS-04531</x:v>
      </x:c>
      <x:c r="C4532" s="8" t="n">
        <x:v>45588</x:v>
      </x:c>
      <x:c r="D4532" s="4" t="str">
        <x:v>Sales operations manager</x:v>
      </x:c>
      <x:c r="E4532" s="4" t="str">
        <x:v>Spreadsheet import</x:v>
      </x:c>
      <x:c r="F4532" s="4" t="str">
        <x:v>Record captured</x:v>
      </x:c>
      <x:c r="G4532" s="4" t="str">
        <x:v>Cancelled</x:v>
      </x:c>
    </x:row>
    <x:row r="4533" ht="34" customHeight="1">
      <x:c r="A4533" s="4" t="str">
        <x:v>RS-04532-E1</x:v>
      </x:c>
      <x:c r="B4533" s="4" t="str">
        <x:v>RS-04532</x:v>
      </x:c>
      <x:c r="C4533" s="8" t="n">
        <x:v>45589</x:v>
      </x:c>
      <x:c r="D4533" s="4" t="str">
        <x:v>Sales operations manager</x:v>
      </x:c>
      <x:c r="E4533" s="4" t="str">
        <x:v>WhatsApp transcribed</x:v>
      </x:c>
      <x:c r="F4533" s="4" t="str">
        <x:v>Record captured</x:v>
      </x:c>
      <x:c r="G4533" s="4" t="str">
        <x:v>Cancelled</x:v>
      </x:c>
    </x:row>
    <x:row r="4534" ht="34" customHeight="1">
      <x:c r="A4534" s="4" t="str">
        <x:v>RS-04533-E1</x:v>
      </x:c>
      <x:c r="B4534" s="4" t="str">
        <x:v>RS-04533</x:v>
      </x:c>
      <x:c r="C4534" s="8" t="n">
        <x:v>45590</x:v>
      </x:c>
      <x:c r="D4534" s="4" t="str">
        <x:v>Sales operations manager</x:v>
      </x:c>
      <x:c r="E4534" s="4" t="str">
        <x:v>Spreadsheet import</x:v>
      </x:c>
      <x:c r="F4534" s="4" t="str">
        <x:v>Record captured</x:v>
      </x:c>
      <x:c r="G4534" s="4" t="str">
        <x:v>Agreement signed</x:v>
      </x:c>
    </x:row>
    <x:row r="4535" ht="34" customHeight="1">
      <x:c r="A4535" s="4" t="str">
        <x:v>RS-04534-E1</x:v>
      </x:c>
      <x:c r="B4535" s="4" t="str">
        <x:v>RS-04534</x:v>
      </x:c>
      <x:c r="C4535" s="8" t="n">
        <x:v>45591</x:v>
      </x:c>
      <x:c r="D4535" s="4" t="str">
        <x:v>Sales operations manager</x:v>
      </x:c>
      <x:c r="E4535" s="4" t="str">
        <x:v>Paper transcribed</x:v>
      </x:c>
      <x:c r="F4535" s="4" t="str">
        <x:v>Record captured</x:v>
      </x:c>
      <x:c r="G4535" s="4" t="str">
        <x:v>Enquiry</x:v>
      </x:c>
    </x:row>
    <x:row r="4536" ht="34" customHeight="1">
      <x:c r="A4536" s="4" t="str">
        <x:v>RS-04535-E1</x:v>
      </x:c>
      <x:c r="B4536" s="4" t="str">
        <x:v>RS-04535</x:v>
      </x:c>
      <x:c r="C4536" s="8" t="n">
        <x:v>45592</x:v>
      </x:c>
      <x:c r="D4536" s="4" t="str">
        <x:v>Sales operations manager</x:v>
      </x:c>
      <x:c r="E4536" s="4" t="str">
        <x:v>Paper transcribed</x:v>
      </x:c>
      <x:c r="F4536" s="4" t="str">
        <x:v>Record captured</x:v>
      </x:c>
      <x:c r="G4536" s="4" t="str">
        <x:v>Enquiry</x:v>
      </x:c>
    </x:row>
    <x:row r="4537" ht="34" customHeight="1">
      <x:c r="A4537" s="4" t="str">
        <x:v>RS-04536-E1</x:v>
      </x:c>
      <x:c r="B4537" s="4" t="str">
        <x:v>RS-04536</x:v>
      </x:c>
      <x:c r="C4537" s="8" t="n">
        <x:v>45593</x:v>
      </x:c>
      <x:c r="D4537" s="4" t="str">
        <x:v>Sales operations manager</x:v>
      </x:c>
      <x:c r="E4537" s="4" t="str">
        <x:v>ERP form</x:v>
      </x:c>
      <x:c r="F4537" s="4" t="str">
        <x:v>Record captured</x:v>
      </x:c>
      <x:c r="G4537" s="4" t="str">
        <x:v>Handed over</x:v>
      </x:c>
    </x:row>
    <x:row r="4538" ht="34" customHeight="1">
      <x:c r="A4538" s="4" t="str">
        <x:v>RS-04537-E1</x:v>
      </x:c>
      <x:c r="B4538" s="4" t="str">
        <x:v>RS-04537</x:v>
      </x:c>
      <x:c r="C4538" s="8" t="n">
        <x:v>45566</x:v>
      </x:c>
      <x:c r="D4538" s="4" t="str">
        <x:v>Sales operations manager</x:v>
      </x:c>
      <x:c r="E4538" s="4" t="str">
        <x:v>Paper transcribed</x:v>
      </x:c>
      <x:c r="F4538" s="4" t="str">
        <x:v>Record captured</x:v>
      </x:c>
      <x:c r="G4538" s="4" t="str">
        <x:v>Handed over</x:v>
      </x:c>
    </x:row>
    <x:row r="4539" ht="34" customHeight="1">
      <x:c r="A4539" s="4" t="str">
        <x:v>RS-04538-E1</x:v>
      </x:c>
      <x:c r="B4539" s="4" t="str">
        <x:v>RS-04538</x:v>
      </x:c>
      <x:c r="C4539" s="8" t="n">
        <x:v>45567</x:v>
      </x:c>
      <x:c r="D4539" s="4" t="str">
        <x:v>Sales operations manager</x:v>
      </x:c>
      <x:c r="E4539" s="4" t="str">
        <x:v>Spreadsheet import</x:v>
      </x:c>
      <x:c r="F4539" s="4" t="str">
        <x:v>Record captured</x:v>
      </x:c>
      <x:c r="G4539" s="4" t="str">
        <x:v>Handed over</x:v>
      </x:c>
    </x:row>
    <x:row r="4540" ht="34" customHeight="1">
      <x:c r="A4540" s="4" t="str">
        <x:v>RS-04539-E1</x:v>
      </x:c>
      <x:c r="B4540" s="4" t="str">
        <x:v>RS-04539</x:v>
      </x:c>
      <x:c r="C4540" s="8" t="n">
        <x:v>45568</x:v>
      </x:c>
      <x:c r="D4540" s="4" t="str">
        <x:v>Sales operations manager</x:v>
      </x:c>
      <x:c r="E4540" s="4" t="str">
        <x:v>Paper transcribed</x:v>
      </x:c>
      <x:c r="F4540" s="4" t="str">
        <x:v>Record captured</x:v>
      </x:c>
      <x:c r="G4540" s="4" t="str">
        <x:v>Cancelled</x:v>
      </x:c>
    </x:row>
    <x:row r="4541" ht="34" customHeight="1">
      <x:c r="A4541" s="4" t="str">
        <x:v>RS-04540-E1</x:v>
      </x:c>
      <x:c r="B4541" s="4" t="str">
        <x:v>RS-04540</x:v>
      </x:c>
      <x:c r="C4541" s="8" t="n">
        <x:v>45569</x:v>
      </x:c>
      <x:c r="D4541" s="4" t="str">
        <x:v>Sales operations manager</x:v>
      </x:c>
      <x:c r="E4541" s="4" t="str">
        <x:v>Spreadsheet import</x:v>
      </x:c>
      <x:c r="F4541" s="4" t="str">
        <x:v>Record captured</x:v>
      </x:c>
      <x:c r="G4541" s="4" t="str">
        <x:v>Booked</x:v>
      </x:c>
    </x:row>
    <x:row r="4542" ht="34" customHeight="1">
      <x:c r="A4542" s="4" t="str">
        <x:v>RS-04541-E1</x:v>
      </x:c>
      <x:c r="B4542" s="4" t="str">
        <x:v>RS-04541</x:v>
      </x:c>
      <x:c r="C4542" s="8" t="n">
        <x:v>45570</x:v>
      </x:c>
      <x:c r="D4542" s="4" t="str">
        <x:v>Sales operations manager</x:v>
      </x:c>
      <x:c r="E4542" s="4" t="str">
        <x:v>Paper transcribed</x:v>
      </x:c>
      <x:c r="F4542" s="4" t="str">
        <x:v>Record captured</x:v>
      </x:c>
      <x:c r="G4542" s="4" t="str">
        <x:v>Handed over</x:v>
      </x:c>
    </x:row>
    <x:row r="4543" ht="34" customHeight="1">
      <x:c r="A4543" s="4" t="str">
        <x:v>RS-04542-E1</x:v>
      </x:c>
      <x:c r="B4543" s="4" t="str">
        <x:v>RS-04542</x:v>
      </x:c>
      <x:c r="C4543" s="8" t="n">
        <x:v>45571</x:v>
      </x:c>
      <x:c r="D4543" s="4" t="str">
        <x:v>Sales operations manager</x:v>
      </x:c>
      <x:c r="E4543" s="4" t="str">
        <x:v>WhatsApp transcribed</x:v>
      </x:c>
      <x:c r="F4543" s="4" t="str">
        <x:v>Record captured</x:v>
      </x:c>
      <x:c r="G4543" s="4" t="str">
        <x:v>Agreement signed</x:v>
      </x:c>
    </x:row>
    <x:row r="4544" ht="34" customHeight="1">
      <x:c r="A4544" s="4" t="str">
        <x:v>RS-04543-E1</x:v>
      </x:c>
      <x:c r="B4544" s="4" t="str">
        <x:v>RS-04543</x:v>
      </x:c>
      <x:c r="C4544" s="8" t="n">
        <x:v>45572</x:v>
      </x:c>
      <x:c r="D4544" s="4" t="str">
        <x:v>Sales operations manager</x:v>
      </x:c>
      <x:c r="E4544" s="4" t="str">
        <x:v>Spreadsheet import</x:v>
      </x:c>
      <x:c r="F4544" s="4" t="str">
        <x:v>Record captured</x:v>
      </x:c>
      <x:c r="G4544" s="4" t="str">
        <x:v>Handed over</x:v>
      </x:c>
    </x:row>
    <x:row r="4545" ht="34" customHeight="1">
      <x:c r="A4545" s="4" t="str">
        <x:v>RS-04544-E1</x:v>
      </x:c>
      <x:c r="B4545" s="4" t="str">
        <x:v>RS-04544</x:v>
      </x:c>
      <x:c r="C4545" s="8" t="n">
        <x:v>45573</x:v>
      </x:c>
      <x:c r="D4545" s="4" t="str">
        <x:v>Sales operations manager</x:v>
      </x:c>
      <x:c r="E4545" s="4" t="str">
        <x:v>WhatsApp transcribed</x:v>
      </x:c>
      <x:c r="F4545" s="4" t="str">
        <x:v>Record captured</x:v>
      </x:c>
      <x:c r="G4545" s="4" t="str">
        <x:v>Reserved</x:v>
      </x:c>
    </x:row>
    <x:row r="4546" ht="34" customHeight="1">
      <x:c r="A4546" s="4" t="str">
        <x:v>RS-04545-E1</x:v>
      </x:c>
      <x:c r="B4546" s="4" t="str">
        <x:v>RS-04545</x:v>
      </x:c>
      <x:c r="C4546" s="8" t="n">
        <x:v>45574</x:v>
      </x:c>
      <x:c r="D4546" s="4" t="str">
        <x:v>Sales operations manager</x:v>
      </x:c>
      <x:c r="E4546" s="4" t="str">
        <x:v>ERP form</x:v>
      </x:c>
      <x:c r="F4546" s="4" t="str">
        <x:v>Record captured</x:v>
      </x:c>
      <x:c r="G4546" s="4" t="str">
        <x:v>Handed over</x:v>
      </x:c>
    </x:row>
    <x:row r="4547" ht="34" customHeight="1">
      <x:c r="A4547" s="4" t="str">
        <x:v>RS-04546-E1</x:v>
      </x:c>
      <x:c r="B4547" s="4" t="str">
        <x:v>RS-04546</x:v>
      </x:c>
      <x:c r="C4547" s="8" t="n">
        <x:v>45575</x:v>
      </x:c>
      <x:c r="D4547" s="4" t="str">
        <x:v>Sales operations manager</x:v>
      </x:c>
      <x:c r="E4547" s="4" t="str">
        <x:v>Spreadsheet import</x:v>
      </x:c>
      <x:c r="F4547" s="4" t="str">
        <x:v>Record captured</x:v>
      </x:c>
      <x:c r="G4547" s="4" t="str">
        <x:v>Booked</x:v>
      </x:c>
    </x:row>
    <x:row r="4548" ht="34" customHeight="1">
      <x:c r="A4548" s="4" t="str">
        <x:v>RS-04547-E1</x:v>
      </x:c>
      <x:c r="B4548" s="4" t="str">
        <x:v>RS-04547</x:v>
      </x:c>
      <x:c r="C4548" s="8" t="n">
        <x:v>45576</x:v>
      </x:c>
      <x:c r="D4548" s="4" t="str">
        <x:v>Sales operations manager</x:v>
      </x:c>
      <x:c r="E4548" s="4" t="str">
        <x:v>WhatsApp transcribed</x:v>
      </x:c>
      <x:c r="F4548" s="4" t="str">
        <x:v>Record captured</x:v>
      </x:c>
      <x:c r="G4548" s="4" t="str">
        <x:v>Agreement signed</x:v>
      </x:c>
    </x:row>
    <x:row r="4549" ht="34" customHeight="1">
      <x:c r="A4549" s="4" t="str">
        <x:v>RS-04548-E1</x:v>
      </x:c>
      <x:c r="B4549" s="4" t="str">
        <x:v>RS-04548</x:v>
      </x:c>
      <x:c r="C4549" s="8" t="n">
        <x:v>45577</x:v>
      </x:c>
      <x:c r="D4549" s="4" t="str">
        <x:v>Sales operations manager</x:v>
      </x:c>
      <x:c r="E4549" s="4" t="str">
        <x:v>WhatsApp transcribed</x:v>
      </x:c>
      <x:c r="F4549" s="4" t="str">
        <x:v>Record captured</x:v>
      </x:c>
      <x:c r="G4549" s="4" t="str">
        <x:v>Booked</x:v>
      </x:c>
    </x:row>
    <x:row r="4550" ht="34" customHeight="1">
      <x:c r="A4550" s="4" t="str">
        <x:v>RS-04549-E1</x:v>
      </x:c>
      <x:c r="B4550" s="4" t="str">
        <x:v>RS-04549</x:v>
      </x:c>
      <x:c r="C4550" s="8" t="n">
        <x:v>45578</x:v>
      </x:c>
      <x:c r="D4550" s="4" t="str">
        <x:v>Sales operations manager</x:v>
      </x:c>
      <x:c r="E4550" s="4" t="str">
        <x:v>Paper transcribed</x:v>
      </x:c>
      <x:c r="F4550" s="4" t="str">
        <x:v>Record captured</x:v>
      </x:c>
      <x:c r="G4550" s="4" t="str">
        <x:v>Handed over</x:v>
      </x:c>
    </x:row>
    <x:row r="4551" ht="34" customHeight="1">
      <x:c r="A4551" s="4" t="str">
        <x:v>RS-04550-E1</x:v>
      </x:c>
      <x:c r="B4551" s="4" t="str">
        <x:v>RS-04550</x:v>
      </x:c>
      <x:c r="C4551" s="8" t="n">
        <x:v>45579</x:v>
      </x:c>
      <x:c r="D4551" s="4" t="str">
        <x:v>Sales operations manager</x:v>
      </x:c>
      <x:c r="E4551" s="4" t="str">
        <x:v>Paper transcribed</x:v>
      </x:c>
      <x:c r="F4551" s="4" t="str">
        <x:v>Record captured</x:v>
      </x:c>
      <x:c r="G4551" s="4" t="str">
        <x:v>Agreement signed</x:v>
      </x:c>
    </x:row>
    <x:row r="4552" ht="34" customHeight="1">
      <x:c r="A4552" s="4" t="str">
        <x:v>RS-04551-E1</x:v>
      </x:c>
      <x:c r="B4552" s="4" t="str">
        <x:v>RS-04551</x:v>
      </x:c>
      <x:c r="C4552" s="8" t="n">
        <x:v>45580</x:v>
      </x:c>
      <x:c r="D4552" s="4" t="str">
        <x:v>Sales operations manager</x:v>
      </x:c>
      <x:c r="E4552" s="4" t="str">
        <x:v>ERP form</x:v>
      </x:c>
      <x:c r="F4552" s="4" t="str">
        <x:v>Record captured</x:v>
      </x:c>
      <x:c r="G4552" s="4" t="str">
        <x:v>Agreement signed</x:v>
      </x:c>
    </x:row>
    <x:row r="4553" ht="34" customHeight="1">
      <x:c r="A4553" s="4" t="str">
        <x:v>RS-04552-E1</x:v>
      </x:c>
      <x:c r="B4553" s="4" t="str">
        <x:v>RS-04552</x:v>
      </x:c>
      <x:c r="C4553" s="8" t="n">
        <x:v>45581</x:v>
      </x:c>
      <x:c r="D4553" s="4" t="str">
        <x:v>Sales operations manager</x:v>
      </x:c>
      <x:c r="E4553" s="4" t="str">
        <x:v>Spreadsheet import</x:v>
      </x:c>
      <x:c r="F4553" s="4" t="str">
        <x:v>Record captured</x:v>
      </x:c>
      <x:c r="G4553" s="4" t="str">
        <x:v>Cancelled</x:v>
      </x:c>
    </x:row>
    <x:row r="4554" ht="34" customHeight="1">
      <x:c r="A4554" s="4" t="str">
        <x:v>RS-04553-E1</x:v>
      </x:c>
      <x:c r="B4554" s="4" t="str">
        <x:v>RS-04553</x:v>
      </x:c>
      <x:c r="C4554" s="8" t="n">
        <x:v>45582</x:v>
      </x:c>
      <x:c r="D4554" s="4" t="str">
        <x:v>Sales operations manager</x:v>
      </x:c>
      <x:c r="E4554" s="4" t="str">
        <x:v>Paper transcribed</x:v>
      </x:c>
      <x:c r="F4554" s="4" t="str">
        <x:v>Record captured</x:v>
      </x:c>
      <x:c r="G4554" s="4" t="str">
        <x:v>Reserved</x:v>
      </x:c>
    </x:row>
    <x:row r="4555" ht="34" customHeight="1">
      <x:c r="A4555" s="4" t="str">
        <x:v>RS-04554-E1</x:v>
      </x:c>
      <x:c r="B4555" s="4" t="str">
        <x:v>RS-04554</x:v>
      </x:c>
      <x:c r="C4555" s="8" t="n">
        <x:v>45583</x:v>
      </x:c>
      <x:c r="D4555" s="4" t="str">
        <x:v>Sales operations manager</x:v>
      </x:c>
      <x:c r="E4555" s="4" t="str">
        <x:v>WhatsApp transcribed</x:v>
      </x:c>
      <x:c r="F4555" s="4" t="str">
        <x:v>Record captured</x:v>
      </x:c>
      <x:c r="G4555" s="4" t="str">
        <x:v>Agreement signed</x:v>
      </x:c>
    </x:row>
    <x:row r="4556" ht="34" customHeight="1">
      <x:c r="A4556" s="4" t="str">
        <x:v>RS-04555-E1</x:v>
      </x:c>
      <x:c r="B4556" s="4" t="str">
        <x:v>RS-04555</x:v>
      </x:c>
      <x:c r="C4556" s="8" t="n">
        <x:v>45584</x:v>
      </x:c>
      <x:c r="D4556" s="4" t="str">
        <x:v>Sales operations manager</x:v>
      </x:c>
      <x:c r="E4556" s="4" t="str">
        <x:v>ERP form</x:v>
      </x:c>
      <x:c r="F4556" s="4" t="str">
        <x:v>Record captured</x:v>
      </x:c>
      <x:c r="G4556" s="4" t="str">
        <x:v>Handed over</x:v>
      </x:c>
    </x:row>
    <x:row r="4557" ht="34" customHeight="1">
      <x:c r="A4557" s="4" t="str">
        <x:v>RS-04556-E1</x:v>
      </x:c>
      <x:c r="B4557" s="4" t="str">
        <x:v>RS-04556</x:v>
      </x:c>
      <x:c r="C4557" s="8" t="n">
        <x:v>45585</x:v>
      </x:c>
      <x:c r="D4557" s="4" t="str">
        <x:v>Sales operations manager</x:v>
      </x:c>
      <x:c r="E4557" s="4" t="str">
        <x:v>WhatsApp transcribed</x:v>
      </x:c>
      <x:c r="F4557" s="4" t="str">
        <x:v>Record captured</x:v>
      </x:c>
      <x:c r="G4557" s="4" t="str">
        <x:v>Reserved</x:v>
      </x:c>
    </x:row>
    <x:row r="4558" ht="34" customHeight="1">
      <x:c r="A4558" s="4" t="str">
        <x:v>RS-04557-E1</x:v>
      </x:c>
      <x:c r="B4558" s="4" t="str">
        <x:v>RS-04557</x:v>
      </x:c>
      <x:c r="C4558" s="8" t="n">
        <x:v>45586</x:v>
      </x:c>
      <x:c r="D4558" s="4" t="str">
        <x:v>Sales operations manager</x:v>
      </x:c>
      <x:c r="E4558" s="4" t="str">
        <x:v>Spreadsheet import</x:v>
      </x:c>
      <x:c r="F4558" s="4" t="str">
        <x:v>Record captured</x:v>
      </x:c>
      <x:c r="G4558" s="4" t="str">
        <x:v>Reserved</x:v>
      </x:c>
    </x:row>
    <x:row r="4559" ht="34" customHeight="1">
      <x:c r="A4559" s="4" t="str">
        <x:v>RS-04558-E1</x:v>
      </x:c>
      <x:c r="B4559" s="4" t="str">
        <x:v>RS-04558</x:v>
      </x:c>
      <x:c r="C4559" s="8" t="n">
        <x:v>45587</x:v>
      </x:c>
      <x:c r="D4559" s="4" t="str">
        <x:v>Sales operations manager</x:v>
      </x:c>
      <x:c r="E4559" s="4" t="str">
        <x:v>Paper transcribed</x:v>
      </x:c>
      <x:c r="F4559" s="4" t="str">
        <x:v>Record captured</x:v>
      </x:c>
      <x:c r="G4559" s="4" t="str">
        <x:v>Agreement signed</x:v>
      </x:c>
    </x:row>
    <x:row r="4560" ht="34" customHeight="1">
      <x:c r="A4560" s="4" t="str">
        <x:v>RS-04559-E1</x:v>
      </x:c>
      <x:c r="B4560" s="4" t="str">
        <x:v>RS-04559</x:v>
      </x:c>
      <x:c r="C4560" s="8" t="n">
        <x:v>45588</x:v>
      </x:c>
      <x:c r="D4560" s="4" t="str">
        <x:v>Sales operations manager</x:v>
      </x:c>
      <x:c r="E4560" s="4" t="str">
        <x:v>ERP form</x:v>
      </x:c>
      <x:c r="F4560" s="4" t="str">
        <x:v>Record captured</x:v>
      </x:c>
      <x:c r="G4560" s="4" t="str">
        <x:v>Agreement signed</x:v>
      </x:c>
    </x:row>
    <x:row r="4561" ht="34" customHeight="1">
      <x:c r="A4561" s="4" t="str">
        <x:v>RS-04560-E1</x:v>
      </x:c>
      <x:c r="B4561" s="4" t="str">
        <x:v>RS-04560</x:v>
      </x:c>
      <x:c r="C4561" s="8" t="n">
        <x:v>45589</x:v>
      </x:c>
      <x:c r="D4561" s="4" t="str">
        <x:v>Sales operations manager</x:v>
      </x:c>
      <x:c r="E4561" s="4" t="str">
        <x:v>ERP form</x:v>
      </x:c>
      <x:c r="F4561" s="4" t="str">
        <x:v>Record captured</x:v>
      </x:c>
      <x:c r="G4561" s="4" t="str">
        <x:v>Enquiry</x:v>
      </x:c>
    </x:row>
    <x:row r="4562" ht="34" customHeight="1">
      <x:c r="A4562" s="4" t="str">
        <x:v>RS-04561-E1</x:v>
      </x:c>
      <x:c r="B4562" s="4" t="str">
        <x:v>RS-04561</x:v>
      </x:c>
      <x:c r="C4562" s="8" t="n">
        <x:v>45590</x:v>
      </x:c>
      <x:c r="D4562" s="4" t="str">
        <x:v>Sales operations manager</x:v>
      </x:c>
      <x:c r="E4562" s="4" t="str">
        <x:v>Paper transcribed</x:v>
      </x:c>
      <x:c r="F4562" s="4" t="str">
        <x:v>Record captured</x:v>
      </x:c>
      <x:c r="G4562" s="4" t="str">
        <x:v>Agreement signed</x:v>
      </x:c>
    </x:row>
    <x:row r="4563" ht="34" customHeight="1">
      <x:c r="A4563" s="4" t="str">
        <x:v>RS-04562-E1</x:v>
      </x:c>
      <x:c r="B4563" s="4" t="str">
        <x:v>RS-04562</x:v>
      </x:c>
      <x:c r="C4563" s="8" t="n">
        <x:v>45591</x:v>
      </x:c>
      <x:c r="D4563" s="4" t="str">
        <x:v>Sales operations manager</x:v>
      </x:c>
      <x:c r="E4563" s="4" t="str">
        <x:v>WhatsApp transcribed</x:v>
      </x:c>
      <x:c r="F4563" s="4" t="str">
        <x:v>Record captured</x:v>
      </x:c>
      <x:c r="G4563" s="4" t="str">
        <x:v>Handed over</x:v>
      </x:c>
    </x:row>
    <x:row r="4564" ht="34" customHeight="1">
      <x:c r="A4564" s="4" t="str">
        <x:v>RS-04563-E1</x:v>
      </x:c>
      <x:c r="B4564" s="4" t="str">
        <x:v>RS-04563</x:v>
      </x:c>
      <x:c r="C4564" s="8" t="n">
        <x:v>45592</x:v>
      </x:c>
      <x:c r="D4564" s="4" t="str">
        <x:v>Sales operations manager</x:v>
      </x:c>
      <x:c r="E4564" s="4" t="str">
        <x:v>ERP form</x:v>
      </x:c>
      <x:c r="F4564" s="4" t="str">
        <x:v>Record captured</x:v>
      </x:c>
      <x:c r="G4564" s="4" t="str">
        <x:v>Cancelled</x:v>
      </x:c>
    </x:row>
    <x:row r="4565" ht="34" customHeight="1">
      <x:c r="A4565" s="4" t="str">
        <x:v>RS-04564-E1</x:v>
      </x:c>
      <x:c r="B4565" s="4" t="str">
        <x:v>RS-04564</x:v>
      </x:c>
      <x:c r="C4565" s="8" t="n">
        <x:v>45593</x:v>
      </x:c>
      <x:c r="D4565" s="4" t="str">
        <x:v>Sales operations manager</x:v>
      </x:c>
      <x:c r="E4565" s="4" t="str">
        <x:v>ERP form</x:v>
      </x:c>
      <x:c r="F4565" s="4" t="str">
        <x:v>Record captured</x:v>
      </x:c>
      <x:c r="G4565" s="4" t="str">
        <x:v>Cancelled</x:v>
      </x:c>
    </x:row>
    <x:row r="4566" ht="34" customHeight="1">
      <x:c r="A4566" s="4" t="str">
        <x:v>RS-04565-E1</x:v>
      </x:c>
      <x:c r="B4566" s="4" t="str">
        <x:v>RS-04565</x:v>
      </x:c>
      <x:c r="C4566" s="8" t="n">
        <x:v>45566</x:v>
      </x:c>
      <x:c r="D4566" s="4" t="str">
        <x:v>Sales operations manager</x:v>
      </x:c>
      <x:c r="E4566" s="4" t="str">
        <x:v>WhatsApp transcribed</x:v>
      </x:c>
      <x:c r="F4566" s="4" t="str">
        <x:v>Record captured</x:v>
      </x:c>
      <x:c r="G4566" s="4" t="str">
        <x:v>Enquiry</x:v>
      </x:c>
    </x:row>
    <x:row r="4567" ht="34" customHeight="1">
      <x:c r="A4567" s="4" t="str">
        <x:v>RS-04566-E1</x:v>
      </x:c>
      <x:c r="B4567" s="4" t="str">
        <x:v>RS-04566</x:v>
      </x:c>
      <x:c r="C4567" s="8" t="n">
        <x:v>45567</x:v>
      </x:c>
      <x:c r="D4567" s="4" t="str">
        <x:v>Sales operations manager</x:v>
      </x:c>
      <x:c r="E4567" s="4" t="str">
        <x:v>ERP form</x:v>
      </x:c>
      <x:c r="F4567" s="4" t="str">
        <x:v>Record captured</x:v>
      </x:c>
      <x:c r="G4567" s="4" t="str">
        <x:v>Agreement signed</x:v>
      </x:c>
    </x:row>
    <x:row r="4568" ht="34" customHeight="1">
      <x:c r="A4568" s="4" t="str">
        <x:v>RS-04567-E1</x:v>
      </x:c>
      <x:c r="B4568" s="4" t="str">
        <x:v>RS-04567</x:v>
      </x:c>
      <x:c r="C4568" s="8" t="n">
        <x:v>45568</x:v>
      </x:c>
      <x:c r="D4568" s="4" t="str">
        <x:v>Sales operations manager</x:v>
      </x:c>
      <x:c r="E4568" s="4" t="str">
        <x:v>Paper transcribed</x:v>
      </x:c>
      <x:c r="F4568" s="4" t="str">
        <x:v>Record captured</x:v>
      </x:c>
      <x:c r="G4568" s="4" t="str">
        <x:v>Cancelled</x:v>
      </x:c>
    </x:row>
    <x:row r="4569" ht="34" customHeight="1">
      <x:c r="A4569" s="4" t="str">
        <x:v>RS-04568-E1</x:v>
      </x:c>
      <x:c r="B4569" s="4" t="str">
        <x:v>RS-04568</x:v>
      </x:c>
      <x:c r="C4569" s="8" t="n">
        <x:v>45569</x:v>
      </x:c>
      <x:c r="D4569" s="4" t="str">
        <x:v>Sales operations manager</x:v>
      </x:c>
      <x:c r="E4569" s="4" t="str">
        <x:v>WhatsApp transcribed</x:v>
      </x:c>
      <x:c r="F4569" s="4" t="str">
        <x:v>Record captured</x:v>
      </x:c>
      <x:c r="G4569" s="4" t="str">
        <x:v>Cancelled</x:v>
      </x:c>
    </x:row>
    <x:row r="4570" ht="34" customHeight="1">
      <x:c r="A4570" s="4" t="str">
        <x:v>RS-04569-E1</x:v>
      </x:c>
      <x:c r="B4570" s="4" t="str">
        <x:v>RS-04569</x:v>
      </x:c>
      <x:c r="C4570" s="8" t="n">
        <x:v>45570</x:v>
      </x:c>
      <x:c r="D4570" s="4" t="str">
        <x:v>Sales operations manager</x:v>
      </x:c>
      <x:c r="E4570" s="4" t="str">
        <x:v>ERP form</x:v>
      </x:c>
      <x:c r="F4570" s="4" t="str">
        <x:v>Record captured</x:v>
      </x:c>
      <x:c r="G4570" s="4" t="str">
        <x:v>Handed over</x:v>
      </x:c>
    </x:row>
    <x:row r="4571" ht="34" customHeight="1">
      <x:c r="A4571" s="4" t="str">
        <x:v>RS-04570-E1</x:v>
      </x:c>
      <x:c r="B4571" s="4" t="str">
        <x:v>RS-04570</x:v>
      </x:c>
      <x:c r="C4571" s="8" t="n">
        <x:v>45571</x:v>
      </x:c>
      <x:c r="D4571" s="4" t="str">
        <x:v>Sales operations manager</x:v>
      </x:c>
      <x:c r="E4571" s="4" t="str">
        <x:v>ERP form</x:v>
      </x:c>
      <x:c r="F4571" s="4" t="str">
        <x:v>Record captured</x:v>
      </x:c>
      <x:c r="G4571" s="4" t="str">
        <x:v>Reserved</x:v>
      </x:c>
    </x:row>
    <x:row r="4572" ht="34" customHeight="1">
      <x:c r="A4572" s="4" t="str">
        <x:v>RS-04571-E1</x:v>
      </x:c>
      <x:c r="B4572" s="4" t="str">
        <x:v>RS-04571</x:v>
      </x:c>
      <x:c r="C4572" s="8" t="n">
        <x:v>45572</x:v>
      </x:c>
      <x:c r="D4572" s="4" t="str">
        <x:v>Sales operations manager</x:v>
      </x:c>
      <x:c r="E4572" s="4" t="str">
        <x:v>Paper transcribed</x:v>
      </x:c>
      <x:c r="F4572" s="4" t="str">
        <x:v>Record captured</x:v>
      </x:c>
      <x:c r="G4572" s="4" t="str">
        <x:v>Booked</x:v>
      </x:c>
    </x:row>
    <x:row r="4573" ht="34" customHeight="1">
      <x:c r="A4573" s="4" t="str">
        <x:v>RS-04572-E1</x:v>
      </x:c>
      <x:c r="B4573" s="4" t="str">
        <x:v>RS-04572</x:v>
      </x:c>
      <x:c r="C4573" s="8" t="n">
        <x:v>45573</x:v>
      </x:c>
      <x:c r="D4573" s="4" t="str">
        <x:v>Sales operations manager</x:v>
      </x:c>
      <x:c r="E4573" s="4" t="str">
        <x:v>Paper transcribed</x:v>
      </x:c>
      <x:c r="F4573" s="4" t="str">
        <x:v>Record captured</x:v>
      </x:c>
      <x:c r="G4573" s="4" t="str">
        <x:v>Reserved</x:v>
      </x:c>
    </x:row>
    <x:row r="4574" ht="34" customHeight="1">
      <x:c r="A4574" s="4" t="str">
        <x:v>RS-04573-E1</x:v>
      </x:c>
      <x:c r="B4574" s="4" t="str">
        <x:v>RS-04573</x:v>
      </x:c>
      <x:c r="C4574" s="8" t="n">
        <x:v>45574</x:v>
      </x:c>
      <x:c r="D4574" s="4" t="str">
        <x:v>Sales operations manager</x:v>
      </x:c>
      <x:c r="E4574" s="4" t="str">
        <x:v>ERP form</x:v>
      </x:c>
      <x:c r="F4574" s="4" t="str">
        <x:v>Record captured</x:v>
      </x:c>
      <x:c r="G4574" s="4" t="str">
        <x:v>Agreement signed</x:v>
      </x:c>
    </x:row>
    <x:row r="4575" ht="34" customHeight="1">
      <x:c r="A4575" s="4" t="str">
        <x:v>RS-04574-E1</x:v>
      </x:c>
      <x:c r="B4575" s="4" t="str">
        <x:v>RS-04574</x:v>
      </x:c>
      <x:c r="C4575" s="8" t="n">
        <x:v>45575</x:v>
      </x:c>
      <x:c r="D4575" s="4" t="str">
        <x:v>Sales operations manager</x:v>
      </x:c>
      <x:c r="E4575" s="4" t="str">
        <x:v>ERP form</x:v>
      </x:c>
      <x:c r="F4575" s="4" t="str">
        <x:v>Record captured</x:v>
      </x:c>
      <x:c r="G4575" s="4" t="str">
        <x:v>Reserved</x:v>
      </x:c>
    </x:row>
    <x:row r="4576" ht="34" customHeight="1">
      <x:c r="A4576" s="4" t="str">
        <x:v>RS-04575-E1</x:v>
      </x:c>
      <x:c r="B4576" s="4" t="str">
        <x:v>RS-04575</x:v>
      </x:c>
      <x:c r="C4576" s="8" t="n">
        <x:v>45576</x:v>
      </x:c>
      <x:c r="D4576" s="4" t="str">
        <x:v>Sales operations manager</x:v>
      </x:c>
      <x:c r="E4576" s="4" t="str">
        <x:v>Paper transcribed</x:v>
      </x:c>
      <x:c r="F4576" s="4" t="str">
        <x:v>Record captured</x:v>
      </x:c>
      <x:c r="G4576" s="4" t="str">
        <x:v>Handed over</x:v>
      </x:c>
    </x:row>
    <x:row r="4577" ht="34" customHeight="1">
      <x:c r="A4577" s="4" t="str">
        <x:v>RS-04576-E1</x:v>
      </x:c>
      <x:c r="B4577" s="4" t="str">
        <x:v>RS-04576</x:v>
      </x:c>
      <x:c r="C4577" s="8" t="n">
        <x:v>45577</x:v>
      </x:c>
      <x:c r="D4577" s="4" t="str">
        <x:v>Sales operations manager</x:v>
      </x:c>
      <x:c r="E4577" s="4" t="str">
        <x:v>Spreadsheet import</x:v>
      </x:c>
      <x:c r="F4577" s="4" t="str">
        <x:v>Record captured</x:v>
      </x:c>
      <x:c r="G4577" s="4" t="str">
        <x:v>Cancelled</x:v>
      </x:c>
    </x:row>
    <x:row r="4578" ht="34" customHeight="1">
      <x:c r="A4578" s="4" t="str">
        <x:v>RS-04577-E1</x:v>
      </x:c>
      <x:c r="B4578" s="4" t="str">
        <x:v>RS-04577</x:v>
      </x:c>
      <x:c r="C4578" s="8" t="n">
        <x:v>45578</x:v>
      </x:c>
      <x:c r="D4578" s="4" t="str">
        <x:v>Sales operations manager</x:v>
      </x:c>
      <x:c r="E4578" s="4" t="str">
        <x:v>Spreadsheet import</x:v>
      </x:c>
      <x:c r="F4578" s="4" t="str">
        <x:v>Record captured</x:v>
      </x:c>
      <x:c r="G4578" s="4" t="str">
        <x:v>Handed over</x:v>
      </x:c>
    </x:row>
    <x:row r="4579" ht="34" customHeight="1">
      <x:c r="A4579" s="4" t="str">
        <x:v>RS-04578-E1</x:v>
      </x:c>
      <x:c r="B4579" s="4" t="str">
        <x:v>RS-04578</x:v>
      </x:c>
      <x:c r="C4579" s="8" t="n">
        <x:v>45579</x:v>
      </x:c>
      <x:c r="D4579" s="4" t="str">
        <x:v>Sales operations manager</x:v>
      </x:c>
      <x:c r="E4579" s="4" t="str">
        <x:v>ERP form</x:v>
      </x:c>
      <x:c r="F4579" s="4" t="str">
        <x:v>Record captured</x:v>
      </x:c>
      <x:c r="G4579" s="4" t="str">
        <x:v>Reserved</x:v>
      </x:c>
    </x:row>
    <x:row r="4580" ht="34" customHeight="1">
      <x:c r="A4580" s="4" t="str">
        <x:v>RS-04579-E1</x:v>
      </x:c>
      <x:c r="B4580" s="4" t="str">
        <x:v>RS-04579</x:v>
      </x:c>
      <x:c r="C4580" s="8" t="n">
        <x:v>45580</x:v>
      </x:c>
      <x:c r="D4580" s="4" t="str">
        <x:v>Sales operations manager</x:v>
      </x:c>
      <x:c r="E4580" s="4" t="str">
        <x:v>ERP form</x:v>
      </x:c>
      <x:c r="F4580" s="4" t="str">
        <x:v>Record captured</x:v>
      </x:c>
      <x:c r="G4580" s="4" t="str">
        <x:v>Handed over</x:v>
      </x:c>
    </x:row>
    <x:row r="4581" ht="34" customHeight="1">
      <x:c r="A4581" s="4" t="str">
        <x:v>RS-04580-E1</x:v>
      </x:c>
      <x:c r="B4581" s="4" t="str">
        <x:v>RS-04580</x:v>
      </x:c>
      <x:c r="C4581" s="8" t="n">
        <x:v>45581</x:v>
      </x:c>
      <x:c r="D4581" s="4" t="str">
        <x:v>Sales operations manager</x:v>
      </x:c>
      <x:c r="E4581" s="4" t="str">
        <x:v>WhatsApp transcribed</x:v>
      </x:c>
      <x:c r="F4581" s="4" t="str">
        <x:v>Record captured</x:v>
      </x:c>
      <x:c r="G4581" s="4" t="str">
        <x:v>Enquiry</x:v>
      </x:c>
    </x:row>
    <x:row r="4582" ht="34" customHeight="1">
      <x:c r="A4582" s="4" t="str">
        <x:v>RS-04581-E1</x:v>
      </x:c>
      <x:c r="B4582" s="4" t="str">
        <x:v>RS-04581</x:v>
      </x:c>
      <x:c r="C4582" s="8" t="n">
        <x:v>45582</x:v>
      </x:c>
      <x:c r="D4582" s="4" t="str">
        <x:v>Sales operations manager</x:v>
      </x:c>
      <x:c r="E4582" s="4" t="str">
        <x:v>Paper transcribed</x:v>
      </x:c>
      <x:c r="F4582" s="4" t="str">
        <x:v>Record captured</x:v>
      </x:c>
      <x:c r="G4582" s="4" t="str">
        <x:v>Cancelled</x:v>
      </x:c>
    </x:row>
    <x:row r="4583" ht="34" customHeight="1">
      <x:c r="A4583" s="4" t="str">
        <x:v>RS-04582-E1</x:v>
      </x:c>
      <x:c r="B4583" s="4" t="str">
        <x:v>RS-04582</x:v>
      </x:c>
      <x:c r="C4583" s="8" t="n">
        <x:v>45583</x:v>
      </x:c>
      <x:c r="D4583" s="4" t="str">
        <x:v>Sales operations manager</x:v>
      </x:c>
      <x:c r="E4583" s="4" t="str">
        <x:v>Spreadsheet import</x:v>
      </x:c>
      <x:c r="F4583" s="4" t="str">
        <x:v>Record captured</x:v>
      </x:c>
      <x:c r="G4583" s="4" t="str">
        <x:v>Cancelled</x:v>
      </x:c>
    </x:row>
    <x:row r="4584" ht="34" customHeight="1">
      <x:c r="A4584" s="4" t="str">
        <x:v>RS-04583-E1</x:v>
      </x:c>
      <x:c r="B4584" s="4" t="str">
        <x:v>RS-04583</x:v>
      </x:c>
      <x:c r="C4584" s="8" t="n">
        <x:v>45584</x:v>
      </x:c>
      <x:c r="D4584" s="4" t="str">
        <x:v>Sales operations manager</x:v>
      </x:c>
      <x:c r="E4584" s="4" t="str">
        <x:v>Paper transcribed</x:v>
      </x:c>
      <x:c r="F4584" s="4" t="str">
        <x:v>Record captured</x:v>
      </x:c>
      <x:c r="G4584" s="4" t="str">
        <x:v>Booked</x:v>
      </x:c>
    </x:row>
    <x:row r="4585" ht="34" customHeight="1">
      <x:c r="A4585" s="4" t="str">
        <x:v>RS-04584-E1</x:v>
      </x:c>
      <x:c r="B4585" s="4" t="str">
        <x:v>RS-04584</x:v>
      </x:c>
      <x:c r="C4585" s="8" t="n">
        <x:v>45585</x:v>
      </x:c>
      <x:c r="D4585" s="4" t="str">
        <x:v>Sales operations manager</x:v>
      </x:c>
      <x:c r="E4585" s="4" t="str">
        <x:v>ERP form</x:v>
      </x:c>
      <x:c r="F4585" s="4" t="str">
        <x:v>Record captured</x:v>
      </x:c>
      <x:c r="G4585" s="4" t="str">
        <x:v>Reserved</x:v>
      </x:c>
    </x:row>
    <x:row r="4586" ht="34" customHeight="1">
      <x:c r="A4586" s="4" t="str">
        <x:v>RS-04585-E1</x:v>
      </x:c>
      <x:c r="B4586" s="4" t="str">
        <x:v>RS-04585</x:v>
      </x:c>
      <x:c r="C4586" s="8" t="n">
        <x:v>45586</x:v>
      </x:c>
      <x:c r="D4586" s="4" t="str">
        <x:v>Sales operations manager</x:v>
      </x:c>
      <x:c r="E4586" s="4" t="str">
        <x:v>WhatsApp transcribed</x:v>
      </x:c>
      <x:c r="F4586" s="4" t="str">
        <x:v>Record captured</x:v>
      </x:c>
      <x:c r="G4586" s="4" t="str">
        <x:v>Enquiry</x:v>
      </x:c>
    </x:row>
    <x:row r="4587" ht="34" customHeight="1">
      <x:c r="A4587" s="4" t="str">
        <x:v>RS-04586-E1</x:v>
      </x:c>
      <x:c r="B4587" s="4" t="str">
        <x:v>RS-04586</x:v>
      </x:c>
      <x:c r="C4587" s="8" t="n">
        <x:v>45587</x:v>
      </x:c>
      <x:c r="D4587" s="4" t="str">
        <x:v>Sales operations manager</x:v>
      </x:c>
      <x:c r="E4587" s="4" t="str">
        <x:v>WhatsApp transcribed</x:v>
      </x:c>
      <x:c r="F4587" s="4" t="str">
        <x:v>Record captured</x:v>
      </x:c>
      <x:c r="G4587" s="4" t="str">
        <x:v>Handed over</x:v>
      </x:c>
    </x:row>
    <x:row r="4588" ht="34" customHeight="1">
      <x:c r="A4588" s="4" t="str">
        <x:v>RS-04587-E1</x:v>
      </x:c>
      <x:c r="B4588" s="4" t="str">
        <x:v>RS-04587</x:v>
      </x:c>
      <x:c r="C4588" s="8" t="n">
        <x:v>45588</x:v>
      </x:c>
      <x:c r="D4588" s="4" t="str">
        <x:v>Sales operations manager</x:v>
      </x:c>
      <x:c r="E4588" s="4" t="str">
        <x:v>ERP form</x:v>
      </x:c>
      <x:c r="F4588" s="4" t="str">
        <x:v>Record captured</x:v>
      </x:c>
      <x:c r="G4588" s="4" t="str">
        <x:v>Agreement signed</x:v>
      </x:c>
    </x:row>
    <x:row r="4589" ht="34" customHeight="1">
      <x:c r="A4589" s="4" t="str">
        <x:v>RS-04588-E1</x:v>
      </x:c>
      <x:c r="B4589" s="4" t="str">
        <x:v>RS-04588</x:v>
      </x:c>
      <x:c r="C4589" s="8" t="n">
        <x:v>45589</x:v>
      </x:c>
      <x:c r="D4589" s="4" t="str">
        <x:v>Sales operations manager</x:v>
      </x:c>
      <x:c r="E4589" s="4" t="str">
        <x:v>ERP form</x:v>
      </x:c>
      <x:c r="F4589" s="4" t="str">
        <x:v>Record captured</x:v>
      </x:c>
      <x:c r="G4589" s="4" t="str">
        <x:v>Handed over</x:v>
      </x:c>
    </x:row>
    <x:row r="4590" ht="34" customHeight="1">
      <x:c r="A4590" s="4" t="str">
        <x:v>RS-04589-E1</x:v>
      </x:c>
      <x:c r="B4590" s="4" t="str">
        <x:v>RS-04589</x:v>
      </x:c>
      <x:c r="C4590" s="8" t="n">
        <x:v>45590</x:v>
      </x:c>
      <x:c r="D4590" s="4" t="str">
        <x:v>Sales operations manager</x:v>
      </x:c>
      <x:c r="E4590" s="4" t="str">
        <x:v>WhatsApp transcribed</x:v>
      </x:c>
      <x:c r="F4590" s="4" t="str">
        <x:v>Record captured</x:v>
      </x:c>
      <x:c r="G4590" s="4" t="str">
        <x:v>Reserved</x:v>
      </x:c>
    </x:row>
    <x:row r="4591" ht="34" customHeight="1">
      <x:c r="A4591" s="4" t="str">
        <x:v>RS-04590-E1</x:v>
      </x:c>
      <x:c r="B4591" s="4" t="str">
        <x:v>RS-04590</x:v>
      </x:c>
      <x:c r="C4591" s="8" t="n">
        <x:v>45591</x:v>
      </x:c>
      <x:c r="D4591" s="4" t="str">
        <x:v>Sales operations manager</x:v>
      </x:c>
      <x:c r="E4591" s="4" t="str">
        <x:v>WhatsApp transcribed</x:v>
      </x:c>
      <x:c r="F4591" s="4" t="str">
        <x:v>Record captured</x:v>
      </x:c>
      <x:c r="G4591" s="4" t="str">
        <x:v>Reserved</x:v>
      </x:c>
    </x:row>
    <x:row r="4592" ht="34" customHeight="1">
      <x:c r="A4592" s="4" t="str">
        <x:v>RS-04591-E1</x:v>
      </x:c>
      <x:c r="B4592" s="4" t="str">
        <x:v>RS-04591</x:v>
      </x:c>
      <x:c r="C4592" s="8" t="n">
        <x:v>45592</x:v>
      </x:c>
      <x:c r="D4592" s="4" t="str">
        <x:v>Sales operations manager</x:v>
      </x:c>
      <x:c r="E4592" s="4" t="str">
        <x:v>WhatsApp transcribed</x:v>
      </x:c>
      <x:c r="F4592" s="4" t="str">
        <x:v>Record captured</x:v>
      </x:c>
      <x:c r="G4592" s="4" t="str">
        <x:v>Agreement signed</x:v>
      </x:c>
    </x:row>
    <x:row r="4593" ht="34" customHeight="1">
      <x:c r="A4593" s="4" t="str">
        <x:v>RS-04592-E1</x:v>
      </x:c>
      <x:c r="B4593" s="4" t="str">
        <x:v>RS-04592</x:v>
      </x:c>
      <x:c r="C4593" s="8" t="n">
        <x:v>45593</x:v>
      </x:c>
      <x:c r="D4593" s="4" t="str">
        <x:v>Sales operations manager</x:v>
      </x:c>
      <x:c r="E4593" s="4" t="str">
        <x:v>WhatsApp transcribed</x:v>
      </x:c>
      <x:c r="F4593" s="4" t="str">
        <x:v>Record captured</x:v>
      </x:c>
      <x:c r="G4593" s="4" t="str">
        <x:v>Booked</x:v>
      </x:c>
    </x:row>
    <x:row r="4594" ht="34" customHeight="1">
      <x:c r="A4594" s="4" t="str">
        <x:v>RS-04593-E1</x:v>
      </x:c>
      <x:c r="B4594" s="4" t="str">
        <x:v>RS-04593</x:v>
      </x:c>
      <x:c r="C4594" s="8" t="n">
        <x:v>45566</x:v>
      </x:c>
      <x:c r="D4594" s="4" t="str">
        <x:v>Sales operations manager</x:v>
      </x:c>
      <x:c r="E4594" s="4" t="str">
        <x:v>Spreadsheet import</x:v>
      </x:c>
      <x:c r="F4594" s="4" t="str">
        <x:v>Record captured</x:v>
      </x:c>
      <x:c r="G4594" s="4" t="str">
        <x:v>Enquiry</x:v>
      </x:c>
    </x:row>
    <x:row r="4595" ht="34" customHeight="1">
      <x:c r="A4595" s="4" t="str">
        <x:v>RS-04594-E1</x:v>
      </x:c>
      <x:c r="B4595" s="4" t="str">
        <x:v>RS-04594</x:v>
      </x:c>
      <x:c r="C4595" s="8" t="n">
        <x:v>45567</x:v>
      </x:c>
      <x:c r="D4595" s="4" t="str">
        <x:v>Sales operations manager</x:v>
      </x:c>
      <x:c r="E4595" s="4" t="str">
        <x:v>ERP form</x:v>
      </x:c>
      <x:c r="F4595" s="4" t="str">
        <x:v>Record captured</x:v>
      </x:c>
      <x:c r="G4595" s="4" t="str">
        <x:v>Enquiry</x:v>
      </x:c>
    </x:row>
    <x:row r="4596" ht="34" customHeight="1">
      <x:c r="A4596" s="4" t="str">
        <x:v>RS-04595-E1</x:v>
      </x:c>
      <x:c r="B4596" s="4" t="str">
        <x:v>RS-04595</x:v>
      </x:c>
      <x:c r="C4596" s="8" t="n">
        <x:v>45568</x:v>
      </x:c>
      <x:c r="D4596" s="4" t="str">
        <x:v>Sales operations manager</x:v>
      </x:c>
      <x:c r="E4596" s="4" t="str">
        <x:v>ERP form</x:v>
      </x:c>
      <x:c r="F4596" s="4" t="str">
        <x:v>Record captured</x:v>
      </x:c>
      <x:c r="G4596" s="4" t="str">
        <x:v>Booked</x:v>
      </x:c>
    </x:row>
    <x:row r="4597" ht="34" customHeight="1">
      <x:c r="A4597" s="4" t="str">
        <x:v>RS-04596-E1</x:v>
      </x:c>
      <x:c r="B4597" s="4" t="str">
        <x:v>RS-04596</x:v>
      </x:c>
      <x:c r="C4597" s="8" t="n">
        <x:v>45569</x:v>
      </x:c>
      <x:c r="D4597" s="4" t="str">
        <x:v>Sales operations manager</x:v>
      </x:c>
      <x:c r="E4597" s="4" t="str">
        <x:v>Paper transcribed</x:v>
      </x:c>
      <x:c r="F4597" s="4" t="str">
        <x:v>Record captured</x:v>
      </x:c>
      <x:c r="G4597" s="4" t="str">
        <x:v>Booked</x:v>
      </x:c>
    </x:row>
    <x:row r="4598" ht="34" customHeight="1">
      <x:c r="A4598" s="4" t="str">
        <x:v>RS-04597-E1</x:v>
      </x:c>
      <x:c r="B4598" s="4" t="str">
        <x:v>RS-04597</x:v>
      </x:c>
      <x:c r="C4598" s="8" t="n">
        <x:v>45570</x:v>
      </x:c>
      <x:c r="D4598" s="4" t="str">
        <x:v>Sales operations manager</x:v>
      </x:c>
      <x:c r="E4598" s="4" t="str">
        <x:v>WhatsApp transcribed</x:v>
      </x:c>
      <x:c r="F4598" s="4" t="str">
        <x:v>Record captured</x:v>
      </x:c>
      <x:c r="G4598" s="4" t="str">
        <x:v>Handed over</x:v>
      </x:c>
    </x:row>
    <x:row r="4599" ht="34" customHeight="1">
      <x:c r="A4599" s="4" t="str">
        <x:v>RS-04598-E1</x:v>
      </x:c>
      <x:c r="B4599" s="4" t="str">
        <x:v>RS-04598</x:v>
      </x:c>
      <x:c r="C4599" s="8" t="n">
        <x:v>45571</x:v>
      </x:c>
      <x:c r="D4599" s="4" t="str">
        <x:v>Sales operations manager</x:v>
      </x:c>
      <x:c r="E4599" s="4" t="str">
        <x:v>ERP form</x:v>
      </x:c>
      <x:c r="F4599" s="4" t="str">
        <x:v>Record captured</x:v>
      </x:c>
      <x:c r="G4599" s="4" t="str">
        <x:v>Enquiry</x:v>
      </x:c>
    </x:row>
    <x:row r="4600" ht="34" customHeight="1">
      <x:c r="A4600" s="4" t="str">
        <x:v>RS-04599-E1</x:v>
      </x:c>
      <x:c r="B4600" s="4" t="str">
        <x:v>RS-04599</x:v>
      </x:c>
      <x:c r="C4600" s="8" t="n">
        <x:v>45572</x:v>
      </x:c>
      <x:c r="D4600" s="4" t="str">
        <x:v>Sales operations manager</x:v>
      </x:c>
      <x:c r="E4600" s="4" t="str">
        <x:v>WhatsApp transcribed</x:v>
      </x:c>
      <x:c r="F4600" s="4" t="str">
        <x:v>Record captured</x:v>
      </x:c>
      <x:c r="G4600" s="4" t="str">
        <x:v>Handed over</x:v>
      </x:c>
    </x:row>
    <x:row r="4601" ht="34" customHeight="1">
      <x:c r="A4601" s="4" t="str">
        <x:v>RS-04600-E1</x:v>
      </x:c>
      <x:c r="B4601" s="4" t="str">
        <x:v>RS-04600</x:v>
      </x:c>
      <x:c r="C4601" s="8" t="n">
        <x:v>45573</x:v>
      </x:c>
      <x:c r="D4601" s="4" t="str">
        <x:v>Sales operations manager</x:v>
      </x:c>
      <x:c r="E4601" s="4" t="str">
        <x:v>WhatsApp transcribed</x:v>
      </x:c>
      <x:c r="F4601" s="4" t="str">
        <x:v>Record captured</x:v>
      </x:c>
      <x:c r="G4601" s="4" t="str">
        <x:v>Reserved</x:v>
      </x:c>
    </x:row>
    <x:row r="4602" ht="34" customHeight="1">
      <x:c r="A4602" s="4" t="str">
        <x:v>RS-04601-E1</x:v>
      </x:c>
      <x:c r="B4602" s="4" t="str">
        <x:v>RS-04601</x:v>
      </x:c>
      <x:c r="C4602" s="8" t="n">
        <x:v>45574</x:v>
      </x:c>
      <x:c r="D4602" s="4" t="str">
        <x:v>Sales operations manager</x:v>
      </x:c>
      <x:c r="E4602" s="4" t="str">
        <x:v>ERP form</x:v>
      </x:c>
      <x:c r="F4602" s="4" t="str">
        <x:v>Record captured</x:v>
      </x:c>
      <x:c r="G4602" s="4" t="str">
        <x:v>Reserved</x:v>
      </x:c>
    </x:row>
    <x:row r="4603" ht="34" customHeight="1">
      <x:c r="A4603" s="4" t="str">
        <x:v>RS-04602-E1</x:v>
      </x:c>
      <x:c r="B4603" s="4" t="str">
        <x:v>RS-04602</x:v>
      </x:c>
      <x:c r="C4603" s="8" t="n">
        <x:v>45575</x:v>
      </x:c>
      <x:c r="D4603" s="4" t="str">
        <x:v>Sales operations manager</x:v>
      </x:c>
      <x:c r="E4603" s="4" t="str">
        <x:v>Spreadsheet import</x:v>
      </x:c>
      <x:c r="F4603" s="4" t="str">
        <x:v>Record captured</x:v>
      </x:c>
      <x:c r="G4603" s="4" t="str">
        <x:v>Cancelled</x:v>
      </x:c>
    </x:row>
    <x:row r="4604" ht="34" customHeight="1">
      <x:c r="A4604" s="4" t="str">
        <x:v>RS-04603-E1</x:v>
      </x:c>
      <x:c r="B4604" s="4" t="str">
        <x:v>RS-04603</x:v>
      </x:c>
      <x:c r="C4604" s="8" t="n">
        <x:v>45576</x:v>
      </x:c>
      <x:c r="D4604" s="4" t="str">
        <x:v>Sales operations manager</x:v>
      </x:c>
      <x:c r="E4604" s="4" t="str">
        <x:v>WhatsApp transcribed</x:v>
      </x:c>
      <x:c r="F4604" s="4" t="str">
        <x:v>Record captured</x:v>
      </x:c>
      <x:c r="G4604" s="4" t="str">
        <x:v>Agreement signed</x:v>
      </x:c>
    </x:row>
    <x:row r="4605" ht="34" customHeight="1">
      <x:c r="A4605" s="4" t="str">
        <x:v>RS-04604-E1</x:v>
      </x:c>
      <x:c r="B4605" s="4" t="str">
        <x:v>RS-04604</x:v>
      </x:c>
      <x:c r="C4605" s="8" t="n">
        <x:v>45577</x:v>
      </x:c>
      <x:c r="D4605" s="4" t="str">
        <x:v>Sales operations manager</x:v>
      </x:c>
      <x:c r="E4605" s="4" t="str">
        <x:v>Spreadsheet import</x:v>
      </x:c>
      <x:c r="F4605" s="4" t="str">
        <x:v>Record captured</x:v>
      </x:c>
      <x:c r="G4605" s="4" t="str">
        <x:v>Reserved</x:v>
      </x:c>
    </x:row>
    <x:row r="4606" ht="34" customHeight="1">
      <x:c r="A4606" s="4" t="str">
        <x:v>RS-04605-E1</x:v>
      </x:c>
      <x:c r="B4606" s="4" t="str">
        <x:v>RS-04605</x:v>
      </x:c>
      <x:c r="C4606" s="8" t="n">
        <x:v>45578</x:v>
      </x:c>
      <x:c r="D4606" s="4" t="str">
        <x:v>Sales operations manager</x:v>
      </x:c>
      <x:c r="E4606" s="4" t="str">
        <x:v>WhatsApp transcribed</x:v>
      </x:c>
      <x:c r="F4606" s="4" t="str">
        <x:v>Record captured</x:v>
      </x:c>
      <x:c r="G4606" s="4" t="str">
        <x:v>Cancelled</x:v>
      </x:c>
    </x:row>
    <x:row r="4607" ht="34" customHeight="1">
      <x:c r="A4607" s="4" t="str">
        <x:v>RS-04606-E1</x:v>
      </x:c>
      <x:c r="B4607" s="4" t="str">
        <x:v>RS-04606</x:v>
      </x:c>
      <x:c r="C4607" s="8" t="n">
        <x:v>45579</x:v>
      </x:c>
      <x:c r="D4607" s="4" t="str">
        <x:v>Sales operations manager</x:v>
      </x:c>
      <x:c r="E4607" s="4" t="str">
        <x:v>Paper transcribed</x:v>
      </x:c>
      <x:c r="F4607" s="4" t="str">
        <x:v>Record captured</x:v>
      </x:c>
      <x:c r="G4607" s="4" t="str">
        <x:v>Enquiry</x:v>
      </x:c>
    </x:row>
    <x:row r="4608" ht="34" customHeight="1">
      <x:c r="A4608" s="4" t="str">
        <x:v>RS-04607-E1</x:v>
      </x:c>
      <x:c r="B4608" s="4" t="str">
        <x:v>RS-04607</x:v>
      </x:c>
      <x:c r="C4608" s="8" t="n">
        <x:v>45580</x:v>
      </x:c>
      <x:c r="D4608" s="4" t="str">
        <x:v>Sales operations manager</x:v>
      </x:c>
      <x:c r="E4608" s="4" t="str">
        <x:v>WhatsApp transcribed</x:v>
      </x:c>
      <x:c r="F4608" s="4" t="str">
        <x:v>Record captured</x:v>
      </x:c>
      <x:c r="G4608" s="4" t="str">
        <x:v>Enquiry</x:v>
      </x:c>
    </x:row>
    <x:row r="4609" ht="34" customHeight="1">
      <x:c r="A4609" s="4" t="str">
        <x:v>RS-04608-E1</x:v>
      </x:c>
      <x:c r="B4609" s="4" t="str">
        <x:v>RS-04608</x:v>
      </x:c>
      <x:c r="C4609" s="8" t="n">
        <x:v>45581</x:v>
      </x:c>
      <x:c r="D4609" s="4" t="str">
        <x:v>Sales operations manager</x:v>
      </x:c>
      <x:c r="E4609" s="4" t="str">
        <x:v>WhatsApp transcribed</x:v>
      </x:c>
      <x:c r="F4609" s="4" t="str">
        <x:v>Record captured</x:v>
      </x:c>
      <x:c r="G4609" s="4" t="str">
        <x:v>Agreement signed</x:v>
      </x:c>
    </x:row>
    <x:row r="4610" ht="34" customHeight="1">
      <x:c r="A4610" s="4" t="str">
        <x:v>RS-04609-E1</x:v>
      </x:c>
      <x:c r="B4610" s="4" t="str">
        <x:v>RS-04609</x:v>
      </x:c>
      <x:c r="C4610" s="8" t="n">
        <x:v>45582</x:v>
      </x:c>
      <x:c r="D4610" s="4" t="str">
        <x:v>Sales operations manager</x:v>
      </x:c>
      <x:c r="E4610" s="4" t="str">
        <x:v>ERP form</x:v>
      </x:c>
      <x:c r="F4610" s="4" t="str">
        <x:v>Record captured</x:v>
      </x:c>
      <x:c r="G4610" s="4" t="str">
        <x:v>Cancelled</x:v>
      </x:c>
    </x:row>
    <x:row r="4611" ht="34" customHeight="1">
      <x:c r="A4611" s="4" t="str">
        <x:v>RS-04610-E1</x:v>
      </x:c>
      <x:c r="B4611" s="4" t="str">
        <x:v>RS-04610</x:v>
      </x:c>
      <x:c r="C4611" s="8" t="n">
        <x:v>45583</x:v>
      </x:c>
      <x:c r="D4611" s="4" t="str">
        <x:v>Sales operations manager</x:v>
      </x:c>
      <x:c r="E4611" s="4" t="str">
        <x:v>WhatsApp transcribed</x:v>
      </x:c>
      <x:c r="F4611" s="4" t="str">
        <x:v>Record captured</x:v>
      </x:c>
      <x:c r="G4611" s="4" t="str">
        <x:v>Cancelled</x:v>
      </x:c>
    </x:row>
    <x:row r="4612" ht="34" customHeight="1">
      <x:c r="A4612" s="4" t="str">
        <x:v>RS-04611-E1</x:v>
      </x:c>
      <x:c r="B4612" s="4" t="str">
        <x:v>RS-04611</x:v>
      </x:c>
      <x:c r="C4612" s="8" t="n">
        <x:v>45584</x:v>
      </x:c>
      <x:c r="D4612" s="4" t="str">
        <x:v>Sales operations manager</x:v>
      </x:c>
      <x:c r="E4612" s="4" t="str">
        <x:v>Paper transcribed</x:v>
      </x:c>
      <x:c r="F4612" s="4" t="str">
        <x:v>Record captured</x:v>
      </x:c>
      <x:c r="G4612" s="4" t="str">
        <x:v>Agreement signed</x:v>
      </x:c>
    </x:row>
    <x:row r="4613" ht="34" customHeight="1">
      <x:c r="A4613" s="4" t="str">
        <x:v>RS-04612-E1</x:v>
      </x:c>
      <x:c r="B4613" s="4" t="str">
        <x:v>RS-04612</x:v>
      </x:c>
      <x:c r="C4613" s="8" t="n">
        <x:v>45585</x:v>
      </x:c>
      <x:c r="D4613" s="4" t="str">
        <x:v>Sales operations manager</x:v>
      </x:c>
      <x:c r="E4613" s="4" t="str">
        <x:v>Paper transcribed</x:v>
      </x:c>
      <x:c r="F4613" s="4" t="str">
        <x:v>Record captured</x:v>
      </x:c>
      <x:c r="G4613" s="4" t="str">
        <x:v>Reserved</x:v>
      </x:c>
    </x:row>
    <x:row r="4614" ht="34" customHeight="1">
      <x:c r="A4614" s="4" t="str">
        <x:v>RS-04613-E1</x:v>
      </x:c>
      <x:c r="B4614" s="4" t="str">
        <x:v>RS-04613</x:v>
      </x:c>
      <x:c r="C4614" s="8" t="n">
        <x:v>45586</x:v>
      </x:c>
      <x:c r="D4614" s="4" t="str">
        <x:v>Sales operations manager</x:v>
      </x:c>
      <x:c r="E4614" s="4" t="str">
        <x:v>Paper transcribed</x:v>
      </x:c>
      <x:c r="F4614" s="4" t="str">
        <x:v>Record captured</x:v>
      </x:c>
      <x:c r="G4614" s="4" t="str">
        <x:v>Reserved</x:v>
      </x:c>
    </x:row>
    <x:row r="4615" ht="34" customHeight="1">
      <x:c r="A4615" s="4" t="str">
        <x:v>RS-04614-E1</x:v>
      </x:c>
      <x:c r="B4615" s="4" t="str">
        <x:v>RS-04614</x:v>
      </x:c>
      <x:c r="C4615" s="8" t="n">
        <x:v>45587</x:v>
      </x:c>
      <x:c r="D4615" s="4" t="str">
        <x:v>Sales operations manager</x:v>
      </x:c>
      <x:c r="E4615" s="4" t="str">
        <x:v>Paper transcribed</x:v>
      </x:c>
      <x:c r="F4615" s="4" t="str">
        <x:v>Record captured</x:v>
      </x:c>
      <x:c r="G4615" s="4" t="str">
        <x:v>Cancelled</x:v>
      </x:c>
    </x:row>
    <x:row r="4616" ht="34" customHeight="1">
      <x:c r="A4616" s="4" t="str">
        <x:v>RS-04615-E1</x:v>
      </x:c>
      <x:c r="B4616" s="4" t="str">
        <x:v>RS-04615</x:v>
      </x:c>
      <x:c r="C4616" s="8" t="n">
        <x:v>45588</x:v>
      </x:c>
      <x:c r="D4616" s="4" t="str">
        <x:v>Sales operations manager</x:v>
      </x:c>
      <x:c r="E4616" s="4" t="str">
        <x:v>WhatsApp transcribed</x:v>
      </x:c>
      <x:c r="F4616" s="4" t="str">
        <x:v>Record captured</x:v>
      </x:c>
      <x:c r="G4616" s="4" t="str">
        <x:v>Enquiry</x:v>
      </x:c>
    </x:row>
    <x:row r="4617" ht="34" customHeight="1">
      <x:c r="A4617" s="4" t="str">
        <x:v>RS-04616-E1</x:v>
      </x:c>
      <x:c r="B4617" s="4" t="str">
        <x:v>RS-04616</x:v>
      </x:c>
      <x:c r="C4617" s="8" t="n">
        <x:v>45589</x:v>
      </x:c>
      <x:c r="D4617" s="4" t="str">
        <x:v>Sales operations manager</x:v>
      </x:c>
      <x:c r="E4617" s="4" t="str">
        <x:v>Paper transcribed</x:v>
      </x:c>
      <x:c r="F4617" s="4" t="str">
        <x:v>Record captured</x:v>
      </x:c>
      <x:c r="G4617" s="4" t="str">
        <x:v>Reserved</x:v>
      </x:c>
    </x:row>
    <x:row r="4618" ht="34" customHeight="1">
      <x:c r="A4618" s="4" t="str">
        <x:v>RS-04617-E1</x:v>
      </x:c>
      <x:c r="B4618" s="4" t="str">
        <x:v>RS-04617</x:v>
      </x:c>
      <x:c r="C4618" s="8" t="n">
        <x:v>45590</x:v>
      </x:c>
      <x:c r="D4618" s="4" t="str">
        <x:v>Sales operations manager</x:v>
      </x:c>
      <x:c r="E4618" s="4" t="str">
        <x:v>ERP form</x:v>
      </x:c>
      <x:c r="F4618" s="4" t="str">
        <x:v>Record captured</x:v>
      </x:c>
      <x:c r="G4618" s="4" t="str">
        <x:v>Reserved</x:v>
      </x:c>
    </x:row>
    <x:row r="4619" ht="34" customHeight="1">
      <x:c r="A4619" s="4" t="str">
        <x:v>RS-04618-E1</x:v>
      </x:c>
      <x:c r="B4619" s="4" t="str">
        <x:v>RS-04618</x:v>
      </x:c>
      <x:c r="C4619" s="8" t="n">
        <x:v>45591</x:v>
      </x:c>
      <x:c r="D4619" s="4" t="str">
        <x:v>Sales operations manager</x:v>
      </x:c>
      <x:c r="E4619" s="4" t="str">
        <x:v>WhatsApp transcribed</x:v>
      </x:c>
      <x:c r="F4619" s="4" t="str">
        <x:v>Record captured</x:v>
      </x:c>
      <x:c r="G4619" s="4" t="str">
        <x:v>Handed over</x:v>
      </x:c>
    </x:row>
    <x:row r="4620" ht="34" customHeight="1">
      <x:c r="A4620" s="4" t="str">
        <x:v>RS-04619-E1</x:v>
      </x:c>
      <x:c r="B4620" s="4" t="str">
        <x:v>RS-04619</x:v>
      </x:c>
      <x:c r="C4620" s="8" t="n">
        <x:v>45592</x:v>
      </x:c>
      <x:c r="D4620" s="4" t="str">
        <x:v>Sales operations manager</x:v>
      </x:c>
      <x:c r="E4620" s="4" t="str">
        <x:v>Paper transcribed</x:v>
      </x:c>
      <x:c r="F4620" s="4" t="str">
        <x:v>Record captured</x:v>
      </x:c>
      <x:c r="G4620" s="4" t="str">
        <x:v>Enquiry</x:v>
      </x:c>
    </x:row>
    <x:row r="4621" ht="34" customHeight="1">
      <x:c r="A4621" s="4" t="str">
        <x:v>RS-04620-E1</x:v>
      </x:c>
      <x:c r="B4621" s="4" t="str">
        <x:v>RS-04620</x:v>
      </x:c>
      <x:c r="C4621" s="8" t="n">
        <x:v>45593</x:v>
      </x:c>
      <x:c r="D4621" s="4" t="str">
        <x:v>Sales operations manager</x:v>
      </x:c>
      <x:c r="E4621" s="4" t="str">
        <x:v>Paper transcribed</x:v>
      </x:c>
      <x:c r="F4621" s="4" t="str">
        <x:v>Record captured</x:v>
      </x:c>
      <x:c r="G4621" s="4" t="str">
        <x:v>Cancelled</x:v>
      </x:c>
    </x:row>
    <x:row r="4622" ht="34" customHeight="1">
      <x:c r="A4622" s="4" t="str">
        <x:v>RS-04621-E1</x:v>
      </x:c>
      <x:c r="B4622" s="4" t="str">
        <x:v>RS-04621</x:v>
      </x:c>
      <x:c r="C4622" s="8" t="n">
        <x:v>45566</x:v>
      </x:c>
      <x:c r="D4622" s="4" t="str">
        <x:v>Sales operations manager</x:v>
      </x:c>
      <x:c r="E4622" s="4" t="str">
        <x:v>Spreadsheet import</x:v>
      </x:c>
      <x:c r="F4622" s="4" t="str">
        <x:v>Record captured</x:v>
      </x:c>
      <x:c r="G4622" s="4" t="str">
        <x:v>Booked</x:v>
      </x:c>
    </x:row>
    <x:row r="4623" ht="34" customHeight="1">
      <x:c r="A4623" s="4" t="str">
        <x:v>RS-04622-E1</x:v>
      </x:c>
      <x:c r="B4623" s="4" t="str">
        <x:v>RS-04622</x:v>
      </x:c>
      <x:c r="C4623" s="8" t="n">
        <x:v>45567</x:v>
      </x:c>
      <x:c r="D4623" s="4" t="str">
        <x:v>Sales operations manager</x:v>
      </x:c>
      <x:c r="E4623" s="4" t="str">
        <x:v>WhatsApp transcribed</x:v>
      </x:c>
      <x:c r="F4623" s="4" t="str">
        <x:v>Record captured</x:v>
      </x:c>
      <x:c r="G4623" s="4" t="str">
        <x:v>Agreement signed</x:v>
      </x:c>
    </x:row>
    <x:row r="4624" ht="34" customHeight="1">
      <x:c r="A4624" s="4" t="str">
        <x:v>RS-04623-E1</x:v>
      </x:c>
      <x:c r="B4624" s="4" t="str">
        <x:v>RS-04623</x:v>
      </x:c>
      <x:c r="C4624" s="8" t="n">
        <x:v>45568</x:v>
      </x:c>
      <x:c r="D4624" s="4" t="str">
        <x:v>Sales operations manager</x:v>
      </x:c>
      <x:c r="E4624" s="4" t="str">
        <x:v>Spreadsheet import</x:v>
      </x:c>
      <x:c r="F4624" s="4" t="str">
        <x:v>Record captured</x:v>
      </x:c>
      <x:c r="G4624" s="4" t="str">
        <x:v>Reserved</x:v>
      </x:c>
    </x:row>
    <x:row r="4625" ht="34" customHeight="1">
      <x:c r="A4625" s="4" t="str">
        <x:v>RS-04624-E1</x:v>
      </x:c>
      <x:c r="B4625" s="4" t="str">
        <x:v>RS-04624</x:v>
      </x:c>
      <x:c r="C4625" s="8" t="n">
        <x:v>45569</x:v>
      </x:c>
      <x:c r="D4625" s="4" t="str">
        <x:v>Sales operations manager</x:v>
      </x:c>
      <x:c r="E4625" s="4" t="str">
        <x:v>ERP form</x:v>
      </x:c>
      <x:c r="F4625" s="4" t="str">
        <x:v>Record captured</x:v>
      </x:c>
      <x:c r="G4625" s="4" t="str">
        <x:v>Cancelled</x:v>
      </x:c>
    </x:row>
    <x:row r="4626" ht="34" customHeight="1">
      <x:c r="A4626" s="4" t="str">
        <x:v>RS-04625-E1</x:v>
      </x:c>
      <x:c r="B4626" s="4" t="str">
        <x:v>RS-04625</x:v>
      </x:c>
      <x:c r="C4626" s="8" t="n">
        <x:v>45570</x:v>
      </x:c>
      <x:c r="D4626" s="4" t="str">
        <x:v>Sales operations manager</x:v>
      </x:c>
      <x:c r="E4626" s="4" t="str">
        <x:v>Spreadsheet import</x:v>
      </x:c>
      <x:c r="F4626" s="4" t="str">
        <x:v>Record captured</x:v>
      </x:c>
      <x:c r="G4626" s="4" t="str">
        <x:v>Reserved</x:v>
      </x:c>
    </x:row>
    <x:row r="4627" ht="34" customHeight="1">
      <x:c r="A4627" s="4" t="str">
        <x:v>RS-04626-E1</x:v>
      </x:c>
      <x:c r="B4627" s="4" t="str">
        <x:v>RS-04626</x:v>
      </x:c>
      <x:c r="C4627" s="8" t="n">
        <x:v>45571</x:v>
      </x:c>
      <x:c r="D4627" s="4" t="str">
        <x:v>Sales operations manager</x:v>
      </x:c>
      <x:c r="E4627" s="4" t="str">
        <x:v>ERP form</x:v>
      </x:c>
      <x:c r="F4627" s="4" t="str">
        <x:v>Record captured</x:v>
      </x:c>
      <x:c r="G4627" s="4" t="str">
        <x:v>Handed over</x:v>
      </x:c>
    </x:row>
    <x:row r="4628" ht="34" customHeight="1">
      <x:c r="A4628" s="4" t="str">
        <x:v>RS-04627-E1</x:v>
      </x:c>
      <x:c r="B4628" s="4" t="str">
        <x:v>RS-04627</x:v>
      </x:c>
      <x:c r="C4628" s="8" t="n">
        <x:v>45572</x:v>
      </x:c>
      <x:c r="D4628" s="4" t="str">
        <x:v>Sales operations manager</x:v>
      </x:c>
      <x:c r="E4628" s="4" t="str">
        <x:v>ERP form</x:v>
      </x:c>
      <x:c r="F4628" s="4" t="str">
        <x:v>Record captured</x:v>
      </x:c>
      <x:c r="G4628" s="4" t="str">
        <x:v>Agreement signed</x:v>
      </x:c>
    </x:row>
    <x:row r="4629" ht="34" customHeight="1">
      <x:c r="A4629" s="4" t="str">
        <x:v>RS-04628-E1</x:v>
      </x:c>
      <x:c r="B4629" s="4" t="str">
        <x:v>RS-04628</x:v>
      </x:c>
      <x:c r="C4629" s="8" t="n">
        <x:v>45573</x:v>
      </x:c>
      <x:c r="D4629" s="4" t="str">
        <x:v>Sales operations manager</x:v>
      </x:c>
      <x:c r="E4629" s="4" t="str">
        <x:v>Spreadsheet import</x:v>
      </x:c>
      <x:c r="F4629" s="4" t="str">
        <x:v>Record captured</x:v>
      </x:c>
      <x:c r="G4629" s="4" t="str">
        <x:v>Booked</x:v>
      </x:c>
    </x:row>
    <x:row r="4630" ht="34" customHeight="1">
      <x:c r="A4630" s="4" t="str">
        <x:v>RS-04629-E1</x:v>
      </x:c>
      <x:c r="B4630" s="4" t="str">
        <x:v>RS-04629</x:v>
      </x:c>
      <x:c r="C4630" s="8" t="n">
        <x:v>45574</x:v>
      </x:c>
      <x:c r="D4630" s="4" t="str">
        <x:v>Sales operations manager</x:v>
      </x:c>
      <x:c r="E4630" s="4" t="str">
        <x:v>ERP form</x:v>
      </x:c>
      <x:c r="F4630" s="4" t="str">
        <x:v>Record captured</x:v>
      </x:c>
      <x:c r="G4630" s="4" t="str">
        <x:v>Handed over</x:v>
      </x:c>
    </x:row>
    <x:row r="4631" ht="34" customHeight="1">
      <x:c r="A4631" s="4" t="str">
        <x:v>RS-04630-E1</x:v>
      </x:c>
      <x:c r="B4631" s="4" t="str">
        <x:v>RS-04630</x:v>
      </x:c>
      <x:c r="C4631" s="8" t="n">
        <x:v>45575</x:v>
      </x:c>
      <x:c r="D4631" s="4" t="str">
        <x:v>Sales operations manager</x:v>
      </x:c>
      <x:c r="E4631" s="4" t="str">
        <x:v>ERP form</x:v>
      </x:c>
      <x:c r="F4631" s="4" t="str">
        <x:v>Record captured</x:v>
      </x:c>
      <x:c r="G4631" s="4" t="str">
        <x:v>Reserved</x:v>
      </x:c>
    </x:row>
    <x:row r="4632" ht="34" customHeight="1">
      <x:c r="A4632" s="4" t="str">
        <x:v>RS-04631-E1</x:v>
      </x:c>
      <x:c r="B4632" s="4" t="str">
        <x:v>RS-04631</x:v>
      </x:c>
      <x:c r="C4632" s="8" t="n">
        <x:v>45576</x:v>
      </x:c>
      <x:c r="D4632" s="4" t="str">
        <x:v>Sales operations manager</x:v>
      </x:c>
      <x:c r="E4632" s="4" t="str">
        <x:v>WhatsApp transcribed</x:v>
      </x:c>
      <x:c r="F4632" s="4" t="str">
        <x:v>Record captured</x:v>
      </x:c>
      <x:c r="G4632" s="4" t="str">
        <x:v>Cancelled</x:v>
      </x:c>
    </x:row>
    <x:row r="4633" ht="34" customHeight="1">
      <x:c r="A4633" s="4" t="str">
        <x:v>RS-04632-E1</x:v>
      </x:c>
      <x:c r="B4633" s="4" t="str">
        <x:v>RS-04632</x:v>
      </x:c>
      <x:c r="C4633" s="8" t="n">
        <x:v>45577</x:v>
      </x:c>
      <x:c r="D4633" s="4" t="str">
        <x:v>Sales operations manager</x:v>
      </x:c>
      <x:c r="E4633" s="4" t="str">
        <x:v>Paper transcribed</x:v>
      </x:c>
      <x:c r="F4633" s="4" t="str">
        <x:v>Record captured</x:v>
      </x:c>
      <x:c r="G4633" s="4" t="str">
        <x:v>Enquiry</x:v>
      </x:c>
    </x:row>
    <x:row r="4634" ht="34" customHeight="1">
      <x:c r="A4634" s="4" t="str">
        <x:v>RS-04633-E1</x:v>
      </x:c>
      <x:c r="B4634" s="4" t="str">
        <x:v>RS-04633</x:v>
      </x:c>
      <x:c r="C4634" s="8" t="n">
        <x:v>45578</x:v>
      </x:c>
      <x:c r="D4634" s="4" t="str">
        <x:v>Sales operations manager</x:v>
      </x:c>
      <x:c r="E4634" s="4" t="str">
        <x:v>Paper transcribed</x:v>
      </x:c>
      <x:c r="F4634" s="4" t="str">
        <x:v>Record captured</x:v>
      </x:c>
      <x:c r="G4634" s="4" t="str">
        <x:v>Handed over</x:v>
      </x:c>
    </x:row>
    <x:row r="4635" ht="34" customHeight="1">
      <x:c r="A4635" s="4" t="str">
        <x:v>RS-04634-E1</x:v>
      </x:c>
      <x:c r="B4635" s="4" t="str">
        <x:v>RS-04634</x:v>
      </x:c>
      <x:c r="C4635" s="8" t="n">
        <x:v>45579</x:v>
      </x:c>
      <x:c r="D4635" s="4" t="str">
        <x:v>Sales operations manager</x:v>
      </x:c>
      <x:c r="E4635" s="4" t="str">
        <x:v>ERP form</x:v>
      </x:c>
      <x:c r="F4635" s="4" t="str">
        <x:v>Record captured</x:v>
      </x:c>
      <x:c r="G4635" s="4" t="str">
        <x:v>Reserved</x:v>
      </x:c>
    </x:row>
    <x:row r="4636" ht="34" customHeight="1">
      <x:c r="A4636" s="4" t="str">
        <x:v>RS-04635-E1</x:v>
      </x:c>
      <x:c r="B4636" s="4" t="str">
        <x:v>RS-04635</x:v>
      </x:c>
      <x:c r="C4636" s="8" t="n">
        <x:v>45580</x:v>
      </x:c>
      <x:c r="D4636" s="4" t="str">
        <x:v>Sales operations manager</x:v>
      </x:c>
      <x:c r="E4636" s="4" t="str">
        <x:v>Spreadsheet import</x:v>
      </x:c>
      <x:c r="F4636" s="4" t="str">
        <x:v>Record captured</x:v>
      </x:c>
      <x:c r="G4636" s="4" t="str">
        <x:v>Reserved</x:v>
      </x:c>
    </x:row>
    <x:row r="4637" ht="34" customHeight="1">
      <x:c r="A4637" s="4" t="str">
        <x:v>RS-04636-E1</x:v>
      </x:c>
      <x:c r="B4637" s="4" t="str">
        <x:v>RS-04636</x:v>
      </x:c>
      <x:c r="C4637" s="8" t="n">
        <x:v>45581</x:v>
      </x:c>
      <x:c r="D4637" s="4" t="str">
        <x:v>Sales operations manager</x:v>
      </x:c>
      <x:c r="E4637" s="4" t="str">
        <x:v>ERP form</x:v>
      </x:c>
      <x:c r="F4637" s="4" t="str">
        <x:v>Record captured</x:v>
      </x:c>
      <x:c r="G4637" s="4" t="str">
        <x:v>Reserved</x:v>
      </x:c>
    </x:row>
    <x:row r="4638" ht="34" customHeight="1">
      <x:c r="A4638" s="4" t="str">
        <x:v>RS-04637-E1</x:v>
      </x:c>
      <x:c r="B4638" s="4" t="str">
        <x:v>RS-04637</x:v>
      </x:c>
      <x:c r="C4638" s="8" t="n">
        <x:v>45582</x:v>
      </x:c>
      <x:c r="D4638" s="4" t="str">
        <x:v>Sales operations manager</x:v>
      </x:c>
      <x:c r="E4638" s="4" t="str">
        <x:v>WhatsApp transcribed</x:v>
      </x:c>
      <x:c r="F4638" s="4" t="str">
        <x:v>Record captured</x:v>
      </x:c>
      <x:c r="G4638" s="4" t="str">
        <x:v>Agreement signed</x:v>
      </x:c>
    </x:row>
    <x:row r="4639" ht="34" customHeight="1">
      <x:c r="A4639" s="4" t="str">
        <x:v>RS-04638-E1</x:v>
      </x:c>
      <x:c r="B4639" s="4" t="str">
        <x:v>RS-04638</x:v>
      </x:c>
      <x:c r="C4639" s="8" t="n">
        <x:v>45583</x:v>
      </x:c>
      <x:c r="D4639" s="4" t="str">
        <x:v>Sales operations manager</x:v>
      </x:c>
      <x:c r="E4639" s="4" t="str">
        <x:v>Spreadsheet import</x:v>
      </x:c>
      <x:c r="F4639" s="4" t="str">
        <x:v>Record captured</x:v>
      </x:c>
      <x:c r="G4639" s="4" t="str">
        <x:v>Agreement signed</x:v>
      </x:c>
    </x:row>
    <x:row r="4640" ht="34" customHeight="1">
      <x:c r="A4640" s="4" t="str">
        <x:v>RS-04639-E1</x:v>
      </x:c>
      <x:c r="B4640" s="4" t="str">
        <x:v>RS-04639</x:v>
      </x:c>
      <x:c r="C4640" s="8" t="n">
        <x:v>45584</x:v>
      </x:c>
      <x:c r="D4640" s="4" t="str">
        <x:v>Sales operations manager</x:v>
      </x:c>
      <x:c r="E4640" s="4" t="str">
        <x:v>WhatsApp transcribed</x:v>
      </x:c>
      <x:c r="F4640" s="4" t="str">
        <x:v>Record captured</x:v>
      </x:c>
      <x:c r="G4640" s="4" t="str">
        <x:v>Agreement signed</x:v>
      </x:c>
    </x:row>
    <x:row r="4641" ht="34" customHeight="1">
      <x:c r="A4641" s="4" t="str">
        <x:v>RS-04640-E1</x:v>
      </x:c>
      <x:c r="B4641" s="4" t="str">
        <x:v>RS-04640</x:v>
      </x:c>
      <x:c r="C4641" s="8" t="n">
        <x:v>45585</x:v>
      </x:c>
      <x:c r="D4641" s="4" t="str">
        <x:v>Sales operations manager</x:v>
      </x:c>
      <x:c r="E4641" s="4" t="str">
        <x:v>ERP form</x:v>
      </x:c>
      <x:c r="F4641" s="4" t="str">
        <x:v>Record captured</x:v>
      </x:c>
      <x:c r="G4641" s="4" t="str">
        <x:v>Cancelled</x:v>
      </x:c>
    </x:row>
    <x:row r="4642" ht="34" customHeight="1">
      <x:c r="A4642" s="4" t="str">
        <x:v>RS-04641-E1</x:v>
      </x:c>
      <x:c r="B4642" s="4" t="str">
        <x:v>RS-04641</x:v>
      </x:c>
      <x:c r="C4642" s="8" t="n">
        <x:v>45586</x:v>
      </x:c>
      <x:c r="D4642" s="4" t="str">
        <x:v>Sales operations manager</x:v>
      </x:c>
      <x:c r="E4642" s="4" t="str">
        <x:v>Spreadsheet import</x:v>
      </x:c>
      <x:c r="F4642" s="4" t="str">
        <x:v>Record captured</x:v>
      </x:c>
      <x:c r="G4642" s="4" t="str">
        <x:v>Enquiry</x:v>
      </x:c>
    </x:row>
    <x:row r="4643" ht="34" customHeight="1">
      <x:c r="A4643" s="4" t="str">
        <x:v>RS-04642-E1</x:v>
      </x:c>
      <x:c r="B4643" s="4" t="str">
        <x:v>RS-04642</x:v>
      </x:c>
      <x:c r="C4643" s="8" t="n">
        <x:v>45587</x:v>
      </x:c>
      <x:c r="D4643" s="4" t="str">
        <x:v>Sales operations manager</x:v>
      </x:c>
      <x:c r="E4643" s="4" t="str">
        <x:v>ERP form</x:v>
      </x:c>
      <x:c r="F4643" s="4" t="str">
        <x:v>Record captured</x:v>
      </x:c>
      <x:c r="G4643" s="4" t="str">
        <x:v>Cancelled</x:v>
      </x:c>
    </x:row>
    <x:row r="4644" ht="34" customHeight="1">
      <x:c r="A4644" s="4" t="str">
        <x:v>RS-04643-E1</x:v>
      </x:c>
      <x:c r="B4644" s="4" t="str">
        <x:v>RS-04643</x:v>
      </x:c>
      <x:c r="C4644" s="8" t="n">
        <x:v>45588</x:v>
      </x:c>
      <x:c r="D4644" s="4" t="str">
        <x:v>Sales operations manager</x:v>
      </x:c>
      <x:c r="E4644" s="4" t="str">
        <x:v>ERP form</x:v>
      </x:c>
      <x:c r="F4644" s="4" t="str">
        <x:v>Record captured</x:v>
      </x:c>
      <x:c r="G4644" s="4" t="str">
        <x:v>Cancelled</x:v>
      </x:c>
    </x:row>
    <x:row r="4645" ht="34" customHeight="1">
      <x:c r="A4645" s="4" t="str">
        <x:v>RS-04644-E1</x:v>
      </x:c>
      <x:c r="B4645" s="4" t="str">
        <x:v>RS-04644</x:v>
      </x:c>
      <x:c r="C4645" s="8" t="n">
        <x:v>45589</x:v>
      </x:c>
      <x:c r="D4645" s="4" t="str">
        <x:v>Sales operations manager</x:v>
      </x:c>
      <x:c r="E4645" s="4" t="str">
        <x:v>Paper transcribed</x:v>
      </x:c>
      <x:c r="F4645" s="4" t="str">
        <x:v>Record captured</x:v>
      </x:c>
      <x:c r="G4645" s="4" t="str">
        <x:v>Handed over</x:v>
      </x:c>
    </x:row>
    <x:row r="4646" ht="34" customHeight="1">
      <x:c r="A4646" s="4" t="str">
        <x:v>RS-04645-E1</x:v>
      </x:c>
      <x:c r="B4646" s="4" t="str">
        <x:v>RS-04645</x:v>
      </x:c>
      <x:c r="C4646" s="8" t="n">
        <x:v>45590</x:v>
      </x:c>
      <x:c r="D4646" s="4" t="str">
        <x:v>Sales operations manager</x:v>
      </x:c>
      <x:c r="E4646" s="4" t="str">
        <x:v>Spreadsheet import</x:v>
      </x:c>
      <x:c r="F4646" s="4" t="str">
        <x:v>Record captured</x:v>
      </x:c>
      <x:c r="G4646" s="4" t="str">
        <x:v>Enquiry</x:v>
      </x:c>
    </x:row>
    <x:row r="4647" ht="34" customHeight="1">
      <x:c r="A4647" s="4" t="str">
        <x:v>RS-04646-E1</x:v>
      </x:c>
      <x:c r="B4647" s="4" t="str">
        <x:v>RS-04646</x:v>
      </x:c>
      <x:c r="C4647" s="8" t="n">
        <x:v>45591</x:v>
      </x:c>
      <x:c r="D4647" s="4" t="str">
        <x:v>Sales operations manager</x:v>
      </x:c>
      <x:c r="E4647" s="4" t="str">
        <x:v>WhatsApp transcribed</x:v>
      </x:c>
      <x:c r="F4647" s="4" t="str">
        <x:v>Record captured</x:v>
      </x:c>
      <x:c r="G4647" s="4" t="str">
        <x:v>Handed over</x:v>
      </x:c>
    </x:row>
    <x:row r="4648" ht="34" customHeight="1">
      <x:c r="A4648" s="4" t="str">
        <x:v>RS-04647-E1</x:v>
      </x:c>
      <x:c r="B4648" s="4" t="str">
        <x:v>RS-04647</x:v>
      </x:c>
      <x:c r="C4648" s="8" t="n">
        <x:v>45592</x:v>
      </x:c>
      <x:c r="D4648" s="4" t="str">
        <x:v>Sales operations manager</x:v>
      </x:c>
      <x:c r="E4648" s="4" t="str">
        <x:v>WhatsApp transcribed</x:v>
      </x:c>
      <x:c r="F4648" s="4" t="str">
        <x:v>Record captured</x:v>
      </x:c>
      <x:c r="G4648" s="4" t="str">
        <x:v>Enquiry</x:v>
      </x:c>
    </x:row>
    <x:row r="4649" ht="34" customHeight="1">
      <x:c r="A4649" s="4" t="str">
        <x:v>RS-04648-E1</x:v>
      </x:c>
      <x:c r="B4649" s="4" t="str">
        <x:v>RS-04648</x:v>
      </x:c>
      <x:c r="C4649" s="8" t="n">
        <x:v>45593</x:v>
      </x:c>
      <x:c r="D4649" s="4" t="str">
        <x:v>Sales operations manager</x:v>
      </x:c>
      <x:c r="E4649" s="4" t="str">
        <x:v>Spreadsheet import</x:v>
      </x:c>
      <x:c r="F4649" s="4" t="str">
        <x:v>Record captured</x:v>
      </x:c>
      <x:c r="G4649" s="4" t="str">
        <x:v>Enquiry</x:v>
      </x:c>
    </x:row>
    <x:row r="4650" ht="34" customHeight="1">
      <x:c r="A4650" s="4" t="str">
        <x:v>RS-04649-E1</x:v>
      </x:c>
      <x:c r="B4650" s="4" t="str">
        <x:v>RS-04649</x:v>
      </x:c>
      <x:c r="C4650" s="8" t="n">
        <x:v>45566</x:v>
      </x:c>
      <x:c r="D4650" s="4" t="str">
        <x:v>Sales operations manager</x:v>
      </x:c>
      <x:c r="E4650" s="4" t="str">
        <x:v>Spreadsheet import</x:v>
      </x:c>
      <x:c r="F4650" s="4" t="str">
        <x:v>Record captured</x:v>
      </x:c>
      <x:c r="G4650" s="4" t="str">
        <x:v>Booked</x:v>
      </x:c>
    </x:row>
    <x:row r="4651" ht="34" customHeight="1">
      <x:c r="A4651" s="4" t="str">
        <x:v>RS-04650-E1</x:v>
      </x:c>
      <x:c r="B4651" s="4" t="str">
        <x:v>RS-04650</x:v>
      </x:c>
      <x:c r="C4651" s="8" t="n">
        <x:v>45567</x:v>
      </x:c>
      <x:c r="D4651" s="4" t="str">
        <x:v>Sales operations manager</x:v>
      </x:c>
      <x:c r="E4651" s="4" t="str">
        <x:v>WhatsApp transcribed</x:v>
      </x:c>
      <x:c r="F4651" s="4" t="str">
        <x:v>Record captured</x:v>
      </x:c>
      <x:c r="G4651" s="4" t="str">
        <x:v>Cancelled</x:v>
      </x:c>
    </x:row>
    <x:row r="4652" ht="34" customHeight="1">
      <x:c r="A4652" s="4" t="str">
        <x:v>RS-04651-E1</x:v>
      </x:c>
      <x:c r="B4652" s="4" t="str">
        <x:v>RS-04651</x:v>
      </x:c>
      <x:c r="C4652" s="8" t="n">
        <x:v>45568</x:v>
      </x:c>
      <x:c r="D4652" s="4" t="str">
        <x:v>Sales operations manager</x:v>
      </x:c>
      <x:c r="E4652" s="4" t="str">
        <x:v>Spreadsheet import</x:v>
      </x:c>
      <x:c r="F4652" s="4" t="str">
        <x:v>Record captured</x:v>
      </x:c>
      <x:c r="G4652" s="4" t="str">
        <x:v>Enquiry</x:v>
      </x:c>
    </x:row>
    <x:row r="4653" ht="34" customHeight="1">
      <x:c r="A4653" s="4" t="str">
        <x:v>RS-04652-E1</x:v>
      </x:c>
      <x:c r="B4653" s="4" t="str">
        <x:v>RS-04652</x:v>
      </x:c>
      <x:c r="C4653" s="8" t="n">
        <x:v>45569</x:v>
      </x:c>
      <x:c r="D4653" s="4" t="str">
        <x:v>Sales operations manager</x:v>
      </x:c>
      <x:c r="E4653" s="4" t="str">
        <x:v>ERP form</x:v>
      </x:c>
      <x:c r="F4653" s="4" t="str">
        <x:v>Record captured</x:v>
      </x:c>
      <x:c r="G4653" s="4" t="str">
        <x:v>Booked</x:v>
      </x:c>
    </x:row>
    <x:row r="4654" ht="34" customHeight="1">
      <x:c r="A4654" s="4" t="str">
        <x:v>RS-04653-E1</x:v>
      </x:c>
      <x:c r="B4654" s="4" t="str">
        <x:v>RS-04653</x:v>
      </x:c>
      <x:c r="C4654" s="8" t="n">
        <x:v>45570</x:v>
      </x:c>
      <x:c r="D4654" s="4" t="str">
        <x:v>Sales operations manager</x:v>
      </x:c>
      <x:c r="E4654" s="4" t="str">
        <x:v>Spreadsheet import</x:v>
      </x:c>
      <x:c r="F4654" s="4" t="str">
        <x:v>Record captured</x:v>
      </x:c>
      <x:c r="G4654" s="4" t="str">
        <x:v>Agreement signed</x:v>
      </x:c>
    </x:row>
    <x:row r="4655" ht="34" customHeight="1">
      <x:c r="A4655" s="4" t="str">
        <x:v>RS-04654-E1</x:v>
      </x:c>
      <x:c r="B4655" s="4" t="str">
        <x:v>RS-04654</x:v>
      </x:c>
      <x:c r="C4655" s="8" t="n">
        <x:v>45571</x:v>
      </x:c>
      <x:c r="D4655" s="4" t="str">
        <x:v>Sales operations manager</x:v>
      </x:c>
      <x:c r="E4655" s="4" t="str">
        <x:v>WhatsApp transcribed</x:v>
      </x:c>
      <x:c r="F4655" s="4" t="str">
        <x:v>Record captured</x:v>
      </x:c>
      <x:c r="G4655" s="4" t="str">
        <x:v>Agreement signed</x:v>
      </x:c>
    </x:row>
    <x:row r="4656" ht="34" customHeight="1">
      <x:c r="A4656" s="4" t="str">
        <x:v>RS-04655-E1</x:v>
      </x:c>
      <x:c r="B4656" s="4" t="str">
        <x:v>RS-04655</x:v>
      </x:c>
      <x:c r="C4656" s="8" t="n">
        <x:v>45572</x:v>
      </x:c>
      <x:c r="D4656" s="4" t="str">
        <x:v>Sales operations manager</x:v>
      </x:c>
      <x:c r="E4656" s="4" t="str">
        <x:v>Paper transcribed</x:v>
      </x:c>
      <x:c r="F4656" s="4" t="str">
        <x:v>Record captured</x:v>
      </x:c>
      <x:c r="G4656" s="4" t="str">
        <x:v>Enquiry</x:v>
      </x:c>
    </x:row>
    <x:row r="4657" ht="34" customHeight="1">
      <x:c r="A4657" s="4" t="str">
        <x:v>RS-04656-E1</x:v>
      </x:c>
      <x:c r="B4657" s="4" t="str">
        <x:v>RS-04656</x:v>
      </x:c>
      <x:c r="C4657" s="8" t="n">
        <x:v>45573</x:v>
      </x:c>
      <x:c r="D4657" s="4" t="str">
        <x:v>Sales operations manager</x:v>
      </x:c>
      <x:c r="E4657" s="4" t="str">
        <x:v>Paper transcribed</x:v>
      </x:c>
      <x:c r="F4657" s="4" t="str">
        <x:v>Record captured</x:v>
      </x:c>
      <x:c r="G4657" s="4" t="str">
        <x:v>Agreement signed</x:v>
      </x:c>
    </x:row>
    <x:row r="4658" ht="34" customHeight="1">
      <x:c r="A4658" s="4" t="str">
        <x:v>RS-04657-E1</x:v>
      </x:c>
      <x:c r="B4658" s="4" t="str">
        <x:v>RS-04657</x:v>
      </x:c>
      <x:c r="C4658" s="8" t="n">
        <x:v>45574</x:v>
      </x:c>
      <x:c r="D4658" s="4" t="str">
        <x:v>Sales operations manager</x:v>
      </x:c>
      <x:c r="E4658" s="4" t="str">
        <x:v>Paper transcribed</x:v>
      </x:c>
      <x:c r="F4658" s="4" t="str">
        <x:v>Record captured</x:v>
      </x:c>
      <x:c r="G4658" s="4" t="str">
        <x:v>Enquiry</x:v>
      </x:c>
    </x:row>
    <x:row r="4659" ht="34" customHeight="1">
      <x:c r="A4659" s="4" t="str">
        <x:v>RS-04658-E1</x:v>
      </x:c>
      <x:c r="B4659" s="4" t="str">
        <x:v>RS-04658</x:v>
      </x:c>
      <x:c r="C4659" s="8" t="n">
        <x:v>45575</x:v>
      </x:c>
      <x:c r="D4659" s="4" t="str">
        <x:v>Sales operations manager</x:v>
      </x:c>
      <x:c r="E4659" s="4" t="str">
        <x:v>Spreadsheet import</x:v>
      </x:c>
      <x:c r="F4659" s="4" t="str">
        <x:v>Record captured</x:v>
      </x:c>
      <x:c r="G4659" s="4" t="str">
        <x:v>Agreement signed</x:v>
      </x:c>
    </x:row>
    <x:row r="4660" ht="34" customHeight="1">
      <x:c r="A4660" s="4" t="str">
        <x:v>RS-04659-E1</x:v>
      </x:c>
      <x:c r="B4660" s="4" t="str">
        <x:v>RS-04659</x:v>
      </x:c>
      <x:c r="C4660" s="8" t="n">
        <x:v>45576</x:v>
      </x:c>
      <x:c r="D4660" s="4" t="str">
        <x:v>Sales operations manager</x:v>
      </x:c>
      <x:c r="E4660" s="4" t="str">
        <x:v>WhatsApp transcribed</x:v>
      </x:c>
      <x:c r="F4660" s="4" t="str">
        <x:v>Record captured</x:v>
      </x:c>
      <x:c r="G4660" s="4" t="str">
        <x:v>Booked</x:v>
      </x:c>
    </x:row>
    <x:row r="4661" ht="34" customHeight="1">
      <x:c r="A4661" s="4" t="str">
        <x:v>RS-04660-E1</x:v>
      </x:c>
      <x:c r="B4661" s="4" t="str">
        <x:v>RS-04660</x:v>
      </x:c>
      <x:c r="C4661" s="8" t="n">
        <x:v>45577</x:v>
      </x:c>
      <x:c r="D4661" s="4" t="str">
        <x:v>Sales operations manager</x:v>
      </x:c>
      <x:c r="E4661" s="4" t="str">
        <x:v>Paper transcribed</x:v>
      </x:c>
      <x:c r="F4661" s="4" t="str">
        <x:v>Record captured</x:v>
      </x:c>
      <x:c r="G4661" s="4" t="str">
        <x:v>Enquiry</x:v>
      </x:c>
    </x:row>
    <x:row r="4662" ht="34" customHeight="1">
      <x:c r="A4662" s="4" t="str">
        <x:v>RS-04661-E1</x:v>
      </x:c>
      <x:c r="B4662" s="4" t="str">
        <x:v>RS-04661</x:v>
      </x:c>
      <x:c r="C4662" s="8" t="n">
        <x:v>45578</x:v>
      </x:c>
      <x:c r="D4662" s="4" t="str">
        <x:v>Sales operations manager</x:v>
      </x:c>
      <x:c r="E4662" s="4" t="str">
        <x:v>ERP form</x:v>
      </x:c>
      <x:c r="F4662" s="4" t="str">
        <x:v>Record captured</x:v>
      </x:c>
      <x:c r="G4662" s="4" t="str">
        <x:v>Cancelled</x:v>
      </x:c>
    </x:row>
    <x:row r="4663" ht="34" customHeight="1">
      <x:c r="A4663" s="4" t="str">
        <x:v>RS-04662-E1</x:v>
      </x:c>
      <x:c r="B4663" s="4" t="str">
        <x:v>RS-04662</x:v>
      </x:c>
      <x:c r="C4663" s="8" t="n">
        <x:v>45579</x:v>
      </x:c>
      <x:c r="D4663" s="4" t="str">
        <x:v>Sales operations manager</x:v>
      </x:c>
      <x:c r="E4663" s="4" t="str">
        <x:v>Spreadsheet import</x:v>
      </x:c>
      <x:c r="F4663" s="4" t="str">
        <x:v>Record captured</x:v>
      </x:c>
      <x:c r="G4663" s="4" t="str">
        <x:v>Agreement signed</x:v>
      </x:c>
    </x:row>
    <x:row r="4664" ht="34" customHeight="1">
      <x:c r="A4664" s="4" t="str">
        <x:v>RS-04663-E1</x:v>
      </x:c>
      <x:c r="B4664" s="4" t="str">
        <x:v>RS-04663</x:v>
      </x:c>
      <x:c r="C4664" s="8" t="n">
        <x:v>45580</x:v>
      </x:c>
      <x:c r="D4664" s="4" t="str">
        <x:v>Sales operations manager</x:v>
      </x:c>
      <x:c r="E4664" s="4" t="str">
        <x:v>WhatsApp transcribed</x:v>
      </x:c>
      <x:c r="F4664" s="4" t="str">
        <x:v>Record captured</x:v>
      </x:c>
      <x:c r="G4664" s="4" t="str">
        <x:v>Reserved</x:v>
      </x:c>
    </x:row>
    <x:row r="4665" ht="34" customHeight="1">
      <x:c r="A4665" s="4" t="str">
        <x:v>RS-04664-E1</x:v>
      </x:c>
      <x:c r="B4665" s="4" t="str">
        <x:v>RS-04664</x:v>
      </x:c>
      <x:c r="C4665" s="8" t="n">
        <x:v>45581</x:v>
      </x:c>
      <x:c r="D4665" s="4" t="str">
        <x:v>Sales operations manager</x:v>
      </x:c>
      <x:c r="E4665" s="4" t="str">
        <x:v>Paper transcribed</x:v>
      </x:c>
      <x:c r="F4665" s="4" t="str">
        <x:v>Record captured</x:v>
      </x:c>
      <x:c r="G4665" s="4" t="str">
        <x:v>Cancelled</x:v>
      </x:c>
    </x:row>
    <x:row r="4666" ht="34" customHeight="1">
      <x:c r="A4666" s="4" t="str">
        <x:v>RS-04665-E1</x:v>
      </x:c>
      <x:c r="B4666" s="4" t="str">
        <x:v>RS-04665</x:v>
      </x:c>
      <x:c r="C4666" s="8" t="n">
        <x:v>45582</x:v>
      </x:c>
      <x:c r="D4666" s="4" t="str">
        <x:v>Sales operations manager</x:v>
      </x:c>
      <x:c r="E4666" s="4" t="str">
        <x:v>WhatsApp transcribed</x:v>
      </x:c>
      <x:c r="F4666" s="4" t="str">
        <x:v>Record captured</x:v>
      </x:c>
      <x:c r="G4666" s="4" t="str">
        <x:v>Agreement signed</x:v>
      </x:c>
    </x:row>
    <x:row r="4667" ht="34" customHeight="1">
      <x:c r="A4667" s="4" t="str">
        <x:v>RS-04666-E1</x:v>
      </x:c>
      <x:c r="B4667" s="4" t="str">
        <x:v>RS-04666</x:v>
      </x:c>
      <x:c r="C4667" s="8" t="n">
        <x:v>45583</x:v>
      </x:c>
      <x:c r="D4667" s="4" t="str">
        <x:v>Sales operations manager</x:v>
      </x:c>
      <x:c r="E4667" s="4" t="str">
        <x:v>ERP form</x:v>
      </x:c>
      <x:c r="F4667" s="4" t="str">
        <x:v>Record captured</x:v>
      </x:c>
      <x:c r="G4667" s="4" t="str">
        <x:v>Handed over</x:v>
      </x:c>
    </x:row>
    <x:row r="4668" ht="34" customHeight="1">
      <x:c r="A4668" s="4" t="str">
        <x:v>RS-04667-E1</x:v>
      </x:c>
      <x:c r="B4668" s="4" t="str">
        <x:v>RS-04667</x:v>
      </x:c>
      <x:c r="C4668" s="8" t="n">
        <x:v>45584</x:v>
      </x:c>
      <x:c r="D4668" s="4" t="str">
        <x:v>Sales operations manager</x:v>
      </x:c>
      <x:c r="E4668" s="4" t="str">
        <x:v>ERP form</x:v>
      </x:c>
      <x:c r="F4668" s="4" t="str">
        <x:v>Record captured</x:v>
      </x:c>
      <x:c r="G4668" s="4" t="str">
        <x:v>Enquiry</x:v>
      </x:c>
    </x:row>
    <x:row r="4669" ht="34" customHeight="1">
      <x:c r="A4669" s="4" t="str">
        <x:v>RS-04668-E1</x:v>
      </x:c>
      <x:c r="B4669" s="4" t="str">
        <x:v>RS-04668</x:v>
      </x:c>
      <x:c r="C4669" s="8" t="n">
        <x:v>45585</x:v>
      </x:c>
      <x:c r="D4669" s="4" t="str">
        <x:v>Sales operations manager</x:v>
      </x:c>
      <x:c r="E4669" s="4" t="str">
        <x:v>Spreadsheet import</x:v>
      </x:c>
      <x:c r="F4669" s="4" t="str">
        <x:v>Record captured</x:v>
      </x:c>
      <x:c r="G4669" s="4" t="str">
        <x:v>Reserved</x:v>
      </x:c>
    </x:row>
    <x:row r="4670" ht="34" customHeight="1">
      <x:c r="A4670" s="4" t="str">
        <x:v>RS-04669-E1</x:v>
      </x:c>
      <x:c r="B4670" s="4" t="str">
        <x:v>RS-04669</x:v>
      </x:c>
      <x:c r="C4670" s="8" t="n">
        <x:v>45586</x:v>
      </x:c>
      <x:c r="D4670" s="4" t="str">
        <x:v>Sales operations manager</x:v>
      </x:c>
      <x:c r="E4670" s="4" t="str">
        <x:v>Paper transcribed</x:v>
      </x:c>
      <x:c r="F4670" s="4" t="str">
        <x:v>Record captured</x:v>
      </x:c>
      <x:c r="G4670" s="4" t="str">
        <x:v>Cancelled</x:v>
      </x:c>
    </x:row>
    <x:row r="4671" ht="34" customHeight="1">
      <x:c r="A4671" s="4" t="str">
        <x:v>RS-04670-E1</x:v>
      </x:c>
      <x:c r="B4671" s="4" t="str">
        <x:v>RS-04670</x:v>
      </x:c>
      <x:c r="C4671" s="8" t="n">
        <x:v>45587</x:v>
      </x:c>
      <x:c r="D4671" s="4" t="str">
        <x:v>Sales operations manager</x:v>
      </x:c>
      <x:c r="E4671" s="4" t="str">
        <x:v>WhatsApp transcribed</x:v>
      </x:c>
      <x:c r="F4671" s="4" t="str">
        <x:v>Record captured</x:v>
      </x:c>
      <x:c r="G4671" s="4" t="str">
        <x:v>Reserved</x:v>
      </x:c>
    </x:row>
    <x:row r="4672" ht="34" customHeight="1">
      <x:c r="A4672" s="4" t="str">
        <x:v>RS-04671-E1</x:v>
      </x:c>
      <x:c r="B4672" s="4" t="str">
        <x:v>RS-04671</x:v>
      </x:c>
      <x:c r="C4672" s="8" t="n">
        <x:v>45588</x:v>
      </x:c>
      <x:c r="D4672" s="4" t="str">
        <x:v>Sales operations manager</x:v>
      </x:c>
      <x:c r="E4672" s="4" t="str">
        <x:v>Spreadsheet import</x:v>
      </x:c>
      <x:c r="F4672" s="4" t="str">
        <x:v>Record captured</x:v>
      </x:c>
      <x:c r="G4672" s="4" t="str">
        <x:v>Agreement signed</x:v>
      </x:c>
    </x:row>
    <x:row r="4673" ht="34" customHeight="1">
      <x:c r="A4673" s="4" t="str">
        <x:v>RS-04672-E1</x:v>
      </x:c>
      <x:c r="B4673" s="4" t="str">
        <x:v>RS-04672</x:v>
      </x:c>
      <x:c r="C4673" s="8" t="n">
        <x:v>45589</x:v>
      </x:c>
      <x:c r="D4673" s="4" t="str">
        <x:v>Sales operations manager</x:v>
      </x:c>
      <x:c r="E4673" s="4" t="str">
        <x:v>WhatsApp transcribed</x:v>
      </x:c>
      <x:c r="F4673" s="4" t="str">
        <x:v>Record captured</x:v>
      </x:c>
      <x:c r="G4673" s="4" t="str">
        <x:v>Agreement signed</x:v>
      </x:c>
    </x:row>
    <x:row r="4674" ht="34" customHeight="1">
      <x:c r="A4674" s="4" t="str">
        <x:v>RS-04673-E1</x:v>
      </x:c>
      <x:c r="B4674" s="4" t="str">
        <x:v>RS-04673</x:v>
      </x:c>
      <x:c r="C4674" s="8" t="n">
        <x:v>45590</x:v>
      </x:c>
      <x:c r="D4674" s="4" t="str">
        <x:v>Sales operations manager</x:v>
      </x:c>
      <x:c r="E4674" s="4" t="str">
        <x:v>Spreadsheet import</x:v>
      </x:c>
      <x:c r="F4674" s="4" t="str">
        <x:v>Record captured</x:v>
      </x:c>
      <x:c r="G4674" s="4" t="str">
        <x:v>Agreement signed</x:v>
      </x:c>
    </x:row>
    <x:row r="4675" ht="34" customHeight="1">
      <x:c r="A4675" s="4" t="str">
        <x:v>RS-04674-E1</x:v>
      </x:c>
      <x:c r="B4675" s="4" t="str">
        <x:v>RS-04674</x:v>
      </x:c>
      <x:c r="C4675" s="8" t="n">
        <x:v>45591</x:v>
      </x:c>
      <x:c r="D4675" s="4" t="str">
        <x:v>Sales operations manager</x:v>
      </x:c>
      <x:c r="E4675" s="4" t="str">
        <x:v>ERP form</x:v>
      </x:c>
      <x:c r="F4675" s="4" t="str">
        <x:v>Record captured</x:v>
      </x:c>
      <x:c r="G4675" s="4" t="str">
        <x:v>Booked</x:v>
      </x:c>
    </x:row>
    <x:row r="4676" ht="34" customHeight="1">
      <x:c r="A4676" s="4" t="str">
        <x:v>RS-04675-E1</x:v>
      </x:c>
      <x:c r="B4676" s="4" t="str">
        <x:v>RS-04675</x:v>
      </x:c>
      <x:c r="C4676" s="8" t="n">
        <x:v>45592</x:v>
      </x:c>
      <x:c r="D4676" s="4" t="str">
        <x:v>Sales operations manager</x:v>
      </x:c>
      <x:c r="E4676" s="4" t="str">
        <x:v>ERP form</x:v>
      </x:c>
      <x:c r="F4676" s="4" t="str">
        <x:v>Record captured</x:v>
      </x:c>
      <x:c r="G4676" s="4" t="str">
        <x:v>Handed over</x:v>
      </x:c>
    </x:row>
    <x:row r="4677" ht="34" customHeight="1">
      <x:c r="A4677" s="4" t="str">
        <x:v>RS-04676-E1</x:v>
      </x:c>
      <x:c r="B4677" s="4" t="str">
        <x:v>RS-04676</x:v>
      </x:c>
      <x:c r="C4677" s="8" t="n">
        <x:v>45593</x:v>
      </x:c>
      <x:c r="D4677" s="4" t="str">
        <x:v>Sales operations manager</x:v>
      </x:c>
      <x:c r="E4677" s="4" t="str">
        <x:v>WhatsApp transcribed</x:v>
      </x:c>
      <x:c r="F4677" s="4" t="str">
        <x:v>Record captured</x:v>
      </x:c>
      <x:c r="G4677" s="4" t="str">
        <x:v>Enquiry</x:v>
      </x:c>
    </x:row>
    <x:row r="4678" ht="34" customHeight="1">
      <x:c r="A4678" s="4" t="str">
        <x:v>RS-04677-E1</x:v>
      </x:c>
      <x:c r="B4678" s="4" t="str">
        <x:v>RS-04677</x:v>
      </x:c>
      <x:c r="C4678" s="8" t="n">
        <x:v>45566</x:v>
      </x:c>
      <x:c r="D4678" s="4" t="str">
        <x:v>Sales operations manager</x:v>
      </x:c>
      <x:c r="E4678" s="4" t="str">
        <x:v>Paper transcribed</x:v>
      </x:c>
      <x:c r="F4678" s="4" t="str">
        <x:v>Record captured</x:v>
      </x:c>
      <x:c r="G4678" s="4" t="str">
        <x:v>Reserved</x:v>
      </x:c>
    </x:row>
    <x:row r="4679" ht="34" customHeight="1">
      <x:c r="A4679" s="4" t="str">
        <x:v>RS-04678-E1</x:v>
      </x:c>
      <x:c r="B4679" s="4" t="str">
        <x:v>RS-04678</x:v>
      </x:c>
      <x:c r="C4679" s="8" t="n">
        <x:v>45567</x:v>
      </x:c>
      <x:c r="D4679" s="4" t="str">
        <x:v>Sales operations manager</x:v>
      </x:c>
      <x:c r="E4679" s="4" t="str">
        <x:v>WhatsApp transcribed</x:v>
      </x:c>
      <x:c r="F4679" s="4" t="str">
        <x:v>Record captured</x:v>
      </x:c>
      <x:c r="G4679" s="4" t="str">
        <x:v>Enquiry</x:v>
      </x:c>
    </x:row>
    <x:row r="4680" ht="34" customHeight="1">
      <x:c r="A4680" s="4" t="str">
        <x:v>RS-04679-E1</x:v>
      </x:c>
      <x:c r="B4680" s="4" t="str">
        <x:v>RS-04679</x:v>
      </x:c>
      <x:c r="C4680" s="8" t="n">
        <x:v>45568</x:v>
      </x:c>
      <x:c r="D4680" s="4" t="str">
        <x:v>Sales operations manager</x:v>
      </x:c>
      <x:c r="E4680" s="4" t="str">
        <x:v>Spreadsheet import</x:v>
      </x:c>
      <x:c r="F4680" s="4" t="str">
        <x:v>Record captured</x:v>
      </x:c>
      <x:c r="G4680" s="4" t="str">
        <x:v>Agreement signed</x:v>
      </x:c>
    </x:row>
    <x:row r="4681" ht="34" customHeight="1">
      <x:c r="A4681" s="4" t="str">
        <x:v>RS-04680-E1</x:v>
      </x:c>
      <x:c r="B4681" s="4" t="str">
        <x:v>RS-04680</x:v>
      </x:c>
      <x:c r="C4681" s="8" t="n">
        <x:v>45569</x:v>
      </x:c>
      <x:c r="D4681" s="4" t="str">
        <x:v>Sales operations manager</x:v>
      </x:c>
      <x:c r="E4681" s="4" t="str">
        <x:v>WhatsApp transcribed</x:v>
      </x:c>
      <x:c r="F4681" s="4" t="str">
        <x:v>Record captured</x:v>
      </x:c>
      <x:c r="G4681" s="4" t="str">
        <x:v>Booked</x:v>
      </x:c>
    </x:row>
    <x:row r="4682" ht="34" customHeight="1">
      <x:c r="A4682" s="4" t="str">
        <x:v>RS-04681-E1</x:v>
      </x:c>
      <x:c r="B4682" s="4" t="str">
        <x:v>RS-04681</x:v>
      </x:c>
      <x:c r="C4682" s="8" t="n">
        <x:v>45570</x:v>
      </x:c>
      <x:c r="D4682" s="4" t="str">
        <x:v>Sales operations manager</x:v>
      </x:c>
      <x:c r="E4682" s="4" t="str">
        <x:v>WhatsApp transcribed</x:v>
      </x:c>
      <x:c r="F4682" s="4" t="str">
        <x:v>Record captured</x:v>
      </x:c>
      <x:c r="G4682" s="4" t="str">
        <x:v>Handed over</x:v>
      </x:c>
    </x:row>
    <x:row r="4683" ht="34" customHeight="1">
      <x:c r="A4683" s="4" t="str">
        <x:v>RS-04682-E1</x:v>
      </x:c>
      <x:c r="B4683" s="4" t="str">
        <x:v>RS-04682</x:v>
      </x:c>
      <x:c r="C4683" s="8" t="n">
        <x:v>45571</x:v>
      </x:c>
      <x:c r="D4683" s="4" t="str">
        <x:v>Sales operations manager</x:v>
      </x:c>
      <x:c r="E4683" s="4" t="str">
        <x:v>WhatsApp transcribed</x:v>
      </x:c>
      <x:c r="F4683" s="4" t="str">
        <x:v>Record captured</x:v>
      </x:c>
      <x:c r="G4683" s="4" t="str">
        <x:v>Booked</x:v>
      </x:c>
    </x:row>
    <x:row r="4684" ht="34" customHeight="1">
      <x:c r="A4684" s="4" t="str">
        <x:v>RS-04683-E1</x:v>
      </x:c>
      <x:c r="B4684" s="4" t="str">
        <x:v>RS-04683</x:v>
      </x:c>
      <x:c r="C4684" s="8" t="n">
        <x:v>45572</x:v>
      </x:c>
      <x:c r="D4684" s="4" t="str">
        <x:v>Sales operations manager</x:v>
      </x:c>
      <x:c r="E4684" s="4" t="str">
        <x:v>Paper transcribed</x:v>
      </x:c>
      <x:c r="F4684" s="4" t="str">
        <x:v>Record captured</x:v>
      </x:c>
      <x:c r="G4684" s="4" t="str">
        <x:v>Cancelled</x:v>
      </x:c>
    </x:row>
    <x:row r="4685" ht="34" customHeight="1">
      <x:c r="A4685" s="4" t="str">
        <x:v>RS-04684-E1</x:v>
      </x:c>
      <x:c r="B4685" s="4" t="str">
        <x:v>RS-04684</x:v>
      </x:c>
      <x:c r="C4685" s="8" t="n">
        <x:v>45573</x:v>
      </x:c>
      <x:c r="D4685" s="4" t="str">
        <x:v>Sales operations manager</x:v>
      </x:c>
      <x:c r="E4685" s="4" t="str">
        <x:v>Paper transcribed</x:v>
      </x:c>
      <x:c r="F4685" s="4" t="str">
        <x:v>Record captured</x:v>
      </x:c>
      <x:c r="G4685" s="4" t="str">
        <x:v>Agreement signed</x:v>
      </x:c>
    </x:row>
    <x:row r="4686" ht="34" customHeight="1">
      <x:c r="A4686" s="4" t="str">
        <x:v>RS-04685-E1</x:v>
      </x:c>
      <x:c r="B4686" s="4" t="str">
        <x:v>RS-04685</x:v>
      </x:c>
      <x:c r="C4686" s="8" t="n">
        <x:v>45574</x:v>
      </x:c>
      <x:c r="D4686" s="4" t="str">
        <x:v>Sales operations manager</x:v>
      </x:c>
      <x:c r="E4686" s="4" t="str">
        <x:v>WhatsApp transcribed</x:v>
      </x:c>
      <x:c r="F4686" s="4" t="str">
        <x:v>Record captured</x:v>
      </x:c>
      <x:c r="G4686" s="4" t="str">
        <x:v>Booked</x:v>
      </x:c>
    </x:row>
    <x:row r="4687" ht="34" customHeight="1">
      <x:c r="A4687" s="4" t="str">
        <x:v>RS-04686-E1</x:v>
      </x:c>
      <x:c r="B4687" s="4" t="str">
        <x:v>RS-04686</x:v>
      </x:c>
      <x:c r="C4687" s="8" t="n">
        <x:v>45575</x:v>
      </x:c>
      <x:c r="D4687" s="4" t="str">
        <x:v>Sales operations manager</x:v>
      </x:c>
      <x:c r="E4687" s="4" t="str">
        <x:v>WhatsApp transcribed</x:v>
      </x:c>
      <x:c r="F4687" s="4" t="str">
        <x:v>Record captured</x:v>
      </x:c>
      <x:c r="G4687" s="4" t="str">
        <x:v>Agreement signed</x:v>
      </x:c>
    </x:row>
    <x:row r="4688" ht="34" customHeight="1">
      <x:c r="A4688" s="4" t="str">
        <x:v>RS-04687-E1</x:v>
      </x:c>
      <x:c r="B4688" s="4" t="str">
        <x:v>RS-04687</x:v>
      </x:c>
      <x:c r="C4688" s="8" t="n">
        <x:v>45576</x:v>
      </x:c>
      <x:c r="D4688" s="4" t="str">
        <x:v>Sales operations manager</x:v>
      </x:c>
      <x:c r="E4688" s="4" t="str">
        <x:v>WhatsApp transcribed</x:v>
      </x:c>
      <x:c r="F4688" s="4" t="str">
        <x:v>Record captured</x:v>
      </x:c>
      <x:c r="G4688" s="4" t="str">
        <x:v>Agreement signed</x:v>
      </x:c>
    </x:row>
    <x:row r="4689" ht="34" customHeight="1">
      <x:c r="A4689" s="4" t="str">
        <x:v>RS-04688-E1</x:v>
      </x:c>
      <x:c r="B4689" s="4" t="str">
        <x:v>RS-04688</x:v>
      </x:c>
      <x:c r="C4689" s="8" t="n">
        <x:v>45577</x:v>
      </x:c>
      <x:c r="D4689" s="4" t="str">
        <x:v>Sales operations manager</x:v>
      </x:c>
      <x:c r="E4689" s="4" t="str">
        <x:v>ERP form</x:v>
      </x:c>
      <x:c r="F4689" s="4" t="str">
        <x:v>Record captured</x:v>
      </x:c>
      <x:c r="G4689" s="4" t="str">
        <x:v>Reserved</x:v>
      </x:c>
    </x:row>
    <x:row r="4690" ht="34" customHeight="1">
      <x:c r="A4690" s="4" t="str">
        <x:v>RS-04689-E1</x:v>
      </x:c>
      <x:c r="B4690" s="4" t="str">
        <x:v>RS-04689</x:v>
      </x:c>
      <x:c r="C4690" s="8" t="n">
        <x:v>45578</x:v>
      </x:c>
      <x:c r="D4690" s="4" t="str">
        <x:v>Sales operations manager</x:v>
      </x:c>
      <x:c r="E4690" s="4" t="str">
        <x:v>Paper transcribed</x:v>
      </x:c>
      <x:c r="F4690" s="4" t="str">
        <x:v>Record captured</x:v>
      </x:c>
      <x:c r="G4690" s="4" t="str">
        <x:v>Agreement signed</x:v>
      </x:c>
    </x:row>
    <x:row r="4691" ht="34" customHeight="1">
      <x:c r="A4691" s="4" t="str">
        <x:v>RS-04690-E1</x:v>
      </x:c>
      <x:c r="B4691" s="4" t="str">
        <x:v>RS-04690</x:v>
      </x:c>
      <x:c r="C4691" s="8" t="n">
        <x:v>45579</x:v>
      </x:c>
      <x:c r="D4691" s="4" t="str">
        <x:v>Sales operations manager</x:v>
      </x:c>
      <x:c r="E4691" s="4" t="str">
        <x:v>Spreadsheet import</x:v>
      </x:c>
      <x:c r="F4691" s="4" t="str">
        <x:v>Record captured</x:v>
      </x:c>
      <x:c r="G4691" s="4" t="str">
        <x:v>Reserved</x:v>
      </x:c>
    </x:row>
    <x:row r="4692" ht="34" customHeight="1">
      <x:c r="A4692" s="4" t="str">
        <x:v>RS-04691-E1</x:v>
      </x:c>
      <x:c r="B4692" s="4" t="str">
        <x:v>RS-04691</x:v>
      </x:c>
      <x:c r="C4692" s="8" t="n">
        <x:v>45580</x:v>
      </x:c>
      <x:c r="D4692" s="4" t="str">
        <x:v>Sales operations manager</x:v>
      </x:c>
      <x:c r="E4692" s="4" t="str">
        <x:v>Paper transcribed</x:v>
      </x:c>
      <x:c r="F4692" s="4" t="str">
        <x:v>Record captured</x:v>
      </x:c>
      <x:c r="G4692" s="4" t="str">
        <x:v>Cancelled</x:v>
      </x:c>
    </x:row>
    <x:row r="4693" ht="34" customHeight="1">
      <x:c r="A4693" s="4" t="str">
        <x:v>RS-04692-E1</x:v>
      </x:c>
      <x:c r="B4693" s="4" t="str">
        <x:v>RS-04692</x:v>
      </x:c>
      <x:c r="C4693" s="8" t="n">
        <x:v>45581</x:v>
      </x:c>
      <x:c r="D4693" s="4" t="str">
        <x:v>Sales operations manager</x:v>
      </x:c>
      <x:c r="E4693" s="4" t="str">
        <x:v>ERP form</x:v>
      </x:c>
      <x:c r="F4693" s="4" t="str">
        <x:v>Record captured</x:v>
      </x:c>
      <x:c r="G4693" s="4" t="str">
        <x:v>Reserved</x:v>
      </x:c>
    </x:row>
    <x:row r="4694" ht="34" customHeight="1">
      <x:c r="A4694" s="4" t="str">
        <x:v>RS-04693-E1</x:v>
      </x:c>
      <x:c r="B4694" s="4" t="str">
        <x:v>RS-04693</x:v>
      </x:c>
      <x:c r="C4694" s="8" t="n">
        <x:v>45582</x:v>
      </x:c>
      <x:c r="D4694" s="4" t="str">
        <x:v>Sales operations manager</x:v>
      </x:c>
      <x:c r="E4694" s="4" t="str">
        <x:v>WhatsApp transcribed</x:v>
      </x:c>
      <x:c r="F4694" s="4" t="str">
        <x:v>Record captured</x:v>
      </x:c>
      <x:c r="G4694" s="4" t="str">
        <x:v>Booked</x:v>
      </x:c>
    </x:row>
    <x:row r="4695" ht="34" customHeight="1">
      <x:c r="A4695" s="4" t="str">
        <x:v>RS-04694-E1</x:v>
      </x:c>
      <x:c r="B4695" s="4" t="str">
        <x:v>RS-04694</x:v>
      </x:c>
      <x:c r="C4695" s="8" t="n">
        <x:v>45583</x:v>
      </x:c>
      <x:c r="D4695" s="4" t="str">
        <x:v>Sales operations manager</x:v>
      </x:c>
      <x:c r="E4695" s="4" t="str">
        <x:v>ERP form</x:v>
      </x:c>
      <x:c r="F4695" s="4" t="str">
        <x:v>Record captured</x:v>
      </x:c>
      <x:c r="G4695" s="4" t="str">
        <x:v>Agreement signed</x:v>
      </x:c>
    </x:row>
    <x:row r="4696" ht="34" customHeight="1">
      <x:c r="A4696" s="4" t="str">
        <x:v>RS-04695-E1</x:v>
      </x:c>
      <x:c r="B4696" s="4" t="str">
        <x:v>RS-04695</x:v>
      </x:c>
      <x:c r="C4696" s="8" t="n">
        <x:v>45584</x:v>
      </x:c>
      <x:c r="D4696" s="4" t="str">
        <x:v>Sales operations manager</x:v>
      </x:c>
      <x:c r="E4696" s="4" t="str">
        <x:v>ERP form</x:v>
      </x:c>
      <x:c r="F4696" s="4" t="str">
        <x:v>Record captured</x:v>
      </x:c>
      <x:c r="G4696" s="4" t="str">
        <x:v>Booked</x:v>
      </x:c>
    </x:row>
    <x:row r="4697" ht="34" customHeight="1">
      <x:c r="A4697" s="4" t="str">
        <x:v>RS-04696-E1</x:v>
      </x:c>
      <x:c r="B4697" s="4" t="str">
        <x:v>RS-04696</x:v>
      </x:c>
      <x:c r="C4697" s="8" t="n">
        <x:v>45585</x:v>
      </x:c>
      <x:c r="D4697" s="4" t="str">
        <x:v>Sales operations manager</x:v>
      </x:c>
      <x:c r="E4697" s="4" t="str">
        <x:v>WhatsApp transcribed</x:v>
      </x:c>
      <x:c r="F4697" s="4" t="str">
        <x:v>Record captured</x:v>
      </x:c>
      <x:c r="G4697" s="4" t="str">
        <x:v>Handed over</x:v>
      </x:c>
    </x:row>
    <x:row r="4698" ht="34" customHeight="1">
      <x:c r="A4698" s="4" t="str">
        <x:v>RS-04697-E1</x:v>
      </x:c>
      <x:c r="B4698" s="4" t="str">
        <x:v>RS-04697</x:v>
      </x:c>
      <x:c r="C4698" s="8" t="n">
        <x:v>45586</x:v>
      </x:c>
      <x:c r="D4698" s="4" t="str">
        <x:v>Sales operations manager</x:v>
      </x:c>
      <x:c r="E4698" s="4" t="str">
        <x:v>WhatsApp transcribed</x:v>
      </x:c>
      <x:c r="F4698" s="4" t="str">
        <x:v>Record captured</x:v>
      </x:c>
      <x:c r="G4698" s="4" t="str">
        <x:v>Booked</x:v>
      </x:c>
    </x:row>
    <x:row r="4699" ht="34" customHeight="1">
      <x:c r="A4699" s="4" t="str">
        <x:v>RS-04698-E1</x:v>
      </x:c>
      <x:c r="B4699" s="4" t="str">
        <x:v>RS-04698</x:v>
      </x:c>
      <x:c r="C4699" s="8" t="n">
        <x:v>45587</x:v>
      </x:c>
      <x:c r="D4699" s="4" t="str">
        <x:v>Sales operations manager</x:v>
      </x:c>
      <x:c r="E4699" s="4" t="str">
        <x:v>Spreadsheet import</x:v>
      </x:c>
      <x:c r="F4699" s="4" t="str">
        <x:v>Record captured</x:v>
      </x:c>
      <x:c r="G4699" s="4" t="str">
        <x:v>Enquiry</x:v>
      </x:c>
    </x:row>
    <x:row r="4700" ht="34" customHeight="1">
      <x:c r="A4700" s="4" t="str">
        <x:v>RS-04699-E1</x:v>
      </x:c>
      <x:c r="B4700" s="4" t="str">
        <x:v>RS-04699</x:v>
      </x:c>
      <x:c r="C4700" s="8" t="n">
        <x:v>45588</x:v>
      </x:c>
      <x:c r="D4700" s="4" t="str">
        <x:v>Sales operations manager</x:v>
      </x:c>
      <x:c r="E4700" s="4" t="str">
        <x:v>ERP form</x:v>
      </x:c>
      <x:c r="F4700" s="4" t="str">
        <x:v>Record captured</x:v>
      </x:c>
      <x:c r="G4700" s="4" t="str">
        <x:v>Agreement signed</x:v>
      </x:c>
    </x:row>
    <x:row r="4701" ht="34" customHeight="1">
      <x:c r="A4701" s="4" t="str">
        <x:v>RS-04700-E1</x:v>
      </x:c>
      <x:c r="B4701" s="4" t="str">
        <x:v>RS-04700</x:v>
      </x:c>
      <x:c r="C4701" s="8" t="n">
        <x:v>45589</x:v>
      </x:c>
      <x:c r="D4701" s="4" t="str">
        <x:v>Sales operations manager</x:v>
      </x:c>
      <x:c r="E4701" s="4" t="str">
        <x:v>ERP form</x:v>
      </x:c>
      <x:c r="F4701" s="4" t="str">
        <x:v>Record captured</x:v>
      </x:c>
      <x:c r="G4701" s="4" t="str">
        <x:v>Reserved</x:v>
      </x:c>
    </x:row>
    <x:row r="4702" ht="34" customHeight="1">
      <x:c r="A4702" s="4" t="str">
        <x:v>RS-04701-E1</x:v>
      </x:c>
      <x:c r="B4702" s="4" t="str">
        <x:v>RS-04701</x:v>
      </x:c>
      <x:c r="C4702" s="8" t="n">
        <x:v>45590</x:v>
      </x:c>
      <x:c r="D4702" s="4" t="str">
        <x:v>Sales operations manager</x:v>
      </x:c>
      <x:c r="E4702" s="4" t="str">
        <x:v>ERP form</x:v>
      </x:c>
      <x:c r="F4702" s="4" t="str">
        <x:v>Record captured</x:v>
      </x:c>
      <x:c r="G4702" s="4" t="str">
        <x:v>Enquiry</x:v>
      </x:c>
    </x:row>
    <x:row r="4703" ht="34" customHeight="1">
      <x:c r="A4703" s="4" t="str">
        <x:v>RS-04702-E1</x:v>
      </x:c>
      <x:c r="B4703" s="4" t="str">
        <x:v>RS-04702</x:v>
      </x:c>
      <x:c r="C4703" s="8" t="n">
        <x:v>45591</x:v>
      </x:c>
      <x:c r="D4703" s="4" t="str">
        <x:v>Sales operations manager</x:v>
      </x:c>
      <x:c r="E4703" s="4" t="str">
        <x:v>ERP form</x:v>
      </x:c>
      <x:c r="F4703" s="4" t="str">
        <x:v>Record captured</x:v>
      </x:c>
      <x:c r="G4703" s="4" t="str">
        <x:v>Agreement signed</x:v>
      </x:c>
    </x:row>
    <x:row r="4704" ht="34" customHeight="1">
      <x:c r="A4704" s="4" t="str">
        <x:v>RS-04703-E1</x:v>
      </x:c>
      <x:c r="B4704" s="4" t="str">
        <x:v>RS-04703</x:v>
      </x:c>
      <x:c r="C4704" s="8" t="n">
        <x:v>45592</x:v>
      </x:c>
      <x:c r="D4704" s="4" t="str">
        <x:v>Sales operations manager</x:v>
      </x:c>
      <x:c r="E4704" s="4" t="str">
        <x:v>Spreadsheet import</x:v>
      </x:c>
      <x:c r="F4704" s="4" t="str">
        <x:v>Record captured</x:v>
      </x:c>
      <x:c r="G4704" s="4" t="str">
        <x:v>Handed over</x:v>
      </x:c>
    </x:row>
    <x:row r="4705" ht="34" customHeight="1">
      <x:c r="A4705" s="4" t="str">
        <x:v>RS-04704-E1</x:v>
      </x:c>
      <x:c r="B4705" s="4" t="str">
        <x:v>RS-04704</x:v>
      </x:c>
      <x:c r="C4705" s="8" t="n">
        <x:v>45593</x:v>
      </x:c>
      <x:c r="D4705" s="4" t="str">
        <x:v>Sales operations manager</x:v>
      </x:c>
      <x:c r="E4705" s="4" t="str">
        <x:v>ERP form</x:v>
      </x:c>
      <x:c r="F4705" s="4" t="str">
        <x:v>Record captured</x:v>
      </x:c>
      <x:c r="G4705" s="4" t="str">
        <x:v>Cancelled</x:v>
      </x:c>
    </x:row>
    <x:row r="4706" ht="34" customHeight="1">
      <x:c r="A4706" s="4" t="str">
        <x:v>RS-04705-E1</x:v>
      </x:c>
      <x:c r="B4706" s="4" t="str">
        <x:v>RS-04705</x:v>
      </x:c>
      <x:c r="C4706" s="8" t="n">
        <x:v>45566</x:v>
      </x:c>
      <x:c r="D4706" s="4" t="str">
        <x:v>Sales operations manager</x:v>
      </x:c>
      <x:c r="E4706" s="4" t="str">
        <x:v>WhatsApp transcribed</x:v>
      </x:c>
      <x:c r="F4706" s="4" t="str">
        <x:v>Record captured</x:v>
      </x:c>
      <x:c r="G4706" s="4" t="str">
        <x:v>Reserved</x:v>
      </x:c>
    </x:row>
    <x:row r="4707" ht="34" customHeight="1">
      <x:c r="A4707" s="4" t="str">
        <x:v>RS-04706-E1</x:v>
      </x:c>
      <x:c r="B4707" s="4" t="str">
        <x:v>RS-04706</x:v>
      </x:c>
      <x:c r="C4707" s="8" t="n">
        <x:v>45567</x:v>
      </x:c>
      <x:c r="D4707" s="4" t="str">
        <x:v>Sales operations manager</x:v>
      </x:c>
      <x:c r="E4707" s="4" t="str">
        <x:v>Spreadsheet import</x:v>
      </x:c>
      <x:c r="F4707" s="4" t="str">
        <x:v>Record captured</x:v>
      </x:c>
      <x:c r="G4707" s="4" t="str">
        <x:v>Handed over</x:v>
      </x:c>
    </x:row>
    <x:row r="4708" ht="34" customHeight="1">
      <x:c r="A4708" s="4" t="str">
        <x:v>RS-04707-E1</x:v>
      </x:c>
      <x:c r="B4708" s="4" t="str">
        <x:v>RS-04707</x:v>
      </x:c>
      <x:c r="C4708" s="8" t="n">
        <x:v>45568</x:v>
      </x:c>
      <x:c r="D4708" s="4" t="str">
        <x:v>Sales operations manager</x:v>
      </x:c>
      <x:c r="E4708" s="4" t="str">
        <x:v>Paper transcribed</x:v>
      </x:c>
      <x:c r="F4708" s="4" t="str">
        <x:v>Record captured</x:v>
      </x:c>
      <x:c r="G4708" s="4" t="str">
        <x:v>Enquiry</x:v>
      </x:c>
    </x:row>
    <x:row r="4709" ht="34" customHeight="1">
      <x:c r="A4709" s="4" t="str">
        <x:v>RS-04708-E1</x:v>
      </x:c>
      <x:c r="B4709" s="4" t="str">
        <x:v>RS-04708</x:v>
      </x:c>
      <x:c r="C4709" s="8" t="n">
        <x:v>45569</x:v>
      </x:c>
      <x:c r="D4709" s="4" t="str">
        <x:v>Sales operations manager</x:v>
      </x:c>
      <x:c r="E4709" s="4" t="str">
        <x:v>WhatsApp transcribed</x:v>
      </x:c>
      <x:c r="F4709" s="4" t="str">
        <x:v>Record captured</x:v>
      </x:c>
      <x:c r="G4709" s="4" t="str">
        <x:v>Booked</x:v>
      </x:c>
    </x:row>
    <x:row r="4710" ht="34" customHeight="1">
      <x:c r="A4710" s="4" t="str">
        <x:v>RS-04709-E1</x:v>
      </x:c>
      <x:c r="B4710" s="4" t="str">
        <x:v>RS-04709</x:v>
      </x:c>
      <x:c r="C4710" s="8" t="n">
        <x:v>45570</x:v>
      </x:c>
      <x:c r="D4710" s="4" t="str">
        <x:v>Sales operations manager</x:v>
      </x:c>
      <x:c r="E4710" s="4" t="str">
        <x:v>WhatsApp transcribed</x:v>
      </x:c>
      <x:c r="F4710" s="4" t="str">
        <x:v>Record captured</x:v>
      </x:c>
      <x:c r="G4710" s="4" t="str">
        <x:v>Reserved</x:v>
      </x:c>
    </x:row>
    <x:row r="4711" ht="34" customHeight="1">
      <x:c r="A4711" s="4" t="str">
        <x:v>RS-04710-E1</x:v>
      </x:c>
      <x:c r="B4711" s="4" t="str">
        <x:v>RS-04710</x:v>
      </x:c>
      <x:c r="C4711" s="8" t="n">
        <x:v>45571</x:v>
      </x:c>
      <x:c r="D4711" s="4" t="str">
        <x:v>Sales operations manager</x:v>
      </x:c>
      <x:c r="E4711" s="4" t="str">
        <x:v>Paper transcribed</x:v>
      </x:c>
      <x:c r="F4711" s="4" t="str">
        <x:v>Record captured</x:v>
      </x:c>
      <x:c r="G4711" s="4" t="str">
        <x:v>Reserved</x:v>
      </x:c>
    </x:row>
    <x:row r="4712" ht="34" customHeight="1">
      <x:c r="A4712" s="4" t="str">
        <x:v>RS-04711-E1</x:v>
      </x:c>
      <x:c r="B4712" s="4" t="str">
        <x:v>RS-04711</x:v>
      </x:c>
      <x:c r="C4712" s="8" t="n">
        <x:v>45572</x:v>
      </x:c>
      <x:c r="D4712" s="4" t="str">
        <x:v>Sales operations manager</x:v>
      </x:c>
      <x:c r="E4712" s="4" t="str">
        <x:v>Spreadsheet import</x:v>
      </x:c>
      <x:c r="F4712" s="4" t="str">
        <x:v>Record captured</x:v>
      </x:c>
      <x:c r="G4712" s="4" t="str">
        <x:v>Booked</x:v>
      </x:c>
    </x:row>
    <x:row r="4713" ht="34" customHeight="1">
      <x:c r="A4713" s="4" t="str">
        <x:v>RS-04712-E1</x:v>
      </x:c>
      <x:c r="B4713" s="4" t="str">
        <x:v>RS-04712</x:v>
      </x:c>
      <x:c r="C4713" s="8" t="n">
        <x:v>45573</x:v>
      </x:c>
      <x:c r="D4713" s="4" t="str">
        <x:v>Sales operations manager</x:v>
      </x:c>
      <x:c r="E4713" s="4" t="str">
        <x:v>ERP form</x:v>
      </x:c>
      <x:c r="F4713" s="4" t="str">
        <x:v>Record captured</x:v>
      </x:c>
      <x:c r="G4713" s="4" t="str">
        <x:v>Agreement signed</x:v>
      </x:c>
    </x:row>
    <x:row r="4714" ht="34" customHeight="1">
      <x:c r="A4714" s="4" t="str">
        <x:v>RS-04713-E1</x:v>
      </x:c>
      <x:c r="B4714" s="4" t="str">
        <x:v>RS-04713</x:v>
      </x:c>
      <x:c r="C4714" s="8" t="n">
        <x:v>45574</x:v>
      </x:c>
      <x:c r="D4714" s="4" t="str">
        <x:v>Sales operations manager</x:v>
      </x:c>
      <x:c r="E4714" s="4" t="str">
        <x:v>ERP form</x:v>
      </x:c>
      <x:c r="F4714" s="4" t="str">
        <x:v>Record captured</x:v>
      </x:c>
      <x:c r="G4714" s="4" t="str">
        <x:v>Agreement signed</x:v>
      </x:c>
    </x:row>
    <x:row r="4715" ht="34" customHeight="1">
      <x:c r="A4715" s="4" t="str">
        <x:v>RS-04714-E1</x:v>
      </x:c>
      <x:c r="B4715" s="4" t="str">
        <x:v>RS-04714</x:v>
      </x:c>
      <x:c r="C4715" s="8" t="n">
        <x:v>45575</x:v>
      </x:c>
      <x:c r="D4715" s="4" t="str">
        <x:v>Sales operations manager</x:v>
      </x:c>
      <x:c r="E4715" s="4" t="str">
        <x:v>ERP form</x:v>
      </x:c>
      <x:c r="F4715" s="4" t="str">
        <x:v>Record captured</x:v>
      </x:c>
      <x:c r="G4715" s="4" t="str">
        <x:v>Cancelled</x:v>
      </x:c>
    </x:row>
    <x:row r="4716" ht="34" customHeight="1">
      <x:c r="A4716" s="4" t="str">
        <x:v>RS-04715-E1</x:v>
      </x:c>
      <x:c r="B4716" s="4" t="str">
        <x:v>RS-04715</x:v>
      </x:c>
      <x:c r="C4716" s="8" t="n">
        <x:v>45576</x:v>
      </x:c>
      <x:c r="D4716" s="4" t="str">
        <x:v>Sales operations manager</x:v>
      </x:c>
      <x:c r="E4716" s="4" t="str">
        <x:v>WhatsApp transcribed</x:v>
      </x:c>
      <x:c r="F4716" s="4" t="str">
        <x:v>Record captured</x:v>
      </x:c>
      <x:c r="G4716" s="4" t="str">
        <x:v>Reserved</x:v>
      </x:c>
    </x:row>
    <x:row r="4717" ht="34" customHeight="1">
      <x:c r="A4717" s="4" t="str">
        <x:v>RS-04716-E1</x:v>
      </x:c>
      <x:c r="B4717" s="4" t="str">
        <x:v>RS-04716</x:v>
      </x:c>
      <x:c r="C4717" s="8" t="n">
        <x:v>45577</x:v>
      </x:c>
      <x:c r="D4717" s="4" t="str">
        <x:v>Sales operations manager</x:v>
      </x:c>
      <x:c r="E4717" s="4" t="str">
        <x:v>ERP form</x:v>
      </x:c>
      <x:c r="F4717" s="4" t="str">
        <x:v>Record captured</x:v>
      </x:c>
      <x:c r="G4717" s="4" t="str">
        <x:v>Reserved</x:v>
      </x:c>
    </x:row>
    <x:row r="4718" ht="34" customHeight="1">
      <x:c r="A4718" s="4" t="str">
        <x:v>RS-04717-E1</x:v>
      </x:c>
      <x:c r="B4718" s="4" t="str">
        <x:v>RS-04717</x:v>
      </x:c>
      <x:c r="C4718" s="8" t="n">
        <x:v>45578</x:v>
      </x:c>
      <x:c r="D4718" s="4" t="str">
        <x:v>Sales operations manager</x:v>
      </x:c>
      <x:c r="E4718" s="4" t="str">
        <x:v>ERP form</x:v>
      </x:c>
      <x:c r="F4718" s="4" t="str">
        <x:v>Record captured</x:v>
      </x:c>
      <x:c r="G4718" s="4" t="str">
        <x:v>Booked</x:v>
      </x:c>
    </x:row>
    <x:row r="4719" ht="34" customHeight="1">
      <x:c r="A4719" s="4" t="str">
        <x:v>RS-04718-E1</x:v>
      </x:c>
      <x:c r="B4719" s="4" t="str">
        <x:v>RS-04718</x:v>
      </x:c>
      <x:c r="C4719" s="8" t="n">
        <x:v>45579</x:v>
      </x:c>
      <x:c r="D4719" s="4" t="str">
        <x:v>Sales operations manager</x:v>
      </x:c>
      <x:c r="E4719" s="4" t="str">
        <x:v>ERP form</x:v>
      </x:c>
      <x:c r="F4719" s="4" t="str">
        <x:v>Record captured</x:v>
      </x:c>
      <x:c r="G4719" s="4" t="str">
        <x:v>Enquiry</x:v>
      </x:c>
    </x:row>
    <x:row r="4720" ht="34" customHeight="1">
      <x:c r="A4720" s="4" t="str">
        <x:v>RS-04719-E1</x:v>
      </x:c>
      <x:c r="B4720" s="4" t="str">
        <x:v>RS-04719</x:v>
      </x:c>
      <x:c r="C4720" s="8" t="n">
        <x:v>45580</x:v>
      </x:c>
      <x:c r="D4720" s="4" t="str">
        <x:v>Sales operations manager</x:v>
      </x:c>
      <x:c r="E4720" s="4" t="str">
        <x:v>ERP form</x:v>
      </x:c>
      <x:c r="F4720" s="4" t="str">
        <x:v>Record captured</x:v>
      </x:c>
      <x:c r="G4720" s="4" t="str">
        <x:v>Reserved</x:v>
      </x:c>
    </x:row>
    <x:row r="4721" ht="34" customHeight="1">
      <x:c r="A4721" s="4" t="str">
        <x:v>RS-04720-E1</x:v>
      </x:c>
      <x:c r="B4721" s="4" t="str">
        <x:v>RS-04720</x:v>
      </x:c>
      <x:c r="C4721" s="8" t="n">
        <x:v>45581</x:v>
      </x:c>
      <x:c r="D4721" s="4" t="str">
        <x:v>Sales operations manager</x:v>
      </x:c>
      <x:c r="E4721" s="4" t="str">
        <x:v>Spreadsheet import</x:v>
      </x:c>
      <x:c r="F4721" s="4" t="str">
        <x:v>Record captured</x:v>
      </x:c>
      <x:c r="G4721" s="4" t="str">
        <x:v>Cancelled</x:v>
      </x:c>
    </x:row>
    <x:row r="4722" ht="34" customHeight="1">
      <x:c r="A4722" s="4" t="str">
        <x:v>RS-04721-E1</x:v>
      </x:c>
      <x:c r="B4722" s="4" t="str">
        <x:v>RS-04721</x:v>
      </x:c>
      <x:c r="C4722" s="8" t="n">
        <x:v>45582</x:v>
      </x:c>
      <x:c r="D4722" s="4" t="str">
        <x:v>Sales operations manager</x:v>
      </x:c>
      <x:c r="E4722" s="4" t="str">
        <x:v>Paper transcribed</x:v>
      </x:c>
      <x:c r="F4722" s="4" t="str">
        <x:v>Record captured</x:v>
      </x:c>
      <x:c r="G4722" s="4" t="str">
        <x:v>Handed over</x:v>
      </x:c>
    </x:row>
    <x:row r="4723" ht="34" customHeight="1">
      <x:c r="A4723" s="4" t="str">
        <x:v>RS-04722-E1</x:v>
      </x:c>
      <x:c r="B4723" s="4" t="str">
        <x:v>RS-04722</x:v>
      </x:c>
      <x:c r="C4723" s="8" t="n">
        <x:v>45583</x:v>
      </x:c>
      <x:c r="D4723" s="4" t="str">
        <x:v>Sales operations manager</x:v>
      </x:c>
      <x:c r="E4723" s="4" t="str">
        <x:v>ERP form</x:v>
      </x:c>
      <x:c r="F4723" s="4" t="str">
        <x:v>Record captured</x:v>
      </x:c>
      <x:c r="G4723" s="4" t="str">
        <x:v>Reserved</x:v>
      </x:c>
    </x:row>
    <x:row r="4724" ht="34" customHeight="1">
      <x:c r="A4724" s="4" t="str">
        <x:v>RS-04723-E1</x:v>
      </x:c>
      <x:c r="B4724" s="4" t="str">
        <x:v>RS-04723</x:v>
      </x:c>
      <x:c r="C4724" s="8" t="n">
        <x:v>45584</x:v>
      </x:c>
      <x:c r="D4724" s="4" t="str">
        <x:v>Sales operations manager</x:v>
      </x:c>
      <x:c r="E4724" s="4" t="str">
        <x:v>Spreadsheet import</x:v>
      </x:c>
      <x:c r="F4724" s="4" t="str">
        <x:v>Record captured</x:v>
      </x:c>
      <x:c r="G4724" s="4" t="str">
        <x:v>Reserved</x:v>
      </x:c>
    </x:row>
    <x:row r="4725" ht="34" customHeight="1">
      <x:c r="A4725" s="4" t="str">
        <x:v>RS-04724-E1</x:v>
      </x:c>
      <x:c r="B4725" s="4" t="str">
        <x:v>RS-04724</x:v>
      </x:c>
      <x:c r="C4725" s="8" t="n">
        <x:v>45585</x:v>
      </x:c>
      <x:c r="D4725" s="4" t="str">
        <x:v>Sales operations manager</x:v>
      </x:c>
      <x:c r="E4725" s="4" t="str">
        <x:v>WhatsApp transcribed</x:v>
      </x:c>
      <x:c r="F4725" s="4" t="str">
        <x:v>Record captured</x:v>
      </x:c>
      <x:c r="G4725" s="4" t="str">
        <x:v>Agreement signed</x:v>
      </x:c>
    </x:row>
    <x:row r="4726" ht="34" customHeight="1">
      <x:c r="A4726" s="4" t="str">
        <x:v>RS-04725-E1</x:v>
      </x:c>
      <x:c r="B4726" s="4" t="str">
        <x:v>RS-04725</x:v>
      </x:c>
      <x:c r="C4726" s="8" t="n">
        <x:v>45586</x:v>
      </x:c>
      <x:c r="D4726" s="4" t="str">
        <x:v>Sales operations manager</x:v>
      </x:c>
      <x:c r="E4726" s="4" t="str">
        <x:v>WhatsApp transcribed</x:v>
      </x:c>
      <x:c r="F4726" s="4" t="str">
        <x:v>Record captured</x:v>
      </x:c>
      <x:c r="G4726" s="4" t="str">
        <x:v>Reserved</x:v>
      </x:c>
    </x:row>
    <x:row r="4727" ht="34" customHeight="1">
      <x:c r="A4727" s="4" t="str">
        <x:v>RS-04726-E1</x:v>
      </x:c>
      <x:c r="B4727" s="4" t="str">
        <x:v>RS-04726</x:v>
      </x:c>
      <x:c r="C4727" s="8" t="n">
        <x:v>45587</x:v>
      </x:c>
      <x:c r="D4727" s="4" t="str">
        <x:v>Sales operations manager</x:v>
      </x:c>
      <x:c r="E4727" s="4" t="str">
        <x:v>Paper transcribed</x:v>
      </x:c>
      <x:c r="F4727" s="4" t="str">
        <x:v>Record captured</x:v>
      </x:c>
      <x:c r="G4727" s="4" t="str">
        <x:v>Agreement signed</x:v>
      </x:c>
    </x:row>
    <x:row r="4728" ht="34" customHeight="1">
      <x:c r="A4728" s="4" t="str">
        <x:v>RS-04727-E1</x:v>
      </x:c>
      <x:c r="B4728" s="4" t="str">
        <x:v>RS-04727</x:v>
      </x:c>
      <x:c r="C4728" s="8" t="n">
        <x:v>45588</x:v>
      </x:c>
      <x:c r="D4728" s="4" t="str">
        <x:v>Sales operations manager</x:v>
      </x:c>
      <x:c r="E4728" s="4" t="str">
        <x:v>Spreadsheet import</x:v>
      </x:c>
      <x:c r="F4728" s="4" t="str">
        <x:v>Record captured</x:v>
      </x:c>
      <x:c r="G4728" s="4" t="str">
        <x:v>Booked</x:v>
      </x:c>
    </x:row>
    <x:row r="4729" ht="34" customHeight="1">
      <x:c r="A4729" s="4" t="str">
        <x:v>RS-04728-E1</x:v>
      </x:c>
      <x:c r="B4729" s="4" t="str">
        <x:v>RS-04728</x:v>
      </x:c>
      <x:c r="C4729" s="8" t="n">
        <x:v>45589</x:v>
      </x:c>
      <x:c r="D4729" s="4" t="str">
        <x:v>Sales operations manager</x:v>
      </x:c>
      <x:c r="E4729" s="4" t="str">
        <x:v>Spreadsheet import</x:v>
      </x:c>
      <x:c r="F4729" s="4" t="str">
        <x:v>Record captured</x:v>
      </x:c>
      <x:c r="G4729" s="4" t="str">
        <x:v>Enquiry</x:v>
      </x:c>
    </x:row>
    <x:row r="4730" ht="34" customHeight="1">
      <x:c r="A4730" s="4" t="str">
        <x:v>RS-04729-E1</x:v>
      </x:c>
      <x:c r="B4730" s="4" t="str">
        <x:v>RS-04729</x:v>
      </x:c>
      <x:c r="C4730" s="8" t="n">
        <x:v>45590</x:v>
      </x:c>
      <x:c r="D4730" s="4" t="str">
        <x:v>Sales operations manager</x:v>
      </x:c>
      <x:c r="E4730" s="4" t="str">
        <x:v>WhatsApp transcribed</x:v>
      </x:c>
      <x:c r="F4730" s="4" t="str">
        <x:v>Record captured</x:v>
      </x:c>
      <x:c r="G4730" s="4" t="str">
        <x:v>Enquiry</x:v>
      </x:c>
    </x:row>
    <x:row r="4731" ht="34" customHeight="1">
      <x:c r="A4731" s="4" t="str">
        <x:v>RS-04730-E1</x:v>
      </x:c>
      <x:c r="B4731" s="4" t="str">
        <x:v>RS-04730</x:v>
      </x:c>
      <x:c r="C4731" s="8" t="n">
        <x:v>45591</x:v>
      </x:c>
      <x:c r="D4731" s="4" t="str">
        <x:v>Sales operations manager</x:v>
      </x:c>
      <x:c r="E4731" s="4" t="str">
        <x:v>Spreadsheet import</x:v>
      </x:c>
      <x:c r="F4731" s="4" t="str">
        <x:v>Record captured</x:v>
      </x:c>
      <x:c r="G4731" s="4" t="str">
        <x:v>Handed over</x:v>
      </x:c>
    </x:row>
    <x:row r="4732" ht="34" customHeight="1">
      <x:c r="A4732" s="4" t="str">
        <x:v>RS-04731-E1</x:v>
      </x:c>
      <x:c r="B4732" s="4" t="str">
        <x:v>RS-04731</x:v>
      </x:c>
      <x:c r="C4732" s="8" t="n">
        <x:v>45592</x:v>
      </x:c>
      <x:c r="D4732" s="4" t="str">
        <x:v>Sales operations manager</x:v>
      </x:c>
      <x:c r="E4732" s="4" t="str">
        <x:v>Spreadsheet import</x:v>
      </x:c>
      <x:c r="F4732" s="4" t="str">
        <x:v>Record captured</x:v>
      </x:c>
      <x:c r="G4732" s="4" t="str">
        <x:v>Cancelled</x:v>
      </x:c>
    </x:row>
    <x:row r="4733" ht="34" customHeight="1">
      <x:c r="A4733" s="4" t="str">
        <x:v>RS-04732-E1</x:v>
      </x:c>
      <x:c r="B4733" s="4" t="str">
        <x:v>RS-04732</x:v>
      </x:c>
      <x:c r="C4733" s="8" t="n">
        <x:v>45593</x:v>
      </x:c>
      <x:c r="D4733" s="4" t="str">
        <x:v>Sales operations manager</x:v>
      </x:c>
      <x:c r="E4733" s="4" t="str">
        <x:v>Spreadsheet import</x:v>
      </x:c>
      <x:c r="F4733" s="4" t="str">
        <x:v>Record captured</x:v>
      </x:c>
      <x:c r="G4733" s="4" t="str">
        <x:v>Handed over</x:v>
      </x:c>
    </x:row>
    <x:row r="4734" ht="34" customHeight="1">
      <x:c r="A4734" s="4" t="str">
        <x:v>RS-04733-E1</x:v>
      </x:c>
      <x:c r="B4734" s="4" t="str">
        <x:v>RS-04733</x:v>
      </x:c>
      <x:c r="C4734" s="8" t="n">
        <x:v>45566</x:v>
      </x:c>
      <x:c r="D4734" s="4" t="str">
        <x:v>Sales operations manager</x:v>
      </x:c>
      <x:c r="E4734" s="4" t="str">
        <x:v>ERP form</x:v>
      </x:c>
      <x:c r="F4734" s="4" t="str">
        <x:v>Record captured</x:v>
      </x:c>
      <x:c r="G4734" s="4" t="str">
        <x:v>Reserved</x:v>
      </x:c>
    </x:row>
    <x:row r="4735" ht="34" customHeight="1">
      <x:c r="A4735" s="4" t="str">
        <x:v>RS-04734-E1</x:v>
      </x:c>
      <x:c r="B4735" s="4" t="str">
        <x:v>RS-04734</x:v>
      </x:c>
      <x:c r="C4735" s="8" t="n">
        <x:v>45567</x:v>
      </x:c>
      <x:c r="D4735" s="4" t="str">
        <x:v>Sales operations manager</x:v>
      </x:c>
      <x:c r="E4735" s="4" t="str">
        <x:v>Paper transcribed</x:v>
      </x:c>
      <x:c r="F4735" s="4" t="str">
        <x:v>Record captured</x:v>
      </x:c>
      <x:c r="G4735" s="4" t="str">
        <x:v>Handed over</x:v>
      </x:c>
    </x:row>
    <x:row r="4736" ht="34" customHeight="1">
      <x:c r="A4736" s="4" t="str">
        <x:v>RS-04735-E1</x:v>
      </x:c>
      <x:c r="B4736" s="4" t="str">
        <x:v>RS-04735</x:v>
      </x:c>
      <x:c r="C4736" s="8" t="n">
        <x:v>45568</x:v>
      </x:c>
      <x:c r="D4736" s="4" t="str">
        <x:v>Sales operations manager</x:v>
      </x:c>
      <x:c r="E4736" s="4" t="str">
        <x:v>Spreadsheet import</x:v>
      </x:c>
      <x:c r="F4736" s="4" t="str">
        <x:v>Record captured</x:v>
      </x:c>
      <x:c r="G4736" s="4" t="str">
        <x:v>Handed over</x:v>
      </x:c>
    </x:row>
    <x:row r="4737" ht="34" customHeight="1">
      <x:c r="A4737" s="4" t="str">
        <x:v>RS-04736-E1</x:v>
      </x:c>
      <x:c r="B4737" s="4" t="str">
        <x:v>RS-04736</x:v>
      </x:c>
      <x:c r="C4737" s="8" t="n">
        <x:v>45569</x:v>
      </x:c>
      <x:c r="D4737" s="4" t="str">
        <x:v>Sales operations manager</x:v>
      </x:c>
      <x:c r="E4737" s="4" t="str">
        <x:v>Spreadsheet import</x:v>
      </x:c>
      <x:c r="F4737" s="4" t="str">
        <x:v>Record captured</x:v>
      </x:c>
      <x:c r="G4737" s="4" t="str">
        <x:v>Handed over</x:v>
      </x:c>
    </x:row>
    <x:row r="4738" ht="34" customHeight="1">
      <x:c r="A4738" s="4" t="str">
        <x:v>RS-04737-E1</x:v>
      </x:c>
      <x:c r="B4738" s="4" t="str">
        <x:v>RS-04737</x:v>
      </x:c>
      <x:c r="C4738" s="8" t="n">
        <x:v>45570</x:v>
      </x:c>
      <x:c r="D4738" s="4" t="str">
        <x:v>Sales operations manager</x:v>
      </x:c>
      <x:c r="E4738" s="4" t="str">
        <x:v>ERP form</x:v>
      </x:c>
      <x:c r="F4738" s="4" t="str">
        <x:v>Record captured</x:v>
      </x:c>
      <x:c r="G4738" s="4" t="str">
        <x:v>Cancelled</x:v>
      </x:c>
    </x:row>
    <x:row r="4739" ht="34" customHeight="1">
      <x:c r="A4739" s="4" t="str">
        <x:v>RS-04738-E1</x:v>
      </x:c>
      <x:c r="B4739" s="4" t="str">
        <x:v>RS-04738</x:v>
      </x:c>
      <x:c r="C4739" s="8" t="n">
        <x:v>45571</x:v>
      </x:c>
      <x:c r="D4739" s="4" t="str">
        <x:v>Sales operations manager</x:v>
      </x:c>
      <x:c r="E4739" s="4" t="str">
        <x:v>ERP form</x:v>
      </x:c>
      <x:c r="F4739" s="4" t="str">
        <x:v>Record captured</x:v>
      </x:c>
      <x:c r="G4739" s="4" t="str">
        <x:v>Enquiry</x:v>
      </x:c>
    </x:row>
    <x:row r="4740" ht="34" customHeight="1">
      <x:c r="A4740" s="4" t="str">
        <x:v>RS-04739-E1</x:v>
      </x:c>
      <x:c r="B4740" s="4" t="str">
        <x:v>RS-04739</x:v>
      </x:c>
      <x:c r="C4740" s="8" t="n">
        <x:v>45572</x:v>
      </x:c>
      <x:c r="D4740" s="4" t="str">
        <x:v>Sales operations manager</x:v>
      </x:c>
      <x:c r="E4740" s="4" t="str">
        <x:v>Spreadsheet import</x:v>
      </x:c>
      <x:c r="F4740" s="4" t="str">
        <x:v>Record captured</x:v>
      </x:c>
      <x:c r="G4740" s="4" t="str">
        <x:v>Agreement signed</x:v>
      </x:c>
    </x:row>
    <x:row r="4741" ht="34" customHeight="1">
      <x:c r="A4741" s="4" t="str">
        <x:v>RS-04740-E1</x:v>
      </x:c>
      <x:c r="B4741" s="4" t="str">
        <x:v>RS-04740</x:v>
      </x:c>
      <x:c r="C4741" s="8" t="n">
        <x:v>45573</x:v>
      </x:c>
      <x:c r="D4741" s="4" t="str">
        <x:v>Sales operations manager</x:v>
      </x:c>
      <x:c r="E4741" s="4" t="str">
        <x:v>ERP form</x:v>
      </x:c>
      <x:c r="F4741" s="4" t="str">
        <x:v>Record captured</x:v>
      </x:c>
      <x:c r="G4741" s="4" t="str">
        <x:v>Cancelled</x:v>
      </x:c>
    </x:row>
    <x:row r="4742" ht="34" customHeight="1">
      <x:c r="A4742" s="4" t="str">
        <x:v>RS-04741-E1</x:v>
      </x:c>
      <x:c r="B4742" s="4" t="str">
        <x:v>RS-04741</x:v>
      </x:c>
      <x:c r="C4742" s="8" t="n">
        <x:v>45574</x:v>
      </x:c>
      <x:c r="D4742" s="4" t="str">
        <x:v>Sales operations manager</x:v>
      </x:c>
      <x:c r="E4742" s="4" t="str">
        <x:v>ERP form</x:v>
      </x:c>
      <x:c r="F4742" s="4" t="str">
        <x:v>Record captured</x:v>
      </x:c>
      <x:c r="G4742" s="4" t="str">
        <x:v>Handed over</x:v>
      </x:c>
    </x:row>
    <x:row r="4743" ht="34" customHeight="1">
      <x:c r="A4743" s="4" t="str">
        <x:v>RS-04742-E1</x:v>
      </x:c>
      <x:c r="B4743" s="4" t="str">
        <x:v>RS-04742</x:v>
      </x:c>
      <x:c r="C4743" s="8" t="n">
        <x:v>45575</x:v>
      </x:c>
      <x:c r="D4743" s="4" t="str">
        <x:v>Sales operations manager</x:v>
      </x:c>
      <x:c r="E4743" s="4" t="str">
        <x:v>WhatsApp transcribed</x:v>
      </x:c>
      <x:c r="F4743" s="4" t="str">
        <x:v>Record captured</x:v>
      </x:c>
      <x:c r="G4743" s="4" t="str">
        <x:v>Handed over</x:v>
      </x:c>
    </x:row>
    <x:row r="4744" ht="34" customHeight="1">
      <x:c r="A4744" s="4" t="str">
        <x:v>RS-04743-E1</x:v>
      </x:c>
      <x:c r="B4744" s="4" t="str">
        <x:v>RS-04743</x:v>
      </x:c>
      <x:c r="C4744" s="8" t="n">
        <x:v>45576</x:v>
      </x:c>
      <x:c r="D4744" s="4" t="str">
        <x:v>Sales operations manager</x:v>
      </x:c>
      <x:c r="E4744" s="4" t="str">
        <x:v>WhatsApp transcribed</x:v>
      </x:c>
      <x:c r="F4744" s="4" t="str">
        <x:v>Record captured</x:v>
      </x:c>
      <x:c r="G4744" s="4" t="str">
        <x:v>Handed over</x:v>
      </x:c>
    </x:row>
    <x:row r="4745" ht="34" customHeight="1">
      <x:c r="A4745" s="4" t="str">
        <x:v>RS-04744-E1</x:v>
      </x:c>
      <x:c r="B4745" s="4" t="str">
        <x:v>RS-04744</x:v>
      </x:c>
      <x:c r="C4745" s="8" t="n">
        <x:v>45577</x:v>
      </x:c>
      <x:c r="D4745" s="4" t="str">
        <x:v>Sales operations manager</x:v>
      </x:c>
      <x:c r="E4745" s="4" t="str">
        <x:v>Spreadsheet import</x:v>
      </x:c>
      <x:c r="F4745" s="4" t="str">
        <x:v>Record captured</x:v>
      </x:c>
      <x:c r="G4745" s="4" t="str">
        <x:v>Reserved</x:v>
      </x:c>
    </x:row>
    <x:row r="4746" ht="34" customHeight="1">
      <x:c r="A4746" s="4" t="str">
        <x:v>RS-04745-E1</x:v>
      </x:c>
      <x:c r="B4746" s="4" t="str">
        <x:v>RS-04745</x:v>
      </x:c>
      <x:c r="C4746" s="8" t="n">
        <x:v>45578</x:v>
      </x:c>
      <x:c r="D4746" s="4" t="str">
        <x:v>Sales operations manager</x:v>
      </x:c>
      <x:c r="E4746" s="4" t="str">
        <x:v>Paper transcribed</x:v>
      </x:c>
      <x:c r="F4746" s="4" t="str">
        <x:v>Record captured</x:v>
      </x:c>
      <x:c r="G4746" s="4" t="str">
        <x:v>Reserved</x:v>
      </x:c>
    </x:row>
    <x:row r="4747" ht="34" customHeight="1">
      <x:c r="A4747" s="4" t="str">
        <x:v>RS-04746-E1</x:v>
      </x:c>
      <x:c r="B4747" s="4" t="str">
        <x:v>RS-04746</x:v>
      </x:c>
      <x:c r="C4747" s="8" t="n">
        <x:v>45579</x:v>
      </x:c>
      <x:c r="D4747" s="4" t="str">
        <x:v>Sales operations manager</x:v>
      </x:c>
      <x:c r="E4747" s="4" t="str">
        <x:v>WhatsApp transcribed</x:v>
      </x:c>
      <x:c r="F4747" s="4" t="str">
        <x:v>Record captured</x:v>
      </x:c>
      <x:c r="G4747" s="4" t="str">
        <x:v>Reserved</x:v>
      </x:c>
    </x:row>
    <x:row r="4748" ht="34" customHeight="1">
      <x:c r="A4748" s="4" t="str">
        <x:v>RS-04747-E1</x:v>
      </x:c>
      <x:c r="B4748" s="4" t="str">
        <x:v>RS-04747</x:v>
      </x:c>
      <x:c r="C4748" s="8" t="n">
        <x:v>45580</x:v>
      </x:c>
      <x:c r="D4748" s="4" t="str">
        <x:v>Sales operations manager</x:v>
      </x:c>
      <x:c r="E4748" s="4" t="str">
        <x:v>WhatsApp transcribed</x:v>
      </x:c>
      <x:c r="F4748" s="4" t="str">
        <x:v>Record captured</x:v>
      </x:c>
      <x:c r="G4748" s="4" t="str">
        <x:v>Handed over</x:v>
      </x:c>
    </x:row>
    <x:row r="4749" ht="34" customHeight="1">
      <x:c r="A4749" s="4" t="str">
        <x:v>RS-04748-E1</x:v>
      </x:c>
      <x:c r="B4749" s="4" t="str">
        <x:v>RS-04748</x:v>
      </x:c>
      <x:c r="C4749" s="8" t="n">
        <x:v>45581</x:v>
      </x:c>
      <x:c r="D4749" s="4" t="str">
        <x:v>Sales operations manager</x:v>
      </x:c>
      <x:c r="E4749" s="4" t="str">
        <x:v>Spreadsheet import</x:v>
      </x:c>
      <x:c r="F4749" s="4" t="str">
        <x:v>Record captured</x:v>
      </x:c>
      <x:c r="G4749" s="4" t="str">
        <x:v>Agreement signed</x:v>
      </x:c>
    </x:row>
    <x:row r="4750" ht="34" customHeight="1">
      <x:c r="A4750" s="4" t="str">
        <x:v>RS-04749-E1</x:v>
      </x:c>
      <x:c r="B4750" s="4" t="str">
        <x:v>RS-04749</x:v>
      </x:c>
      <x:c r="C4750" s="8" t="n">
        <x:v>45582</x:v>
      </x:c>
      <x:c r="D4750" s="4" t="str">
        <x:v>Sales operations manager</x:v>
      </x:c>
      <x:c r="E4750" s="4" t="str">
        <x:v>Spreadsheet import</x:v>
      </x:c>
      <x:c r="F4750" s="4" t="str">
        <x:v>Record captured</x:v>
      </x:c>
      <x:c r="G4750" s="4" t="str">
        <x:v>Handed over</x:v>
      </x:c>
    </x:row>
    <x:row r="4751" ht="34" customHeight="1">
      <x:c r="A4751" s="4" t="str">
        <x:v>RS-04750-E1</x:v>
      </x:c>
      <x:c r="B4751" s="4" t="str">
        <x:v>RS-04750</x:v>
      </x:c>
      <x:c r="C4751" s="8" t="n">
        <x:v>45583</x:v>
      </x:c>
      <x:c r="D4751" s="4" t="str">
        <x:v>Sales operations manager</x:v>
      </x:c>
      <x:c r="E4751" s="4" t="str">
        <x:v>Spreadsheet import</x:v>
      </x:c>
      <x:c r="F4751" s="4" t="str">
        <x:v>Record captured</x:v>
      </x:c>
      <x:c r="G4751" s="4" t="str">
        <x:v>Agreement signed</x:v>
      </x:c>
    </x:row>
    <x:row r="4752" ht="34" customHeight="1">
      <x:c r="A4752" s="4" t="str">
        <x:v>RS-04751-E1</x:v>
      </x:c>
      <x:c r="B4752" s="4" t="str">
        <x:v>RS-04751</x:v>
      </x:c>
      <x:c r="C4752" s="8" t="n">
        <x:v>45584</x:v>
      </x:c>
      <x:c r="D4752" s="4" t="str">
        <x:v>Sales operations manager</x:v>
      </x:c>
      <x:c r="E4752" s="4" t="str">
        <x:v>Spreadsheet import</x:v>
      </x:c>
      <x:c r="F4752" s="4" t="str">
        <x:v>Record captured</x:v>
      </x:c>
      <x:c r="G4752" s="4" t="str">
        <x:v>Booked</x:v>
      </x:c>
    </x:row>
    <x:row r="4753" ht="34" customHeight="1">
      <x:c r="A4753" s="4" t="str">
        <x:v>RS-04752-E1</x:v>
      </x:c>
      <x:c r="B4753" s="4" t="str">
        <x:v>RS-04752</x:v>
      </x:c>
      <x:c r="C4753" s="8" t="n">
        <x:v>45585</x:v>
      </x:c>
      <x:c r="D4753" s="4" t="str">
        <x:v>Sales operations manager</x:v>
      </x:c>
      <x:c r="E4753" s="4" t="str">
        <x:v>WhatsApp transcribed</x:v>
      </x:c>
      <x:c r="F4753" s="4" t="str">
        <x:v>Record captured</x:v>
      </x:c>
      <x:c r="G4753" s="4" t="str">
        <x:v>Reserved</x:v>
      </x:c>
    </x:row>
    <x:row r="4754" ht="34" customHeight="1">
      <x:c r="A4754" s="4" t="str">
        <x:v>RS-04753-E1</x:v>
      </x:c>
      <x:c r="B4754" s="4" t="str">
        <x:v>RS-04753</x:v>
      </x:c>
      <x:c r="C4754" s="8" t="n">
        <x:v>45586</x:v>
      </x:c>
      <x:c r="D4754" s="4" t="str">
        <x:v>Sales operations manager</x:v>
      </x:c>
      <x:c r="E4754" s="4" t="str">
        <x:v>Paper transcribed</x:v>
      </x:c>
      <x:c r="F4754" s="4" t="str">
        <x:v>Record captured</x:v>
      </x:c>
      <x:c r="G4754" s="4" t="str">
        <x:v>Enquiry</x:v>
      </x:c>
    </x:row>
    <x:row r="4755" ht="34" customHeight="1">
      <x:c r="A4755" s="4" t="str">
        <x:v>RS-04754-E1</x:v>
      </x:c>
      <x:c r="B4755" s="4" t="str">
        <x:v>RS-04754</x:v>
      </x:c>
      <x:c r="C4755" s="8" t="n">
        <x:v>45587</x:v>
      </x:c>
      <x:c r="D4755" s="4" t="str">
        <x:v>Sales operations manager</x:v>
      </x:c>
      <x:c r="E4755" s="4" t="str">
        <x:v>ERP form</x:v>
      </x:c>
      <x:c r="F4755" s="4" t="str">
        <x:v>Record captured</x:v>
      </x:c>
      <x:c r="G4755" s="4" t="str">
        <x:v>Cancelled</x:v>
      </x:c>
    </x:row>
    <x:row r="4756" ht="34" customHeight="1">
      <x:c r="A4756" s="4" t="str">
        <x:v>RS-04755-E1</x:v>
      </x:c>
      <x:c r="B4756" s="4" t="str">
        <x:v>RS-04755</x:v>
      </x:c>
      <x:c r="C4756" s="8" t="n">
        <x:v>45588</x:v>
      </x:c>
      <x:c r="D4756" s="4" t="str">
        <x:v>Sales operations manager</x:v>
      </x:c>
      <x:c r="E4756" s="4" t="str">
        <x:v>WhatsApp transcribed</x:v>
      </x:c>
      <x:c r="F4756" s="4" t="str">
        <x:v>Record captured</x:v>
      </x:c>
      <x:c r="G4756" s="4" t="str">
        <x:v>Booked</x:v>
      </x:c>
    </x:row>
    <x:row r="4757" ht="34" customHeight="1">
      <x:c r="A4757" s="4" t="str">
        <x:v>RS-04756-E1</x:v>
      </x:c>
      <x:c r="B4757" s="4" t="str">
        <x:v>RS-04756</x:v>
      </x:c>
      <x:c r="C4757" s="8" t="n">
        <x:v>45589</x:v>
      </x:c>
      <x:c r="D4757" s="4" t="str">
        <x:v>Sales operations manager</x:v>
      </x:c>
      <x:c r="E4757" s="4" t="str">
        <x:v>Paper transcribed</x:v>
      </x:c>
      <x:c r="F4757" s="4" t="str">
        <x:v>Record captured</x:v>
      </x:c>
      <x:c r="G4757" s="4" t="str">
        <x:v>Reserved</x:v>
      </x:c>
    </x:row>
    <x:row r="4758" ht="34" customHeight="1">
      <x:c r="A4758" s="4" t="str">
        <x:v>RS-04757-E1</x:v>
      </x:c>
      <x:c r="B4758" s="4" t="str">
        <x:v>RS-04757</x:v>
      </x:c>
      <x:c r="C4758" s="8" t="n">
        <x:v>45590</x:v>
      </x:c>
      <x:c r="D4758" s="4" t="str">
        <x:v>Sales operations manager</x:v>
      </x:c>
      <x:c r="E4758" s="4" t="str">
        <x:v>Paper transcribed</x:v>
      </x:c>
      <x:c r="F4758" s="4" t="str">
        <x:v>Record captured</x:v>
      </x:c>
      <x:c r="G4758" s="4" t="str">
        <x:v>Cancelled</x:v>
      </x:c>
    </x:row>
    <x:row r="4759" ht="34" customHeight="1">
      <x:c r="A4759" s="4" t="str">
        <x:v>RS-04758-E1</x:v>
      </x:c>
      <x:c r="B4759" s="4" t="str">
        <x:v>RS-04758</x:v>
      </x:c>
      <x:c r="C4759" s="8" t="n">
        <x:v>45591</x:v>
      </x:c>
      <x:c r="D4759" s="4" t="str">
        <x:v>Sales operations manager</x:v>
      </x:c>
      <x:c r="E4759" s="4" t="str">
        <x:v>Spreadsheet import</x:v>
      </x:c>
      <x:c r="F4759" s="4" t="str">
        <x:v>Record captured</x:v>
      </x:c>
      <x:c r="G4759" s="4" t="str">
        <x:v>Reserved</x:v>
      </x:c>
    </x:row>
    <x:row r="4760" ht="34" customHeight="1">
      <x:c r="A4760" s="4" t="str">
        <x:v>RS-04759-E1</x:v>
      </x:c>
      <x:c r="B4760" s="4" t="str">
        <x:v>RS-04759</x:v>
      </x:c>
      <x:c r="C4760" s="8" t="n">
        <x:v>45592</x:v>
      </x:c>
      <x:c r="D4760" s="4" t="str">
        <x:v>Sales operations manager</x:v>
      </x:c>
      <x:c r="E4760" s="4" t="str">
        <x:v>Paper transcribed</x:v>
      </x:c>
      <x:c r="F4760" s="4" t="str">
        <x:v>Record captured</x:v>
      </x:c>
      <x:c r="G4760" s="4" t="str">
        <x:v>Agreement signed</x:v>
      </x:c>
    </x:row>
    <x:row r="4761" ht="34" customHeight="1">
      <x:c r="A4761" s="4" t="str">
        <x:v>RS-04760-E1</x:v>
      </x:c>
      <x:c r="B4761" s="4" t="str">
        <x:v>RS-04760</x:v>
      </x:c>
      <x:c r="C4761" s="8" t="n">
        <x:v>45593</x:v>
      </x:c>
      <x:c r="D4761" s="4" t="str">
        <x:v>Sales operations manager</x:v>
      </x:c>
      <x:c r="E4761" s="4" t="str">
        <x:v>ERP form</x:v>
      </x:c>
      <x:c r="F4761" s="4" t="str">
        <x:v>Record captured</x:v>
      </x:c>
      <x:c r="G4761" s="4" t="str">
        <x:v>Agreement signed</x:v>
      </x:c>
    </x:row>
    <x:row r="4762" ht="34" customHeight="1">
      <x:c r="A4762" s="4" t="str">
        <x:v>RS-04761-E1</x:v>
      </x:c>
      <x:c r="B4762" s="4" t="str">
        <x:v>RS-04761</x:v>
      </x:c>
      <x:c r="C4762" s="8" t="n">
        <x:v>45566</x:v>
      </x:c>
      <x:c r="D4762" s="4" t="str">
        <x:v>Sales operations manager</x:v>
      </x:c>
      <x:c r="E4762" s="4" t="str">
        <x:v>Spreadsheet import</x:v>
      </x:c>
      <x:c r="F4762" s="4" t="str">
        <x:v>Record captured</x:v>
      </x:c>
      <x:c r="G4762" s="4" t="str">
        <x:v>Cancelled</x:v>
      </x:c>
    </x:row>
    <x:row r="4763" ht="34" customHeight="1">
      <x:c r="A4763" s="4" t="str">
        <x:v>RS-04762-E1</x:v>
      </x:c>
      <x:c r="B4763" s="4" t="str">
        <x:v>RS-04762</x:v>
      </x:c>
      <x:c r="C4763" s="8" t="n">
        <x:v>45567</x:v>
      </x:c>
      <x:c r="D4763" s="4" t="str">
        <x:v>Sales operations manager</x:v>
      </x:c>
      <x:c r="E4763" s="4" t="str">
        <x:v>Spreadsheet import</x:v>
      </x:c>
      <x:c r="F4763" s="4" t="str">
        <x:v>Record captured</x:v>
      </x:c>
      <x:c r="G4763" s="4" t="str">
        <x:v>Enquiry</x:v>
      </x:c>
    </x:row>
    <x:row r="4764" ht="34" customHeight="1">
      <x:c r="A4764" s="4" t="str">
        <x:v>RS-04763-E1</x:v>
      </x:c>
      <x:c r="B4764" s="4" t="str">
        <x:v>RS-04763</x:v>
      </x:c>
      <x:c r="C4764" s="8" t="n">
        <x:v>45568</x:v>
      </x:c>
      <x:c r="D4764" s="4" t="str">
        <x:v>Sales operations manager</x:v>
      </x:c>
      <x:c r="E4764" s="4" t="str">
        <x:v>WhatsApp transcribed</x:v>
      </x:c>
      <x:c r="F4764" s="4" t="str">
        <x:v>Record captured</x:v>
      </x:c>
      <x:c r="G4764" s="4" t="str">
        <x:v>Agreement signed</x:v>
      </x:c>
    </x:row>
    <x:row r="4765" ht="34" customHeight="1">
      <x:c r="A4765" s="4" t="str">
        <x:v>RS-04764-E1</x:v>
      </x:c>
      <x:c r="B4765" s="4" t="str">
        <x:v>RS-04764</x:v>
      </x:c>
      <x:c r="C4765" s="8" t="n">
        <x:v>45569</x:v>
      </x:c>
      <x:c r="D4765" s="4" t="str">
        <x:v>Sales operations manager</x:v>
      </x:c>
      <x:c r="E4765" s="4" t="str">
        <x:v>WhatsApp transcribed</x:v>
      </x:c>
      <x:c r="F4765" s="4" t="str">
        <x:v>Record captured</x:v>
      </x:c>
      <x:c r="G4765" s="4" t="str">
        <x:v>Cancelled</x:v>
      </x:c>
    </x:row>
    <x:row r="4766" ht="34" customHeight="1">
      <x:c r="A4766" s="4" t="str">
        <x:v>RS-04765-E1</x:v>
      </x:c>
      <x:c r="B4766" s="4" t="str">
        <x:v>RS-04765</x:v>
      </x:c>
      <x:c r="C4766" s="8" t="n">
        <x:v>45570</x:v>
      </x:c>
      <x:c r="D4766" s="4" t="str">
        <x:v>Sales operations manager</x:v>
      </x:c>
      <x:c r="E4766" s="4" t="str">
        <x:v>Spreadsheet import</x:v>
      </x:c>
      <x:c r="F4766" s="4" t="str">
        <x:v>Record captured</x:v>
      </x:c>
      <x:c r="G4766" s="4" t="str">
        <x:v>Cancelled</x:v>
      </x:c>
    </x:row>
    <x:row r="4767" ht="34" customHeight="1">
      <x:c r="A4767" s="4" t="str">
        <x:v>RS-04766-E1</x:v>
      </x:c>
      <x:c r="B4767" s="4" t="str">
        <x:v>RS-04766</x:v>
      </x:c>
      <x:c r="C4767" s="8" t="n">
        <x:v>45571</x:v>
      </x:c>
      <x:c r="D4767" s="4" t="str">
        <x:v>Sales operations manager</x:v>
      </x:c>
      <x:c r="E4767" s="4" t="str">
        <x:v>ERP form</x:v>
      </x:c>
      <x:c r="F4767" s="4" t="str">
        <x:v>Record captured</x:v>
      </x:c>
      <x:c r="G4767" s="4" t="str">
        <x:v>Handed over</x:v>
      </x:c>
    </x:row>
    <x:row r="4768" ht="34" customHeight="1">
      <x:c r="A4768" s="4" t="str">
        <x:v>RS-04767-E1</x:v>
      </x:c>
      <x:c r="B4768" s="4" t="str">
        <x:v>RS-04767</x:v>
      </x:c>
      <x:c r="C4768" s="8" t="n">
        <x:v>45572</x:v>
      </x:c>
      <x:c r="D4768" s="4" t="str">
        <x:v>Sales operations manager</x:v>
      </x:c>
      <x:c r="E4768" s="4" t="str">
        <x:v>WhatsApp transcribed</x:v>
      </x:c>
      <x:c r="F4768" s="4" t="str">
        <x:v>Record captured</x:v>
      </x:c>
      <x:c r="G4768" s="4" t="str">
        <x:v>Booked</x:v>
      </x:c>
    </x:row>
    <x:row r="4769" ht="34" customHeight="1">
      <x:c r="A4769" s="4" t="str">
        <x:v>RS-04768-E1</x:v>
      </x:c>
      <x:c r="B4769" s="4" t="str">
        <x:v>RS-04768</x:v>
      </x:c>
      <x:c r="C4769" s="8" t="n">
        <x:v>45573</x:v>
      </x:c>
      <x:c r="D4769" s="4" t="str">
        <x:v>Sales operations manager</x:v>
      </x:c>
      <x:c r="E4769" s="4" t="str">
        <x:v>ERP form</x:v>
      </x:c>
      <x:c r="F4769" s="4" t="str">
        <x:v>Record captured</x:v>
      </x:c>
      <x:c r="G4769" s="4" t="str">
        <x:v>Agreement signed</x:v>
      </x:c>
    </x:row>
    <x:row r="4770" ht="34" customHeight="1">
      <x:c r="A4770" s="4" t="str">
        <x:v>RS-04769-E1</x:v>
      </x:c>
      <x:c r="B4770" s="4" t="str">
        <x:v>RS-04769</x:v>
      </x:c>
      <x:c r="C4770" s="8" t="n">
        <x:v>45574</x:v>
      </x:c>
      <x:c r="D4770" s="4" t="str">
        <x:v>Sales operations manager</x:v>
      </x:c>
      <x:c r="E4770" s="4" t="str">
        <x:v>WhatsApp transcribed</x:v>
      </x:c>
      <x:c r="F4770" s="4" t="str">
        <x:v>Record captured</x:v>
      </x:c>
      <x:c r="G4770" s="4" t="str">
        <x:v>Booked</x:v>
      </x:c>
    </x:row>
    <x:row r="4771" ht="34" customHeight="1">
      <x:c r="A4771" s="4" t="str">
        <x:v>RS-04770-E1</x:v>
      </x:c>
      <x:c r="B4771" s="4" t="str">
        <x:v>RS-04770</x:v>
      </x:c>
      <x:c r="C4771" s="8" t="n">
        <x:v>45575</x:v>
      </x:c>
      <x:c r="D4771" s="4" t="str">
        <x:v>Sales operations manager</x:v>
      </x:c>
      <x:c r="E4771" s="4" t="str">
        <x:v>Spreadsheet import</x:v>
      </x:c>
      <x:c r="F4771" s="4" t="str">
        <x:v>Record captured</x:v>
      </x:c>
      <x:c r="G4771" s="4" t="str">
        <x:v>Cancelled</x:v>
      </x:c>
    </x:row>
    <x:row r="4772" ht="34" customHeight="1">
      <x:c r="A4772" s="4" t="str">
        <x:v>RS-04771-E1</x:v>
      </x:c>
      <x:c r="B4772" s="4" t="str">
        <x:v>RS-04771</x:v>
      </x:c>
      <x:c r="C4772" s="8" t="n">
        <x:v>45576</x:v>
      </x:c>
      <x:c r="D4772" s="4" t="str">
        <x:v>Sales operations manager</x:v>
      </x:c>
      <x:c r="E4772" s="4" t="str">
        <x:v>Spreadsheet import</x:v>
      </x:c>
      <x:c r="F4772" s="4" t="str">
        <x:v>Record captured</x:v>
      </x:c>
      <x:c r="G4772" s="4" t="str">
        <x:v>Handed over</x:v>
      </x:c>
    </x:row>
    <x:row r="4773" ht="34" customHeight="1">
      <x:c r="A4773" s="4" t="str">
        <x:v>RS-04772-E1</x:v>
      </x:c>
      <x:c r="B4773" s="4" t="str">
        <x:v>RS-04772</x:v>
      </x:c>
      <x:c r="C4773" s="8" t="n">
        <x:v>45577</x:v>
      </x:c>
      <x:c r="D4773" s="4" t="str">
        <x:v>Sales operations manager</x:v>
      </x:c>
      <x:c r="E4773" s="4" t="str">
        <x:v>Paper transcribed</x:v>
      </x:c>
      <x:c r="F4773" s="4" t="str">
        <x:v>Record captured</x:v>
      </x:c>
      <x:c r="G4773" s="4" t="str">
        <x:v>Enquiry</x:v>
      </x:c>
    </x:row>
    <x:row r="4774" ht="34" customHeight="1">
      <x:c r="A4774" s="4" t="str">
        <x:v>RS-04773-E1</x:v>
      </x:c>
      <x:c r="B4774" s="4" t="str">
        <x:v>RS-04773</x:v>
      </x:c>
      <x:c r="C4774" s="8" t="n">
        <x:v>45578</x:v>
      </x:c>
      <x:c r="D4774" s="4" t="str">
        <x:v>Sales operations manager</x:v>
      </x:c>
      <x:c r="E4774" s="4" t="str">
        <x:v>Spreadsheet import</x:v>
      </x:c>
      <x:c r="F4774" s="4" t="str">
        <x:v>Record captured</x:v>
      </x:c>
      <x:c r="G4774" s="4" t="str">
        <x:v>Enquiry</x:v>
      </x:c>
    </x:row>
    <x:row r="4775" ht="34" customHeight="1">
      <x:c r="A4775" s="4" t="str">
        <x:v>RS-04774-E1</x:v>
      </x:c>
      <x:c r="B4775" s="4" t="str">
        <x:v>RS-04774</x:v>
      </x:c>
      <x:c r="C4775" s="8" t="n">
        <x:v>45579</x:v>
      </x:c>
      <x:c r="D4775" s="4" t="str">
        <x:v>Sales operations manager</x:v>
      </x:c>
      <x:c r="E4775" s="4" t="str">
        <x:v>Spreadsheet import</x:v>
      </x:c>
      <x:c r="F4775" s="4" t="str">
        <x:v>Record captured</x:v>
      </x:c>
      <x:c r="G4775" s="4" t="str">
        <x:v>Booked</x:v>
      </x:c>
    </x:row>
    <x:row r="4776" ht="34" customHeight="1">
      <x:c r="A4776" s="4" t="str">
        <x:v>RS-04775-E1</x:v>
      </x:c>
      <x:c r="B4776" s="4" t="str">
        <x:v>RS-04775</x:v>
      </x:c>
      <x:c r="C4776" s="8" t="n">
        <x:v>45580</x:v>
      </x:c>
      <x:c r="D4776" s="4" t="str">
        <x:v>Sales operations manager</x:v>
      </x:c>
      <x:c r="E4776" s="4" t="str">
        <x:v>Spreadsheet import</x:v>
      </x:c>
      <x:c r="F4776" s="4" t="str">
        <x:v>Record captured</x:v>
      </x:c>
      <x:c r="G4776" s="4" t="str">
        <x:v>Cancelled</x:v>
      </x:c>
    </x:row>
    <x:row r="4777" ht="34" customHeight="1">
      <x:c r="A4777" s="4" t="str">
        <x:v>RS-04776-E1</x:v>
      </x:c>
      <x:c r="B4777" s="4" t="str">
        <x:v>RS-04776</x:v>
      </x:c>
      <x:c r="C4777" s="8" t="n">
        <x:v>45581</x:v>
      </x:c>
      <x:c r="D4777" s="4" t="str">
        <x:v>Sales operations manager</x:v>
      </x:c>
      <x:c r="E4777" s="4" t="str">
        <x:v>Spreadsheet import</x:v>
      </x:c>
      <x:c r="F4777" s="4" t="str">
        <x:v>Record captured</x:v>
      </x:c>
      <x:c r="G4777" s="4" t="str">
        <x:v>Agreement signed</x:v>
      </x:c>
    </x:row>
    <x:row r="4778" ht="34" customHeight="1">
      <x:c r="A4778" s="4" t="str">
        <x:v>RS-04777-E1</x:v>
      </x:c>
      <x:c r="B4778" s="4" t="str">
        <x:v>RS-04777</x:v>
      </x:c>
      <x:c r="C4778" s="8" t="n">
        <x:v>45582</x:v>
      </x:c>
      <x:c r="D4778" s="4" t="str">
        <x:v>Sales operations manager</x:v>
      </x:c>
      <x:c r="E4778" s="4" t="str">
        <x:v>Paper transcribed</x:v>
      </x:c>
      <x:c r="F4778" s="4" t="str">
        <x:v>Record captured</x:v>
      </x:c>
      <x:c r="G4778" s="4" t="str">
        <x:v>Booked</x:v>
      </x:c>
    </x:row>
    <x:row r="4779" ht="34" customHeight="1">
      <x:c r="A4779" s="4" t="str">
        <x:v>RS-04778-E1</x:v>
      </x:c>
      <x:c r="B4779" s="4" t="str">
        <x:v>RS-04778</x:v>
      </x:c>
      <x:c r="C4779" s="8" t="n">
        <x:v>45583</x:v>
      </x:c>
      <x:c r="D4779" s="4" t="str">
        <x:v>Sales operations manager</x:v>
      </x:c>
      <x:c r="E4779" s="4" t="str">
        <x:v>WhatsApp transcribed</x:v>
      </x:c>
      <x:c r="F4779" s="4" t="str">
        <x:v>Record captured</x:v>
      </x:c>
      <x:c r="G4779" s="4" t="str">
        <x:v>Handed over</x:v>
      </x:c>
    </x:row>
    <x:row r="4780" ht="34" customHeight="1">
      <x:c r="A4780" s="4" t="str">
        <x:v>RS-04779-E1</x:v>
      </x:c>
      <x:c r="B4780" s="4" t="str">
        <x:v>RS-04779</x:v>
      </x:c>
      <x:c r="C4780" s="8" t="n">
        <x:v>45584</x:v>
      </x:c>
      <x:c r="D4780" s="4" t="str">
        <x:v>Sales operations manager</x:v>
      </x:c>
      <x:c r="E4780" s="4" t="str">
        <x:v>Spreadsheet import</x:v>
      </x:c>
      <x:c r="F4780" s="4" t="str">
        <x:v>Record captured</x:v>
      </x:c>
      <x:c r="G4780" s="4" t="str">
        <x:v>Booked</x:v>
      </x:c>
    </x:row>
    <x:row r="4781" ht="34" customHeight="1">
      <x:c r="A4781" s="4" t="str">
        <x:v>RS-04780-E1</x:v>
      </x:c>
      <x:c r="B4781" s="4" t="str">
        <x:v>RS-04780</x:v>
      </x:c>
      <x:c r="C4781" s="8" t="n">
        <x:v>45585</x:v>
      </x:c>
      <x:c r="D4781" s="4" t="str">
        <x:v>Sales operations manager</x:v>
      </x:c>
      <x:c r="E4781" s="4" t="str">
        <x:v>ERP form</x:v>
      </x:c>
      <x:c r="F4781" s="4" t="str">
        <x:v>Record captured</x:v>
      </x:c>
      <x:c r="G4781" s="4" t="str">
        <x:v>Enquiry</x:v>
      </x:c>
    </x:row>
    <x:row r="4782" ht="34" customHeight="1">
      <x:c r="A4782" s="4" t="str">
        <x:v>RS-04781-E1</x:v>
      </x:c>
      <x:c r="B4782" s="4" t="str">
        <x:v>RS-04781</x:v>
      </x:c>
      <x:c r="C4782" s="8" t="n">
        <x:v>45586</x:v>
      </x:c>
      <x:c r="D4782" s="4" t="str">
        <x:v>Sales operations manager</x:v>
      </x:c>
      <x:c r="E4782" s="4" t="str">
        <x:v>Spreadsheet import</x:v>
      </x:c>
      <x:c r="F4782" s="4" t="str">
        <x:v>Record captured</x:v>
      </x:c>
      <x:c r="G4782" s="4" t="str">
        <x:v>Enquiry</x:v>
      </x:c>
    </x:row>
    <x:row r="4783" ht="34" customHeight="1">
      <x:c r="A4783" s="4" t="str">
        <x:v>RS-04782-E1</x:v>
      </x:c>
      <x:c r="B4783" s="4" t="str">
        <x:v>RS-04782</x:v>
      </x:c>
      <x:c r="C4783" s="8" t="n">
        <x:v>45587</x:v>
      </x:c>
      <x:c r="D4783" s="4" t="str">
        <x:v>Sales operations manager</x:v>
      </x:c>
      <x:c r="E4783" s="4" t="str">
        <x:v>WhatsApp transcribed</x:v>
      </x:c>
      <x:c r="F4783" s="4" t="str">
        <x:v>Record captured</x:v>
      </x:c>
      <x:c r="G4783" s="4" t="str">
        <x:v>Enquiry</x:v>
      </x:c>
    </x:row>
    <x:row r="4784" ht="34" customHeight="1">
      <x:c r="A4784" s="4" t="str">
        <x:v>RS-04783-E1</x:v>
      </x:c>
      <x:c r="B4784" s="4" t="str">
        <x:v>RS-04783</x:v>
      </x:c>
      <x:c r="C4784" s="8" t="n">
        <x:v>45588</x:v>
      </x:c>
      <x:c r="D4784" s="4" t="str">
        <x:v>Sales operations manager</x:v>
      </x:c>
      <x:c r="E4784" s="4" t="str">
        <x:v>ERP form</x:v>
      </x:c>
      <x:c r="F4784" s="4" t="str">
        <x:v>Record captured</x:v>
      </x:c>
      <x:c r="G4784" s="4" t="str">
        <x:v>Handed over</x:v>
      </x:c>
    </x:row>
    <x:row r="4785" ht="34" customHeight="1">
      <x:c r="A4785" s="4" t="str">
        <x:v>RS-04784-E1</x:v>
      </x:c>
      <x:c r="B4785" s="4" t="str">
        <x:v>RS-04784</x:v>
      </x:c>
      <x:c r="C4785" s="8" t="n">
        <x:v>45589</x:v>
      </x:c>
      <x:c r="D4785" s="4" t="str">
        <x:v>Sales operations manager</x:v>
      </x:c>
      <x:c r="E4785" s="4" t="str">
        <x:v>Spreadsheet import</x:v>
      </x:c>
      <x:c r="F4785" s="4" t="str">
        <x:v>Record captured</x:v>
      </x:c>
      <x:c r="G4785" s="4" t="str">
        <x:v>Cancelled</x:v>
      </x:c>
    </x:row>
    <x:row r="4786" ht="34" customHeight="1">
      <x:c r="A4786" s="4" t="str">
        <x:v>RS-04785-E1</x:v>
      </x:c>
      <x:c r="B4786" s="4" t="str">
        <x:v>RS-04785</x:v>
      </x:c>
      <x:c r="C4786" s="8" t="n">
        <x:v>45590</x:v>
      </x:c>
      <x:c r="D4786" s="4" t="str">
        <x:v>Sales operations manager</x:v>
      </x:c>
      <x:c r="E4786" s="4" t="str">
        <x:v>Paper transcribed</x:v>
      </x:c>
      <x:c r="F4786" s="4" t="str">
        <x:v>Record captured</x:v>
      </x:c>
      <x:c r="G4786" s="4" t="str">
        <x:v>Enquiry</x:v>
      </x:c>
    </x:row>
    <x:row r="4787" ht="34" customHeight="1">
      <x:c r="A4787" s="4" t="str">
        <x:v>RS-04786-E1</x:v>
      </x:c>
      <x:c r="B4787" s="4" t="str">
        <x:v>RS-04786</x:v>
      </x:c>
      <x:c r="C4787" s="8" t="n">
        <x:v>45591</x:v>
      </x:c>
      <x:c r="D4787" s="4" t="str">
        <x:v>Sales operations manager</x:v>
      </x:c>
      <x:c r="E4787" s="4" t="str">
        <x:v>WhatsApp transcribed</x:v>
      </x:c>
      <x:c r="F4787" s="4" t="str">
        <x:v>Record captured</x:v>
      </x:c>
      <x:c r="G4787" s="4" t="str">
        <x:v>Handed over</x:v>
      </x:c>
    </x:row>
    <x:row r="4788" ht="34" customHeight="1">
      <x:c r="A4788" s="4" t="str">
        <x:v>RS-04787-E1</x:v>
      </x:c>
      <x:c r="B4788" s="4" t="str">
        <x:v>RS-04787</x:v>
      </x:c>
      <x:c r="C4788" s="8" t="n">
        <x:v>45592</x:v>
      </x:c>
      <x:c r="D4788" s="4" t="str">
        <x:v>Sales operations manager</x:v>
      </x:c>
      <x:c r="E4788" s="4" t="str">
        <x:v>Paper transcribed</x:v>
      </x:c>
      <x:c r="F4788" s="4" t="str">
        <x:v>Record captured</x:v>
      </x:c>
      <x:c r="G4788" s="4" t="str">
        <x:v>Cancelled</x:v>
      </x:c>
    </x:row>
    <x:row r="4789" ht="34" customHeight="1">
      <x:c r="A4789" s="4" t="str">
        <x:v>RS-04788-E1</x:v>
      </x:c>
      <x:c r="B4789" s="4" t="str">
        <x:v>RS-04788</x:v>
      </x:c>
      <x:c r="C4789" s="8" t="n">
        <x:v>45593</x:v>
      </x:c>
      <x:c r="D4789" s="4" t="str">
        <x:v>Sales operations manager</x:v>
      </x:c>
      <x:c r="E4789" s="4" t="str">
        <x:v>Paper transcribed</x:v>
      </x:c>
      <x:c r="F4789" s="4" t="str">
        <x:v>Record captured</x:v>
      </x:c>
      <x:c r="G4789" s="4" t="str">
        <x:v>Handed over</x:v>
      </x:c>
    </x:row>
    <x:row r="4790" ht="34" customHeight="1">
      <x:c r="A4790" s="4" t="str">
        <x:v>RS-04789-E1</x:v>
      </x:c>
      <x:c r="B4790" s="4" t="str">
        <x:v>RS-04789</x:v>
      </x:c>
      <x:c r="C4790" s="8" t="n">
        <x:v>45566</x:v>
      </x:c>
      <x:c r="D4790" s="4" t="str">
        <x:v>Sales operations manager</x:v>
      </x:c>
      <x:c r="E4790" s="4" t="str">
        <x:v>Spreadsheet import</x:v>
      </x:c>
      <x:c r="F4790" s="4" t="str">
        <x:v>Record captured</x:v>
      </x:c>
      <x:c r="G4790" s="4" t="str">
        <x:v>Cancelled</x:v>
      </x:c>
    </x:row>
    <x:row r="4791" ht="34" customHeight="1">
      <x:c r="A4791" s="4" t="str">
        <x:v>RS-04790-E1</x:v>
      </x:c>
      <x:c r="B4791" s="4" t="str">
        <x:v>RS-04790</x:v>
      </x:c>
      <x:c r="C4791" s="8" t="n">
        <x:v>45567</x:v>
      </x:c>
      <x:c r="D4791" s="4" t="str">
        <x:v>Sales operations manager</x:v>
      </x:c>
      <x:c r="E4791" s="4" t="str">
        <x:v>Paper transcribed</x:v>
      </x:c>
      <x:c r="F4791" s="4" t="str">
        <x:v>Record captured</x:v>
      </x:c>
      <x:c r="G4791" s="4" t="str">
        <x:v>Reserved</x:v>
      </x:c>
    </x:row>
    <x:row r="4792" ht="34" customHeight="1">
      <x:c r="A4792" s="4" t="str">
        <x:v>RS-04791-E1</x:v>
      </x:c>
      <x:c r="B4792" s="4" t="str">
        <x:v>RS-04791</x:v>
      </x:c>
      <x:c r="C4792" s="8" t="n">
        <x:v>45568</x:v>
      </x:c>
      <x:c r="D4792" s="4" t="str">
        <x:v>Sales operations manager</x:v>
      </x:c>
      <x:c r="E4792" s="4" t="str">
        <x:v>Spreadsheet import</x:v>
      </x:c>
      <x:c r="F4792" s="4" t="str">
        <x:v>Record captured</x:v>
      </x:c>
      <x:c r="G4792" s="4" t="str">
        <x:v>Cancelled</x:v>
      </x:c>
    </x:row>
    <x:row r="4793" ht="34" customHeight="1">
      <x:c r="A4793" s="4" t="str">
        <x:v>RS-04792-E1</x:v>
      </x:c>
      <x:c r="B4793" s="4" t="str">
        <x:v>RS-04792</x:v>
      </x:c>
      <x:c r="C4793" s="8" t="n">
        <x:v>45569</x:v>
      </x:c>
      <x:c r="D4793" s="4" t="str">
        <x:v>Sales operations manager</x:v>
      </x:c>
      <x:c r="E4793" s="4" t="str">
        <x:v>Paper transcribed</x:v>
      </x:c>
      <x:c r="F4793" s="4" t="str">
        <x:v>Record captured</x:v>
      </x:c>
      <x:c r="G4793" s="4" t="str">
        <x:v>Cancelled</x:v>
      </x:c>
    </x:row>
    <x:row r="4794" ht="34" customHeight="1">
      <x:c r="A4794" s="4" t="str">
        <x:v>RS-04793-E1</x:v>
      </x:c>
      <x:c r="B4794" s="4" t="str">
        <x:v>RS-04793</x:v>
      </x:c>
      <x:c r="C4794" s="8" t="n">
        <x:v>45570</x:v>
      </x:c>
      <x:c r="D4794" s="4" t="str">
        <x:v>Sales operations manager</x:v>
      </x:c>
      <x:c r="E4794" s="4" t="str">
        <x:v>WhatsApp transcribed</x:v>
      </x:c>
      <x:c r="F4794" s="4" t="str">
        <x:v>Record captured</x:v>
      </x:c>
      <x:c r="G4794" s="4" t="str">
        <x:v>Booked</x:v>
      </x:c>
    </x:row>
    <x:row r="4795" ht="34" customHeight="1">
      <x:c r="A4795" s="4" t="str">
        <x:v>RS-04794-E1</x:v>
      </x:c>
      <x:c r="B4795" s="4" t="str">
        <x:v>RS-04794</x:v>
      </x:c>
      <x:c r="C4795" s="8" t="n">
        <x:v>45571</x:v>
      </x:c>
      <x:c r="D4795" s="4" t="str">
        <x:v>Sales operations manager</x:v>
      </x:c>
      <x:c r="E4795" s="4" t="str">
        <x:v>ERP form</x:v>
      </x:c>
      <x:c r="F4795" s="4" t="str">
        <x:v>Record captured</x:v>
      </x:c>
      <x:c r="G4795" s="4" t="str">
        <x:v>Agreement signed</x:v>
      </x:c>
    </x:row>
    <x:row r="4796" ht="34" customHeight="1">
      <x:c r="A4796" s="4" t="str">
        <x:v>RS-04795-E1</x:v>
      </x:c>
      <x:c r="B4796" s="4" t="str">
        <x:v>RS-04795</x:v>
      </x:c>
      <x:c r="C4796" s="8" t="n">
        <x:v>45572</x:v>
      </x:c>
      <x:c r="D4796" s="4" t="str">
        <x:v>Sales operations manager</x:v>
      </x:c>
      <x:c r="E4796" s="4" t="str">
        <x:v>WhatsApp transcribed</x:v>
      </x:c>
      <x:c r="F4796" s="4" t="str">
        <x:v>Record captured</x:v>
      </x:c>
      <x:c r="G4796" s="4" t="str">
        <x:v>Handed over</x:v>
      </x:c>
    </x:row>
    <x:row r="4797" ht="34" customHeight="1">
      <x:c r="A4797" s="4" t="str">
        <x:v>RS-04796-E1</x:v>
      </x:c>
      <x:c r="B4797" s="4" t="str">
        <x:v>RS-04796</x:v>
      </x:c>
      <x:c r="C4797" s="8" t="n">
        <x:v>45573</x:v>
      </x:c>
      <x:c r="D4797" s="4" t="str">
        <x:v>Sales operations manager</x:v>
      </x:c>
      <x:c r="E4797" s="4" t="str">
        <x:v>Paper transcribed</x:v>
      </x:c>
      <x:c r="F4797" s="4" t="str">
        <x:v>Record captured</x:v>
      </x:c>
      <x:c r="G4797" s="4" t="str">
        <x:v>Agreement signed</x:v>
      </x:c>
    </x:row>
    <x:row r="4798" ht="34" customHeight="1">
      <x:c r="A4798" s="4" t="str">
        <x:v>RS-04797-E1</x:v>
      </x:c>
      <x:c r="B4798" s="4" t="str">
        <x:v>RS-04797</x:v>
      </x:c>
      <x:c r="C4798" s="8" t="n">
        <x:v>45574</x:v>
      </x:c>
      <x:c r="D4798" s="4" t="str">
        <x:v>Sales operations manager</x:v>
      </x:c>
      <x:c r="E4798" s="4" t="str">
        <x:v>Paper transcribed</x:v>
      </x:c>
      <x:c r="F4798" s="4" t="str">
        <x:v>Record captured</x:v>
      </x:c>
      <x:c r="G4798" s="4" t="str">
        <x:v>Cancelled</x:v>
      </x:c>
    </x:row>
    <x:row r="4799" ht="34" customHeight="1">
      <x:c r="A4799" s="4" t="str">
        <x:v>RS-04798-E1</x:v>
      </x:c>
      <x:c r="B4799" s="4" t="str">
        <x:v>RS-04798</x:v>
      </x:c>
      <x:c r="C4799" s="8" t="n">
        <x:v>45575</x:v>
      </x:c>
      <x:c r="D4799" s="4" t="str">
        <x:v>Sales operations manager</x:v>
      </x:c>
      <x:c r="E4799" s="4" t="str">
        <x:v>Paper transcribed</x:v>
      </x:c>
      <x:c r="F4799" s="4" t="str">
        <x:v>Record captured</x:v>
      </x:c>
      <x:c r="G4799" s="4" t="str">
        <x:v>Booked</x:v>
      </x:c>
    </x:row>
    <x:row r="4800" ht="34" customHeight="1">
      <x:c r="A4800" s="4" t="str">
        <x:v>RS-04799-E1</x:v>
      </x:c>
      <x:c r="B4800" s="4" t="str">
        <x:v>RS-04799</x:v>
      </x:c>
      <x:c r="C4800" s="8" t="n">
        <x:v>45576</x:v>
      </x:c>
      <x:c r="D4800" s="4" t="str">
        <x:v>Sales operations manager</x:v>
      </x:c>
      <x:c r="E4800" s="4" t="str">
        <x:v>Paper transcribed</x:v>
      </x:c>
      <x:c r="F4800" s="4" t="str">
        <x:v>Record captured</x:v>
      </x:c>
      <x:c r="G4800" s="4" t="str">
        <x:v>Booked</x:v>
      </x:c>
    </x:row>
    <x:row r="4801" ht="34" customHeight="1">
      <x:c r="A4801" s="4" t="str">
        <x:v>RS-04800-E1</x:v>
      </x:c>
      <x:c r="B4801" s="4" t="str">
        <x:v>RS-04800</x:v>
      </x:c>
      <x:c r="C4801" s="8" t="n">
        <x:v>45577</x:v>
      </x:c>
      <x:c r="D4801" s="4" t="str">
        <x:v>Sales operations manager</x:v>
      </x:c>
      <x:c r="E4801" s="4" t="str">
        <x:v>Spreadsheet import</x:v>
      </x:c>
      <x:c r="F4801" s="4" t="str">
        <x:v>Record captured</x:v>
      </x:c>
      <x:c r="G4801" s="4" t="str">
        <x:v>Enquiry</x:v>
      </x:c>
    </x:row>
    <x:row r="4802" ht="34" customHeight="1">
      <x:c r="A4802" s="4" t="str">
        <x:v>RS-04801-E1</x:v>
      </x:c>
      <x:c r="B4802" s="4" t="str">
        <x:v>RS-04801</x:v>
      </x:c>
      <x:c r="C4802" s="8" t="n">
        <x:v>45578</x:v>
      </x:c>
      <x:c r="D4802" s="4" t="str">
        <x:v>Sales operations manager</x:v>
      </x:c>
      <x:c r="E4802" s="4" t="str">
        <x:v>WhatsApp transcribed</x:v>
      </x:c>
      <x:c r="F4802" s="4" t="str">
        <x:v>Record captured</x:v>
      </x:c>
      <x:c r="G4802" s="4" t="str">
        <x:v>Cancelled</x:v>
      </x:c>
    </x:row>
    <x:row r="4803" ht="34" customHeight="1">
      <x:c r="A4803" s="4" t="str">
        <x:v>RS-04802-E1</x:v>
      </x:c>
      <x:c r="B4803" s="4" t="str">
        <x:v>RS-04802</x:v>
      </x:c>
      <x:c r="C4803" s="8" t="n">
        <x:v>45579</x:v>
      </x:c>
      <x:c r="D4803" s="4" t="str">
        <x:v>Sales operations manager</x:v>
      </x:c>
      <x:c r="E4803" s="4" t="str">
        <x:v>Paper transcribed</x:v>
      </x:c>
      <x:c r="F4803" s="4" t="str">
        <x:v>Record captured</x:v>
      </x:c>
      <x:c r="G4803" s="4" t="str">
        <x:v>Reserved</x:v>
      </x:c>
    </x:row>
    <x:row r="4804" ht="34" customHeight="1">
      <x:c r="A4804" s="4" t="str">
        <x:v>RS-04803-E1</x:v>
      </x:c>
      <x:c r="B4804" s="4" t="str">
        <x:v>RS-04803</x:v>
      </x:c>
      <x:c r="C4804" s="8" t="n">
        <x:v>45580</x:v>
      </x:c>
      <x:c r="D4804" s="4" t="str">
        <x:v>Sales operations manager</x:v>
      </x:c>
      <x:c r="E4804" s="4" t="str">
        <x:v>Paper transcribed</x:v>
      </x:c>
      <x:c r="F4804" s="4" t="str">
        <x:v>Record captured</x:v>
      </x:c>
      <x:c r="G4804" s="4" t="str">
        <x:v>Reserved</x:v>
      </x:c>
    </x:row>
    <x:row r="4805" ht="34" customHeight="1">
      <x:c r="A4805" s="4" t="str">
        <x:v>RS-04804-E1</x:v>
      </x:c>
      <x:c r="B4805" s="4" t="str">
        <x:v>RS-04804</x:v>
      </x:c>
      <x:c r="C4805" s="8" t="n">
        <x:v>45581</x:v>
      </x:c>
      <x:c r="D4805" s="4" t="str">
        <x:v>Sales operations manager</x:v>
      </x:c>
      <x:c r="E4805" s="4" t="str">
        <x:v>Paper transcribed</x:v>
      </x:c>
      <x:c r="F4805" s="4" t="str">
        <x:v>Record captured</x:v>
      </x:c>
      <x:c r="G4805" s="4" t="str">
        <x:v>Cancelled</x:v>
      </x:c>
    </x:row>
    <x:row r="4806" ht="34" customHeight="1">
      <x:c r="A4806" s="4" t="str">
        <x:v>RS-04805-E1</x:v>
      </x:c>
      <x:c r="B4806" s="4" t="str">
        <x:v>RS-04805</x:v>
      </x:c>
      <x:c r="C4806" s="8" t="n">
        <x:v>45582</x:v>
      </x:c>
      <x:c r="D4806" s="4" t="str">
        <x:v>Sales operations manager</x:v>
      </x:c>
      <x:c r="E4806" s="4" t="str">
        <x:v>Paper transcribed</x:v>
      </x:c>
      <x:c r="F4806" s="4" t="str">
        <x:v>Record captured</x:v>
      </x:c>
      <x:c r="G4806" s="4" t="str">
        <x:v>Enquiry</x:v>
      </x:c>
    </x:row>
    <x:row r="4807" ht="34" customHeight="1">
      <x:c r="A4807" s="4" t="str">
        <x:v>RS-04806-E1</x:v>
      </x:c>
      <x:c r="B4807" s="4" t="str">
        <x:v>RS-04806</x:v>
      </x:c>
      <x:c r="C4807" s="8" t="n">
        <x:v>45583</x:v>
      </x:c>
      <x:c r="D4807" s="4" t="str">
        <x:v>Sales operations manager</x:v>
      </x:c>
      <x:c r="E4807" s="4" t="str">
        <x:v>ERP form</x:v>
      </x:c>
      <x:c r="F4807" s="4" t="str">
        <x:v>Record captured</x:v>
      </x:c>
      <x:c r="G4807" s="4" t="str">
        <x:v>Handed over</x:v>
      </x:c>
    </x:row>
    <x:row r="4808" ht="34" customHeight="1">
      <x:c r="A4808" s="4" t="str">
        <x:v>RS-04807-E1</x:v>
      </x:c>
      <x:c r="B4808" s="4" t="str">
        <x:v>RS-04807</x:v>
      </x:c>
      <x:c r="C4808" s="8" t="n">
        <x:v>45584</x:v>
      </x:c>
      <x:c r="D4808" s="4" t="str">
        <x:v>Sales operations manager</x:v>
      </x:c>
      <x:c r="E4808" s="4" t="str">
        <x:v>Paper transcribed</x:v>
      </x:c>
      <x:c r="F4808" s="4" t="str">
        <x:v>Record captured</x:v>
      </x:c>
      <x:c r="G4808" s="4" t="str">
        <x:v>Booked</x:v>
      </x:c>
    </x:row>
    <x:row r="4809" ht="34" customHeight="1">
      <x:c r="A4809" s="4" t="str">
        <x:v>RS-04808-E1</x:v>
      </x:c>
      <x:c r="B4809" s="4" t="str">
        <x:v>RS-04808</x:v>
      </x:c>
      <x:c r="C4809" s="8" t="n">
        <x:v>45585</x:v>
      </x:c>
      <x:c r="D4809" s="4" t="str">
        <x:v>Sales operations manager</x:v>
      </x:c>
      <x:c r="E4809" s="4" t="str">
        <x:v>ERP form</x:v>
      </x:c>
      <x:c r="F4809" s="4" t="str">
        <x:v>Record captured</x:v>
      </x:c>
      <x:c r="G4809" s="4" t="str">
        <x:v>Cancelled</x:v>
      </x:c>
    </x:row>
    <x:row r="4810" ht="34" customHeight="1">
      <x:c r="A4810" s="4" t="str">
        <x:v>RS-04809-E1</x:v>
      </x:c>
      <x:c r="B4810" s="4" t="str">
        <x:v>RS-04809</x:v>
      </x:c>
      <x:c r="C4810" s="8" t="n">
        <x:v>45586</x:v>
      </x:c>
      <x:c r="D4810" s="4" t="str">
        <x:v>Sales operations manager</x:v>
      </x:c>
      <x:c r="E4810" s="4" t="str">
        <x:v>Spreadsheet import</x:v>
      </x:c>
      <x:c r="F4810" s="4" t="str">
        <x:v>Record captured</x:v>
      </x:c>
      <x:c r="G4810" s="4" t="str">
        <x:v>Enquiry</x:v>
      </x:c>
    </x:row>
    <x:row r="4811" ht="34" customHeight="1">
      <x:c r="A4811" s="4" t="str">
        <x:v>RS-04810-E1</x:v>
      </x:c>
      <x:c r="B4811" s="4" t="str">
        <x:v>RS-04810</x:v>
      </x:c>
      <x:c r="C4811" s="8" t="n">
        <x:v>45587</x:v>
      </x:c>
      <x:c r="D4811" s="4" t="str">
        <x:v>Sales operations manager</x:v>
      </x:c>
      <x:c r="E4811" s="4" t="str">
        <x:v>WhatsApp transcribed</x:v>
      </x:c>
      <x:c r="F4811" s="4" t="str">
        <x:v>Record captured</x:v>
      </x:c>
      <x:c r="G4811" s="4" t="str">
        <x:v>Reserved</x:v>
      </x:c>
    </x:row>
    <x:row r="4812" ht="34" customHeight="1">
      <x:c r="A4812" s="4" t="str">
        <x:v>RS-04811-E1</x:v>
      </x:c>
      <x:c r="B4812" s="4" t="str">
        <x:v>RS-04811</x:v>
      </x:c>
      <x:c r="C4812" s="8" t="n">
        <x:v>45588</x:v>
      </x:c>
      <x:c r="D4812" s="4" t="str">
        <x:v>Sales operations manager</x:v>
      </x:c>
      <x:c r="E4812" s="4" t="str">
        <x:v>ERP form</x:v>
      </x:c>
      <x:c r="F4812" s="4" t="str">
        <x:v>Record captured</x:v>
      </x:c>
      <x:c r="G4812" s="4" t="str">
        <x:v>Booked</x:v>
      </x:c>
    </x:row>
    <x:row r="4813" ht="34" customHeight="1">
      <x:c r="A4813" s="4" t="str">
        <x:v>RS-04812-E1</x:v>
      </x:c>
      <x:c r="B4813" s="4" t="str">
        <x:v>RS-04812</x:v>
      </x:c>
      <x:c r="C4813" s="8" t="n">
        <x:v>45589</x:v>
      </x:c>
      <x:c r="D4813" s="4" t="str">
        <x:v>Sales operations manager</x:v>
      </x:c>
      <x:c r="E4813" s="4" t="str">
        <x:v>Spreadsheet import</x:v>
      </x:c>
      <x:c r="F4813" s="4" t="str">
        <x:v>Record captured</x:v>
      </x:c>
      <x:c r="G4813" s="4" t="str">
        <x:v>Handed over</x:v>
      </x:c>
    </x:row>
    <x:row r="4814" ht="34" customHeight="1">
      <x:c r="A4814" s="4" t="str">
        <x:v>RS-04813-E1</x:v>
      </x:c>
      <x:c r="B4814" s="4" t="str">
        <x:v>RS-04813</x:v>
      </x:c>
      <x:c r="C4814" s="8" t="n">
        <x:v>45590</x:v>
      </x:c>
      <x:c r="D4814" s="4" t="str">
        <x:v>Sales operations manager</x:v>
      </x:c>
      <x:c r="E4814" s="4" t="str">
        <x:v>ERP form</x:v>
      </x:c>
      <x:c r="F4814" s="4" t="str">
        <x:v>Record captured</x:v>
      </x:c>
      <x:c r="G4814" s="4" t="str">
        <x:v>Enquiry</x:v>
      </x:c>
    </x:row>
    <x:row r="4815" ht="34" customHeight="1">
      <x:c r="A4815" s="4" t="str">
        <x:v>RS-04814-E1</x:v>
      </x:c>
      <x:c r="B4815" s="4" t="str">
        <x:v>RS-04814</x:v>
      </x:c>
      <x:c r="C4815" s="8" t="n">
        <x:v>45591</x:v>
      </x:c>
      <x:c r="D4815" s="4" t="str">
        <x:v>Sales operations manager</x:v>
      </x:c>
      <x:c r="E4815" s="4" t="str">
        <x:v>Paper transcribed</x:v>
      </x:c>
      <x:c r="F4815" s="4" t="str">
        <x:v>Record captured</x:v>
      </x:c>
      <x:c r="G4815" s="4" t="str">
        <x:v>Agreement signed</x:v>
      </x:c>
    </x:row>
    <x:row r="4816" ht="34" customHeight="1">
      <x:c r="A4816" s="4" t="str">
        <x:v>RS-04815-E1</x:v>
      </x:c>
      <x:c r="B4816" s="4" t="str">
        <x:v>RS-04815</x:v>
      </x:c>
      <x:c r="C4816" s="8" t="n">
        <x:v>45592</x:v>
      </x:c>
      <x:c r="D4816" s="4" t="str">
        <x:v>Sales operations manager</x:v>
      </x:c>
      <x:c r="E4816" s="4" t="str">
        <x:v>Paper transcribed</x:v>
      </x:c>
      <x:c r="F4816" s="4" t="str">
        <x:v>Record captured</x:v>
      </x:c>
      <x:c r="G4816" s="4" t="str">
        <x:v>Agreement signed</x:v>
      </x:c>
    </x:row>
    <x:row r="4817" ht="34" customHeight="1">
      <x:c r="A4817" s="4" t="str">
        <x:v>RS-04816-E1</x:v>
      </x:c>
      <x:c r="B4817" s="4" t="str">
        <x:v>RS-04816</x:v>
      </x:c>
      <x:c r="C4817" s="8" t="n">
        <x:v>45593</x:v>
      </x:c>
      <x:c r="D4817" s="4" t="str">
        <x:v>Sales operations manager</x:v>
      </x:c>
      <x:c r="E4817" s="4" t="str">
        <x:v>Spreadsheet import</x:v>
      </x:c>
      <x:c r="F4817" s="4" t="str">
        <x:v>Record captured</x:v>
      </x:c>
      <x:c r="G4817" s="4" t="str">
        <x:v>Cancelled</x:v>
      </x:c>
    </x:row>
    <x:row r="4818" ht="34" customHeight="1">
      <x:c r="A4818" s="4" t="str">
        <x:v>RS-04817-E1</x:v>
      </x:c>
      <x:c r="B4818" s="4" t="str">
        <x:v>RS-04817</x:v>
      </x:c>
      <x:c r="C4818" s="8" t="n">
        <x:v>45566</x:v>
      </x:c>
      <x:c r="D4818" s="4" t="str">
        <x:v>Sales operations manager</x:v>
      </x:c>
      <x:c r="E4818" s="4" t="str">
        <x:v>ERP form</x:v>
      </x:c>
      <x:c r="F4818" s="4" t="str">
        <x:v>Record captured</x:v>
      </x:c>
      <x:c r="G4818" s="4" t="str">
        <x:v>Reserved</x:v>
      </x:c>
    </x:row>
    <x:row r="4819" ht="34" customHeight="1">
      <x:c r="A4819" s="4" t="str">
        <x:v>RS-04818-E1</x:v>
      </x:c>
      <x:c r="B4819" s="4" t="str">
        <x:v>RS-04818</x:v>
      </x:c>
      <x:c r="C4819" s="8" t="n">
        <x:v>45567</x:v>
      </x:c>
      <x:c r="D4819" s="4" t="str">
        <x:v>Sales operations manager</x:v>
      </x:c>
      <x:c r="E4819" s="4" t="str">
        <x:v>ERP form</x:v>
      </x:c>
      <x:c r="F4819" s="4" t="str">
        <x:v>Record captured</x:v>
      </x:c>
      <x:c r="G4819" s="4" t="str">
        <x:v>Enquiry</x:v>
      </x:c>
    </x:row>
    <x:row r="4820" ht="34" customHeight="1">
      <x:c r="A4820" s="4" t="str">
        <x:v>RS-04819-E1</x:v>
      </x:c>
      <x:c r="B4820" s="4" t="str">
        <x:v>RS-04819</x:v>
      </x:c>
      <x:c r="C4820" s="8" t="n">
        <x:v>45568</x:v>
      </x:c>
      <x:c r="D4820" s="4" t="str">
        <x:v>Sales operations manager</x:v>
      </x:c>
      <x:c r="E4820" s="4" t="str">
        <x:v>ERP form</x:v>
      </x:c>
      <x:c r="F4820" s="4" t="str">
        <x:v>Record captured</x:v>
      </x:c>
      <x:c r="G4820" s="4" t="str">
        <x:v>Handed over</x:v>
      </x:c>
    </x:row>
    <x:row r="4821" ht="34" customHeight="1">
      <x:c r="A4821" s="4" t="str">
        <x:v>RS-04820-E1</x:v>
      </x:c>
      <x:c r="B4821" s="4" t="str">
        <x:v>RS-04820</x:v>
      </x:c>
      <x:c r="C4821" s="8" t="n">
        <x:v>45569</x:v>
      </x:c>
      <x:c r="D4821" s="4" t="str">
        <x:v>Sales operations manager</x:v>
      </x:c>
      <x:c r="E4821" s="4" t="str">
        <x:v>Paper transcribed</x:v>
      </x:c>
      <x:c r="F4821" s="4" t="str">
        <x:v>Record captured</x:v>
      </x:c>
      <x:c r="G4821" s="4" t="str">
        <x:v>Enquiry</x:v>
      </x:c>
    </x:row>
    <x:row r="4822" ht="34" customHeight="1">
      <x:c r="A4822" s="4" t="str">
        <x:v>RS-04821-E1</x:v>
      </x:c>
      <x:c r="B4822" s="4" t="str">
        <x:v>RS-04821</x:v>
      </x:c>
      <x:c r="C4822" s="8" t="n">
        <x:v>45570</x:v>
      </x:c>
      <x:c r="D4822" s="4" t="str">
        <x:v>Sales operations manager</x:v>
      </x:c>
      <x:c r="E4822" s="4" t="str">
        <x:v>Paper transcribed</x:v>
      </x:c>
      <x:c r="F4822" s="4" t="str">
        <x:v>Record captured</x:v>
      </x:c>
      <x:c r="G4822" s="4" t="str">
        <x:v>Handed over</x:v>
      </x:c>
    </x:row>
    <x:row r="4823" ht="34" customHeight="1">
      <x:c r="A4823" s="4" t="str">
        <x:v>RS-04822-E1</x:v>
      </x:c>
      <x:c r="B4823" s="4" t="str">
        <x:v>RS-04822</x:v>
      </x:c>
      <x:c r="C4823" s="8" t="n">
        <x:v>45571</x:v>
      </x:c>
      <x:c r="D4823" s="4" t="str">
        <x:v>Sales operations manager</x:v>
      </x:c>
      <x:c r="E4823" s="4" t="str">
        <x:v>ERP form</x:v>
      </x:c>
      <x:c r="F4823" s="4" t="str">
        <x:v>Record captured</x:v>
      </x:c>
      <x:c r="G4823" s="4" t="str">
        <x:v>Cancelled</x:v>
      </x:c>
    </x:row>
    <x:row r="4824" ht="34" customHeight="1">
      <x:c r="A4824" s="4" t="str">
        <x:v>RS-04823-E1</x:v>
      </x:c>
      <x:c r="B4824" s="4" t="str">
        <x:v>RS-04823</x:v>
      </x:c>
      <x:c r="C4824" s="8" t="n">
        <x:v>45572</x:v>
      </x:c>
      <x:c r="D4824" s="4" t="str">
        <x:v>Sales operations manager</x:v>
      </x:c>
      <x:c r="E4824" s="4" t="str">
        <x:v>Paper transcribed</x:v>
      </x:c>
      <x:c r="F4824" s="4" t="str">
        <x:v>Record captured</x:v>
      </x:c>
      <x:c r="G4824" s="4" t="str">
        <x:v>Handed over</x:v>
      </x:c>
    </x:row>
    <x:row r="4825" ht="34" customHeight="1">
      <x:c r="A4825" s="4" t="str">
        <x:v>RS-04824-E1</x:v>
      </x:c>
      <x:c r="B4825" s="4" t="str">
        <x:v>RS-04824</x:v>
      </x:c>
      <x:c r="C4825" s="8" t="n">
        <x:v>45573</x:v>
      </x:c>
      <x:c r="D4825" s="4" t="str">
        <x:v>Sales operations manager</x:v>
      </x:c>
      <x:c r="E4825" s="4" t="str">
        <x:v>Paper transcribed</x:v>
      </x:c>
      <x:c r="F4825" s="4" t="str">
        <x:v>Record captured</x:v>
      </x:c>
      <x:c r="G4825" s="4" t="str">
        <x:v>Enquiry</x:v>
      </x:c>
    </x:row>
    <x:row r="4826" ht="34" customHeight="1">
      <x:c r="A4826" s="4" t="str">
        <x:v>RS-04825-E1</x:v>
      </x:c>
      <x:c r="B4826" s="4" t="str">
        <x:v>RS-04825</x:v>
      </x:c>
      <x:c r="C4826" s="8" t="n">
        <x:v>45574</x:v>
      </x:c>
      <x:c r="D4826" s="4" t="str">
        <x:v>Sales operations manager</x:v>
      </x:c>
      <x:c r="E4826" s="4" t="str">
        <x:v>ERP form</x:v>
      </x:c>
      <x:c r="F4826" s="4" t="str">
        <x:v>Record captured</x:v>
      </x:c>
      <x:c r="G4826" s="4" t="str">
        <x:v>Enquiry</x:v>
      </x:c>
    </x:row>
    <x:row r="4827" ht="34" customHeight="1">
      <x:c r="A4827" s="4" t="str">
        <x:v>RS-04826-E1</x:v>
      </x:c>
      <x:c r="B4827" s="4" t="str">
        <x:v>RS-04826</x:v>
      </x:c>
      <x:c r="C4827" s="8" t="n">
        <x:v>45575</x:v>
      </x:c>
      <x:c r="D4827" s="4" t="str">
        <x:v>Sales operations manager</x:v>
      </x:c>
      <x:c r="E4827" s="4" t="str">
        <x:v>Paper transcribed</x:v>
      </x:c>
      <x:c r="F4827" s="4" t="str">
        <x:v>Record captured</x:v>
      </x:c>
      <x:c r="G4827" s="4" t="str">
        <x:v>Enquiry</x:v>
      </x:c>
    </x:row>
    <x:row r="4828" ht="34" customHeight="1">
      <x:c r="A4828" s="4" t="str">
        <x:v>RS-04827-E1</x:v>
      </x:c>
      <x:c r="B4828" s="4" t="str">
        <x:v>RS-04827</x:v>
      </x:c>
      <x:c r="C4828" s="8" t="n">
        <x:v>45576</x:v>
      </x:c>
      <x:c r="D4828" s="4" t="str">
        <x:v>Sales operations manager</x:v>
      </x:c>
      <x:c r="E4828" s="4" t="str">
        <x:v>ERP form</x:v>
      </x:c>
      <x:c r="F4828" s="4" t="str">
        <x:v>Record captured</x:v>
      </x:c>
      <x:c r="G4828" s="4" t="str">
        <x:v>Booked</x:v>
      </x:c>
    </x:row>
    <x:row r="4829" ht="34" customHeight="1">
      <x:c r="A4829" s="4" t="str">
        <x:v>RS-04828-E1</x:v>
      </x:c>
      <x:c r="B4829" s="4" t="str">
        <x:v>RS-04828</x:v>
      </x:c>
      <x:c r="C4829" s="8" t="n">
        <x:v>45577</x:v>
      </x:c>
      <x:c r="D4829" s="4" t="str">
        <x:v>Sales operations manager</x:v>
      </x:c>
      <x:c r="E4829" s="4" t="str">
        <x:v>Spreadsheet import</x:v>
      </x:c>
      <x:c r="F4829" s="4" t="str">
        <x:v>Record captured</x:v>
      </x:c>
      <x:c r="G4829" s="4" t="str">
        <x:v>Handed over</x:v>
      </x:c>
    </x:row>
    <x:row r="4830" ht="34" customHeight="1">
      <x:c r="A4830" s="4" t="str">
        <x:v>RS-04829-E1</x:v>
      </x:c>
      <x:c r="B4830" s="4" t="str">
        <x:v>RS-04829</x:v>
      </x:c>
      <x:c r="C4830" s="8" t="n">
        <x:v>45578</x:v>
      </x:c>
      <x:c r="D4830" s="4" t="str">
        <x:v>Sales operations manager</x:v>
      </x:c>
      <x:c r="E4830" s="4" t="str">
        <x:v>ERP form</x:v>
      </x:c>
      <x:c r="F4830" s="4" t="str">
        <x:v>Record captured</x:v>
      </x:c>
      <x:c r="G4830" s="4" t="str">
        <x:v>Agreement signed</x:v>
      </x:c>
    </x:row>
    <x:row r="4831" ht="34" customHeight="1">
      <x:c r="A4831" s="4" t="str">
        <x:v>RS-04830-E1</x:v>
      </x:c>
      <x:c r="B4831" s="4" t="str">
        <x:v>RS-04830</x:v>
      </x:c>
      <x:c r="C4831" s="8" t="n">
        <x:v>45579</x:v>
      </x:c>
      <x:c r="D4831" s="4" t="str">
        <x:v>Sales operations manager</x:v>
      </x:c>
      <x:c r="E4831" s="4" t="str">
        <x:v>ERP form</x:v>
      </x:c>
      <x:c r="F4831" s="4" t="str">
        <x:v>Record captured</x:v>
      </x:c>
      <x:c r="G4831" s="4" t="str">
        <x:v>Enquiry</x:v>
      </x:c>
    </x:row>
    <x:row r="4832" ht="34" customHeight="1">
      <x:c r="A4832" s="4" t="str">
        <x:v>RS-04831-E1</x:v>
      </x:c>
      <x:c r="B4832" s="4" t="str">
        <x:v>RS-04831</x:v>
      </x:c>
      <x:c r="C4832" s="8" t="n">
        <x:v>45580</x:v>
      </x:c>
      <x:c r="D4832" s="4" t="str">
        <x:v>Sales operations manager</x:v>
      </x:c>
      <x:c r="E4832" s="4" t="str">
        <x:v>ERP form</x:v>
      </x:c>
      <x:c r="F4832" s="4" t="str">
        <x:v>Record captured</x:v>
      </x:c>
      <x:c r="G4832" s="4" t="str">
        <x:v>Reserved</x:v>
      </x:c>
    </x:row>
    <x:row r="4833" ht="34" customHeight="1">
      <x:c r="A4833" s="4" t="str">
        <x:v>RS-04832-E1</x:v>
      </x:c>
      <x:c r="B4833" s="4" t="str">
        <x:v>RS-04832</x:v>
      </x:c>
      <x:c r="C4833" s="8" t="n">
        <x:v>45581</x:v>
      </x:c>
      <x:c r="D4833" s="4" t="str">
        <x:v>Sales operations manager</x:v>
      </x:c>
      <x:c r="E4833" s="4" t="str">
        <x:v>ERP form</x:v>
      </x:c>
      <x:c r="F4833" s="4" t="str">
        <x:v>Record captured</x:v>
      </x:c>
      <x:c r="G4833" s="4" t="str">
        <x:v>Handed over</x:v>
      </x:c>
    </x:row>
    <x:row r="4834" ht="34" customHeight="1">
      <x:c r="A4834" s="4" t="str">
        <x:v>RS-04833-E1</x:v>
      </x:c>
      <x:c r="B4834" s="4" t="str">
        <x:v>RS-04833</x:v>
      </x:c>
      <x:c r="C4834" s="8" t="n">
        <x:v>45582</x:v>
      </x:c>
      <x:c r="D4834" s="4" t="str">
        <x:v>Sales operations manager</x:v>
      </x:c>
      <x:c r="E4834" s="4" t="str">
        <x:v>ERP form</x:v>
      </x:c>
      <x:c r="F4834" s="4" t="str">
        <x:v>Record captured</x:v>
      </x:c>
      <x:c r="G4834" s="4" t="str">
        <x:v>Booked</x:v>
      </x:c>
    </x:row>
    <x:row r="4835" ht="34" customHeight="1">
      <x:c r="A4835" s="4" t="str">
        <x:v>RS-04834-E1</x:v>
      </x:c>
      <x:c r="B4835" s="4" t="str">
        <x:v>RS-04834</x:v>
      </x:c>
      <x:c r="C4835" s="8" t="n">
        <x:v>45583</x:v>
      </x:c>
      <x:c r="D4835" s="4" t="str">
        <x:v>Sales operations manager</x:v>
      </x:c>
      <x:c r="E4835" s="4" t="str">
        <x:v>WhatsApp transcribed</x:v>
      </x:c>
      <x:c r="F4835" s="4" t="str">
        <x:v>Record captured</x:v>
      </x:c>
      <x:c r="G4835" s="4" t="str">
        <x:v>Agreement signed</x:v>
      </x:c>
    </x:row>
    <x:row r="4836" ht="34" customHeight="1">
      <x:c r="A4836" s="4" t="str">
        <x:v>RS-04835-E1</x:v>
      </x:c>
      <x:c r="B4836" s="4" t="str">
        <x:v>RS-04835</x:v>
      </x:c>
      <x:c r="C4836" s="8" t="n">
        <x:v>45584</x:v>
      </x:c>
      <x:c r="D4836" s="4" t="str">
        <x:v>Sales operations manager</x:v>
      </x:c>
      <x:c r="E4836" s="4" t="str">
        <x:v>Paper transcribed</x:v>
      </x:c>
      <x:c r="F4836" s="4" t="str">
        <x:v>Record captured</x:v>
      </x:c>
      <x:c r="G4836" s="4" t="str">
        <x:v>Handed over</x:v>
      </x:c>
    </x:row>
    <x:row r="4837" ht="34" customHeight="1">
      <x:c r="A4837" s="4" t="str">
        <x:v>RS-04836-E1</x:v>
      </x:c>
      <x:c r="B4837" s="4" t="str">
        <x:v>RS-04836</x:v>
      </x:c>
      <x:c r="C4837" s="8" t="n">
        <x:v>45585</x:v>
      </x:c>
      <x:c r="D4837" s="4" t="str">
        <x:v>Sales operations manager</x:v>
      </x:c>
      <x:c r="E4837" s="4" t="str">
        <x:v>Paper transcribed</x:v>
      </x:c>
      <x:c r="F4837" s="4" t="str">
        <x:v>Record captured</x:v>
      </x:c>
      <x:c r="G4837" s="4" t="str">
        <x:v>Enquiry</x:v>
      </x:c>
    </x:row>
    <x:row r="4838" ht="34" customHeight="1">
      <x:c r="A4838" s="4" t="str">
        <x:v>RS-04837-E1</x:v>
      </x:c>
      <x:c r="B4838" s="4" t="str">
        <x:v>RS-04837</x:v>
      </x:c>
      <x:c r="C4838" s="8" t="n">
        <x:v>45586</x:v>
      </x:c>
      <x:c r="D4838" s="4" t="str">
        <x:v>Sales operations manager</x:v>
      </x:c>
      <x:c r="E4838" s="4" t="str">
        <x:v>ERP form</x:v>
      </x:c>
      <x:c r="F4838" s="4" t="str">
        <x:v>Record captured</x:v>
      </x:c>
      <x:c r="G4838" s="4" t="str">
        <x:v>Handed over</x:v>
      </x:c>
    </x:row>
    <x:row r="4839" ht="34" customHeight="1">
      <x:c r="A4839" s="4" t="str">
        <x:v>RS-04838-E1</x:v>
      </x:c>
      <x:c r="B4839" s="4" t="str">
        <x:v>RS-04838</x:v>
      </x:c>
      <x:c r="C4839" s="8" t="n">
        <x:v>45587</x:v>
      </x:c>
      <x:c r="D4839" s="4" t="str">
        <x:v>Sales operations manager</x:v>
      </x:c>
      <x:c r="E4839" s="4" t="str">
        <x:v>Spreadsheet import</x:v>
      </x:c>
      <x:c r="F4839" s="4" t="str">
        <x:v>Record captured</x:v>
      </x:c>
      <x:c r="G4839" s="4" t="str">
        <x:v>Booked</x:v>
      </x:c>
    </x:row>
    <x:row r="4840" ht="34" customHeight="1">
      <x:c r="A4840" s="4" t="str">
        <x:v>RS-04839-E1</x:v>
      </x:c>
      <x:c r="B4840" s="4" t="str">
        <x:v>RS-04839</x:v>
      </x:c>
      <x:c r="C4840" s="8" t="n">
        <x:v>45588</x:v>
      </x:c>
      <x:c r="D4840" s="4" t="str">
        <x:v>Sales operations manager</x:v>
      </x:c>
      <x:c r="E4840" s="4" t="str">
        <x:v>WhatsApp transcribed</x:v>
      </x:c>
      <x:c r="F4840" s="4" t="str">
        <x:v>Record captured</x:v>
      </x:c>
      <x:c r="G4840" s="4" t="str">
        <x:v>Booked</x:v>
      </x:c>
    </x:row>
    <x:row r="4841" ht="34" customHeight="1">
      <x:c r="A4841" s="4" t="str">
        <x:v>RS-04840-E1</x:v>
      </x:c>
      <x:c r="B4841" s="4" t="str">
        <x:v>RS-04840</x:v>
      </x:c>
      <x:c r="C4841" s="8" t="n">
        <x:v>45589</x:v>
      </x:c>
      <x:c r="D4841" s="4" t="str">
        <x:v>Sales operations manager</x:v>
      </x:c>
      <x:c r="E4841" s="4" t="str">
        <x:v>WhatsApp transcribed</x:v>
      </x:c>
      <x:c r="F4841" s="4" t="str">
        <x:v>Record captured</x:v>
      </x:c>
      <x:c r="G4841" s="4" t="str">
        <x:v>Enquiry</x:v>
      </x:c>
    </x:row>
    <x:row r="4842" ht="34" customHeight="1">
      <x:c r="A4842" s="4" t="str">
        <x:v>RS-04841-E1</x:v>
      </x:c>
      <x:c r="B4842" s="4" t="str">
        <x:v>RS-04841</x:v>
      </x:c>
      <x:c r="C4842" s="8" t="n">
        <x:v>45590</x:v>
      </x:c>
      <x:c r="D4842" s="4" t="str">
        <x:v>Sales operations manager</x:v>
      </x:c>
      <x:c r="E4842" s="4" t="str">
        <x:v>ERP form</x:v>
      </x:c>
      <x:c r="F4842" s="4" t="str">
        <x:v>Record captured</x:v>
      </x:c>
      <x:c r="G4842" s="4" t="str">
        <x:v>Enquiry</x:v>
      </x:c>
    </x:row>
    <x:row r="4843" ht="34" customHeight="1">
      <x:c r="A4843" s="4" t="str">
        <x:v>RS-04842-E1</x:v>
      </x:c>
      <x:c r="B4843" s="4" t="str">
        <x:v>RS-04842</x:v>
      </x:c>
      <x:c r="C4843" s="8" t="n">
        <x:v>45591</x:v>
      </x:c>
      <x:c r="D4843" s="4" t="str">
        <x:v>Sales operations manager</x:v>
      </x:c>
      <x:c r="E4843" s="4" t="str">
        <x:v>ERP form</x:v>
      </x:c>
      <x:c r="F4843" s="4" t="str">
        <x:v>Record captured</x:v>
      </x:c>
      <x:c r="G4843" s="4" t="str">
        <x:v>Handed over</x:v>
      </x:c>
    </x:row>
    <x:row r="4844" ht="34" customHeight="1">
      <x:c r="A4844" s="4" t="str">
        <x:v>RS-04843-E1</x:v>
      </x:c>
      <x:c r="B4844" s="4" t="str">
        <x:v>RS-04843</x:v>
      </x:c>
      <x:c r="C4844" s="8" t="n">
        <x:v>45592</x:v>
      </x:c>
      <x:c r="D4844" s="4" t="str">
        <x:v>Sales operations manager</x:v>
      </x:c>
      <x:c r="E4844" s="4" t="str">
        <x:v>Paper transcribed</x:v>
      </x:c>
      <x:c r="F4844" s="4" t="str">
        <x:v>Record captured</x:v>
      </x:c>
      <x:c r="G4844" s="4" t="str">
        <x:v>Reserved</x:v>
      </x:c>
    </x:row>
    <x:row r="4845" ht="34" customHeight="1">
      <x:c r="A4845" s="4" t="str">
        <x:v>RS-04844-E1</x:v>
      </x:c>
      <x:c r="B4845" s="4" t="str">
        <x:v>RS-04844</x:v>
      </x:c>
      <x:c r="C4845" s="8" t="n">
        <x:v>45593</x:v>
      </x:c>
      <x:c r="D4845" s="4" t="str">
        <x:v>Sales operations manager</x:v>
      </x:c>
      <x:c r="E4845" s="4" t="str">
        <x:v>ERP form</x:v>
      </x:c>
      <x:c r="F4845" s="4" t="str">
        <x:v>Record captured</x:v>
      </x:c>
      <x:c r="G4845" s="4" t="str">
        <x:v>Cancelled</x:v>
      </x:c>
    </x:row>
    <x:row r="4846" ht="34" customHeight="1">
      <x:c r="A4846" s="4" t="str">
        <x:v>RS-04845-E1</x:v>
      </x:c>
      <x:c r="B4846" s="4" t="str">
        <x:v>RS-04845</x:v>
      </x:c>
      <x:c r="C4846" s="8" t="n">
        <x:v>45566</x:v>
      </x:c>
      <x:c r="D4846" s="4" t="str">
        <x:v>Sales operations manager</x:v>
      </x:c>
      <x:c r="E4846" s="4" t="str">
        <x:v>WhatsApp transcribed</x:v>
      </x:c>
      <x:c r="F4846" s="4" t="str">
        <x:v>Record captured</x:v>
      </x:c>
      <x:c r="G4846" s="4" t="str">
        <x:v>Cancelled</x:v>
      </x:c>
    </x:row>
    <x:row r="4847" ht="34" customHeight="1">
      <x:c r="A4847" s="4" t="str">
        <x:v>RS-04846-E1</x:v>
      </x:c>
      <x:c r="B4847" s="4" t="str">
        <x:v>RS-04846</x:v>
      </x:c>
      <x:c r="C4847" s="8" t="n">
        <x:v>45567</x:v>
      </x:c>
      <x:c r="D4847" s="4" t="str">
        <x:v>Sales operations manager</x:v>
      </x:c>
      <x:c r="E4847" s="4" t="str">
        <x:v>Paper transcribed</x:v>
      </x:c>
      <x:c r="F4847" s="4" t="str">
        <x:v>Record captured</x:v>
      </x:c>
      <x:c r="G4847" s="4" t="str">
        <x:v>Handed over</x:v>
      </x:c>
    </x:row>
    <x:row r="4848" ht="34" customHeight="1">
      <x:c r="A4848" s="4" t="str">
        <x:v>RS-04847-E1</x:v>
      </x:c>
      <x:c r="B4848" s="4" t="str">
        <x:v>RS-04847</x:v>
      </x:c>
      <x:c r="C4848" s="8" t="n">
        <x:v>45568</x:v>
      </x:c>
      <x:c r="D4848" s="4" t="str">
        <x:v>Sales operations manager</x:v>
      </x:c>
      <x:c r="E4848" s="4" t="str">
        <x:v>Paper transcribed</x:v>
      </x:c>
      <x:c r="F4848" s="4" t="str">
        <x:v>Record captured</x:v>
      </x:c>
      <x:c r="G4848" s="4" t="str">
        <x:v>Cancelled</x:v>
      </x:c>
    </x:row>
    <x:row r="4849" ht="34" customHeight="1">
      <x:c r="A4849" s="4" t="str">
        <x:v>RS-04848-E1</x:v>
      </x:c>
      <x:c r="B4849" s="4" t="str">
        <x:v>RS-04848</x:v>
      </x:c>
      <x:c r="C4849" s="8" t="n">
        <x:v>45569</x:v>
      </x:c>
      <x:c r="D4849" s="4" t="str">
        <x:v>Sales operations manager</x:v>
      </x:c>
      <x:c r="E4849" s="4" t="str">
        <x:v>ERP form</x:v>
      </x:c>
      <x:c r="F4849" s="4" t="str">
        <x:v>Record captured</x:v>
      </x:c>
      <x:c r="G4849" s="4" t="str">
        <x:v>Reserved</x:v>
      </x:c>
    </x:row>
    <x:row r="4850" ht="34" customHeight="1">
      <x:c r="A4850" s="4" t="str">
        <x:v>RS-04849-E1</x:v>
      </x:c>
      <x:c r="B4850" s="4" t="str">
        <x:v>RS-04849</x:v>
      </x:c>
      <x:c r="C4850" s="8" t="n">
        <x:v>45570</x:v>
      </x:c>
      <x:c r="D4850" s="4" t="str">
        <x:v>Sales operations manager</x:v>
      </x:c>
      <x:c r="E4850" s="4" t="str">
        <x:v>Paper transcribed</x:v>
      </x:c>
      <x:c r="F4850" s="4" t="str">
        <x:v>Record captured</x:v>
      </x:c>
      <x:c r="G4850" s="4" t="str">
        <x:v>Handed over</x:v>
      </x:c>
    </x:row>
    <x:row r="4851" ht="34" customHeight="1">
      <x:c r="A4851" s="4" t="str">
        <x:v>RS-04850-E1</x:v>
      </x:c>
      <x:c r="B4851" s="4" t="str">
        <x:v>RS-04850</x:v>
      </x:c>
      <x:c r="C4851" s="8" t="n">
        <x:v>45571</x:v>
      </x:c>
      <x:c r="D4851" s="4" t="str">
        <x:v>Sales operations manager</x:v>
      </x:c>
      <x:c r="E4851" s="4" t="str">
        <x:v>WhatsApp transcribed</x:v>
      </x:c>
      <x:c r="F4851" s="4" t="str">
        <x:v>Record captured</x:v>
      </x:c>
      <x:c r="G4851" s="4" t="str">
        <x:v>Cancelled</x:v>
      </x:c>
    </x:row>
    <x:row r="4852" ht="34" customHeight="1">
      <x:c r="A4852" s="4" t="str">
        <x:v>RS-04851-E1</x:v>
      </x:c>
      <x:c r="B4852" s="4" t="str">
        <x:v>RS-04851</x:v>
      </x:c>
      <x:c r="C4852" s="8" t="n">
        <x:v>45572</x:v>
      </x:c>
      <x:c r="D4852" s="4" t="str">
        <x:v>Sales operations manager</x:v>
      </x:c>
      <x:c r="E4852" s="4" t="str">
        <x:v>Spreadsheet import</x:v>
      </x:c>
      <x:c r="F4852" s="4" t="str">
        <x:v>Record captured</x:v>
      </x:c>
      <x:c r="G4852" s="4" t="str">
        <x:v>Cancelled</x:v>
      </x:c>
    </x:row>
    <x:row r="4853" ht="34" customHeight="1">
      <x:c r="A4853" s="4" t="str">
        <x:v>RS-04852-E1</x:v>
      </x:c>
      <x:c r="B4853" s="4" t="str">
        <x:v>RS-04852</x:v>
      </x:c>
      <x:c r="C4853" s="8" t="n">
        <x:v>45573</x:v>
      </x:c>
      <x:c r="D4853" s="4" t="str">
        <x:v>Sales operations manager</x:v>
      </x:c>
      <x:c r="E4853" s="4" t="str">
        <x:v>ERP form</x:v>
      </x:c>
      <x:c r="F4853" s="4" t="str">
        <x:v>Record captured</x:v>
      </x:c>
      <x:c r="G4853" s="4" t="str">
        <x:v>Reserved</x:v>
      </x:c>
    </x:row>
    <x:row r="4854" ht="34" customHeight="1">
      <x:c r="A4854" s="4" t="str">
        <x:v>RS-04853-E1</x:v>
      </x:c>
      <x:c r="B4854" s="4" t="str">
        <x:v>RS-04853</x:v>
      </x:c>
      <x:c r="C4854" s="8" t="n">
        <x:v>45574</x:v>
      </x:c>
      <x:c r="D4854" s="4" t="str">
        <x:v>Sales operations manager</x:v>
      </x:c>
      <x:c r="E4854" s="4" t="str">
        <x:v>ERP form</x:v>
      </x:c>
      <x:c r="F4854" s="4" t="str">
        <x:v>Record captured</x:v>
      </x:c>
      <x:c r="G4854" s="4" t="str">
        <x:v>Handed over</x:v>
      </x:c>
    </x:row>
    <x:row r="4855" ht="34" customHeight="1">
      <x:c r="A4855" s="4" t="str">
        <x:v>RS-04854-E1</x:v>
      </x:c>
      <x:c r="B4855" s="4" t="str">
        <x:v>RS-04854</x:v>
      </x:c>
      <x:c r="C4855" s="8" t="n">
        <x:v>45575</x:v>
      </x:c>
      <x:c r="D4855" s="4" t="str">
        <x:v>Sales operations manager</x:v>
      </x:c>
      <x:c r="E4855" s="4" t="str">
        <x:v>Paper transcribed</x:v>
      </x:c>
      <x:c r="F4855" s="4" t="str">
        <x:v>Record captured</x:v>
      </x:c>
      <x:c r="G4855" s="4" t="str">
        <x:v>Reserved</x:v>
      </x:c>
    </x:row>
    <x:row r="4856" ht="34" customHeight="1">
      <x:c r="A4856" s="4" t="str">
        <x:v>RS-04855-E1</x:v>
      </x:c>
      <x:c r="B4856" s="4" t="str">
        <x:v>RS-04855</x:v>
      </x:c>
      <x:c r="C4856" s="8" t="n">
        <x:v>45576</x:v>
      </x:c>
      <x:c r="D4856" s="4" t="str">
        <x:v>Sales operations manager</x:v>
      </x:c>
      <x:c r="E4856" s="4" t="str">
        <x:v>ERP form</x:v>
      </x:c>
      <x:c r="F4856" s="4" t="str">
        <x:v>Record captured</x:v>
      </x:c>
      <x:c r="G4856" s="4" t="str">
        <x:v>Agreement signed</x:v>
      </x:c>
    </x:row>
    <x:row r="4857" ht="34" customHeight="1">
      <x:c r="A4857" s="4" t="str">
        <x:v>RS-04856-E1</x:v>
      </x:c>
      <x:c r="B4857" s="4" t="str">
        <x:v>RS-04856</x:v>
      </x:c>
      <x:c r="C4857" s="8" t="n">
        <x:v>45577</x:v>
      </x:c>
      <x:c r="D4857" s="4" t="str">
        <x:v>Sales operations manager</x:v>
      </x:c>
      <x:c r="E4857" s="4" t="str">
        <x:v>WhatsApp transcribed</x:v>
      </x:c>
      <x:c r="F4857" s="4" t="str">
        <x:v>Record captured</x:v>
      </x:c>
      <x:c r="G4857" s="4" t="str">
        <x:v>Handed over</x:v>
      </x:c>
    </x:row>
    <x:row r="4858" ht="34" customHeight="1">
      <x:c r="A4858" s="4" t="str">
        <x:v>RS-04857-E1</x:v>
      </x:c>
      <x:c r="B4858" s="4" t="str">
        <x:v>RS-04857</x:v>
      </x:c>
      <x:c r="C4858" s="8" t="n">
        <x:v>45578</x:v>
      </x:c>
      <x:c r="D4858" s="4" t="str">
        <x:v>Sales operations manager</x:v>
      </x:c>
      <x:c r="E4858" s="4" t="str">
        <x:v>Spreadsheet import</x:v>
      </x:c>
      <x:c r="F4858" s="4" t="str">
        <x:v>Record captured</x:v>
      </x:c>
      <x:c r="G4858" s="4" t="str">
        <x:v>Cancelled</x:v>
      </x:c>
    </x:row>
    <x:row r="4859" ht="34" customHeight="1">
      <x:c r="A4859" s="4" t="str">
        <x:v>RS-04858-E1</x:v>
      </x:c>
      <x:c r="B4859" s="4" t="str">
        <x:v>RS-04858</x:v>
      </x:c>
      <x:c r="C4859" s="8" t="n">
        <x:v>45579</x:v>
      </x:c>
      <x:c r="D4859" s="4" t="str">
        <x:v>Sales operations manager</x:v>
      </x:c>
      <x:c r="E4859" s="4" t="str">
        <x:v>Spreadsheet import</x:v>
      </x:c>
      <x:c r="F4859" s="4" t="str">
        <x:v>Record captured</x:v>
      </x:c>
      <x:c r="G4859" s="4" t="str">
        <x:v>Agreement signed</x:v>
      </x:c>
    </x:row>
    <x:row r="4860" ht="34" customHeight="1">
      <x:c r="A4860" s="4" t="str">
        <x:v>RS-04859-E1</x:v>
      </x:c>
      <x:c r="B4860" s="4" t="str">
        <x:v>RS-04859</x:v>
      </x:c>
      <x:c r="C4860" s="8" t="n">
        <x:v>45580</x:v>
      </x:c>
      <x:c r="D4860" s="4" t="str">
        <x:v>Sales operations manager</x:v>
      </x:c>
      <x:c r="E4860" s="4" t="str">
        <x:v>Paper transcribed</x:v>
      </x:c>
      <x:c r="F4860" s="4" t="str">
        <x:v>Record captured</x:v>
      </x:c>
      <x:c r="G4860" s="4" t="str">
        <x:v>Booked</x:v>
      </x:c>
    </x:row>
    <x:row r="4861" ht="34" customHeight="1">
      <x:c r="A4861" s="4" t="str">
        <x:v>RS-04860-E1</x:v>
      </x:c>
      <x:c r="B4861" s="4" t="str">
        <x:v>RS-04860</x:v>
      </x:c>
      <x:c r="C4861" s="8" t="n">
        <x:v>45581</x:v>
      </x:c>
      <x:c r="D4861" s="4" t="str">
        <x:v>Sales operations manager</x:v>
      </x:c>
      <x:c r="E4861" s="4" t="str">
        <x:v>WhatsApp transcribed</x:v>
      </x:c>
      <x:c r="F4861" s="4" t="str">
        <x:v>Record captured</x:v>
      </x:c>
      <x:c r="G4861" s="4" t="str">
        <x:v>Cancelled</x:v>
      </x:c>
    </x:row>
    <x:row r="4862" ht="34" customHeight="1">
      <x:c r="A4862" s="4" t="str">
        <x:v>RS-04861-E1</x:v>
      </x:c>
      <x:c r="B4862" s="4" t="str">
        <x:v>RS-04861</x:v>
      </x:c>
      <x:c r="C4862" s="8" t="n">
        <x:v>45582</x:v>
      </x:c>
      <x:c r="D4862" s="4" t="str">
        <x:v>Sales operations manager</x:v>
      </x:c>
      <x:c r="E4862" s="4" t="str">
        <x:v>Paper transcribed</x:v>
      </x:c>
      <x:c r="F4862" s="4" t="str">
        <x:v>Record captured</x:v>
      </x:c>
      <x:c r="G4862" s="4" t="str">
        <x:v>Handed over</x:v>
      </x:c>
    </x:row>
    <x:row r="4863" ht="34" customHeight="1">
      <x:c r="A4863" s="4" t="str">
        <x:v>RS-04862-E1</x:v>
      </x:c>
      <x:c r="B4863" s="4" t="str">
        <x:v>RS-04862</x:v>
      </x:c>
      <x:c r="C4863" s="8" t="n">
        <x:v>45583</x:v>
      </x:c>
      <x:c r="D4863" s="4" t="str">
        <x:v>Sales operations manager</x:v>
      </x:c>
      <x:c r="E4863" s="4" t="str">
        <x:v>WhatsApp transcribed</x:v>
      </x:c>
      <x:c r="F4863" s="4" t="str">
        <x:v>Record captured</x:v>
      </x:c>
      <x:c r="G4863" s="4" t="str">
        <x:v>Booked</x:v>
      </x:c>
    </x:row>
    <x:row r="4864" ht="34" customHeight="1">
      <x:c r="A4864" s="4" t="str">
        <x:v>RS-04863-E1</x:v>
      </x:c>
      <x:c r="B4864" s="4" t="str">
        <x:v>RS-04863</x:v>
      </x:c>
      <x:c r="C4864" s="8" t="n">
        <x:v>45584</x:v>
      </x:c>
      <x:c r="D4864" s="4" t="str">
        <x:v>Sales operations manager</x:v>
      </x:c>
      <x:c r="E4864" s="4" t="str">
        <x:v>ERP form</x:v>
      </x:c>
      <x:c r="F4864" s="4" t="str">
        <x:v>Record captured</x:v>
      </x:c>
      <x:c r="G4864" s="4" t="str">
        <x:v>Enquiry</x:v>
      </x:c>
    </x:row>
    <x:row r="4865" ht="34" customHeight="1">
      <x:c r="A4865" s="4" t="str">
        <x:v>RS-04864-E1</x:v>
      </x:c>
      <x:c r="B4865" s="4" t="str">
        <x:v>RS-04864</x:v>
      </x:c>
      <x:c r="C4865" s="8" t="n">
        <x:v>45585</x:v>
      </x:c>
      <x:c r="D4865" s="4" t="str">
        <x:v>Sales operations manager</x:v>
      </x:c>
      <x:c r="E4865" s="4" t="str">
        <x:v>WhatsApp transcribed</x:v>
      </x:c>
      <x:c r="F4865" s="4" t="str">
        <x:v>Record captured</x:v>
      </x:c>
      <x:c r="G4865" s="4" t="str">
        <x:v>Enquiry</x:v>
      </x:c>
    </x:row>
    <x:row r="4866" ht="34" customHeight="1">
      <x:c r="A4866" s="4" t="str">
        <x:v>RS-04865-E1</x:v>
      </x:c>
      <x:c r="B4866" s="4" t="str">
        <x:v>RS-04865</x:v>
      </x:c>
      <x:c r="C4866" s="8" t="n">
        <x:v>45586</x:v>
      </x:c>
      <x:c r="D4866" s="4" t="str">
        <x:v>Sales operations manager</x:v>
      </x:c>
      <x:c r="E4866" s="4" t="str">
        <x:v>Paper transcribed</x:v>
      </x:c>
      <x:c r="F4866" s="4" t="str">
        <x:v>Record captured</x:v>
      </x:c>
      <x:c r="G4866" s="4" t="str">
        <x:v>Handed over</x:v>
      </x:c>
    </x:row>
    <x:row r="4867" ht="34" customHeight="1">
      <x:c r="A4867" s="4" t="str">
        <x:v>RS-04866-E1</x:v>
      </x:c>
      <x:c r="B4867" s="4" t="str">
        <x:v>RS-04866</x:v>
      </x:c>
      <x:c r="C4867" s="8" t="n">
        <x:v>45587</x:v>
      </x:c>
      <x:c r="D4867" s="4" t="str">
        <x:v>Sales operations manager</x:v>
      </x:c>
      <x:c r="E4867" s="4" t="str">
        <x:v>ERP form</x:v>
      </x:c>
      <x:c r="F4867" s="4" t="str">
        <x:v>Record captured</x:v>
      </x:c>
      <x:c r="G4867" s="4" t="str">
        <x:v>Reserved</x:v>
      </x:c>
    </x:row>
    <x:row r="4868" ht="34" customHeight="1">
      <x:c r="A4868" s="4" t="str">
        <x:v>RS-04867-E1</x:v>
      </x:c>
      <x:c r="B4868" s="4" t="str">
        <x:v>RS-04867</x:v>
      </x:c>
      <x:c r="C4868" s="8" t="n">
        <x:v>45588</x:v>
      </x:c>
      <x:c r="D4868" s="4" t="str">
        <x:v>Sales operations manager</x:v>
      </x:c>
      <x:c r="E4868" s="4" t="str">
        <x:v>Paper transcribed</x:v>
      </x:c>
      <x:c r="F4868" s="4" t="str">
        <x:v>Record captured</x:v>
      </x:c>
      <x:c r="G4868" s="4" t="str">
        <x:v>Handed over</x:v>
      </x:c>
    </x:row>
    <x:row r="4869" ht="34" customHeight="1">
      <x:c r="A4869" s="4" t="str">
        <x:v>RS-04868-E1</x:v>
      </x:c>
      <x:c r="B4869" s="4" t="str">
        <x:v>RS-04868</x:v>
      </x:c>
      <x:c r="C4869" s="8" t="n">
        <x:v>45589</x:v>
      </x:c>
      <x:c r="D4869" s="4" t="str">
        <x:v>Sales operations manager</x:v>
      </x:c>
      <x:c r="E4869" s="4" t="str">
        <x:v>Spreadsheet import</x:v>
      </x:c>
      <x:c r="F4869" s="4" t="str">
        <x:v>Record captured</x:v>
      </x:c>
      <x:c r="G4869" s="4" t="str">
        <x:v>Handed over</x:v>
      </x:c>
    </x:row>
    <x:row r="4870" ht="34" customHeight="1">
      <x:c r="A4870" s="4" t="str">
        <x:v>RS-04869-E1</x:v>
      </x:c>
      <x:c r="B4870" s="4" t="str">
        <x:v>RS-04869</x:v>
      </x:c>
      <x:c r="C4870" s="8" t="n">
        <x:v>45590</x:v>
      </x:c>
      <x:c r="D4870" s="4" t="str">
        <x:v>Sales operations manager</x:v>
      </x:c>
      <x:c r="E4870" s="4" t="str">
        <x:v>Paper transcribed</x:v>
      </x:c>
      <x:c r="F4870" s="4" t="str">
        <x:v>Record captured</x:v>
      </x:c>
      <x:c r="G4870" s="4" t="str">
        <x:v>Booked</x:v>
      </x:c>
    </x:row>
    <x:row r="4871" ht="34" customHeight="1">
      <x:c r="A4871" s="4" t="str">
        <x:v>RS-04870-E1</x:v>
      </x:c>
      <x:c r="B4871" s="4" t="str">
        <x:v>RS-04870</x:v>
      </x:c>
      <x:c r="C4871" s="8" t="n">
        <x:v>45591</x:v>
      </x:c>
      <x:c r="D4871" s="4" t="str">
        <x:v>Sales operations manager</x:v>
      </x:c>
      <x:c r="E4871" s="4" t="str">
        <x:v>WhatsApp transcribed</x:v>
      </x:c>
      <x:c r="F4871" s="4" t="str">
        <x:v>Record captured</x:v>
      </x:c>
      <x:c r="G4871" s="4" t="str">
        <x:v>Handed over</x:v>
      </x:c>
    </x:row>
    <x:row r="4872" ht="34" customHeight="1">
      <x:c r="A4872" s="4" t="str">
        <x:v>RS-04871-E1</x:v>
      </x:c>
      <x:c r="B4872" s="4" t="str">
        <x:v>RS-04871</x:v>
      </x:c>
      <x:c r="C4872" s="8" t="n">
        <x:v>45592</x:v>
      </x:c>
      <x:c r="D4872" s="4" t="str">
        <x:v>Sales operations manager</x:v>
      </x:c>
      <x:c r="E4872" s="4" t="str">
        <x:v>ERP form</x:v>
      </x:c>
      <x:c r="F4872" s="4" t="str">
        <x:v>Record captured</x:v>
      </x:c>
      <x:c r="G4872" s="4" t="str">
        <x:v>Enquiry</x:v>
      </x:c>
    </x:row>
    <x:row r="4873" ht="34" customHeight="1">
      <x:c r="A4873" s="4" t="str">
        <x:v>RS-04872-E1</x:v>
      </x:c>
      <x:c r="B4873" s="4" t="str">
        <x:v>RS-04872</x:v>
      </x:c>
      <x:c r="C4873" s="8" t="n">
        <x:v>45593</x:v>
      </x:c>
      <x:c r="D4873" s="4" t="str">
        <x:v>Sales operations manager</x:v>
      </x:c>
      <x:c r="E4873" s="4" t="str">
        <x:v>Paper transcribed</x:v>
      </x:c>
      <x:c r="F4873" s="4" t="str">
        <x:v>Record captured</x:v>
      </x:c>
      <x:c r="G4873" s="4" t="str">
        <x:v>Cancelled</x:v>
      </x:c>
    </x:row>
    <x:row r="4874" ht="34" customHeight="1">
      <x:c r="A4874" s="4" t="str">
        <x:v>RS-04873-E1</x:v>
      </x:c>
      <x:c r="B4874" s="4" t="str">
        <x:v>RS-04873</x:v>
      </x:c>
      <x:c r="C4874" s="8" t="n">
        <x:v>45566</x:v>
      </x:c>
      <x:c r="D4874" s="4" t="str">
        <x:v>Sales operations manager</x:v>
      </x:c>
      <x:c r="E4874" s="4" t="str">
        <x:v>WhatsApp transcribed</x:v>
      </x:c>
      <x:c r="F4874" s="4" t="str">
        <x:v>Record captured</x:v>
      </x:c>
      <x:c r="G4874" s="4" t="str">
        <x:v>Reserved</x:v>
      </x:c>
    </x:row>
    <x:row r="4875" ht="34" customHeight="1">
      <x:c r="A4875" s="4" t="str">
        <x:v>RS-04874-E1</x:v>
      </x:c>
      <x:c r="B4875" s="4" t="str">
        <x:v>RS-04874</x:v>
      </x:c>
      <x:c r="C4875" s="8" t="n">
        <x:v>45567</x:v>
      </x:c>
      <x:c r="D4875" s="4" t="str">
        <x:v>Sales operations manager</x:v>
      </x:c>
      <x:c r="E4875" s="4" t="str">
        <x:v>Spreadsheet import</x:v>
      </x:c>
      <x:c r="F4875" s="4" t="str">
        <x:v>Record captured</x:v>
      </x:c>
      <x:c r="G4875" s="4" t="str">
        <x:v>Enquiry</x:v>
      </x:c>
    </x:row>
    <x:row r="4876" ht="34" customHeight="1">
      <x:c r="A4876" s="4" t="str">
        <x:v>RS-04875-E1</x:v>
      </x:c>
      <x:c r="B4876" s="4" t="str">
        <x:v>RS-04875</x:v>
      </x:c>
      <x:c r="C4876" s="8" t="n">
        <x:v>45568</x:v>
      </x:c>
      <x:c r="D4876" s="4" t="str">
        <x:v>Sales operations manager</x:v>
      </x:c>
      <x:c r="E4876" s="4" t="str">
        <x:v>ERP form</x:v>
      </x:c>
      <x:c r="F4876" s="4" t="str">
        <x:v>Record captured</x:v>
      </x:c>
      <x:c r="G4876" s="4" t="str">
        <x:v>Reserved</x:v>
      </x:c>
    </x:row>
    <x:row r="4877" ht="34" customHeight="1">
      <x:c r="A4877" s="4" t="str">
        <x:v>RS-04876-E1</x:v>
      </x:c>
      <x:c r="B4877" s="4" t="str">
        <x:v>RS-04876</x:v>
      </x:c>
      <x:c r="C4877" s="8" t="n">
        <x:v>45569</x:v>
      </x:c>
      <x:c r="D4877" s="4" t="str">
        <x:v>Sales operations manager</x:v>
      </x:c>
      <x:c r="E4877" s="4" t="str">
        <x:v>ERP form</x:v>
      </x:c>
      <x:c r="F4877" s="4" t="str">
        <x:v>Record captured</x:v>
      </x:c>
      <x:c r="G4877" s="4" t="str">
        <x:v>Handed over</x:v>
      </x:c>
    </x:row>
    <x:row r="4878" ht="34" customHeight="1">
      <x:c r="A4878" s="4" t="str">
        <x:v>RS-04877-E1</x:v>
      </x:c>
      <x:c r="B4878" s="4" t="str">
        <x:v>RS-04877</x:v>
      </x:c>
      <x:c r="C4878" s="8" t="n">
        <x:v>45570</x:v>
      </x:c>
      <x:c r="D4878" s="4" t="str">
        <x:v>Sales operations manager</x:v>
      </x:c>
      <x:c r="E4878" s="4" t="str">
        <x:v>WhatsApp transcribed</x:v>
      </x:c>
      <x:c r="F4878" s="4" t="str">
        <x:v>Record captured</x:v>
      </x:c>
      <x:c r="G4878" s="4" t="str">
        <x:v>Booked</x:v>
      </x:c>
    </x:row>
    <x:row r="4879" ht="34" customHeight="1">
      <x:c r="A4879" s="4" t="str">
        <x:v>RS-04878-E1</x:v>
      </x:c>
      <x:c r="B4879" s="4" t="str">
        <x:v>RS-04878</x:v>
      </x:c>
      <x:c r="C4879" s="8" t="n">
        <x:v>45571</x:v>
      </x:c>
      <x:c r="D4879" s="4" t="str">
        <x:v>Sales operations manager</x:v>
      </x:c>
      <x:c r="E4879" s="4" t="str">
        <x:v>Paper transcribed</x:v>
      </x:c>
      <x:c r="F4879" s="4" t="str">
        <x:v>Record captured</x:v>
      </x:c>
      <x:c r="G4879" s="4" t="str">
        <x:v>Cancelled</x:v>
      </x:c>
    </x:row>
    <x:row r="4880" ht="34" customHeight="1">
      <x:c r="A4880" s="4" t="str">
        <x:v>RS-04879-E1</x:v>
      </x:c>
      <x:c r="B4880" s="4" t="str">
        <x:v>RS-04879</x:v>
      </x:c>
      <x:c r="C4880" s="8" t="n">
        <x:v>45572</x:v>
      </x:c>
      <x:c r="D4880" s="4" t="str">
        <x:v>Sales operations manager</x:v>
      </x:c>
      <x:c r="E4880" s="4" t="str">
        <x:v>ERP form</x:v>
      </x:c>
      <x:c r="F4880" s="4" t="str">
        <x:v>Record captured</x:v>
      </x:c>
      <x:c r="G4880" s="4" t="str">
        <x:v>Cancelled</x:v>
      </x:c>
    </x:row>
    <x:row r="4881" ht="34" customHeight="1">
      <x:c r="A4881" s="4" t="str">
        <x:v>RS-04880-E1</x:v>
      </x:c>
      <x:c r="B4881" s="4" t="str">
        <x:v>RS-04880</x:v>
      </x:c>
      <x:c r="C4881" s="8" t="n">
        <x:v>45573</x:v>
      </x:c>
      <x:c r="D4881" s="4" t="str">
        <x:v>Sales operations manager</x:v>
      </x:c>
      <x:c r="E4881" s="4" t="str">
        <x:v>Spreadsheet import</x:v>
      </x:c>
      <x:c r="F4881" s="4" t="str">
        <x:v>Record captured</x:v>
      </x:c>
      <x:c r="G4881" s="4" t="str">
        <x:v>Booked</x:v>
      </x:c>
    </x:row>
    <x:row r="4882" ht="34" customHeight="1">
      <x:c r="A4882" s="4" t="str">
        <x:v>RS-04881-E1</x:v>
      </x:c>
      <x:c r="B4882" s="4" t="str">
        <x:v>RS-04881</x:v>
      </x:c>
      <x:c r="C4882" s="8" t="n">
        <x:v>45574</x:v>
      </x:c>
      <x:c r="D4882" s="4" t="str">
        <x:v>Sales operations manager</x:v>
      </x:c>
      <x:c r="E4882" s="4" t="str">
        <x:v>Paper transcribed</x:v>
      </x:c>
      <x:c r="F4882" s="4" t="str">
        <x:v>Record captured</x:v>
      </x:c>
      <x:c r="G4882" s="4" t="str">
        <x:v>Booked</x:v>
      </x:c>
    </x:row>
    <x:row r="4883" ht="34" customHeight="1">
      <x:c r="A4883" s="4" t="str">
        <x:v>RS-04882-E1</x:v>
      </x:c>
      <x:c r="B4883" s="4" t="str">
        <x:v>RS-04882</x:v>
      </x:c>
      <x:c r="C4883" s="8" t="n">
        <x:v>45575</x:v>
      </x:c>
      <x:c r="D4883" s="4" t="str">
        <x:v>Sales operations manager</x:v>
      </x:c>
      <x:c r="E4883" s="4" t="str">
        <x:v>Paper transcribed</x:v>
      </x:c>
      <x:c r="F4883" s="4" t="str">
        <x:v>Record captured</x:v>
      </x:c>
      <x:c r="G4883" s="4" t="str">
        <x:v>Reserved</x:v>
      </x:c>
    </x:row>
    <x:row r="4884" ht="34" customHeight="1">
      <x:c r="A4884" s="4" t="str">
        <x:v>RS-04883-E1</x:v>
      </x:c>
      <x:c r="B4884" s="4" t="str">
        <x:v>RS-04883</x:v>
      </x:c>
      <x:c r="C4884" s="8" t="n">
        <x:v>45576</x:v>
      </x:c>
      <x:c r="D4884" s="4" t="str">
        <x:v>Sales operations manager</x:v>
      </x:c>
      <x:c r="E4884" s="4" t="str">
        <x:v>Paper transcribed</x:v>
      </x:c>
      <x:c r="F4884" s="4" t="str">
        <x:v>Record captured</x:v>
      </x:c>
      <x:c r="G4884" s="4" t="str">
        <x:v>Handed over</x:v>
      </x:c>
    </x:row>
    <x:row r="4885" ht="34" customHeight="1">
      <x:c r="A4885" s="4" t="str">
        <x:v>RS-04884-E1</x:v>
      </x:c>
      <x:c r="B4885" s="4" t="str">
        <x:v>RS-04884</x:v>
      </x:c>
      <x:c r="C4885" s="8" t="n">
        <x:v>45577</x:v>
      </x:c>
      <x:c r="D4885" s="4" t="str">
        <x:v>Sales operations manager</x:v>
      </x:c>
      <x:c r="E4885" s="4" t="str">
        <x:v>WhatsApp transcribed</x:v>
      </x:c>
      <x:c r="F4885" s="4" t="str">
        <x:v>Record captured</x:v>
      </x:c>
      <x:c r="G4885" s="4" t="str">
        <x:v>Cancelled</x:v>
      </x:c>
    </x:row>
    <x:row r="4886" ht="34" customHeight="1">
      <x:c r="A4886" s="4" t="str">
        <x:v>RS-04885-E1</x:v>
      </x:c>
      <x:c r="B4886" s="4" t="str">
        <x:v>RS-04885</x:v>
      </x:c>
      <x:c r="C4886" s="8" t="n">
        <x:v>45578</x:v>
      </x:c>
      <x:c r="D4886" s="4" t="str">
        <x:v>Sales operations manager</x:v>
      </x:c>
      <x:c r="E4886" s="4" t="str">
        <x:v>Paper transcribed</x:v>
      </x:c>
      <x:c r="F4886" s="4" t="str">
        <x:v>Record captured</x:v>
      </x:c>
      <x:c r="G4886" s="4" t="str">
        <x:v>Enquiry</x:v>
      </x:c>
    </x:row>
    <x:row r="4887" ht="34" customHeight="1">
      <x:c r="A4887" s="4" t="str">
        <x:v>RS-04886-E1</x:v>
      </x:c>
      <x:c r="B4887" s="4" t="str">
        <x:v>RS-04886</x:v>
      </x:c>
      <x:c r="C4887" s="8" t="n">
        <x:v>45579</x:v>
      </x:c>
      <x:c r="D4887" s="4" t="str">
        <x:v>Sales operations manager</x:v>
      </x:c>
      <x:c r="E4887" s="4" t="str">
        <x:v>WhatsApp transcribed</x:v>
      </x:c>
      <x:c r="F4887" s="4" t="str">
        <x:v>Record captured</x:v>
      </x:c>
      <x:c r="G4887" s="4" t="str">
        <x:v>Reserved</x:v>
      </x:c>
    </x:row>
    <x:row r="4888" ht="34" customHeight="1">
      <x:c r="A4888" s="4" t="str">
        <x:v>RS-04887-E1</x:v>
      </x:c>
      <x:c r="B4888" s="4" t="str">
        <x:v>RS-04887</x:v>
      </x:c>
      <x:c r="C4888" s="8" t="n">
        <x:v>45580</x:v>
      </x:c>
      <x:c r="D4888" s="4" t="str">
        <x:v>Sales operations manager</x:v>
      </x:c>
      <x:c r="E4888" s="4" t="str">
        <x:v>WhatsApp transcribed</x:v>
      </x:c>
      <x:c r="F4888" s="4" t="str">
        <x:v>Record captured</x:v>
      </x:c>
      <x:c r="G4888" s="4" t="str">
        <x:v>Enquiry</x:v>
      </x:c>
    </x:row>
    <x:row r="4889" ht="34" customHeight="1">
      <x:c r="A4889" s="4" t="str">
        <x:v>RS-04888-E1</x:v>
      </x:c>
      <x:c r="B4889" s="4" t="str">
        <x:v>RS-04888</x:v>
      </x:c>
      <x:c r="C4889" s="8" t="n">
        <x:v>45581</x:v>
      </x:c>
      <x:c r="D4889" s="4" t="str">
        <x:v>Sales operations manager</x:v>
      </x:c>
      <x:c r="E4889" s="4" t="str">
        <x:v>WhatsApp transcribed</x:v>
      </x:c>
      <x:c r="F4889" s="4" t="str">
        <x:v>Record captured</x:v>
      </x:c>
      <x:c r="G4889" s="4" t="str">
        <x:v>Reserved</x:v>
      </x:c>
    </x:row>
    <x:row r="4890" ht="34" customHeight="1">
      <x:c r="A4890" s="4" t="str">
        <x:v>RS-04889-E1</x:v>
      </x:c>
      <x:c r="B4890" s="4" t="str">
        <x:v>RS-04889</x:v>
      </x:c>
      <x:c r="C4890" s="8" t="n">
        <x:v>45582</x:v>
      </x:c>
      <x:c r="D4890" s="4" t="str">
        <x:v>Sales operations manager</x:v>
      </x:c>
      <x:c r="E4890" s="4" t="str">
        <x:v>Paper transcribed</x:v>
      </x:c>
      <x:c r="F4890" s="4" t="str">
        <x:v>Record captured</x:v>
      </x:c>
      <x:c r="G4890" s="4" t="str">
        <x:v>Cancelled</x:v>
      </x:c>
    </x:row>
    <x:row r="4891" ht="34" customHeight="1">
      <x:c r="A4891" s="4" t="str">
        <x:v>RS-04890-E1</x:v>
      </x:c>
      <x:c r="B4891" s="4" t="str">
        <x:v>RS-04890</x:v>
      </x:c>
      <x:c r="C4891" s="8" t="n">
        <x:v>45583</x:v>
      </x:c>
      <x:c r="D4891" s="4" t="str">
        <x:v>Sales operations manager</x:v>
      </x:c>
      <x:c r="E4891" s="4" t="str">
        <x:v>WhatsApp transcribed</x:v>
      </x:c>
      <x:c r="F4891" s="4" t="str">
        <x:v>Record captured</x:v>
      </x:c>
      <x:c r="G4891" s="4" t="str">
        <x:v>Enquiry</x:v>
      </x:c>
    </x:row>
    <x:row r="4892" ht="34" customHeight="1">
      <x:c r="A4892" s="4" t="str">
        <x:v>RS-04891-E1</x:v>
      </x:c>
      <x:c r="B4892" s="4" t="str">
        <x:v>RS-04891</x:v>
      </x:c>
      <x:c r="C4892" s="8" t="n">
        <x:v>45584</x:v>
      </x:c>
      <x:c r="D4892" s="4" t="str">
        <x:v>Sales operations manager</x:v>
      </x:c>
      <x:c r="E4892" s="4" t="str">
        <x:v>Paper transcribed</x:v>
      </x:c>
      <x:c r="F4892" s="4" t="str">
        <x:v>Record captured</x:v>
      </x:c>
      <x:c r="G4892" s="4" t="str">
        <x:v>Reserved</x:v>
      </x:c>
    </x:row>
    <x:row r="4893" ht="34" customHeight="1">
      <x:c r="A4893" s="4" t="str">
        <x:v>RS-04892-E1</x:v>
      </x:c>
      <x:c r="B4893" s="4" t="str">
        <x:v>RS-04892</x:v>
      </x:c>
      <x:c r="C4893" s="8" t="n">
        <x:v>45585</x:v>
      </x:c>
      <x:c r="D4893" s="4" t="str">
        <x:v>Sales operations manager</x:v>
      </x:c>
      <x:c r="E4893" s="4" t="str">
        <x:v>Spreadsheet import</x:v>
      </x:c>
      <x:c r="F4893" s="4" t="str">
        <x:v>Record captured</x:v>
      </x:c>
      <x:c r="G4893" s="4" t="str">
        <x:v>Cancelled</x:v>
      </x:c>
    </x:row>
    <x:row r="4894" ht="34" customHeight="1">
      <x:c r="A4894" s="4" t="str">
        <x:v>RS-04893-E1</x:v>
      </x:c>
      <x:c r="B4894" s="4" t="str">
        <x:v>RS-04893</x:v>
      </x:c>
      <x:c r="C4894" s="8" t="n">
        <x:v>45586</x:v>
      </x:c>
      <x:c r="D4894" s="4" t="str">
        <x:v>Sales operations manager</x:v>
      </x:c>
      <x:c r="E4894" s="4" t="str">
        <x:v>WhatsApp transcribed</x:v>
      </x:c>
      <x:c r="F4894" s="4" t="str">
        <x:v>Record captured</x:v>
      </x:c>
      <x:c r="G4894" s="4" t="str">
        <x:v>Booked</x:v>
      </x:c>
    </x:row>
    <x:row r="4895" ht="34" customHeight="1">
      <x:c r="A4895" s="4" t="str">
        <x:v>RS-04894-E1</x:v>
      </x:c>
      <x:c r="B4895" s="4" t="str">
        <x:v>RS-04894</x:v>
      </x:c>
      <x:c r="C4895" s="8" t="n">
        <x:v>45587</x:v>
      </x:c>
      <x:c r="D4895" s="4" t="str">
        <x:v>Sales operations manager</x:v>
      </x:c>
      <x:c r="E4895" s="4" t="str">
        <x:v>ERP form</x:v>
      </x:c>
      <x:c r="F4895" s="4" t="str">
        <x:v>Record captured</x:v>
      </x:c>
      <x:c r="G4895" s="4" t="str">
        <x:v>Handed over</x:v>
      </x:c>
    </x:row>
    <x:row r="4896" ht="34" customHeight="1">
      <x:c r="A4896" s="4" t="str">
        <x:v>RS-04895-E1</x:v>
      </x:c>
      <x:c r="B4896" s="4" t="str">
        <x:v>RS-04895</x:v>
      </x:c>
      <x:c r="C4896" s="8" t="n">
        <x:v>45588</x:v>
      </x:c>
      <x:c r="D4896" s="4" t="str">
        <x:v>Sales operations manager</x:v>
      </x:c>
      <x:c r="E4896" s="4" t="str">
        <x:v>Spreadsheet import</x:v>
      </x:c>
      <x:c r="F4896" s="4" t="str">
        <x:v>Record captured</x:v>
      </x:c>
      <x:c r="G4896" s="4" t="str">
        <x:v>Cancelled</x:v>
      </x:c>
    </x:row>
    <x:row r="4897" ht="34" customHeight="1">
      <x:c r="A4897" s="4" t="str">
        <x:v>RS-04896-E1</x:v>
      </x:c>
      <x:c r="B4897" s="4" t="str">
        <x:v>RS-04896</x:v>
      </x:c>
      <x:c r="C4897" s="8" t="n">
        <x:v>45589</x:v>
      </x:c>
      <x:c r="D4897" s="4" t="str">
        <x:v>Sales operations manager</x:v>
      </x:c>
      <x:c r="E4897" s="4" t="str">
        <x:v>Paper transcribed</x:v>
      </x:c>
      <x:c r="F4897" s="4" t="str">
        <x:v>Record captured</x:v>
      </x:c>
      <x:c r="G4897" s="4" t="str">
        <x:v>Booked</x:v>
      </x:c>
    </x:row>
    <x:row r="4898" ht="34" customHeight="1">
      <x:c r="A4898" s="4" t="str">
        <x:v>RS-04897-E1</x:v>
      </x:c>
      <x:c r="B4898" s="4" t="str">
        <x:v>RS-04897</x:v>
      </x:c>
      <x:c r="C4898" s="8" t="n">
        <x:v>45590</x:v>
      </x:c>
      <x:c r="D4898" s="4" t="str">
        <x:v>Sales operations manager</x:v>
      </x:c>
      <x:c r="E4898" s="4" t="str">
        <x:v>WhatsApp transcribed</x:v>
      </x:c>
      <x:c r="F4898" s="4" t="str">
        <x:v>Record captured</x:v>
      </x:c>
      <x:c r="G4898" s="4" t="str">
        <x:v>Cancelled</x:v>
      </x:c>
    </x:row>
    <x:row r="4899" ht="34" customHeight="1">
      <x:c r="A4899" s="4" t="str">
        <x:v>RS-04898-E1</x:v>
      </x:c>
      <x:c r="B4899" s="4" t="str">
        <x:v>RS-04898</x:v>
      </x:c>
      <x:c r="C4899" s="8" t="n">
        <x:v>45591</x:v>
      </x:c>
      <x:c r="D4899" s="4" t="str">
        <x:v>Sales operations manager</x:v>
      </x:c>
      <x:c r="E4899" s="4" t="str">
        <x:v>Spreadsheet import</x:v>
      </x:c>
      <x:c r="F4899" s="4" t="str">
        <x:v>Record captured</x:v>
      </x:c>
      <x:c r="G4899" s="4" t="str">
        <x:v>Booked</x:v>
      </x:c>
    </x:row>
    <x:row r="4900" ht="34" customHeight="1">
      <x:c r="A4900" s="4" t="str">
        <x:v>RS-04899-E1</x:v>
      </x:c>
      <x:c r="B4900" s="4" t="str">
        <x:v>RS-04899</x:v>
      </x:c>
      <x:c r="C4900" s="8" t="n">
        <x:v>45592</x:v>
      </x:c>
      <x:c r="D4900" s="4" t="str">
        <x:v>Sales operations manager</x:v>
      </x:c>
      <x:c r="E4900" s="4" t="str">
        <x:v>Spreadsheet import</x:v>
      </x:c>
      <x:c r="F4900" s="4" t="str">
        <x:v>Record captured</x:v>
      </x:c>
      <x:c r="G4900" s="4" t="str">
        <x:v>Handed over</x:v>
      </x:c>
    </x:row>
    <x:row r="4901" ht="34" customHeight="1">
      <x:c r="A4901" s="4" t="str">
        <x:v>RS-04900-E1</x:v>
      </x:c>
      <x:c r="B4901" s="4" t="str">
        <x:v>RS-04900</x:v>
      </x:c>
      <x:c r="C4901" s="8" t="n">
        <x:v>45593</x:v>
      </x:c>
      <x:c r="D4901" s="4" t="str">
        <x:v>Sales operations manager</x:v>
      </x:c>
      <x:c r="E4901" s="4" t="str">
        <x:v>Spreadsheet import</x:v>
      </x:c>
      <x:c r="F4901" s="4" t="str">
        <x:v>Record captured</x:v>
      </x:c>
      <x:c r="G4901" s="4" t="str">
        <x:v>Booked</x:v>
      </x:c>
    </x:row>
    <x:row r="4902" ht="34" customHeight="1">
      <x:c r="A4902" s="4" t="str">
        <x:v>RS-04901-E1</x:v>
      </x:c>
      <x:c r="B4902" s="4" t="str">
        <x:v>RS-04901</x:v>
      </x:c>
      <x:c r="C4902" s="8" t="n">
        <x:v>45566</x:v>
      </x:c>
      <x:c r="D4902" s="4" t="str">
        <x:v>Sales operations manager</x:v>
      </x:c>
      <x:c r="E4902" s="4" t="str">
        <x:v>Spreadsheet import</x:v>
      </x:c>
      <x:c r="F4902" s="4" t="str">
        <x:v>Record captured</x:v>
      </x:c>
      <x:c r="G4902" s="4" t="str">
        <x:v>Reserved</x:v>
      </x:c>
    </x:row>
    <x:row r="4903" ht="34" customHeight="1">
      <x:c r="A4903" s="4" t="str">
        <x:v>RS-04902-E1</x:v>
      </x:c>
      <x:c r="B4903" s="4" t="str">
        <x:v>RS-04902</x:v>
      </x:c>
      <x:c r="C4903" s="8" t="n">
        <x:v>45567</x:v>
      </x:c>
      <x:c r="D4903" s="4" t="str">
        <x:v>Sales operations manager</x:v>
      </x:c>
      <x:c r="E4903" s="4" t="str">
        <x:v>Paper transcribed</x:v>
      </x:c>
      <x:c r="F4903" s="4" t="str">
        <x:v>Record captured</x:v>
      </x:c>
      <x:c r="G4903" s="4" t="str">
        <x:v>Booked</x:v>
      </x:c>
    </x:row>
    <x:row r="4904" ht="34" customHeight="1">
      <x:c r="A4904" s="4" t="str">
        <x:v>RS-04903-E1</x:v>
      </x:c>
      <x:c r="B4904" s="4" t="str">
        <x:v>RS-04903</x:v>
      </x:c>
      <x:c r="C4904" s="8" t="n">
        <x:v>45568</x:v>
      </x:c>
      <x:c r="D4904" s="4" t="str">
        <x:v>Sales operations manager</x:v>
      </x:c>
      <x:c r="E4904" s="4" t="str">
        <x:v>ERP form</x:v>
      </x:c>
      <x:c r="F4904" s="4" t="str">
        <x:v>Record captured</x:v>
      </x:c>
      <x:c r="G4904" s="4" t="str">
        <x:v>Agreement signed</x:v>
      </x:c>
    </x:row>
    <x:row r="4905" ht="34" customHeight="1">
      <x:c r="A4905" s="4" t="str">
        <x:v>RS-04904-E1</x:v>
      </x:c>
      <x:c r="B4905" s="4" t="str">
        <x:v>RS-04904</x:v>
      </x:c>
      <x:c r="C4905" s="8" t="n">
        <x:v>45569</x:v>
      </x:c>
      <x:c r="D4905" s="4" t="str">
        <x:v>Sales operations manager</x:v>
      </x:c>
      <x:c r="E4905" s="4" t="str">
        <x:v>Paper transcribed</x:v>
      </x:c>
      <x:c r="F4905" s="4" t="str">
        <x:v>Record captured</x:v>
      </x:c>
      <x:c r="G4905" s="4" t="str">
        <x:v>Booked</x:v>
      </x:c>
    </x:row>
    <x:row r="4906" ht="34" customHeight="1">
      <x:c r="A4906" s="4" t="str">
        <x:v>RS-04905-E1</x:v>
      </x:c>
      <x:c r="B4906" s="4" t="str">
        <x:v>RS-04905</x:v>
      </x:c>
      <x:c r="C4906" s="8" t="n">
        <x:v>45570</x:v>
      </x:c>
      <x:c r="D4906" s="4" t="str">
        <x:v>Sales operations manager</x:v>
      </x:c>
      <x:c r="E4906" s="4" t="str">
        <x:v>WhatsApp transcribed</x:v>
      </x:c>
      <x:c r="F4906" s="4" t="str">
        <x:v>Record captured</x:v>
      </x:c>
      <x:c r="G4906" s="4" t="str">
        <x:v>Reserved</x:v>
      </x:c>
    </x:row>
    <x:row r="4907" ht="34" customHeight="1">
      <x:c r="A4907" s="4" t="str">
        <x:v>RS-04906-E1</x:v>
      </x:c>
      <x:c r="B4907" s="4" t="str">
        <x:v>RS-04906</x:v>
      </x:c>
      <x:c r="C4907" s="8" t="n">
        <x:v>45571</x:v>
      </x:c>
      <x:c r="D4907" s="4" t="str">
        <x:v>Sales operations manager</x:v>
      </x:c>
      <x:c r="E4907" s="4" t="str">
        <x:v>ERP form</x:v>
      </x:c>
      <x:c r="F4907" s="4" t="str">
        <x:v>Record captured</x:v>
      </x:c>
      <x:c r="G4907" s="4" t="str">
        <x:v>Booked</x:v>
      </x:c>
    </x:row>
    <x:row r="4908" ht="34" customHeight="1">
      <x:c r="A4908" s="4" t="str">
        <x:v>RS-04907-E1</x:v>
      </x:c>
      <x:c r="B4908" s="4" t="str">
        <x:v>RS-04907</x:v>
      </x:c>
      <x:c r="C4908" s="8" t="n">
        <x:v>45572</x:v>
      </x:c>
      <x:c r="D4908" s="4" t="str">
        <x:v>Sales operations manager</x:v>
      </x:c>
      <x:c r="E4908" s="4" t="str">
        <x:v>Spreadsheet import</x:v>
      </x:c>
      <x:c r="F4908" s="4" t="str">
        <x:v>Record captured</x:v>
      </x:c>
      <x:c r="G4908" s="4" t="str">
        <x:v>Handed over</x:v>
      </x:c>
    </x:row>
    <x:row r="4909" ht="34" customHeight="1">
      <x:c r="A4909" s="4" t="str">
        <x:v>RS-04908-E1</x:v>
      </x:c>
      <x:c r="B4909" s="4" t="str">
        <x:v>RS-04908</x:v>
      </x:c>
      <x:c r="C4909" s="8" t="n">
        <x:v>45573</x:v>
      </x:c>
      <x:c r="D4909" s="4" t="str">
        <x:v>Sales operations manager</x:v>
      </x:c>
      <x:c r="E4909" s="4" t="str">
        <x:v>WhatsApp transcribed</x:v>
      </x:c>
      <x:c r="F4909" s="4" t="str">
        <x:v>Record captured</x:v>
      </x:c>
      <x:c r="G4909" s="4" t="str">
        <x:v>Booked</x:v>
      </x:c>
    </x:row>
    <x:row r="4910" ht="34" customHeight="1">
      <x:c r="A4910" s="4" t="str">
        <x:v>RS-04909-E1</x:v>
      </x:c>
      <x:c r="B4910" s="4" t="str">
        <x:v>RS-04909</x:v>
      </x:c>
      <x:c r="C4910" s="8" t="n">
        <x:v>45574</x:v>
      </x:c>
      <x:c r="D4910" s="4" t="str">
        <x:v>Sales operations manager</x:v>
      </x:c>
      <x:c r="E4910" s="4" t="str">
        <x:v>WhatsApp transcribed</x:v>
      </x:c>
      <x:c r="F4910" s="4" t="str">
        <x:v>Record captured</x:v>
      </x:c>
      <x:c r="G4910" s="4" t="str">
        <x:v>Booked</x:v>
      </x:c>
    </x:row>
    <x:row r="4911" ht="34" customHeight="1">
      <x:c r="A4911" s="4" t="str">
        <x:v>RS-04910-E1</x:v>
      </x:c>
      <x:c r="B4911" s="4" t="str">
        <x:v>RS-04910</x:v>
      </x:c>
      <x:c r="C4911" s="8" t="n">
        <x:v>45575</x:v>
      </x:c>
      <x:c r="D4911" s="4" t="str">
        <x:v>Sales operations manager</x:v>
      </x:c>
      <x:c r="E4911" s="4" t="str">
        <x:v>ERP form</x:v>
      </x:c>
      <x:c r="F4911" s="4" t="str">
        <x:v>Record captured</x:v>
      </x:c>
      <x:c r="G4911" s="4" t="str">
        <x:v>Booked</x:v>
      </x:c>
    </x:row>
    <x:row r="4912" ht="34" customHeight="1">
      <x:c r="A4912" s="4" t="str">
        <x:v>RS-04911-E1</x:v>
      </x:c>
      <x:c r="B4912" s="4" t="str">
        <x:v>RS-04911</x:v>
      </x:c>
      <x:c r="C4912" s="8" t="n">
        <x:v>45576</x:v>
      </x:c>
      <x:c r="D4912" s="4" t="str">
        <x:v>Sales operations manager</x:v>
      </x:c>
      <x:c r="E4912" s="4" t="str">
        <x:v>ERP form</x:v>
      </x:c>
      <x:c r="F4912" s="4" t="str">
        <x:v>Record captured</x:v>
      </x:c>
      <x:c r="G4912" s="4" t="str">
        <x:v>Enquiry</x:v>
      </x:c>
    </x:row>
    <x:row r="4913" ht="34" customHeight="1">
      <x:c r="A4913" s="4" t="str">
        <x:v>RS-04912-E1</x:v>
      </x:c>
      <x:c r="B4913" s="4" t="str">
        <x:v>RS-04912</x:v>
      </x:c>
      <x:c r="C4913" s="8" t="n">
        <x:v>45577</x:v>
      </x:c>
      <x:c r="D4913" s="4" t="str">
        <x:v>Sales operations manager</x:v>
      </x:c>
      <x:c r="E4913" s="4" t="str">
        <x:v>ERP form</x:v>
      </x:c>
      <x:c r="F4913" s="4" t="str">
        <x:v>Record captured</x:v>
      </x:c>
      <x:c r="G4913" s="4" t="str">
        <x:v>Booked</x:v>
      </x:c>
    </x:row>
    <x:row r="4914" ht="34" customHeight="1">
      <x:c r="A4914" s="4" t="str">
        <x:v>RS-04913-E1</x:v>
      </x:c>
      <x:c r="B4914" s="4" t="str">
        <x:v>RS-04913</x:v>
      </x:c>
      <x:c r="C4914" s="8" t="n">
        <x:v>45578</x:v>
      </x:c>
      <x:c r="D4914" s="4" t="str">
        <x:v>Sales operations manager</x:v>
      </x:c>
      <x:c r="E4914" s="4" t="str">
        <x:v>Spreadsheet import</x:v>
      </x:c>
      <x:c r="F4914" s="4" t="str">
        <x:v>Record captured</x:v>
      </x:c>
      <x:c r="G4914" s="4" t="str">
        <x:v>Handed over</x:v>
      </x:c>
    </x:row>
    <x:row r="4915" ht="34" customHeight="1">
      <x:c r="A4915" s="4" t="str">
        <x:v>RS-04914-E1</x:v>
      </x:c>
      <x:c r="B4915" s="4" t="str">
        <x:v>RS-04914</x:v>
      </x:c>
      <x:c r="C4915" s="8" t="n">
        <x:v>45579</x:v>
      </x:c>
      <x:c r="D4915" s="4" t="str">
        <x:v>Sales operations manager</x:v>
      </x:c>
      <x:c r="E4915" s="4" t="str">
        <x:v>Spreadsheet import</x:v>
      </x:c>
      <x:c r="F4915" s="4" t="str">
        <x:v>Record captured</x:v>
      </x:c>
      <x:c r="G4915" s="4" t="str">
        <x:v>Cancelled</x:v>
      </x:c>
    </x:row>
    <x:row r="4916" ht="34" customHeight="1">
      <x:c r="A4916" s="4" t="str">
        <x:v>RS-04915-E1</x:v>
      </x:c>
      <x:c r="B4916" s="4" t="str">
        <x:v>RS-04915</x:v>
      </x:c>
      <x:c r="C4916" s="8" t="n">
        <x:v>45580</x:v>
      </x:c>
      <x:c r="D4916" s="4" t="str">
        <x:v>Sales operations manager</x:v>
      </x:c>
      <x:c r="E4916" s="4" t="str">
        <x:v>Paper transcribed</x:v>
      </x:c>
      <x:c r="F4916" s="4" t="str">
        <x:v>Record captured</x:v>
      </x:c>
      <x:c r="G4916" s="4" t="str">
        <x:v>Handed over</x:v>
      </x:c>
    </x:row>
    <x:row r="4917" ht="34" customHeight="1">
      <x:c r="A4917" s="4" t="str">
        <x:v>RS-04916-E1</x:v>
      </x:c>
      <x:c r="B4917" s="4" t="str">
        <x:v>RS-04916</x:v>
      </x:c>
      <x:c r="C4917" s="8" t="n">
        <x:v>45581</x:v>
      </x:c>
      <x:c r="D4917" s="4" t="str">
        <x:v>Sales operations manager</x:v>
      </x:c>
      <x:c r="E4917" s="4" t="str">
        <x:v>Spreadsheet import</x:v>
      </x:c>
      <x:c r="F4917" s="4" t="str">
        <x:v>Record captured</x:v>
      </x:c>
      <x:c r="G4917" s="4" t="str">
        <x:v>Agreement signed</x:v>
      </x:c>
    </x:row>
    <x:row r="4918" ht="34" customHeight="1">
      <x:c r="A4918" s="4" t="str">
        <x:v>RS-04917-E1</x:v>
      </x:c>
      <x:c r="B4918" s="4" t="str">
        <x:v>RS-04917</x:v>
      </x:c>
      <x:c r="C4918" s="8" t="n">
        <x:v>45582</x:v>
      </x:c>
      <x:c r="D4918" s="4" t="str">
        <x:v>Sales operations manager</x:v>
      </x:c>
      <x:c r="E4918" s="4" t="str">
        <x:v>ERP form</x:v>
      </x:c>
      <x:c r="F4918" s="4" t="str">
        <x:v>Record captured</x:v>
      </x:c>
      <x:c r="G4918" s="4" t="str">
        <x:v>Booked</x:v>
      </x:c>
    </x:row>
    <x:row r="4919" ht="34" customHeight="1">
      <x:c r="A4919" s="4" t="str">
        <x:v>RS-04918-E1</x:v>
      </x:c>
      <x:c r="B4919" s="4" t="str">
        <x:v>RS-04918</x:v>
      </x:c>
      <x:c r="C4919" s="8" t="n">
        <x:v>45583</x:v>
      </x:c>
      <x:c r="D4919" s="4" t="str">
        <x:v>Sales operations manager</x:v>
      </x:c>
      <x:c r="E4919" s="4" t="str">
        <x:v>Paper transcribed</x:v>
      </x:c>
      <x:c r="F4919" s="4" t="str">
        <x:v>Record captured</x:v>
      </x:c>
      <x:c r="G4919" s="4" t="str">
        <x:v>Booked</x:v>
      </x:c>
    </x:row>
    <x:row r="4920" ht="34" customHeight="1">
      <x:c r="A4920" s="4" t="str">
        <x:v>RS-04919-E1</x:v>
      </x:c>
      <x:c r="B4920" s="4" t="str">
        <x:v>RS-04919</x:v>
      </x:c>
      <x:c r="C4920" s="8" t="n">
        <x:v>45584</x:v>
      </x:c>
      <x:c r="D4920" s="4" t="str">
        <x:v>Sales operations manager</x:v>
      </x:c>
      <x:c r="E4920" s="4" t="str">
        <x:v>Spreadsheet import</x:v>
      </x:c>
      <x:c r="F4920" s="4" t="str">
        <x:v>Record captured</x:v>
      </x:c>
      <x:c r="G4920" s="4" t="str">
        <x:v>Reserved</x:v>
      </x:c>
    </x:row>
    <x:row r="4921" ht="34" customHeight="1">
      <x:c r="A4921" s="4" t="str">
        <x:v>RS-04920-E1</x:v>
      </x:c>
      <x:c r="B4921" s="4" t="str">
        <x:v>RS-04920</x:v>
      </x:c>
      <x:c r="C4921" s="8" t="n">
        <x:v>45585</x:v>
      </x:c>
      <x:c r="D4921" s="4" t="str">
        <x:v>Sales operations manager</x:v>
      </x:c>
      <x:c r="E4921" s="4" t="str">
        <x:v>WhatsApp transcribed</x:v>
      </x:c>
      <x:c r="F4921" s="4" t="str">
        <x:v>Record captured</x:v>
      </x:c>
      <x:c r="G4921" s="4" t="str">
        <x:v>Handed over</x:v>
      </x:c>
    </x:row>
    <x:row r="4922" ht="34" customHeight="1">
      <x:c r="A4922" s="4" t="str">
        <x:v>RS-04921-E1</x:v>
      </x:c>
      <x:c r="B4922" s="4" t="str">
        <x:v>RS-04921</x:v>
      </x:c>
      <x:c r="C4922" s="8" t="n">
        <x:v>45586</x:v>
      </x:c>
      <x:c r="D4922" s="4" t="str">
        <x:v>Sales operations manager</x:v>
      </x:c>
      <x:c r="E4922" s="4" t="str">
        <x:v>ERP form</x:v>
      </x:c>
      <x:c r="F4922" s="4" t="str">
        <x:v>Record captured</x:v>
      </x:c>
      <x:c r="G4922" s="4" t="str">
        <x:v>Reserved</x:v>
      </x:c>
    </x:row>
    <x:row r="4923" ht="34" customHeight="1">
      <x:c r="A4923" s="4" t="str">
        <x:v>RS-04922-E1</x:v>
      </x:c>
      <x:c r="B4923" s="4" t="str">
        <x:v>RS-04922</x:v>
      </x:c>
      <x:c r="C4923" s="8" t="n">
        <x:v>45587</x:v>
      </x:c>
      <x:c r="D4923" s="4" t="str">
        <x:v>Sales operations manager</x:v>
      </x:c>
      <x:c r="E4923" s="4" t="str">
        <x:v>ERP form</x:v>
      </x:c>
      <x:c r="F4923" s="4" t="str">
        <x:v>Record captured</x:v>
      </x:c>
      <x:c r="G4923" s="4" t="str">
        <x:v>Reserved</x:v>
      </x:c>
    </x:row>
    <x:row r="4924" ht="34" customHeight="1">
      <x:c r="A4924" s="4" t="str">
        <x:v>RS-04923-E1</x:v>
      </x:c>
      <x:c r="B4924" s="4" t="str">
        <x:v>RS-04923</x:v>
      </x:c>
      <x:c r="C4924" s="8" t="n">
        <x:v>45588</x:v>
      </x:c>
      <x:c r="D4924" s="4" t="str">
        <x:v>Sales operations manager</x:v>
      </x:c>
      <x:c r="E4924" s="4" t="str">
        <x:v>Spreadsheet import</x:v>
      </x:c>
      <x:c r="F4924" s="4" t="str">
        <x:v>Record captured</x:v>
      </x:c>
      <x:c r="G4924" s="4" t="str">
        <x:v>Handed over</x:v>
      </x:c>
    </x:row>
    <x:row r="4925" ht="34" customHeight="1">
      <x:c r="A4925" s="4" t="str">
        <x:v>RS-04924-E1</x:v>
      </x:c>
      <x:c r="B4925" s="4" t="str">
        <x:v>RS-04924</x:v>
      </x:c>
      <x:c r="C4925" s="8" t="n">
        <x:v>45589</x:v>
      </x:c>
      <x:c r="D4925" s="4" t="str">
        <x:v>Sales operations manager</x:v>
      </x:c>
      <x:c r="E4925" s="4" t="str">
        <x:v>WhatsApp transcribed</x:v>
      </x:c>
      <x:c r="F4925" s="4" t="str">
        <x:v>Record captured</x:v>
      </x:c>
      <x:c r="G4925" s="4" t="str">
        <x:v>Booked</x:v>
      </x:c>
    </x:row>
    <x:row r="4926" ht="34" customHeight="1">
      <x:c r="A4926" s="4" t="str">
        <x:v>RS-04925-E1</x:v>
      </x:c>
      <x:c r="B4926" s="4" t="str">
        <x:v>RS-04925</x:v>
      </x:c>
      <x:c r="C4926" s="8" t="n">
        <x:v>45590</x:v>
      </x:c>
      <x:c r="D4926" s="4" t="str">
        <x:v>Sales operations manager</x:v>
      </x:c>
      <x:c r="E4926" s="4" t="str">
        <x:v>Spreadsheet import</x:v>
      </x:c>
      <x:c r="F4926" s="4" t="str">
        <x:v>Record captured</x:v>
      </x:c>
      <x:c r="G4926" s="4" t="str">
        <x:v>Enquiry</x:v>
      </x:c>
    </x:row>
    <x:row r="4927" ht="34" customHeight="1">
      <x:c r="A4927" s="4" t="str">
        <x:v>RS-04926-E1</x:v>
      </x:c>
      <x:c r="B4927" s="4" t="str">
        <x:v>RS-04926</x:v>
      </x:c>
      <x:c r="C4927" s="8" t="n">
        <x:v>45591</x:v>
      </x:c>
      <x:c r="D4927" s="4" t="str">
        <x:v>Sales operations manager</x:v>
      </x:c>
      <x:c r="E4927" s="4" t="str">
        <x:v>Paper transcribed</x:v>
      </x:c>
      <x:c r="F4927" s="4" t="str">
        <x:v>Record captured</x:v>
      </x:c>
      <x:c r="G4927" s="4" t="str">
        <x:v>Agreement signed</x:v>
      </x:c>
    </x:row>
    <x:row r="4928" ht="34" customHeight="1">
      <x:c r="A4928" s="4" t="str">
        <x:v>RS-04927-E1</x:v>
      </x:c>
      <x:c r="B4928" s="4" t="str">
        <x:v>RS-04927</x:v>
      </x:c>
      <x:c r="C4928" s="8" t="n">
        <x:v>45592</x:v>
      </x:c>
      <x:c r="D4928" s="4" t="str">
        <x:v>Sales operations manager</x:v>
      </x:c>
      <x:c r="E4928" s="4" t="str">
        <x:v>ERP form</x:v>
      </x:c>
      <x:c r="F4928" s="4" t="str">
        <x:v>Record captured</x:v>
      </x:c>
      <x:c r="G4928" s="4" t="str">
        <x:v>Enquiry</x:v>
      </x:c>
    </x:row>
    <x:row r="4929" ht="34" customHeight="1">
      <x:c r="A4929" s="4" t="str">
        <x:v>RS-04928-E1</x:v>
      </x:c>
      <x:c r="B4929" s="4" t="str">
        <x:v>RS-04928</x:v>
      </x:c>
      <x:c r="C4929" s="8" t="n">
        <x:v>45593</x:v>
      </x:c>
      <x:c r="D4929" s="4" t="str">
        <x:v>Sales operations manager</x:v>
      </x:c>
      <x:c r="E4929" s="4" t="str">
        <x:v>WhatsApp transcribed</x:v>
      </x:c>
      <x:c r="F4929" s="4" t="str">
        <x:v>Record captured</x:v>
      </x:c>
      <x:c r="G4929" s="4" t="str">
        <x:v>Cancelled</x:v>
      </x:c>
    </x:row>
    <x:row r="4930" ht="34" customHeight="1">
      <x:c r="A4930" s="4" t="str">
        <x:v>RS-04929-E1</x:v>
      </x:c>
      <x:c r="B4930" s="4" t="str">
        <x:v>RS-04929</x:v>
      </x:c>
      <x:c r="C4930" s="8" t="n">
        <x:v>45566</x:v>
      </x:c>
      <x:c r="D4930" s="4" t="str">
        <x:v>Sales operations manager</x:v>
      </x:c>
      <x:c r="E4930" s="4" t="str">
        <x:v>ERP form</x:v>
      </x:c>
      <x:c r="F4930" s="4" t="str">
        <x:v>Record captured</x:v>
      </x:c>
      <x:c r="G4930" s="4" t="str">
        <x:v>Enquiry</x:v>
      </x:c>
    </x:row>
    <x:row r="4931" ht="34" customHeight="1">
      <x:c r="A4931" s="4" t="str">
        <x:v>RS-04930-E1</x:v>
      </x:c>
      <x:c r="B4931" s="4" t="str">
        <x:v>RS-04930</x:v>
      </x:c>
      <x:c r="C4931" s="8" t="n">
        <x:v>45567</x:v>
      </x:c>
      <x:c r="D4931" s="4" t="str">
        <x:v>Sales operations manager</x:v>
      </x:c>
      <x:c r="E4931" s="4" t="str">
        <x:v>Spreadsheet import</x:v>
      </x:c>
      <x:c r="F4931" s="4" t="str">
        <x:v>Record captured</x:v>
      </x:c>
      <x:c r="G4931" s="4" t="str">
        <x:v>Agreement signed</x:v>
      </x:c>
    </x:row>
    <x:row r="4932" ht="34" customHeight="1">
      <x:c r="A4932" s="4" t="str">
        <x:v>RS-04931-E1</x:v>
      </x:c>
      <x:c r="B4932" s="4" t="str">
        <x:v>RS-04931</x:v>
      </x:c>
      <x:c r="C4932" s="8" t="n">
        <x:v>45568</x:v>
      </x:c>
      <x:c r="D4932" s="4" t="str">
        <x:v>Sales operations manager</x:v>
      </x:c>
      <x:c r="E4932" s="4" t="str">
        <x:v>Spreadsheet import</x:v>
      </x:c>
      <x:c r="F4932" s="4" t="str">
        <x:v>Record captured</x:v>
      </x:c>
      <x:c r="G4932" s="4" t="str">
        <x:v>Enquiry</x:v>
      </x:c>
    </x:row>
    <x:row r="4933" ht="34" customHeight="1">
      <x:c r="A4933" s="4" t="str">
        <x:v>RS-04932-E1</x:v>
      </x:c>
      <x:c r="B4933" s="4" t="str">
        <x:v>RS-04932</x:v>
      </x:c>
      <x:c r="C4933" s="8" t="n">
        <x:v>45569</x:v>
      </x:c>
      <x:c r="D4933" s="4" t="str">
        <x:v>Sales operations manager</x:v>
      </x:c>
      <x:c r="E4933" s="4" t="str">
        <x:v>ERP form</x:v>
      </x:c>
      <x:c r="F4933" s="4" t="str">
        <x:v>Record captured</x:v>
      </x:c>
      <x:c r="G4933" s="4" t="str">
        <x:v>Cancelled</x:v>
      </x:c>
    </x:row>
    <x:row r="4934" ht="34" customHeight="1">
      <x:c r="A4934" s="4" t="str">
        <x:v>RS-04933-E1</x:v>
      </x:c>
      <x:c r="B4934" s="4" t="str">
        <x:v>RS-04933</x:v>
      </x:c>
      <x:c r="C4934" s="8" t="n">
        <x:v>45570</x:v>
      </x:c>
      <x:c r="D4934" s="4" t="str">
        <x:v>Sales operations manager</x:v>
      </x:c>
      <x:c r="E4934" s="4" t="str">
        <x:v>WhatsApp transcribed</x:v>
      </x:c>
      <x:c r="F4934" s="4" t="str">
        <x:v>Record captured</x:v>
      </x:c>
      <x:c r="G4934" s="4" t="str">
        <x:v>Booked</x:v>
      </x:c>
    </x:row>
    <x:row r="4935" ht="34" customHeight="1">
      <x:c r="A4935" s="4" t="str">
        <x:v>RS-04934-E1</x:v>
      </x:c>
      <x:c r="B4935" s="4" t="str">
        <x:v>RS-04934</x:v>
      </x:c>
      <x:c r="C4935" s="8" t="n">
        <x:v>45571</x:v>
      </x:c>
      <x:c r="D4935" s="4" t="str">
        <x:v>Sales operations manager</x:v>
      </x:c>
      <x:c r="E4935" s="4" t="str">
        <x:v>WhatsApp transcribed</x:v>
      </x:c>
      <x:c r="F4935" s="4" t="str">
        <x:v>Record captured</x:v>
      </x:c>
      <x:c r="G4935" s="4" t="str">
        <x:v>Booked</x:v>
      </x:c>
    </x:row>
    <x:row r="4936" ht="34" customHeight="1">
      <x:c r="A4936" s="4" t="str">
        <x:v>RS-04935-E1</x:v>
      </x:c>
      <x:c r="B4936" s="4" t="str">
        <x:v>RS-04935</x:v>
      </x:c>
      <x:c r="C4936" s="8" t="n">
        <x:v>45572</x:v>
      </x:c>
      <x:c r="D4936" s="4" t="str">
        <x:v>Sales operations manager</x:v>
      </x:c>
      <x:c r="E4936" s="4" t="str">
        <x:v>WhatsApp transcribed</x:v>
      </x:c>
      <x:c r="F4936" s="4" t="str">
        <x:v>Record captured</x:v>
      </x:c>
      <x:c r="G4936" s="4" t="str">
        <x:v>Enquiry</x:v>
      </x:c>
    </x:row>
    <x:row r="4937" ht="34" customHeight="1">
      <x:c r="A4937" s="4" t="str">
        <x:v>RS-04936-E1</x:v>
      </x:c>
      <x:c r="B4937" s="4" t="str">
        <x:v>RS-04936</x:v>
      </x:c>
      <x:c r="C4937" s="8" t="n">
        <x:v>45573</x:v>
      </x:c>
      <x:c r="D4937" s="4" t="str">
        <x:v>Sales operations manager</x:v>
      </x:c>
      <x:c r="E4937" s="4" t="str">
        <x:v>Spreadsheet import</x:v>
      </x:c>
      <x:c r="F4937" s="4" t="str">
        <x:v>Record captured</x:v>
      </x:c>
      <x:c r="G4937" s="4" t="str">
        <x:v>Cancelled</x:v>
      </x:c>
    </x:row>
    <x:row r="4938" ht="34" customHeight="1">
      <x:c r="A4938" s="4" t="str">
        <x:v>RS-04937-E1</x:v>
      </x:c>
      <x:c r="B4938" s="4" t="str">
        <x:v>RS-04937</x:v>
      </x:c>
      <x:c r="C4938" s="8" t="n">
        <x:v>45574</x:v>
      </x:c>
      <x:c r="D4938" s="4" t="str">
        <x:v>Sales operations manager</x:v>
      </x:c>
      <x:c r="E4938" s="4" t="str">
        <x:v>Spreadsheet import</x:v>
      </x:c>
      <x:c r="F4938" s="4" t="str">
        <x:v>Record captured</x:v>
      </x:c>
      <x:c r="G4938" s="4" t="str">
        <x:v>Cancelled</x:v>
      </x:c>
    </x:row>
    <x:row r="4939" ht="34" customHeight="1">
      <x:c r="A4939" s="4" t="str">
        <x:v>RS-04938-E1</x:v>
      </x:c>
      <x:c r="B4939" s="4" t="str">
        <x:v>RS-04938</x:v>
      </x:c>
      <x:c r="C4939" s="8" t="n">
        <x:v>45575</x:v>
      </x:c>
      <x:c r="D4939" s="4" t="str">
        <x:v>Sales operations manager</x:v>
      </x:c>
      <x:c r="E4939" s="4" t="str">
        <x:v>ERP form</x:v>
      </x:c>
      <x:c r="F4939" s="4" t="str">
        <x:v>Record captured</x:v>
      </x:c>
      <x:c r="G4939" s="4" t="str">
        <x:v>Booked</x:v>
      </x:c>
    </x:row>
    <x:row r="4940" ht="34" customHeight="1">
      <x:c r="A4940" s="4" t="str">
        <x:v>RS-04939-E1</x:v>
      </x:c>
      <x:c r="B4940" s="4" t="str">
        <x:v>RS-04939</x:v>
      </x:c>
      <x:c r="C4940" s="8" t="n">
        <x:v>45576</x:v>
      </x:c>
      <x:c r="D4940" s="4" t="str">
        <x:v>Sales operations manager</x:v>
      </x:c>
      <x:c r="E4940" s="4" t="str">
        <x:v>ERP form</x:v>
      </x:c>
      <x:c r="F4940" s="4" t="str">
        <x:v>Record captured</x:v>
      </x:c>
      <x:c r="G4940" s="4" t="str">
        <x:v>Cancelled</x:v>
      </x:c>
    </x:row>
    <x:row r="4941" ht="34" customHeight="1">
      <x:c r="A4941" s="4" t="str">
        <x:v>RS-04940-E1</x:v>
      </x:c>
      <x:c r="B4941" s="4" t="str">
        <x:v>RS-04940</x:v>
      </x:c>
      <x:c r="C4941" s="8" t="n">
        <x:v>45577</x:v>
      </x:c>
      <x:c r="D4941" s="4" t="str">
        <x:v>Sales operations manager</x:v>
      </x:c>
      <x:c r="E4941" s="4" t="str">
        <x:v>Spreadsheet import</x:v>
      </x:c>
      <x:c r="F4941" s="4" t="str">
        <x:v>Record captured</x:v>
      </x:c>
      <x:c r="G4941" s="4" t="str">
        <x:v>Handed over</x:v>
      </x:c>
    </x:row>
    <x:row r="4942" ht="34" customHeight="1">
      <x:c r="A4942" s="4" t="str">
        <x:v>RS-04941-E1</x:v>
      </x:c>
      <x:c r="B4942" s="4" t="str">
        <x:v>RS-04941</x:v>
      </x:c>
      <x:c r="C4942" s="8" t="n">
        <x:v>45578</x:v>
      </x:c>
      <x:c r="D4942" s="4" t="str">
        <x:v>Sales operations manager</x:v>
      </x:c>
      <x:c r="E4942" s="4" t="str">
        <x:v>ERP form</x:v>
      </x:c>
      <x:c r="F4942" s="4" t="str">
        <x:v>Record captured</x:v>
      </x:c>
      <x:c r="G4942" s="4" t="str">
        <x:v>Agreement signed</x:v>
      </x:c>
    </x:row>
    <x:row r="4943" ht="34" customHeight="1">
      <x:c r="A4943" s="4" t="str">
        <x:v>RS-04942-E1</x:v>
      </x:c>
      <x:c r="B4943" s="4" t="str">
        <x:v>RS-04942</x:v>
      </x:c>
      <x:c r="C4943" s="8" t="n">
        <x:v>45579</x:v>
      </x:c>
      <x:c r="D4943" s="4" t="str">
        <x:v>Sales operations manager</x:v>
      </x:c>
      <x:c r="E4943" s="4" t="str">
        <x:v>Spreadsheet import</x:v>
      </x:c>
      <x:c r="F4943" s="4" t="str">
        <x:v>Record captured</x:v>
      </x:c>
      <x:c r="G4943" s="4" t="str">
        <x:v>Booked</x:v>
      </x:c>
    </x:row>
    <x:row r="4944" ht="34" customHeight="1">
      <x:c r="A4944" s="4" t="str">
        <x:v>RS-04943-E1</x:v>
      </x:c>
      <x:c r="B4944" s="4" t="str">
        <x:v>RS-04943</x:v>
      </x:c>
      <x:c r="C4944" s="8" t="n">
        <x:v>45580</x:v>
      </x:c>
      <x:c r="D4944" s="4" t="str">
        <x:v>Sales operations manager</x:v>
      </x:c>
      <x:c r="E4944" s="4" t="str">
        <x:v>WhatsApp transcribed</x:v>
      </x:c>
      <x:c r="F4944" s="4" t="str">
        <x:v>Record captured</x:v>
      </x:c>
      <x:c r="G4944" s="4" t="str">
        <x:v>Enquiry</x:v>
      </x:c>
    </x:row>
    <x:row r="4945" ht="34" customHeight="1">
      <x:c r="A4945" s="4" t="str">
        <x:v>RS-04944-E1</x:v>
      </x:c>
      <x:c r="B4945" s="4" t="str">
        <x:v>RS-04944</x:v>
      </x:c>
      <x:c r="C4945" s="8" t="n">
        <x:v>45581</x:v>
      </x:c>
      <x:c r="D4945" s="4" t="str">
        <x:v>Sales operations manager</x:v>
      </x:c>
      <x:c r="E4945" s="4" t="str">
        <x:v>Paper transcribed</x:v>
      </x:c>
      <x:c r="F4945" s="4" t="str">
        <x:v>Record captured</x:v>
      </x:c>
      <x:c r="G4945" s="4" t="str">
        <x:v>Enquiry</x:v>
      </x:c>
    </x:row>
    <x:row r="4946" ht="34" customHeight="1">
      <x:c r="A4946" s="4" t="str">
        <x:v>RS-04945-E1</x:v>
      </x:c>
      <x:c r="B4946" s="4" t="str">
        <x:v>RS-04945</x:v>
      </x:c>
      <x:c r="C4946" s="8" t="n">
        <x:v>45582</x:v>
      </x:c>
      <x:c r="D4946" s="4" t="str">
        <x:v>Sales operations manager</x:v>
      </x:c>
      <x:c r="E4946" s="4" t="str">
        <x:v>WhatsApp transcribed</x:v>
      </x:c>
      <x:c r="F4946" s="4" t="str">
        <x:v>Record captured</x:v>
      </x:c>
      <x:c r="G4946" s="4" t="str">
        <x:v>Enquiry</x:v>
      </x:c>
    </x:row>
    <x:row r="4947" ht="34" customHeight="1">
      <x:c r="A4947" s="4" t="str">
        <x:v>RS-04946-E1</x:v>
      </x:c>
      <x:c r="B4947" s="4" t="str">
        <x:v>RS-04946</x:v>
      </x:c>
      <x:c r="C4947" s="8" t="n">
        <x:v>45583</x:v>
      </x:c>
      <x:c r="D4947" s="4" t="str">
        <x:v>Sales operations manager</x:v>
      </x:c>
      <x:c r="E4947" s="4" t="str">
        <x:v>ERP form</x:v>
      </x:c>
      <x:c r="F4947" s="4" t="str">
        <x:v>Record captured</x:v>
      </x:c>
      <x:c r="G4947" s="4" t="str">
        <x:v>Handed over</x:v>
      </x:c>
    </x:row>
    <x:row r="4948" ht="34" customHeight="1">
      <x:c r="A4948" s="4" t="str">
        <x:v>RS-04947-E1</x:v>
      </x:c>
      <x:c r="B4948" s="4" t="str">
        <x:v>RS-04947</x:v>
      </x:c>
      <x:c r="C4948" s="8" t="n">
        <x:v>45584</x:v>
      </x:c>
      <x:c r="D4948" s="4" t="str">
        <x:v>Sales operations manager</x:v>
      </x:c>
      <x:c r="E4948" s="4" t="str">
        <x:v>Spreadsheet import</x:v>
      </x:c>
      <x:c r="F4948" s="4" t="str">
        <x:v>Record captured</x:v>
      </x:c>
      <x:c r="G4948" s="4" t="str">
        <x:v>Enquiry</x:v>
      </x:c>
    </x:row>
    <x:row r="4949" ht="34" customHeight="1">
      <x:c r="A4949" s="4" t="str">
        <x:v>RS-04948-E1</x:v>
      </x:c>
      <x:c r="B4949" s="4" t="str">
        <x:v>RS-04948</x:v>
      </x:c>
      <x:c r="C4949" s="8" t="n">
        <x:v>45585</x:v>
      </x:c>
      <x:c r="D4949" s="4" t="str">
        <x:v>Sales operations manager</x:v>
      </x:c>
      <x:c r="E4949" s="4" t="str">
        <x:v>ERP form</x:v>
      </x:c>
      <x:c r="F4949" s="4" t="str">
        <x:v>Record captured</x:v>
      </x:c>
      <x:c r="G4949" s="4" t="str">
        <x:v>Handed over</x:v>
      </x:c>
    </x:row>
    <x:row r="4950" ht="34" customHeight="1">
      <x:c r="A4950" s="4" t="str">
        <x:v>RS-04949-E1</x:v>
      </x:c>
      <x:c r="B4950" s="4" t="str">
        <x:v>RS-04949</x:v>
      </x:c>
      <x:c r="C4950" s="8" t="n">
        <x:v>45586</x:v>
      </x:c>
      <x:c r="D4950" s="4" t="str">
        <x:v>Sales operations manager</x:v>
      </x:c>
      <x:c r="E4950" s="4" t="str">
        <x:v>WhatsApp transcribed</x:v>
      </x:c>
      <x:c r="F4950" s="4" t="str">
        <x:v>Record captured</x:v>
      </x:c>
      <x:c r="G4950" s="4" t="str">
        <x:v>Agreement signed</x:v>
      </x:c>
    </x:row>
    <x:row r="4951" ht="34" customHeight="1">
      <x:c r="A4951" s="4" t="str">
        <x:v>RS-04950-E1</x:v>
      </x:c>
      <x:c r="B4951" s="4" t="str">
        <x:v>RS-04950</x:v>
      </x:c>
      <x:c r="C4951" s="8" t="n">
        <x:v>45587</x:v>
      </x:c>
      <x:c r="D4951" s="4" t="str">
        <x:v>Sales operations manager</x:v>
      </x:c>
      <x:c r="E4951" s="4" t="str">
        <x:v>Spreadsheet import</x:v>
      </x:c>
      <x:c r="F4951" s="4" t="str">
        <x:v>Record captured</x:v>
      </x:c>
      <x:c r="G4951" s="4" t="str">
        <x:v>Handed over</x:v>
      </x:c>
    </x:row>
    <x:row r="4952" ht="34" customHeight="1">
      <x:c r="A4952" s="4" t="str">
        <x:v>RS-04951-E1</x:v>
      </x:c>
      <x:c r="B4952" s="4" t="str">
        <x:v>RS-04951</x:v>
      </x:c>
      <x:c r="C4952" s="8" t="n">
        <x:v>45588</x:v>
      </x:c>
      <x:c r="D4952" s="4" t="str">
        <x:v>Sales operations manager</x:v>
      </x:c>
      <x:c r="E4952" s="4" t="str">
        <x:v>Spreadsheet import</x:v>
      </x:c>
      <x:c r="F4952" s="4" t="str">
        <x:v>Record captured</x:v>
      </x:c>
      <x:c r="G4952" s="4" t="str">
        <x:v>Cancelled</x:v>
      </x:c>
    </x:row>
    <x:row r="4953" ht="34" customHeight="1">
      <x:c r="A4953" s="4" t="str">
        <x:v>RS-04952-E1</x:v>
      </x:c>
      <x:c r="B4953" s="4" t="str">
        <x:v>RS-04952</x:v>
      </x:c>
      <x:c r="C4953" s="8" t="n">
        <x:v>45589</x:v>
      </x:c>
      <x:c r="D4953" s="4" t="str">
        <x:v>Sales operations manager</x:v>
      </x:c>
      <x:c r="E4953" s="4" t="str">
        <x:v>ERP form</x:v>
      </x:c>
      <x:c r="F4953" s="4" t="str">
        <x:v>Record captured</x:v>
      </x:c>
      <x:c r="G4953" s="4" t="str">
        <x:v>Agreement signed</x:v>
      </x:c>
    </x:row>
    <x:row r="4954" ht="34" customHeight="1">
      <x:c r="A4954" s="4" t="str">
        <x:v>RS-04953-E1</x:v>
      </x:c>
      <x:c r="B4954" s="4" t="str">
        <x:v>RS-04953</x:v>
      </x:c>
      <x:c r="C4954" s="8" t="n">
        <x:v>45590</x:v>
      </x:c>
      <x:c r="D4954" s="4" t="str">
        <x:v>Sales operations manager</x:v>
      </x:c>
      <x:c r="E4954" s="4" t="str">
        <x:v>WhatsApp transcribed</x:v>
      </x:c>
      <x:c r="F4954" s="4" t="str">
        <x:v>Record captured</x:v>
      </x:c>
      <x:c r="G4954" s="4" t="str">
        <x:v>Reserved</x:v>
      </x:c>
    </x:row>
    <x:row r="4955" ht="34" customHeight="1">
      <x:c r="A4955" s="4" t="str">
        <x:v>RS-04954-E1</x:v>
      </x:c>
      <x:c r="B4955" s="4" t="str">
        <x:v>RS-04954</x:v>
      </x:c>
      <x:c r="C4955" s="8" t="n">
        <x:v>45591</x:v>
      </x:c>
      <x:c r="D4955" s="4" t="str">
        <x:v>Sales operations manager</x:v>
      </x:c>
      <x:c r="E4955" s="4" t="str">
        <x:v>Paper transcribed</x:v>
      </x:c>
      <x:c r="F4955" s="4" t="str">
        <x:v>Record captured</x:v>
      </x:c>
      <x:c r="G4955" s="4" t="str">
        <x:v>Booked</x:v>
      </x:c>
    </x:row>
    <x:row r="4956" ht="34" customHeight="1">
      <x:c r="A4956" s="4" t="str">
        <x:v>RS-04955-E1</x:v>
      </x:c>
      <x:c r="B4956" s="4" t="str">
        <x:v>RS-04955</x:v>
      </x:c>
      <x:c r="C4956" s="8" t="n">
        <x:v>45592</x:v>
      </x:c>
      <x:c r="D4956" s="4" t="str">
        <x:v>Sales operations manager</x:v>
      </x:c>
      <x:c r="E4956" s="4" t="str">
        <x:v>WhatsApp transcribed</x:v>
      </x:c>
      <x:c r="F4956" s="4" t="str">
        <x:v>Record captured</x:v>
      </x:c>
      <x:c r="G4956" s="4" t="str">
        <x:v>Agreement signed</x:v>
      </x:c>
    </x:row>
    <x:row r="4957" ht="34" customHeight="1">
      <x:c r="A4957" s="4" t="str">
        <x:v>RS-04956-E1</x:v>
      </x:c>
      <x:c r="B4957" s="4" t="str">
        <x:v>RS-04956</x:v>
      </x:c>
      <x:c r="C4957" s="8" t="n">
        <x:v>45593</x:v>
      </x:c>
      <x:c r="D4957" s="4" t="str">
        <x:v>Sales operations manager</x:v>
      </x:c>
      <x:c r="E4957" s="4" t="str">
        <x:v>WhatsApp transcribed</x:v>
      </x:c>
      <x:c r="F4957" s="4" t="str">
        <x:v>Record captured</x:v>
      </x:c>
      <x:c r="G4957" s="4" t="str">
        <x:v>Reserved</x:v>
      </x:c>
    </x:row>
    <x:row r="4958" ht="34" customHeight="1">
      <x:c r="A4958" s="4" t="str">
        <x:v>RS-04957-E1</x:v>
      </x:c>
      <x:c r="B4958" s="4" t="str">
        <x:v>RS-04957</x:v>
      </x:c>
      <x:c r="C4958" s="8" t="n">
        <x:v>45566</x:v>
      </x:c>
      <x:c r="D4958" s="4" t="str">
        <x:v>Sales operations manager</x:v>
      </x:c>
      <x:c r="E4958" s="4" t="str">
        <x:v>Paper transcribed</x:v>
      </x:c>
      <x:c r="F4958" s="4" t="str">
        <x:v>Record captured</x:v>
      </x:c>
      <x:c r="G4958" s="4" t="str">
        <x:v>Cancelled</x:v>
      </x:c>
    </x:row>
    <x:row r="4959" ht="34" customHeight="1">
      <x:c r="A4959" s="4" t="str">
        <x:v>RS-04958-E1</x:v>
      </x:c>
      <x:c r="B4959" s="4" t="str">
        <x:v>RS-04958</x:v>
      </x:c>
      <x:c r="C4959" s="8" t="n">
        <x:v>45567</x:v>
      </x:c>
      <x:c r="D4959" s="4" t="str">
        <x:v>Sales operations manager</x:v>
      </x:c>
      <x:c r="E4959" s="4" t="str">
        <x:v>WhatsApp transcribed</x:v>
      </x:c>
      <x:c r="F4959" s="4" t="str">
        <x:v>Record captured</x:v>
      </x:c>
      <x:c r="G4959" s="4" t="str">
        <x:v>Cancelled</x:v>
      </x:c>
    </x:row>
    <x:row r="4960" ht="34" customHeight="1">
      <x:c r="A4960" s="4" t="str">
        <x:v>RS-04959-E1</x:v>
      </x:c>
      <x:c r="B4960" s="4" t="str">
        <x:v>RS-04959</x:v>
      </x:c>
      <x:c r="C4960" s="8" t="n">
        <x:v>45568</x:v>
      </x:c>
      <x:c r="D4960" s="4" t="str">
        <x:v>Sales operations manager</x:v>
      </x:c>
      <x:c r="E4960" s="4" t="str">
        <x:v>Paper transcribed</x:v>
      </x:c>
      <x:c r="F4960" s="4" t="str">
        <x:v>Record captured</x:v>
      </x:c>
      <x:c r="G4960" s="4" t="str">
        <x:v>Agreement signed</x:v>
      </x:c>
    </x:row>
    <x:row r="4961" ht="34" customHeight="1">
      <x:c r="A4961" s="4" t="str">
        <x:v>RS-04960-E1</x:v>
      </x:c>
      <x:c r="B4961" s="4" t="str">
        <x:v>RS-04960</x:v>
      </x:c>
      <x:c r="C4961" s="8" t="n">
        <x:v>45569</x:v>
      </x:c>
      <x:c r="D4961" s="4" t="str">
        <x:v>Sales operations manager</x:v>
      </x:c>
      <x:c r="E4961" s="4" t="str">
        <x:v>WhatsApp transcribed</x:v>
      </x:c>
      <x:c r="F4961" s="4" t="str">
        <x:v>Record captured</x:v>
      </x:c>
      <x:c r="G4961" s="4" t="str">
        <x:v>Handed over</x:v>
      </x:c>
    </x:row>
    <x:row r="4962" ht="34" customHeight="1">
      <x:c r="A4962" s="4" t="str">
        <x:v>RS-04961-E1</x:v>
      </x:c>
      <x:c r="B4962" s="4" t="str">
        <x:v>RS-04961</x:v>
      </x:c>
      <x:c r="C4962" s="8" t="n">
        <x:v>45570</x:v>
      </x:c>
      <x:c r="D4962" s="4" t="str">
        <x:v>Sales operations manager</x:v>
      </x:c>
      <x:c r="E4962" s="4" t="str">
        <x:v>Spreadsheet import</x:v>
      </x:c>
      <x:c r="F4962" s="4" t="str">
        <x:v>Record captured</x:v>
      </x:c>
      <x:c r="G4962" s="4" t="str">
        <x:v>Handed over</x:v>
      </x:c>
    </x:row>
    <x:row r="4963" ht="34" customHeight="1">
      <x:c r="A4963" s="4" t="str">
        <x:v>RS-04962-E1</x:v>
      </x:c>
      <x:c r="B4963" s="4" t="str">
        <x:v>RS-04962</x:v>
      </x:c>
      <x:c r="C4963" s="8" t="n">
        <x:v>45571</x:v>
      </x:c>
      <x:c r="D4963" s="4" t="str">
        <x:v>Sales operations manager</x:v>
      </x:c>
      <x:c r="E4963" s="4" t="str">
        <x:v>Spreadsheet import</x:v>
      </x:c>
      <x:c r="F4963" s="4" t="str">
        <x:v>Record captured</x:v>
      </x:c>
      <x:c r="G4963" s="4" t="str">
        <x:v>Reserved</x:v>
      </x:c>
    </x:row>
    <x:row r="4964" ht="34" customHeight="1">
      <x:c r="A4964" s="4" t="str">
        <x:v>RS-04963-E1</x:v>
      </x:c>
      <x:c r="B4964" s="4" t="str">
        <x:v>RS-04963</x:v>
      </x:c>
      <x:c r="C4964" s="8" t="n">
        <x:v>45572</x:v>
      </x:c>
      <x:c r="D4964" s="4" t="str">
        <x:v>Sales operations manager</x:v>
      </x:c>
      <x:c r="E4964" s="4" t="str">
        <x:v>Spreadsheet import</x:v>
      </x:c>
      <x:c r="F4964" s="4" t="str">
        <x:v>Record captured</x:v>
      </x:c>
      <x:c r="G4964" s="4" t="str">
        <x:v>Handed over</x:v>
      </x:c>
    </x:row>
    <x:row r="4965" ht="34" customHeight="1">
      <x:c r="A4965" s="4" t="str">
        <x:v>RS-04964-E1</x:v>
      </x:c>
      <x:c r="B4965" s="4" t="str">
        <x:v>RS-04964</x:v>
      </x:c>
      <x:c r="C4965" s="8" t="n">
        <x:v>45573</x:v>
      </x:c>
      <x:c r="D4965" s="4" t="str">
        <x:v>Sales operations manager</x:v>
      </x:c>
      <x:c r="E4965" s="4" t="str">
        <x:v>ERP form</x:v>
      </x:c>
      <x:c r="F4965" s="4" t="str">
        <x:v>Record captured</x:v>
      </x:c>
      <x:c r="G4965" s="4" t="str">
        <x:v>Booked</x:v>
      </x:c>
    </x:row>
    <x:row r="4966" ht="34" customHeight="1">
      <x:c r="A4966" s="4" t="str">
        <x:v>RS-04965-E1</x:v>
      </x:c>
      <x:c r="B4966" s="4" t="str">
        <x:v>RS-04965</x:v>
      </x:c>
      <x:c r="C4966" s="8" t="n">
        <x:v>45574</x:v>
      </x:c>
      <x:c r="D4966" s="4" t="str">
        <x:v>Sales operations manager</x:v>
      </x:c>
      <x:c r="E4966" s="4" t="str">
        <x:v>ERP form</x:v>
      </x:c>
      <x:c r="F4966" s="4" t="str">
        <x:v>Record captured</x:v>
      </x:c>
      <x:c r="G4966" s="4" t="str">
        <x:v>Handed over</x:v>
      </x:c>
    </x:row>
    <x:row r="4967" ht="34" customHeight="1">
      <x:c r="A4967" s="4" t="str">
        <x:v>RS-04966-E1</x:v>
      </x:c>
      <x:c r="B4967" s="4" t="str">
        <x:v>RS-04966</x:v>
      </x:c>
      <x:c r="C4967" s="8" t="n">
        <x:v>45575</x:v>
      </x:c>
      <x:c r="D4967" s="4" t="str">
        <x:v>Sales operations manager</x:v>
      </x:c>
      <x:c r="E4967" s="4" t="str">
        <x:v>Spreadsheet import</x:v>
      </x:c>
      <x:c r="F4967" s="4" t="str">
        <x:v>Record captured</x:v>
      </x:c>
      <x:c r="G4967" s="4" t="str">
        <x:v>Enquiry</x:v>
      </x:c>
    </x:row>
    <x:row r="4968" ht="34" customHeight="1">
      <x:c r="A4968" s="4" t="str">
        <x:v>RS-04967-E1</x:v>
      </x:c>
      <x:c r="B4968" s="4" t="str">
        <x:v>RS-04967</x:v>
      </x:c>
      <x:c r="C4968" s="8" t="n">
        <x:v>45576</x:v>
      </x:c>
      <x:c r="D4968" s="4" t="str">
        <x:v>Sales operations manager</x:v>
      </x:c>
      <x:c r="E4968" s="4" t="str">
        <x:v>ERP form</x:v>
      </x:c>
      <x:c r="F4968" s="4" t="str">
        <x:v>Record captured</x:v>
      </x:c>
      <x:c r="G4968" s="4" t="str">
        <x:v>Cancelled</x:v>
      </x:c>
    </x:row>
    <x:row r="4969" ht="34" customHeight="1">
      <x:c r="A4969" s="4" t="str">
        <x:v>RS-04968-E1</x:v>
      </x:c>
      <x:c r="B4969" s="4" t="str">
        <x:v>RS-04968</x:v>
      </x:c>
      <x:c r="C4969" s="8" t="n">
        <x:v>45577</x:v>
      </x:c>
      <x:c r="D4969" s="4" t="str">
        <x:v>Sales operations manager</x:v>
      </x:c>
      <x:c r="E4969" s="4" t="str">
        <x:v>Paper transcribed</x:v>
      </x:c>
      <x:c r="F4969" s="4" t="str">
        <x:v>Record captured</x:v>
      </x:c>
      <x:c r="G4969" s="4" t="str">
        <x:v>Booked</x:v>
      </x:c>
    </x:row>
    <x:row r="4970" ht="34" customHeight="1">
      <x:c r="A4970" s="4" t="str">
        <x:v>RS-04969-E1</x:v>
      </x:c>
      <x:c r="B4970" s="4" t="str">
        <x:v>RS-04969</x:v>
      </x:c>
      <x:c r="C4970" s="8" t="n">
        <x:v>45578</x:v>
      </x:c>
      <x:c r="D4970" s="4" t="str">
        <x:v>Sales operations manager</x:v>
      </x:c>
      <x:c r="E4970" s="4" t="str">
        <x:v>WhatsApp transcribed</x:v>
      </x:c>
      <x:c r="F4970" s="4" t="str">
        <x:v>Record captured</x:v>
      </x:c>
      <x:c r="G4970" s="4" t="str">
        <x:v>Cancelled</x:v>
      </x:c>
    </x:row>
    <x:row r="4971" ht="34" customHeight="1">
      <x:c r="A4971" s="4" t="str">
        <x:v>RS-04970-E1</x:v>
      </x:c>
      <x:c r="B4971" s="4" t="str">
        <x:v>RS-04970</x:v>
      </x:c>
      <x:c r="C4971" s="8" t="n">
        <x:v>45579</x:v>
      </x:c>
      <x:c r="D4971" s="4" t="str">
        <x:v>Sales operations manager</x:v>
      </x:c>
      <x:c r="E4971" s="4" t="str">
        <x:v>Paper transcribed</x:v>
      </x:c>
      <x:c r="F4971" s="4" t="str">
        <x:v>Record captured</x:v>
      </x:c>
      <x:c r="G4971" s="4" t="str">
        <x:v>Cancelled</x:v>
      </x:c>
    </x:row>
    <x:row r="4972" ht="34" customHeight="1">
      <x:c r="A4972" s="4" t="str">
        <x:v>RS-04971-E1</x:v>
      </x:c>
      <x:c r="B4972" s="4" t="str">
        <x:v>RS-04971</x:v>
      </x:c>
      <x:c r="C4972" s="8" t="n">
        <x:v>45580</x:v>
      </x:c>
      <x:c r="D4972" s="4" t="str">
        <x:v>Sales operations manager</x:v>
      </x:c>
      <x:c r="E4972" s="4" t="str">
        <x:v>WhatsApp transcribed</x:v>
      </x:c>
      <x:c r="F4972" s="4" t="str">
        <x:v>Record captured</x:v>
      </x:c>
      <x:c r="G4972" s="4" t="str">
        <x:v>Reserved</x:v>
      </x:c>
    </x:row>
    <x:row r="4973" ht="34" customHeight="1">
      <x:c r="A4973" s="4" t="str">
        <x:v>RS-04972-E1</x:v>
      </x:c>
      <x:c r="B4973" s="4" t="str">
        <x:v>RS-04972</x:v>
      </x:c>
      <x:c r="C4973" s="8" t="n">
        <x:v>45581</x:v>
      </x:c>
      <x:c r="D4973" s="4" t="str">
        <x:v>Sales operations manager</x:v>
      </x:c>
      <x:c r="E4973" s="4" t="str">
        <x:v>Spreadsheet import</x:v>
      </x:c>
      <x:c r="F4973" s="4" t="str">
        <x:v>Record captured</x:v>
      </x:c>
      <x:c r="G4973" s="4" t="str">
        <x:v>Enquiry</x:v>
      </x:c>
    </x:row>
    <x:row r="4974" ht="34" customHeight="1">
      <x:c r="A4974" s="4" t="str">
        <x:v>RS-04973-E1</x:v>
      </x:c>
      <x:c r="B4974" s="4" t="str">
        <x:v>RS-04973</x:v>
      </x:c>
      <x:c r="C4974" s="8" t="n">
        <x:v>45582</x:v>
      </x:c>
      <x:c r="D4974" s="4" t="str">
        <x:v>Sales operations manager</x:v>
      </x:c>
      <x:c r="E4974" s="4" t="str">
        <x:v>ERP form</x:v>
      </x:c>
      <x:c r="F4974" s="4" t="str">
        <x:v>Record captured</x:v>
      </x:c>
      <x:c r="G4974" s="4" t="str">
        <x:v>Booked</x:v>
      </x:c>
    </x:row>
    <x:row r="4975" ht="34" customHeight="1">
      <x:c r="A4975" s="4" t="str">
        <x:v>RS-04974-E1</x:v>
      </x:c>
      <x:c r="B4975" s="4" t="str">
        <x:v>RS-04974</x:v>
      </x:c>
      <x:c r="C4975" s="8" t="n">
        <x:v>45583</x:v>
      </x:c>
      <x:c r="D4975" s="4" t="str">
        <x:v>Sales operations manager</x:v>
      </x:c>
      <x:c r="E4975" s="4" t="str">
        <x:v>WhatsApp transcribed</x:v>
      </x:c>
      <x:c r="F4975" s="4" t="str">
        <x:v>Record captured</x:v>
      </x:c>
      <x:c r="G4975" s="4" t="str">
        <x:v>Booked</x:v>
      </x:c>
    </x:row>
    <x:row r="4976" ht="34" customHeight="1">
      <x:c r="A4976" s="4" t="str">
        <x:v>RS-04975-E1</x:v>
      </x:c>
      <x:c r="B4976" s="4" t="str">
        <x:v>RS-04975</x:v>
      </x:c>
      <x:c r="C4976" s="8" t="n">
        <x:v>45584</x:v>
      </x:c>
      <x:c r="D4976" s="4" t="str">
        <x:v>Sales operations manager</x:v>
      </x:c>
      <x:c r="E4976" s="4" t="str">
        <x:v>WhatsApp transcribed</x:v>
      </x:c>
      <x:c r="F4976" s="4" t="str">
        <x:v>Record captured</x:v>
      </x:c>
      <x:c r="G4976" s="4" t="str">
        <x:v>Enquiry</x:v>
      </x:c>
    </x:row>
    <x:row r="4977" ht="34" customHeight="1">
      <x:c r="A4977" s="4" t="str">
        <x:v>RS-04976-E1</x:v>
      </x:c>
      <x:c r="B4977" s="4" t="str">
        <x:v>RS-04976</x:v>
      </x:c>
      <x:c r="C4977" s="8" t="n">
        <x:v>45585</x:v>
      </x:c>
      <x:c r="D4977" s="4" t="str">
        <x:v>Sales operations manager</x:v>
      </x:c>
      <x:c r="E4977" s="4" t="str">
        <x:v>WhatsApp transcribed</x:v>
      </x:c>
      <x:c r="F4977" s="4" t="str">
        <x:v>Record captured</x:v>
      </x:c>
      <x:c r="G4977" s="4" t="str">
        <x:v>Enquiry</x:v>
      </x:c>
    </x:row>
    <x:row r="4978" ht="34" customHeight="1">
      <x:c r="A4978" s="4" t="str">
        <x:v>RS-04977-E1</x:v>
      </x:c>
      <x:c r="B4978" s="4" t="str">
        <x:v>RS-04977</x:v>
      </x:c>
      <x:c r="C4978" s="8" t="n">
        <x:v>45586</x:v>
      </x:c>
      <x:c r="D4978" s="4" t="str">
        <x:v>Sales operations manager</x:v>
      </x:c>
      <x:c r="E4978" s="4" t="str">
        <x:v>Paper transcribed</x:v>
      </x:c>
      <x:c r="F4978" s="4" t="str">
        <x:v>Record captured</x:v>
      </x:c>
      <x:c r="G4978" s="4" t="str">
        <x:v>Booked</x:v>
      </x:c>
    </x:row>
    <x:row r="4979" ht="34" customHeight="1">
      <x:c r="A4979" s="4" t="str">
        <x:v>RS-04978-E1</x:v>
      </x:c>
      <x:c r="B4979" s="4" t="str">
        <x:v>RS-04978</x:v>
      </x:c>
      <x:c r="C4979" s="8" t="n">
        <x:v>45587</x:v>
      </x:c>
      <x:c r="D4979" s="4" t="str">
        <x:v>Sales operations manager</x:v>
      </x:c>
      <x:c r="E4979" s="4" t="str">
        <x:v>Spreadsheet import</x:v>
      </x:c>
      <x:c r="F4979" s="4" t="str">
        <x:v>Record captured</x:v>
      </x:c>
      <x:c r="G4979" s="4" t="str">
        <x:v>Agreement signed</x:v>
      </x:c>
    </x:row>
    <x:row r="4980" ht="34" customHeight="1">
      <x:c r="A4980" s="4" t="str">
        <x:v>RS-04979-E1</x:v>
      </x:c>
      <x:c r="B4980" s="4" t="str">
        <x:v>RS-04979</x:v>
      </x:c>
      <x:c r="C4980" s="8" t="n">
        <x:v>45588</x:v>
      </x:c>
      <x:c r="D4980" s="4" t="str">
        <x:v>Sales operations manager</x:v>
      </x:c>
      <x:c r="E4980" s="4" t="str">
        <x:v>WhatsApp transcribed</x:v>
      </x:c>
      <x:c r="F4980" s="4" t="str">
        <x:v>Record captured</x:v>
      </x:c>
      <x:c r="G4980" s="4" t="str">
        <x:v>Agreement signed</x:v>
      </x:c>
    </x:row>
    <x:row r="4981" ht="34" customHeight="1">
      <x:c r="A4981" s="4" t="str">
        <x:v>RS-04980-E1</x:v>
      </x:c>
      <x:c r="B4981" s="4" t="str">
        <x:v>RS-04980</x:v>
      </x:c>
      <x:c r="C4981" s="8" t="n">
        <x:v>45589</x:v>
      </x:c>
      <x:c r="D4981" s="4" t="str">
        <x:v>Sales operations manager</x:v>
      </x:c>
      <x:c r="E4981" s="4" t="str">
        <x:v>Spreadsheet import</x:v>
      </x:c>
      <x:c r="F4981" s="4" t="str">
        <x:v>Record captured</x:v>
      </x:c>
      <x:c r="G4981" s="4" t="str">
        <x:v>Agreement signed</x:v>
      </x:c>
    </x:row>
    <x:row r="4982" ht="34" customHeight="1">
      <x:c r="A4982" s="4" t="str">
        <x:v>RS-04981-E1</x:v>
      </x:c>
      <x:c r="B4982" s="4" t="str">
        <x:v>RS-04981</x:v>
      </x:c>
      <x:c r="C4982" s="8" t="n">
        <x:v>45590</x:v>
      </x:c>
      <x:c r="D4982" s="4" t="str">
        <x:v>Sales operations manager</x:v>
      </x:c>
      <x:c r="E4982" s="4" t="str">
        <x:v>WhatsApp transcribed</x:v>
      </x:c>
      <x:c r="F4982" s="4" t="str">
        <x:v>Record captured</x:v>
      </x:c>
      <x:c r="G4982" s="4" t="str">
        <x:v>Enquiry</x:v>
      </x:c>
    </x:row>
    <x:row r="4983" ht="34" customHeight="1">
      <x:c r="A4983" s="4" t="str">
        <x:v>RS-04982-E1</x:v>
      </x:c>
      <x:c r="B4983" s="4" t="str">
        <x:v>RS-04982</x:v>
      </x:c>
      <x:c r="C4983" s="8" t="n">
        <x:v>45591</x:v>
      </x:c>
      <x:c r="D4983" s="4" t="str">
        <x:v>Sales operations manager</x:v>
      </x:c>
      <x:c r="E4983" s="4" t="str">
        <x:v>ERP form</x:v>
      </x:c>
      <x:c r="F4983" s="4" t="str">
        <x:v>Record captured</x:v>
      </x:c>
      <x:c r="G4983" s="4" t="str">
        <x:v>Agreement signed</x:v>
      </x:c>
    </x:row>
    <x:row r="4984" ht="34" customHeight="1">
      <x:c r="A4984" s="4" t="str">
        <x:v>RS-04983-E1</x:v>
      </x:c>
      <x:c r="B4984" s="4" t="str">
        <x:v>RS-04983</x:v>
      </x:c>
      <x:c r="C4984" s="8" t="n">
        <x:v>45592</x:v>
      </x:c>
      <x:c r="D4984" s="4" t="str">
        <x:v>Sales operations manager</x:v>
      </x:c>
      <x:c r="E4984" s="4" t="str">
        <x:v>WhatsApp transcribed</x:v>
      </x:c>
      <x:c r="F4984" s="4" t="str">
        <x:v>Record captured</x:v>
      </x:c>
      <x:c r="G4984" s="4" t="str">
        <x:v>Agreement signed</x:v>
      </x:c>
    </x:row>
    <x:row r="4985" ht="34" customHeight="1">
      <x:c r="A4985" s="4" t="str">
        <x:v>RS-04984-E1</x:v>
      </x:c>
      <x:c r="B4985" s="4" t="str">
        <x:v>RS-04984</x:v>
      </x:c>
      <x:c r="C4985" s="8" t="n">
        <x:v>45593</x:v>
      </x:c>
      <x:c r="D4985" s="4" t="str">
        <x:v>Sales operations manager</x:v>
      </x:c>
      <x:c r="E4985" s="4" t="str">
        <x:v>Spreadsheet import</x:v>
      </x:c>
      <x:c r="F4985" s="4" t="str">
        <x:v>Record captured</x:v>
      </x:c>
      <x:c r="G4985" s="4" t="str">
        <x:v>Booked</x:v>
      </x:c>
    </x:row>
    <x:row r="4986" ht="34" customHeight="1">
      <x:c r="A4986" s="4" t="str">
        <x:v>RS-04985-E1</x:v>
      </x:c>
      <x:c r="B4986" s="4" t="str">
        <x:v>RS-04985</x:v>
      </x:c>
      <x:c r="C4986" s="8" t="n">
        <x:v>45566</x:v>
      </x:c>
      <x:c r="D4986" s="4" t="str">
        <x:v>Sales operations manager</x:v>
      </x:c>
      <x:c r="E4986" s="4" t="str">
        <x:v>Spreadsheet import</x:v>
      </x:c>
      <x:c r="F4986" s="4" t="str">
        <x:v>Record captured</x:v>
      </x:c>
      <x:c r="G4986" s="4" t="str">
        <x:v>Enquiry</x:v>
      </x:c>
    </x:row>
    <x:row r="4987" ht="34" customHeight="1">
      <x:c r="A4987" s="4" t="str">
        <x:v>RS-04986-E1</x:v>
      </x:c>
      <x:c r="B4987" s="4" t="str">
        <x:v>RS-04986</x:v>
      </x:c>
      <x:c r="C4987" s="8" t="n">
        <x:v>45567</x:v>
      </x:c>
      <x:c r="D4987" s="4" t="str">
        <x:v>Sales operations manager</x:v>
      </x:c>
      <x:c r="E4987" s="4" t="str">
        <x:v>ERP form</x:v>
      </x:c>
      <x:c r="F4987" s="4" t="str">
        <x:v>Record captured</x:v>
      </x:c>
      <x:c r="G4987" s="4" t="str">
        <x:v>Handed over</x:v>
      </x:c>
    </x:row>
    <x:row r="4988" ht="34" customHeight="1">
      <x:c r="A4988" s="4" t="str">
        <x:v>RS-04987-E1</x:v>
      </x:c>
      <x:c r="B4988" s="4" t="str">
        <x:v>RS-04987</x:v>
      </x:c>
      <x:c r="C4988" s="8" t="n">
        <x:v>45568</x:v>
      </x:c>
      <x:c r="D4988" s="4" t="str">
        <x:v>Sales operations manager</x:v>
      </x:c>
      <x:c r="E4988" s="4" t="str">
        <x:v>ERP form</x:v>
      </x:c>
      <x:c r="F4988" s="4" t="str">
        <x:v>Record captured</x:v>
      </x:c>
      <x:c r="G4988" s="4" t="str">
        <x:v>Cancelled</x:v>
      </x:c>
    </x:row>
    <x:row r="4989" ht="34" customHeight="1">
      <x:c r="A4989" s="4" t="str">
        <x:v>RS-04988-E1</x:v>
      </x:c>
      <x:c r="B4989" s="4" t="str">
        <x:v>RS-04988</x:v>
      </x:c>
      <x:c r="C4989" s="8" t="n">
        <x:v>45569</x:v>
      </x:c>
      <x:c r="D4989" s="4" t="str">
        <x:v>Sales operations manager</x:v>
      </x:c>
      <x:c r="E4989" s="4" t="str">
        <x:v>WhatsApp transcribed</x:v>
      </x:c>
      <x:c r="F4989" s="4" t="str">
        <x:v>Record captured</x:v>
      </x:c>
      <x:c r="G4989" s="4" t="str">
        <x:v>Enquiry</x:v>
      </x:c>
    </x:row>
    <x:row r="4990" ht="34" customHeight="1">
      <x:c r="A4990" s="4" t="str">
        <x:v>RS-04989-E1</x:v>
      </x:c>
      <x:c r="B4990" s="4" t="str">
        <x:v>RS-04989</x:v>
      </x:c>
      <x:c r="C4990" s="8" t="n">
        <x:v>45570</x:v>
      </x:c>
      <x:c r="D4990" s="4" t="str">
        <x:v>Sales operations manager</x:v>
      </x:c>
      <x:c r="E4990" s="4" t="str">
        <x:v>Paper transcribed</x:v>
      </x:c>
      <x:c r="F4990" s="4" t="str">
        <x:v>Record captured</x:v>
      </x:c>
      <x:c r="G4990" s="4" t="str">
        <x:v>Booked</x:v>
      </x:c>
    </x:row>
    <x:row r="4991" ht="34" customHeight="1">
      <x:c r="A4991" s="4" t="str">
        <x:v>RS-04990-E1</x:v>
      </x:c>
      <x:c r="B4991" s="4" t="str">
        <x:v>RS-04990</x:v>
      </x:c>
      <x:c r="C4991" s="8" t="n">
        <x:v>45571</x:v>
      </x:c>
      <x:c r="D4991" s="4" t="str">
        <x:v>Sales operations manager</x:v>
      </x:c>
      <x:c r="E4991" s="4" t="str">
        <x:v>Paper transcribed</x:v>
      </x:c>
      <x:c r="F4991" s="4" t="str">
        <x:v>Record captured</x:v>
      </x:c>
      <x:c r="G4991" s="4" t="str">
        <x:v>Handed over</x:v>
      </x:c>
    </x:row>
    <x:row r="4992" ht="34" customHeight="1">
      <x:c r="A4992" s="4" t="str">
        <x:v>RS-04991-E1</x:v>
      </x:c>
      <x:c r="B4992" s="4" t="str">
        <x:v>RS-04991</x:v>
      </x:c>
      <x:c r="C4992" s="8" t="n">
        <x:v>45572</x:v>
      </x:c>
      <x:c r="D4992" s="4" t="str">
        <x:v>Sales operations manager</x:v>
      </x:c>
      <x:c r="E4992" s="4" t="str">
        <x:v>WhatsApp transcribed</x:v>
      </x:c>
      <x:c r="F4992" s="4" t="str">
        <x:v>Record captured</x:v>
      </x:c>
      <x:c r="G4992" s="4" t="str">
        <x:v>Handed over</x:v>
      </x:c>
    </x:row>
    <x:row r="4993" ht="34" customHeight="1">
      <x:c r="A4993" s="4" t="str">
        <x:v>RS-04992-E1</x:v>
      </x:c>
      <x:c r="B4993" s="4" t="str">
        <x:v>RS-04992</x:v>
      </x:c>
      <x:c r="C4993" s="8" t="n">
        <x:v>45573</x:v>
      </x:c>
      <x:c r="D4993" s="4" t="str">
        <x:v>Sales operations manager</x:v>
      </x:c>
      <x:c r="E4993" s="4" t="str">
        <x:v>Spreadsheet import</x:v>
      </x:c>
      <x:c r="F4993" s="4" t="str">
        <x:v>Record captured</x:v>
      </x:c>
      <x:c r="G4993" s="4" t="str">
        <x:v>Reserved</x:v>
      </x:c>
    </x:row>
    <x:row r="4994" ht="34" customHeight="1">
      <x:c r="A4994" s="4" t="str">
        <x:v>RS-04993-E1</x:v>
      </x:c>
      <x:c r="B4994" s="4" t="str">
        <x:v>RS-04993</x:v>
      </x:c>
      <x:c r="C4994" s="8" t="n">
        <x:v>45574</x:v>
      </x:c>
      <x:c r="D4994" s="4" t="str">
        <x:v>Sales operations manager</x:v>
      </x:c>
      <x:c r="E4994" s="4" t="str">
        <x:v>Paper transcribed</x:v>
      </x:c>
      <x:c r="F4994" s="4" t="str">
        <x:v>Record captured</x:v>
      </x:c>
      <x:c r="G4994" s="4" t="str">
        <x:v>Booked</x:v>
      </x:c>
    </x:row>
    <x:row r="4995" ht="34" customHeight="1">
      <x:c r="A4995" s="4" t="str">
        <x:v>RS-04994-E1</x:v>
      </x:c>
      <x:c r="B4995" s="4" t="str">
        <x:v>RS-04994</x:v>
      </x:c>
      <x:c r="C4995" s="8" t="n">
        <x:v>45575</x:v>
      </x:c>
      <x:c r="D4995" s="4" t="str">
        <x:v>Sales operations manager</x:v>
      </x:c>
      <x:c r="E4995" s="4" t="str">
        <x:v>Paper transcribed</x:v>
      </x:c>
      <x:c r="F4995" s="4" t="str">
        <x:v>Record captured</x:v>
      </x:c>
      <x:c r="G4995" s="4" t="str">
        <x:v>Enquiry</x:v>
      </x:c>
    </x:row>
    <x:row r="4996" ht="34" customHeight="1">
      <x:c r="A4996" s="4" t="str">
        <x:v>RS-04995-E1</x:v>
      </x:c>
      <x:c r="B4996" s="4" t="str">
        <x:v>RS-04995</x:v>
      </x:c>
      <x:c r="C4996" s="8" t="n">
        <x:v>45576</x:v>
      </x:c>
      <x:c r="D4996" s="4" t="str">
        <x:v>Sales operations manager</x:v>
      </x:c>
      <x:c r="E4996" s="4" t="str">
        <x:v>ERP form</x:v>
      </x:c>
      <x:c r="F4996" s="4" t="str">
        <x:v>Record captured</x:v>
      </x:c>
      <x:c r="G4996" s="4" t="str">
        <x:v>Reserved</x:v>
      </x:c>
    </x:row>
    <x:row r="4997" ht="34" customHeight="1">
      <x:c r="A4997" s="4" t="str">
        <x:v>RS-04996-E1</x:v>
      </x:c>
      <x:c r="B4997" s="4" t="str">
        <x:v>RS-04996</x:v>
      </x:c>
      <x:c r="C4997" s="8" t="n">
        <x:v>45577</x:v>
      </x:c>
      <x:c r="D4997" s="4" t="str">
        <x:v>Sales operations manager</x:v>
      </x:c>
      <x:c r="E4997" s="4" t="str">
        <x:v>Spreadsheet import</x:v>
      </x:c>
      <x:c r="F4997" s="4" t="str">
        <x:v>Record captured</x:v>
      </x:c>
      <x:c r="G4997" s="4" t="str">
        <x:v>Reserved</x:v>
      </x:c>
    </x:row>
    <x:row r="4998" ht="34" customHeight="1">
      <x:c r="A4998" s="4" t="str">
        <x:v>RS-04997-E1</x:v>
      </x:c>
      <x:c r="B4998" s="4" t="str">
        <x:v>RS-04997</x:v>
      </x:c>
      <x:c r="C4998" s="8" t="n">
        <x:v>45578</x:v>
      </x:c>
      <x:c r="D4998" s="4" t="str">
        <x:v>Sales operations manager</x:v>
      </x:c>
      <x:c r="E4998" s="4" t="str">
        <x:v>WhatsApp transcribed</x:v>
      </x:c>
      <x:c r="F4998" s="4" t="str">
        <x:v>Record captured</x:v>
      </x:c>
      <x:c r="G4998" s="4" t="str">
        <x:v>Booked</x:v>
      </x:c>
    </x:row>
    <x:row r="4999" ht="34" customHeight="1">
      <x:c r="A4999" s="4" t="str">
        <x:v>RS-04998-E1</x:v>
      </x:c>
      <x:c r="B4999" s="4" t="str">
        <x:v>RS-04998</x:v>
      </x:c>
      <x:c r="C4999" s="8" t="n">
        <x:v>45579</x:v>
      </x:c>
      <x:c r="D4999" s="4" t="str">
        <x:v>Sales operations manager</x:v>
      </x:c>
      <x:c r="E4999" s="4" t="str">
        <x:v>Spreadsheet import</x:v>
      </x:c>
      <x:c r="F4999" s="4" t="str">
        <x:v>Record captured</x:v>
      </x:c>
      <x:c r="G4999" s="4" t="str">
        <x:v>Reserved</x:v>
      </x:c>
    </x:row>
    <x:row r="5000" ht="34" customHeight="1">
      <x:c r="A5000" s="4" t="str">
        <x:v>RS-04999-E1</x:v>
      </x:c>
      <x:c r="B5000" s="4" t="str">
        <x:v>RS-04999</x:v>
      </x:c>
      <x:c r="C5000" s="8" t="n">
        <x:v>45580</x:v>
      </x:c>
      <x:c r="D5000" s="4" t="str">
        <x:v>Sales operations manager</x:v>
      </x:c>
      <x:c r="E5000" s="4" t="str">
        <x:v>Paper transcribed</x:v>
      </x:c>
      <x:c r="F5000" s="4" t="str">
        <x:v>Record captured</x:v>
      </x:c>
      <x:c r="G5000" s="4" t="str">
        <x:v>Agreement signed</x:v>
      </x:c>
    </x:row>
    <x:row r="5001" ht="34" customHeight="1">
      <x:c r="A5001" s="4" t="str">
        <x:v>RS-05000-E1</x:v>
      </x:c>
      <x:c r="B5001" s="4" t="str">
        <x:v>RS-05000</x:v>
      </x:c>
      <x:c r="C5001" s="8" t="n">
        <x:v>45581</x:v>
      </x:c>
      <x:c r="D5001" s="4" t="str">
        <x:v>Sales operations manager</x:v>
      </x:c>
      <x:c r="E5001" s="4" t="str">
        <x:v>WhatsApp transcribed</x:v>
      </x:c>
      <x:c r="F5001" s="4" t="str">
        <x:v>Record captured</x:v>
      </x:c>
      <x:c r="G5001" s="4" t="str">
        <x:v>Agreement signed</x:v>
      </x:c>
    </x:row>
  </x:sheetData>
  <x:pageMargins left="0.7" right="0.7" top="0.75" bottom="0.75" header="0.3" footer="0.3"/>
  <x:tableParts count="1">
    <x:tablePart xmlns:r="http://schemas.openxmlformats.org/officeDocument/2006/relationships" r:id="Rc39e4dd2328b49c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85" hidden="0" customWidth="1"/>
  </x:cols>
  <x:sheetData>
    <x:row r="1" ht="42" customHeight="1">
      <x:c r="A1" s="7" t="str">
        <x:v>Master type</x:v>
      </x:c>
      <x:c r="B1" s="7" t="str">
        <x:v>Master ID</x:v>
      </x:c>
      <x:c r="C1" s="7" t="str">
        <x:v>Name</x:v>
      </x:c>
      <x:c r="D1" s="7" t="str">
        <x:v>Attributes (JSON)</x:v>
      </x:c>
    </x:row>
    <x:row r="2" ht="34" customHeight="1">
      <x:c r="A2" s="4" t="str">
        <x:v>projects</x:v>
      </x:c>
      <x:c r="B2" s="4" t="str">
        <x:v>PRJ-001</x:v>
      </x:c>
      <x:c r="C2" s="4" t="str">
        <x:v>Demonstration Infrastructure 1</x:v>
      </x:c>
      <x:c r="D2" s="4" t="str">
        <x:v>{"project_id":"PRJ-001","project_name":"Demonstration Infrastructure 1","region":"West"}</x:v>
      </x:c>
    </x:row>
    <x:row r="3" ht="34" customHeight="1">
      <x:c r="A3" s="4" t="str">
        <x:v>projects</x:v>
      </x:c>
      <x:c r="B3" s="4" t="str">
        <x:v>PRJ-002</x:v>
      </x:c>
      <x:c r="C3" s="4" t="str">
        <x:v>Demonstration Housing 2</x:v>
      </x:c>
      <x:c r="D3" s="4" t="str">
        <x:v>{"project_id":"PRJ-002","project_name":"Demonstration Housing 2","region":"South"}</x:v>
      </x:c>
    </x:row>
    <x:row r="4" ht="34" customHeight="1">
      <x:c r="A4" s="4" t="str">
        <x:v>projects</x:v>
      </x:c>
      <x:c r="B4" s="4" t="str">
        <x:v>PRJ-003</x:v>
      </x:c>
      <x:c r="C4" s="4" t="str">
        <x:v>Demonstration Commercial 3</x:v>
      </x:c>
      <x:c r="D4" s="4" t="str">
        <x:v>{"project_id":"PRJ-003","project_name":"Demonstration Commercial 3","region":"South"}</x:v>
      </x:c>
    </x:row>
    <x:row r="5" ht="34" customHeight="1">
      <x:c r="A5" s="4" t="str">
        <x:v>projects</x:v>
      </x:c>
      <x:c r="B5" s="4" t="str">
        <x:v>PRJ-004</x:v>
      </x:c>
      <x:c r="C5" s="4" t="str">
        <x:v>Demonstration Commercial 4</x:v>
      </x:c>
      <x:c r="D5" s="4" t="str">
        <x:v>{"project_id":"PRJ-004","project_name":"Demonstration Commercial 4","region":"South"}</x:v>
      </x:c>
    </x:row>
    <x:row r="6" ht="34" customHeight="1">
      <x:c r="A6" s="4" t="str">
        <x:v>projects</x:v>
      </x:c>
      <x:c r="B6" s="4" t="str">
        <x:v>PRJ-005</x:v>
      </x:c>
      <x:c r="C6" s="4" t="str">
        <x:v>Demonstration Commercial 5</x:v>
      </x:c>
      <x:c r="D6" s="4" t="str">
        <x:v>{"project_id":"PRJ-005","project_name":"Demonstration Commercial 5","region":"East"}</x:v>
      </x:c>
    </x:row>
    <x:row r="7" ht="34" customHeight="1">
      <x:c r="A7" s="4" t="str">
        <x:v>projects</x:v>
      </x:c>
      <x:c r="B7" s="4" t="str">
        <x:v>PRJ-006</x:v>
      </x:c>
      <x:c r="C7" s="4" t="str">
        <x:v>Demonstration Infrastructure 6</x:v>
      </x:c>
      <x:c r="D7" s="4" t="str">
        <x:v>{"project_id":"PRJ-006","project_name":"Demonstration Infrastructure 6","region":"West"}</x:v>
      </x:c>
    </x:row>
    <x:row r="8" ht="34" customHeight="1">
      <x:c r="A8" s="4" t="str">
        <x:v>projects</x:v>
      </x:c>
      <x:c r="B8" s="4" t="str">
        <x:v>PRJ-007</x:v>
      </x:c>
      <x:c r="C8" s="4" t="str">
        <x:v>Demonstration Mixed-use 7</x:v>
      </x:c>
      <x:c r="D8" s="4" t="str">
        <x:v>{"project_id":"PRJ-007","project_name":"Demonstration Mixed-use 7","region":"North"}</x:v>
      </x:c>
    </x:row>
    <x:row r="9" ht="34" customHeight="1">
      <x:c r="A9" s="4" t="str">
        <x:v>projects</x:v>
      </x:c>
      <x:c r="B9" s="4" t="str">
        <x:v>PRJ-008</x:v>
      </x:c>
      <x:c r="C9" s="4" t="str">
        <x:v>Demonstration Mixed-use 8</x:v>
      </x:c>
      <x:c r="D9" s="4" t="str">
        <x:v>{"project_id":"PRJ-008","project_name":"Demonstration Mixed-use 8","region":"West"}</x:v>
      </x:c>
    </x:row>
    <x:row r="10" ht="34" customHeight="1">
      <x:c r="A10" s="4" t="str">
        <x:v>projects</x:v>
      </x:c>
      <x:c r="B10" s="4" t="str">
        <x:v>PRJ-009</x:v>
      </x:c>
      <x:c r="C10" s="4" t="str">
        <x:v>Demonstration Housing 9</x:v>
      </x:c>
      <x:c r="D10" s="4" t="str">
        <x:v>{"project_id":"PRJ-009","project_name":"Demonstration Housing 9","region":"North"}</x:v>
      </x:c>
    </x:row>
    <x:row r="11" ht="34" customHeight="1">
      <x:c r="A11" s="4" t="str">
        <x:v>projects</x:v>
      </x:c>
      <x:c r="B11" s="4" t="str">
        <x:v>PRJ-010</x:v>
      </x:c>
      <x:c r="C11" s="4" t="str">
        <x:v>Demonstration Commercial 10</x:v>
      </x:c>
      <x:c r="D11" s="4" t="str">
        <x:v>{"project_id":"PRJ-010","project_name":"Demonstration Commercial 10","region":"East"}</x:v>
      </x:c>
    </x:row>
    <x:row r="12" ht="34" customHeight="1">
      <x:c r="A12" s="4" t="str">
        <x:v>projects</x:v>
      </x:c>
      <x:c r="B12" s="4" t="str">
        <x:v>PRJ-011</x:v>
      </x:c>
      <x:c r="C12" s="4" t="str">
        <x:v>Demonstration Infrastructure 11</x:v>
      </x:c>
      <x:c r="D12" s="4" t="str">
        <x:v>{"project_id":"PRJ-011","project_name":"Demonstration Infrastructure 11","region":"West"}</x:v>
      </x:c>
    </x:row>
    <x:row r="13" ht="34" customHeight="1">
      <x:c r="A13" s="4" t="str">
        <x:v>projects</x:v>
      </x:c>
      <x:c r="B13" s="4" t="str">
        <x:v>PRJ-012</x:v>
      </x:c>
      <x:c r="C13" s="4" t="str">
        <x:v>Demonstration Housing 12</x:v>
      </x:c>
      <x:c r="D13" s="4" t="str">
        <x:v>{"project_id":"PRJ-012","project_name":"Demonstration Housing 12","region":"West"}</x:v>
      </x:c>
    </x:row>
    <x:row r="14" ht="34" customHeight="1">
      <x:c r="A14" s="4" t="str">
        <x:v>projects</x:v>
      </x:c>
      <x:c r="B14" s="4" t="str">
        <x:v>PRJ-013</x:v>
      </x:c>
      <x:c r="C14" s="4" t="str">
        <x:v>Demonstration Mixed-use 13</x:v>
      </x:c>
      <x:c r="D14" s="4" t="str">
        <x:v>{"project_id":"PRJ-013","project_name":"Demonstration Mixed-use 13","region":"East"}</x:v>
      </x:c>
    </x:row>
    <x:row r="15" ht="34" customHeight="1">
      <x:c r="A15" s="4" t="str">
        <x:v>projects</x:v>
      </x:c>
      <x:c r="B15" s="4" t="str">
        <x:v>PRJ-014</x:v>
      </x:c>
      <x:c r="C15" s="4" t="str">
        <x:v>Demonstration Mixed-use 14</x:v>
      </x:c>
      <x:c r="D15" s="4" t="str">
        <x:v>{"project_id":"PRJ-014","project_name":"Demonstration Mixed-use 14","region":"West"}</x:v>
      </x:c>
    </x:row>
    <x:row r="16" ht="34" customHeight="1">
      <x:c r="A16" s="4" t="str">
        <x:v>projects</x:v>
      </x:c>
      <x:c r="B16" s="4" t="str">
        <x:v>PRJ-015</x:v>
      </x:c>
      <x:c r="C16" s="4" t="str">
        <x:v>Demonstration Commercial 15</x:v>
      </x:c>
      <x:c r="D16" s="4" t="str">
        <x:v>{"project_id":"PRJ-015","project_name":"Demonstration Commercial 15","region":"East"}</x:v>
      </x:c>
    </x:row>
    <x:row r="17" ht="34" customHeight="1">
      <x:c r="A17" s="4" t="str">
        <x:v>projects</x:v>
      </x:c>
      <x:c r="B17" s="4" t="str">
        <x:v>PRJ-016</x:v>
      </x:c>
      <x:c r="C17" s="4" t="str">
        <x:v>Demonstration Mixed-use 16</x:v>
      </x:c>
      <x:c r="D17" s="4" t="str">
        <x:v>{"project_id":"PRJ-016","project_name":"Demonstration Mixed-use 16","region":"East"}</x:v>
      </x:c>
    </x:row>
    <x:row r="18" ht="34" customHeight="1">
      <x:c r="A18" s="4" t="str">
        <x:v>projects</x:v>
      </x:c>
      <x:c r="B18" s="4" t="str">
        <x:v>PRJ-017</x:v>
      </x:c>
      <x:c r="C18" s="4" t="str">
        <x:v>Demonstration Housing 17</x:v>
      </x:c>
      <x:c r="D18" s="4" t="str">
        <x:v>{"project_id":"PRJ-017","project_name":"Demonstration Housing 17","region":"East"}</x:v>
      </x:c>
    </x:row>
    <x:row r="19" ht="34" customHeight="1">
      <x:c r="A19" s="4" t="str">
        <x:v>projects</x:v>
      </x:c>
      <x:c r="B19" s="4" t="str">
        <x:v>PRJ-018</x:v>
      </x:c>
      <x:c r="C19" s="4" t="str">
        <x:v>Demonstration Mixed-use 18</x:v>
      </x:c>
      <x:c r="D19" s="4" t="str">
        <x:v>{"project_id":"PRJ-018","project_name":"Demonstration Mixed-use 18","region":"West"}</x:v>
      </x:c>
    </x:row>
    <x:row r="20" ht="34" customHeight="1">
      <x:c r="A20" s="4" t="str">
        <x:v>projects</x:v>
      </x:c>
      <x:c r="B20" s="4" t="str">
        <x:v>PRJ-019</x:v>
      </x:c>
      <x:c r="C20" s="4" t="str">
        <x:v>Demonstration Commercial 19</x:v>
      </x:c>
      <x:c r="D20" s="4" t="str">
        <x:v>{"project_id":"PRJ-019","project_name":"Demonstration Commercial 19","region":"East"}</x:v>
      </x:c>
    </x:row>
    <x:row r="21" ht="34" customHeight="1">
      <x:c r="A21" s="4" t="str">
        <x:v>projects</x:v>
      </x:c>
      <x:c r="B21" s="4" t="str">
        <x:v>PRJ-020</x:v>
      </x:c>
      <x:c r="C21" s="4" t="str">
        <x:v>Demonstration Infrastructure 20</x:v>
      </x:c>
      <x:c r="D21" s="4" t="str">
        <x:v>{"project_id":"PRJ-020","project_name":"Demonstration Infrastructure 20","region":"South"}</x:v>
      </x:c>
    </x:row>
    <x:row r="22" ht="34" customHeight="1">
      <x:c r="A22" s="4" t="str">
        <x:v>partners</x:v>
      </x:c>
      <x:c r="B22" s="4" t="str">
        <x:v>ORG-001</x:v>
      </x:c>
      <x:c r="C22" s="4" t="str">
        <x:v>Fictional enterprise 1</x:v>
      </x:c>
      <x:c r="D22" s="4" t="str">
        <x:v>{"partner_id":"ORG-001","partner_name":"Fictional enterprise 1","prior_delay_rate":0.12}</x:v>
      </x:c>
    </x:row>
    <x:row r="23" ht="34" customHeight="1">
      <x:c r="A23" s="4" t="str">
        <x:v>partners</x:v>
      </x:c>
      <x:c r="B23" s="4" t="str">
        <x:v>ORG-002</x:v>
      </x:c>
      <x:c r="C23" s="4" t="str">
        <x:v>Fictional enterprise 2</x:v>
      </x:c>
      <x:c r="D23" s="4" t="str">
        <x:v>{"partner_id":"ORG-002","partner_name":"Fictional enterprise 2","prior_delay_rate":0.62}</x:v>
      </x:c>
    </x:row>
    <x:row r="24" ht="34" customHeight="1">
      <x:c r="A24" s="4" t="str">
        <x:v>partners</x:v>
      </x:c>
      <x:c r="B24" s="4" t="str">
        <x:v>ORG-003</x:v>
      </x:c>
      <x:c r="C24" s="4" t="str">
        <x:v>Fictional enterprise 3</x:v>
      </x:c>
      <x:c r="D24" s="4" t="str">
        <x:v>{"partner_id":"ORG-003","partner_name":"Fictional enterprise 3","prior_delay_rate":0.63}</x:v>
      </x:c>
    </x:row>
    <x:row r="25" ht="34" customHeight="1">
      <x:c r="A25" s="4" t="str">
        <x:v>partners</x:v>
      </x:c>
      <x:c r="B25" s="4" t="str">
        <x:v>ORG-004</x:v>
      </x:c>
      <x:c r="C25" s="4" t="str">
        <x:v>Fictional enterprise 4</x:v>
      </x:c>
      <x:c r="D25" s="4" t="str">
        <x:v>{"partner_id":"ORG-004","partner_name":"Fictional enterprise 4","prior_delay_rate":0.23}</x:v>
      </x:c>
    </x:row>
    <x:row r="26" ht="34" customHeight="1">
      <x:c r="A26" s="4" t="str">
        <x:v>partners</x:v>
      </x:c>
      <x:c r="B26" s="4" t="str">
        <x:v>ORG-005</x:v>
      </x:c>
      <x:c r="C26" s="4" t="str">
        <x:v>Fictional enterprise 5</x:v>
      </x:c>
      <x:c r="D26" s="4" t="str">
        <x:v>{"partner_id":"ORG-005","partner_name":"Fictional enterprise 5","prior_delay_rate":0.44}</x:v>
      </x:c>
    </x:row>
    <x:row r="27" ht="34" customHeight="1">
      <x:c r="A27" s="4" t="str">
        <x:v>partners</x:v>
      </x:c>
      <x:c r="B27" s="4" t="str">
        <x:v>ORG-006</x:v>
      </x:c>
      <x:c r="C27" s="4" t="str">
        <x:v>Fictional enterprise 6</x:v>
      </x:c>
      <x:c r="D27" s="4" t="str">
        <x:v>{"partner_id":"ORG-006","partner_name":"Fictional enterprise 6","prior_delay_rate":0.3}</x:v>
      </x:c>
    </x:row>
    <x:row r="28" ht="34" customHeight="1">
      <x:c r="A28" s="4" t="str">
        <x:v>partners</x:v>
      </x:c>
      <x:c r="B28" s="4" t="str">
        <x:v>ORG-007</x:v>
      </x:c>
      <x:c r="C28" s="4" t="str">
        <x:v>Fictional enterprise 7</x:v>
      </x:c>
      <x:c r="D28" s="4" t="str">
        <x:v>{"partner_id":"ORG-007","partner_name":"Fictional enterprise 7","prior_delay_rate":0.32}</x:v>
      </x:c>
    </x:row>
    <x:row r="29" ht="34" customHeight="1">
      <x:c r="A29" s="4" t="str">
        <x:v>partners</x:v>
      </x:c>
      <x:c r="B29" s="4" t="str">
        <x:v>ORG-008</x:v>
      </x:c>
      <x:c r="C29" s="4" t="str">
        <x:v>Fictional enterprise 8</x:v>
      </x:c>
      <x:c r="D29" s="4" t="str">
        <x:v>{"partner_id":"ORG-008","partner_name":"Fictional enterprise 8","prior_delay_rate":0.38}</x:v>
      </x:c>
    </x:row>
    <x:row r="30" ht="34" customHeight="1">
      <x:c r="A30" s="4" t="str">
        <x:v>partners</x:v>
      </x:c>
      <x:c r="B30" s="4" t="str">
        <x:v>ORG-009</x:v>
      </x:c>
      <x:c r="C30" s="4" t="str">
        <x:v>Fictional enterprise 9</x:v>
      </x:c>
      <x:c r="D30" s="4" t="str">
        <x:v>{"partner_id":"ORG-009","partner_name":"Fictional enterprise 9","prior_delay_rate":0.23}</x:v>
      </x:c>
    </x:row>
    <x:row r="31" ht="34" customHeight="1">
      <x:c r="A31" s="4" t="str">
        <x:v>partners</x:v>
      </x:c>
      <x:c r="B31" s="4" t="str">
        <x:v>ORG-010</x:v>
      </x:c>
      <x:c r="C31" s="4" t="str">
        <x:v>Fictional enterprise 10</x:v>
      </x:c>
      <x:c r="D31" s="4" t="str">
        <x:v>{"partner_id":"ORG-010","partner_name":"Fictional enterprise 10","prior_delay_rate":0.45}</x:v>
      </x:c>
    </x:row>
    <x:row r="32" ht="34" customHeight="1">
      <x:c r="A32" s="4" t="str">
        <x:v>partners</x:v>
      </x:c>
      <x:c r="B32" s="4" t="str">
        <x:v>ORG-011</x:v>
      </x:c>
      <x:c r="C32" s="4" t="str">
        <x:v>Fictional enterprise 11</x:v>
      </x:c>
      <x:c r="D32" s="4" t="str">
        <x:v>{"partner_id":"ORG-011","partner_name":"Fictional enterprise 11","prior_delay_rate":0.31}</x:v>
      </x:c>
    </x:row>
    <x:row r="33" ht="34" customHeight="1">
      <x:c r="A33" s="4" t="str">
        <x:v>partners</x:v>
      </x:c>
      <x:c r="B33" s="4" t="str">
        <x:v>ORG-012</x:v>
      </x:c>
      <x:c r="C33" s="4" t="str">
        <x:v>Fictional enterprise 12</x:v>
      </x:c>
      <x:c r="D33" s="4" t="str">
        <x:v>{"partner_id":"ORG-012","partner_name":"Fictional enterprise 12","prior_delay_rate":0.64}</x:v>
      </x:c>
    </x:row>
    <x:row r="34" ht="34" customHeight="1">
      <x:c r="A34" s="4" t="str">
        <x:v>partners</x:v>
      </x:c>
      <x:c r="B34" s="4" t="str">
        <x:v>ORG-013</x:v>
      </x:c>
      <x:c r="C34" s="4" t="str">
        <x:v>Fictional enterprise 13</x:v>
      </x:c>
      <x:c r="D34" s="4" t="str">
        <x:v>{"partner_id":"ORG-013","partner_name":"Fictional enterprise 13","prior_delay_rate":0.19}</x:v>
      </x:c>
    </x:row>
    <x:row r="35" ht="34" customHeight="1">
      <x:c r="A35" s="4" t="str">
        <x:v>partners</x:v>
      </x:c>
      <x:c r="B35" s="4" t="str">
        <x:v>ORG-014</x:v>
      </x:c>
      <x:c r="C35" s="4" t="str">
        <x:v>Fictional enterprise 14</x:v>
      </x:c>
      <x:c r="D35" s="4" t="str">
        <x:v>{"partner_id":"ORG-014","partner_name":"Fictional enterprise 14","prior_delay_rate":0.4}</x:v>
      </x:c>
    </x:row>
    <x:row r="36" ht="34" customHeight="1">
      <x:c r="A36" s="4" t="str">
        <x:v>partners</x:v>
      </x:c>
      <x:c r="B36" s="4" t="str">
        <x:v>ORG-015</x:v>
      </x:c>
      <x:c r="C36" s="4" t="str">
        <x:v>Fictional enterprise 15</x:v>
      </x:c>
      <x:c r="D36" s="4" t="str">
        <x:v>{"partner_id":"ORG-015","partner_name":"Fictional enterprise 15","prior_delay_rate":0.37}</x:v>
      </x:c>
    </x:row>
    <x:row r="37" ht="34" customHeight="1">
      <x:c r="A37" s="4" t="str">
        <x:v>partners</x:v>
      </x:c>
      <x:c r="B37" s="4" t="str">
        <x:v>ORG-016</x:v>
      </x:c>
      <x:c r="C37" s="4" t="str">
        <x:v>Fictional enterprise 16</x:v>
      </x:c>
      <x:c r="D37" s="4" t="str">
        <x:v>{"partner_id":"ORG-016","partner_name":"Fictional enterprise 16","prior_delay_rate":0.09}</x:v>
      </x:c>
    </x:row>
    <x:row r="38" ht="34" customHeight="1">
      <x:c r="A38" s="4" t="str">
        <x:v>partners</x:v>
      </x:c>
      <x:c r="B38" s="4" t="str">
        <x:v>ORG-017</x:v>
      </x:c>
      <x:c r="C38" s="4" t="str">
        <x:v>Fictional enterprise 17</x:v>
      </x:c>
      <x:c r="D38" s="4" t="str">
        <x:v>{"partner_id":"ORG-017","partner_name":"Fictional enterprise 17","prior_delay_rate":0.34}</x:v>
      </x:c>
    </x:row>
    <x:row r="39" ht="34" customHeight="1">
      <x:c r="A39" s="4" t="str">
        <x:v>partners</x:v>
      </x:c>
      <x:c r="B39" s="4" t="str">
        <x:v>ORG-018</x:v>
      </x:c>
      <x:c r="C39" s="4" t="str">
        <x:v>Fictional enterprise 18</x:v>
      </x:c>
      <x:c r="D39" s="4" t="str">
        <x:v>{"partner_id":"ORG-018","partner_name":"Fictional enterprise 18","prior_delay_rate":0.55}</x:v>
      </x:c>
    </x:row>
    <x:row r="40" ht="34" customHeight="1">
      <x:c r="A40" s="4" t="str">
        <x:v>partners</x:v>
      </x:c>
      <x:c r="B40" s="4" t="str">
        <x:v>ORG-019</x:v>
      </x:c>
      <x:c r="C40" s="4" t="str">
        <x:v>Fictional enterprise 19</x:v>
      </x:c>
      <x:c r="D40" s="4" t="str">
        <x:v>{"partner_id":"ORG-019","partner_name":"Fictional enterprise 19","prior_delay_rate":0.28}</x:v>
      </x:c>
    </x:row>
    <x:row r="41" ht="34" customHeight="1">
      <x:c r="A41" s="4" t="str">
        <x:v>partners</x:v>
      </x:c>
      <x:c r="B41" s="4" t="str">
        <x:v>ORG-020</x:v>
      </x:c>
      <x:c r="C41" s="4" t="str">
        <x:v>Fictional enterprise 20</x:v>
      </x:c>
      <x:c r="D41" s="4" t="str">
        <x:v>{"partner_id":"ORG-020","partner_name":"Fictional enterprise 20","prior_delay_rate":0.01}</x:v>
      </x:c>
    </x:row>
    <x:row r="42" ht="34" customHeight="1">
      <x:c r="A42" s="4" t="str">
        <x:v>partners</x:v>
      </x:c>
      <x:c r="B42" s="4" t="str">
        <x:v>ORG-021</x:v>
      </x:c>
      <x:c r="C42" s="4" t="str">
        <x:v>Fictional enterprise 21</x:v>
      </x:c>
      <x:c r="D42" s="4" t="str">
        <x:v>{"partner_id":"ORG-021","partner_name":"Fictional enterprise 21","prior_delay_rate":0.64}</x:v>
      </x:c>
    </x:row>
    <x:row r="43" ht="34" customHeight="1">
      <x:c r="A43" s="4" t="str">
        <x:v>partners</x:v>
      </x:c>
      <x:c r="B43" s="4" t="str">
        <x:v>ORG-022</x:v>
      </x:c>
      <x:c r="C43" s="4" t="str">
        <x:v>Fictional enterprise 22</x:v>
      </x:c>
      <x:c r="D43" s="4" t="str">
        <x:v>{"partner_id":"ORG-022","partner_name":"Fictional enterprise 22","prior_delay_rate":0.17}</x:v>
      </x:c>
    </x:row>
    <x:row r="44" ht="34" customHeight="1">
      <x:c r="A44" s="4" t="str">
        <x:v>partners</x:v>
      </x:c>
      <x:c r="B44" s="4" t="str">
        <x:v>ORG-023</x:v>
      </x:c>
      <x:c r="C44" s="4" t="str">
        <x:v>Fictional enterprise 23</x:v>
      </x:c>
      <x:c r="D44" s="4" t="str">
        <x:v>{"partner_id":"ORG-023","partner_name":"Fictional enterprise 23","prior_delay_rate":0.33}</x:v>
      </x:c>
    </x:row>
    <x:row r="45" ht="34" customHeight="1">
      <x:c r="A45" s="4" t="str">
        <x:v>partners</x:v>
      </x:c>
      <x:c r="B45" s="4" t="str">
        <x:v>ORG-024</x:v>
      </x:c>
      <x:c r="C45" s="4" t="str">
        <x:v>Fictional enterprise 24</x:v>
      </x:c>
      <x:c r="D45" s="4" t="str">
        <x:v>{"partner_id":"ORG-024","partner_name":"Fictional enterprise 24","prior_delay_rate":0.26}</x:v>
      </x:c>
    </x:row>
    <x:row r="46" ht="34" customHeight="1">
      <x:c r="A46" s="4" t="str">
        <x:v>partners</x:v>
      </x:c>
      <x:c r="B46" s="4" t="str">
        <x:v>ORG-025</x:v>
      </x:c>
      <x:c r="C46" s="4" t="str">
        <x:v>Fictional enterprise 25</x:v>
      </x:c>
      <x:c r="D46" s="4" t="str">
        <x:v>{"partner_id":"ORG-025","partner_name":"Fictional enterprise 25","prior_delay_rate":0.13}</x:v>
      </x:c>
    </x:row>
    <x:row r="47" ht="34" customHeight="1">
      <x:c r="A47" s="4" t="str">
        <x:v>partners</x:v>
      </x:c>
      <x:c r="B47" s="4" t="str">
        <x:v>ORG-026</x:v>
      </x:c>
      <x:c r="C47" s="4" t="str">
        <x:v>Fictional enterprise 26</x:v>
      </x:c>
      <x:c r="D47" s="4" t="str">
        <x:v>{"partner_id":"ORG-026","partner_name":"Fictional enterprise 26","prior_delay_rate":0.51}</x:v>
      </x:c>
    </x:row>
    <x:row r="48" ht="34" customHeight="1">
      <x:c r="A48" s="4" t="str">
        <x:v>partners</x:v>
      </x:c>
      <x:c r="B48" s="4" t="str">
        <x:v>ORG-027</x:v>
      </x:c>
      <x:c r="C48" s="4" t="str">
        <x:v>Fictional enterprise 27</x:v>
      </x:c>
      <x:c r="D48" s="4" t="str">
        <x:v>{"partner_id":"ORG-027","partner_name":"Fictional enterprise 27","prior_delay_rate":0.42}</x:v>
      </x:c>
    </x:row>
    <x:row r="49" ht="34" customHeight="1">
      <x:c r="A49" s="4" t="str">
        <x:v>partners</x:v>
      </x:c>
      <x:c r="B49" s="4" t="str">
        <x:v>ORG-028</x:v>
      </x:c>
      <x:c r="C49" s="4" t="str">
        <x:v>Fictional enterprise 28</x:v>
      </x:c>
      <x:c r="D49" s="4" t="str">
        <x:v>{"partner_id":"ORG-028","partner_name":"Fictional enterprise 28","prior_delay_rate":0.56}</x:v>
      </x:c>
    </x:row>
    <x:row r="50" ht="34" customHeight="1">
      <x:c r="A50" s="4" t="str">
        <x:v>partners</x:v>
      </x:c>
      <x:c r="B50" s="4" t="str">
        <x:v>ORG-029</x:v>
      </x:c>
      <x:c r="C50" s="4" t="str">
        <x:v>Fictional enterprise 29</x:v>
      </x:c>
      <x:c r="D50" s="4" t="str">
        <x:v>{"partner_id":"ORG-029","partner_name":"Fictional enterprise 29","prior_delay_rate":0}</x:v>
      </x:c>
    </x:row>
    <x:row r="51" ht="34" customHeight="1">
      <x:c r="A51" s="4" t="str">
        <x:v>partners</x:v>
      </x:c>
      <x:c r="B51" s="4" t="str">
        <x:v>ORG-030</x:v>
      </x:c>
      <x:c r="C51" s="4" t="str">
        <x:v>Fictional enterprise 30</x:v>
      </x:c>
      <x:c r="D51" s="4" t="str">
        <x:v>{"partner_id":"ORG-030","partner_name":"Fictional enterprise 30","prior_delay_rate":0.65}</x:v>
      </x:c>
    </x:row>
    <x:row r="52" ht="34" customHeight="1">
      <x:c r="A52" s="4" t="str">
        <x:v>partners</x:v>
      </x:c>
      <x:c r="B52" s="4" t="str">
        <x:v>ORG-031</x:v>
      </x:c>
      <x:c r="C52" s="4" t="str">
        <x:v>Fictional enterprise 31</x:v>
      </x:c>
      <x:c r="D52" s="4" t="str">
        <x:v>{"partner_id":"ORG-031","partner_name":"Fictional enterprise 31","prior_delay_rate":0.02}</x:v>
      </x:c>
    </x:row>
    <x:row r="53" ht="34" customHeight="1">
      <x:c r="A53" s="4" t="str">
        <x:v>partners</x:v>
      </x:c>
      <x:c r="B53" s="4" t="str">
        <x:v>ORG-032</x:v>
      </x:c>
      <x:c r="C53" s="4" t="str">
        <x:v>Fictional enterprise 32</x:v>
      </x:c>
      <x:c r="D53" s="4" t="str">
        <x:v>{"partner_id":"ORG-032","partner_name":"Fictional enterprise 32","prior_delay_rate":0.47}</x:v>
      </x:c>
    </x:row>
    <x:row r="54" ht="34" customHeight="1">
      <x:c r="A54" s="4" t="str">
        <x:v>partners</x:v>
      </x:c>
      <x:c r="B54" s="4" t="str">
        <x:v>ORG-033</x:v>
      </x:c>
      <x:c r="C54" s="4" t="str">
        <x:v>Fictional enterprise 33</x:v>
      </x:c>
      <x:c r="D54" s="4" t="str">
        <x:v>{"partner_id":"ORG-033","partner_name":"Fictional enterprise 33","prior_delay_rate":0.29}</x:v>
      </x:c>
    </x:row>
    <x:row r="55" ht="34" customHeight="1">
      <x:c r="A55" s="4" t="str">
        <x:v>partners</x:v>
      </x:c>
      <x:c r="B55" s="4" t="str">
        <x:v>ORG-034</x:v>
      </x:c>
      <x:c r="C55" s="4" t="str">
        <x:v>Fictional enterprise 34</x:v>
      </x:c>
      <x:c r="D55" s="4" t="str">
        <x:v>{"partner_id":"ORG-034","partner_name":"Fictional enterprise 34","prior_delay_rate":0.18}</x:v>
      </x:c>
    </x:row>
    <x:row r="56" ht="34" customHeight="1">
      <x:c r="A56" s="4" t="str">
        <x:v>partners</x:v>
      </x:c>
      <x:c r="B56" s="4" t="str">
        <x:v>ORG-035</x:v>
      </x:c>
      <x:c r="C56" s="4" t="str">
        <x:v>Fictional enterprise 35</x:v>
      </x:c>
      <x:c r="D56" s="4" t="str">
        <x:v>{"partner_id":"ORG-035","partner_name":"Fictional enterprise 35","prior_delay_rate":0.62}</x:v>
      </x:c>
    </x:row>
    <x:row r="57" ht="34" customHeight="1">
      <x:c r="A57" s="4" t="str">
        <x:v>partners</x:v>
      </x:c>
      <x:c r="B57" s="4" t="str">
        <x:v>ORG-036</x:v>
      </x:c>
      <x:c r="C57" s="4" t="str">
        <x:v>Fictional enterprise 36</x:v>
      </x:c>
      <x:c r="D57" s="4" t="str">
        <x:v>{"partner_id":"ORG-036","partner_name":"Fictional enterprise 36","prior_delay_rate":0.32}</x:v>
      </x:c>
    </x:row>
    <x:row r="58" ht="34" customHeight="1">
      <x:c r="A58" s="4" t="str">
        <x:v>partners</x:v>
      </x:c>
      <x:c r="B58" s="4" t="str">
        <x:v>ORG-037</x:v>
      </x:c>
      <x:c r="C58" s="4" t="str">
        <x:v>Fictional enterprise 37</x:v>
      </x:c>
      <x:c r="D58" s="4" t="str">
        <x:v>{"partner_id":"ORG-037","partner_name":"Fictional enterprise 37","prior_delay_rate":0.01}</x:v>
      </x:c>
    </x:row>
    <x:row r="59" ht="34" customHeight="1">
      <x:c r="A59" s="4" t="str">
        <x:v>partners</x:v>
      </x:c>
      <x:c r="B59" s="4" t="str">
        <x:v>ORG-038</x:v>
      </x:c>
      <x:c r="C59" s="4" t="str">
        <x:v>Fictional enterprise 38</x:v>
      </x:c>
      <x:c r="D59" s="4" t="str">
        <x:v>{"partner_id":"ORG-038","partner_name":"Fictional enterprise 38","prior_delay_rate":0.52}</x:v>
      </x:c>
    </x:row>
    <x:row r="60" ht="34" customHeight="1">
      <x:c r="A60" s="4" t="str">
        <x:v>partners</x:v>
      </x:c>
      <x:c r="B60" s="4" t="str">
        <x:v>ORG-039</x:v>
      </x:c>
      <x:c r="C60" s="4" t="str">
        <x:v>Fictional enterprise 39</x:v>
      </x:c>
      <x:c r="D60" s="4" t="str">
        <x:v>{"partner_id":"ORG-039","partner_name":"Fictional enterprise 39","prior_delay_rate":0.18}</x:v>
      </x:c>
    </x:row>
    <x:row r="61" ht="34" customHeight="1">
      <x:c r="A61" s="4" t="str">
        <x:v>partners</x:v>
      </x:c>
      <x:c r="B61" s="4" t="str">
        <x:v>ORG-040</x:v>
      </x:c>
      <x:c r="C61" s="4" t="str">
        <x:v>Fictional enterprise 40</x:v>
      </x:c>
      <x:c r="D61" s="4" t="str">
        <x:v>{"partner_id":"ORG-040","partner_name":"Fictional enterprise 40","prior_delay_rate":0.29}</x:v>
      </x:c>
    </x:row>
    <x:row r="62" ht="34" customHeight="1">
      <x:c r="A62" s="4" t="str">
        <x:v>partners</x:v>
      </x:c>
      <x:c r="B62" s="4" t="str">
        <x:v>ORG-041</x:v>
      </x:c>
      <x:c r="C62" s="4" t="str">
        <x:v>Fictional enterprise 41</x:v>
      </x:c>
      <x:c r="D62" s="4" t="str">
        <x:v>{"partner_id":"ORG-041","partner_name":"Fictional enterprise 41","prior_delay_rate":0.54}</x:v>
      </x:c>
    </x:row>
    <x:row r="63" ht="34" customHeight="1">
      <x:c r="A63" s="4" t="str">
        <x:v>partners</x:v>
      </x:c>
      <x:c r="B63" s="4" t="str">
        <x:v>ORG-042</x:v>
      </x:c>
      <x:c r="C63" s="4" t="str">
        <x:v>Fictional enterprise 42</x:v>
      </x:c>
      <x:c r="D63" s="4" t="str">
        <x:v>{"partner_id":"ORG-042","partner_name":"Fictional enterprise 42","prior_delay_rate":0.41}</x:v>
      </x:c>
    </x:row>
    <x:row r="64" ht="34" customHeight="1">
      <x:c r="A64" s="4" t="str">
        <x:v>partners</x:v>
      </x:c>
      <x:c r="B64" s="4" t="str">
        <x:v>ORG-043</x:v>
      </x:c>
      <x:c r="C64" s="4" t="str">
        <x:v>Fictional enterprise 43</x:v>
      </x:c>
      <x:c r="D64" s="4" t="str">
        <x:v>{"partner_id":"ORG-043","partner_name":"Fictional enterprise 43","prior_delay_rate":0.35}</x:v>
      </x:c>
    </x:row>
    <x:row r="65" ht="34" customHeight="1">
      <x:c r="A65" s="4" t="str">
        <x:v>partners</x:v>
      </x:c>
      <x:c r="B65" s="4" t="str">
        <x:v>ORG-044</x:v>
      </x:c>
      <x:c r="C65" s="4" t="str">
        <x:v>Fictional enterprise 44</x:v>
      </x:c>
      <x:c r="D65" s="4" t="str">
        <x:v>{"partner_id":"ORG-044","partner_name":"Fictional enterprise 44","prior_delay_rate":0.22}</x:v>
      </x:c>
    </x:row>
    <x:row r="66" ht="34" customHeight="1">
      <x:c r="A66" s="4" t="str">
        <x:v>partners</x:v>
      </x:c>
      <x:c r="B66" s="4" t="str">
        <x:v>ORG-045</x:v>
      </x:c>
      <x:c r="C66" s="4" t="str">
        <x:v>Fictional enterprise 45</x:v>
      </x:c>
      <x:c r="D66" s="4" t="str">
        <x:v>{"partner_id":"ORG-045","partner_name":"Fictional enterprise 45","prior_delay_rate":0.01}</x:v>
      </x:c>
    </x:row>
    <x:row r="67" ht="34" customHeight="1">
      <x:c r="A67" s="4" t="str">
        <x:v>partners</x:v>
      </x:c>
      <x:c r="B67" s="4" t="str">
        <x:v>ORG-046</x:v>
      </x:c>
      <x:c r="C67" s="4" t="str">
        <x:v>Fictional enterprise 46</x:v>
      </x:c>
      <x:c r="D67" s="4" t="str">
        <x:v>{"partner_id":"ORG-046","partner_name":"Fictional enterprise 46","prior_delay_rate":0.46}</x:v>
      </x:c>
    </x:row>
    <x:row r="68" ht="34" customHeight="1">
      <x:c r="A68" s="4" t="str">
        <x:v>partners</x:v>
      </x:c>
      <x:c r="B68" s="4" t="str">
        <x:v>ORG-047</x:v>
      </x:c>
      <x:c r="C68" s="4" t="str">
        <x:v>Fictional enterprise 47</x:v>
      </x:c>
      <x:c r="D68" s="4" t="str">
        <x:v>{"partner_id":"ORG-047","partner_name":"Fictional enterprise 47","prior_delay_rate":0.16}</x:v>
      </x:c>
    </x:row>
    <x:row r="69" ht="34" customHeight="1">
      <x:c r="A69" s="4" t="str">
        <x:v>partners</x:v>
      </x:c>
      <x:c r="B69" s="4" t="str">
        <x:v>ORG-048</x:v>
      </x:c>
      <x:c r="C69" s="4" t="str">
        <x:v>Fictional enterprise 48</x:v>
      </x:c>
      <x:c r="D69" s="4" t="str">
        <x:v>{"partner_id":"ORG-048","partner_name":"Fictional enterprise 48","prior_delay_rate":0.52}</x:v>
      </x:c>
    </x:row>
    <x:row r="70" ht="34" customHeight="1">
      <x:c r="A70" s="4" t="str">
        <x:v>partners</x:v>
      </x:c>
      <x:c r="B70" s="4" t="str">
        <x:v>ORG-049</x:v>
      </x:c>
      <x:c r="C70" s="4" t="str">
        <x:v>Fictional enterprise 49</x:v>
      </x:c>
      <x:c r="D70" s="4" t="str">
        <x:v>{"partner_id":"ORG-049","partner_name":"Fictional enterprise 49","prior_delay_rate":0.6}</x:v>
      </x:c>
    </x:row>
    <x:row r="71" ht="34" customHeight="1">
      <x:c r="A71" s="4" t="str">
        <x:v>partners</x:v>
      </x:c>
      <x:c r="B71" s="4" t="str">
        <x:v>ORG-050</x:v>
      </x:c>
      <x:c r="C71" s="4" t="str">
        <x:v>Fictional enterprise 50</x:v>
      </x:c>
      <x:c r="D71" s="4" t="str">
        <x:v>{"partner_id":"ORG-050","partner_name":"Fictional enterprise 50","prior_delay_rate":0.34}</x:v>
      </x:c>
    </x:row>
    <x:row r="72" ht="34" customHeight="1">
      <x:c r="A72" s="4" t="str">
        <x:v>partners</x:v>
      </x:c>
      <x:c r="B72" s="4" t="str">
        <x:v>ORG-051</x:v>
      </x:c>
      <x:c r="C72" s="4" t="str">
        <x:v>Fictional enterprise 51</x:v>
      </x:c>
      <x:c r="D72" s="4" t="str">
        <x:v>{"partner_id":"ORG-051","partner_name":"Fictional enterprise 51","prior_delay_rate":0.53}</x:v>
      </x:c>
    </x:row>
    <x:row r="73" ht="34" customHeight="1">
      <x:c r="A73" s="4" t="str">
        <x:v>partners</x:v>
      </x:c>
      <x:c r="B73" s="4" t="str">
        <x:v>ORG-052</x:v>
      </x:c>
      <x:c r="C73" s="4" t="str">
        <x:v>Fictional enterprise 52</x:v>
      </x:c>
      <x:c r="D73" s="4" t="str">
        <x:v>{"partner_id":"ORG-052","partner_name":"Fictional enterprise 52","prior_delay_rate":0.32}</x:v>
      </x:c>
    </x:row>
    <x:row r="74" ht="34" customHeight="1">
      <x:c r="A74" s="4" t="str">
        <x:v>partners</x:v>
      </x:c>
      <x:c r="B74" s="4" t="str">
        <x:v>ORG-053</x:v>
      </x:c>
      <x:c r="C74" s="4" t="str">
        <x:v>Fictional enterprise 53</x:v>
      </x:c>
      <x:c r="D74" s="4" t="str">
        <x:v>{"partner_id":"ORG-053","partner_name":"Fictional enterprise 53","prior_delay_rate":0.42}</x:v>
      </x:c>
    </x:row>
    <x:row r="75" ht="34" customHeight="1">
      <x:c r="A75" s="4" t="str">
        <x:v>partners</x:v>
      </x:c>
      <x:c r="B75" s="4" t="str">
        <x:v>ORG-054</x:v>
      </x:c>
      <x:c r="C75" s="4" t="str">
        <x:v>Fictional enterprise 54</x:v>
      </x:c>
      <x:c r="D75" s="4" t="str">
        <x:v>{"partner_id":"ORG-054","partner_name":"Fictional enterprise 54","prior_delay_rate":0.37}</x:v>
      </x:c>
    </x:row>
    <x:row r="76" ht="34" customHeight="1">
      <x:c r="A76" s="4" t="str">
        <x:v>partners</x:v>
      </x:c>
      <x:c r="B76" s="4" t="str">
        <x:v>ORG-055</x:v>
      </x:c>
      <x:c r="C76" s="4" t="str">
        <x:v>Fictional enterprise 55</x:v>
      </x:c>
      <x:c r="D76" s="4" t="str">
        <x:v>{"partner_id":"ORG-055","partner_name":"Fictional enterprise 55","prior_delay_rate":0.59}</x:v>
      </x:c>
    </x:row>
    <x:row r="77" ht="34" customHeight="1">
      <x:c r="A77" s="4" t="str">
        <x:v>partners</x:v>
      </x:c>
      <x:c r="B77" s="4" t="str">
        <x:v>ORG-056</x:v>
      </x:c>
      <x:c r="C77" s="4" t="str">
        <x:v>Fictional enterprise 56</x:v>
      </x:c>
      <x:c r="D77" s="4" t="str">
        <x:v>{"partner_id":"ORG-056","partner_name":"Fictional enterprise 56","prior_delay_rate":0.14}</x:v>
      </x:c>
    </x:row>
    <x:row r="78" ht="34" customHeight="1">
      <x:c r="A78" s="4" t="str">
        <x:v>partners</x:v>
      </x:c>
      <x:c r="B78" s="4" t="str">
        <x:v>ORG-057</x:v>
      </x:c>
      <x:c r="C78" s="4" t="str">
        <x:v>Fictional enterprise 57</x:v>
      </x:c>
      <x:c r="D78" s="4" t="str">
        <x:v>{"partner_id":"ORG-057","partner_name":"Fictional enterprise 57","prior_delay_rate":0.63}</x:v>
      </x:c>
    </x:row>
    <x:row r="79" ht="34" customHeight="1">
      <x:c r="A79" s="4" t="str">
        <x:v>partners</x:v>
      </x:c>
      <x:c r="B79" s="4" t="str">
        <x:v>ORG-058</x:v>
      </x:c>
      <x:c r="C79" s="4" t="str">
        <x:v>Fictional enterprise 58</x:v>
      </x:c>
      <x:c r="D79" s="4" t="str">
        <x:v>{"partner_id":"ORG-058","partner_name":"Fictional enterprise 58","prior_delay_rate":0.1}</x:v>
      </x:c>
    </x:row>
    <x:row r="80" ht="34" customHeight="1">
      <x:c r="A80" s="4" t="str">
        <x:v>partners</x:v>
      </x:c>
      <x:c r="B80" s="4" t="str">
        <x:v>ORG-059</x:v>
      </x:c>
      <x:c r="C80" s="4" t="str">
        <x:v>Fictional enterprise 59</x:v>
      </x:c>
      <x:c r="D80" s="4" t="str">
        <x:v>{"partner_id":"ORG-059","partner_name":"Fictional enterprise 59","prior_delay_rate":0.27}</x:v>
      </x:c>
    </x:row>
    <x:row r="81" ht="34" customHeight="1">
      <x:c r="A81" s="4" t="str">
        <x:v>partners</x:v>
      </x:c>
      <x:c r="B81" s="4" t="str">
        <x:v>ORG-060</x:v>
      </x:c>
      <x:c r="C81" s="4" t="str">
        <x:v>Fictional enterprise 60</x:v>
      </x:c>
      <x:c r="D81" s="4" t="str">
        <x:v>{"partner_id":"ORG-060","partner_name":"Fictional enterprise 60","prior_delay_rate":0.44}</x:v>
      </x:c>
    </x:row>
    <x:row r="82" ht="34" customHeight="1">
      <x:c r="A82" s="4" t="str">
        <x:v>partners</x:v>
      </x:c>
      <x:c r="B82" s="4" t="str">
        <x:v>ORG-061</x:v>
      </x:c>
      <x:c r="C82" s="4" t="str">
        <x:v>Fictional enterprise 61</x:v>
      </x:c>
      <x:c r="D82" s="4" t="str">
        <x:v>{"partner_id":"ORG-061","partner_name":"Fictional enterprise 61","prior_delay_rate":0.53}</x:v>
      </x:c>
    </x:row>
    <x:row r="83" ht="34" customHeight="1">
      <x:c r="A83" s="4" t="str">
        <x:v>partners</x:v>
      </x:c>
      <x:c r="B83" s="4" t="str">
        <x:v>ORG-062</x:v>
      </x:c>
      <x:c r="C83" s="4" t="str">
        <x:v>Fictional enterprise 62</x:v>
      </x:c>
      <x:c r="D83" s="4" t="str">
        <x:v>{"partner_id":"ORG-062","partner_name":"Fictional enterprise 62","prior_delay_rate":0.6}</x:v>
      </x:c>
    </x:row>
    <x:row r="84" ht="34" customHeight="1">
      <x:c r="A84" s="4" t="str">
        <x:v>partners</x:v>
      </x:c>
      <x:c r="B84" s="4" t="str">
        <x:v>ORG-063</x:v>
      </x:c>
      <x:c r="C84" s="4" t="str">
        <x:v>Fictional enterprise 63</x:v>
      </x:c>
      <x:c r="D84" s="4" t="str">
        <x:v>{"partner_id":"ORG-063","partner_name":"Fictional enterprise 63","prior_delay_rate":0.16}</x:v>
      </x:c>
    </x:row>
    <x:row r="85" ht="34" customHeight="1">
      <x:c r="A85" s="4" t="str">
        <x:v>partners</x:v>
      </x:c>
      <x:c r="B85" s="4" t="str">
        <x:v>ORG-064</x:v>
      </x:c>
      <x:c r="C85" s="4" t="str">
        <x:v>Fictional enterprise 64</x:v>
      </x:c>
      <x:c r="D85" s="4" t="str">
        <x:v>{"partner_id":"ORG-064","partner_name":"Fictional enterprise 64","prior_delay_rate":0.19}</x:v>
      </x:c>
    </x:row>
    <x:row r="86" ht="34" customHeight="1">
      <x:c r="A86" s="4" t="str">
        <x:v>partners</x:v>
      </x:c>
      <x:c r="B86" s="4" t="str">
        <x:v>ORG-065</x:v>
      </x:c>
      <x:c r="C86" s="4" t="str">
        <x:v>Fictional enterprise 65</x:v>
      </x:c>
      <x:c r="D86" s="4" t="str">
        <x:v>{"partner_id":"ORG-065","partner_name":"Fictional enterprise 65","prior_delay_rate":0.54}</x:v>
      </x:c>
    </x:row>
    <x:row r="87" ht="34" customHeight="1">
      <x:c r="A87" s="4" t="str">
        <x:v>partners</x:v>
      </x:c>
      <x:c r="B87" s="4" t="str">
        <x:v>ORG-066</x:v>
      </x:c>
      <x:c r="C87" s="4" t="str">
        <x:v>Fictional enterprise 66</x:v>
      </x:c>
      <x:c r="D87" s="4" t="str">
        <x:v>{"partner_id":"ORG-066","partner_name":"Fictional enterprise 66","prior_delay_rate":0.23}</x:v>
      </x:c>
    </x:row>
    <x:row r="88" ht="34" customHeight="1">
      <x:c r="A88" s="4" t="str">
        <x:v>partners</x:v>
      </x:c>
      <x:c r="B88" s="4" t="str">
        <x:v>ORG-067</x:v>
      </x:c>
      <x:c r="C88" s="4" t="str">
        <x:v>Fictional enterprise 67</x:v>
      </x:c>
      <x:c r="D88" s="4" t="str">
        <x:v>{"partner_id":"ORG-067","partner_name":"Fictional enterprise 67","prior_delay_rate":0.46}</x:v>
      </x:c>
    </x:row>
    <x:row r="89" ht="34" customHeight="1">
      <x:c r="A89" s="4" t="str">
        <x:v>partners</x:v>
      </x:c>
      <x:c r="B89" s="4" t="str">
        <x:v>ORG-068</x:v>
      </x:c>
      <x:c r="C89" s="4" t="str">
        <x:v>Fictional enterprise 68</x:v>
      </x:c>
      <x:c r="D89" s="4" t="str">
        <x:v>{"partner_id":"ORG-068","partner_name":"Fictional enterprise 68","prior_delay_rate":0.43}</x:v>
      </x:c>
    </x:row>
    <x:row r="90" ht="34" customHeight="1">
      <x:c r="A90" s="4" t="str">
        <x:v>partners</x:v>
      </x:c>
      <x:c r="B90" s="4" t="str">
        <x:v>ORG-069</x:v>
      </x:c>
      <x:c r="C90" s="4" t="str">
        <x:v>Fictional enterprise 69</x:v>
      </x:c>
      <x:c r="D90" s="4" t="str">
        <x:v>{"partner_id":"ORG-069","partner_name":"Fictional enterprise 69","prior_delay_rate":0.36}</x:v>
      </x:c>
    </x:row>
    <x:row r="91" ht="34" customHeight="1">
      <x:c r="A91" s="4" t="str">
        <x:v>partners</x:v>
      </x:c>
      <x:c r="B91" s="4" t="str">
        <x:v>ORG-070</x:v>
      </x:c>
      <x:c r="C91" s="4" t="str">
        <x:v>Fictional enterprise 70</x:v>
      </x:c>
      <x:c r="D91" s="4" t="str">
        <x:v>{"partner_id":"ORG-070","partner_name":"Fictional enterprise 70","prior_delay_rate":0.61}</x:v>
      </x:c>
    </x:row>
    <x:row r="92" ht="34" customHeight="1">
      <x:c r="A92" s="4" t="str">
        <x:v>partners</x:v>
      </x:c>
      <x:c r="B92" s="4" t="str">
        <x:v>ORG-071</x:v>
      </x:c>
      <x:c r="C92" s="4" t="str">
        <x:v>Fictional enterprise 71</x:v>
      </x:c>
      <x:c r="D92" s="4" t="str">
        <x:v>{"partner_id":"ORG-071","partner_name":"Fictional enterprise 71","prior_delay_rate":0.02}</x:v>
      </x:c>
    </x:row>
    <x:row r="93" ht="34" customHeight="1">
      <x:c r="A93" s="4" t="str">
        <x:v>partners</x:v>
      </x:c>
      <x:c r="B93" s="4" t="str">
        <x:v>ORG-072</x:v>
      </x:c>
      <x:c r="C93" s="4" t="str">
        <x:v>Fictional enterprise 72</x:v>
      </x:c>
      <x:c r="D93" s="4" t="str">
        <x:v>{"partner_id":"ORG-072","partner_name":"Fictional enterprise 72","prior_delay_rate":0.14}</x:v>
      </x:c>
    </x:row>
    <x:row r="94" ht="34" customHeight="1">
      <x:c r="A94" s="4" t="str">
        <x:v>partners</x:v>
      </x:c>
      <x:c r="B94" s="4" t="str">
        <x:v>ORG-073</x:v>
      </x:c>
      <x:c r="C94" s="4" t="str">
        <x:v>Fictional enterprise 73</x:v>
      </x:c>
      <x:c r="D94" s="4" t="str">
        <x:v>{"partner_id":"ORG-073","partner_name":"Fictional enterprise 73","prior_delay_rate":0.25}</x:v>
      </x:c>
    </x:row>
    <x:row r="95" ht="34" customHeight="1">
      <x:c r="A95" s="4" t="str">
        <x:v>partners</x:v>
      </x:c>
      <x:c r="B95" s="4" t="str">
        <x:v>ORG-074</x:v>
      </x:c>
      <x:c r="C95" s="4" t="str">
        <x:v>Fictional enterprise 74</x:v>
      </x:c>
      <x:c r="D95" s="4" t="str">
        <x:v>{"partner_id":"ORG-074","partner_name":"Fictional enterprise 74","prior_delay_rate":0.52}</x:v>
      </x:c>
    </x:row>
    <x:row r="96" ht="34" customHeight="1">
      <x:c r="A96" s="4" t="str">
        <x:v>partners</x:v>
      </x:c>
      <x:c r="B96" s="4" t="str">
        <x:v>ORG-075</x:v>
      </x:c>
      <x:c r="C96" s="4" t="str">
        <x:v>Fictional enterprise 75</x:v>
      </x:c>
      <x:c r="D96" s="4" t="str">
        <x:v>{"partner_id":"ORG-075","partner_name":"Fictional enterprise 75","prior_delay_rate":0.24}</x:v>
      </x:c>
    </x:row>
    <x:row r="97" ht="34" customHeight="1">
      <x:c r="A97" s="4" t="str">
        <x:v>partners</x:v>
      </x:c>
      <x:c r="B97" s="4" t="str">
        <x:v>ORG-076</x:v>
      </x:c>
      <x:c r="C97" s="4" t="str">
        <x:v>Fictional enterprise 76</x:v>
      </x:c>
      <x:c r="D97" s="4" t="str">
        <x:v>{"partner_id":"ORG-076","partner_name":"Fictional enterprise 76","prior_delay_rate":0.2}</x:v>
      </x:c>
    </x:row>
    <x:row r="98" ht="34" customHeight="1">
      <x:c r="A98" s="4" t="str">
        <x:v>partners</x:v>
      </x:c>
      <x:c r="B98" s="4" t="str">
        <x:v>ORG-077</x:v>
      </x:c>
      <x:c r="C98" s="4" t="str">
        <x:v>Fictional enterprise 77</x:v>
      </x:c>
      <x:c r="D98" s="4" t="str">
        <x:v>{"partner_id":"ORG-077","partner_name":"Fictional enterprise 77","prior_delay_rate":0.21}</x:v>
      </x:c>
    </x:row>
    <x:row r="99" ht="34" customHeight="1">
      <x:c r="A99" s="4" t="str">
        <x:v>partners</x:v>
      </x:c>
      <x:c r="B99" s="4" t="str">
        <x:v>ORG-078</x:v>
      </x:c>
      <x:c r="C99" s="4" t="str">
        <x:v>Fictional enterprise 78</x:v>
      </x:c>
      <x:c r="D99" s="4" t="str">
        <x:v>{"partner_id":"ORG-078","partner_name":"Fictional enterprise 78","prior_delay_rate":0.18}</x:v>
      </x:c>
    </x:row>
    <x:row r="100" ht="34" customHeight="1">
      <x:c r="A100" s="4" t="str">
        <x:v>partners</x:v>
      </x:c>
      <x:c r="B100" s="4" t="str">
        <x:v>ORG-079</x:v>
      </x:c>
      <x:c r="C100" s="4" t="str">
        <x:v>Fictional enterprise 79</x:v>
      </x:c>
      <x:c r="D100" s="4" t="str">
        <x:v>{"partner_id":"ORG-079","partner_name":"Fictional enterprise 79","prior_delay_rate":0.3}</x:v>
      </x:c>
    </x:row>
    <x:row r="101" ht="34" customHeight="1">
      <x:c r="A101" s="4" t="str">
        <x:v>partners</x:v>
      </x:c>
      <x:c r="B101" s="4" t="str">
        <x:v>ORG-080</x:v>
      </x:c>
      <x:c r="C101" s="4" t="str">
        <x:v>Fictional enterprise 80</x:v>
      </x:c>
      <x:c r="D101" s="4" t="str">
        <x:v>{"partner_id":"ORG-080","partner_name":"Fictional enterprise 80","prior_delay_rate":0.56}</x:v>
      </x:c>
    </x:row>
    <x:row r="102" ht="34" customHeight="1">
      <x:c r="A102" s="4" t="str">
        <x:v>partners</x:v>
      </x:c>
      <x:c r="B102" s="4" t="str">
        <x:v>ORG-081</x:v>
      </x:c>
      <x:c r="C102" s="4" t="str">
        <x:v>Fictional enterprise 81</x:v>
      </x:c>
      <x:c r="D102" s="4" t="str">
        <x:v>{"partner_id":"ORG-081","partner_name":"Fictional enterprise 81","prior_delay_rate":0.09}</x:v>
      </x:c>
    </x:row>
    <x:row r="103" ht="34" customHeight="1">
      <x:c r="A103" s="4" t="str">
        <x:v>partners</x:v>
      </x:c>
      <x:c r="B103" s="4" t="str">
        <x:v>ORG-082</x:v>
      </x:c>
      <x:c r="C103" s="4" t="str">
        <x:v>Fictional enterprise 82</x:v>
      </x:c>
      <x:c r="D103" s="4" t="str">
        <x:v>{"partner_id":"ORG-082","partner_name":"Fictional enterprise 82","prior_delay_rate":0.13}</x:v>
      </x:c>
    </x:row>
    <x:row r="104" ht="34" customHeight="1">
      <x:c r="A104" s="4" t="str">
        <x:v>partners</x:v>
      </x:c>
      <x:c r="B104" s="4" t="str">
        <x:v>ORG-083</x:v>
      </x:c>
      <x:c r="C104" s="4" t="str">
        <x:v>Fictional enterprise 83</x:v>
      </x:c>
      <x:c r="D104" s="4" t="str">
        <x:v>{"partner_id":"ORG-083","partner_name":"Fictional enterprise 83","prior_delay_rate":0.38}</x:v>
      </x:c>
    </x:row>
    <x:row r="105" ht="34" customHeight="1">
      <x:c r="A105" s="4" t="str">
        <x:v>partners</x:v>
      </x:c>
      <x:c r="B105" s="4" t="str">
        <x:v>ORG-084</x:v>
      </x:c>
      <x:c r="C105" s="4" t="str">
        <x:v>Fictional enterprise 84</x:v>
      </x:c>
      <x:c r="D105" s="4" t="str">
        <x:v>{"partner_id":"ORG-084","partner_name":"Fictional enterprise 84","prior_delay_rate":0.09}</x:v>
      </x:c>
    </x:row>
    <x:row r="106" ht="34" customHeight="1">
      <x:c r="A106" s="4" t="str">
        <x:v>partners</x:v>
      </x:c>
      <x:c r="B106" s="4" t="str">
        <x:v>ORG-085</x:v>
      </x:c>
      <x:c r="C106" s="4" t="str">
        <x:v>Fictional enterprise 85</x:v>
      </x:c>
      <x:c r="D106" s="4" t="str">
        <x:v>{"partner_id":"ORG-085","partner_name":"Fictional enterprise 85","prior_delay_rate":0.33}</x:v>
      </x:c>
    </x:row>
    <x:row r="107" ht="34" customHeight="1">
      <x:c r="A107" s="4" t="str">
        <x:v>partners</x:v>
      </x:c>
      <x:c r="B107" s="4" t="str">
        <x:v>ORG-086</x:v>
      </x:c>
      <x:c r="C107" s="4" t="str">
        <x:v>Fictional enterprise 86</x:v>
      </x:c>
      <x:c r="D107" s="4" t="str">
        <x:v>{"partner_id":"ORG-086","partner_name":"Fictional enterprise 86","prior_delay_rate":0.17}</x:v>
      </x:c>
    </x:row>
    <x:row r="108" ht="34" customHeight="1">
      <x:c r="A108" s="4" t="str">
        <x:v>partners</x:v>
      </x:c>
      <x:c r="B108" s="4" t="str">
        <x:v>ORG-087</x:v>
      </x:c>
      <x:c r="C108" s="4" t="str">
        <x:v>Fictional enterprise 87</x:v>
      </x:c>
      <x:c r="D108" s="4" t="str">
        <x:v>{"partner_id":"ORG-087","partner_name":"Fictional enterprise 87","prior_delay_rate":0.38}</x:v>
      </x:c>
    </x:row>
    <x:row r="109" ht="34" customHeight="1">
      <x:c r="A109" s="4" t="str">
        <x:v>partners</x:v>
      </x:c>
      <x:c r="B109" s="4" t="str">
        <x:v>ORG-088</x:v>
      </x:c>
      <x:c r="C109" s="4" t="str">
        <x:v>Fictional enterprise 88</x:v>
      </x:c>
      <x:c r="D109" s="4" t="str">
        <x:v>{"partner_id":"ORG-088","partner_name":"Fictional enterprise 88","prior_delay_rate":0.27}</x:v>
      </x:c>
    </x:row>
    <x:row r="110" ht="34" customHeight="1">
      <x:c r="A110" s="4" t="str">
        <x:v>partners</x:v>
      </x:c>
      <x:c r="B110" s="4" t="str">
        <x:v>ORG-089</x:v>
      </x:c>
      <x:c r="C110" s="4" t="str">
        <x:v>Fictional enterprise 89</x:v>
      </x:c>
      <x:c r="D110" s="4" t="str">
        <x:v>{"partner_id":"ORG-089","partner_name":"Fictional enterprise 89","prior_delay_rate":0.1}</x:v>
      </x:c>
    </x:row>
    <x:row r="111" ht="34" customHeight="1">
      <x:c r="A111" s="4" t="str">
        <x:v>partners</x:v>
      </x:c>
      <x:c r="B111" s="4" t="str">
        <x:v>ORG-090</x:v>
      </x:c>
      <x:c r="C111" s="4" t="str">
        <x:v>Fictional enterprise 90</x:v>
      </x:c>
      <x:c r="D111" s="4" t="str">
        <x:v>{"partner_id":"ORG-090","partner_name":"Fictional enterprise 90","prior_delay_rate":0.44}</x:v>
      </x:c>
    </x:row>
    <x:row r="112" ht="34" customHeight="1">
      <x:c r="A112" s="4" t="str">
        <x:v>partners</x:v>
      </x:c>
      <x:c r="B112" s="4" t="str">
        <x:v>ORG-091</x:v>
      </x:c>
      <x:c r="C112" s="4" t="str">
        <x:v>Fictional enterprise 91</x:v>
      </x:c>
      <x:c r="D112" s="4" t="str">
        <x:v>{"partner_id":"ORG-091","partner_name":"Fictional enterprise 91","prior_delay_rate":0.09}</x:v>
      </x:c>
    </x:row>
    <x:row r="113" ht="34" customHeight="1">
      <x:c r="A113" s="4" t="str">
        <x:v>partners</x:v>
      </x:c>
      <x:c r="B113" s="4" t="str">
        <x:v>ORG-092</x:v>
      </x:c>
      <x:c r="C113" s="4" t="str">
        <x:v>Fictional enterprise 92</x:v>
      </x:c>
      <x:c r="D113" s="4" t="str">
        <x:v>{"partner_id":"ORG-092","partner_name":"Fictional enterprise 92","prior_delay_rate":0.32}</x:v>
      </x:c>
    </x:row>
    <x:row r="114" ht="34" customHeight="1">
      <x:c r="A114" s="4" t="str">
        <x:v>partners</x:v>
      </x:c>
      <x:c r="B114" s="4" t="str">
        <x:v>ORG-093</x:v>
      </x:c>
      <x:c r="C114" s="4" t="str">
        <x:v>Fictional enterprise 93</x:v>
      </x:c>
      <x:c r="D114" s="4" t="str">
        <x:v>{"partner_id":"ORG-093","partner_name":"Fictional enterprise 93","prior_delay_rate":0.16}</x:v>
      </x:c>
    </x:row>
    <x:row r="115" ht="34" customHeight="1">
      <x:c r="A115" s="4" t="str">
        <x:v>partners</x:v>
      </x:c>
      <x:c r="B115" s="4" t="str">
        <x:v>ORG-094</x:v>
      </x:c>
      <x:c r="C115" s="4" t="str">
        <x:v>Fictional enterprise 94</x:v>
      </x:c>
      <x:c r="D115" s="4" t="str">
        <x:v>{"partner_id":"ORG-094","partner_name":"Fictional enterprise 94","prior_delay_rate":0.57}</x:v>
      </x:c>
    </x:row>
    <x:row r="116" ht="34" customHeight="1">
      <x:c r="A116" s="4" t="str">
        <x:v>partners</x:v>
      </x:c>
      <x:c r="B116" s="4" t="str">
        <x:v>ORG-095</x:v>
      </x:c>
      <x:c r="C116" s="4" t="str">
        <x:v>Fictional enterprise 95</x:v>
      </x:c>
      <x:c r="D116" s="4" t="str">
        <x:v>{"partner_id":"ORG-095","partner_name":"Fictional enterprise 95","prior_delay_rate":0.34}</x:v>
      </x:c>
    </x:row>
    <x:row r="117" ht="34" customHeight="1">
      <x:c r="A117" s="4" t="str">
        <x:v>partners</x:v>
      </x:c>
      <x:c r="B117" s="4" t="str">
        <x:v>ORG-096</x:v>
      </x:c>
      <x:c r="C117" s="4" t="str">
        <x:v>Fictional enterprise 96</x:v>
      </x:c>
      <x:c r="D117" s="4" t="str">
        <x:v>{"partner_id":"ORG-096","partner_name":"Fictional enterprise 96","prior_delay_rate":0.32}</x:v>
      </x:c>
    </x:row>
    <x:row r="118" ht="34" customHeight="1">
      <x:c r="A118" s="4" t="str">
        <x:v>partners</x:v>
      </x:c>
      <x:c r="B118" s="4" t="str">
        <x:v>ORG-097</x:v>
      </x:c>
      <x:c r="C118" s="4" t="str">
        <x:v>Fictional enterprise 97</x:v>
      </x:c>
      <x:c r="D118" s="4" t="str">
        <x:v>{"partner_id":"ORG-097","partner_name":"Fictional enterprise 97","prior_delay_rate":0.22}</x:v>
      </x:c>
    </x:row>
    <x:row r="119" ht="34" customHeight="1">
      <x:c r="A119" s="4" t="str">
        <x:v>partners</x:v>
      </x:c>
      <x:c r="B119" s="4" t="str">
        <x:v>ORG-098</x:v>
      </x:c>
      <x:c r="C119" s="4" t="str">
        <x:v>Fictional enterprise 98</x:v>
      </x:c>
      <x:c r="D119" s="4" t="str">
        <x:v>{"partner_id":"ORG-098","partner_name":"Fictional enterprise 98","prior_delay_rate":0.07}</x:v>
      </x:c>
    </x:row>
    <x:row r="120" ht="34" customHeight="1">
      <x:c r="A120" s="4" t="str">
        <x:v>partners</x:v>
      </x:c>
      <x:c r="B120" s="4" t="str">
        <x:v>ORG-099</x:v>
      </x:c>
      <x:c r="C120" s="4" t="str">
        <x:v>Fictional enterprise 99</x:v>
      </x:c>
      <x:c r="D120" s="4" t="str">
        <x:v>{"partner_id":"ORG-099","partner_name":"Fictional enterprise 99","prior_delay_rate":0.26}</x:v>
      </x:c>
    </x:row>
    <x:row r="121" ht="34" customHeight="1">
      <x:c r="A121" s="4" t="str">
        <x:v>partners</x:v>
      </x:c>
      <x:c r="B121" s="4" t="str">
        <x:v>ORG-100</x:v>
      </x:c>
      <x:c r="C121" s="4" t="str">
        <x:v>Fictional enterprise 100</x:v>
      </x:c>
      <x:c r="D121" s="4" t="str">
        <x:v>{"partner_id":"ORG-100","partner_name":"Fictional enterprise 100","prior_delay_rate":0.12}</x:v>
      </x:c>
    </x:row>
    <x:row r="122" ht="34" customHeight="1">
      <x:c r="A122" s="4" t="str">
        <x:v>partners</x:v>
      </x:c>
      <x:c r="B122" s="4" t="str">
        <x:v>ORG-101</x:v>
      </x:c>
      <x:c r="C122" s="4" t="str">
        <x:v>Fictional enterprise 101</x:v>
      </x:c>
      <x:c r="D122" s="4" t="str">
        <x:v>{"partner_id":"ORG-101","partner_name":"Fictional enterprise 101","prior_delay_rate":0.45}</x:v>
      </x:c>
    </x:row>
    <x:row r="123" ht="34" customHeight="1">
      <x:c r="A123" s="4" t="str">
        <x:v>partners</x:v>
      </x:c>
      <x:c r="B123" s="4" t="str">
        <x:v>ORG-102</x:v>
      </x:c>
      <x:c r="C123" s="4" t="str">
        <x:v>Fictional enterprise 102</x:v>
      </x:c>
      <x:c r="D123" s="4" t="str">
        <x:v>{"partner_id":"ORG-102","partner_name":"Fictional enterprise 102","prior_delay_rate":0.63}</x:v>
      </x:c>
    </x:row>
    <x:row r="124" ht="34" customHeight="1">
      <x:c r="A124" s="4" t="str">
        <x:v>partners</x:v>
      </x:c>
      <x:c r="B124" s="4" t="str">
        <x:v>ORG-103</x:v>
      </x:c>
      <x:c r="C124" s="4" t="str">
        <x:v>Fictional enterprise 103</x:v>
      </x:c>
      <x:c r="D124" s="4" t="str">
        <x:v>{"partner_id":"ORG-103","partner_name":"Fictional enterprise 103","prior_delay_rate":0.38}</x:v>
      </x:c>
    </x:row>
    <x:row r="125" ht="34" customHeight="1">
      <x:c r="A125" s="4" t="str">
        <x:v>partners</x:v>
      </x:c>
      <x:c r="B125" s="4" t="str">
        <x:v>ORG-104</x:v>
      </x:c>
      <x:c r="C125" s="4" t="str">
        <x:v>Fictional enterprise 104</x:v>
      </x:c>
      <x:c r="D125" s="4" t="str">
        <x:v>{"partner_id":"ORG-104","partner_name":"Fictional enterprise 104","prior_delay_rate":0.6}</x:v>
      </x:c>
    </x:row>
    <x:row r="126" ht="34" customHeight="1">
      <x:c r="A126" s="4" t="str">
        <x:v>partners</x:v>
      </x:c>
      <x:c r="B126" s="4" t="str">
        <x:v>ORG-105</x:v>
      </x:c>
      <x:c r="C126" s="4" t="str">
        <x:v>Fictional enterprise 105</x:v>
      </x:c>
      <x:c r="D126" s="4" t="str">
        <x:v>{"partner_id":"ORG-105","partner_name":"Fictional enterprise 105","prior_delay_rate":0.64}</x:v>
      </x:c>
    </x:row>
    <x:row r="127" ht="34" customHeight="1">
      <x:c r="A127" s="4" t="str">
        <x:v>partners</x:v>
      </x:c>
      <x:c r="B127" s="4" t="str">
        <x:v>ORG-106</x:v>
      </x:c>
      <x:c r="C127" s="4" t="str">
        <x:v>Fictional enterprise 106</x:v>
      </x:c>
      <x:c r="D127" s="4" t="str">
        <x:v>{"partner_id":"ORG-106","partner_name":"Fictional enterprise 106","prior_delay_rate":0.36}</x:v>
      </x:c>
    </x:row>
    <x:row r="128" ht="34" customHeight="1">
      <x:c r="A128" s="4" t="str">
        <x:v>partners</x:v>
      </x:c>
      <x:c r="B128" s="4" t="str">
        <x:v>ORG-107</x:v>
      </x:c>
      <x:c r="C128" s="4" t="str">
        <x:v>Fictional enterprise 107</x:v>
      </x:c>
      <x:c r="D128" s="4" t="str">
        <x:v>{"partner_id":"ORG-107","partner_name":"Fictional enterprise 107","prior_delay_rate":0.58}</x:v>
      </x:c>
    </x:row>
    <x:row r="129" ht="34" customHeight="1">
      <x:c r="A129" s="4" t="str">
        <x:v>partners</x:v>
      </x:c>
      <x:c r="B129" s="4" t="str">
        <x:v>ORG-108</x:v>
      </x:c>
      <x:c r="C129" s="4" t="str">
        <x:v>Fictional enterprise 108</x:v>
      </x:c>
      <x:c r="D129" s="4" t="str">
        <x:v>{"partner_id":"ORG-108","partner_name":"Fictional enterprise 108","prior_delay_rate":0.55}</x:v>
      </x:c>
    </x:row>
    <x:row r="130" ht="34" customHeight="1">
      <x:c r="A130" s="4" t="str">
        <x:v>partners</x:v>
      </x:c>
      <x:c r="B130" s="4" t="str">
        <x:v>ORG-109</x:v>
      </x:c>
      <x:c r="C130" s="4" t="str">
        <x:v>Fictional enterprise 109</x:v>
      </x:c>
      <x:c r="D130" s="4" t="str">
        <x:v>{"partner_id":"ORG-109","partner_name":"Fictional enterprise 109","prior_delay_rate":0.25}</x:v>
      </x:c>
    </x:row>
    <x:row r="131" ht="34" customHeight="1">
      <x:c r="A131" s="4" t="str">
        <x:v>partners</x:v>
      </x:c>
      <x:c r="B131" s="4" t="str">
        <x:v>ORG-110</x:v>
      </x:c>
      <x:c r="C131" s="4" t="str">
        <x:v>Fictional enterprise 110</x:v>
      </x:c>
      <x:c r="D131" s="4" t="str">
        <x:v>{"partner_id":"ORG-110","partner_name":"Fictional enterprise 110","prior_delay_rate":0.29}</x:v>
      </x:c>
    </x:row>
    <x:row r="132" ht="34" customHeight="1">
      <x:c r="A132" s="4" t="str">
        <x:v>partners</x:v>
      </x:c>
      <x:c r="B132" s="4" t="str">
        <x:v>ORG-111</x:v>
      </x:c>
      <x:c r="C132" s="4" t="str">
        <x:v>Fictional enterprise 111</x:v>
      </x:c>
      <x:c r="D132" s="4" t="str">
        <x:v>{"partner_id":"ORG-111","partner_name":"Fictional enterprise 111","prior_delay_rate":0.06}</x:v>
      </x:c>
    </x:row>
    <x:row r="133" ht="34" customHeight="1">
      <x:c r="A133" s="4" t="str">
        <x:v>partners</x:v>
      </x:c>
      <x:c r="B133" s="4" t="str">
        <x:v>ORG-112</x:v>
      </x:c>
      <x:c r="C133" s="4" t="str">
        <x:v>Fictional enterprise 112</x:v>
      </x:c>
      <x:c r="D133" s="4" t="str">
        <x:v>{"partner_id":"ORG-112","partner_name":"Fictional enterprise 112","prior_delay_rate":0.01}</x:v>
      </x:c>
    </x:row>
    <x:row r="134" ht="34" customHeight="1">
      <x:c r="A134" s="4" t="str">
        <x:v>partners</x:v>
      </x:c>
      <x:c r="B134" s="4" t="str">
        <x:v>ORG-113</x:v>
      </x:c>
      <x:c r="C134" s="4" t="str">
        <x:v>Fictional enterprise 113</x:v>
      </x:c>
      <x:c r="D134" s="4" t="str">
        <x:v>{"partner_id":"ORG-113","partner_name":"Fictional enterprise 113","prior_delay_rate":0.45}</x:v>
      </x:c>
    </x:row>
    <x:row r="135" ht="34" customHeight="1">
      <x:c r="A135" s="4" t="str">
        <x:v>partners</x:v>
      </x:c>
      <x:c r="B135" s="4" t="str">
        <x:v>ORG-114</x:v>
      </x:c>
      <x:c r="C135" s="4" t="str">
        <x:v>Fictional enterprise 114</x:v>
      </x:c>
      <x:c r="D135" s="4" t="str">
        <x:v>{"partner_id":"ORG-114","partner_name":"Fictional enterprise 114","prior_delay_rate":0.54}</x:v>
      </x:c>
    </x:row>
    <x:row r="136" ht="34" customHeight="1">
      <x:c r="A136" s="4" t="str">
        <x:v>partners</x:v>
      </x:c>
      <x:c r="B136" s="4" t="str">
        <x:v>ORG-115</x:v>
      </x:c>
      <x:c r="C136" s="4" t="str">
        <x:v>Fictional enterprise 115</x:v>
      </x:c>
      <x:c r="D136" s="4" t="str">
        <x:v>{"partner_id":"ORG-115","partner_name":"Fictional enterprise 115","prior_delay_rate":0.64}</x:v>
      </x:c>
    </x:row>
    <x:row r="137" ht="34" customHeight="1">
      <x:c r="A137" s="4" t="str">
        <x:v>partners</x:v>
      </x:c>
      <x:c r="B137" s="4" t="str">
        <x:v>ORG-116</x:v>
      </x:c>
      <x:c r="C137" s="4" t="str">
        <x:v>Fictional enterprise 116</x:v>
      </x:c>
      <x:c r="D137" s="4" t="str">
        <x:v>{"partner_id":"ORG-116","partner_name":"Fictional enterprise 116","prior_delay_rate":0.43}</x:v>
      </x:c>
    </x:row>
    <x:row r="138" ht="34" customHeight="1">
      <x:c r="A138" s="4" t="str">
        <x:v>partners</x:v>
      </x:c>
      <x:c r="B138" s="4" t="str">
        <x:v>ORG-117</x:v>
      </x:c>
      <x:c r="C138" s="4" t="str">
        <x:v>Fictional enterprise 117</x:v>
      </x:c>
      <x:c r="D138" s="4" t="str">
        <x:v>{"partner_id":"ORG-117","partner_name":"Fictional enterprise 117","prior_delay_rate":0.06}</x:v>
      </x:c>
    </x:row>
    <x:row r="139" ht="34" customHeight="1">
      <x:c r="A139" s="4" t="str">
        <x:v>partners</x:v>
      </x:c>
      <x:c r="B139" s="4" t="str">
        <x:v>ORG-118</x:v>
      </x:c>
      <x:c r="C139" s="4" t="str">
        <x:v>Fictional enterprise 118</x:v>
      </x:c>
      <x:c r="D139" s="4" t="str">
        <x:v>{"partner_id":"ORG-118","partner_name":"Fictional enterprise 118","prior_delay_rate":0.38}</x:v>
      </x:c>
    </x:row>
    <x:row r="140" ht="34" customHeight="1">
      <x:c r="A140" s="4" t="str">
        <x:v>partners</x:v>
      </x:c>
      <x:c r="B140" s="4" t="str">
        <x:v>ORG-119</x:v>
      </x:c>
      <x:c r="C140" s="4" t="str">
        <x:v>Fictional enterprise 119</x:v>
      </x:c>
      <x:c r="D140" s="4" t="str">
        <x:v>{"partner_id":"ORG-119","partner_name":"Fictional enterprise 119","prior_delay_rate":0.04}</x:v>
      </x:c>
    </x:row>
    <x:row r="141" ht="34" customHeight="1">
      <x:c r="A141" s="4" t="str">
        <x:v>partners</x:v>
      </x:c>
      <x:c r="B141" s="4" t="str">
        <x:v>ORG-120</x:v>
      </x:c>
      <x:c r="C141" s="4" t="str">
        <x:v>Fictional enterprise 120</x:v>
      </x:c>
      <x:c r="D141" s="4" t="str">
        <x:v>{"partner_id":"ORG-120","partner_name":"Fictional enterprise 120","prior_delay_rate":0.3}</x:v>
      </x:c>
    </x:row>
    <x:row r="142" ht="34" customHeight="1">
      <x:c r="A142" s="4" t="str">
        <x:v>partners</x:v>
      </x:c>
      <x:c r="B142" s="4" t="str">
        <x:v>ORG-121</x:v>
      </x:c>
      <x:c r="C142" s="4" t="str">
        <x:v>Fictional enterprise 121</x:v>
      </x:c>
      <x:c r="D142" s="4" t="str">
        <x:v>{"partner_id":"ORG-121","partner_name":"Fictional enterprise 121","prior_delay_rate":0.34}</x:v>
      </x:c>
    </x:row>
    <x:row r="143" ht="34" customHeight="1">
      <x:c r="A143" s="4" t="str">
        <x:v>partners</x:v>
      </x:c>
      <x:c r="B143" s="4" t="str">
        <x:v>ORG-122</x:v>
      </x:c>
      <x:c r="C143" s="4" t="str">
        <x:v>Fictional enterprise 122</x:v>
      </x:c>
      <x:c r="D143" s="4" t="str">
        <x:v>{"partner_id":"ORG-122","partner_name":"Fictional enterprise 122","prior_delay_rate":0.63}</x:v>
      </x:c>
    </x:row>
    <x:row r="144" ht="34" customHeight="1">
      <x:c r="A144" s="4" t="str">
        <x:v>partners</x:v>
      </x:c>
      <x:c r="B144" s="4" t="str">
        <x:v>ORG-123</x:v>
      </x:c>
      <x:c r="C144" s="4" t="str">
        <x:v>Fictional enterprise 123</x:v>
      </x:c>
      <x:c r="D144" s="4" t="str">
        <x:v>{"partner_id":"ORG-123","partner_name":"Fictional enterprise 123","prior_delay_rate":0.05}</x:v>
      </x:c>
    </x:row>
    <x:row r="145" ht="34" customHeight="1">
      <x:c r="A145" s="4" t="str">
        <x:v>partners</x:v>
      </x:c>
      <x:c r="B145" s="4" t="str">
        <x:v>ORG-124</x:v>
      </x:c>
      <x:c r="C145" s="4" t="str">
        <x:v>Fictional enterprise 124</x:v>
      </x:c>
      <x:c r="D145" s="4" t="str">
        <x:v>{"partner_id":"ORG-124","partner_name":"Fictional enterprise 124","prior_delay_rate":0.56}</x:v>
      </x:c>
    </x:row>
    <x:row r="146" ht="34" customHeight="1">
      <x:c r="A146" s="4" t="str">
        <x:v>partners</x:v>
      </x:c>
      <x:c r="B146" s="4" t="str">
        <x:v>ORG-125</x:v>
      </x:c>
      <x:c r="C146" s="4" t="str">
        <x:v>Fictional enterprise 125</x:v>
      </x:c>
      <x:c r="D146" s="4" t="str">
        <x:v>{"partner_id":"ORG-125","partner_name":"Fictional enterprise 125","prior_delay_rate":0.59}</x:v>
      </x:c>
    </x:row>
    <x:row r="147" ht="34" customHeight="1">
      <x:c r="A147" s="4" t="str">
        <x:v>partners</x:v>
      </x:c>
      <x:c r="B147" s="4" t="str">
        <x:v>ORG-126</x:v>
      </x:c>
      <x:c r="C147" s="4" t="str">
        <x:v>Fictional enterprise 126</x:v>
      </x:c>
      <x:c r="D147" s="4" t="str">
        <x:v>{"partner_id":"ORG-126","partner_name":"Fictional enterprise 126","prior_delay_rate":0.23}</x:v>
      </x:c>
    </x:row>
    <x:row r="148" ht="34" customHeight="1">
      <x:c r="A148" s="4" t="str">
        <x:v>partners</x:v>
      </x:c>
      <x:c r="B148" s="4" t="str">
        <x:v>ORG-127</x:v>
      </x:c>
      <x:c r="C148" s="4" t="str">
        <x:v>Fictional enterprise 127</x:v>
      </x:c>
      <x:c r="D148" s="4" t="str">
        <x:v>{"partner_id":"ORG-127","partner_name":"Fictional enterprise 127","prior_delay_rate":0.44}</x:v>
      </x:c>
    </x:row>
    <x:row r="149" ht="34" customHeight="1">
      <x:c r="A149" s="4" t="str">
        <x:v>partners</x:v>
      </x:c>
      <x:c r="B149" s="4" t="str">
        <x:v>ORG-128</x:v>
      </x:c>
      <x:c r="C149" s="4" t="str">
        <x:v>Fictional enterprise 128</x:v>
      </x:c>
      <x:c r="D149" s="4" t="str">
        <x:v>{"partner_id":"ORG-128","partner_name":"Fictional enterprise 128","prior_delay_rate":0.46}</x:v>
      </x:c>
    </x:row>
    <x:row r="150" ht="34" customHeight="1">
      <x:c r="A150" s="4" t="str">
        <x:v>partners</x:v>
      </x:c>
      <x:c r="B150" s="4" t="str">
        <x:v>ORG-129</x:v>
      </x:c>
      <x:c r="C150" s="4" t="str">
        <x:v>Fictional enterprise 129</x:v>
      </x:c>
      <x:c r="D150" s="4" t="str">
        <x:v>{"partner_id":"ORG-129","partner_name":"Fictional enterprise 129","prior_delay_rate":0.36}</x:v>
      </x:c>
    </x:row>
    <x:row r="151" ht="34" customHeight="1">
      <x:c r="A151" s="4" t="str">
        <x:v>partners</x:v>
      </x:c>
      <x:c r="B151" s="4" t="str">
        <x:v>ORG-130</x:v>
      </x:c>
      <x:c r="C151" s="4" t="str">
        <x:v>Fictional enterprise 130</x:v>
      </x:c>
      <x:c r="D151" s="4" t="str">
        <x:v>{"partner_id":"ORG-130","partner_name":"Fictional enterprise 130","prior_delay_rate":0.61}</x:v>
      </x:c>
    </x:row>
    <x:row r="152" ht="34" customHeight="1">
      <x:c r="A152" s="4" t="str">
        <x:v>partners</x:v>
      </x:c>
      <x:c r="B152" s="4" t="str">
        <x:v>ORG-131</x:v>
      </x:c>
      <x:c r="C152" s="4" t="str">
        <x:v>Fictional enterprise 131</x:v>
      </x:c>
      <x:c r="D152" s="4" t="str">
        <x:v>{"partner_id":"ORG-131","partner_name":"Fictional enterprise 131","prior_delay_rate":0.55}</x:v>
      </x:c>
    </x:row>
    <x:row r="153" ht="34" customHeight="1">
      <x:c r="A153" s="4" t="str">
        <x:v>partners</x:v>
      </x:c>
      <x:c r="B153" s="4" t="str">
        <x:v>ORG-132</x:v>
      </x:c>
      <x:c r="C153" s="4" t="str">
        <x:v>Fictional enterprise 132</x:v>
      </x:c>
      <x:c r="D153" s="4" t="str">
        <x:v>{"partner_id":"ORG-132","partner_name":"Fictional enterprise 132","prior_delay_rate":0.4}</x:v>
      </x:c>
    </x:row>
    <x:row r="154" ht="34" customHeight="1">
      <x:c r="A154" s="4" t="str">
        <x:v>partners</x:v>
      </x:c>
      <x:c r="B154" s="4" t="str">
        <x:v>ORG-133</x:v>
      </x:c>
      <x:c r="C154" s="4" t="str">
        <x:v>Fictional enterprise 133</x:v>
      </x:c>
      <x:c r="D154" s="4" t="str">
        <x:v>{"partner_id":"ORG-133","partner_name":"Fictional enterprise 133","prior_delay_rate":0.44}</x:v>
      </x:c>
    </x:row>
    <x:row r="155" ht="34" customHeight="1">
      <x:c r="A155" s="4" t="str">
        <x:v>partners</x:v>
      </x:c>
      <x:c r="B155" s="4" t="str">
        <x:v>ORG-134</x:v>
      </x:c>
      <x:c r="C155" s="4" t="str">
        <x:v>Fictional enterprise 134</x:v>
      </x:c>
      <x:c r="D155" s="4" t="str">
        <x:v>{"partner_id":"ORG-134","partner_name":"Fictional enterprise 134","prior_delay_rate":0.53}</x:v>
      </x:c>
    </x:row>
    <x:row r="156" ht="34" customHeight="1">
      <x:c r="A156" s="4" t="str">
        <x:v>partners</x:v>
      </x:c>
      <x:c r="B156" s="4" t="str">
        <x:v>ORG-135</x:v>
      </x:c>
      <x:c r="C156" s="4" t="str">
        <x:v>Fictional enterprise 135</x:v>
      </x:c>
      <x:c r="D156" s="4" t="str">
        <x:v>{"partner_id":"ORG-135","partner_name":"Fictional enterprise 135","prior_delay_rate":0.46}</x:v>
      </x:c>
    </x:row>
    <x:row r="157" ht="34" customHeight="1">
      <x:c r="A157" s="4" t="str">
        <x:v>partners</x:v>
      </x:c>
      <x:c r="B157" s="4" t="str">
        <x:v>ORG-136</x:v>
      </x:c>
      <x:c r="C157" s="4" t="str">
        <x:v>Fictional enterprise 136</x:v>
      </x:c>
      <x:c r="D157" s="4" t="str">
        <x:v>{"partner_id":"ORG-136","partner_name":"Fictional enterprise 136","prior_delay_rate":0.64}</x:v>
      </x:c>
    </x:row>
    <x:row r="158" ht="34" customHeight="1">
      <x:c r="A158" s="4" t="str">
        <x:v>partners</x:v>
      </x:c>
      <x:c r="B158" s="4" t="str">
        <x:v>ORG-137</x:v>
      </x:c>
      <x:c r="C158" s="4" t="str">
        <x:v>Fictional enterprise 137</x:v>
      </x:c>
      <x:c r="D158" s="4" t="str">
        <x:v>{"partner_id":"ORG-137","partner_name":"Fictional enterprise 137","prior_delay_rate":0.44}</x:v>
      </x:c>
    </x:row>
    <x:row r="159" ht="34" customHeight="1">
      <x:c r="A159" s="4" t="str">
        <x:v>partners</x:v>
      </x:c>
      <x:c r="B159" s="4" t="str">
        <x:v>ORG-138</x:v>
      </x:c>
      <x:c r="C159" s="4" t="str">
        <x:v>Fictional enterprise 138</x:v>
      </x:c>
      <x:c r="D159" s="4" t="str">
        <x:v>{"partner_id":"ORG-138","partner_name":"Fictional enterprise 138","prior_delay_rate":0.18}</x:v>
      </x:c>
    </x:row>
    <x:row r="160" ht="34" customHeight="1">
      <x:c r="A160" s="4" t="str">
        <x:v>partners</x:v>
      </x:c>
      <x:c r="B160" s="4" t="str">
        <x:v>ORG-139</x:v>
      </x:c>
      <x:c r="C160" s="4" t="str">
        <x:v>Fictional enterprise 139</x:v>
      </x:c>
      <x:c r="D160" s="4" t="str">
        <x:v>{"partner_id":"ORG-139","partner_name":"Fictional enterprise 139","prior_delay_rate":0.12}</x:v>
      </x:c>
    </x:row>
    <x:row r="161" ht="34" customHeight="1">
      <x:c r="A161" s="4" t="str">
        <x:v>partners</x:v>
      </x:c>
      <x:c r="B161" s="4" t="str">
        <x:v>ORG-140</x:v>
      </x:c>
      <x:c r="C161" s="4" t="str">
        <x:v>Fictional enterprise 140</x:v>
      </x:c>
      <x:c r="D161" s="4" t="str">
        <x:v>{"partner_id":"ORG-140","partner_name":"Fictional enterprise 140","prior_delay_rate":0.36}</x:v>
      </x:c>
    </x:row>
    <x:row r="162" ht="34" customHeight="1">
      <x:c r="A162" s="4" t="str">
        <x:v>partners</x:v>
      </x:c>
      <x:c r="B162" s="4" t="str">
        <x:v>ORG-141</x:v>
      </x:c>
      <x:c r="C162" s="4" t="str">
        <x:v>Fictional enterprise 141</x:v>
      </x:c>
      <x:c r="D162" s="4" t="str">
        <x:v>{"partner_id":"ORG-141","partner_name":"Fictional enterprise 141","prior_delay_rate":0.46}</x:v>
      </x:c>
    </x:row>
    <x:row r="163" ht="34" customHeight="1">
      <x:c r="A163" s="4" t="str">
        <x:v>partners</x:v>
      </x:c>
      <x:c r="B163" s="4" t="str">
        <x:v>ORG-142</x:v>
      </x:c>
      <x:c r="C163" s="4" t="str">
        <x:v>Fictional enterprise 142</x:v>
      </x:c>
      <x:c r="D163" s="4" t="str">
        <x:v>{"partner_id":"ORG-142","partner_name":"Fictional enterprise 142","prior_delay_rate":0.41}</x:v>
      </x:c>
    </x:row>
    <x:row r="164" ht="34" customHeight="1">
      <x:c r="A164" s="4" t="str">
        <x:v>partners</x:v>
      </x:c>
      <x:c r="B164" s="4" t="str">
        <x:v>ORG-143</x:v>
      </x:c>
      <x:c r="C164" s="4" t="str">
        <x:v>Fictional enterprise 143</x:v>
      </x:c>
      <x:c r="D164" s="4" t="str">
        <x:v>{"partner_id":"ORG-143","partner_name":"Fictional enterprise 143","prior_delay_rate":0.29}</x:v>
      </x:c>
    </x:row>
    <x:row r="165" ht="34" customHeight="1">
      <x:c r="A165" s="4" t="str">
        <x:v>partners</x:v>
      </x:c>
      <x:c r="B165" s="4" t="str">
        <x:v>ORG-144</x:v>
      </x:c>
      <x:c r="C165" s="4" t="str">
        <x:v>Fictional enterprise 144</x:v>
      </x:c>
      <x:c r="D165" s="4" t="str">
        <x:v>{"partner_id":"ORG-144","partner_name":"Fictional enterprise 144","prior_delay_rate":0.54}</x:v>
      </x:c>
    </x:row>
    <x:row r="166" ht="34" customHeight="1">
      <x:c r="A166" s="4" t="str">
        <x:v>partners</x:v>
      </x:c>
      <x:c r="B166" s="4" t="str">
        <x:v>ORG-145</x:v>
      </x:c>
      <x:c r="C166" s="4" t="str">
        <x:v>Fictional enterprise 145</x:v>
      </x:c>
      <x:c r="D166" s="4" t="str">
        <x:v>{"partner_id":"ORG-145","partner_name":"Fictional enterprise 145","prior_delay_rate":0.46}</x:v>
      </x:c>
    </x:row>
    <x:row r="167" ht="34" customHeight="1">
      <x:c r="A167" s="4" t="str">
        <x:v>partners</x:v>
      </x:c>
      <x:c r="B167" s="4" t="str">
        <x:v>ORG-146</x:v>
      </x:c>
      <x:c r="C167" s="4" t="str">
        <x:v>Fictional enterprise 146</x:v>
      </x:c>
      <x:c r="D167" s="4" t="str">
        <x:v>{"partner_id":"ORG-146","partner_name":"Fictional enterprise 146","prior_delay_rate":0.55}</x:v>
      </x:c>
    </x:row>
    <x:row r="168" ht="34" customHeight="1">
      <x:c r="A168" s="4" t="str">
        <x:v>partners</x:v>
      </x:c>
      <x:c r="B168" s="4" t="str">
        <x:v>ORG-147</x:v>
      </x:c>
      <x:c r="C168" s="4" t="str">
        <x:v>Fictional enterprise 147</x:v>
      </x:c>
      <x:c r="D168" s="4" t="str">
        <x:v>{"partner_id":"ORG-147","partner_name":"Fictional enterprise 147","prior_delay_rate":0.63}</x:v>
      </x:c>
    </x:row>
    <x:row r="169" ht="34" customHeight="1">
      <x:c r="A169" s="4" t="str">
        <x:v>partners</x:v>
      </x:c>
      <x:c r="B169" s="4" t="str">
        <x:v>ORG-148</x:v>
      </x:c>
      <x:c r="C169" s="4" t="str">
        <x:v>Fictional enterprise 148</x:v>
      </x:c>
      <x:c r="D169" s="4" t="str">
        <x:v>{"partner_id":"ORG-148","partner_name":"Fictional enterprise 148","prior_delay_rate":0.56}</x:v>
      </x:c>
    </x:row>
    <x:row r="170" ht="34" customHeight="1">
      <x:c r="A170" s="4" t="str">
        <x:v>partners</x:v>
      </x:c>
      <x:c r="B170" s="4" t="str">
        <x:v>ORG-149</x:v>
      </x:c>
      <x:c r="C170" s="4" t="str">
        <x:v>Fictional enterprise 149</x:v>
      </x:c>
      <x:c r="D170" s="4" t="str">
        <x:v>{"partner_id":"ORG-149","partner_name":"Fictional enterprise 149","prior_delay_rate":0.53}</x:v>
      </x:c>
    </x:row>
    <x:row r="171" ht="34" customHeight="1">
      <x:c r="A171" s="4" t="str">
        <x:v>partners</x:v>
      </x:c>
      <x:c r="B171" s="4" t="str">
        <x:v>ORG-150</x:v>
      </x:c>
      <x:c r="C171" s="4" t="str">
        <x:v>Fictional enterprise 150</x:v>
      </x:c>
      <x:c r="D171" s="4" t="str">
        <x:v>{"partner_id":"ORG-150","partner_name":"Fictional enterprise 150","prior_delay_rate":0.37}</x:v>
      </x:c>
    </x:row>
    <x:row r="172" ht="34" customHeight="1">
      <x:c r="A172" s="4" t="str">
        <x:v>partners</x:v>
      </x:c>
      <x:c r="B172" s="4" t="str">
        <x:v>ORG-151</x:v>
      </x:c>
      <x:c r="C172" s="4" t="str">
        <x:v>Fictional enterprise 151</x:v>
      </x:c>
      <x:c r="D172" s="4" t="str">
        <x:v>{"partner_id":"ORG-151","partner_name":"Fictional enterprise 151","prior_delay_rate":0.54}</x:v>
      </x:c>
    </x:row>
    <x:row r="173" ht="34" customHeight="1">
      <x:c r="A173" s="4" t="str">
        <x:v>partners</x:v>
      </x:c>
      <x:c r="B173" s="4" t="str">
        <x:v>ORG-152</x:v>
      </x:c>
      <x:c r="C173" s="4" t="str">
        <x:v>Fictional enterprise 152</x:v>
      </x:c>
      <x:c r="D173" s="4" t="str">
        <x:v>{"partner_id":"ORG-152","partner_name":"Fictional enterprise 152","prior_delay_rate":0.13}</x:v>
      </x:c>
    </x:row>
    <x:row r="174" ht="34" customHeight="1">
      <x:c r="A174" s="4" t="str">
        <x:v>partners</x:v>
      </x:c>
      <x:c r="B174" s="4" t="str">
        <x:v>ORG-153</x:v>
      </x:c>
      <x:c r="C174" s="4" t="str">
        <x:v>Fictional enterprise 153</x:v>
      </x:c>
      <x:c r="D174" s="4" t="str">
        <x:v>{"partner_id":"ORG-153","partner_name":"Fictional enterprise 153","prior_delay_rate":0.58}</x:v>
      </x:c>
    </x:row>
    <x:row r="175" ht="34" customHeight="1">
      <x:c r="A175" s="4" t="str">
        <x:v>partners</x:v>
      </x:c>
      <x:c r="B175" s="4" t="str">
        <x:v>ORG-154</x:v>
      </x:c>
      <x:c r="C175" s="4" t="str">
        <x:v>Fictional enterprise 154</x:v>
      </x:c>
      <x:c r="D175" s="4" t="str">
        <x:v>{"partner_id":"ORG-154","partner_name":"Fictional enterprise 154","prior_delay_rate":0.45}</x:v>
      </x:c>
    </x:row>
    <x:row r="176" ht="34" customHeight="1">
      <x:c r="A176" s="4" t="str">
        <x:v>partners</x:v>
      </x:c>
      <x:c r="B176" s="4" t="str">
        <x:v>ORG-155</x:v>
      </x:c>
      <x:c r="C176" s="4" t="str">
        <x:v>Fictional enterprise 155</x:v>
      </x:c>
      <x:c r="D176" s="4" t="str">
        <x:v>{"partner_id":"ORG-155","partner_name":"Fictional enterprise 155","prior_delay_rate":0.41}</x:v>
      </x:c>
    </x:row>
    <x:row r="177" ht="34" customHeight="1">
      <x:c r="A177" s="4" t="str">
        <x:v>partners</x:v>
      </x:c>
      <x:c r="B177" s="4" t="str">
        <x:v>ORG-156</x:v>
      </x:c>
      <x:c r="C177" s="4" t="str">
        <x:v>Fictional enterprise 156</x:v>
      </x:c>
      <x:c r="D177" s="4" t="str">
        <x:v>{"partner_id":"ORG-156","partner_name":"Fictional enterprise 156","prior_delay_rate":0.61}</x:v>
      </x:c>
    </x:row>
    <x:row r="178" ht="34" customHeight="1">
      <x:c r="A178" s="4" t="str">
        <x:v>partners</x:v>
      </x:c>
      <x:c r="B178" s="4" t="str">
        <x:v>ORG-157</x:v>
      </x:c>
      <x:c r="C178" s="4" t="str">
        <x:v>Fictional enterprise 157</x:v>
      </x:c>
      <x:c r="D178" s="4" t="str">
        <x:v>{"partner_id":"ORG-157","partner_name":"Fictional enterprise 157","prior_delay_rate":0.44}</x:v>
      </x:c>
    </x:row>
    <x:row r="179" ht="34" customHeight="1">
      <x:c r="A179" s="4" t="str">
        <x:v>partners</x:v>
      </x:c>
      <x:c r="B179" s="4" t="str">
        <x:v>ORG-158</x:v>
      </x:c>
      <x:c r="C179" s="4" t="str">
        <x:v>Fictional enterprise 158</x:v>
      </x:c>
      <x:c r="D179" s="4" t="str">
        <x:v>{"partner_id":"ORG-158","partner_name":"Fictional enterprise 158","prior_delay_rate":0.08}</x:v>
      </x:c>
    </x:row>
    <x:row r="180" ht="34" customHeight="1">
      <x:c r="A180" s="4" t="str">
        <x:v>partners</x:v>
      </x:c>
      <x:c r="B180" s="4" t="str">
        <x:v>ORG-159</x:v>
      </x:c>
      <x:c r="C180" s="4" t="str">
        <x:v>Fictional enterprise 159</x:v>
      </x:c>
      <x:c r="D180" s="4" t="str">
        <x:v>{"partner_id":"ORG-159","partner_name":"Fictional enterprise 159","prior_delay_rate":0.01}</x:v>
      </x:c>
    </x:row>
    <x:row r="181" ht="34" customHeight="1">
      <x:c r="A181" s="4" t="str">
        <x:v>partners</x:v>
      </x:c>
      <x:c r="B181" s="4" t="str">
        <x:v>ORG-160</x:v>
      </x:c>
      <x:c r="C181" s="4" t="str">
        <x:v>Fictional enterprise 160</x:v>
      </x:c>
      <x:c r="D181" s="4" t="str">
        <x:v>{"partner_id":"ORG-160","partner_name":"Fictional enterprise 160","prior_delay_rate":0.12}</x:v>
      </x:c>
    </x:row>
    <x:row r="182" ht="34" customHeight="1">
      <x:c r="A182" s="4" t="str">
        <x:v>partners</x:v>
      </x:c>
      <x:c r="B182" s="4" t="str">
        <x:v>ORG-161</x:v>
      </x:c>
      <x:c r="C182" s="4" t="str">
        <x:v>Fictional enterprise 161</x:v>
      </x:c>
      <x:c r="D182" s="4" t="str">
        <x:v>{"partner_id":"ORG-161","partner_name":"Fictional enterprise 161","prior_delay_rate":0.41}</x:v>
      </x:c>
    </x:row>
    <x:row r="183" ht="34" customHeight="1">
      <x:c r="A183" s="4" t="str">
        <x:v>partners</x:v>
      </x:c>
      <x:c r="B183" s="4" t="str">
        <x:v>ORG-162</x:v>
      </x:c>
      <x:c r="C183" s="4" t="str">
        <x:v>Fictional enterprise 162</x:v>
      </x:c>
      <x:c r="D183" s="4" t="str">
        <x:v>{"partner_id":"ORG-162","partner_name":"Fictional enterprise 162","prior_delay_rate":0.55}</x:v>
      </x:c>
    </x:row>
    <x:row r="184" ht="34" customHeight="1">
      <x:c r="A184" s="4" t="str">
        <x:v>partners</x:v>
      </x:c>
      <x:c r="B184" s="4" t="str">
        <x:v>ORG-163</x:v>
      </x:c>
      <x:c r="C184" s="4" t="str">
        <x:v>Fictional enterprise 163</x:v>
      </x:c>
      <x:c r="D184" s="4" t="str">
        <x:v>{"partner_id":"ORG-163","partner_name":"Fictional enterprise 163","prior_delay_rate":0.4}</x:v>
      </x:c>
    </x:row>
    <x:row r="185" ht="34" customHeight="1">
      <x:c r="A185" s="4" t="str">
        <x:v>partners</x:v>
      </x:c>
      <x:c r="B185" s="4" t="str">
        <x:v>ORG-164</x:v>
      </x:c>
      <x:c r="C185" s="4" t="str">
        <x:v>Fictional enterprise 164</x:v>
      </x:c>
      <x:c r="D185" s="4" t="str">
        <x:v>{"partner_id":"ORG-164","partner_name":"Fictional enterprise 164","prior_delay_rate":0.36}</x:v>
      </x:c>
    </x:row>
    <x:row r="186" ht="34" customHeight="1">
      <x:c r="A186" s="4" t="str">
        <x:v>partners</x:v>
      </x:c>
      <x:c r="B186" s="4" t="str">
        <x:v>ORG-165</x:v>
      </x:c>
      <x:c r="C186" s="4" t="str">
        <x:v>Fictional enterprise 165</x:v>
      </x:c>
      <x:c r="D186" s="4" t="str">
        <x:v>{"partner_id":"ORG-165","partner_name":"Fictional enterprise 165","prior_delay_rate":0.35}</x:v>
      </x:c>
    </x:row>
    <x:row r="187" ht="34" customHeight="1">
      <x:c r="A187" s="4" t="str">
        <x:v>partners</x:v>
      </x:c>
      <x:c r="B187" s="4" t="str">
        <x:v>ORG-166</x:v>
      </x:c>
      <x:c r="C187" s="4" t="str">
        <x:v>Fictional enterprise 166</x:v>
      </x:c>
      <x:c r="D187" s="4" t="str">
        <x:v>{"partner_id":"ORG-166","partner_name":"Fictional enterprise 166","prior_delay_rate":0.07}</x:v>
      </x:c>
    </x:row>
    <x:row r="188" ht="34" customHeight="1">
      <x:c r="A188" s="4" t="str">
        <x:v>partners</x:v>
      </x:c>
      <x:c r="B188" s="4" t="str">
        <x:v>ORG-167</x:v>
      </x:c>
      <x:c r="C188" s="4" t="str">
        <x:v>Fictional enterprise 167</x:v>
      </x:c>
      <x:c r="D188" s="4" t="str">
        <x:v>{"partner_id":"ORG-167","partner_name":"Fictional enterprise 167","prior_delay_rate":0.06}</x:v>
      </x:c>
    </x:row>
    <x:row r="189" ht="34" customHeight="1">
      <x:c r="A189" s="4" t="str">
        <x:v>partners</x:v>
      </x:c>
      <x:c r="B189" s="4" t="str">
        <x:v>ORG-168</x:v>
      </x:c>
      <x:c r="C189" s="4" t="str">
        <x:v>Fictional enterprise 168</x:v>
      </x:c>
      <x:c r="D189" s="4" t="str">
        <x:v>{"partner_id":"ORG-168","partner_name":"Fictional enterprise 168","prior_delay_rate":0.13}</x:v>
      </x:c>
    </x:row>
    <x:row r="190" ht="34" customHeight="1">
      <x:c r="A190" s="4" t="str">
        <x:v>partners</x:v>
      </x:c>
      <x:c r="B190" s="4" t="str">
        <x:v>ORG-169</x:v>
      </x:c>
      <x:c r="C190" s="4" t="str">
        <x:v>Fictional enterprise 169</x:v>
      </x:c>
      <x:c r="D190" s="4" t="str">
        <x:v>{"partner_id":"ORG-169","partner_name":"Fictional enterprise 169","prior_delay_rate":0.36}</x:v>
      </x:c>
    </x:row>
    <x:row r="191" ht="34" customHeight="1">
      <x:c r="A191" s="4" t="str">
        <x:v>partners</x:v>
      </x:c>
      <x:c r="B191" s="4" t="str">
        <x:v>ORG-170</x:v>
      </x:c>
      <x:c r="C191" s="4" t="str">
        <x:v>Fictional enterprise 170</x:v>
      </x:c>
      <x:c r="D191" s="4" t="str">
        <x:v>{"partner_id":"ORG-170","partner_name":"Fictional enterprise 170","prior_delay_rate":0.23}</x:v>
      </x:c>
    </x:row>
    <x:row r="192" ht="34" customHeight="1">
      <x:c r="A192" s="4" t="str">
        <x:v>partners</x:v>
      </x:c>
      <x:c r="B192" s="4" t="str">
        <x:v>ORG-171</x:v>
      </x:c>
      <x:c r="C192" s="4" t="str">
        <x:v>Fictional enterprise 171</x:v>
      </x:c>
      <x:c r="D192" s="4" t="str">
        <x:v>{"partner_id":"ORG-171","partner_name":"Fictional enterprise 171","prior_delay_rate":0.34}</x:v>
      </x:c>
    </x:row>
    <x:row r="193" ht="34" customHeight="1">
      <x:c r="A193" s="4" t="str">
        <x:v>partners</x:v>
      </x:c>
      <x:c r="B193" s="4" t="str">
        <x:v>ORG-172</x:v>
      </x:c>
      <x:c r="C193" s="4" t="str">
        <x:v>Fictional enterprise 172</x:v>
      </x:c>
      <x:c r="D193" s="4" t="str">
        <x:v>{"partner_id":"ORG-172","partner_name":"Fictional enterprise 172","prior_delay_rate":0.43}</x:v>
      </x:c>
    </x:row>
    <x:row r="194" ht="34" customHeight="1">
      <x:c r="A194" s="4" t="str">
        <x:v>partners</x:v>
      </x:c>
      <x:c r="B194" s="4" t="str">
        <x:v>ORG-173</x:v>
      </x:c>
      <x:c r="C194" s="4" t="str">
        <x:v>Fictional enterprise 173</x:v>
      </x:c>
      <x:c r="D194" s="4" t="str">
        <x:v>{"partner_id":"ORG-173","partner_name":"Fictional enterprise 173","prior_delay_rate":0.06}</x:v>
      </x:c>
    </x:row>
    <x:row r="195" ht="34" customHeight="1">
      <x:c r="A195" s="4" t="str">
        <x:v>partners</x:v>
      </x:c>
      <x:c r="B195" s="4" t="str">
        <x:v>ORG-174</x:v>
      </x:c>
      <x:c r="C195" s="4" t="str">
        <x:v>Fictional enterprise 174</x:v>
      </x:c>
      <x:c r="D195" s="4" t="str">
        <x:v>{"partner_id":"ORG-174","partner_name":"Fictional enterprise 174","prior_delay_rate":0.31}</x:v>
      </x:c>
    </x:row>
    <x:row r="196" ht="34" customHeight="1">
      <x:c r="A196" s="4" t="str">
        <x:v>partners</x:v>
      </x:c>
      <x:c r="B196" s="4" t="str">
        <x:v>ORG-175</x:v>
      </x:c>
      <x:c r="C196" s="4" t="str">
        <x:v>Fictional enterprise 175</x:v>
      </x:c>
      <x:c r="D196" s="4" t="str">
        <x:v>{"partner_id":"ORG-175","partner_name":"Fictional enterprise 175","prior_delay_rate":0.2}</x:v>
      </x:c>
    </x:row>
    <x:row r="197" ht="34" customHeight="1">
      <x:c r="A197" s="4" t="str">
        <x:v>partners</x:v>
      </x:c>
      <x:c r="B197" s="4" t="str">
        <x:v>ORG-176</x:v>
      </x:c>
      <x:c r="C197" s="4" t="str">
        <x:v>Fictional enterprise 176</x:v>
      </x:c>
      <x:c r="D197" s="4" t="str">
        <x:v>{"partner_id":"ORG-176","partner_name":"Fictional enterprise 176","prior_delay_rate":0.49}</x:v>
      </x:c>
    </x:row>
    <x:row r="198" ht="34" customHeight="1">
      <x:c r="A198" s="4" t="str">
        <x:v>partners</x:v>
      </x:c>
      <x:c r="B198" s="4" t="str">
        <x:v>ORG-177</x:v>
      </x:c>
      <x:c r="C198" s="4" t="str">
        <x:v>Fictional enterprise 177</x:v>
      </x:c>
      <x:c r="D198" s="4" t="str">
        <x:v>{"partner_id":"ORG-177","partner_name":"Fictional enterprise 177","prior_delay_rate":0.57}</x:v>
      </x:c>
    </x:row>
    <x:row r="199" ht="34" customHeight="1">
      <x:c r="A199" s="4" t="str">
        <x:v>partners</x:v>
      </x:c>
      <x:c r="B199" s="4" t="str">
        <x:v>ORG-178</x:v>
      </x:c>
      <x:c r="C199" s="4" t="str">
        <x:v>Fictional enterprise 178</x:v>
      </x:c>
      <x:c r="D199" s="4" t="str">
        <x:v>{"partner_id":"ORG-178","partner_name":"Fictional enterprise 178","prior_delay_rate":0.14}</x:v>
      </x:c>
    </x:row>
    <x:row r="200" ht="34" customHeight="1">
      <x:c r="A200" s="4" t="str">
        <x:v>partners</x:v>
      </x:c>
      <x:c r="B200" s="4" t="str">
        <x:v>ORG-179</x:v>
      </x:c>
      <x:c r="C200" s="4" t="str">
        <x:v>Fictional enterprise 179</x:v>
      </x:c>
      <x:c r="D200" s="4" t="str">
        <x:v>{"partner_id":"ORG-179","partner_name":"Fictional enterprise 179","prior_delay_rate":0.12}</x:v>
      </x:c>
    </x:row>
    <x:row r="201" ht="34" customHeight="1">
      <x:c r="A201" s="4" t="str">
        <x:v>partners</x:v>
      </x:c>
      <x:c r="B201" s="4" t="str">
        <x:v>ORG-180</x:v>
      </x:c>
      <x:c r="C201" s="4" t="str">
        <x:v>Fictional enterprise 180</x:v>
      </x:c>
      <x:c r="D201" s="4" t="str">
        <x:v>{"partner_id":"ORG-180","partner_name":"Fictional enterprise 180","prior_delay_rate":0.46}</x:v>
      </x:c>
    </x:row>
    <x:row r="202" ht="34" customHeight="1">
      <x:c r="A202" s="4" t="str">
        <x:v>partners</x:v>
      </x:c>
      <x:c r="B202" s="4" t="str">
        <x:v>ORG-181</x:v>
      </x:c>
      <x:c r="C202" s="4" t="str">
        <x:v>Fictional enterprise 181</x:v>
      </x:c>
      <x:c r="D202" s="4" t="str">
        <x:v>{"partner_id":"ORG-181","partner_name":"Fictional enterprise 181","prior_delay_rate":0.57}</x:v>
      </x:c>
    </x:row>
    <x:row r="203" ht="34" customHeight="1">
      <x:c r="A203" s="4" t="str">
        <x:v>partners</x:v>
      </x:c>
      <x:c r="B203" s="4" t="str">
        <x:v>ORG-182</x:v>
      </x:c>
      <x:c r="C203" s="4" t="str">
        <x:v>Fictional enterprise 182</x:v>
      </x:c>
      <x:c r="D203" s="4" t="str">
        <x:v>{"partner_id":"ORG-182","partner_name":"Fictional enterprise 182","prior_delay_rate":0}</x:v>
      </x:c>
    </x:row>
    <x:row r="204" ht="34" customHeight="1">
      <x:c r="A204" s="4" t="str">
        <x:v>partners</x:v>
      </x:c>
      <x:c r="B204" s="4" t="str">
        <x:v>ORG-183</x:v>
      </x:c>
      <x:c r="C204" s="4" t="str">
        <x:v>Fictional enterprise 183</x:v>
      </x:c>
      <x:c r="D204" s="4" t="str">
        <x:v>{"partner_id":"ORG-183","partner_name":"Fictional enterprise 183","prior_delay_rate":0.22}</x:v>
      </x:c>
    </x:row>
    <x:row r="205" ht="34" customHeight="1">
      <x:c r="A205" s="4" t="str">
        <x:v>partners</x:v>
      </x:c>
      <x:c r="B205" s="4" t="str">
        <x:v>ORG-184</x:v>
      </x:c>
      <x:c r="C205" s="4" t="str">
        <x:v>Fictional enterprise 184</x:v>
      </x:c>
      <x:c r="D205" s="4" t="str">
        <x:v>{"partner_id":"ORG-184","partner_name":"Fictional enterprise 184","prior_delay_rate":0.59}</x:v>
      </x:c>
    </x:row>
    <x:row r="206" ht="34" customHeight="1">
      <x:c r="A206" s="4" t="str">
        <x:v>partners</x:v>
      </x:c>
      <x:c r="B206" s="4" t="str">
        <x:v>ORG-185</x:v>
      </x:c>
      <x:c r="C206" s="4" t="str">
        <x:v>Fictional enterprise 185</x:v>
      </x:c>
      <x:c r="D206" s="4" t="str">
        <x:v>{"partner_id":"ORG-185","partner_name":"Fictional enterprise 185","prior_delay_rate":0.11}</x:v>
      </x:c>
    </x:row>
    <x:row r="207" ht="34" customHeight="1">
      <x:c r="A207" s="4" t="str">
        <x:v>partners</x:v>
      </x:c>
      <x:c r="B207" s="4" t="str">
        <x:v>ORG-186</x:v>
      </x:c>
      <x:c r="C207" s="4" t="str">
        <x:v>Fictional enterprise 186</x:v>
      </x:c>
      <x:c r="D207" s="4" t="str">
        <x:v>{"partner_id":"ORG-186","partner_name":"Fictional enterprise 186","prior_delay_rate":0.29}</x:v>
      </x:c>
    </x:row>
    <x:row r="208" ht="34" customHeight="1">
      <x:c r="A208" s="4" t="str">
        <x:v>partners</x:v>
      </x:c>
      <x:c r="B208" s="4" t="str">
        <x:v>ORG-187</x:v>
      </x:c>
      <x:c r="C208" s="4" t="str">
        <x:v>Fictional enterprise 187</x:v>
      </x:c>
      <x:c r="D208" s="4" t="str">
        <x:v>{"partner_id":"ORG-187","partner_name":"Fictional enterprise 187","prior_delay_rate":0.31}</x:v>
      </x:c>
    </x:row>
    <x:row r="209" ht="34" customHeight="1">
      <x:c r="A209" s="4" t="str">
        <x:v>partners</x:v>
      </x:c>
      <x:c r="B209" s="4" t="str">
        <x:v>ORG-188</x:v>
      </x:c>
      <x:c r="C209" s="4" t="str">
        <x:v>Fictional enterprise 188</x:v>
      </x:c>
      <x:c r="D209" s="4" t="str">
        <x:v>{"partner_id":"ORG-188","partner_name":"Fictional enterprise 188","prior_delay_rate":0.35}</x:v>
      </x:c>
    </x:row>
    <x:row r="210" ht="34" customHeight="1">
      <x:c r="A210" s="4" t="str">
        <x:v>partners</x:v>
      </x:c>
      <x:c r="B210" s="4" t="str">
        <x:v>ORG-189</x:v>
      </x:c>
      <x:c r="C210" s="4" t="str">
        <x:v>Fictional enterprise 189</x:v>
      </x:c>
      <x:c r="D210" s="4" t="str">
        <x:v>{"partner_id":"ORG-189","partner_name":"Fictional enterprise 189","prior_delay_rate":0.53}</x:v>
      </x:c>
    </x:row>
    <x:row r="211" ht="34" customHeight="1">
      <x:c r="A211" s="4" t="str">
        <x:v>partners</x:v>
      </x:c>
      <x:c r="B211" s="4" t="str">
        <x:v>ORG-190</x:v>
      </x:c>
      <x:c r="C211" s="4" t="str">
        <x:v>Fictional enterprise 190</x:v>
      </x:c>
      <x:c r="D211" s="4" t="str">
        <x:v>{"partner_id":"ORG-190","partner_name":"Fictional enterprise 190","prior_delay_rate":0.15}</x:v>
      </x:c>
    </x:row>
    <x:row r="212" ht="34" customHeight="1">
      <x:c r="A212" s="4" t="str">
        <x:v>partners</x:v>
      </x:c>
      <x:c r="B212" s="4" t="str">
        <x:v>ORG-191</x:v>
      </x:c>
      <x:c r="C212" s="4" t="str">
        <x:v>Fictional enterprise 191</x:v>
      </x:c>
      <x:c r="D212" s="4" t="str">
        <x:v>{"partner_id":"ORG-191","partner_name":"Fictional enterprise 191","prior_delay_rate":0.19}</x:v>
      </x:c>
    </x:row>
    <x:row r="213" ht="34" customHeight="1">
      <x:c r="A213" s="4" t="str">
        <x:v>partners</x:v>
      </x:c>
      <x:c r="B213" s="4" t="str">
        <x:v>ORG-192</x:v>
      </x:c>
      <x:c r="C213" s="4" t="str">
        <x:v>Fictional enterprise 192</x:v>
      </x:c>
      <x:c r="D213" s="4" t="str">
        <x:v>{"partner_id":"ORG-192","partner_name":"Fictional enterprise 192","prior_delay_rate":0.07}</x:v>
      </x:c>
    </x:row>
    <x:row r="214" ht="34" customHeight="1">
      <x:c r="A214" s="4" t="str">
        <x:v>partners</x:v>
      </x:c>
      <x:c r="B214" s="4" t="str">
        <x:v>ORG-193</x:v>
      </x:c>
      <x:c r="C214" s="4" t="str">
        <x:v>Fictional enterprise 193</x:v>
      </x:c>
      <x:c r="D214" s="4" t="str">
        <x:v>{"partner_id":"ORG-193","partner_name":"Fictional enterprise 193","prior_delay_rate":0.2}</x:v>
      </x:c>
    </x:row>
    <x:row r="215" ht="34" customHeight="1">
      <x:c r="A215" s="4" t="str">
        <x:v>partners</x:v>
      </x:c>
      <x:c r="B215" s="4" t="str">
        <x:v>ORG-194</x:v>
      </x:c>
      <x:c r="C215" s="4" t="str">
        <x:v>Fictional enterprise 194</x:v>
      </x:c>
      <x:c r="D215" s="4" t="str">
        <x:v>{"partner_id":"ORG-194","partner_name":"Fictional enterprise 194","prior_delay_rate":0.17}</x:v>
      </x:c>
    </x:row>
    <x:row r="216" ht="34" customHeight="1">
      <x:c r="A216" s="4" t="str">
        <x:v>partners</x:v>
      </x:c>
      <x:c r="B216" s="4" t="str">
        <x:v>ORG-195</x:v>
      </x:c>
      <x:c r="C216" s="4" t="str">
        <x:v>Fictional enterprise 195</x:v>
      </x:c>
      <x:c r="D216" s="4" t="str">
        <x:v>{"partner_id":"ORG-195","partner_name":"Fictional enterprise 195","prior_delay_rate":0.63}</x:v>
      </x:c>
    </x:row>
    <x:row r="217" ht="34" customHeight="1">
      <x:c r="A217" s="4" t="str">
        <x:v>partners</x:v>
      </x:c>
      <x:c r="B217" s="4" t="str">
        <x:v>ORG-196</x:v>
      </x:c>
      <x:c r="C217" s="4" t="str">
        <x:v>Fictional enterprise 196</x:v>
      </x:c>
      <x:c r="D217" s="4" t="str">
        <x:v>{"partner_id":"ORG-196","partner_name":"Fictional enterprise 196","prior_delay_rate":0.53}</x:v>
      </x:c>
    </x:row>
    <x:row r="218" ht="34" customHeight="1">
      <x:c r="A218" s="4" t="str">
        <x:v>partners</x:v>
      </x:c>
      <x:c r="B218" s="4" t="str">
        <x:v>ORG-197</x:v>
      </x:c>
      <x:c r="C218" s="4" t="str">
        <x:v>Fictional enterprise 197</x:v>
      </x:c>
      <x:c r="D218" s="4" t="str">
        <x:v>{"partner_id":"ORG-197","partner_name":"Fictional enterprise 197","prior_delay_rate":0.11}</x:v>
      </x:c>
    </x:row>
    <x:row r="219" ht="34" customHeight="1">
      <x:c r="A219" s="4" t="str">
        <x:v>partners</x:v>
      </x:c>
      <x:c r="B219" s="4" t="str">
        <x:v>ORG-198</x:v>
      </x:c>
      <x:c r="C219" s="4" t="str">
        <x:v>Fictional enterprise 198</x:v>
      </x:c>
      <x:c r="D219" s="4" t="str">
        <x:v>{"partner_id":"ORG-198","partner_name":"Fictional enterprise 198","prior_delay_rate":0.19}</x:v>
      </x:c>
    </x:row>
    <x:row r="220" ht="34" customHeight="1">
      <x:c r="A220" s="4" t="str">
        <x:v>partners</x:v>
      </x:c>
      <x:c r="B220" s="4" t="str">
        <x:v>ORG-199</x:v>
      </x:c>
      <x:c r="C220" s="4" t="str">
        <x:v>Fictional enterprise 199</x:v>
      </x:c>
      <x:c r="D220" s="4" t="str">
        <x:v>{"partner_id":"ORG-199","partner_name":"Fictional enterprise 199","prior_delay_rate":0.28}</x:v>
      </x:c>
    </x:row>
    <x:row r="221" ht="34" customHeight="1">
      <x:c r="A221" s="4" t="str">
        <x:v>partners</x:v>
      </x:c>
      <x:c r="B221" s="4" t="str">
        <x:v>ORG-200</x:v>
      </x:c>
      <x:c r="C221" s="4" t="str">
        <x:v>Fictional enterprise 200</x:v>
      </x:c>
      <x:c r="D221" s="4" t="str">
        <x:v>{"partner_id":"ORG-200","partner_name":"Fictional enterprise 200","prior_delay_rate":0.49}</x:v>
      </x:c>
    </x:row>
    <x:row r="222" ht="34" customHeight="1">
      <x:c r="A222" s="4" t="str">
        <x:v>partners</x:v>
      </x:c>
      <x:c r="B222" s="4" t="str">
        <x:v>ORG-201</x:v>
      </x:c>
      <x:c r="C222" s="4" t="str">
        <x:v>Fictional enterprise 201</x:v>
      </x:c>
      <x:c r="D222" s="4" t="str">
        <x:v>{"partner_id":"ORG-201","partner_name":"Fictional enterprise 201","prior_delay_rate":0.53}</x:v>
      </x:c>
    </x:row>
    <x:row r="223" ht="34" customHeight="1">
      <x:c r="A223" s="4" t="str">
        <x:v>partners</x:v>
      </x:c>
      <x:c r="B223" s="4" t="str">
        <x:v>ORG-202</x:v>
      </x:c>
      <x:c r="C223" s="4" t="str">
        <x:v>Fictional enterprise 202</x:v>
      </x:c>
      <x:c r="D223" s="4" t="str">
        <x:v>{"partner_id":"ORG-202","partner_name":"Fictional enterprise 202","prior_delay_rate":0.13}</x:v>
      </x:c>
    </x:row>
    <x:row r="224" ht="34" customHeight="1">
      <x:c r="A224" s="4" t="str">
        <x:v>partners</x:v>
      </x:c>
      <x:c r="B224" s="4" t="str">
        <x:v>ORG-203</x:v>
      </x:c>
      <x:c r="C224" s="4" t="str">
        <x:v>Fictional enterprise 203</x:v>
      </x:c>
      <x:c r="D224" s="4" t="str">
        <x:v>{"partner_id":"ORG-203","partner_name":"Fictional enterprise 203","prior_delay_rate":0.28}</x:v>
      </x:c>
    </x:row>
    <x:row r="225" ht="34" customHeight="1">
      <x:c r="A225" s="4" t="str">
        <x:v>partners</x:v>
      </x:c>
      <x:c r="B225" s="4" t="str">
        <x:v>ORG-204</x:v>
      </x:c>
      <x:c r="C225" s="4" t="str">
        <x:v>Fictional enterprise 204</x:v>
      </x:c>
      <x:c r="D225" s="4" t="str">
        <x:v>{"partner_id":"ORG-204","partner_name":"Fictional enterprise 204","prior_delay_rate":0.05}</x:v>
      </x:c>
    </x:row>
    <x:row r="226" ht="34" customHeight="1">
      <x:c r="A226" s="4" t="str">
        <x:v>partners</x:v>
      </x:c>
      <x:c r="B226" s="4" t="str">
        <x:v>ORG-205</x:v>
      </x:c>
      <x:c r="C226" s="4" t="str">
        <x:v>Fictional enterprise 205</x:v>
      </x:c>
      <x:c r="D226" s="4" t="str">
        <x:v>{"partner_id":"ORG-205","partner_name":"Fictional enterprise 205","prior_delay_rate":0.46}</x:v>
      </x:c>
    </x:row>
    <x:row r="227" ht="34" customHeight="1">
      <x:c r="A227" s="4" t="str">
        <x:v>partners</x:v>
      </x:c>
      <x:c r="B227" s="4" t="str">
        <x:v>ORG-206</x:v>
      </x:c>
      <x:c r="C227" s="4" t="str">
        <x:v>Fictional enterprise 206</x:v>
      </x:c>
      <x:c r="D227" s="4" t="str">
        <x:v>{"partner_id":"ORG-206","partner_name":"Fictional enterprise 206","prior_delay_rate":0.59}</x:v>
      </x:c>
    </x:row>
    <x:row r="228" ht="34" customHeight="1">
      <x:c r="A228" s="4" t="str">
        <x:v>partners</x:v>
      </x:c>
      <x:c r="B228" s="4" t="str">
        <x:v>ORG-207</x:v>
      </x:c>
      <x:c r="C228" s="4" t="str">
        <x:v>Fictional enterprise 207</x:v>
      </x:c>
      <x:c r="D228" s="4" t="str">
        <x:v>{"partner_id":"ORG-207","partner_name":"Fictional enterprise 207","prior_delay_rate":0.57}</x:v>
      </x:c>
    </x:row>
    <x:row r="229" ht="34" customHeight="1">
      <x:c r="A229" s="4" t="str">
        <x:v>partners</x:v>
      </x:c>
      <x:c r="B229" s="4" t="str">
        <x:v>ORG-208</x:v>
      </x:c>
      <x:c r="C229" s="4" t="str">
        <x:v>Fictional enterprise 208</x:v>
      </x:c>
      <x:c r="D229" s="4" t="str">
        <x:v>{"partner_id":"ORG-208","partner_name":"Fictional enterprise 208","prior_delay_rate":0.09}</x:v>
      </x:c>
    </x:row>
    <x:row r="230" ht="34" customHeight="1">
      <x:c r="A230" s="4" t="str">
        <x:v>partners</x:v>
      </x:c>
      <x:c r="B230" s="4" t="str">
        <x:v>ORG-209</x:v>
      </x:c>
      <x:c r="C230" s="4" t="str">
        <x:v>Fictional enterprise 209</x:v>
      </x:c>
      <x:c r="D230" s="4" t="str">
        <x:v>{"partner_id":"ORG-209","partner_name":"Fictional enterprise 209","prior_delay_rate":0.31}</x:v>
      </x:c>
    </x:row>
    <x:row r="231" ht="34" customHeight="1">
      <x:c r="A231" s="4" t="str">
        <x:v>partners</x:v>
      </x:c>
      <x:c r="B231" s="4" t="str">
        <x:v>ORG-210</x:v>
      </x:c>
      <x:c r="C231" s="4" t="str">
        <x:v>Fictional enterprise 210</x:v>
      </x:c>
      <x:c r="D231" s="4" t="str">
        <x:v>{"partner_id":"ORG-210","partner_name":"Fictional enterprise 210","prior_delay_rate":0.26}</x:v>
      </x:c>
    </x:row>
    <x:row r="232" ht="34" customHeight="1">
      <x:c r="A232" s="4" t="str">
        <x:v>partners</x:v>
      </x:c>
      <x:c r="B232" s="4" t="str">
        <x:v>ORG-211</x:v>
      </x:c>
      <x:c r="C232" s="4" t="str">
        <x:v>Fictional enterprise 211</x:v>
      </x:c>
      <x:c r="D232" s="4" t="str">
        <x:v>{"partner_id":"ORG-211","partner_name":"Fictional enterprise 211","prior_delay_rate":0.01}</x:v>
      </x:c>
    </x:row>
    <x:row r="233" ht="34" customHeight="1">
      <x:c r="A233" s="4" t="str">
        <x:v>partners</x:v>
      </x:c>
      <x:c r="B233" s="4" t="str">
        <x:v>ORG-212</x:v>
      </x:c>
      <x:c r="C233" s="4" t="str">
        <x:v>Fictional enterprise 212</x:v>
      </x:c>
      <x:c r="D233" s="4" t="str">
        <x:v>{"partner_id":"ORG-212","partner_name":"Fictional enterprise 212","prior_delay_rate":0.21}</x:v>
      </x:c>
    </x:row>
    <x:row r="234" ht="34" customHeight="1">
      <x:c r="A234" s="4" t="str">
        <x:v>partners</x:v>
      </x:c>
      <x:c r="B234" s="4" t="str">
        <x:v>ORG-213</x:v>
      </x:c>
      <x:c r="C234" s="4" t="str">
        <x:v>Fictional enterprise 213</x:v>
      </x:c>
      <x:c r="D234" s="4" t="str">
        <x:v>{"partner_id":"ORG-213","partner_name":"Fictional enterprise 213","prior_delay_rate":0.22}</x:v>
      </x:c>
    </x:row>
    <x:row r="235" ht="34" customHeight="1">
      <x:c r="A235" s="4" t="str">
        <x:v>partners</x:v>
      </x:c>
      <x:c r="B235" s="4" t="str">
        <x:v>ORG-214</x:v>
      </x:c>
      <x:c r="C235" s="4" t="str">
        <x:v>Fictional enterprise 214</x:v>
      </x:c>
      <x:c r="D235" s="4" t="str">
        <x:v>{"partner_id":"ORG-214","partner_name":"Fictional enterprise 214","prior_delay_rate":0.29}</x:v>
      </x:c>
    </x:row>
    <x:row r="236" ht="34" customHeight="1">
      <x:c r="A236" s="4" t="str">
        <x:v>partners</x:v>
      </x:c>
      <x:c r="B236" s="4" t="str">
        <x:v>ORG-215</x:v>
      </x:c>
      <x:c r="C236" s="4" t="str">
        <x:v>Fictional enterprise 215</x:v>
      </x:c>
      <x:c r="D236" s="4" t="str">
        <x:v>{"partner_id":"ORG-215","partner_name":"Fictional enterprise 215","prior_delay_rate":0.01}</x:v>
      </x:c>
    </x:row>
    <x:row r="237" ht="34" customHeight="1">
      <x:c r="A237" s="4" t="str">
        <x:v>partners</x:v>
      </x:c>
      <x:c r="B237" s="4" t="str">
        <x:v>ORG-216</x:v>
      </x:c>
      <x:c r="C237" s="4" t="str">
        <x:v>Fictional enterprise 216</x:v>
      </x:c>
      <x:c r="D237" s="4" t="str">
        <x:v>{"partner_id":"ORG-216","partner_name":"Fictional enterprise 216","prior_delay_rate":0.12}</x:v>
      </x:c>
    </x:row>
    <x:row r="238" ht="34" customHeight="1">
      <x:c r="A238" s="4" t="str">
        <x:v>partners</x:v>
      </x:c>
      <x:c r="B238" s="4" t="str">
        <x:v>ORG-217</x:v>
      </x:c>
      <x:c r="C238" s="4" t="str">
        <x:v>Fictional enterprise 217</x:v>
      </x:c>
      <x:c r="D238" s="4" t="str">
        <x:v>{"partner_id":"ORG-217","partner_name":"Fictional enterprise 217","prior_delay_rate":0.21}</x:v>
      </x:c>
    </x:row>
    <x:row r="239" ht="34" customHeight="1">
      <x:c r="A239" s="4" t="str">
        <x:v>partners</x:v>
      </x:c>
      <x:c r="B239" s="4" t="str">
        <x:v>ORG-218</x:v>
      </x:c>
      <x:c r="C239" s="4" t="str">
        <x:v>Fictional enterprise 218</x:v>
      </x:c>
      <x:c r="D239" s="4" t="str">
        <x:v>{"partner_id":"ORG-218","partner_name":"Fictional enterprise 218","prior_delay_rate":0.62}</x:v>
      </x:c>
    </x:row>
    <x:row r="240" ht="34" customHeight="1">
      <x:c r="A240" s="4" t="str">
        <x:v>partners</x:v>
      </x:c>
      <x:c r="B240" s="4" t="str">
        <x:v>ORG-219</x:v>
      </x:c>
      <x:c r="C240" s="4" t="str">
        <x:v>Fictional enterprise 219</x:v>
      </x:c>
      <x:c r="D240" s="4" t="str">
        <x:v>{"partner_id":"ORG-219","partner_name":"Fictional enterprise 219","prior_delay_rate":0.29}</x:v>
      </x:c>
    </x:row>
    <x:row r="241" ht="34" customHeight="1">
      <x:c r="A241" s="4" t="str">
        <x:v>partners</x:v>
      </x:c>
      <x:c r="B241" s="4" t="str">
        <x:v>ORG-220</x:v>
      </x:c>
      <x:c r="C241" s="4" t="str">
        <x:v>Fictional enterprise 220</x:v>
      </x:c>
      <x:c r="D241" s="4" t="str">
        <x:v>{"partner_id":"ORG-220","partner_name":"Fictional enterprise 220","prior_delay_rate":0.07}</x:v>
      </x:c>
    </x:row>
    <x:row r="242" ht="34" customHeight="1">
      <x:c r="A242" s="4" t="str">
        <x:v>partners</x:v>
      </x:c>
      <x:c r="B242" s="4" t="str">
        <x:v>ORG-221</x:v>
      </x:c>
      <x:c r="C242" s="4" t="str">
        <x:v>Fictional enterprise 221</x:v>
      </x:c>
      <x:c r="D242" s="4" t="str">
        <x:v>{"partner_id":"ORG-221","partner_name":"Fictional enterprise 221","prior_delay_rate":0.58}</x:v>
      </x:c>
    </x:row>
    <x:row r="243" ht="34" customHeight="1">
      <x:c r="A243" s="4" t="str">
        <x:v>partners</x:v>
      </x:c>
      <x:c r="B243" s="4" t="str">
        <x:v>ORG-222</x:v>
      </x:c>
      <x:c r="C243" s="4" t="str">
        <x:v>Fictional enterprise 222</x:v>
      </x:c>
      <x:c r="D243" s="4" t="str">
        <x:v>{"partner_id":"ORG-222","partner_name":"Fictional enterprise 222","prior_delay_rate":0.65}</x:v>
      </x:c>
    </x:row>
    <x:row r="244" ht="34" customHeight="1">
      <x:c r="A244" s="4" t="str">
        <x:v>partners</x:v>
      </x:c>
      <x:c r="B244" s="4" t="str">
        <x:v>ORG-223</x:v>
      </x:c>
      <x:c r="C244" s="4" t="str">
        <x:v>Fictional enterprise 223</x:v>
      </x:c>
      <x:c r="D244" s="4" t="str">
        <x:v>{"partner_id":"ORG-223","partner_name":"Fictional enterprise 223","prior_delay_rate":0.45}</x:v>
      </x:c>
    </x:row>
    <x:row r="245" ht="34" customHeight="1">
      <x:c r="A245" s="4" t="str">
        <x:v>partners</x:v>
      </x:c>
      <x:c r="B245" s="4" t="str">
        <x:v>ORG-224</x:v>
      </x:c>
      <x:c r="C245" s="4" t="str">
        <x:v>Fictional enterprise 224</x:v>
      </x:c>
      <x:c r="D245" s="4" t="str">
        <x:v>{"partner_id":"ORG-224","partner_name":"Fictional enterprise 224","prior_delay_rate":0.33}</x:v>
      </x:c>
    </x:row>
    <x:row r="246" ht="34" customHeight="1">
      <x:c r="A246" s="4" t="str">
        <x:v>partners</x:v>
      </x:c>
      <x:c r="B246" s="4" t="str">
        <x:v>ORG-225</x:v>
      </x:c>
      <x:c r="C246" s="4" t="str">
        <x:v>Fictional enterprise 225</x:v>
      </x:c>
      <x:c r="D246" s="4" t="str">
        <x:v>{"partner_id":"ORG-225","partner_name":"Fictional enterprise 225","prior_delay_rate":0.57}</x:v>
      </x:c>
    </x:row>
    <x:row r="247" ht="34" customHeight="1">
      <x:c r="A247" s="4" t="str">
        <x:v>partners</x:v>
      </x:c>
      <x:c r="B247" s="4" t="str">
        <x:v>ORG-226</x:v>
      </x:c>
      <x:c r="C247" s="4" t="str">
        <x:v>Fictional enterprise 226</x:v>
      </x:c>
      <x:c r="D247" s="4" t="str">
        <x:v>{"partner_id":"ORG-226","partner_name":"Fictional enterprise 226","prior_delay_rate":0.12}</x:v>
      </x:c>
    </x:row>
    <x:row r="248" ht="34" customHeight="1">
      <x:c r="A248" s="4" t="str">
        <x:v>partners</x:v>
      </x:c>
      <x:c r="B248" s="4" t="str">
        <x:v>ORG-227</x:v>
      </x:c>
      <x:c r="C248" s="4" t="str">
        <x:v>Fictional enterprise 227</x:v>
      </x:c>
      <x:c r="D248" s="4" t="str">
        <x:v>{"partner_id":"ORG-227","partner_name":"Fictional enterprise 227","prior_delay_rate":0.57}</x:v>
      </x:c>
    </x:row>
    <x:row r="249" ht="34" customHeight="1">
      <x:c r="A249" s="4" t="str">
        <x:v>partners</x:v>
      </x:c>
      <x:c r="B249" s="4" t="str">
        <x:v>ORG-228</x:v>
      </x:c>
      <x:c r="C249" s="4" t="str">
        <x:v>Fictional enterprise 228</x:v>
      </x:c>
      <x:c r="D249" s="4" t="str">
        <x:v>{"partner_id":"ORG-228","partner_name":"Fictional enterprise 228","prior_delay_rate":0.2}</x:v>
      </x:c>
    </x:row>
    <x:row r="250" ht="34" customHeight="1">
      <x:c r="A250" s="4" t="str">
        <x:v>partners</x:v>
      </x:c>
      <x:c r="B250" s="4" t="str">
        <x:v>ORG-229</x:v>
      </x:c>
      <x:c r="C250" s="4" t="str">
        <x:v>Fictional enterprise 229</x:v>
      </x:c>
      <x:c r="D250" s="4" t="str">
        <x:v>{"partner_id":"ORG-229","partner_name":"Fictional enterprise 229","prior_delay_rate":0.18}</x:v>
      </x:c>
    </x:row>
    <x:row r="251" ht="34" customHeight="1">
      <x:c r="A251" s="4" t="str">
        <x:v>partners</x:v>
      </x:c>
      <x:c r="B251" s="4" t="str">
        <x:v>ORG-230</x:v>
      </x:c>
      <x:c r="C251" s="4" t="str">
        <x:v>Fictional enterprise 230</x:v>
      </x:c>
      <x:c r="D251" s="4" t="str">
        <x:v>{"partner_id":"ORG-230","partner_name":"Fictional enterprise 230","prior_delay_rate":0.34}</x:v>
      </x:c>
    </x:row>
    <x:row r="252" ht="34" customHeight="1">
      <x:c r="A252" s="4" t="str">
        <x:v>partners</x:v>
      </x:c>
      <x:c r="B252" s="4" t="str">
        <x:v>ORG-231</x:v>
      </x:c>
      <x:c r="C252" s="4" t="str">
        <x:v>Fictional enterprise 231</x:v>
      </x:c>
      <x:c r="D252" s="4" t="str">
        <x:v>{"partner_id":"ORG-231","partner_name":"Fictional enterprise 231","prior_delay_rate":0.23}</x:v>
      </x:c>
    </x:row>
    <x:row r="253" ht="34" customHeight="1">
      <x:c r="A253" s="4" t="str">
        <x:v>partners</x:v>
      </x:c>
      <x:c r="B253" s="4" t="str">
        <x:v>ORG-232</x:v>
      </x:c>
      <x:c r="C253" s="4" t="str">
        <x:v>Fictional enterprise 232</x:v>
      </x:c>
      <x:c r="D253" s="4" t="str">
        <x:v>{"partner_id":"ORG-232","partner_name":"Fictional enterprise 232","prior_delay_rate":0.16}</x:v>
      </x:c>
    </x:row>
    <x:row r="254" ht="34" customHeight="1">
      <x:c r="A254" s="4" t="str">
        <x:v>partners</x:v>
      </x:c>
      <x:c r="B254" s="4" t="str">
        <x:v>ORG-233</x:v>
      </x:c>
      <x:c r="C254" s="4" t="str">
        <x:v>Fictional enterprise 233</x:v>
      </x:c>
      <x:c r="D254" s="4" t="str">
        <x:v>{"partner_id":"ORG-233","partner_name":"Fictional enterprise 233","prior_delay_rate":0.47}</x:v>
      </x:c>
    </x:row>
    <x:row r="255" ht="34" customHeight="1">
      <x:c r="A255" s="4" t="str">
        <x:v>partners</x:v>
      </x:c>
      <x:c r="B255" s="4" t="str">
        <x:v>ORG-234</x:v>
      </x:c>
      <x:c r="C255" s="4" t="str">
        <x:v>Fictional enterprise 234</x:v>
      </x:c>
      <x:c r="D255" s="4" t="str">
        <x:v>{"partner_id":"ORG-234","partner_name":"Fictional enterprise 234","prior_delay_rate":0.15}</x:v>
      </x:c>
    </x:row>
    <x:row r="256" ht="34" customHeight="1">
      <x:c r="A256" s="4" t="str">
        <x:v>partners</x:v>
      </x:c>
      <x:c r="B256" s="4" t="str">
        <x:v>ORG-235</x:v>
      </x:c>
      <x:c r="C256" s="4" t="str">
        <x:v>Fictional enterprise 235</x:v>
      </x:c>
      <x:c r="D256" s="4" t="str">
        <x:v>{"partner_id":"ORG-235","partner_name":"Fictional enterprise 235","prior_delay_rate":0.37}</x:v>
      </x:c>
    </x:row>
    <x:row r="257" ht="34" customHeight="1">
      <x:c r="A257" s="4" t="str">
        <x:v>partners</x:v>
      </x:c>
      <x:c r="B257" s="4" t="str">
        <x:v>ORG-236</x:v>
      </x:c>
      <x:c r="C257" s="4" t="str">
        <x:v>Fictional enterprise 236</x:v>
      </x:c>
      <x:c r="D257" s="4" t="str">
        <x:v>{"partner_id":"ORG-236","partner_name":"Fictional enterprise 236","prior_delay_rate":0.2}</x:v>
      </x:c>
    </x:row>
    <x:row r="258" ht="34" customHeight="1">
      <x:c r="A258" s="4" t="str">
        <x:v>partners</x:v>
      </x:c>
      <x:c r="B258" s="4" t="str">
        <x:v>ORG-237</x:v>
      </x:c>
      <x:c r="C258" s="4" t="str">
        <x:v>Fictional enterprise 237</x:v>
      </x:c>
      <x:c r="D258" s="4" t="str">
        <x:v>{"partner_id":"ORG-237","partner_name":"Fictional enterprise 237","prior_delay_rate":0.03}</x:v>
      </x:c>
    </x:row>
    <x:row r="259" ht="34" customHeight="1">
      <x:c r="A259" s="4" t="str">
        <x:v>partners</x:v>
      </x:c>
      <x:c r="B259" s="4" t="str">
        <x:v>ORG-238</x:v>
      </x:c>
      <x:c r="C259" s="4" t="str">
        <x:v>Fictional enterprise 238</x:v>
      </x:c>
      <x:c r="D259" s="4" t="str">
        <x:v>{"partner_id":"ORG-238","partner_name":"Fictional enterprise 238","prior_delay_rate":0.07}</x:v>
      </x:c>
    </x:row>
    <x:row r="260" ht="34" customHeight="1">
      <x:c r="A260" s="4" t="str">
        <x:v>partners</x:v>
      </x:c>
      <x:c r="B260" s="4" t="str">
        <x:v>ORG-239</x:v>
      </x:c>
      <x:c r="C260" s="4" t="str">
        <x:v>Fictional enterprise 239</x:v>
      </x:c>
      <x:c r="D260" s="4" t="str">
        <x:v>{"partner_id":"ORG-239","partner_name":"Fictional enterprise 239","prior_delay_rate":0.56}</x:v>
      </x:c>
    </x:row>
    <x:row r="261" ht="34" customHeight="1">
      <x:c r="A261" s="4" t="str">
        <x:v>partners</x:v>
      </x:c>
      <x:c r="B261" s="4" t="str">
        <x:v>ORG-240</x:v>
      </x:c>
      <x:c r="C261" s="4" t="str">
        <x:v>Fictional enterprise 240</x:v>
      </x:c>
      <x:c r="D261" s="4" t="str">
        <x:v>{"partner_id":"ORG-240","partner_name":"Fictional enterprise 240","prior_delay_rate":0.17}</x:v>
      </x:c>
    </x:row>
    <x:row r="262" ht="34" customHeight="1">
      <x:c r="A262" s="4" t="str">
        <x:v>partners</x:v>
      </x:c>
      <x:c r="B262" s="4" t="str">
        <x:v>ORG-241</x:v>
      </x:c>
      <x:c r="C262" s="4" t="str">
        <x:v>Fictional enterprise 241</x:v>
      </x:c>
      <x:c r="D262" s="4" t="str">
        <x:v>{"partner_id":"ORG-241","partner_name":"Fictional enterprise 241","prior_delay_rate":0.22}</x:v>
      </x:c>
    </x:row>
    <x:row r="263" ht="34" customHeight="1">
      <x:c r="A263" s="4" t="str">
        <x:v>partners</x:v>
      </x:c>
      <x:c r="B263" s="4" t="str">
        <x:v>ORG-242</x:v>
      </x:c>
      <x:c r="C263" s="4" t="str">
        <x:v>Fictional enterprise 242</x:v>
      </x:c>
      <x:c r="D263" s="4" t="str">
        <x:v>{"partner_id":"ORG-242","partner_name":"Fictional enterprise 242","prior_delay_rate":0.27}</x:v>
      </x:c>
    </x:row>
    <x:row r="264" ht="34" customHeight="1">
      <x:c r="A264" s="4" t="str">
        <x:v>partners</x:v>
      </x:c>
      <x:c r="B264" s="4" t="str">
        <x:v>ORG-243</x:v>
      </x:c>
      <x:c r="C264" s="4" t="str">
        <x:v>Fictional enterprise 243</x:v>
      </x:c>
      <x:c r="D264" s="4" t="str">
        <x:v>{"partner_id":"ORG-243","partner_name":"Fictional enterprise 243","prior_delay_rate":0.32}</x:v>
      </x:c>
    </x:row>
    <x:row r="265" ht="34" customHeight="1">
      <x:c r="A265" s="4" t="str">
        <x:v>partners</x:v>
      </x:c>
      <x:c r="B265" s="4" t="str">
        <x:v>ORG-244</x:v>
      </x:c>
      <x:c r="C265" s="4" t="str">
        <x:v>Fictional enterprise 244</x:v>
      </x:c>
      <x:c r="D265" s="4" t="str">
        <x:v>{"partner_id":"ORG-244","partner_name":"Fictional enterprise 244","prior_delay_rate":0.6}</x:v>
      </x:c>
    </x:row>
    <x:row r="266" ht="34" customHeight="1">
      <x:c r="A266" s="4" t="str">
        <x:v>partners</x:v>
      </x:c>
      <x:c r="B266" s="4" t="str">
        <x:v>ORG-245</x:v>
      </x:c>
      <x:c r="C266" s="4" t="str">
        <x:v>Fictional enterprise 245</x:v>
      </x:c>
      <x:c r="D266" s="4" t="str">
        <x:v>{"partner_id":"ORG-245","partner_name":"Fictional enterprise 245","prior_delay_rate":0.06}</x:v>
      </x:c>
    </x:row>
    <x:row r="267" ht="34" customHeight="1">
      <x:c r="A267" s="4" t="str">
        <x:v>partners</x:v>
      </x:c>
      <x:c r="B267" s="4" t="str">
        <x:v>ORG-246</x:v>
      </x:c>
      <x:c r="C267" s="4" t="str">
        <x:v>Fictional enterprise 246</x:v>
      </x:c>
      <x:c r="D267" s="4" t="str">
        <x:v>{"partner_id":"ORG-246","partner_name":"Fictional enterprise 246","prior_delay_rate":0.13}</x:v>
      </x:c>
    </x:row>
    <x:row r="268" ht="34" customHeight="1">
      <x:c r="A268" s="4" t="str">
        <x:v>partners</x:v>
      </x:c>
      <x:c r="B268" s="4" t="str">
        <x:v>ORG-247</x:v>
      </x:c>
      <x:c r="C268" s="4" t="str">
        <x:v>Fictional enterprise 247</x:v>
      </x:c>
      <x:c r="D268" s="4" t="str">
        <x:v>{"partner_id":"ORG-247","partner_name":"Fictional enterprise 247","prior_delay_rate":0.11}</x:v>
      </x:c>
    </x:row>
    <x:row r="269" ht="34" customHeight="1">
      <x:c r="A269" s="4" t="str">
        <x:v>partners</x:v>
      </x:c>
      <x:c r="B269" s="4" t="str">
        <x:v>ORG-248</x:v>
      </x:c>
      <x:c r="C269" s="4" t="str">
        <x:v>Fictional enterprise 248</x:v>
      </x:c>
      <x:c r="D269" s="4" t="str">
        <x:v>{"partner_id":"ORG-248","partner_name":"Fictional enterprise 248","prior_delay_rate":0.06}</x:v>
      </x:c>
    </x:row>
    <x:row r="270" ht="34" customHeight="1">
      <x:c r="A270" s="4" t="str">
        <x:v>partners</x:v>
      </x:c>
      <x:c r="B270" s="4" t="str">
        <x:v>ORG-249</x:v>
      </x:c>
      <x:c r="C270" s="4" t="str">
        <x:v>Fictional enterprise 249</x:v>
      </x:c>
      <x:c r="D270" s="4" t="str">
        <x:v>{"partner_id":"ORG-249","partner_name":"Fictional enterprise 249","prior_delay_rate":0.27}</x:v>
      </x:c>
    </x:row>
    <x:row r="271" ht="34" customHeight="1">
      <x:c r="A271" s="4" t="str">
        <x:v>partners</x:v>
      </x:c>
      <x:c r="B271" s="4" t="str">
        <x:v>ORG-250</x:v>
      </x:c>
      <x:c r="C271" s="4" t="str">
        <x:v>Fictional enterprise 250</x:v>
      </x:c>
      <x:c r="D271" s="4" t="str">
        <x:v>{"partner_id":"ORG-250","partner_name":"Fictional enterprise 250","prior_delay_rate":0.55}</x:v>
      </x:c>
    </x:row>
  </x:sheetData>
  <x:pageMargins left="0.7" right="0.7" top="0.75" bottom="0.75" header="0.3" footer="0.3"/>
  <x:tableParts count="1">
    <x:tablePart xmlns:r="http://schemas.openxmlformats.org/officeDocument/2006/relationships" r:id="Rdb97f18ed137452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</x:cols>
  <x:sheetData>
    <x:row r="1" ht="42" customHeight="1">
      <x:c r="A1" s="7" t="str">
        <x:v>Sheet</x:v>
      </x:c>
      <x:c r="B1" s="7" t="str">
        <x:v>Field</x:v>
      </x:c>
      <x:c r="C1" s="7" t="str">
        <x:v>Type</x:v>
      </x:c>
      <x:c r="D1" s="7" t="str">
        <x:v>Role</x:v>
      </x:c>
      <x:c r="E1" s="7" t="str">
        <x:v>Meaning</x:v>
      </x:c>
      <x:c r="F1" s="7" t="str">
        <x:v>Timing / null policy</x:v>
      </x:c>
    </x:row>
    <x:row r="2" ht="82" customHeight="1">
      <x:c r="A2" s="4" t="str">
        <x:v>Records</x:v>
      </x:c>
      <x:c r="B2" s="4" t="str">
        <x:v>record_id</x:v>
      </x:c>
      <x:c r="C2" s="4" t="str">
        <x:v>Text</x:v>
      </x:c>
      <x:c r="D2" s="4" t="str">
        <x:v>Source / reference</x:v>
      </x:c>
      <x:c r="E2" s="4" t="str">
        <x:v>Stable primary key; used unchanged in Excel, JSON and app.</x:v>
      </x:c>
      <x:c r="F2" s="4" t="str">
        <x:v>See module grain and source notes</x:v>
      </x:c>
    </x:row>
    <x:row r="3" ht="82" customHeight="1">
      <x:c r="A3" s="4" t="str">
        <x:v>Records</x:v>
      </x:c>
      <x:c r="B3" s="4" t="str">
        <x:v>record_date</x:v>
      </x:c>
      <x:c r="C3" s="4" t="str">
        <x:v>Date</x:v>
      </x:c>
      <x:c r="D3" s="4" t="str">
        <x:v>Source / reference</x:v>
      </x:c>
      <x:c r="E3" s="4" t="str">
        <x:v>Feature observation date. All model inputs are known at this snapshot.</x:v>
      </x:c>
      <x:c r="F3" s="4" t="str">
        <x:v>See module grain and source notes</x:v>
      </x:c>
    </x:row>
    <x:row r="4" ht="82" customHeight="1">
      <x:c r="A4" s="4" t="str">
        <x:v>Records</x:v>
      </x:c>
      <x:c r="B4" s="4" t="str">
        <x:v>project_id</x:v>
      </x:c>
      <x:c r="C4" s="4" t="str">
        <x:v>Text</x:v>
      </x:c>
      <x:c r="D4" s="4" t="str">
        <x:v>Source / reference</x:v>
      </x:c>
      <x:c r="E4" s="4" t="str">
        <x:v>Foreign key to the shared project master.</x:v>
      </x:c>
      <x:c r="F4" s="4" t="str">
        <x:v>See module grain and source notes</x:v>
      </x:c>
    </x:row>
    <x:row r="5" ht="82" customHeight="1">
      <x:c r="A5" s="4" t="str">
        <x:v>Records</x:v>
      </x:c>
      <x:c r="B5" s="4" t="str">
        <x:v>type</x:v>
      </x:c>
      <x:c r="C5" s="4" t="str">
        <x:v>Text</x:v>
      </x:c>
      <x:c r="D5" s="4" t="str">
        <x:v>Source / reference</x:v>
      </x:c>
      <x:c r="E5" s="4" t="str">
        <x:v>Module-specific document or record category.</x:v>
      </x:c>
      <x:c r="F5" s="4" t="str">
        <x:v>See module grain and source notes</x:v>
      </x:c>
    </x:row>
    <x:row r="6" ht="82" customHeight="1">
      <x:c r="A6" s="4" t="str">
        <x:v>Records</x:v>
      </x:c>
      <x:c r="B6" s="4" t="str">
        <x:v>status</x:v>
      </x:c>
      <x:c r="C6" s="4" t="str">
        <x:v>Text</x:v>
      </x:c>
      <x:c r="D6" s="4" t="str">
        <x:v>Source / reference</x:v>
      </x:c>
      <x:c r="E6" s="4" t="str">
        <x:v>Workflow snapshot at reporting date; excluded from model features.</x:v>
      </x:c>
      <x:c r="F6" s="4" t="str">
        <x:v>See module grain and source notes</x:v>
      </x:c>
    </x:row>
    <x:row r="7" ht="82" customHeight="1">
      <x:c r="A7" s="4" t="str">
        <x:v>Records</x:v>
      </x:c>
      <x:c r="B7" s="4" t="str">
        <x:v>customer_id</x:v>
      </x:c>
      <x:c r="C7" s="4" t="str">
        <x:v>Text</x:v>
      </x:c>
      <x:c r="D7" s="4" t="str">
        <x:v>Source / reference</x:v>
      </x:c>
      <x:c r="E7" s="4" t="str">
        <x:v>customer id; synthetic demonstration field.</x:v>
      </x:c>
      <x:c r="F7" s="4" t="str">
        <x:v>See module grain and source notes</x:v>
      </x:c>
    </x:row>
    <x:row r="8" ht="82" customHeight="1">
      <x:c r="A8" s="4" t="str">
        <x:v>Records</x:v>
      </x:c>
      <x:c r="B8" s="4" t="str">
        <x:v>unit_id</x:v>
      </x:c>
      <x:c r="C8" s="4" t="str">
        <x:v>Text</x:v>
      </x:c>
      <x:c r="D8" s="4" t="str">
        <x:v>Source / reference</x:v>
      </x:c>
      <x:c r="E8" s="4" t="str">
        <x:v>unit id; synthetic demonstration field.</x:v>
      </x:c>
      <x:c r="F8" s="4" t="str">
        <x:v>See module grain and source notes</x:v>
      </x:c>
    </x:row>
    <x:row r="9" ht="82" customHeight="1">
      <x:c r="A9" s="4" t="str">
        <x:v>Records</x:v>
      </x:c>
      <x:c r="B9" s="4" t="str">
        <x:v>list_price</x:v>
      </x:c>
      <x:c r="C9" s="4" t="str">
        <x:v>Number</x:v>
      </x:c>
      <x:c r="D9" s="4" t="str">
        <x:v>Source / reference</x:v>
      </x:c>
      <x:c r="E9" s="4" t="str">
        <x:v>list price; synthetic demonstration field.</x:v>
      </x:c>
      <x:c r="F9" s="4" t="str">
        <x:v>See module grain and source notes</x:v>
      </x:c>
    </x:row>
    <x:row r="10" ht="82" customHeight="1">
      <x:c r="A10" s="4" t="str">
        <x:v>Records</x:v>
      </x:c>
      <x:c r="B10" s="4" t="str">
        <x:v>discount_pct</x:v>
      </x:c>
      <x:c r="C10" s="4" t="str">
        <x:v>Number</x:v>
      </x:c>
      <x:c r="D10" s="4" t="str">
        <x:v>Model input</x:v>
      </x:c>
      <x:c r="E10" s="4" t="str">
        <x:v>discount pct; synthetic demonstration field.</x:v>
      </x:c>
      <x:c r="F10" s="4" t="str">
        <x:v>Captured at record date</x:v>
      </x:c>
    </x:row>
    <x:row r="11" ht="82" customHeight="1">
      <x:c r="A11" s="4" t="str">
        <x:v>Records</x:v>
      </x:c>
      <x:c r="B11" s="4" t="str">
        <x:v>response_days</x:v>
      </x:c>
      <x:c r="C11" s="4" t="str">
        <x:v>Number</x:v>
      </x:c>
      <x:c r="D11" s="4" t="str">
        <x:v>Model input</x:v>
      </x:c>
      <x:c r="E11" s="4" t="str">
        <x:v>response days; synthetic demonstration field.</x:v>
      </x:c>
      <x:c r="F11" s="4" t="str">
        <x:v>Captured at record date</x:v>
      </x:c>
    </x:row>
    <x:row r="12" ht="82" customHeight="1">
      <x:c r="A12" s="4" t="str">
        <x:v>Records</x:v>
      </x:c>
      <x:c r="B12" s="4" t="str">
        <x:v>prior_contact_count</x:v>
      </x:c>
      <x:c r="C12" s="4" t="str">
        <x:v>Number</x:v>
      </x:c>
      <x:c r="D12" s="4" t="str">
        <x:v>Model input</x:v>
      </x:c>
      <x:c r="E12" s="4" t="str">
        <x:v>prior contact count; synthetic demonstration field.</x:v>
      </x:c>
      <x:c r="F12" s="4" t="str">
        <x:v>Captured at record date</x:v>
      </x:c>
    </x:row>
    <x:row r="13" ht="82" customHeight="1">
      <x:c r="A13" s="4" t="str">
        <x:v>Records</x:v>
      </x:c>
      <x:c r="B13" s="4" t="str">
        <x:v>financing_required</x:v>
      </x:c>
      <x:c r="C13" s="4" t="str">
        <x:v>Number</x:v>
      </x:c>
      <x:c r="D13" s="4" t="str">
        <x:v>Model input</x:v>
      </x:c>
      <x:c r="E13" s="4" t="str">
        <x:v>financing required; synthetic demonstration field.</x:v>
      </x:c>
      <x:c r="F13" s="4" t="str">
        <x:v>Captured at record date</x:v>
      </x:c>
    </x:row>
    <x:row r="14" ht="82" customHeight="1">
      <x:c r="A14" s="4" t="str">
        <x:v>Records</x:v>
      </x:c>
      <x:c r="B14" s="4" t="str">
        <x:v>agreed_price</x:v>
      </x:c>
      <x:c r="C14" s="4" t="str">
        <x:v>Number</x:v>
      </x:c>
      <x:c r="D14" s="4" t="str">
        <x:v>Calculated</x:v>
      </x:c>
      <x:c r="E14" s="4" t="str">
        <x:v>agreed price; synthetic demonstration field.</x:v>
      </x:c>
      <x:c r="F14" s="4" t="str">
        <x:v>See module grain and source notes</x:v>
      </x:c>
    </x:row>
    <x:row r="15" ht="82" customHeight="1">
      <x:c r="A15" s="4" t="str">
        <x:v>Records</x:v>
      </x:c>
      <x:c r="B15" s="4" t="str">
        <x:v>discount_approval</x:v>
      </x:c>
      <x:c r="C15" s="4" t="str">
        <x:v>Text</x:v>
      </x:c>
      <x:c r="D15" s="4" t="str">
        <x:v>Source / reference</x:v>
      </x:c>
      <x:c r="E15" s="4" t="str">
        <x:v>discount approval; synthetic demonstration field.</x:v>
      </x:c>
      <x:c r="F15" s="4" t="str">
        <x:v>See module grain and source notes</x:v>
      </x:c>
    </x:row>
    <x:row r="16" ht="82" customHeight="1">
      <x:c r="A16" s="4" t="str">
        <x:v>Records</x:v>
      </x:c>
      <x:c r="B16" s="4" t="str">
        <x:v>booking_id</x:v>
      </x:c>
      <x:c r="C16" s="4" t="str">
        <x:v>Text</x:v>
      </x:c>
      <x:c r="D16" s="4" t="str">
        <x:v>Source / reference</x:v>
      </x:c>
      <x:c r="E16" s="4" t="str">
        <x:v>booking id; synthetic demonstration field.</x:v>
      </x:c>
      <x:c r="F16" s="4" t="str">
        <x:v>See module grain and source notes</x:v>
      </x:c>
    </x:row>
    <x:row r="17" ht="82" customHeight="1">
      <x:c r="A17" s="4" t="str">
        <x:v>Records</x:v>
      </x:c>
      <x:c r="B17" s="4" t="str">
        <x:v>collected_amount</x:v>
      </x:c>
      <x:c r="C17" s="4" t="str">
        <x:v>Number</x:v>
      </x:c>
      <x:c r="D17" s="4" t="str">
        <x:v>Source / reference</x:v>
      </x:c>
      <x:c r="E17" s="4" t="str">
        <x:v>collected amount; synthetic demonstration field.</x:v>
      </x:c>
      <x:c r="F17" s="4" t="str">
        <x:v>See module grain and source notes</x:v>
      </x:c>
    </x:row>
    <x:row r="18" ht="82" customHeight="1">
      <x:c r="A18" s="4" t="str">
        <x:v>Records</x:v>
      </x:c>
      <x:c r="B18" s="4" t="str">
        <x:v>booking_loss</x:v>
      </x:c>
      <x:c r="C18" s="4" t="str">
        <x:v>Number</x:v>
      </x:c>
      <x:c r="D18" s="4" t="str">
        <x:v>Outcome (post observation)</x:v>
      </x:c>
      <x:c r="E18" s="4" t="str">
        <x:v>Opportunity lost or cancelled within 60 days</x:v>
      </x:c>
      <x:c r="F18" s="4" t="str">
        <x:v>1 = event, 0 = no event; blank = ineligible</x:v>
      </x:c>
    </x:row>
    <x:row r="19" ht="82" customHeight="1">
      <x:c r="A19" s="4" t="str">
        <x:v>Records</x:v>
      </x:c>
      <x:c r="B19" s="4" t="str">
        <x:v>label_available_date</x:v>
      </x:c>
      <x:c r="C19" s="4" t="str">
        <x:v>Date</x:v>
      </x:c>
      <x:c r="D19" s="4" t="str">
        <x:v>Source / reference</x:v>
      </x:c>
      <x:c r="E19" s="4" t="str">
        <x:v>Earliest date the simulated outcome can be known. Prevents temporal label leakage.</x:v>
      </x:c>
      <x:c r="F19" s="4" t="str">
        <x:v>See module grain and source notes</x:v>
      </x:c>
    </x:row>
    <x:row r="20" ht="82" customHeight="1">
      <x:c r="A20" s="4" t="str">
        <x:v>Records</x:v>
      </x:c>
      <x:c r="B20" s="4" t="str">
        <x:v>outcome_at_60_days</x:v>
      </x:c>
      <x:c r="C20" s="4" t="str">
        <x:v>Text</x:v>
      </x:c>
      <x:c r="D20" s="4" t="str">
        <x:v>Source / reference</x:v>
      </x:c>
      <x:c r="E20" s="4" t="str">
        <x:v>outcome at 60 days; synthetic demonstration field.</x:v>
      </x:c>
      <x:c r="F20" s="4" t="str">
        <x:v>See module grain and source notes</x:v>
      </x:c>
    </x:row>
    <x:row r="21" ht="82" customHeight="1">
      <x:c r="A21" s="4" t="str">
        <x:v>Records</x:v>
      </x:c>
      <x:c r="B21" s="4" t="str">
        <x:v>risk_score</x:v>
      </x:c>
      <x:c r="C21" s="4" t="str">
        <x:v>Number</x:v>
      </x:c>
      <x:c r="D21" s="4" t="str">
        <x:v>Source / reference</x:v>
      </x:c>
      <x:c r="E21" s="4" t="str">
        <x:v>Exported training-tree leaf frequency. Uncalibrated; not a live Excel model.</x:v>
      </x:c>
      <x:c r="F21" s="4" t="str">
        <x:v>See module grain and source notes</x:v>
      </x:c>
    </x:row>
    <x:row r="22" ht="82" customHeight="1">
      <x:c r="A22" s="4" t="str">
        <x:v>Records</x:v>
      </x:c>
      <x:c r="B22" s="4" t="str">
        <x:v>evaluation_split</x:v>
      </x:c>
      <x:c r="C22" s="4" t="str">
        <x:v>Text</x:v>
      </x:c>
      <x:c r="D22" s="4" t="str">
        <x:v>Source / reference</x:v>
      </x:c>
      <x:c r="E22" s="4" t="str">
        <x:v>Train: Jan–May with matured labels. Test: Aug–Oct. June–July/unlabelled excluded.</x:v>
      </x:c>
      <x:c r="F22" s="4" t="str">
        <x:v>See module grain and source notes</x:v>
      </x:c>
    </x:row>
    <x:row r="23" ht="82" customHeight="1">
      <x:c r="A23" s="4" t="str">
        <x:v>Details</x:v>
      </x:c>
      <x:c r="B23" s="4" t="str">
        <x:v>detail_id</x:v>
      </x:c>
      <x:c r="C23" s="4" t="str">
        <x:v>Text</x:v>
      </x:c>
      <x:c r="D23" s="4" t="str">
        <x:v>Source / reference</x:v>
      </x:c>
      <x:c r="E23" s="4" t="str">
        <x:v>detail id; synthetic demonstration field.</x:v>
      </x:c>
      <x:c r="F23" s="4" t="str">
        <x:v>See module grain and source notes</x:v>
      </x:c>
    </x:row>
    <x:row r="24" ht="82" customHeight="1">
      <x:c r="A24" s="4" t="str">
        <x:v>Details</x:v>
      </x:c>
      <x:c r="B24" s="4" t="str">
        <x:v>record_id</x:v>
      </x:c>
      <x:c r="C24" s="4" t="str">
        <x:v>Text</x:v>
      </x:c>
      <x:c r="D24" s="4" t="str">
        <x:v>Source / reference</x:v>
      </x:c>
      <x:c r="E24" s="4" t="str">
        <x:v>Stable primary key; used unchanged in Excel, JSON and app.</x:v>
      </x:c>
      <x:c r="F24" s="4" t="str">
        <x:v>See module grain and source notes</x:v>
      </x:c>
    </x:row>
    <x:row r="25" ht="82" customHeight="1">
      <x:c r="A25" s="4" t="str">
        <x:v>Details</x:v>
      </x:c>
      <x:c r="B25" s="4" t="str">
        <x:v>installment_no</x:v>
      </x:c>
      <x:c r="C25" s="4" t="str">
        <x:v>Number</x:v>
      </x:c>
      <x:c r="D25" s="4" t="str">
        <x:v>Source / reference</x:v>
      </x:c>
      <x:c r="E25" s="4" t="str">
        <x:v>installment no; synthetic demonstration field.</x:v>
      </x:c>
      <x:c r="F25" s="4" t="str">
        <x:v>See module grain and source notes</x:v>
      </x:c>
    </x:row>
    <x:row r="26" ht="82" customHeight="1">
      <x:c r="A26" s="4" t="str">
        <x:v>Details</x:v>
      </x:c>
      <x:c r="B26" s="4" t="str">
        <x:v>due_date</x:v>
      </x:c>
      <x:c r="C26" s="4" t="str">
        <x:v>Date</x:v>
      </x:c>
      <x:c r="D26" s="4" t="str">
        <x:v>Source / reference</x:v>
      </x:c>
      <x:c r="E26" s="4" t="str">
        <x:v>due date; synthetic demonstration field.</x:v>
      </x:c>
      <x:c r="F26" s="4" t="str">
        <x:v>See module grain and source notes</x:v>
      </x:c>
    </x:row>
    <x:row r="27" ht="82" customHeight="1">
      <x:c r="A27" s="4" t="str">
        <x:v>Details</x:v>
      </x:c>
      <x:c r="B27" s="4" t="str">
        <x:v>scheduled_amount</x:v>
      </x:c>
      <x:c r="C27" s="4" t="str">
        <x:v>Number</x:v>
      </x:c>
      <x:c r="D27" s="4" t="str">
        <x:v>Source / reference</x:v>
      </x:c>
      <x:c r="E27" s="4" t="str">
        <x:v>scheduled amount; synthetic demonstration field.</x:v>
      </x:c>
      <x:c r="F27" s="4" t="str">
        <x:v>See module grain and source notes</x:v>
      </x:c>
    </x:row>
    <x:row r="28" ht="82" customHeight="1">
      <x:c r="A28" s="4" t="str">
        <x:v>Details</x:v>
      </x:c>
      <x:c r="B28" s="4" t="str">
        <x:v>collected_amount</x:v>
      </x:c>
      <x:c r="C28" s="4" t="str">
        <x:v>Number</x:v>
      </x:c>
      <x:c r="D28" s="4" t="str">
        <x:v>Source / reference</x:v>
      </x:c>
      <x:c r="E28" s="4" t="str">
        <x:v>collected amount; synthetic demonstration field.</x:v>
      </x:c>
      <x:c r="F28" s="4" t="str">
        <x:v>See module grain and source notes</x:v>
      </x:c>
    </x:row>
    <x:row r="29" ht="82" customHeight="1">
      <x:c r="A29" s="4" t="str">
        <x:v>Events</x:v>
      </x:c>
      <x:c r="B29" s="4" t="str">
        <x:v>event_id</x:v>
      </x:c>
      <x:c r="C29" s="4" t="str">
        <x:v>Text</x:v>
      </x:c>
      <x:c r="D29" s="4" t="str">
        <x:v>Source / reference</x:v>
      </x:c>
      <x:c r="E29" s="4" t="str">
        <x:v>event id; synthetic demonstration field.</x:v>
      </x:c>
      <x:c r="F29" s="4" t="str">
        <x:v>See module grain and source notes</x:v>
      </x:c>
    </x:row>
    <x:row r="30" ht="82" customHeight="1">
      <x:c r="A30" s="4" t="str">
        <x:v>Events</x:v>
      </x:c>
      <x:c r="B30" s="4" t="str">
        <x:v>record_id</x:v>
      </x:c>
      <x:c r="C30" s="4" t="str">
        <x:v>Text</x:v>
      </x:c>
      <x:c r="D30" s="4" t="str">
        <x:v>Source / reference</x:v>
      </x:c>
      <x:c r="E30" s="4" t="str">
        <x:v>Stable primary key; used unchanged in Excel, JSON and app.</x:v>
      </x:c>
      <x:c r="F30" s="4" t="str">
        <x:v>See module grain and source notes</x:v>
      </x:c>
    </x:row>
    <x:row r="31" ht="82" customHeight="1">
      <x:c r="A31" s="4" t="str">
        <x:v>Events</x:v>
      </x:c>
      <x:c r="B31" s="4" t="str">
        <x:v>event_date</x:v>
      </x:c>
      <x:c r="C31" s="4" t="str">
        <x:v>Date</x:v>
      </x:c>
      <x:c r="D31" s="4" t="str">
        <x:v>Source / reference</x:v>
      </x:c>
      <x:c r="E31" s="4" t="str">
        <x:v>event date; synthetic demonstration field.</x:v>
      </x:c>
      <x:c r="F31" s="4" t="str">
        <x:v>See module grain and source notes</x:v>
      </x:c>
    </x:row>
    <x:row r="32" ht="82" customHeight="1">
      <x:c r="A32" s="4" t="str">
        <x:v>Events</x:v>
      </x:c>
      <x:c r="B32" s="4" t="str">
        <x:v>actor_role</x:v>
      </x:c>
      <x:c r="C32" s="4" t="str">
        <x:v>Text</x:v>
      </x:c>
      <x:c r="D32" s="4" t="str">
        <x:v>Source / reference</x:v>
      </x:c>
      <x:c r="E32" s="4" t="str">
        <x:v>actor role; synthetic demonstration field.</x:v>
      </x:c>
      <x:c r="F32" s="4" t="str">
        <x:v>See module grain and source notes</x:v>
      </x:c>
    </x:row>
    <x:row r="33" ht="82" customHeight="1">
      <x:c r="A33" s="4" t="str">
        <x:v>Events</x:v>
      </x:c>
      <x:c r="B33" s="4" t="str">
        <x:v>channel</x:v>
      </x:c>
      <x:c r="C33" s="4" t="str">
        <x:v>Text</x:v>
      </x:c>
      <x:c r="D33" s="4" t="str">
        <x:v>Source / reference</x:v>
      </x:c>
      <x:c r="E33" s="4" t="str">
        <x:v>channel; synthetic demonstration field.</x:v>
      </x:c>
      <x:c r="F33" s="4" t="str">
        <x:v>See module grain and source notes</x:v>
      </x:c>
    </x:row>
    <x:row r="34" ht="82" customHeight="1">
      <x:c r="A34" s="4" t="str">
        <x:v>Events</x:v>
      </x:c>
      <x:c r="B34" s="4" t="str">
        <x:v>event_type</x:v>
      </x:c>
      <x:c r="C34" s="4" t="str">
        <x:v>Text</x:v>
      </x:c>
      <x:c r="D34" s="4" t="str">
        <x:v>Source / reference</x:v>
      </x:c>
      <x:c r="E34" s="4" t="str">
        <x:v>event type; synthetic demonstration field.</x:v>
      </x:c>
      <x:c r="F34" s="4" t="str">
        <x:v>See module grain and source notes</x:v>
      </x:c>
    </x:row>
    <x:row r="35" ht="82" customHeight="1">
      <x:c r="A35" s="4" t="str">
        <x:v>Events</x:v>
      </x:c>
      <x:c r="B35" s="4" t="str">
        <x:v>approval_state</x:v>
      </x:c>
      <x:c r="C35" s="4" t="str">
        <x:v>Text</x:v>
      </x:c>
      <x:c r="D35" s="4" t="str">
        <x:v>Source / reference</x:v>
      </x:c>
      <x:c r="E35" s="4" t="str">
        <x:v>approval state; synthetic demonstration field.</x:v>
      </x:c>
      <x:c r="F35" s="4" t="str">
        <x:v>See module grain and source notes</x:v>
      </x:c>
    </x:row>
  </x:sheetData>
  <x:pageMargins left="0.7" right="0.7" top="0.75" bottom="0.75" header="0.3" footer="0.3"/>
  <x:tableParts count="1">
    <x:tablePart xmlns:r="http://schemas.openxmlformats.org/officeDocument/2006/relationships" r:id="R1a5b37539944492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36" hidden="0" customWidth="1"/>
    <x:col min="3" max="3" width="36" hidden="0" customWidth="1"/>
    <x:col min="4" max="4" width="36" hidden="0" customWidth="1"/>
  </x:cols>
  <x:sheetData>
    <x:row r="1" ht="42" customHeight="1">
      <x:c r="A1" s="7" t="str">
        <x:v>Requirement</x:v>
      </x:c>
      <x:c r="B1" s="7" t="str">
        <x:v>Key concepts</x:v>
      </x:c>
      <x:c r="C1" s="7" t="str">
        <x:v>Business rule</x:v>
      </x:c>
      <x:c r="D1" s="7" t="str">
        <x:v>Acceptance test</x:v>
      </x:c>
    </x:row>
    <x:row r="2" ht="82" customHeight="1">
      <x:c r="A2" s="4" t="str">
        <x:v>Unit availability</x:v>
      </x:c>
      <x:c r="B2" s="4" t="str">
        <x:v>unit_id, booking_status</x:v>
      </x:c>
      <x:c r="C2" s="4" t="str">
        <x:v>One active booking per unit; cancellation must explicitly release the unit.</x:v>
      </x:c>
      <x:c r="D2" s="4" t="str">
        <x:v>Attempt two active bookings for one unit and verify the second is blocked.</x:v>
      </x:c>
    </x:row>
    <x:row r="3" ht="82" customHeight="1">
      <x:c r="A3" s="4" t="str">
        <x:v>Price and discount</x:v>
      </x:c>
      <x:c r="B3" s="4" t="str">
        <x:v>list_price, discount_pct</x:v>
      </x:c>
      <x:c r="C3" s="4" t="str">
        <x:v>Store approved discount separately from the list price.</x:v>
      </x:c>
      <x:c r="D3" s="4" t="str">
        <x:v>An excessive discount must route to the sales head.</x:v>
      </x:c>
    </x:row>
    <x:row r="4" ht="82" customHeight="1">
      <x:c r="A4" s="4" t="str">
        <x:v>Payment schedule</x:v>
      </x:c>
      <x:c r="B4" s="4" t="str">
        <x:v>booking_id, installment_no</x:v>
      </x:c>
      <x:c r="C4" s="4" t="str">
        <x:v>Schedule amounts must add to the contracted consideration.</x:v>
      </x:c>
      <x:c r="D4" s="4" t="str">
        <x:v>Round installment amounts and reconcile the final residual.</x:v>
      </x:c>
    </x:row>
    <x:row r="5" ht="82" customHeight="1">
      <x:c r="A5" s="4" t="str">
        <x:v>Collection allocation</x:v>
      </x:c>
      <x:c r="B5" s="4" t="str">
        <x:v>collected_amount, scheduled_amount</x:v>
      </x:c>
      <x:c r="C5" s="4" t="str">
        <x:v>Allocate receipts to identified installments; keep unapplied cash separate.</x:v>
      </x:c>
      <x:c r="D5" s="4" t="str">
        <x:v>Partial collections cannot mark the full installment settled.</x:v>
      </x:c>
    </x:row>
    <x:row r="6" ht="82" customHeight="1">
      <x:c r="A6" s="4" t="str">
        <x:v>Cancellation</x:v>
      </x:c>
      <x:c r="B6" s="4" t="str">
        <x:v>booking_status, refund_amount</x:v>
      </x:c>
      <x:c r="C6" s="4" t="str">
        <x:v>A cancellation requires a reason and reviewed refund calculation.</x:v>
      </x:c>
      <x:c r="D6" s="4" t="str">
        <x:v>Cancel a partly paid booking and verify receivable reversal/release.</x:v>
      </x:c>
    </x:row>
  </x:sheetData>
  <x:pageMargins left="0.7" right="0.7" top="0.75" bottom="0.75" header="0.3" footer="0.3"/>
  <x:tableParts count="1">
    <x:tablePart xmlns:r="http://schemas.openxmlformats.org/officeDocument/2006/relationships" r:id="Re93f4e9365594f1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28" hidden="0" customWidth="1"/>
    <x:col min="5" max="5" width="19" hidden="0" customWidth="1"/>
    <x:col min="6" max="6" width="19" hidden="0" customWidth="1"/>
    <x:col min="7" max="7" width="19" hidden="0" customWidth="1"/>
    <x:col min="8" max="8" width="65" hidden="0" customWidth="1"/>
  </x:cols>
  <x:sheetData>
    <x:row r="1" ht="42" customHeight="1">
      <x:c r="A1" s="7" t="str">
        <x:v>Phase</x:v>
      </x:c>
      <x:c r="B1" s="7" t="str">
        <x:v>Start week</x:v>
      </x:c>
      <x:c r="C1" s="7" t="str">
        <x:v>End week</x:v>
      </x:c>
      <x:c r="D1" s="7" t="str">
        <x:v>Role</x:v>
      </x:c>
      <x:c r="E1" s="7" t="str">
        <x:v>Effort days</x:v>
      </x:c>
      <x:c r="F1" s="7" t="str">
        <x:v>Daily rate INR</x:v>
      </x:c>
      <x:c r="G1" s="7" t="str">
        <x:v>Cost INR</x:v>
      </x:c>
      <x:c r="H1" s="7" t="str">
        <x:v>Exit gate</x:v>
      </x:c>
    </x:row>
    <x:row r="2" ht="44" customHeight="1">
      <x:c r="A2" s="4" t="str">
        <x:v>Discover</x:v>
      </x:c>
      <x:c r="B2" s="4" t="n">
        <x:v>1</x:v>
      </x:c>
      <x:c r="C2" s="4" t="n">
        <x:v>2</x:v>
      </x:c>
      <x:c r="D2" s="4" t="str">
        <x:v>Business analyst</x:v>
      </x:c>
      <x:c r="E2" s="4" t="n">
        <x:v>10</x:v>
      </x:c>
      <x:c r="F2" s="9" t="n">
        <x:v>9000</x:v>
      </x:c>
      <x:c r="G2" s="9" t="n">
        <x:f>E2*F2</x:f>
        <x:v>90000</x:v>
      </x:c>
      <x:c r="H2" s="4" t="str">
        <x:v>Agree process boundary, current channels and signed requirements</x:v>
      </x:c>
    </x:row>
    <x:row r="3" ht="44" customHeight="1">
      <x:c r="A3" s="4" t="str">
        <x:v>Configure</x:v>
      </x:c>
      <x:c r="B3" s="4" t="n">
        <x:v>3</x:v>
      </x:c>
      <x:c r="C3" s="4" t="n">
        <x:v>5</x:v>
      </x:c>
      <x:c r="D3" s="4" t="str">
        <x:v>Functional consultant</x:v>
      </x:c>
      <x:c r="E3" s="4" t="n">
        <x:v>15</x:v>
      </x:c>
      <x:c r="F3" s="9" t="n">
        <x:v>10000</x:v>
      </x:c>
      <x:c r="G3" s="9" t="n">
        <x:f>E3*F3</x:f>
        <x:v>150000</x:v>
      </x:c>
      <x:c r="H3" s="4" t="str">
        <x:v>Configure types, masters, access and approval rules</x:v>
      </x:c>
    </x:row>
    <x:row r="4" ht="44" customHeight="1">
      <x:c r="A4" s="4" t="str">
        <x:v>Migrate &amp; integrate</x:v>
      </x:c>
      <x:c r="B4" s="4" t="n">
        <x:v>6</x:v>
      </x:c>
      <x:c r="C4" s="4" t="n">
        <x:v>8</x:v>
      </x:c>
      <x:c r="D4" s="4" t="str">
        <x:v>Data engineer</x:v>
      </x:c>
      <x:c r="E4" s="4" t="n">
        <x:v>15</x:v>
      </x:c>
      <x:c r="F4" s="9" t="n">
        <x:v>11000</x:v>
      </x:c>
      <x:c r="G4" s="9" t="n">
        <x:f>E4*F4</x:f>
        <x:v>165000</x:v>
      </x:c>
      <x:c r="H4" s="4" t="str">
        <x:v>Reconcile opening records and validate source-ID joins</x:v>
      </x:c>
    </x:row>
    <x:row r="5" ht="44" customHeight="1">
      <x:c r="A5" s="4" t="str">
        <x:v>UAT &amp; train</x:v>
      </x:c>
      <x:c r="B5" s="4" t="n">
        <x:v>9</x:v>
      </x:c>
      <x:c r="C5" s="4" t="n">
        <x:v>10</x:v>
      </x:c>
      <x:c r="D5" s="4" t="str">
        <x:v>QA / trainer</x:v>
      </x:c>
      <x:c r="E5" s="4" t="n">
        <x:v>10</x:v>
      </x:c>
      <x:c r="F5" s="9" t="n">
        <x:v>8000</x:v>
      </x:c>
      <x:c r="G5" s="9" t="n">
        <x:f>E5*F5</x:f>
        <x:v>80000</x:v>
      </x:c>
      <x:c r="H5" s="4" t="str">
        <x:v>Pass critical scenarios; train operational and finance owners</x:v>
      </x:c>
    </x:row>
    <x:row r="6" ht="44" customHeight="1">
      <x:c r="A6" s="4" t="str">
        <x:v>Cutover &amp; stabilize</x:v>
      </x:c>
      <x:c r="B6" s="4" t="n">
        <x:v>11</x:v>
      </x:c>
      <x:c r="C6" s="4" t="n">
        <x:v>12</x:v>
      </x:c>
      <x:c r="D6" s="4" t="str">
        <x:v>Implementation lead</x:v>
      </x:c>
      <x:c r="E6" s="4" t="n">
        <x:v>10</x:v>
      </x:c>
      <x:c r="F6" s="9" t="n">
        <x:v>12000</x:v>
      </x:c>
      <x:c r="G6" s="9" t="n">
        <x:f>E6*F6</x:f>
        <x:v>120000</x:v>
      </x:c>
      <x:c r="H6" s="4" t="str">
        <x:v>Approve go/no-go, reconcile first cycle and transfer support</x:v>
      </x:c>
    </x:row>
    <x:row r="7">
      <x:c r="F7" s="12"/>
      <x:c r="G7" s="12"/>
    </x:row>
    <x:row r="8">
      <x:c r="F8" s="12" t="str">
        <x:v>Base cost</x:v>
      </x:c>
      <x:c r="G8" s="12" t="n">
        <x:f>SUM(G2:G6)</x:f>
        <x:v>605000</x:v>
      </x:c>
    </x:row>
    <x:row r="9">
      <x:c r="F9" s="12" t="str">
        <x:v>Contingency rate</x:v>
      </x:c>
      <x:c r="G9" s="13" t="n">
        <x:v>0.15</x:v>
      </x:c>
    </x:row>
    <x:row r="10">
      <x:c r="F10" s="12" t="str">
        <x:v>Contingency</x:v>
      </x:c>
      <x:c r="G10" s="12" t="n">
        <x:f>G8*G9</x:f>
        <x:v>90750</x:v>
      </x:c>
    </x:row>
    <x:row r="11">
      <x:c r="F11" s="12" t="str">
        <x:v>Total budget</x:v>
      </x:c>
      <x:c r="G11" s="12" t="n">
        <x:f>G8+G10</x:f>
        <x:v>695750</x:v>
      </x:c>
    </x:row>
    <x:row r="14" ht="42" customHeight="1">
      <x:c r="A14" s="14" t="str">
        <x:v>Illustrative 12-week, two-site pilot. Rates exclude vendor licensing, hardware, statutory localization and taxes.</x:v>
      </x:c>
      <x:c r="B14" s="14"/>
      <x:c r="C14" s="14"/>
      <x:c r="D14" s="14"/>
      <x:c r="E14" s="14"/>
      <x:c r="F14" s="14"/>
      <x:c r="G14" s="14"/>
      <x:c r="H14" s="14"/>
    </x:row>
  </x:sheetData>
  <x:mergeCells>
    <x:mergeCell ref="A14:H14"/>
  </x:mergeCells>
  <x:pageMargins left="0.7" right="0.7" top="0.75" bottom="0.75" header="0.3" footer="0.3"/>
  <x:tableParts count="1">
    <x:tablePart xmlns:r="http://schemas.openxmlformats.org/officeDocument/2006/relationships" r:id="R59f2d0dafbfa4db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00" hidden="0" customWidth="1"/>
  </x:cols>
  <x:sheetData>
    <x:row r="1" ht="42" customHeight="1">
      <x:c r="A1" s="7" t="str">
        <x:v>Item</x:v>
      </x:c>
      <x:c r="B1" s="7" t="str">
        <x:v>Value</x:v>
      </x:c>
    </x:row>
    <x:row r="2" ht="35" customHeight="1">
      <x:c r="A2" s="4" t="str">
        <x:v>Model</x:v>
      </x:c>
      <x:c r="B2" s="4" t="str">
        <x:v>Decision tree classifier</x:v>
      </x:c>
    </x:row>
    <x:row r="3" ht="35" customHeight="1">
      <x:c r="A3" s="4" t="str">
        <x:v>Target</x:v>
      </x:c>
      <x:c r="B3" s="4" t="str">
        <x:v>Opportunity lost or cancelled within 60 days</x:v>
      </x:c>
    </x:row>
    <x:row r="4" ht="35" customHeight="1">
      <x:c r="A4" s="4" t="str">
        <x:v>Inputs</x:v>
      </x:c>
      <x:c r="B4" s="4" t="str">
        <x:v>response_days, discount_pct, prior_contact_count, financing_required</x:v>
      </x:c>
    </x:row>
    <x:row r="5" ht="35" customHeight="1">
      <x:c r="A5" s="4" t="str">
        <x:v>Depth / minimum leaf</x:v>
      </x:c>
      <x:c r="B5" s="4" t="str">
        <x:v>4 / 60</x:v>
      </x:c>
    </x:row>
    <x:row r="6" ht="35" customHeight="1">
      <x:c r="A6" s="4" t="str">
        <x:v>trainRows</x:v>
      </x:c>
      <x:c r="B6" s="4" t="n">
        <x:v>2500</x:v>
      </x:c>
    </x:row>
    <x:row r="7" ht="35" customHeight="1">
      <x:c r="A7" s="4" t="str">
        <x:v>testRows</x:v>
      </x:c>
      <x:c r="B7" s="4" t="n">
        <x:v>1500</x:v>
      </x:c>
    </x:row>
    <x:row r="8" ht="35" customHeight="1">
      <x:c r="A8" s="4" t="str">
        <x:v>excludedRows</x:v>
      </x:c>
      <x:c r="B8" s="4" t="n">
        <x:v>1000</x:v>
      </x:c>
    </x:row>
    <x:row r="9" ht="35" customHeight="1">
      <x:c r="A9" s="4" t="str">
        <x:v>trainCutoff</x:v>
      </x:c>
      <x:c r="B9" s="4" t="str">
        <x:v>2024-06-01</x:v>
      </x:c>
    </x:row>
    <x:row r="10" ht="35" customHeight="1">
      <x:c r="A10" s="4" t="str">
        <x:v>testStart</x:v>
      </x:c>
      <x:c r="B10" s="4" t="str">
        <x:v>2024-08-01</x:v>
      </x:c>
    </x:row>
    <x:row r="11" ht="35" customHeight="1">
      <x:c r="A11" s="4" t="str">
        <x:v>labelCutoff</x:v>
      </x:c>
      <x:c r="B11" s="4" t="str">
        <x:v>2024-08-01</x:v>
      </x:c>
    </x:row>
    <x:row r="12" ht="35" customHeight="1">
      <x:c r="A12" s="4" t="str">
        <x:v>auc</x:v>
      </x:c>
      <x:c r="B12" s="4" t="n">
        <x:v>0.5498</x:v>
      </x:c>
    </x:row>
    <x:row r="13" ht="35" customHeight="1">
      <x:c r="A13" s="4" t="str">
        <x:v>accuracy</x:v>
      </x:c>
      <x:c r="B13" s="4" t="n">
        <x:v>0.744</x:v>
      </x:c>
    </x:row>
    <x:row r="14" ht="35" customHeight="1">
      <x:c r="A14" s="4" t="str">
        <x:v>precision</x:v>
      </x:c>
      <x:c r="B14" s="4" t="n">
        <x:v>0</x:v>
      </x:c>
    </x:row>
    <x:row r="15" ht="35" customHeight="1">
      <x:c r="A15" s="4" t="str">
        <x:v>recall</x:v>
      </x:c>
      <x:c r="B15" s="4" t="n">
        <x:v>0</x:v>
      </x:c>
    </x:row>
    <x:row r="16" ht="35" customHeight="1">
      <x:c r="A16" s="4" t="str">
        <x:v>brier</x:v>
      </x:c>
      <x:c r="B16" s="4" t="n">
        <x:v>0.1911</x:v>
      </x:c>
    </x:row>
    <x:row r="17" ht="35" customHeight="1">
      <x:c r="A17" s="4" t="str">
        <x:v>baselineBrier</x:v>
      </x:c>
      <x:c r="B17" s="4" t="n">
        <x:v>0.1905</x:v>
      </x:c>
    </x:row>
    <x:row r="18" ht="35" customHeight="1">
      <x:c r="A18" s="4" t="str">
        <x:v>baselineAccuracy</x:v>
      </x:c>
      <x:c r="B18" s="4" t="n">
        <x:v>0.744</x:v>
      </x:c>
    </x:row>
    <x:row r="19" ht="35" customHeight="1">
      <x:c r="A19" s="4" t="str">
        <x:v>testEventRate</x:v>
      </x:c>
      <x:c r="B19" s="4" t="n">
        <x:v>0.256</x:v>
      </x:c>
    </x:row>
    <x:row r="20" ht="110" customHeight="1">
      <x:c r="A20" s="4" t="str">
        <x:v>confusionMatrix</x:v>
      </x:c>
      <x:c r="B20" s="4" t="str">
        <x:v>[[1116,0],[384,0]]</x:v>
      </x:c>
    </x:row>
    <x:row r="21" ht="110" customHeight="1">
      <x:c r="A21" s="4" t="str">
        <x:v>Limitations</x:v>
      </x:c>
      <x:c r="B21" s="4" t="str">
        <x:v>Temporal holdout on synthetic data only. January–May training; June–July excluded; August–October test. Training labels must be known before August. Repeated entities may occur in both periods: this tests future records for known populations, not unseen suppliers or employees. Scores are uncalibrated tree frequencies, not established real-world probabilities. Model features are captured at record creation; outcomes, status, payment and completion fields are excluded. No automated approvals or personnel decisions.</x:v>
      </x:c>
    </x:row>
    <x:row r="22" ht="110" customHeight="1">
      <x:c r="A22" s="4" t="str">
        <x:v>Inference</x:v>
      </x:c>
      <x:c r="B22" s="4" t="str">
        <x:v>Use the exported model nodes in canonical JSON; Excel risk scores are frozen for this dataset version.</x:v>
      </x:c>
    </x:row>
    <x:row r="23" ht="110" customHeight="1">
      <x:c r="A23" s="4" t="str">
        <x:v>Reference</x:v>
      </x:c>
      <x:c r="B23" s="4" t="str">
        <x:v>Property sales.txt, process configuration and sales workflow</x:v>
      </x:c>
    </x:row>
    <x:row r="24" ht="110" customHeight="1">
      <x:c r="A24" s="4" t="str">
        <x:v>Provenance</x:v>
      </x:c>
      <x:c r="B24" s="4" t="str">
        <x:v>Synthetic demonstration data. Field concepts paraphrased from the user-supplied Xpedeon reference. Workflows, thresholds, statuses and statistical relationships are demonstration assumptions, not a vendor specification or implementation claim.</x:v>
      </x:c>
    </x:row>
  </x:sheetData>
  <x:pageMargins left="0.7" right="0.7" top="0.75" bottom="0.75" header="0.3" footer="0.3"/>
  <x:tableParts count="1">
    <x:tablePart xmlns:r="http://schemas.openxmlformats.org/officeDocument/2006/relationships" r:id="R978da3aa540c47c5"/>
  </x:tableParts>
</x:worksheet>
</file>